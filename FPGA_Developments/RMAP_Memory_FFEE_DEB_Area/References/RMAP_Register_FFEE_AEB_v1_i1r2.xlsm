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_DLR\FPGA_Developments\RMAP_Memory_FFEE_AEB_Area\References\"/>
    </mc:Choice>
  </mc:AlternateContent>
  <xr:revisionPtr revIDLastSave="0" documentId="13_ncr:1_{E448E0AD-0698-4C21-AC6A-F160D542C56F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  <sheet name="Temp" sheetId="10" state="hidden" r:id="rId8"/>
  </sheets>
  <definedNames>
    <definedName name="_xlnm._FilterDatabase" localSheetId="0" hidden="1">Main!$B$3:$AH$1518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T4" i="1" l="1"/>
  <c r="R1518" i="1"/>
  <c r="Q1518" i="1"/>
  <c r="R1517" i="1"/>
  <c r="Q1517" i="1"/>
  <c r="R1516" i="1"/>
  <c r="Q1516" i="1"/>
  <c r="R1515" i="1"/>
  <c r="Q1515" i="1"/>
  <c r="R1514" i="1"/>
  <c r="Q1514" i="1"/>
  <c r="R1513" i="1"/>
  <c r="Q1513" i="1"/>
  <c r="R1512" i="1"/>
  <c r="Q1512" i="1"/>
  <c r="R1511" i="1"/>
  <c r="Q1511" i="1"/>
  <c r="R1510" i="1"/>
  <c r="Q1510" i="1"/>
  <c r="R1509" i="1"/>
  <c r="Q1509" i="1"/>
  <c r="R1508" i="1"/>
  <c r="Q1508" i="1"/>
  <c r="R1507" i="1"/>
  <c r="Q1507" i="1"/>
  <c r="R1506" i="1"/>
  <c r="Q1506" i="1"/>
  <c r="R1505" i="1"/>
  <c r="Q1505" i="1"/>
  <c r="R1504" i="1"/>
  <c r="Q1504" i="1"/>
  <c r="R1503" i="1"/>
  <c r="Q1503" i="1"/>
  <c r="R1502" i="1"/>
  <c r="Q1502" i="1"/>
  <c r="R1501" i="1"/>
  <c r="Q1501" i="1"/>
  <c r="R1500" i="1"/>
  <c r="Q1500" i="1"/>
  <c r="R1499" i="1"/>
  <c r="Q1499" i="1"/>
  <c r="R1498" i="1"/>
  <c r="Q1498" i="1"/>
  <c r="R1497" i="1"/>
  <c r="Q1497" i="1"/>
  <c r="R1496" i="1"/>
  <c r="Q1496" i="1"/>
  <c r="R1495" i="1"/>
  <c r="Q1495" i="1"/>
  <c r="R1494" i="1"/>
  <c r="Q1494" i="1"/>
  <c r="R1493" i="1"/>
  <c r="Q1493" i="1"/>
  <c r="R1492" i="1"/>
  <c r="Q1492" i="1"/>
  <c r="R1491" i="1"/>
  <c r="Q1491" i="1"/>
  <c r="R1490" i="1"/>
  <c r="Q1490" i="1"/>
  <c r="R1489" i="1"/>
  <c r="Q1489" i="1"/>
  <c r="R1488" i="1"/>
  <c r="Q1488" i="1"/>
  <c r="R1487" i="1"/>
  <c r="Q1487" i="1"/>
  <c r="R1486" i="1"/>
  <c r="Q1486" i="1"/>
  <c r="R1485" i="1"/>
  <c r="Q1485" i="1"/>
  <c r="R1484" i="1"/>
  <c r="Q1484" i="1"/>
  <c r="R1483" i="1"/>
  <c r="Q1483" i="1"/>
  <c r="R1482" i="1"/>
  <c r="Q1482" i="1"/>
  <c r="R1481" i="1"/>
  <c r="Q1481" i="1"/>
  <c r="R1480" i="1"/>
  <c r="Q1480" i="1"/>
  <c r="R1479" i="1"/>
  <c r="Q1479" i="1"/>
  <c r="R1478" i="1"/>
  <c r="Q1478" i="1"/>
  <c r="R1477" i="1"/>
  <c r="Q1477" i="1"/>
  <c r="R1476" i="1"/>
  <c r="Q1476" i="1"/>
  <c r="R1475" i="1"/>
  <c r="Q1475" i="1"/>
  <c r="R1474" i="1"/>
  <c r="Q1474" i="1"/>
  <c r="R1473" i="1"/>
  <c r="Q1473" i="1"/>
  <c r="R1472" i="1"/>
  <c r="Q1472" i="1"/>
  <c r="R1471" i="1"/>
  <c r="Q1471" i="1"/>
  <c r="R1470" i="1"/>
  <c r="Q1470" i="1"/>
  <c r="R1469" i="1"/>
  <c r="Q1469" i="1"/>
  <c r="R1468" i="1"/>
  <c r="Q1468" i="1"/>
  <c r="R1467" i="1"/>
  <c r="Q1467" i="1"/>
  <c r="R1466" i="1"/>
  <c r="Q1466" i="1"/>
  <c r="R1465" i="1"/>
  <c r="Q1465" i="1"/>
  <c r="R1464" i="1"/>
  <c r="Q1464" i="1"/>
  <c r="R1463" i="1"/>
  <c r="Q1463" i="1"/>
  <c r="R1462" i="1"/>
  <c r="Q1462" i="1"/>
  <c r="R1461" i="1"/>
  <c r="Q1461" i="1"/>
  <c r="R1460" i="1"/>
  <c r="Q1460" i="1"/>
  <c r="R1459" i="1"/>
  <c r="Q1459" i="1"/>
  <c r="R1458" i="1"/>
  <c r="Q1458" i="1"/>
  <c r="R1457" i="1"/>
  <c r="Q1457" i="1"/>
  <c r="R1456" i="1"/>
  <c r="Q1456" i="1"/>
  <c r="R1455" i="1"/>
  <c r="Q1455" i="1"/>
  <c r="R1454" i="1"/>
  <c r="Q1454" i="1"/>
  <c r="R1453" i="1"/>
  <c r="Q1453" i="1"/>
  <c r="R1452" i="1"/>
  <c r="Q1452" i="1"/>
  <c r="R1451" i="1"/>
  <c r="Q1451" i="1"/>
  <c r="R1450" i="1"/>
  <c r="Q1450" i="1"/>
  <c r="R1449" i="1"/>
  <c r="Q1449" i="1"/>
  <c r="R1448" i="1"/>
  <c r="Q1448" i="1"/>
  <c r="R1447" i="1"/>
  <c r="Q1447" i="1"/>
  <c r="R1446" i="1"/>
  <c r="Q1446" i="1"/>
  <c r="R1445" i="1"/>
  <c r="Q1445" i="1"/>
  <c r="R1444" i="1"/>
  <c r="Q1444" i="1"/>
  <c r="R1443" i="1"/>
  <c r="Q1443" i="1"/>
  <c r="R1442" i="1"/>
  <c r="Q1442" i="1"/>
  <c r="R1441" i="1"/>
  <c r="Q1441" i="1"/>
  <c r="R1440" i="1"/>
  <c r="Q1440" i="1"/>
  <c r="R1439" i="1"/>
  <c r="Q1439" i="1"/>
  <c r="R1438" i="1"/>
  <c r="Q1438" i="1"/>
  <c r="R1437" i="1"/>
  <c r="Q1437" i="1"/>
  <c r="R1436" i="1"/>
  <c r="Q1436" i="1"/>
  <c r="R1435" i="1"/>
  <c r="Q1435" i="1"/>
  <c r="R1434" i="1"/>
  <c r="Q1434" i="1"/>
  <c r="R1433" i="1"/>
  <c r="Q1433" i="1"/>
  <c r="R1432" i="1"/>
  <c r="Q1432" i="1"/>
  <c r="R1431" i="1"/>
  <c r="Q1431" i="1"/>
  <c r="R1430" i="1"/>
  <c r="Q1430" i="1"/>
  <c r="R1429" i="1"/>
  <c r="Q1429" i="1"/>
  <c r="R1428" i="1"/>
  <c r="Q1428" i="1"/>
  <c r="R1427" i="1"/>
  <c r="Q1427" i="1"/>
  <c r="R1426" i="1"/>
  <c r="Q1426" i="1"/>
  <c r="R1425" i="1"/>
  <c r="Q1425" i="1"/>
  <c r="R1424" i="1"/>
  <c r="Q1424" i="1"/>
  <c r="R1423" i="1"/>
  <c r="Q1423" i="1"/>
  <c r="R1422" i="1"/>
  <c r="Q1422" i="1"/>
  <c r="R1421" i="1"/>
  <c r="Q1421" i="1"/>
  <c r="R1420" i="1"/>
  <c r="Q1420" i="1"/>
  <c r="R1419" i="1"/>
  <c r="Q1419" i="1"/>
  <c r="R1418" i="1"/>
  <c r="Q1418" i="1"/>
  <c r="R1417" i="1"/>
  <c r="Q1417" i="1"/>
  <c r="R1416" i="1"/>
  <c r="Q1416" i="1"/>
  <c r="R1415" i="1"/>
  <c r="Q1415" i="1"/>
  <c r="R1414" i="1"/>
  <c r="Q1414" i="1"/>
  <c r="R1413" i="1"/>
  <c r="Q1413" i="1"/>
  <c r="R1412" i="1"/>
  <c r="Q1412" i="1"/>
  <c r="R1411" i="1"/>
  <c r="Q1411" i="1"/>
  <c r="R1410" i="1"/>
  <c r="Q1410" i="1"/>
  <c r="R1409" i="1"/>
  <c r="Q1409" i="1"/>
  <c r="R1408" i="1"/>
  <c r="Q1408" i="1"/>
  <c r="R1407" i="1"/>
  <c r="Q1407" i="1"/>
  <c r="R1406" i="1"/>
  <c r="Q1406" i="1"/>
  <c r="R1405" i="1"/>
  <c r="Q1405" i="1"/>
  <c r="R1404" i="1"/>
  <c r="Q1404" i="1"/>
  <c r="R1403" i="1"/>
  <c r="Q1403" i="1"/>
  <c r="R1402" i="1"/>
  <c r="Q1402" i="1"/>
  <c r="R1401" i="1"/>
  <c r="Q1401" i="1"/>
  <c r="R1400" i="1"/>
  <c r="Q1400" i="1"/>
  <c r="R1399" i="1"/>
  <c r="Q1399" i="1"/>
  <c r="R1398" i="1"/>
  <c r="Q1398" i="1"/>
  <c r="R1397" i="1"/>
  <c r="Q1397" i="1"/>
  <c r="R1396" i="1"/>
  <c r="Q1396" i="1"/>
  <c r="R1395" i="1"/>
  <c r="Q1395" i="1"/>
  <c r="R1394" i="1"/>
  <c r="Q1394" i="1"/>
  <c r="R1393" i="1"/>
  <c r="Q1393" i="1"/>
  <c r="R1392" i="1"/>
  <c r="Q1392" i="1"/>
  <c r="R1391" i="1"/>
  <c r="Q1391" i="1"/>
  <c r="R1390" i="1"/>
  <c r="Q1390" i="1"/>
  <c r="R1389" i="1"/>
  <c r="Q1389" i="1"/>
  <c r="R1388" i="1"/>
  <c r="Q1388" i="1"/>
  <c r="R1387" i="1"/>
  <c r="Q1387" i="1"/>
  <c r="R1386" i="1"/>
  <c r="Q1386" i="1"/>
  <c r="R1385" i="1"/>
  <c r="Q1385" i="1"/>
  <c r="R1384" i="1"/>
  <c r="Q1384" i="1"/>
  <c r="R1383" i="1"/>
  <c r="Q1383" i="1"/>
  <c r="R1382" i="1"/>
  <c r="Q1382" i="1"/>
  <c r="R1381" i="1"/>
  <c r="Q1381" i="1"/>
  <c r="R1380" i="1"/>
  <c r="Q1380" i="1"/>
  <c r="R1379" i="1"/>
  <c r="Q1379" i="1"/>
  <c r="R1378" i="1"/>
  <c r="Q1378" i="1"/>
  <c r="R1377" i="1"/>
  <c r="Q1377" i="1"/>
  <c r="R1376" i="1"/>
  <c r="Q1376" i="1"/>
  <c r="R1375" i="1"/>
  <c r="Q1375" i="1"/>
  <c r="R1374" i="1"/>
  <c r="Q1374" i="1"/>
  <c r="R1373" i="1"/>
  <c r="Q1373" i="1"/>
  <c r="R1372" i="1"/>
  <c r="Q1372" i="1"/>
  <c r="R1371" i="1"/>
  <c r="Q1371" i="1"/>
  <c r="R1370" i="1"/>
  <c r="Q1370" i="1"/>
  <c r="R1369" i="1"/>
  <c r="Q1369" i="1"/>
  <c r="R1368" i="1"/>
  <c r="Q1368" i="1"/>
  <c r="R1367" i="1"/>
  <c r="Q1367" i="1"/>
  <c r="R1366" i="1"/>
  <c r="Q1366" i="1"/>
  <c r="R1365" i="1"/>
  <c r="Q1365" i="1"/>
  <c r="R1364" i="1"/>
  <c r="Q1364" i="1"/>
  <c r="R1363" i="1"/>
  <c r="Q1363" i="1"/>
  <c r="R1362" i="1"/>
  <c r="Q1362" i="1"/>
  <c r="R1361" i="1"/>
  <c r="Q1361" i="1"/>
  <c r="R1360" i="1"/>
  <c r="Q1360" i="1"/>
  <c r="R1359" i="1"/>
  <c r="Q1359" i="1"/>
  <c r="R1358" i="1"/>
  <c r="Q1358" i="1"/>
  <c r="R1357" i="1"/>
  <c r="Q1357" i="1"/>
  <c r="R1356" i="1"/>
  <c r="Q1356" i="1"/>
  <c r="R1355" i="1"/>
  <c r="Q1355" i="1"/>
  <c r="R1354" i="1"/>
  <c r="Q1354" i="1"/>
  <c r="R1353" i="1"/>
  <c r="Q1353" i="1"/>
  <c r="R1352" i="1"/>
  <c r="Q1352" i="1"/>
  <c r="R1351" i="1"/>
  <c r="Q1351" i="1"/>
  <c r="R1350" i="1"/>
  <c r="Q1350" i="1"/>
  <c r="R1349" i="1"/>
  <c r="Q1349" i="1"/>
  <c r="R1348" i="1"/>
  <c r="Q1348" i="1"/>
  <c r="R1347" i="1"/>
  <c r="Q1347" i="1"/>
  <c r="R1346" i="1"/>
  <c r="Q1346" i="1"/>
  <c r="R1345" i="1"/>
  <c r="Q1345" i="1"/>
  <c r="R1344" i="1"/>
  <c r="Q1344" i="1"/>
  <c r="R1343" i="1"/>
  <c r="Q1343" i="1"/>
  <c r="R1342" i="1"/>
  <c r="Q1342" i="1"/>
  <c r="R1341" i="1"/>
  <c r="Q1341" i="1"/>
  <c r="R1340" i="1"/>
  <c r="Q1340" i="1"/>
  <c r="R1339" i="1"/>
  <c r="Q1339" i="1"/>
  <c r="R1338" i="1"/>
  <c r="Q1338" i="1"/>
  <c r="R1337" i="1"/>
  <c r="Q1337" i="1"/>
  <c r="R1336" i="1"/>
  <c r="Q1336" i="1"/>
  <c r="R1335" i="1"/>
  <c r="Q1335" i="1"/>
  <c r="R1334" i="1"/>
  <c r="Q1334" i="1"/>
  <c r="R1333" i="1"/>
  <c r="Q1333" i="1"/>
  <c r="R1332" i="1"/>
  <c r="Q1332" i="1"/>
  <c r="R1331" i="1"/>
  <c r="Q1331" i="1"/>
  <c r="R1330" i="1"/>
  <c r="Q1330" i="1"/>
  <c r="R1329" i="1"/>
  <c r="Q1329" i="1"/>
  <c r="R1328" i="1"/>
  <c r="Q1328" i="1"/>
  <c r="R1327" i="1"/>
  <c r="Q1327" i="1"/>
  <c r="R1326" i="1"/>
  <c r="Q1326" i="1"/>
  <c r="R1325" i="1"/>
  <c r="Q1325" i="1"/>
  <c r="R1324" i="1"/>
  <c r="Q1324" i="1"/>
  <c r="R1323" i="1"/>
  <c r="Q1323" i="1"/>
  <c r="R1322" i="1"/>
  <c r="Q1322" i="1"/>
  <c r="R1321" i="1"/>
  <c r="Q1321" i="1"/>
  <c r="R1320" i="1"/>
  <c r="Q1320" i="1"/>
  <c r="R1319" i="1"/>
  <c r="Q1319" i="1"/>
  <c r="R1318" i="1"/>
  <c r="Q1318" i="1"/>
  <c r="R1317" i="1"/>
  <c r="Q1317" i="1"/>
  <c r="R1316" i="1"/>
  <c r="Q1316" i="1"/>
  <c r="R1315" i="1"/>
  <c r="Q1315" i="1"/>
  <c r="R1314" i="1"/>
  <c r="Q1314" i="1"/>
  <c r="R1313" i="1"/>
  <c r="Q1313" i="1"/>
  <c r="R1312" i="1"/>
  <c r="Q1312" i="1"/>
  <c r="R1311" i="1"/>
  <c r="Q1311" i="1"/>
  <c r="R1310" i="1"/>
  <c r="Q1310" i="1"/>
  <c r="R1309" i="1"/>
  <c r="Q1309" i="1"/>
  <c r="R1308" i="1"/>
  <c r="Q1308" i="1"/>
  <c r="R1307" i="1"/>
  <c r="Q1307" i="1"/>
  <c r="R1306" i="1"/>
  <c r="Q1306" i="1"/>
  <c r="R1305" i="1"/>
  <c r="Q1305" i="1"/>
  <c r="R1304" i="1"/>
  <c r="Q1304" i="1"/>
  <c r="R1303" i="1"/>
  <c r="Q1303" i="1"/>
  <c r="R1302" i="1"/>
  <c r="Q1302" i="1"/>
  <c r="R1301" i="1"/>
  <c r="Q1301" i="1"/>
  <c r="R1300" i="1"/>
  <c r="Q1300" i="1"/>
  <c r="R1299" i="1"/>
  <c r="Q1299" i="1"/>
  <c r="R1298" i="1"/>
  <c r="Q1298" i="1"/>
  <c r="R1297" i="1"/>
  <c r="Q1297" i="1"/>
  <c r="R1296" i="1"/>
  <c r="Q1296" i="1"/>
  <c r="R1295" i="1"/>
  <c r="Q1295" i="1"/>
  <c r="R1294" i="1"/>
  <c r="Q1294" i="1"/>
  <c r="R1293" i="1"/>
  <c r="Q1293" i="1"/>
  <c r="R1292" i="1"/>
  <c r="Q1292" i="1"/>
  <c r="R1291" i="1"/>
  <c r="Q1291" i="1"/>
  <c r="R1290" i="1"/>
  <c r="Q1290" i="1"/>
  <c r="R1289" i="1"/>
  <c r="Q1289" i="1"/>
  <c r="R1288" i="1"/>
  <c r="Q1288" i="1"/>
  <c r="R1287" i="1"/>
  <c r="Q1287" i="1"/>
  <c r="R1286" i="1"/>
  <c r="Q1286" i="1"/>
  <c r="R1285" i="1"/>
  <c r="Q1285" i="1"/>
  <c r="R1284" i="1"/>
  <c r="Q1284" i="1"/>
  <c r="R1283" i="1"/>
  <c r="Q1283" i="1"/>
  <c r="R1282" i="1"/>
  <c r="Q1282" i="1"/>
  <c r="R1281" i="1"/>
  <c r="Q1281" i="1"/>
  <c r="R1280" i="1"/>
  <c r="Q1280" i="1"/>
  <c r="R1279" i="1"/>
  <c r="Q1279" i="1"/>
  <c r="R1278" i="1"/>
  <c r="Q1278" i="1"/>
  <c r="R1277" i="1"/>
  <c r="Q1277" i="1"/>
  <c r="R1276" i="1"/>
  <c r="Q1276" i="1"/>
  <c r="R1275" i="1"/>
  <c r="Q1275" i="1"/>
  <c r="R1274" i="1"/>
  <c r="Q1274" i="1"/>
  <c r="R1273" i="1"/>
  <c r="Q1273" i="1"/>
  <c r="R1272" i="1"/>
  <c r="Q1272" i="1"/>
  <c r="R1271" i="1"/>
  <c r="Q1271" i="1"/>
  <c r="R1270" i="1"/>
  <c r="Q1270" i="1"/>
  <c r="R1269" i="1"/>
  <c r="Q1269" i="1"/>
  <c r="R1268" i="1"/>
  <c r="Q1268" i="1"/>
  <c r="R1267" i="1"/>
  <c r="Q1267" i="1"/>
  <c r="R1266" i="1"/>
  <c r="Q1266" i="1"/>
  <c r="R1265" i="1"/>
  <c r="Q1265" i="1"/>
  <c r="R1264" i="1"/>
  <c r="Q1264" i="1"/>
  <c r="R1263" i="1"/>
  <c r="Q1263" i="1"/>
  <c r="R1262" i="1"/>
  <c r="Q1262" i="1"/>
  <c r="R1261" i="1"/>
  <c r="Q1261" i="1"/>
  <c r="R1260" i="1"/>
  <c r="Q1260" i="1"/>
  <c r="R1259" i="1"/>
  <c r="Q1259" i="1"/>
  <c r="R1258" i="1"/>
  <c r="Q1258" i="1"/>
  <c r="R1257" i="1"/>
  <c r="Q1257" i="1"/>
  <c r="R1256" i="1"/>
  <c r="Q1256" i="1"/>
  <c r="R1255" i="1"/>
  <c r="Q1255" i="1"/>
  <c r="R1254" i="1"/>
  <c r="Q1254" i="1"/>
  <c r="R1253" i="1"/>
  <c r="Q1253" i="1"/>
  <c r="R1252" i="1"/>
  <c r="Q1252" i="1"/>
  <c r="R1251" i="1"/>
  <c r="Q1251" i="1"/>
  <c r="R1250" i="1"/>
  <c r="Q1250" i="1"/>
  <c r="R1249" i="1"/>
  <c r="Q1249" i="1"/>
  <c r="R1248" i="1"/>
  <c r="Q1248" i="1"/>
  <c r="R1247" i="1"/>
  <c r="Q1247" i="1"/>
  <c r="R1246" i="1"/>
  <c r="Q1246" i="1"/>
  <c r="R1245" i="1"/>
  <c r="Q1245" i="1"/>
  <c r="R1244" i="1"/>
  <c r="Q1244" i="1"/>
  <c r="R1243" i="1"/>
  <c r="Q1243" i="1"/>
  <c r="R1242" i="1"/>
  <c r="Q1242" i="1"/>
  <c r="R1241" i="1"/>
  <c r="Q1241" i="1"/>
  <c r="R1240" i="1"/>
  <c r="Q1240" i="1"/>
  <c r="R1239" i="1"/>
  <c r="Q1239" i="1"/>
  <c r="R1238" i="1"/>
  <c r="Q1238" i="1"/>
  <c r="R1237" i="1"/>
  <c r="Q1237" i="1"/>
  <c r="R1236" i="1"/>
  <c r="Q1236" i="1"/>
  <c r="R1235" i="1"/>
  <c r="Q1235" i="1"/>
  <c r="R1234" i="1"/>
  <c r="Q1234" i="1"/>
  <c r="R1233" i="1"/>
  <c r="Q1233" i="1"/>
  <c r="R1232" i="1"/>
  <c r="Q1232" i="1"/>
  <c r="R1231" i="1"/>
  <c r="Q1231" i="1"/>
  <c r="R1230" i="1"/>
  <c r="Q1230" i="1"/>
  <c r="R1229" i="1"/>
  <c r="Q1229" i="1"/>
  <c r="R1228" i="1"/>
  <c r="Q1228" i="1"/>
  <c r="R1227" i="1"/>
  <c r="Q1227" i="1"/>
  <c r="R1226" i="1"/>
  <c r="Q1226" i="1"/>
  <c r="R1225" i="1"/>
  <c r="Q1225" i="1"/>
  <c r="R1224" i="1"/>
  <c r="Q1224" i="1"/>
  <c r="R1223" i="1"/>
  <c r="Q1223" i="1"/>
  <c r="R1222" i="1"/>
  <c r="Q1222" i="1"/>
  <c r="R1221" i="1"/>
  <c r="Q1221" i="1"/>
  <c r="R1220" i="1"/>
  <c r="Q1220" i="1"/>
  <c r="R1219" i="1"/>
  <c r="Q1219" i="1"/>
  <c r="R1218" i="1"/>
  <c r="Q1218" i="1"/>
  <c r="R1217" i="1"/>
  <c r="Q1217" i="1"/>
  <c r="R1216" i="1"/>
  <c r="Q1216" i="1"/>
  <c r="R1215" i="1"/>
  <c r="Q1215" i="1"/>
  <c r="R1214" i="1"/>
  <c r="Q1214" i="1"/>
  <c r="R1213" i="1"/>
  <c r="Q1213" i="1"/>
  <c r="R1212" i="1"/>
  <c r="Q1212" i="1"/>
  <c r="R1211" i="1"/>
  <c r="Q1211" i="1"/>
  <c r="R1210" i="1"/>
  <c r="Q1210" i="1"/>
  <c r="R1209" i="1"/>
  <c r="Q1209" i="1"/>
  <c r="R1208" i="1"/>
  <c r="Q1208" i="1"/>
  <c r="R1207" i="1"/>
  <c r="Q1207" i="1"/>
  <c r="R1206" i="1"/>
  <c r="Q1206" i="1"/>
  <c r="R1205" i="1"/>
  <c r="Q1205" i="1"/>
  <c r="R1204" i="1"/>
  <c r="Q1204" i="1"/>
  <c r="R1203" i="1"/>
  <c r="Q1203" i="1"/>
  <c r="R1202" i="1"/>
  <c r="Q1202" i="1"/>
  <c r="R1201" i="1"/>
  <c r="Q1201" i="1"/>
  <c r="R1200" i="1"/>
  <c r="Q1200" i="1"/>
  <c r="R1199" i="1"/>
  <c r="Q1199" i="1"/>
  <c r="R1198" i="1"/>
  <c r="Q1198" i="1"/>
  <c r="R1197" i="1"/>
  <c r="Q1197" i="1"/>
  <c r="R1196" i="1"/>
  <c r="Q1196" i="1"/>
  <c r="R1195" i="1"/>
  <c r="Q1195" i="1"/>
  <c r="R1194" i="1"/>
  <c r="Q1194" i="1"/>
  <c r="R1193" i="1"/>
  <c r="Q1193" i="1"/>
  <c r="R1192" i="1"/>
  <c r="Q1192" i="1"/>
  <c r="R1191" i="1"/>
  <c r="Q1191" i="1"/>
  <c r="R1190" i="1"/>
  <c r="Q1190" i="1"/>
  <c r="R1189" i="1"/>
  <c r="Q1189" i="1"/>
  <c r="R1188" i="1"/>
  <c r="Q1188" i="1"/>
  <c r="R1187" i="1"/>
  <c r="Q1187" i="1"/>
  <c r="R1186" i="1"/>
  <c r="Q1186" i="1"/>
  <c r="R1185" i="1"/>
  <c r="Q1185" i="1"/>
  <c r="R1184" i="1"/>
  <c r="Q1184" i="1"/>
  <c r="R1183" i="1"/>
  <c r="Q1183" i="1"/>
  <c r="R1182" i="1"/>
  <c r="Q1182" i="1"/>
  <c r="R1181" i="1"/>
  <c r="Q1181" i="1"/>
  <c r="R1180" i="1"/>
  <c r="Q1180" i="1"/>
  <c r="R1179" i="1"/>
  <c r="Q1179" i="1"/>
  <c r="R1178" i="1"/>
  <c r="Q1178" i="1"/>
  <c r="R1177" i="1"/>
  <c r="Q1177" i="1"/>
  <c r="R1176" i="1"/>
  <c r="Q1176" i="1"/>
  <c r="R1175" i="1"/>
  <c r="Q1175" i="1"/>
  <c r="R1174" i="1"/>
  <c r="Q1174" i="1"/>
  <c r="R1173" i="1"/>
  <c r="Q1173" i="1"/>
  <c r="R1172" i="1"/>
  <c r="Q1172" i="1"/>
  <c r="R1171" i="1"/>
  <c r="Q1171" i="1"/>
  <c r="R1170" i="1"/>
  <c r="Q1170" i="1"/>
  <c r="R1169" i="1"/>
  <c r="Q1169" i="1"/>
  <c r="R1168" i="1"/>
  <c r="Q1168" i="1"/>
  <c r="R1167" i="1"/>
  <c r="Q1167" i="1"/>
  <c r="R1166" i="1"/>
  <c r="Q1166" i="1"/>
  <c r="R1165" i="1"/>
  <c r="Q1165" i="1"/>
  <c r="R1164" i="1"/>
  <c r="Q1164" i="1"/>
  <c r="R1163" i="1"/>
  <c r="Q1163" i="1"/>
  <c r="R1162" i="1"/>
  <c r="Q1162" i="1"/>
  <c r="R1161" i="1"/>
  <c r="Q1161" i="1"/>
  <c r="R1160" i="1"/>
  <c r="Q1160" i="1"/>
  <c r="R1159" i="1"/>
  <c r="Q1159" i="1"/>
  <c r="R1158" i="1"/>
  <c r="Q1158" i="1"/>
  <c r="R1157" i="1"/>
  <c r="Q1157" i="1"/>
  <c r="R1156" i="1"/>
  <c r="Q1156" i="1"/>
  <c r="R1155" i="1"/>
  <c r="Q1155" i="1"/>
  <c r="R1154" i="1"/>
  <c r="Q1154" i="1"/>
  <c r="R1153" i="1"/>
  <c r="Q1153" i="1"/>
  <c r="R1152" i="1"/>
  <c r="Q1152" i="1"/>
  <c r="R1151" i="1"/>
  <c r="Q1151" i="1"/>
  <c r="R1150" i="1"/>
  <c r="Q1150" i="1"/>
  <c r="R1149" i="1"/>
  <c r="Q1149" i="1"/>
  <c r="R1148" i="1"/>
  <c r="Q1148" i="1"/>
  <c r="R1147" i="1"/>
  <c r="Q1147" i="1"/>
  <c r="R1146" i="1"/>
  <c r="Q1146" i="1"/>
  <c r="R1145" i="1"/>
  <c r="Q1145" i="1"/>
  <c r="R1144" i="1"/>
  <c r="Q1144" i="1"/>
  <c r="R1143" i="1"/>
  <c r="Q1143" i="1"/>
  <c r="R1142" i="1"/>
  <c r="Q1142" i="1"/>
  <c r="R1141" i="1"/>
  <c r="Q1141" i="1"/>
  <c r="R1140" i="1"/>
  <c r="Q1140" i="1"/>
  <c r="R1139" i="1"/>
  <c r="Q1139" i="1"/>
  <c r="R1138" i="1"/>
  <c r="Q1138" i="1"/>
  <c r="R1137" i="1"/>
  <c r="Q1137" i="1"/>
  <c r="R1136" i="1"/>
  <c r="Q1136" i="1"/>
  <c r="R1135" i="1"/>
  <c r="Q1135" i="1"/>
  <c r="R1134" i="1"/>
  <c r="Q1134" i="1"/>
  <c r="R1133" i="1"/>
  <c r="Q1133" i="1"/>
  <c r="R1132" i="1"/>
  <c r="Q1132" i="1"/>
  <c r="R1131" i="1"/>
  <c r="Q1131" i="1"/>
  <c r="R1130" i="1"/>
  <c r="Q1130" i="1"/>
  <c r="R1129" i="1"/>
  <c r="Q1129" i="1"/>
  <c r="R1128" i="1"/>
  <c r="Q1128" i="1"/>
  <c r="R1127" i="1"/>
  <c r="Q1127" i="1"/>
  <c r="R1126" i="1"/>
  <c r="Q1126" i="1"/>
  <c r="R1125" i="1"/>
  <c r="Q1125" i="1"/>
  <c r="R1124" i="1"/>
  <c r="Q1124" i="1"/>
  <c r="R1123" i="1"/>
  <c r="Q1123" i="1"/>
  <c r="R1122" i="1"/>
  <c r="Q1122" i="1"/>
  <c r="R1121" i="1"/>
  <c r="Q1121" i="1"/>
  <c r="R1120" i="1"/>
  <c r="Q1120" i="1"/>
  <c r="R1119" i="1"/>
  <c r="Q1119" i="1"/>
  <c r="R1118" i="1"/>
  <c r="Q1118" i="1"/>
  <c r="R1117" i="1"/>
  <c r="Q1117" i="1"/>
  <c r="R1116" i="1"/>
  <c r="Q1116" i="1"/>
  <c r="R1115" i="1"/>
  <c r="Q1115" i="1"/>
  <c r="R1114" i="1"/>
  <c r="Q1114" i="1"/>
  <c r="R1113" i="1"/>
  <c r="Q1113" i="1"/>
  <c r="R1112" i="1"/>
  <c r="Q1112" i="1"/>
  <c r="R1111" i="1"/>
  <c r="Q1111" i="1"/>
  <c r="R1110" i="1"/>
  <c r="Q1110" i="1"/>
  <c r="R1109" i="1"/>
  <c r="Q1109" i="1"/>
  <c r="R1108" i="1"/>
  <c r="Q1108" i="1"/>
  <c r="R1107" i="1"/>
  <c r="Q1107" i="1"/>
  <c r="R1106" i="1"/>
  <c r="Q1106" i="1"/>
  <c r="R1105" i="1"/>
  <c r="Q1105" i="1"/>
  <c r="R1104" i="1"/>
  <c r="Q1104" i="1"/>
  <c r="R1103" i="1"/>
  <c r="Q1103" i="1"/>
  <c r="R1102" i="1"/>
  <c r="Q1102" i="1"/>
  <c r="R1101" i="1"/>
  <c r="Q1101" i="1"/>
  <c r="R1100" i="1"/>
  <c r="Q1100" i="1"/>
  <c r="R1099" i="1"/>
  <c r="Q1099" i="1"/>
  <c r="R1098" i="1"/>
  <c r="Q1098" i="1"/>
  <c r="R1097" i="1"/>
  <c r="Q1097" i="1"/>
  <c r="R1096" i="1"/>
  <c r="Q1096" i="1"/>
  <c r="R1095" i="1"/>
  <c r="Q1095" i="1"/>
  <c r="R1094" i="1"/>
  <c r="Q1094" i="1"/>
  <c r="R1093" i="1"/>
  <c r="Q1093" i="1"/>
  <c r="R1092" i="1"/>
  <c r="Q1092" i="1"/>
  <c r="R1091" i="1"/>
  <c r="Q1091" i="1"/>
  <c r="R1090" i="1"/>
  <c r="Q1090" i="1"/>
  <c r="R1089" i="1"/>
  <c r="Q1089" i="1"/>
  <c r="R1088" i="1"/>
  <c r="Q1088" i="1"/>
  <c r="R1087" i="1"/>
  <c r="Q1087" i="1"/>
  <c r="R1086" i="1"/>
  <c r="Q1086" i="1"/>
  <c r="R1085" i="1"/>
  <c r="Q1085" i="1"/>
  <c r="R1084" i="1"/>
  <c r="Q1084" i="1"/>
  <c r="R1083" i="1"/>
  <c r="Q1083" i="1"/>
  <c r="R1082" i="1"/>
  <c r="Q1082" i="1"/>
  <c r="R1081" i="1"/>
  <c r="Q1081" i="1"/>
  <c r="R1080" i="1"/>
  <c r="Q1080" i="1"/>
  <c r="R1079" i="1"/>
  <c r="Q1079" i="1"/>
  <c r="R1078" i="1"/>
  <c r="Q1078" i="1"/>
  <c r="R1077" i="1"/>
  <c r="Q1077" i="1"/>
  <c r="R1076" i="1"/>
  <c r="Q1076" i="1"/>
  <c r="R1075" i="1"/>
  <c r="Q1075" i="1"/>
  <c r="R1074" i="1"/>
  <c r="Q1074" i="1"/>
  <c r="R1073" i="1"/>
  <c r="Q1073" i="1"/>
  <c r="R1072" i="1"/>
  <c r="Q1072" i="1"/>
  <c r="R1071" i="1"/>
  <c r="Q1071" i="1"/>
  <c r="R1070" i="1"/>
  <c r="Q1070" i="1"/>
  <c r="R1069" i="1"/>
  <c r="Q1069" i="1"/>
  <c r="R1068" i="1"/>
  <c r="Q1068" i="1"/>
  <c r="R1067" i="1"/>
  <c r="Q1067" i="1"/>
  <c r="R1066" i="1"/>
  <c r="Q1066" i="1"/>
  <c r="R1065" i="1"/>
  <c r="Q1065" i="1"/>
  <c r="R1064" i="1"/>
  <c r="Q1064" i="1"/>
  <c r="R1063" i="1"/>
  <c r="Q1063" i="1"/>
  <c r="R1062" i="1"/>
  <c r="Q1062" i="1"/>
  <c r="R1061" i="1"/>
  <c r="Q1061" i="1"/>
  <c r="R1060" i="1"/>
  <c r="Q1060" i="1"/>
  <c r="R1059" i="1"/>
  <c r="Q1059" i="1"/>
  <c r="R1058" i="1"/>
  <c r="Q1058" i="1"/>
  <c r="R1057" i="1"/>
  <c r="Q1057" i="1"/>
  <c r="R1056" i="1"/>
  <c r="Q1056" i="1"/>
  <c r="R1055" i="1"/>
  <c r="Q1055" i="1"/>
  <c r="R1054" i="1"/>
  <c r="Q1054" i="1"/>
  <c r="R1053" i="1"/>
  <c r="Q1053" i="1"/>
  <c r="R1052" i="1"/>
  <c r="Q1052" i="1"/>
  <c r="R1051" i="1"/>
  <c r="Q1051" i="1"/>
  <c r="R1050" i="1"/>
  <c r="Q1050" i="1"/>
  <c r="R1049" i="1"/>
  <c r="Q1049" i="1"/>
  <c r="R1048" i="1"/>
  <c r="Q1048" i="1"/>
  <c r="R1047" i="1"/>
  <c r="Q1047" i="1"/>
  <c r="R1046" i="1"/>
  <c r="Q1046" i="1"/>
  <c r="R1045" i="1"/>
  <c r="Q1045" i="1"/>
  <c r="R1044" i="1"/>
  <c r="Q1044" i="1"/>
  <c r="R1043" i="1"/>
  <c r="Q1043" i="1"/>
  <c r="R1042" i="1"/>
  <c r="Q1042" i="1"/>
  <c r="R1041" i="1"/>
  <c r="Q1041" i="1"/>
  <c r="R1040" i="1"/>
  <c r="Q1040" i="1"/>
  <c r="R1039" i="1"/>
  <c r="Q1039" i="1"/>
  <c r="R1038" i="1"/>
  <c r="Q1038" i="1"/>
  <c r="R1037" i="1"/>
  <c r="Q1037" i="1"/>
  <c r="R1036" i="1"/>
  <c r="Q1036" i="1"/>
  <c r="R1035" i="1"/>
  <c r="Q1035" i="1"/>
  <c r="R1034" i="1"/>
  <c r="Q1034" i="1"/>
  <c r="R1033" i="1"/>
  <c r="Q1033" i="1"/>
  <c r="R1032" i="1"/>
  <c r="Q1032" i="1"/>
  <c r="R1031" i="1"/>
  <c r="Q1031" i="1"/>
  <c r="R1030" i="1"/>
  <c r="Q1030" i="1"/>
  <c r="R1029" i="1"/>
  <c r="Q1029" i="1"/>
  <c r="R1028" i="1"/>
  <c r="Q1028" i="1"/>
  <c r="R1027" i="1"/>
  <c r="Q1027" i="1"/>
  <c r="R1026" i="1"/>
  <c r="Q1026" i="1"/>
  <c r="R1025" i="1"/>
  <c r="Q1025" i="1"/>
  <c r="R1024" i="1"/>
  <c r="Q1024" i="1"/>
  <c r="R1023" i="1"/>
  <c r="Q1023" i="1"/>
  <c r="R1022" i="1"/>
  <c r="Q1022" i="1"/>
  <c r="R1021" i="1"/>
  <c r="Q1021" i="1"/>
  <c r="R1020" i="1"/>
  <c r="Q1020" i="1"/>
  <c r="R1019" i="1"/>
  <c r="Q1019" i="1"/>
  <c r="R1018" i="1"/>
  <c r="Q1018" i="1"/>
  <c r="R1017" i="1"/>
  <c r="Q1017" i="1"/>
  <c r="R1016" i="1"/>
  <c r="Q1016" i="1"/>
  <c r="R1015" i="1"/>
  <c r="Q1015" i="1"/>
  <c r="R1014" i="1"/>
  <c r="Q1014" i="1"/>
  <c r="R1013" i="1"/>
  <c r="Q1013" i="1"/>
  <c r="R1012" i="1"/>
  <c r="Q1012" i="1"/>
  <c r="R1011" i="1"/>
  <c r="Q1011" i="1"/>
  <c r="R1010" i="1"/>
  <c r="Q1010" i="1"/>
  <c r="R1009" i="1"/>
  <c r="Q1009" i="1"/>
  <c r="R1008" i="1"/>
  <c r="Q1008" i="1"/>
  <c r="R1007" i="1"/>
  <c r="Q1007" i="1"/>
  <c r="R1006" i="1"/>
  <c r="Q1006" i="1"/>
  <c r="R1005" i="1"/>
  <c r="Q1005" i="1"/>
  <c r="R1004" i="1"/>
  <c r="Q1004" i="1"/>
  <c r="R1003" i="1"/>
  <c r="Q1003" i="1"/>
  <c r="R1002" i="1"/>
  <c r="Q1002" i="1"/>
  <c r="R1001" i="1"/>
  <c r="Q1001" i="1"/>
  <c r="R1000" i="1"/>
  <c r="Q1000" i="1"/>
  <c r="R999" i="1"/>
  <c r="Q999" i="1"/>
  <c r="R998" i="1"/>
  <c r="Q998" i="1"/>
  <c r="R997" i="1"/>
  <c r="Q997" i="1"/>
  <c r="R996" i="1"/>
  <c r="Q996" i="1"/>
  <c r="R995" i="1"/>
  <c r="Q995" i="1"/>
  <c r="R994" i="1"/>
  <c r="Q994" i="1"/>
  <c r="R993" i="1"/>
  <c r="Q993" i="1"/>
  <c r="R992" i="1"/>
  <c r="Q992" i="1"/>
  <c r="R991" i="1"/>
  <c r="Q991" i="1"/>
  <c r="R990" i="1"/>
  <c r="Q990" i="1"/>
  <c r="R989" i="1"/>
  <c r="Q989" i="1"/>
  <c r="R988" i="1"/>
  <c r="Q988" i="1"/>
  <c r="R987" i="1"/>
  <c r="Q987" i="1"/>
  <c r="R986" i="1"/>
  <c r="Q986" i="1"/>
  <c r="R985" i="1"/>
  <c r="Q985" i="1"/>
  <c r="R984" i="1"/>
  <c r="Q984" i="1"/>
  <c r="R983" i="1"/>
  <c r="Q983" i="1"/>
  <c r="R982" i="1"/>
  <c r="Q982" i="1"/>
  <c r="R981" i="1"/>
  <c r="Q981" i="1"/>
  <c r="R980" i="1"/>
  <c r="Q980" i="1"/>
  <c r="R979" i="1"/>
  <c r="Q979" i="1"/>
  <c r="R978" i="1"/>
  <c r="Q978" i="1"/>
  <c r="R977" i="1"/>
  <c r="Q977" i="1"/>
  <c r="R976" i="1"/>
  <c r="Q976" i="1"/>
  <c r="R975" i="1"/>
  <c r="Q975" i="1"/>
  <c r="R974" i="1"/>
  <c r="Q974" i="1"/>
  <c r="R973" i="1"/>
  <c r="Q973" i="1"/>
  <c r="R972" i="1"/>
  <c r="Q972" i="1"/>
  <c r="R971" i="1"/>
  <c r="Q971" i="1"/>
  <c r="R970" i="1"/>
  <c r="Q970" i="1"/>
  <c r="R969" i="1"/>
  <c r="Q969" i="1"/>
  <c r="R968" i="1"/>
  <c r="Q968" i="1"/>
  <c r="R967" i="1"/>
  <c r="Q967" i="1"/>
  <c r="R966" i="1"/>
  <c r="Q966" i="1"/>
  <c r="R965" i="1"/>
  <c r="Q965" i="1"/>
  <c r="R964" i="1"/>
  <c r="Q964" i="1"/>
  <c r="R963" i="1"/>
  <c r="Q963" i="1"/>
  <c r="R962" i="1"/>
  <c r="Q962" i="1"/>
  <c r="R961" i="1"/>
  <c r="Q961" i="1"/>
  <c r="R960" i="1"/>
  <c r="Q960" i="1"/>
  <c r="R959" i="1"/>
  <c r="Q959" i="1"/>
  <c r="R958" i="1"/>
  <c r="Q958" i="1"/>
  <c r="R957" i="1"/>
  <c r="Q957" i="1"/>
  <c r="R956" i="1"/>
  <c r="Q956" i="1"/>
  <c r="R955" i="1"/>
  <c r="Q955" i="1"/>
  <c r="R954" i="1"/>
  <c r="Q954" i="1"/>
  <c r="R953" i="1"/>
  <c r="Q953" i="1"/>
  <c r="R952" i="1"/>
  <c r="Q952" i="1"/>
  <c r="R951" i="1"/>
  <c r="Q951" i="1"/>
  <c r="R950" i="1"/>
  <c r="Q950" i="1"/>
  <c r="R949" i="1"/>
  <c r="Q949" i="1"/>
  <c r="R948" i="1"/>
  <c r="Q948" i="1"/>
  <c r="R947" i="1"/>
  <c r="Q947" i="1"/>
  <c r="R946" i="1"/>
  <c r="Q946" i="1"/>
  <c r="R945" i="1"/>
  <c r="Q945" i="1"/>
  <c r="R944" i="1"/>
  <c r="Q944" i="1"/>
  <c r="R943" i="1"/>
  <c r="Q943" i="1"/>
  <c r="R942" i="1"/>
  <c r="Q942" i="1"/>
  <c r="R941" i="1"/>
  <c r="Q941" i="1"/>
  <c r="R940" i="1"/>
  <c r="Q940" i="1"/>
  <c r="R939" i="1"/>
  <c r="Q939" i="1"/>
  <c r="R938" i="1"/>
  <c r="Q938" i="1"/>
  <c r="R937" i="1"/>
  <c r="Q937" i="1"/>
  <c r="R936" i="1"/>
  <c r="Q936" i="1"/>
  <c r="R935" i="1"/>
  <c r="Q935" i="1"/>
  <c r="R934" i="1"/>
  <c r="Q934" i="1"/>
  <c r="R933" i="1"/>
  <c r="Q933" i="1"/>
  <c r="R932" i="1"/>
  <c r="Q932" i="1"/>
  <c r="R931" i="1"/>
  <c r="Q931" i="1"/>
  <c r="R930" i="1"/>
  <c r="Q930" i="1"/>
  <c r="R929" i="1"/>
  <c r="Q929" i="1"/>
  <c r="R928" i="1"/>
  <c r="Q928" i="1"/>
  <c r="R927" i="1"/>
  <c r="Q927" i="1"/>
  <c r="R926" i="1"/>
  <c r="Q926" i="1"/>
  <c r="R925" i="1"/>
  <c r="Q925" i="1"/>
  <c r="R924" i="1"/>
  <c r="Q924" i="1"/>
  <c r="R923" i="1"/>
  <c r="Q923" i="1"/>
  <c r="R922" i="1"/>
  <c r="Q922" i="1"/>
  <c r="R921" i="1"/>
  <c r="Q921" i="1"/>
  <c r="R920" i="1"/>
  <c r="Q920" i="1"/>
  <c r="R919" i="1"/>
  <c r="Q919" i="1"/>
  <c r="R918" i="1"/>
  <c r="Q918" i="1"/>
  <c r="R917" i="1"/>
  <c r="Q917" i="1"/>
  <c r="R916" i="1"/>
  <c r="Q916" i="1"/>
  <c r="R915" i="1"/>
  <c r="Q915" i="1"/>
  <c r="R914" i="1"/>
  <c r="Q914" i="1"/>
  <c r="R913" i="1"/>
  <c r="Q913" i="1"/>
  <c r="R912" i="1"/>
  <c r="Q912" i="1"/>
  <c r="R911" i="1"/>
  <c r="Q911" i="1"/>
  <c r="R910" i="1"/>
  <c r="Q910" i="1"/>
  <c r="R909" i="1"/>
  <c r="Q909" i="1"/>
  <c r="R908" i="1"/>
  <c r="Q908" i="1"/>
  <c r="R907" i="1"/>
  <c r="Q907" i="1"/>
  <c r="R906" i="1"/>
  <c r="Q906" i="1"/>
  <c r="R905" i="1"/>
  <c r="Q905" i="1"/>
  <c r="R904" i="1"/>
  <c r="Q904" i="1"/>
  <c r="R903" i="1"/>
  <c r="Q903" i="1"/>
  <c r="R902" i="1"/>
  <c r="Q902" i="1"/>
  <c r="R901" i="1"/>
  <c r="Q901" i="1"/>
  <c r="R900" i="1"/>
  <c r="Q900" i="1"/>
  <c r="R899" i="1"/>
  <c r="Q899" i="1"/>
  <c r="R898" i="1"/>
  <c r="Q898" i="1"/>
  <c r="R897" i="1"/>
  <c r="Q897" i="1"/>
  <c r="R896" i="1"/>
  <c r="Q896" i="1"/>
  <c r="R895" i="1"/>
  <c r="Q895" i="1"/>
  <c r="R894" i="1"/>
  <c r="Q894" i="1"/>
  <c r="R893" i="1"/>
  <c r="Q893" i="1"/>
  <c r="R892" i="1"/>
  <c r="Q892" i="1"/>
  <c r="R891" i="1"/>
  <c r="Q891" i="1"/>
  <c r="R890" i="1"/>
  <c r="Q890" i="1"/>
  <c r="R889" i="1"/>
  <c r="Q889" i="1"/>
  <c r="R888" i="1"/>
  <c r="Q888" i="1"/>
  <c r="R887" i="1"/>
  <c r="Q887" i="1"/>
  <c r="R886" i="1"/>
  <c r="Q886" i="1"/>
  <c r="R885" i="1"/>
  <c r="Q885" i="1"/>
  <c r="R884" i="1"/>
  <c r="Q884" i="1"/>
  <c r="R883" i="1"/>
  <c r="Q883" i="1"/>
  <c r="R882" i="1"/>
  <c r="Q882" i="1"/>
  <c r="R881" i="1"/>
  <c r="Q881" i="1"/>
  <c r="R880" i="1"/>
  <c r="Q880" i="1"/>
  <c r="R879" i="1"/>
  <c r="Q879" i="1"/>
  <c r="R878" i="1"/>
  <c r="Q878" i="1"/>
  <c r="R877" i="1"/>
  <c r="Q877" i="1"/>
  <c r="R876" i="1"/>
  <c r="Q876" i="1"/>
  <c r="R875" i="1"/>
  <c r="Q875" i="1"/>
  <c r="R874" i="1"/>
  <c r="Q874" i="1"/>
  <c r="R873" i="1"/>
  <c r="Q873" i="1"/>
  <c r="R872" i="1"/>
  <c r="Q872" i="1"/>
  <c r="R871" i="1"/>
  <c r="Q871" i="1"/>
  <c r="R870" i="1"/>
  <c r="Q870" i="1"/>
  <c r="R869" i="1"/>
  <c r="Q869" i="1"/>
  <c r="R868" i="1"/>
  <c r="Q868" i="1"/>
  <c r="R867" i="1"/>
  <c r="Q867" i="1"/>
  <c r="R866" i="1"/>
  <c r="Q866" i="1"/>
  <c r="R865" i="1"/>
  <c r="Q865" i="1"/>
  <c r="R864" i="1"/>
  <c r="Q864" i="1"/>
  <c r="R863" i="1"/>
  <c r="Q863" i="1"/>
  <c r="R862" i="1"/>
  <c r="Q862" i="1"/>
  <c r="R861" i="1"/>
  <c r="Q861" i="1"/>
  <c r="R860" i="1"/>
  <c r="Q860" i="1"/>
  <c r="R859" i="1"/>
  <c r="Q859" i="1"/>
  <c r="R858" i="1"/>
  <c r="Q858" i="1"/>
  <c r="R857" i="1"/>
  <c r="Q857" i="1"/>
  <c r="R856" i="1"/>
  <c r="Q856" i="1"/>
  <c r="R855" i="1"/>
  <c r="Q855" i="1"/>
  <c r="R854" i="1"/>
  <c r="Q854" i="1"/>
  <c r="R853" i="1"/>
  <c r="Q853" i="1"/>
  <c r="R852" i="1"/>
  <c r="Q852" i="1"/>
  <c r="R851" i="1"/>
  <c r="Q851" i="1"/>
  <c r="R850" i="1"/>
  <c r="Q850" i="1"/>
  <c r="R849" i="1"/>
  <c r="Q849" i="1"/>
  <c r="R848" i="1"/>
  <c r="Q848" i="1"/>
  <c r="R847" i="1"/>
  <c r="Q847" i="1"/>
  <c r="R846" i="1"/>
  <c r="Q846" i="1"/>
  <c r="R845" i="1"/>
  <c r="Q845" i="1"/>
  <c r="R844" i="1"/>
  <c r="Q844" i="1"/>
  <c r="R843" i="1"/>
  <c r="Q843" i="1"/>
  <c r="R842" i="1"/>
  <c r="Q842" i="1"/>
  <c r="R841" i="1"/>
  <c r="Q841" i="1"/>
  <c r="R840" i="1"/>
  <c r="Q840" i="1"/>
  <c r="R839" i="1"/>
  <c r="Q839" i="1"/>
  <c r="R838" i="1"/>
  <c r="Q838" i="1"/>
  <c r="R837" i="1"/>
  <c r="Q837" i="1"/>
  <c r="R836" i="1"/>
  <c r="Q836" i="1"/>
  <c r="R835" i="1"/>
  <c r="Q835" i="1"/>
  <c r="R834" i="1"/>
  <c r="Q834" i="1"/>
  <c r="R833" i="1"/>
  <c r="Q833" i="1"/>
  <c r="R832" i="1"/>
  <c r="Q832" i="1"/>
  <c r="R831" i="1"/>
  <c r="Q831" i="1"/>
  <c r="R830" i="1"/>
  <c r="Q830" i="1"/>
  <c r="R829" i="1"/>
  <c r="Q829" i="1"/>
  <c r="R828" i="1"/>
  <c r="Q828" i="1"/>
  <c r="R827" i="1"/>
  <c r="Q827" i="1"/>
  <c r="R826" i="1"/>
  <c r="Q826" i="1"/>
  <c r="R825" i="1"/>
  <c r="Q825" i="1"/>
  <c r="R824" i="1"/>
  <c r="Q824" i="1"/>
  <c r="R823" i="1"/>
  <c r="Q823" i="1"/>
  <c r="R822" i="1"/>
  <c r="Q822" i="1"/>
  <c r="R821" i="1"/>
  <c r="Q821" i="1"/>
  <c r="R820" i="1"/>
  <c r="Q820" i="1"/>
  <c r="R819" i="1"/>
  <c r="Q819" i="1"/>
  <c r="R818" i="1"/>
  <c r="Q818" i="1"/>
  <c r="R817" i="1"/>
  <c r="Q817" i="1"/>
  <c r="R816" i="1"/>
  <c r="Q816" i="1"/>
  <c r="R815" i="1"/>
  <c r="Q815" i="1"/>
  <c r="R814" i="1"/>
  <c r="Q814" i="1"/>
  <c r="R813" i="1"/>
  <c r="Q813" i="1"/>
  <c r="R812" i="1"/>
  <c r="Q812" i="1"/>
  <c r="R811" i="1"/>
  <c r="Q811" i="1"/>
  <c r="R810" i="1"/>
  <c r="Q810" i="1"/>
  <c r="R809" i="1"/>
  <c r="Q809" i="1"/>
  <c r="R808" i="1"/>
  <c r="Q808" i="1"/>
  <c r="R807" i="1"/>
  <c r="Q807" i="1"/>
  <c r="R806" i="1"/>
  <c r="Q806" i="1"/>
  <c r="R805" i="1"/>
  <c r="Q805" i="1"/>
  <c r="R804" i="1"/>
  <c r="Q804" i="1"/>
  <c r="R803" i="1"/>
  <c r="Q803" i="1"/>
  <c r="R802" i="1"/>
  <c r="Q802" i="1"/>
  <c r="R801" i="1"/>
  <c r="Q801" i="1"/>
  <c r="R800" i="1"/>
  <c r="Q800" i="1"/>
  <c r="R799" i="1"/>
  <c r="Q799" i="1"/>
  <c r="R798" i="1"/>
  <c r="Q798" i="1"/>
  <c r="R797" i="1"/>
  <c r="Q797" i="1"/>
  <c r="R796" i="1"/>
  <c r="Q796" i="1"/>
  <c r="R795" i="1"/>
  <c r="Q795" i="1"/>
  <c r="R794" i="1"/>
  <c r="Q794" i="1"/>
  <c r="R793" i="1"/>
  <c r="Q793" i="1"/>
  <c r="R792" i="1"/>
  <c r="Q792" i="1"/>
  <c r="R791" i="1"/>
  <c r="Q791" i="1"/>
  <c r="R790" i="1"/>
  <c r="Q790" i="1"/>
  <c r="R789" i="1"/>
  <c r="Q789" i="1"/>
  <c r="R788" i="1"/>
  <c r="Q788" i="1"/>
  <c r="R787" i="1"/>
  <c r="Q787" i="1"/>
  <c r="R786" i="1"/>
  <c r="Q786" i="1"/>
  <c r="R785" i="1"/>
  <c r="Q785" i="1"/>
  <c r="R784" i="1"/>
  <c r="Q784" i="1"/>
  <c r="R783" i="1"/>
  <c r="Q783" i="1"/>
  <c r="R782" i="1"/>
  <c r="Q782" i="1"/>
  <c r="R781" i="1"/>
  <c r="Q781" i="1"/>
  <c r="R780" i="1"/>
  <c r="Q780" i="1"/>
  <c r="R779" i="1"/>
  <c r="Q779" i="1"/>
  <c r="R778" i="1"/>
  <c r="Q778" i="1"/>
  <c r="R777" i="1"/>
  <c r="Q777" i="1"/>
  <c r="R776" i="1"/>
  <c r="Q776" i="1"/>
  <c r="R775" i="1"/>
  <c r="Q775" i="1"/>
  <c r="R774" i="1"/>
  <c r="Q774" i="1"/>
  <c r="R773" i="1"/>
  <c r="Q773" i="1"/>
  <c r="R772" i="1"/>
  <c r="Q772" i="1"/>
  <c r="R771" i="1"/>
  <c r="Q771" i="1"/>
  <c r="R770" i="1"/>
  <c r="Q770" i="1"/>
  <c r="R769" i="1"/>
  <c r="Q769" i="1"/>
  <c r="R768" i="1"/>
  <c r="Q768" i="1"/>
  <c r="R767" i="1"/>
  <c r="Q767" i="1"/>
  <c r="R766" i="1"/>
  <c r="Q766" i="1"/>
  <c r="R765" i="1"/>
  <c r="Q765" i="1"/>
  <c r="R764" i="1"/>
  <c r="Q764" i="1"/>
  <c r="R763" i="1"/>
  <c r="Q763" i="1"/>
  <c r="R762" i="1"/>
  <c r="Q762" i="1"/>
  <c r="R761" i="1"/>
  <c r="Q761" i="1"/>
  <c r="R760" i="1"/>
  <c r="Q760" i="1"/>
  <c r="R759" i="1"/>
  <c r="Q759" i="1"/>
  <c r="R758" i="1"/>
  <c r="Q758" i="1"/>
  <c r="R757" i="1"/>
  <c r="Q757" i="1"/>
  <c r="R756" i="1"/>
  <c r="Q756" i="1"/>
  <c r="R755" i="1"/>
  <c r="Q755" i="1"/>
  <c r="R754" i="1"/>
  <c r="Q754" i="1"/>
  <c r="R753" i="1"/>
  <c r="Q753" i="1"/>
  <c r="R752" i="1"/>
  <c r="Q752" i="1"/>
  <c r="R751" i="1"/>
  <c r="Q751" i="1"/>
  <c r="R750" i="1"/>
  <c r="Q750" i="1"/>
  <c r="R749" i="1"/>
  <c r="Q749" i="1"/>
  <c r="R748" i="1"/>
  <c r="Q748" i="1"/>
  <c r="R747" i="1"/>
  <c r="Q747" i="1"/>
  <c r="R746" i="1"/>
  <c r="Q746" i="1"/>
  <c r="R745" i="1"/>
  <c r="Q745" i="1"/>
  <c r="R744" i="1"/>
  <c r="Q744" i="1"/>
  <c r="R743" i="1"/>
  <c r="Q743" i="1"/>
  <c r="R742" i="1"/>
  <c r="Q742" i="1"/>
  <c r="R741" i="1"/>
  <c r="Q741" i="1"/>
  <c r="R740" i="1"/>
  <c r="Q740" i="1"/>
  <c r="R739" i="1"/>
  <c r="Q739" i="1"/>
  <c r="R738" i="1"/>
  <c r="Q738" i="1"/>
  <c r="R737" i="1"/>
  <c r="Q737" i="1"/>
  <c r="R736" i="1"/>
  <c r="Q736" i="1"/>
  <c r="R735" i="1"/>
  <c r="Q735" i="1"/>
  <c r="R734" i="1"/>
  <c r="Q734" i="1"/>
  <c r="R733" i="1"/>
  <c r="Q733" i="1"/>
  <c r="R732" i="1"/>
  <c r="Q732" i="1"/>
  <c r="R731" i="1"/>
  <c r="Q731" i="1"/>
  <c r="R730" i="1"/>
  <c r="Q730" i="1"/>
  <c r="R729" i="1"/>
  <c r="Q729" i="1"/>
  <c r="R728" i="1"/>
  <c r="Q728" i="1"/>
  <c r="R727" i="1"/>
  <c r="Q727" i="1"/>
  <c r="R726" i="1"/>
  <c r="Q726" i="1"/>
  <c r="R725" i="1"/>
  <c r="Q725" i="1"/>
  <c r="R724" i="1"/>
  <c r="Q724" i="1"/>
  <c r="R723" i="1"/>
  <c r="Q723" i="1"/>
  <c r="R722" i="1"/>
  <c r="Q722" i="1"/>
  <c r="R721" i="1"/>
  <c r="Q721" i="1"/>
  <c r="R720" i="1"/>
  <c r="Q720" i="1"/>
  <c r="R719" i="1"/>
  <c r="Q719" i="1"/>
  <c r="R718" i="1"/>
  <c r="Q718" i="1"/>
  <c r="R717" i="1"/>
  <c r="Q717" i="1"/>
  <c r="R716" i="1"/>
  <c r="Q716" i="1"/>
  <c r="R715" i="1"/>
  <c r="Q715" i="1"/>
  <c r="R714" i="1"/>
  <c r="Q714" i="1"/>
  <c r="R713" i="1"/>
  <c r="Q713" i="1"/>
  <c r="R712" i="1"/>
  <c r="Q712" i="1"/>
  <c r="R711" i="1"/>
  <c r="Q711" i="1"/>
  <c r="R710" i="1"/>
  <c r="Q710" i="1"/>
  <c r="R709" i="1"/>
  <c r="Q709" i="1"/>
  <c r="R708" i="1"/>
  <c r="Q708" i="1"/>
  <c r="R707" i="1"/>
  <c r="Q707" i="1"/>
  <c r="R706" i="1"/>
  <c r="Q706" i="1"/>
  <c r="R705" i="1"/>
  <c r="Q705" i="1"/>
  <c r="R704" i="1"/>
  <c r="Q704" i="1"/>
  <c r="R703" i="1"/>
  <c r="Q703" i="1"/>
  <c r="R702" i="1"/>
  <c r="Q702" i="1"/>
  <c r="R701" i="1"/>
  <c r="Q701" i="1"/>
  <c r="R700" i="1"/>
  <c r="Q700" i="1"/>
  <c r="R699" i="1"/>
  <c r="Q699" i="1"/>
  <c r="R698" i="1"/>
  <c r="Q698" i="1"/>
  <c r="R697" i="1"/>
  <c r="Q697" i="1"/>
  <c r="R696" i="1"/>
  <c r="Q696" i="1"/>
  <c r="R695" i="1"/>
  <c r="Q695" i="1"/>
  <c r="R694" i="1"/>
  <c r="Q694" i="1"/>
  <c r="R693" i="1"/>
  <c r="Q693" i="1"/>
  <c r="R692" i="1"/>
  <c r="Q692" i="1"/>
  <c r="R691" i="1"/>
  <c r="Q691" i="1"/>
  <c r="R690" i="1"/>
  <c r="Q690" i="1"/>
  <c r="R689" i="1"/>
  <c r="Q689" i="1"/>
  <c r="R688" i="1"/>
  <c r="Q688" i="1"/>
  <c r="R687" i="1"/>
  <c r="Q687" i="1"/>
  <c r="R686" i="1"/>
  <c r="Q686" i="1"/>
  <c r="R685" i="1"/>
  <c r="Q685" i="1"/>
  <c r="R684" i="1"/>
  <c r="Q684" i="1"/>
  <c r="R683" i="1"/>
  <c r="Q683" i="1"/>
  <c r="R682" i="1"/>
  <c r="Q682" i="1"/>
  <c r="R681" i="1"/>
  <c r="Q681" i="1"/>
  <c r="R680" i="1"/>
  <c r="Q680" i="1"/>
  <c r="R679" i="1"/>
  <c r="Q679" i="1"/>
  <c r="R678" i="1"/>
  <c r="Q678" i="1"/>
  <c r="R677" i="1"/>
  <c r="Q677" i="1"/>
  <c r="R676" i="1"/>
  <c r="Q676" i="1"/>
  <c r="R675" i="1"/>
  <c r="Q675" i="1"/>
  <c r="R674" i="1"/>
  <c r="Q674" i="1"/>
  <c r="R673" i="1"/>
  <c r="Q673" i="1"/>
  <c r="R672" i="1"/>
  <c r="Q672" i="1"/>
  <c r="R671" i="1"/>
  <c r="Q671" i="1"/>
  <c r="R670" i="1"/>
  <c r="Q670" i="1"/>
  <c r="R669" i="1"/>
  <c r="Q669" i="1"/>
  <c r="R668" i="1"/>
  <c r="Q668" i="1"/>
  <c r="R667" i="1"/>
  <c r="Q667" i="1"/>
  <c r="R666" i="1"/>
  <c r="Q666" i="1"/>
  <c r="R665" i="1"/>
  <c r="Q665" i="1"/>
  <c r="R664" i="1"/>
  <c r="Q664" i="1"/>
  <c r="R663" i="1"/>
  <c r="Q663" i="1"/>
  <c r="R662" i="1"/>
  <c r="Q662" i="1"/>
  <c r="R661" i="1"/>
  <c r="Q661" i="1"/>
  <c r="R660" i="1"/>
  <c r="Q660" i="1"/>
  <c r="R659" i="1"/>
  <c r="Q659" i="1"/>
  <c r="R658" i="1"/>
  <c r="Q658" i="1"/>
  <c r="R657" i="1"/>
  <c r="Q657" i="1"/>
  <c r="R656" i="1"/>
  <c r="Q656" i="1"/>
  <c r="R655" i="1"/>
  <c r="Q655" i="1"/>
  <c r="R654" i="1"/>
  <c r="Q654" i="1"/>
  <c r="R653" i="1"/>
  <c r="Q653" i="1"/>
  <c r="R652" i="1"/>
  <c r="Q652" i="1"/>
  <c r="R651" i="1"/>
  <c r="Q651" i="1"/>
  <c r="R650" i="1"/>
  <c r="Q650" i="1"/>
  <c r="R649" i="1"/>
  <c r="Q649" i="1"/>
  <c r="R648" i="1"/>
  <c r="Q648" i="1"/>
  <c r="R647" i="1"/>
  <c r="Q647" i="1"/>
  <c r="R646" i="1"/>
  <c r="Q646" i="1"/>
  <c r="R645" i="1"/>
  <c r="Q645" i="1"/>
  <c r="R644" i="1"/>
  <c r="Q644" i="1"/>
  <c r="R643" i="1"/>
  <c r="Q643" i="1"/>
  <c r="R642" i="1"/>
  <c r="Q642" i="1"/>
  <c r="R641" i="1"/>
  <c r="Q641" i="1"/>
  <c r="R640" i="1"/>
  <c r="Q640" i="1"/>
  <c r="R639" i="1"/>
  <c r="Q639" i="1"/>
  <c r="R638" i="1"/>
  <c r="Q638" i="1"/>
  <c r="R637" i="1"/>
  <c r="Q637" i="1"/>
  <c r="R636" i="1"/>
  <c r="Q636" i="1"/>
  <c r="R635" i="1"/>
  <c r="Q635" i="1"/>
  <c r="R634" i="1"/>
  <c r="Q634" i="1"/>
  <c r="R633" i="1"/>
  <c r="Q633" i="1"/>
  <c r="R632" i="1"/>
  <c r="Q632" i="1"/>
  <c r="R631" i="1"/>
  <c r="Q631" i="1"/>
  <c r="R630" i="1"/>
  <c r="Q630" i="1"/>
  <c r="R629" i="1"/>
  <c r="Q629" i="1"/>
  <c r="R628" i="1"/>
  <c r="Q628" i="1"/>
  <c r="R627" i="1"/>
  <c r="Q627" i="1"/>
  <c r="R626" i="1"/>
  <c r="Q626" i="1"/>
  <c r="R625" i="1"/>
  <c r="Q625" i="1"/>
  <c r="R624" i="1"/>
  <c r="Q624" i="1"/>
  <c r="R623" i="1"/>
  <c r="Q623" i="1"/>
  <c r="R622" i="1"/>
  <c r="Q622" i="1"/>
  <c r="R621" i="1"/>
  <c r="Q621" i="1"/>
  <c r="R620" i="1"/>
  <c r="Q620" i="1"/>
  <c r="R619" i="1"/>
  <c r="Q619" i="1"/>
  <c r="R618" i="1"/>
  <c r="Q618" i="1"/>
  <c r="R617" i="1"/>
  <c r="Q617" i="1"/>
  <c r="R616" i="1"/>
  <c r="Q616" i="1"/>
  <c r="R615" i="1"/>
  <c r="Q615" i="1"/>
  <c r="R614" i="1"/>
  <c r="Q614" i="1"/>
  <c r="R613" i="1"/>
  <c r="Q613" i="1"/>
  <c r="R612" i="1"/>
  <c r="Q612" i="1"/>
  <c r="R611" i="1"/>
  <c r="Q611" i="1"/>
  <c r="R610" i="1"/>
  <c r="Q610" i="1"/>
  <c r="R609" i="1"/>
  <c r="Q609" i="1"/>
  <c r="R608" i="1"/>
  <c r="Q608" i="1"/>
  <c r="R607" i="1"/>
  <c r="Q607" i="1"/>
  <c r="R606" i="1"/>
  <c r="Q606" i="1"/>
  <c r="R605" i="1"/>
  <c r="Q605" i="1"/>
  <c r="R604" i="1"/>
  <c r="Q604" i="1"/>
  <c r="R603" i="1"/>
  <c r="Q603" i="1"/>
  <c r="R602" i="1"/>
  <c r="Q602" i="1"/>
  <c r="R601" i="1"/>
  <c r="Q601" i="1"/>
  <c r="R600" i="1"/>
  <c r="Q600" i="1"/>
  <c r="R599" i="1"/>
  <c r="Q599" i="1"/>
  <c r="R598" i="1"/>
  <c r="Q598" i="1"/>
  <c r="R597" i="1"/>
  <c r="Q597" i="1"/>
  <c r="R596" i="1"/>
  <c r="Q596" i="1"/>
  <c r="R595" i="1"/>
  <c r="Q595" i="1"/>
  <c r="R594" i="1"/>
  <c r="Q594" i="1"/>
  <c r="R593" i="1"/>
  <c r="Q593" i="1"/>
  <c r="R592" i="1"/>
  <c r="Q592" i="1"/>
  <c r="R591" i="1"/>
  <c r="Q591" i="1"/>
  <c r="R590" i="1"/>
  <c r="Q590" i="1"/>
  <c r="R589" i="1"/>
  <c r="Q589" i="1"/>
  <c r="R588" i="1"/>
  <c r="Q588" i="1"/>
  <c r="R587" i="1"/>
  <c r="Q587" i="1"/>
  <c r="R586" i="1"/>
  <c r="Q586" i="1"/>
  <c r="R585" i="1"/>
  <c r="Q585" i="1"/>
  <c r="R584" i="1"/>
  <c r="Q584" i="1"/>
  <c r="R583" i="1"/>
  <c r="Q583" i="1"/>
  <c r="R582" i="1"/>
  <c r="Q582" i="1"/>
  <c r="R581" i="1"/>
  <c r="Q581" i="1"/>
  <c r="R580" i="1"/>
  <c r="Q580" i="1"/>
  <c r="R579" i="1"/>
  <c r="Q579" i="1"/>
  <c r="R578" i="1"/>
  <c r="Q578" i="1"/>
  <c r="R577" i="1"/>
  <c r="Q577" i="1"/>
  <c r="R576" i="1"/>
  <c r="Q576" i="1"/>
  <c r="R575" i="1"/>
  <c r="Q575" i="1"/>
  <c r="R574" i="1"/>
  <c r="Q574" i="1"/>
  <c r="R573" i="1"/>
  <c r="Q573" i="1"/>
  <c r="R572" i="1"/>
  <c r="Q572" i="1"/>
  <c r="R571" i="1"/>
  <c r="Q571" i="1"/>
  <c r="R570" i="1"/>
  <c r="Q570" i="1"/>
  <c r="R569" i="1"/>
  <c r="Q569" i="1"/>
  <c r="R568" i="1"/>
  <c r="Q568" i="1"/>
  <c r="R567" i="1"/>
  <c r="Q567" i="1"/>
  <c r="R566" i="1"/>
  <c r="Q566" i="1"/>
  <c r="R565" i="1"/>
  <c r="Q565" i="1"/>
  <c r="R564" i="1"/>
  <c r="Q564" i="1"/>
  <c r="R563" i="1"/>
  <c r="Q563" i="1"/>
  <c r="R562" i="1"/>
  <c r="Q562" i="1"/>
  <c r="R561" i="1"/>
  <c r="Q561" i="1"/>
  <c r="R560" i="1"/>
  <c r="Q560" i="1"/>
  <c r="R559" i="1"/>
  <c r="Q559" i="1"/>
  <c r="R558" i="1"/>
  <c r="Q558" i="1"/>
  <c r="R557" i="1"/>
  <c r="Q557" i="1"/>
  <c r="R556" i="1"/>
  <c r="Q556" i="1"/>
  <c r="R555" i="1"/>
  <c r="Q555" i="1"/>
  <c r="R554" i="1"/>
  <c r="Q554" i="1"/>
  <c r="R553" i="1"/>
  <c r="Q553" i="1"/>
  <c r="R552" i="1"/>
  <c r="Q552" i="1"/>
  <c r="R551" i="1"/>
  <c r="Q551" i="1"/>
  <c r="R550" i="1"/>
  <c r="Q550" i="1"/>
  <c r="R549" i="1"/>
  <c r="Q549" i="1"/>
  <c r="R548" i="1"/>
  <c r="Q548" i="1"/>
  <c r="R547" i="1"/>
  <c r="Q547" i="1"/>
  <c r="R546" i="1"/>
  <c r="Q546" i="1"/>
  <c r="R545" i="1"/>
  <c r="Q545" i="1"/>
  <c r="R544" i="1"/>
  <c r="Q544" i="1"/>
  <c r="R543" i="1"/>
  <c r="Q543" i="1"/>
  <c r="R542" i="1"/>
  <c r="Q542" i="1"/>
  <c r="R541" i="1"/>
  <c r="Q541" i="1"/>
  <c r="R540" i="1"/>
  <c r="Q540" i="1"/>
  <c r="R539" i="1"/>
  <c r="Q539" i="1"/>
  <c r="R538" i="1"/>
  <c r="Q538" i="1"/>
  <c r="R537" i="1"/>
  <c r="Q537" i="1"/>
  <c r="R536" i="1"/>
  <c r="Q536" i="1"/>
  <c r="R535" i="1"/>
  <c r="Q535" i="1"/>
  <c r="R534" i="1"/>
  <c r="Q534" i="1"/>
  <c r="R533" i="1"/>
  <c r="Q533" i="1"/>
  <c r="R532" i="1"/>
  <c r="Q532" i="1"/>
  <c r="R531" i="1"/>
  <c r="Q531" i="1"/>
  <c r="R530" i="1"/>
  <c r="Q530" i="1"/>
  <c r="R529" i="1"/>
  <c r="Q529" i="1"/>
  <c r="R528" i="1"/>
  <c r="Q528" i="1"/>
  <c r="R527" i="1"/>
  <c r="Q527" i="1"/>
  <c r="R526" i="1"/>
  <c r="Q526" i="1"/>
  <c r="R525" i="1"/>
  <c r="Q525" i="1"/>
  <c r="R524" i="1"/>
  <c r="Q524" i="1"/>
  <c r="R523" i="1"/>
  <c r="Q523" i="1"/>
  <c r="R522" i="1"/>
  <c r="Q522" i="1"/>
  <c r="R521" i="1"/>
  <c r="Q521" i="1"/>
  <c r="R520" i="1"/>
  <c r="Q520" i="1"/>
  <c r="R519" i="1"/>
  <c r="Q519" i="1"/>
  <c r="R518" i="1"/>
  <c r="Q518" i="1"/>
  <c r="R517" i="1"/>
  <c r="Q517" i="1"/>
  <c r="R516" i="1"/>
  <c r="Q516" i="1"/>
  <c r="R515" i="1"/>
  <c r="Q515" i="1"/>
  <c r="R514" i="1"/>
  <c r="Q514" i="1"/>
  <c r="R513" i="1"/>
  <c r="Q513" i="1"/>
  <c r="R512" i="1"/>
  <c r="Q512" i="1"/>
  <c r="R511" i="1"/>
  <c r="Q511" i="1"/>
  <c r="R510" i="1"/>
  <c r="Q510" i="1"/>
  <c r="R509" i="1"/>
  <c r="Q509" i="1"/>
  <c r="R508" i="1"/>
  <c r="Q508" i="1"/>
  <c r="R507" i="1"/>
  <c r="Q507" i="1"/>
  <c r="R506" i="1"/>
  <c r="Q506" i="1"/>
  <c r="R505" i="1"/>
  <c r="Q505" i="1"/>
  <c r="R504" i="1"/>
  <c r="Q504" i="1"/>
  <c r="R503" i="1"/>
  <c r="Q503" i="1"/>
  <c r="R502" i="1"/>
  <c r="Q502" i="1"/>
  <c r="R501" i="1"/>
  <c r="Q501" i="1"/>
  <c r="R500" i="1"/>
  <c r="Q500" i="1"/>
  <c r="R499" i="1"/>
  <c r="Q499" i="1"/>
  <c r="R498" i="1"/>
  <c r="Q498" i="1"/>
  <c r="R497" i="1"/>
  <c r="Q497" i="1"/>
  <c r="R496" i="1"/>
  <c r="Q496" i="1"/>
  <c r="R495" i="1"/>
  <c r="Q495" i="1"/>
  <c r="R494" i="1"/>
  <c r="Q494" i="1"/>
  <c r="R493" i="1"/>
  <c r="Q493" i="1"/>
  <c r="R492" i="1"/>
  <c r="Q492" i="1"/>
  <c r="R491" i="1"/>
  <c r="Q491" i="1"/>
  <c r="R490" i="1"/>
  <c r="Q490" i="1"/>
  <c r="R489" i="1"/>
  <c r="Q489" i="1"/>
  <c r="R488" i="1"/>
  <c r="Q488" i="1"/>
  <c r="R487" i="1"/>
  <c r="Q487" i="1"/>
  <c r="R486" i="1"/>
  <c r="Q486" i="1"/>
  <c r="R485" i="1"/>
  <c r="Q485" i="1"/>
  <c r="R484" i="1"/>
  <c r="Q484" i="1"/>
  <c r="R483" i="1"/>
  <c r="Q483" i="1"/>
  <c r="R482" i="1"/>
  <c r="Q482" i="1"/>
  <c r="R481" i="1"/>
  <c r="Q481" i="1"/>
  <c r="R480" i="1"/>
  <c r="Q480" i="1"/>
  <c r="R479" i="1"/>
  <c r="Q479" i="1"/>
  <c r="R478" i="1"/>
  <c r="Q478" i="1"/>
  <c r="R477" i="1"/>
  <c r="Q477" i="1"/>
  <c r="R476" i="1"/>
  <c r="Q476" i="1"/>
  <c r="R475" i="1"/>
  <c r="Q475" i="1"/>
  <c r="R474" i="1"/>
  <c r="Q474" i="1"/>
  <c r="R473" i="1"/>
  <c r="Q473" i="1"/>
  <c r="R472" i="1"/>
  <c r="Q472" i="1"/>
  <c r="R471" i="1"/>
  <c r="Q471" i="1"/>
  <c r="R470" i="1"/>
  <c r="Q470" i="1"/>
  <c r="R469" i="1"/>
  <c r="Q469" i="1"/>
  <c r="R468" i="1"/>
  <c r="Q468" i="1"/>
  <c r="R467" i="1"/>
  <c r="Q467" i="1"/>
  <c r="R466" i="1"/>
  <c r="Q466" i="1"/>
  <c r="R465" i="1"/>
  <c r="Q465" i="1"/>
  <c r="R464" i="1"/>
  <c r="Q464" i="1"/>
  <c r="R463" i="1"/>
  <c r="Q463" i="1"/>
  <c r="R462" i="1"/>
  <c r="Q462" i="1"/>
  <c r="R461" i="1"/>
  <c r="Q461" i="1"/>
  <c r="R460" i="1"/>
  <c r="Q460" i="1"/>
  <c r="R459" i="1"/>
  <c r="Q459" i="1"/>
  <c r="R458" i="1"/>
  <c r="Q458" i="1"/>
  <c r="R457" i="1"/>
  <c r="Q457" i="1"/>
  <c r="R456" i="1"/>
  <c r="Q456" i="1"/>
  <c r="R455" i="1"/>
  <c r="Q455" i="1"/>
  <c r="R454" i="1"/>
  <c r="Q454" i="1"/>
  <c r="R453" i="1"/>
  <c r="Q453" i="1"/>
  <c r="R452" i="1"/>
  <c r="Q452" i="1"/>
  <c r="R451" i="1"/>
  <c r="Q451" i="1"/>
  <c r="R450" i="1"/>
  <c r="Q450" i="1"/>
  <c r="R449" i="1"/>
  <c r="Q449" i="1"/>
  <c r="R448" i="1"/>
  <c r="Q448" i="1"/>
  <c r="R447" i="1"/>
  <c r="Q447" i="1"/>
  <c r="R446" i="1"/>
  <c r="Q446" i="1"/>
  <c r="R445" i="1"/>
  <c r="Q445" i="1"/>
  <c r="R444" i="1"/>
  <c r="Q444" i="1"/>
  <c r="R443" i="1"/>
  <c r="Q443" i="1"/>
  <c r="R442" i="1"/>
  <c r="Q442" i="1"/>
  <c r="R441" i="1"/>
  <c r="Q441" i="1"/>
  <c r="R440" i="1"/>
  <c r="Q440" i="1"/>
  <c r="R439" i="1"/>
  <c r="Q439" i="1"/>
  <c r="R438" i="1"/>
  <c r="Q438" i="1"/>
  <c r="R437" i="1"/>
  <c r="Q437" i="1"/>
  <c r="R436" i="1"/>
  <c r="Q436" i="1"/>
  <c r="R435" i="1"/>
  <c r="Q435" i="1"/>
  <c r="R434" i="1"/>
  <c r="Q434" i="1"/>
  <c r="R433" i="1"/>
  <c r="Q433" i="1"/>
  <c r="R432" i="1"/>
  <c r="Q432" i="1"/>
  <c r="R431" i="1"/>
  <c r="Q431" i="1"/>
  <c r="R430" i="1"/>
  <c r="Q430" i="1"/>
  <c r="R429" i="1"/>
  <c r="Q429" i="1"/>
  <c r="R428" i="1"/>
  <c r="Q428" i="1"/>
  <c r="R427" i="1"/>
  <c r="Q427" i="1"/>
  <c r="R426" i="1"/>
  <c r="Q426" i="1"/>
  <c r="R425" i="1"/>
  <c r="Q425" i="1"/>
  <c r="R424" i="1"/>
  <c r="Q424" i="1"/>
  <c r="R423" i="1"/>
  <c r="Q423" i="1"/>
  <c r="R422" i="1"/>
  <c r="Q422" i="1"/>
  <c r="R421" i="1"/>
  <c r="Q421" i="1"/>
  <c r="R420" i="1"/>
  <c r="Q420" i="1"/>
  <c r="R419" i="1"/>
  <c r="Q419" i="1"/>
  <c r="R418" i="1"/>
  <c r="Q418" i="1"/>
  <c r="R417" i="1"/>
  <c r="Q417" i="1"/>
  <c r="R416" i="1"/>
  <c r="Q416" i="1"/>
  <c r="R415" i="1"/>
  <c r="Q415" i="1"/>
  <c r="R414" i="1"/>
  <c r="Q414" i="1"/>
  <c r="R413" i="1"/>
  <c r="Q413" i="1"/>
  <c r="R412" i="1"/>
  <c r="Q412" i="1"/>
  <c r="R411" i="1"/>
  <c r="Q411" i="1"/>
  <c r="R410" i="1"/>
  <c r="Q410" i="1"/>
  <c r="R409" i="1"/>
  <c r="Q409" i="1"/>
  <c r="R408" i="1"/>
  <c r="Q408" i="1"/>
  <c r="R407" i="1"/>
  <c r="Q407" i="1"/>
  <c r="R406" i="1"/>
  <c r="Q406" i="1"/>
  <c r="R405" i="1"/>
  <c r="Q405" i="1"/>
  <c r="R404" i="1"/>
  <c r="Q404" i="1"/>
  <c r="R403" i="1"/>
  <c r="Q403" i="1"/>
  <c r="R402" i="1"/>
  <c r="Q402" i="1"/>
  <c r="R401" i="1"/>
  <c r="Q401" i="1"/>
  <c r="R400" i="1"/>
  <c r="Q400" i="1"/>
  <c r="R399" i="1"/>
  <c r="Q399" i="1"/>
  <c r="R398" i="1"/>
  <c r="Q398" i="1"/>
  <c r="R397" i="1"/>
  <c r="Q397" i="1"/>
  <c r="R396" i="1"/>
  <c r="Q396" i="1"/>
  <c r="R395" i="1"/>
  <c r="Q395" i="1"/>
  <c r="R394" i="1"/>
  <c r="Q394" i="1"/>
  <c r="R393" i="1"/>
  <c r="Q393" i="1"/>
  <c r="R392" i="1"/>
  <c r="Q392" i="1"/>
  <c r="R391" i="1"/>
  <c r="Q391" i="1"/>
  <c r="R390" i="1"/>
  <c r="Q390" i="1"/>
  <c r="R389" i="1"/>
  <c r="Q389" i="1"/>
  <c r="R388" i="1"/>
  <c r="Q388" i="1"/>
  <c r="R387" i="1"/>
  <c r="Q387" i="1"/>
  <c r="R386" i="1"/>
  <c r="Q386" i="1"/>
  <c r="R385" i="1"/>
  <c r="Q385" i="1"/>
  <c r="R384" i="1"/>
  <c r="Q384" i="1"/>
  <c r="R383" i="1"/>
  <c r="Q383" i="1"/>
  <c r="R382" i="1"/>
  <c r="Q382" i="1"/>
  <c r="R381" i="1"/>
  <c r="Q381" i="1"/>
  <c r="R380" i="1"/>
  <c r="Q380" i="1"/>
  <c r="R379" i="1"/>
  <c r="Q379" i="1"/>
  <c r="R378" i="1"/>
  <c r="Q378" i="1"/>
  <c r="R377" i="1"/>
  <c r="Q377" i="1"/>
  <c r="R376" i="1"/>
  <c r="Q376" i="1"/>
  <c r="R375" i="1"/>
  <c r="Q375" i="1"/>
  <c r="R374" i="1"/>
  <c r="Q374" i="1"/>
  <c r="R373" i="1"/>
  <c r="Q373" i="1"/>
  <c r="R372" i="1"/>
  <c r="Q372" i="1"/>
  <c r="R371" i="1"/>
  <c r="Q371" i="1"/>
  <c r="R370" i="1"/>
  <c r="Q370" i="1"/>
  <c r="R369" i="1"/>
  <c r="Q369" i="1"/>
  <c r="R368" i="1"/>
  <c r="Q368" i="1"/>
  <c r="R367" i="1"/>
  <c r="Q367" i="1"/>
  <c r="R366" i="1"/>
  <c r="Q366" i="1"/>
  <c r="R365" i="1"/>
  <c r="Q365" i="1"/>
  <c r="R364" i="1"/>
  <c r="Q364" i="1"/>
  <c r="R363" i="1"/>
  <c r="Q363" i="1"/>
  <c r="R362" i="1"/>
  <c r="Q362" i="1"/>
  <c r="R361" i="1"/>
  <c r="Q361" i="1"/>
  <c r="R360" i="1"/>
  <c r="Q360" i="1"/>
  <c r="R359" i="1"/>
  <c r="Q359" i="1"/>
  <c r="R358" i="1"/>
  <c r="Q358" i="1"/>
  <c r="R357" i="1"/>
  <c r="Q357" i="1"/>
  <c r="R356" i="1"/>
  <c r="Q356" i="1"/>
  <c r="R355" i="1"/>
  <c r="Q355" i="1"/>
  <c r="R354" i="1"/>
  <c r="Q354" i="1"/>
  <c r="R353" i="1"/>
  <c r="Q353" i="1"/>
  <c r="R352" i="1"/>
  <c r="Q352" i="1"/>
  <c r="R351" i="1"/>
  <c r="Q351" i="1"/>
  <c r="R350" i="1"/>
  <c r="Q350" i="1"/>
  <c r="R349" i="1"/>
  <c r="Q349" i="1"/>
  <c r="R348" i="1"/>
  <c r="Q348" i="1"/>
  <c r="R347" i="1"/>
  <c r="Q347" i="1"/>
  <c r="R346" i="1"/>
  <c r="Q346" i="1"/>
  <c r="R345" i="1"/>
  <c r="Q345" i="1"/>
  <c r="R344" i="1"/>
  <c r="Q344" i="1"/>
  <c r="R343" i="1"/>
  <c r="Q343" i="1"/>
  <c r="R342" i="1"/>
  <c r="Q342" i="1"/>
  <c r="R341" i="1"/>
  <c r="Q341" i="1"/>
  <c r="R340" i="1"/>
  <c r="Q340" i="1"/>
  <c r="R339" i="1"/>
  <c r="Q339" i="1"/>
  <c r="R338" i="1"/>
  <c r="Q338" i="1"/>
  <c r="R337" i="1"/>
  <c r="Q337" i="1"/>
  <c r="R336" i="1"/>
  <c r="Q336" i="1"/>
  <c r="R335" i="1"/>
  <c r="Q335" i="1"/>
  <c r="R334" i="1"/>
  <c r="Q334" i="1"/>
  <c r="R333" i="1"/>
  <c r="Q333" i="1"/>
  <c r="R332" i="1"/>
  <c r="Q332" i="1"/>
  <c r="R331" i="1"/>
  <c r="Q331" i="1"/>
  <c r="R330" i="1"/>
  <c r="Q330" i="1"/>
  <c r="R329" i="1"/>
  <c r="Q329" i="1"/>
  <c r="R328" i="1"/>
  <c r="Q328" i="1"/>
  <c r="R327" i="1"/>
  <c r="Q327" i="1"/>
  <c r="R326" i="1"/>
  <c r="Q326" i="1"/>
  <c r="R325" i="1"/>
  <c r="Q325" i="1"/>
  <c r="R324" i="1"/>
  <c r="Q324" i="1"/>
  <c r="R323" i="1"/>
  <c r="Q323" i="1"/>
  <c r="R322" i="1"/>
  <c r="Q322" i="1"/>
  <c r="R321" i="1"/>
  <c r="Q321" i="1"/>
  <c r="R320" i="1"/>
  <c r="Q320" i="1"/>
  <c r="R319" i="1"/>
  <c r="Q319" i="1"/>
  <c r="R318" i="1"/>
  <c r="Q318" i="1"/>
  <c r="R317" i="1"/>
  <c r="Q317" i="1"/>
  <c r="R316" i="1"/>
  <c r="Q316" i="1"/>
  <c r="R315" i="1"/>
  <c r="Q315" i="1"/>
  <c r="R314" i="1"/>
  <c r="Q314" i="1"/>
  <c r="R313" i="1"/>
  <c r="Q313" i="1"/>
  <c r="R312" i="1"/>
  <c r="Q312" i="1"/>
  <c r="R311" i="1"/>
  <c r="Q311" i="1"/>
  <c r="R310" i="1"/>
  <c r="Q310" i="1"/>
  <c r="R309" i="1"/>
  <c r="Q309" i="1"/>
  <c r="R308" i="1"/>
  <c r="Q308" i="1"/>
  <c r="R307" i="1"/>
  <c r="Q307" i="1"/>
  <c r="R306" i="1"/>
  <c r="Q306" i="1"/>
  <c r="R305" i="1"/>
  <c r="Q305" i="1"/>
  <c r="R304" i="1"/>
  <c r="Q304" i="1"/>
  <c r="R303" i="1"/>
  <c r="Q303" i="1"/>
  <c r="R302" i="1"/>
  <c r="Q302" i="1"/>
  <c r="R301" i="1"/>
  <c r="Q301" i="1"/>
  <c r="R300" i="1"/>
  <c r="Q300" i="1"/>
  <c r="R299" i="1"/>
  <c r="Q299" i="1"/>
  <c r="R298" i="1"/>
  <c r="Q298" i="1"/>
  <c r="R297" i="1"/>
  <c r="Q297" i="1"/>
  <c r="R296" i="1"/>
  <c r="Q296" i="1"/>
  <c r="R295" i="1"/>
  <c r="Q295" i="1"/>
  <c r="R294" i="1"/>
  <c r="Q294" i="1"/>
  <c r="R293" i="1"/>
  <c r="Q293" i="1"/>
  <c r="R292" i="1"/>
  <c r="Q292" i="1"/>
  <c r="R291" i="1"/>
  <c r="Q291" i="1"/>
  <c r="R290" i="1"/>
  <c r="Q290" i="1"/>
  <c r="R289" i="1"/>
  <c r="Q289" i="1"/>
  <c r="R288" i="1"/>
  <c r="Q288" i="1"/>
  <c r="R287" i="1"/>
  <c r="Q287" i="1"/>
  <c r="R286" i="1"/>
  <c r="Q286" i="1"/>
  <c r="R285" i="1"/>
  <c r="Q285" i="1"/>
  <c r="R284" i="1"/>
  <c r="Q284" i="1"/>
  <c r="R283" i="1"/>
  <c r="Q283" i="1"/>
  <c r="R282" i="1"/>
  <c r="Q282" i="1"/>
  <c r="R281" i="1"/>
  <c r="Q281" i="1"/>
  <c r="R280" i="1"/>
  <c r="Q280" i="1"/>
  <c r="R279" i="1"/>
  <c r="Q279" i="1"/>
  <c r="R278" i="1"/>
  <c r="Q278" i="1"/>
  <c r="R277" i="1"/>
  <c r="Q277" i="1"/>
  <c r="R276" i="1"/>
  <c r="Q276" i="1"/>
  <c r="R275" i="1"/>
  <c r="Q275" i="1"/>
  <c r="R274" i="1"/>
  <c r="Q274" i="1"/>
  <c r="R273" i="1"/>
  <c r="Q273" i="1"/>
  <c r="R272" i="1"/>
  <c r="Q272" i="1"/>
  <c r="R271" i="1"/>
  <c r="Q271" i="1"/>
  <c r="R270" i="1"/>
  <c r="Q270" i="1"/>
  <c r="R269" i="1"/>
  <c r="Q269" i="1"/>
  <c r="R268" i="1"/>
  <c r="Q268" i="1"/>
  <c r="R267" i="1"/>
  <c r="Q267" i="1"/>
  <c r="R266" i="1"/>
  <c r="Q266" i="1"/>
  <c r="R265" i="1"/>
  <c r="Q265" i="1"/>
  <c r="R264" i="1"/>
  <c r="Q264" i="1"/>
  <c r="R263" i="1"/>
  <c r="Q263" i="1"/>
  <c r="R262" i="1"/>
  <c r="Q262" i="1"/>
  <c r="R261" i="1"/>
  <c r="Q261" i="1"/>
  <c r="R260" i="1"/>
  <c r="Q260" i="1"/>
  <c r="R259" i="1"/>
  <c r="Q259" i="1"/>
  <c r="R258" i="1"/>
  <c r="Q258" i="1"/>
  <c r="R257" i="1"/>
  <c r="Q257" i="1"/>
  <c r="R256" i="1"/>
  <c r="Q256" i="1"/>
  <c r="R255" i="1"/>
  <c r="Q255" i="1"/>
  <c r="R254" i="1"/>
  <c r="Q254" i="1"/>
  <c r="R253" i="1"/>
  <c r="Q253" i="1"/>
  <c r="R252" i="1"/>
  <c r="Q252" i="1"/>
  <c r="R251" i="1"/>
  <c r="Q251" i="1"/>
  <c r="R250" i="1"/>
  <c r="Q250" i="1"/>
  <c r="R249" i="1"/>
  <c r="Q249" i="1"/>
  <c r="R248" i="1"/>
  <c r="Q248" i="1"/>
  <c r="R247" i="1"/>
  <c r="Q247" i="1"/>
  <c r="R246" i="1"/>
  <c r="Q246" i="1"/>
  <c r="R245" i="1"/>
  <c r="Q245" i="1"/>
  <c r="R244" i="1"/>
  <c r="Q244" i="1"/>
  <c r="R243" i="1"/>
  <c r="Q243" i="1"/>
  <c r="R242" i="1"/>
  <c r="Q242" i="1"/>
  <c r="R241" i="1"/>
  <c r="Q241" i="1"/>
  <c r="R240" i="1"/>
  <c r="Q240" i="1"/>
  <c r="R239" i="1"/>
  <c r="Q239" i="1"/>
  <c r="R238" i="1"/>
  <c r="Q238" i="1"/>
  <c r="R237" i="1"/>
  <c r="Q237" i="1"/>
  <c r="R236" i="1"/>
  <c r="Q236" i="1"/>
  <c r="R235" i="1"/>
  <c r="Q235" i="1"/>
  <c r="R234" i="1"/>
  <c r="Q234" i="1"/>
  <c r="R233" i="1"/>
  <c r="Q233" i="1"/>
  <c r="R232" i="1"/>
  <c r="Q232" i="1"/>
  <c r="R231" i="1"/>
  <c r="Q231" i="1"/>
  <c r="R230" i="1"/>
  <c r="Q230" i="1"/>
  <c r="R229" i="1"/>
  <c r="Q229" i="1"/>
  <c r="R228" i="1"/>
  <c r="Q228" i="1"/>
  <c r="R227" i="1"/>
  <c r="Q227" i="1"/>
  <c r="R226" i="1"/>
  <c r="Q226" i="1"/>
  <c r="R225" i="1"/>
  <c r="Q225" i="1"/>
  <c r="R224" i="1"/>
  <c r="Q224" i="1"/>
  <c r="R223" i="1"/>
  <c r="Q223" i="1"/>
  <c r="R222" i="1"/>
  <c r="Q222" i="1"/>
  <c r="R221" i="1"/>
  <c r="Q221" i="1"/>
  <c r="R220" i="1"/>
  <c r="Q220" i="1"/>
  <c r="R219" i="1"/>
  <c r="Q219" i="1"/>
  <c r="R218" i="1"/>
  <c r="Q218" i="1"/>
  <c r="R217" i="1"/>
  <c r="Q217" i="1"/>
  <c r="R216" i="1"/>
  <c r="Q216" i="1"/>
  <c r="R215" i="1"/>
  <c r="Q215" i="1"/>
  <c r="R214" i="1"/>
  <c r="Q214" i="1"/>
  <c r="R213" i="1"/>
  <c r="Q213" i="1"/>
  <c r="R212" i="1"/>
  <c r="Q212" i="1"/>
  <c r="R211" i="1"/>
  <c r="Q211" i="1"/>
  <c r="R210" i="1"/>
  <c r="Q210" i="1"/>
  <c r="R209" i="1"/>
  <c r="Q209" i="1"/>
  <c r="R208" i="1"/>
  <c r="Q208" i="1"/>
  <c r="R207" i="1"/>
  <c r="Q207" i="1"/>
  <c r="R206" i="1"/>
  <c r="Q206" i="1"/>
  <c r="R205" i="1"/>
  <c r="Q205" i="1"/>
  <c r="R204" i="1"/>
  <c r="Q204" i="1"/>
  <c r="R203" i="1"/>
  <c r="Q203" i="1"/>
  <c r="R202" i="1"/>
  <c r="Q202" i="1"/>
  <c r="R201" i="1"/>
  <c r="Q201" i="1"/>
  <c r="R200" i="1"/>
  <c r="Q200" i="1"/>
  <c r="R199" i="1"/>
  <c r="Q199" i="1"/>
  <c r="R198" i="1"/>
  <c r="Q198" i="1"/>
  <c r="R197" i="1"/>
  <c r="Q197" i="1"/>
  <c r="R196" i="1"/>
  <c r="Q196" i="1"/>
  <c r="R195" i="1"/>
  <c r="Q195" i="1"/>
  <c r="R194" i="1"/>
  <c r="Q194" i="1"/>
  <c r="R193" i="1"/>
  <c r="Q193" i="1"/>
  <c r="R192" i="1"/>
  <c r="Q192" i="1"/>
  <c r="R191" i="1"/>
  <c r="Q191" i="1"/>
  <c r="R190" i="1"/>
  <c r="Q190" i="1"/>
  <c r="R189" i="1"/>
  <c r="Q189" i="1"/>
  <c r="R188" i="1"/>
  <c r="Q188" i="1"/>
  <c r="R187" i="1"/>
  <c r="Q187" i="1"/>
  <c r="R186" i="1"/>
  <c r="Q186" i="1"/>
  <c r="R185" i="1"/>
  <c r="Q185" i="1"/>
  <c r="R184" i="1"/>
  <c r="Q184" i="1"/>
  <c r="R183" i="1"/>
  <c r="Q183" i="1"/>
  <c r="R182" i="1"/>
  <c r="Q182" i="1"/>
  <c r="R181" i="1"/>
  <c r="Q181" i="1"/>
  <c r="R180" i="1"/>
  <c r="Q180" i="1"/>
  <c r="R179" i="1"/>
  <c r="Q179" i="1"/>
  <c r="R178" i="1"/>
  <c r="Q178" i="1"/>
  <c r="R177" i="1"/>
  <c r="Q177" i="1"/>
  <c r="R176" i="1"/>
  <c r="Q176" i="1"/>
  <c r="R175" i="1"/>
  <c r="Q175" i="1"/>
  <c r="R174" i="1"/>
  <c r="Q174" i="1"/>
  <c r="R173" i="1"/>
  <c r="Q173" i="1"/>
  <c r="R172" i="1"/>
  <c r="Q172" i="1"/>
  <c r="R171" i="1"/>
  <c r="Q171" i="1"/>
  <c r="R170" i="1"/>
  <c r="Q170" i="1"/>
  <c r="R169" i="1"/>
  <c r="Q169" i="1"/>
  <c r="R168" i="1"/>
  <c r="Q168" i="1"/>
  <c r="R167" i="1"/>
  <c r="Q167" i="1"/>
  <c r="R166" i="1"/>
  <c r="Q166" i="1"/>
  <c r="R165" i="1"/>
  <c r="Q165" i="1"/>
  <c r="R164" i="1"/>
  <c r="Q164" i="1"/>
  <c r="R163" i="1"/>
  <c r="Q163" i="1"/>
  <c r="R162" i="1"/>
  <c r="Q162" i="1"/>
  <c r="R161" i="1"/>
  <c r="Q161" i="1"/>
  <c r="R160" i="1"/>
  <c r="Q160" i="1"/>
  <c r="R159" i="1"/>
  <c r="Q159" i="1"/>
  <c r="R158" i="1"/>
  <c r="Q158" i="1"/>
  <c r="R157" i="1"/>
  <c r="Q157" i="1"/>
  <c r="R156" i="1"/>
  <c r="Q156" i="1"/>
  <c r="R155" i="1"/>
  <c r="Q155" i="1"/>
  <c r="R154" i="1"/>
  <c r="Q154" i="1"/>
  <c r="R153" i="1"/>
  <c r="Q153" i="1"/>
  <c r="R152" i="1"/>
  <c r="Q152" i="1"/>
  <c r="R151" i="1"/>
  <c r="Q151" i="1"/>
  <c r="R150" i="1"/>
  <c r="Q150" i="1"/>
  <c r="R149" i="1"/>
  <c r="Q149" i="1"/>
  <c r="R148" i="1"/>
  <c r="Q148" i="1"/>
  <c r="R147" i="1"/>
  <c r="Q147" i="1"/>
  <c r="R146" i="1"/>
  <c r="Q146" i="1"/>
  <c r="R145" i="1"/>
  <c r="Q145" i="1"/>
  <c r="R144" i="1"/>
  <c r="Q144" i="1"/>
  <c r="R143" i="1"/>
  <c r="Q143" i="1"/>
  <c r="R142" i="1"/>
  <c r="Q142" i="1"/>
  <c r="R141" i="1"/>
  <c r="Q141" i="1"/>
  <c r="R140" i="1"/>
  <c r="Q140" i="1"/>
  <c r="R139" i="1"/>
  <c r="Q139" i="1"/>
  <c r="R138" i="1"/>
  <c r="Q138" i="1"/>
  <c r="R137" i="1"/>
  <c r="Q137" i="1"/>
  <c r="R136" i="1"/>
  <c r="Q136" i="1"/>
  <c r="R135" i="1"/>
  <c r="Q135" i="1"/>
  <c r="R134" i="1"/>
  <c r="Q134" i="1"/>
  <c r="R133" i="1"/>
  <c r="Q133" i="1"/>
  <c r="R132" i="1"/>
  <c r="Q132" i="1"/>
  <c r="R131" i="1"/>
  <c r="Q131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 l="1"/>
  <c r="Q8" i="1"/>
  <c r="R7" i="1"/>
  <c r="Q7" i="1"/>
  <c r="W4" i="1" l="1"/>
  <c r="AE4" i="1" s="1"/>
  <c r="Z4" i="1"/>
  <c r="AH4" i="1" s="1"/>
  <c r="Y4" i="1"/>
  <c r="AC4" i="1" s="1"/>
  <c r="Q6" i="1"/>
  <c r="Q5" i="1"/>
  <c r="X4" i="1"/>
  <c r="AF4" i="1" s="1"/>
  <c r="U4" i="1"/>
  <c r="V4" i="1" s="1"/>
  <c r="Q4" i="1"/>
  <c r="AD4" i="1" l="1"/>
  <c r="AA4" i="1"/>
  <c r="AG4" i="1"/>
  <c r="AB4" i="1"/>
  <c r="I28" i="5" l="1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D28" i="5" l="1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R4" i="1" l="1"/>
  <c r="R5" i="1"/>
  <c r="R6" i="1"/>
  <c r="S5" i="1" l="1"/>
  <c r="T5" i="1" s="1"/>
  <c r="U5" i="1" l="1"/>
  <c r="V5" i="1" s="1"/>
  <c r="S6" i="1"/>
  <c r="X5" i="1"/>
  <c r="W5" i="1"/>
  <c r="Y5" i="1"/>
  <c r="Z5" i="1"/>
  <c r="S7" i="1" l="1"/>
  <c r="T7" i="1" s="1"/>
  <c r="T6" i="1"/>
  <c r="AA5" i="1"/>
  <c r="AE5" i="1"/>
  <c r="AF5" i="1"/>
  <c r="AB5" i="1"/>
  <c r="AH5" i="1"/>
  <c r="AD5" i="1"/>
  <c r="W6" i="1"/>
  <c r="Z6" i="1"/>
  <c r="X6" i="1"/>
  <c r="Y6" i="1"/>
  <c r="U6" i="1"/>
  <c r="V6" i="1" s="1"/>
  <c r="AC5" i="1"/>
  <c r="AG5" i="1"/>
  <c r="Z7" i="1" l="1"/>
  <c r="W7" i="1"/>
  <c r="AE7" i="1" s="1"/>
  <c r="X7" i="1"/>
  <c r="AB7" i="1" s="1"/>
  <c r="Y7" i="1"/>
  <c r="AG7" i="1" s="1"/>
  <c r="S8" i="1"/>
  <c r="U8" i="1" s="1"/>
  <c r="V8" i="1" s="1"/>
  <c r="U7" i="1"/>
  <c r="V7" i="1" s="1"/>
  <c r="AA7" i="1"/>
  <c r="AH7" i="1"/>
  <c r="AD7" i="1"/>
  <c r="AH6" i="1"/>
  <c r="AD6" i="1"/>
  <c r="AC6" i="1"/>
  <c r="AG6" i="1"/>
  <c r="AE6" i="1"/>
  <c r="AA6" i="1"/>
  <c r="AF6" i="1"/>
  <c r="AB6" i="1"/>
  <c r="AC7" i="1" l="1"/>
  <c r="X8" i="1"/>
  <c r="AF8" i="1" s="1"/>
  <c r="W8" i="1"/>
  <c r="AA8" i="1" s="1"/>
  <c r="AF7" i="1"/>
  <c r="Z8" i="1"/>
  <c r="AD8" i="1" s="1"/>
  <c r="Y8" i="1"/>
  <c r="AG8" i="1" s="1"/>
  <c r="S9" i="1"/>
  <c r="T8" i="1"/>
  <c r="AE8" i="1" l="1"/>
  <c r="AB8" i="1"/>
  <c r="AH8" i="1"/>
  <c r="AC8" i="1"/>
  <c r="T9" i="1"/>
  <c r="Z9" i="1"/>
  <c r="S10" i="1"/>
  <c r="X9" i="1"/>
  <c r="U9" i="1"/>
  <c r="V9" i="1" s="1"/>
  <c r="W9" i="1"/>
  <c r="Y9" i="1"/>
  <c r="AC9" i="1" l="1"/>
  <c r="AG9" i="1"/>
  <c r="T10" i="1"/>
  <c r="Z10" i="1"/>
  <c r="X10" i="1"/>
  <c r="S11" i="1"/>
  <c r="W10" i="1"/>
  <c r="Y10" i="1"/>
  <c r="U10" i="1"/>
  <c r="V10" i="1" s="1"/>
  <c r="AF9" i="1"/>
  <c r="AB9" i="1"/>
  <c r="AE9" i="1"/>
  <c r="AA9" i="1"/>
  <c r="AH9" i="1"/>
  <c r="AD9" i="1"/>
  <c r="AD10" i="1" l="1"/>
  <c r="AH10" i="1"/>
  <c r="AA10" i="1"/>
  <c r="AE10" i="1"/>
  <c r="AC10" i="1"/>
  <c r="AG10" i="1"/>
  <c r="T11" i="1"/>
  <c r="X11" i="1"/>
  <c r="U11" i="1"/>
  <c r="V11" i="1" s="1"/>
  <c r="S12" i="1"/>
  <c r="W11" i="1"/>
  <c r="Z11" i="1"/>
  <c r="Y11" i="1"/>
  <c r="AF10" i="1"/>
  <c r="AB10" i="1"/>
  <c r="AA11" i="1" l="1"/>
  <c r="AE11" i="1"/>
  <c r="AF11" i="1"/>
  <c r="AB11" i="1"/>
  <c r="T12" i="1"/>
  <c r="Z12" i="1"/>
  <c r="X12" i="1"/>
  <c r="W12" i="1"/>
  <c r="U12" i="1"/>
  <c r="V12" i="1" s="1"/>
  <c r="S13" i="1"/>
  <c r="Y12" i="1"/>
  <c r="AD11" i="1"/>
  <c r="AH11" i="1"/>
  <c r="AC11" i="1"/>
  <c r="AG11" i="1"/>
  <c r="AA12" i="1" l="1"/>
  <c r="AE12" i="1"/>
  <c r="AC12" i="1"/>
  <c r="AG12" i="1"/>
  <c r="T13" i="1"/>
  <c r="Z13" i="1"/>
  <c r="W13" i="1"/>
  <c r="U13" i="1"/>
  <c r="V13" i="1" s="1"/>
  <c r="S14" i="1"/>
  <c r="X13" i="1"/>
  <c r="Y13" i="1"/>
  <c r="AH12" i="1"/>
  <c r="AD12" i="1"/>
  <c r="AB12" i="1"/>
  <c r="AF12" i="1"/>
  <c r="AC13" i="1" l="1"/>
  <c r="AG13" i="1"/>
  <c r="AA13" i="1"/>
  <c r="AE13" i="1"/>
  <c r="AB13" i="1"/>
  <c r="AF13" i="1"/>
  <c r="AD13" i="1"/>
  <c r="AH13" i="1"/>
  <c r="T14" i="1"/>
  <c r="Z14" i="1"/>
  <c r="X14" i="1"/>
  <c r="W14" i="1"/>
  <c r="U14" i="1"/>
  <c r="V14" i="1" s="1"/>
  <c r="S15" i="1"/>
  <c r="Y14" i="1"/>
  <c r="AA14" i="1" l="1"/>
  <c r="AE14" i="1"/>
  <c r="AG14" i="1"/>
  <c r="AC14" i="1"/>
  <c r="AF14" i="1"/>
  <c r="AB14" i="1"/>
  <c r="T15" i="1"/>
  <c r="Y15" i="1"/>
  <c r="Z15" i="1"/>
  <c r="U15" i="1"/>
  <c r="V15" i="1" s="1"/>
  <c r="S16" i="1"/>
  <c r="W15" i="1"/>
  <c r="X15" i="1"/>
  <c r="AD14" i="1"/>
  <c r="AH14" i="1"/>
  <c r="AC15" i="1" l="1"/>
  <c r="AG15" i="1"/>
  <c r="T16" i="1"/>
  <c r="Z16" i="1"/>
  <c r="X16" i="1"/>
  <c r="S17" i="1"/>
  <c r="Y16" i="1"/>
  <c r="W16" i="1"/>
  <c r="U16" i="1"/>
  <c r="V16" i="1" s="1"/>
  <c r="AA15" i="1"/>
  <c r="AE15" i="1"/>
  <c r="AF15" i="1"/>
  <c r="AB15" i="1"/>
  <c r="AD15" i="1"/>
  <c r="AH15" i="1"/>
  <c r="AD16" i="1" l="1"/>
  <c r="AH16" i="1"/>
  <c r="AC16" i="1"/>
  <c r="AG16" i="1"/>
  <c r="AA16" i="1"/>
  <c r="AE16" i="1"/>
  <c r="T17" i="1"/>
  <c r="X17" i="1"/>
  <c r="S18" i="1"/>
  <c r="W17" i="1"/>
  <c r="Z17" i="1"/>
  <c r="U17" i="1"/>
  <c r="V17" i="1" s="1"/>
  <c r="Y17" i="1"/>
  <c r="AF16" i="1"/>
  <c r="AB16" i="1"/>
  <c r="AB17" i="1" l="1"/>
  <c r="AF17" i="1"/>
  <c r="AD17" i="1"/>
  <c r="AH17" i="1"/>
  <c r="AE17" i="1"/>
  <c r="AA17" i="1"/>
  <c r="AG17" i="1"/>
  <c r="AC17" i="1"/>
  <c r="T18" i="1"/>
  <c r="Z18" i="1"/>
  <c r="X18" i="1"/>
  <c r="U18" i="1"/>
  <c r="V18" i="1" s="1"/>
  <c r="S19" i="1"/>
  <c r="Y18" i="1"/>
  <c r="W18" i="1"/>
  <c r="AB18" i="1" l="1"/>
  <c r="AF18" i="1"/>
  <c r="AA18" i="1"/>
  <c r="AE18" i="1"/>
  <c r="AC18" i="1"/>
  <c r="AG18" i="1"/>
  <c r="AH18" i="1"/>
  <c r="AD18" i="1"/>
  <c r="T19" i="1"/>
  <c r="X19" i="1"/>
  <c r="U19" i="1"/>
  <c r="V19" i="1" s="1"/>
  <c r="S20" i="1"/>
  <c r="W19" i="1"/>
  <c r="Z19" i="1"/>
  <c r="Y19" i="1"/>
  <c r="AG19" i="1" l="1"/>
  <c r="AC19" i="1"/>
  <c r="AD19" i="1"/>
  <c r="AH19" i="1"/>
  <c r="AB19" i="1"/>
  <c r="AF19" i="1"/>
  <c r="T20" i="1"/>
  <c r="Z20" i="1"/>
  <c r="X20" i="1"/>
  <c r="S21" i="1"/>
  <c r="Y20" i="1"/>
  <c r="W20" i="1"/>
  <c r="U20" i="1"/>
  <c r="V20" i="1" s="1"/>
  <c r="AE19" i="1"/>
  <c r="AA19" i="1"/>
  <c r="AH20" i="1" l="1"/>
  <c r="AD20" i="1"/>
  <c r="AG20" i="1"/>
  <c r="AC20" i="1"/>
  <c r="AA20" i="1"/>
  <c r="AE20" i="1"/>
  <c r="T21" i="1"/>
  <c r="Y21" i="1"/>
  <c r="Z21" i="1"/>
  <c r="U21" i="1"/>
  <c r="V21" i="1" s="1"/>
  <c r="X21" i="1"/>
  <c r="S22" i="1"/>
  <c r="W21" i="1"/>
  <c r="AB20" i="1"/>
  <c r="AF20" i="1"/>
  <c r="AF21" i="1" l="1"/>
  <c r="AB21" i="1"/>
  <c r="T22" i="1"/>
  <c r="Z22" i="1"/>
  <c r="X22" i="1"/>
  <c r="S23" i="1"/>
  <c r="W22" i="1"/>
  <c r="Y22" i="1"/>
  <c r="U22" i="1"/>
  <c r="V22" i="1" s="1"/>
  <c r="AC21" i="1"/>
  <c r="AG21" i="1"/>
  <c r="AE21" i="1"/>
  <c r="AA21" i="1"/>
  <c r="AH21" i="1"/>
  <c r="AD21" i="1"/>
  <c r="AA22" i="1" l="1"/>
  <c r="AE22" i="1"/>
  <c r="T23" i="1"/>
  <c r="X23" i="1"/>
  <c r="S24" i="1"/>
  <c r="W23" i="1"/>
  <c r="Y23" i="1"/>
  <c r="Z23" i="1"/>
  <c r="U23" i="1"/>
  <c r="V23" i="1" s="1"/>
  <c r="AC22" i="1"/>
  <c r="AG22" i="1"/>
  <c r="AH22" i="1"/>
  <c r="AD22" i="1"/>
  <c r="AB22" i="1"/>
  <c r="AF22" i="1"/>
  <c r="AC23" i="1" l="1"/>
  <c r="AG23" i="1"/>
  <c r="AB23" i="1"/>
  <c r="AF23" i="1"/>
  <c r="AE23" i="1"/>
  <c r="AA23" i="1"/>
  <c r="AD23" i="1"/>
  <c r="AH23" i="1"/>
  <c r="T24" i="1"/>
  <c r="Y24" i="1"/>
  <c r="W24" i="1"/>
  <c r="U24" i="1"/>
  <c r="V24" i="1" s="1"/>
  <c r="Z24" i="1"/>
  <c r="X24" i="1"/>
  <c r="S25" i="1"/>
  <c r="AA24" i="1" l="1"/>
  <c r="AE24" i="1"/>
  <c r="T25" i="1"/>
  <c r="Y25" i="1"/>
  <c r="Z25" i="1"/>
  <c r="X25" i="1"/>
  <c r="U25" i="1"/>
  <c r="V25" i="1" s="1"/>
  <c r="S26" i="1"/>
  <c r="W25" i="1"/>
  <c r="AB24" i="1"/>
  <c r="AF24" i="1"/>
  <c r="AG24" i="1"/>
  <c r="AC24" i="1"/>
  <c r="AH24" i="1"/>
  <c r="AD24" i="1"/>
  <c r="AB25" i="1" l="1"/>
  <c r="AF25" i="1"/>
  <c r="T26" i="1"/>
  <c r="Z26" i="1"/>
  <c r="X26" i="1"/>
  <c r="Y26" i="1"/>
  <c r="S27" i="1"/>
  <c r="W26" i="1"/>
  <c r="U26" i="1"/>
  <c r="V26" i="1" s="1"/>
  <c r="AC25" i="1"/>
  <c r="AG25" i="1"/>
  <c r="AA25" i="1"/>
  <c r="AE25" i="1"/>
  <c r="AH25" i="1"/>
  <c r="AD25" i="1"/>
  <c r="AA26" i="1" l="1"/>
  <c r="AE26" i="1"/>
  <c r="AC26" i="1"/>
  <c r="AG26" i="1"/>
  <c r="AH26" i="1"/>
  <c r="AD26" i="1"/>
  <c r="T27" i="1"/>
  <c r="X27" i="1"/>
  <c r="S28" i="1"/>
  <c r="Y27" i="1"/>
  <c r="Z27" i="1"/>
  <c r="W27" i="1"/>
  <c r="U27" i="1"/>
  <c r="V27" i="1" s="1"/>
  <c r="AB26" i="1"/>
  <c r="AF26" i="1"/>
  <c r="AA27" i="1" l="1"/>
  <c r="AE27" i="1"/>
  <c r="AD27" i="1"/>
  <c r="AH27" i="1"/>
  <c r="AB27" i="1"/>
  <c r="AF27" i="1"/>
  <c r="AC27" i="1"/>
  <c r="AG27" i="1"/>
  <c r="T28" i="1"/>
  <c r="X28" i="1"/>
  <c r="Y28" i="1"/>
  <c r="S29" i="1"/>
  <c r="Z28" i="1"/>
  <c r="U28" i="1"/>
  <c r="V28" i="1" s="1"/>
  <c r="W28" i="1"/>
  <c r="AE28" i="1" l="1"/>
  <c r="AA28" i="1"/>
  <c r="AC28" i="1"/>
  <c r="AG28" i="1"/>
  <c r="T29" i="1"/>
  <c r="U29" i="1"/>
  <c r="V29" i="1" s="1"/>
  <c r="Z29" i="1"/>
  <c r="X29" i="1"/>
  <c r="Y29" i="1"/>
  <c r="W29" i="1"/>
  <c r="S30" i="1"/>
  <c r="AF28" i="1"/>
  <c r="AB28" i="1"/>
  <c r="AD28" i="1"/>
  <c r="AH28" i="1"/>
  <c r="T30" i="1" l="1"/>
  <c r="X30" i="1"/>
  <c r="Y30" i="1"/>
  <c r="W30" i="1"/>
  <c r="S31" i="1"/>
  <c r="Z30" i="1"/>
  <c r="U30" i="1"/>
  <c r="V30" i="1" s="1"/>
  <c r="AH29" i="1"/>
  <c r="AD29" i="1"/>
  <c r="AF29" i="1"/>
  <c r="AB29" i="1"/>
  <c r="AA29" i="1"/>
  <c r="AE29" i="1"/>
  <c r="AC29" i="1"/>
  <c r="AG29" i="1"/>
  <c r="AC30" i="1" l="1"/>
  <c r="AG30" i="1"/>
  <c r="AE30" i="1"/>
  <c r="AA30" i="1"/>
  <c r="AD30" i="1"/>
  <c r="AH30" i="1"/>
  <c r="AF30" i="1"/>
  <c r="AB30" i="1"/>
  <c r="T31" i="1"/>
  <c r="U31" i="1"/>
  <c r="V31" i="1" s="1"/>
  <c r="X31" i="1"/>
  <c r="Y31" i="1"/>
  <c r="S32" i="1"/>
  <c r="W31" i="1"/>
  <c r="Z31" i="1"/>
  <c r="AG31" i="1" l="1"/>
  <c r="AC31" i="1"/>
  <c r="AH31" i="1"/>
  <c r="AD31" i="1"/>
  <c r="AB31" i="1"/>
  <c r="AF31" i="1"/>
  <c r="AA31" i="1"/>
  <c r="AE31" i="1"/>
  <c r="T32" i="1"/>
  <c r="X32" i="1"/>
  <c r="Y32" i="1"/>
  <c r="W32" i="1"/>
  <c r="S33" i="1"/>
  <c r="U32" i="1"/>
  <c r="V32" i="1" s="1"/>
  <c r="Z32" i="1"/>
  <c r="AA32" i="1" l="1"/>
  <c r="AE32" i="1"/>
  <c r="AD32" i="1"/>
  <c r="AH32" i="1"/>
  <c r="AG32" i="1"/>
  <c r="AC32" i="1"/>
  <c r="AB32" i="1"/>
  <c r="AF32" i="1"/>
  <c r="T33" i="1"/>
  <c r="S34" i="1"/>
  <c r="W33" i="1"/>
  <c r="Z33" i="1"/>
  <c r="U33" i="1"/>
  <c r="V33" i="1" s="1"/>
  <c r="X33" i="1"/>
  <c r="Y33" i="1"/>
  <c r="AD33" i="1" l="1"/>
  <c r="AH33" i="1"/>
  <c r="AC33" i="1"/>
  <c r="AG33" i="1"/>
  <c r="AE33" i="1"/>
  <c r="AA33" i="1"/>
  <c r="T34" i="1"/>
  <c r="S35" i="1"/>
  <c r="Z34" i="1"/>
  <c r="U34" i="1"/>
  <c r="V34" i="1" s="1"/>
  <c r="W34" i="1"/>
  <c r="X34" i="1"/>
  <c r="Y34" i="1"/>
  <c r="AB33" i="1"/>
  <c r="AF33" i="1"/>
  <c r="AE34" i="1" l="1"/>
  <c r="AA34" i="1"/>
  <c r="T35" i="1"/>
  <c r="S36" i="1"/>
  <c r="W35" i="1"/>
  <c r="U35" i="1"/>
  <c r="V35" i="1" s="1"/>
  <c r="Y35" i="1"/>
  <c r="Z35" i="1"/>
  <c r="X35" i="1"/>
  <c r="AF34" i="1"/>
  <c r="AB34" i="1"/>
  <c r="AC34" i="1"/>
  <c r="AG34" i="1"/>
  <c r="AH34" i="1"/>
  <c r="AD34" i="1"/>
  <c r="AD35" i="1" l="1"/>
  <c r="AH35" i="1"/>
  <c r="AC35" i="1"/>
  <c r="AG35" i="1"/>
  <c r="T36" i="1"/>
  <c r="S37" i="1"/>
  <c r="Z36" i="1"/>
  <c r="U36" i="1"/>
  <c r="V36" i="1" s="1"/>
  <c r="X36" i="1"/>
  <c r="Y36" i="1"/>
  <c r="W36" i="1"/>
  <c r="AB35" i="1"/>
  <c r="AF35" i="1"/>
  <c r="AE35" i="1"/>
  <c r="AA35" i="1"/>
  <c r="AE36" i="1" l="1"/>
  <c r="AA36" i="1"/>
  <c r="AD36" i="1"/>
  <c r="AH36" i="1"/>
  <c r="AG36" i="1"/>
  <c r="AC36" i="1"/>
  <c r="T37" i="1"/>
  <c r="U37" i="1"/>
  <c r="V37" i="1" s="1"/>
  <c r="X37" i="1"/>
  <c r="Y37" i="1"/>
  <c r="W37" i="1"/>
  <c r="S38" i="1"/>
  <c r="Z37" i="1"/>
  <c r="AB36" i="1"/>
  <c r="AF36" i="1"/>
  <c r="AB37" i="1" l="1"/>
  <c r="AF37" i="1"/>
  <c r="T38" i="1"/>
  <c r="X38" i="1"/>
  <c r="Y38" i="1"/>
  <c r="U38" i="1"/>
  <c r="V38" i="1" s="1"/>
  <c r="W38" i="1"/>
  <c r="Z38" i="1"/>
  <c r="S39" i="1"/>
  <c r="AA37" i="1"/>
  <c r="AE37" i="1"/>
  <c r="AH37" i="1"/>
  <c r="AD37" i="1"/>
  <c r="AG37" i="1"/>
  <c r="AC37" i="1"/>
  <c r="AD38" i="1" l="1"/>
  <c r="AH38" i="1"/>
  <c r="AA38" i="1"/>
  <c r="AE38" i="1"/>
  <c r="AB38" i="1"/>
  <c r="AF38" i="1"/>
  <c r="T39" i="1"/>
  <c r="X39" i="1"/>
  <c r="Y39" i="1"/>
  <c r="S40" i="1"/>
  <c r="W39" i="1"/>
  <c r="Z39" i="1"/>
  <c r="U39" i="1"/>
  <c r="V39" i="1" s="1"/>
  <c r="AC38" i="1"/>
  <c r="AG38" i="1"/>
  <c r="AH39" i="1" l="1"/>
  <c r="AD39" i="1"/>
  <c r="AE39" i="1"/>
  <c r="AA39" i="1"/>
  <c r="AB39" i="1"/>
  <c r="AF39" i="1"/>
  <c r="T40" i="1"/>
  <c r="S41" i="1"/>
  <c r="Z40" i="1"/>
  <c r="U40" i="1"/>
  <c r="V40" i="1" s="1"/>
  <c r="X40" i="1"/>
  <c r="Y40" i="1"/>
  <c r="W40" i="1"/>
  <c r="AG39" i="1"/>
  <c r="AC39" i="1"/>
  <c r="AG40" i="1" l="1"/>
  <c r="AC40" i="1"/>
  <c r="AF40" i="1"/>
  <c r="AB40" i="1"/>
  <c r="T41" i="1"/>
  <c r="U41" i="1"/>
  <c r="V41" i="1" s="1"/>
  <c r="X41" i="1"/>
  <c r="Y41" i="1"/>
  <c r="W41" i="1"/>
  <c r="S42" i="1"/>
  <c r="Z41" i="1"/>
  <c r="AE40" i="1"/>
  <c r="AA40" i="1"/>
  <c r="AH40" i="1"/>
  <c r="AD40" i="1"/>
  <c r="AC41" i="1" l="1"/>
  <c r="AG41" i="1"/>
  <c r="AH41" i="1"/>
  <c r="AD41" i="1"/>
  <c r="AF41" i="1"/>
  <c r="AB41" i="1"/>
  <c r="T42" i="1"/>
  <c r="X42" i="1"/>
  <c r="Y42" i="1"/>
  <c r="Z42" i="1"/>
  <c r="U42" i="1"/>
  <c r="V42" i="1" s="1"/>
  <c r="W42" i="1"/>
  <c r="S43" i="1"/>
  <c r="AA41" i="1"/>
  <c r="AE41" i="1"/>
  <c r="AB42" i="1" l="1"/>
  <c r="AF42" i="1"/>
  <c r="AD42" i="1"/>
  <c r="AH42" i="1"/>
  <c r="AA42" i="1"/>
  <c r="AE42" i="1"/>
  <c r="T43" i="1"/>
  <c r="S44" i="1"/>
  <c r="W43" i="1"/>
  <c r="Z43" i="1"/>
  <c r="U43" i="1"/>
  <c r="V43" i="1" s="1"/>
  <c r="X43" i="1"/>
  <c r="Y43" i="1"/>
  <c r="AG42" i="1"/>
  <c r="AC42" i="1"/>
  <c r="T44" i="1" l="1"/>
  <c r="S45" i="1"/>
  <c r="Z44" i="1"/>
  <c r="U44" i="1"/>
  <c r="V44" i="1" s="1"/>
  <c r="X44" i="1"/>
  <c r="Y44" i="1"/>
  <c r="W44" i="1"/>
  <c r="AB43" i="1"/>
  <c r="AF43" i="1"/>
  <c r="AH43" i="1"/>
  <c r="AD43" i="1"/>
  <c r="AC43" i="1"/>
  <c r="AG43" i="1"/>
  <c r="AA43" i="1"/>
  <c r="AE43" i="1"/>
  <c r="AE44" i="1" l="1"/>
  <c r="AA44" i="1"/>
  <c r="AD44" i="1"/>
  <c r="AH44" i="1"/>
  <c r="AC44" i="1"/>
  <c r="AG44" i="1"/>
  <c r="T45" i="1"/>
  <c r="S46" i="1"/>
  <c r="W45" i="1"/>
  <c r="Z45" i="1"/>
  <c r="X45" i="1"/>
  <c r="Y45" i="1"/>
  <c r="U45" i="1"/>
  <c r="V45" i="1" s="1"/>
  <c r="AB44" i="1"/>
  <c r="AF44" i="1"/>
  <c r="AG45" i="1" l="1"/>
  <c r="AC45" i="1"/>
  <c r="T46" i="1"/>
  <c r="X46" i="1"/>
  <c r="Y46" i="1"/>
  <c r="W46" i="1"/>
  <c r="S47" i="1"/>
  <c r="Z46" i="1"/>
  <c r="U46" i="1"/>
  <c r="V46" i="1" s="1"/>
  <c r="AB45" i="1"/>
  <c r="AF45" i="1"/>
  <c r="AD45" i="1"/>
  <c r="AH45" i="1"/>
  <c r="AA45" i="1"/>
  <c r="AE45" i="1"/>
  <c r="T47" i="1" l="1"/>
  <c r="U47" i="1"/>
  <c r="V47" i="1" s="1"/>
  <c r="S48" i="1"/>
  <c r="W47" i="1"/>
  <c r="Z47" i="1"/>
  <c r="X47" i="1"/>
  <c r="Y47" i="1"/>
  <c r="AD46" i="1"/>
  <c r="AH46" i="1"/>
  <c r="AE46" i="1"/>
  <c r="AA46" i="1"/>
  <c r="AF46" i="1"/>
  <c r="AB46" i="1"/>
  <c r="AC46" i="1"/>
  <c r="AG46" i="1"/>
  <c r="AE47" i="1" l="1"/>
  <c r="AA47" i="1"/>
  <c r="AC47" i="1"/>
  <c r="AG47" i="1"/>
  <c r="T48" i="1"/>
  <c r="X48" i="1"/>
  <c r="Y48" i="1"/>
  <c r="Z48" i="1"/>
  <c r="W48" i="1"/>
  <c r="S49" i="1"/>
  <c r="U48" i="1"/>
  <c r="V48" i="1" s="1"/>
  <c r="AB47" i="1"/>
  <c r="AF47" i="1"/>
  <c r="AH47" i="1"/>
  <c r="AD47" i="1"/>
  <c r="T49" i="1" l="1"/>
  <c r="U49" i="1"/>
  <c r="V49" i="1" s="1"/>
  <c r="X49" i="1"/>
  <c r="Y49" i="1"/>
  <c r="Z49" i="1"/>
  <c r="S50" i="1"/>
  <c r="W49" i="1"/>
  <c r="AF48" i="1"/>
  <c r="AB48" i="1"/>
  <c r="AD48" i="1"/>
  <c r="AH48" i="1"/>
  <c r="AC48" i="1"/>
  <c r="AG48" i="1"/>
  <c r="AE48" i="1"/>
  <c r="AA48" i="1"/>
  <c r="AC49" i="1" l="1"/>
  <c r="AG49" i="1"/>
  <c r="AA49" i="1"/>
  <c r="AE49" i="1"/>
  <c r="AB49" i="1"/>
  <c r="AF49" i="1"/>
  <c r="T50" i="1"/>
  <c r="X50" i="1"/>
  <c r="Y50" i="1"/>
  <c r="W50" i="1"/>
  <c r="S51" i="1"/>
  <c r="Z50" i="1"/>
  <c r="U50" i="1"/>
  <c r="V50" i="1" s="1"/>
  <c r="AH49" i="1"/>
  <c r="AD49" i="1"/>
  <c r="T51" i="1" l="1"/>
  <c r="S52" i="1"/>
  <c r="W51" i="1"/>
  <c r="Z51" i="1"/>
  <c r="X51" i="1"/>
  <c r="Y51" i="1"/>
  <c r="U51" i="1"/>
  <c r="V51" i="1" s="1"/>
  <c r="AD50" i="1"/>
  <c r="AH50" i="1"/>
  <c r="AB50" i="1"/>
  <c r="AF50" i="1"/>
  <c r="AA50" i="1"/>
  <c r="AE50" i="1"/>
  <c r="AG50" i="1"/>
  <c r="AC50" i="1"/>
  <c r="AA51" i="1" l="1"/>
  <c r="AE51" i="1"/>
  <c r="AG51" i="1"/>
  <c r="AC51" i="1"/>
  <c r="T52" i="1"/>
  <c r="X52" i="1"/>
  <c r="Y52" i="1"/>
  <c r="W52" i="1"/>
  <c r="S53" i="1"/>
  <c r="Z52" i="1"/>
  <c r="U52" i="1"/>
  <c r="V52" i="1" s="1"/>
  <c r="AH51" i="1"/>
  <c r="AD51" i="1"/>
  <c r="AB51" i="1"/>
  <c r="AF51" i="1"/>
  <c r="AE52" i="1" l="1"/>
  <c r="AA52" i="1"/>
  <c r="AG52" i="1"/>
  <c r="AC52" i="1"/>
  <c r="AD52" i="1"/>
  <c r="AH52" i="1"/>
  <c r="AB52" i="1"/>
  <c r="AF52" i="1"/>
  <c r="T53" i="1"/>
  <c r="U53" i="1"/>
  <c r="V53" i="1" s="1"/>
  <c r="Y53" i="1"/>
  <c r="Z53" i="1"/>
  <c r="X53" i="1"/>
  <c r="S54" i="1"/>
  <c r="W53" i="1"/>
  <c r="AA53" i="1" l="1"/>
  <c r="AE53" i="1"/>
  <c r="AG53" i="1"/>
  <c r="AC53" i="1"/>
  <c r="AH53" i="1"/>
  <c r="AD53" i="1"/>
  <c r="T54" i="1"/>
  <c r="X54" i="1"/>
  <c r="Y54" i="1"/>
  <c r="U54" i="1"/>
  <c r="V54" i="1" s="1"/>
  <c r="W54" i="1"/>
  <c r="S55" i="1"/>
  <c r="Z54" i="1"/>
  <c r="AB53" i="1"/>
  <c r="AF53" i="1"/>
  <c r="AF54" i="1" l="1"/>
  <c r="AB54" i="1"/>
  <c r="AA54" i="1"/>
  <c r="AE54" i="1"/>
  <c r="T55" i="1"/>
  <c r="X55" i="1"/>
  <c r="Y55" i="1"/>
  <c r="Z55" i="1"/>
  <c r="U55" i="1"/>
  <c r="V55" i="1" s="1"/>
  <c r="S56" i="1"/>
  <c r="W55" i="1"/>
  <c r="AD54" i="1"/>
  <c r="AH54" i="1"/>
  <c r="AC54" i="1"/>
  <c r="AG54" i="1"/>
  <c r="AH55" i="1" l="1"/>
  <c r="AD55" i="1"/>
  <c r="T56" i="1"/>
  <c r="X56" i="1"/>
  <c r="Y56" i="1"/>
  <c r="W56" i="1"/>
  <c r="S57" i="1"/>
  <c r="Z56" i="1"/>
  <c r="U56" i="1"/>
  <c r="V56" i="1" s="1"/>
  <c r="AB55" i="1"/>
  <c r="AF55" i="1"/>
  <c r="AA55" i="1"/>
  <c r="AE55" i="1"/>
  <c r="AG55" i="1"/>
  <c r="AC55" i="1"/>
  <c r="AD56" i="1" l="1"/>
  <c r="AH56" i="1"/>
  <c r="T57" i="1"/>
  <c r="U57" i="1"/>
  <c r="V57" i="1" s="1"/>
  <c r="X57" i="1"/>
  <c r="Y57" i="1"/>
  <c r="W57" i="1"/>
  <c r="S58" i="1"/>
  <c r="Z57" i="1"/>
  <c r="AB56" i="1"/>
  <c r="AF56" i="1"/>
  <c r="AE56" i="1"/>
  <c r="AA56" i="1"/>
  <c r="AG56" i="1"/>
  <c r="AC56" i="1"/>
  <c r="AA57" i="1" l="1"/>
  <c r="AE57" i="1"/>
  <c r="T58" i="1"/>
  <c r="W58" i="1"/>
  <c r="S59" i="1"/>
  <c r="Z58" i="1"/>
  <c r="X58" i="1"/>
  <c r="Y58" i="1"/>
  <c r="U58" i="1"/>
  <c r="V58" i="1" s="1"/>
  <c r="AG57" i="1"/>
  <c r="AC57" i="1"/>
  <c r="AD57" i="1"/>
  <c r="AH57" i="1"/>
  <c r="AB57" i="1"/>
  <c r="AF57" i="1"/>
  <c r="AG58" i="1" l="1"/>
  <c r="AC58" i="1"/>
  <c r="AB58" i="1"/>
  <c r="AF58" i="1"/>
  <c r="AE58" i="1"/>
  <c r="AA58" i="1"/>
  <c r="AD58" i="1"/>
  <c r="AH58" i="1"/>
  <c r="T59" i="1"/>
  <c r="U59" i="1"/>
  <c r="V59" i="1" s="1"/>
  <c r="X59" i="1"/>
  <c r="Y59" i="1"/>
  <c r="W59" i="1"/>
  <c r="S60" i="1"/>
  <c r="Z59" i="1"/>
  <c r="AG59" i="1" l="1"/>
  <c r="AC59" i="1"/>
  <c r="AH59" i="1"/>
  <c r="AD59" i="1"/>
  <c r="AF59" i="1"/>
  <c r="AB59" i="1"/>
  <c r="T60" i="1"/>
  <c r="W60" i="1"/>
  <c r="S61" i="1"/>
  <c r="Z60" i="1"/>
  <c r="U60" i="1"/>
  <c r="V60" i="1" s="1"/>
  <c r="X60" i="1"/>
  <c r="Y60" i="1"/>
  <c r="AA59" i="1"/>
  <c r="AE59" i="1"/>
  <c r="AB60" i="1" l="1"/>
  <c r="AF60" i="1"/>
  <c r="AD60" i="1"/>
  <c r="AH60" i="1"/>
  <c r="AE60" i="1"/>
  <c r="AA60" i="1"/>
  <c r="AG60" i="1"/>
  <c r="AC60" i="1"/>
  <c r="T61" i="1"/>
  <c r="U61" i="1"/>
  <c r="V61" i="1" s="1"/>
  <c r="X61" i="1"/>
  <c r="Y61" i="1"/>
  <c r="S62" i="1"/>
  <c r="W61" i="1"/>
  <c r="Z61" i="1"/>
  <c r="AG61" i="1" l="1"/>
  <c r="AC61" i="1"/>
  <c r="AH61" i="1"/>
  <c r="AD61" i="1"/>
  <c r="AB61" i="1"/>
  <c r="AF61" i="1"/>
  <c r="AE61" i="1"/>
  <c r="AA61" i="1"/>
  <c r="T62" i="1"/>
  <c r="X62" i="1"/>
  <c r="Y62" i="1"/>
  <c r="S63" i="1"/>
  <c r="Z62" i="1"/>
  <c r="W62" i="1"/>
  <c r="U62" i="1"/>
  <c r="V62" i="1" s="1"/>
  <c r="AC62" i="1" l="1"/>
  <c r="AG62" i="1"/>
  <c r="AB62" i="1"/>
  <c r="AF62" i="1"/>
  <c r="T63" i="1"/>
  <c r="Z63" i="1"/>
  <c r="X63" i="1"/>
  <c r="Y63" i="1"/>
  <c r="S64" i="1"/>
  <c r="W63" i="1"/>
  <c r="U63" i="1"/>
  <c r="V63" i="1" s="1"/>
  <c r="AA62" i="1"/>
  <c r="AE62" i="1"/>
  <c r="AH62" i="1"/>
  <c r="AD62" i="1"/>
  <c r="AG63" i="1" l="1"/>
  <c r="AC63" i="1"/>
  <c r="AB63" i="1"/>
  <c r="AF63" i="1"/>
  <c r="AA63" i="1"/>
  <c r="AE63" i="1"/>
  <c r="AH63" i="1"/>
  <c r="AD63" i="1"/>
  <c r="T64" i="1"/>
  <c r="X64" i="1"/>
  <c r="Y64" i="1"/>
  <c r="W64" i="1"/>
  <c r="S65" i="1"/>
  <c r="Z64" i="1"/>
  <c r="U64" i="1"/>
  <c r="V64" i="1" s="1"/>
  <c r="AG64" i="1" l="1"/>
  <c r="AC64" i="1"/>
  <c r="AF64" i="1"/>
  <c r="AB64" i="1"/>
  <c r="AA64" i="1"/>
  <c r="AE64" i="1"/>
  <c r="AD64" i="1"/>
  <c r="AH64" i="1"/>
  <c r="T65" i="1"/>
  <c r="S66" i="1"/>
  <c r="W65" i="1"/>
  <c r="X65" i="1"/>
  <c r="Z65" i="1"/>
  <c r="Y65" i="1"/>
  <c r="U65" i="1"/>
  <c r="V65" i="1" s="1"/>
  <c r="AB65" i="1" l="1"/>
  <c r="AF65" i="1"/>
  <c r="AE65" i="1"/>
  <c r="AA65" i="1"/>
  <c r="T66" i="1"/>
  <c r="S67" i="1"/>
  <c r="Z66" i="1"/>
  <c r="U66" i="1"/>
  <c r="V66" i="1" s="1"/>
  <c r="W66" i="1"/>
  <c r="X66" i="1"/>
  <c r="Y66" i="1"/>
  <c r="AG65" i="1"/>
  <c r="AC65" i="1"/>
  <c r="AH65" i="1"/>
  <c r="AD65" i="1"/>
  <c r="AG66" i="1" l="1"/>
  <c r="AC66" i="1"/>
  <c r="AD66" i="1"/>
  <c r="AH66" i="1"/>
  <c r="T67" i="1"/>
  <c r="U67" i="1"/>
  <c r="V67" i="1" s="1"/>
  <c r="X67" i="1"/>
  <c r="Y67" i="1"/>
  <c r="S68" i="1"/>
  <c r="Z67" i="1"/>
  <c r="W67" i="1"/>
  <c r="AB66" i="1"/>
  <c r="AF66" i="1"/>
  <c r="AE66" i="1"/>
  <c r="AA66" i="1"/>
  <c r="AG67" i="1" l="1"/>
  <c r="AC67" i="1"/>
  <c r="AA67" i="1"/>
  <c r="AE67" i="1"/>
  <c r="AB67" i="1"/>
  <c r="AF67" i="1"/>
  <c r="AH67" i="1"/>
  <c r="AD67" i="1"/>
  <c r="T68" i="1"/>
  <c r="X68" i="1"/>
  <c r="Y68" i="1"/>
  <c r="W68" i="1"/>
  <c r="S69" i="1"/>
  <c r="Z68" i="1"/>
  <c r="U68" i="1"/>
  <c r="V68" i="1" s="1"/>
  <c r="AC68" i="1" l="1"/>
  <c r="AG68" i="1"/>
  <c r="AD68" i="1"/>
  <c r="AH68" i="1"/>
  <c r="AB68" i="1"/>
  <c r="AF68" i="1"/>
  <c r="AA68" i="1"/>
  <c r="AE68" i="1"/>
  <c r="T69" i="1"/>
  <c r="S70" i="1"/>
  <c r="Z69" i="1"/>
  <c r="U69" i="1"/>
  <c r="V69" i="1" s="1"/>
  <c r="X69" i="1"/>
  <c r="Y69" i="1"/>
  <c r="W69" i="1"/>
  <c r="AE69" i="1" l="1"/>
  <c r="AA69" i="1"/>
  <c r="AD69" i="1"/>
  <c r="AH69" i="1"/>
  <c r="T70" i="1"/>
  <c r="S71" i="1"/>
  <c r="Z70" i="1"/>
  <c r="U70" i="1"/>
  <c r="V70" i="1" s="1"/>
  <c r="W70" i="1"/>
  <c r="X70" i="1"/>
  <c r="Y70" i="1"/>
  <c r="AC69" i="1"/>
  <c r="AG69" i="1"/>
  <c r="AB69" i="1"/>
  <c r="AF69" i="1"/>
  <c r="AG70" i="1" l="1"/>
  <c r="AC70" i="1"/>
  <c r="AD70" i="1"/>
  <c r="AH70" i="1"/>
  <c r="T71" i="1"/>
  <c r="U71" i="1"/>
  <c r="V71" i="1" s="1"/>
  <c r="X71" i="1"/>
  <c r="Y71" i="1"/>
  <c r="S72" i="1"/>
  <c r="Z71" i="1"/>
  <c r="W71" i="1"/>
  <c r="AF70" i="1"/>
  <c r="AB70" i="1"/>
  <c r="AE70" i="1"/>
  <c r="AA70" i="1"/>
  <c r="AC71" i="1" l="1"/>
  <c r="AG71" i="1"/>
  <c r="AA71" i="1"/>
  <c r="AE71" i="1"/>
  <c r="AB71" i="1"/>
  <c r="AF71" i="1"/>
  <c r="AD71" i="1"/>
  <c r="AH71" i="1"/>
  <c r="T72" i="1"/>
  <c r="X72" i="1"/>
  <c r="Y72" i="1"/>
  <c r="W72" i="1"/>
  <c r="Z72" i="1"/>
  <c r="U72" i="1"/>
  <c r="V72" i="1" s="1"/>
  <c r="S73" i="1"/>
  <c r="AA72" i="1" l="1"/>
  <c r="AE72" i="1"/>
  <c r="AC72" i="1"/>
  <c r="AG72" i="1"/>
  <c r="AB72" i="1"/>
  <c r="AF72" i="1"/>
  <c r="T73" i="1"/>
  <c r="Z73" i="1"/>
  <c r="S74" i="1"/>
  <c r="U73" i="1"/>
  <c r="V73" i="1" s="1"/>
  <c r="X73" i="1"/>
  <c r="Y73" i="1"/>
  <c r="W73" i="1"/>
  <c r="AH72" i="1"/>
  <c r="AD72" i="1"/>
  <c r="AC73" i="1" l="1"/>
  <c r="AG73" i="1"/>
  <c r="AH73" i="1"/>
  <c r="AD73" i="1"/>
  <c r="AB73" i="1"/>
  <c r="AF73" i="1"/>
  <c r="AA73" i="1"/>
  <c r="AE73" i="1"/>
  <c r="T74" i="1"/>
  <c r="S75" i="1"/>
  <c r="Z74" i="1"/>
  <c r="U74" i="1"/>
  <c r="V74" i="1" s="1"/>
  <c r="X74" i="1"/>
  <c r="Y74" i="1"/>
  <c r="W74" i="1"/>
  <c r="AE74" i="1" l="1"/>
  <c r="AA74" i="1"/>
  <c r="AD74" i="1"/>
  <c r="AH74" i="1"/>
  <c r="AG74" i="1"/>
  <c r="AC74" i="1"/>
  <c r="T75" i="1"/>
  <c r="U75" i="1"/>
  <c r="V75" i="1" s="1"/>
  <c r="X75" i="1"/>
  <c r="Y75" i="1"/>
  <c r="S76" i="1"/>
  <c r="W75" i="1"/>
  <c r="Z75" i="1"/>
  <c r="AF74" i="1"/>
  <c r="AB74" i="1"/>
  <c r="AG75" i="1" l="1"/>
  <c r="AC75" i="1"/>
  <c r="AE75" i="1"/>
  <c r="AA75" i="1"/>
  <c r="T76" i="1"/>
  <c r="W76" i="1"/>
  <c r="Z76" i="1"/>
  <c r="U76" i="1"/>
  <c r="V76" i="1" s="1"/>
  <c r="X76" i="1"/>
  <c r="Y76" i="1"/>
  <c r="S77" i="1"/>
  <c r="AD75" i="1"/>
  <c r="AH75" i="1"/>
  <c r="AF75" i="1"/>
  <c r="AB75" i="1"/>
  <c r="T77" i="1" l="1"/>
  <c r="U77" i="1"/>
  <c r="V77" i="1" s="1"/>
  <c r="X77" i="1"/>
  <c r="Y77" i="1"/>
  <c r="Z77" i="1"/>
  <c r="S78" i="1"/>
  <c r="W77" i="1"/>
  <c r="AD76" i="1"/>
  <c r="AH76" i="1"/>
  <c r="AG76" i="1"/>
  <c r="AC76" i="1"/>
  <c r="AE76" i="1"/>
  <c r="AA76" i="1"/>
  <c r="AB76" i="1"/>
  <c r="AF76" i="1"/>
  <c r="AA77" i="1" l="1"/>
  <c r="AE77" i="1"/>
  <c r="AB77" i="1"/>
  <c r="AF77" i="1"/>
  <c r="AC77" i="1"/>
  <c r="AG77" i="1"/>
  <c r="T78" i="1"/>
  <c r="X78" i="1"/>
  <c r="Y78" i="1"/>
  <c r="W78" i="1"/>
  <c r="S79" i="1"/>
  <c r="U78" i="1"/>
  <c r="V78" i="1" s="1"/>
  <c r="Z78" i="1"/>
  <c r="AD77" i="1"/>
  <c r="AH77" i="1"/>
  <c r="T79" i="1" l="1"/>
  <c r="S80" i="1"/>
  <c r="W79" i="1"/>
  <c r="X79" i="1"/>
  <c r="Z79" i="1"/>
  <c r="Y79" i="1"/>
  <c r="U79" i="1"/>
  <c r="V79" i="1" s="1"/>
  <c r="AA78" i="1"/>
  <c r="AE78" i="1"/>
  <c r="AB78" i="1"/>
  <c r="AF78" i="1"/>
  <c r="AD78" i="1"/>
  <c r="AH78" i="1"/>
  <c r="AG78" i="1"/>
  <c r="AC78" i="1"/>
  <c r="AB79" i="1" l="1"/>
  <c r="AF79" i="1"/>
  <c r="AE79" i="1"/>
  <c r="AA79" i="1"/>
  <c r="AC79" i="1"/>
  <c r="AG79" i="1"/>
  <c r="T80" i="1"/>
  <c r="S81" i="1"/>
  <c r="Z80" i="1"/>
  <c r="U80" i="1"/>
  <c r="V80" i="1" s="1"/>
  <c r="X80" i="1"/>
  <c r="Y80" i="1"/>
  <c r="W80" i="1"/>
  <c r="AD79" i="1"/>
  <c r="AH79" i="1"/>
  <c r="T81" i="1" l="1"/>
  <c r="U81" i="1"/>
  <c r="V81" i="1" s="1"/>
  <c r="X81" i="1"/>
  <c r="Y81" i="1"/>
  <c r="S82" i="1"/>
  <c r="W81" i="1"/>
  <c r="Z81" i="1"/>
  <c r="AB80" i="1"/>
  <c r="AF80" i="1"/>
  <c r="AG80" i="1"/>
  <c r="AC80" i="1"/>
  <c r="AE80" i="1"/>
  <c r="AA80" i="1"/>
  <c r="AD80" i="1"/>
  <c r="AH80" i="1"/>
  <c r="AC81" i="1" l="1"/>
  <c r="AG81" i="1"/>
  <c r="AH81" i="1"/>
  <c r="AD81" i="1"/>
  <c r="AB81" i="1"/>
  <c r="AF81" i="1"/>
  <c r="AE81" i="1"/>
  <c r="AA81" i="1"/>
  <c r="T82" i="1"/>
  <c r="S83" i="1"/>
  <c r="Z82" i="1"/>
  <c r="U82" i="1"/>
  <c r="V82" i="1" s="1"/>
  <c r="X82" i="1"/>
  <c r="Y82" i="1"/>
  <c r="W82" i="1"/>
  <c r="AE82" i="1" l="1"/>
  <c r="AA82" i="1"/>
  <c r="AD82" i="1"/>
  <c r="AH82" i="1"/>
  <c r="AG82" i="1"/>
  <c r="AC82" i="1"/>
  <c r="T83" i="1"/>
  <c r="U83" i="1"/>
  <c r="V83" i="1" s="1"/>
  <c r="X83" i="1"/>
  <c r="Y83" i="1"/>
  <c r="S84" i="1"/>
  <c r="W83" i="1"/>
  <c r="Z83" i="1"/>
  <c r="AB82" i="1"/>
  <c r="AF82" i="1"/>
  <c r="AA83" i="1" l="1"/>
  <c r="AE83" i="1"/>
  <c r="T84" i="1"/>
  <c r="X84" i="1"/>
  <c r="Y84" i="1"/>
  <c r="W84" i="1"/>
  <c r="S85" i="1"/>
  <c r="Z84" i="1"/>
  <c r="U84" i="1"/>
  <c r="V84" i="1" s="1"/>
  <c r="AC83" i="1"/>
  <c r="AG83" i="1"/>
  <c r="AH83" i="1"/>
  <c r="AD83" i="1"/>
  <c r="AF83" i="1"/>
  <c r="AB83" i="1"/>
  <c r="AF84" i="1" l="1"/>
  <c r="AB84" i="1"/>
  <c r="AE84" i="1"/>
  <c r="AA84" i="1"/>
  <c r="AD84" i="1"/>
  <c r="AH84" i="1"/>
  <c r="T85" i="1"/>
  <c r="S86" i="1"/>
  <c r="W85" i="1"/>
  <c r="Z85" i="1"/>
  <c r="X85" i="1"/>
  <c r="Y85" i="1"/>
  <c r="U85" i="1"/>
  <c r="V85" i="1" s="1"/>
  <c r="AG84" i="1"/>
  <c r="AC84" i="1"/>
  <c r="AE85" i="1" l="1"/>
  <c r="AA85" i="1"/>
  <c r="T86" i="1"/>
  <c r="S87" i="1"/>
  <c r="Z86" i="1"/>
  <c r="U86" i="1"/>
  <c r="V86" i="1" s="1"/>
  <c r="X86" i="1"/>
  <c r="W86" i="1"/>
  <c r="Y86" i="1"/>
  <c r="AB85" i="1"/>
  <c r="AF85" i="1"/>
  <c r="AC85" i="1"/>
  <c r="AG85" i="1"/>
  <c r="AD85" i="1"/>
  <c r="AH85" i="1"/>
  <c r="AA86" i="1" l="1"/>
  <c r="AE86" i="1"/>
  <c r="T87" i="1"/>
  <c r="X87" i="1"/>
  <c r="Y87" i="1"/>
  <c r="S88" i="1"/>
  <c r="W87" i="1"/>
  <c r="Z87" i="1"/>
  <c r="U87" i="1"/>
  <c r="V87" i="1" s="1"/>
  <c r="AC86" i="1"/>
  <c r="AG86" i="1"/>
  <c r="AB86" i="1"/>
  <c r="AF86" i="1"/>
  <c r="AH86" i="1"/>
  <c r="AD86" i="1"/>
  <c r="AA87" i="1" l="1"/>
  <c r="AE87" i="1"/>
  <c r="AF87" i="1"/>
  <c r="AB87" i="1"/>
  <c r="T88" i="1"/>
  <c r="W88" i="1"/>
  <c r="Z88" i="1"/>
  <c r="S89" i="1"/>
  <c r="U88" i="1"/>
  <c r="V88" i="1" s="1"/>
  <c r="X88" i="1"/>
  <c r="Y88" i="1"/>
  <c r="AD87" i="1"/>
  <c r="AH87" i="1"/>
  <c r="AG87" i="1"/>
  <c r="AC87" i="1"/>
  <c r="T89" i="1" l="1"/>
  <c r="S90" i="1"/>
  <c r="W89" i="1"/>
  <c r="Z89" i="1"/>
  <c r="U89" i="1"/>
  <c r="V89" i="1" s="1"/>
  <c r="Y89" i="1"/>
  <c r="X89" i="1"/>
  <c r="AG88" i="1"/>
  <c r="AC88" i="1"/>
  <c r="AD88" i="1"/>
  <c r="AH88" i="1"/>
  <c r="AB88" i="1"/>
  <c r="AF88" i="1"/>
  <c r="AA88" i="1"/>
  <c r="AE88" i="1"/>
  <c r="AH89" i="1" l="1"/>
  <c r="AD89" i="1"/>
  <c r="AB89" i="1"/>
  <c r="AF89" i="1"/>
  <c r="AE89" i="1"/>
  <c r="AA89" i="1"/>
  <c r="AC89" i="1"/>
  <c r="AG89" i="1"/>
  <c r="T90" i="1"/>
  <c r="S91" i="1"/>
  <c r="X90" i="1"/>
  <c r="Y90" i="1"/>
  <c r="W90" i="1"/>
  <c r="Z90" i="1"/>
  <c r="U90" i="1"/>
  <c r="V90" i="1" s="1"/>
  <c r="AH90" i="1" l="1"/>
  <c r="AD90" i="1"/>
  <c r="AC90" i="1"/>
  <c r="AG90" i="1"/>
  <c r="AB90" i="1"/>
  <c r="AF90" i="1"/>
  <c r="T91" i="1"/>
  <c r="X91" i="1"/>
  <c r="Y91" i="1"/>
  <c r="Z91" i="1"/>
  <c r="S92" i="1"/>
  <c r="W91" i="1"/>
  <c r="U91" i="1"/>
  <c r="V91" i="1" s="1"/>
  <c r="AA90" i="1"/>
  <c r="AE90" i="1"/>
  <c r="AE91" i="1" l="1"/>
  <c r="AA91" i="1"/>
  <c r="AB91" i="1"/>
  <c r="AF91" i="1"/>
  <c r="T92" i="1"/>
  <c r="X92" i="1"/>
  <c r="Y92" i="1"/>
  <c r="S93" i="1"/>
  <c r="Z92" i="1"/>
  <c r="U92" i="1"/>
  <c r="V92" i="1" s="1"/>
  <c r="W92" i="1"/>
  <c r="AH91" i="1"/>
  <c r="AD91" i="1"/>
  <c r="AC91" i="1"/>
  <c r="AG91" i="1"/>
  <c r="T93" i="1" l="1"/>
  <c r="S94" i="1"/>
  <c r="W93" i="1"/>
  <c r="Z93" i="1"/>
  <c r="U93" i="1"/>
  <c r="V93" i="1" s="1"/>
  <c r="X93" i="1"/>
  <c r="Y93" i="1"/>
  <c r="AA92" i="1"/>
  <c r="AE92" i="1"/>
  <c r="AG92" i="1"/>
  <c r="AC92" i="1"/>
  <c r="AB92" i="1"/>
  <c r="AF92" i="1"/>
  <c r="AD92" i="1"/>
  <c r="AH92" i="1"/>
  <c r="AD93" i="1" l="1"/>
  <c r="AH93" i="1"/>
  <c r="AG93" i="1"/>
  <c r="AC93" i="1"/>
  <c r="AA93" i="1"/>
  <c r="AE93" i="1"/>
  <c r="AF93" i="1"/>
  <c r="AB93" i="1"/>
  <c r="T94" i="1"/>
  <c r="W94" i="1"/>
  <c r="S95" i="1"/>
  <c r="Z94" i="1"/>
  <c r="U94" i="1"/>
  <c r="V94" i="1" s="1"/>
  <c r="X94" i="1"/>
  <c r="Y94" i="1"/>
  <c r="AG94" i="1" l="1"/>
  <c r="AC94" i="1"/>
  <c r="AD94" i="1"/>
  <c r="AH94" i="1"/>
  <c r="T95" i="1"/>
  <c r="S96" i="1"/>
  <c r="U95" i="1"/>
  <c r="V95" i="1" s="1"/>
  <c r="W95" i="1"/>
  <c r="Z95" i="1"/>
  <c r="X95" i="1"/>
  <c r="Y95" i="1"/>
  <c r="AA94" i="1"/>
  <c r="AE94" i="1"/>
  <c r="AF94" i="1"/>
  <c r="AB94" i="1"/>
  <c r="AA95" i="1" l="1"/>
  <c r="AE95" i="1"/>
  <c r="AC95" i="1"/>
  <c r="AG95" i="1"/>
  <c r="AB95" i="1"/>
  <c r="AF95" i="1"/>
  <c r="T96" i="1"/>
  <c r="X96" i="1"/>
  <c r="Y96" i="1"/>
  <c r="S97" i="1"/>
  <c r="W96" i="1"/>
  <c r="Z96" i="1"/>
  <c r="U96" i="1"/>
  <c r="V96" i="1" s="1"/>
  <c r="AH95" i="1"/>
  <c r="AD95" i="1"/>
  <c r="AH96" i="1" l="1"/>
  <c r="AD96" i="1"/>
  <c r="AB96" i="1"/>
  <c r="AF96" i="1"/>
  <c r="AA96" i="1"/>
  <c r="AE96" i="1"/>
  <c r="T97" i="1"/>
  <c r="S98" i="1"/>
  <c r="W97" i="1"/>
  <c r="Y97" i="1"/>
  <c r="Z97" i="1"/>
  <c r="U97" i="1"/>
  <c r="V97" i="1" s="1"/>
  <c r="X97" i="1"/>
  <c r="AG96" i="1"/>
  <c r="AC96" i="1"/>
  <c r="T98" i="1" l="1"/>
  <c r="X98" i="1"/>
  <c r="Z98" i="1"/>
  <c r="U98" i="1"/>
  <c r="V98" i="1" s="1"/>
  <c r="Y98" i="1"/>
  <c r="W98" i="1"/>
  <c r="S99" i="1"/>
  <c r="AD97" i="1"/>
  <c r="AH97" i="1"/>
  <c r="AC97" i="1"/>
  <c r="AG97" i="1"/>
  <c r="AF97" i="1"/>
  <c r="AB97" i="1"/>
  <c r="AA97" i="1"/>
  <c r="AE97" i="1"/>
  <c r="T99" i="1" l="1"/>
  <c r="S100" i="1"/>
  <c r="W99" i="1"/>
  <c r="Z99" i="1"/>
  <c r="U99" i="1"/>
  <c r="V99" i="1" s="1"/>
  <c r="X99" i="1"/>
  <c r="Y99" i="1"/>
  <c r="AD98" i="1"/>
  <c r="AH98" i="1"/>
  <c r="AA98" i="1"/>
  <c r="AE98" i="1"/>
  <c r="AF98" i="1"/>
  <c r="AB98" i="1"/>
  <c r="AC98" i="1"/>
  <c r="AG98" i="1"/>
  <c r="AH99" i="1" l="1"/>
  <c r="AD99" i="1"/>
  <c r="AG99" i="1"/>
  <c r="AC99" i="1"/>
  <c r="AE99" i="1"/>
  <c r="AA99" i="1"/>
  <c r="AB99" i="1"/>
  <c r="AF99" i="1"/>
  <c r="T100" i="1"/>
  <c r="S101" i="1"/>
  <c r="Z100" i="1"/>
  <c r="U100" i="1"/>
  <c r="V100" i="1" s="1"/>
  <c r="X100" i="1"/>
  <c r="Y100" i="1"/>
  <c r="W100" i="1"/>
  <c r="AD100" i="1" l="1"/>
  <c r="AH100" i="1"/>
  <c r="AG100" i="1"/>
  <c r="AC100" i="1"/>
  <c r="T101" i="1"/>
  <c r="U101" i="1"/>
  <c r="V101" i="1" s="1"/>
  <c r="S102" i="1"/>
  <c r="W101" i="1"/>
  <c r="Z101" i="1"/>
  <c r="X101" i="1"/>
  <c r="Y101" i="1"/>
  <c r="AE100" i="1"/>
  <c r="AA100" i="1"/>
  <c r="AB100" i="1"/>
  <c r="AF100" i="1"/>
  <c r="AA101" i="1" l="1"/>
  <c r="AE101" i="1"/>
  <c r="T102" i="1"/>
  <c r="X102" i="1"/>
  <c r="Y102" i="1"/>
  <c r="W102" i="1"/>
  <c r="S103" i="1"/>
  <c r="Z102" i="1"/>
  <c r="U102" i="1"/>
  <c r="V102" i="1" s="1"/>
  <c r="AB101" i="1"/>
  <c r="AF101" i="1"/>
  <c r="AG101" i="1"/>
  <c r="AC101" i="1"/>
  <c r="AH101" i="1"/>
  <c r="AD101" i="1"/>
  <c r="AD102" i="1" l="1"/>
  <c r="AH102" i="1"/>
  <c r="AB102" i="1"/>
  <c r="AF102" i="1"/>
  <c r="T103" i="1"/>
  <c r="S104" i="1"/>
  <c r="W103" i="1"/>
  <c r="Z103" i="1"/>
  <c r="Y103" i="1"/>
  <c r="U103" i="1"/>
  <c r="V103" i="1" s="1"/>
  <c r="X103" i="1"/>
  <c r="AA102" i="1"/>
  <c r="AE102" i="1"/>
  <c r="AG102" i="1"/>
  <c r="AC102" i="1"/>
  <c r="AH103" i="1" l="1"/>
  <c r="AD103" i="1"/>
  <c r="AB103" i="1"/>
  <c r="AF103" i="1"/>
  <c r="AE103" i="1"/>
  <c r="AA103" i="1"/>
  <c r="T104" i="1"/>
  <c r="X104" i="1"/>
  <c r="S105" i="1"/>
  <c r="Z104" i="1"/>
  <c r="U104" i="1"/>
  <c r="V104" i="1" s="1"/>
  <c r="Y104" i="1"/>
  <c r="W104" i="1"/>
  <c r="AC103" i="1"/>
  <c r="AG103" i="1"/>
  <c r="AG104" i="1" l="1"/>
  <c r="AC104" i="1"/>
  <c r="AB104" i="1"/>
  <c r="AF104" i="1"/>
  <c r="AD104" i="1"/>
  <c r="AH104" i="1"/>
  <c r="AE104" i="1"/>
  <c r="AA104" i="1"/>
  <c r="T105" i="1"/>
  <c r="U105" i="1"/>
  <c r="V105" i="1" s="1"/>
  <c r="X105" i="1"/>
  <c r="Y105" i="1"/>
  <c r="S106" i="1"/>
  <c r="W105" i="1"/>
  <c r="Z105" i="1"/>
  <c r="AG105" i="1" l="1"/>
  <c r="AC105" i="1"/>
  <c r="AF105" i="1"/>
  <c r="AB105" i="1"/>
  <c r="AA105" i="1"/>
  <c r="AE105" i="1"/>
  <c r="AD105" i="1"/>
  <c r="AH105" i="1"/>
  <c r="T106" i="1"/>
  <c r="W106" i="1"/>
  <c r="Z106" i="1"/>
  <c r="U106" i="1"/>
  <c r="V106" i="1" s="1"/>
  <c r="X106" i="1"/>
  <c r="Y106" i="1"/>
  <c r="S107" i="1"/>
  <c r="AG106" i="1" l="1"/>
  <c r="AC106" i="1"/>
  <c r="T107" i="1"/>
  <c r="Y107" i="1"/>
  <c r="Z107" i="1"/>
  <c r="U107" i="1"/>
  <c r="V107" i="1" s="1"/>
  <c r="X107" i="1"/>
  <c r="S108" i="1"/>
  <c r="W107" i="1"/>
  <c r="AD106" i="1"/>
  <c r="AH106" i="1"/>
  <c r="AA106" i="1"/>
  <c r="AE106" i="1"/>
  <c r="AB106" i="1"/>
  <c r="AF106" i="1"/>
  <c r="T108" i="1" l="1"/>
  <c r="U108" i="1"/>
  <c r="V108" i="1" s="1"/>
  <c r="Y108" i="1"/>
  <c r="S109" i="1"/>
  <c r="W108" i="1"/>
  <c r="X108" i="1"/>
  <c r="Z108" i="1"/>
  <c r="AG107" i="1"/>
  <c r="AC107" i="1"/>
  <c r="AF107" i="1"/>
  <c r="AB107" i="1"/>
  <c r="AE107" i="1"/>
  <c r="AA107" i="1"/>
  <c r="AH107" i="1"/>
  <c r="AD107" i="1"/>
  <c r="T109" i="1" l="1"/>
  <c r="W109" i="1"/>
  <c r="Y109" i="1"/>
  <c r="S110" i="1"/>
  <c r="U109" i="1"/>
  <c r="V109" i="1" s="1"/>
  <c r="X109" i="1"/>
  <c r="Z109" i="1"/>
  <c r="AH108" i="1"/>
  <c r="AD108" i="1"/>
  <c r="AC108" i="1"/>
  <c r="AG108" i="1"/>
  <c r="AF108" i="1"/>
  <c r="AB108" i="1"/>
  <c r="AA108" i="1"/>
  <c r="AE108" i="1"/>
  <c r="T110" i="1" l="1"/>
  <c r="Z110" i="1"/>
  <c r="U110" i="1"/>
  <c r="V110" i="1" s="1"/>
  <c r="Y110" i="1"/>
  <c r="S111" i="1"/>
  <c r="W110" i="1"/>
  <c r="X110" i="1"/>
  <c r="AH109" i="1"/>
  <c r="AD109" i="1"/>
  <c r="AC109" i="1"/>
  <c r="AG109" i="1"/>
  <c r="AF109" i="1"/>
  <c r="AB109" i="1"/>
  <c r="AA109" i="1"/>
  <c r="AE109" i="1"/>
  <c r="AG110" i="1" l="1"/>
  <c r="AC110" i="1"/>
  <c r="AB110" i="1"/>
  <c r="AF110" i="1"/>
  <c r="AA110" i="1"/>
  <c r="AE110" i="1"/>
  <c r="AD110" i="1"/>
  <c r="AH110" i="1"/>
  <c r="T111" i="1"/>
  <c r="Y111" i="1"/>
  <c r="Z111" i="1"/>
  <c r="W111" i="1"/>
  <c r="U111" i="1"/>
  <c r="V111" i="1" s="1"/>
  <c r="X111" i="1"/>
  <c r="S112" i="1"/>
  <c r="AA111" i="1" l="1"/>
  <c r="AE111" i="1"/>
  <c r="T112" i="1"/>
  <c r="Z112" i="1"/>
  <c r="U112" i="1"/>
  <c r="V112" i="1" s="1"/>
  <c r="Y112" i="1"/>
  <c r="W112" i="1"/>
  <c r="X112" i="1"/>
  <c r="S113" i="1"/>
  <c r="AD111" i="1"/>
  <c r="AH111" i="1"/>
  <c r="AB111" i="1"/>
  <c r="AF111" i="1"/>
  <c r="AG111" i="1"/>
  <c r="AC111" i="1"/>
  <c r="AF112" i="1" l="1"/>
  <c r="AB112" i="1"/>
  <c r="AH112" i="1"/>
  <c r="AD112" i="1"/>
  <c r="AE112" i="1"/>
  <c r="AA112" i="1"/>
  <c r="AG112" i="1"/>
  <c r="AC112" i="1"/>
  <c r="T113" i="1"/>
  <c r="Y113" i="1"/>
  <c r="Z113" i="1"/>
  <c r="U113" i="1"/>
  <c r="V113" i="1" s="1"/>
  <c r="X113" i="1"/>
  <c r="S114" i="1"/>
  <c r="W113" i="1"/>
  <c r="AE113" i="1" l="1"/>
  <c r="AA113" i="1"/>
  <c r="AD113" i="1"/>
  <c r="AH113" i="1"/>
  <c r="T114" i="1"/>
  <c r="Y114" i="1"/>
  <c r="S115" i="1"/>
  <c r="W114" i="1"/>
  <c r="X114" i="1"/>
  <c r="Z114" i="1"/>
  <c r="U114" i="1"/>
  <c r="V114" i="1" s="1"/>
  <c r="AG113" i="1"/>
  <c r="AC113" i="1"/>
  <c r="AF113" i="1"/>
  <c r="AB113" i="1"/>
  <c r="AE114" i="1" l="1"/>
  <c r="AA114" i="1"/>
  <c r="T115" i="1"/>
  <c r="U115" i="1"/>
  <c r="V115" i="1" s="1"/>
  <c r="X115" i="1"/>
  <c r="S116" i="1"/>
  <c r="W115" i="1"/>
  <c r="Y115" i="1"/>
  <c r="Z115" i="1"/>
  <c r="AH114" i="1"/>
  <c r="AD114" i="1"/>
  <c r="AG114" i="1"/>
  <c r="AC114" i="1"/>
  <c r="AB114" i="1"/>
  <c r="AF114" i="1"/>
  <c r="AG115" i="1" l="1"/>
  <c r="AC115" i="1"/>
  <c r="AE115" i="1"/>
  <c r="AA115" i="1"/>
  <c r="T116" i="1"/>
  <c r="Z116" i="1"/>
  <c r="U116" i="1"/>
  <c r="V116" i="1" s="1"/>
  <c r="S117" i="1"/>
  <c r="Y116" i="1"/>
  <c r="W116" i="1"/>
  <c r="X116" i="1"/>
  <c r="AH115" i="1"/>
  <c r="AD115" i="1"/>
  <c r="AB115" i="1"/>
  <c r="AF115" i="1"/>
  <c r="T117" i="1" l="1"/>
  <c r="X117" i="1"/>
  <c r="S118" i="1"/>
  <c r="W117" i="1"/>
  <c r="Z117" i="1"/>
  <c r="U117" i="1"/>
  <c r="V117" i="1" s="1"/>
  <c r="Y117" i="1"/>
  <c r="AB116" i="1"/>
  <c r="AF116" i="1"/>
  <c r="AA116" i="1"/>
  <c r="AE116" i="1"/>
  <c r="AD116" i="1"/>
  <c r="AH116" i="1"/>
  <c r="AC116" i="1"/>
  <c r="AG116" i="1"/>
  <c r="AA117" i="1" l="1"/>
  <c r="AE117" i="1"/>
  <c r="AC117" i="1"/>
  <c r="AG117" i="1"/>
  <c r="T118" i="1"/>
  <c r="Z118" i="1"/>
  <c r="U118" i="1"/>
  <c r="V118" i="1" s="1"/>
  <c r="S119" i="1"/>
  <c r="W118" i="1"/>
  <c r="X118" i="1"/>
  <c r="Y118" i="1"/>
  <c r="AB117" i="1"/>
  <c r="AF117" i="1"/>
  <c r="AH117" i="1"/>
  <c r="AD117" i="1"/>
  <c r="T119" i="1" l="1"/>
  <c r="X119" i="1"/>
  <c r="S120" i="1"/>
  <c r="W119" i="1"/>
  <c r="U119" i="1"/>
  <c r="V119" i="1" s="1"/>
  <c r="Y119" i="1"/>
  <c r="Z119" i="1"/>
  <c r="AC118" i="1"/>
  <c r="AG118" i="1"/>
  <c r="AB118" i="1"/>
  <c r="AF118" i="1"/>
  <c r="AD118" i="1"/>
  <c r="AH118" i="1"/>
  <c r="AA118" i="1"/>
  <c r="AE118" i="1"/>
  <c r="AH119" i="1" l="1"/>
  <c r="AD119" i="1"/>
  <c r="T120" i="1"/>
  <c r="S121" i="1"/>
  <c r="Y120" i="1"/>
  <c r="W120" i="1"/>
  <c r="X120" i="1"/>
  <c r="Z120" i="1"/>
  <c r="U120" i="1"/>
  <c r="V120" i="1" s="1"/>
  <c r="AE119" i="1"/>
  <c r="AA119" i="1"/>
  <c r="AC119" i="1"/>
  <c r="AG119" i="1"/>
  <c r="AB119" i="1"/>
  <c r="AF119" i="1"/>
  <c r="AF120" i="1" l="1"/>
  <c r="AB120" i="1"/>
  <c r="T121" i="1"/>
  <c r="X121" i="1"/>
  <c r="S122" i="1"/>
  <c r="W121" i="1"/>
  <c r="Z121" i="1"/>
  <c r="Y121" i="1"/>
  <c r="U121" i="1"/>
  <c r="V121" i="1" s="1"/>
  <c r="AA120" i="1"/>
  <c r="AE120" i="1"/>
  <c r="AD120" i="1"/>
  <c r="AH120" i="1"/>
  <c r="AG120" i="1"/>
  <c r="AC120" i="1"/>
  <c r="AG121" i="1" l="1"/>
  <c r="AC121" i="1"/>
  <c r="AH121" i="1"/>
  <c r="AD121" i="1"/>
  <c r="AA121" i="1"/>
  <c r="AE121" i="1"/>
  <c r="AB121" i="1"/>
  <c r="AF121" i="1"/>
  <c r="T122" i="1"/>
  <c r="S123" i="1"/>
  <c r="W122" i="1"/>
  <c r="X122" i="1"/>
  <c r="Z122" i="1"/>
  <c r="U122" i="1"/>
  <c r="V122" i="1" s="1"/>
  <c r="Y122" i="1"/>
  <c r="AC122" i="1" l="1"/>
  <c r="AG122" i="1"/>
  <c r="AE122" i="1"/>
  <c r="AA122" i="1"/>
  <c r="T123" i="1"/>
  <c r="Y123" i="1"/>
  <c r="Z123" i="1"/>
  <c r="U123" i="1"/>
  <c r="V123" i="1" s="1"/>
  <c r="W123" i="1"/>
  <c r="X123" i="1"/>
  <c r="S124" i="1"/>
  <c r="AF122" i="1"/>
  <c r="AB122" i="1"/>
  <c r="AH122" i="1"/>
  <c r="AD122" i="1"/>
  <c r="T124" i="1" l="1"/>
  <c r="Z124" i="1"/>
  <c r="U124" i="1"/>
  <c r="V124" i="1" s="1"/>
  <c r="Y124" i="1"/>
  <c r="W124" i="1"/>
  <c r="X124" i="1"/>
  <c r="S125" i="1"/>
  <c r="AD123" i="1"/>
  <c r="AH123" i="1"/>
  <c r="AB123" i="1"/>
  <c r="AF123" i="1"/>
  <c r="AG123" i="1"/>
  <c r="AC123" i="1"/>
  <c r="AA123" i="1"/>
  <c r="AE123" i="1"/>
  <c r="T125" i="1" l="1"/>
  <c r="X125" i="1"/>
  <c r="S126" i="1"/>
  <c r="Y125" i="1"/>
  <c r="Z125" i="1"/>
  <c r="U125" i="1"/>
  <c r="V125" i="1" s="1"/>
  <c r="W125" i="1"/>
  <c r="AC124" i="1"/>
  <c r="AG124" i="1"/>
  <c r="AB124" i="1"/>
  <c r="AF124" i="1"/>
  <c r="AD124" i="1"/>
  <c r="AH124" i="1"/>
  <c r="AA124" i="1"/>
  <c r="AE124" i="1"/>
  <c r="AC125" i="1" l="1"/>
  <c r="AG125" i="1"/>
  <c r="AE125" i="1"/>
  <c r="AA125" i="1"/>
  <c r="T126" i="1"/>
  <c r="Z126" i="1"/>
  <c r="U126" i="1"/>
  <c r="V126" i="1" s="1"/>
  <c r="Y126" i="1"/>
  <c r="W126" i="1"/>
  <c r="X126" i="1"/>
  <c r="S127" i="1"/>
  <c r="AF125" i="1"/>
  <c r="AB125" i="1"/>
  <c r="AH125" i="1"/>
  <c r="AD125" i="1"/>
  <c r="T127" i="1" l="1"/>
  <c r="X127" i="1"/>
  <c r="S128" i="1"/>
  <c r="W127" i="1"/>
  <c r="U127" i="1"/>
  <c r="V127" i="1" s="1"/>
  <c r="Y127" i="1"/>
  <c r="Z127" i="1"/>
  <c r="AC126" i="1"/>
  <c r="AG126" i="1"/>
  <c r="AB126" i="1"/>
  <c r="AF126" i="1"/>
  <c r="AD126" i="1"/>
  <c r="AH126" i="1"/>
  <c r="AA126" i="1"/>
  <c r="AE126" i="1"/>
  <c r="AE127" i="1" l="1"/>
  <c r="AA127" i="1"/>
  <c r="AH127" i="1"/>
  <c r="AD127" i="1"/>
  <c r="T128" i="1"/>
  <c r="Z128" i="1"/>
  <c r="U128" i="1"/>
  <c r="V128" i="1" s="1"/>
  <c r="Y128" i="1"/>
  <c r="S129" i="1"/>
  <c r="W128" i="1"/>
  <c r="X128" i="1"/>
  <c r="AG127" i="1"/>
  <c r="AC127" i="1"/>
  <c r="AB127" i="1"/>
  <c r="AF127" i="1"/>
  <c r="AC128" i="1" l="1"/>
  <c r="AG128" i="1"/>
  <c r="AF128" i="1"/>
  <c r="AB128" i="1"/>
  <c r="AA128" i="1"/>
  <c r="AE128" i="1"/>
  <c r="AD128" i="1"/>
  <c r="AH128" i="1"/>
  <c r="T129" i="1"/>
  <c r="X129" i="1"/>
  <c r="S130" i="1"/>
  <c r="W129" i="1"/>
  <c r="Y129" i="1"/>
  <c r="Z129" i="1"/>
  <c r="U129" i="1"/>
  <c r="V129" i="1" s="1"/>
  <c r="T130" i="1" l="1"/>
  <c r="Y130" i="1"/>
  <c r="S131" i="1"/>
  <c r="W130" i="1"/>
  <c r="X130" i="1"/>
  <c r="Z130" i="1"/>
  <c r="U130" i="1"/>
  <c r="V130" i="1" s="1"/>
  <c r="AA129" i="1"/>
  <c r="AE129" i="1"/>
  <c r="AF129" i="1"/>
  <c r="AB129" i="1"/>
  <c r="AD129" i="1"/>
  <c r="AH129" i="1"/>
  <c r="AC129" i="1"/>
  <c r="AG129" i="1"/>
  <c r="AA130" i="1" l="1"/>
  <c r="AE130" i="1"/>
  <c r="T131" i="1"/>
  <c r="X131" i="1"/>
  <c r="W131" i="1"/>
  <c r="S132" i="1"/>
  <c r="Z131" i="1"/>
  <c r="Y131" i="1"/>
  <c r="U131" i="1"/>
  <c r="V131" i="1" s="1"/>
  <c r="AD130" i="1"/>
  <c r="AH130" i="1"/>
  <c r="AC130" i="1"/>
  <c r="AG130" i="1"/>
  <c r="AB130" i="1"/>
  <c r="AF130" i="1"/>
  <c r="AB131" i="1" l="1"/>
  <c r="AF131" i="1"/>
  <c r="AH131" i="1"/>
  <c r="AD131" i="1"/>
  <c r="T132" i="1"/>
  <c r="Z132" i="1"/>
  <c r="U132" i="1"/>
  <c r="V132" i="1" s="1"/>
  <c r="Y132" i="1"/>
  <c r="S133" i="1"/>
  <c r="W132" i="1"/>
  <c r="X132" i="1"/>
  <c r="AG131" i="1"/>
  <c r="AC131" i="1"/>
  <c r="AE131" i="1"/>
  <c r="AA131" i="1"/>
  <c r="AC132" i="1" l="1"/>
  <c r="AG132" i="1"/>
  <c r="AB132" i="1"/>
  <c r="AF132" i="1"/>
  <c r="AA132" i="1"/>
  <c r="AE132" i="1"/>
  <c r="AD132" i="1"/>
  <c r="AH132" i="1"/>
  <c r="T133" i="1"/>
  <c r="X133" i="1"/>
  <c r="S134" i="1"/>
  <c r="Z133" i="1"/>
  <c r="W133" i="1"/>
  <c r="U133" i="1"/>
  <c r="V133" i="1" s="1"/>
  <c r="Y133" i="1"/>
  <c r="T134" i="1" l="1"/>
  <c r="W134" i="1"/>
  <c r="X134" i="1"/>
  <c r="Z134" i="1"/>
  <c r="U134" i="1"/>
  <c r="V134" i="1" s="1"/>
  <c r="Y134" i="1"/>
  <c r="S135" i="1"/>
  <c r="AD133" i="1"/>
  <c r="AH133" i="1"/>
  <c r="AF133" i="1"/>
  <c r="AB133" i="1"/>
  <c r="AG133" i="1"/>
  <c r="AC133" i="1"/>
  <c r="AE133" i="1"/>
  <c r="AA133" i="1"/>
  <c r="T135" i="1" l="1"/>
  <c r="Y135" i="1"/>
  <c r="Z135" i="1"/>
  <c r="U135" i="1"/>
  <c r="V135" i="1" s="1"/>
  <c r="X135" i="1"/>
  <c r="S136" i="1"/>
  <c r="W135" i="1"/>
  <c r="AF134" i="1"/>
  <c r="AB134" i="1"/>
  <c r="AG134" i="1"/>
  <c r="AC134" i="1"/>
  <c r="AE134" i="1"/>
  <c r="AA134" i="1"/>
  <c r="AD134" i="1"/>
  <c r="AH134" i="1"/>
  <c r="AA135" i="1" l="1"/>
  <c r="AE135" i="1"/>
  <c r="AD135" i="1"/>
  <c r="AH135" i="1"/>
  <c r="T136" i="1"/>
  <c r="Z136" i="1"/>
  <c r="U136" i="1"/>
  <c r="V136" i="1" s="1"/>
  <c r="W136" i="1"/>
  <c r="Y136" i="1"/>
  <c r="S137" i="1"/>
  <c r="X136" i="1"/>
  <c r="AC135" i="1"/>
  <c r="AG135" i="1"/>
  <c r="AB135" i="1"/>
  <c r="AF135" i="1"/>
  <c r="AB136" i="1" l="1"/>
  <c r="AF136" i="1"/>
  <c r="AA136" i="1"/>
  <c r="AE136" i="1"/>
  <c r="T137" i="1"/>
  <c r="X137" i="1"/>
  <c r="S138" i="1"/>
  <c r="W137" i="1"/>
  <c r="U137" i="1"/>
  <c r="V137" i="1" s="1"/>
  <c r="Y137" i="1"/>
  <c r="Z137" i="1"/>
  <c r="AD136" i="1"/>
  <c r="AH136" i="1"/>
  <c r="AC136" i="1"/>
  <c r="AG136" i="1"/>
  <c r="T138" i="1" l="1"/>
  <c r="S139" i="1"/>
  <c r="W138" i="1"/>
  <c r="X138" i="1"/>
  <c r="Z138" i="1"/>
  <c r="Y138" i="1"/>
  <c r="U138" i="1"/>
  <c r="V138" i="1" s="1"/>
  <c r="AA137" i="1"/>
  <c r="AE137" i="1"/>
  <c r="AC137" i="1"/>
  <c r="AG137" i="1"/>
  <c r="AB137" i="1"/>
  <c r="AF137" i="1"/>
  <c r="AH137" i="1"/>
  <c r="AD137" i="1"/>
  <c r="AC138" i="1" l="1"/>
  <c r="AG138" i="1"/>
  <c r="T139" i="1"/>
  <c r="X139" i="1"/>
  <c r="S140" i="1"/>
  <c r="W139" i="1"/>
  <c r="Y139" i="1"/>
  <c r="U139" i="1"/>
  <c r="V139" i="1" s="1"/>
  <c r="Z139" i="1"/>
  <c r="AF138" i="1"/>
  <c r="AB138" i="1"/>
  <c r="AA138" i="1"/>
  <c r="AE138" i="1"/>
  <c r="AH138" i="1"/>
  <c r="AD138" i="1"/>
  <c r="AC139" i="1" l="1"/>
  <c r="AG139" i="1"/>
  <c r="AA139" i="1"/>
  <c r="AE139" i="1"/>
  <c r="AF139" i="1"/>
  <c r="AB139" i="1"/>
  <c r="AH139" i="1"/>
  <c r="AD139" i="1"/>
  <c r="T140" i="1"/>
  <c r="S141" i="1"/>
  <c r="X140" i="1"/>
  <c r="Z140" i="1"/>
  <c r="Y140" i="1"/>
  <c r="W140" i="1"/>
  <c r="U140" i="1"/>
  <c r="V140" i="1" s="1"/>
  <c r="AF140" i="1" l="1"/>
  <c r="AB140" i="1"/>
  <c r="AD140" i="1"/>
  <c r="AH140" i="1"/>
  <c r="T141" i="1"/>
  <c r="Y141" i="1"/>
  <c r="Z141" i="1"/>
  <c r="X141" i="1"/>
  <c r="S142" i="1"/>
  <c r="W141" i="1"/>
  <c r="U141" i="1"/>
  <c r="V141" i="1" s="1"/>
  <c r="AA140" i="1"/>
  <c r="AE140" i="1"/>
  <c r="AC140" i="1"/>
  <c r="AG140" i="1"/>
  <c r="AA141" i="1" l="1"/>
  <c r="AE141" i="1"/>
  <c r="AG141" i="1"/>
  <c r="AC141" i="1"/>
  <c r="AF141" i="1"/>
  <c r="AB141" i="1"/>
  <c r="AH141" i="1"/>
  <c r="AD141" i="1"/>
  <c r="T142" i="1"/>
  <c r="Z142" i="1"/>
  <c r="U142" i="1"/>
  <c r="V142" i="1" s="1"/>
  <c r="Y142" i="1"/>
  <c r="S143" i="1"/>
  <c r="W142" i="1"/>
  <c r="X142" i="1"/>
  <c r="AC142" i="1" l="1"/>
  <c r="AG142" i="1"/>
  <c r="AB142" i="1"/>
  <c r="AF142" i="1"/>
  <c r="AE142" i="1"/>
  <c r="AA142" i="1"/>
  <c r="AD142" i="1"/>
  <c r="AH142" i="1"/>
  <c r="T143" i="1"/>
  <c r="Y143" i="1"/>
  <c r="Z143" i="1"/>
  <c r="U143" i="1"/>
  <c r="V143" i="1" s="1"/>
  <c r="X143" i="1"/>
  <c r="S144" i="1"/>
  <c r="W143" i="1"/>
  <c r="T144" i="1" l="1"/>
  <c r="Z144" i="1"/>
  <c r="U144" i="1"/>
  <c r="V144" i="1" s="1"/>
  <c r="Y144" i="1"/>
  <c r="S145" i="1"/>
  <c r="X144" i="1"/>
  <c r="W144" i="1"/>
  <c r="AE143" i="1"/>
  <c r="AA143" i="1"/>
  <c r="AD143" i="1"/>
  <c r="AH143" i="1"/>
  <c r="AC143" i="1"/>
  <c r="AG143" i="1"/>
  <c r="AB143" i="1"/>
  <c r="AF143" i="1"/>
  <c r="AC144" i="1" l="1"/>
  <c r="AG144" i="1"/>
  <c r="AA144" i="1"/>
  <c r="AE144" i="1"/>
  <c r="AB144" i="1"/>
  <c r="AF144" i="1"/>
  <c r="AD144" i="1"/>
  <c r="AH144" i="1"/>
  <c r="T145" i="1"/>
  <c r="X145" i="1"/>
  <c r="S146" i="1"/>
  <c r="W145" i="1"/>
  <c r="Y145" i="1"/>
  <c r="Z145" i="1"/>
  <c r="U145" i="1"/>
  <c r="V145" i="1" s="1"/>
  <c r="AA145" i="1" l="1"/>
  <c r="AE145" i="1"/>
  <c r="T146" i="1"/>
  <c r="S147" i="1"/>
  <c r="W146" i="1"/>
  <c r="X146" i="1"/>
  <c r="Z146" i="1"/>
  <c r="U146" i="1"/>
  <c r="V146" i="1" s="1"/>
  <c r="Y146" i="1"/>
  <c r="AH145" i="1"/>
  <c r="AD145" i="1"/>
  <c r="AF145" i="1"/>
  <c r="AB145" i="1"/>
  <c r="AC145" i="1"/>
  <c r="AG145" i="1"/>
  <c r="AF146" i="1" l="1"/>
  <c r="AB146" i="1"/>
  <c r="T147" i="1"/>
  <c r="Y147" i="1"/>
  <c r="Z147" i="1"/>
  <c r="X147" i="1"/>
  <c r="S148" i="1"/>
  <c r="W147" i="1"/>
  <c r="U147" i="1"/>
  <c r="V147" i="1" s="1"/>
  <c r="AD146" i="1"/>
  <c r="AH146" i="1"/>
  <c r="AC146" i="1"/>
  <c r="AG146" i="1"/>
  <c r="AA146" i="1"/>
  <c r="AE146" i="1"/>
  <c r="AA147" i="1" l="1"/>
  <c r="AE147" i="1"/>
  <c r="AC147" i="1"/>
  <c r="AG147" i="1"/>
  <c r="AB147" i="1"/>
  <c r="AF147" i="1"/>
  <c r="T148" i="1"/>
  <c r="Z148" i="1"/>
  <c r="U148" i="1"/>
  <c r="V148" i="1" s="1"/>
  <c r="S149" i="1"/>
  <c r="Y148" i="1"/>
  <c r="W148" i="1"/>
  <c r="X148" i="1"/>
  <c r="AH147" i="1"/>
  <c r="AD147" i="1"/>
  <c r="AE148" i="1" l="1"/>
  <c r="AA148" i="1"/>
  <c r="AC148" i="1"/>
  <c r="AG148" i="1"/>
  <c r="T149" i="1"/>
  <c r="Y149" i="1"/>
  <c r="Z149" i="1"/>
  <c r="S150" i="1"/>
  <c r="W149" i="1"/>
  <c r="U149" i="1"/>
  <c r="V149" i="1" s="1"/>
  <c r="X149" i="1"/>
  <c r="AD148" i="1"/>
  <c r="AH148" i="1"/>
  <c r="AB148" i="1"/>
  <c r="AF148" i="1"/>
  <c r="T150" i="1" l="1"/>
  <c r="Z150" i="1"/>
  <c r="U150" i="1"/>
  <c r="V150" i="1" s="1"/>
  <c r="S151" i="1"/>
  <c r="W150" i="1"/>
  <c r="X150" i="1"/>
  <c r="Y150" i="1"/>
  <c r="AB149" i="1"/>
  <c r="AF149" i="1"/>
  <c r="AD149" i="1"/>
  <c r="AH149" i="1"/>
  <c r="AG149" i="1"/>
  <c r="AC149" i="1"/>
  <c r="AA149" i="1"/>
  <c r="AE149" i="1"/>
  <c r="T151" i="1" l="1"/>
  <c r="Y151" i="1"/>
  <c r="Z151" i="1"/>
  <c r="U151" i="1"/>
  <c r="V151" i="1" s="1"/>
  <c r="X151" i="1"/>
  <c r="S152" i="1"/>
  <c r="W151" i="1"/>
  <c r="AG150" i="1"/>
  <c r="AC150" i="1"/>
  <c r="AB150" i="1"/>
  <c r="AF150" i="1"/>
  <c r="AD150" i="1"/>
  <c r="AH150" i="1"/>
  <c r="AA150" i="1"/>
  <c r="AE150" i="1"/>
  <c r="AA151" i="1" l="1"/>
  <c r="AE151" i="1"/>
  <c r="AD151" i="1"/>
  <c r="AH151" i="1"/>
  <c r="T152" i="1"/>
  <c r="Z152" i="1"/>
  <c r="U152" i="1"/>
  <c r="V152" i="1" s="1"/>
  <c r="W152" i="1"/>
  <c r="Y152" i="1"/>
  <c r="S153" i="1"/>
  <c r="X152" i="1"/>
  <c r="AG151" i="1"/>
  <c r="AC151" i="1"/>
  <c r="AB151" i="1"/>
  <c r="AF151" i="1"/>
  <c r="AE152" i="1" l="1"/>
  <c r="AA152" i="1"/>
  <c r="AB152" i="1"/>
  <c r="AF152" i="1"/>
  <c r="T153" i="1"/>
  <c r="Y153" i="1"/>
  <c r="Z153" i="1"/>
  <c r="U153" i="1"/>
  <c r="V153" i="1" s="1"/>
  <c r="X153" i="1"/>
  <c r="S154" i="1"/>
  <c r="W153" i="1"/>
  <c r="AD152" i="1"/>
  <c r="AH152" i="1"/>
  <c r="AC152" i="1"/>
  <c r="AG152" i="1"/>
  <c r="AA153" i="1" l="1"/>
  <c r="AE153" i="1"/>
  <c r="AD153" i="1"/>
  <c r="AH153" i="1"/>
  <c r="T154" i="1"/>
  <c r="Z154" i="1"/>
  <c r="U154" i="1"/>
  <c r="V154" i="1" s="1"/>
  <c r="Y154" i="1"/>
  <c r="S155" i="1"/>
  <c r="W154" i="1"/>
  <c r="X154" i="1"/>
  <c r="AG153" i="1"/>
  <c r="AC153" i="1"/>
  <c r="AB153" i="1"/>
  <c r="AF153" i="1"/>
  <c r="AC154" i="1" l="1"/>
  <c r="AG154" i="1"/>
  <c r="AB154" i="1"/>
  <c r="AF154" i="1"/>
  <c r="AE154" i="1"/>
  <c r="AA154" i="1"/>
  <c r="AD154" i="1"/>
  <c r="AH154" i="1"/>
  <c r="T155" i="1"/>
  <c r="Y155" i="1"/>
  <c r="Z155" i="1"/>
  <c r="U155" i="1"/>
  <c r="V155" i="1" s="1"/>
  <c r="X155" i="1"/>
  <c r="W155" i="1"/>
  <c r="S156" i="1"/>
  <c r="AB155" i="1" l="1"/>
  <c r="AF155" i="1"/>
  <c r="AD155" i="1"/>
  <c r="AH155" i="1"/>
  <c r="T156" i="1"/>
  <c r="Z156" i="1"/>
  <c r="Y156" i="1"/>
  <c r="W156" i="1"/>
  <c r="X156" i="1"/>
  <c r="U156" i="1"/>
  <c r="V156" i="1" s="1"/>
  <c r="S157" i="1"/>
  <c r="AA155" i="1"/>
  <c r="AE155" i="1"/>
  <c r="AC155" i="1"/>
  <c r="AG155" i="1"/>
  <c r="AE156" i="1" l="1"/>
  <c r="AA156" i="1"/>
  <c r="T157" i="1"/>
  <c r="S158" i="1"/>
  <c r="W157" i="1"/>
  <c r="Y157" i="1"/>
  <c r="Z157" i="1"/>
  <c r="U157" i="1"/>
  <c r="V157" i="1" s="1"/>
  <c r="X157" i="1"/>
  <c r="AG156" i="1"/>
  <c r="AC156" i="1"/>
  <c r="AH156" i="1"/>
  <c r="AD156" i="1"/>
  <c r="AF156" i="1"/>
  <c r="AB156" i="1"/>
  <c r="T158" i="1" l="1"/>
  <c r="Z158" i="1"/>
  <c r="U158" i="1"/>
  <c r="V158" i="1" s="1"/>
  <c r="Y158" i="1"/>
  <c r="S159" i="1"/>
  <c r="W158" i="1"/>
  <c r="X158" i="1"/>
  <c r="AH157" i="1"/>
  <c r="AD157" i="1"/>
  <c r="AC157" i="1"/>
  <c r="AG157" i="1"/>
  <c r="AF157" i="1"/>
  <c r="AB157" i="1"/>
  <c r="AE157" i="1"/>
  <c r="AA157" i="1"/>
  <c r="AC158" i="1" l="1"/>
  <c r="AG158" i="1"/>
  <c r="AF158" i="1"/>
  <c r="AB158" i="1"/>
  <c r="AA158" i="1"/>
  <c r="AE158" i="1"/>
  <c r="AD158" i="1"/>
  <c r="AH158" i="1"/>
  <c r="T159" i="1"/>
  <c r="X159" i="1"/>
  <c r="S160" i="1"/>
  <c r="W159" i="1"/>
  <c r="Y159" i="1"/>
  <c r="Z159" i="1"/>
  <c r="U159" i="1"/>
  <c r="V159" i="1" s="1"/>
  <c r="T160" i="1" l="1"/>
  <c r="Y160" i="1"/>
  <c r="S161" i="1"/>
  <c r="X160" i="1"/>
  <c r="W160" i="1"/>
  <c r="Z160" i="1"/>
  <c r="U160" i="1"/>
  <c r="V160" i="1" s="1"/>
  <c r="AE159" i="1"/>
  <c r="AA159" i="1"/>
  <c r="AD159" i="1"/>
  <c r="AH159" i="1"/>
  <c r="AF159" i="1"/>
  <c r="AB159" i="1"/>
  <c r="AG159" i="1"/>
  <c r="AC159" i="1"/>
  <c r="T161" i="1" l="1"/>
  <c r="S162" i="1"/>
  <c r="W161" i="1"/>
  <c r="Y161" i="1"/>
  <c r="Z161" i="1"/>
  <c r="U161" i="1"/>
  <c r="V161" i="1" s="1"/>
  <c r="X161" i="1"/>
  <c r="AH160" i="1"/>
  <c r="AD160" i="1"/>
  <c r="AG160" i="1"/>
  <c r="AC160" i="1"/>
  <c r="AB160" i="1"/>
  <c r="AF160" i="1"/>
  <c r="AA160" i="1"/>
  <c r="AE160" i="1"/>
  <c r="AG161" i="1" l="1"/>
  <c r="AC161" i="1"/>
  <c r="AB161" i="1"/>
  <c r="AF161" i="1"/>
  <c r="AE161" i="1"/>
  <c r="AA161" i="1"/>
  <c r="T162" i="1"/>
  <c r="Z162" i="1"/>
  <c r="U162" i="1"/>
  <c r="V162" i="1" s="1"/>
  <c r="S163" i="1"/>
  <c r="Y162" i="1"/>
  <c r="W162" i="1"/>
  <c r="X162" i="1"/>
  <c r="AH161" i="1"/>
  <c r="AD161" i="1"/>
  <c r="AA162" i="1" l="1"/>
  <c r="AE162" i="1"/>
  <c r="AC162" i="1"/>
  <c r="AG162" i="1"/>
  <c r="T163" i="1"/>
  <c r="X163" i="1"/>
  <c r="S164" i="1"/>
  <c r="W163" i="1"/>
  <c r="Z163" i="1"/>
  <c r="U163" i="1"/>
  <c r="V163" i="1" s="1"/>
  <c r="Y163" i="1"/>
  <c r="AH162" i="1"/>
  <c r="AD162" i="1"/>
  <c r="AF162" i="1"/>
  <c r="AB162" i="1"/>
  <c r="T164" i="1" l="1"/>
  <c r="Z164" i="1"/>
  <c r="U164" i="1"/>
  <c r="V164" i="1" s="1"/>
  <c r="W164" i="1"/>
  <c r="X164" i="1"/>
  <c r="Y164" i="1"/>
  <c r="S165" i="1"/>
  <c r="AE163" i="1"/>
  <c r="AA163" i="1"/>
  <c r="AG163" i="1"/>
  <c r="AC163" i="1"/>
  <c r="AB163" i="1"/>
  <c r="AF163" i="1"/>
  <c r="AH163" i="1"/>
  <c r="AD163" i="1"/>
  <c r="T165" i="1" l="1"/>
  <c r="X165" i="1"/>
  <c r="U165" i="1"/>
  <c r="V165" i="1" s="1"/>
  <c r="S166" i="1"/>
  <c r="W165" i="1"/>
  <c r="Y165" i="1"/>
  <c r="Z165" i="1"/>
  <c r="AC164" i="1"/>
  <c r="AG164" i="1"/>
  <c r="AH164" i="1"/>
  <c r="AD164" i="1"/>
  <c r="AA164" i="1"/>
  <c r="AE164" i="1"/>
  <c r="AF164" i="1"/>
  <c r="AB164" i="1"/>
  <c r="T166" i="1" l="1"/>
  <c r="Z166" i="1"/>
  <c r="U166" i="1"/>
  <c r="V166" i="1" s="1"/>
  <c r="S167" i="1"/>
  <c r="X166" i="1"/>
  <c r="Y166" i="1"/>
  <c r="W166" i="1"/>
  <c r="AH165" i="1"/>
  <c r="AD165" i="1"/>
  <c r="AC165" i="1"/>
  <c r="AG165" i="1"/>
  <c r="AB165" i="1"/>
  <c r="AF165" i="1"/>
  <c r="AA165" i="1"/>
  <c r="AE165" i="1"/>
  <c r="AA166" i="1" l="1"/>
  <c r="AE166" i="1"/>
  <c r="T167" i="1"/>
  <c r="X167" i="1"/>
  <c r="U167" i="1"/>
  <c r="V167" i="1" s="1"/>
  <c r="S168" i="1"/>
  <c r="W167" i="1"/>
  <c r="Y167" i="1"/>
  <c r="Z167" i="1"/>
  <c r="AC166" i="1"/>
  <c r="AG166" i="1"/>
  <c r="AD166" i="1"/>
  <c r="AH166" i="1"/>
  <c r="AB166" i="1"/>
  <c r="AF166" i="1"/>
  <c r="AB167" i="1" l="1"/>
  <c r="AF167" i="1"/>
  <c r="AA167" i="1"/>
  <c r="AE167" i="1"/>
  <c r="AC167" i="1"/>
  <c r="AG167" i="1"/>
  <c r="T168" i="1"/>
  <c r="S169" i="1"/>
  <c r="Y168" i="1"/>
  <c r="W168" i="1"/>
  <c r="X168" i="1"/>
  <c r="Z168" i="1"/>
  <c r="U168" i="1"/>
  <c r="V168" i="1" s="1"/>
  <c r="AH167" i="1"/>
  <c r="AD167" i="1"/>
  <c r="AD168" i="1" l="1"/>
  <c r="AH168" i="1"/>
  <c r="T169" i="1"/>
  <c r="Y169" i="1"/>
  <c r="Z169" i="1"/>
  <c r="U169" i="1"/>
  <c r="V169" i="1" s="1"/>
  <c r="X169" i="1"/>
  <c r="S170" i="1"/>
  <c r="W169" i="1"/>
  <c r="AF168" i="1"/>
  <c r="AB168" i="1"/>
  <c r="AE168" i="1"/>
  <c r="AA168" i="1"/>
  <c r="AC168" i="1"/>
  <c r="AG168" i="1"/>
  <c r="AB169" i="1" l="1"/>
  <c r="AF169" i="1"/>
  <c r="T170" i="1"/>
  <c r="Y170" i="1"/>
  <c r="S171" i="1"/>
  <c r="W170" i="1"/>
  <c r="Z170" i="1"/>
  <c r="X170" i="1"/>
  <c r="U170" i="1"/>
  <c r="V170" i="1" s="1"/>
  <c r="AG169" i="1"/>
  <c r="AC169" i="1"/>
  <c r="AE169" i="1"/>
  <c r="AA169" i="1"/>
  <c r="AD169" i="1"/>
  <c r="AH169" i="1"/>
  <c r="AF170" i="1" l="1"/>
  <c r="AB170" i="1"/>
  <c r="AC170" i="1"/>
  <c r="AG170" i="1"/>
  <c r="AD170" i="1"/>
  <c r="AH170" i="1"/>
  <c r="AA170" i="1"/>
  <c r="AE170" i="1"/>
  <c r="T171" i="1"/>
  <c r="X171" i="1"/>
  <c r="Z171" i="1"/>
  <c r="U171" i="1"/>
  <c r="V171" i="1" s="1"/>
  <c r="S172" i="1"/>
  <c r="W171" i="1"/>
  <c r="Y171" i="1"/>
  <c r="AG171" i="1" l="1"/>
  <c r="AC171" i="1"/>
  <c r="AD171" i="1"/>
  <c r="AH171" i="1"/>
  <c r="AE171" i="1"/>
  <c r="AA171" i="1"/>
  <c r="AF171" i="1"/>
  <c r="AB171" i="1"/>
  <c r="T172" i="1"/>
  <c r="Z172" i="1"/>
  <c r="Y172" i="1"/>
  <c r="S173" i="1"/>
  <c r="W172" i="1"/>
  <c r="X172" i="1"/>
  <c r="U172" i="1"/>
  <c r="V172" i="1" s="1"/>
  <c r="T173" i="1" l="1"/>
  <c r="S174" i="1"/>
  <c r="W173" i="1"/>
  <c r="Y173" i="1"/>
  <c r="Z173" i="1"/>
  <c r="U173" i="1"/>
  <c r="V173" i="1" s="1"/>
  <c r="X173" i="1"/>
  <c r="AG172" i="1"/>
  <c r="AC172" i="1"/>
  <c r="AB172" i="1"/>
  <c r="AF172" i="1"/>
  <c r="AH172" i="1"/>
  <c r="AD172" i="1"/>
  <c r="AE172" i="1"/>
  <c r="AA172" i="1"/>
  <c r="AC173" i="1" l="1"/>
  <c r="AG173" i="1"/>
  <c r="AF173" i="1"/>
  <c r="AB173" i="1"/>
  <c r="AA173" i="1"/>
  <c r="AE173" i="1"/>
  <c r="T174" i="1"/>
  <c r="S175" i="1"/>
  <c r="Y174" i="1"/>
  <c r="W174" i="1"/>
  <c r="X174" i="1"/>
  <c r="Z174" i="1"/>
  <c r="U174" i="1"/>
  <c r="V174" i="1" s="1"/>
  <c r="AH173" i="1"/>
  <c r="AD173" i="1"/>
  <c r="T175" i="1" l="1"/>
  <c r="X175" i="1"/>
  <c r="S176" i="1"/>
  <c r="W175" i="1"/>
  <c r="U175" i="1"/>
  <c r="V175" i="1" s="1"/>
  <c r="Y175" i="1"/>
  <c r="Z175" i="1"/>
  <c r="AB174" i="1"/>
  <c r="AF174" i="1"/>
  <c r="AA174" i="1"/>
  <c r="AE174" i="1"/>
  <c r="AD174" i="1"/>
  <c r="AH174" i="1"/>
  <c r="AC174" i="1"/>
  <c r="AG174" i="1"/>
  <c r="AA175" i="1" l="1"/>
  <c r="AE175" i="1"/>
  <c r="AH175" i="1"/>
  <c r="AD175" i="1"/>
  <c r="T176" i="1"/>
  <c r="Z176" i="1"/>
  <c r="U176" i="1"/>
  <c r="V176" i="1" s="1"/>
  <c r="S177" i="1"/>
  <c r="Y176" i="1"/>
  <c r="W176" i="1"/>
  <c r="X176" i="1"/>
  <c r="AG175" i="1"/>
  <c r="AC175" i="1"/>
  <c r="AB175" i="1"/>
  <c r="AF175" i="1"/>
  <c r="T177" i="1" l="1"/>
  <c r="X177" i="1"/>
  <c r="S178" i="1"/>
  <c r="W177" i="1"/>
  <c r="Y177" i="1"/>
  <c r="U177" i="1"/>
  <c r="V177" i="1" s="1"/>
  <c r="Z177" i="1"/>
  <c r="AA176" i="1"/>
  <c r="AE176" i="1"/>
  <c r="AD176" i="1"/>
  <c r="AH176" i="1"/>
  <c r="AB176" i="1"/>
  <c r="AF176" i="1"/>
  <c r="AC176" i="1"/>
  <c r="AG176" i="1"/>
  <c r="AH177" i="1" l="1"/>
  <c r="AD177" i="1"/>
  <c r="T178" i="1"/>
  <c r="Z178" i="1"/>
  <c r="U178" i="1"/>
  <c r="V178" i="1" s="1"/>
  <c r="Y178" i="1"/>
  <c r="S179" i="1"/>
  <c r="W178" i="1"/>
  <c r="X178" i="1"/>
  <c r="AA177" i="1"/>
  <c r="AE177" i="1"/>
  <c r="AF177" i="1"/>
  <c r="AB177" i="1"/>
  <c r="AG177" i="1"/>
  <c r="AC177" i="1"/>
  <c r="T179" i="1" l="1"/>
  <c r="X179" i="1"/>
  <c r="S180" i="1"/>
  <c r="W179" i="1"/>
  <c r="Y179" i="1"/>
  <c r="Z179" i="1"/>
  <c r="U179" i="1"/>
  <c r="V179" i="1" s="1"/>
  <c r="AA178" i="1"/>
  <c r="AE178" i="1"/>
  <c r="AC178" i="1"/>
  <c r="AG178" i="1"/>
  <c r="AD178" i="1"/>
  <c r="AH178" i="1"/>
  <c r="AB178" i="1"/>
  <c r="AF178" i="1"/>
  <c r="T180" i="1" l="1"/>
  <c r="S181" i="1"/>
  <c r="U180" i="1"/>
  <c r="V180" i="1" s="1"/>
  <c r="Y180" i="1"/>
  <c r="W180" i="1"/>
  <c r="X180" i="1"/>
  <c r="Z180" i="1"/>
  <c r="AH179" i="1"/>
  <c r="AD179" i="1"/>
  <c r="AF179" i="1"/>
  <c r="AB179" i="1"/>
  <c r="AA179" i="1"/>
  <c r="AE179" i="1"/>
  <c r="AC179" i="1"/>
  <c r="AG179" i="1"/>
  <c r="AC180" i="1" l="1"/>
  <c r="AG180" i="1"/>
  <c r="AD180" i="1"/>
  <c r="AH180" i="1"/>
  <c r="AF180" i="1"/>
  <c r="AB180" i="1"/>
  <c r="T181" i="1"/>
  <c r="X181" i="1"/>
  <c r="Z181" i="1"/>
  <c r="S182" i="1"/>
  <c r="W181" i="1"/>
  <c r="Y181" i="1"/>
  <c r="U181" i="1"/>
  <c r="V181" i="1" s="1"/>
  <c r="AA180" i="1"/>
  <c r="AE180" i="1"/>
  <c r="AC181" i="1" l="1"/>
  <c r="AG181" i="1"/>
  <c r="AA181" i="1"/>
  <c r="AE181" i="1"/>
  <c r="AF181" i="1"/>
  <c r="AB181" i="1"/>
  <c r="T182" i="1"/>
  <c r="S183" i="1"/>
  <c r="X182" i="1"/>
  <c r="Y182" i="1"/>
  <c r="W182" i="1"/>
  <c r="Z182" i="1"/>
  <c r="U182" i="1"/>
  <c r="V182" i="1" s="1"/>
  <c r="AH181" i="1"/>
  <c r="AD181" i="1"/>
  <c r="AD182" i="1" l="1"/>
  <c r="AH182" i="1"/>
  <c r="AA182" i="1"/>
  <c r="AE182" i="1"/>
  <c r="T183" i="1"/>
  <c r="X183" i="1"/>
  <c r="W183" i="1"/>
  <c r="Z183" i="1"/>
  <c r="U183" i="1"/>
  <c r="V183" i="1" s="1"/>
  <c r="S184" i="1"/>
  <c r="Y183" i="1"/>
  <c r="AC182" i="1"/>
  <c r="AG182" i="1"/>
  <c r="AB182" i="1"/>
  <c r="AF182" i="1"/>
  <c r="AH183" i="1" l="1"/>
  <c r="AD183" i="1"/>
  <c r="AC183" i="1"/>
  <c r="AG183" i="1"/>
  <c r="AA183" i="1"/>
  <c r="AE183" i="1"/>
  <c r="T184" i="1"/>
  <c r="Z184" i="1"/>
  <c r="U184" i="1"/>
  <c r="V184" i="1" s="1"/>
  <c r="W184" i="1"/>
  <c r="X184" i="1"/>
  <c r="Y184" i="1"/>
  <c r="S185" i="1"/>
  <c r="AF183" i="1"/>
  <c r="AB183" i="1"/>
  <c r="AD184" i="1" l="1"/>
  <c r="AH184" i="1"/>
  <c r="AB184" i="1"/>
  <c r="AF184" i="1"/>
  <c r="AC184" i="1"/>
  <c r="AG184" i="1"/>
  <c r="AA184" i="1"/>
  <c r="AE184" i="1"/>
  <c r="T185" i="1"/>
  <c r="X185" i="1"/>
  <c r="S186" i="1"/>
  <c r="W185" i="1"/>
  <c r="Y185" i="1"/>
  <c r="Z185" i="1"/>
  <c r="U185" i="1"/>
  <c r="V185" i="1" s="1"/>
  <c r="AA185" i="1" l="1"/>
  <c r="AE185" i="1"/>
  <c r="T186" i="1"/>
  <c r="Z186" i="1"/>
  <c r="U186" i="1"/>
  <c r="V186" i="1" s="1"/>
  <c r="Y186" i="1"/>
  <c r="S187" i="1"/>
  <c r="X186" i="1"/>
  <c r="W186" i="1"/>
  <c r="AH185" i="1"/>
  <c r="AD185" i="1"/>
  <c r="AF185" i="1"/>
  <c r="AB185" i="1"/>
  <c r="AG185" i="1"/>
  <c r="AC185" i="1"/>
  <c r="T187" i="1" l="1"/>
  <c r="X187" i="1"/>
  <c r="S188" i="1"/>
  <c r="U187" i="1"/>
  <c r="V187" i="1" s="1"/>
  <c r="W187" i="1"/>
  <c r="Y187" i="1"/>
  <c r="Z187" i="1"/>
  <c r="AB186" i="1"/>
  <c r="AF186" i="1"/>
  <c r="AC186" i="1"/>
  <c r="AG186" i="1"/>
  <c r="AD186" i="1"/>
  <c r="AH186" i="1"/>
  <c r="AA186" i="1"/>
  <c r="AE186" i="1"/>
  <c r="AH187" i="1" l="1"/>
  <c r="AD187" i="1"/>
  <c r="T188" i="1"/>
  <c r="Z188" i="1"/>
  <c r="U188" i="1"/>
  <c r="V188" i="1" s="1"/>
  <c r="S189" i="1"/>
  <c r="W188" i="1"/>
  <c r="X188" i="1"/>
  <c r="Y188" i="1"/>
  <c r="AC187" i="1"/>
  <c r="AG187" i="1"/>
  <c r="AB187" i="1"/>
  <c r="AF187" i="1"/>
  <c r="AA187" i="1"/>
  <c r="AE187" i="1"/>
  <c r="AF188" i="1" l="1"/>
  <c r="AB188" i="1"/>
  <c r="AA188" i="1"/>
  <c r="AE188" i="1"/>
  <c r="T189" i="1"/>
  <c r="X189" i="1"/>
  <c r="Y189" i="1"/>
  <c r="Z189" i="1"/>
  <c r="S190" i="1"/>
  <c r="W189" i="1"/>
  <c r="U189" i="1"/>
  <c r="V189" i="1" s="1"/>
  <c r="AD188" i="1"/>
  <c r="AH188" i="1"/>
  <c r="AC188" i="1"/>
  <c r="AG188" i="1"/>
  <c r="AG189" i="1" l="1"/>
  <c r="AC189" i="1"/>
  <c r="AH189" i="1"/>
  <c r="AD189" i="1"/>
  <c r="AA189" i="1"/>
  <c r="AE189" i="1"/>
  <c r="AB189" i="1"/>
  <c r="AF189" i="1"/>
  <c r="T190" i="1"/>
  <c r="S191" i="1"/>
  <c r="W190" i="1"/>
  <c r="X190" i="1"/>
  <c r="Z190" i="1"/>
  <c r="U190" i="1"/>
  <c r="V190" i="1" s="1"/>
  <c r="Y190" i="1"/>
  <c r="AC190" i="1" l="1"/>
  <c r="AG190" i="1"/>
  <c r="AE190" i="1"/>
  <c r="AA190" i="1"/>
  <c r="AB190" i="1"/>
  <c r="AF190" i="1"/>
  <c r="T191" i="1"/>
  <c r="Y191" i="1"/>
  <c r="Z191" i="1"/>
  <c r="U191" i="1"/>
  <c r="V191" i="1" s="1"/>
  <c r="W191" i="1"/>
  <c r="X191" i="1"/>
  <c r="S192" i="1"/>
  <c r="AD190" i="1"/>
  <c r="AH190" i="1"/>
  <c r="AB191" i="1" l="1"/>
  <c r="AF191" i="1"/>
  <c r="AA191" i="1"/>
  <c r="AE191" i="1"/>
  <c r="AG191" i="1"/>
  <c r="AC191" i="1"/>
  <c r="T192" i="1"/>
  <c r="Z192" i="1"/>
  <c r="U192" i="1"/>
  <c r="V192" i="1" s="1"/>
  <c r="Y192" i="1"/>
  <c r="S193" i="1"/>
  <c r="W192" i="1"/>
  <c r="X192" i="1"/>
  <c r="AD191" i="1"/>
  <c r="AH191" i="1"/>
  <c r="T193" i="1" l="1"/>
  <c r="X193" i="1"/>
  <c r="S194" i="1"/>
  <c r="Y193" i="1"/>
  <c r="U193" i="1"/>
  <c r="V193" i="1" s="1"/>
  <c r="W193" i="1"/>
  <c r="Z193" i="1"/>
  <c r="AD192" i="1"/>
  <c r="AH192" i="1"/>
  <c r="AC192" i="1"/>
  <c r="AG192" i="1"/>
  <c r="AA192" i="1"/>
  <c r="AE192" i="1"/>
  <c r="AB192" i="1"/>
  <c r="AF192" i="1"/>
  <c r="AC193" i="1" l="1"/>
  <c r="AG193" i="1"/>
  <c r="AH193" i="1"/>
  <c r="AD193" i="1"/>
  <c r="T194" i="1"/>
  <c r="Z194" i="1"/>
  <c r="U194" i="1"/>
  <c r="V194" i="1" s="1"/>
  <c r="S195" i="1"/>
  <c r="Y194" i="1"/>
  <c r="W194" i="1"/>
  <c r="X194" i="1"/>
  <c r="AA193" i="1"/>
  <c r="AE193" i="1"/>
  <c r="AF193" i="1"/>
  <c r="AB193" i="1"/>
  <c r="AB194" i="1" l="1"/>
  <c r="AF194" i="1"/>
  <c r="T195" i="1"/>
  <c r="S196" i="1"/>
  <c r="W195" i="1"/>
  <c r="Y195" i="1"/>
  <c r="Z195" i="1"/>
  <c r="U195" i="1"/>
  <c r="V195" i="1" s="1"/>
  <c r="X195" i="1"/>
  <c r="AE194" i="1"/>
  <c r="AA194" i="1"/>
  <c r="AH194" i="1"/>
  <c r="AD194" i="1"/>
  <c r="AG194" i="1"/>
  <c r="AC194" i="1"/>
  <c r="AH195" i="1" l="1"/>
  <c r="AD195" i="1"/>
  <c r="T196" i="1"/>
  <c r="U196" i="1"/>
  <c r="V196" i="1" s="1"/>
  <c r="Z196" i="1"/>
  <c r="X196" i="1"/>
  <c r="Y196" i="1"/>
  <c r="W196" i="1"/>
  <c r="S197" i="1"/>
  <c r="AC195" i="1"/>
  <c r="AG195" i="1"/>
  <c r="AF195" i="1"/>
  <c r="AB195" i="1"/>
  <c r="AA195" i="1"/>
  <c r="AE195" i="1"/>
  <c r="AE196" i="1" l="1"/>
  <c r="AA196" i="1"/>
  <c r="AG196" i="1"/>
  <c r="AC196" i="1"/>
  <c r="AB196" i="1"/>
  <c r="AF196" i="1"/>
  <c r="T197" i="1"/>
  <c r="Y197" i="1"/>
  <c r="Z197" i="1"/>
  <c r="U197" i="1"/>
  <c r="V197" i="1" s="1"/>
  <c r="S198" i="1"/>
  <c r="X197" i="1"/>
  <c r="W197" i="1"/>
  <c r="AH196" i="1"/>
  <c r="AD196" i="1"/>
  <c r="AC197" i="1" l="1"/>
  <c r="AG197" i="1"/>
  <c r="T198" i="1"/>
  <c r="Z198" i="1"/>
  <c r="X198" i="1"/>
  <c r="Y198" i="1"/>
  <c r="S199" i="1"/>
  <c r="U198" i="1"/>
  <c r="V198" i="1" s="1"/>
  <c r="W198" i="1"/>
  <c r="AF197" i="1"/>
  <c r="AB197" i="1"/>
  <c r="AE197" i="1"/>
  <c r="AA197" i="1"/>
  <c r="AH197" i="1"/>
  <c r="AD197" i="1"/>
  <c r="T199" i="1" l="1"/>
  <c r="S200" i="1"/>
  <c r="W199" i="1"/>
  <c r="Y199" i="1"/>
  <c r="Z199" i="1"/>
  <c r="U199" i="1"/>
  <c r="V199" i="1" s="1"/>
  <c r="X199" i="1"/>
  <c r="AH198" i="1"/>
  <c r="AD198" i="1"/>
  <c r="AC198" i="1"/>
  <c r="AG198" i="1"/>
  <c r="AA198" i="1"/>
  <c r="AE198" i="1"/>
  <c r="AF198" i="1"/>
  <c r="AB198" i="1"/>
  <c r="AG199" i="1" l="1"/>
  <c r="AC199" i="1"/>
  <c r="AF199" i="1"/>
  <c r="AB199" i="1"/>
  <c r="AE199" i="1"/>
  <c r="AA199" i="1"/>
  <c r="T200" i="1"/>
  <c r="Y200" i="1"/>
  <c r="S201" i="1"/>
  <c r="X200" i="1"/>
  <c r="U200" i="1"/>
  <c r="V200" i="1" s="1"/>
  <c r="W200" i="1"/>
  <c r="Z200" i="1"/>
  <c r="AD199" i="1"/>
  <c r="AH199" i="1"/>
  <c r="AA200" i="1" l="1"/>
  <c r="AE200" i="1"/>
  <c r="AC200" i="1"/>
  <c r="AG200" i="1"/>
  <c r="AB200" i="1"/>
  <c r="AF200" i="1"/>
  <c r="AD200" i="1"/>
  <c r="AH200" i="1"/>
  <c r="T201" i="1"/>
  <c r="X201" i="1"/>
  <c r="Y201" i="1"/>
  <c r="Z201" i="1"/>
  <c r="U201" i="1"/>
  <c r="V201" i="1" s="1"/>
  <c r="S202" i="1"/>
  <c r="W201" i="1"/>
  <c r="AH201" i="1" l="1"/>
  <c r="AD201" i="1"/>
  <c r="AA201" i="1"/>
  <c r="AE201" i="1"/>
  <c r="AG201" i="1"/>
  <c r="AC201" i="1"/>
  <c r="T202" i="1"/>
  <c r="Z202" i="1"/>
  <c r="X202" i="1"/>
  <c r="W202" i="1"/>
  <c r="Y202" i="1"/>
  <c r="S203" i="1"/>
  <c r="U202" i="1"/>
  <c r="V202" i="1" s="1"/>
  <c r="AF201" i="1"/>
  <c r="AB201" i="1"/>
  <c r="T203" i="1" l="1"/>
  <c r="Y203" i="1"/>
  <c r="Z203" i="1"/>
  <c r="U203" i="1"/>
  <c r="V203" i="1" s="1"/>
  <c r="S204" i="1"/>
  <c r="X203" i="1"/>
  <c r="W203" i="1"/>
  <c r="AC202" i="1"/>
  <c r="AG202" i="1"/>
  <c r="AH202" i="1"/>
  <c r="AD202" i="1"/>
  <c r="AA202" i="1"/>
  <c r="AE202" i="1"/>
  <c r="AB202" i="1"/>
  <c r="AF202" i="1"/>
  <c r="AA203" i="1" l="1"/>
  <c r="AE203" i="1"/>
  <c r="AD203" i="1"/>
  <c r="AH203" i="1"/>
  <c r="AB203" i="1"/>
  <c r="AF203" i="1"/>
  <c r="AC203" i="1"/>
  <c r="AG203" i="1"/>
  <c r="T204" i="1"/>
  <c r="Z204" i="1"/>
  <c r="U204" i="1"/>
  <c r="V204" i="1" s="1"/>
  <c r="Y204" i="1"/>
  <c r="W204" i="1"/>
  <c r="S205" i="1"/>
  <c r="X204" i="1"/>
  <c r="AF204" i="1" l="1"/>
  <c r="AB204" i="1"/>
  <c r="T205" i="1"/>
  <c r="X205" i="1"/>
  <c r="S206" i="1"/>
  <c r="W205" i="1"/>
  <c r="Z205" i="1"/>
  <c r="Y205" i="1"/>
  <c r="U205" i="1"/>
  <c r="V205" i="1" s="1"/>
  <c r="AH204" i="1"/>
  <c r="AD204" i="1"/>
  <c r="AC204" i="1"/>
  <c r="AG204" i="1"/>
  <c r="AA204" i="1"/>
  <c r="AE204" i="1"/>
  <c r="AG205" i="1" l="1"/>
  <c r="AC205" i="1"/>
  <c r="AH205" i="1"/>
  <c r="AD205" i="1"/>
  <c r="AF205" i="1"/>
  <c r="AB205" i="1"/>
  <c r="AA205" i="1"/>
  <c r="AE205" i="1"/>
  <c r="T206" i="1"/>
  <c r="Z206" i="1"/>
  <c r="S207" i="1"/>
  <c r="X206" i="1"/>
  <c r="Y206" i="1"/>
  <c r="W206" i="1"/>
  <c r="U206" i="1"/>
  <c r="V206" i="1" s="1"/>
  <c r="AB206" i="1" l="1"/>
  <c r="AF206" i="1"/>
  <c r="T207" i="1"/>
  <c r="Y207" i="1"/>
  <c r="Z207" i="1"/>
  <c r="S208" i="1"/>
  <c r="U207" i="1"/>
  <c r="V207" i="1" s="1"/>
  <c r="W207" i="1"/>
  <c r="X207" i="1"/>
  <c r="AA206" i="1"/>
  <c r="AE206" i="1"/>
  <c r="AH206" i="1"/>
  <c r="AD206" i="1"/>
  <c r="AC206" i="1"/>
  <c r="AG206" i="1"/>
  <c r="AE207" i="1" l="1"/>
  <c r="AA207" i="1"/>
  <c r="T208" i="1"/>
  <c r="Z208" i="1"/>
  <c r="U208" i="1"/>
  <c r="V208" i="1" s="1"/>
  <c r="W208" i="1"/>
  <c r="Y208" i="1"/>
  <c r="S209" i="1"/>
  <c r="X208" i="1"/>
  <c r="AG207" i="1"/>
  <c r="AC207" i="1"/>
  <c r="AB207" i="1"/>
  <c r="AF207" i="1"/>
  <c r="AH207" i="1"/>
  <c r="AD207" i="1"/>
  <c r="T209" i="1" l="1"/>
  <c r="Y209" i="1"/>
  <c r="Z209" i="1"/>
  <c r="S210" i="1"/>
  <c r="W209" i="1"/>
  <c r="U209" i="1"/>
  <c r="V209" i="1" s="1"/>
  <c r="X209" i="1"/>
  <c r="AG208" i="1"/>
  <c r="AC208" i="1"/>
  <c r="AA208" i="1"/>
  <c r="AE208" i="1"/>
  <c r="AH208" i="1"/>
  <c r="AD208" i="1"/>
  <c r="AF208" i="1"/>
  <c r="AB208" i="1"/>
  <c r="T210" i="1" l="1"/>
  <c r="Z210" i="1"/>
  <c r="S211" i="1"/>
  <c r="Y210" i="1"/>
  <c r="W210" i="1"/>
  <c r="U210" i="1"/>
  <c r="V210" i="1" s="1"/>
  <c r="X210" i="1"/>
  <c r="AB209" i="1"/>
  <c r="AF209" i="1"/>
  <c r="AD209" i="1"/>
  <c r="AH209" i="1"/>
  <c r="AG209" i="1"/>
  <c r="AC209" i="1"/>
  <c r="AA209" i="1"/>
  <c r="AE209" i="1"/>
  <c r="AC210" i="1" l="1"/>
  <c r="AG210" i="1"/>
  <c r="AB210" i="1"/>
  <c r="AF210" i="1"/>
  <c r="T211" i="1"/>
  <c r="Y211" i="1"/>
  <c r="Z211" i="1"/>
  <c r="S212" i="1"/>
  <c r="U211" i="1"/>
  <c r="V211" i="1" s="1"/>
  <c r="X211" i="1"/>
  <c r="W211" i="1"/>
  <c r="AH210" i="1"/>
  <c r="AD210" i="1"/>
  <c r="AA210" i="1"/>
  <c r="AE210" i="1"/>
  <c r="T212" i="1" l="1"/>
  <c r="Z212" i="1"/>
  <c r="U212" i="1"/>
  <c r="V212" i="1" s="1"/>
  <c r="X212" i="1"/>
  <c r="Y212" i="1"/>
  <c r="S213" i="1"/>
  <c r="W212" i="1"/>
  <c r="AE211" i="1"/>
  <c r="AA211" i="1"/>
  <c r="AH211" i="1"/>
  <c r="AD211" i="1"/>
  <c r="AB211" i="1"/>
  <c r="AF211" i="1"/>
  <c r="AC211" i="1"/>
  <c r="AG211" i="1"/>
  <c r="T213" i="1" l="1"/>
  <c r="X213" i="1"/>
  <c r="S214" i="1"/>
  <c r="W213" i="1"/>
  <c r="Y213" i="1"/>
  <c r="Z213" i="1"/>
  <c r="U213" i="1"/>
  <c r="V213" i="1" s="1"/>
  <c r="AB212" i="1"/>
  <c r="AF212" i="1"/>
  <c r="AA212" i="1"/>
  <c r="AE212" i="1"/>
  <c r="AD212" i="1"/>
  <c r="AH212" i="1"/>
  <c r="AC212" i="1"/>
  <c r="AG212" i="1"/>
  <c r="T214" i="1" l="1"/>
  <c r="Z214" i="1"/>
  <c r="X214" i="1"/>
  <c r="Y214" i="1"/>
  <c r="U214" i="1"/>
  <c r="V214" i="1" s="1"/>
  <c r="W214" i="1"/>
  <c r="S215" i="1"/>
  <c r="AH213" i="1"/>
  <c r="AD213" i="1"/>
  <c r="AB213" i="1"/>
  <c r="AF213" i="1"/>
  <c r="AE213" i="1"/>
  <c r="AA213" i="1"/>
  <c r="AG213" i="1"/>
  <c r="AC213" i="1"/>
  <c r="AC214" i="1" l="1"/>
  <c r="AG214" i="1"/>
  <c r="T215" i="1"/>
  <c r="Y215" i="1"/>
  <c r="Z215" i="1"/>
  <c r="U215" i="1"/>
  <c r="V215" i="1" s="1"/>
  <c r="X215" i="1"/>
  <c r="S216" i="1"/>
  <c r="W215" i="1"/>
  <c r="AB214" i="1"/>
  <c r="AF214" i="1"/>
  <c r="AA214" i="1"/>
  <c r="AE214" i="1"/>
  <c r="AH214" i="1"/>
  <c r="AD214" i="1"/>
  <c r="T216" i="1" l="1"/>
  <c r="Z216" i="1"/>
  <c r="U216" i="1"/>
  <c r="V216" i="1" s="1"/>
  <c r="S217" i="1"/>
  <c r="W216" i="1"/>
  <c r="Y216" i="1"/>
  <c r="X216" i="1"/>
  <c r="AG215" i="1"/>
  <c r="AC215" i="1"/>
  <c r="AB215" i="1"/>
  <c r="AF215" i="1"/>
  <c r="AA215" i="1"/>
  <c r="AE215" i="1"/>
  <c r="AD215" i="1"/>
  <c r="AH215" i="1"/>
  <c r="T217" i="1" l="1"/>
  <c r="X217" i="1"/>
  <c r="Y217" i="1"/>
  <c r="U217" i="1"/>
  <c r="V217" i="1" s="1"/>
  <c r="S218" i="1"/>
  <c r="W217" i="1"/>
  <c r="Z217" i="1"/>
  <c r="AF216" i="1"/>
  <c r="AB216" i="1"/>
  <c r="AC216" i="1"/>
  <c r="AG216" i="1"/>
  <c r="AD216" i="1"/>
  <c r="AH216" i="1"/>
  <c r="AA216" i="1"/>
  <c r="AE216" i="1"/>
  <c r="AH217" i="1" l="1"/>
  <c r="AD217" i="1"/>
  <c r="AG217" i="1"/>
  <c r="AC217" i="1"/>
  <c r="AE217" i="1"/>
  <c r="AA217" i="1"/>
  <c r="AB217" i="1"/>
  <c r="AF217" i="1"/>
  <c r="T218" i="1"/>
  <c r="Z218" i="1"/>
  <c r="X218" i="1"/>
  <c r="S219" i="1"/>
  <c r="Y218" i="1"/>
  <c r="U218" i="1"/>
  <c r="V218" i="1" s="1"/>
  <c r="W218" i="1"/>
  <c r="T219" i="1" l="1"/>
  <c r="Y219" i="1"/>
  <c r="Z219" i="1"/>
  <c r="S220" i="1"/>
  <c r="U219" i="1"/>
  <c r="V219" i="1" s="1"/>
  <c r="X219" i="1"/>
  <c r="W219" i="1"/>
  <c r="AA218" i="1"/>
  <c r="AE218" i="1"/>
  <c r="AB218" i="1"/>
  <c r="AF218" i="1"/>
  <c r="AH218" i="1"/>
  <c r="AD218" i="1"/>
  <c r="AC218" i="1"/>
  <c r="AG218" i="1"/>
  <c r="AG219" i="1" l="1"/>
  <c r="AC219" i="1"/>
  <c r="T220" i="1"/>
  <c r="Z220" i="1"/>
  <c r="U220" i="1"/>
  <c r="V220" i="1" s="1"/>
  <c r="W220" i="1"/>
  <c r="X220" i="1"/>
  <c r="Y220" i="1"/>
  <c r="S221" i="1"/>
  <c r="AA219" i="1"/>
  <c r="AE219" i="1"/>
  <c r="AD219" i="1"/>
  <c r="AH219" i="1"/>
  <c r="AB219" i="1"/>
  <c r="AF219" i="1"/>
  <c r="AF220" i="1" l="1"/>
  <c r="AB220" i="1"/>
  <c r="AC220" i="1"/>
  <c r="AG220" i="1"/>
  <c r="AH220" i="1"/>
  <c r="AD220" i="1"/>
  <c r="AA220" i="1"/>
  <c r="AE220" i="1"/>
  <c r="T221" i="1"/>
  <c r="X221" i="1"/>
  <c r="S222" i="1"/>
  <c r="W221" i="1"/>
  <c r="Y221" i="1"/>
  <c r="Z221" i="1"/>
  <c r="U221" i="1"/>
  <c r="V221" i="1" s="1"/>
  <c r="T222" i="1" l="1"/>
  <c r="Z222" i="1"/>
  <c r="X222" i="1"/>
  <c r="Y222" i="1"/>
  <c r="U222" i="1"/>
  <c r="V222" i="1" s="1"/>
  <c r="W222" i="1"/>
  <c r="S223" i="1"/>
  <c r="AH221" i="1"/>
  <c r="AD221" i="1"/>
  <c r="AB221" i="1"/>
  <c r="AF221" i="1"/>
  <c r="AE221" i="1"/>
  <c r="AA221" i="1"/>
  <c r="AG221" i="1"/>
  <c r="AC221" i="1"/>
  <c r="AG222" i="1" l="1"/>
  <c r="AC222" i="1"/>
  <c r="T223" i="1"/>
  <c r="Y223" i="1"/>
  <c r="Z223" i="1"/>
  <c r="U223" i="1"/>
  <c r="V223" i="1" s="1"/>
  <c r="X223" i="1"/>
  <c r="S224" i="1"/>
  <c r="W223" i="1"/>
  <c r="AF222" i="1"/>
  <c r="AB222" i="1"/>
  <c r="AA222" i="1"/>
  <c r="AE222" i="1"/>
  <c r="AH222" i="1"/>
  <c r="AD222" i="1"/>
  <c r="T224" i="1" l="1"/>
  <c r="Z224" i="1"/>
  <c r="U224" i="1"/>
  <c r="V224" i="1" s="1"/>
  <c r="X224" i="1"/>
  <c r="Y224" i="1"/>
  <c r="S225" i="1"/>
  <c r="W224" i="1"/>
  <c r="AG223" i="1"/>
  <c r="AC223" i="1"/>
  <c r="AB223" i="1"/>
  <c r="AF223" i="1"/>
  <c r="AA223" i="1"/>
  <c r="AE223" i="1"/>
  <c r="AD223" i="1"/>
  <c r="AH223" i="1"/>
  <c r="AF224" i="1" l="1"/>
  <c r="AB224" i="1"/>
  <c r="AE224" i="1"/>
  <c r="AA224" i="1"/>
  <c r="T225" i="1"/>
  <c r="S226" i="1"/>
  <c r="W225" i="1"/>
  <c r="Y225" i="1"/>
  <c r="Z225" i="1"/>
  <c r="U225" i="1"/>
  <c r="V225" i="1" s="1"/>
  <c r="X225" i="1"/>
  <c r="AH224" i="1"/>
  <c r="AD224" i="1"/>
  <c r="AG224" i="1"/>
  <c r="AC224" i="1"/>
  <c r="AF225" i="1" l="1"/>
  <c r="AB225" i="1"/>
  <c r="T226" i="1"/>
  <c r="Z226" i="1"/>
  <c r="X226" i="1"/>
  <c r="Y226" i="1"/>
  <c r="U226" i="1"/>
  <c r="V226" i="1" s="1"/>
  <c r="W226" i="1"/>
  <c r="S227" i="1"/>
  <c r="AC225" i="1"/>
  <c r="AG225" i="1"/>
  <c r="AE225" i="1"/>
  <c r="AA225" i="1"/>
  <c r="AH225" i="1"/>
  <c r="AD225" i="1"/>
  <c r="AA226" i="1" l="1"/>
  <c r="AE226" i="1"/>
  <c r="AD226" i="1"/>
  <c r="AH226" i="1"/>
  <c r="AG226" i="1"/>
  <c r="AC226" i="1"/>
  <c r="T227" i="1"/>
  <c r="X227" i="1"/>
  <c r="S228" i="1"/>
  <c r="W227" i="1"/>
  <c r="Y227" i="1"/>
  <c r="Z227" i="1"/>
  <c r="U227" i="1"/>
  <c r="V227" i="1" s="1"/>
  <c r="AF226" i="1"/>
  <c r="AB226" i="1"/>
  <c r="AH227" i="1" l="1"/>
  <c r="AD227" i="1"/>
  <c r="AE227" i="1"/>
  <c r="AA227" i="1"/>
  <c r="AB227" i="1"/>
  <c r="AF227" i="1"/>
  <c r="AC227" i="1"/>
  <c r="AG227" i="1"/>
  <c r="T228" i="1"/>
  <c r="S229" i="1"/>
  <c r="Y228" i="1"/>
  <c r="W228" i="1"/>
  <c r="X228" i="1"/>
  <c r="Z228" i="1"/>
  <c r="U228" i="1"/>
  <c r="V228" i="1" s="1"/>
  <c r="AE228" i="1" l="1"/>
  <c r="AA228" i="1"/>
  <c r="AG228" i="1"/>
  <c r="AC228" i="1"/>
  <c r="AD228" i="1"/>
  <c r="AH228" i="1"/>
  <c r="T229" i="1"/>
  <c r="Y229" i="1"/>
  <c r="Z229" i="1"/>
  <c r="X229" i="1"/>
  <c r="W229" i="1"/>
  <c r="U229" i="1"/>
  <c r="V229" i="1" s="1"/>
  <c r="S230" i="1"/>
  <c r="AF228" i="1"/>
  <c r="AB228" i="1"/>
  <c r="AG229" i="1" l="1"/>
  <c r="AC229" i="1"/>
  <c r="AA229" i="1"/>
  <c r="AE229" i="1"/>
  <c r="AB229" i="1"/>
  <c r="AF229" i="1"/>
  <c r="T230" i="1"/>
  <c r="Z230" i="1"/>
  <c r="X230" i="1"/>
  <c r="W230" i="1"/>
  <c r="Y230" i="1"/>
  <c r="U230" i="1"/>
  <c r="V230" i="1" s="1"/>
  <c r="S231" i="1"/>
  <c r="AD229" i="1"/>
  <c r="AH229" i="1"/>
  <c r="AD230" i="1" l="1"/>
  <c r="AH230" i="1"/>
  <c r="AC230" i="1"/>
  <c r="AG230" i="1"/>
  <c r="AA230" i="1"/>
  <c r="AE230" i="1"/>
  <c r="T231" i="1"/>
  <c r="X231" i="1"/>
  <c r="U231" i="1"/>
  <c r="V231" i="1" s="1"/>
  <c r="S232" i="1"/>
  <c r="W231" i="1"/>
  <c r="Y231" i="1"/>
  <c r="Z231" i="1"/>
  <c r="AB230" i="1"/>
  <c r="AF230" i="1"/>
  <c r="AC231" i="1" l="1"/>
  <c r="AG231" i="1"/>
  <c r="AE231" i="1"/>
  <c r="AA231" i="1"/>
  <c r="T232" i="1"/>
  <c r="S233" i="1"/>
  <c r="W232" i="1"/>
  <c r="X232" i="1"/>
  <c r="Z232" i="1"/>
  <c r="U232" i="1"/>
  <c r="V232" i="1" s="1"/>
  <c r="Y232" i="1"/>
  <c r="AB231" i="1"/>
  <c r="AF231" i="1"/>
  <c r="AH231" i="1"/>
  <c r="AD231" i="1"/>
  <c r="AF232" i="1" l="1"/>
  <c r="AB232" i="1"/>
  <c r="AE232" i="1"/>
  <c r="AA232" i="1"/>
  <c r="T233" i="1"/>
  <c r="Y233" i="1"/>
  <c r="Z233" i="1"/>
  <c r="U233" i="1"/>
  <c r="V233" i="1" s="1"/>
  <c r="X233" i="1"/>
  <c r="S234" i="1"/>
  <c r="W233" i="1"/>
  <c r="AG232" i="1"/>
  <c r="AC232" i="1"/>
  <c r="AD232" i="1"/>
  <c r="AH232" i="1"/>
  <c r="AD233" i="1" l="1"/>
  <c r="AH233" i="1"/>
  <c r="T234" i="1"/>
  <c r="Z234" i="1"/>
  <c r="X234" i="1"/>
  <c r="Y234" i="1"/>
  <c r="U234" i="1"/>
  <c r="V234" i="1" s="1"/>
  <c r="W234" i="1"/>
  <c r="S235" i="1"/>
  <c r="AG233" i="1"/>
  <c r="AC233" i="1"/>
  <c r="AA233" i="1"/>
  <c r="AE233" i="1"/>
  <c r="AB233" i="1"/>
  <c r="AF233" i="1"/>
  <c r="AC234" i="1" l="1"/>
  <c r="AG234" i="1"/>
  <c r="AA234" i="1"/>
  <c r="AE234" i="1"/>
  <c r="AH234" i="1"/>
  <c r="AD234" i="1"/>
  <c r="T235" i="1"/>
  <c r="Y235" i="1"/>
  <c r="Z235" i="1"/>
  <c r="U235" i="1"/>
  <c r="V235" i="1" s="1"/>
  <c r="X235" i="1"/>
  <c r="S236" i="1"/>
  <c r="W235" i="1"/>
  <c r="AB234" i="1"/>
  <c r="AF234" i="1"/>
  <c r="T236" i="1" l="1"/>
  <c r="Z236" i="1"/>
  <c r="Y236" i="1"/>
  <c r="S237" i="1"/>
  <c r="W236" i="1"/>
  <c r="X236" i="1"/>
  <c r="U236" i="1"/>
  <c r="V236" i="1" s="1"/>
  <c r="AG235" i="1"/>
  <c r="AC235" i="1"/>
  <c r="AB235" i="1"/>
  <c r="AF235" i="1"/>
  <c r="AA235" i="1"/>
  <c r="AE235" i="1"/>
  <c r="AH235" i="1"/>
  <c r="AD235" i="1"/>
  <c r="AH236" i="1" l="1"/>
  <c r="AD236" i="1"/>
  <c r="T237" i="1"/>
  <c r="X237" i="1"/>
  <c r="U237" i="1"/>
  <c r="V237" i="1" s="1"/>
  <c r="S238" i="1"/>
  <c r="W237" i="1"/>
  <c r="Y237" i="1"/>
  <c r="Z237" i="1"/>
  <c r="AC236" i="1"/>
  <c r="AG236" i="1"/>
  <c r="AF236" i="1"/>
  <c r="AB236" i="1"/>
  <c r="AA236" i="1"/>
  <c r="AE236" i="1"/>
  <c r="AG237" i="1" l="1"/>
  <c r="AC237" i="1"/>
  <c r="AB237" i="1"/>
  <c r="AF237" i="1"/>
  <c r="AE237" i="1"/>
  <c r="AA237" i="1"/>
  <c r="T238" i="1"/>
  <c r="Z238" i="1"/>
  <c r="U238" i="1"/>
  <c r="V238" i="1" s="1"/>
  <c r="Y238" i="1"/>
  <c r="S239" i="1"/>
  <c r="W238" i="1"/>
  <c r="X238" i="1"/>
  <c r="AH237" i="1"/>
  <c r="AD237" i="1"/>
  <c r="AH238" i="1" l="1"/>
  <c r="AD238" i="1"/>
  <c r="AC238" i="1"/>
  <c r="AG238" i="1"/>
  <c r="AA238" i="1"/>
  <c r="AE238" i="1"/>
  <c r="T239" i="1"/>
  <c r="X239" i="1"/>
  <c r="S240" i="1"/>
  <c r="W239" i="1"/>
  <c r="Y239" i="1"/>
  <c r="Z239" i="1"/>
  <c r="U239" i="1"/>
  <c r="V239" i="1" s="1"/>
  <c r="AF238" i="1"/>
  <c r="AB238" i="1"/>
  <c r="AH239" i="1" l="1"/>
  <c r="AD239" i="1"/>
  <c r="AC239" i="1"/>
  <c r="AG239" i="1"/>
  <c r="AB239" i="1"/>
  <c r="AF239" i="1"/>
  <c r="AA239" i="1"/>
  <c r="AE239" i="1"/>
  <c r="T240" i="1"/>
  <c r="Z240" i="1"/>
  <c r="U240" i="1"/>
  <c r="V240" i="1" s="1"/>
  <c r="S241" i="1"/>
  <c r="Y240" i="1"/>
  <c r="W240" i="1"/>
  <c r="X240" i="1"/>
  <c r="T241" i="1" l="1"/>
  <c r="X241" i="1"/>
  <c r="S242" i="1"/>
  <c r="W241" i="1"/>
  <c r="Z241" i="1"/>
  <c r="Y241" i="1"/>
  <c r="U241" i="1"/>
  <c r="V241" i="1" s="1"/>
  <c r="AE240" i="1"/>
  <c r="AA240" i="1"/>
  <c r="AD240" i="1"/>
  <c r="AH240" i="1"/>
  <c r="AB240" i="1"/>
  <c r="AF240" i="1"/>
  <c r="AC240" i="1"/>
  <c r="AG240" i="1"/>
  <c r="AA241" i="1" l="1"/>
  <c r="AE241" i="1"/>
  <c r="T242" i="1"/>
  <c r="Z242" i="1"/>
  <c r="U242" i="1"/>
  <c r="V242" i="1" s="1"/>
  <c r="Y242" i="1"/>
  <c r="S243" i="1"/>
  <c r="W242" i="1"/>
  <c r="X242" i="1"/>
  <c r="AC241" i="1"/>
  <c r="AG241" i="1"/>
  <c r="AF241" i="1"/>
  <c r="AB241" i="1"/>
  <c r="AH241" i="1"/>
  <c r="AD241" i="1"/>
  <c r="AB242" i="1" l="1"/>
  <c r="AF242" i="1"/>
  <c r="AA242" i="1"/>
  <c r="AE242" i="1"/>
  <c r="AD242" i="1"/>
  <c r="AH242" i="1"/>
  <c r="T243" i="1"/>
  <c r="X243" i="1"/>
  <c r="U243" i="1"/>
  <c r="V243" i="1" s="1"/>
  <c r="S244" i="1"/>
  <c r="W243" i="1"/>
  <c r="Y243" i="1"/>
  <c r="Z243" i="1"/>
  <c r="AC242" i="1"/>
  <c r="AG242" i="1"/>
  <c r="AG243" i="1" l="1"/>
  <c r="AC243" i="1"/>
  <c r="AE243" i="1"/>
  <c r="AA243" i="1"/>
  <c r="AF243" i="1"/>
  <c r="AB243" i="1"/>
  <c r="T244" i="1"/>
  <c r="Y244" i="1"/>
  <c r="X244" i="1"/>
  <c r="W244" i="1"/>
  <c r="S245" i="1"/>
  <c r="Z244" i="1"/>
  <c r="U244" i="1"/>
  <c r="V244" i="1" s="1"/>
  <c r="AD243" i="1"/>
  <c r="AH243" i="1"/>
  <c r="AH244" i="1" l="1"/>
  <c r="AD244" i="1"/>
  <c r="T245" i="1"/>
  <c r="X245" i="1"/>
  <c r="S246" i="1"/>
  <c r="W245" i="1"/>
  <c r="Y245" i="1"/>
  <c r="Z245" i="1"/>
  <c r="U245" i="1"/>
  <c r="V245" i="1" s="1"/>
  <c r="AE244" i="1"/>
  <c r="AA244" i="1"/>
  <c r="AG244" i="1"/>
  <c r="AC244" i="1"/>
  <c r="AB244" i="1"/>
  <c r="AF244" i="1"/>
  <c r="AH245" i="1" l="1"/>
  <c r="AD245" i="1"/>
  <c r="AC245" i="1"/>
  <c r="AG245" i="1"/>
  <c r="AB245" i="1"/>
  <c r="AF245" i="1"/>
  <c r="AE245" i="1"/>
  <c r="AA245" i="1"/>
  <c r="T246" i="1"/>
  <c r="S247" i="1"/>
  <c r="U246" i="1"/>
  <c r="V246" i="1" s="1"/>
  <c r="Y246" i="1"/>
  <c r="W246" i="1"/>
  <c r="X246" i="1"/>
  <c r="Z246" i="1"/>
  <c r="AG246" i="1" l="1"/>
  <c r="AC246" i="1"/>
  <c r="AD246" i="1"/>
  <c r="AH246" i="1"/>
  <c r="AF246" i="1"/>
  <c r="AB246" i="1"/>
  <c r="T247" i="1"/>
  <c r="Y247" i="1"/>
  <c r="Z247" i="1"/>
  <c r="W247" i="1"/>
  <c r="U247" i="1"/>
  <c r="V247" i="1" s="1"/>
  <c r="X247" i="1"/>
  <c r="S248" i="1"/>
  <c r="AE246" i="1"/>
  <c r="AA246" i="1"/>
  <c r="AC247" i="1" l="1"/>
  <c r="AG247" i="1"/>
  <c r="AF247" i="1"/>
  <c r="AB247" i="1"/>
  <c r="AE247" i="1"/>
  <c r="AA247" i="1"/>
  <c r="T248" i="1"/>
  <c r="Z248" i="1"/>
  <c r="U248" i="1"/>
  <c r="V248" i="1" s="1"/>
  <c r="Y248" i="1"/>
  <c r="W248" i="1"/>
  <c r="X248" i="1"/>
  <c r="S249" i="1"/>
  <c r="AH247" i="1"/>
  <c r="AD247" i="1"/>
  <c r="AB248" i="1" l="1"/>
  <c r="AF248" i="1"/>
  <c r="AD248" i="1"/>
  <c r="AH248" i="1"/>
  <c r="AA248" i="1"/>
  <c r="AE248" i="1"/>
  <c r="AC248" i="1"/>
  <c r="AG248" i="1"/>
  <c r="T249" i="1"/>
  <c r="X249" i="1"/>
  <c r="U249" i="1"/>
  <c r="V249" i="1" s="1"/>
  <c r="S250" i="1"/>
  <c r="W249" i="1"/>
  <c r="Y249" i="1"/>
  <c r="Z249" i="1"/>
  <c r="T250" i="1" l="1"/>
  <c r="Z250" i="1"/>
  <c r="U250" i="1"/>
  <c r="V250" i="1" s="1"/>
  <c r="S251" i="1"/>
  <c r="W250" i="1"/>
  <c r="X250" i="1"/>
  <c r="Y250" i="1"/>
  <c r="AH249" i="1"/>
  <c r="AD249" i="1"/>
  <c r="AG249" i="1"/>
  <c r="AC249" i="1"/>
  <c r="AF249" i="1"/>
  <c r="AB249" i="1"/>
  <c r="AA249" i="1"/>
  <c r="AE249" i="1"/>
  <c r="T251" i="1" l="1"/>
  <c r="X251" i="1"/>
  <c r="S252" i="1"/>
  <c r="W251" i="1"/>
  <c r="U251" i="1"/>
  <c r="V251" i="1" s="1"/>
  <c r="Y251" i="1"/>
  <c r="Z251" i="1"/>
  <c r="AB250" i="1"/>
  <c r="AF250" i="1"/>
  <c r="AD250" i="1"/>
  <c r="AH250" i="1"/>
  <c r="AC250" i="1"/>
  <c r="AG250" i="1"/>
  <c r="AA250" i="1"/>
  <c r="AE250" i="1"/>
  <c r="AA251" i="1" l="1"/>
  <c r="AE251" i="1"/>
  <c r="AH251" i="1"/>
  <c r="AD251" i="1"/>
  <c r="AC251" i="1"/>
  <c r="AG251" i="1"/>
  <c r="AB251" i="1"/>
  <c r="AF251" i="1"/>
  <c r="T252" i="1"/>
  <c r="Z252" i="1"/>
  <c r="U252" i="1"/>
  <c r="V252" i="1" s="1"/>
  <c r="W252" i="1"/>
  <c r="S253" i="1"/>
  <c r="Y252" i="1"/>
  <c r="X252" i="1"/>
  <c r="AA252" i="1" l="1"/>
  <c r="AE252" i="1"/>
  <c r="AB252" i="1"/>
  <c r="AF252" i="1"/>
  <c r="AC252" i="1"/>
  <c r="AG252" i="1"/>
  <c r="AD252" i="1"/>
  <c r="AH252" i="1"/>
  <c r="T253" i="1"/>
  <c r="X253" i="1"/>
  <c r="W253" i="1"/>
  <c r="S254" i="1"/>
  <c r="Y253" i="1"/>
  <c r="Z253" i="1"/>
  <c r="U253" i="1"/>
  <c r="V253" i="1" s="1"/>
  <c r="AE253" i="1" l="1"/>
  <c r="AA253" i="1"/>
  <c r="AH253" i="1"/>
  <c r="AD253" i="1"/>
  <c r="AF253" i="1"/>
  <c r="AB253" i="1"/>
  <c r="T254" i="1"/>
  <c r="W254" i="1"/>
  <c r="X254" i="1"/>
  <c r="Z254" i="1"/>
  <c r="U254" i="1"/>
  <c r="V254" i="1" s="1"/>
  <c r="Y254" i="1"/>
  <c r="S255" i="1"/>
  <c r="AC253" i="1"/>
  <c r="AG253" i="1"/>
  <c r="AC254" i="1" l="1"/>
  <c r="AG254" i="1"/>
  <c r="AD254" i="1"/>
  <c r="AH254" i="1"/>
  <c r="AA254" i="1"/>
  <c r="AE254" i="1"/>
  <c r="T255" i="1"/>
  <c r="Y255" i="1"/>
  <c r="Z255" i="1"/>
  <c r="X255" i="1"/>
  <c r="U255" i="1"/>
  <c r="V255" i="1" s="1"/>
  <c r="S256" i="1"/>
  <c r="W255" i="1"/>
  <c r="AF254" i="1"/>
  <c r="AB254" i="1"/>
  <c r="AG255" i="1" l="1"/>
  <c r="AC255" i="1"/>
  <c r="T256" i="1"/>
  <c r="W256" i="1"/>
  <c r="U256" i="1"/>
  <c r="V256" i="1" s="1"/>
  <c r="Z256" i="1"/>
  <c r="Y256" i="1"/>
  <c r="S257" i="1"/>
  <c r="X256" i="1"/>
  <c r="AB255" i="1"/>
  <c r="AF255" i="1"/>
  <c r="AA255" i="1"/>
  <c r="AE255" i="1"/>
  <c r="AD255" i="1"/>
  <c r="AH255" i="1"/>
  <c r="AG256" i="1" l="1"/>
  <c r="AC256" i="1"/>
  <c r="AA256" i="1"/>
  <c r="AE256" i="1"/>
  <c r="AH256" i="1"/>
  <c r="AD256" i="1"/>
  <c r="T257" i="1"/>
  <c r="X257" i="1"/>
  <c r="Z257" i="1"/>
  <c r="S258" i="1"/>
  <c r="Y257" i="1"/>
  <c r="W257" i="1"/>
  <c r="U257" i="1"/>
  <c r="V257" i="1" s="1"/>
  <c r="AB256" i="1"/>
  <c r="AF256" i="1"/>
  <c r="AB257" i="1" l="1"/>
  <c r="AF257" i="1"/>
  <c r="T258" i="1"/>
  <c r="Y258" i="1"/>
  <c r="W258" i="1"/>
  <c r="Z258" i="1"/>
  <c r="U258" i="1"/>
  <c r="V258" i="1" s="1"/>
  <c r="S259" i="1"/>
  <c r="X258" i="1"/>
  <c r="AA257" i="1"/>
  <c r="AE257" i="1"/>
  <c r="AC257" i="1"/>
  <c r="AG257" i="1"/>
  <c r="AD257" i="1"/>
  <c r="AH257" i="1"/>
  <c r="T259" i="1" l="1"/>
  <c r="X259" i="1"/>
  <c r="Z259" i="1"/>
  <c r="S260" i="1"/>
  <c r="W259" i="1"/>
  <c r="U259" i="1"/>
  <c r="V259" i="1" s="1"/>
  <c r="Y259" i="1"/>
  <c r="AH258" i="1"/>
  <c r="AD258" i="1"/>
  <c r="AG258" i="1"/>
  <c r="AC258" i="1"/>
  <c r="AF258" i="1"/>
  <c r="AB258" i="1"/>
  <c r="AE258" i="1"/>
  <c r="AA258" i="1"/>
  <c r="T260" i="1" l="1"/>
  <c r="Y260" i="1"/>
  <c r="W260" i="1"/>
  <c r="S261" i="1"/>
  <c r="X260" i="1"/>
  <c r="U260" i="1"/>
  <c r="V260" i="1" s="1"/>
  <c r="Z260" i="1"/>
  <c r="AG259" i="1"/>
  <c r="AC259" i="1"/>
  <c r="AH259" i="1"/>
  <c r="AD259" i="1"/>
  <c r="AF259" i="1"/>
  <c r="AB259" i="1"/>
  <c r="AA259" i="1"/>
  <c r="AE259" i="1"/>
  <c r="T261" i="1" l="1"/>
  <c r="X261" i="1"/>
  <c r="Z261" i="1"/>
  <c r="S262" i="1"/>
  <c r="W261" i="1"/>
  <c r="U261" i="1"/>
  <c r="V261" i="1" s="1"/>
  <c r="Y261" i="1"/>
  <c r="AH260" i="1"/>
  <c r="AD260" i="1"/>
  <c r="AE260" i="1"/>
  <c r="AA260" i="1"/>
  <c r="AG260" i="1"/>
  <c r="AC260" i="1"/>
  <c r="AB260" i="1"/>
  <c r="AF260" i="1"/>
  <c r="T262" i="1" l="1"/>
  <c r="Y262" i="1"/>
  <c r="W262" i="1"/>
  <c r="U262" i="1"/>
  <c r="V262" i="1" s="1"/>
  <c r="S263" i="1"/>
  <c r="X262" i="1"/>
  <c r="Z262" i="1"/>
  <c r="AC261" i="1"/>
  <c r="AG261" i="1"/>
  <c r="AD261" i="1"/>
  <c r="AH261" i="1"/>
  <c r="AB261" i="1"/>
  <c r="AF261" i="1"/>
  <c r="AA261" i="1"/>
  <c r="AE261" i="1"/>
  <c r="AA262" i="1" l="1"/>
  <c r="AE262" i="1"/>
  <c r="AD262" i="1"/>
  <c r="AH262" i="1"/>
  <c r="AB262" i="1"/>
  <c r="AF262" i="1"/>
  <c r="AC262" i="1"/>
  <c r="AG262" i="1"/>
  <c r="T263" i="1"/>
  <c r="X263" i="1"/>
  <c r="Z263" i="1"/>
  <c r="S264" i="1"/>
  <c r="W263" i="1"/>
  <c r="U263" i="1"/>
  <c r="V263" i="1" s="1"/>
  <c r="Y263" i="1"/>
  <c r="AC263" i="1" l="1"/>
  <c r="AG263" i="1"/>
  <c r="T264" i="1"/>
  <c r="U264" i="1"/>
  <c r="V264" i="1" s="1"/>
  <c r="Z264" i="1"/>
  <c r="S265" i="1"/>
  <c r="X264" i="1"/>
  <c r="Y264" i="1"/>
  <c r="W264" i="1"/>
  <c r="AH263" i="1"/>
  <c r="AD263" i="1"/>
  <c r="AB263" i="1"/>
  <c r="AF263" i="1"/>
  <c r="AE263" i="1"/>
  <c r="AA263" i="1"/>
  <c r="T265" i="1" l="1"/>
  <c r="Z265" i="1"/>
  <c r="S266" i="1"/>
  <c r="Y265" i="1"/>
  <c r="W265" i="1"/>
  <c r="U265" i="1"/>
  <c r="V265" i="1" s="1"/>
  <c r="X265" i="1"/>
  <c r="AG264" i="1"/>
  <c r="AC264" i="1"/>
  <c r="AB264" i="1"/>
  <c r="AF264" i="1"/>
  <c r="AE264" i="1"/>
  <c r="AA264" i="1"/>
  <c r="AH264" i="1"/>
  <c r="AD264" i="1"/>
  <c r="T266" i="1" l="1"/>
  <c r="Y266" i="1"/>
  <c r="W266" i="1"/>
  <c r="S267" i="1"/>
  <c r="X266" i="1"/>
  <c r="U266" i="1"/>
  <c r="V266" i="1" s="1"/>
  <c r="Z266" i="1"/>
  <c r="AC265" i="1"/>
  <c r="AG265" i="1"/>
  <c r="AF265" i="1"/>
  <c r="AB265" i="1"/>
  <c r="AH265" i="1"/>
  <c r="AD265" i="1"/>
  <c r="AA265" i="1"/>
  <c r="AE265" i="1"/>
  <c r="T267" i="1" l="1"/>
  <c r="X267" i="1"/>
  <c r="Z267" i="1"/>
  <c r="U267" i="1"/>
  <c r="V267" i="1" s="1"/>
  <c r="S268" i="1"/>
  <c r="Y267" i="1"/>
  <c r="W267" i="1"/>
  <c r="AH266" i="1"/>
  <c r="AD266" i="1"/>
  <c r="AE266" i="1"/>
  <c r="AA266" i="1"/>
  <c r="AG266" i="1"/>
  <c r="AC266" i="1"/>
  <c r="AB266" i="1"/>
  <c r="AF266" i="1"/>
  <c r="AA267" i="1" l="1"/>
  <c r="AE267" i="1"/>
  <c r="AD267" i="1"/>
  <c r="AH267" i="1"/>
  <c r="AC267" i="1"/>
  <c r="AG267" i="1"/>
  <c r="AB267" i="1"/>
  <c r="AF267" i="1"/>
  <c r="T268" i="1"/>
  <c r="Y268" i="1"/>
  <c r="W268" i="1"/>
  <c r="S269" i="1"/>
  <c r="X268" i="1"/>
  <c r="U268" i="1"/>
  <c r="V268" i="1" s="1"/>
  <c r="Z268" i="1"/>
  <c r="AF268" i="1" l="1"/>
  <c r="AB268" i="1"/>
  <c r="T269" i="1"/>
  <c r="Z269" i="1"/>
  <c r="S270" i="1"/>
  <c r="Y269" i="1"/>
  <c r="W269" i="1"/>
  <c r="U269" i="1"/>
  <c r="V269" i="1" s="1"/>
  <c r="X269" i="1"/>
  <c r="AD268" i="1"/>
  <c r="AH268" i="1"/>
  <c r="AE268" i="1"/>
  <c r="AA268" i="1"/>
  <c r="AG268" i="1"/>
  <c r="AC268" i="1"/>
  <c r="AD269" i="1" l="1"/>
  <c r="AH269" i="1"/>
  <c r="AA269" i="1"/>
  <c r="AE269" i="1"/>
  <c r="AC269" i="1"/>
  <c r="AG269" i="1"/>
  <c r="AB269" i="1"/>
  <c r="AF269" i="1"/>
  <c r="T270" i="1"/>
  <c r="U270" i="1"/>
  <c r="V270" i="1" s="1"/>
  <c r="Y270" i="1"/>
  <c r="W270" i="1"/>
  <c r="Z270" i="1"/>
  <c r="S271" i="1"/>
  <c r="X270" i="1"/>
  <c r="AA270" i="1" l="1"/>
  <c r="AE270" i="1"/>
  <c r="AF270" i="1"/>
  <c r="AB270" i="1"/>
  <c r="AC270" i="1"/>
  <c r="AG270" i="1"/>
  <c r="T271" i="1"/>
  <c r="X271" i="1"/>
  <c r="Z271" i="1"/>
  <c r="S272" i="1"/>
  <c r="W271" i="1"/>
  <c r="U271" i="1"/>
  <c r="V271" i="1" s="1"/>
  <c r="Y271" i="1"/>
  <c r="AD270" i="1"/>
  <c r="AH270" i="1"/>
  <c r="AA271" i="1" l="1"/>
  <c r="AE271" i="1"/>
  <c r="AF271" i="1"/>
  <c r="AB271" i="1"/>
  <c r="T272" i="1"/>
  <c r="Y272" i="1"/>
  <c r="W272" i="1"/>
  <c r="Z272" i="1"/>
  <c r="X272" i="1"/>
  <c r="U272" i="1"/>
  <c r="V272" i="1" s="1"/>
  <c r="S273" i="1"/>
  <c r="AG271" i="1"/>
  <c r="AC271" i="1"/>
  <c r="AD271" i="1"/>
  <c r="AH271" i="1"/>
  <c r="AH272" i="1" l="1"/>
  <c r="AD272" i="1"/>
  <c r="T273" i="1"/>
  <c r="X273" i="1"/>
  <c r="Z273" i="1"/>
  <c r="S274" i="1"/>
  <c r="Y273" i="1"/>
  <c r="W273" i="1"/>
  <c r="U273" i="1"/>
  <c r="V273" i="1" s="1"/>
  <c r="AE272" i="1"/>
  <c r="AA272" i="1"/>
  <c r="AG272" i="1"/>
  <c r="AC272" i="1"/>
  <c r="AB272" i="1"/>
  <c r="AF272" i="1"/>
  <c r="AE273" i="1" l="1"/>
  <c r="AA273" i="1"/>
  <c r="AC273" i="1"/>
  <c r="AG273" i="1"/>
  <c r="AB273" i="1"/>
  <c r="AF273" i="1"/>
  <c r="T274" i="1"/>
  <c r="Y274" i="1"/>
  <c r="U274" i="1"/>
  <c r="V274" i="1" s="1"/>
  <c r="Z274" i="1"/>
  <c r="X274" i="1"/>
  <c r="W274" i="1"/>
  <c r="S275" i="1"/>
  <c r="AH273" i="1"/>
  <c r="AD273" i="1"/>
  <c r="AA274" i="1" l="1"/>
  <c r="AE274" i="1"/>
  <c r="AC274" i="1"/>
  <c r="AG274" i="1"/>
  <c r="AB274" i="1"/>
  <c r="AF274" i="1"/>
  <c r="AD274" i="1"/>
  <c r="AH274" i="1"/>
  <c r="T275" i="1"/>
  <c r="X275" i="1"/>
  <c r="Z275" i="1"/>
  <c r="S276" i="1"/>
  <c r="Y275" i="1"/>
  <c r="W275" i="1"/>
  <c r="U275" i="1"/>
  <c r="V275" i="1" s="1"/>
  <c r="T276" i="1" l="1"/>
  <c r="Z276" i="1"/>
  <c r="S277" i="1"/>
  <c r="X276" i="1"/>
  <c r="U276" i="1"/>
  <c r="V276" i="1" s="1"/>
  <c r="Y276" i="1"/>
  <c r="W276" i="1"/>
  <c r="AH275" i="1"/>
  <c r="AD275" i="1"/>
  <c r="AA275" i="1"/>
  <c r="AE275" i="1"/>
  <c r="AF275" i="1"/>
  <c r="AB275" i="1"/>
  <c r="AG275" i="1"/>
  <c r="AC275" i="1"/>
  <c r="AA276" i="1" l="1"/>
  <c r="AE276" i="1"/>
  <c r="T277" i="1"/>
  <c r="Y277" i="1"/>
  <c r="W277" i="1"/>
  <c r="U277" i="1"/>
  <c r="V277" i="1" s="1"/>
  <c r="Z277" i="1"/>
  <c r="S278" i="1"/>
  <c r="X277" i="1"/>
  <c r="AC276" i="1"/>
  <c r="AG276" i="1"/>
  <c r="AH276" i="1"/>
  <c r="AD276" i="1"/>
  <c r="AB276" i="1"/>
  <c r="AF276" i="1"/>
  <c r="T278" i="1" l="1"/>
  <c r="Y278" i="1"/>
  <c r="W278" i="1"/>
  <c r="Z278" i="1"/>
  <c r="S279" i="1"/>
  <c r="X278" i="1"/>
  <c r="U278" i="1"/>
  <c r="V278" i="1" s="1"/>
  <c r="AD277" i="1"/>
  <c r="AH277" i="1"/>
  <c r="AG277" i="1"/>
  <c r="AC277" i="1"/>
  <c r="AF277" i="1"/>
  <c r="AB277" i="1"/>
  <c r="AA277" i="1"/>
  <c r="AE277" i="1"/>
  <c r="AE278" i="1" l="1"/>
  <c r="AA278" i="1"/>
  <c r="AB278" i="1"/>
  <c r="AF278" i="1"/>
  <c r="AG278" i="1"/>
  <c r="AC278" i="1"/>
  <c r="AH278" i="1"/>
  <c r="AD278" i="1"/>
  <c r="T279" i="1"/>
  <c r="X279" i="1"/>
  <c r="Z279" i="1"/>
  <c r="W279" i="1"/>
  <c r="U279" i="1"/>
  <c r="V279" i="1" s="1"/>
  <c r="S280" i="1"/>
  <c r="Y279" i="1"/>
  <c r="AA279" i="1" l="1"/>
  <c r="AE279" i="1"/>
  <c r="AD279" i="1"/>
  <c r="AH279" i="1"/>
  <c r="T280" i="1"/>
  <c r="Y280" i="1"/>
  <c r="W280" i="1"/>
  <c r="Z280" i="1"/>
  <c r="S281" i="1"/>
  <c r="U280" i="1"/>
  <c r="V280" i="1" s="1"/>
  <c r="X280" i="1"/>
  <c r="AF279" i="1"/>
  <c r="AB279" i="1"/>
  <c r="AG279" i="1"/>
  <c r="AC279" i="1"/>
  <c r="AH280" i="1" l="1"/>
  <c r="AD280" i="1"/>
  <c r="AE280" i="1"/>
  <c r="AA280" i="1"/>
  <c r="AG280" i="1"/>
  <c r="AC280" i="1"/>
  <c r="AB280" i="1"/>
  <c r="AF280" i="1"/>
  <c r="T281" i="1"/>
  <c r="X281" i="1"/>
  <c r="Z281" i="1"/>
  <c r="U281" i="1"/>
  <c r="V281" i="1" s="1"/>
  <c r="S282" i="1"/>
  <c r="Y281" i="1"/>
  <c r="W281" i="1"/>
  <c r="AA281" i="1" l="1"/>
  <c r="AE281" i="1"/>
  <c r="AD281" i="1"/>
  <c r="AH281" i="1"/>
  <c r="AC281" i="1"/>
  <c r="AG281" i="1"/>
  <c r="AB281" i="1"/>
  <c r="AF281" i="1"/>
  <c r="T282" i="1"/>
  <c r="Y282" i="1"/>
  <c r="W282" i="1"/>
  <c r="U282" i="1"/>
  <c r="V282" i="1" s="1"/>
  <c r="Z282" i="1"/>
  <c r="S283" i="1"/>
  <c r="X282" i="1"/>
  <c r="AF282" i="1" l="1"/>
  <c r="AB282" i="1"/>
  <c r="AA282" i="1"/>
  <c r="AE282" i="1"/>
  <c r="T283" i="1"/>
  <c r="X283" i="1"/>
  <c r="Z283" i="1"/>
  <c r="S284" i="1"/>
  <c r="Y283" i="1"/>
  <c r="W283" i="1"/>
  <c r="U283" i="1"/>
  <c r="V283" i="1" s="1"/>
  <c r="AC282" i="1"/>
  <c r="AG282" i="1"/>
  <c r="AD282" i="1"/>
  <c r="AH282" i="1"/>
  <c r="T284" i="1" l="1"/>
  <c r="Z284" i="1"/>
  <c r="Y284" i="1"/>
  <c r="W284" i="1"/>
  <c r="S285" i="1"/>
  <c r="X284" i="1"/>
  <c r="U284" i="1"/>
  <c r="V284" i="1" s="1"/>
  <c r="AD283" i="1"/>
  <c r="AH283" i="1"/>
  <c r="AA283" i="1"/>
  <c r="AE283" i="1"/>
  <c r="AF283" i="1"/>
  <c r="AB283" i="1"/>
  <c r="AG283" i="1"/>
  <c r="AC283" i="1"/>
  <c r="AA284" i="1" l="1"/>
  <c r="AE284" i="1"/>
  <c r="AC284" i="1"/>
  <c r="AG284" i="1"/>
  <c r="AB284" i="1"/>
  <c r="AF284" i="1"/>
  <c r="AD284" i="1"/>
  <c r="AH284" i="1"/>
  <c r="T285" i="1"/>
  <c r="Y285" i="1"/>
  <c r="W285" i="1"/>
  <c r="U285" i="1"/>
  <c r="V285" i="1" s="1"/>
  <c r="Z285" i="1"/>
  <c r="S286" i="1"/>
  <c r="X285" i="1"/>
  <c r="AF285" i="1" l="1"/>
  <c r="AB285" i="1"/>
  <c r="AG285" i="1"/>
  <c r="AC285" i="1"/>
  <c r="AE285" i="1"/>
  <c r="AA285" i="1"/>
  <c r="T286" i="1"/>
  <c r="Y286" i="1"/>
  <c r="W286" i="1"/>
  <c r="U286" i="1"/>
  <c r="V286" i="1" s="1"/>
  <c r="Z286" i="1"/>
  <c r="S287" i="1"/>
  <c r="X286" i="1"/>
  <c r="AH285" i="1"/>
  <c r="AD285" i="1"/>
  <c r="T287" i="1" l="1"/>
  <c r="X287" i="1"/>
  <c r="Z287" i="1"/>
  <c r="Y287" i="1"/>
  <c r="W287" i="1"/>
  <c r="U287" i="1"/>
  <c r="V287" i="1" s="1"/>
  <c r="S288" i="1"/>
  <c r="AC286" i="1"/>
  <c r="AG286" i="1"/>
  <c r="AH286" i="1"/>
  <c r="AD286" i="1"/>
  <c r="AB286" i="1"/>
  <c r="AF286" i="1"/>
  <c r="AE286" i="1"/>
  <c r="AA286" i="1"/>
  <c r="AH287" i="1" l="1"/>
  <c r="AD287" i="1"/>
  <c r="AF287" i="1"/>
  <c r="AB287" i="1"/>
  <c r="AC287" i="1"/>
  <c r="AG287" i="1"/>
  <c r="T288" i="1"/>
  <c r="Y288" i="1"/>
  <c r="W288" i="1"/>
  <c r="U288" i="1"/>
  <c r="V288" i="1" s="1"/>
  <c r="Z288" i="1"/>
  <c r="X288" i="1"/>
  <c r="S289" i="1"/>
  <c r="AA287" i="1"/>
  <c r="AE287" i="1"/>
  <c r="AC288" i="1" l="1"/>
  <c r="AG288" i="1"/>
  <c r="AH288" i="1"/>
  <c r="AD288" i="1"/>
  <c r="AF288" i="1"/>
  <c r="AB288" i="1"/>
  <c r="T289" i="1"/>
  <c r="X289" i="1"/>
  <c r="Z289" i="1"/>
  <c r="W289" i="1"/>
  <c r="U289" i="1"/>
  <c r="V289" i="1" s="1"/>
  <c r="S290" i="1"/>
  <c r="Y289" i="1"/>
  <c r="AE288" i="1"/>
  <c r="AA288" i="1"/>
  <c r="AF289" i="1" l="1"/>
  <c r="AB289" i="1"/>
  <c r="T290" i="1"/>
  <c r="Z290" i="1"/>
  <c r="X290" i="1"/>
  <c r="S291" i="1"/>
  <c r="Y290" i="1"/>
  <c r="W290" i="1"/>
  <c r="U290" i="1"/>
  <c r="V290" i="1" s="1"/>
  <c r="AA289" i="1"/>
  <c r="AE289" i="1"/>
  <c r="AG289" i="1"/>
  <c r="AC289" i="1"/>
  <c r="AH289" i="1"/>
  <c r="AD289" i="1"/>
  <c r="AD290" i="1" l="1"/>
  <c r="AH290" i="1"/>
  <c r="AC290" i="1"/>
  <c r="AG290" i="1"/>
  <c r="AA290" i="1"/>
  <c r="AE290" i="1"/>
  <c r="T291" i="1"/>
  <c r="Y291" i="1"/>
  <c r="S292" i="1"/>
  <c r="W291" i="1"/>
  <c r="U291" i="1"/>
  <c r="V291" i="1" s="1"/>
  <c r="Z291" i="1"/>
  <c r="X291" i="1"/>
  <c r="AF290" i="1"/>
  <c r="AB290" i="1"/>
  <c r="AH291" i="1" l="1"/>
  <c r="AD291" i="1"/>
  <c r="AG291" i="1"/>
  <c r="AC291" i="1"/>
  <c r="AE291" i="1"/>
  <c r="AA291" i="1"/>
  <c r="AF291" i="1"/>
  <c r="AB291" i="1"/>
  <c r="T292" i="1"/>
  <c r="Y292" i="1"/>
  <c r="W292" i="1"/>
  <c r="U292" i="1"/>
  <c r="V292" i="1" s="1"/>
  <c r="Z292" i="1"/>
  <c r="S293" i="1"/>
  <c r="X292" i="1"/>
  <c r="T293" i="1" l="1"/>
  <c r="X293" i="1"/>
  <c r="Z293" i="1"/>
  <c r="U293" i="1"/>
  <c r="V293" i="1" s="1"/>
  <c r="S294" i="1"/>
  <c r="Y293" i="1"/>
  <c r="W293" i="1"/>
  <c r="AC292" i="1"/>
  <c r="AG292" i="1"/>
  <c r="AB292" i="1"/>
  <c r="AF292" i="1"/>
  <c r="AA292" i="1"/>
  <c r="AE292" i="1"/>
  <c r="AD292" i="1"/>
  <c r="AH292" i="1"/>
  <c r="AD293" i="1" l="1"/>
  <c r="AH293" i="1"/>
  <c r="AA293" i="1"/>
  <c r="AE293" i="1"/>
  <c r="AG293" i="1"/>
  <c r="AC293" i="1"/>
  <c r="AB293" i="1"/>
  <c r="AF293" i="1"/>
  <c r="T294" i="1"/>
  <c r="Y294" i="1"/>
  <c r="W294" i="1"/>
  <c r="Z294" i="1"/>
  <c r="S295" i="1"/>
  <c r="X294" i="1"/>
  <c r="U294" i="1"/>
  <c r="V294" i="1" s="1"/>
  <c r="AH294" i="1" l="1"/>
  <c r="AD294" i="1"/>
  <c r="AA294" i="1"/>
  <c r="AE294" i="1"/>
  <c r="AB294" i="1"/>
  <c r="AF294" i="1"/>
  <c r="AC294" i="1"/>
  <c r="AG294" i="1"/>
  <c r="T295" i="1"/>
  <c r="X295" i="1"/>
  <c r="Z295" i="1"/>
  <c r="Y295" i="1"/>
  <c r="S296" i="1"/>
  <c r="W295" i="1"/>
  <c r="U295" i="1"/>
  <c r="V295" i="1" s="1"/>
  <c r="AH295" i="1" l="1"/>
  <c r="AD295" i="1"/>
  <c r="AE295" i="1"/>
  <c r="AA295" i="1"/>
  <c r="AF295" i="1"/>
  <c r="AB295" i="1"/>
  <c r="AC295" i="1"/>
  <c r="AG295" i="1"/>
  <c r="T296" i="1"/>
  <c r="Y296" i="1"/>
  <c r="W296" i="1"/>
  <c r="U296" i="1"/>
  <c r="V296" i="1" s="1"/>
  <c r="Z296" i="1"/>
  <c r="S297" i="1"/>
  <c r="X296" i="1"/>
  <c r="AB296" i="1" l="1"/>
  <c r="AF296" i="1"/>
  <c r="AA296" i="1"/>
  <c r="AE296" i="1"/>
  <c r="T297" i="1"/>
  <c r="Y297" i="1"/>
  <c r="X297" i="1"/>
  <c r="Z297" i="1"/>
  <c r="W297" i="1"/>
  <c r="U297" i="1"/>
  <c r="V297" i="1" s="1"/>
  <c r="S298" i="1"/>
  <c r="AC296" i="1"/>
  <c r="AG296" i="1"/>
  <c r="AH296" i="1"/>
  <c r="AD296" i="1"/>
  <c r="AH297" i="1" l="1"/>
  <c r="AD297" i="1"/>
  <c r="T298" i="1"/>
  <c r="Y298" i="1"/>
  <c r="W298" i="1"/>
  <c r="U298" i="1"/>
  <c r="V298" i="1" s="1"/>
  <c r="Z298" i="1"/>
  <c r="S299" i="1"/>
  <c r="X298" i="1"/>
  <c r="AF297" i="1"/>
  <c r="AB297" i="1"/>
  <c r="AG297" i="1"/>
  <c r="AC297" i="1"/>
  <c r="AE297" i="1"/>
  <c r="AA297" i="1"/>
  <c r="T299" i="1" l="1"/>
  <c r="Z299" i="1"/>
  <c r="S300" i="1"/>
  <c r="W299" i="1"/>
  <c r="U299" i="1"/>
  <c r="V299" i="1" s="1"/>
  <c r="X299" i="1"/>
  <c r="Y299" i="1"/>
  <c r="AC298" i="1"/>
  <c r="AG298" i="1"/>
  <c r="AH298" i="1"/>
  <c r="AD298" i="1"/>
  <c r="AB298" i="1"/>
  <c r="AF298" i="1"/>
  <c r="AE298" i="1"/>
  <c r="AA298" i="1"/>
  <c r="T300" i="1" l="1"/>
  <c r="U300" i="1"/>
  <c r="V300" i="1" s="1"/>
  <c r="Y300" i="1"/>
  <c r="Z300" i="1"/>
  <c r="S301" i="1"/>
  <c r="X300" i="1"/>
  <c r="W300" i="1"/>
  <c r="AA299" i="1"/>
  <c r="AE299" i="1"/>
  <c r="AC299" i="1"/>
  <c r="AG299" i="1"/>
  <c r="AB299" i="1"/>
  <c r="AF299" i="1"/>
  <c r="AH299" i="1"/>
  <c r="AD299" i="1"/>
  <c r="AG300" i="1" l="1"/>
  <c r="AC300" i="1"/>
  <c r="AD300" i="1"/>
  <c r="AH300" i="1"/>
  <c r="AA300" i="1"/>
  <c r="AE300" i="1"/>
  <c r="AF300" i="1"/>
  <c r="AB300" i="1"/>
  <c r="T301" i="1"/>
  <c r="X301" i="1"/>
  <c r="Z301" i="1"/>
  <c r="W301" i="1"/>
  <c r="S302" i="1"/>
  <c r="Y301" i="1"/>
  <c r="U301" i="1"/>
  <c r="V301" i="1" s="1"/>
  <c r="AH301" i="1" l="1"/>
  <c r="AD301" i="1"/>
  <c r="AB301" i="1"/>
  <c r="AF301" i="1"/>
  <c r="AE301" i="1"/>
  <c r="AA301" i="1"/>
  <c r="AG301" i="1"/>
  <c r="AC301" i="1"/>
  <c r="T302" i="1"/>
  <c r="S303" i="1"/>
  <c r="X302" i="1"/>
  <c r="Y302" i="1"/>
  <c r="W302" i="1"/>
  <c r="U302" i="1"/>
  <c r="V302" i="1" s="1"/>
  <c r="Z302" i="1"/>
  <c r="AG302" i="1" l="1"/>
  <c r="AC302" i="1"/>
  <c r="AH302" i="1"/>
  <c r="AD302" i="1"/>
  <c r="AF302" i="1"/>
  <c r="AB302" i="1"/>
  <c r="T303" i="1"/>
  <c r="W303" i="1"/>
  <c r="S304" i="1"/>
  <c r="Z303" i="1"/>
  <c r="Y303" i="1"/>
  <c r="X303" i="1"/>
  <c r="U303" i="1"/>
  <c r="V303" i="1" s="1"/>
  <c r="AA302" i="1"/>
  <c r="AE302" i="1"/>
  <c r="AB303" i="1" l="1"/>
  <c r="AF303" i="1"/>
  <c r="AE303" i="1"/>
  <c r="AA303" i="1"/>
  <c r="AG303" i="1"/>
  <c r="AC303" i="1"/>
  <c r="AD303" i="1"/>
  <c r="AH303" i="1"/>
  <c r="T304" i="1"/>
  <c r="S305" i="1"/>
  <c r="Z304" i="1"/>
  <c r="Y304" i="1"/>
  <c r="X304" i="1"/>
  <c r="U304" i="1"/>
  <c r="V304" i="1" s="1"/>
  <c r="W304" i="1"/>
  <c r="AG304" i="1" l="1"/>
  <c r="AC304" i="1"/>
  <c r="AE304" i="1"/>
  <c r="AA304" i="1"/>
  <c r="AD304" i="1"/>
  <c r="AH304" i="1"/>
  <c r="T305" i="1"/>
  <c r="U305" i="1"/>
  <c r="V305" i="1" s="1"/>
  <c r="W305" i="1"/>
  <c r="S306" i="1"/>
  <c r="Z305" i="1"/>
  <c r="Y305" i="1"/>
  <c r="X305" i="1"/>
  <c r="AB304" i="1"/>
  <c r="AF304" i="1"/>
  <c r="AG305" i="1" l="1"/>
  <c r="AC305" i="1"/>
  <c r="AD305" i="1"/>
  <c r="AH305" i="1"/>
  <c r="T306" i="1"/>
  <c r="S307" i="1"/>
  <c r="U306" i="1"/>
  <c r="V306" i="1" s="1"/>
  <c r="W306" i="1"/>
  <c r="X306" i="1"/>
  <c r="Z306" i="1"/>
  <c r="Y306" i="1"/>
  <c r="AB305" i="1"/>
  <c r="AF305" i="1"/>
  <c r="AE305" i="1"/>
  <c r="AA305" i="1"/>
  <c r="AA306" i="1" l="1"/>
  <c r="AE306" i="1"/>
  <c r="AB306" i="1"/>
  <c r="AF306" i="1"/>
  <c r="AC306" i="1"/>
  <c r="AG306" i="1"/>
  <c r="AH306" i="1"/>
  <c r="AD306" i="1"/>
  <c r="T307" i="1"/>
  <c r="W307" i="1"/>
  <c r="Y307" i="1"/>
  <c r="X307" i="1"/>
  <c r="S308" i="1"/>
  <c r="Z307" i="1"/>
  <c r="U307" i="1"/>
  <c r="V307" i="1" s="1"/>
  <c r="AB307" i="1" l="1"/>
  <c r="AF307" i="1"/>
  <c r="AG307" i="1"/>
  <c r="AC307" i="1"/>
  <c r="AH307" i="1"/>
  <c r="AD307" i="1"/>
  <c r="AE307" i="1"/>
  <c r="AA307" i="1"/>
  <c r="T308" i="1"/>
  <c r="Y308" i="1"/>
  <c r="U308" i="1"/>
  <c r="V308" i="1" s="1"/>
  <c r="W308" i="1"/>
  <c r="X308" i="1"/>
  <c r="S309" i="1"/>
  <c r="Z308" i="1"/>
  <c r="AE308" i="1" l="1"/>
  <c r="AA308" i="1"/>
  <c r="AH308" i="1"/>
  <c r="AD308" i="1"/>
  <c r="T309" i="1"/>
  <c r="W309" i="1"/>
  <c r="S310" i="1"/>
  <c r="Z309" i="1"/>
  <c r="Y309" i="1"/>
  <c r="X309" i="1"/>
  <c r="U309" i="1"/>
  <c r="V309" i="1" s="1"/>
  <c r="AG308" i="1"/>
  <c r="AC308" i="1"/>
  <c r="AB308" i="1"/>
  <c r="AF308" i="1"/>
  <c r="T310" i="1" l="1"/>
  <c r="S311" i="1"/>
  <c r="Z310" i="1"/>
  <c r="Y310" i="1"/>
  <c r="W310" i="1"/>
  <c r="X310" i="1"/>
  <c r="U310" i="1"/>
  <c r="V310" i="1" s="1"/>
  <c r="AD309" i="1"/>
  <c r="AH309" i="1"/>
  <c r="AB309" i="1"/>
  <c r="AF309" i="1"/>
  <c r="AE309" i="1"/>
  <c r="AA309" i="1"/>
  <c r="AG309" i="1"/>
  <c r="AC309" i="1"/>
  <c r="AG310" i="1" l="1"/>
  <c r="AC310" i="1"/>
  <c r="AD310" i="1"/>
  <c r="AH310" i="1"/>
  <c r="AB310" i="1"/>
  <c r="AF310" i="1"/>
  <c r="T311" i="1"/>
  <c r="S312" i="1"/>
  <c r="Z311" i="1"/>
  <c r="Y311" i="1"/>
  <c r="X311" i="1"/>
  <c r="U311" i="1"/>
  <c r="V311" i="1" s="1"/>
  <c r="W311" i="1"/>
  <c r="AE310" i="1"/>
  <c r="AA310" i="1"/>
  <c r="T312" i="1" l="1"/>
  <c r="S313" i="1"/>
  <c r="Z312" i="1"/>
  <c r="Y312" i="1"/>
  <c r="U312" i="1"/>
  <c r="V312" i="1" s="1"/>
  <c r="W312" i="1"/>
  <c r="X312" i="1"/>
  <c r="AF311" i="1"/>
  <c r="AB311" i="1"/>
  <c r="AG311" i="1"/>
  <c r="AC311" i="1"/>
  <c r="AE311" i="1"/>
  <c r="AA311" i="1"/>
  <c r="AD311" i="1"/>
  <c r="AH311" i="1"/>
  <c r="AG312" i="1" l="1"/>
  <c r="AC312" i="1"/>
  <c r="AB312" i="1"/>
  <c r="AF312" i="1"/>
  <c r="AD312" i="1"/>
  <c r="AH312" i="1"/>
  <c r="AE312" i="1"/>
  <c r="AA312" i="1"/>
  <c r="T313" i="1"/>
  <c r="Y313" i="1"/>
  <c r="X313" i="1"/>
  <c r="U313" i="1"/>
  <c r="V313" i="1" s="1"/>
  <c r="W313" i="1"/>
  <c r="Z313" i="1"/>
  <c r="S314" i="1"/>
  <c r="T314" i="1" l="1"/>
  <c r="Y314" i="1"/>
  <c r="U314" i="1"/>
  <c r="V314" i="1" s="1"/>
  <c r="W314" i="1"/>
  <c r="X314" i="1"/>
  <c r="S315" i="1"/>
  <c r="Z314" i="1"/>
  <c r="AF313" i="1"/>
  <c r="AB313" i="1"/>
  <c r="AH313" i="1"/>
  <c r="AD313" i="1"/>
  <c r="AC313" i="1"/>
  <c r="AG313" i="1"/>
  <c r="AA313" i="1"/>
  <c r="AE313" i="1"/>
  <c r="AE314" i="1" l="1"/>
  <c r="AA314" i="1"/>
  <c r="AD314" i="1"/>
  <c r="AH314" i="1"/>
  <c r="T315" i="1"/>
  <c r="U315" i="1"/>
  <c r="V315" i="1" s="1"/>
  <c r="S316" i="1"/>
  <c r="Z315" i="1"/>
  <c r="Y315" i="1"/>
  <c r="W315" i="1"/>
  <c r="X315" i="1"/>
  <c r="AG314" i="1"/>
  <c r="AC314" i="1"/>
  <c r="AB314" i="1"/>
  <c r="AF314" i="1"/>
  <c r="AH315" i="1" l="1"/>
  <c r="AD315" i="1"/>
  <c r="T316" i="1"/>
  <c r="Y316" i="1"/>
  <c r="U316" i="1"/>
  <c r="V316" i="1" s="1"/>
  <c r="W316" i="1"/>
  <c r="S317" i="1"/>
  <c r="X316" i="1"/>
  <c r="Z316" i="1"/>
  <c r="AF315" i="1"/>
  <c r="AB315" i="1"/>
  <c r="AA315" i="1"/>
  <c r="AE315" i="1"/>
  <c r="AG315" i="1"/>
  <c r="AC315" i="1"/>
  <c r="T317" i="1" l="1"/>
  <c r="W317" i="1"/>
  <c r="Y317" i="1"/>
  <c r="U317" i="1"/>
  <c r="V317" i="1" s="1"/>
  <c r="S318" i="1"/>
  <c r="Z317" i="1"/>
  <c r="X317" i="1"/>
  <c r="AF316" i="1"/>
  <c r="AB316" i="1"/>
  <c r="AA316" i="1"/>
  <c r="AE316" i="1"/>
  <c r="AC316" i="1"/>
  <c r="AG316" i="1"/>
  <c r="AH316" i="1"/>
  <c r="AD316" i="1"/>
  <c r="AB317" i="1" l="1"/>
  <c r="AF317" i="1"/>
  <c r="AG317" i="1"/>
  <c r="AC317" i="1"/>
  <c r="AD317" i="1"/>
  <c r="AH317" i="1"/>
  <c r="AA317" i="1"/>
  <c r="AE317" i="1"/>
  <c r="T318" i="1"/>
  <c r="U318" i="1"/>
  <c r="V318" i="1" s="1"/>
  <c r="W318" i="1"/>
  <c r="X318" i="1"/>
  <c r="S319" i="1"/>
  <c r="Z318" i="1"/>
  <c r="Y318" i="1"/>
  <c r="AF318" i="1" l="1"/>
  <c r="AB318" i="1"/>
  <c r="AC318" i="1"/>
  <c r="AG318" i="1"/>
  <c r="AE318" i="1"/>
  <c r="AA318" i="1"/>
  <c r="AH318" i="1"/>
  <c r="AD318" i="1"/>
  <c r="T319" i="1"/>
  <c r="Y319" i="1"/>
  <c r="X319" i="1"/>
  <c r="U319" i="1"/>
  <c r="V319" i="1" s="1"/>
  <c r="W319" i="1"/>
  <c r="S320" i="1"/>
  <c r="Z319" i="1"/>
  <c r="AH319" i="1" l="1"/>
  <c r="AD319" i="1"/>
  <c r="AB319" i="1"/>
  <c r="AF319" i="1"/>
  <c r="T320" i="1"/>
  <c r="S321" i="1"/>
  <c r="Z320" i="1"/>
  <c r="Y320" i="1"/>
  <c r="U320" i="1"/>
  <c r="V320" i="1" s="1"/>
  <c r="W320" i="1"/>
  <c r="X320" i="1"/>
  <c r="AG319" i="1"/>
  <c r="AC319" i="1"/>
  <c r="AA319" i="1"/>
  <c r="AE319" i="1"/>
  <c r="AC320" i="1" l="1"/>
  <c r="AG320" i="1"/>
  <c r="AB320" i="1"/>
  <c r="AF320" i="1"/>
  <c r="AH320" i="1"/>
  <c r="AD320" i="1"/>
  <c r="AA320" i="1"/>
  <c r="AE320" i="1"/>
  <c r="T321" i="1"/>
  <c r="Y321" i="1"/>
  <c r="X321" i="1"/>
  <c r="U321" i="1"/>
  <c r="V321" i="1" s="1"/>
  <c r="W321" i="1"/>
  <c r="S322" i="1"/>
  <c r="Z321" i="1"/>
  <c r="AF321" i="1" l="1"/>
  <c r="AB321" i="1"/>
  <c r="T322" i="1"/>
  <c r="U322" i="1"/>
  <c r="V322" i="1" s="1"/>
  <c r="W322" i="1"/>
  <c r="X322" i="1"/>
  <c r="S323" i="1"/>
  <c r="Z322" i="1"/>
  <c r="Y322" i="1"/>
  <c r="AC321" i="1"/>
  <c r="AG321" i="1"/>
  <c r="AD321" i="1"/>
  <c r="AH321" i="1"/>
  <c r="AA321" i="1"/>
  <c r="AE321" i="1"/>
  <c r="AC322" i="1" l="1"/>
  <c r="AG322" i="1"/>
  <c r="AA322" i="1"/>
  <c r="AE322" i="1"/>
  <c r="AD322" i="1"/>
  <c r="AH322" i="1"/>
  <c r="T323" i="1"/>
  <c r="Y323" i="1"/>
  <c r="X323" i="1"/>
  <c r="U323" i="1"/>
  <c r="V323" i="1" s="1"/>
  <c r="W323" i="1"/>
  <c r="S324" i="1"/>
  <c r="Z323" i="1"/>
  <c r="AB322" i="1"/>
  <c r="AF322" i="1"/>
  <c r="AE323" i="1" l="1"/>
  <c r="AA323" i="1"/>
  <c r="T324" i="1"/>
  <c r="Y324" i="1"/>
  <c r="W324" i="1"/>
  <c r="X324" i="1"/>
  <c r="S325" i="1"/>
  <c r="Z324" i="1"/>
  <c r="U324" i="1"/>
  <c r="V324" i="1" s="1"/>
  <c r="AC323" i="1"/>
  <c r="AG323" i="1"/>
  <c r="AH323" i="1"/>
  <c r="AD323" i="1"/>
  <c r="AF323" i="1"/>
  <c r="AB323" i="1"/>
  <c r="AG324" i="1" l="1"/>
  <c r="AC324" i="1"/>
  <c r="AF324" i="1"/>
  <c r="AB324" i="1"/>
  <c r="AH324" i="1"/>
  <c r="AD324" i="1"/>
  <c r="T325" i="1"/>
  <c r="Y325" i="1"/>
  <c r="X325" i="1"/>
  <c r="W325" i="1"/>
  <c r="Z325" i="1"/>
  <c r="U325" i="1"/>
  <c r="V325" i="1" s="1"/>
  <c r="S326" i="1"/>
  <c r="AA324" i="1"/>
  <c r="AE324" i="1"/>
  <c r="AH325" i="1" l="1"/>
  <c r="AD325" i="1"/>
  <c r="AA325" i="1"/>
  <c r="AE325" i="1"/>
  <c r="AC325" i="1"/>
  <c r="AG325" i="1"/>
  <c r="T326" i="1"/>
  <c r="S327" i="1"/>
  <c r="Z326" i="1"/>
  <c r="Y326" i="1"/>
  <c r="U326" i="1"/>
  <c r="V326" i="1" s="1"/>
  <c r="W326" i="1"/>
  <c r="X326" i="1"/>
  <c r="AF325" i="1"/>
  <c r="AB325" i="1"/>
  <c r="AA326" i="1" l="1"/>
  <c r="AE326" i="1"/>
  <c r="AC326" i="1"/>
  <c r="AG326" i="1"/>
  <c r="T327" i="1"/>
  <c r="Y327" i="1"/>
  <c r="X327" i="1"/>
  <c r="U327" i="1"/>
  <c r="V327" i="1" s="1"/>
  <c r="W327" i="1"/>
  <c r="S328" i="1"/>
  <c r="Z327" i="1"/>
  <c r="AB326" i="1"/>
  <c r="AF326" i="1"/>
  <c r="AD326" i="1"/>
  <c r="AH326" i="1"/>
  <c r="AD327" i="1" l="1"/>
  <c r="AH327" i="1"/>
  <c r="AB327" i="1"/>
  <c r="AF327" i="1"/>
  <c r="T328" i="1"/>
  <c r="S329" i="1"/>
  <c r="Z328" i="1"/>
  <c r="Y328" i="1"/>
  <c r="U328" i="1"/>
  <c r="V328" i="1" s="1"/>
  <c r="W328" i="1"/>
  <c r="X328" i="1"/>
  <c r="AG327" i="1"/>
  <c r="AC327" i="1"/>
  <c r="AE327" i="1"/>
  <c r="AA327" i="1"/>
  <c r="AG328" i="1" l="1"/>
  <c r="AC328" i="1"/>
  <c r="AF328" i="1"/>
  <c r="AB328" i="1"/>
  <c r="AH328" i="1"/>
  <c r="AD328" i="1"/>
  <c r="AA328" i="1"/>
  <c r="AE328" i="1"/>
  <c r="T329" i="1"/>
  <c r="W329" i="1"/>
  <c r="S330" i="1"/>
  <c r="Z329" i="1"/>
  <c r="Y329" i="1"/>
  <c r="X329" i="1"/>
  <c r="U329" i="1"/>
  <c r="V329" i="1" s="1"/>
  <c r="AD329" i="1" l="1"/>
  <c r="AH329" i="1"/>
  <c r="T330" i="1"/>
  <c r="U330" i="1"/>
  <c r="V330" i="1" s="1"/>
  <c r="W330" i="1"/>
  <c r="X330" i="1"/>
  <c r="S331" i="1"/>
  <c r="Z330" i="1"/>
  <c r="Y330" i="1"/>
  <c r="AB329" i="1"/>
  <c r="AF329" i="1"/>
  <c r="AA329" i="1"/>
  <c r="AE329" i="1"/>
  <c r="AG329" i="1"/>
  <c r="AC329" i="1"/>
  <c r="AH330" i="1" l="1"/>
  <c r="AD330" i="1"/>
  <c r="T331" i="1"/>
  <c r="Y331" i="1"/>
  <c r="X331" i="1"/>
  <c r="W331" i="1"/>
  <c r="U331" i="1"/>
  <c r="V331" i="1" s="1"/>
  <c r="S332" i="1"/>
  <c r="Z331" i="1"/>
  <c r="AF330" i="1"/>
  <c r="AB330" i="1"/>
  <c r="AC330" i="1"/>
  <c r="AG330" i="1"/>
  <c r="AA330" i="1"/>
  <c r="AE330" i="1"/>
  <c r="T332" i="1" l="1"/>
  <c r="S333" i="1"/>
  <c r="Z332" i="1"/>
  <c r="Y332" i="1"/>
  <c r="U332" i="1"/>
  <c r="V332" i="1" s="1"/>
  <c r="X332" i="1"/>
  <c r="W332" i="1"/>
  <c r="AG331" i="1"/>
  <c r="AC331" i="1"/>
  <c r="AA331" i="1"/>
  <c r="AE331" i="1"/>
  <c r="AH331" i="1"/>
  <c r="AD331" i="1"/>
  <c r="AB331" i="1"/>
  <c r="AF331" i="1"/>
  <c r="AA332" i="1" l="1"/>
  <c r="AE332" i="1"/>
  <c r="AH332" i="1"/>
  <c r="AD332" i="1"/>
  <c r="AG332" i="1"/>
  <c r="AC332" i="1"/>
  <c r="AF332" i="1"/>
  <c r="AB332" i="1"/>
  <c r="T333" i="1"/>
  <c r="W333" i="1"/>
  <c r="S334" i="1"/>
  <c r="Z333" i="1"/>
  <c r="Y333" i="1"/>
  <c r="X333" i="1"/>
  <c r="U333" i="1"/>
  <c r="V333" i="1" s="1"/>
  <c r="AH333" i="1" l="1"/>
  <c r="AD333" i="1"/>
  <c r="AA333" i="1"/>
  <c r="AE333" i="1"/>
  <c r="T334" i="1"/>
  <c r="U334" i="1"/>
  <c r="V334" i="1" s="1"/>
  <c r="W334" i="1"/>
  <c r="X334" i="1"/>
  <c r="S335" i="1"/>
  <c r="Z334" i="1"/>
  <c r="Y334" i="1"/>
  <c r="AB333" i="1"/>
  <c r="AF333" i="1"/>
  <c r="AC333" i="1"/>
  <c r="AG333" i="1"/>
  <c r="AC334" i="1" l="1"/>
  <c r="AG334" i="1"/>
  <c r="AA334" i="1"/>
  <c r="AE334" i="1"/>
  <c r="AD334" i="1"/>
  <c r="AH334" i="1"/>
  <c r="AF334" i="1"/>
  <c r="AB334" i="1"/>
  <c r="T335" i="1"/>
  <c r="W335" i="1"/>
  <c r="S336" i="1"/>
  <c r="Z335" i="1"/>
  <c r="Y335" i="1"/>
  <c r="X335" i="1"/>
  <c r="U335" i="1"/>
  <c r="V335" i="1" s="1"/>
  <c r="AD335" i="1" l="1"/>
  <c r="AH335" i="1"/>
  <c r="T336" i="1"/>
  <c r="U336" i="1"/>
  <c r="V336" i="1" s="1"/>
  <c r="W336" i="1"/>
  <c r="X336" i="1"/>
  <c r="S337" i="1"/>
  <c r="Z336" i="1"/>
  <c r="Y336" i="1"/>
  <c r="AB335" i="1"/>
  <c r="AF335" i="1"/>
  <c r="AA335" i="1"/>
  <c r="AE335" i="1"/>
  <c r="AG335" i="1"/>
  <c r="AC335" i="1"/>
  <c r="AC336" i="1" l="1"/>
  <c r="AG336" i="1"/>
  <c r="AA336" i="1"/>
  <c r="AE336" i="1"/>
  <c r="AD336" i="1"/>
  <c r="AH336" i="1"/>
  <c r="T337" i="1"/>
  <c r="Y337" i="1"/>
  <c r="X337" i="1"/>
  <c r="U337" i="1"/>
  <c r="V337" i="1" s="1"/>
  <c r="W337" i="1"/>
  <c r="S338" i="1"/>
  <c r="Z337" i="1"/>
  <c r="AB336" i="1"/>
  <c r="AF336" i="1"/>
  <c r="T338" i="1" l="1"/>
  <c r="Y338" i="1"/>
  <c r="S339" i="1"/>
  <c r="U338" i="1"/>
  <c r="V338" i="1" s="1"/>
  <c r="W338" i="1"/>
  <c r="X338" i="1"/>
  <c r="Z338" i="1"/>
  <c r="AG337" i="1"/>
  <c r="AC337" i="1"/>
  <c r="AA337" i="1"/>
  <c r="AE337" i="1"/>
  <c r="AH337" i="1"/>
  <c r="AD337" i="1"/>
  <c r="AF337" i="1"/>
  <c r="AB337" i="1"/>
  <c r="AH338" i="1" l="1"/>
  <c r="AD338" i="1"/>
  <c r="T339" i="1"/>
  <c r="W339" i="1"/>
  <c r="Y339" i="1"/>
  <c r="X339" i="1"/>
  <c r="U339" i="1"/>
  <c r="V339" i="1" s="1"/>
  <c r="S340" i="1"/>
  <c r="Z339" i="1"/>
  <c r="AF338" i="1"/>
  <c r="AB338" i="1"/>
  <c r="AC338" i="1"/>
  <c r="AG338" i="1"/>
  <c r="AA338" i="1"/>
  <c r="AE338" i="1"/>
  <c r="AD339" i="1" l="1"/>
  <c r="AH339" i="1"/>
  <c r="T340" i="1"/>
  <c r="U340" i="1"/>
  <c r="V340" i="1" s="1"/>
  <c r="Y340" i="1"/>
  <c r="W340" i="1"/>
  <c r="X340" i="1"/>
  <c r="S341" i="1"/>
  <c r="Z340" i="1"/>
  <c r="AG339" i="1"/>
  <c r="AC339" i="1"/>
  <c r="AA339" i="1"/>
  <c r="AE339" i="1"/>
  <c r="AB339" i="1"/>
  <c r="AF339" i="1"/>
  <c r="AB340" i="1" l="1"/>
  <c r="AF340" i="1"/>
  <c r="T341" i="1"/>
  <c r="U341" i="1"/>
  <c r="V341" i="1" s="1"/>
  <c r="W341" i="1"/>
  <c r="Z341" i="1"/>
  <c r="Y341" i="1"/>
  <c r="X341" i="1"/>
  <c r="S342" i="1"/>
  <c r="AE340" i="1"/>
  <c r="AA340" i="1"/>
  <c r="AD340" i="1"/>
  <c r="AH340" i="1"/>
  <c r="AC340" i="1"/>
  <c r="AG340" i="1"/>
  <c r="AC341" i="1" l="1"/>
  <c r="AG341" i="1"/>
  <c r="AF341" i="1"/>
  <c r="AB341" i="1"/>
  <c r="AH341" i="1"/>
  <c r="AD341" i="1"/>
  <c r="T342" i="1"/>
  <c r="S343" i="1"/>
  <c r="Z342" i="1"/>
  <c r="Y342" i="1"/>
  <c r="U342" i="1"/>
  <c r="V342" i="1" s="1"/>
  <c r="W342" i="1"/>
  <c r="X342" i="1"/>
  <c r="AA341" i="1"/>
  <c r="AE341" i="1"/>
  <c r="AA342" i="1" l="1"/>
  <c r="AE342" i="1"/>
  <c r="T343" i="1"/>
  <c r="W343" i="1"/>
  <c r="S344" i="1"/>
  <c r="Z343" i="1"/>
  <c r="Y343" i="1"/>
  <c r="X343" i="1"/>
  <c r="U343" i="1"/>
  <c r="V343" i="1" s="1"/>
  <c r="AC342" i="1"/>
  <c r="AG342" i="1"/>
  <c r="AF342" i="1"/>
  <c r="AB342" i="1"/>
  <c r="AH342" i="1"/>
  <c r="AD342" i="1"/>
  <c r="AB343" i="1" l="1"/>
  <c r="AF343" i="1"/>
  <c r="AA343" i="1"/>
  <c r="AE343" i="1"/>
  <c r="AG343" i="1"/>
  <c r="AC343" i="1"/>
  <c r="AD343" i="1"/>
  <c r="AH343" i="1"/>
  <c r="T344" i="1"/>
  <c r="Y344" i="1"/>
  <c r="W344" i="1"/>
  <c r="U344" i="1"/>
  <c r="V344" i="1" s="1"/>
  <c r="S345" i="1"/>
  <c r="Z344" i="1"/>
  <c r="X344" i="1"/>
  <c r="AH344" i="1" l="1"/>
  <c r="AD344" i="1"/>
  <c r="AB344" i="1"/>
  <c r="AF344" i="1"/>
  <c r="AE344" i="1"/>
  <c r="AA344" i="1"/>
  <c r="AC344" i="1"/>
  <c r="AG344" i="1"/>
  <c r="T345" i="1"/>
  <c r="Z345" i="1"/>
  <c r="U345" i="1"/>
  <c r="V345" i="1" s="1"/>
  <c r="X345" i="1"/>
  <c r="S346" i="1"/>
  <c r="W345" i="1"/>
  <c r="Y345" i="1"/>
  <c r="AC345" i="1" l="1"/>
  <c r="AG345" i="1"/>
  <c r="AF345" i="1"/>
  <c r="AB345" i="1"/>
  <c r="AE345" i="1"/>
  <c r="AA345" i="1"/>
  <c r="AH345" i="1"/>
  <c r="AD345" i="1"/>
  <c r="T346" i="1"/>
  <c r="Y346" i="1"/>
  <c r="W346" i="1"/>
  <c r="U346" i="1"/>
  <c r="V346" i="1" s="1"/>
  <c r="Z346" i="1"/>
  <c r="X346" i="1"/>
  <c r="S347" i="1"/>
  <c r="T347" i="1" l="1"/>
  <c r="X347" i="1"/>
  <c r="S348" i="1"/>
  <c r="W347" i="1"/>
  <c r="Y347" i="1"/>
  <c r="Z347" i="1"/>
  <c r="U347" i="1"/>
  <c r="V347" i="1" s="1"/>
  <c r="AA346" i="1"/>
  <c r="AE346" i="1"/>
  <c r="AC346" i="1"/>
  <c r="AG346" i="1"/>
  <c r="AB346" i="1"/>
  <c r="AF346" i="1"/>
  <c r="AH346" i="1"/>
  <c r="AD346" i="1"/>
  <c r="AA347" i="1" l="1"/>
  <c r="AE347" i="1"/>
  <c r="T348" i="1"/>
  <c r="Z348" i="1"/>
  <c r="X348" i="1"/>
  <c r="W348" i="1"/>
  <c r="U348" i="1"/>
  <c r="V348" i="1" s="1"/>
  <c r="S349" i="1"/>
  <c r="Y348" i="1"/>
  <c r="AD347" i="1"/>
  <c r="AH347" i="1"/>
  <c r="AB347" i="1"/>
  <c r="AF347" i="1"/>
  <c r="AG347" i="1"/>
  <c r="AC347" i="1"/>
  <c r="T349" i="1" l="1"/>
  <c r="U349" i="1"/>
  <c r="V349" i="1" s="1"/>
  <c r="Y349" i="1"/>
  <c r="X349" i="1"/>
  <c r="S350" i="1"/>
  <c r="W349" i="1"/>
  <c r="Z349" i="1"/>
  <c r="AH348" i="1"/>
  <c r="AD348" i="1"/>
  <c r="AG348" i="1"/>
  <c r="AC348" i="1"/>
  <c r="AE348" i="1"/>
  <c r="AA348" i="1"/>
  <c r="AF348" i="1"/>
  <c r="AB348" i="1"/>
  <c r="AF349" i="1" l="1"/>
  <c r="AB349" i="1"/>
  <c r="AH349" i="1"/>
  <c r="AD349" i="1"/>
  <c r="AG349" i="1"/>
  <c r="AC349" i="1"/>
  <c r="AE349" i="1"/>
  <c r="AA349" i="1"/>
  <c r="T350" i="1"/>
  <c r="S351" i="1"/>
  <c r="Y350" i="1"/>
  <c r="W350" i="1"/>
  <c r="U350" i="1"/>
  <c r="V350" i="1" s="1"/>
  <c r="Z350" i="1"/>
  <c r="X350" i="1"/>
  <c r="AA350" i="1" l="1"/>
  <c r="AE350" i="1"/>
  <c r="AF350" i="1"/>
  <c r="AB350" i="1"/>
  <c r="AG350" i="1"/>
  <c r="AC350" i="1"/>
  <c r="AH350" i="1"/>
  <c r="AD350" i="1"/>
  <c r="T351" i="1"/>
  <c r="U351" i="1"/>
  <c r="V351" i="1" s="1"/>
  <c r="X351" i="1"/>
  <c r="S352" i="1"/>
  <c r="W351" i="1"/>
  <c r="Y351" i="1"/>
  <c r="Z351" i="1"/>
  <c r="AC351" i="1" l="1"/>
  <c r="AG351" i="1"/>
  <c r="T352" i="1"/>
  <c r="X352" i="1"/>
  <c r="Y352" i="1"/>
  <c r="Z352" i="1"/>
  <c r="S353" i="1"/>
  <c r="W352" i="1"/>
  <c r="U352" i="1"/>
  <c r="V352" i="1" s="1"/>
  <c r="AD351" i="1"/>
  <c r="AH351" i="1"/>
  <c r="AB351" i="1"/>
  <c r="AF351" i="1"/>
  <c r="AA351" i="1"/>
  <c r="AE351" i="1"/>
  <c r="AE352" i="1" l="1"/>
  <c r="AA352" i="1"/>
  <c r="AF352" i="1"/>
  <c r="AB352" i="1"/>
  <c r="T353" i="1"/>
  <c r="Y353" i="1"/>
  <c r="Z353" i="1"/>
  <c r="X353" i="1"/>
  <c r="U353" i="1"/>
  <c r="V353" i="1" s="1"/>
  <c r="S354" i="1"/>
  <c r="W353" i="1"/>
  <c r="AD352" i="1"/>
  <c r="AH352" i="1"/>
  <c r="AC352" i="1"/>
  <c r="AG352" i="1"/>
  <c r="AF353" i="1" l="1"/>
  <c r="AB353" i="1"/>
  <c r="AE353" i="1"/>
  <c r="AA353" i="1"/>
  <c r="AH353" i="1"/>
  <c r="AD353" i="1"/>
  <c r="T354" i="1"/>
  <c r="S355" i="1"/>
  <c r="Y354" i="1"/>
  <c r="W354" i="1"/>
  <c r="U354" i="1"/>
  <c r="V354" i="1" s="1"/>
  <c r="Z354" i="1"/>
  <c r="X354" i="1"/>
  <c r="AG353" i="1"/>
  <c r="AC353" i="1"/>
  <c r="AD354" i="1" l="1"/>
  <c r="AH354" i="1"/>
  <c r="T355" i="1"/>
  <c r="S356" i="1"/>
  <c r="W355" i="1"/>
  <c r="Y355" i="1"/>
  <c r="Z355" i="1"/>
  <c r="U355" i="1"/>
  <c r="V355" i="1" s="1"/>
  <c r="X355" i="1"/>
  <c r="AE354" i="1"/>
  <c r="AA354" i="1"/>
  <c r="AB354" i="1"/>
  <c r="AF354" i="1"/>
  <c r="AG354" i="1"/>
  <c r="AC354" i="1"/>
  <c r="T356" i="1" l="1"/>
  <c r="Z356" i="1"/>
  <c r="X356" i="1"/>
  <c r="S357" i="1"/>
  <c r="Y356" i="1"/>
  <c r="W356" i="1"/>
  <c r="U356" i="1"/>
  <c r="V356" i="1" s="1"/>
  <c r="AD355" i="1"/>
  <c r="AH355" i="1"/>
  <c r="AG355" i="1"/>
  <c r="AC355" i="1"/>
  <c r="AF355" i="1"/>
  <c r="AB355" i="1"/>
  <c r="AA355" i="1"/>
  <c r="AE355" i="1"/>
  <c r="T357" i="1" l="1"/>
  <c r="Y357" i="1"/>
  <c r="Z357" i="1"/>
  <c r="U357" i="1"/>
  <c r="V357" i="1" s="1"/>
  <c r="X357" i="1"/>
  <c r="S358" i="1"/>
  <c r="W357" i="1"/>
  <c r="AF356" i="1"/>
  <c r="AB356" i="1"/>
  <c r="AE356" i="1"/>
  <c r="AA356" i="1"/>
  <c r="AD356" i="1"/>
  <c r="AH356" i="1"/>
  <c r="AC356" i="1"/>
  <c r="AG356" i="1"/>
  <c r="AA357" i="1" l="1"/>
  <c r="AE357" i="1"/>
  <c r="AD357" i="1"/>
  <c r="AH357" i="1"/>
  <c r="T358" i="1"/>
  <c r="Z358" i="1"/>
  <c r="X358" i="1"/>
  <c r="S359" i="1"/>
  <c r="Y358" i="1"/>
  <c r="W358" i="1"/>
  <c r="U358" i="1"/>
  <c r="V358" i="1" s="1"/>
  <c r="AG357" i="1"/>
  <c r="AC357" i="1"/>
  <c r="AF357" i="1"/>
  <c r="AB357" i="1"/>
  <c r="T359" i="1" l="1"/>
  <c r="X359" i="1"/>
  <c r="W359" i="1"/>
  <c r="Y359" i="1"/>
  <c r="Z359" i="1"/>
  <c r="U359" i="1"/>
  <c r="V359" i="1" s="1"/>
  <c r="S360" i="1"/>
  <c r="AB358" i="1"/>
  <c r="AF358" i="1"/>
  <c r="AE358" i="1"/>
  <c r="AA358" i="1"/>
  <c r="AH358" i="1"/>
  <c r="AD358" i="1"/>
  <c r="AG358" i="1"/>
  <c r="AC358" i="1"/>
  <c r="AG359" i="1" l="1"/>
  <c r="AC359" i="1"/>
  <c r="T360" i="1"/>
  <c r="Z360" i="1"/>
  <c r="X360" i="1"/>
  <c r="Y360" i="1"/>
  <c r="W360" i="1"/>
  <c r="U360" i="1"/>
  <c r="V360" i="1" s="1"/>
  <c r="S361" i="1"/>
  <c r="AA359" i="1"/>
  <c r="AE359" i="1"/>
  <c r="AF359" i="1"/>
  <c r="AB359" i="1"/>
  <c r="AD359" i="1"/>
  <c r="AH359" i="1"/>
  <c r="AD360" i="1" l="1"/>
  <c r="AH360" i="1"/>
  <c r="AA360" i="1"/>
  <c r="AE360" i="1"/>
  <c r="AG360" i="1"/>
  <c r="AC360" i="1"/>
  <c r="T361" i="1"/>
  <c r="X361" i="1"/>
  <c r="Y361" i="1"/>
  <c r="U361" i="1"/>
  <c r="V361" i="1" s="1"/>
  <c r="S362" i="1"/>
  <c r="W361" i="1"/>
  <c r="Z361" i="1"/>
  <c r="AF360" i="1"/>
  <c r="AB360" i="1"/>
  <c r="AA361" i="1" l="1"/>
  <c r="AE361" i="1"/>
  <c r="AF361" i="1"/>
  <c r="AB361" i="1"/>
  <c r="T362" i="1"/>
  <c r="Z362" i="1"/>
  <c r="X362" i="1"/>
  <c r="Y362" i="1"/>
  <c r="W362" i="1"/>
  <c r="U362" i="1"/>
  <c r="V362" i="1" s="1"/>
  <c r="S363" i="1"/>
  <c r="AD361" i="1"/>
  <c r="AH361" i="1"/>
  <c r="AG361" i="1"/>
  <c r="AC361" i="1"/>
  <c r="AC362" i="1" l="1"/>
  <c r="AG362" i="1"/>
  <c r="T363" i="1"/>
  <c r="X363" i="1"/>
  <c r="S364" i="1"/>
  <c r="W363" i="1"/>
  <c r="Y363" i="1"/>
  <c r="U363" i="1"/>
  <c r="V363" i="1" s="1"/>
  <c r="Z363" i="1"/>
  <c r="AB362" i="1"/>
  <c r="AF362" i="1"/>
  <c r="AD362" i="1"/>
  <c r="AH362" i="1"/>
  <c r="AA362" i="1"/>
  <c r="AE362" i="1"/>
  <c r="AF363" i="1" l="1"/>
  <c r="AB363" i="1"/>
  <c r="AC363" i="1"/>
  <c r="AG363" i="1"/>
  <c r="AA363" i="1"/>
  <c r="AE363" i="1"/>
  <c r="AD363" i="1"/>
  <c r="AH363" i="1"/>
  <c r="T364" i="1"/>
  <c r="Z364" i="1"/>
  <c r="W364" i="1"/>
  <c r="U364" i="1"/>
  <c r="V364" i="1" s="1"/>
  <c r="X364" i="1"/>
  <c r="S365" i="1"/>
  <c r="Y364" i="1"/>
  <c r="AB364" i="1" l="1"/>
  <c r="AF364" i="1"/>
  <c r="AG364" i="1"/>
  <c r="AC364" i="1"/>
  <c r="AE364" i="1"/>
  <c r="AA364" i="1"/>
  <c r="T365" i="1"/>
  <c r="S366" i="1"/>
  <c r="W365" i="1"/>
  <c r="Y365" i="1"/>
  <c r="Z365" i="1"/>
  <c r="U365" i="1"/>
  <c r="V365" i="1" s="1"/>
  <c r="X365" i="1"/>
  <c r="AH364" i="1"/>
  <c r="AD364" i="1"/>
  <c r="T366" i="1" l="1"/>
  <c r="Z366" i="1"/>
  <c r="X366" i="1"/>
  <c r="S367" i="1"/>
  <c r="Y366" i="1"/>
  <c r="W366" i="1"/>
  <c r="U366" i="1"/>
  <c r="V366" i="1" s="1"/>
  <c r="AH365" i="1"/>
  <c r="AD365" i="1"/>
  <c r="AG365" i="1"/>
  <c r="AC365" i="1"/>
  <c r="AF365" i="1"/>
  <c r="AB365" i="1"/>
  <c r="AE365" i="1"/>
  <c r="AA365" i="1"/>
  <c r="AF366" i="1" l="1"/>
  <c r="AB366" i="1"/>
  <c r="AA366" i="1"/>
  <c r="AE366" i="1"/>
  <c r="AH366" i="1"/>
  <c r="AD366" i="1"/>
  <c r="T367" i="1"/>
  <c r="Y367" i="1"/>
  <c r="Z367" i="1"/>
  <c r="U367" i="1"/>
  <c r="V367" i="1" s="1"/>
  <c r="S368" i="1"/>
  <c r="X367" i="1"/>
  <c r="W367" i="1"/>
  <c r="AG366" i="1"/>
  <c r="AC366" i="1"/>
  <c r="T368" i="1" l="1"/>
  <c r="Z368" i="1"/>
  <c r="X368" i="1"/>
  <c r="S369" i="1"/>
  <c r="Y368" i="1"/>
  <c r="W368" i="1"/>
  <c r="U368" i="1"/>
  <c r="V368" i="1" s="1"/>
  <c r="AF367" i="1"/>
  <c r="AB367" i="1"/>
  <c r="AC367" i="1"/>
  <c r="AG367" i="1"/>
  <c r="AE367" i="1"/>
  <c r="AA367" i="1"/>
  <c r="AD367" i="1"/>
  <c r="AH367" i="1"/>
  <c r="T369" i="1" l="1"/>
  <c r="X369" i="1"/>
  <c r="S370" i="1"/>
  <c r="W369" i="1"/>
  <c r="Y369" i="1"/>
  <c r="Z369" i="1"/>
  <c r="U369" i="1"/>
  <c r="V369" i="1" s="1"/>
  <c r="AF368" i="1"/>
  <c r="AB368" i="1"/>
  <c r="AA368" i="1"/>
  <c r="AE368" i="1"/>
  <c r="AH368" i="1"/>
  <c r="AD368" i="1"/>
  <c r="AC368" i="1"/>
  <c r="AG368" i="1"/>
  <c r="AA369" i="1" l="1"/>
  <c r="AE369" i="1"/>
  <c r="T370" i="1"/>
  <c r="Z370" i="1"/>
  <c r="X370" i="1"/>
  <c r="S371" i="1"/>
  <c r="Y370" i="1"/>
  <c r="W370" i="1"/>
  <c r="U370" i="1"/>
  <c r="V370" i="1" s="1"/>
  <c r="AD369" i="1"/>
  <c r="AH369" i="1"/>
  <c r="AF369" i="1"/>
  <c r="AB369" i="1"/>
  <c r="AG369" i="1"/>
  <c r="AC369" i="1"/>
  <c r="AA370" i="1" l="1"/>
  <c r="AE370" i="1"/>
  <c r="AD370" i="1"/>
  <c r="AH370" i="1"/>
  <c r="AC370" i="1"/>
  <c r="AG370" i="1"/>
  <c r="T371" i="1"/>
  <c r="X371" i="1"/>
  <c r="S372" i="1"/>
  <c r="W371" i="1"/>
  <c r="Z371" i="1"/>
  <c r="Y371" i="1"/>
  <c r="U371" i="1"/>
  <c r="V371" i="1" s="1"/>
  <c r="AB370" i="1"/>
  <c r="AF370" i="1"/>
  <c r="AC371" i="1" l="1"/>
  <c r="AG371" i="1"/>
  <c r="AB371" i="1"/>
  <c r="AF371" i="1"/>
  <c r="AH371" i="1"/>
  <c r="AD371" i="1"/>
  <c r="AA371" i="1"/>
  <c r="AE371" i="1"/>
  <c r="T372" i="1"/>
  <c r="Y372" i="1"/>
  <c r="W372" i="1"/>
  <c r="U372" i="1"/>
  <c r="V372" i="1" s="1"/>
  <c r="Z372" i="1"/>
  <c r="X372" i="1"/>
  <c r="S373" i="1"/>
  <c r="T373" i="1" l="1"/>
  <c r="Y373" i="1"/>
  <c r="U373" i="1"/>
  <c r="V373" i="1" s="1"/>
  <c r="X373" i="1"/>
  <c r="Z373" i="1"/>
  <c r="S374" i="1"/>
  <c r="W373" i="1"/>
  <c r="AE372" i="1"/>
  <c r="AA372" i="1"/>
  <c r="AB372" i="1"/>
  <c r="AF372" i="1"/>
  <c r="AC372" i="1"/>
  <c r="AG372" i="1"/>
  <c r="AD372" i="1"/>
  <c r="AH372" i="1"/>
  <c r="AB373" i="1" l="1"/>
  <c r="AF373" i="1"/>
  <c r="AA373" i="1"/>
  <c r="AE373" i="1"/>
  <c r="T374" i="1"/>
  <c r="Z374" i="1"/>
  <c r="X374" i="1"/>
  <c r="S375" i="1"/>
  <c r="Y374" i="1"/>
  <c r="W374" i="1"/>
  <c r="U374" i="1"/>
  <c r="V374" i="1" s="1"/>
  <c r="AG373" i="1"/>
  <c r="AC373" i="1"/>
  <c r="AH373" i="1"/>
  <c r="AD373" i="1"/>
  <c r="T375" i="1" l="1"/>
  <c r="X375" i="1"/>
  <c r="Z375" i="1"/>
  <c r="S376" i="1"/>
  <c r="W375" i="1"/>
  <c r="Y375" i="1"/>
  <c r="U375" i="1"/>
  <c r="V375" i="1" s="1"/>
  <c r="AF374" i="1"/>
  <c r="AB374" i="1"/>
  <c r="AA374" i="1"/>
  <c r="AE374" i="1"/>
  <c r="AH374" i="1"/>
  <c r="AD374" i="1"/>
  <c r="AC374" i="1"/>
  <c r="AG374" i="1"/>
  <c r="T376" i="1" l="1"/>
  <c r="Y376" i="1"/>
  <c r="W376" i="1"/>
  <c r="U376" i="1"/>
  <c r="V376" i="1" s="1"/>
  <c r="Z376" i="1"/>
  <c r="X376" i="1"/>
  <c r="S377" i="1"/>
  <c r="AH375" i="1"/>
  <c r="AD375" i="1"/>
  <c r="AC375" i="1"/>
  <c r="AG375" i="1"/>
  <c r="AB375" i="1"/>
  <c r="AF375" i="1"/>
  <c r="AE375" i="1"/>
  <c r="AA375" i="1"/>
  <c r="T377" i="1" l="1"/>
  <c r="X377" i="1"/>
  <c r="W377" i="1"/>
  <c r="Y377" i="1"/>
  <c r="Z377" i="1"/>
  <c r="U377" i="1"/>
  <c r="V377" i="1" s="1"/>
  <c r="S378" i="1"/>
  <c r="AA376" i="1"/>
  <c r="AE376" i="1"/>
  <c r="AF376" i="1"/>
  <c r="AB376" i="1"/>
  <c r="AC376" i="1"/>
  <c r="AG376" i="1"/>
  <c r="AD376" i="1"/>
  <c r="AH376" i="1"/>
  <c r="AC377" i="1" l="1"/>
  <c r="AG377" i="1"/>
  <c r="T378" i="1"/>
  <c r="Z378" i="1"/>
  <c r="X378" i="1"/>
  <c r="S379" i="1"/>
  <c r="W378" i="1"/>
  <c r="U378" i="1"/>
  <c r="V378" i="1" s="1"/>
  <c r="Y378" i="1"/>
  <c r="AA377" i="1"/>
  <c r="AE377" i="1"/>
  <c r="AB377" i="1"/>
  <c r="AF377" i="1"/>
  <c r="AD377" i="1"/>
  <c r="AH377" i="1"/>
  <c r="AH378" i="1" l="1"/>
  <c r="AD378" i="1"/>
  <c r="AE378" i="1"/>
  <c r="AA378" i="1"/>
  <c r="T379" i="1"/>
  <c r="W379" i="1"/>
  <c r="Y379" i="1"/>
  <c r="Z379" i="1"/>
  <c r="S380" i="1"/>
  <c r="U379" i="1"/>
  <c r="V379" i="1" s="1"/>
  <c r="X379" i="1"/>
  <c r="AG378" i="1"/>
  <c r="AC378" i="1"/>
  <c r="AB378" i="1"/>
  <c r="AF378" i="1"/>
  <c r="AH379" i="1" l="1"/>
  <c r="AD379" i="1"/>
  <c r="AF379" i="1"/>
  <c r="AB379" i="1"/>
  <c r="AC379" i="1"/>
  <c r="AG379" i="1"/>
  <c r="AE379" i="1"/>
  <c r="AA379" i="1"/>
  <c r="T380" i="1"/>
  <c r="U380" i="1"/>
  <c r="V380" i="1" s="1"/>
  <c r="Z380" i="1"/>
  <c r="X380" i="1"/>
  <c r="W380" i="1"/>
  <c r="S381" i="1"/>
  <c r="Y380" i="1"/>
  <c r="AF380" i="1" l="1"/>
  <c r="AB380" i="1"/>
  <c r="AG380" i="1"/>
  <c r="AC380" i="1"/>
  <c r="AH380" i="1"/>
  <c r="AD380" i="1"/>
  <c r="T381" i="1"/>
  <c r="Y381" i="1"/>
  <c r="Z381" i="1"/>
  <c r="U381" i="1"/>
  <c r="V381" i="1" s="1"/>
  <c r="S382" i="1"/>
  <c r="W381" i="1"/>
  <c r="X381" i="1"/>
  <c r="AA380" i="1"/>
  <c r="AE380" i="1"/>
  <c r="AE381" i="1" l="1"/>
  <c r="AA381" i="1"/>
  <c r="AC381" i="1"/>
  <c r="AG381" i="1"/>
  <c r="T382" i="1"/>
  <c r="Z382" i="1"/>
  <c r="X382" i="1"/>
  <c r="S383" i="1"/>
  <c r="Y382" i="1"/>
  <c r="W382" i="1"/>
  <c r="U382" i="1"/>
  <c r="V382" i="1" s="1"/>
  <c r="AF381" i="1"/>
  <c r="AB381" i="1"/>
  <c r="AD381" i="1"/>
  <c r="AH381" i="1"/>
  <c r="T383" i="1" l="1"/>
  <c r="Y383" i="1"/>
  <c r="Z383" i="1"/>
  <c r="U383" i="1"/>
  <c r="V383" i="1" s="1"/>
  <c r="X383" i="1"/>
  <c r="S384" i="1"/>
  <c r="W383" i="1"/>
  <c r="AB382" i="1"/>
  <c r="AF382" i="1"/>
  <c r="AE382" i="1"/>
  <c r="AA382" i="1"/>
  <c r="AD382" i="1"/>
  <c r="AH382" i="1"/>
  <c r="AG382" i="1"/>
  <c r="AC382" i="1"/>
  <c r="AE383" i="1" l="1"/>
  <c r="AA383" i="1"/>
  <c r="AH383" i="1"/>
  <c r="AD383" i="1"/>
  <c r="T384" i="1"/>
  <c r="S385" i="1"/>
  <c r="Y384" i="1"/>
  <c r="U384" i="1"/>
  <c r="V384" i="1" s="1"/>
  <c r="X384" i="1"/>
  <c r="W384" i="1"/>
  <c r="Z384" i="1"/>
  <c r="AG383" i="1"/>
  <c r="AC383" i="1"/>
  <c r="AF383" i="1"/>
  <c r="AB383" i="1"/>
  <c r="AF384" i="1" l="1"/>
  <c r="AB384" i="1"/>
  <c r="AE384" i="1"/>
  <c r="AA384" i="1"/>
  <c r="AH384" i="1"/>
  <c r="AD384" i="1"/>
  <c r="AG384" i="1"/>
  <c r="AC384" i="1"/>
  <c r="T385" i="1"/>
  <c r="S386" i="1"/>
  <c r="Y385" i="1"/>
  <c r="Z385" i="1"/>
  <c r="U385" i="1"/>
  <c r="V385" i="1" s="1"/>
  <c r="X385" i="1"/>
  <c r="W385" i="1"/>
  <c r="AD385" i="1" l="1"/>
  <c r="AH385" i="1"/>
  <c r="AA385" i="1"/>
  <c r="AE385" i="1"/>
  <c r="AG385" i="1"/>
  <c r="AC385" i="1"/>
  <c r="AB385" i="1"/>
  <c r="AF385" i="1"/>
  <c r="T386" i="1"/>
  <c r="S387" i="1"/>
  <c r="Y386" i="1"/>
  <c r="Z386" i="1"/>
  <c r="W386" i="1"/>
  <c r="U386" i="1"/>
  <c r="V386" i="1" s="1"/>
  <c r="X386" i="1"/>
  <c r="AH386" i="1" l="1"/>
  <c r="AD386" i="1"/>
  <c r="AB386" i="1"/>
  <c r="AF386" i="1"/>
  <c r="AG386" i="1"/>
  <c r="AC386" i="1"/>
  <c r="T387" i="1"/>
  <c r="Y387" i="1"/>
  <c r="U387" i="1"/>
  <c r="V387" i="1" s="1"/>
  <c r="X387" i="1"/>
  <c r="S388" i="1"/>
  <c r="W387" i="1"/>
  <c r="Z387" i="1"/>
  <c r="AE386" i="1"/>
  <c r="AA386" i="1"/>
  <c r="AG387" i="1" l="1"/>
  <c r="AC387" i="1"/>
  <c r="AA387" i="1"/>
  <c r="AE387" i="1"/>
  <c r="T388" i="1"/>
  <c r="Z388" i="1"/>
  <c r="X388" i="1"/>
  <c r="S389" i="1"/>
  <c r="Y388" i="1"/>
  <c r="W388" i="1"/>
  <c r="U388" i="1"/>
  <c r="V388" i="1" s="1"/>
  <c r="AF387" i="1"/>
  <c r="AB387" i="1"/>
  <c r="AD387" i="1"/>
  <c r="AH387" i="1"/>
  <c r="T389" i="1" l="1"/>
  <c r="X389" i="1"/>
  <c r="Y389" i="1"/>
  <c r="Z389" i="1"/>
  <c r="S390" i="1"/>
  <c r="U389" i="1"/>
  <c r="V389" i="1" s="1"/>
  <c r="W389" i="1"/>
  <c r="AF388" i="1"/>
  <c r="AB388" i="1"/>
  <c r="AE388" i="1"/>
  <c r="AA388" i="1"/>
  <c r="AD388" i="1"/>
  <c r="AH388" i="1"/>
  <c r="AC388" i="1"/>
  <c r="AG388" i="1"/>
  <c r="AH389" i="1" l="1"/>
  <c r="AD389" i="1"/>
  <c r="AE389" i="1"/>
  <c r="AA389" i="1"/>
  <c r="AC389" i="1"/>
  <c r="AG389" i="1"/>
  <c r="AB389" i="1"/>
  <c r="AF389" i="1"/>
  <c r="T390" i="1"/>
  <c r="Y390" i="1"/>
  <c r="W390" i="1"/>
  <c r="U390" i="1"/>
  <c r="V390" i="1" s="1"/>
  <c r="Z390" i="1"/>
  <c r="X390" i="1"/>
  <c r="S391" i="1"/>
  <c r="T391" i="1" l="1"/>
  <c r="S392" i="1"/>
  <c r="W391" i="1"/>
  <c r="Y391" i="1"/>
  <c r="Z391" i="1"/>
  <c r="U391" i="1"/>
  <c r="V391" i="1" s="1"/>
  <c r="X391" i="1"/>
  <c r="AE390" i="1"/>
  <c r="AA390" i="1"/>
  <c r="AB390" i="1"/>
  <c r="AF390" i="1"/>
  <c r="AG390" i="1"/>
  <c r="AC390" i="1"/>
  <c r="AH390" i="1"/>
  <c r="AD390" i="1"/>
  <c r="AG391" i="1" l="1"/>
  <c r="AC391" i="1"/>
  <c r="AF391" i="1"/>
  <c r="AB391" i="1"/>
  <c r="AA391" i="1"/>
  <c r="AE391" i="1"/>
  <c r="T392" i="1"/>
  <c r="Z392" i="1"/>
  <c r="X392" i="1"/>
  <c r="S393" i="1"/>
  <c r="Y392" i="1"/>
  <c r="W392" i="1"/>
  <c r="U392" i="1"/>
  <c r="V392" i="1" s="1"/>
  <c r="AD391" i="1"/>
  <c r="AH391" i="1"/>
  <c r="AE392" i="1" l="1"/>
  <c r="AA392" i="1"/>
  <c r="AH392" i="1"/>
  <c r="AD392" i="1"/>
  <c r="AC392" i="1"/>
  <c r="AG392" i="1"/>
  <c r="T393" i="1"/>
  <c r="S394" i="1"/>
  <c r="Y393" i="1"/>
  <c r="Z393" i="1"/>
  <c r="U393" i="1"/>
  <c r="V393" i="1" s="1"/>
  <c r="X393" i="1"/>
  <c r="W393" i="1"/>
  <c r="AF392" i="1"/>
  <c r="AB392" i="1"/>
  <c r="AA393" i="1" l="1"/>
  <c r="AE393" i="1"/>
  <c r="AB393" i="1"/>
  <c r="AF393" i="1"/>
  <c r="T394" i="1"/>
  <c r="Z394" i="1"/>
  <c r="X394" i="1"/>
  <c r="Y394" i="1"/>
  <c r="W394" i="1"/>
  <c r="U394" i="1"/>
  <c r="V394" i="1" s="1"/>
  <c r="S395" i="1"/>
  <c r="AD393" i="1"/>
  <c r="AH393" i="1"/>
  <c r="AC393" i="1"/>
  <c r="AG393" i="1"/>
  <c r="AG394" i="1" l="1"/>
  <c r="AC394" i="1"/>
  <c r="T395" i="1"/>
  <c r="X395" i="1"/>
  <c r="S396" i="1"/>
  <c r="Z395" i="1"/>
  <c r="W395" i="1"/>
  <c r="Y395" i="1"/>
  <c r="U395" i="1"/>
  <c r="V395" i="1" s="1"/>
  <c r="AB394" i="1"/>
  <c r="AF394" i="1"/>
  <c r="AH394" i="1"/>
  <c r="AD394" i="1"/>
  <c r="AE394" i="1"/>
  <c r="AA394" i="1"/>
  <c r="T396" i="1" l="1"/>
  <c r="Z396" i="1"/>
  <c r="X396" i="1"/>
  <c r="S397" i="1"/>
  <c r="Y396" i="1"/>
  <c r="W396" i="1"/>
  <c r="U396" i="1"/>
  <c r="V396" i="1" s="1"/>
  <c r="AG395" i="1"/>
  <c r="AC395" i="1"/>
  <c r="AF395" i="1"/>
  <c r="AB395" i="1"/>
  <c r="AA395" i="1"/>
  <c r="AE395" i="1"/>
  <c r="AD395" i="1"/>
  <c r="AH395" i="1"/>
  <c r="T397" i="1" l="1"/>
  <c r="S398" i="1"/>
  <c r="Z397" i="1"/>
  <c r="U397" i="1"/>
  <c r="V397" i="1" s="1"/>
  <c r="X397" i="1"/>
  <c r="W397" i="1"/>
  <c r="Y397" i="1"/>
  <c r="AF396" i="1"/>
  <c r="AB396" i="1"/>
  <c r="AE396" i="1"/>
  <c r="AA396" i="1"/>
  <c r="AH396" i="1"/>
  <c r="AD396" i="1"/>
  <c r="AC396" i="1"/>
  <c r="AG396" i="1"/>
  <c r="AG397" i="1" l="1"/>
  <c r="AC397" i="1"/>
  <c r="AD397" i="1"/>
  <c r="AH397" i="1"/>
  <c r="AE397" i="1"/>
  <c r="AA397" i="1"/>
  <c r="T398" i="1"/>
  <c r="S399" i="1"/>
  <c r="Y398" i="1"/>
  <c r="W398" i="1"/>
  <c r="U398" i="1"/>
  <c r="V398" i="1" s="1"/>
  <c r="Z398" i="1"/>
  <c r="X398" i="1"/>
  <c r="AF397" i="1"/>
  <c r="AB397" i="1"/>
  <c r="AB398" i="1" l="1"/>
  <c r="AF398" i="1"/>
  <c r="AG398" i="1"/>
  <c r="AC398" i="1"/>
  <c r="AH398" i="1"/>
  <c r="AD398" i="1"/>
  <c r="T399" i="1"/>
  <c r="S400" i="1"/>
  <c r="Y399" i="1"/>
  <c r="Z399" i="1"/>
  <c r="U399" i="1"/>
  <c r="V399" i="1" s="1"/>
  <c r="X399" i="1"/>
  <c r="W399" i="1"/>
  <c r="AE398" i="1"/>
  <c r="AA398" i="1"/>
  <c r="AF399" i="1" l="1"/>
  <c r="AB399" i="1"/>
  <c r="T400" i="1"/>
  <c r="U400" i="1"/>
  <c r="V400" i="1" s="1"/>
  <c r="W400" i="1"/>
  <c r="Z400" i="1"/>
  <c r="X400" i="1"/>
  <c r="S401" i="1"/>
  <c r="Y400" i="1"/>
  <c r="AH399" i="1"/>
  <c r="AD399" i="1"/>
  <c r="AE399" i="1"/>
  <c r="AA399" i="1"/>
  <c r="AG399" i="1"/>
  <c r="AC399" i="1"/>
  <c r="T401" i="1" l="1"/>
  <c r="X401" i="1"/>
  <c r="S402" i="1"/>
  <c r="W401" i="1"/>
  <c r="Y401" i="1"/>
  <c r="Z401" i="1"/>
  <c r="U401" i="1"/>
  <c r="V401" i="1" s="1"/>
  <c r="AG400" i="1"/>
  <c r="AC400" i="1"/>
  <c r="AA400" i="1"/>
  <c r="AE400" i="1"/>
  <c r="AF400" i="1"/>
  <c r="AB400" i="1"/>
  <c r="AD400" i="1"/>
  <c r="AH400" i="1"/>
  <c r="AA401" i="1" l="1"/>
  <c r="AE401" i="1"/>
  <c r="T402" i="1"/>
  <c r="Y402" i="1"/>
  <c r="W402" i="1"/>
  <c r="U402" i="1"/>
  <c r="V402" i="1" s="1"/>
  <c r="Z402" i="1"/>
  <c r="X402" i="1"/>
  <c r="S403" i="1"/>
  <c r="AH401" i="1"/>
  <c r="AD401" i="1"/>
  <c r="AF401" i="1"/>
  <c r="AB401" i="1"/>
  <c r="AG401" i="1"/>
  <c r="AC401" i="1"/>
  <c r="AB402" i="1" l="1"/>
  <c r="AF402" i="1"/>
  <c r="AG402" i="1"/>
  <c r="AC402" i="1"/>
  <c r="T403" i="1"/>
  <c r="Y403" i="1"/>
  <c r="Z403" i="1"/>
  <c r="W403" i="1"/>
  <c r="U403" i="1"/>
  <c r="V403" i="1" s="1"/>
  <c r="X403" i="1"/>
  <c r="S404" i="1"/>
  <c r="AD402" i="1"/>
  <c r="AH402" i="1"/>
  <c r="AA402" i="1"/>
  <c r="AE402" i="1"/>
  <c r="T404" i="1" l="1"/>
  <c r="Y404" i="1"/>
  <c r="W404" i="1"/>
  <c r="U404" i="1"/>
  <c r="V404" i="1" s="1"/>
  <c r="Z404" i="1"/>
  <c r="X404" i="1"/>
  <c r="S405" i="1"/>
  <c r="AH403" i="1"/>
  <c r="AD403" i="1"/>
  <c r="AE403" i="1"/>
  <c r="AA403" i="1"/>
  <c r="AF403" i="1"/>
  <c r="AB403" i="1"/>
  <c r="AG403" i="1"/>
  <c r="AC403" i="1"/>
  <c r="T405" i="1" l="1"/>
  <c r="Y405" i="1"/>
  <c r="Z405" i="1"/>
  <c r="U405" i="1"/>
  <c r="V405" i="1" s="1"/>
  <c r="S406" i="1"/>
  <c r="X405" i="1"/>
  <c r="W405" i="1"/>
  <c r="AA404" i="1"/>
  <c r="AE404" i="1"/>
  <c r="AB404" i="1"/>
  <c r="AF404" i="1"/>
  <c r="AG404" i="1"/>
  <c r="AC404" i="1"/>
  <c r="AD404" i="1"/>
  <c r="AH404" i="1"/>
  <c r="AA405" i="1" l="1"/>
  <c r="AE405" i="1"/>
  <c r="AH405" i="1"/>
  <c r="AD405" i="1"/>
  <c r="AB405" i="1"/>
  <c r="AF405" i="1"/>
  <c r="AG405" i="1"/>
  <c r="AC405" i="1"/>
  <c r="T406" i="1"/>
  <c r="Z406" i="1"/>
  <c r="X406" i="1"/>
  <c r="S407" i="1"/>
  <c r="W406" i="1"/>
  <c r="U406" i="1"/>
  <c r="V406" i="1" s="1"/>
  <c r="Y406" i="1"/>
  <c r="T407" i="1" l="1"/>
  <c r="S408" i="1"/>
  <c r="W407" i="1"/>
  <c r="Z407" i="1"/>
  <c r="Y407" i="1"/>
  <c r="U407" i="1"/>
  <c r="V407" i="1" s="1"/>
  <c r="X407" i="1"/>
  <c r="AG406" i="1"/>
  <c r="AC406" i="1"/>
  <c r="AF406" i="1"/>
  <c r="AB406" i="1"/>
  <c r="AH406" i="1"/>
  <c r="AD406" i="1"/>
  <c r="AE406" i="1"/>
  <c r="AA406" i="1"/>
  <c r="AD407" i="1" l="1"/>
  <c r="AH407" i="1"/>
  <c r="AB407" i="1"/>
  <c r="AF407" i="1"/>
  <c r="AA407" i="1"/>
  <c r="AE407" i="1"/>
  <c r="T408" i="1"/>
  <c r="Y408" i="1"/>
  <c r="Z408" i="1"/>
  <c r="X408" i="1"/>
  <c r="S409" i="1"/>
  <c r="U408" i="1"/>
  <c r="V408" i="1" s="1"/>
  <c r="W408" i="1"/>
  <c r="AG407" i="1"/>
  <c r="AC407" i="1"/>
  <c r="AC408" i="1" l="1"/>
  <c r="AG408" i="1"/>
  <c r="T409" i="1"/>
  <c r="Y409" i="1"/>
  <c r="Z409" i="1"/>
  <c r="S410" i="1"/>
  <c r="W409" i="1"/>
  <c r="U409" i="1"/>
  <c r="V409" i="1" s="1"/>
  <c r="X409" i="1"/>
  <c r="AF408" i="1"/>
  <c r="AB408" i="1"/>
  <c r="AA408" i="1"/>
  <c r="AE408" i="1"/>
  <c r="AD408" i="1"/>
  <c r="AH408" i="1"/>
  <c r="AC409" i="1" l="1"/>
  <c r="AG409" i="1"/>
  <c r="AE409" i="1"/>
  <c r="AA409" i="1"/>
  <c r="T410" i="1"/>
  <c r="Z410" i="1"/>
  <c r="X410" i="1"/>
  <c r="S411" i="1"/>
  <c r="Y410" i="1"/>
  <c r="W410" i="1"/>
  <c r="U410" i="1"/>
  <c r="V410" i="1" s="1"/>
  <c r="AF409" i="1"/>
  <c r="AB409" i="1"/>
  <c r="AD409" i="1"/>
  <c r="AH409" i="1"/>
  <c r="T411" i="1" l="1"/>
  <c r="S412" i="1"/>
  <c r="W411" i="1"/>
  <c r="Y411" i="1"/>
  <c r="Z411" i="1"/>
  <c r="U411" i="1"/>
  <c r="V411" i="1" s="1"/>
  <c r="X411" i="1"/>
  <c r="AB410" i="1"/>
  <c r="AF410" i="1"/>
  <c r="AA410" i="1"/>
  <c r="AE410" i="1"/>
  <c r="AH410" i="1"/>
  <c r="AD410" i="1"/>
  <c r="AC410" i="1"/>
  <c r="AG410" i="1"/>
  <c r="AG411" i="1" l="1"/>
  <c r="AC411" i="1"/>
  <c r="AB411" i="1"/>
  <c r="AF411" i="1"/>
  <c r="AA411" i="1"/>
  <c r="AE411" i="1"/>
  <c r="T412" i="1"/>
  <c r="Z412" i="1"/>
  <c r="X412" i="1"/>
  <c r="W412" i="1"/>
  <c r="U412" i="1"/>
  <c r="V412" i="1" s="1"/>
  <c r="S413" i="1"/>
  <c r="Y412" i="1"/>
  <c r="AD411" i="1"/>
  <c r="AH411" i="1"/>
  <c r="T413" i="1" l="1"/>
  <c r="X413" i="1"/>
  <c r="W413" i="1"/>
  <c r="Y413" i="1"/>
  <c r="Z413" i="1"/>
  <c r="U413" i="1"/>
  <c r="V413" i="1" s="1"/>
  <c r="S414" i="1"/>
  <c r="AD412" i="1"/>
  <c r="AH412" i="1"/>
  <c r="AE412" i="1"/>
  <c r="AA412" i="1"/>
  <c r="AG412" i="1"/>
  <c r="AC412" i="1"/>
  <c r="AB412" i="1"/>
  <c r="AF412" i="1"/>
  <c r="T414" i="1" l="1"/>
  <c r="Y414" i="1"/>
  <c r="U414" i="1"/>
  <c r="V414" i="1" s="1"/>
  <c r="Z414" i="1"/>
  <c r="X414" i="1"/>
  <c r="W414" i="1"/>
  <c r="S415" i="1"/>
  <c r="AA413" i="1"/>
  <c r="AE413" i="1"/>
  <c r="AB413" i="1"/>
  <c r="AF413" i="1"/>
  <c r="AC413" i="1"/>
  <c r="AG413" i="1"/>
  <c r="AD413" i="1"/>
  <c r="AH413" i="1"/>
  <c r="AH414" i="1" l="1"/>
  <c r="AD414" i="1"/>
  <c r="T415" i="1"/>
  <c r="Y415" i="1"/>
  <c r="Z415" i="1"/>
  <c r="U415" i="1"/>
  <c r="V415" i="1" s="1"/>
  <c r="S416" i="1"/>
  <c r="W415" i="1"/>
  <c r="X415" i="1"/>
  <c r="AA414" i="1"/>
  <c r="AE414" i="1"/>
  <c r="AG414" i="1"/>
  <c r="AC414" i="1"/>
  <c r="AF414" i="1"/>
  <c r="AB414" i="1"/>
  <c r="T416" i="1" l="1"/>
  <c r="S417" i="1"/>
  <c r="X416" i="1"/>
  <c r="Y416" i="1"/>
  <c r="W416" i="1"/>
  <c r="U416" i="1"/>
  <c r="V416" i="1" s="1"/>
  <c r="Z416" i="1"/>
  <c r="AE415" i="1"/>
  <c r="AA415" i="1"/>
  <c r="AG415" i="1"/>
  <c r="AC415" i="1"/>
  <c r="AF415" i="1"/>
  <c r="AB415" i="1"/>
  <c r="AD415" i="1"/>
  <c r="AH415" i="1"/>
  <c r="AC416" i="1" l="1"/>
  <c r="AG416" i="1"/>
  <c r="AD416" i="1"/>
  <c r="AH416" i="1"/>
  <c r="AF416" i="1"/>
  <c r="AB416" i="1"/>
  <c r="T417" i="1"/>
  <c r="X417" i="1"/>
  <c r="Y417" i="1"/>
  <c r="Z417" i="1"/>
  <c r="S418" i="1"/>
  <c r="W417" i="1"/>
  <c r="U417" i="1"/>
  <c r="V417" i="1" s="1"/>
  <c r="AA416" i="1"/>
  <c r="AE416" i="1"/>
  <c r="AH417" i="1" l="1"/>
  <c r="AD417" i="1"/>
  <c r="AE417" i="1"/>
  <c r="AA417" i="1"/>
  <c r="AF417" i="1"/>
  <c r="AB417" i="1"/>
  <c r="T418" i="1"/>
  <c r="S419" i="1"/>
  <c r="Y418" i="1"/>
  <c r="W418" i="1"/>
  <c r="U418" i="1"/>
  <c r="V418" i="1" s="1"/>
  <c r="Z418" i="1"/>
  <c r="X418" i="1"/>
  <c r="AG417" i="1"/>
  <c r="AC417" i="1"/>
  <c r="AH418" i="1" l="1"/>
  <c r="AD418" i="1"/>
  <c r="T419" i="1"/>
  <c r="U419" i="1"/>
  <c r="V419" i="1" s="1"/>
  <c r="X419" i="1"/>
  <c r="S420" i="1"/>
  <c r="W419" i="1"/>
  <c r="Y419" i="1"/>
  <c r="Z419" i="1"/>
  <c r="AE418" i="1"/>
  <c r="AA418" i="1"/>
  <c r="AB418" i="1"/>
  <c r="AF418" i="1"/>
  <c r="AG418" i="1"/>
  <c r="AC418" i="1"/>
  <c r="AG419" i="1" l="1"/>
  <c r="AC419" i="1"/>
  <c r="AA419" i="1"/>
  <c r="AE419" i="1"/>
  <c r="T420" i="1"/>
  <c r="Z420" i="1"/>
  <c r="X420" i="1"/>
  <c r="S421" i="1"/>
  <c r="Y420" i="1"/>
  <c r="W420" i="1"/>
  <c r="U420" i="1"/>
  <c r="V420" i="1" s="1"/>
  <c r="AH419" i="1"/>
  <c r="AD419" i="1"/>
  <c r="AB419" i="1"/>
  <c r="AF419" i="1"/>
  <c r="T421" i="1" l="1"/>
  <c r="X421" i="1"/>
  <c r="S422" i="1"/>
  <c r="W421" i="1"/>
  <c r="Y421" i="1"/>
  <c r="Z421" i="1"/>
  <c r="U421" i="1"/>
  <c r="V421" i="1" s="1"/>
  <c r="AF420" i="1"/>
  <c r="AB420" i="1"/>
  <c r="AA420" i="1"/>
  <c r="AE420" i="1"/>
  <c r="AD420" i="1"/>
  <c r="AH420" i="1"/>
  <c r="AG420" i="1"/>
  <c r="AC420" i="1"/>
  <c r="T422" i="1" l="1"/>
  <c r="Z422" i="1"/>
  <c r="X422" i="1"/>
  <c r="S423" i="1"/>
  <c r="Y422" i="1"/>
  <c r="U422" i="1"/>
  <c r="V422" i="1" s="1"/>
  <c r="W422" i="1"/>
  <c r="AA421" i="1"/>
  <c r="AE421" i="1"/>
  <c r="AH421" i="1"/>
  <c r="AD421" i="1"/>
  <c r="AB421" i="1"/>
  <c r="AF421" i="1"/>
  <c r="AG421" i="1"/>
  <c r="AC421" i="1"/>
  <c r="T423" i="1" l="1"/>
  <c r="Y423" i="1"/>
  <c r="Z423" i="1"/>
  <c r="U423" i="1"/>
  <c r="V423" i="1" s="1"/>
  <c r="S424" i="1"/>
  <c r="W423" i="1"/>
  <c r="X423" i="1"/>
  <c r="AA422" i="1"/>
  <c r="AE422" i="1"/>
  <c r="AF422" i="1"/>
  <c r="AB422" i="1"/>
  <c r="AH422" i="1"/>
  <c r="AD422" i="1"/>
  <c r="AG422" i="1"/>
  <c r="AC422" i="1"/>
  <c r="AF423" i="1" l="1"/>
  <c r="AB423" i="1"/>
  <c r="AD423" i="1"/>
  <c r="AH423" i="1"/>
  <c r="AE423" i="1"/>
  <c r="AA423" i="1"/>
  <c r="AG423" i="1"/>
  <c r="AC423" i="1"/>
  <c r="T424" i="1"/>
  <c r="S425" i="1"/>
  <c r="W424" i="1"/>
  <c r="U424" i="1"/>
  <c r="V424" i="1" s="1"/>
  <c r="Y424" i="1"/>
  <c r="Z424" i="1"/>
  <c r="X424" i="1"/>
  <c r="AF424" i="1" l="1"/>
  <c r="AB424" i="1"/>
  <c r="AA424" i="1"/>
  <c r="AE424" i="1"/>
  <c r="AH424" i="1"/>
  <c r="AD424" i="1"/>
  <c r="T425" i="1"/>
  <c r="X425" i="1"/>
  <c r="S426" i="1"/>
  <c r="Y425" i="1"/>
  <c r="Z425" i="1"/>
  <c r="W425" i="1"/>
  <c r="U425" i="1"/>
  <c r="V425" i="1" s="1"/>
  <c r="AC424" i="1"/>
  <c r="AG424" i="1"/>
  <c r="AE425" i="1" l="1"/>
  <c r="AA425" i="1"/>
  <c r="AD425" i="1"/>
  <c r="AH425" i="1"/>
  <c r="AF425" i="1"/>
  <c r="AB425" i="1"/>
  <c r="AC425" i="1"/>
  <c r="AG425" i="1"/>
  <c r="T426" i="1"/>
  <c r="W426" i="1"/>
  <c r="U426" i="1"/>
  <c r="V426" i="1" s="1"/>
  <c r="Z426" i="1"/>
  <c r="X426" i="1"/>
  <c r="S427" i="1"/>
  <c r="Y426" i="1"/>
  <c r="AH426" i="1" l="1"/>
  <c r="AD426" i="1"/>
  <c r="AB426" i="1"/>
  <c r="AF426" i="1"/>
  <c r="AG426" i="1"/>
  <c r="AC426" i="1"/>
  <c r="T427" i="1"/>
  <c r="U427" i="1"/>
  <c r="V427" i="1" s="1"/>
  <c r="X427" i="1"/>
  <c r="S428" i="1"/>
  <c r="W427" i="1"/>
  <c r="Y427" i="1"/>
  <c r="Z427" i="1"/>
  <c r="AE426" i="1"/>
  <c r="AA426" i="1"/>
  <c r="AC427" i="1" l="1"/>
  <c r="AG427" i="1"/>
  <c r="AE427" i="1"/>
  <c r="AA427" i="1"/>
  <c r="T428" i="1"/>
  <c r="Z428" i="1"/>
  <c r="X428" i="1"/>
  <c r="S429" i="1"/>
  <c r="Y428" i="1"/>
  <c r="W428" i="1"/>
  <c r="U428" i="1"/>
  <c r="V428" i="1" s="1"/>
  <c r="AD427" i="1"/>
  <c r="AH427" i="1"/>
  <c r="AF427" i="1"/>
  <c r="AB427" i="1"/>
  <c r="T429" i="1" l="1"/>
  <c r="Y429" i="1"/>
  <c r="Z429" i="1"/>
  <c r="X429" i="1"/>
  <c r="U429" i="1"/>
  <c r="V429" i="1" s="1"/>
  <c r="S430" i="1"/>
  <c r="W429" i="1"/>
  <c r="AF428" i="1"/>
  <c r="AB428" i="1"/>
  <c r="AA428" i="1"/>
  <c r="AE428" i="1"/>
  <c r="AD428" i="1"/>
  <c r="AH428" i="1"/>
  <c r="AG428" i="1"/>
  <c r="AC428" i="1"/>
  <c r="AB429" i="1" l="1"/>
  <c r="AF429" i="1"/>
  <c r="AA429" i="1"/>
  <c r="AE429" i="1"/>
  <c r="AH429" i="1"/>
  <c r="AD429" i="1"/>
  <c r="T430" i="1"/>
  <c r="Z430" i="1"/>
  <c r="X430" i="1"/>
  <c r="S431" i="1"/>
  <c r="W430" i="1"/>
  <c r="U430" i="1"/>
  <c r="V430" i="1" s="1"/>
  <c r="Y430" i="1"/>
  <c r="AG429" i="1"/>
  <c r="AC429" i="1"/>
  <c r="AH430" i="1" l="1"/>
  <c r="AD430" i="1"/>
  <c r="AA430" i="1"/>
  <c r="AE430" i="1"/>
  <c r="T431" i="1"/>
  <c r="X431" i="1"/>
  <c r="S432" i="1"/>
  <c r="W431" i="1"/>
  <c r="Y431" i="1"/>
  <c r="Z431" i="1"/>
  <c r="U431" i="1"/>
  <c r="V431" i="1" s="1"/>
  <c r="AC430" i="1"/>
  <c r="AG430" i="1"/>
  <c r="AF430" i="1"/>
  <c r="AB430" i="1"/>
  <c r="AA431" i="1" l="1"/>
  <c r="AE431" i="1"/>
  <c r="T432" i="1"/>
  <c r="Y432" i="1"/>
  <c r="W432" i="1"/>
  <c r="U432" i="1"/>
  <c r="V432" i="1" s="1"/>
  <c r="Z432" i="1"/>
  <c r="S433" i="1"/>
  <c r="X432" i="1"/>
  <c r="AD431" i="1"/>
  <c r="AH431" i="1"/>
  <c r="AF431" i="1"/>
  <c r="AB431" i="1"/>
  <c r="AC431" i="1"/>
  <c r="AG431" i="1"/>
  <c r="T433" i="1" l="1"/>
  <c r="Y433" i="1"/>
  <c r="Z433" i="1"/>
  <c r="U433" i="1"/>
  <c r="V433" i="1" s="1"/>
  <c r="X433" i="1"/>
  <c r="W433" i="1"/>
  <c r="S434" i="1"/>
  <c r="AG432" i="1"/>
  <c r="AC432" i="1"/>
  <c r="AH432" i="1"/>
  <c r="AD432" i="1"/>
  <c r="AF432" i="1"/>
  <c r="AB432" i="1"/>
  <c r="AA432" i="1"/>
  <c r="AE432" i="1"/>
  <c r="T434" i="1" l="1"/>
  <c r="Z434" i="1"/>
  <c r="X434" i="1"/>
  <c r="Y434" i="1"/>
  <c r="W434" i="1"/>
  <c r="U434" i="1"/>
  <c r="V434" i="1" s="1"/>
  <c r="S435" i="1"/>
  <c r="AD433" i="1"/>
  <c r="AH433" i="1"/>
  <c r="AE433" i="1"/>
  <c r="AA433" i="1"/>
  <c r="AC433" i="1"/>
  <c r="AG433" i="1"/>
  <c r="AB433" i="1"/>
  <c r="AF433" i="1"/>
  <c r="AC434" i="1" l="1"/>
  <c r="AG434" i="1"/>
  <c r="T435" i="1"/>
  <c r="X435" i="1"/>
  <c r="Z435" i="1"/>
  <c r="U435" i="1"/>
  <c r="V435" i="1" s="1"/>
  <c r="S436" i="1"/>
  <c r="W435" i="1"/>
  <c r="Y435" i="1"/>
  <c r="AF434" i="1"/>
  <c r="AB434" i="1"/>
  <c r="AD434" i="1"/>
  <c r="AH434" i="1"/>
  <c r="AA434" i="1"/>
  <c r="AE434" i="1"/>
  <c r="AE435" i="1" l="1"/>
  <c r="AA435" i="1"/>
  <c r="AF435" i="1"/>
  <c r="AB435" i="1"/>
  <c r="T436" i="1"/>
  <c r="W436" i="1"/>
  <c r="U436" i="1"/>
  <c r="V436" i="1" s="1"/>
  <c r="Z436" i="1"/>
  <c r="X436" i="1"/>
  <c r="S437" i="1"/>
  <c r="Y436" i="1"/>
  <c r="AG435" i="1"/>
  <c r="AC435" i="1"/>
  <c r="AH435" i="1"/>
  <c r="AD435" i="1"/>
  <c r="AD436" i="1" l="1"/>
  <c r="AH436" i="1"/>
  <c r="AC436" i="1"/>
  <c r="AG436" i="1"/>
  <c r="T437" i="1"/>
  <c r="X437" i="1"/>
  <c r="Y437" i="1"/>
  <c r="Z437" i="1"/>
  <c r="U437" i="1"/>
  <c r="V437" i="1" s="1"/>
  <c r="S438" i="1"/>
  <c r="W437" i="1"/>
  <c r="AA436" i="1"/>
  <c r="AE436" i="1"/>
  <c r="AF436" i="1"/>
  <c r="AB436" i="1"/>
  <c r="AA437" i="1" l="1"/>
  <c r="AE437" i="1"/>
  <c r="AG437" i="1"/>
  <c r="AC437" i="1"/>
  <c r="T438" i="1"/>
  <c r="Z438" i="1"/>
  <c r="X438" i="1"/>
  <c r="W438" i="1"/>
  <c r="S439" i="1"/>
  <c r="U438" i="1"/>
  <c r="V438" i="1" s="1"/>
  <c r="Y438" i="1"/>
  <c r="AF437" i="1"/>
  <c r="AB437" i="1"/>
  <c r="AD437" i="1"/>
  <c r="AH437" i="1"/>
  <c r="AA438" i="1" l="1"/>
  <c r="AE438" i="1"/>
  <c r="AC438" i="1"/>
  <c r="AG438" i="1"/>
  <c r="AF438" i="1"/>
  <c r="AB438" i="1"/>
  <c r="AH438" i="1"/>
  <c r="AD438" i="1"/>
  <c r="T439" i="1"/>
  <c r="X439" i="1"/>
  <c r="S440" i="1"/>
  <c r="W439" i="1"/>
  <c r="U439" i="1"/>
  <c r="V439" i="1" s="1"/>
  <c r="Y439" i="1"/>
  <c r="Z439" i="1"/>
  <c r="AH439" i="1" l="1"/>
  <c r="AD439" i="1"/>
  <c r="AG439" i="1"/>
  <c r="AC439" i="1"/>
  <c r="AE439" i="1"/>
  <c r="AA439" i="1"/>
  <c r="T440" i="1"/>
  <c r="W440" i="1"/>
  <c r="U440" i="1"/>
  <c r="V440" i="1" s="1"/>
  <c r="Z440" i="1"/>
  <c r="X440" i="1"/>
  <c r="S441" i="1"/>
  <c r="Y440" i="1"/>
  <c r="AF439" i="1"/>
  <c r="AB439" i="1"/>
  <c r="T441" i="1" l="1"/>
  <c r="Y441" i="1"/>
  <c r="Z441" i="1"/>
  <c r="U441" i="1"/>
  <c r="V441" i="1" s="1"/>
  <c r="X441" i="1"/>
  <c r="S442" i="1"/>
  <c r="W441" i="1"/>
  <c r="AA440" i="1"/>
  <c r="AE440" i="1"/>
  <c r="AF440" i="1"/>
  <c r="AB440" i="1"/>
  <c r="AH440" i="1"/>
  <c r="AD440" i="1"/>
  <c r="AG440" i="1"/>
  <c r="AC440" i="1"/>
  <c r="AE441" i="1" l="1"/>
  <c r="AA441" i="1"/>
  <c r="AD441" i="1"/>
  <c r="AH441" i="1"/>
  <c r="T442" i="1"/>
  <c r="Z442" i="1"/>
  <c r="X442" i="1"/>
  <c r="U442" i="1"/>
  <c r="V442" i="1" s="1"/>
  <c r="S443" i="1"/>
  <c r="Y442" i="1"/>
  <c r="W442" i="1"/>
  <c r="AC441" i="1"/>
  <c r="AG441" i="1"/>
  <c r="AF441" i="1"/>
  <c r="AB441" i="1"/>
  <c r="AA442" i="1" l="1"/>
  <c r="AE442" i="1"/>
  <c r="AB442" i="1"/>
  <c r="AF442" i="1"/>
  <c r="AC442" i="1"/>
  <c r="AG442" i="1"/>
  <c r="AD442" i="1"/>
  <c r="AH442" i="1"/>
  <c r="T443" i="1"/>
  <c r="X443" i="1"/>
  <c r="S444" i="1"/>
  <c r="W443" i="1"/>
  <c r="Y443" i="1"/>
  <c r="Z443" i="1"/>
  <c r="U443" i="1"/>
  <c r="V443" i="1" s="1"/>
  <c r="AE443" i="1" l="1"/>
  <c r="AA443" i="1"/>
  <c r="T444" i="1"/>
  <c r="Z444" i="1"/>
  <c r="X444" i="1"/>
  <c r="S445" i="1"/>
  <c r="Y444" i="1"/>
  <c r="W444" i="1"/>
  <c r="U444" i="1"/>
  <c r="V444" i="1" s="1"/>
  <c r="AH443" i="1"/>
  <c r="AD443" i="1"/>
  <c r="AF443" i="1"/>
  <c r="AB443" i="1"/>
  <c r="AC443" i="1"/>
  <c r="AG443" i="1"/>
  <c r="AA444" i="1" l="1"/>
  <c r="AE444" i="1"/>
  <c r="AD444" i="1"/>
  <c r="AH444" i="1"/>
  <c r="AC444" i="1"/>
  <c r="AG444" i="1"/>
  <c r="T445" i="1"/>
  <c r="Y445" i="1"/>
  <c r="Z445" i="1"/>
  <c r="X445" i="1"/>
  <c r="S446" i="1"/>
  <c r="W445" i="1"/>
  <c r="U445" i="1"/>
  <c r="V445" i="1" s="1"/>
  <c r="AF444" i="1"/>
  <c r="AB444" i="1"/>
  <c r="AD445" i="1" l="1"/>
  <c r="AH445" i="1"/>
  <c r="AA445" i="1"/>
  <c r="AE445" i="1"/>
  <c r="AG445" i="1"/>
  <c r="AC445" i="1"/>
  <c r="T446" i="1"/>
  <c r="X446" i="1"/>
  <c r="Y446" i="1"/>
  <c r="Z446" i="1"/>
  <c r="S447" i="1"/>
  <c r="W446" i="1"/>
  <c r="U446" i="1"/>
  <c r="V446" i="1" s="1"/>
  <c r="AB445" i="1"/>
  <c r="AF445" i="1"/>
  <c r="AE446" i="1" l="1"/>
  <c r="AA446" i="1"/>
  <c r="AB446" i="1"/>
  <c r="AF446" i="1"/>
  <c r="T447" i="1"/>
  <c r="Y447" i="1"/>
  <c r="U447" i="1"/>
  <c r="V447" i="1" s="1"/>
  <c r="X447" i="1"/>
  <c r="S448" i="1"/>
  <c r="W447" i="1"/>
  <c r="Z447" i="1"/>
  <c r="AH446" i="1"/>
  <c r="AD446" i="1"/>
  <c r="AG446" i="1"/>
  <c r="AC446" i="1"/>
  <c r="AF447" i="1" l="1"/>
  <c r="AB447" i="1"/>
  <c r="AD447" i="1"/>
  <c r="AH447" i="1"/>
  <c r="AE447" i="1"/>
  <c r="AA447" i="1"/>
  <c r="AC447" i="1"/>
  <c r="AG447" i="1"/>
  <c r="T448" i="1"/>
  <c r="Z448" i="1"/>
  <c r="W448" i="1"/>
  <c r="U448" i="1"/>
  <c r="V448" i="1" s="1"/>
  <c r="X448" i="1"/>
  <c r="S449" i="1"/>
  <c r="Y448" i="1"/>
  <c r="AC448" i="1" l="1"/>
  <c r="AG448" i="1"/>
  <c r="AE448" i="1"/>
  <c r="AA448" i="1"/>
  <c r="T449" i="1"/>
  <c r="W449" i="1"/>
  <c r="Z449" i="1"/>
  <c r="S450" i="1"/>
  <c r="Y449" i="1"/>
  <c r="U449" i="1"/>
  <c r="V449" i="1" s="1"/>
  <c r="X449" i="1"/>
  <c r="AH448" i="1"/>
  <c r="AD448" i="1"/>
  <c r="AF448" i="1"/>
  <c r="AB448" i="1"/>
  <c r="T450" i="1" l="1"/>
  <c r="W450" i="1"/>
  <c r="U450" i="1"/>
  <c r="V450" i="1" s="1"/>
  <c r="Z450" i="1"/>
  <c r="X450" i="1"/>
  <c r="S451" i="1"/>
  <c r="Y450" i="1"/>
  <c r="AB449" i="1"/>
  <c r="AF449" i="1"/>
  <c r="AH449" i="1"/>
  <c r="AD449" i="1"/>
  <c r="AE449" i="1"/>
  <c r="AA449" i="1"/>
  <c r="AC449" i="1"/>
  <c r="AG449" i="1"/>
  <c r="AC450" i="1" l="1"/>
  <c r="AG450" i="1"/>
  <c r="AD450" i="1"/>
  <c r="AH450" i="1"/>
  <c r="T451" i="1"/>
  <c r="Y451" i="1"/>
  <c r="Z451" i="1"/>
  <c r="S452" i="1"/>
  <c r="W451" i="1"/>
  <c r="U451" i="1"/>
  <c r="V451" i="1" s="1"/>
  <c r="X451" i="1"/>
  <c r="AE450" i="1"/>
  <c r="AA450" i="1"/>
  <c r="AB450" i="1"/>
  <c r="AF450" i="1"/>
  <c r="T452" i="1" l="1"/>
  <c r="Z452" i="1"/>
  <c r="X452" i="1"/>
  <c r="S453" i="1"/>
  <c r="Y452" i="1"/>
  <c r="W452" i="1"/>
  <c r="U452" i="1"/>
  <c r="V452" i="1" s="1"/>
  <c r="AB451" i="1"/>
  <c r="AF451" i="1"/>
  <c r="AH451" i="1"/>
  <c r="AD451" i="1"/>
  <c r="AG451" i="1"/>
  <c r="AC451" i="1"/>
  <c r="AA451" i="1"/>
  <c r="AE451" i="1"/>
  <c r="AB452" i="1" l="1"/>
  <c r="AF452" i="1"/>
  <c r="T453" i="1"/>
  <c r="Y453" i="1"/>
  <c r="U453" i="1"/>
  <c r="V453" i="1" s="1"/>
  <c r="X453" i="1"/>
  <c r="S454" i="1"/>
  <c r="W453" i="1"/>
  <c r="Z453" i="1"/>
  <c r="AA452" i="1"/>
  <c r="AE452" i="1"/>
  <c r="AH452" i="1"/>
  <c r="AD452" i="1"/>
  <c r="AG452" i="1"/>
  <c r="AC452" i="1"/>
  <c r="T454" i="1" l="1"/>
  <c r="S455" i="1"/>
  <c r="Y454" i="1"/>
  <c r="W454" i="1"/>
  <c r="U454" i="1"/>
  <c r="V454" i="1" s="1"/>
  <c r="Z454" i="1"/>
  <c r="X454" i="1"/>
  <c r="AF453" i="1"/>
  <c r="AB453" i="1"/>
  <c r="AE453" i="1"/>
  <c r="AA453" i="1"/>
  <c r="AG453" i="1"/>
  <c r="AC453" i="1"/>
  <c r="AH453" i="1"/>
  <c r="AD453" i="1"/>
  <c r="AF454" i="1" l="1"/>
  <c r="AB454" i="1"/>
  <c r="AC454" i="1"/>
  <c r="AG454" i="1"/>
  <c r="AA454" i="1"/>
  <c r="AE454" i="1"/>
  <c r="AD454" i="1"/>
  <c r="AH454" i="1"/>
  <c r="T455" i="1"/>
  <c r="Y455" i="1"/>
  <c r="Z455" i="1"/>
  <c r="X455" i="1"/>
  <c r="W455" i="1"/>
  <c r="U455" i="1"/>
  <c r="V455" i="1" s="1"/>
  <c r="S456" i="1"/>
  <c r="AB455" i="1" l="1"/>
  <c r="AF455" i="1"/>
  <c r="AC455" i="1"/>
  <c r="AG455" i="1"/>
  <c r="T456" i="1"/>
  <c r="Z456" i="1"/>
  <c r="X456" i="1"/>
  <c r="W456" i="1"/>
  <c r="U456" i="1"/>
  <c r="V456" i="1" s="1"/>
  <c r="S457" i="1"/>
  <c r="Y456" i="1"/>
  <c r="AH455" i="1"/>
  <c r="AD455" i="1"/>
  <c r="AE455" i="1"/>
  <c r="AA455" i="1"/>
  <c r="AA456" i="1" l="1"/>
  <c r="AE456" i="1"/>
  <c r="AG456" i="1"/>
  <c r="AC456" i="1"/>
  <c r="AB456" i="1"/>
  <c r="AF456" i="1"/>
  <c r="T457" i="1"/>
  <c r="Y457" i="1"/>
  <c r="Z457" i="1"/>
  <c r="S458" i="1"/>
  <c r="W457" i="1"/>
  <c r="U457" i="1"/>
  <c r="V457" i="1" s="1"/>
  <c r="X457" i="1"/>
  <c r="AD456" i="1"/>
  <c r="AH456" i="1"/>
  <c r="AA457" i="1" l="1"/>
  <c r="AE457" i="1"/>
  <c r="T458" i="1"/>
  <c r="Z458" i="1"/>
  <c r="X458" i="1"/>
  <c r="Y458" i="1"/>
  <c r="U458" i="1"/>
  <c r="V458" i="1" s="1"/>
  <c r="S459" i="1"/>
  <c r="W458" i="1"/>
  <c r="AC457" i="1"/>
  <c r="AG457" i="1"/>
  <c r="AB457" i="1"/>
  <c r="AF457" i="1"/>
  <c r="AD457" i="1"/>
  <c r="AH457" i="1"/>
  <c r="T459" i="1" l="1"/>
  <c r="X459" i="1"/>
  <c r="Y459" i="1"/>
  <c r="Z459" i="1"/>
  <c r="S460" i="1"/>
  <c r="W459" i="1"/>
  <c r="U459" i="1"/>
  <c r="V459" i="1" s="1"/>
  <c r="AD458" i="1"/>
  <c r="AH458" i="1"/>
  <c r="AC458" i="1"/>
  <c r="AG458" i="1"/>
  <c r="AA458" i="1"/>
  <c r="AE458" i="1"/>
  <c r="AF458" i="1"/>
  <c r="AB458" i="1"/>
  <c r="AD459" i="1" l="1"/>
  <c r="AH459" i="1"/>
  <c r="AG459" i="1"/>
  <c r="AC459" i="1"/>
  <c r="AE459" i="1"/>
  <c r="AA459" i="1"/>
  <c r="AB459" i="1"/>
  <c r="AF459" i="1"/>
  <c r="T460" i="1"/>
  <c r="Z460" i="1"/>
  <c r="X460" i="1"/>
  <c r="U460" i="1"/>
  <c r="V460" i="1" s="1"/>
  <c r="S461" i="1"/>
  <c r="Y460" i="1"/>
  <c r="W460" i="1"/>
  <c r="AA460" i="1" l="1"/>
  <c r="AE460" i="1"/>
  <c r="AF460" i="1"/>
  <c r="AB460" i="1"/>
  <c r="AG460" i="1"/>
  <c r="AC460" i="1"/>
  <c r="AH460" i="1"/>
  <c r="AD460" i="1"/>
  <c r="T461" i="1"/>
  <c r="Y461" i="1"/>
  <c r="Z461" i="1"/>
  <c r="S462" i="1"/>
  <c r="U461" i="1"/>
  <c r="V461" i="1" s="1"/>
  <c r="X461" i="1"/>
  <c r="W461" i="1"/>
  <c r="AH461" i="1" l="1"/>
  <c r="AD461" i="1"/>
  <c r="T462" i="1"/>
  <c r="S463" i="1"/>
  <c r="W462" i="1"/>
  <c r="Z462" i="1"/>
  <c r="X462" i="1"/>
  <c r="Y462" i="1"/>
  <c r="U462" i="1"/>
  <c r="V462" i="1" s="1"/>
  <c r="AA461" i="1"/>
  <c r="AE461" i="1"/>
  <c r="AF461" i="1"/>
  <c r="AB461" i="1"/>
  <c r="AG461" i="1"/>
  <c r="AC461" i="1"/>
  <c r="AC462" i="1" l="1"/>
  <c r="AG462" i="1"/>
  <c r="T463" i="1"/>
  <c r="X463" i="1"/>
  <c r="U463" i="1"/>
  <c r="V463" i="1" s="1"/>
  <c r="S464" i="1"/>
  <c r="W463" i="1"/>
  <c r="Y463" i="1"/>
  <c r="Z463" i="1"/>
  <c r="AF462" i="1"/>
  <c r="AB462" i="1"/>
  <c r="AH462" i="1"/>
  <c r="AD462" i="1"/>
  <c r="AA462" i="1"/>
  <c r="AE462" i="1"/>
  <c r="AC463" i="1" l="1"/>
  <c r="AG463" i="1"/>
  <c r="AB463" i="1"/>
  <c r="AF463" i="1"/>
  <c r="AA463" i="1"/>
  <c r="AE463" i="1"/>
  <c r="T464" i="1"/>
  <c r="Z464" i="1"/>
  <c r="X464" i="1"/>
  <c r="Y464" i="1"/>
  <c r="W464" i="1"/>
  <c r="U464" i="1"/>
  <c r="V464" i="1" s="1"/>
  <c r="S465" i="1"/>
  <c r="AD463" i="1"/>
  <c r="AH463" i="1"/>
  <c r="AD464" i="1" l="1"/>
  <c r="AH464" i="1"/>
  <c r="AA464" i="1"/>
  <c r="AE464" i="1"/>
  <c r="AG464" i="1"/>
  <c r="AC464" i="1"/>
  <c r="T465" i="1"/>
  <c r="Y465" i="1"/>
  <c r="Z465" i="1"/>
  <c r="X465" i="1"/>
  <c r="U465" i="1"/>
  <c r="V465" i="1" s="1"/>
  <c r="W465" i="1"/>
  <c r="S466" i="1"/>
  <c r="AF464" i="1"/>
  <c r="AB464" i="1"/>
  <c r="AB465" i="1" l="1"/>
  <c r="AF465" i="1"/>
  <c r="AA465" i="1"/>
  <c r="AE465" i="1"/>
  <c r="AG465" i="1"/>
  <c r="AC465" i="1"/>
  <c r="T466" i="1"/>
  <c r="Z466" i="1"/>
  <c r="X466" i="1"/>
  <c r="S467" i="1"/>
  <c r="U466" i="1"/>
  <c r="V466" i="1" s="1"/>
  <c r="W466" i="1"/>
  <c r="Y466" i="1"/>
  <c r="AH465" i="1"/>
  <c r="AD465" i="1"/>
  <c r="AA466" i="1" l="1"/>
  <c r="AE466" i="1"/>
  <c r="AD466" i="1"/>
  <c r="AH466" i="1"/>
  <c r="T467" i="1"/>
  <c r="X467" i="1"/>
  <c r="Y467" i="1"/>
  <c r="Z467" i="1"/>
  <c r="S468" i="1"/>
  <c r="W467" i="1"/>
  <c r="U467" i="1"/>
  <c r="V467" i="1" s="1"/>
  <c r="AC466" i="1"/>
  <c r="AG466" i="1"/>
  <c r="AF466" i="1"/>
  <c r="AB466" i="1"/>
  <c r="AH467" i="1" l="1"/>
  <c r="AD467" i="1"/>
  <c r="AG467" i="1"/>
  <c r="AC467" i="1"/>
  <c r="AE467" i="1"/>
  <c r="AA467" i="1"/>
  <c r="AF467" i="1"/>
  <c r="AB467" i="1"/>
  <c r="T468" i="1"/>
  <c r="S469" i="1"/>
  <c r="Y468" i="1"/>
  <c r="W468" i="1"/>
  <c r="U468" i="1"/>
  <c r="V468" i="1" s="1"/>
  <c r="Z468" i="1"/>
  <c r="X468" i="1"/>
  <c r="AE468" i="1" l="1"/>
  <c r="AA468" i="1"/>
  <c r="AH468" i="1"/>
  <c r="AD468" i="1"/>
  <c r="T469" i="1"/>
  <c r="X469" i="1"/>
  <c r="S470" i="1"/>
  <c r="W469" i="1"/>
  <c r="Y469" i="1"/>
  <c r="Z469" i="1"/>
  <c r="U469" i="1"/>
  <c r="V469" i="1" s="1"/>
  <c r="AF468" i="1"/>
  <c r="AB468" i="1"/>
  <c r="AC468" i="1"/>
  <c r="AG468" i="1"/>
  <c r="T470" i="1" l="1"/>
  <c r="Z470" i="1"/>
  <c r="X470" i="1"/>
  <c r="W470" i="1"/>
  <c r="U470" i="1"/>
  <c r="V470" i="1" s="1"/>
  <c r="S471" i="1"/>
  <c r="Y470" i="1"/>
  <c r="AD469" i="1"/>
  <c r="AH469" i="1"/>
  <c r="AB469" i="1"/>
  <c r="AF469" i="1"/>
  <c r="AA469" i="1"/>
  <c r="AE469" i="1"/>
  <c r="AC469" i="1"/>
  <c r="AG469" i="1"/>
  <c r="AA470" i="1" l="1"/>
  <c r="AE470" i="1"/>
  <c r="AC470" i="1"/>
  <c r="AG470" i="1"/>
  <c r="AF470" i="1"/>
  <c r="AB470" i="1"/>
  <c r="T471" i="1"/>
  <c r="X471" i="1"/>
  <c r="U471" i="1"/>
  <c r="V471" i="1" s="1"/>
  <c r="S472" i="1"/>
  <c r="W471" i="1"/>
  <c r="Y471" i="1"/>
  <c r="Z471" i="1"/>
  <c r="AH470" i="1"/>
  <c r="AD470" i="1"/>
  <c r="AE471" i="1" l="1"/>
  <c r="AA471" i="1"/>
  <c r="AB471" i="1"/>
  <c r="AF471" i="1"/>
  <c r="AG471" i="1"/>
  <c r="AC471" i="1"/>
  <c r="T472" i="1"/>
  <c r="Z472" i="1"/>
  <c r="X472" i="1"/>
  <c r="S473" i="1"/>
  <c r="U472" i="1"/>
  <c r="V472" i="1" s="1"/>
  <c r="Y472" i="1"/>
  <c r="W472" i="1"/>
  <c r="AD471" i="1"/>
  <c r="AH471" i="1"/>
  <c r="AD472" i="1" l="1"/>
  <c r="AH472" i="1"/>
  <c r="T473" i="1"/>
  <c r="X473" i="1"/>
  <c r="U473" i="1"/>
  <c r="V473" i="1" s="1"/>
  <c r="S474" i="1"/>
  <c r="W473" i="1"/>
  <c r="Y473" i="1"/>
  <c r="Z473" i="1"/>
  <c r="AC472" i="1"/>
  <c r="AG472" i="1"/>
  <c r="AA472" i="1"/>
  <c r="AE472" i="1"/>
  <c r="AB472" i="1"/>
  <c r="AF472" i="1"/>
  <c r="AE473" i="1" l="1"/>
  <c r="AA473" i="1"/>
  <c r="AG473" i="1"/>
  <c r="AC473" i="1"/>
  <c r="AB473" i="1"/>
  <c r="AF473" i="1"/>
  <c r="T474" i="1"/>
  <c r="Z474" i="1"/>
  <c r="X474" i="1"/>
  <c r="S475" i="1"/>
  <c r="W474" i="1"/>
  <c r="U474" i="1"/>
  <c r="V474" i="1" s="1"/>
  <c r="Y474" i="1"/>
  <c r="AD473" i="1"/>
  <c r="AH473" i="1"/>
  <c r="AH474" i="1" l="1"/>
  <c r="AD474" i="1"/>
  <c r="T475" i="1"/>
  <c r="X475" i="1"/>
  <c r="U475" i="1"/>
  <c r="V475" i="1" s="1"/>
  <c r="S476" i="1"/>
  <c r="W475" i="1"/>
  <c r="Y475" i="1"/>
  <c r="Z475" i="1"/>
  <c r="AA474" i="1"/>
  <c r="AE474" i="1"/>
  <c r="AC474" i="1"/>
  <c r="AG474" i="1"/>
  <c r="AF474" i="1"/>
  <c r="AB474" i="1"/>
  <c r="AC475" i="1" l="1"/>
  <c r="AG475" i="1"/>
  <c r="AF475" i="1"/>
  <c r="AB475" i="1"/>
  <c r="AA475" i="1"/>
  <c r="AE475" i="1"/>
  <c r="T476" i="1"/>
  <c r="Z476" i="1"/>
  <c r="X476" i="1"/>
  <c r="Y476" i="1"/>
  <c r="S477" i="1"/>
  <c r="W476" i="1"/>
  <c r="U476" i="1"/>
  <c r="V476" i="1" s="1"/>
  <c r="AD475" i="1"/>
  <c r="AH475" i="1"/>
  <c r="T477" i="1" l="1"/>
  <c r="Y477" i="1"/>
  <c r="Z477" i="1"/>
  <c r="U477" i="1"/>
  <c r="V477" i="1" s="1"/>
  <c r="X477" i="1"/>
  <c r="S478" i="1"/>
  <c r="W477" i="1"/>
  <c r="AA476" i="1"/>
  <c r="AE476" i="1"/>
  <c r="AD476" i="1"/>
  <c r="AH476" i="1"/>
  <c r="AG476" i="1"/>
  <c r="AC476" i="1"/>
  <c r="AB476" i="1"/>
  <c r="AF476" i="1"/>
  <c r="AG477" i="1" l="1"/>
  <c r="AC477" i="1"/>
  <c r="AA477" i="1"/>
  <c r="AE477" i="1"/>
  <c r="AH477" i="1"/>
  <c r="AD477" i="1"/>
  <c r="T478" i="1"/>
  <c r="Z478" i="1"/>
  <c r="X478" i="1"/>
  <c r="S479" i="1"/>
  <c r="W478" i="1"/>
  <c r="Y478" i="1"/>
  <c r="U478" i="1"/>
  <c r="V478" i="1" s="1"/>
  <c r="AB477" i="1"/>
  <c r="AF477" i="1"/>
  <c r="AG478" i="1" l="1"/>
  <c r="AC478" i="1"/>
  <c r="AD478" i="1"/>
  <c r="AH478" i="1"/>
  <c r="AA478" i="1"/>
  <c r="AE478" i="1"/>
  <c r="T479" i="1"/>
  <c r="Y479" i="1"/>
  <c r="Z479" i="1"/>
  <c r="U479" i="1"/>
  <c r="V479" i="1" s="1"/>
  <c r="S480" i="1"/>
  <c r="W479" i="1"/>
  <c r="X479" i="1"/>
  <c r="AB478" i="1"/>
  <c r="AF478" i="1"/>
  <c r="AA479" i="1" l="1"/>
  <c r="AE479" i="1"/>
  <c r="AG479" i="1"/>
  <c r="AC479" i="1"/>
  <c r="T480" i="1"/>
  <c r="Z480" i="1"/>
  <c r="X480" i="1"/>
  <c r="S481" i="1"/>
  <c r="Y480" i="1"/>
  <c r="W480" i="1"/>
  <c r="U480" i="1"/>
  <c r="V480" i="1" s="1"/>
  <c r="AB479" i="1"/>
  <c r="AF479" i="1"/>
  <c r="AH479" i="1"/>
  <c r="AD479" i="1"/>
  <c r="T481" i="1" l="1"/>
  <c r="Y481" i="1"/>
  <c r="Z481" i="1"/>
  <c r="X481" i="1"/>
  <c r="U481" i="1"/>
  <c r="V481" i="1" s="1"/>
  <c r="S482" i="1"/>
  <c r="W481" i="1"/>
  <c r="AF480" i="1"/>
  <c r="AB480" i="1"/>
  <c r="AA480" i="1"/>
  <c r="AE480" i="1"/>
  <c r="AD480" i="1"/>
  <c r="AH480" i="1"/>
  <c r="AG480" i="1"/>
  <c r="AC480" i="1"/>
  <c r="AB481" i="1" l="1"/>
  <c r="AF481" i="1"/>
  <c r="AA481" i="1"/>
  <c r="AE481" i="1"/>
  <c r="AH481" i="1"/>
  <c r="AD481" i="1"/>
  <c r="T482" i="1"/>
  <c r="Z482" i="1"/>
  <c r="X482" i="1"/>
  <c r="Y482" i="1"/>
  <c r="W482" i="1"/>
  <c r="S483" i="1"/>
  <c r="U482" i="1"/>
  <c r="V482" i="1" s="1"/>
  <c r="AG481" i="1"/>
  <c r="AC481" i="1"/>
  <c r="T483" i="1" l="1"/>
  <c r="Z483" i="1"/>
  <c r="S484" i="1"/>
  <c r="W483" i="1"/>
  <c r="Y483" i="1"/>
  <c r="U483" i="1"/>
  <c r="V483" i="1" s="1"/>
  <c r="X483" i="1"/>
  <c r="AH482" i="1"/>
  <c r="AD482" i="1"/>
  <c r="AE482" i="1"/>
  <c r="AA482" i="1"/>
  <c r="AC482" i="1"/>
  <c r="AG482" i="1"/>
  <c r="AF482" i="1"/>
  <c r="AB482" i="1"/>
  <c r="AE483" i="1" l="1"/>
  <c r="AA483" i="1"/>
  <c r="AB483" i="1"/>
  <c r="AF483" i="1"/>
  <c r="T484" i="1"/>
  <c r="Z484" i="1"/>
  <c r="X484" i="1"/>
  <c r="S485" i="1"/>
  <c r="W484" i="1"/>
  <c r="U484" i="1"/>
  <c r="V484" i="1" s="1"/>
  <c r="Y484" i="1"/>
  <c r="AD483" i="1"/>
  <c r="AH483" i="1"/>
  <c r="AG483" i="1"/>
  <c r="AC483" i="1"/>
  <c r="AC484" i="1" l="1"/>
  <c r="AG484" i="1"/>
  <c r="AF484" i="1"/>
  <c r="AB484" i="1"/>
  <c r="AH484" i="1"/>
  <c r="AD484" i="1"/>
  <c r="T485" i="1"/>
  <c r="X485" i="1"/>
  <c r="S486" i="1"/>
  <c r="W485" i="1"/>
  <c r="Y485" i="1"/>
  <c r="Z485" i="1"/>
  <c r="U485" i="1"/>
  <c r="V485" i="1" s="1"/>
  <c r="AA484" i="1"/>
  <c r="AE484" i="1"/>
  <c r="T486" i="1" l="1"/>
  <c r="Y486" i="1"/>
  <c r="W486" i="1"/>
  <c r="U486" i="1"/>
  <c r="V486" i="1" s="1"/>
  <c r="S487" i="1"/>
  <c r="Z486" i="1"/>
  <c r="X486" i="1"/>
  <c r="AD485" i="1"/>
  <c r="AH485" i="1"/>
  <c r="AF485" i="1"/>
  <c r="AB485" i="1"/>
  <c r="AC485" i="1"/>
  <c r="AG485" i="1"/>
  <c r="AA485" i="1"/>
  <c r="AE485" i="1"/>
  <c r="AB486" i="1" l="1"/>
  <c r="AF486" i="1"/>
  <c r="AA486" i="1"/>
  <c r="AE486" i="1"/>
  <c r="AH486" i="1"/>
  <c r="AD486" i="1"/>
  <c r="AG486" i="1"/>
  <c r="AC486" i="1"/>
  <c r="T487" i="1"/>
  <c r="U487" i="1"/>
  <c r="V487" i="1" s="1"/>
  <c r="X487" i="1"/>
  <c r="S488" i="1"/>
  <c r="W487" i="1"/>
  <c r="Y487" i="1"/>
  <c r="Z487" i="1"/>
  <c r="T488" i="1" l="1"/>
  <c r="S489" i="1"/>
  <c r="Y488" i="1"/>
  <c r="W488" i="1"/>
  <c r="U488" i="1"/>
  <c r="V488" i="1" s="1"/>
  <c r="Z488" i="1"/>
  <c r="X488" i="1"/>
  <c r="AH487" i="1"/>
  <c r="AD487" i="1"/>
  <c r="AF487" i="1"/>
  <c r="AB487" i="1"/>
  <c r="AG487" i="1"/>
  <c r="AC487" i="1"/>
  <c r="AE487" i="1"/>
  <c r="AA487" i="1"/>
  <c r="AA488" i="1" l="1"/>
  <c r="AE488" i="1"/>
  <c r="AB488" i="1"/>
  <c r="AF488" i="1"/>
  <c r="AG488" i="1"/>
  <c r="AC488" i="1"/>
  <c r="AD488" i="1"/>
  <c r="AH488" i="1"/>
  <c r="T489" i="1"/>
  <c r="Y489" i="1"/>
  <c r="Z489" i="1"/>
  <c r="U489" i="1"/>
  <c r="V489" i="1" s="1"/>
  <c r="W489" i="1"/>
  <c r="X489" i="1"/>
  <c r="S490" i="1"/>
  <c r="AH489" i="1" l="1"/>
  <c r="AD489" i="1"/>
  <c r="T490" i="1"/>
  <c r="S491" i="1"/>
  <c r="Y490" i="1"/>
  <c r="W490" i="1"/>
  <c r="U490" i="1"/>
  <c r="V490" i="1" s="1"/>
  <c r="Z490" i="1"/>
  <c r="X490" i="1"/>
  <c r="AF489" i="1"/>
  <c r="AB489" i="1"/>
  <c r="AG489" i="1"/>
  <c r="AC489" i="1"/>
  <c r="AE489" i="1"/>
  <c r="AA489" i="1"/>
  <c r="AH490" i="1" l="1"/>
  <c r="AD490" i="1"/>
  <c r="T491" i="1"/>
  <c r="S492" i="1"/>
  <c r="W491" i="1"/>
  <c r="Y491" i="1"/>
  <c r="Z491" i="1"/>
  <c r="U491" i="1"/>
  <c r="V491" i="1" s="1"/>
  <c r="X491" i="1"/>
  <c r="AE490" i="1"/>
  <c r="AA490" i="1"/>
  <c r="AF490" i="1"/>
  <c r="AB490" i="1"/>
  <c r="AC490" i="1"/>
  <c r="AG490" i="1"/>
  <c r="T492" i="1" l="1"/>
  <c r="Y492" i="1"/>
  <c r="W492" i="1"/>
  <c r="U492" i="1"/>
  <c r="V492" i="1" s="1"/>
  <c r="X492" i="1"/>
  <c r="Z492" i="1"/>
  <c r="S493" i="1"/>
  <c r="AD491" i="1"/>
  <c r="AH491" i="1"/>
  <c r="AC491" i="1"/>
  <c r="AG491" i="1"/>
  <c r="AB491" i="1"/>
  <c r="AF491" i="1"/>
  <c r="AE491" i="1"/>
  <c r="AA491" i="1"/>
  <c r="T493" i="1" l="1"/>
  <c r="Y493" i="1"/>
  <c r="Z493" i="1"/>
  <c r="W493" i="1"/>
  <c r="U493" i="1"/>
  <c r="V493" i="1" s="1"/>
  <c r="X493" i="1"/>
  <c r="S494" i="1"/>
  <c r="AA492" i="1"/>
  <c r="AE492" i="1"/>
  <c r="AD492" i="1"/>
  <c r="AH492" i="1"/>
  <c r="AC492" i="1"/>
  <c r="AG492" i="1"/>
  <c r="AB492" i="1"/>
  <c r="AF492" i="1"/>
  <c r="AE493" i="1" l="1"/>
  <c r="AA493" i="1"/>
  <c r="T494" i="1"/>
  <c r="S495" i="1"/>
  <c r="Y494" i="1"/>
  <c r="W494" i="1"/>
  <c r="U494" i="1"/>
  <c r="V494" i="1" s="1"/>
  <c r="Z494" i="1"/>
  <c r="X494" i="1"/>
  <c r="AH493" i="1"/>
  <c r="AD493" i="1"/>
  <c r="AF493" i="1"/>
  <c r="AB493" i="1"/>
  <c r="AG493" i="1"/>
  <c r="AC493" i="1"/>
  <c r="AH494" i="1" l="1"/>
  <c r="AD494" i="1"/>
  <c r="T495" i="1"/>
  <c r="S496" i="1"/>
  <c r="W495" i="1"/>
  <c r="Y495" i="1"/>
  <c r="Z495" i="1"/>
  <c r="X495" i="1"/>
  <c r="U495" i="1"/>
  <c r="V495" i="1" s="1"/>
  <c r="AE494" i="1"/>
  <c r="AA494" i="1"/>
  <c r="AB494" i="1"/>
  <c r="AF494" i="1"/>
  <c r="AG494" i="1"/>
  <c r="AC494" i="1"/>
  <c r="AB495" i="1" l="1"/>
  <c r="AF495" i="1"/>
  <c r="T496" i="1"/>
  <c r="Z496" i="1"/>
  <c r="X496" i="1"/>
  <c r="S497" i="1"/>
  <c r="Y496" i="1"/>
  <c r="W496" i="1"/>
  <c r="U496" i="1"/>
  <c r="V496" i="1" s="1"/>
  <c r="AD495" i="1"/>
  <c r="AH495" i="1"/>
  <c r="AG495" i="1"/>
  <c r="AC495" i="1"/>
  <c r="AE495" i="1"/>
  <c r="AA495" i="1"/>
  <c r="AE496" i="1" l="1"/>
  <c r="AA496" i="1"/>
  <c r="AH496" i="1"/>
  <c r="AD496" i="1"/>
  <c r="AG496" i="1"/>
  <c r="AC496" i="1"/>
  <c r="T497" i="1"/>
  <c r="S498" i="1"/>
  <c r="W497" i="1"/>
  <c r="Y497" i="1"/>
  <c r="Z497" i="1"/>
  <c r="U497" i="1"/>
  <c r="V497" i="1" s="1"/>
  <c r="X497" i="1"/>
  <c r="AB496" i="1"/>
  <c r="AF496" i="1"/>
  <c r="AB497" i="1" l="1"/>
  <c r="AF497" i="1"/>
  <c r="T498" i="1"/>
  <c r="X498" i="1"/>
  <c r="S499" i="1"/>
  <c r="Y498" i="1"/>
  <c r="Z498" i="1"/>
  <c r="U498" i="1"/>
  <c r="V498" i="1" s="1"/>
  <c r="W498" i="1"/>
  <c r="AD497" i="1"/>
  <c r="AH497" i="1"/>
  <c r="AC497" i="1"/>
  <c r="AG497" i="1"/>
  <c r="AA497" i="1"/>
  <c r="AE497" i="1"/>
  <c r="AB498" i="1" l="1"/>
  <c r="AF498" i="1"/>
  <c r="AD498" i="1"/>
  <c r="AH498" i="1"/>
  <c r="AC498" i="1"/>
  <c r="AG498" i="1"/>
  <c r="AA498" i="1"/>
  <c r="AE498" i="1"/>
  <c r="T499" i="1"/>
  <c r="X499" i="1"/>
  <c r="U499" i="1"/>
  <c r="V499" i="1" s="1"/>
  <c r="Z499" i="1"/>
  <c r="W499" i="1"/>
  <c r="Y499" i="1"/>
  <c r="S500" i="1"/>
  <c r="AA499" i="1" l="1"/>
  <c r="AE499" i="1"/>
  <c r="AD499" i="1"/>
  <c r="AH499" i="1"/>
  <c r="T500" i="1"/>
  <c r="Y500" i="1"/>
  <c r="Z500" i="1"/>
  <c r="U500" i="1"/>
  <c r="V500" i="1" s="1"/>
  <c r="X500" i="1"/>
  <c r="S501" i="1"/>
  <c r="W500" i="1"/>
  <c r="AF499" i="1"/>
  <c r="AB499" i="1"/>
  <c r="AG499" i="1"/>
  <c r="AC499" i="1"/>
  <c r="T501" i="1" l="1"/>
  <c r="S502" i="1"/>
  <c r="Z501" i="1"/>
  <c r="U501" i="1"/>
  <c r="V501" i="1" s="1"/>
  <c r="W501" i="1"/>
  <c r="Y501" i="1"/>
  <c r="X501" i="1"/>
  <c r="AF500" i="1"/>
  <c r="AB500" i="1"/>
  <c r="AE500" i="1"/>
  <c r="AA500" i="1"/>
  <c r="AH500" i="1"/>
  <c r="AD500" i="1"/>
  <c r="AG500" i="1"/>
  <c r="AC500" i="1"/>
  <c r="AB501" i="1" l="1"/>
  <c r="AF501" i="1"/>
  <c r="AD501" i="1"/>
  <c r="AH501" i="1"/>
  <c r="AC501" i="1"/>
  <c r="AG501" i="1"/>
  <c r="T502" i="1"/>
  <c r="X502" i="1"/>
  <c r="S503" i="1"/>
  <c r="W502" i="1"/>
  <c r="Y502" i="1"/>
  <c r="Z502" i="1"/>
  <c r="U502" i="1"/>
  <c r="V502" i="1" s="1"/>
  <c r="AE501" i="1"/>
  <c r="AA501" i="1"/>
  <c r="T503" i="1" l="1"/>
  <c r="Z503" i="1"/>
  <c r="U503" i="1"/>
  <c r="V503" i="1" s="1"/>
  <c r="W503" i="1"/>
  <c r="Y503" i="1"/>
  <c r="S504" i="1"/>
  <c r="X503" i="1"/>
  <c r="AD502" i="1"/>
  <c r="AH502" i="1"/>
  <c r="AF502" i="1"/>
  <c r="AB502" i="1"/>
  <c r="AG502" i="1"/>
  <c r="AC502" i="1"/>
  <c r="AA502" i="1"/>
  <c r="AE502" i="1"/>
  <c r="AE503" i="1" l="1"/>
  <c r="AA503" i="1"/>
  <c r="AB503" i="1"/>
  <c r="AF503" i="1"/>
  <c r="T504" i="1"/>
  <c r="U504" i="1"/>
  <c r="V504" i="1" s="1"/>
  <c r="X504" i="1"/>
  <c r="S505" i="1"/>
  <c r="Z504" i="1"/>
  <c r="Y504" i="1"/>
  <c r="W504" i="1"/>
  <c r="AD503" i="1"/>
  <c r="AH503" i="1"/>
  <c r="AG503" i="1"/>
  <c r="AC503" i="1"/>
  <c r="T505" i="1" l="1"/>
  <c r="Z505" i="1"/>
  <c r="Y505" i="1"/>
  <c r="S506" i="1"/>
  <c r="X505" i="1"/>
  <c r="W505" i="1"/>
  <c r="U505" i="1"/>
  <c r="V505" i="1" s="1"/>
  <c r="AA504" i="1"/>
  <c r="AE504" i="1"/>
  <c r="AB504" i="1"/>
  <c r="AF504" i="1"/>
  <c r="AG504" i="1"/>
  <c r="AC504" i="1"/>
  <c r="AD504" i="1"/>
  <c r="AH504" i="1"/>
  <c r="T506" i="1" l="1"/>
  <c r="X506" i="1"/>
  <c r="S507" i="1"/>
  <c r="Z506" i="1"/>
  <c r="Y506" i="1"/>
  <c r="W506" i="1"/>
  <c r="U506" i="1"/>
  <c r="V506" i="1" s="1"/>
  <c r="AG505" i="1"/>
  <c r="AC505" i="1"/>
  <c r="AA505" i="1"/>
  <c r="AE505" i="1"/>
  <c r="AH505" i="1"/>
  <c r="AD505" i="1"/>
  <c r="AB505" i="1"/>
  <c r="AF505" i="1"/>
  <c r="AH506" i="1" l="1"/>
  <c r="AD506" i="1"/>
  <c r="T507" i="1"/>
  <c r="W507" i="1"/>
  <c r="U507" i="1"/>
  <c r="V507" i="1" s="1"/>
  <c r="Z507" i="1"/>
  <c r="Y507" i="1"/>
  <c r="S508" i="1"/>
  <c r="X507" i="1"/>
  <c r="AA506" i="1"/>
  <c r="AE506" i="1"/>
  <c r="AF506" i="1"/>
  <c r="AB506" i="1"/>
  <c r="AG506" i="1"/>
  <c r="AC506" i="1"/>
  <c r="T508" i="1" l="1"/>
  <c r="Y508" i="1"/>
  <c r="W508" i="1"/>
  <c r="U508" i="1"/>
  <c r="V508" i="1" s="1"/>
  <c r="X508" i="1"/>
  <c r="S509" i="1"/>
  <c r="Z508" i="1"/>
  <c r="AA507" i="1"/>
  <c r="AE507" i="1"/>
  <c r="AC507" i="1"/>
  <c r="AG507" i="1"/>
  <c r="AH507" i="1"/>
  <c r="AD507" i="1"/>
  <c r="AB507" i="1"/>
  <c r="AF507" i="1"/>
  <c r="AH508" i="1" l="1"/>
  <c r="AD508" i="1"/>
  <c r="AE508" i="1"/>
  <c r="AA508" i="1"/>
  <c r="T509" i="1"/>
  <c r="X509" i="1"/>
  <c r="U509" i="1"/>
  <c r="V509" i="1" s="1"/>
  <c r="W509" i="1"/>
  <c r="Z509" i="1"/>
  <c r="Y509" i="1"/>
  <c r="S510" i="1"/>
  <c r="AC508" i="1"/>
  <c r="AG508" i="1"/>
  <c r="AB508" i="1"/>
  <c r="AF508" i="1"/>
  <c r="AE509" i="1" l="1"/>
  <c r="AA509" i="1"/>
  <c r="T510" i="1"/>
  <c r="W510" i="1"/>
  <c r="U510" i="1"/>
  <c r="V510" i="1" s="1"/>
  <c r="X510" i="1"/>
  <c r="S511" i="1"/>
  <c r="Z510" i="1"/>
  <c r="Y510" i="1"/>
  <c r="AC509" i="1"/>
  <c r="AG509" i="1"/>
  <c r="AF509" i="1"/>
  <c r="AB509" i="1"/>
  <c r="AH509" i="1"/>
  <c r="AD509" i="1"/>
  <c r="AD510" i="1" l="1"/>
  <c r="AH510" i="1"/>
  <c r="AE510" i="1"/>
  <c r="AA510" i="1"/>
  <c r="T511" i="1"/>
  <c r="Z511" i="1"/>
  <c r="Y511" i="1"/>
  <c r="X511" i="1"/>
  <c r="U511" i="1"/>
  <c r="V511" i="1" s="1"/>
  <c r="S512" i="1"/>
  <c r="W511" i="1"/>
  <c r="AB510" i="1"/>
  <c r="AF510" i="1"/>
  <c r="AC510" i="1"/>
  <c r="AG510" i="1"/>
  <c r="AB511" i="1" l="1"/>
  <c r="AF511" i="1"/>
  <c r="AA511" i="1"/>
  <c r="AE511" i="1"/>
  <c r="AG511" i="1"/>
  <c r="AC511" i="1"/>
  <c r="T512" i="1"/>
  <c r="X512" i="1"/>
  <c r="S513" i="1"/>
  <c r="Z512" i="1"/>
  <c r="Y512" i="1"/>
  <c r="W512" i="1"/>
  <c r="U512" i="1"/>
  <c r="V512" i="1" s="1"/>
  <c r="AH511" i="1"/>
  <c r="AD511" i="1"/>
  <c r="AE512" i="1" l="1"/>
  <c r="AA512" i="1"/>
  <c r="AF512" i="1"/>
  <c r="AB512" i="1"/>
  <c r="AC512" i="1"/>
  <c r="AG512" i="1"/>
  <c r="AH512" i="1"/>
  <c r="AD512" i="1"/>
  <c r="T513" i="1"/>
  <c r="X513" i="1"/>
  <c r="W513" i="1"/>
  <c r="U513" i="1"/>
  <c r="V513" i="1" s="1"/>
  <c r="Z513" i="1"/>
  <c r="Y513" i="1"/>
  <c r="S514" i="1"/>
  <c r="T514" i="1" l="1"/>
  <c r="X514" i="1"/>
  <c r="U514" i="1"/>
  <c r="V514" i="1" s="1"/>
  <c r="S515" i="1"/>
  <c r="Z514" i="1"/>
  <c r="Y514" i="1"/>
  <c r="W514" i="1"/>
  <c r="AE513" i="1"/>
  <c r="AA513" i="1"/>
  <c r="AC513" i="1"/>
  <c r="AG513" i="1"/>
  <c r="AF513" i="1"/>
  <c r="AB513" i="1"/>
  <c r="AD513" i="1"/>
  <c r="AH513" i="1"/>
  <c r="T515" i="1" l="1"/>
  <c r="Z515" i="1"/>
  <c r="Y515" i="1"/>
  <c r="S516" i="1"/>
  <c r="X515" i="1"/>
  <c r="W515" i="1"/>
  <c r="U515" i="1"/>
  <c r="V515" i="1" s="1"/>
  <c r="AE514" i="1"/>
  <c r="AA514" i="1"/>
  <c r="AC514" i="1"/>
  <c r="AG514" i="1"/>
  <c r="AF514" i="1"/>
  <c r="AB514" i="1"/>
  <c r="AD514" i="1"/>
  <c r="AH514" i="1"/>
  <c r="T516" i="1" l="1"/>
  <c r="Y516" i="1"/>
  <c r="W516" i="1"/>
  <c r="X516" i="1"/>
  <c r="U516" i="1"/>
  <c r="V516" i="1" s="1"/>
  <c r="S517" i="1"/>
  <c r="Z516" i="1"/>
  <c r="AG515" i="1"/>
  <c r="AC515" i="1"/>
  <c r="AA515" i="1"/>
  <c r="AE515" i="1"/>
  <c r="AD515" i="1"/>
  <c r="AH515" i="1"/>
  <c r="AF515" i="1"/>
  <c r="AB515" i="1"/>
  <c r="AB516" i="1" l="1"/>
  <c r="AF516" i="1"/>
  <c r="AD516" i="1"/>
  <c r="AH516" i="1"/>
  <c r="AA516" i="1"/>
  <c r="AE516" i="1"/>
  <c r="T517" i="1"/>
  <c r="Z517" i="1"/>
  <c r="Y517" i="1"/>
  <c r="S518" i="1"/>
  <c r="X517" i="1"/>
  <c r="W517" i="1"/>
  <c r="U517" i="1"/>
  <c r="V517" i="1" s="1"/>
  <c r="AG516" i="1"/>
  <c r="AC516" i="1"/>
  <c r="AG517" i="1" l="1"/>
  <c r="AC517" i="1"/>
  <c r="AA517" i="1"/>
  <c r="AE517" i="1"/>
  <c r="AH517" i="1"/>
  <c r="AD517" i="1"/>
  <c r="AB517" i="1"/>
  <c r="AF517" i="1"/>
  <c r="T518" i="1"/>
  <c r="X518" i="1"/>
  <c r="U518" i="1"/>
  <c r="V518" i="1" s="1"/>
  <c r="S519" i="1"/>
  <c r="Z518" i="1"/>
  <c r="Y518" i="1"/>
  <c r="W518" i="1"/>
  <c r="T519" i="1" l="1"/>
  <c r="X519" i="1"/>
  <c r="S520" i="1"/>
  <c r="W519" i="1"/>
  <c r="U519" i="1"/>
  <c r="V519" i="1" s="1"/>
  <c r="Z519" i="1"/>
  <c r="Y519" i="1"/>
  <c r="AE518" i="1"/>
  <c r="AA518" i="1"/>
  <c r="AG518" i="1"/>
  <c r="AC518" i="1"/>
  <c r="AB518" i="1"/>
  <c r="AF518" i="1"/>
  <c r="AD518" i="1"/>
  <c r="AH518" i="1"/>
  <c r="AA519" i="1" l="1"/>
  <c r="AE519" i="1"/>
  <c r="AC519" i="1"/>
  <c r="AG519" i="1"/>
  <c r="T520" i="1"/>
  <c r="Y520" i="1"/>
  <c r="U520" i="1"/>
  <c r="V520" i="1" s="1"/>
  <c r="S521" i="1"/>
  <c r="Z520" i="1"/>
  <c r="W520" i="1"/>
  <c r="X520" i="1"/>
  <c r="AH519" i="1"/>
  <c r="AD519" i="1"/>
  <c r="AF519" i="1"/>
  <c r="AB519" i="1"/>
  <c r="T521" i="1" l="1"/>
  <c r="S522" i="1"/>
  <c r="X521" i="1"/>
  <c r="W521" i="1"/>
  <c r="U521" i="1"/>
  <c r="V521" i="1" s="1"/>
  <c r="Z521" i="1"/>
  <c r="Y521" i="1"/>
  <c r="AF520" i="1"/>
  <c r="AB520" i="1"/>
  <c r="AA520" i="1"/>
  <c r="AE520" i="1"/>
  <c r="AG520" i="1"/>
  <c r="AC520" i="1"/>
  <c r="AH520" i="1"/>
  <c r="AD520" i="1"/>
  <c r="AA521" i="1" l="1"/>
  <c r="AE521" i="1"/>
  <c r="AG521" i="1"/>
  <c r="AC521" i="1"/>
  <c r="AF521" i="1"/>
  <c r="AB521" i="1"/>
  <c r="AD521" i="1"/>
  <c r="AH521" i="1"/>
  <c r="T522" i="1"/>
  <c r="X522" i="1"/>
  <c r="S523" i="1"/>
  <c r="Z522" i="1"/>
  <c r="Y522" i="1"/>
  <c r="W522" i="1"/>
  <c r="U522" i="1"/>
  <c r="V522" i="1" s="1"/>
  <c r="AG522" i="1" l="1"/>
  <c r="AC522" i="1"/>
  <c r="AD522" i="1"/>
  <c r="AH522" i="1"/>
  <c r="T523" i="1"/>
  <c r="S524" i="1"/>
  <c r="U523" i="1"/>
  <c r="V523" i="1" s="1"/>
  <c r="Z523" i="1"/>
  <c r="X523" i="1"/>
  <c r="W523" i="1"/>
  <c r="Y523" i="1"/>
  <c r="AE522" i="1"/>
  <c r="AA522" i="1"/>
  <c r="AF522" i="1"/>
  <c r="AB522" i="1"/>
  <c r="AD523" i="1" l="1"/>
  <c r="AH523" i="1"/>
  <c r="AC523" i="1"/>
  <c r="AG523" i="1"/>
  <c r="AA523" i="1"/>
  <c r="AE523" i="1"/>
  <c r="T524" i="1"/>
  <c r="X524" i="1"/>
  <c r="S525" i="1"/>
  <c r="Z524" i="1"/>
  <c r="Y524" i="1"/>
  <c r="W524" i="1"/>
  <c r="U524" i="1"/>
  <c r="V524" i="1" s="1"/>
  <c r="AB523" i="1"/>
  <c r="AF523" i="1"/>
  <c r="AB524" i="1" l="1"/>
  <c r="AF524" i="1"/>
  <c r="AA524" i="1"/>
  <c r="AE524" i="1"/>
  <c r="AG524" i="1"/>
  <c r="AC524" i="1"/>
  <c r="AH524" i="1"/>
  <c r="AD524" i="1"/>
  <c r="T525" i="1"/>
  <c r="Z525" i="1"/>
  <c r="Y525" i="1"/>
  <c r="S526" i="1"/>
  <c r="X525" i="1"/>
  <c r="W525" i="1"/>
  <c r="U525" i="1"/>
  <c r="V525" i="1" s="1"/>
  <c r="T526" i="1" l="1"/>
  <c r="U526" i="1"/>
  <c r="V526" i="1" s="1"/>
  <c r="S527" i="1"/>
  <c r="Z526" i="1"/>
  <c r="Y526" i="1"/>
  <c r="X526" i="1"/>
  <c r="W526" i="1"/>
  <c r="AC525" i="1"/>
  <c r="AG525" i="1"/>
  <c r="AE525" i="1"/>
  <c r="AA525" i="1"/>
  <c r="AH525" i="1"/>
  <c r="AD525" i="1"/>
  <c r="AF525" i="1"/>
  <c r="AB525" i="1"/>
  <c r="AH526" i="1" l="1"/>
  <c r="AD526" i="1"/>
  <c r="AE526" i="1"/>
  <c r="AA526" i="1"/>
  <c r="T527" i="1"/>
  <c r="S528" i="1"/>
  <c r="X527" i="1"/>
  <c r="W527" i="1"/>
  <c r="Z527" i="1"/>
  <c r="U527" i="1"/>
  <c r="V527" i="1" s="1"/>
  <c r="Y527" i="1"/>
  <c r="AF526" i="1"/>
  <c r="AB526" i="1"/>
  <c r="AC526" i="1"/>
  <c r="AG526" i="1"/>
  <c r="AA527" i="1" l="1"/>
  <c r="AE527" i="1"/>
  <c r="AB527" i="1"/>
  <c r="AF527" i="1"/>
  <c r="AG527" i="1"/>
  <c r="AC527" i="1"/>
  <c r="T528" i="1"/>
  <c r="W528" i="1"/>
  <c r="U528" i="1"/>
  <c r="V528" i="1" s="1"/>
  <c r="X528" i="1"/>
  <c r="Y528" i="1"/>
  <c r="S529" i="1"/>
  <c r="Z528" i="1"/>
  <c r="AH527" i="1"/>
  <c r="AD527" i="1"/>
  <c r="T529" i="1" l="1"/>
  <c r="Z529" i="1"/>
  <c r="Y529" i="1"/>
  <c r="X529" i="1"/>
  <c r="U529" i="1"/>
  <c r="V529" i="1" s="1"/>
  <c r="S530" i="1"/>
  <c r="W529" i="1"/>
  <c r="AA528" i="1"/>
  <c r="AE528" i="1"/>
  <c r="AC528" i="1"/>
  <c r="AG528" i="1"/>
  <c r="AB528" i="1"/>
  <c r="AF528" i="1"/>
  <c r="AD528" i="1"/>
  <c r="AH528" i="1"/>
  <c r="AF529" i="1" l="1"/>
  <c r="AB529" i="1"/>
  <c r="AA529" i="1"/>
  <c r="AE529" i="1"/>
  <c r="AG529" i="1"/>
  <c r="AC529" i="1"/>
  <c r="T530" i="1"/>
  <c r="X530" i="1"/>
  <c r="S531" i="1"/>
  <c r="Z530" i="1"/>
  <c r="Y530" i="1"/>
  <c r="W530" i="1"/>
  <c r="U530" i="1"/>
  <c r="V530" i="1" s="1"/>
  <c r="AD529" i="1"/>
  <c r="AH529" i="1"/>
  <c r="T531" i="1" l="1"/>
  <c r="S532" i="1"/>
  <c r="W531" i="1"/>
  <c r="U531" i="1"/>
  <c r="V531" i="1" s="1"/>
  <c r="X531" i="1"/>
  <c r="Z531" i="1"/>
  <c r="Y531" i="1"/>
  <c r="AA530" i="1"/>
  <c r="AE530" i="1"/>
  <c r="AF530" i="1"/>
  <c r="AB530" i="1"/>
  <c r="AG530" i="1"/>
  <c r="AC530" i="1"/>
  <c r="AD530" i="1"/>
  <c r="AH530" i="1"/>
  <c r="AC531" i="1" l="1"/>
  <c r="AG531" i="1"/>
  <c r="AA531" i="1"/>
  <c r="AE531" i="1"/>
  <c r="AD531" i="1"/>
  <c r="AH531" i="1"/>
  <c r="T532" i="1"/>
  <c r="X532" i="1"/>
  <c r="S533" i="1"/>
  <c r="Z532" i="1"/>
  <c r="Y532" i="1"/>
  <c r="W532" i="1"/>
  <c r="U532" i="1"/>
  <c r="V532" i="1" s="1"/>
  <c r="AB531" i="1"/>
  <c r="AF531" i="1"/>
  <c r="AB532" i="1" l="1"/>
  <c r="AF532" i="1"/>
  <c r="AA532" i="1"/>
  <c r="AE532" i="1"/>
  <c r="AC532" i="1"/>
  <c r="AG532" i="1"/>
  <c r="AH532" i="1"/>
  <c r="AD532" i="1"/>
  <c r="T533" i="1"/>
  <c r="X533" i="1"/>
  <c r="Y533" i="1"/>
  <c r="S534" i="1"/>
  <c r="W533" i="1"/>
  <c r="U533" i="1"/>
  <c r="V533" i="1" s="1"/>
  <c r="Z533" i="1"/>
  <c r="T534" i="1" l="1"/>
  <c r="U534" i="1"/>
  <c r="V534" i="1" s="1"/>
  <c r="Z534" i="1"/>
  <c r="Y534" i="1"/>
  <c r="X534" i="1"/>
  <c r="S535" i="1"/>
  <c r="W534" i="1"/>
  <c r="AH533" i="1"/>
  <c r="AD533" i="1"/>
  <c r="AC533" i="1"/>
  <c r="AG533" i="1"/>
  <c r="AB533" i="1"/>
  <c r="AF533" i="1"/>
  <c r="AA533" i="1"/>
  <c r="AE533" i="1"/>
  <c r="AG534" i="1" l="1"/>
  <c r="AC534" i="1"/>
  <c r="AA534" i="1"/>
  <c r="AE534" i="1"/>
  <c r="AH534" i="1"/>
  <c r="AD534" i="1"/>
  <c r="T535" i="1"/>
  <c r="S536" i="1"/>
  <c r="U535" i="1"/>
  <c r="V535" i="1" s="1"/>
  <c r="Y535" i="1"/>
  <c r="X535" i="1"/>
  <c r="W535" i="1"/>
  <c r="Z535" i="1"/>
  <c r="AF534" i="1"/>
  <c r="AB534" i="1"/>
  <c r="AE535" i="1" l="1"/>
  <c r="AA535" i="1"/>
  <c r="T536" i="1"/>
  <c r="X536" i="1"/>
  <c r="Y536" i="1"/>
  <c r="U536" i="1"/>
  <c r="V536" i="1" s="1"/>
  <c r="S537" i="1"/>
  <c r="Z536" i="1"/>
  <c r="W536" i="1"/>
  <c r="AF535" i="1"/>
  <c r="AB535" i="1"/>
  <c r="AG535" i="1"/>
  <c r="AC535" i="1"/>
  <c r="AH535" i="1"/>
  <c r="AD535" i="1"/>
  <c r="AD536" i="1" l="1"/>
  <c r="AH536" i="1"/>
  <c r="AF536" i="1"/>
  <c r="AB536" i="1"/>
  <c r="T537" i="1"/>
  <c r="Z537" i="1"/>
  <c r="Y537" i="1"/>
  <c r="X537" i="1"/>
  <c r="U537" i="1"/>
  <c r="V537" i="1" s="1"/>
  <c r="S538" i="1"/>
  <c r="W537" i="1"/>
  <c r="AE536" i="1"/>
  <c r="AA536" i="1"/>
  <c r="AC536" i="1"/>
  <c r="AG536" i="1"/>
  <c r="AB537" i="1" l="1"/>
  <c r="AF537" i="1"/>
  <c r="AE537" i="1"/>
  <c r="AA537" i="1"/>
  <c r="AC537" i="1"/>
  <c r="AG537" i="1"/>
  <c r="T538" i="1"/>
  <c r="Y538" i="1"/>
  <c r="W538" i="1"/>
  <c r="U538" i="1"/>
  <c r="V538" i="1" s="1"/>
  <c r="X538" i="1"/>
  <c r="Z538" i="1"/>
  <c r="S539" i="1"/>
  <c r="AH537" i="1"/>
  <c r="AD537" i="1"/>
  <c r="AD538" i="1" l="1"/>
  <c r="AH538" i="1"/>
  <c r="AG538" i="1"/>
  <c r="AC538" i="1"/>
  <c r="T539" i="1"/>
  <c r="Z539" i="1"/>
  <c r="Y539" i="1"/>
  <c r="S540" i="1"/>
  <c r="X539" i="1"/>
  <c r="W539" i="1"/>
  <c r="U539" i="1"/>
  <c r="V539" i="1" s="1"/>
  <c r="AB538" i="1"/>
  <c r="AF538" i="1"/>
  <c r="AA538" i="1"/>
  <c r="AE538" i="1"/>
  <c r="T540" i="1" l="1"/>
  <c r="S541" i="1"/>
  <c r="Z540" i="1"/>
  <c r="Y540" i="1"/>
  <c r="W540" i="1"/>
  <c r="U540" i="1"/>
  <c r="V540" i="1" s="1"/>
  <c r="X540" i="1"/>
  <c r="AG539" i="1"/>
  <c r="AC539" i="1"/>
  <c r="AE539" i="1"/>
  <c r="AA539" i="1"/>
  <c r="AH539" i="1"/>
  <c r="AD539" i="1"/>
  <c r="AB539" i="1"/>
  <c r="AF539" i="1"/>
  <c r="AG540" i="1" l="1"/>
  <c r="AC540" i="1"/>
  <c r="AF540" i="1"/>
  <c r="AB540" i="1"/>
  <c r="AH540" i="1"/>
  <c r="AD540" i="1"/>
  <c r="T541" i="1"/>
  <c r="Y541" i="1"/>
  <c r="S542" i="1"/>
  <c r="X541" i="1"/>
  <c r="U541" i="1"/>
  <c r="V541" i="1" s="1"/>
  <c r="Z541" i="1"/>
  <c r="W541" i="1"/>
  <c r="AA540" i="1"/>
  <c r="AE540" i="1"/>
  <c r="AC541" i="1" l="1"/>
  <c r="AG541" i="1"/>
  <c r="AA541" i="1"/>
  <c r="AE541" i="1"/>
  <c r="AH541" i="1"/>
  <c r="AD541" i="1"/>
  <c r="AB541" i="1"/>
  <c r="AF541" i="1"/>
  <c r="T542" i="1"/>
  <c r="Y542" i="1"/>
  <c r="W542" i="1"/>
  <c r="X542" i="1"/>
  <c r="Z542" i="1"/>
  <c r="U542" i="1"/>
  <c r="V542" i="1" s="1"/>
  <c r="S543" i="1"/>
  <c r="AF542" i="1" l="1"/>
  <c r="AB542" i="1"/>
  <c r="T543" i="1"/>
  <c r="S544" i="1"/>
  <c r="X543" i="1"/>
  <c r="W543" i="1"/>
  <c r="U543" i="1"/>
  <c r="V543" i="1" s="1"/>
  <c r="Z543" i="1"/>
  <c r="Y543" i="1"/>
  <c r="AA542" i="1"/>
  <c r="AE542" i="1"/>
  <c r="AG542" i="1"/>
  <c r="AC542" i="1"/>
  <c r="AH542" i="1"/>
  <c r="AD542" i="1"/>
  <c r="AH543" i="1" l="1"/>
  <c r="AD543" i="1"/>
  <c r="T544" i="1"/>
  <c r="X544" i="1"/>
  <c r="S545" i="1"/>
  <c r="Z544" i="1"/>
  <c r="Y544" i="1"/>
  <c r="W544" i="1"/>
  <c r="U544" i="1"/>
  <c r="V544" i="1" s="1"/>
  <c r="AA543" i="1"/>
  <c r="AE543" i="1"/>
  <c r="AG543" i="1"/>
  <c r="AC543" i="1"/>
  <c r="AB543" i="1"/>
  <c r="AF543" i="1"/>
  <c r="AA544" i="1" l="1"/>
  <c r="AE544" i="1"/>
  <c r="AF544" i="1"/>
  <c r="AB544" i="1"/>
  <c r="AG544" i="1"/>
  <c r="AC544" i="1"/>
  <c r="AH544" i="1"/>
  <c r="AD544" i="1"/>
  <c r="T545" i="1"/>
  <c r="X545" i="1"/>
  <c r="W545" i="1"/>
  <c r="U545" i="1"/>
  <c r="V545" i="1" s="1"/>
  <c r="Z545" i="1"/>
  <c r="Y545" i="1"/>
  <c r="S546" i="1"/>
  <c r="T546" i="1" l="1"/>
  <c r="S547" i="1"/>
  <c r="Z546" i="1"/>
  <c r="Y546" i="1"/>
  <c r="W546" i="1"/>
  <c r="X546" i="1"/>
  <c r="U546" i="1"/>
  <c r="V546" i="1" s="1"/>
  <c r="AA545" i="1"/>
  <c r="AE545" i="1"/>
  <c r="AC545" i="1"/>
  <c r="AG545" i="1"/>
  <c r="AF545" i="1"/>
  <c r="AB545" i="1"/>
  <c r="AD545" i="1"/>
  <c r="AH545" i="1"/>
  <c r="AG546" i="1" l="1"/>
  <c r="AC546" i="1"/>
  <c r="AD546" i="1"/>
  <c r="AH546" i="1"/>
  <c r="AB546" i="1"/>
  <c r="AF546" i="1"/>
  <c r="T547" i="1"/>
  <c r="Y547" i="1"/>
  <c r="S548" i="1"/>
  <c r="X547" i="1"/>
  <c r="W547" i="1"/>
  <c r="U547" i="1"/>
  <c r="V547" i="1" s="1"/>
  <c r="Z547" i="1"/>
  <c r="AA546" i="1"/>
  <c r="AE546" i="1"/>
  <c r="T548" i="1" l="1"/>
  <c r="Y548" i="1"/>
  <c r="U548" i="1"/>
  <c r="V548" i="1" s="1"/>
  <c r="X548" i="1"/>
  <c r="W548" i="1"/>
  <c r="S549" i="1"/>
  <c r="Z548" i="1"/>
  <c r="AC547" i="1"/>
  <c r="AG547" i="1"/>
  <c r="AB547" i="1"/>
  <c r="AF547" i="1"/>
  <c r="AA547" i="1"/>
  <c r="AE547" i="1"/>
  <c r="AH547" i="1"/>
  <c r="AD547" i="1"/>
  <c r="AD548" i="1" l="1"/>
  <c r="AH548" i="1"/>
  <c r="AF548" i="1"/>
  <c r="AB548" i="1"/>
  <c r="T549" i="1"/>
  <c r="U549" i="1"/>
  <c r="V549" i="1" s="1"/>
  <c r="Z549" i="1"/>
  <c r="Y549" i="1"/>
  <c r="X549" i="1"/>
  <c r="S550" i="1"/>
  <c r="W549" i="1"/>
  <c r="AC548" i="1"/>
  <c r="AG548" i="1"/>
  <c r="AE548" i="1"/>
  <c r="AA548" i="1"/>
  <c r="AA549" i="1" l="1"/>
  <c r="AE549" i="1"/>
  <c r="AH549" i="1"/>
  <c r="AD549" i="1"/>
  <c r="AG549" i="1"/>
  <c r="AC549" i="1"/>
  <c r="T550" i="1"/>
  <c r="Y550" i="1"/>
  <c r="W550" i="1"/>
  <c r="U550" i="1"/>
  <c r="V550" i="1" s="1"/>
  <c r="X550" i="1"/>
  <c r="S551" i="1"/>
  <c r="Z550" i="1"/>
  <c r="AF549" i="1"/>
  <c r="AB549" i="1"/>
  <c r="AH550" i="1" l="1"/>
  <c r="AD550" i="1"/>
  <c r="AE550" i="1"/>
  <c r="AA550" i="1"/>
  <c r="T551" i="1"/>
  <c r="Z551" i="1"/>
  <c r="Y551" i="1"/>
  <c r="S552" i="1"/>
  <c r="X551" i="1"/>
  <c r="W551" i="1"/>
  <c r="U551" i="1"/>
  <c r="V551" i="1" s="1"/>
  <c r="AG550" i="1"/>
  <c r="AC550" i="1"/>
  <c r="AB550" i="1"/>
  <c r="AF550" i="1"/>
  <c r="AC551" i="1" l="1"/>
  <c r="AG551" i="1"/>
  <c r="AE551" i="1"/>
  <c r="AA551" i="1"/>
  <c r="AD551" i="1"/>
  <c r="AH551" i="1"/>
  <c r="T552" i="1"/>
  <c r="Z552" i="1"/>
  <c r="Y552" i="1"/>
  <c r="W552" i="1"/>
  <c r="U552" i="1"/>
  <c r="V552" i="1" s="1"/>
  <c r="X552" i="1"/>
  <c r="S553" i="1"/>
  <c r="AF551" i="1"/>
  <c r="AB551" i="1"/>
  <c r="AE552" i="1" l="1"/>
  <c r="AA552" i="1"/>
  <c r="AF552" i="1"/>
  <c r="AB552" i="1"/>
  <c r="AD552" i="1"/>
  <c r="AH552" i="1"/>
  <c r="T553" i="1"/>
  <c r="Z553" i="1"/>
  <c r="Y553" i="1"/>
  <c r="S554" i="1"/>
  <c r="X553" i="1"/>
  <c r="W553" i="1"/>
  <c r="U553" i="1"/>
  <c r="V553" i="1" s="1"/>
  <c r="AG552" i="1"/>
  <c r="AC552" i="1"/>
  <c r="AA553" i="1" l="1"/>
  <c r="AE553" i="1"/>
  <c r="AD553" i="1"/>
  <c r="AH553" i="1"/>
  <c r="AB553" i="1"/>
  <c r="AF553" i="1"/>
  <c r="T554" i="1"/>
  <c r="X554" i="1"/>
  <c r="Y554" i="1"/>
  <c r="W554" i="1"/>
  <c r="U554" i="1"/>
  <c r="V554" i="1" s="1"/>
  <c r="S555" i="1"/>
  <c r="Z554" i="1"/>
  <c r="AG553" i="1"/>
  <c r="AC553" i="1"/>
  <c r="T555" i="1" l="1"/>
  <c r="Z555" i="1"/>
  <c r="Y555" i="1"/>
  <c r="S556" i="1"/>
  <c r="W555" i="1"/>
  <c r="X555" i="1"/>
  <c r="U555" i="1"/>
  <c r="V555" i="1" s="1"/>
  <c r="AF554" i="1"/>
  <c r="AB554" i="1"/>
  <c r="AE554" i="1"/>
  <c r="AA554" i="1"/>
  <c r="AD554" i="1"/>
  <c r="AH554" i="1"/>
  <c r="AG554" i="1"/>
  <c r="AC554" i="1"/>
  <c r="T556" i="1" l="1"/>
  <c r="X556" i="1"/>
  <c r="S557" i="1"/>
  <c r="Z556" i="1"/>
  <c r="U556" i="1"/>
  <c r="V556" i="1" s="1"/>
  <c r="Y556" i="1"/>
  <c r="W556" i="1"/>
  <c r="AC555" i="1"/>
  <c r="AG555" i="1"/>
  <c r="AB555" i="1"/>
  <c r="AF555" i="1"/>
  <c r="AD555" i="1"/>
  <c r="AH555" i="1"/>
  <c r="AA555" i="1"/>
  <c r="AE555" i="1"/>
  <c r="AD556" i="1" l="1"/>
  <c r="AH556" i="1"/>
  <c r="AE556" i="1"/>
  <c r="AA556" i="1"/>
  <c r="T557" i="1"/>
  <c r="Z557" i="1"/>
  <c r="Y557" i="1"/>
  <c r="S558" i="1"/>
  <c r="W557" i="1"/>
  <c r="U557" i="1"/>
  <c r="V557" i="1" s="1"/>
  <c r="X557" i="1"/>
  <c r="AG556" i="1"/>
  <c r="AC556" i="1"/>
  <c r="AF556" i="1"/>
  <c r="AB556" i="1"/>
  <c r="AB557" i="1" l="1"/>
  <c r="AF557" i="1"/>
  <c r="AC557" i="1"/>
  <c r="AG557" i="1"/>
  <c r="T558" i="1"/>
  <c r="U558" i="1"/>
  <c r="V558" i="1" s="1"/>
  <c r="Y558" i="1"/>
  <c r="W558" i="1"/>
  <c r="X558" i="1"/>
  <c r="S559" i="1"/>
  <c r="Z558" i="1"/>
  <c r="AH557" i="1"/>
  <c r="AD557" i="1"/>
  <c r="AA557" i="1"/>
  <c r="AE557" i="1"/>
  <c r="AE558" i="1" l="1"/>
  <c r="AA558" i="1"/>
  <c r="AH558" i="1"/>
  <c r="AD558" i="1"/>
  <c r="AC558" i="1"/>
  <c r="AG558" i="1"/>
  <c r="T559" i="1"/>
  <c r="X559" i="1"/>
  <c r="W559" i="1"/>
  <c r="U559" i="1"/>
  <c r="V559" i="1" s="1"/>
  <c r="Z559" i="1"/>
  <c r="Y559" i="1"/>
  <c r="S560" i="1"/>
  <c r="AB558" i="1"/>
  <c r="AF558" i="1"/>
  <c r="AH559" i="1" l="1"/>
  <c r="AD559" i="1"/>
  <c r="AF559" i="1"/>
  <c r="AB559" i="1"/>
  <c r="AG559" i="1"/>
  <c r="AC559" i="1"/>
  <c r="T560" i="1"/>
  <c r="Y560" i="1"/>
  <c r="W560" i="1"/>
  <c r="U560" i="1"/>
  <c r="V560" i="1" s="1"/>
  <c r="S561" i="1"/>
  <c r="Z560" i="1"/>
  <c r="X560" i="1"/>
  <c r="AA559" i="1"/>
  <c r="AE559" i="1"/>
  <c r="AH560" i="1" l="1"/>
  <c r="AD560" i="1"/>
  <c r="AC560" i="1"/>
  <c r="AG560" i="1"/>
  <c r="T561" i="1"/>
  <c r="Z561" i="1"/>
  <c r="Y561" i="1"/>
  <c r="S562" i="1"/>
  <c r="U561" i="1"/>
  <c r="V561" i="1" s="1"/>
  <c r="X561" i="1"/>
  <c r="W561" i="1"/>
  <c r="AB560" i="1"/>
  <c r="AF560" i="1"/>
  <c r="AE560" i="1"/>
  <c r="AA560" i="1"/>
  <c r="T562" i="1" l="1"/>
  <c r="Y562" i="1"/>
  <c r="W562" i="1"/>
  <c r="U562" i="1"/>
  <c r="V562" i="1" s="1"/>
  <c r="X562" i="1"/>
  <c r="S563" i="1"/>
  <c r="Z562" i="1"/>
  <c r="AA561" i="1"/>
  <c r="AE561" i="1"/>
  <c r="AC561" i="1"/>
  <c r="AG561" i="1"/>
  <c r="AB561" i="1"/>
  <c r="AF561" i="1"/>
  <c r="AD561" i="1"/>
  <c r="AH561" i="1"/>
  <c r="AD562" i="1" l="1"/>
  <c r="AH562" i="1"/>
  <c r="AA562" i="1"/>
  <c r="AE562" i="1"/>
  <c r="T563" i="1"/>
  <c r="Z563" i="1"/>
  <c r="Y563" i="1"/>
  <c r="X563" i="1"/>
  <c r="S564" i="1"/>
  <c r="W563" i="1"/>
  <c r="U563" i="1"/>
  <c r="V563" i="1" s="1"/>
  <c r="AC562" i="1"/>
  <c r="AG562" i="1"/>
  <c r="AB562" i="1"/>
  <c r="AF562" i="1"/>
  <c r="AG563" i="1" l="1"/>
  <c r="AC563" i="1"/>
  <c r="AB563" i="1"/>
  <c r="AF563" i="1"/>
  <c r="AA563" i="1"/>
  <c r="AE563" i="1"/>
  <c r="AH563" i="1"/>
  <c r="AD563" i="1"/>
  <c r="T564" i="1"/>
  <c r="X564" i="1"/>
  <c r="S565" i="1"/>
  <c r="Z564" i="1"/>
  <c r="U564" i="1"/>
  <c r="V564" i="1" s="1"/>
  <c r="Y564" i="1"/>
  <c r="W564" i="1"/>
  <c r="AE564" i="1" l="1"/>
  <c r="AA564" i="1"/>
  <c r="T565" i="1"/>
  <c r="Z565" i="1"/>
  <c r="Y565" i="1"/>
  <c r="W565" i="1"/>
  <c r="U565" i="1"/>
  <c r="V565" i="1" s="1"/>
  <c r="S566" i="1"/>
  <c r="X565" i="1"/>
  <c r="AD564" i="1"/>
  <c r="AH564" i="1"/>
  <c r="AG564" i="1"/>
  <c r="AC564" i="1"/>
  <c r="AF564" i="1"/>
  <c r="AB564" i="1"/>
  <c r="T566" i="1" l="1"/>
  <c r="X566" i="1"/>
  <c r="S567" i="1"/>
  <c r="Z566" i="1"/>
  <c r="Y566" i="1"/>
  <c r="W566" i="1"/>
  <c r="U566" i="1"/>
  <c r="V566" i="1" s="1"/>
  <c r="AD565" i="1"/>
  <c r="AH565" i="1"/>
  <c r="AA565" i="1"/>
  <c r="AE565" i="1"/>
  <c r="AB565" i="1"/>
  <c r="AF565" i="1"/>
  <c r="AC565" i="1"/>
  <c r="AG565" i="1"/>
  <c r="T567" i="1" l="1"/>
  <c r="X567" i="1"/>
  <c r="W567" i="1"/>
  <c r="U567" i="1"/>
  <c r="V567" i="1" s="1"/>
  <c r="S568" i="1"/>
  <c r="Z567" i="1"/>
  <c r="Y567" i="1"/>
  <c r="AD566" i="1"/>
  <c r="AH566" i="1"/>
  <c r="AE566" i="1"/>
  <c r="AA566" i="1"/>
  <c r="AB566" i="1"/>
  <c r="AF566" i="1"/>
  <c r="AG566" i="1"/>
  <c r="AC566" i="1"/>
  <c r="AG567" i="1" l="1"/>
  <c r="AC567" i="1"/>
  <c r="AA567" i="1"/>
  <c r="AE567" i="1"/>
  <c r="AH567" i="1"/>
  <c r="AD567" i="1"/>
  <c r="AF567" i="1"/>
  <c r="AB567" i="1"/>
  <c r="T568" i="1"/>
  <c r="Y568" i="1"/>
  <c r="W568" i="1"/>
  <c r="U568" i="1"/>
  <c r="V568" i="1" s="1"/>
  <c r="Z568" i="1"/>
  <c r="X568" i="1"/>
  <c r="S569" i="1"/>
  <c r="T569" i="1" l="1"/>
  <c r="S570" i="1"/>
  <c r="W569" i="1"/>
  <c r="U569" i="1"/>
  <c r="V569" i="1" s="1"/>
  <c r="Z569" i="1"/>
  <c r="Y569" i="1"/>
  <c r="X569" i="1"/>
  <c r="AA568" i="1"/>
  <c r="AE568" i="1"/>
  <c r="AF568" i="1"/>
  <c r="AB568" i="1"/>
  <c r="AG568" i="1"/>
  <c r="AC568" i="1"/>
  <c r="AH568" i="1"/>
  <c r="AD568" i="1"/>
  <c r="AB569" i="1" l="1"/>
  <c r="AF569" i="1"/>
  <c r="AA569" i="1"/>
  <c r="AE569" i="1"/>
  <c r="AG569" i="1"/>
  <c r="AC569" i="1"/>
  <c r="T570" i="1"/>
  <c r="X570" i="1"/>
  <c r="S571" i="1"/>
  <c r="Z570" i="1"/>
  <c r="Y570" i="1"/>
  <c r="W570" i="1"/>
  <c r="U570" i="1"/>
  <c r="V570" i="1" s="1"/>
  <c r="AH569" i="1"/>
  <c r="AD569" i="1"/>
  <c r="AC570" i="1" l="1"/>
  <c r="AG570" i="1"/>
  <c r="AE570" i="1"/>
  <c r="AA570" i="1"/>
  <c r="AB570" i="1"/>
  <c r="AF570" i="1"/>
  <c r="AH570" i="1"/>
  <c r="AD570" i="1"/>
  <c r="T571" i="1"/>
  <c r="X571" i="1"/>
  <c r="W571" i="1"/>
  <c r="U571" i="1"/>
  <c r="V571" i="1" s="1"/>
  <c r="Z571" i="1"/>
  <c r="Y571" i="1"/>
  <c r="S572" i="1"/>
  <c r="T572" i="1" l="1"/>
  <c r="U572" i="1"/>
  <c r="V572" i="1" s="1"/>
  <c r="S573" i="1"/>
  <c r="Z572" i="1"/>
  <c r="W572" i="1"/>
  <c r="X572" i="1"/>
  <c r="Y572" i="1"/>
  <c r="AE571" i="1"/>
  <c r="AA571" i="1"/>
  <c r="AC571" i="1"/>
  <c r="AG571" i="1"/>
  <c r="AF571" i="1"/>
  <c r="AB571" i="1"/>
  <c r="AH571" i="1"/>
  <c r="AD571" i="1"/>
  <c r="AH572" i="1" l="1"/>
  <c r="AD572" i="1"/>
  <c r="AC572" i="1"/>
  <c r="AG572" i="1"/>
  <c r="T573" i="1"/>
  <c r="Z573" i="1"/>
  <c r="Y573" i="1"/>
  <c r="S574" i="1"/>
  <c r="X573" i="1"/>
  <c r="W573" i="1"/>
  <c r="U573" i="1"/>
  <c r="V573" i="1" s="1"/>
  <c r="AF572" i="1"/>
  <c r="AB572" i="1"/>
  <c r="AE572" i="1"/>
  <c r="AA572" i="1"/>
  <c r="T574" i="1" l="1"/>
  <c r="Y574" i="1"/>
  <c r="W574" i="1"/>
  <c r="U574" i="1"/>
  <c r="V574" i="1" s="1"/>
  <c r="S575" i="1"/>
  <c r="Z574" i="1"/>
  <c r="X574" i="1"/>
  <c r="AC573" i="1"/>
  <c r="AG573" i="1"/>
  <c r="AA573" i="1"/>
  <c r="AE573" i="1"/>
  <c r="AH573" i="1"/>
  <c r="AD573" i="1"/>
  <c r="AB573" i="1"/>
  <c r="AF573" i="1"/>
  <c r="AB574" i="1" l="1"/>
  <c r="AF574" i="1"/>
  <c r="AA574" i="1"/>
  <c r="AE574" i="1"/>
  <c r="AD574" i="1"/>
  <c r="AH574" i="1"/>
  <c r="AG574" i="1"/>
  <c r="AC574" i="1"/>
  <c r="T575" i="1"/>
  <c r="Z575" i="1"/>
  <c r="Y575" i="1"/>
  <c r="S576" i="1"/>
  <c r="X575" i="1"/>
  <c r="U575" i="1"/>
  <c r="V575" i="1" s="1"/>
  <c r="W575" i="1"/>
  <c r="T576" i="1" l="1"/>
  <c r="X576" i="1"/>
  <c r="S577" i="1"/>
  <c r="Z576" i="1"/>
  <c r="W576" i="1"/>
  <c r="Y576" i="1"/>
  <c r="U576" i="1"/>
  <c r="V576" i="1" s="1"/>
  <c r="AA575" i="1"/>
  <c r="AE575" i="1"/>
  <c r="AC575" i="1"/>
  <c r="AG575" i="1"/>
  <c r="AD575" i="1"/>
  <c r="AH575" i="1"/>
  <c r="AB575" i="1"/>
  <c r="AF575" i="1"/>
  <c r="T577" i="1" l="1"/>
  <c r="S578" i="1"/>
  <c r="Y577" i="1"/>
  <c r="W577" i="1"/>
  <c r="U577" i="1"/>
  <c r="V577" i="1" s="1"/>
  <c r="Z577" i="1"/>
  <c r="X577" i="1"/>
  <c r="AG576" i="1"/>
  <c r="AC576" i="1"/>
  <c r="AF576" i="1"/>
  <c r="AB576" i="1"/>
  <c r="AH576" i="1"/>
  <c r="AD576" i="1"/>
  <c r="AA576" i="1"/>
  <c r="AE576" i="1"/>
  <c r="AA577" i="1" l="1"/>
  <c r="AE577" i="1"/>
  <c r="AF577" i="1"/>
  <c r="AB577" i="1"/>
  <c r="AC577" i="1"/>
  <c r="AG577" i="1"/>
  <c r="AH577" i="1"/>
  <c r="AD577" i="1"/>
  <c r="T578" i="1"/>
  <c r="X578" i="1"/>
  <c r="Z578" i="1"/>
  <c r="U578" i="1"/>
  <c r="V578" i="1" s="1"/>
  <c r="S579" i="1"/>
  <c r="W578" i="1"/>
  <c r="Y578" i="1"/>
  <c r="AA578" i="1" l="1"/>
  <c r="AE578" i="1"/>
  <c r="AG578" i="1"/>
  <c r="AC578" i="1"/>
  <c r="AD578" i="1"/>
  <c r="AH578" i="1"/>
  <c r="AF578" i="1"/>
  <c r="AB578" i="1"/>
  <c r="T579" i="1"/>
  <c r="Z579" i="1"/>
  <c r="X579" i="1"/>
  <c r="S580" i="1"/>
  <c r="Y579" i="1"/>
  <c r="W579" i="1"/>
  <c r="U579" i="1"/>
  <c r="V579" i="1" s="1"/>
  <c r="T580" i="1" l="1"/>
  <c r="X580" i="1"/>
  <c r="W580" i="1"/>
  <c r="Y580" i="1"/>
  <c r="U580" i="1"/>
  <c r="V580" i="1" s="1"/>
  <c r="S581" i="1"/>
  <c r="Z580" i="1"/>
  <c r="AF579" i="1"/>
  <c r="AB579" i="1"/>
  <c r="AE579" i="1"/>
  <c r="AA579" i="1"/>
  <c r="AH579" i="1"/>
  <c r="AD579" i="1"/>
  <c r="AC579" i="1"/>
  <c r="AG579" i="1"/>
  <c r="AG580" i="1" l="1"/>
  <c r="AC580" i="1"/>
  <c r="AH580" i="1"/>
  <c r="AD580" i="1"/>
  <c r="AA580" i="1"/>
  <c r="AE580" i="1"/>
  <c r="T581" i="1"/>
  <c r="Z581" i="1"/>
  <c r="X581" i="1"/>
  <c r="S582" i="1"/>
  <c r="U581" i="1"/>
  <c r="V581" i="1" s="1"/>
  <c r="W581" i="1"/>
  <c r="Y581" i="1"/>
  <c r="AB580" i="1"/>
  <c r="AF580" i="1"/>
  <c r="T582" i="1" l="1"/>
  <c r="Y582" i="1"/>
  <c r="Z582" i="1"/>
  <c r="S583" i="1"/>
  <c r="W582" i="1"/>
  <c r="U582" i="1"/>
  <c r="V582" i="1" s="1"/>
  <c r="X582" i="1"/>
  <c r="AC581" i="1"/>
  <c r="AG581" i="1"/>
  <c r="AB581" i="1"/>
  <c r="AF581" i="1"/>
  <c r="AE581" i="1"/>
  <c r="AA581" i="1"/>
  <c r="AD581" i="1"/>
  <c r="AH581" i="1"/>
  <c r="T583" i="1" l="1"/>
  <c r="W583" i="1"/>
  <c r="U583" i="1"/>
  <c r="V583" i="1" s="1"/>
  <c r="Z583" i="1"/>
  <c r="X583" i="1"/>
  <c r="S584" i="1"/>
  <c r="Y583" i="1"/>
  <c r="AF582" i="1"/>
  <c r="AB582" i="1"/>
  <c r="AH582" i="1"/>
  <c r="AD582" i="1"/>
  <c r="AC582" i="1"/>
  <c r="AG582" i="1"/>
  <c r="AE582" i="1"/>
  <c r="AA582" i="1"/>
  <c r="AH583" i="1" l="1"/>
  <c r="AD583" i="1"/>
  <c r="AG583" i="1"/>
  <c r="AC583" i="1"/>
  <c r="T584" i="1"/>
  <c r="U584" i="1"/>
  <c r="V584" i="1" s="1"/>
  <c r="W584" i="1"/>
  <c r="Y584" i="1"/>
  <c r="Z584" i="1"/>
  <c r="X584" i="1"/>
  <c r="S585" i="1"/>
  <c r="AE583" i="1"/>
  <c r="AA583" i="1"/>
  <c r="AF583" i="1"/>
  <c r="AB583" i="1"/>
  <c r="T585" i="1" l="1"/>
  <c r="Z585" i="1"/>
  <c r="Y585" i="1"/>
  <c r="W585" i="1"/>
  <c r="U585" i="1"/>
  <c r="V585" i="1" s="1"/>
  <c r="S586" i="1"/>
  <c r="X585" i="1"/>
  <c r="AC584" i="1"/>
  <c r="AG584" i="1"/>
  <c r="AA584" i="1"/>
  <c r="AE584" i="1"/>
  <c r="AB584" i="1"/>
  <c r="AF584" i="1"/>
  <c r="AH584" i="1"/>
  <c r="AD584" i="1"/>
  <c r="AA585" i="1" l="1"/>
  <c r="AE585" i="1"/>
  <c r="AB585" i="1"/>
  <c r="AF585" i="1"/>
  <c r="AG585" i="1"/>
  <c r="AC585" i="1"/>
  <c r="T586" i="1"/>
  <c r="Y586" i="1"/>
  <c r="Z586" i="1"/>
  <c r="U586" i="1"/>
  <c r="V586" i="1" s="1"/>
  <c r="X586" i="1"/>
  <c r="S587" i="1"/>
  <c r="W586" i="1"/>
  <c r="AD585" i="1"/>
  <c r="AH585" i="1"/>
  <c r="T587" i="1" l="1"/>
  <c r="Y587" i="1"/>
  <c r="W587" i="1"/>
  <c r="U587" i="1"/>
  <c r="V587" i="1" s="1"/>
  <c r="Z587" i="1"/>
  <c r="X587" i="1"/>
  <c r="S588" i="1"/>
  <c r="AC586" i="1"/>
  <c r="AG586" i="1"/>
  <c r="AB586" i="1"/>
  <c r="AF586" i="1"/>
  <c r="AE586" i="1"/>
  <c r="AA586" i="1"/>
  <c r="AH586" i="1"/>
  <c r="AD586" i="1"/>
  <c r="T588" i="1" l="1"/>
  <c r="X588" i="1"/>
  <c r="S589" i="1"/>
  <c r="Y588" i="1"/>
  <c r="Z588" i="1"/>
  <c r="U588" i="1"/>
  <c r="V588" i="1" s="1"/>
  <c r="W588" i="1"/>
  <c r="AA587" i="1"/>
  <c r="AE587" i="1"/>
  <c r="AF587" i="1"/>
  <c r="AB587" i="1"/>
  <c r="AC587" i="1"/>
  <c r="AG587" i="1"/>
  <c r="AH587" i="1"/>
  <c r="AD587" i="1"/>
  <c r="AG588" i="1" l="1"/>
  <c r="AC588" i="1"/>
  <c r="AE588" i="1"/>
  <c r="AA588" i="1"/>
  <c r="T589" i="1"/>
  <c r="W589" i="1"/>
  <c r="U589" i="1"/>
  <c r="V589" i="1" s="1"/>
  <c r="Y589" i="1"/>
  <c r="Z589" i="1"/>
  <c r="X589" i="1"/>
  <c r="S590" i="1"/>
  <c r="AF588" i="1"/>
  <c r="AB588" i="1"/>
  <c r="AH588" i="1"/>
  <c r="AD588" i="1"/>
  <c r="AC589" i="1" l="1"/>
  <c r="AG589" i="1"/>
  <c r="T590" i="1"/>
  <c r="X590" i="1"/>
  <c r="S591" i="1"/>
  <c r="W590" i="1"/>
  <c r="Y590" i="1"/>
  <c r="Z590" i="1"/>
  <c r="U590" i="1"/>
  <c r="V590" i="1" s="1"/>
  <c r="AB589" i="1"/>
  <c r="AF589" i="1"/>
  <c r="AA589" i="1"/>
  <c r="AE589" i="1"/>
  <c r="AH589" i="1"/>
  <c r="AD589" i="1"/>
  <c r="AD590" i="1" l="1"/>
  <c r="AH590" i="1"/>
  <c r="AB590" i="1"/>
  <c r="AF590" i="1"/>
  <c r="AC590" i="1"/>
  <c r="AG590" i="1"/>
  <c r="AE590" i="1"/>
  <c r="AA590" i="1"/>
  <c r="T591" i="1"/>
  <c r="Z591" i="1"/>
  <c r="X591" i="1"/>
  <c r="U591" i="1"/>
  <c r="V591" i="1" s="1"/>
  <c r="S592" i="1"/>
  <c r="Y591" i="1"/>
  <c r="W591" i="1"/>
  <c r="AB591" i="1" l="1"/>
  <c r="AF591" i="1"/>
  <c r="AE591" i="1"/>
  <c r="AA591" i="1"/>
  <c r="AG591" i="1"/>
  <c r="AC591" i="1"/>
  <c r="AH591" i="1"/>
  <c r="AD591" i="1"/>
  <c r="T592" i="1"/>
  <c r="X592" i="1"/>
  <c r="S593" i="1"/>
  <c r="W592" i="1"/>
  <c r="Y592" i="1"/>
  <c r="Z592" i="1"/>
  <c r="U592" i="1"/>
  <c r="V592" i="1" s="1"/>
  <c r="AD592" i="1" l="1"/>
  <c r="AH592" i="1"/>
  <c r="AA592" i="1"/>
  <c r="AE592" i="1"/>
  <c r="T593" i="1"/>
  <c r="Y593" i="1"/>
  <c r="Z593" i="1"/>
  <c r="X593" i="1"/>
  <c r="S594" i="1"/>
  <c r="W593" i="1"/>
  <c r="U593" i="1"/>
  <c r="V593" i="1" s="1"/>
  <c r="AB592" i="1"/>
  <c r="AF592" i="1"/>
  <c r="AC592" i="1"/>
  <c r="AG592" i="1"/>
  <c r="AB593" i="1" l="1"/>
  <c r="AF593" i="1"/>
  <c r="AD593" i="1"/>
  <c r="AH593" i="1"/>
  <c r="AE593" i="1"/>
  <c r="AA593" i="1"/>
  <c r="AG593" i="1"/>
  <c r="AC593" i="1"/>
  <c r="T594" i="1"/>
  <c r="X594" i="1"/>
  <c r="S595" i="1"/>
  <c r="W594" i="1"/>
  <c r="Y594" i="1"/>
  <c r="Z594" i="1"/>
  <c r="U594" i="1"/>
  <c r="V594" i="1" s="1"/>
  <c r="AA594" i="1" l="1"/>
  <c r="AE594" i="1"/>
  <c r="T595" i="1"/>
  <c r="X595" i="1"/>
  <c r="S596" i="1"/>
  <c r="Y595" i="1"/>
  <c r="W595" i="1"/>
  <c r="U595" i="1"/>
  <c r="V595" i="1" s="1"/>
  <c r="Z595" i="1"/>
  <c r="AH594" i="1"/>
  <c r="AD594" i="1"/>
  <c r="AB594" i="1"/>
  <c r="AF594" i="1"/>
  <c r="AG594" i="1"/>
  <c r="AC594" i="1"/>
  <c r="AB595" i="1" l="1"/>
  <c r="AF595" i="1"/>
  <c r="AE595" i="1"/>
  <c r="AA595" i="1"/>
  <c r="AG595" i="1"/>
  <c r="AC595" i="1"/>
  <c r="AH595" i="1"/>
  <c r="AD595" i="1"/>
  <c r="T596" i="1"/>
  <c r="S597" i="1"/>
  <c r="U596" i="1"/>
  <c r="V596" i="1" s="1"/>
  <c r="X596" i="1"/>
  <c r="W596" i="1"/>
  <c r="Y596" i="1"/>
  <c r="Z596" i="1"/>
  <c r="AG596" i="1" l="1"/>
  <c r="AC596" i="1"/>
  <c r="AF596" i="1"/>
  <c r="AB596" i="1"/>
  <c r="AH596" i="1"/>
  <c r="AD596" i="1"/>
  <c r="T597" i="1"/>
  <c r="Z597" i="1"/>
  <c r="X597" i="1"/>
  <c r="W597" i="1"/>
  <c r="S598" i="1"/>
  <c r="Y597" i="1"/>
  <c r="U597" i="1"/>
  <c r="V597" i="1" s="1"/>
  <c r="AA596" i="1"/>
  <c r="AE596" i="1"/>
  <c r="AC597" i="1" l="1"/>
  <c r="AG597" i="1"/>
  <c r="AD597" i="1"/>
  <c r="AH597" i="1"/>
  <c r="T598" i="1"/>
  <c r="X598" i="1"/>
  <c r="S599" i="1"/>
  <c r="W598" i="1"/>
  <c r="Y598" i="1"/>
  <c r="Z598" i="1"/>
  <c r="U598" i="1"/>
  <c r="V598" i="1" s="1"/>
  <c r="AE597" i="1"/>
  <c r="AA597" i="1"/>
  <c r="AB597" i="1"/>
  <c r="AF597" i="1"/>
  <c r="AE598" i="1" l="1"/>
  <c r="AA598" i="1"/>
  <c r="T599" i="1"/>
  <c r="Y599" i="1"/>
  <c r="W599" i="1"/>
  <c r="U599" i="1"/>
  <c r="V599" i="1" s="1"/>
  <c r="Z599" i="1"/>
  <c r="X599" i="1"/>
  <c r="S600" i="1"/>
  <c r="AH598" i="1"/>
  <c r="AD598" i="1"/>
  <c r="AB598" i="1"/>
  <c r="AF598" i="1"/>
  <c r="AC598" i="1"/>
  <c r="AG598" i="1"/>
  <c r="AF599" i="1" l="1"/>
  <c r="AB599" i="1"/>
  <c r="AC599" i="1"/>
  <c r="AG599" i="1"/>
  <c r="AH599" i="1"/>
  <c r="AD599" i="1"/>
  <c r="T600" i="1"/>
  <c r="X600" i="1"/>
  <c r="S601" i="1"/>
  <c r="W600" i="1"/>
  <c r="Z600" i="1"/>
  <c r="U600" i="1"/>
  <c r="V600" i="1" s="1"/>
  <c r="Y600" i="1"/>
  <c r="AA599" i="1"/>
  <c r="AE599" i="1"/>
  <c r="AB600" i="1" l="1"/>
  <c r="AF600" i="1"/>
  <c r="AD600" i="1"/>
  <c r="AH600" i="1"/>
  <c r="AA600" i="1"/>
  <c r="AE600" i="1"/>
  <c r="AC600" i="1"/>
  <c r="AG600" i="1"/>
  <c r="T601" i="1"/>
  <c r="Y601" i="1"/>
  <c r="W601" i="1"/>
  <c r="U601" i="1"/>
  <c r="V601" i="1" s="1"/>
  <c r="Z601" i="1"/>
  <c r="X601" i="1"/>
  <c r="S602" i="1"/>
  <c r="T602" i="1" l="1"/>
  <c r="X602" i="1"/>
  <c r="S603" i="1"/>
  <c r="W602" i="1"/>
  <c r="Y602" i="1"/>
  <c r="Z602" i="1"/>
  <c r="U602" i="1"/>
  <c r="V602" i="1" s="1"/>
  <c r="AE601" i="1"/>
  <c r="AA601" i="1"/>
  <c r="AB601" i="1"/>
  <c r="AF601" i="1"/>
  <c r="AC601" i="1"/>
  <c r="AG601" i="1"/>
  <c r="AD601" i="1"/>
  <c r="AH601" i="1"/>
  <c r="AE602" i="1" l="1"/>
  <c r="AA602" i="1"/>
  <c r="T603" i="1"/>
  <c r="Z603" i="1"/>
  <c r="X603" i="1"/>
  <c r="S604" i="1"/>
  <c r="Y603" i="1"/>
  <c r="W603" i="1"/>
  <c r="U603" i="1"/>
  <c r="V603" i="1" s="1"/>
  <c r="AD602" i="1"/>
  <c r="AH602" i="1"/>
  <c r="AF602" i="1"/>
  <c r="AB602" i="1"/>
  <c r="AC602" i="1"/>
  <c r="AG602" i="1"/>
  <c r="AA603" i="1" l="1"/>
  <c r="AE603" i="1"/>
  <c r="AD603" i="1"/>
  <c r="AH603" i="1"/>
  <c r="AC603" i="1"/>
  <c r="AG603" i="1"/>
  <c r="T604" i="1"/>
  <c r="X604" i="1"/>
  <c r="S605" i="1"/>
  <c r="W604" i="1"/>
  <c r="Y604" i="1"/>
  <c r="Z604" i="1"/>
  <c r="U604" i="1"/>
  <c r="V604" i="1" s="1"/>
  <c r="AB603" i="1"/>
  <c r="AF603" i="1"/>
  <c r="T605" i="1" l="1"/>
  <c r="Z605" i="1"/>
  <c r="X605" i="1"/>
  <c r="S606" i="1"/>
  <c r="Y605" i="1"/>
  <c r="W605" i="1"/>
  <c r="U605" i="1"/>
  <c r="V605" i="1" s="1"/>
  <c r="AH604" i="1"/>
  <c r="AD604" i="1"/>
  <c r="AF604" i="1"/>
  <c r="AB604" i="1"/>
  <c r="AG604" i="1"/>
  <c r="AC604" i="1"/>
  <c r="AA604" i="1"/>
  <c r="AE604" i="1"/>
  <c r="T606" i="1" l="1"/>
  <c r="Y606" i="1"/>
  <c r="U606" i="1"/>
  <c r="V606" i="1" s="1"/>
  <c r="X606" i="1"/>
  <c r="S607" i="1"/>
  <c r="W606" i="1"/>
  <c r="Z606" i="1"/>
  <c r="AB605" i="1"/>
  <c r="AF605" i="1"/>
  <c r="AE605" i="1"/>
  <c r="AA605" i="1"/>
  <c r="AH605" i="1"/>
  <c r="AD605" i="1"/>
  <c r="AG605" i="1"/>
  <c r="AC605" i="1"/>
  <c r="AB606" i="1" l="1"/>
  <c r="AF606" i="1"/>
  <c r="AD606" i="1"/>
  <c r="AH606" i="1"/>
  <c r="AE606" i="1"/>
  <c r="AA606" i="1"/>
  <c r="AC606" i="1"/>
  <c r="AG606" i="1"/>
  <c r="T607" i="1"/>
  <c r="Y607" i="1"/>
  <c r="W607" i="1"/>
  <c r="U607" i="1"/>
  <c r="V607" i="1" s="1"/>
  <c r="Z607" i="1"/>
  <c r="X607" i="1"/>
  <c r="S608" i="1"/>
  <c r="T608" i="1" l="1"/>
  <c r="Y608" i="1"/>
  <c r="X608" i="1"/>
  <c r="S609" i="1"/>
  <c r="W608" i="1"/>
  <c r="Z608" i="1"/>
  <c r="U608" i="1"/>
  <c r="V608" i="1" s="1"/>
  <c r="AE607" i="1"/>
  <c r="AA607" i="1"/>
  <c r="AF607" i="1"/>
  <c r="AB607" i="1"/>
  <c r="AG607" i="1"/>
  <c r="AC607" i="1"/>
  <c r="AD607" i="1"/>
  <c r="AH607" i="1"/>
  <c r="T609" i="1" l="1"/>
  <c r="Z609" i="1"/>
  <c r="X609" i="1"/>
  <c r="Y609" i="1"/>
  <c r="S610" i="1"/>
  <c r="W609" i="1"/>
  <c r="U609" i="1"/>
  <c r="V609" i="1" s="1"/>
  <c r="AB608" i="1"/>
  <c r="AF608" i="1"/>
  <c r="AH608" i="1"/>
  <c r="AD608" i="1"/>
  <c r="AC608" i="1"/>
  <c r="AG608" i="1"/>
  <c r="AE608" i="1"/>
  <c r="AA608" i="1"/>
  <c r="AC609" i="1" l="1"/>
  <c r="AG609" i="1"/>
  <c r="AF609" i="1"/>
  <c r="AB609" i="1"/>
  <c r="AA609" i="1"/>
  <c r="AE609" i="1"/>
  <c r="AH609" i="1"/>
  <c r="AD609" i="1"/>
  <c r="T610" i="1"/>
  <c r="X610" i="1"/>
  <c r="S611" i="1"/>
  <c r="W610" i="1"/>
  <c r="Z610" i="1"/>
  <c r="U610" i="1"/>
  <c r="V610" i="1" s="1"/>
  <c r="Y610" i="1"/>
  <c r="AE610" i="1" l="1"/>
  <c r="AA610" i="1"/>
  <c r="AG610" i="1"/>
  <c r="AC610" i="1"/>
  <c r="T611" i="1"/>
  <c r="S612" i="1"/>
  <c r="Y611" i="1"/>
  <c r="W611" i="1"/>
  <c r="U611" i="1"/>
  <c r="V611" i="1" s="1"/>
  <c r="Z611" i="1"/>
  <c r="X611" i="1"/>
  <c r="AF610" i="1"/>
  <c r="AB610" i="1"/>
  <c r="AD610" i="1"/>
  <c r="AH610" i="1"/>
  <c r="AA611" i="1" l="1"/>
  <c r="AE611" i="1"/>
  <c r="AB611" i="1"/>
  <c r="AF611" i="1"/>
  <c r="AC611" i="1"/>
  <c r="AG611" i="1"/>
  <c r="AH611" i="1"/>
  <c r="AD611" i="1"/>
  <c r="T612" i="1"/>
  <c r="X612" i="1"/>
  <c r="S613" i="1"/>
  <c r="W612" i="1"/>
  <c r="Y612" i="1"/>
  <c r="Z612" i="1"/>
  <c r="U612" i="1"/>
  <c r="V612" i="1" s="1"/>
  <c r="AA612" i="1" l="1"/>
  <c r="AE612" i="1"/>
  <c r="T613" i="1"/>
  <c r="U613" i="1"/>
  <c r="V613" i="1" s="1"/>
  <c r="Z613" i="1"/>
  <c r="X613" i="1"/>
  <c r="S614" i="1"/>
  <c r="Y613" i="1"/>
  <c r="W613" i="1"/>
  <c r="AF612" i="1"/>
  <c r="AB612" i="1"/>
  <c r="AH612" i="1"/>
  <c r="AD612" i="1"/>
  <c r="AG612" i="1"/>
  <c r="AC612" i="1"/>
  <c r="AG613" i="1" l="1"/>
  <c r="AC613" i="1"/>
  <c r="T614" i="1"/>
  <c r="Y614" i="1"/>
  <c r="Z614" i="1"/>
  <c r="U614" i="1"/>
  <c r="V614" i="1" s="1"/>
  <c r="X614" i="1"/>
  <c r="S615" i="1"/>
  <c r="W614" i="1"/>
  <c r="AF613" i="1"/>
  <c r="AB613" i="1"/>
  <c r="AA613" i="1"/>
  <c r="AE613" i="1"/>
  <c r="AD613" i="1"/>
  <c r="AH613" i="1"/>
  <c r="T615" i="1" l="1"/>
  <c r="Z615" i="1"/>
  <c r="X615" i="1"/>
  <c r="S616" i="1"/>
  <c r="Y615" i="1"/>
  <c r="W615" i="1"/>
  <c r="U615" i="1"/>
  <c r="V615" i="1" s="1"/>
  <c r="AG614" i="1"/>
  <c r="AC614" i="1"/>
  <c r="AF614" i="1"/>
  <c r="AB614" i="1"/>
  <c r="AA614" i="1"/>
  <c r="AE614" i="1"/>
  <c r="AD614" i="1"/>
  <c r="AH614" i="1"/>
  <c r="T616" i="1" l="1"/>
  <c r="W616" i="1"/>
  <c r="Y616" i="1"/>
  <c r="Z616" i="1"/>
  <c r="X616" i="1"/>
  <c r="U616" i="1"/>
  <c r="V616" i="1" s="1"/>
  <c r="S617" i="1"/>
  <c r="AB615" i="1"/>
  <c r="AF615" i="1"/>
  <c r="AA615" i="1"/>
  <c r="AE615" i="1"/>
  <c r="AD615" i="1"/>
  <c r="AH615" i="1"/>
  <c r="AC615" i="1"/>
  <c r="AG615" i="1"/>
  <c r="AD616" i="1" l="1"/>
  <c r="AH616" i="1"/>
  <c r="T617" i="1"/>
  <c r="W617" i="1"/>
  <c r="U617" i="1"/>
  <c r="V617" i="1" s="1"/>
  <c r="Z617" i="1"/>
  <c r="X617" i="1"/>
  <c r="S618" i="1"/>
  <c r="Y617" i="1"/>
  <c r="AG616" i="1"/>
  <c r="AC616" i="1"/>
  <c r="AE616" i="1"/>
  <c r="AA616" i="1"/>
  <c r="AF616" i="1"/>
  <c r="AB616" i="1"/>
  <c r="T618" i="1" l="1"/>
  <c r="Y618" i="1"/>
  <c r="Z618" i="1"/>
  <c r="U618" i="1"/>
  <c r="V618" i="1" s="1"/>
  <c r="X618" i="1"/>
  <c r="S619" i="1"/>
  <c r="W618" i="1"/>
  <c r="AE617" i="1"/>
  <c r="AA617" i="1"/>
  <c r="AB617" i="1"/>
  <c r="AF617" i="1"/>
  <c r="AD617" i="1"/>
  <c r="AH617" i="1"/>
  <c r="AG617" i="1"/>
  <c r="AC617" i="1"/>
  <c r="AA618" i="1" l="1"/>
  <c r="AE618" i="1"/>
  <c r="AH618" i="1"/>
  <c r="AD618" i="1"/>
  <c r="T619" i="1"/>
  <c r="S620" i="1"/>
  <c r="U619" i="1"/>
  <c r="V619" i="1" s="1"/>
  <c r="Z619" i="1"/>
  <c r="X619" i="1"/>
  <c r="Y619" i="1"/>
  <c r="W619" i="1"/>
  <c r="AG618" i="1"/>
  <c r="AC618" i="1"/>
  <c r="AB618" i="1"/>
  <c r="AF618" i="1"/>
  <c r="AD619" i="1" l="1"/>
  <c r="AH619" i="1"/>
  <c r="AA619" i="1"/>
  <c r="AE619" i="1"/>
  <c r="AG619" i="1"/>
  <c r="AC619" i="1"/>
  <c r="T620" i="1"/>
  <c r="Y620" i="1"/>
  <c r="Z620" i="1"/>
  <c r="U620" i="1"/>
  <c r="V620" i="1" s="1"/>
  <c r="X620" i="1"/>
  <c r="S621" i="1"/>
  <c r="W620" i="1"/>
  <c r="AB619" i="1"/>
  <c r="AF619" i="1"/>
  <c r="T621" i="1" l="1"/>
  <c r="Z621" i="1"/>
  <c r="S622" i="1"/>
  <c r="W621" i="1"/>
  <c r="U621" i="1"/>
  <c r="V621" i="1" s="1"/>
  <c r="X621" i="1"/>
  <c r="Y621" i="1"/>
  <c r="AG620" i="1"/>
  <c r="AC620" i="1"/>
  <c r="AB620" i="1"/>
  <c r="AF620" i="1"/>
  <c r="AE620" i="1"/>
  <c r="AA620" i="1"/>
  <c r="AH620" i="1"/>
  <c r="AD620" i="1"/>
  <c r="AA621" i="1" l="1"/>
  <c r="AE621" i="1"/>
  <c r="AC621" i="1"/>
  <c r="AG621" i="1"/>
  <c r="T622" i="1"/>
  <c r="X622" i="1"/>
  <c r="S623" i="1"/>
  <c r="W622" i="1"/>
  <c r="Y622" i="1"/>
  <c r="Z622" i="1"/>
  <c r="U622" i="1"/>
  <c r="V622" i="1" s="1"/>
  <c r="AF621" i="1"/>
  <c r="AB621" i="1"/>
  <c r="AH621" i="1"/>
  <c r="AD621" i="1"/>
  <c r="AE622" i="1" l="1"/>
  <c r="AA622" i="1"/>
  <c r="T623" i="1"/>
  <c r="Y623" i="1"/>
  <c r="X623" i="1"/>
  <c r="W623" i="1"/>
  <c r="U623" i="1"/>
  <c r="V623" i="1" s="1"/>
  <c r="Z623" i="1"/>
  <c r="S624" i="1"/>
  <c r="AD622" i="1"/>
  <c r="AH622" i="1"/>
  <c r="AB622" i="1"/>
  <c r="AF622" i="1"/>
  <c r="AC622" i="1"/>
  <c r="AG622" i="1"/>
  <c r="AD623" i="1" l="1"/>
  <c r="AH623" i="1"/>
  <c r="AC623" i="1"/>
  <c r="AG623" i="1"/>
  <c r="AE623" i="1"/>
  <c r="AA623" i="1"/>
  <c r="T624" i="1"/>
  <c r="Y624" i="1"/>
  <c r="Z624" i="1"/>
  <c r="U624" i="1"/>
  <c r="V624" i="1" s="1"/>
  <c r="W624" i="1"/>
  <c r="X624" i="1"/>
  <c r="S625" i="1"/>
  <c r="AF623" i="1"/>
  <c r="AB623" i="1"/>
  <c r="AB624" i="1" l="1"/>
  <c r="AF624" i="1"/>
  <c r="AC624" i="1"/>
  <c r="AG624" i="1"/>
  <c r="AA624" i="1"/>
  <c r="AE624" i="1"/>
  <c r="T625" i="1"/>
  <c r="Y625" i="1"/>
  <c r="U625" i="1"/>
  <c r="V625" i="1" s="1"/>
  <c r="Z625" i="1"/>
  <c r="X625" i="1"/>
  <c r="S626" i="1"/>
  <c r="W625" i="1"/>
  <c r="AD624" i="1"/>
  <c r="AH624" i="1"/>
  <c r="T626" i="1" l="1"/>
  <c r="X626" i="1"/>
  <c r="Y626" i="1"/>
  <c r="Z626" i="1"/>
  <c r="U626" i="1"/>
  <c r="V626" i="1" s="1"/>
  <c r="W626" i="1"/>
  <c r="S627" i="1"/>
  <c r="AC625" i="1"/>
  <c r="AG625" i="1"/>
  <c r="AB625" i="1"/>
  <c r="AF625" i="1"/>
  <c r="AD625" i="1"/>
  <c r="AH625" i="1"/>
  <c r="AE625" i="1"/>
  <c r="AA625" i="1"/>
  <c r="AD626" i="1" l="1"/>
  <c r="AH626" i="1"/>
  <c r="T627" i="1"/>
  <c r="Y627" i="1"/>
  <c r="U627" i="1"/>
  <c r="V627" i="1" s="1"/>
  <c r="Z627" i="1"/>
  <c r="X627" i="1"/>
  <c r="S628" i="1"/>
  <c r="W627" i="1"/>
  <c r="AC626" i="1"/>
  <c r="AG626" i="1"/>
  <c r="AA626" i="1"/>
  <c r="AE626" i="1"/>
  <c r="AB626" i="1"/>
  <c r="AF626" i="1"/>
  <c r="T628" i="1" l="1"/>
  <c r="X628" i="1"/>
  <c r="S629" i="1"/>
  <c r="W628" i="1"/>
  <c r="Y628" i="1"/>
  <c r="Z628" i="1"/>
  <c r="U628" i="1"/>
  <c r="V628" i="1" s="1"/>
  <c r="AG627" i="1"/>
  <c r="AC627" i="1"/>
  <c r="AB627" i="1"/>
  <c r="AF627" i="1"/>
  <c r="AD627" i="1"/>
  <c r="AH627" i="1"/>
  <c r="AA627" i="1"/>
  <c r="AE627" i="1"/>
  <c r="AE628" i="1" l="1"/>
  <c r="AA628" i="1"/>
  <c r="T629" i="1"/>
  <c r="S630" i="1"/>
  <c r="Y629" i="1"/>
  <c r="W629" i="1"/>
  <c r="X629" i="1"/>
  <c r="U629" i="1"/>
  <c r="V629" i="1" s="1"/>
  <c r="Z629" i="1"/>
  <c r="AH628" i="1"/>
  <c r="AD628" i="1"/>
  <c r="AB628" i="1"/>
  <c r="AF628" i="1"/>
  <c r="AC628" i="1"/>
  <c r="AG628" i="1"/>
  <c r="T630" i="1" l="1"/>
  <c r="X630" i="1"/>
  <c r="S631" i="1"/>
  <c r="W630" i="1"/>
  <c r="Y630" i="1"/>
  <c r="Z630" i="1"/>
  <c r="U630" i="1"/>
  <c r="V630" i="1" s="1"/>
  <c r="AB629" i="1"/>
  <c r="AF629" i="1"/>
  <c r="AA629" i="1"/>
  <c r="AE629" i="1"/>
  <c r="AD629" i="1"/>
  <c r="AH629" i="1"/>
  <c r="AC629" i="1"/>
  <c r="AG629" i="1"/>
  <c r="AE630" i="1" l="1"/>
  <c r="AA630" i="1"/>
  <c r="T631" i="1"/>
  <c r="Y631" i="1"/>
  <c r="W631" i="1"/>
  <c r="U631" i="1"/>
  <c r="V631" i="1" s="1"/>
  <c r="Z631" i="1"/>
  <c r="X631" i="1"/>
  <c r="S632" i="1"/>
  <c r="AD630" i="1"/>
  <c r="AH630" i="1"/>
  <c r="AB630" i="1"/>
  <c r="AF630" i="1"/>
  <c r="AC630" i="1"/>
  <c r="AG630" i="1"/>
  <c r="AB631" i="1" l="1"/>
  <c r="AF631" i="1"/>
  <c r="AG631" i="1"/>
  <c r="AC631" i="1"/>
  <c r="AD631" i="1"/>
  <c r="AH631" i="1"/>
  <c r="T632" i="1"/>
  <c r="Y632" i="1"/>
  <c r="X632" i="1"/>
  <c r="U632" i="1"/>
  <c r="V632" i="1" s="1"/>
  <c r="S633" i="1"/>
  <c r="W632" i="1"/>
  <c r="Z632" i="1"/>
  <c r="AE631" i="1"/>
  <c r="AA631" i="1"/>
  <c r="AA632" i="1" l="1"/>
  <c r="AE632" i="1"/>
  <c r="AG632" i="1"/>
  <c r="AC632" i="1"/>
  <c r="T633" i="1"/>
  <c r="Z633" i="1"/>
  <c r="X633" i="1"/>
  <c r="S634" i="1"/>
  <c r="Y633" i="1"/>
  <c r="W633" i="1"/>
  <c r="U633" i="1"/>
  <c r="V633" i="1" s="1"/>
  <c r="AH632" i="1"/>
  <c r="AD632" i="1"/>
  <c r="AB632" i="1"/>
  <c r="AF632" i="1"/>
  <c r="T634" i="1" l="1"/>
  <c r="X634" i="1"/>
  <c r="S635" i="1"/>
  <c r="Z634" i="1"/>
  <c r="U634" i="1"/>
  <c r="V634" i="1" s="1"/>
  <c r="W634" i="1"/>
  <c r="Y634" i="1"/>
  <c r="AF633" i="1"/>
  <c r="AB633" i="1"/>
  <c r="AA633" i="1"/>
  <c r="AE633" i="1"/>
  <c r="AD633" i="1"/>
  <c r="AH633" i="1"/>
  <c r="AG633" i="1"/>
  <c r="AC633" i="1"/>
  <c r="AD634" i="1" l="1"/>
  <c r="AH634" i="1"/>
  <c r="AC634" i="1"/>
  <c r="AG634" i="1"/>
  <c r="T635" i="1"/>
  <c r="Y635" i="1"/>
  <c r="W635" i="1"/>
  <c r="U635" i="1"/>
  <c r="V635" i="1" s="1"/>
  <c r="Z635" i="1"/>
  <c r="X635" i="1"/>
  <c r="S636" i="1"/>
  <c r="AE634" i="1"/>
  <c r="AA634" i="1"/>
  <c r="AB634" i="1"/>
  <c r="AF634" i="1"/>
  <c r="T636" i="1" l="1"/>
  <c r="Y636" i="1"/>
  <c r="Z636" i="1"/>
  <c r="X636" i="1"/>
  <c r="S637" i="1"/>
  <c r="W636" i="1"/>
  <c r="U636" i="1"/>
  <c r="V636" i="1" s="1"/>
  <c r="AA635" i="1"/>
  <c r="AE635" i="1"/>
  <c r="AF635" i="1"/>
  <c r="AB635" i="1"/>
  <c r="AG635" i="1"/>
  <c r="AC635" i="1"/>
  <c r="AD635" i="1"/>
  <c r="AH635" i="1"/>
  <c r="AB636" i="1" l="1"/>
  <c r="AF636" i="1"/>
  <c r="AH636" i="1"/>
  <c r="AD636" i="1"/>
  <c r="AA636" i="1"/>
  <c r="AE636" i="1"/>
  <c r="AG636" i="1"/>
  <c r="AC636" i="1"/>
  <c r="T637" i="1"/>
  <c r="Z637" i="1"/>
  <c r="X637" i="1"/>
  <c r="S638" i="1"/>
  <c r="Y637" i="1"/>
  <c r="U637" i="1"/>
  <c r="V637" i="1" s="1"/>
  <c r="W637" i="1"/>
  <c r="T638" i="1" l="1"/>
  <c r="S639" i="1"/>
  <c r="W638" i="1"/>
  <c r="Y638" i="1"/>
  <c r="Z638" i="1"/>
  <c r="U638" i="1"/>
  <c r="V638" i="1" s="1"/>
  <c r="X638" i="1"/>
  <c r="AE637" i="1"/>
  <c r="AA637" i="1"/>
  <c r="AB637" i="1"/>
  <c r="AF637" i="1"/>
  <c r="AH637" i="1"/>
  <c r="AD637" i="1"/>
  <c r="AG637" i="1"/>
  <c r="AC637" i="1"/>
  <c r="AC638" i="1" l="1"/>
  <c r="AG638" i="1"/>
  <c r="AB638" i="1"/>
  <c r="AF638" i="1"/>
  <c r="AE638" i="1"/>
  <c r="AA638" i="1"/>
  <c r="T639" i="1"/>
  <c r="Y639" i="1"/>
  <c r="Z639" i="1"/>
  <c r="X639" i="1"/>
  <c r="U639" i="1"/>
  <c r="V639" i="1" s="1"/>
  <c r="S640" i="1"/>
  <c r="W639" i="1"/>
  <c r="AD638" i="1"/>
  <c r="AH638" i="1"/>
  <c r="T640" i="1" l="1"/>
  <c r="Y640" i="1"/>
  <c r="Z640" i="1"/>
  <c r="S641" i="1"/>
  <c r="W640" i="1"/>
  <c r="U640" i="1"/>
  <c r="V640" i="1" s="1"/>
  <c r="X640" i="1"/>
  <c r="AC639" i="1"/>
  <c r="AG639" i="1"/>
  <c r="AF639" i="1"/>
  <c r="AB639" i="1"/>
  <c r="AA639" i="1"/>
  <c r="AE639" i="1"/>
  <c r="AH639" i="1"/>
  <c r="AD639" i="1"/>
  <c r="T641" i="1" l="1"/>
  <c r="Z641" i="1"/>
  <c r="X641" i="1"/>
  <c r="S642" i="1"/>
  <c r="Y641" i="1"/>
  <c r="W641" i="1"/>
  <c r="U641" i="1"/>
  <c r="V641" i="1" s="1"/>
  <c r="AB640" i="1"/>
  <c r="AF640" i="1"/>
  <c r="AH640" i="1"/>
  <c r="AD640" i="1"/>
  <c r="AC640" i="1"/>
  <c r="AG640" i="1"/>
  <c r="AE640" i="1"/>
  <c r="AA640" i="1"/>
  <c r="T642" i="1" l="1"/>
  <c r="X642" i="1"/>
  <c r="S643" i="1"/>
  <c r="W642" i="1"/>
  <c r="Y642" i="1"/>
  <c r="Z642" i="1"/>
  <c r="U642" i="1"/>
  <c r="V642" i="1" s="1"/>
  <c r="AF641" i="1"/>
  <c r="AB641" i="1"/>
  <c r="AE641" i="1"/>
  <c r="AA641" i="1"/>
  <c r="AD641" i="1"/>
  <c r="AH641" i="1"/>
  <c r="AG641" i="1"/>
  <c r="AC641" i="1"/>
  <c r="AE642" i="1" l="1"/>
  <c r="AA642" i="1"/>
  <c r="T643" i="1"/>
  <c r="S644" i="1"/>
  <c r="Y643" i="1"/>
  <c r="U643" i="1"/>
  <c r="V643" i="1" s="1"/>
  <c r="Z643" i="1"/>
  <c r="W643" i="1"/>
  <c r="X643" i="1"/>
  <c r="AD642" i="1"/>
  <c r="AH642" i="1"/>
  <c r="AB642" i="1"/>
  <c r="AF642" i="1"/>
  <c r="AG642" i="1"/>
  <c r="AC642" i="1"/>
  <c r="AA643" i="1" l="1"/>
  <c r="AE643" i="1"/>
  <c r="T644" i="1"/>
  <c r="Y644" i="1"/>
  <c r="Z644" i="1"/>
  <c r="U644" i="1"/>
  <c r="V644" i="1" s="1"/>
  <c r="S645" i="1"/>
  <c r="W644" i="1"/>
  <c r="X644" i="1"/>
  <c r="AD643" i="1"/>
  <c r="AH643" i="1"/>
  <c r="AB643" i="1"/>
  <c r="AF643" i="1"/>
  <c r="AG643" i="1"/>
  <c r="AC643" i="1"/>
  <c r="AA644" i="1" l="1"/>
  <c r="AE644" i="1"/>
  <c r="AC644" i="1"/>
  <c r="AG644" i="1"/>
  <c r="T645" i="1"/>
  <c r="Z645" i="1"/>
  <c r="S646" i="1"/>
  <c r="Y645" i="1"/>
  <c r="W645" i="1"/>
  <c r="U645" i="1"/>
  <c r="V645" i="1" s="1"/>
  <c r="X645" i="1"/>
  <c r="AB644" i="1"/>
  <c r="AF644" i="1"/>
  <c r="AD644" i="1"/>
  <c r="AH644" i="1"/>
  <c r="AG645" i="1" l="1"/>
  <c r="AC645" i="1"/>
  <c r="AB645" i="1"/>
  <c r="AF645" i="1"/>
  <c r="T646" i="1"/>
  <c r="U646" i="1"/>
  <c r="V646" i="1" s="1"/>
  <c r="X646" i="1"/>
  <c r="S647" i="1"/>
  <c r="W646" i="1"/>
  <c r="Y646" i="1"/>
  <c r="Z646" i="1"/>
  <c r="AD645" i="1"/>
  <c r="AH645" i="1"/>
  <c r="AA645" i="1"/>
  <c r="AE645" i="1"/>
  <c r="T647" i="1" l="1"/>
  <c r="X647" i="1"/>
  <c r="S648" i="1"/>
  <c r="Y647" i="1"/>
  <c r="W647" i="1"/>
  <c r="U647" i="1"/>
  <c r="V647" i="1" s="1"/>
  <c r="Z647" i="1"/>
  <c r="AH646" i="1"/>
  <c r="AD646" i="1"/>
  <c r="AF646" i="1"/>
  <c r="AB646" i="1"/>
  <c r="AC646" i="1"/>
  <c r="AG646" i="1"/>
  <c r="AE646" i="1"/>
  <c r="AA646" i="1"/>
  <c r="AC647" i="1" l="1"/>
  <c r="AG647" i="1"/>
  <c r="AD647" i="1"/>
  <c r="AH647" i="1"/>
  <c r="T648" i="1"/>
  <c r="X648" i="1"/>
  <c r="S649" i="1"/>
  <c r="Y648" i="1"/>
  <c r="W648" i="1"/>
  <c r="U648" i="1"/>
  <c r="V648" i="1" s="1"/>
  <c r="Z648" i="1"/>
  <c r="AF647" i="1"/>
  <c r="AB647" i="1"/>
  <c r="AA647" i="1"/>
  <c r="AE647" i="1"/>
  <c r="AG648" i="1" l="1"/>
  <c r="AC648" i="1"/>
  <c r="AH648" i="1"/>
  <c r="AD648" i="1"/>
  <c r="T649" i="1"/>
  <c r="U649" i="1"/>
  <c r="V649" i="1" s="1"/>
  <c r="Z649" i="1"/>
  <c r="X649" i="1"/>
  <c r="W649" i="1"/>
  <c r="S650" i="1"/>
  <c r="Y649" i="1"/>
  <c r="AF648" i="1"/>
  <c r="AB648" i="1"/>
  <c r="AE648" i="1"/>
  <c r="AA648" i="1"/>
  <c r="AF649" i="1" l="1"/>
  <c r="AB649" i="1"/>
  <c r="AC649" i="1"/>
  <c r="AG649" i="1"/>
  <c r="AH649" i="1"/>
  <c r="AD649" i="1"/>
  <c r="T650" i="1"/>
  <c r="Y650" i="1"/>
  <c r="U650" i="1"/>
  <c r="V650" i="1" s="1"/>
  <c r="S651" i="1"/>
  <c r="W650" i="1"/>
  <c r="Z650" i="1"/>
  <c r="X650" i="1"/>
  <c r="AE649" i="1"/>
  <c r="AA649" i="1"/>
  <c r="AH650" i="1" l="1"/>
  <c r="AD650" i="1"/>
  <c r="AG650" i="1"/>
  <c r="AC650" i="1"/>
  <c r="AA650" i="1"/>
  <c r="AE650" i="1"/>
  <c r="T651" i="1"/>
  <c r="Z651" i="1"/>
  <c r="X651" i="1"/>
  <c r="Y651" i="1"/>
  <c r="W651" i="1"/>
  <c r="S652" i="1"/>
  <c r="U651" i="1"/>
  <c r="V651" i="1" s="1"/>
  <c r="AF650" i="1"/>
  <c r="AB650" i="1"/>
  <c r="T652" i="1" l="1"/>
  <c r="X652" i="1"/>
  <c r="S653" i="1"/>
  <c r="W652" i="1"/>
  <c r="Y652" i="1"/>
  <c r="Z652" i="1"/>
  <c r="U652" i="1"/>
  <c r="V652" i="1" s="1"/>
  <c r="AH651" i="1"/>
  <c r="AD651" i="1"/>
  <c r="AA651" i="1"/>
  <c r="AE651" i="1"/>
  <c r="AG651" i="1"/>
  <c r="AC651" i="1"/>
  <c r="AF651" i="1"/>
  <c r="AB651" i="1"/>
  <c r="AE652" i="1" l="1"/>
  <c r="AA652" i="1"/>
  <c r="T653" i="1"/>
  <c r="Z653" i="1"/>
  <c r="X653" i="1"/>
  <c r="W653" i="1"/>
  <c r="U653" i="1"/>
  <c r="V653" i="1" s="1"/>
  <c r="S654" i="1"/>
  <c r="Y653" i="1"/>
  <c r="AD652" i="1"/>
  <c r="AH652" i="1"/>
  <c r="AB652" i="1"/>
  <c r="AF652" i="1"/>
  <c r="AG652" i="1"/>
  <c r="AC652" i="1"/>
  <c r="T654" i="1" l="1"/>
  <c r="Y654" i="1"/>
  <c r="Z654" i="1"/>
  <c r="U654" i="1"/>
  <c r="V654" i="1" s="1"/>
  <c r="X654" i="1"/>
  <c r="S655" i="1"/>
  <c r="W654" i="1"/>
  <c r="AH653" i="1"/>
  <c r="AD653" i="1"/>
  <c r="AA653" i="1"/>
  <c r="AE653" i="1"/>
  <c r="AC653" i="1"/>
  <c r="AG653" i="1"/>
  <c r="AB653" i="1"/>
  <c r="AF653" i="1"/>
  <c r="AE654" i="1" l="1"/>
  <c r="AA654" i="1"/>
  <c r="AH654" i="1"/>
  <c r="AD654" i="1"/>
  <c r="T655" i="1"/>
  <c r="W655" i="1"/>
  <c r="U655" i="1"/>
  <c r="V655" i="1" s="1"/>
  <c r="Z655" i="1"/>
  <c r="X655" i="1"/>
  <c r="S656" i="1"/>
  <c r="Y655" i="1"/>
  <c r="AG654" i="1"/>
  <c r="AC654" i="1"/>
  <c r="AB654" i="1"/>
  <c r="AF654" i="1"/>
  <c r="AH655" i="1" l="1"/>
  <c r="AD655" i="1"/>
  <c r="AC655" i="1"/>
  <c r="AG655" i="1"/>
  <c r="T656" i="1"/>
  <c r="W656" i="1"/>
  <c r="Y656" i="1"/>
  <c r="U656" i="1"/>
  <c r="V656" i="1" s="1"/>
  <c r="X656" i="1"/>
  <c r="S657" i="1"/>
  <c r="Z656" i="1"/>
  <c r="AE655" i="1"/>
  <c r="AA655" i="1"/>
  <c r="AB655" i="1"/>
  <c r="AF655" i="1"/>
  <c r="AH656" i="1" l="1"/>
  <c r="AD656" i="1"/>
  <c r="AG656" i="1"/>
  <c r="AC656" i="1"/>
  <c r="T657" i="1"/>
  <c r="W657" i="1"/>
  <c r="U657" i="1"/>
  <c r="V657" i="1" s="1"/>
  <c r="Z657" i="1"/>
  <c r="X657" i="1"/>
  <c r="S658" i="1"/>
  <c r="Y657" i="1"/>
  <c r="AE656" i="1"/>
  <c r="AA656" i="1"/>
  <c r="AF656" i="1"/>
  <c r="AB656" i="1"/>
  <c r="AH657" i="1" l="1"/>
  <c r="AD657" i="1"/>
  <c r="AC657" i="1"/>
  <c r="AG657" i="1"/>
  <c r="T658" i="1"/>
  <c r="X658" i="1"/>
  <c r="S659" i="1"/>
  <c r="W658" i="1"/>
  <c r="Y658" i="1"/>
  <c r="Z658" i="1"/>
  <c r="U658" i="1"/>
  <c r="V658" i="1" s="1"/>
  <c r="AA657" i="1"/>
  <c r="AE657" i="1"/>
  <c r="AF657" i="1"/>
  <c r="AB657" i="1"/>
  <c r="AA658" i="1" l="1"/>
  <c r="AE658" i="1"/>
  <c r="T659" i="1"/>
  <c r="Y659" i="1"/>
  <c r="W659" i="1"/>
  <c r="U659" i="1"/>
  <c r="V659" i="1" s="1"/>
  <c r="Z659" i="1"/>
  <c r="X659" i="1"/>
  <c r="S660" i="1"/>
  <c r="AD658" i="1"/>
  <c r="AH658" i="1"/>
  <c r="AF658" i="1"/>
  <c r="AB658" i="1"/>
  <c r="AC658" i="1"/>
  <c r="AG658" i="1"/>
  <c r="AF659" i="1" l="1"/>
  <c r="AB659" i="1"/>
  <c r="AC659" i="1"/>
  <c r="AG659" i="1"/>
  <c r="AD659" i="1"/>
  <c r="AH659" i="1"/>
  <c r="T660" i="1"/>
  <c r="Y660" i="1"/>
  <c r="Z660" i="1"/>
  <c r="X660" i="1"/>
  <c r="W660" i="1"/>
  <c r="U660" i="1"/>
  <c r="V660" i="1" s="1"/>
  <c r="S661" i="1"/>
  <c r="AA659" i="1"/>
  <c r="AE659" i="1"/>
  <c r="AG660" i="1" l="1"/>
  <c r="AC660" i="1"/>
  <c r="AE660" i="1"/>
  <c r="AA660" i="1"/>
  <c r="AF660" i="1"/>
  <c r="AB660" i="1"/>
  <c r="T661" i="1"/>
  <c r="W661" i="1"/>
  <c r="U661" i="1"/>
  <c r="V661" i="1" s="1"/>
  <c r="Z661" i="1"/>
  <c r="X661" i="1"/>
  <c r="S662" i="1"/>
  <c r="Y661" i="1"/>
  <c r="AH660" i="1"/>
  <c r="AD660" i="1"/>
  <c r="T662" i="1" l="1"/>
  <c r="X662" i="1"/>
  <c r="W662" i="1"/>
  <c r="Y662" i="1"/>
  <c r="S663" i="1"/>
  <c r="U662" i="1"/>
  <c r="V662" i="1" s="1"/>
  <c r="Z662" i="1"/>
  <c r="AA661" i="1"/>
  <c r="AE661" i="1"/>
  <c r="AF661" i="1"/>
  <c r="AB661" i="1"/>
  <c r="AH661" i="1"/>
  <c r="AD661" i="1"/>
  <c r="AC661" i="1"/>
  <c r="AG661" i="1"/>
  <c r="AG662" i="1" l="1"/>
  <c r="AC662" i="1"/>
  <c r="AH662" i="1"/>
  <c r="AD662" i="1"/>
  <c r="AE662" i="1"/>
  <c r="AA662" i="1"/>
  <c r="AF662" i="1"/>
  <c r="AB662" i="1"/>
  <c r="T663" i="1"/>
  <c r="W663" i="1"/>
  <c r="U663" i="1"/>
  <c r="V663" i="1" s="1"/>
  <c r="X663" i="1"/>
  <c r="Z663" i="1"/>
  <c r="S664" i="1"/>
  <c r="Y663" i="1"/>
  <c r="AH663" i="1" l="1"/>
  <c r="AD663" i="1"/>
  <c r="AF663" i="1"/>
  <c r="AB663" i="1"/>
  <c r="AG663" i="1"/>
  <c r="AC663" i="1"/>
  <c r="T664" i="1"/>
  <c r="U664" i="1"/>
  <c r="V664" i="1" s="1"/>
  <c r="X664" i="1"/>
  <c r="S665" i="1"/>
  <c r="W664" i="1"/>
  <c r="Y664" i="1"/>
  <c r="Z664" i="1"/>
  <c r="AE663" i="1"/>
  <c r="AA663" i="1"/>
  <c r="AG664" i="1" l="1"/>
  <c r="AC664" i="1"/>
  <c r="AE664" i="1"/>
  <c r="AA664" i="1"/>
  <c r="T665" i="1"/>
  <c r="Z665" i="1"/>
  <c r="Y665" i="1"/>
  <c r="W665" i="1"/>
  <c r="U665" i="1"/>
  <c r="V665" i="1" s="1"/>
  <c r="X665" i="1"/>
  <c r="S666" i="1"/>
  <c r="AH664" i="1"/>
  <c r="AD664" i="1"/>
  <c r="AF664" i="1"/>
  <c r="AB664" i="1"/>
  <c r="AA665" i="1" l="1"/>
  <c r="AE665" i="1"/>
  <c r="T666" i="1"/>
  <c r="X666" i="1"/>
  <c r="S667" i="1"/>
  <c r="W666" i="1"/>
  <c r="U666" i="1"/>
  <c r="V666" i="1" s="1"/>
  <c r="Y666" i="1"/>
  <c r="Z666" i="1"/>
  <c r="AC665" i="1"/>
  <c r="AG665" i="1"/>
  <c r="AF665" i="1"/>
  <c r="AB665" i="1"/>
  <c r="AH665" i="1"/>
  <c r="AD665" i="1"/>
  <c r="AC666" i="1" l="1"/>
  <c r="AG666" i="1"/>
  <c r="AF666" i="1"/>
  <c r="AB666" i="1"/>
  <c r="AA666" i="1"/>
  <c r="AE666" i="1"/>
  <c r="AH666" i="1"/>
  <c r="AD666" i="1"/>
  <c r="T667" i="1"/>
  <c r="W667" i="1"/>
  <c r="Z667" i="1"/>
  <c r="X667" i="1"/>
  <c r="S668" i="1"/>
  <c r="Y667" i="1"/>
  <c r="U667" i="1"/>
  <c r="V667" i="1" s="1"/>
  <c r="AA667" i="1" l="1"/>
  <c r="AE667" i="1"/>
  <c r="AB667" i="1"/>
  <c r="AF667" i="1"/>
  <c r="AD667" i="1"/>
  <c r="AH667" i="1"/>
  <c r="AG667" i="1"/>
  <c r="AC667" i="1"/>
  <c r="T668" i="1"/>
  <c r="U668" i="1"/>
  <c r="V668" i="1" s="1"/>
  <c r="X668" i="1"/>
  <c r="S669" i="1"/>
  <c r="W668" i="1"/>
  <c r="Y668" i="1"/>
  <c r="Z668" i="1"/>
  <c r="T669" i="1" l="1"/>
  <c r="W669" i="1"/>
  <c r="U669" i="1"/>
  <c r="V669" i="1" s="1"/>
  <c r="Z669" i="1"/>
  <c r="X669" i="1"/>
  <c r="S670" i="1"/>
  <c r="Y669" i="1"/>
  <c r="AF668" i="1"/>
  <c r="AB668" i="1"/>
  <c r="AD668" i="1"/>
  <c r="AH668" i="1"/>
  <c r="AG668" i="1"/>
  <c r="AC668" i="1"/>
  <c r="AE668" i="1"/>
  <c r="AA668" i="1"/>
  <c r="AH669" i="1" l="1"/>
  <c r="AD669" i="1"/>
  <c r="AG669" i="1"/>
  <c r="AC669" i="1"/>
  <c r="T670" i="1"/>
  <c r="Y670" i="1"/>
  <c r="Z670" i="1"/>
  <c r="S671" i="1"/>
  <c r="U670" i="1"/>
  <c r="V670" i="1" s="1"/>
  <c r="X670" i="1"/>
  <c r="W670" i="1"/>
  <c r="AA669" i="1"/>
  <c r="AE669" i="1"/>
  <c r="AF669" i="1"/>
  <c r="AB669" i="1"/>
  <c r="T671" i="1" l="1"/>
  <c r="Z671" i="1"/>
  <c r="X671" i="1"/>
  <c r="S672" i="1"/>
  <c r="Y671" i="1"/>
  <c r="W671" i="1"/>
  <c r="U671" i="1"/>
  <c r="V671" i="1" s="1"/>
  <c r="AE670" i="1"/>
  <c r="AA670" i="1"/>
  <c r="AD670" i="1"/>
  <c r="AH670" i="1"/>
  <c r="AF670" i="1"/>
  <c r="AB670" i="1"/>
  <c r="AC670" i="1"/>
  <c r="AG670" i="1"/>
  <c r="T672" i="1" l="1"/>
  <c r="Y672" i="1"/>
  <c r="Z672" i="1"/>
  <c r="X672" i="1"/>
  <c r="U672" i="1"/>
  <c r="V672" i="1" s="1"/>
  <c r="S673" i="1"/>
  <c r="W672" i="1"/>
  <c r="AB671" i="1"/>
  <c r="AF671" i="1"/>
  <c r="AA671" i="1"/>
  <c r="AE671" i="1"/>
  <c r="AD671" i="1"/>
  <c r="AH671" i="1"/>
  <c r="AC671" i="1"/>
  <c r="AG671" i="1"/>
  <c r="AB672" i="1" l="1"/>
  <c r="AF672" i="1"/>
  <c r="AA672" i="1"/>
  <c r="AE672" i="1"/>
  <c r="AH672" i="1"/>
  <c r="AD672" i="1"/>
  <c r="T673" i="1"/>
  <c r="Z673" i="1"/>
  <c r="X673" i="1"/>
  <c r="S674" i="1"/>
  <c r="Y673" i="1"/>
  <c r="W673" i="1"/>
  <c r="U673" i="1"/>
  <c r="V673" i="1" s="1"/>
  <c r="AG672" i="1"/>
  <c r="AC672" i="1"/>
  <c r="AE673" i="1" l="1"/>
  <c r="AA673" i="1"/>
  <c r="AH673" i="1"/>
  <c r="AD673" i="1"/>
  <c r="AC673" i="1"/>
  <c r="AG673" i="1"/>
  <c r="T674" i="1"/>
  <c r="X674" i="1"/>
  <c r="S675" i="1"/>
  <c r="W674" i="1"/>
  <c r="Y674" i="1"/>
  <c r="Z674" i="1"/>
  <c r="U674" i="1"/>
  <c r="V674" i="1" s="1"/>
  <c r="AF673" i="1"/>
  <c r="AB673" i="1"/>
  <c r="AA674" i="1" l="1"/>
  <c r="AE674" i="1"/>
  <c r="T675" i="1"/>
  <c r="Z675" i="1"/>
  <c r="X675" i="1"/>
  <c r="W675" i="1"/>
  <c r="U675" i="1"/>
  <c r="V675" i="1" s="1"/>
  <c r="S676" i="1"/>
  <c r="Y675" i="1"/>
  <c r="AH674" i="1"/>
  <c r="AD674" i="1"/>
  <c r="AB674" i="1"/>
  <c r="AF674" i="1"/>
  <c r="AC674" i="1"/>
  <c r="AG674" i="1"/>
  <c r="T676" i="1" l="1"/>
  <c r="W676" i="1"/>
  <c r="U676" i="1"/>
  <c r="V676" i="1" s="1"/>
  <c r="X676" i="1"/>
  <c r="S677" i="1"/>
  <c r="Y676" i="1"/>
  <c r="Z676" i="1"/>
  <c r="AH675" i="1"/>
  <c r="AD675" i="1"/>
  <c r="AE675" i="1"/>
  <c r="AA675" i="1"/>
  <c r="AG675" i="1"/>
  <c r="AC675" i="1"/>
  <c r="AB675" i="1"/>
  <c r="AF675" i="1"/>
  <c r="AF676" i="1" l="1"/>
  <c r="AB676" i="1"/>
  <c r="AH676" i="1"/>
  <c r="AD676" i="1"/>
  <c r="AC676" i="1"/>
  <c r="AG676" i="1"/>
  <c r="AA676" i="1"/>
  <c r="AE676" i="1"/>
  <c r="T677" i="1"/>
  <c r="X677" i="1"/>
  <c r="S678" i="1"/>
  <c r="W677" i="1"/>
  <c r="U677" i="1"/>
  <c r="V677" i="1" s="1"/>
  <c r="Z677" i="1"/>
  <c r="Y677" i="1"/>
  <c r="AA677" i="1" l="1"/>
  <c r="AE677" i="1"/>
  <c r="AC677" i="1"/>
  <c r="AG677" i="1"/>
  <c r="T678" i="1"/>
  <c r="X678" i="1"/>
  <c r="S679" i="1"/>
  <c r="Z678" i="1"/>
  <c r="U678" i="1"/>
  <c r="V678" i="1" s="1"/>
  <c r="W678" i="1"/>
  <c r="Y678" i="1"/>
  <c r="AH677" i="1"/>
  <c r="AD677" i="1"/>
  <c r="AF677" i="1"/>
  <c r="AB677" i="1"/>
  <c r="AH678" i="1" l="1"/>
  <c r="AD678" i="1"/>
  <c r="AG678" i="1"/>
  <c r="AC678" i="1"/>
  <c r="T679" i="1"/>
  <c r="S680" i="1"/>
  <c r="W679" i="1"/>
  <c r="U679" i="1"/>
  <c r="V679" i="1" s="1"/>
  <c r="Z679" i="1"/>
  <c r="X679" i="1"/>
  <c r="Y679" i="1"/>
  <c r="AE678" i="1"/>
  <c r="AA678" i="1"/>
  <c r="AB678" i="1"/>
  <c r="AF678" i="1"/>
  <c r="AC679" i="1" l="1"/>
  <c r="AG679" i="1"/>
  <c r="AA679" i="1"/>
  <c r="AE679" i="1"/>
  <c r="AF679" i="1"/>
  <c r="AB679" i="1"/>
  <c r="T680" i="1"/>
  <c r="X680" i="1"/>
  <c r="W680" i="1"/>
  <c r="Z680" i="1"/>
  <c r="Y680" i="1"/>
  <c r="U680" i="1"/>
  <c r="V680" i="1" s="1"/>
  <c r="S681" i="1"/>
  <c r="AD679" i="1"/>
  <c r="AH679" i="1"/>
  <c r="AF680" i="1" l="1"/>
  <c r="AB680" i="1"/>
  <c r="AC680" i="1"/>
  <c r="AG680" i="1"/>
  <c r="AD680" i="1"/>
  <c r="AH680" i="1"/>
  <c r="T681" i="1"/>
  <c r="Y681" i="1"/>
  <c r="W681" i="1"/>
  <c r="U681" i="1"/>
  <c r="V681" i="1" s="1"/>
  <c r="Z681" i="1"/>
  <c r="X681" i="1"/>
  <c r="S682" i="1"/>
  <c r="AA680" i="1"/>
  <c r="AE680" i="1"/>
  <c r="AF681" i="1" l="1"/>
  <c r="AB681" i="1"/>
  <c r="AG681" i="1"/>
  <c r="AC681" i="1"/>
  <c r="AH681" i="1"/>
  <c r="AD681" i="1"/>
  <c r="T682" i="1"/>
  <c r="U682" i="1"/>
  <c r="V682" i="1" s="1"/>
  <c r="X682" i="1"/>
  <c r="Z682" i="1"/>
  <c r="Y682" i="1"/>
  <c r="S683" i="1"/>
  <c r="W682" i="1"/>
  <c r="AE681" i="1"/>
  <c r="AA681" i="1"/>
  <c r="T683" i="1" l="1"/>
  <c r="W683" i="1"/>
  <c r="U683" i="1"/>
  <c r="V683" i="1" s="1"/>
  <c r="Z683" i="1"/>
  <c r="X683" i="1"/>
  <c r="S684" i="1"/>
  <c r="Y683" i="1"/>
  <c r="AG682" i="1"/>
  <c r="AC682" i="1"/>
  <c r="AH682" i="1"/>
  <c r="AD682" i="1"/>
  <c r="AE682" i="1"/>
  <c r="AA682" i="1"/>
  <c r="AF682" i="1"/>
  <c r="AB682" i="1"/>
  <c r="AH683" i="1" l="1"/>
  <c r="AD683" i="1"/>
  <c r="AC683" i="1"/>
  <c r="AG683" i="1"/>
  <c r="T684" i="1"/>
  <c r="X684" i="1"/>
  <c r="S685" i="1"/>
  <c r="W684" i="1"/>
  <c r="Z684" i="1"/>
  <c r="U684" i="1"/>
  <c r="V684" i="1" s="1"/>
  <c r="Y684" i="1"/>
  <c r="AA683" i="1"/>
  <c r="AE683" i="1"/>
  <c r="AF683" i="1"/>
  <c r="AB683" i="1"/>
  <c r="AA684" i="1" l="1"/>
  <c r="AE684" i="1"/>
  <c r="AG684" i="1"/>
  <c r="AC684" i="1"/>
  <c r="T685" i="1"/>
  <c r="Z685" i="1"/>
  <c r="X685" i="1"/>
  <c r="S686" i="1"/>
  <c r="Y685" i="1"/>
  <c r="W685" i="1"/>
  <c r="U685" i="1"/>
  <c r="V685" i="1" s="1"/>
  <c r="AF684" i="1"/>
  <c r="AB684" i="1"/>
  <c r="AD684" i="1"/>
  <c r="AH684" i="1"/>
  <c r="T686" i="1" l="1"/>
  <c r="X686" i="1"/>
  <c r="S687" i="1"/>
  <c r="W686" i="1"/>
  <c r="Y686" i="1"/>
  <c r="Z686" i="1"/>
  <c r="U686" i="1"/>
  <c r="V686" i="1" s="1"/>
  <c r="AF685" i="1"/>
  <c r="AB685" i="1"/>
  <c r="AA685" i="1"/>
  <c r="AE685" i="1"/>
  <c r="AH685" i="1"/>
  <c r="AD685" i="1"/>
  <c r="AC685" i="1"/>
  <c r="AG685" i="1"/>
  <c r="AA686" i="1" l="1"/>
  <c r="AE686" i="1"/>
  <c r="T687" i="1"/>
  <c r="Y687" i="1"/>
  <c r="W687" i="1"/>
  <c r="U687" i="1"/>
  <c r="V687" i="1" s="1"/>
  <c r="X687" i="1"/>
  <c r="S688" i="1"/>
  <c r="Z687" i="1"/>
  <c r="AD686" i="1"/>
  <c r="AH686" i="1"/>
  <c r="AF686" i="1"/>
  <c r="AB686" i="1"/>
  <c r="AC686" i="1"/>
  <c r="AG686" i="1"/>
  <c r="T688" i="1" l="1"/>
  <c r="Y688" i="1"/>
  <c r="Z688" i="1"/>
  <c r="U688" i="1"/>
  <c r="V688" i="1" s="1"/>
  <c r="X688" i="1"/>
  <c r="S689" i="1"/>
  <c r="W688" i="1"/>
  <c r="AG687" i="1"/>
  <c r="AC687" i="1"/>
  <c r="AB687" i="1"/>
  <c r="AF687" i="1"/>
  <c r="AD687" i="1"/>
  <c r="AH687" i="1"/>
  <c r="AA687" i="1"/>
  <c r="AE687" i="1"/>
  <c r="AA688" i="1" l="1"/>
  <c r="AE688" i="1"/>
  <c r="AH688" i="1"/>
  <c r="AD688" i="1"/>
  <c r="T689" i="1"/>
  <c r="Z689" i="1"/>
  <c r="X689" i="1"/>
  <c r="S690" i="1"/>
  <c r="Y689" i="1"/>
  <c r="W689" i="1"/>
  <c r="U689" i="1"/>
  <c r="V689" i="1" s="1"/>
  <c r="AG688" i="1"/>
  <c r="AC688" i="1"/>
  <c r="AB688" i="1"/>
  <c r="AF688" i="1"/>
  <c r="T690" i="1" l="1"/>
  <c r="Y690" i="1"/>
  <c r="Z690" i="1"/>
  <c r="U690" i="1"/>
  <c r="V690" i="1" s="1"/>
  <c r="X690" i="1"/>
  <c r="S691" i="1"/>
  <c r="W690" i="1"/>
  <c r="AF689" i="1"/>
  <c r="AB689" i="1"/>
  <c r="AA689" i="1"/>
  <c r="AE689" i="1"/>
  <c r="AH689" i="1"/>
  <c r="AD689" i="1"/>
  <c r="AG689" i="1"/>
  <c r="AC689" i="1"/>
  <c r="AA690" i="1" l="1"/>
  <c r="AE690" i="1"/>
  <c r="AH690" i="1"/>
  <c r="AD690" i="1"/>
  <c r="T691" i="1"/>
  <c r="Z691" i="1"/>
  <c r="X691" i="1"/>
  <c r="S692" i="1"/>
  <c r="Y691" i="1"/>
  <c r="W691" i="1"/>
  <c r="U691" i="1"/>
  <c r="V691" i="1" s="1"/>
  <c r="AG690" i="1"/>
  <c r="AC690" i="1"/>
  <c r="AB690" i="1"/>
  <c r="AF690" i="1"/>
  <c r="T692" i="1" l="1"/>
  <c r="Y692" i="1"/>
  <c r="Z692" i="1"/>
  <c r="U692" i="1"/>
  <c r="V692" i="1" s="1"/>
  <c r="X692" i="1"/>
  <c r="S693" i="1"/>
  <c r="W692" i="1"/>
  <c r="AB691" i="1"/>
  <c r="AF691" i="1"/>
  <c r="AE691" i="1"/>
  <c r="AA691" i="1"/>
  <c r="AD691" i="1"/>
  <c r="AH691" i="1"/>
  <c r="AC691" i="1"/>
  <c r="AG691" i="1"/>
  <c r="AA692" i="1" l="1"/>
  <c r="AE692" i="1"/>
  <c r="AH692" i="1"/>
  <c r="AD692" i="1"/>
  <c r="T693" i="1"/>
  <c r="Z693" i="1"/>
  <c r="X693" i="1"/>
  <c r="S694" i="1"/>
  <c r="Y693" i="1"/>
  <c r="W693" i="1"/>
  <c r="U693" i="1"/>
  <c r="V693" i="1" s="1"/>
  <c r="AG692" i="1"/>
  <c r="AC692" i="1"/>
  <c r="AB692" i="1"/>
  <c r="AF692" i="1"/>
  <c r="T694" i="1" l="1"/>
  <c r="Z694" i="1"/>
  <c r="U694" i="1"/>
  <c r="V694" i="1" s="1"/>
  <c r="S695" i="1"/>
  <c r="W694" i="1"/>
  <c r="Y694" i="1"/>
  <c r="X694" i="1"/>
  <c r="AF693" i="1"/>
  <c r="AB693" i="1"/>
  <c r="AA693" i="1"/>
  <c r="AE693" i="1"/>
  <c r="AH693" i="1"/>
  <c r="AD693" i="1"/>
  <c r="AC693" i="1"/>
  <c r="AG693" i="1"/>
  <c r="T695" i="1" l="1"/>
  <c r="Z695" i="1"/>
  <c r="X695" i="1"/>
  <c r="S696" i="1"/>
  <c r="Y695" i="1"/>
  <c r="W695" i="1"/>
  <c r="U695" i="1"/>
  <c r="V695" i="1" s="1"/>
  <c r="AB694" i="1"/>
  <c r="AF694" i="1"/>
  <c r="AG694" i="1"/>
  <c r="AC694" i="1"/>
  <c r="AH694" i="1"/>
  <c r="AD694" i="1"/>
  <c r="AA694" i="1"/>
  <c r="AE694" i="1"/>
  <c r="AB695" i="1" l="1"/>
  <c r="AF695" i="1"/>
  <c r="T696" i="1"/>
  <c r="Y696" i="1"/>
  <c r="Z696" i="1"/>
  <c r="W696" i="1"/>
  <c r="U696" i="1"/>
  <c r="V696" i="1" s="1"/>
  <c r="X696" i="1"/>
  <c r="S697" i="1"/>
  <c r="AA695" i="1"/>
  <c r="AE695" i="1"/>
  <c r="AD695" i="1"/>
  <c r="AH695" i="1"/>
  <c r="AG695" i="1"/>
  <c r="AC695" i="1"/>
  <c r="AB696" i="1" l="1"/>
  <c r="AF696" i="1"/>
  <c r="AG696" i="1"/>
  <c r="AC696" i="1"/>
  <c r="AA696" i="1"/>
  <c r="AE696" i="1"/>
  <c r="T697" i="1"/>
  <c r="Z697" i="1"/>
  <c r="X697" i="1"/>
  <c r="W697" i="1"/>
  <c r="U697" i="1"/>
  <c r="V697" i="1" s="1"/>
  <c r="S698" i="1"/>
  <c r="Y697" i="1"/>
  <c r="AH696" i="1"/>
  <c r="AD696" i="1"/>
  <c r="T698" i="1" l="1"/>
  <c r="S699" i="1"/>
  <c r="W698" i="1"/>
  <c r="Y698" i="1"/>
  <c r="Z698" i="1"/>
  <c r="U698" i="1"/>
  <c r="V698" i="1" s="1"/>
  <c r="X698" i="1"/>
  <c r="AH697" i="1"/>
  <c r="AD697" i="1"/>
  <c r="AE697" i="1"/>
  <c r="AA697" i="1"/>
  <c r="AG697" i="1"/>
  <c r="AC697" i="1"/>
  <c r="AB697" i="1"/>
  <c r="AF697" i="1"/>
  <c r="AC698" i="1" l="1"/>
  <c r="AG698" i="1"/>
  <c r="AB698" i="1"/>
  <c r="AF698" i="1"/>
  <c r="AE698" i="1"/>
  <c r="AA698" i="1"/>
  <c r="T699" i="1"/>
  <c r="Y699" i="1"/>
  <c r="S700" i="1"/>
  <c r="W699" i="1"/>
  <c r="U699" i="1"/>
  <c r="V699" i="1" s="1"/>
  <c r="Z699" i="1"/>
  <c r="X699" i="1"/>
  <c r="AD698" i="1"/>
  <c r="AH698" i="1"/>
  <c r="T700" i="1" l="1"/>
  <c r="U700" i="1"/>
  <c r="V700" i="1" s="1"/>
  <c r="X700" i="1"/>
  <c r="S701" i="1"/>
  <c r="W700" i="1"/>
  <c r="Y700" i="1"/>
  <c r="Z700" i="1"/>
  <c r="AH699" i="1"/>
  <c r="AD699" i="1"/>
  <c r="AG699" i="1"/>
  <c r="AC699" i="1"/>
  <c r="AE699" i="1"/>
  <c r="AA699" i="1"/>
  <c r="AB699" i="1"/>
  <c r="AF699" i="1"/>
  <c r="T701" i="1" l="1"/>
  <c r="S702" i="1"/>
  <c r="Y701" i="1"/>
  <c r="W701" i="1"/>
  <c r="U701" i="1"/>
  <c r="V701" i="1" s="1"/>
  <c r="Z701" i="1"/>
  <c r="X701" i="1"/>
  <c r="AH700" i="1"/>
  <c r="AD700" i="1"/>
  <c r="AF700" i="1"/>
  <c r="AB700" i="1"/>
  <c r="AG700" i="1"/>
  <c r="AC700" i="1"/>
  <c r="AE700" i="1"/>
  <c r="AA700" i="1"/>
  <c r="AA701" i="1" l="1"/>
  <c r="AE701" i="1"/>
  <c r="AF701" i="1"/>
  <c r="AB701" i="1"/>
  <c r="AC701" i="1"/>
  <c r="AG701" i="1"/>
  <c r="AH701" i="1"/>
  <c r="AD701" i="1"/>
  <c r="T702" i="1"/>
  <c r="X702" i="1"/>
  <c r="S703" i="1"/>
  <c r="W702" i="1"/>
  <c r="Y702" i="1"/>
  <c r="Z702" i="1"/>
  <c r="U702" i="1"/>
  <c r="V702" i="1" s="1"/>
  <c r="AD702" i="1" l="1"/>
  <c r="AH702" i="1"/>
  <c r="AE702" i="1"/>
  <c r="AA702" i="1"/>
  <c r="T703" i="1"/>
  <c r="Y703" i="1"/>
  <c r="W703" i="1"/>
  <c r="U703" i="1"/>
  <c r="V703" i="1" s="1"/>
  <c r="Z703" i="1"/>
  <c r="S704" i="1"/>
  <c r="X703" i="1"/>
  <c r="AB702" i="1"/>
  <c r="AF702" i="1"/>
  <c r="AC702" i="1"/>
  <c r="AG702" i="1"/>
  <c r="AB703" i="1" l="1"/>
  <c r="AF703" i="1"/>
  <c r="AE703" i="1"/>
  <c r="AA703" i="1"/>
  <c r="T704" i="1"/>
  <c r="Y704" i="1"/>
  <c r="U704" i="1"/>
  <c r="V704" i="1" s="1"/>
  <c r="X704" i="1"/>
  <c r="S705" i="1"/>
  <c r="W704" i="1"/>
  <c r="Z704" i="1"/>
  <c r="AG703" i="1"/>
  <c r="AC703" i="1"/>
  <c r="AH703" i="1"/>
  <c r="AD703" i="1"/>
  <c r="AB704" i="1" l="1"/>
  <c r="AF704" i="1"/>
  <c r="AH704" i="1"/>
  <c r="AD704" i="1"/>
  <c r="AA704" i="1"/>
  <c r="AE704" i="1"/>
  <c r="AG704" i="1"/>
  <c r="AC704" i="1"/>
  <c r="T705" i="1"/>
  <c r="Z705" i="1"/>
  <c r="X705" i="1"/>
  <c r="S706" i="1"/>
  <c r="Y705" i="1"/>
  <c r="W705" i="1"/>
  <c r="U705" i="1"/>
  <c r="V705" i="1" s="1"/>
  <c r="T706" i="1" l="1"/>
  <c r="X706" i="1"/>
  <c r="S707" i="1"/>
  <c r="W706" i="1"/>
  <c r="Y706" i="1"/>
  <c r="Z706" i="1"/>
  <c r="U706" i="1"/>
  <c r="V706" i="1" s="1"/>
  <c r="AB705" i="1"/>
  <c r="AF705" i="1"/>
  <c r="AA705" i="1"/>
  <c r="AE705" i="1"/>
  <c r="AD705" i="1"/>
  <c r="AH705" i="1"/>
  <c r="AC705" i="1"/>
  <c r="AG705" i="1"/>
  <c r="AA706" i="1" l="1"/>
  <c r="AE706" i="1"/>
  <c r="T707" i="1"/>
  <c r="Z707" i="1"/>
  <c r="X707" i="1"/>
  <c r="W707" i="1"/>
  <c r="U707" i="1"/>
  <c r="V707" i="1" s="1"/>
  <c r="S708" i="1"/>
  <c r="Y707" i="1"/>
  <c r="AD706" i="1"/>
  <c r="AH706" i="1"/>
  <c r="AF706" i="1"/>
  <c r="AB706" i="1"/>
  <c r="AG706" i="1"/>
  <c r="AC706" i="1"/>
  <c r="T708" i="1" l="1"/>
  <c r="Y708" i="1"/>
  <c r="S709" i="1"/>
  <c r="Z708" i="1"/>
  <c r="U708" i="1"/>
  <c r="V708" i="1" s="1"/>
  <c r="X708" i="1"/>
  <c r="W708" i="1"/>
  <c r="AH707" i="1"/>
  <c r="AD707" i="1"/>
  <c r="AE707" i="1"/>
  <c r="AA707" i="1"/>
  <c r="AG707" i="1"/>
  <c r="AC707" i="1"/>
  <c r="AF707" i="1"/>
  <c r="AB707" i="1"/>
  <c r="AD708" i="1" l="1"/>
  <c r="AH708" i="1"/>
  <c r="AE708" i="1"/>
  <c r="AA708" i="1"/>
  <c r="T709" i="1"/>
  <c r="Y709" i="1"/>
  <c r="W709" i="1"/>
  <c r="U709" i="1"/>
  <c r="V709" i="1" s="1"/>
  <c r="Z709" i="1"/>
  <c r="X709" i="1"/>
  <c r="S710" i="1"/>
  <c r="AB708" i="1"/>
  <c r="AF708" i="1"/>
  <c r="AC708" i="1"/>
  <c r="AG708" i="1"/>
  <c r="AA709" i="1" l="1"/>
  <c r="AE709" i="1"/>
  <c r="T710" i="1"/>
  <c r="Y710" i="1"/>
  <c r="Z710" i="1"/>
  <c r="U710" i="1"/>
  <c r="V710" i="1" s="1"/>
  <c r="S711" i="1"/>
  <c r="W710" i="1"/>
  <c r="X710" i="1"/>
  <c r="AF709" i="1"/>
  <c r="AB709" i="1"/>
  <c r="AG709" i="1"/>
  <c r="AC709" i="1"/>
  <c r="AH709" i="1"/>
  <c r="AD709" i="1"/>
  <c r="AA710" i="1" l="1"/>
  <c r="AE710" i="1"/>
  <c r="AC710" i="1"/>
  <c r="AG710" i="1"/>
  <c r="T711" i="1"/>
  <c r="Z711" i="1"/>
  <c r="X711" i="1"/>
  <c r="Y711" i="1"/>
  <c r="U711" i="1"/>
  <c r="V711" i="1" s="1"/>
  <c r="S712" i="1"/>
  <c r="W711" i="1"/>
  <c r="AB710" i="1"/>
  <c r="AF710" i="1"/>
  <c r="AD710" i="1"/>
  <c r="AH710" i="1"/>
  <c r="AC711" i="1" l="1"/>
  <c r="AG711" i="1"/>
  <c r="AA711" i="1"/>
  <c r="AE711" i="1"/>
  <c r="AF711" i="1"/>
  <c r="AB711" i="1"/>
  <c r="T712" i="1"/>
  <c r="Y712" i="1"/>
  <c r="Z712" i="1"/>
  <c r="X712" i="1"/>
  <c r="S713" i="1"/>
  <c r="W712" i="1"/>
  <c r="U712" i="1"/>
  <c r="V712" i="1" s="1"/>
  <c r="AD711" i="1"/>
  <c r="AH711" i="1"/>
  <c r="AE712" i="1" l="1"/>
  <c r="AA712" i="1"/>
  <c r="AC712" i="1"/>
  <c r="AG712" i="1"/>
  <c r="T713" i="1"/>
  <c r="Z713" i="1"/>
  <c r="S714" i="1"/>
  <c r="Y713" i="1"/>
  <c r="X713" i="1"/>
  <c r="W713" i="1"/>
  <c r="U713" i="1"/>
  <c r="V713" i="1" s="1"/>
  <c r="AB712" i="1"/>
  <c r="AF712" i="1"/>
  <c r="AH712" i="1"/>
  <c r="AD712" i="1"/>
  <c r="AG713" i="1" l="1"/>
  <c r="AC713" i="1"/>
  <c r="T714" i="1"/>
  <c r="X714" i="1"/>
  <c r="W714" i="1"/>
  <c r="Y714" i="1"/>
  <c r="Z714" i="1"/>
  <c r="U714" i="1"/>
  <c r="V714" i="1" s="1"/>
  <c r="S715" i="1"/>
  <c r="AE713" i="1"/>
  <c r="AA713" i="1"/>
  <c r="AH713" i="1"/>
  <c r="AD713" i="1"/>
  <c r="AB713" i="1"/>
  <c r="AF713" i="1"/>
  <c r="T715" i="1" l="1"/>
  <c r="W715" i="1"/>
  <c r="U715" i="1"/>
  <c r="V715" i="1" s="1"/>
  <c r="Z715" i="1"/>
  <c r="X715" i="1"/>
  <c r="S716" i="1"/>
  <c r="Y715" i="1"/>
  <c r="AB714" i="1"/>
  <c r="AF714" i="1"/>
  <c r="AD714" i="1"/>
  <c r="AH714" i="1"/>
  <c r="AG714" i="1"/>
  <c r="AC714" i="1"/>
  <c r="AE714" i="1"/>
  <c r="AA714" i="1"/>
  <c r="AH715" i="1" l="1"/>
  <c r="AD715" i="1"/>
  <c r="AG715" i="1"/>
  <c r="AC715" i="1"/>
  <c r="T716" i="1"/>
  <c r="Y716" i="1"/>
  <c r="Z716" i="1"/>
  <c r="S717" i="1"/>
  <c r="W716" i="1"/>
  <c r="U716" i="1"/>
  <c r="V716" i="1" s="1"/>
  <c r="X716" i="1"/>
  <c r="AA715" i="1"/>
  <c r="AE715" i="1"/>
  <c r="AF715" i="1"/>
  <c r="AB715" i="1"/>
  <c r="T717" i="1" l="1"/>
  <c r="Y717" i="1"/>
  <c r="W717" i="1"/>
  <c r="U717" i="1"/>
  <c r="V717" i="1" s="1"/>
  <c r="Z717" i="1"/>
  <c r="X717" i="1"/>
  <c r="S718" i="1"/>
  <c r="AF716" i="1"/>
  <c r="AB716" i="1"/>
  <c r="AD716" i="1"/>
  <c r="AH716" i="1"/>
  <c r="AC716" i="1"/>
  <c r="AG716" i="1"/>
  <c r="AA716" i="1"/>
  <c r="AE716" i="1"/>
  <c r="T718" i="1" l="1"/>
  <c r="Y718" i="1"/>
  <c r="Z718" i="1"/>
  <c r="U718" i="1"/>
  <c r="V718" i="1" s="1"/>
  <c r="S719" i="1"/>
  <c r="W718" i="1"/>
  <c r="X718" i="1"/>
  <c r="AA717" i="1"/>
  <c r="AE717" i="1"/>
  <c r="AB717" i="1"/>
  <c r="AF717" i="1"/>
  <c r="AC717" i="1"/>
  <c r="AG717" i="1"/>
  <c r="AD717" i="1"/>
  <c r="AH717" i="1"/>
  <c r="AB718" i="1" l="1"/>
  <c r="AF718" i="1"/>
  <c r="AH718" i="1"/>
  <c r="AD718" i="1"/>
  <c r="AE718" i="1"/>
  <c r="AA718" i="1"/>
  <c r="AG718" i="1"/>
  <c r="AC718" i="1"/>
  <c r="T719" i="1"/>
  <c r="S720" i="1"/>
  <c r="Y719" i="1"/>
  <c r="W719" i="1"/>
  <c r="U719" i="1"/>
  <c r="V719" i="1" s="1"/>
  <c r="Z719" i="1"/>
  <c r="X719" i="1"/>
  <c r="AH719" i="1" l="1"/>
  <c r="AD719" i="1"/>
  <c r="AA719" i="1"/>
  <c r="AE719" i="1"/>
  <c r="AB719" i="1"/>
  <c r="AF719" i="1"/>
  <c r="AC719" i="1"/>
  <c r="AG719" i="1"/>
  <c r="T720" i="1"/>
  <c r="X720" i="1"/>
  <c r="U720" i="1"/>
  <c r="V720" i="1" s="1"/>
  <c r="S721" i="1"/>
  <c r="W720" i="1"/>
  <c r="Y720" i="1"/>
  <c r="Z720" i="1"/>
  <c r="T721" i="1" l="1"/>
  <c r="W721" i="1"/>
  <c r="U721" i="1"/>
  <c r="V721" i="1" s="1"/>
  <c r="Z721" i="1"/>
  <c r="X721" i="1"/>
  <c r="S722" i="1"/>
  <c r="Y721" i="1"/>
  <c r="AC720" i="1"/>
  <c r="AG720" i="1"/>
  <c r="AF720" i="1"/>
  <c r="AB720" i="1"/>
  <c r="AH720" i="1"/>
  <c r="AD720" i="1"/>
  <c r="AE720" i="1"/>
  <c r="AA720" i="1"/>
  <c r="AD721" i="1" l="1"/>
  <c r="AH721" i="1"/>
  <c r="AC721" i="1"/>
  <c r="AG721" i="1"/>
  <c r="T722" i="1"/>
  <c r="X722" i="1"/>
  <c r="W722" i="1"/>
  <c r="Z722" i="1"/>
  <c r="U722" i="1"/>
  <c r="V722" i="1" s="1"/>
  <c r="S723" i="1"/>
  <c r="Y722" i="1"/>
  <c r="AA721" i="1"/>
  <c r="AE721" i="1"/>
  <c r="AB721" i="1"/>
  <c r="AF721" i="1"/>
  <c r="AH722" i="1" l="1"/>
  <c r="AD722" i="1"/>
  <c r="AG722" i="1"/>
  <c r="AC722" i="1"/>
  <c r="AE722" i="1"/>
  <c r="AA722" i="1"/>
  <c r="T723" i="1"/>
  <c r="S724" i="1"/>
  <c r="Y723" i="1"/>
  <c r="W723" i="1"/>
  <c r="U723" i="1"/>
  <c r="V723" i="1" s="1"/>
  <c r="Z723" i="1"/>
  <c r="X723" i="1"/>
  <c r="AF722" i="1"/>
  <c r="AB722" i="1"/>
  <c r="AH723" i="1" l="1"/>
  <c r="AD723" i="1"/>
  <c r="T724" i="1"/>
  <c r="X724" i="1"/>
  <c r="W724" i="1"/>
  <c r="Y724" i="1"/>
  <c r="Z724" i="1"/>
  <c r="S725" i="1"/>
  <c r="U724" i="1"/>
  <c r="V724" i="1" s="1"/>
  <c r="AA723" i="1"/>
  <c r="AE723" i="1"/>
  <c r="AF723" i="1"/>
  <c r="AB723" i="1"/>
  <c r="AC723" i="1"/>
  <c r="AG723" i="1"/>
  <c r="T725" i="1" l="1"/>
  <c r="Z725" i="1"/>
  <c r="X725" i="1"/>
  <c r="S726" i="1"/>
  <c r="W725" i="1"/>
  <c r="U725" i="1"/>
  <c r="V725" i="1" s="1"/>
  <c r="Y725" i="1"/>
  <c r="AF724" i="1"/>
  <c r="AB724" i="1"/>
  <c r="AD724" i="1"/>
  <c r="AH724" i="1"/>
  <c r="AG724" i="1"/>
  <c r="AC724" i="1"/>
  <c r="AA724" i="1"/>
  <c r="AE724" i="1"/>
  <c r="T726" i="1" l="1"/>
  <c r="X726" i="1"/>
  <c r="Z726" i="1"/>
  <c r="U726" i="1"/>
  <c r="V726" i="1" s="1"/>
  <c r="S727" i="1"/>
  <c r="W726" i="1"/>
  <c r="Y726" i="1"/>
  <c r="AC725" i="1"/>
  <c r="AG725" i="1"/>
  <c r="AF725" i="1"/>
  <c r="AB725" i="1"/>
  <c r="AH725" i="1"/>
  <c r="AD725" i="1"/>
  <c r="AA725" i="1"/>
  <c r="AE725" i="1"/>
  <c r="AC726" i="1" l="1"/>
  <c r="AG726" i="1"/>
  <c r="AD726" i="1"/>
  <c r="AH726" i="1"/>
  <c r="AE726" i="1"/>
  <c r="AA726" i="1"/>
  <c r="AB726" i="1"/>
  <c r="AF726" i="1"/>
  <c r="T727" i="1"/>
  <c r="Y727" i="1"/>
  <c r="S728" i="1"/>
  <c r="W727" i="1"/>
  <c r="U727" i="1"/>
  <c r="V727" i="1" s="1"/>
  <c r="Z727" i="1"/>
  <c r="X727" i="1"/>
  <c r="AA727" i="1" l="1"/>
  <c r="AE727" i="1"/>
  <c r="AF727" i="1"/>
  <c r="AB727" i="1"/>
  <c r="T728" i="1"/>
  <c r="Y728" i="1"/>
  <c r="Z728" i="1"/>
  <c r="U728" i="1"/>
  <c r="V728" i="1" s="1"/>
  <c r="X728" i="1"/>
  <c r="S729" i="1"/>
  <c r="W728" i="1"/>
  <c r="AH727" i="1"/>
  <c r="AD727" i="1"/>
  <c r="AG727" i="1"/>
  <c r="AC727" i="1"/>
  <c r="AE728" i="1" l="1"/>
  <c r="AA728" i="1"/>
  <c r="AD728" i="1"/>
  <c r="AH728" i="1"/>
  <c r="T729" i="1"/>
  <c r="Z729" i="1"/>
  <c r="X729" i="1"/>
  <c r="S730" i="1"/>
  <c r="Y729" i="1"/>
  <c r="W729" i="1"/>
  <c r="U729" i="1"/>
  <c r="V729" i="1" s="1"/>
  <c r="AC728" i="1"/>
  <c r="AG728" i="1"/>
  <c r="AF728" i="1"/>
  <c r="AB728" i="1"/>
  <c r="T730" i="1" l="1"/>
  <c r="X730" i="1"/>
  <c r="S731" i="1"/>
  <c r="U730" i="1"/>
  <c r="V730" i="1" s="1"/>
  <c r="W730" i="1"/>
  <c r="Y730" i="1"/>
  <c r="Z730" i="1"/>
  <c r="AF729" i="1"/>
  <c r="AB729" i="1"/>
  <c r="AA729" i="1"/>
  <c r="AE729" i="1"/>
  <c r="AH729" i="1"/>
  <c r="AD729" i="1"/>
  <c r="AC729" i="1"/>
  <c r="AG729" i="1"/>
  <c r="AH730" i="1" l="1"/>
  <c r="AD730" i="1"/>
  <c r="T731" i="1"/>
  <c r="S732" i="1"/>
  <c r="Y731" i="1"/>
  <c r="W731" i="1"/>
  <c r="U731" i="1"/>
  <c r="V731" i="1" s="1"/>
  <c r="Z731" i="1"/>
  <c r="X731" i="1"/>
  <c r="AG730" i="1"/>
  <c r="AC730" i="1"/>
  <c r="AF730" i="1"/>
  <c r="AB730" i="1"/>
  <c r="AE730" i="1"/>
  <c r="AA730" i="1"/>
  <c r="AD731" i="1" l="1"/>
  <c r="AH731" i="1"/>
  <c r="T732" i="1"/>
  <c r="Y732" i="1"/>
  <c r="Z732" i="1"/>
  <c r="U732" i="1"/>
  <c r="V732" i="1" s="1"/>
  <c r="X732" i="1"/>
  <c r="S733" i="1"/>
  <c r="W732" i="1"/>
  <c r="AE731" i="1"/>
  <c r="AA731" i="1"/>
  <c r="AB731" i="1"/>
  <c r="AF731" i="1"/>
  <c r="AC731" i="1"/>
  <c r="AG731" i="1"/>
  <c r="T733" i="1" l="1"/>
  <c r="Z733" i="1"/>
  <c r="X733" i="1"/>
  <c r="S734" i="1"/>
  <c r="Y733" i="1"/>
  <c r="W733" i="1"/>
  <c r="U733" i="1"/>
  <c r="V733" i="1" s="1"/>
  <c r="AG732" i="1"/>
  <c r="AC732" i="1"/>
  <c r="AB732" i="1"/>
  <c r="AF732" i="1"/>
  <c r="AA732" i="1"/>
  <c r="AE732" i="1"/>
  <c r="AH732" i="1"/>
  <c r="AD732" i="1"/>
  <c r="T734" i="1" l="1"/>
  <c r="Y734" i="1"/>
  <c r="Z734" i="1"/>
  <c r="U734" i="1"/>
  <c r="V734" i="1" s="1"/>
  <c r="S735" i="1"/>
  <c r="W734" i="1"/>
  <c r="X734" i="1"/>
  <c r="AB733" i="1"/>
  <c r="AF733" i="1"/>
  <c r="AA733" i="1"/>
  <c r="AE733" i="1"/>
  <c r="AD733" i="1"/>
  <c r="AH733" i="1"/>
  <c r="AG733" i="1"/>
  <c r="AC733" i="1"/>
  <c r="AB734" i="1" l="1"/>
  <c r="AF734" i="1"/>
  <c r="AH734" i="1"/>
  <c r="AD734" i="1"/>
  <c r="AA734" i="1"/>
  <c r="AE734" i="1"/>
  <c r="AG734" i="1"/>
  <c r="AC734" i="1"/>
  <c r="T735" i="1"/>
  <c r="Z735" i="1"/>
  <c r="X735" i="1"/>
  <c r="S736" i="1"/>
  <c r="Y735" i="1"/>
  <c r="W735" i="1"/>
  <c r="U735" i="1"/>
  <c r="V735" i="1" s="1"/>
  <c r="AE735" i="1" l="1"/>
  <c r="AA735" i="1"/>
  <c r="T736" i="1"/>
  <c r="Z736" i="1"/>
  <c r="U736" i="1"/>
  <c r="V736" i="1" s="1"/>
  <c r="X736" i="1"/>
  <c r="S737" i="1"/>
  <c r="W736" i="1"/>
  <c r="Y736" i="1"/>
  <c r="AH735" i="1"/>
  <c r="AD735" i="1"/>
  <c r="AB735" i="1"/>
  <c r="AF735" i="1"/>
  <c r="AG735" i="1"/>
  <c r="AC735" i="1"/>
  <c r="T737" i="1" l="1"/>
  <c r="Y737" i="1"/>
  <c r="W737" i="1"/>
  <c r="Z737" i="1"/>
  <c r="X737" i="1"/>
  <c r="U737" i="1"/>
  <c r="V737" i="1" s="1"/>
  <c r="S738" i="1"/>
  <c r="AC736" i="1"/>
  <c r="AG736" i="1"/>
  <c r="AE736" i="1"/>
  <c r="AA736" i="1"/>
  <c r="AD736" i="1"/>
  <c r="AH736" i="1"/>
  <c r="AF736" i="1"/>
  <c r="AB736" i="1"/>
  <c r="AD737" i="1" l="1"/>
  <c r="AH737" i="1"/>
  <c r="T738" i="1"/>
  <c r="Y738" i="1"/>
  <c r="Z738" i="1"/>
  <c r="U738" i="1"/>
  <c r="V738" i="1" s="1"/>
  <c r="S739" i="1"/>
  <c r="W738" i="1"/>
  <c r="X738" i="1"/>
  <c r="AE737" i="1"/>
  <c r="AA737" i="1"/>
  <c r="AC737" i="1"/>
  <c r="AG737" i="1"/>
  <c r="AF737" i="1"/>
  <c r="AB737" i="1"/>
  <c r="AA738" i="1" l="1"/>
  <c r="AE738" i="1"/>
  <c r="AC738" i="1"/>
  <c r="AG738" i="1"/>
  <c r="T739" i="1"/>
  <c r="Z739" i="1"/>
  <c r="X739" i="1"/>
  <c r="Y739" i="1"/>
  <c r="W739" i="1"/>
  <c r="U739" i="1"/>
  <c r="V739" i="1" s="1"/>
  <c r="S740" i="1"/>
  <c r="AB738" i="1"/>
  <c r="AF738" i="1"/>
  <c r="AD738" i="1"/>
  <c r="AH738" i="1"/>
  <c r="AC739" i="1" l="1"/>
  <c r="AG739" i="1"/>
  <c r="T740" i="1"/>
  <c r="X740" i="1"/>
  <c r="W740" i="1"/>
  <c r="Y740" i="1"/>
  <c r="Z740" i="1"/>
  <c r="U740" i="1"/>
  <c r="V740" i="1" s="1"/>
  <c r="S741" i="1"/>
  <c r="AF739" i="1"/>
  <c r="AB739" i="1"/>
  <c r="AD739" i="1"/>
  <c r="AH739" i="1"/>
  <c r="AA739" i="1"/>
  <c r="AE739" i="1"/>
  <c r="AF740" i="1" l="1"/>
  <c r="AB740" i="1"/>
  <c r="AH740" i="1"/>
  <c r="AD740" i="1"/>
  <c r="AG740" i="1"/>
  <c r="AC740" i="1"/>
  <c r="T741" i="1"/>
  <c r="Z741" i="1"/>
  <c r="S742" i="1"/>
  <c r="Y741" i="1"/>
  <c r="W741" i="1"/>
  <c r="U741" i="1"/>
  <c r="V741" i="1" s="1"/>
  <c r="X741" i="1"/>
  <c r="AE740" i="1"/>
  <c r="AA740" i="1"/>
  <c r="T742" i="1" l="1"/>
  <c r="S743" i="1"/>
  <c r="W742" i="1"/>
  <c r="Y742" i="1"/>
  <c r="Z742" i="1"/>
  <c r="U742" i="1"/>
  <c r="V742" i="1" s="1"/>
  <c r="X742" i="1"/>
  <c r="AH741" i="1"/>
  <c r="AD741" i="1"/>
  <c r="AE741" i="1"/>
  <c r="AA741" i="1"/>
  <c r="AG741" i="1"/>
  <c r="AC741" i="1"/>
  <c r="AB741" i="1"/>
  <c r="AF741" i="1"/>
  <c r="AG742" i="1" l="1"/>
  <c r="AC742" i="1"/>
  <c r="AF742" i="1"/>
  <c r="AB742" i="1"/>
  <c r="AE742" i="1"/>
  <c r="AA742" i="1"/>
  <c r="T743" i="1"/>
  <c r="S744" i="1"/>
  <c r="Y743" i="1"/>
  <c r="W743" i="1"/>
  <c r="U743" i="1"/>
  <c r="V743" i="1" s="1"/>
  <c r="Z743" i="1"/>
  <c r="X743" i="1"/>
  <c r="AH742" i="1"/>
  <c r="AD742" i="1"/>
  <c r="AF743" i="1" l="1"/>
  <c r="AB743" i="1"/>
  <c r="AH743" i="1"/>
  <c r="AD743" i="1"/>
  <c r="T744" i="1"/>
  <c r="Y744" i="1"/>
  <c r="Z744" i="1"/>
  <c r="S745" i="1"/>
  <c r="W744" i="1"/>
  <c r="U744" i="1"/>
  <c r="V744" i="1" s="1"/>
  <c r="X744" i="1"/>
  <c r="AA743" i="1"/>
  <c r="AE743" i="1"/>
  <c r="AG743" i="1"/>
  <c r="AC743" i="1"/>
  <c r="T745" i="1" l="1"/>
  <c r="Z745" i="1"/>
  <c r="X745" i="1"/>
  <c r="S746" i="1"/>
  <c r="Y745" i="1"/>
  <c r="W745" i="1"/>
  <c r="U745" i="1"/>
  <c r="V745" i="1" s="1"/>
  <c r="AB744" i="1"/>
  <c r="AF744" i="1"/>
  <c r="AH744" i="1"/>
  <c r="AD744" i="1"/>
  <c r="AC744" i="1"/>
  <c r="AG744" i="1"/>
  <c r="AA744" i="1"/>
  <c r="AE744" i="1"/>
  <c r="T746" i="1" l="1"/>
  <c r="Y746" i="1"/>
  <c r="Z746" i="1"/>
  <c r="W746" i="1"/>
  <c r="U746" i="1"/>
  <c r="V746" i="1" s="1"/>
  <c r="X746" i="1"/>
  <c r="S747" i="1"/>
  <c r="AB745" i="1"/>
  <c r="AF745" i="1"/>
  <c r="AA745" i="1"/>
  <c r="AE745" i="1"/>
  <c r="AD745" i="1"/>
  <c r="AH745" i="1"/>
  <c r="AC745" i="1"/>
  <c r="AG745" i="1"/>
  <c r="AE746" i="1" l="1"/>
  <c r="AA746" i="1"/>
  <c r="T747" i="1"/>
  <c r="S748" i="1"/>
  <c r="Y747" i="1"/>
  <c r="W747" i="1"/>
  <c r="U747" i="1"/>
  <c r="V747" i="1" s="1"/>
  <c r="Z747" i="1"/>
  <c r="X747" i="1"/>
  <c r="AH746" i="1"/>
  <c r="AD746" i="1"/>
  <c r="AF746" i="1"/>
  <c r="AB746" i="1"/>
  <c r="AG746" i="1"/>
  <c r="AC746" i="1"/>
  <c r="AD747" i="1" l="1"/>
  <c r="AH747" i="1"/>
  <c r="T748" i="1"/>
  <c r="Y748" i="1"/>
  <c r="Z748" i="1"/>
  <c r="S749" i="1"/>
  <c r="U748" i="1"/>
  <c r="V748" i="1" s="1"/>
  <c r="X748" i="1"/>
  <c r="W748" i="1"/>
  <c r="AA747" i="1"/>
  <c r="AE747" i="1"/>
  <c r="AB747" i="1"/>
  <c r="AF747" i="1"/>
  <c r="AG747" i="1"/>
  <c r="AC747" i="1"/>
  <c r="AF748" i="1" l="1"/>
  <c r="AB748" i="1"/>
  <c r="AG748" i="1"/>
  <c r="AC748" i="1"/>
  <c r="T749" i="1"/>
  <c r="Z749" i="1"/>
  <c r="X749" i="1"/>
  <c r="S750" i="1"/>
  <c r="Y749" i="1"/>
  <c r="W749" i="1"/>
  <c r="U749" i="1"/>
  <c r="V749" i="1" s="1"/>
  <c r="AA748" i="1"/>
  <c r="AE748" i="1"/>
  <c r="AD748" i="1"/>
  <c r="AH748" i="1"/>
  <c r="T750" i="1" l="1"/>
  <c r="X750" i="1"/>
  <c r="S751" i="1"/>
  <c r="W750" i="1"/>
  <c r="Y750" i="1"/>
  <c r="Z750" i="1"/>
  <c r="U750" i="1"/>
  <c r="V750" i="1" s="1"/>
  <c r="AF749" i="1"/>
  <c r="AB749" i="1"/>
  <c r="AA749" i="1"/>
  <c r="AE749" i="1"/>
  <c r="AH749" i="1"/>
  <c r="AD749" i="1"/>
  <c r="AC749" i="1"/>
  <c r="AG749" i="1"/>
  <c r="AE750" i="1" l="1"/>
  <c r="AA750" i="1"/>
  <c r="T751" i="1"/>
  <c r="U751" i="1"/>
  <c r="V751" i="1" s="1"/>
  <c r="Z751" i="1"/>
  <c r="Y751" i="1"/>
  <c r="W751" i="1"/>
  <c r="S752" i="1"/>
  <c r="X751" i="1"/>
  <c r="AH750" i="1"/>
  <c r="AD750" i="1"/>
  <c r="AF750" i="1"/>
  <c r="AB750" i="1"/>
  <c r="AG750" i="1"/>
  <c r="AC750" i="1"/>
  <c r="T752" i="1" l="1"/>
  <c r="Y752" i="1"/>
  <c r="X752" i="1"/>
  <c r="U752" i="1"/>
  <c r="V752" i="1" s="1"/>
  <c r="W752" i="1"/>
  <c r="S753" i="1"/>
  <c r="Z752" i="1"/>
  <c r="AA751" i="1"/>
  <c r="AE751" i="1"/>
  <c r="AC751" i="1"/>
  <c r="AG751" i="1"/>
  <c r="AB751" i="1"/>
  <c r="AF751" i="1"/>
  <c r="AD751" i="1"/>
  <c r="AH751" i="1"/>
  <c r="AH752" i="1" l="1"/>
  <c r="AD752" i="1"/>
  <c r="AB752" i="1"/>
  <c r="AF752" i="1"/>
  <c r="T753" i="1"/>
  <c r="Z753" i="1"/>
  <c r="S754" i="1"/>
  <c r="Y753" i="1"/>
  <c r="W753" i="1"/>
  <c r="U753" i="1"/>
  <c r="V753" i="1" s="1"/>
  <c r="X753" i="1"/>
  <c r="AC752" i="1"/>
  <c r="AG752" i="1"/>
  <c r="AE752" i="1"/>
  <c r="AA752" i="1"/>
  <c r="AC753" i="1" l="1"/>
  <c r="AG753" i="1"/>
  <c r="AF753" i="1"/>
  <c r="AB753" i="1"/>
  <c r="T754" i="1"/>
  <c r="U754" i="1"/>
  <c r="V754" i="1" s="1"/>
  <c r="X754" i="1"/>
  <c r="W754" i="1"/>
  <c r="Y754" i="1"/>
  <c r="S755" i="1"/>
  <c r="Z754" i="1"/>
  <c r="AD753" i="1"/>
  <c r="AH753" i="1"/>
  <c r="AE753" i="1"/>
  <c r="AA753" i="1"/>
  <c r="AE754" i="1" l="1"/>
  <c r="AA754" i="1"/>
  <c r="AH754" i="1"/>
  <c r="AD754" i="1"/>
  <c r="AF754" i="1"/>
  <c r="AB754" i="1"/>
  <c r="T755" i="1"/>
  <c r="Z755" i="1"/>
  <c r="S756" i="1"/>
  <c r="U755" i="1"/>
  <c r="V755" i="1" s="1"/>
  <c r="Y755" i="1"/>
  <c r="W755" i="1"/>
  <c r="X755" i="1"/>
  <c r="AC754" i="1"/>
  <c r="AG754" i="1"/>
  <c r="AA755" i="1" l="1"/>
  <c r="AE755" i="1"/>
  <c r="AD755" i="1"/>
  <c r="AH755" i="1"/>
  <c r="AC755" i="1"/>
  <c r="AG755" i="1"/>
  <c r="AB755" i="1"/>
  <c r="AF755" i="1"/>
  <c r="T756" i="1"/>
  <c r="Y756" i="1"/>
  <c r="X756" i="1"/>
  <c r="S757" i="1"/>
  <c r="Z756" i="1"/>
  <c r="U756" i="1"/>
  <c r="V756" i="1" s="1"/>
  <c r="W756" i="1"/>
  <c r="T757" i="1" l="1"/>
  <c r="Z757" i="1"/>
  <c r="S758" i="1"/>
  <c r="U757" i="1"/>
  <c r="V757" i="1" s="1"/>
  <c r="Y757" i="1"/>
  <c r="W757" i="1"/>
  <c r="X757" i="1"/>
  <c r="AE756" i="1"/>
  <c r="AA756" i="1"/>
  <c r="AB756" i="1"/>
  <c r="AF756" i="1"/>
  <c r="AC756" i="1"/>
  <c r="AG756" i="1"/>
  <c r="AH756" i="1"/>
  <c r="AD756" i="1"/>
  <c r="AF757" i="1" l="1"/>
  <c r="AB757" i="1"/>
  <c r="T758" i="1"/>
  <c r="Y758" i="1"/>
  <c r="X758" i="1"/>
  <c r="U758" i="1"/>
  <c r="V758" i="1" s="1"/>
  <c r="W758" i="1"/>
  <c r="Z758" i="1"/>
  <c r="S759" i="1"/>
  <c r="AA757" i="1"/>
  <c r="AE757" i="1"/>
  <c r="AH757" i="1"/>
  <c r="AD757" i="1"/>
  <c r="AC757" i="1"/>
  <c r="AG757" i="1"/>
  <c r="AE758" i="1" l="1"/>
  <c r="AA758" i="1"/>
  <c r="AH758" i="1"/>
  <c r="AD758" i="1"/>
  <c r="AG758" i="1"/>
  <c r="AC758" i="1"/>
  <c r="T759" i="1"/>
  <c r="Z759" i="1"/>
  <c r="S760" i="1"/>
  <c r="U759" i="1"/>
  <c r="V759" i="1" s="1"/>
  <c r="Y759" i="1"/>
  <c r="W759" i="1"/>
  <c r="X759" i="1"/>
  <c r="AF758" i="1"/>
  <c r="AB758" i="1"/>
  <c r="AA759" i="1" l="1"/>
  <c r="AE759" i="1"/>
  <c r="AD759" i="1"/>
  <c r="AH759" i="1"/>
  <c r="AG759" i="1"/>
  <c r="AC759" i="1"/>
  <c r="AB759" i="1"/>
  <c r="AF759" i="1"/>
  <c r="T760" i="1"/>
  <c r="W760" i="1"/>
  <c r="S761" i="1"/>
  <c r="Z760" i="1"/>
  <c r="Y760" i="1"/>
  <c r="X760" i="1"/>
  <c r="U760" i="1"/>
  <c r="V760" i="1" s="1"/>
  <c r="AD760" i="1" l="1"/>
  <c r="AH760" i="1"/>
  <c r="T761" i="1"/>
  <c r="Y761" i="1"/>
  <c r="W761" i="1"/>
  <c r="X761" i="1"/>
  <c r="Z761" i="1"/>
  <c r="S762" i="1"/>
  <c r="U761" i="1"/>
  <c r="V761" i="1" s="1"/>
  <c r="AF760" i="1"/>
  <c r="AB760" i="1"/>
  <c r="AE760" i="1"/>
  <c r="AA760" i="1"/>
  <c r="AG760" i="1"/>
  <c r="AC760" i="1"/>
  <c r="T762" i="1" l="1"/>
  <c r="Y762" i="1"/>
  <c r="X762" i="1"/>
  <c r="U762" i="1"/>
  <c r="V762" i="1" s="1"/>
  <c r="W762" i="1"/>
  <c r="S763" i="1"/>
  <c r="Z762" i="1"/>
  <c r="AH761" i="1"/>
  <c r="AD761" i="1"/>
  <c r="AF761" i="1"/>
  <c r="AB761" i="1"/>
  <c r="AG761" i="1"/>
  <c r="AC761" i="1"/>
  <c r="AE761" i="1"/>
  <c r="AA761" i="1"/>
  <c r="AH762" i="1" l="1"/>
  <c r="AD762" i="1"/>
  <c r="AB762" i="1"/>
  <c r="AF762" i="1"/>
  <c r="T763" i="1"/>
  <c r="Z763" i="1"/>
  <c r="S764" i="1"/>
  <c r="U763" i="1"/>
  <c r="V763" i="1" s="1"/>
  <c r="Y763" i="1"/>
  <c r="W763" i="1"/>
  <c r="X763" i="1"/>
  <c r="AC762" i="1"/>
  <c r="AG762" i="1"/>
  <c r="AE762" i="1"/>
  <c r="AA762" i="1"/>
  <c r="AB763" i="1" l="1"/>
  <c r="AF763" i="1"/>
  <c r="T764" i="1"/>
  <c r="W764" i="1"/>
  <c r="S765" i="1"/>
  <c r="Z764" i="1"/>
  <c r="Y764" i="1"/>
  <c r="X764" i="1"/>
  <c r="U764" i="1"/>
  <c r="V764" i="1" s="1"/>
  <c r="AA763" i="1"/>
  <c r="AE763" i="1"/>
  <c r="AD763" i="1"/>
  <c r="AH763" i="1"/>
  <c r="AG763" i="1"/>
  <c r="AC763" i="1"/>
  <c r="AF764" i="1" l="1"/>
  <c r="AB764" i="1"/>
  <c r="AE764" i="1"/>
  <c r="AA764" i="1"/>
  <c r="AG764" i="1"/>
  <c r="AC764" i="1"/>
  <c r="AD764" i="1"/>
  <c r="AH764" i="1"/>
  <c r="T765" i="1"/>
  <c r="Y765" i="1"/>
  <c r="Z765" i="1"/>
  <c r="W765" i="1"/>
  <c r="X765" i="1"/>
  <c r="S766" i="1"/>
  <c r="U765" i="1"/>
  <c r="V765" i="1" s="1"/>
  <c r="AF765" i="1" l="1"/>
  <c r="AB765" i="1"/>
  <c r="AE765" i="1"/>
  <c r="AA765" i="1"/>
  <c r="AD765" i="1"/>
  <c r="AH765" i="1"/>
  <c r="T766" i="1"/>
  <c r="U766" i="1"/>
  <c r="V766" i="1" s="1"/>
  <c r="W766" i="1"/>
  <c r="S767" i="1"/>
  <c r="Z766" i="1"/>
  <c r="Y766" i="1"/>
  <c r="X766" i="1"/>
  <c r="AC765" i="1"/>
  <c r="AG765" i="1"/>
  <c r="AG766" i="1" l="1"/>
  <c r="AC766" i="1"/>
  <c r="AH766" i="1"/>
  <c r="AD766" i="1"/>
  <c r="T767" i="1"/>
  <c r="W767" i="1"/>
  <c r="X767" i="1"/>
  <c r="Z767" i="1"/>
  <c r="S768" i="1"/>
  <c r="U767" i="1"/>
  <c r="V767" i="1" s="1"/>
  <c r="Y767" i="1"/>
  <c r="AB766" i="1"/>
  <c r="AF766" i="1"/>
  <c r="AE766" i="1"/>
  <c r="AA766" i="1"/>
  <c r="AD767" i="1" l="1"/>
  <c r="AH767" i="1"/>
  <c r="AC767" i="1"/>
  <c r="AG767" i="1"/>
  <c r="AB767" i="1"/>
  <c r="AF767" i="1"/>
  <c r="AA767" i="1"/>
  <c r="AE767" i="1"/>
  <c r="T768" i="1"/>
  <c r="Y768" i="1"/>
  <c r="X768" i="1"/>
  <c r="U768" i="1"/>
  <c r="V768" i="1" s="1"/>
  <c r="W768" i="1"/>
  <c r="S769" i="1"/>
  <c r="Z768" i="1"/>
  <c r="AF768" i="1" l="1"/>
  <c r="AB768" i="1"/>
  <c r="T769" i="1"/>
  <c r="Z769" i="1"/>
  <c r="S770" i="1"/>
  <c r="U769" i="1"/>
  <c r="V769" i="1" s="1"/>
  <c r="Y769" i="1"/>
  <c r="W769" i="1"/>
  <c r="X769" i="1"/>
  <c r="AC768" i="1"/>
  <c r="AG768" i="1"/>
  <c r="AD768" i="1"/>
  <c r="AH768" i="1"/>
  <c r="AA768" i="1"/>
  <c r="AE768" i="1"/>
  <c r="AB769" i="1" l="1"/>
  <c r="AF769" i="1"/>
  <c r="AA769" i="1"/>
  <c r="AE769" i="1"/>
  <c r="AD769" i="1"/>
  <c r="AH769" i="1"/>
  <c r="AC769" i="1"/>
  <c r="AG769" i="1"/>
  <c r="T770" i="1"/>
  <c r="S771" i="1"/>
  <c r="W770" i="1"/>
  <c r="Y770" i="1"/>
  <c r="Z770" i="1"/>
  <c r="X770" i="1"/>
  <c r="U770" i="1"/>
  <c r="V770" i="1" s="1"/>
  <c r="AG770" i="1" l="1"/>
  <c r="AC770" i="1"/>
  <c r="AE770" i="1"/>
  <c r="AA770" i="1"/>
  <c r="T771" i="1"/>
  <c r="Y771" i="1"/>
  <c r="U771" i="1"/>
  <c r="V771" i="1" s="1"/>
  <c r="Z771" i="1"/>
  <c r="X771" i="1"/>
  <c r="S772" i="1"/>
  <c r="W771" i="1"/>
  <c r="AF770" i="1"/>
  <c r="AB770" i="1"/>
  <c r="AH770" i="1"/>
  <c r="AD770" i="1"/>
  <c r="AD771" i="1" l="1"/>
  <c r="AH771" i="1"/>
  <c r="AA771" i="1"/>
  <c r="AE771" i="1"/>
  <c r="T772" i="1"/>
  <c r="U772" i="1"/>
  <c r="V772" i="1" s="1"/>
  <c r="Z772" i="1"/>
  <c r="X772" i="1"/>
  <c r="S773" i="1"/>
  <c r="Y772" i="1"/>
  <c r="W772" i="1"/>
  <c r="AG771" i="1"/>
  <c r="AC771" i="1"/>
  <c r="AB771" i="1"/>
  <c r="AF771" i="1"/>
  <c r="AF772" i="1" l="1"/>
  <c r="AB772" i="1"/>
  <c r="AA772" i="1"/>
  <c r="AE772" i="1"/>
  <c r="AH772" i="1"/>
  <c r="AD772" i="1"/>
  <c r="AG772" i="1"/>
  <c r="AC772" i="1"/>
  <c r="T773" i="1"/>
  <c r="X773" i="1"/>
  <c r="S774" i="1"/>
  <c r="Y773" i="1"/>
  <c r="U773" i="1"/>
  <c r="V773" i="1" s="1"/>
  <c r="Z773" i="1"/>
  <c r="W773" i="1"/>
  <c r="AC773" i="1" l="1"/>
  <c r="AG773" i="1"/>
  <c r="AA773" i="1"/>
  <c r="AE773" i="1"/>
  <c r="T774" i="1"/>
  <c r="S775" i="1"/>
  <c r="W774" i="1"/>
  <c r="Z774" i="1"/>
  <c r="Y774" i="1"/>
  <c r="U774" i="1"/>
  <c r="V774" i="1" s="1"/>
  <c r="X774" i="1"/>
  <c r="AH773" i="1"/>
  <c r="AD773" i="1"/>
  <c r="AB773" i="1"/>
  <c r="AF773" i="1"/>
  <c r="AD774" i="1" l="1"/>
  <c r="AH774" i="1"/>
  <c r="AB774" i="1"/>
  <c r="AF774" i="1"/>
  <c r="AA774" i="1"/>
  <c r="AE774" i="1"/>
  <c r="T775" i="1"/>
  <c r="W775" i="1"/>
  <c r="Y775" i="1"/>
  <c r="Z775" i="1"/>
  <c r="U775" i="1"/>
  <c r="V775" i="1" s="1"/>
  <c r="X775" i="1"/>
  <c r="S776" i="1"/>
  <c r="AC774" i="1"/>
  <c r="AG774" i="1"/>
  <c r="AB775" i="1" l="1"/>
  <c r="AF775" i="1"/>
  <c r="AA775" i="1"/>
  <c r="AE775" i="1"/>
  <c r="AD775" i="1"/>
  <c r="AH775" i="1"/>
  <c r="T776" i="1"/>
  <c r="S777" i="1"/>
  <c r="W776" i="1"/>
  <c r="Y776" i="1"/>
  <c r="U776" i="1"/>
  <c r="V776" i="1" s="1"/>
  <c r="Z776" i="1"/>
  <c r="X776" i="1"/>
  <c r="AC775" i="1"/>
  <c r="AG775" i="1"/>
  <c r="AD776" i="1" l="1"/>
  <c r="AH776" i="1"/>
  <c r="T777" i="1"/>
  <c r="W777" i="1"/>
  <c r="Y777" i="1"/>
  <c r="U777" i="1"/>
  <c r="V777" i="1" s="1"/>
  <c r="X777" i="1"/>
  <c r="S778" i="1"/>
  <c r="Z777" i="1"/>
  <c r="AC776" i="1"/>
  <c r="AG776" i="1"/>
  <c r="AF776" i="1"/>
  <c r="AB776" i="1"/>
  <c r="AE776" i="1"/>
  <c r="AA776" i="1"/>
  <c r="T778" i="1" l="1"/>
  <c r="S779" i="1"/>
  <c r="W778" i="1"/>
  <c r="Y778" i="1"/>
  <c r="U778" i="1"/>
  <c r="V778" i="1" s="1"/>
  <c r="Z778" i="1"/>
  <c r="X778" i="1"/>
  <c r="AE777" i="1"/>
  <c r="AA777" i="1"/>
  <c r="AB777" i="1"/>
  <c r="AF777" i="1"/>
  <c r="AD777" i="1"/>
  <c r="AH777" i="1"/>
  <c r="AG777" i="1"/>
  <c r="AC777" i="1"/>
  <c r="AC778" i="1" l="1"/>
  <c r="AG778" i="1"/>
  <c r="AF778" i="1"/>
  <c r="AB778" i="1"/>
  <c r="AE778" i="1"/>
  <c r="AA778" i="1"/>
  <c r="AD778" i="1"/>
  <c r="AH778" i="1"/>
  <c r="T779" i="1"/>
  <c r="W779" i="1"/>
  <c r="Y779" i="1"/>
  <c r="Z779" i="1"/>
  <c r="U779" i="1"/>
  <c r="V779" i="1" s="1"/>
  <c r="S780" i="1"/>
  <c r="X779" i="1"/>
  <c r="AD779" i="1" l="1"/>
  <c r="AH779" i="1"/>
  <c r="AB779" i="1"/>
  <c r="AF779" i="1"/>
  <c r="AG779" i="1"/>
  <c r="AC779" i="1"/>
  <c r="T780" i="1"/>
  <c r="U780" i="1"/>
  <c r="V780" i="1" s="1"/>
  <c r="Z780" i="1"/>
  <c r="X780" i="1"/>
  <c r="Y780" i="1"/>
  <c r="S781" i="1"/>
  <c r="W780" i="1"/>
  <c r="AA779" i="1"/>
  <c r="AE779" i="1"/>
  <c r="T781" i="1" l="1"/>
  <c r="W781" i="1"/>
  <c r="Y781" i="1"/>
  <c r="U781" i="1"/>
  <c r="V781" i="1" s="1"/>
  <c r="Z781" i="1"/>
  <c r="X781" i="1"/>
  <c r="S782" i="1"/>
  <c r="AC780" i="1"/>
  <c r="AG780" i="1"/>
  <c r="AB780" i="1"/>
  <c r="AF780" i="1"/>
  <c r="AE780" i="1"/>
  <c r="AA780" i="1"/>
  <c r="AD780" i="1"/>
  <c r="AH780" i="1"/>
  <c r="T782" i="1" l="1"/>
  <c r="S783" i="1"/>
  <c r="W782" i="1"/>
  <c r="Y782" i="1"/>
  <c r="U782" i="1"/>
  <c r="V782" i="1" s="1"/>
  <c r="Z782" i="1"/>
  <c r="X782" i="1"/>
  <c r="AG781" i="1"/>
  <c r="AC781" i="1"/>
  <c r="AB781" i="1"/>
  <c r="AF781" i="1"/>
  <c r="AE781" i="1"/>
  <c r="AA781" i="1"/>
  <c r="AD781" i="1"/>
  <c r="AH781" i="1"/>
  <c r="AC782" i="1" l="1"/>
  <c r="AG782" i="1"/>
  <c r="AF782" i="1"/>
  <c r="AB782" i="1"/>
  <c r="AA782" i="1"/>
  <c r="AE782" i="1"/>
  <c r="AD782" i="1"/>
  <c r="AH782" i="1"/>
  <c r="T783" i="1"/>
  <c r="W783" i="1"/>
  <c r="Y783" i="1"/>
  <c r="Z783" i="1"/>
  <c r="S784" i="1"/>
  <c r="U783" i="1"/>
  <c r="V783" i="1" s="1"/>
  <c r="X783" i="1"/>
  <c r="AD783" i="1" l="1"/>
  <c r="AH783" i="1"/>
  <c r="AB783" i="1"/>
  <c r="AF783" i="1"/>
  <c r="AG783" i="1"/>
  <c r="AC783" i="1"/>
  <c r="AA783" i="1"/>
  <c r="AE783" i="1"/>
  <c r="T784" i="1"/>
  <c r="S785" i="1"/>
  <c r="W784" i="1"/>
  <c r="Z784" i="1"/>
  <c r="Y784" i="1"/>
  <c r="U784" i="1"/>
  <c r="V784" i="1" s="1"/>
  <c r="X784" i="1"/>
  <c r="AH784" i="1" l="1"/>
  <c r="AD784" i="1"/>
  <c r="AE784" i="1"/>
  <c r="AA784" i="1"/>
  <c r="T785" i="1"/>
  <c r="U785" i="1"/>
  <c r="V785" i="1" s="1"/>
  <c r="Z785" i="1"/>
  <c r="X785" i="1"/>
  <c r="S786" i="1"/>
  <c r="W785" i="1"/>
  <c r="Y785" i="1"/>
  <c r="AF784" i="1"/>
  <c r="AB784" i="1"/>
  <c r="AG784" i="1"/>
  <c r="AC784" i="1"/>
  <c r="AB785" i="1" l="1"/>
  <c r="AF785" i="1"/>
  <c r="AC785" i="1"/>
  <c r="AG785" i="1"/>
  <c r="AD785" i="1"/>
  <c r="AH785" i="1"/>
  <c r="AA785" i="1"/>
  <c r="AE785" i="1"/>
  <c r="T786" i="1"/>
  <c r="S787" i="1"/>
  <c r="W786" i="1"/>
  <c r="Y786" i="1"/>
  <c r="Z786" i="1"/>
  <c r="U786" i="1"/>
  <c r="V786" i="1" s="1"/>
  <c r="X786" i="1"/>
  <c r="AC786" i="1" l="1"/>
  <c r="AG786" i="1"/>
  <c r="AE786" i="1"/>
  <c r="AA786" i="1"/>
  <c r="T787" i="1"/>
  <c r="W787" i="1"/>
  <c r="Y787" i="1"/>
  <c r="U787" i="1"/>
  <c r="V787" i="1" s="1"/>
  <c r="S788" i="1"/>
  <c r="Z787" i="1"/>
  <c r="X787" i="1"/>
  <c r="AF786" i="1"/>
  <c r="AB786" i="1"/>
  <c r="AD786" i="1"/>
  <c r="AH786" i="1"/>
  <c r="AB787" i="1" l="1"/>
  <c r="AF787" i="1"/>
  <c r="AG787" i="1"/>
  <c r="AC787" i="1"/>
  <c r="AD787" i="1"/>
  <c r="AH787" i="1"/>
  <c r="AE787" i="1"/>
  <c r="AA787" i="1"/>
  <c r="T788" i="1"/>
  <c r="S789" i="1"/>
  <c r="W788" i="1"/>
  <c r="Y788" i="1"/>
  <c r="Z788" i="1"/>
  <c r="X788" i="1"/>
  <c r="U788" i="1"/>
  <c r="V788" i="1" s="1"/>
  <c r="AC788" i="1" l="1"/>
  <c r="AG788" i="1"/>
  <c r="T789" i="1"/>
  <c r="Z789" i="1"/>
  <c r="X789" i="1"/>
  <c r="S790" i="1"/>
  <c r="W789" i="1"/>
  <c r="Y789" i="1"/>
  <c r="U789" i="1"/>
  <c r="V789" i="1" s="1"/>
  <c r="AA788" i="1"/>
  <c r="AE788" i="1"/>
  <c r="AF788" i="1"/>
  <c r="AB788" i="1"/>
  <c r="AH788" i="1"/>
  <c r="AD788" i="1"/>
  <c r="AC789" i="1" l="1"/>
  <c r="AG789" i="1"/>
  <c r="AD789" i="1"/>
  <c r="AH789" i="1"/>
  <c r="AA789" i="1"/>
  <c r="AE789" i="1"/>
  <c r="T790" i="1"/>
  <c r="S791" i="1"/>
  <c r="W790" i="1"/>
  <c r="Y790" i="1"/>
  <c r="Z790" i="1"/>
  <c r="X790" i="1"/>
  <c r="U790" i="1"/>
  <c r="V790" i="1" s="1"/>
  <c r="AB789" i="1"/>
  <c r="AF789" i="1"/>
  <c r="AF790" i="1" l="1"/>
  <c r="AB790" i="1"/>
  <c r="T791" i="1"/>
  <c r="U791" i="1"/>
  <c r="V791" i="1" s="1"/>
  <c r="X791" i="1"/>
  <c r="S792" i="1"/>
  <c r="W791" i="1"/>
  <c r="Y791" i="1"/>
  <c r="Z791" i="1"/>
  <c r="AH790" i="1"/>
  <c r="AD790" i="1"/>
  <c r="AG790" i="1"/>
  <c r="AC790" i="1"/>
  <c r="AE790" i="1"/>
  <c r="AA790" i="1"/>
  <c r="AG791" i="1" l="1"/>
  <c r="AC791" i="1"/>
  <c r="AA791" i="1"/>
  <c r="AE791" i="1"/>
  <c r="T792" i="1"/>
  <c r="S793" i="1"/>
  <c r="W792" i="1"/>
  <c r="Y792" i="1"/>
  <c r="U792" i="1"/>
  <c r="V792" i="1" s="1"/>
  <c r="Z792" i="1"/>
  <c r="X792" i="1"/>
  <c r="AD791" i="1"/>
  <c r="AH791" i="1"/>
  <c r="AB791" i="1"/>
  <c r="AF791" i="1"/>
  <c r="AC792" i="1" l="1"/>
  <c r="AG792" i="1"/>
  <c r="AF792" i="1"/>
  <c r="AB792" i="1"/>
  <c r="AE792" i="1"/>
  <c r="AA792" i="1"/>
  <c r="AD792" i="1"/>
  <c r="AH792" i="1"/>
  <c r="T793" i="1"/>
  <c r="W793" i="1"/>
  <c r="Y793" i="1"/>
  <c r="U793" i="1"/>
  <c r="V793" i="1" s="1"/>
  <c r="X793" i="1"/>
  <c r="S794" i="1"/>
  <c r="Z793" i="1"/>
  <c r="T794" i="1" l="1"/>
  <c r="S795" i="1"/>
  <c r="U794" i="1"/>
  <c r="V794" i="1" s="1"/>
  <c r="Z794" i="1"/>
  <c r="X794" i="1"/>
  <c r="W794" i="1"/>
  <c r="Y794" i="1"/>
  <c r="AD793" i="1"/>
  <c r="AH793" i="1"/>
  <c r="AG793" i="1"/>
  <c r="AC793" i="1"/>
  <c r="AE793" i="1"/>
  <c r="AA793" i="1"/>
  <c r="AB793" i="1"/>
  <c r="AF793" i="1"/>
  <c r="AH794" i="1" l="1"/>
  <c r="AD794" i="1"/>
  <c r="AG794" i="1"/>
  <c r="AC794" i="1"/>
  <c r="AE794" i="1"/>
  <c r="AA794" i="1"/>
  <c r="T795" i="1"/>
  <c r="U795" i="1"/>
  <c r="V795" i="1" s="1"/>
  <c r="Z795" i="1"/>
  <c r="X795" i="1"/>
  <c r="S796" i="1"/>
  <c r="W795" i="1"/>
  <c r="Y795" i="1"/>
  <c r="AF794" i="1"/>
  <c r="AB794" i="1"/>
  <c r="AE795" i="1" l="1"/>
  <c r="AA795" i="1"/>
  <c r="T796" i="1"/>
  <c r="S797" i="1"/>
  <c r="W796" i="1"/>
  <c r="Z796" i="1"/>
  <c r="X796" i="1"/>
  <c r="Y796" i="1"/>
  <c r="U796" i="1"/>
  <c r="V796" i="1" s="1"/>
  <c r="AB795" i="1"/>
  <c r="AF795" i="1"/>
  <c r="AG795" i="1"/>
  <c r="AC795" i="1"/>
  <c r="AD795" i="1"/>
  <c r="AH795" i="1"/>
  <c r="AC796" i="1" l="1"/>
  <c r="AG796" i="1"/>
  <c r="T797" i="1"/>
  <c r="Z797" i="1"/>
  <c r="X797" i="1"/>
  <c r="S798" i="1"/>
  <c r="U797" i="1"/>
  <c r="V797" i="1" s="1"/>
  <c r="W797" i="1"/>
  <c r="Y797" i="1"/>
  <c r="AF796" i="1"/>
  <c r="AB796" i="1"/>
  <c r="AD796" i="1"/>
  <c r="AH796" i="1"/>
  <c r="AA796" i="1"/>
  <c r="AE796" i="1"/>
  <c r="AC797" i="1" l="1"/>
  <c r="AG797" i="1"/>
  <c r="AA797" i="1"/>
  <c r="AE797" i="1"/>
  <c r="AD797" i="1"/>
  <c r="AH797" i="1"/>
  <c r="T798" i="1"/>
  <c r="Y798" i="1"/>
  <c r="U798" i="1"/>
  <c r="V798" i="1" s="1"/>
  <c r="S799" i="1"/>
  <c r="Z798" i="1"/>
  <c r="X798" i="1"/>
  <c r="W798" i="1"/>
  <c r="AF797" i="1"/>
  <c r="AB797" i="1"/>
  <c r="AF798" i="1" l="1"/>
  <c r="AB798" i="1"/>
  <c r="AG798" i="1"/>
  <c r="AC798" i="1"/>
  <c r="AH798" i="1"/>
  <c r="AD798" i="1"/>
  <c r="T799" i="1"/>
  <c r="U799" i="1"/>
  <c r="V799" i="1" s="1"/>
  <c r="Z799" i="1"/>
  <c r="X799" i="1"/>
  <c r="S800" i="1"/>
  <c r="W799" i="1"/>
  <c r="Y799" i="1"/>
  <c r="AE798" i="1"/>
  <c r="AA798" i="1"/>
  <c r="AE799" i="1" l="1"/>
  <c r="AA799" i="1"/>
  <c r="T800" i="1"/>
  <c r="S801" i="1"/>
  <c r="W800" i="1"/>
  <c r="U800" i="1"/>
  <c r="V800" i="1" s="1"/>
  <c r="Z800" i="1"/>
  <c r="X800" i="1"/>
  <c r="Y800" i="1"/>
  <c r="AB799" i="1"/>
  <c r="AF799" i="1"/>
  <c r="AG799" i="1"/>
  <c r="AC799" i="1"/>
  <c r="AD799" i="1"/>
  <c r="AH799" i="1"/>
  <c r="AF800" i="1" l="1"/>
  <c r="AB800" i="1"/>
  <c r="T801" i="1"/>
  <c r="Z801" i="1"/>
  <c r="X801" i="1"/>
  <c r="S802" i="1"/>
  <c r="U801" i="1"/>
  <c r="V801" i="1" s="1"/>
  <c r="W801" i="1"/>
  <c r="Y801" i="1"/>
  <c r="AD800" i="1"/>
  <c r="AH800" i="1"/>
  <c r="AC800" i="1"/>
  <c r="AG800" i="1"/>
  <c r="AA800" i="1"/>
  <c r="AE800" i="1"/>
  <c r="AA801" i="1" l="1"/>
  <c r="AE801" i="1"/>
  <c r="AD801" i="1"/>
  <c r="AH801" i="1"/>
  <c r="T802" i="1"/>
  <c r="S803" i="1"/>
  <c r="W802" i="1"/>
  <c r="Y802" i="1"/>
  <c r="U802" i="1"/>
  <c r="V802" i="1" s="1"/>
  <c r="Z802" i="1"/>
  <c r="X802" i="1"/>
  <c r="AG801" i="1"/>
  <c r="AC801" i="1"/>
  <c r="AB801" i="1"/>
  <c r="AF801" i="1"/>
  <c r="AG802" i="1" l="1"/>
  <c r="AC802" i="1"/>
  <c r="AF802" i="1"/>
  <c r="AB802" i="1"/>
  <c r="AE802" i="1"/>
  <c r="AA802" i="1"/>
  <c r="AH802" i="1"/>
  <c r="AD802" i="1"/>
  <c r="T803" i="1"/>
  <c r="X803" i="1"/>
  <c r="S804" i="1"/>
  <c r="W803" i="1"/>
  <c r="Y803" i="1"/>
  <c r="U803" i="1"/>
  <c r="V803" i="1" s="1"/>
  <c r="Z803" i="1"/>
  <c r="AG803" i="1" l="1"/>
  <c r="AC803" i="1"/>
  <c r="AE803" i="1"/>
  <c r="AA803" i="1"/>
  <c r="AD803" i="1"/>
  <c r="AH803" i="1"/>
  <c r="T804" i="1"/>
  <c r="Y804" i="1"/>
  <c r="U804" i="1"/>
  <c r="V804" i="1" s="1"/>
  <c r="Z804" i="1"/>
  <c r="X804" i="1"/>
  <c r="S805" i="1"/>
  <c r="W804" i="1"/>
  <c r="AB803" i="1"/>
  <c r="AF803" i="1"/>
  <c r="T805" i="1" l="1"/>
  <c r="W805" i="1"/>
  <c r="U805" i="1"/>
  <c r="V805" i="1" s="1"/>
  <c r="Z805" i="1"/>
  <c r="X805" i="1"/>
  <c r="S806" i="1"/>
  <c r="Y805" i="1"/>
  <c r="AG804" i="1"/>
  <c r="AC804" i="1"/>
  <c r="AB804" i="1"/>
  <c r="AF804" i="1"/>
  <c r="AH804" i="1"/>
  <c r="AD804" i="1"/>
  <c r="AA804" i="1"/>
  <c r="AE804" i="1"/>
  <c r="AH805" i="1" l="1"/>
  <c r="AD805" i="1"/>
  <c r="AC805" i="1"/>
  <c r="AG805" i="1"/>
  <c r="T806" i="1"/>
  <c r="S807" i="1"/>
  <c r="Y806" i="1"/>
  <c r="U806" i="1"/>
  <c r="V806" i="1" s="1"/>
  <c r="Z806" i="1"/>
  <c r="X806" i="1"/>
  <c r="W806" i="1"/>
  <c r="AE805" i="1"/>
  <c r="AA805" i="1"/>
  <c r="AB805" i="1"/>
  <c r="AF805" i="1"/>
  <c r="AE806" i="1" l="1"/>
  <c r="AA806" i="1"/>
  <c r="AC806" i="1"/>
  <c r="AG806" i="1"/>
  <c r="AB806" i="1"/>
  <c r="AF806" i="1"/>
  <c r="T807" i="1"/>
  <c r="W807" i="1"/>
  <c r="Y807" i="1"/>
  <c r="Z807" i="1"/>
  <c r="X807" i="1"/>
  <c r="S808" i="1"/>
  <c r="U807" i="1"/>
  <c r="V807" i="1" s="1"/>
  <c r="AD806" i="1"/>
  <c r="AH806" i="1"/>
  <c r="T808" i="1" l="1"/>
  <c r="S809" i="1"/>
  <c r="W808" i="1"/>
  <c r="Y808" i="1"/>
  <c r="U808" i="1"/>
  <c r="V808" i="1" s="1"/>
  <c r="Z808" i="1"/>
  <c r="X808" i="1"/>
  <c r="AA807" i="1"/>
  <c r="AE807" i="1"/>
  <c r="AB807" i="1"/>
  <c r="AF807" i="1"/>
  <c r="AD807" i="1"/>
  <c r="AH807" i="1"/>
  <c r="AC807" i="1"/>
  <c r="AG807" i="1"/>
  <c r="AC808" i="1" l="1"/>
  <c r="AG808" i="1"/>
  <c r="AF808" i="1"/>
  <c r="AB808" i="1"/>
  <c r="AE808" i="1"/>
  <c r="AA808" i="1"/>
  <c r="AD808" i="1"/>
  <c r="AH808" i="1"/>
  <c r="T809" i="1"/>
  <c r="W809" i="1"/>
  <c r="Y809" i="1"/>
  <c r="U809" i="1"/>
  <c r="V809" i="1" s="1"/>
  <c r="Z809" i="1"/>
  <c r="X809" i="1"/>
  <c r="S810" i="1"/>
  <c r="AH809" i="1" l="1"/>
  <c r="AD809" i="1"/>
  <c r="T810" i="1"/>
  <c r="U810" i="1"/>
  <c r="V810" i="1" s="1"/>
  <c r="Z810" i="1"/>
  <c r="X810" i="1"/>
  <c r="S811" i="1"/>
  <c r="W810" i="1"/>
  <c r="Y810" i="1"/>
  <c r="AC809" i="1"/>
  <c r="AG809" i="1"/>
  <c r="AF809" i="1"/>
  <c r="AB809" i="1"/>
  <c r="AA809" i="1"/>
  <c r="AE809" i="1"/>
  <c r="AE810" i="1" l="1"/>
  <c r="AA810" i="1"/>
  <c r="T811" i="1"/>
  <c r="Y811" i="1"/>
  <c r="U811" i="1"/>
  <c r="V811" i="1" s="1"/>
  <c r="Z811" i="1"/>
  <c r="X811" i="1"/>
  <c r="S812" i="1"/>
  <c r="W811" i="1"/>
  <c r="AF810" i="1"/>
  <c r="AB810" i="1"/>
  <c r="AG810" i="1"/>
  <c r="AC810" i="1"/>
  <c r="AH810" i="1"/>
  <c r="AD810" i="1"/>
  <c r="T812" i="1" l="1"/>
  <c r="S813" i="1"/>
  <c r="W812" i="1"/>
  <c r="Y812" i="1"/>
  <c r="U812" i="1"/>
  <c r="V812" i="1" s="1"/>
  <c r="Z812" i="1"/>
  <c r="X812" i="1"/>
  <c r="AC811" i="1"/>
  <c r="AG811" i="1"/>
  <c r="AB811" i="1"/>
  <c r="AF811" i="1"/>
  <c r="AD811" i="1"/>
  <c r="AH811" i="1"/>
  <c r="AA811" i="1"/>
  <c r="AE811" i="1"/>
  <c r="AC812" i="1" l="1"/>
  <c r="AG812" i="1"/>
  <c r="AF812" i="1"/>
  <c r="AB812" i="1"/>
  <c r="AE812" i="1"/>
  <c r="AA812" i="1"/>
  <c r="AD812" i="1"/>
  <c r="AH812" i="1"/>
  <c r="T813" i="1"/>
  <c r="Y813" i="1"/>
  <c r="U813" i="1"/>
  <c r="V813" i="1" s="1"/>
  <c r="Z813" i="1"/>
  <c r="X813" i="1"/>
  <c r="S814" i="1"/>
  <c r="W813" i="1"/>
  <c r="AA813" i="1" l="1"/>
  <c r="AE813" i="1"/>
  <c r="AF813" i="1"/>
  <c r="AB813" i="1"/>
  <c r="AH813" i="1"/>
  <c r="AD813" i="1"/>
  <c r="T814" i="1"/>
  <c r="U814" i="1"/>
  <c r="V814" i="1" s="1"/>
  <c r="Z814" i="1"/>
  <c r="X814" i="1"/>
  <c r="S815" i="1"/>
  <c r="W814" i="1"/>
  <c r="Y814" i="1"/>
  <c r="AC813" i="1"/>
  <c r="AG813" i="1"/>
  <c r="AE814" i="1" l="1"/>
  <c r="AA814" i="1"/>
  <c r="T815" i="1"/>
  <c r="W815" i="1"/>
  <c r="Y815" i="1"/>
  <c r="Z815" i="1"/>
  <c r="X815" i="1"/>
  <c r="S816" i="1"/>
  <c r="U815" i="1"/>
  <c r="V815" i="1" s="1"/>
  <c r="AF814" i="1"/>
  <c r="AB814" i="1"/>
  <c r="AC814" i="1"/>
  <c r="AG814" i="1"/>
  <c r="AH814" i="1"/>
  <c r="AD814" i="1"/>
  <c r="T816" i="1" l="1"/>
  <c r="S817" i="1"/>
  <c r="W816" i="1"/>
  <c r="U816" i="1"/>
  <c r="V816" i="1" s="1"/>
  <c r="Y816" i="1"/>
  <c r="Z816" i="1"/>
  <c r="X816" i="1"/>
  <c r="AA815" i="1"/>
  <c r="AE815" i="1"/>
  <c r="AB815" i="1"/>
  <c r="AF815" i="1"/>
  <c r="AH815" i="1"/>
  <c r="AD815" i="1"/>
  <c r="AG815" i="1"/>
  <c r="AC815" i="1"/>
  <c r="AF816" i="1" l="1"/>
  <c r="AB816" i="1"/>
  <c r="AE816" i="1"/>
  <c r="AA816" i="1"/>
  <c r="AH816" i="1"/>
  <c r="AD816" i="1"/>
  <c r="T817" i="1"/>
  <c r="X817" i="1"/>
  <c r="S818" i="1"/>
  <c r="W817" i="1"/>
  <c r="Y817" i="1"/>
  <c r="U817" i="1"/>
  <c r="V817" i="1" s="1"/>
  <c r="Z817" i="1"/>
  <c r="AG816" i="1"/>
  <c r="AC816" i="1"/>
  <c r="AB817" i="1" l="1"/>
  <c r="AF817" i="1"/>
  <c r="AC817" i="1"/>
  <c r="AG817" i="1"/>
  <c r="AE817" i="1"/>
  <c r="AA817" i="1"/>
  <c r="AD817" i="1"/>
  <c r="AH817" i="1"/>
  <c r="T818" i="1"/>
  <c r="S819" i="1"/>
  <c r="U818" i="1"/>
  <c r="V818" i="1" s="1"/>
  <c r="Z818" i="1"/>
  <c r="X818" i="1"/>
  <c r="W818" i="1"/>
  <c r="Y818" i="1"/>
  <c r="AE818" i="1" l="1"/>
  <c r="AA818" i="1"/>
  <c r="AD818" i="1"/>
  <c r="AH818" i="1"/>
  <c r="AC818" i="1"/>
  <c r="AG818" i="1"/>
  <c r="T819" i="1"/>
  <c r="W819" i="1"/>
  <c r="Y819" i="1"/>
  <c r="Z819" i="1"/>
  <c r="X819" i="1"/>
  <c r="S820" i="1"/>
  <c r="U819" i="1"/>
  <c r="V819" i="1" s="1"/>
  <c r="AF818" i="1"/>
  <c r="AB818" i="1"/>
  <c r="AC819" i="1" l="1"/>
  <c r="AG819" i="1"/>
  <c r="T820" i="1"/>
  <c r="Y820" i="1"/>
  <c r="U820" i="1"/>
  <c r="V820" i="1" s="1"/>
  <c r="Z820" i="1"/>
  <c r="X820" i="1"/>
  <c r="S821" i="1"/>
  <c r="W820" i="1"/>
  <c r="AE819" i="1"/>
  <c r="AA819" i="1"/>
  <c r="AF819" i="1"/>
  <c r="AB819" i="1"/>
  <c r="AH819" i="1"/>
  <c r="AD819" i="1"/>
  <c r="T821" i="1" l="1"/>
  <c r="W821" i="1"/>
  <c r="Z821" i="1"/>
  <c r="S822" i="1"/>
  <c r="Y821" i="1"/>
  <c r="U821" i="1"/>
  <c r="V821" i="1" s="1"/>
  <c r="X821" i="1"/>
  <c r="AG820" i="1"/>
  <c r="AC820" i="1"/>
  <c r="AF820" i="1"/>
  <c r="AB820" i="1"/>
  <c r="AH820" i="1"/>
  <c r="AD820" i="1"/>
  <c r="AE820" i="1"/>
  <c r="AA820" i="1"/>
  <c r="T822" i="1" l="1"/>
  <c r="Z822" i="1"/>
  <c r="X822" i="1"/>
  <c r="S823" i="1"/>
  <c r="Y822" i="1"/>
  <c r="W822" i="1"/>
  <c r="U822" i="1"/>
  <c r="V822" i="1" s="1"/>
  <c r="AF821" i="1"/>
  <c r="AB821" i="1"/>
  <c r="AD821" i="1"/>
  <c r="AH821" i="1"/>
  <c r="AA821" i="1"/>
  <c r="AE821" i="1"/>
  <c r="AG821" i="1"/>
  <c r="AC821" i="1"/>
  <c r="T823" i="1" l="1"/>
  <c r="X823" i="1"/>
  <c r="S824" i="1"/>
  <c r="W823" i="1"/>
  <c r="U823" i="1"/>
  <c r="V823" i="1" s="1"/>
  <c r="Y823" i="1"/>
  <c r="Z823" i="1"/>
  <c r="AB822" i="1"/>
  <c r="AF822" i="1"/>
  <c r="AA822" i="1"/>
  <c r="AE822" i="1"/>
  <c r="AH822" i="1"/>
  <c r="AD822" i="1"/>
  <c r="AC822" i="1"/>
  <c r="AG822" i="1"/>
  <c r="AA823" i="1" l="1"/>
  <c r="AE823" i="1"/>
  <c r="AD823" i="1"/>
  <c r="AH823" i="1"/>
  <c r="T824" i="1"/>
  <c r="Y824" i="1"/>
  <c r="W824" i="1"/>
  <c r="U824" i="1"/>
  <c r="V824" i="1" s="1"/>
  <c r="Z824" i="1"/>
  <c r="X824" i="1"/>
  <c r="S825" i="1"/>
  <c r="AC823" i="1"/>
  <c r="AG823" i="1"/>
  <c r="AF823" i="1"/>
  <c r="AB823" i="1"/>
  <c r="T825" i="1" l="1"/>
  <c r="Z825" i="1"/>
  <c r="S826" i="1"/>
  <c r="W825" i="1"/>
  <c r="Y825" i="1"/>
  <c r="U825" i="1"/>
  <c r="V825" i="1" s="1"/>
  <c r="X825" i="1"/>
  <c r="AA824" i="1"/>
  <c r="AE824" i="1"/>
  <c r="AB824" i="1"/>
  <c r="AF824" i="1"/>
  <c r="AG824" i="1"/>
  <c r="AC824" i="1"/>
  <c r="AH824" i="1"/>
  <c r="AD824" i="1"/>
  <c r="AA825" i="1" l="1"/>
  <c r="AE825" i="1"/>
  <c r="AF825" i="1"/>
  <c r="AB825" i="1"/>
  <c r="T826" i="1"/>
  <c r="W826" i="1"/>
  <c r="U826" i="1"/>
  <c r="V826" i="1" s="1"/>
  <c r="Z826" i="1"/>
  <c r="X826" i="1"/>
  <c r="S827" i="1"/>
  <c r="Y826" i="1"/>
  <c r="AH825" i="1"/>
  <c r="AD825" i="1"/>
  <c r="AC825" i="1"/>
  <c r="AG825" i="1"/>
  <c r="AH826" i="1" l="1"/>
  <c r="AD826" i="1"/>
  <c r="T827" i="1"/>
  <c r="Y827" i="1"/>
  <c r="Z827" i="1"/>
  <c r="U827" i="1"/>
  <c r="V827" i="1" s="1"/>
  <c r="X827" i="1"/>
  <c r="S828" i="1"/>
  <c r="W827" i="1"/>
  <c r="AA826" i="1"/>
  <c r="AE826" i="1"/>
  <c r="AG826" i="1"/>
  <c r="AC826" i="1"/>
  <c r="AB826" i="1"/>
  <c r="AF826" i="1"/>
  <c r="T828" i="1" l="1"/>
  <c r="X828" i="1"/>
  <c r="S829" i="1"/>
  <c r="Y828" i="1"/>
  <c r="W828" i="1"/>
  <c r="U828" i="1"/>
  <c r="V828" i="1" s="1"/>
  <c r="Z828" i="1"/>
  <c r="AG827" i="1"/>
  <c r="AC827" i="1"/>
  <c r="AB827" i="1"/>
  <c r="AF827" i="1"/>
  <c r="AA827" i="1"/>
  <c r="AE827" i="1"/>
  <c r="AH827" i="1"/>
  <c r="AD827" i="1"/>
  <c r="AC828" i="1" l="1"/>
  <c r="AG828" i="1"/>
  <c r="AH828" i="1"/>
  <c r="AD828" i="1"/>
  <c r="T829" i="1"/>
  <c r="X829" i="1"/>
  <c r="Y829" i="1"/>
  <c r="Z829" i="1"/>
  <c r="S830" i="1"/>
  <c r="W829" i="1"/>
  <c r="U829" i="1"/>
  <c r="V829" i="1" s="1"/>
  <c r="AB828" i="1"/>
  <c r="AF828" i="1"/>
  <c r="AA828" i="1"/>
  <c r="AE828" i="1"/>
  <c r="AH829" i="1" l="1"/>
  <c r="AD829" i="1"/>
  <c r="AG829" i="1"/>
  <c r="AC829" i="1"/>
  <c r="AE829" i="1"/>
  <c r="AA829" i="1"/>
  <c r="AF829" i="1"/>
  <c r="AB829" i="1"/>
  <c r="T830" i="1"/>
  <c r="Z830" i="1"/>
  <c r="S831" i="1"/>
  <c r="Y830" i="1"/>
  <c r="W830" i="1"/>
  <c r="U830" i="1"/>
  <c r="V830" i="1" s="1"/>
  <c r="X830" i="1"/>
  <c r="AF830" i="1" l="1"/>
  <c r="AB830" i="1"/>
  <c r="AG830" i="1"/>
  <c r="AC830" i="1"/>
  <c r="T831" i="1"/>
  <c r="S832" i="1"/>
  <c r="W831" i="1"/>
  <c r="Y831" i="1"/>
  <c r="Z831" i="1"/>
  <c r="U831" i="1"/>
  <c r="V831" i="1" s="1"/>
  <c r="X831" i="1"/>
  <c r="AH830" i="1"/>
  <c r="AD830" i="1"/>
  <c r="AE830" i="1"/>
  <c r="AA830" i="1"/>
  <c r="AG831" i="1" l="1"/>
  <c r="AC831" i="1"/>
  <c r="AB831" i="1"/>
  <c r="AF831" i="1"/>
  <c r="AE831" i="1"/>
  <c r="AA831" i="1"/>
  <c r="T832" i="1"/>
  <c r="Y832" i="1"/>
  <c r="S833" i="1"/>
  <c r="W832" i="1"/>
  <c r="U832" i="1"/>
  <c r="V832" i="1" s="1"/>
  <c r="Z832" i="1"/>
  <c r="X832" i="1"/>
  <c r="AD831" i="1"/>
  <c r="AH831" i="1"/>
  <c r="AF832" i="1" l="1"/>
  <c r="AB832" i="1"/>
  <c r="AH832" i="1"/>
  <c r="AD832" i="1"/>
  <c r="AG832" i="1"/>
  <c r="AC832" i="1"/>
  <c r="AE832" i="1"/>
  <c r="AA832" i="1"/>
  <c r="T833" i="1"/>
  <c r="X833" i="1"/>
  <c r="S834" i="1"/>
  <c r="W833" i="1"/>
  <c r="Z833" i="1"/>
  <c r="Y833" i="1"/>
  <c r="U833" i="1"/>
  <c r="V833" i="1" s="1"/>
  <c r="AH833" i="1" l="1"/>
  <c r="AD833" i="1"/>
  <c r="AE833" i="1"/>
  <c r="AA833" i="1"/>
  <c r="T834" i="1"/>
  <c r="X834" i="1"/>
  <c r="S835" i="1"/>
  <c r="Y834" i="1"/>
  <c r="W834" i="1"/>
  <c r="U834" i="1"/>
  <c r="V834" i="1" s="1"/>
  <c r="Z834" i="1"/>
  <c r="AG833" i="1"/>
  <c r="AC833" i="1"/>
  <c r="AB833" i="1"/>
  <c r="AF833" i="1"/>
  <c r="AG834" i="1" l="1"/>
  <c r="AC834" i="1"/>
  <c r="T835" i="1"/>
  <c r="S836" i="1"/>
  <c r="Y835" i="1"/>
  <c r="Z835" i="1"/>
  <c r="U835" i="1"/>
  <c r="V835" i="1" s="1"/>
  <c r="X835" i="1"/>
  <c r="W835" i="1"/>
  <c r="AF834" i="1"/>
  <c r="AB834" i="1"/>
  <c r="AH834" i="1"/>
  <c r="AD834" i="1"/>
  <c r="AE834" i="1"/>
  <c r="AA834" i="1"/>
  <c r="AF835" i="1" l="1"/>
  <c r="AB835" i="1"/>
  <c r="T836" i="1"/>
  <c r="Z836" i="1"/>
  <c r="X836" i="1"/>
  <c r="S837" i="1"/>
  <c r="Y836" i="1"/>
  <c r="W836" i="1"/>
  <c r="U836" i="1"/>
  <c r="V836" i="1" s="1"/>
  <c r="AD835" i="1"/>
  <c r="AH835" i="1"/>
  <c r="AE835" i="1"/>
  <c r="AA835" i="1"/>
  <c r="AC835" i="1"/>
  <c r="AG835" i="1"/>
  <c r="AA836" i="1" l="1"/>
  <c r="AE836" i="1"/>
  <c r="AH836" i="1"/>
  <c r="AD836" i="1"/>
  <c r="AC836" i="1"/>
  <c r="AG836" i="1"/>
  <c r="T837" i="1"/>
  <c r="X837" i="1"/>
  <c r="S838" i="1"/>
  <c r="W837" i="1"/>
  <c r="Y837" i="1"/>
  <c r="Z837" i="1"/>
  <c r="U837" i="1"/>
  <c r="V837" i="1" s="1"/>
  <c r="AF836" i="1"/>
  <c r="AB836" i="1"/>
  <c r="AE837" i="1" l="1"/>
  <c r="AA837" i="1"/>
  <c r="T838" i="1"/>
  <c r="S839" i="1"/>
  <c r="Y838" i="1"/>
  <c r="W838" i="1"/>
  <c r="U838" i="1"/>
  <c r="V838" i="1" s="1"/>
  <c r="Z838" i="1"/>
  <c r="X838" i="1"/>
  <c r="AH837" i="1"/>
  <c r="AD837" i="1"/>
  <c r="AF837" i="1"/>
  <c r="AB837" i="1"/>
  <c r="AG837" i="1"/>
  <c r="AC837" i="1"/>
  <c r="AH838" i="1" l="1"/>
  <c r="AD838" i="1"/>
  <c r="T839" i="1"/>
  <c r="S840" i="1"/>
  <c r="W839" i="1"/>
  <c r="Y839" i="1"/>
  <c r="Z839" i="1"/>
  <c r="U839" i="1"/>
  <c r="V839" i="1" s="1"/>
  <c r="X839" i="1"/>
  <c r="AE838" i="1"/>
  <c r="AA838" i="1"/>
  <c r="AF838" i="1"/>
  <c r="AB838" i="1"/>
  <c r="AG838" i="1"/>
  <c r="AC838" i="1"/>
  <c r="T840" i="1" l="1"/>
  <c r="Z840" i="1"/>
  <c r="X840" i="1"/>
  <c r="Y840" i="1"/>
  <c r="W840" i="1"/>
  <c r="U840" i="1"/>
  <c r="V840" i="1" s="1"/>
  <c r="S841" i="1"/>
  <c r="AD839" i="1"/>
  <c r="AH839" i="1"/>
  <c r="AG839" i="1"/>
  <c r="AC839" i="1"/>
  <c r="AB839" i="1"/>
  <c r="AF839" i="1"/>
  <c r="AA839" i="1"/>
  <c r="AE839" i="1"/>
  <c r="AG840" i="1" l="1"/>
  <c r="AC840" i="1"/>
  <c r="T841" i="1"/>
  <c r="Y841" i="1"/>
  <c r="Z841" i="1"/>
  <c r="U841" i="1"/>
  <c r="V841" i="1" s="1"/>
  <c r="X841" i="1"/>
  <c r="S842" i="1"/>
  <c r="W841" i="1"/>
  <c r="AF840" i="1"/>
  <c r="AB840" i="1"/>
  <c r="AD840" i="1"/>
  <c r="AH840" i="1"/>
  <c r="AA840" i="1"/>
  <c r="AE840" i="1"/>
  <c r="T842" i="1" l="1"/>
  <c r="Y842" i="1"/>
  <c r="W842" i="1"/>
  <c r="U842" i="1"/>
  <c r="V842" i="1" s="1"/>
  <c r="Z842" i="1"/>
  <c r="X842" i="1"/>
  <c r="S843" i="1"/>
  <c r="AC841" i="1"/>
  <c r="AG841" i="1"/>
  <c r="AF841" i="1"/>
  <c r="AB841" i="1"/>
  <c r="AE841" i="1"/>
  <c r="AA841" i="1"/>
  <c r="AD841" i="1"/>
  <c r="AH841" i="1"/>
  <c r="T843" i="1" l="1"/>
  <c r="U843" i="1"/>
  <c r="V843" i="1" s="1"/>
  <c r="X843" i="1"/>
  <c r="S844" i="1"/>
  <c r="W843" i="1"/>
  <c r="Y843" i="1"/>
  <c r="Z843" i="1"/>
  <c r="AE842" i="1"/>
  <c r="AA842" i="1"/>
  <c r="AF842" i="1"/>
  <c r="AB842" i="1"/>
  <c r="AG842" i="1"/>
  <c r="AC842" i="1"/>
  <c r="AH842" i="1"/>
  <c r="AD842" i="1"/>
  <c r="T844" i="1" l="1"/>
  <c r="Z844" i="1"/>
  <c r="X844" i="1"/>
  <c r="W844" i="1"/>
  <c r="S845" i="1"/>
  <c r="Y844" i="1"/>
  <c r="U844" i="1"/>
  <c r="V844" i="1" s="1"/>
  <c r="AH843" i="1"/>
  <c r="AD843" i="1"/>
  <c r="AB843" i="1"/>
  <c r="AF843" i="1"/>
  <c r="AC843" i="1"/>
  <c r="AG843" i="1"/>
  <c r="AA843" i="1"/>
  <c r="AE843" i="1"/>
  <c r="AE844" i="1" l="1"/>
  <c r="AA844" i="1"/>
  <c r="AF844" i="1"/>
  <c r="AB844" i="1"/>
  <c r="AC844" i="1"/>
  <c r="AG844" i="1"/>
  <c r="AD844" i="1"/>
  <c r="AH844" i="1"/>
  <c r="T845" i="1"/>
  <c r="Y845" i="1"/>
  <c r="Z845" i="1"/>
  <c r="U845" i="1"/>
  <c r="V845" i="1" s="1"/>
  <c r="X845" i="1"/>
  <c r="S846" i="1"/>
  <c r="W845" i="1"/>
  <c r="AE845" i="1" l="1"/>
  <c r="AA845" i="1"/>
  <c r="AH845" i="1"/>
  <c r="AD845" i="1"/>
  <c r="T846" i="1"/>
  <c r="S847" i="1"/>
  <c r="W846" i="1"/>
  <c r="U846" i="1"/>
  <c r="V846" i="1" s="1"/>
  <c r="Z846" i="1"/>
  <c r="X846" i="1"/>
  <c r="Y846" i="1"/>
  <c r="AG845" i="1"/>
  <c r="AC845" i="1"/>
  <c r="AF845" i="1"/>
  <c r="AB845" i="1"/>
  <c r="AG846" i="1" l="1"/>
  <c r="AC846" i="1"/>
  <c r="AE846" i="1"/>
  <c r="AA846" i="1"/>
  <c r="AF846" i="1"/>
  <c r="AB846" i="1"/>
  <c r="T847" i="1"/>
  <c r="S848" i="1"/>
  <c r="W847" i="1"/>
  <c r="Y847" i="1"/>
  <c r="Z847" i="1"/>
  <c r="U847" i="1"/>
  <c r="V847" i="1" s="1"/>
  <c r="X847" i="1"/>
  <c r="AH846" i="1"/>
  <c r="AD846" i="1"/>
  <c r="T848" i="1" l="1"/>
  <c r="Z848" i="1"/>
  <c r="Y848" i="1"/>
  <c r="S849" i="1"/>
  <c r="W848" i="1"/>
  <c r="U848" i="1"/>
  <c r="V848" i="1" s="1"/>
  <c r="X848" i="1"/>
  <c r="AD847" i="1"/>
  <c r="AH847" i="1"/>
  <c r="AG847" i="1"/>
  <c r="AC847" i="1"/>
  <c r="AB847" i="1"/>
  <c r="AF847" i="1"/>
  <c r="AE847" i="1"/>
  <c r="AA847" i="1"/>
  <c r="T849" i="1" l="1"/>
  <c r="U849" i="1"/>
  <c r="V849" i="1" s="1"/>
  <c r="Z849" i="1"/>
  <c r="X849" i="1"/>
  <c r="S850" i="1"/>
  <c r="W849" i="1"/>
  <c r="Y849" i="1"/>
  <c r="AF848" i="1"/>
  <c r="AB848" i="1"/>
  <c r="AC848" i="1"/>
  <c r="AG848" i="1"/>
  <c r="AH848" i="1"/>
  <c r="AD848" i="1"/>
  <c r="AE848" i="1"/>
  <c r="AA848" i="1"/>
  <c r="AB849" i="1" l="1"/>
  <c r="AF849" i="1"/>
  <c r="AC849" i="1"/>
  <c r="AG849" i="1"/>
  <c r="AH849" i="1"/>
  <c r="AD849" i="1"/>
  <c r="AA849" i="1"/>
  <c r="AE849" i="1"/>
  <c r="T850" i="1"/>
  <c r="Z850" i="1"/>
  <c r="X850" i="1"/>
  <c r="Y850" i="1"/>
  <c r="W850" i="1"/>
  <c r="U850" i="1"/>
  <c r="V850" i="1" s="1"/>
  <c r="S851" i="1"/>
  <c r="AG850" i="1" l="1"/>
  <c r="AC850" i="1"/>
  <c r="AB850" i="1"/>
  <c r="AF850" i="1"/>
  <c r="AD850" i="1"/>
  <c r="AH850" i="1"/>
  <c r="T851" i="1"/>
  <c r="Y851" i="1"/>
  <c r="Z851" i="1"/>
  <c r="U851" i="1"/>
  <c r="V851" i="1" s="1"/>
  <c r="S852" i="1"/>
  <c r="W851" i="1"/>
  <c r="X851" i="1"/>
  <c r="AE850" i="1"/>
  <c r="AA850" i="1"/>
  <c r="AA851" i="1" l="1"/>
  <c r="AE851" i="1"/>
  <c r="AG851" i="1"/>
  <c r="AC851" i="1"/>
  <c r="T852" i="1"/>
  <c r="Z852" i="1"/>
  <c r="X852" i="1"/>
  <c r="S853" i="1"/>
  <c r="Y852" i="1"/>
  <c r="U852" i="1"/>
  <c r="V852" i="1" s="1"/>
  <c r="W852" i="1"/>
  <c r="AB851" i="1"/>
  <c r="AF851" i="1"/>
  <c r="AH851" i="1"/>
  <c r="AD851" i="1"/>
  <c r="T853" i="1" l="1"/>
  <c r="X853" i="1"/>
  <c r="S854" i="1"/>
  <c r="W853" i="1"/>
  <c r="U853" i="1"/>
  <c r="V853" i="1" s="1"/>
  <c r="Y853" i="1"/>
  <c r="Z853" i="1"/>
  <c r="AA852" i="1"/>
  <c r="AE852" i="1"/>
  <c r="AB852" i="1"/>
  <c r="AF852" i="1"/>
  <c r="AH852" i="1"/>
  <c r="AD852" i="1"/>
  <c r="AC852" i="1"/>
  <c r="AG852" i="1"/>
  <c r="AA853" i="1" l="1"/>
  <c r="AE853" i="1"/>
  <c r="AD853" i="1"/>
  <c r="AH853" i="1"/>
  <c r="T854" i="1"/>
  <c r="Z854" i="1"/>
  <c r="X854" i="1"/>
  <c r="S855" i="1"/>
  <c r="Y854" i="1"/>
  <c r="W854" i="1"/>
  <c r="U854" i="1"/>
  <c r="V854" i="1" s="1"/>
  <c r="AC853" i="1"/>
  <c r="AG853" i="1"/>
  <c r="AF853" i="1"/>
  <c r="AB853" i="1"/>
  <c r="T855" i="1" l="1"/>
  <c r="U855" i="1"/>
  <c r="V855" i="1" s="1"/>
  <c r="X855" i="1"/>
  <c r="S856" i="1"/>
  <c r="W855" i="1"/>
  <c r="Y855" i="1"/>
  <c r="Z855" i="1"/>
  <c r="AF854" i="1"/>
  <c r="AB854" i="1"/>
  <c r="AE854" i="1"/>
  <c r="AA854" i="1"/>
  <c r="AD854" i="1"/>
  <c r="AH854" i="1"/>
  <c r="AG854" i="1"/>
  <c r="AC854" i="1"/>
  <c r="T856" i="1" l="1"/>
  <c r="U856" i="1"/>
  <c r="V856" i="1" s="1"/>
  <c r="X856" i="1"/>
  <c r="S857" i="1"/>
  <c r="Y856" i="1"/>
  <c r="W856" i="1"/>
  <c r="Z856" i="1"/>
  <c r="AD855" i="1"/>
  <c r="AH855" i="1"/>
  <c r="AB855" i="1"/>
  <c r="AF855" i="1"/>
  <c r="AG855" i="1"/>
  <c r="AC855" i="1"/>
  <c r="AA855" i="1"/>
  <c r="AE855" i="1"/>
  <c r="T857" i="1" l="1"/>
  <c r="Y857" i="1"/>
  <c r="Z857" i="1"/>
  <c r="S858" i="1"/>
  <c r="U857" i="1"/>
  <c r="V857" i="1" s="1"/>
  <c r="W857" i="1"/>
  <c r="X857" i="1"/>
  <c r="AH856" i="1"/>
  <c r="AD856" i="1"/>
  <c r="AB856" i="1"/>
  <c r="AF856" i="1"/>
  <c r="AA856" i="1"/>
  <c r="AE856" i="1"/>
  <c r="AG856" i="1"/>
  <c r="AC856" i="1"/>
  <c r="T858" i="1" l="1"/>
  <c r="Z858" i="1"/>
  <c r="X858" i="1"/>
  <c r="S859" i="1"/>
  <c r="Y858" i="1"/>
  <c r="W858" i="1"/>
  <c r="U858" i="1"/>
  <c r="V858" i="1" s="1"/>
  <c r="AB857" i="1"/>
  <c r="AF857" i="1"/>
  <c r="AH857" i="1"/>
  <c r="AD857" i="1"/>
  <c r="AA857" i="1"/>
  <c r="AE857" i="1"/>
  <c r="AG857" i="1"/>
  <c r="AC857" i="1"/>
  <c r="T859" i="1" l="1"/>
  <c r="Y859" i="1"/>
  <c r="Z859" i="1"/>
  <c r="X859" i="1"/>
  <c r="S860" i="1"/>
  <c r="W859" i="1"/>
  <c r="U859" i="1"/>
  <c r="V859" i="1" s="1"/>
  <c r="AF858" i="1"/>
  <c r="AB858" i="1"/>
  <c r="AE858" i="1"/>
  <c r="AA858" i="1"/>
  <c r="AD858" i="1"/>
  <c r="AH858" i="1"/>
  <c r="AC858" i="1"/>
  <c r="AG858" i="1"/>
  <c r="AB859" i="1" l="1"/>
  <c r="AF859" i="1"/>
  <c r="AH859" i="1"/>
  <c r="AD859" i="1"/>
  <c r="AE859" i="1"/>
  <c r="AA859" i="1"/>
  <c r="AG859" i="1"/>
  <c r="AC859" i="1"/>
  <c r="T860" i="1"/>
  <c r="X860" i="1"/>
  <c r="S861" i="1"/>
  <c r="Y860" i="1"/>
  <c r="U860" i="1"/>
  <c r="V860" i="1" s="1"/>
  <c r="Z860" i="1"/>
  <c r="W860" i="1"/>
  <c r="AC860" i="1" l="1"/>
  <c r="AG860" i="1"/>
  <c r="T861" i="1"/>
  <c r="X861" i="1"/>
  <c r="W861" i="1"/>
  <c r="Y861" i="1"/>
  <c r="U861" i="1"/>
  <c r="V861" i="1" s="1"/>
  <c r="S862" i="1"/>
  <c r="Z861" i="1"/>
  <c r="AF860" i="1"/>
  <c r="AB860" i="1"/>
  <c r="AA860" i="1"/>
  <c r="AE860" i="1"/>
  <c r="AD860" i="1"/>
  <c r="AH860" i="1"/>
  <c r="T862" i="1" l="1"/>
  <c r="Y862" i="1"/>
  <c r="W862" i="1"/>
  <c r="X862" i="1"/>
  <c r="S863" i="1"/>
  <c r="U862" i="1"/>
  <c r="V862" i="1" s="1"/>
  <c r="Z862" i="1"/>
  <c r="AB861" i="1"/>
  <c r="AF861" i="1"/>
  <c r="AC861" i="1"/>
  <c r="AG861" i="1"/>
  <c r="AD861" i="1"/>
  <c r="AH861" i="1"/>
  <c r="AE861" i="1"/>
  <c r="AA861" i="1"/>
  <c r="AB862" i="1" l="1"/>
  <c r="AF862" i="1"/>
  <c r="AH862" i="1"/>
  <c r="AD862" i="1"/>
  <c r="AA862" i="1"/>
  <c r="AE862" i="1"/>
  <c r="AG862" i="1"/>
  <c r="AC862" i="1"/>
  <c r="T863" i="1"/>
  <c r="Y863" i="1"/>
  <c r="Z863" i="1"/>
  <c r="U863" i="1"/>
  <c r="V863" i="1" s="1"/>
  <c r="X863" i="1"/>
  <c r="S864" i="1"/>
  <c r="W863" i="1"/>
  <c r="AA863" i="1" l="1"/>
  <c r="AE863" i="1"/>
  <c r="AD863" i="1"/>
  <c r="AH863" i="1"/>
  <c r="AG863" i="1"/>
  <c r="AC863" i="1"/>
  <c r="T864" i="1"/>
  <c r="X864" i="1"/>
  <c r="Y864" i="1"/>
  <c r="W864" i="1"/>
  <c r="U864" i="1"/>
  <c r="V864" i="1" s="1"/>
  <c r="Z864" i="1"/>
  <c r="S865" i="1"/>
  <c r="AB863" i="1"/>
  <c r="AF863" i="1"/>
  <c r="T865" i="1" l="1"/>
  <c r="Z865" i="1"/>
  <c r="U865" i="1"/>
  <c r="V865" i="1" s="1"/>
  <c r="X865" i="1"/>
  <c r="S866" i="1"/>
  <c r="W865" i="1"/>
  <c r="Y865" i="1"/>
  <c r="AC864" i="1"/>
  <c r="AG864" i="1"/>
  <c r="AD864" i="1"/>
  <c r="AH864" i="1"/>
  <c r="AF864" i="1"/>
  <c r="AB864" i="1"/>
  <c r="AE864" i="1"/>
  <c r="AA864" i="1"/>
  <c r="AB865" i="1" l="1"/>
  <c r="AF865" i="1"/>
  <c r="AC865" i="1"/>
  <c r="AG865" i="1"/>
  <c r="AE865" i="1"/>
  <c r="AA865" i="1"/>
  <c r="AD865" i="1"/>
  <c r="AH865" i="1"/>
  <c r="T866" i="1"/>
  <c r="Y866" i="1"/>
  <c r="S867" i="1"/>
  <c r="W866" i="1"/>
  <c r="U866" i="1"/>
  <c r="V866" i="1" s="1"/>
  <c r="Z866" i="1"/>
  <c r="X866" i="1"/>
  <c r="AE866" i="1" l="1"/>
  <c r="AA866" i="1"/>
  <c r="AB866" i="1"/>
  <c r="AF866" i="1"/>
  <c r="T867" i="1"/>
  <c r="S868" i="1"/>
  <c r="W867" i="1"/>
  <c r="Y867" i="1"/>
  <c r="Z867" i="1"/>
  <c r="U867" i="1"/>
  <c r="V867" i="1" s="1"/>
  <c r="X867" i="1"/>
  <c r="AH866" i="1"/>
  <c r="AD866" i="1"/>
  <c r="AG866" i="1"/>
  <c r="AC866" i="1"/>
  <c r="AG867" i="1" l="1"/>
  <c r="AC867" i="1"/>
  <c r="AF867" i="1"/>
  <c r="AB867" i="1"/>
  <c r="AE867" i="1"/>
  <c r="AA867" i="1"/>
  <c r="T868" i="1"/>
  <c r="W868" i="1"/>
  <c r="U868" i="1"/>
  <c r="V868" i="1" s="1"/>
  <c r="Z868" i="1"/>
  <c r="X868" i="1"/>
  <c r="S869" i="1"/>
  <c r="Y868" i="1"/>
  <c r="AH867" i="1"/>
  <c r="AD867" i="1"/>
  <c r="T869" i="1" l="1"/>
  <c r="Y869" i="1"/>
  <c r="Z869" i="1"/>
  <c r="X869" i="1"/>
  <c r="S870" i="1"/>
  <c r="W869" i="1"/>
  <c r="U869" i="1"/>
  <c r="V869" i="1" s="1"/>
  <c r="AA868" i="1"/>
  <c r="AE868" i="1"/>
  <c r="AB868" i="1"/>
  <c r="AF868" i="1"/>
  <c r="AH868" i="1"/>
  <c r="AD868" i="1"/>
  <c r="AG868" i="1"/>
  <c r="AC868" i="1"/>
  <c r="AF869" i="1" l="1"/>
  <c r="AB869" i="1"/>
  <c r="AH869" i="1"/>
  <c r="AD869" i="1"/>
  <c r="AE869" i="1"/>
  <c r="AA869" i="1"/>
  <c r="AG869" i="1"/>
  <c r="AC869" i="1"/>
  <c r="T870" i="1"/>
  <c r="S871" i="1"/>
  <c r="Y870" i="1"/>
  <c r="W870" i="1"/>
  <c r="U870" i="1"/>
  <c r="V870" i="1" s="1"/>
  <c r="Z870" i="1"/>
  <c r="X870" i="1"/>
  <c r="AE870" i="1" l="1"/>
  <c r="AA870" i="1"/>
  <c r="AB870" i="1"/>
  <c r="AF870" i="1"/>
  <c r="AC870" i="1"/>
  <c r="AG870" i="1"/>
  <c r="AD870" i="1"/>
  <c r="AH870" i="1"/>
  <c r="T871" i="1"/>
  <c r="W871" i="1"/>
  <c r="U871" i="1"/>
  <c r="V871" i="1" s="1"/>
  <c r="X871" i="1"/>
  <c r="S872" i="1"/>
  <c r="Y871" i="1"/>
  <c r="Z871" i="1"/>
  <c r="AB871" i="1" l="1"/>
  <c r="AF871" i="1"/>
  <c r="AD871" i="1"/>
  <c r="AH871" i="1"/>
  <c r="AC871" i="1"/>
  <c r="AG871" i="1"/>
  <c r="AE871" i="1"/>
  <c r="AA871" i="1"/>
  <c r="T872" i="1"/>
  <c r="Y872" i="1"/>
  <c r="X872" i="1"/>
  <c r="W872" i="1"/>
  <c r="U872" i="1"/>
  <c r="V872" i="1" s="1"/>
  <c r="Z872" i="1"/>
  <c r="S873" i="1"/>
  <c r="AC872" i="1" l="1"/>
  <c r="AG872" i="1"/>
  <c r="AE872" i="1"/>
  <c r="AA872" i="1"/>
  <c r="T873" i="1"/>
  <c r="X873" i="1"/>
  <c r="S874" i="1"/>
  <c r="W873" i="1"/>
  <c r="Y873" i="1"/>
  <c r="Z873" i="1"/>
  <c r="U873" i="1"/>
  <c r="V873" i="1" s="1"/>
  <c r="AF872" i="1"/>
  <c r="AB872" i="1"/>
  <c r="AD872" i="1"/>
  <c r="AH872" i="1"/>
  <c r="AE873" i="1" l="1"/>
  <c r="AA873" i="1"/>
  <c r="T874" i="1"/>
  <c r="X874" i="1"/>
  <c r="S875" i="1"/>
  <c r="W874" i="1"/>
  <c r="U874" i="1"/>
  <c r="V874" i="1" s="1"/>
  <c r="Z874" i="1"/>
  <c r="Y874" i="1"/>
  <c r="AD873" i="1"/>
  <c r="AH873" i="1"/>
  <c r="AF873" i="1"/>
  <c r="AB873" i="1"/>
  <c r="AG873" i="1"/>
  <c r="AC873" i="1"/>
  <c r="AD874" i="1" l="1"/>
  <c r="AH874" i="1"/>
  <c r="AB874" i="1"/>
  <c r="AF874" i="1"/>
  <c r="AA874" i="1"/>
  <c r="AE874" i="1"/>
  <c r="AC874" i="1"/>
  <c r="AG874" i="1"/>
  <c r="T875" i="1"/>
  <c r="X875" i="1"/>
  <c r="Y875" i="1"/>
  <c r="Z875" i="1"/>
  <c r="U875" i="1"/>
  <c r="V875" i="1" s="1"/>
  <c r="S876" i="1"/>
  <c r="W875" i="1"/>
  <c r="AE875" i="1" l="1"/>
  <c r="AA875" i="1"/>
  <c r="AG875" i="1"/>
  <c r="AC875" i="1"/>
  <c r="T876" i="1"/>
  <c r="W876" i="1"/>
  <c r="U876" i="1"/>
  <c r="V876" i="1" s="1"/>
  <c r="Z876" i="1"/>
  <c r="X876" i="1"/>
  <c r="S877" i="1"/>
  <c r="Y876" i="1"/>
  <c r="AF875" i="1"/>
  <c r="AB875" i="1"/>
  <c r="AH875" i="1"/>
  <c r="AD875" i="1"/>
  <c r="AH876" i="1" l="1"/>
  <c r="AD876" i="1"/>
  <c r="AG876" i="1"/>
  <c r="AC876" i="1"/>
  <c r="T877" i="1"/>
  <c r="Y877" i="1"/>
  <c r="Z877" i="1"/>
  <c r="U877" i="1"/>
  <c r="V877" i="1" s="1"/>
  <c r="X877" i="1"/>
  <c r="W877" i="1"/>
  <c r="S878" i="1"/>
  <c r="AA876" i="1"/>
  <c r="AE876" i="1"/>
  <c r="AB876" i="1"/>
  <c r="AF876" i="1"/>
  <c r="T878" i="1" l="1"/>
  <c r="X878" i="1"/>
  <c r="W878" i="1"/>
  <c r="U878" i="1"/>
  <c r="V878" i="1" s="1"/>
  <c r="Z878" i="1"/>
  <c r="S879" i="1"/>
  <c r="Y878" i="1"/>
  <c r="AH877" i="1"/>
  <c r="AD877" i="1"/>
  <c r="AE877" i="1"/>
  <c r="AA877" i="1"/>
  <c r="AG877" i="1"/>
  <c r="AC877" i="1"/>
  <c r="AF877" i="1"/>
  <c r="AB877" i="1"/>
  <c r="AG878" i="1" l="1"/>
  <c r="AC878" i="1"/>
  <c r="AA878" i="1"/>
  <c r="AE878" i="1"/>
  <c r="T879" i="1"/>
  <c r="Y879" i="1"/>
  <c r="Z879" i="1"/>
  <c r="W879" i="1"/>
  <c r="U879" i="1"/>
  <c r="V879" i="1" s="1"/>
  <c r="X879" i="1"/>
  <c r="S880" i="1"/>
  <c r="AB878" i="1"/>
  <c r="AF878" i="1"/>
  <c r="AD878" i="1"/>
  <c r="AH878" i="1"/>
  <c r="AA879" i="1" l="1"/>
  <c r="AE879" i="1"/>
  <c r="T880" i="1"/>
  <c r="Z880" i="1"/>
  <c r="X880" i="1"/>
  <c r="S881" i="1"/>
  <c r="W880" i="1"/>
  <c r="U880" i="1"/>
  <c r="V880" i="1" s="1"/>
  <c r="Y880" i="1"/>
  <c r="AH879" i="1"/>
  <c r="AD879" i="1"/>
  <c r="AB879" i="1"/>
  <c r="AF879" i="1"/>
  <c r="AG879" i="1"/>
  <c r="AC879" i="1"/>
  <c r="AH880" i="1" l="1"/>
  <c r="AD880" i="1"/>
  <c r="AE880" i="1"/>
  <c r="AA880" i="1"/>
  <c r="T881" i="1"/>
  <c r="S882" i="1"/>
  <c r="W881" i="1"/>
  <c r="Y881" i="1"/>
  <c r="Z881" i="1"/>
  <c r="U881" i="1"/>
  <c r="V881" i="1" s="1"/>
  <c r="X881" i="1"/>
  <c r="AG880" i="1"/>
  <c r="AC880" i="1"/>
  <c r="AF880" i="1"/>
  <c r="AB880" i="1"/>
  <c r="AG881" i="1" l="1"/>
  <c r="AC881" i="1"/>
  <c r="AA881" i="1"/>
  <c r="AE881" i="1"/>
  <c r="T882" i="1"/>
  <c r="S883" i="1"/>
  <c r="Y882" i="1"/>
  <c r="W882" i="1"/>
  <c r="U882" i="1"/>
  <c r="V882" i="1" s="1"/>
  <c r="Z882" i="1"/>
  <c r="X882" i="1"/>
  <c r="AF881" i="1"/>
  <c r="AB881" i="1"/>
  <c r="AD881" i="1"/>
  <c r="AH881" i="1"/>
  <c r="AA882" i="1" l="1"/>
  <c r="AE882" i="1"/>
  <c r="AB882" i="1"/>
  <c r="AF882" i="1"/>
  <c r="AC882" i="1"/>
  <c r="AG882" i="1"/>
  <c r="AH882" i="1"/>
  <c r="AD882" i="1"/>
  <c r="T883" i="1"/>
  <c r="X883" i="1"/>
  <c r="S884" i="1"/>
  <c r="W883" i="1"/>
  <c r="Y883" i="1"/>
  <c r="Z883" i="1"/>
  <c r="U883" i="1"/>
  <c r="V883" i="1" s="1"/>
  <c r="AE883" i="1" l="1"/>
  <c r="AA883" i="1"/>
  <c r="T884" i="1"/>
  <c r="W884" i="1"/>
  <c r="U884" i="1"/>
  <c r="V884" i="1" s="1"/>
  <c r="Z884" i="1"/>
  <c r="X884" i="1"/>
  <c r="S885" i="1"/>
  <c r="Y884" i="1"/>
  <c r="AF883" i="1"/>
  <c r="AB883" i="1"/>
  <c r="AD883" i="1"/>
  <c r="AH883" i="1"/>
  <c r="AG883" i="1"/>
  <c r="AC883" i="1"/>
  <c r="T885" i="1" l="1"/>
  <c r="Y885" i="1"/>
  <c r="Z885" i="1"/>
  <c r="U885" i="1"/>
  <c r="V885" i="1" s="1"/>
  <c r="S886" i="1"/>
  <c r="W885" i="1"/>
  <c r="X885" i="1"/>
  <c r="AA884" i="1"/>
  <c r="AE884" i="1"/>
  <c r="AB884" i="1"/>
  <c r="AF884" i="1"/>
  <c r="AH884" i="1"/>
  <c r="AD884" i="1"/>
  <c r="AG884" i="1"/>
  <c r="AC884" i="1"/>
  <c r="AF885" i="1" l="1"/>
  <c r="AB885" i="1"/>
  <c r="AH885" i="1"/>
  <c r="AD885" i="1"/>
  <c r="AA885" i="1"/>
  <c r="AE885" i="1"/>
  <c r="AG885" i="1"/>
  <c r="AC885" i="1"/>
  <c r="T886" i="1"/>
  <c r="Y886" i="1"/>
  <c r="S887" i="1"/>
  <c r="W886" i="1"/>
  <c r="U886" i="1"/>
  <c r="V886" i="1" s="1"/>
  <c r="Z886" i="1"/>
  <c r="X886" i="1"/>
  <c r="AF886" i="1" l="1"/>
  <c r="AB886" i="1"/>
  <c r="AH886" i="1"/>
  <c r="AD886" i="1"/>
  <c r="AE886" i="1"/>
  <c r="AA886" i="1"/>
  <c r="T887" i="1"/>
  <c r="Y887" i="1"/>
  <c r="W887" i="1"/>
  <c r="U887" i="1"/>
  <c r="V887" i="1" s="1"/>
  <c r="X887" i="1"/>
  <c r="S888" i="1"/>
  <c r="Z887" i="1"/>
  <c r="AG886" i="1"/>
  <c r="AC886" i="1"/>
  <c r="AE887" i="1" l="1"/>
  <c r="AA887" i="1"/>
  <c r="T888" i="1"/>
  <c r="X888" i="1"/>
  <c r="Z888" i="1"/>
  <c r="S889" i="1"/>
  <c r="Y888" i="1"/>
  <c r="W888" i="1"/>
  <c r="U888" i="1"/>
  <c r="V888" i="1" s="1"/>
  <c r="AG887" i="1"/>
  <c r="AC887" i="1"/>
  <c r="AF887" i="1"/>
  <c r="AB887" i="1"/>
  <c r="AH887" i="1"/>
  <c r="AD887" i="1"/>
  <c r="AE888" i="1" l="1"/>
  <c r="AA888" i="1"/>
  <c r="AF888" i="1"/>
  <c r="AB888" i="1"/>
  <c r="AG888" i="1"/>
  <c r="AC888" i="1"/>
  <c r="T889" i="1"/>
  <c r="U889" i="1"/>
  <c r="V889" i="1" s="1"/>
  <c r="X889" i="1"/>
  <c r="S890" i="1"/>
  <c r="W889" i="1"/>
  <c r="Y889" i="1"/>
  <c r="Z889" i="1"/>
  <c r="AH888" i="1"/>
  <c r="AD888" i="1"/>
  <c r="AH889" i="1" l="1"/>
  <c r="AD889" i="1"/>
  <c r="AC889" i="1"/>
  <c r="AG889" i="1"/>
  <c r="AE889" i="1"/>
  <c r="AA889" i="1"/>
  <c r="T890" i="1"/>
  <c r="Y890" i="1"/>
  <c r="Z890" i="1"/>
  <c r="W890" i="1"/>
  <c r="U890" i="1"/>
  <c r="V890" i="1" s="1"/>
  <c r="X890" i="1"/>
  <c r="S891" i="1"/>
  <c r="AB889" i="1"/>
  <c r="AF889" i="1"/>
  <c r="AF890" i="1" l="1"/>
  <c r="AB890" i="1"/>
  <c r="AC890" i="1"/>
  <c r="AG890" i="1"/>
  <c r="AA890" i="1"/>
  <c r="AE890" i="1"/>
  <c r="T891" i="1"/>
  <c r="Y891" i="1"/>
  <c r="X891" i="1"/>
  <c r="S892" i="1"/>
  <c r="W891" i="1"/>
  <c r="Z891" i="1"/>
  <c r="U891" i="1"/>
  <c r="V891" i="1" s="1"/>
  <c r="AH890" i="1"/>
  <c r="AD890" i="1"/>
  <c r="AH891" i="1" l="1"/>
  <c r="AD891" i="1"/>
  <c r="AC891" i="1"/>
  <c r="AG891" i="1"/>
  <c r="AA891" i="1"/>
  <c r="AE891" i="1"/>
  <c r="T892" i="1"/>
  <c r="X892" i="1"/>
  <c r="W892" i="1"/>
  <c r="U892" i="1"/>
  <c r="V892" i="1" s="1"/>
  <c r="Z892" i="1"/>
  <c r="S893" i="1"/>
  <c r="Y892" i="1"/>
  <c r="AB891" i="1"/>
  <c r="AF891" i="1"/>
  <c r="T893" i="1" l="1"/>
  <c r="S894" i="1"/>
  <c r="W893" i="1"/>
  <c r="Y893" i="1"/>
  <c r="Z893" i="1"/>
  <c r="U893" i="1"/>
  <c r="V893" i="1" s="1"/>
  <c r="X893" i="1"/>
  <c r="AB892" i="1"/>
  <c r="AF892" i="1"/>
  <c r="AH892" i="1"/>
  <c r="AD892" i="1"/>
  <c r="AC892" i="1"/>
  <c r="AG892" i="1"/>
  <c r="AE892" i="1"/>
  <c r="AA892" i="1"/>
  <c r="AG893" i="1" l="1"/>
  <c r="AC893" i="1"/>
  <c r="AB893" i="1"/>
  <c r="AF893" i="1"/>
  <c r="AA893" i="1"/>
  <c r="AE893" i="1"/>
  <c r="T894" i="1"/>
  <c r="Z894" i="1"/>
  <c r="X894" i="1"/>
  <c r="S895" i="1"/>
  <c r="Y894" i="1"/>
  <c r="W894" i="1"/>
  <c r="U894" i="1"/>
  <c r="V894" i="1" s="1"/>
  <c r="AH893" i="1"/>
  <c r="AD893" i="1"/>
  <c r="AA894" i="1" l="1"/>
  <c r="AE894" i="1"/>
  <c r="AD894" i="1"/>
  <c r="AH894" i="1"/>
  <c r="AC894" i="1"/>
  <c r="AG894" i="1"/>
  <c r="T895" i="1"/>
  <c r="X895" i="1"/>
  <c r="S896" i="1"/>
  <c r="W895" i="1"/>
  <c r="Y895" i="1"/>
  <c r="Z895" i="1"/>
  <c r="U895" i="1"/>
  <c r="V895" i="1" s="1"/>
  <c r="AF894" i="1"/>
  <c r="AB894" i="1"/>
  <c r="AE895" i="1" l="1"/>
  <c r="AA895" i="1"/>
  <c r="T896" i="1"/>
  <c r="Y896" i="1"/>
  <c r="S897" i="1"/>
  <c r="W896" i="1"/>
  <c r="U896" i="1"/>
  <c r="V896" i="1" s="1"/>
  <c r="Z896" i="1"/>
  <c r="X896" i="1"/>
  <c r="AD895" i="1"/>
  <c r="AH895" i="1"/>
  <c r="AB895" i="1"/>
  <c r="AF895" i="1"/>
  <c r="AC895" i="1"/>
  <c r="AG895" i="1"/>
  <c r="AH896" i="1" l="1"/>
  <c r="AD896" i="1"/>
  <c r="AG896" i="1"/>
  <c r="AC896" i="1"/>
  <c r="AE896" i="1"/>
  <c r="AA896" i="1"/>
  <c r="AF896" i="1"/>
  <c r="AB896" i="1"/>
  <c r="T897" i="1"/>
  <c r="S898" i="1"/>
  <c r="W897" i="1"/>
  <c r="Y897" i="1"/>
  <c r="Z897" i="1"/>
  <c r="U897" i="1"/>
  <c r="V897" i="1" s="1"/>
  <c r="X897" i="1"/>
  <c r="AG897" i="1" l="1"/>
  <c r="AC897" i="1"/>
  <c r="AA897" i="1"/>
  <c r="AE897" i="1"/>
  <c r="T898" i="1"/>
  <c r="Z898" i="1"/>
  <c r="X898" i="1"/>
  <c r="S899" i="1"/>
  <c r="Y898" i="1"/>
  <c r="W898" i="1"/>
  <c r="U898" i="1"/>
  <c r="V898" i="1" s="1"/>
  <c r="AB897" i="1"/>
  <c r="AF897" i="1"/>
  <c r="AH897" i="1"/>
  <c r="AD897" i="1"/>
  <c r="T899" i="1" l="1"/>
  <c r="X899" i="1"/>
  <c r="S900" i="1"/>
  <c r="W899" i="1"/>
  <c r="U899" i="1"/>
  <c r="V899" i="1" s="1"/>
  <c r="Y899" i="1"/>
  <c r="Z899" i="1"/>
  <c r="AB898" i="1"/>
  <c r="AF898" i="1"/>
  <c r="AA898" i="1"/>
  <c r="AE898" i="1"/>
  <c r="AH898" i="1"/>
  <c r="AD898" i="1"/>
  <c r="AC898" i="1"/>
  <c r="AG898" i="1"/>
  <c r="AE899" i="1" l="1"/>
  <c r="AA899" i="1"/>
  <c r="AH899" i="1"/>
  <c r="AD899" i="1"/>
  <c r="T900" i="1"/>
  <c r="S901" i="1"/>
  <c r="Y900" i="1"/>
  <c r="U900" i="1"/>
  <c r="V900" i="1" s="1"/>
  <c r="X900" i="1"/>
  <c r="W900" i="1"/>
  <c r="Z900" i="1"/>
  <c r="AG899" i="1"/>
  <c r="AC899" i="1"/>
  <c r="AF899" i="1"/>
  <c r="AB899" i="1"/>
  <c r="AD900" i="1" l="1"/>
  <c r="AH900" i="1"/>
  <c r="AC900" i="1"/>
  <c r="AG900" i="1"/>
  <c r="AE900" i="1"/>
  <c r="AA900" i="1"/>
  <c r="T901" i="1"/>
  <c r="S902" i="1"/>
  <c r="W901" i="1"/>
  <c r="Y901" i="1"/>
  <c r="U901" i="1"/>
  <c r="V901" i="1" s="1"/>
  <c r="X901" i="1"/>
  <c r="Z901" i="1"/>
  <c r="AF900" i="1"/>
  <c r="AB900" i="1"/>
  <c r="AB901" i="1" l="1"/>
  <c r="AF901" i="1"/>
  <c r="T902" i="1"/>
  <c r="Z902" i="1"/>
  <c r="X902" i="1"/>
  <c r="S903" i="1"/>
  <c r="W902" i="1"/>
  <c r="Y902" i="1"/>
  <c r="U902" i="1"/>
  <c r="V902" i="1" s="1"/>
  <c r="AG901" i="1"/>
  <c r="AC901" i="1"/>
  <c r="AD901" i="1"/>
  <c r="AH901" i="1"/>
  <c r="AA901" i="1"/>
  <c r="AE901" i="1"/>
  <c r="AG902" i="1" l="1"/>
  <c r="AC902" i="1"/>
  <c r="AH902" i="1"/>
  <c r="AD902" i="1"/>
  <c r="AA902" i="1"/>
  <c r="AE902" i="1"/>
  <c r="T903" i="1"/>
  <c r="Y903" i="1"/>
  <c r="Z903" i="1"/>
  <c r="U903" i="1"/>
  <c r="V903" i="1" s="1"/>
  <c r="X903" i="1"/>
  <c r="S904" i="1"/>
  <c r="W903" i="1"/>
  <c r="AB902" i="1"/>
  <c r="AF902" i="1"/>
  <c r="AE903" i="1" l="1"/>
  <c r="AA903" i="1"/>
  <c r="AD903" i="1"/>
  <c r="AH903" i="1"/>
  <c r="T904" i="1"/>
  <c r="Y904" i="1"/>
  <c r="W904" i="1"/>
  <c r="U904" i="1"/>
  <c r="V904" i="1" s="1"/>
  <c r="Z904" i="1"/>
  <c r="X904" i="1"/>
  <c r="S905" i="1"/>
  <c r="AG903" i="1"/>
  <c r="AC903" i="1"/>
  <c r="AB903" i="1"/>
  <c r="AF903" i="1"/>
  <c r="T905" i="1" l="1"/>
  <c r="Y905" i="1"/>
  <c r="Z905" i="1"/>
  <c r="U905" i="1"/>
  <c r="V905" i="1" s="1"/>
  <c r="X905" i="1"/>
  <c r="S906" i="1"/>
  <c r="W905" i="1"/>
  <c r="AA904" i="1"/>
  <c r="AE904" i="1"/>
  <c r="AB904" i="1"/>
  <c r="AF904" i="1"/>
  <c r="AG904" i="1"/>
  <c r="AC904" i="1"/>
  <c r="AH904" i="1"/>
  <c r="AD904" i="1"/>
  <c r="AA905" i="1" l="1"/>
  <c r="AE905" i="1"/>
  <c r="AH905" i="1"/>
  <c r="AD905" i="1"/>
  <c r="T906" i="1"/>
  <c r="Z906" i="1"/>
  <c r="S907" i="1"/>
  <c r="Y906" i="1"/>
  <c r="W906" i="1"/>
  <c r="X906" i="1"/>
  <c r="U906" i="1"/>
  <c r="V906" i="1" s="1"/>
  <c r="AG905" i="1"/>
  <c r="AC905" i="1"/>
  <c r="AB905" i="1"/>
  <c r="AF905" i="1"/>
  <c r="AC906" i="1" l="1"/>
  <c r="AG906" i="1"/>
  <c r="T907" i="1"/>
  <c r="X907" i="1"/>
  <c r="S908" i="1"/>
  <c r="W907" i="1"/>
  <c r="Z907" i="1"/>
  <c r="Y907" i="1"/>
  <c r="U907" i="1"/>
  <c r="V907" i="1" s="1"/>
  <c r="AB906" i="1"/>
  <c r="AF906" i="1"/>
  <c r="AH906" i="1"/>
  <c r="AD906" i="1"/>
  <c r="AA906" i="1"/>
  <c r="AE906" i="1"/>
  <c r="AG907" i="1" l="1"/>
  <c r="AC907" i="1"/>
  <c r="AF907" i="1"/>
  <c r="AB907" i="1"/>
  <c r="AH907" i="1"/>
  <c r="AD907" i="1"/>
  <c r="AE907" i="1"/>
  <c r="AA907" i="1"/>
  <c r="T908" i="1"/>
  <c r="W908" i="1"/>
  <c r="U908" i="1"/>
  <c r="V908" i="1" s="1"/>
  <c r="Z908" i="1"/>
  <c r="X908" i="1"/>
  <c r="S909" i="1"/>
  <c r="Y908" i="1"/>
  <c r="AH908" i="1" l="1"/>
  <c r="AD908" i="1"/>
  <c r="T909" i="1"/>
  <c r="S910" i="1"/>
  <c r="W909" i="1"/>
  <c r="Z909" i="1"/>
  <c r="Y909" i="1"/>
  <c r="U909" i="1"/>
  <c r="V909" i="1" s="1"/>
  <c r="X909" i="1"/>
  <c r="AE908" i="1"/>
  <c r="AA908" i="1"/>
  <c r="AG908" i="1"/>
  <c r="AC908" i="1"/>
  <c r="AF908" i="1"/>
  <c r="AB908" i="1"/>
  <c r="T910" i="1" l="1"/>
  <c r="Y910" i="1"/>
  <c r="W910" i="1"/>
  <c r="U910" i="1"/>
  <c r="V910" i="1" s="1"/>
  <c r="Z910" i="1"/>
  <c r="X910" i="1"/>
  <c r="S911" i="1"/>
  <c r="AG909" i="1"/>
  <c r="AC909" i="1"/>
  <c r="AD909" i="1"/>
  <c r="AH909" i="1"/>
  <c r="AF909" i="1"/>
  <c r="AB909" i="1"/>
  <c r="AA909" i="1"/>
  <c r="AE909" i="1"/>
  <c r="T911" i="1" l="1"/>
  <c r="X911" i="1"/>
  <c r="S912" i="1"/>
  <c r="W911" i="1"/>
  <c r="Y911" i="1"/>
  <c r="Z911" i="1"/>
  <c r="U911" i="1"/>
  <c r="V911" i="1" s="1"/>
  <c r="AA910" i="1"/>
  <c r="AE910" i="1"/>
  <c r="AB910" i="1"/>
  <c r="AF910" i="1"/>
  <c r="AC910" i="1"/>
  <c r="AG910" i="1"/>
  <c r="AH910" i="1"/>
  <c r="AD910" i="1"/>
  <c r="AE911" i="1" l="1"/>
  <c r="AA911" i="1"/>
  <c r="T912" i="1"/>
  <c r="Y912" i="1"/>
  <c r="Z912" i="1"/>
  <c r="S913" i="1"/>
  <c r="W912" i="1"/>
  <c r="U912" i="1"/>
  <c r="V912" i="1" s="1"/>
  <c r="X912" i="1"/>
  <c r="AD911" i="1"/>
  <c r="AH911" i="1"/>
  <c r="AB911" i="1"/>
  <c r="AF911" i="1"/>
  <c r="AC911" i="1"/>
  <c r="AG911" i="1"/>
  <c r="AC912" i="1" l="1"/>
  <c r="AG912" i="1"/>
  <c r="AE912" i="1"/>
  <c r="AA912" i="1"/>
  <c r="T913" i="1"/>
  <c r="U913" i="1"/>
  <c r="V913" i="1" s="1"/>
  <c r="X913" i="1"/>
  <c r="Z913" i="1"/>
  <c r="S914" i="1"/>
  <c r="W913" i="1"/>
  <c r="Y913" i="1"/>
  <c r="AF912" i="1"/>
  <c r="AB912" i="1"/>
  <c r="AH912" i="1"/>
  <c r="AD912" i="1"/>
  <c r="AD913" i="1" l="1"/>
  <c r="AH913" i="1"/>
  <c r="AG913" i="1"/>
  <c r="AC913" i="1"/>
  <c r="AF913" i="1"/>
  <c r="AB913" i="1"/>
  <c r="AA913" i="1"/>
  <c r="AE913" i="1"/>
  <c r="T914" i="1"/>
  <c r="Y914" i="1"/>
  <c r="W914" i="1"/>
  <c r="U914" i="1"/>
  <c r="V914" i="1" s="1"/>
  <c r="Z914" i="1"/>
  <c r="X914" i="1"/>
  <c r="S915" i="1"/>
  <c r="AA914" i="1" l="1"/>
  <c r="AE914" i="1"/>
  <c r="AF914" i="1"/>
  <c r="AB914" i="1"/>
  <c r="AC914" i="1"/>
  <c r="AG914" i="1"/>
  <c r="T915" i="1"/>
  <c r="U915" i="1"/>
  <c r="V915" i="1" s="1"/>
  <c r="X915" i="1"/>
  <c r="S916" i="1"/>
  <c r="W915" i="1"/>
  <c r="Y915" i="1"/>
  <c r="Z915" i="1"/>
  <c r="AH914" i="1"/>
  <c r="AD914" i="1"/>
  <c r="T916" i="1" l="1"/>
  <c r="Z916" i="1"/>
  <c r="X916" i="1"/>
  <c r="S917" i="1"/>
  <c r="Y916" i="1"/>
  <c r="U916" i="1"/>
  <c r="V916" i="1" s="1"/>
  <c r="W916" i="1"/>
  <c r="AG915" i="1"/>
  <c r="AC915" i="1"/>
  <c r="AA915" i="1"/>
  <c r="AE915" i="1"/>
  <c r="AH915" i="1"/>
  <c r="AD915" i="1"/>
  <c r="AB915" i="1"/>
  <c r="AF915" i="1"/>
  <c r="T917" i="1" l="1"/>
  <c r="X917" i="1"/>
  <c r="Y917" i="1"/>
  <c r="Z917" i="1"/>
  <c r="S918" i="1"/>
  <c r="W917" i="1"/>
  <c r="U917" i="1"/>
  <c r="V917" i="1" s="1"/>
  <c r="AA916" i="1"/>
  <c r="AE916" i="1"/>
  <c r="AB916" i="1"/>
  <c r="AF916" i="1"/>
  <c r="AD916" i="1"/>
  <c r="AH916" i="1"/>
  <c r="AC916" i="1"/>
  <c r="AG916" i="1"/>
  <c r="AD917" i="1" l="1"/>
  <c r="AH917" i="1"/>
  <c r="AG917" i="1"/>
  <c r="AC917" i="1"/>
  <c r="AE917" i="1"/>
  <c r="AA917" i="1"/>
  <c r="AB917" i="1"/>
  <c r="AF917" i="1"/>
  <c r="T918" i="1"/>
  <c r="Z918" i="1"/>
  <c r="X918" i="1"/>
  <c r="S919" i="1"/>
  <c r="Y918" i="1"/>
  <c r="U918" i="1"/>
  <c r="V918" i="1" s="1"/>
  <c r="W918" i="1"/>
  <c r="T919" i="1" l="1"/>
  <c r="Y919" i="1"/>
  <c r="S920" i="1"/>
  <c r="Z919" i="1"/>
  <c r="U919" i="1"/>
  <c r="V919" i="1" s="1"/>
  <c r="X919" i="1"/>
  <c r="W919" i="1"/>
  <c r="AB918" i="1"/>
  <c r="AF918" i="1"/>
  <c r="AE918" i="1"/>
  <c r="AA918" i="1"/>
  <c r="AD918" i="1"/>
  <c r="AH918" i="1"/>
  <c r="AG918" i="1"/>
  <c r="AC918" i="1"/>
  <c r="AD919" i="1" l="1"/>
  <c r="AH919" i="1"/>
  <c r="AA919" i="1"/>
  <c r="AE919" i="1"/>
  <c r="T920" i="1"/>
  <c r="Z920" i="1"/>
  <c r="X920" i="1"/>
  <c r="Y920" i="1"/>
  <c r="W920" i="1"/>
  <c r="U920" i="1"/>
  <c r="V920" i="1" s="1"/>
  <c r="S921" i="1"/>
  <c r="AB919" i="1"/>
  <c r="AF919" i="1"/>
  <c r="AC919" i="1"/>
  <c r="AG919" i="1"/>
  <c r="AC920" i="1" l="1"/>
  <c r="AG920" i="1"/>
  <c r="T921" i="1"/>
  <c r="X921" i="1"/>
  <c r="S922" i="1"/>
  <c r="Y921" i="1"/>
  <c r="Z921" i="1"/>
  <c r="U921" i="1"/>
  <c r="V921" i="1" s="1"/>
  <c r="W921" i="1"/>
  <c r="AB920" i="1"/>
  <c r="AF920" i="1"/>
  <c r="AH920" i="1"/>
  <c r="AD920" i="1"/>
  <c r="AE920" i="1"/>
  <c r="AA920" i="1"/>
  <c r="AB921" i="1" l="1"/>
  <c r="AF921" i="1"/>
  <c r="AD921" i="1"/>
  <c r="AH921" i="1"/>
  <c r="AC921" i="1"/>
  <c r="AG921" i="1"/>
  <c r="AE921" i="1"/>
  <c r="AA921" i="1"/>
  <c r="T922" i="1"/>
  <c r="Y922" i="1"/>
  <c r="S923" i="1"/>
  <c r="W922" i="1"/>
  <c r="U922" i="1"/>
  <c r="V922" i="1" s="1"/>
  <c r="Z922" i="1"/>
  <c r="X922" i="1"/>
  <c r="AF922" i="1" l="1"/>
  <c r="AB922" i="1"/>
  <c r="AH922" i="1"/>
  <c r="AD922" i="1"/>
  <c r="AE922" i="1"/>
  <c r="AA922" i="1"/>
  <c r="T923" i="1"/>
  <c r="Y923" i="1"/>
  <c r="U923" i="1"/>
  <c r="V923" i="1" s="1"/>
  <c r="X923" i="1"/>
  <c r="S924" i="1"/>
  <c r="W923" i="1"/>
  <c r="Z923" i="1"/>
  <c r="AG922" i="1"/>
  <c r="AC922" i="1"/>
  <c r="AH923" i="1" l="1"/>
  <c r="AD923" i="1"/>
  <c r="AE923" i="1"/>
  <c r="AA923" i="1"/>
  <c r="AC923" i="1"/>
  <c r="AG923" i="1"/>
  <c r="T924" i="1"/>
  <c r="Z924" i="1"/>
  <c r="S925" i="1"/>
  <c r="Y924" i="1"/>
  <c r="W924" i="1"/>
  <c r="U924" i="1"/>
  <c r="V924" i="1" s="1"/>
  <c r="X924" i="1"/>
  <c r="AF923" i="1"/>
  <c r="AB923" i="1"/>
  <c r="AD924" i="1" l="1"/>
  <c r="AH924" i="1"/>
  <c r="AE924" i="1"/>
  <c r="AA924" i="1"/>
  <c r="AG924" i="1"/>
  <c r="AC924" i="1"/>
  <c r="AF924" i="1"/>
  <c r="AB924" i="1"/>
  <c r="T925" i="1"/>
  <c r="S926" i="1"/>
  <c r="Y925" i="1"/>
  <c r="W925" i="1"/>
  <c r="Z925" i="1"/>
  <c r="U925" i="1"/>
  <c r="V925" i="1" s="1"/>
  <c r="X925" i="1"/>
  <c r="AA925" i="1" l="1"/>
  <c r="AE925" i="1"/>
  <c r="AB925" i="1"/>
  <c r="AF925" i="1"/>
  <c r="T926" i="1"/>
  <c r="W926" i="1"/>
  <c r="Z926" i="1"/>
  <c r="X926" i="1"/>
  <c r="S927" i="1"/>
  <c r="Y926" i="1"/>
  <c r="U926" i="1"/>
  <c r="V926" i="1" s="1"/>
  <c r="AG925" i="1"/>
  <c r="AC925" i="1"/>
  <c r="AD925" i="1"/>
  <c r="AH925" i="1"/>
  <c r="AB926" i="1" l="1"/>
  <c r="AF926" i="1"/>
  <c r="AH926" i="1"/>
  <c r="AD926" i="1"/>
  <c r="AG926" i="1"/>
  <c r="AC926" i="1"/>
  <c r="AA926" i="1"/>
  <c r="AE926" i="1"/>
  <c r="T927" i="1"/>
  <c r="Y927" i="1"/>
  <c r="Z927" i="1"/>
  <c r="U927" i="1"/>
  <c r="V927" i="1" s="1"/>
  <c r="X927" i="1"/>
  <c r="S928" i="1"/>
  <c r="W927" i="1"/>
  <c r="AA927" i="1" l="1"/>
  <c r="AE927" i="1"/>
  <c r="AH927" i="1"/>
  <c r="AD927" i="1"/>
  <c r="T928" i="1"/>
  <c r="Z928" i="1"/>
  <c r="X928" i="1"/>
  <c r="S929" i="1"/>
  <c r="U928" i="1"/>
  <c r="V928" i="1" s="1"/>
  <c r="Y928" i="1"/>
  <c r="W928" i="1"/>
  <c r="AG927" i="1"/>
  <c r="AC927" i="1"/>
  <c r="AB927" i="1"/>
  <c r="AF927" i="1"/>
  <c r="T929" i="1" l="1"/>
  <c r="X929" i="1"/>
  <c r="S930" i="1"/>
  <c r="Y929" i="1"/>
  <c r="Z929" i="1"/>
  <c r="U929" i="1"/>
  <c r="V929" i="1" s="1"/>
  <c r="W929" i="1"/>
  <c r="AE928" i="1"/>
  <c r="AA928" i="1"/>
  <c r="AF928" i="1"/>
  <c r="AB928" i="1"/>
  <c r="AC928" i="1"/>
  <c r="AG928" i="1"/>
  <c r="AD928" i="1"/>
  <c r="AH928" i="1"/>
  <c r="AC929" i="1" l="1"/>
  <c r="AG929" i="1"/>
  <c r="AA929" i="1"/>
  <c r="AE929" i="1"/>
  <c r="T930" i="1"/>
  <c r="Z930" i="1"/>
  <c r="X930" i="1"/>
  <c r="Y930" i="1"/>
  <c r="S931" i="1"/>
  <c r="W930" i="1"/>
  <c r="U930" i="1"/>
  <c r="V930" i="1" s="1"/>
  <c r="AF929" i="1"/>
  <c r="AB929" i="1"/>
  <c r="AD929" i="1"/>
  <c r="AH929" i="1"/>
  <c r="AG930" i="1" l="1"/>
  <c r="AC930" i="1"/>
  <c r="AB930" i="1"/>
  <c r="AF930" i="1"/>
  <c r="AA930" i="1"/>
  <c r="AE930" i="1"/>
  <c r="AH930" i="1"/>
  <c r="AD930" i="1"/>
  <c r="T931" i="1"/>
  <c r="U931" i="1"/>
  <c r="V931" i="1" s="1"/>
  <c r="Z931" i="1"/>
  <c r="S932" i="1"/>
  <c r="X931" i="1"/>
  <c r="Y931" i="1"/>
  <c r="W931" i="1"/>
  <c r="T932" i="1" l="1"/>
  <c r="Y932" i="1"/>
  <c r="W932" i="1"/>
  <c r="U932" i="1"/>
  <c r="V932" i="1" s="1"/>
  <c r="Z932" i="1"/>
  <c r="X932" i="1"/>
  <c r="S933" i="1"/>
  <c r="AE931" i="1"/>
  <c r="AA931" i="1"/>
  <c r="AH931" i="1"/>
  <c r="AD931" i="1"/>
  <c r="AG931" i="1"/>
  <c r="AC931" i="1"/>
  <c r="AF931" i="1"/>
  <c r="AB931" i="1"/>
  <c r="T933" i="1" l="1"/>
  <c r="S934" i="1"/>
  <c r="Z933" i="1"/>
  <c r="U933" i="1"/>
  <c r="V933" i="1" s="1"/>
  <c r="X933" i="1"/>
  <c r="Y933" i="1"/>
  <c r="W933" i="1"/>
  <c r="AA932" i="1"/>
  <c r="AE932" i="1"/>
  <c r="AB932" i="1"/>
  <c r="AF932" i="1"/>
  <c r="AC932" i="1"/>
  <c r="AG932" i="1"/>
  <c r="AH932" i="1"/>
  <c r="AD932" i="1"/>
  <c r="AA933" i="1" l="1"/>
  <c r="AE933" i="1"/>
  <c r="AD933" i="1"/>
  <c r="AH933" i="1"/>
  <c r="AG933" i="1"/>
  <c r="AC933" i="1"/>
  <c r="T934" i="1"/>
  <c r="Z934" i="1"/>
  <c r="X934" i="1"/>
  <c r="Y934" i="1"/>
  <c r="S935" i="1"/>
  <c r="W934" i="1"/>
  <c r="U934" i="1"/>
  <c r="V934" i="1" s="1"/>
  <c r="AF933" i="1"/>
  <c r="AB933" i="1"/>
  <c r="AF934" i="1" l="1"/>
  <c r="AB934" i="1"/>
  <c r="AE934" i="1"/>
  <c r="AA934" i="1"/>
  <c r="AD934" i="1"/>
  <c r="AH934" i="1"/>
  <c r="T935" i="1"/>
  <c r="W935" i="1"/>
  <c r="U935" i="1"/>
  <c r="V935" i="1" s="1"/>
  <c r="Y935" i="1"/>
  <c r="X935" i="1"/>
  <c r="S936" i="1"/>
  <c r="Z935" i="1"/>
  <c r="AC934" i="1"/>
  <c r="AG934" i="1"/>
  <c r="T936" i="1" l="1"/>
  <c r="Y936" i="1"/>
  <c r="W936" i="1"/>
  <c r="U936" i="1"/>
  <c r="V936" i="1" s="1"/>
  <c r="Z936" i="1"/>
  <c r="S937" i="1"/>
  <c r="X936" i="1"/>
  <c r="AA935" i="1"/>
  <c r="AE935" i="1"/>
  <c r="AB935" i="1"/>
  <c r="AF935" i="1"/>
  <c r="AG935" i="1"/>
  <c r="AC935" i="1"/>
  <c r="AH935" i="1"/>
  <c r="AD935" i="1"/>
  <c r="AF936" i="1" l="1"/>
  <c r="AB936" i="1"/>
  <c r="AE936" i="1"/>
  <c r="AA936" i="1"/>
  <c r="T937" i="1"/>
  <c r="X937" i="1"/>
  <c r="Y937" i="1"/>
  <c r="S938" i="1"/>
  <c r="Z937" i="1"/>
  <c r="W937" i="1"/>
  <c r="U937" i="1"/>
  <c r="V937" i="1" s="1"/>
  <c r="AC936" i="1"/>
  <c r="AG936" i="1"/>
  <c r="AD936" i="1"/>
  <c r="AH936" i="1"/>
  <c r="T938" i="1" l="1"/>
  <c r="Z938" i="1"/>
  <c r="Y938" i="1"/>
  <c r="S939" i="1"/>
  <c r="X938" i="1"/>
  <c r="W938" i="1"/>
  <c r="U938" i="1"/>
  <c r="V938" i="1" s="1"/>
  <c r="AG937" i="1"/>
  <c r="AC937" i="1"/>
  <c r="AA937" i="1"/>
  <c r="AE937" i="1"/>
  <c r="AB937" i="1"/>
  <c r="AF937" i="1"/>
  <c r="AD937" i="1"/>
  <c r="AH937" i="1"/>
  <c r="T939" i="1" l="1"/>
  <c r="X939" i="1"/>
  <c r="Y939" i="1"/>
  <c r="S940" i="1"/>
  <c r="U939" i="1"/>
  <c r="V939" i="1" s="1"/>
  <c r="Z939" i="1"/>
  <c r="W939" i="1"/>
  <c r="AG938" i="1"/>
  <c r="AC938" i="1"/>
  <c r="AA938" i="1"/>
  <c r="AE938" i="1"/>
  <c r="AD938" i="1"/>
  <c r="AH938" i="1"/>
  <c r="AF938" i="1"/>
  <c r="AB938" i="1"/>
  <c r="T940" i="1" l="1"/>
  <c r="S941" i="1"/>
  <c r="X940" i="1"/>
  <c r="Y940" i="1"/>
  <c r="W940" i="1"/>
  <c r="U940" i="1"/>
  <c r="V940" i="1" s="1"/>
  <c r="Z940" i="1"/>
  <c r="AE939" i="1"/>
  <c r="AA939" i="1"/>
  <c r="AC939" i="1"/>
  <c r="AG939" i="1"/>
  <c r="AD939" i="1"/>
  <c r="AH939" i="1"/>
  <c r="AB939" i="1"/>
  <c r="AF939" i="1"/>
  <c r="AG940" i="1" l="1"/>
  <c r="AC940" i="1"/>
  <c r="AD940" i="1"/>
  <c r="AH940" i="1"/>
  <c r="AF940" i="1"/>
  <c r="AB940" i="1"/>
  <c r="T941" i="1"/>
  <c r="X941" i="1"/>
  <c r="Y941" i="1"/>
  <c r="S942" i="1"/>
  <c r="Z941" i="1"/>
  <c r="U941" i="1"/>
  <c r="V941" i="1" s="1"/>
  <c r="W941" i="1"/>
  <c r="AA940" i="1"/>
  <c r="AE940" i="1"/>
  <c r="AA941" i="1" l="1"/>
  <c r="AE941" i="1"/>
  <c r="AF941" i="1"/>
  <c r="AB941" i="1"/>
  <c r="AD941" i="1"/>
  <c r="AH941" i="1"/>
  <c r="T942" i="1"/>
  <c r="Z942" i="1"/>
  <c r="S943" i="1"/>
  <c r="W942" i="1"/>
  <c r="U942" i="1"/>
  <c r="V942" i="1" s="1"/>
  <c r="X942" i="1"/>
  <c r="Y942" i="1"/>
  <c r="AC941" i="1"/>
  <c r="AG941" i="1"/>
  <c r="AF942" i="1" l="1"/>
  <c r="AB942" i="1"/>
  <c r="AD942" i="1"/>
  <c r="AH942" i="1"/>
  <c r="AA942" i="1"/>
  <c r="AE942" i="1"/>
  <c r="AG942" i="1"/>
  <c r="AC942" i="1"/>
  <c r="T943" i="1"/>
  <c r="S944" i="1"/>
  <c r="Z943" i="1"/>
  <c r="W943" i="1"/>
  <c r="U943" i="1"/>
  <c r="V943" i="1" s="1"/>
  <c r="X943" i="1"/>
  <c r="Y943" i="1"/>
  <c r="AB943" i="1" l="1"/>
  <c r="AF943" i="1"/>
  <c r="AE943" i="1"/>
  <c r="AA943" i="1"/>
  <c r="AG943" i="1"/>
  <c r="AC943" i="1"/>
  <c r="AD943" i="1"/>
  <c r="AH943" i="1"/>
  <c r="T944" i="1"/>
  <c r="X944" i="1"/>
  <c r="Z944" i="1"/>
  <c r="S945" i="1"/>
  <c r="W944" i="1"/>
  <c r="Y944" i="1"/>
  <c r="U944" i="1"/>
  <c r="V944" i="1" s="1"/>
  <c r="T945" i="1" l="1"/>
  <c r="X945" i="1"/>
  <c r="W945" i="1"/>
  <c r="U945" i="1"/>
  <c r="V945" i="1" s="1"/>
  <c r="Z945" i="1"/>
  <c r="S946" i="1"/>
  <c r="Y945" i="1"/>
  <c r="AH944" i="1"/>
  <c r="AD944" i="1"/>
  <c r="AG944" i="1"/>
  <c r="AC944" i="1"/>
  <c r="AB944" i="1"/>
  <c r="AF944" i="1"/>
  <c r="AE944" i="1"/>
  <c r="AA944" i="1"/>
  <c r="AG945" i="1" l="1"/>
  <c r="AC945" i="1"/>
  <c r="AE945" i="1"/>
  <c r="AA945" i="1"/>
  <c r="T946" i="1"/>
  <c r="Y946" i="1"/>
  <c r="U946" i="1"/>
  <c r="V946" i="1" s="1"/>
  <c r="Z946" i="1"/>
  <c r="X946" i="1"/>
  <c r="S947" i="1"/>
  <c r="W946" i="1"/>
  <c r="AF945" i="1"/>
  <c r="AB945" i="1"/>
  <c r="AD945" i="1"/>
  <c r="AH945" i="1"/>
  <c r="AD946" i="1" l="1"/>
  <c r="AH946" i="1"/>
  <c r="AA946" i="1"/>
  <c r="AE946" i="1"/>
  <c r="T947" i="1"/>
  <c r="S948" i="1"/>
  <c r="X947" i="1"/>
  <c r="U947" i="1"/>
  <c r="V947" i="1" s="1"/>
  <c r="Z947" i="1"/>
  <c r="Y947" i="1"/>
  <c r="W947" i="1"/>
  <c r="AC946" i="1"/>
  <c r="AG946" i="1"/>
  <c r="AF946" i="1"/>
  <c r="AB946" i="1"/>
  <c r="AE947" i="1" l="1"/>
  <c r="AA947" i="1"/>
  <c r="AB947" i="1"/>
  <c r="AF947" i="1"/>
  <c r="AC947" i="1"/>
  <c r="AG947" i="1"/>
  <c r="T948" i="1"/>
  <c r="W948" i="1"/>
  <c r="Z948" i="1"/>
  <c r="X948" i="1"/>
  <c r="Y948" i="1"/>
  <c r="U948" i="1"/>
  <c r="V948" i="1" s="1"/>
  <c r="S949" i="1"/>
  <c r="AH947" i="1"/>
  <c r="AD947" i="1"/>
  <c r="AA948" i="1" l="1"/>
  <c r="AE948" i="1"/>
  <c r="AC948" i="1"/>
  <c r="AG948" i="1"/>
  <c r="AF948" i="1"/>
  <c r="AB948" i="1"/>
  <c r="T949" i="1"/>
  <c r="S950" i="1"/>
  <c r="X949" i="1"/>
  <c r="Y949" i="1"/>
  <c r="W949" i="1"/>
  <c r="U949" i="1"/>
  <c r="V949" i="1" s="1"/>
  <c r="Z949" i="1"/>
  <c r="AD948" i="1"/>
  <c r="AH948" i="1"/>
  <c r="T950" i="1" l="1"/>
  <c r="U950" i="1"/>
  <c r="V950" i="1" s="1"/>
  <c r="X950" i="1"/>
  <c r="Z950" i="1"/>
  <c r="S951" i="1"/>
  <c r="W950" i="1"/>
  <c r="Y950" i="1"/>
  <c r="AA949" i="1"/>
  <c r="AE949" i="1"/>
  <c r="AC949" i="1"/>
  <c r="AG949" i="1"/>
  <c r="AD949" i="1"/>
  <c r="AH949" i="1"/>
  <c r="AB949" i="1"/>
  <c r="AF949" i="1"/>
  <c r="AH950" i="1" l="1"/>
  <c r="AD950" i="1"/>
  <c r="AC950" i="1"/>
  <c r="AG950" i="1"/>
  <c r="AB950" i="1"/>
  <c r="AF950" i="1"/>
  <c r="AE950" i="1"/>
  <c r="AA950" i="1"/>
  <c r="T951" i="1"/>
  <c r="W951" i="1"/>
  <c r="U951" i="1"/>
  <c r="V951" i="1" s="1"/>
  <c r="Z951" i="1"/>
  <c r="S952" i="1"/>
  <c r="X951" i="1"/>
  <c r="Y951" i="1"/>
  <c r="AH951" i="1" l="1"/>
  <c r="AD951" i="1"/>
  <c r="AG951" i="1"/>
  <c r="AC951" i="1"/>
  <c r="AF951" i="1"/>
  <c r="AB951" i="1"/>
  <c r="AE951" i="1"/>
  <c r="AA951" i="1"/>
  <c r="T952" i="1"/>
  <c r="W952" i="1"/>
  <c r="U952" i="1"/>
  <c r="V952" i="1" s="1"/>
  <c r="Z952" i="1"/>
  <c r="X952" i="1"/>
  <c r="S953" i="1"/>
  <c r="Y952" i="1"/>
  <c r="AG952" i="1" l="1"/>
  <c r="AC952" i="1"/>
  <c r="AD952" i="1"/>
  <c r="AH952" i="1"/>
  <c r="T953" i="1"/>
  <c r="S954" i="1"/>
  <c r="X953" i="1"/>
  <c r="W953" i="1"/>
  <c r="Z953" i="1"/>
  <c r="Y953" i="1"/>
  <c r="U953" i="1"/>
  <c r="V953" i="1" s="1"/>
  <c r="AE952" i="1"/>
  <c r="AA952" i="1"/>
  <c r="AF952" i="1"/>
  <c r="AB952" i="1"/>
  <c r="AE953" i="1" l="1"/>
  <c r="AA953" i="1"/>
  <c r="AB953" i="1"/>
  <c r="AF953" i="1"/>
  <c r="AC953" i="1"/>
  <c r="AG953" i="1"/>
  <c r="T954" i="1"/>
  <c r="W954" i="1"/>
  <c r="U954" i="1"/>
  <c r="V954" i="1" s="1"/>
  <c r="Z954" i="1"/>
  <c r="X954" i="1"/>
  <c r="S955" i="1"/>
  <c r="Y954" i="1"/>
  <c r="AH953" i="1"/>
  <c r="AD953" i="1"/>
  <c r="T955" i="1" l="1"/>
  <c r="W955" i="1"/>
  <c r="U955" i="1"/>
  <c r="V955" i="1" s="1"/>
  <c r="Z955" i="1"/>
  <c r="X955" i="1"/>
  <c r="Y955" i="1"/>
  <c r="S956" i="1"/>
  <c r="AA954" i="1"/>
  <c r="AE954" i="1"/>
  <c r="AF954" i="1"/>
  <c r="AB954" i="1"/>
  <c r="AH954" i="1"/>
  <c r="AD954" i="1"/>
  <c r="AC954" i="1"/>
  <c r="AG954" i="1"/>
  <c r="AD955" i="1" l="1"/>
  <c r="AH955" i="1"/>
  <c r="T956" i="1"/>
  <c r="U956" i="1"/>
  <c r="V956" i="1" s="1"/>
  <c r="Z956" i="1"/>
  <c r="X956" i="1"/>
  <c r="W956" i="1"/>
  <c r="S957" i="1"/>
  <c r="Y956" i="1"/>
  <c r="AC955" i="1"/>
  <c r="AG955" i="1"/>
  <c r="AE955" i="1"/>
  <c r="AA955" i="1"/>
  <c r="AB955" i="1"/>
  <c r="AF955" i="1"/>
  <c r="T957" i="1" l="1"/>
  <c r="S958" i="1"/>
  <c r="Y957" i="1"/>
  <c r="W957" i="1"/>
  <c r="U957" i="1"/>
  <c r="V957" i="1" s="1"/>
  <c r="Z957" i="1"/>
  <c r="X957" i="1"/>
  <c r="AE956" i="1"/>
  <c r="AA956" i="1"/>
  <c r="AF956" i="1"/>
  <c r="AB956" i="1"/>
  <c r="AG956" i="1"/>
  <c r="AC956" i="1"/>
  <c r="AH956" i="1"/>
  <c r="AD956" i="1"/>
  <c r="AA957" i="1" l="1"/>
  <c r="AE957" i="1"/>
  <c r="AB957" i="1"/>
  <c r="AF957" i="1"/>
  <c r="AG957" i="1"/>
  <c r="AC957" i="1"/>
  <c r="AH957" i="1"/>
  <c r="AD957" i="1"/>
  <c r="T958" i="1"/>
  <c r="S959" i="1"/>
  <c r="W958" i="1"/>
  <c r="Y958" i="1"/>
  <c r="U958" i="1"/>
  <c r="V958" i="1" s="1"/>
  <c r="Z958" i="1"/>
  <c r="X958" i="1"/>
  <c r="AG958" i="1" l="1"/>
  <c r="AC958" i="1"/>
  <c r="AD958" i="1"/>
  <c r="AH958" i="1"/>
  <c r="AF958" i="1"/>
  <c r="AB958" i="1"/>
  <c r="AE958" i="1"/>
  <c r="AA958" i="1"/>
  <c r="T959" i="1"/>
  <c r="S960" i="1"/>
  <c r="X959" i="1"/>
  <c r="Y959" i="1"/>
  <c r="Z959" i="1"/>
  <c r="W959" i="1"/>
  <c r="U959" i="1"/>
  <c r="V959" i="1" s="1"/>
  <c r="AE959" i="1" l="1"/>
  <c r="AA959" i="1"/>
  <c r="AD959" i="1"/>
  <c r="AH959" i="1"/>
  <c r="AG959" i="1"/>
  <c r="AC959" i="1"/>
  <c r="AF959" i="1"/>
  <c r="AB959" i="1"/>
  <c r="T960" i="1"/>
  <c r="S961" i="1"/>
  <c r="W960" i="1"/>
  <c r="Y960" i="1"/>
  <c r="U960" i="1"/>
  <c r="V960" i="1" s="1"/>
  <c r="Z960" i="1"/>
  <c r="X960" i="1"/>
  <c r="AG960" i="1" l="1"/>
  <c r="AC960" i="1"/>
  <c r="AB960" i="1"/>
  <c r="AF960" i="1"/>
  <c r="AA960" i="1"/>
  <c r="AE960" i="1"/>
  <c r="AH960" i="1"/>
  <c r="AD960" i="1"/>
  <c r="T961" i="1"/>
  <c r="Y961" i="1"/>
  <c r="U961" i="1"/>
  <c r="V961" i="1" s="1"/>
  <c r="X961" i="1"/>
  <c r="W961" i="1"/>
  <c r="Z961" i="1"/>
  <c r="S962" i="1"/>
  <c r="AB961" i="1" l="1"/>
  <c r="AF961" i="1"/>
  <c r="T962" i="1"/>
  <c r="U962" i="1"/>
  <c r="V962" i="1" s="1"/>
  <c r="S963" i="1"/>
  <c r="Z962" i="1"/>
  <c r="X962" i="1"/>
  <c r="W962" i="1"/>
  <c r="Y962" i="1"/>
  <c r="AH961" i="1"/>
  <c r="AD961" i="1"/>
  <c r="AC961" i="1"/>
  <c r="AG961" i="1"/>
  <c r="AE961" i="1"/>
  <c r="AA961" i="1"/>
  <c r="AA962" i="1" l="1"/>
  <c r="AE962" i="1"/>
  <c r="AB962" i="1"/>
  <c r="AF962" i="1"/>
  <c r="AH962" i="1"/>
  <c r="AD962" i="1"/>
  <c r="AG962" i="1"/>
  <c r="AC962" i="1"/>
  <c r="T963" i="1"/>
  <c r="S964" i="1"/>
  <c r="X963" i="1"/>
  <c r="Y963" i="1"/>
  <c r="W963" i="1"/>
  <c r="U963" i="1"/>
  <c r="V963" i="1" s="1"/>
  <c r="Z963" i="1"/>
  <c r="AG963" i="1" l="1"/>
  <c r="AC963" i="1"/>
  <c r="AF963" i="1"/>
  <c r="AB963" i="1"/>
  <c r="AH963" i="1"/>
  <c r="AD963" i="1"/>
  <c r="T964" i="1"/>
  <c r="S965" i="1"/>
  <c r="Y964" i="1"/>
  <c r="U964" i="1"/>
  <c r="V964" i="1" s="1"/>
  <c r="Z964" i="1"/>
  <c r="X964" i="1"/>
  <c r="W964" i="1"/>
  <c r="AE963" i="1"/>
  <c r="AA963" i="1"/>
  <c r="AF964" i="1" l="1"/>
  <c r="AB964" i="1"/>
  <c r="T965" i="1"/>
  <c r="W965" i="1"/>
  <c r="U965" i="1"/>
  <c r="V965" i="1" s="1"/>
  <c r="Z965" i="1"/>
  <c r="S966" i="1"/>
  <c r="X965" i="1"/>
  <c r="Y965" i="1"/>
  <c r="AD964" i="1"/>
  <c r="AH964" i="1"/>
  <c r="AE964" i="1"/>
  <c r="AA964" i="1"/>
  <c r="AC964" i="1"/>
  <c r="AG964" i="1"/>
  <c r="AB965" i="1" l="1"/>
  <c r="AF965" i="1"/>
  <c r="AA965" i="1"/>
  <c r="AE965" i="1"/>
  <c r="T966" i="1"/>
  <c r="U966" i="1"/>
  <c r="V966" i="1" s="1"/>
  <c r="Z966" i="1"/>
  <c r="X966" i="1"/>
  <c r="S967" i="1"/>
  <c r="W966" i="1"/>
  <c r="Y966" i="1"/>
  <c r="AD965" i="1"/>
  <c r="AH965" i="1"/>
  <c r="AG965" i="1"/>
  <c r="AC965" i="1"/>
  <c r="AF966" i="1" l="1"/>
  <c r="AB966" i="1"/>
  <c r="AG966" i="1"/>
  <c r="AC966" i="1"/>
  <c r="AD966" i="1"/>
  <c r="AH966" i="1"/>
  <c r="AA966" i="1"/>
  <c r="AE966" i="1"/>
  <c r="T967" i="1"/>
  <c r="X967" i="1"/>
  <c r="Y967" i="1"/>
  <c r="W967" i="1"/>
  <c r="U967" i="1"/>
  <c r="V967" i="1" s="1"/>
  <c r="Z967" i="1"/>
  <c r="S968" i="1"/>
  <c r="AG967" i="1" l="1"/>
  <c r="AC967" i="1"/>
  <c r="AE967" i="1"/>
  <c r="AA967" i="1"/>
  <c r="T968" i="1"/>
  <c r="X968" i="1"/>
  <c r="S969" i="1"/>
  <c r="W968" i="1"/>
  <c r="Y968" i="1"/>
  <c r="U968" i="1"/>
  <c r="V968" i="1" s="1"/>
  <c r="Z968" i="1"/>
  <c r="AD967" i="1"/>
  <c r="AH967" i="1"/>
  <c r="AF967" i="1"/>
  <c r="AB967" i="1"/>
  <c r="AA968" i="1" l="1"/>
  <c r="AE968" i="1"/>
  <c r="AD968" i="1"/>
  <c r="AH968" i="1"/>
  <c r="T969" i="1"/>
  <c r="W969" i="1"/>
  <c r="U969" i="1"/>
  <c r="V969" i="1" s="1"/>
  <c r="Y969" i="1"/>
  <c r="Z969" i="1"/>
  <c r="X969" i="1"/>
  <c r="S970" i="1"/>
  <c r="AF968" i="1"/>
  <c r="AB968" i="1"/>
  <c r="AC968" i="1"/>
  <c r="AG968" i="1"/>
  <c r="T970" i="1" l="1"/>
  <c r="U970" i="1"/>
  <c r="V970" i="1" s="1"/>
  <c r="Z970" i="1"/>
  <c r="X970" i="1"/>
  <c r="S971" i="1"/>
  <c r="W970" i="1"/>
  <c r="Y970" i="1"/>
  <c r="AB969" i="1"/>
  <c r="AF969" i="1"/>
  <c r="AE969" i="1"/>
  <c r="AA969" i="1"/>
  <c r="AC969" i="1"/>
  <c r="AG969" i="1"/>
  <c r="AD969" i="1"/>
  <c r="AH969" i="1"/>
  <c r="AF970" i="1" l="1"/>
  <c r="AB970" i="1"/>
  <c r="AC970" i="1"/>
  <c r="AG970" i="1"/>
  <c r="AH970" i="1"/>
  <c r="AD970" i="1"/>
  <c r="AA970" i="1"/>
  <c r="AE970" i="1"/>
  <c r="T971" i="1"/>
  <c r="W971" i="1"/>
  <c r="U971" i="1"/>
  <c r="V971" i="1" s="1"/>
  <c r="Z971" i="1"/>
  <c r="S972" i="1"/>
  <c r="X971" i="1"/>
  <c r="Y971" i="1"/>
  <c r="AG971" i="1" l="1"/>
  <c r="AC971" i="1"/>
  <c r="AB971" i="1"/>
  <c r="AF971" i="1"/>
  <c r="AA971" i="1"/>
  <c r="AE971" i="1"/>
  <c r="AD971" i="1"/>
  <c r="AH971" i="1"/>
  <c r="T972" i="1"/>
  <c r="Z972" i="1"/>
  <c r="X972" i="1"/>
  <c r="S973" i="1"/>
  <c r="W972" i="1"/>
  <c r="Y972" i="1"/>
  <c r="U972" i="1"/>
  <c r="V972" i="1" s="1"/>
  <c r="T973" i="1" l="1"/>
  <c r="W973" i="1"/>
  <c r="U973" i="1"/>
  <c r="V973" i="1" s="1"/>
  <c r="X973" i="1"/>
  <c r="Y973" i="1"/>
  <c r="Z973" i="1"/>
  <c r="S974" i="1"/>
  <c r="AF972" i="1"/>
  <c r="AB972" i="1"/>
  <c r="AC972" i="1"/>
  <c r="AG972" i="1"/>
  <c r="AH972" i="1"/>
  <c r="AD972" i="1"/>
  <c r="AA972" i="1"/>
  <c r="AE972" i="1"/>
  <c r="AB973" i="1" l="1"/>
  <c r="AF973" i="1"/>
  <c r="T974" i="1"/>
  <c r="U974" i="1"/>
  <c r="V974" i="1" s="1"/>
  <c r="W974" i="1"/>
  <c r="Z974" i="1"/>
  <c r="X974" i="1"/>
  <c r="S975" i="1"/>
  <c r="Y974" i="1"/>
  <c r="AH973" i="1"/>
  <c r="AD973" i="1"/>
  <c r="AA973" i="1"/>
  <c r="AE973" i="1"/>
  <c r="AC973" i="1"/>
  <c r="AG973" i="1"/>
  <c r="T975" i="1" l="1"/>
  <c r="U975" i="1"/>
  <c r="V975" i="1" s="1"/>
  <c r="X975" i="1"/>
  <c r="Y975" i="1"/>
  <c r="Z975" i="1"/>
  <c r="S976" i="1"/>
  <c r="W975" i="1"/>
  <c r="AF974" i="1"/>
  <c r="AB974" i="1"/>
  <c r="AD974" i="1"/>
  <c r="AH974" i="1"/>
  <c r="AG974" i="1"/>
  <c r="AC974" i="1"/>
  <c r="AE974" i="1"/>
  <c r="AA974" i="1"/>
  <c r="AG975" i="1" l="1"/>
  <c r="AC975" i="1"/>
  <c r="AE975" i="1"/>
  <c r="AA975" i="1"/>
  <c r="AF975" i="1"/>
  <c r="AB975" i="1"/>
  <c r="T976" i="1"/>
  <c r="Y976" i="1"/>
  <c r="U976" i="1"/>
  <c r="V976" i="1" s="1"/>
  <c r="Z976" i="1"/>
  <c r="X976" i="1"/>
  <c r="S977" i="1"/>
  <c r="W976" i="1"/>
  <c r="AH975" i="1"/>
  <c r="AD975" i="1"/>
  <c r="T977" i="1" l="1"/>
  <c r="X977" i="1"/>
  <c r="W977" i="1"/>
  <c r="U977" i="1"/>
  <c r="V977" i="1" s="1"/>
  <c r="Z977" i="1"/>
  <c r="S978" i="1"/>
  <c r="Y977" i="1"/>
  <c r="AC976" i="1"/>
  <c r="AG976" i="1"/>
  <c r="AF976" i="1"/>
  <c r="AB976" i="1"/>
  <c r="AD976" i="1"/>
  <c r="AH976" i="1"/>
  <c r="AE976" i="1"/>
  <c r="AA976" i="1"/>
  <c r="AG977" i="1" l="1"/>
  <c r="AC977" i="1"/>
  <c r="AE977" i="1"/>
  <c r="AA977" i="1"/>
  <c r="T978" i="1"/>
  <c r="Y978" i="1"/>
  <c r="U978" i="1"/>
  <c r="V978" i="1" s="1"/>
  <c r="Z978" i="1"/>
  <c r="X978" i="1"/>
  <c r="S979" i="1"/>
  <c r="W978" i="1"/>
  <c r="AF977" i="1"/>
  <c r="AB977" i="1"/>
  <c r="AH977" i="1"/>
  <c r="AD977" i="1"/>
  <c r="AD978" i="1" l="1"/>
  <c r="AH978" i="1"/>
  <c r="AE978" i="1"/>
  <c r="AA978" i="1"/>
  <c r="T979" i="1"/>
  <c r="S980" i="1"/>
  <c r="Z979" i="1"/>
  <c r="X979" i="1"/>
  <c r="Y979" i="1"/>
  <c r="W979" i="1"/>
  <c r="U979" i="1"/>
  <c r="V979" i="1" s="1"/>
  <c r="AG978" i="1"/>
  <c r="AC978" i="1"/>
  <c r="AF978" i="1"/>
  <c r="AB978" i="1"/>
  <c r="AF979" i="1" l="1"/>
  <c r="AB979" i="1"/>
  <c r="AD979" i="1"/>
  <c r="AH979" i="1"/>
  <c r="AE979" i="1"/>
  <c r="AA979" i="1"/>
  <c r="T980" i="1"/>
  <c r="S981" i="1"/>
  <c r="Y980" i="1"/>
  <c r="Z980" i="1"/>
  <c r="X980" i="1"/>
  <c r="W980" i="1"/>
  <c r="U980" i="1"/>
  <c r="V980" i="1" s="1"/>
  <c r="AG979" i="1"/>
  <c r="AC979" i="1"/>
  <c r="AG980" i="1" l="1"/>
  <c r="AC980" i="1"/>
  <c r="AE980" i="1"/>
  <c r="AA980" i="1"/>
  <c r="T981" i="1"/>
  <c r="S982" i="1"/>
  <c r="X981" i="1"/>
  <c r="Y981" i="1"/>
  <c r="W981" i="1"/>
  <c r="U981" i="1"/>
  <c r="V981" i="1" s="1"/>
  <c r="Z981" i="1"/>
  <c r="AF980" i="1"/>
  <c r="AB980" i="1"/>
  <c r="AD980" i="1"/>
  <c r="AH980" i="1"/>
  <c r="AC981" i="1" l="1"/>
  <c r="AG981" i="1"/>
  <c r="AH981" i="1"/>
  <c r="AD981" i="1"/>
  <c r="AB981" i="1"/>
  <c r="AF981" i="1"/>
  <c r="T982" i="1"/>
  <c r="U982" i="1"/>
  <c r="V982" i="1" s="1"/>
  <c r="Z982" i="1"/>
  <c r="X982" i="1"/>
  <c r="S983" i="1"/>
  <c r="W982" i="1"/>
  <c r="Y982" i="1"/>
  <c r="AA981" i="1"/>
  <c r="AE981" i="1"/>
  <c r="AB982" i="1" l="1"/>
  <c r="AF982" i="1"/>
  <c r="AC982" i="1"/>
  <c r="AG982" i="1"/>
  <c r="AA982" i="1"/>
  <c r="AE982" i="1"/>
  <c r="T983" i="1"/>
  <c r="W983" i="1"/>
  <c r="Z983" i="1"/>
  <c r="S984" i="1"/>
  <c r="X983" i="1"/>
  <c r="Y983" i="1"/>
  <c r="U983" i="1"/>
  <c r="V983" i="1" s="1"/>
  <c r="AH982" i="1"/>
  <c r="AD982" i="1"/>
  <c r="AC983" i="1" l="1"/>
  <c r="AG983" i="1"/>
  <c r="AA983" i="1"/>
  <c r="AE983" i="1"/>
  <c r="AF983" i="1"/>
  <c r="AB983" i="1"/>
  <c r="T984" i="1"/>
  <c r="W984" i="1"/>
  <c r="Y984" i="1"/>
  <c r="U984" i="1"/>
  <c r="V984" i="1" s="1"/>
  <c r="Z984" i="1"/>
  <c r="X984" i="1"/>
  <c r="S985" i="1"/>
  <c r="AH983" i="1"/>
  <c r="AD983" i="1"/>
  <c r="AB984" i="1" l="1"/>
  <c r="AF984" i="1"/>
  <c r="AE984" i="1"/>
  <c r="AA984" i="1"/>
  <c r="AD984" i="1"/>
  <c r="AH984" i="1"/>
  <c r="T985" i="1"/>
  <c r="W985" i="1"/>
  <c r="U985" i="1"/>
  <c r="V985" i="1" s="1"/>
  <c r="X985" i="1"/>
  <c r="Y985" i="1"/>
  <c r="Z985" i="1"/>
  <c r="S986" i="1"/>
  <c r="AC984" i="1"/>
  <c r="AG984" i="1"/>
  <c r="AH985" i="1" l="1"/>
  <c r="AD985" i="1"/>
  <c r="AE985" i="1"/>
  <c r="AA985" i="1"/>
  <c r="AG985" i="1"/>
  <c r="AC985" i="1"/>
  <c r="AB985" i="1"/>
  <c r="AF985" i="1"/>
  <c r="T986" i="1"/>
  <c r="X986" i="1"/>
  <c r="S987" i="1"/>
  <c r="W986" i="1"/>
  <c r="Z986" i="1"/>
  <c r="Y986" i="1"/>
  <c r="U986" i="1"/>
  <c r="V986" i="1" s="1"/>
  <c r="AA986" i="1" l="1"/>
  <c r="AE986" i="1"/>
  <c r="T987" i="1"/>
  <c r="S988" i="1"/>
  <c r="X987" i="1"/>
  <c r="Y987" i="1"/>
  <c r="W987" i="1"/>
  <c r="U987" i="1"/>
  <c r="V987" i="1" s="1"/>
  <c r="Z987" i="1"/>
  <c r="AG986" i="1"/>
  <c r="AC986" i="1"/>
  <c r="AF986" i="1"/>
  <c r="AB986" i="1"/>
  <c r="AD986" i="1"/>
  <c r="AH986" i="1"/>
  <c r="T988" i="1" l="1"/>
  <c r="U988" i="1"/>
  <c r="V988" i="1" s="1"/>
  <c r="S989" i="1"/>
  <c r="W988" i="1"/>
  <c r="Y988" i="1"/>
  <c r="Z988" i="1"/>
  <c r="X988" i="1"/>
  <c r="AA987" i="1"/>
  <c r="AE987" i="1"/>
  <c r="AG987" i="1"/>
  <c r="AC987" i="1"/>
  <c r="AD987" i="1"/>
  <c r="AH987" i="1"/>
  <c r="AB987" i="1"/>
  <c r="AF987" i="1"/>
  <c r="AE988" i="1" l="1"/>
  <c r="AA988" i="1"/>
  <c r="AB988" i="1"/>
  <c r="AF988" i="1"/>
  <c r="T989" i="1"/>
  <c r="W989" i="1"/>
  <c r="U989" i="1"/>
  <c r="V989" i="1" s="1"/>
  <c r="Z989" i="1"/>
  <c r="S990" i="1"/>
  <c r="Y989" i="1"/>
  <c r="X989" i="1"/>
  <c r="AH988" i="1"/>
  <c r="AD988" i="1"/>
  <c r="AC988" i="1"/>
  <c r="AG988" i="1"/>
  <c r="AD989" i="1" l="1"/>
  <c r="AH989" i="1"/>
  <c r="AB989" i="1"/>
  <c r="AF989" i="1"/>
  <c r="AC989" i="1"/>
  <c r="AG989" i="1"/>
  <c r="AA989" i="1"/>
  <c r="AE989" i="1"/>
  <c r="T990" i="1"/>
  <c r="X990" i="1"/>
  <c r="W990" i="1"/>
  <c r="S991" i="1"/>
  <c r="Y990" i="1"/>
  <c r="U990" i="1"/>
  <c r="V990" i="1" s="1"/>
  <c r="Z990" i="1"/>
  <c r="T991" i="1" l="1"/>
  <c r="Z991" i="1"/>
  <c r="S992" i="1"/>
  <c r="X991" i="1"/>
  <c r="Y991" i="1"/>
  <c r="W991" i="1"/>
  <c r="U991" i="1"/>
  <c r="V991" i="1" s="1"/>
  <c r="AE990" i="1"/>
  <c r="AA990" i="1"/>
  <c r="AH990" i="1"/>
  <c r="AD990" i="1"/>
  <c r="AF990" i="1"/>
  <c r="AB990" i="1"/>
  <c r="AG990" i="1"/>
  <c r="AC990" i="1"/>
  <c r="AB991" i="1" l="1"/>
  <c r="AF991" i="1"/>
  <c r="T992" i="1"/>
  <c r="U992" i="1"/>
  <c r="V992" i="1" s="1"/>
  <c r="S993" i="1"/>
  <c r="Y992" i="1"/>
  <c r="Z992" i="1"/>
  <c r="X992" i="1"/>
  <c r="W992" i="1"/>
  <c r="AA991" i="1"/>
  <c r="AE991" i="1"/>
  <c r="AD991" i="1"/>
  <c r="AH991" i="1"/>
  <c r="AG991" i="1"/>
  <c r="AC991" i="1"/>
  <c r="AB992" i="1" l="1"/>
  <c r="AF992" i="1"/>
  <c r="AH992" i="1"/>
  <c r="AD992" i="1"/>
  <c r="AC992" i="1"/>
  <c r="AG992" i="1"/>
  <c r="AE992" i="1"/>
  <c r="AA992" i="1"/>
  <c r="T993" i="1"/>
  <c r="W993" i="1"/>
  <c r="U993" i="1"/>
  <c r="V993" i="1" s="1"/>
  <c r="S994" i="1"/>
  <c r="Y993" i="1"/>
  <c r="Z993" i="1"/>
  <c r="X993" i="1"/>
  <c r="T994" i="1" l="1"/>
  <c r="Z994" i="1"/>
  <c r="X994" i="1"/>
  <c r="W994" i="1"/>
  <c r="S995" i="1"/>
  <c r="Y994" i="1"/>
  <c r="U994" i="1"/>
  <c r="V994" i="1" s="1"/>
  <c r="AE993" i="1"/>
  <c r="AA993" i="1"/>
  <c r="AF993" i="1"/>
  <c r="AB993" i="1"/>
  <c r="AH993" i="1"/>
  <c r="AD993" i="1"/>
  <c r="AC993" i="1"/>
  <c r="AG993" i="1"/>
  <c r="AE994" i="1" l="1"/>
  <c r="AA994" i="1"/>
  <c r="AF994" i="1"/>
  <c r="AB994" i="1"/>
  <c r="AC994" i="1"/>
  <c r="AG994" i="1"/>
  <c r="AD994" i="1"/>
  <c r="AH994" i="1"/>
  <c r="T995" i="1"/>
  <c r="W995" i="1"/>
  <c r="U995" i="1"/>
  <c r="V995" i="1" s="1"/>
  <c r="Z995" i="1"/>
  <c r="X995" i="1"/>
  <c r="Y995" i="1"/>
  <c r="S996" i="1"/>
  <c r="AG995" i="1" l="1"/>
  <c r="AC995" i="1"/>
  <c r="AB995" i="1"/>
  <c r="AF995" i="1"/>
  <c r="AD995" i="1"/>
  <c r="AH995" i="1"/>
  <c r="AA995" i="1"/>
  <c r="AE995" i="1"/>
  <c r="T996" i="1"/>
  <c r="U996" i="1"/>
  <c r="V996" i="1" s="1"/>
  <c r="X996" i="1"/>
  <c r="Z996" i="1"/>
  <c r="S997" i="1"/>
  <c r="Y996" i="1"/>
  <c r="W996" i="1"/>
  <c r="AH996" i="1" l="1"/>
  <c r="AD996" i="1"/>
  <c r="AB996" i="1"/>
  <c r="AF996" i="1"/>
  <c r="AE996" i="1"/>
  <c r="AA996" i="1"/>
  <c r="AG996" i="1"/>
  <c r="AC996" i="1"/>
  <c r="T997" i="1"/>
  <c r="W997" i="1"/>
  <c r="Z997" i="1"/>
  <c r="S998" i="1"/>
  <c r="X997" i="1"/>
  <c r="Y997" i="1"/>
  <c r="U997" i="1"/>
  <c r="V997" i="1" s="1"/>
  <c r="T998" i="1" l="1"/>
  <c r="U998" i="1"/>
  <c r="V998" i="1" s="1"/>
  <c r="Z998" i="1"/>
  <c r="X998" i="1"/>
  <c r="S999" i="1"/>
  <c r="W998" i="1"/>
  <c r="Y998" i="1"/>
  <c r="AD997" i="1"/>
  <c r="AH997" i="1"/>
  <c r="AC997" i="1"/>
  <c r="AG997" i="1"/>
  <c r="AA997" i="1"/>
  <c r="AE997" i="1"/>
  <c r="AB997" i="1"/>
  <c r="AF997" i="1"/>
  <c r="AB998" i="1" l="1"/>
  <c r="AF998" i="1"/>
  <c r="AC998" i="1"/>
  <c r="AG998" i="1"/>
  <c r="AH998" i="1"/>
  <c r="AD998" i="1"/>
  <c r="AA998" i="1"/>
  <c r="AE998" i="1"/>
  <c r="T999" i="1"/>
  <c r="W999" i="1"/>
  <c r="U999" i="1"/>
  <c r="V999" i="1" s="1"/>
  <c r="S1000" i="1"/>
  <c r="X999" i="1"/>
  <c r="Z999" i="1"/>
  <c r="Y999" i="1"/>
  <c r="T1000" i="1" l="1"/>
  <c r="Y1000" i="1"/>
  <c r="U1000" i="1"/>
  <c r="V1000" i="1" s="1"/>
  <c r="Z1000" i="1"/>
  <c r="X1000" i="1"/>
  <c r="S1001" i="1"/>
  <c r="W1000" i="1"/>
  <c r="AH999" i="1"/>
  <c r="AD999" i="1"/>
  <c r="AE999" i="1"/>
  <c r="AA999" i="1"/>
  <c r="AC999" i="1"/>
  <c r="AG999" i="1"/>
  <c r="AF999" i="1"/>
  <c r="AB999" i="1"/>
  <c r="AH1000" i="1" l="1"/>
  <c r="AD1000" i="1"/>
  <c r="AE1000" i="1"/>
  <c r="AA1000" i="1"/>
  <c r="T1001" i="1"/>
  <c r="W1001" i="1"/>
  <c r="U1001" i="1"/>
  <c r="V1001" i="1" s="1"/>
  <c r="X1001" i="1"/>
  <c r="Y1001" i="1"/>
  <c r="Z1001" i="1"/>
  <c r="S1002" i="1"/>
  <c r="AC1000" i="1"/>
  <c r="AG1000" i="1"/>
  <c r="AB1000" i="1"/>
  <c r="AF1000" i="1"/>
  <c r="AF1001" i="1" l="1"/>
  <c r="AB1001" i="1"/>
  <c r="T1002" i="1"/>
  <c r="Z1002" i="1"/>
  <c r="X1002" i="1"/>
  <c r="W1002" i="1"/>
  <c r="S1003" i="1"/>
  <c r="Y1002" i="1"/>
  <c r="U1002" i="1"/>
  <c r="V1002" i="1" s="1"/>
  <c r="AH1001" i="1"/>
  <c r="AD1001" i="1"/>
  <c r="AE1001" i="1"/>
  <c r="AA1001" i="1"/>
  <c r="AC1001" i="1"/>
  <c r="AG1001" i="1"/>
  <c r="AC1002" i="1" l="1"/>
  <c r="AG1002" i="1"/>
  <c r="AD1002" i="1"/>
  <c r="AH1002" i="1"/>
  <c r="T1003" i="1"/>
  <c r="W1003" i="1"/>
  <c r="U1003" i="1"/>
  <c r="V1003" i="1" s="1"/>
  <c r="S1004" i="1"/>
  <c r="Z1003" i="1"/>
  <c r="X1003" i="1"/>
  <c r="Y1003" i="1"/>
  <c r="AA1002" i="1"/>
  <c r="AE1002" i="1"/>
  <c r="AB1002" i="1"/>
  <c r="AF1002" i="1"/>
  <c r="T1004" i="1" l="1"/>
  <c r="Y1004" i="1"/>
  <c r="U1004" i="1"/>
  <c r="V1004" i="1" s="1"/>
  <c r="Z1004" i="1"/>
  <c r="X1004" i="1"/>
  <c r="S1005" i="1"/>
  <c r="W1004" i="1"/>
  <c r="AC1003" i="1"/>
  <c r="AG1003" i="1"/>
  <c r="AF1003" i="1"/>
  <c r="AB1003" i="1"/>
  <c r="AE1003" i="1"/>
  <c r="AA1003" i="1"/>
  <c r="AH1003" i="1"/>
  <c r="AD1003" i="1"/>
  <c r="AD1004" i="1" l="1"/>
  <c r="AH1004" i="1"/>
  <c r="AE1004" i="1"/>
  <c r="AA1004" i="1"/>
  <c r="T1005" i="1"/>
  <c r="W1005" i="1"/>
  <c r="U1005" i="1"/>
  <c r="V1005" i="1" s="1"/>
  <c r="Z1005" i="1"/>
  <c r="X1005" i="1"/>
  <c r="Y1005" i="1"/>
  <c r="S1006" i="1"/>
  <c r="AC1004" i="1"/>
  <c r="AG1004" i="1"/>
  <c r="AB1004" i="1"/>
  <c r="AF1004" i="1"/>
  <c r="AD1005" i="1" l="1"/>
  <c r="AH1005" i="1"/>
  <c r="T1006" i="1"/>
  <c r="S1007" i="1"/>
  <c r="Z1006" i="1"/>
  <c r="Y1006" i="1"/>
  <c r="U1006" i="1"/>
  <c r="V1006" i="1" s="1"/>
  <c r="X1006" i="1"/>
  <c r="W1006" i="1"/>
  <c r="AG1005" i="1"/>
  <c r="AC1005" i="1"/>
  <c r="AE1005" i="1"/>
  <c r="AA1005" i="1"/>
  <c r="AF1005" i="1"/>
  <c r="AB1005" i="1"/>
  <c r="AB1006" i="1" l="1"/>
  <c r="AF1006" i="1"/>
  <c r="T1007" i="1"/>
  <c r="W1007" i="1"/>
  <c r="Z1007" i="1"/>
  <c r="X1007" i="1"/>
  <c r="Y1007" i="1"/>
  <c r="U1007" i="1"/>
  <c r="V1007" i="1" s="1"/>
  <c r="S1008" i="1"/>
  <c r="AG1006" i="1"/>
  <c r="AC1006" i="1"/>
  <c r="AA1006" i="1"/>
  <c r="AE1006" i="1"/>
  <c r="AH1006" i="1"/>
  <c r="AD1006" i="1"/>
  <c r="AE1007" i="1" l="1"/>
  <c r="AA1007" i="1"/>
  <c r="AG1007" i="1"/>
  <c r="AC1007" i="1"/>
  <c r="AB1007" i="1"/>
  <c r="AF1007" i="1"/>
  <c r="T1008" i="1"/>
  <c r="U1008" i="1"/>
  <c r="V1008" i="1" s="1"/>
  <c r="Z1008" i="1"/>
  <c r="X1008" i="1"/>
  <c r="S1009" i="1"/>
  <c r="W1008" i="1"/>
  <c r="Y1008" i="1"/>
  <c r="AD1007" i="1"/>
  <c r="AH1007" i="1"/>
  <c r="AA1008" i="1" l="1"/>
  <c r="AE1008" i="1"/>
  <c r="T1009" i="1"/>
  <c r="X1009" i="1"/>
  <c r="Y1009" i="1"/>
  <c r="W1009" i="1"/>
  <c r="U1009" i="1"/>
  <c r="V1009" i="1" s="1"/>
  <c r="Z1009" i="1"/>
  <c r="S1010" i="1"/>
  <c r="AF1008" i="1"/>
  <c r="AB1008" i="1"/>
  <c r="AG1008" i="1"/>
  <c r="AC1008" i="1"/>
  <c r="AH1008" i="1"/>
  <c r="AD1008" i="1"/>
  <c r="AD1009" i="1" l="1"/>
  <c r="AH1009" i="1"/>
  <c r="AB1009" i="1"/>
  <c r="AF1009" i="1"/>
  <c r="AA1009" i="1"/>
  <c r="AE1009" i="1"/>
  <c r="T1010" i="1"/>
  <c r="U1010" i="1"/>
  <c r="V1010" i="1" s="1"/>
  <c r="S1011" i="1"/>
  <c r="Z1010" i="1"/>
  <c r="W1010" i="1"/>
  <c r="Y1010" i="1"/>
  <c r="X1010" i="1"/>
  <c r="AG1009" i="1"/>
  <c r="AC1009" i="1"/>
  <c r="AG1010" i="1" l="1"/>
  <c r="AC1010" i="1"/>
  <c r="AE1010" i="1"/>
  <c r="AA1010" i="1"/>
  <c r="AH1010" i="1"/>
  <c r="AD1010" i="1"/>
  <c r="AF1010" i="1"/>
  <c r="AB1010" i="1"/>
  <c r="T1011" i="1"/>
  <c r="Z1011" i="1"/>
  <c r="S1012" i="1"/>
  <c r="X1011" i="1"/>
  <c r="Y1011" i="1"/>
  <c r="W1011" i="1"/>
  <c r="U1011" i="1"/>
  <c r="V1011" i="1" s="1"/>
  <c r="AB1011" i="1" l="1"/>
  <c r="AF1011" i="1"/>
  <c r="T1012" i="1"/>
  <c r="U1012" i="1"/>
  <c r="V1012" i="1" s="1"/>
  <c r="Z1012" i="1"/>
  <c r="X1012" i="1"/>
  <c r="S1013" i="1"/>
  <c r="W1012" i="1"/>
  <c r="Y1012" i="1"/>
  <c r="AE1011" i="1"/>
  <c r="AA1011" i="1"/>
  <c r="AD1011" i="1"/>
  <c r="AH1011" i="1"/>
  <c r="AG1011" i="1"/>
  <c r="AC1011" i="1"/>
  <c r="AE1012" i="1" l="1"/>
  <c r="AA1012" i="1"/>
  <c r="T1013" i="1"/>
  <c r="W1013" i="1"/>
  <c r="U1013" i="1"/>
  <c r="V1013" i="1" s="1"/>
  <c r="Z1013" i="1"/>
  <c r="X1013" i="1"/>
  <c r="Y1013" i="1"/>
  <c r="S1014" i="1"/>
  <c r="AF1012" i="1"/>
  <c r="AB1012" i="1"/>
  <c r="AC1012" i="1"/>
  <c r="AG1012" i="1"/>
  <c r="AD1012" i="1"/>
  <c r="AH1012" i="1"/>
  <c r="AG1013" i="1" l="1"/>
  <c r="AC1013" i="1"/>
  <c r="AE1013" i="1"/>
  <c r="AA1013" i="1"/>
  <c r="AF1013" i="1"/>
  <c r="AB1013" i="1"/>
  <c r="AH1013" i="1"/>
  <c r="AD1013" i="1"/>
  <c r="T1014" i="1"/>
  <c r="S1015" i="1"/>
  <c r="Z1014" i="1"/>
  <c r="X1014" i="1"/>
  <c r="W1014" i="1"/>
  <c r="Y1014" i="1"/>
  <c r="U1014" i="1"/>
  <c r="V1014" i="1" s="1"/>
  <c r="AA1014" i="1" l="1"/>
  <c r="AE1014" i="1"/>
  <c r="AF1014" i="1"/>
  <c r="AB1014" i="1"/>
  <c r="AD1014" i="1"/>
  <c r="AH1014" i="1"/>
  <c r="AC1014" i="1"/>
  <c r="AG1014" i="1"/>
  <c r="T1015" i="1"/>
  <c r="W1015" i="1"/>
  <c r="U1015" i="1"/>
  <c r="V1015" i="1" s="1"/>
  <c r="Z1015" i="1"/>
  <c r="S1016" i="1"/>
  <c r="X1015" i="1"/>
  <c r="Y1015" i="1"/>
  <c r="AD1015" i="1" l="1"/>
  <c r="AH1015" i="1"/>
  <c r="AB1015" i="1"/>
  <c r="AF1015" i="1"/>
  <c r="AE1015" i="1"/>
  <c r="AA1015" i="1"/>
  <c r="AG1015" i="1"/>
  <c r="AC1015" i="1"/>
  <c r="T1016" i="1"/>
  <c r="X1016" i="1"/>
  <c r="S1017" i="1"/>
  <c r="Y1016" i="1"/>
  <c r="U1016" i="1"/>
  <c r="V1016" i="1" s="1"/>
  <c r="Z1016" i="1"/>
  <c r="W1016" i="1"/>
  <c r="AC1016" i="1" l="1"/>
  <c r="AG1016" i="1"/>
  <c r="AE1016" i="1"/>
  <c r="AA1016" i="1"/>
  <c r="T1017" i="1"/>
  <c r="W1017" i="1"/>
  <c r="U1017" i="1"/>
  <c r="V1017" i="1" s="1"/>
  <c r="Z1017" i="1"/>
  <c r="X1017" i="1"/>
  <c r="Y1017" i="1"/>
  <c r="S1018" i="1"/>
  <c r="AD1016" i="1"/>
  <c r="AH1016" i="1"/>
  <c r="AF1016" i="1"/>
  <c r="AB1016" i="1"/>
  <c r="AD1017" i="1" l="1"/>
  <c r="AH1017" i="1"/>
  <c r="AG1017" i="1"/>
  <c r="AC1017" i="1"/>
  <c r="AA1017" i="1"/>
  <c r="AE1017" i="1"/>
  <c r="T1018" i="1"/>
  <c r="U1018" i="1"/>
  <c r="V1018" i="1" s="1"/>
  <c r="S1019" i="1"/>
  <c r="W1018" i="1"/>
  <c r="Z1018" i="1"/>
  <c r="X1018" i="1"/>
  <c r="Y1018" i="1"/>
  <c r="AB1017" i="1"/>
  <c r="AF1017" i="1"/>
  <c r="AF1018" i="1" l="1"/>
  <c r="AB1018" i="1"/>
  <c r="AD1018" i="1"/>
  <c r="AH1018" i="1"/>
  <c r="AE1018" i="1"/>
  <c r="AA1018" i="1"/>
  <c r="AG1018" i="1"/>
  <c r="AC1018" i="1"/>
  <c r="T1019" i="1"/>
  <c r="W1019" i="1"/>
  <c r="S1020" i="1"/>
  <c r="X1019" i="1"/>
  <c r="Y1019" i="1"/>
  <c r="U1019" i="1"/>
  <c r="V1019" i="1" s="1"/>
  <c r="Z1019" i="1"/>
  <c r="AD1019" i="1" l="1"/>
  <c r="AH1019" i="1"/>
  <c r="AG1019" i="1"/>
  <c r="AC1019" i="1"/>
  <c r="AB1019" i="1"/>
  <c r="AF1019" i="1"/>
  <c r="T1020" i="1"/>
  <c r="U1020" i="1"/>
  <c r="V1020" i="1" s="1"/>
  <c r="Z1020" i="1"/>
  <c r="X1020" i="1"/>
  <c r="S1021" i="1"/>
  <c r="Y1020" i="1"/>
  <c r="W1020" i="1"/>
  <c r="AE1019" i="1"/>
  <c r="AA1019" i="1"/>
  <c r="AG1020" i="1" l="1"/>
  <c r="AC1020" i="1"/>
  <c r="T1021" i="1"/>
  <c r="S1022" i="1"/>
  <c r="X1021" i="1"/>
  <c r="Y1021" i="1"/>
  <c r="W1021" i="1"/>
  <c r="U1021" i="1"/>
  <c r="V1021" i="1" s="1"/>
  <c r="Z1021" i="1"/>
  <c r="AF1020" i="1"/>
  <c r="AB1020" i="1"/>
  <c r="AE1020" i="1"/>
  <c r="AA1020" i="1"/>
  <c r="AH1020" i="1"/>
  <c r="AD1020" i="1"/>
  <c r="T1022" i="1" l="1"/>
  <c r="U1022" i="1"/>
  <c r="V1022" i="1" s="1"/>
  <c r="Z1022" i="1"/>
  <c r="Y1022" i="1"/>
  <c r="X1022" i="1"/>
  <c r="S1023" i="1"/>
  <c r="W1022" i="1"/>
  <c r="AE1021" i="1"/>
  <c r="AA1021" i="1"/>
  <c r="AG1021" i="1"/>
  <c r="AC1021" i="1"/>
  <c r="AD1021" i="1"/>
  <c r="AH1021" i="1"/>
  <c r="AB1021" i="1"/>
  <c r="AF1021" i="1"/>
  <c r="AC1022" i="1" l="1"/>
  <c r="AG1022" i="1"/>
  <c r="AE1022" i="1"/>
  <c r="AA1022" i="1"/>
  <c r="AD1022" i="1"/>
  <c r="AH1022" i="1"/>
  <c r="T1023" i="1"/>
  <c r="W1023" i="1"/>
  <c r="U1023" i="1"/>
  <c r="V1023" i="1" s="1"/>
  <c r="Z1023" i="1"/>
  <c r="S1024" i="1"/>
  <c r="Y1023" i="1"/>
  <c r="X1023" i="1"/>
  <c r="AF1022" i="1"/>
  <c r="AB1022" i="1"/>
  <c r="AG1023" i="1" l="1"/>
  <c r="AC1023" i="1"/>
  <c r="AE1023" i="1"/>
  <c r="AA1023" i="1"/>
  <c r="T1024" i="1"/>
  <c r="U1024" i="1"/>
  <c r="V1024" i="1" s="1"/>
  <c r="Y1024" i="1"/>
  <c r="Z1024" i="1"/>
  <c r="X1024" i="1"/>
  <c r="S1025" i="1"/>
  <c r="W1024" i="1"/>
  <c r="AD1023" i="1"/>
  <c r="AH1023" i="1"/>
  <c r="AB1023" i="1"/>
  <c r="AF1023" i="1"/>
  <c r="AH1024" i="1" l="1"/>
  <c r="AD1024" i="1"/>
  <c r="AE1024" i="1"/>
  <c r="AA1024" i="1"/>
  <c r="AC1024" i="1"/>
  <c r="AG1024" i="1"/>
  <c r="T1025" i="1"/>
  <c r="W1025" i="1"/>
  <c r="U1025" i="1"/>
  <c r="V1025" i="1" s="1"/>
  <c r="S1026" i="1"/>
  <c r="X1025" i="1"/>
  <c r="Y1025" i="1"/>
  <c r="Z1025" i="1"/>
  <c r="AB1024" i="1"/>
  <c r="AF1024" i="1"/>
  <c r="AF1025" i="1" l="1"/>
  <c r="AB1025" i="1"/>
  <c r="AC1025" i="1"/>
  <c r="AG1025" i="1"/>
  <c r="AE1025" i="1"/>
  <c r="AA1025" i="1"/>
  <c r="T1026" i="1"/>
  <c r="Z1026" i="1"/>
  <c r="X1026" i="1"/>
  <c r="W1026" i="1"/>
  <c r="S1027" i="1"/>
  <c r="Y1026" i="1"/>
  <c r="U1026" i="1"/>
  <c r="V1026" i="1" s="1"/>
  <c r="AH1025" i="1"/>
  <c r="AD1025" i="1"/>
  <c r="AC1026" i="1" l="1"/>
  <c r="AG1026" i="1"/>
  <c r="AD1026" i="1"/>
  <c r="AH1026" i="1"/>
  <c r="T1027" i="1"/>
  <c r="W1027" i="1"/>
  <c r="U1027" i="1"/>
  <c r="V1027" i="1" s="1"/>
  <c r="S1028" i="1"/>
  <c r="X1027" i="1"/>
  <c r="Y1027" i="1"/>
  <c r="Z1027" i="1"/>
  <c r="AA1026" i="1"/>
  <c r="AE1026" i="1"/>
  <c r="AB1026" i="1"/>
  <c r="AF1026" i="1"/>
  <c r="T1028" i="1" l="1"/>
  <c r="U1028" i="1"/>
  <c r="V1028" i="1" s="1"/>
  <c r="Z1028" i="1"/>
  <c r="X1028" i="1"/>
  <c r="S1029" i="1"/>
  <c r="Y1028" i="1"/>
  <c r="W1028" i="1"/>
  <c r="AD1027" i="1"/>
  <c r="AH1027" i="1"/>
  <c r="AG1027" i="1"/>
  <c r="AC1027" i="1"/>
  <c r="AA1027" i="1"/>
  <c r="AE1027" i="1"/>
  <c r="AB1027" i="1"/>
  <c r="AF1027" i="1"/>
  <c r="AB1028" i="1" l="1"/>
  <c r="AF1028" i="1"/>
  <c r="AE1028" i="1"/>
  <c r="AA1028" i="1"/>
  <c r="AD1028" i="1"/>
  <c r="AH1028" i="1"/>
  <c r="AG1028" i="1"/>
  <c r="AC1028" i="1"/>
  <c r="T1029" i="1"/>
  <c r="S1030" i="1"/>
  <c r="Z1029" i="1"/>
  <c r="X1029" i="1"/>
  <c r="Y1029" i="1"/>
  <c r="W1029" i="1"/>
  <c r="U1029" i="1"/>
  <c r="V1029" i="1" s="1"/>
  <c r="AF1029" i="1" l="1"/>
  <c r="AB1029" i="1"/>
  <c r="T1030" i="1"/>
  <c r="Y1030" i="1"/>
  <c r="U1030" i="1"/>
  <c r="V1030" i="1" s="1"/>
  <c r="Z1030" i="1"/>
  <c r="X1030" i="1"/>
  <c r="S1031" i="1"/>
  <c r="W1030" i="1"/>
  <c r="AH1029" i="1"/>
  <c r="AD1029" i="1"/>
  <c r="AE1029" i="1"/>
  <c r="AA1029" i="1"/>
  <c r="AC1029" i="1"/>
  <c r="AG1029" i="1"/>
  <c r="T1031" i="1" l="1"/>
  <c r="W1031" i="1"/>
  <c r="U1031" i="1"/>
  <c r="V1031" i="1" s="1"/>
  <c r="S1032" i="1"/>
  <c r="Z1031" i="1"/>
  <c r="X1031" i="1"/>
  <c r="Y1031" i="1"/>
  <c r="AC1030" i="1"/>
  <c r="AG1030" i="1"/>
  <c r="AB1030" i="1"/>
  <c r="AF1030" i="1"/>
  <c r="AH1030" i="1"/>
  <c r="AD1030" i="1"/>
  <c r="AE1030" i="1"/>
  <c r="AA1030" i="1"/>
  <c r="T1032" i="1" l="1"/>
  <c r="Z1032" i="1"/>
  <c r="X1032" i="1"/>
  <c r="S1033" i="1"/>
  <c r="W1032" i="1"/>
  <c r="Y1032" i="1"/>
  <c r="U1032" i="1"/>
  <c r="V1032" i="1" s="1"/>
  <c r="AG1031" i="1"/>
  <c r="AC1031" i="1"/>
  <c r="AB1031" i="1"/>
  <c r="AF1031" i="1"/>
  <c r="AE1031" i="1"/>
  <c r="AA1031" i="1"/>
  <c r="AH1031" i="1"/>
  <c r="AD1031" i="1"/>
  <c r="T1033" i="1" l="1"/>
  <c r="W1033" i="1"/>
  <c r="U1033" i="1"/>
  <c r="V1033" i="1" s="1"/>
  <c r="Z1033" i="1"/>
  <c r="X1033" i="1"/>
  <c r="Y1033" i="1"/>
  <c r="S1034" i="1"/>
  <c r="AB1032" i="1"/>
  <c r="AF1032" i="1"/>
  <c r="AC1032" i="1"/>
  <c r="AG1032" i="1"/>
  <c r="AH1032" i="1"/>
  <c r="AD1032" i="1"/>
  <c r="AE1032" i="1"/>
  <c r="AA1032" i="1"/>
  <c r="AD1033" i="1" l="1"/>
  <c r="AH1033" i="1"/>
  <c r="T1034" i="1"/>
  <c r="Z1034" i="1"/>
  <c r="X1034" i="1"/>
  <c r="S1035" i="1"/>
  <c r="W1034" i="1"/>
  <c r="Y1034" i="1"/>
  <c r="U1034" i="1"/>
  <c r="V1034" i="1" s="1"/>
  <c r="AG1033" i="1"/>
  <c r="AC1033" i="1"/>
  <c r="AE1033" i="1"/>
  <c r="AA1033" i="1"/>
  <c r="AB1033" i="1"/>
  <c r="AF1033" i="1"/>
  <c r="AG1034" i="1" l="1"/>
  <c r="AC1034" i="1"/>
  <c r="AH1034" i="1"/>
  <c r="AD1034" i="1"/>
  <c r="AE1034" i="1"/>
  <c r="AA1034" i="1"/>
  <c r="T1035" i="1"/>
  <c r="W1035" i="1"/>
  <c r="U1035" i="1"/>
  <c r="V1035" i="1" s="1"/>
  <c r="Z1035" i="1"/>
  <c r="S1036" i="1"/>
  <c r="X1035" i="1"/>
  <c r="Y1035" i="1"/>
  <c r="AB1034" i="1"/>
  <c r="AF1034" i="1"/>
  <c r="AG1035" i="1" l="1"/>
  <c r="AC1035" i="1"/>
  <c r="AB1035" i="1"/>
  <c r="AF1035" i="1"/>
  <c r="AA1035" i="1"/>
  <c r="AE1035" i="1"/>
  <c r="T1036" i="1"/>
  <c r="U1036" i="1"/>
  <c r="V1036" i="1" s="1"/>
  <c r="W1036" i="1"/>
  <c r="S1037" i="1"/>
  <c r="Y1036" i="1"/>
  <c r="Z1036" i="1"/>
  <c r="X1036" i="1"/>
  <c r="AD1035" i="1"/>
  <c r="AH1035" i="1"/>
  <c r="AH1036" i="1" l="1"/>
  <c r="AD1036" i="1"/>
  <c r="AG1036" i="1"/>
  <c r="AC1036" i="1"/>
  <c r="T1037" i="1"/>
  <c r="W1037" i="1"/>
  <c r="S1038" i="1"/>
  <c r="X1037" i="1"/>
  <c r="Y1037" i="1"/>
  <c r="U1037" i="1"/>
  <c r="V1037" i="1" s="1"/>
  <c r="Z1037" i="1"/>
  <c r="AB1036" i="1"/>
  <c r="AF1036" i="1"/>
  <c r="AE1036" i="1"/>
  <c r="AA1036" i="1"/>
  <c r="AF1037" i="1" l="1"/>
  <c r="AB1037" i="1"/>
  <c r="AD1037" i="1"/>
  <c r="AH1037" i="1"/>
  <c r="T1038" i="1"/>
  <c r="Z1038" i="1"/>
  <c r="S1039" i="1"/>
  <c r="W1038" i="1"/>
  <c r="Y1038" i="1"/>
  <c r="U1038" i="1"/>
  <c r="V1038" i="1" s="1"/>
  <c r="X1038" i="1"/>
  <c r="AA1037" i="1"/>
  <c r="AE1037" i="1"/>
  <c r="AG1037" i="1"/>
  <c r="AC1037" i="1"/>
  <c r="AE1038" i="1" l="1"/>
  <c r="AA1038" i="1"/>
  <c r="AB1038" i="1"/>
  <c r="AF1038" i="1"/>
  <c r="T1039" i="1"/>
  <c r="S1040" i="1"/>
  <c r="X1039" i="1"/>
  <c r="W1039" i="1"/>
  <c r="Z1039" i="1"/>
  <c r="Y1039" i="1"/>
  <c r="U1039" i="1"/>
  <c r="V1039" i="1" s="1"/>
  <c r="AD1038" i="1"/>
  <c r="AH1038" i="1"/>
  <c r="AC1038" i="1"/>
  <c r="AG1038" i="1"/>
  <c r="AE1039" i="1" l="1"/>
  <c r="AA1039" i="1"/>
  <c r="AF1039" i="1"/>
  <c r="AB1039" i="1"/>
  <c r="AC1039" i="1"/>
  <c r="AG1039" i="1"/>
  <c r="T1040" i="1"/>
  <c r="Z1040" i="1"/>
  <c r="X1040" i="1"/>
  <c r="S1041" i="1"/>
  <c r="W1040" i="1"/>
  <c r="Y1040" i="1"/>
  <c r="U1040" i="1"/>
  <c r="V1040" i="1" s="1"/>
  <c r="AH1039" i="1"/>
  <c r="AD1039" i="1"/>
  <c r="AG1040" i="1" l="1"/>
  <c r="AC1040" i="1"/>
  <c r="AD1040" i="1"/>
  <c r="AH1040" i="1"/>
  <c r="AA1040" i="1"/>
  <c r="AE1040" i="1"/>
  <c r="T1041" i="1"/>
  <c r="W1041" i="1"/>
  <c r="U1041" i="1"/>
  <c r="V1041" i="1" s="1"/>
  <c r="Z1041" i="1"/>
  <c r="S1042" i="1"/>
  <c r="X1041" i="1"/>
  <c r="Y1041" i="1"/>
  <c r="AF1040" i="1"/>
  <c r="AB1040" i="1"/>
  <c r="AD1041" i="1" l="1"/>
  <c r="AH1041" i="1"/>
  <c r="AB1041" i="1"/>
  <c r="AF1041" i="1"/>
  <c r="AA1041" i="1"/>
  <c r="AE1041" i="1"/>
  <c r="T1042" i="1"/>
  <c r="S1043" i="1"/>
  <c r="W1042" i="1"/>
  <c r="U1042" i="1"/>
  <c r="V1042" i="1" s="1"/>
  <c r="Z1042" i="1"/>
  <c r="X1042" i="1"/>
  <c r="Y1042" i="1"/>
  <c r="AG1041" i="1"/>
  <c r="AC1041" i="1"/>
  <c r="AB1042" i="1" l="1"/>
  <c r="AF1042" i="1"/>
  <c r="T1043" i="1"/>
  <c r="Z1043" i="1"/>
  <c r="S1044" i="1"/>
  <c r="X1043" i="1"/>
  <c r="Y1043" i="1"/>
  <c r="W1043" i="1"/>
  <c r="U1043" i="1"/>
  <c r="V1043" i="1" s="1"/>
  <c r="AH1042" i="1"/>
  <c r="AD1042" i="1"/>
  <c r="AC1042" i="1"/>
  <c r="AG1042" i="1"/>
  <c r="AE1042" i="1"/>
  <c r="AA1042" i="1"/>
  <c r="AA1043" i="1" l="1"/>
  <c r="AE1043" i="1"/>
  <c r="AH1043" i="1"/>
  <c r="AD1043" i="1"/>
  <c r="AG1043" i="1"/>
  <c r="AC1043" i="1"/>
  <c r="AB1043" i="1"/>
  <c r="AF1043" i="1"/>
  <c r="T1044" i="1"/>
  <c r="U1044" i="1"/>
  <c r="V1044" i="1" s="1"/>
  <c r="Z1044" i="1"/>
  <c r="X1044" i="1"/>
  <c r="S1045" i="1"/>
  <c r="W1044" i="1"/>
  <c r="Y1044" i="1"/>
  <c r="AA1044" i="1" l="1"/>
  <c r="AE1044" i="1"/>
  <c r="AB1044" i="1"/>
  <c r="AF1044" i="1"/>
  <c r="AG1044" i="1"/>
  <c r="AC1044" i="1"/>
  <c r="AH1044" i="1"/>
  <c r="AD1044" i="1"/>
  <c r="T1045" i="1"/>
  <c r="W1045" i="1"/>
  <c r="U1045" i="1"/>
  <c r="V1045" i="1" s="1"/>
  <c r="Z1045" i="1"/>
  <c r="S1046" i="1"/>
  <c r="X1045" i="1"/>
  <c r="Y1045" i="1"/>
  <c r="AF1045" i="1" l="1"/>
  <c r="AB1045" i="1"/>
  <c r="AH1045" i="1"/>
  <c r="AD1045" i="1"/>
  <c r="AG1045" i="1"/>
  <c r="AC1045" i="1"/>
  <c r="AA1045" i="1"/>
  <c r="AE1045" i="1"/>
  <c r="T1046" i="1"/>
  <c r="Z1046" i="1"/>
  <c r="S1047" i="1"/>
  <c r="W1046" i="1"/>
  <c r="X1046" i="1"/>
  <c r="Y1046" i="1"/>
  <c r="U1046" i="1"/>
  <c r="V1046" i="1" s="1"/>
  <c r="AE1046" i="1" l="1"/>
  <c r="AA1046" i="1"/>
  <c r="T1047" i="1"/>
  <c r="Z1047" i="1"/>
  <c r="S1048" i="1"/>
  <c r="X1047" i="1"/>
  <c r="Y1047" i="1"/>
  <c r="W1047" i="1"/>
  <c r="U1047" i="1"/>
  <c r="V1047" i="1" s="1"/>
  <c r="AG1046" i="1"/>
  <c r="AC1046" i="1"/>
  <c r="AH1046" i="1"/>
  <c r="AD1046" i="1"/>
  <c r="AF1046" i="1"/>
  <c r="AB1046" i="1"/>
  <c r="T1048" i="1" l="1"/>
  <c r="Z1048" i="1"/>
  <c r="X1048" i="1"/>
  <c r="S1049" i="1"/>
  <c r="W1048" i="1"/>
  <c r="U1048" i="1"/>
  <c r="V1048" i="1" s="1"/>
  <c r="Y1048" i="1"/>
  <c r="AE1047" i="1"/>
  <c r="AA1047" i="1"/>
  <c r="AH1047" i="1"/>
  <c r="AD1047" i="1"/>
  <c r="AC1047" i="1"/>
  <c r="AG1047" i="1"/>
  <c r="AF1047" i="1"/>
  <c r="AB1047" i="1"/>
  <c r="T1049" i="1" l="1"/>
  <c r="X1049" i="1"/>
  <c r="Y1049" i="1"/>
  <c r="W1049" i="1"/>
  <c r="U1049" i="1"/>
  <c r="V1049" i="1" s="1"/>
  <c r="Z1049" i="1"/>
  <c r="S1050" i="1"/>
  <c r="AG1048" i="1"/>
  <c r="AC1048" i="1"/>
  <c r="AF1048" i="1"/>
  <c r="AB1048" i="1"/>
  <c r="AH1048" i="1"/>
  <c r="AD1048" i="1"/>
  <c r="AE1048" i="1"/>
  <c r="AA1048" i="1"/>
  <c r="AA1049" i="1" l="1"/>
  <c r="AE1049" i="1"/>
  <c r="T1050" i="1"/>
  <c r="Z1050" i="1"/>
  <c r="X1050" i="1"/>
  <c r="U1050" i="1"/>
  <c r="V1050" i="1" s="1"/>
  <c r="S1051" i="1"/>
  <c r="W1050" i="1"/>
  <c r="Y1050" i="1"/>
  <c r="AG1049" i="1"/>
  <c r="AC1049" i="1"/>
  <c r="AH1049" i="1"/>
  <c r="AD1049" i="1"/>
  <c r="AF1049" i="1"/>
  <c r="AB1049" i="1"/>
  <c r="AC1050" i="1" l="1"/>
  <c r="AG1050" i="1"/>
  <c r="AA1050" i="1"/>
  <c r="AE1050" i="1"/>
  <c r="AH1050" i="1"/>
  <c r="AD1050" i="1"/>
  <c r="T1051" i="1"/>
  <c r="S1052" i="1"/>
  <c r="X1051" i="1"/>
  <c r="Y1051" i="1"/>
  <c r="W1051" i="1"/>
  <c r="U1051" i="1"/>
  <c r="V1051" i="1" s="1"/>
  <c r="Z1051" i="1"/>
  <c r="AB1050" i="1"/>
  <c r="AF1050" i="1"/>
  <c r="T1052" i="1" l="1"/>
  <c r="S1053" i="1"/>
  <c r="W1052" i="1"/>
  <c r="Y1052" i="1"/>
  <c r="U1052" i="1"/>
  <c r="V1052" i="1" s="1"/>
  <c r="Z1052" i="1"/>
  <c r="X1052" i="1"/>
  <c r="AE1051" i="1"/>
  <c r="AA1051" i="1"/>
  <c r="AC1051" i="1"/>
  <c r="AG1051" i="1"/>
  <c r="AD1051" i="1"/>
  <c r="AH1051" i="1"/>
  <c r="AF1051" i="1"/>
  <c r="AB1051" i="1"/>
  <c r="AC1052" i="1" l="1"/>
  <c r="AG1052" i="1"/>
  <c r="AF1052" i="1"/>
  <c r="AB1052" i="1"/>
  <c r="AE1052" i="1"/>
  <c r="AA1052" i="1"/>
  <c r="AD1052" i="1"/>
  <c r="AH1052" i="1"/>
  <c r="T1053" i="1"/>
  <c r="W1053" i="1"/>
  <c r="U1053" i="1"/>
  <c r="V1053" i="1" s="1"/>
  <c r="X1053" i="1"/>
  <c r="Z1053" i="1"/>
  <c r="S1054" i="1"/>
  <c r="Y1053" i="1"/>
  <c r="T1054" i="1" l="1"/>
  <c r="U1054" i="1"/>
  <c r="V1054" i="1" s="1"/>
  <c r="Z1054" i="1"/>
  <c r="X1054" i="1"/>
  <c r="W1054" i="1"/>
  <c r="Y1054" i="1"/>
  <c r="S1055" i="1"/>
  <c r="AH1053" i="1"/>
  <c r="AD1053" i="1"/>
  <c r="AB1053" i="1"/>
  <c r="AF1053" i="1"/>
  <c r="AA1053" i="1"/>
  <c r="AE1053" i="1"/>
  <c r="AG1053" i="1"/>
  <c r="AC1053" i="1"/>
  <c r="AF1054" i="1" l="1"/>
  <c r="AB1054" i="1"/>
  <c r="T1055" i="1"/>
  <c r="S1056" i="1"/>
  <c r="X1055" i="1"/>
  <c r="Y1055" i="1"/>
  <c r="W1055" i="1"/>
  <c r="U1055" i="1"/>
  <c r="V1055" i="1" s="1"/>
  <c r="Z1055" i="1"/>
  <c r="AH1054" i="1"/>
  <c r="AD1054" i="1"/>
  <c r="AG1054" i="1"/>
  <c r="AC1054" i="1"/>
  <c r="AE1054" i="1"/>
  <c r="AA1054" i="1"/>
  <c r="T1056" i="1" l="1"/>
  <c r="U1056" i="1"/>
  <c r="V1056" i="1" s="1"/>
  <c r="S1057" i="1"/>
  <c r="Y1056" i="1"/>
  <c r="Z1056" i="1"/>
  <c r="X1056" i="1"/>
  <c r="W1056" i="1"/>
  <c r="AE1055" i="1"/>
  <c r="AA1055" i="1"/>
  <c r="AC1055" i="1"/>
  <c r="AG1055" i="1"/>
  <c r="AH1055" i="1"/>
  <c r="AD1055" i="1"/>
  <c r="AF1055" i="1"/>
  <c r="AB1055" i="1"/>
  <c r="AC1056" i="1" l="1"/>
  <c r="AG1056" i="1"/>
  <c r="AE1056" i="1"/>
  <c r="AA1056" i="1"/>
  <c r="T1057" i="1"/>
  <c r="W1057" i="1"/>
  <c r="U1057" i="1"/>
  <c r="V1057" i="1" s="1"/>
  <c r="Z1057" i="1"/>
  <c r="S1058" i="1"/>
  <c r="X1057" i="1"/>
  <c r="Y1057" i="1"/>
  <c r="AF1056" i="1"/>
  <c r="AB1056" i="1"/>
  <c r="AD1056" i="1"/>
  <c r="AH1056" i="1"/>
  <c r="AD1057" i="1" l="1"/>
  <c r="AH1057" i="1"/>
  <c r="AG1057" i="1"/>
  <c r="AC1057" i="1"/>
  <c r="AB1057" i="1"/>
  <c r="AF1057" i="1"/>
  <c r="AE1057" i="1"/>
  <c r="AA1057" i="1"/>
  <c r="T1058" i="1"/>
  <c r="U1058" i="1"/>
  <c r="V1058" i="1" s="1"/>
  <c r="Z1058" i="1"/>
  <c r="X1058" i="1"/>
  <c r="Y1058" i="1"/>
  <c r="S1059" i="1"/>
  <c r="W1058" i="1"/>
  <c r="AF1058" i="1" l="1"/>
  <c r="AB1058" i="1"/>
  <c r="AD1058" i="1"/>
  <c r="AH1058" i="1"/>
  <c r="AE1058" i="1"/>
  <c r="AA1058" i="1"/>
  <c r="T1059" i="1"/>
  <c r="W1059" i="1"/>
  <c r="Z1059" i="1"/>
  <c r="S1060" i="1"/>
  <c r="X1059" i="1"/>
  <c r="Y1059" i="1"/>
  <c r="U1059" i="1"/>
  <c r="V1059" i="1" s="1"/>
  <c r="AG1058" i="1"/>
  <c r="AC1058" i="1"/>
  <c r="AD1059" i="1" l="1"/>
  <c r="AH1059" i="1"/>
  <c r="AG1059" i="1"/>
  <c r="AC1059" i="1"/>
  <c r="AE1059" i="1"/>
  <c r="AA1059" i="1"/>
  <c r="AB1059" i="1"/>
  <c r="AF1059" i="1"/>
  <c r="T1060" i="1"/>
  <c r="U1060" i="1"/>
  <c r="V1060" i="1" s="1"/>
  <c r="X1060" i="1"/>
  <c r="Z1060" i="1"/>
  <c r="W1060" i="1"/>
  <c r="Y1060" i="1"/>
  <c r="S1061" i="1"/>
  <c r="AD1060" i="1" l="1"/>
  <c r="AH1060" i="1"/>
  <c r="AB1060" i="1"/>
  <c r="AF1060" i="1"/>
  <c r="T1061" i="1"/>
  <c r="U1061" i="1"/>
  <c r="V1061" i="1" s="1"/>
  <c r="X1061" i="1"/>
  <c r="S1062" i="1"/>
  <c r="W1061" i="1"/>
  <c r="Y1061" i="1"/>
  <c r="Z1061" i="1"/>
  <c r="AG1060" i="1"/>
  <c r="AC1060" i="1"/>
  <c r="AA1060" i="1"/>
  <c r="AE1060" i="1"/>
  <c r="T1062" i="1" l="1"/>
  <c r="S1063" i="1"/>
  <c r="X1062" i="1"/>
  <c r="Z1062" i="1"/>
  <c r="W1062" i="1"/>
  <c r="Y1062" i="1"/>
  <c r="U1062" i="1"/>
  <c r="V1062" i="1" s="1"/>
  <c r="AD1061" i="1"/>
  <c r="AH1061" i="1"/>
  <c r="AF1061" i="1"/>
  <c r="AB1061" i="1"/>
  <c r="AC1061" i="1"/>
  <c r="AG1061" i="1"/>
  <c r="AE1061" i="1"/>
  <c r="AA1061" i="1"/>
  <c r="AH1062" i="1" l="1"/>
  <c r="AD1062" i="1"/>
  <c r="AF1062" i="1"/>
  <c r="AB1062" i="1"/>
  <c r="AC1062" i="1"/>
  <c r="AG1062" i="1"/>
  <c r="T1063" i="1"/>
  <c r="Y1063" i="1"/>
  <c r="Z1063" i="1"/>
  <c r="U1063" i="1"/>
  <c r="V1063" i="1" s="1"/>
  <c r="X1063" i="1"/>
  <c r="W1063" i="1"/>
  <c r="S1064" i="1"/>
  <c r="AE1062" i="1"/>
  <c r="AA1062" i="1"/>
  <c r="AA1063" i="1" l="1"/>
  <c r="AE1063" i="1"/>
  <c r="AG1063" i="1"/>
  <c r="AC1063" i="1"/>
  <c r="AB1063" i="1"/>
  <c r="AF1063" i="1"/>
  <c r="T1064" i="1"/>
  <c r="Z1064" i="1"/>
  <c r="U1064" i="1"/>
  <c r="V1064" i="1" s="1"/>
  <c r="W1064" i="1"/>
  <c r="Y1064" i="1"/>
  <c r="S1065" i="1"/>
  <c r="X1064" i="1"/>
  <c r="AD1063" i="1"/>
  <c r="AH1063" i="1"/>
  <c r="T1065" i="1" l="1"/>
  <c r="U1065" i="1"/>
  <c r="V1065" i="1" s="1"/>
  <c r="W1065" i="1"/>
  <c r="S1066" i="1"/>
  <c r="X1065" i="1"/>
  <c r="Y1065" i="1"/>
  <c r="Z1065" i="1"/>
  <c r="AH1064" i="1"/>
  <c r="AD1064" i="1"/>
  <c r="AC1064" i="1"/>
  <c r="AG1064" i="1"/>
  <c r="AA1064" i="1"/>
  <c r="AE1064" i="1"/>
  <c r="AF1064" i="1"/>
  <c r="AB1064" i="1"/>
  <c r="T1066" i="1" l="1"/>
  <c r="S1067" i="1"/>
  <c r="Z1066" i="1"/>
  <c r="Y1066" i="1"/>
  <c r="X1066" i="1"/>
  <c r="U1066" i="1"/>
  <c r="V1066" i="1" s="1"/>
  <c r="W1066" i="1"/>
  <c r="AH1065" i="1"/>
  <c r="AD1065" i="1"/>
  <c r="AE1065" i="1"/>
  <c r="AA1065" i="1"/>
  <c r="AG1065" i="1"/>
  <c r="AC1065" i="1"/>
  <c r="AB1065" i="1"/>
  <c r="AF1065" i="1"/>
  <c r="AC1066" i="1" l="1"/>
  <c r="AG1066" i="1"/>
  <c r="AA1066" i="1"/>
  <c r="AE1066" i="1"/>
  <c r="AH1066" i="1"/>
  <c r="AD1066" i="1"/>
  <c r="T1067" i="1"/>
  <c r="S1068" i="1"/>
  <c r="Y1067" i="1"/>
  <c r="W1067" i="1"/>
  <c r="Z1067" i="1"/>
  <c r="X1067" i="1"/>
  <c r="U1067" i="1"/>
  <c r="V1067" i="1" s="1"/>
  <c r="AB1066" i="1"/>
  <c r="AF1066" i="1"/>
  <c r="AF1067" i="1" l="1"/>
  <c r="AB1067" i="1"/>
  <c r="AH1067" i="1"/>
  <c r="AD1067" i="1"/>
  <c r="T1068" i="1"/>
  <c r="Y1068" i="1"/>
  <c r="X1068" i="1"/>
  <c r="S1069" i="1"/>
  <c r="Z1068" i="1"/>
  <c r="U1068" i="1"/>
  <c r="V1068" i="1" s="1"/>
  <c r="W1068" i="1"/>
  <c r="AA1067" i="1"/>
  <c r="AE1067" i="1"/>
  <c r="AC1067" i="1"/>
  <c r="AG1067" i="1"/>
  <c r="AA1068" i="1" l="1"/>
  <c r="AE1068" i="1"/>
  <c r="AB1068" i="1"/>
  <c r="AF1068" i="1"/>
  <c r="T1069" i="1"/>
  <c r="Z1069" i="1"/>
  <c r="X1069" i="1"/>
  <c r="S1070" i="1"/>
  <c r="Y1069" i="1"/>
  <c r="U1069" i="1"/>
  <c r="V1069" i="1" s="1"/>
  <c r="W1069" i="1"/>
  <c r="AG1068" i="1"/>
  <c r="AC1068" i="1"/>
  <c r="AH1068" i="1"/>
  <c r="AD1068" i="1"/>
  <c r="AA1069" i="1" l="1"/>
  <c r="AE1069" i="1"/>
  <c r="AB1069" i="1"/>
  <c r="AF1069" i="1"/>
  <c r="AH1069" i="1"/>
  <c r="AD1069" i="1"/>
  <c r="T1070" i="1"/>
  <c r="X1070" i="1"/>
  <c r="S1071" i="1"/>
  <c r="W1070" i="1"/>
  <c r="Y1070" i="1"/>
  <c r="Z1070" i="1"/>
  <c r="U1070" i="1"/>
  <c r="V1070" i="1" s="1"/>
  <c r="AC1069" i="1"/>
  <c r="AG1069" i="1"/>
  <c r="AD1070" i="1" l="1"/>
  <c r="AH1070" i="1"/>
  <c r="AC1070" i="1"/>
  <c r="AG1070" i="1"/>
  <c r="AB1070" i="1"/>
  <c r="AF1070" i="1"/>
  <c r="AE1070" i="1"/>
  <c r="AA1070" i="1"/>
  <c r="T1071" i="1"/>
  <c r="Y1071" i="1"/>
  <c r="W1071" i="1"/>
  <c r="U1071" i="1"/>
  <c r="V1071" i="1" s="1"/>
  <c r="S1072" i="1"/>
  <c r="Z1071" i="1"/>
  <c r="X1071" i="1"/>
  <c r="AA1071" i="1" l="1"/>
  <c r="AE1071" i="1"/>
  <c r="AB1071" i="1"/>
  <c r="AF1071" i="1"/>
  <c r="AH1071" i="1"/>
  <c r="AD1071" i="1"/>
  <c r="AC1071" i="1"/>
  <c r="AG1071" i="1"/>
  <c r="T1072" i="1"/>
  <c r="X1072" i="1"/>
  <c r="S1073" i="1"/>
  <c r="W1072" i="1"/>
  <c r="Y1072" i="1"/>
  <c r="Z1072" i="1"/>
  <c r="U1072" i="1"/>
  <c r="V1072" i="1" s="1"/>
  <c r="T1073" i="1" l="1"/>
  <c r="Z1073" i="1"/>
  <c r="X1073" i="1"/>
  <c r="Y1073" i="1"/>
  <c r="S1074" i="1"/>
  <c r="U1073" i="1"/>
  <c r="V1073" i="1" s="1"/>
  <c r="W1073" i="1"/>
  <c r="AD1072" i="1"/>
  <c r="AH1072" i="1"/>
  <c r="AB1072" i="1"/>
  <c r="AF1072" i="1"/>
  <c r="AA1072" i="1"/>
  <c r="AE1072" i="1"/>
  <c r="AC1072" i="1"/>
  <c r="AG1072" i="1"/>
  <c r="AC1073" i="1" l="1"/>
  <c r="AG1073" i="1"/>
  <c r="AA1073" i="1"/>
  <c r="AE1073" i="1"/>
  <c r="AB1073" i="1"/>
  <c r="AF1073" i="1"/>
  <c r="AH1073" i="1"/>
  <c r="AD1073" i="1"/>
  <c r="T1074" i="1"/>
  <c r="X1074" i="1"/>
  <c r="S1075" i="1"/>
  <c r="W1074" i="1"/>
  <c r="U1074" i="1"/>
  <c r="V1074" i="1" s="1"/>
  <c r="Y1074" i="1"/>
  <c r="Z1074" i="1"/>
  <c r="AA1074" i="1" l="1"/>
  <c r="AE1074" i="1"/>
  <c r="AH1074" i="1"/>
  <c r="AD1074" i="1"/>
  <c r="T1075" i="1"/>
  <c r="Z1075" i="1"/>
  <c r="X1075" i="1"/>
  <c r="S1076" i="1"/>
  <c r="Y1075" i="1"/>
  <c r="W1075" i="1"/>
  <c r="U1075" i="1"/>
  <c r="V1075" i="1" s="1"/>
  <c r="AF1074" i="1"/>
  <c r="AB1074" i="1"/>
  <c r="AG1074" i="1"/>
  <c r="AC1074" i="1"/>
  <c r="T1076" i="1" l="1"/>
  <c r="Y1076" i="1"/>
  <c r="Z1076" i="1"/>
  <c r="X1076" i="1"/>
  <c r="S1077" i="1"/>
  <c r="W1076" i="1"/>
  <c r="U1076" i="1"/>
  <c r="V1076" i="1" s="1"/>
  <c r="AB1075" i="1"/>
  <c r="AF1075" i="1"/>
  <c r="AA1075" i="1"/>
  <c r="AE1075" i="1"/>
  <c r="AD1075" i="1"/>
  <c r="AH1075" i="1"/>
  <c r="AG1075" i="1"/>
  <c r="AC1075" i="1"/>
  <c r="AB1076" i="1" l="1"/>
  <c r="AF1076" i="1"/>
  <c r="AH1076" i="1"/>
  <c r="AD1076" i="1"/>
  <c r="AA1076" i="1"/>
  <c r="AE1076" i="1"/>
  <c r="AG1076" i="1"/>
  <c r="AC1076" i="1"/>
  <c r="T1077" i="1"/>
  <c r="Z1077" i="1"/>
  <c r="X1077" i="1"/>
  <c r="S1078" i="1"/>
  <c r="Y1077" i="1"/>
  <c r="U1077" i="1"/>
  <c r="V1077" i="1" s="1"/>
  <c r="W1077" i="1"/>
  <c r="T1078" i="1" l="1"/>
  <c r="Z1078" i="1"/>
  <c r="U1078" i="1"/>
  <c r="V1078" i="1" s="1"/>
  <c r="S1079" i="1"/>
  <c r="W1078" i="1"/>
  <c r="Y1078" i="1"/>
  <c r="X1078" i="1"/>
  <c r="AA1077" i="1"/>
  <c r="AE1077" i="1"/>
  <c r="AB1077" i="1"/>
  <c r="AF1077" i="1"/>
  <c r="AH1077" i="1"/>
  <c r="AD1077" i="1"/>
  <c r="AG1077" i="1"/>
  <c r="AC1077" i="1"/>
  <c r="T1079" i="1" l="1"/>
  <c r="Z1079" i="1"/>
  <c r="X1079" i="1"/>
  <c r="S1080" i="1"/>
  <c r="W1079" i="1"/>
  <c r="U1079" i="1"/>
  <c r="V1079" i="1" s="1"/>
  <c r="Y1079" i="1"/>
  <c r="AB1078" i="1"/>
  <c r="AF1078" i="1"/>
  <c r="AG1078" i="1"/>
  <c r="AC1078" i="1"/>
  <c r="AH1078" i="1"/>
  <c r="AD1078" i="1"/>
  <c r="AA1078" i="1"/>
  <c r="AE1078" i="1"/>
  <c r="T1080" i="1" l="1"/>
  <c r="Y1080" i="1"/>
  <c r="Z1080" i="1"/>
  <c r="U1080" i="1"/>
  <c r="V1080" i="1" s="1"/>
  <c r="X1080" i="1"/>
  <c r="S1081" i="1"/>
  <c r="W1080" i="1"/>
  <c r="AG1079" i="1"/>
  <c r="AC1079" i="1"/>
  <c r="AB1079" i="1"/>
  <c r="AF1079" i="1"/>
  <c r="AD1079" i="1"/>
  <c r="AH1079" i="1"/>
  <c r="AA1079" i="1"/>
  <c r="AE1079" i="1"/>
  <c r="AE1080" i="1" l="1"/>
  <c r="AA1080" i="1"/>
  <c r="AH1080" i="1"/>
  <c r="AD1080" i="1"/>
  <c r="T1081" i="1"/>
  <c r="Z1081" i="1"/>
  <c r="X1081" i="1"/>
  <c r="Y1081" i="1"/>
  <c r="W1081" i="1"/>
  <c r="U1081" i="1"/>
  <c r="V1081" i="1" s="1"/>
  <c r="S1082" i="1"/>
  <c r="AC1080" i="1"/>
  <c r="AG1080" i="1"/>
  <c r="AB1080" i="1"/>
  <c r="AF1080" i="1"/>
  <c r="AG1081" i="1" l="1"/>
  <c r="AC1081" i="1"/>
  <c r="T1082" i="1"/>
  <c r="Y1082" i="1"/>
  <c r="Z1082" i="1"/>
  <c r="U1082" i="1"/>
  <c r="V1082" i="1" s="1"/>
  <c r="X1082" i="1"/>
  <c r="S1083" i="1"/>
  <c r="W1082" i="1"/>
  <c r="AB1081" i="1"/>
  <c r="AF1081" i="1"/>
  <c r="AH1081" i="1"/>
  <c r="AD1081" i="1"/>
  <c r="AA1081" i="1"/>
  <c r="AE1081" i="1"/>
  <c r="T1083" i="1" l="1"/>
  <c r="Z1083" i="1"/>
  <c r="X1083" i="1"/>
  <c r="S1084" i="1"/>
  <c r="Y1083" i="1"/>
  <c r="W1083" i="1"/>
  <c r="U1083" i="1"/>
  <c r="V1083" i="1" s="1"/>
  <c r="AG1082" i="1"/>
  <c r="AC1082" i="1"/>
  <c r="AB1082" i="1"/>
  <c r="AF1082" i="1"/>
  <c r="AE1082" i="1"/>
  <c r="AA1082" i="1"/>
  <c r="AD1082" i="1"/>
  <c r="AH1082" i="1"/>
  <c r="T1084" i="1" l="1"/>
  <c r="Y1084" i="1"/>
  <c r="Z1084" i="1"/>
  <c r="U1084" i="1"/>
  <c r="V1084" i="1" s="1"/>
  <c r="X1084" i="1"/>
  <c r="S1085" i="1"/>
  <c r="W1084" i="1"/>
  <c r="AB1083" i="1"/>
  <c r="AF1083" i="1"/>
  <c r="AE1083" i="1"/>
  <c r="AA1083" i="1"/>
  <c r="AD1083" i="1"/>
  <c r="AH1083" i="1"/>
  <c r="AC1083" i="1"/>
  <c r="AG1083" i="1"/>
  <c r="AA1084" i="1" l="1"/>
  <c r="AE1084" i="1"/>
  <c r="AD1084" i="1"/>
  <c r="AH1084" i="1"/>
  <c r="T1085" i="1"/>
  <c r="Z1085" i="1"/>
  <c r="X1085" i="1"/>
  <c r="Y1085" i="1"/>
  <c r="W1085" i="1"/>
  <c r="S1086" i="1"/>
  <c r="U1085" i="1"/>
  <c r="V1085" i="1" s="1"/>
  <c r="AC1084" i="1"/>
  <c r="AG1084" i="1"/>
  <c r="AB1084" i="1"/>
  <c r="AF1084" i="1"/>
  <c r="AG1085" i="1" l="1"/>
  <c r="AC1085" i="1"/>
  <c r="AB1085" i="1"/>
  <c r="AF1085" i="1"/>
  <c r="T1086" i="1"/>
  <c r="Y1086" i="1"/>
  <c r="U1086" i="1"/>
  <c r="V1086" i="1" s="1"/>
  <c r="S1087" i="1"/>
  <c r="W1086" i="1"/>
  <c r="Z1086" i="1"/>
  <c r="X1086" i="1"/>
  <c r="AD1085" i="1"/>
  <c r="AH1085" i="1"/>
  <c r="AE1085" i="1"/>
  <c r="AA1085" i="1"/>
  <c r="T1087" i="1" l="1"/>
  <c r="S1088" i="1"/>
  <c r="Y1087" i="1"/>
  <c r="W1087" i="1"/>
  <c r="U1087" i="1"/>
  <c r="V1087" i="1" s="1"/>
  <c r="Z1087" i="1"/>
  <c r="X1087" i="1"/>
  <c r="AF1086" i="1"/>
  <c r="AB1086" i="1"/>
  <c r="AH1086" i="1"/>
  <c r="AD1086" i="1"/>
  <c r="AG1086" i="1"/>
  <c r="AC1086" i="1"/>
  <c r="AE1086" i="1"/>
  <c r="AA1086" i="1"/>
  <c r="AA1087" i="1" l="1"/>
  <c r="AE1087" i="1"/>
  <c r="AF1087" i="1"/>
  <c r="AB1087" i="1"/>
  <c r="AC1087" i="1"/>
  <c r="AG1087" i="1"/>
  <c r="AD1087" i="1"/>
  <c r="AH1087" i="1"/>
  <c r="T1088" i="1"/>
  <c r="Y1088" i="1"/>
  <c r="Z1088" i="1"/>
  <c r="U1088" i="1"/>
  <c r="V1088" i="1" s="1"/>
  <c r="X1088" i="1"/>
  <c r="S1089" i="1"/>
  <c r="W1088" i="1"/>
  <c r="AA1088" i="1" l="1"/>
  <c r="AE1088" i="1"/>
  <c r="AH1088" i="1"/>
  <c r="AD1088" i="1"/>
  <c r="AG1088" i="1"/>
  <c r="AC1088" i="1"/>
  <c r="T1089" i="1"/>
  <c r="Z1089" i="1"/>
  <c r="X1089" i="1"/>
  <c r="S1090" i="1"/>
  <c r="W1089" i="1"/>
  <c r="Y1089" i="1"/>
  <c r="U1089" i="1"/>
  <c r="V1089" i="1" s="1"/>
  <c r="AB1088" i="1"/>
  <c r="AF1088" i="1"/>
  <c r="T1090" i="1" l="1"/>
  <c r="X1090" i="1"/>
  <c r="Y1090" i="1"/>
  <c r="U1090" i="1"/>
  <c r="V1090" i="1" s="1"/>
  <c r="S1091" i="1"/>
  <c r="W1090" i="1"/>
  <c r="Z1090" i="1"/>
  <c r="AB1089" i="1"/>
  <c r="AF1089" i="1"/>
  <c r="AC1089" i="1"/>
  <c r="AG1089" i="1"/>
  <c r="AD1089" i="1"/>
  <c r="AH1089" i="1"/>
  <c r="AA1089" i="1"/>
  <c r="AE1089" i="1"/>
  <c r="AH1090" i="1" l="1"/>
  <c r="AD1090" i="1"/>
  <c r="AG1090" i="1"/>
  <c r="AC1090" i="1"/>
  <c r="AE1090" i="1"/>
  <c r="AA1090" i="1"/>
  <c r="AF1090" i="1"/>
  <c r="AB1090" i="1"/>
  <c r="T1091" i="1"/>
  <c r="Z1091" i="1"/>
  <c r="S1092" i="1"/>
  <c r="Y1091" i="1"/>
  <c r="W1091" i="1"/>
  <c r="U1091" i="1"/>
  <c r="V1091" i="1" s="1"/>
  <c r="X1091" i="1"/>
  <c r="AC1091" i="1" l="1"/>
  <c r="AG1091" i="1"/>
  <c r="AB1091" i="1"/>
  <c r="AF1091" i="1"/>
  <c r="T1092" i="1"/>
  <c r="X1092" i="1"/>
  <c r="W1092" i="1"/>
  <c r="Y1092" i="1"/>
  <c r="S1093" i="1"/>
  <c r="Z1092" i="1"/>
  <c r="U1092" i="1"/>
  <c r="V1092" i="1" s="1"/>
  <c r="AH1091" i="1"/>
  <c r="AD1091" i="1"/>
  <c r="AE1091" i="1"/>
  <c r="AA1091" i="1"/>
  <c r="AC1092" i="1" l="1"/>
  <c r="AG1092" i="1"/>
  <c r="AE1092" i="1"/>
  <c r="AA1092" i="1"/>
  <c r="AD1092" i="1"/>
  <c r="AH1092" i="1"/>
  <c r="AF1092" i="1"/>
  <c r="AB1092" i="1"/>
  <c r="T1093" i="1"/>
  <c r="Z1093" i="1"/>
  <c r="S1094" i="1"/>
  <c r="W1093" i="1"/>
  <c r="U1093" i="1"/>
  <c r="V1093" i="1" s="1"/>
  <c r="X1093" i="1"/>
  <c r="Y1093" i="1"/>
  <c r="AA1093" i="1" l="1"/>
  <c r="AE1093" i="1"/>
  <c r="AC1093" i="1"/>
  <c r="AG1093" i="1"/>
  <c r="AB1093" i="1"/>
  <c r="AF1093" i="1"/>
  <c r="AH1093" i="1"/>
  <c r="AD1093" i="1"/>
  <c r="T1094" i="1"/>
  <c r="Y1094" i="1"/>
  <c r="Z1094" i="1"/>
  <c r="U1094" i="1"/>
  <c r="V1094" i="1" s="1"/>
  <c r="S1095" i="1"/>
  <c r="W1094" i="1"/>
  <c r="X1094" i="1"/>
  <c r="AA1094" i="1" l="1"/>
  <c r="AE1094" i="1"/>
  <c r="AB1094" i="1"/>
  <c r="AF1094" i="1"/>
  <c r="AH1094" i="1"/>
  <c r="AD1094" i="1"/>
  <c r="AG1094" i="1"/>
  <c r="AC1094" i="1"/>
  <c r="T1095" i="1"/>
  <c r="Z1095" i="1"/>
  <c r="X1095" i="1"/>
  <c r="S1096" i="1"/>
  <c r="W1095" i="1"/>
  <c r="U1095" i="1"/>
  <c r="V1095" i="1" s="1"/>
  <c r="Y1095" i="1"/>
  <c r="T1096" i="1" l="1"/>
  <c r="X1096" i="1"/>
  <c r="S1097" i="1"/>
  <c r="Y1096" i="1"/>
  <c r="Z1096" i="1"/>
  <c r="W1096" i="1"/>
  <c r="U1096" i="1"/>
  <c r="V1096" i="1" s="1"/>
  <c r="AF1095" i="1"/>
  <c r="AB1095" i="1"/>
  <c r="AD1095" i="1"/>
  <c r="AH1095" i="1"/>
  <c r="AC1095" i="1"/>
  <c r="AG1095" i="1"/>
  <c r="AA1095" i="1"/>
  <c r="AE1095" i="1"/>
  <c r="AG1096" i="1" l="1"/>
  <c r="AC1096" i="1"/>
  <c r="T1097" i="1"/>
  <c r="Z1097" i="1"/>
  <c r="X1097" i="1"/>
  <c r="S1098" i="1"/>
  <c r="U1097" i="1"/>
  <c r="V1097" i="1" s="1"/>
  <c r="Y1097" i="1"/>
  <c r="W1097" i="1"/>
  <c r="AE1096" i="1"/>
  <c r="AA1096" i="1"/>
  <c r="AB1096" i="1"/>
  <c r="AF1096" i="1"/>
  <c r="AD1096" i="1"/>
  <c r="AH1096" i="1"/>
  <c r="AC1097" i="1" l="1"/>
  <c r="AG1097" i="1"/>
  <c r="AH1097" i="1"/>
  <c r="AD1097" i="1"/>
  <c r="T1098" i="1"/>
  <c r="X1098" i="1"/>
  <c r="S1099" i="1"/>
  <c r="W1098" i="1"/>
  <c r="Y1098" i="1"/>
  <c r="Z1098" i="1"/>
  <c r="U1098" i="1"/>
  <c r="V1098" i="1" s="1"/>
  <c r="AA1097" i="1"/>
  <c r="AE1097" i="1"/>
  <c r="AB1097" i="1"/>
  <c r="AF1097" i="1"/>
  <c r="AE1098" i="1" l="1"/>
  <c r="AA1098" i="1"/>
  <c r="T1099" i="1"/>
  <c r="S1100" i="1"/>
  <c r="Y1099" i="1"/>
  <c r="W1099" i="1"/>
  <c r="U1099" i="1"/>
  <c r="V1099" i="1" s="1"/>
  <c r="Z1099" i="1"/>
  <c r="X1099" i="1"/>
  <c r="AH1098" i="1"/>
  <c r="AD1098" i="1"/>
  <c r="AF1098" i="1"/>
  <c r="AB1098" i="1"/>
  <c r="AG1098" i="1"/>
  <c r="AC1098" i="1"/>
  <c r="AH1099" i="1" l="1"/>
  <c r="AD1099" i="1"/>
  <c r="T1100" i="1"/>
  <c r="S1101" i="1"/>
  <c r="W1100" i="1"/>
  <c r="Y1100" i="1"/>
  <c r="Z1100" i="1"/>
  <c r="U1100" i="1"/>
  <c r="V1100" i="1" s="1"/>
  <c r="X1100" i="1"/>
  <c r="AE1099" i="1"/>
  <c r="AA1099" i="1"/>
  <c r="AF1099" i="1"/>
  <c r="AB1099" i="1"/>
  <c r="AG1099" i="1"/>
  <c r="AC1099" i="1"/>
  <c r="T1101" i="1" l="1"/>
  <c r="Z1101" i="1"/>
  <c r="X1101" i="1"/>
  <c r="S1102" i="1"/>
  <c r="Y1101" i="1"/>
  <c r="W1101" i="1"/>
  <c r="U1101" i="1"/>
  <c r="V1101" i="1" s="1"/>
  <c r="AH1100" i="1"/>
  <c r="AD1100" i="1"/>
  <c r="AG1100" i="1"/>
  <c r="AC1100" i="1"/>
  <c r="AB1100" i="1"/>
  <c r="AF1100" i="1"/>
  <c r="AA1100" i="1"/>
  <c r="AE1100" i="1"/>
  <c r="T1102" i="1" l="1"/>
  <c r="Y1102" i="1"/>
  <c r="Z1102" i="1"/>
  <c r="U1102" i="1"/>
  <c r="V1102" i="1" s="1"/>
  <c r="X1102" i="1"/>
  <c r="S1103" i="1"/>
  <c r="W1102" i="1"/>
  <c r="AF1101" i="1"/>
  <c r="AB1101" i="1"/>
  <c r="AA1101" i="1"/>
  <c r="AE1101" i="1"/>
  <c r="AD1101" i="1"/>
  <c r="AH1101" i="1"/>
  <c r="AG1101" i="1"/>
  <c r="AC1101" i="1"/>
  <c r="AA1102" i="1" l="1"/>
  <c r="AE1102" i="1"/>
  <c r="AH1102" i="1"/>
  <c r="AD1102" i="1"/>
  <c r="T1103" i="1"/>
  <c r="Z1103" i="1"/>
  <c r="X1103" i="1"/>
  <c r="S1104" i="1"/>
  <c r="W1103" i="1"/>
  <c r="U1103" i="1"/>
  <c r="V1103" i="1" s="1"/>
  <c r="Y1103" i="1"/>
  <c r="AG1102" i="1"/>
  <c r="AC1102" i="1"/>
  <c r="AB1102" i="1"/>
  <c r="AF1102" i="1"/>
  <c r="T1104" i="1" l="1"/>
  <c r="Y1104" i="1"/>
  <c r="Z1104" i="1"/>
  <c r="U1104" i="1"/>
  <c r="V1104" i="1" s="1"/>
  <c r="X1104" i="1"/>
  <c r="S1105" i="1"/>
  <c r="W1104" i="1"/>
  <c r="AG1103" i="1"/>
  <c r="AC1103" i="1"/>
  <c r="AB1103" i="1"/>
  <c r="AF1103" i="1"/>
  <c r="AH1103" i="1"/>
  <c r="AD1103" i="1"/>
  <c r="AA1103" i="1"/>
  <c r="AE1103" i="1"/>
  <c r="AA1104" i="1" l="1"/>
  <c r="AE1104" i="1"/>
  <c r="AH1104" i="1"/>
  <c r="AD1104" i="1"/>
  <c r="T1105" i="1"/>
  <c r="Z1105" i="1"/>
  <c r="X1105" i="1"/>
  <c r="S1106" i="1"/>
  <c r="Y1105" i="1"/>
  <c r="W1105" i="1"/>
  <c r="U1105" i="1"/>
  <c r="V1105" i="1" s="1"/>
  <c r="AG1104" i="1"/>
  <c r="AC1104" i="1"/>
  <c r="AB1104" i="1"/>
  <c r="AF1104" i="1"/>
  <c r="T1106" i="1" l="1"/>
  <c r="Y1106" i="1"/>
  <c r="Z1106" i="1"/>
  <c r="U1106" i="1"/>
  <c r="V1106" i="1" s="1"/>
  <c r="X1106" i="1"/>
  <c r="S1107" i="1"/>
  <c r="W1106" i="1"/>
  <c r="AB1105" i="1"/>
  <c r="AF1105" i="1"/>
  <c r="AA1105" i="1"/>
  <c r="AE1105" i="1"/>
  <c r="AH1105" i="1"/>
  <c r="AD1105" i="1"/>
  <c r="AG1105" i="1"/>
  <c r="AC1105" i="1"/>
  <c r="AA1106" i="1" l="1"/>
  <c r="AE1106" i="1"/>
  <c r="AH1106" i="1"/>
  <c r="AD1106" i="1"/>
  <c r="T1107" i="1"/>
  <c r="Z1107" i="1"/>
  <c r="X1107" i="1"/>
  <c r="S1108" i="1"/>
  <c r="Y1107" i="1"/>
  <c r="W1107" i="1"/>
  <c r="U1107" i="1"/>
  <c r="V1107" i="1" s="1"/>
  <c r="AG1106" i="1"/>
  <c r="AC1106" i="1"/>
  <c r="AB1106" i="1"/>
  <c r="AF1106" i="1"/>
  <c r="T1108" i="1" l="1"/>
  <c r="X1108" i="1"/>
  <c r="W1108" i="1"/>
  <c r="Y1108" i="1"/>
  <c r="U1108" i="1"/>
  <c r="V1108" i="1" s="1"/>
  <c r="S1109" i="1"/>
  <c r="Z1108" i="1"/>
  <c r="AB1107" i="1"/>
  <c r="AF1107" i="1"/>
  <c r="AE1107" i="1"/>
  <c r="AA1107" i="1"/>
  <c r="AD1107" i="1"/>
  <c r="AH1107" i="1"/>
  <c r="AC1107" i="1"/>
  <c r="AG1107" i="1"/>
  <c r="AG1108" i="1" l="1"/>
  <c r="AC1108" i="1"/>
  <c r="AD1108" i="1"/>
  <c r="AH1108" i="1"/>
  <c r="AA1108" i="1"/>
  <c r="AE1108" i="1"/>
  <c r="T1109" i="1"/>
  <c r="Z1109" i="1"/>
  <c r="X1109" i="1"/>
  <c r="S1110" i="1"/>
  <c r="Y1109" i="1"/>
  <c r="U1109" i="1"/>
  <c r="V1109" i="1" s="1"/>
  <c r="W1109" i="1"/>
  <c r="AF1108" i="1"/>
  <c r="AB1108" i="1"/>
  <c r="AE1109" i="1" l="1"/>
  <c r="AA1109" i="1"/>
  <c r="AF1109" i="1"/>
  <c r="AB1109" i="1"/>
  <c r="AH1109" i="1"/>
  <c r="AD1109" i="1"/>
  <c r="AC1109" i="1"/>
  <c r="AG1109" i="1"/>
  <c r="T1110" i="1"/>
  <c r="U1110" i="1"/>
  <c r="V1110" i="1" s="1"/>
  <c r="X1110" i="1"/>
  <c r="S1111" i="1"/>
  <c r="W1110" i="1"/>
  <c r="Y1110" i="1"/>
  <c r="Z1110" i="1"/>
  <c r="T1111" i="1" l="1"/>
  <c r="Z1111" i="1"/>
  <c r="X1111" i="1"/>
  <c r="W1111" i="1"/>
  <c r="U1111" i="1"/>
  <c r="V1111" i="1" s="1"/>
  <c r="S1112" i="1"/>
  <c r="Y1111" i="1"/>
  <c r="AB1110" i="1"/>
  <c r="AF1110" i="1"/>
  <c r="AH1110" i="1"/>
  <c r="AD1110" i="1"/>
  <c r="AG1110" i="1"/>
  <c r="AC1110" i="1"/>
  <c r="AA1110" i="1"/>
  <c r="AE1110" i="1"/>
  <c r="AA1111" i="1" l="1"/>
  <c r="AE1111" i="1"/>
  <c r="AC1111" i="1"/>
  <c r="AG1111" i="1"/>
  <c r="AB1111" i="1"/>
  <c r="AF1111" i="1"/>
  <c r="T1112" i="1"/>
  <c r="X1112" i="1"/>
  <c r="U1112" i="1"/>
  <c r="V1112" i="1" s="1"/>
  <c r="S1113" i="1"/>
  <c r="W1112" i="1"/>
  <c r="Y1112" i="1"/>
  <c r="Z1112" i="1"/>
  <c r="AD1111" i="1"/>
  <c r="AH1111" i="1"/>
  <c r="AG1112" i="1" l="1"/>
  <c r="AC1112" i="1"/>
  <c r="AF1112" i="1"/>
  <c r="AB1112" i="1"/>
  <c r="AA1112" i="1"/>
  <c r="AE1112" i="1"/>
  <c r="T1113" i="1"/>
  <c r="Z1113" i="1"/>
  <c r="X1113" i="1"/>
  <c r="S1114" i="1"/>
  <c r="Y1113" i="1"/>
  <c r="W1113" i="1"/>
  <c r="U1113" i="1"/>
  <c r="V1113" i="1" s="1"/>
  <c r="AD1112" i="1"/>
  <c r="AH1112" i="1"/>
  <c r="AE1113" i="1" l="1"/>
  <c r="AA1113" i="1"/>
  <c r="AH1113" i="1"/>
  <c r="AD1113" i="1"/>
  <c r="AG1113" i="1"/>
  <c r="AC1113" i="1"/>
  <c r="T1114" i="1"/>
  <c r="Y1114" i="1"/>
  <c r="U1114" i="1"/>
  <c r="V1114" i="1" s="1"/>
  <c r="X1114" i="1"/>
  <c r="S1115" i="1"/>
  <c r="W1114" i="1"/>
  <c r="Z1114" i="1"/>
  <c r="AF1113" i="1"/>
  <c r="AB1113" i="1"/>
  <c r="AH1114" i="1" l="1"/>
  <c r="AD1114" i="1"/>
  <c r="AA1114" i="1"/>
  <c r="AE1114" i="1"/>
  <c r="AG1114" i="1"/>
  <c r="AC1114" i="1"/>
  <c r="T1115" i="1"/>
  <c r="Z1115" i="1"/>
  <c r="X1115" i="1"/>
  <c r="S1116" i="1"/>
  <c r="W1115" i="1"/>
  <c r="U1115" i="1"/>
  <c r="V1115" i="1" s="1"/>
  <c r="Y1115" i="1"/>
  <c r="AB1114" i="1"/>
  <c r="AF1114" i="1"/>
  <c r="AH1115" i="1" l="1"/>
  <c r="AD1115" i="1"/>
  <c r="AE1115" i="1"/>
  <c r="AA1115" i="1"/>
  <c r="T1116" i="1"/>
  <c r="S1117" i="1"/>
  <c r="Y1116" i="1"/>
  <c r="Z1116" i="1"/>
  <c r="W1116" i="1"/>
  <c r="U1116" i="1"/>
  <c r="V1116" i="1" s="1"/>
  <c r="X1116" i="1"/>
  <c r="AG1115" i="1"/>
  <c r="AC1115" i="1"/>
  <c r="AF1115" i="1"/>
  <c r="AB1115" i="1"/>
  <c r="AD1116" i="1" l="1"/>
  <c r="AH1116" i="1"/>
  <c r="AF1116" i="1"/>
  <c r="AB1116" i="1"/>
  <c r="AG1116" i="1"/>
  <c r="AC1116" i="1"/>
  <c r="T1117" i="1"/>
  <c r="Z1117" i="1"/>
  <c r="X1117" i="1"/>
  <c r="S1118" i="1"/>
  <c r="Y1117" i="1"/>
  <c r="W1117" i="1"/>
  <c r="U1117" i="1"/>
  <c r="V1117" i="1" s="1"/>
  <c r="AA1116" i="1"/>
  <c r="AE1116" i="1"/>
  <c r="AA1117" i="1" l="1"/>
  <c r="AE1117" i="1"/>
  <c r="AH1117" i="1"/>
  <c r="AD1117" i="1"/>
  <c r="AC1117" i="1"/>
  <c r="AG1117" i="1"/>
  <c r="T1118" i="1"/>
  <c r="X1118" i="1"/>
  <c r="S1119" i="1"/>
  <c r="W1118" i="1"/>
  <c r="Y1118" i="1"/>
  <c r="Z1118" i="1"/>
  <c r="U1118" i="1"/>
  <c r="V1118" i="1" s="1"/>
  <c r="AB1117" i="1"/>
  <c r="AF1117" i="1"/>
  <c r="AE1118" i="1" l="1"/>
  <c r="AA1118" i="1"/>
  <c r="T1119" i="1"/>
  <c r="Y1119" i="1"/>
  <c r="W1119" i="1"/>
  <c r="U1119" i="1"/>
  <c r="V1119" i="1" s="1"/>
  <c r="Z1119" i="1"/>
  <c r="X1119" i="1"/>
  <c r="S1120" i="1"/>
  <c r="AH1118" i="1"/>
  <c r="AD1118" i="1"/>
  <c r="AB1118" i="1"/>
  <c r="AF1118" i="1"/>
  <c r="AC1118" i="1"/>
  <c r="AG1118" i="1"/>
  <c r="AF1119" i="1" l="1"/>
  <c r="AB1119" i="1"/>
  <c r="AG1119" i="1"/>
  <c r="AC1119" i="1"/>
  <c r="AD1119" i="1"/>
  <c r="AH1119" i="1"/>
  <c r="T1120" i="1"/>
  <c r="U1120" i="1"/>
  <c r="V1120" i="1" s="1"/>
  <c r="S1121" i="1"/>
  <c r="W1120" i="1"/>
  <c r="Y1120" i="1"/>
  <c r="Z1120" i="1"/>
  <c r="X1120" i="1"/>
  <c r="AE1119" i="1"/>
  <c r="AA1119" i="1"/>
  <c r="AH1120" i="1" l="1"/>
  <c r="AD1120" i="1"/>
  <c r="AG1120" i="1"/>
  <c r="AC1120" i="1"/>
  <c r="AA1120" i="1"/>
  <c r="AE1120" i="1"/>
  <c r="AB1120" i="1"/>
  <c r="AF1120" i="1"/>
  <c r="T1121" i="1"/>
  <c r="Z1121" i="1"/>
  <c r="X1121" i="1"/>
  <c r="S1122" i="1"/>
  <c r="Y1121" i="1"/>
  <c r="W1121" i="1"/>
  <c r="U1121" i="1"/>
  <c r="V1121" i="1" s="1"/>
  <c r="T1122" i="1" l="1"/>
  <c r="Y1122" i="1"/>
  <c r="U1122" i="1"/>
  <c r="V1122" i="1" s="1"/>
  <c r="X1122" i="1"/>
  <c r="S1123" i="1"/>
  <c r="W1122" i="1"/>
  <c r="Z1122" i="1"/>
  <c r="AE1121" i="1"/>
  <c r="AA1121" i="1"/>
  <c r="AH1121" i="1"/>
  <c r="AD1121" i="1"/>
  <c r="AF1121" i="1"/>
  <c r="AB1121" i="1"/>
  <c r="AG1121" i="1"/>
  <c r="AC1121" i="1"/>
  <c r="AF1122" i="1" l="1"/>
  <c r="AB1122" i="1"/>
  <c r="AD1122" i="1"/>
  <c r="AH1122" i="1"/>
  <c r="AA1122" i="1"/>
  <c r="AE1122" i="1"/>
  <c r="AG1122" i="1"/>
  <c r="AC1122" i="1"/>
  <c r="T1123" i="1"/>
  <c r="Z1123" i="1"/>
  <c r="X1123" i="1"/>
  <c r="S1124" i="1"/>
  <c r="W1123" i="1"/>
  <c r="U1123" i="1"/>
  <c r="V1123" i="1" s="1"/>
  <c r="Y1123" i="1"/>
  <c r="T1124" i="1" l="1"/>
  <c r="Y1124" i="1"/>
  <c r="Z1124" i="1"/>
  <c r="U1124" i="1"/>
  <c r="V1124" i="1" s="1"/>
  <c r="W1124" i="1"/>
  <c r="X1124" i="1"/>
  <c r="S1125" i="1"/>
  <c r="AG1123" i="1"/>
  <c r="AC1123" i="1"/>
  <c r="AF1123" i="1"/>
  <c r="AB1123" i="1"/>
  <c r="AH1123" i="1"/>
  <c r="AD1123" i="1"/>
  <c r="AA1123" i="1"/>
  <c r="AE1123" i="1"/>
  <c r="T1125" i="1" l="1"/>
  <c r="Y1125" i="1"/>
  <c r="W1125" i="1"/>
  <c r="U1125" i="1"/>
  <c r="V1125" i="1" s="1"/>
  <c r="Z1125" i="1"/>
  <c r="X1125" i="1"/>
  <c r="S1126" i="1"/>
  <c r="AD1124" i="1"/>
  <c r="AH1124" i="1"/>
  <c r="AF1124" i="1"/>
  <c r="AB1124" i="1"/>
  <c r="AG1124" i="1"/>
  <c r="AC1124" i="1"/>
  <c r="AE1124" i="1"/>
  <c r="AA1124" i="1"/>
  <c r="T1126" i="1" l="1"/>
  <c r="X1126" i="1"/>
  <c r="S1127" i="1"/>
  <c r="W1126" i="1"/>
  <c r="Y1126" i="1"/>
  <c r="Z1126" i="1"/>
  <c r="U1126" i="1"/>
  <c r="V1126" i="1" s="1"/>
  <c r="AA1125" i="1"/>
  <c r="AE1125" i="1"/>
  <c r="AB1125" i="1"/>
  <c r="AF1125" i="1"/>
  <c r="AC1125" i="1"/>
  <c r="AG1125" i="1"/>
  <c r="AH1125" i="1"/>
  <c r="AD1125" i="1"/>
  <c r="AA1126" i="1" l="1"/>
  <c r="AE1126" i="1"/>
  <c r="T1127" i="1"/>
  <c r="Z1127" i="1"/>
  <c r="X1127" i="1"/>
  <c r="S1128" i="1"/>
  <c r="W1127" i="1"/>
  <c r="U1127" i="1"/>
  <c r="V1127" i="1" s="1"/>
  <c r="Y1127" i="1"/>
  <c r="AD1126" i="1"/>
  <c r="AH1126" i="1"/>
  <c r="AF1126" i="1"/>
  <c r="AB1126" i="1"/>
  <c r="AG1126" i="1"/>
  <c r="AC1126" i="1"/>
  <c r="AH1127" i="1" l="1"/>
  <c r="AD1127" i="1"/>
  <c r="AE1127" i="1"/>
  <c r="AA1127" i="1"/>
  <c r="T1128" i="1"/>
  <c r="S1129" i="1"/>
  <c r="W1128" i="1"/>
  <c r="Y1128" i="1"/>
  <c r="Z1128" i="1"/>
  <c r="U1128" i="1"/>
  <c r="V1128" i="1" s="1"/>
  <c r="X1128" i="1"/>
  <c r="AC1127" i="1"/>
  <c r="AG1127" i="1"/>
  <c r="AF1127" i="1"/>
  <c r="AB1127" i="1"/>
  <c r="AG1128" i="1" l="1"/>
  <c r="AC1128" i="1"/>
  <c r="AF1128" i="1"/>
  <c r="AB1128" i="1"/>
  <c r="AA1128" i="1"/>
  <c r="AE1128" i="1"/>
  <c r="T1129" i="1"/>
  <c r="Z1129" i="1"/>
  <c r="X1129" i="1"/>
  <c r="Y1129" i="1"/>
  <c r="W1129" i="1"/>
  <c r="U1129" i="1"/>
  <c r="V1129" i="1" s="1"/>
  <c r="S1130" i="1"/>
  <c r="AD1128" i="1"/>
  <c r="AH1128" i="1"/>
  <c r="AH1129" i="1" l="1"/>
  <c r="AD1129" i="1"/>
  <c r="AA1129" i="1"/>
  <c r="AE1129" i="1"/>
  <c r="AG1129" i="1"/>
  <c r="AC1129" i="1"/>
  <c r="T1130" i="1"/>
  <c r="Y1130" i="1"/>
  <c r="Z1130" i="1"/>
  <c r="U1130" i="1"/>
  <c r="V1130" i="1" s="1"/>
  <c r="S1131" i="1"/>
  <c r="W1130" i="1"/>
  <c r="X1130" i="1"/>
  <c r="AB1129" i="1"/>
  <c r="AF1129" i="1"/>
  <c r="AE1130" i="1" l="1"/>
  <c r="AA1130" i="1"/>
  <c r="AC1130" i="1"/>
  <c r="AG1130" i="1"/>
  <c r="T1131" i="1"/>
  <c r="S1132" i="1"/>
  <c r="W1131" i="1"/>
  <c r="U1131" i="1"/>
  <c r="V1131" i="1" s="1"/>
  <c r="Z1131" i="1"/>
  <c r="X1131" i="1"/>
  <c r="Y1131" i="1"/>
  <c r="AF1130" i="1"/>
  <c r="AB1130" i="1"/>
  <c r="AH1130" i="1"/>
  <c r="AD1130" i="1"/>
  <c r="AG1131" i="1" l="1"/>
  <c r="AC1131" i="1"/>
  <c r="AA1131" i="1"/>
  <c r="AE1131" i="1"/>
  <c r="AF1131" i="1"/>
  <c r="AB1131" i="1"/>
  <c r="T1132" i="1"/>
  <c r="Y1132" i="1"/>
  <c r="Z1132" i="1"/>
  <c r="U1132" i="1"/>
  <c r="V1132" i="1" s="1"/>
  <c r="S1133" i="1"/>
  <c r="W1132" i="1"/>
  <c r="X1132" i="1"/>
  <c r="AD1131" i="1"/>
  <c r="AH1131" i="1"/>
  <c r="AA1132" i="1" l="1"/>
  <c r="AE1132" i="1"/>
  <c r="AG1132" i="1"/>
  <c r="AC1132" i="1"/>
  <c r="T1133" i="1"/>
  <c r="Z1133" i="1"/>
  <c r="X1133" i="1"/>
  <c r="S1134" i="1"/>
  <c r="W1133" i="1"/>
  <c r="Y1133" i="1"/>
  <c r="U1133" i="1"/>
  <c r="V1133" i="1" s="1"/>
  <c r="AB1132" i="1"/>
  <c r="AF1132" i="1"/>
  <c r="AH1132" i="1"/>
  <c r="AD1132" i="1"/>
  <c r="T1134" i="1" l="1"/>
  <c r="Y1134" i="1"/>
  <c r="U1134" i="1"/>
  <c r="V1134" i="1" s="1"/>
  <c r="S1135" i="1"/>
  <c r="W1134" i="1"/>
  <c r="Z1134" i="1"/>
  <c r="X1134" i="1"/>
  <c r="AF1133" i="1"/>
  <c r="AB1133" i="1"/>
  <c r="AG1133" i="1"/>
  <c r="AC1133" i="1"/>
  <c r="AD1133" i="1"/>
  <c r="AH1133" i="1"/>
  <c r="AE1133" i="1"/>
  <c r="AA1133" i="1"/>
  <c r="T1135" i="1" l="1"/>
  <c r="S1136" i="1"/>
  <c r="W1135" i="1"/>
  <c r="U1135" i="1"/>
  <c r="V1135" i="1" s="1"/>
  <c r="Y1135" i="1"/>
  <c r="Z1135" i="1"/>
  <c r="X1135" i="1"/>
  <c r="AB1134" i="1"/>
  <c r="AF1134" i="1"/>
  <c r="AH1134" i="1"/>
  <c r="AD1134" i="1"/>
  <c r="AG1134" i="1"/>
  <c r="AC1134" i="1"/>
  <c r="AA1134" i="1"/>
  <c r="AE1134" i="1"/>
  <c r="AB1135" i="1" l="1"/>
  <c r="AF1135" i="1"/>
  <c r="AA1135" i="1"/>
  <c r="AE1135" i="1"/>
  <c r="AH1135" i="1"/>
  <c r="AD1135" i="1"/>
  <c r="T1136" i="1"/>
  <c r="Y1136" i="1"/>
  <c r="Z1136" i="1"/>
  <c r="U1136" i="1"/>
  <c r="V1136" i="1" s="1"/>
  <c r="X1136" i="1"/>
  <c r="S1137" i="1"/>
  <c r="W1136" i="1"/>
  <c r="AG1135" i="1"/>
  <c r="AC1135" i="1"/>
  <c r="T1137" i="1" l="1"/>
  <c r="Z1137" i="1"/>
  <c r="X1137" i="1"/>
  <c r="S1138" i="1"/>
  <c r="Y1137" i="1"/>
  <c r="U1137" i="1"/>
  <c r="V1137" i="1" s="1"/>
  <c r="W1137" i="1"/>
  <c r="AG1136" i="1"/>
  <c r="AC1136" i="1"/>
  <c r="AB1136" i="1"/>
  <c r="AF1136" i="1"/>
  <c r="AA1136" i="1"/>
  <c r="AE1136" i="1"/>
  <c r="AH1136" i="1"/>
  <c r="AD1136" i="1"/>
  <c r="T1138" i="1" l="1"/>
  <c r="X1138" i="1"/>
  <c r="S1139" i="1"/>
  <c r="W1138" i="1"/>
  <c r="Y1138" i="1"/>
  <c r="Z1138" i="1"/>
  <c r="U1138" i="1"/>
  <c r="V1138" i="1" s="1"/>
  <c r="AA1137" i="1"/>
  <c r="AE1137" i="1"/>
  <c r="AB1137" i="1"/>
  <c r="AF1137" i="1"/>
  <c r="AH1137" i="1"/>
  <c r="AD1137" i="1"/>
  <c r="AC1137" i="1"/>
  <c r="AG1137" i="1"/>
  <c r="AA1138" i="1" l="1"/>
  <c r="AE1138" i="1"/>
  <c r="T1139" i="1"/>
  <c r="Z1139" i="1"/>
  <c r="X1139" i="1"/>
  <c r="S1140" i="1"/>
  <c r="W1139" i="1"/>
  <c r="Y1139" i="1"/>
  <c r="U1139" i="1"/>
  <c r="V1139" i="1" s="1"/>
  <c r="AD1138" i="1"/>
  <c r="AH1138" i="1"/>
  <c r="AF1138" i="1"/>
  <c r="AB1138" i="1"/>
  <c r="AG1138" i="1"/>
  <c r="AC1138" i="1"/>
  <c r="AG1139" i="1" l="1"/>
  <c r="AC1139" i="1"/>
  <c r="AH1139" i="1"/>
  <c r="AD1139" i="1"/>
  <c r="AA1139" i="1"/>
  <c r="AE1139" i="1"/>
  <c r="T1140" i="1"/>
  <c r="Y1140" i="1"/>
  <c r="Z1140" i="1"/>
  <c r="U1140" i="1"/>
  <c r="V1140" i="1" s="1"/>
  <c r="S1141" i="1"/>
  <c r="W1140" i="1"/>
  <c r="X1140" i="1"/>
  <c r="AB1139" i="1"/>
  <c r="AF1139" i="1"/>
  <c r="AF1140" i="1" l="1"/>
  <c r="AB1140" i="1"/>
  <c r="AD1140" i="1"/>
  <c r="AH1140" i="1"/>
  <c r="AE1140" i="1"/>
  <c r="AA1140" i="1"/>
  <c r="AG1140" i="1"/>
  <c r="AC1140" i="1"/>
  <c r="T1141" i="1"/>
  <c r="S1142" i="1"/>
  <c r="Y1141" i="1"/>
  <c r="W1141" i="1"/>
  <c r="U1141" i="1"/>
  <c r="V1141" i="1" s="1"/>
  <c r="Z1141" i="1"/>
  <c r="X1141" i="1"/>
  <c r="AE1141" i="1" l="1"/>
  <c r="AA1141" i="1"/>
  <c r="AB1141" i="1"/>
  <c r="AF1141" i="1"/>
  <c r="AG1141" i="1"/>
  <c r="AC1141" i="1"/>
  <c r="AH1141" i="1"/>
  <c r="AD1141" i="1"/>
  <c r="T1142" i="1"/>
  <c r="U1142" i="1"/>
  <c r="V1142" i="1" s="1"/>
  <c r="X1142" i="1"/>
  <c r="S1143" i="1"/>
  <c r="W1142" i="1"/>
  <c r="Y1142" i="1"/>
  <c r="Z1142" i="1"/>
  <c r="T1143" i="1" l="1"/>
  <c r="Z1143" i="1"/>
  <c r="X1143" i="1"/>
  <c r="S1144" i="1"/>
  <c r="Y1143" i="1"/>
  <c r="W1143" i="1"/>
  <c r="U1143" i="1"/>
  <c r="V1143" i="1" s="1"/>
  <c r="AH1142" i="1"/>
  <c r="AD1142" i="1"/>
  <c r="AB1142" i="1"/>
  <c r="AF1142" i="1"/>
  <c r="AG1142" i="1"/>
  <c r="AC1142" i="1"/>
  <c r="AA1142" i="1"/>
  <c r="AE1142" i="1"/>
  <c r="T1144" i="1" l="1"/>
  <c r="S1145" i="1"/>
  <c r="W1144" i="1"/>
  <c r="Y1144" i="1"/>
  <c r="Z1144" i="1"/>
  <c r="U1144" i="1"/>
  <c r="V1144" i="1" s="1"/>
  <c r="X1144" i="1"/>
  <c r="AF1143" i="1"/>
  <c r="AB1143" i="1"/>
  <c r="AE1143" i="1"/>
  <c r="AA1143" i="1"/>
  <c r="AD1143" i="1"/>
  <c r="AH1143" i="1"/>
  <c r="AG1143" i="1"/>
  <c r="AC1143" i="1"/>
  <c r="AG1144" i="1" l="1"/>
  <c r="AC1144" i="1"/>
  <c r="AF1144" i="1"/>
  <c r="AB1144" i="1"/>
  <c r="AA1144" i="1"/>
  <c r="AE1144" i="1"/>
  <c r="T1145" i="1"/>
  <c r="Z1145" i="1"/>
  <c r="X1145" i="1"/>
  <c r="S1146" i="1"/>
  <c r="Y1145" i="1"/>
  <c r="W1145" i="1"/>
  <c r="U1145" i="1"/>
  <c r="V1145" i="1" s="1"/>
  <c r="AD1144" i="1"/>
  <c r="AH1144" i="1"/>
  <c r="AA1145" i="1" l="1"/>
  <c r="AE1145" i="1"/>
  <c r="AH1145" i="1"/>
  <c r="AD1145" i="1"/>
  <c r="AC1145" i="1"/>
  <c r="AG1145" i="1"/>
  <c r="T1146" i="1"/>
  <c r="X1146" i="1"/>
  <c r="U1146" i="1"/>
  <c r="V1146" i="1" s="1"/>
  <c r="S1147" i="1"/>
  <c r="W1146" i="1"/>
  <c r="Y1146" i="1"/>
  <c r="Z1146" i="1"/>
  <c r="AB1145" i="1"/>
  <c r="AF1145" i="1"/>
  <c r="AG1146" i="1" l="1"/>
  <c r="AC1146" i="1"/>
  <c r="AF1146" i="1"/>
  <c r="AB1146" i="1"/>
  <c r="AE1146" i="1"/>
  <c r="AA1146" i="1"/>
  <c r="T1147" i="1"/>
  <c r="Z1147" i="1"/>
  <c r="X1147" i="1"/>
  <c r="S1148" i="1"/>
  <c r="Y1147" i="1"/>
  <c r="W1147" i="1"/>
  <c r="U1147" i="1"/>
  <c r="V1147" i="1" s="1"/>
  <c r="AH1146" i="1"/>
  <c r="AD1146" i="1"/>
  <c r="AE1147" i="1" l="1"/>
  <c r="AA1147" i="1"/>
  <c r="AD1147" i="1"/>
  <c r="AH1147" i="1"/>
  <c r="AC1147" i="1"/>
  <c r="AG1147" i="1"/>
  <c r="T1148" i="1"/>
  <c r="Y1148" i="1"/>
  <c r="U1148" i="1"/>
  <c r="V1148" i="1" s="1"/>
  <c r="X1148" i="1"/>
  <c r="S1149" i="1"/>
  <c r="W1148" i="1"/>
  <c r="Z1148" i="1"/>
  <c r="AB1147" i="1"/>
  <c r="AF1147" i="1"/>
  <c r="AB1148" i="1" l="1"/>
  <c r="AF1148" i="1"/>
  <c r="AE1148" i="1"/>
  <c r="AA1148" i="1"/>
  <c r="AC1148" i="1"/>
  <c r="AG1148" i="1"/>
  <c r="T1149" i="1"/>
  <c r="Z1149" i="1"/>
  <c r="X1149" i="1"/>
  <c r="W1149" i="1"/>
  <c r="U1149" i="1"/>
  <c r="V1149" i="1" s="1"/>
  <c r="S1150" i="1"/>
  <c r="Y1149" i="1"/>
  <c r="AH1148" i="1"/>
  <c r="AD1148" i="1"/>
  <c r="T1150" i="1" l="1"/>
  <c r="S1151" i="1"/>
  <c r="W1150" i="1"/>
  <c r="Z1150" i="1"/>
  <c r="U1150" i="1"/>
  <c r="V1150" i="1" s="1"/>
  <c r="X1150" i="1"/>
  <c r="Y1150" i="1"/>
  <c r="AH1149" i="1"/>
  <c r="AD1149" i="1"/>
  <c r="AE1149" i="1"/>
  <c r="AA1149" i="1"/>
  <c r="AG1149" i="1"/>
  <c r="AC1149" i="1"/>
  <c r="AF1149" i="1"/>
  <c r="AB1149" i="1"/>
  <c r="AD1150" i="1" l="1"/>
  <c r="AH1150" i="1"/>
  <c r="AC1150" i="1"/>
  <c r="AG1150" i="1"/>
  <c r="AA1150" i="1"/>
  <c r="AE1150" i="1"/>
  <c r="AB1150" i="1"/>
  <c r="AF1150" i="1"/>
  <c r="T1151" i="1"/>
  <c r="Z1151" i="1"/>
  <c r="X1151" i="1"/>
  <c r="Y1151" i="1"/>
  <c r="W1151" i="1"/>
  <c r="U1151" i="1"/>
  <c r="V1151" i="1" s="1"/>
  <c r="S1152" i="1"/>
  <c r="AC1151" i="1" l="1"/>
  <c r="AG1151" i="1"/>
  <c r="AB1151" i="1"/>
  <c r="AF1151" i="1"/>
  <c r="AH1151" i="1"/>
  <c r="AD1151" i="1"/>
  <c r="T1152" i="1"/>
  <c r="Y1152" i="1"/>
  <c r="Z1152" i="1"/>
  <c r="S1153" i="1"/>
  <c r="W1152" i="1"/>
  <c r="U1152" i="1"/>
  <c r="V1152" i="1" s="1"/>
  <c r="X1152" i="1"/>
  <c r="AA1151" i="1"/>
  <c r="AE1151" i="1"/>
  <c r="AG1152" i="1" l="1"/>
  <c r="AC1152" i="1"/>
  <c r="AA1152" i="1"/>
  <c r="AE1152" i="1"/>
  <c r="T1153" i="1"/>
  <c r="Z1153" i="1"/>
  <c r="X1153" i="1"/>
  <c r="S1154" i="1"/>
  <c r="U1153" i="1"/>
  <c r="V1153" i="1" s="1"/>
  <c r="Y1153" i="1"/>
  <c r="W1153" i="1"/>
  <c r="AB1152" i="1"/>
  <c r="AF1152" i="1"/>
  <c r="AH1152" i="1"/>
  <c r="AD1152" i="1"/>
  <c r="T1154" i="1" l="1"/>
  <c r="X1154" i="1"/>
  <c r="W1154" i="1"/>
  <c r="Y1154" i="1"/>
  <c r="S1155" i="1"/>
  <c r="Z1154" i="1"/>
  <c r="U1154" i="1"/>
  <c r="V1154" i="1" s="1"/>
  <c r="AA1153" i="1"/>
  <c r="AE1153" i="1"/>
  <c r="AB1153" i="1"/>
  <c r="AF1153" i="1"/>
  <c r="AC1153" i="1"/>
  <c r="AG1153" i="1"/>
  <c r="AH1153" i="1"/>
  <c r="AD1153" i="1"/>
  <c r="AG1154" i="1" l="1"/>
  <c r="AC1154" i="1"/>
  <c r="AA1154" i="1"/>
  <c r="AE1154" i="1"/>
  <c r="AH1154" i="1"/>
  <c r="AD1154" i="1"/>
  <c r="AF1154" i="1"/>
  <c r="AB1154" i="1"/>
  <c r="T1155" i="1"/>
  <c r="W1155" i="1"/>
  <c r="U1155" i="1"/>
  <c r="V1155" i="1" s="1"/>
  <c r="X1155" i="1"/>
  <c r="S1156" i="1"/>
  <c r="Y1155" i="1"/>
  <c r="Z1155" i="1"/>
  <c r="AB1155" i="1" l="1"/>
  <c r="AF1155" i="1"/>
  <c r="AH1155" i="1"/>
  <c r="AD1155" i="1"/>
  <c r="AG1155" i="1"/>
  <c r="AC1155" i="1"/>
  <c r="AE1155" i="1"/>
  <c r="AA1155" i="1"/>
  <c r="T1156" i="1"/>
  <c r="U1156" i="1"/>
  <c r="V1156" i="1" s="1"/>
  <c r="X1156" i="1"/>
  <c r="S1157" i="1"/>
  <c r="Z1156" i="1"/>
  <c r="W1156" i="1"/>
  <c r="Y1156" i="1"/>
  <c r="T1157" i="1" l="1"/>
  <c r="Z1157" i="1"/>
  <c r="X1157" i="1"/>
  <c r="U1157" i="1"/>
  <c r="V1157" i="1" s="1"/>
  <c r="S1158" i="1"/>
  <c r="Y1157" i="1"/>
  <c r="W1157" i="1"/>
  <c r="AC1156" i="1"/>
  <c r="AG1156" i="1"/>
  <c r="AF1156" i="1"/>
  <c r="AB1156" i="1"/>
  <c r="AE1156" i="1"/>
  <c r="AA1156" i="1"/>
  <c r="AD1156" i="1"/>
  <c r="AH1156" i="1"/>
  <c r="AA1157" i="1" l="1"/>
  <c r="AE1157" i="1"/>
  <c r="AF1157" i="1"/>
  <c r="AB1157" i="1"/>
  <c r="AG1157" i="1"/>
  <c r="AC1157" i="1"/>
  <c r="AH1157" i="1"/>
  <c r="AD1157" i="1"/>
  <c r="T1158" i="1"/>
  <c r="Y1158" i="1"/>
  <c r="X1158" i="1"/>
  <c r="S1159" i="1"/>
  <c r="W1158" i="1"/>
  <c r="Z1158" i="1"/>
  <c r="U1158" i="1"/>
  <c r="V1158" i="1" s="1"/>
  <c r="T1159" i="1" l="1"/>
  <c r="S1160" i="1"/>
  <c r="Y1159" i="1"/>
  <c r="W1159" i="1"/>
  <c r="U1159" i="1"/>
  <c r="V1159" i="1" s="1"/>
  <c r="Z1159" i="1"/>
  <c r="X1159" i="1"/>
  <c r="AF1158" i="1"/>
  <c r="AB1158" i="1"/>
  <c r="AH1158" i="1"/>
  <c r="AD1158" i="1"/>
  <c r="AG1158" i="1"/>
  <c r="AC1158" i="1"/>
  <c r="AE1158" i="1"/>
  <c r="AA1158" i="1"/>
  <c r="AE1159" i="1" l="1"/>
  <c r="AA1159" i="1"/>
  <c r="AF1159" i="1"/>
  <c r="AB1159" i="1"/>
  <c r="AG1159" i="1"/>
  <c r="AC1159" i="1"/>
  <c r="AH1159" i="1"/>
  <c r="AD1159" i="1"/>
  <c r="T1160" i="1"/>
  <c r="X1160" i="1"/>
  <c r="S1161" i="1"/>
  <c r="W1160" i="1"/>
  <c r="Y1160" i="1"/>
  <c r="Z1160" i="1"/>
  <c r="U1160" i="1"/>
  <c r="V1160" i="1" s="1"/>
  <c r="AG1160" i="1" l="1"/>
  <c r="AC1160" i="1"/>
  <c r="AA1160" i="1"/>
  <c r="AE1160" i="1"/>
  <c r="T1161" i="1"/>
  <c r="Z1161" i="1"/>
  <c r="X1161" i="1"/>
  <c r="S1162" i="1"/>
  <c r="Y1161" i="1"/>
  <c r="W1161" i="1"/>
  <c r="U1161" i="1"/>
  <c r="V1161" i="1" s="1"/>
  <c r="AH1160" i="1"/>
  <c r="AD1160" i="1"/>
  <c r="AB1160" i="1"/>
  <c r="AF1160" i="1"/>
  <c r="T1162" i="1" l="1"/>
  <c r="S1163" i="1"/>
  <c r="W1162" i="1"/>
  <c r="Y1162" i="1"/>
  <c r="U1162" i="1"/>
  <c r="V1162" i="1" s="1"/>
  <c r="X1162" i="1"/>
  <c r="Z1162" i="1"/>
  <c r="AF1161" i="1"/>
  <c r="AB1161" i="1"/>
  <c r="AE1161" i="1"/>
  <c r="AA1161" i="1"/>
  <c r="AD1161" i="1"/>
  <c r="AH1161" i="1"/>
  <c r="AG1161" i="1"/>
  <c r="AC1161" i="1"/>
  <c r="AG1162" i="1" l="1"/>
  <c r="AC1162" i="1"/>
  <c r="AH1162" i="1"/>
  <c r="AD1162" i="1"/>
  <c r="AA1162" i="1"/>
  <c r="AE1162" i="1"/>
  <c r="AF1162" i="1"/>
  <c r="AB1162" i="1"/>
  <c r="T1163" i="1"/>
  <c r="S1164" i="1"/>
  <c r="Y1163" i="1"/>
  <c r="W1163" i="1"/>
  <c r="U1163" i="1"/>
  <c r="V1163" i="1" s="1"/>
  <c r="X1163" i="1"/>
  <c r="Z1163" i="1"/>
  <c r="AC1163" i="1" l="1"/>
  <c r="AG1163" i="1"/>
  <c r="AF1163" i="1"/>
  <c r="AB1163" i="1"/>
  <c r="AA1163" i="1"/>
  <c r="AE1163" i="1"/>
  <c r="AH1163" i="1"/>
  <c r="AD1163" i="1"/>
  <c r="T1164" i="1"/>
  <c r="S1165" i="1"/>
  <c r="Y1164" i="1"/>
  <c r="Z1164" i="1"/>
  <c r="W1164" i="1"/>
  <c r="U1164" i="1"/>
  <c r="V1164" i="1" s="1"/>
  <c r="X1164" i="1"/>
  <c r="T1165" i="1" l="1"/>
  <c r="W1165" i="1"/>
  <c r="Z1165" i="1"/>
  <c r="S1166" i="1"/>
  <c r="Y1165" i="1"/>
  <c r="U1165" i="1"/>
  <c r="V1165" i="1" s="1"/>
  <c r="X1165" i="1"/>
  <c r="AH1164" i="1"/>
  <c r="AD1164" i="1"/>
  <c r="AF1164" i="1"/>
  <c r="AB1164" i="1"/>
  <c r="AG1164" i="1"/>
  <c r="AC1164" i="1"/>
  <c r="AA1164" i="1"/>
  <c r="AE1164" i="1"/>
  <c r="T1166" i="1" l="1"/>
  <c r="U1166" i="1"/>
  <c r="V1166" i="1" s="1"/>
  <c r="S1167" i="1"/>
  <c r="W1166" i="1"/>
  <c r="Y1166" i="1"/>
  <c r="Z1166" i="1"/>
  <c r="X1166" i="1"/>
  <c r="AF1165" i="1"/>
  <c r="AB1165" i="1"/>
  <c r="AH1165" i="1"/>
  <c r="AD1165" i="1"/>
  <c r="AE1165" i="1"/>
  <c r="AA1165" i="1"/>
  <c r="AG1165" i="1"/>
  <c r="AC1165" i="1"/>
  <c r="AA1166" i="1" l="1"/>
  <c r="AE1166" i="1"/>
  <c r="AB1166" i="1"/>
  <c r="AF1166" i="1"/>
  <c r="T1167" i="1"/>
  <c r="Z1167" i="1"/>
  <c r="X1167" i="1"/>
  <c r="Y1167" i="1"/>
  <c r="S1168" i="1"/>
  <c r="W1167" i="1"/>
  <c r="U1167" i="1"/>
  <c r="V1167" i="1" s="1"/>
  <c r="AH1166" i="1"/>
  <c r="AD1166" i="1"/>
  <c r="AG1166" i="1"/>
  <c r="AC1166" i="1"/>
  <c r="AG1167" i="1" l="1"/>
  <c r="AC1167" i="1"/>
  <c r="AF1167" i="1"/>
  <c r="AB1167" i="1"/>
  <c r="AA1167" i="1"/>
  <c r="AE1167" i="1"/>
  <c r="AD1167" i="1"/>
  <c r="AH1167" i="1"/>
  <c r="T1168" i="1"/>
  <c r="Y1168" i="1"/>
  <c r="Z1168" i="1"/>
  <c r="X1168" i="1"/>
  <c r="S1169" i="1"/>
  <c r="U1168" i="1"/>
  <c r="V1168" i="1" s="1"/>
  <c r="W1168" i="1"/>
  <c r="AF1168" i="1" l="1"/>
  <c r="AB1168" i="1"/>
  <c r="AE1168" i="1"/>
  <c r="AA1168" i="1"/>
  <c r="AH1168" i="1"/>
  <c r="AD1168" i="1"/>
  <c r="AG1168" i="1"/>
  <c r="AC1168" i="1"/>
  <c r="T1169" i="1"/>
  <c r="Y1169" i="1"/>
  <c r="W1169" i="1"/>
  <c r="U1169" i="1"/>
  <c r="V1169" i="1" s="1"/>
  <c r="Z1169" i="1"/>
  <c r="X1169" i="1"/>
  <c r="S1170" i="1"/>
  <c r="T1170" i="1" l="1"/>
  <c r="Y1170" i="1"/>
  <c r="Z1170" i="1"/>
  <c r="W1170" i="1"/>
  <c r="U1170" i="1"/>
  <c r="V1170" i="1" s="1"/>
  <c r="X1170" i="1"/>
  <c r="S1171" i="1"/>
  <c r="AE1169" i="1"/>
  <c r="AA1169" i="1"/>
  <c r="AG1169" i="1"/>
  <c r="AC1169" i="1"/>
  <c r="AF1169" i="1"/>
  <c r="AB1169" i="1"/>
  <c r="AD1169" i="1"/>
  <c r="AH1169" i="1"/>
  <c r="AA1170" i="1" l="1"/>
  <c r="AE1170" i="1"/>
  <c r="T1171" i="1"/>
  <c r="Y1171" i="1"/>
  <c r="X1171" i="1"/>
  <c r="Z1171" i="1"/>
  <c r="S1172" i="1"/>
  <c r="W1171" i="1"/>
  <c r="U1171" i="1"/>
  <c r="V1171" i="1" s="1"/>
  <c r="AD1170" i="1"/>
  <c r="AH1170" i="1"/>
  <c r="AB1170" i="1"/>
  <c r="AF1170" i="1"/>
  <c r="AC1170" i="1"/>
  <c r="AG1170" i="1"/>
  <c r="AE1171" i="1" l="1"/>
  <c r="AA1171" i="1"/>
  <c r="AC1171" i="1"/>
  <c r="AG1171" i="1"/>
  <c r="T1172" i="1"/>
  <c r="Y1172" i="1"/>
  <c r="Z1172" i="1"/>
  <c r="S1173" i="1"/>
  <c r="U1172" i="1"/>
  <c r="V1172" i="1" s="1"/>
  <c r="X1172" i="1"/>
  <c r="W1172" i="1"/>
  <c r="AD1171" i="1"/>
  <c r="AH1171" i="1"/>
  <c r="AF1171" i="1"/>
  <c r="AB1171" i="1"/>
  <c r="T1173" i="1" l="1"/>
  <c r="W1173" i="1"/>
  <c r="U1173" i="1"/>
  <c r="V1173" i="1" s="1"/>
  <c r="Z1173" i="1"/>
  <c r="X1173" i="1"/>
  <c r="S1174" i="1"/>
  <c r="Y1173" i="1"/>
  <c r="AE1172" i="1"/>
  <c r="AA1172" i="1"/>
  <c r="AH1172" i="1"/>
  <c r="AD1172" i="1"/>
  <c r="AF1172" i="1"/>
  <c r="AB1172" i="1"/>
  <c r="AC1172" i="1"/>
  <c r="AG1172" i="1"/>
  <c r="AD1173" i="1" l="1"/>
  <c r="AH1173" i="1"/>
  <c r="AG1173" i="1"/>
  <c r="AC1173" i="1"/>
  <c r="T1174" i="1"/>
  <c r="Y1174" i="1"/>
  <c r="Z1174" i="1"/>
  <c r="X1174" i="1"/>
  <c r="U1174" i="1"/>
  <c r="V1174" i="1" s="1"/>
  <c r="S1175" i="1"/>
  <c r="W1174" i="1"/>
  <c r="AA1173" i="1"/>
  <c r="AE1173" i="1"/>
  <c r="AF1173" i="1"/>
  <c r="AB1173" i="1"/>
  <c r="AB1174" i="1" l="1"/>
  <c r="AF1174" i="1"/>
  <c r="AA1174" i="1"/>
  <c r="AE1174" i="1"/>
  <c r="AD1174" i="1"/>
  <c r="AH1174" i="1"/>
  <c r="T1175" i="1"/>
  <c r="Y1175" i="1"/>
  <c r="U1175" i="1"/>
  <c r="V1175" i="1" s="1"/>
  <c r="Z1175" i="1"/>
  <c r="W1175" i="1"/>
  <c r="X1175" i="1"/>
  <c r="S1176" i="1"/>
  <c r="AC1174" i="1"/>
  <c r="AG1174" i="1"/>
  <c r="AB1175" i="1" l="1"/>
  <c r="AF1175" i="1"/>
  <c r="AC1175" i="1"/>
  <c r="AG1175" i="1"/>
  <c r="AA1175" i="1"/>
  <c r="AE1175" i="1"/>
  <c r="AH1175" i="1"/>
  <c r="AD1175" i="1"/>
  <c r="T1176" i="1"/>
  <c r="Y1176" i="1"/>
  <c r="Z1176" i="1"/>
  <c r="U1176" i="1"/>
  <c r="V1176" i="1" s="1"/>
  <c r="S1177" i="1"/>
  <c r="W1176" i="1"/>
  <c r="X1176" i="1"/>
  <c r="AB1176" i="1" l="1"/>
  <c r="AF1176" i="1"/>
  <c r="AD1176" i="1"/>
  <c r="AH1176" i="1"/>
  <c r="AE1176" i="1"/>
  <c r="AA1176" i="1"/>
  <c r="AG1176" i="1"/>
  <c r="AC1176" i="1"/>
  <c r="T1177" i="1"/>
  <c r="Z1177" i="1"/>
  <c r="S1178" i="1"/>
  <c r="W1177" i="1"/>
  <c r="U1177" i="1"/>
  <c r="V1177" i="1" s="1"/>
  <c r="X1177" i="1"/>
  <c r="Y1177" i="1"/>
  <c r="AC1177" i="1" l="1"/>
  <c r="AG1177" i="1"/>
  <c r="AA1177" i="1"/>
  <c r="AE1177" i="1"/>
  <c r="T1178" i="1"/>
  <c r="Y1178" i="1"/>
  <c r="Z1178" i="1"/>
  <c r="W1178" i="1"/>
  <c r="U1178" i="1"/>
  <c r="V1178" i="1" s="1"/>
  <c r="X1178" i="1"/>
  <c r="S1179" i="1"/>
  <c r="AF1177" i="1"/>
  <c r="AB1177" i="1"/>
  <c r="AD1177" i="1"/>
  <c r="AH1177" i="1"/>
  <c r="AE1178" i="1" l="1"/>
  <c r="AA1178" i="1"/>
  <c r="T1179" i="1"/>
  <c r="Y1179" i="1"/>
  <c r="W1179" i="1"/>
  <c r="U1179" i="1"/>
  <c r="V1179" i="1" s="1"/>
  <c r="Z1179" i="1"/>
  <c r="X1179" i="1"/>
  <c r="S1180" i="1"/>
  <c r="AH1178" i="1"/>
  <c r="AD1178" i="1"/>
  <c r="AB1178" i="1"/>
  <c r="AF1178" i="1"/>
  <c r="AC1178" i="1"/>
  <c r="AG1178" i="1"/>
  <c r="AB1179" i="1" l="1"/>
  <c r="AF1179" i="1"/>
  <c r="AC1179" i="1"/>
  <c r="AG1179" i="1"/>
  <c r="AH1179" i="1"/>
  <c r="AD1179" i="1"/>
  <c r="T1180" i="1"/>
  <c r="X1180" i="1"/>
  <c r="U1180" i="1"/>
  <c r="V1180" i="1" s="1"/>
  <c r="S1181" i="1"/>
  <c r="W1180" i="1"/>
  <c r="Y1180" i="1"/>
  <c r="Z1180" i="1"/>
  <c r="AA1179" i="1"/>
  <c r="AE1179" i="1"/>
  <c r="AC1180" i="1" l="1"/>
  <c r="AG1180" i="1"/>
  <c r="AB1180" i="1"/>
  <c r="AF1180" i="1"/>
  <c r="AE1180" i="1"/>
  <c r="AA1180" i="1"/>
  <c r="T1181" i="1"/>
  <c r="W1181" i="1"/>
  <c r="U1181" i="1"/>
  <c r="V1181" i="1" s="1"/>
  <c r="Z1181" i="1"/>
  <c r="X1181" i="1"/>
  <c r="Y1181" i="1"/>
  <c r="S1182" i="1"/>
  <c r="AD1180" i="1"/>
  <c r="AH1180" i="1"/>
  <c r="AC1181" i="1" l="1"/>
  <c r="AG1181" i="1"/>
  <c r="AE1181" i="1"/>
  <c r="AA1181" i="1"/>
  <c r="AB1181" i="1"/>
  <c r="AF1181" i="1"/>
  <c r="AD1181" i="1"/>
  <c r="AH1181" i="1"/>
  <c r="T1182" i="1"/>
  <c r="Y1182" i="1"/>
  <c r="Z1182" i="1"/>
  <c r="U1182" i="1"/>
  <c r="V1182" i="1" s="1"/>
  <c r="S1183" i="1"/>
  <c r="W1182" i="1"/>
  <c r="X1182" i="1"/>
  <c r="T1183" i="1" l="1"/>
  <c r="U1183" i="1"/>
  <c r="V1183" i="1" s="1"/>
  <c r="W1183" i="1"/>
  <c r="Z1183" i="1"/>
  <c r="X1183" i="1"/>
  <c r="S1184" i="1"/>
  <c r="Y1183" i="1"/>
  <c r="AF1182" i="1"/>
  <c r="AB1182" i="1"/>
  <c r="AH1182" i="1"/>
  <c r="AD1182" i="1"/>
  <c r="AA1182" i="1"/>
  <c r="AE1182" i="1"/>
  <c r="AG1182" i="1"/>
  <c r="AC1182" i="1"/>
  <c r="AH1183" i="1" l="1"/>
  <c r="AD1183" i="1"/>
  <c r="AG1183" i="1"/>
  <c r="AC1183" i="1"/>
  <c r="AE1183" i="1"/>
  <c r="AA1183" i="1"/>
  <c r="T1184" i="1"/>
  <c r="U1184" i="1"/>
  <c r="V1184" i="1" s="1"/>
  <c r="S1185" i="1"/>
  <c r="W1184" i="1"/>
  <c r="Y1184" i="1"/>
  <c r="Z1184" i="1"/>
  <c r="X1184" i="1"/>
  <c r="AF1183" i="1"/>
  <c r="AB1183" i="1"/>
  <c r="AD1184" i="1" l="1"/>
  <c r="AH1184" i="1"/>
  <c r="AC1184" i="1"/>
  <c r="AG1184" i="1"/>
  <c r="AA1184" i="1"/>
  <c r="AE1184" i="1"/>
  <c r="AF1184" i="1"/>
  <c r="AB1184" i="1"/>
  <c r="T1185" i="1"/>
  <c r="Z1185" i="1"/>
  <c r="X1185" i="1"/>
  <c r="W1185" i="1"/>
  <c r="S1186" i="1"/>
  <c r="Y1185" i="1"/>
  <c r="U1185" i="1"/>
  <c r="V1185" i="1" s="1"/>
  <c r="AE1185" i="1" l="1"/>
  <c r="AA1185" i="1"/>
  <c r="AF1185" i="1"/>
  <c r="AB1185" i="1"/>
  <c r="AC1185" i="1"/>
  <c r="AG1185" i="1"/>
  <c r="AD1185" i="1"/>
  <c r="AH1185" i="1"/>
  <c r="T1186" i="1"/>
  <c r="X1186" i="1"/>
  <c r="S1187" i="1"/>
  <c r="W1186" i="1"/>
  <c r="Y1186" i="1"/>
  <c r="Z1186" i="1"/>
  <c r="U1186" i="1"/>
  <c r="V1186" i="1" s="1"/>
  <c r="AD1186" i="1" l="1"/>
  <c r="AH1186" i="1"/>
  <c r="AA1186" i="1"/>
  <c r="AE1186" i="1"/>
  <c r="T1187" i="1"/>
  <c r="Y1187" i="1"/>
  <c r="Z1187" i="1"/>
  <c r="X1187" i="1"/>
  <c r="S1188" i="1"/>
  <c r="W1187" i="1"/>
  <c r="U1187" i="1"/>
  <c r="V1187" i="1" s="1"/>
  <c r="AB1186" i="1"/>
  <c r="AF1186" i="1"/>
  <c r="AC1186" i="1"/>
  <c r="AG1186" i="1"/>
  <c r="AB1187" i="1" l="1"/>
  <c r="AF1187" i="1"/>
  <c r="AH1187" i="1"/>
  <c r="AD1187" i="1"/>
  <c r="AE1187" i="1"/>
  <c r="AA1187" i="1"/>
  <c r="AG1187" i="1"/>
  <c r="AC1187" i="1"/>
  <c r="T1188" i="1"/>
  <c r="U1188" i="1"/>
  <c r="V1188" i="1" s="1"/>
  <c r="S1189" i="1"/>
  <c r="W1188" i="1"/>
  <c r="Y1188" i="1"/>
  <c r="Z1188" i="1"/>
  <c r="X1188" i="1"/>
  <c r="AB1188" i="1" l="1"/>
  <c r="AF1188" i="1"/>
  <c r="AH1188" i="1"/>
  <c r="AD1188" i="1"/>
  <c r="AA1188" i="1"/>
  <c r="AE1188" i="1"/>
  <c r="T1189" i="1"/>
  <c r="Z1189" i="1"/>
  <c r="S1190" i="1"/>
  <c r="Y1189" i="1"/>
  <c r="W1189" i="1"/>
  <c r="U1189" i="1"/>
  <c r="V1189" i="1" s="1"/>
  <c r="X1189" i="1"/>
  <c r="AG1188" i="1"/>
  <c r="AC1188" i="1"/>
  <c r="AG1189" i="1" l="1"/>
  <c r="AC1189" i="1"/>
  <c r="AB1189" i="1"/>
  <c r="AF1189" i="1"/>
  <c r="AH1189" i="1"/>
  <c r="AD1189" i="1"/>
  <c r="AE1189" i="1"/>
  <c r="AA1189" i="1"/>
  <c r="T1190" i="1"/>
  <c r="X1190" i="1"/>
  <c r="S1191" i="1"/>
  <c r="W1190" i="1"/>
  <c r="Y1190" i="1"/>
  <c r="Z1190" i="1"/>
  <c r="U1190" i="1"/>
  <c r="V1190" i="1" s="1"/>
  <c r="AE1190" i="1" l="1"/>
  <c r="AA1190" i="1"/>
  <c r="T1191" i="1"/>
  <c r="W1191" i="1"/>
  <c r="Z1191" i="1"/>
  <c r="X1191" i="1"/>
  <c r="U1191" i="1"/>
  <c r="V1191" i="1" s="1"/>
  <c r="S1192" i="1"/>
  <c r="Y1191" i="1"/>
  <c r="AH1190" i="1"/>
  <c r="AD1190" i="1"/>
  <c r="AF1190" i="1"/>
  <c r="AB1190" i="1"/>
  <c r="AG1190" i="1"/>
  <c r="AC1190" i="1"/>
  <c r="T1192" i="1" l="1"/>
  <c r="Y1192" i="1"/>
  <c r="Z1192" i="1"/>
  <c r="X1192" i="1"/>
  <c r="S1193" i="1"/>
  <c r="W1192" i="1"/>
  <c r="U1192" i="1"/>
  <c r="V1192" i="1" s="1"/>
  <c r="AA1191" i="1"/>
  <c r="AE1191" i="1"/>
  <c r="AB1191" i="1"/>
  <c r="AF1191" i="1"/>
  <c r="AC1191" i="1"/>
  <c r="AG1191" i="1"/>
  <c r="AD1191" i="1"/>
  <c r="AH1191" i="1"/>
  <c r="AB1192" i="1" l="1"/>
  <c r="AF1192" i="1"/>
  <c r="AD1192" i="1"/>
  <c r="AH1192" i="1"/>
  <c r="AE1192" i="1"/>
  <c r="AA1192" i="1"/>
  <c r="AG1192" i="1"/>
  <c r="AC1192" i="1"/>
  <c r="T1193" i="1"/>
  <c r="Z1193" i="1"/>
  <c r="X1193" i="1"/>
  <c r="S1194" i="1"/>
  <c r="U1193" i="1"/>
  <c r="V1193" i="1" s="1"/>
  <c r="Y1193" i="1"/>
  <c r="W1193" i="1"/>
  <c r="T1194" i="1" l="1"/>
  <c r="U1194" i="1"/>
  <c r="V1194" i="1" s="1"/>
  <c r="X1194" i="1"/>
  <c r="W1194" i="1"/>
  <c r="Y1194" i="1"/>
  <c r="Z1194" i="1"/>
  <c r="S1195" i="1"/>
  <c r="AE1193" i="1"/>
  <c r="AA1193" i="1"/>
  <c r="AF1193" i="1"/>
  <c r="AB1193" i="1"/>
  <c r="AC1193" i="1"/>
  <c r="AG1193" i="1"/>
  <c r="AH1193" i="1"/>
  <c r="AD1193" i="1"/>
  <c r="AE1194" i="1" l="1"/>
  <c r="AA1194" i="1"/>
  <c r="T1195" i="1"/>
  <c r="W1195" i="1"/>
  <c r="U1195" i="1"/>
  <c r="V1195" i="1" s="1"/>
  <c r="Z1195" i="1"/>
  <c r="S1196" i="1"/>
  <c r="Y1195" i="1"/>
  <c r="X1195" i="1"/>
  <c r="AF1194" i="1"/>
  <c r="AB1194" i="1"/>
  <c r="AD1194" i="1"/>
  <c r="AH1194" i="1"/>
  <c r="AG1194" i="1"/>
  <c r="AC1194" i="1"/>
  <c r="AB1195" i="1" l="1"/>
  <c r="AF1195" i="1"/>
  <c r="AG1195" i="1"/>
  <c r="AC1195" i="1"/>
  <c r="AA1195" i="1"/>
  <c r="AE1195" i="1"/>
  <c r="T1196" i="1"/>
  <c r="Y1196" i="1"/>
  <c r="Z1196" i="1"/>
  <c r="S1197" i="1"/>
  <c r="U1196" i="1"/>
  <c r="V1196" i="1" s="1"/>
  <c r="X1196" i="1"/>
  <c r="W1196" i="1"/>
  <c r="AH1195" i="1"/>
  <c r="AD1195" i="1"/>
  <c r="T1197" i="1" l="1"/>
  <c r="S1198" i="1"/>
  <c r="Y1197" i="1"/>
  <c r="W1197" i="1"/>
  <c r="U1197" i="1"/>
  <c r="V1197" i="1" s="1"/>
  <c r="Z1197" i="1"/>
  <c r="X1197" i="1"/>
  <c r="AF1196" i="1"/>
  <c r="AB1196" i="1"/>
  <c r="AC1196" i="1"/>
  <c r="AG1196" i="1"/>
  <c r="AE1196" i="1"/>
  <c r="AA1196" i="1"/>
  <c r="AH1196" i="1"/>
  <c r="AD1196" i="1"/>
  <c r="AE1197" i="1" l="1"/>
  <c r="AA1197" i="1"/>
  <c r="AF1197" i="1"/>
  <c r="AB1197" i="1"/>
  <c r="AG1197" i="1"/>
  <c r="AC1197" i="1"/>
  <c r="AH1197" i="1"/>
  <c r="AD1197" i="1"/>
  <c r="T1198" i="1"/>
  <c r="X1198" i="1"/>
  <c r="S1199" i="1"/>
  <c r="W1198" i="1"/>
  <c r="Y1198" i="1"/>
  <c r="Z1198" i="1"/>
  <c r="U1198" i="1"/>
  <c r="V1198" i="1" s="1"/>
  <c r="AF1198" i="1" l="1"/>
  <c r="AB1198" i="1"/>
  <c r="AG1198" i="1"/>
  <c r="AC1198" i="1"/>
  <c r="AA1198" i="1"/>
  <c r="AE1198" i="1"/>
  <c r="T1199" i="1"/>
  <c r="Z1199" i="1"/>
  <c r="X1199" i="1"/>
  <c r="W1199" i="1"/>
  <c r="S1200" i="1"/>
  <c r="Y1199" i="1"/>
  <c r="U1199" i="1"/>
  <c r="V1199" i="1" s="1"/>
  <c r="AD1198" i="1"/>
  <c r="AH1198" i="1"/>
  <c r="AG1199" i="1" l="1"/>
  <c r="AC1199" i="1"/>
  <c r="AH1199" i="1"/>
  <c r="AD1199" i="1"/>
  <c r="T1200" i="1"/>
  <c r="X1200" i="1"/>
  <c r="S1201" i="1"/>
  <c r="W1200" i="1"/>
  <c r="Y1200" i="1"/>
  <c r="Z1200" i="1"/>
  <c r="U1200" i="1"/>
  <c r="V1200" i="1" s="1"/>
  <c r="AE1199" i="1"/>
  <c r="AA1199" i="1"/>
  <c r="AF1199" i="1"/>
  <c r="AB1199" i="1"/>
  <c r="AG1200" i="1" l="1"/>
  <c r="AC1200" i="1"/>
  <c r="AE1200" i="1"/>
  <c r="AA1200" i="1"/>
  <c r="T1201" i="1"/>
  <c r="Y1201" i="1"/>
  <c r="W1201" i="1"/>
  <c r="U1201" i="1"/>
  <c r="V1201" i="1" s="1"/>
  <c r="Z1201" i="1"/>
  <c r="X1201" i="1"/>
  <c r="S1202" i="1"/>
  <c r="AH1200" i="1"/>
  <c r="AD1200" i="1"/>
  <c r="AF1200" i="1"/>
  <c r="AB1200" i="1"/>
  <c r="AE1201" i="1" l="1"/>
  <c r="AA1201" i="1"/>
  <c r="AF1201" i="1"/>
  <c r="AB1201" i="1"/>
  <c r="AG1201" i="1"/>
  <c r="AC1201" i="1"/>
  <c r="T1202" i="1"/>
  <c r="S1203" i="1"/>
  <c r="W1202" i="1"/>
  <c r="Z1202" i="1"/>
  <c r="U1202" i="1"/>
  <c r="V1202" i="1" s="1"/>
  <c r="X1202" i="1"/>
  <c r="Y1202" i="1"/>
  <c r="AH1201" i="1"/>
  <c r="AD1201" i="1"/>
  <c r="AB1202" i="1" l="1"/>
  <c r="AF1202" i="1"/>
  <c r="T1203" i="1"/>
  <c r="Y1203" i="1"/>
  <c r="W1203" i="1"/>
  <c r="X1203" i="1"/>
  <c r="S1204" i="1"/>
  <c r="Z1203" i="1"/>
  <c r="U1203" i="1"/>
  <c r="V1203" i="1" s="1"/>
  <c r="AH1202" i="1"/>
  <c r="AD1202" i="1"/>
  <c r="AG1202" i="1"/>
  <c r="AC1202" i="1"/>
  <c r="AA1202" i="1"/>
  <c r="AE1202" i="1"/>
  <c r="AH1203" i="1" l="1"/>
  <c r="AD1203" i="1"/>
  <c r="AG1203" i="1"/>
  <c r="AC1203" i="1"/>
  <c r="T1204" i="1"/>
  <c r="U1204" i="1"/>
  <c r="V1204" i="1" s="1"/>
  <c r="Y1204" i="1"/>
  <c r="W1204" i="1"/>
  <c r="X1204" i="1"/>
  <c r="Z1204" i="1"/>
  <c r="S1205" i="1"/>
  <c r="AF1203" i="1"/>
  <c r="AB1203" i="1"/>
  <c r="AE1203" i="1"/>
  <c r="AA1203" i="1"/>
  <c r="AE1204" i="1" l="1"/>
  <c r="AA1204" i="1"/>
  <c r="T1205" i="1"/>
  <c r="U1205" i="1"/>
  <c r="V1205" i="1" s="1"/>
  <c r="X1205" i="1"/>
  <c r="S1206" i="1"/>
  <c r="Z1205" i="1"/>
  <c r="Y1205" i="1"/>
  <c r="W1205" i="1"/>
  <c r="AC1204" i="1"/>
  <c r="AG1204" i="1"/>
  <c r="AH1204" i="1"/>
  <c r="AD1204" i="1"/>
  <c r="AB1204" i="1"/>
  <c r="AF1204" i="1"/>
  <c r="AA1205" i="1" l="1"/>
  <c r="AE1205" i="1"/>
  <c r="AC1205" i="1"/>
  <c r="AG1205" i="1"/>
  <c r="AH1205" i="1"/>
  <c r="AD1205" i="1"/>
  <c r="T1206" i="1"/>
  <c r="Y1206" i="1"/>
  <c r="W1206" i="1"/>
  <c r="S1207" i="1"/>
  <c r="Z1206" i="1"/>
  <c r="U1206" i="1"/>
  <c r="V1206" i="1" s="1"/>
  <c r="X1206" i="1"/>
  <c r="AB1205" i="1"/>
  <c r="AF1205" i="1"/>
  <c r="AC1206" i="1" l="1"/>
  <c r="AG1206" i="1"/>
  <c r="AH1206" i="1"/>
  <c r="AD1206" i="1"/>
  <c r="T1207" i="1"/>
  <c r="X1207" i="1"/>
  <c r="S1208" i="1"/>
  <c r="Z1207" i="1"/>
  <c r="Y1207" i="1"/>
  <c r="W1207" i="1"/>
  <c r="U1207" i="1"/>
  <c r="V1207" i="1" s="1"/>
  <c r="AB1206" i="1"/>
  <c r="AF1206" i="1"/>
  <c r="AE1206" i="1"/>
  <c r="AA1206" i="1"/>
  <c r="AD1207" i="1" l="1"/>
  <c r="AH1207" i="1"/>
  <c r="T1208" i="1"/>
  <c r="Y1208" i="1"/>
  <c r="X1208" i="1"/>
  <c r="W1208" i="1"/>
  <c r="Z1208" i="1"/>
  <c r="U1208" i="1"/>
  <c r="V1208" i="1" s="1"/>
  <c r="S1209" i="1"/>
  <c r="AA1207" i="1"/>
  <c r="AE1207" i="1"/>
  <c r="AB1207" i="1"/>
  <c r="AF1207" i="1"/>
  <c r="AC1207" i="1"/>
  <c r="AG1207" i="1"/>
  <c r="AC1208" i="1" l="1"/>
  <c r="AG1208" i="1"/>
  <c r="AH1208" i="1"/>
  <c r="AD1208" i="1"/>
  <c r="AE1208" i="1"/>
  <c r="AA1208" i="1"/>
  <c r="T1209" i="1"/>
  <c r="U1209" i="1"/>
  <c r="V1209" i="1" s="1"/>
  <c r="X1209" i="1"/>
  <c r="S1210" i="1"/>
  <c r="Z1209" i="1"/>
  <c r="Y1209" i="1"/>
  <c r="W1209" i="1"/>
  <c r="AB1208" i="1"/>
  <c r="AF1208" i="1"/>
  <c r="AE1209" i="1" l="1"/>
  <c r="AA1209" i="1"/>
  <c r="AB1209" i="1"/>
  <c r="AF1209" i="1"/>
  <c r="AC1209" i="1"/>
  <c r="AG1209" i="1"/>
  <c r="AD1209" i="1"/>
  <c r="AH1209" i="1"/>
  <c r="T1210" i="1"/>
  <c r="U1210" i="1"/>
  <c r="V1210" i="1" s="1"/>
  <c r="W1210" i="1"/>
  <c r="S1211" i="1"/>
  <c r="Z1210" i="1"/>
  <c r="X1210" i="1"/>
  <c r="Y1210" i="1"/>
  <c r="T1211" i="1" l="1"/>
  <c r="X1211" i="1"/>
  <c r="U1211" i="1"/>
  <c r="V1211" i="1" s="1"/>
  <c r="S1212" i="1"/>
  <c r="Z1211" i="1"/>
  <c r="Y1211" i="1"/>
  <c r="W1211" i="1"/>
  <c r="AC1210" i="1"/>
  <c r="AG1210" i="1"/>
  <c r="AE1210" i="1"/>
  <c r="AA1210" i="1"/>
  <c r="AF1210" i="1"/>
  <c r="AB1210" i="1"/>
  <c r="AD1210" i="1"/>
  <c r="AH1210" i="1"/>
  <c r="T1212" i="1" l="1"/>
  <c r="Z1212" i="1"/>
  <c r="S1213" i="1"/>
  <c r="U1212" i="1"/>
  <c r="V1212" i="1" s="1"/>
  <c r="Y1212" i="1"/>
  <c r="W1212" i="1"/>
  <c r="X1212" i="1"/>
  <c r="AA1211" i="1"/>
  <c r="AE1211" i="1"/>
  <c r="AG1211" i="1"/>
  <c r="AC1211" i="1"/>
  <c r="AB1211" i="1"/>
  <c r="AF1211" i="1"/>
  <c r="AD1211" i="1"/>
  <c r="AH1211" i="1"/>
  <c r="AB1212" i="1" l="1"/>
  <c r="AF1212" i="1"/>
  <c r="T1213" i="1"/>
  <c r="Y1213" i="1"/>
  <c r="W1213" i="1"/>
  <c r="Z1213" i="1"/>
  <c r="U1213" i="1"/>
  <c r="V1213" i="1" s="1"/>
  <c r="X1213" i="1"/>
  <c r="S1214" i="1"/>
  <c r="AA1212" i="1"/>
  <c r="AE1212" i="1"/>
  <c r="AD1212" i="1"/>
  <c r="AH1212" i="1"/>
  <c r="AG1212" i="1"/>
  <c r="AC1212" i="1"/>
  <c r="T1214" i="1" l="1"/>
  <c r="U1214" i="1"/>
  <c r="V1214" i="1" s="1"/>
  <c r="Y1214" i="1"/>
  <c r="S1215" i="1"/>
  <c r="X1214" i="1"/>
  <c r="W1214" i="1"/>
  <c r="Z1214" i="1"/>
  <c r="AF1213" i="1"/>
  <c r="AB1213" i="1"/>
  <c r="AG1213" i="1"/>
  <c r="AC1213" i="1"/>
  <c r="AD1213" i="1"/>
  <c r="AH1213" i="1"/>
  <c r="AE1213" i="1"/>
  <c r="AA1213" i="1"/>
  <c r="T1215" i="1" l="1"/>
  <c r="Y1215" i="1"/>
  <c r="W1215" i="1"/>
  <c r="X1215" i="1"/>
  <c r="S1216" i="1"/>
  <c r="Z1215" i="1"/>
  <c r="U1215" i="1"/>
  <c r="V1215" i="1" s="1"/>
  <c r="AD1214" i="1"/>
  <c r="AH1214" i="1"/>
  <c r="AG1214" i="1"/>
  <c r="AC1214" i="1"/>
  <c r="AA1214" i="1"/>
  <c r="AE1214" i="1"/>
  <c r="AF1214" i="1"/>
  <c r="AB1214" i="1"/>
  <c r="AB1215" i="1" l="1"/>
  <c r="AF1215" i="1"/>
  <c r="AE1215" i="1"/>
  <c r="AA1215" i="1"/>
  <c r="AD1215" i="1"/>
  <c r="AH1215" i="1"/>
  <c r="AG1215" i="1"/>
  <c r="AC1215" i="1"/>
  <c r="T1216" i="1"/>
  <c r="Z1216" i="1"/>
  <c r="S1217" i="1"/>
  <c r="U1216" i="1"/>
  <c r="V1216" i="1" s="1"/>
  <c r="Y1216" i="1"/>
  <c r="W1216" i="1"/>
  <c r="X1216" i="1"/>
  <c r="AB1216" i="1" l="1"/>
  <c r="AF1216" i="1"/>
  <c r="AE1216" i="1"/>
  <c r="AA1216" i="1"/>
  <c r="AH1216" i="1"/>
  <c r="AD1216" i="1"/>
  <c r="T1217" i="1"/>
  <c r="W1217" i="1"/>
  <c r="U1217" i="1"/>
  <c r="V1217" i="1" s="1"/>
  <c r="X1217" i="1"/>
  <c r="S1218" i="1"/>
  <c r="Z1217" i="1"/>
  <c r="Y1217" i="1"/>
  <c r="AC1216" i="1"/>
  <c r="AG1216" i="1"/>
  <c r="AD1217" i="1" l="1"/>
  <c r="AH1217" i="1"/>
  <c r="AA1217" i="1"/>
  <c r="AE1217" i="1"/>
  <c r="T1218" i="1"/>
  <c r="Z1218" i="1"/>
  <c r="X1218" i="1"/>
  <c r="U1218" i="1"/>
  <c r="V1218" i="1" s="1"/>
  <c r="Y1218" i="1"/>
  <c r="W1218" i="1"/>
  <c r="S1219" i="1"/>
  <c r="AF1217" i="1"/>
  <c r="AB1217" i="1"/>
  <c r="AG1217" i="1"/>
  <c r="AC1217" i="1"/>
  <c r="T1219" i="1" l="1"/>
  <c r="X1219" i="1"/>
  <c r="S1220" i="1"/>
  <c r="Y1219" i="1"/>
  <c r="W1219" i="1"/>
  <c r="U1219" i="1"/>
  <c r="V1219" i="1" s="1"/>
  <c r="Z1219" i="1"/>
  <c r="AF1218" i="1"/>
  <c r="AB1218" i="1"/>
  <c r="AE1218" i="1"/>
  <c r="AA1218" i="1"/>
  <c r="AH1218" i="1"/>
  <c r="AD1218" i="1"/>
  <c r="AG1218" i="1"/>
  <c r="AC1218" i="1"/>
  <c r="AG1219" i="1" l="1"/>
  <c r="AC1219" i="1"/>
  <c r="AD1219" i="1"/>
  <c r="AH1219" i="1"/>
  <c r="T1220" i="1"/>
  <c r="Z1220" i="1"/>
  <c r="S1221" i="1"/>
  <c r="U1220" i="1"/>
  <c r="V1220" i="1" s="1"/>
  <c r="Y1220" i="1"/>
  <c r="W1220" i="1"/>
  <c r="X1220" i="1"/>
  <c r="AF1219" i="1"/>
  <c r="AB1219" i="1"/>
  <c r="AA1219" i="1"/>
  <c r="AE1219" i="1"/>
  <c r="AB1220" i="1" l="1"/>
  <c r="AF1220" i="1"/>
  <c r="T1221" i="1"/>
  <c r="Y1221" i="1"/>
  <c r="W1221" i="1"/>
  <c r="U1221" i="1"/>
  <c r="V1221" i="1" s="1"/>
  <c r="S1222" i="1"/>
  <c r="Z1221" i="1"/>
  <c r="X1221" i="1"/>
  <c r="AA1220" i="1"/>
  <c r="AE1220" i="1"/>
  <c r="AD1220" i="1"/>
  <c r="AH1220" i="1"/>
  <c r="AC1220" i="1"/>
  <c r="AG1220" i="1"/>
  <c r="AB1221" i="1" l="1"/>
  <c r="AF1221" i="1"/>
  <c r="AH1221" i="1"/>
  <c r="AD1221" i="1"/>
  <c r="AG1221" i="1"/>
  <c r="AC1221" i="1"/>
  <c r="T1222" i="1"/>
  <c r="Z1222" i="1"/>
  <c r="U1222" i="1"/>
  <c r="V1222" i="1" s="1"/>
  <c r="Y1222" i="1"/>
  <c r="W1222" i="1"/>
  <c r="S1223" i="1"/>
  <c r="X1222" i="1"/>
  <c r="AE1221" i="1"/>
  <c r="AA1221" i="1"/>
  <c r="T1223" i="1" l="1"/>
  <c r="Y1223" i="1"/>
  <c r="W1223" i="1"/>
  <c r="X1223" i="1"/>
  <c r="U1223" i="1"/>
  <c r="V1223" i="1" s="1"/>
  <c r="S1224" i="1"/>
  <c r="Z1223" i="1"/>
  <c r="AD1222" i="1"/>
  <c r="AH1222" i="1"/>
  <c r="AA1222" i="1"/>
  <c r="AE1222" i="1"/>
  <c r="AG1222" i="1"/>
  <c r="AC1222" i="1"/>
  <c r="AF1222" i="1"/>
  <c r="AB1222" i="1"/>
  <c r="AF1223" i="1" l="1"/>
  <c r="AB1223" i="1"/>
  <c r="AH1223" i="1"/>
  <c r="AD1223" i="1"/>
  <c r="AE1223" i="1"/>
  <c r="AA1223" i="1"/>
  <c r="T1224" i="1"/>
  <c r="U1224" i="1"/>
  <c r="V1224" i="1" s="1"/>
  <c r="Y1224" i="1"/>
  <c r="W1224" i="1"/>
  <c r="X1224" i="1"/>
  <c r="Z1224" i="1"/>
  <c r="S1225" i="1"/>
  <c r="AG1223" i="1"/>
  <c r="AC1223" i="1"/>
  <c r="T1225" i="1" l="1"/>
  <c r="Y1225" i="1"/>
  <c r="W1225" i="1"/>
  <c r="U1225" i="1"/>
  <c r="V1225" i="1" s="1"/>
  <c r="X1225" i="1"/>
  <c r="S1226" i="1"/>
  <c r="Z1225" i="1"/>
  <c r="AC1224" i="1"/>
  <c r="AG1224" i="1"/>
  <c r="AD1224" i="1"/>
  <c r="AH1224" i="1"/>
  <c r="AB1224" i="1"/>
  <c r="AF1224" i="1"/>
  <c r="AA1224" i="1"/>
  <c r="AE1224" i="1"/>
  <c r="AD1225" i="1" l="1"/>
  <c r="AH1225" i="1"/>
  <c r="AE1225" i="1"/>
  <c r="AA1225" i="1"/>
  <c r="T1226" i="1"/>
  <c r="Z1226" i="1"/>
  <c r="X1226" i="1"/>
  <c r="U1226" i="1"/>
  <c r="V1226" i="1" s="1"/>
  <c r="W1226" i="1"/>
  <c r="S1227" i="1"/>
  <c r="Y1226" i="1"/>
  <c r="AG1225" i="1"/>
  <c r="AC1225" i="1"/>
  <c r="AB1225" i="1"/>
  <c r="AF1225" i="1"/>
  <c r="AC1226" i="1" l="1"/>
  <c r="AG1226" i="1"/>
  <c r="AF1226" i="1"/>
  <c r="AB1226" i="1"/>
  <c r="T1227" i="1"/>
  <c r="S1228" i="1"/>
  <c r="Z1227" i="1"/>
  <c r="W1227" i="1"/>
  <c r="Y1227" i="1"/>
  <c r="U1227" i="1"/>
  <c r="V1227" i="1" s="1"/>
  <c r="X1227" i="1"/>
  <c r="AD1226" i="1"/>
  <c r="AH1226" i="1"/>
  <c r="AA1226" i="1"/>
  <c r="AE1226" i="1"/>
  <c r="AA1227" i="1" l="1"/>
  <c r="AE1227" i="1"/>
  <c r="AF1227" i="1"/>
  <c r="AB1227" i="1"/>
  <c r="AD1227" i="1"/>
  <c r="AH1227" i="1"/>
  <c r="T1228" i="1"/>
  <c r="Z1228" i="1"/>
  <c r="S1229" i="1"/>
  <c r="U1228" i="1"/>
  <c r="V1228" i="1" s="1"/>
  <c r="Y1228" i="1"/>
  <c r="X1228" i="1"/>
  <c r="W1228" i="1"/>
  <c r="AC1227" i="1"/>
  <c r="AG1227" i="1"/>
  <c r="AB1228" i="1" l="1"/>
  <c r="AF1228" i="1"/>
  <c r="AD1228" i="1"/>
  <c r="AH1228" i="1"/>
  <c r="AC1228" i="1"/>
  <c r="AG1228" i="1"/>
  <c r="AA1228" i="1"/>
  <c r="AE1228" i="1"/>
  <c r="T1229" i="1"/>
  <c r="Y1229" i="1"/>
  <c r="W1229" i="1"/>
  <c r="S1230" i="1"/>
  <c r="Z1229" i="1"/>
  <c r="U1229" i="1"/>
  <c r="V1229" i="1" s="1"/>
  <c r="X1229" i="1"/>
  <c r="T1230" i="1" l="1"/>
  <c r="U1230" i="1"/>
  <c r="V1230" i="1" s="1"/>
  <c r="Y1230" i="1"/>
  <c r="W1230" i="1"/>
  <c r="S1231" i="1"/>
  <c r="Z1230" i="1"/>
  <c r="X1230" i="1"/>
  <c r="AF1229" i="1"/>
  <c r="AB1229" i="1"/>
  <c r="AE1229" i="1"/>
  <c r="AA1229" i="1"/>
  <c r="AG1229" i="1"/>
  <c r="AC1229" i="1"/>
  <c r="AH1229" i="1"/>
  <c r="AD1229" i="1"/>
  <c r="AA1230" i="1" l="1"/>
  <c r="AE1230" i="1"/>
  <c r="AB1230" i="1"/>
  <c r="AF1230" i="1"/>
  <c r="AG1230" i="1"/>
  <c r="AC1230" i="1"/>
  <c r="AH1230" i="1"/>
  <c r="AD1230" i="1"/>
  <c r="T1231" i="1"/>
  <c r="S1232" i="1"/>
  <c r="W1231" i="1"/>
  <c r="Y1231" i="1"/>
  <c r="U1231" i="1"/>
  <c r="V1231" i="1" s="1"/>
  <c r="Z1231" i="1"/>
  <c r="X1231" i="1"/>
  <c r="AG1231" i="1" l="1"/>
  <c r="AC1231" i="1"/>
  <c r="AB1231" i="1"/>
  <c r="AF1231" i="1"/>
  <c r="AE1231" i="1"/>
  <c r="AA1231" i="1"/>
  <c r="AH1231" i="1"/>
  <c r="AD1231" i="1"/>
  <c r="T1232" i="1"/>
  <c r="Y1232" i="1"/>
  <c r="X1232" i="1"/>
  <c r="U1232" i="1"/>
  <c r="V1232" i="1" s="1"/>
  <c r="W1232" i="1"/>
  <c r="S1233" i="1"/>
  <c r="Z1232" i="1"/>
  <c r="AD1232" i="1" l="1"/>
  <c r="AH1232" i="1"/>
  <c r="AB1232" i="1"/>
  <c r="AF1232" i="1"/>
  <c r="T1233" i="1"/>
  <c r="U1233" i="1"/>
  <c r="V1233" i="1" s="1"/>
  <c r="S1234" i="1"/>
  <c r="W1233" i="1"/>
  <c r="Z1233" i="1"/>
  <c r="X1233" i="1"/>
  <c r="Y1233" i="1"/>
  <c r="AC1232" i="1"/>
  <c r="AG1232" i="1"/>
  <c r="AA1232" i="1"/>
  <c r="AE1232" i="1"/>
  <c r="AA1233" i="1" l="1"/>
  <c r="AE1233" i="1"/>
  <c r="AG1233" i="1"/>
  <c r="AC1233" i="1"/>
  <c r="T1234" i="1"/>
  <c r="Z1234" i="1"/>
  <c r="Y1234" i="1"/>
  <c r="X1234" i="1"/>
  <c r="U1234" i="1"/>
  <c r="V1234" i="1" s="1"/>
  <c r="W1234" i="1"/>
  <c r="S1235" i="1"/>
  <c r="AB1233" i="1"/>
  <c r="AF1233" i="1"/>
  <c r="AD1233" i="1"/>
  <c r="AH1233" i="1"/>
  <c r="AB1234" i="1" l="1"/>
  <c r="AF1234" i="1"/>
  <c r="T1235" i="1"/>
  <c r="U1235" i="1"/>
  <c r="V1235" i="1" s="1"/>
  <c r="X1235" i="1"/>
  <c r="S1236" i="1"/>
  <c r="Y1235" i="1"/>
  <c r="Z1235" i="1"/>
  <c r="W1235" i="1"/>
  <c r="AC1234" i="1"/>
  <c r="AG1234" i="1"/>
  <c r="AA1234" i="1"/>
  <c r="AE1234" i="1"/>
  <c r="AD1234" i="1"/>
  <c r="AH1234" i="1"/>
  <c r="AH1235" i="1" l="1"/>
  <c r="AD1235" i="1"/>
  <c r="AG1235" i="1"/>
  <c r="AC1235" i="1"/>
  <c r="T1236" i="1"/>
  <c r="W1236" i="1"/>
  <c r="Z1236" i="1"/>
  <c r="Y1236" i="1"/>
  <c r="X1236" i="1"/>
  <c r="U1236" i="1"/>
  <c r="V1236" i="1" s="1"/>
  <c r="S1237" i="1"/>
  <c r="AA1235" i="1"/>
  <c r="AE1235" i="1"/>
  <c r="AF1235" i="1"/>
  <c r="AB1235" i="1"/>
  <c r="AG1236" i="1" l="1"/>
  <c r="AC1236" i="1"/>
  <c r="T1237" i="1"/>
  <c r="Z1237" i="1"/>
  <c r="W1237" i="1"/>
  <c r="Y1237" i="1"/>
  <c r="U1237" i="1"/>
  <c r="V1237" i="1" s="1"/>
  <c r="X1237" i="1"/>
  <c r="S1238" i="1"/>
  <c r="AH1236" i="1"/>
  <c r="AD1236" i="1"/>
  <c r="AE1236" i="1"/>
  <c r="AA1236" i="1"/>
  <c r="AF1236" i="1"/>
  <c r="AB1236" i="1"/>
  <c r="AF1237" i="1" l="1"/>
  <c r="AB1237" i="1"/>
  <c r="AD1237" i="1"/>
  <c r="AH1237" i="1"/>
  <c r="AG1237" i="1"/>
  <c r="AC1237" i="1"/>
  <c r="T1238" i="1"/>
  <c r="W1238" i="1"/>
  <c r="S1239" i="1"/>
  <c r="Y1238" i="1"/>
  <c r="X1238" i="1"/>
  <c r="U1238" i="1"/>
  <c r="V1238" i="1" s="1"/>
  <c r="Z1238" i="1"/>
  <c r="AE1237" i="1"/>
  <c r="AA1237" i="1"/>
  <c r="T1239" i="1" l="1"/>
  <c r="Y1239" i="1"/>
  <c r="U1239" i="1"/>
  <c r="V1239" i="1" s="1"/>
  <c r="Z1239" i="1"/>
  <c r="X1239" i="1"/>
  <c r="S1240" i="1"/>
  <c r="W1239" i="1"/>
  <c r="AE1238" i="1"/>
  <c r="AA1238" i="1"/>
  <c r="AF1238" i="1"/>
  <c r="AB1238" i="1"/>
  <c r="AG1238" i="1"/>
  <c r="AC1238" i="1"/>
  <c r="AH1238" i="1"/>
  <c r="AD1238" i="1"/>
  <c r="AH1239" i="1" l="1"/>
  <c r="AD1239" i="1"/>
  <c r="AE1239" i="1"/>
  <c r="AA1239" i="1"/>
  <c r="T1240" i="1"/>
  <c r="Z1240" i="1"/>
  <c r="Y1240" i="1"/>
  <c r="X1240" i="1"/>
  <c r="U1240" i="1"/>
  <c r="V1240" i="1" s="1"/>
  <c r="W1240" i="1"/>
  <c r="S1241" i="1"/>
  <c r="AC1239" i="1"/>
  <c r="AG1239" i="1"/>
  <c r="AB1239" i="1"/>
  <c r="AF1239" i="1"/>
  <c r="AB1240" i="1" l="1"/>
  <c r="AF1240" i="1"/>
  <c r="AG1240" i="1"/>
  <c r="AC1240" i="1"/>
  <c r="T1241" i="1"/>
  <c r="S1242" i="1"/>
  <c r="W1241" i="1"/>
  <c r="Y1241" i="1"/>
  <c r="U1241" i="1"/>
  <c r="V1241" i="1" s="1"/>
  <c r="Z1241" i="1"/>
  <c r="X1241" i="1"/>
  <c r="AE1240" i="1"/>
  <c r="AA1240" i="1"/>
  <c r="AD1240" i="1"/>
  <c r="AH1240" i="1"/>
  <c r="AC1241" i="1" l="1"/>
  <c r="AG1241" i="1"/>
  <c r="AB1241" i="1"/>
  <c r="AF1241" i="1"/>
  <c r="AA1241" i="1"/>
  <c r="AE1241" i="1"/>
  <c r="AD1241" i="1"/>
  <c r="AH1241" i="1"/>
  <c r="T1242" i="1"/>
  <c r="W1242" i="1"/>
  <c r="S1243" i="1"/>
  <c r="Z1242" i="1"/>
  <c r="Y1242" i="1"/>
  <c r="X1242" i="1"/>
  <c r="U1242" i="1"/>
  <c r="V1242" i="1" s="1"/>
  <c r="AB1242" i="1" l="1"/>
  <c r="AF1242" i="1"/>
  <c r="AD1242" i="1"/>
  <c r="AH1242" i="1"/>
  <c r="T1243" i="1"/>
  <c r="U1243" i="1"/>
  <c r="V1243" i="1" s="1"/>
  <c r="Z1243" i="1"/>
  <c r="W1243" i="1"/>
  <c r="X1243" i="1"/>
  <c r="Y1243" i="1"/>
  <c r="S1244" i="1"/>
  <c r="AA1242" i="1"/>
  <c r="AE1242" i="1"/>
  <c r="AG1242" i="1"/>
  <c r="AC1242" i="1"/>
  <c r="AE1243" i="1" l="1"/>
  <c r="AA1243" i="1"/>
  <c r="T1244" i="1"/>
  <c r="W1244" i="1"/>
  <c r="Z1244" i="1"/>
  <c r="Y1244" i="1"/>
  <c r="X1244" i="1"/>
  <c r="U1244" i="1"/>
  <c r="V1244" i="1" s="1"/>
  <c r="S1245" i="1"/>
  <c r="AH1243" i="1"/>
  <c r="AD1243" i="1"/>
  <c r="AC1243" i="1"/>
  <c r="AG1243" i="1"/>
  <c r="AB1243" i="1"/>
  <c r="AF1243" i="1"/>
  <c r="AE1244" i="1" l="1"/>
  <c r="AA1244" i="1"/>
  <c r="AF1244" i="1"/>
  <c r="AB1244" i="1"/>
  <c r="AG1244" i="1"/>
  <c r="AC1244" i="1"/>
  <c r="T1245" i="1"/>
  <c r="Z1245" i="1"/>
  <c r="X1245" i="1"/>
  <c r="S1246" i="1"/>
  <c r="W1245" i="1"/>
  <c r="Y1245" i="1"/>
  <c r="U1245" i="1"/>
  <c r="V1245" i="1" s="1"/>
  <c r="AH1244" i="1"/>
  <c r="AD1244" i="1"/>
  <c r="AF1245" i="1" l="1"/>
  <c r="AB1245" i="1"/>
  <c r="AG1245" i="1"/>
  <c r="AC1245" i="1"/>
  <c r="AH1245" i="1"/>
  <c r="AD1245" i="1"/>
  <c r="AE1245" i="1"/>
  <c r="AA1245" i="1"/>
  <c r="T1246" i="1"/>
  <c r="Z1246" i="1"/>
  <c r="Y1246" i="1"/>
  <c r="X1246" i="1"/>
  <c r="U1246" i="1"/>
  <c r="V1246" i="1" s="1"/>
  <c r="W1246" i="1"/>
  <c r="S1247" i="1"/>
  <c r="AF1246" i="1" l="1"/>
  <c r="AB1246" i="1"/>
  <c r="T1247" i="1"/>
  <c r="U1247" i="1"/>
  <c r="V1247" i="1" s="1"/>
  <c r="Y1247" i="1"/>
  <c r="Z1247" i="1"/>
  <c r="X1247" i="1"/>
  <c r="S1248" i="1"/>
  <c r="W1247" i="1"/>
  <c r="AG1246" i="1"/>
  <c r="AC1246" i="1"/>
  <c r="AE1246" i="1"/>
  <c r="AA1246" i="1"/>
  <c r="AD1246" i="1"/>
  <c r="AH1246" i="1"/>
  <c r="T1248" i="1" l="1"/>
  <c r="W1248" i="1"/>
  <c r="S1249" i="1"/>
  <c r="Y1248" i="1"/>
  <c r="Z1248" i="1"/>
  <c r="X1248" i="1"/>
  <c r="U1248" i="1"/>
  <c r="V1248" i="1" s="1"/>
  <c r="AB1247" i="1"/>
  <c r="AF1247" i="1"/>
  <c r="AD1247" i="1"/>
  <c r="AH1247" i="1"/>
  <c r="AA1247" i="1"/>
  <c r="AE1247" i="1"/>
  <c r="AC1247" i="1"/>
  <c r="AG1247" i="1"/>
  <c r="AG1248" i="1" l="1"/>
  <c r="AC1248" i="1"/>
  <c r="T1249" i="1"/>
  <c r="U1249" i="1"/>
  <c r="V1249" i="1" s="1"/>
  <c r="Z1249" i="1"/>
  <c r="X1249" i="1"/>
  <c r="S1250" i="1"/>
  <c r="W1249" i="1"/>
  <c r="Y1249" i="1"/>
  <c r="AB1248" i="1"/>
  <c r="AF1248" i="1"/>
  <c r="AA1248" i="1"/>
  <c r="AE1248" i="1"/>
  <c r="AD1248" i="1"/>
  <c r="AH1248" i="1"/>
  <c r="AE1249" i="1" l="1"/>
  <c r="AA1249" i="1"/>
  <c r="T1250" i="1"/>
  <c r="Z1250" i="1"/>
  <c r="Y1250" i="1"/>
  <c r="U1250" i="1"/>
  <c r="V1250" i="1" s="1"/>
  <c r="S1251" i="1"/>
  <c r="X1250" i="1"/>
  <c r="W1250" i="1"/>
  <c r="AB1249" i="1"/>
  <c r="AF1249" i="1"/>
  <c r="AC1249" i="1"/>
  <c r="AG1249" i="1"/>
  <c r="AH1249" i="1"/>
  <c r="AD1249" i="1"/>
  <c r="AF1250" i="1" l="1"/>
  <c r="AB1250" i="1"/>
  <c r="AD1250" i="1"/>
  <c r="AH1250" i="1"/>
  <c r="T1251" i="1"/>
  <c r="S1252" i="1"/>
  <c r="Y1251" i="1"/>
  <c r="Z1251" i="1"/>
  <c r="X1251" i="1"/>
  <c r="W1251" i="1"/>
  <c r="U1251" i="1"/>
  <c r="V1251" i="1" s="1"/>
  <c r="AA1250" i="1"/>
  <c r="AE1250" i="1"/>
  <c r="AC1250" i="1"/>
  <c r="AG1250" i="1"/>
  <c r="AH1251" i="1" l="1"/>
  <c r="AD1251" i="1"/>
  <c r="AG1251" i="1"/>
  <c r="AC1251" i="1"/>
  <c r="AA1251" i="1"/>
  <c r="AE1251" i="1"/>
  <c r="T1252" i="1"/>
  <c r="Z1252" i="1"/>
  <c r="Y1252" i="1"/>
  <c r="X1252" i="1"/>
  <c r="U1252" i="1"/>
  <c r="V1252" i="1" s="1"/>
  <c r="W1252" i="1"/>
  <c r="S1253" i="1"/>
  <c r="AF1251" i="1"/>
  <c r="AB1251" i="1"/>
  <c r="AE1252" i="1" l="1"/>
  <c r="AA1252" i="1"/>
  <c r="AH1252" i="1"/>
  <c r="AD1252" i="1"/>
  <c r="AF1252" i="1"/>
  <c r="AB1252" i="1"/>
  <c r="T1253" i="1"/>
  <c r="Y1253" i="1"/>
  <c r="U1253" i="1"/>
  <c r="V1253" i="1" s="1"/>
  <c r="Z1253" i="1"/>
  <c r="X1253" i="1"/>
  <c r="S1254" i="1"/>
  <c r="W1253" i="1"/>
  <c r="AG1252" i="1"/>
  <c r="AC1252" i="1"/>
  <c r="T1254" i="1" l="1"/>
  <c r="W1254" i="1"/>
  <c r="Y1254" i="1"/>
  <c r="X1254" i="1"/>
  <c r="U1254" i="1"/>
  <c r="V1254" i="1" s="1"/>
  <c r="S1255" i="1"/>
  <c r="Z1254" i="1"/>
  <c r="AC1253" i="1"/>
  <c r="AG1253" i="1"/>
  <c r="AF1253" i="1"/>
  <c r="AB1253" i="1"/>
  <c r="AH1253" i="1"/>
  <c r="AD1253" i="1"/>
  <c r="AA1253" i="1"/>
  <c r="AE1253" i="1"/>
  <c r="AF1254" i="1" l="1"/>
  <c r="AB1254" i="1"/>
  <c r="AH1254" i="1"/>
  <c r="AD1254" i="1"/>
  <c r="AG1254" i="1"/>
  <c r="AC1254" i="1"/>
  <c r="T1255" i="1"/>
  <c r="Y1255" i="1"/>
  <c r="U1255" i="1"/>
  <c r="V1255" i="1" s="1"/>
  <c r="Z1255" i="1"/>
  <c r="X1255" i="1"/>
  <c r="S1256" i="1"/>
  <c r="W1255" i="1"/>
  <c r="AE1254" i="1"/>
  <c r="AA1254" i="1"/>
  <c r="T1256" i="1" l="1"/>
  <c r="S1257" i="1"/>
  <c r="Z1256" i="1"/>
  <c r="Y1256" i="1"/>
  <c r="X1256" i="1"/>
  <c r="U1256" i="1"/>
  <c r="V1256" i="1" s="1"/>
  <c r="W1256" i="1"/>
  <c r="AG1255" i="1"/>
  <c r="AC1255" i="1"/>
  <c r="AF1255" i="1"/>
  <c r="AB1255" i="1"/>
  <c r="AH1255" i="1"/>
  <c r="AD1255" i="1"/>
  <c r="AE1255" i="1"/>
  <c r="AA1255" i="1"/>
  <c r="AC1256" i="1" l="1"/>
  <c r="AG1256" i="1"/>
  <c r="AE1256" i="1"/>
  <c r="AA1256" i="1"/>
  <c r="AH1256" i="1"/>
  <c r="AD1256" i="1"/>
  <c r="T1257" i="1"/>
  <c r="S1258" i="1"/>
  <c r="Y1257" i="1"/>
  <c r="U1257" i="1"/>
  <c r="V1257" i="1" s="1"/>
  <c r="Z1257" i="1"/>
  <c r="X1257" i="1"/>
  <c r="W1257" i="1"/>
  <c r="AF1256" i="1"/>
  <c r="AB1256" i="1"/>
  <c r="T1258" i="1" l="1"/>
  <c r="S1259" i="1"/>
  <c r="Y1258" i="1"/>
  <c r="U1258" i="1"/>
  <c r="V1258" i="1" s="1"/>
  <c r="W1258" i="1"/>
  <c r="Z1258" i="1"/>
  <c r="X1258" i="1"/>
  <c r="AD1257" i="1"/>
  <c r="AH1257" i="1"/>
  <c r="AB1257" i="1"/>
  <c r="AF1257" i="1"/>
  <c r="AA1257" i="1"/>
  <c r="AE1257" i="1"/>
  <c r="AG1257" i="1"/>
  <c r="AC1257" i="1"/>
  <c r="AB1258" i="1" l="1"/>
  <c r="AF1258" i="1"/>
  <c r="AG1258" i="1"/>
  <c r="AC1258" i="1"/>
  <c r="AD1258" i="1"/>
  <c r="AH1258" i="1"/>
  <c r="T1259" i="1"/>
  <c r="W1259" i="1"/>
  <c r="Y1259" i="1"/>
  <c r="Z1259" i="1"/>
  <c r="X1259" i="1"/>
  <c r="U1259" i="1"/>
  <c r="V1259" i="1" s="1"/>
  <c r="S1260" i="1"/>
  <c r="AE1258" i="1"/>
  <c r="AA1258" i="1"/>
  <c r="AE1259" i="1" l="1"/>
  <c r="AA1259" i="1"/>
  <c r="AB1259" i="1"/>
  <c r="AF1259" i="1"/>
  <c r="AH1259" i="1"/>
  <c r="AD1259" i="1"/>
  <c r="T1260" i="1"/>
  <c r="W1260" i="1"/>
  <c r="S1261" i="1"/>
  <c r="X1260" i="1"/>
  <c r="Z1260" i="1"/>
  <c r="Y1260" i="1"/>
  <c r="U1260" i="1"/>
  <c r="V1260" i="1" s="1"/>
  <c r="AG1259" i="1"/>
  <c r="AC1259" i="1"/>
  <c r="AE1260" i="1" l="1"/>
  <c r="AA1260" i="1"/>
  <c r="AC1260" i="1"/>
  <c r="AG1260" i="1"/>
  <c r="AD1260" i="1"/>
  <c r="AH1260" i="1"/>
  <c r="AF1260" i="1"/>
  <c r="AB1260" i="1"/>
  <c r="T1261" i="1"/>
  <c r="Y1261" i="1"/>
  <c r="Z1261" i="1"/>
  <c r="X1261" i="1"/>
  <c r="S1262" i="1"/>
  <c r="W1261" i="1"/>
  <c r="U1261" i="1"/>
  <c r="V1261" i="1" s="1"/>
  <c r="AB1261" i="1" l="1"/>
  <c r="AF1261" i="1"/>
  <c r="AD1261" i="1"/>
  <c r="AH1261" i="1"/>
  <c r="AE1261" i="1"/>
  <c r="AA1261" i="1"/>
  <c r="AG1261" i="1"/>
  <c r="AC1261" i="1"/>
  <c r="T1262" i="1"/>
  <c r="Y1262" i="1"/>
  <c r="W1262" i="1"/>
  <c r="S1263" i="1"/>
  <c r="X1262" i="1"/>
  <c r="U1262" i="1"/>
  <c r="V1262" i="1" s="1"/>
  <c r="Z1262" i="1"/>
  <c r="AH1262" i="1" l="1"/>
  <c r="AD1262" i="1"/>
  <c r="T1263" i="1"/>
  <c r="U1263" i="1"/>
  <c r="V1263" i="1" s="1"/>
  <c r="X1263" i="1"/>
  <c r="S1264" i="1"/>
  <c r="W1263" i="1"/>
  <c r="Y1263" i="1"/>
  <c r="Z1263" i="1"/>
  <c r="AE1262" i="1"/>
  <c r="AA1262" i="1"/>
  <c r="AG1262" i="1"/>
  <c r="AC1262" i="1"/>
  <c r="AB1262" i="1"/>
  <c r="AF1262" i="1"/>
  <c r="T1264" i="1" l="1"/>
  <c r="S1265" i="1"/>
  <c r="W1264" i="1"/>
  <c r="X1264" i="1"/>
  <c r="U1264" i="1"/>
  <c r="V1264" i="1" s="1"/>
  <c r="Z1264" i="1"/>
  <c r="Y1264" i="1"/>
  <c r="AG1263" i="1"/>
  <c r="AC1263" i="1"/>
  <c r="AA1263" i="1"/>
  <c r="AE1263" i="1"/>
  <c r="AH1263" i="1"/>
  <c r="AD1263" i="1"/>
  <c r="AB1263" i="1"/>
  <c r="AF1263" i="1"/>
  <c r="AC1264" i="1" l="1"/>
  <c r="AG1264" i="1"/>
  <c r="AB1264" i="1"/>
  <c r="AF1264" i="1"/>
  <c r="AE1264" i="1"/>
  <c r="AA1264" i="1"/>
  <c r="AD1264" i="1"/>
  <c r="AH1264" i="1"/>
  <c r="T1265" i="1"/>
  <c r="Y1265" i="1"/>
  <c r="Z1265" i="1"/>
  <c r="U1265" i="1"/>
  <c r="V1265" i="1" s="1"/>
  <c r="S1266" i="1"/>
  <c r="W1265" i="1"/>
  <c r="X1265" i="1"/>
  <c r="AB1265" i="1" l="1"/>
  <c r="AF1265" i="1"/>
  <c r="AD1265" i="1"/>
  <c r="AH1265" i="1"/>
  <c r="AE1265" i="1"/>
  <c r="AA1265" i="1"/>
  <c r="AG1265" i="1"/>
  <c r="AC1265" i="1"/>
  <c r="T1266" i="1"/>
  <c r="Y1266" i="1"/>
  <c r="S1267" i="1"/>
  <c r="W1266" i="1"/>
  <c r="X1266" i="1"/>
  <c r="U1266" i="1"/>
  <c r="V1266" i="1" s="1"/>
  <c r="Z1266" i="1"/>
  <c r="T1267" i="1" l="1"/>
  <c r="X1267" i="1"/>
  <c r="U1267" i="1"/>
  <c r="V1267" i="1" s="1"/>
  <c r="S1268" i="1"/>
  <c r="W1267" i="1"/>
  <c r="Y1267" i="1"/>
  <c r="Z1267" i="1"/>
  <c r="AA1266" i="1"/>
  <c r="AE1266" i="1"/>
  <c r="AC1266" i="1"/>
  <c r="AG1266" i="1"/>
  <c r="AH1266" i="1"/>
  <c r="AD1266" i="1"/>
  <c r="AF1266" i="1"/>
  <c r="AB1266" i="1"/>
  <c r="T1268" i="1" l="1"/>
  <c r="S1269" i="1"/>
  <c r="W1268" i="1"/>
  <c r="Y1268" i="1"/>
  <c r="X1268" i="1"/>
  <c r="Z1268" i="1"/>
  <c r="U1268" i="1"/>
  <c r="V1268" i="1" s="1"/>
  <c r="AH1267" i="1"/>
  <c r="AD1267" i="1"/>
  <c r="AC1267" i="1"/>
  <c r="AG1267" i="1"/>
  <c r="AF1267" i="1"/>
  <c r="AB1267" i="1"/>
  <c r="AA1267" i="1"/>
  <c r="AE1267" i="1"/>
  <c r="AG1268" i="1" l="1"/>
  <c r="AC1268" i="1"/>
  <c r="AA1268" i="1"/>
  <c r="AE1268" i="1"/>
  <c r="AH1268" i="1"/>
  <c r="AD1268" i="1"/>
  <c r="T1269" i="1"/>
  <c r="S1270" i="1"/>
  <c r="W1269" i="1"/>
  <c r="Y1269" i="1"/>
  <c r="Z1269" i="1"/>
  <c r="U1269" i="1"/>
  <c r="V1269" i="1" s="1"/>
  <c r="X1269" i="1"/>
  <c r="AF1268" i="1"/>
  <c r="AB1268" i="1"/>
  <c r="T1270" i="1" l="1"/>
  <c r="W1270" i="1"/>
  <c r="X1270" i="1"/>
  <c r="Z1270" i="1"/>
  <c r="S1271" i="1"/>
  <c r="Y1270" i="1"/>
  <c r="U1270" i="1"/>
  <c r="V1270" i="1" s="1"/>
  <c r="AC1269" i="1"/>
  <c r="AG1269" i="1"/>
  <c r="AH1269" i="1"/>
  <c r="AD1269" i="1"/>
  <c r="AF1269" i="1"/>
  <c r="AB1269" i="1"/>
  <c r="AE1269" i="1"/>
  <c r="AA1269" i="1"/>
  <c r="AD1270" i="1" l="1"/>
  <c r="AH1270" i="1"/>
  <c r="AF1270" i="1"/>
  <c r="AB1270" i="1"/>
  <c r="AG1270" i="1"/>
  <c r="AC1270" i="1"/>
  <c r="AE1270" i="1"/>
  <c r="AA1270" i="1"/>
  <c r="T1271" i="1"/>
  <c r="Y1271" i="1"/>
  <c r="Z1271" i="1"/>
  <c r="U1271" i="1"/>
  <c r="V1271" i="1" s="1"/>
  <c r="X1271" i="1"/>
  <c r="W1271" i="1"/>
  <c r="S1272" i="1"/>
  <c r="T1272" i="1" l="1"/>
  <c r="S1273" i="1"/>
  <c r="W1272" i="1"/>
  <c r="U1272" i="1"/>
  <c r="V1272" i="1" s="1"/>
  <c r="Z1272" i="1"/>
  <c r="X1272" i="1"/>
  <c r="Y1272" i="1"/>
  <c r="AH1271" i="1"/>
  <c r="AD1271" i="1"/>
  <c r="AE1271" i="1"/>
  <c r="AA1271" i="1"/>
  <c r="AG1271" i="1"/>
  <c r="AC1271" i="1"/>
  <c r="AF1271" i="1"/>
  <c r="AB1271" i="1"/>
  <c r="AC1272" i="1" l="1"/>
  <c r="AG1272" i="1"/>
  <c r="AA1272" i="1"/>
  <c r="AE1272" i="1"/>
  <c r="AB1272" i="1"/>
  <c r="AF1272" i="1"/>
  <c r="T1273" i="1"/>
  <c r="X1273" i="1"/>
  <c r="S1274" i="1"/>
  <c r="W1273" i="1"/>
  <c r="Y1273" i="1"/>
  <c r="U1273" i="1"/>
  <c r="V1273" i="1" s="1"/>
  <c r="Z1273" i="1"/>
  <c r="AD1272" i="1"/>
  <c r="AH1272" i="1"/>
  <c r="AB1273" i="1" l="1"/>
  <c r="AF1273" i="1"/>
  <c r="AG1273" i="1"/>
  <c r="AC1273" i="1"/>
  <c r="AA1273" i="1"/>
  <c r="AE1273" i="1"/>
  <c r="AD1273" i="1"/>
  <c r="AH1273" i="1"/>
  <c r="T1274" i="1"/>
  <c r="Y1274" i="1"/>
  <c r="U1274" i="1"/>
  <c r="V1274" i="1" s="1"/>
  <c r="S1275" i="1"/>
  <c r="W1274" i="1"/>
  <c r="Z1274" i="1"/>
  <c r="X1274" i="1"/>
  <c r="T1275" i="1" l="1"/>
  <c r="Y1275" i="1"/>
  <c r="Z1275" i="1"/>
  <c r="X1275" i="1"/>
  <c r="S1276" i="1"/>
  <c r="W1275" i="1"/>
  <c r="U1275" i="1"/>
  <c r="V1275" i="1" s="1"/>
  <c r="AF1274" i="1"/>
  <c r="AB1274" i="1"/>
  <c r="AH1274" i="1"/>
  <c r="AD1274" i="1"/>
  <c r="AC1274" i="1"/>
  <c r="AG1274" i="1"/>
  <c r="AA1274" i="1"/>
  <c r="AE1274" i="1"/>
  <c r="AB1275" i="1" l="1"/>
  <c r="AF1275" i="1"/>
  <c r="AD1275" i="1"/>
  <c r="AH1275" i="1"/>
  <c r="AA1275" i="1"/>
  <c r="AE1275" i="1"/>
  <c r="AG1275" i="1"/>
  <c r="AC1275" i="1"/>
  <c r="T1276" i="1"/>
  <c r="Z1276" i="1"/>
  <c r="X1276" i="1"/>
  <c r="S1277" i="1"/>
  <c r="Y1276" i="1"/>
  <c r="W1276" i="1"/>
  <c r="U1276" i="1"/>
  <c r="V1276" i="1" s="1"/>
  <c r="T1277" i="1" l="1"/>
  <c r="S1278" i="1"/>
  <c r="W1277" i="1"/>
  <c r="Y1277" i="1"/>
  <c r="U1277" i="1"/>
  <c r="V1277" i="1" s="1"/>
  <c r="X1277" i="1"/>
  <c r="Z1277" i="1"/>
  <c r="AB1276" i="1"/>
  <c r="AF1276" i="1"/>
  <c r="AE1276" i="1"/>
  <c r="AA1276" i="1"/>
  <c r="AD1276" i="1"/>
  <c r="AH1276" i="1"/>
  <c r="AG1276" i="1"/>
  <c r="AC1276" i="1"/>
  <c r="AC1277" i="1" l="1"/>
  <c r="AG1277" i="1"/>
  <c r="AD1277" i="1"/>
  <c r="AH1277" i="1"/>
  <c r="AA1277" i="1"/>
  <c r="AE1277" i="1"/>
  <c r="AF1277" i="1"/>
  <c r="AB1277" i="1"/>
  <c r="T1278" i="1"/>
  <c r="Z1278" i="1"/>
  <c r="X1278" i="1"/>
  <c r="Y1278" i="1"/>
  <c r="W1278" i="1"/>
  <c r="S1279" i="1"/>
  <c r="U1278" i="1"/>
  <c r="V1278" i="1" s="1"/>
  <c r="AC1278" i="1" l="1"/>
  <c r="AG1278" i="1"/>
  <c r="AF1278" i="1"/>
  <c r="AB1278" i="1"/>
  <c r="T1279" i="1"/>
  <c r="X1279" i="1"/>
  <c r="W1279" i="1"/>
  <c r="S1280" i="1"/>
  <c r="Y1279" i="1"/>
  <c r="Z1279" i="1"/>
  <c r="U1279" i="1"/>
  <c r="V1279" i="1" s="1"/>
  <c r="AH1278" i="1"/>
  <c r="AD1278" i="1"/>
  <c r="AA1278" i="1"/>
  <c r="AE1278" i="1"/>
  <c r="T1280" i="1" l="1"/>
  <c r="Y1280" i="1"/>
  <c r="W1280" i="1"/>
  <c r="S1281" i="1"/>
  <c r="U1280" i="1"/>
  <c r="V1280" i="1" s="1"/>
  <c r="Z1280" i="1"/>
  <c r="X1280" i="1"/>
  <c r="AA1279" i="1"/>
  <c r="AE1279" i="1"/>
  <c r="AD1279" i="1"/>
  <c r="AH1279" i="1"/>
  <c r="AF1279" i="1"/>
  <c r="AB1279" i="1"/>
  <c r="AC1279" i="1"/>
  <c r="AG1279" i="1"/>
  <c r="T1281" i="1" l="1"/>
  <c r="Y1281" i="1"/>
  <c r="Z1281" i="1"/>
  <c r="X1281" i="1"/>
  <c r="S1282" i="1"/>
  <c r="U1281" i="1"/>
  <c r="V1281" i="1" s="1"/>
  <c r="W1281" i="1"/>
  <c r="AF1280" i="1"/>
  <c r="AB1280" i="1"/>
  <c r="AA1280" i="1"/>
  <c r="AE1280" i="1"/>
  <c r="AH1280" i="1"/>
  <c r="AD1280" i="1"/>
  <c r="AG1280" i="1"/>
  <c r="AC1280" i="1"/>
  <c r="AF1281" i="1" l="1"/>
  <c r="AB1281" i="1"/>
  <c r="AE1281" i="1"/>
  <c r="AA1281" i="1"/>
  <c r="AD1281" i="1"/>
  <c r="AH1281" i="1"/>
  <c r="AC1281" i="1"/>
  <c r="AG1281" i="1"/>
  <c r="T1282" i="1"/>
  <c r="Z1282" i="1"/>
  <c r="X1282" i="1"/>
  <c r="Y1282" i="1"/>
  <c r="W1282" i="1"/>
  <c r="S1283" i="1"/>
  <c r="U1282" i="1"/>
  <c r="V1282" i="1" s="1"/>
  <c r="AC1282" i="1" l="1"/>
  <c r="AG1282" i="1"/>
  <c r="AB1282" i="1"/>
  <c r="AF1282" i="1"/>
  <c r="T1283" i="1"/>
  <c r="Y1283" i="1"/>
  <c r="Z1283" i="1"/>
  <c r="U1283" i="1"/>
  <c r="V1283" i="1" s="1"/>
  <c r="X1283" i="1"/>
  <c r="S1284" i="1"/>
  <c r="W1283" i="1"/>
  <c r="AD1282" i="1"/>
  <c r="AH1282" i="1"/>
  <c r="AA1282" i="1"/>
  <c r="AE1282" i="1"/>
  <c r="AE1283" i="1" l="1"/>
  <c r="AA1283" i="1"/>
  <c r="AH1283" i="1"/>
  <c r="AD1283" i="1"/>
  <c r="T1284" i="1"/>
  <c r="W1284" i="1"/>
  <c r="U1284" i="1"/>
  <c r="V1284" i="1" s="1"/>
  <c r="Z1284" i="1"/>
  <c r="X1284" i="1"/>
  <c r="S1285" i="1"/>
  <c r="Y1284" i="1"/>
  <c r="AG1283" i="1"/>
  <c r="AC1283" i="1"/>
  <c r="AF1283" i="1"/>
  <c r="AB1283" i="1"/>
  <c r="AH1284" i="1" l="1"/>
  <c r="AD1284" i="1"/>
  <c r="T1285" i="1"/>
  <c r="Y1285" i="1"/>
  <c r="Z1285" i="1"/>
  <c r="U1285" i="1"/>
  <c r="V1285" i="1" s="1"/>
  <c r="W1285" i="1"/>
  <c r="X1285" i="1"/>
  <c r="S1286" i="1"/>
  <c r="AA1284" i="1"/>
  <c r="AE1284" i="1"/>
  <c r="AG1284" i="1"/>
  <c r="AC1284" i="1"/>
  <c r="AF1284" i="1"/>
  <c r="AB1284" i="1"/>
  <c r="AB1285" i="1" l="1"/>
  <c r="AF1285" i="1"/>
  <c r="AG1285" i="1"/>
  <c r="AC1285" i="1"/>
  <c r="AA1285" i="1"/>
  <c r="AE1285" i="1"/>
  <c r="T1286" i="1"/>
  <c r="X1286" i="1"/>
  <c r="W1286" i="1"/>
  <c r="U1286" i="1"/>
  <c r="V1286" i="1" s="1"/>
  <c r="Z1286" i="1"/>
  <c r="S1287" i="1"/>
  <c r="Y1286" i="1"/>
  <c r="AH1285" i="1"/>
  <c r="AD1285" i="1"/>
  <c r="T1287" i="1" l="1"/>
  <c r="Y1287" i="1"/>
  <c r="Z1287" i="1"/>
  <c r="S1288" i="1"/>
  <c r="W1287" i="1"/>
  <c r="U1287" i="1"/>
  <c r="V1287" i="1" s="1"/>
  <c r="X1287" i="1"/>
  <c r="AF1286" i="1"/>
  <c r="AB1286" i="1"/>
  <c r="AD1286" i="1"/>
  <c r="AH1286" i="1"/>
  <c r="AG1286" i="1"/>
  <c r="AC1286" i="1"/>
  <c r="AA1286" i="1"/>
  <c r="AE1286" i="1"/>
  <c r="T1288" i="1" l="1"/>
  <c r="Z1288" i="1"/>
  <c r="X1288" i="1"/>
  <c r="S1289" i="1"/>
  <c r="W1288" i="1"/>
  <c r="Y1288" i="1"/>
  <c r="U1288" i="1"/>
  <c r="V1288" i="1" s="1"/>
  <c r="AB1287" i="1"/>
  <c r="AF1287" i="1"/>
  <c r="AH1287" i="1"/>
  <c r="AD1287" i="1"/>
  <c r="AG1287" i="1"/>
  <c r="AC1287" i="1"/>
  <c r="AA1287" i="1"/>
  <c r="AE1287" i="1"/>
  <c r="T1289" i="1" l="1"/>
  <c r="Y1289" i="1"/>
  <c r="Z1289" i="1"/>
  <c r="U1289" i="1"/>
  <c r="V1289" i="1" s="1"/>
  <c r="X1289" i="1"/>
  <c r="W1289" i="1"/>
  <c r="S1290" i="1"/>
  <c r="AB1288" i="1"/>
  <c r="AF1288" i="1"/>
  <c r="AG1288" i="1"/>
  <c r="AC1288" i="1"/>
  <c r="AD1288" i="1"/>
  <c r="AH1288" i="1"/>
  <c r="AA1288" i="1"/>
  <c r="AE1288" i="1"/>
  <c r="T1290" i="1" l="1"/>
  <c r="S1291" i="1"/>
  <c r="Y1290" i="1"/>
  <c r="W1290" i="1"/>
  <c r="U1290" i="1"/>
  <c r="V1290" i="1" s="1"/>
  <c r="Z1290" i="1"/>
  <c r="X1290" i="1"/>
  <c r="AH1289" i="1"/>
  <c r="AD1289" i="1"/>
  <c r="AA1289" i="1"/>
  <c r="AE1289" i="1"/>
  <c r="AG1289" i="1"/>
  <c r="AC1289" i="1"/>
  <c r="AF1289" i="1"/>
  <c r="AB1289" i="1"/>
  <c r="AA1290" i="1" l="1"/>
  <c r="AE1290" i="1"/>
  <c r="AF1290" i="1"/>
  <c r="AB1290" i="1"/>
  <c r="AC1290" i="1"/>
  <c r="AG1290" i="1"/>
  <c r="AD1290" i="1"/>
  <c r="AH1290" i="1"/>
  <c r="T1291" i="1"/>
  <c r="X1291" i="1"/>
  <c r="S1292" i="1"/>
  <c r="W1291" i="1"/>
  <c r="Z1291" i="1"/>
  <c r="U1291" i="1"/>
  <c r="V1291" i="1" s="1"/>
  <c r="Y1291" i="1"/>
  <c r="AE1291" i="1" l="1"/>
  <c r="AA1291" i="1"/>
  <c r="T1292" i="1"/>
  <c r="Z1292" i="1"/>
  <c r="Y1292" i="1"/>
  <c r="W1292" i="1"/>
  <c r="U1292" i="1"/>
  <c r="V1292" i="1" s="1"/>
  <c r="X1292" i="1"/>
  <c r="S1293" i="1"/>
  <c r="AF1291" i="1"/>
  <c r="AB1291" i="1"/>
  <c r="AG1291" i="1"/>
  <c r="AC1291" i="1"/>
  <c r="AD1291" i="1"/>
  <c r="AH1291" i="1"/>
  <c r="AB1292" i="1" l="1"/>
  <c r="AF1292" i="1"/>
  <c r="AD1292" i="1"/>
  <c r="AH1292" i="1"/>
  <c r="AA1292" i="1"/>
  <c r="AE1292" i="1"/>
  <c r="T1293" i="1"/>
  <c r="Y1293" i="1"/>
  <c r="Z1293" i="1"/>
  <c r="U1293" i="1"/>
  <c r="V1293" i="1" s="1"/>
  <c r="S1294" i="1"/>
  <c r="W1293" i="1"/>
  <c r="X1293" i="1"/>
  <c r="AG1292" i="1"/>
  <c r="AC1292" i="1"/>
  <c r="AB1293" i="1" l="1"/>
  <c r="AF1293" i="1"/>
  <c r="AE1293" i="1"/>
  <c r="AA1293" i="1"/>
  <c r="AC1293" i="1"/>
  <c r="AG1293" i="1"/>
  <c r="T1294" i="1"/>
  <c r="X1294" i="1"/>
  <c r="S1295" i="1"/>
  <c r="Y1294" i="1"/>
  <c r="W1294" i="1"/>
  <c r="U1294" i="1"/>
  <c r="V1294" i="1" s="1"/>
  <c r="Z1294" i="1"/>
  <c r="AD1293" i="1"/>
  <c r="AH1293" i="1"/>
  <c r="AB1294" i="1" l="1"/>
  <c r="AF1294" i="1"/>
  <c r="AE1294" i="1"/>
  <c r="AA1294" i="1"/>
  <c r="AC1294" i="1"/>
  <c r="AG1294" i="1"/>
  <c r="AD1294" i="1"/>
  <c r="AH1294" i="1"/>
  <c r="T1295" i="1"/>
  <c r="Y1295" i="1"/>
  <c r="X1295" i="1"/>
  <c r="S1296" i="1"/>
  <c r="W1295" i="1"/>
  <c r="Z1295" i="1"/>
  <c r="U1295" i="1"/>
  <c r="V1295" i="1" s="1"/>
  <c r="T1296" i="1" l="1"/>
  <c r="Z1296" i="1"/>
  <c r="X1296" i="1"/>
  <c r="Y1296" i="1"/>
  <c r="W1296" i="1"/>
  <c r="S1297" i="1"/>
  <c r="U1296" i="1"/>
  <c r="V1296" i="1" s="1"/>
  <c r="AB1295" i="1"/>
  <c r="AF1295" i="1"/>
  <c r="AC1295" i="1"/>
  <c r="AG1295" i="1"/>
  <c r="AD1295" i="1"/>
  <c r="AH1295" i="1"/>
  <c r="AA1295" i="1"/>
  <c r="AE1295" i="1"/>
  <c r="AG1296" i="1" l="1"/>
  <c r="AC1296" i="1"/>
  <c r="AB1296" i="1"/>
  <c r="AF1296" i="1"/>
  <c r="T1297" i="1"/>
  <c r="Y1297" i="1"/>
  <c r="Z1297" i="1"/>
  <c r="U1297" i="1"/>
  <c r="V1297" i="1" s="1"/>
  <c r="X1297" i="1"/>
  <c r="S1298" i="1"/>
  <c r="W1297" i="1"/>
  <c r="AD1296" i="1"/>
  <c r="AH1296" i="1"/>
  <c r="AA1296" i="1"/>
  <c r="AE1296" i="1"/>
  <c r="AE1297" i="1" l="1"/>
  <c r="AA1297" i="1"/>
  <c r="AD1297" i="1"/>
  <c r="AH1297" i="1"/>
  <c r="T1298" i="1"/>
  <c r="Z1298" i="1"/>
  <c r="X1298" i="1"/>
  <c r="S1299" i="1"/>
  <c r="Y1298" i="1"/>
  <c r="W1298" i="1"/>
  <c r="U1298" i="1"/>
  <c r="V1298" i="1" s="1"/>
  <c r="AC1297" i="1"/>
  <c r="AG1297" i="1"/>
  <c r="AF1297" i="1"/>
  <c r="AB1297" i="1"/>
  <c r="T1299" i="1" l="1"/>
  <c r="Y1299" i="1"/>
  <c r="Z1299" i="1"/>
  <c r="W1299" i="1"/>
  <c r="U1299" i="1"/>
  <c r="V1299" i="1" s="1"/>
  <c r="X1299" i="1"/>
  <c r="S1300" i="1"/>
  <c r="AF1298" i="1"/>
  <c r="AB1298" i="1"/>
  <c r="AA1298" i="1"/>
  <c r="AE1298" i="1"/>
  <c r="AH1298" i="1"/>
  <c r="AD1298" i="1"/>
  <c r="AG1298" i="1"/>
  <c r="AC1298" i="1"/>
  <c r="AE1299" i="1" l="1"/>
  <c r="AA1299" i="1"/>
  <c r="T1300" i="1"/>
  <c r="Z1300" i="1"/>
  <c r="X1300" i="1"/>
  <c r="S1301" i="1"/>
  <c r="Y1300" i="1"/>
  <c r="U1300" i="1"/>
  <c r="V1300" i="1" s="1"/>
  <c r="W1300" i="1"/>
  <c r="AD1299" i="1"/>
  <c r="AH1299" i="1"/>
  <c r="AF1299" i="1"/>
  <c r="AB1299" i="1"/>
  <c r="AC1299" i="1"/>
  <c r="AG1299" i="1"/>
  <c r="AH1300" i="1" l="1"/>
  <c r="AD1300" i="1"/>
  <c r="AC1300" i="1"/>
  <c r="AG1300" i="1"/>
  <c r="T1301" i="1"/>
  <c r="Y1301" i="1"/>
  <c r="U1301" i="1"/>
  <c r="V1301" i="1" s="1"/>
  <c r="X1301" i="1"/>
  <c r="S1302" i="1"/>
  <c r="W1301" i="1"/>
  <c r="Z1301" i="1"/>
  <c r="AE1300" i="1"/>
  <c r="AA1300" i="1"/>
  <c r="AF1300" i="1"/>
  <c r="AB1300" i="1"/>
  <c r="AF1301" i="1" l="1"/>
  <c r="AB1301" i="1"/>
  <c r="AD1301" i="1"/>
  <c r="AH1301" i="1"/>
  <c r="AA1301" i="1"/>
  <c r="AE1301" i="1"/>
  <c r="AC1301" i="1"/>
  <c r="AG1301" i="1"/>
  <c r="T1302" i="1"/>
  <c r="Z1302" i="1"/>
  <c r="X1302" i="1"/>
  <c r="S1303" i="1"/>
  <c r="U1302" i="1"/>
  <c r="V1302" i="1" s="1"/>
  <c r="Y1302" i="1"/>
  <c r="W1302" i="1"/>
  <c r="T1303" i="1" l="1"/>
  <c r="Y1303" i="1"/>
  <c r="Z1303" i="1"/>
  <c r="W1303" i="1"/>
  <c r="U1303" i="1"/>
  <c r="V1303" i="1" s="1"/>
  <c r="X1303" i="1"/>
  <c r="S1304" i="1"/>
  <c r="AB1302" i="1"/>
  <c r="AF1302" i="1"/>
  <c r="AA1302" i="1"/>
  <c r="AE1302" i="1"/>
  <c r="AG1302" i="1"/>
  <c r="AC1302" i="1"/>
  <c r="AD1302" i="1"/>
  <c r="AH1302" i="1"/>
  <c r="AA1303" i="1" l="1"/>
  <c r="AE1303" i="1"/>
  <c r="T1304" i="1"/>
  <c r="Z1304" i="1"/>
  <c r="X1304" i="1"/>
  <c r="Y1304" i="1"/>
  <c r="W1304" i="1"/>
  <c r="S1305" i="1"/>
  <c r="U1304" i="1"/>
  <c r="V1304" i="1" s="1"/>
  <c r="AD1303" i="1"/>
  <c r="AH1303" i="1"/>
  <c r="AB1303" i="1"/>
  <c r="AF1303" i="1"/>
  <c r="AC1303" i="1"/>
  <c r="AG1303" i="1"/>
  <c r="T1305" i="1" l="1"/>
  <c r="U1305" i="1"/>
  <c r="V1305" i="1" s="1"/>
  <c r="X1305" i="1"/>
  <c r="S1306" i="1"/>
  <c r="W1305" i="1"/>
  <c r="Y1305" i="1"/>
  <c r="Z1305" i="1"/>
  <c r="AH1304" i="1"/>
  <c r="AD1304" i="1"/>
  <c r="AE1304" i="1"/>
  <c r="AA1304" i="1"/>
  <c r="AG1304" i="1"/>
  <c r="AC1304" i="1"/>
  <c r="AB1304" i="1"/>
  <c r="AF1304" i="1"/>
  <c r="T1306" i="1" l="1"/>
  <c r="Z1306" i="1"/>
  <c r="X1306" i="1"/>
  <c r="Y1306" i="1"/>
  <c r="W1306" i="1"/>
  <c r="S1307" i="1"/>
  <c r="U1306" i="1"/>
  <c r="V1306" i="1" s="1"/>
  <c r="AD1305" i="1"/>
  <c r="AH1305" i="1"/>
  <c r="AB1305" i="1"/>
  <c r="AF1305" i="1"/>
  <c r="AG1305" i="1"/>
  <c r="AC1305" i="1"/>
  <c r="AA1305" i="1"/>
  <c r="AE1305" i="1"/>
  <c r="AC1306" i="1" l="1"/>
  <c r="AG1306" i="1"/>
  <c r="AF1306" i="1"/>
  <c r="AB1306" i="1"/>
  <c r="T1307" i="1"/>
  <c r="Y1307" i="1"/>
  <c r="Z1307" i="1"/>
  <c r="U1307" i="1"/>
  <c r="V1307" i="1" s="1"/>
  <c r="X1307" i="1"/>
  <c r="W1307" i="1"/>
  <c r="S1308" i="1"/>
  <c r="AD1306" i="1"/>
  <c r="AH1306" i="1"/>
  <c r="AA1306" i="1"/>
  <c r="AE1306" i="1"/>
  <c r="T1308" i="1" l="1"/>
  <c r="X1308" i="1"/>
  <c r="Y1308" i="1"/>
  <c r="W1308" i="1"/>
  <c r="U1308" i="1"/>
  <c r="V1308" i="1" s="1"/>
  <c r="Z1308" i="1"/>
  <c r="S1309" i="1"/>
  <c r="AD1307" i="1"/>
  <c r="AH1307" i="1"/>
  <c r="AA1307" i="1"/>
  <c r="AE1307" i="1"/>
  <c r="AG1307" i="1"/>
  <c r="AC1307" i="1"/>
  <c r="AF1307" i="1"/>
  <c r="AB1307" i="1"/>
  <c r="AA1308" i="1" l="1"/>
  <c r="AE1308" i="1"/>
  <c r="T1309" i="1"/>
  <c r="X1309" i="1"/>
  <c r="Y1309" i="1"/>
  <c r="Z1309" i="1"/>
  <c r="S1310" i="1"/>
  <c r="W1309" i="1"/>
  <c r="U1309" i="1"/>
  <c r="V1309" i="1" s="1"/>
  <c r="AC1308" i="1"/>
  <c r="AG1308" i="1"/>
  <c r="AD1308" i="1"/>
  <c r="AH1308" i="1"/>
  <c r="AF1308" i="1"/>
  <c r="AB1308" i="1"/>
  <c r="AA1309" i="1" l="1"/>
  <c r="AE1309" i="1"/>
  <c r="AB1309" i="1"/>
  <c r="AF1309" i="1"/>
  <c r="T1310" i="1"/>
  <c r="Z1310" i="1"/>
  <c r="X1310" i="1"/>
  <c r="S1311" i="1"/>
  <c r="Y1310" i="1"/>
  <c r="W1310" i="1"/>
  <c r="U1310" i="1"/>
  <c r="V1310" i="1" s="1"/>
  <c r="AD1309" i="1"/>
  <c r="AH1309" i="1"/>
  <c r="AC1309" i="1"/>
  <c r="AG1309" i="1"/>
  <c r="T1311" i="1" l="1"/>
  <c r="X1311" i="1"/>
  <c r="S1312" i="1"/>
  <c r="W1311" i="1"/>
  <c r="Y1311" i="1"/>
  <c r="Z1311" i="1"/>
  <c r="U1311" i="1"/>
  <c r="V1311" i="1" s="1"/>
  <c r="AF1310" i="1"/>
  <c r="AB1310" i="1"/>
  <c r="AA1310" i="1"/>
  <c r="AE1310" i="1"/>
  <c r="AH1310" i="1"/>
  <c r="AD1310" i="1"/>
  <c r="AC1310" i="1"/>
  <c r="AG1310" i="1"/>
  <c r="AE1311" i="1" l="1"/>
  <c r="AA1311" i="1"/>
  <c r="T1312" i="1"/>
  <c r="W1312" i="1"/>
  <c r="X1312" i="1"/>
  <c r="S1313" i="1"/>
  <c r="Z1312" i="1"/>
  <c r="Y1312" i="1"/>
  <c r="U1312" i="1"/>
  <c r="V1312" i="1" s="1"/>
  <c r="AD1311" i="1"/>
  <c r="AH1311" i="1"/>
  <c r="AB1311" i="1"/>
  <c r="AF1311" i="1"/>
  <c r="AC1311" i="1"/>
  <c r="AG1311" i="1"/>
  <c r="AG1312" i="1" l="1"/>
  <c r="AC1312" i="1"/>
  <c r="AE1312" i="1"/>
  <c r="AA1312" i="1"/>
  <c r="AH1312" i="1"/>
  <c r="AD1312" i="1"/>
  <c r="T1313" i="1"/>
  <c r="Y1313" i="1"/>
  <c r="Z1313" i="1"/>
  <c r="X1313" i="1"/>
  <c r="W1313" i="1"/>
  <c r="U1313" i="1"/>
  <c r="V1313" i="1" s="1"/>
  <c r="S1314" i="1"/>
  <c r="AF1312" i="1"/>
  <c r="AB1312" i="1"/>
  <c r="AG1313" i="1" l="1"/>
  <c r="AC1313" i="1"/>
  <c r="AA1313" i="1"/>
  <c r="AE1313" i="1"/>
  <c r="AF1313" i="1"/>
  <c r="AB1313" i="1"/>
  <c r="T1314" i="1"/>
  <c r="Z1314" i="1"/>
  <c r="W1314" i="1"/>
  <c r="U1314" i="1"/>
  <c r="V1314" i="1" s="1"/>
  <c r="S1315" i="1"/>
  <c r="X1314" i="1"/>
  <c r="Y1314" i="1"/>
  <c r="AH1313" i="1"/>
  <c r="AD1313" i="1"/>
  <c r="AF1314" i="1" l="1"/>
  <c r="AB1314" i="1"/>
  <c r="AD1314" i="1"/>
  <c r="AH1314" i="1"/>
  <c r="T1315" i="1"/>
  <c r="Y1315" i="1"/>
  <c r="W1315" i="1"/>
  <c r="Z1315" i="1"/>
  <c r="U1315" i="1"/>
  <c r="V1315" i="1" s="1"/>
  <c r="X1315" i="1"/>
  <c r="S1316" i="1"/>
  <c r="AG1314" i="1"/>
  <c r="AC1314" i="1"/>
  <c r="AA1314" i="1"/>
  <c r="AE1314" i="1"/>
  <c r="AH1315" i="1" l="1"/>
  <c r="AD1315" i="1"/>
  <c r="AE1315" i="1"/>
  <c r="AA1315" i="1"/>
  <c r="T1316" i="1"/>
  <c r="Y1316" i="1"/>
  <c r="W1316" i="1"/>
  <c r="U1316" i="1"/>
  <c r="V1316" i="1" s="1"/>
  <c r="Z1316" i="1"/>
  <c r="S1317" i="1"/>
  <c r="X1316" i="1"/>
  <c r="AB1315" i="1"/>
  <c r="AF1315" i="1"/>
  <c r="AG1315" i="1"/>
  <c r="AC1315" i="1"/>
  <c r="AF1316" i="1" l="1"/>
  <c r="AB1316" i="1"/>
  <c r="AE1316" i="1"/>
  <c r="AA1316" i="1"/>
  <c r="T1317" i="1"/>
  <c r="Z1317" i="1"/>
  <c r="X1317" i="1"/>
  <c r="S1318" i="1"/>
  <c r="W1317" i="1"/>
  <c r="U1317" i="1"/>
  <c r="V1317" i="1" s="1"/>
  <c r="Y1317" i="1"/>
  <c r="AC1316" i="1"/>
  <c r="AG1316" i="1"/>
  <c r="AH1316" i="1"/>
  <c r="AD1316" i="1"/>
  <c r="T1318" i="1" l="1"/>
  <c r="X1318" i="1"/>
  <c r="S1319" i="1"/>
  <c r="W1318" i="1"/>
  <c r="Z1318" i="1"/>
  <c r="Y1318" i="1"/>
  <c r="U1318" i="1"/>
  <c r="V1318" i="1" s="1"/>
  <c r="AC1317" i="1"/>
  <c r="AG1317" i="1"/>
  <c r="AF1317" i="1"/>
  <c r="AB1317" i="1"/>
  <c r="AH1317" i="1"/>
  <c r="AD1317" i="1"/>
  <c r="AA1317" i="1"/>
  <c r="AE1317" i="1"/>
  <c r="AA1318" i="1" l="1"/>
  <c r="AE1318" i="1"/>
  <c r="T1319" i="1"/>
  <c r="S1320" i="1"/>
  <c r="X1319" i="1"/>
  <c r="Z1319" i="1"/>
  <c r="U1319" i="1"/>
  <c r="V1319" i="1" s="1"/>
  <c r="W1319" i="1"/>
  <c r="Y1319" i="1"/>
  <c r="AC1318" i="1"/>
  <c r="AG1318" i="1"/>
  <c r="AF1318" i="1"/>
  <c r="AB1318" i="1"/>
  <c r="AH1318" i="1"/>
  <c r="AD1318" i="1"/>
  <c r="AE1319" i="1" l="1"/>
  <c r="AA1319" i="1"/>
  <c r="T1320" i="1"/>
  <c r="Y1320" i="1"/>
  <c r="Z1320" i="1"/>
  <c r="U1320" i="1"/>
  <c r="V1320" i="1" s="1"/>
  <c r="S1321" i="1"/>
  <c r="W1320" i="1"/>
  <c r="X1320" i="1"/>
  <c r="AD1319" i="1"/>
  <c r="AH1319" i="1"/>
  <c r="AG1319" i="1"/>
  <c r="AC1319" i="1"/>
  <c r="AF1319" i="1"/>
  <c r="AB1319" i="1"/>
  <c r="AE1320" i="1" l="1"/>
  <c r="AA1320" i="1"/>
  <c r="AC1320" i="1"/>
  <c r="AG1320" i="1"/>
  <c r="T1321" i="1"/>
  <c r="Z1321" i="1"/>
  <c r="U1321" i="1"/>
  <c r="V1321" i="1" s="1"/>
  <c r="Y1321" i="1"/>
  <c r="S1322" i="1"/>
  <c r="W1321" i="1"/>
  <c r="X1321" i="1"/>
  <c r="AF1320" i="1"/>
  <c r="AB1320" i="1"/>
  <c r="AH1320" i="1"/>
  <c r="AD1320" i="1"/>
  <c r="AC1321" i="1" l="1"/>
  <c r="AG1321" i="1"/>
  <c r="AB1321" i="1"/>
  <c r="AF1321" i="1"/>
  <c r="AA1321" i="1"/>
  <c r="AE1321" i="1"/>
  <c r="AD1321" i="1"/>
  <c r="AH1321" i="1"/>
  <c r="T1322" i="1"/>
  <c r="X1322" i="1"/>
  <c r="S1323" i="1"/>
  <c r="Y1322" i="1"/>
  <c r="W1322" i="1"/>
  <c r="U1322" i="1"/>
  <c r="V1322" i="1" s="1"/>
  <c r="Z1322" i="1"/>
  <c r="AD1322" i="1" l="1"/>
  <c r="AH1322" i="1"/>
  <c r="AC1322" i="1"/>
  <c r="AG1322" i="1"/>
  <c r="T1323" i="1"/>
  <c r="Y1323" i="1"/>
  <c r="W1323" i="1"/>
  <c r="X1323" i="1"/>
  <c r="Z1323" i="1"/>
  <c r="U1323" i="1"/>
  <c r="V1323" i="1" s="1"/>
  <c r="S1324" i="1"/>
  <c r="AF1322" i="1"/>
  <c r="AB1322" i="1"/>
  <c r="AE1322" i="1"/>
  <c r="AA1322" i="1"/>
  <c r="AB1323" i="1" l="1"/>
  <c r="AF1323" i="1"/>
  <c r="T1324" i="1"/>
  <c r="W1324" i="1"/>
  <c r="Y1324" i="1"/>
  <c r="Z1324" i="1"/>
  <c r="U1324" i="1"/>
  <c r="V1324" i="1" s="1"/>
  <c r="X1324" i="1"/>
  <c r="S1325" i="1"/>
  <c r="AE1323" i="1"/>
  <c r="AA1323" i="1"/>
  <c r="AC1323" i="1"/>
  <c r="AG1323" i="1"/>
  <c r="AH1323" i="1"/>
  <c r="AD1323" i="1"/>
  <c r="AB1324" i="1" l="1"/>
  <c r="AF1324" i="1"/>
  <c r="AE1324" i="1"/>
  <c r="AA1324" i="1"/>
  <c r="AH1324" i="1"/>
  <c r="AD1324" i="1"/>
  <c r="T1325" i="1"/>
  <c r="Z1325" i="1"/>
  <c r="U1325" i="1"/>
  <c r="V1325" i="1" s="1"/>
  <c r="X1325" i="1"/>
  <c r="Y1325" i="1"/>
  <c r="S1326" i="1"/>
  <c r="W1325" i="1"/>
  <c r="AG1324" i="1"/>
  <c r="AC1324" i="1"/>
  <c r="T1326" i="1" l="1"/>
  <c r="X1326" i="1"/>
  <c r="Y1326" i="1"/>
  <c r="S1327" i="1"/>
  <c r="W1326" i="1"/>
  <c r="Z1326" i="1"/>
  <c r="U1326" i="1"/>
  <c r="V1326" i="1" s="1"/>
  <c r="AD1325" i="1"/>
  <c r="AH1325" i="1"/>
  <c r="AC1325" i="1"/>
  <c r="AG1325" i="1"/>
  <c r="AF1325" i="1"/>
  <c r="AB1325" i="1"/>
  <c r="AE1325" i="1"/>
  <c r="AA1325" i="1"/>
  <c r="T1327" i="1" l="1"/>
  <c r="S1328" i="1"/>
  <c r="W1327" i="1"/>
  <c r="X1327" i="1"/>
  <c r="Z1327" i="1"/>
  <c r="U1327" i="1"/>
  <c r="V1327" i="1" s="1"/>
  <c r="Y1327" i="1"/>
  <c r="AG1326" i="1"/>
  <c r="AC1326" i="1"/>
  <c r="AH1326" i="1"/>
  <c r="AD1326" i="1"/>
  <c r="AB1326" i="1"/>
  <c r="AF1326" i="1"/>
  <c r="AA1326" i="1"/>
  <c r="AE1326" i="1"/>
  <c r="AF1327" i="1" l="1"/>
  <c r="AB1327" i="1"/>
  <c r="AG1327" i="1"/>
  <c r="AC1327" i="1"/>
  <c r="AE1327" i="1"/>
  <c r="AA1327" i="1"/>
  <c r="T1328" i="1"/>
  <c r="Y1328" i="1"/>
  <c r="Z1328" i="1"/>
  <c r="S1329" i="1"/>
  <c r="U1328" i="1"/>
  <c r="V1328" i="1" s="1"/>
  <c r="X1328" i="1"/>
  <c r="W1328" i="1"/>
  <c r="AD1327" i="1"/>
  <c r="AH1327" i="1"/>
  <c r="AB1328" i="1" l="1"/>
  <c r="AF1328" i="1"/>
  <c r="AG1328" i="1"/>
  <c r="AC1328" i="1"/>
  <c r="T1329" i="1"/>
  <c r="Z1329" i="1"/>
  <c r="U1329" i="1"/>
  <c r="V1329" i="1" s="1"/>
  <c r="Y1329" i="1"/>
  <c r="S1330" i="1"/>
  <c r="W1329" i="1"/>
  <c r="X1329" i="1"/>
  <c r="AA1328" i="1"/>
  <c r="AE1328" i="1"/>
  <c r="AD1328" i="1"/>
  <c r="AH1328" i="1"/>
  <c r="AC1329" i="1" l="1"/>
  <c r="AG1329" i="1"/>
  <c r="AB1329" i="1"/>
  <c r="AF1329" i="1"/>
  <c r="AA1329" i="1"/>
  <c r="AE1329" i="1"/>
  <c r="AD1329" i="1"/>
  <c r="AH1329" i="1"/>
  <c r="T1330" i="1"/>
  <c r="X1330" i="1"/>
  <c r="S1331" i="1"/>
  <c r="Y1330" i="1"/>
  <c r="U1330" i="1"/>
  <c r="V1330" i="1" s="1"/>
  <c r="W1330" i="1"/>
  <c r="Z1330" i="1"/>
  <c r="AH1330" i="1" l="1"/>
  <c r="AD1330" i="1"/>
  <c r="AC1330" i="1"/>
  <c r="AG1330" i="1"/>
  <c r="T1331" i="1"/>
  <c r="Y1331" i="1"/>
  <c r="S1332" i="1"/>
  <c r="W1331" i="1"/>
  <c r="X1331" i="1"/>
  <c r="Z1331" i="1"/>
  <c r="U1331" i="1"/>
  <c r="V1331" i="1" s="1"/>
  <c r="AA1330" i="1"/>
  <c r="AE1330" i="1"/>
  <c r="AF1330" i="1"/>
  <c r="AB1330" i="1"/>
  <c r="AE1331" i="1" l="1"/>
  <c r="AA1331" i="1"/>
  <c r="T1332" i="1"/>
  <c r="Y1332" i="1"/>
  <c r="S1333" i="1"/>
  <c r="W1332" i="1"/>
  <c r="Z1332" i="1"/>
  <c r="U1332" i="1"/>
  <c r="V1332" i="1" s="1"/>
  <c r="X1332" i="1"/>
  <c r="AD1331" i="1"/>
  <c r="AH1331" i="1"/>
  <c r="AG1331" i="1"/>
  <c r="AC1331" i="1"/>
  <c r="AB1331" i="1"/>
  <c r="AF1331" i="1"/>
  <c r="AG1332" i="1" l="1"/>
  <c r="AC1332" i="1"/>
  <c r="AD1332" i="1"/>
  <c r="AH1332" i="1"/>
  <c r="AA1332" i="1"/>
  <c r="AE1332" i="1"/>
  <c r="AB1332" i="1"/>
  <c r="AF1332" i="1"/>
  <c r="T1333" i="1"/>
  <c r="W1333" i="1"/>
  <c r="X1333" i="1"/>
  <c r="U1333" i="1"/>
  <c r="V1333" i="1" s="1"/>
  <c r="Y1333" i="1"/>
  <c r="S1334" i="1"/>
  <c r="Z1333" i="1"/>
  <c r="AD1333" i="1" l="1"/>
  <c r="AH1333" i="1"/>
  <c r="AB1333" i="1"/>
  <c r="AF1333" i="1"/>
  <c r="T1334" i="1"/>
  <c r="Y1334" i="1"/>
  <c r="Z1334" i="1"/>
  <c r="X1334" i="1"/>
  <c r="U1334" i="1"/>
  <c r="V1334" i="1" s="1"/>
  <c r="S1335" i="1"/>
  <c r="W1334" i="1"/>
  <c r="AE1333" i="1"/>
  <c r="AA1333" i="1"/>
  <c r="AC1333" i="1"/>
  <c r="AG1333" i="1"/>
  <c r="AF1334" i="1" l="1"/>
  <c r="AB1334" i="1"/>
  <c r="AA1334" i="1"/>
  <c r="AE1334" i="1"/>
  <c r="AH1334" i="1"/>
  <c r="AD1334" i="1"/>
  <c r="T1335" i="1"/>
  <c r="Z1335" i="1"/>
  <c r="U1335" i="1"/>
  <c r="V1335" i="1" s="1"/>
  <c r="S1336" i="1"/>
  <c r="W1335" i="1"/>
  <c r="Y1335" i="1"/>
  <c r="X1335" i="1"/>
  <c r="AG1334" i="1"/>
  <c r="AC1334" i="1"/>
  <c r="AG1335" i="1" l="1"/>
  <c r="AC1335" i="1"/>
  <c r="AD1335" i="1"/>
  <c r="AH1335" i="1"/>
  <c r="AE1335" i="1"/>
  <c r="AA1335" i="1"/>
  <c r="T1336" i="1"/>
  <c r="S1337" i="1"/>
  <c r="Y1336" i="1"/>
  <c r="Z1336" i="1"/>
  <c r="U1336" i="1"/>
  <c r="V1336" i="1" s="1"/>
  <c r="X1336" i="1"/>
  <c r="W1336" i="1"/>
  <c r="AB1335" i="1"/>
  <c r="AF1335" i="1"/>
  <c r="T1337" i="1" l="1"/>
  <c r="U1337" i="1"/>
  <c r="V1337" i="1" s="1"/>
  <c r="Y1337" i="1"/>
  <c r="S1338" i="1"/>
  <c r="W1337" i="1"/>
  <c r="X1337" i="1"/>
  <c r="Z1337" i="1"/>
  <c r="AD1336" i="1"/>
  <c r="AH1336" i="1"/>
  <c r="AF1336" i="1"/>
  <c r="AB1336" i="1"/>
  <c r="AA1336" i="1"/>
  <c r="AE1336" i="1"/>
  <c r="AG1336" i="1"/>
  <c r="AC1336" i="1"/>
  <c r="T1338" i="1" l="1"/>
  <c r="X1338" i="1"/>
  <c r="Y1338" i="1"/>
  <c r="Z1338" i="1"/>
  <c r="S1339" i="1"/>
  <c r="W1338" i="1"/>
  <c r="U1338" i="1"/>
  <c r="V1338" i="1" s="1"/>
  <c r="AD1337" i="1"/>
  <c r="AH1337" i="1"/>
  <c r="AC1337" i="1"/>
  <c r="AG1337" i="1"/>
  <c r="AF1337" i="1"/>
  <c r="AB1337" i="1"/>
  <c r="AA1337" i="1"/>
  <c r="AE1337" i="1"/>
  <c r="AH1338" i="1" l="1"/>
  <c r="AD1338" i="1"/>
  <c r="AG1338" i="1"/>
  <c r="AC1338" i="1"/>
  <c r="AA1338" i="1"/>
  <c r="AE1338" i="1"/>
  <c r="AF1338" i="1"/>
  <c r="AB1338" i="1"/>
  <c r="T1339" i="1"/>
  <c r="Z1339" i="1"/>
  <c r="U1339" i="1"/>
  <c r="V1339" i="1" s="1"/>
  <c r="Y1339" i="1"/>
  <c r="X1339" i="1"/>
  <c r="S1340" i="1"/>
  <c r="W1339" i="1"/>
  <c r="AE1339" i="1" l="1"/>
  <c r="AA1339" i="1"/>
  <c r="AC1339" i="1"/>
  <c r="AG1339" i="1"/>
  <c r="T1340" i="1"/>
  <c r="S1341" i="1"/>
  <c r="W1340" i="1"/>
  <c r="Y1340" i="1"/>
  <c r="Z1340" i="1"/>
  <c r="U1340" i="1"/>
  <c r="V1340" i="1" s="1"/>
  <c r="X1340" i="1"/>
  <c r="AD1339" i="1"/>
  <c r="AH1339" i="1"/>
  <c r="AB1339" i="1"/>
  <c r="AF1339" i="1"/>
  <c r="AG1340" i="1" l="1"/>
  <c r="AC1340" i="1"/>
  <c r="AF1340" i="1"/>
  <c r="AB1340" i="1"/>
  <c r="AA1340" i="1"/>
  <c r="AE1340" i="1"/>
  <c r="T1341" i="1"/>
  <c r="Z1341" i="1"/>
  <c r="S1342" i="1"/>
  <c r="W1341" i="1"/>
  <c r="X1341" i="1"/>
  <c r="U1341" i="1"/>
  <c r="V1341" i="1" s="1"/>
  <c r="Y1341" i="1"/>
  <c r="AH1340" i="1"/>
  <c r="AD1340" i="1"/>
  <c r="AD1341" i="1" l="1"/>
  <c r="AH1341" i="1"/>
  <c r="AB1341" i="1"/>
  <c r="AF1341" i="1"/>
  <c r="AA1341" i="1"/>
  <c r="AE1341" i="1"/>
  <c r="AC1341" i="1"/>
  <c r="AG1341" i="1"/>
  <c r="T1342" i="1"/>
  <c r="X1342" i="1"/>
  <c r="Y1342" i="1"/>
  <c r="Z1342" i="1"/>
  <c r="U1342" i="1"/>
  <c r="V1342" i="1" s="1"/>
  <c r="S1343" i="1"/>
  <c r="W1342" i="1"/>
  <c r="AH1342" i="1" l="1"/>
  <c r="AD1342" i="1"/>
  <c r="AA1342" i="1"/>
  <c r="AE1342" i="1"/>
  <c r="AC1342" i="1"/>
  <c r="AG1342" i="1"/>
  <c r="T1343" i="1"/>
  <c r="Z1343" i="1"/>
  <c r="U1343" i="1"/>
  <c r="V1343" i="1" s="1"/>
  <c r="S1344" i="1"/>
  <c r="Y1343" i="1"/>
  <c r="W1343" i="1"/>
  <c r="X1343" i="1"/>
  <c r="AB1342" i="1"/>
  <c r="AF1342" i="1"/>
  <c r="T1344" i="1" l="1"/>
  <c r="X1344" i="1"/>
  <c r="S1345" i="1"/>
  <c r="W1344" i="1"/>
  <c r="Y1344" i="1"/>
  <c r="Z1344" i="1"/>
  <c r="U1344" i="1"/>
  <c r="V1344" i="1" s="1"/>
  <c r="AA1343" i="1"/>
  <c r="AE1343" i="1"/>
  <c r="AD1343" i="1"/>
  <c r="AH1343" i="1"/>
  <c r="AC1343" i="1"/>
  <c r="AG1343" i="1"/>
  <c r="AB1343" i="1"/>
  <c r="AF1343" i="1"/>
  <c r="AE1344" i="1" l="1"/>
  <c r="AA1344" i="1"/>
  <c r="T1345" i="1"/>
  <c r="W1345" i="1"/>
  <c r="X1345" i="1"/>
  <c r="Z1345" i="1"/>
  <c r="U1345" i="1"/>
  <c r="V1345" i="1" s="1"/>
  <c r="Y1345" i="1"/>
  <c r="S1346" i="1"/>
  <c r="AD1344" i="1"/>
  <c r="AH1344" i="1"/>
  <c r="AF1344" i="1"/>
  <c r="AB1344" i="1"/>
  <c r="AG1344" i="1"/>
  <c r="AC1344" i="1"/>
  <c r="AC1345" i="1" l="1"/>
  <c r="AG1345" i="1"/>
  <c r="AA1345" i="1"/>
  <c r="AE1345" i="1"/>
  <c r="AD1345" i="1"/>
  <c r="AH1345" i="1"/>
  <c r="T1346" i="1"/>
  <c r="X1346" i="1"/>
  <c r="S1347" i="1"/>
  <c r="W1346" i="1"/>
  <c r="Y1346" i="1"/>
  <c r="Z1346" i="1"/>
  <c r="U1346" i="1"/>
  <c r="V1346" i="1" s="1"/>
  <c r="AB1345" i="1"/>
  <c r="AF1345" i="1"/>
  <c r="AD1346" i="1" l="1"/>
  <c r="AH1346" i="1"/>
  <c r="AB1346" i="1"/>
  <c r="AF1346" i="1"/>
  <c r="AC1346" i="1"/>
  <c r="AG1346" i="1"/>
  <c r="AE1346" i="1"/>
  <c r="AA1346" i="1"/>
  <c r="T1347" i="1"/>
  <c r="Z1347" i="1"/>
  <c r="Y1347" i="1"/>
  <c r="S1348" i="1"/>
  <c r="W1347" i="1"/>
  <c r="X1347" i="1"/>
  <c r="U1347" i="1"/>
  <c r="V1347" i="1" s="1"/>
  <c r="T1348" i="1" l="1"/>
  <c r="S1349" i="1"/>
  <c r="W1348" i="1"/>
  <c r="Y1348" i="1"/>
  <c r="U1348" i="1"/>
  <c r="V1348" i="1" s="1"/>
  <c r="X1348" i="1"/>
  <c r="Z1348" i="1"/>
  <c r="AG1347" i="1"/>
  <c r="AC1347" i="1"/>
  <c r="AB1347" i="1"/>
  <c r="AF1347" i="1"/>
  <c r="AH1347" i="1"/>
  <c r="AD1347" i="1"/>
  <c r="AE1347" i="1"/>
  <c r="AA1347" i="1"/>
  <c r="AG1348" i="1" l="1"/>
  <c r="AC1348" i="1"/>
  <c r="AD1348" i="1"/>
  <c r="AH1348" i="1"/>
  <c r="AA1348" i="1"/>
  <c r="AE1348" i="1"/>
  <c r="AF1348" i="1"/>
  <c r="AB1348" i="1"/>
  <c r="T1349" i="1"/>
  <c r="W1349" i="1"/>
  <c r="X1349" i="1"/>
  <c r="Z1349" i="1"/>
  <c r="U1349" i="1"/>
  <c r="V1349" i="1" s="1"/>
  <c r="S1350" i="1"/>
  <c r="Y1349" i="1"/>
  <c r="AD1349" i="1" l="1"/>
  <c r="AH1349" i="1"/>
  <c r="AG1349" i="1"/>
  <c r="AC1349" i="1"/>
  <c r="AF1349" i="1"/>
  <c r="AB1349" i="1"/>
  <c r="T1350" i="1"/>
  <c r="Y1350" i="1"/>
  <c r="Z1350" i="1"/>
  <c r="X1350" i="1"/>
  <c r="S1351" i="1"/>
  <c r="W1350" i="1"/>
  <c r="U1350" i="1"/>
  <c r="V1350" i="1" s="1"/>
  <c r="AE1349" i="1"/>
  <c r="AA1349" i="1"/>
  <c r="AE1350" i="1" l="1"/>
  <c r="AA1350" i="1"/>
  <c r="AG1350" i="1"/>
  <c r="AC1350" i="1"/>
  <c r="T1351" i="1"/>
  <c r="Y1351" i="1"/>
  <c r="W1351" i="1"/>
  <c r="X1351" i="1"/>
  <c r="Z1351" i="1"/>
  <c r="U1351" i="1"/>
  <c r="V1351" i="1" s="1"/>
  <c r="S1352" i="1"/>
  <c r="AF1350" i="1"/>
  <c r="AB1350" i="1"/>
  <c r="AD1350" i="1"/>
  <c r="AH1350" i="1"/>
  <c r="AB1351" i="1" l="1"/>
  <c r="AF1351" i="1"/>
  <c r="T1352" i="1"/>
  <c r="X1352" i="1"/>
  <c r="S1353" i="1"/>
  <c r="W1352" i="1"/>
  <c r="Z1352" i="1"/>
  <c r="U1352" i="1"/>
  <c r="V1352" i="1" s="1"/>
  <c r="Y1352" i="1"/>
  <c r="AE1351" i="1"/>
  <c r="AA1351" i="1"/>
  <c r="AC1351" i="1"/>
  <c r="AG1351" i="1"/>
  <c r="AD1351" i="1"/>
  <c r="AH1351" i="1"/>
  <c r="AB1352" i="1" l="1"/>
  <c r="AF1352" i="1"/>
  <c r="AH1352" i="1"/>
  <c r="AD1352" i="1"/>
  <c r="AE1352" i="1"/>
  <c r="AA1352" i="1"/>
  <c r="AC1352" i="1"/>
  <c r="AG1352" i="1"/>
  <c r="T1353" i="1"/>
  <c r="Z1353" i="1"/>
  <c r="U1353" i="1"/>
  <c r="V1353" i="1" s="1"/>
  <c r="S1354" i="1"/>
  <c r="W1353" i="1"/>
  <c r="X1353" i="1"/>
  <c r="Y1353" i="1"/>
  <c r="T1354" i="1" l="1"/>
  <c r="X1354" i="1"/>
  <c r="W1354" i="1"/>
  <c r="Y1354" i="1"/>
  <c r="Z1354" i="1"/>
  <c r="S1355" i="1"/>
  <c r="U1354" i="1"/>
  <c r="V1354" i="1" s="1"/>
  <c r="AB1353" i="1"/>
  <c r="AF1353" i="1"/>
  <c r="AD1353" i="1"/>
  <c r="AH1353" i="1"/>
  <c r="AC1353" i="1"/>
  <c r="AG1353" i="1"/>
  <c r="AA1353" i="1"/>
  <c r="AE1353" i="1"/>
  <c r="AG1354" i="1" l="1"/>
  <c r="AC1354" i="1"/>
  <c r="AE1354" i="1"/>
  <c r="AA1354" i="1"/>
  <c r="T1355" i="1"/>
  <c r="Z1355" i="1"/>
  <c r="U1355" i="1"/>
  <c r="V1355" i="1" s="1"/>
  <c r="X1355" i="1"/>
  <c r="S1356" i="1"/>
  <c r="Y1355" i="1"/>
  <c r="W1355" i="1"/>
  <c r="AB1354" i="1"/>
  <c r="AF1354" i="1"/>
  <c r="AH1354" i="1"/>
  <c r="AD1354" i="1"/>
  <c r="AB1355" i="1" l="1"/>
  <c r="AF1355" i="1"/>
  <c r="AA1355" i="1"/>
  <c r="AE1355" i="1"/>
  <c r="AG1355" i="1"/>
  <c r="AC1355" i="1"/>
  <c r="AD1355" i="1"/>
  <c r="AH1355" i="1"/>
  <c r="T1356" i="1"/>
  <c r="S1357" i="1"/>
  <c r="W1356" i="1"/>
  <c r="Z1356" i="1"/>
  <c r="X1356" i="1"/>
  <c r="Y1356" i="1"/>
  <c r="U1356" i="1"/>
  <c r="V1356" i="1" s="1"/>
  <c r="AG1356" i="1" l="1"/>
  <c r="AC1356" i="1"/>
  <c r="AD1356" i="1"/>
  <c r="AH1356" i="1"/>
  <c r="AE1356" i="1"/>
  <c r="AA1356" i="1"/>
  <c r="T1357" i="1"/>
  <c r="Z1357" i="1"/>
  <c r="X1357" i="1"/>
  <c r="Y1357" i="1"/>
  <c r="W1357" i="1"/>
  <c r="U1357" i="1"/>
  <c r="V1357" i="1" s="1"/>
  <c r="S1358" i="1"/>
  <c r="AF1356" i="1"/>
  <c r="AB1356" i="1"/>
  <c r="AH1357" i="1" l="1"/>
  <c r="AD1357" i="1"/>
  <c r="AE1357" i="1"/>
  <c r="AA1357" i="1"/>
  <c r="AC1357" i="1"/>
  <c r="AG1357" i="1"/>
  <c r="T1358" i="1"/>
  <c r="Z1358" i="1"/>
  <c r="S1359" i="1"/>
  <c r="W1358" i="1"/>
  <c r="Y1358" i="1"/>
  <c r="U1358" i="1"/>
  <c r="V1358" i="1" s="1"/>
  <c r="X1358" i="1"/>
  <c r="AF1357" i="1"/>
  <c r="AB1357" i="1"/>
  <c r="T1359" i="1" l="1"/>
  <c r="W1359" i="1"/>
  <c r="U1359" i="1"/>
  <c r="V1359" i="1" s="1"/>
  <c r="Z1359" i="1"/>
  <c r="S1360" i="1"/>
  <c r="X1359" i="1"/>
  <c r="Y1359" i="1"/>
  <c r="AH1358" i="1"/>
  <c r="AD1358" i="1"/>
  <c r="AC1358" i="1"/>
  <c r="AG1358" i="1"/>
  <c r="AE1358" i="1"/>
  <c r="AA1358" i="1"/>
  <c r="AB1358" i="1"/>
  <c r="AF1358" i="1"/>
  <c r="AD1359" i="1" l="1"/>
  <c r="AH1359" i="1"/>
  <c r="AC1359" i="1"/>
  <c r="AG1359" i="1"/>
  <c r="AF1359" i="1"/>
  <c r="AB1359" i="1"/>
  <c r="AE1359" i="1"/>
  <c r="AA1359" i="1"/>
  <c r="T1360" i="1"/>
  <c r="Z1360" i="1"/>
  <c r="X1360" i="1"/>
  <c r="S1361" i="1"/>
  <c r="W1360" i="1"/>
  <c r="Y1360" i="1"/>
  <c r="U1360" i="1"/>
  <c r="V1360" i="1" s="1"/>
  <c r="T1361" i="1" l="1"/>
  <c r="W1361" i="1"/>
  <c r="Z1361" i="1"/>
  <c r="S1362" i="1"/>
  <c r="X1361" i="1"/>
  <c r="Y1361" i="1"/>
  <c r="U1361" i="1"/>
  <c r="V1361" i="1" s="1"/>
  <c r="AF1360" i="1"/>
  <c r="AB1360" i="1"/>
  <c r="AC1360" i="1"/>
  <c r="AG1360" i="1"/>
  <c r="AH1360" i="1"/>
  <c r="AD1360" i="1"/>
  <c r="AE1360" i="1"/>
  <c r="AA1360" i="1"/>
  <c r="T1362" i="1" l="1"/>
  <c r="U1362" i="1"/>
  <c r="V1362" i="1" s="1"/>
  <c r="Z1362" i="1"/>
  <c r="X1362" i="1"/>
  <c r="S1363" i="1"/>
  <c r="W1362" i="1"/>
  <c r="Y1362" i="1"/>
  <c r="AH1361" i="1"/>
  <c r="AD1361" i="1"/>
  <c r="AG1361" i="1"/>
  <c r="AC1361" i="1"/>
  <c r="AA1361" i="1"/>
  <c r="AE1361" i="1"/>
  <c r="AB1361" i="1"/>
  <c r="AF1361" i="1"/>
  <c r="AB1362" i="1" l="1"/>
  <c r="AF1362" i="1"/>
  <c r="AC1362" i="1"/>
  <c r="AG1362" i="1"/>
  <c r="AH1362" i="1"/>
  <c r="AD1362" i="1"/>
  <c r="AE1362" i="1"/>
  <c r="AA1362" i="1"/>
  <c r="T1363" i="1"/>
  <c r="W1363" i="1"/>
  <c r="U1363" i="1"/>
  <c r="V1363" i="1" s="1"/>
  <c r="Y1363" i="1"/>
  <c r="Z1363" i="1"/>
  <c r="S1364" i="1"/>
  <c r="X1363" i="1"/>
  <c r="AC1363" i="1" l="1"/>
  <c r="AG1363" i="1"/>
  <c r="AF1363" i="1"/>
  <c r="AB1363" i="1"/>
  <c r="AE1363" i="1"/>
  <c r="AA1363" i="1"/>
  <c r="T1364" i="1"/>
  <c r="U1364" i="1"/>
  <c r="V1364" i="1" s="1"/>
  <c r="S1365" i="1"/>
  <c r="Z1364" i="1"/>
  <c r="X1364" i="1"/>
  <c r="W1364" i="1"/>
  <c r="Y1364" i="1"/>
  <c r="AD1363" i="1"/>
  <c r="AH1363" i="1"/>
  <c r="AE1364" i="1" l="1"/>
  <c r="AA1364" i="1"/>
  <c r="AB1364" i="1"/>
  <c r="AF1364" i="1"/>
  <c r="AD1364" i="1"/>
  <c r="AH1364" i="1"/>
  <c r="AC1364" i="1"/>
  <c r="AG1364" i="1"/>
  <c r="T1365" i="1"/>
  <c r="S1366" i="1"/>
  <c r="W1365" i="1"/>
  <c r="Z1365" i="1"/>
  <c r="X1365" i="1"/>
  <c r="Y1365" i="1"/>
  <c r="U1365" i="1"/>
  <c r="V1365" i="1" s="1"/>
  <c r="AD1365" i="1" l="1"/>
  <c r="AH1365" i="1"/>
  <c r="AA1365" i="1"/>
  <c r="AE1365" i="1"/>
  <c r="AC1365" i="1"/>
  <c r="AG1365" i="1"/>
  <c r="T1366" i="1"/>
  <c r="U1366" i="1"/>
  <c r="V1366" i="1" s="1"/>
  <c r="Y1366" i="1"/>
  <c r="Z1366" i="1"/>
  <c r="X1366" i="1"/>
  <c r="S1367" i="1"/>
  <c r="W1366" i="1"/>
  <c r="AB1365" i="1"/>
  <c r="AF1365" i="1"/>
  <c r="T1367" i="1" l="1"/>
  <c r="X1367" i="1"/>
  <c r="Y1367" i="1"/>
  <c r="W1367" i="1"/>
  <c r="U1367" i="1"/>
  <c r="V1367" i="1" s="1"/>
  <c r="Z1367" i="1"/>
  <c r="S1368" i="1"/>
  <c r="AF1366" i="1"/>
  <c r="AB1366" i="1"/>
  <c r="AH1366" i="1"/>
  <c r="AD1366" i="1"/>
  <c r="AE1366" i="1"/>
  <c r="AA1366" i="1"/>
  <c r="AG1366" i="1"/>
  <c r="AC1366" i="1"/>
  <c r="AA1367" i="1" l="1"/>
  <c r="AE1367" i="1"/>
  <c r="T1368" i="1"/>
  <c r="U1368" i="1"/>
  <c r="V1368" i="1" s="1"/>
  <c r="S1369" i="1"/>
  <c r="Y1368" i="1"/>
  <c r="Z1368" i="1"/>
  <c r="X1368" i="1"/>
  <c r="W1368" i="1"/>
  <c r="AG1367" i="1"/>
  <c r="AC1367" i="1"/>
  <c r="AD1367" i="1"/>
  <c r="AH1367" i="1"/>
  <c r="AB1367" i="1"/>
  <c r="AF1367" i="1"/>
  <c r="AB1368" i="1" l="1"/>
  <c r="AF1368" i="1"/>
  <c r="AD1368" i="1"/>
  <c r="AH1368" i="1"/>
  <c r="AG1368" i="1"/>
  <c r="AC1368" i="1"/>
  <c r="AA1368" i="1"/>
  <c r="AE1368" i="1"/>
  <c r="T1369" i="1"/>
  <c r="W1369" i="1"/>
  <c r="U1369" i="1"/>
  <c r="V1369" i="1" s="1"/>
  <c r="Z1369" i="1"/>
  <c r="X1369" i="1"/>
  <c r="Y1369" i="1"/>
  <c r="S1370" i="1"/>
  <c r="T1370" i="1" l="1"/>
  <c r="Z1370" i="1"/>
  <c r="W1370" i="1"/>
  <c r="Y1370" i="1"/>
  <c r="S1371" i="1"/>
  <c r="X1370" i="1"/>
  <c r="U1370" i="1"/>
  <c r="V1370" i="1" s="1"/>
  <c r="AD1369" i="1"/>
  <c r="AH1369" i="1"/>
  <c r="AG1369" i="1"/>
  <c r="AC1369" i="1"/>
  <c r="AA1369" i="1"/>
  <c r="AE1369" i="1"/>
  <c r="AB1369" i="1"/>
  <c r="AF1369" i="1"/>
  <c r="AC1370" i="1" l="1"/>
  <c r="AG1370" i="1"/>
  <c r="AA1370" i="1"/>
  <c r="AE1370" i="1"/>
  <c r="AB1370" i="1"/>
  <c r="AF1370" i="1"/>
  <c r="AH1370" i="1"/>
  <c r="AD1370" i="1"/>
  <c r="T1371" i="1"/>
  <c r="W1371" i="1"/>
  <c r="X1371" i="1"/>
  <c r="Z1371" i="1"/>
  <c r="S1372" i="1"/>
  <c r="Y1371" i="1"/>
  <c r="U1371" i="1"/>
  <c r="V1371" i="1" s="1"/>
  <c r="AD1371" i="1" l="1"/>
  <c r="AH1371" i="1"/>
  <c r="AF1371" i="1"/>
  <c r="AB1371" i="1"/>
  <c r="AC1371" i="1"/>
  <c r="AG1371" i="1"/>
  <c r="AE1371" i="1"/>
  <c r="AA1371" i="1"/>
  <c r="T1372" i="1"/>
  <c r="S1373" i="1"/>
  <c r="Z1372" i="1"/>
  <c r="W1372" i="1"/>
  <c r="X1372" i="1"/>
  <c r="U1372" i="1"/>
  <c r="V1372" i="1" s="1"/>
  <c r="Y1372" i="1"/>
  <c r="AA1372" i="1" l="1"/>
  <c r="AE1372" i="1"/>
  <c r="AC1372" i="1"/>
  <c r="AG1372" i="1"/>
  <c r="AH1372" i="1"/>
  <c r="AD1372" i="1"/>
  <c r="T1373" i="1"/>
  <c r="X1373" i="1"/>
  <c r="W1373" i="1"/>
  <c r="Z1373" i="1"/>
  <c r="S1374" i="1"/>
  <c r="Y1373" i="1"/>
  <c r="U1373" i="1"/>
  <c r="V1373" i="1" s="1"/>
  <c r="AF1372" i="1"/>
  <c r="AB1372" i="1"/>
  <c r="AC1373" i="1" l="1"/>
  <c r="AG1373" i="1"/>
  <c r="AB1373" i="1"/>
  <c r="AF1373" i="1"/>
  <c r="T1374" i="1"/>
  <c r="W1374" i="1"/>
  <c r="Y1374" i="1"/>
  <c r="X1374" i="1"/>
  <c r="S1375" i="1"/>
  <c r="Z1374" i="1"/>
  <c r="U1374" i="1"/>
  <c r="V1374" i="1" s="1"/>
  <c r="AH1373" i="1"/>
  <c r="AD1373" i="1"/>
  <c r="AA1373" i="1"/>
  <c r="AE1373" i="1"/>
  <c r="AB1374" i="1" l="1"/>
  <c r="AF1374" i="1"/>
  <c r="AG1374" i="1"/>
  <c r="AC1374" i="1"/>
  <c r="AH1374" i="1"/>
  <c r="AD1374" i="1"/>
  <c r="AE1374" i="1"/>
  <c r="AA1374" i="1"/>
  <c r="T1375" i="1"/>
  <c r="W1375" i="1"/>
  <c r="Z1375" i="1"/>
  <c r="S1376" i="1"/>
  <c r="U1375" i="1"/>
  <c r="V1375" i="1" s="1"/>
  <c r="Y1375" i="1"/>
  <c r="X1375" i="1"/>
  <c r="T1376" i="1" l="1"/>
  <c r="Y1376" i="1"/>
  <c r="S1377" i="1"/>
  <c r="Z1376" i="1"/>
  <c r="W1376" i="1"/>
  <c r="X1376" i="1"/>
  <c r="U1376" i="1"/>
  <c r="V1376" i="1" s="1"/>
  <c r="AF1375" i="1"/>
  <c r="AB1375" i="1"/>
  <c r="AH1375" i="1"/>
  <c r="AD1375" i="1"/>
  <c r="AG1375" i="1"/>
  <c r="AC1375" i="1"/>
  <c r="AE1375" i="1"/>
  <c r="AA1375" i="1"/>
  <c r="AH1376" i="1" l="1"/>
  <c r="AD1376" i="1"/>
  <c r="T1377" i="1"/>
  <c r="Y1377" i="1"/>
  <c r="U1377" i="1"/>
  <c r="V1377" i="1" s="1"/>
  <c r="X1377" i="1"/>
  <c r="W1377" i="1"/>
  <c r="S1378" i="1"/>
  <c r="Z1377" i="1"/>
  <c r="AB1376" i="1"/>
  <c r="AF1376" i="1"/>
  <c r="AC1376" i="1"/>
  <c r="AG1376" i="1"/>
  <c r="AE1376" i="1"/>
  <c r="AA1376" i="1"/>
  <c r="T1378" i="1" l="1"/>
  <c r="Z1378" i="1"/>
  <c r="S1379" i="1"/>
  <c r="X1378" i="1"/>
  <c r="U1378" i="1"/>
  <c r="V1378" i="1" s="1"/>
  <c r="W1378" i="1"/>
  <c r="Y1378" i="1"/>
  <c r="AC1377" i="1"/>
  <c r="AG1377" i="1"/>
  <c r="AA1377" i="1"/>
  <c r="AE1377" i="1"/>
  <c r="AF1377" i="1"/>
  <c r="AB1377" i="1"/>
  <c r="AH1377" i="1"/>
  <c r="AD1377" i="1"/>
  <c r="AB1378" i="1" l="1"/>
  <c r="AF1378" i="1"/>
  <c r="AC1378" i="1"/>
  <c r="AG1378" i="1"/>
  <c r="T1379" i="1"/>
  <c r="Y1379" i="1"/>
  <c r="U1379" i="1"/>
  <c r="V1379" i="1" s="1"/>
  <c r="X1379" i="1"/>
  <c r="W1379" i="1"/>
  <c r="Z1379" i="1"/>
  <c r="S1380" i="1"/>
  <c r="AE1378" i="1"/>
  <c r="AA1378" i="1"/>
  <c r="AH1378" i="1"/>
  <c r="AD1378" i="1"/>
  <c r="AF1379" i="1" l="1"/>
  <c r="AB1379" i="1"/>
  <c r="T1380" i="1"/>
  <c r="Z1380" i="1"/>
  <c r="X1380" i="1"/>
  <c r="U1380" i="1"/>
  <c r="V1380" i="1" s="1"/>
  <c r="W1380" i="1"/>
  <c r="Y1380" i="1"/>
  <c r="S1381" i="1"/>
  <c r="AD1379" i="1"/>
  <c r="AH1379" i="1"/>
  <c r="AG1379" i="1"/>
  <c r="AC1379" i="1"/>
  <c r="AE1379" i="1"/>
  <c r="AA1379" i="1"/>
  <c r="AC1380" i="1" l="1"/>
  <c r="AG1380" i="1"/>
  <c r="AH1380" i="1"/>
  <c r="AD1380" i="1"/>
  <c r="AE1380" i="1"/>
  <c r="AA1380" i="1"/>
  <c r="T1381" i="1"/>
  <c r="W1381" i="1"/>
  <c r="U1381" i="1"/>
  <c r="V1381" i="1" s="1"/>
  <c r="Z1381" i="1"/>
  <c r="S1382" i="1"/>
  <c r="X1381" i="1"/>
  <c r="Y1381" i="1"/>
  <c r="AB1380" i="1"/>
  <c r="AF1380" i="1"/>
  <c r="AB1381" i="1" l="1"/>
  <c r="AF1381" i="1"/>
  <c r="AE1381" i="1"/>
  <c r="AA1381" i="1"/>
  <c r="T1382" i="1"/>
  <c r="W1382" i="1"/>
  <c r="S1383" i="1"/>
  <c r="X1382" i="1"/>
  <c r="U1382" i="1"/>
  <c r="V1382" i="1" s="1"/>
  <c r="Y1382" i="1"/>
  <c r="Z1382" i="1"/>
  <c r="AH1381" i="1"/>
  <c r="AD1381" i="1"/>
  <c r="AG1381" i="1"/>
  <c r="AC1381" i="1"/>
  <c r="AB1382" i="1" l="1"/>
  <c r="AF1382" i="1"/>
  <c r="T1383" i="1"/>
  <c r="Y1383" i="1"/>
  <c r="U1383" i="1"/>
  <c r="V1383" i="1" s="1"/>
  <c r="W1383" i="1"/>
  <c r="X1383" i="1"/>
  <c r="Z1383" i="1"/>
  <c r="S1384" i="1"/>
  <c r="AD1382" i="1"/>
  <c r="AH1382" i="1"/>
  <c r="AG1382" i="1"/>
  <c r="AC1382" i="1"/>
  <c r="AA1382" i="1"/>
  <c r="AE1382" i="1"/>
  <c r="AH1383" i="1" l="1"/>
  <c r="AD1383" i="1"/>
  <c r="AC1383" i="1"/>
  <c r="AG1383" i="1"/>
  <c r="AB1383" i="1"/>
  <c r="AF1383" i="1"/>
  <c r="AE1383" i="1"/>
  <c r="AA1383" i="1"/>
  <c r="T1384" i="1"/>
  <c r="Z1384" i="1"/>
  <c r="X1384" i="1"/>
  <c r="U1384" i="1"/>
  <c r="V1384" i="1" s="1"/>
  <c r="S1385" i="1"/>
  <c r="W1384" i="1"/>
  <c r="Y1384" i="1"/>
  <c r="AC1384" i="1" l="1"/>
  <c r="AG1384" i="1"/>
  <c r="AF1384" i="1"/>
  <c r="AB1384" i="1"/>
  <c r="AA1384" i="1"/>
  <c r="AE1384" i="1"/>
  <c r="AH1384" i="1"/>
  <c r="AD1384" i="1"/>
  <c r="T1385" i="1"/>
  <c r="Y1385" i="1"/>
  <c r="Z1385" i="1"/>
  <c r="X1385" i="1"/>
  <c r="W1385" i="1"/>
  <c r="S1386" i="1"/>
  <c r="U1385" i="1"/>
  <c r="V1385" i="1" s="1"/>
  <c r="AB1385" i="1" l="1"/>
  <c r="AF1385" i="1"/>
  <c r="AH1385" i="1"/>
  <c r="AD1385" i="1"/>
  <c r="T1386" i="1"/>
  <c r="W1386" i="1"/>
  <c r="S1387" i="1"/>
  <c r="Y1386" i="1"/>
  <c r="Z1386" i="1"/>
  <c r="U1386" i="1"/>
  <c r="V1386" i="1" s="1"/>
  <c r="X1386" i="1"/>
  <c r="AC1385" i="1"/>
  <c r="AG1385" i="1"/>
  <c r="AE1385" i="1"/>
  <c r="AA1385" i="1"/>
  <c r="AG1386" i="1" l="1"/>
  <c r="AC1386" i="1"/>
  <c r="T1387" i="1"/>
  <c r="Y1387" i="1"/>
  <c r="U1387" i="1"/>
  <c r="V1387" i="1" s="1"/>
  <c r="W1387" i="1"/>
  <c r="X1387" i="1"/>
  <c r="Z1387" i="1"/>
  <c r="S1388" i="1"/>
  <c r="AA1386" i="1"/>
  <c r="AE1386" i="1"/>
  <c r="AB1386" i="1"/>
  <c r="AF1386" i="1"/>
  <c r="AD1386" i="1"/>
  <c r="AH1386" i="1"/>
  <c r="AH1387" i="1" l="1"/>
  <c r="AD1387" i="1"/>
  <c r="AG1387" i="1"/>
  <c r="AC1387" i="1"/>
  <c r="AF1387" i="1"/>
  <c r="AB1387" i="1"/>
  <c r="AA1387" i="1"/>
  <c r="AE1387" i="1"/>
  <c r="T1388" i="1"/>
  <c r="Z1388" i="1"/>
  <c r="X1388" i="1"/>
  <c r="W1388" i="1"/>
  <c r="S1389" i="1"/>
  <c r="U1388" i="1"/>
  <c r="V1388" i="1" s="1"/>
  <c r="Y1388" i="1"/>
  <c r="AA1388" i="1" l="1"/>
  <c r="AE1388" i="1"/>
  <c r="AC1388" i="1"/>
  <c r="AG1388" i="1"/>
  <c r="AF1388" i="1"/>
  <c r="AB1388" i="1"/>
  <c r="AH1388" i="1"/>
  <c r="AD1388" i="1"/>
  <c r="T1389" i="1"/>
  <c r="X1389" i="1"/>
  <c r="W1389" i="1"/>
  <c r="Z1389" i="1"/>
  <c r="S1390" i="1"/>
  <c r="Y1389" i="1"/>
  <c r="U1389" i="1"/>
  <c r="V1389" i="1" s="1"/>
  <c r="AH1389" i="1" l="1"/>
  <c r="AD1389" i="1"/>
  <c r="AE1389" i="1"/>
  <c r="AA1389" i="1"/>
  <c r="AC1389" i="1"/>
  <c r="AG1389" i="1"/>
  <c r="AF1389" i="1"/>
  <c r="AB1389" i="1"/>
  <c r="T1390" i="1"/>
  <c r="U1390" i="1"/>
  <c r="V1390" i="1" s="1"/>
  <c r="W1390" i="1"/>
  <c r="Y1390" i="1"/>
  <c r="S1391" i="1"/>
  <c r="Z1390" i="1"/>
  <c r="X1390" i="1"/>
  <c r="AH1390" i="1" l="1"/>
  <c r="AD1390" i="1"/>
  <c r="AC1390" i="1"/>
  <c r="AG1390" i="1"/>
  <c r="AF1390" i="1"/>
  <c r="AB1390" i="1"/>
  <c r="AA1390" i="1"/>
  <c r="AE1390" i="1"/>
  <c r="T1391" i="1"/>
  <c r="U1391" i="1"/>
  <c r="V1391" i="1" s="1"/>
  <c r="X1391" i="1"/>
  <c r="W1391" i="1"/>
  <c r="Y1391" i="1"/>
  <c r="Z1391" i="1"/>
  <c r="S1392" i="1"/>
  <c r="AH1391" i="1" l="1"/>
  <c r="AD1391" i="1"/>
  <c r="AA1391" i="1"/>
  <c r="AE1391" i="1"/>
  <c r="T1392" i="1"/>
  <c r="X1392" i="1"/>
  <c r="W1392" i="1"/>
  <c r="S1393" i="1"/>
  <c r="Z1392" i="1"/>
  <c r="U1392" i="1"/>
  <c r="V1392" i="1" s="1"/>
  <c r="Y1392" i="1"/>
  <c r="AB1391" i="1"/>
  <c r="AF1391" i="1"/>
  <c r="AC1391" i="1"/>
  <c r="AG1391" i="1"/>
  <c r="T1393" i="1" l="1"/>
  <c r="Z1393" i="1"/>
  <c r="Y1393" i="1"/>
  <c r="S1394" i="1"/>
  <c r="W1393" i="1"/>
  <c r="X1393" i="1"/>
  <c r="U1393" i="1"/>
  <c r="V1393" i="1" s="1"/>
  <c r="AC1392" i="1"/>
  <c r="AG1392" i="1"/>
  <c r="AE1392" i="1"/>
  <c r="AA1392" i="1"/>
  <c r="AF1392" i="1"/>
  <c r="AB1392" i="1"/>
  <c r="AD1392" i="1"/>
  <c r="AH1392" i="1"/>
  <c r="T1394" i="1" l="1"/>
  <c r="X1394" i="1"/>
  <c r="U1394" i="1"/>
  <c r="V1394" i="1" s="1"/>
  <c r="Y1394" i="1"/>
  <c r="W1394" i="1"/>
  <c r="S1395" i="1"/>
  <c r="Z1394" i="1"/>
  <c r="AC1393" i="1"/>
  <c r="AG1393" i="1"/>
  <c r="AB1393" i="1"/>
  <c r="AF1393" i="1"/>
  <c r="AD1393" i="1"/>
  <c r="AH1393" i="1"/>
  <c r="AE1393" i="1"/>
  <c r="AA1393" i="1"/>
  <c r="AC1394" i="1" l="1"/>
  <c r="AG1394" i="1"/>
  <c r="AD1394" i="1"/>
  <c r="AH1394" i="1"/>
  <c r="T1395" i="1"/>
  <c r="W1395" i="1"/>
  <c r="Z1395" i="1"/>
  <c r="X1395" i="1"/>
  <c r="U1395" i="1"/>
  <c r="V1395" i="1" s="1"/>
  <c r="Y1395" i="1"/>
  <c r="S1396" i="1"/>
  <c r="AB1394" i="1"/>
  <c r="AF1394" i="1"/>
  <c r="AE1394" i="1"/>
  <c r="AA1394" i="1"/>
  <c r="AB1395" i="1" l="1"/>
  <c r="AF1395" i="1"/>
  <c r="T1396" i="1"/>
  <c r="X1396" i="1"/>
  <c r="U1396" i="1"/>
  <c r="V1396" i="1" s="1"/>
  <c r="S1397" i="1"/>
  <c r="Y1396" i="1"/>
  <c r="Z1396" i="1"/>
  <c r="W1396" i="1"/>
  <c r="AD1395" i="1"/>
  <c r="AH1395" i="1"/>
  <c r="AG1395" i="1"/>
  <c r="AC1395" i="1"/>
  <c r="AE1395" i="1"/>
  <c r="AA1395" i="1"/>
  <c r="AH1396" i="1" l="1"/>
  <c r="AD1396" i="1"/>
  <c r="AF1396" i="1"/>
  <c r="AB1396" i="1"/>
  <c r="AG1396" i="1"/>
  <c r="AC1396" i="1"/>
  <c r="T1397" i="1"/>
  <c r="Z1397" i="1"/>
  <c r="W1397" i="1"/>
  <c r="S1398" i="1"/>
  <c r="X1397" i="1"/>
  <c r="U1397" i="1"/>
  <c r="V1397" i="1" s="1"/>
  <c r="Y1397" i="1"/>
  <c r="AE1396" i="1"/>
  <c r="AA1396" i="1"/>
  <c r="AH1397" i="1" l="1"/>
  <c r="AD1397" i="1"/>
  <c r="T1398" i="1"/>
  <c r="W1398" i="1"/>
  <c r="Y1398" i="1"/>
  <c r="U1398" i="1"/>
  <c r="V1398" i="1" s="1"/>
  <c r="Z1398" i="1"/>
  <c r="X1398" i="1"/>
  <c r="S1399" i="1"/>
  <c r="AF1397" i="1"/>
  <c r="AB1397" i="1"/>
  <c r="AC1397" i="1"/>
  <c r="AG1397" i="1"/>
  <c r="AE1397" i="1"/>
  <c r="AA1397" i="1"/>
  <c r="AF1398" i="1" l="1"/>
  <c r="AB1398" i="1"/>
  <c r="AA1398" i="1"/>
  <c r="AE1398" i="1"/>
  <c r="AD1398" i="1"/>
  <c r="AH1398" i="1"/>
  <c r="T1399" i="1"/>
  <c r="W1399" i="1"/>
  <c r="U1399" i="1"/>
  <c r="V1399" i="1" s="1"/>
  <c r="Z1399" i="1"/>
  <c r="S1400" i="1"/>
  <c r="Y1399" i="1"/>
  <c r="X1399" i="1"/>
  <c r="AG1398" i="1"/>
  <c r="AC1398" i="1"/>
  <c r="AC1399" i="1" l="1"/>
  <c r="AG1399" i="1"/>
  <c r="AA1399" i="1"/>
  <c r="AE1399" i="1"/>
  <c r="T1400" i="1"/>
  <c r="S1401" i="1"/>
  <c r="Y1400" i="1"/>
  <c r="Z1400" i="1"/>
  <c r="X1400" i="1"/>
  <c r="W1400" i="1"/>
  <c r="U1400" i="1"/>
  <c r="V1400" i="1" s="1"/>
  <c r="AD1399" i="1"/>
  <c r="AH1399" i="1"/>
  <c r="AB1399" i="1"/>
  <c r="AF1399" i="1"/>
  <c r="AH1400" i="1" l="1"/>
  <c r="AD1400" i="1"/>
  <c r="AG1400" i="1"/>
  <c r="AC1400" i="1"/>
  <c r="AE1400" i="1"/>
  <c r="AA1400" i="1"/>
  <c r="T1401" i="1"/>
  <c r="Z1401" i="1"/>
  <c r="S1402" i="1"/>
  <c r="X1401" i="1"/>
  <c r="Y1401" i="1"/>
  <c r="W1401" i="1"/>
  <c r="U1401" i="1"/>
  <c r="V1401" i="1" s="1"/>
  <c r="AF1400" i="1"/>
  <c r="AB1400" i="1"/>
  <c r="AE1401" i="1" l="1"/>
  <c r="AA1401" i="1"/>
  <c r="AH1401" i="1"/>
  <c r="AD1401" i="1"/>
  <c r="AG1401" i="1"/>
  <c r="AC1401" i="1"/>
  <c r="AF1401" i="1"/>
  <c r="AB1401" i="1"/>
  <c r="T1402" i="1"/>
  <c r="U1402" i="1"/>
  <c r="V1402" i="1" s="1"/>
  <c r="W1402" i="1"/>
  <c r="Y1402" i="1"/>
  <c r="Z1402" i="1"/>
  <c r="X1402" i="1"/>
  <c r="S1403" i="1"/>
  <c r="AG1402" i="1" l="1"/>
  <c r="AC1402" i="1"/>
  <c r="T1403" i="1"/>
  <c r="Z1403" i="1"/>
  <c r="S1404" i="1"/>
  <c r="X1403" i="1"/>
  <c r="Y1403" i="1"/>
  <c r="W1403" i="1"/>
  <c r="U1403" i="1"/>
  <c r="V1403" i="1" s="1"/>
  <c r="AE1402" i="1"/>
  <c r="AA1402" i="1"/>
  <c r="AF1402" i="1"/>
  <c r="AB1402" i="1"/>
  <c r="AH1402" i="1"/>
  <c r="AD1402" i="1"/>
  <c r="AE1403" i="1" l="1"/>
  <c r="AA1403" i="1"/>
  <c r="AD1403" i="1"/>
  <c r="AH1403" i="1"/>
  <c r="AG1403" i="1"/>
  <c r="AC1403" i="1"/>
  <c r="AF1403" i="1"/>
  <c r="AB1403" i="1"/>
  <c r="T1404" i="1"/>
  <c r="S1405" i="1"/>
  <c r="W1404" i="1"/>
  <c r="Y1404" i="1"/>
  <c r="U1404" i="1"/>
  <c r="V1404" i="1" s="1"/>
  <c r="Z1404" i="1"/>
  <c r="X1404" i="1"/>
  <c r="AH1404" i="1" l="1"/>
  <c r="AD1404" i="1"/>
  <c r="AG1404" i="1"/>
  <c r="AC1404" i="1"/>
  <c r="AF1404" i="1"/>
  <c r="AB1404" i="1"/>
  <c r="AA1404" i="1"/>
  <c r="AE1404" i="1"/>
  <c r="T1405" i="1"/>
  <c r="Z1405" i="1"/>
  <c r="S1406" i="1"/>
  <c r="X1405" i="1"/>
  <c r="Y1405" i="1"/>
  <c r="W1405" i="1"/>
  <c r="U1405" i="1"/>
  <c r="V1405" i="1" s="1"/>
  <c r="AF1405" i="1" l="1"/>
  <c r="AB1405" i="1"/>
  <c r="T1406" i="1"/>
  <c r="X1406" i="1"/>
  <c r="S1407" i="1"/>
  <c r="Y1406" i="1"/>
  <c r="U1406" i="1"/>
  <c r="V1406" i="1" s="1"/>
  <c r="Z1406" i="1"/>
  <c r="W1406" i="1"/>
  <c r="AA1405" i="1"/>
  <c r="AE1405" i="1"/>
  <c r="AH1405" i="1"/>
  <c r="AD1405" i="1"/>
  <c r="AC1405" i="1"/>
  <c r="AG1405" i="1"/>
  <c r="AD1406" i="1" l="1"/>
  <c r="AH1406" i="1"/>
  <c r="AB1406" i="1"/>
  <c r="AF1406" i="1"/>
  <c r="AG1406" i="1"/>
  <c r="AC1406" i="1"/>
  <c r="AE1406" i="1"/>
  <c r="AA1406" i="1"/>
  <c r="T1407" i="1"/>
  <c r="W1407" i="1"/>
  <c r="U1407" i="1"/>
  <c r="V1407" i="1" s="1"/>
  <c r="S1408" i="1"/>
  <c r="Z1407" i="1"/>
  <c r="X1407" i="1"/>
  <c r="Y1407" i="1"/>
  <c r="T1408" i="1" l="1"/>
  <c r="Z1408" i="1"/>
  <c r="X1408" i="1"/>
  <c r="S1409" i="1"/>
  <c r="W1408" i="1"/>
  <c r="Y1408" i="1"/>
  <c r="U1408" i="1"/>
  <c r="V1408" i="1" s="1"/>
  <c r="AB1407" i="1"/>
  <c r="AF1407" i="1"/>
  <c r="AA1407" i="1"/>
  <c r="AE1407" i="1"/>
  <c r="AG1407" i="1"/>
  <c r="AC1407" i="1"/>
  <c r="AH1407" i="1"/>
  <c r="AD1407" i="1"/>
  <c r="AB1408" i="1" l="1"/>
  <c r="AF1408" i="1"/>
  <c r="AC1408" i="1"/>
  <c r="AG1408" i="1"/>
  <c r="AH1408" i="1"/>
  <c r="AD1408" i="1"/>
  <c r="T1409" i="1"/>
  <c r="Y1409" i="1"/>
  <c r="U1409" i="1"/>
  <c r="V1409" i="1" s="1"/>
  <c r="X1409" i="1"/>
  <c r="Z1409" i="1"/>
  <c r="W1409" i="1"/>
  <c r="S1410" i="1"/>
  <c r="AE1408" i="1"/>
  <c r="AA1408" i="1"/>
  <c r="AE1409" i="1" l="1"/>
  <c r="AA1409" i="1"/>
  <c r="AD1409" i="1"/>
  <c r="AH1409" i="1"/>
  <c r="AC1409" i="1"/>
  <c r="AG1409" i="1"/>
  <c r="AF1409" i="1"/>
  <c r="AB1409" i="1"/>
  <c r="T1410" i="1"/>
  <c r="S1411" i="1"/>
  <c r="X1410" i="1"/>
  <c r="U1410" i="1"/>
  <c r="V1410" i="1" s="1"/>
  <c r="Z1410" i="1"/>
  <c r="W1410" i="1"/>
  <c r="Y1410" i="1"/>
  <c r="AC1410" i="1" l="1"/>
  <c r="AG1410" i="1"/>
  <c r="AB1410" i="1"/>
  <c r="AF1410" i="1"/>
  <c r="T1411" i="1"/>
  <c r="X1411" i="1"/>
  <c r="S1412" i="1"/>
  <c r="W1411" i="1"/>
  <c r="Y1411" i="1"/>
  <c r="Z1411" i="1"/>
  <c r="U1411" i="1"/>
  <c r="V1411" i="1" s="1"/>
  <c r="AA1410" i="1"/>
  <c r="AE1410" i="1"/>
  <c r="AH1410" i="1"/>
  <c r="AD1410" i="1"/>
  <c r="T1412" i="1" l="1"/>
  <c r="U1412" i="1"/>
  <c r="V1412" i="1" s="1"/>
  <c r="Z1412" i="1"/>
  <c r="W1412" i="1"/>
  <c r="Y1412" i="1"/>
  <c r="X1412" i="1"/>
  <c r="S1413" i="1"/>
  <c r="AH1411" i="1"/>
  <c r="AD1411" i="1"/>
  <c r="AB1411" i="1"/>
  <c r="AF1411" i="1"/>
  <c r="AE1411" i="1"/>
  <c r="AA1411" i="1"/>
  <c r="AC1411" i="1"/>
  <c r="AG1411" i="1"/>
  <c r="AA1412" i="1" l="1"/>
  <c r="AE1412" i="1"/>
  <c r="T1413" i="1"/>
  <c r="Y1413" i="1"/>
  <c r="Z1413" i="1"/>
  <c r="X1413" i="1"/>
  <c r="W1413" i="1"/>
  <c r="U1413" i="1"/>
  <c r="V1413" i="1" s="1"/>
  <c r="S1414" i="1"/>
  <c r="AH1412" i="1"/>
  <c r="AD1412" i="1"/>
  <c r="AF1412" i="1"/>
  <c r="AB1412" i="1"/>
  <c r="AC1412" i="1"/>
  <c r="AG1412" i="1"/>
  <c r="AC1413" i="1" l="1"/>
  <c r="AG1413" i="1"/>
  <c r="AA1413" i="1"/>
  <c r="AE1413" i="1"/>
  <c r="AF1413" i="1"/>
  <c r="AB1413" i="1"/>
  <c r="T1414" i="1"/>
  <c r="X1414" i="1"/>
  <c r="W1414" i="1"/>
  <c r="Y1414" i="1"/>
  <c r="S1415" i="1"/>
  <c r="Z1414" i="1"/>
  <c r="U1414" i="1"/>
  <c r="V1414" i="1" s="1"/>
  <c r="AD1413" i="1"/>
  <c r="AH1413" i="1"/>
  <c r="AH1414" i="1" l="1"/>
  <c r="AD1414" i="1"/>
  <c r="AF1414" i="1"/>
  <c r="AB1414" i="1"/>
  <c r="T1415" i="1"/>
  <c r="X1415" i="1"/>
  <c r="Y1415" i="1"/>
  <c r="U1415" i="1"/>
  <c r="V1415" i="1" s="1"/>
  <c r="S1416" i="1"/>
  <c r="W1415" i="1"/>
  <c r="Z1415" i="1"/>
  <c r="AC1414" i="1"/>
  <c r="AG1414" i="1"/>
  <c r="AA1414" i="1"/>
  <c r="AE1414" i="1"/>
  <c r="AH1415" i="1" l="1"/>
  <c r="AD1415" i="1"/>
  <c r="AG1415" i="1"/>
  <c r="AC1415" i="1"/>
  <c r="AA1415" i="1"/>
  <c r="AE1415" i="1"/>
  <c r="AB1415" i="1"/>
  <c r="AF1415" i="1"/>
  <c r="T1416" i="1"/>
  <c r="W1416" i="1"/>
  <c r="Y1416" i="1"/>
  <c r="Z1416" i="1"/>
  <c r="U1416" i="1"/>
  <c r="V1416" i="1" s="1"/>
  <c r="S1417" i="1"/>
  <c r="X1416" i="1"/>
  <c r="AD1416" i="1" l="1"/>
  <c r="AH1416" i="1"/>
  <c r="AB1416" i="1"/>
  <c r="AF1416" i="1"/>
  <c r="AG1416" i="1"/>
  <c r="AC1416" i="1"/>
  <c r="T1417" i="1"/>
  <c r="Y1417" i="1"/>
  <c r="U1417" i="1"/>
  <c r="V1417" i="1" s="1"/>
  <c r="X1417" i="1"/>
  <c r="W1417" i="1"/>
  <c r="S1418" i="1"/>
  <c r="Z1417" i="1"/>
  <c r="AE1416" i="1"/>
  <c r="AA1416" i="1"/>
  <c r="T1418" i="1" l="1"/>
  <c r="U1418" i="1"/>
  <c r="V1418" i="1" s="1"/>
  <c r="W1418" i="1"/>
  <c r="Y1418" i="1"/>
  <c r="S1419" i="1"/>
  <c r="X1418" i="1"/>
  <c r="Z1418" i="1"/>
  <c r="AG1417" i="1"/>
  <c r="AC1417" i="1"/>
  <c r="AA1417" i="1"/>
  <c r="AE1417" i="1"/>
  <c r="AF1417" i="1"/>
  <c r="AB1417" i="1"/>
  <c r="AD1417" i="1"/>
  <c r="AH1417" i="1"/>
  <c r="AG1418" i="1" l="1"/>
  <c r="AC1418" i="1"/>
  <c r="AH1418" i="1"/>
  <c r="AD1418" i="1"/>
  <c r="AA1418" i="1"/>
  <c r="AE1418" i="1"/>
  <c r="AF1418" i="1"/>
  <c r="AB1418" i="1"/>
  <c r="T1419" i="1"/>
  <c r="X1419" i="1"/>
  <c r="S1420" i="1"/>
  <c r="W1419" i="1"/>
  <c r="Z1419" i="1"/>
  <c r="U1419" i="1"/>
  <c r="V1419" i="1" s="1"/>
  <c r="Y1419" i="1"/>
  <c r="AA1419" i="1" l="1"/>
  <c r="AE1419" i="1"/>
  <c r="T1420" i="1"/>
  <c r="W1420" i="1"/>
  <c r="Y1420" i="1"/>
  <c r="S1421" i="1"/>
  <c r="Z1420" i="1"/>
  <c r="U1420" i="1"/>
  <c r="V1420" i="1" s="1"/>
  <c r="X1420" i="1"/>
  <c r="AG1419" i="1"/>
  <c r="AC1419" i="1"/>
  <c r="AB1419" i="1"/>
  <c r="AF1419" i="1"/>
  <c r="AD1419" i="1"/>
  <c r="AH1419" i="1"/>
  <c r="AA1420" i="1" l="1"/>
  <c r="AE1420" i="1"/>
  <c r="T1421" i="1"/>
  <c r="Y1421" i="1"/>
  <c r="Z1421" i="1"/>
  <c r="W1421" i="1"/>
  <c r="U1421" i="1"/>
  <c r="V1421" i="1" s="1"/>
  <c r="X1421" i="1"/>
  <c r="S1422" i="1"/>
  <c r="AH1420" i="1"/>
  <c r="AD1420" i="1"/>
  <c r="AB1420" i="1"/>
  <c r="AF1420" i="1"/>
  <c r="AC1420" i="1"/>
  <c r="AG1420" i="1"/>
  <c r="AB1421" i="1" l="1"/>
  <c r="AF1421" i="1"/>
  <c r="AG1421" i="1"/>
  <c r="AC1421" i="1"/>
  <c r="AE1421" i="1"/>
  <c r="AA1421" i="1"/>
  <c r="T1422" i="1"/>
  <c r="S1423" i="1"/>
  <c r="X1422" i="1"/>
  <c r="Z1422" i="1"/>
  <c r="W1422" i="1"/>
  <c r="U1422" i="1"/>
  <c r="V1422" i="1" s="1"/>
  <c r="Y1422" i="1"/>
  <c r="AH1421" i="1"/>
  <c r="AD1421" i="1"/>
  <c r="T1423" i="1" l="1"/>
  <c r="X1423" i="1"/>
  <c r="Z1423" i="1"/>
  <c r="S1424" i="1"/>
  <c r="W1423" i="1"/>
  <c r="Y1423" i="1"/>
  <c r="U1423" i="1"/>
  <c r="V1423" i="1" s="1"/>
  <c r="AH1422" i="1"/>
  <c r="AD1422" i="1"/>
  <c r="AA1422" i="1"/>
  <c r="AE1422" i="1"/>
  <c r="AC1422" i="1"/>
  <c r="AG1422" i="1"/>
  <c r="AB1422" i="1"/>
  <c r="AF1422" i="1"/>
  <c r="T1424" i="1" l="1"/>
  <c r="U1424" i="1"/>
  <c r="V1424" i="1" s="1"/>
  <c r="W1424" i="1"/>
  <c r="Y1424" i="1"/>
  <c r="X1424" i="1"/>
  <c r="S1425" i="1"/>
  <c r="Z1424" i="1"/>
  <c r="AH1423" i="1"/>
  <c r="AD1423" i="1"/>
  <c r="AC1423" i="1"/>
  <c r="AG1423" i="1"/>
  <c r="AB1423" i="1"/>
  <c r="AF1423" i="1"/>
  <c r="AE1423" i="1"/>
  <c r="AA1423" i="1"/>
  <c r="AC1424" i="1" l="1"/>
  <c r="AG1424" i="1"/>
  <c r="AH1424" i="1"/>
  <c r="AD1424" i="1"/>
  <c r="AE1424" i="1"/>
  <c r="AA1424" i="1"/>
  <c r="T1425" i="1"/>
  <c r="Y1425" i="1"/>
  <c r="Z1425" i="1"/>
  <c r="U1425" i="1"/>
  <c r="V1425" i="1" s="1"/>
  <c r="W1425" i="1"/>
  <c r="X1425" i="1"/>
  <c r="S1426" i="1"/>
  <c r="AB1424" i="1"/>
  <c r="AF1424" i="1"/>
  <c r="AB1425" i="1" l="1"/>
  <c r="AF1425" i="1"/>
  <c r="AG1425" i="1"/>
  <c r="AC1425" i="1"/>
  <c r="AE1425" i="1"/>
  <c r="AA1425" i="1"/>
  <c r="T1426" i="1"/>
  <c r="X1426" i="1"/>
  <c r="U1426" i="1"/>
  <c r="V1426" i="1" s="1"/>
  <c r="W1426" i="1"/>
  <c r="Y1426" i="1"/>
  <c r="S1427" i="1"/>
  <c r="Z1426" i="1"/>
  <c r="AH1425" i="1"/>
  <c r="AD1425" i="1"/>
  <c r="T1427" i="1" l="1"/>
  <c r="S1428" i="1"/>
  <c r="W1427" i="1"/>
  <c r="Y1427" i="1"/>
  <c r="Z1427" i="1"/>
  <c r="U1427" i="1"/>
  <c r="V1427" i="1" s="1"/>
  <c r="X1427" i="1"/>
  <c r="AF1426" i="1"/>
  <c r="AB1426" i="1"/>
  <c r="AG1426" i="1"/>
  <c r="AC1426" i="1"/>
  <c r="AA1426" i="1"/>
  <c r="AE1426" i="1"/>
  <c r="AH1426" i="1"/>
  <c r="AD1426" i="1"/>
  <c r="AC1427" i="1" l="1"/>
  <c r="AG1427" i="1"/>
  <c r="AB1427" i="1"/>
  <c r="AF1427" i="1"/>
  <c r="AA1427" i="1"/>
  <c r="AE1427" i="1"/>
  <c r="T1428" i="1"/>
  <c r="Y1428" i="1"/>
  <c r="X1428" i="1"/>
  <c r="W1428" i="1"/>
  <c r="S1429" i="1"/>
  <c r="U1428" i="1"/>
  <c r="V1428" i="1" s="1"/>
  <c r="Z1428" i="1"/>
  <c r="AH1427" i="1"/>
  <c r="AD1427" i="1"/>
  <c r="AC1428" i="1" l="1"/>
  <c r="AG1428" i="1"/>
  <c r="AA1428" i="1"/>
  <c r="AE1428" i="1"/>
  <c r="T1429" i="1"/>
  <c r="S1430" i="1"/>
  <c r="Y1429" i="1"/>
  <c r="W1429" i="1"/>
  <c r="X1429" i="1"/>
  <c r="Z1429" i="1"/>
  <c r="U1429" i="1"/>
  <c r="V1429" i="1" s="1"/>
  <c r="AD1428" i="1"/>
  <c r="AH1428" i="1"/>
  <c r="AB1428" i="1"/>
  <c r="AF1428" i="1"/>
  <c r="AA1429" i="1" l="1"/>
  <c r="AE1429" i="1"/>
  <c r="AC1429" i="1"/>
  <c r="AG1429" i="1"/>
  <c r="AD1429" i="1"/>
  <c r="AH1429" i="1"/>
  <c r="T1430" i="1"/>
  <c r="X1430" i="1"/>
  <c r="W1430" i="1"/>
  <c r="S1431" i="1"/>
  <c r="U1430" i="1"/>
  <c r="V1430" i="1" s="1"/>
  <c r="Y1430" i="1"/>
  <c r="Z1430" i="1"/>
  <c r="AB1429" i="1"/>
  <c r="AF1429" i="1"/>
  <c r="AC1430" i="1" l="1"/>
  <c r="AG1430" i="1"/>
  <c r="AF1430" i="1"/>
  <c r="AB1430" i="1"/>
  <c r="T1431" i="1"/>
  <c r="S1432" i="1"/>
  <c r="Y1431" i="1"/>
  <c r="Z1431" i="1"/>
  <c r="U1431" i="1"/>
  <c r="V1431" i="1" s="1"/>
  <c r="W1431" i="1"/>
  <c r="X1431" i="1"/>
  <c r="AH1430" i="1"/>
  <c r="AD1430" i="1"/>
  <c r="AE1430" i="1"/>
  <c r="AA1430" i="1"/>
  <c r="AH1431" i="1" l="1"/>
  <c r="AD1431" i="1"/>
  <c r="AB1431" i="1"/>
  <c r="AF1431" i="1"/>
  <c r="AC1431" i="1"/>
  <c r="AG1431" i="1"/>
  <c r="AA1431" i="1"/>
  <c r="AE1431" i="1"/>
  <c r="T1432" i="1"/>
  <c r="Y1432" i="1"/>
  <c r="Z1432" i="1"/>
  <c r="U1432" i="1"/>
  <c r="V1432" i="1" s="1"/>
  <c r="S1433" i="1"/>
  <c r="W1432" i="1"/>
  <c r="X1432" i="1"/>
  <c r="AB1432" i="1" l="1"/>
  <c r="AF1432" i="1"/>
  <c r="AH1432" i="1"/>
  <c r="AD1432" i="1"/>
  <c r="AE1432" i="1"/>
  <c r="AA1432" i="1"/>
  <c r="AG1432" i="1"/>
  <c r="AC1432" i="1"/>
  <c r="T1433" i="1"/>
  <c r="U1433" i="1"/>
  <c r="V1433" i="1" s="1"/>
  <c r="W1433" i="1"/>
  <c r="X1433" i="1"/>
  <c r="S1434" i="1"/>
  <c r="Y1433" i="1"/>
  <c r="Z1433" i="1"/>
  <c r="AB1433" i="1" l="1"/>
  <c r="AF1433" i="1"/>
  <c r="AH1433" i="1"/>
  <c r="AD1433" i="1"/>
  <c r="AA1433" i="1"/>
  <c r="AE1433" i="1"/>
  <c r="AC1433" i="1"/>
  <c r="AG1433" i="1"/>
  <c r="T1434" i="1"/>
  <c r="U1434" i="1"/>
  <c r="V1434" i="1" s="1"/>
  <c r="X1434" i="1"/>
  <c r="Y1434" i="1"/>
  <c r="S1435" i="1"/>
  <c r="W1434" i="1"/>
  <c r="Z1434" i="1"/>
  <c r="AG1434" i="1" l="1"/>
  <c r="AC1434" i="1"/>
  <c r="AD1434" i="1"/>
  <c r="AH1434" i="1"/>
  <c r="AF1434" i="1"/>
  <c r="AB1434" i="1"/>
  <c r="AE1434" i="1"/>
  <c r="AA1434" i="1"/>
  <c r="T1435" i="1"/>
  <c r="Y1435" i="1"/>
  <c r="Z1435" i="1"/>
  <c r="U1435" i="1"/>
  <c r="V1435" i="1" s="1"/>
  <c r="W1435" i="1"/>
  <c r="X1435" i="1"/>
  <c r="S1436" i="1"/>
  <c r="T1436" i="1" l="1"/>
  <c r="Z1436" i="1"/>
  <c r="X1436" i="1"/>
  <c r="U1436" i="1"/>
  <c r="V1436" i="1" s="1"/>
  <c r="S1437" i="1"/>
  <c r="W1436" i="1"/>
  <c r="Y1436" i="1"/>
  <c r="AH1435" i="1"/>
  <c r="AD1435" i="1"/>
  <c r="AF1435" i="1"/>
  <c r="AB1435" i="1"/>
  <c r="AC1435" i="1"/>
  <c r="AG1435" i="1"/>
  <c r="AE1435" i="1"/>
  <c r="AA1435" i="1"/>
  <c r="AC1436" i="1" l="1"/>
  <c r="AG1436" i="1"/>
  <c r="AF1436" i="1"/>
  <c r="AB1436" i="1"/>
  <c r="AE1436" i="1"/>
  <c r="AA1436" i="1"/>
  <c r="AD1436" i="1"/>
  <c r="AH1436" i="1"/>
  <c r="T1437" i="1"/>
  <c r="S1438" i="1"/>
  <c r="Y1437" i="1"/>
  <c r="W1437" i="1"/>
  <c r="Z1437" i="1"/>
  <c r="U1437" i="1"/>
  <c r="V1437" i="1" s="1"/>
  <c r="X1437" i="1"/>
  <c r="AA1437" i="1" l="1"/>
  <c r="AE1437" i="1"/>
  <c r="AB1437" i="1"/>
  <c r="AF1437" i="1"/>
  <c r="AG1437" i="1"/>
  <c r="AC1437" i="1"/>
  <c r="T1438" i="1"/>
  <c r="U1438" i="1"/>
  <c r="V1438" i="1" s="1"/>
  <c r="X1438" i="1"/>
  <c r="W1438" i="1"/>
  <c r="Y1438" i="1"/>
  <c r="S1439" i="1"/>
  <c r="Z1438" i="1"/>
  <c r="AH1437" i="1"/>
  <c r="AD1437" i="1"/>
  <c r="T1439" i="1" l="1"/>
  <c r="S1440" i="1"/>
  <c r="Y1439" i="1"/>
  <c r="Z1439" i="1"/>
  <c r="W1439" i="1"/>
  <c r="X1439" i="1"/>
  <c r="U1439" i="1"/>
  <c r="V1439" i="1" s="1"/>
  <c r="AA1438" i="1"/>
  <c r="AE1438" i="1"/>
  <c r="AC1438" i="1"/>
  <c r="AG1438" i="1"/>
  <c r="AH1438" i="1"/>
  <c r="AD1438" i="1"/>
  <c r="AB1438" i="1"/>
  <c r="AF1438" i="1"/>
  <c r="AD1439" i="1" l="1"/>
  <c r="AH1439" i="1"/>
  <c r="AC1439" i="1"/>
  <c r="AG1439" i="1"/>
  <c r="AB1439" i="1"/>
  <c r="AF1439" i="1"/>
  <c r="T1440" i="1"/>
  <c r="X1440" i="1"/>
  <c r="W1440" i="1"/>
  <c r="Y1440" i="1"/>
  <c r="U1440" i="1"/>
  <c r="V1440" i="1" s="1"/>
  <c r="S1441" i="1"/>
  <c r="Z1440" i="1"/>
  <c r="AA1439" i="1"/>
  <c r="AE1439" i="1"/>
  <c r="T1441" i="1" l="1"/>
  <c r="W1441" i="1"/>
  <c r="S1442" i="1"/>
  <c r="Y1441" i="1"/>
  <c r="X1441" i="1"/>
  <c r="Z1441" i="1"/>
  <c r="U1441" i="1"/>
  <c r="V1441" i="1" s="1"/>
  <c r="AF1440" i="1"/>
  <c r="AB1440" i="1"/>
  <c r="AG1440" i="1"/>
  <c r="AC1440" i="1"/>
  <c r="AD1440" i="1"/>
  <c r="AH1440" i="1"/>
  <c r="AE1440" i="1"/>
  <c r="AA1440" i="1"/>
  <c r="AC1441" i="1" l="1"/>
  <c r="AG1441" i="1"/>
  <c r="T1442" i="1"/>
  <c r="Y1442" i="1"/>
  <c r="Z1442" i="1"/>
  <c r="X1442" i="1"/>
  <c r="S1443" i="1"/>
  <c r="W1442" i="1"/>
  <c r="U1442" i="1"/>
  <c r="V1442" i="1" s="1"/>
  <c r="AD1441" i="1"/>
  <c r="AH1441" i="1"/>
  <c r="AE1441" i="1"/>
  <c r="AA1441" i="1"/>
  <c r="AF1441" i="1"/>
  <c r="AB1441" i="1"/>
  <c r="AE1442" i="1" l="1"/>
  <c r="AA1442" i="1"/>
  <c r="AC1442" i="1"/>
  <c r="AG1442" i="1"/>
  <c r="T1443" i="1"/>
  <c r="S1444" i="1"/>
  <c r="Y1443" i="1"/>
  <c r="U1443" i="1"/>
  <c r="V1443" i="1" s="1"/>
  <c r="Z1443" i="1"/>
  <c r="W1443" i="1"/>
  <c r="X1443" i="1"/>
  <c r="AF1442" i="1"/>
  <c r="AB1442" i="1"/>
  <c r="AD1442" i="1"/>
  <c r="AH1442" i="1"/>
  <c r="AF1443" i="1" l="1"/>
  <c r="AB1443" i="1"/>
  <c r="AC1443" i="1"/>
  <c r="AG1443" i="1"/>
  <c r="AA1443" i="1"/>
  <c r="AE1443" i="1"/>
  <c r="T1444" i="1"/>
  <c r="X1444" i="1"/>
  <c r="S1445" i="1"/>
  <c r="Z1444" i="1"/>
  <c r="W1444" i="1"/>
  <c r="Y1444" i="1"/>
  <c r="U1444" i="1"/>
  <c r="V1444" i="1" s="1"/>
  <c r="AD1443" i="1"/>
  <c r="AH1443" i="1"/>
  <c r="AC1444" i="1" l="1"/>
  <c r="AG1444" i="1"/>
  <c r="AF1444" i="1"/>
  <c r="AB1444" i="1"/>
  <c r="AE1444" i="1"/>
  <c r="AA1444" i="1"/>
  <c r="AD1444" i="1"/>
  <c r="AH1444" i="1"/>
  <c r="T1445" i="1"/>
  <c r="U1445" i="1"/>
  <c r="V1445" i="1" s="1"/>
  <c r="W1445" i="1"/>
  <c r="Y1445" i="1"/>
  <c r="S1446" i="1"/>
  <c r="X1445" i="1"/>
  <c r="Z1445" i="1"/>
  <c r="AD1445" i="1" l="1"/>
  <c r="AH1445" i="1"/>
  <c r="AG1445" i="1"/>
  <c r="AC1445" i="1"/>
  <c r="AE1445" i="1"/>
  <c r="AA1445" i="1"/>
  <c r="AB1445" i="1"/>
  <c r="AF1445" i="1"/>
  <c r="T1446" i="1"/>
  <c r="U1446" i="1"/>
  <c r="V1446" i="1" s="1"/>
  <c r="X1446" i="1"/>
  <c r="S1447" i="1"/>
  <c r="W1446" i="1"/>
  <c r="Y1446" i="1"/>
  <c r="Z1446" i="1"/>
  <c r="T1447" i="1" l="1"/>
  <c r="U1447" i="1"/>
  <c r="V1447" i="1" s="1"/>
  <c r="W1447" i="1"/>
  <c r="Y1447" i="1"/>
  <c r="S1448" i="1"/>
  <c r="X1447" i="1"/>
  <c r="Z1447" i="1"/>
  <c r="AH1446" i="1"/>
  <c r="AD1446" i="1"/>
  <c r="AB1446" i="1"/>
  <c r="AF1446" i="1"/>
  <c r="AG1446" i="1"/>
  <c r="AC1446" i="1"/>
  <c r="AA1446" i="1"/>
  <c r="AE1446" i="1"/>
  <c r="AG1447" i="1" l="1"/>
  <c r="AC1447" i="1"/>
  <c r="AH1447" i="1"/>
  <c r="AD1447" i="1"/>
  <c r="AA1447" i="1"/>
  <c r="AE1447" i="1"/>
  <c r="AF1447" i="1"/>
  <c r="AB1447" i="1"/>
  <c r="T1448" i="1"/>
  <c r="X1448" i="1"/>
  <c r="S1449" i="1"/>
  <c r="W1448" i="1"/>
  <c r="Y1448" i="1"/>
  <c r="Z1448" i="1"/>
  <c r="U1448" i="1"/>
  <c r="V1448" i="1" s="1"/>
  <c r="AE1448" i="1" l="1"/>
  <c r="AA1448" i="1"/>
  <c r="T1449" i="1"/>
  <c r="X1449" i="1"/>
  <c r="U1449" i="1"/>
  <c r="V1449" i="1" s="1"/>
  <c r="W1449" i="1"/>
  <c r="Y1449" i="1"/>
  <c r="S1450" i="1"/>
  <c r="Z1449" i="1"/>
  <c r="AH1448" i="1"/>
  <c r="AD1448" i="1"/>
  <c r="AF1448" i="1"/>
  <c r="AB1448" i="1"/>
  <c r="AG1448" i="1"/>
  <c r="AC1448" i="1"/>
  <c r="T1450" i="1" l="1"/>
  <c r="X1450" i="1"/>
  <c r="Y1450" i="1"/>
  <c r="S1451" i="1"/>
  <c r="W1450" i="1"/>
  <c r="U1450" i="1"/>
  <c r="V1450" i="1" s="1"/>
  <c r="Z1450" i="1"/>
  <c r="AF1449" i="1"/>
  <c r="AB1449" i="1"/>
  <c r="AC1449" i="1"/>
  <c r="AG1449" i="1"/>
  <c r="AA1449" i="1"/>
  <c r="AE1449" i="1"/>
  <c r="AH1449" i="1"/>
  <c r="AD1449" i="1"/>
  <c r="T1451" i="1" l="1"/>
  <c r="S1452" i="1"/>
  <c r="X1451" i="1"/>
  <c r="Y1451" i="1"/>
  <c r="Z1451" i="1"/>
  <c r="U1451" i="1"/>
  <c r="V1451" i="1" s="1"/>
  <c r="W1451" i="1"/>
  <c r="AH1450" i="1"/>
  <c r="AD1450" i="1"/>
  <c r="AG1450" i="1"/>
  <c r="AC1450" i="1"/>
  <c r="AF1450" i="1"/>
  <c r="AB1450" i="1"/>
  <c r="AA1450" i="1"/>
  <c r="AE1450" i="1"/>
  <c r="AC1451" i="1" l="1"/>
  <c r="AG1451" i="1"/>
  <c r="AA1451" i="1"/>
  <c r="AE1451" i="1"/>
  <c r="AB1451" i="1"/>
  <c r="AF1451" i="1"/>
  <c r="T1452" i="1"/>
  <c r="X1452" i="1"/>
  <c r="S1453" i="1"/>
  <c r="W1452" i="1"/>
  <c r="Y1452" i="1"/>
  <c r="Z1452" i="1"/>
  <c r="U1452" i="1"/>
  <c r="V1452" i="1" s="1"/>
  <c r="AH1451" i="1"/>
  <c r="AD1451" i="1"/>
  <c r="AH1452" i="1" l="1"/>
  <c r="AD1452" i="1"/>
  <c r="AB1452" i="1"/>
  <c r="AF1452" i="1"/>
  <c r="AG1452" i="1"/>
  <c r="AC1452" i="1"/>
  <c r="AE1452" i="1"/>
  <c r="AA1452" i="1"/>
  <c r="T1453" i="1"/>
  <c r="Y1453" i="1"/>
  <c r="Z1453" i="1"/>
  <c r="U1453" i="1"/>
  <c r="V1453" i="1" s="1"/>
  <c r="W1453" i="1"/>
  <c r="S1454" i="1"/>
  <c r="X1453" i="1"/>
  <c r="AF1453" i="1" l="1"/>
  <c r="AB1453" i="1"/>
  <c r="AD1453" i="1"/>
  <c r="AH1453" i="1"/>
  <c r="T1454" i="1"/>
  <c r="Y1454" i="1"/>
  <c r="W1454" i="1"/>
  <c r="Z1454" i="1"/>
  <c r="S1455" i="1"/>
  <c r="X1454" i="1"/>
  <c r="U1454" i="1"/>
  <c r="V1454" i="1" s="1"/>
  <c r="AG1453" i="1"/>
  <c r="AC1453" i="1"/>
  <c r="AE1453" i="1"/>
  <c r="AA1453" i="1"/>
  <c r="AD1454" i="1" l="1"/>
  <c r="AH1454" i="1"/>
  <c r="AA1454" i="1"/>
  <c r="AE1454" i="1"/>
  <c r="AF1454" i="1"/>
  <c r="AB1454" i="1"/>
  <c r="AC1454" i="1"/>
  <c r="AG1454" i="1"/>
  <c r="T1455" i="1"/>
  <c r="W1455" i="1"/>
  <c r="S1456" i="1"/>
  <c r="Y1455" i="1"/>
  <c r="Z1455" i="1"/>
  <c r="X1455" i="1"/>
  <c r="U1455" i="1"/>
  <c r="V1455" i="1" s="1"/>
  <c r="AG1455" i="1" l="1"/>
  <c r="AC1455" i="1"/>
  <c r="T1456" i="1"/>
  <c r="W1456" i="1"/>
  <c r="Z1456" i="1"/>
  <c r="S1457" i="1"/>
  <c r="Y1456" i="1"/>
  <c r="U1456" i="1"/>
  <c r="V1456" i="1" s="1"/>
  <c r="X1456" i="1"/>
  <c r="AF1455" i="1"/>
  <c r="AB1455" i="1"/>
  <c r="AA1455" i="1"/>
  <c r="AE1455" i="1"/>
  <c r="AD1455" i="1"/>
  <c r="AH1455" i="1"/>
  <c r="AE1456" i="1" l="1"/>
  <c r="AA1456" i="1"/>
  <c r="AC1456" i="1"/>
  <c r="AG1456" i="1"/>
  <c r="T1457" i="1"/>
  <c r="Y1457" i="1"/>
  <c r="W1457" i="1"/>
  <c r="U1457" i="1"/>
  <c r="V1457" i="1" s="1"/>
  <c r="S1458" i="1"/>
  <c r="X1457" i="1"/>
  <c r="Z1457" i="1"/>
  <c r="AF1456" i="1"/>
  <c r="AB1456" i="1"/>
  <c r="AD1456" i="1"/>
  <c r="AH1456" i="1"/>
  <c r="AD1457" i="1" l="1"/>
  <c r="AH1457" i="1"/>
  <c r="AA1457" i="1"/>
  <c r="AE1457" i="1"/>
  <c r="AF1457" i="1"/>
  <c r="AB1457" i="1"/>
  <c r="AC1457" i="1"/>
  <c r="AG1457" i="1"/>
  <c r="T1458" i="1"/>
  <c r="S1459" i="1"/>
  <c r="X1458" i="1"/>
  <c r="U1458" i="1"/>
  <c r="V1458" i="1" s="1"/>
  <c r="W1458" i="1"/>
  <c r="Y1458" i="1"/>
  <c r="Z1458" i="1"/>
  <c r="AD1458" i="1" l="1"/>
  <c r="AH1458" i="1"/>
  <c r="AB1458" i="1"/>
  <c r="AF1458" i="1"/>
  <c r="AC1458" i="1"/>
  <c r="AG1458" i="1"/>
  <c r="T1459" i="1"/>
  <c r="S1460" i="1"/>
  <c r="W1459" i="1"/>
  <c r="Y1459" i="1"/>
  <c r="Z1459" i="1"/>
  <c r="U1459" i="1"/>
  <c r="V1459" i="1" s="1"/>
  <c r="X1459" i="1"/>
  <c r="AE1458" i="1"/>
  <c r="AA1458" i="1"/>
  <c r="T1460" i="1" l="1"/>
  <c r="Y1460" i="1"/>
  <c r="S1461" i="1"/>
  <c r="Z1460" i="1"/>
  <c r="U1460" i="1"/>
  <c r="V1460" i="1" s="1"/>
  <c r="X1460" i="1"/>
  <c r="W1460" i="1"/>
  <c r="AH1459" i="1"/>
  <c r="AD1459" i="1"/>
  <c r="AG1459" i="1"/>
  <c r="AC1459" i="1"/>
  <c r="AB1459" i="1"/>
  <c r="AF1459" i="1"/>
  <c r="AA1459" i="1"/>
  <c r="AE1459" i="1"/>
  <c r="AD1460" i="1" l="1"/>
  <c r="AH1460" i="1"/>
  <c r="AA1460" i="1"/>
  <c r="AE1460" i="1"/>
  <c r="T1461" i="1"/>
  <c r="S1462" i="1"/>
  <c r="W1461" i="1"/>
  <c r="Y1461" i="1"/>
  <c r="Z1461" i="1"/>
  <c r="U1461" i="1"/>
  <c r="V1461" i="1" s="1"/>
  <c r="X1461" i="1"/>
  <c r="AF1460" i="1"/>
  <c r="AB1460" i="1"/>
  <c r="AG1460" i="1"/>
  <c r="AC1460" i="1"/>
  <c r="AG1461" i="1" l="1"/>
  <c r="AC1461" i="1"/>
  <c r="AB1461" i="1"/>
  <c r="AF1461" i="1"/>
  <c r="AA1461" i="1"/>
  <c r="AE1461" i="1"/>
  <c r="T1462" i="1"/>
  <c r="Z1462" i="1"/>
  <c r="U1462" i="1"/>
  <c r="V1462" i="1" s="1"/>
  <c r="X1462" i="1"/>
  <c r="Y1462" i="1"/>
  <c r="W1462" i="1"/>
  <c r="S1463" i="1"/>
  <c r="AH1461" i="1"/>
  <c r="AD1461" i="1"/>
  <c r="AE1462" i="1" l="1"/>
  <c r="AA1462" i="1"/>
  <c r="AD1462" i="1"/>
  <c r="AH1462" i="1"/>
  <c r="AG1462" i="1"/>
  <c r="AC1462" i="1"/>
  <c r="AB1462" i="1"/>
  <c r="AF1462" i="1"/>
  <c r="T1463" i="1"/>
  <c r="X1463" i="1"/>
  <c r="S1464" i="1"/>
  <c r="Z1463" i="1"/>
  <c r="U1463" i="1"/>
  <c r="V1463" i="1" s="1"/>
  <c r="Y1463" i="1"/>
  <c r="W1463" i="1"/>
  <c r="AD1463" i="1" l="1"/>
  <c r="AH1463" i="1"/>
  <c r="T1464" i="1"/>
  <c r="Y1464" i="1"/>
  <c r="U1464" i="1"/>
  <c r="V1464" i="1" s="1"/>
  <c r="Z1464" i="1"/>
  <c r="X1464" i="1"/>
  <c r="S1465" i="1"/>
  <c r="W1464" i="1"/>
  <c r="AA1463" i="1"/>
  <c r="AE1463" i="1"/>
  <c r="AG1463" i="1"/>
  <c r="AC1463" i="1"/>
  <c r="AF1463" i="1"/>
  <c r="AB1463" i="1"/>
  <c r="T1465" i="1" l="1"/>
  <c r="Z1465" i="1"/>
  <c r="X1465" i="1"/>
  <c r="U1465" i="1"/>
  <c r="V1465" i="1" s="1"/>
  <c r="S1466" i="1"/>
  <c r="Y1465" i="1"/>
  <c r="W1465" i="1"/>
  <c r="AG1464" i="1"/>
  <c r="AC1464" i="1"/>
  <c r="AF1464" i="1"/>
  <c r="AB1464" i="1"/>
  <c r="AH1464" i="1"/>
  <c r="AD1464" i="1"/>
  <c r="AA1464" i="1"/>
  <c r="AE1464" i="1"/>
  <c r="AA1465" i="1" l="1"/>
  <c r="AE1465" i="1"/>
  <c r="AF1465" i="1"/>
  <c r="AB1465" i="1"/>
  <c r="AC1465" i="1"/>
  <c r="AG1465" i="1"/>
  <c r="AD1465" i="1"/>
  <c r="AH1465" i="1"/>
  <c r="T1466" i="1"/>
  <c r="S1467" i="1"/>
  <c r="Y1466" i="1"/>
  <c r="U1466" i="1"/>
  <c r="V1466" i="1" s="1"/>
  <c r="X1466" i="1"/>
  <c r="W1466" i="1"/>
  <c r="Z1466" i="1"/>
  <c r="AH1466" i="1" l="1"/>
  <c r="AD1466" i="1"/>
  <c r="AG1466" i="1"/>
  <c r="AC1466" i="1"/>
  <c r="AA1466" i="1"/>
  <c r="AE1466" i="1"/>
  <c r="T1467" i="1"/>
  <c r="W1467" i="1"/>
  <c r="Y1467" i="1"/>
  <c r="X1467" i="1"/>
  <c r="S1468" i="1"/>
  <c r="U1467" i="1"/>
  <c r="V1467" i="1" s="1"/>
  <c r="Z1467" i="1"/>
  <c r="AF1466" i="1"/>
  <c r="AB1466" i="1"/>
  <c r="AE1467" i="1" l="1"/>
  <c r="AA1467" i="1"/>
  <c r="AF1467" i="1"/>
  <c r="AB1467" i="1"/>
  <c r="T1468" i="1"/>
  <c r="Z1468" i="1"/>
  <c r="X1468" i="1"/>
  <c r="S1469" i="1"/>
  <c r="Y1468" i="1"/>
  <c r="W1468" i="1"/>
  <c r="U1468" i="1"/>
  <c r="V1468" i="1" s="1"/>
  <c r="AD1467" i="1"/>
  <c r="AH1467" i="1"/>
  <c r="AC1467" i="1"/>
  <c r="AG1467" i="1"/>
  <c r="T1469" i="1" l="1"/>
  <c r="X1469" i="1"/>
  <c r="S1470" i="1"/>
  <c r="W1469" i="1"/>
  <c r="Y1469" i="1"/>
  <c r="Z1469" i="1"/>
  <c r="U1469" i="1"/>
  <c r="V1469" i="1" s="1"/>
  <c r="AB1468" i="1"/>
  <c r="AF1468" i="1"/>
  <c r="AA1468" i="1"/>
  <c r="AE1468" i="1"/>
  <c r="AH1468" i="1"/>
  <c r="AD1468" i="1"/>
  <c r="AC1468" i="1"/>
  <c r="AG1468" i="1"/>
  <c r="AA1469" i="1" l="1"/>
  <c r="AE1469" i="1"/>
  <c r="T1470" i="1"/>
  <c r="Z1470" i="1"/>
  <c r="X1470" i="1"/>
  <c r="U1470" i="1"/>
  <c r="V1470" i="1" s="1"/>
  <c r="S1471" i="1"/>
  <c r="Y1470" i="1"/>
  <c r="W1470" i="1"/>
  <c r="AD1469" i="1"/>
  <c r="AH1469" i="1"/>
  <c r="AB1469" i="1"/>
  <c r="AF1469" i="1"/>
  <c r="AC1469" i="1"/>
  <c r="AG1469" i="1"/>
  <c r="AC1470" i="1" l="1"/>
  <c r="AG1470" i="1"/>
  <c r="AD1470" i="1"/>
  <c r="AH1470" i="1"/>
  <c r="T1471" i="1"/>
  <c r="X1471" i="1"/>
  <c r="S1472" i="1"/>
  <c r="W1471" i="1"/>
  <c r="U1471" i="1"/>
  <c r="V1471" i="1" s="1"/>
  <c r="Y1471" i="1"/>
  <c r="Z1471" i="1"/>
  <c r="AE1470" i="1"/>
  <c r="AA1470" i="1"/>
  <c r="AB1470" i="1"/>
  <c r="AF1470" i="1"/>
  <c r="AA1471" i="1" l="1"/>
  <c r="AE1471" i="1"/>
  <c r="T1472" i="1"/>
  <c r="Z1472" i="1"/>
  <c r="X1472" i="1"/>
  <c r="S1473" i="1"/>
  <c r="Y1472" i="1"/>
  <c r="W1472" i="1"/>
  <c r="U1472" i="1"/>
  <c r="V1472" i="1" s="1"/>
  <c r="AD1471" i="1"/>
  <c r="AH1471" i="1"/>
  <c r="AG1471" i="1"/>
  <c r="AC1471" i="1"/>
  <c r="AF1471" i="1"/>
  <c r="AB1471" i="1"/>
  <c r="AE1472" i="1" l="1"/>
  <c r="AA1472" i="1"/>
  <c r="AH1472" i="1"/>
  <c r="AD1472" i="1"/>
  <c r="AC1472" i="1"/>
  <c r="AG1472" i="1"/>
  <c r="T1473" i="1"/>
  <c r="X1473" i="1"/>
  <c r="S1474" i="1"/>
  <c r="W1473" i="1"/>
  <c r="U1473" i="1"/>
  <c r="V1473" i="1" s="1"/>
  <c r="Y1473" i="1"/>
  <c r="Z1473" i="1"/>
  <c r="AB1472" i="1"/>
  <c r="AF1472" i="1"/>
  <c r="AG1473" i="1" l="1"/>
  <c r="AC1473" i="1"/>
  <c r="AF1473" i="1"/>
  <c r="AB1473" i="1"/>
  <c r="AA1473" i="1"/>
  <c r="AE1473" i="1"/>
  <c r="AH1473" i="1"/>
  <c r="AD1473" i="1"/>
  <c r="T1474" i="1"/>
  <c r="X1474" i="1"/>
  <c r="S1475" i="1"/>
  <c r="Y1474" i="1"/>
  <c r="W1474" i="1"/>
  <c r="U1474" i="1"/>
  <c r="V1474" i="1" s="1"/>
  <c r="Z1474" i="1"/>
  <c r="AD1474" i="1" l="1"/>
  <c r="AH1474" i="1"/>
  <c r="AC1474" i="1"/>
  <c r="AG1474" i="1"/>
  <c r="T1475" i="1"/>
  <c r="X1475" i="1"/>
  <c r="Y1475" i="1"/>
  <c r="S1476" i="1"/>
  <c r="W1475" i="1"/>
  <c r="Z1475" i="1"/>
  <c r="U1475" i="1"/>
  <c r="V1475" i="1" s="1"/>
  <c r="AB1474" i="1"/>
  <c r="AF1474" i="1"/>
  <c r="AA1474" i="1"/>
  <c r="AE1474" i="1"/>
  <c r="T1476" i="1" l="1"/>
  <c r="Z1476" i="1"/>
  <c r="X1476" i="1"/>
  <c r="S1477" i="1"/>
  <c r="Y1476" i="1"/>
  <c r="W1476" i="1"/>
  <c r="U1476" i="1"/>
  <c r="V1476" i="1" s="1"/>
  <c r="AC1475" i="1"/>
  <c r="AG1475" i="1"/>
  <c r="AD1475" i="1"/>
  <c r="AH1475" i="1"/>
  <c r="AB1475" i="1"/>
  <c r="AF1475" i="1"/>
  <c r="AE1475" i="1"/>
  <c r="AA1475" i="1"/>
  <c r="T1477" i="1" l="1"/>
  <c r="X1477" i="1"/>
  <c r="S1478" i="1"/>
  <c r="W1477" i="1"/>
  <c r="Y1477" i="1"/>
  <c r="Z1477" i="1"/>
  <c r="U1477" i="1"/>
  <c r="V1477" i="1" s="1"/>
  <c r="AB1476" i="1"/>
  <c r="AF1476" i="1"/>
  <c r="AA1476" i="1"/>
  <c r="AE1476" i="1"/>
  <c r="AH1476" i="1"/>
  <c r="AD1476" i="1"/>
  <c r="AC1476" i="1"/>
  <c r="AG1476" i="1"/>
  <c r="AE1477" i="1" l="1"/>
  <c r="AA1477" i="1"/>
  <c r="T1478" i="1"/>
  <c r="Z1478" i="1"/>
  <c r="X1478" i="1"/>
  <c r="S1479" i="1"/>
  <c r="Y1478" i="1"/>
  <c r="W1478" i="1"/>
  <c r="U1478" i="1"/>
  <c r="V1478" i="1" s="1"/>
  <c r="AD1477" i="1"/>
  <c r="AH1477" i="1"/>
  <c r="AF1477" i="1"/>
  <c r="AB1477" i="1"/>
  <c r="AC1477" i="1"/>
  <c r="AG1477" i="1"/>
  <c r="AE1478" i="1" l="1"/>
  <c r="AA1478" i="1"/>
  <c r="AH1478" i="1"/>
  <c r="AD1478" i="1"/>
  <c r="AC1478" i="1"/>
  <c r="AG1478" i="1"/>
  <c r="T1479" i="1"/>
  <c r="Y1479" i="1"/>
  <c r="U1479" i="1"/>
  <c r="V1479" i="1" s="1"/>
  <c r="X1479" i="1"/>
  <c r="S1480" i="1"/>
  <c r="W1479" i="1"/>
  <c r="Z1479" i="1"/>
  <c r="AF1478" i="1"/>
  <c r="AB1478" i="1"/>
  <c r="AE1479" i="1" l="1"/>
  <c r="AA1479" i="1"/>
  <c r="AG1479" i="1"/>
  <c r="AC1479" i="1"/>
  <c r="T1480" i="1"/>
  <c r="S1481" i="1"/>
  <c r="Y1480" i="1"/>
  <c r="W1480" i="1"/>
  <c r="U1480" i="1"/>
  <c r="V1480" i="1" s="1"/>
  <c r="Z1480" i="1"/>
  <c r="X1480" i="1"/>
  <c r="AF1479" i="1"/>
  <c r="AB1479" i="1"/>
  <c r="AD1479" i="1"/>
  <c r="AH1479" i="1"/>
  <c r="AA1480" i="1" l="1"/>
  <c r="AE1480" i="1"/>
  <c r="AB1480" i="1"/>
  <c r="AF1480" i="1"/>
  <c r="AC1480" i="1"/>
  <c r="AG1480" i="1"/>
  <c r="AD1480" i="1"/>
  <c r="AH1480" i="1"/>
  <c r="T1481" i="1"/>
  <c r="Y1481" i="1"/>
  <c r="Z1481" i="1"/>
  <c r="X1481" i="1"/>
  <c r="U1481" i="1"/>
  <c r="V1481" i="1" s="1"/>
  <c r="S1482" i="1"/>
  <c r="W1481" i="1"/>
  <c r="AB1481" i="1" l="1"/>
  <c r="AF1481" i="1"/>
  <c r="AA1481" i="1"/>
  <c r="AE1481" i="1"/>
  <c r="AD1481" i="1"/>
  <c r="AH1481" i="1"/>
  <c r="T1482" i="1"/>
  <c r="W1482" i="1"/>
  <c r="Y1482" i="1"/>
  <c r="Z1482" i="1"/>
  <c r="X1482" i="1"/>
  <c r="S1483" i="1"/>
  <c r="U1482" i="1"/>
  <c r="V1482" i="1" s="1"/>
  <c r="AG1481" i="1"/>
  <c r="AC1481" i="1"/>
  <c r="T1483" i="1" l="1"/>
  <c r="Y1483" i="1"/>
  <c r="Z1483" i="1"/>
  <c r="X1483" i="1"/>
  <c r="S1484" i="1"/>
  <c r="W1483" i="1"/>
  <c r="U1483" i="1"/>
  <c r="V1483" i="1" s="1"/>
  <c r="AE1482" i="1"/>
  <c r="AA1482" i="1"/>
  <c r="AF1482" i="1"/>
  <c r="AB1482" i="1"/>
  <c r="AH1482" i="1"/>
  <c r="AD1482" i="1"/>
  <c r="AC1482" i="1"/>
  <c r="AG1482" i="1"/>
  <c r="AB1483" i="1" l="1"/>
  <c r="AF1483" i="1"/>
  <c r="AD1483" i="1"/>
  <c r="AH1483" i="1"/>
  <c r="AA1483" i="1"/>
  <c r="AE1483" i="1"/>
  <c r="AC1483" i="1"/>
  <c r="AG1483" i="1"/>
  <c r="T1484" i="1"/>
  <c r="S1485" i="1"/>
  <c r="W1484" i="1"/>
  <c r="Y1484" i="1"/>
  <c r="U1484" i="1"/>
  <c r="V1484" i="1" s="1"/>
  <c r="X1484" i="1"/>
  <c r="Z1484" i="1"/>
  <c r="AD1484" i="1" l="1"/>
  <c r="AH1484" i="1"/>
  <c r="AC1484" i="1"/>
  <c r="AG1484" i="1"/>
  <c r="AE1484" i="1"/>
  <c r="AA1484" i="1"/>
  <c r="AF1484" i="1"/>
  <c r="AB1484" i="1"/>
  <c r="T1485" i="1"/>
  <c r="X1485" i="1"/>
  <c r="S1486" i="1"/>
  <c r="W1485" i="1"/>
  <c r="Y1485" i="1"/>
  <c r="U1485" i="1"/>
  <c r="V1485" i="1" s="1"/>
  <c r="Z1485" i="1"/>
  <c r="AD1485" i="1" l="1"/>
  <c r="AH1485" i="1"/>
  <c r="AA1485" i="1"/>
  <c r="AE1485" i="1"/>
  <c r="T1486" i="1"/>
  <c r="S1487" i="1"/>
  <c r="U1486" i="1"/>
  <c r="V1486" i="1" s="1"/>
  <c r="Z1486" i="1"/>
  <c r="X1486" i="1"/>
  <c r="W1486" i="1"/>
  <c r="Y1486" i="1"/>
  <c r="AB1485" i="1"/>
  <c r="AF1485" i="1"/>
  <c r="AC1485" i="1"/>
  <c r="AG1485" i="1"/>
  <c r="AE1486" i="1" l="1"/>
  <c r="AA1486" i="1"/>
  <c r="AH1486" i="1"/>
  <c r="AD1486" i="1"/>
  <c r="T1487" i="1"/>
  <c r="X1487" i="1"/>
  <c r="W1487" i="1"/>
  <c r="Y1487" i="1"/>
  <c r="Z1487" i="1"/>
  <c r="U1487" i="1"/>
  <c r="V1487" i="1" s="1"/>
  <c r="S1488" i="1"/>
  <c r="AC1486" i="1"/>
  <c r="AG1486" i="1"/>
  <c r="AF1486" i="1"/>
  <c r="AB1486" i="1"/>
  <c r="AG1487" i="1" l="1"/>
  <c r="AC1487" i="1"/>
  <c r="T1488" i="1"/>
  <c r="S1489" i="1"/>
  <c r="Y1488" i="1"/>
  <c r="W1488" i="1"/>
  <c r="U1488" i="1"/>
  <c r="V1488" i="1" s="1"/>
  <c r="Z1488" i="1"/>
  <c r="X1488" i="1"/>
  <c r="AE1487" i="1"/>
  <c r="AA1487" i="1"/>
  <c r="AF1487" i="1"/>
  <c r="AB1487" i="1"/>
  <c r="AD1487" i="1"/>
  <c r="AH1487" i="1"/>
  <c r="AH1488" i="1" l="1"/>
  <c r="AD1488" i="1"/>
  <c r="T1489" i="1"/>
  <c r="X1489" i="1"/>
  <c r="S1490" i="1"/>
  <c r="W1489" i="1"/>
  <c r="Y1489" i="1"/>
  <c r="Z1489" i="1"/>
  <c r="U1489" i="1"/>
  <c r="V1489" i="1" s="1"/>
  <c r="AA1488" i="1"/>
  <c r="AE1488" i="1"/>
  <c r="AB1488" i="1"/>
  <c r="AF1488" i="1"/>
  <c r="AC1488" i="1"/>
  <c r="AG1488" i="1"/>
  <c r="AD1489" i="1" l="1"/>
  <c r="AH1489" i="1"/>
  <c r="AF1489" i="1"/>
  <c r="AB1489" i="1"/>
  <c r="AG1489" i="1"/>
  <c r="AC1489" i="1"/>
  <c r="AA1489" i="1"/>
  <c r="AE1489" i="1"/>
  <c r="T1490" i="1"/>
  <c r="Z1490" i="1"/>
  <c r="X1490" i="1"/>
  <c r="Y1490" i="1"/>
  <c r="U1490" i="1"/>
  <c r="V1490" i="1" s="1"/>
  <c r="S1491" i="1"/>
  <c r="W1490" i="1"/>
  <c r="AG1490" i="1" l="1"/>
  <c r="AC1490" i="1"/>
  <c r="AE1490" i="1"/>
  <c r="AA1490" i="1"/>
  <c r="AF1490" i="1"/>
  <c r="AB1490" i="1"/>
  <c r="T1491" i="1"/>
  <c r="S1492" i="1"/>
  <c r="W1491" i="1"/>
  <c r="Y1491" i="1"/>
  <c r="U1491" i="1"/>
  <c r="V1491" i="1" s="1"/>
  <c r="X1491" i="1"/>
  <c r="Z1491" i="1"/>
  <c r="AH1490" i="1"/>
  <c r="AD1490" i="1"/>
  <c r="AB1491" i="1" l="1"/>
  <c r="AF1491" i="1"/>
  <c r="T1492" i="1"/>
  <c r="W1492" i="1"/>
  <c r="U1492" i="1"/>
  <c r="V1492" i="1" s="1"/>
  <c r="Z1492" i="1"/>
  <c r="X1492" i="1"/>
  <c r="S1493" i="1"/>
  <c r="Y1492" i="1"/>
  <c r="AC1491" i="1"/>
  <c r="AG1491" i="1"/>
  <c r="AH1491" i="1"/>
  <c r="AD1491" i="1"/>
  <c r="AE1491" i="1"/>
  <c r="AA1491" i="1"/>
  <c r="T1493" i="1" l="1"/>
  <c r="X1493" i="1"/>
  <c r="W1493" i="1"/>
  <c r="S1494" i="1"/>
  <c r="U1493" i="1"/>
  <c r="V1493" i="1" s="1"/>
  <c r="Y1493" i="1"/>
  <c r="Z1493" i="1"/>
  <c r="AA1492" i="1"/>
  <c r="AE1492" i="1"/>
  <c r="AB1492" i="1"/>
  <c r="AF1492" i="1"/>
  <c r="AH1492" i="1"/>
  <c r="AD1492" i="1"/>
  <c r="AC1492" i="1"/>
  <c r="AG1492" i="1"/>
  <c r="T1494" i="1" l="1"/>
  <c r="Z1494" i="1"/>
  <c r="X1494" i="1"/>
  <c r="W1494" i="1"/>
  <c r="S1495" i="1"/>
  <c r="Y1494" i="1"/>
  <c r="U1494" i="1"/>
  <c r="V1494" i="1" s="1"/>
  <c r="AD1493" i="1"/>
  <c r="AH1493" i="1"/>
  <c r="AA1493" i="1"/>
  <c r="AE1493" i="1"/>
  <c r="AG1493" i="1"/>
  <c r="AC1493" i="1"/>
  <c r="AF1493" i="1"/>
  <c r="AB1493" i="1"/>
  <c r="AA1494" i="1" l="1"/>
  <c r="AE1494" i="1"/>
  <c r="AB1494" i="1"/>
  <c r="AF1494" i="1"/>
  <c r="AG1494" i="1"/>
  <c r="AC1494" i="1"/>
  <c r="AH1494" i="1"/>
  <c r="AD1494" i="1"/>
  <c r="T1495" i="1"/>
  <c r="Y1495" i="1"/>
  <c r="Z1495" i="1"/>
  <c r="U1495" i="1"/>
  <c r="V1495" i="1" s="1"/>
  <c r="W1495" i="1"/>
  <c r="X1495" i="1"/>
  <c r="S1496" i="1"/>
  <c r="T1496" i="1" l="1"/>
  <c r="Z1496" i="1"/>
  <c r="S1497" i="1"/>
  <c r="Y1496" i="1"/>
  <c r="W1496" i="1"/>
  <c r="X1496" i="1"/>
  <c r="U1496" i="1"/>
  <c r="V1496" i="1" s="1"/>
  <c r="AH1495" i="1"/>
  <c r="AD1495" i="1"/>
  <c r="AF1495" i="1"/>
  <c r="AB1495" i="1"/>
  <c r="AG1495" i="1"/>
  <c r="AC1495" i="1"/>
  <c r="AE1495" i="1"/>
  <c r="AA1495" i="1"/>
  <c r="AC1496" i="1" l="1"/>
  <c r="AG1496" i="1"/>
  <c r="T1497" i="1"/>
  <c r="X1497" i="1"/>
  <c r="S1498" i="1"/>
  <c r="Y1497" i="1"/>
  <c r="W1497" i="1"/>
  <c r="U1497" i="1"/>
  <c r="V1497" i="1" s="1"/>
  <c r="Z1497" i="1"/>
  <c r="AB1496" i="1"/>
  <c r="AF1496" i="1"/>
  <c r="AH1496" i="1"/>
  <c r="AD1496" i="1"/>
  <c r="AA1496" i="1"/>
  <c r="AE1496" i="1"/>
  <c r="AB1497" i="1" l="1"/>
  <c r="AF1497" i="1"/>
  <c r="AE1497" i="1"/>
  <c r="AA1497" i="1"/>
  <c r="AC1497" i="1"/>
  <c r="AG1497" i="1"/>
  <c r="AH1497" i="1"/>
  <c r="AD1497" i="1"/>
  <c r="T1498" i="1"/>
  <c r="X1498" i="1"/>
  <c r="U1498" i="1"/>
  <c r="V1498" i="1" s="1"/>
  <c r="S1499" i="1"/>
  <c r="Z1498" i="1"/>
  <c r="Y1498" i="1"/>
  <c r="W1498" i="1"/>
  <c r="T1499" i="1" l="1"/>
  <c r="W1499" i="1"/>
  <c r="Z1499" i="1"/>
  <c r="Y1499" i="1"/>
  <c r="X1499" i="1"/>
  <c r="U1499" i="1"/>
  <c r="V1499" i="1" s="1"/>
  <c r="S1500" i="1"/>
  <c r="AG1498" i="1"/>
  <c r="AC1498" i="1"/>
  <c r="AB1498" i="1"/>
  <c r="AF1498" i="1"/>
  <c r="AE1498" i="1"/>
  <c r="AA1498" i="1"/>
  <c r="AD1498" i="1"/>
  <c r="AH1498" i="1"/>
  <c r="AG1499" i="1" l="1"/>
  <c r="AC1499" i="1"/>
  <c r="T1500" i="1"/>
  <c r="U1500" i="1"/>
  <c r="V1500" i="1" s="1"/>
  <c r="Z1500" i="1"/>
  <c r="X1500" i="1"/>
  <c r="S1501" i="1"/>
  <c r="W1500" i="1"/>
  <c r="Y1500" i="1"/>
  <c r="AD1499" i="1"/>
  <c r="AH1499" i="1"/>
  <c r="AA1499" i="1"/>
  <c r="AE1499" i="1"/>
  <c r="AB1499" i="1"/>
  <c r="AF1499" i="1"/>
  <c r="AE1500" i="1" l="1"/>
  <c r="AA1500" i="1"/>
  <c r="T1501" i="1"/>
  <c r="W1501" i="1"/>
  <c r="S1502" i="1"/>
  <c r="Z1501" i="1"/>
  <c r="X1501" i="1"/>
  <c r="U1501" i="1"/>
  <c r="V1501" i="1" s="1"/>
  <c r="Y1501" i="1"/>
  <c r="AF1500" i="1"/>
  <c r="AB1500" i="1"/>
  <c r="AC1500" i="1"/>
  <c r="AG1500" i="1"/>
  <c r="AD1500" i="1"/>
  <c r="AH1500" i="1"/>
  <c r="AE1501" i="1" l="1"/>
  <c r="AA1501" i="1"/>
  <c r="AB1501" i="1"/>
  <c r="AF1501" i="1"/>
  <c r="AD1501" i="1"/>
  <c r="AH1501" i="1"/>
  <c r="AG1501" i="1"/>
  <c r="AC1501" i="1"/>
  <c r="T1502" i="1"/>
  <c r="S1503" i="1"/>
  <c r="W1502" i="1"/>
  <c r="Y1502" i="1"/>
  <c r="U1502" i="1"/>
  <c r="V1502" i="1" s="1"/>
  <c r="Z1502" i="1"/>
  <c r="X1502" i="1"/>
  <c r="AD1502" i="1" l="1"/>
  <c r="AH1502" i="1"/>
  <c r="AC1502" i="1"/>
  <c r="AG1502" i="1"/>
  <c r="AB1502" i="1"/>
  <c r="AF1502" i="1"/>
  <c r="AE1502" i="1"/>
  <c r="AA1502" i="1"/>
  <c r="T1503" i="1"/>
  <c r="Y1503" i="1"/>
  <c r="W1503" i="1"/>
  <c r="X1503" i="1"/>
  <c r="U1503" i="1"/>
  <c r="V1503" i="1" s="1"/>
  <c r="S1504" i="1"/>
  <c r="Z1503" i="1"/>
  <c r="AF1503" i="1" l="1"/>
  <c r="AB1503" i="1"/>
  <c r="AH1503" i="1"/>
  <c r="AD1503" i="1"/>
  <c r="AE1503" i="1"/>
  <c r="AA1503" i="1"/>
  <c r="T1504" i="1"/>
  <c r="Z1504" i="1"/>
  <c r="Y1504" i="1"/>
  <c r="U1504" i="1"/>
  <c r="V1504" i="1" s="1"/>
  <c r="X1504" i="1"/>
  <c r="S1505" i="1"/>
  <c r="W1504" i="1"/>
  <c r="AG1503" i="1"/>
  <c r="AC1503" i="1"/>
  <c r="T1505" i="1" l="1"/>
  <c r="Y1505" i="1"/>
  <c r="X1505" i="1"/>
  <c r="U1505" i="1"/>
  <c r="V1505" i="1" s="1"/>
  <c r="W1505" i="1"/>
  <c r="S1506" i="1"/>
  <c r="Z1505" i="1"/>
  <c r="AD1504" i="1"/>
  <c r="AH1504" i="1"/>
  <c r="AB1504" i="1"/>
  <c r="AF1504" i="1"/>
  <c r="AA1504" i="1"/>
  <c r="AE1504" i="1"/>
  <c r="AG1504" i="1"/>
  <c r="AC1504" i="1"/>
  <c r="AD1505" i="1" l="1"/>
  <c r="AH1505" i="1"/>
  <c r="AB1505" i="1"/>
  <c r="AF1505" i="1"/>
  <c r="T1506" i="1"/>
  <c r="S1507" i="1"/>
  <c r="W1506" i="1"/>
  <c r="Y1506" i="1"/>
  <c r="X1506" i="1"/>
  <c r="Z1506" i="1"/>
  <c r="U1506" i="1"/>
  <c r="V1506" i="1" s="1"/>
  <c r="AG1505" i="1"/>
  <c r="AC1505" i="1"/>
  <c r="AE1505" i="1"/>
  <c r="AA1505" i="1"/>
  <c r="AC1506" i="1" l="1"/>
  <c r="AG1506" i="1"/>
  <c r="AA1506" i="1"/>
  <c r="AE1506" i="1"/>
  <c r="AD1506" i="1"/>
  <c r="AH1506" i="1"/>
  <c r="T1507" i="1"/>
  <c r="Y1507" i="1"/>
  <c r="X1507" i="1"/>
  <c r="U1507" i="1"/>
  <c r="V1507" i="1" s="1"/>
  <c r="W1507" i="1"/>
  <c r="S1508" i="1"/>
  <c r="Z1507" i="1"/>
  <c r="AF1506" i="1"/>
  <c r="AB1506" i="1"/>
  <c r="T1508" i="1" l="1"/>
  <c r="S1509" i="1"/>
  <c r="X1508" i="1"/>
  <c r="Y1508" i="1"/>
  <c r="U1508" i="1"/>
  <c r="V1508" i="1" s="1"/>
  <c r="Z1508" i="1"/>
  <c r="W1508" i="1"/>
  <c r="AC1507" i="1"/>
  <c r="AG1507" i="1"/>
  <c r="AE1507" i="1"/>
  <c r="AA1507" i="1"/>
  <c r="AD1507" i="1"/>
  <c r="AH1507" i="1"/>
  <c r="AF1507" i="1"/>
  <c r="AB1507" i="1"/>
  <c r="AC1508" i="1" l="1"/>
  <c r="AG1508" i="1"/>
  <c r="AA1508" i="1"/>
  <c r="AE1508" i="1"/>
  <c r="AF1508" i="1"/>
  <c r="AB1508" i="1"/>
  <c r="AD1508" i="1"/>
  <c r="AH1508" i="1"/>
  <c r="T1509" i="1"/>
  <c r="W1509" i="1"/>
  <c r="S1510" i="1"/>
  <c r="Z1509" i="1"/>
  <c r="Y1509" i="1"/>
  <c r="U1509" i="1"/>
  <c r="V1509" i="1" s="1"/>
  <c r="X1509" i="1"/>
  <c r="AD1509" i="1" l="1"/>
  <c r="AH1509" i="1"/>
  <c r="T1510" i="1"/>
  <c r="S1511" i="1"/>
  <c r="W1510" i="1"/>
  <c r="Y1510" i="1"/>
  <c r="U1510" i="1"/>
  <c r="V1510" i="1" s="1"/>
  <c r="Z1510" i="1"/>
  <c r="X1510" i="1"/>
  <c r="AE1509" i="1"/>
  <c r="AA1509" i="1"/>
  <c r="AB1509" i="1"/>
  <c r="AF1509" i="1"/>
  <c r="AG1509" i="1"/>
  <c r="AC1509" i="1"/>
  <c r="AH1510" i="1" l="1"/>
  <c r="AD1510" i="1"/>
  <c r="T1511" i="1"/>
  <c r="W1511" i="1"/>
  <c r="X1511" i="1"/>
  <c r="U1511" i="1"/>
  <c r="V1511" i="1" s="1"/>
  <c r="S1512" i="1"/>
  <c r="Z1511" i="1"/>
  <c r="Y1511" i="1"/>
  <c r="AG1510" i="1"/>
  <c r="AC1510" i="1"/>
  <c r="AF1510" i="1"/>
  <c r="AB1510" i="1"/>
  <c r="AE1510" i="1"/>
  <c r="AA1510" i="1"/>
  <c r="AD1511" i="1" l="1"/>
  <c r="AH1511" i="1"/>
  <c r="AA1511" i="1"/>
  <c r="AE1511" i="1"/>
  <c r="T1512" i="1"/>
  <c r="U1512" i="1"/>
  <c r="V1512" i="1" s="1"/>
  <c r="Z1512" i="1"/>
  <c r="X1512" i="1"/>
  <c r="S1513" i="1"/>
  <c r="W1512" i="1"/>
  <c r="Y1512" i="1"/>
  <c r="AG1511" i="1"/>
  <c r="AC1511" i="1"/>
  <c r="AB1511" i="1"/>
  <c r="AF1511" i="1"/>
  <c r="AB1512" i="1" l="1"/>
  <c r="AF1512" i="1"/>
  <c r="AC1512" i="1"/>
  <c r="AG1512" i="1"/>
  <c r="AH1512" i="1"/>
  <c r="AD1512" i="1"/>
  <c r="AE1512" i="1"/>
  <c r="AA1512" i="1"/>
  <c r="T1513" i="1"/>
  <c r="W1513" i="1"/>
  <c r="S1514" i="1"/>
  <c r="Z1513" i="1"/>
  <c r="Y1513" i="1"/>
  <c r="X1513" i="1"/>
  <c r="U1513" i="1"/>
  <c r="V1513" i="1" s="1"/>
  <c r="AF1513" i="1" l="1"/>
  <c r="AB1513" i="1"/>
  <c r="AH1513" i="1"/>
  <c r="AD1513" i="1"/>
  <c r="T1514" i="1"/>
  <c r="U1514" i="1"/>
  <c r="V1514" i="1" s="1"/>
  <c r="Z1514" i="1"/>
  <c r="X1514" i="1"/>
  <c r="S1515" i="1"/>
  <c r="W1514" i="1"/>
  <c r="Y1514" i="1"/>
  <c r="AA1513" i="1"/>
  <c r="AE1513" i="1"/>
  <c r="AC1513" i="1"/>
  <c r="AG1513" i="1"/>
  <c r="AF1514" i="1" l="1"/>
  <c r="AB1514" i="1"/>
  <c r="AG1514" i="1"/>
  <c r="AC1514" i="1"/>
  <c r="AH1514" i="1"/>
  <c r="AD1514" i="1"/>
  <c r="AE1514" i="1"/>
  <c r="AA1514" i="1"/>
  <c r="T1515" i="1"/>
  <c r="W1515" i="1"/>
  <c r="Z1515" i="1"/>
  <c r="X1515" i="1"/>
  <c r="U1515" i="1"/>
  <c r="V1515" i="1" s="1"/>
  <c r="S1516" i="1"/>
  <c r="Y1515" i="1"/>
  <c r="AF1515" i="1" l="1"/>
  <c r="AB1515" i="1"/>
  <c r="AG1515" i="1"/>
  <c r="AC1515" i="1"/>
  <c r="AH1515" i="1"/>
  <c r="AD1515" i="1"/>
  <c r="T1516" i="1"/>
  <c r="U1516" i="1"/>
  <c r="V1516" i="1" s="1"/>
  <c r="Y1516" i="1"/>
  <c r="Z1516" i="1"/>
  <c r="X1516" i="1"/>
  <c r="S1517" i="1"/>
  <c r="W1516" i="1"/>
  <c r="AE1515" i="1"/>
  <c r="AA1515" i="1"/>
  <c r="T1517" i="1" l="1"/>
  <c r="Y1517" i="1"/>
  <c r="X1517" i="1"/>
  <c r="U1517" i="1"/>
  <c r="V1517" i="1" s="1"/>
  <c r="W1517" i="1"/>
  <c r="S1518" i="1"/>
  <c r="Z1517" i="1"/>
  <c r="AH1516" i="1"/>
  <c r="AD1516" i="1"/>
  <c r="AF1516" i="1"/>
  <c r="AB1516" i="1"/>
  <c r="AE1516" i="1"/>
  <c r="AA1516" i="1"/>
  <c r="AG1516" i="1"/>
  <c r="AC1516" i="1"/>
  <c r="AD1517" i="1" l="1"/>
  <c r="AH1517" i="1"/>
  <c r="AF1517" i="1"/>
  <c r="AB1517" i="1"/>
  <c r="T1518" i="1"/>
  <c r="X1518" i="1"/>
  <c r="Y1518" i="1"/>
  <c r="Z1518" i="1"/>
  <c r="W1518" i="1"/>
  <c r="U1518" i="1"/>
  <c r="V1518" i="1" s="1"/>
  <c r="AG1517" i="1"/>
  <c r="AC1517" i="1"/>
  <c r="AE1517" i="1"/>
  <c r="AA1517" i="1"/>
  <c r="AD1518" i="1" l="1"/>
  <c r="AH1518" i="1"/>
  <c r="AA1518" i="1"/>
  <c r="AE1518" i="1"/>
  <c r="AG1518" i="1"/>
  <c r="AC1518" i="1"/>
  <c r="AF1518" i="1"/>
  <c r="AB1518" i="1"/>
</calcChain>
</file>

<file path=xl/sharedStrings.xml><?xml version="1.0" encoding="utf-8"?>
<sst xmlns="http://schemas.openxmlformats.org/spreadsheetml/2006/main" count="59132" uniqueCount="23484">
  <si>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</si>
  <si>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</si>
  <si>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</si>
  <si>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</si>
  <si>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</si>
  <si>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</si>
  <si>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</si>
  <si>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</si>
  <si>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</si>
  <si>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</si>
  <si>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</si>
  <si>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</si>
  <si>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</si>
  <si>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</si>
  <si>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</si>
  <si>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</si>
  <si>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</si>
  <si>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</si>
  <si>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</si>
  <si>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</si>
  <si>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</si>
  <si>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</si>
  <si>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</si>
  <si>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</si>
  <si>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</si>
  <si>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</si>
  <si>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</si>
  <si>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</si>
  <si>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</si>
  <si>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</si>
  <si>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</si>
  <si>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</si>
  <si>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</si>
  <si>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</si>
  <si>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</si>
  <si>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</si>
  <si>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</si>
  <si>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</si>
  <si>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</si>
  <si>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</si>
  <si>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</si>
  <si>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</si>
  <si>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</si>
  <si>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</si>
  <si>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</si>
  <si>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</si>
  <si>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</si>
  <si>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</si>
  <si>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</si>
  <si>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</si>
  <si>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</si>
  <si>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</si>
  <si>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</si>
  <si>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</si>
  <si>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</si>
  <si>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</si>
  <si>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</si>
  <si>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</si>
  <si>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</si>
  <si>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</si>
  <si>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</si>
  <si>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</si>
  <si>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</si>
  <si>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</si>
  <si>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</si>
  <si>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</si>
  <si>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</si>
  <si>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</si>
  <si>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</si>
  <si>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</si>
  <si>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</si>
  <si>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</si>
  <si>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</si>
  <si>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</si>
  <si>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</si>
  <si>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</si>
  <si>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</si>
  <si>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</si>
  <si>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</si>
  <si>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</si>
  <si>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</si>
  <si>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</si>
  <si>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</si>
  <si>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</si>
  <si>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</si>
  <si>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</si>
  <si>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</si>
  <si>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</si>
  <si>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</si>
  <si>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</si>
  <si>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</si>
  <si>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</si>
  <si>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</si>
  <si>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</si>
  <si>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</si>
  <si>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</si>
  <si>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</si>
  <si>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</si>
  <si>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</si>
  <si>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</si>
  <si>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</si>
  <si>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</si>
  <si>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</si>
  <si>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</si>
  <si>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</si>
  <si>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</si>
  <si>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</si>
  <si>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</si>
  <si>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</si>
  <si>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</si>
  <si>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</si>
  <si>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</si>
  <si>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</si>
  <si>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</si>
  <si>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</si>
  <si>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</si>
  <si>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</si>
  <si>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</si>
  <si>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</si>
  <si>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</si>
  <si>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</si>
  <si>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</si>
  <si>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</si>
  <si>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</si>
  <si>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</si>
  <si>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avalon_mm_rmap_i</t>
  </si>
  <si>
    <t>avalon_mm_rmap_o</t>
  </si>
  <si>
    <t>rmap_registers_wr_i</t>
  </si>
  <si>
    <t>rmap_registers_rd_i</t>
  </si>
  <si>
    <t>rmap_registers_wr_o</t>
  </si>
  <si>
    <t>t_rmap_memory_wr_area</t>
  </si>
  <si>
    <t>'1'</t>
  </si>
  <si>
    <t>(others =&gt; '0')</t>
  </si>
  <si>
    <t>type t_rmap_memory_wr_area is record</t>
  </si>
  <si>
    <t>end record t_rmap_memory_wr_area;</t>
  </si>
  <si>
    <t xml:space="preserve">    if (avalon_mm_rmap_i.byteenable(0) = '1') then</t>
  </si>
  <si>
    <t xml:space="preserve">    if (avalon_mm_rmap_i.byteenable(1) = '1') then</t>
  </si>
  <si>
    <t xml:space="preserve">    if (avalon_mm_rmap_i.byteenable(2) = '1') then</t>
  </si>
  <si>
    <t xml:space="preserve">    if (avalon_mm_rmap_i.byteenable(3) = '1') then</t>
  </si>
  <si>
    <t xml:space="preserve">    avalon_mm_rmap_o.readdata &lt;= (others =&gt; '0');</t>
  </si>
  <si>
    <t>"00"</t>
  </si>
  <si>
    <t>"RESERVED" Field</t>
  </si>
  <si>
    <t>reserved</t>
  </si>
  <si>
    <t>RmapDebAreaCritCfg</t>
  </si>
  <si>
    <t>bAebIdx3</t>
  </si>
  <si>
    <t>bAebIdx2</t>
  </si>
  <si>
    <t>bAebIdx1</t>
  </si>
  <si>
    <t>bAebIdx0</t>
  </si>
  <si>
    <t>DtcAebOnOff</t>
  </si>
  <si>
    <t xml:space="preserve">  reserved : std_logic_vector(31 downto 0); -- "RESERVED" Field</t>
  </si>
  <si>
    <t>end record ;</t>
  </si>
  <si>
    <t>typedef struct DtcAebOnOff {</t>
  </si>
  <si>
    <t>} TDtcAebOnOff;</t>
  </si>
  <si>
    <t>typedef struct RmapDebAreaCritCfg {</t>
  </si>
  <si>
    <t xml:space="preserve">  TDtcAebOnOff xDtcAebOnOff;</t>
  </si>
  <si>
    <t>} TRmapDebAreaCritCfg;</t>
  </si>
  <si>
    <t>AEB Critical Configuration Area Register "AEB_CONTROL"</t>
  </si>
  <si>
    <t>"RESERVED_0" Field</t>
  </si>
  <si>
    <t>aeb_crit_cfg_aeb_control</t>
  </si>
  <si>
    <t>t_aeb_crit_cfg_aeb_control_wr_reg</t>
  </si>
  <si>
    <t>reserved_0</t>
  </si>
  <si>
    <t>"NEW_STATE" Field</t>
  </si>
  <si>
    <t>new_state</t>
  </si>
  <si>
    <t>"0000"</t>
  </si>
  <si>
    <t>"SET_STATE" Field</t>
  </si>
  <si>
    <t>set_state</t>
  </si>
  <si>
    <t>"AEB_RESET" Field</t>
  </si>
  <si>
    <t>aeb_reset</t>
  </si>
  <si>
    <t>"RESERVED_1" Field</t>
  </si>
  <si>
    <t>reserved_1</t>
  </si>
  <si>
    <t>"ADC_DATA_RD" Field</t>
  </si>
  <si>
    <t>adc_data_rd</t>
  </si>
  <si>
    <t>"ADC_CFG_WR" Field</t>
  </si>
  <si>
    <t>adc_cfg_wr</t>
  </si>
  <si>
    <t>"ADC_CFG_RD" Field</t>
  </si>
  <si>
    <t>adc_cfg_rd</t>
  </si>
  <si>
    <t>"DAC_WR" Field</t>
  </si>
  <si>
    <t>dac_wr</t>
  </si>
  <si>
    <t>"RESERVED_2" Field</t>
  </si>
  <si>
    <t>reserved_2</t>
  </si>
  <si>
    <t>AEB Critical Configuration Area Register "AEB_CONFIG"</t>
  </si>
  <si>
    <t>aeb_crit_cfg_aeb_config</t>
  </si>
  <si>
    <t>t_aeb_crit_cfg_aeb_config_wr_reg</t>
  </si>
  <si>
    <t>"WATCH-DOG_DIS" Field</t>
  </si>
  <si>
    <t>"INT_SYNC" Field</t>
  </si>
  <si>
    <t>int_sync</t>
  </si>
  <si>
    <t>"VASP_CDS_EN" Field</t>
  </si>
  <si>
    <t>vasp_cds_en</t>
  </si>
  <si>
    <t>"VASP2_CAL_EN" Field</t>
  </si>
  <si>
    <t>vasp2_cal_en</t>
  </si>
  <si>
    <t>"VASP1_CAL_EN" Field</t>
  </si>
  <si>
    <t>vasp1_cal_en</t>
  </si>
  <si>
    <t>AEB Critical Configuration Area Register "AEB_CONFIG_KEY"</t>
  </si>
  <si>
    <t>"KEY" Field</t>
  </si>
  <si>
    <t>aeb_crit_cfg_aeb_config_key</t>
  </si>
  <si>
    <t>t_aeb_crit_cfg_aeb_config_key_wr_reg</t>
  </si>
  <si>
    <t>key</t>
  </si>
  <si>
    <t>AEB Critical Configuration Area Register "AEB_CONFIG_AIT"</t>
  </si>
  <si>
    <t>"OVERRIDE_SW" Field</t>
  </si>
  <si>
    <t>aeb_crit_cfg_aeb_config_ait</t>
  </si>
  <si>
    <t>t_aeb_crit_cfg_aeb_config_ait_wr_reg</t>
  </si>
  <si>
    <t>override_sw</t>
  </si>
  <si>
    <t>"SW_VAN3" Field</t>
  </si>
  <si>
    <t>sw_van3</t>
  </si>
  <si>
    <t>"SW_VAN2" Field</t>
  </si>
  <si>
    <t>sw_van2</t>
  </si>
  <si>
    <t>"SW_VAN1" Field</t>
  </si>
  <si>
    <t>sw_van1</t>
  </si>
  <si>
    <t>"SW_VCLK" Field</t>
  </si>
  <si>
    <t>sw_vclk</t>
  </si>
  <si>
    <t>"SW_VCCD" Field</t>
  </si>
  <si>
    <t>sw_vccd</t>
  </si>
  <si>
    <t>"OVERRIDE_VASP" Field</t>
  </si>
  <si>
    <t>override_vasp</t>
  </si>
  <si>
    <t>"VASP2_PIX_EN" Field</t>
  </si>
  <si>
    <t>vasp2_pix_en</t>
  </si>
  <si>
    <t>"VASP1_PIX_EN" Field</t>
  </si>
  <si>
    <t>vasp1_pix_en</t>
  </si>
  <si>
    <t>"VASP2_ADC_EN" Field</t>
  </si>
  <si>
    <t>vasp2_adc_en</t>
  </si>
  <si>
    <t>"VASP1_ADC_EN" Field</t>
  </si>
  <si>
    <t>vasp1_adc_en</t>
  </si>
  <si>
    <t>"VASP2_RESET" Field</t>
  </si>
  <si>
    <t>vasp2_reset</t>
  </si>
  <si>
    <t>"VASP1_RESET" Field</t>
  </si>
  <si>
    <t>vasp1_reset</t>
  </si>
  <si>
    <t>"OVERRIDE_ADC" Field</t>
  </si>
  <si>
    <t>override_adc</t>
  </si>
  <si>
    <t>"ADC2_EN_P5V0" Field</t>
  </si>
  <si>
    <t>adc2_en_p5v0</t>
  </si>
  <si>
    <t>"ADC1_EN_P5V0" Field</t>
  </si>
  <si>
    <t>adc1_en_p5v0</t>
  </si>
  <si>
    <t>"PT1000_CAL_ON_N" Field</t>
  </si>
  <si>
    <t>pt1000_cal_on_n</t>
  </si>
  <si>
    <t>"EN_V_MUX_N" Field</t>
  </si>
  <si>
    <t>en_v_mux_n</t>
  </si>
  <si>
    <t>"ADC2_PWDN_N" Field</t>
  </si>
  <si>
    <t>adc2_pwdn_n</t>
  </si>
  <si>
    <t>"ADC1_PWDN_N" Field</t>
  </si>
  <si>
    <t>adc1_pwdn_n</t>
  </si>
  <si>
    <t>"ADC_CLK_EN" Field</t>
  </si>
  <si>
    <t>adc_clk_en</t>
  </si>
  <si>
    <t>AEB Critical Configuration Area Register "AEB_CONFIG_PATTERN"</t>
  </si>
  <si>
    <t>"PATTERN_CCDID" Field</t>
  </si>
  <si>
    <t>aeb_crit_cfg_aeb_config_pattern</t>
  </si>
  <si>
    <t>t_aeb_crit_cfg_aeb_config_pattern_wr_reg</t>
  </si>
  <si>
    <t>pattern_ccdid</t>
  </si>
  <si>
    <t>"PATTERN_COLS" Field</t>
  </si>
  <si>
    <t>pattern_cols</t>
  </si>
  <si>
    <t>std_logic_vector(to_unsigned(32, 14))</t>
  </si>
  <si>
    <t>"PATTERN_ROWS" Field</t>
  </si>
  <si>
    <t>pattern_rows</t>
  </si>
  <si>
    <t>AEB Critical Configuration Area Register "VASP_I2C_CONTROL"</t>
  </si>
  <si>
    <t>"VASP_CFG_ADDR" Field</t>
  </si>
  <si>
    <t>aeb_crit_cfg_vasp_i2c_control</t>
  </si>
  <si>
    <t>t_aeb_crit_cfg_vasp_i2c_control_wr_reg</t>
  </si>
  <si>
    <t>vasp_cfg_addr</t>
  </si>
  <si>
    <t>"VASP1_CFG_DATA" Field</t>
  </si>
  <si>
    <t>vasp1_cfg_data</t>
  </si>
  <si>
    <t>"VASP2_CFG_DATA" Field</t>
  </si>
  <si>
    <t>vasp2_cfg_data</t>
  </si>
  <si>
    <t>"VASP2_SELECT" Field</t>
  </si>
  <si>
    <t>vasp2_select</t>
  </si>
  <si>
    <t>"VASP1_SELECT" Field</t>
  </si>
  <si>
    <t>vasp1_select</t>
  </si>
  <si>
    <t>"CALIBRATION_START" Field</t>
  </si>
  <si>
    <t>calibration_start</t>
  </si>
  <si>
    <t>"I2C_READ_START" Field</t>
  </si>
  <si>
    <t>i2c_read_start</t>
  </si>
  <si>
    <t>"I2C_WRITE_START" Field</t>
  </si>
  <si>
    <t>i2c_write_start</t>
  </si>
  <si>
    <t>AEB Critical Configuration Area Register "DAC_CONFIG_1"</t>
  </si>
  <si>
    <t>aeb_crit_cfg_dac_config_1</t>
  </si>
  <si>
    <t>t_aeb_crit_cfg_dac_config_1_wr_reg</t>
  </si>
  <si>
    <t>"DAC_VOG" Field</t>
  </si>
  <si>
    <t>dac_vog</t>
  </si>
  <si>
    <t>x"800"</t>
  </si>
  <si>
    <t>"DAC_VRD" Field</t>
  </si>
  <si>
    <t>dac_vrd</t>
  </si>
  <si>
    <t>AEB Critical Configuration Area Register "DAC_CONFIG_2"</t>
  </si>
  <si>
    <t>aeb_crit_cfg_dac_config_2</t>
  </si>
  <si>
    <t>t_aeb_crit_cfg_dac_config_2_wr_reg</t>
  </si>
  <si>
    <t>"DAC_VOD" Field</t>
  </si>
  <si>
    <t>dac_vod</t>
  </si>
  <si>
    <t>AEB Critical Configuration Area Register "RESERVED_20"</t>
  </si>
  <si>
    <t>aeb_crit_cfg_reserved_20</t>
  </si>
  <si>
    <t>t_aeb_crit_cfg_reserved_20_wr_reg</t>
  </si>
  <si>
    <t>AEB Critical Configuration Area Register "PWR_CONFIG1"</t>
  </si>
  <si>
    <t>"TIME_VCCD_ON" Field</t>
  </si>
  <si>
    <t>aeb_crit_cfg_pwr_config1</t>
  </si>
  <si>
    <t>t_aeb_crit_cfg_pwr_config1_wr_reg</t>
  </si>
  <si>
    <t>time_vccd_on</t>
  </si>
  <si>
    <t>x"00"</t>
  </si>
  <si>
    <t>"TIME_VCLK_ON" Field</t>
  </si>
  <si>
    <t>time_vclk_on</t>
  </si>
  <si>
    <t>x"63"</t>
  </si>
  <si>
    <t>"TIME_VAN1_ON" Field</t>
  </si>
  <si>
    <t>time_van1_on</t>
  </si>
  <si>
    <t>x"C8"</t>
  </si>
  <si>
    <t>"TIME_VAN2_ON" Field</t>
  </si>
  <si>
    <t>time_van2_on</t>
  </si>
  <si>
    <t>AEB Critical Configuration Area Register "PWR_CONFIG2"</t>
  </si>
  <si>
    <t>"TIME_VAN3_ON" Field</t>
  </si>
  <si>
    <t>aeb_crit_cfg_pwr_config2</t>
  </si>
  <si>
    <t>t_aeb_crit_cfg_pwr_config2_wr_reg</t>
  </si>
  <si>
    <t>time_van3_on</t>
  </si>
  <si>
    <t>"TIME_VCCD_OFF" Field</t>
  </si>
  <si>
    <t>time_vccd_off</t>
  </si>
  <si>
    <t>"TIME_VCLK_OFF" Field</t>
  </si>
  <si>
    <t>time_vclk_off</t>
  </si>
  <si>
    <t>"TIME_VAN1_OFF" Field</t>
  </si>
  <si>
    <t>time_van1_off</t>
  </si>
  <si>
    <t>AEB Critical Configuration Area Register "PWR_CONFIG3"</t>
  </si>
  <si>
    <t>"TIME_VAN2_OFF" Field</t>
  </si>
  <si>
    <t>aeb_crit_cfg_pwr_config3</t>
  </si>
  <si>
    <t>t_aeb_crit_cfg_pwr_config3_wr_reg</t>
  </si>
  <si>
    <t>time_van2_off</t>
  </si>
  <si>
    <t>"TIME_VAN3_OFF" Field</t>
  </si>
  <si>
    <t>time_van3_off</t>
  </si>
  <si>
    <t>AEB Critical Configuration Area Register "RESERVED_30"</t>
  </si>
  <si>
    <t>aeb_crit_cfg_reserved_30</t>
  </si>
  <si>
    <t>t_aeb_crit_cfg_reserved_30_wr_reg</t>
  </si>
  <si>
    <t>AEB Critical Configuration Area Register "RESERVED_34"</t>
  </si>
  <si>
    <t>aeb_crit_cfg_reserved_34</t>
  </si>
  <si>
    <t>t_aeb_crit_cfg_reserved_34_wr_reg</t>
  </si>
  <si>
    <t>AEB Critical Configuration Area Register "RESERVED_38"</t>
  </si>
  <si>
    <t>aeb_crit_cfg_reserved_38</t>
  </si>
  <si>
    <t>t_aeb_crit_cfg_reserved_38_wr_reg</t>
  </si>
  <si>
    <t>AEB Critical Configuration Area Register "RESERVED_3C"</t>
  </si>
  <si>
    <t>aeb_crit_cfg_reserved_3c</t>
  </si>
  <si>
    <t>t_aeb_crit_cfg_reserved_3c_wr_reg</t>
  </si>
  <si>
    <t>AEB Critical Configuration Area Register "RESERVED_40"</t>
  </si>
  <si>
    <t>aeb_crit_cfg_reserved_40</t>
  </si>
  <si>
    <t>t_aeb_crit_cfg_reserved_40_wr_reg</t>
  </si>
  <si>
    <t>AEB Critical Configuration Area Register "RESERVED_44"</t>
  </si>
  <si>
    <t>aeb_crit_cfg_reserved_44</t>
  </si>
  <si>
    <t>t_aeb_crit_cfg_reserved_44_wr_reg</t>
  </si>
  <si>
    <t>AEB Critical Configuration Area Register "RESERVED_48"</t>
  </si>
  <si>
    <t>aeb_crit_cfg_reserved_48</t>
  </si>
  <si>
    <t>t_aeb_crit_cfg_reserved_48_wr_reg</t>
  </si>
  <si>
    <t>AEB Critical Configuration Area Register "RESERVED_4C"</t>
  </si>
  <si>
    <t>aeb_crit_cfg_reserved_4c</t>
  </si>
  <si>
    <t>t_aeb_crit_cfg_reserved_4c_wr_reg</t>
  </si>
  <si>
    <t>AEB Critical Configuration Area Register "RESERVED_50"</t>
  </si>
  <si>
    <t>aeb_crit_cfg_reserved_50</t>
  </si>
  <si>
    <t>t_aeb_crit_cfg_reserved_50_wr_reg</t>
  </si>
  <si>
    <t>AEB Critical Configuration Area Register "RESERVED_54"</t>
  </si>
  <si>
    <t>aeb_crit_cfg_reserved_54</t>
  </si>
  <si>
    <t>t_aeb_crit_cfg_reserved_54_wr_reg</t>
  </si>
  <si>
    <t>AEB Critical Configuration Area Register "RESERVED_58"</t>
  </si>
  <si>
    <t>aeb_crit_cfg_reserved_58</t>
  </si>
  <si>
    <t>t_aeb_crit_cfg_reserved_58_wr_reg</t>
  </si>
  <si>
    <t>AEB Critical Configuration Area Register "RESERVED_5C"</t>
  </si>
  <si>
    <t>aeb_crit_cfg_reserved_5c</t>
  </si>
  <si>
    <t>t_aeb_crit_cfg_reserved_5c_wr_reg</t>
  </si>
  <si>
    <t>AEB Critical Configuration Area Register "RESERVED_60"</t>
  </si>
  <si>
    <t>aeb_crit_cfg_reserved_60</t>
  </si>
  <si>
    <t>t_aeb_crit_cfg_reserved_60_wr_reg</t>
  </si>
  <si>
    <t>AEB Critical Configuration Area Register "RESERVED_64"</t>
  </si>
  <si>
    <t>aeb_crit_cfg_reserved_64</t>
  </si>
  <si>
    <t>t_aeb_crit_cfg_reserved_64_wr_reg</t>
  </si>
  <si>
    <t>AEB Critical Configuration Area Register "RESERVED_68"</t>
  </si>
  <si>
    <t>aeb_crit_cfg_reserved_68</t>
  </si>
  <si>
    <t>t_aeb_crit_cfg_reserved_68_wr_reg</t>
  </si>
  <si>
    <t>AEB Critical Configuration Area Register "RESERVED_6C"</t>
  </si>
  <si>
    <t>aeb_crit_cfg_reserved_6c</t>
  </si>
  <si>
    <t>t_aeb_crit_cfg_reserved_6c_wr_reg</t>
  </si>
  <si>
    <t>AEB Critical Configuration Area Register "RESERVED_70"</t>
  </si>
  <si>
    <t>aeb_crit_cfg_reserved_70</t>
  </si>
  <si>
    <t>t_aeb_crit_cfg_reserved_70_wr_reg</t>
  </si>
  <si>
    <t>AEB Critical Configuration Area Register "RESERVED_74"</t>
  </si>
  <si>
    <t>aeb_crit_cfg_reserved_74</t>
  </si>
  <si>
    <t>t_aeb_crit_cfg_reserved_74_wr_reg</t>
  </si>
  <si>
    <t>AEB Critical Configuration Area Register "RESERVED_78"</t>
  </si>
  <si>
    <t>aeb_crit_cfg_reserved_78</t>
  </si>
  <si>
    <t>t_aeb_crit_cfg_reserved_78_wr_reg</t>
  </si>
  <si>
    <t>AEB Critical Configuration Area Register "RESERVED_7C"</t>
  </si>
  <si>
    <t>aeb_crit_cfg_reserved_7c</t>
  </si>
  <si>
    <t>t_aeb_crit_cfg_reserved_7c_wr_reg</t>
  </si>
  <si>
    <t>AEB Critical Configuration Area Register "RESERVED_80"</t>
  </si>
  <si>
    <t>aeb_crit_cfg_reserved_80</t>
  </si>
  <si>
    <t>t_aeb_crit_cfg_reserved_80_wr_reg</t>
  </si>
  <si>
    <t>AEB Critical Configuration Area Register "RESERVED_84"</t>
  </si>
  <si>
    <t>aeb_crit_cfg_reserved_84</t>
  </si>
  <si>
    <t>t_aeb_crit_cfg_reserved_84_wr_reg</t>
  </si>
  <si>
    <t>AEB Critical Configuration Area Register "RESERVED_88"</t>
  </si>
  <si>
    <t>aeb_crit_cfg_reserved_88</t>
  </si>
  <si>
    <t>t_aeb_crit_cfg_reserved_88_wr_reg</t>
  </si>
  <si>
    <t>AEB Critical Configuration Area Register "RESERVED_8C"</t>
  </si>
  <si>
    <t>aeb_crit_cfg_reserved_8c</t>
  </si>
  <si>
    <t>t_aeb_crit_cfg_reserved_8c_wr_reg</t>
  </si>
  <si>
    <t>AEB Critical Configuration Area Register "RESERVED_90"</t>
  </si>
  <si>
    <t>aeb_crit_cfg_reserved_90</t>
  </si>
  <si>
    <t>t_aeb_crit_cfg_reserved_90_wr_reg</t>
  </si>
  <si>
    <t>AEB Critical Configuration Area Register "RESERVED_94"</t>
  </si>
  <si>
    <t>aeb_crit_cfg_reserved_94</t>
  </si>
  <si>
    <t>t_aeb_crit_cfg_reserved_94_wr_reg</t>
  </si>
  <si>
    <t>AEB Critical Configuration Area Register "RESERVED_98"</t>
  </si>
  <si>
    <t>aeb_crit_cfg_reserved_98</t>
  </si>
  <si>
    <t>t_aeb_crit_cfg_reserved_98_wr_reg</t>
  </si>
  <si>
    <t>AEB Critical Configuration Area Register "RESERVED_9C"</t>
  </si>
  <si>
    <t>aeb_crit_cfg_reserved_9c</t>
  </si>
  <si>
    <t>t_aeb_crit_cfg_reserved_9c_wr_reg</t>
  </si>
  <si>
    <t>AEB Critical Configuration Area Register "RESERVED_A0"</t>
  </si>
  <si>
    <t>aeb_crit_cfg_reserved_a0</t>
  </si>
  <si>
    <t>t_aeb_crit_cfg_reserved_a0_wr_reg</t>
  </si>
  <si>
    <t>AEB Critical Configuration Area Register "RESERVED_A4"</t>
  </si>
  <si>
    <t>aeb_crit_cfg_reserved_a4</t>
  </si>
  <si>
    <t>t_aeb_crit_cfg_reserved_a4_wr_reg</t>
  </si>
  <si>
    <t>AEB Critical Configuration Area Register "RESERVED_A8"</t>
  </si>
  <si>
    <t>aeb_crit_cfg_reserved_a8</t>
  </si>
  <si>
    <t>t_aeb_crit_cfg_reserved_a8_wr_reg</t>
  </si>
  <si>
    <t>AEB Critical Configuration Area Register "RESERVED_AC"</t>
  </si>
  <si>
    <t>aeb_crit_cfg_reserved_ac</t>
  </si>
  <si>
    <t>t_aeb_crit_cfg_reserved_ac_wr_reg</t>
  </si>
  <si>
    <t>AEB Critical Configuration Area Register "RESERVED_B0"</t>
  </si>
  <si>
    <t>aeb_crit_cfg_reserved_b0</t>
  </si>
  <si>
    <t>t_aeb_crit_cfg_reserved_b0_wr_reg</t>
  </si>
  <si>
    <t>AEB Critical Configuration Area Register "RESERVED_B4"</t>
  </si>
  <si>
    <t>aeb_crit_cfg_reserved_b4</t>
  </si>
  <si>
    <t>t_aeb_crit_cfg_reserved_b4_wr_reg</t>
  </si>
  <si>
    <t>AEB Critical Configuration Area Register "RESERVED_B8"</t>
  </si>
  <si>
    <t>aeb_crit_cfg_reserved_b8</t>
  </si>
  <si>
    <t>t_aeb_crit_cfg_reserved_b8_wr_reg</t>
  </si>
  <si>
    <t>AEB Critical Configuration Area Register "RESERVED_BC"</t>
  </si>
  <si>
    <t>aeb_crit_cfg_reserved_bc</t>
  </si>
  <si>
    <t>t_aeb_crit_cfg_reserved_bc_wr_reg</t>
  </si>
  <si>
    <t>AEB Critical Configuration Area Register "RESERVED_C0"</t>
  </si>
  <si>
    <t>aeb_crit_cfg_reserved_c0</t>
  </si>
  <si>
    <t>t_aeb_crit_cfg_reserved_c0_wr_reg</t>
  </si>
  <si>
    <t>AEB Critical Configuration Area Register "RESERVED_C4"</t>
  </si>
  <si>
    <t>aeb_crit_cfg_reserved_c4</t>
  </si>
  <si>
    <t>t_aeb_crit_cfg_reserved_c4_wr_reg</t>
  </si>
  <si>
    <t>AEB Critical Configuration Area Register "RESERVED_C8"</t>
  </si>
  <si>
    <t>aeb_crit_cfg_reserved_c8</t>
  </si>
  <si>
    <t>t_aeb_crit_cfg_reserved_c8_wr_reg</t>
  </si>
  <si>
    <t>AEB Critical Configuration Area Register "RESERVED_CC"</t>
  </si>
  <si>
    <t>aeb_crit_cfg_reserved_cc</t>
  </si>
  <si>
    <t>t_aeb_crit_cfg_reserved_cc_wr_reg</t>
  </si>
  <si>
    <t>AEB Critical Configuration Area Register "RESERVED_D0"</t>
  </si>
  <si>
    <t>aeb_crit_cfg_reserved_d0</t>
  </si>
  <si>
    <t>t_aeb_crit_cfg_reserved_d0_wr_reg</t>
  </si>
  <si>
    <t>AEB Critical Configuration Area Register "RESERVED_D4"</t>
  </si>
  <si>
    <t>aeb_crit_cfg_reserved_d4</t>
  </si>
  <si>
    <t>t_aeb_crit_cfg_reserved_d4_wr_reg</t>
  </si>
  <si>
    <t>AEB Critical Configuration Area Register "RESERVED_D8"</t>
  </si>
  <si>
    <t>aeb_crit_cfg_reserved_d8</t>
  </si>
  <si>
    <t>t_aeb_crit_cfg_reserved_d8_wr_reg</t>
  </si>
  <si>
    <t>AEB Critical Configuration Area Register "RESERVED_DC"</t>
  </si>
  <si>
    <t>aeb_crit_cfg_reserved_dc</t>
  </si>
  <si>
    <t>t_aeb_crit_cfg_reserved_dc_wr_reg</t>
  </si>
  <si>
    <t>AEB Critical Configuration Area Register "RESERVED_E0"</t>
  </si>
  <si>
    <t>aeb_crit_cfg_reserved_e0</t>
  </si>
  <si>
    <t>t_aeb_crit_cfg_reserved_e0_wr_reg</t>
  </si>
  <si>
    <t>AEB Critical Configuration Area Register "RESERVED_E4"</t>
  </si>
  <si>
    <t>aeb_crit_cfg_reserved_e4</t>
  </si>
  <si>
    <t>t_aeb_crit_cfg_reserved_e4_wr_reg</t>
  </si>
  <si>
    <t>AEB Critical Configuration Area Register "RESERVED_E8"</t>
  </si>
  <si>
    <t>aeb_crit_cfg_reserved_e8</t>
  </si>
  <si>
    <t>t_aeb_crit_cfg_reserved_e8_wr_reg</t>
  </si>
  <si>
    <t>AEB Critical Configuration Area Register "RESERVED_EC"</t>
  </si>
  <si>
    <t>aeb_crit_cfg_reserved_ec</t>
  </si>
  <si>
    <t>t_aeb_crit_cfg_reserved_ec_wr_reg</t>
  </si>
  <si>
    <t>AEB Critical Configuration Area Register "RESERVED_F0"</t>
  </si>
  <si>
    <t>aeb_crit_cfg_reserved_f0</t>
  </si>
  <si>
    <t>t_aeb_crit_cfg_reserved_f0_wr_reg</t>
  </si>
  <si>
    <t>AEB Critical Configuration Area Register "RESERVED_F4"</t>
  </si>
  <si>
    <t>aeb_crit_cfg_reserved_f4</t>
  </si>
  <si>
    <t>t_aeb_crit_cfg_reserved_f4_wr_reg</t>
  </si>
  <si>
    <t>AEB Critical Configuration Area Register "RESERVED_F8"</t>
  </si>
  <si>
    <t>aeb_crit_cfg_reserved_f8</t>
  </si>
  <si>
    <t>t_aeb_crit_cfg_reserved_f8_wr_reg</t>
  </si>
  <si>
    <t>AEB Critical Configuration Area Register "RESERVED_FC"</t>
  </si>
  <si>
    <t>aeb_crit_cfg_reserved_fc</t>
  </si>
  <si>
    <t>t_aeb_crit_cfg_reserved_fc_wr_reg</t>
  </si>
  <si>
    <t>AEB General Configuration Area Register "ADC1_CONFIG_1"</t>
  </si>
  <si>
    <t>aeb_gen_cfg_adc1_config_1</t>
  </si>
  <si>
    <t>t_aeb_gen_cfg_adc1_config_1_wr_reg</t>
  </si>
  <si>
    <t>"SPIRST" Field</t>
  </si>
  <si>
    <t>spirst</t>
  </si>
  <si>
    <t>"MUXMOD" Field</t>
  </si>
  <si>
    <t>muxmod</t>
  </si>
  <si>
    <t>"BYPAS" Field</t>
  </si>
  <si>
    <t>bypas</t>
  </si>
  <si>
    <t>"CLKENB" Field</t>
  </si>
  <si>
    <t>clkenb</t>
  </si>
  <si>
    <t>"CHOP" Field</t>
  </si>
  <si>
    <t>chop</t>
  </si>
  <si>
    <t>"STAT" Field</t>
  </si>
  <si>
    <t>stat</t>
  </si>
  <si>
    <t>"IDLMOD" Field</t>
  </si>
  <si>
    <t>idlmod</t>
  </si>
  <si>
    <t>"DLY" Field</t>
  </si>
  <si>
    <t>dly</t>
  </si>
  <si>
    <t>"100"</t>
  </si>
  <si>
    <t>"SBCS" Field</t>
  </si>
  <si>
    <t>sbcs</t>
  </si>
  <si>
    <t>"DRATE" Field</t>
  </si>
  <si>
    <t>drate</t>
  </si>
  <si>
    <t>"AINP" Field</t>
  </si>
  <si>
    <t>ainp</t>
  </si>
  <si>
    <t>"AINN" Field</t>
  </si>
  <si>
    <t>ainn</t>
  </si>
  <si>
    <t>"DIFF" Field</t>
  </si>
  <si>
    <t>diff</t>
  </si>
  <si>
    <t>x"3F"</t>
  </si>
  <si>
    <t>AEB General Configuration Area Register "ADC1_CONFIG_2"</t>
  </si>
  <si>
    <t>"AIN7" Field</t>
  </si>
  <si>
    <t>aeb_gen_cfg_adc1_config_2</t>
  </si>
  <si>
    <t>t_aeb_gen_cfg_adc1_config_2_wr_reg</t>
  </si>
  <si>
    <t>ain7</t>
  </si>
  <si>
    <t>"AIN6" Field</t>
  </si>
  <si>
    <t>ain6</t>
  </si>
  <si>
    <t>"AIN5" Field</t>
  </si>
  <si>
    <t>ain5</t>
  </si>
  <si>
    <t>"AIN4" Field</t>
  </si>
  <si>
    <t>ain4</t>
  </si>
  <si>
    <t>"AIN3" Field</t>
  </si>
  <si>
    <t>ain3</t>
  </si>
  <si>
    <t>"AIN2" Field</t>
  </si>
  <si>
    <t>ain2</t>
  </si>
  <si>
    <t>"AIN1" Field</t>
  </si>
  <si>
    <t>ain1</t>
  </si>
  <si>
    <t>"AIN0" Field</t>
  </si>
  <si>
    <t>ain0</t>
  </si>
  <si>
    <t>"AIN15" Field</t>
  </si>
  <si>
    <t>ain15</t>
  </si>
  <si>
    <t>"AIN14" Field</t>
  </si>
  <si>
    <t>ain14</t>
  </si>
  <si>
    <t>"AIN13" Field</t>
  </si>
  <si>
    <t>ain13</t>
  </si>
  <si>
    <t>"AIN12" Field</t>
  </si>
  <si>
    <t>ain12</t>
  </si>
  <si>
    <t>"AIN11" Field</t>
  </si>
  <si>
    <t>ain11</t>
  </si>
  <si>
    <t>"AIN10" Field</t>
  </si>
  <si>
    <t>ain10</t>
  </si>
  <si>
    <t>"AIN9" Field</t>
  </si>
  <si>
    <t>ain9</t>
  </si>
  <si>
    <t>"AIN8" Field</t>
  </si>
  <si>
    <t>ain8</t>
  </si>
  <si>
    <t>"REF" Field</t>
  </si>
  <si>
    <t>ref</t>
  </si>
  <si>
    <t>"GAIN" Field</t>
  </si>
  <si>
    <t>gain</t>
  </si>
  <si>
    <t>"TEMP" Field</t>
  </si>
  <si>
    <t>temp</t>
  </si>
  <si>
    <t>"VCC" Field</t>
  </si>
  <si>
    <t>vcc</t>
  </si>
  <si>
    <t>"OFFSET" Field</t>
  </si>
  <si>
    <t>offset</t>
  </si>
  <si>
    <t>"CIO7" Field</t>
  </si>
  <si>
    <t>cio7</t>
  </si>
  <si>
    <t>"CIO6" Field</t>
  </si>
  <si>
    <t>cio6</t>
  </si>
  <si>
    <t>"CIO5" Field</t>
  </si>
  <si>
    <t>cio5</t>
  </si>
  <si>
    <t>"CIO4" Field</t>
  </si>
  <si>
    <t>cio4</t>
  </si>
  <si>
    <t>"CIO3" Field</t>
  </si>
  <si>
    <t>cio3</t>
  </si>
  <si>
    <t>"CIO2" Field</t>
  </si>
  <si>
    <t>cio2</t>
  </si>
  <si>
    <t>"CIO1" Field</t>
  </si>
  <si>
    <t>cio1</t>
  </si>
  <si>
    <t>"CIO0" Field</t>
  </si>
  <si>
    <t>cio0</t>
  </si>
  <si>
    <t>AEB General Configuration Area Register "ADC1_CONFIG_3"</t>
  </si>
  <si>
    <t>"DIO7" Field</t>
  </si>
  <si>
    <t>aeb_gen_cfg_adc1_config_3</t>
  </si>
  <si>
    <t>t_aeb_gen_cfg_adc1_config_3_wr_reg</t>
  </si>
  <si>
    <t>dio7</t>
  </si>
  <si>
    <t>"DIO6" Field</t>
  </si>
  <si>
    <t>dio6</t>
  </si>
  <si>
    <t>"DIO5" Field</t>
  </si>
  <si>
    <t>dio5</t>
  </si>
  <si>
    <t>"DIO4" Field</t>
  </si>
  <si>
    <t>dio4</t>
  </si>
  <si>
    <t>"DIO3" Field</t>
  </si>
  <si>
    <t>dio3</t>
  </si>
  <si>
    <t>"DIO2" Field</t>
  </si>
  <si>
    <t>dio2</t>
  </si>
  <si>
    <t>"DIO1" Field</t>
  </si>
  <si>
    <t>dio1</t>
  </si>
  <si>
    <t>"DIO0" Field</t>
  </si>
  <si>
    <t>dio0</t>
  </si>
  <si>
    <t>AEB General Configuration Area Register "ADC2_CONFIG_1"</t>
  </si>
  <si>
    <t>aeb_gen_cfg_adc2_config_1</t>
  </si>
  <si>
    <t>t_aeb_gen_cfg_adc2_config_1_wr_reg</t>
  </si>
  <si>
    <t>x"8F"</t>
  </si>
  <si>
    <t>AEB General Configuration Area Register "ADC2_CONFIG_2"</t>
  </si>
  <si>
    <t>aeb_gen_cfg_adc2_config_2</t>
  </si>
  <si>
    <t>t_aeb_gen_cfg_adc2_config_2_wr_reg</t>
  </si>
  <si>
    <t>AEB General Configuration Area Register "ADC2_CONFIG_3"</t>
  </si>
  <si>
    <t>aeb_gen_cfg_adc2_config_3</t>
  </si>
  <si>
    <t>t_aeb_gen_cfg_adc2_config_3_wr_reg</t>
  </si>
  <si>
    <t>AEB General Configuration Area Register "RESERVED_118"</t>
  </si>
  <si>
    <t>aeb_gen_cfg_reserved_118</t>
  </si>
  <si>
    <t>t_aeb_gen_cfg_reserved_118_wr_reg</t>
  </si>
  <si>
    <t>AEB General Configuration Area Register "RESERVED_11C"</t>
  </si>
  <si>
    <t>aeb_gen_cfg_reserved_11c</t>
  </si>
  <si>
    <t>t_aeb_gen_cfg_reserved_11c_wr_reg</t>
  </si>
  <si>
    <t>AEB General Configuration Area Register "SEQ_CONFIG_1"</t>
  </si>
  <si>
    <t>aeb_gen_cfg_seq_config_1</t>
  </si>
  <si>
    <t>t_aeb_gen_cfg_seq_config_1_wr_reg</t>
  </si>
  <si>
    <t>"SEQ_OE_CCD_ENABLE" Field</t>
  </si>
  <si>
    <t>seq_oe_ccd_enable</t>
  </si>
  <si>
    <t>"SEQ_OE_SPARE" Field</t>
  </si>
  <si>
    <t>seq_oe_spare</t>
  </si>
  <si>
    <t>"SEQ_OE_TSTLINE" Field</t>
  </si>
  <si>
    <t>seq_oe_tstline</t>
  </si>
  <si>
    <t>"SEQ_OE_TSTFRM" Field</t>
  </si>
  <si>
    <t>seq_oe_tstfrm</t>
  </si>
  <si>
    <t>"SEQ_OE_VASPCLAMP" Field</t>
  </si>
  <si>
    <t>seq_oe_vaspclamp</t>
  </si>
  <si>
    <t>"SEQ_OE_PRECLAMP" Field</t>
  </si>
  <si>
    <t>seq_oe_preclamp</t>
  </si>
  <si>
    <t>"SEQ_OE_IG" Field</t>
  </si>
  <si>
    <t>seq_oe_ig</t>
  </si>
  <si>
    <t>"SEQ_OE_TG" Field</t>
  </si>
  <si>
    <t>seq_oe_tg</t>
  </si>
  <si>
    <t>"SEQ_OE_DG" Field</t>
  </si>
  <si>
    <t>seq_oe_dg</t>
  </si>
  <si>
    <t>"SEQ_OE_RPHIR" Field</t>
  </si>
  <si>
    <t>seq_oe_rphir</t>
  </si>
  <si>
    <t>"SEQ_OE_SW" Field</t>
  </si>
  <si>
    <t>seq_oe_sw</t>
  </si>
  <si>
    <t>"SEQ_OE_RPHI3" Field</t>
  </si>
  <si>
    <t>seq_oe_rphi3</t>
  </si>
  <si>
    <t>"SEQ_OE_RPHI2" Field</t>
  </si>
  <si>
    <t>seq_oe_rphi2</t>
  </si>
  <si>
    <t>"SEQ_OE_RPHI1" Field</t>
  </si>
  <si>
    <t>seq_oe_rphi1</t>
  </si>
  <si>
    <t>"SEQ_OE_SPHI4" Field</t>
  </si>
  <si>
    <t>seq_oe_sphi4</t>
  </si>
  <si>
    <t>"SEQ_OE_SPHI3" Field</t>
  </si>
  <si>
    <t>seq_oe_sphi3</t>
  </si>
  <si>
    <t>"SEQ_OE_SPHI2" Field</t>
  </si>
  <si>
    <t>seq_oe_sphi2</t>
  </si>
  <si>
    <t>"SEQ_OE_SPHI1" Field</t>
  </si>
  <si>
    <t>seq_oe_sphi1</t>
  </si>
  <si>
    <t>"SEQ_OE_IPHI4" Field</t>
  </si>
  <si>
    <t>seq_oe_iphi4</t>
  </si>
  <si>
    <t>"SEQ_OE_IPHI3" Field</t>
  </si>
  <si>
    <t>seq_oe_iphi3</t>
  </si>
  <si>
    <t>"SEQ_OE_IPHI2" Field</t>
  </si>
  <si>
    <t>seq_oe_iphi2</t>
  </si>
  <si>
    <t>"SEQ_OE_IPHI1" Field</t>
  </si>
  <si>
    <t>seq_oe_iphi1</t>
  </si>
  <si>
    <t>"ADC_CLK_DIV" Field</t>
  </si>
  <si>
    <t>adc_clk_div</t>
  </si>
  <si>
    <t>"0011111"</t>
  </si>
  <si>
    <t>AEB General Configuration Area Register "SEQ_CONFIG_2"</t>
  </si>
  <si>
    <t>"ADC_CLK_LOW_POS" Field</t>
  </si>
  <si>
    <t>aeb_gen_cfg_seq_config_2</t>
  </si>
  <si>
    <t>t_aeb_gen_cfg_seq_config_2_wr_reg</t>
  </si>
  <si>
    <t>adc_clk_low_pos</t>
  </si>
  <si>
    <t>x"0E"</t>
  </si>
  <si>
    <t>"ADC_CLK_HIGH_POS" Field</t>
  </si>
  <si>
    <t>adc_clk_high_pos</t>
  </si>
  <si>
    <t>x"1F"</t>
  </si>
  <si>
    <t>"CDS_CLK_LOW_POS" Field</t>
  </si>
  <si>
    <t>cds_clk_low_pos</t>
  </si>
  <si>
    <t>"CDS_CLK_HIGH_POS" Field</t>
  </si>
  <si>
    <t>cds_clk_high_pos</t>
  </si>
  <si>
    <t>x"11"</t>
  </si>
  <si>
    <t>AEB General Configuration Area Register "SEQ_CONFIG_3"</t>
  </si>
  <si>
    <t>"RPHIR_CLK_LOW_POS" Field</t>
  </si>
  <si>
    <t>aeb_gen_cfg_seq_config_3</t>
  </si>
  <si>
    <t>t_aeb_gen_cfg_seq_config_3_wr_reg</t>
  </si>
  <si>
    <t>rphir_clk_low_pos</t>
  </si>
  <si>
    <t>"RPHIR_CLK_HIGH_POS" Field</t>
  </si>
  <si>
    <t>rphir_clk_high_pos</t>
  </si>
  <si>
    <t>"RPHI1_CLK_LOW_POS" Field</t>
  </si>
  <si>
    <t>rphi1_clk_low_pos</t>
  </si>
  <si>
    <t>"RPHI1_CLK_HIGH_POS" Field</t>
  </si>
  <si>
    <t>rphi1_clk_high_pos</t>
  </si>
  <si>
    <t>AEB General Configuration Area Register "SEQ_CONFIG_4"</t>
  </si>
  <si>
    <t>"RPHI2_CLK_LOW_POS" Field</t>
  </si>
  <si>
    <t>aeb_gen_cfg_seq_config_4</t>
  </si>
  <si>
    <t>t_aeb_gen_cfg_seq_config_4_wr_reg</t>
  </si>
  <si>
    <t>rphi2_clk_low_pos</t>
  </si>
  <si>
    <t>"RPHI2_CLK_HIGH_POS" Field</t>
  </si>
  <si>
    <t>rphi2_clk_high_pos</t>
  </si>
  <si>
    <t>"RPHI3_CLK_LOW_POS" Field</t>
  </si>
  <si>
    <t>rphi3_clk_low_pos</t>
  </si>
  <si>
    <t>"RPHI3_CLK_HIGH_POS" Field</t>
  </si>
  <si>
    <t>rphi3_clk_high_pos</t>
  </si>
  <si>
    <t>AEB General Configuration Area Register "SEQ_CONFIG_5"</t>
  </si>
  <si>
    <t>"SW_CLK_LOW_POS" Field</t>
  </si>
  <si>
    <t>aeb_gen_cfg_seq_config_5</t>
  </si>
  <si>
    <t>t_aeb_gen_cfg_seq_config_5_wr_reg</t>
  </si>
  <si>
    <t>sw_clk_low_pos</t>
  </si>
  <si>
    <t>"SW_CLK_HIGH_POS" Field</t>
  </si>
  <si>
    <t>sw_clk_high_pos</t>
  </si>
  <si>
    <t>"VASP_OUT_CTRL" Field</t>
  </si>
  <si>
    <t>vasp_out_ctrl</t>
  </si>
  <si>
    <t>"VASP_OUT_EN_POS" Field</t>
  </si>
  <si>
    <t>vasp_out_en_pos</t>
  </si>
  <si>
    <t>AEB General Configuration Area Register "SEQ_CONFIG_6"</t>
  </si>
  <si>
    <t>"VASP_OUT_CTRL_INV" Field</t>
  </si>
  <si>
    <t>aeb_gen_cfg_seq_config_6</t>
  </si>
  <si>
    <t>t_aeb_gen_cfg_seq_config_6_wr_reg</t>
  </si>
  <si>
    <t>vasp_out_ctrl_inv</t>
  </si>
  <si>
    <t>"VASP_OUT_DIS_POS" Field</t>
  </si>
  <si>
    <t>vasp_out_dis_pos</t>
  </si>
  <si>
    <t>AEB General Configuration Area Register "SEQ_CONFIG_7"</t>
  </si>
  <si>
    <t>aeb_gen_cfg_seq_config_7</t>
  </si>
  <si>
    <t>t_aeb_gen_cfg_seq_config_7_wr_reg</t>
  </si>
  <si>
    <t>AEB General Configuration Area Register "SEQ_CONFIG_8"</t>
  </si>
  <si>
    <t>aeb_gen_cfg_seq_config_8</t>
  </si>
  <si>
    <t>t_aeb_gen_cfg_seq_config_8_wr_reg</t>
  </si>
  <si>
    <t>AEB General Configuration Area Register "SEQ_CONFIG_9"</t>
  </si>
  <si>
    <t>aeb_gen_cfg_seq_config_9</t>
  </si>
  <si>
    <t>t_aeb_gen_cfg_seq_config_9_wr_reg</t>
  </si>
  <si>
    <t>"FT_LOOP_CNT" Field</t>
  </si>
  <si>
    <t>ft_loop_cnt</t>
  </si>
  <si>
    <t>"00100011000101"</t>
  </si>
  <si>
    <t>"LT0_ENABLED" Field</t>
  </si>
  <si>
    <t>lt0_enabled</t>
  </si>
  <si>
    <t>"LT0_LOOP_CNT" Field</t>
  </si>
  <si>
    <t>lt0_loop_cnt</t>
  </si>
  <si>
    <t>AEB General Configuration Area Register "SEQ_CONFIG_10"</t>
  </si>
  <si>
    <t>"LT1_ENABLED" Field</t>
  </si>
  <si>
    <t>aeb_gen_cfg_seq_config_10</t>
  </si>
  <si>
    <t>t_aeb_gen_cfg_seq_config_10_wr_reg</t>
  </si>
  <si>
    <t>lt1_enabled</t>
  </si>
  <si>
    <t>"LT1_LOOP_CNT" Field</t>
  </si>
  <si>
    <t>lt1_loop_cnt</t>
  </si>
  <si>
    <t>"LT2_ENABLED" Field</t>
  </si>
  <si>
    <t>lt2_enabled</t>
  </si>
  <si>
    <t>"LT2_LOOP_CNT" Field</t>
  </si>
  <si>
    <t>lt2_loop_cnt</t>
  </si>
  <si>
    <t>AEB General Configuration Area Register "SEQ_CONFIG_11"</t>
  </si>
  <si>
    <t>"LT3_ENABLED" Field</t>
  </si>
  <si>
    <t>aeb_gen_cfg_seq_config_11</t>
  </si>
  <si>
    <t>t_aeb_gen_cfg_seq_config_11_wr_reg</t>
  </si>
  <si>
    <t>lt3_enabled</t>
  </si>
  <si>
    <t>"LT3_LOOP_CNT" Field</t>
  </si>
  <si>
    <t>lt3_loop_cnt</t>
  </si>
  <si>
    <t>"00101000000000"</t>
  </si>
  <si>
    <t>"PIX_LOOP_CNT_WORD_1" Field</t>
  </si>
  <si>
    <t>pix_loop_cnt_word_1</t>
  </si>
  <si>
    <t>x"0000"</t>
  </si>
  <si>
    <t>AEB General Configuration Area Register "SEQ_CONFIG_12"</t>
  </si>
  <si>
    <t>"PIX_LOOP_CNT_WORD_0" Field</t>
  </si>
  <si>
    <t>aeb_gen_cfg_seq_config_12</t>
  </si>
  <si>
    <t>t_aeb_gen_cfg_seq_config_12_wr_reg</t>
  </si>
  <si>
    <t>pix_loop_cnt_word_0</t>
  </si>
  <si>
    <t>x"08C5"</t>
  </si>
  <si>
    <t>"PC_ENABLED" Field</t>
  </si>
  <si>
    <t>pc_enabled</t>
  </si>
  <si>
    <t>"PC_LOOP_CNT" Field</t>
  </si>
  <si>
    <t>pc_loop_cnt</t>
  </si>
  <si>
    <t>"01000110001010"</t>
  </si>
  <si>
    <t>AEB General Configuration Area Register "SEQ_CONFIG_13"</t>
  </si>
  <si>
    <t>aeb_gen_cfg_seq_config_13</t>
  </si>
  <si>
    <t>t_aeb_gen_cfg_seq_config_13_wr_reg</t>
  </si>
  <si>
    <t>"INT1_LOOP_CNT" Field</t>
  </si>
  <si>
    <t>int1_loop_cnt</t>
  </si>
  <si>
    <t>"INT2_LOOP_CNT" Field</t>
  </si>
  <si>
    <t>int2_loop_cnt</t>
  </si>
  <si>
    <t>AEB General Configuration Area Register "SEQ_CONFIG_14"</t>
  </si>
  <si>
    <t>aeb_gen_cfg_seq_config_14</t>
  </si>
  <si>
    <t>t_aeb_gen_cfg_seq_config_14_wr_reg</t>
  </si>
  <si>
    <t>"SPHI_INV" Field</t>
  </si>
  <si>
    <t>sphi_inv</t>
  </si>
  <si>
    <t>"RPHI_INV" Field</t>
  </si>
  <si>
    <t>rphi_inv</t>
  </si>
  <si>
    <t>AEB General Configuration Area Register "RESERVED_158"</t>
  </si>
  <si>
    <t>aeb_gen_cfg_reserved_158</t>
  </si>
  <si>
    <t>t_aeb_gen_cfg_reserved_158_wr_reg</t>
  </si>
  <si>
    <t>AEB General Configuration Area Register "RESERVED_15C"</t>
  </si>
  <si>
    <t>aeb_gen_cfg_reserved_15c</t>
  </si>
  <si>
    <t>t_aeb_gen_cfg_reserved_15c_wr_reg</t>
  </si>
  <si>
    <t>AEB General Configuration Area Register "RESERVED_160"</t>
  </si>
  <si>
    <t>aeb_gen_cfg_reserved_160</t>
  </si>
  <si>
    <t>t_aeb_gen_cfg_reserved_160_wr_reg</t>
  </si>
  <si>
    <t>AEB General Configuration Area Register "RESERVED_164"</t>
  </si>
  <si>
    <t>aeb_gen_cfg_reserved_164</t>
  </si>
  <si>
    <t>t_aeb_gen_cfg_reserved_164_wr_reg</t>
  </si>
  <si>
    <t>AEB General Configuration Area Register "RESERVED_168"</t>
  </si>
  <si>
    <t>aeb_gen_cfg_reserved_168</t>
  </si>
  <si>
    <t>t_aeb_gen_cfg_reserved_168_wr_reg</t>
  </si>
  <si>
    <t>AEB General Configuration Area Register "RESERVED_16C"</t>
  </si>
  <si>
    <t>aeb_gen_cfg_reserved_16c</t>
  </si>
  <si>
    <t>t_aeb_gen_cfg_reserved_16c_wr_reg</t>
  </si>
  <si>
    <t>AEB General Configuration Area Register "RESERVED_170"</t>
  </si>
  <si>
    <t>aeb_gen_cfg_reserved_170</t>
  </si>
  <si>
    <t>t_aeb_gen_cfg_reserved_170_wr_reg</t>
  </si>
  <si>
    <t>AEB General Configuration Area Register "RESERVED_174"</t>
  </si>
  <si>
    <t>aeb_gen_cfg_reserved_174</t>
  </si>
  <si>
    <t>t_aeb_gen_cfg_reserved_174_wr_reg</t>
  </si>
  <si>
    <t>AEB General Configuration Area Register "RESERVED_178"</t>
  </si>
  <si>
    <t>aeb_gen_cfg_reserved_178</t>
  </si>
  <si>
    <t>t_aeb_gen_cfg_reserved_178_wr_reg</t>
  </si>
  <si>
    <t>AEB General Configuration Area Register "RESERVED_17C"</t>
  </si>
  <si>
    <t>aeb_gen_cfg_reserved_17c</t>
  </si>
  <si>
    <t>t_aeb_gen_cfg_reserved_17c_wr_reg</t>
  </si>
  <si>
    <t>AEB General Configuration Area Register "RESERVED_180"</t>
  </si>
  <si>
    <t>aeb_gen_cfg_reserved_180</t>
  </si>
  <si>
    <t>t_aeb_gen_cfg_reserved_180_wr_reg</t>
  </si>
  <si>
    <t>AEB General Configuration Area Register "RESERVED_184"</t>
  </si>
  <si>
    <t>aeb_gen_cfg_reserved_184</t>
  </si>
  <si>
    <t>t_aeb_gen_cfg_reserved_184_wr_reg</t>
  </si>
  <si>
    <t>AEB General Configuration Area Register "RESERVED_188"</t>
  </si>
  <si>
    <t>aeb_gen_cfg_reserved_188</t>
  </si>
  <si>
    <t>t_aeb_gen_cfg_reserved_188_wr_reg</t>
  </si>
  <si>
    <t>AEB General Configuration Area Register "RESERVED_18C"</t>
  </si>
  <si>
    <t>aeb_gen_cfg_reserved_18c</t>
  </si>
  <si>
    <t>t_aeb_gen_cfg_reserved_18c_wr_reg</t>
  </si>
  <si>
    <t>AEB General Configuration Area Register "RESERVED_190"</t>
  </si>
  <si>
    <t>aeb_gen_cfg_reserved_190</t>
  </si>
  <si>
    <t>t_aeb_gen_cfg_reserved_190_wr_reg</t>
  </si>
  <si>
    <t>AEB General Configuration Area Register "RESERVED_194"</t>
  </si>
  <si>
    <t>aeb_gen_cfg_reserved_194</t>
  </si>
  <si>
    <t>t_aeb_gen_cfg_reserved_194_wr_reg</t>
  </si>
  <si>
    <t>AEB General Configuration Area Register "RESERVED_198"</t>
  </si>
  <si>
    <t>aeb_gen_cfg_reserved_198</t>
  </si>
  <si>
    <t>t_aeb_gen_cfg_reserved_198_wr_reg</t>
  </si>
  <si>
    <t>AEB General Configuration Area Register "RESERVED_19C"</t>
  </si>
  <si>
    <t>aeb_gen_cfg_reserved_19c</t>
  </si>
  <si>
    <t>t_aeb_gen_cfg_reserved_19c_wr_reg</t>
  </si>
  <si>
    <t>AEB General Configuration Area Register "RESERVED_1A0"</t>
  </si>
  <si>
    <t>aeb_gen_cfg_reserved_1a0</t>
  </si>
  <si>
    <t>t_aeb_gen_cfg_reserved_1a0_wr_reg</t>
  </si>
  <si>
    <t>AEB General Configuration Area Register "RESERVED_1A4"</t>
  </si>
  <si>
    <t>aeb_gen_cfg_reserved_1a4</t>
  </si>
  <si>
    <t>t_aeb_gen_cfg_reserved_1a4_wr_reg</t>
  </si>
  <si>
    <t>AEB General Configuration Area Register "RESERVED_1A8"</t>
  </si>
  <si>
    <t>aeb_gen_cfg_reserved_1a8</t>
  </si>
  <si>
    <t>t_aeb_gen_cfg_reserved_1a8_wr_reg</t>
  </si>
  <si>
    <t>AEB General Configuration Area Register "RESERVED_1AC"</t>
  </si>
  <si>
    <t>aeb_gen_cfg_reserved_1ac</t>
  </si>
  <si>
    <t>t_aeb_gen_cfg_reserved_1ac_wr_reg</t>
  </si>
  <si>
    <t>AEB General Configuration Area Register "RESERVED_1B0"</t>
  </si>
  <si>
    <t>aeb_gen_cfg_reserved_1b0</t>
  </si>
  <si>
    <t>t_aeb_gen_cfg_reserved_1b0_wr_reg</t>
  </si>
  <si>
    <t>AEB General Configuration Area Register "RESERVED_1B4"</t>
  </si>
  <si>
    <t>aeb_gen_cfg_reserved_1b4</t>
  </si>
  <si>
    <t>t_aeb_gen_cfg_reserved_1b4_wr_reg</t>
  </si>
  <si>
    <t>AEB General Configuration Area Register "RESERVED_1B8"</t>
  </si>
  <si>
    <t>aeb_gen_cfg_reserved_1b8</t>
  </si>
  <si>
    <t>t_aeb_gen_cfg_reserved_1b8_wr_reg</t>
  </si>
  <si>
    <t>AEB General Configuration Area Register "RESERVED_1BC"</t>
  </si>
  <si>
    <t>aeb_gen_cfg_reserved_1bc</t>
  </si>
  <si>
    <t>t_aeb_gen_cfg_reserved_1bc_wr_reg</t>
  </si>
  <si>
    <t>AEB General Configuration Area Register "RESERVED_1C0"</t>
  </si>
  <si>
    <t>aeb_gen_cfg_reserved_1c0</t>
  </si>
  <si>
    <t>t_aeb_gen_cfg_reserved_1c0_wr_reg</t>
  </si>
  <si>
    <t>AEB General Configuration Area Register "RESERVED_1C4"</t>
  </si>
  <si>
    <t>aeb_gen_cfg_reserved_1c4</t>
  </si>
  <si>
    <t>t_aeb_gen_cfg_reserved_1c4_wr_reg</t>
  </si>
  <si>
    <t>AEB General Configuration Area Register "RESERVED_1C8"</t>
  </si>
  <si>
    <t>aeb_gen_cfg_reserved_1c8</t>
  </si>
  <si>
    <t>t_aeb_gen_cfg_reserved_1c8_wr_reg</t>
  </si>
  <si>
    <t>AEB General Configuration Area Register "RESERVED_1CC"</t>
  </si>
  <si>
    <t>aeb_gen_cfg_reserved_1cc</t>
  </si>
  <si>
    <t>t_aeb_gen_cfg_reserved_1cc_wr_reg</t>
  </si>
  <si>
    <t>AEB General Configuration Area Register "RESERVED_1D0"</t>
  </si>
  <si>
    <t>aeb_gen_cfg_reserved_1d0</t>
  </si>
  <si>
    <t>t_aeb_gen_cfg_reserved_1d0_wr_reg</t>
  </si>
  <si>
    <t>AEB General Configuration Area Register "RESERVED_1D4"</t>
  </si>
  <si>
    <t>aeb_gen_cfg_reserved_1d4</t>
  </si>
  <si>
    <t>t_aeb_gen_cfg_reserved_1d4_wr_reg</t>
  </si>
  <si>
    <t>AEB General Configuration Area Register "RESERVED_1D8"</t>
  </si>
  <si>
    <t>aeb_gen_cfg_reserved_1d8</t>
  </si>
  <si>
    <t>t_aeb_gen_cfg_reserved_1d8_wr_reg</t>
  </si>
  <si>
    <t>AEB General Configuration Area Register "RESERVED_1DC"</t>
  </si>
  <si>
    <t>aeb_gen_cfg_reserved_1dc</t>
  </si>
  <si>
    <t>t_aeb_gen_cfg_reserved_1dc_wr_reg</t>
  </si>
  <si>
    <t>AEB General Configuration Area Register "RESERVED_1E0"</t>
  </si>
  <si>
    <t>aeb_gen_cfg_reserved_1e0</t>
  </si>
  <si>
    <t>t_aeb_gen_cfg_reserved_1e0_wr_reg</t>
  </si>
  <si>
    <t>AEB General Configuration Area Register "RESERVED_1E4"</t>
  </si>
  <si>
    <t>aeb_gen_cfg_reserved_1e4</t>
  </si>
  <si>
    <t>t_aeb_gen_cfg_reserved_1e4_wr_reg</t>
  </si>
  <si>
    <t>AEB General Configuration Area Register "RESERVED_1E8"</t>
  </si>
  <si>
    <t>aeb_gen_cfg_reserved_1e8</t>
  </si>
  <si>
    <t>t_aeb_gen_cfg_reserved_1e8_wr_reg</t>
  </si>
  <si>
    <t>AEB General Configuration Area Register "RESERVED_1EC"</t>
  </si>
  <si>
    <t>aeb_gen_cfg_reserved_1ec</t>
  </si>
  <si>
    <t>t_aeb_gen_cfg_reserved_1ec_wr_reg</t>
  </si>
  <si>
    <t>AEB General Configuration Area Register "RESERVED_1F0"</t>
  </si>
  <si>
    <t>aeb_gen_cfg_reserved_1f0</t>
  </si>
  <si>
    <t>t_aeb_gen_cfg_reserved_1f0_wr_reg</t>
  </si>
  <si>
    <t>AEB General Configuration Area Register "RESERVED_1F4"</t>
  </si>
  <si>
    <t>aeb_gen_cfg_reserved_1f4</t>
  </si>
  <si>
    <t>t_aeb_gen_cfg_reserved_1f4_wr_reg</t>
  </si>
  <si>
    <t>AEB General Configuration Area Register "RESERVED_1F8"</t>
  </si>
  <si>
    <t>aeb_gen_cfg_reserved_1f8</t>
  </si>
  <si>
    <t>t_aeb_gen_cfg_reserved_1f8_wr_reg</t>
  </si>
  <si>
    <t>AEB General Configuration Area Register "RESERVED_1FC"</t>
  </si>
  <si>
    <t>aeb_gen_cfg_reserved_1fc</t>
  </si>
  <si>
    <t>t_aeb_gen_cfg_reserved_1fc_wr_reg</t>
  </si>
  <si>
    <t>AEB General Configuration Area Register "RESERVED_200"</t>
  </si>
  <si>
    <t>aeb_gen_cfg_reserved_200</t>
  </si>
  <si>
    <t>t_aeb_gen_cfg_reserved_200_wr_reg</t>
  </si>
  <si>
    <t>AEB General Configuration Area Register "RESERVED_204"</t>
  </si>
  <si>
    <t>aeb_gen_cfg_reserved_204</t>
  </si>
  <si>
    <t>t_aeb_gen_cfg_reserved_204_wr_reg</t>
  </si>
  <si>
    <t>AEB General Configuration Area Register "RESERVED_208"</t>
  </si>
  <si>
    <t>aeb_gen_cfg_reserved_208</t>
  </si>
  <si>
    <t>t_aeb_gen_cfg_reserved_208_wr_reg</t>
  </si>
  <si>
    <t>AEB General Configuration Area Register "RESERVED_20C"</t>
  </si>
  <si>
    <t>aeb_gen_cfg_reserved_20c</t>
  </si>
  <si>
    <t>t_aeb_gen_cfg_reserved_20c_wr_reg</t>
  </si>
  <si>
    <t>AEB General Configuration Area Register "RESERVED_210"</t>
  </si>
  <si>
    <t>aeb_gen_cfg_reserved_210</t>
  </si>
  <si>
    <t>t_aeb_gen_cfg_reserved_210_wr_reg</t>
  </si>
  <si>
    <t>AEB General Configuration Area Register "RESERVED_214"</t>
  </si>
  <si>
    <t>aeb_gen_cfg_reserved_214</t>
  </si>
  <si>
    <t>t_aeb_gen_cfg_reserved_214_wr_reg</t>
  </si>
  <si>
    <t>AEB General Configuration Area Register "RESERVED_218"</t>
  </si>
  <si>
    <t>aeb_gen_cfg_reserved_218</t>
  </si>
  <si>
    <t>t_aeb_gen_cfg_reserved_218_wr_reg</t>
  </si>
  <si>
    <t>AEB General Configuration Area Register "RESERVED_21C"</t>
  </si>
  <si>
    <t>aeb_gen_cfg_reserved_21c</t>
  </si>
  <si>
    <t>t_aeb_gen_cfg_reserved_21c_wr_reg</t>
  </si>
  <si>
    <t>AEB General Configuration Area Register "RESERVED_220"</t>
  </si>
  <si>
    <t>aeb_gen_cfg_reserved_220</t>
  </si>
  <si>
    <t>t_aeb_gen_cfg_reserved_220_wr_reg</t>
  </si>
  <si>
    <t>AEB General Configuration Area Register "RESERVED_224"</t>
  </si>
  <si>
    <t>aeb_gen_cfg_reserved_224</t>
  </si>
  <si>
    <t>t_aeb_gen_cfg_reserved_224_wr_reg</t>
  </si>
  <si>
    <t>AEB General Configuration Area Register "RESERVED_228"</t>
  </si>
  <si>
    <t>aeb_gen_cfg_reserved_228</t>
  </si>
  <si>
    <t>t_aeb_gen_cfg_reserved_228_wr_reg</t>
  </si>
  <si>
    <t>AEB General Configuration Area Register "RESERVED_22C"</t>
  </si>
  <si>
    <t>aeb_gen_cfg_reserved_22c</t>
  </si>
  <si>
    <t>t_aeb_gen_cfg_reserved_22c_wr_reg</t>
  </si>
  <si>
    <t>AEB General Configuration Area Register "RESERVED_230"</t>
  </si>
  <si>
    <t>aeb_gen_cfg_reserved_230</t>
  </si>
  <si>
    <t>t_aeb_gen_cfg_reserved_230_wr_reg</t>
  </si>
  <si>
    <t>AEB General Configuration Area Register "RESERVED_234"</t>
  </si>
  <si>
    <t>aeb_gen_cfg_reserved_234</t>
  </si>
  <si>
    <t>t_aeb_gen_cfg_reserved_234_wr_reg</t>
  </si>
  <si>
    <t>AEB General Configuration Area Register "RESERVED_238"</t>
  </si>
  <si>
    <t>aeb_gen_cfg_reserved_238</t>
  </si>
  <si>
    <t>t_aeb_gen_cfg_reserved_238_wr_reg</t>
  </si>
  <si>
    <t>AEB General Configuration Area Register "RESERVED_23C"</t>
  </si>
  <si>
    <t>aeb_gen_cfg_reserved_23c</t>
  </si>
  <si>
    <t>t_aeb_gen_cfg_reserved_23c_wr_reg</t>
  </si>
  <si>
    <t>AEB General Configuration Area Register "RESERVED_240"</t>
  </si>
  <si>
    <t>aeb_gen_cfg_reserved_240</t>
  </si>
  <si>
    <t>t_aeb_gen_cfg_reserved_240_wr_reg</t>
  </si>
  <si>
    <t>AEB General Configuration Area Register "RESERVED_244"</t>
  </si>
  <si>
    <t>aeb_gen_cfg_reserved_244</t>
  </si>
  <si>
    <t>t_aeb_gen_cfg_reserved_244_wr_reg</t>
  </si>
  <si>
    <t>AEB General Configuration Area Register "RESERVED_248"</t>
  </si>
  <si>
    <t>aeb_gen_cfg_reserved_248</t>
  </si>
  <si>
    <t>t_aeb_gen_cfg_reserved_248_wr_reg</t>
  </si>
  <si>
    <t>AEB General Configuration Area Register "RESERVED_24C"</t>
  </si>
  <si>
    <t>aeb_gen_cfg_reserved_24c</t>
  </si>
  <si>
    <t>t_aeb_gen_cfg_reserved_24c_wr_reg</t>
  </si>
  <si>
    <t>AEB General Configuration Area Register "RESERVED_250"</t>
  </si>
  <si>
    <t>aeb_gen_cfg_reserved_250</t>
  </si>
  <si>
    <t>t_aeb_gen_cfg_reserved_250_wr_reg</t>
  </si>
  <si>
    <t>AEB General Configuration Area Register "RESERVED_254"</t>
  </si>
  <si>
    <t>aeb_gen_cfg_reserved_254</t>
  </si>
  <si>
    <t>t_aeb_gen_cfg_reserved_254_wr_reg</t>
  </si>
  <si>
    <t>AEB General Configuration Area Register "RESERVED_258"</t>
  </si>
  <si>
    <t>aeb_gen_cfg_reserved_258</t>
  </si>
  <si>
    <t>t_aeb_gen_cfg_reserved_258_wr_reg</t>
  </si>
  <si>
    <t>AEB General Configuration Area Register "RESERVED_25C"</t>
  </si>
  <si>
    <t>aeb_gen_cfg_reserved_25c</t>
  </si>
  <si>
    <t>t_aeb_gen_cfg_reserved_25c_wr_reg</t>
  </si>
  <si>
    <t>AEB General Configuration Area Register "RESERVED_260"</t>
  </si>
  <si>
    <t>aeb_gen_cfg_reserved_260</t>
  </si>
  <si>
    <t>t_aeb_gen_cfg_reserved_260_wr_reg</t>
  </si>
  <si>
    <t>AEB General Configuration Area Register "RESERVED_264"</t>
  </si>
  <si>
    <t>aeb_gen_cfg_reserved_264</t>
  </si>
  <si>
    <t>t_aeb_gen_cfg_reserved_264_wr_reg</t>
  </si>
  <si>
    <t>AEB General Configuration Area Register "RESERVED_268"</t>
  </si>
  <si>
    <t>aeb_gen_cfg_reserved_268</t>
  </si>
  <si>
    <t>t_aeb_gen_cfg_reserved_268_wr_reg</t>
  </si>
  <si>
    <t>AEB General Configuration Area Register "RESERVED_26C"</t>
  </si>
  <si>
    <t>aeb_gen_cfg_reserved_26c</t>
  </si>
  <si>
    <t>t_aeb_gen_cfg_reserved_26c_wr_reg</t>
  </si>
  <si>
    <t>AEB General Configuration Area Register "RESERVED_270"</t>
  </si>
  <si>
    <t>aeb_gen_cfg_reserved_270</t>
  </si>
  <si>
    <t>t_aeb_gen_cfg_reserved_270_wr_reg</t>
  </si>
  <si>
    <t>AEB General Configuration Area Register "RESERVED_274"</t>
  </si>
  <si>
    <t>aeb_gen_cfg_reserved_274</t>
  </si>
  <si>
    <t>t_aeb_gen_cfg_reserved_274_wr_reg</t>
  </si>
  <si>
    <t>AEB General Configuration Area Register "RESERVED_278"</t>
  </si>
  <si>
    <t>aeb_gen_cfg_reserved_278</t>
  </si>
  <si>
    <t>t_aeb_gen_cfg_reserved_278_wr_reg</t>
  </si>
  <si>
    <t>AEB General Configuration Area Register "RESERVED_27C"</t>
  </si>
  <si>
    <t>aeb_gen_cfg_reserved_27c</t>
  </si>
  <si>
    <t>t_aeb_gen_cfg_reserved_27c_wr_reg</t>
  </si>
  <si>
    <t>AEB General Configuration Area Register "RESERVED_280"</t>
  </si>
  <si>
    <t>aeb_gen_cfg_reserved_280</t>
  </si>
  <si>
    <t>t_aeb_gen_cfg_reserved_280_wr_reg</t>
  </si>
  <si>
    <t>AEB General Configuration Area Register "RESERVED_284"</t>
  </si>
  <si>
    <t>aeb_gen_cfg_reserved_284</t>
  </si>
  <si>
    <t>t_aeb_gen_cfg_reserved_284_wr_reg</t>
  </si>
  <si>
    <t>AEB General Configuration Area Register "RESERVED_288"</t>
  </si>
  <si>
    <t>aeb_gen_cfg_reserved_288</t>
  </si>
  <si>
    <t>t_aeb_gen_cfg_reserved_288_wr_reg</t>
  </si>
  <si>
    <t>AEB General Configuration Area Register "RESERVED_28C"</t>
  </si>
  <si>
    <t>aeb_gen_cfg_reserved_28c</t>
  </si>
  <si>
    <t>t_aeb_gen_cfg_reserved_28c_wr_reg</t>
  </si>
  <si>
    <t>AEB General Configuration Area Register "RESERVED_290"</t>
  </si>
  <si>
    <t>aeb_gen_cfg_reserved_290</t>
  </si>
  <si>
    <t>t_aeb_gen_cfg_reserved_290_wr_reg</t>
  </si>
  <si>
    <t>AEB General Configuration Area Register "RESERVED_294"</t>
  </si>
  <si>
    <t>aeb_gen_cfg_reserved_294</t>
  </si>
  <si>
    <t>t_aeb_gen_cfg_reserved_294_wr_reg</t>
  </si>
  <si>
    <t>AEB General Configuration Area Register "RESERVED_298"</t>
  </si>
  <si>
    <t>aeb_gen_cfg_reserved_298</t>
  </si>
  <si>
    <t>t_aeb_gen_cfg_reserved_298_wr_reg</t>
  </si>
  <si>
    <t>AEB General Configuration Area Register "RESERVED_29C"</t>
  </si>
  <si>
    <t>aeb_gen_cfg_reserved_29c</t>
  </si>
  <si>
    <t>t_aeb_gen_cfg_reserved_29c_wr_reg</t>
  </si>
  <si>
    <t>AEB General Configuration Area Register "RESERVED_2A0"</t>
  </si>
  <si>
    <t>aeb_gen_cfg_reserved_2a0</t>
  </si>
  <si>
    <t>t_aeb_gen_cfg_reserved_2a0_wr_reg</t>
  </si>
  <si>
    <t>AEB General Configuration Area Register "RESERVED_2A4"</t>
  </si>
  <si>
    <t>aeb_gen_cfg_reserved_2a4</t>
  </si>
  <si>
    <t>t_aeb_gen_cfg_reserved_2a4_wr_reg</t>
  </si>
  <si>
    <t>AEB General Configuration Area Register "RESERVED_2A8"</t>
  </si>
  <si>
    <t>aeb_gen_cfg_reserved_2a8</t>
  </si>
  <si>
    <t>t_aeb_gen_cfg_reserved_2a8_wr_reg</t>
  </si>
  <si>
    <t>AEB General Configuration Area Register "RESERVED_2AC"</t>
  </si>
  <si>
    <t>aeb_gen_cfg_reserved_2ac</t>
  </si>
  <si>
    <t>t_aeb_gen_cfg_reserved_2ac_wr_reg</t>
  </si>
  <si>
    <t>AEB General Configuration Area Register "RESERVED_2B0"</t>
  </si>
  <si>
    <t>aeb_gen_cfg_reserved_2b0</t>
  </si>
  <si>
    <t>t_aeb_gen_cfg_reserved_2b0_wr_reg</t>
  </si>
  <si>
    <t>AEB General Configuration Area Register "RESERVED_2B4"</t>
  </si>
  <si>
    <t>aeb_gen_cfg_reserved_2b4</t>
  </si>
  <si>
    <t>t_aeb_gen_cfg_reserved_2b4_wr_reg</t>
  </si>
  <si>
    <t>AEB General Configuration Area Register "RESERVED_2B8"</t>
  </si>
  <si>
    <t>aeb_gen_cfg_reserved_2b8</t>
  </si>
  <si>
    <t>t_aeb_gen_cfg_reserved_2b8_wr_reg</t>
  </si>
  <si>
    <t>AEB General Configuration Area Register "RESERVED_2BC"</t>
  </si>
  <si>
    <t>aeb_gen_cfg_reserved_2bc</t>
  </si>
  <si>
    <t>t_aeb_gen_cfg_reserved_2bc_wr_reg</t>
  </si>
  <si>
    <t>AEB General Configuration Area Register "RESERVED_2C0"</t>
  </si>
  <si>
    <t>aeb_gen_cfg_reserved_2c0</t>
  </si>
  <si>
    <t>t_aeb_gen_cfg_reserved_2c0_wr_reg</t>
  </si>
  <si>
    <t>AEB General Configuration Area Register "RESERVED_2C4"</t>
  </si>
  <si>
    <t>aeb_gen_cfg_reserved_2c4</t>
  </si>
  <si>
    <t>t_aeb_gen_cfg_reserved_2c4_wr_reg</t>
  </si>
  <si>
    <t>AEB General Configuration Area Register "RESERVED_2C8"</t>
  </si>
  <si>
    <t>aeb_gen_cfg_reserved_2c8</t>
  </si>
  <si>
    <t>t_aeb_gen_cfg_reserved_2c8_wr_reg</t>
  </si>
  <si>
    <t>AEB General Configuration Area Register "RESERVED_2CC"</t>
  </si>
  <si>
    <t>aeb_gen_cfg_reserved_2cc</t>
  </si>
  <si>
    <t>t_aeb_gen_cfg_reserved_2cc_wr_reg</t>
  </si>
  <si>
    <t>AEB General Configuration Area Register "RESERVED_2D0"</t>
  </si>
  <si>
    <t>aeb_gen_cfg_reserved_2d0</t>
  </si>
  <si>
    <t>t_aeb_gen_cfg_reserved_2d0_wr_reg</t>
  </si>
  <si>
    <t>AEB General Configuration Area Register "RESERVED_2D4"</t>
  </si>
  <si>
    <t>aeb_gen_cfg_reserved_2d4</t>
  </si>
  <si>
    <t>t_aeb_gen_cfg_reserved_2d4_wr_reg</t>
  </si>
  <si>
    <t>AEB General Configuration Area Register "RESERVED_2D8"</t>
  </si>
  <si>
    <t>aeb_gen_cfg_reserved_2d8</t>
  </si>
  <si>
    <t>t_aeb_gen_cfg_reserved_2d8_wr_reg</t>
  </si>
  <si>
    <t>AEB General Configuration Area Register "RESERVED_2DC"</t>
  </si>
  <si>
    <t>aeb_gen_cfg_reserved_2dc</t>
  </si>
  <si>
    <t>t_aeb_gen_cfg_reserved_2dc_wr_reg</t>
  </si>
  <si>
    <t>AEB General Configuration Area Register "RESERVED_2E0"</t>
  </si>
  <si>
    <t>aeb_gen_cfg_reserved_2e0</t>
  </si>
  <si>
    <t>t_aeb_gen_cfg_reserved_2e0_wr_reg</t>
  </si>
  <si>
    <t>AEB General Configuration Area Register "RESERVED_2E4"</t>
  </si>
  <si>
    <t>aeb_gen_cfg_reserved_2e4</t>
  </si>
  <si>
    <t>t_aeb_gen_cfg_reserved_2e4_wr_reg</t>
  </si>
  <si>
    <t>AEB General Configuration Area Register "RESERVED_2E8"</t>
  </si>
  <si>
    <t>aeb_gen_cfg_reserved_2e8</t>
  </si>
  <si>
    <t>t_aeb_gen_cfg_reserved_2e8_wr_reg</t>
  </si>
  <si>
    <t>AEB General Configuration Area Register "RESERVED_2EC"</t>
  </si>
  <si>
    <t>aeb_gen_cfg_reserved_2ec</t>
  </si>
  <si>
    <t>t_aeb_gen_cfg_reserved_2ec_wr_reg</t>
  </si>
  <si>
    <t>AEB General Configuration Area Register "RESERVED_2F0"</t>
  </si>
  <si>
    <t>aeb_gen_cfg_reserved_2f0</t>
  </si>
  <si>
    <t>t_aeb_gen_cfg_reserved_2f0_wr_reg</t>
  </si>
  <si>
    <t>AEB General Configuration Area Register "RESERVED_2F4"</t>
  </si>
  <si>
    <t>aeb_gen_cfg_reserved_2f4</t>
  </si>
  <si>
    <t>t_aeb_gen_cfg_reserved_2f4_wr_reg</t>
  </si>
  <si>
    <t>AEB General Configuration Area Register "RESERVED_2F8"</t>
  </si>
  <si>
    <t>aeb_gen_cfg_reserved_2f8</t>
  </si>
  <si>
    <t>t_aeb_gen_cfg_reserved_2f8_wr_reg</t>
  </si>
  <si>
    <t>AEB General Configuration Area Register "RESERVED_2FC"</t>
  </si>
  <si>
    <t>aeb_gen_cfg_reserved_2fc</t>
  </si>
  <si>
    <t>t_aeb_gen_cfg_reserved_2fc_wr_reg</t>
  </si>
  <si>
    <t>AEB General Configuration Area Register "RESERVED_300"</t>
  </si>
  <si>
    <t>aeb_gen_cfg_reserved_300</t>
  </si>
  <si>
    <t>t_aeb_gen_cfg_reserved_300_wr_reg</t>
  </si>
  <si>
    <t>AEB General Configuration Area Register "RESERVED_304"</t>
  </si>
  <si>
    <t>aeb_gen_cfg_reserved_304</t>
  </si>
  <si>
    <t>t_aeb_gen_cfg_reserved_304_wr_reg</t>
  </si>
  <si>
    <t>AEB General Configuration Area Register "RESERVED_308"</t>
  </si>
  <si>
    <t>aeb_gen_cfg_reserved_308</t>
  </si>
  <si>
    <t>t_aeb_gen_cfg_reserved_308_wr_reg</t>
  </si>
  <si>
    <t>AEB General Configuration Area Register "RESERVED_30C"</t>
  </si>
  <si>
    <t>aeb_gen_cfg_reserved_30c</t>
  </si>
  <si>
    <t>t_aeb_gen_cfg_reserved_30c_wr_reg</t>
  </si>
  <si>
    <t>AEB General Configuration Area Register "RESERVED_310"</t>
  </si>
  <si>
    <t>aeb_gen_cfg_reserved_310</t>
  </si>
  <si>
    <t>t_aeb_gen_cfg_reserved_310_wr_reg</t>
  </si>
  <si>
    <t>AEB General Configuration Area Register "RESERVED_314"</t>
  </si>
  <si>
    <t>aeb_gen_cfg_reserved_314</t>
  </si>
  <si>
    <t>t_aeb_gen_cfg_reserved_314_wr_reg</t>
  </si>
  <si>
    <t>AEB General Configuration Area Register "RESERVED_318"</t>
  </si>
  <si>
    <t>aeb_gen_cfg_reserved_318</t>
  </si>
  <si>
    <t>t_aeb_gen_cfg_reserved_318_wr_reg</t>
  </si>
  <si>
    <t>AEB General Configuration Area Register "RESERVED_31C"</t>
  </si>
  <si>
    <t>aeb_gen_cfg_reserved_31c</t>
  </si>
  <si>
    <t>t_aeb_gen_cfg_reserved_31c_wr_reg</t>
  </si>
  <si>
    <t>AEB General Configuration Area Register "RESERVED_320"</t>
  </si>
  <si>
    <t>aeb_gen_cfg_reserved_320</t>
  </si>
  <si>
    <t>t_aeb_gen_cfg_reserved_320_wr_reg</t>
  </si>
  <si>
    <t>AEB General Configuration Area Register "RESERVED_324"</t>
  </si>
  <si>
    <t>aeb_gen_cfg_reserved_324</t>
  </si>
  <si>
    <t>t_aeb_gen_cfg_reserved_324_wr_reg</t>
  </si>
  <si>
    <t>AEB General Configuration Area Register "RESERVED_328"</t>
  </si>
  <si>
    <t>aeb_gen_cfg_reserved_328</t>
  </si>
  <si>
    <t>t_aeb_gen_cfg_reserved_328_wr_reg</t>
  </si>
  <si>
    <t>AEB General Configuration Area Register "RESERVED_32C"</t>
  </si>
  <si>
    <t>aeb_gen_cfg_reserved_32c</t>
  </si>
  <si>
    <t>t_aeb_gen_cfg_reserved_32c_wr_reg</t>
  </si>
  <si>
    <t>AEB General Configuration Area Register "RESERVED_330"</t>
  </si>
  <si>
    <t>aeb_gen_cfg_reserved_330</t>
  </si>
  <si>
    <t>t_aeb_gen_cfg_reserved_330_wr_reg</t>
  </si>
  <si>
    <t>AEB General Configuration Area Register "RESERVED_334"</t>
  </si>
  <si>
    <t>aeb_gen_cfg_reserved_334</t>
  </si>
  <si>
    <t>t_aeb_gen_cfg_reserved_334_wr_reg</t>
  </si>
  <si>
    <t>AEB General Configuration Area Register "RESERVED_338"</t>
  </si>
  <si>
    <t>aeb_gen_cfg_reserved_338</t>
  </si>
  <si>
    <t>t_aeb_gen_cfg_reserved_338_wr_reg</t>
  </si>
  <si>
    <t>AEB General Configuration Area Register "RESERVED_33C"</t>
  </si>
  <si>
    <t>aeb_gen_cfg_reserved_33c</t>
  </si>
  <si>
    <t>t_aeb_gen_cfg_reserved_33c_wr_reg</t>
  </si>
  <si>
    <t>AEB General Configuration Area Register "RESERVED_340"</t>
  </si>
  <si>
    <t>aeb_gen_cfg_reserved_340</t>
  </si>
  <si>
    <t>t_aeb_gen_cfg_reserved_340_wr_reg</t>
  </si>
  <si>
    <t>AEB General Configuration Area Register "RESERVED_344"</t>
  </si>
  <si>
    <t>aeb_gen_cfg_reserved_344</t>
  </si>
  <si>
    <t>t_aeb_gen_cfg_reserved_344_wr_reg</t>
  </si>
  <si>
    <t>AEB General Configuration Area Register "RESERVED_348"</t>
  </si>
  <si>
    <t>aeb_gen_cfg_reserved_348</t>
  </si>
  <si>
    <t>t_aeb_gen_cfg_reserved_348_wr_reg</t>
  </si>
  <si>
    <t>AEB General Configuration Area Register "RESERVED_34C"</t>
  </si>
  <si>
    <t>aeb_gen_cfg_reserved_34c</t>
  </si>
  <si>
    <t>t_aeb_gen_cfg_reserved_34c_wr_reg</t>
  </si>
  <si>
    <t>AEB General Configuration Area Register "RESERVED_350"</t>
  </si>
  <si>
    <t>aeb_gen_cfg_reserved_350</t>
  </si>
  <si>
    <t>t_aeb_gen_cfg_reserved_350_wr_reg</t>
  </si>
  <si>
    <t>AEB General Configuration Area Register "RESERVED_354"</t>
  </si>
  <si>
    <t>aeb_gen_cfg_reserved_354</t>
  </si>
  <si>
    <t>t_aeb_gen_cfg_reserved_354_wr_reg</t>
  </si>
  <si>
    <t>AEB General Configuration Area Register "RESERVED_358"</t>
  </si>
  <si>
    <t>aeb_gen_cfg_reserved_358</t>
  </si>
  <si>
    <t>t_aeb_gen_cfg_reserved_358_wr_reg</t>
  </si>
  <si>
    <t>AEB General Configuration Area Register "RESERVED_35C"</t>
  </si>
  <si>
    <t>aeb_gen_cfg_reserved_35c</t>
  </si>
  <si>
    <t>t_aeb_gen_cfg_reserved_35c_wr_reg</t>
  </si>
  <si>
    <t>AEB General Configuration Area Register "RESERVED_360"</t>
  </si>
  <si>
    <t>aeb_gen_cfg_reserved_360</t>
  </si>
  <si>
    <t>t_aeb_gen_cfg_reserved_360_wr_reg</t>
  </si>
  <si>
    <t>AEB General Configuration Area Register "RESERVED_364"</t>
  </si>
  <si>
    <t>aeb_gen_cfg_reserved_364</t>
  </si>
  <si>
    <t>t_aeb_gen_cfg_reserved_364_wr_reg</t>
  </si>
  <si>
    <t>AEB General Configuration Area Register "RESERVED_368"</t>
  </si>
  <si>
    <t>aeb_gen_cfg_reserved_368</t>
  </si>
  <si>
    <t>t_aeb_gen_cfg_reserved_368_wr_reg</t>
  </si>
  <si>
    <t>AEB General Configuration Area Register "RESERVED_36C"</t>
  </si>
  <si>
    <t>aeb_gen_cfg_reserved_36c</t>
  </si>
  <si>
    <t>t_aeb_gen_cfg_reserved_36c_wr_reg</t>
  </si>
  <si>
    <t>AEB General Configuration Area Register "RESERVED_370"</t>
  </si>
  <si>
    <t>aeb_gen_cfg_reserved_370</t>
  </si>
  <si>
    <t>t_aeb_gen_cfg_reserved_370_wr_reg</t>
  </si>
  <si>
    <t>AEB General Configuration Area Register "RESERVED_374"</t>
  </si>
  <si>
    <t>aeb_gen_cfg_reserved_374</t>
  </si>
  <si>
    <t>t_aeb_gen_cfg_reserved_374_wr_reg</t>
  </si>
  <si>
    <t>AEB General Configuration Area Register "RESERVED_378"</t>
  </si>
  <si>
    <t>aeb_gen_cfg_reserved_378</t>
  </si>
  <si>
    <t>t_aeb_gen_cfg_reserved_378_wr_reg</t>
  </si>
  <si>
    <t>AEB General Configuration Area Register "RESERVED_37C"</t>
  </si>
  <si>
    <t>aeb_gen_cfg_reserved_37c</t>
  </si>
  <si>
    <t>t_aeb_gen_cfg_reserved_37c_wr_reg</t>
  </si>
  <si>
    <t>AEB General Configuration Area Register "RESERVED_380"</t>
  </si>
  <si>
    <t>aeb_gen_cfg_reserved_380</t>
  </si>
  <si>
    <t>t_aeb_gen_cfg_reserved_380_wr_reg</t>
  </si>
  <si>
    <t>AEB General Configuration Area Register "RESERVED_384"</t>
  </si>
  <si>
    <t>aeb_gen_cfg_reserved_384</t>
  </si>
  <si>
    <t>t_aeb_gen_cfg_reserved_384_wr_reg</t>
  </si>
  <si>
    <t>AEB General Configuration Area Register "RESERVED_388"</t>
  </si>
  <si>
    <t>aeb_gen_cfg_reserved_388</t>
  </si>
  <si>
    <t>t_aeb_gen_cfg_reserved_388_wr_reg</t>
  </si>
  <si>
    <t>AEB General Configuration Area Register "RESERVED_38C"</t>
  </si>
  <si>
    <t>aeb_gen_cfg_reserved_38c</t>
  </si>
  <si>
    <t>t_aeb_gen_cfg_reserved_38c_wr_reg</t>
  </si>
  <si>
    <t>AEB General Configuration Area Register "RESERVED_390"</t>
  </si>
  <si>
    <t>aeb_gen_cfg_reserved_390</t>
  </si>
  <si>
    <t>t_aeb_gen_cfg_reserved_390_wr_reg</t>
  </si>
  <si>
    <t>AEB General Configuration Area Register "RESERVED_394"</t>
  </si>
  <si>
    <t>aeb_gen_cfg_reserved_394</t>
  </si>
  <si>
    <t>t_aeb_gen_cfg_reserved_394_wr_reg</t>
  </si>
  <si>
    <t>AEB General Configuration Area Register "RESERVED_398"</t>
  </si>
  <si>
    <t>aeb_gen_cfg_reserved_398</t>
  </si>
  <si>
    <t>t_aeb_gen_cfg_reserved_398_wr_reg</t>
  </si>
  <si>
    <t>AEB General Configuration Area Register "RESERVED_39C"</t>
  </si>
  <si>
    <t>aeb_gen_cfg_reserved_39c</t>
  </si>
  <si>
    <t>t_aeb_gen_cfg_reserved_39c_wr_reg</t>
  </si>
  <si>
    <t>AEB General Configuration Area Register "RESERVED_3A0"</t>
  </si>
  <si>
    <t>aeb_gen_cfg_reserved_3a0</t>
  </si>
  <si>
    <t>t_aeb_gen_cfg_reserved_3a0_wr_reg</t>
  </si>
  <si>
    <t>AEB General Configuration Area Register "RESERVED_3A4"</t>
  </si>
  <si>
    <t>aeb_gen_cfg_reserved_3a4</t>
  </si>
  <si>
    <t>t_aeb_gen_cfg_reserved_3a4_wr_reg</t>
  </si>
  <si>
    <t>AEB General Configuration Area Register "RESERVED_3A8"</t>
  </si>
  <si>
    <t>aeb_gen_cfg_reserved_3a8</t>
  </si>
  <si>
    <t>t_aeb_gen_cfg_reserved_3a8_wr_reg</t>
  </si>
  <si>
    <t>AEB General Configuration Area Register "RESERVED_3AC"</t>
  </si>
  <si>
    <t>aeb_gen_cfg_reserved_3ac</t>
  </si>
  <si>
    <t>t_aeb_gen_cfg_reserved_3ac_wr_reg</t>
  </si>
  <si>
    <t>AEB General Configuration Area Register "RESERVED_3B0"</t>
  </si>
  <si>
    <t>aeb_gen_cfg_reserved_3b0</t>
  </si>
  <si>
    <t>t_aeb_gen_cfg_reserved_3b0_wr_reg</t>
  </si>
  <si>
    <t>AEB General Configuration Area Register "RESERVED_3B4"</t>
  </si>
  <si>
    <t>aeb_gen_cfg_reserved_3b4</t>
  </si>
  <si>
    <t>t_aeb_gen_cfg_reserved_3b4_wr_reg</t>
  </si>
  <si>
    <t>AEB General Configuration Area Register "RESERVED_3B8"</t>
  </si>
  <si>
    <t>aeb_gen_cfg_reserved_3b8</t>
  </si>
  <si>
    <t>t_aeb_gen_cfg_reserved_3b8_wr_reg</t>
  </si>
  <si>
    <t>AEB General Configuration Area Register "RESERVED_3BC"</t>
  </si>
  <si>
    <t>aeb_gen_cfg_reserved_3bc</t>
  </si>
  <si>
    <t>t_aeb_gen_cfg_reserved_3bc_wr_reg</t>
  </si>
  <si>
    <t>AEB General Configuration Area Register "RESERVED_3C0"</t>
  </si>
  <si>
    <t>aeb_gen_cfg_reserved_3c0</t>
  </si>
  <si>
    <t>t_aeb_gen_cfg_reserved_3c0_wr_reg</t>
  </si>
  <si>
    <t>AEB General Configuration Area Register "RESERVED_3C4"</t>
  </si>
  <si>
    <t>aeb_gen_cfg_reserved_3c4</t>
  </si>
  <si>
    <t>t_aeb_gen_cfg_reserved_3c4_wr_reg</t>
  </si>
  <si>
    <t>AEB General Configuration Area Register "RESERVED_3C8"</t>
  </si>
  <si>
    <t>aeb_gen_cfg_reserved_3c8</t>
  </si>
  <si>
    <t>t_aeb_gen_cfg_reserved_3c8_wr_reg</t>
  </si>
  <si>
    <t>AEB General Configuration Area Register "RESERVED_3CC"</t>
  </si>
  <si>
    <t>aeb_gen_cfg_reserved_3cc</t>
  </si>
  <si>
    <t>t_aeb_gen_cfg_reserved_3cc_wr_reg</t>
  </si>
  <si>
    <t>AEB General Configuration Area Register "RESERVED_3D0"</t>
  </si>
  <si>
    <t>aeb_gen_cfg_reserved_3d0</t>
  </si>
  <si>
    <t>t_aeb_gen_cfg_reserved_3d0_wr_reg</t>
  </si>
  <si>
    <t>AEB General Configuration Area Register "RESERVED_3D4"</t>
  </si>
  <si>
    <t>aeb_gen_cfg_reserved_3d4</t>
  </si>
  <si>
    <t>t_aeb_gen_cfg_reserved_3d4_wr_reg</t>
  </si>
  <si>
    <t>AEB General Configuration Area Register "RESERVED_3D8"</t>
  </si>
  <si>
    <t>aeb_gen_cfg_reserved_3d8</t>
  </si>
  <si>
    <t>t_aeb_gen_cfg_reserved_3d8_wr_reg</t>
  </si>
  <si>
    <t>AEB General Configuration Area Register "RESERVED_3DC"</t>
  </si>
  <si>
    <t>aeb_gen_cfg_reserved_3dc</t>
  </si>
  <si>
    <t>t_aeb_gen_cfg_reserved_3dc_wr_reg</t>
  </si>
  <si>
    <t>AEB General Configuration Area Register "RESERVED_3E0"</t>
  </si>
  <si>
    <t>aeb_gen_cfg_reserved_3e0</t>
  </si>
  <si>
    <t>t_aeb_gen_cfg_reserved_3e0_wr_reg</t>
  </si>
  <si>
    <t>AEB General Configuration Area Register "RESERVED_3E4"</t>
  </si>
  <si>
    <t>aeb_gen_cfg_reserved_3e4</t>
  </si>
  <si>
    <t>t_aeb_gen_cfg_reserved_3e4_wr_reg</t>
  </si>
  <si>
    <t>AEB General Configuration Area Register "RESERVED_3E8"</t>
  </si>
  <si>
    <t>aeb_gen_cfg_reserved_3e8</t>
  </si>
  <si>
    <t>t_aeb_gen_cfg_reserved_3e8_wr_reg</t>
  </si>
  <si>
    <t>AEB General Configuration Area Register "RESERVED_3EC"</t>
  </si>
  <si>
    <t>aeb_gen_cfg_reserved_3ec</t>
  </si>
  <si>
    <t>t_aeb_gen_cfg_reserved_3ec_wr_reg</t>
  </si>
  <si>
    <t>AEB General Configuration Area Register "RESERVED_3F0"</t>
  </si>
  <si>
    <t>aeb_gen_cfg_reserved_3f0</t>
  </si>
  <si>
    <t>t_aeb_gen_cfg_reserved_3f0_wr_reg</t>
  </si>
  <si>
    <t>AEB General Configuration Area Register "RESERVED_3F4"</t>
  </si>
  <si>
    <t>aeb_gen_cfg_reserved_3f4</t>
  </si>
  <si>
    <t>t_aeb_gen_cfg_reserved_3f4_wr_reg</t>
  </si>
  <si>
    <t>AEB General Configuration Area Register "RESERVED_3F8"</t>
  </si>
  <si>
    <t>aeb_gen_cfg_reserved_3f8</t>
  </si>
  <si>
    <t>t_aeb_gen_cfg_reserved_3f8_wr_reg</t>
  </si>
  <si>
    <t>AEB General Configuration Area Register "RESERVED_3FC"</t>
  </si>
  <si>
    <t>aeb_gen_cfg_reserved_3fc</t>
  </si>
  <si>
    <t>t_aeb_gen_cfg_reserved_3fc_wr_reg</t>
  </si>
  <si>
    <t>AEB General Configuration Area Register "RESERVED_400"</t>
  </si>
  <si>
    <t>aeb_gen_cfg_reserved_400</t>
  </si>
  <si>
    <t>t_aeb_gen_cfg_reserved_400_wr_reg</t>
  </si>
  <si>
    <t>AEB General Configuration Area Register "RESERVED_404"</t>
  </si>
  <si>
    <t>aeb_gen_cfg_reserved_404</t>
  </si>
  <si>
    <t>t_aeb_gen_cfg_reserved_404_wr_reg</t>
  </si>
  <si>
    <t>AEB General Configuration Area Register "RESERVED_408"</t>
  </si>
  <si>
    <t>aeb_gen_cfg_reserved_408</t>
  </si>
  <si>
    <t>t_aeb_gen_cfg_reserved_408_wr_reg</t>
  </si>
  <si>
    <t>AEB General Configuration Area Register "RESERVED_40C"</t>
  </si>
  <si>
    <t>aeb_gen_cfg_reserved_40c</t>
  </si>
  <si>
    <t>t_aeb_gen_cfg_reserved_40c_wr_reg</t>
  </si>
  <si>
    <t>AEB General Configuration Area Register "RESERVED_410"</t>
  </si>
  <si>
    <t>aeb_gen_cfg_reserved_410</t>
  </si>
  <si>
    <t>t_aeb_gen_cfg_reserved_410_wr_reg</t>
  </si>
  <si>
    <t>AEB General Configuration Area Register "RESERVED_414"</t>
  </si>
  <si>
    <t>aeb_gen_cfg_reserved_414</t>
  </si>
  <si>
    <t>t_aeb_gen_cfg_reserved_414_wr_reg</t>
  </si>
  <si>
    <t>AEB General Configuration Area Register "RESERVED_418"</t>
  </si>
  <si>
    <t>aeb_gen_cfg_reserved_418</t>
  </si>
  <si>
    <t>t_aeb_gen_cfg_reserved_418_wr_reg</t>
  </si>
  <si>
    <t>AEB General Configuration Area Register "RESERVED_41C"</t>
  </si>
  <si>
    <t>aeb_gen_cfg_reserved_41c</t>
  </si>
  <si>
    <t>t_aeb_gen_cfg_reserved_41c_wr_reg</t>
  </si>
  <si>
    <t>AEB General Configuration Area Register "RESERVED_420"</t>
  </si>
  <si>
    <t>aeb_gen_cfg_reserved_420</t>
  </si>
  <si>
    <t>t_aeb_gen_cfg_reserved_420_wr_reg</t>
  </si>
  <si>
    <t>AEB General Configuration Area Register "RESERVED_424"</t>
  </si>
  <si>
    <t>aeb_gen_cfg_reserved_424</t>
  </si>
  <si>
    <t>t_aeb_gen_cfg_reserved_424_wr_reg</t>
  </si>
  <si>
    <t>AEB General Configuration Area Register "RESERVED_428"</t>
  </si>
  <si>
    <t>aeb_gen_cfg_reserved_428</t>
  </si>
  <si>
    <t>t_aeb_gen_cfg_reserved_428_wr_reg</t>
  </si>
  <si>
    <t>AEB General Configuration Area Register "RESERVED_42C"</t>
  </si>
  <si>
    <t>aeb_gen_cfg_reserved_42c</t>
  </si>
  <si>
    <t>t_aeb_gen_cfg_reserved_42c_wr_reg</t>
  </si>
  <si>
    <t>AEB General Configuration Area Register "RESERVED_430"</t>
  </si>
  <si>
    <t>aeb_gen_cfg_reserved_430</t>
  </si>
  <si>
    <t>t_aeb_gen_cfg_reserved_430_wr_reg</t>
  </si>
  <si>
    <t>AEB General Configuration Area Register "RESERVED_434"</t>
  </si>
  <si>
    <t>aeb_gen_cfg_reserved_434</t>
  </si>
  <si>
    <t>t_aeb_gen_cfg_reserved_434_wr_reg</t>
  </si>
  <si>
    <t>AEB General Configuration Area Register "RESERVED_438"</t>
  </si>
  <si>
    <t>aeb_gen_cfg_reserved_438</t>
  </si>
  <si>
    <t>t_aeb_gen_cfg_reserved_438_wr_reg</t>
  </si>
  <si>
    <t>AEB General Configuration Area Register "RESERVED_43C"</t>
  </si>
  <si>
    <t>aeb_gen_cfg_reserved_43c</t>
  </si>
  <si>
    <t>t_aeb_gen_cfg_reserved_43c_wr_reg</t>
  </si>
  <si>
    <t>AEB General Configuration Area Register "RESERVED_440"</t>
  </si>
  <si>
    <t>aeb_gen_cfg_reserved_440</t>
  </si>
  <si>
    <t>t_aeb_gen_cfg_reserved_440_wr_reg</t>
  </si>
  <si>
    <t>AEB General Configuration Area Register "RESERVED_444"</t>
  </si>
  <si>
    <t>aeb_gen_cfg_reserved_444</t>
  </si>
  <si>
    <t>t_aeb_gen_cfg_reserved_444_wr_reg</t>
  </si>
  <si>
    <t>AEB General Configuration Area Register "RESERVED_448"</t>
  </si>
  <si>
    <t>aeb_gen_cfg_reserved_448</t>
  </si>
  <si>
    <t>t_aeb_gen_cfg_reserved_448_wr_reg</t>
  </si>
  <si>
    <t>AEB General Configuration Area Register "RESERVED_44C"</t>
  </si>
  <si>
    <t>aeb_gen_cfg_reserved_44c</t>
  </si>
  <si>
    <t>t_aeb_gen_cfg_reserved_44c_wr_reg</t>
  </si>
  <si>
    <t>AEB General Configuration Area Register "RESERVED_450"</t>
  </si>
  <si>
    <t>aeb_gen_cfg_reserved_450</t>
  </si>
  <si>
    <t>t_aeb_gen_cfg_reserved_450_wr_reg</t>
  </si>
  <si>
    <t>AEB General Configuration Area Register "RESERVED_454"</t>
  </si>
  <si>
    <t>aeb_gen_cfg_reserved_454</t>
  </si>
  <si>
    <t>t_aeb_gen_cfg_reserved_454_wr_reg</t>
  </si>
  <si>
    <t>AEB General Configuration Area Register "RESERVED_458"</t>
  </si>
  <si>
    <t>aeb_gen_cfg_reserved_458</t>
  </si>
  <si>
    <t>t_aeb_gen_cfg_reserved_458_wr_reg</t>
  </si>
  <si>
    <t>AEB General Configuration Area Register "RESERVED_45C"</t>
  </si>
  <si>
    <t>aeb_gen_cfg_reserved_45c</t>
  </si>
  <si>
    <t>t_aeb_gen_cfg_reserved_45c_wr_reg</t>
  </si>
  <si>
    <t>AEB General Configuration Area Register "RESERVED_460"</t>
  </si>
  <si>
    <t>aeb_gen_cfg_reserved_460</t>
  </si>
  <si>
    <t>t_aeb_gen_cfg_reserved_460_wr_reg</t>
  </si>
  <si>
    <t>AEB General Configuration Area Register "RESERVED_464"</t>
  </si>
  <si>
    <t>aeb_gen_cfg_reserved_464</t>
  </si>
  <si>
    <t>t_aeb_gen_cfg_reserved_464_wr_reg</t>
  </si>
  <si>
    <t>AEB General Configuration Area Register "RESERVED_468"</t>
  </si>
  <si>
    <t>aeb_gen_cfg_reserved_468</t>
  </si>
  <si>
    <t>t_aeb_gen_cfg_reserved_468_wr_reg</t>
  </si>
  <si>
    <t>AEB General Configuration Area Register "RESERVED_46C"</t>
  </si>
  <si>
    <t>aeb_gen_cfg_reserved_46c</t>
  </si>
  <si>
    <t>t_aeb_gen_cfg_reserved_46c_wr_reg</t>
  </si>
  <si>
    <t>AEB General Configuration Area Register "RESERVED_470"</t>
  </si>
  <si>
    <t>aeb_gen_cfg_reserved_470</t>
  </si>
  <si>
    <t>t_aeb_gen_cfg_reserved_470_wr_reg</t>
  </si>
  <si>
    <t>AEB General Configuration Area Register "RESERVED_474"</t>
  </si>
  <si>
    <t>aeb_gen_cfg_reserved_474</t>
  </si>
  <si>
    <t>t_aeb_gen_cfg_reserved_474_wr_reg</t>
  </si>
  <si>
    <t>AEB General Configuration Area Register "RESERVED_478"</t>
  </si>
  <si>
    <t>aeb_gen_cfg_reserved_478</t>
  </si>
  <si>
    <t>t_aeb_gen_cfg_reserved_478_wr_reg</t>
  </si>
  <si>
    <t>AEB General Configuration Area Register "RESERVED_47C"</t>
  </si>
  <si>
    <t>aeb_gen_cfg_reserved_47c</t>
  </si>
  <si>
    <t>t_aeb_gen_cfg_reserved_47c_wr_reg</t>
  </si>
  <si>
    <t>AEB General Configuration Area Register "RESERVED_480"</t>
  </si>
  <si>
    <t>aeb_gen_cfg_reserved_480</t>
  </si>
  <si>
    <t>t_aeb_gen_cfg_reserved_480_wr_reg</t>
  </si>
  <si>
    <t>AEB General Configuration Area Register "RESERVED_484"</t>
  </si>
  <si>
    <t>aeb_gen_cfg_reserved_484</t>
  </si>
  <si>
    <t>t_aeb_gen_cfg_reserved_484_wr_reg</t>
  </si>
  <si>
    <t>AEB General Configuration Area Register "RESERVED_488"</t>
  </si>
  <si>
    <t>aeb_gen_cfg_reserved_488</t>
  </si>
  <si>
    <t>t_aeb_gen_cfg_reserved_488_wr_reg</t>
  </si>
  <si>
    <t>AEB General Configuration Area Register "RESERVED_48C"</t>
  </si>
  <si>
    <t>aeb_gen_cfg_reserved_48c</t>
  </si>
  <si>
    <t>t_aeb_gen_cfg_reserved_48c_wr_reg</t>
  </si>
  <si>
    <t>AEB General Configuration Area Register "RESERVED_490"</t>
  </si>
  <si>
    <t>aeb_gen_cfg_reserved_490</t>
  </si>
  <si>
    <t>t_aeb_gen_cfg_reserved_490_wr_reg</t>
  </si>
  <si>
    <t>AEB General Configuration Area Register "RESERVED_494"</t>
  </si>
  <si>
    <t>aeb_gen_cfg_reserved_494</t>
  </si>
  <si>
    <t>t_aeb_gen_cfg_reserved_494_wr_reg</t>
  </si>
  <si>
    <t>AEB General Configuration Area Register "RESERVED_498"</t>
  </si>
  <si>
    <t>aeb_gen_cfg_reserved_498</t>
  </si>
  <si>
    <t>t_aeb_gen_cfg_reserved_498_wr_reg</t>
  </si>
  <si>
    <t>AEB General Configuration Area Register "RESERVED_49C"</t>
  </si>
  <si>
    <t>aeb_gen_cfg_reserved_49c</t>
  </si>
  <si>
    <t>t_aeb_gen_cfg_reserved_49c_wr_reg</t>
  </si>
  <si>
    <t>AEB General Configuration Area Register "RESERVED_4A0"</t>
  </si>
  <si>
    <t>aeb_gen_cfg_reserved_4a0</t>
  </si>
  <si>
    <t>t_aeb_gen_cfg_reserved_4a0_wr_reg</t>
  </si>
  <si>
    <t>AEB General Configuration Area Register "RESERVED_4A4"</t>
  </si>
  <si>
    <t>aeb_gen_cfg_reserved_4a4</t>
  </si>
  <si>
    <t>t_aeb_gen_cfg_reserved_4a4_wr_reg</t>
  </si>
  <si>
    <t>AEB General Configuration Area Register "RESERVED_4A8"</t>
  </si>
  <si>
    <t>aeb_gen_cfg_reserved_4a8</t>
  </si>
  <si>
    <t>t_aeb_gen_cfg_reserved_4a8_wr_reg</t>
  </si>
  <si>
    <t>AEB General Configuration Area Register "RESERVED_4AC"</t>
  </si>
  <si>
    <t>aeb_gen_cfg_reserved_4ac</t>
  </si>
  <si>
    <t>t_aeb_gen_cfg_reserved_4ac_wr_reg</t>
  </si>
  <si>
    <t>AEB General Configuration Area Register "RESERVED_4B0"</t>
  </si>
  <si>
    <t>aeb_gen_cfg_reserved_4b0</t>
  </si>
  <si>
    <t>t_aeb_gen_cfg_reserved_4b0_wr_reg</t>
  </si>
  <si>
    <t>AEB General Configuration Area Register "RESERVED_4B4"</t>
  </si>
  <si>
    <t>aeb_gen_cfg_reserved_4b4</t>
  </si>
  <si>
    <t>t_aeb_gen_cfg_reserved_4b4_wr_reg</t>
  </si>
  <si>
    <t>AEB General Configuration Area Register "RESERVED_4B8"</t>
  </si>
  <si>
    <t>aeb_gen_cfg_reserved_4b8</t>
  </si>
  <si>
    <t>t_aeb_gen_cfg_reserved_4b8_wr_reg</t>
  </si>
  <si>
    <t>AEB General Configuration Area Register "RESERVED_4BC"</t>
  </si>
  <si>
    <t>aeb_gen_cfg_reserved_4bc</t>
  </si>
  <si>
    <t>t_aeb_gen_cfg_reserved_4bc_wr_reg</t>
  </si>
  <si>
    <t>AEB General Configuration Area Register "RESERVED_4C0"</t>
  </si>
  <si>
    <t>aeb_gen_cfg_reserved_4c0</t>
  </si>
  <si>
    <t>t_aeb_gen_cfg_reserved_4c0_wr_reg</t>
  </si>
  <si>
    <t>AEB General Configuration Area Register "RESERVED_4C4"</t>
  </si>
  <si>
    <t>aeb_gen_cfg_reserved_4c4</t>
  </si>
  <si>
    <t>t_aeb_gen_cfg_reserved_4c4_wr_reg</t>
  </si>
  <si>
    <t>AEB General Configuration Area Register "RESERVED_4C8"</t>
  </si>
  <si>
    <t>aeb_gen_cfg_reserved_4c8</t>
  </si>
  <si>
    <t>t_aeb_gen_cfg_reserved_4c8_wr_reg</t>
  </si>
  <si>
    <t>AEB General Configuration Area Register "RESERVED_4CC"</t>
  </si>
  <si>
    <t>aeb_gen_cfg_reserved_4cc</t>
  </si>
  <si>
    <t>t_aeb_gen_cfg_reserved_4cc_wr_reg</t>
  </si>
  <si>
    <t>AEB General Configuration Area Register "RESERVED_4D0"</t>
  </si>
  <si>
    <t>aeb_gen_cfg_reserved_4d0</t>
  </si>
  <si>
    <t>t_aeb_gen_cfg_reserved_4d0_wr_reg</t>
  </si>
  <si>
    <t>AEB General Configuration Area Register "RESERVED_4D4"</t>
  </si>
  <si>
    <t>aeb_gen_cfg_reserved_4d4</t>
  </si>
  <si>
    <t>t_aeb_gen_cfg_reserved_4d4_wr_reg</t>
  </si>
  <si>
    <t>AEB General Configuration Area Register "RESERVED_4D8"</t>
  </si>
  <si>
    <t>aeb_gen_cfg_reserved_4d8</t>
  </si>
  <si>
    <t>t_aeb_gen_cfg_reserved_4d8_wr_reg</t>
  </si>
  <si>
    <t>AEB General Configuration Area Register "RESERVED_4DC"</t>
  </si>
  <si>
    <t>aeb_gen_cfg_reserved_4dc</t>
  </si>
  <si>
    <t>t_aeb_gen_cfg_reserved_4dc_wr_reg</t>
  </si>
  <si>
    <t>AEB General Configuration Area Register "RESERVED_4E0"</t>
  </si>
  <si>
    <t>aeb_gen_cfg_reserved_4e0</t>
  </si>
  <si>
    <t>t_aeb_gen_cfg_reserved_4e0_wr_reg</t>
  </si>
  <si>
    <t>AEB General Configuration Area Register "RESERVED_4E4"</t>
  </si>
  <si>
    <t>aeb_gen_cfg_reserved_4e4</t>
  </si>
  <si>
    <t>t_aeb_gen_cfg_reserved_4e4_wr_reg</t>
  </si>
  <si>
    <t>AEB General Configuration Area Register "RESERVED_4E8"</t>
  </si>
  <si>
    <t>aeb_gen_cfg_reserved_4e8</t>
  </si>
  <si>
    <t>t_aeb_gen_cfg_reserved_4e8_wr_reg</t>
  </si>
  <si>
    <t>AEB General Configuration Area Register "RESERVED_4EC"</t>
  </si>
  <si>
    <t>aeb_gen_cfg_reserved_4ec</t>
  </si>
  <si>
    <t>t_aeb_gen_cfg_reserved_4ec_wr_reg</t>
  </si>
  <si>
    <t>AEB General Configuration Area Register "RESERVED_4F0"</t>
  </si>
  <si>
    <t>aeb_gen_cfg_reserved_4f0</t>
  </si>
  <si>
    <t>t_aeb_gen_cfg_reserved_4f0_wr_reg</t>
  </si>
  <si>
    <t>AEB General Configuration Area Register "RESERVED_4F4"</t>
  </si>
  <si>
    <t>aeb_gen_cfg_reserved_4f4</t>
  </si>
  <si>
    <t>t_aeb_gen_cfg_reserved_4f4_wr_reg</t>
  </si>
  <si>
    <t>AEB General Configuration Area Register "RESERVED_4F8"</t>
  </si>
  <si>
    <t>aeb_gen_cfg_reserved_4f8</t>
  </si>
  <si>
    <t>t_aeb_gen_cfg_reserved_4f8_wr_reg</t>
  </si>
  <si>
    <t>AEB General Configuration Area Register "RESERVED_4FC"</t>
  </si>
  <si>
    <t>aeb_gen_cfg_reserved_4fc</t>
  </si>
  <si>
    <t>t_aeb_gen_cfg_reserved_4fc_wr_reg</t>
  </si>
  <si>
    <t>AEB General Configuration Area Register "RESERVED_500"</t>
  </si>
  <si>
    <t>aeb_gen_cfg_reserved_500</t>
  </si>
  <si>
    <t>t_aeb_gen_cfg_reserved_500_wr_reg</t>
  </si>
  <si>
    <t>AEB General Configuration Area Register "RESERVED_504"</t>
  </si>
  <si>
    <t>aeb_gen_cfg_reserved_504</t>
  </si>
  <si>
    <t>t_aeb_gen_cfg_reserved_504_wr_reg</t>
  </si>
  <si>
    <t>AEB General Configuration Area Register "RESERVED_508"</t>
  </si>
  <si>
    <t>aeb_gen_cfg_reserved_508</t>
  </si>
  <si>
    <t>t_aeb_gen_cfg_reserved_508_wr_reg</t>
  </si>
  <si>
    <t>AEB General Configuration Area Register "RESERVED_50C"</t>
  </si>
  <si>
    <t>aeb_gen_cfg_reserved_50c</t>
  </si>
  <si>
    <t>t_aeb_gen_cfg_reserved_50c_wr_reg</t>
  </si>
  <si>
    <t>AEB General Configuration Area Register "RESERVED_510"</t>
  </si>
  <si>
    <t>aeb_gen_cfg_reserved_510</t>
  </si>
  <si>
    <t>t_aeb_gen_cfg_reserved_510_wr_reg</t>
  </si>
  <si>
    <t>AEB General Configuration Area Register "RESERVED_514"</t>
  </si>
  <si>
    <t>aeb_gen_cfg_reserved_514</t>
  </si>
  <si>
    <t>t_aeb_gen_cfg_reserved_514_wr_reg</t>
  </si>
  <si>
    <t>AEB General Configuration Area Register "RESERVED_518"</t>
  </si>
  <si>
    <t>aeb_gen_cfg_reserved_518</t>
  </si>
  <si>
    <t>t_aeb_gen_cfg_reserved_518_wr_reg</t>
  </si>
  <si>
    <t>AEB General Configuration Area Register "RESERVED_51C"</t>
  </si>
  <si>
    <t>aeb_gen_cfg_reserved_51c</t>
  </si>
  <si>
    <t>t_aeb_gen_cfg_reserved_51c_wr_reg</t>
  </si>
  <si>
    <t>AEB General Configuration Area Register "RESERVED_520"</t>
  </si>
  <si>
    <t>aeb_gen_cfg_reserved_520</t>
  </si>
  <si>
    <t>t_aeb_gen_cfg_reserved_520_wr_reg</t>
  </si>
  <si>
    <t>AEB General Configuration Area Register "RESERVED_524"</t>
  </si>
  <si>
    <t>aeb_gen_cfg_reserved_524</t>
  </si>
  <si>
    <t>t_aeb_gen_cfg_reserved_524_wr_reg</t>
  </si>
  <si>
    <t>AEB General Configuration Area Register "RESERVED_528"</t>
  </si>
  <si>
    <t>aeb_gen_cfg_reserved_528</t>
  </si>
  <si>
    <t>t_aeb_gen_cfg_reserved_528_wr_reg</t>
  </si>
  <si>
    <t>AEB General Configuration Area Register "RESERVED_52C"</t>
  </si>
  <si>
    <t>aeb_gen_cfg_reserved_52c</t>
  </si>
  <si>
    <t>t_aeb_gen_cfg_reserved_52c_wr_reg</t>
  </si>
  <si>
    <t>AEB General Configuration Area Register "RESERVED_530"</t>
  </si>
  <si>
    <t>aeb_gen_cfg_reserved_530</t>
  </si>
  <si>
    <t>t_aeb_gen_cfg_reserved_530_wr_reg</t>
  </si>
  <si>
    <t>AEB General Configuration Area Register "RESERVED_534"</t>
  </si>
  <si>
    <t>aeb_gen_cfg_reserved_534</t>
  </si>
  <si>
    <t>t_aeb_gen_cfg_reserved_534_wr_reg</t>
  </si>
  <si>
    <t>AEB General Configuration Area Register "RESERVED_538"</t>
  </si>
  <si>
    <t>aeb_gen_cfg_reserved_538</t>
  </si>
  <si>
    <t>t_aeb_gen_cfg_reserved_538_wr_reg</t>
  </si>
  <si>
    <t>AEB General Configuration Area Register "RESERVED_53C"</t>
  </si>
  <si>
    <t>aeb_gen_cfg_reserved_53c</t>
  </si>
  <si>
    <t>t_aeb_gen_cfg_reserved_53c_wr_reg</t>
  </si>
  <si>
    <t>AEB General Configuration Area Register "RESERVED_540"</t>
  </si>
  <si>
    <t>aeb_gen_cfg_reserved_540</t>
  </si>
  <si>
    <t>t_aeb_gen_cfg_reserved_540_wr_reg</t>
  </si>
  <si>
    <t>AEB General Configuration Area Register "RESERVED_544"</t>
  </si>
  <si>
    <t>aeb_gen_cfg_reserved_544</t>
  </si>
  <si>
    <t>t_aeb_gen_cfg_reserved_544_wr_reg</t>
  </si>
  <si>
    <t>AEB General Configuration Area Register "RESERVED_548"</t>
  </si>
  <si>
    <t>aeb_gen_cfg_reserved_548</t>
  </si>
  <si>
    <t>t_aeb_gen_cfg_reserved_548_wr_reg</t>
  </si>
  <si>
    <t>AEB General Configuration Area Register "RESERVED_54C"</t>
  </si>
  <si>
    <t>aeb_gen_cfg_reserved_54c</t>
  </si>
  <si>
    <t>t_aeb_gen_cfg_reserved_54c_wr_reg</t>
  </si>
  <si>
    <t>AEB General Configuration Area Register "RESERVED_550"</t>
  </si>
  <si>
    <t>aeb_gen_cfg_reserved_550</t>
  </si>
  <si>
    <t>t_aeb_gen_cfg_reserved_550_wr_reg</t>
  </si>
  <si>
    <t>AEB General Configuration Area Register "RESERVED_554"</t>
  </si>
  <si>
    <t>aeb_gen_cfg_reserved_554</t>
  </si>
  <si>
    <t>t_aeb_gen_cfg_reserved_554_wr_reg</t>
  </si>
  <si>
    <t>AEB General Configuration Area Register "RESERVED_558"</t>
  </si>
  <si>
    <t>aeb_gen_cfg_reserved_558</t>
  </si>
  <si>
    <t>t_aeb_gen_cfg_reserved_558_wr_reg</t>
  </si>
  <si>
    <t>AEB General Configuration Area Register "RESERVED_55C"</t>
  </si>
  <si>
    <t>aeb_gen_cfg_reserved_55c</t>
  </si>
  <si>
    <t>t_aeb_gen_cfg_reserved_55c_wr_reg</t>
  </si>
  <si>
    <t>AEB General Configuration Area Register "RESERVED_560"</t>
  </si>
  <si>
    <t>aeb_gen_cfg_reserved_560</t>
  </si>
  <si>
    <t>t_aeb_gen_cfg_reserved_560_wr_reg</t>
  </si>
  <si>
    <t>AEB General Configuration Area Register "RESERVED_564"</t>
  </si>
  <si>
    <t>aeb_gen_cfg_reserved_564</t>
  </si>
  <si>
    <t>t_aeb_gen_cfg_reserved_564_wr_reg</t>
  </si>
  <si>
    <t>AEB General Configuration Area Register "RESERVED_568"</t>
  </si>
  <si>
    <t>aeb_gen_cfg_reserved_568</t>
  </si>
  <si>
    <t>t_aeb_gen_cfg_reserved_568_wr_reg</t>
  </si>
  <si>
    <t>AEB General Configuration Area Register "RESERVED_56C"</t>
  </si>
  <si>
    <t>aeb_gen_cfg_reserved_56c</t>
  </si>
  <si>
    <t>t_aeb_gen_cfg_reserved_56c_wr_reg</t>
  </si>
  <si>
    <t>AEB General Configuration Area Register "RESERVED_570"</t>
  </si>
  <si>
    <t>aeb_gen_cfg_reserved_570</t>
  </si>
  <si>
    <t>t_aeb_gen_cfg_reserved_570_wr_reg</t>
  </si>
  <si>
    <t>AEB General Configuration Area Register "RESERVED_574"</t>
  </si>
  <si>
    <t>aeb_gen_cfg_reserved_574</t>
  </si>
  <si>
    <t>t_aeb_gen_cfg_reserved_574_wr_reg</t>
  </si>
  <si>
    <t>AEB General Configuration Area Register "RESERVED_578"</t>
  </si>
  <si>
    <t>aeb_gen_cfg_reserved_578</t>
  </si>
  <si>
    <t>t_aeb_gen_cfg_reserved_578_wr_reg</t>
  </si>
  <si>
    <t>AEB General Configuration Area Register "RESERVED_57C"</t>
  </si>
  <si>
    <t>aeb_gen_cfg_reserved_57c</t>
  </si>
  <si>
    <t>t_aeb_gen_cfg_reserved_57c_wr_reg</t>
  </si>
  <si>
    <t>AEB General Configuration Area Register "RESERVED_580"</t>
  </si>
  <si>
    <t>aeb_gen_cfg_reserved_580</t>
  </si>
  <si>
    <t>t_aeb_gen_cfg_reserved_580_wr_reg</t>
  </si>
  <si>
    <t>AEB General Configuration Area Register "RESERVED_584"</t>
  </si>
  <si>
    <t>aeb_gen_cfg_reserved_584</t>
  </si>
  <si>
    <t>t_aeb_gen_cfg_reserved_584_wr_reg</t>
  </si>
  <si>
    <t>AEB General Configuration Area Register "RESERVED_588"</t>
  </si>
  <si>
    <t>aeb_gen_cfg_reserved_588</t>
  </si>
  <si>
    <t>t_aeb_gen_cfg_reserved_588_wr_reg</t>
  </si>
  <si>
    <t>AEB General Configuration Area Register "RESERVED_58C"</t>
  </si>
  <si>
    <t>aeb_gen_cfg_reserved_58c</t>
  </si>
  <si>
    <t>t_aeb_gen_cfg_reserved_58c_wr_reg</t>
  </si>
  <si>
    <t>AEB General Configuration Area Register "RESERVED_590"</t>
  </si>
  <si>
    <t>aeb_gen_cfg_reserved_590</t>
  </si>
  <si>
    <t>t_aeb_gen_cfg_reserved_590_wr_reg</t>
  </si>
  <si>
    <t>AEB General Configuration Area Register "RESERVED_594"</t>
  </si>
  <si>
    <t>aeb_gen_cfg_reserved_594</t>
  </si>
  <si>
    <t>t_aeb_gen_cfg_reserved_594_wr_reg</t>
  </si>
  <si>
    <t>AEB General Configuration Area Register "RESERVED_598"</t>
  </si>
  <si>
    <t>aeb_gen_cfg_reserved_598</t>
  </si>
  <si>
    <t>t_aeb_gen_cfg_reserved_598_wr_reg</t>
  </si>
  <si>
    <t>AEB General Configuration Area Register "RESERVED_59C"</t>
  </si>
  <si>
    <t>aeb_gen_cfg_reserved_59c</t>
  </si>
  <si>
    <t>t_aeb_gen_cfg_reserved_59c_wr_reg</t>
  </si>
  <si>
    <t>AEB General Configuration Area Register "RESERVED_5A0"</t>
  </si>
  <si>
    <t>aeb_gen_cfg_reserved_5a0</t>
  </si>
  <si>
    <t>t_aeb_gen_cfg_reserved_5a0_wr_reg</t>
  </si>
  <si>
    <t>AEB General Configuration Area Register "RESERVED_5A4"</t>
  </si>
  <si>
    <t>aeb_gen_cfg_reserved_5a4</t>
  </si>
  <si>
    <t>t_aeb_gen_cfg_reserved_5a4_wr_reg</t>
  </si>
  <si>
    <t>AEB General Configuration Area Register "RESERVED_5A8"</t>
  </si>
  <si>
    <t>aeb_gen_cfg_reserved_5a8</t>
  </si>
  <si>
    <t>t_aeb_gen_cfg_reserved_5a8_wr_reg</t>
  </si>
  <si>
    <t>AEB General Configuration Area Register "RESERVED_5AC"</t>
  </si>
  <si>
    <t>aeb_gen_cfg_reserved_5ac</t>
  </si>
  <si>
    <t>t_aeb_gen_cfg_reserved_5ac_wr_reg</t>
  </si>
  <si>
    <t>AEB General Configuration Area Register "RESERVED_5B0"</t>
  </si>
  <si>
    <t>aeb_gen_cfg_reserved_5b0</t>
  </si>
  <si>
    <t>t_aeb_gen_cfg_reserved_5b0_wr_reg</t>
  </si>
  <si>
    <t>AEB General Configuration Area Register "RESERVED_5B4"</t>
  </si>
  <si>
    <t>aeb_gen_cfg_reserved_5b4</t>
  </si>
  <si>
    <t>t_aeb_gen_cfg_reserved_5b4_wr_reg</t>
  </si>
  <si>
    <t>AEB General Configuration Area Register "RESERVED_5B8"</t>
  </si>
  <si>
    <t>aeb_gen_cfg_reserved_5b8</t>
  </si>
  <si>
    <t>t_aeb_gen_cfg_reserved_5b8_wr_reg</t>
  </si>
  <si>
    <t>AEB General Configuration Area Register "RESERVED_5BC"</t>
  </si>
  <si>
    <t>aeb_gen_cfg_reserved_5bc</t>
  </si>
  <si>
    <t>t_aeb_gen_cfg_reserved_5bc_wr_reg</t>
  </si>
  <si>
    <t>AEB General Configuration Area Register "RESERVED_5C0"</t>
  </si>
  <si>
    <t>aeb_gen_cfg_reserved_5c0</t>
  </si>
  <si>
    <t>t_aeb_gen_cfg_reserved_5c0_wr_reg</t>
  </si>
  <si>
    <t>AEB General Configuration Area Register "RESERVED_5C4"</t>
  </si>
  <si>
    <t>aeb_gen_cfg_reserved_5c4</t>
  </si>
  <si>
    <t>t_aeb_gen_cfg_reserved_5c4_wr_reg</t>
  </si>
  <si>
    <t>AEB General Configuration Area Register "RESERVED_5C8"</t>
  </si>
  <si>
    <t>aeb_gen_cfg_reserved_5c8</t>
  </si>
  <si>
    <t>t_aeb_gen_cfg_reserved_5c8_wr_reg</t>
  </si>
  <si>
    <t>AEB General Configuration Area Register "RESERVED_5CC"</t>
  </si>
  <si>
    <t>aeb_gen_cfg_reserved_5cc</t>
  </si>
  <si>
    <t>t_aeb_gen_cfg_reserved_5cc_wr_reg</t>
  </si>
  <si>
    <t>AEB General Configuration Area Register "RESERVED_5D0"</t>
  </si>
  <si>
    <t>aeb_gen_cfg_reserved_5d0</t>
  </si>
  <si>
    <t>t_aeb_gen_cfg_reserved_5d0_wr_reg</t>
  </si>
  <si>
    <t>AEB General Configuration Area Register "RESERVED_5D4"</t>
  </si>
  <si>
    <t>aeb_gen_cfg_reserved_5d4</t>
  </si>
  <si>
    <t>t_aeb_gen_cfg_reserved_5d4_wr_reg</t>
  </si>
  <si>
    <t>AEB General Configuration Area Register "RESERVED_5D8"</t>
  </si>
  <si>
    <t>aeb_gen_cfg_reserved_5d8</t>
  </si>
  <si>
    <t>t_aeb_gen_cfg_reserved_5d8_wr_reg</t>
  </si>
  <si>
    <t>AEB General Configuration Area Register "RESERVED_5DC"</t>
  </si>
  <si>
    <t>aeb_gen_cfg_reserved_5dc</t>
  </si>
  <si>
    <t>t_aeb_gen_cfg_reserved_5dc_wr_reg</t>
  </si>
  <si>
    <t>AEB General Configuration Area Register "RESERVED_5E0"</t>
  </si>
  <si>
    <t>aeb_gen_cfg_reserved_5e0</t>
  </si>
  <si>
    <t>t_aeb_gen_cfg_reserved_5e0_wr_reg</t>
  </si>
  <si>
    <t>AEB General Configuration Area Register "RESERVED_5E4"</t>
  </si>
  <si>
    <t>aeb_gen_cfg_reserved_5e4</t>
  </si>
  <si>
    <t>t_aeb_gen_cfg_reserved_5e4_wr_reg</t>
  </si>
  <si>
    <t>AEB General Configuration Area Register "RESERVED_5E8"</t>
  </si>
  <si>
    <t>aeb_gen_cfg_reserved_5e8</t>
  </si>
  <si>
    <t>t_aeb_gen_cfg_reserved_5e8_wr_reg</t>
  </si>
  <si>
    <t>AEB General Configuration Area Register "RESERVED_5EC"</t>
  </si>
  <si>
    <t>aeb_gen_cfg_reserved_5ec</t>
  </si>
  <si>
    <t>t_aeb_gen_cfg_reserved_5ec_wr_reg</t>
  </si>
  <si>
    <t>AEB General Configuration Area Register "RESERVED_5F0"</t>
  </si>
  <si>
    <t>aeb_gen_cfg_reserved_5f0</t>
  </si>
  <si>
    <t>t_aeb_gen_cfg_reserved_5f0_wr_reg</t>
  </si>
  <si>
    <t>AEB General Configuration Area Register "RESERVED_5F4"</t>
  </si>
  <si>
    <t>aeb_gen_cfg_reserved_5f4</t>
  </si>
  <si>
    <t>t_aeb_gen_cfg_reserved_5f4_wr_reg</t>
  </si>
  <si>
    <t>AEB General Configuration Area Register "RESERVED_5F8"</t>
  </si>
  <si>
    <t>aeb_gen_cfg_reserved_5f8</t>
  </si>
  <si>
    <t>t_aeb_gen_cfg_reserved_5f8_wr_reg</t>
  </si>
  <si>
    <t>AEB General Configuration Area Register "RESERVED_5FC"</t>
  </si>
  <si>
    <t>aeb_gen_cfg_reserved_5fc</t>
  </si>
  <si>
    <t>t_aeb_gen_cfg_reserved_5fc_wr_reg</t>
  </si>
  <si>
    <t>AEB General Configuration Area Register "RESERVED_600"</t>
  </si>
  <si>
    <t>aeb_gen_cfg_reserved_600</t>
  </si>
  <si>
    <t>t_aeb_gen_cfg_reserved_600_wr_reg</t>
  </si>
  <si>
    <t>AEB General Configuration Area Register "RESERVED_604"</t>
  </si>
  <si>
    <t>aeb_gen_cfg_reserved_604</t>
  </si>
  <si>
    <t>t_aeb_gen_cfg_reserved_604_wr_reg</t>
  </si>
  <si>
    <t>AEB General Configuration Area Register "RESERVED_608"</t>
  </si>
  <si>
    <t>aeb_gen_cfg_reserved_608</t>
  </si>
  <si>
    <t>t_aeb_gen_cfg_reserved_608_wr_reg</t>
  </si>
  <si>
    <t>AEB General Configuration Area Register "RESERVED_60C"</t>
  </si>
  <si>
    <t>aeb_gen_cfg_reserved_60c</t>
  </si>
  <si>
    <t>t_aeb_gen_cfg_reserved_60c_wr_reg</t>
  </si>
  <si>
    <t>AEB General Configuration Area Register "RESERVED_610"</t>
  </si>
  <si>
    <t>aeb_gen_cfg_reserved_610</t>
  </si>
  <si>
    <t>t_aeb_gen_cfg_reserved_610_wr_reg</t>
  </si>
  <si>
    <t>AEB General Configuration Area Register "RESERVED_614"</t>
  </si>
  <si>
    <t>aeb_gen_cfg_reserved_614</t>
  </si>
  <si>
    <t>t_aeb_gen_cfg_reserved_614_wr_reg</t>
  </si>
  <si>
    <t>AEB General Configuration Area Register "RESERVED_618"</t>
  </si>
  <si>
    <t>aeb_gen_cfg_reserved_618</t>
  </si>
  <si>
    <t>t_aeb_gen_cfg_reserved_618_wr_reg</t>
  </si>
  <si>
    <t>AEB General Configuration Area Register "RESERVED_61C"</t>
  </si>
  <si>
    <t>aeb_gen_cfg_reserved_61c</t>
  </si>
  <si>
    <t>t_aeb_gen_cfg_reserved_61c_wr_reg</t>
  </si>
  <si>
    <t>AEB General Configuration Area Register "RESERVED_620"</t>
  </si>
  <si>
    <t>aeb_gen_cfg_reserved_620</t>
  </si>
  <si>
    <t>t_aeb_gen_cfg_reserved_620_wr_reg</t>
  </si>
  <si>
    <t>AEB General Configuration Area Register "RESERVED_624"</t>
  </si>
  <si>
    <t>aeb_gen_cfg_reserved_624</t>
  </si>
  <si>
    <t>t_aeb_gen_cfg_reserved_624_wr_reg</t>
  </si>
  <si>
    <t>AEB General Configuration Area Register "RESERVED_628"</t>
  </si>
  <si>
    <t>aeb_gen_cfg_reserved_628</t>
  </si>
  <si>
    <t>t_aeb_gen_cfg_reserved_628_wr_reg</t>
  </si>
  <si>
    <t>AEB General Configuration Area Register "RESERVED_62C"</t>
  </si>
  <si>
    <t>aeb_gen_cfg_reserved_62c</t>
  </si>
  <si>
    <t>t_aeb_gen_cfg_reserved_62c_wr_reg</t>
  </si>
  <si>
    <t>AEB General Configuration Area Register "RESERVED_630"</t>
  </si>
  <si>
    <t>aeb_gen_cfg_reserved_630</t>
  </si>
  <si>
    <t>t_aeb_gen_cfg_reserved_630_wr_reg</t>
  </si>
  <si>
    <t>AEB General Configuration Area Register "RESERVED_634"</t>
  </si>
  <si>
    <t>aeb_gen_cfg_reserved_634</t>
  </si>
  <si>
    <t>t_aeb_gen_cfg_reserved_634_wr_reg</t>
  </si>
  <si>
    <t>AEB General Configuration Area Register "RESERVED_638"</t>
  </si>
  <si>
    <t>aeb_gen_cfg_reserved_638</t>
  </si>
  <si>
    <t>t_aeb_gen_cfg_reserved_638_wr_reg</t>
  </si>
  <si>
    <t>AEB General Configuration Area Register "RESERVED_63C"</t>
  </si>
  <si>
    <t>aeb_gen_cfg_reserved_63c</t>
  </si>
  <si>
    <t>t_aeb_gen_cfg_reserved_63c_wr_reg</t>
  </si>
  <si>
    <t>AEB General Configuration Area Register "RESERVED_640"</t>
  </si>
  <si>
    <t>aeb_gen_cfg_reserved_640</t>
  </si>
  <si>
    <t>t_aeb_gen_cfg_reserved_640_wr_reg</t>
  </si>
  <si>
    <t>AEB General Configuration Area Register "RESERVED_644"</t>
  </si>
  <si>
    <t>aeb_gen_cfg_reserved_644</t>
  </si>
  <si>
    <t>t_aeb_gen_cfg_reserved_644_wr_reg</t>
  </si>
  <si>
    <t>AEB General Configuration Area Register "RESERVED_648"</t>
  </si>
  <si>
    <t>aeb_gen_cfg_reserved_648</t>
  </si>
  <si>
    <t>t_aeb_gen_cfg_reserved_648_wr_reg</t>
  </si>
  <si>
    <t>AEB General Configuration Area Register "RESERVED_64C"</t>
  </si>
  <si>
    <t>aeb_gen_cfg_reserved_64c</t>
  </si>
  <si>
    <t>t_aeb_gen_cfg_reserved_64c_wr_reg</t>
  </si>
  <si>
    <t>AEB General Configuration Area Register "RESERVED_650"</t>
  </si>
  <si>
    <t>aeb_gen_cfg_reserved_650</t>
  </si>
  <si>
    <t>t_aeb_gen_cfg_reserved_650_wr_reg</t>
  </si>
  <si>
    <t>AEB General Configuration Area Register "RESERVED_654"</t>
  </si>
  <si>
    <t>aeb_gen_cfg_reserved_654</t>
  </si>
  <si>
    <t>t_aeb_gen_cfg_reserved_654_wr_reg</t>
  </si>
  <si>
    <t>AEB General Configuration Area Register "RESERVED_658"</t>
  </si>
  <si>
    <t>aeb_gen_cfg_reserved_658</t>
  </si>
  <si>
    <t>t_aeb_gen_cfg_reserved_658_wr_reg</t>
  </si>
  <si>
    <t>AEB General Configuration Area Register "RESERVED_65C"</t>
  </si>
  <si>
    <t>aeb_gen_cfg_reserved_65c</t>
  </si>
  <si>
    <t>t_aeb_gen_cfg_reserved_65c_wr_reg</t>
  </si>
  <si>
    <t>AEB General Configuration Area Register "RESERVED_660"</t>
  </si>
  <si>
    <t>aeb_gen_cfg_reserved_660</t>
  </si>
  <si>
    <t>t_aeb_gen_cfg_reserved_660_wr_reg</t>
  </si>
  <si>
    <t>AEB General Configuration Area Register "RESERVED_664"</t>
  </si>
  <si>
    <t>aeb_gen_cfg_reserved_664</t>
  </si>
  <si>
    <t>t_aeb_gen_cfg_reserved_664_wr_reg</t>
  </si>
  <si>
    <t>AEB General Configuration Area Register "RESERVED_668"</t>
  </si>
  <si>
    <t>aeb_gen_cfg_reserved_668</t>
  </si>
  <si>
    <t>t_aeb_gen_cfg_reserved_668_wr_reg</t>
  </si>
  <si>
    <t>AEB General Configuration Area Register "RESERVED_66C"</t>
  </si>
  <si>
    <t>aeb_gen_cfg_reserved_66c</t>
  </si>
  <si>
    <t>t_aeb_gen_cfg_reserved_66c_wr_reg</t>
  </si>
  <si>
    <t>AEB General Configuration Area Register "RESERVED_670"</t>
  </si>
  <si>
    <t>aeb_gen_cfg_reserved_670</t>
  </si>
  <si>
    <t>t_aeb_gen_cfg_reserved_670_wr_reg</t>
  </si>
  <si>
    <t>AEB General Configuration Area Register "RESERVED_674"</t>
  </si>
  <si>
    <t>aeb_gen_cfg_reserved_674</t>
  </si>
  <si>
    <t>t_aeb_gen_cfg_reserved_674_wr_reg</t>
  </si>
  <si>
    <t>AEB General Configuration Area Register "RESERVED_678"</t>
  </si>
  <si>
    <t>aeb_gen_cfg_reserved_678</t>
  </si>
  <si>
    <t>t_aeb_gen_cfg_reserved_678_wr_reg</t>
  </si>
  <si>
    <t>AEB General Configuration Area Register "RESERVED_67C"</t>
  </si>
  <si>
    <t>aeb_gen_cfg_reserved_67c</t>
  </si>
  <si>
    <t>t_aeb_gen_cfg_reserved_67c_wr_reg</t>
  </si>
  <si>
    <t>AEB General Configuration Area Register "RESERVED_680"</t>
  </si>
  <si>
    <t>aeb_gen_cfg_reserved_680</t>
  </si>
  <si>
    <t>t_aeb_gen_cfg_reserved_680_wr_reg</t>
  </si>
  <si>
    <t>AEB General Configuration Area Register "RESERVED_684"</t>
  </si>
  <si>
    <t>aeb_gen_cfg_reserved_684</t>
  </si>
  <si>
    <t>t_aeb_gen_cfg_reserved_684_wr_reg</t>
  </si>
  <si>
    <t>AEB General Configuration Area Register "RESERVED_688"</t>
  </si>
  <si>
    <t>aeb_gen_cfg_reserved_688</t>
  </si>
  <si>
    <t>t_aeb_gen_cfg_reserved_688_wr_reg</t>
  </si>
  <si>
    <t>AEB General Configuration Area Register "RESERVED_68C"</t>
  </si>
  <si>
    <t>aeb_gen_cfg_reserved_68c</t>
  </si>
  <si>
    <t>t_aeb_gen_cfg_reserved_68c_wr_reg</t>
  </si>
  <si>
    <t>AEB General Configuration Area Register "RESERVED_690"</t>
  </si>
  <si>
    <t>aeb_gen_cfg_reserved_690</t>
  </si>
  <si>
    <t>t_aeb_gen_cfg_reserved_690_wr_reg</t>
  </si>
  <si>
    <t>AEB General Configuration Area Register "RESERVED_694"</t>
  </si>
  <si>
    <t>aeb_gen_cfg_reserved_694</t>
  </si>
  <si>
    <t>t_aeb_gen_cfg_reserved_694_wr_reg</t>
  </si>
  <si>
    <t>AEB General Configuration Area Register "RESERVED_698"</t>
  </si>
  <si>
    <t>aeb_gen_cfg_reserved_698</t>
  </si>
  <si>
    <t>t_aeb_gen_cfg_reserved_698_wr_reg</t>
  </si>
  <si>
    <t>AEB General Configuration Area Register "RESERVED_69C"</t>
  </si>
  <si>
    <t>aeb_gen_cfg_reserved_69c</t>
  </si>
  <si>
    <t>t_aeb_gen_cfg_reserved_69c_wr_reg</t>
  </si>
  <si>
    <t>AEB General Configuration Area Register "RESERVED_6A0"</t>
  </si>
  <si>
    <t>aeb_gen_cfg_reserved_6a0</t>
  </si>
  <si>
    <t>t_aeb_gen_cfg_reserved_6a0_wr_reg</t>
  </si>
  <si>
    <t>AEB General Configuration Area Register "RESERVED_6A4"</t>
  </si>
  <si>
    <t>aeb_gen_cfg_reserved_6a4</t>
  </si>
  <si>
    <t>t_aeb_gen_cfg_reserved_6a4_wr_reg</t>
  </si>
  <si>
    <t>AEB General Configuration Area Register "RESERVED_6A8"</t>
  </si>
  <si>
    <t>aeb_gen_cfg_reserved_6a8</t>
  </si>
  <si>
    <t>t_aeb_gen_cfg_reserved_6a8_wr_reg</t>
  </si>
  <si>
    <t>AEB General Configuration Area Register "RESERVED_6AC"</t>
  </si>
  <si>
    <t>aeb_gen_cfg_reserved_6ac</t>
  </si>
  <si>
    <t>t_aeb_gen_cfg_reserved_6ac_wr_reg</t>
  </si>
  <si>
    <t>AEB General Configuration Area Register "RESERVED_6B0"</t>
  </si>
  <si>
    <t>aeb_gen_cfg_reserved_6b0</t>
  </si>
  <si>
    <t>t_aeb_gen_cfg_reserved_6b0_wr_reg</t>
  </si>
  <si>
    <t>AEB General Configuration Area Register "RESERVED_6B4"</t>
  </si>
  <si>
    <t>aeb_gen_cfg_reserved_6b4</t>
  </si>
  <si>
    <t>t_aeb_gen_cfg_reserved_6b4_wr_reg</t>
  </si>
  <si>
    <t>AEB General Configuration Area Register "RESERVED_6B8"</t>
  </si>
  <si>
    <t>aeb_gen_cfg_reserved_6b8</t>
  </si>
  <si>
    <t>t_aeb_gen_cfg_reserved_6b8_wr_reg</t>
  </si>
  <si>
    <t>AEB General Configuration Area Register "RESERVED_6BC"</t>
  </si>
  <si>
    <t>aeb_gen_cfg_reserved_6bc</t>
  </si>
  <si>
    <t>t_aeb_gen_cfg_reserved_6bc_wr_reg</t>
  </si>
  <si>
    <t>AEB General Configuration Area Register "RESERVED_6C0"</t>
  </si>
  <si>
    <t>aeb_gen_cfg_reserved_6c0</t>
  </si>
  <si>
    <t>t_aeb_gen_cfg_reserved_6c0_wr_reg</t>
  </si>
  <si>
    <t>AEB General Configuration Area Register "RESERVED_6C4"</t>
  </si>
  <si>
    <t>aeb_gen_cfg_reserved_6c4</t>
  </si>
  <si>
    <t>t_aeb_gen_cfg_reserved_6c4_wr_reg</t>
  </si>
  <si>
    <t>AEB General Configuration Area Register "RESERVED_6C8"</t>
  </si>
  <si>
    <t>aeb_gen_cfg_reserved_6c8</t>
  </si>
  <si>
    <t>t_aeb_gen_cfg_reserved_6c8_wr_reg</t>
  </si>
  <si>
    <t>AEB General Configuration Area Register "RESERVED_6CC"</t>
  </si>
  <si>
    <t>aeb_gen_cfg_reserved_6cc</t>
  </si>
  <si>
    <t>t_aeb_gen_cfg_reserved_6cc_wr_reg</t>
  </si>
  <si>
    <t>AEB General Configuration Area Register "RESERVED_6D0"</t>
  </si>
  <si>
    <t>aeb_gen_cfg_reserved_6d0</t>
  </si>
  <si>
    <t>t_aeb_gen_cfg_reserved_6d0_wr_reg</t>
  </si>
  <si>
    <t>AEB General Configuration Area Register "RESERVED_6D4"</t>
  </si>
  <si>
    <t>aeb_gen_cfg_reserved_6d4</t>
  </si>
  <si>
    <t>t_aeb_gen_cfg_reserved_6d4_wr_reg</t>
  </si>
  <si>
    <t>AEB General Configuration Area Register "RESERVED_6D8"</t>
  </si>
  <si>
    <t>aeb_gen_cfg_reserved_6d8</t>
  </si>
  <si>
    <t>t_aeb_gen_cfg_reserved_6d8_wr_reg</t>
  </si>
  <si>
    <t>AEB General Configuration Area Register "RESERVED_6DC"</t>
  </si>
  <si>
    <t>aeb_gen_cfg_reserved_6dc</t>
  </si>
  <si>
    <t>t_aeb_gen_cfg_reserved_6dc_wr_reg</t>
  </si>
  <si>
    <t>AEB General Configuration Area Register "RESERVED_6E0"</t>
  </si>
  <si>
    <t>aeb_gen_cfg_reserved_6e0</t>
  </si>
  <si>
    <t>t_aeb_gen_cfg_reserved_6e0_wr_reg</t>
  </si>
  <si>
    <t>AEB General Configuration Area Register "RESERVED_6E4"</t>
  </si>
  <si>
    <t>aeb_gen_cfg_reserved_6e4</t>
  </si>
  <si>
    <t>t_aeb_gen_cfg_reserved_6e4_wr_reg</t>
  </si>
  <si>
    <t>AEB General Configuration Area Register "RESERVED_6E8"</t>
  </si>
  <si>
    <t>aeb_gen_cfg_reserved_6e8</t>
  </si>
  <si>
    <t>t_aeb_gen_cfg_reserved_6e8_wr_reg</t>
  </si>
  <si>
    <t>AEB General Configuration Area Register "RESERVED_6EC"</t>
  </si>
  <si>
    <t>aeb_gen_cfg_reserved_6ec</t>
  </si>
  <si>
    <t>t_aeb_gen_cfg_reserved_6ec_wr_reg</t>
  </si>
  <si>
    <t>AEB General Configuration Area Register "RESERVED_6F0"</t>
  </si>
  <si>
    <t>aeb_gen_cfg_reserved_6f0</t>
  </si>
  <si>
    <t>t_aeb_gen_cfg_reserved_6f0_wr_reg</t>
  </si>
  <si>
    <t>AEB General Configuration Area Register "RESERVED_6F4"</t>
  </si>
  <si>
    <t>aeb_gen_cfg_reserved_6f4</t>
  </si>
  <si>
    <t>t_aeb_gen_cfg_reserved_6f4_wr_reg</t>
  </si>
  <si>
    <t>AEB General Configuration Area Register "RESERVED_6F8"</t>
  </si>
  <si>
    <t>aeb_gen_cfg_reserved_6f8</t>
  </si>
  <si>
    <t>t_aeb_gen_cfg_reserved_6f8_wr_reg</t>
  </si>
  <si>
    <t>AEB General Configuration Area Register "RESERVED_6FC"</t>
  </si>
  <si>
    <t>aeb_gen_cfg_reserved_6fc</t>
  </si>
  <si>
    <t>t_aeb_gen_cfg_reserved_6fc_wr_reg</t>
  </si>
  <si>
    <t>AEB General Configuration Area Register "RESERVED_700"</t>
  </si>
  <si>
    <t>aeb_gen_cfg_reserved_700</t>
  </si>
  <si>
    <t>t_aeb_gen_cfg_reserved_700_wr_reg</t>
  </si>
  <si>
    <t>AEB General Configuration Area Register "RESERVED_704"</t>
  </si>
  <si>
    <t>aeb_gen_cfg_reserved_704</t>
  </si>
  <si>
    <t>t_aeb_gen_cfg_reserved_704_wr_reg</t>
  </si>
  <si>
    <t>AEB General Configuration Area Register "RESERVED_708"</t>
  </si>
  <si>
    <t>aeb_gen_cfg_reserved_708</t>
  </si>
  <si>
    <t>t_aeb_gen_cfg_reserved_708_wr_reg</t>
  </si>
  <si>
    <t>AEB General Configuration Area Register "RESERVED_70C"</t>
  </si>
  <si>
    <t>aeb_gen_cfg_reserved_70c</t>
  </si>
  <si>
    <t>t_aeb_gen_cfg_reserved_70c_wr_reg</t>
  </si>
  <si>
    <t>AEB General Configuration Area Register "RESERVED_710"</t>
  </si>
  <si>
    <t>aeb_gen_cfg_reserved_710</t>
  </si>
  <si>
    <t>t_aeb_gen_cfg_reserved_710_wr_reg</t>
  </si>
  <si>
    <t>AEB General Configuration Area Register "RESERVED_714"</t>
  </si>
  <si>
    <t>aeb_gen_cfg_reserved_714</t>
  </si>
  <si>
    <t>t_aeb_gen_cfg_reserved_714_wr_reg</t>
  </si>
  <si>
    <t>AEB General Configuration Area Register "RESERVED_718"</t>
  </si>
  <si>
    <t>aeb_gen_cfg_reserved_718</t>
  </si>
  <si>
    <t>t_aeb_gen_cfg_reserved_718_wr_reg</t>
  </si>
  <si>
    <t>AEB General Configuration Area Register "RESERVED_71C"</t>
  </si>
  <si>
    <t>aeb_gen_cfg_reserved_71c</t>
  </si>
  <si>
    <t>t_aeb_gen_cfg_reserved_71c_wr_reg</t>
  </si>
  <si>
    <t>AEB General Configuration Area Register "RESERVED_720"</t>
  </si>
  <si>
    <t>aeb_gen_cfg_reserved_720</t>
  </si>
  <si>
    <t>t_aeb_gen_cfg_reserved_720_wr_reg</t>
  </si>
  <si>
    <t>AEB General Configuration Area Register "RESERVED_724"</t>
  </si>
  <si>
    <t>aeb_gen_cfg_reserved_724</t>
  </si>
  <si>
    <t>t_aeb_gen_cfg_reserved_724_wr_reg</t>
  </si>
  <si>
    <t>AEB General Configuration Area Register "RESERVED_728"</t>
  </si>
  <si>
    <t>aeb_gen_cfg_reserved_728</t>
  </si>
  <si>
    <t>t_aeb_gen_cfg_reserved_728_wr_reg</t>
  </si>
  <si>
    <t>AEB General Configuration Area Register "RESERVED_72C"</t>
  </si>
  <si>
    <t>aeb_gen_cfg_reserved_72c</t>
  </si>
  <si>
    <t>t_aeb_gen_cfg_reserved_72c_wr_reg</t>
  </si>
  <si>
    <t>AEB General Configuration Area Register "RESERVED_730"</t>
  </si>
  <si>
    <t>aeb_gen_cfg_reserved_730</t>
  </si>
  <si>
    <t>t_aeb_gen_cfg_reserved_730_wr_reg</t>
  </si>
  <si>
    <t>AEB General Configuration Area Register "RESERVED_734"</t>
  </si>
  <si>
    <t>aeb_gen_cfg_reserved_734</t>
  </si>
  <si>
    <t>t_aeb_gen_cfg_reserved_734_wr_reg</t>
  </si>
  <si>
    <t>AEB General Configuration Area Register "RESERVED_738"</t>
  </si>
  <si>
    <t>aeb_gen_cfg_reserved_738</t>
  </si>
  <si>
    <t>t_aeb_gen_cfg_reserved_738_wr_reg</t>
  </si>
  <si>
    <t>AEB General Configuration Area Register "RESERVED_73C"</t>
  </si>
  <si>
    <t>aeb_gen_cfg_reserved_73c</t>
  </si>
  <si>
    <t>t_aeb_gen_cfg_reserved_73c_wr_reg</t>
  </si>
  <si>
    <t>AEB General Configuration Area Register "RESERVED_740"</t>
  </si>
  <si>
    <t>aeb_gen_cfg_reserved_740</t>
  </si>
  <si>
    <t>t_aeb_gen_cfg_reserved_740_wr_reg</t>
  </si>
  <si>
    <t>AEB General Configuration Area Register "RESERVED_744"</t>
  </si>
  <si>
    <t>aeb_gen_cfg_reserved_744</t>
  </si>
  <si>
    <t>t_aeb_gen_cfg_reserved_744_wr_reg</t>
  </si>
  <si>
    <t>AEB General Configuration Area Register "RESERVED_748"</t>
  </si>
  <si>
    <t>aeb_gen_cfg_reserved_748</t>
  </si>
  <si>
    <t>t_aeb_gen_cfg_reserved_748_wr_reg</t>
  </si>
  <si>
    <t>AEB General Configuration Area Register "RESERVED_74C"</t>
  </si>
  <si>
    <t>aeb_gen_cfg_reserved_74c</t>
  </si>
  <si>
    <t>t_aeb_gen_cfg_reserved_74c_wr_reg</t>
  </si>
  <si>
    <t>AEB General Configuration Area Register "RESERVED_750"</t>
  </si>
  <si>
    <t>aeb_gen_cfg_reserved_750</t>
  </si>
  <si>
    <t>t_aeb_gen_cfg_reserved_750_wr_reg</t>
  </si>
  <si>
    <t>AEB General Configuration Area Register "RESERVED_754"</t>
  </si>
  <si>
    <t>aeb_gen_cfg_reserved_754</t>
  </si>
  <si>
    <t>t_aeb_gen_cfg_reserved_754_wr_reg</t>
  </si>
  <si>
    <t>AEB General Configuration Area Register "RESERVED_758"</t>
  </si>
  <si>
    <t>aeb_gen_cfg_reserved_758</t>
  </si>
  <si>
    <t>t_aeb_gen_cfg_reserved_758_wr_reg</t>
  </si>
  <si>
    <t>AEB General Configuration Area Register "RESERVED_75C"</t>
  </si>
  <si>
    <t>aeb_gen_cfg_reserved_75c</t>
  </si>
  <si>
    <t>t_aeb_gen_cfg_reserved_75c_wr_reg</t>
  </si>
  <si>
    <t>AEB General Configuration Area Register "RESERVED_760"</t>
  </si>
  <si>
    <t>aeb_gen_cfg_reserved_760</t>
  </si>
  <si>
    <t>t_aeb_gen_cfg_reserved_760_wr_reg</t>
  </si>
  <si>
    <t>AEB General Configuration Area Register "RESERVED_764"</t>
  </si>
  <si>
    <t>aeb_gen_cfg_reserved_764</t>
  </si>
  <si>
    <t>t_aeb_gen_cfg_reserved_764_wr_reg</t>
  </si>
  <si>
    <t>AEB General Configuration Area Register "RESERVED_768"</t>
  </si>
  <si>
    <t>aeb_gen_cfg_reserved_768</t>
  </si>
  <si>
    <t>t_aeb_gen_cfg_reserved_768_wr_reg</t>
  </si>
  <si>
    <t>AEB General Configuration Area Register "RESERVED_76C"</t>
  </si>
  <si>
    <t>aeb_gen_cfg_reserved_76c</t>
  </si>
  <si>
    <t>t_aeb_gen_cfg_reserved_76c_wr_reg</t>
  </si>
  <si>
    <t>AEB General Configuration Area Register "RESERVED_770"</t>
  </si>
  <si>
    <t>aeb_gen_cfg_reserved_770</t>
  </si>
  <si>
    <t>t_aeb_gen_cfg_reserved_770_wr_reg</t>
  </si>
  <si>
    <t>AEB General Configuration Area Register "RESERVED_774"</t>
  </si>
  <si>
    <t>aeb_gen_cfg_reserved_774</t>
  </si>
  <si>
    <t>t_aeb_gen_cfg_reserved_774_wr_reg</t>
  </si>
  <si>
    <t>AEB General Configuration Area Register "RESERVED_778"</t>
  </si>
  <si>
    <t>aeb_gen_cfg_reserved_778</t>
  </si>
  <si>
    <t>t_aeb_gen_cfg_reserved_778_wr_reg</t>
  </si>
  <si>
    <t>AEB General Configuration Area Register "RESERVED_77C"</t>
  </si>
  <si>
    <t>aeb_gen_cfg_reserved_77c</t>
  </si>
  <si>
    <t>t_aeb_gen_cfg_reserved_77c_wr_reg</t>
  </si>
  <si>
    <t>AEB General Configuration Area Register "RESERVED_780"</t>
  </si>
  <si>
    <t>aeb_gen_cfg_reserved_780</t>
  </si>
  <si>
    <t>t_aeb_gen_cfg_reserved_780_wr_reg</t>
  </si>
  <si>
    <t>AEB General Configuration Area Register "RESERVED_784"</t>
  </si>
  <si>
    <t>aeb_gen_cfg_reserved_784</t>
  </si>
  <si>
    <t>t_aeb_gen_cfg_reserved_784_wr_reg</t>
  </si>
  <si>
    <t>AEB General Configuration Area Register "RESERVED_788"</t>
  </si>
  <si>
    <t>aeb_gen_cfg_reserved_788</t>
  </si>
  <si>
    <t>t_aeb_gen_cfg_reserved_788_wr_reg</t>
  </si>
  <si>
    <t>AEB General Configuration Area Register "RESERVED_78C"</t>
  </si>
  <si>
    <t>aeb_gen_cfg_reserved_78c</t>
  </si>
  <si>
    <t>t_aeb_gen_cfg_reserved_78c_wr_reg</t>
  </si>
  <si>
    <t>AEB General Configuration Area Register "RESERVED_790"</t>
  </si>
  <si>
    <t>aeb_gen_cfg_reserved_790</t>
  </si>
  <si>
    <t>t_aeb_gen_cfg_reserved_790_wr_reg</t>
  </si>
  <si>
    <t>AEB General Configuration Area Register "RESERVED_794"</t>
  </si>
  <si>
    <t>aeb_gen_cfg_reserved_794</t>
  </si>
  <si>
    <t>t_aeb_gen_cfg_reserved_794_wr_reg</t>
  </si>
  <si>
    <t>AEB General Configuration Area Register "RESERVED_798"</t>
  </si>
  <si>
    <t>aeb_gen_cfg_reserved_798</t>
  </si>
  <si>
    <t>t_aeb_gen_cfg_reserved_798_wr_reg</t>
  </si>
  <si>
    <t>AEB General Configuration Area Register "RESERVED_79C"</t>
  </si>
  <si>
    <t>aeb_gen_cfg_reserved_79c</t>
  </si>
  <si>
    <t>t_aeb_gen_cfg_reserved_79c_wr_reg</t>
  </si>
  <si>
    <t>AEB General Configuration Area Register "RESERVED_7A0"</t>
  </si>
  <si>
    <t>aeb_gen_cfg_reserved_7a0</t>
  </si>
  <si>
    <t>t_aeb_gen_cfg_reserved_7a0_wr_reg</t>
  </si>
  <si>
    <t>AEB General Configuration Area Register "RESERVED_7A4"</t>
  </si>
  <si>
    <t>aeb_gen_cfg_reserved_7a4</t>
  </si>
  <si>
    <t>t_aeb_gen_cfg_reserved_7a4_wr_reg</t>
  </si>
  <si>
    <t>AEB General Configuration Area Register "RESERVED_7A8"</t>
  </si>
  <si>
    <t>aeb_gen_cfg_reserved_7a8</t>
  </si>
  <si>
    <t>t_aeb_gen_cfg_reserved_7a8_wr_reg</t>
  </si>
  <si>
    <t>AEB General Configuration Area Register "RESERVED_7AC"</t>
  </si>
  <si>
    <t>aeb_gen_cfg_reserved_7ac</t>
  </si>
  <si>
    <t>t_aeb_gen_cfg_reserved_7ac_wr_reg</t>
  </si>
  <si>
    <t>AEB General Configuration Area Register "RESERVED_7B0"</t>
  </si>
  <si>
    <t>aeb_gen_cfg_reserved_7b0</t>
  </si>
  <si>
    <t>t_aeb_gen_cfg_reserved_7b0_wr_reg</t>
  </si>
  <si>
    <t>AEB General Configuration Area Register "RESERVED_7B4"</t>
  </si>
  <si>
    <t>aeb_gen_cfg_reserved_7b4</t>
  </si>
  <si>
    <t>t_aeb_gen_cfg_reserved_7b4_wr_reg</t>
  </si>
  <si>
    <t>AEB General Configuration Area Register "RESERVED_7B8"</t>
  </si>
  <si>
    <t>aeb_gen_cfg_reserved_7b8</t>
  </si>
  <si>
    <t>t_aeb_gen_cfg_reserved_7b8_wr_reg</t>
  </si>
  <si>
    <t>AEB General Configuration Area Register "RESERVED_7BC"</t>
  </si>
  <si>
    <t>aeb_gen_cfg_reserved_7bc</t>
  </si>
  <si>
    <t>t_aeb_gen_cfg_reserved_7bc_wr_reg</t>
  </si>
  <si>
    <t>AEB General Configuration Area Register "RESERVED_7C0"</t>
  </si>
  <si>
    <t>aeb_gen_cfg_reserved_7c0</t>
  </si>
  <si>
    <t>t_aeb_gen_cfg_reserved_7c0_wr_reg</t>
  </si>
  <si>
    <t>AEB General Configuration Area Register "RESERVED_7C4"</t>
  </si>
  <si>
    <t>aeb_gen_cfg_reserved_7c4</t>
  </si>
  <si>
    <t>t_aeb_gen_cfg_reserved_7c4_wr_reg</t>
  </si>
  <si>
    <t>AEB General Configuration Area Register "RESERVED_7C8"</t>
  </si>
  <si>
    <t>aeb_gen_cfg_reserved_7c8</t>
  </si>
  <si>
    <t>t_aeb_gen_cfg_reserved_7c8_wr_reg</t>
  </si>
  <si>
    <t>AEB General Configuration Area Register "RESERVED_7CC"</t>
  </si>
  <si>
    <t>aeb_gen_cfg_reserved_7cc</t>
  </si>
  <si>
    <t>t_aeb_gen_cfg_reserved_7cc_wr_reg</t>
  </si>
  <si>
    <t>AEB General Configuration Area Register "RESERVED_7D0"</t>
  </si>
  <si>
    <t>aeb_gen_cfg_reserved_7d0</t>
  </si>
  <si>
    <t>t_aeb_gen_cfg_reserved_7d0_wr_reg</t>
  </si>
  <si>
    <t>AEB General Configuration Area Register "RESERVED_7D4"</t>
  </si>
  <si>
    <t>aeb_gen_cfg_reserved_7d4</t>
  </si>
  <si>
    <t>t_aeb_gen_cfg_reserved_7d4_wr_reg</t>
  </si>
  <si>
    <t>AEB General Configuration Area Register "RESERVED_7D8"</t>
  </si>
  <si>
    <t>aeb_gen_cfg_reserved_7d8</t>
  </si>
  <si>
    <t>t_aeb_gen_cfg_reserved_7d8_wr_reg</t>
  </si>
  <si>
    <t>AEB General Configuration Area Register "RESERVED_7DC"</t>
  </si>
  <si>
    <t>aeb_gen_cfg_reserved_7dc</t>
  </si>
  <si>
    <t>t_aeb_gen_cfg_reserved_7dc_wr_reg</t>
  </si>
  <si>
    <t>AEB General Configuration Area Register "RESERVED_7E0"</t>
  </si>
  <si>
    <t>aeb_gen_cfg_reserved_7e0</t>
  </si>
  <si>
    <t>t_aeb_gen_cfg_reserved_7e0_wr_reg</t>
  </si>
  <si>
    <t>AEB General Configuration Area Register "RESERVED_7E4"</t>
  </si>
  <si>
    <t>aeb_gen_cfg_reserved_7e4</t>
  </si>
  <si>
    <t>t_aeb_gen_cfg_reserved_7e4_wr_reg</t>
  </si>
  <si>
    <t>AEB General Configuration Area Register "RESERVED_7E8"</t>
  </si>
  <si>
    <t>aeb_gen_cfg_reserved_7e8</t>
  </si>
  <si>
    <t>t_aeb_gen_cfg_reserved_7e8_wr_reg</t>
  </si>
  <si>
    <t>AEB General Configuration Area Register "RESERVED_7EC"</t>
  </si>
  <si>
    <t>aeb_gen_cfg_reserved_7ec</t>
  </si>
  <si>
    <t>t_aeb_gen_cfg_reserved_7ec_wr_reg</t>
  </si>
  <si>
    <t>AEB General Configuration Area Register "RESERVED_7F0"</t>
  </si>
  <si>
    <t>aeb_gen_cfg_reserved_7f0</t>
  </si>
  <si>
    <t>t_aeb_gen_cfg_reserved_7f0_wr_reg</t>
  </si>
  <si>
    <t>AEB General Configuration Area Register "RESERVED_7F4"</t>
  </si>
  <si>
    <t>aeb_gen_cfg_reserved_7f4</t>
  </si>
  <si>
    <t>t_aeb_gen_cfg_reserved_7f4_wr_reg</t>
  </si>
  <si>
    <t>AEB General Configuration Area Register "RESERVED_7F8"</t>
  </si>
  <si>
    <t>aeb_gen_cfg_reserved_7f8</t>
  </si>
  <si>
    <t>t_aeb_gen_cfg_reserved_7f8_wr_reg</t>
  </si>
  <si>
    <t>AEB General Configuration Area Register "RESERVED_7FC"</t>
  </si>
  <si>
    <t>aeb_gen_cfg_reserved_7fc</t>
  </si>
  <si>
    <t>t_aeb_gen_cfg_reserved_7fc_wr_reg</t>
  </si>
  <si>
    <t>AEB General Configuration Area Register "RESERVED_800"</t>
  </si>
  <si>
    <t>aeb_gen_cfg_reserved_800</t>
  </si>
  <si>
    <t>t_aeb_gen_cfg_reserved_800_wr_reg</t>
  </si>
  <si>
    <t>AEB General Configuration Area Register "RESERVED_804"</t>
  </si>
  <si>
    <t>aeb_gen_cfg_reserved_804</t>
  </si>
  <si>
    <t>t_aeb_gen_cfg_reserved_804_wr_reg</t>
  </si>
  <si>
    <t>AEB General Configuration Area Register "RESERVED_808"</t>
  </si>
  <si>
    <t>aeb_gen_cfg_reserved_808</t>
  </si>
  <si>
    <t>t_aeb_gen_cfg_reserved_808_wr_reg</t>
  </si>
  <si>
    <t>AEB General Configuration Area Register "RESERVED_80C"</t>
  </si>
  <si>
    <t>aeb_gen_cfg_reserved_80c</t>
  </si>
  <si>
    <t>t_aeb_gen_cfg_reserved_80c_wr_reg</t>
  </si>
  <si>
    <t>AEB General Configuration Area Register "RESERVED_810"</t>
  </si>
  <si>
    <t>aeb_gen_cfg_reserved_810</t>
  </si>
  <si>
    <t>t_aeb_gen_cfg_reserved_810_wr_reg</t>
  </si>
  <si>
    <t>AEB General Configuration Area Register "RESERVED_814"</t>
  </si>
  <si>
    <t>aeb_gen_cfg_reserved_814</t>
  </si>
  <si>
    <t>t_aeb_gen_cfg_reserved_814_wr_reg</t>
  </si>
  <si>
    <t>AEB General Configuration Area Register "RESERVED_818"</t>
  </si>
  <si>
    <t>aeb_gen_cfg_reserved_818</t>
  </si>
  <si>
    <t>t_aeb_gen_cfg_reserved_818_wr_reg</t>
  </si>
  <si>
    <t>AEB General Configuration Area Register "RESERVED_81C"</t>
  </si>
  <si>
    <t>aeb_gen_cfg_reserved_81c</t>
  </si>
  <si>
    <t>t_aeb_gen_cfg_reserved_81c_wr_reg</t>
  </si>
  <si>
    <t>AEB General Configuration Area Register "RESERVED_820"</t>
  </si>
  <si>
    <t>aeb_gen_cfg_reserved_820</t>
  </si>
  <si>
    <t>t_aeb_gen_cfg_reserved_820_wr_reg</t>
  </si>
  <si>
    <t>AEB General Configuration Area Register "RESERVED_824"</t>
  </si>
  <si>
    <t>aeb_gen_cfg_reserved_824</t>
  </si>
  <si>
    <t>t_aeb_gen_cfg_reserved_824_wr_reg</t>
  </si>
  <si>
    <t>AEB General Configuration Area Register "RESERVED_828"</t>
  </si>
  <si>
    <t>aeb_gen_cfg_reserved_828</t>
  </si>
  <si>
    <t>t_aeb_gen_cfg_reserved_828_wr_reg</t>
  </si>
  <si>
    <t>AEB General Configuration Area Register "RESERVED_82C"</t>
  </si>
  <si>
    <t>aeb_gen_cfg_reserved_82c</t>
  </si>
  <si>
    <t>t_aeb_gen_cfg_reserved_82c_wr_reg</t>
  </si>
  <si>
    <t>AEB General Configuration Area Register "RESERVED_830"</t>
  </si>
  <si>
    <t>aeb_gen_cfg_reserved_830</t>
  </si>
  <si>
    <t>t_aeb_gen_cfg_reserved_830_wr_reg</t>
  </si>
  <si>
    <t>AEB General Configuration Area Register "RESERVED_834"</t>
  </si>
  <si>
    <t>aeb_gen_cfg_reserved_834</t>
  </si>
  <si>
    <t>t_aeb_gen_cfg_reserved_834_wr_reg</t>
  </si>
  <si>
    <t>AEB General Configuration Area Register "RESERVED_838"</t>
  </si>
  <si>
    <t>aeb_gen_cfg_reserved_838</t>
  </si>
  <si>
    <t>t_aeb_gen_cfg_reserved_838_wr_reg</t>
  </si>
  <si>
    <t>AEB General Configuration Area Register "RESERVED_83C"</t>
  </si>
  <si>
    <t>aeb_gen_cfg_reserved_83c</t>
  </si>
  <si>
    <t>t_aeb_gen_cfg_reserved_83c_wr_reg</t>
  </si>
  <si>
    <t>AEB General Configuration Area Register "RESERVED_840"</t>
  </si>
  <si>
    <t>aeb_gen_cfg_reserved_840</t>
  </si>
  <si>
    <t>t_aeb_gen_cfg_reserved_840_wr_reg</t>
  </si>
  <si>
    <t>AEB General Configuration Area Register "RESERVED_844"</t>
  </si>
  <si>
    <t>aeb_gen_cfg_reserved_844</t>
  </si>
  <si>
    <t>t_aeb_gen_cfg_reserved_844_wr_reg</t>
  </si>
  <si>
    <t>AEB General Configuration Area Register "RESERVED_848"</t>
  </si>
  <si>
    <t>aeb_gen_cfg_reserved_848</t>
  </si>
  <si>
    <t>t_aeb_gen_cfg_reserved_848_wr_reg</t>
  </si>
  <si>
    <t>AEB General Configuration Area Register "RESERVED_84C"</t>
  </si>
  <si>
    <t>aeb_gen_cfg_reserved_84c</t>
  </si>
  <si>
    <t>t_aeb_gen_cfg_reserved_84c_wr_reg</t>
  </si>
  <si>
    <t>AEB General Configuration Area Register "RESERVED_850"</t>
  </si>
  <si>
    <t>aeb_gen_cfg_reserved_850</t>
  </si>
  <si>
    <t>t_aeb_gen_cfg_reserved_850_wr_reg</t>
  </si>
  <si>
    <t>AEB General Configuration Area Register "RESERVED_854"</t>
  </si>
  <si>
    <t>aeb_gen_cfg_reserved_854</t>
  </si>
  <si>
    <t>t_aeb_gen_cfg_reserved_854_wr_reg</t>
  </si>
  <si>
    <t>AEB General Configuration Area Register "RESERVED_858"</t>
  </si>
  <si>
    <t>aeb_gen_cfg_reserved_858</t>
  </si>
  <si>
    <t>t_aeb_gen_cfg_reserved_858_wr_reg</t>
  </si>
  <si>
    <t>AEB General Configuration Area Register "RESERVED_85C"</t>
  </si>
  <si>
    <t>aeb_gen_cfg_reserved_85c</t>
  </si>
  <si>
    <t>t_aeb_gen_cfg_reserved_85c_wr_reg</t>
  </si>
  <si>
    <t>AEB General Configuration Area Register "RESERVED_860"</t>
  </si>
  <si>
    <t>aeb_gen_cfg_reserved_860</t>
  </si>
  <si>
    <t>t_aeb_gen_cfg_reserved_860_wr_reg</t>
  </si>
  <si>
    <t>AEB General Configuration Area Register "RESERVED_864"</t>
  </si>
  <si>
    <t>aeb_gen_cfg_reserved_864</t>
  </si>
  <si>
    <t>t_aeb_gen_cfg_reserved_864_wr_reg</t>
  </si>
  <si>
    <t>AEB General Configuration Area Register "RESERVED_868"</t>
  </si>
  <si>
    <t>aeb_gen_cfg_reserved_868</t>
  </si>
  <si>
    <t>t_aeb_gen_cfg_reserved_868_wr_reg</t>
  </si>
  <si>
    <t>AEB General Configuration Area Register "RESERVED_86C"</t>
  </si>
  <si>
    <t>aeb_gen_cfg_reserved_86c</t>
  </si>
  <si>
    <t>t_aeb_gen_cfg_reserved_86c_wr_reg</t>
  </si>
  <si>
    <t>AEB General Configuration Area Register "RESERVED_870"</t>
  </si>
  <si>
    <t>aeb_gen_cfg_reserved_870</t>
  </si>
  <si>
    <t>t_aeb_gen_cfg_reserved_870_wr_reg</t>
  </si>
  <si>
    <t>AEB General Configuration Area Register "RESERVED_874"</t>
  </si>
  <si>
    <t>aeb_gen_cfg_reserved_874</t>
  </si>
  <si>
    <t>t_aeb_gen_cfg_reserved_874_wr_reg</t>
  </si>
  <si>
    <t>AEB General Configuration Area Register "RESERVED_878"</t>
  </si>
  <si>
    <t>aeb_gen_cfg_reserved_878</t>
  </si>
  <si>
    <t>t_aeb_gen_cfg_reserved_878_wr_reg</t>
  </si>
  <si>
    <t>AEB General Configuration Area Register "RESERVED_87C"</t>
  </si>
  <si>
    <t>aeb_gen_cfg_reserved_87c</t>
  </si>
  <si>
    <t>t_aeb_gen_cfg_reserved_87c_wr_reg</t>
  </si>
  <si>
    <t>AEB General Configuration Area Register "RESERVED_880"</t>
  </si>
  <si>
    <t>aeb_gen_cfg_reserved_880</t>
  </si>
  <si>
    <t>t_aeb_gen_cfg_reserved_880_wr_reg</t>
  </si>
  <si>
    <t>AEB General Configuration Area Register "RESERVED_884"</t>
  </si>
  <si>
    <t>aeb_gen_cfg_reserved_884</t>
  </si>
  <si>
    <t>t_aeb_gen_cfg_reserved_884_wr_reg</t>
  </si>
  <si>
    <t>AEB General Configuration Area Register "RESERVED_888"</t>
  </si>
  <si>
    <t>aeb_gen_cfg_reserved_888</t>
  </si>
  <si>
    <t>t_aeb_gen_cfg_reserved_888_wr_reg</t>
  </si>
  <si>
    <t>AEB General Configuration Area Register "RESERVED_88C"</t>
  </si>
  <si>
    <t>aeb_gen_cfg_reserved_88c</t>
  </si>
  <si>
    <t>t_aeb_gen_cfg_reserved_88c_wr_reg</t>
  </si>
  <si>
    <t>AEB General Configuration Area Register "RESERVED_890"</t>
  </si>
  <si>
    <t>aeb_gen_cfg_reserved_890</t>
  </si>
  <si>
    <t>t_aeb_gen_cfg_reserved_890_wr_reg</t>
  </si>
  <si>
    <t>AEB General Configuration Area Register "RESERVED_894"</t>
  </si>
  <si>
    <t>aeb_gen_cfg_reserved_894</t>
  </si>
  <si>
    <t>t_aeb_gen_cfg_reserved_894_wr_reg</t>
  </si>
  <si>
    <t>AEB General Configuration Area Register "RESERVED_898"</t>
  </si>
  <si>
    <t>aeb_gen_cfg_reserved_898</t>
  </si>
  <si>
    <t>t_aeb_gen_cfg_reserved_898_wr_reg</t>
  </si>
  <si>
    <t>AEB General Configuration Area Register "RESERVED_89C"</t>
  </si>
  <si>
    <t>aeb_gen_cfg_reserved_89c</t>
  </si>
  <si>
    <t>t_aeb_gen_cfg_reserved_89c_wr_reg</t>
  </si>
  <si>
    <t>AEB General Configuration Area Register "RESERVED_8A0"</t>
  </si>
  <si>
    <t>aeb_gen_cfg_reserved_8a0</t>
  </si>
  <si>
    <t>t_aeb_gen_cfg_reserved_8a0_wr_reg</t>
  </si>
  <si>
    <t>AEB General Configuration Area Register "RESERVED_8A4"</t>
  </si>
  <si>
    <t>aeb_gen_cfg_reserved_8a4</t>
  </si>
  <si>
    <t>t_aeb_gen_cfg_reserved_8a4_wr_reg</t>
  </si>
  <si>
    <t>AEB General Configuration Area Register "RESERVED_8A8"</t>
  </si>
  <si>
    <t>aeb_gen_cfg_reserved_8a8</t>
  </si>
  <si>
    <t>t_aeb_gen_cfg_reserved_8a8_wr_reg</t>
  </si>
  <si>
    <t>AEB General Configuration Area Register "RESERVED_8AC"</t>
  </si>
  <si>
    <t>aeb_gen_cfg_reserved_8ac</t>
  </si>
  <si>
    <t>t_aeb_gen_cfg_reserved_8ac_wr_reg</t>
  </si>
  <si>
    <t>AEB General Configuration Area Register "RESERVED_8B0"</t>
  </si>
  <si>
    <t>aeb_gen_cfg_reserved_8b0</t>
  </si>
  <si>
    <t>t_aeb_gen_cfg_reserved_8b0_wr_reg</t>
  </si>
  <si>
    <t>AEB General Configuration Area Register "RESERVED_8B4"</t>
  </si>
  <si>
    <t>aeb_gen_cfg_reserved_8b4</t>
  </si>
  <si>
    <t>t_aeb_gen_cfg_reserved_8b4_wr_reg</t>
  </si>
  <si>
    <t>AEB General Configuration Area Register "RESERVED_8B8"</t>
  </si>
  <si>
    <t>aeb_gen_cfg_reserved_8b8</t>
  </si>
  <si>
    <t>t_aeb_gen_cfg_reserved_8b8_wr_reg</t>
  </si>
  <si>
    <t>AEB General Configuration Area Register "RESERVED_8BC"</t>
  </si>
  <si>
    <t>aeb_gen_cfg_reserved_8bc</t>
  </si>
  <si>
    <t>t_aeb_gen_cfg_reserved_8bc_wr_reg</t>
  </si>
  <si>
    <t>AEB General Configuration Area Register "RESERVED_8C0"</t>
  </si>
  <si>
    <t>aeb_gen_cfg_reserved_8c0</t>
  </si>
  <si>
    <t>t_aeb_gen_cfg_reserved_8c0_wr_reg</t>
  </si>
  <si>
    <t>AEB General Configuration Area Register "RESERVED_8C4"</t>
  </si>
  <si>
    <t>aeb_gen_cfg_reserved_8c4</t>
  </si>
  <si>
    <t>t_aeb_gen_cfg_reserved_8c4_wr_reg</t>
  </si>
  <si>
    <t>AEB General Configuration Area Register "RESERVED_8C8"</t>
  </si>
  <si>
    <t>aeb_gen_cfg_reserved_8c8</t>
  </si>
  <si>
    <t>t_aeb_gen_cfg_reserved_8c8_wr_reg</t>
  </si>
  <si>
    <t>AEB General Configuration Area Register "RESERVED_8CC"</t>
  </si>
  <si>
    <t>aeb_gen_cfg_reserved_8cc</t>
  </si>
  <si>
    <t>t_aeb_gen_cfg_reserved_8cc_wr_reg</t>
  </si>
  <si>
    <t>AEB General Configuration Area Register "RESERVED_8D0"</t>
  </si>
  <si>
    <t>aeb_gen_cfg_reserved_8d0</t>
  </si>
  <si>
    <t>t_aeb_gen_cfg_reserved_8d0_wr_reg</t>
  </si>
  <si>
    <t>AEB General Configuration Area Register "RESERVED_8D4"</t>
  </si>
  <si>
    <t>aeb_gen_cfg_reserved_8d4</t>
  </si>
  <si>
    <t>t_aeb_gen_cfg_reserved_8d4_wr_reg</t>
  </si>
  <si>
    <t>AEB General Configuration Area Register "RESERVED_8D8"</t>
  </si>
  <si>
    <t>aeb_gen_cfg_reserved_8d8</t>
  </si>
  <si>
    <t>t_aeb_gen_cfg_reserved_8d8_wr_reg</t>
  </si>
  <si>
    <t>AEB General Configuration Area Register "RESERVED_8DC"</t>
  </si>
  <si>
    <t>aeb_gen_cfg_reserved_8dc</t>
  </si>
  <si>
    <t>t_aeb_gen_cfg_reserved_8dc_wr_reg</t>
  </si>
  <si>
    <t>AEB General Configuration Area Register "RESERVED_8E0"</t>
  </si>
  <si>
    <t>aeb_gen_cfg_reserved_8e0</t>
  </si>
  <si>
    <t>t_aeb_gen_cfg_reserved_8e0_wr_reg</t>
  </si>
  <si>
    <t>AEB General Configuration Area Register "RESERVED_8E4"</t>
  </si>
  <si>
    <t>aeb_gen_cfg_reserved_8e4</t>
  </si>
  <si>
    <t>t_aeb_gen_cfg_reserved_8e4_wr_reg</t>
  </si>
  <si>
    <t>AEB General Configuration Area Register "RESERVED_8E8"</t>
  </si>
  <si>
    <t>aeb_gen_cfg_reserved_8e8</t>
  </si>
  <si>
    <t>t_aeb_gen_cfg_reserved_8e8_wr_reg</t>
  </si>
  <si>
    <t>AEB General Configuration Area Register "RESERVED_8EC"</t>
  </si>
  <si>
    <t>aeb_gen_cfg_reserved_8ec</t>
  </si>
  <si>
    <t>t_aeb_gen_cfg_reserved_8ec_wr_reg</t>
  </si>
  <si>
    <t>AEB General Configuration Area Register "RESERVED_8F0"</t>
  </si>
  <si>
    <t>aeb_gen_cfg_reserved_8f0</t>
  </si>
  <si>
    <t>t_aeb_gen_cfg_reserved_8f0_wr_reg</t>
  </si>
  <si>
    <t>AEB General Configuration Area Register "RESERVED_8F4"</t>
  </si>
  <si>
    <t>aeb_gen_cfg_reserved_8f4</t>
  </si>
  <si>
    <t>t_aeb_gen_cfg_reserved_8f4_wr_reg</t>
  </si>
  <si>
    <t>AEB General Configuration Area Register "RESERVED_8F8"</t>
  </si>
  <si>
    <t>aeb_gen_cfg_reserved_8f8</t>
  </si>
  <si>
    <t>t_aeb_gen_cfg_reserved_8f8_wr_reg</t>
  </si>
  <si>
    <t>AEB General Configuration Area Register "RESERVED_8FC"</t>
  </si>
  <si>
    <t>aeb_gen_cfg_reserved_8fc</t>
  </si>
  <si>
    <t>t_aeb_gen_cfg_reserved_8fc_wr_reg</t>
  </si>
  <si>
    <t>AEB General Configuration Area Register "RESERVED_900"</t>
  </si>
  <si>
    <t>aeb_gen_cfg_reserved_900</t>
  </si>
  <si>
    <t>t_aeb_gen_cfg_reserved_900_wr_reg</t>
  </si>
  <si>
    <t>AEB General Configuration Area Register "RESERVED_904"</t>
  </si>
  <si>
    <t>aeb_gen_cfg_reserved_904</t>
  </si>
  <si>
    <t>t_aeb_gen_cfg_reserved_904_wr_reg</t>
  </si>
  <si>
    <t>AEB General Configuration Area Register "RESERVED_908"</t>
  </si>
  <si>
    <t>aeb_gen_cfg_reserved_908</t>
  </si>
  <si>
    <t>t_aeb_gen_cfg_reserved_908_wr_reg</t>
  </si>
  <si>
    <t>AEB General Configuration Area Register "RESERVED_90C"</t>
  </si>
  <si>
    <t>aeb_gen_cfg_reserved_90c</t>
  </si>
  <si>
    <t>t_aeb_gen_cfg_reserved_90c_wr_reg</t>
  </si>
  <si>
    <t>AEB General Configuration Area Register "RESERVED_910"</t>
  </si>
  <si>
    <t>aeb_gen_cfg_reserved_910</t>
  </si>
  <si>
    <t>t_aeb_gen_cfg_reserved_910_wr_reg</t>
  </si>
  <si>
    <t>AEB General Configuration Area Register "RESERVED_914"</t>
  </si>
  <si>
    <t>aeb_gen_cfg_reserved_914</t>
  </si>
  <si>
    <t>t_aeb_gen_cfg_reserved_914_wr_reg</t>
  </si>
  <si>
    <t>AEB General Configuration Area Register "RESERVED_918"</t>
  </si>
  <si>
    <t>aeb_gen_cfg_reserved_918</t>
  </si>
  <si>
    <t>t_aeb_gen_cfg_reserved_918_wr_reg</t>
  </si>
  <si>
    <t>AEB General Configuration Area Register "RESERVED_91C"</t>
  </si>
  <si>
    <t>aeb_gen_cfg_reserved_91c</t>
  </si>
  <si>
    <t>t_aeb_gen_cfg_reserved_91c_wr_reg</t>
  </si>
  <si>
    <t>AEB General Configuration Area Register "RESERVED_920"</t>
  </si>
  <si>
    <t>aeb_gen_cfg_reserved_920</t>
  </si>
  <si>
    <t>t_aeb_gen_cfg_reserved_920_wr_reg</t>
  </si>
  <si>
    <t>AEB General Configuration Area Register "RESERVED_924"</t>
  </si>
  <si>
    <t>aeb_gen_cfg_reserved_924</t>
  </si>
  <si>
    <t>t_aeb_gen_cfg_reserved_924_wr_reg</t>
  </si>
  <si>
    <t>AEB General Configuration Area Register "RESERVED_928"</t>
  </si>
  <si>
    <t>aeb_gen_cfg_reserved_928</t>
  </si>
  <si>
    <t>t_aeb_gen_cfg_reserved_928_wr_reg</t>
  </si>
  <si>
    <t>AEB General Configuration Area Register "RESERVED_92C"</t>
  </si>
  <si>
    <t>aeb_gen_cfg_reserved_92c</t>
  </si>
  <si>
    <t>t_aeb_gen_cfg_reserved_92c_wr_reg</t>
  </si>
  <si>
    <t>AEB General Configuration Area Register "RESERVED_930"</t>
  </si>
  <si>
    <t>aeb_gen_cfg_reserved_930</t>
  </si>
  <si>
    <t>t_aeb_gen_cfg_reserved_930_wr_reg</t>
  </si>
  <si>
    <t>AEB General Configuration Area Register "RESERVED_934"</t>
  </si>
  <si>
    <t>aeb_gen_cfg_reserved_934</t>
  </si>
  <si>
    <t>t_aeb_gen_cfg_reserved_934_wr_reg</t>
  </si>
  <si>
    <t>AEB General Configuration Area Register "RESERVED_938"</t>
  </si>
  <si>
    <t>aeb_gen_cfg_reserved_938</t>
  </si>
  <si>
    <t>t_aeb_gen_cfg_reserved_938_wr_reg</t>
  </si>
  <si>
    <t>AEB General Configuration Area Register "RESERVED_93C"</t>
  </si>
  <si>
    <t>aeb_gen_cfg_reserved_93c</t>
  </si>
  <si>
    <t>t_aeb_gen_cfg_reserved_93c_wr_reg</t>
  </si>
  <si>
    <t>AEB General Configuration Area Register "RESERVED_940"</t>
  </si>
  <si>
    <t>aeb_gen_cfg_reserved_940</t>
  </si>
  <si>
    <t>t_aeb_gen_cfg_reserved_940_wr_reg</t>
  </si>
  <si>
    <t>AEB General Configuration Area Register "RESERVED_944"</t>
  </si>
  <si>
    <t>aeb_gen_cfg_reserved_944</t>
  </si>
  <si>
    <t>t_aeb_gen_cfg_reserved_944_wr_reg</t>
  </si>
  <si>
    <t>AEB General Configuration Area Register "RESERVED_948"</t>
  </si>
  <si>
    <t>aeb_gen_cfg_reserved_948</t>
  </si>
  <si>
    <t>t_aeb_gen_cfg_reserved_948_wr_reg</t>
  </si>
  <si>
    <t>AEB General Configuration Area Register "RESERVED_94C"</t>
  </si>
  <si>
    <t>aeb_gen_cfg_reserved_94c</t>
  </si>
  <si>
    <t>t_aeb_gen_cfg_reserved_94c_wr_reg</t>
  </si>
  <si>
    <t>AEB General Configuration Area Register "RESERVED_950"</t>
  </si>
  <si>
    <t>aeb_gen_cfg_reserved_950</t>
  </si>
  <si>
    <t>t_aeb_gen_cfg_reserved_950_wr_reg</t>
  </si>
  <si>
    <t>AEB General Configuration Area Register "RESERVED_954"</t>
  </si>
  <si>
    <t>aeb_gen_cfg_reserved_954</t>
  </si>
  <si>
    <t>t_aeb_gen_cfg_reserved_954_wr_reg</t>
  </si>
  <si>
    <t>AEB General Configuration Area Register "RESERVED_958"</t>
  </si>
  <si>
    <t>aeb_gen_cfg_reserved_958</t>
  </si>
  <si>
    <t>t_aeb_gen_cfg_reserved_958_wr_reg</t>
  </si>
  <si>
    <t>AEB General Configuration Area Register "RESERVED_95C"</t>
  </si>
  <si>
    <t>aeb_gen_cfg_reserved_95c</t>
  </si>
  <si>
    <t>t_aeb_gen_cfg_reserved_95c_wr_reg</t>
  </si>
  <si>
    <t>AEB General Configuration Area Register "RESERVED_960"</t>
  </si>
  <si>
    <t>aeb_gen_cfg_reserved_960</t>
  </si>
  <si>
    <t>t_aeb_gen_cfg_reserved_960_wr_reg</t>
  </si>
  <si>
    <t>AEB General Configuration Area Register "RESERVED_964"</t>
  </si>
  <si>
    <t>aeb_gen_cfg_reserved_964</t>
  </si>
  <si>
    <t>t_aeb_gen_cfg_reserved_964_wr_reg</t>
  </si>
  <si>
    <t>AEB General Configuration Area Register "RESERVED_968"</t>
  </si>
  <si>
    <t>aeb_gen_cfg_reserved_968</t>
  </si>
  <si>
    <t>t_aeb_gen_cfg_reserved_968_wr_reg</t>
  </si>
  <si>
    <t>AEB General Configuration Area Register "RESERVED_96C"</t>
  </si>
  <si>
    <t>aeb_gen_cfg_reserved_96c</t>
  </si>
  <si>
    <t>t_aeb_gen_cfg_reserved_96c_wr_reg</t>
  </si>
  <si>
    <t>AEB General Configuration Area Register "RESERVED_970"</t>
  </si>
  <si>
    <t>aeb_gen_cfg_reserved_970</t>
  </si>
  <si>
    <t>t_aeb_gen_cfg_reserved_970_wr_reg</t>
  </si>
  <si>
    <t>AEB General Configuration Area Register "RESERVED_974"</t>
  </si>
  <si>
    <t>aeb_gen_cfg_reserved_974</t>
  </si>
  <si>
    <t>t_aeb_gen_cfg_reserved_974_wr_reg</t>
  </si>
  <si>
    <t>AEB General Configuration Area Register "RESERVED_978"</t>
  </si>
  <si>
    <t>aeb_gen_cfg_reserved_978</t>
  </si>
  <si>
    <t>t_aeb_gen_cfg_reserved_978_wr_reg</t>
  </si>
  <si>
    <t>AEB General Configuration Area Register "RESERVED_97C"</t>
  </si>
  <si>
    <t>aeb_gen_cfg_reserved_97c</t>
  </si>
  <si>
    <t>t_aeb_gen_cfg_reserved_97c_wr_reg</t>
  </si>
  <si>
    <t>AEB General Configuration Area Register "RESERVED_980"</t>
  </si>
  <si>
    <t>aeb_gen_cfg_reserved_980</t>
  </si>
  <si>
    <t>t_aeb_gen_cfg_reserved_980_wr_reg</t>
  </si>
  <si>
    <t>AEB General Configuration Area Register "RESERVED_984"</t>
  </si>
  <si>
    <t>aeb_gen_cfg_reserved_984</t>
  </si>
  <si>
    <t>t_aeb_gen_cfg_reserved_984_wr_reg</t>
  </si>
  <si>
    <t>AEB General Configuration Area Register "RESERVED_988"</t>
  </si>
  <si>
    <t>aeb_gen_cfg_reserved_988</t>
  </si>
  <si>
    <t>t_aeb_gen_cfg_reserved_988_wr_reg</t>
  </si>
  <si>
    <t>AEB General Configuration Area Register "RESERVED_98C"</t>
  </si>
  <si>
    <t>aeb_gen_cfg_reserved_98c</t>
  </si>
  <si>
    <t>t_aeb_gen_cfg_reserved_98c_wr_reg</t>
  </si>
  <si>
    <t>AEB General Configuration Area Register "RESERVED_990"</t>
  </si>
  <si>
    <t>aeb_gen_cfg_reserved_990</t>
  </si>
  <si>
    <t>t_aeb_gen_cfg_reserved_990_wr_reg</t>
  </si>
  <si>
    <t>AEB General Configuration Area Register "RESERVED_994"</t>
  </si>
  <si>
    <t>aeb_gen_cfg_reserved_994</t>
  </si>
  <si>
    <t>t_aeb_gen_cfg_reserved_994_wr_reg</t>
  </si>
  <si>
    <t>AEB General Configuration Area Register "RESERVED_998"</t>
  </si>
  <si>
    <t>aeb_gen_cfg_reserved_998</t>
  </si>
  <si>
    <t>t_aeb_gen_cfg_reserved_998_wr_reg</t>
  </si>
  <si>
    <t>AEB General Configuration Area Register "RESERVED_99C"</t>
  </si>
  <si>
    <t>aeb_gen_cfg_reserved_99c</t>
  </si>
  <si>
    <t>t_aeb_gen_cfg_reserved_99c_wr_reg</t>
  </si>
  <si>
    <t>AEB General Configuration Area Register "RESERVED_9A0"</t>
  </si>
  <si>
    <t>aeb_gen_cfg_reserved_9a0</t>
  </si>
  <si>
    <t>t_aeb_gen_cfg_reserved_9a0_wr_reg</t>
  </si>
  <si>
    <t>AEB General Configuration Area Register "RESERVED_9A4"</t>
  </si>
  <si>
    <t>aeb_gen_cfg_reserved_9a4</t>
  </si>
  <si>
    <t>t_aeb_gen_cfg_reserved_9a4_wr_reg</t>
  </si>
  <si>
    <t>AEB General Configuration Area Register "RESERVED_9A8"</t>
  </si>
  <si>
    <t>aeb_gen_cfg_reserved_9a8</t>
  </si>
  <si>
    <t>t_aeb_gen_cfg_reserved_9a8_wr_reg</t>
  </si>
  <si>
    <t>AEB General Configuration Area Register "RESERVED_9AC"</t>
  </si>
  <si>
    <t>aeb_gen_cfg_reserved_9ac</t>
  </si>
  <si>
    <t>t_aeb_gen_cfg_reserved_9ac_wr_reg</t>
  </si>
  <si>
    <t>AEB General Configuration Area Register "RESERVED_9B0"</t>
  </si>
  <si>
    <t>aeb_gen_cfg_reserved_9b0</t>
  </si>
  <si>
    <t>t_aeb_gen_cfg_reserved_9b0_wr_reg</t>
  </si>
  <si>
    <t>AEB General Configuration Area Register "RESERVED_9B4"</t>
  </si>
  <si>
    <t>aeb_gen_cfg_reserved_9b4</t>
  </si>
  <si>
    <t>t_aeb_gen_cfg_reserved_9b4_wr_reg</t>
  </si>
  <si>
    <t>AEB General Configuration Area Register "RESERVED_9B8"</t>
  </si>
  <si>
    <t>aeb_gen_cfg_reserved_9b8</t>
  </si>
  <si>
    <t>t_aeb_gen_cfg_reserved_9b8_wr_reg</t>
  </si>
  <si>
    <t>AEB General Configuration Area Register "RESERVED_9BC"</t>
  </si>
  <si>
    <t>aeb_gen_cfg_reserved_9bc</t>
  </si>
  <si>
    <t>t_aeb_gen_cfg_reserved_9bc_wr_reg</t>
  </si>
  <si>
    <t>AEB General Configuration Area Register "RESERVED_9C0"</t>
  </si>
  <si>
    <t>aeb_gen_cfg_reserved_9c0</t>
  </si>
  <si>
    <t>t_aeb_gen_cfg_reserved_9c0_wr_reg</t>
  </si>
  <si>
    <t>AEB General Configuration Area Register "RESERVED_9C4"</t>
  </si>
  <si>
    <t>aeb_gen_cfg_reserved_9c4</t>
  </si>
  <si>
    <t>t_aeb_gen_cfg_reserved_9c4_wr_reg</t>
  </si>
  <si>
    <t>AEB General Configuration Area Register "RESERVED_9C8"</t>
  </si>
  <si>
    <t>aeb_gen_cfg_reserved_9c8</t>
  </si>
  <si>
    <t>t_aeb_gen_cfg_reserved_9c8_wr_reg</t>
  </si>
  <si>
    <t>AEB General Configuration Area Register "RESERVED_9CC"</t>
  </si>
  <si>
    <t>aeb_gen_cfg_reserved_9cc</t>
  </si>
  <si>
    <t>t_aeb_gen_cfg_reserved_9cc_wr_reg</t>
  </si>
  <si>
    <t>AEB General Configuration Area Register "RESERVED_9D0"</t>
  </si>
  <si>
    <t>aeb_gen_cfg_reserved_9d0</t>
  </si>
  <si>
    <t>t_aeb_gen_cfg_reserved_9d0_wr_reg</t>
  </si>
  <si>
    <t>AEB General Configuration Area Register "RESERVED_9D4"</t>
  </si>
  <si>
    <t>aeb_gen_cfg_reserved_9d4</t>
  </si>
  <si>
    <t>t_aeb_gen_cfg_reserved_9d4_wr_reg</t>
  </si>
  <si>
    <t>AEB General Configuration Area Register "RESERVED_9D8"</t>
  </si>
  <si>
    <t>aeb_gen_cfg_reserved_9d8</t>
  </si>
  <si>
    <t>t_aeb_gen_cfg_reserved_9d8_wr_reg</t>
  </si>
  <si>
    <t>AEB General Configuration Area Register "RESERVED_9DC"</t>
  </si>
  <si>
    <t>aeb_gen_cfg_reserved_9dc</t>
  </si>
  <si>
    <t>t_aeb_gen_cfg_reserved_9dc_wr_reg</t>
  </si>
  <si>
    <t>AEB General Configuration Area Register "RESERVED_9E0"</t>
  </si>
  <si>
    <t>aeb_gen_cfg_reserved_9e0</t>
  </si>
  <si>
    <t>t_aeb_gen_cfg_reserved_9e0_wr_reg</t>
  </si>
  <si>
    <t>AEB General Configuration Area Register "RESERVED_9E4"</t>
  </si>
  <si>
    <t>aeb_gen_cfg_reserved_9e4</t>
  </si>
  <si>
    <t>t_aeb_gen_cfg_reserved_9e4_wr_reg</t>
  </si>
  <si>
    <t>AEB General Configuration Area Register "RESERVED_9E8"</t>
  </si>
  <si>
    <t>aeb_gen_cfg_reserved_9e8</t>
  </si>
  <si>
    <t>t_aeb_gen_cfg_reserved_9e8_wr_reg</t>
  </si>
  <si>
    <t>AEB General Configuration Area Register "RESERVED_9EC"</t>
  </si>
  <si>
    <t>aeb_gen_cfg_reserved_9ec</t>
  </si>
  <si>
    <t>t_aeb_gen_cfg_reserved_9ec_wr_reg</t>
  </si>
  <si>
    <t>AEB General Configuration Area Register "RESERVED_9F0"</t>
  </si>
  <si>
    <t>aeb_gen_cfg_reserved_9f0</t>
  </si>
  <si>
    <t>t_aeb_gen_cfg_reserved_9f0_wr_reg</t>
  </si>
  <si>
    <t>AEB General Configuration Area Register "RESERVED_9F4"</t>
  </si>
  <si>
    <t>aeb_gen_cfg_reserved_9f4</t>
  </si>
  <si>
    <t>t_aeb_gen_cfg_reserved_9f4_wr_reg</t>
  </si>
  <si>
    <t>AEB General Configuration Area Register "RESERVED_9F8"</t>
  </si>
  <si>
    <t>aeb_gen_cfg_reserved_9f8</t>
  </si>
  <si>
    <t>t_aeb_gen_cfg_reserved_9f8_wr_reg</t>
  </si>
  <si>
    <t>AEB General Configuration Area Register "RESERVED_9FC"</t>
  </si>
  <si>
    <t>aeb_gen_cfg_reserved_9fc</t>
  </si>
  <si>
    <t>t_aeb_gen_cfg_reserved_9fc_wr_reg</t>
  </si>
  <si>
    <t>AEB General Configuration Area Register "RESERVED_A00"</t>
  </si>
  <si>
    <t>aeb_gen_cfg_reserved_a00</t>
  </si>
  <si>
    <t>t_aeb_gen_cfg_reserved_a00_wr_reg</t>
  </si>
  <si>
    <t>AEB General Configuration Area Register "RESERVED_A04"</t>
  </si>
  <si>
    <t>aeb_gen_cfg_reserved_a04</t>
  </si>
  <si>
    <t>t_aeb_gen_cfg_reserved_a04_wr_reg</t>
  </si>
  <si>
    <t>AEB General Configuration Area Register "RESERVED_A08"</t>
  </si>
  <si>
    <t>aeb_gen_cfg_reserved_a08</t>
  </si>
  <si>
    <t>t_aeb_gen_cfg_reserved_a08_wr_reg</t>
  </si>
  <si>
    <t>AEB General Configuration Area Register "RESERVED_A0C"</t>
  </si>
  <si>
    <t>aeb_gen_cfg_reserved_a0c</t>
  </si>
  <si>
    <t>t_aeb_gen_cfg_reserved_a0c_wr_reg</t>
  </si>
  <si>
    <t>AEB General Configuration Area Register "RESERVED_A10"</t>
  </si>
  <si>
    <t>aeb_gen_cfg_reserved_a10</t>
  </si>
  <si>
    <t>t_aeb_gen_cfg_reserved_a10_wr_reg</t>
  </si>
  <si>
    <t>AEB General Configuration Area Register "RESERVED_A14"</t>
  </si>
  <si>
    <t>aeb_gen_cfg_reserved_a14</t>
  </si>
  <si>
    <t>t_aeb_gen_cfg_reserved_a14_wr_reg</t>
  </si>
  <si>
    <t>AEB General Configuration Area Register "RESERVED_A18"</t>
  </si>
  <si>
    <t>aeb_gen_cfg_reserved_a18</t>
  </si>
  <si>
    <t>t_aeb_gen_cfg_reserved_a18_wr_reg</t>
  </si>
  <si>
    <t>AEB General Configuration Area Register "RESERVED_A1C"</t>
  </si>
  <si>
    <t>aeb_gen_cfg_reserved_a1c</t>
  </si>
  <si>
    <t>t_aeb_gen_cfg_reserved_a1c_wr_reg</t>
  </si>
  <si>
    <t>AEB General Configuration Area Register "RESERVED_A20"</t>
  </si>
  <si>
    <t>aeb_gen_cfg_reserved_a20</t>
  </si>
  <si>
    <t>t_aeb_gen_cfg_reserved_a20_wr_reg</t>
  </si>
  <si>
    <t>AEB General Configuration Area Register "RESERVED_A24"</t>
  </si>
  <si>
    <t>aeb_gen_cfg_reserved_a24</t>
  </si>
  <si>
    <t>t_aeb_gen_cfg_reserved_a24_wr_reg</t>
  </si>
  <si>
    <t>AEB General Configuration Area Register "RESERVED_A28"</t>
  </si>
  <si>
    <t>aeb_gen_cfg_reserved_a28</t>
  </si>
  <si>
    <t>t_aeb_gen_cfg_reserved_a28_wr_reg</t>
  </si>
  <si>
    <t>AEB General Configuration Area Register "RESERVED_A2C"</t>
  </si>
  <si>
    <t>aeb_gen_cfg_reserved_a2c</t>
  </si>
  <si>
    <t>t_aeb_gen_cfg_reserved_a2c_wr_reg</t>
  </si>
  <si>
    <t>AEB General Configuration Area Register "RESERVED_A30"</t>
  </si>
  <si>
    <t>aeb_gen_cfg_reserved_a30</t>
  </si>
  <si>
    <t>t_aeb_gen_cfg_reserved_a30_wr_reg</t>
  </si>
  <si>
    <t>AEB General Configuration Area Register "RESERVED_A34"</t>
  </si>
  <si>
    <t>aeb_gen_cfg_reserved_a34</t>
  </si>
  <si>
    <t>t_aeb_gen_cfg_reserved_a34_wr_reg</t>
  </si>
  <si>
    <t>AEB General Configuration Area Register "RESERVED_A38"</t>
  </si>
  <si>
    <t>aeb_gen_cfg_reserved_a38</t>
  </si>
  <si>
    <t>t_aeb_gen_cfg_reserved_a38_wr_reg</t>
  </si>
  <si>
    <t>AEB General Configuration Area Register "RESERVED_A3C"</t>
  </si>
  <si>
    <t>aeb_gen_cfg_reserved_a3c</t>
  </si>
  <si>
    <t>t_aeb_gen_cfg_reserved_a3c_wr_reg</t>
  </si>
  <si>
    <t>AEB General Configuration Area Register "RESERVED_A40"</t>
  </si>
  <si>
    <t>aeb_gen_cfg_reserved_a40</t>
  </si>
  <si>
    <t>t_aeb_gen_cfg_reserved_a40_wr_reg</t>
  </si>
  <si>
    <t>AEB General Configuration Area Register "RESERVED_A44"</t>
  </si>
  <si>
    <t>aeb_gen_cfg_reserved_a44</t>
  </si>
  <si>
    <t>t_aeb_gen_cfg_reserved_a44_wr_reg</t>
  </si>
  <si>
    <t>AEB General Configuration Area Register "RESERVED_A48"</t>
  </si>
  <si>
    <t>aeb_gen_cfg_reserved_a48</t>
  </si>
  <si>
    <t>t_aeb_gen_cfg_reserved_a48_wr_reg</t>
  </si>
  <si>
    <t>AEB General Configuration Area Register "RESERVED_A4C"</t>
  </si>
  <si>
    <t>aeb_gen_cfg_reserved_a4c</t>
  </si>
  <si>
    <t>t_aeb_gen_cfg_reserved_a4c_wr_reg</t>
  </si>
  <si>
    <t>AEB General Configuration Area Register "RESERVED_A50"</t>
  </si>
  <si>
    <t>aeb_gen_cfg_reserved_a50</t>
  </si>
  <si>
    <t>t_aeb_gen_cfg_reserved_a50_wr_reg</t>
  </si>
  <si>
    <t>AEB General Configuration Area Register "RESERVED_A54"</t>
  </si>
  <si>
    <t>aeb_gen_cfg_reserved_a54</t>
  </si>
  <si>
    <t>t_aeb_gen_cfg_reserved_a54_wr_reg</t>
  </si>
  <si>
    <t>AEB General Configuration Area Register "RESERVED_A58"</t>
  </si>
  <si>
    <t>aeb_gen_cfg_reserved_a58</t>
  </si>
  <si>
    <t>t_aeb_gen_cfg_reserved_a58_wr_reg</t>
  </si>
  <si>
    <t>AEB General Configuration Area Register "RESERVED_A5C"</t>
  </si>
  <si>
    <t>aeb_gen_cfg_reserved_a5c</t>
  </si>
  <si>
    <t>t_aeb_gen_cfg_reserved_a5c_wr_reg</t>
  </si>
  <si>
    <t>AEB General Configuration Area Register "RESERVED_A60"</t>
  </si>
  <si>
    <t>aeb_gen_cfg_reserved_a60</t>
  </si>
  <si>
    <t>t_aeb_gen_cfg_reserved_a60_wr_reg</t>
  </si>
  <si>
    <t>AEB General Configuration Area Register "RESERVED_A64"</t>
  </si>
  <si>
    <t>aeb_gen_cfg_reserved_a64</t>
  </si>
  <si>
    <t>t_aeb_gen_cfg_reserved_a64_wr_reg</t>
  </si>
  <si>
    <t>AEB General Configuration Area Register "RESERVED_A68"</t>
  </si>
  <si>
    <t>aeb_gen_cfg_reserved_a68</t>
  </si>
  <si>
    <t>t_aeb_gen_cfg_reserved_a68_wr_reg</t>
  </si>
  <si>
    <t>AEB General Configuration Area Register "RESERVED_A6C"</t>
  </si>
  <si>
    <t>aeb_gen_cfg_reserved_a6c</t>
  </si>
  <si>
    <t>t_aeb_gen_cfg_reserved_a6c_wr_reg</t>
  </si>
  <si>
    <t>AEB General Configuration Area Register "RESERVED_A70"</t>
  </si>
  <si>
    <t>aeb_gen_cfg_reserved_a70</t>
  </si>
  <si>
    <t>t_aeb_gen_cfg_reserved_a70_wr_reg</t>
  </si>
  <si>
    <t>AEB General Configuration Area Register "RESERVED_A74"</t>
  </si>
  <si>
    <t>aeb_gen_cfg_reserved_a74</t>
  </si>
  <si>
    <t>t_aeb_gen_cfg_reserved_a74_wr_reg</t>
  </si>
  <si>
    <t>AEB General Configuration Area Register "RESERVED_A78"</t>
  </si>
  <si>
    <t>aeb_gen_cfg_reserved_a78</t>
  </si>
  <si>
    <t>t_aeb_gen_cfg_reserved_a78_wr_reg</t>
  </si>
  <si>
    <t>AEB General Configuration Area Register "RESERVED_A7C"</t>
  </si>
  <si>
    <t>aeb_gen_cfg_reserved_a7c</t>
  </si>
  <si>
    <t>t_aeb_gen_cfg_reserved_a7c_wr_reg</t>
  </si>
  <si>
    <t>AEB General Configuration Area Register "RESERVED_A80"</t>
  </si>
  <si>
    <t>aeb_gen_cfg_reserved_a80</t>
  </si>
  <si>
    <t>t_aeb_gen_cfg_reserved_a80_wr_reg</t>
  </si>
  <si>
    <t>AEB General Configuration Area Register "RESERVED_A84"</t>
  </si>
  <si>
    <t>aeb_gen_cfg_reserved_a84</t>
  </si>
  <si>
    <t>t_aeb_gen_cfg_reserved_a84_wr_reg</t>
  </si>
  <si>
    <t>AEB General Configuration Area Register "RESERVED_A88"</t>
  </si>
  <si>
    <t>aeb_gen_cfg_reserved_a88</t>
  </si>
  <si>
    <t>t_aeb_gen_cfg_reserved_a88_wr_reg</t>
  </si>
  <si>
    <t>AEB General Configuration Area Register "RESERVED_A8C"</t>
  </si>
  <si>
    <t>aeb_gen_cfg_reserved_a8c</t>
  </si>
  <si>
    <t>t_aeb_gen_cfg_reserved_a8c_wr_reg</t>
  </si>
  <si>
    <t>AEB General Configuration Area Register "RESERVED_A90"</t>
  </si>
  <si>
    <t>aeb_gen_cfg_reserved_a90</t>
  </si>
  <si>
    <t>t_aeb_gen_cfg_reserved_a90_wr_reg</t>
  </si>
  <si>
    <t>AEB General Configuration Area Register "RESERVED_A94"</t>
  </si>
  <si>
    <t>aeb_gen_cfg_reserved_a94</t>
  </si>
  <si>
    <t>t_aeb_gen_cfg_reserved_a94_wr_reg</t>
  </si>
  <si>
    <t>AEB General Configuration Area Register "RESERVED_A98"</t>
  </si>
  <si>
    <t>aeb_gen_cfg_reserved_a98</t>
  </si>
  <si>
    <t>t_aeb_gen_cfg_reserved_a98_wr_reg</t>
  </si>
  <si>
    <t>AEB General Configuration Area Register "RESERVED_A9C"</t>
  </si>
  <si>
    <t>aeb_gen_cfg_reserved_a9c</t>
  </si>
  <si>
    <t>t_aeb_gen_cfg_reserved_a9c_wr_reg</t>
  </si>
  <si>
    <t>AEB General Configuration Area Register "RESERVED_AA0"</t>
  </si>
  <si>
    <t>aeb_gen_cfg_reserved_aa0</t>
  </si>
  <si>
    <t>t_aeb_gen_cfg_reserved_aa0_wr_reg</t>
  </si>
  <si>
    <t>AEB General Configuration Area Register "RESERVED_AA4"</t>
  </si>
  <si>
    <t>aeb_gen_cfg_reserved_aa4</t>
  </si>
  <si>
    <t>t_aeb_gen_cfg_reserved_aa4_wr_reg</t>
  </si>
  <si>
    <t>AEB General Configuration Area Register "RESERVED_AA8"</t>
  </si>
  <si>
    <t>aeb_gen_cfg_reserved_aa8</t>
  </si>
  <si>
    <t>t_aeb_gen_cfg_reserved_aa8_wr_reg</t>
  </si>
  <si>
    <t>AEB General Configuration Area Register "RESERVED_AAC"</t>
  </si>
  <si>
    <t>aeb_gen_cfg_reserved_aac</t>
  </si>
  <si>
    <t>t_aeb_gen_cfg_reserved_aac_wr_reg</t>
  </si>
  <si>
    <t>AEB General Configuration Area Register "RESERVED_AB0"</t>
  </si>
  <si>
    <t>aeb_gen_cfg_reserved_ab0</t>
  </si>
  <si>
    <t>t_aeb_gen_cfg_reserved_ab0_wr_reg</t>
  </si>
  <si>
    <t>AEB General Configuration Area Register "RESERVED_AB4"</t>
  </si>
  <si>
    <t>aeb_gen_cfg_reserved_ab4</t>
  </si>
  <si>
    <t>t_aeb_gen_cfg_reserved_ab4_wr_reg</t>
  </si>
  <si>
    <t>AEB General Configuration Area Register "RESERVED_AB8"</t>
  </si>
  <si>
    <t>aeb_gen_cfg_reserved_ab8</t>
  </si>
  <si>
    <t>t_aeb_gen_cfg_reserved_ab8_wr_reg</t>
  </si>
  <si>
    <t>AEB General Configuration Area Register "RESERVED_ABC"</t>
  </si>
  <si>
    <t>aeb_gen_cfg_reserved_abc</t>
  </si>
  <si>
    <t>t_aeb_gen_cfg_reserved_abc_wr_reg</t>
  </si>
  <si>
    <t>AEB General Configuration Area Register "RESERVED_AC0"</t>
  </si>
  <si>
    <t>aeb_gen_cfg_reserved_ac0</t>
  </si>
  <si>
    <t>t_aeb_gen_cfg_reserved_ac0_wr_reg</t>
  </si>
  <si>
    <t>AEB General Configuration Area Register "RESERVED_AC4"</t>
  </si>
  <si>
    <t>aeb_gen_cfg_reserved_ac4</t>
  </si>
  <si>
    <t>t_aeb_gen_cfg_reserved_ac4_wr_reg</t>
  </si>
  <si>
    <t>AEB General Configuration Area Register "RESERVED_AC8"</t>
  </si>
  <si>
    <t>aeb_gen_cfg_reserved_ac8</t>
  </si>
  <si>
    <t>t_aeb_gen_cfg_reserved_ac8_wr_reg</t>
  </si>
  <si>
    <t>AEB General Configuration Area Register "RESERVED_ACC"</t>
  </si>
  <si>
    <t>aeb_gen_cfg_reserved_acc</t>
  </si>
  <si>
    <t>t_aeb_gen_cfg_reserved_acc_wr_reg</t>
  </si>
  <si>
    <t>AEB General Configuration Area Register "RESERVED_AD0"</t>
  </si>
  <si>
    <t>aeb_gen_cfg_reserved_ad0</t>
  </si>
  <si>
    <t>t_aeb_gen_cfg_reserved_ad0_wr_reg</t>
  </si>
  <si>
    <t>AEB General Configuration Area Register "RESERVED_AD4"</t>
  </si>
  <si>
    <t>aeb_gen_cfg_reserved_ad4</t>
  </si>
  <si>
    <t>t_aeb_gen_cfg_reserved_ad4_wr_reg</t>
  </si>
  <si>
    <t>AEB General Configuration Area Register "RESERVED_AD8"</t>
  </si>
  <si>
    <t>aeb_gen_cfg_reserved_ad8</t>
  </si>
  <si>
    <t>t_aeb_gen_cfg_reserved_ad8_wr_reg</t>
  </si>
  <si>
    <t>AEB General Configuration Area Register "RESERVED_ADC"</t>
  </si>
  <si>
    <t>aeb_gen_cfg_reserved_adc</t>
  </si>
  <si>
    <t>t_aeb_gen_cfg_reserved_adc_wr_reg</t>
  </si>
  <si>
    <t>AEB General Configuration Area Register "RESERVED_AE0"</t>
  </si>
  <si>
    <t>aeb_gen_cfg_reserved_ae0</t>
  </si>
  <si>
    <t>t_aeb_gen_cfg_reserved_ae0_wr_reg</t>
  </si>
  <si>
    <t>AEB General Configuration Area Register "RESERVED_AE4"</t>
  </si>
  <si>
    <t>aeb_gen_cfg_reserved_ae4</t>
  </si>
  <si>
    <t>t_aeb_gen_cfg_reserved_ae4_wr_reg</t>
  </si>
  <si>
    <t>AEB General Configuration Area Register "RESERVED_AE8"</t>
  </si>
  <si>
    <t>aeb_gen_cfg_reserved_ae8</t>
  </si>
  <si>
    <t>t_aeb_gen_cfg_reserved_ae8_wr_reg</t>
  </si>
  <si>
    <t>AEB General Configuration Area Register "RESERVED_AEC"</t>
  </si>
  <si>
    <t>aeb_gen_cfg_reserved_aec</t>
  </si>
  <si>
    <t>t_aeb_gen_cfg_reserved_aec_wr_reg</t>
  </si>
  <si>
    <t>AEB General Configuration Area Register "RESERVED_AF0"</t>
  </si>
  <si>
    <t>aeb_gen_cfg_reserved_af0</t>
  </si>
  <si>
    <t>t_aeb_gen_cfg_reserved_af0_wr_reg</t>
  </si>
  <si>
    <t>AEB General Configuration Area Register "RESERVED_AF4"</t>
  </si>
  <si>
    <t>aeb_gen_cfg_reserved_af4</t>
  </si>
  <si>
    <t>t_aeb_gen_cfg_reserved_af4_wr_reg</t>
  </si>
  <si>
    <t>AEB General Configuration Area Register "RESERVED_AF8"</t>
  </si>
  <si>
    <t>aeb_gen_cfg_reserved_af8</t>
  </si>
  <si>
    <t>t_aeb_gen_cfg_reserved_af8_wr_reg</t>
  </si>
  <si>
    <t>AEB General Configuration Area Register "RESERVED_AFC"</t>
  </si>
  <si>
    <t>aeb_gen_cfg_reserved_afc</t>
  </si>
  <si>
    <t>t_aeb_gen_cfg_reserved_afc_wr_reg</t>
  </si>
  <si>
    <t>AEB General Configuration Area Register "RESERVED_B00"</t>
  </si>
  <si>
    <t>aeb_gen_cfg_reserved_b00</t>
  </si>
  <si>
    <t>t_aeb_gen_cfg_reserved_b00_wr_reg</t>
  </si>
  <si>
    <t>AEB General Configuration Area Register "RESERVED_B04"</t>
  </si>
  <si>
    <t>aeb_gen_cfg_reserved_b04</t>
  </si>
  <si>
    <t>t_aeb_gen_cfg_reserved_b04_wr_reg</t>
  </si>
  <si>
    <t>AEB General Configuration Area Register "RESERVED_B08"</t>
  </si>
  <si>
    <t>aeb_gen_cfg_reserved_b08</t>
  </si>
  <si>
    <t>t_aeb_gen_cfg_reserved_b08_wr_reg</t>
  </si>
  <si>
    <t>AEB General Configuration Area Register "RESERVED_B0C"</t>
  </si>
  <si>
    <t>aeb_gen_cfg_reserved_b0c</t>
  </si>
  <si>
    <t>t_aeb_gen_cfg_reserved_b0c_wr_reg</t>
  </si>
  <si>
    <t>AEB General Configuration Area Register "RESERVED_B10"</t>
  </si>
  <si>
    <t>aeb_gen_cfg_reserved_b10</t>
  </si>
  <si>
    <t>t_aeb_gen_cfg_reserved_b10_wr_reg</t>
  </si>
  <si>
    <t>AEB General Configuration Area Register "RESERVED_B14"</t>
  </si>
  <si>
    <t>aeb_gen_cfg_reserved_b14</t>
  </si>
  <si>
    <t>t_aeb_gen_cfg_reserved_b14_wr_reg</t>
  </si>
  <si>
    <t>AEB General Configuration Area Register "RESERVED_B18"</t>
  </si>
  <si>
    <t>aeb_gen_cfg_reserved_b18</t>
  </si>
  <si>
    <t>t_aeb_gen_cfg_reserved_b18_wr_reg</t>
  </si>
  <si>
    <t>AEB General Configuration Area Register "RESERVED_B1C"</t>
  </si>
  <si>
    <t>aeb_gen_cfg_reserved_b1c</t>
  </si>
  <si>
    <t>t_aeb_gen_cfg_reserved_b1c_wr_reg</t>
  </si>
  <si>
    <t>AEB General Configuration Area Register "RESERVED_B20"</t>
  </si>
  <si>
    <t>aeb_gen_cfg_reserved_b20</t>
  </si>
  <si>
    <t>t_aeb_gen_cfg_reserved_b20_wr_reg</t>
  </si>
  <si>
    <t>AEB General Configuration Area Register "RESERVED_B24"</t>
  </si>
  <si>
    <t>aeb_gen_cfg_reserved_b24</t>
  </si>
  <si>
    <t>t_aeb_gen_cfg_reserved_b24_wr_reg</t>
  </si>
  <si>
    <t>AEB General Configuration Area Register "RESERVED_B28"</t>
  </si>
  <si>
    <t>aeb_gen_cfg_reserved_b28</t>
  </si>
  <si>
    <t>t_aeb_gen_cfg_reserved_b28_wr_reg</t>
  </si>
  <si>
    <t>AEB General Configuration Area Register "RESERVED_B2C"</t>
  </si>
  <si>
    <t>aeb_gen_cfg_reserved_b2c</t>
  </si>
  <si>
    <t>t_aeb_gen_cfg_reserved_b2c_wr_reg</t>
  </si>
  <si>
    <t>AEB General Configuration Area Register "RESERVED_B30"</t>
  </si>
  <si>
    <t>aeb_gen_cfg_reserved_b30</t>
  </si>
  <si>
    <t>t_aeb_gen_cfg_reserved_b30_wr_reg</t>
  </si>
  <si>
    <t>AEB General Configuration Area Register "RESERVED_B34"</t>
  </si>
  <si>
    <t>aeb_gen_cfg_reserved_b34</t>
  </si>
  <si>
    <t>t_aeb_gen_cfg_reserved_b34_wr_reg</t>
  </si>
  <si>
    <t>AEB General Configuration Area Register "RESERVED_B38"</t>
  </si>
  <si>
    <t>aeb_gen_cfg_reserved_b38</t>
  </si>
  <si>
    <t>t_aeb_gen_cfg_reserved_b38_wr_reg</t>
  </si>
  <si>
    <t>AEB General Configuration Area Register "RESERVED_B3C"</t>
  </si>
  <si>
    <t>aeb_gen_cfg_reserved_b3c</t>
  </si>
  <si>
    <t>t_aeb_gen_cfg_reserved_b3c_wr_reg</t>
  </si>
  <si>
    <t>AEB General Configuration Area Register "RESERVED_B40"</t>
  </si>
  <si>
    <t>aeb_gen_cfg_reserved_b40</t>
  </si>
  <si>
    <t>t_aeb_gen_cfg_reserved_b40_wr_reg</t>
  </si>
  <si>
    <t>AEB General Configuration Area Register "RESERVED_B44"</t>
  </si>
  <si>
    <t>aeb_gen_cfg_reserved_b44</t>
  </si>
  <si>
    <t>t_aeb_gen_cfg_reserved_b44_wr_reg</t>
  </si>
  <si>
    <t>AEB General Configuration Area Register "RESERVED_B48"</t>
  </si>
  <si>
    <t>aeb_gen_cfg_reserved_b48</t>
  </si>
  <si>
    <t>t_aeb_gen_cfg_reserved_b48_wr_reg</t>
  </si>
  <si>
    <t>AEB General Configuration Area Register "RESERVED_B4C"</t>
  </si>
  <si>
    <t>aeb_gen_cfg_reserved_b4c</t>
  </si>
  <si>
    <t>t_aeb_gen_cfg_reserved_b4c_wr_reg</t>
  </si>
  <si>
    <t>AEB General Configuration Area Register "RESERVED_B50"</t>
  </si>
  <si>
    <t>aeb_gen_cfg_reserved_b50</t>
  </si>
  <si>
    <t>t_aeb_gen_cfg_reserved_b50_wr_reg</t>
  </si>
  <si>
    <t>AEB General Configuration Area Register "RESERVED_B54"</t>
  </si>
  <si>
    <t>aeb_gen_cfg_reserved_b54</t>
  </si>
  <si>
    <t>t_aeb_gen_cfg_reserved_b54_wr_reg</t>
  </si>
  <si>
    <t>AEB General Configuration Area Register "RESERVED_B58"</t>
  </si>
  <si>
    <t>aeb_gen_cfg_reserved_b58</t>
  </si>
  <si>
    <t>t_aeb_gen_cfg_reserved_b58_wr_reg</t>
  </si>
  <si>
    <t>AEB General Configuration Area Register "RESERVED_B5C"</t>
  </si>
  <si>
    <t>aeb_gen_cfg_reserved_b5c</t>
  </si>
  <si>
    <t>t_aeb_gen_cfg_reserved_b5c_wr_reg</t>
  </si>
  <si>
    <t>AEB General Configuration Area Register "RESERVED_B60"</t>
  </si>
  <si>
    <t>aeb_gen_cfg_reserved_b60</t>
  </si>
  <si>
    <t>t_aeb_gen_cfg_reserved_b60_wr_reg</t>
  </si>
  <si>
    <t>AEB General Configuration Area Register "RESERVED_B64"</t>
  </si>
  <si>
    <t>aeb_gen_cfg_reserved_b64</t>
  </si>
  <si>
    <t>t_aeb_gen_cfg_reserved_b64_wr_reg</t>
  </si>
  <si>
    <t>AEB General Configuration Area Register "RESERVED_B68"</t>
  </si>
  <si>
    <t>aeb_gen_cfg_reserved_b68</t>
  </si>
  <si>
    <t>t_aeb_gen_cfg_reserved_b68_wr_reg</t>
  </si>
  <si>
    <t>AEB General Configuration Area Register "RESERVED_B6C"</t>
  </si>
  <si>
    <t>aeb_gen_cfg_reserved_b6c</t>
  </si>
  <si>
    <t>t_aeb_gen_cfg_reserved_b6c_wr_reg</t>
  </si>
  <si>
    <t>AEB General Configuration Area Register "RESERVED_B70"</t>
  </si>
  <si>
    <t>aeb_gen_cfg_reserved_b70</t>
  </si>
  <si>
    <t>t_aeb_gen_cfg_reserved_b70_wr_reg</t>
  </si>
  <si>
    <t>AEB General Configuration Area Register "RESERVED_B74"</t>
  </si>
  <si>
    <t>aeb_gen_cfg_reserved_b74</t>
  </si>
  <si>
    <t>t_aeb_gen_cfg_reserved_b74_wr_reg</t>
  </si>
  <si>
    <t>AEB General Configuration Area Register "RESERVED_B78"</t>
  </si>
  <si>
    <t>aeb_gen_cfg_reserved_b78</t>
  </si>
  <si>
    <t>t_aeb_gen_cfg_reserved_b78_wr_reg</t>
  </si>
  <si>
    <t>AEB General Configuration Area Register "RESERVED_B7C"</t>
  </si>
  <si>
    <t>aeb_gen_cfg_reserved_b7c</t>
  </si>
  <si>
    <t>t_aeb_gen_cfg_reserved_b7c_wr_reg</t>
  </si>
  <si>
    <t>AEB General Configuration Area Register "RESERVED_B80"</t>
  </si>
  <si>
    <t>aeb_gen_cfg_reserved_b80</t>
  </si>
  <si>
    <t>t_aeb_gen_cfg_reserved_b80_wr_reg</t>
  </si>
  <si>
    <t>AEB General Configuration Area Register "RESERVED_B84"</t>
  </si>
  <si>
    <t>aeb_gen_cfg_reserved_b84</t>
  </si>
  <si>
    <t>t_aeb_gen_cfg_reserved_b84_wr_reg</t>
  </si>
  <si>
    <t>AEB General Configuration Area Register "RESERVED_B88"</t>
  </si>
  <si>
    <t>aeb_gen_cfg_reserved_b88</t>
  </si>
  <si>
    <t>t_aeb_gen_cfg_reserved_b88_wr_reg</t>
  </si>
  <si>
    <t>AEB General Configuration Area Register "RESERVED_B8C"</t>
  </si>
  <si>
    <t>aeb_gen_cfg_reserved_b8c</t>
  </si>
  <si>
    <t>t_aeb_gen_cfg_reserved_b8c_wr_reg</t>
  </si>
  <si>
    <t>AEB General Configuration Area Register "RESERVED_B90"</t>
  </si>
  <si>
    <t>aeb_gen_cfg_reserved_b90</t>
  </si>
  <si>
    <t>t_aeb_gen_cfg_reserved_b90_wr_reg</t>
  </si>
  <si>
    <t>AEB General Configuration Area Register "RESERVED_B94"</t>
  </si>
  <si>
    <t>aeb_gen_cfg_reserved_b94</t>
  </si>
  <si>
    <t>t_aeb_gen_cfg_reserved_b94_wr_reg</t>
  </si>
  <si>
    <t>AEB General Configuration Area Register "RESERVED_B98"</t>
  </si>
  <si>
    <t>aeb_gen_cfg_reserved_b98</t>
  </si>
  <si>
    <t>t_aeb_gen_cfg_reserved_b98_wr_reg</t>
  </si>
  <si>
    <t>AEB General Configuration Area Register "RESERVED_B9C"</t>
  </si>
  <si>
    <t>aeb_gen_cfg_reserved_b9c</t>
  </si>
  <si>
    <t>t_aeb_gen_cfg_reserved_b9c_wr_reg</t>
  </si>
  <si>
    <t>AEB General Configuration Area Register "RESERVED_BA0"</t>
  </si>
  <si>
    <t>aeb_gen_cfg_reserved_ba0</t>
  </si>
  <si>
    <t>t_aeb_gen_cfg_reserved_ba0_wr_reg</t>
  </si>
  <si>
    <t>AEB General Configuration Area Register "RESERVED_BA4"</t>
  </si>
  <si>
    <t>aeb_gen_cfg_reserved_ba4</t>
  </si>
  <si>
    <t>t_aeb_gen_cfg_reserved_ba4_wr_reg</t>
  </si>
  <si>
    <t>AEB General Configuration Area Register "RESERVED_BA8"</t>
  </si>
  <si>
    <t>aeb_gen_cfg_reserved_ba8</t>
  </si>
  <si>
    <t>t_aeb_gen_cfg_reserved_ba8_wr_reg</t>
  </si>
  <si>
    <t>AEB General Configuration Area Register "RESERVED_BAC"</t>
  </si>
  <si>
    <t>aeb_gen_cfg_reserved_bac</t>
  </si>
  <si>
    <t>t_aeb_gen_cfg_reserved_bac_wr_reg</t>
  </si>
  <si>
    <t>AEB General Configuration Area Register "RESERVED_BB0"</t>
  </si>
  <si>
    <t>aeb_gen_cfg_reserved_bb0</t>
  </si>
  <si>
    <t>t_aeb_gen_cfg_reserved_bb0_wr_reg</t>
  </si>
  <si>
    <t>AEB General Configuration Area Register "RESERVED_BB4"</t>
  </si>
  <si>
    <t>aeb_gen_cfg_reserved_bb4</t>
  </si>
  <si>
    <t>t_aeb_gen_cfg_reserved_bb4_wr_reg</t>
  </si>
  <si>
    <t>AEB General Configuration Area Register "RESERVED_BB8"</t>
  </si>
  <si>
    <t>aeb_gen_cfg_reserved_bb8</t>
  </si>
  <si>
    <t>t_aeb_gen_cfg_reserved_bb8_wr_reg</t>
  </si>
  <si>
    <t>AEB General Configuration Area Register "RESERVED_BBC"</t>
  </si>
  <si>
    <t>aeb_gen_cfg_reserved_bbc</t>
  </si>
  <si>
    <t>t_aeb_gen_cfg_reserved_bbc_wr_reg</t>
  </si>
  <si>
    <t>AEB General Configuration Area Register "RESERVED_BC0"</t>
  </si>
  <si>
    <t>aeb_gen_cfg_reserved_bc0</t>
  </si>
  <si>
    <t>t_aeb_gen_cfg_reserved_bc0_wr_reg</t>
  </si>
  <si>
    <t>AEB General Configuration Area Register "RESERVED_BC4"</t>
  </si>
  <si>
    <t>aeb_gen_cfg_reserved_bc4</t>
  </si>
  <si>
    <t>t_aeb_gen_cfg_reserved_bc4_wr_reg</t>
  </si>
  <si>
    <t>AEB General Configuration Area Register "RESERVED_BC8"</t>
  </si>
  <si>
    <t>aeb_gen_cfg_reserved_bc8</t>
  </si>
  <si>
    <t>t_aeb_gen_cfg_reserved_bc8_wr_reg</t>
  </si>
  <si>
    <t>AEB General Configuration Area Register "RESERVED_BCC"</t>
  </si>
  <si>
    <t>aeb_gen_cfg_reserved_bcc</t>
  </si>
  <si>
    <t>t_aeb_gen_cfg_reserved_bcc_wr_reg</t>
  </si>
  <si>
    <t>AEB General Configuration Area Register "RESERVED_BD0"</t>
  </si>
  <si>
    <t>aeb_gen_cfg_reserved_bd0</t>
  </si>
  <si>
    <t>t_aeb_gen_cfg_reserved_bd0_wr_reg</t>
  </si>
  <si>
    <t>AEB General Configuration Area Register "RESERVED_BD4"</t>
  </si>
  <si>
    <t>aeb_gen_cfg_reserved_bd4</t>
  </si>
  <si>
    <t>t_aeb_gen_cfg_reserved_bd4_wr_reg</t>
  </si>
  <si>
    <t>AEB General Configuration Area Register "RESERVED_BD8"</t>
  </si>
  <si>
    <t>aeb_gen_cfg_reserved_bd8</t>
  </si>
  <si>
    <t>t_aeb_gen_cfg_reserved_bd8_wr_reg</t>
  </si>
  <si>
    <t>AEB General Configuration Area Register "RESERVED_BDC"</t>
  </si>
  <si>
    <t>aeb_gen_cfg_reserved_bdc</t>
  </si>
  <si>
    <t>t_aeb_gen_cfg_reserved_bdc_wr_reg</t>
  </si>
  <si>
    <t>AEB General Configuration Area Register "RESERVED_BE0"</t>
  </si>
  <si>
    <t>aeb_gen_cfg_reserved_be0</t>
  </si>
  <si>
    <t>t_aeb_gen_cfg_reserved_be0_wr_reg</t>
  </si>
  <si>
    <t>AEB General Configuration Area Register "RESERVED_BE4"</t>
  </si>
  <si>
    <t>aeb_gen_cfg_reserved_be4</t>
  </si>
  <si>
    <t>t_aeb_gen_cfg_reserved_be4_wr_reg</t>
  </si>
  <si>
    <t>AEB General Configuration Area Register "RESERVED_BE8"</t>
  </si>
  <si>
    <t>aeb_gen_cfg_reserved_be8</t>
  </si>
  <si>
    <t>t_aeb_gen_cfg_reserved_be8_wr_reg</t>
  </si>
  <si>
    <t>AEB General Configuration Area Register "RESERVED_BEC"</t>
  </si>
  <si>
    <t>aeb_gen_cfg_reserved_bec</t>
  </si>
  <si>
    <t>t_aeb_gen_cfg_reserved_bec_wr_reg</t>
  </si>
  <si>
    <t>AEB General Configuration Area Register "RESERVED_BF0"</t>
  </si>
  <si>
    <t>aeb_gen_cfg_reserved_bf0</t>
  </si>
  <si>
    <t>t_aeb_gen_cfg_reserved_bf0_wr_reg</t>
  </si>
  <si>
    <t>AEB General Configuration Area Register "RESERVED_BF4"</t>
  </si>
  <si>
    <t>aeb_gen_cfg_reserved_bf4</t>
  </si>
  <si>
    <t>t_aeb_gen_cfg_reserved_bf4_wr_reg</t>
  </si>
  <si>
    <t>AEB General Configuration Area Register "RESERVED_BF8"</t>
  </si>
  <si>
    <t>aeb_gen_cfg_reserved_bf8</t>
  </si>
  <si>
    <t>t_aeb_gen_cfg_reserved_bf8_wr_reg</t>
  </si>
  <si>
    <t>AEB General Configuration Area Register "RESERVED_BFC"</t>
  </si>
  <si>
    <t>aeb_gen_cfg_reserved_bfc</t>
  </si>
  <si>
    <t>t_aeb_gen_cfg_reserved_bfc_wr_reg</t>
  </si>
  <si>
    <t>AEB General Configuration Area Register "RESERVED_C00"</t>
  </si>
  <si>
    <t>aeb_gen_cfg_reserved_c00</t>
  </si>
  <si>
    <t>t_aeb_gen_cfg_reserved_c00_wr_reg</t>
  </si>
  <si>
    <t>AEB General Configuration Area Register "RESERVED_C04"</t>
  </si>
  <si>
    <t>aeb_gen_cfg_reserved_c04</t>
  </si>
  <si>
    <t>t_aeb_gen_cfg_reserved_c04_wr_reg</t>
  </si>
  <si>
    <t>AEB General Configuration Area Register "RESERVED_C08"</t>
  </si>
  <si>
    <t>aeb_gen_cfg_reserved_c08</t>
  </si>
  <si>
    <t>t_aeb_gen_cfg_reserved_c08_wr_reg</t>
  </si>
  <si>
    <t>AEB General Configuration Area Register "RESERVED_C0C"</t>
  </si>
  <si>
    <t>aeb_gen_cfg_reserved_c0c</t>
  </si>
  <si>
    <t>t_aeb_gen_cfg_reserved_c0c_wr_reg</t>
  </si>
  <si>
    <t>AEB General Configuration Area Register "RESERVED_C10"</t>
  </si>
  <si>
    <t>aeb_gen_cfg_reserved_c10</t>
  </si>
  <si>
    <t>t_aeb_gen_cfg_reserved_c10_wr_reg</t>
  </si>
  <si>
    <t>AEB General Configuration Area Register "RESERVED_C14"</t>
  </si>
  <si>
    <t>aeb_gen_cfg_reserved_c14</t>
  </si>
  <si>
    <t>t_aeb_gen_cfg_reserved_c14_wr_reg</t>
  </si>
  <si>
    <t>AEB General Configuration Area Register "RESERVED_C18"</t>
  </si>
  <si>
    <t>aeb_gen_cfg_reserved_c18</t>
  </si>
  <si>
    <t>t_aeb_gen_cfg_reserved_c18_wr_reg</t>
  </si>
  <si>
    <t>AEB General Configuration Area Register "RESERVED_C1C"</t>
  </si>
  <si>
    <t>aeb_gen_cfg_reserved_c1c</t>
  </si>
  <si>
    <t>t_aeb_gen_cfg_reserved_c1c_wr_reg</t>
  </si>
  <si>
    <t>AEB General Configuration Area Register "RESERVED_C20"</t>
  </si>
  <si>
    <t>aeb_gen_cfg_reserved_c20</t>
  </si>
  <si>
    <t>t_aeb_gen_cfg_reserved_c20_wr_reg</t>
  </si>
  <si>
    <t>AEB General Configuration Area Register "RESERVED_C24"</t>
  </si>
  <si>
    <t>aeb_gen_cfg_reserved_c24</t>
  </si>
  <si>
    <t>t_aeb_gen_cfg_reserved_c24_wr_reg</t>
  </si>
  <si>
    <t>AEB General Configuration Area Register "RESERVED_C28"</t>
  </si>
  <si>
    <t>aeb_gen_cfg_reserved_c28</t>
  </si>
  <si>
    <t>t_aeb_gen_cfg_reserved_c28_wr_reg</t>
  </si>
  <si>
    <t>AEB General Configuration Area Register "RESERVED_C2C"</t>
  </si>
  <si>
    <t>aeb_gen_cfg_reserved_c2c</t>
  </si>
  <si>
    <t>t_aeb_gen_cfg_reserved_c2c_wr_reg</t>
  </si>
  <si>
    <t>AEB General Configuration Area Register "RESERVED_C30"</t>
  </si>
  <si>
    <t>aeb_gen_cfg_reserved_c30</t>
  </si>
  <si>
    <t>t_aeb_gen_cfg_reserved_c30_wr_reg</t>
  </si>
  <si>
    <t>AEB General Configuration Area Register "RESERVED_C34"</t>
  </si>
  <si>
    <t>aeb_gen_cfg_reserved_c34</t>
  </si>
  <si>
    <t>t_aeb_gen_cfg_reserved_c34_wr_reg</t>
  </si>
  <si>
    <t>AEB General Configuration Area Register "RESERVED_C38"</t>
  </si>
  <si>
    <t>aeb_gen_cfg_reserved_c38</t>
  </si>
  <si>
    <t>t_aeb_gen_cfg_reserved_c38_wr_reg</t>
  </si>
  <si>
    <t>AEB General Configuration Area Register "RESERVED_C3C"</t>
  </si>
  <si>
    <t>aeb_gen_cfg_reserved_c3c</t>
  </si>
  <si>
    <t>t_aeb_gen_cfg_reserved_c3c_wr_reg</t>
  </si>
  <si>
    <t>AEB General Configuration Area Register "RESERVED_C40"</t>
  </si>
  <si>
    <t>aeb_gen_cfg_reserved_c40</t>
  </si>
  <si>
    <t>t_aeb_gen_cfg_reserved_c40_wr_reg</t>
  </si>
  <si>
    <t>AEB General Configuration Area Register "RESERVED_C44"</t>
  </si>
  <si>
    <t>aeb_gen_cfg_reserved_c44</t>
  </si>
  <si>
    <t>t_aeb_gen_cfg_reserved_c44_wr_reg</t>
  </si>
  <si>
    <t>AEB General Configuration Area Register "RESERVED_C48"</t>
  </si>
  <si>
    <t>aeb_gen_cfg_reserved_c48</t>
  </si>
  <si>
    <t>t_aeb_gen_cfg_reserved_c48_wr_reg</t>
  </si>
  <si>
    <t>AEB General Configuration Area Register "RESERVED_C4C"</t>
  </si>
  <si>
    <t>aeb_gen_cfg_reserved_c4c</t>
  </si>
  <si>
    <t>t_aeb_gen_cfg_reserved_c4c_wr_reg</t>
  </si>
  <si>
    <t>AEB General Configuration Area Register "RESERVED_C50"</t>
  </si>
  <si>
    <t>aeb_gen_cfg_reserved_c50</t>
  </si>
  <si>
    <t>t_aeb_gen_cfg_reserved_c50_wr_reg</t>
  </si>
  <si>
    <t>AEB General Configuration Area Register "RESERVED_C54"</t>
  </si>
  <si>
    <t>aeb_gen_cfg_reserved_c54</t>
  </si>
  <si>
    <t>t_aeb_gen_cfg_reserved_c54_wr_reg</t>
  </si>
  <si>
    <t>AEB General Configuration Area Register "RESERVED_C58"</t>
  </si>
  <si>
    <t>aeb_gen_cfg_reserved_c58</t>
  </si>
  <si>
    <t>t_aeb_gen_cfg_reserved_c58_wr_reg</t>
  </si>
  <si>
    <t>AEB General Configuration Area Register "RESERVED_C5C"</t>
  </si>
  <si>
    <t>aeb_gen_cfg_reserved_c5c</t>
  </si>
  <si>
    <t>t_aeb_gen_cfg_reserved_c5c_wr_reg</t>
  </si>
  <si>
    <t>AEB General Configuration Area Register "RESERVED_C60"</t>
  </si>
  <si>
    <t>aeb_gen_cfg_reserved_c60</t>
  </si>
  <si>
    <t>t_aeb_gen_cfg_reserved_c60_wr_reg</t>
  </si>
  <si>
    <t>AEB General Configuration Area Register "RESERVED_C64"</t>
  </si>
  <si>
    <t>aeb_gen_cfg_reserved_c64</t>
  </si>
  <si>
    <t>t_aeb_gen_cfg_reserved_c64_wr_reg</t>
  </si>
  <si>
    <t>AEB General Configuration Area Register "RESERVED_C68"</t>
  </si>
  <si>
    <t>aeb_gen_cfg_reserved_c68</t>
  </si>
  <si>
    <t>t_aeb_gen_cfg_reserved_c68_wr_reg</t>
  </si>
  <si>
    <t>AEB General Configuration Area Register "RESERVED_C6C"</t>
  </si>
  <si>
    <t>aeb_gen_cfg_reserved_c6c</t>
  </si>
  <si>
    <t>t_aeb_gen_cfg_reserved_c6c_wr_reg</t>
  </si>
  <si>
    <t>AEB General Configuration Area Register "RESERVED_C70"</t>
  </si>
  <si>
    <t>aeb_gen_cfg_reserved_c70</t>
  </si>
  <si>
    <t>t_aeb_gen_cfg_reserved_c70_wr_reg</t>
  </si>
  <si>
    <t>AEB General Configuration Area Register "RESERVED_C74"</t>
  </si>
  <si>
    <t>aeb_gen_cfg_reserved_c74</t>
  </si>
  <si>
    <t>t_aeb_gen_cfg_reserved_c74_wr_reg</t>
  </si>
  <si>
    <t>AEB General Configuration Area Register "RESERVED_C78"</t>
  </si>
  <si>
    <t>aeb_gen_cfg_reserved_c78</t>
  </si>
  <si>
    <t>t_aeb_gen_cfg_reserved_c78_wr_reg</t>
  </si>
  <si>
    <t>AEB General Configuration Area Register "RESERVED_C7C"</t>
  </si>
  <si>
    <t>aeb_gen_cfg_reserved_c7c</t>
  </si>
  <si>
    <t>t_aeb_gen_cfg_reserved_c7c_wr_reg</t>
  </si>
  <si>
    <t>AEB General Configuration Area Register "RESERVED_C80"</t>
  </si>
  <si>
    <t>aeb_gen_cfg_reserved_c80</t>
  </si>
  <si>
    <t>t_aeb_gen_cfg_reserved_c80_wr_reg</t>
  </si>
  <si>
    <t>AEB General Configuration Area Register "RESERVED_C84"</t>
  </si>
  <si>
    <t>aeb_gen_cfg_reserved_c84</t>
  </si>
  <si>
    <t>t_aeb_gen_cfg_reserved_c84_wr_reg</t>
  </si>
  <si>
    <t>AEB General Configuration Area Register "RESERVED_C88"</t>
  </si>
  <si>
    <t>aeb_gen_cfg_reserved_c88</t>
  </si>
  <si>
    <t>t_aeb_gen_cfg_reserved_c88_wr_reg</t>
  </si>
  <si>
    <t>AEB General Configuration Area Register "RESERVED_C8C"</t>
  </si>
  <si>
    <t>aeb_gen_cfg_reserved_c8c</t>
  </si>
  <si>
    <t>t_aeb_gen_cfg_reserved_c8c_wr_reg</t>
  </si>
  <si>
    <t>AEB General Configuration Area Register "RESERVED_C90"</t>
  </si>
  <si>
    <t>aeb_gen_cfg_reserved_c90</t>
  </si>
  <si>
    <t>t_aeb_gen_cfg_reserved_c90_wr_reg</t>
  </si>
  <si>
    <t>AEB General Configuration Area Register "RESERVED_C94"</t>
  </si>
  <si>
    <t>aeb_gen_cfg_reserved_c94</t>
  </si>
  <si>
    <t>t_aeb_gen_cfg_reserved_c94_wr_reg</t>
  </si>
  <si>
    <t>AEB General Configuration Area Register "RESERVED_C98"</t>
  </si>
  <si>
    <t>aeb_gen_cfg_reserved_c98</t>
  </si>
  <si>
    <t>t_aeb_gen_cfg_reserved_c98_wr_reg</t>
  </si>
  <si>
    <t>AEB General Configuration Area Register "RESERVED_C9C"</t>
  </si>
  <si>
    <t>aeb_gen_cfg_reserved_c9c</t>
  </si>
  <si>
    <t>t_aeb_gen_cfg_reserved_c9c_wr_reg</t>
  </si>
  <si>
    <t>AEB General Configuration Area Register "RESERVED_CA0"</t>
  </si>
  <si>
    <t>aeb_gen_cfg_reserved_ca0</t>
  </si>
  <si>
    <t>t_aeb_gen_cfg_reserved_ca0_wr_reg</t>
  </si>
  <si>
    <t>AEB General Configuration Area Register "RESERVED_CA4"</t>
  </si>
  <si>
    <t>aeb_gen_cfg_reserved_ca4</t>
  </si>
  <si>
    <t>t_aeb_gen_cfg_reserved_ca4_wr_reg</t>
  </si>
  <si>
    <t>AEB General Configuration Area Register "RESERVED_CA8"</t>
  </si>
  <si>
    <t>aeb_gen_cfg_reserved_ca8</t>
  </si>
  <si>
    <t>t_aeb_gen_cfg_reserved_ca8_wr_reg</t>
  </si>
  <si>
    <t>AEB General Configuration Area Register "RESERVED_CAC"</t>
  </si>
  <si>
    <t>aeb_gen_cfg_reserved_cac</t>
  </si>
  <si>
    <t>t_aeb_gen_cfg_reserved_cac_wr_reg</t>
  </si>
  <si>
    <t>AEB General Configuration Area Register "RESERVED_CB0"</t>
  </si>
  <si>
    <t>aeb_gen_cfg_reserved_cb0</t>
  </si>
  <si>
    <t>t_aeb_gen_cfg_reserved_cb0_wr_reg</t>
  </si>
  <si>
    <t>AEB General Configuration Area Register "RESERVED_CB4"</t>
  </si>
  <si>
    <t>aeb_gen_cfg_reserved_cb4</t>
  </si>
  <si>
    <t>t_aeb_gen_cfg_reserved_cb4_wr_reg</t>
  </si>
  <si>
    <t>AEB General Configuration Area Register "RESERVED_CB8"</t>
  </si>
  <si>
    <t>aeb_gen_cfg_reserved_cb8</t>
  </si>
  <si>
    <t>t_aeb_gen_cfg_reserved_cb8_wr_reg</t>
  </si>
  <si>
    <t>AEB General Configuration Area Register "RESERVED_CBC"</t>
  </si>
  <si>
    <t>aeb_gen_cfg_reserved_cbc</t>
  </si>
  <si>
    <t>t_aeb_gen_cfg_reserved_cbc_wr_reg</t>
  </si>
  <si>
    <t>AEB General Configuration Area Register "RESERVED_CC0"</t>
  </si>
  <si>
    <t>aeb_gen_cfg_reserved_cc0</t>
  </si>
  <si>
    <t>t_aeb_gen_cfg_reserved_cc0_wr_reg</t>
  </si>
  <si>
    <t>AEB General Configuration Area Register "RESERVED_CC4"</t>
  </si>
  <si>
    <t>aeb_gen_cfg_reserved_cc4</t>
  </si>
  <si>
    <t>t_aeb_gen_cfg_reserved_cc4_wr_reg</t>
  </si>
  <si>
    <t>AEB General Configuration Area Register "RESERVED_CC8"</t>
  </si>
  <si>
    <t>aeb_gen_cfg_reserved_cc8</t>
  </si>
  <si>
    <t>t_aeb_gen_cfg_reserved_cc8_wr_reg</t>
  </si>
  <si>
    <t>AEB General Configuration Area Register "RESERVED_CCC"</t>
  </si>
  <si>
    <t>aeb_gen_cfg_reserved_ccc</t>
  </si>
  <si>
    <t>t_aeb_gen_cfg_reserved_ccc_wr_reg</t>
  </si>
  <si>
    <t>AEB General Configuration Area Register "RESERVED_CD0"</t>
  </si>
  <si>
    <t>aeb_gen_cfg_reserved_cd0</t>
  </si>
  <si>
    <t>t_aeb_gen_cfg_reserved_cd0_wr_reg</t>
  </si>
  <si>
    <t>AEB General Configuration Area Register "RESERVED_CD4"</t>
  </si>
  <si>
    <t>aeb_gen_cfg_reserved_cd4</t>
  </si>
  <si>
    <t>t_aeb_gen_cfg_reserved_cd4_wr_reg</t>
  </si>
  <si>
    <t>AEB General Configuration Area Register "RESERVED_CD8"</t>
  </si>
  <si>
    <t>aeb_gen_cfg_reserved_cd8</t>
  </si>
  <si>
    <t>t_aeb_gen_cfg_reserved_cd8_wr_reg</t>
  </si>
  <si>
    <t>AEB General Configuration Area Register "RESERVED_CDC"</t>
  </si>
  <si>
    <t>aeb_gen_cfg_reserved_cdc</t>
  </si>
  <si>
    <t>t_aeb_gen_cfg_reserved_cdc_wr_reg</t>
  </si>
  <si>
    <t>AEB General Configuration Area Register "RESERVED_CE0"</t>
  </si>
  <si>
    <t>aeb_gen_cfg_reserved_ce0</t>
  </si>
  <si>
    <t>t_aeb_gen_cfg_reserved_ce0_wr_reg</t>
  </si>
  <si>
    <t>AEB General Configuration Area Register "RESERVED_CE4"</t>
  </si>
  <si>
    <t>aeb_gen_cfg_reserved_ce4</t>
  </si>
  <si>
    <t>t_aeb_gen_cfg_reserved_ce4_wr_reg</t>
  </si>
  <si>
    <t>AEB General Configuration Area Register "RESERVED_CE8"</t>
  </si>
  <si>
    <t>aeb_gen_cfg_reserved_ce8</t>
  </si>
  <si>
    <t>t_aeb_gen_cfg_reserved_ce8_wr_reg</t>
  </si>
  <si>
    <t>AEB General Configuration Area Register "RESERVED_CEC"</t>
  </si>
  <si>
    <t>aeb_gen_cfg_reserved_cec</t>
  </si>
  <si>
    <t>t_aeb_gen_cfg_reserved_cec_wr_reg</t>
  </si>
  <si>
    <t>AEB General Configuration Area Register "RESERVED_CF0"</t>
  </si>
  <si>
    <t>aeb_gen_cfg_reserved_cf0</t>
  </si>
  <si>
    <t>t_aeb_gen_cfg_reserved_cf0_wr_reg</t>
  </si>
  <si>
    <t>AEB General Configuration Area Register "RESERVED_CF4"</t>
  </si>
  <si>
    <t>aeb_gen_cfg_reserved_cf4</t>
  </si>
  <si>
    <t>t_aeb_gen_cfg_reserved_cf4_wr_reg</t>
  </si>
  <si>
    <t>AEB General Configuration Area Register "RESERVED_CF8"</t>
  </si>
  <si>
    <t>aeb_gen_cfg_reserved_cf8</t>
  </si>
  <si>
    <t>t_aeb_gen_cfg_reserved_cf8_wr_reg</t>
  </si>
  <si>
    <t>AEB General Configuration Area Register "RESERVED_CFC"</t>
  </si>
  <si>
    <t>aeb_gen_cfg_reserved_cfc</t>
  </si>
  <si>
    <t>t_aeb_gen_cfg_reserved_cfc_wr_reg</t>
  </si>
  <si>
    <t>AEB General Configuration Area Register "RESERVED_D00"</t>
  </si>
  <si>
    <t>aeb_gen_cfg_reserved_d00</t>
  </si>
  <si>
    <t>t_aeb_gen_cfg_reserved_d00_wr_reg</t>
  </si>
  <si>
    <t>AEB General Configuration Area Register "RESERVED_D04"</t>
  </si>
  <si>
    <t>aeb_gen_cfg_reserved_d04</t>
  </si>
  <si>
    <t>t_aeb_gen_cfg_reserved_d04_wr_reg</t>
  </si>
  <si>
    <t>AEB General Configuration Area Register "RESERVED_D08"</t>
  </si>
  <si>
    <t>aeb_gen_cfg_reserved_d08</t>
  </si>
  <si>
    <t>t_aeb_gen_cfg_reserved_d08_wr_reg</t>
  </si>
  <si>
    <t>AEB General Configuration Area Register "RESERVED_D0C"</t>
  </si>
  <si>
    <t>aeb_gen_cfg_reserved_d0c</t>
  </si>
  <si>
    <t>t_aeb_gen_cfg_reserved_d0c_wr_reg</t>
  </si>
  <si>
    <t>AEB General Configuration Area Register "RESERVED_D10"</t>
  </si>
  <si>
    <t>aeb_gen_cfg_reserved_d10</t>
  </si>
  <si>
    <t>t_aeb_gen_cfg_reserved_d10_wr_reg</t>
  </si>
  <si>
    <t>AEB General Configuration Area Register "RESERVED_D14"</t>
  </si>
  <si>
    <t>aeb_gen_cfg_reserved_d14</t>
  </si>
  <si>
    <t>t_aeb_gen_cfg_reserved_d14_wr_reg</t>
  </si>
  <si>
    <t>AEB General Configuration Area Register "RESERVED_D18"</t>
  </si>
  <si>
    <t>aeb_gen_cfg_reserved_d18</t>
  </si>
  <si>
    <t>t_aeb_gen_cfg_reserved_d18_wr_reg</t>
  </si>
  <si>
    <t>AEB General Configuration Area Register "RESERVED_D1C"</t>
  </si>
  <si>
    <t>aeb_gen_cfg_reserved_d1c</t>
  </si>
  <si>
    <t>t_aeb_gen_cfg_reserved_d1c_wr_reg</t>
  </si>
  <si>
    <t>AEB General Configuration Area Register "RESERVED_D20"</t>
  </si>
  <si>
    <t>aeb_gen_cfg_reserved_d20</t>
  </si>
  <si>
    <t>t_aeb_gen_cfg_reserved_d20_wr_reg</t>
  </si>
  <si>
    <t>AEB General Configuration Area Register "RESERVED_D24"</t>
  </si>
  <si>
    <t>aeb_gen_cfg_reserved_d24</t>
  </si>
  <si>
    <t>t_aeb_gen_cfg_reserved_d24_wr_reg</t>
  </si>
  <si>
    <t>AEB General Configuration Area Register "RESERVED_D28"</t>
  </si>
  <si>
    <t>aeb_gen_cfg_reserved_d28</t>
  </si>
  <si>
    <t>t_aeb_gen_cfg_reserved_d28_wr_reg</t>
  </si>
  <si>
    <t>AEB General Configuration Area Register "RESERVED_D2C"</t>
  </si>
  <si>
    <t>aeb_gen_cfg_reserved_d2c</t>
  </si>
  <si>
    <t>t_aeb_gen_cfg_reserved_d2c_wr_reg</t>
  </si>
  <si>
    <t>AEB General Configuration Area Register "RESERVED_D30"</t>
  </si>
  <si>
    <t>aeb_gen_cfg_reserved_d30</t>
  </si>
  <si>
    <t>t_aeb_gen_cfg_reserved_d30_wr_reg</t>
  </si>
  <si>
    <t>AEB General Configuration Area Register "RESERVED_D34"</t>
  </si>
  <si>
    <t>aeb_gen_cfg_reserved_d34</t>
  </si>
  <si>
    <t>t_aeb_gen_cfg_reserved_d34_wr_reg</t>
  </si>
  <si>
    <t>AEB General Configuration Area Register "RESERVED_D38"</t>
  </si>
  <si>
    <t>aeb_gen_cfg_reserved_d38</t>
  </si>
  <si>
    <t>t_aeb_gen_cfg_reserved_d38_wr_reg</t>
  </si>
  <si>
    <t>AEB General Configuration Area Register "RESERVED_D3C"</t>
  </si>
  <si>
    <t>aeb_gen_cfg_reserved_d3c</t>
  </si>
  <si>
    <t>t_aeb_gen_cfg_reserved_d3c_wr_reg</t>
  </si>
  <si>
    <t>AEB General Configuration Area Register "RESERVED_D40"</t>
  </si>
  <si>
    <t>aeb_gen_cfg_reserved_d40</t>
  </si>
  <si>
    <t>t_aeb_gen_cfg_reserved_d40_wr_reg</t>
  </si>
  <si>
    <t>AEB General Configuration Area Register "RESERVED_D44"</t>
  </si>
  <si>
    <t>aeb_gen_cfg_reserved_d44</t>
  </si>
  <si>
    <t>t_aeb_gen_cfg_reserved_d44_wr_reg</t>
  </si>
  <si>
    <t>AEB General Configuration Area Register "RESERVED_D48"</t>
  </si>
  <si>
    <t>aeb_gen_cfg_reserved_d48</t>
  </si>
  <si>
    <t>t_aeb_gen_cfg_reserved_d48_wr_reg</t>
  </si>
  <si>
    <t>AEB General Configuration Area Register "RESERVED_D4C"</t>
  </si>
  <si>
    <t>aeb_gen_cfg_reserved_d4c</t>
  </si>
  <si>
    <t>t_aeb_gen_cfg_reserved_d4c_wr_reg</t>
  </si>
  <si>
    <t>AEB General Configuration Area Register "RESERVED_D50"</t>
  </si>
  <si>
    <t>aeb_gen_cfg_reserved_d50</t>
  </si>
  <si>
    <t>t_aeb_gen_cfg_reserved_d50_wr_reg</t>
  </si>
  <si>
    <t>AEB General Configuration Area Register "RESERVED_D54"</t>
  </si>
  <si>
    <t>aeb_gen_cfg_reserved_d54</t>
  </si>
  <si>
    <t>t_aeb_gen_cfg_reserved_d54_wr_reg</t>
  </si>
  <si>
    <t>AEB General Configuration Area Register "RESERVED_D58"</t>
  </si>
  <si>
    <t>aeb_gen_cfg_reserved_d58</t>
  </si>
  <si>
    <t>t_aeb_gen_cfg_reserved_d58_wr_reg</t>
  </si>
  <si>
    <t>AEB General Configuration Area Register "RESERVED_D5C"</t>
  </si>
  <si>
    <t>aeb_gen_cfg_reserved_d5c</t>
  </si>
  <si>
    <t>t_aeb_gen_cfg_reserved_d5c_wr_reg</t>
  </si>
  <si>
    <t>AEB General Configuration Area Register "RESERVED_D60"</t>
  </si>
  <si>
    <t>aeb_gen_cfg_reserved_d60</t>
  </si>
  <si>
    <t>t_aeb_gen_cfg_reserved_d60_wr_reg</t>
  </si>
  <si>
    <t>AEB General Configuration Area Register "RESERVED_D64"</t>
  </si>
  <si>
    <t>aeb_gen_cfg_reserved_d64</t>
  </si>
  <si>
    <t>t_aeb_gen_cfg_reserved_d64_wr_reg</t>
  </si>
  <si>
    <t>AEB General Configuration Area Register "RESERVED_D68"</t>
  </si>
  <si>
    <t>aeb_gen_cfg_reserved_d68</t>
  </si>
  <si>
    <t>t_aeb_gen_cfg_reserved_d68_wr_reg</t>
  </si>
  <si>
    <t>AEB General Configuration Area Register "RESERVED_D6C"</t>
  </si>
  <si>
    <t>aeb_gen_cfg_reserved_d6c</t>
  </si>
  <si>
    <t>t_aeb_gen_cfg_reserved_d6c_wr_reg</t>
  </si>
  <si>
    <t>AEB General Configuration Area Register "RESERVED_D70"</t>
  </si>
  <si>
    <t>aeb_gen_cfg_reserved_d70</t>
  </si>
  <si>
    <t>t_aeb_gen_cfg_reserved_d70_wr_reg</t>
  </si>
  <si>
    <t>AEB General Configuration Area Register "RESERVED_D74"</t>
  </si>
  <si>
    <t>aeb_gen_cfg_reserved_d74</t>
  </si>
  <si>
    <t>t_aeb_gen_cfg_reserved_d74_wr_reg</t>
  </si>
  <si>
    <t>AEB General Configuration Area Register "RESERVED_D78"</t>
  </si>
  <si>
    <t>aeb_gen_cfg_reserved_d78</t>
  </si>
  <si>
    <t>t_aeb_gen_cfg_reserved_d78_wr_reg</t>
  </si>
  <si>
    <t>AEB General Configuration Area Register "RESERVED_D7C"</t>
  </si>
  <si>
    <t>aeb_gen_cfg_reserved_d7c</t>
  </si>
  <si>
    <t>t_aeb_gen_cfg_reserved_d7c_wr_reg</t>
  </si>
  <si>
    <t>AEB General Configuration Area Register "RESERVED_D80"</t>
  </si>
  <si>
    <t>aeb_gen_cfg_reserved_d80</t>
  </si>
  <si>
    <t>t_aeb_gen_cfg_reserved_d80_wr_reg</t>
  </si>
  <si>
    <t>AEB General Configuration Area Register "RESERVED_D84"</t>
  </si>
  <si>
    <t>aeb_gen_cfg_reserved_d84</t>
  </si>
  <si>
    <t>t_aeb_gen_cfg_reserved_d84_wr_reg</t>
  </si>
  <si>
    <t>AEB General Configuration Area Register "RESERVED_D88"</t>
  </si>
  <si>
    <t>aeb_gen_cfg_reserved_d88</t>
  </si>
  <si>
    <t>t_aeb_gen_cfg_reserved_d88_wr_reg</t>
  </si>
  <si>
    <t>AEB General Configuration Area Register "RESERVED_D8C"</t>
  </si>
  <si>
    <t>aeb_gen_cfg_reserved_d8c</t>
  </si>
  <si>
    <t>t_aeb_gen_cfg_reserved_d8c_wr_reg</t>
  </si>
  <si>
    <t>AEB General Configuration Area Register "RESERVED_D90"</t>
  </si>
  <si>
    <t>aeb_gen_cfg_reserved_d90</t>
  </si>
  <si>
    <t>t_aeb_gen_cfg_reserved_d90_wr_reg</t>
  </si>
  <si>
    <t>AEB General Configuration Area Register "RESERVED_D94"</t>
  </si>
  <si>
    <t>aeb_gen_cfg_reserved_d94</t>
  </si>
  <si>
    <t>t_aeb_gen_cfg_reserved_d94_wr_reg</t>
  </si>
  <si>
    <t>AEB General Configuration Area Register "RESERVED_D98"</t>
  </si>
  <si>
    <t>aeb_gen_cfg_reserved_d98</t>
  </si>
  <si>
    <t>t_aeb_gen_cfg_reserved_d98_wr_reg</t>
  </si>
  <si>
    <t>AEB General Configuration Area Register "RESERVED_D9C"</t>
  </si>
  <si>
    <t>aeb_gen_cfg_reserved_d9c</t>
  </si>
  <si>
    <t>t_aeb_gen_cfg_reserved_d9c_wr_reg</t>
  </si>
  <si>
    <t>AEB General Configuration Area Register "RESERVED_DA0"</t>
  </si>
  <si>
    <t>aeb_gen_cfg_reserved_da0</t>
  </si>
  <si>
    <t>t_aeb_gen_cfg_reserved_da0_wr_reg</t>
  </si>
  <si>
    <t>AEB General Configuration Area Register "RESERVED_DA4"</t>
  </si>
  <si>
    <t>aeb_gen_cfg_reserved_da4</t>
  </si>
  <si>
    <t>t_aeb_gen_cfg_reserved_da4_wr_reg</t>
  </si>
  <si>
    <t>AEB General Configuration Area Register "RESERVED_DA8"</t>
  </si>
  <si>
    <t>aeb_gen_cfg_reserved_da8</t>
  </si>
  <si>
    <t>t_aeb_gen_cfg_reserved_da8_wr_reg</t>
  </si>
  <si>
    <t>AEB General Configuration Area Register "RESERVED_DAC"</t>
  </si>
  <si>
    <t>aeb_gen_cfg_reserved_dac</t>
  </si>
  <si>
    <t>t_aeb_gen_cfg_reserved_dac_wr_reg</t>
  </si>
  <si>
    <t>AEB General Configuration Area Register "RESERVED_DB0"</t>
  </si>
  <si>
    <t>aeb_gen_cfg_reserved_db0</t>
  </si>
  <si>
    <t>t_aeb_gen_cfg_reserved_db0_wr_reg</t>
  </si>
  <si>
    <t>AEB General Configuration Area Register "RESERVED_DB4"</t>
  </si>
  <si>
    <t>aeb_gen_cfg_reserved_db4</t>
  </si>
  <si>
    <t>t_aeb_gen_cfg_reserved_db4_wr_reg</t>
  </si>
  <si>
    <t>AEB General Configuration Area Register "RESERVED_DB8"</t>
  </si>
  <si>
    <t>aeb_gen_cfg_reserved_db8</t>
  </si>
  <si>
    <t>t_aeb_gen_cfg_reserved_db8_wr_reg</t>
  </si>
  <si>
    <t>AEB General Configuration Area Register "RESERVED_DBC"</t>
  </si>
  <si>
    <t>aeb_gen_cfg_reserved_dbc</t>
  </si>
  <si>
    <t>t_aeb_gen_cfg_reserved_dbc_wr_reg</t>
  </si>
  <si>
    <t>AEB General Configuration Area Register "RESERVED_DC0"</t>
  </si>
  <si>
    <t>aeb_gen_cfg_reserved_dc0</t>
  </si>
  <si>
    <t>t_aeb_gen_cfg_reserved_dc0_wr_reg</t>
  </si>
  <si>
    <t>AEB General Configuration Area Register "RESERVED_DC4"</t>
  </si>
  <si>
    <t>aeb_gen_cfg_reserved_dc4</t>
  </si>
  <si>
    <t>t_aeb_gen_cfg_reserved_dc4_wr_reg</t>
  </si>
  <si>
    <t>AEB General Configuration Area Register "RESERVED_DC8"</t>
  </si>
  <si>
    <t>aeb_gen_cfg_reserved_dc8</t>
  </si>
  <si>
    <t>t_aeb_gen_cfg_reserved_dc8_wr_reg</t>
  </si>
  <si>
    <t>AEB General Configuration Area Register "RESERVED_DCC"</t>
  </si>
  <si>
    <t>aeb_gen_cfg_reserved_dcc</t>
  </si>
  <si>
    <t>t_aeb_gen_cfg_reserved_dcc_wr_reg</t>
  </si>
  <si>
    <t>AEB General Configuration Area Register "RESERVED_DD0"</t>
  </si>
  <si>
    <t>aeb_gen_cfg_reserved_dd0</t>
  </si>
  <si>
    <t>t_aeb_gen_cfg_reserved_dd0_wr_reg</t>
  </si>
  <si>
    <t>AEB General Configuration Area Register "RESERVED_DD4"</t>
  </si>
  <si>
    <t>aeb_gen_cfg_reserved_dd4</t>
  </si>
  <si>
    <t>t_aeb_gen_cfg_reserved_dd4_wr_reg</t>
  </si>
  <si>
    <t>AEB General Configuration Area Register "RESERVED_DD8"</t>
  </si>
  <si>
    <t>aeb_gen_cfg_reserved_dd8</t>
  </si>
  <si>
    <t>t_aeb_gen_cfg_reserved_dd8_wr_reg</t>
  </si>
  <si>
    <t>AEB General Configuration Area Register "RESERVED_DDC"</t>
  </si>
  <si>
    <t>aeb_gen_cfg_reserved_ddc</t>
  </si>
  <si>
    <t>t_aeb_gen_cfg_reserved_ddc_wr_reg</t>
  </si>
  <si>
    <t>AEB General Configuration Area Register "RESERVED_DE0"</t>
  </si>
  <si>
    <t>aeb_gen_cfg_reserved_de0</t>
  </si>
  <si>
    <t>t_aeb_gen_cfg_reserved_de0_wr_reg</t>
  </si>
  <si>
    <t>AEB General Configuration Area Register "RESERVED_DE4"</t>
  </si>
  <si>
    <t>aeb_gen_cfg_reserved_de4</t>
  </si>
  <si>
    <t>t_aeb_gen_cfg_reserved_de4_wr_reg</t>
  </si>
  <si>
    <t>AEB General Configuration Area Register "RESERVED_DE8"</t>
  </si>
  <si>
    <t>aeb_gen_cfg_reserved_de8</t>
  </si>
  <si>
    <t>t_aeb_gen_cfg_reserved_de8_wr_reg</t>
  </si>
  <si>
    <t>AEB General Configuration Area Register "RESERVED_DEC"</t>
  </si>
  <si>
    <t>aeb_gen_cfg_reserved_dec</t>
  </si>
  <si>
    <t>t_aeb_gen_cfg_reserved_dec_wr_reg</t>
  </si>
  <si>
    <t>AEB General Configuration Area Register "RESERVED_DF0"</t>
  </si>
  <si>
    <t>aeb_gen_cfg_reserved_df0</t>
  </si>
  <si>
    <t>t_aeb_gen_cfg_reserved_df0_wr_reg</t>
  </si>
  <si>
    <t>AEB General Configuration Area Register "RESERVED_DF4"</t>
  </si>
  <si>
    <t>aeb_gen_cfg_reserved_df4</t>
  </si>
  <si>
    <t>t_aeb_gen_cfg_reserved_df4_wr_reg</t>
  </si>
  <si>
    <t>AEB General Configuration Area Register "RESERVED_DF8"</t>
  </si>
  <si>
    <t>aeb_gen_cfg_reserved_df8</t>
  </si>
  <si>
    <t>t_aeb_gen_cfg_reserved_df8_wr_reg</t>
  </si>
  <si>
    <t>AEB General Configuration Area Register "RESERVED_DFC"</t>
  </si>
  <si>
    <t>aeb_gen_cfg_reserved_dfc</t>
  </si>
  <si>
    <t>t_aeb_gen_cfg_reserved_dfc_wr_reg</t>
  </si>
  <si>
    <t>AEB General Configuration Area Register "RESERVED_E00"</t>
  </si>
  <si>
    <t>aeb_gen_cfg_reserved_e00</t>
  </si>
  <si>
    <t>t_aeb_gen_cfg_reserved_e00_wr_reg</t>
  </si>
  <si>
    <t>AEB General Configuration Area Register "RESERVED_E04"</t>
  </si>
  <si>
    <t>aeb_gen_cfg_reserved_e04</t>
  </si>
  <si>
    <t>t_aeb_gen_cfg_reserved_e04_wr_reg</t>
  </si>
  <si>
    <t>AEB General Configuration Area Register "RESERVED_E08"</t>
  </si>
  <si>
    <t>aeb_gen_cfg_reserved_e08</t>
  </si>
  <si>
    <t>t_aeb_gen_cfg_reserved_e08_wr_reg</t>
  </si>
  <si>
    <t>AEB General Configuration Area Register "RESERVED_E0C"</t>
  </si>
  <si>
    <t>aeb_gen_cfg_reserved_e0c</t>
  </si>
  <si>
    <t>t_aeb_gen_cfg_reserved_e0c_wr_reg</t>
  </si>
  <si>
    <t>AEB General Configuration Area Register "RESERVED_E10"</t>
  </si>
  <si>
    <t>aeb_gen_cfg_reserved_e10</t>
  </si>
  <si>
    <t>t_aeb_gen_cfg_reserved_e10_wr_reg</t>
  </si>
  <si>
    <t>AEB General Configuration Area Register "RESERVED_E14"</t>
  </si>
  <si>
    <t>aeb_gen_cfg_reserved_e14</t>
  </si>
  <si>
    <t>t_aeb_gen_cfg_reserved_e14_wr_reg</t>
  </si>
  <si>
    <t>AEB General Configuration Area Register "RESERVED_E18"</t>
  </si>
  <si>
    <t>aeb_gen_cfg_reserved_e18</t>
  </si>
  <si>
    <t>t_aeb_gen_cfg_reserved_e18_wr_reg</t>
  </si>
  <si>
    <t>AEB General Configuration Area Register "RESERVED_E1C"</t>
  </si>
  <si>
    <t>aeb_gen_cfg_reserved_e1c</t>
  </si>
  <si>
    <t>t_aeb_gen_cfg_reserved_e1c_wr_reg</t>
  </si>
  <si>
    <t>AEB General Configuration Area Register "RESERVED_E20"</t>
  </si>
  <si>
    <t>aeb_gen_cfg_reserved_e20</t>
  </si>
  <si>
    <t>t_aeb_gen_cfg_reserved_e20_wr_reg</t>
  </si>
  <si>
    <t>AEB General Configuration Area Register "RESERVED_E24"</t>
  </si>
  <si>
    <t>aeb_gen_cfg_reserved_e24</t>
  </si>
  <si>
    <t>t_aeb_gen_cfg_reserved_e24_wr_reg</t>
  </si>
  <si>
    <t>AEB General Configuration Area Register "RESERVED_E28"</t>
  </si>
  <si>
    <t>aeb_gen_cfg_reserved_e28</t>
  </si>
  <si>
    <t>t_aeb_gen_cfg_reserved_e28_wr_reg</t>
  </si>
  <si>
    <t>AEB General Configuration Area Register "RESERVED_E2C"</t>
  </si>
  <si>
    <t>aeb_gen_cfg_reserved_e2c</t>
  </si>
  <si>
    <t>t_aeb_gen_cfg_reserved_e2c_wr_reg</t>
  </si>
  <si>
    <t>AEB General Configuration Area Register "RESERVED_E30"</t>
  </si>
  <si>
    <t>aeb_gen_cfg_reserved_e30</t>
  </si>
  <si>
    <t>t_aeb_gen_cfg_reserved_e30_wr_reg</t>
  </si>
  <si>
    <t>AEB General Configuration Area Register "RESERVED_E34"</t>
  </si>
  <si>
    <t>aeb_gen_cfg_reserved_e34</t>
  </si>
  <si>
    <t>t_aeb_gen_cfg_reserved_e34_wr_reg</t>
  </si>
  <si>
    <t>AEB General Configuration Area Register "RESERVED_E38"</t>
  </si>
  <si>
    <t>aeb_gen_cfg_reserved_e38</t>
  </si>
  <si>
    <t>t_aeb_gen_cfg_reserved_e38_wr_reg</t>
  </si>
  <si>
    <t>AEB General Configuration Area Register "RESERVED_E3C"</t>
  </si>
  <si>
    <t>aeb_gen_cfg_reserved_e3c</t>
  </si>
  <si>
    <t>t_aeb_gen_cfg_reserved_e3c_wr_reg</t>
  </si>
  <si>
    <t>AEB General Configuration Area Register "RESERVED_E40"</t>
  </si>
  <si>
    <t>aeb_gen_cfg_reserved_e40</t>
  </si>
  <si>
    <t>t_aeb_gen_cfg_reserved_e40_wr_reg</t>
  </si>
  <si>
    <t>AEB General Configuration Area Register "RESERVED_E44"</t>
  </si>
  <si>
    <t>aeb_gen_cfg_reserved_e44</t>
  </si>
  <si>
    <t>t_aeb_gen_cfg_reserved_e44_wr_reg</t>
  </si>
  <si>
    <t>AEB General Configuration Area Register "RESERVED_E48"</t>
  </si>
  <si>
    <t>aeb_gen_cfg_reserved_e48</t>
  </si>
  <si>
    <t>t_aeb_gen_cfg_reserved_e48_wr_reg</t>
  </si>
  <si>
    <t>AEB General Configuration Area Register "RESERVED_E4C"</t>
  </si>
  <si>
    <t>aeb_gen_cfg_reserved_e4c</t>
  </si>
  <si>
    <t>t_aeb_gen_cfg_reserved_e4c_wr_reg</t>
  </si>
  <si>
    <t>AEB General Configuration Area Register "RESERVED_E50"</t>
  </si>
  <si>
    <t>aeb_gen_cfg_reserved_e50</t>
  </si>
  <si>
    <t>t_aeb_gen_cfg_reserved_e50_wr_reg</t>
  </si>
  <si>
    <t>AEB General Configuration Area Register "RESERVED_E54"</t>
  </si>
  <si>
    <t>aeb_gen_cfg_reserved_e54</t>
  </si>
  <si>
    <t>t_aeb_gen_cfg_reserved_e54_wr_reg</t>
  </si>
  <si>
    <t>AEB General Configuration Area Register "RESERVED_E58"</t>
  </si>
  <si>
    <t>aeb_gen_cfg_reserved_e58</t>
  </si>
  <si>
    <t>t_aeb_gen_cfg_reserved_e58_wr_reg</t>
  </si>
  <si>
    <t>AEB General Configuration Area Register "RESERVED_E5C"</t>
  </si>
  <si>
    <t>aeb_gen_cfg_reserved_e5c</t>
  </si>
  <si>
    <t>t_aeb_gen_cfg_reserved_e5c_wr_reg</t>
  </si>
  <si>
    <t>AEB General Configuration Area Register "RESERVED_E60"</t>
  </si>
  <si>
    <t>aeb_gen_cfg_reserved_e60</t>
  </si>
  <si>
    <t>t_aeb_gen_cfg_reserved_e60_wr_reg</t>
  </si>
  <si>
    <t>AEB General Configuration Area Register "RESERVED_E64"</t>
  </si>
  <si>
    <t>aeb_gen_cfg_reserved_e64</t>
  </si>
  <si>
    <t>t_aeb_gen_cfg_reserved_e64_wr_reg</t>
  </si>
  <si>
    <t>AEB General Configuration Area Register "RESERVED_E68"</t>
  </si>
  <si>
    <t>aeb_gen_cfg_reserved_e68</t>
  </si>
  <si>
    <t>t_aeb_gen_cfg_reserved_e68_wr_reg</t>
  </si>
  <si>
    <t>AEB General Configuration Area Register "RESERVED_E6C"</t>
  </si>
  <si>
    <t>aeb_gen_cfg_reserved_e6c</t>
  </si>
  <si>
    <t>t_aeb_gen_cfg_reserved_e6c_wr_reg</t>
  </si>
  <si>
    <t>AEB General Configuration Area Register "RESERVED_E70"</t>
  </si>
  <si>
    <t>aeb_gen_cfg_reserved_e70</t>
  </si>
  <si>
    <t>t_aeb_gen_cfg_reserved_e70_wr_reg</t>
  </si>
  <si>
    <t>AEB General Configuration Area Register "RESERVED_E74"</t>
  </si>
  <si>
    <t>aeb_gen_cfg_reserved_e74</t>
  </si>
  <si>
    <t>t_aeb_gen_cfg_reserved_e74_wr_reg</t>
  </si>
  <si>
    <t>AEB General Configuration Area Register "RESERVED_E78"</t>
  </si>
  <si>
    <t>aeb_gen_cfg_reserved_e78</t>
  </si>
  <si>
    <t>t_aeb_gen_cfg_reserved_e78_wr_reg</t>
  </si>
  <si>
    <t>AEB General Configuration Area Register "RESERVED_E7C"</t>
  </si>
  <si>
    <t>aeb_gen_cfg_reserved_e7c</t>
  </si>
  <si>
    <t>t_aeb_gen_cfg_reserved_e7c_wr_reg</t>
  </si>
  <si>
    <t>AEB General Configuration Area Register "RESERVED_E80"</t>
  </si>
  <si>
    <t>aeb_gen_cfg_reserved_e80</t>
  </si>
  <si>
    <t>t_aeb_gen_cfg_reserved_e80_wr_reg</t>
  </si>
  <si>
    <t>AEB General Configuration Area Register "RESERVED_E84"</t>
  </si>
  <si>
    <t>aeb_gen_cfg_reserved_e84</t>
  </si>
  <si>
    <t>t_aeb_gen_cfg_reserved_e84_wr_reg</t>
  </si>
  <si>
    <t>AEB General Configuration Area Register "RESERVED_E88"</t>
  </si>
  <si>
    <t>aeb_gen_cfg_reserved_e88</t>
  </si>
  <si>
    <t>t_aeb_gen_cfg_reserved_e88_wr_reg</t>
  </si>
  <si>
    <t>AEB General Configuration Area Register "RESERVED_E8C"</t>
  </si>
  <si>
    <t>aeb_gen_cfg_reserved_e8c</t>
  </si>
  <si>
    <t>t_aeb_gen_cfg_reserved_e8c_wr_reg</t>
  </si>
  <si>
    <t>AEB General Configuration Area Register "RESERVED_E90"</t>
  </si>
  <si>
    <t>aeb_gen_cfg_reserved_e90</t>
  </si>
  <si>
    <t>t_aeb_gen_cfg_reserved_e90_wr_reg</t>
  </si>
  <si>
    <t>AEB General Configuration Area Register "RESERVED_E94"</t>
  </si>
  <si>
    <t>aeb_gen_cfg_reserved_e94</t>
  </si>
  <si>
    <t>t_aeb_gen_cfg_reserved_e94_wr_reg</t>
  </si>
  <si>
    <t>AEB General Configuration Area Register "RESERVED_E98"</t>
  </si>
  <si>
    <t>aeb_gen_cfg_reserved_e98</t>
  </si>
  <si>
    <t>t_aeb_gen_cfg_reserved_e98_wr_reg</t>
  </si>
  <si>
    <t>AEB General Configuration Area Register "RESERVED_E9C"</t>
  </si>
  <si>
    <t>aeb_gen_cfg_reserved_e9c</t>
  </si>
  <si>
    <t>t_aeb_gen_cfg_reserved_e9c_wr_reg</t>
  </si>
  <si>
    <t>AEB General Configuration Area Register "RESERVED_EA0"</t>
  </si>
  <si>
    <t>aeb_gen_cfg_reserved_ea0</t>
  </si>
  <si>
    <t>t_aeb_gen_cfg_reserved_ea0_wr_reg</t>
  </si>
  <si>
    <t>AEB General Configuration Area Register "RESERVED_EA4"</t>
  </si>
  <si>
    <t>aeb_gen_cfg_reserved_ea4</t>
  </si>
  <si>
    <t>t_aeb_gen_cfg_reserved_ea4_wr_reg</t>
  </si>
  <si>
    <t>AEB General Configuration Area Register "RESERVED_EA8"</t>
  </si>
  <si>
    <t>aeb_gen_cfg_reserved_ea8</t>
  </si>
  <si>
    <t>t_aeb_gen_cfg_reserved_ea8_wr_reg</t>
  </si>
  <si>
    <t>AEB General Configuration Area Register "RESERVED_EAC"</t>
  </si>
  <si>
    <t>aeb_gen_cfg_reserved_eac</t>
  </si>
  <si>
    <t>t_aeb_gen_cfg_reserved_eac_wr_reg</t>
  </si>
  <si>
    <t>AEB General Configuration Area Register "RESERVED_EB0"</t>
  </si>
  <si>
    <t>aeb_gen_cfg_reserved_eb0</t>
  </si>
  <si>
    <t>t_aeb_gen_cfg_reserved_eb0_wr_reg</t>
  </si>
  <si>
    <t>AEB General Configuration Area Register "RESERVED_EB4"</t>
  </si>
  <si>
    <t>aeb_gen_cfg_reserved_eb4</t>
  </si>
  <si>
    <t>t_aeb_gen_cfg_reserved_eb4_wr_reg</t>
  </si>
  <si>
    <t>AEB General Configuration Area Register "RESERVED_EB8"</t>
  </si>
  <si>
    <t>aeb_gen_cfg_reserved_eb8</t>
  </si>
  <si>
    <t>t_aeb_gen_cfg_reserved_eb8_wr_reg</t>
  </si>
  <si>
    <t>AEB General Configuration Area Register "RESERVED_EBC"</t>
  </si>
  <si>
    <t>aeb_gen_cfg_reserved_ebc</t>
  </si>
  <si>
    <t>t_aeb_gen_cfg_reserved_ebc_wr_reg</t>
  </si>
  <si>
    <t>AEB General Configuration Area Register "RESERVED_EC0"</t>
  </si>
  <si>
    <t>aeb_gen_cfg_reserved_ec0</t>
  </si>
  <si>
    <t>t_aeb_gen_cfg_reserved_ec0_wr_reg</t>
  </si>
  <si>
    <t>AEB General Configuration Area Register "RESERVED_EC4"</t>
  </si>
  <si>
    <t>aeb_gen_cfg_reserved_ec4</t>
  </si>
  <si>
    <t>t_aeb_gen_cfg_reserved_ec4_wr_reg</t>
  </si>
  <si>
    <t>AEB General Configuration Area Register "RESERVED_EC8"</t>
  </si>
  <si>
    <t>aeb_gen_cfg_reserved_ec8</t>
  </si>
  <si>
    <t>t_aeb_gen_cfg_reserved_ec8_wr_reg</t>
  </si>
  <si>
    <t>AEB General Configuration Area Register "RESERVED_ECC"</t>
  </si>
  <si>
    <t>aeb_gen_cfg_reserved_ecc</t>
  </si>
  <si>
    <t>t_aeb_gen_cfg_reserved_ecc_wr_reg</t>
  </si>
  <si>
    <t>AEB General Configuration Area Register "RESERVED_ED0"</t>
  </si>
  <si>
    <t>aeb_gen_cfg_reserved_ed0</t>
  </si>
  <si>
    <t>t_aeb_gen_cfg_reserved_ed0_wr_reg</t>
  </si>
  <si>
    <t>AEB General Configuration Area Register "RESERVED_ED4"</t>
  </si>
  <si>
    <t>aeb_gen_cfg_reserved_ed4</t>
  </si>
  <si>
    <t>t_aeb_gen_cfg_reserved_ed4_wr_reg</t>
  </si>
  <si>
    <t>AEB General Configuration Area Register "RESERVED_ED8"</t>
  </si>
  <si>
    <t>aeb_gen_cfg_reserved_ed8</t>
  </si>
  <si>
    <t>t_aeb_gen_cfg_reserved_ed8_wr_reg</t>
  </si>
  <si>
    <t>AEB General Configuration Area Register "RESERVED_EDC"</t>
  </si>
  <si>
    <t>aeb_gen_cfg_reserved_edc</t>
  </si>
  <si>
    <t>t_aeb_gen_cfg_reserved_edc_wr_reg</t>
  </si>
  <si>
    <t>AEB General Configuration Area Register "RESERVED_EE0"</t>
  </si>
  <si>
    <t>aeb_gen_cfg_reserved_ee0</t>
  </si>
  <si>
    <t>t_aeb_gen_cfg_reserved_ee0_wr_reg</t>
  </si>
  <si>
    <t>AEB General Configuration Area Register "RESERVED_EE4"</t>
  </si>
  <si>
    <t>aeb_gen_cfg_reserved_ee4</t>
  </si>
  <si>
    <t>t_aeb_gen_cfg_reserved_ee4_wr_reg</t>
  </si>
  <si>
    <t>AEB General Configuration Area Register "RESERVED_EE8"</t>
  </si>
  <si>
    <t>aeb_gen_cfg_reserved_ee8</t>
  </si>
  <si>
    <t>t_aeb_gen_cfg_reserved_ee8_wr_reg</t>
  </si>
  <si>
    <t>AEB General Configuration Area Register "RESERVED_EEC"</t>
  </si>
  <si>
    <t>aeb_gen_cfg_reserved_eec</t>
  </si>
  <si>
    <t>t_aeb_gen_cfg_reserved_eec_wr_reg</t>
  </si>
  <si>
    <t>AEB General Configuration Area Register "RESERVED_EF0"</t>
  </si>
  <si>
    <t>aeb_gen_cfg_reserved_ef0</t>
  </si>
  <si>
    <t>t_aeb_gen_cfg_reserved_ef0_wr_reg</t>
  </si>
  <si>
    <t>AEB General Configuration Area Register "RESERVED_EF4"</t>
  </si>
  <si>
    <t>aeb_gen_cfg_reserved_ef4</t>
  </si>
  <si>
    <t>t_aeb_gen_cfg_reserved_ef4_wr_reg</t>
  </si>
  <si>
    <t>AEB General Configuration Area Register "RESERVED_EF8"</t>
  </si>
  <si>
    <t>aeb_gen_cfg_reserved_ef8</t>
  </si>
  <si>
    <t>t_aeb_gen_cfg_reserved_ef8_wr_reg</t>
  </si>
  <si>
    <t>AEB General Configuration Area Register "RESERVED_EFC"</t>
  </si>
  <si>
    <t>aeb_gen_cfg_reserved_efc</t>
  </si>
  <si>
    <t>t_aeb_gen_cfg_reserved_efc_wr_reg</t>
  </si>
  <si>
    <t>AEB General Configuration Area Register "RESERVED_F00"</t>
  </si>
  <si>
    <t>aeb_gen_cfg_reserved_f00</t>
  </si>
  <si>
    <t>t_aeb_gen_cfg_reserved_f00_wr_reg</t>
  </si>
  <si>
    <t>AEB General Configuration Area Register "RESERVED_F04"</t>
  </si>
  <si>
    <t>aeb_gen_cfg_reserved_f04</t>
  </si>
  <si>
    <t>t_aeb_gen_cfg_reserved_f04_wr_reg</t>
  </si>
  <si>
    <t>AEB General Configuration Area Register "RESERVED_F08"</t>
  </si>
  <si>
    <t>aeb_gen_cfg_reserved_f08</t>
  </si>
  <si>
    <t>t_aeb_gen_cfg_reserved_f08_wr_reg</t>
  </si>
  <si>
    <t>AEB General Configuration Area Register "RESERVED_F0C"</t>
  </si>
  <si>
    <t>aeb_gen_cfg_reserved_f0c</t>
  </si>
  <si>
    <t>t_aeb_gen_cfg_reserved_f0c_wr_reg</t>
  </si>
  <si>
    <t>AEB General Configuration Area Register "RESERVED_F10"</t>
  </si>
  <si>
    <t>aeb_gen_cfg_reserved_f10</t>
  </si>
  <si>
    <t>t_aeb_gen_cfg_reserved_f10_wr_reg</t>
  </si>
  <si>
    <t>AEB General Configuration Area Register "RESERVED_F14"</t>
  </si>
  <si>
    <t>aeb_gen_cfg_reserved_f14</t>
  </si>
  <si>
    <t>t_aeb_gen_cfg_reserved_f14_wr_reg</t>
  </si>
  <si>
    <t>AEB General Configuration Area Register "RESERVED_F18"</t>
  </si>
  <si>
    <t>aeb_gen_cfg_reserved_f18</t>
  </si>
  <si>
    <t>t_aeb_gen_cfg_reserved_f18_wr_reg</t>
  </si>
  <si>
    <t>AEB General Configuration Area Register "RESERVED_F1C"</t>
  </si>
  <si>
    <t>aeb_gen_cfg_reserved_f1c</t>
  </si>
  <si>
    <t>t_aeb_gen_cfg_reserved_f1c_wr_reg</t>
  </si>
  <si>
    <t>AEB General Configuration Area Register "RESERVED_F20"</t>
  </si>
  <si>
    <t>aeb_gen_cfg_reserved_f20</t>
  </si>
  <si>
    <t>t_aeb_gen_cfg_reserved_f20_wr_reg</t>
  </si>
  <si>
    <t>AEB General Configuration Area Register "RESERVED_F24"</t>
  </si>
  <si>
    <t>aeb_gen_cfg_reserved_f24</t>
  </si>
  <si>
    <t>t_aeb_gen_cfg_reserved_f24_wr_reg</t>
  </si>
  <si>
    <t>AEB General Configuration Area Register "RESERVED_F28"</t>
  </si>
  <si>
    <t>aeb_gen_cfg_reserved_f28</t>
  </si>
  <si>
    <t>t_aeb_gen_cfg_reserved_f28_wr_reg</t>
  </si>
  <si>
    <t>AEB General Configuration Area Register "RESERVED_F2C"</t>
  </si>
  <si>
    <t>aeb_gen_cfg_reserved_f2c</t>
  </si>
  <si>
    <t>t_aeb_gen_cfg_reserved_f2c_wr_reg</t>
  </si>
  <si>
    <t>AEB General Configuration Area Register "RESERVED_F30"</t>
  </si>
  <si>
    <t>aeb_gen_cfg_reserved_f30</t>
  </si>
  <si>
    <t>t_aeb_gen_cfg_reserved_f30_wr_reg</t>
  </si>
  <si>
    <t>AEB General Configuration Area Register "RESERVED_F34"</t>
  </si>
  <si>
    <t>aeb_gen_cfg_reserved_f34</t>
  </si>
  <si>
    <t>t_aeb_gen_cfg_reserved_f34_wr_reg</t>
  </si>
  <si>
    <t>AEB General Configuration Area Register "RESERVED_F38"</t>
  </si>
  <si>
    <t>aeb_gen_cfg_reserved_f38</t>
  </si>
  <si>
    <t>t_aeb_gen_cfg_reserved_f38_wr_reg</t>
  </si>
  <si>
    <t>AEB General Configuration Area Register "RESERVED_F3C"</t>
  </si>
  <si>
    <t>aeb_gen_cfg_reserved_f3c</t>
  </si>
  <si>
    <t>t_aeb_gen_cfg_reserved_f3c_wr_reg</t>
  </si>
  <si>
    <t>AEB General Configuration Area Register "RESERVED_F40"</t>
  </si>
  <si>
    <t>aeb_gen_cfg_reserved_f40</t>
  </si>
  <si>
    <t>t_aeb_gen_cfg_reserved_f40_wr_reg</t>
  </si>
  <si>
    <t>AEB General Configuration Area Register "RESERVED_F44"</t>
  </si>
  <si>
    <t>aeb_gen_cfg_reserved_f44</t>
  </si>
  <si>
    <t>t_aeb_gen_cfg_reserved_f44_wr_reg</t>
  </si>
  <si>
    <t>AEB General Configuration Area Register "RESERVED_F48"</t>
  </si>
  <si>
    <t>aeb_gen_cfg_reserved_f48</t>
  </si>
  <si>
    <t>t_aeb_gen_cfg_reserved_f48_wr_reg</t>
  </si>
  <si>
    <t>AEB General Configuration Area Register "RESERVED_F4C"</t>
  </si>
  <si>
    <t>aeb_gen_cfg_reserved_f4c</t>
  </si>
  <si>
    <t>t_aeb_gen_cfg_reserved_f4c_wr_reg</t>
  </si>
  <si>
    <t>AEB General Configuration Area Register "RESERVED_F50"</t>
  </si>
  <si>
    <t>aeb_gen_cfg_reserved_f50</t>
  </si>
  <si>
    <t>t_aeb_gen_cfg_reserved_f50_wr_reg</t>
  </si>
  <si>
    <t>AEB General Configuration Area Register "RESERVED_F54"</t>
  </si>
  <si>
    <t>aeb_gen_cfg_reserved_f54</t>
  </si>
  <si>
    <t>t_aeb_gen_cfg_reserved_f54_wr_reg</t>
  </si>
  <si>
    <t>AEB General Configuration Area Register "RESERVED_F58"</t>
  </si>
  <si>
    <t>aeb_gen_cfg_reserved_f58</t>
  </si>
  <si>
    <t>t_aeb_gen_cfg_reserved_f58_wr_reg</t>
  </si>
  <si>
    <t>AEB General Configuration Area Register "RESERVED_F5C"</t>
  </si>
  <si>
    <t>aeb_gen_cfg_reserved_f5c</t>
  </si>
  <si>
    <t>t_aeb_gen_cfg_reserved_f5c_wr_reg</t>
  </si>
  <si>
    <t>AEB General Configuration Area Register "RESERVED_F60"</t>
  </si>
  <si>
    <t>aeb_gen_cfg_reserved_f60</t>
  </si>
  <si>
    <t>t_aeb_gen_cfg_reserved_f60_wr_reg</t>
  </si>
  <si>
    <t>AEB General Configuration Area Register "RESERVED_F64"</t>
  </si>
  <si>
    <t>aeb_gen_cfg_reserved_f64</t>
  </si>
  <si>
    <t>t_aeb_gen_cfg_reserved_f64_wr_reg</t>
  </si>
  <si>
    <t>AEB General Configuration Area Register "RESERVED_F68"</t>
  </si>
  <si>
    <t>aeb_gen_cfg_reserved_f68</t>
  </si>
  <si>
    <t>t_aeb_gen_cfg_reserved_f68_wr_reg</t>
  </si>
  <si>
    <t>AEB General Configuration Area Register "RESERVED_F6C"</t>
  </si>
  <si>
    <t>aeb_gen_cfg_reserved_f6c</t>
  </si>
  <si>
    <t>t_aeb_gen_cfg_reserved_f6c_wr_reg</t>
  </si>
  <si>
    <t>AEB General Configuration Area Register "RESERVED_F70"</t>
  </si>
  <si>
    <t>aeb_gen_cfg_reserved_f70</t>
  </si>
  <si>
    <t>t_aeb_gen_cfg_reserved_f70_wr_reg</t>
  </si>
  <si>
    <t>AEB General Configuration Area Register "RESERVED_F74"</t>
  </si>
  <si>
    <t>aeb_gen_cfg_reserved_f74</t>
  </si>
  <si>
    <t>t_aeb_gen_cfg_reserved_f74_wr_reg</t>
  </si>
  <si>
    <t>AEB General Configuration Area Register "RESERVED_F78"</t>
  </si>
  <si>
    <t>aeb_gen_cfg_reserved_f78</t>
  </si>
  <si>
    <t>t_aeb_gen_cfg_reserved_f78_wr_reg</t>
  </si>
  <si>
    <t>AEB General Configuration Area Register "RESERVED_F7C"</t>
  </si>
  <si>
    <t>aeb_gen_cfg_reserved_f7c</t>
  </si>
  <si>
    <t>t_aeb_gen_cfg_reserved_f7c_wr_reg</t>
  </si>
  <si>
    <t>AEB General Configuration Area Register "RESERVED_F80"</t>
  </si>
  <si>
    <t>aeb_gen_cfg_reserved_f80</t>
  </si>
  <si>
    <t>t_aeb_gen_cfg_reserved_f80_wr_reg</t>
  </si>
  <si>
    <t>AEB General Configuration Area Register "RESERVED_F84"</t>
  </si>
  <si>
    <t>aeb_gen_cfg_reserved_f84</t>
  </si>
  <si>
    <t>t_aeb_gen_cfg_reserved_f84_wr_reg</t>
  </si>
  <si>
    <t>AEB General Configuration Area Register "RESERVED_F88"</t>
  </si>
  <si>
    <t>aeb_gen_cfg_reserved_f88</t>
  </si>
  <si>
    <t>t_aeb_gen_cfg_reserved_f88_wr_reg</t>
  </si>
  <si>
    <t>AEB General Configuration Area Register "RESERVED_F8C"</t>
  </si>
  <si>
    <t>aeb_gen_cfg_reserved_f8c</t>
  </si>
  <si>
    <t>t_aeb_gen_cfg_reserved_f8c_wr_reg</t>
  </si>
  <si>
    <t>AEB General Configuration Area Register "RESERVED_F90"</t>
  </si>
  <si>
    <t>aeb_gen_cfg_reserved_f90</t>
  </si>
  <si>
    <t>t_aeb_gen_cfg_reserved_f90_wr_reg</t>
  </si>
  <si>
    <t>AEB General Configuration Area Register "RESERVED_F94"</t>
  </si>
  <si>
    <t>aeb_gen_cfg_reserved_f94</t>
  </si>
  <si>
    <t>t_aeb_gen_cfg_reserved_f94_wr_reg</t>
  </si>
  <si>
    <t>AEB General Configuration Area Register "RESERVED_F98"</t>
  </si>
  <si>
    <t>aeb_gen_cfg_reserved_f98</t>
  </si>
  <si>
    <t>t_aeb_gen_cfg_reserved_f98_wr_reg</t>
  </si>
  <si>
    <t>AEB General Configuration Area Register "RESERVED_F9C"</t>
  </si>
  <si>
    <t>aeb_gen_cfg_reserved_f9c</t>
  </si>
  <si>
    <t>t_aeb_gen_cfg_reserved_f9c_wr_reg</t>
  </si>
  <si>
    <t>AEB General Configuration Area Register "RESERVED_FA0"</t>
  </si>
  <si>
    <t>aeb_gen_cfg_reserved_fa0</t>
  </si>
  <si>
    <t>t_aeb_gen_cfg_reserved_fa0_wr_reg</t>
  </si>
  <si>
    <t>AEB General Configuration Area Register "RESERVED_FA4"</t>
  </si>
  <si>
    <t>aeb_gen_cfg_reserved_fa4</t>
  </si>
  <si>
    <t>t_aeb_gen_cfg_reserved_fa4_wr_reg</t>
  </si>
  <si>
    <t>AEB General Configuration Area Register "RESERVED_FA8"</t>
  </si>
  <si>
    <t>aeb_gen_cfg_reserved_fa8</t>
  </si>
  <si>
    <t>t_aeb_gen_cfg_reserved_fa8_wr_reg</t>
  </si>
  <si>
    <t>AEB General Configuration Area Register "RESERVED_FAC"</t>
  </si>
  <si>
    <t>aeb_gen_cfg_reserved_fac</t>
  </si>
  <si>
    <t>t_aeb_gen_cfg_reserved_fac_wr_reg</t>
  </si>
  <si>
    <t>AEB General Configuration Area Register "RESERVED_FB0"</t>
  </si>
  <si>
    <t>aeb_gen_cfg_reserved_fb0</t>
  </si>
  <si>
    <t>t_aeb_gen_cfg_reserved_fb0_wr_reg</t>
  </si>
  <si>
    <t>AEB General Configuration Area Register "RESERVED_FB4"</t>
  </si>
  <si>
    <t>aeb_gen_cfg_reserved_fb4</t>
  </si>
  <si>
    <t>t_aeb_gen_cfg_reserved_fb4_wr_reg</t>
  </si>
  <si>
    <t>AEB General Configuration Area Register "RESERVED_FB8"</t>
  </si>
  <si>
    <t>aeb_gen_cfg_reserved_fb8</t>
  </si>
  <si>
    <t>t_aeb_gen_cfg_reserved_fb8_wr_reg</t>
  </si>
  <si>
    <t>AEB General Configuration Area Register "RESERVED_FBC"</t>
  </si>
  <si>
    <t>aeb_gen_cfg_reserved_fbc</t>
  </si>
  <si>
    <t>t_aeb_gen_cfg_reserved_fbc_wr_reg</t>
  </si>
  <si>
    <t>AEB General Configuration Area Register "RESERVED_FC0"</t>
  </si>
  <si>
    <t>aeb_gen_cfg_reserved_fc0</t>
  </si>
  <si>
    <t>t_aeb_gen_cfg_reserved_fc0_wr_reg</t>
  </si>
  <si>
    <t>AEB General Configuration Area Register "RESERVED_FC4"</t>
  </si>
  <si>
    <t>aeb_gen_cfg_reserved_fc4</t>
  </si>
  <si>
    <t>t_aeb_gen_cfg_reserved_fc4_wr_reg</t>
  </si>
  <si>
    <t>AEB General Configuration Area Register "RESERVED_FC8"</t>
  </si>
  <si>
    <t>aeb_gen_cfg_reserved_fc8</t>
  </si>
  <si>
    <t>t_aeb_gen_cfg_reserved_fc8_wr_reg</t>
  </si>
  <si>
    <t>AEB General Configuration Area Register "RESERVED_FCC"</t>
  </si>
  <si>
    <t>aeb_gen_cfg_reserved_fcc</t>
  </si>
  <si>
    <t>t_aeb_gen_cfg_reserved_fcc_wr_reg</t>
  </si>
  <si>
    <t>AEB General Configuration Area Register "RESERVED_FD0"</t>
  </si>
  <si>
    <t>aeb_gen_cfg_reserved_fd0</t>
  </si>
  <si>
    <t>t_aeb_gen_cfg_reserved_fd0_wr_reg</t>
  </si>
  <si>
    <t>AEB General Configuration Area Register "RESERVED_FD4"</t>
  </si>
  <si>
    <t>aeb_gen_cfg_reserved_fd4</t>
  </si>
  <si>
    <t>t_aeb_gen_cfg_reserved_fd4_wr_reg</t>
  </si>
  <si>
    <t>AEB General Configuration Area Register "RESERVED_FD8"</t>
  </si>
  <si>
    <t>aeb_gen_cfg_reserved_fd8</t>
  </si>
  <si>
    <t>t_aeb_gen_cfg_reserved_fd8_wr_reg</t>
  </si>
  <si>
    <t>AEB General Configuration Area Register "RESERVED_FDC"</t>
  </si>
  <si>
    <t>aeb_gen_cfg_reserved_fdc</t>
  </si>
  <si>
    <t>t_aeb_gen_cfg_reserved_fdc_wr_reg</t>
  </si>
  <si>
    <t>AEB General Configuration Area Register "RESERVED_FE0"</t>
  </si>
  <si>
    <t>aeb_gen_cfg_reserved_fe0</t>
  </si>
  <si>
    <t>t_aeb_gen_cfg_reserved_fe0_wr_reg</t>
  </si>
  <si>
    <t>AEB General Configuration Area Register "RESERVED_FE4"</t>
  </si>
  <si>
    <t>aeb_gen_cfg_reserved_fe4</t>
  </si>
  <si>
    <t>t_aeb_gen_cfg_reserved_fe4_wr_reg</t>
  </si>
  <si>
    <t>AEB General Configuration Area Register "RESERVED_FE8"</t>
  </si>
  <si>
    <t>aeb_gen_cfg_reserved_fe8</t>
  </si>
  <si>
    <t>t_aeb_gen_cfg_reserved_fe8_wr_reg</t>
  </si>
  <si>
    <t>AEB General Configuration Area Register "RESERVED_FEC"</t>
  </si>
  <si>
    <t>aeb_gen_cfg_reserved_fec</t>
  </si>
  <si>
    <t>t_aeb_gen_cfg_reserved_fec_wr_reg</t>
  </si>
  <si>
    <t>AEB General Configuration Area Register "RESERVED_FF0"</t>
  </si>
  <si>
    <t>aeb_gen_cfg_reserved_ff0</t>
  </si>
  <si>
    <t>t_aeb_gen_cfg_reserved_ff0_wr_reg</t>
  </si>
  <si>
    <t>AEB General Configuration Area Register "RESERVED_FF4"</t>
  </si>
  <si>
    <t>aeb_gen_cfg_reserved_ff4</t>
  </si>
  <si>
    <t>t_aeb_gen_cfg_reserved_ff4_wr_reg</t>
  </si>
  <si>
    <t>AEB General Configuration Area Register "RESERVED_FF8"</t>
  </si>
  <si>
    <t>aeb_gen_cfg_reserved_ff8</t>
  </si>
  <si>
    <t>t_aeb_gen_cfg_reserved_ff8_wr_reg</t>
  </si>
  <si>
    <t>AEB General Configuration Area Register "RESERVED_FFC"</t>
  </si>
  <si>
    <t>aeb_gen_cfg_reserved_ffc</t>
  </si>
  <si>
    <t>t_aeb_gen_cfg_reserved_ffc_wr_reg</t>
  </si>
  <si>
    <t>AEB Housekeeping Area Register "AEB_STATUS"</t>
  </si>
  <si>
    <t>"AEB_STATUS" Field</t>
  </si>
  <si>
    <t>aeb_hk_aeb_status</t>
  </si>
  <si>
    <t>t_aeb_hk_aeb_status_wr_reg</t>
  </si>
  <si>
    <t>aeb_status</t>
  </si>
  <si>
    <t>"VASP2_CFG_RUN" Field</t>
  </si>
  <si>
    <t>vasp2_cfg_run</t>
  </si>
  <si>
    <t>"VASP1_CFG_RUN" Field</t>
  </si>
  <si>
    <t>vasp1_cfg_run</t>
  </si>
  <si>
    <t>"DAC_CFG_WR_RUN" Field</t>
  </si>
  <si>
    <t>dac_cfg_wr_run</t>
  </si>
  <si>
    <t>"ADC_CFG_RD_RUN" Field</t>
  </si>
  <si>
    <t>adc_cfg_rd_run</t>
  </si>
  <si>
    <t>"ADC_CFG_WR_RUN" Field</t>
  </si>
  <si>
    <t>adc_cfg_wr_run</t>
  </si>
  <si>
    <t>"ADC_DAT_RD_RUN" Field</t>
  </si>
  <si>
    <t>adc_dat_rd_run</t>
  </si>
  <si>
    <t>"ADC_ERROR" Field</t>
  </si>
  <si>
    <t>adc_error</t>
  </si>
  <si>
    <t>"ADC2_LU" Field</t>
  </si>
  <si>
    <t>adc2_lu</t>
  </si>
  <si>
    <t>"ADC1_LU" Field</t>
  </si>
  <si>
    <t>adc1_lu</t>
  </si>
  <si>
    <t>"ADC_DAT_RD" Field</t>
  </si>
  <si>
    <t>adc_dat_rd</t>
  </si>
  <si>
    <t>"ADC2_BUSY" Field</t>
  </si>
  <si>
    <t>adc2_busy</t>
  </si>
  <si>
    <t>"ADC1_BUSY" Field</t>
  </si>
  <si>
    <t>adc1_busy</t>
  </si>
  <si>
    <t>AEB Housekeeping Area Register "TIMESTAMP_1"</t>
  </si>
  <si>
    <t>"TIMESTAMP_DWORD_1" Field</t>
  </si>
  <si>
    <t>aeb_hk_timestamp_1</t>
  </si>
  <si>
    <t>t_aeb_hk_timestamp_1_wr_reg</t>
  </si>
  <si>
    <t>timestamp_dword_1</t>
  </si>
  <si>
    <t>AEB Housekeeping Area Register "TIMESTAMP_2"</t>
  </si>
  <si>
    <t>"TIMESTAMP_DWORD_0" Field</t>
  </si>
  <si>
    <t>aeb_hk_timestamp_2</t>
  </si>
  <si>
    <t>t_aeb_hk_timestamp_2_wr_reg</t>
  </si>
  <si>
    <t>timestamp_dword_0</t>
  </si>
  <si>
    <t>AEB Housekeeping Area Register "ADC_RD_DATA_T_VASP_L"</t>
  </si>
  <si>
    <t>"NEW" Field</t>
  </si>
  <si>
    <t>aeb_hk_adc_rd_data_t_vasp_l</t>
  </si>
  <si>
    <t>t_aeb_hk_adc_rd_data_t_vasp_l_wr_reg</t>
  </si>
  <si>
    <t>"OVF" Field</t>
  </si>
  <si>
    <t>ovf</t>
  </si>
  <si>
    <t>"SUPPLY" Field</t>
  </si>
  <si>
    <t>supply</t>
  </si>
  <si>
    <t>"CHID" Field</t>
  </si>
  <si>
    <t>chid</t>
  </si>
  <si>
    <t>"ADC_CHX_DATA_T_VASP_L" Field</t>
  </si>
  <si>
    <t>adc_chx_data_t_vasp_l</t>
  </si>
  <si>
    <t>AEB Housekeeping Area Register "ADC_RD_DATA_T_VASP_R"</t>
  </si>
  <si>
    <t>aeb_hk_adc_rd_data_t_vasp_r</t>
  </si>
  <si>
    <t>t_aeb_hk_adc_rd_data_t_vasp_r_wr_reg</t>
  </si>
  <si>
    <t>"ADC_CHX_DATA_T_VASP_R" Field</t>
  </si>
  <si>
    <t>adc_chx_data_t_vasp_r</t>
  </si>
  <si>
    <t>AEB Housekeeping Area Register "ADC_RD_DATA_T_BIAS_P"</t>
  </si>
  <si>
    <t>aeb_hk_adc_rd_data_t_bias_p</t>
  </si>
  <si>
    <t>t_aeb_hk_adc_rd_data_t_bias_p_wr_reg</t>
  </si>
  <si>
    <t>"ADC_CHX_DATA_T_BIAS_P" Field</t>
  </si>
  <si>
    <t>adc_chx_data_t_bias_p</t>
  </si>
  <si>
    <t>AEB Housekeeping Area Register "ADC_RD_DATA_T_HK_P"</t>
  </si>
  <si>
    <t>aeb_hk_adc_rd_data_t_hk_p</t>
  </si>
  <si>
    <t>t_aeb_hk_adc_rd_data_t_hk_p_wr_reg</t>
  </si>
  <si>
    <t>"ADC_CHX_DATA_T_HK_P" Field</t>
  </si>
  <si>
    <t>adc_chx_data_t_hk_p</t>
  </si>
  <si>
    <t>AEB Housekeeping Area Register "ADC_RD_DATA_T_TOU_1_P"</t>
  </si>
  <si>
    <t>aeb_hk_adc_rd_data_t_tou_1_p</t>
  </si>
  <si>
    <t>t_aeb_hk_adc_rd_data_t_tou_1_p_wr_reg</t>
  </si>
  <si>
    <t>"ADC_CHX_DATA_T_TOU_1_P" Field</t>
  </si>
  <si>
    <t>adc_chx_data_t_tou_1_p</t>
  </si>
  <si>
    <t>AEB Housekeeping Area Register "ADC_RD_DATA_T_TOU_2_P"</t>
  </si>
  <si>
    <t>aeb_hk_adc_rd_data_t_tou_2_p</t>
  </si>
  <si>
    <t>t_aeb_hk_adc_rd_data_t_tou_2_p_wr_reg</t>
  </si>
  <si>
    <t>"ADC_CHX_DATA_T_TOU_2_P" Field</t>
  </si>
  <si>
    <t>adc_chx_data_t_tou_2_p</t>
  </si>
  <si>
    <t>AEB Housekeeping Area Register "ADC_RD_DATA_HK_VODE"</t>
  </si>
  <si>
    <t>aeb_hk_adc_rd_data_hk_vode</t>
  </si>
  <si>
    <t>t_aeb_hk_adc_rd_data_hk_vode_wr_reg</t>
  </si>
  <si>
    <t>"ADC_CHX_DATA_HK_VODE" Field</t>
  </si>
  <si>
    <t>adc_chx_data_hk_vode</t>
  </si>
  <si>
    <t>AEB Housekeeping Area Register "ADC_RD_DATA_HK_VODF"</t>
  </si>
  <si>
    <t>aeb_hk_adc_rd_data_hk_vodf</t>
  </si>
  <si>
    <t>t_aeb_hk_adc_rd_data_hk_vodf_wr_reg</t>
  </si>
  <si>
    <t>"ADC_CHX_DATA_HK_VODF" Field</t>
  </si>
  <si>
    <t>adc_chx_data_hk_vodf</t>
  </si>
  <si>
    <t>AEB Housekeeping Area Register "ADC_RD_DATA_HK_VRD"</t>
  </si>
  <si>
    <t>aeb_hk_adc_rd_data_hk_vrd</t>
  </si>
  <si>
    <t>t_aeb_hk_adc_rd_data_hk_vrd_wr_reg</t>
  </si>
  <si>
    <t>"ADC_CHX_DATA_HK_VRD" Field</t>
  </si>
  <si>
    <t>adc_chx_data_hk_vrd</t>
  </si>
  <si>
    <t>AEB Housekeeping Area Register "ADC_RD_DATA_HK_VOG"</t>
  </si>
  <si>
    <t>aeb_hk_adc_rd_data_hk_vog</t>
  </si>
  <si>
    <t>t_aeb_hk_adc_rd_data_hk_vog_wr_reg</t>
  </si>
  <si>
    <t>"ADC_CHX_DATA_HK_VOG" Field</t>
  </si>
  <si>
    <t>adc_chx_data_hk_vog</t>
  </si>
  <si>
    <t>AEB Housekeeping Area Register "ADC_RD_DATA_T_CCD"</t>
  </si>
  <si>
    <t>aeb_hk_adc_rd_data_t_ccd</t>
  </si>
  <si>
    <t>t_aeb_hk_adc_rd_data_t_ccd_wr_reg</t>
  </si>
  <si>
    <t>"ADC_CHX_DATA_T_CCD" Field</t>
  </si>
  <si>
    <t>adc_chx_data_t_ccd</t>
  </si>
  <si>
    <t>AEB Housekeeping Area Register "ADC_RD_DATA_T_REF1K_MEA"</t>
  </si>
  <si>
    <t>aeb_hk_adc_rd_data_t_ref1k_mea</t>
  </si>
  <si>
    <t>t_aeb_hk_adc_rd_data_t_ref1k_mea_wr_reg</t>
  </si>
  <si>
    <t>"ADC_CHX_DATA_T_REF1K_MEA" Field</t>
  </si>
  <si>
    <t>adc_chx_data_t_ref1k_mea</t>
  </si>
  <si>
    <t>AEB Housekeeping Area Register "ADC_RD_DATA_T_REF649R_MEA"</t>
  </si>
  <si>
    <t>aeb_hk_adc_rd_data_t_ref649r_mea</t>
  </si>
  <si>
    <t>t_aeb_hk_adc_rd_data_t_ref649r_mea_wr_reg</t>
  </si>
  <si>
    <t>"ADC_CHX_DATA_T_REF649R_MEA" Field</t>
  </si>
  <si>
    <t>adc_chx_data_t_ref649r_mea</t>
  </si>
  <si>
    <t>AEB Housekeeping Area Register "ADC_RD_DATA_HK_ANA_N5V"</t>
  </si>
  <si>
    <t>aeb_hk_adc_rd_data_hk_ana_n5v</t>
  </si>
  <si>
    <t>t_aeb_hk_adc_rd_data_hk_ana_n5v_wr_reg</t>
  </si>
  <si>
    <t>"ADC_CHX_DATA_HK_ANA_N5V" Field</t>
  </si>
  <si>
    <t>adc_chx_data_hk_ana_n5v</t>
  </si>
  <si>
    <t>AEB Housekeeping Area Register "ADC_RD_DATA_S_REF"</t>
  </si>
  <si>
    <t>aeb_hk_adc_rd_data_s_ref</t>
  </si>
  <si>
    <t>t_aeb_hk_adc_rd_data_s_ref_wr_reg</t>
  </si>
  <si>
    <t>"ADC_CHX_DATA_S_REF" Field</t>
  </si>
  <si>
    <t>adc_chx_data_s_ref</t>
  </si>
  <si>
    <t>AEB Housekeeping Area Register "ADC_RD_DATA_HK_CCD_P31V"</t>
  </si>
  <si>
    <t>aeb_hk_adc_rd_data_hk_ccd_p31v</t>
  </si>
  <si>
    <t>t_aeb_hk_adc_rd_data_hk_ccd_p31v_wr_reg</t>
  </si>
  <si>
    <t>"ADC_CHX_DATA_HK_CCD_P31V" Field</t>
  </si>
  <si>
    <t>adc_chx_data_hk_ccd_p31v</t>
  </si>
  <si>
    <t>AEB Housekeeping Area Register "ADC_RD_DATA_HK_CLK_P15V"</t>
  </si>
  <si>
    <t>aeb_hk_adc_rd_data_hk_clk_p15v</t>
  </si>
  <si>
    <t>t_aeb_hk_adc_rd_data_hk_clk_p15v_wr_reg</t>
  </si>
  <si>
    <t>"ADC_CHX_DATA_HK_CLK_P15V" Field</t>
  </si>
  <si>
    <t>adc_chx_data_hk_clk_p15v</t>
  </si>
  <si>
    <t>AEB Housekeeping Area Register "ADC_RD_DATA_HK_ANA_P5V"</t>
  </si>
  <si>
    <t>aeb_hk_adc_rd_data_hk_ana_p5v</t>
  </si>
  <si>
    <t>t_aeb_hk_adc_rd_data_hk_ana_p5v_wr_reg</t>
  </si>
  <si>
    <t>"ADC_CHX_DATA_HK_ANA_P5V" Field</t>
  </si>
  <si>
    <t>adc_chx_data_hk_ana_p5v</t>
  </si>
  <si>
    <t>AEB Housekeeping Area Register "ADC_RD_DATA_HK_ANA_P3V3"</t>
  </si>
  <si>
    <t>aeb_hk_adc_rd_data_hk_ana_p3v3</t>
  </si>
  <si>
    <t>t_aeb_hk_adc_rd_data_hk_ana_p3v3_wr_reg</t>
  </si>
  <si>
    <t>"ADC_CHX_DATA_HK_ANA_P3V3" Field</t>
  </si>
  <si>
    <t>adc_chx_data_hk_ana_p3v3</t>
  </si>
  <si>
    <t>AEB Housekeeping Area Register "ADC_RD_DATA_HK_DIG_P3V3"</t>
  </si>
  <si>
    <t>aeb_hk_adc_rd_data_hk_dig_p3v3</t>
  </si>
  <si>
    <t>t_aeb_hk_adc_rd_data_hk_dig_p3v3_wr_reg</t>
  </si>
  <si>
    <t>"ADC_CHX_DATA_HK_DIG_P3V3" Field</t>
  </si>
  <si>
    <t>adc_chx_data_hk_dig_p3v3</t>
  </si>
  <si>
    <t>AEB Housekeeping Area Register "ADC_RD_DATA_ADC_REF_BUF_2"</t>
  </si>
  <si>
    <t>aeb_hk_adc_rd_data_adc_ref_buf_2</t>
  </si>
  <si>
    <t>t_aeb_hk_adc_rd_data_adc_ref_buf_2_wr_reg</t>
  </si>
  <si>
    <t>"ADC_CHX_DATA_ADC_REF_BUF_2" Field</t>
  </si>
  <si>
    <t>adc_chx_data_adc_ref_buf_2</t>
  </si>
  <si>
    <t>AEB Housekeeping Area Register "ADC1_RD_CONFIG_1"</t>
  </si>
  <si>
    <t>aeb_hk_adc1_rd_config_1</t>
  </si>
  <si>
    <t>t_aeb_hk_adc1_rd_config_1_wr_reg</t>
  </si>
  <si>
    <t>"DLY2" Field</t>
  </si>
  <si>
    <t>dly2</t>
  </si>
  <si>
    <t>"DLY1" Field</t>
  </si>
  <si>
    <t>dly1</t>
  </si>
  <si>
    <t>"DLY0" Field</t>
  </si>
  <si>
    <t>dly0</t>
  </si>
  <si>
    <t>"SBCS1" Field</t>
  </si>
  <si>
    <t>sbcs1</t>
  </si>
  <si>
    <t>"SBCS0" Field</t>
  </si>
  <si>
    <t>sbcs0</t>
  </si>
  <si>
    <t>"DRATE1" Field</t>
  </si>
  <si>
    <t>drate1</t>
  </si>
  <si>
    <t>"DRATE0" Field</t>
  </si>
  <si>
    <t>drate0</t>
  </si>
  <si>
    <t>"AINP3" Field</t>
  </si>
  <si>
    <t>ainp3</t>
  </si>
  <si>
    <t>"AINP2" Field</t>
  </si>
  <si>
    <t>ainp2</t>
  </si>
  <si>
    <t>"AINP1" Field</t>
  </si>
  <si>
    <t>ainp1</t>
  </si>
  <si>
    <t>"AINP0" Field</t>
  </si>
  <si>
    <t>ainp0</t>
  </si>
  <si>
    <t>"AINN3" Field</t>
  </si>
  <si>
    <t>ainn3</t>
  </si>
  <si>
    <t>"AINN2" Field</t>
  </si>
  <si>
    <t>ainn2</t>
  </si>
  <si>
    <t>"AINN1" Field</t>
  </si>
  <si>
    <t>ainn1</t>
  </si>
  <si>
    <t>"AINN0" Field</t>
  </si>
  <si>
    <t>ainn0</t>
  </si>
  <si>
    <t>"DIFF7" Field</t>
  </si>
  <si>
    <t>diff7</t>
  </si>
  <si>
    <t>"DIFF6" Field</t>
  </si>
  <si>
    <t>diff6</t>
  </si>
  <si>
    <t>"DIFF5" Field</t>
  </si>
  <si>
    <t>diff5</t>
  </si>
  <si>
    <t>"DIFF4" Field</t>
  </si>
  <si>
    <t>diff4</t>
  </si>
  <si>
    <t>"DIFF3" Field</t>
  </si>
  <si>
    <t>diff3</t>
  </si>
  <si>
    <t>"DIFF2" Field</t>
  </si>
  <si>
    <t>diff2</t>
  </si>
  <si>
    <t>"DIFF1" Field</t>
  </si>
  <si>
    <t>diff1</t>
  </si>
  <si>
    <t>"DIFF0" Field</t>
  </si>
  <si>
    <t>diff0</t>
  </si>
  <si>
    <t>AEB Housekeeping Area Register "ADC1_RD_CONFIG_2"</t>
  </si>
  <si>
    <t>aeb_hk_adc1_rd_config_2</t>
  </si>
  <si>
    <t>t_aeb_hk_adc1_rd_config_2_wr_reg</t>
  </si>
  <si>
    <t>AEB Housekeeping Area Register "ADC1_RD_CONFIG_3"</t>
  </si>
  <si>
    <t>aeb_hk_adc1_rd_config_3</t>
  </si>
  <si>
    <t>t_aeb_hk_adc1_rd_config_3_wr_reg</t>
  </si>
  <si>
    <t>AEB Housekeeping Area Register "ADC2_RD_CONFIG_1"</t>
  </si>
  <si>
    <t>aeb_hk_adc2_rd_config_1</t>
  </si>
  <si>
    <t>t_aeb_hk_adc2_rd_config_1_wr_reg</t>
  </si>
  <si>
    <t>AEB Housekeeping Area Register "ADC2_RD_CONFIG_2"</t>
  </si>
  <si>
    <t>aeb_hk_adc2_rd_config_2</t>
  </si>
  <si>
    <t>t_aeb_hk_adc2_rd_config_2_wr_reg</t>
  </si>
  <si>
    <t>AEB Housekeeping Area Register "ADC2_RD_CONFIG_3"</t>
  </si>
  <si>
    <t>aeb_hk_adc2_rd_config_3</t>
  </si>
  <si>
    <t>t_aeb_hk_adc2_rd_config_3_wr_reg</t>
  </si>
  <si>
    <t>AEB Housekeeping Area Register "VASP_RD_CONFIG"</t>
  </si>
  <si>
    <t>"VASP1_READ_DATA" Field</t>
  </si>
  <si>
    <t>aeb_hk_vasp_rd_config</t>
  </si>
  <si>
    <t>t_aeb_hk_vasp_rd_config_wr_reg</t>
  </si>
  <si>
    <t>vasp1_read_data</t>
  </si>
  <si>
    <t>"VASP2_READ_DATA" Field</t>
  </si>
  <si>
    <t>vasp2_read_data</t>
  </si>
  <si>
    <t>AEB Housekeeping Area Register "REVISION_ID_1"</t>
  </si>
  <si>
    <t>"FPGA_VERSION" Field</t>
  </si>
  <si>
    <t>aeb_hk_revision_id_1</t>
  </si>
  <si>
    <t>t_aeb_hk_revision_id_1_wr_reg</t>
  </si>
  <si>
    <t>fpga_version</t>
  </si>
  <si>
    <t>"FPGA_DATE" Field</t>
  </si>
  <si>
    <t>fpga_date</t>
  </si>
  <si>
    <t>AEB Housekeeping Area Register "REVISION_ID_2"</t>
  </si>
  <si>
    <t>"FPGA_TIME_H" Field</t>
  </si>
  <si>
    <t>aeb_hk_revision_id_2</t>
  </si>
  <si>
    <t>t_aeb_hk_revision_id_2_wr_reg</t>
  </si>
  <si>
    <t>fpga_time_h</t>
  </si>
  <si>
    <t>"FPGA_TIME_M" Field</t>
  </si>
  <si>
    <t>fpga_time_m</t>
  </si>
  <si>
    <t>"FPGA_SVN" Field</t>
  </si>
  <si>
    <t>fpga_svn</t>
  </si>
  <si>
    <t>c_FARM_AVALON_MM_FFEE_AEB_RMAP_MAX_ADDR</t>
  </si>
  <si>
    <t>c_FARM_AVALON_MM_FFEE_AEB_RMAP_MIN_ADDR</t>
  </si>
  <si>
    <t>constant c_FARM_AVALON_MM_FFEE_AEB_RMAP_MIN_ADDR : natural range 0 to 2047 := 16#000#;</t>
  </si>
  <si>
    <t>constant c_FARM_AVALON_MM_FFEE_AEB_RMAP_MAX_ADDR : natural range 0 to 2047 := 16#5BB#;</t>
  </si>
  <si>
    <t>-- AEB Critical Configuration Area Register "AEB_CONFIG_AIT"</t>
  </si>
  <si>
    <t>type t_aeb_crit_cfg_aeb_config_ait_wr_reg is record</t>
  </si>
  <si>
    <t xml:space="preserve">  override_sw : std_logic; -- "OVERRIDE_SW" Field</t>
  </si>
  <si>
    <t xml:space="preserve">  reserved_0 : std_logic_vector(1 downto 0); -- "RESERVED_0" Field</t>
  </si>
  <si>
    <t xml:space="preserve">  sw_van3 : std_logic; -- "SW_VAN3" Field</t>
  </si>
  <si>
    <t xml:space="preserve">  sw_van2 : std_logic; -- "SW_VAN2" Field</t>
  </si>
  <si>
    <t xml:space="preserve">  sw_van1 : std_logic; -- "SW_VAN1" Field</t>
  </si>
  <si>
    <t xml:space="preserve">  sw_vclk : std_logic; -- "SW_VCLK" Field</t>
  </si>
  <si>
    <t xml:space="preserve">  sw_vccd : std_logic; -- "SW_VCCD" Field</t>
  </si>
  <si>
    <t xml:space="preserve">  override_vasp : std_logic; -- "OVERRIDE_VASP" Field</t>
  </si>
  <si>
    <t xml:space="preserve">  reserved_1 : std_logic; -- "RESERVED_1" Field</t>
  </si>
  <si>
    <t xml:space="preserve">  vasp2_pix_en : std_logic; -- "VASP2_PIX_EN" Field</t>
  </si>
  <si>
    <t xml:space="preserve">  vasp1_pix_en : std_logic; -- "VASP1_PIX_EN" Field</t>
  </si>
  <si>
    <t xml:space="preserve">  vasp2_adc_en : std_logic; -- "VASP2_ADC_EN" Field</t>
  </si>
  <si>
    <t xml:space="preserve">  vasp1_adc_en : std_logic; -- "VASP1_ADC_EN" Field</t>
  </si>
  <si>
    <t xml:space="preserve">  vasp2_reset : std_logic; -- "VASP2_RESET" Field</t>
  </si>
  <si>
    <t xml:space="preserve">  vasp1_reset : std_logic; -- "VASP1_RESET" Field</t>
  </si>
  <si>
    <t xml:space="preserve">  override_adc : std_logic; -- "OVERRIDE_ADC" Field</t>
  </si>
  <si>
    <t xml:space="preserve">  adc2_en_p5v0 : std_logic; -- "ADC2_EN_P5V0" Field</t>
  </si>
  <si>
    <t xml:space="preserve">  adc1_en_p5v0 : std_logic; -- "ADC1_EN_P5V0" Field</t>
  </si>
  <si>
    <t xml:space="preserve">  pt1000_cal_on_n : std_logic; -- "PT1000_CAL_ON_N" Field</t>
  </si>
  <si>
    <t xml:space="preserve">  en_v_mux_n : std_logic; -- "EN_V_MUX_N" Field</t>
  </si>
  <si>
    <t xml:space="preserve">  adc2_pwdn_n : std_logic; -- "ADC2_PWDN_N" Field</t>
  </si>
  <si>
    <t xml:space="preserve">  adc1_pwdn_n : std_logic; -- "ADC1_PWDN_N" Field</t>
  </si>
  <si>
    <t xml:space="preserve">  adc_clk_en : std_logic; -- "ADC_CLK_EN" Field</t>
  </si>
  <si>
    <t xml:space="preserve">  reserved_2 : std_logic_vector(7 downto 0); -- "RESERVED_2" Field</t>
  </si>
  <si>
    <t>end record t_aeb_crit_cfg_aeb_config_ait_wr_reg;</t>
  </si>
  <si>
    <t>-- AEB Critical Configuration Area Register "AEB_CONFIG_KEY"</t>
  </si>
  <si>
    <t>type t_aeb_crit_cfg_aeb_config_key_wr_reg is record</t>
  </si>
  <si>
    <t xml:space="preserve">  key : std_logic_vector(31 downto 0); -- "KEY" Field</t>
  </si>
  <si>
    <t>end record t_aeb_crit_cfg_aeb_config_key_wr_reg;</t>
  </si>
  <si>
    <t>-- AEB Critical Configuration Area Register "AEB_CONFIG_PATTERN"</t>
  </si>
  <si>
    <t>type t_aeb_crit_cfg_aeb_config_pattern_wr_reg is record</t>
  </si>
  <si>
    <t xml:space="preserve">  pattern_ccdid : std_logic_vector(1 downto 0); -- "PATTERN_CCDID" Field</t>
  </si>
  <si>
    <t xml:space="preserve">  pattern_cols : std_logic_vector(13 downto 0); -- "PATTERN_COLS" Field</t>
  </si>
  <si>
    <t xml:space="preserve">  reserved : std_logic_vector(1 downto 0); -- "RESERVED" Field</t>
  </si>
  <si>
    <t xml:space="preserve">  pattern_rows : std_logic_vector(13 downto 0); -- "PATTERN_ROWS" Field</t>
  </si>
  <si>
    <t>end record t_aeb_crit_cfg_aeb_config_pattern_wr_reg;</t>
  </si>
  <si>
    <t>-- AEB Critical Configuration Area Register "AEB_CONFIG"</t>
  </si>
  <si>
    <t>type t_aeb_crit_cfg_aeb_config_wr_reg is record</t>
  </si>
  <si>
    <t xml:space="preserve">  reserved_0 : std_logic_vector(5 downto 0); -- "RESERVED_0" Field</t>
  </si>
  <si>
    <t xml:space="preserve">  int_sync : std_logic; -- "INT_SYNC" Field</t>
  </si>
  <si>
    <t xml:space="preserve">  reserved_1 : std_logic_vector(4 downto 0); -- "RESERVED_1" Field</t>
  </si>
  <si>
    <t xml:space="preserve">  vasp_cds_en : std_logic; -- "VASP_CDS_EN" Field</t>
  </si>
  <si>
    <t xml:space="preserve">  vasp2_cal_en : std_logic; -- "VASP2_CAL_EN" Field</t>
  </si>
  <si>
    <t xml:space="preserve">  vasp1_cal_en : std_logic; -- "VASP1_CAL_EN" Field</t>
  </si>
  <si>
    <t xml:space="preserve">  reserved_2 : std_logic_vector(15 downto 0); -- "RESERVED_2" Field</t>
  </si>
  <si>
    <t>end record t_aeb_crit_cfg_aeb_config_wr_reg;</t>
  </si>
  <si>
    <t>-- AEB Critical Configuration Area Register "AEB_CONTROL"</t>
  </si>
  <si>
    <t>type t_aeb_crit_cfg_aeb_control_wr_reg is record</t>
  </si>
  <si>
    <t xml:space="preserve">  new_state : std_logic_vector(3 downto 0); -- "NEW_STATE" Field</t>
  </si>
  <si>
    <t xml:space="preserve">  set_state : std_logic; -- "SET_STATE" Field</t>
  </si>
  <si>
    <t xml:space="preserve">  aeb_reset : std_logic; -- "AEB_RESET" Field</t>
  </si>
  <si>
    <t xml:space="preserve">  reserved_1 : std_logic_vector(3 downto 0); -- "RESERVED_1" Field</t>
  </si>
  <si>
    <t xml:space="preserve">  adc_data_rd : std_logic; -- "ADC_DATA_RD" Field</t>
  </si>
  <si>
    <t xml:space="preserve">  adc_cfg_wr : std_logic; -- "ADC_CFG_WR" Field</t>
  </si>
  <si>
    <t xml:space="preserve">  adc_cfg_rd : std_logic; -- "ADC_CFG_RD" Field</t>
  </si>
  <si>
    <t xml:space="preserve">  dac_wr : std_logic; -- "DAC_WR" Field</t>
  </si>
  <si>
    <t>end record t_aeb_crit_cfg_aeb_control_wr_reg;</t>
  </si>
  <si>
    <t>-- AEB Critical Configuration Area Register "DAC_CONFIG_1"</t>
  </si>
  <si>
    <t>type t_aeb_crit_cfg_dac_config_1_wr_reg is record</t>
  </si>
  <si>
    <t xml:space="preserve">  reserved_0 : std_logic_vector(3 downto 0); -- "RESERVED_0" Field</t>
  </si>
  <si>
    <t xml:space="preserve">  dac_vog : std_logic_vector(11 downto 0); -- "DAC_VOG" Field</t>
  </si>
  <si>
    <t xml:space="preserve">  dac_vrd : std_logic_vector(11 downto 0); -- "DAC_VRD" Field</t>
  </si>
  <si>
    <t>end record t_aeb_crit_cfg_dac_config_1_wr_reg;</t>
  </si>
  <si>
    <t>-- AEB Critical Configuration Area Register "DAC_CONFIG_2"</t>
  </si>
  <si>
    <t>type t_aeb_crit_cfg_dac_config_2_wr_reg is record</t>
  </si>
  <si>
    <t xml:space="preserve">  dac_vod : std_logic_vector(11 downto 0); -- "DAC_VOD" Field</t>
  </si>
  <si>
    <t xml:space="preserve">  reserved_1 : std_logic_vector(15 downto 0); -- "RESERVED_1" Field</t>
  </si>
  <si>
    <t>end record t_aeb_crit_cfg_dac_config_2_wr_reg;</t>
  </si>
  <si>
    <t>-- AEB Critical Configuration Area Register "PWR_CONFIG1"</t>
  </si>
  <si>
    <t>type t_aeb_crit_cfg_pwr_config1_wr_reg is record</t>
  </si>
  <si>
    <t xml:space="preserve">  time_vccd_on : std_logic_vector(7 downto 0); -- "TIME_VCCD_ON" Field</t>
  </si>
  <si>
    <t xml:space="preserve">  time_vclk_on : std_logic_vector(7 downto 0); -- "TIME_VCLK_ON" Field</t>
  </si>
  <si>
    <t xml:space="preserve">  time_van1_on : std_logic_vector(7 downto 0); -- "TIME_VAN1_ON" Field</t>
  </si>
  <si>
    <t xml:space="preserve">  time_van2_on : std_logic_vector(7 downto 0); -- "TIME_VAN2_ON" Field</t>
  </si>
  <si>
    <t>end record t_aeb_crit_cfg_pwr_config1_wr_reg;</t>
  </si>
  <si>
    <t>-- AEB Critical Configuration Area Register "PWR_CONFIG2"</t>
  </si>
  <si>
    <t>type t_aeb_crit_cfg_pwr_config2_wr_reg is record</t>
  </si>
  <si>
    <t xml:space="preserve">  time_van3_on : std_logic_vector(7 downto 0); -- "TIME_VAN3_ON" Field</t>
  </si>
  <si>
    <t xml:space="preserve">  time_vccd_off : std_logic_vector(7 downto 0); -- "TIME_VCCD_OFF" Field</t>
  </si>
  <si>
    <t xml:space="preserve">  time_vclk_off : std_logic_vector(7 downto 0); -- "TIME_VCLK_OFF" Field</t>
  </si>
  <si>
    <t xml:space="preserve">  time_van1_off : std_logic_vector(7 downto 0); -- "TIME_VAN1_OFF" Field</t>
  </si>
  <si>
    <t>end record t_aeb_crit_cfg_pwr_config2_wr_reg;</t>
  </si>
  <si>
    <t>-- AEB Critical Configuration Area Register "PWR_CONFIG3"</t>
  </si>
  <si>
    <t>type t_aeb_crit_cfg_pwr_config3_wr_reg is record</t>
  </si>
  <si>
    <t xml:space="preserve">  time_van2_off : std_logic_vector(7 downto 0); -- "TIME_VAN2_OFF" Field</t>
  </si>
  <si>
    <t xml:space="preserve">  time_van3_off : std_logic_vector(7 downto 0); -- "TIME_VAN3_OFF" Field</t>
  </si>
  <si>
    <t>end record t_aeb_crit_cfg_pwr_config3_wr_reg;</t>
  </si>
  <si>
    <t>-- AEB Critical Configuration Area Register "RESERVED_20"</t>
  </si>
  <si>
    <t>type t_aeb_crit_cfg_reserved_20_wr_reg is record</t>
  </si>
  <si>
    <t>end record t_aeb_crit_cfg_reserved_20_wr_reg;</t>
  </si>
  <si>
    <t>-- AEB Critical Configuration Area Register "RESERVED_30"</t>
  </si>
  <si>
    <t>type t_aeb_crit_cfg_reserved_30_wr_reg is record</t>
  </si>
  <si>
    <t>end record t_aeb_crit_cfg_reserved_30_wr_reg;</t>
  </si>
  <si>
    <t>-- AEB Critical Configuration Area Register "RESERVED_34"</t>
  </si>
  <si>
    <t>type t_aeb_crit_cfg_reserved_34_wr_reg is record</t>
  </si>
  <si>
    <t>end record t_aeb_crit_cfg_reserved_34_wr_reg;</t>
  </si>
  <si>
    <t>-- AEB Critical Configuration Area Register "RESERVED_38"</t>
  </si>
  <si>
    <t>type t_aeb_crit_cfg_reserved_38_wr_reg is record</t>
  </si>
  <si>
    <t>end record t_aeb_crit_cfg_reserved_38_wr_reg;</t>
  </si>
  <si>
    <t>-- AEB Critical Configuration Area Register "RESERVED_3C"</t>
  </si>
  <si>
    <t>type t_aeb_crit_cfg_reserved_3c_wr_reg is record</t>
  </si>
  <si>
    <t>end record t_aeb_crit_cfg_reserved_3c_wr_reg;</t>
  </si>
  <si>
    <t>-- AEB Critical Configuration Area Register "RESERVED_40"</t>
  </si>
  <si>
    <t>type t_aeb_crit_cfg_reserved_40_wr_reg is record</t>
  </si>
  <si>
    <t>end record t_aeb_crit_cfg_reserved_40_wr_reg;</t>
  </si>
  <si>
    <t>-- AEB Critical Configuration Area Register "RESERVED_44"</t>
  </si>
  <si>
    <t>type t_aeb_crit_cfg_reserved_44_wr_reg is record</t>
  </si>
  <si>
    <t>end record t_aeb_crit_cfg_reserved_44_wr_reg;</t>
  </si>
  <si>
    <t>-- AEB Critical Configuration Area Register "RESERVED_48"</t>
  </si>
  <si>
    <t>type t_aeb_crit_cfg_reserved_48_wr_reg is record</t>
  </si>
  <si>
    <t>end record t_aeb_crit_cfg_reserved_48_wr_reg;</t>
  </si>
  <si>
    <t>-- AEB Critical Configuration Area Register "RESERVED_4C"</t>
  </si>
  <si>
    <t>type t_aeb_crit_cfg_reserved_4c_wr_reg is record</t>
  </si>
  <si>
    <t>end record t_aeb_crit_cfg_reserved_4c_wr_reg;</t>
  </si>
  <si>
    <t>-- AEB Critical Configuration Area Register "RESERVED_50"</t>
  </si>
  <si>
    <t>type t_aeb_crit_cfg_reserved_50_wr_reg is record</t>
  </si>
  <si>
    <t>end record t_aeb_crit_cfg_reserved_50_wr_reg;</t>
  </si>
  <si>
    <t>-- AEB Critical Configuration Area Register "RESERVED_54"</t>
  </si>
  <si>
    <t>type t_aeb_crit_cfg_reserved_54_wr_reg is record</t>
  </si>
  <si>
    <t>end record t_aeb_crit_cfg_reserved_54_wr_reg;</t>
  </si>
  <si>
    <t>-- AEB Critical Configuration Area Register "RESERVED_58"</t>
  </si>
  <si>
    <t>type t_aeb_crit_cfg_reserved_58_wr_reg is record</t>
  </si>
  <si>
    <t>end record t_aeb_crit_cfg_reserved_58_wr_reg;</t>
  </si>
  <si>
    <t>-- AEB Critical Configuration Area Register "RESERVED_5C"</t>
  </si>
  <si>
    <t>type t_aeb_crit_cfg_reserved_5c_wr_reg is record</t>
  </si>
  <si>
    <t>end record t_aeb_crit_cfg_reserved_5c_wr_reg;</t>
  </si>
  <si>
    <t>-- AEB Critical Configuration Area Register "RESERVED_60"</t>
  </si>
  <si>
    <t>type t_aeb_crit_cfg_reserved_60_wr_reg is record</t>
  </si>
  <si>
    <t>end record t_aeb_crit_cfg_reserved_60_wr_reg;</t>
  </si>
  <si>
    <t>-- AEB Critical Configuration Area Register "RESERVED_64"</t>
  </si>
  <si>
    <t>type t_aeb_crit_cfg_reserved_64_wr_reg is record</t>
  </si>
  <si>
    <t>end record t_aeb_crit_cfg_reserved_64_wr_reg;</t>
  </si>
  <si>
    <t>-- AEB Critical Configuration Area Register "RESERVED_68"</t>
  </si>
  <si>
    <t>type t_aeb_crit_cfg_reserved_68_wr_reg is record</t>
  </si>
  <si>
    <t>end record t_aeb_crit_cfg_reserved_68_wr_reg;</t>
  </si>
  <si>
    <t>-- AEB Critical Configuration Area Register "RESERVED_6C"</t>
  </si>
  <si>
    <t>type t_aeb_crit_cfg_reserved_6c_wr_reg is record</t>
  </si>
  <si>
    <t>end record t_aeb_crit_cfg_reserved_6c_wr_reg;</t>
  </si>
  <si>
    <t>-- AEB Critical Configuration Area Register "RESERVED_70"</t>
  </si>
  <si>
    <t>type t_aeb_crit_cfg_reserved_70_wr_reg is record</t>
  </si>
  <si>
    <t>end record t_aeb_crit_cfg_reserved_70_wr_reg;</t>
  </si>
  <si>
    <t>-- AEB Critical Configuration Area Register "RESERVED_74"</t>
  </si>
  <si>
    <t>type t_aeb_crit_cfg_reserved_74_wr_reg is record</t>
  </si>
  <si>
    <t>end record t_aeb_crit_cfg_reserved_74_wr_reg;</t>
  </si>
  <si>
    <t>-- AEB Critical Configuration Area Register "RESERVED_78"</t>
  </si>
  <si>
    <t>type t_aeb_crit_cfg_reserved_78_wr_reg is record</t>
  </si>
  <si>
    <t>end record t_aeb_crit_cfg_reserved_78_wr_reg;</t>
  </si>
  <si>
    <t>-- AEB Critical Configuration Area Register "RESERVED_7C"</t>
  </si>
  <si>
    <t>type t_aeb_crit_cfg_reserved_7c_wr_reg is record</t>
  </si>
  <si>
    <t>end record t_aeb_crit_cfg_reserved_7c_wr_reg;</t>
  </si>
  <si>
    <t>-- AEB Critical Configuration Area Register "RESERVED_80"</t>
  </si>
  <si>
    <t>type t_aeb_crit_cfg_reserved_80_wr_reg is record</t>
  </si>
  <si>
    <t>end record t_aeb_crit_cfg_reserved_80_wr_reg;</t>
  </si>
  <si>
    <t>-- AEB Critical Configuration Area Register "RESERVED_84"</t>
  </si>
  <si>
    <t>type t_aeb_crit_cfg_reserved_84_wr_reg is record</t>
  </si>
  <si>
    <t>end record t_aeb_crit_cfg_reserved_84_wr_reg;</t>
  </si>
  <si>
    <t>-- AEB Critical Configuration Area Register "RESERVED_88"</t>
  </si>
  <si>
    <t>type t_aeb_crit_cfg_reserved_88_wr_reg is record</t>
  </si>
  <si>
    <t>end record t_aeb_crit_cfg_reserved_88_wr_reg;</t>
  </si>
  <si>
    <t>-- AEB Critical Configuration Area Register "RESERVED_8C"</t>
  </si>
  <si>
    <t>type t_aeb_crit_cfg_reserved_8c_wr_reg is record</t>
  </si>
  <si>
    <t>end record t_aeb_crit_cfg_reserved_8c_wr_reg;</t>
  </si>
  <si>
    <t>-- AEB Critical Configuration Area Register "RESERVED_90"</t>
  </si>
  <si>
    <t>type t_aeb_crit_cfg_reserved_90_wr_reg is record</t>
  </si>
  <si>
    <t>end record t_aeb_crit_cfg_reserved_90_wr_reg;</t>
  </si>
  <si>
    <t>-- AEB Critical Configuration Area Register "RESERVED_94"</t>
  </si>
  <si>
    <t>type t_aeb_crit_cfg_reserved_94_wr_reg is record</t>
  </si>
  <si>
    <t>end record t_aeb_crit_cfg_reserved_94_wr_reg;</t>
  </si>
  <si>
    <t>-- AEB Critical Configuration Area Register "RESERVED_98"</t>
  </si>
  <si>
    <t>type t_aeb_crit_cfg_reserved_98_wr_reg is record</t>
  </si>
  <si>
    <t>end record t_aeb_crit_cfg_reserved_98_wr_reg;</t>
  </si>
  <si>
    <t>-- AEB Critical Configuration Area Register "RESERVED_9C"</t>
  </si>
  <si>
    <t>type t_aeb_crit_cfg_reserved_9c_wr_reg is record</t>
  </si>
  <si>
    <t>end record t_aeb_crit_cfg_reserved_9c_wr_reg;</t>
  </si>
  <si>
    <t>-- AEB Critical Configuration Area Register "RESERVED_A0"</t>
  </si>
  <si>
    <t>type t_aeb_crit_cfg_reserved_a0_wr_reg is record</t>
  </si>
  <si>
    <t>end record t_aeb_crit_cfg_reserved_a0_wr_reg;</t>
  </si>
  <si>
    <t>-- AEB Critical Configuration Area Register "RESERVED_A4"</t>
  </si>
  <si>
    <t>type t_aeb_crit_cfg_reserved_a4_wr_reg is record</t>
  </si>
  <si>
    <t>end record t_aeb_crit_cfg_reserved_a4_wr_reg;</t>
  </si>
  <si>
    <t>-- AEB Critical Configuration Area Register "RESERVED_A8"</t>
  </si>
  <si>
    <t>type t_aeb_crit_cfg_reserved_a8_wr_reg is record</t>
  </si>
  <si>
    <t>end record t_aeb_crit_cfg_reserved_a8_wr_reg;</t>
  </si>
  <si>
    <t>-- AEB Critical Configuration Area Register "RESERVED_AC"</t>
  </si>
  <si>
    <t>type t_aeb_crit_cfg_reserved_ac_wr_reg is record</t>
  </si>
  <si>
    <t>end record t_aeb_crit_cfg_reserved_ac_wr_reg;</t>
  </si>
  <si>
    <t>-- AEB Critical Configuration Area Register "RESERVED_B0"</t>
  </si>
  <si>
    <t>type t_aeb_crit_cfg_reserved_b0_wr_reg is record</t>
  </si>
  <si>
    <t>end record t_aeb_crit_cfg_reserved_b0_wr_reg;</t>
  </si>
  <si>
    <t>-- AEB Critical Configuration Area Register "RESERVED_B4"</t>
  </si>
  <si>
    <t>type t_aeb_crit_cfg_reserved_b4_wr_reg is record</t>
  </si>
  <si>
    <t>end record t_aeb_crit_cfg_reserved_b4_wr_reg;</t>
  </si>
  <si>
    <t>-- AEB Critical Configuration Area Register "RESERVED_B8"</t>
  </si>
  <si>
    <t>type t_aeb_crit_cfg_reserved_b8_wr_reg is record</t>
  </si>
  <si>
    <t>end record t_aeb_crit_cfg_reserved_b8_wr_reg;</t>
  </si>
  <si>
    <t>-- AEB Critical Configuration Area Register "RESERVED_BC"</t>
  </si>
  <si>
    <t>type t_aeb_crit_cfg_reserved_bc_wr_reg is record</t>
  </si>
  <si>
    <t>end record t_aeb_crit_cfg_reserved_bc_wr_reg;</t>
  </si>
  <si>
    <t>-- AEB Critical Configuration Area Register "RESERVED_C0"</t>
  </si>
  <si>
    <t>type t_aeb_crit_cfg_reserved_c0_wr_reg is record</t>
  </si>
  <si>
    <t>end record t_aeb_crit_cfg_reserved_c0_wr_reg;</t>
  </si>
  <si>
    <t>-- AEB Critical Configuration Area Register "RESERVED_C4"</t>
  </si>
  <si>
    <t>type t_aeb_crit_cfg_reserved_c4_wr_reg is record</t>
  </si>
  <si>
    <t>end record t_aeb_crit_cfg_reserved_c4_wr_reg;</t>
  </si>
  <si>
    <t>-- AEB Critical Configuration Area Register "RESERVED_C8"</t>
  </si>
  <si>
    <t>type t_aeb_crit_cfg_reserved_c8_wr_reg is record</t>
  </si>
  <si>
    <t>end record t_aeb_crit_cfg_reserved_c8_wr_reg;</t>
  </si>
  <si>
    <t>-- AEB Critical Configuration Area Register "RESERVED_CC"</t>
  </si>
  <si>
    <t>type t_aeb_crit_cfg_reserved_cc_wr_reg is record</t>
  </si>
  <si>
    <t>end record t_aeb_crit_cfg_reserved_cc_wr_reg;</t>
  </si>
  <si>
    <t>-- AEB Critical Configuration Area Register "RESERVED_D0"</t>
  </si>
  <si>
    <t>type t_aeb_crit_cfg_reserved_d0_wr_reg is record</t>
  </si>
  <si>
    <t>end record t_aeb_crit_cfg_reserved_d0_wr_reg;</t>
  </si>
  <si>
    <t>-- AEB Critical Configuration Area Register "RESERVED_D4"</t>
  </si>
  <si>
    <t>type t_aeb_crit_cfg_reserved_d4_wr_reg is record</t>
  </si>
  <si>
    <t>end record t_aeb_crit_cfg_reserved_d4_wr_reg;</t>
  </si>
  <si>
    <t>-- AEB Critical Configuration Area Register "RESERVED_D8"</t>
  </si>
  <si>
    <t>type t_aeb_crit_cfg_reserved_d8_wr_reg is record</t>
  </si>
  <si>
    <t>end record t_aeb_crit_cfg_reserved_d8_wr_reg;</t>
  </si>
  <si>
    <t>-- AEB Critical Configuration Area Register "RESERVED_DC"</t>
  </si>
  <si>
    <t>type t_aeb_crit_cfg_reserved_dc_wr_reg is record</t>
  </si>
  <si>
    <t>end record t_aeb_crit_cfg_reserved_dc_wr_reg;</t>
  </si>
  <si>
    <t>-- AEB Critical Configuration Area Register "RESERVED_E0"</t>
  </si>
  <si>
    <t>type t_aeb_crit_cfg_reserved_e0_wr_reg is record</t>
  </si>
  <si>
    <t>end record t_aeb_crit_cfg_reserved_e0_wr_reg;</t>
  </si>
  <si>
    <t>-- AEB Critical Configuration Area Register "RESERVED_E4"</t>
  </si>
  <si>
    <t>type t_aeb_crit_cfg_reserved_e4_wr_reg is record</t>
  </si>
  <si>
    <t>end record t_aeb_crit_cfg_reserved_e4_wr_reg;</t>
  </si>
  <si>
    <t>-- AEB Critical Configuration Area Register "RESERVED_E8"</t>
  </si>
  <si>
    <t>type t_aeb_crit_cfg_reserved_e8_wr_reg is record</t>
  </si>
  <si>
    <t>end record t_aeb_crit_cfg_reserved_e8_wr_reg;</t>
  </si>
  <si>
    <t>-- AEB Critical Configuration Area Register "RESERVED_EC"</t>
  </si>
  <si>
    <t>type t_aeb_crit_cfg_reserved_ec_wr_reg is record</t>
  </si>
  <si>
    <t>end record t_aeb_crit_cfg_reserved_ec_wr_reg;</t>
  </si>
  <si>
    <t>-- AEB Critical Configuration Area Register "RESERVED_F0"</t>
  </si>
  <si>
    <t>type t_aeb_crit_cfg_reserved_f0_wr_reg is record</t>
  </si>
  <si>
    <t>end record t_aeb_crit_cfg_reserved_f0_wr_reg;</t>
  </si>
  <si>
    <t>-- AEB Critical Configuration Area Register "RESERVED_F4"</t>
  </si>
  <si>
    <t>type t_aeb_crit_cfg_reserved_f4_wr_reg is record</t>
  </si>
  <si>
    <t>end record t_aeb_crit_cfg_reserved_f4_wr_reg;</t>
  </si>
  <si>
    <t>-- AEB Critical Configuration Area Register "RESERVED_F8"</t>
  </si>
  <si>
    <t>type t_aeb_crit_cfg_reserved_f8_wr_reg is record</t>
  </si>
  <si>
    <t>end record t_aeb_crit_cfg_reserved_f8_wr_reg;</t>
  </si>
  <si>
    <t>-- AEB Critical Configuration Area Register "RESERVED_FC"</t>
  </si>
  <si>
    <t>type t_aeb_crit_cfg_reserved_fc_wr_reg is record</t>
  </si>
  <si>
    <t>end record t_aeb_crit_cfg_reserved_fc_wr_reg;</t>
  </si>
  <si>
    <t>-- AEB Critical Configuration Area Register "VASP_I2C_CONTROL"</t>
  </si>
  <si>
    <t>type t_aeb_crit_cfg_vasp_i2c_control_wr_reg is record</t>
  </si>
  <si>
    <t xml:space="preserve">  vasp_cfg_addr : std_logic_vector(7 downto 0); -- "VASP_CFG_ADDR" Field</t>
  </si>
  <si>
    <t xml:space="preserve">  vasp1_cfg_data : std_logic_vector(7 downto 0); -- "VASP1_CFG_DATA" Field</t>
  </si>
  <si>
    <t xml:space="preserve">  vasp2_cfg_data : std_logic_vector(7 downto 0); -- "VASP2_CFG_DATA" Field</t>
  </si>
  <si>
    <t xml:space="preserve">  reserved : std_logic_vector(2 downto 0); -- "RESERVED" Field</t>
  </si>
  <si>
    <t xml:space="preserve">  vasp2_select : std_logic; -- "VASP2_SELECT" Field</t>
  </si>
  <si>
    <t xml:space="preserve">  vasp1_select : std_logic; -- "VASP1_SELECT" Field</t>
  </si>
  <si>
    <t xml:space="preserve">  calibration_start : std_logic; -- "CALIBRATION_START" Field</t>
  </si>
  <si>
    <t xml:space="preserve">  i2c_read_start : std_logic; -- "I2C_READ_START" Field</t>
  </si>
  <si>
    <t xml:space="preserve">  i2c_write_start : std_logic; -- "I2C_WRITE_START" Field</t>
  </si>
  <si>
    <t>end record t_aeb_crit_cfg_vasp_i2c_control_wr_reg;</t>
  </si>
  <si>
    <t>-- AEB General Configuration Area Register "ADC1_CONFIG_1"</t>
  </si>
  <si>
    <t>type t_aeb_gen_cfg_adc1_config_1_wr_reg is record</t>
  </si>
  <si>
    <t xml:space="preserve">  reserved_0 : std_logic; -- "RESERVED_0" Field</t>
  </si>
  <si>
    <t xml:space="preserve">  spirst : std_logic; -- "SPIRST" Field</t>
  </si>
  <si>
    <t xml:space="preserve">  muxmod : std_logic; -- "MUXMOD" Field</t>
  </si>
  <si>
    <t xml:space="preserve">  bypas : std_logic; -- "BYPAS" Field</t>
  </si>
  <si>
    <t xml:space="preserve">  clkenb : std_logic; -- "CLKENB" Field</t>
  </si>
  <si>
    <t xml:space="preserve">  chop : std_logic; -- "CHOP" Field</t>
  </si>
  <si>
    <t xml:space="preserve">  stat : std_logic; -- "STAT" Field</t>
  </si>
  <si>
    <t xml:space="preserve">  idlmod : std_logic; -- "IDLMOD" Field</t>
  </si>
  <si>
    <t xml:space="preserve">  dly : std_logic_vector(2 downto 0); -- "DLY" Field</t>
  </si>
  <si>
    <t xml:space="preserve">  sbcs : std_logic_vector(1 downto 0); -- "SBCS" Field</t>
  </si>
  <si>
    <t xml:space="preserve">  drate : std_logic_vector(1 downto 0); -- "DRATE" Field</t>
  </si>
  <si>
    <t xml:space="preserve">  ainp : std_logic_vector(3 downto 0); -- "AINP" Field</t>
  </si>
  <si>
    <t xml:space="preserve">  ainn : std_logic_vector(3 downto 0); -- "AINN" Field</t>
  </si>
  <si>
    <t xml:space="preserve">  diff : std_logic_vector(7 downto 0); -- "DIFF" Field</t>
  </si>
  <si>
    <t>end record t_aeb_gen_cfg_adc1_config_1_wr_reg;</t>
  </si>
  <si>
    <t>-- AEB General Configuration Area Register "ADC1_CONFIG_2"</t>
  </si>
  <si>
    <t>type t_aeb_gen_cfg_adc1_config_2_wr_reg is record</t>
  </si>
  <si>
    <t xml:space="preserve">  ain7 : std_logic; -- "AIN7" Field</t>
  </si>
  <si>
    <t xml:space="preserve">  ain6 : std_logic; -- "AIN6" Field</t>
  </si>
  <si>
    <t xml:space="preserve">  ain5 : std_logic; -- "AIN5" Field</t>
  </si>
  <si>
    <t xml:space="preserve">  ain4 : std_logic; -- "AIN4" Field</t>
  </si>
  <si>
    <t xml:space="preserve">  ain3 : std_logic; -- "AIN3" Field</t>
  </si>
  <si>
    <t xml:space="preserve">  ain2 : std_logic; -- "AIN2" Field</t>
  </si>
  <si>
    <t xml:space="preserve">  ain1 : std_logic; -- "AIN1" Field</t>
  </si>
  <si>
    <t xml:space="preserve">  ain0 : std_logic; -- "AIN0" Field</t>
  </si>
  <si>
    <t xml:space="preserve">  ain15 : std_logic; -- "AIN15" Field</t>
  </si>
  <si>
    <t xml:space="preserve">  ain14 : std_logic; -- "AIN14" Field</t>
  </si>
  <si>
    <t xml:space="preserve">  ain13 : std_logic; -- "AIN13" Field</t>
  </si>
  <si>
    <t xml:space="preserve">  ain12 : std_logic; -- "AIN12" Field</t>
  </si>
  <si>
    <t xml:space="preserve">  ain11 : std_logic; -- "AIN11" Field</t>
  </si>
  <si>
    <t xml:space="preserve">  ain10 : std_logic; -- "AIN10" Field</t>
  </si>
  <si>
    <t xml:space="preserve">  ain9 : std_logic; -- "AIN9" Field</t>
  </si>
  <si>
    <t xml:space="preserve">  ain8 : std_logic; -- "AIN8" Field</t>
  </si>
  <si>
    <t xml:space="preserve">  ref : std_logic; -- "REF" Field</t>
  </si>
  <si>
    <t xml:space="preserve">  gain : std_logic; -- "GAIN" Field</t>
  </si>
  <si>
    <t xml:space="preserve">  temp : std_logic; -- "TEMP" Field</t>
  </si>
  <si>
    <t xml:space="preserve">  vcc : std_logic; -- "VCC" Field</t>
  </si>
  <si>
    <t xml:space="preserve">  offset : std_logic; -- "OFFSET" Field</t>
  </si>
  <si>
    <t xml:space="preserve">  cio7 : std_logic; -- "CIO7" Field</t>
  </si>
  <si>
    <t xml:space="preserve">  cio6 : std_logic; -- "CIO6" Field</t>
  </si>
  <si>
    <t xml:space="preserve">  cio5 : std_logic; -- "CIO5" Field</t>
  </si>
  <si>
    <t xml:space="preserve">  cio4 : std_logic; -- "CIO4" Field</t>
  </si>
  <si>
    <t xml:space="preserve">  cio3 : std_logic; -- "CIO3" Field</t>
  </si>
  <si>
    <t xml:space="preserve">  cio2 : std_logic; -- "CIO2" Field</t>
  </si>
  <si>
    <t xml:space="preserve">  cio1 : std_logic; -- "CIO1" Field</t>
  </si>
  <si>
    <t xml:space="preserve">  cio0 : std_logic; -- "CIO0" Field</t>
  </si>
  <si>
    <t>end record t_aeb_gen_cfg_adc1_config_2_wr_reg;</t>
  </si>
  <si>
    <t>-- AEB General Configuration Area Register "ADC1_CONFIG_3"</t>
  </si>
  <si>
    <t>type t_aeb_gen_cfg_adc1_config_3_wr_reg is record</t>
  </si>
  <si>
    <t xml:space="preserve">  dio7 : std_logic; -- "DIO7" Field</t>
  </si>
  <si>
    <t xml:space="preserve">  dio6 : std_logic; -- "DIO6" Field</t>
  </si>
  <si>
    <t xml:space="preserve">  dio5 : std_logic; -- "DIO5" Field</t>
  </si>
  <si>
    <t xml:space="preserve">  dio4 : std_logic; -- "DIO4" Field</t>
  </si>
  <si>
    <t xml:space="preserve">  dio3 : std_logic; -- "DIO3" Field</t>
  </si>
  <si>
    <t xml:space="preserve">  dio2 : std_logic; -- "DIO2" Field</t>
  </si>
  <si>
    <t xml:space="preserve">  dio1 : std_logic; -- "DIO1" Field</t>
  </si>
  <si>
    <t xml:space="preserve">  dio0 : std_logic; -- "DIO0" Field</t>
  </si>
  <si>
    <t xml:space="preserve">  reserved : std_logic_vector(23 downto 0); -- "RESERVED" Field</t>
  </si>
  <si>
    <t>end record t_aeb_gen_cfg_adc1_config_3_wr_reg;</t>
  </si>
  <si>
    <t>-- AEB General Configuration Area Register "ADC2_CONFIG_1"</t>
  </si>
  <si>
    <t>type t_aeb_gen_cfg_adc2_config_1_wr_reg is record</t>
  </si>
  <si>
    <t>end record t_aeb_gen_cfg_adc2_config_1_wr_reg;</t>
  </si>
  <si>
    <t>-- AEB General Configuration Area Register "ADC2_CONFIG_2"</t>
  </si>
  <si>
    <t>type t_aeb_gen_cfg_adc2_config_2_wr_reg is record</t>
  </si>
  <si>
    <t>end record t_aeb_gen_cfg_adc2_config_2_wr_reg;</t>
  </si>
  <si>
    <t>-- AEB General Configuration Area Register "ADC2_CONFIG_3"</t>
  </si>
  <si>
    <t>type t_aeb_gen_cfg_adc2_config_3_wr_reg is record</t>
  </si>
  <si>
    <t>end record t_aeb_gen_cfg_adc2_config_3_wr_reg;</t>
  </si>
  <si>
    <t>-- AEB General Configuration Area Register "RESERVED_118"</t>
  </si>
  <si>
    <t>type t_aeb_gen_cfg_reserved_118_wr_reg is record</t>
  </si>
  <si>
    <t>end record t_aeb_gen_cfg_reserved_118_wr_reg;</t>
  </si>
  <si>
    <t>-- AEB General Configuration Area Register "RESERVED_11C"</t>
  </si>
  <si>
    <t>type t_aeb_gen_cfg_reserved_11c_wr_reg is record</t>
  </si>
  <si>
    <t>end record t_aeb_gen_cfg_reserved_11c_wr_reg;</t>
  </si>
  <si>
    <t>-- AEB General Configuration Area Register "RESERVED_158"</t>
  </si>
  <si>
    <t>type t_aeb_gen_cfg_reserved_158_wr_reg is record</t>
  </si>
  <si>
    <t>end record t_aeb_gen_cfg_reserved_158_wr_reg;</t>
  </si>
  <si>
    <t>-- AEB General Configuration Area Register "RESERVED_15C"</t>
  </si>
  <si>
    <t>type t_aeb_gen_cfg_reserved_15c_wr_reg is record</t>
  </si>
  <si>
    <t>end record t_aeb_gen_cfg_reserved_15c_wr_reg;</t>
  </si>
  <si>
    <t>-- AEB General Configuration Area Register "RESERVED_160"</t>
  </si>
  <si>
    <t>type t_aeb_gen_cfg_reserved_160_wr_reg is record</t>
  </si>
  <si>
    <t>end record t_aeb_gen_cfg_reserved_160_wr_reg;</t>
  </si>
  <si>
    <t>-- AEB General Configuration Area Register "RESERVED_164"</t>
  </si>
  <si>
    <t>type t_aeb_gen_cfg_reserved_164_wr_reg is record</t>
  </si>
  <si>
    <t>end record t_aeb_gen_cfg_reserved_164_wr_reg;</t>
  </si>
  <si>
    <t>-- AEB General Configuration Area Register "RESERVED_168"</t>
  </si>
  <si>
    <t>type t_aeb_gen_cfg_reserved_168_wr_reg is record</t>
  </si>
  <si>
    <t>end record t_aeb_gen_cfg_reserved_168_wr_reg;</t>
  </si>
  <si>
    <t>-- AEB General Configuration Area Register "RESERVED_16C"</t>
  </si>
  <si>
    <t>type t_aeb_gen_cfg_reserved_16c_wr_reg is record</t>
  </si>
  <si>
    <t>end record t_aeb_gen_cfg_reserved_16c_wr_reg;</t>
  </si>
  <si>
    <t>-- AEB General Configuration Area Register "RESERVED_170"</t>
  </si>
  <si>
    <t>type t_aeb_gen_cfg_reserved_170_wr_reg is record</t>
  </si>
  <si>
    <t>end record t_aeb_gen_cfg_reserved_170_wr_reg;</t>
  </si>
  <si>
    <t>-- AEB General Configuration Area Register "RESERVED_174"</t>
  </si>
  <si>
    <t>type t_aeb_gen_cfg_reserved_174_wr_reg is record</t>
  </si>
  <si>
    <t>end record t_aeb_gen_cfg_reserved_174_wr_reg;</t>
  </si>
  <si>
    <t>-- AEB General Configuration Area Register "RESERVED_178"</t>
  </si>
  <si>
    <t>type t_aeb_gen_cfg_reserved_178_wr_reg is record</t>
  </si>
  <si>
    <t>end record t_aeb_gen_cfg_reserved_178_wr_reg;</t>
  </si>
  <si>
    <t>-- AEB General Configuration Area Register "RESERVED_17C"</t>
  </si>
  <si>
    <t>type t_aeb_gen_cfg_reserved_17c_wr_reg is record</t>
  </si>
  <si>
    <t>end record t_aeb_gen_cfg_reserved_17c_wr_reg;</t>
  </si>
  <si>
    <t>-- AEB General Configuration Area Register "RESERVED_180"</t>
  </si>
  <si>
    <t>type t_aeb_gen_cfg_reserved_180_wr_reg is record</t>
  </si>
  <si>
    <t>end record t_aeb_gen_cfg_reserved_180_wr_reg;</t>
  </si>
  <si>
    <t>-- AEB General Configuration Area Register "RESERVED_184"</t>
  </si>
  <si>
    <t>type t_aeb_gen_cfg_reserved_184_wr_reg is record</t>
  </si>
  <si>
    <t>end record t_aeb_gen_cfg_reserved_184_wr_reg;</t>
  </si>
  <si>
    <t>-- AEB General Configuration Area Register "RESERVED_188"</t>
  </si>
  <si>
    <t>type t_aeb_gen_cfg_reserved_188_wr_reg is record</t>
  </si>
  <si>
    <t>end record t_aeb_gen_cfg_reserved_188_wr_reg;</t>
  </si>
  <si>
    <t>-- AEB General Configuration Area Register "RESERVED_18C"</t>
  </si>
  <si>
    <t>type t_aeb_gen_cfg_reserved_18c_wr_reg is record</t>
  </si>
  <si>
    <t>end record t_aeb_gen_cfg_reserved_18c_wr_reg;</t>
  </si>
  <si>
    <t>-- AEB General Configuration Area Register "RESERVED_190"</t>
  </si>
  <si>
    <t>type t_aeb_gen_cfg_reserved_190_wr_reg is record</t>
  </si>
  <si>
    <t>end record t_aeb_gen_cfg_reserved_190_wr_reg;</t>
  </si>
  <si>
    <t>-- AEB General Configuration Area Register "RESERVED_194"</t>
  </si>
  <si>
    <t>type t_aeb_gen_cfg_reserved_194_wr_reg is record</t>
  </si>
  <si>
    <t>end record t_aeb_gen_cfg_reserved_194_wr_reg;</t>
  </si>
  <si>
    <t>-- AEB General Configuration Area Register "RESERVED_198"</t>
  </si>
  <si>
    <t>type t_aeb_gen_cfg_reserved_198_wr_reg is record</t>
  </si>
  <si>
    <t>end record t_aeb_gen_cfg_reserved_198_wr_reg;</t>
  </si>
  <si>
    <t>-- AEB General Configuration Area Register "RESERVED_19C"</t>
  </si>
  <si>
    <t>type t_aeb_gen_cfg_reserved_19c_wr_reg is record</t>
  </si>
  <si>
    <t>end record t_aeb_gen_cfg_reserved_19c_wr_reg;</t>
  </si>
  <si>
    <t>-- AEB General Configuration Area Register "RESERVED_1A0"</t>
  </si>
  <si>
    <t>type t_aeb_gen_cfg_reserved_1a0_wr_reg is record</t>
  </si>
  <si>
    <t>end record t_aeb_gen_cfg_reserved_1a0_wr_reg;</t>
  </si>
  <si>
    <t>-- AEB General Configuration Area Register "RESERVED_1A4"</t>
  </si>
  <si>
    <t>type t_aeb_gen_cfg_reserved_1a4_wr_reg is record</t>
  </si>
  <si>
    <t>end record t_aeb_gen_cfg_reserved_1a4_wr_reg;</t>
  </si>
  <si>
    <t>-- AEB General Configuration Area Register "RESERVED_1A8"</t>
  </si>
  <si>
    <t>type t_aeb_gen_cfg_reserved_1a8_wr_reg is record</t>
  </si>
  <si>
    <t>end record t_aeb_gen_cfg_reserved_1a8_wr_reg;</t>
  </si>
  <si>
    <t>-- AEB General Configuration Area Register "RESERVED_1AC"</t>
  </si>
  <si>
    <t>type t_aeb_gen_cfg_reserved_1ac_wr_reg is record</t>
  </si>
  <si>
    <t>end record t_aeb_gen_cfg_reserved_1ac_wr_reg;</t>
  </si>
  <si>
    <t>-- AEB General Configuration Area Register "RESERVED_1B0"</t>
  </si>
  <si>
    <t>type t_aeb_gen_cfg_reserved_1b0_wr_reg is record</t>
  </si>
  <si>
    <t>end record t_aeb_gen_cfg_reserved_1b0_wr_reg;</t>
  </si>
  <si>
    <t>-- AEB General Configuration Area Register "RESERVED_1B4"</t>
  </si>
  <si>
    <t>type t_aeb_gen_cfg_reserved_1b4_wr_reg is record</t>
  </si>
  <si>
    <t>end record t_aeb_gen_cfg_reserved_1b4_wr_reg;</t>
  </si>
  <si>
    <t>-- AEB General Configuration Area Register "RESERVED_1B8"</t>
  </si>
  <si>
    <t>type t_aeb_gen_cfg_reserved_1b8_wr_reg is record</t>
  </si>
  <si>
    <t>end record t_aeb_gen_cfg_reserved_1b8_wr_reg;</t>
  </si>
  <si>
    <t>-- AEB General Configuration Area Register "RESERVED_1BC"</t>
  </si>
  <si>
    <t>type t_aeb_gen_cfg_reserved_1bc_wr_reg is record</t>
  </si>
  <si>
    <t>end record t_aeb_gen_cfg_reserved_1bc_wr_reg;</t>
  </si>
  <si>
    <t>-- AEB General Configuration Area Register "RESERVED_1C0"</t>
  </si>
  <si>
    <t>type t_aeb_gen_cfg_reserved_1c0_wr_reg is record</t>
  </si>
  <si>
    <t>end record t_aeb_gen_cfg_reserved_1c0_wr_reg;</t>
  </si>
  <si>
    <t>-- AEB General Configuration Area Register "RESERVED_1C4"</t>
  </si>
  <si>
    <t>type t_aeb_gen_cfg_reserved_1c4_wr_reg is record</t>
  </si>
  <si>
    <t>end record t_aeb_gen_cfg_reserved_1c4_wr_reg;</t>
  </si>
  <si>
    <t>-- AEB General Configuration Area Register "RESERVED_1C8"</t>
  </si>
  <si>
    <t>type t_aeb_gen_cfg_reserved_1c8_wr_reg is record</t>
  </si>
  <si>
    <t>end record t_aeb_gen_cfg_reserved_1c8_wr_reg;</t>
  </si>
  <si>
    <t>-- AEB General Configuration Area Register "RESERVED_1CC"</t>
  </si>
  <si>
    <t>type t_aeb_gen_cfg_reserved_1cc_wr_reg is record</t>
  </si>
  <si>
    <t>end record t_aeb_gen_cfg_reserved_1cc_wr_reg;</t>
  </si>
  <si>
    <t>-- AEB General Configuration Area Register "RESERVED_1D0"</t>
  </si>
  <si>
    <t>type t_aeb_gen_cfg_reserved_1d0_wr_reg is record</t>
  </si>
  <si>
    <t>end record t_aeb_gen_cfg_reserved_1d0_wr_reg;</t>
  </si>
  <si>
    <t>-- AEB General Configuration Area Register "RESERVED_1D4"</t>
  </si>
  <si>
    <t>type t_aeb_gen_cfg_reserved_1d4_wr_reg is record</t>
  </si>
  <si>
    <t>end record t_aeb_gen_cfg_reserved_1d4_wr_reg;</t>
  </si>
  <si>
    <t>-- AEB General Configuration Area Register "RESERVED_1D8"</t>
  </si>
  <si>
    <t>type t_aeb_gen_cfg_reserved_1d8_wr_reg is record</t>
  </si>
  <si>
    <t>end record t_aeb_gen_cfg_reserved_1d8_wr_reg;</t>
  </si>
  <si>
    <t>-- AEB General Configuration Area Register "RESERVED_1DC"</t>
  </si>
  <si>
    <t>type t_aeb_gen_cfg_reserved_1dc_wr_reg is record</t>
  </si>
  <si>
    <t>end record t_aeb_gen_cfg_reserved_1dc_wr_reg;</t>
  </si>
  <si>
    <t>-- AEB General Configuration Area Register "RESERVED_1E0"</t>
  </si>
  <si>
    <t>type t_aeb_gen_cfg_reserved_1e0_wr_reg is record</t>
  </si>
  <si>
    <t>end record t_aeb_gen_cfg_reserved_1e0_wr_reg;</t>
  </si>
  <si>
    <t>-- AEB General Configuration Area Register "RESERVED_1E4"</t>
  </si>
  <si>
    <t>type t_aeb_gen_cfg_reserved_1e4_wr_reg is record</t>
  </si>
  <si>
    <t>end record t_aeb_gen_cfg_reserved_1e4_wr_reg;</t>
  </si>
  <si>
    <t>-- AEB General Configuration Area Register "RESERVED_1E8"</t>
  </si>
  <si>
    <t>type t_aeb_gen_cfg_reserved_1e8_wr_reg is record</t>
  </si>
  <si>
    <t>end record t_aeb_gen_cfg_reserved_1e8_wr_reg;</t>
  </si>
  <si>
    <t>-- AEB General Configuration Area Register "RESERVED_1EC"</t>
  </si>
  <si>
    <t>type t_aeb_gen_cfg_reserved_1ec_wr_reg is record</t>
  </si>
  <si>
    <t>end record t_aeb_gen_cfg_reserved_1ec_wr_reg;</t>
  </si>
  <si>
    <t>-- AEB General Configuration Area Register "RESERVED_1F0"</t>
  </si>
  <si>
    <t>type t_aeb_gen_cfg_reserved_1f0_wr_reg is record</t>
  </si>
  <si>
    <t>end record t_aeb_gen_cfg_reserved_1f0_wr_reg;</t>
  </si>
  <si>
    <t>-- AEB General Configuration Area Register "RESERVED_1F4"</t>
  </si>
  <si>
    <t>type t_aeb_gen_cfg_reserved_1f4_wr_reg is record</t>
  </si>
  <si>
    <t>end record t_aeb_gen_cfg_reserved_1f4_wr_reg;</t>
  </si>
  <si>
    <t>-- AEB General Configuration Area Register "RESERVED_1F8"</t>
  </si>
  <si>
    <t>type t_aeb_gen_cfg_reserved_1f8_wr_reg is record</t>
  </si>
  <si>
    <t>end record t_aeb_gen_cfg_reserved_1f8_wr_reg;</t>
  </si>
  <si>
    <t>-- AEB General Configuration Area Register "RESERVED_1FC"</t>
  </si>
  <si>
    <t>type t_aeb_gen_cfg_reserved_1fc_wr_reg is record</t>
  </si>
  <si>
    <t>end record t_aeb_gen_cfg_reserved_1fc_wr_reg;</t>
  </si>
  <si>
    <t>-- AEB General Configuration Area Register "RESERVED_200"</t>
  </si>
  <si>
    <t>type t_aeb_gen_cfg_reserved_200_wr_reg is record</t>
  </si>
  <si>
    <t>end record t_aeb_gen_cfg_reserved_200_wr_reg;</t>
  </si>
  <si>
    <t>-- AEB General Configuration Area Register "RESERVED_204"</t>
  </si>
  <si>
    <t>type t_aeb_gen_cfg_reserved_204_wr_reg is record</t>
  </si>
  <si>
    <t>end record t_aeb_gen_cfg_reserved_204_wr_reg;</t>
  </si>
  <si>
    <t>-- AEB General Configuration Area Register "RESERVED_208"</t>
  </si>
  <si>
    <t>type t_aeb_gen_cfg_reserved_208_wr_reg is record</t>
  </si>
  <si>
    <t>end record t_aeb_gen_cfg_reserved_208_wr_reg;</t>
  </si>
  <si>
    <t>-- AEB General Configuration Area Register "RESERVED_20C"</t>
  </si>
  <si>
    <t>type t_aeb_gen_cfg_reserved_20c_wr_reg is record</t>
  </si>
  <si>
    <t>end record t_aeb_gen_cfg_reserved_20c_wr_reg;</t>
  </si>
  <si>
    <t>-- AEB General Configuration Area Register "RESERVED_210"</t>
  </si>
  <si>
    <t>type t_aeb_gen_cfg_reserved_210_wr_reg is record</t>
  </si>
  <si>
    <t>end record t_aeb_gen_cfg_reserved_210_wr_reg;</t>
  </si>
  <si>
    <t>-- AEB General Configuration Area Register "RESERVED_214"</t>
  </si>
  <si>
    <t>type t_aeb_gen_cfg_reserved_214_wr_reg is record</t>
  </si>
  <si>
    <t>end record t_aeb_gen_cfg_reserved_214_wr_reg;</t>
  </si>
  <si>
    <t>-- AEB General Configuration Area Register "RESERVED_218"</t>
  </si>
  <si>
    <t>type t_aeb_gen_cfg_reserved_218_wr_reg is record</t>
  </si>
  <si>
    <t>end record t_aeb_gen_cfg_reserved_218_wr_reg;</t>
  </si>
  <si>
    <t>-- AEB General Configuration Area Register "RESERVED_21C"</t>
  </si>
  <si>
    <t>type t_aeb_gen_cfg_reserved_21c_wr_reg is record</t>
  </si>
  <si>
    <t>end record t_aeb_gen_cfg_reserved_21c_wr_reg;</t>
  </si>
  <si>
    <t>-- AEB General Configuration Area Register "RESERVED_220"</t>
  </si>
  <si>
    <t>type t_aeb_gen_cfg_reserved_220_wr_reg is record</t>
  </si>
  <si>
    <t>end record t_aeb_gen_cfg_reserved_220_wr_reg;</t>
  </si>
  <si>
    <t>-- AEB General Configuration Area Register "RESERVED_224"</t>
  </si>
  <si>
    <t>type t_aeb_gen_cfg_reserved_224_wr_reg is record</t>
  </si>
  <si>
    <t>end record t_aeb_gen_cfg_reserved_224_wr_reg;</t>
  </si>
  <si>
    <t>-- AEB General Configuration Area Register "RESERVED_228"</t>
  </si>
  <si>
    <t>type t_aeb_gen_cfg_reserved_228_wr_reg is record</t>
  </si>
  <si>
    <t>end record t_aeb_gen_cfg_reserved_228_wr_reg;</t>
  </si>
  <si>
    <t>-- AEB General Configuration Area Register "RESERVED_22C"</t>
  </si>
  <si>
    <t>type t_aeb_gen_cfg_reserved_22c_wr_reg is record</t>
  </si>
  <si>
    <t>end record t_aeb_gen_cfg_reserved_22c_wr_reg;</t>
  </si>
  <si>
    <t>-- AEB General Configuration Area Register "RESERVED_230"</t>
  </si>
  <si>
    <t>type t_aeb_gen_cfg_reserved_230_wr_reg is record</t>
  </si>
  <si>
    <t>end record t_aeb_gen_cfg_reserved_230_wr_reg;</t>
  </si>
  <si>
    <t>-- AEB General Configuration Area Register "RESERVED_234"</t>
  </si>
  <si>
    <t>type t_aeb_gen_cfg_reserved_234_wr_reg is record</t>
  </si>
  <si>
    <t>end record t_aeb_gen_cfg_reserved_234_wr_reg;</t>
  </si>
  <si>
    <t>-- AEB General Configuration Area Register "RESERVED_238"</t>
  </si>
  <si>
    <t>type t_aeb_gen_cfg_reserved_238_wr_reg is record</t>
  </si>
  <si>
    <t>end record t_aeb_gen_cfg_reserved_238_wr_reg;</t>
  </si>
  <si>
    <t>-- AEB General Configuration Area Register "RESERVED_23C"</t>
  </si>
  <si>
    <t>type t_aeb_gen_cfg_reserved_23c_wr_reg is record</t>
  </si>
  <si>
    <t>end record t_aeb_gen_cfg_reserved_23c_wr_reg;</t>
  </si>
  <si>
    <t>-- AEB General Configuration Area Register "RESERVED_240"</t>
  </si>
  <si>
    <t>type t_aeb_gen_cfg_reserved_240_wr_reg is record</t>
  </si>
  <si>
    <t>end record t_aeb_gen_cfg_reserved_240_wr_reg;</t>
  </si>
  <si>
    <t>-- AEB General Configuration Area Register "RESERVED_244"</t>
  </si>
  <si>
    <t>type t_aeb_gen_cfg_reserved_244_wr_reg is record</t>
  </si>
  <si>
    <t>end record t_aeb_gen_cfg_reserved_244_wr_reg;</t>
  </si>
  <si>
    <t>-- AEB General Configuration Area Register "RESERVED_248"</t>
  </si>
  <si>
    <t>type t_aeb_gen_cfg_reserved_248_wr_reg is record</t>
  </si>
  <si>
    <t>end record t_aeb_gen_cfg_reserved_248_wr_reg;</t>
  </si>
  <si>
    <t>-- AEB General Configuration Area Register "RESERVED_24C"</t>
  </si>
  <si>
    <t>type t_aeb_gen_cfg_reserved_24c_wr_reg is record</t>
  </si>
  <si>
    <t>end record t_aeb_gen_cfg_reserved_24c_wr_reg;</t>
  </si>
  <si>
    <t>-- AEB General Configuration Area Register "RESERVED_250"</t>
  </si>
  <si>
    <t>type t_aeb_gen_cfg_reserved_250_wr_reg is record</t>
  </si>
  <si>
    <t>end record t_aeb_gen_cfg_reserved_250_wr_reg;</t>
  </si>
  <si>
    <t>-- AEB General Configuration Area Register "RESERVED_254"</t>
  </si>
  <si>
    <t>type t_aeb_gen_cfg_reserved_254_wr_reg is record</t>
  </si>
  <si>
    <t>end record t_aeb_gen_cfg_reserved_254_wr_reg;</t>
  </si>
  <si>
    <t>-- AEB General Configuration Area Register "RESERVED_258"</t>
  </si>
  <si>
    <t>type t_aeb_gen_cfg_reserved_258_wr_reg is record</t>
  </si>
  <si>
    <t>end record t_aeb_gen_cfg_reserved_258_wr_reg;</t>
  </si>
  <si>
    <t>-- AEB General Configuration Area Register "RESERVED_25C"</t>
  </si>
  <si>
    <t>type t_aeb_gen_cfg_reserved_25c_wr_reg is record</t>
  </si>
  <si>
    <t>end record t_aeb_gen_cfg_reserved_25c_wr_reg;</t>
  </si>
  <si>
    <t>-- AEB General Configuration Area Register "RESERVED_260"</t>
  </si>
  <si>
    <t>type t_aeb_gen_cfg_reserved_260_wr_reg is record</t>
  </si>
  <si>
    <t>end record t_aeb_gen_cfg_reserved_260_wr_reg;</t>
  </si>
  <si>
    <t>-- AEB General Configuration Area Register "RESERVED_264"</t>
  </si>
  <si>
    <t>type t_aeb_gen_cfg_reserved_264_wr_reg is record</t>
  </si>
  <si>
    <t>end record t_aeb_gen_cfg_reserved_264_wr_reg;</t>
  </si>
  <si>
    <t>-- AEB General Configuration Area Register "RESERVED_268"</t>
  </si>
  <si>
    <t>type t_aeb_gen_cfg_reserved_268_wr_reg is record</t>
  </si>
  <si>
    <t>end record t_aeb_gen_cfg_reserved_268_wr_reg;</t>
  </si>
  <si>
    <t>-- AEB General Configuration Area Register "RESERVED_26C"</t>
  </si>
  <si>
    <t>type t_aeb_gen_cfg_reserved_26c_wr_reg is record</t>
  </si>
  <si>
    <t>end record t_aeb_gen_cfg_reserved_26c_wr_reg;</t>
  </si>
  <si>
    <t>-- AEB General Configuration Area Register "RESERVED_270"</t>
  </si>
  <si>
    <t>type t_aeb_gen_cfg_reserved_270_wr_reg is record</t>
  </si>
  <si>
    <t>end record t_aeb_gen_cfg_reserved_270_wr_reg;</t>
  </si>
  <si>
    <t>-- AEB General Configuration Area Register "RESERVED_274"</t>
  </si>
  <si>
    <t>type t_aeb_gen_cfg_reserved_274_wr_reg is record</t>
  </si>
  <si>
    <t>end record t_aeb_gen_cfg_reserved_274_wr_reg;</t>
  </si>
  <si>
    <t>-- AEB General Configuration Area Register "RESERVED_278"</t>
  </si>
  <si>
    <t>type t_aeb_gen_cfg_reserved_278_wr_reg is record</t>
  </si>
  <si>
    <t>end record t_aeb_gen_cfg_reserved_278_wr_reg;</t>
  </si>
  <si>
    <t>-- AEB General Configuration Area Register "RESERVED_27C"</t>
  </si>
  <si>
    <t>type t_aeb_gen_cfg_reserved_27c_wr_reg is record</t>
  </si>
  <si>
    <t>end record t_aeb_gen_cfg_reserved_27c_wr_reg;</t>
  </si>
  <si>
    <t>-- AEB General Configuration Area Register "RESERVED_280"</t>
  </si>
  <si>
    <t>type t_aeb_gen_cfg_reserved_280_wr_reg is record</t>
  </si>
  <si>
    <t>end record t_aeb_gen_cfg_reserved_280_wr_reg;</t>
  </si>
  <si>
    <t>-- AEB General Configuration Area Register "RESERVED_284"</t>
  </si>
  <si>
    <t>type t_aeb_gen_cfg_reserved_284_wr_reg is record</t>
  </si>
  <si>
    <t>end record t_aeb_gen_cfg_reserved_284_wr_reg;</t>
  </si>
  <si>
    <t>-- AEB General Configuration Area Register "RESERVED_288"</t>
  </si>
  <si>
    <t>type t_aeb_gen_cfg_reserved_288_wr_reg is record</t>
  </si>
  <si>
    <t>end record t_aeb_gen_cfg_reserved_288_wr_reg;</t>
  </si>
  <si>
    <t>-- AEB General Configuration Area Register "RESERVED_28C"</t>
  </si>
  <si>
    <t>type t_aeb_gen_cfg_reserved_28c_wr_reg is record</t>
  </si>
  <si>
    <t>end record t_aeb_gen_cfg_reserved_28c_wr_reg;</t>
  </si>
  <si>
    <t>-- AEB General Configuration Area Register "RESERVED_290"</t>
  </si>
  <si>
    <t>type t_aeb_gen_cfg_reserved_290_wr_reg is record</t>
  </si>
  <si>
    <t>end record t_aeb_gen_cfg_reserved_290_wr_reg;</t>
  </si>
  <si>
    <t>-- AEB General Configuration Area Register "RESERVED_294"</t>
  </si>
  <si>
    <t>type t_aeb_gen_cfg_reserved_294_wr_reg is record</t>
  </si>
  <si>
    <t>end record t_aeb_gen_cfg_reserved_294_wr_reg;</t>
  </si>
  <si>
    <t>-- AEB General Configuration Area Register "RESERVED_298"</t>
  </si>
  <si>
    <t>type t_aeb_gen_cfg_reserved_298_wr_reg is record</t>
  </si>
  <si>
    <t>end record t_aeb_gen_cfg_reserved_298_wr_reg;</t>
  </si>
  <si>
    <t>-- AEB General Configuration Area Register "RESERVED_29C"</t>
  </si>
  <si>
    <t>type t_aeb_gen_cfg_reserved_29c_wr_reg is record</t>
  </si>
  <si>
    <t>end record t_aeb_gen_cfg_reserved_29c_wr_reg;</t>
  </si>
  <si>
    <t>-- AEB General Configuration Area Register "RESERVED_2A0"</t>
  </si>
  <si>
    <t>type t_aeb_gen_cfg_reserved_2a0_wr_reg is record</t>
  </si>
  <si>
    <t>end record t_aeb_gen_cfg_reserved_2a0_wr_reg;</t>
  </si>
  <si>
    <t>-- AEB General Configuration Area Register "RESERVED_2A4"</t>
  </si>
  <si>
    <t>type t_aeb_gen_cfg_reserved_2a4_wr_reg is record</t>
  </si>
  <si>
    <t>end record t_aeb_gen_cfg_reserved_2a4_wr_reg;</t>
  </si>
  <si>
    <t>-- AEB General Configuration Area Register "RESERVED_2A8"</t>
  </si>
  <si>
    <t>type t_aeb_gen_cfg_reserved_2a8_wr_reg is record</t>
  </si>
  <si>
    <t>end record t_aeb_gen_cfg_reserved_2a8_wr_reg;</t>
  </si>
  <si>
    <t>-- AEB General Configuration Area Register "RESERVED_2AC"</t>
  </si>
  <si>
    <t>type t_aeb_gen_cfg_reserved_2ac_wr_reg is record</t>
  </si>
  <si>
    <t>end record t_aeb_gen_cfg_reserved_2ac_wr_reg;</t>
  </si>
  <si>
    <t>-- AEB General Configuration Area Register "RESERVED_2B0"</t>
  </si>
  <si>
    <t>type t_aeb_gen_cfg_reserved_2b0_wr_reg is record</t>
  </si>
  <si>
    <t>end record t_aeb_gen_cfg_reserved_2b0_wr_reg;</t>
  </si>
  <si>
    <t>-- AEB General Configuration Area Register "RESERVED_2B4"</t>
  </si>
  <si>
    <t>type t_aeb_gen_cfg_reserved_2b4_wr_reg is record</t>
  </si>
  <si>
    <t>end record t_aeb_gen_cfg_reserved_2b4_wr_reg;</t>
  </si>
  <si>
    <t>-- AEB General Configuration Area Register "RESERVED_2B8"</t>
  </si>
  <si>
    <t>type t_aeb_gen_cfg_reserved_2b8_wr_reg is record</t>
  </si>
  <si>
    <t>end record t_aeb_gen_cfg_reserved_2b8_wr_reg;</t>
  </si>
  <si>
    <t>-- AEB General Configuration Area Register "RESERVED_2BC"</t>
  </si>
  <si>
    <t>type t_aeb_gen_cfg_reserved_2bc_wr_reg is record</t>
  </si>
  <si>
    <t>end record t_aeb_gen_cfg_reserved_2bc_wr_reg;</t>
  </si>
  <si>
    <t>-- AEB General Configuration Area Register "RESERVED_2C0"</t>
  </si>
  <si>
    <t>type t_aeb_gen_cfg_reserved_2c0_wr_reg is record</t>
  </si>
  <si>
    <t>end record t_aeb_gen_cfg_reserved_2c0_wr_reg;</t>
  </si>
  <si>
    <t>-- AEB General Configuration Area Register "RESERVED_2C4"</t>
  </si>
  <si>
    <t>type t_aeb_gen_cfg_reserved_2c4_wr_reg is record</t>
  </si>
  <si>
    <t>end record t_aeb_gen_cfg_reserved_2c4_wr_reg;</t>
  </si>
  <si>
    <t>-- AEB General Configuration Area Register "RESERVED_2C8"</t>
  </si>
  <si>
    <t>type t_aeb_gen_cfg_reserved_2c8_wr_reg is record</t>
  </si>
  <si>
    <t>end record t_aeb_gen_cfg_reserved_2c8_wr_reg;</t>
  </si>
  <si>
    <t>-- AEB General Configuration Area Register "RESERVED_2CC"</t>
  </si>
  <si>
    <t>type t_aeb_gen_cfg_reserved_2cc_wr_reg is record</t>
  </si>
  <si>
    <t>end record t_aeb_gen_cfg_reserved_2cc_wr_reg;</t>
  </si>
  <si>
    <t>-- AEB General Configuration Area Register "RESERVED_2D0"</t>
  </si>
  <si>
    <t>type t_aeb_gen_cfg_reserved_2d0_wr_reg is record</t>
  </si>
  <si>
    <t>end record t_aeb_gen_cfg_reserved_2d0_wr_reg;</t>
  </si>
  <si>
    <t>-- AEB General Configuration Area Register "RESERVED_2D4"</t>
  </si>
  <si>
    <t>type t_aeb_gen_cfg_reserved_2d4_wr_reg is record</t>
  </si>
  <si>
    <t>end record t_aeb_gen_cfg_reserved_2d4_wr_reg;</t>
  </si>
  <si>
    <t>-- AEB General Configuration Area Register "RESERVED_2D8"</t>
  </si>
  <si>
    <t>type t_aeb_gen_cfg_reserved_2d8_wr_reg is record</t>
  </si>
  <si>
    <t>end record t_aeb_gen_cfg_reserved_2d8_wr_reg;</t>
  </si>
  <si>
    <t>-- AEB General Configuration Area Register "RESERVED_2DC"</t>
  </si>
  <si>
    <t>type t_aeb_gen_cfg_reserved_2dc_wr_reg is record</t>
  </si>
  <si>
    <t>end record t_aeb_gen_cfg_reserved_2dc_wr_reg;</t>
  </si>
  <si>
    <t>-- AEB General Configuration Area Register "RESERVED_2E0"</t>
  </si>
  <si>
    <t>type t_aeb_gen_cfg_reserved_2e0_wr_reg is record</t>
  </si>
  <si>
    <t>end record t_aeb_gen_cfg_reserved_2e0_wr_reg;</t>
  </si>
  <si>
    <t>-- AEB General Configuration Area Register "RESERVED_2E4"</t>
  </si>
  <si>
    <t>type t_aeb_gen_cfg_reserved_2e4_wr_reg is record</t>
  </si>
  <si>
    <t>end record t_aeb_gen_cfg_reserved_2e4_wr_reg;</t>
  </si>
  <si>
    <t>-- AEB General Configuration Area Register "RESERVED_2E8"</t>
  </si>
  <si>
    <t>type t_aeb_gen_cfg_reserved_2e8_wr_reg is record</t>
  </si>
  <si>
    <t>end record t_aeb_gen_cfg_reserved_2e8_wr_reg;</t>
  </si>
  <si>
    <t>-- AEB General Configuration Area Register "RESERVED_2EC"</t>
  </si>
  <si>
    <t>type t_aeb_gen_cfg_reserved_2ec_wr_reg is record</t>
  </si>
  <si>
    <t>end record t_aeb_gen_cfg_reserved_2ec_wr_reg;</t>
  </si>
  <si>
    <t>-- AEB General Configuration Area Register "RESERVED_2F0"</t>
  </si>
  <si>
    <t>type t_aeb_gen_cfg_reserved_2f0_wr_reg is record</t>
  </si>
  <si>
    <t>end record t_aeb_gen_cfg_reserved_2f0_wr_reg;</t>
  </si>
  <si>
    <t>-- AEB General Configuration Area Register "RESERVED_2F4"</t>
  </si>
  <si>
    <t>type t_aeb_gen_cfg_reserved_2f4_wr_reg is record</t>
  </si>
  <si>
    <t>end record t_aeb_gen_cfg_reserved_2f4_wr_reg;</t>
  </si>
  <si>
    <t>-- AEB General Configuration Area Register "RESERVED_2F8"</t>
  </si>
  <si>
    <t>type t_aeb_gen_cfg_reserved_2f8_wr_reg is record</t>
  </si>
  <si>
    <t>end record t_aeb_gen_cfg_reserved_2f8_wr_reg;</t>
  </si>
  <si>
    <t>-- AEB General Configuration Area Register "RESERVED_2FC"</t>
  </si>
  <si>
    <t>type t_aeb_gen_cfg_reserved_2fc_wr_reg is record</t>
  </si>
  <si>
    <t>end record t_aeb_gen_cfg_reserved_2fc_wr_reg;</t>
  </si>
  <si>
    <t>-- AEB General Configuration Area Register "RESERVED_300"</t>
  </si>
  <si>
    <t>type t_aeb_gen_cfg_reserved_300_wr_reg is record</t>
  </si>
  <si>
    <t>end record t_aeb_gen_cfg_reserved_300_wr_reg;</t>
  </si>
  <si>
    <t>-- AEB General Configuration Area Register "RESERVED_304"</t>
  </si>
  <si>
    <t>type t_aeb_gen_cfg_reserved_304_wr_reg is record</t>
  </si>
  <si>
    <t>end record t_aeb_gen_cfg_reserved_304_wr_reg;</t>
  </si>
  <si>
    <t>-- AEB General Configuration Area Register "RESERVED_308"</t>
  </si>
  <si>
    <t>type t_aeb_gen_cfg_reserved_308_wr_reg is record</t>
  </si>
  <si>
    <t>end record t_aeb_gen_cfg_reserved_308_wr_reg;</t>
  </si>
  <si>
    <t>-- AEB General Configuration Area Register "RESERVED_30C"</t>
  </si>
  <si>
    <t>type t_aeb_gen_cfg_reserved_30c_wr_reg is record</t>
  </si>
  <si>
    <t>end record t_aeb_gen_cfg_reserved_30c_wr_reg;</t>
  </si>
  <si>
    <t>-- AEB General Configuration Area Register "RESERVED_310"</t>
  </si>
  <si>
    <t>type t_aeb_gen_cfg_reserved_310_wr_reg is record</t>
  </si>
  <si>
    <t>end record t_aeb_gen_cfg_reserved_310_wr_reg;</t>
  </si>
  <si>
    <t>-- AEB General Configuration Area Register "RESERVED_314"</t>
  </si>
  <si>
    <t>type t_aeb_gen_cfg_reserved_314_wr_reg is record</t>
  </si>
  <si>
    <t>end record t_aeb_gen_cfg_reserved_314_wr_reg;</t>
  </si>
  <si>
    <t>-- AEB General Configuration Area Register "RESERVED_318"</t>
  </si>
  <si>
    <t>type t_aeb_gen_cfg_reserved_318_wr_reg is record</t>
  </si>
  <si>
    <t>end record t_aeb_gen_cfg_reserved_318_wr_reg;</t>
  </si>
  <si>
    <t>-- AEB General Configuration Area Register "RESERVED_31C"</t>
  </si>
  <si>
    <t>type t_aeb_gen_cfg_reserved_31c_wr_reg is record</t>
  </si>
  <si>
    <t>end record t_aeb_gen_cfg_reserved_31c_wr_reg;</t>
  </si>
  <si>
    <t>-- AEB General Configuration Area Register "RESERVED_320"</t>
  </si>
  <si>
    <t>type t_aeb_gen_cfg_reserved_320_wr_reg is record</t>
  </si>
  <si>
    <t>end record t_aeb_gen_cfg_reserved_320_wr_reg;</t>
  </si>
  <si>
    <t>-- AEB General Configuration Area Register "RESERVED_324"</t>
  </si>
  <si>
    <t>type t_aeb_gen_cfg_reserved_324_wr_reg is record</t>
  </si>
  <si>
    <t>end record t_aeb_gen_cfg_reserved_324_wr_reg;</t>
  </si>
  <si>
    <t>-- AEB General Configuration Area Register "RESERVED_328"</t>
  </si>
  <si>
    <t>type t_aeb_gen_cfg_reserved_328_wr_reg is record</t>
  </si>
  <si>
    <t>end record t_aeb_gen_cfg_reserved_328_wr_reg;</t>
  </si>
  <si>
    <t>-- AEB General Configuration Area Register "RESERVED_32C"</t>
  </si>
  <si>
    <t>type t_aeb_gen_cfg_reserved_32c_wr_reg is record</t>
  </si>
  <si>
    <t>end record t_aeb_gen_cfg_reserved_32c_wr_reg;</t>
  </si>
  <si>
    <t>-- AEB General Configuration Area Register "RESERVED_330"</t>
  </si>
  <si>
    <t>type t_aeb_gen_cfg_reserved_330_wr_reg is record</t>
  </si>
  <si>
    <t>end record t_aeb_gen_cfg_reserved_330_wr_reg;</t>
  </si>
  <si>
    <t>-- AEB General Configuration Area Register "RESERVED_334"</t>
  </si>
  <si>
    <t>type t_aeb_gen_cfg_reserved_334_wr_reg is record</t>
  </si>
  <si>
    <t>end record t_aeb_gen_cfg_reserved_334_wr_reg;</t>
  </si>
  <si>
    <t>-- AEB General Configuration Area Register "RESERVED_338"</t>
  </si>
  <si>
    <t>type t_aeb_gen_cfg_reserved_338_wr_reg is record</t>
  </si>
  <si>
    <t>end record t_aeb_gen_cfg_reserved_338_wr_reg;</t>
  </si>
  <si>
    <t>-- AEB General Configuration Area Register "RESERVED_33C"</t>
  </si>
  <si>
    <t>type t_aeb_gen_cfg_reserved_33c_wr_reg is record</t>
  </si>
  <si>
    <t>end record t_aeb_gen_cfg_reserved_33c_wr_reg;</t>
  </si>
  <si>
    <t>-- AEB General Configuration Area Register "RESERVED_340"</t>
  </si>
  <si>
    <t>type t_aeb_gen_cfg_reserved_340_wr_reg is record</t>
  </si>
  <si>
    <t>end record t_aeb_gen_cfg_reserved_340_wr_reg;</t>
  </si>
  <si>
    <t>-- AEB General Configuration Area Register "RESERVED_344"</t>
  </si>
  <si>
    <t>type t_aeb_gen_cfg_reserved_344_wr_reg is record</t>
  </si>
  <si>
    <t>end record t_aeb_gen_cfg_reserved_344_wr_reg;</t>
  </si>
  <si>
    <t>-- AEB General Configuration Area Register "RESERVED_348"</t>
  </si>
  <si>
    <t>type t_aeb_gen_cfg_reserved_348_wr_reg is record</t>
  </si>
  <si>
    <t>end record t_aeb_gen_cfg_reserved_348_wr_reg;</t>
  </si>
  <si>
    <t>-- AEB General Configuration Area Register "RESERVED_34C"</t>
  </si>
  <si>
    <t>type t_aeb_gen_cfg_reserved_34c_wr_reg is record</t>
  </si>
  <si>
    <t>end record t_aeb_gen_cfg_reserved_34c_wr_reg;</t>
  </si>
  <si>
    <t>-- AEB General Configuration Area Register "RESERVED_350"</t>
  </si>
  <si>
    <t>type t_aeb_gen_cfg_reserved_350_wr_reg is record</t>
  </si>
  <si>
    <t>end record t_aeb_gen_cfg_reserved_350_wr_reg;</t>
  </si>
  <si>
    <t>-- AEB General Configuration Area Register "RESERVED_354"</t>
  </si>
  <si>
    <t>type t_aeb_gen_cfg_reserved_354_wr_reg is record</t>
  </si>
  <si>
    <t>end record t_aeb_gen_cfg_reserved_354_wr_reg;</t>
  </si>
  <si>
    <t>-- AEB General Configuration Area Register "RESERVED_358"</t>
  </si>
  <si>
    <t>type t_aeb_gen_cfg_reserved_358_wr_reg is record</t>
  </si>
  <si>
    <t>end record t_aeb_gen_cfg_reserved_358_wr_reg;</t>
  </si>
  <si>
    <t>-- AEB General Configuration Area Register "RESERVED_35C"</t>
  </si>
  <si>
    <t>type t_aeb_gen_cfg_reserved_35c_wr_reg is record</t>
  </si>
  <si>
    <t>end record t_aeb_gen_cfg_reserved_35c_wr_reg;</t>
  </si>
  <si>
    <t>-- AEB General Configuration Area Register "RESERVED_360"</t>
  </si>
  <si>
    <t>type t_aeb_gen_cfg_reserved_360_wr_reg is record</t>
  </si>
  <si>
    <t>end record t_aeb_gen_cfg_reserved_360_wr_reg;</t>
  </si>
  <si>
    <t>-- AEB General Configuration Area Register "RESERVED_364"</t>
  </si>
  <si>
    <t>type t_aeb_gen_cfg_reserved_364_wr_reg is record</t>
  </si>
  <si>
    <t>end record t_aeb_gen_cfg_reserved_364_wr_reg;</t>
  </si>
  <si>
    <t>-- AEB General Configuration Area Register "RESERVED_368"</t>
  </si>
  <si>
    <t>type t_aeb_gen_cfg_reserved_368_wr_reg is record</t>
  </si>
  <si>
    <t>end record t_aeb_gen_cfg_reserved_368_wr_reg;</t>
  </si>
  <si>
    <t>-- AEB General Configuration Area Register "RESERVED_36C"</t>
  </si>
  <si>
    <t>type t_aeb_gen_cfg_reserved_36c_wr_reg is record</t>
  </si>
  <si>
    <t>end record t_aeb_gen_cfg_reserved_36c_wr_reg;</t>
  </si>
  <si>
    <t>-- AEB General Configuration Area Register "RESERVED_370"</t>
  </si>
  <si>
    <t>type t_aeb_gen_cfg_reserved_370_wr_reg is record</t>
  </si>
  <si>
    <t>end record t_aeb_gen_cfg_reserved_370_wr_reg;</t>
  </si>
  <si>
    <t>-- AEB General Configuration Area Register "RESERVED_374"</t>
  </si>
  <si>
    <t>type t_aeb_gen_cfg_reserved_374_wr_reg is record</t>
  </si>
  <si>
    <t>end record t_aeb_gen_cfg_reserved_374_wr_reg;</t>
  </si>
  <si>
    <t>-- AEB General Configuration Area Register "RESERVED_378"</t>
  </si>
  <si>
    <t>type t_aeb_gen_cfg_reserved_378_wr_reg is record</t>
  </si>
  <si>
    <t>end record t_aeb_gen_cfg_reserved_378_wr_reg;</t>
  </si>
  <si>
    <t>-- AEB General Configuration Area Register "RESERVED_37C"</t>
  </si>
  <si>
    <t>type t_aeb_gen_cfg_reserved_37c_wr_reg is record</t>
  </si>
  <si>
    <t>end record t_aeb_gen_cfg_reserved_37c_wr_reg;</t>
  </si>
  <si>
    <t>-- AEB General Configuration Area Register "RESERVED_380"</t>
  </si>
  <si>
    <t>type t_aeb_gen_cfg_reserved_380_wr_reg is record</t>
  </si>
  <si>
    <t>end record t_aeb_gen_cfg_reserved_380_wr_reg;</t>
  </si>
  <si>
    <t>-- AEB General Configuration Area Register "RESERVED_384"</t>
  </si>
  <si>
    <t>type t_aeb_gen_cfg_reserved_384_wr_reg is record</t>
  </si>
  <si>
    <t>end record t_aeb_gen_cfg_reserved_384_wr_reg;</t>
  </si>
  <si>
    <t>-- AEB General Configuration Area Register "RESERVED_388"</t>
  </si>
  <si>
    <t>type t_aeb_gen_cfg_reserved_388_wr_reg is record</t>
  </si>
  <si>
    <t>end record t_aeb_gen_cfg_reserved_388_wr_reg;</t>
  </si>
  <si>
    <t>-- AEB General Configuration Area Register "RESERVED_38C"</t>
  </si>
  <si>
    <t>type t_aeb_gen_cfg_reserved_38c_wr_reg is record</t>
  </si>
  <si>
    <t>end record t_aeb_gen_cfg_reserved_38c_wr_reg;</t>
  </si>
  <si>
    <t>-- AEB General Configuration Area Register "RESERVED_390"</t>
  </si>
  <si>
    <t>type t_aeb_gen_cfg_reserved_390_wr_reg is record</t>
  </si>
  <si>
    <t>end record t_aeb_gen_cfg_reserved_390_wr_reg;</t>
  </si>
  <si>
    <t>-- AEB General Configuration Area Register "RESERVED_394"</t>
  </si>
  <si>
    <t>type t_aeb_gen_cfg_reserved_394_wr_reg is record</t>
  </si>
  <si>
    <t>end record t_aeb_gen_cfg_reserved_394_wr_reg;</t>
  </si>
  <si>
    <t>-- AEB General Configuration Area Register "RESERVED_398"</t>
  </si>
  <si>
    <t>type t_aeb_gen_cfg_reserved_398_wr_reg is record</t>
  </si>
  <si>
    <t>end record t_aeb_gen_cfg_reserved_398_wr_reg;</t>
  </si>
  <si>
    <t>-- AEB General Configuration Area Register "RESERVED_39C"</t>
  </si>
  <si>
    <t>type t_aeb_gen_cfg_reserved_39c_wr_reg is record</t>
  </si>
  <si>
    <t>end record t_aeb_gen_cfg_reserved_39c_wr_reg;</t>
  </si>
  <si>
    <t>-- AEB General Configuration Area Register "RESERVED_3A0"</t>
  </si>
  <si>
    <t>type t_aeb_gen_cfg_reserved_3a0_wr_reg is record</t>
  </si>
  <si>
    <t>end record t_aeb_gen_cfg_reserved_3a0_wr_reg;</t>
  </si>
  <si>
    <t>-- AEB General Configuration Area Register "RESERVED_3A4"</t>
  </si>
  <si>
    <t>type t_aeb_gen_cfg_reserved_3a4_wr_reg is record</t>
  </si>
  <si>
    <t>end record t_aeb_gen_cfg_reserved_3a4_wr_reg;</t>
  </si>
  <si>
    <t>-- AEB General Configuration Area Register "RESERVED_3A8"</t>
  </si>
  <si>
    <t>type t_aeb_gen_cfg_reserved_3a8_wr_reg is record</t>
  </si>
  <si>
    <t>end record t_aeb_gen_cfg_reserved_3a8_wr_reg;</t>
  </si>
  <si>
    <t>-- AEB General Configuration Area Register "RESERVED_3AC"</t>
  </si>
  <si>
    <t>type t_aeb_gen_cfg_reserved_3ac_wr_reg is record</t>
  </si>
  <si>
    <t>end record t_aeb_gen_cfg_reserved_3ac_wr_reg;</t>
  </si>
  <si>
    <t>-- AEB General Configuration Area Register "RESERVED_3B0"</t>
  </si>
  <si>
    <t>type t_aeb_gen_cfg_reserved_3b0_wr_reg is record</t>
  </si>
  <si>
    <t>end record t_aeb_gen_cfg_reserved_3b0_wr_reg;</t>
  </si>
  <si>
    <t>-- AEB General Configuration Area Register "RESERVED_3B4"</t>
  </si>
  <si>
    <t>type t_aeb_gen_cfg_reserved_3b4_wr_reg is record</t>
  </si>
  <si>
    <t>end record t_aeb_gen_cfg_reserved_3b4_wr_reg;</t>
  </si>
  <si>
    <t>-- AEB General Configuration Area Register "RESERVED_3B8"</t>
  </si>
  <si>
    <t>type t_aeb_gen_cfg_reserved_3b8_wr_reg is record</t>
  </si>
  <si>
    <t>end record t_aeb_gen_cfg_reserved_3b8_wr_reg;</t>
  </si>
  <si>
    <t>-- AEB General Configuration Area Register "RESERVED_3BC"</t>
  </si>
  <si>
    <t>type t_aeb_gen_cfg_reserved_3bc_wr_reg is record</t>
  </si>
  <si>
    <t>end record t_aeb_gen_cfg_reserved_3bc_wr_reg;</t>
  </si>
  <si>
    <t>-- AEB General Configuration Area Register "RESERVED_3C0"</t>
  </si>
  <si>
    <t>type t_aeb_gen_cfg_reserved_3c0_wr_reg is record</t>
  </si>
  <si>
    <t>end record t_aeb_gen_cfg_reserved_3c0_wr_reg;</t>
  </si>
  <si>
    <t>-- AEB General Configuration Area Register "RESERVED_3C4"</t>
  </si>
  <si>
    <t>type t_aeb_gen_cfg_reserved_3c4_wr_reg is record</t>
  </si>
  <si>
    <t>end record t_aeb_gen_cfg_reserved_3c4_wr_reg;</t>
  </si>
  <si>
    <t>-- AEB General Configuration Area Register "RESERVED_3C8"</t>
  </si>
  <si>
    <t>type t_aeb_gen_cfg_reserved_3c8_wr_reg is record</t>
  </si>
  <si>
    <t>end record t_aeb_gen_cfg_reserved_3c8_wr_reg;</t>
  </si>
  <si>
    <t>-- AEB General Configuration Area Register "RESERVED_3CC"</t>
  </si>
  <si>
    <t>type t_aeb_gen_cfg_reserved_3cc_wr_reg is record</t>
  </si>
  <si>
    <t>end record t_aeb_gen_cfg_reserved_3cc_wr_reg;</t>
  </si>
  <si>
    <t>-- AEB General Configuration Area Register "RESERVED_3D0"</t>
  </si>
  <si>
    <t>type t_aeb_gen_cfg_reserved_3d0_wr_reg is record</t>
  </si>
  <si>
    <t>end record t_aeb_gen_cfg_reserved_3d0_wr_reg;</t>
  </si>
  <si>
    <t>-- AEB General Configuration Area Register "RESERVED_3D4"</t>
  </si>
  <si>
    <t>type t_aeb_gen_cfg_reserved_3d4_wr_reg is record</t>
  </si>
  <si>
    <t>end record t_aeb_gen_cfg_reserved_3d4_wr_reg;</t>
  </si>
  <si>
    <t>-- AEB General Configuration Area Register "RESERVED_3D8"</t>
  </si>
  <si>
    <t>type t_aeb_gen_cfg_reserved_3d8_wr_reg is record</t>
  </si>
  <si>
    <t>end record t_aeb_gen_cfg_reserved_3d8_wr_reg;</t>
  </si>
  <si>
    <t>-- AEB General Configuration Area Register "RESERVED_3DC"</t>
  </si>
  <si>
    <t>type t_aeb_gen_cfg_reserved_3dc_wr_reg is record</t>
  </si>
  <si>
    <t>end record t_aeb_gen_cfg_reserved_3dc_wr_reg;</t>
  </si>
  <si>
    <t>-- AEB General Configuration Area Register "RESERVED_3E0"</t>
  </si>
  <si>
    <t>type t_aeb_gen_cfg_reserved_3e0_wr_reg is record</t>
  </si>
  <si>
    <t>end record t_aeb_gen_cfg_reserved_3e0_wr_reg;</t>
  </si>
  <si>
    <t>-- AEB General Configuration Area Register "RESERVED_3E4"</t>
  </si>
  <si>
    <t>type t_aeb_gen_cfg_reserved_3e4_wr_reg is record</t>
  </si>
  <si>
    <t>end record t_aeb_gen_cfg_reserved_3e4_wr_reg;</t>
  </si>
  <si>
    <t>-- AEB General Configuration Area Register "RESERVED_3E8"</t>
  </si>
  <si>
    <t>type t_aeb_gen_cfg_reserved_3e8_wr_reg is record</t>
  </si>
  <si>
    <t>end record t_aeb_gen_cfg_reserved_3e8_wr_reg;</t>
  </si>
  <si>
    <t>-- AEB General Configuration Area Register "RESERVED_3EC"</t>
  </si>
  <si>
    <t>type t_aeb_gen_cfg_reserved_3ec_wr_reg is record</t>
  </si>
  <si>
    <t>end record t_aeb_gen_cfg_reserved_3ec_wr_reg;</t>
  </si>
  <si>
    <t>-- AEB General Configuration Area Register "RESERVED_3F0"</t>
  </si>
  <si>
    <t>type t_aeb_gen_cfg_reserved_3f0_wr_reg is record</t>
  </si>
  <si>
    <t>end record t_aeb_gen_cfg_reserved_3f0_wr_reg;</t>
  </si>
  <si>
    <t>-- AEB General Configuration Area Register "RESERVED_3F4"</t>
  </si>
  <si>
    <t>type t_aeb_gen_cfg_reserved_3f4_wr_reg is record</t>
  </si>
  <si>
    <t>end record t_aeb_gen_cfg_reserved_3f4_wr_reg;</t>
  </si>
  <si>
    <t>-- AEB General Configuration Area Register "RESERVED_3F8"</t>
  </si>
  <si>
    <t>type t_aeb_gen_cfg_reserved_3f8_wr_reg is record</t>
  </si>
  <si>
    <t>end record t_aeb_gen_cfg_reserved_3f8_wr_reg;</t>
  </si>
  <si>
    <t>-- AEB General Configuration Area Register "RESERVED_3FC"</t>
  </si>
  <si>
    <t>type t_aeb_gen_cfg_reserved_3fc_wr_reg is record</t>
  </si>
  <si>
    <t>end record t_aeb_gen_cfg_reserved_3fc_wr_reg;</t>
  </si>
  <si>
    <t>-- AEB General Configuration Area Register "RESERVED_400"</t>
  </si>
  <si>
    <t>type t_aeb_gen_cfg_reserved_400_wr_reg is record</t>
  </si>
  <si>
    <t>end record t_aeb_gen_cfg_reserved_400_wr_reg;</t>
  </si>
  <si>
    <t>-- AEB General Configuration Area Register "RESERVED_404"</t>
  </si>
  <si>
    <t>type t_aeb_gen_cfg_reserved_404_wr_reg is record</t>
  </si>
  <si>
    <t>end record t_aeb_gen_cfg_reserved_404_wr_reg;</t>
  </si>
  <si>
    <t>-- AEB General Configuration Area Register "RESERVED_408"</t>
  </si>
  <si>
    <t>type t_aeb_gen_cfg_reserved_408_wr_reg is record</t>
  </si>
  <si>
    <t>end record t_aeb_gen_cfg_reserved_408_wr_reg;</t>
  </si>
  <si>
    <t>-- AEB General Configuration Area Register "RESERVED_40C"</t>
  </si>
  <si>
    <t>type t_aeb_gen_cfg_reserved_40c_wr_reg is record</t>
  </si>
  <si>
    <t>end record t_aeb_gen_cfg_reserved_40c_wr_reg;</t>
  </si>
  <si>
    <t>-- AEB General Configuration Area Register "RESERVED_410"</t>
  </si>
  <si>
    <t>type t_aeb_gen_cfg_reserved_410_wr_reg is record</t>
  </si>
  <si>
    <t>end record t_aeb_gen_cfg_reserved_410_wr_reg;</t>
  </si>
  <si>
    <t>-- AEB General Configuration Area Register "RESERVED_414"</t>
  </si>
  <si>
    <t>type t_aeb_gen_cfg_reserved_414_wr_reg is record</t>
  </si>
  <si>
    <t>end record t_aeb_gen_cfg_reserved_414_wr_reg;</t>
  </si>
  <si>
    <t>-- AEB General Configuration Area Register "RESERVED_418"</t>
  </si>
  <si>
    <t>type t_aeb_gen_cfg_reserved_418_wr_reg is record</t>
  </si>
  <si>
    <t>end record t_aeb_gen_cfg_reserved_418_wr_reg;</t>
  </si>
  <si>
    <t>-- AEB General Configuration Area Register "RESERVED_41C"</t>
  </si>
  <si>
    <t>type t_aeb_gen_cfg_reserved_41c_wr_reg is record</t>
  </si>
  <si>
    <t>end record t_aeb_gen_cfg_reserved_41c_wr_reg;</t>
  </si>
  <si>
    <t>-- AEB General Configuration Area Register "RESERVED_420"</t>
  </si>
  <si>
    <t>type t_aeb_gen_cfg_reserved_420_wr_reg is record</t>
  </si>
  <si>
    <t>end record t_aeb_gen_cfg_reserved_420_wr_reg;</t>
  </si>
  <si>
    <t>-- AEB General Configuration Area Register "RESERVED_424"</t>
  </si>
  <si>
    <t>type t_aeb_gen_cfg_reserved_424_wr_reg is record</t>
  </si>
  <si>
    <t>end record t_aeb_gen_cfg_reserved_424_wr_reg;</t>
  </si>
  <si>
    <t>-- AEB General Configuration Area Register "RESERVED_428"</t>
  </si>
  <si>
    <t>type t_aeb_gen_cfg_reserved_428_wr_reg is record</t>
  </si>
  <si>
    <t>end record t_aeb_gen_cfg_reserved_428_wr_reg;</t>
  </si>
  <si>
    <t>-- AEB General Configuration Area Register "RESERVED_42C"</t>
  </si>
  <si>
    <t>type t_aeb_gen_cfg_reserved_42c_wr_reg is record</t>
  </si>
  <si>
    <t>end record t_aeb_gen_cfg_reserved_42c_wr_reg;</t>
  </si>
  <si>
    <t>-- AEB General Configuration Area Register "RESERVED_430"</t>
  </si>
  <si>
    <t>type t_aeb_gen_cfg_reserved_430_wr_reg is record</t>
  </si>
  <si>
    <t>end record t_aeb_gen_cfg_reserved_430_wr_reg;</t>
  </si>
  <si>
    <t>-- AEB General Configuration Area Register "RESERVED_434"</t>
  </si>
  <si>
    <t>type t_aeb_gen_cfg_reserved_434_wr_reg is record</t>
  </si>
  <si>
    <t>end record t_aeb_gen_cfg_reserved_434_wr_reg;</t>
  </si>
  <si>
    <t>-- AEB General Configuration Area Register "RESERVED_438"</t>
  </si>
  <si>
    <t>type t_aeb_gen_cfg_reserved_438_wr_reg is record</t>
  </si>
  <si>
    <t>end record t_aeb_gen_cfg_reserved_438_wr_reg;</t>
  </si>
  <si>
    <t>-- AEB General Configuration Area Register "RESERVED_43C"</t>
  </si>
  <si>
    <t>type t_aeb_gen_cfg_reserved_43c_wr_reg is record</t>
  </si>
  <si>
    <t>end record t_aeb_gen_cfg_reserved_43c_wr_reg;</t>
  </si>
  <si>
    <t>-- AEB General Configuration Area Register "RESERVED_440"</t>
  </si>
  <si>
    <t>type t_aeb_gen_cfg_reserved_440_wr_reg is record</t>
  </si>
  <si>
    <t>end record t_aeb_gen_cfg_reserved_440_wr_reg;</t>
  </si>
  <si>
    <t>-- AEB General Configuration Area Register "RESERVED_444"</t>
  </si>
  <si>
    <t>type t_aeb_gen_cfg_reserved_444_wr_reg is record</t>
  </si>
  <si>
    <t>end record t_aeb_gen_cfg_reserved_444_wr_reg;</t>
  </si>
  <si>
    <t>-- AEB General Configuration Area Register "RESERVED_448"</t>
  </si>
  <si>
    <t>type t_aeb_gen_cfg_reserved_448_wr_reg is record</t>
  </si>
  <si>
    <t>end record t_aeb_gen_cfg_reserved_448_wr_reg;</t>
  </si>
  <si>
    <t>-- AEB General Configuration Area Register "RESERVED_44C"</t>
  </si>
  <si>
    <t>type t_aeb_gen_cfg_reserved_44c_wr_reg is record</t>
  </si>
  <si>
    <t>end record t_aeb_gen_cfg_reserved_44c_wr_reg;</t>
  </si>
  <si>
    <t>-- AEB General Configuration Area Register "RESERVED_450"</t>
  </si>
  <si>
    <t>type t_aeb_gen_cfg_reserved_450_wr_reg is record</t>
  </si>
  <si>
    <t>end record t_aeb_gen_cfg_reserved_450_wr_reg;</t>
  </si>
  <si>
    <t>-- AEB General Configuration Area Register "RESERVED_454"</t>
  </si>
  <si>
    <t>type t_aeb_gen_cfg_reserved_454_wr_reg is record</t>
  </si>
  <si>
    <t>end record t_aeb_gen_cfg_reserved_454_wr_reg;</t>
  </si>
  <si>
    <t>-- AEB General Configuration Area Register "RESERVED_458"</t>
  </si>
  <si>
    <t>type t_aeb_gen_cfg_reserved_458_wr_reg is record</t>
  </si>
  <si>
    <t>end record t_aeb_gen_cfg_reserved_458_wr_reg;</t>
  </si>
  <si>
    <t>-- AEB General Configuration Area Register "RESERVED_45C"</t>
  </si>
  <si>
    <t>type t_aeb_gen_cfg_reserved_45c_wr_reg is record</t>
  </si>
  <si>
    <t>end record t_aeb_gen_cfg_reserved_45c_wr_reg;</t>
  </si>
  <si>
    <t>-- AEB General Configuration Area Register "RESERVED_460"</t>
  </si>
  <si>
    <t>type t_aeb_gen_cfg_reserved_460_wr_reg is record</t>
  </si>
  <si>
    <t>end record t_aeb_gen_cfg_reserved_460_wr_reg;</t>
  </si>
  <si>
    <t>-- AEB General Configuration Area Register "RESERVED_464"</t>
  </si>
  <si>
    <t>type t_aeb_gen_cfg_reserved_464_wr_reg is record</t>
  </si>
  <si>
    <t>end record t_aeb_gen_cfg_reserved_464_wr_reg;</t>
  </si>
  <si>
    <t>-- AEB General Configuration Area Register "RESERVED_468"</t>
  </si>
  <si>
    <t>type t_aeb_gen_cfg_reserved_468_wr_reg is record</t>
  </si>
  <si>
    <t>end record t_aeb_gen_cfg_reserved_468_wr_reg;</t>
  </si>
  <si>
    <t>-- AEB General Configuration Area Register "RESERVED_46C"</t>
  </si>
  <si>
    <t>type t_aeb_gen_cfg_reserved_46c_wr_reg is record</t>
  </si>
  <si>
    <t>end record t_aeb_gen_cfg_reserved_46c_wr_reg;</t>
  </si>
  <si>
    <t>-- AEB General Configuration Area Register "RESERVED_470"</t>
  </si>
  <si>
    <t>type t_aeb_gen_cfg_reserved_470_wr_reg is record</t>
  </si>
  <si>
    <t>end record t_aeb_gen_cfg_reserved_470_wr_reg;</t>
  </si>
  <si>
    <t>-- AEB General Configuration Area Register "RESERVED_474"</t>
  </si>
  <si>
    <t>type t_aeb_gen_cfg_reserved_474_wr_reg is record</t>
  </si>
  <si>
    <t>end record t_aeb_gen_cfg_reserved_474_wr_reg;</t>
  </si>
  <si>
    <t>-- AEB General Configuration Area Register "RESERVED_478"</t>
  </si>
  <si>
    <t>type t_aeb_gen_cfg_reserved_478_wr_reg is record</t>
  </si>
  <si>
    <t>end record t_aeb_gen_cfg_reserved_478_wr_reg;</t>
  </si>
  <si>
    <t>-- AEB General Configuration Area Register "RESERVED_47C"</t>
  </si>
  <si>
    <t>type t_aeb_gen_cfg_reserved_47c_wr_reg is record</t>
  </si>
  <si>
    <t>end record t_aeb_gen_cfg_reserved_47c_wr_reg;</t>
  </si>
  <si>
    <t>-- AEB General Configuration Area Register "RESERVED_480"</t>
  </si>
  <si>
    <t>type t_aeb_gen_cfg_reserved_480_wr_reg is record</t>
  </si>
  <si>
    <t>end record t_aeb_gen_cfg_reserved_480_wr_reg;</t>
  </si>
  <si>
    <t>-- AEB General Configuration Area Register "RESERVED_484"</t>
  </si>
  <si>
    <t>type t_aeb_gen_cfg_reserved_484_wr_reg is record</t>
  </si>
  <si>
    <t>end record t_aeb_gen_cfg_reserved_484_wr_reg;</t>
  </si>
  <si>
    <t>-- AEB General Configuration Area Register "RESERVED_488"</t>
  </si>
  <si>
    <t>type t_aeb_gen_cfg_reserved_488_wr_reg is record</t>
  </si>
  <si>
    <t>end record t_aeb_gen_cfg_reserved_488_wr_reg;</t>
  </si>
  <si>
    <t>-- AEB General Configuration Area Register "RESERVED_48C"</t>
  </si>
  <si>
    <t>type t_aeb_gen_cfg_reserved_48c_wr_reg is record</t>
  </si>
  <si>
    <t>end record t_aeb_gen_cfg_reserved_48c_wr_reg;</t>
  </si>
  <si>
    <t>-- AEB General Configuration Area Register "RESERVED_490"</t>
  </si>
  <si>
    <t>type t_aeb_gen_cfg_reserved_490_wr_reg is record</t>
  </si>
  <si>
    <t>end record t_aeb_gen_cfg_reserved_490_wr_reg;</t>
  </si>
  <si>
    <t>-- AEB General Configuration Area Register "RESERVED_494"</t>
  </si>
  <si>
    <t>type t_aeb_gen_cfg_reserved_494_wr_reg is record</t>
  </si>
  <si>
    <t>end record t_aeb_gen_cfg_reserved_494_wr_reg;</t>
  </si>
  <si>
    <t>-- AEB General Configuration Area Register "RESERVED_498"</t>
  </si>
  <si>
    <t>type t_aeb_gen_cfg_reserved_498_wr_reg is record</t>
  </si>
  <si>
    <t>end record t_aeb_gen_cfg_reserved_498_wr_reg;</t>
  </si>
  <si>
    <t>-- AEB General Configuration Area Register "RESERVED_49C"</t>
  </si>
  <si>
    <t>type t_aeb_gen_cfg_reserved_49c_wr_reg is record</t>
  </si>
  <si>
    <t>end record t_aeb_gen_cfg_reserved_49c_wr_reg;</t>
  </si>
  <si>
    <t>-- AEB General Configuration Area Register "RESERVED_4A0"</t>
  </si>
  <si>
    <t>type t_aeb_gen_cfg_reserved_4a0_wr_reg is record</t>
  </si>
  <si>
    <t>end record t_aeb_gen_cfg_reserved_4a0_wr_reg;</t>
  </si>
  <si>
    <t>-- AEB General Configuration Area Register "RESERVED_4A4"</t>
  </si>
  <si>
    <t>type t_aeb_gen_cfg_reserved_4a4_wr_reg is record</t>
  </si>
  <si>
    <t>end record t_aeb_gen_cfg_reserved_4a4_wr_reg;</t>
  </si>
  <si>
    <t>-- AEB General Configuration Area Register "RESERVED_4A8"</t>
  </si>
  <si>
    <t>type t_aeb_gen_cfg_reserved_4a8_wr_reg is record</t>
  </si>
  <si>
    <t>end record t_aeb_gen_cfg_reserved_4a8_wr_reg;</t>
  </si>
  <si>
    <t>-- AEB General Configuration Area Register "RESERVED_4AC"</t>
  </si>
  <si>
    <t>type t_aeb_gen_cfg_reserved_4ac_wr_reg is record</t>
  </si>
  <si>
    <t>end record t_aeb_gen_cfg_reserved_4ac_wr_reg;</t>
  </si>
  <si>
    <t>-- AEB General Configuration Area Register "RESERVED_4B0"</t>
  </si>
  <si>
    <t>type t_aeb_gen_cfg_reserved_4b0_wr_reg is record</t>
  </si>
  <si>
    <t>end record t_aeb_gen_cfg_reserved_4b0_wr_reg;</t>
  </si>
  <si>
    <t>-- AEB General Configuration Area Register "RESERVED_4B4"</t>
  </si>
  <si>
    <t>type t_aeb_gen_cfg_reserved_4b4_wr_reg is record</t>
  </si>
  <si>
    <t>end record t_aeb_gen_cfg_reserved_4b4_wr_reg;</t>
  </si>
  <si>
    <t>-- AEB General Configuration Area Register "RESERVED_4B8"</t>
  </si>
  <si>
    <t>type t_aeb_gen_cfg_reserved_4b8_wr_reg is record</t>
  </si>
  <si>
    <t>end record t_aeb_gen_cfg_reserved_4b8_wr_reg;</t>
  </si>
  <si>
    <t>-- AEB General Configuration Area Register "RESERVED_4BC"</t>
  </si>
  <si>
    <t>type t_aeb_gen_cfg_reserved_4bc_wr_reg is record</t>
  </si>
  <si>
    <t>end record t_aeb_gen_cfg_reserved_4bc_wr_reg;</t>
  </si>
  <si>
    <t>-- AEB General Configuration Area Register "RESERVED_4C0"</t>
  </si>
  <si>
    <t>type t_aeb_gen_cfg_reserved_4c0_wr_reg is record</t>
  </si>
  <si>
    <t>end record t_aeb_gen_cfg_reserved_4c0_wr_reg;</t>
  </si>
  <si>
    <t>-- AEB General Configuration Area Register "RESERVED_4C4"</t>
  </si>
  <si>
    <t>type t_aeb_gen_cfg_reserved_4c4_wr_reg is record</t>
  </si>
  <si>
    <t>end record t_aeb_gen_cfg_reserved_4c4_wr_reg;</t>
  </si>
  <si>
    <t>-- AEB General Configuration Area Register "RESERVED_4C8"</t>
  </si>
  <si>
    <t>type t_aeb_gen_cfg_reserved_4c8_wr_reg is record</t>
  </si>
  <si>
    <t>end record t_aeb_gen_cfg_reserved_4c8_wr_reg;</t>
  </si>
  <si>
    <t>-- AEB General Configuration Area Register "RESERVED_4CC"</t>
  </si>
  <si>
    <t>type t_aeb_gen_cfg_reserved_4cc_wr_reg is record</t>
  </si>
  <si>
    <t>end record t_aeb_gen_cfg_reserved_4cc_wr_reg;</t>
  </si>
  <si>
    <t>-- AEB General Configuration Area Register "RESERVED_4D0"</t>
  </si>
  <si>
    <t>type t_aeb_gen_cfg_reserved_4d0_wr_reg is record</t>
  </si>
  <si>
    <t>end record t_aeb_gen_cfg_reserved_4d0_wr_reg;</t>
  </si>
  <si>
    <t>-- AEB General Configuration Area Register "RESERVED_4D4"</t>
  </si>
  <si>
    <t>type t_aeb_gen_cfg_reserved_4d4_wr_reg is record</t>
  </si>
  <si>
    <t>end record t_aeb_gen_cfg_reserved_4d4_wr_reg;</t>
  </si>
  <si>
    <t>-- AEB General Configuration Area Register "RESERVED_4D8"</t>
  </si>
  <si>
    <t>type t_aeb_gen_cfg_reserved_4d8_wr_reg is record</t>
  </si>
  <si>
    <t>end record t_aeb_gen_cfg_reserved_4d8_wr_reg;</t>
  </si>
  <si>
    <t>-- AEB General Configuration Area Register "RESERVED_4DC"</t>
  </si>
  <si>
    <t>type t_aeb_gen_cfg_reserved_4dc_wr_reg is record</t>
  </si>
  <si>
    <t>end record t_aeb_gen_cfg_reserved_4dc_wr_reg;</t>
  </si>
  <si>
    <t>-- AEB General Configuration Area Register "RESERVED_4E0"</t>
  </si>
  <si>
    <t>type t_aeb_gen_cfg_reserved_4e0_wr_reg is record</t>
  </si>
  <si>
    <t>end record t_aeb_gen_cfg_reserved_4e0_wr_reg;</t>
  </si>
  <si>
    <t>-- AEB General Configuration Area Register "RESERVED_4E4"</t>
  </si>
  <si>
    <t>type t_aeb_gen_cfg_reserved_4e4_wr_reg is record</t>
  </si>
  <si>
    <t>end record t_aeb_gen_cfg_reserved_4e4_wr_reg;</t>
  </si>
  <si>
    <t>-- AEB General Configuration Area Register "RESERVED_4E8"</t>
  </si>
  <si>
    <t>type t_aeb_gen_cfg_reserved_4e8_wr_reg is record</t>
  </si>
  <si>
    <t>end record t_aeb_gen_cfg_reserved_4e8_wr_reg;</t>
  </si>
  <si>
    <t>-- AEB General Configuration Area Register "RESERVED_4EC"</t>
  </si>
  <si>
    <t>type t_aeb_gen_cfg_reserved_4ec_wr_reg is record</t>
  </si>
  <si>
    <t>end record t_aeb_gen_cfg_reserved_4ec_wr_reg;</t>
  </si>
  <si>
    <t>-- AEB General Configuration Area Register "RESERVED_4F0"</t>
  </si>
  <si>
    <t>type t_aeb_gen_cfg_reserved_4f0_wr_reg is record</t>
  </si>
  <si>
    <t>end record t_aeb_gen_cfg_reserved_4f0_wr_reg;</t>
  </si>
  <si>
    <t>-- AEB General Configuration Area Register "RESERVED_4F4"</t>
  </si>
  <si>
    <t>type t_aeb_gen_cfg_reserved_4f4_wr_reg is record</t>
  </si>
  <si>
    <t>end record t_aeb_gen_cfg_reserved_4f4_wr_reg;</t>
  </si>
  <si>
    <t>-- AEB General Configuration Area Register "RESERVED_4F8"</t>
  </si>
  <si>
    <t>type t_aeb_gen_cfg_reserved_4f8_wr_reg is record</t>
  </si>
  <si>
    <t>end record t_aeb_gen_cfg_reserved_4f8_wr_reg;</t>
  </si>
  <si>
    <t>-- AEB General Configuration Area Register "RESERVED_4FC"</t>
  </si>
  <si>
    <t>type t_aeb_gen_cfg_reserved_4fc_wr_reg is record</t>
  </si>
  <si>
    <t>end record t_aeb_gen_cfg_reserved_4fc_wr_reg;</t>
  </si>
  <si>
    <t>-- AEB General Configuration Area Register "RESERVED_500"</t>
  </si>
  <si>
    <t>type t_aeb_gen_cfg_reserved_500_wr_reg is record</t>
  </si>
  <si>
    <t>end record t_aeb_gen_cfg_reserved_500_wr_reg;</t>
  </si>
  <si>
    <t>-- AEB General Configuration Area Register "RESERVED_504"</t>
  </si>
  <si>
    <t>type t_aeb_gen_cfg_reserved_504_wr_reg is record</t>
  </si>
  <si>
    <t>end record t_aeb_gen_cfg_reserved_504_wr_reg;</t>
  </si>
  <si>
    <t>-- AEB General Configuration Area Register "RESERVED_508"</t>
  </si>
  <si>
    <t>type t_aeb_gen_cfg_reserved_508_wr_reg is record</t>
  </si>
  <si>
    <t>end record t_aeb_gen_cfg_reserved_508_wr_reg;</t>
  </si>
  <si>
    <t>-- AEB General Configuration Area Register "RESERVED_50C"</t>
  </si>
  <si>
    <t>type t_aeb_gen_cfg_reserved_50c_wr_reg is record</t>
  </si>
  <si>
    <t>end record t_aeb_gen_cfg_reserved_50c_wr_reg;</t>
  </si>
  <si>
    <t>-- AEB General Configuration Area Register "RESERVED_510"</t>
  </si>
  <si>
    <t>type t_aeb_gen_cfg_reserved_510_wr_reg is record</t>
  </si>
  <si>
    <t>end record t_aeb_gen_cfg_reserved_510_wr_reg;</t>
  </si>
  <si>
    <t>-- AEB General Configuration Area Register "RESERVED_514"</t>
  </si>
  <si>
    <t>type t_aeb_gen_cfg_reserved_514_wr_reg is record</t>
  </si>
  <si>
    <t>end record t_aeb_gen_cfg_reserved_514_wr_reg;</t>
  </si>
  <si>
    <t>-- AEB General Configuration Area Register "RESERVED_518"</t>
  </si>
  <si>
    <t>type t_aeb_gen_cfg_reserved_518_wr_reg is record</t>
  </si>
  <si>
    <t>end record t_aeb_gen_cfg_reserved_518_wr_reg;</t>
  </si>
  <si>
    <t>-- AEB General Configuration Area Register "RESERVED_51C"</t>
  </si>
  <si>
    <t>type t_aeb_gen_cfg_reserved_51c_wr_reg is record</t>
  </si>
  <si>
    <t>end record t_aeb_gen_cfg_reserved_51c_wr_reg;</t>
  </si>
  <si>
    <t>-- AEB General Configuration Area Register "RESERVED_520"</t>
  </si>
  <si>
    <t>type t_aeb_gen_cfg_reserved_520_wr_reg is record</t>
  </si>
  <si>
    <t>end record t_aeb_gen_cfg_reserved_520_wr_reg;</t>
  </si>
  <si>
    <t>-- AEB General Configuration Area Register "RESERVED_524"</t>
  </si>
  <si>
    <t>type t_aeb_gen_cfg_reserved_524_wr_reg is record</t>
  </si>
  <si>
    <t>end record t_aeb_gen_cfg_reserved_524_wr_reg;</t>
  </si>
  <si>
    <t>-- AEB General Configuration Area Register "RESERVED_528"</t>
  </si>
  <si>
    <t>type t_aeb_gen_cfg_reserved_528_wr_reg is record</t>
  </si>
  <si>
    <t>end record t_aeb_gen_cfg_reserved_528_wr_reg;</t>
  </si>
  <si>
    <t>-- AEB General Configuration Area Register "RESERVED_52C"</t>
  </si>
  <si>
    <t>type t_aeb_gen_cfg_reserved_52c_wr_reg is record</t>
  </si>
  <si>
    <t>end record t_aeb_gen_cfg_reserved_52c_wr_reg;</t>
  </si>
  <si>
    <t>-- AEB General Configuration Area Register "RESERVED_530"</t>
  </si>
  <si>
    <t>type t_aeb_gen_cfg_reserved_530_wr_reg is record</t>
  </si>
  <si>
    <t>end record t_aeb_gen_cfg_reserved_530_wr_reg;</t>
  </si>
  <si>
    <t>-- AEB General Configuration Area Register "RESERVED_534"</t>
  </si>
  <si>
    <t>type t_aeb_gen_cfg_reserved_534_wr_reg is record</t>
  </si>
  <si>
    <t>end record t_aeb_gen_cfg_reserved_534_wr_reg;</t>
  </si>
  <si>
    <t>-- AEB General Configuration Area Register "RESERVED_538"</t>
  </si>
  <si>
    <t>type t_aeb_gen_cfg_reserved_538_wr_reg is record</t>
  </si>
  <si>
    <t>end record t_aeb_gen_cfg_reserved_538_wr_reg;</t>
  </si>
  <si>
    <t>-- AEB General Configuration Area Register "RESERVED_53C"</t>
  </si>
  <si>
    <t>type t_aeb_gen_cfg_reserved_53c_wr_reg is record</t>
  </si>
  <si>
    <t>end record t_aeb_gen_cfg_reserved_53c_wr_reg;</t>
  </si>
  <si>
    <t>-- AEB General Configuration Area Register "RESERVED_540"</t>
  </si>
  <si>
    <t>type t_aeb_gen_cfg_reserved_540_wr_reg is record</t>
  </si>
  <si>
    <t>end record t_aeb_gen_cfg_reserved_540_wr_reg;</t>
  </si>
  <si>
    <t>-- AEB General Configuration Area Register "RESERVED_544"</t>
  </si>
  <si>
    <t>type t_aeb_gen_cfg_reserved_544_wr_reg is record</t>
  </si>
  <si>
    <t>end record t_aeb_gen_cfg_reserved_544_wr_reg;</t>
  </si>
  <si>
    <t>-- AEB General Configuration Area Register "RESERVED_548"</t>
  </si>
  <si>
    <t>type t_aeb_gen_cfg_reserved_548_wr_reg is record</t>
  </si>
  <si>
    <t>end record t_aeb_gen_cfg_reserved_548_wr_reg;</t>
  </si>
  <si>
    <t>-- AEB General Configuration Area Register "RESERVED_54C"</t>
  </si>
  <si>
    <t>type t_aeb_gen_cfg_reserved_54c_wr_reg is record</t>
  </si>
  <si>
    <t>end record t_aeb_gen_cfg_reserved_54c_wr_reg;</t>
  </si>
  <si>
    <t>-- AEB General Configuration Area Register "RESERVED_550"</t>
  </si>
  <si>
    <t>type t_aeb_gen_cfg_reserved_550_wr_reg is record</t>
  </si>
  <si>
    <t>end record t_aeb_gen_cfg_reserved_550_wr_reg;</t>
  </si>
  <si>
    <t>-- AEB General Configuration Area Register "RESERVED_554"</t>
  </si>
  <si>
    <t>type t_aeb_gen_cfg_reserved_554_wr_reg is record</t>
  </si>
  <si>
    <t>end record t_aeb_gen_cfg_reserved_554_wr_reg;</t>
  </si>
  <si>
    <t>-- AEB General Configuration Area Register "RESERVED_558"</t>
  </si>
  <si>
    <t>type t_aeb_gen_cfg_reserved_558_wr_reg is record</t>
  </si>
  <si>
    <t>end record t_aeb_gen_cfg_reserved_558_wr_reg;</t>
  </si>
  <si>
    <t>-- AEB General Configuration Area Register "RESERVED_55C"</t>
  </si>
  <si>
    <t>type t_aeb_gen_cfg_reserved_55c_wr_reg is record</t>
  </si>
  <si>
    <t>end record t_aeb_gen_cfg_reserved_55c_wr_reg;</t>
  </si>
  <si>
    <t>-- AEB General Configuration Area Register "RESERVED_560"</t>
  </si>
  <si>
    <t>type t_aeb_gen_cfg_reserved_560_wr_reg is record</t>
  </si>
  <si>
    <t>end record t_aeb_gen_cfg_reserved_560_wr_reg;</t>
  </si>
  <si>
    <t>-- AEB General Configuration Area Register "RESERVED_564"</t>
  </si>
  <si>
    <t>type t_aeb_gen_cfg_reserved_564_wr_reg is record</t>
  </si>
  <si>
    <t>end record t_aeb_gen_cfg_reserved_564_wr_reg;</t>
  </si>
  <si>
    <t>-- AEB General Configuration Area Register "RESERVED_568"</t>
  </si>
  <si>
    <t>type t_aeb_gen_cfg_reserved_568_wr_reg is record</t>
  </si>
  <si>
    <t>end record t_aeb_gen_cfg_reserved_568_wr_reg;</t>
  </si>
  <si>
    <t>-- AEB General Configuration Area Register "RESERVED_56C"</t>
  </si>
  <si>
    <t>type t_aeb_gen_cfg_reserved_56c_wr_reg is record</t>
  </si>
  <si>
    <t>end record t_aeb_gen_cfg_reserved_56c_wr_reg;</t>
  </si>
  <si>
    <t>-- AEB General Configuration Area Register "RESERVED_570"</t>
  </si>
  <si>
    <t>type t_aeb_gen_cfg_reserved_570_wr_reg is record</t>
  </si>
  <si>
    <t>end record t_aeb_gen_cfg_reserved_570_wr_reg;</t>
  </si>
  <si>
    <t>-- AEB General Configuration Area Register "RESERVED_574"</t>
  </si>
  <si>
    <t>type t_aeb_gen_cfg_reserved_574_wr_reg is record</t>
  </si>
  <si>
    <t>end record t_aeb_gen_cfg_reserved_574_wr_reg;</t>
  </si>
  <si>
    <t>-- AEB General Configuration Area Register "RESERVED_578"</t>
  </si>
  <si>
    <t>type t_aeb_gen_cfg_reserved_578_wr_reg is record</t>
  </si>
  <si>
    <t>end record t_aeb_gen_cfg_reserved_578_wr_reg;</t>
  </si>
  <si>
    <t>-- AEB General Configuration Area Register "RESERVED_57C"</t>
  </si>
  <si>
    <t>type t_aeb_gen_cfg_reserved_57c_wr_reg is record</t>
  </si>
  <si>
    <t>end record t_aeb_gen_cfg_reserved_57c_wr_reg;</t>
  </si>
  <si>
    <t>-- AEB General Configuration Area Register "RESERVED_580"</t>
  </si>
  <si>
    <t>type t_aeb_gen_cfg_reserved_580_wr_reg is record</t>
  </si>
  <si>
    <t>end record t_aeb_gen_cfg_reserved_580_wr_reg;</t>
  </si>
  <si>
    <t>-- AEB General Configuration Area Register "RESERVED_584"</t>
  </si>
  <si>
    <t>type t_aeb_gen_cfg_reserved_584_wr_reg is record</t>
  </si>
  <si>
    <t>end record t_aeb_gen_cfg_reserved_584_wr_reg;</t>
  </si>
  <si>
    <t>-- AEB General Configuration Area Register "RESERVED_588"</t>
  </si>
  <si>
    <t>type t_aeb_gen_cfg_reserved_588_wr_reg is record</t>
  </si>
  <si>
    <t>end record t_aeb_gen_cfg_reserved_588_wr_reg;</t>
  </si>
  <si>
    <t>-- AEB General Configuration Area Register "RESERVED_58C"</t>
  </si>
  <si>
    <t>type t_aeb_gen_cfg_reserved_58c_wr_reg is record</t>
  </si>
  <si>
    <t>end record t_aeb_gen_cfg_reserved_58c_wr_reg;</t>
  </si>
  <si>
    <t>-- AEB General Configuration Area Register "RESERVED_590"</t>
  </si>
  <si>
    <t>type t_aeb_gen_cfg_reserved_590_wr_reg is record</t>
  </si>
  <si>
    <t>end record t_aeb_gen_cfg_reserved_590_wr_reg;</t>
  </si>
  <si>
    <t>-- AEB General Configuration Area Register "RESERVED_594"</t>
  </si>
  <si>
    <t>type t_aeb_gen_cfg_reserved_594_wr_reg is record</t>
  </si>
  <si>
    <t>end record t_aeb_gen_cfg_reserved_594_wr_reg;</t>
  </si>
  <si>
    <t>-- AEB General Configuration Area Register "RESERVED_598"</t>
  </si>
  <si>
    <t>type t_aeb_gen_cfg_reserved_598_wr_reg is record</t>
  </si>
  <si>
    <t>end record t_aeb_gen_cfg_reserved_598_wr_reg;</t>
  </si>
  <si>
    <t>-- AEB General Configuration Area Register "RESERVED_59C"</t>
  </si>
  <si>
    <t>type t_aeb_gen_cfg_reserved_59c_wr_reg is record</t>
  </si>
  <si>
    <t>end record t_aeb_gen_cfg_reserved_59c_wr_reg;</t>
  </si>
  <si>
    <t>-- AEB General Configuration Area Register "RESERVED_5A0"</t>
  </si>
  <si>
    <t>type t_aeb_gen_cfg_reserved_5a0_wr_reg is record</t>
  </si>
  <si>
    <t>end record t_aeb_gen_cfg_reserved_5a0_wr_reg;</t>
  </si>
  <si>
    <t>-- AEB General Configuration Area Register "RESERVED_5A4"</t>
  </si>
  <si>
    <t>type t_aeb_gen_cfg_reserved_5a4_wr_reg is record</t>
  </si>
  <si>
    <t>end record t_aeb_gen_cfg_reserved_5a4_wr_reg;</t>
  </si>
  <si>
    <t>-- AEB General Configuration Area Register "RESERVED_5A8"</t>
  </si>
  <si>
    <t>type t_aeb_gen_cfg_reserved_5a8_wr_reg is record</t>
  </si>
  <si>
    <t>end record t_aeb_gen_cfg_reserved_5a8_wr_reg;</t>
  </si>
  <si>
    <t>-- AEB General Configuration Area Register "RESERVED_5AC"</t>
  </si>
  <si>
    <t>type t_aeb_gen_cfg_reserved_5ac_wr_reg is record</t>
  </si>
  <si>
    <t>end record t_aeb_gen_cfg_reserved_5ac_wr_reg;</t>
  </si>
  <si>
    <t>-- AEB General Configuration Area Register "RESERVED_5B0"</t>
  </si>
  <si>
    <t>type t_aeb_gen_cfg_reserved_5b0_wr_reg is record</t>
  </si>
  <si>
    <t>end record t_aeb_gen_cfg_reserved_5b0_wr_reg;</t>
  </si>
  <si>
    <t>-- AEB General Configuration Area Register "RESERVED_5B4"</t>
  </si>
  <si>
    <t>type t_aeb_gen_cfg_reserved_5b4_wr_reg is record</t>
  </si>
  <si>
    <t>end record t_aeb_gen_cfg_reserved_5b4_wr_reg;</t>
  </si>
  <si>
    <t>-- AEB General Configuration Area Register "RESERVED_5B8"</t>
  </si>
  <si>
    <t>type t_aeb_gen_cfg_reserved_5b8_wr_reg is record</t>
  </si>
  <si>
    <t>end record t_aeb_gen_cfg_reserved_5b8_wr_reg;</t>
  </si>
  <si>
    <t>-- AEB General Configuration Area Register "RESERVED_5BC"</t>
  </si>
  <si>
    <t>type t_aeb_gen_cfg_reserved_5bc_wr_reg is record</t>
  </si>
  <si>
    <t>end record t_aeb_gen_cfg_reserved_5bc_wr_reg;</t>
  </si>
  <si>
    <t>-- AEB General Configuration Area Register "RESERVED_5C0"</t>
  </si>
  <si>
    <t>type t_aeb_gen_cfg_reserved_5c0_wr_reg is record</t>
  </si>
  <si>
    <t>end record t_aeb_gen_cfg_reserved_5c0_wr_reg;</t>
  </si>
  <si>
    <t>-- AEB General Configuration Area Register "RESERVED_5C4"</t>
  </si>
  <si>
    <t>type t_aeb_gen_cfg_reserved_5c4_wr_reg is record</t>
  </si>
  <si>
    <t>end record t_aeb_gen_cfg_reserved_5c4_wr_reg;</t>
  </si>
  <si>
    <t>-- AEB General Configuration Area Register "RESERVED_5C8"</t>
  </si>
  <si>
    <t>type t_aeb_gen_cfg_reserved_5c8_wr_reg is record</t>
  </si>
  <si>
    <t>end record t_aeb_gen_cfg_reserved_5c8_wr_reg;</t>
  </si>
  <si>
    <t>-- AEB General Configuration Area Register "RESERVED_5CC"</t>
  </si>
  <si>
    <t>type t_aeb_gen_cfg_reserved_5cc_wr_reg is record</t>
  </si>
  <si>
    <t>end record t_aeb_gen_cfg_reserved_5cc_wr_reg;</t>
  </si>
  <si>
    <t>-- AEB General Configuration Area Register "RESERVED_5D0"</t>
  </si>
  <si>
    <t>type t_aeb_gen_cfg_reserved_5d0_wr_reg is record</t>
  </si>
  <si>
    <t>end record t_aeb_gen_cfg_reserved_5d0_wr_reg;</t>
  </si>
  <si>
    <t>-- AEB General Configuration Area Register "RESERVED_5D4"</t>
  </si>
  <si>
    <t>type t_aeb_gen_cfg_reserved_5d4_wr_reg is record</t>
  </si>
  <si>
    <t>end record t_aeb_gen_cfg_reserved_5d4_wr_reg;</t>
  </si>
  <si>
    <t>-- AEB General Configuration Area Register "RESERVED_5D8"</t>
  </si>
  <si>
    <t>type t_aeb_gen_cfg_reserved_5d8_wr_reg is record</t>
  </si>
  <si>
    <t>end record t_aeb_gen_cfg_reserved_5d8_wr_reg;</t>
  </si>
  <si>
    <t>-- AEB General Configuration Area Register "RESERVED_5DC"</t>
  </si>
  <si>
    <t>type t_aeb_gen_cfg_reserved_5dc_wr_reg is record</t>
  </si>
  <si>
    <t>end record t_aeb_gen_cfg_reserved_5dc_wr_reg;</t>
  </si>
  <si>
    <t>-- AEB General Configuration Area Register "RESERVED_5E0"</t>
  </si>
  <si>
    <t>type t_aeb_gen_cfg_reserved_5e0_wr_reg is record</t>
  </si>
  <si>
    <t>end record t_aeb_gen_cfg_reserved_5e0_wr_reg;</t>
  </si>
  <si>
    <t>-- AEB General Configuration Area Register "RESERVED_5E4"</t>
  </si>
  <si>
    <t>type t_aeb_gen_cfg_reserved_5e4_wr_reg is record</t>
  </si>
  <si>
    <t>end record t_aeb_gen_cfg_reserved_5e4_wr_reg;</t>
  </si>
  <si>
    <t>-- AEB General Configuration Area Register "RESERVED_5E8"</t>
  </si>
  <si>
    <t>type t_aeb_gen_cfg_reserved_5e8_wr_reg is record</t>
  </si>
  <si>
    <t>end record t_aeb_gen_cfg_reserved_5e8_wr_reg;</t>
  </si>
  <si>
    <t>-- AEB General Configuration Area Register "RESERVED_5EC"</t>
  </si>
  <si>
    <t>type t_aeb_gen_cfg_reserved_5ec_wr_reg is record</t>
  </si>
  <si>
    <t>end record t_aeb_gen_cfg_reserved_5ec_wr_reg;</t>
  </si>
  <si>
    <t>-- AEB General Configuration Area Register "RESERVED_5F0"</t>
  </si>
  <si>
    <t>type t_aeb_gen_cfg_reserved_5f0_wr_reg is record</t>
  </si>
  <si>
    <t>end record t_aeb_gen_cfg_reserved_5f0_wr_reg;</t>
  </si>
  <si>
    <t>-- AEB General Configuration Area Register "RESERVED_5F4"</t>
  </si>
  <si>
    <t>type t_aeb_gen_cfg_reserved_5f4_wr_reg is record</t>
  </si>
  <si>
    <t>end record t_aeb_gen_cfg_reserved_5f4_wr_reg;</t>
  </si>
  <si>
    <t>-- AEB General Configuration Area Register "RESERVED_5F8"</t>
  </si>
  <si>
    <t>type t_aeb_gen_cfg_reserved_5f8_wr_reg is record</t>
  </si>
  <si>
    <t>end record t_aeb_gen_cfg_reserved_5f8_wr_reg;</t>
  </si>
  <si>
    <t>-- AEB General Configuration Area Register "RESERVED_5FC"</t>
  </si>
  <si>
    <t>type t_aeb_gen_cfg_reserved_5fc_wr_reg is record</t>
  </si>
  <si>
    <t>end record t_aeb_gen_cfg_reserved_5fc_wr_reg;</t>
  </si>
  <si>
    <t>-- AEB General Configuration Area Register "RESERVED_600"</t>
  </si>
  <si>
    <t>type t_aeb_gen_cfg_reserved_600_wr_reg is record</t>
  </si>
  <si>
    <t>end record t_aeb_gen_cfg_reserved_600_wr_reg;</t>
  </si>
  <si>
    <t>-- AEB General Configuration Area Register "RESERVED_604"</t>
  </si>
  <si>
    <t>type t_aeb_gen_cfg_reserved_604_wr_reg is record</t>
  </si>
  <si>
    <t>end record t_aeb_gen_cfg_reserved_604_wr_reg;</t>
  </si>
  <si>
    <t>-- AEB General Configuration Area Register "RESERVED_608"</t>
  </si>
  <si>
    <t>type t_aeb_gen_cfg_reserved_608_wr_reg is record</t>
  </si>
  <si>
    <t>end record t_aeb_gen_cfg_reserved_608_wr_reg;</t>
  </si>
  <si>
    <t>-- AEB General Configuration Area Register "RESERVED_60C"</t>
  </si>
  <si>
    <t>type t_aeb_gen_cfg_reserved_60c_wr_reg is record</t>
  </si>
  <si>
    <t>end record t_aeb_gen_cfg_reserved_60c_wr_reg;</t>
  </si>
  <si>
    <t>-- AEB General Configuration Area Register "RESERVED_610"</t>
  </si>
  <si>
    <t>type t_aeb_gen_cfg_reserved_610_wr_reg is record</t>
  </si>
  <si>
    <t>end record t_aeb_gen_cfg_reserved_610_wr_reg;</t>
  </si>
  <si>
    <t>-- AEB General Configuration Area Register "RESERVED_614"</t>
  </si>
  <si>
    <t>type t_aeb_gen_cfg_reserved_614_wr_reg is record</t>
  </si>
  <si>
    <t>end record t_aeb_gen_cfg_reserved_614_wr_reg;</t>
  </si>
  <si>
    <t>-- AEB General Configuration Area Register "RESERVED_618"</t>
  </si>
  <si>
    <t>type t_aeb_gen_cfg_reserved_618_wr_reg is record</t>
  </si>
  <si>
    <t>end record t_aeb_gen_cfg_reserved_618_wr_reg;</t>
  </si>
  <si>
    <t>-- AEB General Configuration Area Register "RESERVED_61C"</t>
  </si>
  <si>
    <t>type t_aeb_gen_cfg_reserved_61c_wr_reg is record</t>
  </si>
  <si>
    <t>end record t_aeb_gen_cfg_reserved_61c_wr_reg;</t>
  </si>
  <si>
    <t>-- AEB General Configuration Area Register "RESERVED_620"</t>
  </si>
  <si>
    <t>type t_aeb_gen_cfg_reserved_620_wr_reg is record</t>
  </si>
  <si>
    <t>end record t_aeb_gen_cfg_reserved_620_wr_reg;</t>
  </si>
  <si>
    <t>-- AEB General Configuration Area Register "RESERVED_624"</t>
  </si>
  <si>
    <t>type t_aeb_gen_cfg_reserved_624_wr_reg is record</t>
  </si>
  <si>
    <t>end record t_aeb_gen_cfg_reserved_624_wr_reg;</t>
  </si>
  <si>
    <t>-- AEB General Configuration Area Register "RESERVED_628"</t>
  </si>
  <si>
    <t>type t_aeb_gen_cfg_reserved_628_wr_reg is record</t>
  </si>
  <si>
    <t>end record t_aeb_gen_cfg_reserved_628_wr_reg;</t>
  </si>
  <si>
    <t>-- AEB General Configuration Area Register "RESERVED_62C"</t>
  </si>
  <si>
    <t>type t_aeb_gen_cfg_reserved_62c_wr_reg is record</t>
  </si>
  <si>
    <t>end record t_aeb_gen_cfg_reserved_62c_wr_reg;</t>
  </si>
  <si>
    <t>-- AEB General Configuration Area Register "RESERVED_630"</t>
  </si>
  <si>
    <t>type t_aeb_gen_cfg_reserved_630_wr_reg is record</t>
  </si>
  <si>
    <t>end record t_aeb_gen_cfg_reserved_630_wr_reg;</t>
  </si>
  <si>
    <t>-- AEB General Configuration Area Register "RESERVED_634"</t>
  </si>
  <si>
    <t>type t_aeb_gen_cfg_reserved_634_wr_reg is record</t>
  </si>
  <si>
    <t>end record t_aeb_gen_cfg_reserved_634_wr_reg;</t>
  </si>
  <si>
    <t>-- AEB General Configuration Area Register "RESERVED_638"</t>
  </si>
  <si>
    <t>type t_aeb_gen_cfg_reserved_638_wr_reg is record</t>
  </si>
  <si>
    <t>end record t_aeb_gen_cfg_reserved_638_wr_reg;</t>
  </si>
  <si>
    <t>-- AEB General Configuration Area Register "RESERVED_63C"</t>
  </si>
  <si>
    <t>type t_aeb_gen_cfg_reserved_63c_wr_reg is record</t>
  </si>
  <si>
    <t>end record t_aeb_gen_cfg_reserved_63c_wr_reg;</t>
  </si>
  <si>
    <t>-- AEB General Configuration Area Register "RESERVED_640"</t>
  </si>
  <si>
    <t>type t_aeb_gen_cfg_reserved_640_wr_reg is record</t>
  </si>
  <si>
    <t>end record t_aeb_gen_cfg_reserved_640_wr_reg;</t>
  </si>
  <si>
    <t>-- AEB General Configuration Area Register "RESERVED_644"</t>
  </si>
  <si>
    <t>type t_aeb_gen_cfg_reserved_644_wr_reg is record</t>
  </si>
  <si>
    <t>end record t_aeb_gen_cfg_reserved_644_wr_reg;</t>
  </si>
  <si>
    <t>-- AEB General Configuration Area Register "RESERVED_648"</t>
  </si>
  <si>
    <t>type t_aeb_gen_cfg_reserved_648_wr_reg is record</t>
  </si>
  <si>
    <t>end record t_aeb_gen_cfg_reserved_648_wr_reg;</t>
  </si>
  <si>
    <t>-- AEB General Configuration Area Register "RESERVED_64C"</t>
  </si>
  <si>
    <t>type t_aeb_gen_cfg_reserved_64c_wr_reg is record</t>
  </si>
  <si>
    <t>end record t_aeb_gen_cfg_reserved_64c_wr_reg;</t>
  </si>
  <si>
    <t>-- AEB General Configuration Area Register "RESERVED_650"</t>
  </si>
  <si>
    <t>type t_aeb_gen_cfg_reserved_650_wr_reg is record</t>
  </si>
  <si>
    <t>end record t_aeb_gen_cfg_reserved_650_wr_reg;</t>
  </si>
  <si>
    <t>-- AEB General Configuration Area Register "RESERVED_654"</t>
  </si>
  <si>
    <t>type t_aeb_gen_cfg_reserved_654_wr_reg is record</t>
  </si>
  <si>
    <t>end record t_aeb_gen_cfg_reserved_654_wr_reg;</t>
  </si>
  <si>
    <t>-- AEB General Configuration Area Register "RESERVED_658"</t>
  </si>
  <si>
    <t>type t_aeb_gen_cfg_reserved_658_wr_reg is record</t>
  </si>
  <si>
    <t>end record t_aeb_gen_cfg_reserved_658_wr_reg;</t>
  </si>
  <si>
    <t>-- AEB General Configuration Area Register "RESERVED_65C"</t>
  </si>
  <si>
    <t>type t_aeb_gen_cfg_reserved_65c_wr_reg is record</t>
  </si>
  <si>
    <t>end record t_aeb_gen_cfg_reserved_65c_wr_reg;</t>
  </si>
  <si>
    <t>-- AEB General Configuration Area Register "RESERVED_660"</t>
  </si>
  <si>
    <t>type t_aeb_gen_cfg_reserved_660_wr_reg is record</t>
  </si>
  <si>
    <t>end record t_aeb_gen_cfg_reserved_660_wr_reg;</t>
  </si>
  <si>
    <t>-- AEB General Configuration Area Register "RESERVED_664"</t>
  </si>
  <si>
    <t>type t_aeb_gen_cfg_reserved_664_wr_reg is record</t>
  </si>
  <si>
    <t>end record t_aeb_gen_cfg_reserved_664_wr_reg;</t>
  </si>
  <si>
    <t>-- AEB General Configuration Area Register "RESERVED_668"</t>
  </si>
  <si>
    <t>type t_aeb_gen_cfg_reserved_668_wr_reg is record</t>
  </si>
  <si>
    <t>end record t_aeb_gen_cfg_reserved_668_wr_reg;</t>
  </si>
  <si>
    <t>-- AEB General Configuration Area Register "RESERVED_66C"</t>
  </si>
  <si>
    <t>type t_aeb_gen_cfg_reserved_66c_wr_reg is record</t>
  </si>
  <si>
    <t>end record t_aeb_gen_cfg_reserved_66c_wr_reg;</t>
  </si>
  <si>
    <t>-- AEB General Configuration Area Register "RESERVED_670"</t>
  </si>
  <si>
    <t>type t_aeb_gen_cfg_reserved_670_wr_reg is record</t>
  </si>
  <si>
    <t>end record t_aeb_gen_cfg_reserved_670_wr_reg;</t>
  </si>
  <si>
    <t>-- AEB General Configuration Area Register "RESERVED_674"</t>
  </si>
  <si>
    <t>type t_aeb_gen_cfg_reserved_674_wr_reg is record</t>
  </si>
  <si>
    <t>end record t_aeb_gen_cfg_reserved_674_wr_reg;</t>
  </si>
  <si>
    <t>-- AEB General Configuration Area Register "RESERVED_678"</t>
  </si>
  <si>
    <t>type t_aeb_gen_cfg_reserved_678_wr_reg is record</t>
  </si>
  <si>
    <t>end record t_aeb_gen_cfg_reserved_678_wr_reg;</t>
  </si>
  <si>
    <t>-- AEB General Configuration Area Register "RESERVED_67C"</t>
  </si>
  <si>
    <t>type t_aeb_gen_cfg_reserved_67c_wr_reg is record</t>
  </si>
  <si>
    <t>end record t_aeb_gen_cfg_reserved_67c_wr_reg;</t>
  </si>
  <si>
    <t>-- AEB General Configuration Area Register "RESERVED_680"</t>
  </si>
  <si>
    <t>type t_aeb_gen_cfg_reserved_680_wr_reg is record</t>
  </si>
  <si>
    <t>end record t_aeb_gen_cfg_reserved_680_wr_reg;</t>
  </si>
  <si>
    <t>-- AEB General Configuration Area Register "RESERVED_684"</t>
  </si>
  <si>
    <t>type t_aeb_gen_cfg_reserved_684_wr_reg is record</t>
  </si>
  <si>
    <t>end record t_aeb_gen_cfg_reserved_684_wr_reg;</t>
  </si>
  <si>
    <t>-- AEB General Configuration Area Register "RESERVED_688"</t>
  </si>
  <si>
    <t>type t_aeb_gen_cfg_reserved_688_wr_reg is record</t>
  </si>
  <si>
    <t>end record t_aeb_gen_cfg_reserved_688_wr_reg;</t>
  </si>
  <si>
    <t>-- AEB General Configuration Area Register "RESERVED_68C"</t>
  </si>
  <si>
    <t>type t_aeb_gen_cfg_reserved_68c_wr_reg is record</t>
  </si>
  <si>
    <t>end record t_aeb_gen_cfg_reserved_68c_wr_reg;</t>
  </si>
  <si>
    <t>-- AEB General Configuration Area Register "RESERVED_690"</t>
  </si>
  <si>
    <t>type t_aeb_gen_cfg_reserved_690_wr_reg is record</t>
  </si>
  <si>
    <t>end record t_aeb_gen_cfg_reserved_690_wr_reg;</t>
  </si>
  <si>
    <t>-- AEB General Configuration Area Register "RESERVED_694"</t>
  </si>
  <si>
    <t>type t_aeb_gen_cfg_reserved_694_wr_reg is record</t>
  </si>
  <si>
    <t>end record t_aeb_gen_cfg_reserved_694_wr_reg;</t>
  </si>
  <si>
    <t>-- AEB General Configuration Area Register "RESERVED_698"</t>
  </si>
  <si>
    <t>type t_aeb_gen_cfg_reserved_698_wr_reg is record</t>
  </si>
  <si>
    <t>end record t_aeb_gen_cfg_reserved_698_wr_reg;</t>
  </si>
  <si>
    <t>-- AEB General Configuration Area Register "RESERVED_69C"</t>
  </si>
  <si>
    <t>type t_aeb_gen_cfg_reserved_69c_wr_reg is record</t>
  </si>
  <si>
    <t>end record t_aeb_gen_cfg_reserved_69c_wr_reg;</t>
  </si>
  <si>
    <t>-- AEB General Configuration Area Register "RESERVED_6A0"</t>
  </si>
  <si>
    <t>type t_aeb_gen_cfg_reserved_6a0_wr_reg is record</t>
  </si>
  <si>
    <t>end record t_aeb_gen_cfg_reserved_6a0_wr_reg;</t>
  </si>
  <si>
    <t>-- AEB General Configuration Area Register "RESERVED_6A4"</t>
  </si>
  <si>
    <t>type t_aeb_gen_cfg_reserved_6a4_wr_reg is record</t>
  </si>
  <si>
    <t>end record t_aeb_gen_cfg_reserved_6a4_wr_reg;</t>
  </si>
  <si>
    <t>-- AEB General Configuration Area Register "RESERVED_6A8"</t>
  </si>
  <si>
    <t>type t_aeb_gen_cfg_reserved_6a8_wr_reg is record</t>
  </si>
  <si>
    <t>end record t_aeb_gen_cfg_reserved_6a8_wr_reg;</t>
  </si>
  <si>
    <t>-- AEB General Configuration Area Register "RESERVED_6AC"</t>
  </si>
  <si>
    <t>type t_aeb_gen_cfg_reserved_6ac_wr_reg is record</t>
  </si>
  <si>
    <t>end record t_aeb_gen_cfg_reserved_6ac_wr_reg;</t>
  </si>
  <si>
    <t>-- AEB General Configuration Area Register "RESERVED_6B0"</t>
  </si>
  <si>
    <t>type t_aeb_gen_cfg_reserved_6b0_wr_reg is record</t>
  </si>
  <si>
    <t>end record t_aeb_gen_cfg_reserved_6b0_wr_reg;</t>
  </si>
  <si>
    <t>-- AEB General Configuration Area Register "RESERVED_6B4"</t>
  </si>
  <si>
    <t>type t_aeb_gen_cfg_reserved_6b4_wr_reg is record</t>
  </si>
  <si>
    <t>end record t_aeb_gen_cfg_reserved_6b4_wr_reg;</t>
  </si>
  <si>
    <t>-- AEB General Configuration Area Register "RESERVED_6B8"</t>
  </si>
  <si>
    <t>type t_aeb_gen_cfg_reserved_6b8_wr_reg is record</t>
  </si>
  <si>
    <t>end record t_aeb_gen_cfg_reserved_6b8_wr_reg;</t>
  </si>
  <si>
    <t>-- AEB General Configuration Area Register "RESERVED_6BC"</t>
  </si>
  <si>
    <t>type t_aeb_gen_cfg_reserved_6bc_wr_reg is record</t>
  </si>
  <si>
    <t>end record t_aeb_gen_cfg_reserved_6bc_wr_reg;</t>
  </si>
  <si>
    <t>-- AEB General Configuration Area Register "RESERVED_6C0"</t>
  </si>
  <si>
    <t>type t_aeb_gen_cfg_reserved_6c0_wr_reg is record</t>
  </si>
  <si>
    <t>end record t_aeb_gen_cfg_reserved_6c0_wr_reg;</t>
  </si>
  <si>
    <t>-- AEB General Configuration Area Register "RESERVED_6C4"</t>
  </si>
  <si>
    <t>type t_aeb_gen_cfg_reserved_6c4_wr_reg is record</t>
  </si>
  <si>
    <t>end record t_aeb_gen_cfg_reserved_6c4_wr_reg;</t>
  </si>
  <si>
    <t>-- AEB General Configuration Area Register "RESERVED_6C8"</t>
  </si>
  <si>
    <t>type t_aeb_gen_cfg_reserved_6c8_wr_reg is record</t>
  </si>
  <si>
    <t>end record t_aeb_gen_cfg_reserved_6c8_wr_reg;</t>
  </si>
  <si>
    <t>-- AEB General Configuration Area Register "RESERVED_6CC"</t>
  </si>
  <si>
    <t>type t_aeb_gen_cfg_reserved_6cc_wr_reg is record</t>
  </si>
  <si>
    <t>end record t_aeb_gen_cfg_reserved_6cc_wr_reg;</t>
  </si>
  <si>
    <t>-- AEB General Configuration Area Register "RESERVED_6D0"</t>
  </si>
  <si>
    <t>type t_aeb_gen_cfg_reserved_6d0_wr_reg is record</t>
  </si>
  <si>
    <t>end record t_aeb_gen_cfg_reserved_6d0_wr_reg;</t>
  </si>
  <si>
    <t>-- AEB General Configuration Area Register "RESERVED_6D4"</t>
  </si>
  <si>
    <t>type t_aeb_gen_cfg_reserved_6d4_wr_reg is record</t>
  </si>
  <si>
    <t>end record t_aeb_gen_cfg_reserved_6d4_wr_reg;</t>
  </si>
  <si>
    <t>-- AEB General Configuration Area Register "RESERVED_6D8"</t>
  </si>
  <si>
    <t>type t_aeb_gen_cfg_reserved_6d8_wr_reg is record</t>
  </si>
  <si>
    <t>end record t_aeb_gen_cfg_reserved_6d8_wr_reg;</t>
  </si>
  <si>
    <t>-- AEB General Configuration Area Register "RESERVED_6DC"</t>
  </si>
  <si>
    <t>type t_aeb_gen_cfg_reserved_6dc_wr_reg is record</t>
  </si>
  <si>
    <t>end record t_aeb_gen_cfg_reserved_6dc_wr_reg;</t>
  </si>
  <si>
    <t>-- AEB General Configuration Area Register "RESERVED_6E0"</t>
  </si>
  <si>
    <t>type t_aeb_gen_cfg_reserved_6e0_wr_reg is record</t>
  </si>
  <si>
    <t>end record t_aeb_gen_cfg_reserved_6e0_wr_reg;</t>
  </si>
  <si>
    <t>-- AEB General Configuration Area Register "RESERVED_6E4"</t>
  </si>
  <si>
    <t>type t_aeb_gen_cfg_reserved_6e4_wr_reg is record</t>
  </si>
  <si>
    <t>end record t_aeb_gen_cfg_reserved_6e4_wr_reg;</t>
  </si>
  <si>
    <t>-- AEB General Configuration Area Register "RESERVED_6E8"</t>
  </si>
  <si>
    <t>type t_aeb_gen_cfg_reserved_6e8_wr_reg is record</t>
  </si>
  <si>
    <t>end record t_aeb_gen_cfg_reserved_6e8_wr_reg;</t>
  </si>
  <si>
    <t>-- AEB General Configuration Area Register "RESERVED_6EC"</t>
  </si>
  <si>
    <t>type t_aeb_gen_cfg_reserved_6ec_wr_reg is record</t>
  </si>
  <si>
    <t>end record t_aeb_gen_cfg_reserved_6ec_wr_reg;</t>
  </si>
  <si>
    <t>-- AEB General Configuration Area Register "RESERVED_6F0"</t>
  </si>
  <si>
    <t>type t_aeb_gen_cfg_reserved_6f0_wr_reg is record</t>
  </si>
  <si>
    <t>end record t_aeb_gen_cfg_reserved_6f0_wr_reg;</t>
  </si>
  <si>
    <t>-- AEB General Configuration Area Register "RESERVED_6F4"</t>
  </si>
  <si>
    <t>type t_aeb_gen_cfg_reserved_6f4_wr_reg is record</t>
  </si>
  <si>
    <t>end record t_aeb_gen_cfg_reserved_6f4_wr_reg;</t>
  </si>
  <si>
    <t>-- AEB General Configuration Area Register "RESERVED_6F8"</t>
  </si>
  <si>
    <t>type t_aeb_gen_cfg_reserved_6f8_wr_reg is record</t>
  </si>
  <si>
    <t>end record t_aeb_gen_cfg_reserved_6f8_wr_reg;</t>
  </si>
  <si>
    <t>-- AEB General Configuration Area Register "RESERVED_6FC"</t>
  </si>
  <si>
    <t>type t_aeb_gen_cfg_reserved_6fc_wr_reg is record</t>
  </si>
  <si>
    <t>end record t_aeb_gen_cfg_reserved_6fc_wr_reg;</t>
  </si>
  <si>
    <t>-- AEB General Configuration Area Register "RESERVED_700"</t>
  </si>
  <si>
    <t>type t_aeb_gen_cfg_reserved_700_wr_reg is record</t>
  </si>
  <si>
    <t>end record t_aeb_gen_cfg_reserved_700_wr_reg;</t>
  </si>
  <si>
    <t>-- AEB General Configuration Area Register "RESERVED_704"</t>
  </si>
  <si>
    <t>type t_aeb_gen_cfg_reserved_704_wr_reg is record</t>
  </si>
  <si>
    <t>end record t_aeb_gen_cfg_reserved_704_wr_reg;</t>
  </si>
  <si>
    <t>-- AEB General Configuration Area Register "RESERVED_708"</t>
  </si>
  <si>
    <t>type t_aeb_gen_cfg_reserved_708_wr_reg is record</t>
  </si>
  <si>
    <t>end record t_aeb_gen_cfg_reserved_708_wr_reg;</t>
  </si>
  <si>
    <t>-- AEB General Configuration Area Register "RESERVED_70C"</t>
  </si>
  <si>
    <t>type t_aeb_gen_cfg_reserved_70c_wr_reg is record</t>
  </si>
  <si>
    <t>end record t_aeb_gen_cfg_reserved_70c_wr_reg;</t>
  </si>
  <si>
    <t>-- AEB General Configuration Area Register "RESERVED_710"</t>
  </si>
  <si>
    <t>type t_aeb_gen_cfg_reserved_710_wr_reg is record</t>
  </si>
  <si>
    <t>end record t_aeb_gen_cfg_reserved_710_wr_reg;</t>
  </si>
  <si>
    <t>-- AEB General Configuration Area Register "RESERVED_714"</t>
  </si>
  <si>
    <t>type t_aeb_gen_cfg_reserved_714_wr_reg is record</t>
  </si>
  <si>
    <t>end record t_aeb_gen_cfg_reserved_714_wr_reg;</t>
  </si>
  <si>
    <t>-- AEB General Configuration Area Register "RESERVED_718"</t>
  </si>
  <si>
    <t>type t_aeb_gen_cfg_reserved_718_wr_reg is record</t>
  </si>
  <si>
    <t>end record t_aeb_gen_cfg_reserved_718_wr_reg;</t>
  </si>
  <si>
    <t>-- AEB General Configuration Area Register "RESERVED_71C"</t>
  </si>
  <si>
    <t>type t_aeb_gen_cfg_reserved_71c_wr_reg is record</t>
  </si>
  <si>
    <t>end record t_aeb_gen_cfg_reserved_71c_wr_reg;</t>
  </si>
  <si>
    <t>-- AEB General Configuration Area Register "RESERVED_720"</t>
  </si>
  <si>
    <t>type t_aeb_gen_cfg_reserved_720_wr_reg is record</t>
  </si>
  <si>
    <t>end record t_aeb_gen_cfg_reserved_720_wr_reg;</t>
  </si>
  <si>
    <t>-- AEB General Configuration Area Register "RESERVED_724"</t>
  </si>
  <si>
    <t>type t_aeb_gen_cfg_reserved_724_wr_reg is record</t>
  </si>
  <si>
    <t>end record t_aeb_gen_cfg_reserved_724_wr_reg;</t>
  </si>
  <si>
    <t>-- AEB General Configuration Area Register "RESERVED_728"</t>
  </si>
  <si>
    <t>type t_aeb_gen_cfg_reserved_728_wr_reg is record</t>
  </si>
  <si>
    <t>end record t_aeb_gen_cfg_reserved_728_wr_reg;</t>
  </si>
  <si>
    <t>-- AEB General Configuration Area Register "RESERVED_72C"</t>
  </si>
  <si>
    <t>type t_aeb_gen_cfg_reserved_72c_wr_reg is record</t>
  </si>
  <si>
    <t>end record t_aeb_gen_cfg_reserved_72c_wr_reg;</t>
  </si>
  <si>
    <t>-- AEB General Configuration Area Register "RESERVED_730"</t>
  </si>
  <si>
    <t>type t_aeb_gen_cfg_reserved_730_wr_reg is record</t>
  </si>
  <si>
    <t>end record t_aeb_gen_cfg_reserved_730_wr_reg;</t>
  </si>
  <si>
    <t>-- AEB General Configuration Area Register "RESERVED_734"</t>
  </si>
  <si>
    <t>type t_aeb_gen_cfg_reserved_734_wr_reg is record</t>
  </si>
  <si>
    <t>end record t_aeb_gen_cfg_reserved_734_wr_reg;</t>
  </si>
  <si>
    <t>-- AEB General Configuration Area Register "RESERVED_738"</t>
  </si>
  <si>
    <t>type t_aeb_gen_cfg_reserved_738_wr_reg is record</t>
  </si>
  <si>
    <t>end record t_aeb_gen_cfg_reserved_738_wr_reg;</t>
  </si>
  <si>
    <t>-- AEB General Configuration Area Register "RESERVED_73C"</t>
  </si>
  <si>
    <t>type t_aeb_gen_cfg_reserved_73c_wr_reg is record</t>
  </si>
  <si>
    <t>end record t_aeb_gen_cfg_reserved_73c_wr_reg;</t>
  </si>
  <si>
    <t>-- AEB General Configuration Area Register "RESERVED_740"</t>
  </si>
  <si>
    <t>type t_aeb_gen_cfg_reserved_740_wr_reg is record</t>
  </si>
  <si>
    <t>end record t_aeb_gen_cfg_reserved_740_wr_reg;</t>
  </si>
  <si>
    <t>-- AEB General Configuration Area Register "RESERVED_744"</t>
  </si>
  <si>
    <t>type t_aeb_gen_cfg_reserved_744_wr_reg is record</t>
  </si>
  <si>
    <t>end record t_aeb_gen_cfg_reserved_744_wr_reg;</t>
  </si>
  <si>
    <t>-- AEB General Configuration Area Register "RESERVED_748"</t>
  </si>
  <si>
    <t>type t_aeb_gen_cfg_reserved_748_wr_reg is record</t>
  </si>
  <si>
    <t>end record t_aeb_gen_cfg_reserved_748_wr_reg;</t>
  </si>
  <si>
    <t>-- AEB General Configuration Area Register "RESERVED_74C"</t>
  </si>
  <si>
    <t>type t_aeb_gen_cfg_reserved_74c_wr_reg is record</t>
  </si>
  <si>
    <t>end record t_aeb_gen_cfg_reserved_74c_wr_reg;</t>
  </si>
  <si>
    <t>-- AEB General Configuration Area Register "RESERVED_750"</t>
  </si>
  <si>
    <t>type t_aeb_gen_cfg_reserved_750_wr_reg is record</t>
  </si>
  <si>
    <t>end record t_aeb_gen_cfg_reserved_750_wr_reg;</t>
  </si>
  <si>
    <t>-- AEB General Configuration Area Register "RESERVED_754"</t>
  </si>
  <si>
    <t>type t_aeb_gen_cfg_reserved_754_wr_reg is record</t>
  </si>
  <si>
    <t>end record t_aeb_gen_cfg_reserved_754_wr_reg;</t>
  </si>
  <si>
    <t>-- AEB General Configuration Area Register "RESERVED_758"</t>
  </si>
  <si>
    <t>type t_aeb_gen_cfg_reserved_758_wr_reg is record</t>
  </si>
  <si>
    <t>end record t_aeb_gen_cfg_reserved_758_wr_reg;</t>
  </si>
  <si>
    <t>-- AEB General Configuration Area Register "RESERVED_75C"</t>
  </si>
  <si>
    <t>type t_aeb_gen_cfg_reserved_75c_wr_reg is record</t>
  </si>
  <si>
    <t>end record t_aeb_gen_cfg_reserved_75c_wr_reg;</t>
  </si>
  <si>
    <t>-- AEB General Configuration Area Register "RESERVED_760"</t>
  </si>
  <si>
    <t>type t_aeb_gen_cfg_reserved_760_wr_reg is record</t>
  </si>
  <si>
    <t>end record t_aeb_gen_cfg_reserved_760_wr_reg;</t>
  </si>
  <si>
    <t>-- AEB General Configuration Area Register "RESERVED_764"</t>
  </si>
  <si>
    <t>type t_aeb_gen_cfg_reserved_764_wr_reg is record</t>
  </si>
  <si>
    <t>end record t_aeb_gen_cfg_reserved_764_wr_reg;</t>
  </si>
  <si>
    <t>-- AEB General Configuration Area Register "RESERVED_768"</t>
  </si>
  <si>
    <t>type t_aeb_gen_cfg_reserved_768_wr_reg is record</t>
  </si>
  <si>
    <t>end record t_aeb_gen_cfg_reserved_768_wr_reg;</t>
  </si>
  <si>
    <t>-- AEB General Configuration Area Register "RESERVED_76C"</t>
  </si>
  <si>
    <t>type t_aeb_gen_cfg_reserved_76c_wr_reg is record</t>
  </si>
  <si>
    <t>end record t_aeb_gen_cfg_reserved_76c_wr_reg;</t>
  </si>
  <si>
    <t>-- AEB General Configuration Area Register "RESERVED_770"</t>
  </si>
  <si>
    <t>type t_aeb_gen_cfg_reserved_770_wr_reg is record</t>
  </si>
  <si>
    <t>end record t_aeb_gen_cfg_reserved_770_wr_reg;</t>
  </si>
  <si>
    <t>-- AEB General Configuration Area Register "RESERVED_774"</t>
  </si>
  <si>
    <t>type t_aeb_gen_cfg_reserved_774_wr_reg is record</t>
  </si>
  <si>
    <t>end record t_aeb_gen_cfg_reserved_774_wr_reg;</t>
  </si>
  <si>
    <t>-- AEB General Configuration Area Register "RESERVED_778"</t>
  </si>
  <si>
    <t>type t_aeb_gen_cfg_reserved_778_wr_reg is record</t>
  </si>
  <si>
    <t>end record t_aeb_gen_cfg_reserved_778_wr_reg;</t>
  </si>
  <si>
    <t>-- AEB General Configuration Area Register "RESERVED_77C"</t>
  </si>
  <si>
    <t>type t_aeb_gen_cfg_reserved_77c_wr_reg is record</t>
  </si>
  <si>
    <t>end record t_aeb_gen_cfg_reserved_77c_wr_reg;</t>
  </si>
  <si>
    <t>-- AEB General Configuration Area Register "RESERVED_780"</t>
  </si>
  <si>
    <t>type t_aeb_gen_cfg_reserved_780_wr_reg is record</t>
  </si>
  <si>
    <t>end record t_aeb_gen_cfg_reserved_780_wr_reg;</t>
  </si>
  <si>
    <t>-- AEB General Configuration Area Register "RESERVED_784"</t>
  </si>
  <si>
    <t>type t_aeb_gen_cfg_reserved_784_wr_reg is record</t>
  </si>
  <si>
    <t>end record t_aeb_gen_cfg_reserved_784_wr_reg;</t>
  </si>
  <si>
    <t>-- AEB General Configuration Area Register "RESERVED_788"</t>
  </si>
  <si>
    <t>type t_aeb_gen_cfg_reserved_788_wr_reg is record</t>
  </si>
  <si>
    <t>end record t_aeb_gen_cfg_reserved_788_wr_reg;</t>
  </si>
  <si>
    <t>-- AEB General Configuration Area Register "RESERVED_78C"</t>
  </si>
  <si>
    <t>type t_aeb_gen_cfg_reserved_78c_wr_reg is record</t>
  </si>
  <si>
    <t>end record t_aeb_gen_cfg_reserved_78c_wr_reg;</t>
  </si>
  <si>
    <t>-- AEB General Configuration Area Register "RESERVED_790"</t>
  </si>
  <si>
    <t>type t_aeb_gen_cfg_reserved_790_wr_reg is record</t>
  </si>
  <si>
    <t>end record t_aeb_gen_cfg_reserved_790_wr_reg;</t>
  </si>
  <si>
    <t>-- AEB General Configuration Area Register "RESERVED_794"</t>
  </si>
  <si>
    <t>type t_aeb_gen_cfg_reserved_794_wr_reg is record</t>
  </si>
  <si>
    <t>end record t_aeb_gen_cfg_reserved_794_wr_reg;</t>
  </si>
  <si>
    <t>-- AEB General Configuration Area Register "RESERVED_798"</t>
  </si>
  <si>
    <t>type t_aeb_gen_cfg_reserved_798_wr_reg is record</t>
  </si>
  <si>
    <t>end record t_aeb_gen_cfg_reserved_798_wr_reg;</t>
  </si>
  <si>
    <t>-- AEB General Configuration Area Register "RESERVED_79C"</t>
  </si>
  <si>
    <t>type t_aeb_gen_cfg_reserved_79c_wr_reg is record</t>
  </si>
  <si>
    <t>end record t_aeb_gen_cfg_reserved_79c_wr_reg;</t>
  </si>
  <si>
    <t>-- AEB General Configuration Area Register "RESERVED_7A0"</t>
  </si>
  <si>
    <t>type t_aeb_gen_cfg_reserved_7a0_wr_reg is record</t>
  </si>
  <si>
    <t>end record t_aeb_gen_cfg_reserved_7a0_wr_reg;</t>
  </si>
  <si>
    <t>-- AEB General Configuration Area Register "RESERVED_7A4"</t>
  </si>
  <si>
    <t>type t_aeb_gen_cfg_reserved_7a4_wr_reg is record</t>
  </si>
  <si>
    <t>end record t_aeb_gen_cfg_reserved_7a4_wr_reg;</t>
  </si>
  <si>
    <t>-- AEB General Configuration Area Register "RESERVED_7A8"</t>
  </si>
  <si>
    <t>type t_aeb_gen_cfg_reserved_7a8_wr_reg is record</t>
  </si>
  <si>
    <t>end record t_aeb_gen_cfg_reserved_7a8_wr_reg;</t>
  </si>
  <si>
    <t>-- AEB General Configuration Area Register "RESERVED_7AC"</t>
  </si>
  <si>
    <t>type t_aeb_gen_cfg_reserved_7ac_wr_reg is record</t>
  </si>
  <si>
    <t>end record t_aeb_gen_cfg_reserved_7ac_wr_reg;</t>
  </si>
  <si>
    <t>-- AEB General Configuration Area Register "RESERVED_7B0"</t>
  </si>
  <si>
    <t>type t_aeb_gen_cfg_reserved_7b0_wr_reg is record</t>
  </si>
  <si>
    <t>end record t_aeb_gen_cfg_reserved_7b0_wr_reg;</t>
  </si>
  <si>
    <t>-- AEB General Configuration Area Register "RESERVED_7B4"</t>
  </si>
  <si>
    <t>type t_aeb_gen_cfg_reserved_7b4_wr_reg is record</t>
  </si>
  <si>
    <t>end record t_aeb_gen_cfg_reserved_7b4_wr_reg;</t>
  </si>
  <si>
    <t>-- AEB General Configuration Area Register "RESERVED_7B8"</t>
  </si>
  <si>
    <t>type t_aeb_gen_cfg_reserved_7b8_wr_reg is record</t>
  </si>
  <si>
    <t>end record t_aeb_gen_cfg_reserved_7b8_wr_reg;</t>
  </si>
  <si>
    <t>-- AEB General Configuration Area Register "RESERVED_7BC"</t>
  </si>
  <si>
    <t>type t_aeb_gen_cfg_reserved_7bc_wr_reg is record</t>
  </si>
  <si>
    <t>end record t_aeb_gen_cfg_reserved_7bc_wr_reg;</t>
  </si>
  <si>
    <t>-- AEB General Configuration Area Register "RESERVED_7C0"</t>
  </si>
  <si>
    <t>type t_aeb_gen_cfg_reserved_7c0_wr_reg is record</t>
  </si>
  <si>
    <t>end record t_aeb_gen_cfg_reserved_7c0_wr_reg;</t>
  </si>
  <si>
    <t>-- AEB General Configuration Area Register "RESERVED_7C4"</t>
  </si>
  <si>
    <t>type t_aeb_gen_cfg_reserved_7c4_wr_reg is record</t>
  </si>
  <si>
    <t>end record t_aeb_gen_cfg_reserved_7c4_wr_reg;</t>
  </si>
  <si>
    <t>-- AEB General Configuration Area Register "RESERVED_7C8"</t>
  </si>
  <si>
    <t>type t_aeb_gen_cfg_reserved_7c8_wr_reg is record</t>
  </si>
  <si>
    <t>end record t_aeb_gen_cfg_reserved_7c8_wr_reg;</t>
  </si>
  <si>
    <t>-- AEB General Configuration Area Register "RESERVED_7CC"</t>
  </si>
  <si>
    <t>type t_aeb_gen_cfg_reserved_7cc_wr_reg is record</t>
  </si>
  <si>
    <t>end record t_aeb_gen_cfg_reserved_7cc_wr_reg;</t>
  </si>
  <si>
    <t>-- AEB General Configuration Area Register "RESERVED_7D0"</t>
  </si>
  <si>
    <t>type t_aeb_gen_cfg_reserved_7d0_wr_reg is record</t>
  </si>
  <si>
    <t>end record t_aeb_gen_cfg_reserved_7d0_wr_reg;</t>
  </si>
  <si>
    <t>-- AEB General Configuration Area Register "RESERVED_7D4"</t>
  </si>
  <si>
    <t>type t_aeb_gen_cfg_reserved_7d4_wr_reg is record</t>
  </si>
  <si>
    <t>end record t_aeb_gen_cfg_reserved_7d4_wr_reg;</t>
  </si>
  <si>
    <t>-- AEB General Configuration Area Register "RESERVED_7D8"</t>
  </si>
  <si>
    <t>type t_aeb_gen_cfg_reserved_7d8_wr_reg is record</t>
  </si>
  <si>
    <t>end record t_aeb_gen_cfg_reserved_7d8_wr_reg;</t>
  </si>
  <si>
    <t>-- AEB General Configuration Area Register "RESERVED_7DC"</t>
  </si>
  <si>
    <t>type t_aeb_gen_cfg_reserved_7dc_wr_reg is record</t>
  </si>
  <si>
    <t>end record t_aeb_gen_cfg_reserved_7dc_wr_reg;</t>
  </si>
  <si>
    <t>-- AEB General Configuration Area Register "RESERVED_7E0"</t>
  </si>
  <si>
    <t>type t_aeb_gen_cfg_reserved_7e0_wr_reg is record</t>
  </si>
  <si>
    <t>end record t_aeb_gen_cfg_reserved_7e0_wr_reg;</t>
  </si>
  <si>
    <t>-- AEB General Configuration Area Register "RESERVED_7E4"</t>
  </si>
  <si>
    <t>type t_aeb_gen_cfg_reserved_7e4_wr_reg is record</t>
  </si>
  <si>
    <t>end record t_aeb_gen_cfg_reserved_7e4_wr_reg;</t>
  </si>
  <si>
    <t>-- AEB General Configuration Area Register "RESERVED_7E8"</t>
  </si>
  <si>
    <t>type t_aeb_gen_cfg_reserved_7e8_wr_reg is record</t>
  </si>
  <si>
    <t>end record t_aeb_gen_cfg_reserved_7e8_wr_reg;</t>
  </si>
  <si>
    <t>-- AEB General Configuration Area Register "RESERVED_7EC"</t>
  </si>
  <si>
    <t>type t_aeb_gen_cfg_reserved_7ec_wr_reg is record</t>
  </si>
  <si>
    <t>end record t_aeb_gen_cfg_reserved_7ec_wr_reg;</t>
  </si>
  <si>
    <t>-- AEB General Configuration Area Register "RESERVED_7F0"</t>
  </si>
  <si>
    <t>type t_aeb_gen_cfg_reserved_7f0_wr_reg is record</t>
  </si>
  <si>
    <t>end record t_aeb_gen_cfg_reserved_7f0_wr_reg;</t>
  </si>
  <si>
    <t>-- AEB General Configuration Area Register "RESERVED_7F4"</t>
  </si>
  <si>
    <t>type t_aeb_gen_cfg_reserved_7f4_wr_reg is record</t>
  </si>
  <si>
    <t>end record t_aeb_gen_cfg_reserved_7f4_wr_reg;</t>
  </si>
  <si>
    <t>-- AEB General Configuration Area Register "RESERVED_7F8"</t>
  </si>
  <si>
    <t>type t_aeb_gen_cfg_reserved_7f8_wr_reg is record</t>
  </si>
  <si>
    <t>end record t_aeb_gen_cfg_reserved_7f8_wr_reg;</t>
  </si>
  <si>
    <t>-- AEB General Configuration Area Register "RESERVED_7FC"</t>
  </si>
  <si>
    <t>type t_aeb_gen_cfg_reserved_7fc_wr_reg is record</t>
  </si>
  <si>
    <t>end record t_aeb_gen_cfg_reserved_7fc_wr_reg;</t>
  </si>
  <si>
    <t>-- AEB General Configuration Area Register "RESERVED_800"</t>
  </si>
  <si>
    <t>type t_aeb_gen_cfg_reserved_800_wr_reg is record</t>
  </si>
  <si>
    <t>end record t_aeb_gen_cfg_reserved_800_wr_reg;</t>
  </si>
  <si>
    <t>-- AEB General Configuration Area Register "RESERVED_804"</t>
  </si>
  <si>
    <t>type t_aeb_gen_cfg_reserved_804_wr_reg is record</t>
  </si>
  <si>
    <t>end record t_aeb_gen_cfg_reserved_804_wr_reg;</t>
  </si>
  <si>
    <t>-- AEB General Configuration Area Register "RESERVED_808"</t>
  </si>
  <si>
    <t>type t_aeb_gen_cfg_reserved_808_wr_reg is record</t>
  </si>
  <si>
    <t>end record t_aeb_gen_cfg_reserved_808_wr_reg;</t>
  </si>
  <si>
    <t>-- AEB General Configuration Area Register "RESERVED_80C"</t>
  </si>
  <si>
    <t>type t_aeb_gen_cfg_reserved_80c_wr_reg is record</t>
  </si>
  <si>
    <t>end record t_aeb_gen_cfg_reserved_80c_wr_reg;</t>
  </si>
  <si>
    <t>-- AEB General Configuration Area Register "RESERVED_810"</t>
  </si>
  <si>
    <t>type t_aeb_gen_cfg_reserved_810_wr_reg is record</t>
  </si>
  <si>
    <t>end record t_aeb_gen_cfg_reserved_810_wr_reg;</t>
  </si>
  <si>
    <t>-- AEB General Configuration Area Register "RESERVED_814"</t>
  </si>
  <si>
    <t>type t_aeb_gen_cfg_reserved_814_wr_reg is record</t>
  </si>
  <si>
    <t>end record t_aeb_gen_cfg_reserved_814_wr_reg;</t>
  </si>
  <si>
    <t>-- AEB General Configuration Area Register "RESERVED_818"</t>
  </si>
  <si>
    <t>type t_aeb_gen_cfg_reserved_818_wr_reg is record</t>
  </si>
  <si>
    <t>end record t_aeb_gen_cfg_reserved_818_wr_reg;</t>
  </si>
  <si>
    <t>-- AEB General Configuration Area Register "RESERVED_81C"</t>
  </si>
  <si>
    <t>type t_aeb_gen_cfg_reserved_81c_wr_reg is record</t>
  </si>
  <si>
    <t>end record t_aeb_gen_cfg_reserved_81c_wr_reg;</t>
  </si>
  <si>
    <t>-- AEB General Configuration Area Register "RESERVED_820"</t>
  </si>
  <si>
    <t>type t_aeb_gen_cfg_reserved_820_wr_reg is record</t>
  </si>
  <si>
    <t>end record t_aeb_gen_cfg_reserved_820_wr_reg;</t>
  </si>
  <si>
    <t>-- AEB General Configuration Area Register "RESERVED_824"</t>
  </si>
  <si>
    <t>type t_aeb_gen_cfg_reserved_824_wr_reg is record</t>
  </si>
  <si>
    <t>end record t_aeb_gen_cfg_reserved_824_wr_reg;</t>
  </si>
  <si>
    <t>-- AEB General Configuration Area Register "RESERVED_828"</t>
  </si>
  <si>
    <t>type t_aeb_gen_cfg_reserved_828_wr_reg is record</t>
  </si>
  <si>
    <t>end record t_aeb_gen_cfg_reserved_828_wr_reg;</t>
  </si>
  <si>
    <t>-- AEB General Configuration Area Register "RESERVED_82C"</t>
  </si>
  <si>
    <t>type t_aeb_gen_cfg_reserved_82c_wr_reg is record</t>
  </si>
  <si>
    <t>end record t_aeb_gen_cfg_reserved_82c_wr_reg;</t>
  </si>
  <si>
    <t>-- AEB General Configuration Area Register "RESERVED_830"</t>
  </si>
  <si>
    <t>type t_aeb_gen_cfg_reserved_830_wr_reg is record</t>
  </si>
  <si>
    <t>end record t_aeb_gen_cfg_reserved_830_wr_reg;</t>
  </si>
  <si>
    <t>-- AEB General Configuration Area Register "RESERVED_834"</t>
  </si>
  <si>
    <t>type t_aeb_gen_cfg_reserved_834_wr_reg is record</t>
  </si>
  <si>
    <t>end record t_aeb_gen_cfg_reserved_834_wr_reg;</t>
  </si>
  <si>
    <t>-- AEB General Configuration Area Register "RESERVED_838"</t>
  </si>
  <si>
    <t>type t_aeb_gen_cfg_reserved_838_wr_reg is record</t>
  </si>
  <si>
    <t>end record t_aeb_gen_cfg_reserved_838_wr_reg;</t>
  </si>
  <si>
    <t>-- AEB General Configuration Area Register "RESERVED_83C"</t>
  </si>
  <si>
    <t>type t_aeb_gen_cfg_reserved_83c_wr_reg is record</t>
  </si>
  <si>
    <t>end record t_aeb_gen_cfg_reserved_83c_wr_reg;</t>
  </si>
  <si>
    <t>-- AEB General Configuration Area Register "RESERVED_840"</t>
  </si>
  <si>
    <t>type t_aeb_gen_cfg_reserved_840_wr_reg is record</t>
  </si>
  <si>
    <t>end record t_aeb_gen_cfg_reserved_840_wr_reg;</t>
  </si>
  <si>
    <t>-- AEB General Configuration Area Register "RESERVED_844"</t>
  </si>
  <si>
    <t>type t_aeb_gen_cfg_reserved_844_wr_reg is record</t>
  </si>
  <si>
    <t>end record t_aeb_gen_cfg_reserved_844_wr_reg;</t>
  </si>
  <si>
    <t>-- AEB General Configuration Area Register "RESERVED_848"</t>
  </si>
  <si>
    <t>type t_aeb_gen_cfg_reserved_848_wr_reg is record</t>
  </si>
  <si>
    <t>end record t_aeb_gen_cfg_reserved_848_wr_reg;</t>
  </si>
  <si>
    <t>-- AEB General Configuration Area Register "RESERVED_84C"</t>
  </si>
  <si>
    <t>type t_aeb_gen_cfg_reserved_84c_wr_reg is record</t>
  </si>
  <si>
    <t>end record t_aeb_gen_cfg_reserved_84c_wr_reg;</t>
  </si>
  <si>
    <t>-- AEB General Configuration Area Register "RESERVED_850"</t>
  </si>
  <si>
    <t>type t_aeb_gen_cfg_reserved_850_wr_reg is record</t>
  </si>
  <si>
    <t>end record t_aeb_gen_cfg_reserved_850_wr_reg;</t>
  </si>
  <si>
    <t>-- AEB General Configuration Area Register "RESERVED_854"</t>
  </si>
  <si>
    <t>type t_aeb_gen_cfg_reserved_854_wr_reg is record</t>
  </si>
  <si>
    <t>end record t_aeb_gen_cfg_reserved_854_wr_reg;</t>
  </si>
  <si>
    <t>-- AEB General Configuration Area Register "RESERVED_858"</t>
  </si>
  <si>
    <t>type t_aeb_gen_cfg_reserved_858_wr_reg is record</t>
  </si>
  <si>
    <t>end record t_aeb_gen_cfg_reserved_858_wr_reg;</t>
  </si>
  <si>
    <t>-- AEB General Configuration Area Register "RESERVED_85C"</t>
  </si>
  <si>
    <t>type t_aeb_gen_cfg_reserved_85c_wr_reg is record</t>
  </si>
  <si>
    <t>end record t_aeb_gen_cfg_reserved_85c_wr_reg;</t>
  </si>
  <si>
    <t>-- AEB General Configuration Area Register "RESERVED_860"</t>
  </si>
  <si>
    <t>type t_aeb_gen_cfg_reserved_860_wr_reg is record</t>
  </si>
  <si>
    <t>end record t_aeb_gen_cfg_reserved_860_wr_reg;</t>
  </si>
  <si>
    <t>-- AEB General Configuration Area Register "RESERVED_864"</t>
  </si>
  <si>
    <t>type t_aeb_gen_cfg_reserved_864_wr_reg is record</t>
  </si>
  <si>
    <t>end record t_aeb_gen_cfg_reserved_864_wr_reg;</t>
  </si>
  <si>
    <t>-- AEB General Configuration Area Register "RESERVED_868"</t>
  </si>
  <si>
    <t>type t_aeb_gen_cfg_reserved_868_wr_reg is record</t>
  </si>
  <si>
    <t>end record t_aeb_gen_cfg_reserved_868_wr_reg;</t>
  </si>
  <si>
    <t>-- AEB General Configuration Area Register "RESERVED_86C"</t>
  </si>
  <si>
    <t>type t_aeb_gen_cfg_reserved_86c_wr_reg is record</t>
  </si>
  <si>
    <t>end record t_aeb_gen_cfg_reserved_86c_wr_reg;</t>
  </si>
  <si>
    <t>-- AEB General Configuration Area Register "RESERVED_870"</t>
  </si>
  <si>
    <t>type t_aeb_gen_cfg_reserved_870_wr_reg is record</t>
  </si>
  <si>
    <t>end record t_aeb_gen_cfg_reserved_870_wr_reg;</t>
  </si>
  <si>
    <t>-- AEB General Configuration Area Register "RESERVED_874"</t>
  </si>
  <si>
    <t>type t_aeb_gen_cfg_reserved_874_wr_reg is record</t>
  </si>
  <si>
    <t>end record t_aeb_gen_cfg_reserved_874_wr_reg;</t>
  </si>
  <si>
    <t>-- AEB General Configuration Area Register "RESERVED_878"</t>
  </si>
  <si>
    <t>type t_aeb_gen_cfg_reserved_878_wr_reg is record</t>
  </si>
  <si>
    <t>end record t_aeb_gen_cfg_reserved_878_wr_reg;</t>
  </si>
  <si>
    <t>-- AEB General Configuration Area Register "RESERVED_87C"</t>
  </si>
  <si>
    <t>type t_aeb_gen_cfg_reserved_87c_wr_reg is record</t>
  </si>
  <si>
    <t>end record t_aeb_gen_cfg_reserved_87c_wr_reg;</t>
  </si>
  <si>
    <t>-- AEB General Configuration Area Register "RESERVED_880"</t>
  </si>
  <si>
    <t>type t_aeb_gen_cfg_reserved_880_wr_reg is record</t>
  </si>
  <si>
    <t>end record t_aeb_gen_cfg_reserved_880_wr_reg;</t>
  </si>
  <si>
    <t>-- AEB General Configuration Area Register "RESERVED_884"</t>
  </si>
  <si>
    <t>type t_aeb_gen_cfg_reserved_884_wr_reg is record</t>
  </si>
  <si>
    <t>end record t_aeb_gen_cfg_reserved_884_wr_reg;</t>
  </si>
  <si>
    <t>-- AEB General Configuration Area Register "RESERVED_888"</t>
  </si>
  <si>
    <t>type t_aeb_gen_cfg_reserved_888_wr_reg is record</t>
  </si>
  <si>
    <t>end record t_aeb_gen_cfg_reserved_888_wr_reg;</t>
  </si>
  <si>
    <t>-- AEB General Configuration Area Register "RESERVED_88C"</t>
  </si>
  <si>
    <t>type t_aeb_gen_cfg_reserved_88c_wr_reg is record</t>
  </si>
  <si>
    <t>end record t_aeb_gen_cfg_reserved_88c_wr_reg;</t>
  </si>
  <si>
    <t>-- AEB General Configuration Area Register "RESERVED_890"</t>
  </si>
  <si>
    <t>type t_aeb_gen_cfg_reserved_890_wr_reg is record</t>
  </si>
  <si>
    <t>end record t_aeb_gen_cfg_reserved_890_wr_reg;</t>
  </si>
  <si>
    <t>-- AEB General Configuration Area Register "RESERVED_894"</t>
  </si>
  <si>
    <t>type t_aeb_gen_cfg_reserved_894_wr_reg is record</t>
  </si>
  <si>
    <t>end record t_aeb_gen_cfg_reserved_894_wr_reg;</t>
  </si>
  <si>
    <t>-- AEB General Configuration Area Register "RESERVED_898"</t>
  </si>
  <si>
    <t>type t_aeb_gen_cfg_reserved_898_wr_reg is record</t>
  </si>
  <si>
    <t>end record t_aeb_gen_cfg_reserved_898_wr_reg;</t>
  </si>
  <si>
    <t>-- AEB General Configuration Area Register "RESERVED_89C"</t>
  </si>
  <si>
    <t>type t_aeb_gen_cfg_reserved_89c_wr_reg is record</t>
  </si>
  <si>
    <t>end record t_aeb_gen_cfg_reserved_89c_wr_reg;</t>
  </si>
  <si>
    <t>-- AEB General Configuration Area Register "RESERVED_8A0"</t>
  </si>
  <si>
    <t>type t_aeb_gen_cfg_reserved_8a0_wr_reg is record</t>
  </si>
  <si>
    <t>end record t_aeb_gen_cfg_reserved_8a0_wr_reg;</t>
  </si>
  <si>
    <t>-- AEB General Configuration Area Register "RESERVED_8A4"</t>
  </si>
  <si>
    <t>type t_aeb_gen_cfg_reserved_8a4_wr_reg is record</t>
  </si>
  <si>
    <t>end record t_aeb_gen_cfg_reserved_8a4_wr_reg;</t>
  </si>
  <si>
    <t>-- AEB General Configuration Area Register "RESERVED_8A8"</t>
  </si>
  <si>
    <t>type t_aeb_gen_cfg_reserved_8a8_wr_reg is record</t>
  </si>
  <si>
    <t>end record t_aeb_gen_cfg_reserved_8a8_wr_reg;</t>
  </si>
  <si>
    <t>-- AEB General Configuration Area Register "RESERVED_8AC"</t>
  </si>
  <si>
    <t>type t_aeb_gen_cfg_reserved_8ac_wr_reg is record</t>
  </si>
  <si>
    <t>end record t_aeb_gen_cfg_reserved_8ac_wr_reg;</t>
  </si>
  <si>
    <t>-- AEB General Configuration Area Register "RESERVED_8B0"</t>
  </si>
  <si>
    <t>type t_aeb_gen_cfg_reserved_8b0_wr_reg is record</t>
  </si>
  <si>
    <t>end record t_aeb_gen_cfg_reserved_8b0_wr_reg;</t>
  </si>
  <si>
    <t>-- AEB General Configuration Area Register "RESERVED_8B4"</t>
  </si>
  <si>
    <t>type t_aeb_gen_cfg_reserved_8b4_wr_reg is record</t>
  </si>
  <si>
    <t>end record t_aeb_gen_cfg_reserved_8b4_wr_reg;</t>
  </si>
  <si>
    <t>-- AEB General Configuration Area Register "RESERVED_8B8"</t>
  </si>
  <si>
    <t>type t_aeb_gen_cfg_reserved_8b8_wr_reg is record</t>
  </si>
  <si>
    <t>end record t_aeb_gen_cfg_reserved_8b8_wr_reg;</t>
  </si>
  <si>
    <t>-- AEB General Configuration Area Register "RESERVED_8BC"</t>
  </si>
  <si>
    <t>type t_aeb_gen_cfg_reserved_8bc_wr_reg is record</t>
  </si>
  <si>
    <t>end record t_aeb_gen_cfg_reserved_8bc_wr_reg;</t>
  </si>
  <si>
    <t>-- AEB General Configuration Area Register "RESERVED_8C0"</t>
  </si>
  <si>
    <t>type t_aeb_gen_cfg_reserved_8c0_wr_reg is record</t>
  </si>
  <si>
    <t>end record t_aeb_gen_cfg_reserved_8c0_wr_reg;</t>
  </si>
  <si>
    <t>-- AEB General Configuration Area Register "RESERVED_8C4"</t>
  </si>
  <si>
    <t>type t_aeb_gen_cfg_reserved_8c4_wr_reg is record</t>
  </si>
  <si>
    <t>end record t_aeb_gen_cfg_reserved_8c4_wr_reg;</t>
  </si>
  <si>
    <t>-- AEB General Configuration Area Register "RESERVED_8C8"</t>
  </si>
  <si>
    <t>type t_aeb_gen_cfg_reserved_8c8_wr_reg is record</t>
  </si>
  <si>
    <t>end record t_aeb_gen_cfg_reserved_8c8_wr_reg;</t>
  </si>
  <si>
    <t>-- AEB General Configuration Area Register "RESERVED_8CC"</t>
  </si>
  <si>
    <t>type t_aeb_gen_cfg_reserved_8cc_wr_reg is record</t>
  </si>
  <si>
    <t>end record t_aeb_gen_cfg_reserved_8cc_wr_reg;</t>
  </si>
  <si>
    <t>-- AEB General Configuration Area Register "RESERVED_8D0"</t>
  </si>
  <si>
    <t>type t_aeb_gen_cfg_reserved_8d0_wr_reg is record</t>
  </si>
  <si>
    <t>end record t_aeb_gen_cfg_reserved_8d0_wr_reg;</t>
  </si>
  <si>
    <t>-- AEB General Configuration Area Register "RESERVED_8D4"</t>
  </si>
  <si>
    <t>type t_aeb_gen_cfg_reserved_8d4_wr_reg is record</t>
  </si>
  <si>
    <t>end record t_aeb_gen_cfg_reserved_8d4_wr_reg;</t>
  </si>
  <si>
    <t>-- AEB General Configuration Area Register "RESERVED_8D8"</t>
  </si>
  <si>
    <t>type t_aeb_gen_cfg_reserved_8d8_wr_reg is record</t>
  </si>
  <si>
    <t>end record t_aeb_gen_cfg_reserved_8d8_wr_reg;</t>
  </si>
  <si>
    <t>-- AEB General Configuration Area Register "RESERVED_8DC"</t>
  </si>
  <si>
    <t>type t_aeb_gen_cfg_reserved_8dc_wr_reg is record</t>
  </si>
  <si>
    <t>end record t_aeb_gen_cfg_reserved_8dc_wr_reg;</t>
  </si>
  <si>
    <t>-- AEB General Configuration Area Register "RESERVED_8E0"</t>
  </si>
  <si>
    <t>type t_aeb_gen_cfg_reserved_8e0_wr_reg is record</t>
  </si>
  <si>
    <t>end record t_aeb_gen_cfg_reserved_8e0_wr_reg;</t>
  </si>
  <si>
    <t>-- AEB General Configuration Area Register "RESERVED_8E4"</t>
  </si>
  <si>
    <t>type t_aeb_gen_cfg_reserved_8e4_wr_reg is record</t>
  </si>
  <si>
    <t>end record t_aeb_gen_cfg_reserved_8e4_wr_reg;</t>
  </si>
  <si>
    <t>-- AEB General Configuration Area Register "RESERVED_8E8"</t>
  </si>
  <si>
    <t>type t_aeb_gen_cfg_reserved_8e8_wr_reg is record</t>
  </si>
  <si>
    <t>end record t_aeb_gen_cfg_reserved_8e8_wr_reg;</t>
  </si>
  <si>
    <t>-- AEB General Configuration Area Register "RESERVED_8EC"</t>
  </si>
  <si>
    <t>type t_aeb_gen_cfg_reserved_8ec_wr_reg is record</t>
  </si>
  <si>
    <t>end record t_aeb_gen_cfg_reserved_8ec_wr_reg;</t>
  </si>
  <si>
    <t>-- AEB General Configuration Area Register "RESERVED_8F0"</t>
  </si>
  <si>
    <t>type t_aeb_gen_cfg_reserved_8f0_wr_reg is record</t>
  </si>
  <si>
    <t>end record t_aeb_gen_cfg_reserved_8f0_wr_reg;</t>
  </si>
  <si>
    <t>-- AEB General Configuration Area Register "RESERVED_8F4"</t>
  </si>
  <si>
    <t>type t_aeb_gen_cfg_reserved_8f4_wr_reg is record</t>
  </si>
  <si>
    <t>end record t_aeb_gen_cfg_reserved_8f4_wr_reg;</t>
  </si>
  <si>
    <t>-- AEB General Configuration Area Register "RESERVED_8F8"</t>
  </si>
  <si>
    <t>type t_aeb_gen_cfg_reserved_8f8_wr_reg is record</t>
  </si>
  <si>
    <t>end record t_aeb_gen_cfg_reserved_8f8_wr_reg;</t>
  </si>
  <si>
    <t>-- AEB General Configuration Area Register "RESERVED_8FC"</t>
  </si>
  <si>
    <t>type t_aeb_gen_cfg_reserved_8fc_wr_reg is record</t>
  </si>
  <si>
    <t>end record t_aeb_gen_cfg_reserved_8fc_wr_reg;</t>
  </si>
  <si>
    <t>-- AEB General Configuration Area Register "RESERVED_900"</t>
  </si>
  <si>
    <t>type t_aeb_gen_cfg_reserved_900_wr_reg is record</t>
  </si>
  <si>
    <t>end record t_aeb_gen_cfg_reserved_900_wr_reg;</t>
  </si>
  <si>
    <t>-- AEB General Configuration Area Register "RESERVED_904"</t>
  </si>
  <si>
    <t>type t_aeb_gen_cfg_reserved_904_wr_reg is record</t>
  </si>
  <si>
    <t>end record t_aeb_gen_cfg_reserved_904_wr_reg;</t>
  </si>
  <si>
    <t>-- AEB General Configuration Area Register "RESERVED_908"</t>
  </si>
  <si>
    <t>type t_aeb_gen_cfg_reserved_908_wr_reg is record</t>
  </si>
  <si>
    <t>end record t_aeb_gen_cfg_reserved_908_wr_reg;</t>
  </si>
  <si>
    <t>-- AEB General Configuration Area Register "RESERVED_90C"</t>
  </si>
  <si>
    <t>type t_aeb_gen_cfg_reserved_90c_wr_reg is record</t>
  </si>
  <si>
    <t>end record t_aeb_gen_cfg_reserved_90c_wr_reg;</t>
  </si>
  <si>
    <t>-- AEB General Configuration Area Register "RESERVED_910"</t>
  </si>
  <si>
    <t>type t_aeb_gen_cfg_reserved_910_wr_reg is record</t>
  </si>
  <si>
    <t>end record t_aeb_gen_cfg_reserved_910_wr_reg;</t>
  </si>
  <si>
    <t>-- AEB General Configuration Area Register "RESERVED_914"</t>
  </si>
  <si>
    <t>type t_aeb_gen_cfg_reserved_914_wr_reg is record</t>
  </si>
  <si>
    <t>end record t_aeb_gen_cfg_reserved_914_wr_reg;</t>
  </si>
  <si>
    <t>-- AEB General Configuration Area Register "RESERVED_918"</t>
  </si>
  <si>
    <t>type t_aeb_gen_cfg_reserved_918_wr_reg is record</t>
  </si>
  <si>
    <t>end record t_aeb_gen_cfg_reserved_918_wr_reg;</t>
  </si>
  <si>
    <t>-- AEB General Configuration Area Register "RESERVED_91C"</t>
  </si>
  <si>
    <t>type t_aeb_gen_cfg_reserved_91c_wr_reg is record</t>
  </si>
  <si>
    <t>end record t_aeb_gen_cfg_reserved_91c_wr_reg;</t>
  </si>
  <si>
    <t>-- AEB General Configuration Area Register "RESERVED_920"</t>
  </si>
  <si>
    <t>type t_aeb_gen_cfg_reserved_920_wr_reg is record</t>
  </si>
  <si>
    <t>end record t_aeb_gen_cfg_reserved_920_wr_reg;</t>
  </si>
  <si>
    <t>-- AEB General Configuration Area Register "RESERVED_924"</t>
  </si>
  <si>
    <t>type t_aeb_gen_cfg_reserved_924_wr_reg is record</t>
  </si>
  <si>
    <t>end record t_aeb_gen_cfg_reserved_924_wr_reg;</t>
  </si>
  <si>
    <t>-- AEB General Configuration Area Register "RESERVED_928"</t>
  </si>
  <si>
    <t>type t_aeb_gen_cfg_reserved_928_wr_reg is record</t>
  </si>
  <si>
    <t>end record t_aeb_gen_cfg_reserved_928_wr_reg;</t>
  </si>
  <si>
    <t>-- AEB General Configuration Area Register "RESERVED_92C"</t>
  </si>
  <si>
    <t>type t_aeb_gen_cfg_reserved_92c_wr_reg is record</t>
  </si>
  <si>
    <t>end record t_aeb_gen_cfg_reserved_92c_wr_reg;</t>
  </si>
  <si>
    <t>-- AEB General Configuration Area Register "RESERVED_930"</t>
  </si>
  <si>
    <t>type t_aeb_gen_cfg_reserved_930_wr_reg is record</t>
  </si>
  <si>
    <t>end record t_aeb_gen_cfg_reserved_930_wr_reg;</t>
  </si>
  <si>
    <t>-- AEB General Configuration Area Register "RESERVED_934"</t>
  </si>
  <si>
    <t>type t_aeb_gen_cfg_reserved_934_wr_reg is record</t>
  </si>
  <si>
    <t>end record t_aeb_gen_cfg_reserved_934_wr_reg;</t>
  </si>
  <si>
    <t>-- AEB General Configuration Area Register "RESERVED_938"</t>
  </si>
  <si>
    <t>type t_aeb_gen_cfg_reserved_938_wr_reg is record</t>
  </si>
  <si>
    <t>end record t_aeb_gen_cfg_reserved_938_wr_reg;</t>
  </si>
  <si>
    <t>-- AEB General Configuration Area Register "RESERVED_93C"</t>
  </si>
  <si>
    <t>type t_aeb_gen_cfg_reserved_93c_wr_reg is record</t>
  </si>
  <si>
    <t>end record t_aeb_gen_cfg_reserved_93c_wr_reg;</t>
  </si>
  <si>
    <t>-- AEB General Configuration Area Register "RESERVED_940"</t>
  </si>
  <si>
    <t>type t_aeb_gen_cfg_reserved_940_wr_reg is record</t>
  </si>
  <si>
    <t>end record t_aeb_gen_cfg_reserved_940_wr_reg;</t>
  </si>
  <si>
    <t>-- AEB General Configuration Area Register "RESERVED_944"</t>
  </si>
  <si>
    <t>type t_aeb_gen_cfg_reserved_944_wr_reg is record</t>
  </si>
  <si>
    <t>end record t_aeb_gen_cfg_reserved_944_wr_reg;</t>
  </si>
  <si>
    <t>-- AEB General Configuration Area Register "RESERVED_948"</t>
  </si>
  <si>
    <t>type t_aeb_gen_cfg_reserved_948_wr_reg is record</t>
  </si>
  <si>
    <t>end record t_aeb_gen_cfg_reserved_948_wr_reg;</t>
  </si>
  <si>
    <t>-- AEB General Configuration Area Register "RESERVED_94C"</t>
  </si>
  <si>
    <t>type t_aeb_gen_cfg_reserved_94c_wr_reg is record</t>
  </si>
  <si>
    <t>end record t_aeb_gen_cfg_reserved_94c_wr_reg;</t>
  </si>
  <si>
    <t>-- AEB General Configuration Area Register "RESERVED_950"</t>
  </si>
  <si>
    <t>type t_aeb_gen_cfg_reserved_950_wr_reg is record</t>
  </si>
  <si>
    <t>end record t_aeb_gen_cfg_reserved_950_wr_reg;</t>
  </si>
  <si>
    <t>-- AEB General Configuration Area Register "RESERVED_954"</t>
  </si>
  <si>
    <t>type t_aeb_gen_cfg_reserved_954_wr_reg is record</t>
  </si>
  <si>
    <t>end record t_aeb_gen_cfg_reserved_954_wr_reg;</t>
  </si>
  <si>
    <t>-- AEB General Configuration Area Register "RESERVED_958"</t>
  </si>
  <si>
    <t>type t_aeb_gen_cfg_reserved_958_wr_reg is record</t>
  </si>
  <si>
    <t>end record t_aeb_gen_cfg_reserved_958_wr_reg;</t>
  </si>
  <si>
    <t>-- AEB General Configuration Area Register "RESERVED_95C"</t>
  </si>
  <si>
    <t>type t_aeb_gen_cfg_reserved_95c_wr_reg is record</t>
  </si>
  <si>
    <t>end record t_aeb_gen_cfg_reserved_95c_wr_reg;</t>
  </si>
  <si>
    <t>-- AEB General Configuration Area Register "RESERVED_960"</t>
  </si>
  <si>
    <t>type t_aeb_gen_cfg_reserved_960_wr_reg is record</t>
  </si>
  <si>
    <t>end record t_aeb_gen_cfg_reserved_960_wr_reg;</t>
  </si>
  <si>
    <t>-- AEB General Configuration Area Register "RESERVED_964"</t>
  </si>
  <si>
    <t>type t_aeb_gen_cfg_reserved_964_wr_reg is record</t>
  </si>
  <si>
    <t>end record t_aeb_gen_cfg_reserved_964_wr_reg;</t>
  </si>
  <si>
    <t>-- AEB General Configuration Area Register "RESERVED_968"</t>
  </si>
  <si>
    <t>type t_aeb_gen_cfg_reserved_968_wr_reg is record</t>
  </si>
  <si>
    <t>end record t_aeb_gen_cfg_reserved_968_wr_reg;</t>
  </si>
  <si>
    <t>-- AEB General Configuration Area Register "RESERVED_96C"</t>
  </si>
  <si>
    <t>type t_aeb_gen_cfg_reserved_96c_wr_reg is record</t>
  </si>
  <si>
    <t>end record t_aeb_gen_cfg_reserved_96c_wr_reg;</t>
  </si>
  <si>
    <t>-- AEB General Configuration Area Register "RESERVED_970"</t>
  </si>
  <si>
    <t>type t_aeb_gen_cfg_reserved_970_wr_reg is record</t>
  </si>
  <si>
    <t>end record t_aeb_gen_cfg_reserved_970_wr_reg;</t>
  </si>
  <si>
    <t>-- AEB General Configuration Area Register "RESERVED_974"</t>
  </si>
  <si>
    <t>type t_aeb_gen_cfg_reserved_974_wr_reg is record</t>
  </si>
  <si>
    <t>end record t_aeb_gen_cfg_reserved_974_wr_reg;</t>
  </si>
  <si>
    <t>-- AEB General Configuration Area Register "RESERVED_978"</t>
  </si>
  <si>
    <t>type t_aeb_gen_cfg_reserved_978_wr_reg is record</t>
  </si>
  <si>
    <t>end record t_aeb_gen_cfg_reserved_978_wr_reg;</t>
  </si>
  <si>
    <t>-- AEB General Configuration Area Register "RESERVED_97C"</t>
  </si>
  <si>
    <t>type t_aeb_gen_cfg_reserved_97c_wr_reg is record</t>
  </si>
  <si>
    <t>end record t_aeb_gen_cfg_reserved_97c_wr_reg;</t>
  </si>
  <si>
    <t>-- AEB General Configuration Area Register "RESERVED_980"</t>
  </si>
  <si>
    <t>type t_aeb_gen_cfg_reserved_980_wr_reg is record</t>
  </si>
  <si>
    <t>end record t_aeb_gen_cfg_reserved_980_wr_reg;</t>
  </si>
  <si>
    <t>-- AEB General Configuration Area Register "RESERVED_984"</t>
  </si>
  <si>
    <t>type t_aeb_gen_cfg_reserved_984_wr_reg is record</t>
  </si>
  <si>
    <t>end record t_aeb_gen_cfg_reserved_984_wr_reg;</t>
  </si>
  <si>
    <t>-- AEB General Configuration Area Register "RESERVED_988"</t>
  </si>
  <si>
    <t>type t_aeb_gen_cfg_reserved_988_wr_reg is record</t>
  </si>
  <si>
    <t>end record t_aeb_gen_cfg_reserved_988_wr_reg;</t>
  </si>
  <si>
    <t>-- AEB General Configuration Area Register "RESERVED_98C"</t>
  </si>
  <si>
    <t>type t_aeb_gen_cfg_reserved_98c_wr_reg is record</t>
  </si>
  <si>
    <t>end record t_aeb_gen_cfg_reserved_98c_wr_reg;</t>
  </si>
  <si>
    <t>-- AEB General Configuration Area Register "RESERVED_990"</t>
  </si>
  <si>
    <t>type t_aeb_gen_cfg_reserved_990_wr_reg is record</t>
  </si>
  <si>
    <t>end record t_aeb_gen_cfg_reserved_990_wr_reg;</t>
  </si>
  <si>
    <t>-- AEB General Configuration Area Register "RESERVED_994"</t>
  </si>
  <si>
    <t>type t_aeb_gen_cfg_reserved_994_wr_reg is record</t>
  </si>
  <si>
    <t>end record t_aeb_gen_cfg_reserved_994_wr_reg;</t>
  </si>
  <si>
    <t>-- AEB General Configuration Area Register "RESERVED_998"</t>
  </si>
  <si>
    <t>type t_aeb_gen_cfg_reserved_998_wr_reg is record</t>
  </si>
  <si>
    <t>end record t_aeb_gen_cfg_reserved_998_wr_reg;</t>
  </si>
  <si>
    <t>-- AEB General Configuration Area Register "RESERVED_99C"</t>
  </si>
  <si>
    <t>type t_aeb_gen_cfg_reserved_99c_wr_reg is record</t>
  </si>
  <si>
    <t>end record t_aeb_gen_cfg_reserved_99c_wr_reg;</t>
  </si>
  <si>
    <t>-- AEB General Configuration Area Register "RESERVED_9A0"</t>
  </si>
  <si>
    <t>type t_aeb_gen_cfg_reserved_9a0_wr_reg is record</t>
  </si>
  <si>
    <t>end record t_aeb_gen_cfg_reserved_9a0_wr_reg;</t>
  </si>
  <si>
    <t>-- AEB General Configuration Area Register "RESERVED_9A4"</t>
  </si>
  <si>
    <t>type t_aeb_gen_cfg_reserved_9a4_wr_reg is record</t>
  </si>
  <si>
    <t>end record t_aeb_gen_cfg_reserved_9a4_wr_reg;</t>
  </si>
  <si>
    <t>-- AEB General Configuration Area Register "RESERVED_9A8"</t>
  </si>
  <si>
    <t>type t_aeb_gen_cfg_reserved_9a8_wr_reg is record</t>
  </si>
  <si>
    <t>end record t_aeb_gen_cfg_reserved_9a8_wr_reg;</t>
  </si>
  <si>
    <t>-- AEB General Configuration Area Register "RESERVED_9AC"</t>
  </si>
  <si>
    <t>type t_aeb_gen_cfg_reserved_9ac_wr_reg is record</t>
  </si>
  <si>
    <t>end record t_aeb_gen_cfg_reserved_9ac_wr_reg;</t>
  </si>
  <si>
    <t>-- AEB General Configuration Area Register "RESERVED_9B0"</t>
  </si>
  <si>
    <t>type t_aeb_gen_cfg_reserved_9b0_wr_reg is record</t>
  </si>
  <si>
    <t>end record t_aeb_gen_cfg_reserved_9b0_wr_reg;</t>
  </si>
  <si>
    <t>-- AEB General Configuration Area Register "RESERVED_9B4"</t>
  </si>
  <si>
    <t>type t_aeb_gen_cfg_reserved_9b4_wr_reg is record</t>
  </si>
  <si>
    <t>end record t_aeb_gen_cfg_reserved_9b4_wr_reg;</t>
  </si>
  <si>
    <t>-- AEB General Configuration Area Register "RESERVED_9B8"</t>
  </si>
  <si>
    <t>type t_aeb_gen_cfg_reserved_9b8_wr_reg is record</t>
  </si>
  <si>
    <t>end record t_aeb_gen_cfg_reserved_9b8_wr_reg;</t>
  </si>
  <si>
    <t>-- AEB General Configuration Area Register "RESERVED_9BC"</t>
  </si>
  <si>
    <t>type t_aeb_gen_cfg_reserved_9bc_wr_reg is record</t>
  </si>
  <si>
    <t>end record t_aeb_gen_cfg_reserved_9bc_wr_reg;</t>
  </si>
  <si>
    <t>-- AEB General Configuration Area Register "RESERVED_9C0"</t>
  </si>
  <si>
    <t>type t_aeb_gen_cfg_reserved_9c0_wr_reg is record</t>
  </si>
  <si>
    <t>end record t_aeb_gen_cfg_reserved_9c0_wr_reg;</t>
  </si>
  <si>
    <t>-- AEB General Configuration Area Register "RESERVED_9C4"</t>
  </si>
  <si>
    <t>type t_aeb_gen_cfg_reserved_9c4_wr_reg is record</t>
  </si>
  <si>
    <t>end record t_aeb_gen_cfg_reserved_9c4_wr_reg;</t>
  </si>
  <si>
    <t>-- AEB General Configuration Area Register "RESERVED_9C8"</t>
  </si>
  <si>
    <t>type t_aeb_gen_cfg_reserved_9c8_wr_reg is record</t>
  </si>
  <si>
    <t>end record t_aeb_gen_cfg_reserved_9c8_wr_reg;</t>
  </si>
  <si>
    <t>-- AEB General Configuration Area Register "RESERVED_9CC"</t>
  </si>
  <si>
    <t>type t_aeb_gen_cfg_reserved_9cc_wr_reg is record</t>
  </si>
  <si>
    <t>end record t_aeb_gen_cfg_reserved_9cc_wr_reg;</t>
  </si>
  <si>
    <t>-- AEB General Configuration Area Register "RESERVED_9D0"</t>
  </si>
  <si>
    <t>type t_aeb_gen_cfg_reserved_9d0_wr_reg is record</t>
  </si>
  <si>
    <t>end record t_aeb_gen_cfg_reserved_9d0_wr_reg;</t>
  </si>
  <si>
    <t>-- AEB General Configuration Area Register "RESERVED_9D4"</t>
  </si>
  <si>
    <t>type t_aeb_gen_cfg_reserved_9d4_wr_reg is record</t>
  </si>
  <si>
    <t>end record t_aeb_gen_cfg_reserved_9d4_wr_reg;</t>
  </si>
  <si>
    <t>-- AEB General Configuration Area Register "RESERVED_9D8"</t>
  </si>
  <si>
    <t>type t_aeb_gen_cfg_reserved_9d8_wr_reg is record</t>
  </si>
  <si>
    <t>end record t_aeb_gen_cfg_reserved_9d8_wr_reg;</t>
  </si>
  <si>
    <t>-- AEB General Configuration Area Register "RESERVED_9DC"</t>
  </si>
  <si>
    <t>type t_aeb_gen_cfg_reserved_9dc_wr_reg is record</t>
  </si>
  <si>
    <t>end record t_aeb_gen_cfg_reserved_9dc_wr_reg;</t>
  </si>
  <si>
    <t>-- AEB General Configuration Area Register "RESERVED_9E0"</t>
  </si>
  <si>
    <t>type t_aeb_gen_cfg_reserved_9e0_wr_reg is record</t>
  </si>
  <si>
    <t>end record t_aeb_gen_cfg_reserved_9e0_wr_reg;</t>
  </si>
  <si>
    <t>-- AEB General Configuration Area Register "RESERVED_9E4"</t>
  </si>
  <si>
    <t>type t_aeb_gen_cfg_reserved_9e4_wr_reg is record</t>
  </si>
  <si>
    <t>end record t_aeb_gen_cfg_reserved_9e4_wr_reg;</t>
  </si>
  <si>
    <t>-- AEB General Configuration Area Register "RESERVED_9E8"</t>
  </si>
  <si>
    <t>type t_aeb_gen_cfg_reserved_9e8_wr_reg is record</t>
  </si>
  <si>
    <t>end record t_aeb_gen_cfg_reserved_9e8_wr_reg;</t>
  </si>
  <si>
    <t>-- AEB General Configuration Area Register "RESERVED_9EC"</t>
  </si>
  <si>
    <t>type t_aeb_gen_cfg_reserved_9ec_wr_reg is record</t>
  </si>
  <si>
    <t>end record t_aeb_gen_cfg_reserved_9ec_wr_reg;</t>
  </si>
  <si>
    <t>-- AEB General Configuration Area Register "RESERVED_9F0"</t>
  </si>
  <si>
    <t>type t_aeb_gen_cfg_reserved_9f0_wr_reg is record</t>
  </si>
  <si>
    <t>end record t_aeb_gen_cfg_reserved_9f0_wr_reg;</t>
  </si>
  <si>
    <t>-- AEB General Configuration Area Register "RESERVED_9F4"</t>
  </si>
  <si>
    <t>type t_aeb_gen_cfg_reserved_9f4_wr_reg is record</t>
  </si>
  <si>
    <t>end record t_aeb_gen_cfg_reserved_9f4_wr_reg;</t>
  </si>
  <si>
    <t>-- AEB General Configuration Area Register "RESERVED_9F8"</t>
  </si>
  <si>
    <t>type t_aeb_gen_cfg_reserved_9f8_wr_reg is record</t>
  </si>
  <si>
    <t>end record t_aeb_gen_cfg_reserved_9f8_wr_reg;</t>
  </si>
  <si>
    <t>-- AEB General Configuration Area Register "RESERVED_9FC"</t>
  </si>
  <si>
    <t>type t_aeb_gen_cfg_reserved_9fc_wr_reg is record</t>
  </si>
  <si>
    <t>end record t_aeb_gen_cfg_reserved_9fc_wr_reg;</t>
  </si>
  <si>
    <t>-- AEB General Configuration Area Register "RESERVED_A00"</t>
  </si>
  <si>
    <t>type t_aeb_gen_cfg_reserved_a00_wr_reg is record</t>
  </si>
  <si>
    <t>end record t_aeb_gen_cfg_reserved_a00_wr_reg;</t>
  </si>
  <si>
    <t>-- AEB General Configuration Area Register "RESERVED_A04"</t>
  </si>
  <si>
    <t>type t_aeb_gen_cfg_reserved_a04_wr_reg is record</t>
  </si>
  <si>
    <t>end record t_aeb_gen_cfg_reserved_a04_wr_reg;</t>
  </si>
  <si>
    <t>-- AEB General Configuration Area Register "RESERVED_A08"</t>
  </si>
  <si>
    <t>type t_aeb_gen_cfg_reserved_a08_wr_reg is record</t>
  </si>
  <si>
    <t>end record t_aeb_gen_cfg_reserved_a08_wr_reg;</t>
  </si>
  <si>
    <t>-- AEB General Configuration Area Register "RESERVED_A0C"</t>
  </si>
  <si>
    <t>type t_aeb_gen_cfg_reserved_a0c_wr_reg is record</t>
  </si>
  <si>
    <t>end record t_aeb_gen_cfg_reserved_a0c_wr_reg;</t>
  </si>
  <si>
    <t>-- AEB General Configuration Area Register "RESERVED_A10"</t>
  </si>
  <si>
    <t>type t_aeb_gen_cfg_reserved_a10_wr_reg is record</t>
  </si>
  <si>
    <t>end record t_aeb_gen_cfg_reserved_a10_wr_reg;</t>
  </si>
  <si>
    <t>-- AEB General Configuration Area Register "RESERVED_A14"</t>
  </si>
  <si>
    <t>type t_aeb_gen_cfg_reserved_a14_wr_reg is record</t>
  </si>
  <si>
    <t>end record t_aeb_gen_cfg_reserved_a14_wr_reg;</t>
  </si>
  <si>
    <t>-- AEB General Configuration Area Register "RESERVED_A18"</t>
  </si>
  <si>
    <t>type t_aeb_gen_cfg_reserved_a18_wr_reg is record</t>
  </si>
  <si>
    <t>end record t_aeb_gen_cfg_reserved_a18_wr_reg;</t>
  </si>
  <si>
    <t>-- AEB General Configuration Area Register "RESERVED_A1C"</t>
  </si>
  <si>
    <t>type t_aeb_gen_cfg_reserved_a1c_wr_reg is record</t>
  </si>
  <si>
    <t>end record t_aeb_gen_cfg_reserved_a1c_wr_reg;</t>
  </si>
  <si>
    <t>-- AEB General Configuration Area Register "RESERVED_A20"</t>
  </si>
  <si>
    <t>type t_aeb_gen_cfg_reserved_a20_wr_reg is record</t>
  </si>
  <si>
    <t>end record t_aeb_gen_cfg_reserved_a20_wr_reg;</t>
  </si>
  <si>
    <t>-- AEB General Configuration Area Register "RESERVED_A24"</t>
  </si>
  <si>
    <t>type t_aeb_gen_cfg_reserved_a24_wr_reg is record</t>
  </si>
  <si>
    <t>end record t_aeb_gen_cfg_reserved_a24_wr_reg;</t>
  </si>
  <si>
    <t>-- AEB General Configuration Area Register "RESERVED_A28"</t>
  </si>
  <si>
    <t>type t_aeb_gen_cfg_reserved_a28_wr_reg is record</t>
  </si>
  <si>
    <t>end record t_aeb_gen_cfg_reserved_a28_wr_reg;</t>
  </si>
  <si>
    <t>-- AEB General Configuration Area Register "RESERVED_A2C"</t>
  </si>
  <si>
    <t>type t_aeb_gen_cfg_reserved_a2c_wr_reg is record</t>
  </si>
  <si>
    <t>end record t_aeb_gen_cfg_reserved_a2c_wr_reg;</t>
  </si>
  <si>
    <t>-- AEB General Configuration Area Register "RESERVED_A30"</t>
  </si>
  <si>
    <t>type t_aeb_gen_cfg_reserved_a30_wr_reg is record</t>
  </si>
  <si>
    <t>end record t_aeb_gen_cfg_reserved_a30_wr_reg;</t>
  </si>
  <si>
    <t>-- AEB General Configuration Area Register "RESERVED_A34"</t>
  </si>
  <si>
    <t>type t_aeb_gen_cfg_reserved_a34_wr_reg is record</t>
  </si>
  <si>
    <t>end record t_aeb_gen_cfg_reserved_a34_wr_reg;</t>
  </si>
  <si>
    <t>-- AEB General Configuration Area Register "RESERVED_A38"</t>
  </si>
  <si>
    <t>type t_aeb_gen_cfg_reserved_a38_wr_reg is record</t>
  </si>
  <si>
    <t>end record t_aeb_gen_cfg_reserved_a38_wr_reg;</t>
  </si>
  <si>
    <t>-- AEB General Configuration Area Register "RESERVED_A3C"</t>
  </si>
  <si>
    <t>type t_aeb_gen_cfg_reserved_a3c_wr_reg is record</t>
  </si>
  <si>
    <t>end record t_aeb_gen_cfg_reserved_a3c_wr_reg;</t>
  </si>
  <si>
    <t>-- AEB General Configuration Area Register "RESERVED_A40"</t>
  </si>
  <si>
    <t>type t_aeb_gen_cfg_reserved_a40_wr_reg is record</t>
  </si>
  <si>
    <t>end record t_aeb_gen_cfg_reserved_a40_wr_reg;</t>
  </si>
  <si>
    <t>-- AEB General Configuration Area Register "RESERVED_A44"</t>
  </si>
  <si>
    <t>type t_aeb_gen_cfg_reserved_a44_wr_reg is record</t>
  </si>
  <si>
    <t>end record t_aeb_gen_cfg_reserved_a44_wr_reg;</t>
  </si>
  <si>
    <t>-- AEB General Configuration Area Register "RESERVED_A48"</t>
  </si>
  <si>
    <t>type t_aeb_gen_cfg_reserved_a48_wr_reg is record</t>
  </si>
  <si>
    <t>end record t_aeb_gen_cfg_reserved_a48_wr_reg;</t>
  </si>
  <si>
    <t>-- AEB General Configuration Area Register "RESERVED_A4C"</t>
  </si>
  <si>
    <t>type t_aeb_gen_cfg_reserved_a4c_wr_reg is record</t>
  </si>
  <si>
    <t>end record t_aeb_gen_cfg_reserved_a4c_wr_reg;</t>
  </si>
  <si>
    <t>-- AEB General Configuration Area Register "RESERVED_A50"</t>
  </si>
  <si>
    <t>type t_aeb_gen_cfg_reserved_a50_wr_reg is record</t>
  </si>
  <si>
    <t>end record t_aeb_gen_cfg_reserved_a50_wr_reg;</t>
  </si>
  <si>
    <t>-- AEB General Configuration Area Register "RESERVED_A54"</t>
  </si>
  <si>
    <t>type t_aeb_gen_cfg_reserved_a54_wr_reg is record</t>
  </si>
  <si>
    <t>end record t_aeb_gen_cfg_reserved_a54_wr_reg;</t>
  </si>
  <si>
    <t>-- AEB General Configuration Area Register "RESERVED_A58"</t>
  </si>
  <si>
    <t>type t_aeb_gen_cfg_reserved_a58_wr_reg is record</t>
  </si>
  <si>
    <t>end record t_aeb_gen_cfg_reserved_a58_wr_reg;</t>
  </si>
  <si>
    <t>-- AEB General Configuration Area Register "RESERVED_A5C"</t>
  </si>
  <si>
    <t>type t_aeb_gen_cfg_reserved_a5c_wr_reg is record</t>
  </si>
  <si>
    <t>end record t_aeb_gen_cfg_reserved_a5c_wr_reg;</t>
  </si>
  <si>
    <t>-- AEB General Configuration Area Register "RESERVED_A60"</t>
  </si>
  <si>
    <t>type t_aeb_gen_cfg_reserved_a60_wr_reg is record</t>
  </si>
  <si>
    <t>end record t_aeb_gen_cfg_reserved_a60_wr_reg;</t>
  </si>
  <si>
    <t>-- AEB General Configuration Area Register "RESERVED_A64"</t>
  </si>
  <si>
    <t>type t_aeb_gen_cfg_reserved_a64_wr_reg is record</t>
  </si>
  <si>
    <t>end record t_aeb_gen_cfg_reserved_a64_wr_reg;</t>
  </si>
  <si>
    <t>-- AEB General Configuration Area Register "RESERVED_A68"</t>
  </si>
  <si>
    <t>type t_aeb_gen_cfg_reserved_a68_wr_reg is record</t>
  </si>
  <si>
    <t>end record t_aeb_gen_cfg_reserved_a68_wr_reg;</t>
  </si>
  <si>
    <t>-- AEB General Configuration Area Register "RESERVED_A6C"</t>
  </si>
  <si>
    <t>type t_aeb_gen_cfg_reserved_a6c_wr_reg is record</t>
  </si>
  <si>
    <t>end record t_aeb_gen_cfg_reserved_a6c_wr_reg;</t>
  </si>
  <si>
    <t>-- AEB General Configuration Area Register "RESERVED_A70"</t>
  </si>
  <si>
    <t>type t_aeb_gen_cfg_reserved_a70_wr_reg is record</t>
  </si>
  <si>
    <t>end record t_aeb_gen_cfg_reserved_a70_wr_reg;</t>
  </si>
  <si>
    <t>-- AEB General Configuration Area Register "RESERVED_A74"</t>
  </si>
  <si>
    <t>type t_aeb_gen_cfg_reserved_a74_wr_reg is record</t>
  </si>
  <si>
    <t>end record t_aeb_gen_cfg_reserved_a74_wr_reg;</t>
  </si>
  <si>
    <t>-- AEB General Configuration Area Register "RESERVED_A78"</t>
  </si>
  <si>
    <t>type t_aeb_gen_cfg_reserved_a78_wr_reg is record</t>
  </si>
  <si>
    <t>end record t_aeb_gen_cfg_reserved_a78_wr_reg;</t>
  </si>
  <si>
    <t>-- AEB General Configuration Area Register "RESERVED_A7C"</t>
  </si>
  <si>
    <t>type t_aeb_gen_cfg_reserved_a7c_wr_reg is record</t>
  </si>
  <si>
    <t>end record t_aeb_gen_cfg_reserved_a7c_wr_reg;</t>
  </si>
  <si>
    <t>-- AEB General Configuration Area Register "RESERVED_A80"</t>
  </si>
  <si>
    <t>type t_aeb_gen_cfg_reserved_a80_wr_reg is record</t>
  </si>
  <si>
    <t>end record t_aeb_gen_cfg_reserved_a80_wr_reg;</t>
  </si>
  <si>
    <t>-- AEB General Configuration Area Register "RESERVED_A84"</t>
  </si>
  <si>
    <t>type t_aeb_gen_cfg_reserved_a84_wr_reg is record</t>
  </si>
  <si>
    <t>end record t_aeb_gen_cfg_reserved_a84_wr_reg;</t>
  </si>
  <si>
    <t>-- AEB General Configuration Area Register "RESERVED_A88"</t>
  </si>
  <si>
    <t>type t_aeb_gen_cfg_reserved_a88_wr_reg is record</t>
  </si>
  <si>
    <t>end record t_aeb_gen_cfg_reserved_a88_wr_reg;</t>
  </si>
  <si>
    <t>-- AEB General Configuration Area Register "RESERVED_A8C"</t>
  </si>
  <si>
    <t>type t_aeb_gen_cfg_reserved_a8c_wr_reg is record</t>
  </si>
  <si>
    <t>end record t_aeb_gen_cfg_reserved_a8c_wr_reg;</t>
  </si>
  <si>
    <t>-- AEB General Configuration Area Register "RESERVED_A90"</t>
  </si>
  <si>
    <t>type t_aeb_gen_cfg_reserved_a90_wr_reg is record</t>
  </si>
  <si>
    <t>end record t_aeb_gen_cfg_reserved_a90_wr_reg;</t>
  </si>
  <si>
    <t>-- AEB General Configuration Area Register "RESERVED_A94"</t>
  </si>
  <si>
    <t>type t_aeb_gen_cfg_reserved_a94_wr_reg is record</t>
  </si>
  <si>
    <t>end record t_aeb_gen_cfg_reserved_a94_wr_reg;</t>
  </si>
  <si>
    <t>-- AEB General Configuration Area Register "RESERVED_A98"</t>
  </si>
  <si>
    <t>type t_aeb_gen_cfg_reserved_a98_wr_reg is record</t>
  </si>
  <si>
    <t>end record t_aeb_gen_cfg_reserved_a98_wr_reg;</t>
  </si>
  <si>
    <t>-- AEB General Configuration Area Register "RESERVED_A9C"</t>
  </si>
  <si>
    <t>type t_aeb_gen_cfg_reserved_a9c_wr_reg is record</t>
  </si>
  <si>
    <t>end record t_aeb_gen_cfg_reserved_a9c_wr_reg;</t>
  </si>
  <si>
    <t>-- AEB General Configuration Area Register "RESERVED_AA0"</t>
  </si>
  <si>
    <t>type t_aeb_gen_cfg_reserved_aa0_wr_reg is record</t>
  </si>
  <si>
    <t>end record t_aeb_gen_cfg_reserved_aa0_wr_reg;</t>
  </si>
  <si>
    <t>-- AEB General Configuration Area Register "RESERVED_AA4"</t>
  </si>
  <si>
    <t>type t_aeb_gen_cfg_reserved_aa4_wr_reg is record</t>
  </si>
  <si>
    <t>end record t_aeb_gen_cfg_reserved_aa4_wr_reg;</t>
  </si>
  <si>
    <t>-- AEB General Configuration Area Register "RESERVED_AA8"</t>
  </si>
  <si>
    <t>type t_aeb_gen_cfg_reserved_aa8_wr_reg is record</t>
  </si>
  <si>
    <t>end record t_aeb_gen_cfg_reserved_aa8_wr_reg;</t>
  </si>
  <si>
    <t>-- AEB General Configuration Area Register "RESERVED_AAC"</t>
  </si>
  <si>
    <t>type t_aeb_gen_cfg_reserved_aac_wr_reg is record</t>
  </si>
  <si>
    <t>end record t_aeb_gen_cfg_reserved_aac_wr_reg;</t>
  </si>
  <si>
    <t>-- AEB General Configuration Area Register "RESERVED_AB0"</t>
  </si>
  <si>
    <t>type t_aeb_gen_cfg_reserved_ab0_wr_reg is record</t>
  </si>
  <si>
    <t>end record t_aeb_gen_cfg_reserved_ab0_wr_reg;</t>
  </si>
  <si>
    <t>-- AEB General Configuration Area Register "RESERVED_AB4"</t>
  </si>
  <si>
    <t>type t_aeb_gen_cfg_reserved_ab4_wr_reg is record</t>
  </si>
  <si>
    <t>end record t_aeb_gen_cfg_reserved_ab4_wr_reg;</t>
  </si>
  <si>
    <t>-- AEB General Configuration Area Register "RESERVED_AB8"</t>
  </si>
  <si>
    <t>type t_aeb_gen_cfg_reserved_ab8_wr_reg is record</t>
  </si>
  <si>
    <t>end record t_aeb_gen_cfg_reserved_ab8_wr_reg;</t>
  </si>
  <si>
    <t>-- AEB General Configuration Area Register "RESERVED_ABC"</t>
  </si>
  <si>
    <t>type t_aeb_gen_cfg_reserved_abc_wr_reg is record</t>
  </si>
  <si>
    <t>end record t_aeb_gen_cfg_reserved_abc_wr_reg;</t>
  </si>
  <si>
    <t>-- AEB General Configuration Area Register "RESERVED_AC0"</t>
  </si>
  <si>
    <t>type t_aeb_gen_cfg_reserved_ac0_wr_reg is record</t>
  </si>
  <si>
    <t>end record t_aeb_gen_cfg_reserved_ac0_wr_reg;</t>
  </si>
  <si>
    <t>-- AEB General Configuration Area Register "RESERVED_AC4"</t>
  </si>
  <si>
    <t>type t_aeb_gen_cfg_reserved_ac4_wr_reg is record</t>
  </si>
  <si>
    <t>end record t_aeb_gen_cfg_reserved_ac4_wr_reg;</t>
  </si>
  <si>
    <t>-- AEB General Configuration Area Register "RESERVED_AC8"</t>
  </si>
  <si>
    <t>type t_aeb_gen_cfg_reserved_ac8_wr_reg is record</t>
  </si>
  <si>
    <t>end record t_aeb_gen_cfg_reserved_ac8_wr_reg;</t>
  </si>
  <si>
    <t>-- AEB General Configuration Area Register "RESERVED_ACC"</t>
  </si>
  <si>
    <t>type t_aeb_gen_cfg_reserved_acc_wr_reg is record</t>
  </si>
  <si>
    <t>end record t_aeb_gen_cfg_reserved_acc_wr_reg;</t>
  </si>
  <si>
    <t>-- AEB General Configuration Area Register "RESERVED_AD0"</t>
  </si>
  <si>
    <t>type t_aeb_gen_cfg_reserved_ad0_wr_reg is record</t>
  </si>
  <si>
    <t>end record t_aeb_gen_cfg_reserved_ad0_wr_reg;</t>
  </si>
  <si>
    <t>-- AEB General Configuration Area Register "RESERVED_AD4"</t>
  </si>
  <si>
    <t>type t_aeb_gen_cfg_reserved_ad4_wr_reg is record</t>
  </si>
  <si>
    <t>end record t_aeb_gen_cfg_reserved_ad4_wr_reg;</t>
  </si>
  <si>
    <t>-- AEB General Configuration Area Register "RESERVED_AD8"</t>
  </si>
  <si>
    <t>type t_aeb_gen_cfg_reserved_ad8_wr_reg is record</t>
  </si>
  <si>
    <t>end record t_aeb_gen_cfg_reserved_ad8_wr_reg;</t>
  </si>
  <si>
    <t>-- AEB General Configuration Area Register "RESERVED_ADC"</t>
  </si>
  <si>
    <t>type t_aeb_gen_cfg_reserved_adc_wr_reg is record</t>
  </si>
  <si>
    <t>end record t_aeb_gen_cfg_reserved_adc_wr_reg;</t>
  </si>
  <si>
    <t>-- AEB General Configuration Area Register "RESERVED_AE0"</t>
  </si>
  <si>
    <t>type t_aeb_gen_cfg_reserved_ae0_wr_reg is record</t>
  </si>
  <si>
    <t>end record t_aeb_gen_cfg_reserved_ae0_wr_reg;</t>
  </si>
  <si>
    <t>-- AEB General Configuration Area Register "RESERVED_AE4"</t>
  </si>
  <si>
    <t>type t_aeb_gen_cfg_reserved_ae4_wr_reg is record</t>
  </si>
  <si>
    <t>end record t_aeb_gen_cfg_reserved_ae4_wr_reg;</t>
  </si>
  <si>
    <t>-- AEB General Configuration Area Register "RESERVED_AE8"</t>
  </si>
  <si>
    <t>type t_aeb_gen_cfg_reserved_ae8_wr_reg is record</t>
  </si>
  <si>
    <t>end record t_aeb_gen_cfg_reserved_ae8_wr_reg;</t>
  </si>
  <si>
    <t>-- AEB General Configuration Area Register "RESERVED_AEC"</t>
  </si>
  <si>
    <t>type t_aeb_gen_cfg_reserved_aec_wr_reg is record</t>
  </si>
  <si>
    <t>end record t_aeb_gen_cfg_reserved_aec_wr_reg;</t>
  </si>
  <si>
    <t>-- AEB General Configuration Area Register "RESERVED_AF0"</t>
  </si>
  <si>
    <t>type t_aeb_gen_cfg_reserved_af0_wr_reg is record</t>
  </si>
  <si>
    <t>end record t_aeb_gen_cfg_reserved_af0_wr_reg;</t>
  </si>
  <si>
    <t>-- AEB General Configuration Area Register "RESERVED_AF4"</t>
  </si>
  <si>
    <t>type t_aeb_gen_cfg_reserved_af4_wr_reg is record</t>
  </si>
  <si>
    <t>end record t_aeb_gen_cfg_reserved_af4_wr_reg;</t>
  </si>
  <si>
    <t>-- AEB General Configuration Area Register "RESERVED_AF8"</t>
  </si>
  <si>
    <t>type t_aeb_gen_cfg_reserved_af8_wr_reg is record</t>
  </si>
  <si>
    <t>end record t_aeb_gen_cfg_reserved_af8_wr_reg;</t>
  </si>
  <si>
    <t>-- AEB General Configuration Area Register "RESERVED_AFC"</t>
  </si>
  <si>
    <t>type t_aeb_gen_cfg_reserved_afc_wr_reg is record</t>
  </si>
  <si>
    <t>end record t_aeb_gen_cfg_reserved_afc_wr_reg;</t>
  </si>
  <si>
    <t>-- AEB General Configuration Area Register "RESERVED_B00"</t>
  </si>
  <si>
    <t>type t_aeb_gen_cfg_reserved_b00_wr_reg is record</t>
  </si>
  <si>
    <t>end record t_aeb_gen_cfg_reserved_b00_wr_reg;</t>
  </si>
  <si>
    <t>-- AEB General Configuration Area Register "RESERVED_B04"</t>
  </si>
  <si>
    <t>type t_aeb_gen_cfg_reserved_b04_wr_reg is record</t>
  </si>
  <si>
    <t>end record t_aeb_gen_cfg_reserved_b04_wr_reg;</t>
  </si>
  <si>
    <t>-- AEB General Configuration Area Register "RESERVED_B08"</t>
  </si>
  <si>
    <t>type t_aeb_gen_cfg_reserved_b08_wr_reg is record</t>
  </si>
  <si>
    <t>end record t_aeb_gen_cfg_reserved_b08_wr_reg;</t>
  </si>
  <si>
    <t>-- AEB General Configuration Area Register "RESERVED_B0C"</t>
  </si>
  <si>
    <t>type t_aeb_gen_cfg_reserved_b0c_wr_reg is record</t>
  </si>
  <si>
    <t>end record t_aeb_gen_cfg_reserved_b0c_wr_reg;</t>
  </si>
  <si>
    <t>-- AEB General Configuration Area Register "RESERVED_B10"</t>
  </si>
  <si>
    <t>type t_aeb_gen_cfg_reserved_b10_wr_reg is record</t>
  </si>
  <si>
    <t>end record t_aeb_gen_cfg_reserved_b10_wr_reg;</t>
  </si>
  <si>
    <t>-- AEB General Configuration Area Register "RESERVED_B14"</t>
  </si>
  <si>
    <t>type t_aeb_gen_cfg_reserved_b14_wr_reg is record</t>
  </si>
  <si>
    <t>end record t_aeb_gen_cfg_reserved_b14_wr_reg;</t>
  </si>
  <si>
    <t>-- AEB General Configuration Area Register "RESERVED_B18"</t>
  </si>
  <si>
    <t>type t_aeb_gen_cfg_reserved_b18_wr_reg is record</t>
  </si>
  <si>
    <t>end record t_aeb_gen_cfg_reserved_b18_wr_reg;</t>
  </si>
  <si>
    <t>-- AEB General Configuration Area Register "RESERVED_B1C"</t>
  </si>
  <si>
    <t>type t_aeb_gen_cfg_reserved_b1c_wr_reg is record</t>
  </si>
  <si>
    <t>end record t_aeb_gen_cfg_reserved_b1c_wr_reg;</t>
  </si>
  <si>
    <t>-- AEB General Configuration Area Register "RESERVED_B20"</t>
  </si>
  <si>
    <t>type t_aeb_gen_cfg_reserved_b20_wr_reg is record</t>
  </si>
  <si>
    <t>end record t_aeb_gen_cfg_reserved_b20_wr_reg;</t>
  </si>
  <si>
    <t>-- AEB General Configuration Area Register "RESERVED_B24"</t>
  </si>
  <si>
    <t>type t_aeb_gen_cfg_reserved_b24_wr_reg is record</t>
  </si>
  <si>
    <t>end record t_aeb_gen_cfg_reserved_b24_wr_reg;</t>
  </si>
  <si>
    <t>-- AEB General Configuration Area Register "RESERVED_B28"</t>
  </si>
  <si>
    <t>type t_aeb_gen_cfg_reserved_b28_wr_reg is record</t>
  </si>
  <si>
    <t>end record t_aeb_gen_cfg_reserved_b28_wr_reg;</t>
  </si>
  <si>
    <t>-- AEB General Configuration Area Register "RESERVED_B2C"</t>
  </si>
  <si>
    <t>type t_aeb_gen_cfg_reserved_b2c_wr_reg is record</t>
  </si>
  <si>
    <t>end record t_aeb_gen_cfg_reserved_b2c_wr_reg;</t>
  </si>
  <si>
    <t>-- AEB General Configuration Area Register "RESERVED_B30"</t>
  </si>
  <si>
    <t>type t_aeb_gen_cfg_reserved_b30_wr_reg is record</t>
  </si>
  <si>
    <t>end record t_aeb_gen_cfg_reserved_b30_wr_reg;</t>
  </si>
  <si>
    <t>-- AEB General Configuration Area Register "RESERVED_B34"</t>
  </si>
  <si>
    <t>type t_aeb_gen_cfg_reserved_b34_wr_reg is record</t>
  </si>
  <si>
    <t>end record t_aeb_gen_cfg_reserved_b34_wr_reg;</t>
  </si>
  <si>
    <t>-- AEB General Configuration Area Register "RESERVED_B38"</t>
  </si>
  <si>
    <t>type t_aeb_gen_cfg_reserved_b38_wr_reg is record</t>
  </si>
  <si>
    <t>end record t_aeb_gen_cfg_reserved_b38_wr_reg;</t>
  </si>
  <si>
    <t>-- AEB General Configuration Area Register "RESERVED_B3C"</t>
  </si>
  <si>
    <t>type t_aeb_gen_cfg_reserved_b3c_wr_reg is record</t>
  </si>
  <si>
    <t>end record t_aeb_gen_cfg_reserved_b3c_wr_reg;</t>
  </si>
  <si>
    <t>-- AEB General Configuration Area Register "RESERVED_B40"</t>
  </si>
  <si>
    <t>type t_aeb_gen_cfg_reserved_b40_wr_reg is record</t>
  </si>
  <si>
    <t>end record t_aeb_gen_cfg_reserved_b40_wr_reg;</t>
  </si>
  <si>
    <t>-- AEB General Configuration Area Register "RESERVED_B44"</t>
  </si>
  <si>
    <t>type t_aeb_gen_cfg_reserved_b44_wr_reg is record</t>
  </si>
  <si>
    <t>end record t_aeb_gen_cfg_reserved_b44_wr_reg;</t>
  </si>
  <si>
    <t>-- AEB General Configuration Area Register "RESERVED_B48"</t>
  </si>
  <si>
    <t>type t_aeb_gen_cfg_reserved_b48_wr_reg is record</t>
  </si>
  <si>
    <t>end record t_aeb_gen_cfg_reserved_b48_wr_reg;</t>
  </si>
  <si>
    <t>-- AEB General Configuration Area Register "RESERVED_B4C"</t>
  </si>
  <si>
    <t>type t_aeb_gen_cfg_reserved_b4c_wr_reg is record</t>
  </si>
  <si>
    <t>end record t_aeb_gen_cfg_reserved_b4c_wr_reg;</t>
  </si>
  <si>
    <t>-- AEB General Configuration Area Register "RESERVED_B50"</t>
  </si>
  <si>
    <t>type t_aeb_gen_cfg_reserved_b50_wr_reg is record</t>
  </si>
  <si>
    <t>end record t_aeb_gen_cfg_reserved_b50_wr_reg;</t>
  </si>
  <si>
    <t>-- AEB General Configuration Area Register "RESERVED_B54"</t>
  </si>
  <si>
    <t>type t_aeb_gen_cfg_reserved_b54_wr_reg is record</t>
  </si>
  <si>
    <t>end record t_aeb_gen_cfg_reserved_b54_wr_reg;</t>
  </si>
  <si>
    <t>-- AEB General Configuration Area Register "RESERVED_B58"</t>
  </si>
  <si>
    <t>type t_aeb_gen_cfg_reserved_b58_wr_reg is record</t>
  </si>
  <si>
    <t>end record t_aeb_gen_cfg_reserved_b58_wr_reg;</t>
  </si>
  <si>
    <t>-- AEB General Configuration Area Register "RESERVED_B5C"</t>
  </si>
  <si>
    <t>type t_aeb_gen_cfg_reserved_b5c_wr_reg is record</t>
  </si>
  <si>
    <t>end record t_aeb_gen_cfg_reserved_b5c_wr_reg;</t>
  </si>
  <si>
    <t>-- AEB General Configuration Area Register "RESERVED_B60"</t>
  </si>
  <si>
    <t>type t_aeb_gen_cfg_reserved_b60_wr_reg is record</t>
  </si>
  <si>
    <t>end record t_aeb_gen_cfg_reserved_b60_wr_reg;</t>
  </si>
  <si>
    <t>-- AEB General Configuration Area Register "RESERVED_B64"</t>
  </si>
  <si>
    <t>type t_aeb_gen_cfg_reserved_b64_wr_reg is record</t>
  </si>
  <si>
    <t>end record t_aeb_gen_cfg_reserved_b64_wr_reg;</t>
  </si>
  <si>
    <t>-- AEB General Configuration Area Register "RESERVED_B68"</t>
  </si>
  <si>
    <t>type t_aeb_gen_cfg_reserved_b68_wr_reg is record</t>
  </si>
  <si>
    <t>end record t_aeb_gen_cfg_reserved_b68_wr_reg;</t>
  </si>
  <si>
    <t>-- AEB General Configuration Area Register "RESERVED_B6C"</t>
  </si>
  <si>
    <t>type t_aeb_gen_cfg_reserved_b6c_wr_reg is record</t>
  </si>
  <si>
    <t>end record t_aeb_gen_cfg_reserved_b6c_wr_reg;</t>
  </si>
  <si>
    <t>-- AEB General Configuration Area Register "RESERVED_B70"</t>
  </si>
  <si>
    <t>type t_aeb_gen_cfg_reserved_b70_wr_reg is record</t>
  </si>
  <si>
    <t>end record t_aeb_gen_cfg_reserved_b70_wr_reg;</t>
  </si>
  <si>
    <t>-- AEB General Configuration Area Register "RESERVED_B74"</t>
  </si>
  <si>
    <t>type t_aeb_gen_cfg_reserved_b74_wr_reg is record</t>
  </si>
  <si>
    <t>end record t_aeb_gen_cfg_reserved_b74_wr_reg;</t>
  </si>
  <si>
    <t>-- AEB General Configuration Area Register "RESERVED_B78"</t>
  </si>
  <si>
    <t>type t_aeb_gen_cfg_reserved_b78_wr_reg is record</t>
  </si>
  <si>
    <t>end record t_aeb_gen_cfg_reserved_b78_wr_reg;</t>
  </si>
  <si>
    <t>-- AEB General Configuration Area Register "RESERVED_B7C"</t>
  </si>
  <si>
    <t>type t_aeb_gen_cfg_reserved_b7c_wr_reg is record</t>
  </si>
  <si>
    <t>end record t_aeb_gen_cfg_reserved_b7c_wr_reg;</t>
  </si>
  <si>
    <t>-- AEB General Configuration Area Register "RESERVED_B80"</t>
  </si>
  <si>
    <t>type t_aeb_gen_cfg_reserved_b80_wr_reg is record</t>
  </si>
  <si>
    <t>end record t_aeb_gen_cfg_reserved_b80_wr_reg;</t>
  </si>
  <si>
    <t>-- AEB General Configuration Area Register "RESERVED_B84"</t>
  </si>
  <si>
    <t>type t_aeb_gen_cfg_reserved_b84_wr_reg is record</t>
  </si>
  <si>
    <t>end record t_aeb_gen_cfg_reserved_b84_wr_reg;</t>
  </si>
  <si>
    <t>-- AEB General Configuration Area Register "RESERVED_B88"</t>
  </si>
  <si>
    <t>type t_aeb_gen_cfg_reserved_b88_wr_reg is record</t>
  </si>
  <si>
    <t>end record t_aeb_gen_cfg_reserved_b88_wr_reg;</t>
  </si>
  <si>
    <t>-- AEB General Configuration Area Register "RESERVED_B8C"</t>
  </si>
  <si>
    <t>type t_aeb_gen_cfg_reserved_b8c_wr_reg is record</t>
  </si>
  <si>
    <t>end record t_aeb_gen_cfg_reserved_b8c_wr_reg;</t>
  </si>
  <si>
    <t>-- AEB General Configuration Area Register "RESERVED_B90"</t>
  </si>
  <si>
    <t>type t_aeb_gen_cfg_reserved_b90_wr_reg is record</t>
  </si>
  <si>
    <t>end record t_aeb_gen_cfg_reserved_b90_wr_reg;</t>
  </si>
  <si>
    <t>-- AEB General Configuration Area Register "RESERVED_B94"</t>
  </si>
  <si>
    <t>type t_aeb_gen_cfg_reserved_b94_wr_reg is record</t>
  </si>
  <si>
    <t>end record t_aeb_gen_cfg_reserved_b94_wr_reg;</t>
  </si>
  <si>
    <t>-- AEB General Configuration Area Register "RESERVED_B98"</t>
  </si>
  <si>
    <t>type t_aeb_gen_cfg_reserved_b98_wr_reg is record</t>
  </si>
  <si>
    <t>end record t_aeb_gen_cfg_reserved_b98_wr_reg;</t>
  </si>
  <si>
    <t>-- AEB General Configuration Area Register "RESERVED_B9C"</t>
  </si>
  <si>
    <t>type t_aeb_gen_cfg_reserved_b9c_wr_reg is record</t>
  </si>
  <si>
    <t>end record t_aeb_gen_cfg_reserved_b9c_wr_reg;</t>
  </si>
  <si>
    <t>-- AEB General Configuration Area Register "RESERVED_BA0"</t>
  </si>
  <si>
    <t>type t_aeb_gen_cfg_reserved_ba0_wr_reg is record</t>
  </si>
  <si>
    <t>end record t_aeb_gen_cfg_reserved_ba0_wr_reg;</t>
  </si>
  <si>
    <t>-- AEB General Configuration Area Register "RESERVED_BA4"</t>
  </si>
  <si>
    <t>type t_aeb_gen_cfg_reserved_ba4_wr_reg is record</t>
  </si>
  <si>
    <t>end record t_aeb_gen_cfg_reserved_ba4_wr_reg;</t>
  </si>
  <si>
    <t>-- AEB General Configuration Area Register "RESERVED_BA8"</t>
  </si>
  <si>
    <t>type t_aeb_gen_cfg_reserved_ba8_wr_reg is record</t>
  </si>
  <si>
    <t>end record t_aeb_gen_cfg_reserved_ba8_wr_reg;</t>
  </si>
  <si>
    <t>-- AEB General Configuration Area Register "RESERVED_BAC"</t>
  </si>
  <si>
    <t>type t_aeb_gen_cfg_reserved_bac_wr_reg is record</t>
  </si>
  <si>
    <t>end record t_aeb_gen_cfg_reserved_bac_wr_reg;</t>
  </si>
  <si>
    <t>-- AEB General Configuration Area Register "RESERVED_BB0"</t>
  </si>
  <si>
    <t>type t_aeb_gen_cfg_reserved_bb0_wr_reg is record</t>
  </si>
  <si>
    <t>end record t_aeb_gen_cfg_reserved_bb0_wr_reg;</t>
  </si>
  <si>
    <t>-- AEB General Configuration Area Register "RESERVED_BB4"</t>
  </si>
  <si>
    <t>type t_aeb_gen_cfg_reserved_bb4_wr_reg is record</t>
  </si>
  <si>
    <t>end record t_aeb_gen_cfg_reserved_bb4_wr_reg;</t>
  </si>
  <si>
    <t>-- AEB General Configuration Area Register "RESERVED_BB8"</t>
  </si>
  <si>
    <t>type t_aeb_gen_cfg_reserved_bb8_wr_reg is record</t>
  </si>
  <si>
    <t>end record t_aeb_gen_cfg_reserved_bb8_wr_reg;</t>
  </si>
  <si>
    <t>-- AEB General Configuration Area Register "RESERVED_BBC"</t>
  </si>
  <si>
    <t>type t_aeb_gen_cfg_reserved_bbc_wr_reg is record</t>
  </si>
  <si>
    <t>end record t_aeb_gen_cfg_reserved_bbc_wr_reg;</t>
  </si>
  <si>
    <t>-- AEB General Configuration Area Register "RESERVED_BC0"</t>
  </si>
  <si>
    <t>type t_aeb_gen_cfg_reserved_bc0_wr_reg is record</t>
  </si>
  <si>
    <t>end record t_aeb_gen_cfg_reserved_bc0_wr_reg;</t>
  </si>
  <si>
    <t>-- AEB General Configuration Area Register "RESERVED_BC4"</t>
  </si>
  <si>
    <t>type t_aeb_gen_cfg_reserved_bc4_wr_reg is record</t>
  </si>
  <si>
    <t>end record t_aeb_gen_cfg_reserved_bc4_wr_reg;</t>
  </si>
  <si>
    <t>-- AEB General Configuration Area Register "RESERVED_BC8"</t>
  </si>
  <si>
    <t>type t_aeb_gen_cfg_reserved_bc8_wr_reg is record</t>
  </si>
  <si>
    <t>end record t_aeb_gen_cfg_reserved_bc8_wr_reg;</t>
  </si>
  <si>
    <t>-- AEB General Configuration Area Register "RESERVED_BCC"</t>
  </si>
  <si>
    <t>type t_aeb_gen_cfg_reserved_bcc_wr_reg is record</t>
  </si>
  <si>
    <t>end record t_aeb_gen_cfg_reserved_bcc_wr_reg;</t>
  </si>
  <si>
    <t>-- AEB General Configuration Area Register "RESERVED_BD0"</t>
  </si>
  <si>
    <t>type t_aeb_gen_cfg_reserved_bd0_wr_reg is record</t>
  </si>
  <si>
    <t>end record t_aeb_gen_cfg_reserved_bd0_wr_reg;</t>
  </si>
  <si>
    <t>-- AEB General Configuration Area Register "RESERVED_BD4"</t>
  </si>
  <si>
    <t>type t_aeb_gen_cfg_reserved_bd4_wr_reg is record</t>
  </si>
  <si>
    <t>end record t_aeb_gen_cfg_reserved_bd4_wr_reg;</t>
  </si>
  <si>
    <t>-- AEB General Configuration Area Register "RESERVED_BD8"</t>
  </si>
  <si>
    <t>type t_aeb_gen_cfg_reserved_bd8_wr_reg is record</t>
  </si>
  <si>
    <t>end record t_aeb_gen_cfg_reserved_bd8_wr_reg;</t>
  </si>
  <si>
    <t>-- AEB General Configuration Area Register "RESERVED_BDC"</t>
  </si>
  <si>
    <t>type t_aeb_gen_cfg_reserved_bdc_wr_reg is record</t>
  </si>
  <si>
    <t>end record t_aeb_gen_cfg_reserved_bdc_wr_reg;</t>
  </si>
  <si>
    <t>-- AEB General Configuration Area Register "RESERVED_BE0"</t>
  </si>
  <si>
    <t>type t_aeb_gen_cfg_reserved_be0_wr_reg is record</t>
  </si>
  <si>
    <t>end record t_aeb_gen_cfg_reserved_be0_wr_reg;</t>
  </si>
  <si>
    <t>-- AEB General Configuration Area Register "RESERVED_BE4"</t>
  </si>
  <si>
    <t>type t_aeb_gen_cfg_reserved_be4_wr_reg is record</t>
  </si>
  <si>
    <t>end record t_aeb_gen_cfg_reserved_be4_wr_reg;</t>
  </si>
  <si>
    <t>-- AEB General Configuration Area Register "RESERVED_BE8"</t>
  </si>
  <si>
    <t>type t_aeb_gen_cfg_reserved_be8_wr_reg is record</t>
  </si>
  <si>
    <t>end record t_aeb_gen_cfg_reserved_be8_wr_reg;</t>
  </si>
  <si>
    <t>-- AEB General Configuration Area Register "RESERVED_BEC"</t>
  </si>
  <si>
    <t>type t_aeb_gen_cfg_reserved_bec_wr_reg is record</t>
  </si>
  <si>
    <t>end record t_aeb_gen_cfg_reserved_bec_wr_reg;</t>
  </si>
  <si>
    <t>-- AEB General Configuration Area Register "RESERVED_BF0"</t>
  </si>
  <si>
    <t>type t_aeb_gen_cfg_reserved_bf0_wr_reg is record</t>
  </si>
  <si>
    <t>end record t_aeb_gen_cfg_reserved_bf0_wr_reg;</t>
  </si>
  <si>
    <t>-- AEB General Configuration Area Register "RESERVED_BF4"</t>
  </si>
  <si>
    <t>type t_aeb_gen_cfg_reserved_bf4_wr_reg is record</t>
  </si>
  <si>
    <t>end record t_aeb_gen_cfg_reserved_bf4_wr_reg;</t>
  </si>
  <si>
    <t>-- AEB General Configuration Area Register "RESERVED_BF8"</t>
  </si>
  <si>
    <t>type t_aeb_gen_cfg_reserved_bf8_wr_reg is record</t>
  </si>
  <si>
    <t>end record t_aeb_gen_cfg_reserved_bf8_wr_reg;</t>
  </si>
  <si>
    <t>-- AEB General Configuration Area Register "RESERVED_BFC"</t>
  </si>
  <si>
    <t>type t_aeb_gen_cfg_reserved_bfc_wr_reg is record</t>
  </si>
  <si>
    <t>end record t_aeb_gen_cfg_reserved_bfc_wr_reg;</t>
  </si>
  <si>
    <t>-- AEB General Configuration Area Register "RESERVED_C00"</t>
  </si>
  <si>
    <t>type t_aeb_gen_cfg_reserved_c00_wr_reg is record</t>
  </si>
  <si>
    <t>end record t_aeb_gen_cfg_reserved_c00_wr_reg;</t>
  </si>
  <si>
    <t>-- AEB General Configuration Area Register "RESERVED_C04"</t>
  </si>
  <si>
    <t>type t_aeb_gen_cfg_reserved_c04_wr_reg is record</t>
  </si>
  <si>
    <t>end record t_aeb_gen_cfg_reserved_c04_wr_reg;</t>
  </si>
  <si>
    <t>-- AEB General Configuration Area Register "RESERVED_C08"</t>
  </si>
  <si>
    <t>type t_aeb_gen_cfg_reserved_c08_wr_reg is record</t>
  </si>
  <si>
    <t>end record t_aeb_gen_cfg_reserved_c08_wr_reg;</t>
  </si>
  <si>
    <t>-- AEB General Configuration Area Register "RESERVED_C0C"</t>
  </si>
  <si>
    <t>type t_aeb_gen_cfg_reserved_c0c_wr_reg is record</t>
  </si>
  <si>
    <t>end record t_aeb_gen_cfg_reserved_c0c_wr_reg;</t>
  </si>
  <si>
    <t>-- AEB General Configuration Area Register "RESERVED_C10"</t>
  </si>
  <si>
    <t>type t_aeb_gen_cfg_reserved_c10_wr_reg is record</t>
  </si>
  <si>
    <t>end record t_aeb_gen_cfg_reserved_c10_wr_reg;</t>
  </si>
  <si>
    <t>-- AEB General Configuration Area Register "RESERVED_C14"</t>
  </si>
  <si>
    <t>type t_aeb_gen_cfg_reserved_c14_wr_reg is record</t>
  </si>
  <si>
    <t>end record t_aeb_gen_cfg_reserved_c14_wr_reg;</t>
  </si>
  <si>
    <t>-- AEB General Configuration Area Register "RESERVED_C18"</t>
  </si>
  <si>
    <t>type t_aeb_gen_cfg_reserved_c18_wr_reg is record</t>
  </si>
  <si>
    <t>end record t_aeb_gen_cfg_reserved_c18_wr_reg;</t>
  </si>
  <si>
    <t>-- AEB General Configuration Area Register "RESERVED_C1C"</t>
  </si>
  <si>
    <t>type t_aeb_gen_cfg_reserved_c1c_wr_reg is record</t>
  </si>
  <si>
    <t>end record t_aeb_gen_cfg_reserved_c1c_wr_reg;</t>
  </si>
  <si>
    <t>-- AEB General Configuration Area Register "RESERVED_C20"</t>
  </si>
  <si>
    <t>type t_aeb_gen_cfg_reserved_c20_wr_reg is record</t>
  </si>
  <si>
    <t>end record t_aeb_gen_cfg_reserved_c20_wr_reg;</t>
  </si>
  <si>
    <t>-- AEB General Configuration Area Register "RESERVED_C24"</t>
  </si>
  <si>
    <t>type t_aeb_gen_cfg_reserved_c24_wr_reg is record</t>
  </si>
  <si>
    <t>end record t_aeb_gen_cfg_reserved_c24_wr_reg;</t>
  </si>
  <si>
    <t>-- AEB General Configuration Area Register "RESERVED_C28"</t>
  </si>
  <si>
    <t>type t_aeb_gen_cfg_reserved_c28_wr_reg is record</t>
  </si>
  <si>
    <t>end record t_aeb_gen_cfg_reserved_c28_wr_reg;</t>
  </si>
  <si>
    <t>-- AEB General Configuration Area Register "RESERVED_C2C"</t>
  </si>
  <si>
    <t>type t_aeb_gen_cfg_reserved_c2c_wr_reg is record</t>
  </si>
  <si>
    <t>end record t_aeb_gen_cfg_reserved_c2c_wr_reg;</t>
  </si>
  <si>
    <t>-- AEB General Configuration Area Register "RESERVED_C30"</t>
  </si>
  <si>
    <t>type t_aeb_gen_cfg_reserved_c30_wr_reg is record</t>
  </si>
  <si>
    <t>end record t_aeb_gen_cfg_reserved_c30_wr_reg;</t>
  </si>
  <si>
    <t>-- AEB General Configuration Area Register "RESERVED_C34"</t>
  </si>
  <si>
    <t>type t_aeb_gen_cfg_reserved_c34_wr_reg is record</t>
  </si>
  <si>
    <t>end record t_aeb_gen_cfg_reserved_c34_wr_reg;</t>
  </si>
  <si>
    <t>-- AEB General Configuration Area Register "RESERVED_C38"</t>
  </si>
  <si>
    <t>type t_aeb_gen_cfg_reserved_c38_wr_reg is record</t>
  </si>
  <si>
    <t>end record t_aeb_gen_cfg_reserved_c38_wr_reg;</t>
  </si>
  <si>
    <t>-- AEB General Configuration Area Register "RESERVED_C3C"</t>
  </si>
  <si>
    <t>type t_aeb_gen_cfg_reserved_c3c_wr_reg is record</t>
  </si>
  <si>
    <t>end record t_aeb_gen_cfg_reserved_c3c_wr_reg;</t>
  </si>
  <si>
    <t>-- AEB General Configuration Area Register "RESERVED_C40"</t>
  </si>
  <si>
    <t>type t_aeb_gen_cfg_reserved_c40_wr_reg is record</t>
  </si>
  <si>
    <t>end record t_aeb_gen_cfg_reserved_c40_wr_reg;</t>
  </si>
  <si>
    <t>-- AEB General Configuration Area Register "RESERVED_C44"</t>
  </si>
  <si>
    <t>type t_aeb_gen_cfg_reserved_c44_wr_reg is record</t>
  </si>
  <si>
    <t>end record t_aeb_gen_cfg_reserved_c44_wr_reg;</t>
  </si>
  <si>
    <t>-- AEB General Configuration Area Register "RESERVED_C48"</t>
  </si>
  <si>
    <t>type t_aeb_gen_cfg_reserved_c48_wr_reg is record</t>
  </si>
  <si>
    <t>end record t_aeb_gen_cfg_reserved_c48_wr_reg;</t>
  </si>
  <si>
    <t>-- AEB General Configuration Area Register "RESERVED_C4C"</t>
  </si>
  <si>
    <t>type t_aeb_gen_cfg_reserved_c4c_wr_reg is record</t>
  </si>
  <si>
    <t>end record t_aeb_gen_cfg_reserved_c4c_wr_reg;</t>
  </si>
  <si>
    <t>-- AEB General Configuration Area Register "RESERVED_C50"</t>
  </si>
  <si>
    <t>type t_aeb_gen_cfg_reserved_c50_wr_reg is record</t>
  </si>
  <si>
    <t>end record t_aeb_gen_cfg_reserved_c50_wr_reg;</t>
  </si>
  <si>
    <t>-- AEB General Configuration Area Register "RESERVED_C54"</t>
  </si>
  <si>
    <t>type t_aeb_gen_cfg_reserved_c54_wr_reg is record</t>
  </si>
  <si>
    <t>end record t_aeb_gen_cfg_reserved_c54_wr_reg;</t>
  </si>
  <si>
    <t>-- AEB General Configuration Area Register "RESERVED_C58"</t>
  </si>
  <si>
    <t>type t_aeb_gen_cfg_reserved_c58_wr_reg is record</t>
  </si>
  <si>
    <t>end record t_aeb_gen_cfg_reserved_c58_wr_reg;</t>
  </si>
  <si>
    <t>-- AEB General Configuration Area Register "RESERVED_C5C"</t>
  </si>
  <si>
    <t>type t_aeb_gen_cfg_reserved_c5c_wr_reg is record</t>
  </si>
  <si>
    <t>end record t_aeb_gen_cfg_reserved_c5c_wr_reg;</t>
  </si>
  <si>
    <t>-- AEB General Configuration Area Register "RESERVED_C60"</t>
  </si>
  <si>
    <t>type t_aeb_gen_cfg_reserved_c60_wr_reg is record</t>
  </si>
  <si>
    <t>end record t_aeb_gen_cfg_reserved_c60_wr_reg;</t>
  </si>
  <si>
    <t>-- AEB General Configuration Area Register "RESERVED_C64"</t>
  </si>
  <si>
    <t>type t_aeb_gen_cfg_reserved_c64_wr_reg is record</t>
  </si>
  <si>
    <t>end record t_aeb_gen_cfg_reserved_c64_wr_reg;</t>
  </si>
  <si>
    <t>-- AEB General Configuration Area Register "RESERVED_C68"</t>
  </si>
  <si>
    <t>type t_aeb_gen_cfg_reserved_c68_wr_reg is record</t>
  </si>
  <si>
    <t>end record t_aeb_gen_cfg_reserved_c68_wr_reg;</t>
  </si>
  <si>
    <t>-- AEB General Configuration Area Register "RESERVED_C6C"</t>
  </si>
  <si>
    <t>type t_aeb_gen_cfg_reserved_c6c_wr_reg is record</t>
  </si>
  <si>
    <t>end record t_aeb_gen_cfg_reserved_c6c_wr_reg;</t>
  </si>
  <si>
    <t>-- AEB General Configuration Area Register "RESERVED_C70"</t>
  </si>
  <si>
    <t>type t_aeb_gen_cfg_reserved_c70_wr_reg is record</t>
  </si>
  <si>
    <t>end record t_aeb_gen_cfg_reserved_c70_wr_reg;</t>
  </si>
  <si>
    <t>-- AEB General Configuration Area Register "RESERVED_C74"</t>
  </si>
  <si>
    <t>type t_aeb_gen_cfg_reserved_c74_wr_reg is record</t>
  </si>
  <si>
    <t>end record t_aeb_gen_cfg_reserved_c74_wr_reg;</t>
  </si>
  <si>
    <t>-- AEB General Configuration Area Register "RESERVED_C78"</t>
  </si>
  <si>
    <t>type t_aeb_gen_cfg_reserved_c78_wr_reg is record</t>
  </si>
  <si>
    <t>end record t_aeb_gen_cfg_reserved_c78_wr_reg;</t>
  </si>
  <si>
    <t>-- AEB General Configuration Area Register "RESERVED_C7C"</t>
  </si>
  <si>
    <t>type t_aeb_gen_cfg_reserved_c7c_wr_reg is record</t>
  </si>
  <si>
    <t>end record t_aeb_gen_cfg_reserved_c7c_wr_reg;</t>
  </si>
  <si>
    <t>-- AEB General Configuration Area Register "RESERVED_C80"</t>
  </si>
  <si>
    <t>type t_aeb_gen_cfg_reserved_c80_wr_reg is record</t>
  </si>
  <si>
    <t>end record t_aeb_gen_cfg_reserved_c80_wr_reg;</t>
  </si>
  <si>
    <t>-- AEB General Configuration Area Register "RESERVED_C84"</t>
  </si>
  <si>
    <t>type t_aeb_gen_cfg_reserved_c84_wr_reg is record</t>
  </si>
  <si>
    <t>end record t_aeb_gen_cfg_reserved_c84_wr_reg;</t>
  </si>
  <si>
    <t>-- AEB General Configuration Area Register "RESERVED_C88"</t>
  </si>
  <si>
    <t>type t_aeb_gen_cfg_reserved_c88_wr_reg is record</t>
  </si>
  <si>
    <t>end record t_aeb_gen_cfg_reserved_c88_wr_reg;</t>
  </si>
  <si>
    <t>-- AEB General Configuration Area Register "RESERVED_C8C"</t>
  </si>
  <si>
    <t>type t_aeb_gen_cfg_reserved_c8c_wr_reg is record</t>
  </si>
  <si>
    <t>end record t_aeb_gen_cfg_reserved_c8c_wr_reg;</t>
  </si>
  <si>
    <t>-- AEB General Configuration Area Register "RESERVED_C90"</t>
  </si>
  <si>
    <t>type t_aeb_gen_cfg_reserved_c90_wr_reg is record</t>
  </si>
  <si>
    <t>end record t_aeb_gen_cfg_reserved_c90_wr_reg;</t>
  </si>
  <si>
    <t>-- AEB General Configuration Area Register "RESERVED_C94"</t>
  </si>
  <si>
    <t>type t_aeb_gen_cfg_reserved_c94_wr_reg is record</t>
  </si>
  <si>
    <t>end record t_aeb_gen_cfg_reserved_c94_wr_reg;</t>
  </si>
  <si>
    <t>-- AEB General Configuration Area Register "RESERVED_C98"</t>
  </si>
  <si>
    <t>type t_aeb_gen_cfg_reserved_c98_wr_reg is record</t>
  </si>
  <si>
    <t>end record t_aeb_gen_cfg_reserved_c98_wr_reg;</t>
  </si>
  <si>
    <t>-- AEB General Configuration Area Register "RESERVED_C9C"</t>
  </si>
  <si>
    <t>type t_aeb_gen_cfg_reserved_c9c_wr_reg is record</t>
  </si>
  <si>
    <t>end record t_aeb_gen_cfg_reserved_c9c_wr_reg;</t>
  </si>
  <si>
    <t>-- AEB General Configuration Area Register "RESERVED_CA0"</t>
  </si>
  <si>
    <t>type t_aeb_gen_cfg_reserved_ca0_wr_reg is record</t>
  </si>
  <si>
    <t>end record t_aeb_gen_cfg_reserved_ca0_wr_reg;</t>
  </si>
  <si>
    <t>-- AEB General Configuration Area Register "RESERVED_CA4"</t>
  </si>
  <si>
    <t>type t_aeb_gen_cfg_reserved_ca4_wr_reg is record</t>
  </si>
  <si>
    <t>end record t_aeb_gen_cfg_reserved_ca4_wr_reg;</t>
  </si>
  <si>
    <t>-- AEB General Configuration Area Register "RESERVED_CA8"</t>
  </si>
  <si>
    <t>type t_aeb_gen_cfg_reserved_ca8_wr_reg is record</t>
  </si>
  <si>
    <t>end record t_aeb_gen_cfg_reserved_ca8_wr_reg;</t>
  </si>
  <si>
    <t>-- AEB General Configuration Area Register "RESERVED_CAC"</t>
  </si>
  <si>
    <t>type t_aeb_gen_cfg_reserved_cac_wr_reg is record</t>
  </si>
  <si>
    <t>end record t_aeb_gen_cfg_reserved_cac_wr_reg;</t>
  </si>
  <si>
    <t>-- AEB General Configuration Area Register "RESERVED_CB0"</t>
  </si>
  <si>
    <t>type t_aeb_gen_cfg_reserved_cb0_wr_reg is record</t>
  </si>
  <si>
    <t>end record t_aeb_gen_cfg_reserved_cb0_wr_reg;</t>
  </si>
  <si>
    <t>-- AEB General Configuration Area Register "RESERVED_CB4"</t>
  </si>
  <si>
    <t>type t_aeb_gen_cfg_reserved_cb4_wr_reg is record</t>
  </si>
  <si>
    <t>end record t_aeb_gen_cfg_reserved_cb4_wr_reg;</t>
  </si>
  <si>
    <t>-- AEB General Configuration Area Register "RESERVED_CB8"</t>
  </si>
  <si>
    <t>type t_aeb_gen_cfg_reserved_cb8_wr_reg is record</t>
  </si>
  <si>
    <t>end record t_aeb_gen_cfg_reserved_cb8_wr_reg;</t>
  </si>
  <si>
    <t>-- AEB General Configuration Area Register "RESERVED_CBC"</t>
  </si>
  <si>
    <t>type t_aeb_gen_cfg_reserved_cbc_wr_reg is record</t>
  </si>
  <si>
    <t>end record t_aeb_gen_cfg_reserved_cbc_wr_reg;</t>
  </si>
  <si>
    <t>-- AEB General Configuration Area Register "RESERVED_CC0"</t>
  </si>
  <si>
    <t>type t_aeb_gen_cfg_reserved_cc0_wr_reg is record</t>
  </si>
  <si>
    <t>end record t_aeb_gen_cfg_reserved_cc0_wr_reg;</t>
  </si>
  <si>
    <t>-- AEB General Configuration Area Register "RESERVED_CC4"</t>
  </si>
  <si>
    <t>type t_aeb_gen_cfg_reserved_cc4_wr_reg is record</t>
  </si>
  <si>
    <t>end record t_aeb_gen_cfg_reserved_cc4_wr_reg;</t>
  </si>
  <si>
    <t>-- AEB General Configuration Area Register "RESERVED_CC8"</t>
  </si>
  <si>
    <t>type t_aeb_gen_cfg_reserved_cc8_wr_reg is record</t>
  </si>
  <si>
    <t>end record t_aeb_gen_cfg_reserved_cc8_wr_reg;</t>
  </si>
  <si>
    <t>-- AEB General Configuration Area Register "RESERVED_CCC"</t>
  </si>
  <si>
    <t>type t_aeb_gen_cfg_reserved_ccc_wr_reg is record</t>
  </si>
  <si>
    <t>end record t_aeb_gen_cfg_reserved_ccc_wr_reg;</t>
  </si>
  <si>
    <t>-- AEB General Configuration Area Register "RESERVED_CD0"</t>
  </si>
  <si>
    <t>type t_aeb_gen_cfg_reserved_cd0_wr_reg is record</t>
  </si>
  <si>
    <t>end record t_aeb_gen_cfg_reserved_cd0_wr_reg;</t>
  </si>
  <si>
    <t>-- AEB General Configuration Area Register "RESERVED_CD4"</t>
  </si>
  <si>
    <t>type t_aeb_gen_cfg_reserved_cd4_wr_reg is record</t>
  </si>
  <si>
    <t>end record t_aeb_gen_cfg_reserved_cd4_wr_reg;</t>
  </si>
  <si>
    <t>-- AEB General Configuration Area Register "RESERVED_CD8"</t>
  </si>
  <si>
    <t>type t_aeb_gen_cfg_reserved_cd8_wr_reg is record</t>
  </si>
  <si>
    <t>end record t_aeb_gen_cfg_reserved_cd8_wr_reg;</t>
  </si>
  <si>
    <t>-- AEB General Configuration Area Register "RESERVED_CDC"</t>
  </si>
  <si>
    <t>type t_aeb_gen_cfg_reserved_cdc_wr_reg is record</t>
  </si>
  <si>
    <t>end record t_aeb_gen_cfg_reserved_cdc_wr_reg;</t>
  </si>
  <si>
    <t>-- AEB General Configuration Area Register "RESERVED_CE0"</t>
  </si>
  <si>
    <t>type t_aeb_gen_cfg_reserved_ce0_wr_reg is record</t>
  </si>
  <si>
    <t>end record t_aeb_gen_cfg_reserved_ce0_wr_reg;</t>
  </si>
  <si>
    <t>-- AEB General Configuration Area Register "RESERVED_CE4"</t>
  </si>
  <si>
    <t>type t_aeb_gen_cfg_reserved_ce4_wr_reg is record</t>
  </si>
  <si>
    <t>end record t_aeb_gen_cfg_reserved_ce4_wr_reg;</t>
  </si>
  <si>
    <t>-- AEB General Configuration Area Register "RESERVED_CE8"</t>
  </si>
  <si>
    <t>type t_aeb_gen_cfg_reserved_ce8_wr_reg is record</t>
  </si>
  <si>
    <t>end record t_aeb_gen_cfg_reserved_ce8_wr_reg;</t>
  </si>
  <si>
    <t>-- AEB General Configuration Area Register "RESERVED_CEC"</t>
  </si>
  <si>
    <t>type t_aeb_gen_cfg_reserved_cec_wr_reg is record</t>
  </si>
  <si>
    <t>end record t_aeb_gen_cfg_reserved_cec_wr_reg;</t>
  </si>
  <si>
    <t>-- AEB General Configuration Area Register "RESERVED_CF0"</t>
  </si>
  <si>
    <t>type t_aeb_gen_cfg_reserved_cf0_wr_reg is record</t>
  </si>
  <si>
    <t>end record t_aeb_gen_cfg_reserved_cf0_wr_reg;</t>
  </si>
  <si>
    <t>-- AEB General Configuration Area Register "RESERVED_CF4"</t>
  </si>
  <si>
    <t>type t_aeb_gen_cfg_reserved_cf4_wr_reg is record</t>
  </si>
  <si>
    <t>end record t_aeb_gen_cfg_reserved_cf4_wr_reg;</t>
  </si>
  <si>
    <t>-- AEB General Configuration Area Register "RESERVED_CF8"</t>
  </si>
  <si>
    <t>type t_aeb_gen_cfg_reserved_cf8_wr_reg is record</t>
  </si>
  <si>
    <t>end record t_aeb_gen_cfg_reserved_cf8_wr_reg;</t>
  </si>
  <si>
    <t>-- AEB General Configuration Area Register "RESERVED_CFC"</t>
  </si>
  <si>
    <t>type t_aeb_gen_cfg_reserved_cfc_wr_reg is record</t>
  </si>
  <si>
    <t>end record t_aeb_gen_cfg_reserved_cfc_wr_reg;</t>
  </si>
  <si>
    <t>-- AEB General Configuration Area Register "RESERVED_D00"</t>
  </si>
  <si>
    <t>type t_aeb_gen_cfg_reserved_d00_wr_reg is record</t>
  </si>
  <si>
    <t>end record t_aeb_gen_cfg_reserved_d00_wr_reg;</t>
  </si>
  <si>
    <t>-- AEB General Configuration Area Register "RESERVED_D04"</t>
  </si>
  <si>
    <t>type t_aeb_gen_cfg_reserved_d04_wr_reg is record</t>
  </si>
  <si>
    <t>end record t_aeb_gen_cfg_reserved_d04_wr_reg;</t>
  </si>
  <si>
    <t>-- AEB General Configuration Area Register "RESERVED_D08"</t>
  </si>
  <si>
    <t>type t_aeb_gen_cfg_reserved_d08_wr_reg is record</t>
  </si>
  <si>
    <t>end record t_aeb_gen_cfg_reserved_d08_wr_reg;</t>
  </si>
  <si>
    <t>-- AEB General Configuration Area Register "RESERVED_D0C"</t>
  </si>
  <si>
    <t>type t_aeb_gen_cfg_reserved_d0c_wr_reg is record</t>
  </si>
  <si>
    <t>end record t_aeb_gen_cfg_reserved_d0c_wr_reg;</t>
  </si>
  <si>
    <t>-- AEB General Configuration Area Register "RESERVED_D10"</t>
  </si>
  <si>
    <t>type t_aeb_gen_cfg_reserved_d10_wr_reg is record</t>
  </si>
  <si>
    <t>end record t_aeb_gen_cfg_reserved_d10_wr_reg;</t>
  </si>
  <si>
    <t>-- AEB General Configuration Area Register "RESERVED_D14"</t>
  </si>
  <si>
    <t>type t_aeb_gen_cfg_reserved_d14_wr_reg is record</t>
  </si>
  <si>
    <t>end record t_aeb_gen_cfg_reserved_d14_wr_reg;</t>
  </si>
  <si>
    <t>-- AEB General Configuration Area Register "RESERVED_D18"</t>
  </si>
  <si>
    <t>type t_aeb_gen_cfg_reserved_d18_wr_reg is record</t>
  </si>
  <si>
    <t>end record t_aeb_gen_cfg_reserved_d18_wr_reg;</t>
  </si>
  <si>
    <t>-- AEB General Configuration Area Register "RESERVED_D1C"</t>
  </si>
  <si>
    <t>type t_aeb_gen_cfg_reserved_d1c_wr_reg is record</t>
  </si>
  <si>
    <t>end record t_aeb_gen_cfg_reserved_d1c_wr_reg;</t>
  </si>
  <si>
    <t>-- AEB General Configuration Area Register "RESERVED_D20"</t>
  </si>
  <si>
    <t>type t_aeb_gen_cfg_reserved_d20_wr_reg is record</t>
  </si>
  <si>
    <t>end record t_aeb_gen_cfg_reserved_d20_wr_reg;</t>
  </si>
  <si>
    <t>-- AEB General Configuration Area Register "RESERVED_D24"</t>
  </si>
  <si>
    <t>type t_aeb_gen_cfg_reserved_d24_wr_reg is record</t>
  </si>
  <si>
    <t>end record t_aeb_gen_cfg_reserved_d24_wr_reg;</t>
  </si>
  <si>
    <t>-- AEB General Configuration Area Register "RESERVED_D28"</t>
  </si>
  <si>
    <t>type t_aeb_gen_cfg_reserved_d28_wr_reg is record</t>
  </si>
  <si>
    <t>end record t_aeb_gen_cfg_reserved_d28_wr_reg;</t>
  </si>
  <si>
    <t>-- AEB General Configuration Area Register "RESERVED_D2C"</t>
  </si>
  <si>
    <t>type t_aeb_gen_cfg_reserved_d2c_wr_reg is record</t>
  </si>
  <si>
    <t>end record t_aeb_gen_cfg_reserved_d2c_wr_reg;</t>
  </si>
  <si>
    <t>-- AEB General Configuration Area Register "RESERVED_D30"</t>
  </si>
  <si>
    <t>type t_aeb_gen_cfg_reserved_d30_wr_reg is record</t>
  </si>
  <si>
    <t>end record t_aeb_gen_cfg_reserved_d30_wr_reg;</t>
  </si>
  <si>
    <t>-- AEB General Configuration Area Register "RESERVED_D34"</t>
  </si>
  <si>
    <t>type t_aeb_gen_cfg_reserved_d34_wr_reg is record</t>
  </si>
  <si>
    <t>end record t_aeb_gen_cfg_reserved_d34_wr_reg;</t>
  </si>
  <si>
    <t>-- AEB General Configuration Area Register "RESERVED_D38"</t>
  </si>
  <si>
    <t>type t_aeb_gen_cfg_reserved_d38_wr_reg is record</t>
  </si>
  <si>
    <t>end record t_aeb_gen_cfg_reserved_d38_wr_reg;</t>
  </si>
  <si>
    <t>-- AEB General Configuration Area Register "RESERVED_D3C"</t>
  </si>
  <si>
    <t>type t_aeb_gen_cfg_reserved_d3c_wr_reg is record</t>
  </si>
  <si>
    <t>end record t_aeb_gen_cfg_reserved_d3c_wr_reg;</t>
  </si>
  <si>
    <t>-- AEB General Configuration Area Register "RESERVED_D40"</t>
  </si>
  <si>
    <t>type t_aeb_gen_cfg_reserved_d40_wr_reg is record</t>
  </si>
  <si>
    <t>end record t_aeb_gen_cfg_reserved_d40_wr_reg;</t>
  </si>
  <si>
    <t>-- AEB General Configuration Area Register "RESERVED_D44"</t>
  </si>
  <si>
    <t>type t_aeb_gen_cfg_reserved_d44_wr_reg is record</t>
  </si>
  <si>
    <t>end record t_aeb_gen_cfg_reserved_d44_wr_reg;</t>
  </si>
  <si>
    <t>-- AEB General Configuration Area Register "RESERVED_D48"</t>
  </si>
  <si>
    <t>type t_aeb_gen_cfg_reserved_d48_wr_reg is record</t>
  </si>
  <si>
    <t>end record t_aeb_gen_cfg_reserved_d48_wr_reg;</t>
  </si>
  <si>
    <t>-- AEB General Configuration Area Register "RESERVED_D4C"</t>
  </si>
  <si>
    <t>type t_aeb_gen_cfg_reserved_d4c_wr_reg is record</t>
  </si>
  <si>
    <t>end record t_aeb_gen_cfg_reserved_d4c_wr_reg;</t>
  </si>
  <si>
    <t>-- AEB General Configuration Area Register "RESERVED_D50"</t>
  </si>
  <si>
    <t>type t_aeb_gen_cfg_reserved_d50_wr_reg is record</t>
  </si>
  <si>
    <t>end record t_aeb_gen_cfg_reserved_d50_wr_reg;</t>
  </si>
  <si>
    <t>-- AEB General Configuration Area Register "RESERVED_D54"</t>
  </si>
  <si>
    <t>type t_aeb_gen_cfg_reserved_d54_wr_reg is record</t>
  </si>
  <si>
    <t>end record t_aeb_gen_cfg_reserved_d54_wr_reg;</t>
  </si>
  <si>
    <t>-- AEB General Configuration Area Register "RESERVED_D58"</t>
  </si>
  <si>
    <t>type t_aeb_gen_cfg_reserved_d58_wr_reg is record</t>
  </si>
  <si>
    <t>end record t_aeb_gen_cfg_reserved_d58_wr_reg;</t>
  </si>
  <si>
    <t>-- AEB General Configuration Area Register "RESERVED_D5C"</t>
  </si>
  <si>
    <t>type t_aeb_gen_cfg_reserved_d5c_wr_reg is record</t>
  </si>
  <si>
    <t>end record t_aeb_gen_cfg_reserved_d5c_wr_reg;</t>
  </si>
  <si>
    <t>-- AEB General Configuration Area Register "RESERVED_D60"</t>
  </si>
  <si>
    <t>type t_aeb_gen_cfg_reserved_d60_wr_reg is record</t>
  </si>
  <si>
    <t>end record t_aeb_gen_cfg_reserved_d60_wr_reg;</t>
  </si>
  <si>
    <t>-- AEB General Configuration Area Register "RESERVED_D64"</t>
  </si>
  <si>
    <t>type t_aeb_gen_cfg_reserved_d64_wr_reg is record</t>
  </si>
  <si>
    <t>end record t_aeb_gen_cfg_reserved_d64_wr_reg;</t>
  </si>
  <si>
    <t>-- AEB General Configuration Area Register "RESERVED_D68"</t>
  </si>
  <si>
    <t>type t_aeb_gen_cfg_reserved_d68_wr_reg is record</t>
  </si>
  <si>
    <t>end record t_aeb_gen_cfg_reserved_d68_wr_reg;</t>
  </si>
  <si>
    <t>-- AEB General Configuration Area Register "RESERVED_D6C"</t>
  </si>
  <si>
    <t>type t_aeb_gen_cfg_reserved_d6c_wr_reg is record</t>
  </si>
  <si>
    <t>end record t_aeb_gen_cfg_reserved_d6c_wr_reg;</t>
  </si>
  <si>
    <t>-- AEB General Configuration Area Register "RESERVED_D70"</t>
  </si>
  <si>
    <t>type t_aeb_gen_cfg_reserved_d70_wr_reg is record</t>
  </si>
  <si>
    <t>end record t_aeb_gen_cfg_reserved_d70_wr_reg;</t>
  </si>
  <si>
    <t>-- AEB General Configuration Area Register "RESERVED_D74"</t>
  </si>
  <si>
    <t>type t_aeb_gen_cfg_reserved_d74_wr_reg is record</t>
  </si>
  <si>
    <t>end record t_aeb_gen_cfg_reserved_d74_wr_reg;</t>
  </si>
  <si>
    <t>-- AEB General Configuration Area Register "RESERVED_D78"</t>
  </si>
  <si>
    <t>type t_aeb_gen_cfg_reserved_d78_wr_reg is record</t>
  </si>
  <si>
    <t>end record t_aeb_gen_cfg_reserved_d78_wr_reg;</t>
  </si>
  <si>
    <t>-- AEB General Configuration Area Register "RESERVED_D7C"</t>
  </si>
  <si>
    <t>type t_aeb_gen_cfg_reserved_d7c_wr_reg is record</t>
  </si>
  <si>
    <t>end record t_aeb_gen_cfg_reserved_d7c_wr_reg;</t>
  </si>
  <si>
    <t>-- AEB General Configuration Area Register "RESERVED_D80"</t>
  </si>
  <si>
    <t>type t_aeb_gen_cfg_reserved_d80_wr_reg is record</t>
  </si>
  <si>
    <t>end record t_aeb_gen_cfg_reserved_d80_wr_reg;</t>
  </si>
  <si>
    <t>-- AEB General Configuration Area Register "RESERVED_D84"</t>
  </si>
  <si>
    <t>type t_aeb_gen_cfg_reserved_d84_wr_reg is record</t>
  </si>
  <si>
    <t>end record t_aeb_gen_cfg_reserved_d84_wr_reg;</t>
  </si>
  <si>
    <t>-- AEB General Configuration Area Register "RESERVED_D88"</t>
  </si>
  <si>
    <t>type t_aeb_gen_cfg_reserved_d88_wr_reg is record</t>
  </si>
  <si>
    <t>end record t_aeb_gen_cfg_reserved_d88_wr_reg;</t>
  </si>
  <si>
    <t>-- AEB General Configuration Area Register "RESERVED_D8C"</t>
  </si>
  <si>
    <t>type t_aeb_gen_cfg_reserved_d8c_wr_reg is record</t>
  </si>
  <si>
    <t>end record t_aeb_gen_cfg_reserved_d8c_wr_reg;</t>
  </si>
  <si>
    <t>-- AEB General Configuration Area Register "RESERVED_D90"</t>
  </si>
  <si>
    <t>type t_aeb_gen_cfg_reserved_d90_wr_reg is record</t>
  </si>
  <si>
    <t>end record t_aeb_gen_cfg_reserved_d90_wr_reg;</t>
  </si>
  <si>
    <t>-- AEB General Configuration Area Register "RESERVED_D94"</t>
  </si>
  <si>
    <t>type t_aeb_gen_cfg_reserved_d94_wr_reg is record</t>
  </si>
  <si>
    <t>end record t_aeb_gen_cfg_reserved_d94_wr_reg;</t>
  </si>
  <si>
    <t>-- AEB General Configuration Area Register "RESERVED_D98"</t>
  </si>
  <si>
    <t>type t_aeb_gen_cfg_reserved_d98_wr_reg is record</t>
  </si>
  <si>
    <t>end record t_aeb_gen_cfg_reserved_d98_wr_reg;</t>
  </si>
  <si>
    <t>-- AEB General Configuration Area Register "RESERVED_D9C"</t>
  </si>
  <si>
    <t>type t_aeb_gen_cfg_reserved_d9c_wr_reg is record</t>
  </si>
  <si>
    <t>end record t_aeb_gen_cfg_reserved_d9c_wr_reg;</t>
  </si>
  <si>
    <t>-- AEB General Configuration Area Register "RESERVED_DA0"</t>
  </si>
  <si>
    <t>type t_aeb_gen_cfg_reserved_da0_wr_reg is record</t>
  </si>
  <si>
    <t>end record t_aeb_gen_cfg_reserved_da0_wr_reg;</t>
  </si>
  <si>
    <t>-- AEB General Configuration Area Register "RESERVED_DA4"</t>
  </si>
  <si>
    <t>type t_aeb_gen_cfg_reserved_da4_wr_reg is record</t>
  </si>
  <si>
    <t>end record t_aeb_gen_cfg_reserved_da4_wr_reg;</t>
  </si>
  <si>
    <t>-- AEB General Configuration Area Register "RESERVED_DA8"</t>
  </si>
  <si>
    <t>type t_aeb_gen_cfg_reserved_da8_wr_reg is record</t>
  </si>
  <si>
    <t>end record t_aeb_gen_cfg_reserved_da8_wr_reg;</t>
  </si>
  <si>
    <t>-- AEB General Configuration Area Register "RESERVED_DAC"</t>
  </si>
  <si>
    <t>type t_aeb_gen_cfg_reserved_dac_wr_reg is record</t>
  </si>
  <si>
    <t>end record t_aeb_gen_cfg_reserved_dac_wr_reg;</t>
  </si>
  <si>
    <t>-- AEB General Configuration Area Register "RESERVED_DB0"</t>
  </si>
  <si>
    <t>type t_aeb_gen_cfg_reserved_db0_wr_reg is record</t>
  </si>
  <si>
    <t>end record t_aeb_gen_cfg_reserved_db0_wr_reg;</t>
  </si>
  <si>
    <t>-- AEB General Configuration Area Register "RESERVED_DB4"</t>
  </si>
  <si>
    <t>type t_aeb_gen_cfg_reserved_db4_wr_reg is record</t>
  </si>
  <si>
    <t>end record t_aeb_gen_cfg_reserved_db4_wr_reg;</t>
  </si>
  <si>
    <t>-- AEB General Configuration Area Register "RESERVED_DB8"</t>
  </si>
  <si>
    <t>type t_aeb_gen_cfg_reserved_db8_wr_reg is record</t>
  </si>
  <si>
    <t>end record t_aeb_gen_cfg_reserved_db8_wr_reg;</t>
  </si>
  <si>
    <t>-- AEB General Configuration Area Register "RESERVED_DBC"</t>
  </si>
  <si>
    <t>type t_aeb_gen_cfg_reserved_dbc_wr_reg is record</t>
  </si>
  <si>
    <t>end record t_aeb_gen_cfg_reserved_dbc_wr_reg;</t>
  </si>
  <si>
    <t>-- AEB General Configuration Area Register "RESERVED_DC0"</t>
  </si>
  <si>
    <t>type t_aeb_gen_cfg_reserved_dc0_wr_reg is record</t>
  </si>
  <si>
    <t>end record t_aeb_gen_cfg_reserved_dc0_wr_reg;</t>
  </si>
  <si>
    <t>-- AEB General Configuration Area Register "RESERVED_DC4"</t>
  </si>
  <si>
    <t>type t_aeb_gen_cfg_reserved_dc4_wr_reg is record</t>
  </si>
  <si>
    <t>end record t_aeb_gen_cfg_reserved_dc4_wr_reg;</t>
  </si>
  <si>
    <t>-- AEB General Configuration Area Register "RESERVED_DC8"</t>
  </si>
  <si>
    <t>type t_aeb_gen_cfg_reserved_dc8_wr_reg is record</t>
  </si>
  <si>
    <t>end record t_aeb_gen_cfg_reserved_dc8_wr_reg;</t>
  </si>
  <si>
    <t>-- AEB General Configuration Area Register "RESERVED_DCC"</t>
  </si>
  <si>
    <t>type t_aeb_gen_cfg_reserved_dcc_wr_reg is record</t>
  </si>
  <si>
    <t>end record t_aeb_gen_cfg_reserved_dcc_wr_reg;</t>
  </si>
  <si>
    <t>-- AEB General Configuration Area Register "RESERVED_DD0"</t>
  </si>
  <si>
    <t>type t_aeb_gen_cfg_reserved_dd0_wr_reg is record</t>
  </si>
  <si>
    <t>end record t_aeb_gen_cfg_reserved_dd0_wr_reg;</t>
  </si>
  <si>
    <t>-- AEB General Configuration Area Register "RESERVED_DD4"</t>
  </si>
  <si>
    <t>type t_aeb_gen_cfg_reserved_dd4_wr_reg is record</t>
  </si>
  <si>
    <t>end record t_aeb_gen_cfg_reserved_dd4_wr_reg;</t>
  </si>
  <si>
    <t>-- AEB General Configuration Area Register "RESERVED_DD8"</t>
  </si>
  <si>
    <t>type t_aeb_gen_cfg_reserved_dd8_wr_reg is record</t>
  </si>
  <si>
    <t>end record t_aeb_gen_cfg_reserved_dd8_wr_reg;</t>
  </si>
  <si>
    <t>-- AEB General Configuration Area Register "RESERVED_DDC"</t>
  </si>
  <si>
    <t>type t_aeb_gen_cfg_reserved_ddc_wr_reg is record</t>
  </si>
  <si>
    <t>end record t_aeb_gen_cfg_reserved_ddc_wr_reg;</t>
  </si>
  <si>
    <t>-- AEB General Configuration Area Register "RESERVED_DE0"</t>
  </si>
  <si>
    <t>type t_aeb_gen_cfg_reserved_de0_wr_reg is record</t>
  </si>
  <si>
    <t>end record t_aeb_gen_cfg_reserved_de0_wr_reg;</t>
  </si>
  <si>
    <t>-- AEB General Configuration Area Register "RESERVED_DE4"</t>
  </si>
  <si>
    <t>type t_aeb_gen_cfg_reserved_de4_wr_reg is record</t>
  </si>
  <si>
    <t>end record t_aeb_gen_cfg_reserved_de4_wr_reg;</t>
  </si>
  <si>
    <t>-- AEB General Configuration Area Register "RESERVED_DE8"</t>
  </si>
  <si>
    <t>type t_aeb_gen_cfg_reserved_de8_wr_reg is record</t>
  </si>
  <si>
    <t>end record t_aeb_gen_cfg_reserved_de8_wr_reg;</t>
  </si>
  <si>
    <t>-- AEB General Configuration Area Register "RESERVED_DEC"</t>
  </si>
  <si>
    <t>type t_aeb_gen_cfg_reserved_dec_wr_reg is record</t>
  </si>
  <si>
    <t>end record t_aeb_gen_cfg_reserved_dec_wr_reg;</t>
  </si>
  <si>
    <t>-- AEB General Configuration Area Register "RESERVED_DF0"</t>
  </si>
  <si>
    <t>type t_aeb_gen_cfg_reserved_df0_wr_reg is record</t>
  </si>
  <si>
    <t>end record t_aeb_gen_cfg_reserved_df0_wr_reg;</t>
  </si>
  <si>
    <t>-- AEB General Configuration Area Register "RESERVED_DF4"</t>
  </si>
  <si>
    <t>type t_aeb_gen_cfg_reserved_df4_wr_reg is record</t>
  </si>
  <si>
    <t>end record t_aeb_gen_cfg_reserved_df4_wr_reg;</t>
  </si>
  <si>
    <t>-- AEB General Configuration Area Register "RESERVED_DF8"</t>
  </si>
  <si>
    <t>type t_aeb_gen_cfg_reserved_df8_wr_reg is record</t>
  </si>
  <si>
    <t>end record t_aeb_gen_cfg_reserved_df8_wr_reg;</t>
  </si>
  <si>
    <t>-- AEB General Configuration Area Register "RESERVED_DFC"</t>
  </si>
  <si>
    <t>type t_aeb_gen_cfg_reserved_dfc_wr_reg is record</t>
  </si>
  <si>
    <t>end record t_aeb_gen_cfg_reserved_dfc_wr_reg;</t>
  </si>
  <si>
    <t>-- AEB General Configuration Area Register "RESERVED_E00"</t>
  </si>
  <si>
    <t>type t_aeb_gen_cfg_reserved_e00_wr_reg is record</t>
  </si>
  <si>
    <t>end record t_aeb_gen_cfg_reserved_e00_wr_reg;</t>
  </si>
  <si>
    <t>-- AEB General Configuration Area Register "RESERVED_E04"</t>
  </si>
  <si>
    <t>type t_aeb_gen_cfg_reserved_e04_wr_reg is record</t>
  </si>
  <si>
    <t>end record t_aeb_gen_cfg_reserved_e04_wr_reg;</t>
  </si>
  <si>
    <t>-- AEB General Configuration Area Register "RESERVED_E08"</t>
  </si>
  <si>
    <t>type t_aeb_gen_cfg_reserved_e08_wr_reg is record</t>
  </si>
  <si>
    <t>end record t_aeb_gen_cfg_reserved_e08_wr_reg;</t>
  </si>
  <si>
    <t>-- AEB General Configuration Area Register "RESERVED_E0C"</t>
  </si>
  <si>
    <t>type t_aeb_gen_cfg_reserved_e0c_wr_reg is record</t>
  </si>
  <si>
    <t>end record t_aeb_gen_cfg_reserved_e0c_wr_reg;</t>
  </si>
  <si>
    <t>-- AEB General Configuration Area Register "RESERVED_E10"</t>
  </si>
  <si>
    <t>type t_aeb_gen_cfg_reserved_e10_wr_reg is record</t>
  </si>
  <si>
    <t>end record t_aeb_gen_cfg_reserved_e10_wr_reg;</t>
  </si>
  <si>
    <t>-- AEB General Configuration Area Register "RESERVED_E14"</t>
  </si>
  <si>
    <t>type t_aeb_gen_cfg_reserved_e14_wr_reg is record</t>
  </si>
  <si>
    <t>end record t_aeb_gen_cfg_reserved_e14_wr_reg;</t>
  </si>
  <si>
    <t>-- AEB General Configuration Area Register "RESERVED_E18"</t>
  </si>
  <si>
    <t>type t_aeb_gen_cfg_reserved_e18_wr_reg is record</t>
  </si>
  <si>
    <t>end record t_aeb_gen_cfg_reserved_e18_wr_reg;</t>
  </si>
  <si>
    <t>-- AEB General Configuration Area Register "RESERVED_E1C"</t>
  </si>
  <si>
    <t>type t_aeb_gen_cfg_reserved_e1c_wr_reg is record</t>
  </si>
  <si>
    <t>end record t_aeb_gen_cfg_reserved_e1c_wr_reg;</t>
  </si>
  <si>
    <t>-- AEB General Configuration Area Register "RESERVED_E20"</t>
  </si>
  <si>
    <t>type t_aeb_gen_cfg_reserved_e20_wr_reg is record</t>
  </si>
  <si>
    <t>end record t_aeb_gen_cfg_reserved_e20_wr_reg;</t>
  </si>
  <si>
    <t>-- AEB General Configuration Area Register "RESERVED_E24"</t>
  </si>
  <si>
    <t>type t_aeb_gen_cfg_reserved_e24_wr_reg is record</t>
  </si>
  <si>
    <t>end record t_aeb_gen_cfg_reserved_e24_wr_reg;</t>
  </si>
  <si>
    <t>-- AEB General Configuration Area Register "RESERVED_E28"</t>
  </si>
  <si>
    <t>type t_aeb_gen_cfg_reserved_e28_wr_reg is record</t>
  </si>
  <si>
    <t>end record t_aeb_gen_cfg_reserved_e28_wr_reg;</t>
  </si>
  <si>
    <t>-- AEB General Configuration Area Register "RESERVED_E2C"</t>
  </si>
  <si>
    <t>type t_aeb_gen_cfg_reserved_e2c_wr_reg is record</t>
  </si>
  <si>
    <t>end record t_aeb_gen_cfg_reserved_e2c_wr_reg;</t>
  </si>
  <si>
    <t>-- AEB General Configuration Area Register "RESERVED_E30"</t>
  </si>
  <si>
    <t>type t_aeb_gen_cfg_reserved_e30_wr_reg is record</t>
  </si>
  <si>
    <t>end record t_aeb_gen_cfg_reserved_e30_wr_reg;</t>
  </si>
  <si>
    <t>-- AEB General Configuration Area Register "RESERVED_E34"</t>
  </si>
  <si>
    <t>type t_aeb_gen_cfg_reserved_e34_wr_reg is record</t>
  </si>
  <si>
    <t>end record t_aeb_gen_cfg_reserved_e34_wr_reg;</t>
  </si>
  <si>
    <t>-- AEB General Configuration Area Register "RESERVED_E38"</t>
  </si>
  <si>
    <t>type t_aeb_gen_cfg_reserved_e38_wr_reg is record</t>
  </si>
  <si>
    <t>end record t_aeb_gen_cfg_reserved_e38_wr_reg;</t>
  </si>
  <si>
    <t>-- AEB General Configuration Area Register "RESERVED_E3C"</t>
  </si>
  <si>
    <t>type t_aeb_gen_cfg_reserved_e3c_wr_reg is record</t>
  </si>
  <si>
    <t>end record t_aeb_gen_cfg_reserved_e3c_wr_reg;</t>
  </si>
  <si>
    <t>-- AEB General Configuration Area Register "RESERVED_E40"</t>
  </si>
  <si>
    <t>type t_aeb_gen_cfg_reserved_e40_wr_reg is record</t>
  </si>
  <si>
    <t>end record t_aeb_gen_cfg_reserved_e40_wr_reg;</t>
  </si>
  <si>
    <t>-- AEB General Configuration Area Register "RESERVED_E44"</t>
  </si>
  <si>
    <t>type t_aeb_gen_cfg_reserved_e44_wr_reg is record</t>
  </si>
  <si>
    <t>end record t_aeb_gen_cfg_reserved_e44_wr_reg;</t>
  </si>
  <si>
    <t>-- AEB General Configuration Area Register "RESERVED_E48"</t>
  </si>
  <si>
    <t>type t_aeb_gen_cfg_reserved_e48_wr_reg is record</t>
  </si>
  <si>
    <t>end record t_aeb_gen_cfg_reserved_e48_wr_reg;</t>
  </si>
  <si>
    <t>-- AEB General Configuration Area Register "RESERVED_E4C"</t>
  </si>
  <si>
    <t>type t_aeb_gen_cfg_reserved_e4c_wr_reg is record</t>
  </si>
  <si>
    <t>end record t_aeb_gen_cfg_reserved_e4c_wr_reg;</t>
  </si>
  <si>
    <t>-- AEB General Configuration Area Register "RESERVED_E50"</t>
  </si>
  <si>
    <t>type t_aeb_gen_cfg_reserved_e50_wr_reg is record</t>
  </si>
  <si>
    <t>end record t_aeb_gen_cfg_reserved_e50_wr_reg;</t>
  </si>
  <si>
    <t>-- AEB General Configuration Area Register "RESERVED_E54"</t>
  </si>
  <si>
    <t>type t_aeb_gen_cfg_reserved_e54_wr_reg is record</t>
  </si>
  <si>
    <t>end record t_aeb_gen_cfg_reserved_e54_wr_reg;</t>
  </si>
  <si>
    <t>-- AEB General Configuration Area Register "RESERVED_E58"</t>
  </si>
  <si>
    <t>type t_aeb_gen_cfg_reserved_e58_wr_reg is record</t>
  </si>
  <si>
    <t>end record t_aeb_gen_cfg_reserved_e58_wr_reg;</t>
  </si>
  <si>
    <t>-- AEB General Configuration Area Register "RESERVED_E5C"</t>
  </si>
  <si>
    <t>type t_aeb_gen_cfg_reserved_e5c_wr_reg is record</t>
  </si>
  <si>
    <t>end record t_aeb_gen_cfg_reserved_e5c_wr_reg;</t>
  </si>
  <si>
    <t>-- AEB General Configuration Area Register "RESERVED_E60"</t>
  </si>
  <si>
    <t>type t_aeb_gen_cfg_reserved_e60_wr_reg is record</t>
  </si>
  <si>
    <t>end record t_aeb_gen_cfg_reserved_e60_wr_reg;</t>
  </si>
  <si>
    <t>-- AEB General Configuration Area Register "RESERVED_E64"</t>
  </si>
  <si>
    <t>type t_aeb_gen_cfg_reserved_e64_wr_reg is record</t>
  </si>
  <si>
    <t>end record t_aeb_gen_cfg_reserved_e64_wr_reg;</t>
  </si>
  <si>
    <t>-- AEB General Configuration Area Register "RESERVED_E68"</t>
  </si>
  <si>
    <t>type t_aeb_gen_cfg_reserved_e68_wr_reg is record</t>
  </si>
  <si>
    <t>end record t_aeb_gen_cfg_reserved_e68_wr_reg;</t>
  </si>
  <si>
    <t>-- AEB General Configuration Area Register "RESERVED_E6C"</t>
  </si>
  <si>
    <t>type t_aeb_gen_cfg_reserved_e6c_wr_reg is record</t>
  </si>
  <si>
    <t>end record t_aeb_gen_cfg_reserved_e6c_wr_reg;</t>
  </si>
  <si>
    <t>-- AEB General Configuration Area Register "RESERVED_E70"</t>
  </si>
  <si>
    <t>type t_aeb_gen_cfg_reserved_e70_wr_reg is record</t>
  </si>
  <si>
    <t>end record t_aeb_gen_cfg_reserved_e70_wr_reg;</t>
  </si>
  <si>
    <t>-- AEB General Configuration Area Register "RESERVED_E74"</t>
  </si>
  <si>
    <t>type t_aeb_gen_cfg_reserved_e74_wr_reg is record</t>
  </si>
  <si>
    <t>end record t_aeb_gen_cfg_reserved_e74_wr_reg;</t>
  </si>
  <si>
    <t>-- AEB General Configuration Area Register "RESERVED_E78"</t>
  </si>
  <si>
    <t>type t_aeb_gen_cfg_reserved_e78_wr_reg is record</t>
  </si>
  <si>
    <t>end record t_aeb_gen_cfg_reserved_e78_wr_reg;</t>
  </si>
  <si>
    <t>-- AEB General Configuration Area Register "RESERVED_E7C"</t>
  </si>
  <si>
    <t>type t_aeb_gen_cfg_reserved_e7c_wr_reg is record</t>
  </si>
  <si>
    <t>end record t_aeb_gen_cfg_reserved_e7c_wr_reg;</t>
  </si>
  <si>
    <t>-- AEB General Configuration Area Register "RESERVED_E80"</t>
  </si>
  <si>
    <t>type t_aeb_gen_cfg_reserved_e80_wr_reg is record</t>
  </si>
  <si>
    <t>end record t_aeb_gen_cfg_reserved_e80_wr_reg;</t>
  </si>
  <si>
    <t>-- AEB General Configuration Area Register "RESERVED_E84"</t>
  </si>
  <si>
    <t>type t_aeb_gen_cfg_reserved_e84_wr_reg is record</t>
  </si>
  <si>
    <t>end record t_aeb_gen_cfg_reserved_e84_wr_reg;</t>
  </si>
  <si>
    <t>-- AEB General Configuration Area Register "RESERVED_E88"</t>
  </si>
  <si>
    <t>type t_aeb_gen_cfg_reserved_e88_wr_reg is record</t>
  </si>
  <si>
    <t>end record t_aeb_gen_cfg_reserved_e88_wr_reg;</t>
  </si>
  <si>
    <t>-- AEB General Configuration Area Register "RESERVED_E8C"</t>
  </si>
  <si>
    <t>type t_aeb_gen_cfg_reserved_e8c_wr_reg is record</t>
  </si>
  <si>
    <t>end record t_aeb_gen_cfg_reserved_e8c_wr_reg;</t>
  </si>
  <si>
    <t>-- AEB General Configuration Area Register "RESERVED_E90"</t>
  </si>
  <si>
    <t>type t_aeb_gen_cfg_reserved_e90_wr_reg is record</t>
  </si>
  <si>
    <t>end record t_aeb_gen_cfg_reserved_e90_wr_reg;</t>
  </si>
  <si>
    <t>-- AEB General Configuration Area Register "RESERVED_E94"</t>
  </si>
  <si>
    <t>type t_aeb_gen_cfg_reserved_e94_wr_reg is record</t>
  </si>
  <si>
    <t>end record t_aeb_gen_cfg_reserved_e94_wr_reg;</t>
  </si>
  <si>
    <t>-- AEB General Configuration Area Register "RESERVED_E98"</t>
  </si>
  <si>
    <t>type t_aeb_gen_cfg_reserved_e98_wr_reg is record</t>
  </si>
  <si>
    <t>end record t_aeb_gen_cfg_reserved_e98_wr_reg;</t>
  </si>
  <si>
    <t>-- AEB General Configuration Area Register "RESERVED_E9C"</t>
  </si>
  <si>
    <t>type t_aeb_gen_cfg_reserved_e9c_wr_reg is record</t>
  </si>
  <si>
    <t>end record t_aeb_gen_cfg_reserved_e9c_wr_reg;</t>
  </si>
  <si>
    <t>-- AEB General Configuration Area Register "RESERVED_EA0"</t>
  </si>
  <si>
    <t>type t_aeb_gen_cfg_reserved_ea0_wr_reg is record</t>
  </si>
  <si>
    <t>end record t_aeb_gen_cfg_reserved_ea0_wr_reg;</t>
  </si>
  <si>
    <t>-- AEB General Configuration Area Register "RESERVED_EA4"</t>
  </si>
  <si>
    <t>type t_aeb_gen_cfg_reserved_ea4_wr_reg is record</t>
  </si>
  <si>
    <t>end record t_aeb_gen_cfg_reserved_ea4_wr_reg;</t>
  </si>
  <si>
    <t>-- AEB General Configuration Area Register "RESERVED_EA8"</t>
  </si>
  <si>
    <t>type t_aeb_gen_cfg_reserved_ea8_wr_reg is record</t>
  </si>
  <si>
    <t>end record t_aeb_gen_cfg_reserved_ea8_wr_reg;</t>
  </si>
  <si>
    <t>-- AEB General Configuration Area Register "RESERVED_EAC"</t>
  </si>
  <si>
    <t>type t_aeb_gen_cfg_reserved_eac_wr_reg is record</t>
  </si>
  <si>
    <t>end record t_aeb_gen_cfg_reserved_eac_wr_reg;</t>
  </si>
  <si>
    <t>-- AEB General Configuration Area Register "RESERVED_EB0"</t>
  </si>
  <si>
    <t>type t_aeb_gen_cfg_reserved_eb0_wr_reg is record</t>
  </si>
  <si>
    <t>end record t_aeb_gen_cfg_reserved_eb0_wr_reg;</t>
  </si>
  <si>
    <t>-- AEB General Configuration Area Register "RESERVED_EB4"</t>
  </si>
  <si>
    <t>type t_aeb_gen_cfg_reserved_eb4_wr_reg is record</t>
  </si>
  <si>
    <t>end record t_aeb_gen_cfg_reserved_eb4_wr_reg;</t>
  </si>
  <si>
    <t>-- AEB General Configuration Area Register "RESERVED_EB8"</t>
  </si>
  <si>
    <t>type t_aeb_gen_cfg_reserved_eb8_wr_reg is record</t>
  </si>
  <si>
    <t>end record t_aeb_gen_cfg_reserved_eb8_wr_reg;</t>
  </si>
  <si>
    <t>-- AEB General Configuration Area Register "RESERVED_EBC"</t>
  </si>
  <si>
    <t>type t_aeb_gen_cfg_reserved_ebc_wr_reg is record</t>
  </si>
  <si>
    <t>end record t_aeb_gen_cfg_reserved_ebc_wr_reg;</t>
  </si>
  <si>
    <t>-- AEB General Configuration Area Register "RESERVED_EC0"</t>
  </si>
  <si>
    <t>type t_aeb_gen_cfg_reserved_ec0_wr_reg is record</t>
  </si>
  <si>
    <t>end record t_aeb_gen_cfg_reserved_ec0_wr_reg;</t>
  </si>
  <si>
    <t>-- AEB General Configuration Area Register "RESERVED_EC4"</t>
  </si>
  <si>
    <t>type t_aeb_gen_cfg_reserved_ec4_wr_reg is record</t>
  </si>
  <si>
    <t>end record t_aeb_gen_cfg_reserved_ec4_wr_reg;</t>
  </si>
  <si>
    <t>-- AEB General Configuration Area Register "RESERVED_EC8"</t>
  </si>
  <si>
    <t>type t_aeb_gen_cfg_reserved_ec8_wr_reg is record</t>
  </si>
  <si>
    <t>end record t_aeb_gen_cfg_reserved_ec8_wr_reg;</t>
  </si>
  <si>
    <t>-- AEB General Configuration Area Register "RESERVED_ECC"</t>
  </si>
  <si>
    <t>type t_aeb_gen_cfg_reserved_ecc_wr_reg is record</t>
  </si>
  <si>
    <t>end record t_aeb_gen_cfg_reserved_ecc_wr_reg;</t>
  </si>
  <si>
    <t>-- AEB General Configuration Area Register "RESERVED_ED0"</t>
  </si>
  <si>
    <t>type t_aeb_gen_cfg_reserved_ed0_wr_reg is record</t>
  </si>
  <si>
    <t>end record t_aeb_gen_cfg_reserved_ed0_wr_reg;</t>
  </si>
  <si>
    <t>-- AEB General Configuration Area Register "RESERVED_ED4"</t>
  </si>
  <si>
    <t>type t_aeb_gen_cfg_reserved_ed4_wr_reg is record</t>
  </si>
  <si>
    <t>end record t_aeb_gen_cfg_reserved_ed4_wr_reg;</t>
  </si>
  <si>
    <t>-- AEB General Configuration Area Register "RESERVED_ED8"</t>
  </si>
  <si>
    <t>type t_aeb_gen_cfg_reserved_ed8_wr_reg is record</t>
  </si>
  <si>
    <t>end record t_aeb_gen_cfg_reserved_ed8_wr_reg;</t>
  </si>
  <si>
    <t>-- AEB General Configuration Area Register "RESERVED_EDC"</t>
  </si>
  <si>
    <t>type t_aeb_gen_cfg_reserved_edc_wr_reg is record</t>
  </si>
  <si>
    <t>end record t_aeb_gen_cfg_reserved_edc_wr_reg;</t>
  </si>
  <si>
    <t>-- AEB General Configuration Area Register "RESERVED_EE0"</t>
  </si>
  <si>
    <t>type t_aeb_gen_cfg_reserved_ee0_wr_reg is record</t>
  </si>
  <si>
    <t>end record t_aeb_gen_cfg_reserved_ee0_wr_reg;</t>
  </si>
  <si>
    <t>-- AEB General Configuration Area Register "RESERVED_EE4"</t>
  </si>
  <si>
    <t>type t_aeb_gen_cfg_reserved_ee4_wr_reg is record</t>
  </si>
  <si>
    <t>end record t_aeb_gen_cfg_reserved_ee4_wr_reg;</t>
  </si>
  <si>
    <t>-- AEB General Configuration Area Register "RESERVED_EE8"</t>
  </si>
  <si>
    <t>type t_aeb_gen_cfg_reserved_ee8_wr_reg is record</t>
  </si>
  <si>
    <t>end record t_aeb_gen_cfg_reserved_ee8_wr_reg;</t>
  </si>
  <si>
    <t>-- AEB General Configuration Area Register "RESERVED_EEC"</t>
  </si>
  <si>
    <t>type t_aeb_gen_cfg_reserved_eec_wr_reg is record</t>
  </si>
  <si>
    <t>end record t_aeb_gen_cfg_reserved_eec_wr_reg;</t>
  </si>
  <si>
    <t>-- AEB General Configuration Area Register "RESERVED_EF0"</t>
  </si>
  <si>
    <t>type t_aeb_gen_cfg_reserved_ef0_wr_reg is record</t>
  </si>
  <si>
    <t>end record t_aeb_gen_cfg_reserved_ef0_wr_reg;</t>
  </si>
  <si>
    <t>-- AEB General Configuration Area Register "RESERVED_EF4"</t>
  </si>
  <si>
    <t>type t_aeb_gen_cfg_reserved_ef4_wr_reg is record</t>
  </si>
  <si>
    <t>end record t_aeb_gen_cfg_reserved_ef4_wr_reg;</t>
  </si>
  <si>
    <t>-- AEB General Configuration Area Register "RESERVED_EF8"</t>
  </si>
  <si>
    <t>type t_aeb_gen_cfg_reserved_ef8_wr_reg is record</t>
  </si>
  <si>
    <t>end record t_aeb_gen_cfg_reserved_ef8_wr_reg;</t>
  </si>
  <si>
    <t>-- AEB General Configuration Area Register "RESERVED_EFC"</t>
  </si>
  <si>
    <t>type t_aeb_gen_cfg_reserved_efc_wr_reg is record</t>
  </si>
  <si>
    <t>end record t_aeb_gen_cfg_reserved_efc_wr_reg;</t>
  </si>
  <si>
    <t>-- AEB General Configuration Area Register "RESERVED_F00"</t>
  </si>
  <si>
    <t>type t_aeb_gen_cfg_reserved_f00_wr_reg is record</t>
  </si>
  <si>
    <t>end record t_aeb_gen_cfg_reserved_f00_wr_reg;</t>
  </si>
  <si>
    <t>-- AEB General Configuration Area Register "RESERVED_F04"</t>
  </si>
  <si>
    <t>type t_aeb_gen_cfg_reserved_f04_wr_reg is record</t>
  </si>
  <si>
    <t>end record t_aeb_gen_cfg_reserved_f04_wr_reg;</t>
  </si>
  <si>
    <t>-- AEB General Configuration Area Register "RESERVED_F08"</t>
  </si>
  <si>
    <t>type t_aeb_gen_cfg_reserved_f08_wr_reg is record</t>
  </si>
  <si>
    <t>end record t_aeb_gen_cfg_reserved_f08_wr_reg;</t>
  </si>
  <si>
    <t>-- AEB General Configuration Area Register "RESERVED_F0C"</t>
  </si>
  <si>
    <t>type t_aeb_gen_cfg_reserved_f0c_wr_reg is record</t>
  </si>
  <si>
    <t>end record t_aeb_gen_cfg_reserved_f0c_wr_reg;</t>
  </si>
  <si>
    <t>-- AEB General Configuration Area Register "RESERVED_F10"</t>
  </si>
  <si>
    <t>type t_aeb_gen_cfg_reserved_f10_wr_reg is record</t>
  </si>
  <si>
    <t>end record t_aeb_gen_cfg_reserved_f10_wr_reg;</t>
  </si>
  <si>
    <t>-- AEB General Configuration Area Register "RESERVED_F14"</t>
  </si>
  <si>
    <t>type t_aeb_gen_cfg_reserved_f14_wr_reg is record</t>
  </si>
  <si>
    <t>end record t_aeb_gen_cfg_reserved_f14_wr_reg;</t>
  </si>
  <si>
    <t>-- AEB General Configuration Area Register "RESERVED_F18"</t>
  </si>
  <si>
    <t>type t_aeb_gen_cfg_reserved_f18_wr_reg is record</t>
  </si>
  <si>
    <t>end record t_aeb_gen_cfg_reserved_f18_wr_reg;</t>
  </si>
  <si>
    <t>-- AEB General Configuration Area Register "RESERVED_F1C"</t>
  </si>
  <si>
    <t>type t_aeb_gen_cfg_reserved_f1c_wr_reg is record</t>
  </si>
  <si>
    <t>end record t_aeb_gen_cfg_reserved_f1c_wr_reg;</t>
  </si>
  <si>
    <t>-- AEB General Configuration Area Register "RESERVED_F20"</t>
  </si>
  <si>
    <t>type t_aeb_gen_cfg_reserved_f20_wr_reg is record</t>
  </si>
  <si>
    <t>end record t_aeb_gen_cfg_reserved_f20_wr_reg;</t>
  </si>
  <si>
    <t>-- AEB General Configuration Area Register "RESERVED_F24"</t>
  </si>
  <si>
    <t>type t_aeb_gen_cfg_reserved_f24_wr_reg is record</t>
  </si>
  <si>
    <t>end record t_aeb_gen_cfg_reserved_f24_wr_reg;</t>
  </si>
  <si>
    <t>-- AEB General Configuration Area Register "RESERVED_F28"</t>
  </si>
  <si>
    <t>type t_aeb_gen_cfg_reserved_f28_wr_reg is record</t>
  </si>
  <si>
    <t>end record t_aeb_gen_cfg_reserved_f28_wr_reg;</t>
  </si>
  <si>
    <t>-- AEB General Configuration Area Register "RESERVED_F2C"</t>
  </si>
  <si>
    <t>type t_aeb_gen_cfg_reserved_f2c_wr_reg is record</t>
  </si>
  <si>
    <t>end record t_aeb_gen_cfg_reserved_f2c_wr_reg;</t>
  </si>
  <si>
    <t>-- AEB General Configuration Area Register "RESERVED_F30"</t>
  </si>
  <si>
    <t>type t_aeb_gen_cfg_reserved_f30_wr_reg is record</t>
  </si>
  <si>
    <t>end record t_aeb_gen_cfg_reserved_f30_wr_reg;</t>
  </si>
  <si>
    <t>-- AEB General Configuration Area Register "RESERVED_F34"</t>
  </si>
  <si>
    <t>type t_aeb_gen_cfg_reserved_f34_wr_reg is record</t>
  </si>
  <si>
    <t>end record t_aeb_gen_cfg_reserved_f34_wr_reg;</t>
  </si>
  <si>
    <t>-- AEB General Configuration Area Register "RESERVED_F38"</t>
  </si>
  <si>
    <t>type t_aeb_gen_cfg_reserved_f38_wr_reg is record</t>
  </si>
  <si>
    <t>end record t_aeb_gen_cfg_reserved_f38_wr_reg;</t>
  </si>
  <si>
    <t>-- AEB General Configuration Area Register "RESERVED_F3C"</t>
  </si>
  <si>
    <t>type t_aeb_gen_cfg_reserved_f3c_wr_reg is record</t>
  </si>
  <si>
    <t>end record t_aeb_gen_cfg_reserved_f3c_wr_reg;</t>
  </si>
  <si>
    <t>-- AEB General Configuration Area Register "RESERVED_F40"</t>
  </si>
  <si>
    <t>type t_aeb_gen_cfg_reserved_f40_wr_reg is record</t>
  </si>
  <si>
    <t>end record t_aeb_gen_cfg_reserved_f40_wr_reg;</t>
  </si>
  <si>
    <t>-- AEB General Configuration Area Register "RESERVED_F44"</t>
  </si>
  <si>
    <t>type t_aeb_gen_cfg_reserved_f44_wr_reg is record</t>
  </si>
  <si>
    <t>end record t_aeb_gen_cfg_reserved_f44_wr_reg;</t>
  </si>
  <si>
    <t>-- AEB General Configuration Area Register "RESERVED_F48"</t>
  </si>
  <si>
    <t>type t_aeb_gen_cfg_reserved_f48_wr_reg is record</t>
  </si>
  <si>
    <t>end record t_aeb_gen_cfg_reserved_f48_wr_reg;</t>
  </si>
  <si>
    <t>-- AEB General Configuration Area Register "RESERVED_F4C"</t>
  </si>
  <si>
    <t>type t_aeb_gen_cfg_reserved_f4c_wr_reg is record</t>
  </si>
  <si>
    <t>end record t_aeb_gen_cfg_reserved_f4c_wr_reg;</t>
  </si>
  <si>
    <t>-- AEB General Configuration Area Register "RESERVED_F50"</t>
  </si>
  <si>
    <t>type t_aeb_gen_cfg_reserved_f50_wr_reg is record</t>
  </si>
  <si>
    <t>end record t_aeb_gen_cfg_reserved_f50_wr_reg;</t>
  </si>
  <si>
    <t>-- AEB General Configuration Area Register "RESERVED_F54"</t>
  </si>
  <si>
    <t>type t_aeb_gen_cfg_reserved_f54_wr_reg is record</t>
  </si>
  <si>
    <t>end record t_aeb_gen_cfg_reserved_f54_wr_reg;</t>
  </si>
  <si>
    <t>-- AEB General Configuration Area Register "RESERVED_F58"</t>
  </si>
  <si>
    <t>type t_aeb_gen_cfg_reserved_f58_wr_reg is record</t>
  </si>
  <si>
    <t>end record t_aeb_gen_cfg_reserved_f58_wr_reg;</t>
  </si>
  <si>
    <t>-- AEB General Configuration Area Register "RESERVED_F5C"</t>
  </si>
  <si>
    <t>type t_aeb_gen_cfg_reserved_f5c_wr_reg is record</t>
  </si>
  <si>
    <t>end record t_aeb_gen_cfg_reserved_f5c_wr_reg;</t>
  </si>
  <si>
    <t>-- AEB General Configuration Area Register "RESERVED_F60"</t>
  </si>
  <si>
    <t>type t_aeb_gen_cfg_reserved_f60_wr_reg is record</t>
  </si>
  <si>
    <t>end record t_aeb_gen_cfg_reserved_f60_wr_reg;</t>
  </si>
  <si>
    <t>-- AEB General Configuration Area Register "RESERVED_F64"</t>
  </si>
  <si>
    <t>type t_aeb_gen_cfg_reserved_f64_wr_reg is record</t>
  </si>
  <si>
    <t>end record t_aeb_gen_cfg_reserved_f64_wr_reg;</t>
  </si>
  <si>
    <t>-- AEB General Configuration Area Register "RESERVED_F68"</t>
  </si>
  <si>
    <t>type t_aeb_gen_cfg_reserved_f68_wr_reg is record</t>
  </si>
  <si>
    <t>end record t_aeb_gen_cfg_reserved_f68_wr_reg;</t>
  </si>
  <si>
    <t>-- AEB General Configuration Area Register "RESERVED_F6C"</t>
  </si>
  <si>
    <t>type t_aeb_gen_cfg_reserved_f6c_wr_reg is record</t>
  </si>
  <si>
    <t>end record t_aeb_gen_cfg_reserved_f6c_wr_reg;</t>
  </si>
  <si>
    <t>-- AEB General Configuration Area Register "RESERVED_F70"</t>
  </si>
  <si>
    <t>type t_aeb_gen_cfg_reserved_f70_wr_reg is record</t>
  </si>
  <si>
    <t>end record t_aeb_gen_cfg_reserved_f70_wr_reg;</t>
  </si>
  <si>
    <t>-- AEB General Configuration Area Register "RESERVED_F74"</t>
  </si>
  <si>
    <t>type t_aeb_gen_cfg_reserved_f74_wr_reg is record</t>
  </si>
  <si>
    <t>end record t_aeb_gen_cfg_reserved_f74_wr_reg;</t>
  </si>
  <si>
    <t>-- AEB General Configuration Area Register "RESERVED_F78"</t>
  </si>
  <si>
    <t>type t_aeb_gen_cfg_reserved_f78_wr_reg is record</t>
  </si>
  <si>
    <t>end record t_aeb_gen_cfg_reserved_f78_wr_reg;</t>
  </si>
  <si>
    <t>-- AEB General Configuration Area Register "RESERVED_F7C"</t>
  </si>
  <si>
    <t>type t_aeb_gen_cfg_reserved_f7c_wr_reg is record</t>
  </si>
  <si>
    <t>end record t_aeb_gen_cfg_reserved_f7c_wr_reg;</t>
  </si>
  <si>
    <t>-- AEB General Configuration Area Register "RESERVED_F80"</t>
  </si>
  <si>
    <t>type t_aeb_gen_cfg_reserved_f80_wr_reg is record</t>
  </si>
  <si>
    <t>end record t_aeb_gen_cfg_reserved_f80_wr_reg;</t>
  </si>
  <si>
    <t>-- AEB General Configuration Area Register "RESERVED_F84"</t>
  </si>
  <si>
    <t>type t_aeb_gen_cfg_reserved_f84_wr_reg is record</t>
  </si>
  <si>
    <t>end record t_aeb_gen_cfg_reserved_f84_wr_reg;</t>
  </si>
  <si>
    <t>-- AEB General Configuration Area Register "RESERVED_F88"</t>
  </si>
  <si>
    <t>type t_aeb_gen_cfg_reserved_f88_wr_reg is record</t>
  </si>
  <si>
    <t>end record t_aeb_gen_cfg_reserved_f88_wr_reg;</t>
  </si>
  <si>
    <t>-- AEB General Configuration Area Register "RESERVED_F8C"</t>
  </si>
  <si>
    <t>type t_aeb_gen_cfg_reserved_f8c_wr_reg is record</t>
  </si>
  <si>
    <t>end record t_aeb_gen_cfg_reserved_f8c_wr_reg;</t>
  </si>
  <si>
    <t>-- AEB General Configuration Area Register "RESERVED_F90"</t>
  </si>
  <si>
    <t>type t_aeb_gen_cfg_reserved_f90_wr_reg is record</t>
  </si>
  <si>
    <t>end record t_aeb_gen_cfg_reserved_f90_wr_reg;</t>
  </si>
  <si>
    <t>-- AEB General Configuration Area Register "RESERVED_F94"</t>
  </si>
  <si>
    <t>type t_aeb_gen_cfg_reserved_f94_wr_reg is record</t>
  </si>
  <si>
    <t>end record t_aeb_gen_cfg_reserved_f94_wr_reg;</t>
  </si>
  <si>
    <t>-- AEB General Configuration Area Register "RESERVED_F98"</t>
  </si>
  <si>
    <t>type t_aeb_gen_cfg_reserved_f98_wr_reg is record</t>
  </si>
  <si>
    <t>end record t_aeb_gen_cfg_reserved_f98_wr_reg;</t>
  </si>
  <si>
    <t>-- AEB General Configuration Area Register "RESERVED_F9C"</t>
  </si>
  <si>
    <t>type t_aeb_gen_cfg_reserved_f9c_wr_reg is record</t>
  </si>
  <si>
    <t>end record t_aeb_gen_cfg_reserved_f9c_wr_reg;</t>
  </si>
  <si>
    <t>-- AEB General Configuration Area Register "RESERVED_FA0"</t>
  </si>
  <si>
    <t>type t_aeb_gen_cfg_reserved_fa0_wr_reg is record</t>
  </si>
  <si>
    <t>end record t_aeb_gen_cfg_reserved_fa0_wr_reg;</t>
  </si>
  <si>
    <t>-- AEB General Configuration Area Register "RESERVED_FA4"</t>
  </si>
  <si>
    <t>type t_aeb_gen_cfg_reserved_fa4_wr_reg is record</t>
  </si>
  <si>
    <t>end record t_aeb_gen_cfg_reserved_fa4_wr_reg;</t>
  </si>
  <si>
    <t>-- AEB General Configuration Area Register "RESERVED_FA8"</t>
  </si>
  <si>
    <t>type t_aeb_gen_cfg_reserved_fa8_wr_reg is record</t>
  </si>
  <si>
    <t>end record t_aeb_gen_cfg_reserved_fa8_wr_reg;</t>
  </si>
  <si>
    <t>-- AEB General Configuration Area Register "RESERVED_FAC"</t>
  </si>
  <si>
    <t>type t_aeb_gen_cfg_reserved_fac_wr_reg is record</t>
  </si>
  <si>
    <t>end record t_aeb_gen_cfg_reserved_fac_wr_reg;</t>
  </si>
  <si>
    <t>-- AEB General Configuration Area Register "RESERVED_FB0"</t>
  </si>
  <si>
    <t>type t_aeb_gen_cfg_reserved_fb0_wr_reg is record</t>
  </si>
  <si>
    <t>end record t_aeb_gen_cfg_reserved_fb0_wr_reg;</t>
  </si>
  <si>
    <t>-- AEB General Configuration Area Register "RESERVED_FB4"</t>
  </si>
  <si>
    <t>type t_aeb_gen_cfg_reserved_fb4_wr_reg is record</t>
  </si>
  <si>
    <t>end record t_aeb_gen_cfg_reserved_fb4_wr_reg;</t>
  </si>
  <si>
    <t>-- AEB General Configuration Area Register "RESERVED_FB8"</t>
  </si>
  <si>
    <t>type t_aeb_gen_cfg_reserved_fb8_wr_reg is record</t>
  </si>
  <si>
    <t>end record t_aeb_gen_cfg_reserved_fb8_wr_reg;</t>
  </si>
  <si>
    <t>-- AEB General Configuration Area Register "RESERVED_FBC"</t>
  </si>
  <si>
    <t>type t_aeb_gen_cfg_reserved_fbc_wr_reg is record</t>
  </si>
  <si>
    <t>end record t_aeb_gen_cfg_reserved_fbc_wr_reg;</t>
  </si>
  <si>
    <t>-- AEB General Configuration Area Register "RESERVED_FC0"</t>
  </si>
  <si>
    <t>type t_aeb_gen_cfg_reserved_fc0_wr_reg is record</t>
  </si>
  <si>
    <t>end record t_aeb_gen_cfg_reserved_fc0_wr_reg;</t>
  </si>
  <si>
    <t>-- AEB General Configuration Area Register "RESERVED_FC4"</t>
  </si>
  <si>
    <t>type t_aeb_gen_cfg_reserved_fc4_wr_reg is record</t>
  </si>
  <si>
    <t>end record t_aeb_gen_cfg_reserved_fc4_wr_reg;</t>
  </si>
  <si>
    <t>-- AEB General Configuration Area Register "RESERVED_FC8"</t>
  </si>
  <si>
    <t>type t_aeb_gen_cfg_reserved_fc8_wr_reg is record</t>
  </si>
  <si>
    <t>end record t_aeb_gen_cfg_reserved_fc8_wr_reg;</t>
  </si>
  <si>
    <t>-- AEB General Configuration Area Register "RESERVED_FCC"</t>
  </si>
  <si>
    <t>type t_aeb_gen_cfg_reserved_fcc_wr_reg is record</t>
  </si>
  <si>
    <t>end record t_aeb_gen_cfg_reserved_fcc_wr_reg;</t>
  </si>
  <si>
    <t>-- AEB General Configuration Area Register "RESERVED_FD0"</t>
  </si>
  <si>
    <t>type t_aeb_gen_cfg_reserved_fd0_wr_reg is record</t>
  </si>
  <si>
    <t>end record t_aeb_gen_cfg_reserved_fd0_wr_reg;</t>
  </si>
  <si>
    <t>-- AEB General Configuration Area Register "RESERVED_FD4"</t>
  </si>
  <si>
    <t>type t_aeb_gen_cfg_reserved_fd4_wr_reg is record</t>
  </si>
  <si>
    <t>end record t_aeb_gen_cfg_reserved_fd4_wr_reg;</t>
  </si>
  <si>
    <t>-- AEB General Configuration Area Register "RESERVED_FD8"</t>
  </si>
  <si>
    <t>type t_aeb_gen_cfg_reserved_fd8_wr_reg is record</t>
  </si>
  <si>
    <t>end record t_aeb_gen_cfg_reserved_fd8_wr_reg;</t>
  </si>
  <si>
    <t>-- AEB General Configuration Area Register "RESERVED_FDC"</t>
  </si>
  <si>
    <t>type t_aeb_gen_cfg_reserved_fdc_wr_reg is record</t>
  </si>
  <si>
    <t>end record t_aeb_gen_cfg_reserved_fdc_wr_reg;</t>
  </si>
  <si>
    <t>-- AEB General Configuration Area Register "RESERVED_FE0"</t>
  </si>
  <si>
    <t>type t_aeb_gen_cfg_reserved_fe0_wr_reg is record</t>
  </si>
  <si>
    <t>end record t_aeb_gen_cfg_reserved_fe0_wr_reg;</t>
  </si>
  <si>
    <t>-- AEB General Configuration Area Register "RESERVED_FE4"</t>
  </si>
  <si>
    <t>type t_aeb_gen_cfg_reserved_fe4_wr_reg is record</t>
  </si>
  <si>
    <t>end record t_aeb_gen_cfg_reserved_fe4_wr_reg;</t>
  </si>
  <si>
    <t>-- AEB General Configuration Area Register "RESERVED_FE8"</t>
  </si>
  <si>
    <t>type t_aeb_gen_cfg_reserved_fe8_wr_reg is record</t>
  </si>
  <si>
    <t>end record t_aeb_gen_cfg_reserved_fe8_wr_reg;</t>
  </si>
  <si>
    <t>-- AEB General Configuration Area Register "RESERVED_FEC"</t>
  </si>
  <si>
    <t>type t_aeb_gen_cfg_reserved_fec_wr_reg is record</t>
  </si>
  <si>
    <t>end record t_aeb_gen_cfg_reserved_fec_wr_reg;</t>
  </si>
  <si>
    <t>-- AEB General Configuration Area Register "RESERVED_FF0"</t>
  </si>
  <si>
    <t>type t_aeb_gen_cfg_reserved_ff0_wr_reg is record</t>
  </si>
  <si>
    <t>end record t_aeb_gen_cfg_reserved_ff0_wr_reg;</t>
  </si>
  <si>
    <t>-- AEB General Configuration Area Register "RESERVED_FF4"</t>
  </si>
  <si>
    <t>type t_aeb_gen_cfg_reserved_ff4_wr_reg is record</t>
  </si>
  <si>
    <t>end record t_aeb_gen_cfg_reserved_ff4_wr_reg;</t>
  </si>
  <si>
    <t>-- AEB General Configuration Area Register "RESERVED_FF8"</t>
  </si>
  <si>
    <t>type t_aeb_gen_cfg_reserved_ff8_wr_reg is record</t>
  </si>
  <si>
    <t>end record t_aeb_gen_cfg_reserved_ff8_wr_reg;</t>
  </si>
  <si>
    <t>-- AEB General Configuration Area Register "RESERVED_FFC"</t>
  </si>
  <si>
    <t>type t_aeb_gen_cfg_reserved_ffc_wr_reg is record</t>
  </si>
  <si>
    <t>end record t_aeb_gen_cfg_reserved_ffc_wr_reg;</t>
  </si>
  <si>
    <t>-- AEB General Configuration Area Register "SEQ_CONFIG_1"</t>
  </si>
  <si>
    <t>type t_aeb_gen_cfg_seq_config_1_wr_reg is record</t>
  </si>
  <si>
    <t xml:space="preserve">  seq_oe_ccd_enable : std_logic; -- "SEQ_OE_CCD_ENABLE" Field</t>
  </si>
  <si>
    <t xml:space="preserve">  seq_oe_spare : std_logic; -- "SEQ_OE_SPARE" Field</t>
  </si>
  <si>
    <t xml:space="preserve">  seq_oe_tstline : std_logic; -- "SEQ_OE_TSTLINE" Field</t>
  </si>
  <si>
    <t xml:space="preserve">  seq_oe_tstfrm : std_logic; -- "SEQ_OE_TSTFRM" Field</t>
  </si>
  <si>
    <t xml:space="preserve">  seq_oe_vaspclamp : std_logic; -- "SEQ_OE_VASPCLAMP" Field</t>
  </si>
  <si>
    <t xml:space="preserve">  seq_oe_preclamp : std_logic; -- "SEQ_OE_PRECLAMP" Field</t>
  </si>
  <si>
    <t xml:space="preserve">  seq_oe_ig : std_logic; -- "SEQ_OE_IG" Field</t>
  </si>
  <si>
    <t xml:space="preserve">  seq_oe_tg : std_logic; -- "SEQ_OE_TG" Field</t>
  </si>
  <si>
    <t xml:space="preserve">  seq_oe_dg : std_logic; -- "SEQ_OE_DG" Field</t>
  </si>
  <si>
    <t xml:space="preserve">  seq_oe_rphir : std_logic; -- "SEQ_OE_RPHIR" Field</t>
  </si>
  <si>
    <t xml:space="preserve">  seq_oe_sw : std_logic; -- "SEQ_OE_SW" Field</t>
  </si>
  <si>
    <t xml:space="preserve">  seq_oe_rphi3 : std_logic; -- "SEQ_OE_RPHI3" Field</t>
  </si>
  <si>
    <t xml:space="preserve">  seq_oe_rphi2 : std_logic; -- "SEQ_OE_RPHI2" Field</t>
  </si>
  <si>
    <t xml:space="preserve">  seq_oe_rphi1 : std_logic; -- "SEQ_OE_RPHI1" Field</t>
  </si>
  <si>
    <t xml:space="preserve">  seq_oe_sphi4 : std_logic; -- "SEQ_OE_SPHI4" Field</t>
  </si>
  <si>
    <t xml:space="preserve">  seq_oe_sphi3 : std_logic; -- "SEQ_OE_SPHI3" Field</t>
  </si>
  <si>
    <t xml:space="preserve">  seq_oe_sphi2 : std_logic; -- "SEQ_OE_SPHI2" Field</t>
  </si>
  <si>
    <t xml:space="preserve">  seq_oe_sphi1 : std_logic; -- "SEQ_OE_SPHI1" Field</t>
  </si>
  <si>
    <t xml:space="preserve">  seq_oe_iphi4 : std_logic; -- "SEQ_OE_IPHI4" Field</t>
  </si>
  <si>
    <t xml:space="preserve">  seq_oe_iphi3 : std_logic; -- "SEQ_OE_IPHI3" Field</t>
  </si>
  <si>
    <t xml:space="preserve">  seq_oe_iphi2 : std_logic; -- "SEQ_OE_IPHI2" Field</t>
  </si>
  <si>
    <t xml:space="preserve">  seq_oe_iphi1 : std_logic; -- "SEQ_OE_IPHI1" Field</t>
  </si>
  <si>
    <t xml:space="preserve">  adc_clk_div : std_logic_vector(6 downto 0); -- "ADC_CLK_DIV" Field</t>
  </si>
  <si>
    <t>end record t_aeb_gen_cfg_seq_config_1_wr_reg;</t>
  </si>
  <si>
    <t>-- AEB General Configuration Area Register "SEQ_CONFIG_10"</t>
  </si>
  <si>
    <t>type t_aeb_gen_cfg_seq_config_10_wr_reg is record</t>
  </si>
  <si>
    <t xml:space="preserve">  lt1_enabled : std_logic; -- "LT1_ENABLED" Field</t>
  </si>
  <si>
    <t xml:space="preserve">  lt1_loop_cnt : std_logic_vector(13 downto 0); -- "LT1_LOOP_CNT" Field</t>
  </si>
  <si>
    <t xml:space="preserve">  lt2_enabled : std_logic; -- "LT2_ENABLED" Field</t>
  </si>
  <si>
    <t xml:space="preserve">  lt2_loop_cnt : std_logic_vector(13 downto 0); -- "LT2_LOOP_CNT" Field</t>
  </si>
  <si>
    <t>end record t_aeb_gen_cfg_seq_config_10_wr_reg;</t>
  </si>
  <si>
    <t>-- AEB General Configuration Area Register "SEQ_CONFIG_11"</t>
  </si>
  <si>
    <t>type t_aeb_gen_cfg_seq_config_11_wr_reg is record</t>
  </si>
  <si>
    <t xml:space="preserve">  lt3_enabled : std_logic; -- "LT3_ENABLED" Field</t>
  </si>
  <si>
    <t xml:space="preserve">  reserved : std_logic; -- "RESERVED" Field</t>
  </si>
  <si>
    <t xml:space="preserve">  lt3_loop_cnt : std_logic_vector(13 downto 0); -- "LT3_LOOP_CNT" Field</t>
  </si>
  <si>
    <t xml:space="preserve">  pix_loop_cnt_word_1 : std_logic_vector(15 downto 0); -- "PIX_LOOP_CNT_WORD_1" Field</t>
  </si>
  <si>
    <t>end record t_aeb_gen_cfg_seq_config_11_wr_reg;</t>
  </si>
  <si>
    <t>-- AEB General Configuration Area Register "SEQ_CONFIG_12"</t>
  </si>
  <si>
    <t>type t_aeb_gen_cfg_seq_config_12_wr_reg is record</t>
  </si>
  <si>
    <t xml:space="preserve">  pix_loop_cnt_word_0 : std_logic_vector(15 downto 0); -- "PIX_LOOP_CNT_WORD_0" Field</t>
  </si>
  <si>
    <t xml:space="preserve">  pc_enabled : std_logic; -- "PC_ENABLED" Field</t>
  </si>
  <si>
    <t xml:space="preserve">  pc_loop_cnt : std_logic_vector(13 downto 0); -- "PC_LOOP_CNT" Field</t>
  </si>
  <si>
    <t>end record t_aeb_gen_cfg_seq_config_12_wr_reg;</t>
  </si>
  <si>
    <t>-- AEB General Configuration Area Register "SEQ_CONFIG_13"</t>
  </si>
  <si>
    <t>type t_aeb_gen_cfg_seq_config_13_wr_reg is record</t>
  </si>
  <si>
    <t xml:space="preserve">  int1_loop_cnt : std_logic_vector(13 downto 0); -- "INT1_LOOP_CNT" Field</t>
  </si>
  <si>
    <t xml:space="preserve">  reserved_1 : std_logic_vector(1 downto 0); -- "RESERVED_1" Field</t>
  </si>
  <si>
    <t xml:space="preserve">  int2_loop_cnt : std_logic_vector(13 downto 0); -- "INT2_LOOP_CNT" Field</t>
  </si>
  <si>
    <t>end record t_aeb_gen_cfg_seq_config_13_wr_reg;</t>
  </si>
  <si>
    <t>-- AEB General Configuration Area Register "SEQ_CONFIG_14"</t>
  </si>
  <si>
    <t>type t_aeb_gen_cfg_seq_config_14_wr_reg is record</t>
  </si>
  <si>
    <t xml:space="preserve">  reserved_0 : std_logic_vector(6 downto 0); -- "RESERVED_0" Field</t>
  </si>
  <si>
    <t xml:space="preserve">  sphi_inv : std_logic; -- "SPHI_INV" Field</t>
  </si>
  <si>
    <t xml:space="preserve">  reserved_1 : std_logic_vector(6 downto 0); -- "RESERVED_1" Field</t>
  </si>
  <si>
    <t xml:space="preserve">  rphi_inv : std_logic; -- "RPHI_INV" Field</t>
  </si>
  <si>
    <t>end record t_aeb_gen_cfg_seq_config_14_wr_reg;</t>
  </si>
  <si>
    <t>-- AEB General Configuration Area Register "SEQ_CONFIG_2"</t>
  </si>
  <si>
    <t>type t_aeb_gen_cfg_seq_config_2_wr_reg is record</t>
  </si>
  <si>
    <t xml:space="preserve">  adc_clk_low_pos : std_logic_vector(7 downto 0); -- "ADC_CLK_LOW_POS" Field</t>
  </si>
  <si>
    <t xml:space="preserve">  adc_clk_high_pos : std_logic_vector(7 downto 0); -- "ADC_CLK_HIGH_POS" Field</t>
  </si>
  <si>
    <t xml:space="preserve">  cds_clk_low_pos : std_logic_vector(7 downto 0); -- "CDS_CLK_LOW_POS" Field</t>
  </si>
  <si>
    <t xml:space="preserve">  cds_clk_high_pos : std_logic_vector(7 downto 0); -- "CDS_CLK_HIGH_POS" Field</t>
  </si>
  <si>
    <t>end record t_aeb_gen_cfg_seq_config_2_wr_reg;</t>
  </si>
  <si>
    <t>-- AEB General Configuration Area Register "SEQ_CONFIG_3"</t>
  </si>
  <si>
    <t>type t_aeb_gen_cfg_seq_config_3_wr_reg is record</t>
  </si>
  <si>
    <t xml:space="preserve">  rphir_clk_low_pos : std_logic_vector(7 downto 0); -- "RPHIR_CLK_LOW_POS" Field</t>
  </si>
  <si>
    <t xml:space="preserve">  rphir_clk_high_pos : std_logic_vector(7 downto 0); -- "RPHIR_CLK_HIGH_POS" Field</t>
  </si>
  <si>
    <t xml:space="preserve">  rphi1_clk_low_pos : std_logic_vector(7 downto 0); -- "RPHI1_CLK_LOW_POS" Field</t>
  </si>
  <si>
    <t xml:space="preserve">  rphi1_clk_high_pos : std_logic_vector(7 downto 0); -- "RPHI1_CLK_HIGH_POS" Field</t>
  </si>
  <si>
    <t>end record t_aeb_gen_cfg_seq_config_3_wr_reg;</t>
  </si>
  <si>
    <t>-- AEB General Configuration Area Register "SEQ_CONFIG_4"</t>
  </si>
  <si>
    <t>type t_aeb_gen_cfg_seq_config_4_wr_reg is record</t>
  </si>
  <si>
    <t xml:space="preserve">  rphi2_clk_low_pos : std_logic_vector(7 downto 0); -- "RPHI2_CLK_LOW_POS" Field</t>
  </si>
  <si>
    <t xml:space="preserve">  rphi2_clk_high_pos : std_logic_vector(7 downto 0); -- "RPHI2_CLK_HIGH_POS" Field</t>
  </si>
  <si>
    <t xml:space="preserve">  rphi3_clk_low_pos : std_logic_vector(7 downto 0); -- "RPHI3_CLK_LOW_POS" Field</t>
  </si>
  <si>
    <t xml:space="preserve">  rphi3_clk_high_pos : std_logic_vector(7 downto 0); -- "RPHI3_CLK_HIGH_POS" Field</t>
  </si>
  <si>
    <t>end record t_aeb_gen_cfg_seq_config_4_wr_reg;</t>
  </si>
  <si>
    <t>-- AEB General Configuration Area Register "SEQ_CONFIG_5"</t>
  </si>
  <si>
    <t>type t_aeb_gen_cfg_seq_config_5_wr_reg is record</t>
  </si>
  <si>
    <t xml:space="preserve">  sw_clk_low_pos : std_logic_vector(7 downto 0); -- "SW_CLK_LOW_POS" Field</t>
  </si>
  <si>
    <t xml:space="preserve">  sw_clk_high_pos : std_logic_vector(7 downto 0); -- "SW_CLK_HIGH_POS" Field</t>
  </si>
  <si>
    <t xml:space="preserve">  vasp_out_ctrl : std_logic; -- "VASP_OUT_CTRL" Field</t>
  </si>
  <si>
    <t xml:space="preserve">  vasp_out_en_pos : std_logic_vector(13 downto 0); -- "VASP_OUT_EN_POS" Field</t>
  </si>
  <si>
    <t>end record t_aeb_gen_cfg_seq_config_5_wr_reg;</t>
  </si>
  <si>
    <t>-- AEB General Configuration Area Register "SEQ_CONFIG_6"</t>
  </si>
  <si>
    <t>type t_aeb_gen_cfg_seq_config_6_wr_reg is record</t>
  </si>
  <si>
    <t xml:space="preserve">  vasp_out_ctrl_inv : std_logic; -- "VASP_OUT_CTRL_INV" Field</t>
  </si>
  <si>
    <t xml:space="preserve">  vasp_out_dis_pos : std_logic_vector(13 downto 0); -- "VASP_OUT_DIS_POS" Field</t>
  </si>
  <si>
    <t>end record t_aeb_gen_cfg_seq_config_6_wr_reg;</t>
  </si>
  <si>
    <t>-- AEB General Configuration Area Register "SEQ_CONFIG_7"</t>
  </si>
  <si>
    <t>type t_aeb_gen_cfg_seq_config_7_wr_reg is record</t>
  </si>
  <si>
    <t>end record t_aeb_gen_cfg_seq_config_7_wr_reg;</t>
  </si>
  <si>
    <t>-- AEB General Configuration Area Register "SEQ_CONFIG_8"</t>
  </si>
  <si>
    <t>type t_aeb_gen_cfg_seq_config_8_wr_reg is record</t>
  </si>
  <si>
    <t>end record t_aeb_gen_cfg_seq_config_8_wr_reg;</t>
  </si>
  <si>
    <t>-- AEB General Configuration Area Register "SEQ_CONFIG_9"</t>
  </si>
  <si>
    <t>type t_aeb_gen_cfg_seq_config_9_wr_reg is record</t>
  </si>
  <si>
    <t xml:space="preserve">  ft_loop_cnt : std_logic_vector(13 downto 0); -- "FT_LOOP_CNT" Field</t>
  </si>
  <si>
    <t xml:space="preserve">  lt0_enabled : std_logic; -- "LT0_ENABLED" Field</t>
  </si>
  <si>
    <t xml:space="preserve">  lt0_loop_cnt : std_logic_vector(13 downto 0); -- "LT0_LOOP_CNT" Field</t>
  </si>
  <si>
    <t>end record t_aeb_gen_cfg_seq_config_9_wr_reg;</t>
  </si>
  <si>
    <t>-- AEB Housekeeping Area Register "ADC_RD_DATA_ADC_REF_BUF_2"</t>
  </si>
  <si>
    <t>type t_aeb_hk_adc_rd_data_adc_ref_buf_2_wr_reg is record</t>
  </si>
  <si>
    <t xml:space="preserve">  ovf : std_logic; -- "OVF" Field</t>
  </si>
  <si>
    <t xml:space="preserve">  supply : std_logic; -- "SUPPLY" Field</t>
  </si>
  <si>
    <t xml:space="preserve">  chid : std_logic_vector(4 downto 0); -- "CHID" Field</t>
  </si>
  <si>
    <t xml:space="preserve">  adc_chx_data_adc_ref_buf_2 : std_logic_vector(3 downto 0); -- "ADC_CHX_DATA_ADC_REF_BUF_2" Field</t>
  </si>
  <si>
    <t>end record t_aeb_hk_adc_rd_data_adc_ref_buf_2_wr_reg;</t>
  </si>
  <si>
    <t>-- AEB Housekeeping Area Register "ADC_RD_DATA_HK_ANA_N5V"</t>
  </si>
  <si>
    <t>type t_aeb_hk_adc_rd_data_hk_ana_n5v_wr_reg is record</t>
  </si>
  <si>
    <t xml:space="preserve">  adc_chx_data_hk_ana_n5v : std_logic_vector(23 downto 0); -- "ADC_CHX_DATA_HK_ANA_N5V" Field</t>
  </si>
  <si>
    <t>end record t_aeb_hk_adc_rd_data_hk_ana_n5v_wr_reg;</t>
  </si>
  <si>
    <t>-- AEB Housekeeping Area Register "ADC_RD_DATA_HK_ANA_P3V3"</t>
  </si>
  <si>
    <t>type t_aeb_hk_adc_rd_data_hk_ana_p3v3_wr_reg is record</t>
  </si>
  <si>
    <t xml:space="preserve">  adc_chx_data_hk_ana_p3v3 : std_logic_vector(23 downto 0); -- "ADC_CHX_DATA_HK_ANA_P3V3" Field</t>
  </si>
  <si>
    <t>end record t_aeb_hk_adc_rd_data_hk_ana_p3v3_wr_reg;</t>
  </si>
  <si>
    <t>-- AEB Housekeeping Area Register "ADC_RD_DATA_HK_ANA_P5V"</t>
  </si>
  <si>
    <t>type t_aeb_hk_adc_rd_data_hk_ana_p5v_wr_reg is record</t>
  </si>
  <si>
    <t xml:space="preserve">  adc_chx_data_hk_ana_p5v : std_logic_vector(23 downto 0); -- "ADC_CHX_DATA_HK_ANA_P5V" Field</t>
  </si>
  <si>
    <t>end record t_aeb_hk_adc_rd_data_hk_ana_p5v_wr_reg;</t>
  </si>
  <si>
    <t>-- AEB Housekeeping Area Register "ADC_RD_DATA_HK_CCD_P31V"</t>
  </si>
  <si>
    <t>type t_aeb_hk_adc_rd_data_hk_ccd_p31v_wr_reg is record</t>
  </si>
  <si>
    <t xml:space="preserve">  adc_chx_data_hk_ccd_p31v : std_logic_vector(23 downto 0); -- "ADC_CHX_DATA_HK_CCD_P31V" Field</t>
  </si>
  <si>
    <t>end record t_aeb_hk_adc_rd_data_hk_ccd_p31v_wr_reg;</t>
  </si>
  <si>
    <t>-- AEB Housekeeping Area Register "ADC_RD_DATA_HK_CLK_P15V"</t>
  </si>
  <si>
    <t>type t_aeb_hk_adc_rd_data_hk_clk_p15v_wr_reg is record</t>
  </si>
  <si>
    <t xml:space="preserve">  adc_chx_data_hk_clk_p15v : std_logic_vector(23 downto 0); -- "ADC_CHX_DATA_HK_CLK_P15V" Field</t>
  </si>
  <si>
    <t>end record t_aeb_hk_adc_rd_data_hk_clk_p15v_wr_reg;</t>
  </si>
  <si>
    <t>-- AEB Housekeeping Area Register "ADC_RD_DATA_HK_DIG_P3V3"</t>
  </si>
  <si>
    <t>type t_aeb_hk_adc_rd_data_hk_dig_p3v3_wr_reg is record</t>
  </si>
  <si>
    <t xml:space="preserve">  adc_chx_data_hk_dig_p3v3 : std_logic_vector(23 downto 0); -- "ADC_CHX_DATA_HK_DIG_P3V3" Field</t>
  </si>
  <si>
    <t>end record t_aeb_hk_adc_rd_data_hk_dig_p3v3_wr_reg;</t>
  </si>
  <si>
    <t>-- AEB Housekeeping Area Register "ADC_RD_DATA_HK_VODE"</t>
  </si>
  <si>
    <t>type t_aeb_hk_adc_rd_data_hk_vode_wr_reg is record</t>
  </si>
  <si>
    <t xml:space="preserve">  adc_chx_data_hk_vode : std_logic_vector(23 downto 0); -- "ADC_CHX_DATA_HK_VODE" Field</t>
  </si>
  <si>
    <t>end record t_aeb_hk_adc_rd_data_hk_vode_wr_reg;</t>
  </si>
  <si>
    <t>-- AEB Housekeeping Area Register "ADC_RD_DATA_HK_VODF"</t>
  </si>
  <si>
    <t>type t_aeb_hk_adc_rd_data_hk_vodf_wr_reg is record</t>
  </si>
  <si>
    <t xml:space="preserve">  adc_chx_data_hk_vodf : std_logic_vector(23 downto 0); -- "ADC_CHX_DATA_HK_VODF" Field</t>
  </si>
  <si>
    <t>end record t_aeb_hk_adc_rd_data_hk_vodf_wr_reg;</t>
  </si>
  <si>
    <t>-- AEB Housekeeping Area Register "ADC_RD_DATA_HK_VOG"</t>
  </si>
  <si>
    <t>type t_aeb_hk_adc_rd_data_hk_vog_wr_reg is record</t>
  </si>
  <si>
    <t xml:space="preserve">  adc_chx_data_hk_vog : std_logic_vector(23 downto 0); -- "ADC_CHX_DATA_HK_VOG" Field</t>
  </si>
  <si>
    <t>end record t_aeb_hk_adc_rd_data_hk_vog_wr_reg;</t>
  </si>
  <si>
    <t>-- AEB Housekeeping Area Register "ADC_RD_DATA_HK_VRD"</t>
  </si>
  <si>
    <t>type t_aeb_hk_adc_rd_data_hk_vrd_wr_reg is record</t>
  </si>
  <si>
    <t xml:space="preserve">  adc_chx_data_hk_vrd : std_logic_vector(23 downto 0); -- "ADC_CHX_DATA_HK_VRD" Field</t>
  </si>
  <si>
    <t>end record t_aeb_hk_adc_rd_data_hk_vrd_wr_reg;</t>
  </si>
  <si>
    <t>-- AEB Housekeeping Area Register "ADC_RD_DATA_S_REF"</t>
  </si>
  <si>
    <t>type t_aeb_hk_adc_rd_data_s_ref_wr_reg is record</t>
  </si>
  <si>
    <t xml:space="preserve">  adc_chx_data_s_ref : std_logic_vector(23 downto 0); -- "ADC_CHX_DATA_S_REF" Field</t>
  </si>
  <si>
    <t>end record t_aeb_hk_adc_rd_data_s_ref_wr_reg;</t>
  </si>
  <si>
    <t>-- AEB Housekeeping Area Register "ADC_RD_DATA_T_BIAS_P"</t>
  </si>
  <si>
    <t>type t_aeb_hk_adc_rd_data_t_bias_p_wr_reg is record</t>
  </si>
  <si>
    <t xml:space="preserve">  adc_chx_data_t_bias_p : std_logic_vector(23 downto 0); -- "ADC_CHX_DATA_T_BIAS_P" Field</t>
  </si>
  <si>
    <t>end record t_aeb_hk_adc_rd_data_t_bias_p_wr_reg;</t>
  </si>
  <si>
    <t>-- AEB Housekeeping Area Register "ADC_RD_DATA_T_CCD"</t>
  </si>
  <si>
    <t>type t_aeb_hk_adc_rd_data_t_ccd_wr_reg is record</t>
  </si>
  <si>
    <t xml:space="preserve">  adc_chx_data_t_ccd : std_logic_vector(23 downto 0); -- "ADC_CHX_DATA_T_CCD" Field</t>
  </si>
  <si>
    <t>end record t_aeb_hk_adc_rd_data_t_ccd_wr_reg;</t>
  </si>
  <si>
    <t>-- AEB Housekeeping Area Register "ADC_RD_DATA_T_HK_P"</t>
  </si>
  <si>
    <t>type t_aeb_hk_adc_rd_data_t_hk_p_wr_reg is record</t>
  </si>
  <si>
    <t xml:space="preserve">  adc_chx_data_t_hk_p : std_logic_vector(23 downto 0); -- "ADC_CHX_DATA_T_HK_P" Field</t>
  </si>
  <si>
    <t>end record t_aeb_hk_adc_rd_data_t_hk_p_wr_reg;</t>
  </si>
  <si>
    <t>-- AEB Housekeeping Area Register "ADC_RD_DATA_T_REF1K_MEA"</t>
  </si>
  <si>
    <t>type t_aeb_hk_adc_rd_data_t_ref1k_mea_wr_reg is record</t>
  </si>
  <si>
    <t xml:space="preserve">  adc_chx_data_t_ref1k_mea : std_logic_vector(23 downto 0); -- "ADC_CHX_DATA_T_REF1K_MEA" Field</t>
  </si>
  <si>
    <t>end record t_aeb_hk_adc_rd_data_t_ref1k_mea_wr_reg;</t>
  </si>
  <si>
    <t>-- AEB Housekeeping Area Register "ADC_RD_DATA_T_REF649R_MEA"</t>
  </si>
  <si>
    <t>type t_aeb_hk_adc_rd_data_t_ref649r_mea_wr_reg is record</t>
  </si>
  <si>
    <t xml:space="preserve">  adc_chx_data_t_ref649r_mea : std_logic_vector(23 downto 0); -- "ADC_CHX_DATA_T_REF649R_MEA" Field</t>
  </si>
  <si>
    <t>end record t_aeb_hk_adc_rd_data_t_ref649r_mea_wr_reg;</t>
  </si>
  <si>
    <t>-- AEB Housekeeping Area Register "ADC_RD_DATA_T_TOU_1_P"</t>
  </si>
  <si>
    <t>type t_aeb_hk_adc_rd_data_t_tou_1_p_wr_reg is record</t>
  </si>
  <si>
    <t xml:space="preserve">  adc_chx_data_t_tou_1_p : std_logic_vector(23 downto 0); -- "ADC_CHX_DATA_T_TOU_1_P" Field</t>
  </si>
  <si>
    <t>end record t_aeb_hk_adc_rd_data_t_tou_1_p_wr_reg;</t>
  </si>
  <si>
    <t>-- AEB Housekeeping Area Register "ADC_RD_DATA_T_TOU_2_P"</t>
  </si>
  <si>
    <t>type t_aeb_hk_adc_rd_data_t_tou_2_p_wr_reg is record</t>
  </si>
  <si>
    <t xml:space="preserve">  adc_chx_data_t_tou_2_p : std_logic_vector(23 downto 0); -- "ADC_CHX_DATA_T_TOU_2_P" Field</t>
  </si>
  <si>
    <t>end record t_aeb_hk_adc_rd_data_t_tou_2_p_wr_reg;</t>
  </si>
  <si>
    <t>-- AEB Housekeeping Area Register "ADC_RD_DATA_T_VASP_L"</t>
  </si>
  <si>
    <t>type t_aeb_hk_adc_rd_data_t_vasp_l_wr_reg is record</t>
  </si>
  <si>
    <t xml:space="preserve">  adc_chx_data_t_vasp_l : std_logic_vector(23 downto 0); -- "ADC_CHX_DATA_T_VASP_L" Field</t>
  </si>
  <si>
    <t>end record t_aeb_hk_adc_rd_data_t_vasp_l_wr_reg;</t>
  </si>
  <si>
    <t>-- AEB Housekeeping Area Register "ADC_RD_DATA_T_VASP_R"</t>
  </si>
  <si>
    <t>type t_aeb_hk_adc_rd_data_t_vasp_r_wr_reg is record</t>
  </si>
  <si>
    <t xml:space="preserve">  adc_chx_data_t_vasp_r : std_logic_vector(23 downto 0); -- "ADC_CHX_DATA_T_VASP_R" Field</t>
  </si>
  <si>
    <t>end record t_aeb_hk_adc_rd_data_t_vasp_r_wr_reg;</t>
  </si>
  <si>
    <t>-- AEB Housekeeping Area Register "ADC1_RD_CONFIG_1"</t>
  </si>
  <si>
    <t>type t_aeb_hk_adc1_rd_config_1_wr_reg is record</t>
  </si>
  <si>
    <t xml:space="preserve">  dly2 : std_logic; -- "DLY2" Field</t>
  </si>
  <si>
    <t xml:space="preserve">  dly1 : std_logic; -- "DLY1" Field</t>
  </si>
  <si>
    <t xml:space="preserve">  dly0 : std_logic; -- "DLY0" Field</t>
  </si>
  <si>
    <t xml:space="preserve">  sbcs1 : std_logic; -- "SBCS1" Field</t>
  </si>
  <si>
    <t xml:space="preserve">  sbcs0 : std_logic; -- "SBCS0" Field</t>
  </si>
  <si>
    <t xml:space="preserve">  drate1 : std_logic; -- "DRATE1" Field</t>
  </si>
  <si>
    <t xml:space="preserve">  drate0 : std_logic; -- "DRATE0" Field</t>
  </si>
  <si>
    <t xml:space="preserve">  ainp3 : std_logic; -- "AINP3" Field</t>
  </si>
  <si>
    <t xml:space="preserve">  ainp2 : std_logic; -- "AINP2" Field</t>
  </si>
  <si>
    <t xml:space="preserve">  ainp1 : std_logic; -- "AINP1" Field</t>
  </si>
  <si>
    <t xml:space="preserve">  ainp0 : std_logic; -- "AINP0" Field</t>
  </si>
  <si>
    <t xml:space="preserve">  ainn3 : std_logic; -- "AINN3" Field</t>
  </si>
  <si>
    <t xml:space="preserve">  ainn2 : std_logic; -- "AINN2" Field</t>
  </si>
  <si>
    <t xml:space="preserve">  ainn1 : std_logic; -- "AINN1" Field</t>
  </si>
  <si>
    <t xml:space="preserve">  ainn0 : std_logic; -- "AINN0" Field</t>
  </si>
  <si>
    <t xml:space="preserve">  diff7 : std_logic; -- "DIFF7" Field</t>
  </si>
  <si>
    <t xml:space="preserve">  diff6 : std_logic; -- "DIFF6" Field</t>
  </si>
  <si>
    <t xml:space="preserve">  diff5 : std_logic; -- "DIFF5" Field</t>
  </si>
  <si>
    <t xml:space="preserve">  diff4 : std_logic; -- "DIFF4" Field</t>
  </si>
  <si>
    <t xml:space="preserve">  diff3 : std_logic; -- "DIFF3" Field</t>
  </si>
  <si>
    <t xml:space="preserve">  diff2 : std_logic; -- "DIFF2" Field</t>
  </si>
  <si>
    <t xml:space="preserve">  diff1 : std_logic; -- "DIFF1" Field</t>
  </si>
  <si>
    <t xml:space="preserve">  diff0 : std_logic; -- "DIFF0" Field</t>
  </si>
  <si>
    <t>end record t_aeb_hk_adc1_rd_config_1_wr_reg;</t>
  </si>
  <si>
    <t>-- AEB Housekeeping Area Register "ADC1_RD_CONFIG_2"</t>
  </si>
  <si>
    <t>type t_aeb_hk_adc1_rd_config_2_wr_reg is record</t>
  </si>
  <si>
    <t>end record t_aeb_hk_adc1_rd_config_2_wr_reg;</t>
  </si>
  <si>
    <t>-- AEB Housekeeping Area Register "ADC1_RD_CONFIG_3"</t>
  </si>
  <si>
    <t>type t_aeb_hk_adc1_rd_config_3_wr_reg is record</t>
  </si>
  <si>
    <t>end record t_aeb_hk_adc1_rd_config_3_wr_reg;</t>
  </si>
  <si>
    <t>-- AEB Housekeeping Area Register "ADC2_RD_CONFIG_1"</t>
  </si>
  <si>
    <t>type t_aeb_hk_adc2_rd_config_1_wr_reg is record</t>
  </si>
  <si>
    <t>end record t_aeb_hk_adc2_rd_config_1_wr_reg;</t>
  </si>
  <si>
    <t>-- AEB Housekeeping Area Register "ADC2_RD_CONFIG_2"</t>
  </si>
  <si>
    <t>type t_aeb_hk_adc2_rd_config_2_wr_reg is record</t>
  </si>
  <si>
    <t>end record t_aeb_hk_adc2_rd_config_2_wr_reg;</t>
  </si>
  <si>
    <t>-- AEB Housekeeping Area Register "ADC2_RD_CONFIG_3"</t>
  </si>
  <si>
    <t>type t_aeb_hk_adc2_rd_config_3_wr_reg is record</t>
  </si>
  <si>
    <t>end record t_aeb_hk_adc2_rd_config_3_wr_reg;</t>
  </si>
  <si>
    <t>-- AEB Housekeeping Area Register "AEB_STATUS"</t>
  </si>
  <si>
    <t>type t_aeb_hk_aeb_status_wr_reg is record</t>
  </si>
  <si>
    <t xml:space="preserve">  aeb_status : std_logic_vector(3 downto 0); -- "AEB_STATUS" Field</t>
  </si>
  <si>
    <t xml:space="preserve">  vasp2_cfg_run : std_logic; -- "VASP2_CFG_RUN" Field</t>
  </si>
  <si>
    <t xml:space="preserve">  vasp1_cfg_run : std_logic; -- "VASP1_CFG_RUN" Field</t>
  </si>
  <si>
    <t xml:space="preserve">  dac_cfg_wr_run : std_logic; -- "DAC_CFG_WR_RUN" Field</t>
  </si>
  <si>
    <t xml:space="preserve">  adc_cfg_rd_run : std_logic; -- "ADC_CFG_RD_RUN" Field</t>
  </si>
  <si>
    <t xml:space="preserve">  adc_cfg_wr_run : std_logic; -- "ADC_CFG_WR_RUN" Field</t>
  </si>
  <si>
    <t xml:space="preserve">  adc_dat_rd_run : std_logic; -- "ADC_DAT_RD_RUN" Field</t>
  </si>
  <si>
    <t xml:space="preserve">  adc_error : std_logic; -- "ADC_ERROR" Field</t>
  </si>
  <si>
    <t xml:space="preserve">  adc2_lu : std_logic; -- "ADC2_LU" Field</t>
  </si>
  <si>
    <t xml:space="preserve">  adc1_lu : std_logic; -- "ADC1_LU" Field</t>
  </si>
  <si>
    <t xml:space="preserve">  adc_dat_rd : std_logic; -- "ADC_DAT_RD" Field</t>
  </si>
  <si>
    <t xml:space="preserve">  adc2_busy : std_logic; -- "ADC2_BUSY" Field</t>
  </si>
  <si>
    <t xml:space="preserve">  adc1_busy : std_logic; -- "ADC1_BUSY" Field</t>
  </si>
  <si>
    <t>end record t_aeb_hk_aeb_status_wr_reg;</t>
  </si>
  <si>
    <t>-- AEB Housekeeping Area Register "REVISION_ID_1"</t>
  </si>
  <si>
    <t>type t_aeb_hk_revision_id_1_wr_reg is record</t>
  </si>
  <si>
    <t xml:space="preserve">  fpga_version : std_logic_vector(15 downto 0); -- "FPGA_VERSION" Field</t>
  </si>
  <si>
    <t xml:space="preserve">  fpga_date : std_logic_vector(15 downto 0); -- "FPGA_DATE" Field</t>
  </si>
  <si>
    <t>end record t_aeb_hk_revision_id_1_wr_reg;</t>
  </si>
  <si>
    <t>-- AEB Housekeeping Area Register "REVISION_ID_2"</t>
  </si>
  <si>
    <t>type t_aeb_hk_revision_id_2_wr_reg is record</t>
  </si>
  <si>
    <t xml:space="preserve">  fpga_time_h : std_logic_vector(15 downto 0); -- "FPGA_TIME_H" Field</t>
  </si>
  <si>
    <t xml:space="preserve">  fpga_time_m : std_logic_vector(7 downto 0); -- "FPGA_TIME_M" Field</t>
  </si>
  <si>
    <t xml:space="preserve">  fpga_svn : std_logic_vector(15 downto 0); -- "FPGA_SVN" Field</t>
  </si>
  <si>
    <t>end record t_aeb_hk_revision_id_2_wr_reg;</t>
  </si>
  <si>
    <t>-- AEB Housekeeping Area Register "TIMESTAMP_1"</t>
  </si>
  <si>
    <t>type t_aeb_hk_timestamp_1_wr_reg is record</t>
  </si>
  <si>
    <t xml:space="preserve">  timestamp_dword_1 : std_logic_vector(31 downto 0); -- "TIMESTAMP_DWORD_1" Field</t>
  </si>
  <si>
    <t>end record t_aeb_hk_timestamp_1_wr_reg;</t>
  </si>
  <si>
    <t>-- AEB Housekeeping Area Register "TIMESTAMP_2"</t>
  </si>
  <si>
    <t>type t_aeb_hk_timestamp_2_wr_reg is record</t>
  </si>
  <si>
    <t xml:space="preserve">  timestamp_dword_0 : std_logic_vector(31 downto 0); -- "TIMESTAMP_DWORD_0" Field</t>
  </si>
  <si>
    <t>end record t_aeb_hk_timestamp_2_wr_reg;</t>
  </si>
  <si>
    <t>-- AEB Housekeeping Area Register "VASP_RD_CONFIG"</t>
  </si>
  <si>
    <t>type t_aeb_hk_vasp_rd_config_wr_reg is record</t>
  </si>
  <si>
    <t xml:space="preserve">  vasp1_read_data : std_logic_vector(7 downto 0); -- "VASP1_READ_DATA" Field</t>
  </si>
  <si>
    <t xml:space="preserve">  vasp2_read_data : std_logic_vector(7 downto 0); -- "VASP2_READ_DATA" Field</t>
  </si>
  <si>
    <t>end record t_aeb_hk_vasp_rd_config_wr_reg;</t>
  </si>
  <si>
    <t xml:space="preserve">  aeb_crit_cfg_aeb_config_ait : t_aeb_crit_cfg_aeb_config_ait_wr_reg; -- AEB Critical Configuration Area Register "AEB_CONFIG_AIT"</t>
  </si>
  <si>
    <t xml:space="preserve">  aeb_crit_cfg_aeb_config_key : t_aeb_crit_cfg_aeb_config_key_wr_reg; -- AEB Critical Configuration Area Register "AEB_CONFIG_KEY"</t>
  </si>
  <si>
    <t xml:space="preserve">  aeb_crit_cfg_aeb_config_pattern : t_aeb_crit_cfg_aeb_config_pattern_wr_reg; -- AEB Critical Configuration Area Register "AEB_CONFIG_PATTERN"</t>
  </si>
  <si>
    <t xml:space="preserve">  aeb_crit_cfg_aeb_config : t_aeb_crit_cfg_aeb_config_wr_reg; -- AEB Critical Configuration Area Register "AEB_CONFIG"</t>
  </si>
  <si>
    <t xml:space="preserve">  aeb_crit_cfg_aeb_control : t_aeb_crit_cfg_aeb_control_wr_reg; -- AEB Critical Configuration Area Register "AEB_CONTROL"</t>
  </si>
  <si>
    <t xml:space="preserve">  aeb_crit_cfg_dac_config_1 : t_aeb_crit_cfg_dac_config_1_wr_reg; -- AEB Critical Configuration Area Register "DAC_CONFIG_1"</t>
  </si>
  <si>
    <t xml:space="preserve">  aeb_crit_cfg_dac_config_2 : t_aeb_crit_cfg_dac_config_2_wr_reg; -- AEB Critical Configuration Area Register "DAC_CONFIG_2"</t>
  </si>
  <si>
    <t xml:space="preserve">  aeb_crit_cfg_pwr_config1 : t_aeb_crit_cfg_pwr_config1_wr_reg; -- AEB Critical Configuration Area Register "PWR_CONFIG1"</t>
  </si>
  <si>
    <t xml:space="preserve">  aeb_crit_cfg_pwr_config2 : t_aeb_crit_cfg_pwr_config2_wr_reg; -- AEB Critical Configuration Area Register "PWR_CONFIG2"</t>
  </si>
  <si>
    <t xml:space="preserve">  aeb_crit_cfg_pwr_config3 : t_aeb_crit_cfg_pwr_config3_wr_reg; -- AEB Critical Configuration Area Register "PWR_CONFIG3"</t>
  </si>
  <si>
    <t xml:space="preserve">  aeb_crit_cfg_reserved_20 : t_aeb_crit_cfg_reserved_20_wr_reg; -- AEB Critical Configuration Area Register "RESERVED_20"</t>
  </si>
  <si>
    <t xml:space="preserve">  aeb_crit_cfg_reserved_30 : t_aeb_crit_cfg_reserved_30_wr_reg; -- AEB Critical Configuration Area Register "RESERVED_30"</t>
  </si>
  <si>
    <t xml:space="preserve">  aeb_crit_cfg_reserved_34 : t_aeb_crit_cfg_reserved_34_wr_reg; -- AEB Critical Configuration Area Register "RESERVED_34"</t>
  </si>
  <si>
    <t xml:space="preserve">  aeb_crit_cfg_reserved_38 : t_aeb_crit_cfg_reserved_38_wr_reg; -- AEB Critical Configuration Area Register "RESERVED_38"</t>
  </si>
  <si>
    <t xml:space="preserve">  aeb_crit_cfg_reserved_3c : t_aeb_crit_cfg_reserved_3c_wr_reg; -- AEB Critical Configuration Area Register "RESERVED_3C"</t>
  </si>
  <si>
    <t xml:space="preserve">  aeb_crit_cfg_reserved_40 : t_aeb_crit_cfg_reserved_40_wr_reg; -- AEB Critical Configuration Area Register "RESERVED_40"</t>
  </si>
  <si>
    <t xml:space="preserve">  aeb_crit_cfg_reserved_44 : t_aeb_crit_cfg_reserved_44_wr_reg; -- AEB Critical Configuration Area Register "RESERVED_44"</t>
  </si>
  <si>
    <t xml:space="preserve">  aeb_crit_cfg_reserved_48 : t_aeb_crit_cfg_reserved_48_wr_reg; -- AEB Critical Configuration Area Register "RESERVED_48"</t>
  </si>
  <si>
    <t xml:space="preserve">  aeb_crit_cfg_reserved_4c : t_aeb_crit_cfg_reserved_4c_wr_reg; -- AEB Critical Configuration Area Register "RESERVED_4C"</t>
  </si>
  <si>
    <t xml:space="preserve">  aeb_crit_cfg_reserved_50 : t_aeb_crit_cfg_reserved_50_wr_reg; -- AEB Critical Configuration Area Register "RESERVED_50"</t>
  </si>
  <si>
    <t xml:space="preserve">  aeb_crit_cfg_reserved_54 : t_aeb_crit_cfg_reserved_54_wr_reg; -- AEB Critical Configuration Area Register "RESERVED_54"</t>
  </si>
  <si>
    <t xml:space="preserve">  aeb_crit_cfg_reserved_58 : t_aeb_crit_cfg_reserved_58_wr_reg; -- AEB Critical Configuration Area Register "RESERVED_58"</t>
  </si>
  <si>
    <t xml:space="preserve">  aeb_crit_cfg_reserved_5c : t_aeb_crit_cfg_reserved_5c_wr_reg; -- AEB Critical Configuration Area Register "RESERVED_5C"</t>
  </si>
  <si>
    <t xml:space="preserve">  aeb_crit_cfg_reserved_60 : t_aeb_crit_cfg_reserved_60_wr_reg; -- AEB Critical Configuration Area Register "RESERVED_60"</t>
  </si>
  <si>
    <t xml:space="preserve">  aeb_crit_cfg_reserved_64 : t_aeb_crit_cfg_reserved_64_wr_reg; -- AEB Critical Configuration Area Register "RESERVED_64"</t>
  </si>
  <si>
    <t xml:space="preserve">  aeb_crit_cfg_reserved_68 : t_aeb_crit_cfg_reserved_68_wr_reg; -- AEB Critical Configuration Area Register "RESERVED_68"</t>
  </si>
  <si>
    <t xml:space="preserve">  aeb_crit_cfg_reserved_6c : t_aeb_crit_cfg_reserved_6c_wr_reg; -- AEB Critical Configuration Area Register "RESERVED_6C"</t>
  </si>
  <si>
    <t xml:space="preserve">  aeb_crit_cfg_reserved_70 : t_aeb_crit_cfg_reserved_70_wr_reg; -- AEB Critical Configuration Area Register "RESERVED_70"</t>
  </si>
  <si>
    <t xml:space="preserve">  aeb_crit_cfg_reserved_74 : t_aeb_crit_cfg_reserved_74_wr_reg; -- AEB Critical Configuration Area Register "RESERVED_74"</t>
  </si>
  <si>
    <t xml:space="preserve">  aeb_crit_cfg_reserved_78 : t_aeb_crit_cfg_reserved_78_wr_reg; -- AEB Critical Configuration Area Register "RESERVED_78"</t>
  </si>
  <si>
    <t xml:space="preserve">  aeb_crit_cfg_reserved_7c : t_aeb_crit_cfg_reserved_7c_wr_reg; -- AEB Critical Configuration Area Register "RESERVED_7C"</t>
  </si>
  <si>
    <t xml:space="preserve">  aeb_crit_cfg_reserved_80 : t_aeb_crit_cfg_reserved_80_wr_reg; -- AEB Critical Configuration Area Register "RESERVED_80"</t>
  </si>
  <si>
    <t xml:space="preserve">  aeb_crit_cfg_reserved_84 : t_aeb_crit_cfg_reserved_84_wr_reg; -- AEB Critical Configuration Area Register "RESERVED_84"</t>
  </si>
  <si>
    <t xml:space="preserve">  aeb_crit_cfg_reserved_88 : t_aeb_crit_cfg_reserved_88_wr_reg; -- AEB Critical Configuration Area Register "RESERVED_88"</t>
  </si>
  <si>
    <t xml:space="preserve">  aeb_crit_cfg_reserved_8c : t_aeb_crit_cfg_reserved_8c_wr_reg; -- AEB Critical Configuration Area Register "RESERVED_8C"</t>
  </si>
  <si>
    <t xml:space="preserve">  aeb_crit_cfg_reserved_90 : t_aeb_crit_cfg_reserved_90_wr_reg; -- AEB Critical Configuration Area Register "RESERVED_90"</t>
  </si>
  <si>
    <t xml:space="preserve">  aeb_crit_cfg_reserved_94 : t_aeb_crit_cfg_reserved_94_wr_reg; -- AEB Critical Configuration Area Register "RESERVED_94"</t>
  </si>
  <si>
    <t xml:space="preserve">  aeb_crit_cfg_reserved_98 : t_aeb_crit_cfg_reserved_98_wr_reg; -- AEB Critical Configuration Area Register "RESERVED_98"</t>
  </si>
  <si>
    <t xml:space="preserve">  aeb_crit_cfg_reserved_9c : t_aeb_crit_cfg_reserved_9c_wr_reg; -- AEB Critical Configuration Area Register "RESERVED_9C"</t>
  </si>
  <si>
    <t xml:space="preserve">  aeb_crit_cfg_reserved_a0 : t_aeb_crit_cfg_reserved_a0_wr_reg; -- AEB Critical Configuration Area Register "RESERVED_A0"</t>
  </si>
  <si>
    <t xml:space="preserve">  aeb_crit_cfg_reserved_a4 : t_aeb_crit_cfg_reserved_a4_wr_reg; -- AEB Critical Configuration Area Register "RESERVED_A4"</t>
  </si>
  <si>
    <t xml:space="preserve">  aeb_crit_cfg_reserved_a8 : t_aeb_crit_cfg_reserved_a8_wr_reg; -- AEB Critical Configuration Area Register "RESERVED_A8"</t>
  </si>
  <si>
    <t xml:space="preserve">  aeb_crit_cfg_reserved_ac : t_aeb_crit_cfg_reserved_ac_wr_reg; -- AEB Critical Configuration Area Register "RESERVED_AC"</t>
  </si>
  <si>
    <t xml:space="preserve">  aeb_crit_cfg_reserved_b0 : t_aeb_crit_cfg_reserved_b0_wr_reg; -- AEB Critical Configuration Area Register "RESERVED_B0"</t>
  </si>
  <si>
    <t xml:space="preserve">  aeb_crit_cfg_reserved_b4 : t_aeb_crit_cfg_reserved_b4_wr_reg; -- AEB Critical Configuration Area Register "RESERVED_B4"</t>
  </si>
  <si>
    <t xml:space="preserve">  aeb_crit_cfg_reserved_b8 : t_aeb_crit_cfg_reserved_b8_wr_reg; -- AEB Critical Configuration Area Register "RESERVED_B8"</t>
  </si>
  <si>
    <t xml:space="preserve">  aeb_crit_cfg_reserved_bc : t_aeb_crit_cfg_reserved_bc_wr_reg; -- AEB Critical Configuration Area Register "RESERVED_BC"</t>
  </si>
  <si>
    <t xml:space="preserve">  aeb_crit_cfg_reserved_c0 : t_aeb_crit_cfg_reserved_c0_wr_reg; -- AEB Critical Configuration Area Register "RESERVED_C0"</t>
  </si>
  <si>
    <t xml:space="preserve">  aeb_crit_cfg_reserved_c4 : t_aeb_crit_cfg_reserved_c4_wr_reg; -- AEB Critical Configuration Area Register "RESERVED_C4"</t>
  </si>
  <si>
    <t xml:space="preserve">  aeb_crit_cfg_reserved_c8 : t_aeb_crit_cfg_reserved_c8_wr_reg; -- AEB Critical Configuration Area Register "RESERVED_C8"</t>
  </si>
  <si>
    <t xml:space="preserve">  aeb_crit_cfg_reserved_cc : t_aeb_crit_cfg_reserved_cc_wr_reg; -- AEB Critical Configuration Area Register "RESERVED_CC"</t>
  </si>
  <si>
    <t xml:space="preserve">  aeb_crit_cfg_reserved_d0 : t_aeb_crit_cfg_reserved_d0_wr_reg; -- AEB Critical Configuration Area Register "RESERVED_D0"</t>
  </si>
  <si>
    <t xml:space="preserve">  aeb_crit_cfg_reserved_d4 : t_aeb_crit_cfg_reserved_d4_wr_reg; -- AEB Critical Configuration Area Register "RESERVED_D4"</t>
  </si>
  <si>
    <t xml:space="preserve">  aeb_crit_cfg_reserved_d8 : t_aeb_crit_cfg_reserved_d8_wr_reg; -- AEB Critical Configuration Area Register "RESERVED_D8"</t>
  </si>
  <si>
    <t xml:space="preserve">  aeb_crit_cfg_reserved_dc : t_aeb_crit_cfg_reserved_dc_wr_reg; -- AEB Critical Configuration Area Register "RESERVED_DC"</t>
  </si>
  <si>
    <t xml:space="preserve">  aeb_crit_cfg_reserved_e0 : t_aeb_crit_cfg_reserved_e0_wr_reg; -- AEB Critical Configuration Area Register "RESERVED_E0"</t>
  </si>
  <si>
    <t xml:space="preserve">  aeb_crit_cfg_reserved_e4 : t_aeb_crit_cfg_reserved_e4_wr_reg; -- AEB Critical Configuration Area Register "RESERVED_E4"</t>
  </si>
  <si>
    <t xml:space="preserve">  aeb_crit_cfg_reserved_e8 : t_aeb_crit_cfg_reserved_e8_wr_reg; -- AEB Critical Configuration Area Register "RESERVED_E8"</t>
  </si>
  <si>
    <t xml:space="preserve">  aeb_crit_cfg_reserved_ec : t_aeb_crit_cfg_reserved_ec_wr_reg; -- AEB Critical Configuration Area Register "RESERVED_EC"</t>
  </si>
  <si>
    <t xml:space="preserve">  aeb_crit_cfg_reserved_f0 : t_aeb_crit_cfg_reserved_f0_wr_reg; -- AEB Critical Configuration Area Register "RESERVED_F0"</t>
  </si>
  <si>
    <t xml:space="preserve">  aeb_crit_cfg_reserved_f4 : t_aeb_crit_cfg_reserved_f4_wr_reg; -- AEB Critical Configuration Area Register "RESERVED_F4"</t>
  </si>
  <si>
    <t xml:space="preserve">  aeb_crit_cfg_reserved_f8 : t_aeb_crit_cfg_reserved_f8_wr_reg; -- AEB Critical Configuration Area Register "RESERVED_F8"</t>
  </si>
  <si>
    <t xml:space="preserve">  aeb_crit_cfg_reserved_fc : t_aeb_crit_cfg_reserved_fc_wr_reg; -- AEB Critical Configuration Area Register "RESERVED_FC"</t>
  </si>
  <si>
    <t xml:space="preserve">  aeb_crit_cfg_vasp_i2c_control : t_aeb_crit_cfg_vasp_i2c_control_wr_reg; -- AEB Critical Configuration Area Register "VASP_I2C_CONTROL"</t>
  </si>
  <si>
    <t xml:space="preserve">  aeb_gen_cfg_adc1_config_1 : t_aeb_gen_cfg_adc1_config_1_wr_reg; -- AEB General Configuration Area Register "ADC1_CONFIG_1"</t>
  </si>
  <si>
    <t xml:space="preserve">  aeb_gen_cfg_adc1_config_2 : t_aeb_gen_cfg_adc1_config_2_wr_reg; -- AEB General Configuration Area Register "ADC1_CONFIG_2"</t>
  </si>
  <si>
    <t xml:space="preserve">  aeb_gen_cfg_adc1_config_3 : t_aeb_gen_cfg_adc1_config_3_wr_reg; -- AEB General Configuration Area Register "ADC1_CONFIG_3"</t>
  </si>
  <si>
    <t xml:space="preserve">  aeb_gen_cfg_adc2_config_1 : t_aeb_gen_cfg_adc2_config_1_wr_reg; -- AEB General Configuration Area Register "ADC2_CONFIG_1"</t>
  </si>
  <si>
    <t xml:space="preserve">  aeb_gen_cfg_adc2_config_2 : t_aeb_gen_cfg_adc2_config_2_wr_reg; -- AEB General Configuration Area Register "ADC2_CONFIG_2"</t>
  </si>
  <si>
    <t xml:space="preserve">  aeb_gen_cfg_adc2_config_3 : t_aeb_gen_cfg_adc2_config_3_wr_reg; -- AEB General Configuration Area Register "ADC2_CONFIG_3"</t>
  </si>
  <si>
    <t xml:space="preserve">  aeb_gen_cfg_reserved_118 : t_aeb_gen_cfg_reserved_118_wr_reg; -- AEB General Configuration Area Register "RESERVED_118"</t>
  </si>
  <si>
    <t xml:space="preserve">  aeb_gen_cfg_reserved_11c : t_aeb_gen_cfg_reserved_11c_wr_reg; -- AEB General Configuration Area Register "RESERVED_11C"</t>
  </si>
  <si>
    <t xml:space="preserve">  aeb_gen_cfg_reserved_158 : t_aeb_gen_cfg_reserved_158_wr_reg; -- AEB General Configuration Area Register "RESERVED_158"</t>
  </si>
  <si>
    <t xml:space="preserve">  aeb_gen_cfg_reserved_15c : t_aeb_gen_cfg_reserved_15c_wr_reg; -- AEB General Configuration Area Register "RESERVED_15C"</t>
  </si>
  <si>
    <t xml:space="preserve">  aeb_gen_cfg_reserved_160 : t_aeb_gen_cfg_reserved_160_wr_reg; -- AEB General Configuration Area Register "RESERVED_160"</t>
  </si>
  <si>
    <t xml:space="preserve">  aeb_gen_cfg_reserved_164 : t_aeb_gen_cfg_reserved_164_wr_reg; -- AEB General Configuration Area Register "RESERVED_164"</t>
  </si>
  <si>
    <t xml:space="preserve">  aeb_gen_cfg_reserved_168 : t_aeb_gen_cfg_reserved_168_wr_reg; -- AEB General Configuration Area Register "RESERVED_168"</t>
  </si>
  <si>
    <t xml:space="preserve">  aeb_gen_cfg_reserved_16c : t_aeb_gen_cfg_reserved_16c_wr_reg; -- AEB General Configuration Area Register "RESERVED_16C"</t>
  </si>
  <si>
    <t xml:space="preserve">  aeb_gen_cfg_reserved_170 : t_aeb_gen_cfg_reserved_170_wr_reg; -- AEB General Configuration Area Register "RESERVED_170"</t>
  </si>
  <si>
    <t xml:space="preserve">  aeb_gen_cfg_reserved_174 : t_aeb_gen_cfg_reserved_174_wr_reg; -- AEB General Configuration Area Register "RESERVED_174"</t>
  </si>
  <si>
    <t xml:space="preserve">  aeb_gen_cfg_reserved_178 : t_aeb_gen_cfg_reserved_178_wr_reg; -- AEB General Configuration Area Register "RESERVED_178"</t>
  </si>
  <si>
    <t xml:space="preserve">  aeb_gen_cfg_reserved_17c : t_aeb_gen_cfg_reserved_17c_wr_reg; -- AEB General Configuration Area Register "RESERVED_17C"</t>
  </si>
  <si>
    <t xml:space="preserve">  aeb_gen_cfg_reserved_180 : t_aeb_gen_cfg_reserved_180_wr_reg; -- AEB General Configuration Area Register "RESERVED_180"</t>
  </si>
  <si>
    <t xml:space="preserve">  aeb_gen_cfg_reserved_184 : t_aeb_gen_cfg_reserved_184_wr_reg; -- AEB General Configuration Area Register "RESERVED_184"</t>
  </si>
  <si>
    <t xml:space="preserve">  aeb_gen_cfg_reserved_188 : t_aeb_gen_cfg_reserved_188_wr_reg; -- AEB General Configuration Area Register "RESERVED_188"</t>
  </si>
  <si>
    <t xml:space="preserve">  aeb_gen_cfg_reserved_18c : t_aeb_gen_cfg_reserved_18c_wr_reg; -- AEB General Configuration Area Register "RESERVED_18C"</t>
  </si>
  <si>
    <t xml:space="preserve">  aeb_gen_cfg_reserved_190 : t_aeb_gen_cfg_reserved_190_wr_reg; -- AEB General Configuration Area Register "RESERVED_190"</t>
  </si>
  <si>
    <t xml:space="preserve">  aeb_gen_cfg_reserved_194 : t_aeb_gen_cfg_reserved_194_wr_reg; -- AEB General Configuration Area Register "RESERVED_194"</t>
  </si>
  <si>
    <t xml:space="preserve">  aeb_gen_cfg_reserved_198 : t_aeb_gen_cfg_reserved_198_wr_reg; -- AEB General Configuration Area Register "RESERVED_198"</t>
  </si>
  <si>
    <t xml:space="preserve">  aeb_gen_cfg_reserved_19c : t_aeb_gen_cfg_reserved_19c_wr_reg; -- AEB General Configuration Area Register "RESERVED_19C"</t>
  </si>
  <si>
    <t xml:space="preserve">  aeb_gen_cfg_reserved_1a0 : t_aeb_gen_cfg_reserved_1a0_wr_reg; -- AEB General Configuration Area Register "RESERVED_1A0"</t>
  </si>
  <si>
    <t xml:space="preserve">  aeb_gen_cfg_reserved_1a4 : t_aeb_gen_cfg_reserved_1a4_wr_reg; -- AEB General Configuration Area Register "RESERVED_1A4"</t>
  </si>
  <si>
    <t xml:space="preserve">  aeb_gen_cfg_reserved_1a8 : t_aeb_gen_cfg_reserved_1a8_wr_reg; -- AEB General Configuration Area Register "RESERVED_1A8"</t>
  </si>
  <si>
    <t xml:space="preserve">  aeb_gen_cfg_reserved_1ac : t_aeb_gen_cfg_reserved_1ac_wr_reg; -- AEB General Configuration Area Register "RESERVED_1AC"</t>
  </si>
  <si>
    <t xml:space="preserve">  aeb_gen_cfg_reserved_1b0 : t_aeb_gen_cfg_reserved_1b0_wr_reg; -- AEB General Configuration Area Register "RESERVED_1B0"</t>
  </si>
  <si>
    <t xml:space="preserve">  aeb_gen_cfg_reserved_1b4 : t_aeb_gen_cfg_reserved_1b4_wr_reg; -- AEB General Configuration Area Register "RESERVED_1B4"</t>
  </si>
  <si>
    <t xml:space="preserve">  aeb_gen_cfg_reserved_1b8 : t_aeb_gen_cfg_reserved_1b8_wr_reg; -- AEB General Configuration Area Register "RESERVED_1B8"</t>
  </si>
  <si>
    <t xml:space="preserve">  aeb_gen_cfg_reserved_1bc : t_aeb_gen_cfg_reserved_1bc_wr_reg; -- AEB General Configuration Area Register "RESERVED_1BC"</t>
  </si>
  <si>
    <t xml:space="preserve">  aeb_gen_cfg_reserved_1c0 : t_aeb_gen_cfg_reserved_1c0_wr_reg; -- AEB General Configuration Area Register "RESERVED_1C0"</t>
  </si>
  <si>
    <t xml:space="preserve">  aeb_gen_cfg_reserved_1c4 : t_aeb_gen_cfg_reserved_1c4_wr_reg; -- AEB General Configuration Area Register "RESERVED_1C4"</t>
  </si>
  <si>
    <t xml:space="preserve">  aeb_gen_cfg_reserved_1c8 : t_aeb_gen_cfg_reserved_1c8_wr_reg; -- AEB General Configuration Area Register "RESERVED_1C8"</t>
  </si>
  <si>
    <t xml:space="preserve">  aeb_gen_cfg_reserved_1cc : t_aeb_gen_cfg_reserved_1cc_wr_reg; -- AEB General Configuration Area Register "RESERVED_1CC"</t>
  </si>
  <si>
    <t xml:space="preserve">  aeb_gen_cfg_reserved_1d0 : t_aeb_gen_cfg_reserved_1d0_wr_reg; -- AEB General Configuration Area Register "RESERVED_1D0"</t>
  </si>
  <si>
    <t xml:space="preserve">  aeb_gen_cfg_reserved_1d4 : t_aeb_gen_cfg_reserved_1d4_wr_reg; -- AEB General Configuration Area Register "RESERVED_1D4"</t>
  </si>
  <si>
    <t xml:space="preserve">  aeb_gen_cfg_reserved_1d8 : t_aeb_gen_cfg_reserved_1d8_wr_reg; -- AEB General Configuration Area Register "RESERVED_1D8"</t>
  </si>
  <si>
    <t xml:space="preserve">  aeb_gen_cfg_reserved_1dc : t_aeb_gen_cfg_reserved_1dc_wr_reg; -- AEB General Configuration Area Register "RESERVED_1DC"</t>
  </si>
  <si>
    <t xml:space="preserve">  aeb_gen_cfg_reserved_1e0 : t_aeb_gen_cfg_reserved_1e0_wr_reg; -- AEB General Configuration Area Register "RESERVED_1E0"</t>
  </si>
  <si>
    <t xml:space="preserve">  aeb_gen_cfg_reserved_1e4 : t_aeb_gen_cfg_reserved_1e4_wr_reg; -- AEB General Configuration Area Register "RESERVED_1E4"</t>
  </si>
  <si>
    <t xml:space="preserve">  aeb_gen_cfg_reserved_1e8 : t_aeb_gen_cfg_reserved_1e8_wr_reg; -- AEB General Configuration Area Register "RESERVED_1E8"</t>
  </si>
  <si>
    <t xml:space="preserve">  aeb_gen_cfg_reserved_1ec : t_aeb_gen_cfg_reserved_1ec_wr_reg; -- AEB General Configuration Area Register "RESERVED_1EC"</t>
  </si>
  <si>
    <t xml:space="preserve">  aeb_gen_cfg_reserved_1f0 : t_aeb_gen_cfg_reserved_1f0_wr_reg; -- AEB General Configuration Area Register "RESERVED_1F0"</t>
  </si>
  <si>
    <t xml:space="preserve">  aeb_gen_cfg_reserved_1f4 : t_aeb_gen_cfg_reserved_1f4_wr_reg; -- AEB General Configuration Area Register "RESERVED_1F4"</t>
  </si>
  <si>
    <t xml:space="preserve">  aeb_gen_cfg_reserved_1f8 : t_aeb_gen_cfg_reserved_1f8_wr_reg; -- AEB General Configuration Area Register "RESERVED_1F8"</t>
  </si>
  <si>
    <t xml:space="preserve">  aeb_gen_cfg_reserved_1fc : t_aeb_gen_cfg_reserved_1fc_wr_reg; -- AEB General Configuration Area Register "RESERVED_1FC"</t>
  </si>
  <si>
    <t xml:space="preserve">  aeb_gen_cfg_reserved_200 : t_aeb_gen_cfg_reserved_200_wr_reg; -- AEB General Configuration Area Register "RESERVED_200"</t>
  </si>
  <si>
    <t xml:space="preserve">  aeb_gen_cfg_reserved_204 : t_aeb_gen_cfg_reserved_204_wr_reg; -- AEB General Configuration Area Register "RESERVED_204"</t>
  </si>
  <si>
    <t xml:space="preserve">  aeb_gen_cfg_reserved_208 : t_aeb_gen_cfg_reserved_208_wr_reg; -- AEB General Configuration Area Register "RESERVED_208"</t>
  </si>
  <si>
    <t xml:space="preserve">  aeb_gen_cfg_reserved_20c : t_aeb_gen_cfg_reserved_20c_wr_reg; -- AEB General Configuration Area Register "RESERVED_20C"</t>
  </si>
  <si>
    <t xml:space="preserve">  aeb_gen_cfg_reserved_210 : t_aeb_gen_cfg_reserved_210_wr_reg; -- AEB General Configuration Area Register "RESERVED_210"</t>
  </si>
  <si>
    <t xml:space="preserve">  aeb_gen_cfg_reserved_214 : t_aeb_gen_cfg_reserved_214_wr_reg; -- AEB General Configuration Area Register "RESERVED_214"</t>
  </si>
  <si>
    <t xml:space="preserve">  aeb_gen_cfg_reserved_218 : t_aeb_gen_cfg_reserved_218_wr_reg; -- AEB General Configuration Area Register "RESERVED_218"</t>
  </si>
  <si>
    <t xml:space="preserve">  aeb_gen_cfg_reserved_21c : t_aeb_gen_cfg_reserved_21c_wr_reg; -- AEB General Configuration Area Register "RESERVED_21C"</t>
  </si>
  <si>
    <t xml:space="preserve">  aeb_gen_cfg_reserved_220 : t_aeb_gen_cfg_reserved_220_wr_reg; -- AEB General Configuration Area Register "RESERVED_220"</t>
  </si>
  <si>
    <t xml:space="preserve">  aeb_gen_cfg_reserved_224 : t_aeb_gen_cfg_reserved_224_wr_reg; -- AEB General Configuration Area Register "RESERVED_224"</t>
  </si>
  <si>
    <t xml:space="preserve">  aeb_gen_cfg_reserved_228 : t_aeb_gen_cfg_reserved_228_wr_reg; -- AEB General Configuration Area Register "RESERVED_228"</t>
  </si>
  <si>
    <t xml:space="preserve">  aeb_gen_cfg_reserved_22c : t_aeb_gen_cfg_reserved_22c_wr_reg; -- AEB General Configuration Area Register "RESERVED_22C"</t>
  </si>
  <si>
    <t xml:space="preserve">  aeb_gen_cfg_reserved_230 : t_aeb_gen_cfg_reserved_230_wr_reg; -- AEB General Configuration Area Register "RESERVED_230"</t>
  </si>
  <si>
    <t xml:space="preserve">  aeb_gen_cfg_reserved_234 : t_aeb_gen_cfg_reserved_234_wr_reg; -- AEB General Configuration Area Register "RESERVED_234"</t>
  </si>
  <si>
    <t xml:space="preserve">  aeb_gen_cfg_reserved_238 : t_aeb_gen_cfg_reserved_238_wr_reg; -- AEB General Configuration Area Register "RESERVED_238"</t>
  </si>
  <si>
    <t xml:space="preserve">  aeb_gen_cfg_reserved_23c : t_aeb_gen_cfg_reserved_23c_wr_reg; -- AEB General Configuration Area Register "RESERVED_23C"</t>
  </si>
  <si>
    <t xml:space="preserve">  aeb_gen_cfg_reserved_240 : t_aeb_gen_cfg_reserved_240_wr_reg; -- AEB General Configuration Area Register "RESERVED_240"</t>
  </si>
  <si>
    <t xml:space="preserve">  aeb_gen_cfg_reserved_244 : t_aeb_gen_cfg_reserved_244_wr_reg; -- AEB General Configuration Area Register "RESERVED_244"</t>
  </si>
  <si>
    <t xml:space="preserve">  aeb_gen_cfg_reserved_248 : t_aeb_gen_cfg_reserved_248_wr_reg; -- AEB General Configuration Area Register "RESERVED_248"</t>
  </si>
  <si>
    <t xml:space="preserve">  aeb_gen_cfg_reserved_24c : t_aeb_gen_cfg_reserved_24c_wr_reg; -- AEB General Configuration Area Register "RESERVED_24C"</t>
  </si>
  <si>
    <t xml:space="preserve">  aeb_gen_cfg_reserved_250 : t_aeb_gen_cfg_reserved_250_wr_reg; -- AEB General Configuration Area Register "RESERVED_250"</t>
  </si>
  <si>
    <t xml:space="preserve">  aeb_gen_cfg_reserved_254 : t_aeb_gen_cfg_reserved_254_wr_reg; -- AEB General Configuration Area Register "RESERVED_254"</t>
  </si>
  <si>
    <t xml:space="preserve">  aeb_gen_cfg_reserved_258 : t_aeb_gen_cfg_reserved_258_wr_reg; -- AEB General Configuration Area Register "RESERVED_258"</t>
  </si>
  <si>
    <t xml:space="preserve">  aeb_gen_cfg_reserved_25c : t_aeb_gen_cfg_reserved_25c_wr_reg; -- AEB General Configuration Area Register "RESERVED_25C"</t>
  </si>
  <si>
    <t xml:space="preserve">  aeb_gen_cfg_reserved_260 : t_aeb_gen_cfg_reserved_260_wr_reg; -- AEB General Configuration Area Register "RESERVED_260"</t>
  </si>
  <si>
    <t xml:space="preserve">  aeb_gen_cfg_reserved_264 : t_aeb_gen_cfg_reserved_264_wr_reg; -- AEB General Configuration Area Register "RESERVED_264"</t>
  </si>
  <si>
    <t xml:space="preserve">  aeb_gen_cfg_reserved_268 : t_aeb_gen_cfg_reserved_268_wr_reg; -- AEB General Configuration Area Register "RESERVED_268"</t>
  </si>
  <si>
    <t xml:space="preserve">  aeb_gen_cfg_reserved_26c : t_aeb_gen_cfg_reserved_26c_wr_reg; -- AEB General Configuration Area Register "RESERVED_26C"</t>
  </si>
  <si>
    <t xml:space="preserve">  aeb_gen_cfg_reserved_270 : t_aeb_gen_cfg_reserved_270_wr_reg; -- AEB General Configuration Area Register "RESERVED_270"</t>
  </si>
  <si>
    <t xml:space="preserve">  aeb_gen_cfg_reserved_274 : t_aeb_gen_cfg_reserved_274_wr_reg; -- AEB General Configuration Area Register "RESERVED_274"</t>
  </si>
  <si>
    <t xml:space="preserve">  aeb_gen_cfg_reserved_278 : t_aeb_gen_cfg_reserved_278_wr_reg; -- AEB General Configuration Area Register "RESERVED_278"</t>
  </si>
  <si>
    <t xml:space="preserve">  aeb_gen_cfg_reserved_27c : t_aeb_gen_cfg_reserved_27c_wr_reg; -- AEB General Configuration Area Register "RESERVED_27C"</t>
  </si>
  <si>
    <t xml:space="preserve">  aeb_gen_cfg_reserved_280 : t_aeb_gen_cfg_reserved_280_wr_reg; -- AEB General Configuration Area Register "RESERVED_280"</t>
  </si>
  <si>
    <t xml:space="preserve">  aeb_gen_cfg_reserved_284 : t_aeb_gen_cfg_reserved_284_wr_reg; -- AEB General Configuration Area Register "RESERVED_284"</t>
  </si>
  <si>
    <t xml:space="preserve">  aeb_gen_cfg_reserved_288 : t_aeb_gen_cfg_reserved_288_wr_reg; -- AEB General Configuration Area Register "RESERVED_288"</t>
  </si>
  <si>
    <t xml:space="preserve">  aeb_gen_cfg_reserved_28c : t_aeb_gen_cfg_reserved_28c_wr_reg; -- AEB General Configuration Area Register "RESERVED_28C"</t>
  </si>
  <si>
    <t xml:space="preserve">  aeb_gen_cfg_reserved_290 : t_aeb_gen_cfg_reserved_290_wr_reg; -- AEB General Configuration Area Register "RESERVED_290"</t>
  </si>
  <si>
    <t xml:space="preserve">  aeb_gen_cfg_reserved_294 : t_aeb_gen_cfg_reserved_294_wr_reg; -- AEB General Configuration Area Register "RESERVED_294"</t>
  </si>
  <si>
    <t xml:space="preserve">  aeb_gen_cfg_reserved_298 : t_aeb_gen_cfg_reserved_298_wr_reg; -- AEB General Configuration Area Register "RESERVED_298"</t>
  </si>
  <si>
    <t xml:space="preserve">  aeb_gen_cfg_reserved_29c : t_aeb_gen_cfg_reserved_29c_wr_reg; -- AEB General Configuration Area Register "RESERVED_29C"</t>
  </si>
  <si>
    <t xml:space="preserve">  aeb_gen_cfg_reserved_2a0 : t_aeb_gen_cfg_reserved_2a0_wr_reg; -- AEB General Configuration Area Register "RESERVED_2A0"</t>
  </si>
  <si>
    <t xml:space="preserve">  aeb_gen_cfg_reserved_2a4 : t_aeb_gen_cfg_reserved_2a4_wr_reg; -- AEB General Configuration Area Register "RESERVED_2A4"</t>
  </si>
  <si>
    <t xml:space="preserve">  aeb_gen_cfg_reserved_2a8 : t_aeb_gen_cfg_reserved_2a8_wr_reg; -- AEB General Configuration Area Register "RESERVED_2A8"</t>
  </si>
  <si>
    <t xml:space="preserve">  aeb_gen_cfg_reserved_2ac : t_aeb_gen_cfg_reserved_2ac_wr_reg; -- AEB General Configuration Area Register "RESERVED_2AC"</t>
  </si>
  <si>
    <t xml:space="preserve">  aeb_gen_cfg_reserved_2b0 : t_aeb_gen_cfg_reserved_2b0_wr_reg; -- AEB General Configuration Area Register "RESERVED_2B0"</t>
  </si>
  <si>
    <t xml:space="preserve">  aeb_gen_cfg_reserved_2b4 : t_aeb_gen_cfg_reserved_2b4_wr_reg; -- AEB General Configuration Area Register "RESERVED_2B4"</t>
  </si>
  <si>
    <t xml:space="preserve">  aeb_gen_cfg_reserved_2b8 : t_aeb_gen_cfg_reserved_2b8_wr_reg; -- AEB General Configuration Area Register "RESERVED_2B8"</t>
  </si>
  <si>
    <t xml:space="preserve">  aeb_gen_cfg_reserved_2bc : t_aeb_gen_cfg_reserved_2bc_wr_reg; -- AEB General Configuration Area Register "RESERVED_2BC"</t>
  </si>
  <si>
    <t xml:space="preserve">  aeb_gen_cfg_reserved_2c0 : t_aeb_gen_cfg_reserved_2c0_wr_reg; -- AEB General Configuration Area Register "RESERVED_2C0"</t>
  </si>
  <si>
    <t xml:space="preserve">  aeb_gen_cfg_reserved_2c4 : t_aeb_gen_cfg_reserved_2c4_wr_reg; -- AEB General Configuration Area Register "RESERVED_2C4"</t>
  </si>
  <si>
    <t xml:space="preserve">  aeb_gen_cfg_reserved_2c8 : t_aeb_gen_cfg_reserved_2c8_wr_reg; -- AEB General Configuration Area Register "RESERVED_2C8"</t>
  </si>
  <si>
    <t xml:space="preserve">  aeb_gen_cfg_reserved_2cc : t_aeb_gen_cfg_reserved_2cc_wr_reg; -- AEB General Configuration Area Register "RESERVED_2CC"</t>
  </si>
  <si>
    <t xml:space="preserve">  aeb_gen_cfg_reserved_2d0 : t_aeb_gen_cfg_reserved_2d0_wr_reg; -- AEB General Configuration Area Register "RESERVED_2D0"</t>
  </si>
  <si>
    <t xml:space="preserve">  aeb_gen_cfg_reserved_2d4 : t_aeb_gen_cfg_reserved_2d4_wr_reg; -- AEB General Configuration Area Register "RESERVED_2D4"</t>
  </si>
  <si>
    <t xml:space="preserve">  aeb_gen_cfg_reserved_2d8 : t_aeb_gen_cfg_reserved_2d8_wr_reg; -- AEB General Configuration Area Register "RESERVED_2D8"</t>
  </si>
  <si>
    <t xml:space="preserve">  aeb_gen_cfg_reserved_2dc : t_aeb_gen_cfg_reserved_2dc_wr_reg; -- AEB General Configuration Area Register "RESERVED_2DC"</t>
  </si>
  <si>
    <t xml:space="preserve">  aeb_gen_cfg_reserved_2e0 : t_aeb_gen_cfg_reserved_2e0_wr_reg; -- AEB General Configuration Area Register "RESERVED_2E0"</t>
  </si>
  <si>
    <t xml:space="preserve">  aeb_gen_cfg_reserved_2e4 : t_aeb_gen_cfg_reserved_2e4_wr_reg; -- AEB General Configuration Area Register "RESERVED_2E4"</t>
  </si>
  <si>
    <t xml:space="preserve">  aeb_gen_cfg_reserved_2e8 : t_aeb_gen_cfg_reserved_2e8_wr_reg; -- AEB General Configuration Area Register "RESERVED_2E8"</t>
  </si>
  <si>
    <t xml:space="preserve">  aeb_gen_cfg_reserved_2ec : t_aeb_gen_cfg_reserved_2ec_wr_reg; -- AEB General Configuration Area Register "RESERVED_2EC"</t>
  </si>
  <si>
    <t xml:space="preserve">  aeb_gen_cfg_reserved_2f0 : t_aeb_gen_cfg_reserved_2f0_wr_reg; -- AEB General Configuration Area Register "RESERVED_2F0"</t>
  </si>
  <si>
    <t xml:space="preserve">  aeb_gen_cfg_reserved_2f4 : t_aeb_gen_cfg_reserved_2f4_wr_reg; -- AEB General Configuration Area Register "RESERVED_2F4"</t>
  </si>
  <si>
    <t xml:space="preserve">  aeb_gen_cfg_reserved_2f8 : t_aeb_gen_cfg_reserved_2f8_wr_reg; -- AEB General Configuration Area Register "RESERVED_2F8"</t>
  </si>
  <si>
    <t xml:space="preserve">  aeb_gen_cfg_reserved_2fc : t_aeb_gen_cfg_reserved_2fc_wr_reg; -- AEB General Configuration Area Register "RESERVED_2FC"</t>
  </si>
  <si>
    <t xml:space="preserve">  aeb_gen_cfg_reserved_300 : t_aeb_gen_cfg_reserved_300_wr_reg; -- AEB General Configuration Area Register "RESERVED_300"</t>
  </si>
  <si>
    <t xml:space="preserve">  aeb_gen_cfg_reserved_304 : t_aeb_gen_cfg_reserved_304_wr_reg; -- AEB General Configuration Area Register "RESERVED_304"</t>
  </si>
  <si>
    <t xml:space="preserve">  aeb_gen_cfg_reserved_308 : t_aeb_gen_cfg_reserved_308_wr_reg; -- AEB General Configuration Area Register "RESERVED_308"</t>
  </si>
  <si>
    <t xml:space="preserve">  aeb_gen_cfg_reserved_30c : t_aeb_gen_cfg_reserved_30c_wr_reg; -- AEB General Configuration Area Register "RESERVED_30C"</t>
  </si>
  <si>
    <t xml:space="preserve">  aeb_gen_cfg_reserved_310 : t_aeb_gen_cfg_reserved_310_wr_reg; -- AEB General Configuration Area Register "RESERVED_310"</t>
  </si>
  <si>
    <t xml:space="preserve">  aeb_gen_cfg_reserved_314 : t_aeb_gen_cfg_reserved_314_wr_reg; -- AEB General Configuration Area Register "RESERVED_314"</t>
  </si>
  <si>
    <t xml:space="preserve">  aeb_gen_cfg_reserved_318 : t_aeb_gen_cfg_reserved_318_wr_reg; -- AEB General Configuration Area Register "RESERVED_318"</t>
  </si>
  <si>
    <t xml:space="preserve">  aeb_gen_cfg_reserved_31c : t_aeb_gen_cfg_reserved_31c_wr_reg; -- AEB General Configuration Area Register "RESERVED_31C"</t>
  </si>
  <si>
    <t xml:space="preserve">  aeb_gen_cfg_reserved_320 : t_aeb_gen_cfg_reserved_320_wr_reg; -- AEB General Configuration Area Register "RESERVED_320"</t>
  </si>
  <si>
    <t xml:space="preserve">  aeb_gen_cfg_reserved_324 : t_aeb_gen_cfg_reserved_324_wr_reg; -- AEB General Configuration Area Register "RESERVED_324"</t>
  </si>
  <si>
    <t xml:space="preserve">  aeb_gen_cfg_reserved_328 : t_aeb_gen_cfg_reserved_328_wr_reg; -- AEB General Configuration Area Register "RESERVED_328"</t>
  </si>
  <si>
    <t xml:space="preserve">  aeb_gen_cfg_reserved_32c : t_aeb_gen_cfg_reserved_32c_wr_reg; -- AEB General Configuration Area Register "RESERVED_32C"</t>
  </si>
  <si>
    <t xml:space="preserve">  aeb_gen_cfg_reserved_330 : t_aeb_gen_cfg_reserved_330_wr_reg; -- AEB General Configuration Area Register "RESERVED_330"</t>
  </si>
  <si>
    <t xml:space="preserve">  aeb_gen_cfg_reserved_334 : t_aeb_gen_cfg_reserved_334_wr_reg; -- AEB General Configuration Area Register "RESERVED_334"</t>
  </si>
  <si>
    <t xml:space="preserve">  aeb_gen_cfg_reserved_338 : t_aeb_gen_cfg_reserved_338_wr_reg; -- AEB General Configuration Area Register "RESERVED_338"</t>
  </si>
  <si>
    <t xml:space="preserve">  aeb_gen_cfg_reserved_33c : t_aeb_gen_cfg_reserved_33c_wr_reg; -- AEB General Configuration Area Register "RESERVED_33C"</t>
  </si>
  <si>
    <t xml:space="preserve">  aeb_gen_cfg_reserved_340 : t_aeb_gen_cfg_reserved_340_wr_reg; -- AEB General Configuration Area Register "RESERVED_340"</t>
  </si>
  <si>
    <t xml:space="preserve">  aeb_gen_cfg_reserved_344 : t_aeb_gen_cfg_reserved_344_wr_reg; -- AEB General Configuration Area Register "RESERVED_344"</t>
  </si>
  <si>
    <t xml:space="preserve">  aeb_gen_cfg_reserved_348 : t_aeb_gen_cfg_reserved_348_wr_reg; -- AEB General Configuration Area Register "RESERVED_348"</t>
  </si>
  <si>
    <t xml:space="preserve">  aeb_gen_cfg_reserved_34c : t_aeb_gen_cfg_reserved_34c_wr_reg; -- AEB General Configuration Area Register "RESERVED_34C"</t>
  </si>
  <si>
    <t xml:space="preserve">  aeb_gen_cfg_reserved_350 : t_aeb_gen_cfg_reserved_350_wr_reg; -- AEB General Configuration Area Register "RESERVED_350"</t>
  </si>
  <si>
    <t xml:space="preserve">  aeb_gen_cfg_reserved_354 : t_aeb_gen_cfg_reserved_354_wr_reg; -- AEB General Configuration Area Register "RESERVED_354"</t>
  </si>
  <si>
    <t xml:space="preserve">  aeb_gen_cfg_reserved_358 : t_aeb_gen_cfg_reserved_358_wr_reg; -- AEB General Configuration Area Register "RESERVED_358"</t>
  </si>
  <si>
    <t xml:space="preserve">  aeb_gen_cfg_reserved_35c : t_aeb_gen_cfg_reserved_35c_wr_reg; -- AEB General Configuration Area Register "RESERVED_35C"</t>
  </si>
  <si>
    <t xml:space="preserve">  aeb_gen_cfg_reserved_360 : t_aeb_gen_cfg_reserved_360_wr_reg; -- AEB General Configuration Area Register "RESERVED_360"</t>
  </si>
  <si>
    <t xml:space="preserve">  aeb_gen_cfg_reserved_364 : t_aeb_gen_cfg_reserved_364_wr_reg; -- AEB General Configuration Area Register "RESERVED_364"</t>
  </si>
  <si>
    <t xml:space="preserve">  aeb_gen_cfg_reserved_368 : t_aeb_gen_cfg_reserved_368_wr_reg; -- AEB General Configuration Area Register "RESERVED_368"</t>
  </si>
  <si>
    <t xml:space="preserve">  aeb_gen_cfg_reserved_36c : t_aeb_gen_cfg_reserved_36c_wr_reg; -- AEB General Configuration Area Register "RESERVED_36C"</t>
  </si>
  <si>
    <t xml:space="preserve">  aeb_gen_cfg_reserved_370 : t_aeb_gen_cfg_reserved_370_wr_reg; -- AEB General Configuration Area Register "RESERVED_370"</t>
  </si>
  <si>
    <t xml:space="preserve">  aeb_gen_cfg_reserved_374 : t_aeb_gen_cfg_reserved_374_wr_reg; -- AEB General Configuration Area Register "RESERVED_374"</t>
  </si>
  <si>
    <t xml:space="preserve">  aeb_gen_cfg_reserved_378 : t_aeb_gen_cfg_reserved_378_wr_reg; -- AEB General Configuration Area Register "RESERVED_378"</t>
  </si>
  <si>
    <t xml:space="preserve">  aeb_gen_cfg_reserved_37c : t_aeb_gen_cfg_reserved_37c_wr_reg; -- AEB General Configuration Area Register "RESERVED_37C"</t>
  </si>
  <si>
    <t xml:space="preserve">  aeb_gen_cfg_reserved_380 : t_aeb_gen_cfg_reserved_380_wr_reg; -- AEB General Configuration Area Register "RESERVED_380"</t>
  </si>
  <si>
    <t xml:space="preserve">  aeb_gen_cfg_reserved_384 : t_aeb_gen_cfg_reserved_384_wr_reg; -- AEB General Configuration Area Register "RESERVED_384"</t>
  </si>
  <si>
    <t xml:space="preserve">  aeb_gen_cfg_reserved_388 : t_aeb_gen_cfg_reserved_388_wr_reg; -- AEB General Configuration Area Register "RESERVED_388"</t>
  </si>
  <si>
    <t xml:space="preserve">  aeb_gen_cfg_reserved_38c : t_aeb_gen_cfg_reserved_38c_wr_reg; -- AEB General Configuration Area Register "RESERVED_38C"</t>
  </si>
  <si>
    <t xml:space="preserve">  aeb_gen_cfg_reserved_390 : t_aeb_gen_cfg_reserved_390_wr_reg; -- AEB General Configuration Area Register "RESERVED_390"</t>
  </si>
  <si>
    <t xml:space="preserve">  aeb_gen_cfg_reserved_394 : t_aeb_gen_cfg_reserved_394_wr_reg; -- AEB General Configuration Area Register "RESERVED_394"</t>
  </si>
  <si>
    <t xml:space="preserve">  aeb_gen_cfg_reserved_398 : t_aeb_gen_cfg_reserved_398_wr_reg; -- AEB General Configuration Area Register "RESERVED_398"</t>
  </si>
  <si>
    <t xml:space="preserve">  aeb_gen_cfg_reserved_39c : t_aeb_gen_cfg_reserved_39c_wr_reg; -- AEB General Configuration Area Register "RESERVED_39C"</t>
  </si>
  <si>
    <t xml:space="preserve">  aeb_gen_cfg_reserved_3a0 : t_aeb_gen_cfg_reserved_3a0_wr_reg; -- AEB General Configuration Area Register "RESERVED_3A0"</t>
  </si>
  <si>
    <t xml:space="preserve">  aeb_gen_cfg_reserved_3a4 : t_aeb_gen_cfg_reserved_3a4_wr_reg; -- AEB General Configuration Area Register "RESERVED_3A4"</t>
  </si>
  <si>
    <t xml:space="preserve">  aeb_gen_cfg_reserved_3a8 : t_aeb_gen_cfg_reserved_3a8_wr_reg; -- AEB General Configuration Area Register "RESERVED_3A8"</t>
  </si>
  <si>
    <t xml:space="preserve">  aeb_gen_cfg_reserved_3ac : t_aeb_gen_cfg_reserved_3ac_wr_reg; -- AEB General Configuration Area Register "RESERVED_3AC"</t>
  </si>
  <si>
    <t xml:space="preserve">  aeb_gen_cfg_reserved_3b0 : t_aeb_gen_cfg_reserved_3b0_wr_reg; -- AEB General Configuration Area Register "RESERVED_3B0"</t>
  </si>
  <si>
    <t xml:space="preserve">  aeb_gen_cfg_reserved_3b4 : t_aeb_gen_cfg_reserved_3b4_wr_reg; -- AEB General Configuration Area Register "RESERVED_3B4"</t>
  </si>
  <si>
    <t xml:space="preserve">  aeb_gen_cfg_reserved_3b8 : t_aeb_gen_cfg_reserved_3b8_wr_reg; -- AEB General Configuration Area Register "RESERVED_3B8"</t>
  </si>
  <si>
    <t xml:space="preserve">  aeb_gen_cfg_reserved_3bc : t_aeb_gen_cfg_reserved_3bc_wr_reg; -- AEB General Configuration Area Register "RESERVED_3BC"</t>
  </si>
  <si>
    <t xml:space="preserve">  aeb_gen_cfg_reserved_3c0 : t_aeb_gen_cfg_reserved_3c0_wr_reg; -- AEB General Configuration Area Register "RESERVED_3C0"</t>
  </si>
  <si>
    <t xml:space="preserve">  aeb_gen_cfg_reserved_3c4 : t_aeb_gen_cfg_reserved_3c4_wr_reg; -- AEB General Configuration Area Register "RESERVED_3C4"</t>
  </si>
  <si>
    <t xml:space="preserve">  aeb_gen_cfg_reserved_3c8 : t_aeb_gen_cfg_reserved_3c8_wr_reg; -- AEB General Configuration Area Register "RESERVED_3C8"</t>
  </si>
  <si>
    <t xml:space="preserve">  aeb_gen_cfg_reserved_3cc : t_aeb_gen_cfg_reserved_3cc_wr_reg; -- AEB General Configuration Area Register "RESERVED_3CC"</t>
  </si>
  <si>
    <t xml:space="preserve">  aeb_gen_cfg_reserved_3d0 : t_aeb_gen_cfg_reserved_3d0_wr_reg; -- AEB General Configuration Area Register "RESERVED_3D0"</t>
  </si>
  <si>
    <t xml:space="preserve">  aeb_gen_cfg_reserved_3d4 : t_aeb_gen_cfg_reserved_3d4_wr_reg; -- AEB General Configuration Area Register "RESERVED_3D4"</t>
  </si>
  <si>
    <t xml:space="preserve">  aeb_gen_cfg_reserved_3d8 : t_aeb_gen_cfg_reserved_3d8_wr_reg; -- AEB General Configuration Area Register "RESERVED_3D8"</t>
  </si>
  <si>
    <t xml:space="preserve">  aeb_gen_cfg_reserved_3dc : t_aeb_gen_cfg_reserved_3dc_wr_reg; -- AEB General Configuration Area Register "RESERVED_3DC"</t>
  </si>
  <si>
    <t xml:space="preserve">  aeb_gen_cfg_reserved_3e0 : t_aeb_gen_cfg_reserved_3e0_wr_reg; -- AEB General Configuration Area Register "RESERVED_3E0"</t>
  </si>
  <si>
    <t xml:space="preserve">  aeb_gen_cfg_reserved_3e4 : t_aeb_gen_cfg_reserved_3e4_wr_reg; -- AEB General Configuration Area Register "RESERVED_3E4"</t>
  </si>
  <si>
    <t xml:space="preserve">  aeb_gen_cfg_reserved_3e8 : t_aeb_gen_cfg_reserved_3e8_wr_reg; -- AEB General Configuration Area Register "RESERVED_3E8"</t>
  </si>
  <si>
    <t xml:space="preserve">  aeb_gen_cfg_reserved_3ec : t_aeb_gen_cfg_reserved_3ec_wr_reg; -- AEB General Configuration Area Register "RESERVED_3EC"</t>
  </si>
  <si>
    <t xml:space="preserve">  aeb_gen_cfg_reserved_3f0 : t_aeb_gen_cfg_reserved_3f0_wr_reg; -- AEB General Configuration Area Register "RESERVED_3F0"</t>
  </si>
  <si>
    <t xml:space="preserve">  aeb_gen_cfg_reserved_3f4 : t_aeb_gen_cfg_reserved_3f4_wr_reg; -- AEB General Configuration Area Register "RESERVED_3F4"</t>
  </si>
  <si>
    <t xml:space="preserve">  aeb_gen_cfg_reserved_3f8 : t_aeb_gen_cfg_reserved_3f8_wr_reg; -- AEB General Configuration Area Register "RESERVED_3F8"</t>
  </si>
  <si>
    <t xml:space="preserve">  aeb_gen_cfg_reserved_3fc : t_aeb_gen_cfg_reserved_3fc_wr_reg; -- AEB General Configuration Area Register "RESERVED_3FC"</t>
  </si>
  <si>
    <t xml:space="preserve">  aeb_gen_cfg_reserved_400 : t_aeb_gen_cfg_reserved_400_wr_reg; -- AEB General Configuration Area Register "RESERVED_400"</t>
  </si>
  <si>
    <t xml:space="preserve">  aeb_gen_cfg_reserved_404 : t_aeb_gen_cfg_reserved_404_wr_reg; -- AEB General Configuration Area Register "RESERVED_404"</t>
  </si>
  <si>
    <t xml:space="preserve">  aeb_gen_cfg_reserved_408 : t_aeb_gen_cfg_reserved_408_wr_reg; -- AEB General Configuration Area Register "RESERVED_408"</t>
  </si>
  <si>
    <t xml:space="preserve">  aeb_gen_cfg_reserved_40c : t_aeb_gen_cfg_reserved_40c_wr_reg; -- AEB General Configuration Area Register "RESERVED_40C"</t>
  </si>
  <si>
    <t xml:space="preserve">  aeb_gen_cfg_reserved_410 : t_aeb_gen_cfg_reserved_410_wr_reg; -- AEB General Configuration Area Register "RESERVED_410"</t>
  </si>
  <si>
    <t xml:space="preserve">  aeb_gen_cfg_reserved_414 : t_aeb_gen_cfg_reserved_414_wr_reg; -- AEB General Configuration Area Register "RESERVED_414"</t>
  </si>
  <si>
    <t xml:space="preserve">  aeb_gen_cfg_reserved_418 : t_aeb_gen_cfg_reserved_418_wr_reg; -- AEB General Configuration Area Register "RESERVED_418"</t>
  </si>
  <si>
    <t xml:space="preserve">  aeb_gen_cfg_reserved_41c : t_aeb_gen_cfg_reserved_41c_wr_reg; -- AEB General Configuration Area Register "RESERVED_41C"</t>
  </si>
  <si>
    <t xml:space="preserve">  aeb_gen_cfg_reserved_420 : t_aeb_gen_cfg_reserved_420_wr_reg; -- AEB General Configuration Area Register "RESERVED_420"</t>
  </si>
  <si>
    <t xml:space="preserve">  aeb_gen_cfg_reserved_424 : t_aeb_gen_cfg_reserved_424_wr_reg; -- AEB General Configuration Area Register "RESERVED_424"</t>
  </si>
  <si>
    <t xml:space="preserve">  aeb_gen_cfg_reserved_428 : t_aeb_gen_cfg_reserved_428_wr_reg; -- AEB General Configuration Area Register "RESERVED_428"</t>
  </si>
  <si>
    <t xml:space="preserve">  aeb_gen_cfg_reserved_42c : t_aeb_gen_cfg_reserved_42c_wr_reg; -- AEB General Configuration Area Register "RESERVED_42C"</t>
  </si>
  <si>
    <t xml:space="preserve">  aeb_gen_cfg_reserved_430 : t_aeb_gen_cfg_reserved_430_wr_reg; -- AEB General Configuration Area Register "RESERVED_430"</t>
  </si>
  <si>
    <t xml:space="preserve">  aeb_gen_cfg_reserved_434 : t_aeb_gen_cfg_reserved_434_wr_reg; -- AEB General Configuration Area Register "RESERVED_434"</t>
  </si>
  <si>
    <t xml:space="preserve">  aeb_gen_cfg_reserved_438 : t_aeb_gen_cfg_reserved_438_wr_reg; -- AEB General Configuration Area Register "RESERVED_438"</t>
  </si>
  <si>
    <t xml:space="preserve">  aeb_gen_cfg_reserved_43c : t_aeb_gen_cfg_reserved_43c_wr_reg; -- AEB General Configuration Area Register "RESERVED_43C"</t>
  </si>
  <si>
    <t xml:space="preserve">  aeb_gen_cfg_reserved_440 : t_aeb_gen_cfg_reserved_440_wr_reg; -- AEB General Configuration Area Register "RESERVED_440"</t>
  </si>
  <si>
    <t xml:space="preserve">  aeb_gen_cfg_reserved_444 : t_aeb_gen_cfg_reserved_444_wr_reg; -- AEB General Configuration Area Register "RESERVED_444"</t>
  </si>
  <si>
    <t xml:space="preserve">  aeb_gen_cfg_reserved_448 : t_aeb_gen_cfg_reserved_448_wr_reg; -- AEB General Configuration Area Register "RESERVED_448"</t>
  </si>
  <si>
    <t xml:space="preserve">  aeb_gen_cfg_reserved_44c : t_aeb_gen_cfg_reserved_44c_wr_reg; -- AEB General Configuration Area Register "RESERVED_44C"</t>
  </si>
  <si>
    <t xml:space="preserve">  aeb_gen_cfg_reserved_450 : t_aeb_gen_cfg_reserved_450_wr_reg; -- AEB General Configuration Area Register "RESERVED_450"</t>
  </si>
  <si>
    <t xml:space="preserve">  aeb_gen_cfg_reserved_454 : t_aeb_gen_cfg_reserved_454_wr_reg; -- AEB General Configuration Area Register "RESERVED_454"</t>
  </si>
  <si>
    <t xml:space="preserve">  aeb_gen_cfg_reserved_458 : t_aeb_gen_cfg_reserved_458_wr_reg; -- AEB General Configuration Area Register "RESERVED_458"</t>
  </si>
  <si>
    <t xml:space="preserve">  aeb_gen_cfg_reserved_45c : t_aeb_gen_cfg_reserved_45c_wr_reg; -- AEB General Configuration Area Register "RESERVED_45C"</t>
  </si>
  <si>
    <t xml:space="preserve">  aeb_gen_cfg_reserved_460 : t_aeb_gen_cfg_reserved_460_wr_reg; -- AEB General Configuration Area Register "RESERVED_460"</t>
  </si>
  <si>
    <t xml:space="preserve">  aeb_gen_cfg_reserved_464 : t_aeb_gen_cfg_reserved_464_wr_reg; -- AEB General Configuration Area Register "RESERVED_464"</t>
  </si>
  <si>
    <t xml:space="preserve">  aeb_gen_cfg_reserved_468 : t_aeb_gen_cfg_reserved_468_wr_reg; -- AEB General Configuration Area Register "RESERVED_468"</t>
  </si>
  <si>
    <t xml:space="preserve">  aeb_gen_cfg_reserved_46c : t_aeb_gen_cfg_reserved_46c_wr_reg; -- AEB General Configuration Area Register "RESERVED_46C"</t>
  </si>
  <si>
    <t xml:space="preserve">  aeb_gen_cfg_reserved_470 : t_aeb_gen_cfg_reserved_470_wr_reg; -- AEB General Configuration Area Register "RESERVED_470"</t>
  </si>
  <si>
    <t xml:space="preserve">  aeb_gen_cfg_reserved_474 : t_aeb_gen_cfg_reserved_474_wr_reg; -- AEB General Configuration Area Register "RESERVED_474"</t>
  </si>
  <si>
    <t xml:space="preserve">  aeb_gen_cfg_reserved_478 : t_aeb_gen_cfg_reserved_478_wr_reg; -- AEB General Configuration Area Register "RESERVED_478"</t>
  </si>
  <si>
    <t xml:space="preserve">  aeb_gen_cfg_reserved_47c : t_aeb_gen_cfg_reserved_47c_wr_reg; -- AEB General Configuration Area Register "RESERVED_47C"</t>
  </si>
  <si>
    <t xml:space="preserve">  aeb_gen_cfg_reserved_480 : t_aeb_gen_cfg_reserved_480_wr_reg; -- AEB General Configuration Area Register "RESERVED_480"</t>
  </si>
  <si>
    <t xml:space="preserve">  aeb_gen_cfg_reserved_484 : t_aeb_gen_cfg_reserved_484_wr_reg; -- AEB General Configuration Area Register "RESERVED_484"</t>
  </si>
  <si>
    <t xml:space="preserve">  aeb_gen_cfg_reserved_488 : t_aeb_gen_cfg_reserved_488_wr_reg; -- AEB General Configuration Area Register "RESERVED_488"</t>
  </si>
  <si>
    <t xml:space="preserve">  aeb_gen_cfg_reserved_48c : t_aeb_gen_cfg_reserved_48c_wr_reg; -- AEB General Configuration Area Register "RESERVED_48C"</t>
  </si>
  <si>
    <t xml:space="preserve">  aeb_gen_cfg_reserved_490 : t_aeb_gen_cfg_reserved_490_wr_reg; -- AEB General Configuration Area Register "RESERVED_490"</t>
  </si>
  <si>
    <t xml:space="preserve">  aeb_gen_cfg_reserved_494 : t_aeb_gen_cfg_reserved_494_wr_reg; -- AEB General Configuration Area Register "RESERVED_494"</t>
  </si>
  <si>
    <t xml:space="preserve">  aeb_gen_cfg_reserved_498 : t_aeb_gen_cfg_reserved_498_wr_reg; -- AEB General Configuration Area Register "RESERVED_498"</t>
  </si>
  <si>
    <t xml:space="preserve">  aeb_gen_cfg_reserved_49c : t_aeb_gen_cfg_reserved_49c_wr_reg; -- AEB General Configuration Area Register "RESERVED_49C"</t>
  </si>
  <si>
    <t xml:space="preserve">  aeb_gen_cfg_reserved_4a0 : t_aeb_gen_cfg_reserved_4a0_wr_reg; -- AEB General Configuration Area Register "RESERVED_4A0"</t>
  </si>
  <si>
    <t xml:space="preserve">  aeb_gen_cfg_reserved_4a4 : t_aeb_gen_cfg_reserved_4a4_wr_reg; -- AEB General Configuration Area Register "RESERVED_4A4"</t>
  </si>
  <si>
    <t xml:space="preserve">  aeb_gen_cfg_reserved_4a8 : t_aeb_gen_cfg_reserved_4a8_wr_reg; -- AEB General Configuration Area Register "RESERVED_4A8"</t>
  </si>
  <si>
    <t xml:space="preserve">  aeb_gen_cfg_reserved_4ac : t_aeb_gen_cfg_reserved_4ac_wr_reg; -- AEB General Configuration Area Register "RESERVED_4AC"</t>
  </si>
  <si>
    <t xml:space="preserve">  aeb_gen_cfg_reserved_4b0 : t_aeb_gen_cfg_reserved_4b0_wr_reg; -- AEB General Configuration Area Register "RESERVED_4B0"</t>
  </si>
  <si>
    <t xml:space="preserve">  aeb_gen_cfg_reserved_4b4 : t_aeb_gen_cfg_reserved_4b4_wr_reg; -- AEB General Configuration Area Register "RESERVED_4B4"</t>
  </si>
  <si>
    <t xml:space="preserve">  aeb_gen_cfg_reserved_4b8 : t_aeb_gen_cfg_reserved_4b8_wr_reg; -- AEB General Configuration Area Register "RESERVED_4B8"</t>
  </si>
  <si>
    <t xml:space="preserve">  aeb_gen_cfg_reserved_4bc : t_aeb_gen_cfg_reserved_4bc_wr_reg; -- AEB General Configuration Area Register "RESERVED_4BC"</t>
  </si>
  <si>
    <t xml:space="preserve">  aeb_gen_cfg_reserved_4c0 : t_aeb_gen_cfg_reserved_4c0_wr_reg; -- AEB General Configuration Area Register "RESERVED_4C0"</t>
  </si>
  <si>
    <t xml:space="preserve">  aeb_gen_cfg_reserved_4c4 : t_aeb_gen_cfg_reserved_4c4_wr_reg; -- AEB General Configuration Area Register "RESERVED_4C4"</t>
  </si>
  <si>
    <t xml:space="preserve">  aeb_gen_cfg_reserved_4c8 : t_aeb_gen_cfg_reserved_4c8_wr_reg; -- AEB General Configuration Area Register "RESERVED_4C8"</t>
  </si>
  <si>
    <t xml:space="preserve">  aeb_gen_cfg_reserved_4cc : t_aeb_gen_cfg_reserved_4cc_wr_reg; -- AEB General Configuration Area Register "RESERVED_4CC"</t>
  </si>
  <si>
    <t xml:space="preserve">  aeb_gen_cfg_reserved_4d0 : t_aeb_gen_cfg_reserved_4d0_wr_reg; -- AEB General Configuration Area Register "RESERVED_4D0"</t>
  </si>
  <si>
    <t xml:space="preserve">  aeb_gen_cfg_reserved_4d4 : t_aeb_gen_cfg_reserved_4d4_wr_reg; -- AEB General Configuration Area Register "RESERVED_4D4"</t>
  </si>
  <si>
    <t xml:space="preserve">  aeb_gen_cfg_reserved_4d8 : t_aeb_gen_cfg_reserved_4d8_wr_reg; -- AEB General Configuration Area Register "RESERVED_4D8"</t>
  </si>
  <si>
    <t xml:space="preserve">  aeb_gen_cfg_reserved_4dc : t_aeb_gen_cfg_reserved_4dc_wr_reg; -- AEB General Configuration Area Register "RESERVED_4DC"</t>
  </si>
  <si>
    <t xml:space="preserve">  aeb_gen_cfg_reserved_4e0 : t_aeb_gen_cfg_reserved_4e0_wr_reg; -- AEB General Configuration Area Register "RESERVED_4E0"</t>
  </si>
  <si>
    <t xml:space="preserve">  aeb_gen_cfg_reserved_4e4 : t_aeb_gen_cfg_reserved_4e4_wr_reg; -- AEB General Configuration Area Register "RESERVED_4E4"</t>
  </si>
  <si>
    <t xml:space="preserve">  aeb_gen_cfg_reserved_4e8 : t_aeb_gen_cfg_reserved_4e8_wr_reg; -- AEB General Configuration Area Register "RESERVED_4E8"</t>
  </si>
  <si>
    <t xml:space="preserve">  aeb_gen_cfg_reserved_4ec : t_aeb_gen_cfg_reserved_4ec_wr_reg; -- AEB General Configuration Area Register "RESERVED_4EC"</t>
  </si>
  <si>
    <t xml:space="preserve">  aeb_gen_cfg_reserved_4f0 : t_aeb_gen_cfg_reserved_4f0_wr_reg; -- AEB General Configuration Area Register "RESERVED_4F0"</t>
  </si>
  <si>
    <t xml:space="preserve">  aeb_gen_cfg_reserved_4f4 : t_aeb_gen_cfg_reserved_4f4_wr_reg; -- AEB General Configuration Area Register "RESERVED_4F4"</t>
  </si>
  <si>
    <t xml:space="preserve">  aeb_gen_cfg_reserved_4f8 : t_aeb_gen_cfg_reserved_4f8_wr_reg; -- AEB General Configuration Area Register "RESERVED_4F8"</t>
  </si>
  <si>
    <t xml:space="preserve">  aeb_gen_cfg_reserved_4fc : t_aeb_gen_cfg_reserved_4fc_wr_reg; -- AEB General Configuration Area Register "RESERVED_4FC"</t>
  </si>
  <si>
    <t xml:space="preserve">  aeb_gen_cfg_reserved_500 : t_aeb_gen_cfg_reserved_500_wr_reg; -- AEB General Configuration Area Register "RESERVED_500"</t>
  </si>
  <si>
    <t xml:space="preserve">  aeb_gen_cfg_reserved_504 : t_aeb_gen_cfg_reserved_504_wr_reg; -- AEB General Configuration Area Register "RESERVED_504"</t>
  </si>
  <si>
    <t xml:space="preserve">  aeb_gen_cfg_reserved_508 : t_aeb_gen_cfg_reserved_508_wr_reg; -- AEB General Configuration Area Register "RESERVED_508"</t>
  </si>
  <si>
    <t xml:space="preserve">  aeb_gen_cfg_reserved_50c : t_aeb_gen_cfg_reserved_50c_wr_reg; -- AEB General Configuration Area Register "RESERVED_50C"</t>
  </si>
  <si>
    <t xml:space="preserve">  aeb_gen_cfg_reserved_510 : t_aeb_gen_cfg_reserved_510_wr_reg; -- AEB General Configuration Area Register "RESERVED_510"</t>
  </si>
  <si>
    <t xml:space="preserve">  aeb_gen_cfg_reserved_514 : t_aeb_gen_cfg_reserved_514_wr_reg; -- AEB General Configuration Area Register "RESERVED_514"</t>
  </si>
  <si>
    <t xml:space="preserve">  aeb_gen_cfg_reserved_518 : t_aeb_gen_cfg_reserved_518_wr_reg; -- AEB General Configuration Area Register "RESERVED_518"</t>
  </si>
  <si>
    <t xml:space="preserve">  aeb_gen_cfg_reserved_51c : t_aeb_gen_cfg_reserved_51c_wr_reg; -- AEB General Configuration Area Register "RESERVED_51C"</t>
  </si>
  <si>
    <t xml:space="preserve">  aeb_gen_cfg_reserved_520 : t_aeb_gen_cfg_reserved_520_wr_reg; -- AEB General Configuration Area Register "RESERVED_520"</t>
  </si>
  <si>
    <t xml:space="preserve">  aeb_gen_cfg_reserved_524 : t_aeb_gen_cfg_reserved_524_wr_reg; -- AEB General Configuration Area Register "RESERVED_524"</t>
  </si>
  <si>
    <t xml:space="preserve">  aeb_gen_cfg_reserved_528 : t_aeb_gen_cfg_reserved_528_wr_reg; -- AEB General Configuration Area Register "RESERVED_528"</t>
  </si>
  <si>
    <t xml:space="preserve">  aeb_gen_cfg_reserved_52c : t_aeb_gen_cfg_reserved_52c_wr_reg; -- AEB General Configuration Area Register "RESERVED_52C"</t>
  </si>
  <si>
    <t xml:space="preserve">  aeb_gen_cfg_reserved_530 : t_aeb_gen_cfg_reserved_530_wr_reg; -- AEB General Configuration Area Register "RESERVED_530"</t>
  </si>
  <si>
    <t xml:space="preserve">  aeb_gen_cfg_reserved_534 : t_aeb_gen_cfg_reserved_534_wr_reg; -- AEB General Configuration Area Register "RESERVED_534"</t>
  </si>
  <si>
    <t xml:space="preserve">  aeb_gen_cfg_reserved_538 : t_aeb_gen_cfg_reserved_538_wr_reg; -- AEB General Configuration Area Register "RESERVED_538"</t>
  </si>
  <si>
    <t xml:space="preserve">  aeb_gen_cfg_reserved_53c : t_aeb_gen_cfg_reserved_53c_wr_reg; -- AEB General Configuration Area Register "RESERVED_53C"</t>
  </si>
  <si>
    <t xml:space="preserve">  aeb_gen_cfg_reserved_540 : t_aeb_gen_cfg_reserved_540_wr_reg; -- AEB General Configuration Area Register "RESERVED_540"</t>
  </si>
  <si>
    <t xml:space="preserve">  aeb_gen_cfg_reserved_544 : t_aeb_gen_cfg_reserved_544_wr_reg; -- AEB General Configuration Area Register "RESERVED_544"</t>
  </si>
  <si>
    <t xml:space="preserve">  aeb_gen_cfg_reserved_548 : t_aeb_gen_cfg_reserved_548_wr_reg; -- AEB General Configuration Area Register "RESERVED_548"</t>
  </si>
  <si>
    <t xml:space="preserve">  aeb_gen_cfg_reserved_54c : t_aeb_gen_cfg_reserved_54c_wr_reg; -- AEB General Configuration Area Register "RESERVED_54C"</t>
  </si>
  <si>
    <t xml:space="preserve">  aeb_gen_cfg_reserved_550 : t_aeb_gen_cfg_reserved_550_wr_reg; -- AEB General Configuration Area Register "RESERVED_550"</t>
  </si>
  <si>
    <t xml:space="preserve">  aeb_gen_cfg_reserved_554 : t_aeb_gen_cfg_reserved_554_wr_reg; -- AEB General Configuration Area Register "RESERVED_554"</t>
  </si>
  <si>
    <t xml:space="preserve">  aeb_gen_cfg_reserved_558 : t_aeb_gen_cfg_reserved_558_wr_reg; -- AEB General Configuration Area Register "RESERVED_558"</t>
  </si>
  <si>
    <t xml:space="preserve">  aeb_gen_cfg_reserved_55c : t_aeb_gen_cfg_reserved_55c_wr_reg; -- AEB General Configuration Area Register "RESERVED_55C"</t>
  </si>
  <si>
    <t xml:space="preserve">  aeb_gen_cfg_reserved_560 : t_aeb_gen_cfg_reserved_560_wr_reg; -- AEB General Configuration Area Register "RESERVED_560"</t>
  </si>
  <si>
    <t xml:space="preserve">  aeb_gen_cfg_reserved_564 : t_aeb_gen_cfg_reserved_564_wr_reg; -- AEB General Configuration Area Register "RESERVED_564"</t>
  </si>
  <si>
    <t xml:space="preserve">  aeb_gen_cfg_reserved_568 : t_aeb_gen_cfg_reserved_568_wr_reg; -- AEB General Configuration Area Register "RESERVED_568"</t>
  </si>
  <si>
    <t xml:space="preserve">  aeb_gen_cfg_reserved_56c : t_aeb_gen_cfg_reserved_56c_wr_reg; -- AEB General Configuration Area Register "RESERVED_56C"</t>
  </si>
  <si>
    <t xml:space="preserve">  aeb_gen_cfg_reserved_570 : t_aeb_gen_cfg_reserved_570_wr_reg; -- AEB General Configuration Area Register "RESERVED_570"</t>
  </si>
  <si>
    <t xml:space="preserve">  aeb_gen_cfg_reserved_574 : t_aeb_gen_cfg_reserved_574_wr_reg; -- AEB General Configuration Area Register "RESERVED_574"</t>
  </si>
  <si>
    <t xml:space="preserve">  aeb_gen_cfg_reserved_578 : t_aeb_gen_cfg_reserved_578_wr_reg; -- AEB General Configuration Area Register "RESERVED_578"</t>
  </si>
  <si>
    <t xml:space="preserve">  aeb_gen_cfg_reserved_57c : t_aeb_gen_cfg_reserved_57c_wr_reg; -- AEB General Configuration Area Register "RESERVED_57C"</t>
  </si>
  <si>
    <t xml:space="preserve">  aeb_gen_cfg_reserved_580 : t_aeb_gen_cfg_reserved_580_wr_reg; -- AEB General Configuration Area Register "RESERVED_580"</t>
  </si>
  <si>
    <t xml:space="preserve">  aeb_gen_cfg_reserved_584 : t_aeb_gen_cfg_reserved_584_wr_reg; -- AEB General Configuration Area Register "RESERVED_584"</t>
  </si>
  <si>
    <t xml:space="preserve">  aeb_gen_cfg_reserved_588 : t_aeb_gen_cfg_reserved_588_wr_reg; -- AEB General Configuration Area Register "RESERVED_588"</t>
  </si>
  <si>
    <t xml:space="preserve">  aeb_gen_cfg_reserved_58c : t_aeb_gen_cfg_reserved_58c_wr_reg; -- AEB General Configuration Area Register "RESERVED_58C"</t>
  </si>
  <si>
    <t xml:space="preserve">  aeb_gen_cfg_reserved_590 : t_aeb_gen_cfg_reserved_590_wr_reg; -- AEB General Configuration Area Register "RESERVED_590"</t>
  </si>
  <si>
    <t xml:space="preserve">  aeb_gen_cfg_reserved_594 : t_aeb_gen_cfg_reserved_594_wr_reg; -- AEB General Configuration Area Register "RESERVED_594"</t>
  </si>
  <si>
    <t xml:space="preserve">  aeb_gen_cfg_reserved_598 : t_aeb_gen_cfg_reserved_598_wr_reg; -- AEB General Configuration Area Register "RESERVED_598"</t>
  </si>
  <si>
    <t xml:space="preserve">  aeb_gen_cfg_reserved_59c : t_aeb_gen_cfg_reserved_59c_wr_reg; -- AEB General Configuration Area Register "RESERVED_59C"</t>
  </si>
  <si>
    <t xml:space="preserve">  aeb_gen_cfg_reserved_5a0 : t_aeb_gen_cfg_reserved_5a0_wr_reg; -- AEB General Configuration Area Register "RESERVED_5A0"</t>
  </si>
  <si>
    <t xml:space="preserve">  aeb_gen_cfg_reserved_5a4 : t_aeb_gen_cfg_reserved_5a4_wr_reg; -- AEB General Configuration Area Register "RESERVED_5A4"</t>
  </si>
  <si>
    <t xml:space="preserve">  aeb_gen_cfg_reserved_5a8 : t_aeb_gen_cfg_reserved_5a8_wr_reg; -- AEB General Configuration Area Register "RESERVED_5A8"</t>
  </si>
  <si>
    <t xml:space="preserve">  aeb_gen_cfg_reserved_5ac : t_aeb_gen_cfg_reserved_5ac_wr_reg; -- AEB General Configuration Area Register "RESERVED_5AC"</t>
  </si>
  <si>
    <t xml:space="preserve">  aeb_gen_cfg_reserved_5b0 : t_aeb_gen_cfg_reserved_5b0_wr_reg; -- AEB General Configuration Area Register "RESERVED_5B0"</t>
  </si>
  <si>
    <t xml:space="preserve">  aeb_gen_cfg_reserved_5b4 : t_aeb_gen_cfg_reserved_5b4_wr_reg; -- AEB General Configuration Area Register "RESERVED_5B4"</t>
  </si>
  <si>
    <t xml:space="preserve">  aeb_gen_cfg_reserved_5b8 : t_aeb_gen_cfg_reserved_5b8_wr_reg; -- AEB General Configuration Area Register "RESERVED_5B8"</t>
  </si>
  <si>
    <t xml:space="preserve">  aeb_gen_cfg_reserved_5bc : t_aeb_gen_cfg_reserved_5bc_wr_reg; -- AEB General Configuration Area Register "RESERVED_5BC"</t>
  </si>
  <si>
    <t xml:space="preserve">  aeb_gen_cfg_reserved_5c0 : t_aeb_gen_cfg_reserved_5c0_wr_reg; -- AEB General Configuration Area Register "RESERVED_5C0"</t>
  </si>
  <si>
    <t xml:space="preserve">  aeb_gen_cfg_reserved_5c4 : t_aeb_gen_cfg_reserved_5c4_wr_reg; -- AEB General Configuration Area Register "RESERVED_5C4"</t>
  </si>
  <si>
    <t xml:space="preserve">  aeb_gen_cfg_reserved_5c8 : t_aeb_gen_cfg_reserved_5c8_wr_reg; -- AEB General Configuration Area Register "RESERVED_5C8"</t>
  </si>
  <si>
    <t xml:space="preserve">  aeb_gen_cfg_reserved_5cc : t_aeb_gen_cfg_reserved_5cc_wr_reg; -- AEB General Configuration Area Register "RESERVED_5CC"</t>
  </si>
  <si>
    <t xml:space="preserve">  aeb_gen_cfg_reserved_5d0 : t_aeb_gen_cfg_reserved_5d0_wr_reg; -- AEB General Configuration Area Register "RESERVED_5D0"</t>
  </si>
  <si>
    <t xml:space="preserve">  aeb_gen_cfg_reserved_5d4 : t_aeb_gen_cfg_reserved_5d4_wr_reg; -- AEB General Configuration Area Register "RESERVED_5D4"</t>
  </si>
  <si>
    <t xml:space="preserve">  aeb_gen_cfg_reserved_5d8 : t_aeb_gen_cfg_reserved_5d8_wr_reg; -- AEB General Configuration Area Register "RESERVED_5D8"</t>
  </si>
  <si>
    <t xml:space="preserve">  aeb_gen_cfg_reserved_5dc : t_aeb_gen_cfg_reserved_5dc_wr_reg; -- AEB General Configuration Area Register "RESERVED_5DC"</t>
  </si>
  <si>
    <t xml:space="preserve">  aeb_gen_cfg_reserved_5e0 : t_aeb_gen_cfg_reserved_5e0_wr_reg; -- AEB General Configuration Area Register "RESERVED_5E0"</t>
  </si>
  <si>
    <t xml:space="preserve">  aeb_gen_cfg_reserved_5e4 : t_aeb_gen_cfg_reserved_5e4_wr_reg; -- AEB General Configuration Area Register "RESERVED_5E4"</t>
  </si>
  <si>
    <t xml:space="preserve">  aeb_gen_cfg_reserved_5e8 : t_aeb_gen_cfg_reserved_5e8_wr_reg; -- AEB General Configuration Area Register "RESERVED_5E8"</t>
  </si>
  <si>
    <t xml:space="preserve">  aeb_gen_cfg_reserved_5ec : t_aeb_gen_cfg_reserved_5ec_wr_reg; -- AEB General Configuration Area Register "RESERVED_5EC"</t>
  </si>
  <si>
    <t xml:space="preserve">  aeb_gen_cfg_reserved_5f0 : t_aeb_gen_cfg_reserved_5f0_wr_reg; -- AEB General Configuration Area Register "RESERVED_5F0"</t>
  </si>
  <si>
    <t xml:space="preserve">  aeb_gen_cfg_reserved_5f4 : t_aeb_gen_cfg_reserved_5f4_wr_reg; -- AEB General Configuration Area Register "RESERVED_5F4"</t>
  </si>
  <si>
    <t xml:space="preserve">  aeb_gen_cfg_reserved_5f8 : t_aeb_gen_cfg_reserved_5f8_wr_reg; -- AEB General Configuration Area Register "RESERVED_5F8"</t>
  </si>
  <si>
    <t xml:space="preserve">  aeb_gen_cfg_reserved_5fc : t_aeb_gen_cfg_reserved_5fc_wr_reg; -- AEB General Configuration Area Register "RESERVED_5FC"</t>
  </si>
  <si>
    <t xml:space="preserve">  aeb_gen_cfg_reserved_600 : t_aeb_gen_cfg_reserved_600_wr_reg; -- AEB General Configuration Area Register "RESERVED_600"</t>
  </si>
  <si>
    <t xml:space="preserve">  aeb_gen_cfg_reserved_604 : t_aeb_gen_cfg_reserved_604_wr_reg; -- AEB General Configuration Area Register "RESERVED_604"</t>
  </si>
  <si>
    <t xml:space="preserve">  aeb_gen_cfg_reserved_608 : t_aeb_gen_cfg_reserved_608_wr_reg; -- AEB General Configuration Area Register "RESERVED_608"</t>
  </si>
  <si>
    <t xml:space="preserve">  aeb_gen_cfg_reserved_60c : t_aeb_gen_cfg_reserved_60c_wr_reg; -- AEB General Configuration Area Register "RESERVED_60C"</t>
  </si>
  <si>
    <t xml:space="preserve">  aeb_gen_cfg_reserved_610 : t_aeb_gen_cfg_reserved_610_wr_reg; -- AEB General Configuration Area Register "RESERVED_610"</t>
  </si>
  <si>
    <t xml:space="preserve">  aeb_gen_cfg_reserved_614 : t_aeb_gen_cfg_reserved_614_wr_reg; -- AEB General Configuration Area Register "RESERVED_614"</t>
  </si>
  <si>
    <t xml:space="preserve">  aeb_gen_cfg_reserved_618 : t_aeb_gen_cfg_reserved_618_wr_reg; -- AEB General Configuration Area Register "RESERVED_618"</t>
  </si>
  <si>
    <t xml:space="preserve">  aeb_gen_cfg_reserved_61c : t_aeb_gen_cfg_reserved_61c_wr_reg; -- AEB General Configuration Area Register "RESERVED_61C"</t>
  </si>
  <si>
    <t xml:space="preserve">  aeb_gen_cfg_reserved_620 : t_aeb_gen_cfg_reserved_620_wr_reg; -- AEB General Configuration Area Register "RESERVED_620"</t>
  </si>
  <si>
    <t xml:space="preserve">  aeb_gen_cfg_reserved_624 : t_aeb_gen_cfg_reserved_624_wr_reg; -- AEB General Configuration Area Register "RESERVED_624"</t>
  </si>
  <si>
    <t xml:space="preserve">  aeb_gen_cfg_reserved_628 : t_aeb_gen_cfg_reserved_628_wr_reg; -- AEB General Configuration Area Register "RESERVED_628"</t>
  </si>
  <si>
    <t xml:space="preserve">  aeb_gen_cfg_reserved_62c : t_aeb_gen_cfg_reserved_62c_wr_reg; -- AEB General Configuration Area Register "RESERVED_62C"</t>
  </si>
  <si>
    <t xml:space="preserve">  aeb_gen_cfg_reserved_630 : t_aeb_gen_cfg_reserved_630_wr_reg; -- AEB General Configuration Area Register "RESERVED_630"</t>
  </si>
  <si>
    <t xml:space="preserve">  aeb_gen_cfg_reserved_634 : t_aeb_gen_cfg_reserved_634_wr_reg; -- AEB General Configuration Area Register "RESERVED_634"</t>
  </si>
  <si>
    <t xml:space="preserve">  aeb_gen_cfg_reserved_638 : t_aeb_gen_cfg_reserved_638_wr_reg; -- AEB General Configuration Area Register "RESERVED_638"</t>
  </si>
  <si>
    <t xml:space="preserve">  aeb_gen_cfg_reserved_63c : t_aeb_gen_cfg_reserved_63c_wr_reg; -- AEB General Configuration Area Register "RESERVED_63C"</t>
  </si>
  <si>
    <t xml:space="preserve">  aeb_gen_cfg_reserved_640 : t_aeb_gen_cfg_reserved_640_wr_reg; -- AEB General Configuration Area Register "RESERVED_640"</t>
  </si>
  <si>
    <t xml:space="preserve">  aeb_gen_cfg_reserved_644 : t_aeb_gen_cfg_reserved_644_wr_reg; -- AEB General Configuration Area Register "RESERVED_644"</t>
  </si>
  <si>
    <t xml:space="preserve">  aeb_gen_cfg_reserved_648 : t_aeb_gen_cfg_reserved_648_wr_reg; -- AEB General Configuration Area Register "RESERVED_648"</t>
  </si>
  <si>
    <t xml:space="preserve">  aeb_gen_cfg_reserved_64c : t_aeb_gen_cfg_reserved_64c_wr_reg; -- AEB General Configuration Area Register "RESERVED_64C"</t>
  </si>
  <si>
    <t xml:space="preserve">  aeb_gen_cfg_reserved_650 : t_aeb_gen_cfg_reserved_650_wr_reg; -- AEB General Configuration Area Register "RESERVED_650"</t>
  </si>
  <si>
    <t xml:space="preserve">  aeb_gen_cfg_reserved_654 : t_aeb_gen_cfg_reserved_654_wr_reg; -- AEB General Configuration Area Register "RESERVED_654"</t>
  </si>
  <si>
    <t xml:space="preserve">  aeb_gen_cfg_reserved_658 : t_aeb_gen_cfg_reserved_658_wr_reg; -- AEB General Configuration Area Register "RESERVED_658"</t>
  </si>
  <si>
    <t xml:space="preserve">  aeb_gen_cfg_reserved_65c : t_aeb_gen_cfg_reserved_65c_wr_reg; -- AEB General Configuration Area Register "RESERVED_65C"</t>
  </si>
  <si>
    <t xml:space="preserve">  aeb_gen_cfg_reserved_660 : t_aeb_gen_cfg_reserved_660_wr_reg; -- AEB General Configuration Area Register "RESERVED_660"</t>
  </si>
  <si>
    <t xml:space="preserve">  aeb_gen_cfg_reserved_664 : t_aeb_gen_cfg_reserved_664_wr_reg; -- AEB General Configuration Area Register "RESERVED_664"</t>
  </si>
  <si>
    <t xml:space="preserve">  aeb_gen_cfg_reserved_668 : t_aeb_gen_cfg_reserved_668_wr_reg; -- AEB General Configuration Area Register "RESERVED_668"</t>
  </si>
  <si>
    <t xml:space="preserve">  aeb_gen_cfg_reserved_66c : t_aeb_gen_cfg_reserved_66c_wr_reg; -- AEB General Configuration Area Register "RESERVED_66C"</t>
  </si>
  <si>
    <t xml:space="preserve">  aeb_gen_cfg_reserved_670 : t_aeb_gen_cfg_reserved_670_wr_reg; -- AEB General Configuration Area Register "RESERVED_670"</t>
  </si>
  <si>
    <t xml:space="preserve">  aeb_gen_cfg_reserved_674 : t_aeb_gen_cfg_reserved_674_wr_reg; -- AEB General Configuration Area Register "RESERVED_674"</t>
  </si>
  <si>
    <t xml:space="preserve">  aeb_gen_cfg_reserved_678 : t_aeb_gen_cfg_reserved_678_wr_reg; -- AEB General Configuration Area Register "RESERVED_678"</t>
  </si>
  <si>
    <t xml:space="preserve">  aeb_gen_cfg_reserved_67c : t_aeb_gen_cfg_reserved_67c_wr_reg; -- AEB General Configuration Area Register "RESERVED_67C"</t>
  </si>
  <si>
    <t xml:space="preserve">  aeb_gen_cfg_reserved_680 : t_aeb_gen_cfg_reserved_680_wr_reg; -- AEB General Configuration Area Register "RESERVED_680"</t>
  </si>
  <si>
    <t xml:space="preserve">  aeb_gen_cfg_reserved_684 : t_aeb_gen_cfg_reserved_684_wr_reg; -- AEB General Configuration Area Register "RESERVED_684"</t>
  </si>
  <si>
    <t xml:space="preserve">  aeb_gen_cfg_reserved_688 : t_aeb_gen_cfg_reserved_688_wr_reg; -- AEB General Configuration Area Register "RESERVED_688"</t>
  </si>
  <si>
    <t xml:space="preserve">  aeb_gen_cfg_reserved_68c : t_aeb_gen_cfg_reserved_68c_wr_reg; -- AEB General Configuration Area Register "RESERVED_68C"</t>
  </si>
  <si>
    <t xml:space="preserve">  aeb_gen_cfg_reserved_690 : t_aeb_gen_cfg_reserved_690_wr_reg; -- AEB General Configuration Area Register "RESERVED_690"</t>
  </si>
  <si>
    <t xml:space="preserve">  aeb_gen_cfg_reserved_694 : t_aeb_gen_cfg_reserved_694_wr_reg; -- AEB General Configuration Area Register "RESERVED_694"</t>
  </si>
  <si>
    <t xml:space="preserve">  aeb_gen_cfg_reserved_698 : t_aeb_gen_cfg_reserved_698_wr_reg; -- AEB General Configuration Area Register "RESERVED_698"</t>
  </si>
  <si>
    <t xml:space="preserve">  aeb_gen_cfg_reserved_69c : t_aeb_gen_cfg_reserved_69c_wr_reg; -- AEB General Configuration Area Register "RESERVED_69C"</t>
  </si>
  <si>
    <t xml:space="preserve">  aeb_gen_cfg_reserved_6a0 : t_aeb_gen_cfg_reserved_6a0_wr_reg; -- AEB General Configuration Area Register "RESERVED_6A0"</t>
  </si>
  <si>
    <t xml:space="preserve">  aeb_gen_cfg_reserved_6a4 : t_aeb_gen_cfg_reserved_6a4_wr_reg; -- AEB General Configuration Area Register "RESERVED_6A4"</t>
  </si>
  <si>
    <t xml:space="preserve">  aeb_gen_cfg_reserved_6a8 : t_aeb_gen_cfg_reserved_6a8_wr_reg; -- AEB General Configuration Area Register "RESERVED_6A8"</t>
  </si>
  <si>
    <t xml:space="preserve">  aeb_gen_cfg_reserved_6ac : t_aeb_gen_cfg_reserved_6ac_wr_reg; -- AEB General Configuration Area Register "RESERVED_6AC"</t>
  </si>
  <si>
    <t xml:space="preserve">  aeb_gen_cfg_reserved_6b0 : t_aeb_gen_cfg_reserved_6b0_wr_reg; -- AEB General Configuration Area Register "RESERVED_6B0"</t>
  </si>
  <si>
    <t xml:space="preserve">  aeb_gen_cfg_reserved_6b4 : t_aeb_gen_cfg_reserved_6b4_wr_reg; -- AEB General Configuration Area Register "RESERVED_6B4"</t>
  </si>
  <si>
    <t xml:space="preserve">  aeb_gen_cfg_reserved_6b8 : t_aeb_gen_cfg_reserved_6b8_wr_reg; -- AEB General Configuration Area Register "RESERVED_6B8"</t>
  </si>
  <si>
    <t xml:space="preserve">  aeb_gen_cfg_reserved_6bc : t_aeb_gen_cfg_reserved_6bc_wr_reg; -- AEB General Configuration Area Register "RESERVED_6BC"</t>
  </si>
  <si>
    <t xml:space="preserve">  aeb_gen_cfg_reserved_6c0 : t_aeb_gen_cfg_reserved_6c0_wr_reg; -- AEB General Configuration Area Register "RESERVED_6C0"</t>
  </si>
  <si>
    <t xml:space="preserve">  aeb_gen_cfg_reserved_6c4 : t_aeb_gen_cfg_reserved_6c4_wr_reg; -- AEB General Configuration Area Register "RESERVED_6C4"</t>
  </si>
  <si>
    <t xml:space="preserve">  aeb_gen_cfg_reserved_6c8 : t_aeb_gen_cfg_reserved_6c8_wr_reg; -- AEB General Configuration Area Register "RESERVED_6C8"</t>
  </si>
  <si>
    <t xml:space="preserve">  aeb_gen_cfg_reserved_6cc : t_aeb_gen_cfg_reserved_6cc_wr_reg; -- AEB General Configuration Area Register "RESERVED_6CC"</t>
  </si>
  <si>
    <t xml:space="preserve">  aeb_gen_cfg_reserved_6d0 : t_aeb_gen_cfg_reserved_6d0_wr_reg; -- AEB General Configuration Area Register "RESERVED_6D0"</t>
  </si>
  <si>
    <t xml:space="preserve">  aeb_gen_cfg_reserved_6d4 : t_aeb_gen_cfg_reserved_6d4_wr_reg; -- AEB General Configuration Area Register "RESERVED_6D4"</t>
  </si>
  <si>
    <t xml:space="preserve">  aeb_gen_cfg_reserved_6d8 : t_aeb_gen_cfg_reserved_6d8_wr_reg; -- AEB General Configuration Area Register "RESERVED_6D8"</t>
  </si>
  <si>
    <t xml:space="preserve">  aeb_gen_cfg_reserved_6dc : t_aeb_gen_cfg_reserved_6dc_wr_reg; -- AEB General Configuration Area Register "RESERVED_6DC"</t>
  </si>
  <si>
    <t xml:space="preserve">  aeb_gen_cfg_reserved_6e0 : t_aeb_gen_cfg_reserved_6e0_wr_reg; -- AEB General Configuration Area Register "RESERVED_6E0"</t>
  </si>
  <si>
    <t xml:space="preserve">  aeb_gen_cfg_reserved_6e4 : t_aeb_gen_cfg_reserved_6e4_wr_reg; -- AEB General Configuration Area Register "RESERVED_6E4"</t>
  </si>
  <si>
    <t xml:space="preserve">  aeb_gen_cfg_reserved_6e8 : t_aeb_gen_cfg_reserved_6e8_wr_reg; -- AEB General Configuration Area Register "RESERVED_6E8"</t>
  </si>
  <si>
    <t xml:space="preserve">  aeb_gen_cfg_reserved_6ec : t_aeb_gen_cfg_reserved_6ec_wr_reg; -- AEB General Configuration Area Register "RESERVED_6EC"</t>
  </si>
  <si>
    <t xml:space="preserve">  aeb_gen_cfg_reserved_6f0 : t_aeb_gen_cfg_reserved_6f0_wr_reg; -- AEB General Configuration Area Register "RESERVED_6F0"</t>
  </si>
  <si>
    <t xml:space="preserve">  aeb_gen_cfg_reserved_6f4 : t_aeb_gen_cfg_reserved_6f4_wr_reg; -- AEB General Configuration Area Register "RESERVED_6F4"</t>
  </si>
  <si>
    <t xml:space="preserve">  aeb_gen_cfg_reserved_6f8 : t_aeb_gen_cfg_reserved_6f8_wr_reg; -- AEB General Configuration Area Register "RESERVED_6F8"</t>
  </si>
  <si>
    <t xml:space="preserve">  aeb_gen_cfg_reserved_6fc : t_aeb_gen_cfg_reserved_6fc_wr_reg; -- AEB General Configuration Area Register "RESERVED_6FC"</t>
  </si>
  <si>
    <t xml:space="preserve">  aeb_gen_cfg_reserved_700 : t_aeb_gen_cfg_reserved_700_wr_reg; -- AEB General Configuration Area Register "RESERVED_700"</t>
  </si>
  <si>
    <t xml:space="preserve">  aeb_gen_cfg_reserved_704 : t_aeb_gen_cfg_reserved_704_wr_reg; -- AEB General Configuration Area Register "RESERVED_704"</t>
  </si>
  <si>
    <t xml:space="preserve">  aeb_gen_cfg_reserved_708 : t_aeb_gen_cfg_reserved_708_wr_reg; -- AEB General Configuration Area Register "RESERVED_708"</t>
  </si>
  <si>
    <t xml:space="preserve">  aeb_gen_cfg_reserved_70c : t_aeb_gen_cfg_reserved_70c_wr_reg; -- AEB General Configuration Area Register "RESERVED_70C"</t>
  </si>
  <si>
    <t xml:space="preserve">  aeb_gen_cfg_reserved_710 : t_aeb_gen_cfg_reserved_710_wr_reg; -- AEB General Configuration Area Register "RESERVED_710"</t>
  </si>
  <si>
    <t xml:space="preserve">  aeb_gen_cfg_reserved_714 : t_aeb_gen_cfg_reserved_714_wr_reg; -- AEB General Configuration Area Register "RESERVED_714"</t>
  </si>
  <si>
    <t xml:space="preserve">  aeb_gen_cfg_reserved_718 : t_aeb_gen_cfg_reserved_718_wr_reg; -- AEB General Configuration Area Register "RESERVED_718"</t>
  </si>
  <si>
    <t xml:space="preserve">  aeb_gen_cfg_reserved_71c : t_aeb_gen_cfg_reserved_71c_wr_reg; -- AEB General Configuration Area Register "RESERVED_71C"</t>
  </si>
  <si>
    <t xml:space="preserve">  aeb_gen_cfg_reserved_720 : t_aeb_gen_cfg_reserved_720_wr_reg; -- AEB General Configuration Area Register "RESERVED_720"</t>
  </si>
  <si>
    <t xml:space="preserve">  aeb_gen_cfg_reserved_724 : t_aeb_gen_cfg_reserved_724_wr_reg; -- AEB General Configuration Area Register "RESERVED_724"</t>
  </si>
  <si>
    <t xml:space="preserve">  aeb_gen_cfg_reserved_728 : t_aeb_gen_cfg_reserved_728_wr_reg; -- AEB General Configuration Area Register "RESERVED_728"</t>
  </si>
  <si>
    <t xml:space="preserve">  aeb_gen_cfg_reserved_72c : t_aeb_gen_cfg_reserved_72c_wr_reg; -- AEB General Configuration Area Register "RESERVED_72C"</t>
  </si>
  <si>
    <t xml:space="preserve">  aeb_gen_cfg_reserved_730 : t_aeb_gen_cfg_reserved_730_wr_reg; -- AEB General Configuration Area Register "RESERVED_730"</t>
  </si>
  <si>
    <t xml:space="preserve">  aeb_gen_cfg_reserved_734 : t_aeb_gen_cfg_reserved_734_wr_reg; -- AEB General Configuration Area Register "RESERVED_734"</t>
  </si>
  <si>
    <t xml:space="preserve">  aeb_gen_cfg_reserved_738 : t_aeb_gen_cfg_reserved_738_wr_reg; -- AEB General Configuration Area Register "RESERVED_738"</t>
  </si>
  <si>
    <t xml:space="preserve">  aeb_gen_cfg_reserved_73c : t_aeb_gen_cfg_reserved_73c_wr_reg; -- AEB General Configuration Area Register "RESERVED_73C"</t>
  </si>
  <si>
    <t xml:space="preserve">  aeb_gen_cfg_reserved_740 : t_aeb_gen_cfg_reserved_740_wr_reg; -- AEB General Configuration Area Register "RESERVED_740"</t>
  </si>
  <si>
    <t xml:space="preserve">  aeb_gen_cfg_reserved_744 : t_aeb_gen_cfg_reserved_744_wr_reg; -- AEB General Configuration Area Register "RESERVED_744"</t>
  </si>
  <si>
    <t xml:space="preserve">  aeb_gen_cfg_reserved_748 : t_aeb_gen_cfg_reserved_748_wr_reg; -- AEB General Configuration Area Register "RESERVED_748"</t>
  </si>
  <si>
    <t xml:space="preserve">  aeb_gen_cfg_reserved_74c : t_aeb_gen_cfg_reserved_74c_wr_reg; -- AEB General Configuration Area Register "RESERVED_74C"</t>
  </si>
  <si>
    <t xml:space="preserve">  aeb_gen_cfg_reserved_750 : t_aeb_gen_cfg_reserved_750_wr_reg; -- AEB General Configuration Area Register "RESERVED_750"</t>
  </si>
  <si>
    <t xml:space="preserve">  aeb_gen_cfg_reserved_754 : t_aeb_gen_cfg_reserved_754_wr_reg; -- AEB General Configuration Area Register "RESERVED_754"</t>
  </si>
  <si>
    <t xml:space="preserve">  aeb_gen_cfg_reserved_758 : t_aeb_gen_cfg_reserved_758_wr_reg; -- AEB General Configuration Area Register "RESERVED_758"</t>
  </si>
  <si>
    <t xml:space="preserve">  aeb_gen_cfg_reserved_75c : t_aeb_gen_cfg_reserved_75c_wr_reg; -- AEB General Configuration Area Register "RESERVED_75C"</t>
  </si>
  <si>
    <t xml:space="preserve">  aeb_gen_cfg_reserved_760 : t_aeb_gen_cfg_reserved_760_wr_reg; -- AEB General Configuration Area Register "RESERVED_760"</t>
  </si>
  <si>
    <t xml:space="preserve">  aeb_gen_cfg_reserved_764 : t_aeb_gen_cfg_reserved_764_wr_reg; -- AEB General Configuration Area Register "RESERVED_764"</t>
  </si>
  <si>
    <t xml:space="preserve">  aeb_gen_cfg_reserved_768 : t_aeb_gen_cfg_reserved_768_wr_reg; -- AEB General Configuration Area Register "RESERVED_768"</t>
  </si>
  <si>
    <t xml:space="preserve">  aeb_gen_cfg_reserved_76c : t_aeb_gen_cfg_reserved_76c_wr_reg; -- AEB General Configuration Area Register "RESERVED_76C"</t>
  </si>
  <si>
    <t xml:space="preserve">  aeb_gen_cfg_reserved_770 : t_aeb_gen_cfg_reserved_770_wr_reg; -- AEB General Configuration Area Register "RESERVED_770"</t>
  </si>
  <si>
    <t xml:space="preserve">  aeb_gen_cfg_reserved_774 : t_aeb_gen_cfg_reserved_774_wr_reg; -- AEB General Configuration Area Register "RESERVED_774"</t>
  </si>
  <si>
    <t xml:space="preserve">  aeb_gen_cfg_reserved_778 : t_aeb_gen_cfg_reserved_778_wr_reg; -- AEB General Configuration Area Register "RESERVED_778"</t>
  </si>
  <si>
    <t xml:space="preserve">  aeb_gen_cfg_reserved_77c : t_aeb_gen_cfg_reserved_77c_wr_reg; -- AEB General Configuration Area Register "RESERVED_77C"</t>
  </si>
  <si>
    <t xml:space="preserve">  aeb_gen_cfg_reserved_780 : t_aeb_gen_cfg_reserved_780_wr_reg; -- AEB General Configuration Area Register "RESERVED_780"</t>
  </si>
  <si>
    <t xml:space="preserve">  aeb_gen_cfg_reserved_784 : t_aeb_gen_cfg_reserved_784_wr_reg; -- AEB General Configuration Area Register "RESERVED_784"</t>
  </si>
  <si>
    <t xml:space="preserve">  aeb_gen_cfg_reserved_788 : t_aeb_gen_cfg_reserved_788_wr_reg; -- AEB General Configuration Area Register "RESERVED_788"</t>
  </si>
  <si>
    <t xml:space="preserve">  aeb_gen_cfg_reserved_78c : t_aeb_gen_cfg_reserved_78c_wr_reg; -- AEB General Configuration Area Register "RESERVED_78C"</t>
  </si>
  <si>
    <t xml:space="preserve">  aeb_gen_cfg_reserved_790 : t_aeb_gen_cfg_reserved_790_wr_reg; -- AEB General Configuration Area Register "RESERVED_790"</t>
  </si>
  <si>
    <t xml:space="preserve">  aeb_gen_cfg_reserved_794 : t_aeb_gen_cfg_reserved_794_wr_reg; -- AEB General Configuration Area Register "RESERVED_794"</t>
  </si>
  <si>
    <t xml:space="preserve">  aeb_gen_cfg_reserved_798 : t_aeb_gen_cfg_reserved_798_wr_reg; -- AEB General Configuration Area Register "RESERVED_798"</t>
  </si>
  <si>
    <t xml:space="preserve">  aeb_gen_cfg_reserved_79c : t_aeb_gen_cfg_reserved_79c_wr_reg; -- AEB General Configuration Area Register "RESERVED_79C"</t>
  </si>
  <si>
    <t xml:space="preserve">  aeb_gen_cfg_reserved_7a0 : t_aeb_gen_cfg_reserved_7a0_wr_reg; -- AEB General Configuration Area Register "RESERVED_7A0"</t>
  </si>
  <si>
    <t xml:space="preserve">  aeb_gen_cfg_reserved_7a4 : t_aeb_gen_cfg_reserved_7a4_wr_reg; -- AEB General Configuration Area Register "RESERVED_7A4"</t>
  </si>
  <si>
    <t xml:space="preserve">  aeb_gen_cfg_reserved_7a8 : t_aeb_gen_cfg_reserved_7a8_wr_reg; -- AEB General Configuration Area Register "RESERVED_7A8"</t>
  </si>
  <si>
    <t xml:space="preserve">  aeb_gen_cfg_reserved_7ac : t_aeb_gen_cfg_reserved_7ac_wr_reg; -- AEB General Configuration Area Register "RESERVED_7AC"</t>
  </si>
  <si>
    <t xml:space="preserve">  aeb_gen_cfg_reserved_7b0 : t_aeb_gen_cfg_reserved_7b0_wr_reg; -- AEB General Configuration Area Register "RESERVED_7B0"</t>
  </si>
  <si>
    <t xml:space="preserve">  aeb_gen_cfg_reserved_7b4 : t_aeb_gen_cfg_reserved_7b4_wr_reg; -- AEB General Configuration Area Register "RESERVED_7B4"</t>
  </si>
  <si>
    <t xml:space="preserve">  aeb_gen_cfg_reserved_7b8 : t_aeb_gen_cfg_reserved_7b8_wr_reg; -- AEB General Configuration Area Register "RESERVED_7B8"</t>
  </si>
  <si>
    <t xml:space="preserve">  aeb_gen_cfg_reserved_7bc : t_aeb_gen_cfg_reserved_7bc_wr_reg; -- AEB General Configuration Area Register "RESERVED_7BC"</t>
  </si>
  <si>
    <t xml:space="preserve">  aeb_gen_cfg_reserved_7c0 : t_aeb_gen_cfg_reserved_7c0_wr_reg; -- AEB General Configuration Area Register "RESERVED_7C0"</t>
  </si>
  <si>
    <t xml:space="preserve">  aeb_gen_cfg_reserved_7c4 : t_aeb_gen_cfg_reserved_7c4_wr_reg; -- AEB General Configuration Area Register "RESERVED_7C4"</t>
  </si>
  <si>
    <t xml:space="preserve">  aeb_gen_cfg_reserved_7c8 : t_aeb_gen_cfg_reserved_7c8_wr_reg; -- AEB General Configuration Area Register "RESERVED_7C8"</t>
  </si>
  <si>
    <t xml:space="preserve">  aeb_gen_cfg_reserved_7cc : t_aeb_gen_cfg_reserved_7cc_wr_reg; -- AEB General Configuration Area Register "RESERVED_7CC"</t>
  </si>
  <si>
    <t xml:space="preserve">  aeb_gen_cfg_reserved_7d0 : t_aeb_gen_cfg_reserved_7d0_wr_reg; -- AEB General Configuration Area Register "RESERVED_7D0"</t>
  </si>
  <si>
    <t xml:space="preserve">  aeb_gen_cfg_reserved_7d4 : t_aeb_gen_cfg_reserved_7d4_wr_reg; -- AEB General Configuration Area Register "RESERVED_7D4"</t>
  </si>
  <si>
    <t xml:space="preserve">  aeb_gen_cfg_reserved_7d8 : t_aeb_gen_cfg_reserved_7d8_wr_reg; -- AEB General Configuration Area Register "RESERVED_7D8"</t>
  </si>
  <si>
    <t xml:space="preserve">  aeb_gen_cfg_reserved_7dc : t_aeb_gen_cfg_reserved_7dc_wr_reg; -- AEB General Configuration Area Register "RESERVED_7DC"</t>
  </si>
  <si>
    <t xml:space="preserve">  aeb_gen_cfg_reserved_7e0 : t_aeb_gen_cfg_reserved_7e0_wr_reg; -- AEB General Configuration Area Register "RESERVED_7E0"</t>
  </si>
  <si>
    <t xml:space="preserve">  aeb_gen_cfg_reserved_7e4 : t_aeb_gen_cfg_reserved_7e4_wr_reg; -- AEB General Configuration Area Register "RESERVED_7E4"</t>
  </si>
  <si>
    <t xml:space="preserve">  aeb_gen_cfg_reserved_7e8 : t_aeb_gen_cfg_reserved_7e8_wr_reg; -- AEB General Configuration Area Register "RESERVED_7E8"</t>
  </si>
  <si>
    <t xml:space="preserve">  aeb_gen_cfg_reserved_7ec : t_aeb_gen_cfg_reserved_7ec_wr_reg; -- AEB General Configuration Area Register "RESERVED_7EC"</t>
  </si>
  <si>
    <t xml:space="preserve">  aeb_gen_cfg_reserved_7f0 : t_aeb_gen_cfg_reserved_7f0_wr_reg; -- AEB General Configuration Area Register "RESERVED_7F0"</t>
  </si>
  <si>
    <t xml:space="preserve">  aeb_gen_cfg_reserved_7f4 : t_aeb_gen_cfg_reserved_7f4_wr_reg; -- AEB General Configuration Area Register "RESERVED_7F4"</t>
  </si>
  <si>
    <t xml:space="preserve">  aeb_gen_cfg_reserved_7f8 : t_aeb_gen_cfg_reserved_7f8_wr_reg; -- AEB General Configuration Area Register "RESERVED_7F8"</t>
  </si>
  <si>
    <t xml:space="preserve">  aeb_gen_cfg_reserved_7fc : t_aeb_gen_cfg_reserved_7fc_wr_reg; -- AEB General Configuration Area Register "RESERVED_7FC"</t>
  </si>
  <si>
    <t xml:space="preserve">  aeb_gen_cfg_reserved_800 : t_aeb_gen_cfg_reserved_800_wr_reg; -- AEB General Configuration Area Register "RESERVED_800"</t>
  </si>
  <si>
    <t xml:space="preserve">  aeb_gen_cfg_reserved_804 : t_aeb_gen_cfg_reserved_804_wr_reg; -- AEB General Configuration Area Register "RESERVED_804"</t>
  </si>
  <si>
    <t xml:space="preserve">  aeb_gen_cfg_reserved_808 : t_aeb_gen_cfg_reserved_808_wr_reg; -- AEB General Configuration Area Register "RESERVED_808"</t>
  </si>
  <si>
    <t xml:space="preserve">  aeb_gen_cfg_reserved_80c : t_aeb_gen_cfg_reserved_80c_wr_reg; -- AEB General Configuration Area Register "RESERVED_80C"</t>
  </si>
  <si>
    <t xml:space="preserve">  aeb_gen_cfg_reserved_810 : t_aeb_gen_cfg_reserved_810_wr_reg; -- AEB General Configuration Area Register "RESERVED_810"</t>
  </si>
  <si>
    <t xml:space="preserve">  aeb_gen_cfg_reserved_814 : t_aeb_gen_cfg_reserved_814_wr_reg; -- AEB General Configuration Area Register "RESERVED_814"</t>
  </si>
  <si>
    <t xml:space="preserve">  aeb_gen_cfg_reserved_818 : t_aeb_gen_cfg_reserved_818_wr_reg; -- AEB General Configuration Area Register "RESERVED_818"</t>
  </si>
  <si>
    <t xml:space="preserve">  aeb_gen_cfg_reserved_81c : t_aeb_gen_cfg_reserved_81c_wr_reg; -- AEB General Configuration Area Register "RESERVED_81C"</t>
  </si>
  <si>
    <t xml:space="preserve">  aeb_gen_cfg_reserved_820 : t_aeb_gen_cfg_reserved_820_wr_reg; -- AEB General Configuration Area Register "RESERVED_820"</t>
  </si>
  <si>
    <t xml:space="preserve">  aeb_gen_cfg_reserved_824 : t_aeb_gen_cfg_reserved_824_wr_reg; -- AEB General Configuration Area Register "RESERVED_824"</t>
  </si>
  <si>
    <t xml:space="preserve">  aeb_gen_cfg_reserved_828 : t_aeb_gen_cfg_reserved_828_wr_reg; -- AEB General Configuration Area Register "RESERVED_828"</t>
  </si>
  <si>
    <t xml:space="preserve">  aeb_gen_cfg_reserved_82c : t_aeb_gen_cfg_reserved_82c_wr_reg; -- AEB General Configuration Area Register "RESERVED_82C"</t>
  </si>
  <si>
    <t xml:space="preserve">  aeb_gen_cfg_reserved_830 : t_aeb_gen_cfg_reserved_830_wr_reg; -- AEB General Configuration Area Register "RESERVED_830"</t>
  </si>
  <si>
    <t xml:space="preserve">  aeb_gen_cfg_reserved_834 : t_aeb_gen_cfg_reserved_834_wr_reg; -- AEB General Configuration Area Register "RESERVED_834"</t>
  </si>
  <si>
    <t xml:space="preserve">  aeb_gen_cfg_reserved_838 : t_aeb_gen_cfg_reserved_838_wr_reg; -- AEB General Configuration Area Register "RESERVED_838"</t>
  </si>
  <si>
    <t xml:space="preserve">  aeb_gen_cfg_reserved_83c : t_aeb_gen_cfg_reserved_83c_wr_reg; -- AEB General Configuration Area Register "RESERVED_83C"</t>
  </si>
  <si>
    <t xml:space="preserve">  aeb_gen_cfg_reserved_840 : t_aeb_gen_cfg_reserved_840_wr_reg; -- AEB General Configuration Area Register "RESERVED_840"</t>
  </si>
  <si>
    <t xml:space="preserve">  aeb_gen_cfg_reserved_844 : t_aeb_gen_cfg_reserved_844_wr_reg; -- AEB General Configuration Area Register "RESERVED_844"</t>
  </si>
  <si>
    <t xml:space="preserve">  aeb_gen_cfg_reserved_848 : t_aeb_gen_cfg_reserved_848_wr_reg; -- AEB General Configuration Area Register "RESERVED_848"</t>
  </si>
  <si>
    <t xml:space="preserve">  aeb_gen_cfg_reserved_84c : t_aeb_gen_cfg_reserved_84c_wr_reg; -- AEB General Configuration Area Register "RESERVED_84C"</t>
  </si>
  <si>
    <t xml:space="preserve">  aeb_gen_cfg_reserved_850 : t_aeb_gen_cfg_reserved_850_wr_reg; -- AEB General Configuration Area Register "RESERVED_850"</t>
  </si>
  <si>
    <t xml:space="preserve">  aeb_gen_cfg_reserved_854 : t_aeb_gen_cfg_reserved_854_wr_reg; -- AEB General Configuration Area Register "RESERVED_854"</t>
  </si>
  <si>
    <t xml:space="preserve">  aeb_gen_cfg_reserved_858 : t_aeb_gen_cfg_reserved_858_wr_reg; -- AEB General Configuration Area Register "RESERVED_858"</t>
  </si>
  <si>
    <t xml:space="preserve">  aeb_gen_cfg_reserved_85c : t_aeb_gen_cfg_reserved_85c_wr_reg; -- AEB General Configuration Area Register "RESERVED_85C"</t>
  </si>
  <si>
    <t xml:space="preserve">  aeb_gen_cfg_reserved_860 : t_aeb_gen_cfg_reserved_860_wr_reg; -- AEB General Configuration Area Register "RESERVED_860"</t>
  </si>
  <si>
    <t xml:space="preserve">  aeb_gen_cfg_reserved_864 : t_aeb_gen_cfg_reserved_864_wr_reg; -- AEB General Configuration Area Register "RESERVED_864"</t>
  </si>
  <si>
    <t xml:space="preserve">  aeb_gen_cfg_reserved_868 : t_aeb_gen_cfg_reserved_868_wr_reg; -- AEB General Configuration Area Register "RESERVED_868"</t>
  </si>
  <si>
    <t xml:space="preserve">  aeb_gen_cfg_reserved_86c : t_aeb_gen_cfg_reserved_86c_wr_reg; -- AEB General Configuration Area Register "RESERVED_86C"</t>
  </si>
  <si>
    <t xml:space="preserve">  aeb_gen_cfg_reserved_870 : t_aeb_gen_cfg_reserved_870_wr_reg; -- AEB General Configuration Area Register "RESERVED_870"</t>
  </si>
  <si>
    <t xml:space="preserve">  aeb_gen_cfg_reserved_874 : t_aeb_gen_cfg_reserved_874_wr_reg; -- AEB General Configuration Area Register "RESERVED_874"</t>
  </si>
  <si>
    <t xml:space="preserve">  aeb_gen_cfg_reserved_878 : t_aeb_gen_cfg_reserved_878_wr_reg; -- AEB General Configuration Area Register "RESERVED_878"</t>
  </si>
  <si>
    <t xml:space="preserve">  aeb_gen_cfg_reserved_87c : t_aeb_gen_cfg_reserved_87c_wr_reg; -- AEB General Configuration Area Register "RESERVED_87C"</t>
  </si>
  <si>
    <t xml:space="preserve">  aeb_gen_cfg_reserved_880 : t_aeb_gen_cfg_reserved_880_wr_reg; -- AEB General Configuration Area Register "RESERVED_880"</t>
  </si>
  <si>
    <t xml:space="preserve">  aeb_gen_cfg_reserved_884 : t_aeb_gen_cfg_reserved_884_wr_reg; -- AEB General Configuration Area Register "RESERVED_884"</t>
  </si>
  <si>
    <t xml:space="preserve">  aeb_gen_cfg_reserved_888 : t_aeb_gen_cfg_reserved_888_wr_reg; -- AEB General Configuration Area Register "RESERVED_888"</t>
  </si>
  <si>
    <t xml:space="preserve">  aeb_gen_cfg_reserved_88c : t_aeb_gen_cfg_reserved_88c_wr_reg; -- AEB General Configuration Area Register "RESERVED_88C"</t>
  </si>
  <si>
    <t xml:space="preserve">  aeb_gen_cfg_reserved_890 : t_aeb_gen_cfg_reserved_890_wr_reg; -- AEB General Configuration Area Register "RESERVED_890"</t>
  </si>
  <si>
    <t xml:space="preserve">  aeb_gen_cfg_reserved_894 : t_aeb_gen_cfg_reserved_894_wr_reg; -- AEB General Configuration Area Register "RESERVED_894"</t>
  </si>
  <si>
    <t xml:space="preserve">  aeb_gen_cfg_reserved_898 : t_aeb_gen_cfg_reserved_898_wr_reg; -- AEB General Configuration Area Register "RESERVED_898"</t>
  </si>
  <si>
    <t xml:space="preserve">  aeb_gen_cfg_reserved_89c : t_aeb_gen_cfg_reserved_89c_wr_reg; -- AEB General Configuration Area Register "RESERVED_89C"</t>
  </si>
  <si>
    <t xml:space="preserve">  aeb_gen_cfg_reserved_8a0 : t_aeb_gen_cfg_reserved_8a0_wr_reg; -- AEB General Configuration Area Register "RESERVED_8A0"</t>
  </si>
  <si>
    <t xml:space="preserve">  aeb_gen_cfg_reserved_8a4 : t_aeb_gen_cfg_reserved_8a4_wr_reg; -- AEB General Configuration Area Register "RESERVED_8A4"</t>
  </si>
  <si>
    <t xml:space="preserve">  aeb_gen_cfg_reserved_8a8 : t_aeb_gen_cfg_reserved_8a8_wr_reg; -- AEB General Configuration Area Register "RESERVED_8A8"</t>
  </si>
  <si>
    <t xml:space="preserve">  aeb_gen_cfg_reserved_8ac : t_aeb_gen_cfg_reserved_8ac_wr_reg; -- AEB General Configuration Area Register "RESERVED_8AC"</t>
  </si>
  <si>
    <t xml:space="preserve">  aeb_gen_cfg_reserved_8b0 : t_aeb_gen_cfg_reserved_8b0_wr_reg; -- AEB General Configuration Area Register "RESERVED_8B0"</t>
  </si>
  <si>
    <t xml:space="preserve">  aeb_gen_cfg_reserved_8b4 : t_aeb_gen_cfg_reserved_8b4_wr_reg; -- AEB General Configuration Area Register "RESERVED_8B4"</t>
  </si>
  <si>
    <t xml:space="preserve">  aeb_gen_cfg_reserved_8b8 : t_aeb_gen_cfg_reserved_8b8_wr_reg; -- AEB General Configuration Area Register "RESERVED_8B8"</t>
  </si>
  <si>
    <t xml:space="preserve">  aeb_gen_cfg_reserved_8bc : t_aeb_gen_cfg_reserved_8bc_wr_reg; -- AEB General Configuration Area Register "RESERVED_8BC"</t>
  </si>
  <si>
    <t xml:space="preserve">  aeb_gen_cfg_reserved_8c0 : t_aeb_gen_cfg_reserved_8c0_wr_reg; -- AEB General Configuration Area Register "RESERVED_8C0"</t>
  </si>
  <si>
    <t xml:space="preserve">  aeb_gen_cfg_reserved_8c4 : t_aeb_gen_cfg_reserved_8c4_wr_reg; -- AEB General Configuration Area Register "RESERVED_8C4"</t>
  </si>
  <si>
    <t xml:space="preserve">  aeb_gen_cfg_reserved_8c8 : t_aeb_gen_cfg_reserved_8c8_wr_reg; -- AEB General Configuration Area Register "RESERVED_8C8"</t>
  </si>
  <si>
    <t xml:space="preserve">  aeb_gen_cfg_reserved_8cc : t_aeb_gen_cfg_reserved_8cc_wr_reg; -- AEB General Configuration Area Register "RESERVED_8CC"</t>
  </si>
  <si>
    <t xml:space="preserve">  aeb_gen_cfg_reserved_8d0 : t_aeb_gen_cfg_reserved_8d0_wr_reg; -- AEB General Configuration Area Register "RESERVED_8D0"</t>
  </si>
  <si>
    <t xml:space="preserve">  aeb_gen_cfg_reserved_8d4 : t_aeb_gen_cfg_reserved_8d4_wr_reg; -- AEB General Configuration Area Register "RESERVED_8D4"</t>
  </si>
  <si>
    <t xml:space="preserve">  aeb_gen_cfg_reserved_8d8 : t_aeb_gen_cfg_reserved_8d8_wr_reg; -- AEB General Configuration Area Register "RESERVED_8D8"</t>
  </si>
  <si>
    <t xml:space="preserve">  aeb_gen_cfg_reserved_8dc : t_aeb_gen_cfg_reserved_8dc_wr_reg; -- AEB General Configuration Area Register "RESERVED_8DC"</t>
  </si>
  <si>
    <t xml:space="preserve">  aeb_gen_cfg_reserved_8e0 : t_aeb_gen_cfg_reserved_8e0_wr_reg; -- AEB General Configuration Area Register "RESERVED_8E0"</t>
  </si>
  <si>
    <t xml:space="preserve">  aeb_gen_cfg_reserved_8e4 : t_aeb_gen_cfg_reserved_8e4_wr_reg; -- AEB General Configuration Area Register "RESERVED_8E4"</t>
  </si>
  <si>
    <t xml:space="preserve">  aeb_gen_cfg_reserved_8e8 : t_aeb_gen_cfg_reserved_8e8_wr_reg; -- AEB General Configuration Area Register "RESERVED_8E8"</t>
  </si>
  <si>
    <t xml:space="preserve">  aeb_gen_cfg_reserved_8ec : t_aeb_gen_cfg_reserved_8ec_wr_reg; -- AEB General Configuration Area Register "RESERVED_8EC"</t>
  </si>
  <si>
    <t xml:space="preserve">  aeb_gen_cfg_reserved_8f0 : t_aeb_gen_cfg_reserved_8f0_wr_reg; -- AEB General Configuration Area Register "RESERVED_8F0"</t>
  </si>
  <si>
    <t xml:space="preserve">  aeb_gen_cfg_reserved_8f4 : t_aeb_gen_cfg_reserved_8f4_wr_reg; -- AEB General Configuration Area Register "RESERVED_8F4"</t>
  </si>
  <si>
    <t xml:space="preserve">  aeb_gen_cfg_reserved_8f8 : t_aeb_gen_cfg_reserved_8f8_wr_reg; -- AEB General Configuration Area Register "RESERVED_8F8"</t>
  </si>
  <si>
    <t xml:space="preserve">  aeb_gen_cfg_reserved_8fc : t_aeb_gen_cfg_reserved_8fc_wr_reg; -- AEB General Configuration Area Register "RESERVED_8FC"</t>
  </si>
  <si>
    <t xml:space="preserve">  aeb_gen_cfg_reserved_900 : t_aeb_gen_cfg_reserved_900_wr_reg; -- AEB General Configuration Area Register "RESERVED_900"</t>
  </si>
  <si>
    <t xml:space="preserve">  aeb_gen_cfg_reserved_904 : t_aeb_gen_cfg_reserved_904_wr_reg; -- AEB General Configuration Area Register "RESERVED_904"</t>
  </si>
  <si>
    <t xml:space="preserve">  aeb_gen_cfg_reserved_908 : t_aeb_gen_cfg_reserved_908_wr_reg; -- AEB General Configuration Area Register "RESERVED_908"</t>
  </si>
  <si>
    <t xml:space="preserve">  aeb_gen_cfg_reserved_90c : t_aeb_gen_cfg_reserved_90c_wr_reg; -- AEB General Configuration Area Register "RESERVED_90C"</t>
  </si>
  <si>
    <t xml:space="preserve">  aeb_gen_cfg_reserved_910 : t_aeb_gen_cfg_reserved_910_wr_reg; -- AEB General Configuration Area Register "RESERVED_910"</t>
  </si>
  <si>
    <t xml:space="preserve">  aeb_gen_cfg_reserved_914 : t_aeb_gen_cfg_reserved_914_wr_reg; -- AEB General Configuration Area Register "RESERVED_914"</t>
  </si>
  <si>
    <t xml:space="preserve">  aeb_gen_cfg_reserved_918 : t_aeb_gen_cfg_reserved_918_wr_reg; -- AEB General Configuration Area Register "RESERVED_918"</t>
  </si>
  <si>
    <t xml:space="preserve">  aeb_gen_cfg_reserved_91c : t_aeb_gen_cfg_reserved_91c_wr_reg; -- AEB General Configuration Area Register "RESERVED_91C"</t>
  </si>
  <si>
    <t xml:space="preserve">  aeb_gen_cfg_reserved_920 : t_aeb_gen_cfg_reserved_920_wr_reg; -- AEB General Configuration Area Register "RESERVED_920"</t>
  </si>
  <si>
    <t xml:space="preserve">  aeb_gen_cfg_reserved_924 : t_aeb_gen_cfg_reserved_924_wr_reg; -- AEB General Configuration Area Register "RESERVED_924"</t>
  </si>
  <si>
    <t xml:space="preserve">  aeb_gen_cfg_reserved_928 : t_aeb_gen_cfg_reserved_928_wr_reg; -- AEB General Configuration Area Register "RESERVED_928"</t>
  </si>
  <si>
    <t xml:space="preserve">  aeb_gen_cfg_reserved_92c : t_aeb_gen_cfg_reserved_92c_wr_reg; -- AEB General Configuration Area Register "RESERVED_92C"</t>
  </si>
  <si>
    <t xml:space="preserve">  aeb_gen_cfg_reserved_930 : t_aeb_gen_cfg_reserved_930_wr_reg; -- AEB General Configuration Area Register "RESERVED_930"</t>
  </si>
  <si>
    <t xml:space="preserve">  aeb_gen_cfg_reserved_934 : t_aeb_gen_cfg_reserved_934_wr_reg; -- AEB General Configuration Area Register "RESERVED_934"</t>
  </si>
  <si>
    <t xml:space="preserve">  aeb_gen_cfg_reserved_938 : t_aeb_gen_cfg_reserved_938_wr_reg; -- AEB General Configuration Area Register "RESERVED_938"</t>
  </si>
  <si>
    <t xml:space="preserve">  aeb_gen_cfg_reserved_93c : t_aeb_gen_cfg_reserved_93c_wr_reg; -- AEB General Configuration Area Register "RESERVED_93C"</t>
  </si>
  <si>
    <t xml:space="preserve">  aeb_gen_cfg_reserved_940 : t_aeb_gen_cfg_reserved_940_wr_reg; -- AEB General Configuration Area Register "RESERVED_940"</t>
  </si>
  <si>
    <t xml:space="preserve">  aeb_gen_cfg_reserved_944 : t_aeb_gen_cfg_reserved_944_wr_reg; -- AEB General Configuration Area Register "RESERVED_944"</t>
  </si>
  <si>
    <t xml:space="preserve">  aeb_gen_cfg_reserved_948 : t_aeb_gen_cfg_reserved_948_wr_reg; -- AEB General Configuration Area Register "RESERVED_948"</t>
  </si>
  <si>
    <t xml:space="preserve">  aeb_gen_cfg_reserved_94c : t_aeb_gen_cfg_reserved_94c_wr_reg; -- AEB General Configuration Area Register "RESERVED_94C"</t>
  </si>
  <si>
    <t xml:space="preserve">  aeb_gen_cfg_reserved_950 : t_aeb_gen_cfg_reserved_950_wr_reg; -- AEB General Configuration Area Register "RESERVED_950"</t>
  </si>
  <si>
    <t xml:space="preserve">  aeb_gen_cfg_reserved_954 : t_aeb_gen_cfg_reserved_954_wr_reg; -- AEB General Configuration Area Register "RESERVED_954"</t>
  </si>
  <si>
    <t xml:space="preserve">  aeb_gen_cfg_reserved_958 : t_aeb_gen_cfg_reserved_958_wr_reg; -- AEB General Configuration Area Register "RESERVED_958"</t>
  </si>
  <si>
    <t xml:space="preserve">  aeb_gen_cfg_reserved_95c : t_aeb_gen_cfg_reserved_95c_wr_reg; -- AEB General Configuration Area Register "RESERVED_95C"</t>
  </si>
  <si>
    <t xml:space="preserve">  aeb_gen_cfg_reserved_960 : t_aeb_gen_cfg_reserved_960_wr_reg; -- AEB General Configuration Area Register "RESERVED_960"</t>
  </si>
  <si>
    <t xml:space="preserve">  aeb_gen_cfg_reserved_964 : t_aeb_gen_cfg_reserved_964_wr_reg; -- AEB General Configuration Area Register "RESERVED_964"</t>
  </si>
  <si>
    <t xml:space="preserve">  aeb_gen_cfg_reserved_968 : t_aeb_gen_cfg_reserved_968_wr_reg; -- AEB General Configuration Area Register "RESERVED_968"</t>
  </si>
  <si>
    <t xml:space="preserve">  aeb_gen_cfg_reserved_96c : t_aeb_gen_cfg_reserved_96c_wr_reg; -- AEB General Configuration Area Register "RESERVED_96C"</t>
  </si>
  <si>
    <t xml:space="preserve">  aeb_gen_cfg_reserved_970 : t_aeb_gen_cfg_reserved_970_wr_reg; -- AEB General Configuration Area Register "RESERVED_970"</t>
  </si>
  <si>
    <t xml:space="preserve">  aeb_gen_cfg_reserved_974 : t_aeb_gen_cfg_reserved_974_wr_reg; -- AEB General Configuration Area Register "RESERVED_974"</t>
  </si>
  <si>
    <t xml:space="preserve">  aeb_gen_cfg_reserved_978 : t_aeb_gen_cfg_reserved_978_wr_reg; -- AEB General Configuration Area Register "RESERVED_978"</t>
  </si>
  <si>
    <t xml:space="preserve">  aeb_gen_cfg_reserved_97c : t_aeb_gen_cfg_reserved_97c_wr_reg; -- AEB General Configuration Area Register "RESERVED_97C"</t>
  </si>
  <si>
    <t xml:space="preserve">  aeb_gen_cfg_reserved_980 : t_aeb_gen_cfg_reserved_980_wr_reg; -- AEB General Configuration Area Register "RESERVED_980"</t>
  </si>
  <si>
    <t xml:space="preserve">  aeb_gen_cfg_reserved_984 : t_aeb_gen_cfg_reserved_984_wr_reg; -- AEB General Configuration Area Register "RESERVED_984"</t>
  </si>
  <si>
    <t xml:space="preserve">  aeb_gen_cfg_reserved_988 : t_aeb_gen_cfg_reserved_988_wr_reg; -- AEB General Configuration Area Register "RESERVED_988"</t>
  </si>
  <si>
    <t xml:space="preserve">  aeb_gen_cfg_reserved_98c : t_aeb_gen_cfg_reserved_98c_wr_reg; -- AEB General Configuration Area Register "RESERVED_98C"</t>
  </si>
  <si>
    <t xml:space="preserve">  aeb_gen_cfg_reserved_990 : t_aeb_gen_cfg_reserved_990_wr_reg; -- AEB General Configuration Area Register "RESERVED_990"</t>
  </si>
  <si>
    <t xml:space="preserve">  aeb_gen_cfg_reserved_994 : t_aeb_gen_cfg_reserved_994_wr_reg; -- AEB General Configuration Area Register "RESERVED_994"</t>
  </si>
  <si>
    <t xml:space="preserve">  aeb_gen_cfg_reserved_998 : t_aeb_gen_cfg_reserved_998_wr_reg; -- AEB General Configuration Area Register "RESERVED_998"</t>
  </si>
  <si>
    <t xml:space="preserve">  aeb_gen_cfg_reserved_99c : t_aeb_gen_cfg_reserved_99c_wr_reg; -- AEB General Configuration Area Register "RESERVED_99C"</t>
  </si>
  <si>
    <t xml:space="preserve">  aeb_gen_cfg_reserved_9a0 : t_aeb_gen_cfg_reserved_9a0_wr_reg; -- AEB General Configuration Area Register "RESERVED_9A0"</t>
  </si>
  <si>
    <t xml:space="preserve">  aeb_gen_cfg_reserved_9a4 : t_aeb_gen_cfg_reserved_9a4_wr_reg; -- AEB General Configuration Area Register "RESERVED_9A4"</t>
  </si>
  <si>
    <t xml:space="preserve">  aeb_gen_cfg_reserved_9a8 : t_aeb_gen_cfg_reserved_9a8_wr_reg; -- AEB General Configuration Area Register "RESERVED_9A8"</t>
  </si>
  <si>
    <t xml:space="preserve">  aeb_gen_cfg_reserved_9ac : t_aeb_gen_cfg_reserved_9ac_wr_reg; -- AEB General Configuration Area Register "RESERVED_9AC"</t>
  </si>
  <si>
    <t xml:space="preserve">  aeb_gen_cfg_reserved_9b0 : t_aeb_gen_cfg_reserved_9b0_wr_reg; -- AEB General Configuration Area Register "RESERVED_9B0"</t>
  </si>
  <si>
    <t xml:space="preserve">  aeb_gen_cfg_reserved_9b4 : t_aeb_gen_cfg_reserved_9b4_wr_reg; -- AEB General Configuration Area Register "RESERVED_9B4"</t>
  </si>
  <si>
    <t xml:space="preserve">  aeb_gen_cfg_reserved_9b8 : t_aeb_gen_cfg_reserved_9b8_wr_reg; -- AEB General Configuration Area Register "RESERVED_9B8"</t>
  </si>
  <si>
    <t xml:space="preserve">  aeb_gen_cfg_reserved_9bc : t_aeb_gen_cfg_reserved_9bc_wr_reg; -- AEB General Configuration Area Register "RESERVED_9BC"</t>
  </si>
  <si>
    <t xml:space="preserve">  aeb_gen_cfg_reserved_9c0 : t_aeb_gen_cfg_reserved_9c0_wr_reg; -- AEB General Configuration Area Register "RESERVED_9C0"</t>
  </si>
  <si>
    <t xml:space="preserve">  aeb_gen_cfg_reserved_9c4 : t_aeb_gen_cfg_reserved_9c4_wr_reg; -- AEB General Configuration Area Register "RESERVED_9C4"</t>
  </si>
  <si>
    <t xml:space="preserve">  aeb_gen_cfg_reserved_9c8 : t_aeb_gen_cfg_reserved_9c8_wr_reg; -- AEB General Configuration Area Register "RESERVED_9C8"</t>
  </si>
  <si>
    <t xml:space="preserve">  aeb_gen_cfg_reserved_9cc : t_aeb_gen_cfg_reserved_9cc_wr_reg; -- AEB General Configuration Area Register "RESERVED_9CC"</t>
  </si>
  <si>
    <t xml:space="preserve">  aeb_gen_cfg_reserved_9d0 : t_aeb_gen_cfg_reserved_9d0_wr_reg; -- AEB General Configuration Area Register "RESERVED_9D0"</t>
  </si>
  <si>
    <t xml:space="preserve">  aeb_gen_cfg_reserved_9d4 : t_aeb_gen_cfg_reserved_9d4_wr_reg; -- AEB General Configuration Area Register "RESERVED_9D4"</t>
  </si>
  <si>
    <t xml:space="preserve">  aeb_gen_cfg_reserved_9d8 : t_aeb_gen_cfg_reserved_9d8_wr_reg; -- AEB General Configuration Area Register "RESERVED_9D8"</t>
  </si>
  <si>
    <t xml:space="preserve">  aeb_gen_cfg_reserved_9dc : t_aeb_gen_cfg_reserved_9dc_wr_reg; -- AEB General Configuration Area Register "RESERVED_9DC"</t>
  </si>
  <si>
    <t xml:space="preserve">  aeb_gen_cfg_reserved_9e0 : t_aeb_gen_cfg_reserved_9e0_wr_reg; -- AEB General Configuration Area Register "RESERVED_9E0"</t>
  </si>
  <si>
    <t xml:space="preserve">  aeb_gen_cfg_reserved_9e4 : t_aeb_gen_cfg_reserved_9e4_wr_reg; -- AEB General Configuration Area Register "RESERVED_9E4"</t>
  </si>
  <si>
    <t xml:space="preserve">  aeb_gen_cfg_reserved_9e8 : t_aeb_gen_cfg_reserved_9e8_wr_reg; -- AEB General Configuration Area Register "RESERVED_9E8"</t>
  </si>
  <si>
    <t xml:space="preserve">  aeb_gen_cfg_reserved_9ec : t_aeb_gen_cfg_reserved_9ec_wr_reg; -- AEB General Configuration Area Register "RESERVED_9EC"</t>
  </si>
  <si>
    <t xml:space="preserve">  aeb_gen_cfg_reserved_9f0 : t_aeb_gen_cfg_reserved_9f0_wr_reg; -- AEB General Configuration Area Register "RESERVED_9F0"</t>
  </si>
  <si>
    <t xml:space="preserve">  aeb_gen_cfg_reserved_9f4 : t_aeb_gen_cfg_reserved_9f4_wr_reg; -- AEB General Configuration Area Register "RESERVED_9F4"</t>
  </si>
  <si>
    <t xml:space="preserve">  aeb_gen_cfg_reserved_9f8 : t_aeb_gen_cfg_reserved_9f8_wr_reg; -- AEB General Configuration Area Register "RESERVED_9F8"</t>
  </si>
  <si>
    <t xml:space="preserve">  aeb_gen_cfg_reserved_9fc : t_aeb_gen_cfg_reserved_9fc_wr_reg; -- AEB General Configuration Area Register "RESERVED_9FC"</t>
  </si>
  <si>
    <t xml:space="preserve">  aeb_gen_cfg_reserved_a00 : t_aeb_gen_cfg_reserved_a00_wr_reg; -- AEB General Configuration Area Register "RESERVED_A00"</t>
  </si>
  <si>
    <t xml:space="preserve">  aeb_gen_cfg_reserved_a04 : t_aeb_gen_cfg_reserved_a04_wr_reg; -- AEB General Configuration Area Register "RESERVED_A04"</t>
  </si>
  <si>
    <t xml:space="preserve">  aeb_gen_cfg_reserved_a08 : t_aeb_gen_cfg_reserved_a08_wr_reg; -- AEB General Configuration Area Register "RESERVED_A08"</t>
  </si>
  <si>
    <t xml:space="preserve">  aeb_gen_cfg_reserved_a0c : t_aeb_gen_cfg_reserved_a0c_wr_reg; -- AEB General Configuration Area Register "RESERVED_A0C"</t>
  </si>
  <si>
    <t xml:space="preserve">  aeb_gen_cfg_reserved_a10 : t_aeb_gen_cfg_reserved_a10_wr_reg; -- AEB General Configuration Area Register "RESERVED_A10"</t>
  </si>
  <si>
    <t xml:space="preserve">  aeb_gen_cfg_reserved_a14 : t_aeb_gen_cfg_reserved_a14_wr_reg; -- AEB General Configuration Area Register "RESERVED_A14"</t>
  </si>
  <si>
    <t xml:space="preserve">  aeb_gen_cfg_reserved_a18 : t_aeb_gen_cfg_reserved_a18_wr_reg; -- AEB General Configuration Area Register "RESERVED_A18"</t>
  </si>
  <si>
    <t xml:space="preserve">  aeb_gen_cfg_reserved_a1c : t_aeb_gen_cfg_reserved_a1c_wr_reg; -- AEB General Configuration Area Register "RESERVED_A1C"</t>
  </si>
  <si>
    <t xml:space="preserve">  aeb_gen_cfg_reserved_a20 : t_aeb_gen_cfg_reserved_a20_wr_reg; -- AEB General Configuration Area Register "RESERVED_A20"</t>
  </si>
  <si>
    <t xml:space="preserve">  aeb_gen_cfg_reserved_a24 : t_aeb_gen_cfg_reserved_a24_wr_reg; -- AEB General Configuration Area Register "RESERVED_A24"</t>
  </si>
  <si>
    <t xml:space="preserve">  aeb_gen_cfg_reserved_a28 : t_aeb_gen_cfg_reserved_a28_wr_reg; -- AEB General Configuration Area Register "RESERVED_A28"</t>
  </si>
  <si>
    <t xml:space="preserve">  aeb_gen_cfg_reserved_a2c : t_aeb_gen_cfg_reserved_a2c_wr_reg; -- AEB General Configuration Area Register "RESERVED_A2C"</t>
  </si>
  <si>
    <t xml:space="preserve">  aeb_gen_cfg_reserved_a30 : t_aeb_gen_cfg_reserved_a30_wr_reg; -- AEB General Configuration Area Register "RESERVED_A30"</t>
  </si>
  <si>
    <t xml:space="preserve">  aeb_gen_cfg_reserved_a34 : t_aeb_gen_cfg_reserved_a34_wr_reg; -- AEB General Configuration Area Register "RESERVED_A34"</t>
  </si>
  <si>
    <t xml:space="preserve">  aeb_gen_cfg_reserved_a38 : t_aeb_gen_cfg_reserved_a38_wr_reg; -- AEB General Configuration Area Register "RESERVED_A38"</t>
  </si>
  <si>
    <t xml:space="preserve">  aeb_gen_cfg_reserved_a3c : t_aeb_gen_cfg_reserved_a3c_wr_reg; -- AEB General Configuration Area Register "RESERVED_A3C"</t>
  </si>
  <si>
    <t xml:space="preserve">  aeb_gen_cfg_reserved_a40 : t_aeb_gen_cfg_reserved_a40_wr_reg; -- AEB General Configuration Area Register "RESERVED_A40"</t>
  </si>
  <si>
    <t xml:space="preserve">  aeb_gen_cfg_reserved_a44 : t_aeb_gen_cfg_reserved_a44_wr_reg; -- AEB General Configuration Area Register "RESERVED_A44"</t>
  </si>
  <si>
    <t xml:space="preserve">  aeb_gen_cfg_reserved_a48 : t_aeb_gen_cfg_reserved_a48_wr_reg; -- AEB General Configuration Area Register "RESERVED_A48"</t>
  </si>
  <si>
    <t xml:space="preserve">  aeb_gen_cfg_reserved_a4c : t_aeb_gen_cfg_reserved_a4c_wr_reg; -- AEB General Configuration Area Register "RESERVED_A4C"</t>
  </si>
  <si>
    <t xml:space="preserve">  aeb_gen_cfg_reserved_a50 : t_aeb_gen_cfg_reserved_a50_wr_reg; -- AEB General Configuration Area Register "RESERVED_A50"</t>
  </si>
  <si>
    <t xml:space="preserve">  aeb_gen_cfg_reserved_a54 : t_aeb_gen_cfg_reserved_a54_wr_reg; -- AEB General Configuration Area Register "RESERVED_A54"</t>
  </si>
  <si>
    <t xml:space="preserve">  aeb_gen_cfg_reserved_a58 : t_aeb_gen_cfg_reserved_a58_wr_reg; -- AEB General Configuration Area Register "RESERVED_A58"</t>
  </si>
  <si>
    <t xml:space="preserve">  aeb_gen_cfg_reserved_a5c : t_aeb_gen_cfg_reserved_a5c_wr_reg; -- AEB General Configuration Area Register "RESERVED_A5C"</t>
  </si>
  <si>
    <t xml:space="preserve">  aeb_gen_cfg_reserved_a60 : t_aeb_gen_cfg_reserved_a60_wr_reg; -- AEB General Configuration Area Register "RESERVED_A60"</t>
  </si>
  <si>
    <t xml:space="preserve">  aeb_gen_cfg_reserved_a64 : t_aeb_gen_cfg_reserved_a64_wr_reg; -- AEB General Configuration Area Register "RESERVED_A64"</t>
  </si>
  <si>
    <t xml:space="preserve">  aeb_gen_cfg_reserved_a68 : t_aeb_gen_cfg_reserved_a68_wr_reg; -- AEB General Configuration Area Register "RESERVED_A68"</t>
  </si>
  <si>
    <t xml:space="preserve">  aeb_gen_cfg_reserved_a6c : t_aeb_gen_cfg_reserved_a6c_wr_reg; -- AEB General Configuration Area Register "RESERVED_A6C"</t>
  </si>
  <si>
    <t xml:space="preserve">  aeb_gen_cfg_reserved_a70 : t_aeb_gen_cfg_reserved_a70_wr_reg; -- AEB General Configuration Area Register "RESERVED_A70"</t>
  </si>
  <si>
    <t xml:space="preserve">  aeb_gen_cfg_reserved_a74 : t_aeb_gen_cfg_reserved_a74_wr_reg; -- AEB General Configuration Area Register "RESERVED_A74"</t>
  </si>
  <si>
    <t xml:space="preserve">  aeb_gen_cfg_reserved_a78 : t_aeb_gen_cfg_reserved_a78_wr_reg; -- AEB General Configuration Area Register "RESERVED_A78"</t>
  </si>
  <si>
    <t xml:space="preserve">  aeb_gen_cfg_reserved_a7c : t_aeb_gen_cfg_reserved_a7c_wr_reg; -- AEB General Configuration Area Register "RESERVED_A7C"</t>
  </si>
  <si>
    <t xml:space="preserve">  aeb_gen_cfg_reserved_a80 : t_aeb_gen_cfg_reserved_a80_wr_reg; -- AEB General Configuration Area Register "RESERVED_A80"</t>
  </si>
  <si>
    <t xml:space="preserve">  aeb_gen_cfg_reserved_a84 : t_aeb_gen_cfg_reserved_a84_wr_reg; -- AEB General Configuration Area Register "RESERVED_A84"</t>
  </si>
  <si>
    <t xml:space="preserve">  aeb_gen_cfg_reserved_a88 : t_aeb_gen_cfg_reserved_a88_wr_reg; -- AEB General Configuration Area Register "RESERVED_A88"</t>
  </si>
  <si>
    <t xml:space="preserve">  aeb_gen_cfg_reserved_a8c : t_aeb_gen_cfg_reserved_a8c_wr_reg; -- AEB General Configuration Area Register "RESERVED_A8C"</t>
  </si>
  <si>
    <t xml:space="preserve">  aeb_gen_cfg_reserved_a90 : t_aeb_gen_cfg_reserved_a90_wr_reg; -- AEB General Configuration Area Register "RESERVED_A90"</t>
  </si>
  <si>
    <t xml:space="preserve">  aeb_gen_cfg_reserved_a94 : t_aeb_gen_cfg_reserved_a94_wr_reg; -- AEB General Configuration Area Register "RESERVED_A94"</t>
  </si>
  <si>
    <t xml:space="preserve">  aeb_gen_cfg_reserved_a98 : t_aeb_gen_cfg_reserved_a98_wr_reg; -- AEB General Configuration Area Register "RESERVED_A98"</t>
  </si>
  <si>
    <t xml:space="preserve">  aeb_gen_cfg_reserved_a9c : t_aeb_gen_cfg_reserved_a9c_wr_reg; -- AEB General Configuration Area Register "RESERVED_A9C"</t>
  </si>
  <si>
    <t xml:space="preserve">  aeb_gen_cfg_reserved_aa0 : t_aeb_gen_cfg_reserved_aa0_wr_reg; -- AEB General Configuration Area Register "RESERVED_AA0"</t>
  </si>
  <si>
    <t xml:space="preserve">  aeb_gen_cfg_reserved_aa4 : t_aeb_gen_cfg_reserved_aa4_wr_reg; -- AEB General Configuration Area Register "RESERVED_AA4"</t>
  </si>
  <si>
    <t xml:space="preserve">  aeb_gen_cfg_reserved_aa8 : t_aeb_gen_cfg_reserved_aa8_wr_reg; -- AEB General Configuration Area Register "RESERVED_AA8"</t>
  </si>
  <si>
    <t xml:space="preserve">  aeb_gen_cfg_reserved_aac : t_aeb_gen_cfg_reserved_aac_wr_reg; -- AEB General Configuration Area Register "RESERVED_AAC"</t>
  </si>
  <si>
    <t xml:space="preserve">  aeb_gen_cfg_reserved_ab0 : t_aeb_gen_cfg_reserved_ab0_wr_reg; -- AEB General Configuration Area Register "RESERVED_AB0"</t>
  </si>
  <si>
    <t xml:space="preserve">  aeb_gen_cfg_reserved_ab4 : t_aeb_gen_cfg_reserved_ab4_wr_reg; -- AEB General Configuration Area Register "RESERVED_AB4"</t>
  </si>
  <si>
    <t xml:space="preserve">  aeb_gen_cfg_reserved_ab8 : t_aeb_gen_cfg_reserved_ab8_wr_reg; -- AEB General Configuration Area Register "RESERVED_AB8"</t>
  </si>
  <si>
    <t xml:space="preserve">  aeb_gen_cfg_reserved_abc : t_aeb_gen_cfg_reserved_abc_wr_reg; -- AEB General Configuration Area Register "RESERVED_ABC"</t>
  </si>
  <si>
    <t xml:space="preserve">  aeb_gen_cfg_reserved_ac0 : t_aeb_gen_cfg_reserved_ac0_wr_reg; -- AEB General Configuration Area Register "RESERVED_AC0"</t>
  </si>
  <si>
    <t xml:space="preserve">  aeb_gen_cfg_reserved_ac4 : t_aeb_gen_cfg_reserved_ac4_wr_reg; -- AEB General Configuration Area Register "RESERVED_AC4"</t>
  </si>
  <si>
    <t xml:space="preserve">  aeb_gen_cfg_reserved_ac8 : t_aeb_gen_cfg_reserved_ac8_wr_reg; -- AEB General Configuration Area Register "RESERVED_AC8"</t>
  </si>
  <si>
    <t xml:space="preserve">  aeb_gen_cfg_reserved_acc : t_aeb_gen_cfg_reserved_acc_wr_reg; -- AEB General Configuration Area Register "RESERVED_ACC"</t>
  </si>
  <si>
    <t xml:space="preserve">  aeb_gen_cfg_reserved_ad0 : t_aeb_gen_cfg_reserved_ad0_wr_reg; -- AEB General Configuration Area Register "RESERVED_AD0"</t>
  </si>
  <si>
    <t xml:space="preserve">  aeb_gen_cfg_reserved_ad4 : t_aeb_gen_cfg_reserved_ad4_wr_reg; -- AEB General Configuration Area Register "RESERVED_AD4"</t>
  </si>
  <si>
    <t xml:space="preserve">  aeb_gen_cfg_reserved_ad8 : t_aeb_gen_cfg_reserved_ad8_wr_reg; -- AEB General Configuration Area Register "RESERVED_AD8"</t>
  </si>
  <si>
    <t xml:space="preserve">  aeb_gen_cfg_reserved_adc : t_aeb_gen_cfg_reserved_adc_wr_reg; -- AEB General Configuration Area Register "RESERVED_ADC"</t>
  </si>
  <si>
    <t xml:space="preserve">  aeb_gen_cfg_reserved_ae0 : t_aeb_gen_cfg_reserved_ae0_wr_reg; -- AEB General Configuration Area Register "RESERVED_AE0"</t>
  </si>
  <si>
    <t xml:space="preserve">  aeb_gen_cfg_reserved_ae4 : t_aeb_gen_cfg_reserved_ae4_wr_reg; -- AEB General Configuration Area Register "RESERVED_AE4"</t>
  </si>
  <si>
    <t xml:space="preserve">  aeb_gen_cfg_reserved_ae8 : t_aeb_gen_cfg_reserved_ae8_wr_reg; -- AEB General Configuration Area Register "RESERVED_AE8"</t>
  </si>
  <si>
    <t xml:space="preserve">  aeb_gen_cfg_reserved_aec : t_aeb_gen_cfg_reserved_aec_wr_reg; -- AEB General Configuration Area Register "RESERVED_AEC"</t>
  </si>
  <si>
    <t xml:space="preserve">  aeb_gen_cfg_reserved_af0 : t_aeb_gen_cfg_reserved_af0_wr_reg; -- AEB General Configuration Area Register "RESERVED_AF0"</t>
  </si>
  <si>
    <t xml:space="preserve">  aeb_gen_cfg_reserved_af4 : t_aeb_gen_cfg_reserved_af4_wr_reg; -- AEB General Configuration Area Register "RESERVED_AF4"</t>
  </si>
  <si>
    <t xml:space="preserve">  aeb_gen_cfg_reserved_af8 : t_aeb_gen_cfg_reserved_af8_wr_reg; -- AEB General Configuration Area Register "RESERVED_AF8"</t>
  </si>
  <si>
    <t xml:space="preserve">  aeb_gen_cfg_reserved_afc : t_aeb_gen_cfg_reserved_afc_wr_reg; -- AEB General Configuration Area Register "RESERVED_AFC"</t>
  </si>
  <si>
    <t xml:space="preserve">  aeb_gen_cfg_reserved_b00 : t_aeb_gen_cfg_reserved_b00_wr_reg; -- AEB General Configuration Area Register "RESERVED_B00"</t>
  </si>
  <si>
    <t xml:space="preserve">  aeb_gen_cfg_reserved_b04 : t_aeb_gen_cfg_reserved_b04_wr_reg; -- AEB General Configuration Area Register "RESERVED_B04"</t>
  </si>
  <si>
    <t xml:space="preserve">  aeb_gen_cfg_reserved_b08 : t_aeb_gen_cfg_reserved_b08_wr_reg; -- AEB General Configuration Area Register "RESERVED_B08"</t>
  </si>
  <si>
    <t xml:space="preserve">  aeb_gen_cfg_reserved_b0c : t_aeb_gen_cfg_reserved_b0c_wr_reg; -- AEB General Configuration Area Register "RESERVED_B0C"</t>
  </si>
  <si>
    <t xml:space="preserve">  aeb_gen_cfg_reserved_b10 : t_aeb_gen_cfg_reserved_b10_wr_reg; -- AEB General Configuration Area Register "RESERVED_B10"</t>
  </si>
  <si>
    <t xml:space="preserve">  aeb_gen_cfg_reserved_b14 : t_aeb_gen_cfg_reserved_b14_wr_reg; -- AEB General Configuration Area Register "RESERVED_B14"</t>
  </si>
  <si>
    <t xml:space="preserve">  aeb_gen_cfg_reserved_b18 : t_aeb_gen_cfg_reserved_b18_wr_reg; -- AEB General Configuration Area Register "RESERVED_B18"</t>
  </si>
  <si>
    <t xml:space="preserve">  aeb_gen_cfg_reserved_b1c : t_aeb_gen_cfg_reserved_b1c_wr_reg; -- AEB General Configuration Area Register "RESERVED_B1C"</t>
  </si>
  <si>
    <t xml:space="preserve">  aeb_gen_cfg_reserved_b20 : t_aeb_gen_cfg_reserved_b20_wr_reg; -- AEB General Configuration Area Register "RESERVED_B20"</t>
  </si>
  <si>
    <t xml:space="preserve">  aeb_gen_cfg_reserved_b24 : t_aeb_gen_cfg_reserved_b24_wr_reg; -- AEB General Configuration Area Register "RESERVED_B24"</t>
  </si>
  <si>
    <t xml:space="preserve">  aeb_gen_cfg_reserved_b28 : t_aeb_gen_cfg_reserved_b28_wr_reg; -- AEB General Configuration Area Register "RESERVED_B28"</t>
  </si>
  <si>
    <t xml:space="preserve">  aeb_gen_cfg_reserved_b2c : t_aeb_gen_cfg_reserved_b2c_wr_reg; -- AEB General Configuration Area Register "RESERVED_B2C"</t>
  </si>
  <si>
    <t xml:space="preserve">  aeb_gen_cfg_reserved_b30 : t_aeb_gen_cfg_reserved_b30_wr_reg; -- AEB General Configuration Area Register "RESERVED_B30"</t>
  </si>
  <si>
    <t xml:space="preserve">  aeb_gen_cfg_reserved_b34 : t_aeb_gen_cfg_reserved_b34_wr_reg; -- AEB General Configuration Area Register "RESERVED_B34"</t>
  </si>
  <si>
    <t xml:space="preserve">  aeb_gen_cfg_reserved_b38 : t_aeb_gen_cfg_reserved_b38_wr_reg; -- AEB General Configuration Area Register "RESERVED_B38"</t>
  </si>
  <si>
    <t xml:space="preserve">  aeb_gen_cfg_reserved_b3c : t_aeb_gen_cfg_reserved_b3c_wr_reg; -- AEB General Configuration Area Register "RESERVED_B3C"</t>
  </si>
  <si>
    <t xml:space="preserve">  aeb_gen_cfg_reserved_b40 : t_aeb_gen_cfg_reserved_b40_wr_reg; -- AEB General Configuration Area Register "RESERVED_B40"</t>
  </si>
  <si>
    <t xml:space="preserve">  aeb_gen_cfg_reserved_b44 : t_aeb_gen_cfg_reserved_b44_wr_reg; -- AEB General Configuration Area Register "RESERVED_B44"</t>
  </si>
  <si>
    <t xml:space="preserve">  aeb_gen_cfg_reserved_b48 : t_aeb_gen_cfg_reserved_b48_wr_reg; -- AEB General Configuration Area Register "RESERVED_B48"</t>
  </si>
  <si>
    <t xml:space="preserve">  aeb_gen_cfg_reserved_b4c : t_aeb_gen_cfg_reserved_b4c_wr_reg; -- AEB General Configuration Area Register "RESERVED_B4C"</t>
  </si>
  <si>
    <t xml:space="preserve">  aeb_gen_cfg_reserved_b50 : t_aeb_gen_cfg_reserved_b50_wr_reg; -- AEB General Configuration Area Register "RESERVED_B50"</t>
  </si>
  <si>
    <t xml:space="preserve">  aeb_gen_cfg_reserved_b54 : t_aeb_gen_cfg_reserved_b54_wr_reg; -- AEB General Configuration Area Register "RESERVED_B54"</t>
  </si>
  <si>
    <t xml:space="preserve">  aeb_gen_cfg_reserved_b58 : t_aeb_gen_cfg_reserved_b58_wr_reg; -- AEB General Configuration Area Register "RESERVED_B58"</t>
  </si>
  <si>
    <t xml:space="preserve">  aeb_gen_cfg_reserved_b5c : t_aeb_gen_cfg_reserved_b5c_wr_reg; -- AEB General Configuration Area Register "RESERVED_B5C"</t>
  </si>
  <si>
    <t xml:space="preserve">  aeb_gen_cfg_reserved_b60 : t_aeb_gen_cfg_reserved_b60_wr_reg; -- AEB General Configuration Area Register "RESERVED_B60"</t>
  </si>
  <si>
    <t xml:space="preserve">  aeb_gen_cfg_reserved_b64 : t_aeb_gen_cfg_reserved_b64_wr_reg; -- AEB General Configuration Area Register "RESERVED_B64"</t>
  </si>
  <si>
    <t xml:space="preserve">  aeb_gen_cfg_reserved_b68 : t_aeb_gen_cfg_reserved_b68_wr_reg; -- AEB General Configuration Area Register "RESERVED_B68"</t>
  </si>
  <si>
    <t xml:space="preserve">  aeb_gen_cfg_reserved_b6c : t_aeb_gen_cfg_reserved_b6c_wr_reg; -- AEB General Configuration Area Register "RESERVED_B6C"</t>
  </si>
  <si>
    <t xml:space="preserve">  aeb_gen_cfg_reserved_b70 : t_aeb_gen_cfg_reserved_b70_wr_reg; -- AEB General Configuration Area Register "RESERVED_B70"</t>
  </si>
  <si>
    <t xml:space="preserve">  aeb_gen_cfg_reserved_b74 : t_aeb_gen_cfg_reserved_b74_wr_reg; -- AEB General Configuration Area Register "RESERVED_B74"</t>
  </si>
  <si>
    <t xml:space="preserve">  aeb_gen_cfg_reserved_b78 : t_aeb_gen_cfg_reserved_b78_wr_reg; -- AEB General Configuration Area Register "RESERVED_B78"</t>
  </si>
  <si>
    <t xml:space="preserve">  aeb_gen_cfg_reserved_b7c : t_aeb_gen_cfg_reserved_b7c_wr_reg; -- AEB General Configuration Area Register "RESERVED_B7C"</t>
  </si>
  <si>
    <t xml:space="preserve">  aeb_gen_cfg_reserved_b80 : t_aeb_gen_cfg_reserved_b80_wr_reg; -- AEB General Configuration Area Register "RESERVED_B80"</t>
  </si>
  <si>
    <t xml:space="preserve">  aeb_gen_cfg_reserved_b84 : t_aeb_gen_cfg_reserved_b84_wr_reg; -- AEB General Configuration Area Register "RESERVED_B84"</t>
  </si>
  <si>
    <t xml:space="preserve">  aeb_gen_cfg_reserved_b88 : t_aeb_gen_cfg_reserved_b88_wr_reg; -- AEB General Configuration Area Register "RESERVED_B88"</t>
  </si>
  <si>
    <t xml:space="preserve">  aeb_gen_cfg_reserved_b8c : t_aeb_gen_cfg_reserved_b8c_wr_reg; -- AEB General Configuration Area Register "RESERVED_B8C"</t>
  </si>
  <si>
    <t xml:space="preserve">  aeb_gen_cfg_reserved_b90 : t_aeb_gen_cfg_reserved_b90_wr_reg; -- AEB General Configuration Area Register "RESERVED_B90"</t>
  </si>
  <si>
    <t xml:space="preserve">  aeb_gen_cfg_reserved_b94 : t_aeb_gen_cfg_reserved_b94_wr_reg; -- AEB General Configuration Area Register "RESERVED_B94"</t>
  </si>
  <si>
    <t xml:space="preserve">  aeb_gen_cfg_reserved_b98 : t_aeb_gen_cfg_reserved_b98_wr_reg; -- AEB General Configuration Area Register "RESERVED_B98"</t>
  </si>
  <si>
    <t xml:space="preserve">  aeb_gen_cfg_reserved_b9c : t_aeb_gen_cfg_reserved_b9c_wr_reg; -- AEB General Configuration Area Register "RESERVED_B9C"</t>
  </si>
  <si>
    <t xml:space="preserve">  aeb_gen_cfg_reserved_ba0 : t_aeb_gen_cfg_reserved_ba0_wr_reg; -- AEB General Configuration Area Register "RESERVED_BA0"</t>
  </si>
  <si>
    <t xml:space="preserve">  aeb_gen_cfg_reserved_ba4 : t_aeb_gen_cfg_reserved_ba4_wr_reg; -- AEB General Configuration Area Register "RESERVED_BA4"</t>
  </si>
  <si>
    <t xml:space="preserve">  aeb_gen_cfg_reserved_ba8 : t_aeb_gen_cfg_reserved_ba8_wr_reg; -- AEB General Configuration Area Register "RESERVED_BA8"</t>
  </si>
  <si>
    <t xml:space="preserve">  aeb_gen_cfg_reserved_bac : t_aeb_gen_cfg_reserved_bac_wr_reg; -- AEB General Configuration Area Register "RESERVED_BAC"</t>
  </si>
  <si>
    <t xml:space="preserve">  aeb_gen_cfg_reserved_bb0 : t_aeb_gen_cfg_reserved_bb0_wr_reg; -- AEB General Configuration Area Register "RESERVED_BB0"</t>
  </si>
  <si>
    <t xml:space="preserve">  aeb_gen_cfg_reserved_bb4 : t_aeb_gen_cfg_reserved_bb4_wr_reg; -- AEB General Configuration Area Register "RESERVED_BB4"</t>
  </si>
  <si>
    <t xml:space="preserve">  aeb_gen_cfg_reserved_bb8 : t_aeb_gen_cfg_reserved_bb8_wr_reg; -- AEB General Configuration Area Register "RESERVED_BB8"</t>
  </si>
  <si>
    <t xml:space="preserve">  aeb_gen_cfg_reserved_bbc : t_aeb_gen_cfg_reserved_bbc_wr_reg; -- AEB General Configuration Area Register "RESERVED_BBC"</t>
  </si>
  <si>
    <t xml:space="preserve">  aeb_gen_cfg_reserved_bc0 : t_aeb_gen_cfg_reserved_bc0_wr_reg; -- AEB General Configuration Area Register "RESERVED_BC0"</t>
  </si>
  <si>
    <t xml:space="preserve">  aeb_gen_cfg_reserved_bc4 : t_aeb_gen_cfg_reserved_bc4_wr_reg; -- AEB General Configuration Area Register "RESERVED_BC4"</t>
  </si>
  <si>
    <t xml:space="preserve">  aeb_gen_cfg_reserved_bc8 : t_aeb_gen_cfg_reserved_bc8_wr_reg; -- AEB General Configuration Area Register "RESERVED_BC8"</t>
  </si>
  <si>
    <t xml:space="preserve">  aeb_gen_cfg_reserved_bcc : t_aeb_gen_cfg_reserved_bcc_wr_reg; -- AEB General Configuration Area Register "RESERVED_BCC"</t>
  </si>
  <si>
    <t xml:space="preserve">  aeb_gen_cfg_reserved_bd0 : t_aeb_gen_cfg_reserved_bd0_wr_reg; -- AEB General Configuration Area Register "RESERVED_BD0"</t>
  </si>
  <si>
    <t xml:space="preserve">  aeb_gen_cfg_reserved_bd4 : t_aeb_gen_cfg_reserved_bd4_wr_reg; -- AEB General Configuration Area Register "RESERVED_BD4"</t>
  </si>
  <si>
    <t xml:space="preserve">  aeb_gen_cfg_reserved_bd8 : t_aeb_gen_cfg_reserved_bd8_wr_reg; -- AEB General Configuration Area Register "RESERVED_BD8"</t>
  </si>
  <si>
    <t xml:space="preserve">  aeb_gen_cfg_reserved_bdc : t_aeb_gen_cfg_reserved_bdc_wr_reg; -- AEB General Configuration Area Register "RESERVED_BDC"</t>
  </si>
  <si>
    <t xml:space="preserve">  aeb_gen_cfg_reserved_be0 : t_aeb_gen_cfg_reserved_be0_wr_reg; -- AEB General Configuration Area Register "RESERVED_BE0"</t>
  </si>
  <si>
    <t xml:space="preserve">  aeb_gen_cfg_reserved_be4 : t_aeb_gen_cfg_reserved_be4_wr_reg; -- AEB General Configuration Area Register "RESERVED_BE4"</t>
  </si>
  <si>
    <t xml:space="preserve">  aeb_gen_cfg_reserved_be8 : t_aeb_gen_cfg_reserved_be8_wr_reg; -- AEB General Configuration Area Register "RESERVED_BE8"</t>
  </si>
  <si>
    <t xml:space="preserve">  aeb_gen_cfg_reserved_bec : t_aeb_gen_cfg_reserved_bec_wr_reg; -- AEB General Configuration Area Register "RESERVED_BEC"</t>
  </si>
  <si>
    <t xml:space="preserve">  aeb_gen_cfg_reserved_bf0 : t_aeb_gen_cfg_reserved_bf0_wr_reg; -- AEB General Configuration Area Register "RESERVED_BF0"</t>
  </si>
  <si>
    <t xml:space="preserve">  aeb_gen_cfg_reserved_bf4 : t_aeb_gen_cfg_reserved_bf4_wr_reg; -- AEB General Configuration Area Register "RESERVED_BF4"</t>
  </si>
  <si>
    <t xml:space="preserve">  aeb_gen_cfg_reserved_bf8 : t_aeb_gen_cfg_reserved_bf8_wr_reg; -- AEB General Configuration Area Register "RESERVED_BF8"</t>
  </si>
  <si>
    <t xml:space="preserve">  aeb_gen_cfg_reserved_bfc : t_aeb_gen_cfg_reserved_bfc_wr_reg; -- AEB General Configuration Area Register "RESERVED_BFC"</t>
  </si>
  <si>
    <t xml:space="preserve">  aeb_gen_cfg_reserved_c00 : t_aeb_gen_cfg_reserved_c00_wr_reg; -- AEB General Configuration Area Register "RESERVED_C00"</t>
  </si>
  <si>
    <t xml:space="preserve">  aeb_gen_cfg_reserved_c04 : t_aeb_gen_cfg_reserved_c04_wr_reg; -- AEB General Configuration Area Register "RESERVED_C04"</t>
  </si>
  <si>
    <t xml:space="preserve">  aeb_gen_cfg_reserved_c08 : t_aeb_gen_cfg_reserved_c08_wr_reg; -- AEB General Configuration Area Register "RESERVED_C08"</t>
  </si>
  <si>
    <t xml:space="preserve">  aeb_gen_cfg_reserved_c0c : t_aeb_gen_cfg_reserved_c0c_wr_reg; -- AEB General Configuration Area Register "RESERVED_C0C"</t>
  </si>
  <si>
    <t xml:space="preserve">  aeb_gen_cfg_reserved_c10 : t_aeb_gen_cfg_reserved_c10_wr_reg; -- AEB General Configuration Area Register "RESERVED_C10"</t>
  </si>
  <si>
    <t xml:space="preserve">  aeb_gen_cfg_reserved_c14 : t_aeb_gen_cfg_reserved_c14_wr_reg; -- AEB General Configuration Area Register "RESERVED_C14"</t>
  </si>
  <si>
    <t xml:space="preserve">  aeb_gen_cfg_reserved_c18 : t_aeb_gen_cfg_reserved_c18_wr_reg; -- AEB General Configuration Area Register "RESERVED_C18"</t>
  </si>
  <si>
    <t xml:space="preserve">  aeb_gen_cfg_reserved_c1c : t_aeb_gen_cfg_reserved_c1c_wr_reg; -- AEB General Configuration Area Register "RESERVED_C1C"</t>
  </si>
  <si>
    <t xml:space="preserve">  aeb_gen_cfg_reserved_c20 : t_aeb_gen_cfg_reserved_c20_wr_reg; -- AEB General Configuration Area Register "RESERVED_C20"</t>
  </si>
  <si>
    <t xml:space="preserve">  aeb_gen_cfg_reserved_c24 : t_aeb_gen_cfg_reserved_c24_wr_reg; -- AEB General Configuration Area Register "RESERVED_C24"</t>
  </si>
  <si>
    <t xml:space="preserve">  aeb_gen_cfg_reserved_c28 : t_aeb_gen_cfg_reserved_c28_wr_reg; -- AEB General Configuration Area Register "RESERVED_C28"</t>
  </si>
  <si>
    <t xml:space="preserve">  aeb_gen_cfg_reserved_c2c : t_aeb_gen_cfg_reserved_c2c_wr_reg; -- AEB General Configuration Area Register "RESERVED_C2C"</t>
  </si>
  <si>
    <t xml:space="preserve">  aeb_gen_cfg_reserved_c30 : t_aeb_gen_cfg_reserved_c30_wr_reg; -- AEB General Configuration Area Register "RESERVED_C30"</t>
  </si>
  <si>
    <t xml:space="preserve">  aeb_gen_cfg_reserved_c34 : t_aeb_gen_cfg_reserved_c34_wr_reg; -- AEB General Configuration Area Register "RESERVED_C34"</t>
  </si>
  <si>
    <t xml:space="preserve">  aeb_gen_cfg_reserved_c38 : t_aeb_gen_cfg_reserved_c38_wr_reg; -- AEB General Configuration Area Register "RESERVED_C38"</t>
  </si>
  <si>
    <t xml:space="preserve">  aeb_gen_cfg_reserved_c3c : t_aeb_gen_cfg_reserved_c3c_wr_reg; -- AEB General Configuration Area Register "RESERVED_C3C"</t>
  </si>
  <si>
    <t xml:space="preserve">  aeb_gen_cfg_reserved_c40 : t_aeb_gen_cfg_reserved_c40_wr_reg; -- AEB General Configuration Area Register "RESERVED_C40"</t>
  </si>
  <si>
    <t xml:space="preserve">  aeb_gen_cfg_reserved_c44 : t_aeb_gen_cfg_reserved_c44_wr_reg; -- AEB General Configuration Area Register "RESERVED_C44"</t>
  </si>
  <si>
    <t xml:space="preserve">  aeb_gen_cfg_reserved_c48 : t_aeb_gen_cfg_reserved_c48_wr_reg; -- AEB General Configuration Area Register "RESERVED_C48"</t>
  </si>
  <si>
    <t xml:space="preserve">  aeb_gen_cfg_reserved_c4c : t_aeb_gen_cfg_reserved_c4c_wr_reg; -- AEB General Configuration Area Register "RESERVED_C4C"</t>
  </si>
  <si>
    <t xml:space="preserve">  aeb_gen_cfg_reserved_c50 : t_aeb_gen_cfg_reserved_c50_wr_reg; -- AEB General Configuration Area Register "RESERVED_C50"</t>
  </si>
  <si>
    <t xml:space="preserve">  aeb_gen_cfg_reserved_c54 : t_aeb_gen_cfg_reserved_c54_wr_reg; -- AEB General Configuration Area Register "RESERVED_C54"</t>
  </si>
  <si>
    <t xml:space="preserve">  aeb_gen_cfg_reserved_c58 : t_aeb_gen_cfg_reserved_c58_wr_reg; -- AEB General Configuration Area Register "RESERVED_C58"</t>
  </si>
  <si>
    <t xml:space="preserve">  aeb_gen_cfg_reserved_c5c : t_aeb_gen_cfg_reserved_c5c_wr_reg; -- AEB General Configuration Area Register "RESERVED_C5C"</t>
  </si>
  <si>
    <t xml:space="preserve">  aeb_gen_cfg_reserved_c60 : t_aeb_gen_cfg_reserved_c60_wr_reg; -- AEB General Configuration Area Register "RESERVED_C60"</t>
  </si>
  <si>
    <t xml:space="preserve">  aeb_gen_cfg_reserved_c64 : t_aeb_gen_cfg_reserved_c64_wr_reg; -- AEB General Configuration Area Register "RESERVED_C64"</t>
  </si>
  <si>
    <t xml:space="preserve">  aeb_gen_cfg_reserved_c68 : t_aeb_gen_cfg_reserved_c68_wr_reg; -- AEB General Configuration Area Register "RESERVED_C68"</t>
  </si>
  <si>
    <t xml:space="preserve">  aeb_gen_cfg_reserved_c6c : t_aeb_gen_cfg_reserved_c6c_wr_reg; -- AEB General Configuration Area Register "RESERVED_C6C"</t>
  </si>
  <si>
    <t xml:space="preserve">  aeb_gen_cfg_reserved_c70 : t_aeb_gen_cfg_reserved_c70_wr_reg; -- AEB General Configuration Area Register "RESERVED_C70"</t>
  </si>
  <si>
    <t xml:space="preserve">  aeb_gen_cfg_reserved_c74 : t_aeb_gen_cfg_reserved_c74_wr_reg; -- AEB General Configuration Area Register "RESERVED_C74"</t>
  </si>
  <si>
    <t xml:space="preserve">  aeb_gen_cfg_reserved_c78 : t_aeb_gen_cfg_reserved_c78_wr_reg; -- AEB General Configuration Area Register "RESERVED_C78"</t>
  </si>
  <si>
    <t xml:space="preserve">  aeb_gen_cfg_reserved_c7c : t_aeb_gen_cfg_reserved_c7c_wr_reg; -- AEB General Configuration Area Register "RESERVED_C7C"</t>
  </si>
  <si>
    <t xml:space="preserve">  aeb_gen_cfg_reserved_c80 : t_aeb_gen_cfg_reserved_c80_wr_reg; -- AEB General Configuration Area Register "RESERVED_C80"</t>
  </si>
  <si>
    <t xml:space="preserve">  aeb_gen_cfg_reserved_c84 : t_aeb_gen_cfg_reserved_c84_wr_reg; -- AEB General Configuration Area Register "RESERVED_C84"</t>
  </si>
  <si>
    <t xml:space="preserve">  aeb_gen_cfg_reserved_c88 : t_aeb_gen_cfg_reserved_c88_wr_reg; -- AEB General Configuration Area Register "RESERVED_C88"</t>
  </si>
  <si>
    <t xml:space="preserve">  aeb_gen_cfg_reserved_c8c : t_aeb_gen_cfg_reserved_c8c_wr_reg; -- AEB General Configuration Area Register "RESERVED_C8C"</t>
  </si>
  <si>
    <t xml:space="preserve">  aeb_gen_cfg_reserved_c90 : t_aeb_gen_cfg_reserved_c90_wr_reg; -- AEB General Configuration Area Register "RESERVED_C90"</t>
  </si>
  <si>
    <t xml:space="preserve">  aeb_gen_cfg_reserved_c94 : t_aeb_gen_cfg_reserved_c94_wr_reg; -- AEB General Configuration Area Register "RESERVED_C94"</t>
  </si>
  <si>
    <t xml:space="preserve">  aeb_gen_cfg_reserved_c98 : t_aeb_gen_cfg_reserved_c98_wr_reg; -- AEB General Configuration Area Register "RESERVED_C98"</t>
  </si>
  <si>
    <t xml:space="preserve">  aeb_gen_cfg_reserved_c9c : t_aeb_gen_cfg_reserved_c9c_wr_reg; -- AEB General Configuration Area Register "RESERVED_C9C"</t>
  </si>
  <si>
    <t xml:space="preserve">  aeb_gen_cfg_reserved_ca0 : t_aeb_gen_cfg_reserved_ca0_wr_reg; -- AEB General Configuration Area Register "RESERVED_CA0"</t>
  </si>
  <si>
    <t xml:space="preserve">  aeb_gen_cfg_reserved_ca4 : t_aeb_gen_cfg_reserved_ca4_wr_reg; -- AEB General Configuration Area Register "RESERVED_CA4"</t>
  </si>
  <si>
    <t xml:space="preserve">  aeb_gen_cfg_reserved_ca8 : t_aeb_gen_cfg_reserved_ca8_wr_reg; -- AEB General Configuration Area Register "RESERVED_CA8"</t>
  </si>
  <si>
    <t xml:space="preserve">  aeb_gen_cfg_reserved_cac : t_aeb_gen_cfg_reserved_cac_wr_reg; -- AEB General Configuration Area Register "RESERVED_CAC"</t>
  </si>
  <si>
    <t xml:space="preserve">  aeb_gen_cfg_reserved_cb0 : t_aeb_gen_cfg_reserved_cb0_wr_reg; -- AEB General Configuration Area Register "RESERVED_CB0"</t>
  </si>
  <si>
    <t xml:space="preserve">  aeb_gen_cfg_reserved_cb4 : t_aeb_gen_cfg_reserved_cb4_wr_reg; -- AEB General Configuration Area Register "RESERVED_CB4"</t>
  </si>
  <si>
    <t xml:space="preserve">  aeb_gen_cfg_reserved_cb8 : t_aeb_gen_cfg_reserved_cb8_wr_reg; -- AEB General Configuration Area Register "RESERVED_CB8"</t>
  </si>
  <si>
    <t xml:space="preserve">  aeb_gen_cfg_reserved_cbc : t_aeb_gen_cfg_reserved_cbc_wr_reg; -- AEB General Configuration Area Register "RESERVED_CBC"</t>
  </si>
  <si>
    <t xml:space="preserve">  aeb_gen_cfg_reserved_cc0 : t_aeb_gen_cfg_reserved_cc0_wr_reg; -- AEB General Configuration Area Register "RESERVED_CC0"</t>
  </si>
  <si>
    <t xml:space="preserve">  aeb_gen_cfg_reserved_cc4 : t_aeb_gen_cfg_reserved_cc4_wr_reg; -- AEB General Configuration Area Register "RESERVED_CC4"</t>
  </si>
  <si>
    <t xml:space="preserve">  aeb_gen_cfg_reserved_cc8 : t_aeb_gen_cfg_reserved_cc8_wr_reg; -- AEB General Configuration Area Register "RESERVED_CC8"</t>
  </si>
  <si>
    <t xml:space="preserve">  aeb_gen_cfg_reserved_ccc : t_aeb_gen_cfg_reserved_ccc_wr_reg; -- AEB General Configuration Area Register "RESERVED_CCC"</t>
  </si>
  <si>
    <t xml:space="preserve">  aeb_gen_cfg_reserved_cd0 : t_aeb_gen_cfg_reserved_cd0_wr_reg; -- AEB General Configuration Area Register "RESERVED_CD0"</t>
  </si>
  <si>
    <t xml:space="preserve">  aeb_gen_cfg_reserved_cd4 : t_aeb_gen_cfg_reserved_cd4_wr_reg; -- AEB General Configuration Area Register "RESERVED_CD4"</t>
  </si>
  <si>
    <t xml:space="preserve">  aeb_gen_cfg_reserved_cd8 : t_aeb_gen_cfg_reserved_cd8_wr_reg; -- AEB General Configuration Area Register "RESERVED_CD8"</t>
  </si>
  <si>
    <t xml:space="preserve">  aeb_gen_cfg_reserved_cdc : t_aeb_gen_cfg_reserved_cdc_wr_reg; -- AEB General Configuration Area Register "RESERVED_CDC"</t>
  </si>
  <si>
    <t xml:space="preserve">  aeb_gen_cfg_reserved_ce0 : t_aeb_gen_cfg_reserved_ce0_wr_reg; -- AEB General Configuration Area Register "RESERVED_CE0"</t>
  </si>
  <si>
    <t xml:space="preserve">  aeb_gen_cfg_reserved_ce4 : t_aeb_gen_cfg_reserved_ce4_wr_reg; -- AEB General Configuration Area Register "RESERVED_CE4"</t>
  </si>
  <si>
    <t xml:space="preserve">  aeb_gen_cfg_reserved_ce8 : t_aeb_gen_cfg_reserved_ce8_wr_reg; -- AEB General Configuration Area Register "RESERVED_CE8"</t>
  </si>
  <si>
    <t xml:space="preserve">  aeb_gen_cfg_reserved_cec : t_aeb_gen_cfg_reserved_cec_wr_reg; -- AEB General Configuration Area Register "RESERVED_CEC"</t>
  </si>
  <si>
    <t xml:space="preserve">  aeb_gen_cfg_reserved_cf0 : t_aeb_gen_cfg_reserved_cf0_wr_reg; -- AEB General Configuration Area Register "RESERVED_CF0"</t>
  </si>
  <si>
    <t xml:space="preserve">  aeb_gen_cfg_reserved_cf4 : t_aeb_gen_cfg_reserved_cf4_wr_reg; -- AEB General Configuration Area Register "RESERVED_CF4"</t>
  </si>
  <si>
    <t xml:space="preserve">  aeb_gen_cfg_reserved_cf8 : t_aeb_gen_cfg_reserved_cf8_wr_reg; -- AEB General Configuration Area Register "RESERVED_CF8"</t>
  </si>
  <si>
    <t xml:space="preserve">  aeb_gen_cfg_reserved_cfc : t_aeb_gen_cfg_reserved_cfc_wr_reg; -- AEB General Configuration Area Register "RESERVED_CFC"</t>
  </si>
  <si>
    <t xml:space="preserve">  aeb_gen_cfg_reserved_d00 : t_aeb_gen_cfg_reserved_d00_wr_reg; -- AEB General Configuration Area Register "RESERVED_D00"</t>
  </si>
  <si>
    <t xml:space="preserve">  aeb_gen_cfg_reserved_d04 : t_aeb_gen_cfg_reserved_d04_wr_reg; -- AEB General Configuration Area Register "RESERVED_D04"</t>
  </si>
  <si>
    <t xml:space="preserve">  aeb_gen_cfg_reserved_d08 : t_aeb_gen_cfg_reserved_d08_wr_reg; -- AEB General Configuration Area Register "RESERVED_D08"</t>
  </si>
  <si>
    <t xml:space="preserve">  aeb_gen_cfg_reserved_d0c : t_aeb_gen_cfg_reserved_d0c_wr_reg; -- AEB General Configuration Area Register "RESERVED_D0C"</t>
  </si>
  <si>
    <t xml:space="preserve">  aeb_gen_cfg_reserved_d10 : t_aeb_gen_cfg_reserved_d10_wr_reg; -- AEB General Configuration Area Register "RESERVED_D10"</t>
  </si>
  <si>
    <t xml:space="preserve">  aeb_gen_cfg_reserved_d14 : t_aeb_gen_cfg_reserved_d14_wr_reg; -- AEB General Configuration Area Register "RESERVED_D14"</t>
  </si>
  <si>
    <t xml:space="preserve">  aeb_gen_cfg_reserved_d18 : t_aeb_gen_cfg_reserved_d18_wr_reg; -- AEB General Configuration Area Register "RESERVED_D18"</t>
  </si>
  <si>
    <t xml:space="preserve">  aeb_gen_cfg_reserved_d1c : t_aeb_gen_cfg_reserved_d1c_wr_reg; -- AEB General Configuration Area Register "RESERVED_D1C"</t>
  </si>
  <si>
    <t xml:space="preserve">  aeb_gen_cfg_reserved_d20 : t_aeb_gen_cfg_reserved_d20_wr_reg; -- AEB General Configuration Area Register "RESERVED_D20"</t>
  </si>
  <si>
    <t xml:space="preserve">  aeb_gen_cfg_reserved_d24 : t_aeb_gen_cfg_reserved_d24_wr_reg; -- AEB General Configuration Area Register "RESERVED_D24"</t>
  </si>
  <si>
    <t xml:space="preserve">  aeb_gen_cfg_reserved_d28 : t_aeb_gen_cfg_reserved_d28_wr_reg; -- AEB General Configuration Area Register "RESERVED_D28"</t>
  </si>
  <si>
    <t xml:space="preserve">  aeb_gen_cfg_reserved_d2c : t_aeb_gen_cfg_reserved_d2c_wr_reg; -- AEB General Configuration Area Register "RESERVED_D2C"</t>
  </si>
  <si>
    <t xml:space="preserve">  aeb_gen_cfg_reserved_d30 : t_aeb_gen_cfg_reserved_d30_wr_reg; -- AEB General Configuration Area Register "RESERVED_D30"</t>
  </si>
  <si>
    <t xml:space="preserve">  aeb_gen_cfg_reserved_d34 : t_aeb_gen_cfg_reserved_d34_wr_reg; -- AEB General Configuration Area Register "RESERVED_D34"</t>
  </si>
  <si>
    <t xml:space="preserve">  aeb_gen_cfg_reserved_d38 : t_aeb_gen_cfg_reserved_d38_wr_reg; -- AEB General Configuration Area Register "RESERVED_D38"</t>
  </si>
  <si>
    <t xml:space="preserve">  aeb_gen_cfg_reserved_d3c : t_aeb_gen_cfg_reserved_d3c_wr_reg; -- AEB General Configuration Area Register "RESERVED_D3C"</t>
  </si>
  <si>
    <t xml:space="preserve">  aeb_gen_cfg_reserved_d40 : t_aeb_gen_cfg_reserved_d40_wr_reg; -- AEB General Configuration Area Register "RESERVED_D40"</t>
  </si>
  <si>
    <t xml:space="preserve">  aeb_gen_cfg_reserved_d44 : t_aeb_gen_cfg_reserved_d44_wr_reg; -- AEB General Configuration Area Register "RESERVED_D44"</t>
  </si>
  <si>
    <t xml:space="preserve">  aeb_gen_cfg_reserved_d48 : t_aeb_gen_cfg_reserved_d48_wr_reg; -- AEB General Configuration Area Register "RESERVED_D48"</t>
  </si>
  <si>
    <t xml:space="preserve">  aeb_gen_cfg_reserved_d4c : t_aeb_gen_cfg_reserved_d4c_wr_reg; -- AEB General Configuration Area Register "RESERVED_D4C"</t>
  </si>
  <si>
    <t xml:space="preserve">  aeb_gen_cfg_reserved_d50 : t_aeb_gen_cfg_reserved_d50_wr_reg; -- AEB General Configuration Area Register "RESERVED_D50"</t>
  </si>
  <si>
    <t xml:space="preserve">  aeb_gen_cfg_reserved_d54 : t_aeb_gen_cfg_reserved_d54_wr_reg; -- AEB General Configuration Area Register "RESERVED_D54"</t>
  </si>
  <si>
    <t xml:space="preserve">  aeb_gen_cfg_reserved_d58 : t_aeb_gen_cfg_reserved_d58_wr_reg; -- AEB General Configuration Area Register "RESERVED_D58"</t>
  </si>
  <si>
    <t xml:space="preserve">  aeb_gen_cfg_reserved_d5c : t_aeb_gen_cfg_reserved_d5c_wr_reg; -- AEB General Configuration Area Register "RESERVED_D5C"</t>
  </si>
  <si>
    <t xml:space="preserve">  aeb_gen_cfg_reserved_d60 : t_aeb_gen_cfg_reserved_d60_wr_reg; -- AEB General Configuration Area Register "RESERVED_D60"</t>
  </si>
  <si>
    <t xml:space="preserve">  aeb_gen_cfg_reserved_d64 : t_aeb_gen_cfg_reserved_d64_wr_reg; -- AEB General Configuration Area Register "RESERVED_D64"</t>
  </si>
  <si>
    <t xml:space="preserve">  aeb_gen_cfg_reserved_d68 : t_aeb_gen_cfg_reserved_d68_wr_reg; -- AEB General Configuration Area Register "RESERVED_D68"</t>
  </si>
  <si>
    <t xml:space="preserve">  aeb_gen_cfg_reserved_d6c : t_aeb_gen_cfg_reserved_d6c_wr_reg; -- AEB General Configuration Area Register "RESERVED_D6C"</t>
  </si>
  <si>
    <t xml:space="preserve">  aeb_gen_cfg_reserved_d70 : t_aeb_gen_cfg_reserved_d70_wr_reg; -- AEB General Configuration Area Register "RESERVED_D70"</t>
  </si>
  <si>
    <t xml:space="preserve">  aeb_gen_cfg_reserved_d74 : t_aeb_gen_cfg_reserved_d74_wr_reg; -- AEB General Configuration Area Register "RESERVED_D74"</t>
  </si>
  <si>
    <t xml:space="preserve">  aeb_gen_cfg_reserved_d78 : t_aeb_gen_cfg_reserved_d78_wr_reg; -- AEB General Configuration Area Register "RESERVED_D78"</t>
  </si>
  <si>
    <t xml:space="preserve">  aeb_gen_cfg_reserved_d7c : t_aeb_gen_cfg_reserved_d7c_wr_reg; -- AEB General Configuration Area Register "RESERVED_D7C"</t>
  </si>
  <si>
    <t xml:space="preserve">  aeb_gen_cfg_reserved_d80 : t_aeb_gen_cfg_reserved_d80_wr_reg; -- AEB General Configuration Area Register "RESERVED_D80"</t>
  </si>
  <si>
    <t xml:space="preserve">  aeb_gen_cfg_reserved_d84 : t_aeb_gen_cfg_reserved_d84_wr_reg; -- AEB General Configuration Area Register "RESERVED_D84"</t>
  </si>
  <si>
    <t xml:space="preserve">  aeb_gen_cfg_reserved_d88 : t_aeb_gen_cfg_reserved_d88_wr_reg; -- AEB General Configuration Area Register "RESERVED_D88"</t>
  </si>
  <si>
    <t xml:space="preserve">  aeb_gen_cfg_reserved_d8c : t_aeb_gen_cfg_reserved_d8c_wr_reg; -- AEB General Configuration Area Register "RESERVED_D8C"</t>
  </si>
  <si>
    <t xml:space="preserve">  aeb_gen_cfg_reserved_d90 : t_aeb_gen_cfg_reserved_d90_wr_reg; -- AEB General Configuration Area Register "RESERVED_D90"</t>
  </si>
  <si>
    <t xml:space="preserve">  aeb_gen_cfg_reserved_d94 : t_aeb_gen_cfg_reserved_d94_wr_reg; -- AEB General Configuration Area Register "RESERVED_D94"</t>
  </si>
  <si>
    <t xml:space="preserve">  aeb_gen_cfg_reserved_d98 : t_aeb_gen_cfg_reserved_d98_wr_reg; -- AEB General Configuration Area Register "RESERVED_D98"</t>
  </si>
  <si>
    <t xml:space="preserve">  aeb_gen_cfg_reserved_d9c : t_aeb_gen_cfg_reserved_d9c_wr_reg; -- AEB General Configuration Area Register "RESERVED_D9C"</t>
  </si>
  <si>
    <t xml:space="preserve">  aeb_gen_cfg_reserved_da0 : t_aeb_gen_cfg_reserved_da0_wr_reg; -- AEB General Configuration Area Register "RESERVED_DA0"</t>
  </si>
  <si>
    <t xml:space="preserve">  aeb_gen_cfg_reserved_da4 : t_aeb_gen_cfg_reserved_da4_wr_reg; -- AEB General Configuration Area Register "RESERVED_DA4"</t>
  </si>
  <si>
    <t xml:space="preserve">  aeb_gen_cfg_reserved_da8 : t_aeb_gen_cfg_reserved_da8_wr_reg; -- AEB General Configuration Area Register "RESERVED_DA8"</t>
  </si>
  <si>
    <t xml:space="preserve">  aeb_gen_cfg_reserved_dac : t_aeb_gen_cfg_reserved_dac_wr_reg; -- AEB General Configuration Area Register "RESERVED_DAC"</t>
  </si>
  <si>
    <t xml:space="preserve">  aeb_gen_cfg_reserved_db0 : t_aeb_gen_cfg_reserved_db0_wr_reg; -- AEB General Configuration Area Register "RESERVED_DB0"</t>
  </si>
  <si>
    <t xml:space="preserve">  aeb_gen_cfg_reserved_db4 : t_aeb_gen_cfg_reserved_db4_wr_reg; -- AEB General Configuration Area Register "RESERVED_DB4"</t>
  </si>
  <si>
    <t xml:space="preserve">  aeb_gen_cfg_reserved_db8 : t_aeb_gen_cfg_reserved_db8_wr_reg; -- AEB General Configuration Area Register "RESERVED_DB8"</t>
  </si>
  <si>
    <t xml:space="preserve">  aeb_gen_cfg_reserved_dbc : t_aeb_gen_cfg_reserved_dbc_wr_reg; -- AEB General Configuration Area Register "RESERVED_DBC"</t>
  </si>
  <si>
    <t xml:space="preserve">  aeb_gen_cfg_reserved_dc0 : t_aeb_gen_cfg_reserved_dc0_wr_reg; -- AEB General Configuration Area Register "RESERVED_DC0"</t>
  </si>
  <si>
    <t xml:space="preserve">  aeb_gen_cfg_reserved_dc4 : t_aeb_gen_cfg_reserved_dc4_wr_reg; -- AEB General Configuration Area Register "RESERVED_DC4"</t>
  </si>
  <si>
    <t xml:space="preserve">  aeb_gen_cfg_reserved_dc8 : t_aeb_gen_cfg_reserved_dc8_wr_reg; -- AEB General Configuration Area Register "RESERVED_DC8"</t>
  </si>
  <si>
    <t xml:space="preserve">  aeb_gen_cfg_reserved_dcc : t_aeb_gen_cfg_reserved_dcc_wr_reg; -- AEB General Configuration Area Register "RESERVED_DCC"</t>
  </si>
  <si>
    <t xml:space="preserve">  aeb_gen_cfg_reserved_dd0 : t_aeb_gen_cfg_reserved_dd0_wr_reg; -- AEB General Configuration Area Register "RESERVED_DD0"</t>
  </si>
  <si>
    <t xml:space="preserve">  aeb_gen_cfg_reserved_dd4 : t_aeb_gen_cfg_reserved_dd4_wr_reg; -- AEB General Configuration Area Register "RESERVED_DD4"</t>
  </si>
  <si>
    <t xml:space="preserve">  aeb_gen_cfg_reserved_dd8 : t_aeb_gen_cfg_reserved_dd8_wr_reg; -- AEB General Configuration Area Register "RESERVED_DD8"</t>
  </si>
  <si>
    <t xml:space="preserve">  aeb_gen_cfg_reserved_ddc : t_aeb_gen_cfg_reserved_ddc_wr_reg; -- AEB General Configuration Area Register "RESERVED_DDC"</t>
  </si>
  <si>
    <t xml:space="preserve">  aeb_gen_cfg_reserved_de0 : t_aeb_gen_cfg_reserved_de0_wr_reg; -- AEB General Configuration Area Register "RESERVED_DE0"</t>
  </si>
  <si>
    <t xml:space="preserve">  aeb_gen_cfg_reserved_de4 : t_aeb_gen_cfg_reserved_de4_wr_reg; -- AEB General Configuration Area Register "RESERVED_DE4"</t>
  </si>
  <si>
    <t xml:space="preserve">  aeb_gen_cfg_reserved_de8 : t_aeb_gen_cfg_reserved_de8_wr_reg; -- AEB General Configuration Area Register "RESERVED_DE8"</t>
  </si>
  <si>
    <t xml:space="preserve">  aeb_gen_cfg_reserved_dec : t_aeb_gen_cfg_reserved_dec_wr_reg; -- AEB General Configuration Area Register "RESERVED_DEC"</t>
  </si>
  <si>
    <t xml:space="preserve">  aeb_gen_cfg_reserved_df0 : t_aeb_gen_cfg_reserved_df0_wr_reg; -- AEB General Configuration Area Register "RESERVED_DF0"</t>
  </si>
  <si>
    <t xml:space="preserve">  aeb_gen_cfg_reserved_df4 : t_aeb_gen_cfg_reserved_df4_wr_reg; -- AEB General Configuration Area Register "RESERVED_DF4"</t>
  </si>
  <si>
    <t xml:space="preserve">  aeb_gen_cfg_reserved_df8 : t_aeb_gen_cfg_reserved_df8_wr_reg; -- AEB General Configuration Area Register "RESERVED_DF8"</t>
  </si>
  <si>
    <t xml:space="preserve">  aeb_gen_cfg_reserved_dfc : t_aeb_gen_cfg_reserved_dfc_wr_reg; -- AEB General Configuration Area Register "RESERVED_DFC"</t>
  </si>
  <si>
    <t xml:space="preserve">  aeb_gen_cfg_reserved_e00 : t_aeb_gen_cfg_reserved_e00_wr_reg; -- AEB General Configuration Area Register "RESERVED_E00"</t>
  </si>
  <si>
    <t xml:space="preserve">  aeb_gen_cfg_reserved_e04 : t_aeb_gen_cfg_reserved_e04_wr_reg; -- AEB General Configuration Area Register "RESERVED_E04"</t>
  </si>
  <si>
    <t xml:space="preserve">  aeb_gen_cfg_reserved_e08 : t_aeb_gen_cfg_reserved_e08_wr_reg; -- AEB General Configuration Area Register "RESERVED_E08"</t>
  </si>
  <si>
    <t xml:space="preserve">  aeb_gen_cfg_reserved_e0c : t_aeb_gen_cfg_reserved_e0c_wr_reg; -- AEB General Configuration Area Register "RESERVED_E0C"</t>
  </si>
  <si>
    <t xml:space="preserve">  aeb_gen_cfg_reserved_e10 : t_aeb_gen_cfg_reserved_e10_wr_reg; -- AEB General Configuration Area Register "RESERVED_E10"</t>
  </si>
  <si>
    <t xml:space="preserve">  aeb_gen_cfg_reserved_e14 : t_aeb_gen_cfg_reserved_e14_wr_reg; -- AEB General Configuration Area Register "RESERVED_E14"</t>
  </si>
  <si>
    <t xml:space="preserve">  aeb_gen_cfg_reserved_e18 : t_aeb_gen_cfg_reserved_e18_wr_reg; -- AEB General Configuration Area Register "RESERVED_E18"</t>
  </si>
  <si>
    <t xml:space="preserve">  aeb_gen_cfg_reserved_e1c : t_aeb_gen_cfg_reserved_e1c_wr_reg; -- AEB General Configuration Area Register "RESERVED_E1C"</t>
  </si>
  <si>
    <t xml:space="preserve">  aeb_gen_cfg_reserved_e20 : t_aeb_gen_cfg_reserved_e20_wr_reg; -- AEB General Configuration Area Register "RESERVED_E20"</t>
  </si>
  <si>
    <t xml:space="preserve">  aeb_gen_cfg_reserved_e24 : t_aeb_gen_cfg_reserved_e24_wr_reg; -- AEB General Configuration Area Register "RESERVED_E24"</t>
  </si>
  <si>
    <t xml:space="preserve">  aeb_gen_cfg_reserved_e28 : t_aeb_gen_cfg_reserved_e28_wr_reg; -- AEB General Configuration Area Register "RESERVED_E28"</t>
  </si>
  <si>
    <t xml:space="preserve">  aeb_gen_cfg_reserved_e2c : t_aeb_gen_cfg_reserved_e2c_wr_reg; -- AEB General Configuration Area Register "RESERVED_E2C"</t>
  </si>
  <si>
    <t xml:space="preserve">  aeb_gen_cfg_reserved_e30 : t_aeb_gen_cfg_reserved_e30_wr_reg; -- AEB General Configuration Area Register "RESERVED_E30"</t>
  </si>
  <si>
    <t xml:space="preserve">  aeb_gen_cfg_reserved_e34 : t_aeb_gen_cfg_reserved_e34_wr_reg; -- AEB General Configuration Area Register "RESERVED_E34"</t>
  </si>
  <si>
    <t xml:space="preserve">  aeb_gen_cfg_reserved_e38 : t_aeb_gen_cfg_reserved_e38_wr_reg; -- AEB General Configuration Area Register "RESERVED_E38"</t>
  </si>
  <si>
    <t xml:space="preserve">  aeb_gen_cfg_reserved_e3c : t_aeb_gen_cfg_reserved_e3c_wr_reg; -- AEB General Configuration Area Register "RESERVED_E3C"</t>
  </si>
  <si>
    <t xml:space="preserve">  aeb_gen_cfg_reserved_e40 : t_aeb_gen_cfg_reserved_e40_wr_reg; -- AEB General Configuration Area Register "RESERVED_E40"</t>
  </si>
  <si>
    <t xml:space="preserve">  aeb_gen_cfg_reserved_e44 : t_aeb_gen_cfg_reserved_e44_wr_reg; -- AEB General Configuration Area Register "RESERVED_E44"</t>
  </si>
  <si>
    <t xml:space="preserve">  aeb_gen_cfg_reserved_e48 : t_aeb_gen_cfg_reserved_e48_wr_reg; -- AEB General Configuration Area Register "RESERVED_E48"</t>
  </si>
  <si>
    <t xml:space="preserve">  aeb_gen_cfg_reserved_e4c : t_aeb_gen_cfg_reserved_e4c_wr_reg; -- AEB General Configuration Area Register "RESERVED_E4C"</t>
  </si>
  <si>
    <t xml:space="preserve">  aeb_gen_cfg_reserved_e50 : t_aeb_gen_cfg_reserved_e50_wr_reg; -- AEB General Configuration Area Register "RESERVED_E50"</t>
  </si>
  <si>
    <t xml:space="preserve">  aeb_gen_cfg_reserved_e54 : t_aeb_gen_cfg_reserved_e54_wr_reg; -- AEB General Configuration Area Register "RESERVED_E54"</t>
  </si>
  <si>
    <t xml:space="preserve">  aeb_gen_cfg_reserved_e58 : t_aeb_gen_cfg_reserved_e58_wr_reg; -- AEB General Configuration Area Register "RESERVED_E58"</t>
  </si>
  <si>
    <t xml:space="preserve">  aeb_gen_cfg_reserved_e5c : t_aeb_gen_cfg_reserved_e5c_wr_reg; -- AEB General Configuration Area Register "RESERVED_E5C"</t>
  </si>
  <si>
    <t xml:space="preserve">  aeb_gen_cfg_reserved_e60 : t_aeb_gen_cfg_reserved_e60_wr_reg; -- AEB General Configuration Area Register "RESERVED_E60"</t>
  </si>
  <si>
    <t xml:space="preserve">  aeb_gen_cfg_reserved_e64 : t_aeb_gen_cfg_reserved_e64_wr_reg; -- AEB General Configuration Area Register "RESERVED_E64"</t>
  </si>
  <si>
    <t xml:space="preserve">  aeb_gen_cfg_reserved_e68 : t_aeb_gen_cfg_reserved_e68_wr_reg; -- AEB General Configuration Area Register "RESERVED_E68"</t>
  </si>
  <si>
    <t xml:space="preserve">  aeb_gen_cfg_reserved_e6c : t_aeb_gen_cfg_reserved_e6c_wr_reg; -- AEB General Configuration Area Register "RESERVED_E6C"</t>
  </si>
  <si>
    <t xml:space="preserve">  aeb_gen_cfg_reserved_e70 : t_aeb_gen_cfg_reserved_e70_wr_reg; -- AEB General Configuration Area Register "RESERVED_E70"</t>
  </si>
  <si>
    <t xml:space="preserve">  aeb_gen_cfg_reserved_e74 : t_aeb_gen_cfg_reserved_e74_wr_reg; -- AEB General Configuration Area Register "RESERVED_E74"</t>
  </si>
  <si>
    <t xml:space="preserve">  aeb_gen_cfg_reserved_e78 : t_aeb_gen_cfg_reserved_e78_wr_reg; -- AEB General Configuration Area Register "RESERVED_E78"</t>
  </si>
  <si>
    <t xml:space="preserve">  aeb_gen_cfg_reserved_e7c : t_aeb_gen_cfg_reserved_e7c_wr_reg; -- AEB General Configuration Area Register "RESERVED_E7C"</t>
  </si>
  <si>
    <t xml:space="preserve">  aeb_gen_cfg_reserved_e80 : t_aeb_gen_cfg_reserved_e80_wr_reg; -- AEB General Configuration Area Register "RESERVED_E80"</t>
  </si>
  <si>
    <t xml:space="preserve">  aeb_gen_cfg_reserved_e84 : t_aeb_gen_cfg_reserved_e84_wr_reg; -- AEB General Configuration Area Register "RESERVED_E84"</t>
  </si>
  <si>
    <t xml:space="preserve">  aeb_gen_cfg_reserved_e88 : t_aeb_gen_cfg_reserved_e88_wr_reg; -- AEB General Configuration Area Register "RESERVED_E88"</t>
  </si>
  <si>
    <t xml:space="preserve">  aeb_gen_cfg_reserved_e8c : t_aeb_gen_cfg_reserved_e8c_wr_reg; -- AEB General Configuration Area Register "RESERVED_E8C"</t>
  </si>
  <si>
    <t xml:space="preserve">  aeb_gen_cfg_reserved_e90 : t_aeb_gen_cfg_reserved_e90_wr_reg; -- AEB General Configuration Area Register "RESERVED_E90"</t>
  </si>
  <si>
    <t xml:space="preserve">  aeb_gen_cfg_reserved_e94 : t_aeb_gen_cfg_reserved_e94_wr_reg; -- AEB General Configuration Area Register "RESERVED_E94"</t>
  </si>
  <si>
    <t xml:space="preserve">  aeb_gen_cfg_reserved_e98 : t_aeb_gen_cfg_reserved_e98_wr_reg; -- AEB General Configuration Area Register "RESERVED_E98"</t>
  </si>
  <si>
    <t xml:space="preserve">  aeb_gen_cfg_reserved_e9c : t_aeb_gen_cfg_reserved_e9c_wr_reg; -- AEB General Configuration Area Register "RESERVED_E9C"</t>
  </si>
  <si>
    <t xml:space="preserve">  aeb_gen_cfg_reserved_ea0 : t_aeb_gen_cfg_reserved_ea0_wr_reg; -- AEB General Configuration Area Register "RESERVED_EA0"</t>
  </si>
  <si>
    <t xml:space="preserve">  aeb_gen_cfg_reserved_ea4 : t_aeb_gen_cfg_reserved_ea4_wr_reg; -- AEB General Configuration Area Register "RESERVED_EA4"</t>
  </si>
  <si>
    <t xml:space="preserve">  aeb_gen_cfg_reserved_ea8 : t_aeb_gen_cfg_reserved_ea8_wr_reg; -- AEB General Configuration Area Register "RESERVED_EA8"</t>
  </si>
  <si>
    <t xml:space="preserve">  aeb_gen_cfg_reserved_eac : t_aeb_gen_cfg_reserved_eac_wr_reg; -- AEB General Configuration Area Register "RESERVED_EAC"</t>
  </si>
  <si>
    <t xml:space="preserve">  aeb_gen_cfg_reserved_eb0 : t_aeb_gen_cfg_reserved_eb0_wr_reg; -- AEB General Configuration Area Register "RESERVED_EB0"</t>
  </si>
  <si>
    <t xml:space="preserve">  aeb_gen_cfg_reserved_eb4 : t_aeb_gen_cfg_reserved_eb4_wr_reg; -- AEB General Configuration Area Register "RESERVED_EB4"</t>
  </si>
  <si>
    <t xml:space="preserve">  aeb_gen_cfg_reserved_eb8 : t_aeb_gen_cfg_reserved_eb8_wr_reg; -- AEB General Configuration Area Register "RESERVED_EB8"</t>
  </si>
  <si>
    <t xml:space="preserve">  aeb_gen_cfg_reserved_ebc : t_aeb_gen_cfg_reserved_ebc_wr_reg; -- AEB General Configuration Area Register "RESERVED_EBC"</t>
  </si>
  <si>
    <t xml:space="preserve">  aeb_gen_cfg_reserved_ec0 : t_aeb_gen_cfg_reserved_ec0_wr_reg; -- AEB General Configuration Area Register "RESERVED_EC0"</t>
  </si>
  <si>
    <t xml:space="preserve">  aeb_gen_cfg_reserved_ec4 : t_aeb_gen_cfg_reserved_ec4_wr_reg; -- AEB General Configuration Area Register "RESERVED_EC4"</t>
  </si>
  <si>
    <t xml:space="preserve">  aeb_gen_cfg_reserved_ec8 : t_aeb_gen_cfg_reserved_ec8_wr_reg; -- AEB General Configuration Area Register "RESERVED_EC8"</t>
  </si>
  <si>
    <t xml:space="preserve">  aeb_gen_cfg_reserved_ecc : t_aeb_gen_cfg_reserved_ecc_wr_reg; -- AEB General Configuration Area Register "RESERVED_ECC"</t>
  </si>
  <si>
    <t xml:space="preserve">  aeb_gen_cfg_reserved_ed0 : t_aeb_gen_cfg_reserved_ed0_wr_reg; -- AEB General Configuration Area Register "RESERVED_ED0"</t>
  </si>
  <si>
    <t xml:space="preserve">  aeb_gen_cfg_reserved_ed4 : t_aeb_gen_cfg_reserved_ed4_wr_reg; -- AEB General Configuration Area Register "RESERVED_ED4"</t>
  </si>
  <si>
    <t xml:space="preserve">  aeb_gen_cfg_reserved_ed8 : t_aeb_gen_cfg_reserved_ed8_wr_reg; -- AEB General Configuration Area Register "RESERVED_ED8"</t>
  </si>
  <si>
    <t xml:space="preserve">  aeb_gen_cfg_reserved_edc : t_aeb_gen_cfg_reserved_edc_wr_reg; -- AEB General Configuration Area Register "RESERVED_EDC"</t>
  </si>
  <si>
    <t xml:space="preserve">  aeb_gen_cfg_reserved_ee0 : t_aeb_gen_cfg_reserved_ee0_wr_reg; -- AEB General Configuration Area Register "RESERVED_EE0"</t>
  </si>
  <si>
    <t xml:space="preserve">  aeb_gen_cfg_reserved_ee4 : t_aeb_gen_cfg_reserved_ee4_wr_reg; -- AEB General Configuration Area Register "RESERVED_EE4"</t>
  </si>
  <si>
    <t xml:space="preserve">  aeb_gen_cfg_reserved_ee8 : t_aeb_gen_cfg_reserved_ee8_wr_reg; -- AEB General Configuration Area Register "RESERVED_EE8"</t>
  </si>
  <si>
    <t xml:space="preserve">  aeb_gen_cfg_reserved_eec : t_aeb_gen_cfg_reserved_eec_wr_reg; -- AEB General Configuration Area Register "RESERVED_EEC"</t>
  </si>
  <si>
    <t xml:space="preserve">  aeb_gen_cfg_reserved_ef0 : t_aeb_gen_cfg_reserved_ef0_wr_reg; -- AEB General Configuration Area Register "RESERVED_EF0"</t>
  </si>
  <si>
    <t xml:space="preserve">  aeb_gen_cfg_reserved_ef4 : t_aeb_gen_cfg_reserved_ef4_wr_reg; -- AEB General Configuration Area Register "RESERVED_EF4"</t>
  </si>
  <si>
    <t xml:space="preserve">  aeb_gen_cfg_reserved_ef8 : t_aeb_gen_cfg_reserved_ef8_wr_reg; -- AEB General Configuration Area Register "RESERVED_EF8"</t>
  </si>
  <si>
    <t xml:space="preserve">  aeb_gen_cfg_reserved_efc : t_aeb_gen_cfg_reserved_efc_wr_reg; -- AEB General Configuration Area Register "RESERVED_EFC"</t>
  </si>
  <si>
    <t xml:space="preserve">  aeb_gen_cfg_reserved_f00 : t_aeb_gen_cfg_reserved_f00_wr_reg; -- AEB General Configuration Area Register "RESERVED_F00"</t>
  </si>
  <si>
    <t xml:space="preserve">  aeb_gen_cfg_reserved_f04 : t_aeb_gen_cfg_reserved_f04_wr_reg; -- AEB General Configuration Area Register "RESERVED_F04"</t>
  </si>
  <si>
    <t xml:space="preserve">  aeb_gen_cfg_reserved_f08 : t_aeb_gen_cfg_reserved_f08_wr_reg; -- AEB General Configuration Area Register "RESERVED_F08"</t>
  </si>
  <si>
    <t xml:space="preserve">  aeb_gen_cfg_reserved_f0c : t_aeb_gen_cfg_reserved_f0c_wr_reg; -- AEB General Configuration Area Register "RESERVED_F0C"</t>
  </si>
  <si>
    <t xml:space="preserve">  aeb_gen_cfg_reserved_f10 : t_aeb_gen_cfg_reserved_f10_wr_reg; -- AEB General Configuration Area Register "RESERVED_F10"</t>
  </si>
  <si>
    <t xml:space="preserve">  aeb_gen_cfg_reserved_f14 : t_aeb_gen_cfg_reserved_f14_wr_reg; -- AEB General Configuration Area Register "RESERVED_F14"</t>
  </si>
  <si>
    <t xml:space="preserve">  aeb_gen_cfg_reserved_f18 : t_aeb_gen_cfg_reserved_f18_wr_reg; -- AEB General Configuration Area Register "RESERVED_F18"</t>
  </si>
  <si>
    <t xml:space="preserve">  aeb_gen_cfg_reserved_f1c : t_aeb_gen_cfg_reserved_f1c_wr_reg; -- AEB General Configuration Area Register "RESERVED_F1C"</t>
  </si>
  <si>
    <t xml:space="preserve">  aeb_gen_cfg_reserved_f20 : t_aeb_gen_cfg_reserved_f20_wr_reg; -- AEB General Configuration Area Register "RESERVED_F20"</t>
  </si>
  <si>
    <t xml:space="preserve">  aeb_gen_cfg_reserved_f24 : t_aeb_gen_cfg_reserved_f24_wr_reg; -- AEB General Configuration Area Register "RESERVED_F24"</t>
  </si>
  <si>
    <t xml:space="preserve">  aeb_gen_cfg_reserved_f28 : t_aeb_gen_cfg_reserved_f28_wr_reg; -- AEB General Configuration Area Register "RESERVED_F28"</t>
  </si>
  <si>
    <t xml:space="preserve">  aeb_gen_cfg_reserved_f2c : t_aeb_gen_cfg_reserved_f2c_wr_reg; -- AEB General Configuration Area Register "RESERVED_F2C"</t>
  </si>
  <si>
    <t xml:space="preserve">  aeb_gen_cfg_reserved_f30 : t_aeb_gen_cfg_reserved_f30_wr_reg; -- AEB General Configuration Area Register "RESERVED_F30"</t>
  </si>
  <si>
    <t xml:space="preserve">  aeb_gen_cfg_reserved_f34 : t_aeb_gen_cfg_reserved_f34_wr_reg; -- AEB General Configuration Area Register "RESERVED_F34"</t>
  </si>
  <si>
    <t xml:space="preserve">  aeb_gen_cfg_reserved_f38 : t_aeb_gen_cfg_reserved_f38_wr_reg; -- AEB General Configuration Area Register "RESERVED_F38"</t>
  </si>
  <si>
    <t xml:space="preserve">  aeb_gen_cfg_reserved_f3c : t_aeb_gen_cfg_reserved_f3c_wr_reg; -- AEB General Configuration Area Register "RESERVED_F3C"</t>
  </si>
  <si>
    <t xml:space="preserve">  aeb_gen_cfg_reserved_f40 : t_aeb_gen_cfg_reserved_f40_wr_reg; -- AEB General Configuration Area Register "RESERVED_F40"</t>
  </si>
  <si>
    <t xml:space="preserve">  aeb_gen_cfg_reserved_f44 : t_aeb_gen_cfg_reserved_f44_wr_reg; -- AEB General Configuration Area Register "RESERVED_F44"</t>
  </si>
  <si>
    <t xml:space="preserve">  aeb_gen_cfg_reserved_f48 : t_aeb_gen_cfg_reserved_f48_wr_reg; -- AEB General Configuration Area Register "RESERVED_F48"</t>
  </si>
  <si>
    <t xml:space="preserve">  aeb_gen_cfg_reserved_f4c : t_aeb_gen_cfg_reserved_f4c_wr_reg; -- AEB General Configuration Area Register "RESERVED_F4C"</t>
  </si>
  <si>
    <t xml:space="preserve">  aeb_gen_cfg_reserved_f50 : t_aeb_gen_cfg_reserved_f50_wr_reg; -- AEB General Configuration Area Register "RESERVED_F50"</t>
  </si>
  <si>
    <t xml:space="preserve">  aeb_gen_cfg_reserved_f54 : t_aeb_gen_cfg_reserved_f54_wr_reg; -- AEB General Configuration Area Register "RESERVED_F54"</t>
  </si>
  <si>
    <t xml:space="preserve">  aeb_gen_cfg_reserved_f58 : t_aeb_gen_cfg_reserved_f58_wr_reg; -- AEB General Configuration Area Register "RESERVED_F58"</t>
  </si>
  <si>
    <t xml:space="preserve">  aeb_gen_cfg_reserved_f5c : t_aeb_gen_cfg_reserved_f5c_wr_reg; -- AEB General Configuration Area Register "RESERVED_F5C"</t>
  </si>
  <si>
    <t xml:space="preserve">  aeb_gen_cfg_reserved_f60 : t_aeb_gen_cfg_reserved_f60_wr_reg; -- AEB General Configuration Area Register "RESERVED_F60"</t>
  </si>
  <si>
    <t xml:space="preserve">  aeb_gen_cfg_reserved_f64 : t_aeb_gen_cfg_reserved_f64_wr_reg; -- AEB General Configuration Area Register "RESERVED_F64"</t>
  </si>
  <si>
    <t xml:space="preserve">  aeb_gen_cfg_reserved_f68 : t_aeb_gen_cfg_reserved_f68_wr_reg; -- AEB General Configuration Area Register "RESERVED_F68"</t>
  </si>
  <si>
    <t xml:space="preserve">  aeb_gen_cfg_reserved_f6c : t_aeb_gen_cfg_reserved_f6c_wr_reg; -- AEB General Configuration Area Register "RESERVED_F6C"</t>
  </si>
  <si>
    <t xml:space="preserve">  aeb_gen_cfg_reserved_f70 : t_aeb_gen_cfg_reserved_f70_wr_reg; -- AEB General Configuration Area Register "RESERVED_F70"</t>
  </si>
  <si>
    <t xml:space="preserve">  aeb_gen_cfg_reserved_f74 : t_aeb_gen_cfg_reserved_f74_wr_reg; -- AEB General Configuration Area Register "RESERVED_F74"</t>
  </si>
  <si>
    <t xml:space="preserve">  aeb_gen_cfg_reserved_f78 : t_aeb_gen_cfg_reserved_f78_wr_reg; -- AEB General Configuration Area Register "RESERVED_F78"</t>
  </si>
  <si>
    <t xml:space="preserve">  aeb_gen_cfg_reserved_f7c : t_aeb_gen_cfg_reserved_f7c_wr_reg; -- AEB General Configuration Area Register "RESERVED_F7C"</t>
  </si>
  <si>
    <t xml:space="preserve">  aeb_gen_cfg_reserved_f80 : t_aeb_gen_cfg_reserved_f80_wr_reg; -- AEB General Configuration Area Register "RESERVED_F80"</t>
  </si>
  <si>
    <t xml:space="preserve">  aeb_gen_cfg_reserved_f84 : t_aeb_gen_cfg_reserved_f84_wr_reg; -- AEB General Configuration Area Register "RESERVED_F84"</t>
  </si>
  <si>
    <t xml:space="preserve">  aeb_gen_cfg_reserved_f88 : t_aeb_gen_cfg_reserved_f88_wr_reg; -- AEB General Configuration Area Register "RESERVED_F88"</t>
  </si>
  <si>
    <t xml:space="preserve">  aeb_gen_cfg_reserved_f8c : t_aeb_gen_cfg_reserved_f8c_wr_reg; -- AEB General Configuration Area Register "RESERVED_F8C"</t>
  </si>
  <si>
    <t xml:space="preserve">  aeb_gen_cfg_reserved_f90 : t_aeb_gen_cfg_reserved_f90_wr_reg; -- AEB General Configuration Area Register "RESERVED_F90"</t>
  </si>
  <si>
    <t xml:space="preserve">  aeb_gen_cfg_reserved_f94 : t_aeb_gen_cfg_reserved_f94_wr_reg; -- AEB General Configuration Area Register "RESERVED_F94"</t>
  </si>
  <si>
    <t xml:space="preserve">  aeb_gen_cfg_reserved_f98 : t_aeb_gen_cfg_reserved_f98_wr_reg; -- AEB General Configuration Area Register "RESERVED_F98"</t>
  </si>
  <si>
    <t xml:space="preserve">  aeb_gen_cfg_reserved_f9c : t_aeb_gen_cfg_reserved_f9c_wr_reg; -- AEB General Configuration Area Register "RESERVED_F9C"</t>
  </si>
  <si>
    <t xml:space="preserve">  aeb_gen_cfg_reserved_fa0 : t_aeb_gen_cfg_reserved_fa0_wr_reg; -- AEB General Configuration Area Register "RESERVED_FA0"</t>
  </si>
  <si>
    <t xml:space="preserve">  aeb_gen_cfg_reserved_fa4 : t_aeb_gen_cfg_reserved_fa4_wr_reg; -- AEB General Configuration Area Register "RESERVED_FA4"</t>
  </si>
  <si>
    <t xml:space="preserve">  aeb_gen_cfg_reserved_fa8 : t_aeb_gen_cfg_reserved_fa8_wr_reg; -- AEB General Configuration Area Register "RESERVED_FA8"</t>
  </si>
  <si>
    <t xml:space="preserve">  aeb_gen_cfg_reserved_fac : t_aeb_gen_cfg_reserved_fac_wr_reg; -- AEB General Configuration Area Register "RESERVED_FAC"</t>
  </si>
  <si>
    <t xml:space="preserve">  aeb_gen_cfg_reserved_fb0 : t_aeb_gen_cfg_reserved_fb0_wr_reg; -- AEB General Configuration Area Register "RESERVED_FB0"</t>
  </si>
  <si>
    <t xml:space="preserve">  aeb_gen_cfg_reserved_fb4 : t_aeb_gen_cfg_reserved_fb4_wr_reg; -- AEB General Configuration Area Register "RESERVED_FB4"</t>
  </si>
  <si>
    <t xml:space="preserve">  aeb_gen_cfg_reserved_fb8 : t_aeb_gen_cfg_reserved_fb8_wr_reg; -- AEB General Configuration Area Register "RESERVED_FB8"</t>
  </si>
  <si>
    <t xml:space="preserve">  aeb_gen_cfg_reserved_fbc : t_aeb_gen_cfg_reserved_fbc_wr_reg; -- AEB General Configuration Area Register "RESERVED_FBC"</t>
  </si>
  <si>
    <t xml:space="preserve">  aeb_gen_cfg_reserved_fc0 : t_aeb_gen_cfg_reserved_fc0_wr_reg; -- AEB General Configuration Area Register "RESERVED_FC0"</t>
  </si>
  <si>
    <t xml:space="preserve">  aeb_gen_cfg_reserved_fc4 : t_aeb_gen_cfg_reserved_fc4_wr_reg; -- AEB General Configuration Area Register "RESERVED_FC4"</t>
  </si>
  <si>
    <t xml:space="preserve">  aeb_gen_cfg_reserved_fc8 : t_aeb_gen_cfg_reserved_fc8_wr_reg; -- AEB General Configuration Area Register "RESERVED_FC8"</t>
  </si>
  <si>
    <t xml:space="preserve">  aeb_gen_cfg_reserved_fcc : t_aeb_gen_cfg_reserved_fcc_wr_reg; -- AEB General Configuration Area Register "RESERVED_FCC"</t>
  </si>
  <si>
    <t xml:space="preserve">  aeb_gen_cfg_reserved_fd0 : t_aeb_gen_cfg_reserved_fd0_wr_reg; -- AEB General Configuration Area Register "RESERVED_FD0"</t>
  </si>
  <si>
    <t xml:space="preserve">  aeb_gen_cfg_reserved_fd4 : t_aeb_gen_cfg_reserved_fd4_wr_reg; -- AEB General Configuration Area Register "RESERVED_FD4"</t>
  </si>
  <si>
    <t xml:space="preserve">  aeb_gen_cfg_reserved_fd8 : t_aeb_gen_cfg_reserved_fd8_wr_reg; -- AEB General Configuration Area Register "RESERVED_FD8"</t>
  </si>
  <si>
    <t xml:space="preserve">  aeb_gen_cfg_reserved_fdc : t_aeb_gen_cfg_reserved_fdc_wr_reg; -- AEB General Configuration Area Register "RESERVED_FDC"</t>
  </si>
  <si>
    <t xml:space="preserve">  aeb_gen_cfg_reserved_fe0 : t_aeb_gen_cfg_reserved_fe0_wr_reg; -- AEB General Configuration Area Register "RESERVED_FE0"</t>
  </si>
  <si>
    <t xml:space="preserve">  aeb_gen_cfg_reserved_fe4 : t_aeb_gen_cfg_reserved_fe4_wr_reg; -- AEB General Configuration Area Register "RESERVED_FE4"</t>
  </si>
  <si>
    <t xml:space="preserve">  aeb_gen_cfg_reserved_fe8 : t_aeb_gen_cfg_reserved_fe8_wr_reg; -- AEB General Configuration Area Register "RESERVED_FE8"</t>
  </si>
  <si>
    <t xml:space="preserve">  aeb_gen_cfg_reserved_fec : t_aeb_gen_cfg_reserved_fec_wr_reg; -- AEB General Configuration Area Register "RESERVED_FEC"</t>
  </si>
  <si>
    <t xml:space="preserve">  aeb_gen_cfg_reserved_ff0 : t_aeb_gen_cfg_reserved_ff0_wr_reg; -- AEB General Configuration Area Register "RESERVED_FF0"</t>
  </si>
  <si>
    <t xml:space="preserve">  aeb_gen_cfg_reserved_ff4 : t_aeb_gen_cfg_reserved_ff4_wr_reg; -- AEB General Configuration Area Register "RESERVED_FF4"</t>
  </si>
  <si>
    <t xml:space="preserve">  aeb_gen_cfg_reserved_ff8 : t_aeb_gen_cfg_reserved_ff8_wr_reg; -- AEB General Configuration Area Register "RESERVED_FF8"</t>
  </si>
  <si>
    <t xml:space="preserve">  aeb_gen_cfg_reserved_ffc : t_aeb_gen_cfg_reserved_ffc_wr_reg; -- AEB General Configuration Area Register "RESERVED_FFC"</t>
  </si>
  <si>
    <t xml:space="preserve">  aeb_gen_cfg_seq_config_1 : t_aeb_gen_cfg_seq_config_1_wr_reg; -- AEB General Configuration Area Register "SEQ_CONFIG_1"</t>
  </si>
  <si>
    <t xml:space="preserve">  aeb_gen_cfg_seq_config_10 : t_aeb_gen_cfg_seq_config_10_wr_reg; -- AEB General Configuration Area Register "SEQ_CONFIG_10"</t>
  </si>
  <si>
    <t xml:space="preserve">  aeb_gen_cfg_seq_config_11 : t_aeb_gen_cfg_seq_config_11_wr_reg; -- AEB General Configuration Area Register "SEQ_CONFIG_11"</t>
  </si>
  <si>
    <t xml:space="preserve">  aeb_gen_cfg_seq_config_12 : t_aeb_gen_cfg_seq_config_12_wr_reg; -- AEB General Configuration Area Register "SEQ_CONFIG_12"</t>
  </si>
  <si>
    <t xml:space="preserve">  aeb_gen_cfg_seq_config_13 : t_aeb_gen_cfg_seq_config_13_wr_reg; -- AEB General Configuration Area Register "SEQ_CONFIG_13"</t>
  </si>
  <si>
    <t xml:space="preserve">  aeb_gen_cfg_seq_config_14 : t_aeb_gen_cfg_seq_config_14_wr_reg; -- AEB General Configuration Area Register "SEQ_CONFIG_14"</t>
  </si>
  <si>
    <t xml:space="preserve">  aeb_gen_cfg_seq_config_2 : t_aeb_gen_cfg_seq_config_2_wr_reg; -- AEB General Configuration Area Register "SEQ_CONFIG_2"</t>
  </si>
  <si>
    <t xml:space="preserve">  aeb_gen_cfg_seq_config_3 : t_aeb_gen_cfg_seq_config_3_wr_reg; -- AEB General Configuration Area Register "SEQ_CONFIG_3"</t>
  </si>
  <si>
    <t xml:space="preserve">  aeb_gen_cfg_seq_config_4 : t_aeb_gen_cfg_seq_config_4_wr_reg; -- AEB General Configuration Area Register "SEQ_CONFIG_4"</t>
  </si>
  <si>
    <t xml:space="preserve">  aeb_gen_cfg_seq_config_5 : t_aeb_gen_cfg_seq_config_5_wr_reg; -- AEB General Configuration Area Register "SEQ_CONFIG_5"</t>
  </si>
  <si>
    <t xml:space="preserve">  aeb_gen_cfg_seq_config_6 : t_aeb_gen_cfg_seq_config_6_wr_reg; -- AEB General Configuration Area Register "SEQ_CONFIG_6"</t>
  </si>
  <si>
    <t xml:space="preserve">  aeb_gen_cfg_seq_config_7 : t_aeb_gen_cfg_seq_config_7_wr_reg; -- AEB General Configuration Area Register "SEQ_CONFIG_7"</t>
  </si>
  <si>
    <t xml:space="preserve">  aeb_gen_cfg_seq_config_8 : t_aeb_gen_cfg_seq_config_8_wr_reg; -- AEB General Configuration Area Register "SEQ_CONFIG_8"</t>
  </si>
  <si>
    <t xml:space="preserve">  aeb_gen_cfg_seq_config_9 : t_aeb_gen_cfg_seq_config_9_wr_reg; -- AEB General Configuration Area Register "SEQ_CONFIG_9"</t>
  </si>
  <si>
    <t xml:space="preserve">  aeb_hk_adc_rd_data_adc_ref_buf_2 : t_aeb_hk_adc_rd_data_adc_ref_buf_2_wr_reg; -- AEB Housekeeping Area Register "ADC_RD_DATA_ADC_REF_BUF_2"</t>
  </si>
  <si>
    <t xml:space="preserve">  aeb_hk_adc_rd_data_hk_ana_n5v : t_aeb_hk_adc_rd_data_hk_ana_n5v_wr_reg; -- AEB Housekeeping Area Register "ADC_RD_DATA_HK_ANA_N5V"</t>
  </si>
  <si>
    <t xml:space="preserve">  aeb_hk_adc_rd_data_hk_ana_p3v3 : t_aeb_hk_adc_rd_data_hk_ana_p3v3_wr_reg; -- AEB Housekeeping Area Register "ADC_RD_DATA_HK_ANA_P3V3"</t>
  </si>
  <si>
    <t xml:space="preserve">  aeb_hk_adc_rd_data_hk_ana_p5v : t_aeb_hk_adc_rd_data_hk_ana_p5v_wr_reg; -- AEB Housekeeping Area Register "ADC_RD_DATA_HK_ANA_P5V"</t>
  </si>
  <si>
    <t xml:space="preserve">  aeb_hk_adc_rd_data_hk_ccd_p31v : t_aeb_hk_adc_rd_data_hk_ccd_p31v_wr_reg; -- AEB Housekeeping Area Register "ADC_RD_DATA_HK_CCD_P31V"</t>
  </si>
  <si>
    <t xml:space="preserve">  aeb_hk_adc_rd_data_hk_clk_p15v : t_aeb_hk_adc_rd_data_hk_clk_p15v_wr_reg; -- AEB Housekeeping Area Register "ADC_RD_DATA_HK_CLK_P15V"</t>
  </si>
  <si>
    <t xml:space="preserve">  aeb_hk_adc_rd_data_hk_dig_p3v3 : t_aeb_hk_adc_rd_data_hk_dig_p3v3_wr_reg; -- AEB Housekeeping Area Register "ADC_RD_DATA_HK_DIG_P3V3"</t>
  </si>
  <si>
    <t xml:space="preserve">  aeb_hk_adc_rd_data_hk_vode : t_aeb_hk_adc_rd_data_hk_vode_wr_reg; -- AEB Housekeeping Area Register "ADC_RD_DATA_HK_VODE"</t>
  </si>
  <si>
    <t xml:space="preserve">  aeb_hk_adc_rd_data_hk_vodf : t_aeb_hk_adc_rd_data_hk_vodf_wr_reg; -- AEB Housekeeping Area Register "ADC_RD_DATA_HK_VODF"</t>
  </si>
  <si>
    <t xml:space="preserve">  aeb_hk_adc_rd_data_hk_vog : t_aeb_hk_adc_rd_data_hk_vog_wr_reg; -- AEB Housekeeping Area Register "ADC_RD_DATA_HK_VOG"</t>
  </si>
  <si>
    <t xml:space="preserve">  aeb_hk_adc_rd_data_hk_vrd : t_aeb_hk_adc_rd_data_hk_vrd_wr_reg; -- AEB Housekeeping Area Register "ADC_RD_DATA_HK_VRD"</t>
  </si>
  <si>
    <t xml:space="preserve">  aeb_hk_adc_rd_data_s_ref : t_aeb_hk_adc_rd_data_s_ref_wr_reg; -- AEB Housekeeping Area Register "ADC_RD_DATA_S_REF"</t>
  </si>
  <si>
    <t xml:space="preserve">  aeb_hk_adc_rd_data_t_bias_p : t_aeb_hk_adc_rd_data_t_bias_p_wr_reg; -- AEB Housekeeping Area Register "ADC_RD_DATA_T_BIAS_P"</t>
  </si>
  <si>
    <t xml:space="preserve">  aeb_hk_adc_rd_data_t_ccd : t_aeb_hk_adc_rd_data_t_ccd_wr_reg; -- AEB Housekeeping Area Register "ADC_RD_DATA_T_CCD"</t>
  </si>
  <si>
    <t xml:space="preserve">  aeb_hk_adc_rd_data_t_hk_p : t_aeb_hk_adc_rd_data_t_hk_p_wr_reg; -- AEB Housekeeping Area Register "ADC_RD_DATA_T_HK_P"</t>
  </si>
  <si>
    <t xml:space="preserve">  aeb_hk_adc_rd_data_t_ref1k_mea : t_aeb_hk_adc_rd_data_t_ref1k_mea_wr_reg; -- AEB Housekeeping Area Register "ADC_RD_DATA_T_REF1K_MEA"</t>
  </si>
  <si>
    <t xml:space="preserve">  aeb_hk_adc_rd_data_t_ref649r_mea : t_aeb_hk_adc_rd_data_t_ref649r_mea_wr_reg; -- AEB Housekeeping Area Register "ADC_RD_DATA_T_REF649R_MEA"</t>
  </si>
  <si>
    <t xml:space="preserve">  aeb_hk_adc_rd_data_t_tou_1_p : t_aeb_hk_adc_rd_data_t_tou_1_p_wr_reg; -- AEB Housekeeping Area Register "ADC_RD_DATA_T_TOU_1_P"</t>
  </si>
  <si>
    <t xml:space="preserve">  aeb_hk_adc_rd_data_t_tou_2_p : t_aeb_hk_adc_rd_data_t_tou_2_p_wr_reg; -- AEB Housekeeping Area Register "ADC_RD_DATA_T_TOU_2_P"</t>
  </si>
  <si>
    <t xml:space="preserve">  aeb_hk_adc_rd_data_t_vasp_l : t_aeb_hk_adc_rd_data_t_vasp_l_wr_reg; -- AEB Housekeeping Area Register "ADC_RD_DATA_T_VASP_L"</t>
  </si>
  <si>
    <t xml:space="preserve">  aeb_hk_adc_rd_data_t_vasp_r : t_aeb_hk_adc_rd_data_t_vasp_r_wr_reg; -- AEB Housekeeping Area Register "ADC_RD_DATA_T_VASP_R"</t>
  </si>
  <si>
    <t xml:space="preserve">  aeb_hk_adc1_rd_config_1 : t_aeb_hk_adc1_rd_config_1_wr_reg; -- AEB Housekeeping Area Register "ADC1_RD_CONFIG_1"</t>
  </si>
  <si>
    <t xml:space="preserve">  aeb_hk_adc1_rd_config_2 : t_aeb_hk_adc1_rd_config_2_wr_reg; -- AEB Housekeeping Area Register "ADC1_RD_CONFIG_2"</t>
  </si>
  <si>
    <t xml:space="preserve">  aeb_hk_adc1_rd_config_3 : t_aeb_hk_adc1_rd_config_3_wr_reg; -- AEB Housekeeping Area Register "ADC1_RD_CONFIG_3"</t>
  </si>
  <si>
    <t xml:space="preserve">  aeb_hk_adc2_rd_config_1 : t_aeb_hk_adc2_rd_config_1_wr_reg; -- AEB Housekeeping Area Register "ADC2_RD_CONFIG_1"</t>
  </si>
  <si>
    <t xml:space="preserve">  aeb_hk_adc2_rd_config_2 : t_aeb_hk_adc2_rd_config_2_wr_reg; -- AEB Housekeeping Area Register "ADC2_RD_CONFIG_2"</t>
  </si>
  <si>
    <t xml:space="preserve">  aeb_hk_adc2_rd_config_3 : t_aeb_hk_adc2_rd_config_3_wr_reg; -- AEB Housekeeping Area Register "ADC2_RD_CONFIG_3"</t>
  </si>
  <si>
    <t xml:space="preserve">  aeb_hk_aeb_status : t_aeb_hk_aeb_status_wr_reg; -- AEB Housekeeping Area Register "AEB_STATUS"</t>
  </si>
  <si>
    <t xml:space="preserve">  aeb_hk_revision_id_1 : t_aeb_hk_revision_id_1_wr_reg; -- AEB Housekeeping Area Register "REVISION_ID_1"</t>
  </si>
  <si>
    <t xml:space="preserve">  aeb_hk_revision_id_2 : t_aeb_hk_revision_id_2_wr_reg; -- AEB Housekeeping Area Register "REVISION_ID_2"</t>
  </si>
  <si>
    <t xml:space="preserve">  aeb_hk_timestamp_1 : t_aeb_hk_timestamp_1_wr_reg; -- AEB Housekeeping Area Register "TIMESTAMP_1"</t>
  </si>
  <si>
    <t xml:space="preserve">  aeb_hk_timestamp_2 : t_aeb_hk_timestamp_2_wr_reg; -- AEB Housekeeping Area Register "TIMESTAMP_2"</t>
  </si>
  <si>
    <t xml:space="preserve">  aeb_hk_vasp_rd_config : t_aeb_hk_vasp_rd_config_wr_reg; -- AEB Housekeeping Area Register "VASP_RD_CONFIG"</t>
  </si>
  <si>
    <t xml:space="preserve">  when (16#000#) =&gt;</t>
  </si>
  <si>
    <t xml:space="preserve">      -- AEB Critical Configuration Area Register "AEB_CONTROL" : "RESERVED_0" Field</t>
  </si>
  <si>
    <t xml:space="preserve">      avalon_mm_rmap_o.readdata(1 downto 0) &lt;= rmap_registers_wr_i.aeb_crit_cfg_aeb_control.reserved_0;</t>
  </si>
  <si>
    <t xml:space="preserve">  when (16#001#) =&gt;</t>
  </si>
  <si>
    <t xml:space="preserve">      -- AEB Critical Configuration Area Register "AEB_CONTROL" : "NEW_STATE" Field</t>
  </si>
  <si>
    <t xml:space="preserve">      avalon_mm_rmap_o.readdata(3 downto 0) &lt;= rmap_registers_wr_i.aeb_crit_cfg_aeb_control.new_state;</t>
  </si>
  <si>
    <t xml:space="preserve">  when (16#002#) =&gt;</t>
  </si>
  <si>
    <t xml:space="preserve">      -- AEB Critical Configuration Area Register "AEB_CONTROL" : "SET_STATE" Field</t>
  </si>
  <si>
    <t xml:space="preserve">      avalon_mm_rmap_o.readdata(0) &lt;= rmap_registers_wr_i.aeb_crit_cfg_aeb_control.set_state;</t>
  </si>
  <si>
    <t xml:space="preserve">  when (16#003#) =&gt;</t>
  </si>
  <si>
    <t xml:space="preserve">      -- AEB Critical Configuration Area Register "AEB_CONTROL" : "AEB_RESET" Field</t>
  </si>
  <si>
    <t xml:space="preserve">      avalon_mm_rmap_o.readdata(0) &lt;= rmap_registers_wr_i.aeb_crit_cfg_aeb_control.aeb_reset;</t>
  </si>
  <si>
    <t xml:space="preserve">  when (16#004#) =&gt;</t>
  </si>
  <si>
    <t xml:space="preserve">      -- AEB Critical Configuration Area Register "AEB_CONTROL" : "RESERVED_1" Field</t>
  </si>
  <si>
    <t xml:space="preserve">      avalon_mm_rmap_o.readdata(3 downto 0) &lt;= rmap_registers_wr_i.aeb_crit_cfg_aeb_control.reserved_1;</t>
  </si>
  <si>
    <t xml:space="preserve">  when (16#005#) =&gt;</t>
  </si>
  <si>
    <t xml:space="preserve">      -- AEB Critical Configuration Area Register "AEB_CONTROL" : "ADC_DATA_RD" Field</t>
  </si>
  <si>
    <t xml:space="preserve">      avalon_mm_rmap_o.readdata(0) &lt;= rmap_registers_wr_i.aeb_crit_cfg_aeb_control.adc_data_rd;</t>
  </si>
  <si>
    <t xml:space="preserve">  when (16#006#) =&gt;</t>
  </si>
  <si>
    <t xml:space="preserve">      -- AEB Critical Configuration Area Register "AEB_CONTROL" : "ADC_CFG_WR" Field</t>
  </si>
  <si>
    <t xml:space="preserve">      avalon_mm_rmap_o.readdata(0) &lt;= rmap_registers_wr_i.aeb_crit_cfg_aeb_control.adc_cfg_wr;</t>
  </si>
  <si>
    <t xml:space="preserve">  when (16#007#) =&gt;</t>
  </si>
  <si>
    <t xml:space="preserve">      -- AEB Critical Configuration Area Register "AEB_CONTROL" : "ADC_CFG_RD" Field</t>
  </si>
  <si>
    <t xml:space="preserve">      avalon_mm_rmap_o.readdata(0) &lt;= rmap_registers_wr_i.aeb_crit_cfg_aeb_control.adc_cfg_rd;</t>
  </si>
  <si>
    <t xml:space="preserve">  when (16#008#) =&gt;</t>
  </si>
  <si>
    <t xml:space="preserve">      -- AEB Critical Configuration Area Register "AEB_CONTROL" : "DAC_WR" Field</t>
  </si>
  <si>
    <t xml:space="preserve">      avalon_mm_rmap_o.readdata(0) &lt;= rmap_registers_wr_i.aeb_crit_cfg_aeb_control.dac_wr;</t>
  </si>
  <si>
    <t xml:space="preserve">  when (16#009#) =&gt;</t>
  </si>
  <si>
    <t xml:space="preserve">      -- AEB Critical Configuration Area Register "AEB_CONTROL" : "RESERVED_2" Field</t>
  </si>
  <si>
    <t xml:space="preserve">      avalon_mm_rmap_o.readdata(7 downto 0) &lt;= rmap_registers_wr_i.aeb_crit_cfg_aeb_control.reserved_2(7 downto 0);</t>
  </si>
  <si>
    <t xml:space="preserve">      avalon_mm_rmap_o.readdata(15 downto 8) &lt;= rmap_registers_wr_i.aeb_crit_cfg_aeb_control.reserved_2(15 downto 8);</t>
  </si>
  <si>
    <t xml:space="preserve">      -- AEB Critical Configuration Area Register "AEB_CONFIG" : "RESERVED_0" Field</t>
  </si>
  <si>
    <t xml:space="preserve">      avalon_mm_rmap_o.readdata(21 downto 16) &lt;= rmap_registers_wr_i.aeb_crit_cfg_aeb_config.reserved_0;</t>
  </si>
  <si>
    <t xml:space="preserve">  when (16#00A#) =&gt;</t>
  </si>
  <si>
    <t xml:space="preserve">      -- AEB Critical Configuration Area Register "AEB_CONFIG" : "WATCH-DOG_DIS" Field</t>
  </si>
  <si>
    <t xml:space="preserve">  when (16#00B#) =&gt;</t>
  </si>
  <si>
    <t xml:space="preserve">      -- AEB Critical Configuration Area Register "AEB_CONFIG" : "INT_SYNC" Field</t>
  </si>
  <si>
    <t xml:space="preserve">      avalon_mm_rmap_o.readdata(0) &lt;= rmap_registers_wr_i.aeb_crit_cfg_aeb_config.int_sync;</t>
  </si>
  <si>
    <t xml:space="preserve">  when (16#00C#) =&gt;</t>
  </si>
  <si>
    <t xml:space="preserve">      -- AEB Critical Configuration Area Register "AEB_CONFIG" : "RESERVED_1" Field</t>
  </si>
  <si>
    <t xml:space="preserve">      avalon_mm_rmap_o.readdata(4 downto 0) &lt;= rmap_registers_wr_i.aeb_crit_cfg_aeb_config.reserved_1;</t>
  </si>
  <si>
    <t xml:space="preserve">  when (16#00D#) =&gt;</t>
  </si>
  <si>
    <t xml:space="preserve">      -- AEB Critical Configuration Area Register "AEB_CONFIG" : "VASP_CDS_EN" Field</t>
  </si>
  <si>
    <t xml:space="preserve">      avalon_mm_rmap_o.readdata(0) &lt;= rmap_registers_wr_i.aeb_crit_cfg_aeb_config.vasp_cds_en;</t>
  </si>
  <si>
    <t xml:space="preserve">  when (16#00E#) =&gt;</t>
  </si>
  <si>
    <t xml:space="preserve">      -- AEB Critical Configuration Area Register "AEB_CONFIG" : "VASP2_CAL_EN" Field</t>
  </si>
  <si>
    <t xml:space="preserve">      avalon_mm_rmap_o.readdata(0) &lt;= rmap_registers_wr_i.aeb_crit_cfg_aeb_config.vasp2_cal_en;</t>
  </si>
  <si>
    <t xml:space="preserve">  when (16#00F#) =&gt;</t>
  </si>
  <si>
    <t xml:space="preserve">      -- AEB Critical Configuration Area Register "AEB_CONFIG" : "VASP1_CAL_EN" Field</t>
  </si>
  <si>
    <t xml:space="preserve">      avalon_mm_rmap_o.readdata(0) &lt;= rmap_registers_wr_i.aeb_crit_cfg_aeb_config.vasp1_cal_en;</t>
  </si>
  <si>
    <t xml:space="preserve">  when (16#010#) =&gt;</t>
  </si>
  <si>
    <t xml:space="preserve">      -- AEB Critical Configuration Area Register "AEB_CONFIG" : "RESERVED_2" Field</t>
  </si>
  <si>
    <t xml:space="preserve">      avalon_mm_rmap_o.readdata(7 downto 0) &lt;= rmap_registers_wr_i.aeb_crit_cfg_aeb_config.reserved_2(7 downto 0);</t>
  </si>
  <si>
    <t xml:space="preserve">      avalon_mm_rmap_o.readdata(15 downto 8) &lt;= rmap_registers_wr_i.aeb_crit_cfg_aeb_config.reserved_2(15 downto 8);</t>
  </si>
  <si>
    <t xml:space="preserve">  when (16#011#) =&gt;</t>
  </si>
  <si>
    <t xml:space="preserve">      -- AEB Critical Configuration Area Register "AEB_CONFIG_KEY" : "KEY" Field</t>
  </si>
  <si>
    <t xml:space="preserve">      avalon_mm_rmap_o.readdata(7 downto 0) &lt;= rmap_registers_wr_i.aeb_crit_cfg_aeb_config_key.key(7 downto 0);</t>
  </si>
  <si>
    <t xml:space="preserve">      avalon_mm_rmap_o.readdata(15 downto 8) &lt;= rmap_registers_wr_i.aeb_crit_cfg_aeb_config_key.key(15 downto 8);</t>
  </si>
  <si>
    <t xml:space="preserve">      avalon_mm_rmap_o.readdata(23 downto 16) &lt;= rmap_registers_wr_i.aeb_crit_cfg_aeb_config_key.key(23 downto 16);</t>
  </si>
  <si>
    <t xml:space="preserve">      avalon_mm_rmap_o.readdata(31 downto 24) &lt;= rmap_registers_wr_i.aeb_crit_cfg_aeb_config_key.key(31 downto 24);</t>
  </si>
  <si>
    <t xml:space="preserve">  when (16#012#) =&gt;</t>
  </si>
  <si>
    <t xml:space="preserve">      -- AEB Critical Configuration Area Register "AEB_CONFIG_AIT" : "OVERRIDE_SW" Field</t>
  </si>
  <si>
    <t xml:space="preserve">      avalon_mm_rmap_o.readdata(0) &lt;= rmap_registers_wr_i.aeb_crit_cfg_aeb_config_ait.override_sw;</t>
  </si>
  <si>
    <t xml:space="preserve">  when (16#013#) =&gt;</t>
  </si>
  <si>
    <t xml:space="preserve">      -- AEB Critical Configuration Area Register "AEB_CONFIG_AIT" : "RESERVED_0" Field</t>
  </si>
  <si>
    <t xml:space="preserve">      avalon_mm_rmap_o.readdata(1 downto 0) &lt;= rmap_registers_wr_i.aeb_crit_cfg_aeb_config_ait.reserved_0;</t>
  </si>
  <si>
    <t xml:space="preserve">  when (16#014#) =&gt;</t>
  </si>
  <si>
    <t xml:space="preserve">      -- AEB Critical Configuration Area Register "AEB_CONFIG_AIT" : "SW_VAN3" Field</t>
  </si>
  <si>
    <t xml:space="preserve">      avalon_mm_rmap_o.readdata(0) &lt;= rmap_registers_wr_i.aeb_crit_cfg_aeb_config_ait.sw_van3;</t>
  </si>
  <si>
    <t xml:space="preserve">  when (16#015#) =&gt;</t>
  </si>
  <si>
    <t xml:space="preserve">      -- AEB Critical Configuration Area Register "AEB_CONFIG_AIT" : "SW_VAN2" Field</t>
  </si>
  <si>
    <t xml:space="preserve">      avalon_mm_rmap_o.readdata(0) &lt;= rmap_registers_wr_i.aeb_crit_cfg_aeb_config_ait.sw_van2;</t>
  </si>
  <si>
    <t xml:space="preserve">  when (16#016#) =&gt;</t>
  </si>
  <si>
    <t xml:space="preserve">      -- AEB Critical Configuration Area Register "AEB_CONFIG_AIT" : "SW_VAN1" Field</t>
  </si>
  <si>
    <t xml:space="preserve">      avalon_mm_rmap_o.readdata(0) &lt;= rmap_registers_wr_i.aeb_crit_cfg_aeb_config_ait.sw_van1;</t>
  </si>
  <si>
    <t xml:space="preserve">  when (16#017#) =&gt;</t>
  </si>
  <si>
    <t xml:space="preserve">      -- AEB Critical Configuration Area Register "AEB_CONFIG_AIT" : "SW_VCLK" Field</t>
  </si>
  <si>
    <t xml:space="preserve">      avalon_mm_rmap_o.readdata(0) &lt;= rmap_registers_wr_i.aeb_crit_cfg_aeb_config_ait.sw_vclk;</t>
  </si>
  <si>
    <t xml:space="preserve">  when (16#018#) =&gt;</t>
  </si>
  <si>
    <t xml:space="preserve">      -- AEB Critical Configuration Area Register "AEB_CONFIG_AIT" : "SW_VCCD" Field</t>
  </si>
  <si>
    <t xml:space="preserve">      avalon_mm_rmap_o.readdata(0) &lt;= rmap_registers_wr_i.aeb_crit_cfg_aeb_config_ait.sw_vccd;</t>
  </si>
  <si>
    <t xml:space="preserve">  when (16#019#) =&gt;</t>
  </si>
  <si>
    <t xml:space="preserve">      -- AEB Critical Configuration Area Register "AEB_CONFIG_AIT" : "OVERRIDE_VASP" Field</t>
  </si>
  <si>
    <t xml:space="preserve">      avalon_mm_rmap_o.readdata(0) &lt;= rmap_registers_wr_i.aeb_crit_cfg_aeb_config_ait.override_vasp;</t>
  </si>
  <si>
    <t xml:space="preserve">  when (16#01A#) =&gt;</t>
  </si>
  <si>
    <t xml:space="preserve">      -- AEB Critical Configuration Area Register "AEB_CONFIG_AIT" : "RESERVED_1" Field</t>
  </si>
  <si>
    <t xml:space="preserve">      avalon_mm_rmap_o.readdata(0) &lt;= rmap_registers_wr_i.aeb_crit_cfg_aeb_config_ait.reserved_1;</t>
  </si>
  <si>
    <t xml:space="preserve">  when (16#01B#) =&gt;</t>
  </si>
  <si>
    <t xml:space="preserve">      -- AEB Critical Configuration Area Register "AEB_CONFIG_AIT" : "VASP2_PIX_EN" Field</t>
  </si>
  <si>
    <t xml:space="preserve">      avalon_mm_rmap_o.readdata(0) &lt;= rmap_registers_wr_i.aeb_crit_cfg_aeb_config_ait.vasp2_pix_en;</t>
  </si>
  <si>
    <t xml:space="preserve">  when (16#01C#) =&gt;</t>
  </si>
  <si>
    <t xml:space="preserve">      -- AEB Critical Configuration Area Register "AEB_CONFIG_AIT" : "VASP1_PIX_EN" Field</t>
  </si>
  <si>
    <t xml:space="preserve">      avalon_mm_rmap_o.readdata(0) &lt;= rmap_registers_wr_i.aeb_crit_cfg_aeb_config_ait.vasp1_pix_en;</t>
  </si>
  <si>
    <t xml:space="preserve">  when (16#01D#) =&gt;</t>
  </si>
  <si>
    <t xml:space="preserve">      -- AEB Critical Configuration Area Register "AEB_CONFIG_AIT" : "VASP2_ADC_EN" Field</t>
  </si>
  <si>
    <t xml:space="preserve">      avalon_mm_rmap_o.readdata(0) &lt;= rmap_registers_wr_i.aeb_crit_cfg_aeb_config_ait.vasp2_adc_en;</t>
  </si>
  <si>
    <t xml:space="preserve">  when (16#01E#) =&gt;</t>
  </si>
  <si>
    <t xml:space="preserve">      -- AEB Critical Configuration Area Register "AEB_CONFIG_AIT" : "VASP1_ADC_EN" Field</t>
  </si>
  <si>
    <t xml:space="preserve">      avalon_mm_rmap_o.readdata(0) &lt;= rmap_registers_wr_i.aeb_crit_cfg_aeb_config_ait.vasp1_adc_en;</t>
  </si>
  <si>
    <t xml:space="preserve">  when (16#01F#) =&gt;</t>
  </si>
  <si>
    <t xml:space="preserve">      -- AEB Critical Configuration Area Register "AEB_CONFIG_AIT" : "VASP2_RESET" Field</t>
  </si>
  <si>
    <t xml:space="preserve">      avalon_mm_rmap_o.readdata(0) &lt;= rmap_registers_wr_i.aeb_crit_cfg_aeb_config_ait.vasp2_reset;</t>
  </si>
  <si>
    <t xml:space="preserve">  when (16#020#) =&gt;</t>
  </si>
  <si>
    <t xml:space="preserve">      -- AEB Critical Configuration Area Register "AEB_CONFIG_AIT" : "VASP1_RESET" Field</t>
  </si>
  <si>
    <t xml:space="preserve">      avalon_mm_rmap_o.readdata(0) &lt;= rmap_registers_wr_i.aeb_crit_cfg_aeb_config_ait.vasp1_reset;</t>
  </si>
  <si>
    <t xml:space="preserve">  when (16#021#) =&gt;</t>
  </si>
  <si>
    <t xml:space="preserve">      -- AEB Critical Configuration Area Register "AEB_CONFIG_AIT" : "OVERRIDE_ADC" Field</t>
  </si>
  <si>
    <t xml:space="preserve">      avalon_mm_rmap_o.readdata(0) &lt;= rmap_registers_wr_i.aeb_crit_cfg_aeb_config_ait.override_adc;</t>
  </si>
  <si>
    <t xml:space="preserve">  when (16#022#) =&gt;</t>
  </si>
  <si>
    <t xml:space="preserve">      -- AEB Critical Configuration Area Register "AEB_CONFIG_AIT" : "ADC2_EN_P5V0" Field</t>
  </si>
  <si>
    <t xml:space="preserve">      avalon_mm_rmap_o.readdata(0) &lt;= rmap_registers_wr_i.aeb_crit_cfg_aeb_config_ait.adc2_en_p5v0;</t>
  </si>
  <si>
    <t xml:space="preserve">  when (16#023#) =&gt;</t>
  </si>
  <si>
    <t xml:space="preserve">      -- AEB Critical Configuration Area Register "AEB_CONFIG_AIT" : "ADC1_EN_P5V0" Field</t>
  </si>
  <si>
    <t xml:space="preserve">      avalon_mm_rmap_o.readdata(0) &lt;= rmap_registers_wr_i.aeb_crit_cfg_aeb_config_ait.adc1_en_p5v0;</t>
  </si>
  <si>
    <t xml:space="preserve">  when (16#024#) =&gt;</t>
  </si>
  <si>
    <t xml:space="preserve">      -- AEB Critical Configuration Area Register "AEB_CONFIG_AIT" : "PT1000_CAL_ON_N" Field</t>
  </si>
  <si>
    <t xml:space="preserve">      avalon_mm_rmap_o.readdata(0) &lt;= rmap_registers_wr_i.aeb_crit_cfg_aeb_config_ait.pt1000_cal_on_n;</t>
  </si>
  <si>
    <t xml:space="preserve">  when (16#025#) =&gt;</t>
  </si>
  <si>
    <t xml:space="preserve">      -- AEB Critical Configuration Area Register "AEB_CONFIG_AIT" : "EN_V_MUX_N" Field</t>
  </si>
  <si>
    <t xml:space="preserve">      avalon_mm_rmap_o.readdata(0) &lt;= rmap_registers_wr_i.aeb_crit_cfg_aeb_config_ait.en_v_mux_n;</t>
  </si>
  <si>
    <t xml:space="preserve">  when (16#026#) =&gt;</t>
  </si>
  <si>
    <t xml:space="preserve">      -- AEB Critical Configuration Area Register "AEB_CONFIG_AIT" : "ADC2_PWDN_N" Field</t>
  </si>
  <si>
    <t xml:space="preserve">      avalon_mm_rmap_o.readdata(0) &lt;= rmap_registers_wr_i.aeb_crit_cfg_aeb_config_ait.adc2_pwdn_n;</t>
  </si>
  <si>
    <t xml:space="preserve">  when (16#027#) =&gt;</t>
  </si>
  <si>
    <t xml:space="preserve">      -- AEB Critical Configuration Area Register "AEB_CONFIG_AIT" : "ADC1_PWDN_N" Field</t>
  </si>
  <si>
    <t xml:space="preserve">      avalon_mm_rmap_o.readdata(0) &lt;= rmap_registers_wr_i.aeb_crit_cfg_aeb_config_ait.adc1_pwdn_n;</t>
  </si>
  <si>
    <t xml:space="preserve">  when (16#028#) =&gt;</t>
  </si>
  <si>
    <t xml:space="preserve">      -- AEB Critical Configuration Area Register "AEB_CONFIG_AIT" : "ADC_CLK_EN" Field</t>
  </si>
  <si>
    <t xml:space="preserve">      avalon_mm_rmap_o.readdata(0) &lt;= rmap_registers_wr_i.aeb_crit_cfg_aeb_config_ait.adc_clk_en;</t>
  </si>
  <si>
    <t xml:space="preserve">  when (16#029#) =&gt;</t>
  </si>
  <si>
    <t xml:space="preserve">      -- AEB Critical Configuration Area Register "AEB_CONFIG_AIT" : "RESERVED_2" Field</t>
  </si>
  <si>
    <t xml:space="preserve">      avalon_mm_rmap_o.readdata(7 downto 0) &lt;= rmap_registers_wr_i.aeb_crit_cfg_aeb_config_ait.reserved_2;</t>
  </si>
  <si>
    <t xml:space="preserve">      -- AEB Critical Configuration Area Register "AEB_CONFIG_PATTERN" : "PATTERN_CCDID" Field</t>
  </si>
  <si>
    <t xml:space="preserve">      avalon_mm_rmap_o.readdata(9 downto 8) &lt;= rmap_registers_wr_i.aeb_crit_cfg_aeb_config_pattern.pattern_ccdid;</t>
  </si>
  <si>
    <t xml:space="preserve">      -- AEB Critical Configuration Area Register "AEB_CONFIG_PATTERN" : "PATTERN_COLS" Field</t>
  </si>
  <si>
    <t xml:space="preserve">      avalon_mm_rmap_o.readdata(23 downto 16) &lt;= rmap_registers_wr_i.aeb_crit_cfg_aeb_config_pattern.pattern_cols(7 downto 0);</t>
  </si>
  <si>
    <t xml:space="preserve">      avalon_mm_rmap_o.readdata(29 downto 24) &lt;= rmap_registers_wr_i.aeb_crit_cfg_aeb_config_pattern.pattern_cols(13 downto 8);</t>
  </si>
  <si>
    <t xml:space="preserve">  when (16#02A#) =&gt;</t>
  </si>
  <si>
    <t xml:space="preserve">      -- AEB Critical Configuration Area Register "AEB_CONFIG_PATTERN" : "RESERVED" Field</t>
  </si>
  <si>
    <t xml:space="preserve">      avalon_mm_rmap_o.readdata(1 downto 0) &lt;= rmap_registers_wr_i.aeb_crit_cfg_aeb_config_pattern.reserved;</t>
  </si>
  <si>
    <t xml:space="preserve">      -- AEB Critical Configuration Area Register "AEB_CONFIG_PATTERN" : "PATTERN_ROWS" Field</t>
  </si>
  <si>
    <t xml:space="preserve">      avalon_mm_rmap_o.readdata(23 downto 16) &lt;= rmap_registers_wr_i.aeb_crit_cfg_aeb_config_pattern.pattern_rows(7 downto 0);</t>
  </si>
  <si>
    <t xml:space="preserve">      avalon_mm_rmap_o.readdata(29 downto 24) &lt;= rmap_registers_wr_i.aeb_crit_cfg_aeb_config_pattern.pattern_rows(13 downto 8);</t>
  </si>
  <si>
    <t xml:space="preserve">  when (16#02B#) =&gt;</t>
  </si>
  <si>
    <t xml:space="preserve">      -- AEB Critical Configuration Area Register "VASP_I2C_CONTROL" : "VASP_CFG_ADDR" Field</t>
  </si>
  <si>
    <t xml:space="preserve">      avalon_mm_rmap_o.readdata(7 downto 0) &lt;= rmap_registers_wr_i.aeb_crit_cfg_vasp_i2c_control.vasp_cfg_addr;</t>
  </si>
  <si>
    <t xml:space="preserve">      -- AEB Critical Configuration Area Register "VASP_I2C_CONTROL" : "VASP1_CFG_DATA" Field</t>
  </si>
  <si>
    <t xml:space="preserve">      avalon_mm_rmap_o.readdata(15 downto 8) &lt;= rmap_registers_wr_i.aeb_crit_cfg_vasp_i2c_control.vasp1_cfg_data;</t>
  </si>
  <si>
    <t xml:space="preserve">      -- AEB Critical Configuration Area Register "VASP_I2C_CONTROL" : "VASP2_CFG_DATA" Field</t>
  </si>
  <si>
    <t xml:space="preserve">      avalon_mm_rmap_o.readdata(23 downto 16) &lt;= rmap_registers_wr_i.aeb_crit_cfg_vasp_i2c_control.vasp2_cfg_data;</t>
  </si>
  <si>
    <t xml:space="preserve">      -- AEB Critical Configuration Area Register "VASP_I2C_CONTROL" : "RESERVED" Field</t>
  </si>
  <si>
    <t xml:space="preserve">      avalon_mm_rmap_o.readdata(26 downto 24) &lt;= rmap_registers_wr_i.aeb_crit_cfg_vasp_i2c_control.reserved;</t>
  </si>
  <si>
    <t xml:space="preserve">  when (16#02C#) =&gt;</t>
  </si>
  <si>
    <t xml:space="preserve">      -- AEB Critical Configuration Area Register "VASP_I2C_CONTROL" : "VASP2_SELECT" Field</t>
  </si>
  <si>
    <t xml:space="preserve">      avalon_mm_rmap_o.readdata(0) &lt;= rmap_registers_wr_i.aeb_crit_cfg_vasp_i2c_control.vasp2_select;</t>
  </si>
  <si>
    <t xml:space="preserve">  when (16#02D#) =&gt;</t>
  </si>
  <si>
    <t xml:space="preserve">      -- AEB Critical Configuration Area Register "VASP_I2C_CONTROL" : "VASP1_SELECT" Field</t>
  </si>
  <si>
    <t xml:space="preserve">      avalon_mm_rmap_o.readdata(0) &lt;= rmap_registers_wr_i.aeb_crit_cfg_vasp_i2c_control.vasp1_select;</t>
  </si>
  <si>
    <t xml:space="preserve">  when (16#02E#) =&gt;</t>
  </si>
  <si>
    <t xml:space="preserve">      -- AEB Critical Configuration Area Register "VASP_I2C_CONTROL" : "CALIBRATION_START" Field</t>
  </si>
  <si>
    <t xml:space="preserve">      avalon_mm_rmap_o.readdata(0) &lt;= rmap_registers_wr_i.aeb_crit_cfg_vasp_i2c_control.calibration_start;</t>
  </si>
  <si>
    <t xml:space="preserve">  when (16#02F#) =&gt;</t>
  </si>
  <si>
    <t xml:space="preserve">      -- AEB Critical Configuration Area Register "VASP_I2C_CONTROL" : "I2C_READ_START" Field</t>
  </si>
  <si>
    <t xml:space="preserve">      avalon_mm_rmap_o.readdata(0) &lt;= rmap_registers_wr_i.aeb_crit_cfg_vasp_i2c_control.i2c_read_start;</t>
  </si>
  <si>
    <t xml:space="preserve">  when (16#030#) =&gt;</t>
  </si>
  <si>
    <t xml:space="preserve">      -- AEB Critical Configuration Area Register "VASP_I2C_CONTROL" : "I2C_WRITE_START" Field</t>
  </si>
  <si>
    <t xml:space="preserve">      avalon_mm_rmap_o.readdata(0) &lt;= rmap_registers_wr_i.aeb_crit_cfg_vasp_i2c_control.i2c_write_start;</t>
  </si>
  <si>
    <t xml:space="preserve">  when (16#031#) =&gt;</t>
  </si>
  <si>
    <t xml:space="preserve">      -- AEB Critical Configuration Area Register "DAC_CONFIG_1" : "RESERVED_0" Field</t>
  </si>
  <si>
    <t xml:space="preserve">      avalon_mm_rmap_o.readdata(3 downto 0) &lt;= rmap_registers_wr_i.aeb_crit_cfg_dac_config_1.reserved_0;</t>
  </si>
  <si>
    <t xml:space="preserve">      -- AEB Critical Configuration Area Register "DAC_CONFIG_1" : "DAC_VOG" Field</t>
  </si>
  <si>
    <t xml:space="preserve">      avalon_mm_rmap_o.readdata(23 downto 16) &lt;= rmap_registers_wr_i.aeb_crit_cfg_dac_config_1.dac_vog(7 downto 0);</t>
  </si>
  <si>
    <t xml:space="preserve">      avalon_mm_rmap_o.readdata(27 downto 24) &lt;= rmap_registers_wr_i.aeb_crit_cfg_dac_config_1.dac_vog(11 downto 8);</t>
  </si>
  <si>
    <t xml:space="preserve">  when (16#032#) =&gt;</t>
  </si>
  <si>
    <t xml:space="preserve">      -- AEB Critical Configuration Area Register "DAC_CONFIG_1" : "RESERVED_1" Field</t>
  </si>
  <si>
    <t xml:space="preserve">      avalon_mm_rmap_o.readdata(3 downto 0) &lt;= rmap_registers_wr_i.aeb_crit_cfg_dac_config_1.reserved_1;</t>
  </si>
  <si>
    <t xml:space="preserve">      -- AEB Critical Configuration Area Register "DAC_CONFIG_1" : "DAC_VRD" Field</t>
  </si>
  <si>
    <t xml:space="preserve">      avalon_mm_rmap_o.readdata(23 downto 16) &lt;= rmap_registers_wr_i.aeb_crit_cfg_dac_config_1.dac_vrd(7 downto 0);</t>
  </si>
  <si>
    <t xml:space="preserve">      avalon_mm_rmap_o.readdata(27 downto 24) &lt;= rmap_registers_wr_i.aeb_crit_cfg_dac_config_1.dac_vrd(11 downto 8);</t>
  </si>
  <si>
    <t xml:space="preserve">  when (16#033#) =&gt;</t>
  </si>
  <si>
    <t xml:space="preserve">      -- AEB Critical Configuration Area Register "DAC_CONFIG_2" : "RESERVED_0" Field</t>
  </si>
  <si>
    <t xml:space="preserve">      avalon_mm_rmap_o.readdata(3 downto 0) &lt;= rmap_registers_wr_i.aeb_crit_cfg_dac_config_2.reserved_0;</t>
  </si>
  <si>
    <t xml:space="preserve">      -- AEB Critical Configuration Area Register "DAC_CONFIG_2" : "DAC_VOD" Field</t>
  </si>
  <si>
    <t xml:space="preserve">      avalon_mm_rmap_o.readdata(23 downto 16) &lt;= rmap_registers_wr_i.aeb_crit_cfg_dac_config_2.dac_vod(7 downto 0);</t>
  </si>
  <si>
    <t xml:space="preserve">      avalon_mm_rmap_o.readdata(27 downto 24) &lt;= rmap_registers_wr_i.aeb_crit_cfg_dac_config_2.dac_vod(11 downto 8);</t>
  </si>
  <si>
    <t xml:space="preserve">  when (16#034#) =&gt;</t>
  </si>
  <si>
    <t xml:space="preserve">      -- AEB Critical Configuration Area Register "DAC_CONFIG_2" : "RESERVED_1" Field</t>
  </si>
  <si>
    <t xml:space="preserve">      avalon_mm_rmap_o.readdata(7 downto 0) &lt;= rmap_registers_wr_i.aeb_crit_cfg_dac_config_2.reserved_1(7 downto 0);</t>
  </si>
  <si>
    <t xml:space="preserve">      avalon_mm_rmap_o.readdata(15 downto 8) &lt;= rmap_registers_wr_i.aeb_crit_cfg_dac_config_2.reserved_1(15 downto 8);</t>
  </si>
  <si>
    <t xml:space="preserve">  when (16#035#) =&gt;</t>
  </si>
  <si>
    <t xml:space="preserve">      -- AEB Critical Configuration Area Register "RESERVED_20" : "RESERVED" Field</t>
  </si>
  <si>
    <t xml:space="preserve">      avalon_mm_rmap_o.readdata(7 downto 0) &lt;= rmap_registers_wr_i.aeb_crit_cfg_reserved_20.reserved(7 downto 0);</t>
  </si>
  <si>
    <t xml:space="preserve">      avalon_mm_rmap_o.readdata(15 downto 8) &lt;= rmap_registers_wr_i.aeb_crit_cfg_reserved_20.reserved(15 downto 8);</t>
  </si>
  <si>
    <t xml:space="preserve">      avalon_mm_rmap_o.readdata(23 downto 16) &lt;= rmap_registers_wr_i.aeb_crit_cfg_reserved_20.reserved(23 downto 16);</t>
  </si>
  <si>
    <t xml:space="preserve">      avalon_mm_rmap_o.readdata(31 downto 24) &lt;= rmap_registers_wr_i.aeb_crit_cfg_reserved_20.reserved(31 downto 24);</t>
  </si>
  <si>
    <t xml:space="preserve">  when (16#036#) =&gt;</t>
  </si>
  <si>
    <t xml:space="preserve">      -- AEB Critical Configuration Area Register "PWR_CONFIG1" : "TIME_VCCD_ON" Field</t>
  </si>
  <si>
    <t xml:space="preserve">      avalon_mm_rmap_o.readdata(7 downto 0) &lt;= rmap_registers_wr_i.aeb_crit_cfg_pwr_config1.time_vccd_on;</t>
  </si>
  <si>
    <t xml:space="preserve">      -- AEB Critical Configuration Area Register "PWR_CONFIG1" : "TIME_VCLK_ON" Field</t>
  </si>
  <si>
    <t xml:space="preserve">      avalon_mm_rmap_o.readdata(15 downto 8) &lt;= rmap_registers_wr_i.aeb_crit_cfg_pwr_config1.time_vclk_on;</t>
  </si>
  <si>
    <t xml:space="preserve">      -- AEB Critical Configuration Area Register "PWR_CONFIG1" : "TIME_VAN1_ON" Field</t>
  </si>
  <si>
    <t xml:space="preserve">      avalon_mm_rmap_o.readdata(23 downto 16) &lt;= rmap_registers_wr_i.aeb_crit_cfg_pwr_config1.time_van1_on;</t>
  </si>
  <si>
    <t xml:space="preserve">      -- AEB Critical Configuration Area Register "PWR_CONFIG1" : "TIME_VAN2_ON" Field</t>
  </si>
  <si>
    <t xml:space="preserve">      avalon_mm_rmap_o.readdata(31 downto 24) &lt;= rmap_registers_wr_i.aeb_crit_cfg_pwr_config1.time_van2_on;</t>
  </si>
  <si>
    <t xml:space="preserve">  when (16#037#) =&gt;</t>
  </si>
  <si>
    <t xml:space="preserve">      -- AEB Critical Configuration Area Register "PWR_CONFIG2" : "TIME_VAN3_ON" Field</t>
  </si>
  <si>
    <t xml:space="preserve">      avalon_mm_rmap_o.readdata(7 downto 0) &lt;= rmap_registers_wr_i.aeb_crit_cfg_pwr_config2.time_van3_on;</t>
  </si>
  <si>
    <t xml:space="preserve">      -- AEB Critical Configuration Area Register "PWR_CONFIG2" : "TIME_VCCD_OFF" Field</t>
  </si>
  <si>
    <t xml:space="preserve">      avalon_mm_rmap_o.readdata(15 downto 8) &lt;= rmap_registers_wr_i.aeb_crit_cfg_pwr_config2.time_vccd_off;</t>
  </si>
  <si>
    <t xml:space="preserve">      -- AEB Critical Configuration Area Register "PWR_CONFIG2" : "TIME_VCLK_OFF" Field</t>
  </si>
  <si>
    <t xml:space="preserve">      avalon_mm_rmap_o.readdata(23 downto 16) &lt;= rmap_registers_wr_i.aeb_crit_cfg_pwr_config2.time_vclk_off;</t>
  </si>
  <si>
    <t xml:space="preserve">      -- AEB Critical Configuration Area Register "PWR_CONFIG2" : "TIME_VAN1_OFF" Field</t>
  </si>
  <si>
    <t xml:space="preserve">      avalon_mm_rmap_o.readdata(31 downto 24) &lt;= rmap_registers_wr_i.aeb_crit_cfg_pwr_config2.time_van1_off;</t>
  </si>
  <si>
    <t xml:space="preserve">  when (16#038#) =&gt;</t>
  </si>
  <si>
    <t xml:space="preserve">      -- AEB Critical Configuration Area Register "PWR_CONFIG3" : "TIME_VAN2_OFF" Field</t>
  </si>
  <si>
    <t xml:space="preserve">      avalon_mm_rmap_o.readdata(7 downto 0) &lt;= rmap_registers_wr_i.aeb_crit_cfg_pwr_config3.time_van2_off;</t>
  </si>
  <si>
    <t xml:space="preserve">      -- AEB Critical Configuration Area Register "PWR_CONFIG3" : "TIME_VAN3_OFF" Field</t>
  </si>
  <si>
    <t xml:space="preserve">      avalon_mm_rmap_o.readdata(15 downto 8) &lt;= rmap_registers_wr_i.aeb_crit_cfg_pwr_config3.time_van3_off;</t>
  </si>
  <si>
    <t xml:space="preserve">  when (16#039#) =&gt;</t>
  </si>
  <si>
    <t xml:space="preserve">      -- AEB Critical Configuration Area Register "RESERVED_30" : "RESERVED" Field</t>
  </si>
  <si>
    <t xml:space="preserve">      avalon_mm_rmap_o.readdata(7 downto 0) &lt;= rmap_registers_wr_i.aeb_crit_cfg_reserved_30.reserved(7 downto 0);</t>
  </si>
  <si>
    <t xml:space="preserve">      avalon_mm_rmap_o.readdata(15 downto 8) &lt;= rmap_registers_wr_i.aeb_crit_cfg_reserved_30.reserved(15 downto 8);</t>
  </si>
  <si>
    <t xml:space="preserve">      avalon_mm_rmap_o.readdata(23 downto 16) &lt;= rmap_registers_wr_i.aeb_crit_cfg_reserved_30.reserved(23 downto 16);</t>
  </si>
  <si>
    <t xml:space="preserve">      avalon_mm_rmap_o.readdata(31 downto 24) &lt;= rmap_registers_wr_i.aeb_crit_cfg_reserved_30.reserved(31 downto 24);</t>
  </si>
  <si>
    <t xml:space="preserve">  when (16#03A#) =&gt;</t>
  </si>
  <si>
    <t xml:space="preserve">      -- AEB Critical Configuration Area Register "RESERVED_34" : "RESERVED" Field</t>
  </si>
  <si>
    <t xml:space="preserve">      avalon_mm_rmap_o.readdata(7 downto 0) &lt;= rmap_registers_wr_i.aeb_crit_cfg_reserved_34.reserved(7 downto 0);</t>
  </si>
  <si>
    <t xml:space="preserve">      avalon_mm_rmap_o.readdata(15 downto 8) &lt;= rmap_registers_wr_i.aeb_crit_cfg_reserved_34.reserved(15 downto 8);</t>
  </si>
  <si>
    <t xml:space="preserve">      avalon_mm_rmap_o.readdata(23 downto 16) &lt;= rmap_registers_wr_i.aeb_crit_cfg_reserved_34.reserved(23 downto 16);</t>
  </si>
  <si>
    <t xml:space="preserve">      avalon_mm_rmap_o.readdata(31 downto 24) &lt;= rmap_registers_wr_i.aeb_crit_cfg_reserved_34.reserved(31 downto 24);</t>
  </si>
  <si>
    <t xml:space="preserve">  when (16#03B#) =&gt;</t>
  </si>
  <si>
    <t xml:space="preserve">      -- AEB Critical Configuration Area Register "RESERVED_38" : "RESERVED" Field</t>
  </si>
  <si>
    <t xml:space="preserve">      avalon_mm_rmap_o.readdata(7 downto 0) &lt;= rmap_registers_wr_i.aeb_crit_cfg_reserved_38.reserved(7 downto 0);</t>
  </si>
  <si>
    <t xml:space="preserve">      avalon_mm_rmap_o.readdata(15 downto 8) &lt;= rmap_registers_wr_i.aeb_crit_cfg_reserved_38.reserved(15 downto 8);</t>
  </si>
  <si>
    <t xml:space="preserve">      avalon_mm_rmap_o.readdata(23 downto 16) &lt;= rmap_registers_wr_i.aeb_crit_cfg_reserved_38.reserved(23 downto 16);</t>
  </si>
  <si>
    <t xml:space="preserve">      avalon_mm_rmap_o.readdata(31 downto 24) &lt;= rmap_registers_wr_i.aeb_crit_cfg_reserved_38.reserved(31 downto 24);</t>
  </si>
  <si>
    <t xml:space="preserve">  when (16#03C#) =&gt;</t>
  </si>
  <si>
    <t xml:space="preserve">      -- AEB Critical Configuration Area Register "RESERVED_3C" : "RESERVED" Field</t>
  </si>
  <si>
    <t xml:space="preserve">      avalon_mm_rmap_o.readdata(7 downto 0) &lt;= rmap_registers_wr_i.aeb_crit_cfg_reserved_3c.reserved(7 downto 0);</t>
  </si>
  <si>
    <t xml:space="preserve">      avalon_mm_rmap_o.readdata(15 downto 8) &lt;= rmap_registers_wr_i.aeb_crit_cfg_reserved_3c.reserved(15 downto 8);</t>
  </si>
  <si>
    <t xml:space="preserve">      avalon_mm_rmap_o.readdata(23 downto 16) &lt;= rmap_registers_wr_i.aeb_crit_cfg_reserved_3c.reserved(23 downto 16);</t>
  </si>
  <si>
    <t xml:space="preserve">      avalon_mm_rmap_o.readdata(31 downto 24) &lt;= rmap_registers_wr_i.aeb_crit_cfg_reserved_3c.reserved(31 downto 24);</t>
  </si>
  <si>
    <t xml:space="preserve">  when (16#03D#) =&gt;</t>
  </si>
  <si>
    <t xml:space="preserve">      -- AEB Critical Configuration Area Register "RESERVED_40" : "RESERVED" Field</t>
  </si>
  <si>
    <t xml:space="preserve">      avalon_mm_rmap_o.readdata(7 downto 0) &lt;= rmap_registers_wr_i.aeb_crit_cfg_reserved_40.reserved(7 downto 0);</t>
  </si>
  <si>
    <t xml:space="preserve">      avalon_mm_rmap_o.readdata(15 downto 8) &lt;= rmap_registers_wr_i.aeb_crit_cfg_reserved_40.reserved(15 downto 8);</t>
  </si>
  <si>
    <t xml:space="preserve">      avalon_mm_rmap_o.readdata(23 downto 16) &lt;= rmap_registers_wr_i.aeb_crit_cfg_reserved_40.reserved(23 downto 16);</t>
  </si>
  <si>
    <t xml:space="preserve">      avalon_mm_rmap_o.readdata(31 downto 24) &lt;= rmap_registers_wr_i.aeb_crit_cfg_reserved_40.reserved(31 downto 24);</t>
  </si>
  <si>
    <t xml:space="preserve">  when (16#03E#) =&gt;</t>
  </si>
  <si>
    <t xml:space="preserve">      -- AEB Critical Configuration Area Register "RESERVED_44" : "RESERVED" Field</t>
  </si>
  <si>
    <t xml:space="preserve">      avalon_mm_rmap_o.readdata(7 downto 0) &lt;= rmap_registers_wr_i.aeb_crit_cfg_reserved_44.reserved(7 downto 0);</t>
  </si>
  <si>
    <t xml:space="preserve">      avalon_mm_rmap_o.readdata(15 downto 8) &lt;= rmap_registers_wr_i.aeb_crit_cfg_reserved_44.reserved(15 downto 8);</t>
  </si>
  <si>
    <t xml:space="preserve">      avalon_mm_rmap_o.readdata(23 downto 16) &lt;= rmap_registers_wr_i.aeb_crit_cfg_reserved_44.reserved(23 downto 16);</t>
  </si>
  <si>
    <t xml:space="preserve">      avalon_mm_rmap_o.readdata(31 downto 24) &lt;= rmap_registers_wr_i.aeb_crit_cfg_reserved_44.reserved(31 downto 24);</t>
  </si>
  <si>
    <t xml:space="preserve">  when (16#03F#) =&gt;</t>
  </si>
  <si>
    <t xml:space="preserve">      -- AEB Critical Configuration Area Register "RESERVED_48" : "RESERVED" Field</t>
  </si>
  <si>
    <t xml:space="preserve">      avalon_mm_rmap_o.readdata(7 downto 0) &lt;= rmap_registers_wr_i.aeb_crit_cfg_reserved_48.reserved(7 downto 0);</t>
  </si>
  <si>
    <t xml:space="preserve">      avalon_mm_rmap_o.readdata(15 downto 8) &lt;= rmap_registers_wr_i.aeb_crit_cfg_reserved_48.reserved(15 downto 8);</t>
  </si>
  <si>
    <t xml:space="preserve">      avalon_mm_rmap_o.readdata(23 downto 16) &lt;= rmap_registers_wr_i.aeb_crit_cfg_reserved_48.reserved(23 downto 16);</t>
  </si>
  <si>
    <t xml:space="preserve">      avalon_mm_rmap_o.readdata(31 downto 24) &lt;= rmap_registers_wr_i.aeb_crit_cfg_reserved_48.reserved(31 downto 24);</t>
  </si>
  <si>
    <t xml:space="preserve">  when (16#040#) =&gt;</t>
  </si>
  <si>
    <t xml:space="preserve">      -- AEB Critical Configuration Area Register "RESERVED_4C" : "RESERVED" Field</t>
  </si>
  <si>
    <t xml:space="preserve">      avalon_mm_rmap_o.readdata(7 downto 0) &lt;= rmap_registers_wr_i.aeb_crit_cfg_reserved_4c.reserved(7 downto 0);</t>
  </si>
  <si>
    <t xml:space="preserve">      avalon_mm_rmap_o.readdata(15 downto 8) &lt;= rmap_registers_wr_i.aeb_crit_cfg_reserved_4c.reserved(15 downto 8);</t>
  </si>
  <si>
    <t xml:space="preserve">      avalon_mm_rmap_o.readdata(23 downto 16) &lt;= rmap_registers_wr_i.aeb_crit_cfg_reserved_4c.reserved(23 downto 16);</t>
  </si>
  <si>
    <t xml:space="preserve">      avalon_mm_rmap_o.readdata(31 downto 24) &lt;= rmap_registers_wr_i.aeb_crit_cfg_reserved_4c.reserved(31 downto 24);</t>
  </si>
  <si>
    <t xml:space="preserve">  when (16#041#) =&gt;</t>
  </si>
  <si>
    <t xml:space="preserve">      -- AEB Critical Configuration Area Register "RESERVED_50" : "RESERVED" Field</t>
  </si>
  <si>
    <t xml:space="preserve">      avalon_mm_rmap_o.readdata(7 downto 0) &lt;= rmap_registers_wr_i.aeb_crit_cfg_reserved_50.reserved(7 downto 0);</t>
  </si>
  <si>
    <t xml:space="preserve">      avalon_mm_rmap_o.readdata(15 downto 8) &lt;= rmap_registers_wr_i.aeb_crit_cfg_reserved_50.reserved(15 downto 8);</t>
  </si>
  <si>
    <t xml:space="preserve">      avalon_mm_rmap_o.readdata(23 downto 16) &lt;= rmap_registers_wr_i.aeb_crit_cfg_reserved_50.reserved(23 downto 16);</t>
  </si>
  <si>
    <t xml:space="preserve">      avalon_mm_rmap_o.readdata(31 downto 24) &lt;= rmap_registers_wr_i.aeb_crit_cfg_reserved_50.reserved(31 downto 24);</t>
  </si>
  <si>
    <t xml:space="preserve">  when (16#042#) =&gt;</t>
  </si>
  <si>
    <t xml:space="preserve">      -- AEB Critical Configuration Area Register "RESERVED_54" : "RESERVED" Field</t>
  </si>
  <si>
    <t xml:space="preserve">      avalon_mm_rmap_o.readdata(7 downto 0) &lt;= rmap_registers_wr_i.aeb_crit_cfg_reserved_54.reserved(7 downto 0);</t>
  </si>
  <si>
    <t xml:space="preserve">      avalon_mm_rmap_o.readdata(15 downto 8) &lt;= rmap_registers_wr_i.aeb_crit_cfg_reserved_54.reserved(15 downto 8);</t>
  </si>
  <si>
    <t xml:space="preserve">      avalon_mm_rmap_o.readdata(23 downto 16) &lt;= rmap_registers_wr_i.aeb_crit_cfg_reserved_54.reserved(23 downto 16);</t>
  </si>
  <si>
    <t xml:space="preserve">      avalon_mm_rmap_o.readdata(31 downto 24) &lt;= rmap_registers_wr_i.aeb_crit_cfg_reserved_54.reserved(31 downto 24);</t>
  </si>
  <si>
    <t xml:space="preserve">  when (16#043#) =&gt;</t>
  </si>
  <si>
    <t xml:space="preserve">      -- AEB Critical Configuration Area Register "RESERVED_58" : "RESERVED" Field</t>
  </si>
  <si>
    <t xml:space="preserve">      avalon_mm_rmap_o.readdata(7 downto 0) &lt;= rmap_registers_wr_i.aeb_crit_cfg_reserved_58.reserved(7 downto 0);</t>
  </si>
  <si>
    <t xml:space="preserve">      avalon_mm_rmap_o.readdata(15 downto 8) &lt;= rmap_registers_wr_i.aeb_crit_cfg_reserved_58.reserved(15 downto 8);</t>
  </si>
  <si>
    <t xml:space="preserve">      avalon_mm_rmap_o.readdata(23 downto 16) &lt;= rmap_registers_wr_i.aeb_crit_cfg_reserved_58.reserved(23 downto 16);</t>
  </si>
  <si>
    <t xml:space="preserve">      avalon_mm_rmap_o.readdata(31 downto 24) &lt;= rmap_registers_wr_i.aeb_crit_cfg_reserved_58.reserved(31 downto 24);</t>
  </si>
  <si>
    <t xml:space="preserve">  when (16#044#) =&gt;</t>
  </si>
  <si>
    <t xml:space="preserve">      -- AEB Critical Configuration Area Register "RESERVED_5C" : "RESERVED" Field</t>
  </si>
  <si>
    <t xml:space="preserve">      avalon_mm_rmap_o.readdata(7 downto 0) &lt;= rmap_registers_wr_i.aeb_crit_cfg_reserved_5c.reserved(7 downto 0);</t>
  </si>
  <si>
    <t xml:space="preserve">      avalon_mm_rmap_o.readdata(15 downto 8) &lt;= rmap_registers_wr_i.aeb_crit_cfg_reserved_5c.reserved(15 downto 8);</t>
  </si>
  <si>
    <t xml:space="preserve">      avalon_mm_rmap_o.readdata(23 downto 16) &lt;= rmap_registers_wr_i.aeb_crit_cfg_reserved_5c.reserved(23 downto 16);</t>
  </si>
  <si>
    <t xml:space="preserve">      avalon_mm_rmap_o.readdata(31 downto 24) &lt;= rmap_registers_wr_i.aeb_crit_cfg_reserved_5c.reserved(31 downto 24);</t>
  </si>
  <si>
    <t xml:space="preserve">  when (16#045#) =&gt;</t>
  </si>
  <si>
    <t xml:space="preserve">      -- AEB Critical Configuration Area Register "RESERVED_60" : "RESERVED" Field</t>
  </si>
  <si>
    <t xml:space="preserve">      avalon_mm_rmap_o.readdata(7 downto 0) &lt;= rmap_registers_wr_i.aeb_crit_cfg_reserved_60.reserved(7 downto 0);</t>
  </si>
  <si>
    <t xml:space="preserve">      avalon_mm_rmap_o.readdata(15 downto 8) &lt;= rmap_registers_wr_i.aeb_crit_cfg_reserved_60.reserved(15 downto 8);</t>
  </si>
  <si>
    <t xml:space="preserve">      avalon_mm_rmap_o.readdata(23 downto 16) &lt;= rmap_registers_wr_i.aeb_crit_cfg_reserved_60.reserved(23 downto 16);</t>
  </si>
  <si>
    <t xml:space="preserve">      avalon_mm_rmap_o.readdata(31 downto 24) &lt;= rmap_registers_wr_i.aeb_crit_cfg_reserved_60.reserved(31 downto 24);</t>
  </si>
  <si>
    <t xml:space="preserve">  when (16#046#) =&gt;</t>
  </si>
  <si>
    <t xml:space="preserve">      -- AEB Critical Configuration Area Register "RESERVED_64" : "RESERVED" Field</t>
  </si>
  <si>
    <t xml:space="preserve">      avalon_mm_rmap_o.readdata(7 downto 0) &lt;= rmap_registers_wr_i.aeb_crit_cfg_reserved_64.reserved(7 downto 0);</t>
  </si>
  <si>
    <t xml:space="preserve">      avalon_mm_rmap_o.readdata(15 downto 8) &lt;= rmap_registers_wr_i.aeb_crit_cfg_reserved_64.reserved(15 downto 8);</t>
  </si>
  <si>
    <t xml:space="preserve">      avalon_mm_rmap_o.readdata(23 downto 16) &lt;= rmap_registers_wr_i.aeb_crit_cfg_reserved_64.reserved(23 downto 16);</t>
  </si>
  <si>
    <t xml:space="preserve">      avalon_mm_rmap_o.readdata(31 downto 24) &lt;= rmap_registers_wr_i.aeb_crit_cfg_reserved_64.reserved(31 downto 24);</t>
  </si>
  <si>
    <t xml:space="preserve">  when (16#047#) =&gt;</t>
  </si>
  <si>
    <t xml:space="preserve">      -- AEB Critical Configuration Area Register "RESERVED_68" : "RESERVED" Field</t>
  </si>
  <si>
    <t xml:space="preserve">      avalon_mm_rmap_o.readdata(7 downto 0) &lt;= rmap_registers_wr_i.aeb_crit_cfg_reserved_68.reserved(7 downto 0);</t>
  </si>
  <si>
    <t xml:space="preserve">      avalon_mm_rmap_o.readdata(15 downto 8) &lt;= rmap_registers_wr_i.aeb_crit_cfg_reserved_68.reserved(15 downto 8);</t>
  </si>
  <si>
    <t xml:space="preserve">      avalon_mm_rmap_o.readdata(23 downto 16) &lt;= rmap_registers_wr_i.aeb_crit_cfg_reserved_68.reserved(23 downto 16);</t>
  </si>
  <si>
    <t xml:space="preserve">      avalon_mm_rmap_o.readdata(31 downto 24) &lt;= rmap_registers_wr_i.aeb_crit_cfg_reserved_68.reserved(31 downto 24);</t>
  </si>
  <si>
    <t xml:space="preserve">  when (16#048#) =&gt;</t>
  </si>
  <si>
    <t xml:space="preserve">      -- AEB Critical Configuration Area Register "RESERVED_6C" : "RESERVED" Field</t>
  </si>
  <si>
    <t xml:space="preserve">      avalon_mm_rmap_o.readdata(7 downto 0) &lt;= rmap_registers_wr_i.aeb_crit_cfg_reserved_6c.reserved(7 downto 0);</t>
  </si>
  <si>
    <t xml:space="preserve">      avalon_mm_rmap_o.readdata(15 downto 8) &lt;= rmap_registers_wr_i.aeb_crit_cfg_reserved_6c.reserved(15 downto 8);</t>
  </si>
  <si>
    <t xml:space="preserve">      avalon_mm_rmap_o.readdata(23 downto 16) &lt;= rmap_registers_wr_i.aeb_crit_cfg_reserved_6c.reserved(23 downto 16);</t>
  </si>
  <si>
    <t xml:space="preserve">      avalon_mm_rmap_o.readdata(31 downto 24) &lt;= rmap_registers_wr_i.aeb_crit_cfg_reserved_6c.reserved(31 downto 24);</t>
  </si>
  <si>
    <t xml:space="preserve">  when (16#049#) =&gt;</t>
  </si>
  <si>
    <t xml:space="preserve">      -- AEB Critical Configuration Area Register "RESERVED_70" : "RESERVED" Field</t>
  </si>
  <si>
    <t xml:space="preserve">      avalon_mm_rmap_o.readdata(7 downto 0) &lt;= rmap_registers_wr_i.aeb_crit_cfg_reserved_70.reserved(7 downto 0);</t>
  </si>
  <si>
    <t xml:space="preserve">      avalon_mm_rmap_o.readdata(15 downto 8) &lt;= rmap_registers_wr_i.aeb_crit_cfg_reserved_70.reserved(15 downto 8);</t>
  </si>
  <si>
    <t xml:space="preserve">      avalon_mm_rmap_o.readdata(23 downto 16) &lt;= rmap_registers_wr_i.aeb_crit_cfg_reserved_70.reserved(23 downto 16);</t>
  </si>
  <si>
    <t xml:space="preserve">      avalon_mm_rmap_o.readdata(31 downto 24) &lt;= rmap_registers_wr_i.aeb_crit_cfg_reserved_70.reserved(31 downto 24);</t>
  </si>
  <si>
    <t xml:space="preserve">  when (16#04A#) =&gt;</t>
  </si>
  <si>
    <t xml:space="preserve">      -- AEB Critical Configuration Area Register "RESERVED_74" : "RESERVED" Field</t>
  </si>
  <si>
    <t xml:space="preserve">      avalon_mm_rmap_o.readdata(7 downto 0) &lt;= rmap_registers_wr_i.aeb_crit_cfg_reserved_74.reserved(7 downto 0);</t>
  </si>
  <si>
    <t xml:space="preserve">      avalon_mm_rmap_o.readdata(15 downto 8) &lt;= rmap_registers_wr_i.aeb_crit_cfg_reserved_74.reserved(15 downto 8);</t>
  </si>
  <si>
    <t xml:space="preserve">      avalon_mm_rmap_o.readdata(23 downto 16) &lt;= rmap_registers_wr_i.aeb_crit_cfg_reserved_74.reserved(23 downto 16);</t>
  </si>
  <si>
    <t xml:space="preserve">      avalon_mm_rmap_o.readdata(31 downto 24) &lt;= rmap_registers_wr_i.aeb_crit_cfg_reserved_74.reserved(31 downto 24);</t>
  </si>
  <si>
    <t xml:space="preserve">  when (16#04B#) =&gt;</t>
  </si>
  <si>
    <t xml:space="preserve">      -- AEB Critical Configuration Area Register "RESERVED_78" : "RESERVED" Field</t>
  </si>
  <si>
    <t xml:space="preserve">      avalon_mm_rmap_o.readdata(7 downto 0) &lt;= rmap_registers_wr_i.aeb_crit_cfg_reserved_78.reserved(7 downto 0);</t>
  </si>
  <si>
    <t xml:space="preserve">      avalon_mm_rmap_o.readdata(15 downto 8) &lt;= rmap_registers_wr_i.aeb_crit_cfg_reserved_78.reserved(15 downto 8);</t>
  </si>
  <si>
    <t xml:space="preserve">      avalon_mm_rmap_o.readdata(23 downto 16) &lt;= rmap_registers_wr_i.aeb_crit_cfg_reserved_78.reserved(23 downto 16);</t>
  </si>
  <si>
    <t xml:space="preserve">      avalon_mm_rmap_o.readdata(31 downto 24) &lt;= rmap_registers_wr_i.aeb_crit_cfg_reserved_78.reserved(31 downto 24);</t>
  </si>
  <si>
    <t xml:space="preserve">  when (16#04C#) =&gt;</t>
  </si>
  <si>
    <t xml:space="preserve">      -- AEB Critical Configuration Area Register "RESERVED_7C" : "RESERVED" Field</t>
  </si>
  <si>
    <t xml:space="preserve">      avalon_mm_rmap_o.readdata(7 downto 0) &lt;= rmap_registers_wr_i.aeb_crit_cfg_reserved_7c.reserved(7 downto 0);</t>
  </si>
  <si>
    <t xml:space="preserve">      avalon_mm_rmap_o.readdata(15 downto 8) &lt;= rmap_registers_wr_i.aeb_crit_cfg_reserved_7c.reserved(15 downto 8);</t>
  </si>
  <si>
    <t xml:space="preserve">      avalon_mm_rmap_o.readdata(23 downto 16) &lt;= rmap_registers_wr_i.aeb_crit_cfg_reserved_7c.reserved(23 downto 16);</t>
  </si>
  <si>
    <t xml:space="preserve">      avalon_mm_rmap_o.readdata(31 downto 24) &lt;= rmap_registers_wr_i.aeb_crit_cfg_reserved_7c.reserved(31 downto 24);</t>
  </si>
  <si>
    <t xml:space="preserve">  when (16#04D#) =&gt;</t>
  </si>
  <si>
    <t xml:space="preserve">      -- AEB Critical Configuration Area Register "RESERVED_80" : "RESERVED" Field</t>
  </si>
  <si>
    <t xml:space="preserve">      avalon_mm_rmap_o.readdata(7 downto 0) &lt;= rmap_registers_wr_i.aeb_crit_cfg_reserved_80.reserved(7 downto 0);</t>
  </si>
  <si>
    <t xml:space="preserve">      avalon_mm_rmap_o.readdata(15 downto 8) &lt;= rmap_registers_wr_i.aeb_crit_cfg_reserved_80.reserved(15 downto 8);</t>
  </si>
  <si>
    <t xml:space="preserve">      avalon_mm_rmap_o.readdata(23 downto 16) &lt;= rmap_registers_wr_i.aeb_crit_cfg_reserved_80.reserved(23 downto 16);</t>
  </si>
  <si>
    <t xml:space="preserve">      avalon_mm_rmap_o.readdata(31 downto 24) &lt;= rmap_registers_wr_i.aeb_crit_cfg_reserved_80.reserved(31 downto 24);</t>
  </si>
  <si>
    <t xml:space="preserve">  when (16#04E#) =&gt;</t>
  </si>
  <si>
    <t xml:space="preserve">      -- AEB Critical Configuration Area Register "RESERVED_84" : "RESERVED" Field</t>
  </si>
  <si>
    <t xml:space="preserve">      avalon_mm_rmap_o.readdata(7 downto 0) &lt;= rmap_registers_wr_i.aeb_crit_cfg_reserved_84.reserved(7 downto 0);</t>
  </si>
  <si>
    <t xml:space="preserve">      avalon_mm_rmap_o.readdata(15 downto 8) &lt;= rmap_registers_wr_i.aeb_crit_cfg_reserved_84.reserved(15 downto 8);</t>
  </si>
  <si>
    <t xml:space="preserve">      avalon_mm_rmap_o.readdata(23 downto 16) &lt;= rmap_registers_wr_i.aeb_crit_cfg_reserved_84.reserved(23 downto 16);</t>
  </si>
  <si>
    <t xml:space="preserve">      avalon_mm_rmap_o.readdata(31 downto 24) &lt;= rmap_registers_wr_i.aeb_crit_cfg_reserved_84.reserved(31 downto 24);</t>
  </si>
  <si>
    <t xml:space="preserve">  when (16#04F#) =&gt;</t>
  </si>
  <si>
    <t xml:space="preserve">      -- AEB Critical Configuration Area Register "RESERVED_88" : "RESERVED" Field</t>
  </si>
  <si>
    <t xml:space="preserve">      avalon_mm_rmap_o.readdata(7 downto 0) &lt;= rmap_registers_wr_i.aeb_crit_cfg_reserved_88.reserved(7 downto 0);</t>
  </si>
  <si>
    <t xml:space="preserve">      avalon_mm_rmap_o.readdata(15 downto 8) &lt;= rmap_registers_wr_i.aeb_crit_cfg_reserved_88.reserved(15 downto 8);</t>
  </si>
  <si>
    <t xml:space="preserve">      avalon_mm_rmap_o.readdata(23 downto 16) &lt;= rmap_registers_wr_i.aeb_crit_cfg_reserved_88.reserved(23 downto 16);</t>
  </si>
  <si>
    <t xml:space="preserve">      avalon_mm_rmap_o.readdata(31 downto 24) &lt;= rmap_registers_wr_i.aeb_crit_cfg_reserved_88.reserved(31 downto 24);</t>
  </si>
  <si>
    <t xml:space="preserve">  when (16#050#) =&gt;</t>
  </si>
  <si>
    <t xml:space="preserve">      -- AEB Critical Configuration Area Register "RESERVED_8C" : "RESERVED" Field</t>
  </si>
  <si>
    <t xml:space="preserve">      avalon_mm_rmap_o.readdata(7 downto 0) &lt;= rmap_registers_wr_i.aeb_crit_cfg_reserved_8c.reserved(7 downto 0);</t>
  </si>
  <si>
    <t xml:space="preserve">      avalon_mm_rmap_o.readdata(15 downto 8) &lt;= rmap_registers_wr_i.aeb_crit_cfg_reserved_8c.reserved(15 downto 8);</t>
  </si>
  <si>
    <t xml:space="preserve">      avalon_mm_rmap_o.readdata(23 downto 16) &lt;= rmap_registers_wr_i.aeb_crit_cfg_reserved_8c.reserved(23 downto 16);</t>
  </si>
  <si>
    <t xml:space="preserve">      avalon_mm_rmap_o.readdata(31 downto 24) &lt;= rmap_registers_wr_i.aeb_crit_cfg_reserved_8c.reserved(31 downto 24);</t>
  </si>
  <si>
    <t xml:space="preserve">  when (16#051#) =&gt;</t>
  </si>
  <si>
    <t xml:space="preserve">      -- AEB Critical Configuration Area Register "RESERVED_90" : "RESERVED" Field</t>
  </si>
  <si>
    <t xml:space="preserve">      avalon_mm_rmap_o.readdata(7 downto 0) &lt;= rmap_registers_wr_i.aeb_crit_cfg_reserved_90.reserved(7 downto 0);</t>
  </si>
  <si>
    <t xml:space="preserve">      avalon_mm_rmap_o.readdata(15 downto 8) &lt;= rmap_registers_wr_i.aeb_crit_cfg_reserved_90.reserved(15 downto 8);</t>
  </si>
  <si>
    <t xml:space="preserve">      avalon_mm_rmap_o.readdata(23 downto 16) &lt;= rmap_registers_wr_i.aeb_crit_cfg_reserved_90.reserved(23 downto 16);</t>
  </si>
  <si>
    <t xml:space="preserve">      avalon_mm_rmap_o.readdata(31 downto 24) &lt;= rmap_registers_wr_i.aeb_crit_cfg_reserved_90.reserved(31 downto 24);</t>
  </si>
  <si>
    <t xml:space="preserve">  when (16#052#) =&gt;</t>
  </si>
  <si>
    <t xml:space="preserve">      -- AEB Critical Configuration Area Register "RESERVED_94" : "RESERVED" Field</t>
  </si>
  <si>
    <t xml:space="preserve">      avalon_mm_rmap_o.readdata(7 downto 0) &lt;= rmap_registers_wr_i.aeb_crit_cfg_reserved_94.reserved(7 downto 0);</t>
  </si>
  <si>
    <t xml:space="preserve">      avalon_mm_rmap_o.readdata(15 downto 8) &lt;= rmap_registers_wr_i.aeb_crit_cfg_reserved_94.reserved(15 downto 8);</t>
  </si>
  <si>
    <t xml:space="preserve">      avalon_mm_rmap_o.readdata(23 downto 16) &lt;= rmap_registers_wr_i.aeb_crit_cfg_reserved_94.reserved(23 downto 16);</t>
  </si>
  <si>
    <t xml:space="preserve">      avalon_mm_rmap_o.readdata(31 downto 24) &lt;= rmap_registers_wr_i.aeb_crit_cfg_reserved_94.reserved(31 downto 24);</t>
  </si>
  <si>
    <t xml:space="preserve">  when (16#053#) =&gt;</t>
  </si>
  <si>
    <t xml:space="preserve">      -- AEB Critical Configuration Area Register "RESERVED_98" : "RESERVED" Field</t>
  </si>
  <si>
    <t xml:space="preserve">      avalon_mm_rmap_o.readdata(7 downto 0) &lt;= rmap_registers_wr_i.aeb_crit_cfg_reserved_98.reserved(7 downto 0);</t>
  </si>
  <si>
    <t xml:space="preserve">      avalon_mm_rmap_o.readdata(15 downto 8) &lt;= rmap_registers_wr_i.aeb_crit_cfg_reserved_98.reserved(15 downto 8);</t>
  </si>
  <si>
    <t xml:space="preserve">      avalon_mm_rmap_o.readdata(23 downto 16) &lt;= rmap_registers_wr_i.aeb_crit_cfg_reserved_98.reserved(23 downto 16);</t>
  </si>
  <si>
    <t xml:space="preserve">      avalon_mm_rmap_o.readdata(31 downto 24) &lt;= rmap_registers_wr_i.aeb_crit_cfg_reserved_98.reserved(31 downto 24);</t>
  </si>
  <si>
    <t xml:space="preserve">  when (16#054#) =&gt;</t>
  </si>
  <si>
    <t xml:space="preserve">      -- AEB Critical Configuration Area Register "RESERVED_9C" : "RESERVED" Field</t>
  </si>
  <si>
    <t xml:space="preserve">      avalon_mm_rmap_o.readdata(7 downto 0) &lt;= rmap_registers_wr_i.aeb_crit_cfg_reserved_9c.reserved(7 downto 0);</t>
  </si>
  <si>
    <t xml:space="preserve">      avalon_mm_rmap_o.readdata(15 downto 8) &lt;= rmap_registers_wr_i.aeb_crit_cfg_reserved_9c.reserved(15 downto 8);</t>
  </si>
  <si>
    <t xml:space="preserve">      avalon_mm_rmap_o.readdata(23 downto 16) &lt;= rmap_registers_wr_i.aeb_crit_cfg_reserved_9c.reserved(23 downto 16);</t>
  </si>
  <si>
    <t xml:space="preserve">      avalon_mm_rmap_o.readdata(31 downto 24) &lt;= rmap_registers_wr_i.aeb_crit_cfg_reserved_9c.reserved(31 downto 24);</t>
  </si>
  <si>
    <t xml:space="preserve">  when (16#055#) =&gt;</t>
  </si>
  <si>
    <t xml:space="preserve">      -- AEB Critical Configuration Area Register "RESERVED_A0" : "RESERVED" Field</t>
  </si>
  <si>
    <t xml:space="preserve">      avalon_mm_rmap_o.readdata(7 downto 0) &lt;= rmap_registers_wr_i.aeb_crit_cfg_reserved_a0.reserved(7 downto 0);</t>
  </si>
  <si>
    <t xml:space="preserve">      avalon_mm_rmap_o.readdata(15 downto 8) &lt;= rmap_registers_wr_i.aeb_crit_cfg_reserved_a0.reserved(15 downto 8);</t>
  </si>
  <si>
    <t xml:space="preserve">      avalon_mm_rmap_o.readdata(23 downto 16) &lt;= rmap_registers_wr_i.aeb_crit_cfg_reserved_a0.reserved(23 downto 16);</t>
  </si>
  <si>
    <t xml:space="preserve">      avalon_mm_rmap_o.readdata(31 downto 24) &lt;= rmap_registers_wr_i.aeb_crit_cfg_reserved_a0.reserved(31 downto 24);</t>
  </si>
  <si>
    <t xml:space="preserve">  when (16#056#) =&gt;</t>
  </si>
  <si>
    <t xml:space="preserve">      -- AEB Critical Configuration Area Register "RESERVED_A4" : "RESERVED" Field</t>
  </si>
  <si>
    <t xml:space="preserve">      avalon_mm_rmap_o.readdata(7 downto 0) &lt;= rmap_registers_wr_i.aeb_crit_cfg_reserved_a4.reserved(7 downto 0);</t>
  </si>
  <si>
    <t xml:space="preserve">      avalon_mm_rmap_o.readdata(15 downto 8) &lt;= rmap_registers_wr_i.aeb_crit_cfg_reserved_a4.reserved(15 downto 8);</t>
  </si>
  <si>
    <t xml:space="preserve">      avalon_mm_rmap_o.readdata(23 downto 16) &lt;= rmap_registers_wr_i.aeb_crit_cfg_reserved_a4.reserved(23 downto 16);</t>
  </si>
  <si>
    <t xml:space="preserve">      avalon_mm_rmap_o.readdata(31 downto 24) &lt;= rmap_registers_wr_i.aeb_crit_cfg_reserved_a4.reserved(31 downto 24);</t>
  </si>
  <si>
    <t xml:space="preserve">  when (16#057#) =&gt;</t>
  </si>
  <si>
    <t xml:space="preserve">      -- AEB Critical Configuration Area Register "RESERVED_A8" : "RESERVED" Field</t>
  </si>
  <si>
    <t xml:space="preserve">      avalon_mm_rmap_o.readdata(7 downto 0) &lt;= rmap_registers_wr_i.aeb_crit_cfg_reserved_a8.reserved(7 downto 0);</t>
  </si>
  <si>
    <t xml:space="preserve">      avalon_mm_rmap_o.readdata(15 downto 8) &lt;= rmap_registers_wr_i.aeb_crit_cfg_reserved_a8.reserved(15 downto 8);</t>
  </si>
  <si>
    <t xml:space="preserve">      avalon_mm_rmap_o.readdata(23 downto 16) &lt;= rmap_registers_wr_i.aeb_crit_cfg_reserved_a8.reserved(23 downto 16);</t>
  </si>
  <si>
    <t xml:space="preserve">      avalon_mm_rmap_o.readdata(31 downto 24) &lt;= rmap_registers_wr_i.aeb_crit_cfg_reserved_a8.reserved(31 downto 24);</t>
  </si>
  <si>
    <t xml:space="preserve">  when (16#058#) =&gt;</t>
  </si>
  <si>
    <t xml:space="preserve">      -- AEB Critical Configuration Area Register "RESERVED_AC" : "RESERVED" Field</t>
  </si>
  <si>
    <t xml:space="preserve">      avalon_mm_rmap_o.readdata(7 downto 0) &lt;= rmap_registers_wr_i.aeb_crit_cfg_reserved_ac.reserved(7 downto 0);</t>
  </si>
  <si>
    <t xml:space="preserve">      avalon_mm_rmap_o.readdata(15 downto 8) &lt;= rmap_registers_wr_i.aeb_crit_cfg_reserved_ac.reserved(15 downto 8);</t>
  </si>
  <si>
    <t xml:space="preserve">      avalon_mm_rmap_o.readdata(23 downto 16) &lt;= rmap_registers_wr_i.aeb_crit_cfg_reserved_ac.reserved(23 downto 16);</t>
  </si>
  <si>
    <t xml:space="preserve">      avalon_mm_rmap_o.readdata(31 downto 24) &lt;= rmap_registers_wr_i.aeb_crit_cfg_reserved_ac.reserved(31 downto 24);</t>
  </si>
  <si>
    <t xml:space="preserve">  when (16#059#) =&gt;</t>
  </si>
  <si>
    <t xml:space="preserve">      -- AEB Critical Configuration Area Register "RESERVED_B0" : "RESERVED" Field</t>
  </si>
  <si>
    <t xml:space="preserve">      avalon_mm_rmap_o.readdata(7 downto 0) &lt;= rmap_registers_wr_i.aeb_crit_cfg_reserved_b0.reserved(7 downto 0);</t>
  </si>
  <si>
    <t xml:space="preserve">      avalon_mm_rmap_o.readdata(15 downto 8) &lt;= rmap_registers_wr_i.aeb_crit_cfg_reserved_b0.reserved(15 downto 8);</t>
  </si>
  <si>
    <t xml:space="preserve">      avalon_mm_rmap_o.readdata(23 downto 16) &lt;= rmap_registers_wr_i.aeb_crit_cfg_reserved_b0.reserved(23 downto 16);</t>
  </si>
  <si>
    <t xml:space="preserve">      avalon_mm_rmap_o.readdata(31 downto 24) &lt;= rmap_registers_wr_i.aeb_crit_cfg_reserved_b0.reserved(31 downto 24);</t>
  </si>
  <si>
    <t xml:space="preserve">  when (16#05A#) =&gt;</t>
  </si>
  <si>
    <t xml:space="preserve">      -- AEB Critical Configuration Area Register "RESERVED_B4" : "RESERVED" Field</t>
  </si>
  <si>
    <t xml:space="preserve">      avalon_mm_rmap_o.readdata(7 downto 0) &lt;= rmap_registers_wr_i.aeb_crit_cfg_reserved_b4.reserved(7 downto 0);</t>
  </si>
  <si>
    <t xml:space="preserve">      avalon_mm_rmap_o.readdata(15 downto 8) &lt;= rmap_registers_wr_i.aeb_crit_cfg_reserved_b4.reserved(15 downto 8);</t>
  </si>
  <si>
    <t xml:space="preserve">      avalon_mm_rmap_o.readdata(23 downto 16) &lt;= rmap_registers_wr_i.aeb_crit_cfg_reserved_b4.reserved(23 downto 16);</t>
  </si>
  <si>
    <t xml:space="preserve">      avalon_mm_rmap_o.readdata(31 downto 24) &lt;= rmap_registers_wr_i.aeb_crit_cfg_reserved_b4.reserved(31 downto 24);</t>
  </si>
  <si>
    <t xml:space="preserve">  when (16#05B#) =&gt;</t>
  </si>
  <si>
    <t xml:space="preserve">      -- AEB Critical Configuration Area Register "RESERVED_B8" : "RESERVED" Field</t>
  </si>
  <si>
    <t xml:space="preserve">      avalon_mm_rmap_o.readdata(7 downto 0) &lt;= rmap_registers_wr_i.aeb_crit_cfg_reserved_b8.reserved(7 downto 0);</t>
  </si>
  <si>
    <t xml:space="preserve">      avalon_mm_rmap_o.readdata(15 downto 8) &lt;= rmap_registers_wr_i.aeb_crit_cfg_reserved_b8.reserved(15 downto 8);</t>
  </si>
  <si>
    <t xml:space="preserve">      avalon_mm_rmap_o.readdata(23 downto 16) &lt;= rmap_registers_wr_i.aeb_crit_cfg_reserved_b8.reserved(23 downto 16);</t>
  </si>
  <si>
    <t xml:space="preserve">      avalon_mm_rmap_o.readdata(31 downto 24) &lt;= rmap_registers_wr_i.aeb_crit_cfg_reserved_b8.reserved(31 downto 24);</t>
  </si>
  <si>
    <t xml:space="preserve">  when (16#05C#) =&gt;</t>
  </si>
  <si>
    <t xml:space="preserve">      -- AEB Critical Configuration Area Register "RESERVED_BC" : "RESERVED" Field</t>
  </si>
  <si>
    <t xml:space="preserve">      avalon_mm_rmap_o.readdata(7 downto 0) &lt;= rmap_registers_wr_i.aeb_crit_cfg_reserved_bc.reserved(7 downto 0);</t>
  </si>
  <si>
    <t xml:space="preserve">      avalon_mm_rmap_o.readdata(15 downto 8) &lt;= rmap_registers_wr_i.aeb_crit_cfg_reserved_bc.reserved(15 downto 8);</t>
  </si>
  <si>
    <t xml:space="preserve">      avalon_mm_rmap_o.readdata(23 downto 16) &lt;= rmap_registers_wr_i.aeb_crit_cfg_reserved_bc.reserved(23 downto 16);</t>
  </si>
  <si>
    <t xml:space="preserve">      avalon_mm_rmap_o.readdata(31 downto 24) &lt;= rmap_registers_wr_i.aeb_crit_cfg_reserved_bc.reserved(31 downto 24);</t>
  </si>
  <si>
    <t xml:space="preserve">  when (16#05D#) =&gt;</t>
  </si>
  <si>
    <t xml:space="preserve">      -- AEB Critical Configuration Area Register "RESERVED_C0" : "RESERVED" Field</t>
  </si>
  <si>
    <t xml:space="preserve">      avalon_mm_rmap_o.readdata(7 downto 0) &lt;= rmap_registers_wr_i.aeb_crit_cfg_reserved_c0.reserved(7 downto 0);</t>
  </si>
  <si>
    <t xml:space="preserve">      avalon_mm_rmap_o.readdata(15 downto 8) &lt;= rmap_registers_wr_i.aeb_crit_cfg_reserved_c0.reserved(15 downto 8);</t>
  </si>
  <si>
    <t xml:space="preserve">      avalon_mm_rmap_o.readdata(23 downto 16) &lt;= rmap_registers_wr_i.aeb_crit_cfg_reserved_c0.reserved(23 downto 16);</t>
  </si>
  <si>
    <t xml:space="preserve">      avalon_mm_rmap_o.readdata(31 downto 24) &lt;= rmap_registers_wr_i.aeb_crit_cfg_reserved_c0.reserved(31 downto 24);</t>
  </si>
  <si>
    <t xml:space="preserve">  when (16#05E#) =&gt;</t>
  </si>
  <si>
    <t xml:space="preserve">      -- AEB Critical Configuration Area Register "RESERVED_C4" : "RESERVED" Field</t>
  </si>
  <si>
    <t xml:space="preserve">      avalon_mm_rmap_o.readdata(7 downto 0) &lt;= rmap_registers_wr_i.aeb_crit_cfg_reserved_c4.reserved(7 downto 0);</t>
  </si>
  <si>
    <t xml:space="preserve">      avalon_mm_rmap_o.readdata(15 downto 8) &lt;= rmap_registers_wr_i.aeb_crit_cfg_reserved_c4.reserved(15 downto 8);</t>
  </si>
  <si>
    <t xml:space="preserve">      avalon_mm_rmap_o.readdata(23 downto 16) &lt;= rmap_registers_wr_i.aeb_crit_cfg_reserved_c4.reserved(23 downto 16);</t>
  </si>
  <si>
    <t xml:space="preserve">      avalon_mm_rmap_o.readdata(31 downto 24) &lt;= rmap_registers_wr_i.aeb_crit_cfg_reserved_c4.reserved(31 downto 24);</t>
  </si>
  <si>
    <t xml:space="preserve">  when (16#05F#) =&gt;</t>
  </si>
  <si>
    <t xml:space="preserve">      -- AEB Critical Configuration Area Register "RESERVED_C8" : "RESERVED" Field</t>
  </si>
  <si>
    <t xml:space="preserve">      avalon_mm_rmap_o.readdata(7 downto 0) &lt;= rmap_registers_wr_i.aeb_crit_cfg_reserved_c8.reserved(7 downto 0);</t>
  </si>
  <si>
    <t xml:space="preserve">      avalon_mm_rmap_o.readdata(15 downto 8) &lt;= rmap_registers_wr_i.aeb_crit_cfg_reserved_c8.reserved(15 downto 8);</t>
  </si>
  <si>
    <t xml:space="preserve">      avalon_mm_rmap_o.readdata(23 downto 16) &lt;= rmap_registers_wr_i.aeb_crit_cfg_reserved_c8.reserved(23 downto 16);</t>
  </si>
  <si>
    <t xml:space="preserve">      avalon_mm_rmap_o.readdata(31 downto 24) &lt;= rmap_registers_wr_i.aeb_crit_cfg_reserved_c8.reserved(31 downto 24);</t>
  </si>
  <si>
    <t xml:space="preserve">  when (16#060#) =&gt;</t>
  </si>
  <si>
    <t xml:space="preserve">      -- AEB Critical Configuration Area Register "RESERVED_CC" : "RESERVED" Field</t>
  </si>
  <si>
    <t xml:space="preserve">      avalon_mm_rmap_o.readdata(7 downto 0) &lt;= rmap_registers_wr_i.aeb_crit_cfg_reserved_cc.reserved(7 downto 0);</t>
  </si>
  <si>
    <t xml:space="preserve">      avalon_mm_rmap_o.readdata(15 downto 8) &lt;= rmap_registers_wr_i.aeb_crit_cfg_reserved_cc.reserved(15 downto 8);</t>
  </si>
  <si>
    <t xml:space="preserve">      avalon_mm_rmap_o.readdata(23 downto 16) &lt;= rmap_registers_wr_i.aeb_crit_cfg_reserved_cc.reserved(23 downto 16);</t>
  </si>
  <si>
    <t xml:space="preserve">      avalon_mm_rmap_o.readdata(31 downto 24) &lt;= rmap_registers_wr_i.aeb_crit_cfg_reserved_cc.reserved(31 downto 24);</t>
  </si>
  <si>
    <t xml:space="preserve">  when (16#061#) =&gt;</t>
  </si>
  <si>
    <t xml:space="preserve">      -- AEB Critical Configuration Area Register "RESERVED_D0" : "RESERVED" Field</t>
  </si>
  <si>
    <t xml:space="preserve">      avalon_mm_rmap_o.readdata(7 downto 0) &lt;= rmap_registers_wr_i.aeb_crit_cfg_reserved_d0.reserved(7 downto 0);</t>
  </si>
  <si>
    <t xml:space="preserve">      avalon_mm_rmap_o.readdata(15 downto 8) &lt;= rmap_registers_wr_i.aeb_crit_cfg_reserved_d0.reserved(15 downto 8);</t>
  </si>
  <si>
    <t xml:space="preserve">      avalon_mm_rmap_o.readdata(23 downto 16) &lt;= rmap_registers_wr_i.aeb_crit_cfg_reserved_d0.reserved(23 downto 16);</t>
  </si>
  <si>
    <t xml:space="preserve">      avalon_mm_rmap_o.readdata(31 downto 24) &lt;= rmap_registers_wr_i.aeb_crit_cfg_reserved_d0.reserved(31 downto 24);</t>
  </si>
  <si>
    <t xml:space="preserve">  when (16#062#) =&gt;</t>
  </si>
  <si>
    <t xml:space="preserve">      -- AEB Critical Configuration Area Register "RESERVED_D4" : "RESERVED" Field</t>
  </si>
  <si>
    <t xml:space="preserve">      avalon_mm_rmap_o.readdata(7 downto 0) &lt;= rmap_registers_wr_i.aeb_crit_cfg_reserved_d4.reserved(7 downto 0);</t>
  </si>
  <si>
    <t xml:space="preserve">      avalon_mm_rmap_o.readdata(15 downto 8) &lt;= rmap_registers_wr_i.aeb_crit_cfg_reserved_d4.reserved(15 downto 8);</t>
  </si>
  <si>
    <t xml:space="preserve">      avalon_mm_rmap_o.readdata(23 downto 16) &lt;= rmap_registers_wr_i.aeb_crit_cfg_reserved_d4.reserved(23 downto 16);</t>
  </si>
  <si>
    <t xml:space="preserve">      avalon_mm_rmap_o.readdata(31 downto 24) &lt;= rmap_registers_wr_i.aeb_crit_cfg_reserved_d4.reserved(31 downto 24);</t>
  </si>
  <si>
    <t xml:space="preserve">  when (16#063#) =&gt;</t>
  </si>
  <si>
    <t xml:space="preserve">      -- AEB Critical Configuration Area Register "RESERVED_D8" : "RESERVED" Field</t>
  </si>
  <si>
    <t xml:space="preserve">      avalon_mm_rmap_o.readdata(7 downto 0) &lt;= rmap_registers_wr_i.aeb_crit_cfg_reserved_d8.reserved(7 downto 0);</t>
  </si>
  <si>
    <t xml:space="preserve">      avalon_mm_rmap_o.readdata(15 downto 8) &lt;= rmap_registers_wr_i.aeb_crit_cfg_reserved_d8.reserved(15 downto 8);</t>
  </si>
  <si>
    <t xml:space="preserve">      avalon_mm_rmap_o.readdata(23 downto 16) &lt;= rmap_registers_wr_i.aeb_crit_cfg_reserved_d8.reserved(23 downto 16);</t>
  </si>
  <si>
    <t xml:space="preserve">      avalon_mm_rmap_o.readdata(31 downto 24) &lt;= rmap_registers_wr_i.aeb_crit_cfg_reserved_d8.reserved(31 downto 24);</t>
  </si>
  <si>
    <t xml:space="preserve">  when (16#064#) =&gt;</t>
  </si>
  <si>
    <t xml:space="preserve">      -- AEB Critical Configuration Area Register "RESERVED_DC" : "RESERVED" Field</t>
  </si>
  <si>
    <t xml:space="preserve">      avalon_mm_rmap_o.readdata(7 downto 0) &lt;= rmap_registers_wr_i.aeb_crit_cfg_reserved_dc.reserved(7 downto 0);</t>
  </si>
  <si>
    <t xml:space="preserve">      avalon_mm_rmap_o.readdata(15 downto 8) &lt;= rmap_registers_wr_i.aeb_crit_cfg_reserved_dc.reserved(15 downto 8);</t>
  </si>
  <si>
    <t xml:space="preserve">      avalon_mm_rmap_o.readdata(23 downto 16) &lt;= rmap_registers_wr_i.aeb_crit_cfg_reserved_dc.reserved(23 downto 16);</t>
  </si>
  <si>
    <t xml:space="preserve">      avalon_mm_rmap_o.readdata(31 downto 24) &lt;= rmap_registers_wr_i.aeb_crit_cfg_reserved_dc.reserved(31 downto 24);</t>
  </si>
  <si>
    <t xml:space="preserve">  when (16#065#) =&gt;</t>
  </si>
  <si>
    <t xml:space="preserve">      -- AEB Critical Configuration Area Register "RESERVED_E0" : "RESERVED" Field</t>
  </si>
  <si>
    <t xml:space="preserve">      avalon_mm_rmap_o.readdata(7 downto 0) &lt;= rmap_registers_wr_i.aeb_crit_cfg_reserved_e0.reserved(7 downto 0);</t>
  </si>
  <si>
    <t xml:space="preserve">      avalon_mm_rmap_o.readdata(15 downto 8) &lt;= rmap_registers_wr_i.aeb_crit_cfg_reserved_e0.reserved(15 downto 8);</t>
  </si>
  <si>
    <t xml:space="preserve">      avalon_mm_rmap_o.readdata(23 downto 16) &lt;= rmap_registers_wr_i.aeb_crit_cfg_reserved_e0.reserved(23 downto 16);</t>
  </si>
  <si>
    <t xml:space="preserve">      avalon_mm_rmap_o.readdata(31 downto 24) &lt;= rmap_registers_wr_i.aeb_crit_cfg_reserved_e0.reserved(31 downto 24);</t>
  </si>
  <si>
    <t xml:space="preserve">  when (16#066#) =&gt;</t>
  </si>
  <si>
    <t xml:space="preserve">      -- AEB Critical Configuration Area Register "RESERVED_E4" : "RESERVED" Field</t>
  </si>
  <si>
    <t xml:space="preserve">      avalon_mm_rmap_o.readdata(7 downto 0) &lt;= rmap_registers_wr_i.aeb_crit_cfg_reserved_e4.reserved(7 downto 0);</t>
  </si>
  <si>
    <t xml:space="preserve">      avalon_mm_rmap_o.readdata(15 downto 8) &lt;= rmap_registers_wr_i.aeb_crit_cfg_reserved_e4.reserved(15 downto 8);</t>
  </si>
  <si>
    <t xml:space="preserve">      avalon_mm_rmap_o.readdata(23 downto 16) &lt;= rmap_registers_wr_i.aeb_crit_cfg_reserved_e4.reserved(23 downto 16);</t>
  </si>
  <si>
    <t xml:space="preserve">      avalon_mm_rmap_o.readdata(31 downto 24) &lt;= rmap_registers_wr_i.aeb_crit_cfg_reserved_e4.reserved(31 downto 24);</t>
  </si>
  <si>
    <t xml:space="preserve">  when (16#067#) =&gt;</t>
  </si>
  <si>
    <t xml:space="preserve">      -- AEB Critical Configuration Area Register "RESERVED_E8" : "RESERVED" Field</t>
  </si>
  <si>
    <t xml:space="preserve">      avalon_mm_rmap_o.readdata(7 downto 0) &lt;= rmap_registers_wr_i.aeb_crit_cfg_reserved_e8.reserved(7 downto 0);</t>
  </si>
  <si>
    <t xml:space="preserve">      avalon_mm_rmap_o.readdata(15 downto 8) &lt;= rmap_registers_wr_i.aeb_crit_cfg_reserved_e8.reserved(15 downto 8);</t>
  </si>
  <si>
    <t xml:space="preserve">      avalon_mm_rmap_o.readdata(23 downto 16) &lt;= rmap_registers_wr_i.aeb_crit_cfg_reserved_e8.reserved(23 downto 16);</t>
  </si>
  <si>
    <t xml:space="preserve">      avalon_mm_rmap_o.readdata(31 downto 24) &lt;= rmap_registers_wr_i.aeb_crit_cfg_reserved_e8.reserved(31 downto 24);</t>
  </si>
  <si>
    <t xml:space="preserve">  when (16#068#) =&gt;</t>
  </si>
  <si>
    <t xml:space="preserve">      -- AEB Critical Configuration Area Register "RESERVED_EC" : "RESERVED" Field</t>
  </si>
  <si>
    <t xml:space="preserve">      avalon_mm_rmap_o.readdata(7 downto 0) &lt;= rmap_registers_wr_i.aeb_crit_cfg_reserved_ec.reserved(7 downto 0);</t>
  </si>
  <si>
    <t xml:space="preserve">      avalon_mm_rmap_o.readdata(15 downto 8) &lt;= rmap_registers_wr_i.aeb_crit_cfg_reserved_ec.reserved(15 downto 8);</t>
  </si>
  <si>
    <t xml:space="preserve">      avalon_mm_rmap_o.readdata(23 downto 16) &lt;= rmap_registers_wr_i.aeb_crit_cfg_reserved_ec.reserved(23 downto 16);</t>
  </si>
  <si>
    <t xml:space="preserve">      avalon_mm_rmap_o.readdata(31 downto 24) &lt;= rmap_registers_wr_i.aeb_crit_cfg_reserved_ec.reserved(31 downto 24);</t>
  </si>
  <si>
    <t xml:space="preserve">  when (16#069#) =&gt;</t>
  </si>
  <si>
    <t xml:space="preserve">      -- AEB Critical Configuration Area Register "RESERVED_F0" : "RESERVED" Field</t>
  </si>
  <si>
    <t xml:space="preserve">      avalon_mm_rmap_o.readdata(7 downto 0) &lt;= rmap_registers_wr_i.aeb_crit_cfg_reserved_f0.reserved(7 downto 0);</t>
  </si>
  <si>
    <t xml:space="preserve">      avalon_mm_rmap_o.readdata(15 downto 8) &lt;= rmap_registers_wr_i.aeb_crit_cfg_reserved_f0.reserved(15 downto 8);</t>
  </si>
  <si>
    <t xml:space="preserve">      avalon_mm_rmap_o.readdata(23 downto 16) &lt;= rmap_registers_wr_i.aeb_crit_cfg_reserved_f0.reserved(23 downto 16);</t>
  </si>
  <si>
    <t xml:space="preserve">      avalon_mm_rmap_o.readdata(31 downto 24) &lt;= rmap_registers_wr_i.aeb_crit_cfg_reserved_f0.reserved(31 downto 24);</t>
  </si>
  <si>
    <t xml:space="preserve">  when (16#06A#) =&gt;</t>
  </si>
  <si>
    <t xml:space="preserve">      -- AEB Critical Configuration Area Register "RESERVED_F4" : "RESERVED" Field</t>
  </si>
  <si>
    <t xml:space="preserve">      avalon_mm_rmap_o.readdata(7 downto 0) &lt;= rmap_registers_wr_i.aeb_crit_cfg_reserved_f4.reserved(7 downto 0);</t>
  </si>
  <si>
    <t xml:space="preserve">      avalon_mm_rmap_o.readdata(15 downto 8) &lt;= rmap_registers_wr_i.aeb_crit_cfg_reserved_f4.reserved(15 downto 8);</t>
  </si>
  <si>
    <t xml:space="preserve">      avalon_mm_rmap_o.readdata(23 downto 16) &lt;= rmap_registers_wr_i.aeb_crit_cfg_reserved_f4.reserved(23 downto 16);</t>
  </si>
  <si>
    <t xml:space="preserve">      avalon_mm_rmap_o.readdata(31 downto 24) &lt;= rmap_registers_wr_i.aeb_crit_cfg_reserved_f4.reserved(31 downto 24);</t>
  </si>
  <si>
    <t xml:space="preserve">  when (16#06B#) =&gt;</t>
  </si>
  <si>
    <t xml:space="preserve">      -- AEB Critical Configuration Area Register "RESERVED_F8" : "RESERVED" Field</t>
  </si>
  <si>
    <t xml:space="preserve">      avalon_mm_rmap_o.readdata(7 downto 0) &lt;= rmap_registers_wr_i.aeb_crit_cfg_reserved_f8.reserved(7 downto 0);</t>
  </si>
  <si>
    <t xml:space="preserve">      avalon_mm_rmap_o.readdata(15 downto 8) &lt;= rmap_registers_wr_i.aeb_crit_cfg_reserved_f8.reserved(15 downto 8);</t>
  </si>
  <si>
    <t xml:space="preserve">      avalon_mm_rmap_o.readdata(23 downto 16) &lt;= rmap_registers_wr_i.aeb_crit_cfg_reserved_f8.reserved(23 downto 16);</t>
  </si>
  <si>
    <t xml:space="preserve">      avalon_mm_rmap_o.readdata(31 downto 24) &lt;= rmap_registers_wr_i.aeb_crit_cfg_reserved_f8.reserved(31 downto 24);</t>
  </si>
  <si>
    <t xml:space="preserve">  when (16#06C#) =&gt;</t>
  </si>
  <si>
    <t xml:space="preserve">      -- AEB Critical Configuration Area Register "RESERVED_FC" : "RESERVED" Field</t>
  </si>
  <si>
    <t xml:space="preserve">      avalon_mm_rmap_o.readdata(7 downto 0) &lt;= rmap_registers_wr_i.aeb_crit_cfg_reserved_fc.reserved(7 downto 0);</t>
  </si>
  <si>
    <t xml:space="preserve">      avalon_mm_rmap_o.readdata(15 downto 8) &lt;= rmap_registers_wr_i.aeb_crit_cfg_reserved_fc.reserved(15 downto 8);</t>
  </si>
  <si>
    <t xml:space="preserve">      avalon_mm_rmap_o.readdata(23 downto 16) &lt;= rmap_registers_wr_i.aeb_crit_cfg_reserved_fc.reserved(23 downto 16);</t>
  </si>
  <si>
    <t xml:space="preserve">      avalon_mm_rmap_o.readdata(31 downto 24) &lt;= rmap_registers_wr_i.aeb_crit_cfg_reserved_fc.reserved(31 downto 24);</t>
  </si>
  <si>
    <t xml:space="preserve">  when (16#06D#) =&gt;</t>
  </si>
  <si>
    <t xml:space="preserve">      -- AEB General Configuration Area Register "ADC1_CONFIG_1" : "RESERVED_0" Field</t>
  </si>
  <si>
    <t xml:space="preserve">      avalon_mm_rmap_o.readdata(0) &lt;= rmap_registers_wr_i.aeb_gen_cfg_adc1_config_1.reserved_0;</t>
  </si>
  <si>
    <t xml:space="preserve">  when (16#06E#) =&gt;</t>
  </si>
  <si>
    <t xml:space="preserve">      -- AEB General Configuration Area Register "ADC1_CONFIG_1" : "SPIRST" Field</t>
  </si>
  <si>
    <t xml:space="preserve">      avalon_mm_rmap_o.readdata(0) &lt;= rmap_registers_wr_i.aeb_gen_cfg_adc1_config_1.spirst;</t>
  </si>
  <si>
    <t xml:space="preserve">  when (16#06F#) =&gt;</t>
  </si>
  <si>
    <t xml:space="preserve">      -- AEB General Configuration Area Register "ADC1_CONFIG_1" : "MUXMOD" Field</t>
  </si>
  <si>
    <t xml:space="preserve">      avalon_mm_rmap_o.readdata(0) &lt;= rmap_registers_wr_i.aeb_gen_cfg_adc1_config_1.muxmod;</t>
  </si>
  <si>
    <t xml:space="preserve">  when (16#070#) =&gt;</t>
  </si>
  <si>
    <t xml:space="preserve">      -- AEB General Configuration Area Register "ADC1_CONFIG_1" : "BYPAS" Field</t>
  </si>
  <si>
    <t xml:space="preserve">      avalon_mm_rmap_o.readdata(0) &lt;= rmap_registers_wr_i.aeb_gen_cfg_adc1_config_1.bypas;</t>
  </si>
  <si>
    <t xml:space="preserve">  when (16#071#) =&gt;</t>
  </si>
  <si>
    <t xml:space="preserve">      -- AEB General Configuration Area Register "ADC1_CONFIG_1" : "CLKENB" Field</t>
  </si>
  <si>
    <t xml:space="preserve">      avalon_mm_rmap_o.readdata(0) &lt;= rmap_registers_wr_i.aeb_gen_cfg_adc1_config_1.clkenb;</t>
  </si>
  <si>
    <t xml:space="preserve">  when (16#072#) =&gt;</t>
  </si>
  <si>
    <t xml:space="preserve">      -- AEB General Configuration Area Register "ADC1_CONFIG_1" : "CHOP" Field</t>
  </si>
  <si>
    <t xml:space="preserve">      avalon_mm_rmap_o.readdata(0) &lt;= rmap_registers_wr_i.aeb_gen_cfg_adc1_config_1.chop;</t>
  </si>
  <si>
    <t xml:space="preserve">  when (16#073#) =&gt;</t>
  </si>
  <si>
    <t xml:space="preserve">      -- AEB General Configuration Area Register "ADC1_CONFIG_1" : "STAT" Field</t>
  </si>
  <si>
    <t xml:space="preserve">      avalon_mm_rmap_o.readdata(0) &lt;= rmap_registers_wr_i.aeb_gen_cfg_adc1_config_1.stat;</t>
  </si>
  <si>
    <t xml:space="preserve">  when (16#074#) =&gt;</t>
  </si>
  <si>
    <t xml:space="preserve">      -- AEB General Configuration Area Register "ADC1_CONFIG_1" : "RESERVED_1" Field</t>
  </si>
  <si>
    <t xml:space="preserve">      avalon_mm_rmap_o.readdata(0) &lt;= rmap_registers_wr_i.aeb_gen_cfg_adc1_config_1.reserved_1;</t>
  </si>
  <si>
    <t xml:space="preserve">  when (16#075#) =&gt;</t>
  </si>
  <si>
    <t xml:space="preserve">      -- AEB General Configuration Area Register "ADC1_CONFIG_1" : "IDLMOD" Field</t>
  </si>
  <si>
    <t xml:space="preserve">      avalon_mm_rmap_o.readdata(0) &lt;= rmap_registers_wr_i.aeb_gen_cfg_adc1_config_1.idlmod;</t>
  </si>
  <si>
    <t xml:space="preserve">  when (16#076#) =&gt;</t>
  </si>
  <si>
    <t xml:space="preserve">      -- AEB General Configuration Area Register "ADC1_CONFIG_1" : "DLY" Field</t>
  </si>
  <si>
    <t xml:space="preserve">      avalon_mm_rmap_o.readdata(2 downto 0) &lt;= rmap_registers_wr_i.aeb_gen_cfg_adc1_config_1.dly;</t>
  </si>
  <si>
    <t xml:space="preserve">      -- AEB General Configuration Area Register "ADC1_CONFIG_1" : "SBCS" Field</t>
  </si>
  <si>
    <t xml:space="preserve">      avalon_mm_rmap_o.readdata(9 downto 8) &lt;= rmap_registers_wr_i.aeb_gen_cfg_adc1_config_1.sbcs;</t>
  </si>
  <si>
    <t xml:space="preserve">      -- AEB General Configuration Area Register "ADC1_CONFIG_1" : "DRATE" Field</t>
  </si>
  <si>
    <t xml:space="preserve">      avalon_mm_rmap_o.readdata(17 downto 16) &lt;= rmap_registers_wr_i.aeb_gen_cfg_adc1_config_1.drate;</t>
  </si>
  <si>
    <t xml:space="preserve">      -- AEB General Configuration Area Register "ADC1_CONFIG_1" : "AINP" Field</t>
  </si>
  <si>
    <t xml:space="preserve">      avalon_mm_rmap_o.readdata(27 downto 24) &lt;= rmap_registers_wr_i.aeb_gen_cfg_adc1_config_1.ainp;</t>
  </si>
  <si>
    <t xml:space="preserve">  when (16#077#) =&gt;</t>
  </si>
  <si>
    <t xml:space="preserve">      -- AEB General Configuration Area Register "ADC1_CONFIG_1" : "AINN" Field</t>
  </si>
  <si>
    <t xml:space="preserve">      avalon_mm_rmap_o.readdata(3 downto 0) &lt;= rmap_registers_wr_i.aeb_gen_cfg_adc1_config_1.ainn;</t>
  </si>
  <si>
    <t xml:space="preserve">      -- AEB General Configuration Area Register "ADC1_CONFIG_1" : "DIFF" Field</t>
  </si>
  <si>
    <t xml:space="preserve">      avalon_mm_rmap_o.readdata(15 downto 8) &lt;= rmap_registers_wr_i.aeb_gen_cfg_adc1_config_1.diff;</t>
  </si>
  <si>
    <t xml:space="preserve">  when (16#078#) =&gt;</t>
  </si>
  <si>
    <t xml:space="preserve">      -- AEB General Configuration Area Register "ADC1_CONFIG_2" : "AIN7" Field</t>
  </si>
  <si>
    <t xml:space="preserve">      avalon_mm_rmap_o.readdata(0) &lt;= rmap_registers_wr_i.aeb_gen_cfg_adc1_config_2.ain7;</t>
  </si>
  <si>
    <t xml:space="preserve">  when (16#079#) =&gt;</t>
  </si>
  <si>
    <t xml:space="preserve">      -- AEB General Configuration Area Register "ADC1_CONFIG_2" : "AIN6" Field</t>
  </si>
  <si>
    <t xml:space="preserve">      avalon_mm_rmap_o.readdata(0) &lt;= rmap_registers_wr_i.aeb_gen_cfg_adc1_config_2.ain6;</t>
  </si>
  <si>
    <t xml:space="preserve">  when (16#07A#) =&gt;</t>
  </si>
  <si>
    <t xml:space="preserve">      -- AEB General Configuration Area Register "ADC1_CONFIG_2" : "AIN5" Field</t>
  </si>
  <si>
    <t xml:space="preserve">      avalon_mm_rmap_o.readdata(0) &lt;= rmap_registers_wr_i.aeb_gen_cfg_adc1_config_2.ain5;</t>
  </si>
  <si>
    <t xml:space="preserve">  when (16#07B#) =&gt;</t>
  </si>
  <si>
    <t xml:space="preserve">      -- AEB General Configuration Area Register "ADC1_CONFIG_2" : "AIN4" Field</t>
  </si>
  <si>
    <t xml:space="preserve">      avalon_mm_rmap_o.readdata(0) &lt;= rmap_registers_wr_i.aeb_gen_cfg_adc1_config_2.ain4;</t>
  </si>
  <si>
    <t xml:space="preserve">  when (16#07C#) =&gt;</t>
  </si>
  <si>
    <t xml:space="preserve">      -- AEB General Configuration Area Register "ADC1_CONFIG_2" : "AIN3" Field</t>
  </si>
  <si>
    <t xml:space="preserve">      avalon_mm_rmap_o.readdata(0) &lt;= rmap_registers_wr_i.aeb_gen_cfg_adc1_config_2.ain3;</t>
  </si>
  <si>
    <t xml:space="preserve">  when (16#07D#) =&gt;</t>
  </si>
  <si>
    <t xml:space="preserve">      -- AEB General Configuration Area Register "ADC1_CONFIG_2" : "AIN2" Field</t>
  </si>
  <si>
    <t xml:space="preserve">      avalon_mm_rmap_o.readdata(0) &lt;= rmap_registers_wr_i.aeb_gen_cfg_adc1_config_2.ain2;</t>
  </si>
  <si>
    <t xml:space="preserve">  when (16#07E#) =&gt;</t>
  </si>
  <si>
    <t xml:space="preserve">      -- AEB General Configuration Area Register "ADC1_CONFIG_2" : "AIN1" Field</t>
  </si>
  <si>
    <t xml:space="preserve">      avalon_mm_rmap_o.readdata(0) &lt;= rmap_registers_wr_i.aeb_gen_cfg_adc1_config_2.ain1;</t>
  </si>
  <si>
    <t xml:space="preserve">  when (16#07F#) =&gt;</t>
  </si>
  <si>
    <t xml:space="preserve">      -- AEB General Configuration Area Register "ADC1_CONFIG_2" : "AIN0" Field</t>
  </si>
  <si>
    <t xml:space="preserve">      avalon_mm_rmap_o.readdata(0) &lt;= rmap_registers_wr_i.aeb_gen_cfg_adc1_config_2.ain0;</t>
  </si>
  <si>
    <t xml:space="preserve">  when (16#080#) =&gt;</t>
  </si>
  <si>
    <t xml:space="preserve">      -- AEB General Configuration Area Register "ADC1_CONFIG_2" : "AIN15" Field</t>
  </si>
  <si>
    <t xml:space="preserve">      avalon_mm_rmap_o.readdata(0) &lt;= rmap_registers_wr_i.aeb_gen_cfg_adc1_config_2.ain15;</t>
  </si>
  <si>
    <t xml:space="preserve">  when (16#081#) =&gt;</t>
  </si>
  <si>
    <t xml:space="preserve">      -- AEB General Configuration Area Register "ADC1_CONFIG_2" : "AIN14" Field</t>
  </si>
  <si>
    <t xml:space="preserve">      avalon_mm_rmap_o.readdata(0) &lt;= rmap_registers_wr_i.aeb_gen_cfg_adc1_config_2.ain14;</t>
  </si>
  <si>
    <t xml:space="preserve">  when (16#082#) =&gt;</t>
  </si>
  <si>
    <t xml:space="preserve">      -- AEB General Configuration Area Register "ADC1_CONFIG_2" : "AIN13" Field</t>
  </si>
  <si>
    <t xml:space="preserve">      avalon_mm_rmap_o.readdata(0) &lt;= rmap_registers_wr_i.aeb_gen_cfg_adc1_config_2.ain13;</t>
  </si>
  <si>
    <t xml:space="preserve">  when (16#083#) =&gt;</t>
  </si>
  <si>
    <t xml:space="preserve">      -- AEB General Configuration Area Register "ADC1_CONFIG_2" : "AIN12" Field</t>
  </si>
  <si>
    <t xml:space="preserve">      avalon_mm_rmap_o.readdata(0) &lt;= rmap_registers_wr_i.aeb_gen_cfg_adc1_config_2.ain12;</t>
  </si>
  <si>
    <t xml:space="preserve">  when (16#084#) =&gt;</t>
  </si>
  <si>
    <t xml:space="preserve">      -- AEB General Configuration Area Register "ADC1_CONFIG_2" : "AIN11" Field</t>
  </si>
  <si>
    <t xml:space="preserve">      avalon_mm_rmap_o.readdata(0) &lt;= rmap_registers_wr_i.aeb_gen_cfg_adc1_config_2.ain11;</t>
  </si>
  <si>
    <t xml:space="preserve">  when (16#085#) =&gt;</t>
  </si>
  <si>
    <t xml:space="preserve">      -- AEB General Configuration Area Register "ADC1_CONFIG_2" : "AIN10" Field</t>
  </si>
  <si>
    <t xml:space="preserve">      avalon_mm_rmap_o.readdata(0) &lt;= rmap_registers_wr_i.aeb_gen_cfg_adc1_config_2.ain10;</t>
  </si>
  <si>
    <t xml:space="preserve">  when (16#086#) =&gt;</t>
  </si>
  <si>
    <t xml:space="preserve">      -- AEB General Configuration Area Register "ADC1_CONFIG_2" : "AIN9" Field</t>
  </si>
  <si>
    <t xml:space="preserve">      avalon_mm_rmap_o.readdata(0) &lt;= rmap_registers_wr_i.aeb_gen_cfg_adc1_config_2.ain9;</t>
  </si>
  <si>
    <t xml:space="preserve">  when (16#087#) =&gt;</t>
  </si>
  <si>
    <t xml:space="preserve">      -- AEB General Configuration Area Register "ADC1_CONFIG_2" : "AIN8" Field</t>
  </si>
  <si>
    <t xml:space="preserve">      avalon_mm_rmap_o.readdata(0) &lt;= rmap_registers_wr_i.aeb_gen_cfg_adc1_config_2.ain8;</t>
  </si>
  <si>
    <t xml:space="preserve">  when (16#088#) =&gt;</t>
  </si>
  <si>
    <t xml:space="preserve">      -- AEB General Configuration Area Register "ADC1_CONFIG_2" : "RESERVED_0" Field</t>
  </si>
  <si>
    <t xml:space="preserve">      avalon_mm_rmap_o.readdata(1 downto 0) &lt;= rmap_registers_wr_i.aeb_gen_cfg_adc1_config_2.reserved_0;</t>
  </si>
  <si>
    <t xml:space="preserve">  when (16#089#) =&gt;</t>
  </si>
  <si>
    <t xml:space="preserve">      -- AEB General Configuration Area Register "ADC1_CONFIG_2" : "REF" Field</t>
  </si>
  <si>
    <t xml:space="preserve">      avalon_mm_rmap_o.readdata(0) &lt;= rmap_registers_wr_i.aeb_gen_cfg_adc1_config_2.ref;</t>
  </si>
  <si>
    <t xml:space="preserve">  when (16#08A#) =&gt;</t>
  </si>
  <si>
    <t xml:space="preserve">      -- AEB General Configuration Area Register "ADC1_CONFIG_2" : "GAIN" Field</t>
  </si>
  <si>
    <t xml:space="preserve">      avalon_mm_rmap_o.readdata(0) &lt;= rmap_registers_wr_i.aeb_gen_cfg_adc1_config_2.gain;</t>
  </si>
  <si>
    <t xml:space="preserve">  when (16#08B#) =&gt;</t>
  </si>
  <si>
    <t xml:space="preserve">      -- AEB General Configuration Area Register "ADC1_CONFIG_2" : "TEMP" Field</t>
  </si>
  <si>
    <t xml:space="preserve">      avalon_mm_rmap_o.readdata(0) &lt;= rmap_registers_wr_i.aeb_gen_cfg_adc1_config_2.temp;</t>
  </si>
  <si>
    <t xml:space="preserve">  when (16#08C#) =&gt;</t>
  </si>
  <si>
    <t xml:space="preserve">      -- AEB General Configuration Area Register "ADC1_CONFIG_2" : "VCC" Field</t>
  </si>
  <si>
    <t xml:space="preserve">      avalon_mm_rmap_o.readdata(0) &lt;= rmap_registers_wr_i.aeb_gen_cfg_adc1_config_2.vcc;</t>
  </si>
  <si>
    <t xml:space="preserve">  when (16#08D#) =&gt;</t>
  </si>
  <si>
    <t xml:space="preserve">      -- AEB General Configuration Area Register "ADC1_CONFIG_2" : "RESERVED_1" Field</t>
  </si>
  <si>
    <t xml:space="preserve">      avalon_mm_rmap_o.readdata(0) &lt;= rmap_registers_wr_i.aeb_gen_cfg_adc1_config_2.reserved_1;</t>
  </si>
  <si>
    <t xml:space="preserve">  when (16#08E#) =&gt;</t>
  </si>
  <si>
    <t xml:space="preserve">      -- AEB General Configuration Area Register "ADC1_CONFIG_2" : "OFFSET" Field</t>
  </si>
  <si>
    <t xml:space="preserve">      avalon_mm_rmap_o.readdata(0) &lt;= rmap_registers_wr_i.aeb_gen_cfg_adc1_config_2.offset;</t>
  </si>
  <si>
    <t xml:space="preserve">  when (16#08F#) =&gt;</t>
  </si>
  <si>
    <t xml:space="preserve">      -- AEB General Configuration Area Register "ADC1_CONFIG_2" : "CIO7" Field</t>
  </si>
  <si>
    <t xml:space="preserve">      avalon_mm_rmap_o.readdata(0) &lt;= rmap_registers_wr_i.aeb_gen_cfg_adc1_config_2.cio7;</t>
  </si>
  <si>
    <t xml:space="preserve">  when (16#090#) =&gt;</t>
  </si>
  <si>
    <t xml:space="preserve">      -- AEB General Configuration Area Register "ADC1_CONFIG_2" : "CIO6" Field</t>
  </si>
  <si>
    <t xml:space="preserve">      avalon_mm_rmap_o.readdata(0) &lt;= rmap_registers_wr_i.aeb_gen_cfg_adc1_config_2.cio6;</t>
  </si>
  <si>
    <t xml:space="preserve">  when (16#091#) =&gt;</t>
  </si>
  <si>
    <t xml:space="preserve">      -- AEB General Configuration Area Register "ADC1_CONFIG_2" : "CIO5" Field</t>
  </si>
  <si>
    <t xml:space="preserve">      avalon_mm_rmap_o.readdata(0) &lt;= rmap_registers_wr_i.aeb_gen_cfg_adc1_config_2.cio5;</t>
  </si>
  <si>
    <t xml:space="preserve">  when (16#092#) =&gt;</t>
  </si>
  <si>
    <t xml:space="preserve">      -- AEB General Configuration Area Register "ADC1_CONFIG_2" : "CIO4" Field</t>
  </si>
  <si>
    <t xml:space="preserve">      avalon_mm_rmap_o.readdata(0) &lt;= rmap_registers_wr_i.aeb_gen_cfg_adc1_config_2.cio4;</t>
  </si>
  <si>
    <t xml:space="preserve">  when (16#093#) =&gt;</t>
  </si>
  <si>
    <t xml:space="preserve">      -- AEB General Configuration Area Register "ADC1_CONFIG_2" : "CIO3" Field</t>
  </si>
  <si>
    <t xml:space="preserve">      avalon_mm_rmap_o.readdata(0) &lt;= rmap_registers_wr_i.aeb_gen_cfg_adc1_config_2.cio3;</t>
  </si>
  <si>
    <t xml:space="preserve">  when (16#094#) =&gt;</t>
  </si>
  <si>
    <t xml:space="preserve">      -- AEB General Configuration Area Register "ADC1_CONFIG_2" : "CIO2" Field</t>
  </si>
  <si>
    <t xml:space="preserve">      avalon_mm_rmap_o.readdata(0) &lt;= rmap_registers_wr_i.aeb_gen_cfg_adc1_config_2.cio2;</t>
  </si>
  <si>
    <t xml:space="preserve">  when (16#095#) =&gt;</t>
  </si>
  <si>
    <t xml:space="preserve">      -- AEB General Configuration Area Register "ADC1_CONFIG_2" : "CIO1" Field</t>
  </si>
  <si>
    <t xml:space="preserve">      avalon_mm_rmap_o.readdata(0) &lt;= rmap_registers_wr_i.aeb_gen_cfg_adc1_config_2.cio1;</t>
  </si>
  <si>
    <t xml:space="preserve">  when (16#096#) =&gt;</t>
  </si>
  <si>
    <t xml:space="preserve">      -- AEB General Configuration Area Register "ADC1_CONFIG_2" : "CIO0" Field</t>
  </si>
  <si>
    <t xml:space="preserve">      avalon_mm_rmap_o.readdata(0) &lt;= rmap_registers_wr_i.aeb_gen_cfg_adc1_config_2.cio0;</t>
  </si>
  <si>
    <t xml:space="preserve">  when (16#097#) =&gt;</t>
  </si>
  <si>
    <t xml:space="preserve">      -- AEB General Configuration Area Register "ADC1_CONFIG_3" : "DIO7" Field</t>
  </si>
  <si>
    <t xml:space="preserve">      avalon_mm_rmap_o.readdata(0) &lt;= rmap_registers_wr_i.aeb_gen_cfg_adc1_config_3.dio7;</t>
  </si>
  <si>
    <t xml:space="preserve">  when (16#098#) =&gt;</t>
  </si>
  <si>
    <t xml:space="preserve">      -- AEB General Configuration Area Register "ADC1_CONFIG_3" : "DIO6" Field</t>
  </si>
  <si>
    <t xml:space="preserve">      avalon_mm_rmap_o.readdata(0) &lt;= rmap_registers_wr_i.aeb_gen_cfg_adc1_config_3.dio6;</t>
  </si>
  <si>
    <t xml:space="preserve">  when (16#099#) =&gt;</t>
  </si>
  <si>
    <t xml:space="preserve">      -- AEB General Configuration Area Register "ADC1_CONFIG_3" : "DIO5" Field</t>
  </si>
  <si>
    <t xml:space="preserve">      avalon_mm_rmap_o.readdata(0) &lt;= rmap_registers_wr_i.aeb_gen_cfg_adc1_config_3.dio5;</t>
  </si>
  <si>
    <t xml:space="preserve">  when (16#09A#) =&gt;</t>
  </si>
  <si>
    <t xml:space="preserve">      -- AEB General Configuration Area Register "ADC1_CONFIG_3" : "DIO4" Field</t>
  </si>
  <si>
    <t xml:space="preserve">      avalon_mm_rmap_o.readdata(0) &lt;= rmap_registers_wr_i.aeb_gen_cfg_adc1_config_3.dio4;</t>
  </si>
  <si>
    <t xml:space="preserve">  when (16#09B#) =&gt;</t>
  </si>
  <si>
    <t xml:space="preserve">      -- AEB General Configuration Area Register "ADC1_CONFIG_3" : "DIO3" Field</t>
  </si>
  <si>
    <t xml:space="preserve">      avalon_mm_rmap_o.readdata(0) &lt;= rmap_registers_wr_i.aeb_gen_cfg_adc1_config_3.dio3;</t>
  </si>
  <si>
    <t xml:space="preserve">  when (16#09C#) =&gt;</t>
  </si>
  <si>
    <t xml:space="preserve">      -- AEB General Configuration Area Register "ADC1_CONFIG_3" : "DIO2" Field</t>
  </si>
  <si>
    <t xml:space="preserve">      avalon_mm_rmap_o.readdata(0) &lt;= rmap_registers_wr_i.aeb_gen_cfg_adc1_config_3.dio2;</t>
  </si>
  <si>
    <t xml:space="preserve">  when (16#09D#) =&gt;</t>
  </si>
  <si>
    <t xml:space="preserve">      -- AEB General Configuration Area Register "ADC1_CONFIG_3" : "DIO1" Field</t>
  </si>
  <si>
    <t xml:space="preserve">      avalon_mm_rmap_o.readdata(0) &lt;= rmap_registers_wr_i.aeb_gen_cfg_adc1_config_3.dio1;</t>
  </si>
  <si>
    <t xml:space="preserve">  when (16#09E#) =&gt;</t>
  </si>
  <si>
    <t xml:space="preserve">      -- AEB General Configuration Area Register "ADC1_CONFIG_3" : "DIO0" Field</t>
  </si>
  <si>
    <t xml:space="preserve">      avalon_mm_rmap_o.readdata(0) &lt;= rmap_registers_wr_i.aeb_gen_cfg_adc1_config_3.dio0;</t>
  </si>
  <si>
    <t xml:space="preserve">  when (16#09F#) =&gt;</t>
  </si>
  <si>
    <t xml:space="preserve">      -- AEB General Configuration Area Register "ADC1_CONFIG_3" : "RESERVED" Field</t>
  </si>
  <si>
    <t xml:space="preserve">      avalon_mm_rmap_o.readdata(7 downto 0) &lt;= rmap_registers_wr_i.aeb_gen_cfg_adc1_config_3.reserved(7 downto 0);</t>
  </si>
  <si>
    <t xml:space="preserve">      avalon_mm_rmap_o.readdata(15 downto 8) &lt;= rmap_registers_wr_i.aeb_gen_cfg_adc1_config_3.reserved(15 downto 8);</t>
  </si>
  <si>
    <t xml:space="preserve">      avalon_mm_rmap_o.readdata(23 downto 16) &lt;= rmap_registers_wr_i.aeb_gen_cfg_adc1_config_3.reserved(23 downto 16);</t>
  </si>
  <si>
    <t xml:space="preserve">  when (16#0A0#) =&gt;</t>
  </si>
  <si>
    <t xml:space="preserve">      -- AEB General Configuration Area Register "ADC2_CONFIG_1" : "RESERVED_0" Field</t>
  </si>
  <si>
    <t xml:space="preserve">      avalon_mm_rmap_o.readdata(0) &lt;= rmap_registers_wr_i.aeb_gen_cfg_adc2_config_1.reserved_0;</t>
  </si>
  <si>
    <t xml:space="preserve">  when (16#0A1#) =&gt;</t>
  </si>
  <si>
    <t xml:space="preserve">      -- AEB General Configuration Area Register "ADC2_CONFIG_1" : "SPIRST" Field</t>
  </si>
  <si>
    <t xml:space="preserve">      avalon_mm_rmap_o.readdata(0) &lt;= rmap_registers_wr_i.aeb_gen_cfg_adc2_config_1.spirst;</t>
  </si>
  <si>
    <t xml:space="preserve">  when (16#0A2#) =&gt;</t>
  </si>
  <si>
    <t xml:space="preserve">      -- AEB General Configuration Area Register "ADC2_CONFIG_1" : "MUXMOD" Field</t>
  </si>
  <si>
    <t xml:space="preserve">      avalon_mm_rmap_o.readdata(0) &lt;= rmap_registers_wr_i.aeb_gen_cfg_adc2_config_1.muxmod;</t>
  </si>
  <si>
    <t xml:space="preserve">  when (16#0A3#) =&gt;</t>
  </si>
  <si>
    <t xml:space="preserve">      -- AEB General Configuration Area Register "ADC2_CONFIG_1" : "BYPAS" Field</t>
  </si>
  <si>
    <t xml:space="preserve">      avalon_mm_rmap_o.readdata(0) &lt;= rmap_registers_wr_i.aeb_gen_cfg_adc2_config_1.bypas;</t>
  </si>
  <si>
    <t xml:space="preserve">  when (16#0A4#) =&gt;</t>
  </si>
  <si>
    <t xml:space="preserve">      -- AEB General Configuration Area Register "ADC2_CONFIG_1" : "CLKENB" Field</t>
  </si>
  <si>
    <t xml:space="preserve">      avalon_mm_rmap_o.readdata(0) &lt;= rmap_registers_wr_i.aeb_gen_cfg_adc2_config_1.clkenb;</t>
  </si>
  <si>
    <t xml:space="preserve">  when (16#0A5#) =&gt;</t>
  </si>
  <si>
    <t xml:space="preserve">      -- AEB General Configuration Area Register "ADC2_CONFIG_1" : "CHOP" Field</t>
  </si>
  <si>
    <t xml:space="preserve">      avalon_mm_rmap_o.readdata(0) &lt;= rmap_registers_wr_i.aeb_gen_cfg_adc2_config_1.chop;</t>
  </si>
  <si>
    <t xml:space="preserve">  when (16#0A6#) =&gt;</t>
  </si>
  <si>
    <t xml:space="preserve">      -- AEB General Configuration Area Register "ADC2_CONFIG_1" : "STAT" Field</t>
  </si>
  <si>
    <t xml:space="preserve">      avalon_mm_rmap_o.readdata(0) &lt;= rmap_registers_wr_i.aeb_gen_cfg_adc2_config_1.stat;</t>
  </si>
  <si>
    <t xml:space="preserve">  when (16#0A7#) =&gt;</t>
  </si>
  <si>
    <t xml:space="preserve">      -- AEB General Configuration Area Register "ADC2_CONFIG_1" : "RESERVED_1" Field</t>
  </si>
  <si>
    <t xml:space="preserve">      avalon_mm_rmap_o.readdata(0) &lt;= rmap_registers_wr_i.aeb_gen_cfg_adc2_config_1.reserved_1;</t>
  </si>
  <si>
    <t xml:space="preserve">  when (16#0A8#) =&gt;</t>
  </si>
  <si>
    <t xml:space="preserve">      -- AEB General Configuration Area Register "ADC2_CONFIG_1" : "IDLMOD" Field</t>
  </si>
  <si>
    <t xml:space="preserve">      avalon_mm_rmap_o.readdata(0) &lt;= rmap_registers_wr_i.aeb_gen_cfg_adc2_config_1.idlmod;</t>
  </si>
  <si>
    <t xml:space="preserve">  when (16#0A9#) =&gt;</t>
  </si>
  <si>
    <t xml:space="preserve">      -- AEB General Configuration Area Register "ADC2_CONFIG_1" : "DLY" Field</t>
  </si>
  <si>
    <t xml:space="preserve">      avalon_mm_rmap_o.readdata(2 downto 0) &lt;= rmap_registers_wr_i.aeb_gen_cfg_adc2_config_1.dly;</t>
  </si>
  <si>
    <t xml:space="preserve">      -- AEB General Configuration Area Register "ADC2_CONFIG_1" : "SBCS" Field</t>
  </si>
  <si>
    <t xml:space="preserve">      avalon_mm_rmap_o.readdata(9 downto 8) &lt;= rmap_registers_wr_i.aeb_gen_cfg_adc2_config_1.sbcs;</t>
  </si>
  <si>
    <t xml:space="preserve">      -- AEB General Configuration Area Register "ADC2_CONFIG_1" : "DRATE" Field</t>
  </si>
  <si>
    <t xml:space="preserve">      avalon_mm_rmap_o.readdata(17 downto 16) &lt;= rmap_registers_wr_i.aeb_gen_cfg_adc2_config_1.drate;</t>
  </si>
  <si>
    <t xml:space="preserve">      -- AEB General Configuration Area Register "ADC2_CONFIG_1" : "AINP" Field</t>
  </si>
  <si>
    <t xml:space="preserve">      avalon_mm_rmap_o.readdata(27 downto 24) &lt;= rmap_registers_wr_i.aeb_gen_cfg_adc2_config_1.ainp;</t>
  </si>
  <si>
    <t xml:space="preserve">  when (16#0AA#) =&gt;</t>
  </si>
  <si>
    <t xml:space="preserve">      -- AEB General Configuration Area Register "ADC2_CONFIG_1" : "AINN" Field</t>
  </si>
  <si>
    <t xml:space="preserve">      avalon_mm_rmap_o.readdata(3 downto 0) &lt;= rmap_registers_wr_i.aeb_gen_cfg_adc2_config_1.ainn;</t>
  </si>
  <si>
    <t xml:space="preserve">      -- AEB General Configuration Area Register "ADC2_CONFIG_1" : "DIFF" Field</t>
  </si>
  <si>
    <t xml:space="preserve">      avalon_mm_rmap_o.readdata(15 downto 8) &lt;= rmap_registers_wr_i.aeb_gen_cfg_adc2_config_1.diff;</t>
  </si>
  <si>
    <t xml:space="preserve">  when (16#0AB#) =&gt;</t>
  </si>
  <si>
    <t xml:space="preserve">      -- AEB General Configuration Area Register "ADC2_CONFIG_2" : "AIN7" Field</t>
  </si>
  <si>
    <t xml:space="preserve">      avalon_mm_rmap_o.readdata(0) &lt;= rmap_registers_wr_i.aeb_gen_cfg_adc2_config_2.ain7;</t>
  </si>
  <si>
    <t xml:space="preserve">  when (16#0AC#) =&gt;</t>
  </si>
  <si>
    <t xml:space="preserve">      -- AEB General Configuration Area Register "ADC2_CONFIG_2" : "AIN6" Field</t>
  </si>
  <si>
    <t xml:space="preserve">      avalon_mm_rmap_o.readdata(0) &lt;= rmap_registers_wr_i.aeb_gen_cfg_adc2_config_2.ain6;</t>
  </si>
  <si>
    <t xml:space="preserve">  when (16#0AD#) =&gt;</t>
  </si>
  <si>
    <t xml:space="preserve">      -- AEB General Configuration Area Register "ADC2_CONFIG_2" : "AIN5" Field</t>
  </si>
  <si>
    <t xml:space="preserve">      avalon_mm_rmap_o.readdata(0) &lt;= rmap_registers_wr_i.aeb_gen_cfg_adc2_config_2.ain5;</t>
  </si>
  <si>
    <t xml:space="preserve">  when (16#0AE#) =&gt;</t>
  </si>
  <si>
    <t xml:space="preserve">      -- AEB General Configuration Area Register "ADC2_CONFIG_2" : "AIN4" Field</t>
  </si>
  <si>
    <t xml:space="preserve">      avalon_mm_rmap_o.readdata(0) &lt;= rmap_registers_wr_i.aeb_gen_cfg_adc2_config_2.ain4;</t>
  </si>
  <si>
    <t xml:space="preserve">  when (16#0AF#) =&gt;</t>
  </si>
  <si>
    <t xml:space="preserve">      -- AEB General Configuration Area Register "ADC2_CONFIG_2" : "AIN3" Field</t>
  </si>
  <si>
    <t xml:space="preserve">      avalon_mm_rmap_o.readdata(0) &lt;= rmap_registers_wr_i.aeb_gen_cfg_adc2_config_2.ain3;</t>
  </si>
  <si>
    <t xml:space="preserve">  when (16#0B0#) =&gt;</t>
  </si>
  <si>
    <t xml:space="preserve">      -- AEB General Configuration Area Register "ADC2_CONFIG_2" : "AIN2" Field</t>
  </si>
  <si>
    <t xml:space="preserve">      avalon_mm_rmap_o.readdata(0) &lt;= rmap_registers_wr_i.aeb_gen_cfg_adc2_config_2.ain2;</t>
  </si>
  <si>
    <t xml:space="preserve">  when (16#0B1#) =&gt;</t>
  </si>
  <si>
    <t xml:space="preserve">      -- AEB General Configuration Area Register "ADC2_CONFIG_2" : "AIN1" Field</t>
  </si>
  <si>
    <t xml:space="preserve">      avalon_mm_rmap_o.readdata(0) &lt;= rmap_registers_wr_i.aeb_gen_cfg_adc2_config_2.ain1;</t>
  </si>
  <si>
    <t xml:space="preserve">  when (16#0B2#) =&gt;</t>
  </si>
  <si>
    <t xml:space="preserve">      -- AEB General Configuration Area Register "ADC2_CONFIG_2" : "AIN0" Field</t>
  </si>
  <si>
    <t xml:space="preserve">      avalon_mm_rmap_o.readdata(0) &lt;= rmap_registers_wr_i.aeb_gen_cfg_adc2_config_2.ain0;</t>
  </si>
  <si>
    <t xml:space="preserve">  when (16#0B3#) =&gt;</t>
  </si>
  <si>
    <t xml:space="preserve">      -- AEB General Configuration Area Register "ADC2_CONFIG_2" : "AIN15" Field</t>
  </si>
  <si>
    <t xml:space="preserve">      avalon_mm_rmap_o.readdata(0) &lt;= rmap_registers_wr_i.aeb_gen_cfg_adc2_config_2.ain15;</t>
  </si>
  <si>
    <t xml:space="preserve">  when (16#0B4#) =&gt;</t>
  </si>
  <si>
    <t xml:space="preserve">      -- AEB General Configuration Area Register "ADC2_CONFIG_2" : "AIN14" Field</t>
  </si>
  <si>
    <t xml:space="preserve">      avalon_mm_rmap_o.readdata(0) &lt;= rmap_registers_wr_i.aeb_gen_cfg_adc2_config_2.ain14;</t>
  </si>
  <si>
    <t xml:space="preserve">  when (16#0B5#) =&gt;</t>
  </si>
  <si>
    <t xml:space="preserve">      -- AEB General Configuration Area Register "ADC2_CONFIG_2" : "AIN13" Field</t>
  </si>
  <si>
    <t xml:space="preserve">      avalon_mm_rmap_o.readdata(0) &lt;= rmap_registers_wr_i.aeb_gen_cfg_adc2_config_2.ain13;</t>
  </si>
  <si>
    <t xml:space="preserve">  when (16#0B6#) =&gt;</t>
  </si>
  <si>
    <t xml:space="preserve">      -- AEB General Configuration Area Register "ADC2_CONFIG_2" : "AIN12" Field</t>
  </si>
  <si>
    <t xml:space="preserve">      avalon_mm_rmap_o.readdata(0) &lt;= rmap_registers_wr_i.aeb_gen_cfg_adc2_config_2.ain12;</t>
  </si>
  <si>
    <t xml:space="preserve">  when (16#0B7#) =&gt;</t>
  </si>
  <si>
    <t xml:space="preserve">      -- AEB General Configuration Area Register "ADC2_CONFIG_2" : "AIN11" Field</t>
  </si>
  <si>
    <t xml:space="preserve">      avalon_mm_rmap_o.readdata(0) &lt;= rmap_registers_wr_i.aeb_gen_cfg_adc2_config_2.ain11;</t>
  </si>
  <si>
    <t xml:space="preserve">  when (16#0B8#) =&gt;</t>
  </si>
  <si>
    <t xml:space="preserve">      -- AEB General Configuration Area Register "ADC2_CONFIG_2" : "AIN10" Field</t>
  </si>
  <si>
    <t xml:space="preserve">      avalon_mm_rmap_o.readdata(0) &lt;= rmap_registers_wr_i.aeb_gen_cfg_adc2_config_2.ain10;</t>
  </si>
  <si>
    <t xml:space="preserve">  when (16#0B9#) =&gt;</t>
  </si>
  <si>
    <t xml:space="preserve">      -- AEB General Configuration Area Register "ADC2_CONFIG_2" : "AIN9" Field</t>
  </si>
  <si>
    <t xml:space="preserve">      avalon_mm_rmap_o.readdata(0) &lt;= rmap_registers_wr_i.aeb_gen_cfg_adc2_config_2.ain9;</t>
  </si>
  <si>
    <t xml:space="preserve">  when (16#0BA#) =&gt;</t>
  </si>
  <si>
    <t xml:space="preserve">      -- AEB General Configuration Area Register "ADC2_CONFIG_2" : "AIN8" Field</t>
  </si>
  <si>
    <t xml:space="preserve">      avalon_mm_rmap_o.readdata(0) &lt;= rmap_registers_wr_i.aeb_gen_cfg_adc2_config_2.ain8;</t>
  </si>
  <si>
    <t xml:space="preserve">  when (16#0BB#) =&gt;</t>
  </si>
  <si>
    <t xml:space="preserve">      -- AEB General Configuration Area Register "ADC2_CONFIG_2" : "RESERVED_0" Field</t>
  </si>
  <si>
    <t xml:space="preserve">      avalon_mm_rmap_o.readdata(1 downto 0) &lt;= rmap_registers_wr_i.aeb_gen_cfg_adc2_config_2.reserved_0;</t>
  </si>
  <si>
    <t xml:space="preserve">  when (16#0BC#) =&gt;</t>
  </si>
  <si>
    <t xml:space="preserve">      -- AEB General Configuration Area Register "ADC2_CONFIG_2" : "REF" Field</t>
  </si>
  <si>
    <t xml:space="preserve">      avalon_mm_rmap_o.readdata(0) &lt;= rmap_registers_wr_i.aeb_gen_cfg_adc2_config_2.ref;</t>
  </si>
  <si>
    <t xml:space="preserve">  when (16#0BD#) =&gt;</t>
  </si>
  <si>
    <t xml:space="preserve">      -- AEB General Configuration Area Register "ADC2_CONFIG_2" : "GAIN" Field</t>
  </si>
  <si>
    <t xml:space="preserve">      avalon_mm_rmap_o.readdata(0) &lt;= rmap_registers_wr_i.aeb_gen_cfg_adc2_config_2.gain;</t>
  </si>
  <si>
    <t xml:space="preserve">  when (16#0BE#) =&gt;</t>
  </si>
  <si>
    <t xml:space="preserve">      -- AEB General Configuration Area Register "ADC2_CONFIG_2" : "TEMP" Field</t>
  </si>
  <si>
    <t xml:space="preserve">      avalon_mm_rmap_o.readdata(0) &lt;= rmap_registers_wr_i.aeb_gen_cfg_adc2_config_2.temp;</t>
  </si>
  <si>
    <t xml:space="preserve">  when (16#0BF#) =&gt;</t>
  </si>
  <si>
    <t xml:space="preserve">      -- AEB General Configuration Area Register "ADC2_CONFIG_2" : "VCC" Field</t>
  </si>
  <si>
    <t xml:space="preserve">      avalon_mm_rmap_o.readdata(0) &lt;= rmap_registers_wr_i.aeb_gen_cfg_adc2_config_2.vcc;</t>
  </si>
  <si>
    <t xml:space="preserve">  when (16#0C0#) =&gt;</t>
  </si>
  <si>
    <t xml:space="preserve">      -- AEB General Configuration Area Register "ADC2_CONFIG_2" : "RESERVED_1" Field</t>
  </si>
  <si>
    <t xml:space="preserve">      avalon_mm_rmap_o.readdata(0) &lt;= rmap_registers_wr_i.aeb_gen_cfg_adc2_config_2.reserved_1;</t>
  </si>
  <si>
    <t xml:space="preserve">  when (16#0C1#) =&gt;</t>
  </si>
  <si>
    <t xml:space="preserve">      -- AEB General Configuration Area Register "ADC2_CONFIG_2" : "OFFSET" Field</t>
  </si>
  <si>
    <t xml:space="preserve">      avalon_mm_rmap_o.readdata(0) &lt;= rmap_registers_wr_i.aeb_gen_cfg_adc2_config_2.offset;</t>
  </si>
  <si>
    <t xml:space="preserve">  when (16#0C2#) =&gt;</t>
  </si>
  <si>
    <t xml:space="preserve">      -- AEB General Configuration Area Register "ADC2_CONFIG_2" : "CIO7" Field</t>
  </si>
  <si>
    <t xml:space="preserve">      avalon_mm_rmap_o.readdata(0) &lt;= rmap_registers_wr_i.aeb_gen_cfg_adc2_config_2.cio7;</t>
  </si>
  <si>
    <t xml:space="preserve">  when (16#0C3#) =&gt;</t>
  </si>
  <si>
    <t xml:space="preserve">      -- AEB General Configuration Area Register "ADC2_CONFIG_2" : "CIO6" Field</t>
  </si>
  <si>
    <t xml:space="preserve">      avalon_mm_rmap_o.readdata(0) &lt;= rmap_registers_wr_i.aeb_gen_cfg_adc2_config_2.cio6;</t>
  </si>
  <si>
    <t xml:space="preserve">  when (16#0C4#) =&gt;</t>
  </si>
  <si>
    <t xml:space="preserve">      -- AEB General Configuration Area Register "ADC2_CONFIG_2" : "CIO5" Field</t>
  </si>
  <si>
    <t xml:space="preserve">      avalon_mm_rmap_o.readdata(0) &lt;= rmap_registers_wr_i.aeb_gen_cfg_adc2_config_2.cio5;</t>
  </si>
  <si>
    <t xml:space="preserve">  when (16#0C5#) =&gt;</t>
  </si>
  <si>
    <t xml:space="preserve">      -- AEB General Configuration Area Register "ADC2_CONFIG_2" : "CIO4" Field</t>
  </si>
  <si>
    <t xml:space="preserve">      avalon_mm_rmap_o.readdata(0) &lt;= rmap_registers_wr_i.aeb_gen_cfg_adc2_config_2.cio4;</t>
  </si>
  <si>
    <t xml:space="preserve">  when (16#0C6#) =&gt;</t>
  </si>
  <si>
    <t xml:space="preserve">      -- AEB General Configuration Area Register "ADC2_CONFIG_2" : "CIO3" Field</t>
  </si>
  <si>
    <t xml:space="preserve">      avalon_mm_rmap_o.readdata(0) &lt;= rmap_registers_wr_i.aeb_gen_cfg_adc2_config_2.cio3;</t>
  </si>
  <si>
    <t xml:space="preserve">  when (16#0C7#) =&gt;</t>
  </si>
  <si>
    <t xml:space="preserve">      -- AEB General Configuration Area Register "ADC2_CONFIG_2" : "CIO2" Field</t>
  </si>
  <si>
    <t xml:space="preserve">      avalon_mm_rmap_o.readdata(0) &lt;= rmap_registers_wr_i.aeb_gen_cfg_adc2_config_2.cio2;</t>
  </si>
  <si>
    <t xml:space="preserve">  when (16#0C8#) =&gt;</t>
  </si>
  <si>
    <t xml:space="preserve">      -- AEB General Configuration Area Register "ADC2_CONFIG_2" : "CIO1" Field</t>
  </si>
  <si>
    <t xml:space="preserve">      avalon_mm_rmap_o.readdata(0) &lt;= rmap_registers_wr_i.aeb_gen_cfg_adc2_config_2.cio1;</t>
  </si>
  <si>
    <t xml:space="preserve">  when (16#0C9#) =&gt;</t>
  </si>
  <si>
    <t xml:space="preserve">      -- AEB General Configuration Area Register "ADC2_CONFIG_2" : "CIO0" Field</t>
  </si>
  <si>
    <t xml:space="preserve">      avalon_mm_rmap_o.readdata(0) &lt;= rmap_registers_wr_i.aeb_gen_cfg_adc2_config_2.cio0;</t>
  </si>
  <si>
    <t xml:space="preserve">  when (16#0CA#) =&gt;</t>
  </si>
  <si>
    <t xml:space="preserve">      -- AEB General Configuration Area Register "ADC2_CONFIG_3" : "DIO7" Field</t>
  </si>
  <si>
    <t xml:space="preserve">      avalon_mm_rmap_o.readdata(0) &lt;= rmap_registers_wr_i.aeb_gen_cfg_adc2_config_3.dio7;</t>
  </si>
  <si>
    <t xml:space="preserve">  when (16#0CB#) =&gt;</t>
  </si>
  <si>
    <t xml:space="preserve">      -- AEB General Configuration Area Register "ADC2_CONFIG_3" : "DIO6" Field</t>
  </si>
  <si>
    <t xml:space="preserve">      avalon_mm_rmap_o.readdata(0) &lt;= rmap_registers_wr_i.aeb_gen_cfg_adc2_config_3.dio6;</t>
  </si>
  <si>
    <t xml:space="preserve">  when (16#0CC#) =&gt;</t>
  </si>
  <si>
    <t xml:space="preserve">      -- AEB General Configuration Area Register "ADC2_CONFIG_3" : "DIO5" Field</t>
  </si>
  <si>
    <t xml:space="preserve">      avalon_mm_rmap_o.readdata(0) &lt;= rmap_registers_wr_i.aeb_gen_cfg_adc2_config_3.dio5;</t>
  </si>
  <si>
    <t xml:space="preserve">  when (16#0CD#) =&gt;</t>
  </si>
  <si>
    <t xml:space="preserve">      -- AEB General Configuration Area Register "ADC2_CONFIG_3" : "DIO4" Field</t>
  </si>
  <si>
    <t xml:space="preserve">      avalon_mm_rmap_o.readdata(0) &lt;= rmap_registers_wr_i.aeb_gen_cfg_adc2_config_3.dio4;</t>
  </si>
  <si>
    <t xml:space="preserve">  when (16#0CE#) =&gt;</t>
  </si>
  <si>
    <t xml:space="preserve">      -- AEB General Configuration Area Register "ADC2_CONFIG_3" : "DIO3" Field</t>
  </si>
  <si>
    <t xml:space="preserve">      avalon_mm_rmap_o.readdata(0) &lt;= rmap_registers_wr_i.aeb_gen_cfg_adc2_config_3.dio3;</t>
  </si>
  <si>
    <t xml:space="preserve">  when (16#0CF#) =&gt;</t>
  </si>
  <si>
    <t xml:space="preserve">      -- AEB General Configuration Area Register "ADC2_CONFIG_3" : "DIO2" Field</t>
  </si>
  <si>
    <t xml:space="preserve">      avalon_mm_rmap_o.readdata(0) &lt;= rmap_registers_wr_i.aeb_gen_cfg_adc2_config_3.dio2;</t>
  </si>
  <si>
    <t xml:space="preserve">  when (16#0D0#) =&gt;</t>
  </si>
  <si>
    <t xml:space="preserve">      -- AEB General Configuration Area Register "ADC2_CONFIG_3" : "DIO1" Field</t>
  </si>
  <si>
    <t xml:space="preserve">      avalon_mm_rmap_o.readdata(0) &lt;= rmap_registers_wr_i.aeb_gen_cfg_adc2_config_3.dio1;</t>
  </si>
  <si>
    <t xml:space="preserve">  when (16#0D1#) =&gt;</t>
  </si>
  <si>
    <t xml:space="preserve">      -- AEB General Configuration Area Register "ADC2_CONFIG_3" : "DIO0" Field</t>
  </si>
  <si>
    <t xml:space="preserve">      avalon_mm_rmap_o.readdata(0) &lt;= rmap_registers_wr_i.aeb_gen_cfg_adc2_config_3.dio0;</t>
  </si>
  <si>
    <t xml:space="preserve">  when (16#0D2#) =&gt;</t>
  </si>
  <si>
    <t xml:space="preserve">      -- AEB General Configuration Area Register "ADC2_CONFIG_3" : "RESERVED" Field</t>
  </si>
  <si>
    <t xml:space="preserve">      avalon_mm_rmap_o.readdata(7 downto 0) &lt;= rmap_registers_wr_i.aeb_gen_cfg_adc2_config_3.reserved(7 downto 0);</t>
  </si>
  <si>
    <t xml:space="preserve">      avalon_mm_rmap_o.readdata(15 downto 8) &lt;= rmap_registers_wr_i.aeb_gen_cfg_adc2_config_3.reserved(15 downto 8);</t>
  </si>
  <si>
    <t xml:space="preserve">      avalon_mm_rmap_o.readdata(23 downto 16) &lt;= rmap_registers_wr_i.aeb_gen_cfg_adc2_config_3.reserved(23 downto 16);</t>
  </si>
  <si>
    <t xml:space="preserve">  when (16#0D3#) =&gt;</t>
  </si>
  <si>
    <t xml:space="preserve">      -- AEB General Configuration Area Register "RESERVED_118" : "RESERVED" Field</t>
  </si>
  <si>
    <t xml:space="preserve">      avalon_mm_rmap_o.readdata(7 downto 0) &lt;= rmap_registers_wr_i.aeb_gen_cfg_reserved_118.reserved(7 downto 0);</t>
  </si>
  <si>
    <t xml:space="preserve">      avalon_mm_rmap_o.readdata(15 downto 8) &lt;= rmap_registers_wr_i.aeb_gen_cfg_reserved_118.reserved(15 downto 8);</t>
  </si>
  <si>
    <t xml:space="preserve">      avalon_mm_rmap_o.readdata(23 downto 16) &lt;= rmap_registers_wr_i.aeb_gen_cfg_reserved_118.reserved(23 downto 16);</t>
  </si>
  <si>
    <t xml:space="preserve">      avalon_mm_rmap_o.readdata(31 downto 24) &lt;= rmap_registers_wr_i.aeb_gen_cfg_reserved_118.reserved(31 downto 24);</t>
  </si>
  <si>
    <t xml:space="preserve">  when (16#0D4#) =&gt;</t>
  </si>
  <si>
    <t xml:space="preserve">      -- AEB General Configuration Area Register "RESERVED_11C" : "RESERVED" Field</t>
  </si>
  <si>
    <t xml:space="preserve">      avalon_mm_rmap_o.readdata(7 downto 0) &lt;= rmap_registers_wr_i.aeb_gen_cfg_reserved_11c.reserved(7 downto 0);</t>
  </si>
  <si>
    <t xml:space="preserve">      avalon_mm_rmap_o.readdata(15 downto 8) &lt;= rmap_registers_wr_i.aeb_gen_cfg_reserved_11c.reserved(15 downto 8);</t>
  </si>
  <si>
    <t xml:space="preserve">      avalon_mm_rmap_o.readdata(23 downto 16) &lt;= rmap_registers_wr_i.aeb_gen_cfg_reserved_11c.reserved(23 downto 16);</t>
  </si>
  <si>
    <t xml:space="preserve">      avalon_mm_rmap_o.readdata(31 downto 24) &lt;= rmap_registers_wr_i.aeb_gen_cfg_reserved_11c.reserved(31 downto 24);</t>
  </si>
  <si>
    <t xml:space="preserve">  when (16#0D5#) =&gt;</t>
  </si>
  <si>
    <t xml:space="preserve">      -- AEB General Configuration Area Register "SEQ_CONFIG_1" : "RESERVED_0" Field</t>
  </si>
  <si>
    <t xml:space="preserve">      avalon_mm_rmap_o.readdata(1 downto 0) &lt;= rmap_registers_wr_i.aeb_gen_cfg_seq_config_1.reserved_0;</t>
  </si>
  <si>
    <t xml:space="preserve">  when (16#0D6#) =&gt;</t>
  </si>
  <si>
    <t xml:space="preserve">      -- AEB General Configuration Area Register "SEQ_CONFIG_1" : "SEQ_OE_CCD_ENABLE" Field</t>
  </si>
  <si>
    <t xml:space="preserve">      avalon_mm_rmap_o.readdata(0) &lt;= rmap_registers_wr_i.aeb_gen_cfg_seq_config_1.seq_oe_ccd_enable;</t>
  </si>
  <si>
    <t xml:space="preserve">  when (16#0D7#) =&gt;</t>
  </si>
  <si>
    <t xml:space="preserve">      -- AEB General Configuration Area Register "SEQ_CONFIG_1" : "SEQ_OE_SPARE" Field</t>
  </si>
  <si>
    <t xml:space="preserve">      avalon_mm_rmap_o.readdata(0) &lt;= rmap_registers_wr_i.aeb_gen_cfg_seq_config_1.seq_oe_spare;</t>
  </si>
  <si>
    <t xml:space="preserve">  when (16#0D8#) =&gt;</t>
  </si>
  <si>
    <t xml:space="preserve">      -- AEB General Configuration Area Register "SEQ_CONFIG_1" : "SEQ_OE_TSTLINE" Field</t>
  </si>
  <si>
    <t xml:space="preserve">      avalon_mm_rmap_o.readdata(0) &lt;= rmap_registers_wr_i.aeb_gen_cfg_seq_config_1.seq_oe_tstline;</t>
  </si>
  <si>
    <t xml:space="preserve">  when (16#0D9#) =&gt;</t>
  </si>
  <si>
    <t xml:space="preserve">      -- AEB General Configuration Area Register "SEQ_CONFIG_1" : "SEQ_OE_TSTFRM" Field</t>
  </si>
  <si>
    <t xml:space="preserve">      avalon_mm_rmap_o.readdata(0) &lt;= rmap_registers_wr_i.aeb_gen_cfg_seq_config_1.seq_oe_tstfrm;</t>
  </si>
  <si>
    <t xml:space="preserve">  when (16#0DA#) =&gt;</t>
  </si>
  <si>
    <t xml:space="preserve">      -- AEB General Configuration Area Register "SEQ_CONFIG_1" : "SEQ_OE_VASPCLAMP" Field</t>
  </si>
  <si>
    <t xml:space="preserve">      avalon_mm_rmap_o.readdata(0) &lt;= rmap_registers_wr_i.aeb_gen_cfg_seq_config_1.seq_oe_vaspclamp;</t>
  </si>
  <si>
    <t xml:space="preserve">  when (16#0DB#) =&gt;</t>
  </si>
  <si>
    <t xml:space="preserve">      -- AEB General Configuration Area Register "SEQ_CONFIG_1" : "SEQ_OE_PRECLAMP" Field</t>
  </si>
  <si>
    <t xml:space="preserve">      avalon_mm_rmap_o.readdata(0) &lt;= rmap_registers_wr_i.aeb_gen_cfg_seq_config_1.seq_oe_preclamp;</t>
  </si>
  <si>
    <t xml:space="preserve">  when (16#0DC#) =&gt;</t>
  </si>
  <si>
    <t xml:space="preserve">      -- AEB General Configuration Area Register "SEQ_CONFIG_1" : "SEQ_OE_IG" Field</t>
  </si>
  <si>
    <t xml:space="preserve">      avalon_mm_rmap_o.readdata(0) &lt;= rmap_registers_wr_i.aeb_gen_cfg_seq_config_1.seq_oe_ig;</t>
  </si>
  <si>
    <t xml:space="preserve">  when (16#0DD#) =&gt;</t>
  </si>
  <si>
    <t xml:space="preserve">      -- AEB General Configuration Area Register "SEQ_CONFIG_1" : "SEQ_OE_TG" Field</t>
  </si>
  <si>
    <t xml:space="preserve">      avalon_mm_rmap_o.readdata(0) &lt;= rmap_registers_wr_i.aeb_gen_cfg_seq_config_1.seq_oe_tg;</t>
  </si>
  <si>
    <t xml:space="preserve">  when (16#0DE#) =&gt;</t>
  </si>
  <si>
    <t xml:space="preserve">      -- AEB General Configuration Area Register "SEQ_CONFIG_1" : "SEQ_OE_DG" Field</t>
  </si>
  <si>
    <t xml:space="preserve">      avalon_mm_rmap_o.readdata(0) &lt;= rmap_registers_wr_i.aeb_gen_cfg_seq_config_1.seq_oe_dg;</t>
  </si>
  <si>
    <t xml:space="preserve">  when (16#0DF#) =&gt;</t>
  </si>
  <si>
    <t xml:space="preserve">      -- AEB General Configuration Area Register "SEQ_CONFIG_1" : "SEQ_OE_RPHIR" Field</t>
  </si>
  <si>
    <t xml:space="preserve">      avalon_mm_rmap_o.readdata(0) &lt;= rmap_registers_wr_i.aeb_gen_cfg_seq_config_1.seq_oe_rphir;</t>
  </si>
  <si>
    <t xml:space="preserve">  when (16#0E0#) =&gt;</t>
  </si>
  <si>
    <t xml:space="preserve">      -- AEB General Configuration Area Register "SEQ_CONFIG_1" : "SEQ_OE_SW" Field</t>
  </si>
  <si>
    <t xml:space="preserve">      avalon_mm_rmap_o.readdata(0) &lt;= rmap_registers_wr_i.aeb_gen_cfg_seq_config_1.seq_oe_sw;</t>
  </si>
  <si>
    <t xml:space="preserve">  when (16#0E1#) =&gt;</t>
  </si>
  <si>
    <t xml:space="preserve">      -- AEB General Configuration Area Register "SEQ_CONFIG_1" : "SEQ_OE_RPHI3" Field</t>
  </si>
  <si>
    <t xml:space="preserve">      avalon_mm_rmap_o.readdata(0) &lt;= rmap_registers_wr_i.aeb_gen_cfg_seq_config_1.seq_oe_rphi3;</t>
  </si>
  <si>
    <t xml:space="preserve">  when (16#0E2#) =&gt;</t>
  </si>
  <si>
    <t xml:space="preserve">      -- AEB General Configuration Area Register "SEQ_CONFIG_1" : "SEQ_OE_RPHI2" Field</t>
  </si>
  <si>
    <t xml:space="preserve">      avalon_mm_rmap_o.readdata(0) &lt;= rmap_registers_wr_i.aeb_gen_cfg_seq_config_1.seq_oe_rphi2;</t>
  </si>
  <si>
    <t xml:space="preserve">  when (16#0E3#) =&gt;</t>
  </si>
  <si>
    <t xml:space="preserve">      -- AEB General Configuration Area Register "SEQ_CONFIG_1" : "SEQ_OE_RPHI1" Field</t>
  </si>
  <si>
    <t xml:space="preserve">      avalon_mm_rmap_o.readdata(0) &lt;= rmap_registers_wr_i.aeb_gen_cfg_seq_config_1.seq_oe_rphi1;</t>
  </si>
  <si>
    <t xml:space="preserve">  when (16#0E4#) =&gt;</t>
  </si>
  <si>
    <t xml:space="preserve">      -- AEB General Configuration Area Register "SEQ_CONFIG_1" : "SEQ_OE_SPHI4" Field</t>
  </si>
  <si>
    <t xml:space="preserve">      avalon_mm_rmap_o.readdata(0) &lt;= rmap_registers_wr_i.aeb_gen_cfg_seq_config_1.seq_oe_sphi4;</t>
  </si>
  <si>
    <t xml:space="preserve">  when (16#0E5#) =&gt;</t>
  </si>
  <si>
    <t xml:space="preserve">      -- AEB General Configuration Area Register "SEQ_CONFIG_1" : "SEQ_OE_SPHI3" Field</t>
  </si>
  <si>
    <t xml:space="preserve">      avalon_mm_rmap_o.readdata(0) &lt;= rmap_registers_wr_i.aeb_gen_cfg_seq_config_1.seq_oe_sphi3;</t>
  </si>
  <si>
    <t xml:space="preserve">  when (16#0E6#) =&gt;</t>
  </si>
  <si>
    <t xml:space="preserve">      -- AEB General Configuration Area Register "SEQ_CONFIG_1" : "SEQ_OE_SPHI2" Field</t>
  </si>
  <si>
    <t xml:space="preserve">      avalon_mm_rmap_o.readdata(0) &lt;= rmap_registers_wr_i.aeb_gen_cfg_seq_config_1.seq_oe_sphi2;</t>
  </si>
  <si>
    <t xml:space="preserve">  when (16#0E7#) =&gt;</t>
  </si>
  <si>
    <t xml:space="preserve">      -- AEB General Configuration Area Register "SEQ_CONFIG_1" : "SEQ_OE_SPHI1" Field</t>
  </si>
  <si>
    <t xml:space="preserve">      avalon_mm_rmap_o.readdata(0) &lt;= rmap_registers_wr_i.aeb_gen_cfg_seq_config_1.seq_oe_sphi1;</t>
  </si>
  <si>
    <t xml:space="preserve">  when (16#0E8#) =&gt;</t>
  </si>
  <si>
    <t xml:space="preserve">      -- AEB General Configuration Area Register "SEQ_CONFIG_1" : "SEQ_OE_IPHI4" Field</t>
  </si>
  <si>
    <t xml:space="preserve">      avalon_mm_rmap_o.readdata(0) &lt;= rmap_registers_wr_i.aeb_gen_cfg_seq_config_1.seq_oe_iphi4;</t>
  </si>
  <si>
    <t xml:space="preserve">  when (16#0E9#) =&gt;</t>
  </si>
  <si>
    <t xml:space="preserve">      -- AEB General Configuration Area Register "SEQ_CONFIG_1" : "SEQ_OE_IPHI3" Field</t>
  </si>
  <si>
    <t xml:space="preserve">      avalon_mm_rmap_o.readdata(0) &lt;= rmap_registers_wr_i.aeb_gen_cfg_seq_config_1.seq_oe_iphi3;</t>
  </si>
  <si>
    <t xml:space="preserve">  when (16#0EA#) =&gt;</t>
  </si>
  <si>
    <t xml:space="preserve">      -- AEB General Configuration Area Register "SEQ_CONFIG_1" : "SEQ_OE_IPHI2" Field</t>
  </si>
  <si>
    <t xml:space="preserve">      avalon_mm_rmap_o.readdata(0) &lt;= rmap_registers_wr_i.aeb_gen_cfg_seq_config_1.seq_oe_iphi2;</t>
  </si>
  <si>
    <t xml:space="preserve">  when (16#0EB#) =&gt;</t>
  </si>
  <si>
    <t xml:space="preserve">      -- AEB General Configuration Area Register "SEQ_CONFIG_1" : "SEQ_OE_IPHI1" Field</t>
  </si>
  <si>
    <t xml:space="preserve">      avalon_mm_rmap_o.readdata(0) &lt;= rmap_registers_wr_i.aeb_gen_cfg_seq_config_1.seq_oe_iphi1;</t>
  </si>
  <si>
    <t xml:space="preserve">  when (16#0EC#) =&gt;</t>
  </si>
  <si>
    <t xml:space="preserve">      -- AEB General Configuration Area Register "SEQ_CONFIG_1" : "RESERVED_1" Field</t>
  </si>
  <si>
    <t xml:space="preserve">      avalon_mm_rmap_o.readdata(0) &lt;= rmap_registers_wr_i.aeb_gen_cfg_seq_config_1.reserved_1;</t>
  </si>
  <si>
    <t xml:space="preserve">  when (16#0ED#) =&gt;</t>
  </si>
  <si>
    <t xml:space="preserve">      -- AEB General Configuration Area Register "SEQ_CONFIG_1" : "ADC_CLK_DIV" Field</t>
  </si>
  <si>
    <t xml:space="preserve">      avalon_mm_rmap_o.readdata(6 downto 0) &lt;= rmap_registers_wr_i.aeb_gen_cfg_seq_config_1.adc_clk_div;</t>
  </si>
  <si>
    <t xml:space="preserve">      -- AEB General Configuration Area Register "SEQ_CONFIG_2" : "ADC_CLK_LOW_POS" Field</t>
  </si>
  <si>
    <t xml:space="preserve">      avalon_mm_rmap_o.readdata(15 downto 8) &lt;= rmap_registers_wr_i.aeb_gen_cfg_seq_config_2.adc_clk_low_pos;</t>
  </si>
  <si>
    <t xml:space="preserve">      -- AEB General Configuration Area Register "SEQ_CONFIG_2" : "ADC_CLK_HIGH_POS" Field</t>
  </si>
  <si>
    <t xml:space="preserve">      avalon_mm_rmap_o.readdata(23 downto 16) &lt;= rmap_registers_wr_i.aeb_gen_cfg_seq_config_2.adc_clk_high_pos;</t>
  </si>
  <si>
    <t xml:space="preserve">      -- AEB General Configuration Area Register "SEQ_CONFIG_2" : "CDS_CLK_LOW_POS" Field</t>
  </si>
  <si>
    <t xml:space="preserve">      avalon_mm_rmap_o.readdata(31 downto 24) &lt;= rmap_registers_wr_i.aeb_gen_cfg_seq_config_2.cds_clk_low_pos;</t>
  </si>
  <si>
    <t xml:space="preserve">  when (16#0EE#) =&gt;</t>
  </si>
  <si>
    <t xml:space="preserve">      -- AEB General Configuration Area Register "SEQ_CONFIG_2" : "CDS_CLK_HIGH_POS" Field</t>
  </si>
  <si>
    <t xml:space="preserve">      avalon_mm_rmap_o.readdata(7 downto 0) &lt;= rmap_registers_wr_i.aeb_gen_cfg_seq_config_2.cds_clk_high_pos;</t>
  </si>
  <si>
    <t xml:space="preserve">      -- AEB General Configuration Area Register "SEQ_CONFIG_3" : "RPHIR_CLK_LOW_POS" Field</t>
  </si>
  <si>
    <t xml:space="preserve">      avalon_mm_rmap_o.readdata(15 downto 8) &lt;= rmap_registers_wr_i.aeb_gen_cfg_seq_config_3.rphir_clk_low_pos;</t>
  </si>
  <si>
    <t xml:space="preserve">      -- AEB General Configuration Area Register "SEQ_CONFIG_3" : "RPHIR_CLK_HIGH_POS" Field</t>
  </si>
  <si>
    <t xml:space="preserve">      avalon_mm_rmap_o.readdata(23 downto 16) &lt;= rmap_registers_wr_i.aeb_gen_cfg_seq_config_3.rphir_clk_high_pos;</t>
  </si>
  <si>
    <t xml:space="preserve">      -- AEB General Configuration Area Register "SEQ_CONFIG_3" : "RPHI1_CLK_LOW_POS" Field</t>
  </si>
  <si>
    <t xml:space="preserve">      avalon_mm_rmap_o.readdata(31 downto 24) &lt;= rmap_registers_wr_i.aeb_gen_cfg_seq_config_3.rphi1_clk_low_pos;</t>
  </si>
  <si>
    <t xml:space="preserve">  when (16#0EF#) =&gt;</t>
  </si>
  <si>
    <t xml:space="preserve">      -- AEB General Configuration Area Register "SEQ_CONFIG_3" : "RPHI1_CLK_HIGH_POS" Field</t>
  </si>
  <si>
    <t xml:space="preserve">      avalon_mm_rmap_o.readdata(7 downto 0) &lt;= rmap_registers_wr_i.aeb_gen_cfg_seq_config_3.rphi1_clk_high_pos;</t>
  </si>
  <si>
    <t xml:space="preserve">      -- AEB General Configuration Area Register "SEQ_CONFIG_4" : "RPHI2_CLK_LOW_POS" Field</t>
  </si>
  <si>
    <t xml:space="preserve">      avalon_mm_rmap_o.readdata(15 downto 8) &lt;= rmap_registers_wr_i.aeb_gen_cfg_seq_config_4.rphi2_clk_low_pos;</t>
  </si>
  <si>
    <t xml:space="preserve">      -- AEB General Configuration Area Register "SEQ_CONFIG_4" : "RPHI2_CLK_HIGH_POS" Field</t>
  </si>
  <si>
    <t xml:space="preserve">      avalon_mm_rmap_o.readdata(23 downto 16) &lt;= rmap_registers_wr_i.aeb_gen_cfg_seq_config_4.rphi2_clk_high_pos;</t>
  </si>
  <si>
    <t xml:space="preserve">      -- AEB General Configuration Area Register "SEQ_CONFIG_4" : "RPHI3_CLK_LOW_POS" Field</t>
  </si>
  <si>
    <t xml:space="preserve">      avalon_mm_rmap_o.readdata(31 downto 24) &lt;= rmap_registers_wr_i.aeb_gen_cfg_seq_config_4.rphi3_clk_low_pos;</t>
  </si>
  <si>
    <t xml:space="preserve">  when (16#0F0#) =&gt;</t>
  </si>
  <si>
    <t xml:space="preserve">      -- AEB General Configuration Area Register "SEQ_CONFIG_4" : "RPHI3_CLK_HIGH_POS" Field</t>
  </si>
  <si>
    <t xml:space="preserve">      avalon_mm_rmap_o.readdata(7 downto 0) &lt;= rmap_registers_wr_i.aeb_gen_cfg_seq_config_4.rphi3_clk_high_pos;</t>
  </si>
  <si>
    <t xml:space="preserve">      -- AEB General Configuration Area Register "SEQ_CONFIG_5" : "SW_CLK_LOW_POS" Field</t>
  </si>
  <si>
    <t xml:space="preserve">      avalon_mm_rmap_o.readdata(15 downto 8) &lt;= rmap_registers_wr_i.aeb_gen_cfg_seq_config_5.sw_clk_low_pos;</t>
  </si>
  <si>
    <t xml:space="preserve">      -- AEB General Configuration Area Register "SEQ_CONFIG_5" : "SW_CLK_HIGH_POS" Field</t>
  </si>
  <si>
    <t xml:space="preserve">      avalon_mm_rmap_o.readdata(23 downto 16) &lt;= rmap_registers_wr_i.aeb_gen_cfg_seq_config_5.sw_clk_high_pos;</t>
  </si>
  <si>
    <t xml:space="preserve">  when (16#0F1#) =&gt;</t>
  </si>
  <si>
    <t xml:space="preserve">      -- AEB General Configuration Area Register "SEQ_CONFIG_5" : "VASP_OUT_CTRL" Field</t>
  </si>
  <si>
    <t xml:space="preserve">      avalon_mm_rmap_o.readdata(0) &lt;= rmap_registers_wr_i.aeb_gen_cfg_seq_config_5.vasp_out_ctrl;</t>
  </si>
  <si>
    <t xml:space="preserve">  when (16#0F2#) =&gt;</t>
  </si>
  <si>
    <t xml:space="preserve">      -- AEB General Configuration Area Register "SEQ_CONFIG_5" : "RESERVED" Field</t>
  </si>
  <si>
    <t xml:space="preserve">      avalon_mm_rmap_o.readdata(0) &lt;= rmap_registers_wr_i.aeb_gen_cfg_seq_config_5.reserved;</t>
  </si>
  <si>
    <t xml:space="preserve">  when (16#0F3#) =&gt;</t>
  </si>
  <si>
    <t xml:space="preserve">      -- AEB General Configuration Area Register "SEQ_CONFIG_5" : "VASP_OUT_EN_POS" Field</t>
  </si>
  <si>
    <t xml:space="preserve">      avalon_mm_rmap_o.readdata(7 downto 0) &lt;= rmap_registers_wr_i.aeb_gen_cfg_seq_config_5.vasp_out_en_pos(7 downto 0);</t>
  </si>
  <si>
    <t xml:space="preserve">      avalon_mm_rmap_o.readdata(13 downto 8) &lt;= rmap_registers_wr_i.aeb_gen_cfg_seq_config_5.vasp_out_en_pos(13 downto 8);</t>
  </si>
  <si>
    <t xml:space="preserve">  when (16#0F4#) =&gt;</t>
  </si>
  <si>
    <t xml:space="preserve">      -- AEB General Configuration Area Register "SEQ_CONFIG_6" : "VASP_OUT_CTRL_INV" Field</t>
  </si>
  <si>
    <t xml:space="preserve">      avalon_mm_rmap_o.readdata(0) &lt;= rmap_registers_wr_i.aeb_gen_cfg_seq_config_6.vasp_out_ctrl_inv;</t>
  </si>
  <si>
    <t xml:space="preserve">  when (16#0F5#) =&gt;</t>
  </si>
  <si>
    <t xml:space="preserve">      -- AEB General Configuration Area Register "SEQ_CONFIG_6" : "RESERVED_0" Field</t>
  </si>
  <si>
    <t xml:space="preserve">      avalon_mm_rmap_o.readdata(0) &lt;= rmap_registers_wr_i.aeb_gen_cfg_seq_config_6.reserved_0;</t>
  </si>
  <si>
    <t xml:space="preserve">  when (16#0F6#) =&gt;</t>
  </si>
  <si>
    <t xml:space="preserve">      -- AEB General Configuration Area Register "SEQ_CONFIG_6" : "VASP_OUT_DIS_POS" Field</t>
  </si>
  <si>
    <t xml:space="preserve">      avalon_mm_rmap_o.readdata(7 downto 0) &lt;= rmap_registers_wr_i.aeb_gen_cfg_seq_config_6.vasp_out_dis_pos(7 downto 0);</t>
  </si>
  <si>
    <t xml:space="preserve">      avalon_mm_rmap_o.readdata(13 downto 8) &lt;= rmap_registers_wr_i.aeb_gen_cfg_seq_config_6.vasp_out_dis_pos(13 downto 8);</t>
  </si>
  <si>
    <t xml:space="preserve">      -- AEB General Configuration Area Register "SEQ_CONFIG_6" : "RESERVED_1" Field</t>
  </si>
  <si>
    <t xml:space="preserve">      avalon_mm_rmap_o.readdata(23 downto 16) &lt;= rmap_registers_wr_i.aeb_gen_cfg_seq_config_6.reserved_1(7 downto 0);</t>
  </si>
  <si>
    <t xml:space="preserve">      avalon_mm_rmap_o.readdata(31 downto 24) &lt;= rmap_registers_wr_i.aeb_gen_cfg_seq_config_6.reserved_1(15 downto 8);</t>
  </si>
  <si>
    <t xml:space="preserve">  when (16#0F7#) =&gt;</t>
  </si>
  <si>
    <t xml:space="preserve">      -- AEB General Configuration Area Register "SEQ_CONFIG_7" : "RESERVED" Field</t>
  </si>
  <si>
    <t xml:space="preserve">      avalon_mm_rmap_o.readdata(7 downto 0) &lt;= rmap_registers_wr_i.aeb_gen_cfg_seq_config_7.reserved(7 downto 0);</t>
  </si>
  <si>
    <t xml:space="preserve">      avalon_mm_rmap_o.readdata(15 downto 8) &lt;= rmap_registers_wr_i.aeb_gen_cfg_seq_config_7.reserved(15 downto 8);</t>
  </si>
  <si>
    <t xml:space="preserve">      avalon_mm_rmap_o.readdata(23 downto 16) &lt;= rmap_registers_wr_i.aeb_gen_cfg_seq_config_7.reserved(23 downto 16);</t>
  </si>
  <si>
    <t xml:space="preserve">      avalon_mm_rmap_o.readdata(31 downto 24) &lt;= rmap_registers_wr_i.aeb_gen_cfg_seq_config_7.reserved(31 downto 24);</t>
  </si>
  <si>
    <t xml:space="preserve">  when (16#0F8#) =&gt;</t>
  </si>
  <si>
    <t xml:space="preserve">      -- AEB General Configuration Area Register "SEQ_CONFIG_8" : "RESERVED" Field</t>
  </si>
  <si>
    <t xml:space="preserve">      avalon_mm_rmap_o.readdata(7 downto 0) &lt;= rmap_registers_wr_i.aeb_gen_cfg_seq_config_8.reserved(7 downto 0);</t>
  </si>
  <si>
    <t xml:space="preserve">      avalon_mm_rmap_o.readdata(15 downto 8) &lt;= rmap_registers_wr_i.aeb_gen_cfg_seq_config_8.reserved(15 downto 8);</t>
  </si>
  <si>
    <t xml:space="preserve">      avalon_mm_rmap_o.readdata(23 downto 16) &lt;= rmap_registers_wr_i.aeb_gen_cfg_seq_config_8.reserved(23 downto 16);</t>
  </si>
  <si>
    <t xml:space="preserve">      avalon_mm_rmap_o.readdata(31 downto 24) &lt;= rmap_registers_wr_i.aeb_gen_cfg_seq_config_8.reserved(31 downto 24);</t>
  </si>
  <si>
    <t xml:space="preserve">  when (16#0F9#) =&gt;</t>
  </si>
  <si>
    <t xml:space="preserve">      -- AEB General Configuration Area Register "SEQ_CONFIG_9" : "RESERVED_0" Field</t>
  </si>
  <si>
    <t xml:space="preserve">      avalon_mm_rmap_o.readdata(1 downto 0) &lt;= rmap_registers_wr_i.aeb_gen_cfg_seq_config_9.reserved_0;</t>
  </si>
  <si>
    <t xml:space="preserve">      -- AEB General Configuration Area Register "SEQ_CONFIG_9" : "FT_LOOP_CNT" Field</t>
  </si>
  <si>
    <t xml:space="preserve">      avalon_mm_rmap_o.readdata(23 downto 16) &lt;= rmap_registers_wr_i.aeb_gen_cfg_seq_config_9.ft_loop_cnt(7 downto 0);</t>
  </si>
  <si>
    <t xml:space="preserve">      avalon_mm_rmap_o.readdata(29 downto 24) &lt;= rmap_registers_wr_i.aeb_gen_cfg_seq_config_9.ft_loop_cnt(13 downto 8);</t>
  </si>
  <si>
    <t xml:space="preserve">  when (16#0FA#) =&gt;</t>
  </si>
  <si>
    <t xml:space="preserve">      -- AEB General Configuration Area Register "SEQ_CONFIG_9" : "LT0_ENABLED" Field</t>
  </si>
  <si>
    <t xml:space="preserve">      avalon_mm_rmap_o.readdata(0) &lt;= rmap_registers_wr_i.aeb_gen_cfg_seq_config_9.lt0_enabled;</t>
  </si>
  <si>
    <t xml:space="preserve">  when (16#0FB#) =&gt;</t>
  </si>
  <si>
    <t xml:space="preserve">      -- AEB General Configuration Area Register "SEQ_CONFIG_9" : "RESERVED_1" Field</t>
  </si>
  <si>
    <t xml:space="preserve">      avalon_mm_rmap_o.readdata(0) &lt;= rmap_registers_wr_i.aeb_gen_cfg_seq_config_9.reserved_1;</t>
  </si>
  <si>
    <t xml:space="preserve">  when (16#0FC#) =&gt;</t>
  </si>
  <si>
    <t xml:space="preserve">      -- AEB General Configuration Area Register "SEQ_CONFIG_9" : "LT0_LOOP_CNT" Field</t>
  </si>
  <si>
    <t xml:space="preserve">      avalon_mm_rmap_o.readdata(7 downto 0) &lt;= rmap_registers_wr_i.aeb_gen_cfg_seq_config_9.lt0_loop_cnt(7 downto 0);</t>
  </si>
  <si>
    <t xml:space="preserve">      avalon_mm_rmap_o.readdata(13 downto 8) &lt;= rmap_registers_wr_i.aeb_gen_cfg_seq_config_9.lt0_loop_cnt(13 downto 8);</t>
  </si>
  <si>
    <t xml:space="preserve">  when (16#0FD#) =&gt;</t>
  </si>
  <si>
    <t xml:space="preserve">      -- AEB General Configuration Area Register "SEQ_CONFIG_10" : "LT1_ENABLED" Field</t>
  </si>
  <si>
    <t xml:space="preserve">      avalon_mm_rmap_o.readdata(0) &lt;= rmap_registers_wr_i.aeb_gen_cfg_seq_config_10.lt1_enabled;</t>
  </si>
  <si>
    <t xml:space="preserve">  when (16#0FE#) =&gt;</t>
  </si>
  <si>
    <t xml:space="preserve">      -- AEB General Configuration Area Register "SEQ_CONFIG_10" : "RESERVED_0" Field</t>
  </si>
  <si>
    <t xml:space="preserve">      avalon_mm_rmap_o.readdata(0) &lt;= rmap_registers_wr_i.aeb_gen_cfg_seq_config_10.reserved_0;</t>
  </si>
  <si>
    <t xml:space="preserve">  when (16#0FF#) =&gt;</t>
  </si>
  <si>
    <t xml:space="preserve">      -- AEB General Configuration Area Register "SEQ_CONFIG_10" : "LT1_LOOP_CNT" Field</t>
  </si>
  <si>
    <t xml:space="preserve">      avalon_mm_rmap_o.readdata(7 downto 0) &lt;= rmap_registers_wr_i.aeb_gen_cfg_seq_config_10.lt1_loop_cnt(7 downto 0);</t>
  </si>
  <si>
    <t xml:space="preserve">      avalon_mm_rmap_o.readdata(13 downto 8) &lt;= rmap_registers_wr_i.aeb_gen_cfg_seq_config_10.lt1_loop_cnt(13 downto 8);</t>
  </si>
  <si>
    <t xml:space="preserve">  when (16#100#) =&gt;</t>
  </si>
  <si>
    <t xml:space="preserve">      -- AEB General Configuration Area Register "SEQ_CONFIG_10" : "LT2_ENABLED" Field</t>
  </si>
  <si>
    <t xml:space="preserve">      avalon_mm_rmap_o.readdata(0) &lt;= rmap_registers_wr_i.aeb_gen_cfg_seq_config_10.lt2_enabled;</t>
  </si>
  <si>
    <t xml:space="preserve">  when (16#101#) =&gt;</t>
  </si>
  <si>
    <t xml:space="preserve">      -- AEB General Configuration Area Register "SEQ_CONFIG_10" : "RESERVED_1" Field</t>
  </si>
  <si>
    <t xml:space="preserve">      avalon_mm_rmap_o.readdata(0) &lt;= rmap_registers_wr_i.aeb_gen_cfg_seq_config_10.reserved_1;</t>
  </si>
  <si>
    <t xml:space="preserve">  when (16#102#) =&gt;</t>
  </si>
  <si>
    <t xml:space="preserve">      -- AEB General Configuration Area Register "SEQ_CONFIG_10" : "LT2_LOOP_CNT" Field</t>
  </si>
  <si>
    <t xml:space="preserve">      avalon_mm_rmap_o.readdata(7 downto 0) &lt;= rmap_registers_wr_i.aeb_gen_cfg_seq_config_10.lt2_loop_cnt(7 downto 0);</t>
  </si>
  <si>
    <t xml:space="preserve">      avalon_mm_rmap_o.readdata(13 downto 8) &lt;= rmap_registers_wr_i.aeb_gen_cfg_seq_config_10.lt2_loop_cnt(13 downto 8);</t>
  </si>
  <si>
    <t xml:space="preserve">  when (16#103#) =&gt;</t>
  </si>
  <si>
    <t xml:space="preserve">      -- AEB General Configuration Area Register "SEQ_CONFIG_11" : "LT3_ENABLED" Field</t>
  </si>
  <si>
    <t xml:space="preserve">      avalon_mm_rmap_o.readdata(0) &lt;= rmap_registers_wr_i.aeb_gen_cfg_seq_config_11.lt3_enabled;</t>
  </si>
  <si>
    <t xml:space="preserve">  when (16#104#) =&gt;</t>
  </si>
  <si>
    <t xml:space="preserve">      -- AEB General Configuration Area Register "SEQ_CONFIG_11" : "RESERVED" Field</t>
  </si>
  <si>
    <t xml:space="preserve">      avalon_mm_rmap_o.readdata(0) &lt;= rmap_registers_wr_i.aeb_gen_cfg_seq_config_11.reserved;</t>
  </si>
  <si>
    <t xml:space="preserve">  when (16#105#) =&gt;</t>
  </si>
  <si>
    <t xml:space="preserve">      -- AEB General Configuration Area Register "SEQ_CONFIG_11" : "LT3_LOOP_CNT" Field</t>
  </si>
  <si>
    <t xml:space="preserve">      avalon_mm_rmap_o.readdata(7 downto 0) &lt;= rmap_registers_wr_i.aeb_gen_cfg_seq_config_11.lt3_loop_cnt(7 downto 0);</t>
  </si>
  <si>
    <t xml:space="preserve">      avalon_mm_rmap_o.readdata(13 downto 8) &lt;= rmap_registers_wr_i.aeb_gen_cfg_seq_config_11.lt3_loop_cnt(13 downto 8);</t>
  </si>
  <si>
    <t xml:space="preserve">      -- AEB General Configuration Area Register "SEQ_CONFIG_11" : "PIX_LOOP_CNT_WORD_1" Field</t>
  </si>
  <si>
    <t xml:space="preserve">      avalon_mm_rmap_o.readdata(23 downto 16) &lt;= rmap_registers_wr_i.aeb_gen_cfg_seq_config_11.pix_loop_cnt_word_1(7 downto 0);</t>
  </si>
  <si>
    <t xml:space="preserve">      avalon_mm_rmap_o.readdata(31 downto 24) &lt;= rmap_registers_wr_i.aeb_gen_cfg_seq_config_11.pix_loop_cnt_word_1(15 downto 8);</t>
  </si>
  <si>
    <t xml:space="preserve">  when (16#106#) =&gt;</t>
  </si>
  <si>
    <t xml:space="preserve">      -- AEB General Configuration Area Register "SEQ_CONFIG_12" : "PIX_LOOP_CNT_WORD_0" Field</t>
  </si>
  <si>
    <t xml:space="preserve">      avalon_mm_rmap_o.readdata(7 downto 0) &lt;= rmap_registers_wr_i.aeb_gen_cfg_seq_config_12.pix_loop_cnt_word_0(7 downto 0);</t>
  </si>
  <si>
    <t xml:space="preserve">      avalon_mm_rmap_o.readdata(15 downto 8) &lt;= rmap_registers_wr_i.aeb_gen_cfg_seq_config_12.pix_loop_cnt_word_0(15 downto 8);</t>
  </si>
  <si>
    <t xml:space="preserve">  when (16#107#) =&gt;</t>
  </si>
  <si>
    <t xml:space="preserve">      -- AEB General Configuration Area Register "SEQ_CONFIG_12" : "PC_ENABLED" Field</t>
  </si>
  <si>
    <t xml:space="preserve">      avalon_mm_rmap_o.readdata(0) &lt;= rmap_registers_wr_i.aeb_gen_cfg_seq_config_12.pc_enabled;</t>
  </si>
  <si>
    <t xml:space="preserve">  when (16#108#) =&gt;</t>
  </si>
  <si>
    <t xml:space="preserve">      -- AEB General Configuration Area Register "SEQ_CONFIG_12" : "RESERVED" Field</t>
  </si>
  <si>
    <t xml:space="preserve">      avalon_mm_rmap_o.readdata(0) &lt;= rmap_registers_wr_i.aeb_gen_cfg_seq_config_12.reserved;</t>
  </si>
  <si>
    <t xml:space="preserve">  when (16#109#) =&gt;</t>
  </si>
  <si>
    <t xml:space="preserve">      -- AEB General Configuration Area Register "SEQ_CONFIG_12" : "PC_LOOP_CNT" Field</t>
  </si>
  <si>
    <t xml:space="preserve">      avalon_mm_rmap_o.readdata(7 downto 0) &lt;= rmap_registers_wr_i.aeb_gen_cfg_seq_config_12.pc_loop_cnt(7 downto 0);</t>
  </si>
  <si>
    <t xml:space="preserve">      avalon_mm_rmap_o.readdata(13 downto 8) &lt;= rmap_registers_wr_i.aeb_gen_cfg_seq_config_12.pc_loop_cnt(13 downto 8);</t>
  </si>
  <si>
    <t xml:space="preserve">      -- AEB General Configuration Area Register "SEQ_CONFIG_13" : "RESERVED_0" Field</t>
  </si>
  <si>
    <t xml:space="preserve">      avalon_mm_rmap_o.readdata(17 downto 16) &lt;= rmap_registers_wr_i.aeb_gen_cfg_seq_config_13.reserved_0;</t>
  </si>
  <si>
    <t xml:space="preserve">  when (16#10A#) =&gt;</t>
  </si>
  <si>
    <t xml:space="preserve">      -- AEB General Configuration Area Register "SEQ_CONFIG_13" : "INT1_LOOP_CNT" Field</t>
  </si>
  <si>
    <t xml:space="preserve">      avalon_mm_rmap_o.readdata(7 downto 0) &lt;= rmap_registers_wr_i.aeb_gen_cfg_seq_config_13.int1_loop_cnt(7 downto 0);</t>
  </si>
  <si>
    <t xml:space="preserve">      avalon_mm_rmap_o.readdata(13 downto 8) &lt;= rmap_registers_wr_i.aeb_gen_cfg_seq_config_13.int1_loop_cnt(13 downto 8);</t>
  </si>
  <si>
    <t xml:space="preserve">      -- AEB General Configuration Area Register "SEQ_CONFIG_13" : "RESERVED_1" Field</t>
  </si>
  <si>
    <t xml:space="preserve">      avalon_mm_rmap_o.readdata(17 downto 16) &lt;= rmap_registers_wr_i.aeb_gen_cfg_seq_config_13.reserved_1;</t>
  </si>
  <si>
    <t xml:space="preserve">  when (16#10B#) =&gt;</t>
  </si>
  <si>
    <t xml:space="preserve">      -- AEB General Configuration Area Register "SEQ_CONFIG_13" : "INT2_LOOP_CNT" Field</t>
  </si>
  <si>
    <t xml:space="preserve">      avalon_mm_rmap_o.readdata(7 downto 0) &lt;= rmap_registers_wr_i.aeb_gen_cfg_seq_config_13.int2_loop_cnt(7 downto 0);</t>
  </si>
  <si>
    <t xml:space="preserve">      avalon_mm_rmap_o.readdata(13 downto 8) &lt;= rmap_registers_wr_i.aeb_gen_cfg_seq_config_13.int2_loop_cnt(13 downto 8);</t>
  </si>
  <si>
    <t xml:space="preserve">      -- AEB General Configuration Area Register "SEQ_CONFIG_14" : "RESERVED_0" Field</t>
  </si>
  <si>
    <t xml:space="preserve">      avalon_mm_rmap_o.readdata(22 downto 16) &lt;= rmap_registers_wr_i.aeb_gen_cfg_seq_config_14.reserved_0;</t>
  </si>
  <si>
    <t xml:space="preserve">  when (16#10C#) =&gt;</t>
  </si>
  <si>
    <t xml:space="preserve">      -- AEB General Configuration Area Register "SEQ_CONFIG_14" : "SPHI_INV" Field</t>
  </si>
  <si>
    <t xml:space="preserve">      avalon_mm_rmap_o.readdata(0) &lt;= rmap_registers_wr_i.aeb_gen_cfg_seq_config_14.sphi_inv;</t>
  </si>
  <si>
    <t xml:space="preserve">  when (16#10D#) =&gt;</t>
  </si>
  <si>
    <t xml:space="preserve">      -- AEB General Configuration Area Register "SEQ_CONFIG_14" : "RESERVED_1" Field</t>
  </si>
  <si>
    <t xml:space="preserve">      avalon_mm_rmap_o.readdata(6 downto 0) &lt;= rmap_registers_wr_i.aeb_gen_cfg_seq_config_14.reserved_1;</t>
  </si>
  <si>
    <t xml:space="preserve">  when (16#10E#) =&gt;</t>
  </si>
  <si>
    <t xml:space="preserve">      -- AEB General Configuration Area Register "SEQ_CONFIG_14" : "RPHI_INV" Field</t>
  </si>
  <si>
    <t xml:space="preserve">      avalon_mm_rmap_o.readdata(0) &lt;= rmap_registers_wr_i.aeb_gen_cfg_seq_config_14.rphi_inv;</t>
  </si>
  <si>
    <t xml:space="preserve">  when (16#10F#) =&gt;</t>
  </si>
  <si>
    <t xml:space="preserve">      -- AEB General Configuration Area Register "SEQ_CONFIG_14" : "RESERVED_2" Field</t>
  </si>
  <si>
    <t xml:space="preserve">      avalon_mm_rmap_o.readdata(7 downto 0) &lt;= rmap_registers_wr_i.aeb_gen_cfg_seq_config_14.reserved_2(7 downto 0);</t>
  </si>
  <si>
    <t xml:space="preserve">      avalon_mm_rmap_o.readdata(15 downto 8) &lt;= rmap_registers_wr_i.aeb_gen_cfg_seq_config_14.reserved_2(15 downto 8);</t>
  </si>
  <si>
    <t xml:space="preserve">  when (16#110#) =&gt;</t>
  </si>
  <si>
    <t xml:space="preserve">      -- AEB General Configuration Area Register "RESERVED_158" : "RESERVED" Field</t>
  </si>
  <si>
    <t xml:space="preserve">      avalon_mm_rmap_o.readdata(7 downto 0) &lt;= rmap_registers_wr_i.aeb_gen_cfg_reserved_158.reserved(7 downto 0);</t>
  </si>
  <si>
    <t xml:space="preserve">      avalon_mm_rmap_o.readdata(15 downto 8) &lt;= rmap_registers_wr_i.aeb_gen_cfg_reserved_158.reserved(15 downto 8);</t>
  </si>
  <si>
    <t xml:space="preserve">      avalon_mm_rmap_o.readdata(23 downto 16) &lt;= rmap_registers_wr_i.aeb_gen_cfg_reserved_158.reserved(23 downto 16);</t>
  </si>
  <si>
    <t xml:space="preserve">      avalon_mm_rmap_o.readdata(31 downto 24) &lt;= rmap_registers_wr_i.aeb_gen_cfg_reserved_158.reserved(31 downto 24);</t>
  </si>
  <si>
    <t xml:space="preserve">  when (16#111#) =&gt;</t>
  </si>
  <si>
    <t xml:space="preserve">      -- AEB General Configuration Area Register "RESERVED_15C" : "RESERVED" Field</t>
  </si>
  <si>
    <t xml:space="preserve">      avalon_mm_rmap_o.readdata(7 downto 0) &lt;= rmap_registers_wr_i.aeb_gen_cfg_reserved_15c.reserved(7 downto 0);</t>
  </si>
  <si>
    <t xml:space="preserve">      avalon_mm_rmap_o.readdata(15 downto 8) &lt;= rmap_registers_wr_i.aeb_gen_cfg_reserved_15c.reserved(15 downto 8);</t>
  </si>
  <si>
    <t xml:space="preserve">      avalon_mm_rmap_o.readdata(23 downto 16) &lt;= rmap_registers_wr_i.aeb_gen_cfg_reserved_15c.reserved(23 downto 16);</t>
  </si>
  <si>
    <t xml:space="preserve">      avalon_mm_rmap_o.readdata(31 downto 24) &lt;= rmap_registers_wr_i.aeb_gen_cfg_reserved_15c.reserved(31 downto 24);</t>
  </si>
  <si>
    <t xml:space="preserve">  when (16#112#) =&gt;</t>
  </si>
  <si>
    <t xml:space="preserve">      -- AEB General Configuration Area Register "RESERVED_160" : "RESERVED" Field</t>
  </si>
  <si>
    <t xml:space="preserve">      avalon_mm_rmap_o.readdata(7 downto 0) &lt;= rmap_registers_wr_i.aeb_gen_cfg_reserved_160.reserved(7 downto 0);</t>
  </si>
  <si>
    <t xml:space="preserve">      avalon_mm_rmap_o.readdata(15 downto 8) &lt;= rmap_registers_wr_i.aeb_gen_cfg_reserved_160.reserved(15 downto 8);</t>
  </si>
  <si>
    <t xml:space="preserve">      avalon_mm_rmap_o.readdata(23 downto 16) &lt;= rmap_registers_wr_i.aeb_gen_cfg_reserved_160.reserved(23 downto 16);</t>
  </si>
  <si>
    <t xml:space="preserve">      avalon_mm_rmap_o.readdata(31 downto 24) &lt;= rmap_registers_wr_i.aeb_gen_cfg_reserved_160.reserved(31 downto 24);</t>
  </si>
  <si>
    <t xml:space="preserve">  when (16#113#) =&gt;</t>
  </si>
  <si>
    <t xml:space="preserve">      -- AEB General Configuration Area Register "RESERVED_164" : "RESERVED" Field</t>
  </si>
  <si>
    <t xml:space="preserve">      avalon_mm_rmap_o.readdata(7 downto 0) &lt;= rmap_registers_wr_i.aeb_gen_cfg_reserved_164.reserved(7 downto 0);</t>
  </si>
  <si>
    <t xml:space="preserve">      avalon_mm_rmap_o.readdata(15 downto 8) &lt;= rmap_registers_wr_i.aeb_gen_cfg_reserved_164.reserved(15 downto 8);</t>
  </si>
  <si>
    <t xml:space="preserve">      avalon_mm_rmap_o.readdata(23 downto 16) &lt;= rmap_registers_wr_i.aeb_gen_cfg_reserved_164.reserved(23 downto 16);</t>
  </si>
  <si>
    <t xml:space="preserve">      avalon_mm_rmap_o.readdata(31 downto 24) &lt;= rmap_registers_wr_i.aeb_gen_cfg_reserved_164.reserved(31 downto 24);</t>
  </si>
  <si>
    <t xml:space="preserve">  when (16#114#) =&gt;</t>
  </si>
  <si>
    <t xml:space="preserve">      -- AEB General Configuration Area Register "RESERVED_168" : "RESERVED" Field</t>
  </si>
  <si>
    <t xml:space="preserve">      avalon_mm_rmap_o.readdata(7 downto 0) &lt;= rmap_registers_wr_i.aeb_gen_cfg_reserved_168.reserved(7 downto 0);</t>
  </si>
  <si>
    <t xml:space="preserve">      avalon_mm_rmap_o.readdata(15 downto 8) &lt;= rmap_registers_wr_i.aeb_gen_cfg_reserved_168.reserved(15 downto 8);</t>
  </si>
  <si>
    <t xml:space="preserve">      avalon_mm_rmap_o.readdata(23 downto 16) &lt;= rmap_registers_wr_i.aeb_gen_cfg_reserved_168.reserved(23 downto 16);</t>
  </si>
  <si>
    <t xml:space="preserve">      avalon_mm_rmap_o.readdata(31 downto 24) &lt;= rmap_registers_wr_i.aeb_gen_cfg_reserved_168.reserved(31 downto 24);</t>
  </si>
  <si>
    <t xml:space="preserve">  when (16#115#) =&gt;</t>
  </si>
  <si>
    <t xml:space="preserve">      -- AEB General Configuration Area Register "RESERVED_16C" : "RESERVED" Field</t>
  </si>
  <si>
    <t xml:space="preserve">      avalon_mm_rmap_o.readdata(7 downto 0) &lt;= rmap_registers_wr_i.aeb_gen_cfg_reserved_16c.reserved(7 downto 0);</t>
  </si>
  <si>
    <t xml:space="preserve">      avalon_mm_rmap_o.readdata(15 downto 8) &lt;= rmap_registers_wr_i.aeb_gen_cfg_reserved_16c.reserved(15 downto 8);</t>
  </si>
  <si>
    <t xml:space="preserve">      avalon_mm_rmap_o.readdata(23 downto 16) &lt;= rmap_registers_wr_i.aeb_gen_cfg_reserved_16c.reserved(23 downto 16);</t>
  </si>
  <si>
    <t xml:space="preserve">      avalon_mm_rmap_o.readdata(31 downto 24) &lt;= rmap_registers_wr_i.aeb_gen_cfg_reserved_16c.reserved(31 downto 24);</t>
  </si>
  <si>
    <t xml:space="preserve">  when (16#116#) =&gt;</t>
  </si>
  <si>
    <t xml:space="preserve">      -- AEB General Configuration Area Register "RESERVED_170" : "RESERVED" Field</t>
  </si>
  <si>
    <t xml:space="preserve">      avalon_mm_rmap_o.readdata(7 downto 0) &lt;= rmap_registers_wr_i.aeb_gen_cfg_reserved_170.reserved(7 downto 0);</t>
  </si>
  <si>
    <t xml:space="preserve">      avalon_mm_rmap_o.readdata(15 downto 8) &lt;= rmap_registers_wr_i.aeb_gen_cfg_reserved_170.reserved(15 downto 8);</t>
  </si>
  <si>
    <t xml:space="preserve">      avalon_mm_rmap_o.readdata(23 downto 16) &lt;= rmap_registers_wr_i.aeb_gen_cfg_reserved_170.reserved(23 downto 16);</t>
  </si>
  <si>
    <t xml:space="preserve">      avalon_mm_rmap_o.readdata(31 downto 24) &lt;= rmap_registers_wr_i.aeb_gen_cfg_reserved_170.reserved(31 downto 24);</t>
  </si>
  <si>
    <t xml:space="preserve">  when (16#117#) =&gt;</t>
  </si>
  <si>
    <t xml:space="preserve">      -- AEB General Configuration Area Register "RESERVED_174" : "RESERVED" Field</t>
  </si>
  <si>
    <t xml:space="preserve">      avalon_mm_rmap_o.readdata(7 downto 0) &lt;= rmap_registers_wr_i.aeb_gen_cfg_reserved_174.reserved(7 downto 0);</t>
  </si>
  <si>
    <t xml:space="preserve">      avalon_mm_rmap_o.readdata(15 downto 8) &lt;= rmap_registers_wr_i.aeb_gen_cfg_reserved_174.reserved(15 downto 8);</t>
  </si>
  <si>
    <t xml:space="preserve">      avalon_mm_rmap_o.readdata(23 downto 16) &lt;= rmap_registers_wr_i.aeb_gen_cfg_reserved_174.reserved(23 downto 16);</t>
  </si>
  <si>
    <t xml:space="preserve">      avalon_mm_rmap_o.readdata(31 downto 24) &lt;= rmap_registers_wr_i.aeb_gen_cfg_reserved_174.reserved(31 downto 24);</t>
  </si>
  <si>
    <t xml:space="preserve">  when (16#118#) =&gt;</t>
  </si>
  <si>
    <t xml:space="preserve">      -- AEB General Configuration Area Register "RESERVED_178" : "RESERVED" Field</t>
  </si>
  <si>
    <t xml:space="preserve">      avalon_mm_rmap_o.readdata(7 downto 0) &lt;= rmap_registers_wr_i.aeb_gen_cfg_reserved_178.reserved(7 downto 0);</t>
  </si>
  <si>
    <t xml:space="preserve">      avalon_mm_rmap_o.readdata(15 downto 8) &lt;= rmap_registers_wr_i.aeb_gen_cfg_reserved_178.reserved(15 downto 8);</t>
  </si>
  <si>
    <t xml:space="preserve">      avalon_mm_rmap_o.readdata(23 downto 16) &lt;= rmap_registers_wr_i.aeb_gen_cfg_reserved_178.reserved(23 downto 16);</t>
  </si>
  <si>
    <t xml:space="preserve">      avalon_mm_rmap_o.readdata(31 downto 24) &lt;= rmap_registers_wr_i.aeb_gen_cfg_reserved_178.reserved(31 downto 24);</t>
  </si>
  <si>
    <t xml:space="preserve">  when (16#119#) =&gt;</t>
  </si>
  <si>
    <t xml:space="preserve">      -- AEB General Configuration Area Register "RESERVED_17C" : "RESERVED" Field</t>
  </si>
  <si>
    <t xml:space="preserve">      avalon_mm_rmap_o.readdata(7 downto 0) &lt;= rmap_registers_wr_i.aeb_gen_cfg_reserved_17c.reserved(7 downto 0);</t>
  </si>
  <si>
    <t xml:space="preserve">      avalon_mm_rmap_o.readdata(15 downto 8) &lt;= rmap_registers_wr_i.aeb_gen_cfg_reserved_17c.reserved(15 downto 8);</t>
  </si>
  <si>
    <t xml:space="preserve">      avalon_mm_rmap_o.readdata(23 downto 16) &lt;= rmap_registers_wr_i.aeb_gen_cfg_reserved_17c.reserved(23 downto 16);</t>
  </si>
  <si>
    <t xml:space="preserve">      avalon_mm_rmap_o.readdata(31 downto 24) &lt;= rmap_registers_wr_i.aeb_gen_cfg_reserved_17c.reserved(31 downto 24);</t>
  </si>
  <si>
    <t xml:space="preserve">  when (16#11A#) =&gt;</t>
  </si>
  <si>
    <t xml:space="preserve">      -- AEB General Configuration Area Register "RESERVED_180" : "RESERVED" Field</t>
  </si>
  <si>
    <t xml:space="preserve">      avalon_mm_rmap_o.readdata(7 downto 0) &lt;= rmap_registers_wr_i.aeb_gen_cfg_reserved_180.reserved(7 downto 0);</t>
  </si>
  <si>
    <t xml:space="preserve">      avalon_mm_rmap_o.readdata(15 downto 8) &lt;= rmap_registers_wr_i.aeb_gen_cfg_reserved_180.reserved(15 downto 8);</t>
  </si>
  <si>
    <t xml:space="preserve">      avalon_mm_rmap_o.readdata(23 downto 16) &lt;= rmap_registers_wr_i.aeb_gen_cfg_reserved_180.reserved(23 downto 16);</t>
  </si>
  <si>
    <t xml:space="preserve">      avalon_mm_rmap_o.readdata(31 downto 24) &lt;= rmap_registers_wr_i.aeb_gen_cfg_reserved_180.reserved(31 downto 24);</t>
  </si>
  <si>
    <t xml:space="preserve">  when (16#11B#) =&gt;</t>
  </si>
  <si>
    <t xml:space="preserve">      -- AEB General Configuration Area Register "RESERVED_184" : "RESERVED" Field</t>
  </si>
  <si>
    <t xml:space="preserve">      avalon_mm_rmap_o.readdata(7 downto 0) &lt;= rmap_registers_wr_i.aeb_gen_cfg_reserved_184.reserved(7 downto 0);</t>
  </si>
  <si>
    <t xml:space="preserve">      avalon_mm_rmap_o.readdata(15 downto 8) &lt;= rmap_registers_wr_i.aeb_gen_cfg_reserved_184.reserved(15 downto 8);</t>
  </si>
  <si>
    <t xml:space="preserve">      avalon_mm_rmap_o.readdata(23 downto 16) &lt;= rmap_registers_wr_i.aeb_gen_cfg_reserved_184.reserved(23 downto 16);</t>
  </si>
  <si>
    <t xml:space="preserve">      avalon_mm_rmap_o.readdata(31 downto 24) &lt;= rmap_registers_wr_i.aeb_gen_cfg_reserved_184.reserved(31 downto 24);</t>
  </si>
  <si>
    <t xml:space="preserve">  when (16#11C#) =&gt;</t>
  </si>
  <si>
    <t xml:space="preserve">      -- AEB General Configuration Area Register "RESERVED_188" : "RESERVED" Field</t>
  </si>
  <si>
    <t xml:space="preserve">      avalon_mm_rmap_o.readdata(7 downto 0) &lt;= rmap_registers_wr_i.aeb_gen_cfg_reserved_188.reserved(7 downto 0);</t>
  </si>
  <si>
    <t xml:space="preserve">      avalon_mm_rmap_o.readdata(15 downto 8) &lt;= rmap_registers_wr_i.aeb_gen_cfg_reserved_188.reserved(15 downto 8);</t>
  </si>
  <si>
    <t xml:space="preserve">      avalon_mm_rmap_o.readdata(23 downto 16) &lt;= rmap_registers_wr_i.aeb_gen_cfg_reserved_188.reserved(23 downto 16);</t>
  </si>
  <si>
    <t xml:space="preserve">      avalon_mm_rmap_o.readdata(31 downto 24) &lt;= rmap_registers_wr_i.aeb_gen_cfg_reserved_188.reserved(31 downto 24);</t>
  </si>
  <si>
    <t xml:space="preserve">  when (16#11D#) =&gt;</t>
  </si>
  <si>
    <t xml:space="preserve">      -- AEB General Configuration Area Register "RESERVED_18C" : "RESERVED" Field</t>
  </si>
  <si>
    <t xml:space="preserve">      avalon_mm_rmap_o.readdata(7 downto 0) &lt;= rmap_registers_wr_i.aeb_gen_cfg_reserved_18c.reserved(7 downto 0);</t>
  </si>
  <si>
    <t xml:space="preserve">      avalon_mm_rmap_o.readdata(15 downto 8) &lt;= rmap_registers_wr_i.aeb_gen_cfg_reserved_18c.reserved(15 downto 8);</t>
  </si>
  <si>
    <t xml:space="preserve">      avalon_mm_rmap_o.readdata(23 downto 16) &lt;= rmap_registers_wr_i.aeb_gen_cfg_reserved_18c.reserved(23 downto 16);</t>
  </si>
  <si>
    <t xml:space="preserve">      avalon_mm_rmap_o.readdata(31 downto 24) &lt;= rmap_registers_wr_i.aeb_gen_cfg_reserved_18c.reserved(31 downto 24);</t>
  </si>
  <si>
    <t xml:space="preserve">  when (16#11E#) =&gt;</t>
  </si>
  <si>
    <t xml:space="preserve">      -- AEB General Configuration Area Register "RESERVED_190" : "RESERVED" Field</t>
  </si>
  <si>
    <t xml:space="preserve">      avalon_mm_rmap_o.readdata(7 downto 0) &lt;= rmap_registers_wr_i.aeb_gen_cfg_reserved_190.reserved(7 downto 0);</t>
  </si>
  <si>
    <t xml:space="preserve">      avalon_mm_rmap_o.readdata(15 downto 8) &lt;= rmap_registers_wr_i.aeb_gen_cfg_reserved_190.reserved(15 downto 8);</t>
  </si>
  <si>
    <t xml:space="preserve">      avalon_mm_rmap_o.readdata(23 downto 16) &lt;= rmap_registers_wr_i.aeb_gen_cfg_reserved_190.reserved(23 downto 16);</t>
  </si>
  <si>
    <t xml:space="preserve">      avalon_mm_rmap_o.readdata(31 downto 24) &lt;= rmap_registers_wr_i.aeb_gen_cfg_reserved_190.reserved(31 downto 24);</t>
  </si>
  <si>
    <t xml:space="preserve">  when (16#11F#) =&gt;</t>
  </si>
  <si>
    <t xml:space="preserve">      -- AEB General Configuration Area Register "RESERVED_194" : "RESERVED" Field</t>
  </si>
  <si>
    <t xml:space="preserve">      avalon_mm_rmap_o.readdata(7 downto 0) &lt;= rmap_registers_wr_i.aeb_gen_cfg_reserved_194.reserved(7 downto 0);</t>
  </si>
  <si>
    <t xml:space="preserve">      avalon_mm_rmap_o.readdata(15 downto 8) &lt;= rmap_registers_wr_i.aeb_gen_cfg_reserved_194.reserved(15 downto 8);</t>
  </si>
  <si>
    <t xml:space="preserve">      avalon_mm_rmap_o.readdata(23 downto 16) &lt;= rmap_registers_wr_i.aeb_gen_cfg_reserved_194.reserved(23 downto 16);</t>
  </si>
  <si>
    <t xml:space="preserve">      avalon_mm_rmap_o.readdata(31 downto 24) &lt;= rmap_registers_wr_i.aeb_gen_cfg_reserved_194.reserved(31 downto 24);</t>
  </si>
  <si>
    <t xml:space="preserve">  when (16#120#) =&gt;</t>
  </si>
  <si>
    <t xml:space="preserve">      -- AEB General Configuration Area Register "RESERVED_198" : "RESERVED" Field</t>
  </si>
  <si>
    <t xml:space="preserve">      avalon_mm_rmap_o.readdata(7 downto 0) &lt;= rmap_registers_wr_i.aeb_gen_cfg_reserved_198.reserved(7 downto 0);</t>
  </si>
  <si>
    <t xml:space="preserve">      avalon_mm_rmap_o.readdata(15 downto 8) &lt;= rmap_registers_wr_i.aeb_gen_cfg_reserved_198.reserved(15 downto 8);</t>
  </si>
  <si>
    <t xml:space="preserve">      avalon_mm_rmap_o.readdata(23 downto 16) &lt;= rmap_registers_wr_i.aeb_gen_cfg_reserved_198.reserved(23 downto 16);</t>
  </si>
  <si>
    <t xml:space="preserve">      avalon_mm_rmap_o.readdata(31 downto 24) &lt;= rmap_registers_wr_i.aeb_gen_cfg_reserved_198.reserved(31 downto 24);</t>
  </si>
  <si>
    <t xml:space="preserve">  when (16#121#) =&gt;</t>
  </si>
  <si>
    <t xml:space="preserve">      -- AEB General Configuration Area Register "RESERVED_19C" : "RESERVED" Field</t>
  </si>
  <si>
    <t xml:space="preserve">      avalon_mm_rmap_o.readdata(7 downto 0) &lt;= rmap_registers_wr_i.aeb_gen_cfg_reserved_19c.reserved(7 downto 0);</t>
  </si>
  <si>
    <t xml:space="preserve">      avalon_mm_rmap_o.readdata(15 downto 8) &lt;= rmap_registers_wr_i.aeb_gen_cfg_reserved_19c.reserved(15 downto 8);</t>
  </si>
  <si>
    <t xml:space="preserve">      avalon_mm_rmap_o.readdata(23 downto 16) &lt;= rmap_registers_wr_i.aeb_gen_cfg_reserved_19c.reserved(23 downto 16);</t>
  </si>
  <si>
    <t xml:space="preserve">      avalon_mm_rmap_o.readdata(31 downto 24) &lt;= rmap_registers_wr_i.aeb_gen_cfg_reserved_19c.reserved(31 downto 24);</t>
  </si>
  <si>
    <t xml:space="preserve">  when (16#122#) =&gt;</t>
  </si>
  <si>
    <t xml:space="preserve">      -- AEB General Configuration Area Register "RESERVED_1A0" : "RESERVED" Field</t>
  </si>
  <si>
    <t xml:space="preserve">      avalon_mm_rmap_o.readdata(7 downto 0) &lt;= rmap_registers_wr_i.aeb_gen_cfg_reserved_1a0.reserved(7 downto 0);</t>
  </si>
  <si>
    <t xml:space="preserve">      avalon_mm_rmap_o.readdata(15 downto 8) &lt;= rmap_registers_wr_i.aeb_gen_cfg_reserved_1a0.reserved(15 downto 8);</t>
  </si>
  <si>
    <t xml:space="preserve">      avalon_mm_rmap_o.readdata(23 downto 16) &lt;= rmap_registers_wr_i.aeb_gen_cfg_reserved_1a0.reserved(23 downto 16);</t>
  </si>
  <si>
    <t xml:space="preserve">      avalon_mm_rmap_o.readdata(31 downto 24) &lt;= rmap_registers_wr_i.aeb_gen_cfg_reserved_1a0.reserved(31 downto 24);</t>
  </si>
  <si>
    <t xml:space="preserve">  when (16#123#) =&gt;</t>
  </si>
  <si>
    <t xml:space="preserve">      -- AEB General Configuration Area Register "RESERVED_1A4" : "RESERVED" Field</t>
  </si>
  <si>
    <t xml:space="preserve">      avalon_mm_rmap_o.readdata(7 downto 0) &lt;= rmap_registers_wr_i.aeb_gen_cfg_reserved_1a4.reserved(7 downto 0);</t>
  </si>
  <si>
    <t xml:space="preserve">      avalon_mm_rmap_o.readdata(15 downto 8) &lt;= rmap_registers_wr_i.aeb_gen_cfg_reserved_1a4.reserved(15 downto 8);</t>
  </si>
  <si>
    <t xml:space="preserve">      avalon_mm_rmap_o.readdata(23 downto 16) &lt;= rmap_registers_wr_i.aeb_gen_cfg_reserved_1a4.reserved(23 downto 16);</t>
  </si>
  <si>
    <t xml:space="preserve">      avalon_mm_rmap_o.readdata(31 downto 24) &lt;= rmap_registers_wr_i.aeb_gen_cfg_reserved_1a4.reserved(31 downto 24);</t>
  </si>
  <si>
    <t xml:space="preserve">  when (16#124#) =&gt;</t>
  </si>
  <si>
    <t xml:space="preserve">      -- AEB General Configuration Area Register "RESERVED_1A8" : "RESERVED" Field</t>
  </si>
  <si>
    <t xml:space="preserve">      avalon_mm_rmap_o.readdata(7 downto 0) &lt;= rmap_registers_wr_i.aeb_gen_cfg_reserved_1a8.reserved(7 downto 0);</t>
  </si>
  <si>
    <t xml:space="preserve">      avalon_mm_rmap_o.readdata(15 downto 8) &lt;= rmap_registers_wr_i.aeb_gen_cfg_reserved_1a8.reserved(15 downto 8);</t>
  </si>
  <si>
    <t xml:space="preserve">      avalon_mm_rmap_o.readdata(23 downto 16) &lt;= rmap_registers_wr_i.aeb_gen_cfg_reserved_1a8.reserved(23 downto 16);</t>
  </si>
  <si>
    <t xml:space="preserve">      avalon_mm_rmap_o.readdata(31 downto 24) &lt;= rmap_registers_wr_i.aeb_gen_cfg_reserved_1a8.reserved(31 downto 24);</t>
  </si>
  <si>
    <t xml:space="preserve">  when (16#125#) =&gt;</t>
  </si>
  <si>
    <t xml:space="preserve">      -- AEB General Configuration Area Register "RESERVED_1AC" : "RESERVED" Field</t>
  </si>
  <si>
    <t xml:space="preserve">      avalon_mm_rmap_o.readdata(7 downto 0) &lt;= rmap_registers_wr_i.aeb_gen_cfg_reserved_1ac.reserved(7 downto 0);</t>
  </si>
  <si>
    <t xml:space="preserve">      avalon_mm_rmap_o.readdata(15 downto 8) &lt;= rmap_registers_wr_i.aeb_gen_cfg_reserved_1ac.reserved(15 downto 8);</t>
  </si>
  <si>
    <t xml:space="preserve">      avalon_mm_rmap_o.readdata(23 downto 16) &lt;= rmap_registers_wr_i.aeb_gen_cfg_reserved_1ac.reserved(23 downto 16);</t>
  </si>
  <si>
    <t xml:space="preserve">      avalon_mm_rmap_o.readdata(31 downto 24) &lt;= rmap_registers_wr_i.aeb_gen_cfg_reserved_1ac.reserved(31 downto 24);</t>
  </si>
  <si>
    <t xml:space="preserve">  when (16#126#) =&gt;</t>
  </si>
  <si>
    <t xml:space="preserve">      -- AEB General Configuration Area Register "RESERVED_1B0" : "RESERVED" Field</t>
  </si>
  <si>
    <t xml:space="preserve">      avalon_mm_rmap_o.readdata(7 downto 0) &lt;= rmap_registers_wr_i.aeb_gen_cfg_reserved_1b0.reserved(7 downto 0);</t>
  </si>
  <si>
    <t xml:space="preserve">      avalon_mm_rmap_o.readdata(15 downto 8) &lt;= rmap_registers_wr_i.aeb_gen_cfg_reserved_1b0.reserved(15 downto 8);</t>
  </si>
  <si>
    <t xml:space="preserve">      avalon_mm_rmap_o.readdata(23 downto 16) &lt;= rmap_registers_wr_i.aeb_gen_cfg_reserved_1b0.reserved(23 downto 16);</t>
  </si>
  <si>
    <t xml:space="preserve">      avalon_mm_rmap_o.readdata(31 downto 24) &lt;= rmap_registers_wr_i.aeb_gen_cfg_reserved_1b0.reserved(31 downto 24);</t>
  </si>
  <si>
    <t xml:space="preserve">  when (16#127#) =&gt;</t>
  </si>
  <si>
    <t xml:space="preserve">      -- AEB General Configuration Area Register "RESERVED_1B4" : "RESERVED" Field</t>
  </si>
  <si>
    <t xml:space="preserve">      avalon_mm_rmap_o.readdata(7 downto 0) &lt;= rmap_registers_wr_i.aeb_gen_cfg_reserved_1b4.reserved(7 downto 0);</t>
  </si>
  <si>
    <t xml:space="preserve">      avalon_mm_rmap_o.readdata(15 downto 8) &lt;= rmap_registers_wr_i.aeb_gen_cfg_reserved_1b4.reserved(15 downto 8);</t>
  </si>
  <si>
    <t xml:space="preserve">      avalon_mm_rmap_o.readdata(23 downto 16) &lt;= rmap_registers_wr_i.aeb_gen_cfg_reserved_1b4.reserved(23 downto 16);</t>
  </si>
  <si>
    <t xml:space="preserve">      avalon_mm_rmap_o.readdata(31 downto 24) &lt;= rmap_registers_wr_i.aeb_gen_cfg_reserved_1b4.reserved(31 downto 24);</t>
  </si>
  <si>
    <t xml:space="preserve">  when (16#128#) =&gt;</t>
  </si>
  <si>
    <t xml:space="preserve">      -- AEB General Configuration Area Register "RESERVED_1B8" : "RESERVED" Field</t>
  </si>
  <si>
    <t xml:space="preserve">      avalon_mm_rmap_o.readdata(7 downto 0) &lt;= rmap_registers_wr_i.aeb_gen_cfg_reserved_1b8.reserved(7 downto 0);</t>
  </si>
  <si>
    <t xml:space="preserve">      avalon_mm_rmap_o.readdata(15 downto 8) &lt;= rmap_registers_wr_i.aeb_gen_cfg_reserved_1b8.reserved(15 downto 8);</t>
  </si>
  <si>
    <t xml:space="preserve">      avalon_mm_rmap_o.readdata(23 downto 16) &lt;= rmap_registers_wr_i.aeb_gen_cfg_reserved_1b8.reserved(23 downto 16);</t>
  </si>
  <si>
    <t xml:space="preserve">      avalon_mm_rmap_o.readdata(31 downto 24) &lt;= rmap_registers_wr_i.aeb_gen_cfg_reserved_1b8.reserved(31 downto 24);</t>
  </si>
  <si>
    <t xml:space="preserve">  when (16#129#) =&gt;</t>
  </si>
  <si>
    <t xml:space="preserve">      -- AEB General Configuration Area Register "RESERVED_1BC" : "RESERVED" Field</t>
  </si>
  <si>
    <t xml:space="preserve">      avalon_mm_rmap_o.readdata(7 downto 0) &lt;= rmap_registers_wr_i.aeb_gen_cfg_reserved_1bc.reserved(7 downto 0);</t>
  </si>
  <si>
    <t xml:space="preserve">      avalon_mm_rmap_o.readdata(15 downto 8) &lt;= rmap_registers_wr_i.aeb_gen_cfg_reserved_1bc.reserved(15 downto 8);</t>
  </si>
  <si>
    <t xml:space="preserve">      avalon_mm_rmap_o.readdata(23 downto 16) &lt;= rmap_registers_wr_i.aeb_gen_cfg_reserved_1bc.reserved(23 downto 16);</t>
  </si>
  <si>
    <t xml:space="preserve">      avalon_mm_rmap_o.readdata(31 downto 24) &lt;= rmap_registers_wr_i.aeb_gen_cfg_reserved_1bc.reserved(31 downto 24);</t>
  </si>
  <si>
    <t xml:space="preserve">  when (16#12A#) =&gt;</t>
  </si>
  <si>
    <t xml:space="preserve">      -- AEB General Configuration Area Register "RESERVED_1C0" : "RESERVED" Field</t>
  </si>
  <si>
    <t xml:space="preserve">      avalon_mm_rmap_o.readdata(7 downto 0) &lt;= rmap_registers_wr_i.aeb_gen_cfg_reserved_1c0.reserved(7 downto 0);</t>
  </si>
  <si>
    <t xml:space="preserve">      avalon_mm_rmap_o.readdata(15 downto 8) &lt;= rmap_registers_wr_i.aeb_gen_cfg_reserved_1c0.reserved(15 downto 8);</t>
  </si>
  <si>
    <t xml:space="preserve">      avalon_mm_rmap_o.readdata(23 downto 16) &lt;= rmap_registers_wr_i.aeb_gen_cfg_reserved_1c0.reserved(23 downto 16);</t>
  </si>
  <si>
    <t xml:space="preserve">      avalon_mm_rmap_o.readdata(31 downto 24) &lt;= rmap_registers_wr_i.aeb_gen_cfg_reserved_1c0.reserved(31 downto 24);</t>
  </si>
  <si>
    <t xml:space="preserve">  when (16#12B#) =&gt;</t>
  </si>
  <si>
    <t xml:space="preserve">      -- AEB General Configuration Area Register "RESERVED_1C4" : "RESERVED" Field</t>
  </si>
  <si>
    <t xml:space="preserve">      avalon_mm_rmap_o.readdata(7 downto 0) &lt;= rmap_registers_wr_i.aeb_gen_cfg_reserved_1c4.reserved(7 downto 0);</t>
  </si>
  <si>
    <t xml:space="preserve">      avalon_mm_rmap_o.readdata(15 downto 8) &lt;= rmap_registers_wr_i.aeb_gen_cfg_reserved_1c4.reserved(15 downto 8);</t>
  </si>
  <si>
    <t xml:space="preserve">      avalon_mm_rmap_o.readdata(23 downto 16) &lt;= rmap_registers_wr_i.aeb_gen_cfg_reserved_1c4.reserved(23 downto 16);</t>
  </si>
  <si>
    <t xml:space="preserve">      avalon_mm_rmap_o.readdata(31 downto 24) &lt;= rmap_registers_wr_i.aeb_gen_cfg_reserved_1c4.reserved(31 downto 24);</t>
  </si>
  <si>
    <t xml:space="preserve">  when (16#12C#) =&gt;</t>
  </si>
  <si>
    <t xml:space="preserve">      -- AEB General Configuration Area Register "RESERVED_1C8" : "RESERVED" Field</t>
  </si>
  <si>
    <t xml:space="preserve">      avalon_mm_rmap_o.readdata(7 downto 0) &lt;= rmap_registers_wr_i.aeb_gen_cfg_reserved_1c8.reserved(7 downto 0);</t>
  </si>
  <si>
    <t xml:space="preserve">      avalon_mm_rmap_o.readdata(15 downto 8) &lt;= rmap_registers_wr_i.aeb_gen_cfg_reserved_1c8.reserved(15 downto 8);</t>
  </si>
  <si>
    <t xml:space="preserve">      avalon_mm_rmap_o.readdata(23 downto 16) &lt;= rmap_registers_wr_i.aeb_gen_cfg_reserved_1c8.reserved(23 downto 16);</t>
  </si>
  <si>
    <t xml:space="preserve">      avalon_mm_rmap_o.readdata(31 downto 24) &lt;= rmap_registers_wr_i.aeb_gen_cfg_reserved_1c8.reserved(31 downto 24);</t>
  </si>
  <si>
    <t xml:space="preserve">  when (16#12D#) =&gt;</t>
  </si>
  <si>
    <t xml:space="preserve">      -- AEB General Configuration Area Register "RESERVED_1CC" : "RESERVED" Field</t>
  </si>
  <si>
    <t xml:space="preserve">      avalon_mm_rmap_o.readdata(7 downto 0) &lt;= rmap_registers_wr_i.aeb_gen_cfg_reserved_1cc.reserved(7 downto 0);</t>
  </si>
  <si>
    <t xml:space="preserve">      avalon_mm_rmap_o.readdata(15 downto 8) &lt;= rmap_registers_wr_i.aeb_gen_cfg_reserved_1cc.reserved(15 downto 8);</t>
  </si>
  <si>
    <t xml:space="preserve">      avalon_mm_rmap_o.readdata(23 downto 16) &lt;= rmap_registers_wr_i.aeb_gen_cfg_reserved_1cc.reserved(23 downto 16);</t>
  </si>
  <si>
    <t xml:space="preserve">      avalon_mm_rmap_o.readdata(31 downto 24) &lt;= rmap_registers_wr_i.aeb_gen_cfg_reserved_1cc.reserved(31 downto 24);</t>
  </si>
  <si>
    <t xml:space="preserve">  when (16#12E#) =&gt;</t>
  </si>
  <si>
    <t xml:space="preserve">      -- AEB General Configuration Area Register "RESERVED_1D0" : "RESERVED" Field</t>
  </si>
  <si>
    <t xml:space="preserve">      avalon_mm_rmap_o.readdata(7 downto 0) &lt;= rmap_registers_wr_i.aeb_gen_cfg_reserved_1d0.reserved(7 downto 0);</t>
  </si>
  <si>
    <t xml:space="preserve">      avalon_mm_rmap_o.readdata(15 downto 8) &lt;= rmap_registers_wr_i.aeb_gen_cfg_reserved_1d0.reserved(15 downto 8);</t>
  </si>
  <si>
    <t xml:space="preserve">      avalon_mm_rmap_o.readdata(23 downto 16) &lt;= rmap_registers_wr_i.aeb_gen_cfg_reserved_1d0.reserved(23 downto 16);</t>
  </si>
  <si>
    <t xml:space="preserve">      avalon_mm_rmap_o.readdata(31 downto 24) &lt;= rmap_registers_wr_i.aeb_gen_cfg_reserved_1d0.reserved(31 downto 24);</t>
  </si>
  <si>
    <t xml:space="preserve">  when (16#12F#) =&gt;</t>
  </si>
  <si>
    <t xml:space="preserve">      -- AEB General Configuration Area Register "RESERVED_1D4" : "RESERVED" Field</t>
  </si>
  <si>
    <t xml:space="preserve">      avalon_mm_rmap_o.readdata(7 downto 0) &lt;= rmap_registers_wr_i.aeb_gen_cfg_reserved_1d4.reserved(7 downto 0);</t>
  </si>
  <si>
    <t xml:space="preserve">      avalon_mm_rmap_o.readdata(15 downto 8) &lt;= rmap_registers_wr_i.aeb_gen_cfg_reserved_1d4.reserved(15 downto 8);</t>
  </si>
  <si>
    <t xml:space="preserve">      avalon_mm_rmap_o.readdata(23 downto 16) &lt;= rmap_registers_wr_i.aeb_gen_cfg_reserved_1d4.reserved(23 downto 16);</t>
  </si>
  <si>
    <t xml:space="preserve">      avalon_mm_rmap_o.readdata(31 downto 24) &lt;= rmap_registers_wr_i.aeb_gen_cfg_reserved_1d4.reserved(31 downto 24);</t>
  </si>
  <si>
    <t xml:space="preserve">  when (16#130#) =&gt;</t>
  </si>
  <si>
    <t xml:space="preserve">      -- AEB General Configuration Area Register "RESERVED_1D8" : "RESERVED" Field</t>
  </si>
  <si>
    <t xml:space="preserve">      avalon_mm_rmap_o.readdata(7 downto 0) &lt;= rmap_registers_wr_i.aeb_gen_cfg_reserved_1d8.reserved(7 downto 0);</t>
  </si>
  <si>
    <t xml:space="preserve">      avalon_mm_rmap_o.readdata(15 downto 8) &lt;= rmap_registers_wr_i.aeb_gen_cfg_reserved_1d8.reserved(15 downto 8);</t>
  </si>
  <si>
    <t xml:space="preserve">      avalon_mm_rmap_o.readdata(23 downto 16) &lt;= rmap_registers_wr_i.aeb_gen_cfg_reserved_1d8.reserved(23 downto 16);</t>
  </si>
  <si>
    <t xml:space="preserve">      avalon_mm_rmap_o.readdata(31 downto 24) &lt;= rmap_registers_wr_i.aeb_gen_cfg_reserved_1d8.reserved(31 downto 24);</t>
  </si>
  <si>
    <t xml:space="preserve">  when (16#131#) =&gt;</t>
  </si>
  <si>
    <t xml:space="preserve">      -- AEB General Configuration Area Register "RESERVED_1DC" : "RESERVED" Field</t>
  </si>
  <si>
    <t xml:space="preserve">      avalon_mm_rmap_o.readdata(7 downto 0) &lt;= rmap_registers_wr_i.aeb_gen_cfg_reserved_1dc.reserved(7 downto 0);</t>
  </si>
  <si>
    <t xml:space="preserve">      avalon_mm_rmap_o.readdata(15 downto 8) &lt;= rmap_registers_wr_i.aeb_gen_cfg_reserved_1dc.reserved(15 downto 8);</t>
  </si>
  <si>
    <t xml:space="preserve">      avalon_mm_rmap_o.readdata(23 downto 16) &lt;= rmap_registers_wr_i.aeb_gen_cfg_reserved_1dc.reserved(23 downto 16);</t>
  </si>
  <si>
    <t xml:space="preserve">      avalon_mm_rmap_o.readdata(31 downto 24) &lt;= rmap_registers_wr_i.aeb_gen_cfg_reserved_1dc.reserved(31 downto 24);</t>
  </si>
  <si>
    <t xml:space="preserve">  when (16#132#) =&gt;</t>
  </si>
  <si>
    <t xml:space="preserve">      -- AEB General Configuration Area Register "RESERVED_1E0" : "RESERVED" Field</t>
  </si>
  <si>
    <t xml:space="preserve">      avalon_mm_rmap_o.readdata(7 downto 0) &lt;= rmap_registers_wr_i.aeb_gen_cfg_reserved_1e0.reserved(7 downto 0);</t>
  </si>
  <si>
    <t xml:space="preserve">      avalon_mm_rmap_o.readdata(15 downto 8) &lt;= rmap_registers_wr_i.aeb_gen_cfg_reserved_1e0.reserved(15 downto 8);</t>
  </si>
  <si>
    <t xml:space="preserve">      avalon_mm_rmap_o.readdata(23 downto 16) &lt;= rmap_registers_wr_i.aeb_gen_cfg_reserved_1e0.reserved(23 downto 16);</t>
  </si>
  <si>
    <t xml:space="preserve">      avalon_mm_rmap_o.readdata(31 downto 24) &lt;= rmap_registers_wr_i.aeb_gen_cfg_reserved_1e0.reserved(31 downto 24);</t>
  </si>
  <si>
    <t xml:space="preserve">  when (16#133#) =&gt;</t>
  </si>
  <si>
    <t xml:space="preserve">      -- AEB General Configuration Area Register "RESERVED_1E4" : "RESERVED" Field</t>
  </si>
  <si>
    <t xml:space="preserve">      avalon_mm_rmap_o.readdata(7 downto 0) &lt;= rmap_registers_wr_i.aeb_gen_cfg_reserved_1e4.reserved(7 downto 0);</t>
  </si>
  <si>
    <t xml:space="preserve">      avalon_mm_rmap_o.readdata(15 downto 8) &lt;= rmap_registers_wr_i.aeb_gen_cfg_reserved_1e4.reserved(15 downto 8);</t>
  </si>
  <si>
    <t xml:space="preserve">      avalon_mm_rmap_o.readdata(23 downto 16) &lt;= rmap_registers_wr_i.aeb_gen_cfg_reserved_1e4.reserved(23 downto 16);</t>
  </si>
  <si>
    <t xml:space="preserve">      avalon_mm_rmap_o.readdata(31 downto 24) &lt;= rmap_registers_wr_i.aeb_gen_cfg_reserved_1e4.reserved(31 downto 24);</t>
  </si>
  <si>
    <t xml:space="preserve">  when (16#134#) =&gt;</t>
  </si>
  <si>
    <t xml:space="preserve">      -- AEB General Configuration Area Register "RESERVED_1E8" : "RESERVED" Field</t>
  </si>
  <si>
    <t xml:space="preserve">      avalon_mm_rmap_o.readdata(7 downto 0) &lt;= rmap_registers_wr_i.aeb_gen_cfg_reserved_1e8.reserved(7 downto 0);</t>
  </si>
  <si>
    <t xml:space="preserve">      avalon_mm_rmap_o.readdata(15 downto 8) &lt;= rmap_registers_wr_i.aeb_gen_cfg_reserved_1e8.reserved(15 downto 8);</t>
  </si>
  <si>
    <t xml:space="preserve">      avalon_mm_rmap_o.readdata(23 downto 16) &lt;= rmap_registers_wr_i.aeb_gen_cfg_reserved_1e8.reserved(23 downto 16);</t>
  </si>
  <si>
    <t xml:space="preserve">      avalon_mm_rmap_o.readdata(31 downto 24) &lt;= rmap_registers_wr_i.aeb_gen_cfg_reserved_1e8.reserved(31 downto 24);</t>
  </si>
  <si>
    <t xml:space="preserve">  when (16#135#) =&gt;</t>
  </si>
  <si>
    <t xml:space="preserve">      -- AEB General Configuration Area Register "RESERVED_1EC" : "RESERVED" Field</t>
  </si>
  <si>
    <t xml:space="preserve">      avalon_mm_rmap_o.readdata(7 downto 0) &lt;= rmap_registers_wr_i.aeb_gen_cfg_reserved_1ec.reserved(7 downto 0);</t>
  </si>
  <si>
    <t xml:space="preserve">      avalon_mm_rmap_o.readdata(15 downto 8) &lt;= rmap_registers_wr_i.aeb_gen_cfg_reserved_1ec.reserved(15 downto 8);</t>
  </si>
  <si>
    <t xml:space="preserve">      avalon_mm_rmap_o.readdata(23 downto 16) &lt;= rmap_registers_wr_i.aeb_gen_cfg_reserved_1ec.reserved(23 downto 16);</t>
  </si>
  <si>
    <t xml:space="preserve">      avalon_mm_rmap_o.readdata(31 downto 24) &lt;= rmap_registers_wr_i.aeb_gen_cfg_reserved_1ec.reserved(31 downto 24);</t>
  </si>
  <si>
    <t xml:space="preserve">  when (16#136#) =&gt;</t>
  </si>
  <si>
    <t xml:space="preserve">      -- AEB General Configuration Area Register "RESERVED_1F0" : "RESERVED" Field</t>
  </si>
  <si>
    <t xml:space="preserve">      avalon_mm_rmap_o.readdata(7 downto 0) &lt;= rmap_registers_wr_i.aeb_gen_cfg_reserved_1f0.reserved(7 downto 0);</t>
  </si>
  <si>
    <t xml:space="preserve">      avalon_mm_rmap_o.readdata(15 downto 8) &lt;= rmap_registers_wr_i.aeb_gen_cfg_reserved_1f0.reserved(15 downto 8);</t>
  </si>
  <si>
    <t xml:space="preserve">      avalon_mm_rmap_o.readdata(23 downto 16) &lt;= rmap_registers_wr_i.aeb_gen_cfg_reserved_1f0.reserved(23 downto 16);</t>
  </si>
  <si>
    <t xml:space="preserve">      avalon_mm_rmap_o.readdata(31 downto 24) &lt;= rmap_registers_wr_i.aeb_gen_cfg_reserved_1f0.reserved(31 downto 24);</t>
  </si>
  <si>
    <t xml:space="preserve">  when (16#137#) =&gt;</t>
  </si>
  <si>
    <t xml:space="preserve">      -- AEB General Configuration Area Register "RESERVED_1F4" : "RESERVED" Field</t>
  </si>
  <si>
    <t xml:space="preserve">      avalon_mm_rmap_o.readdata(7 downto 0) &lt;= rmap_registers_wr_i.aeb_gen_cfg_reserved_1f4.reserved(7 downto 0);</t>
  </si>
  <si>
    <t xml:space="preserve">      avalon_mm_rmap_o.readdata(15 downto 8) &lt;= rmap_registers_wr_i.aeb_gen_cfg_reserved_1f4.reserved(15 downto 8);</t>
  </si>
  <si>
    <t xml:space="preserve">      avalon_mm_rmap_o.readdata(23 downto 16) &lt;= rmap_registers_wr_i.aeb_gen_cfg_reserved_1f4.reserved(23 downto 16);</t>
  </si>
  <si>
    <t xml:space="preserve">      avalon_mm_rmap_o.readdata(31 downto 24) &lt;= rmap_registers_wr_i.aeb_gen_cfg_reserved_1f4.reserved(31 downto 24);</t>
  </si>
  <si>
    <t xml:space="preserve">  when (16#138#) =&gt;</t>
  </si>
  <si>
    <t xml:space="preserve">      -- AEB General Configuration Area Register "RESERVED_1F8" : "RESERVED" Field</t>
  </si>
  <si>
    <t xml:space="preserve">      avalon_mm_rmap_o.readdata(7 downto 0) &lt;= rmap_registers_wr_i.aeb_gen_cfg_reserved_1f8.reserved(7 downto 0);</t>
  </si>
  <si>
    <t xml:space="preserve">      avalon_mm_rmap_o.readdata(15 downto 8) &lt;= rmap_registers_wr_i.aeb_gen_cfg_reserved_1f8.reserved(15 downto 8);</t>
  </si>
  <si>
    <t xml:space="preserve">      avalon_mm_rmap_o.readdata(23 downto 16) &lt;= rmap_registers_wr_i.aeb_gen_cfg_reserved_1f8.reserved(23 downto 16);</t>
  </si>
  <si>
    <t xml:space="preserve">      avalon_mm_rmap_o.readdata(31 downto 24) &lt;= rmap_registers_wr_i.aeb_gen_cfg_reserved_1f8.reserved(31 downto 24);</t>
  </si>
  <si>
    <t xml:space="preserve">  when (16#139#) =&gt;</t>
  </si>
  <si>
    <t xml:space="preserve">      -- AEB General Configuration Area Register "RESERVED_1FC" : "RESERVED" Field</t>
  </si>
  <si>
    <t xml:space="preserve">      avalon_mm_rmap_o.readdata(7 downto 0) &lt;= rmap_registers_wr_i.aeb_gen_cfg_reserved_1fc.reserved(7 downto 0);</t>
  </si>
  <si>
    <t xml:space="preserve">      avalon_mm_rmap_o.readdata(15 downto 8) &lt;= rmap_registers_wr_i.aeb_gen_cfg_reserved_1fc.reserved(15 downto 8);</t>
  </si>
  <si>
    <t xml:space="preserve">      avalon_mm_rmap_o.readdata(23 downto 16) &lt;= rmap_registers_wr_i.aeb_gen_cfg_reserved_1fc.reserved(23 downto 16);</t>
  </si>
  <si>
    <t xml:space="preserve">      avalon_mm_rmap_o.readdata(31 downto 24) &lt;= rmap_registers_wr_i.aeb_gen_cfg_reserved_1fc.reserved(31 downto 24);</t>
  </si>
  <si>
    <t xml:space="preserve">  when (16#13A#) =&gt;</t>
  </si>
  <si>
    <t xml:space="preserve">      -- AEB General Configuration Area Register "RESERVED_200" : "RESERVED" Field</t>
  </si>
  <si>
    <t xml:space="preserve">      avalon_mm_rmap_o.readdata(7 downto 0) &lt;= rmap_registers_wr_i.aeb_gen_cfg_reserved_200.reserved(7 downto 0);</t>
  </si>
  <si>
    <t xml:space="preserve">      avalon_mm_rmap_o.readdata(15 downto 8) &lt;= rmap_registers_wr_i.aeb_gen_cfg_reserved_200.reserved(15 downto 8);</t>
  </si>
  <si>
    <t xml:space="preserve">      avalon_mm_rmap_o.readdata(23 downto 16) &lt;= rmap_registers_wr_i.aeb_gen_cfg_reserved_200.reserved(23 downto 16);</t>
  </si>
  <si>
    <t xml:space="preserve">      avalon_mm_rmap_o.readdata(31 downto 24) &lt;= rmap_registers_wr_i.aeb_gen_cfg_reserved_200.reserved(31 downto 24);</t>
  </si>
  <si>
    <t xml:space="preserve">  when (16#13B#) =&gt;</t>
  </si>
  <si>
    <t xml:space="preserve">      -- AEB General Configuration Area Register "RESERVED_204" : "RESERVED" Field</t>
  </si>
  <si>
    <t xml:space="preserve">      avalon_mm_rmap_o.readdata(7 downto 0) &lt;= rmap_registers_wr_i.aeb_gen_cfg_reserved_204.reserved(7 downto 0);</t>
  </si>
  <si>
    <t xml:space="preserve">      avalon_mm_rmap_o.readdata(15 downto 8) &lt;= rmap_registers_wr_i.aeb_gen_cfg_reserved_204.reserved(15 downto 8);</t>
  </si>
  <si>
    <t xml:space="preserve">      avalon_mm_rmap_o.readdata(23 downto 16) &lt;= rmap_registers_wr_i.aeb_gen_cfg_reserved_204.reserved(23 downto 16);</t>
  </si>
  <si>
    <t xml:space="preserve">      avalon_mm_rmap_o.readdata(31 downto 24) &lt;= rmap_registers_wr_i.aeb_gen_cfg_reserved_204.reserved(31 downto 24);</t>
  </si>
  <si>
    <t xml:space="preserve">  when (16#13C#) =&gt;</t>
  </si>
  <si>
    <t xml:space="preserve">      -- AEB General Configuration Area Register "RESERVED_208" : "RESERVED" Field</t>
  </si>
  <si>
    <t xml:space="preserve">      avalon_mm_rmap_o.readdata(7 downto 0) &lt;= rmap_registers_wr_i.aeb_gen_cfg_reserved_208.reserved(7 downto 0);</t>
  </si>
  <si>
    <t xml:space="preserve">      avalon_mm_rmap_o.readdata(15 downto 8) &lt;= rmap_registers_wr_i.aeb_gen_cfg_reserved_208.reserved(15 downto 8);</t>
  </si>
  <si>
    <t xml:space="preserve">      avalon_mm_rmap_o.readdata(23 downto 16) &lt;= rmap_registers_wr_i.aeb_gen_cfg_reserved_208.reserved(23 downto 16);</t>
  </si>
  <si>
    <t xml:space="preserve">      avalon_mm_rmap_o.readdata(31 downto 24) &lt;= rmap_registers_wr_i.aeb_gen_cfg_reserved_208.reserved(31 downto 24);</t>
  </si>
  <si>
    <t xml:space="preserve">  when (16#13D#) =&gt;</t>
  </si>
  <si>
    <t xml:space="preserve">      -- AEB General Configuration Area Register "RESERVED_20C" : "RESERVED" Field</t>
  </si>
  <si>
    <t xml:space="preserve">      avalon_mm_rmap_o.readdata(7 downto 0) &lt;= rmap_registers_wr_i.aeb_gen_cfg_reserved_20c.reserved(7 downto 0);</t>
  </si>
  <si>
    <t xml:space="preserve">      avalon_mm_rmap_o.readdata(15 downto 8) &lt;= rmap_registers_wr_i.aeb_gen_cfg_reserved_20c.reserved(15 downto 8);</t>
  </si>
  <si>
    <t xml:space="preserve">      avalon_mm_rmap_o.readdata(23 downto 16) &lt;= rmap_registers_wr_i.aeb_gen_cfg_reserved_20c.reserved(23 downto 16);</t>
  </si>
  <si>
    <t xml:space="preserve">      avalon_mm_rmap_o.readdata(31 downto 24) &lt;= rmap_registers_wr_i.aeb_gen_cfg_reserved_20c.reserved(31 downto 24);</t>
  </si>
  <si>
    <t xml:space="preserve">  when (16#13E#) =&gt;</t>
  </si>
  <si>
    <t xml:space="preserve">      -- AEB General Configuration Area Register "RESERVED_210" : "RESERVED" Field</t>
  </si>
  <si>
    <t xml:space="preserve">      avalon_mm_rmap_o.readdata(7 downto 0) &lt;= rmap_registers_wr_i.aeb_gen_cfg_reserved_210.reserved(7 downto 0);</t>
  </si>
  <si>
    <t xml:space="preserve">      avalon_mm_rmap_o.readdata(15 downto 8) &lt;= rmap_registers_wr_i.aeb_gen_cfg_reserved_210.reserved(15 downto 8);</t>
  </si>
  <si>
    <t xml:space="preserve">      avalon_mm_rmap_o.readdata(23 downto 16) &lt;= rmap_registers_wr_i.aeb_gen_cfg_reserved_210.reserved(23 downto 16);</t>
  </si>
  <si>
    <t xml:space="preserve">      avalon_mm_rmap_o.readdata(31 downto 24) &lt;= rmap_registers_wr_i.aeb_gen_cfg_reserved_210.reserved(31 downto 24);</t>
  </si>
  <si>
    <t xml:space="preserve">  when (16#13F#) =&gt;</t>
  </si>
  <si>
    <t xml:space="preserve">      -- AEB General Configuration Area Register "RESERVED_214" : "RESERVED" Field</t>
  </si>
  <si>
    <t xml:space="preserve">      avalon_mm_rmap_o.readdata(7 downto 0) &lt;= rmap_registers_wr_i.aeb_gen_cfg_reserved_214.reserved(7 downto 0);</t>
  </si>
  <si>
    <t xml:space="preserve">      avalon_mm_rmap_o.readdata(15 downto 8) &lt;= rmap_registers_wr_i.aeb_gen_cfg_reserved_214.reserved(15 downto 8);</t>
  </si>
  <si>
    <t xml:space="preserve">      avalon_mm_rmap_o.readdata(23 downto 16) &lt;= rmap_registers_wr_i.aeb_gen_cfg_reserved_214.reserved(23 downto 16);</t>
  </si>
  <si>
    <t xml:space="preserve">      avalon_mm_rmap_o.readdata(31 downto 24) &lt;= rmap_registers_wr_i.aeb_gen_cfg_reserved_214.reserved(31 downto 24);</t>
  </si>
  <si>
    <t xml:space="preserve">  when (16#140#) =&gt;</t>
  </si>
  <si>
    <t xml:space="preserve">      -- AEB General Configuration Area Register "RESERVED_218" : "RESERVED" Field</t>
  </si>
  <si>
    <t xml:space="preserve">      avalon_mm_rmap_o.readdata(7 downto 0) &lt;= rmap_registers_wr_i.aeb_gen_cfg_reserved_218.reserved(7 downto 0);</t>
  </si>
  <si>
    <t xml:space="preserve">      avalon_mm_rmap_o.readdata(15 downto 8) &lt;= rmap_registers_wr_i.aeb_gen_cfg_reserved_218.reserved(15 downto 8);</t>
  </si>
  <si>
    <t xml:space="preserve">      avalon_mm_rmap_o.readdata(23 downto 16) &lt;= rmap_registers_wr_i.aeb_gen_cfg_reserved_218.reserved(23 downto 16);</t>
  </si>
  <si>
    <t xml:space="preserve">      avalon_mm_rmap_o.readdata(31 downto 24) &lt;= rmap_registers_wr_i.aeb_gen_cfg_reserved_218.reserved(31 downto 24);</t>
  </si>
  <si>
    <t xml:space="preserve">  when (16#141#) =&gt;</t>
  </si>
  <si>
    <t xml:space="preserve">      -- AEB General Configuration Area Register "RESERVED_21C" : "RESERVED" Field</t>
  </si>
  <si>
    <t xml:space="preserve">      avalon_mm_rmap_o.readdata(7 downto 0) &lt;= rmap_registers_wr_i.aeb_gen_cfg_reserved_21c.reserved(7 downto 0);</t>
  </si>
  <si>
    <t xml:space="preserve">      avalon_mm_rmap_o.readdata(15 downto 8) &lt;= rmap_registers_wr_i.aeb_gen_cfg_reserved_21c.reserved(15 downto 8);</t>
  </si>
  <si>
    <t xml:space="preserve">      avalon_mm_rmap_o.readdata(23 downto 16) &lt;= rmap_registers_wr_i.aeb_gen_cfg_reserved_21c.reserved(23 downto 16);</t>
  </si>
  <si>
    <t xml:space="preserve">      avalon_mm_rmap_o.readdata(31 downto 24) &lt;= rmap_registers_wr_i.aeb_gen_cfg_reserved_21c.reserved(31 downto 24);</t>
  </si>
  <si>
    <t xml:space="preserve">  when (16#142#) =&gt;</t>
  </si>
  <si>
    <t xml:space="preserve">      -- AEB General Configuration Area Register "RESERVED_220" : "RESERVED" Field</t>
  </si>
  <si>
    <t xml:space="preserve">      avalon_mm_rmap_o.readdata(7 downto 0) &lt;= rmap_registers_wr_i.aeb_gen_cfg_reserved_220.reserved(7 downto 0);</t>
  </si>
  <si>
    <t xml:space="preserve">      avalon_mm_rmap_o.readdata(15 downto 8) &lt;= rmap_registers_wr_i.aeb_gen_cfg_reserved_220.reserved(15 downto 8);</t>
  </si>
  <si>
    <t xml:space="preserve">      avalon_mm_rmap_o.readdata(23 downto 16) &lt;= rmap_registers_wr_i.aeb_gen_cfg_reserved_220.reserved(23 downto 16);</t>
  </si>
  <si>
    <t xml:space="preserve">      avalon_mm_rmap_o.readdata(31 downto 24) &lt;= rmap_registers_wr_i.aeb_gen_cfg_reserved_220.reserved(31 downto 24);</t>
  </si>
  <si>
    <t xml:space="preserve">  when (16#143#) =&gt;</t>
  </si>
  <si>
    <t xml:space="preserve">      -- AEB General Configuration Area Register "RESERVED_224" : "RESERVED" Field</t>
  </si>
  <si>
    <t xml:space="preserve">      avalon_mm_rmap_o.readdata(7 downto 0) &lt;= rmap_registers_wr_i.aeb_gen_cfg_reserved_224.reserved(7 downto 0);</t>
  </si>
  <si>
    <t xml:space="preserve">      avalon_mm_rmap_o.readdata(15 downto 8) &lt;= rmap_registers_wr_i.aeb_gen_cfg_reserved_224.reserved(15 downto 8);</t>
  </si>
  <si>
    <t xml:space="preserve">      avalon_mm_rmap_o.readdata(23 downto 16) &lt;= rmap_registers_wr_i.aeb_gen_cfg_reserved_224.reserved(23 downto 16);</t>
  </si>
  <si>
    <t xml:space="preserve">      avalon_mm_rmap_o.readdata(31 downto 24) &lt;= rmap_registers_wr_i.aeb_gen_cfg_reserved_224.reserved(31 downto 24);</t>
  </si>
  <si>
    <t xml:space="preserve">  when (16#144#) =&gt;</t>
  </si>
  <si>
    <t xml:space="preserve">      -- AEB General Configuration Area Register "RESERVED_228" : "RESERVED" Field</t>
  </si>
  <si>
    <t xml:space="preserve">      avalon_mm_rmap_o.readdata(7 downto 0) &lt;= rmap_registers_wr_i.aeb_gen_cfg_reserved_228.reserved(7 downto 0);</t>
  </si>
  <si>
    <t xml:space="preserve">      avalon_mm_rmap_o.readdata(15 downto 8) &lt;= rmap_registers_wr_i.aeb_gen_cfg_reserved_228.reserved(15 downto 8);</t>
  </si>
  <si>
    <t xml:space="preserve">      avalon_mm_rmap_o.readdata(23 downto 16) &lt;= rmap_registers_wr_i.aeb_gen_cfg_reserved_228.reserved(23 downto 16);</t>
  </si>
  <si>
    <t xml:space="preserve">      avalon_mm_rmap_o.readdata(31 downto 24) &lt;= rmap_registers_wr_i.aeb_gen_cfg_reserved_228.reserved(31 downto 24);</t>
  </si>
  <si>
    <t xml:space="preserve">  when (16#145#) =&gt;</t>
  </si>
  <si>
    <t xml:space="preserve">      -- AEB General Configuration Area Register "RESERVED_22C" : "RESERVED" Field</t>
  </si>
  <si>
    <t xml:space="preserve">      avalon_mm_rmap_o.readdata(7 downto 0) &lt;= rmap_registers_wr_i.aeb_gen_cfg_reserved_22c.reserved(7 downto 0);</t>
  </si>
  <si>
    <t xml:space="preserve">      avalon_mm_rmap_o.readdata(15 downto 8) &lt;= rmap_registers_wr_i.aeb_gen_cfg_reserved_22c.reserved(15 downto 8);</t>
  </si>
  <si>
    <t xml:space="preserve">      avalon_mm_rmap_o.readdata(23 downto 16) &lt;= rmap_registers_wr_i.aeb_gen_cfg_reserved_22c.reserved(23 downto 16);</t>
  </si>
  <si>
    <t xml:space="preserve">      avalon_mm_rmap_o.readdata(31 downto 24) &lt;= rmap_registers_wr_i.aeb_gen_cfg_reserved_22c.reserved(31 downto 24);</t>
  </si>
  <si>
    <t xml:space="preserve">  when (16#146#) =&gt;</t>
  </si>
  <si>
    <t xml:space="preserve">      -- AEB General Configuration Area Register "RESERVED_230" : "RESERVED" Field</t>
  </si>
  <si>
    <t xml:space="preserve">      avalon_mm_rmap_o.readdata(7 downto 0) &lt;= rmap_registers_wr_i.aeb_gen_cfg_reserved_230.reserved(7 downto 0);</t>
  </si>
  <si>
    <t xml:space="preserve">      avalon_mm_rmap_o.readdata(15 downto 8) &lt;= rmap_registers_wr_i.aeb_gen_cfg_reserved_230.reserved(15 downto 8);</t>
  </si>
  <si>
    <t xml:space="preserve">      avalon_mm_rmap_o.readdata(23 downto 16) &lt;= rmap_registers_wr_i.aeb_gen_cfg_reserved_230.reserved(23 downto 16);</t>
  </si>
  <si>
    <t xml:space="preserve">      avalon_mm_rmap_o.readdata(31 downto 24) &lt;= rmap_registers_wr_i.aeb_gen_cfg_reserved_230.reserved(31 downto 24);</t>
  </si>
  <si>
    <t xml:space="preserve">  when (16#147#) =&gt;</t>
  </si>
  <si>
    <t xml:space="preserve">      -- AEB General Configuration Area Register "RESERVED_234" : "RESERVED" Field</t>
  </si>
  <si>
    <t xml:space="preserve">      avalon_mm_rmap_o.readdata(7 downto 0) &lt;= rmap_registers_wr_i.aeb_gen_cfg_reserved_234.reserved(7 downto 0);</t>
  </si>
  <si>
    <t xml:space="preserve">      avalon_mm_rmap_o.readdata(15 downto 8) &lt;= rmap_registers_wr_i.aeb_gen_cfg_reserved_234.reserved(15 downto 8);</t>
  </si>
  <si>
    <t xml:space="preserve">      avalon_mm_rmap_o.readdata(23 downto 16) &lt;= rmap_registers_wr_i.aeb_gen_cfg_reserved_234.reserved(23 downto 16);</t>
  </si>
  <si>
    <t xml:space="preserve">      avalon_mm_rmap_o.readdata(31 downto 24) &lt;= rmap_registers_wr_i.aeb_gen_cfg_reserved_234.reserved(31 downto 24);</t>
  </si>
  <si>
    <t xml:space="preserve">  when (16#148#) =&gt;</t>
  </si>
  <si>
    <t xml:space="preserve">      -- AEB General Configuration Area Register "RESERVED_238" : "RESERVED" Field</t>
  </si>
  <si>
    <t xml:space="preserve">      avalon_mm_rmap_o.readdata(7 downto 0) &lt;= rmap_registers_wr_i.aeb_gen_cfg_reserved_238.reserved(7 downto 0);</t>
  </si>
  <si>
    <t xml:space="preserve">      avalon_mm_rmap_o.readdata(15 downto 8) &lt;= rmap_registers_wr_i.aeb_gen_cfg_reserved_238.reserved(15 downto 8);</t>
  </si>
  <si>
    <t xml:space="preserve">      avalon_mm_rmap_o.readdata(23 downto 16) &lt;= rmap_registers_wr_i.aeb_gen_cfg_reserved_238.reserved(23 downto 16);</t>
  </si>
  <si>
    <t xml:space="preserve">      avalon_mm_rmap_o.readdata(31 downto 24) &lt;= rmap_registers_wr_i.aeb_gen_cfg_reserved_238.reserved(31 downto 24);</t>
  </si>
  <si>
    <t xml:space="preserve">  when (16#149#) =&gt;</t>
  </si>
  <si>
    <t xml:space="preserve">      -- AEB General Configuration Area Register "RESERVED_23C" : "RESERVED" Field</t>
  </si>
  <si>
    <t xml:space="preserve">      avalon_mm_rmap_o.readdata(7 downto 0) &lt;= rmap_registers_wr_i.aeb_gen_cfg_reserved_23c.reserved(7 downto 0);</t>
  </si>
  <si>
    <t xml:space="preserve">      avalon_mm_rmap_o.readdata(15 downto 8) &lt;= rmap_registers_wr_i.aeb_gen_cfg_reserved_23c.reserved(15 downto 8);</t>
  </si>
  <si>
    <t xml:space="preserve">      avalon_mm_rmap_o.readdata(23 downto 16) &lt;= rmap_registers_wr_i.aeb_gen_cfg_reserved_23c.reserved(23 downto 16);</t>
  </si>
  <si>
    <t xml:space="preserve">      avalon_mm_rmap_o.readdata(31 downto 24) &lt;= rmap_registers_wr_i.aeb_gen_cfg_reserved_23c.reserved(31 downto 24);</t>
  </si>
  <si>
    <t xml:space="preserve">  when (16#14A#) =&gt;</t>
  </si>
  <si>
    <t xml:space="preserve">      -- AEB General Configuration Area Register "RESERVED_240" : "RESERVED" Field</t>
  </si>
  <si>
    <t xml:space="preserve">      avalon_mm_rmap_o.readdata(7 downto 0) &lt;= rmap_registers_wr_i.aeb_gen_cfg_reserved_240.reserved(7 downto 0);</t>
  </si>
  <si>
    <t xml:space="preserve">      avalon_mm_rmap_o.readdata(15 downto 8) &lt;= rmap_registers_wr_i.aeb_gen_cfg_reserved_240.reserved(15 downto 8);</t>
  </si>
  <si>
    <t xml:space="preserve">      avalon_mm_rmap_o.readdata(23 downto 16) &lt;= rmap_registers_wr_i.aeb_gen_cfg_reserved_240.reserved(23 downto 16);</t>
  </si>
  <si>
    <t xml:space="preserve">      avalon_mm_rmap_o.readdata(31 downto 24) &lt;= rmap_registers_wr_i.aeb_gen_cfg_reserved_240.reserved(31 downto 24);</t>
  </si>
  <si>
    <t xml:space="preserve">  when (16#14B#) =&gt;</t>
  </si>
  <si>
    <t xml:space="preserve">      -- AEB General Configuration Area Register "RESERVED_244" : "RESERVED" Field</t>
  </si>
  <si>
    <t xml:space="preserve">      avalon_mm_rmap_o.readdata(7 downto 0) &lt;= rmap_registers_wr_i.aeb_gen_cfg_reserved_244.reserved(7 downto 0);</t>
  </si>
  <si>
    <t xml:space="preserve">      avalon_mm_rmap_o.readdata(15 downto 8) &lt;= rmap_registers_wr_i.aeb_gen_cfg_reserved_244.reserved(15 downto 8);</t>
  </si>
  <si>
    <t xml:space="preserve">      avalon_mm_rmap_o.readdata(23 downto 16) &lt;= rmap_registers_wr_i.aeb_gen_cfg_reserved_244.reserved(23 downto 16);</t>
  </si>
  <si>
    <t xml:space="preserve">      avalon_mm_rmap_o.readdata(31 downto 24) &lt;= rmap_registers_wr_i.aeb_gen_cfg_reserved_244.reserved(31 downto 24);</t>
  </si>
  <si>
    <t xml:space="preserve">  when (16#14C#) =&gt;</t>
  </si>
  <si>
    <t xml:space="preserve">      -- AEB General Configuration Area Register "RESERVED_248" : "RESERVED" Field</t>
  </si>
  <si>
    <t xml:space="preserve">      avalon_mm_rmap_o.readdata(7 downto 0) &lt;= rmap_registers_wr_i.aeb_gen_cfg_reserved_248.reserved(7 downto 0);</t>
  </si>
  <si>
    <t xml:space="preserve">      avalon_mm_rmap_o.readdata(15 downto 8) &lt;= rmap_registers_wr_i.aeb_gen_cfg_reserved_248.reserved(15 downto 8);</t>
  </si>
  <si>
    <t xml:space="preserve">      avalon_mm_rmap_o.readdata(23 downto 16) &lt;= rmap_registers_wr_i.aeb_gen_cfg_reserved_248.reserved(23 downto 16);</t>
  </si>
  <si>
    <t xml:space="preserve">      avalon_mm_rmap_o.readdata(31 downto 24) &lt;= rmap_registers_wr_i.aeb_gen_cfg_reserved_248.reserved(31 downto 24);</t>
  </si>
  <si>
    <t xml:space="preserve">  when (16#14D#) =&gt;</t>
  </si>
  <si>
    <t xml:space="preserve">      -- AEB General Configuration Area Register "RESERVED_24C" : "RESERVED" Field</t>
  </si>
  <si>
    <t xml:space="preserve">      avalon_mm_rmap_o.readdata(7 downto 0) &lt;= rmap_registers_wr_i.aeb_gen_cfg_reserved_24c.reserved(7 downto 0);</t>
  </si>
  <si>
    <t xml:space="preserve">      avalon_mm_rmap_o.readdata(15 downto 8) &lt;= rmap_registers_wr_i.aeb_gen_cfg_reserved_24c.reserved(15 downto 8);</t>
  </si>
  <si>
    <t xml:space="preserve">      avalon_mm_rmap_o.readdata(23 downto 16) &lt;= rmap_registers_wr_i.aeb_gen_cfg_reserved_24c.reserved(23 downto 16);</t>
  </si>
  <si>
    <t xml:space="preserve">      avalon_mm_rmap_o.readdata(31 downto 24) &lt;= rmap_registers_wr_i.aeb_gen_cfg_reserved_24c.reserved(31 downto 24);</t>
  </si>
  <si>
    <t xml:space="preserve">  when (16#14E#) =&gt;</t>
  </si>
  <si>
    <t xml:space="preserve">      -- AEB General Configuration Area Register "RESERVED_250" : "RESERVED" Field</t>
  </si>
  <si>
    <t xml:space="preserve">      avalon_mm_rmap_o.readdata(7 downto 0) &lt;= rmap_registers_wr_i.aeb_gen_cfg_reserved_250.reserved(7 downto 0);</t>
  </si>
  <si>
    <t xml:space="preserve">      avalon_mm_rmap_o.readdata(15 downto 8) &lt;= rmap_registers_wr_i.aeb_gen_cfg_reserved_250.reserved(15 downto 8);</t>
  </si>
  <si>
    <t xml:space="preserve">      avalon_mm_rmap_o.readdata(23 downto 16) &lt;= rmap_registers_wr_i.aeb_gen_cfg_reserved_250.reserved(23 downto 16);</t>
  </si>
  <si>
    <t xml:space="preserve">      avalon_mm_rmap_o.readdata(31 downto 24) &lt;= rmap_registers_wr_i.aeb_gen_cfg_reserved_250.reserved(31 downto 24);</t>
  </si>
  <si>
    <t xml:space="preserve">  when (16#14F#) =&gt;</t>
  </si>
  <si>
    <t xml:space="preserve">      -- AEB General Configuration Area Register "RESERVED_254" : "RESERVED" Field</t>
  </si>
  <si>
    <t xml:space="preserve">      avalon_mm_rmap_o.readdata(7 downto 0) &lt;= rmap_registers_wr_i.aeb_gen_cfg_reserved_254.reserved(7 downto 0);</t>
  </si>
  <si>
    <t xml:space="preserve">      avalon_mm_rmap_o.readdata(15 downto 8) &lt;= rmap_registers_wr_i.aeb_gen_cfg_reserved_254.reserved(15 downto 8);</t>
  </si>
  <si>
    <t xml:space="preserve">      avalon_mm_rmap_o.readdata(23 downto 16) &lt;= rmap_registers_wr_i.aeb_gen_cfg_reserved_254.reserved(23 downto 16);</t>
  </si>
  <si>
    <t xml:space="preserve">      avalon_mm_rmap_o.readdata(31 downto 24) &lt;= rmap_registers_wr_i.aeb_gen_cfg_reserved_254.reserved(31 downto 24);</t>
  </si>
  <si>
    <t xml:space="preserve">  when (16#150#) =&gt;</t>
  </si>
  <si>
    <t xml:space="preserve">      -- AEB General Configuration Area Register "RESERVED_258" : "RESERVED" Field</t>
  </si>
  <si>
    <t xml:space="preserve">      avalon_mm_rmap_o.readdata(7 downto 0) &lt;= rmap_registers_wr_i.aeb_gen_cfg_reserved_258.reserved(7 downto 0);</t>
  </si>
  <si>
    <t xml:space="preserve">      avalon_mm_rmap_o.readdata(15 downto 8) &lt;= rmap_registers_wr_i.aeb_gen_cfg_reserved_258.reserved(15 downto 8);</t>
  </si>
  <si>
    <t xml:space="preserve">      avalon_mm_rmap_o.readdata(23 downto 16) &lt;= rmap_registers_wr_i.aeb_gen_cfg_reserved_258.reserved(23 downto 16);</t>
  </si>
  <si>
    <t xml:space="preserve">      avalon_mm_rmap_o.readdata(31 downto 24) &lt;= rmap_registers_wr_i.aeb_gen_cfg_reserved_258.reserved(31 downto 24);</t>
  </si>
  <si>
    <t xml:space="preserve">  when (16#151#) =&gt;</t>
  </si>
  <si>
    <t xml:space="preserve">      -- AEB General Configuration Area Register "RESERVED_25C" : "RESERVED" Field</t>
  </si>
  <si>
    <t xml:space="preserve">      avalon_mm_rmap_o.readdata(7 downto 0) &lt;= rmap_registers_wr_i.aeb_gen_cfg_reserved_25c.reserved(7 downto 0);</t>
  </si>
  <si>
    <t xml:space="preserve">      avalon_mm_rmap_o.readdata(15 downto 8) &lt;= rmap_registers_wr_i.aeb_gen_cfg_reserved_25c.reserved(15 downto 8);</t>
  </si>
  <si>
    <t xml:space="preserve">      avalon_mm_rmap_o.readdata(23 downto 16) &lt;= rmap_registers_wr_i.aeb_gen_cfg_reserved_25c.reserved(23 downto 16);</t>
  </si>
  <si>
    <t xml:space="preserve">      avalon_mm_rmap_o.readdata(31 downto 24) &lt;= rmap_registers_wr_i.aeb_gen_cfg_reserved_25c.reserved(31 downto 24);</t>
  </si>
  <si>
    <t xml:space="preserve">  when (16#152#) =&gt;</t>
  </si>
  <si>
    <t xml:space="preserve">      -- AEB General Configuration Area Register "RESERVED_260" : "RESERVED" Field</t>
  </si>
  <si>
    <t xml:space="preserve">      avalon_mm_rmap_o.readdata(7 downto 0) &lt;= rmap_registers_wr_i.aeb_gen_cfg_reserved_260.reserved(7 downto 0);</t>
  </si>
  <si>
    <t xml:space="preserve">      avalon_mm_rmap_o.readdata(15 downto 8) &lt;= rmap_registers_wr_i.aeb_gen_cfg_reserved_260.reserved(15 downto 8);</t>
  </si>
  <si>
    <t xml:space="preserve">      avalon_mm_rmap_o.readdata(23 downto 16) &lt;= rmap_registers_wr_i.aeb_gen_cfg_reserved_260.reserved(23 downto 16);</t>
  </si>
  <si>
    <t xml:space="preserve">      avalon_mm_rmap_o.readdata(31 downto 24) &lt;= rmap_registers_wr_i.aeb_gen_cfg_reserved_260.reserved(31 downto 24);</t>
  </si>
  <si>
    <t xml:space="preserve">  when (16#153#) =&gt;</t>
  </si>
  <si>
    <t xml:space="preserve">      -- AEB General Configuration Area Register "RESERVED_264" : "RESERVED" Field</t>
  </si>
  <si>
    <t xml:space="preserve">      avalon_mm_rmap_o.readdata(7 downto 0) &lt;= rmap_registers_wr_i.aeb_gen_cfg_reserved_264.reserved(7 downto 0);</t>
  </si>
  <si>
    <t xml:space="preserve">      avalon_mm_rmap_o.readdata(15 downto 8) &lt;= rmap_registers_wr_i.aeb_gen_cfg_reserved_264.reserved(15 downto 8);</t>
  </si>
  <si>
    <t xml:space="preserve">      avalon_mm_rmap_o.readdata(23 downto 16) &lt;= rmap_registers_wr_i.aeb_gen_cfg_reserved_264.reserved(23 downto 16);</t>
  </si>
  <si>
    <t xml:space="preserve">      avalon_mm_rmap_o.readdata(31 downto 24) &lt;= rmap_registers_wr_i.aeb_gen_cfg_reserved_264.reserved(31 downto 24);</t>
  </si>
  <si>
    <t xml:space="preserve">  when (16#154#) =&gt;</t>
  </si>
  <si>
    <t xml:space="preserve">      -- AEB General Configuration Area Register "RESERVED_268" : "RESERVED" Field</t>
  </si>
  <si>
    <t xml:space="preserve">      avalon_mm_rmap_o.readdata(7 downto 0) &lt;= rmap_registers_wr_i.aeb_gen_cfg_reserved_268.reserved(7 downto 0);</t>
  </si>
  <si>
    <t xml:space="preserve">      avalon_mm_rmap_o.readdata(15 downto 8) &lt;= rmap_registers_wr_i.aeb_gen_cfg_reserved_268.reserved(15 downto 8);</t>
  </si>
  <si>
    <t xml:space="preserve">      avalon_mm_rmap_o.readdata(23 downto 16) &lt;= rmap_registers_wr_i.aeb_gen_cfg_reserved_268.reserved(23 downto 16);</t>
  </si>
  <si>
    <t xml:space="preserve">      avalon_mm_rmap_o.readdata(31 downto 24) &lt;= rmap_registers_wr_i.aeb_gen_cfg_reserved_268.reserved(31 downto 24);</t>
  </si>
  <si>
    <t xml:space="preserve">  when (16#155#) =&gt;</t>
  </si>
  <si>
    <t xml:space="preserve">      -- AEB General Configuration Area Register "RESERVED_26C" : "RESERVED" Field</t>
  </si>
  <si>
    <t xml:space="preserve">      avalon_mm_rmap_o.readdata(7 downto 0) &lt;= rmap_registers_wr_i.aeb_gen_cfg_reserved_26c.reserved(7 downto 0);</t>
  </si>
  <si>
    <t xml:space="preserve">      avalon_mm_rmap_o.readdata(15 downto 8) &lt;= rmap_registers_wr_i.aeb_gen_cfg_reserved_26c.reserved(15 downto 8);</t>
  </si>
  <si>
    <t xml:space="preserve">      avalon_mm_rmap_o.readdata(23 downto 16) &lt;= rmap_registers_wr_i.aeb_gen_cfg_reserved_26c.reserved(23 downto 16);</t>
  </si>
  <si>
    <t xml:space="preserve">      avalon_mm_rmap_o.readdata(31 downto 24) &lt;= rmap_registers_wr_i.aeb_gen_cfg_reserved_26c.reserved(31 downto 24);</t>
  </si>
  <si>
    <t xml:space="preserve">  when (16#156#) =&gt;</t>
  </si>
  <si>
    <t xml:space="preserve">      -- AEB General Configuration Area Register "RESERVED_270" : "RESERVED" Field</t>
  </si>
  <si>
    <t xml:space="preserve">      avalon_mm_rmap_o.readdata(7 downto 0) &lt;= rmap_registers_wr_i.aeb_gen_cfg_reserved_270.reserved(7 downto 0);</t>
  </si>
  <si>
    <t xml:space="preserve">      avalon_mm_rmap_o.readdata(15 downto 8) &lt;= rmap_registers_wr_i.aeb_gen_cfg_reserved_270.reserved(15 downto 8);</t>
  </si>
  <si>
    <t xml:space="preserve">      avalon_mm_rmap_o.readdata(23 downto 16) &lt;= rmap_registers_wr_i.aeb_gen_cfg_reserved_270.reserved(23 downto 16);</t>
  </si>
  <si>
    <t xml:space="preserve">      avalon_mm_rmap_o.readdata(31 downto 24) &lt;= rmap_registers_wr_i.aeb_gen_cfg_reserved_270.reserved(31 downto 24);</t>
  </si>
  <si>
    <t xml:space="preserve">  when (16#157#) =&gt;</t>
  </si>
  <si>
    <t xml:space="preserve">      -- AEB General Configuration Area Register "RESERVED_274" : "RESERVED" Field</t>
  </si>
  <si>
    <t xml:space="preserve">      avalon_mm_rmap_o.readdata(7 downto 0) &lt;= rmap_registers_wr_i.aeb_gen_cfg_reserved_274.reserved(7 downto 0);</t>
  </si>
  <si>
    <t xml:space="preserve">      avalon_mm_rmap_o.readdata(15 downto 8) &lt;= rmap_registers_wr_i.aeb_gen_cfg_reserved_274.reserved(15 downto 8);</t>
  </si>
  <si>
    <t xml:space="preserve">      avalon_mm_rmap_o.readdata(23 downto 16) &lt;= rmap_registers_wr_i.aeb_gen_cfg_reserved_274.reserved(23 downto 16);</t>
  </si>
  <si>
    <t xml:space="preserve">      avalon_mm_rmap_o.readdata(31 downto 24) &lt;= rmap_registers_wr_i.aeb_gen_cfg_reserved_274.reserved(31 downto 24);</t>
  </si>
  <si>
    <t xml:space="preserve">  when (16#158#) =&gt;</t>
  </si>
  <si>
    <t xml:space="preserve">      -- AEB General Configuration Area Register "RESERVED_278" : "RESERVED" Field</t>
  </si>
  <si>
    <t xml:space="preserve">      avalon_mm_rmap_o.readdata(7 downto 0) &lt;= rmap_registers_wr_i.aeb_gen_cfg_reserved_278.reserved(7 downto 0);</t>
  </si>
  <si>
    <t xml:space="preserve">      avalon_mm_rmap_o.readdata(15 downto 8) &lt;= rmap_registers_wr_i.aeb_gen_cfg_reserved_278.reserved(15 downto 8);</t>
  </si>
  <si>
    <t xml:space="preserve">      avalon_mm_rmap_o.readdata(23 downto 16) &lt;= rmap_registers_wr_i.aeb_gen_cfg_reserved_278.reserved(23 downto 16);</t>
  </si>
  <si>
    <t xml:space="preserve">      avalon_mm_rmap_o.readdata(31 downto 24) &lt;= rmap_registers_wr_i.aeb_gen_cfg_reserved_278.reserved(31 downto 24);</t>
  </si>
  <si>
    <t xml:space="preserve">  when (16#159#) =&gt;</t>
  </si>
  <si>
    <t xml:space="preserve">      -- AEB General Configuration Area Register "RESERVED_27C" : "RESERVED" Field</t>
  </si>
  <si>
    <t xml:space="preserve">      avalon_mm_rmap_o.readdata(7 downto 0) &lt;= rmap_registers_wr_i.aeb_gen_cfg_reserved_27c.reserved(7 downto 0);</t>
  </si>
  <si>
    <t xml:space="preserve">      avalon_mm_rmap_o.readdata(15 downto 8) &lt;= rmap_registers_wr_i.aeb_gen_cfg_reserved_27c.reserved(15 downto 8);</t>
  </si>
  <si>
    <t xml:space="preserve">      avalon_mm_rmap_o.readdata(23 downto 16) &lt;= rmap_registers_wr_i.aeb_gen_cfg_reserved_27c.reserved(23 downto 16);</t>
  </si>
  <si>
    <t xml:space="preserve">      avalon_mm_rmap_o.readdata(31 downto 24) &lt;= rmap_registers_wr_i.aeb_gen_cfg_reserved_27c.reserved(31 downto 24);</t>
  </si>
  <si>
    <t xml:space="preserve">  when (16#15A#) =&gt;</t>
  </si>
  <si>
    <t xml:space="preserve">      -- AEB General Configuration Area Register "RESERVED_280" : "RESERVED" Field</t>
  </si>
  <si>
    <t xml:space="preserve">      avalon_mm_rmap_o.readdata(7 downto 0) &lt;= rmap_registers_wr_i.aeb_gen_cfg_reserved_280.reserved(7 downto 0);</t>
  </si>
  <si>
    <t xml:space="preserve">      avalon_mm_rmap_o.readdata(15 downto 8) &lt;= rmap_registers_wr_i.aeb_gen_cfg_reserved_280.reserved(15 downto 8);</t>
  </si>
  <si>
    <t xml:space="preserve">      avalon_mm_rmap_o.readdata(23 downto 16) &lt;= rmap_registers_wr_i.aeb_gen_cfg_reserved_280.reserved(23 downto 16);</t>
  </si>
  <si>
    <t xml:space="preserve">      avalon_mm_rmap_o.readdata(31 downto 24) &lt;= rmap_registers_wr_i.aeb_gen_cfg_reserved_280.reserved(31 downto 24);</t>
  </si>
  <si>
    <t xml:space="preserve">  when (16#15B#) =&gt;</t>
  </si>
  <si>
    <t xml:space="preserve">      -- AEB General Configuration Area Register "RESERVED_284" : "RESERVED" Field</t>
  </si>
  <si>
    <t xml:space="preserve">      avalon_mm_rmap_o.readdata(7 downto 0) &lt;= rmap_registers_wr_i.aeb_gen_cfg_reserved_284.reserved(7 downto 0);</t>
  </si>
  <si>
    <t xml:space="preserve">      avalon_mm_rmap_o.readdata(15 downto 8) &lt;= rmap_registers_wr_i.aeb_gen_cfg_reserved_284.reserved(15 downto 8);</t>
  </si>
  <si>
    <t xml:space="preserve">      avalon_mm_rmap_o.readdata(23 downto 16) &lt;= rmap_registers_wr_i.aeb_gen_cfg_reserved_284.reserved(23 downto 16);</t>
  </si>
  <si>
    <t xml:space="preserve">      avalon_mm_rmap_o.readdata(31 downto 24) &lt;= rmap_registers_wr_i.aeb_gen_cfg_reserved_284.reserved(31 downto 24);</t>
  </si>
  <si>
    <t xml:space="preserve">  when (16#15C#) =&gt;</t>
  </si>
  <si>
    <t xml:space="preserve">      -- AEB General Configuration Area Register "RESERVED_288" : "RESERVED" Field</t>
  </si>
  <si>
    <t xml:space="preserve">      avalon_mm_rmap_o.readdata(7 downto 0) &lt;= rmap_registers_wr_i.aeb_gen_cfg_reserved_288.reserved(7 downto 0);</t>
  </si>
  <si>
    <t xml:space="preserve">      avalon_mm_rmap_o.readdata(15 downto 8) &lt;= rmap_registers_wr_i.aeb_gen_cfg_reserved_288.reserved(15 downto 8);</t>
  </si>
  <si>
    <t xml:space="preserve">      avalon_mm_rmap_o.readdata(23 downto 16) &lt;= rmap_registers_wr_i.aeb_gen_cfg_reserved_288.reserved(23 downto 16);</t>
  </si>
  <si>
    <t xml:space="preserve">      avalon_mm_rmap_o.readdata(31 downto 24) &lt;= rmap_registers_wr_i.aeb_gen_cfg_reserved_288.reserved(31 downto 24);</t>
  </si>
  <si>
    <t xml:space="preserve">  when (16#15D#) =&gt;</t>
  </si>
  <si>
    <t xml:space="preserve">      -- AEB General Configuration Area Register "RESERVED_28C" : "RESERVED" Field</t>
  </si>
  <si>
    <t xml:space="preserve">      avalon_mm_rmap_o.readdata(7 downto 0) &lt;= rmap_registers_wr_i.aeb_gen_cfg_reserved_28c.reserved(7 downto 0);</t>
  </si>
  <si>
    <t xml:space="preserve">      avalon_mm_rmap_o.readdata(15 downto 8) &lt;= rmap_registers_wr_i.aeb_gen_cfg_reserved_28c.reserved(15 downto 8);</t>
  </si>
  <si>
    <t xml:space="preserve">      avalon_mm_rmap_o.readdata(23 downto 16) &lt;= rmap_registers_wr_i.aeb_gen_cfg_reserved_28c.reserved(23 downto 16);</t>
  </si>
  <si>
    <t xml:space="preserve">      avalon_mm_rmap_o.readdata(31 downto 24) &lt;= rmap_registers_wr_i.aeb_gen_cfg_reserved_28c.reserved(31 downto 24);</t>
  </si>
  <si>
    <t xml:space="preserve">  when (16#15E#) =&gt;</t>
  </si>
  <si>
    <t xml:space="preserve">      -- AEB General Configuration Area Register "RESERVED_290" : "RESERVED" Field</t>
  </si>
  <si>
    <t xml:space="preserve">      avalon_mm_rmap_o.readdata(7 downto 0) &lt;= rmap_registers_wr_i.aeb_gen_cfg_reserved_290.reserved(7 downto 0);</t>
  </si>
  <si>
    <t xml:space="preserve">      avalon_mm_rmap_o.readdata(15 downto 8) &lt;= rmap_registers_wr_i.aeb_gen_cfg_reserved_290.reserved(15 downto 8);</t>
  </si>
  <si>
    <t xml:space="preserve">      avalon_mm_rmap_o.readdata(23 downto 16) &lt;= rmap_registers_wr_i.aeb_gen_cfg_reserved_290.reserved(23 downto 16);</t>
  </si>
  <si>
    <t xml:space="preserve">      avalon_mm_rmap_o.readdata(31 downto 24) &lt;= rmap_registers_wr_i.aeb_gen_cfg_reserved_290.reserved(31 downto 24);</t>
  </si>
  <si>
    <t xml:space="preserve">  when (16#15F#) =&gt;</t>
  </si>
  <si>
    <t xml:space="preserve">      -- AEB General Configuration Area Register "RESERVED_294" : "RESERVED" Field</t>
  </si>
  <si>
    <t xml:space="preserve">      avalon_mm_rmap_o.readdata(7 downto 0) &lt;= rmap_registers_wr_i.aeb_gen_cfg_reserved_294.reserved(7 downto 0);</t>
  </si>
  <si>
    <t xml:space="preserve">      avalon_mm_rmap_o.readdata(15 downto 8) &lt;= rmap_registers_wr_i.aeb_gen_cfg_reserved_294.reserved(15 downto 8);</t>
  </si>
  <si>
    <t xml:space="preserve">      avalon_mm_rmap_o.readdata(23 downto 16) &lt;= rmap_registers_wr_i.aeb_gen_cfg_reserved_294.reserved(23 downto 16);</t>
  </si>
  <si>
    <t xml:space="preserve">      avalon_mm_rmap_o.readdata(31 downto 24) &lt;= rmap_registers_wr_i.aeb_gen_cfg_reserved_294.reserved(31 downto 24);</t>
  </si>
  <si>
    <t xml:space="preserve">  when (16#160#) =&gt;</t>
  </si>
  <si>
    <t xml:space="preserve">      -- AEB General Configuration Area Register "RESERVED_298" : "RESERVED" Field</t>
  </si>
  <si>
    <t xml:space="preserve">      avalon_mm_rmap_o.readdata(7 downto 0) &lt;= rmap_registers_wr_i.aeb_gen_cfg_reserved_298.reserved(7 downto 0);</t>
  </si>
  <si>
    <t xml:space="preserve">      avalon_mm_rmap_o.readdata(15 downto 8) &lt;= rmap_registers_wr_i.aeb_gen_cfg_reserved_298.reserved(15 downto 8);</t>
  </si>
  <si>
    <t xml:space="preserve">      avalon_mm_rmap_o.readdata(23 downto 16) &lt;= rmap_registers_wr_i.aeb_gen_cfg_reserved_298.reserved(23 downto 16);</t>
  </si>
  <si>
    <t xml:space="preserve">      avalon_mm_rmap_o.readdata(31 downto 24) &lt;= rmap_registers_wr_i.aeb_gen_cfg_reserved_298.reserved(31 downto 24);</t>
  </si>
  <si>
    <t xml:space="preserve">  when (16#161#) =&gt;</t>
  </si>
  <si>
    <t xml:space="preserve">      -- AEB General Configuration Area Register "RESERVED_29C" : "RESERVED" Field</t>
  </si>
  <si>
    <t xml:space="preserve">      avalon_mm_rmap_o.readdata(7 downto 0) &lt;= rmap_registers_wr_i.aeb_gen_cfg_reserved_29c.reserved(7 downto 0);</t>
  </si>
  <si>
    <t xml:space="preserve">      avalon_mm_rmap_o.readdata(15 downto 8) &lt;= rmap_registers_wr_i.aeb_gen_cfg_reserved_29c.reserved(15 downto 8);</t>
  </si>
  <si>
    <t xml:space="preserve">      avalon_mm_rmap_o.readdata(23 downto 16) &lt;= rmap_registers_wr_i.aeb_gen_cfg_reserved_29c.reserved(23 downto 16);</t>
  </si>
  <si>
    <t xml:space="preserve">      avalon_mm_rmap_o.readdata(31 downto 24) &lt;= rmap_registers_wr_i.aeb_gen_cfg_reserved_29c.reserved(31 downto 24);</t>
  </si>
  <si>
    <t xml:space="preserve">  when (16#162#) =&gt;</t>
  </si>
  <si>
    <t xml:space="preserve">      -- AEB General Configuration Area Register "RESERVED_2A0" : "RESERVED" Field</t>
  </si>
  <si>
    <t xml:space="preserve">      avalon_mm_rmap_o.readdata(7 downto 0) &lt;= rmap_registers_wr_i.aeb_gen_cfg_reserved_2a0.reserved(7 downto 0);</t>
  </si>
  <si>
    <t xml:space="preserve">      avalon_mm_rmap_o.readdata(15 downto 8) &lt;= rmap_registers_wr_i.aeb_gen_cfg_reserved_2a0.reserved(15 downto 8);</t>
  </si>
  <si>
    <t xml:space="preserve">      avalon_mm_rmap_o.readdata(23 downto 16) &lt;= rmap_registers_wr_i.aeb_gen_cfg_reserved_2a0.reserved(23 downto 16);</t>
  </si>
  <si>
    <t xml:space="preserve">      avalon_mm_rmap_o.readdata(31 downto 24) &lt;= rmap_registers_wr_i.aeb_gen_cfg_reserved_2a0.reserved(31 downto 24);</t>
  </si>
  <si>
    <t xml:space="preserve">  when (16#163#) =&gt;</t>
  </si>
  <si>
    <t xml:space="preserve">      -- AEB General Configuration Area Register "RESERVED_2A4" : "RESERVED" Field</t>
  </si>
  <si>
    <t xml:space="preserve">      avalon_mm_rmap_o.readdata(7 downto 0) &lt;= rmap_registers_wr_i.aeb_gen_cfg_reserved_2a4.reserved(7 downto 0);</t>
  </si>
  <si>
    <t xml:space="preserve">      avalon_mm_rmap_o.readdata(15 downto 8) &lt;= rmap_registers_wr_i.aeb_gen_cfg_reserved_2a4.reserved(15 downto 8);</t>
  </si>
  <si>
    <t xml:space="preserve">      avalon_mm_rmap_o.readdata(23 downto 16) &lt;= rmap_registers_wr_i.aeb_gen_cfg_reserved_2a4.reserved(23 downto 16);</t>
  </si>
  <si>
    <t xml:space="preserve">      avalon_mm_rmap_o.readdata(31 downto 24) &lt;= rmap_registers_wr_i.aeb_gen_cfg_reserved_2a4.reserved(31 downto 24);</t>
  </si>
  <si>
    <t xml:space="preserve">  when (16#164#) =&gt;</t>
  </si>
  <si>
    <t xml:space="preserve">      -- AEB General Configuration Area Register "RESERVED_2A8" : "RESERVED" Field</t>
  </si>
  <si>
    <t xml:space="preserve">      avalon_mm_rmap_o.readdata(7 downto 0) &lt;= rmap_registers_wr_i.aeb_gen_cfg_reserved_2a8.reserved(7 downto 0);</t>
  </si>
  <si>
    <t xml:space="preserve">      avalon_mm_rmap_o.readdata(15 downto 8) &lt;= rmap_registers_wr_i.aeb_gen_cfg_reserved_2a8.reserved(15 downto 8);</t>
  </si>
  <si>
    <t xml:space="preserve">      avalon_mm_rmap_o.readdata(23 downto 16) &lt;= rmap_registers_wr_i.aeb_gen_cfg_reserved_2a8.reserved(23 downto 16);</t>
  </si>
  <si>
    <t xml:space="preserve">      avalon_mm_rmap_o.readdata(31 downto 24) &lt;= rmap_registers_wr_i.aeb_gen_cfg_reserved_2a8.reserved(31 downto 24);</t>
  </si>
  <si>
    <t xml:space="preserve">  when (16#165#) =&gt;</t>
  </si>
  <si>
    <t xml:space="preserve">      -- AEB General Configuration Area Register "RESERVED_2AC" : "RESERVED" Field</t>
  </si>
  <si>
    <t xml:space="preserve">      avalon_mm_rmap_o.readdata(7 downto 0) &lt;= rmap_registers_wr_i.aeb_gen_cfg_reserved_2ac.reserved(7 downto 0);</t>
  </si>
  <si>
    <t xml:space="preserve">      avalon_mm_rmap_o.readdata(15 downto 8) &lt;= rmap_registers_wr_i.aeb_gen_cfg_reserved_2ac.reserved(15 downto 8);</t>
  </si>
  <si>
    <t xml:space="preserve">      avalon_mm_rmap_o.readdata(23 downto 16) &lt;= rmap_registers_wr_i.aeb_gen_cfg_reserved_2ac.reserved(23 downto 16);</t>
  </si>
  <si>
    <t xml:space="preserve">      avalon_mm_rmap_o.readdata(31 downto 24) &lt;= rmap_registers_wr_i.aeb_gen_cfg_reserved_2ac.reserved(31 downto 24);</t>
  </si>
  <si>
    <t xml:space="preserve">  when (16#166#) =&gt;</t>
  </si>
  <si>
    <t xml:space="preserve">      -- AEB General Configuration Area Register "RESERVED_2B0" : "RESERVED" Field</t>
  </si>
  <si>
    <t xml:space="preserve">      avalon_mm_rmap_o.readdata(7 downto 0) &lt;= rmap_registers_wr_i.aeb_gen_cfg_reserved_2b0.reserved(7 downto 0);</t>
  </si>
  <si>
    <t xml:space="preserve">      avalon_mm_rmap_o.readdata(15 downto 8) &lt;= rmap_registers_wr_i.aeb_gen_cfg_reserved_2b0.reserved(15 downto 8);</t>
  </si>
  <si>
    <t xml:space="preserve">      avalon_mm_rmap_o.readdata(23 downto 16) &lt;= rmap_registers_wr_i.aeb_gen_cfg_reserved_2b0.reserved(23 downto 16);</t>
  </si>
  <si>
    <t xml:space="preserve">      avalon_mm_rmap_o.readdata(31 downto 24) &lt;= rmap_registers_wr_i.aeb_gen_cfg_reserved_2b0.reserved(31 downto 24);</t>
  </si>
  <si>
    <t xml:space="preserve">  when (16#167#) =&gt;</t>
  </si>
  <si>
    <t xml:space="preserve">      -- AEB General Configuration Area Register "RESERVED_2B4" : "RESERVED" Field</t>
  </si>
  <si>
    <t xml:space="preserve">      avalon_mm_rmap_o.readdata(7 downto 0) &lt;= rmap_registers_wr_i.aeb_gen_cfg_reserved_2b4.reserved(7 downto 0);</t>
  </si>
  <si>
    <t xml:space="preserve">      avalon_mm_rmap_o.readdata(15 downto 8) &lt;= rmap_registers_wr_i.aeb_gen_cfg_reserved_2b4.reserved(15 downto 8);</t>
  </si>
  <si>
    <t xml:space="preserve">      avalon_mm_rmap_o.readdata(23 downto 16) &lt;= rmap_registers_wr_i.aeb_gen_cfg_reserved_2b4.reserved(23 downto 16);</t>
  </si>
  <si>
    <t xml:space="preserve">      avalon_mm_rmap_o.readdata(31 downto 24) &lt;= rmap_registers_wr_i.aeb_gen_cfg_reserved_2b4.reserved(31 downto 24);</t>
  </si>
  <si>
    <t xml:space="preserve">  when (16#168#) =&gt;</t>
  </si>
  <si>
    <t xml:space="preserve">      -- AEB General Configuration Area Register "RESERVED_2B8" : "RESERVED" Field</t>
  </si>
  <si>
    <t xml:space="preserve">      avalon_mm_rmap_o.readdata(7 downto 0) &lt;= rmap_registers_wr_i.aeb_gen_cfg_reserved_2b8.reserved(7 downto 0);</t>
  </si>
  <si>
    <t xml:space="preserve">      avalon_mm_rmap_o.readdata(15 downto 8) &lt;= rmap_registers_wr_i.aeb_gen_cfg_reserved_2b8.reserved(15 downto 8);</t>
  </si>
  <si>
    <t xml:space="preserve">      avalon_mm_rmap_o.readdata(23 downto 16) &lt;= rmap_registers_wr_i.aeb_gen_cfg_reserved_2b8.reserved(23 downto 16);</t>
  </si>
  <si>
    <t xml:space="preserve">      avalon_mm_rmap_o.readdata(31 downto 24) &lt;= rmap_registers_wr_i.aeb_gen_cfg_reserved_2b8.reserved(31 downto 24);</t>
  </si>
  <si>
    <t xml:space="preserve">  when (16#169#) =&gt;</t>
  </si>
  <si>
    <t xml:space="preserve">      -- AEB General Configuration Area Register "RESERVED_2BC" : "RESERVED" Field</t>
  </si>
  <si>
    <t xml:space="preserve">      avalon_mm_rmap_o.readdata(7 downto 0) &lt;= rmap_registers_wr_i.aeb_gen_cfg_reserved_2bc.reserved(7 downto 0);</t>
  </si>
  <si>
    <t xml:space="preserve">      avalon_mm_rmap_o.readdata(15 downto 8) &lt;= rmap_registers_wr_i.aeb_gen_cfg_reserved_2bc.reserved(15 downto 8);</t>
  </si>
  <si>
    <t xml:space="preserve">      avalon_mm_rmap_o.readdata(23 downto 16) &lt;= rmap_registers_wr_i.aeb_gen_cfg_reserved_2bc.reserved(23 downto 16);</t>
  </si>
  <si>
    <t xml:space="preserve">      avalon_mm_rmap_o.readdata(31 downto 24) &lt;= rmap_registers_wr_i.aeb_gen_cfg_reserved_2bc.reserved(31 downto 24);</t>
  </si>
  <si>
    <t xml:space="preserve">  when (16#16A#) =&gt;</t>
  </si>
  <si>
    <t xml:space="preserve">      -- AEB General Configuration Area Register "RESERVED_2C0" : "RESERVED" Field</t>
  </si>
  <si>
    <t xml:space="preserve">      avalon_mm_rmap_o.readdata(7 downto 0) &lt;= rmap_registers_wr_i.aeb_gen_cfg_reserved_2c0.reserved(7 downto 0);</t>
  </si>
  <si>
    <t xml:space="preserve">      avalon_mm_rmap_o.readdata(15 downto 8) &lt;= rmap_registers_wr_i.aeb_gen_cfg_reserved_2c0.reserved(15 downto 8);</t>
  </si>
  <si>
    <t xml:space="preserve">      avalon_mm_rmap_o.readdata(23 downto 16) &lt;= rmap_registers_wr_i.aeb_gen_cfg_reserved_2c0.reserved(23 downto 16);</t>
  </si>
  <si>
    <t xml:space="preserve">      avalon_mm_rmap_o.readdata(31 downto 24) &lt;= rmap_registers_wr_i.aeb_gen_cfg_reserved_2c0.reserved(31 downto 24);</t>
  </si>
  <si>
    <t xml:space="preserve">  when (16#16B#) =&gt;</t>
  </si>
  <si>
    <t xml:space="preserve">      -- AEB General Configuration Area Register "RESERVED_2C4" : "RESERVED" Field</t>
  </si>
  <si>
    <t xml:space="preserve">      avalon_mm_rmap_o.readdata(7 downto 0) &lt;= rmap_registers_wr_i.aeb_gen_cfg_reserved_2c4.reserved(7 downto 0);</t>
  </si>
  <si>
    <t xml:space="preserve">      avalon_mm_rmap_o.readdata(15 downto 8) &lt;= rmap_registers_wr_i.aeb_gen_cfg_reserved_2c4.reserved(15 downto 8);</t>
  </si>
  <si>
    <t xml:space="preserve">      avalon_mm_rmap_o.readdata(23 downto 16) &lt;= rmap_registers_wr_i.aeb_gen_cfg_reserved_2c4.reserved(23 downto 16);</t>
  </si>
  <si>
    <t xml:space="preserve">      avalon_mm_rmap_o.readdata(31 downto 24) &lt;= rmap_registers_wr_i.aeb_gen_cfg_reserved_2c4.reserved(31 downto 24);</t>
  </si>
  <si>
    <t xml:space="preserve">  when (16#16C#) =&gt;</t>
  </si>
  <si>
    <t xml:space="preserve">      -- AEB General Configuration Area Register "RESERVED_2C8" : "RESERVED" Field</t>
  </si>
  <si>
    <t xml:space="preserve">      avalon_mm_rmap_o.readdata(7 downto 0) &lt;= rmap_registers_wr_i.aeb_gen_cfg_reserved_2c8.reserved(7 downto 0);</t>
  </si>
  <si>
    <t xml:space="preserve">      avalon_mm_rmap_o.readdata(15 downto 8) &lt;= rmap_registers_wr_i.aeb_gen_cfg_reserved_2c8.reserved(15 downto 8);</t>
  </si>
  <si>
    <t xml:space="preserve">      avalon_mm_rmap_o.readdata(23 downto 16) &lt;= rmap_registers_wr_i.aeb_gen_cfg_reserved_2c8.reserved(23 downto 16);</t>
  </si>
  <si>
    <t xml:space="preserve">      avalon_mm_rmap_o.readdata(31 downto 24) &lt;= rmap_registers_wr_i.aeb_gen_cfg_reserved_2c8.reserved(31 downto 24);</t>
  </si>
  <si>
    <t xml:space="preserve">  when (16#16D#) =&gt;</t>
  </si>
  <si>
    <t xml:space="preserve">      -- AEB General Configuration Area Register "RESERVED_2CC" : "RESERVED" Field</t>
  </si>
  <si>
    <t xml:space="preserve">      avalon_mm_rmap_o.readdata(7 downto 0) &lt;= rmap_registers_wr_i.aeb_gen_cfg_reserved_2cc.reserved(7 downto 0);</t>
  </si>
  <si>
    <t xml:space="preserve">      avalon_mm_rmap_o.readdata(15 downto 8) &lt;= rmap_registers_wr_i.aeb_gen_cfg_reserved_2cc.reserved(15 downto 8);</t>
  </si>
  <si>
    <t xml:space="preserve">      avalon_mm_rmap_o.readdata(23 downto 16) &lt;= rmap_registers_wr_i.aeb_gen_cfg_reserved_2cc.reserved(23 downto 16);</t>
  </si>
  <si>
    <t xml:space="preserve">      avalon_mm_rmap_o.readdata(31 downto 24) &lt;= rmap_registers_wr_i.aeb_gen_cfg_reserved_2cc.reserved(31 downto 24);</t>
  </si>
  <si>
    <t xml:space="preserve">  when (16#16E#) =&gt;</t>
  </si>
  <si>
    <t xml:space="preserve">      -- AEB General Configuration Area Register "RESERVED_2D0" : "RESERVED" Field</t>
  </si>
  <si>
    <t xml:space="preserve">      avalon_mm_rmap_o.readdata(7 downto 0) &lt;= rmap_registers_wr_i.aeb_gen_cfg_reserved_2d0.reserved(7 downto 0);</t>
  </si>
  <si>
    <t xml:space="preserve">      avalon_mm_rmap_o.readdata(15 downto 8) &lt;= rmap_registers_wr_i.aeb_gen_cfg_reserved_2d0.reserved(15 downto 8);</t>
  </si>
  <si>
    <t xml:space="preserve">      avalon_mm_rmap_o.readdata(23 downto 16) &lt;= rmap_registers_wr_i.aeb_gen_cfg_reserved_2d0.reserved(23 downto 16);</t>
  </si>
  <si>
    <t xml:space="preserve">      avalon_mm_rmap_o.readdata(31 downto 24) &lt;= rmap_registers_wr_i.aeb_gen_cfg_reserved_2d0.reserved(31 downto 24);</t>
  </si>
  <si>
    <t xml:space="preserve">  when (16#16F#) =&gt;</t>
  </si>
  <si>
    <t xml:space="preserve">      -- AEB General Configuration Area Register "RESERVED_2D4" : "RESERVED" Field</t>
  </si>
  <si>
    <t xml:space="preserve">      avalon_mm_rmap_o.readdata(7 downto 0) &lt;= rmap_registers_wr_i.aeb_gen_cfg_reserved_2d4.reserved(7 downto 0);</t>
  </si>
  <si>
    <t xml:space="preserve">      avalon_mm_rmap_o.readdata(15 downto 8) &lt;= rmap_registers_wr_i.aeb_gen_cfg_reserved_2d4.reserved(15 downto 8);</t>
  </si>
  <si>
    <t xml:space="preserve">      avalon_mm_rmap_o.readdata(23 downto 16) &lt;= rmap_registers_wr_i.aeb_gen_cfg_reserved_2d4.reserved(23 downto 16);</t>
  </si>
  <si>
    <t xml:space="preserve">      avalon_mm_rmap_o.readdata(31 downto 24) &lt;= rmap_registers_wr_i.aeb_gen_cfg_reserved_2d4.reserved(31 downto 24);</t>
  </si>
  <si>
    <t xml:space="preserve">  when (16#170#) =&gt;</t>
  </si>
  <si>
    <t xml:space="preserve">      -- AEB General Configuration Area Register "RESERVED_2D8" : "RESERVED" Field</t>
  </si>
  <si>
    <t xml:space="preserve">      avalon_mm_rmap_o.readdata(7 downto 0) &lt;= rmap_registers_wr_i.aeb_gen_cfg_reserved_2d8.reserved(7 downto 0);</t>
  </si>
  <si>
    <t xml:space="preserve">      avalon_mm_rmap_o.readdata(15 downto 8) &lt;= rmap_registers_wr_i.aeb_gen_cfg_reserved_2d8.reserved(15 downto 8);</t>
  </si>
  <si>
    <t xml:space="preserve">      avalon_mm_rmap_o.readdata(23 downto 16) &lt;= rmap_registers_wr_i.aeb_gen_cfg_reserved_2d8.reserved(23 downto 16);</t>
  </si>
  <si>
    <t xml:space="preserve">      avalon_mm_rmap_o.readdata(31 downto 24) &lt;= rmap_registers_wr_i.aeb_gen_cfg_reserved_2d8.reserved(31 downto 24);</t>
  </si>
  <si>
    <t xml:space="preserve">  when (16#171#) =&gt;</t>
  </si>
  <si>
    <t xml:space="preserve">      -- AEB General Configuration Area Register "RESERVED_2DC" : "RESERVED" Field</t>
  </si>
  <si>
    <t xml:space="preserve">      avalon_mm_rmap_o.readdata(7 downto 0) &lt;= rmap_registers_wr_i.aeb_gen_cfg_reserved_2dc.reserved(7 downto 0);</t>
  </si>
  <si>
    <t xml:space="preserve">      avalon_mm_rmap_o.readdata(15 downto 8) &lt;= rmap_registers_wr_i.aeb_gen_cfg_reserved_2dc.reserved(15 downto 8);</t>
  </si>
  <si>
    <t xml:space="preserve">      avalon_mm_rmap_o.readdata(23 downto 16) &lt;= rmap_registers_wr_i.aeb_gen_cfg_reserved_2dc.reserved(23 downto 16);</t>
  </si>
  <si>
    <t xml:space="preserve">      avalon_mm_rmap_o.readdata(31 downto 24) &lt;= rmap_registers_wr_i.aeb_gen_cfg_reserved_2dc.reserved(31 downto 24);</t>
  </si>
  <si>
    <t xml:space="preserve">  when (16#172#) =&gt;</t>
  </si>
  <si>
    <t xml:space="preserve">      -- AEB General Configuration Area Register "RESERVED_2E0" : "RESERVED" Field</t>
  </si>
  <si>
    <t xml:space="preserve">      avalon_mm_rmap_o.readdata(7 downto 0) &lt;= rmap_registers_wr_i.aeb_gen_cfg_reserved_2e0.reserved(7 downto 0);</t>
  </si>
  <si>
    <t xml:space="preserve">      avalon_mm_rmap_o.readdata(15 downto 8) &lt;= rmap_registers_wr_i.aeb_gen_cfg_reserved_2e0.reserved(15 downto 8);</t>
  </si>
  <si>
    <t xml:space="preserve">      avalon_mm_rmap_o.readdata(23 downto 16) &lt;= rmap_registers_wr_i.aeb_gen_cfg_reserved_2e0.reserved(23 downto 16);</t>
  </si>
  <si>
    <t xml:space="preserve">      avalon_mm_rmap_o.readdata(31 downto 24) &lt;= rmap_registers_wr_i.aeb_gen_cfg_reserved_2e0.reserved(31 downto 24);</t>
  </si>
  <si>
    <t xml:space="preserve">  when (16#173#) =&gt;</t>
  </si>
  <si>
    <t xml:space="preserve">      -- AEB General Configuration Area Register "RESERVED_2E4" : "RESERVED" Field</t>
  </si>
  <si>
    <t xml:space="preserve">      avalon_mm_rmap_o.readdata(7 downto 0) &lt;= rmap_registers_wr_i.aeb_gen_cfg_reserved_2e4.reserved(7 downto 0);</t>
  </si>
  <si>
    <t xml:space="preserve">      avalon_mm_rmap_o.readdata(15 downto 8) &lt;= rmap_registers_wr_i.aeb_gen_cfg_reserved_2e4.reserved(15 downto 8);</t>
  </si>
  <si>
    <t xml:space="preserve">      avalon_mm_rmap_o.readdata(23 downto 16) &lt;= rmap_registers_wr_i.aeb_gen_cfg_reserved_2e4.reserved(23 downto 16);</t>
  </si>
  <si>
    <t xml:space="preserve">      avalon_mm_rmap_o.readdata(31 downto 24) &lt;= rmap_registers_wr_i.aeb_gen_cfg_reserved_2e4.reserved(31 downto 24);</t>
  </si>
  <si>
    <t xml:space="preserve">  when (16#174#) =&gt;</t>
  </si>
  <si>
    <t xml:space="preserve">      -- AEB General Configuration Area Register "RESERVED_2E8" : "RESERVED" Field</t>
  </si>
  <si>
    <t xml:space="preserve">      avalon_mm_rmap_o.readdata(7 downto 0) &lt;= rmap_registers_wr_i.aeb_gen_cfg_reserved_2e8.reserved(7 downto 0);</t>
  </si>
  <si>
    <t xml:space="preserve">      avalon_mm_rmap_o.readdata(15 downto 8) &lt;= rmap_registers_wr_i.aeb_gen_cfg_reserved_2e8.reserved(15 downto 8);</t>
  </si>
  <si>
    <t xml:space="preserve">      avalon_mm_rmap_o.readdata(23 downto 16) &lt;= rmap_registers_wr_i.aeb_gen_cfg_reserved_2e8.reserved(23 downto 16);</t>
  </si>
  <si>
    <t xml:space="preserve">      avalon_mm_rmap_o.readdata(31 downto 24) &lt;= rmap_registers_wr_i.aeb_gen_cfg_reserved_2e8.reserved(31 downto 24);</t>
  </si>
  <si>
    <t xml:space="preserve">  when (16#175#) =&gt;</t>
  </si>
  <si>
    <t xml:space="preserve">      -- AEB General Configuration Area Register "RESERVED_2EC" : "RESERVED" Field</t>
  </si>
  <si>
    <t xml:space="preserve">      avalon_mm_rmap_o.readdata(7 downto 0) &lt;= rmap_registers_wr_i.aeb_gen_cfg_reserved_2ec.reserved(7 downto 0);</t>
  </si>
  <si>
    <t xml:space="preserve">      avalon_mm_rmap_o.readdata(15 downto 8) &lt;= rmap_registers_wr_i.aeb_gen_cfg_reserved_2ec.reserved(15 downto 8);</t>
  </si>
  <si>
    <t xml:space="preserve">      avalon_mm_rmap_o.readdata(23 downto 16) &lt;= rmap_registers_wr_i.aeb_gen_cfg_reserved_2ec.reserved(23 downto 16);</t>
  </si>
  <si>
    <t xml:space="preserve">      avalon_mm_rmap_o.readdata(31 downto 24) &lt;= rmap_registers_wr_i.aeb_gen_cfg_reserved_2ec.reserved(31 downto 24);</t>
  </si>
  <si>
    <t xml:space="preserve">  when (16#176#) =&gt;</t>
  </si>
  <si>
    <t xml:space="preserve">      -- AEB General Configuration Area Register "RESERVED_2F0" : "RESERVED" Field</t>
  </si>
  <si>
    <t xml:space="preserve">      avalon_mm_rmap_o.readdata(7 downto 0) &lt;= rmap_registers_wr_i.aeb_gen_cfg_reserved_2f0.reserved(7 downto 0);</t>
  </si>
  <si>
    <t xml:space="preserve">      avalon_mm_rmap_o.readdata(15 downto 8) &lt;= rmap_registers_wr_i.aeb_gen_cfg_reserved_2f0.reserved(15 downto 8);</t>
  </si>
  <si>
    <t xml:space="preserve">      avalon_mm_rmap_o.readdata(23 downto 16) &lt;= rmap_registers_wr_i.aeb_gen_cfg_reserved_2f0.reserved(23 downto 16);</t>
  </si>
  <si>
    <t xml:space="preserve">      avalon_mm_rmap_o.readdata(31 downto 24) &lt;= rmap_registers_wr_i.aeb_gen_cfg_reserved_2f0.reserved(31 downto 24);</t>
  </si>
  <si>
    <t xml:space="preserve">  when (16#177#) =&gt;</t>
  </si>
  <si>
    <t xml:space="preserve">      -- AEB General Configuration Area Register "RESERVED_2F4" : "RESERVED" Field</t>
  </si>
  <si>
    <t xml:space="preserve">      avalon_mm_rmap_o.readdata(7 downto 0) &lt;= rmap_registers_wr_i.aeb_gen_cfg_reserved_2f4.reserved(7 downto 0);</t>
  </si>
  <si>
    <t xml:space="preserve">      avalon_mm_rmap_o.readdata(15 downto 8) &lt;= rmap_registers_wr_i.aeb_gen_cfg_reserved_2f4.reserved(15 downto 8);</t>
  </si>
  <si>
    <t xml:space="preserve">      avalon_mm_rmap_o.readdata(23 downto 16) &lt;= rmap_registers_wr_i.aeb_gen_cfg_reserved_2f4.reserved(23 downto 16);</t>
  </si>
  <si>
    <t xml:space="preserve">      avalon_mm_rmap_o.readdata(31 downto 24) &lt;= rmap_registers_wr_i.aeb_gen_cfg_reserved_2f4.reserved(31 downto 24);</t>
  </si>
  <si>
    <t xml:space="preserve">  when (16#178#) =&gt;</t>
  </si>
  <si>
    <t xml:space="preserve">      -- AEB General Configuration Area Register "RESERVED_2F8" : "RESERVED" Field</t>
  </si>
  <si>
    <t xml:space="preserve">      avalon_mm_rmap_o.readdata(7 downto 0) &lt;= rmap_registers_wr_i.aeb_gen_cfg_reserved_2f8.reserved(7 downto 0);</t>
  </si>
  <si>
    <t xml:space="preserve">      avalon_mm_rmap_o.readdata(15 downto 8) &lt;= rmap_registers_wr_i.aeb_gen_cfg_reserved_2f8.reserved(15 downto 8);</t>
  </si>
  <si>
    <t xml:space="preserve">      avalon_mm_rmap_o.readdata(23 downto 16) &lt;= rmap_registers_wr_i.aeb_gen_cfg_reserved_2f8.reserved(23 downto 16);</t>
  </si>
  <si>
    <t xml:space="preserve">      avalon_mm_rmap_o.readdata(31 downto 24) &lt;= rmap_registers_wr_i.aeb_gen_cfg_reserved_2f8.reserved(31 downto 24);</t>
  </si>
  <si>
    <t xml:space="preserve">  when (16#179#) =&gt;</t>
  </si>
  <si>
    <t xml:space="preserve">      -- AEB General Configuration Area Register "RESERVED_2FC" : "RESERVED" Field</t>
  </si>
  <si>
    <t xml:space="preserve">      avalon_mm_rmap_o.readdata(7 downto 0) &lt;= rmap_registers_wr_i.aeb_gen_cfg_reserved_2fc.reserved(7 downto 0);</t>
  </si>
  <si>
    <t xml:space="preserve">      avalon_mm_rmap_o.readdata(15 downto 8) &lt;= rmap_registers_wr_i.aeb_gen_cfg_reserved_2fc.reserved(15 downto 8);</t>
  </si>
  <si>
    <t xml:space="preserve">      avalon_mm_rmap_o.readdata(23 downto 16) &lt;= rmap_registers_wr_i.aeb_gen_cfg_reserved_2fc.reserved(23 downto 16);</t>
  </si>
  <si>
    <t xml:space="preserve">      avalon_mm_rmap_o.readdata(31 downto 24) &lt;= rmap_registers_wr_i.aeb_gen_cfg_reserved_2fc.reserved(31 downto 24);</t>
  </si>
  <si>
    <t xml:space="preserve">  when (16#17A#) =&gt;</t>
  </si>
  <si>
    <t xml:space="preserve">      -- AEB General Configuration Area Register "RESERVED_300" : "RESERVED" Field</t>
  </si>
  <si>
    <t xml:space="preserve">      avalon_mm_rmap_o.readdata(7 downto 0) &lt;= rmap_registers_wr_i.aeb_gen_cfg_reserved_300.reserved(7 downto 0);</t>
  </si>
  <si>
    <t xml:space="preserve">      avalon_mm_rmap_o.readdata(15 downto 8) &lt;= rmap_registers_wr_i.aeb_gen_cfg_reserved_300.reserved(15 downto 8);</t>
  </si>
  <si>
    <t xml:space="preserve">      avalon_mm_rmap_o.readdata(23 downto 16) &lt;= rmap_registers_wr_i.aeb_gen_cfg_reserved_300.reserved(23 downto 16);</t>
  </si>
  <si>
    <t xml:space="preserve">      avalon_mm_rmap_o.readdata(31 downto 24) &lt;= rmap_registers_wr_i.aeb_gen_cfg_reserved_300.reserved(31 downto 24);</t>
  </si>
  <si>
    <t xml:space="preserve">  when (16#17B#) =&gt;</t>
  </si>
  <si>
    <t xml:space="preserve">      -- AEB General Configuration Area Register "RESERVED_304" : "RESERVED" Field</t>
  </si>
  <si>
    <t xml:space="preserve">      avalon_mm_rmap_o.readdata(7 downto 0) &lt;= rmap_registers_wr_i.aeb_gen_cfg_reserved_304.reserved(7 downto 0);</t>
  </si>
  <si>
    <t xml:space="preserve">      avalon_mm_rmap_o.readdata(15 downto 8) &lt;= rmap_registers_wr_i.aeb_gen_cfg_reserved_304.reserved(15 downto 8);</t>
  </si>
  <si>
    <t xml:space="preserve">      avalon_mm_rmap_o.readdata(23 downto 16) &lt;= rmap_registers_wr_i.aeb_gen_cfg_reserved_304.reserved(23 downto 16);</t>
  </si>
  <si>
    <t xml:space="preserve">      avalon_mm_rmap_o.readdata(31 downto 24) &lt;= rmap_registers_wr_i.aeb_gen_cfg_reserved_304.reserved(31 downto 24);</t>
  </si>
  <si>
    <t xml:space="preserve">  when (16#17C#) =&gt;</t>
  </si>
  <si>
    <t xml:space="preserve">      -- AEB General Configuration Area Register "RESERVED_308" : "RESERVED" Field</t>
  </si>
  <si>
    <t xml:space="preserve">      avalon_mm_rmap_o.readdata(7 downto 0) &lt;= rmap_registers_wr_i.aeb_gen_cfg_reserved_308.reserved(7 downto 0);</t>
  </si>
  <si>
    <t xml:space="preserve">      avalon_mm_rmap_o.readdata(15 downto 8) &lt;= rmap_registers_wr_i.aeb_gen_cfg_reserved_308.reserved(15 downto 8);</t>
  </si>
  <si>
    <t xml:space="preserve">      avalon_mm_rmap_o.readdata(23 downto 16) &lt;= rmap_registers_wr_i.aeb_gen_cfg_reserved_308.reserved(23 downto 16);</t>
  </si>
  <si>
    <t xml:space="preserve">      avalon_mm_rmap_o.readdata(31 downto 24) &lt;= rmap_registers_wr_i.aeb_gen_cfg_reserved_308.reserved(31 downto 24);</t>
  </si>
  <si>
    <t xml:space="preserve">  when (16#17D#) =&gt;</t>
  </si>
  <si>
    <t xml:space="preserve">      -- AEB General Configuration Area Register "RESERVED_30C" : "RESERVED" Field</t>
  </si>
  <si>
    <t xml:space="preserve">      avalon_mm_rmap_o.readdata(7 downto 0) &lt;= rmap_registers_wr_i.aeb_gen_cfg_reserved_30c.reserved(7 downto 0);</t>
  </si>
  <si>
    <t xml:space="preserve">      avalon_mm_rmap_o.readdata(15 downto 8) &lt;= rmap_registers_wr_i.aeb_gen_cfg_reserved_30c.reserved(15 downto 8);</t>
  </si>
  <si>
    <t xml:space="preserve">      avalon_mm_rmap_o.readdata(23 downto 16) &lt;= rmap_registers_wr_i.aeb_gen_cfg_reserved_30c.reserved(23 downto 16);</t>
  </si>
  <si>
    <t xml:space="preserve">      avalon_mm_rmap_o.readdata(31 downto 24) &lt;= rmap_registers_wr_i.aeb_gen_cfg_reserved_30c.reserved(31 downto 24);</t>
  </si>
  <si>
    <t xml:space="preserve">  when (16#17E#) =&gt;</t>
  </si>
  <si>
    <t xml:space="preserve">      -- AEB General Configuration Area Register "RESERVED_310" : "RESERVED" Field</t>
  </si>
  <si>
    <t xml:space="preserve">      avalon_mm_rmap_o.readdata(7 downto 0) &lt;= rmap_registers_wr_i.aeb_gen_cfg_reserved_310.reserved(7 downto 0);</t>
  </si>
  <si>
    <t xml:space="preserve">      avalon_mm_rmap_o.readdata(15 downto 8) &lt;= rmap_registers_wr_i.aeb_gen_cfg_reserved_310.reserved(15 downto 8);</t>
  </si>
  <si>
    <t xml:space="preserve">      avalon_mm_rmap_o.readdata(23 downto 16) &lt;= rmap_registers_wr_i.aeb_gen_cfg_reserved_310.reserved(23 downto 16);</t>
  </si>
  <si>
    <t xml:space="preserve">      avalon_mm_rmap_o.readdata(31 downto 24) &lt;= rmap_registers_wr_i.aeb_gen_cfg_reserved_310.reserved(31 downto 24);</t>
  </si>
  <si>
    <t xml:space="preserve">  when (16#17F#) =&gt;</t>
  </si>
  <si>
    <t xml:space="preserve">      -- AEB General Configuration Area Register "RESERVED_314" : "RESERVED" Field</t>
  </si>
  <si>
    <t xml:space="preserve">      avalon_mm_rmap_o.readdata(7 downto 0) &lt;= rmap_registers_wr_i.aeb_gen_cfg_reserved_314.reserved(7 downto 0);</t>
  </si>
  <si>
    <t xml:space="preserve">      avalon_mm_rmap_o.readdata(15 downto 8) &lt;= rmap_registers_wr_i.aeb_gen_cfg_reserved_314.reserved(15 downto 8);</t>
  </si>
  <si>
    <t xml:space="preserve">      avalon_mm_rmap_o.readdata(23 downto 16) &lt;= rmap_registers_wr_i.aeb_gen_cfg_reserved_314.reserved(23 downto 16);</t>
  </si>
  <si>
    <t xml:space="preserve">      avalon_mm_rmap_o.readdata(31 downto 24) &lt;= rmap_registers_wr_i.aeb_gen_cfg_reserved_314.reserved(31 downto 24);</t>
  </si>
  <si>
    <t xml:space="preserve">  when (16#180#) =&gt;</t>
  </si>
  <si>
    <t xml:space="preserve">      -- AEB General Configuration Area Register "RESERVED_318" : "RESERVED" Field</t>
  </si>
  <si>
    <t xml:space="preserve">      avalon_mm_rmap_o.readdata(7 downto 0) &lt;= rmap_registers_wr_i.aeb_gen_cfg_reserved_318.reserved(7 downto 0);</t>
  </si>
  <si>
    <t xml:space="preserve">      avalon_mm_rmap_o.readdata(15 downto 8) &lt;= rmap_registers_wr_i.aeb_gen_cfg_reserved_318.reserved(15 downto 8);</t>
  </si>
  <si>
    <t xml:space="preserve">      avalon_mm_rmap_o.readdata(23 downto 16) &lt;= rmap_registers_wr_i.aeb_gen_cfg_reserved_318.reserved(23 downto 16);</t>
  </si>
  <si>
    <t xml:space="preserve">      avalon_mm_rmap_o.readdata(31 downto 24) &lt;= rmap_registers_wr_i.aeb_gen_cfg_reserved_318.reserved(31 downto 24);</t>
  </si>
  <si>
    <t xml:space="preserve">  when (16#181#) =&gt;</t>
  </si>
  <si>
    <t xml:space="preserve">      -- AEB General Configuration Area Register "RESERVED_31C" : "RESERVED" Field</t>
  </si>
  <si>
    <t xml:space="preserve">      avalon_mm_rmap_o.readdata(7 downto 0) &lt;= rmap_registers_wr_i.aeb_gen_cfg_reserved_31c.reserved(7 downto 0);</t>
  </si>
  <si>
    <t xml:space="preserve">      avalon_mm_rmap_o.readdata(15 downto 8) &lt;= rmap_registers_wr_i.aeb_gen_cfg_reserved_31c.reserved(15 downto 8);</t>
  </si>
  <si>
    <t xml:space="preserve">      avalon_mm_rmap_o.readdata(23 downto 16) &lt;= rmap_registers_wr_i.aeb_gen_cfg_reserved_31c.reserved(23 downto 16);</t>
  </si>
  <si>
    <t xml:space="preserve">      avalon_mm_rmap_o.readdata(31 downto 24) &lt;= rmap_registers_wr_i.aeb_gen_cfg_reserved_31c.reserved(31 downto 24);</t>
  </si>
  <si>
    <t xml:space="preserve">  when (16#182#) =&gt;</t>
  </si>
  <si>
    <t xml:space="preserve">      -- AEB General Configuration Area Register "RESERVED_320" : "RESERVED" Field</t>
  </si>
  <si>
    <t xml:space="preserve">      avalon_mm_rmap_o.readdata(7 downto 0) &lt;= rmap_registers_wr_i.aeb_gen_cfg_reserved_320.reserved(7 downto 0);</t>
  </si>
  <si>
    <t xml:space="preserve">      avalon_mm_rmap_o.readdata(15 downto 8) &lt;= rmap_registers_wr_i.aeb_gen_cfg_reserved_320.reserved(15 downto 8);</t>
  </si>
  <si>
    <t xml:space="preserve">      avalon_mm_rmap_o.readdata(23 downto 16) &lt;= rmap_registers_wr_i.aeb_gen_cfg_reserved_320.reserved(23 downto 16);</t>
  </si>
  <si>
    <t xml:space="preserve">      avalon_mm_rmap_o.readdata(31 downto 24) &lt;= rmap_registers_wr_i.aeb_gen_cfg_reserved_320.reserved(31 downto 24);</t>
  </si>
  <si>
    <t xml:space="preserve">  when (16#183#) =&gt;</t>
  </si>
  <si>
    <t xml:space="preserve">      -- AEB General Configuration Area Register "RESERVED_324" : "RESERVED" Field</t>
  </si>
  <si>
    <t xml:space="preserve">      avalon_mm_rmap_o.readdata(7 downto 0) &lt;= rmap_registers_wr_i.aeb_gen_cfg_reserved_324.reserved(7 downto 0);</t>
  </si>
  <si>
    <t xml:space="preserve">      avalon_mm_rmap_o.readdata(15 downto 8) &lt;= rmap_registers_wr_i.aeb_gen_cfg_reserved_324.reserved(15 downto 8);</t>
  </si>
  <si>
    <t xml:space="preserve">      avalon_mm_rmap_o.readdata(23 downto 16) &lt;= rmap_registers_wr_i.aeb_gen_cfg_reserved_324.reserved(23 downto 16);</t>
  </si>
  <si>
    <t xml:space="preserve">      avalon_mm_rmap_o.readdata(31 downto 24) &lt;= rmap_registers_wr_i.aeb_gen_cfg_reserved_324.reserved(31 downto 24);</t>
  </si>
  <si>
    <t xml:space="preserve">  when (16#184#) =&gt;</t>
  </si>
  <si>
    <t xml:space="preserve">      -- AEB General Configuration Area Register "RESERVED_328" : "RESERVED" Field</t>
  </si>
  <si>
    <t xml:space="preserve">      avalon_mm_rmap_o.readdata(7 downto 0) &lt;= rmap_registers_wr_i.aeb_gen_cfg_reserved_328.reserved(7 downto 0);</t>
  </si>
  <si>
    <t xml:space="preserve">      avalon_mm_rmap_o.readdata(15 downto 8) &lt;= rmap_registers_wr_i.aeb_gen_cfg_reserved_328.reserved(15 downto 8);</t>
  </si>
  <si>
    <t xml:space="preserve">      avalon_mm_rmap_o.readdata(23 downto 16) &lt;= rmap_registers_wr_i.aeb_gen_cfg_reserved_328.reserved(23 downto 16);</t>
  </si>
  <si>
    <t xml:space="preserve">      avalon_mm_rmap_o.readdata(31 downto 24) &lt;= rmap_registers_wr_i.aeb_gen_cfg_reserved_328.reserved(31 downto 24);</t>
  </si>
  <si>
    <t xml:space="preserve">  when (16#185#) =&gt;</t>
  </si>
  <si>
    <t xml:space="preserve">      -- AEB General Configuration Area Register "RESERVED_32C" : "RESERVED" Field</t>
  </si>
  <si>
    <t xml:space="preserve">      avalon_mm_rmap_o.readdata(7 downto 0) &lt;= rmap_registers_wr_i.aeb_gen_cfg_reserved_32c.reserved(7 downto 0);</t>
  </si>
  <si>
    <t xml:space="preserve">      avalon_mm_rmap_o.readdata(15 downto 8) &lt;= rmap_registers_wr_i.aeb_gen_cfg_reserved_32c.reserved(15 downto 8);</t>
  </si>
  <si>
    <t xml:space="preserve">      avalon_mm_rmap_o.readdata(23 downto 16) &lt;= rmap_registers_wr_i.aeb_gen_cfg_reserved_32c.reserved(23 downto 16);</t>
  </si>
  <si>
    <t xml:space="preserve">      avalon_mm_rmap_o.readdata(31 downto 24) &lt;= rmap_registers_wr_i.aeb_gen_cfg_reserved_32c.reserved(31 downto 24);</t>
  </si>
  <si>
    <t xml:space="preserve">  when (16#186#) =&gt;</t>
  </si>
  <si>
    <t xml:space="preserve">      -- AEB General Configuration Area Register "RESERVED_330" : "RESERVED" Field</t>
  </si>
  <si>
    <t xml:space="preserve">      avalon_mm_rmap_o.readdata(7 downto 0) &lt;= rmap_registers_wr_i.aeb_gen_cfg_reserved_330.reserved(7 downto 0);</t>
  </si>
  <si>
    <t xml:space="preserve">      avalon_mm_rmap_o.readdata(15 downto 8) &lt;= rmap_registers_wr_i.aeb_gen_cfg_reserved_330.reserved(15 downto 8);</t>
  </si>
  <si>
    <t xml:space="preserve">      avalon_mm_rmap_o.readdata(23 downto 16) &lt;= rmap_registers_wr_i.aeb_gen_cfg_reserved_330.reserved(23 downto 16);</t>
  </si>
  <si>
    <t xml:space="preserve">      avalon_mm_rmap_o.readdata(31 downto 24) &lt;= rmap_registers_wr_i.aeb_gen_cfg_reserved_330.reserved(31 downto 24);</t>
  </si>
  <si>
    <t xml:space="preserve">  when (16#187#) =&gt;</t>
  </si>
  <si>
    <t xml:space="preserve">      -- AEB General Configuration Area Register "RESERVED_334" : "RESERVED" Field</t>
  </si>
  <si>
    <t xml:space="preserve">      avalon_mm_rmap_o.readdata(7 downto 0) &lt;= rmap_registers_wr_i.aeb_gen_cfg_reserved_334.reserved(7 downto 0);</t>
  </si>
  <si>
    <t xml:space="preserve">      avalon_mm_rmap_o.readdata(15 downto 8) &lt;= rmap_registers_wr_i.aeb_gen_cfg_reserved_334.reserved(15 downto 8);</t>
  </si>
  <si>
    <t xml:space="preserve">      avalon_mm_rmap_o.readdata(23 downto 16) &lt;= rmap_registers_wr_i.aeb_gen_cfg_reserved_334.reserved(23 downto 16);</t>
  </si>
  <si>
    <t xml:space="preserve">      avalon_mm_rmap_o.readdata(31 downto 24) &lt;= rmap_registers_wr_i.aeb_gen_cfg_reserved_334.reserved(31 downto 24);</t>
  </si>
  <si>
    <t xml:space="preserve">  when (16#188#) =&gt;</t>
  </si>
  <si>
    <t xml:space="preserve">      -- AEB General Configuration Area Register "RESERVED_338" : "RESERVED" Field</t>
  </si>
  <si>
    <t xml:space="preserve">      avalon_mm_rmap_o.readdata(7 downto 0) &lt;= rmap_registers_wr_i.aeb_gen_cfg_reserved_338.reserved(7 downto 0);</t>
  </si>
  <si>
    <t xml:space="preserve">      avalon_mm_rmap_o.readdata(15 downto 8) &lt;= rmap_registers_wr_i.aeb_gen_cfg_reserved_338.reserved(15 downto 8);</t>
  </si>
  <si>
    <t xml:space="preserve">      avalon_mm_rmap_o.readdata(23 downto 16) &lt;= rmap_registers_wr_i.aeb_gen_cfg_reserved_338.reserved(23 downto 16);</t>
  </si>
  <si>
    <t xml:space="preserve">      avalon_mm_rmap_o.readdata(31 downto 24) &lt;= rmap_registers_wr_i.aeb_gen_cfg_reserved_338.reserved(31 downto 24);</t>
  </si>
  <si>
    <t xml:space="preserve">  when (16#189#) =&gt;</t>
  </si>
  <si>
    <t xml:space="preserve">      -- AEB General Configuration Area Register "RESERVED_33C" : "RESERVED" Field</t>
  </si>
  <si>
    <t xml:space="preserve">      avalon_mm_rmap_o.readdata(7 downto 0) &lt;= rmap_registers_wr_i.aeb_gen_cfg_reserved_33c.reserved(7 downto 0);</t>
  </si>
  <si>
    <t xml:space="preserve">      avalon_mm_rmap_o.readdata(15 downto 8) &lt;= rmap_registers_wr_i.aeb_gen_cfg_reserved_33c.reserved(15 downto 8);</t>
  </si>
  <si>
    <t xml:space="preserve">      avalon_mm_rmap_o.readdata(23 downto 16) &lt;= rmap_registers_wr_i.aeb_gen_cfg_reserved_33c.reserved(23 downto 16);</t>
  </si>
  <si>
    <t xml:space="preserve">      avalon_mm_rmap_o.readdata(31 downto 24) &lt;= rmap_registers_wr_i.aeb_gen_cfg_reserved_33c.reserved(31 downto 24);</t>
  </si>
  <si>
    <t xml:space="preserve">  when (16#18A#) =&gt;</t>
  </si>
  <si>
    <t xml:space="preserve">      -- AEB General Configuration Area Register "RESERVED_340" : "RESERVED" Field</t>
  </si>
  <si>
    <t xml:space="preserve">      avalon_mm_rmap_o.readdata(7 downto 0) &lt;= rmap_registers_wr_i.aeb_gen_cfg_reserved_340.reserved(7 downto 0);</t>
  </si>
  <si>
    <t xml:space="preserve">      avalon_mm_rmap_o.readdata(15 downto 8) &lt;= rmap_registers_wr_i.aeb_gen_cfg_reserved_340.reserved(15 downto 8);</t>
  </si>
  <si>
    <t xml:space="preserve">      avalon_mm_rmap_o.readdata(23 downto 16) &lt;= rmap_registers_wr_i.aeb_gen_cfg_reserved_340.reserved(23 downto 16);</t>
  </si>
  <si>
    <t xml:space="preserve">      avalon_mm_rmap_o.readdata(31 downto 24) &lt;= rmap_registers_wr_i.aeb_gen_cfg_reserved_340.reserved(31 downto 24);</t>
  </si>
  <si>
    <t xml:space="preserve">  when (16#18B#) =&gt;</t>
  </si>
  <si>
    <t xml:space="preserve">      -- AEB General Configuration Area Register "RESERVED_344" : "RESERVED" Field</t>
  </si>
  <si>
    <t xml:space="preserve">      avalon_mm_rmap_o.readdata(7 downto 0) &lt;= rmap_registers_wr_i.aeb_gen_cfg_reserved_344.reserved(7 downto 0);</t>
  </si>
  <si>
    <t xml:space="preserve">      avalon_mm_rmap_o.readdata(15 downto 8) &lt;= rmap_registers_wr_i.aeb_gen_cfg_reserved_344.reserved(15 downto 8);</t>
  </si>
  <si>
    <t xml:space="preserve">      avalon_mm_rmap_o.readdata(23 downto 16) &lt;= rmap_registers_wr_i.aeb_gen_cfg_reserved_344.reserved(23 downto 16);</t>
  </si>
  <si>
    <t xml:space="preserve">      avalon_mm_rmap_o.readdata(31 downto 24) &lt;= rmap_registers_wr_i.aeb_gen_cfg_reserved_344.reserved(31 downto 24);</t>
  </si>
  <si>
    <t xml:space="preserve">  when (16#18C#) =&gt;</t>
  </si>
  <si>
    <t xml:space="preserve">      -- AEB General Configuration Area Register "RESERVED_348" : "RESERVED" Field</t>
  </si>
  <si>
    <t xml:space="preserve">      avalon_mm_rmap_o.readdata(7 downto 0) &lt;= rmap_registers_wr_i.aeb_gen_cfg_reserved_348.reserved(7 downto 0);</t>
  </si>
  <si>
    <t xml:space="preserve">      avalon_mm_rmap_o.readdata(15 downto 8) &lt;= rmap_registers_wr_i.aeb_gen_cfg_reserved_348.reserved(15 downto 8);</t>
  </si>
  <si>
    <t xml:space="preserve">      avalon_mm_rmap_o.readdata(23 downto 16) &lt;= rmap_registers_wr_i.aeb_gen_cfg_reserved_348.reserved(23 downto 16);</t>
  </si>
  <si>
    <t xml:space="preserve">      avalon_mm_rmap_o.readdata(31 downto 24) &lt;= rmap_registers_wr_i.aeb_gen_cfg_reserved_348.reserved(31 downto 24);</t>
  </si>
  <si>
    <t xml:space="preserve">  when (16#18D#) =&gt;</t>
  </si>
  <si>
    <t xml:space="preserve">      -- AEB General Configuration Area Register "RESERVED_34C" : "RESERVED" Field</t>
  </si>
  <si>
    <t xml:space="preserve">      avalon_mm_rmap_o.readdata(7 downto 0) &lt;= rmap_registers_wr_i.aeb_gen_cfg_reserved_34c.reserved(7 downto 0);</t>
  </si>
  <si>
    <t xml:space="preserve">      avalon_mm_rmap_o.readdata(15 downto 8) &lt;= rmap_registers_wr_i.aeb_gen_cfg_reserved_34c.reserved(15 downto 8);</t>
  </si>
  <si>
    <t xml:space="preserve">      avalon_mm_rmap_o.readdata(23 downto 16) &lt;= rmap_registers_wr_i.aeb_gen_cfg_reserved_34c.reserved(23 downto 16);</t>
  </si>
  <si>
    <t xml:space="preserve">      avalon_mm_rmap_o.readdata(31 downto 24) &lt;= rmap_registers_wr_i.aeb_gen_cfg_reserved_34c.reserved(31 downto 24);</t>
  </si>
  <si>
    <t xml:space="preserve">  when (16#18E#) =&gt;</t>
  </si>
  <si>
    <t xml:space="preserve">      -- AEB General Configuration Area Register "RESERVED_350" : "RESERVED" Field</t>
  </si>
  <si>
    <t xml:space="preserve">      avalon_mm_rmap_o.readdata(7 downto 0) &lt;= rmap_registers_wr_i.aeb_gen_cfg_reserved_350.reserved(7 downto 0);</t>
  </si>
  <si>
    <t xml:space="preserve">      avalon_mm_rmap_o.readdata(15 downto 8) &lt;= rmap_registers_wr_i.aeb_gen_cfg_reserved_350.reserved(15 downto 8);</t>
  </si>
  <si>
    <t xml:space="preserve">      avalon_mm_rmap_o.readdata(23 downto 16) &lt;= rmap_registers_wr_i.aeb_gen_cfg_reserved_350.reserved(23 downto 16);</t>
  </si>
  <si>
    <t xml:space="preserve">      avalon_mm_rmap_o.readdata(31 downto 24) &lt;= rmap_registers_wr_i.aeb_gen_cfg_reserved_350.reserved(31 downto 24);</t>
  </si>
  <si>
    <t xml:space="preserve">  when (16#18F#) =&gt;</t>
  </si>
  <si>
    <t xml:space="preserve">      -- AEB General Configuration Area Register "RESERVED_354" : "RESERVED" Field</t>
  </si>
  <si>
    <t xml:space="preserve">      avalon_mm_rmap_o.readdata(7 downto 0) &lt;= rmap_registers_wr_i.aeb_gen_cfg_reserved_354.reserved(7 downto 0);</t>
  </si>
  <si>
    <t xml:space="preserve">      avalon_mm_rmap_o.readdata(15 downto 8) &lt;= rmap_registers_wr_i.aeb_gen_cfg_reserved_354.reserved(15 downto 8);</t>
  </si>
  <si>
    <t xml:space="preserve">      avalon_mm_rmap_o.readdata(23 downto 16) &lt;= rmap_registers_wr_i.aeb_gen_cfg_reserved_354.reserved(23 downto 16);</t>
  </si>
  <si>
    <t xml:space="preserve">      avalon_mm_rmap_o.readdata(31 downto 24) &lt;= rmap_registers_wr_i.aeb_gen_cfg_reserved_354.reserved(31 downto 24);</t>
  </si>
  <si>
    <t xml:space="preserve">  when (16#190#) =&gt;</t>
  </si>
  <si>
    <t xml:space="preserve">      -- AEB General Configuration Area Register "RESERVED_358" : "RESERVED" Field</t>
  </si>
  <si>
    <t xml:space="preserve">      avalon_mm_rmap_o.readdata(7 downto 0) &lt;= rmap_registers_wr_i.aeb_gen_cfg_reserved_358.reserved(7 downto 0);</t>
  </si>
  <si>
    <t xml:space="preserve">      avalon_mm_rmap_o.readdata(15 downto 8) &lt;= rmap_registers_wr_i.aeb_gen_cfg_reserved_358.reserved(15 downto 8);</t>
  </si>
  <si>
    <t xml:space="preserve">      avalon_mm_rmap_o.readdata(23 downto 16) &lt;= rmap_registers_wr_i.aeb_gen_cfg_reserved_358.reserved(23 downto 16);</t>
  </si>
  <si>
    <t xml:space="preserve">      avalon_mm_rmap_o.readdata(31 downto 24) &lt;= rmap_registers_wr_i.aeb_gen_cfg_reserved_358.reserved(31 downto 24);</t>
  </si>
  <si>
    <t xml:space="preserve">  when (16#191#) =&gt;</t>
  </si>
  <si>
    <t xml:space="preserve">      -- AEB General Configuration Area Register "RESERVED_35C" : "RESERVED" Field</t>
  </si>
  <si>
    <t xml:space="preserve">      avalon_mm_rmap_o.readdata(7 downto 0) &lt;= rmap_registers_wr_i.aeb_gen_cfg_reserved_35c.reserved(7 downto 0);</t>
  </si>
  <si>
    <t xml:space="preserve">      avalon_mm_rmap_o.readdata(15 downto 8) &lt;= rmap_registers_wr_i.aeb_gen_cfg_reserved_35c.reserved(15 downto 8);</t>
  </si>
  <si>
    <t xml:space="preserve">      avalon_mm_rmap_o.readdata(23 downto 16) &lt;= rmap_registers_wr_i.aeb_gen_cfg_reserved_35c.reserved(23 downto 16);</t>
  </si>
  <si>
    <t xml:space="preserve">      avalon_mm_rmap_o.readdata(31 downto 24) &lt;= rmap_registers_wr_i.aeb_gen_cfg_reserved_35c.reserved(31 downto 24);</t>
  </si>
  <si>
    <t xml:space="preserve">  when (16#192#) =&gt;</t>
  </si>
  <si>
    <t xml:space="preserve">      -- AEB General Configuration Area Register "RESERVED_360" : "RESERVED" Field</t>
  </si>
  <si>
    <t xml:space="preserve">      avalon_mm_rmap_o.readdata(7 downto 0) &lt;= rmap_registers_wr_i.aeb_gen_cfg_reserved_360.reserved(7 downto 0);</t>
  </si>
  <si>
    <t xml:space="preserve">      avalon_mm_rmap_o.readdata(15 downto 8) &lt;= rmap_registers_wr_i.aeb_gen_cfg_reserved_360.reserved(15 downto 8);</t>
  </si>
  <si>
    <t xml:space="preserve">      avalon_mm_rmap_o.readdata(23 downto 16) &lt;= rmap_registers_wr_i.aeb_gen_cfg_reserved_360.reserved(23 downto 16);</t>
  </si>
  <si>
    <t xml:space="preserve">      avalon_mm_rmap_o.readdata(31 downto 24) &lt;= rmap_registers_wr_i.aeb_gen_cfg_reserved_360.reserved(31 downto 24);</t>
  </si>
  <si>
    <t xml:space="preserve">  when (16#193#) =&gt;</t>
  </si>
  <si>
    <t xml:space="preserve">      -- AEB General Configuration Area Register "RESERVED_364" : "RESERVED" Field</t>
  </si>
  <si>
    <t xml:space="preserve">      avalon_mm_rmap_o.readdata(7 downto 0) &lt;= rmap_registers_wr_i.aeb_gen_cfg_reserved_364.reserved(7 downto 0);</t>
  </si>
  <si>
    <t xml:space="preserve">      avalon_mm_rmap_o.readdata(15 downto 8) &lt;= rmap_registers_wr_i.aeb_gen_cfg_reserved_364.reserved(15 downto 8);</t>
  </si>
  <si>
    <t xml:space="preserve">      avalon_mm_rmap_o.readdata(23 downto 16) &lt;= rmap_registers_wr_i.aeb_gen_cfg_reserved_364.reserved(23 downto 16);</t>
  </si>
  <si>
    <t xml:space="preserve">      avalon_mm_rmap_o.readdata(31 downto 24) &lt;= rmap_registers_wr_i.aeb_gen_cfg_reserved_364.reserved(31 downto 24);</t>
  </si>
  <si>
    <t xml:space="preserve">  when (16#194#) =&gt;</t>
  </si>
  <si>
    <t xml:space="preserve">      -- AEB General Configuration Area Register "RESERVED_368" : "RESERVED" Field</t>
  </si>
  <si>
    <t xml:space="preserve">      avalon_mm_rmap_o.readdata(7 downto 0) &lt;= rmap_registers_wr_i.aeb_gen_cfg_reserved_368.reserved(7 downto 0);</t>
  </si>
  <si>
    <t xml:space="preserve">      avalon_mm_rmap_o.readdata(15 downto 8) &lt;= rmap_registers_wr_i.aeb_gen_cfg_reserved_368.reserved(15 downto 8);</t>
  </si>
  <si>
    <t xml:space="preserve">      avalon_mm_rmap_o.readdata(23 downto 16) &lt;= rmap_registers_wr_i.aeb_gen_cfg_reserved_368.reserved(23 downto 16);</t>
  </si>
  <si>
    <t xml:space="preserve">      avalon_mm_rmap_o.readdata(31 downto 24) &lt;= rmap_registers_wr_i.aeb_gen_cfg_reserved_368.reserved(31 downto 24);</t>
  </si>
  <si>
    <t xml:space="preserve">  when (16#195#) =&gt;</t>
  </si>
  <si>
    <t xml:space="preserve">      -- AEB General Configuration Area Register "RESERVED_36C" : "RESERVED" Field</t>
  </si>
  <si>
    <t xml:space="preserve">      avalon_mm_rmap_o.readdata(7 downto 0) &lt;= rmap_registers_wr_i.aeb_gen_cfg_reserved_36c.reserved(7 downto 0);</t>
  </si>
  <si>
    <t xml:space="preserve">      avalon_mm_rmap_o.readdata(15 downto 8) &lt;= rmap_registers_wr_i.aeb_gen_cfg_reserved_36c.reserved(15 downto 8);</t>
  </si>
  <si>
    <t xml:space="preserve">      avalon_mm_rmap_o.readdata(23 downto 16) &lt;= rmap_registers_wr_i.aeb_gen_cfg_reserved_36c.reserved(23 downto 16);</t>
  </si>
  <si>
    <t xml:space="preserve">      avalon_mm_rmap_o.readdata(31 downto 24) &lt;= rmap_registers_wr_i.aeb_gen_cfg_reserved_36c.reserved(31 downto 24);</t>
  </si>
  <si>
    <t xml:space="preserve">  when (16#196#) =&gt;</t>
  </si>
  <si>
    <t xml:space="preserve">      -- AEB General Configuration Area Register "RESERVED_370" : "RESERVED" Field</t>
  </si>
  <si>
    <t xml:space="preserve">      avalon_mm_rmap_o.readdata(7 downto 0) &lt;= rmap_registers_wr_i.aeb_gen_cfg_reserved_370.reserved(7 downto 0);</t>
  </si>
  <si>
    <t xml:space="preserve">      avalon_mm_rmap_o.readdata(15 downto 8) &lt;= rmap_registers_wr_i.aeb_gen_cfg_reserved_370.reserved(15 downto 8);</t>
  </si>
  <si>
    <t xml:space="preserve">      avalon_mm_rmap_o.readdata(23 downto 16) &lt;= rmap_registers_wr_i.aeb_gen_cfg_reserved_370.reserved(23 downto 16);</t>
  </si>
  <si>
    <t xml:space="preserve">      avalon_mm_rmap_o.readdata(31 downto 24) &lt;= rmap_registers_wr_i.aeb_gen_cfg_reserved_370.reserved(31 downto 24);</t>
  </si>
  <si>
    <t xml:space="preserve">  when (16#197#) =&gt;</t>
  </si>
  <si>
    <t xml:space="preserve">      -- AEB General Configuration Area Register "RESERVED_374" : "RESERVED" Field</t>
  </si>
  <si>
    <t xml:space="preserve">      avalon_mm_rmap_o.readdata(7 downto 0) &lt;= rmap_registers_wr_i.aeb_gen_cfg_reserved_374.reserved(7 downto 0);</t>
  </si>
  <si>
    <t xml:space="preserve">      avalon_mm_rmap_o.readdata(15 downto 8) &lt;= rmap_registers_wr_i.aeb_gen_cfg_reserved_374.reserved(15 downto 8);</t>
  </si>
  <si>
    <t xml:space="preserve">      avalon_mm_rmap_o.readdata(23 downto 16) &lt;= rmap_registers_wr_i.aeb_gen_cfg_reserved_374.reserved(23 downto 16);</t>
  </si>
  <si>
    <t xml:space="preserve">      avalon_mm_rmap_o.readdata(31 downto 24) &lt;= rmap_registers_wr_i.aeb_gen_cfg_reserved_374.reserved(31 downto 24);</t>
  </si>
  <si>
    <t xml:space="preserve">  when (16#198#) =&gt;</t>
  </si>
  <si>
    <t xml:space="preserve">      -- AEB General Configuration Area Register "RESERVED_378" : "RESERVED" Field</t>
  </si>
  <si>
    <t xml:space="preserve">      avalon_mm_rmap_o.readdata(7 downto 0) &lt;= rmap_registers_wr_i.aeb_gen_cfg_reserved_378.reserved(7 downto 0);</t>
  </si>
  <si>
    <t xml:space="preserve">      avalon_mm_rmap_o.readdata(15 downto 8) &lt;= rmap_registers_wr_i.aeb_gen_cfg_reserved_378.reserved(15 downto 8);</t>
  </si>
  <si>
    <t xml:space="preserve">      avalon_mm_rmap_o.readdata(23 downto 16) &lt;= rmap_registers_wr_i.aeb_gen_cfg_reserved_378.reserved(23 downto 16);</t>
  </si>
  <si>
    <t xml:space="preserve">      avalon_mm_rmap_o.readdata(31 downto 24) &lt;= rmap_registers_wr_i.aeb_gen_cfg_reserved_378.reserved(31 downto 24);</t>
  </si>
  <si>
    <t xml:space="preserve">  when (16#199#) =&gt;</t>
  </si>
  <si>
    <t xml:space="preserve">      -- AEB General Configuration Area Register "RESERVED_37C" : "RESERVED" Field</t>
  </si>
  <si>
    <t xml:space="preserve">      avalon_mm_rmap_o.readdata(7 downto 0) &lt;= rmap_registers_wr_i.aeb_gen_cfg_reserved_37c.reserved(7 downto 0);</t>
  </si>
  <si>
    <t xml:space="preserve">      avalon_mm_rmap_o.readdata(15 downto 8) &lt;= rmap_registers_wr_i.aeb_gen_cfg_reserved_37c.reserved(15 downto 8);</t>
  </si>
  <si>
    <t xml:space="preserve">      avalon_mm_rmap_o.readdata(23 downto 16) &lt;= rmap_registers_wr_i.aeb_gen_cfg_reserved_37c.reserved(23 downto 16);</t>
  </si>
  <si>
    <t xml:space="preserve">      avalon_mm_rmap_o.readdata(31 downto 24) &lt;= rmap_registers_wr_i.aeb_gen_cfg_reserved_37c.reserved(31 downto 24);</t>
  </si>
  <si>
    <t xml:space="preserve">  when (16#19A#) =&gt;</t>
  </si>
  <si>
    <t xml:space="preserve">      -- AEB General Configuration Area Register "RESERVED_380" : "RESERVED" Field</t>
  </si>
  <si>
    <t xml:space="preserve">      avalon_mm_rmap_o.readdata(7 downto 0) &lt;= rmap_registers_wr_i.aeb_gen_cfg_reserved_380.reserved(7 downto 0);</t>
  </si>
  <si>
    <t xml:space="preserve">      avalon_mm_rmap_o.readdata(15 downto 8) &lt;= rmap_registers_wr_i.aeb_gen_cfg_reserved_380.reserved(15 downto 8);</t>
  </si>
  <si>
    <t xml:space="preserve">      avalon_mm_rmap_o.readdata(23 downto 16) &lt;= rmap_registers_wr_i.aeb_gen_cfg_reserved_380.reserved(23 downto 16);</t>
  </si>
  <si>
    <t xml:space="preserve">      avalon_mm_rmap_o.readdata(31 downto 24) &lt;= rmap_registers_wr_i.aeb_gen_cfg_reserved_380.reserved(31 downto 24);</t>
  </si>
  <si>
    <t xml:space="preserve">  when (16#19B#) =&gt;</t>
  </si>
  <si>
    <t xml:space="preserve">      -- AEB General Configuration Area Register "RESERVED_384" : "RESERVED" Field</t>
  </si>
  <si>
    <t xml:space="preserve">      avalon_mm_rmap_o.readdata(7 downto 0) &lt;= rmap_registers_wr_i.aeb_gen_cfg_reserved_384.reserved(7 downto 0);</t>
  </si>
  <si>
    <t xml:space="preserve">      avalon_mm_rmap_o.readdata(15 downto 8) &lt;= rmap_registers_wr_i.aeb_gen_cfg_reserved_384.reserved(15 downto 8);</t>
  </si>
  <si>
    <t xml:space="preserve">      avalon_mm_rmap_o.readdata(23 downto 16) &lt;= rmap_registers_wr_i.aeb_gen_cfg_reserved_384.reserved(23 downto 16);</t>
  </si>
  <si>
    <t xml:space="preserve">      avalon_mm_rmap_o.readdata(31 downto 24) &lt;= rmap_registers_wr_i.aeb_gen_cfg_reserved_384.reserved(31 downto 24);</t>
  </si>
  <si>
    <t xml:space="preserve">  when (16#19C#) =&gt;</t>
  </si>
  <si>
    <t xml:space="preserve">      -- AEB General Configuration Area Register "RESERVED_388" : "RESERVED" Field</t>
  </si>
  <si>
    <t xml:space="preserve">      avalon_mm_rmap_o.readdata(7 downto 0) &lt;= rmap_registers_wr_i.aeb_gen_cfg_reserved_388.reserved(7 downto 0);</t>
  </si>
  <si>
    <t xml:space="preserve">      avalon_mm_rmap_o.readdata(15 downto 8) &lt;= rmap_registers_wr_i.aeb_gen_cfg_reserved_388.reserved(15 downto 8);</t>
  </si>
  <si>
    <t xml:space="preserve">      avalon_mm_rmap_o.readdata(23 downto 16) &lt;= rmap_registers_wr_i.aeb_gen_cfg_reserved_388.reserved(23 downto 16);</t>
  </si>
  <si>
    <t xml:space="preserve">      avalon_mm_rmap_o.readdata(31 downto 24) &lt;= rmap_registers_wr_i.aeb_gen_cfg_reserved_388.reserved(31 downto 24);</t>
  </si>
  <si>
    <t xml:space="preserve">  when (16#19D#) =&gt;</t>
  </si>
  <si>
    <t xml:space="preserve">      -- AEB General Configuration Area Register "RESERVED_38C" : "RESERVED" Field</t>
  </si>
  <si>
    <t xml:space="preserve">      avalon_mm_rmap_o.readdata(7 downto 0) &lt;= rmap_registers_wr_i.aeb_gen_cfg_reserved_38c.reserved(7 downto 0);</t>
  </si>
  <si>
    <t xml:space="preserve">      avalon_mm_rmap_o.readdata(15 downto 8) &lt;= rmap_registers_wr_i.aeb_gen_cfg_reserved_38c.reserved(15 downto 8);</t>
  </si>
  <si>
    <t xml:space="preserve">      avalon_mm_rmap_o.readdata(23 downto 16) &lt;= rmap_registers_wr_i.aeb_gen_cfg_reserved_38c.reserved(23 downto 16);</t>
  </si>
  <si>
    <t xml:space="preserve">      avalon_mm_rmap_o.readdata(31 downto 24) &lt;= rmap_registers_wr_i.aeb_gen_cfg_reserved_38c.reserved(31 downto 24);</t>
  </si>
  <si>
    <t xml:space="preserve">  when (16#19E#) =&gt;</t>
  </si>
  <si>
    <t xml:space="preserve">      -- AEB General Configuration Area Register "RESERVED_390" : "RESERVED" Field</t>
  </si>
  <si>
    <t xml:space="preserve">      avalon_mm_rmap_o.readdata(7 downto 0) &lt;= rmap_registers_wr_i.aeb_gen_cfg_reserved_390.reserved(7 downto 0);</t>
  </si>
  <si>
    <t xml:space="preserve">      avalon_mm_rmap_o.readdata(15 downto 8) &lt;= rmap_registers_wr_i.aeb_gen_cfg_reserved_390.reserved(15 downto 8);</t>
  </si>
  <si>
    <t xml:space="preserve">      avalon_mm_rmap_o.readdata(23 downto 16) &lt;= rmap_registers_wr_i.aeb_gen_cfg_reserved_390.reserved(23 downto 16);</t>
  </si>
  <si>
    <t xml:space="preserve">      avalon_mm_rmap_o.readdata(31 downto 24) &lt;= rmap_registers_wr_i.aeb_gen_cfg_reserved_390.reserved(31 downto 24);</t>
  </si>
  <si>
    <t xml:space="preserve">  when (16#19F#) =&gt;</t>
  </si>
  <si>
    <t xml:space="preserve">      -- AEB General Configuration Area Register "RESERVED_394" : "RESERVED" Field</t>
  </si>
  <si>
    <t xml:space="preserve">      avalon_mm_rmap_o.readdata(7 downto 0) &lt;= rmap_registers_wr_i.aeb_gen_cfg_reserved_394.reserved(7 downto 0);</t>
  </si>
  <si>
    <t xml:space="preserve">      avalon_mm_rmap_o.readdata(15 downto 8) &lt;= rmap_registers_wr_i.aeb_gen_cfg_reserved_394.reserved(15 downto 8);</t>
  </si>
  <si>
    <t xml:space="preserve">      avalon_mm_rmap_o.readdata(23 downto 16) &lt;= rmap_registers_wr_i.aeb_gen_cfg_reserved_394.reserved(23 downto 16);</t>
  </si>
  <si>
    <t xml:space="preserve">      avalon_mm_rmap_o.readdata(31 downto 24) &lt;= rmap_registers_wr_i.aeb_gen_cfg_reserved_394.reserved(31 downto 24);</t>
  </si>
  <si>
    <t xml:space="preserve">  when (16#1A0#) =&gt;</t>
  </si>
  <si>
    <t xml:space="preserve">      -- AEB General Configuration Area Register "RESERVED_398" : "RESERVED" Field</t>
  </si>
  <si>
    <t xml:space="preserve">      avalon_mm_rmap_o.readdata(7 downto 0) &lt;= rmap_registers_wr_i.aeb_gen_cfg_reserved_398.reserved(7 downto 0);</t>
  </si>
  <si>
    <t xml:space="preserve">      avalon_mm_rmap_o.readdata(15 downto 8) &lt;= rmap_registers_wr_i.aeb_gen_cfg_reserved_398.reserved(15 downto 8);</t>
  </si>
  <si>
    <t xml:space="preserve">      avalon_mm_rmap_o.readdata(23 downto 16) &lt;= rmap_registers_wr_i.aeb_gen_cfg_reserved_398.reserved(23 downto 16);</t>
  </si>
  <si>
    <t xml:space="preserve">      avalon_mm_rmap_o.readdata(31 downto 24) &lt;= rmap_registers_wr_i.aeb_gen_cfg_reserved_398.reserved(31 downto 24);</t>
  </si>
  <si>
    <t xml:space="preserve">  when (16#1A1#) =&gt;</t>
  </si>
  <si>
    <t xml:space="preserve">      -- AEB General Configuration Area Register "RESERVED_39C" : "RESERVED" Field</t>
  </si>
  <si>
    <t xml:space="preserve">      avalon_mm_rmap_o.readdata(7 downto 0) &lt;= rmap_registers_wr_i.aeb_gen_cfg_reserved_39c.reserved(7 downto 0);</t>
  </si>
  <si>
    <t xml:space="preserve">      avalon_mm_rmap_o.readdata(15 downto 8) &lt;= rmap_registers_wr_i.aeb_gen_cfg_reserved_39c.reserved(15 downto 8);</t>
  </si>
  <si>
    <t xml:space="preserve">      avalon_mm_rmap_o.readdata(23 downto 16) &lt;= rmap_registers_wr_i.aeb_gen_cfg_reserved_39c.reserved(23 downto 16);</t>
  </si>
  <si>
    <t xml:space="preserve">      avalon_mm_rmap_o.readdata(31 downto 24) &lt;= rmap_registers_wr_i.aeb_gen_cfg_reserved_39c.reserved(31 downto 24);</t>
  </si>
  <si>
    <t xml:space="preserve">  when (16#1A2#) =&gt;</t>
  </si>
  <si>
    <t xml:space="preserve">      -- AEB General Configuration Area Register "RESERVED_3A0" : "RESERVED" Field</t>
  </si>
  <si>
    <t xml:space="preserve">      avalon_mm_rmap_o.readdata(7 downto 0) &lt;= rmap_registers_wr_i.aeb_gen_cfg_reserved_3a0.reserved(7 downto 0);</t>
  </si>
  <si>
    <t xml:space="preserve">      avalon_mm_rmap_o.readdata(15 downto 8) &lt;= rmap_registers_wr_i.aeb_gen_cfg_reserved_3a0.reserved(15 downto 8);</t>
  </si>
  <si>
    <t xml:space="preserve">      avalon_mm_rmap_o.readdata(23 downto 16) &lt;= rmap_registers_wr_i.aeb_gen_cfg_reserved_3a0.reserved(23 downto 16);</t>
  </si>
  <si>
    <t xml:space="preserve">      avalon_mm_rmap_o.readdata(31 downto 24) &lt;= rmap_registers_wr_i.aeb_gen_cfg_reserved_3a0.reserved(31 downto 24);</t>
  </si>
  <si>
    <t xml:space="preserve">  when (16#1A3#) =&gt;</t>
  </si>
  <si>
    <t xml:space="preserve">      -- AEB General Configuration Area Register "RESERVED_3A4" : "RESERVED" Field</t>
  </si>
  <si>
    <t xml:space="preserve">      avalon_mm_rmap_o.readdata(7 downto 0) &lt;= rmap_registers_wr_i.aeb_gen_cfg_reserved_3a4.reserved(7 downto 0);</t>
  </si>
  <si>
    <t xml:space="preserve">      avalon_mm_rmap_o.readdata(15 downto 8) &lt;= rmap_registers_wr_i.aeb_gen_cfg_reserved_3a4.reserved(15 downto 8);</t>
  </si>
  <si>
    <t xml:space="preserve">      avalon_mm_rmap_o.readdata(23 downto 16) &lt;= rmap_registers_wr_i.aeb_gen_cfg_reserved_3a4.reserved(23 downto 16);</t>
  </si>
  <si>
    <t xml:space="preserve">      avalon_mm_rmap_o.readdata(31 downto 24) &lt;= rmap_registers_wr_i.aeb_gen_cfg_reserved_3a4.reserved(31 downto 24);</t>
  </si>
  <si>
    <t xml:space="preserve">  when (16#1A4#) =&gt;</t>
  </si>
  <si>
    <t xml:space="preserve">      -- AEB General Configuration Area Register "RESERVED_3A8" : "RESERVED" Field</t>
  </si>
  <si>
    <t xml:space="preserve">      avalon_mm_rmap_o.readdata(7 downto 0) &lt;= rmap_registers_wr_i.aeb_gen_cfg_reserved_3a8.reserved(7 downto 0);</t>
  </si>
  <si>
    <t xml:space="preserve">      avalon_mm_rmap_o.readdata(15 downto 8) &lt;= rmap_registers_wr_i.aeb_gen_cfg_reserved_3a8.reserved(15 downto 8);</t>
  </si>
  <si>
    <t xml:space="preserve">      avalon_mm_rmap_o.readdata(23 downto 16) &lt;= rmap_registers_wr_i.aeb_gen_cfg_reserved_3a8.reserved(23 downto 16);</t>
  </si>
  <si>
    <t xml:space="preserve">      avalon_mm_rmap_o.readdata(31 downto 24) &lt;= rmap_registers_wr_i.aeb_gen_cfg_reserved_3a8.reserved(31 downto 24);</t>
  </si>
  <si>
    <t xml:space="preserve">  when (16#1A5#) =&gt;</t>
  </si>
  <si>
    <t xml:space="preserve">      -- AEB General Configuration Area Register "RESERVED_3AC" : "RESERVED" Field</t>
  </si>
  <si>
    <t xml:space="preserve">      avalon_mm_rmap_o.readdata(7 downto 0) &lt;= rmap_registers_wr_i.aeb_gen_cfg_reserved_3ac.reserved(7 downto 0);</t>
  </si>
  <si>
    <t xml:space="preserve">      avalon_mm_rmap_o.readdata(15 downto 8) &lt;= rmap_registers_wr_i.aeb_gen_cfg_reserved_3ac.reserved(15 downto 8);</t>
  </si>
  <si>
    <t xml:space="preserve">      avalon_mm_rmap_o.readdata(23 downto 16) &lt;= rmap_registers_wr_i.aeb_gen_cfg_reserved_3ac.reserved(23 downto 16);</t>
  </si>
  <si>
    <t xml:space="preserve">      avalon_mm_rmap_o.readdata(31 downto 24) &lt;= rmap_registers_wr_i.aeb_gen_cfg_reserved_3ac.reserved(31 downto 24);</t>
  </si>
  <si>
    <t xml:space="preserve">  when (16#1A6#) =&gt;</t>
  </si>
  <si>
    <t xml:space="preserve">      -- AEB General Configuration Area Register "RESERVED_3B0" : "RESERVED" Field</t>
  </si>
  <si>
    <t xml:space="preserve">      avalon_mm_rmap_o.readdata(7 downto 0) &lt;= rmap_registers_wr_i.aeb_gen_cfg_reserved_3b0.reserved(7 downto 0);</t>
  </si>
  <si>
    <t xml:space="preserve">      avalon_mm_rmap_o.readdata(15 downto 8) &lt;= rmap_registers_wr_i.aeb_gen_cfg_reserved_3b0.reserved(15 downto 8);</t>
  </si>
  <si>
    <t xml:space="preserve">      avalon_mm_rmap_o.readdata(23 downto 16) &lt;= rmap_registers_wr_i.aeb_gen_cfg_reserved_3b0.reserved(23 downto 16);</t>
  </si>
  <si>
    <t xml:space="preserve">      avalon_mm_rmap_o.readdata(31 downto 24) &lt;= rmap_registers_wr_i.aeb_gen_cfg_reserved_3b0.reserved(31 downto 24);</t>
  </si>
  <si>
    <t xml:space="preserve">  when (16#1A7#) =&gt;</t>
  </si>
  <si>
    <t xml:space="preserve">      -- AEB General Configuration Area Register "RESERVED_3B4" : "RESERVED" Field</t>
  </si>
  <si>
    <t xml:space="preserve">      avalon_mm_rmap_o.readdata(7 downto 0) &lt;= rmap_registers_wr_i.aeb_gen_cfg_reserved_3b4.reserved(7 downto 0);</t>
  </si>
  <si>
    <t xml:space="preserve">      avalon_mm_rmap_o.readdata(15 downto 8) &lt;= rmap_registers_wr_i.aeb_gen_cfg_reserved_3b4.reserved(15 downto 8);</t>
  </si>
  <si>
    <t xml:space="preserve">      avalon_mm_rmap_o.readdata(23 downto 16) &lt;= rmap_registers_wr_i.aeb_gen_cfg_reserved_3b4.reserved(23 downto 16);</t>
  </si>
  <si>
    <t xml:space="preserve">      avalon_mm_rmap_o.readdata(31 downto 24) &lt;= rmap_registers_wr_i.aeb_gen_cfg_reserved_3b4.reserved(31 downto 24);</t>
  </si>
  <si>
    <t xml:space="preserve">  when (16#1A8#) =&gt;</t>
  </si>
  <si>
    <t xml:space="preserve">      -- AEB General Configuration Area Register "RESERVED_3B8" : "RESERVED" Field</t>
  </si>
  <si>
    <t xml:space="preserve">      avalon_mm_rmap_o.readdata(7 downto 0) &lt;= rmap_registers_wr_i.aeb_gen_cfg_reserved_3b8.reserved(7 downto 0);</t>
  </si>
  <si>
    <t xml:space="preserve">      avalon_mm_rmap_o.readdata(15 downto 8) &lt;= rmap_registers_wr_i.aeb_gen_cfg_reserved_3b8.reserved(15 downto 8);</t>
  </si>
  <si>
    <t xml:space="preserve">      avalon_mm_rmap_o.readdata(23 downto 16) &lt;= rmap_registers_wr_i.aeb_gen_cfg_reserved_3b8.reserved(23 downto 16);</t>
  </si>
  <si>
    <t xml:space="preserve">      avalon_mm_rmap_o.readdata(31 downto 24) &lt;= rmap_registers_wr_i.aeb_gen_cfg_reserved_3b8.reserved(31 downto 24);</t>
  </si>
  <si>
    <t xml:space="preserve">  when (16#1A9#) =&gt;</t>
  </si>
  <si>
    <t xml:space="preserve">      -- AEB General Configuration Area Register "RESERVED_3BC" : "RESERVED" Field</t>
  </si>
  <si>
    <t xml:space="preserve">      avalon_mm_rmap_o.readdata(7 downto 0) &lt;= rmap_registers_wr_i.aeb_gen_cfg_reserved_3bc.reserved(7 downto 0);</t>
  </si>
  <si>
    <t xml:space="preserve">      avalon_mm_rmap_o.readdata(15 downto 8) &lt;= rmap_registers_wr_i.aeb_gen_cfg_reserved_3bc.reserved(15 downto 8);</t>
  </si>
  <si>
    <t xml:space="preserve">      avalon_mm_rmap_o.readdata(23 downto 16) &lt;= rmap_registers_wr_i.aeb_gen_cfg_reserved_3bc.reserved(23 downto 16);</t>
  </si>
  <si>
    <t xml:space="preserve">      avalon_mm_rmap_o.readdata(31 downto 24) &lt;= rmap_registers_wr_i.aeb_gen_cfg_reserved_3bc.reserved(31 downto 24);</t>
  </si>
  <si>
    <t xml:space="preserve">  when (16#1AA#) =&gt;</t>
  </si>
  <si>
    <t xml:space="preserve">      -- AEB General Configuration Area Register "RESERVED_3C0" : "RESERVED" Field</t>
  </si>
  <si>
    <t xml:space="preserve">      avalon_mm_rmap_o.readdata(7 downto 0) &lt;= rmap_registers_wr_i.aeb_gen_cfg_reserved_3c0.reserved(7 downto 0);</t>
  </si>
  <si>
    <t xml:space="preserve">      avalon_mm_rmap_o.readdata(15 downto 8) &lt;= rmap_registers_wr_i.aeb_gen_cfg_reserved_3c0.reserved(15 downto 8);</t>
  </si>
  <si>
    <t xml:space="preserve">      avalon_mm_rmap_o.readdata(23 downto 16) &lt;= rmap_registers_wr_i.aeb_gen_cfg_reserved_3c0.reserved(23 downto 16);</t>
  </si>
  <si>
    <t xml:space="preserve">      avalon_mm_rmap_o.readdata(31 downto 24) &lt;= rmap_registers_wr_i.aeb_gen_cfg_reserved_3c0.reserved(31 downto 24);</t>
  </si>
  <si>
    <t xml:space="preserve">  when (16#1AB#) =&gt;</t>
  </si>
  <si>
    <t xml:space="preserve">      -- AEB General Configuration Area Register "RESERVED_3C4" : "RESERVED" Field</t>
  </si>
  <si>
    <t xml:space="preserve">      avalon_mm_rmap_o.readdata(7 downto 0) &lt;= rmap_registers_wr_i.aeb_gen_cfg_reserved_3c4.reserved(7 downto 0);</t>
  </si>
  <si>
    <t xml:space="preserve">      avalon_mm_rmap_o.readdata(15 downto 8) &lt;= rmap_registers_wr_i.aeb_gen_cfg_reserved_3c4.reserved(15 downto 8);</t>
  </si>
  <si>
    <t xml:space="preserve">      avalon_mm_rmap_o.readdata(23 downto 16) &lt;= rmap_registers_wr_i.aeb_gen_cfg_reserved_3c4.reserved(23 downto 16);</t>
  </si>
  <si>
    <t xml:space="preserve">      avalon_mm_rmap_o.readdata(31 downto 24) &lt;= rmap_registers_wr_i.aeb_gen_cfg_reserved_3c4.reserved(31 downto 24);</t>
  </si>
  <si>
    <t xml:space="preserve">  when (16#1AC#) =&gt;</t>
  </si>
  <si>
    <t xml:space="preserve">      -- AEB General Configuration Area Register "RESERVED_3C8" : "RESERVED" Field</t>
  </si>
  <si>
    <t xml:space="preserve">      avalon_mm_rmap_o.readdata(7 downto 0) &lt;= rmap_registers_wr_i.aeb_gen_cfg_reserved_3c8.reserved(7 downto 0);</t>
  </si>
  <si>
    <t xml:space="preserve">      avalon_mm_rmap_o.readdata(15 downto 8) &lt;= rmap_registers_wr_i.aeb_gen_cfg_reserved_3c8.reserved(15 downto 8);</t>
  </si>
  <si>
    <t xml:space="preserve">      avalon_mm_rmap_o.readdata(23 downto 16) &lt;= rmap_registers_wr_i.aeb_gen_cfg_reserved_3c8.reserved(23 downto 16);</t>
  </si>
  <si>
    <t xml:space="preserve">      avalon_mm_rmap_o.readdata(31 downto 24) &lt;= rmap_registers_wr_i.aeb_gen_cfg_reserved_3c8.reserved(31 downto 24);</t>
  </si>
  <si>
    <t xml:space="preserve">  when (16#1AD#) =&gt;</t>
  </si>
  <si>
    <t xml:space="preserve">      -- AEB General Configuration Area Register "RESERVED_3CC" : "RESERVED" Field</t>
  </si>
  <si>
    <t xml:space="preserve">      avalon_mm_rmap_o.readdata(7 downto 0) &lt;= rmap_registers_wr_i.aeb_gen_cfg_reserved_3cc.reserved(7 downto 0);</t>
  </si>
  <si>
    <t xml:space="preserve">      avalon_mm_rmap_o.readdata(15 downto 8) &lt;= rmap_registers_wr_i.aeb_gen_cfg_reserved_3cc.reserved(15 downto 8);</t>
  </si>
  <si>
    <t xml:space="preserve">      avalon_mm_rmap_o.readdata(23 downto 16) &lt;= rmap_registers_wr_i.aeb_gen_cfg_reserved_3cc.reserved(23 downto 16);</t>
  </si>
  <si>
    <t xml:space="preserve">      avalon_mm_rmap_o.readdata(31 downto 24) &lt;= rmap_registers_wr_i.aeb_gen_cfg_reserved_3cc.reserved(31 downto 24);</t>
  </si>
  <si>
    <t xml:space="preserve">  when (16#1AE#) =&gt;</t>
  </si>
  <si>
    <t xml:space="preserve">      -- AEB General Configuration Area Register "RESERVED_3D0" : "RESERVED" Field</t>
  </si>
  <si>
    <t xml:space="preserve">      avalon_mm_rmap_o.readdata(7 downto 0) &lt;= rmap_registers_wr_i.aeb_gen_cfg_reserved_3d0.reserved(7 downto 0);</t>
  </si>
  <si>
    <t xml:space="preserve">      avalon_mm_rmap_o.readdata(15 downto 8) &lt;= rmap_registers_wr_i.aeb_gen_cfg_reserved_3d0.reserved(15 downto 8);</t>
  </si>
  <si>
    <t xml:space="preserve">      avalon_mm_rmap_o.readdata(23 downto 16) &lt;= rmap_registers_wr_i.aeb_gen_cfg_reserved_3d0.reserved(23 downto 16);</t>
  </si>
  <si>
    <t xml:space="preserve">      avalon_mm_rmap_o.readdata(31 downto 24) &lt;= rmap_registers_wr_i.aeb_gen_cfg_reserved_3d0.reserved(31 downto 24);</t>
  </si>
  <si>
    <t xml:space="preserve">  when (16#1AF#) =&gt;</t>
  </si>
  <si>
    <t xml:space="preserve">      -- AEB General Configuration Area Register "RESERVED_3D4" : "RESERVED" Field</t>
  </si>
  <si>
    <t xml:space="preserve">      avalon_mm_rmap_o.readdata(7 downto 0) &lt;= rmap_registers_wr_i.aeb_gen_cfg_reserved_3d4.reserved(7 downto 0);</t>
  </si>
  <si>
    <t xml:space="preserve">      avalon_mm_rmap_o.readdata(15 downto 8) &lt;= rmap_registers_wr_i.aeb_gen_cfg_reserved_3d4.reserved(15 downto 8);</t>
  </si>
  <si>
    <t xml:space="preserve">      avalon_mm_rmap_o.readdata(23 downto 16) &lt;= rmap_registers_wr_i.aeb_gen_cfg_reserved_3d4.reserved(23 downto 16);</t>
  </si>
  <si>
    <t xml:space="preserve">      avalon_mm_rmap_o.readdata(31 downto 24) &lt;= rmap_registers_wr_i.aeb_gen_cfg_reserved_3d4.reserved(31 downto 24);</t>
  </si>
  <si>
    <t xml:space="preserve">  when (16#1B0#) =&gt;</t>
  </si>
  <si>
    <t xml:space="preserve">      -- AEB General Configuration Area Register "RESERVED_3D8" : "RESERVED" Field</t>
  </si>
  <si>
    <t xml:space="preserve">      avalon_mm_rmap_o.readdata(7 downto 0) &lt;= rmap_registers_wr_i.aeb_gen_cfg_reserved_3d8.reserved(7 downto 0);</t>
  </si>
  <si>
    <t xml:space="preserve">      avalon_mm_rmap_o.readdata(15 downto 8) &lt;= rmap_registers_wr_i.aeb_gen_cfg_reserved_3d8.reserved(15 downto 8);</t>
  </si>
  <si>
    <t xml:space="preserve">      avalon_mm_rmap_o.readdata(23 downto 16) &lt;= rmap_registers_wr_i.aeb_gen_cfg_reserved_3d8.reserved(23 downto 16);</t>
  </si>
  <si>
    <t xml:space="preserve">      avalon_mm_rmap_o.readdata(31 downto 24) &lt;= rmap_registers_wr_i.aeb_gen_cfg_reserved_3d8.reserved(31 downto 24);</t>
  </si>
  <si>
    <t xml:space="preserve">  when (16#1B1#) =&gt;</t>
  </si>
  <si>
    <t xml:space="preserve">      -- AEB General Configuration Area Register "RESERVED_3DC" : "RESERVED" Field</t>
  </si>
  <si>
    <t xml:space="preserve">      avalon_mm_rmap_o.readdata(7 downto 0) &lt;= rmap_registers_wr_i.aeb_gen_cfg_reserved_3dc.reserved(7 downto 0);</t>
  </si>
  <si>
    <t xml:space="preserve">      avalon_mm_rmap_o.readdata(15 downto 8) &lt;= rmap_registers_wr_i.aeb_gen_cfg_reserved_3dc.reserved(15 downto 8);</t>
  </si>
  <si>
    <t xml:space="preserve">      avalon_mm_rmap_o.readdata(23 downto 16) &lt;= rmap_registers_wr_i.aeb_gen_cfg_reserved_3dc.reserved(23 downto 16);</t>
  </si>
  <si>
    <t xml:space="preserve">      avalon_mm_rmap_o.readdata(31 downto 24) &lt;= rmap_registers_wr_i.aeb_gen_cfg_reserved_3dc.reserved(31 downto 24);</t>
  </si>
  <si>
    <t xml:space="preserve">  when (16#1B2#) =&gt;</t>
  </si>
  <si>
    <t xml:space="preserve">      -- AEB General Configuration Area Register "RESERVED_3E0" : "RESERVED" Field</t>
  </si>
  <si>
    <t xml:space="preserve">      avalon_mm_rmap_o.readdata(7 downto 0) &lt;= rmap_registers_wr_i.aeb_gen_cfg_reserved_3e0.reserved(7 downto 0);</t>
  </si>
  <si>
    <t xml:space="preserve">      avalon_mm_rmap_o.readdata(15 downto 8) &lt;= rmap_registers_wr_i.aeb_gen_cfg_reserved_3e0.reserved(15 downto 8);</t>
  </si>
  <si>
    <t xml:space="preserve">      avalon_mm_rmap_o.readdata(23 downto 16) &lt;= rmap_registers_wr_i.aeb_gen_cfg_reserved_3e0.reserved(23 downto 16);</t>
  </si>
  <si>
    <t xml:space="preserve">      avalon_mm_rmap_o.readdata(31 downto 24) &lt;= rmap_registers_wr_i.aeb_gen_cfg_reserved_3e0.reserved(31 downto 24);</t>
  </si>
  <si>
    <t xml:space="preserve">  when (16#1B3#) =&gt;</t>
  </si>
  <si>
    <t xml:space="preserve">      -- AEB General Configuration Area Register "RESERVED_3E4" : "RESERVED" Field</t>
  </si>
  <si>
    <t xml:space="preserve">      avalon_mm_rmap_o.readdata(7 downto 0) &lt;= rmap_registers_wr_i.aeb_gen_cfg_reserved_3e4.reserved(7 downto 0);</t>
  </si>
  <si>
    <t xml:space="preserve">      avalon_mm_rmap_o.readdata(15 downto 8) &lt;= rmap_registers_wr_i.aeb_gen_cfg_reserved_3e4.reserved(15 downto 8);</t>
  </si>
  <si>
    <t xml:space="preserve">      avalon_mm_rmap_o.readdata(23 downto 16) &lt;= rmap_registers_wr_i.aeb_gen_cfg_reserved_3e4.reserved(23 downto 16);</t>
  </si>
  <si>
    <t xml:space="preserve">      avalon_mm_rmap_o.readdata(31 downto 24) &lt;= rmap_registers_wr_i.aeb_gen_cfg_reserved_3e4.reserved(31 downto 24);</t>
  </si>
  <si>
    <t xml:space="preserve">  when (16#1B4#) =&gt;</t>
  </si>
  <si>
    <t xml:space="preserve">      -- AEB General Configuration Area Register "RESERVED_3E8" : "RESERVED" Field</t>
  </si>
  <si>
    <t xml:space="preserve">      avalon_mm_rmap_o.readdata(7 downto 0) &lt;= rmap_registers_wr_i.aeb_gen_cfg_reserved_3e8.reserved(7 downto 0);</t>
  </si>
  <si>
    <t xml:space="preserve">      avalon_mm_rmap_o.readdata(15 downto 8) &lt;= rmap_registers_wr_i.aeb_gen_cfg_reserved_3e8.reserved(15 downto 8);</t>
  </si>
  <si>
    <t xml:space="preserve">      avalon_mm_rmap_o.readdata(23 downto 16) &lt;= rmap_registers_wr_i.aeb_gen_cfg_reserved_3e8.reserved(23 downto 16);</t>
  </si>
  <si>
    <t xml:space="preserve">      avalon_mm_rmap_o.readdata(31 downto 24) &lt;= rmap_registers_wr_i.aeb_gen_cfg_reserved_3e8.reserved(31 downto 24);</t>
  </si>
  <si>
    <t xml:space="preserve">  when (16#1B5#) =&gt;</t>
  </si>
  <si>
    <t xml:space="preserve">      -- AEB General Configuration Area Register "RESERVED_3EC" : "RESERVED" Field</t>
  </si>
  <si>
    <t xml:space="preserve">      avalon_mm_rmap_o.readdata(7 downto 0) &lt;= rmap_registers_wr_i.aeb_gen_cfg_reserved_3ec.reserved(7 downto 0);</t>
  </si>
  <si>
    <t xml:space="preserve">      avalon_mm_rmap_o.readdata(15 downto 8) &lt;= rmap_registers_wr_i.aeb_gen_cfg_reserved_3ec.reserved(15 downto 8);</t>
  </si>
  <si>
    <t xml:space="preserve">      avalon_mm_rmap_o.readdata(23 downto 16) &lt;= rmap_registers_wr_i.aeb_gen_cfg_reserved_3ec.reserved(23 downto 16);</t>
  </si>
  <si>
    <t xml:space="preserve">      avalon_mm_rmap_o.readdata(31 downto 24) &lt;= rmap_registers_wr_i.aeb_gen_cfg_reserved_3ec.reserved(31 downto 24);</t>
  </si>
  <si>
    <t xml:space="preserve">  when (16#1B6#) =&gt;</t>
  </si>
  <si>
    <t xml:space="preserve">      -- AEB General Configuration Area Register "RESERVED_3F0" : "RESERVED" Field</t>
  </si>
  <si>
    <t xml:space="preserve">      avalon_mm_rmap_o.readdata(7 downto 0) &lt;= rmap_registers_wr_i.aeb_gen_cfg_reserved_3f0.reserved(7 downto 0);</t>
  </si>
  <si>
    <t xml:space="preserve">      avalon_mm_rmap_o.readdata(15 downto 8) &lt;= rmap_registers_wr_i.aeb_gen_cfg_reserved_3f0.reserved(15 downto 8);</t>
  </si>
  <si>
    <t xml:space="preserve">      avalon_mm_rmap_o.readdata(23 downto 16) &lt;= rmap_registers_wr_i.aeb_gen_cfg_reserved_3f0.reserved(23 downto 16);</t>
  </si>
  <si>
    <t xml:space="preserve">      avalon_mm_rmap_o.readdata(31 downto 24) &lt;= rmap_registers_wr_i.aeb_gen_cfg_reserved_3f0.reserved(31 downto 24);</t>
  </si>
  <si>
    <t xml:space="preserve">  when (16#1B7#) =&gt;</t>
  </si>
  <si>
    <t xml:space="preserve">      -- AEB General Configuration Area Register "RESERVED_3F4" : "RESERVED" Field</t>
  </si>
  <si>
    <t xml:space="preserve">      avalon_mm_rmap_o.readdata(7 downto 0) &lt;= rmap_registers_wr_i.aeb_gen_cfg_reserved_3f4.reserved(7 downto 0);</t>
  </si>
  <si>
    <t xml:space="preserve">      avalon_mm_rmap_o.readdata(15 downto 8) &lt;= rmap_registers_wr_i.aeb_gen_cfg_reserved_3f4.reserved(15 downto 8);</t>
  </si>
  <si>
    <t xml:space="preserve">      avalon_mm_rmap_o.readdata(23 downto 16) &lt;= rmap_registers_wr_i.aeb_gen_cfg_reserved_3f4.reserved(23 downto 16);</t>
  </si>
  <si>
    <t xml:space="preserve">      avalon_mm_rmap_o.readdata(31 downto 24) &lt;= rmap_registers_wr_i.aeb_gen_cfg_reserved_3f4.reserved(31 downto 24);</t>
  </si>
  <si>
    <t xml:space="preserve">  when (16#1B8#) =&gt;</t>
  </si>
  <si>
    <t xml:space="preserve">      -- AEB General Configuration Area Register "RESERVED_3F8" : "RESERVED" Field</t>
  </si>
  <si>
    <t xml:space="preserve">      avalon_mm_rmap_o.readdata(7 downto 0) &lt;= rmap_registers_wr_i.aeb_gen_cfg_reserved_3f8.reserved(7 downto 0);</t>
  </si>
  <si>
    <t xml:space="preserve">      avalon_mm_rmap_o.readdata(15 downto 8) &lt;= rmap_registers_wr_i.aeb_gen_cfg_reserved_3f8.reserved(15 downto 8);</t>
  </si>
  <si>
    <t xml:space="preserve">      avalon_mm_rmap_o.readdata(23 downto 16) &lt;= rmap_registers_wr_i.aeb_gen_cfg_reserved_3f8.reserved(23 downto 16);</t>
  </si>
  <si>
    <t xml:space="preserve">      avalon_mm_rmap_o.readdata(31 downto 24) &lt;= rmap_registers_wr_i.aeb_gen_cfg_reserved_3f8.reserved(31 downto 24);</t>
  </si>
  <si>
    <t xml:space="preserve">  when (16#1B9#) =&gt;</t>
  </si>
  <si>
    <t xml:space="preserve">      -- AEB General Configuration Area Register "RESERVED_3FC" : "RESERVED" Field</t>
  </si>
  <si>
    <t xml:space="preserve">      avalon_mm_rmap_o.readdata(7 downto 0) &lt;= rmap_registers_wr_i.aeb_gen_cfg_reserved_3fc.reserved(7 downto 0);</t>
  </si>
  <si>
    <t xml:space="preserve">      avalon_mm_rmap_o.readdata(15 downto 8) &lt;= rmap_registers_wr_i.aeb_gen_cfg_reserved_3fc.reserved(15 downto 8);</t>
  </si>
  <si>
    <t xml:space="preserve">      avalon_mm_rmap_o.readdata(23 downto 16) &lt;= rmap_registers_wr_i.aeb_gen_cfg_reserved_3fc.reserved(23 downto 16);</t>
  </si>
  <si>
    <t xml:space="preserve">      avalon_mm_rmap_o.readdata(31 downto 24) &lt;= rmap_registers_wr_i.aeb_gen_cfg_reserved_3fc.reserved(31 downto 24);</t>
  </si>
  <si>
    <t xml:space="preserve">  when (16#1BA#) =&gt;</t>
  </si>
  <si>
    <t xml:space="preserve">      -- AEB General Configuration Area Register "RESERVED_400" : "RESERVED" Field</t>
  </si>
  <si>
    <t xml:space="preserve">      avalon_mm_rmap_o.readdata(7 downto 0) &lt;= rmap_registers_wr_i.aeb_gen_cfg_reserved_400.reserved(7 downto 0);</t>
  </si>
  <si>
    <t xml:space="preserve">      avalon_mm_rmap_o.readdata(15 downto 8) &lt;= rmap_registers_wr_i.aeb_gen_cfg_reserved_400.reserved(15 downto 8);</t>
  </si>
  <si>
    <t xml:space="preserve">      avalon_mm_rmap_o.readdata(23 downto 16) &lt;= rmap_registers_wr_i.aeb_gen_cfg_reserved_400.reserved(23 downto 16);</t>
  </si>
  <si>
    <t xml:space="preserve">      avalon_mm_rmap_o.readdata(31 downto 24) &lt;= rmap_registers_wr_i.aeb_gen_cfg_reserved_400.reserved(31 downto 24);</t>
  </si>
  <si>
    <t xml:space="preserve">  when (16#1BB#) =&gt;</t>
  </si>
  <si>
    <t xml:space="preserve">      -- AEB General Configuration Area Register "RESERVED_404" : "RESERVED" Field</t>
  </si>
  <si>
    <t xml:space="preserve">      avalon_mm_rmap_o.readdata(7 downto 0) &lt;= rmap_registers_wr_i.aeb_gen_cfg_reserved_404.reserved(7 downto 0);</t>
  </si>
  <si>
    <t xml:space="preserve">      avalon_mm_rmap_o.readdata(15 downto 8) &lt;= rmap_registers_wr_i.aeb_gen_cfg_reserved_404.reserved(15 downto 8);</t>
  </si>
  <si>
    <t xml:space="preserve">      avalon_mm_rmap_o.readdata(23 downto 16) &lt;= rmap_registers_wr_i.aeb_gen_cfg_reserved_404.reserved(23 downto 16);</t>
  </si>
  <si>
    <t xml:space="preserve">      avalon_mm_rmap_o.readdata(31 downto 24) &lt;= rmap_registers_wr_i.aeb_gen_cfg_reserved_404.reserved(31 downto 24);</t>
  </si>
  <si>
    <t xml:space="preserve">  when (16#1BC#) =&gt;</t>
  </si>
  <si>
    <t xml:space="preserve">      -- AEB General Configuration Area Register "RESERVED_408" : "RESERVED" Field</t>
  </si>
  <si>
    <t xml:space="preserve">      avalon_mm_rmap_o.readdata(7 downto 0) &lt;= rmap_registers_wr_i.aeb_gen_cfg_reserved_408.reserved(7 downto 0);</t>
  </si>
  <si>
    <t xml:space="preserve">      avalon_mm_rmap_o.readdata(15 downto 8) &lt;= rmap_registers_wr_i.aeb_gen_cfg_reserved_408.reserved(15 downto 8);</t>
  </si>
  <si>
    <t xml:space="preserve">      avalon_mm_rmap_o.readdata(23 downto 16) &lt;= rmap_registers_wr_i.aeb_gen_cfg_reserved_408.reserved(23 downto 16);</t>
  </si>
  <si>
    <t xml:space="preserve">      avalon_mm_rmap_o.readdata(31 downto 24) &lt;= rmap_registers_wr_i.aeb_gen_cfg_reserved_408.reserved(31 downto 24);</t>
  </si>
  <si>
    <t xml:space="preserve">  when (16#1BD#) =&gt;</t>
  </si>
  <si>
    <t xml:space="preserve">      -- AEB General Configuration Area Register "RESERVED_40C" : "RESERVED" Field</t>
  </si>
  <si>
    <t xml:space="preserve">      avalon_mm_rmap_o.readdata(7 downto 0) &lt;= rmap_registers_wr_i.aeb_gen_cfg_reserved_40c.reserved(7 downto 0);</t>
  </si>
  <si>
    <t xml:space="preserve">      avalon_mm_rmap_o.readdata(15 downto 8) &lt;= rmap_registers_wr_i.aeb_gen_cfg_reserved_40c.reserved(15 downto 8);</t>
  </si>
  <si>
    <t xml:space="preserve">      avalon_mm_rmap_o.readdata(23 downto 16) &lt;= rmap_registers_wr_i.aeb_gen_cfg_reserved_40c.reserved(23 downto 16);</t>
  </si>
  <si>
    <t xml:space="preserve">      avalon_mm_rmap_o.readdata(31 downto 24) &lt;= rmap_registers_wr_i.aeb_gen_cfg_reserved_40c.reserved(31 downto 24);</t>
  </si>
  <si>
    <t xml:space="preserve">  when (16#1BE#) =&gt;</t>
  </si>
  <si>
    <t xml:space="preserve">      -- AEB General Configuration Area Register "RESERVED_410" : "RESERVED" Field</t>
  </si>
  <si>
    <t xml:space="preserve">      avalon_mm_rmap_o.readdata(7 downto 0) &lt;= rmap_registers_wr_i.aeb_gen_cfg_reserved_410.reserved(7 downto 0);</t>
  </si>
  <si>
    <t xml:space="preserve">      avalon_mm_rmap_o.readdata(15 downto 8) &lt;= rmap_registers_wr_i.aeb_gen_cfg_reserved_410.reserved(15 downto 8);</t>
  </si>
  <si>
    <t xml:space="preserve">      avalon_mm_rmap_o.readdata(23 downto 16) &lt;= rmap_registers_wr_i.aeb_gen_cfg_reserved_410.reserved(23 downto 16);</t>
  </si>
  <si>
    <t xml:space="preserve">      avalon_mm_rmap_o.readdata(31 downto 24) &lt;= rmap_registers_wr_i.aeb_gen_cfg_reserved_410.reserved(31 downto 24);</t>
  </si>
  <si>
    <t xml:space="preserve">  when (16#1BF#) =&gt;</t>
  </si>
  <si>
    <t xml:space="preserve">      -- AEB General Configuration Area Register "RESERVED_414" : "RESERVED" Field</t>
  </si>
  <si>
    <t xml:space="preserve">      avalon_mm_rmap_o.readdata(7 downto 0) &lt;= rmap_registers_wr_i.aeb_gen_cfg_reserved_414.reserved(7 downto 0);</t>
  </si>
  <si>
    <t xml:space="preserve">      avalon_mm_rmap_o.readdata(15 downto 8) &lt;= rmap_registers_wr_i.aeb_gen_cfg_reserved_414.reserved(15 downto 8);</t>
  </si>
  <si>
    <t xml:space="preserve">      avalon_mm_rmap_o.readdata(23 downto 16) &lt;= rmap_registers_wr_i.aeb_gen_cfg_reserved_414.reserved(23 downto 16);</t>
  </si>
  <si>
    <t xml:space="preserve">      avalon_mm_rmap_o.readdata(31 downto 24) &lt;= rmap_registers_wr_i.aeb_gen_cfg_reserved_414.reserved(31 downto 24);</t>
  </si>
  <si>
    <t xml:space="preserve">  when (16#1C0#) =&gt;</t>
  </si>
  <si>
    <t xml:space="preserve">      -- AEB General Configuration Area Register "RESERVED_418" : "RESERVED" Field</t>
  </si>
  <si>
    <t xml:space="preserve">      avalon_mm_rmap_o.readdata(7 downto 0) &lt;= rmap_registers_wr_i.aeb_gen_cfg_reserved_418.reserved(7 downto 0);</t>
  </si>
  <si>
    <t xml:space="preserve">      avalon_mm_rmap_o.readdata(15 downto 8) &lt;= rmap_registers_wr_i.aeb_gen_cfg_reserved_418.reserved(15 downto 8);</t>
  </si>
  <si>
    <t xml:space="preserve">      avalon_mm_rmap_o.readdata(23 downto 16) &lt;= rmap_registers_wr_i.aeb_gen_cfg_reserved_418.reserved(23 downto 16);</t>
  </si>
  <si>
    <t xml:space="preserve">      avalon_mm_rmap_o.readdata(31 downto 24) &lt;= rmap_registers_wr_i.aeb_gen_cfg_reserved_418.reserved(31 downto 24);</t>
  </si>
  <si>
    <t xml:space="preserve">  when (16#1C1#) =&gt;</t>
  </si>
  <si>
    <t xml:space="preserve">      -- AEB General Configuration Area Register "RESERVED_41C" : "RESERVED" Field</t>
  </si>
  <si>
    <t xml:space="preserve">      avalon_mm_rmap_o.readdata(7 downto 0) &lt;= rmap_registers_wr_i.aeb_gen_cfg_reserved_41c.reserved(7 downto 0);</t>
  </si>
  <si>
    <t xml:space="preserve">      avalon_mm_rmap_o.readdata(15 downto 8) &lt;= rmap_registers_wr_i.aeb_gen_cfg_reserved_41c.reserved(15 downto 8);</t>
  </si>
  <si>
    <t xml:space="preserve">      avalon_mm_rmap_o.readdata(23 downto 16) &lt;= rmap_registers_wr_i.aeb_gen_cfg_reserved_41c.reserved(23 downto 16);</t>
  </si>
  <si>
    <t xml:space="preserve">      avalon_mm_rmap_o.readdata(31 downto 24) &lt;= rmap_registers_wr_i.aeb_gen_cfg_reserved_41c.reserved(31 downto 24);</t>
  </si>
  <si>
    <t xml:space="preserve">  when (16#1C2#) =&gt;</t>
  </si>
  <si>
    <t xml:space="preserve">      -- AEB General Configuration Area Register "RESERVED_420" : "RESERVED" Field</t>
  </si>
  <si>
    <t xml:space="preserve">      avalon_mm_rmap_o.readdata(7 downto 0) &lt;= rmap_registers_wr_i.aeb_gen_cfg_reserved_420.reserved(7 downto 0);</t>
  </si>
  <si>
    <t xml:space="preserve">      avalon_mm_rmap_o.readdata(15 downto 8) &lt;= rmap_registers_wr_i.aeb_gen_cfg_reserved_420.reserved(15 downto 8);</t>
  </si>
  <si>
    <t xml:space="preserve">      avalon_mm_rmap_o.readdata(23 downto 16) &lt;= rmap_registers_wr_i.aeb_gen_cfg_reserved_420.reserved(23 downto 16);</t>
  </si>
  <si>
    <t xml:space="preserve">      avalon_mm_rmap_o.readdata(31 downto 24) &lt;= rmap_registers_wr_i.aeb_gen_cfg_reserved_420.reserved(31 downto 24);</t>
  </si>
  <si>
    <t xml:space="preserve">  when (16#1C3#) =&gt;</t>
  </si>
  <si>
    <t xml:space="preserve">      -- AEB General Configuration Area Register "RESERVED_424" : "RESERVED" Field</t>
  </si>
  <si>
    <t xml:space="preserve">      avalon_mm_rmap_o.readdata(7 downto 0) &lt;= rmap_registers_wr_i.aeb_gen_cfg_reserved_424.reserved(7 downto 0);</t>
  </si>
  <si>
    <t xml:space="preserve">      avalon_mm_rmap_o.readdata(15 downto 8) &lt;= rmap_registers_wr_i.aeb_gen_cfg_reserved_424.reserved(15 downto 8);</t>
  </si>
  <si>
    <t xml:space="preserve">      avalon_mm_rmap_o.readdata(23 downto 16) &lt;= rmap_registers_wr_i.aeb_gen_cfg_reserved_424.reserved(23 downto 16);</t>
  </si>
  <si>
    <t xml:space="preserve">      avalon_mm_rmap_o.readdata(31 downto 24) &lt;= rmap_registers_wr_i.aeb_gen_cfg_reserved_424.reserved(31 downto 24);</t>
  </si>
  <si>
    <t xml:space="preserve">  when (16#1C4#) =&gt;</t>
  </si>
  <si>
    <t xml:space="preserve">      -- AEB General Configuration Area Register "RESERVED_428" : "RESERVED" Field</t>
  </si>
  <si>
    <t xml:space="preserve">      avalon_mm_rmap_o.readdata(7 downto 0) &lt;= rmap_registers_wr_i.aeb_gen_cfg_reserved_428.reserved(7 downto 0);</t>
  </si>
  <si>
    <t xml:space="preserve">      avalon_mm_rmap_o.readdata(15 downto 8) &lt;= rmap_registers_wr_i.aeb_gen_cfg_reserved_428.reserved(15 downto 8);</t>
  </si>
  <si>
    <t xml:space="preserve">      avalon_mm_rmap_o.readdata(23 downto 16) &lt;= rmap_registers_wr_i.aeb_gen_cfg_reserved_428.reserved(23 downto 16);</t>
  </si>
  <si>
    <t xml:space="preserve">      avalon_mm_rmap_o.readdata(31 downto 24) &lt;= rmap_registers_wr_i.aeb_gen_cfg_reserved_428.reserved(31 downto 24);</t>
  </si>
  <si>
    <t xml:space="preserve">  when (16#1C5#) =&gt;</t>
  </si>
  <si>
    <t xml:space="preserve">      -- AEB General Configuration Area Register "RESERVED_42C" : "RESERVED" Field</t>
  </si>
  <si>
    <t xml:space="preserve">      avalon_mm_rmap_o.readdata(7 downto 0) &lt;= rmap_registers_wr_i.aeb_gen_cfg_reserved_42c.reserved(7 downto 0);</t>
  </si>
  <si>
    <t xml:space="preserve">      avalon_mm_rmap_o.readdata(15 downto 8) &lt;= rmap_registers_wr_i.aeb_gen_cfg_reserved_42c.reserved(15 downto 8);</t>
  </si>
  <si>
    <t xml:space="preserve">      avalon_mm_rmap_o.readdata(23 downto 16) &lt;= rmap_registers_wr_i.aeb_gen_cfg_reserved_42c.reserved(23 downto 16);</t>
  </si>
  <si>
    <t xml:space="preserve">      avalon_mm_rmap_o.readdata(31 downto 24) &lt;= rmap_registers_wr_i.aeb_gen_cfg_reserved_42c.reserved(31 downto 24);</t>
  </si>
  <si>
    <t xml:space="preserve">  when (16#1C6#) =&gt;</t>
  </si>
  <si>
    <t xml:space="preserve">      -- AEB General Configuration Area Register "RESERVED_430" : "RESERVED" Field</t>
  </si>
  <si>
    <t xml:space="preserve">      avalon_mm_rmap_o.readdata(7 downto 0) &lt;= rmap_registers_wr_i.aeb_gen_cfg_reserved_430.reserved(7 downto 0);</t>
  </si>
  <si>
    <t xml:space="preserve">      avalon_mm_rmap_o.readdata(15 downto 8) &lt;= rmap_registers_wr_i.aeb_gen_cfg_reserved_430.reserved(15 downto 8);</t>
  </si>
  <si>
    <t xml:space="preserve">      avalon_mm_rmap_o.readdata(23 downto 16) &lt;= rmap_registers_wr_i.aeb_gen_cfg_reserved_430.reserved(23 downto 16);</t>
  </si>
  <si>
    <t xml:space="preserve">      avalon_mm_rmap_o.readdata(31 downto 24) &lt;= rmap_registers_wr_i.aeb_gen_cfg_reserved_430.reserved(31 downto 24);</t>
  </si>
  <si>
    <t xml:space="preserve">  when (16#1C7#) =&gt;</t>
  </si>
  <si>
    <t xml:space="preserve">      -- AEB General Configuration Area Register "RESERVED_434" : "RESERVED" Field</t>
  </si>
  <si>
    <t xml:space="preserve">      avalon_mm_rmap_o.readdata(7 downto 0) &lt;= rmap_registers_wr_i.aeb_gen_cfg_reserved_434.reserved(7 downto 0);</t>
  </si>
  <si>
    <t xml:space="preserve">      avalon_mm_rmap_o.readdata(15 downto 8) &lt;= rmap_registers_wr_i.aeb_gen_cfg_reserved_434.reserved(15 downto 8);</t>
  </si>
  <si>
    <t xml:space="preserve">      avalon_mm_rmap_o.readdata(23 downto 16) &lt;= rmap_registers_wr_i.aeb_gen_cfg_reserved_434.reserved(23 downto 16);</t>
  </si>
  <si>
    <t xml:space="preserve">      avalon_mm_rmap_o.readdata(31 downto 24) &lt;= rmap_registers_wr_i.aeb_gen_cfg_reserved_434.reserved(31 downto 24);</t>
  </si>
  <si>
    <t xml:space="preserve">  when (16#1C8#) =&gt;</t>
  </si>
  <si>
    <t xml:space="preserve">      -- AEB General Configuration Area Register "RESERVED_438" : "RESERVED" Field</t>
  </si>
  <si>
    <t xml:space="preserve">      avalon_mm_rmap_o.readdata(7 downto 0) &lt;= rmap_registers_wr_i.aeb_gen_cfg_reserved_438.reserved(7 downto 0);</t>
  </si>
  <si>
    <t xml:space="preserve">      avalon_mm_rmap_o.readdata(15 downto 8) &lt;= rmap_registers_wr_i.aeb_gen_cfg_reserved_438.reserved(15 downto 8);</t>
  </si>
  <si>
    <t xml:space="preserve">      avalon_mm_rmap_o.readdata(23 downto 16) &lt;= rmap_registers_wr_i.aeb_gen_cfg_reserved_438.reserved(23 downto 16);</t>
  </si>
  <si>
    <t xml:space="preserve">      avalon_mm_rmap_o.readdata(31 downto 24) &lt;= rmap_registers_wr_i.aeb_gen_cfg_reserved_438.reserved(31 downto 24);</t>
  </si>
  <si>
    <t xml:space="preserve">  when (16#1C9#) =&gt;</t>
  </si>
  <si>
    <t xml:space="preserve">      -- AEB General Configuration Area Register "RESERVED_43C" : "RESERVED" Field</t>
  </si>
  <si>
    <t xml:space="preserve">      avalon_mm_rmap_o.readdata(7 downto 0) &lt;= rmap_registers_wr_i.aeb_gen_cfg_reserved_43c.reserved(7 downto 0);</t>
  </si>
  <si>
    <t xml:space="preserve">      avalon_mm_rmap_o.readdata(15 downto 8) &lt;= rmap_registers_wr_i.aeb_gen_cfg_reserved_43c.reserved(15 downto 8);</t>
  </si>
  <si>
    <t xml:space="preserve">      avalon_mm_rmap_o.readdata(23 downto 16) &lt;= rmap_registers_wr_i.aeb_gen_cfg_reserved_43c.reserved(23 downto 16);</t>
  </si>
  <si>
    <t xml:space="preserve">      avalon_mm_rmap_o.readdata(31 downto 24) &lt;= rmap_registers_wr_i.aeb_gen_cfg_reserved_43c.reserved(31 downto 24);</t>
  </si>
  <si>
    <t xml:space="preserve">  when (16#1CA#) =&gt;</t>
  </si>
  <si>
    <t xml:space="preserve">      -- AEB General Configuration Area Register "RESERVED_440" : "RESERVED" Field</t>
  </si>
  <si>
    <t xml:space="preserve">      avalon_mm_rmap_o.readdata(7 downto 0) &lt;= rmap_registers_wr_i.aeb_gen_cfg_reserved_440.reserved(7 downto 0);</t>
  </si>
  <si>
    <t xml:space="preserve">      avalon_mm_rmap_o.readdata(15 downto 8) &lt;= rmap_registers_wr_i.aeb_gen_cfg_reserved_440.reserved(15 downto 8);</t>
  </si>
  <si>
    <t xml:space="preserve">      avalon_mm_rmap_o.readdata(23 downto 16) &lt;= rmap_registers_wr_i.aeb_gen_cfg_reserved_440.reserved(23 downto 16);</t>
  </si>
  <si>
    <t xml:space="preserve">      avalon_mm_rmap_o.readdata(31 downto 24) &lt;= rmap_registers_wr_i.aeb_gen_cfg_reserved_440.reserved(31 downto 24);</t>
  </si>
  <si>
    <t xml:space="preserve">  when (16#1CB#) =&gt;</t>
  </si>
  <si>
    <t xml:space="preserve">      -- AEB General Configuration Area Register "RESERVED_444" : "RESERVED" Field</t>
  </si>
  <si>
    <t xml:space="preserve">      avalon_mm_rmap_o.readdata(7 downto 0) &lt;= rmap_registers_wr_i.aeb_gen_cfg_reserved_444.reserved(7 downto 0);</t>
  </si>
  <si>
    <t xml:space="preserve">      avalon_mm_rmap_o.readdata(15 downto 8) &lt;= rmap_registers_wr_i.aeb_gen_cfg_reserved_444.reserved(15 downto 8);</t>
  </si>
  <si>
    <t xml:space="preserve">      avalon_mm_rmap_o.readdata(23 downto 16) &lt;= rmap_registers_wr_i.aeb_gen_cfg_reserved_444.reserved(23 downto 16);</t>
  </si>
  <si>
    <t xml:space="preserve">      avalon_mm_rmap_o.readdata(31 downto 24) &lt;= rmap_registers_wr_i.aeb_gen_cfg_reserved_444.reserved(31 downto 24);</t>
  </si>
  <si>
    <t xml:space="preserve">  when (16#1CC#) =&gt;</t>
  </si>
  <si>
    <t xml:space="preserve">      -- AEB General Configuration Area Register "RESERVED_448" : "RESERVED" Field</t>
  </si>
  <si>
    <t xml:space="preserve">      avalon_mm_rmap_o.readdata(7 downto 0) &lt;= rmap_registers_wr_i.aeb_gen_cfg_reserved_448.reserved(7 downto 0);</t>
  </si>
  <si>
    <t xml:space="preserve">      avalon_mm_rmap_o.readdata(15 downto 8) &lt;= rmap_registers_wr_i.aeb_gen_cfg_reserved_448.reserved(15 downto 8);</t>
  </si>
  <si>
    <t xml:space="preserve">      avalon_mm_rmap_o.readdata(23 downto 16) &lt;= rmap_registers_wr_i.aeb_gen_cfg_reserved_448.reserved(23 downto 16);</t>
  </si>
  <si>
    <t xml:space="preserve">      avalon_mm_rmap_o.readdata(31 downto 24) &lt;= rmap_registers_wr_i.aeb_gen_cfg_reserved_448.reserved(31 downto 24);</t>
  </si>
  <si>
    <t xml:space="preserve">  when (16#1CD#) =&gt;</t>
  </si>
  <si>
    <t xml:space="preserve">      -- AEB General Configuration Area Register "RESERVED_44C" : "RESERVED" Field</t>
  </si>
  <si>
    <t xml:space="preserve">      avalon_mm_rmap_o.readdata(7 downto 0) &lt;= rmap_registers_wr_i.aeb_gen_cfg_reserved_44c.reserved(7 downto 0);</t>
  </si>
  <si>
    <t xml:space="preserve">      avalon_mm_rmap_o.readdata(15 downto 8) &lt;= rmap_registers_wr_i.aeb_gen_cfg_reserved_44c.reserved(15 downto 8);</t>
  </si>
  <si>
    <t xml:space="preserve">      avalon_mm_rmap_o.readdata(23 downto 16) &lt;= rmap_registers_wr_i.aeb_gen_cfg_reserved_44c.reserved(23 downto 16);</t>
  </si>
  <si>
    <t xml:space="preserve">      avalon_mm_rmap_o.readdata(31 downto 24) &lt;= rmap_registers_wr_i.aeb_gen_cfg_reserved_44c.reserved(31 downto 24);</t>
  </si>
  <si>
    <t xml:space="preserve">  when (16#1CE#) =&gt;</t>
  </si>
  <si>
    <t xml:space="preserve">      -- AEB General Configuration Area Register "RESERVED_450" : "RESERVED" Field</t>
  </si>
  <si>
    <t xml:space="preserve">      avalon_mm_rmap_o.readdata(7 downto 0) &lt;= rmap_registers_wr_i.aeb_gen_cfg_reserved_450.reserved(7 downto 0);</t>
  </si>
  <si>
    <t xml:space="preserve">      avalon_mm_rmap_o.readdata(15 downto 8) &lt;= rmap_registers_wr_i.aeb_gen_cfg_reserved_450.reserved(15 downto 8);</t>
  </si>
  <si>
    <t xml:space="preserve">      avalon_mm_rmap_o.readdata(23 downto 16) &lt;= rmap_registers_wr_i.aeb_gen_cfg_reserved_450.reserved(23 downto 16);</t>
  </si>
  <si>
    <t xml:space="preserve">      avalon_mm_rmap_o.readdata(31 downto 24) &lt;= rmap_registers_wr_i.aeb_gen_cfg_reserved_450.reserved(31 downto 24);</t>
  </si>
  <si>
    <t xml:space="preserve">  when (16#1CF#) =&gt;</t>
  </si>
  <si>
    <t xml:space="preserve">      -- AEB General Configuration Area Register "RESERVED_454" : "RESERVED" Field</t>
  </si>
  <si>
    <t xml:space="preserve">      avalon_mm_rmap_o.readdata(7 downto 0) &lt;= rmap_registers_wr_i.aeb_gen_cfg_reserved_454.reserved(7 downto 0);</t>
  </si>
  <si>
    <t xml:space="preserve">      avalon_mm_rmap_o.readdata(15 downto 8) &lt;= rmap_registers_wr_i.aeb_gen_cfg_reserved_454.reserved(15 downto 8);</t>
  </si>
  <si>
    <t xml:space="preserve">      avalon_mm_rmap_o.readdata(23 downto 16) &lt;= rmap_registers_wr_i.aeb_gen_cfg_reserved_454.reserved(23 downto 16);</t>
  </si>
  <si>
    <t xml:space="preserve">      avalon_mm_rmap_o.readdata(31 downto 24) &lt;= rmap_registers_wr_i.aeb_gen_cfg_reserved_454.reserved(31 downto 24);</t>
  </si>
  <si>
    <t xml:space="preserve">  when (16#1D0#) =&gt;</t>
  </si>
  <si>
    <t xml:space="preserve">      -- AEB General Configuration Area Register "RESERVED_458" : "RESERVED" Field</t>
  </si>
  <si>
    <t xml:space="preserve">      avalon_mm_rmap_o.readdata(7 downto 0) &lt;= rmap_registers_wr_i.aeb_gen_cfg_reserved_458.reserved(7 downto 0);</t>
  </si>
  <si>
    <t xml:space="preserve">      avalon_mm_rmap_o.readdata(15 downto 8) &lt;= rmap_registers_wr_i.aeb_gen_cfg_reserved_458.reserved(15 downto 8);</t>
  </si>
  <si>
    <t xml:space="preserve">      avalon_mm_rmap_o.readdata(23 downto 16) &lt;= rmap_registers_wr_i.aeb_gen_cfg_reserved_458.reserved(23 downto 16);</t>
  </si>
  <si>
    <t xml:space="preserve">      avalon_mm_rmap_o.readdata(31 downto 24) &lt;= rmap_registers_wr_i.aeb_gen_cfg_reserved_458.reserved(31 downto 24);</t>
  </si>
  <si>
    <t xml:space="preserve">  when (16#1D1#) =&gt;</t>
  </si>
  <si>
    <t xml:space="preserve">      -- AEB General Configuration Area Register "RESERVED_45C" : "RESERVED" Field</t>
  </si>
  <si>
    <t xml:space="preserve">      avalon_mm_rmap_o.readdata(7 downto 0) &lt;= rmap_registers_wr_i.aeb_gen_cfg_reserved_45c.reserved(7 downto 0);</t>
  </si>
  <si>
    <t xml:space="preserve">      avalon_mm_rmap_o.readdata(15 downto 8) &lt;= rmap_registers_wr_i.aeb_gen_cfg_reserved_45c.reserved(15 downto 8);</t>
  </si>
  <si>
    <t xml:space="preserve">      avalon_mm_rmap_o.readdata(23 downto 16) &lt;= rmap_registers_wr_i.aeb_gen_cfg_reserved_45c.reserved(23 downto 16);</t>
  </si>
  <si>
    <t xml:space="preserve">      avalon_mm_rmap_o.readdata(31 downto 24) &lt;= rmap_registers_wr_i.aeb_gen_cfg_reserved_45c.reserved(31 downto 24);</t>
  </si>
  <si>
    <t xml:space="preserve">  when (16#1D2#) =&gt;</t>
  </si>
  <si>
    <t xml:space="preserve">      -- AEB General Configuration Area Register "RESERVED_460" : "RESERVED" Field</t>
  </si>
  <si>
    <t xml:space="preserve">      avalon_mm_rmap_o.readdata(7 downto 0) &lt;= rmap_registers_wr_i.aeb_gen_cfg_reserved_460.reserved(7 downto 0);</t>
  </si>
  <si>
    <t xml:space="preserve">      avalon_mm_rmap_o.readdata(15 downto 8) &lt;= rmap_registers_wr_i.aeb_gen_cfg_reserved_460.reserved(15 downto 8);</t>
  </si>
  <si>
    <t xml:space="preserve">      avalon_mm_rmap_o.readdata(23 downto 16) &lt;= rmap_registers_wr_i.aeb_gen_cfg_reserved_460.reserved(23 downto 16);</t>
  </si>
  <si>
    <t xml:space="preserve">      avalon_mm_rmap_o.readdata(31 downto 24) &lt;= rmap_registers_wr_i.aeb_gen_cfg_reserved_460.reserved(31 downto 24);</t>
  </si>
  <si>
    <t xml:space="preserve">  when (16#1D3#) =&gt;</t>
  </si>
  <si>
    <t xml:space="preserve">      -- AEB General Configuration Area Register "RESERVED_464" : "RESERVED" Field</t>
  </si>
  <si>
    <t xml:space="preserve">      avalon_mm_rmap_o.readdata(7 downto 0) &lt;= rmap_registers_wr_i.aeb_gen_cfg_reserved_464.reserved(7 downto 0);</t>
  </si>
  <si>
    <t xml:space="preserve">      avalon_mm_rmap_o.readdata(15 downto 8) &lt;= rmap_registers_wr_i.aeb_gen_cfg_reserved_464.reserved(15 downto 8);</t>
  </si>
  <si>
    <t xml:space="preserve">      avalon_mm_rmap_o.readdata(23 downto 16) &lt;= rmap_registers_wr_i.aeb_gen_cfg_reserved_464.reserved(23 downto 16);</t>
  </si>
  <si>
    <t xml:space="preserve">      avalon_mm_rmap_o.readdata(31 downto 24) &lt;= rmap_registers_wr_i.aeb_gen_cfg_reserved_464.reserved(31 downto 24);</t>
  </si>
  <si>
    <t xml:space="preserve">  when (16#1D4#) =&gt;</t>
  </si>
  <si>
    <t xml:space="preserve">      -- AEB General Configuration Area Register "RESERVED_468" : "RESERVED" Field</t>
  </si>
  <si>
    <t xml:space="preserve">      avalon_mm_rmap_o.readdata(7 downto 0) &lt;= rmap_registers_wr_i.aeb_gen_cfg_reserved_468.reserved(7 downto 0);</t>
  </si>
  <si>
    <t xml:space="preserve">      avalon_mm_rmap_o.readdata(15 downto 8) &lt;= rmap_registers_wr_i.aeb_gen_cfg_reserved_468.reserved(15 downto 8);</t>
  </si>
  <si>
    <t xml:space="preserve">      avalon_mm_rmap_o.readdata(23 downto 16) &lt;= rmap_registers_wr_i.aeb_gen_cfg_reserved_468.reserved(23 downto 16);</t>
  </si>
  <si>
    <t xml:space="preserve">      avalon_mm_rmap_o.readdata(31 downto 24) &lt;= rmap_registers_wr_i.aeb_gen_cfg_reserved_468.reserved(31 downto 24);</t>
  </si>
  <si>
    <t xml:space="preserve">  when (16#1D5#) =&gt;</t>
  </si>
  <si>
    <t xml:space="preserve">      -- AEB General Configuration Area Register "RESERVED_46C" : "RESERVED" Field</t>
  </si>
  <si>
    <t xml:space="preserve">      avalon_mm_rmap_o.readdata(7 downto 0) &lt;= rmap_registers_wr_i.aeb_gen_cfg_reserved_46c.reserved(7 downto 0);</t>
  </si>
  <si>
    <t xml:space="preserve">      avalon_mm_rmap_o.readdata(15 downto 8) &lt;= rmap_registers_wr_i.aeb_gen_cfg_reserved_46c.reserved(15 downto 8);</t>
  </si>
  <si>
    <t xml:space="preserve">      avalon_mm_rmap_o.readdata(23 downto 16) &lt;= rmap_registers_wr_i.aeb_gen_cfg_reserved_46c.reserved(23 downto 16);</t>
  </si>
  <si>
    <t xml:space="preserve">      avalon_mm_rmap_o.readdata(31 downto 24) &lt;= rmap_registers_wr_i.aeb_gen_cfg_reserved_46c.reserved(31 downto 24);</t>
  </si>
  <si>
    <t xml:space="preserve">  when (16#1D6#) =&gt;</t>
  </si>
  <si>
    <t xml:space="preserve">      -- AEB General Configuration Area Register "RESERVED_470" : "RESERVED" Field</t>
  </si>
  <si>
    <t xml:space="preserve">      avalon_mm_rmap_o.readdata(7 downto 0) &lt;= rmap_registers_wr_i.aeb_gen_cfg_reserved_470.reserved(7 downto 0);</t>
  </si>
  <si>
    <t xml:space="preserve">      avalon_mm_rmap_o.readdata(15 downto 8) &lt;= rmap_registers_wr_i.aeb_gen_cfg_reserved_470.reserved(15 downto 8);</t>
  </si>
  <si>
    <t xml:space="preserve">      avalon_mm_rmap_o.readdata(23 downto 16) &lt;= rmap_registers_wr_i.aeb_gen_cfg_reserved_470.reserved(23 downto 16);</t>
  </si>
  <si>
    <t xml:space="preserve">      avalon_mm_rmap_o.readdata(31 downto 24) &lt;= rmap_registers_wr_i.aeb_gen_cfg_reserved_470.reserved(31 downto 24);</t>
  </si>
  <si>
    <t xml:space="preserve">  when (16#1D7#) =&gt;</t>
  </si>
  <si>
    <t xml:space="preserve">      -- AEB General Configuration Area Register "RESERVED_474" : "RESERVED" Field</t>
  </si>
  <si>
    <t xml:space="preserve">      avalon_mm_rmap_o.readdata(7 downto 0) &lt;= rmap_registers_wr_i.aeb_gen_cfg_reserved_474.reserved(7 downto 0);</t>
  </si>
  <si>
    <t xml:space="preserve">      avalon_mm_rmap_o.readdata(15 downto 8) &lt;= rmap_registers_wr_i.aeb_gen_cfg_reserved_474.reserved(15 downto 8);</t>
  </si>
  <si>
    <t xml:space="preserve">      avalon_mm_rmap_o.readdata(23 downto 16) &lt;= rmap_registers_wr_i.aeb_gen_cfg_reserved_474.reserved(23 downto 16);</t>
  </si>
  <si>
    <t xml:space="preserve">      avalon_mm_rmap_o.readdata(31 downto 24) &lt;= rmap_registers_wr_i.aeb_gen_cfg_reserved_474.reserved(31 downto 24);</t>
  </si>
  <si>
    <t xml:space="preserve">  when (16#1D8#) =&gt;</t>
  </si>
  <si>
    <t xml:space="preserve">      -- AEB General Configuration Area Register "RESERVED_478" : "RESERVED" Field</t>
  </si>
  <si>
    <t xml:space="preserve">      avalon_mm_rmap_o.readdata(7 downto 0) &lt;= rmap_registers_wr_i.aeb_gen_cfg_reserved_478.reserved(7 downto 0);</t>
  </si>
  <si>
    <t xml:space="preserve">      avalon_mm_rmap_o.readdata(15 downto 8) &lt;= rmap_registers_wr_i.aeb_gen_cfg_reserved_478.reserved(15 downto 8);</t>
  </si>
  <si>
    <t xml:space="preserve">      avalon_mm_rmap_o.readdata(23 downto 16) &lt;= rmap_registers_wr_i.aeb_gen_cfg_reserved_478.reserved(23 downto 16);</t>
  </si>
  <si>
    <t xml:space="preserve">      avalon_mm_rmap_o.readdata(31 downto 24) &lt;= rmap_registers_wr_i.aeb_gen_cfg_reserved_478.reserved(31 downto 24);</t>
  </si>
  <si>
    <t xml:space="preserve">  when (16#1D9#) =&gt;</t>
  </si>
  <si>
    <t xml:space="preserve">      -- AEB General Configuration Area Register "RESERVED_47C" : "RESERVED" Field</t>
  </si>
  <si>
    <t xml:space="preserve">      avalon_mm_rmap_o.readdata(7 downto 0) &lt;= rmap_registers_wr_i.aeb_gen_cfg_reserved_47c.reserved(7 downto 0);</t>
  </si>
  <si>
    <t xml:space="preserve">      avalon_mm_rmap_o.readdata(15 downto 8) &lt;= rmap_registers_wr_i.aeb_gen_cfg_reserved_47c.reserved(15 downto 8);</t>
  </si>
  <si>
    <t xml:space="preserve">      avalon_mm_rmap_o.readdata(23 downto 16) &lt;= rmap_registers_wr_i.aeb_gen_cfg_reserved_47c.reserved(23 downto 16);</t>
  </si>
  <si>
    <t xml:space="preserve">      avalon_mm_rmap_o.readdata(31 downto 24) &lt;= rmap_registers_wr_i.aeb_gen_cfg_reserved_47c.reserved(31 downto 24);</t>
  </si>
  <si>
    <t xml:space="preserve">  when (16#1DA#) =&gt;</t>
  </si>
  <si>
    <t xml:space="preserve">      -- AEB General Configuration Area Register "RESERVED_480" : "RESERVED" Field</t>
  </si>
  <si>
    <t xml:space="preserve">      avalon_mm_rmap_o.readdata(7 downto 0) &lt;= rmap_registers_wr_i.aeb_gen_cfg_reserved_480.reserved(7 downto 0);</t>
  </si>
  <si>
    <t xml:space="preserve">      avalon_mm_rmap_o.readdata(15 downto 8) &lt;= rmap_registers_wr_i.aeb_gen_cfg_reserved_480.reserved(15 downto 8);</t>
  </si>
  <si>
    <t xml:space="preserve">      avalon_mm_rmap_o.readdata(23 downto 16) &lt;= rmap_registers_wr_i.aeb_gen_cfg_reserved_480.reserved(23 downto 16);</t>
  </si>
  <si>
    <t xml:space="preserve">      avalon_mm_rmap_o.readdata(31 downto 24) &lt;= rmap_registers_wr_i.aeb_gen_cfg_reserved_480.reserved(31 downto 24);</t>
  </si>
  <si>
    <t xml:space="preserve">  when (16#1DB#) =&gt;</t>
  </si>
  <si>
    <t xml:space="preserve">      -- AEB General Configuration Area Register "RESERVED_484" : "RESERVED" Field</t>
  </si>
  <si>
    <t xml:space="preserve">      avalon_mm_rmap_o.readdata(7 downto 0) &lt;= rmap_registers_wr_i.aeb_gen_cfg_reserved_484.reserved(7 downto 0);</t>
  </si>
  <si>
    <t xml:space="preserve">      avalon_mm_rmap_o.readdata(15 downto 8) &lt;= rmap_registers_wr_i.aeb_gen_cfg_reserved_484.reserved(15 downto 8);</t>
  </si>
  <si>
    <t xml:space="preserve">      avalon_mm_rmap_o.readdata(23 downto 16) &lt;= rmap_registers_wr_i.aeb_gen_cfg_reserved_484.reserved(23 downto 16);</t>
  </si>
  <si>
    <t xml:space="preserve">      avalon_mm_rmap_o.readdata(31 downto 24) &lt;= rmap_registers_wr_i.aeb_gen_cfg_reserved_484.reserved(31 downto 24);</t>
  </si>
  <si>
    <t xml:space="preserve">  when (16#1DC#) =&gt;</t>
  </si>
  <si>
    <t xml:space="preserve">      -- AEB General Configuration Area Register "RESERVED_488" : "RESERVED" Field</t>
  </si>
  <si>
    <t xml:space="preserve">      avalon_mm_rmap_o.readdata(7 downto 0) &lt;= rmap_registers_wr_i.aeb_gen_cfg_reserved_488.reserved(7 downto 0);</t>
  </si>
  <si>
    <t xml:space="preserve">      avalon_mm_rmap_o.readdata(15 downto 8) &lt;= rmap_registers_wr_i.aeb_gen_cfg_reserved_488.reserved(15 downto 8);</t>
  </si>
  <si>
    <t xml:space="preserve">      avalon_mm_rmap_o.readdata(23 downto 16) &lt;= rmap_registers_wr_i.aeb_gen_cfg_reserved_488.reserved(23 downto 16);</t>
  </si>
  <si>
    <t xml:space="preserve">      avalon_mm_rmap_o.readdata(31 downto 24) &lt;= rmap_registers_wr_i.aeb_gen_cfg_reserved_488.reserved(31 downto 24);</t>
  </si>
  <si>
    <t xml:space="preserve">  when (16#1DD#) =&gt;</t>
  </si>
  <si>
    <t xml:space="preserve">      -- AEB General Configuration Area Register "RESERVED_48C" : "RESERVED" Field</t>
  </si>
  <si>
    <t xml:space="preserve">      avalon_mm_rmap_o.readdata(7 downto 0) &lt;= rmap_registers_wr_i.aeb_gen_cfg_reserved_48c.reserved(7 downto 0);</t>
  </si>
  <si>
    <t xml:space="preserve">      avalon_mm_rmap_o.readdata(15 downto 8) &lt;= rmap_registers_wr_i.aeb_gen_cfg_reserved_48c.reserved(15 downto 8);</t>
  </si>
  <si>
    <t xml:space="preserve">      avalon_mm_rmap_o.readdata(23 downto 16) &lt;= rmap_registers_wr_i.aeb_gen_cfg_reserved_48c.reserved(23 downto 16);</t>
  </si>
  <si>
    <t xml:space="preserve">      avalon_mm_rmap_o.readdata(31 downto 24) &lt;= rmap_registers_wr_i.aeb_gen_cfg_reserved_48c.reserved(31 downto 24);</t>
  </si>
  <si>
    <t xml:space="preserve">  when (16#1DE#) =&gt;</t>
  </si>
  <si>
    <t xml:space="preserve">      -- AEB General Configuration Area Register "RESERVED_490" : "RESERVED" Field</t>
  </si>
  <si>
    <t xml:space="preserve">      avalon_mm_rmap_o.readdata(7 downto 0) &lt;= rmap_registers_wr_i.aeb_gen_cfg_reserved_490.reserved(7 downto 0);</t>
  </si>
  <si>
    <t xml:space="preserve">      avalon_mm_rmap_o.readdata(15 downto 8) &lt;= rmap_registers_wr_i.aeb_gen_cfg_reserved_490.reserved(15 downto 8);</t>
  </si>
  <si>
    <t xml:space="preserve">      avalon_mm_rmap_o.readdata(23 downto 16) &lt;= rmap_registers_wr_i.aeb_gen_cfg_reserved_490.reserved(23 downto 16);</t>
  </si>
  <si>
    <t xml:space="preserve">      avalon_mm_rmap_o.readdata(31 downto 24) &lt;= rmap_registers_wr_i.aeb_gen_cfg_reserved_490.reserved(31 downto 24);</t>
  </si>
  <si>
    <t xml:space="preserve">  when (16#1DF#) =&gt;</t>
  </si>
  <si>
    <t xml:space="preserve">      -- AEB General Configuration Area Register "RESERVED_494" : "RESERVED" Field</t>
  </si>
  <si>
    <t xml:space="preserve">      avalon_mm_rmap_o.readdata(7 downto 0) &lt;= rmap_registers_wr_i.aeb_gen_cfg_reserved_494.reserved(7 downto 0);</t>
  </si>
  <si>
    <t xml:space="preserve">      avalon_mm_rmap_o.readdata(15 downto 8) &lt;= rmap_registers_wr_i.aeb_gen_cfg_reserved_494.reserved(15 downto 8);</t>
  </si>
  <si>
    <t xml:space="preserve">      avalon_mm_rmap_o.readdata(23 downto 16) &lt;= rmap_registers_wr_i.aeb_gen_cfg_reserved_494.reserved(23 downto 16);</t>
  </si>
  <si>
    <t xml:space="preserve">      avalon_mm_rmap_o.readdata(31 downto 24) &lt;= rmap_registers_wr_i.aeb_gen_cfg_reserved_494.reserved(31 downto 24);</t>
  </si>
  <si>
    <t xml:space="preserve">  when (16#1E0#) =&gt;</t>
  </si>
  <si>
    <t xml:space="preserve">      -- AEB General Configuration Area Register "RESERVED_498" : "RESERVED" Field</t>
  </si>
  <si>
    <t xml:space="preserve">      avalon_mm_rmap_o.readdata(7 downto 0) &lt;= rmap_registers_wr_i.aeb_gen_cfg_reserved_498.reserved(7 downto 0);</t>
  </si>
  <si>
    <t xml:space="preserve">      avalon_mm_rmap_o.readdata(15 downto 8) &lt;= rmap_registers_wr_i.aeb_gen_cfg_reserved_498.reserved(15 downto 8);</t>
  </si>
  <si>
    <t xml:space="preserve">      avalon_mm_rmap_o.readdata(23 downto 16) &lt;= rmap_registers_wr_i.aeb_gen_cfg_reserved_498.reserved(23 downto 16);</t>
  </si>
  <si>
    <t xml:space="preserve">      avalon_mm_rmap_o.readdata(31 downto 24) &lt;= rmap_registers_wr_i.aeb_gen_cfg_reserved_498.reserved(31 downto 24);</t>
  </si>
  <si>
    <t xml:space="preserve">  when (16#1E1#) =&gt;</t>
  </si>
  <si>
    <t xml:space="preserve">      -- AEB General Configuration Area Register "RESERVED_49C" : "RESERVED" Field</t>
  </si>
  <si>
    <t xml:space="preserve">      avalon_mm_rmap_o.readdata(7 downto 0) &lt;= rmap_registers_wr_i.aeb_gen_cfg_reserved_49c.reserved(7 downto 0);</t>
  </si>
  <si>
    <t xml:space="preserve">      avalon_mm_rmap_o.readdata(15 downto 8) &lt;= rmap_registers_wr_i.aeb_gen_cfg_reserved_49c.reserved(15 downto 8);</t>
  </si>
  <si>
    <t xml:space="preserve">      avalon_mm_rmap_o.readdata(23 downto 16) &lt;= rmap_registers_wr_i.aeb_gen_cfg_reserved_49c.reserved(23 downto 16);</t>
  </si>
  <si>
    <t xml:space="preserve">      avalon_mm_rmap_o.readdata(31 downto 24) &lt;= rmap_registers_wr_i.aeb_gen_cfg_reserved_49c.reserved(31 downto 24);</t>
  </si>
  <si>
    <t xml:space="preserve">  when (16#1E2#) =&gt;</t>
  </si>
  <si>
    <t xml:space="preserve">      -- AEB General Configuration Area Register "RESERVED_4A0" : "RESERVED" Field</t>
  </si>
  <si>
    <t xml:space="preserve">      avalon_mm_rmap_o.readdata(7 downto 0) &lt;= rmap_registers_wr_i.aeb_gen_cfg_reserved_4a0.reserved(7 downto 0);</t>
  </si>
  <si>
    <t xml:space="preserve">      avalon_mm_rmap_o.readdata(15 downto 8) &lt;= rmap_registers_wr_i.aeb_gen_cfg_reserved_4a0.reserved(15 downto 8);</t>
  </si>
  <si>
    <t xml:space="preserve">      avalon_mm_rmap_o.readdata(23 downto 16) &lt;= rmap_registers_wr_i.aeb_gen_cfg_reserved_4a0.reserved(23 downto 16);</t>
  </si>
  <si>
    <t xml:space="preserve">      avalon_mm_rmap_o.readdata(31 downto 24) &lt;= rmap_registers_wr_i.aeb_gen_cfg_reserved_4a0.reserved(31 downto 24);</t>
  </si>
  <si>
    <t xml:space="preserve">  when (16#1E3#) =&gt;</t>
  </si>
  <si>
    <t xml:space="preserve">      -- AEB General Configuration Area Register "RESERVED_4A4" : "RESERVED" Field</t>
  </si>
  <si>
    <t xml:space="preserve">      avalon_mm_rmap_o.readdata(7 downto 0) &lt;= rmap_registers_wr_i.aeb_gen_cfg_reserved_4a4.reserved(7 downto 0);</t>
  </si>
  <si>
    <t xml:space="preserve">      avalon_mm_rmap_o.readdata(15 downto 8) &lt;= rmap_registers_wr_i.aeb_gen_cfg_reserved_4a4.reserved(15 downto 8);</t>
  </si>
  <si>
    <t xml:space="preserve">      avalon_mm_rmap_o.readdata(23 downto 16) &lt;= rmap_registers_wr_i.aeb_gen_cfg_reserved_4a4.reserved(23 downto 16);</t>
  </si>
  <si>
    <t xml:space="preserve">      avalon_mm_rmap_o.readdata(31 downto 24) &lt;= rmap_registers_wr_i.aeb_gen_cfg_reserved_4a4.reserved(31 downto 24);</t>
  </si>
  <si>
    <t xml:space="preserve">  when (16#1E4#) =&gt;</t>
  </si>
  <si>
    <t xml:space="preserve">      -- AEB General Configuration Area Register "RESERVED_4A8" : "RESERVED" Field</t>
  </si>
  <si>
    <t xml:space="preserve">      avalon_mm_rmap_o.readdata(7 downto 0) &lt;= rmap_registers_wr_i.aeb_gen_cfg_reserved_4a8.reserved(7 downto 0);</t>
  </si>
  <si>
    <t xml:space="preserve">      avalon_mm_rmap_o.readdata(15 downto 8) &lt;= rmap_registers_wr_i.aeb_gen_cfg_reserved_4a8.reserved(15 downto 8);</t>
  </si>
  <si>
    <t xml:space="preserve">      avalon_mm_rmap_o.readdata(23 downto 16) &lt;= rmap_registers_wr_i.aeb_gen_cfg_reserved_4a8.reserved(23 downto 16);</t>
  </si>
  <si>
    <t xml:space="preserve">      avalon_mm_rmap_o.readdata(31 downto 24) &lt;= rmap_registers_wr_i.aeb_gen_cfg_reserved_4a8.reserved(31 downto 24);</t>
  </si>
  <si>
    <t xml:space="preserve">  when (16#1E5#) =&gt;</t>
  </si>
  <si>
    <t xml:space="preserve">      -- AEB General Configuration Area Register "RESERVED_4AC" : "RESERVED" Field</t>
  </si>
  <si>
    <t xml:space="preserve">      avalon_mm_rmap_o.readdata(7 downto 0) &lt;= rmap_registers_wr_i.aeb_gen_cfg_reserved_4ac.reserved(7 downto 0);</t>
  </si>
  <si>
    <t xml:space="preserve">      avalon_mm_rmap_o.readdata(15 downto 8) &lt;= rmap_registers_wr_i.aeb_gen_cfg_reserved_4ac.reserved(15 downto 8);</t>
  </si>
  <si>
    <t xml:space="preserve">      avalon_mm_rmap_o.readdata(23 downto 16) &lt;= rmap_registers_wr_i.aeb_gen_cfg_reserved_4ac.reserved(23 downto 16);</t>
  </si>
  <si>
    <t xml:space="preserve">      avalon_mm_rmap_o.readdata(31 downto 24) &lt;= rmap_registers_wr_i.aeb_gen_cfg_reserved_4ac.reserved(31 downto 24);</t>
  </si>
  <si>
    <t xml:space="preserve">  when (16#1E6#) =&gt;</t>
  </si>
  <si>
    <t xml:space="preserve">      -- AEB General Configuration Area Register "RESERVED_4B0" : "RESERVED" Field</t>
  </si>
  <si>
    <t xml:space="preserve">      avalon_mm_rmap_o.readdata(7 downto 0) &lt;= rmap_registers_wr_i.aeb_gen_cfg_reserved_4b0.reserved(7 downto 0);</t>
  </si>
  <si>
    <t xml:space="preserve">      avalon_mm_rmap_o.readdata(15 downto 8) &lt;= rmap_registers_wr_i.aeb_gen_cfg_reserved_4b0.reserved(15 downto 8);</t>
  </si>
  <si>
    <t xml:space="preserve">      avalon_mm_rmap_o.readdata(23 downto 16) &lt;= rmap_registers_wr_i.aeb_gen_cfg_reserved_4b0.reserved(23 downto 16);</t>
  </si>
  <si>
    <t xml:space="preserve">      avalon_mm_rmap_o.readdata(31 downto 24) &lt;= rmap_registers_wr_i.aeb_gen_cfg_reserved_4b0.reserved(31 downto 24);</t>
  </si>
  <si>
    <t xml:space="preserve">  when (16#1E7#) =&gt;</t>
  </si>
  <si>
    <t xml:space="preserve">      -- AEB General Configuration Area Register "RESERVED_4B4" : "RESERVED" Field</t>
  </si>
  <si>
    <t xml:space="preserve">      avalon_mm_rmap_o.readdata(7 downto 0) &lt;= rmap_registers_wr_i.aeb_gen_cfg_reserved_4b4.reserved(7 downto 0);</t>
  </si>
  <si>
    <t xml:space="preserve">      avalon_mm_rmap_o.readdata(15 downto 8) &lt;= rmap_registers_wr_i.aeb_gen_cfg_reserved_4b4.reserved(15 downto 8);</t>
  </si>
  <si>
    <t xml:space="preserve">      avalon_mm_rmap_o.readdata(23 downto 16) &lt;= rmap_registers_wr_i.aeb_gen_cfg_reserved_4b4.reserved(23 downto 16);</t>
  </si>
  <si>
    <t xml:space="preserve">      avalon_mm_rmap_o.readdata(31 downto 24) &lt;= rmap_registers_wr_i.aeb_gen_cfg_reserved_4b4.reserved(31 downto 24);</t>
  </si>
  <si>
    <t xml:space="preserve">  when (16#1E8#) =&gt;</t>
  </si>
  <si>
    <t xml:space="preserve">      -- AEB General Configuration Area Register "RESERVED_4B8" : "RESERVED" Field</t>
  </si>
  <si>
    <t xml:space="preserve">      avalon_mm_rmap_o.readdata(7 downto 0) &lt;= rmap_registers_wr_i.aeb_gen_cfg_reserved_4b8.reserved(7 downto 0);</t>
  </si>
  <si>
    <t xml:space="preserve">      avalon_mm_rmap_o.readdata(15 downto 8) &lt;= rmap_registers_wr_i.aeb_gen_cfg_reserved_4b8.reserved(15 downto 8);</t>
  </si>
  <si>
    <t xml:space="preserve">      avalon_mm_rmap_o.readdata(23 downto 16) &lt;= rmap_registers_wr_i.aeb_gen_cfg_reserved_4b8.reserved(23 downto 16);</t>
  </si>
  <si>
    <t xml:space="preserve">      avalon_mm_rmap_o.readdata(31 downto 24) &lt;= rmap_registers_wr_i.aeb_gen_cfg_reserved_4b8.reserved(31 downto 24);</t>
  </si>
  <si>
    <t xml:space="preserve">  when (16#1E9#) =&gt;</t>
  </si>
  <si>
    <t xml:space="preserve">      -- AEB General Configuration Area Register "RESERVED_4BC" : "RESERVED" Field</t>
  </si>
  <si>
    <t xml:space="preserve">      avalon_mm_rmap_o.readdata(7 downto 0) &lt;= rmap_registers_wr_i.aeb_gen_cfg_reserved_4bc.reserved(7 downto 0);</t>
  </si>
  <si>
    <t xml:space="preserve">      avalon_mm_rmap_o.readdata(15 downto 8) &lt;= rmap_registers_wr_i.aeb_gen_cfg_reserved_4bc.reserved(15 downto 8);</t>
  </si>
  <si>
    <t xml:space="preserve">      avalon_mm_rmap_o.readdata(23 downto 16) &lt;= rmap_registers_wr_i.aeb_gen_cfg_reserved_4bc.reserved(23 downto 16);</t>
  </si>
  <si>
    <t xml:space="preserve">      avalon_mm_rmap_o.readdata(31 downto 24) &lt;= rmap_registers_wr_i.aeb_gen_cfg_reserved_4bc.reserved(31 downto 24);</t>
  </si>
  <si>
    <t xml:space="preserve">  when (16#1EA#) =&gt;</t>
  </si>
  <si>
    <t xml:space="preserve">      -- AEB General Configuration Area Register "RESERVED_4C0" : "RESERVED" Field</t>
  </si>
  <si>
    <t xml:space="preserve">      avalon_mm_rmap_o.readdata(7 downto 0) &lt;= rmap_registers_wr_i.aeb_gen_cfg_reserved_4c0.reserved(7 downto 0);</t>
  </si>
  <si>
    <t xml:space="preserve">      avalon_mm_rmap_o.readdata(15 downto 8) &lt;= rmap_registers_wr_i.aeb_gen_cfg_reserved_4c0.reserved(15 downto 8);</t>
  </si>
  <si>
    <t xml:space="preserve">      avalon_mm_rmap_o.readdata(23 downto 16) &lt;= rmap_registers_wr_i.aeb_gen_cfg_reserved_4c0.reserved(23 downto 16);</t>
  </si>
  <si>
    <t xml:space="preserve">      avalon_mm_rmap_o.readdata(31 downto 24) &lt;= rmap_registers_wr_i.aeb_gen_cfg_reserved_4c0.reserved(31 downto 24);</t>
  </si>
  <si>
    <t xml:space="preserve">  when (16#1EB#) =&gt;</t>
  </si>
  <si>
    <t xml:space="preserve">      -- AEB General Configuration Area Register "RESERVED_4C4" : "RESERVED" Field</t>
  </si>
  <si>
    <t xml:space="preserve">      avalon_mm_rmap_o.readdata(7 downto 0) &lt;= rmap_registers_wr_i.aeb_gen_cfg_reserved_4c4.reserved(7 downto 0);</t>
  </si>
  <si>
    <t xml:space="preserve">      avalon_mm_rmap_o.readdata(15 downto 8) &lt;= rmap_registers_wr_i.aeb_gen_cfg_reserved_4c4.reserved(15 downto 8);</t>
  </si>
  <si>
    <t xml:space="preserve">      avalon_mm_rmap_o.readdata(23 downto 16) &lt;= rmap_registers_wr_i.aeb_gen_cfg_reserved_4c4.reserved(23 downto 16);</t>
  </si>
  <si>
    <t xml:space="preserve">      avalon_mm_rmap_o.readdata(31 downto 24) &lt;= rmap_registers_wr_i.aeb_gen_cfg_reserved_4c4.reserved(31 downto 24);</t>
  </si>
  <si>
    <t xml:space="preserve">  when (16#1EC#) =&gt;</t>
  </si>
  <si>
    <t xml:space="preserve">      -- AEB General Configuration Area Register "RESERVED_4C8" : "RESERVED" Field</t>
  </si>
  <si>
    <t xml:space="preserve">      avalon_mm_rmap_o.readdata(7 downto 0) &lt;= rmap_registers_wr_i.aeb_gen_cfg_reserved_4c8.reserved(7 downto 0);</t>
  </si>
  <si>
    <t xml:space="preserve">      avalon_mm_rmap_o.readdata(15 downto 8) &lt;= rmap_registers_wr_i.aeb_gen_cfg_reserved_4c8.reserved(15 downto 8);</t>
  </si>
  <si>
    <t xml:space="preserve">      avalon_mm_rmap_o.readdata(23 downto 16) &lt;= rmap_registers_wr_i.aeb_gen_cfg_reserved_4c8.reserved(23 downto 16);</t>
  </si>
  <si>
    <t xml:space="preserve">      avalon_mm_rmap_o.readdata(31 downto 24) &lt;= rmap_registers_wr_i.aeb_gen_cfg_reserved_4c8.reserved(31 downto 24);</t>
  </si>
  <si>
    <t xml:space="preserve">  when (16#1ED#) =&gt;</t>
  </si>
  <si>
    <t xml:space="preserve">      -- AEB General Configuration Area Register "RESERVED_4CC" : "RESERVED" Field</t>
  </si>
  <si>
    <t xml:space="preserve">      avalon_mm_rmap_o.readdata(7 downto 0) &lt;= rmap_registers_wr_i.aeb_gen_cfg_reserved_4cc.reserved(7 downto 0);</t>
  </si>
  <si>
    <t xml:space="preserve">      avalon_mm_rmap_o.readdata(15 downto 8) &lt;= rmap_registers_wr_i.aeb_gen_cfg_reserved_4cc.reserved(15 downto 8);</t>
  </si>
  <si>
    <t xml:space="preserve">      avalon_mm_rmap_o.readdata(23 downto 16) &lt;= rmap_registers_wr_i.aeb_gen_cfg_reserved_4cc.reserved(23 downto 16);</t>
  </si>
  <si>
    <t xml:space="preserve">      avalon_mm_rmap_o.readdata(31 downto 24) &lt;= rmap_registers_wr_i.aeb_gen_cfg_reserved_4cc.reserved(31 downto 24);</t>
  </si>
  <si>
    <t xml:space="preserve">  when (16#1EE#) =&gt;</t>
  </si>
  <si>
    <t xml:space="preserve">      -- AEB General Configuration Area Register "RESERVED_4D0" : "RESERVED" Field</t>
  </si>
  <si>
    <t xml:space="preserve">      avalon_mm_rmap_o.readdata(7 downto 0) &lt;= rmap_registers_wr_i.aeb_gen_cfg_reserved_4d0.reserved(7 downto 0);</t>
  </si>
  <si>
    <t xml:space="preserve">      avalon_mm_rmap_o.readdata(15 downto 8) &lt;= rmap_registers_wr_i.aeb_gen_cfg_reserved_4d0.reserved(15 downto 8);</t>
  </si>
  <si>
    <t xml:space="preserve">      avalon_mm_rmap_o.readdata(23 downto 16) &lt;= rmap_registers_wr_i.aeb_gen_cfg_reserved_4d0.reserved(23 downto 16);</t>
  </si>
  <si>
    <t xml:space="preserve">      avalon_mm_rmap_o.readdata(31 downto 24) &lt;= rmap_registers_wr_i.aeb_gen_cfg_reserved_4d0.reserved(31 downto 24);</t>
  </si>
  <si>
    <t xml:space="preserve">  when (16#1EF#) =&gt;</t>
  </si>
  <si>
    <t xml:space="preserve">      -- AEB General Configuration Area Register "RESERVED_4D4" : "RESERVED" Field</t>
  </si>
  <si>
    <t xml:space="preserve">      avalon_mm_rmap_o.readdata(7 downto 0) &lt;= rmap_registers_wr_i.aeb_gen_cfg_reserved_4d4.reserved(7 downto 0);</t>
  </si>
  <si>
    <t xml:space="preserve">      avalon_mm_rmap_o.readdata(15 downto 8) &lt;= rmap_registers_wr_i.aeb_gen_cfg_reserved_4d4.reserved(15 downto 8);</t>
  </si>
  <si>
    <t xml:space="preserve">      avalon_mm_rmap_o.readdata(23 downto 16) &lt;= rmap_registers_wr_i.aeb_gen_cfg_reserved_4d4.reserved(23 downto 16);</t>
  </si>
  <si>
    <t xml:space="preserve">      avalon_mm_rmap_o.readdata(31 downto 24) &lt;= rmap_registers_wr_i.aeb_gen_cfg_reserved_4d4.reserved(31 downto 24);</t>
  </si>
  <si>
    <t xml:space="preserve">  when (16#1F0#) =&gt;</t>
  </si>
  <si>
    <t xml:space="preserve">      -- AEB General Configuration Area Register "RESERVED_4D8" : "RESERVED" Field</t>
  </si>
  <si>
    <t xml:space="preserve">      avalon_mm_rmap_o.readdata(7 downto 0) &lt;= rmap_registers_wr_i.aeb_gen_cfg_reserved_4d8.reserved(7 downto 0);</t>
  </si>
  <si>
    <t xml:space="preserve">      avalon_mm_rmap_o.readdata(15 downto 8) &lt;= rmap_registers_wr_i.aeb_gen_cfg_reserved_4d8.reserved(15 downto 8);</t>
  </si>
  <si>
    <t xml:space="preserve">      avalon_mm_rmap_o.readdata(23 downto 16) &lt;= rmap_registers_wr_i.aeb_gen_cfg_reserved_4d8.reserved(23 downto 16);</t>
  </si>
  <si>
    <t xml:space="preserve">      avalon_mm_rmap_o.readdata(31 downto 24) &lt;= rmap_registers_wr_i.aeb_gen_cfg_reserved_4d8.reserved(31 downto 24);</t>
  </si>
  <si>
    <t xml:space="preserve">  when (16#1F1#) =&gt;</t>
  </si>
  <si>
    <t xml:space="preserve">      -- AEB General Configuration Area Register "RESERVED_4DC" : "RESERVED" Field</t>
  </si>
  <si>
    <t xml:space="preserve">      avalon_mm_rmap_o.readdata(7 downto 0) &lt;= rmap_registers_wr_i.aeb_gen_cfg_reserved_4dc.reserved(7 downto 0);</t>
  </si>
  <si>
    <t xml:space="preserve">      avalon_mm_rmap_o.readdata(15 downto 8) &lt;= rmap_registers_wr_i.aeb_gen_cfg_reserved_4dc.reserved(15 downto 8);</t>
  </si>
  <si>
    <t xml:space="preserve">      avalon_mm_rmap_o.readdata(23 downto 16) &lt;= rmap_registers_wr_i.aeb_gen_cfg_reserved_4dc.reserved(23 downto 16);</t>
  </si>
  <si>
    <t xml:space="preserve">      avalon_mm_rmap_o.readdata(31 downto 24) &lt;= rmap_registers_wr_i.aeb_gen_cfg_reserved_4dc.reserved(31 downto 24);</t>
  </si>
  <si>
    <t xml:space="preserve">  when (16#1F2#) =&gt;</t>
  </si>
  <si>
    <t xml:space="preserve">      -- AEB General Configuration Area Register "RESERVED_4E0" : "RESERVED" Field</t>
  </si>
  <si>
    <t xml:space="preserve">      avalon_mm_rmap_o.readdata(7 downto 0) &lt;= rmap_registers_wr_i.aeb_gen_cfg_reserved_4e0.reserved(7 downto 0);</t>
  </si>
  <si>
    <t xml:space="preserve">      avalon_mm_rmap_o.readdata(15 downto 8) &lt;= rmap_registers_wr_i.aeb_gen_cfg_reserved_4e0.reserved(15 downto 8);</t>
  </si>
  <si>
    <t xml:space="preserve">      avalon_mm_rmap_o.readdata(23 downto 16) &lt;= rmap_registers_wr_i.aeb_gen_cfg_reserved_4e0.reserved(23 downto 16);</t>
  </si>
  <si>
    <t xml:space="preserve">      avalon_mm_rmap_o.readdata(31 downto 24) &lt;= rmap_registers_wr_i.aeb_gen_cfg_reserved_4e0.reserved(31 downto 24);</t>
  </si>
  <si>
    <t xml:space="preserve">  when (16#1F3#) =&gt;</t>
  </si>
  <si>
    <t xml:space="preserve">      -- AEB General Configuration Area Register "RESERVED_4E4" : "RESERVED" Field</t>
  </si>
  <si>
    <t xml:space="preserve">      avalon_mm_rmap_o.readdata(7 downto 0) &lt;= rmap_registers_wr_i.aeb_gen_cfg_reserved_4e4.reserved(7 downto 0);</t>
  </si>
  <si>
    <t xml:space="preserve">      avalon_mm_rmap_o.readdata(15 downto 8) &lt;= rmap_registers_wr_i.aeb_gen_cfg_reserved_4e4.reserved(15 downto 8);</t>
  </si>
  <si>
    <t xml:space="preserve">      avalon_mm_rmap_o.readdata(23 downto 16) &lt;= rmap_registers_wr_i.aeb_gen_cfg_reserved_4e4.reserved(23 downto 16);</t>
  </si>
  <si>
    <t xml:space="preserve">      avalon_mm_rmap_o.readdata(31 downto 24) &lt;= rmap_registers_wr_i.aeb_gen_cfg_reserved_4e4.reserved(31 downto 24);</t>
  </si>
  <si>
    <t xml:space="preserve">  when (16#1F4#) =&gt;</t>
  </si>
  <si>
    <t xml:space="preserve">      -- AEB General Configuration Area Register "RESERVED_4E8" : "RESERVED" Field</t>
  </si>
  <si>
    <t xml:space="preserve">      avalon_mm_rmap_o.readdata(7 downto 0) &lt;= rmap_registers_wr_i.aeb_gen_cfg_reserved_4e8.reserved(7 downto 0);</t>
  </si>
  <si>
    <t xml:space="preserve">      avalon_mm_rmap_o.readdata(15 downto 8) &lt;= rmap_registers_wr_i.aeb_gen_cfg_reserved_4e8.reserved(15 downto 8);</t>
  </si>
  <si>
    <t xml:space="preserve">      avalon_mm_rmap_o.readdata(23 downto 16) &lt;= rmap_registers_wr_i.aeb_gen_cfg_reserved_4e8.reserved(23 downto 16);</t>
  </si>
  <si>
    <t xml:space="preserve">      avalon_mm_rmap_o.readdata(31 downto 24) &lt;= rmap_registers_wr_i.aeb_gen_cfg_reserved_4e8.reserved(31 downto 24);</t>
  </si>
  <si>
    <t xml:space="preserve">  when (16#1F5#) =&gt;</t>
  </si>
  <si>
    <t xml:space="preserve">      -- AEB General Configuration Area Register "RESERVED_4EC" : "RESERVED" Field</t>
  </si>
  <si>
    <t xml:space="preserve">      avalon_mm_rmap_o.readdata(7 downto 0) &lt;= rmap_registers_wr_i.aeb_gen_cfg_reserved_4ec.reserved(7 downto 0);</t>
  </si>
  <si>
    <t xml:space="preserve">      avalon_mm_rmap_o.readdata(15 downto 8) &lt;= rmap_registers_wr_i.aeb_gen_cfg_reserved_4ec.reserved(15 downto 8);</t>
  </si>
  <si>
    <t xml:space="preserve">      avalon_mm_rmap_o.readdata(23 downto 16) &lt;= rmap_registers_wr_i.aeb_gen_cfg_reserved_4ec.reserved(23 downto 16);</t>
  </si>
  <si>
    <t xml:space="preserve">      avalon_mm_rmap_o.readdata(31 downto 24) &lt;= rmap_registers_wr_i.aeb_gen_cfg_reserved_4ec.reserved(31 downto 24);</t>
  </si>
  <si>
    <t xml:space="preserve">  when (16#1F6#) =&gt;</t>
  </si>
  <si>
    <t xml:space="preserve">      -- AEB General Configuration Area Register "RESERVED_4F0" : "RESERVED" Field</t>
  </si>
  <si>
    <t xml:space="preserve">      avalon_mm_rmap_o.readdata(7 downto 0) &lt;= rmap_registers_wr_i.aeb_gen_cfg_reserved_4f0.reserved(7 downto 0);</t>
  </si>
  <si>
    <t xml:space="preserve">      avalon_mm_rmap_o.readdata(15 downto 8) &lt;= rmap_registers_wr_i.aeb_gen_cfg_reserved_4f0.reserved(15 downto 8);</t>
  </si>
  <si>
    <t xml:space="preserve">      avalon_mm_rmap_o.readdata(23 downto 16) &lt;= rmap_registers_wr_i.aeb_gen_cfg_reserved_4f0.reserved(23 downto 16);</t>
  </si>
  <si>
    <t xml:space="preserve">      avalon_mm_rmap_o.readdata(31 downto 24) &lt;= rmap_registers_wr_i.aeb_gen_cfg_reserved_4f0.reserved(31 downto 24);</t>
  </si>
  <si>
    <t xml:space="preserve">  when (16#1F7#) =&gt;</t>
  </si>
  <si>
    <t xml:space="preserve">      -- AEB General Configuration Area Register "RESERVED_4F4" : "RESERVED" Field</t>
  </si>
  <si>
    <t xml:space="preserve">      avalon_mm_rmap_o.readdata(7 downto 0) &lt;= rmap_registers_wr_i.aeb_gen_cfg_reserved_4f4.reserved(7 downto 0);</t>
  </si>
  <si>
    <t xml:space="preserve">      avalon_mm_rmap_o.readdata(15 downto 8) &lt;= rmap_registers_wr_i.aeb_gen_cfg_reserved_4f4.reserved(15 downto 8);</t>
  </si>
  <si>
    <t xml:space="preserve">      avalon_mm_rmap_o.readdata(23 downto 16) &lt;= rmap_registers_wr_i.aeb_gen_cfg_reserved_4f4.reserved(23 downto 16);</t>
  </si>
  <si>
    <t xml:space="preserve">      avalon_mm_rmap_o.readdata(31 downto 24) &lt;= rmap_registers_wr_i.aeb_gen_cfg_reserved_4f4.reserved(31 downto 24);</t>
  </si>
  <si>
    <t xml:space="preserve">  when (16#1F8#) =&gt;</t>
  </si>
  <si>
    <t xml:space="preserve">      -- AEB General Configuration Area Register "RESERVED_4F8" : "RESERVED" Field</t>
  </si>
  <si>
    <t xml:space="preserve">      avalon_mm_rmap_o.readdata(7 downto 0) &lt;= rmap_registers_wr_i.aeb_gen_cfg_reserved_4f8.reserved(7 downto 0);</t>
  </si>
  <si>
    <t xml:space="preserve">      avalon_mm_rmap_o.readdata(15 downto 8) &lt;= rmap_registers_wr_i.aeb_gen_cfg_reserved_4f8.reserved(15 downto 8);</t>
  </si>
  <si>
    <t xml:space="preserve">      avalon_mm_rmap_o.readdata(23 downto 16) &lt;= rmap_registers_wr_i.aeb_gen_cfg_reserved_4f8.reserved(23 downto 16);</t>
  </si>
  <si>
    <t xml:space="preserve">      avalon_mm_rmap_o.readdata(31 downto 24) &lt;= rmap_registers_wr_i.aeb_gen_cfg_reserved_4f8.reserved(31 downto 24);</t>
  </si>
  <si>
    <t xml:space="preserve">  when (16#1F9#) =&gt;</t>
  </si>
  <si>
    <t xml:space="preserve">      -- AEB General Configuration Area Register "RESERVED_4FC" : "RESERVED" Field</t>
  </si>
  <si>
    <t xml:space="preserve">      avalon_mm_rmap_o.readdata(7 downto 0) &lt;= rmap_registers_wr_i.aeb_gen_cfg_reserved_4fc.reserved(7 downto 0);</t>
  </si>
  <si>
    <t xml:space="preserve">      avalon_mm_rmap_o.readdata(15 downto 8) &lt;= rmap_registers_wr_i.aeb_gen_cfg_reserved_4fc.reserved(15 downto 8);</t>
  </si>
  <si>
    <t xml:space="preserve">      avalon_mm_rmap_o.readdata(23 downto 16) &lt;= rmap_registers_wr_i.aeb_gen_cfg_reserved_4fc.reserved(23 downto 16);</t>
  </si>
  <si>
    <t xml:space="preserve">      avalon_mm_rmap_o.readdata(31 downto 24) &lt;= rmap_registers_wr_i.aeb_gen_cfg_reserved_4fc.reserved(31 downto 24);</t>
  </si>
  <si>
    <t xml:space="preserve">  when (16#1FA#) =&gt;</t>
  </si>
  <si>
    <t xml:space="preserve">      -- AEB General Configuration Area Register "RESERVED_500" : "RESERVED" Field</t>
  </si>
  <si>
    <t xml:space="preserve">      avalon_mm_rmap_o.readdata(7 downto 0) &lt;= rmap_registers_wr_i.aeb_gen_cfg_reserved_500.reserved(7 downto 0);</t>
  </si>
  <si>
    <t xml:space="preserve">      avalon_mm_rmap_o.readdata(15 downto 8) &lt;= rmap_registers_wr_i.aeb_gen_cfg_reserved_500.reserved(15 downto 8);</t>
  </si>
  <si>
    <t xml:space="preserve">      avalon_mm_rmap_o.readdata(23 downto 16) &lt;= rmap_registers_wr_i.aeb_gen_cfg_reserved_500.reserved(23 downto 16);</t>
  </si>
  <si>
    <t xml:space="preserve">      avalon_mm_rmap_o.readdata(31 downto 24) &lt;= rmap_registers_wr_i.aeb_gen_cfg_reserved_500.reserved(31 downto 24);</t>
  </si>
  <si>
    <t xml:space="preserve">  when (16#1FB#) =&gt;</t>
  </si>
  <si>
    <t xml:space="preserve">      -- AEB General Configuration Area Register "RESERVED_504" : "RESERVED" Field</t>
  </si>
  <si>
    <t xml:space="preserve">      avalon_mm_rmap_o.readdata(7 downto 0) &lt;= rmap_registers_wr_i.aeb_gen_cfg_reserved_504.reserved(7 downto 0);</t>
  </si>
  <si>
    <t xml:space="preserve">      avalon_mm_rmap_o.readdata(15 downto 8) &lt;= rmap_registers_wr_i.aeb_gen_cfg_reserved_504.reserved(15 downto 8);</t>
  </si>
  <si>
    <t xml:space="preserve">      avalon_mm_rmap_o.readdata(23 downto 16) &lt;= rmap_registers_wr_i.aeb_gen_cfg_reserved_504.reserved(23 downto 16);</t>
  </si>
  <si>
    <t xml:space="preserve">      avalon_mm_rmap_o.readdata(31 downto 24) &lt;= rmap_registers_wr_i.aeb_gen_cfg_reserved_504.reserved(31 downto 24);</t>
  </si>
  <si>
    <t xml:space="preserve">  when (16#1FC#) =&gt;</t>
  </si>
  <si>
    <t xml:space="preserve">      -- AEB General Configuration Area Register "RESERVED_508" : "RESERVED" Field</t>
  </si>
  <si>
    <t xml:space="preserve">      avalon_mm_rmap_o.readdata(7 downto 0) &lt;= rmap_registers_wr_i.aeb_gen_cfg_reserved_508.reserved(7 downto 0);</t>
  </si>
  <si>
    <t xml:space="preserve">      avalon_mm_rmap_o.readdata(15 downto 8) &lt;= rmap_registers_wr_i.aeb_gen_cfg_reserved_508.reserved(15 downto 8);</t>
  </si>
  <si>
    <t xml:space="preserve">      avalon_mm_rmap_o.readdata(23 downto 16) &lt;= rmap_registers_wr_i.aeb_gen_cfg_reserved_508.reserved(23 downto 16);</t>
  </si>
  <si>
    <t xml:space="preserve">      avalon_mm_rmap_o.readdata(31 downto 24) &lt;= rmap_registers_wr_i.aeb_gen_cfg_reserved_508.reserved(31 downto 24);</t>
  </si>
  <si>
    <t xml:space="preserve">  when (16#1FD#) =&gt;</t>
  </si>
  <si>
    <t xml:space="preserve">      -- AEB General Configuration Area Register "RESERVED_50C" : "RESERVED" Field</t>
  </si>
  <si>
    <t xml:space="preserve">      avalon_mm_rmap_o.readdata(7 downto 0) &lt;= rmap_registers_wr_i.aeb_gen_cfg_reserved_50c.reserved(7 downto 0);</t>
  </si>
  <si>
    <t xml:space="preserve">      avalon_mm_rmap_o.readdata(15 downto 8) &lt;= rmap_registers_wr_i.aeb_gen_cfg_reserved_50c.reserved(15 downto 8);</t>
  </si>
  <si>
    <t xml:space="preserve">      avalon_mm_rmap_o.readdata(23 downto 16) &lt;= rmap_registers_wr_i.aeb_gen_cfg_reserved_50c.reserved(23 downto 16);</t>
  </si>
  <si>
    <t xml:space="preserve">      avalon_mm_rmap_o.readdata(31 downto 24) &lt;= rmap_registers_wr_i.aeb_gen_cfg_reserved_50c.reserved(31 downto 24);</t>
  </si>
  <si>
    <t xml:space="preserve">  when (16#1FE#) =&gt;</t>
  </si>
  <si>
    <t xml:space="preserve">      -- AEB General Configuration Area Register "RESERVED_510" : "RESERVED" Field</t>
  </si>
  <si>
    <t xml:space="preserve">      avalon_mm_rmap_o.readdata(7 downto 0) &lt;= rmap_registers_wr_i.aeb_gen_cfg_reserved_510.reserved(7 downto 0);</t>
  </si>
  <si>
    <t xml:space="preserve">      avalon_mm_rmap_o.readdata(15 downto 8) &lt;= rmap_registers_wr_i.aeb_gen_cfg_reserved_510.reserved(15 downto 8);</t>
  </si>
  <si>
    <t xml:space="preserve">      avalon_mm_rmap_o.readdata(23 downto 16) &lt;= rmap_registers_wr_i.aeb_gen_cfg_reserved_510.reserved(23 downto 16);</t>
  </si>
  <si>
    <t xml:space="preserve">      avalon_mm_rmap_o.readdata(31 downto 24) &lt;= rmap_registers_wr_i.aeb_gen_cfg_reserved_510.reserved(31 downto 24);</t>
  </si>
  <si>
    <t xml:space="preserve">  when (16#1FF#) =&gt;</t>
  </si>
  <si>
    <t xml:space="preserve">      -- AEB General Configuration Area Register "RESERVED_514" : "RESERVED" Field</t>
  </si>
  <si>
    <t xml:space="preserve">      avalon_mm_rmap_o.readdata(7 downto 0) &lt;= rmap_registers_wr_i.aeb_gen_cfg_reserved_514.reserved(7 downto 0);</t>
  </si>
  <si>
    <t xml:space="preserve">      avalon_mm_rmap_o.readdata(15 downto 8) &lt;= rmap_registers_wr_i.aeb_gen_cfg_reserved_514.reserved(15 downto 8);</t>
  </si>
  <si>
    <t xml:space="preserve">      avalon_mm_rmap_o.readdata(23 downto 16) &lt;= rmap_registers_wr_i.aeb_gen_cfg_reserved_514.reserved(23 downto 16);</t>
  </si>
  <si>
    <t xml:space="preserve">      avalon_mm_rmap_o.readdata(31 downto 24) &lt;= rmap_registers_wr_i.aeb_gen_cfg_reserved_514.reserved(31 downto 24);</t>
  </si>
  <si>
    <t xml:space="preserve">  when (16#200#) =&gt;</t>
  </si>
  <si>
    <t xml:space="preserve">      -- AEB General Configuration Area Register "RESERVED_518" : "RESERVED" Field</t>
  </si>
  <si>
    <t xml:space="preserve">      avalon_mm_rmap_o.readdata(7 downto 0) &lt;= rmap_registers_wr_i.aeb_gen_cfg_reserved_518.reserved(7 downto 0);</t>
  </si>
  <si>
    <t xml:space="preserve">      avalon_mm_rmap_o.readdata(15 downto 8) &lt;= rmap_registers_wr_i.aeb_gen_cfg_reserved_518.reserved(15 downto 8);</t>
  </si>
  <si>
    <t xml:space="preserve">      avalon_mm_rmap_o.readdata(23 downto 16) &lt;= rmap_registers_wr_i.aeb_gen_cfg_reserved_518.reserved(23 downto 16);</t>
  </si>
  <si>
    <t xml:space="preserve">      avalon_mm_rmap_o.readdata(31 downto 24) &lt;= rmap_registers_wr_i.aeb_gen_cfg_reserved_518.reserved(31 downto 24);</t>
  </si>
  <si>
    <t xml:space="preserve">  when (16#201#) =&gt;</t>
  </si>
  <si>
    <t xml:space="preserve">      -- AEB General Configuration Area Register "RESERVED_51C" : "RESERVED" Field</t>
  </si>
  <si>
    <t xml:space="preserve">      avalon_mm_rmap_o.readdata(7 downto 0) &lt;= rmap_registers_wr_i.aeb_gen_cfg_reserved_51c.reserved(7 downto 0);</t>
  </si>
  <si>
    <t xml:space="preserve">      avalon_mm_rmap_o.readdata(15 downto 8) &lt;= rmap_registers_wr_i.aeb_gen_cfg_reserved_51c.reserved(15 downto 8);</t>
  </si>
  <si>
    <t xml:space="preserve">      avalon_mm_rmap_o.readdata(23 downto 16) &lt;= rmap_registers_wr_i.aeb_gen_cfg_reserved_51c.reserved(23 downto 16);</t>
  </si>
  <si>
    <t xml:space="preserve">      avalon_mm_rmap_o.readdata(31 downto 24) &lt;= rmap_registers_wr_i.aeb_gen_cfg_reserved_51c.reserved(31 downto 24);</t>
  </si>
  <si>
    <t xml:space="preserve">  when (16#202#) =&gt;</t>
  </si>
  <si>
    <t xml:space="preserve">      -- AEB General Configuration Area Register "RESERVED_520" : "RESERVED" Field</t>
  </si>
  <si>
    <t xml:space="preserve">      avalon_mm_rmap_o.readdata(7 downto 0) &lt;= rmap_registers_wr_i.aeb_gen_cfg_reserved_520.reserved(7 downto 0);</t>
  </si>
  <si>
    <t xml:space="preserve">      avalon_mm_rmap_o.readdata(15 downto 8) &lt;= rmap_registers_wr_i.aeb_gen_cfg_reserved_520.reserved(15 downto 8);</t>
  </si>
  <si>
    <t xml:space="preserve">      avalon_mm_rmap_o.readdata(23 downto 16) &lt;= rmap_registers_wr_i.aeb_gen_cfg_reserved_520.reserved(23 downto 16);</t>
  </si>
  <si>
    <t xml:space="preserve">      avalon_mm_rmap_o.readdata(31 downto 24) &lt;= rmap_registers_wr_i.aeb_gen_cfg_reserved_520.reserved(31 downto 24);</t>
  </si>
  <si>
    <t xml:space="preserve">  when (16#203#) =&gt;</t>
  </si>
  <si>
    <t xml:space="preserve">      -- AEB General Configuration Area Register "RESERVED_524" : "RESERVED" Field</t>
  </si>
  <si>
    <t xml:space="preserve">      avalon_mm_rmap_o.readdata(7 downto 0) &lt;= rmap_registers_wr_i.aeb_gen_cfg_reserved_524.reserved(7 downto 0);</t>
  </si>
  <si>
    <t xml:space="preserve">      avalon_mm_rmap_o.readdata(15 downto 8) &lt;= rmap_registers_wr_i.aeb_gen_cfg_reserved_524.reserved(15 downto 8);</t>
  </si>
  <si>
    <t xml:space="preserve">      avalon_mm_rmap_o.readdata(23 downto 16) &lt;= rmap_registers_wr_i.aeb_gen_cfg_reserved_524.reserved(23 downto 16);</t>
  </si>
  <si>
    <t xml:space="preserve">      avalon_mm_rmap_o.readdata(31 downto 24) &lt;= rmap_registers_wr_i.aeb_gen_cfg_reserved_524.reserved(31 downto 24);</t>
  </si>
  <si>
    <t xml:space="preserve">  when (16#204#) =&gt;</t>
  </si>
  <si>
    <t xml:space="preserve">      -- AEB General Configuration Area Register "RESERVED_528" : "RESERVED" Field</t>
  </si>
  <si>
    <t xml:space="preserve">      avalon_mm_rmap_o.readdata(7 downto 0) &lt;= rmap_registers_wr_i.aeb_gen_cfg_reserved_528.reserved(7 downto 0);</t>
  </si>
  <si>
    <t xml:space="preserve">      avalon_mm_rmap_o.readdata(15 downto 8) &lt;= rmap_registers_wr_i.aeb_gen_cfg_reserved_528.reserved(15 downto 8);</t>
  </si>
  <si>
    <t xml:space="preserve">      avalon_mm_rmap_o.readdata(23 downto 16) &lt;= rmap_registers_wr_i.aeb_gen_cfg_reserved_528.reserved(23 downto 16);</t>
  </si>
  <si>
    <t xml:space="preserve">      avalon_mm_rmap_o.readdata(31 downto 24) &lt;= rmap_registers_wr_i.aeb_gen_cfg_reserved_528.reserved(31 downto 24);</t>
  </si>
  <si>
    <t xml:space="preserve">  when (16#205#) =&gt;</t>
  </si>
  <si>
    <t xml:space="preserve">      -- AEB General Configuration Area Register "RESERVED_52C" : "RESERVED" Field</t>
  </si>
  <si>
    <t xml:space="preserve">      avalon_mm_rmap_o.readdata(7 downto 0) &lt;= rmap_registers_wr_i.aeb_gen_cfg_reserved_52c.reserved(7 downto 0);</t>
  </si>
  <si>
    <t xml:space="preserve">      avalon_mm_rmap_o.readdata(15 downto 8) &lt;= rmap_registers_wr_i.aeb_gen_cfg_reserved_52c.reserved(15 downto 8);</t>
  </si>
  <si>
    <t xml:space="preserve">      avalon_mm_rmap_o.readdata(23 downto 16) &lt;= rmap_registers_wr_i.aeb_gen_cfg_reserved_52c.reserved(23 downto 16);</t>
  </si>
  <si>
    <t xml:space="preserve">      avalon_mm_rmap_o.readdata(31 downto 24) &lt;= rmap_registers_wr_i.aeb_gen_cfg_reserved_52c.reserved(31 downto 24);</t>
  </si>
  <si>
    <t xml:space="preserve">  when (16#206#) =&gt;</t>
  </si>
  <si>
    <t xml:space="preserve">      -- AEB General Configuration Area Register "RESERVED_530" : "RESERVED" Field</t>
  </si>
  <si>
    <t xml:space="preserve">      avalon_mm_rmap_o.readdata(7 downto 0) &lt;= rmap_registers_wr_i.aeb_gen_cfg_reserved_530.reserved(7 downto 0);</t>
  </si>
  <si>
    <t xml:space="preserve">      avalon_mm_rmap_o.readdata(15 downto 8) &lt;= rmap_registers_wr_i.aeb_gen_cfg_reserved_530.reserved(15 downto 8);</t>
  </si>
  <si>
    <t xml:space="preserve">      avalon_mm_rmap_o.readdata(23 downto 16) &lt;= rmap_registers_wr_i.aeb_gen_cfg_reserved_530.reserved(23 downto 16);</t>
  </si>
  <si>
    <t xml:space="preserve">      avalon_mm_rmap_o.readdata(31 downto 24) &lt;= rmap_registers_wr_i.aeb_gen_cfg_reserved_530.reserved(31 downto 24);</t>
  </si>
  <si>
    <t xml:space="preserve">  when (16#207#) =&gt;</t>
  </si>
  <si>
    <t xml:space="preserve">      -- AEB General Configuration Area Register "RESERVED_534" : "RESERVED" Field</t>
  </si>
  <si>
    <t xml:space="preserve">      avalon_mm_rmap_o.readdata(7 downto 0) &lt;= rmap_registers_wr_i.aeb_gen_cfg_reserved_534.reserved(7 downto 0);</t>
  </si>
  <si>
    <t xml:space="preserve">      avalon_mm_rmap_o.readdata(15 downto 8) &lt;= rmap_registers_wr_i.aeb_gen_cfg_reserved_534.reserved(15 downto 8);</t>
  </si>
  <si>
    <t xml:space="preserve">      avalon_mm_rmap_o.readdata(23 downto 16) &lt;= rmap_registers_wr_i.aeb_gen_cfg_reserved_534.reserved(23 downto 16);</t>
  </si>
  <si>
    <t xml:space="preserve">      avalon_mm_rmap_o.readdata(31 downto 24) &lt;= rmap_registers_wr_i.aeb_gen_cfg_reserved_534.reserved(31 downto 24);</t>
  </si>
  <si>
    <t xml:space="preserve">  when (16#208#) =&gt;</t>
  </si>
  <si>
    <t xml:space="preserve">      -- AEB General Configuration Area Register "RESERVED_538" : "RESERVED" Field</t>
  </si>
  <si>
    <t xml:space="preserve">      avalon_mm_rmap_o.readdata(7 downto 0) &lt;= rmap_registers_wr_i.aeb_gen_cfg_reserved_538.reserved(7 downto 0);</t>
  </si>
  <si>
    <t xml:space="preserve">      avalon_mm_rmap_o.readdata(15 downto 8) &lt;= rmap_registers_wr_i.aeb_gen_cfg_reserved_538.reserved(15 downto 8);</t>
  </si>
  <si>
    <t xml:space="preserve">      avalon_mm_rmap_o.readdata(23 downto 16) &lt;= rmap_registers_wr_i.aeb_gen_cfg_reserved_538.reserved(23 downto 16);</t>
  </si>
  <si>
    <t xml:space="preserve">      avalon_mm_rmap_o.readdata(31 downto 24) &lt;= rmap_registers_wr_i.aeb_gen_cfg_reserved_538.reserved(31 downto 24);</t>
  </si>
  <si>
    <t xml:space="preserve">  when (16#209#) =&gt;</t>
  </si>
  <si>
    <t xml:space="preserve">      -- AEB General Configuration Area Register "RESERVED_53C" : "RESERVED" Field</t>
  </si>
  <si>
    <t xml:space="preserve">      avalon_mm_rmap_o.readdata(7 downto 0) &lt;= rmap_registers_wr_i.aeb_gen_cfg_reserved_53c.reserved(7 downto 0);</t>
  </si>
  <si>
    <t xml:space="preserve">      avalon_mm_rmap_o.readdata(15 downto 8) &lt;= rmap_registers_wr_i.aeb_gen_cfg_reserved_53c.reserved(15 downto 8);</t>
  </si>
  <si>
    <t xml:space="preserve">      avalon_mm_rmap_o.readdata(23 downto 16) &lt;= rmap_registers_wr_i.aeb_gen_cfg_reserved_53c.reserved(23 downto 16);</t>
  </si>
  <si>
    <t xml:space="preserve">      avalon_mm_rmap_o.readdata(31 downto 24) &lt;= rmap_registers_wr_i.aeb_gen_cfg_reserved_53c.reserved(31 downto 24);</t>
  </si>
  <si>
    <t xml:space="preserve">  when (16#20A#) =&gt;</t>
  </si>
  <si>
    <t xml:space="preserve">      -- AEB General Configuration Area Register "RESERVED_540" : "RESERVED" Field</t>
  </si>
  <si>
    <t xml:space="preserve">      avalon_mm_rmap_o.readdata(7 downto 0) &lt;= rmap_registers_wr_i.aeb_gen_cfg_reserved_540.reserved(7 downto 0);</t>
  </si>
  <si>
    <t xml:space="preserve">      avalon_mm_rmap_o.readdata(15 downto 8) &lt;= rmap_registers_wr_i.aeb_gen_cfg_reserved_540.reserved(15 downto 8);</t>
  </si>
  <si>
    <t xml:space="preserve">      avalon_mm_rmap_o.readdata(23 downto 16) &lt;= rmap_registers_wr_i.aeb_gen_cfg_reserved_540.reserved(23 downto 16);</t>
  </si>
  <si>
    <t xml:space="preserve">      avalon_mm_rmap_o.readdata(31 downto 24) &lt;= rmap_registers_wr_i.aeb_gen_cfg_reserved_540.reserved(31 downto 24);</t>
  </si>
  <si>
    <t xml:space="preserve">  when (16#20B#) =&gt;</t>
  </si>
  <si>
    <t xml:space="preserve">      -- AEB General Configuration Area Register "RESERVED_544" : "RESERVED" Field</t>
  </si>
  <si>
    <t xml:space="preserve">      avalon_mm_rmap_o.readdata(7 downto 0) &lt;= rmap_registers_wr_i.aeb_gen_cfg_reserved_544.reserved(7 downto 0);</t>
  </si>
  <si>
    <t xml:space="preserve">      avalon_mm_rmap_o.readdata(15 downto 8) &lt;= rmap_registers_wr_i.aeb_gen_cfg_reserved_544.reserved(15 downto 8);</t>
  </si>
  <si>
    <t xml:space="preserve">      avalon_mm_rmap_o.readdata(23 downto 16) &lt;= rmap_registers_wr_i.aeb_gen_cfg_reserved_544.reserved(23 downto 16);</t>
  </si>
  <si>
    <t xml:space="preserve">      avalon_mm_rmap_o.readdata(31 downto 24) &lt;= rmap_registers_wr_i.aeb_gen_cfg_reserved_544.reserved(31 downto 24);</t>
  </si>
  <si>
    <t xml:space="preserve">  when (16#20C#) =&gt;</t>
  </si>
  <si>
    <t xml:space="preserve">      -- AEB General Configuration Area Register "RESERVED_548" : "RESERVED" Field</t>
  </si>
  <si>
    <t xml:space="preserve">      avalon_mm_rmap_o.readdata(7 downto 0) &lt;= rmap_registers_wr_i.aeb_gen_cfg_reserved_548.reserved(7 downto 0);</t>
  </si>
  <si>
    <t xml:space="preserve">      avalon_mm_rmap_o.readdata(15 downto 8) &lt;= rmap_registers_wr_i.aeb_gen_cfg_reserved_548.reserved(15 downto 8);</t>
  </si>
  <si>
    <t xml:space="preserve">      avalon_mm_rmap_o.readdata(23 downto 16) &lt;= rmap_registers_wr_i.aeb_gen_cfg_reserved_548.reserved(23 downto 16);</t>
  </si>
  <si>
    <t xml:space="preserve">      avalon_mm_rmap_o.readdata(31 downto 24) &lt;= rmap_registers_wr_i.aeb_gen_cfg_reserved_548.reserved(31 downto 24);</t>
  </si>
  <si>
    <t xml:space="preserve">  when (16#20D#) =&gt;</t>
  </si>
  <si>
    <t xml:space="preserve">      -- AEB General Configuration Area Register "RESERVED_54C" : "RESERVED" Field</t>
  </si>
  <si>
    <t xml:space="preserve">      avalon_mm_rmap_o.readdata(7 downto 0) &lt;= rmap_registers_wr_i.aeb_gen_cfg_reserved_54c.reserved(7 downto 0);</t>
  </si>
  <si>
    <t xml:space="preserve">      avalon_mm_rmap_o.readdata(15 downto 8) &lt;= rmap_registers_wr_i.aeb_gen_cfg_reserved_54c.reserved(15 downto 8);</t>
  </si>
  <si>
    <t xml:space="preserve">      avalon_mm_rmap_o.readdata(23 downto 16) &lt;= rmap_registers_wr_i.aeb_gen_cfg_reserved_54c.reserved(23 downto 16);</t>
  </si>
  <si>
    <t xml:space="preserve">      avalon_mm_rmap_o.readdata(31 downto 24) &lt;= rmap_registers_wr_i.aeb_gen_cfg_reserved_54c.reserved(31 downto 24);</t>
  </si>
  <si>
    <t xml:space="preserve">  when (16#20E#) =&gt;</t>
  </si>
  <si>
    <t xml:space="preserve">      -- AEB General Configuration Area Register "RESERVED_550" : "RESERVED" Field</t>
  </si>
  <si>
    <t xml:space="preserve">      avalon_mm_rmap_o.readdata(7 downto 0) &lt;= rmap_registers_wr_i.aeb_gen_cfg_reserved_550.reserved(7 downto 0);</t>
  </si>
  <si>
    <t xml:space="preserve">      avalon_mm_rmap_o.readdata(15 downto 8) &lt;= rmap_registers_wr_i.aeb_gen_cfg_reserved_550.reserved(15 downto 8);</t>
  </si>
  <si>
    <t xml:space="preserve">      avalon_mm_rmap_o.readdata(23 downto 16) &lt;= rmap_registers_wr_i.aeb_gen_cfg_reserved_550.reserved(23 downto 16);</t>
  </si>
  <si>
    <t xml:space="preserve">      avalon_mm_rmap_o.readdata(31 downto 24) &lt;= rmap_registers_wr_i.aeb_gen_cfg_reserved_550.reserved(31 downto 24);</t>
  </si>
  <si>
    <t xml:space="preserve">  when (16#20F#) =&gt;</t>
  </si>
  <si>
    <t xml:space="preserve">      -- AEB General Configuration Area Register "RESERVED_554" : "RESERVED" Field</t>
  </si>
  <si>
    <t xml:space="preserve">      avalon_mm_rmap_o.readdata(7 downto 0) &lt;= rmap_registers_wr_i.aeb_gen_cfg_reserved_554.reserved(7 downto 0);</t>
  </si>
  <si>
    <t xml:space="preserve">      avalon_mm_rmap_o.readdata(15 downto 8) &lt;= rmap_registers_wr_i.aeb_gen_cfg_reserved_554.reserved(15 downto 8);</t>
  </si>
  <si>
    <t xml:space="preserve">      avalon_mm_rmap_o.readdata(23 downto 16) &lt;= rmap_registers_wr_i.aeb_gen_cfg_reserved_554.reserved(23 downto 16);</t>
  </si>
  <si>
    <t xml:space="preserve">      avalon_mm_rmap_o.readdata(31 downto 24) &lt;= rmap_registers_wr_i.aeb_gen_cfg_reserved_554.reserved(31 downto 24);</t>
  </si>
  <si>
    <t xml:space="preserve">  when (16#210#) =&gt;</t>
  </si>
  <si>
    <t xml:space="preserve">      -- AEB General Configuration Area Register "RESERVED_558" : "RESERVED" Field</t>
  </si>
  <si>
    <t xml:space="preserve">      avalon_mm_rmap_o.readdata(7 downto 0) &lt;= rmap_registers_wr_i.aeb_gen_cfg_reserved_558.reserved(7 downto 0);</t>
  </si>
  <si>
    <t xml:space="preserve">      avalon_mm_rmap_o.readdata(15 downto 8) &lt;= rmap_registers_wr_i.aeb_gen_cfg_reserved_558.reserved(15 downto 8);</t>
  </si>
  <si>
    <t xml:space="preserve">      avalon_mm_rmap_o.readdata(23 downto 16) &lt;= rmap_registers_wr_i.aeb_gen_cfg_reserved_558.reserved(23 downto 16);</t>
  </si>
  <si>
    <t xml:space="preserve">      avalon_mm_rmap_o.readdata(31 downto 24) &lt;= rmap_registers_wr_i.aeb_gen_cfg_reserved_558.reserved(31 downto 24);</t>
  </si>
  <si>
    <t xml:space="preserve">  when (16#211#) =&gt;</t>
  </si>
  <si>
    <t xml:space="preserve">      -- AEB General Configuration Area Register "RESERVED_55C" : "RESERVED" Field</t>
  </si>
  <si>
    <t xml:space="preserve">      avalon_mm_rmap_o.readdata(7 downto 0) &lt;= rmap_registers_wr_i.aeb_gen_cfg_reserved_55c.reserved(7 downto 0);</t>
  </si>
  <si>
    <t xml:space="preserve">      avalon_mm_rmap_o.readdata(15 downto 8) &lt;= rmap_registers_wr_i.aeb_gen_cfg_reserved_55c.reserved(15 downto 8);</t>
  </si>
  <si>
    <t xml:space="preserve">      avalon_mm_rmap_o.readdata(23 downto 16) &lt;= rmap_registers_wr_i.aeb_gen_cfg_reserved_55c.reserved(23 downto 16);</t>
  </si>
  <si>
    <t xml:space="preserve">      avalon_mm_rmap_o.readdata(31 downto 24) &lt;= rmap_registers_wr_i.aeb_gen_cfg_reserved_55c.reserved(31 downto 24);</t>
  </si>
  <si>
    <t xml:space="preserve">  when (16#212#) =&gt;</t>
  </si>
  <si>
    <t xml:space="preserve">      -- AEB General Configuration Area Register "RESERVED_560" : "RESERVED" Field</t>
  </si>
  <si>
    <t xml:space="preserve">      avalon_mm_rmap_o.readdata(7 downto 0) &lt;= rmap_registers_wr_i.aeb_gen_cfg_reserved_560.reserved(7 downto 0);</t>
  </si>
  <si>
    <t xml:space="preserve">      avalon_mm_rmap_o.readdata(15 downto 8) &lt;= rmap_registers_wr_i.aeb_gen_cfg_reserved_560.reserved(15 downto 8);</t>
  </si>
  <si>
    <t xml:space="preserve">      avalon_mm_rmap_o.readdata(23 downto 16) &lt;= rmap_registers_wr_i.aeb_gen_cfg_reserved_560.reserved(23 downto 16);</t>
  </si>
  <si>
    <t xml:space="preserve">      avalon_mm_rmap_o.readdata(31 downto 24) &lt;= rmap_registers_wr_i.aeb_gen_cfg_reserved_560.reserved(31 downto 24);</t>
  </si>
  <si>
    <t xml:space="preserve">  when (16#213#) =&gt;</t>
  </si>
  <si>
    <t xml:space="preserve">      -- AEB General Configuration Area Register "RESERVED_564" : "RESERVED" Field</t>
  </si>
  <si>
    <t xml:space="preserve">      avalon_mm_rmap_o.readdata(7 downto 0) &lt;= rmap_registers_wr_i.aeb_gen_cfg_reserved_564.reserved(7 downto 0);</t>
  </si>
  <si>
    <t xml:space="preserve">      avalon_mm_rmap_o.readdata(15 downto 8) &lt;= rmap_registers_wr_i.aeb_gen_cfg_reserved_564.reserved(15 downto 8);</t>
  </si>
  <si>
    <t xml:space="preserve">      avalon_mm_rmap_o.readdata(23 downto 16) &lt;= rmap_registers_wr_i.aeb_gen_cfg_reserved_564.reserved(23 downto 16);</t>
  </si>
  <si>
    <t xml:space="preserve">      avalon_mm_rmap_o.readdata(31 downto 24) &lt;= rmap_registers_wr_i.aeb_gen_cfg_reserved_564.reserved(31 downto 24);</t>
  </si>
  <si>
    <t xml:space="preserve">  when (16#214#) =&gt;</t>
  </si>
  <si>
    <t xml:space="preserve">      -- AEB General Configuration Area Register "RESERVED_568" : "RESERVED" Field</t>
  </si>
  <si>
    <t xml:space="preserve">      avalon_mm_rmap_o.readdata(7 downto 0) &lt;= rmap_registers_wr_i.aeb_gen_cfg_reserved_568.reserved(7 downto 0);</t>
  </si>
  <si>
    <t xml:space="preserve">      avalon_mm_rmap_o.readdata(15 downto 8) &lt;= rmap_registers_wr_i.aeb_gen_cfg_reserved_568.reserved(15 downto 8);</t>
  </si>
  <si>
    <t xml:space="preserve">      avalon_mm_rmap_o.readdata(23 downto 16) &lt;= rmap_registers_wr_i.aeb_gen_cfg_reserved_568.reserved(23 downto 16);</t>
  </si>
  <si>
    <t xml:space="preserve">      avalon_mm_rmap_o.readdata(31 downto 24) &lt;= rmap_registers_wr_i.aeb_gen_cfg_reserved_568.reserved(31 downto 24);</t>
  </si>
  <si>
    <t xml:space="preserve">  when (16#215#) =&gt;</t>
  </si>
  <si>
    <t xml:space="preserve">      -- AEB General Configuration Area Register "RESERVED_56C" : "RESERVED" Field</t>
  </si>
  <si>
    <t xml:space="preserve">      avalon_mm_rmap_o.readdata(7 downto 0) &lt;= rmap_registers_wr_i.aeb_gen_cfg_reserved_56c.reserved(7 downto 0);</t>
  </si>
  <si>
    <t xml:space="preserve">      avalon_mm_rmap_o.readdata(15 downto 8) &lt;= rmap_registers_wr_i.aeb_gen_cfg_reserved_56c.reserved(15 downto 8);</t>
  </si>
  <si>
    <t xml:space="preserve">      avalon_mm_rmap_o.readdata(23 downto 16) &lt;= rmap_registers_wr_i.aeb_gen_cfg_reserved_56c.reserved(23 downto 16);</t>
  </si>
  <si>
    <t xml:space="preserve">      avalon_mm_rmap_o.readdata(31 downto 24) &lt;= rmap_registers_wr_i.aeb_gen_cfg_reserved_56c.reserved(31 downto 24);</t>
  </si>
  <si>
    <t xml:space="preserve">  when (16#216#) =&gt;</t>
  </si>
  <si>
    <t xml:space="preserve">      -- AEB General Configuration Area Register "RESERVED_570" : "RESERVED" Field</t>
  </si>
  <si>
    <t xml:space="preserve">      avalon_mm_rmap_o.readdata(7 downto 0) &lt;= rmap_registers_wr_i.aeb_gen_cfg_reserved_570.reserved(7 downto 0);</t>
  </si>
  <si>
    <t xml:space="preserve">      avalon_mm_rmap_o.readdata(15 downto 8) &lt;= rmap_registers_wr_i.aeb_gen_cfg_reserved_570.reserved(15 downto 8);</t>
  </si>
  <si>
    <t xml:space="preserve">      avalon_mm_rmap_o.readdata(23 downto 16) &lt;= rmap_registers_wr_i.aeb_gen_cfg_reserved_570.reserved(23 downto 16);</t>
  </si>
  <si>
    <t xml:space="preserve">      avalon_mm_rmap_o.readdata(31 downto 24) &lt;= rmap_registers_wr_i.aeb_gen_cfg_reserved_570.reserved(31 downto 24);</t>
  </si>
  <si>
    <t xml:space="preserve">  when (16#217#) =&gt;</t>
  </si>
  <si>
    <t xml:space="preserve">      -- AEB General Configuration Area Register "RESERVED_574" : "RESERVED" Field</t>
  </si>
  <si>
    <t xml:space="preserve">      avalon_mm_rmap_o.readdata(7 downto 0) &lt;= rmap_registers_wr_i.aeb_gen_cfg_reserved_574.reserved(7 downto 0);</t>
  </si>
  <si>
    <t xml:space="preserve">      avalon_mm_rmap_o.readdata(15 downto 8) &lt;= rmap_registers_wr_i.aeb_gen_cfg_reserved_574.reserved(15 downto 8);</t>
  </si>
  <si>
    <t xml:space="preserve">      avalon_mm_rmap_o.readdata(23 downto 16) &lt;= rmap_registers_wr_i.aeb_gen_cfg_reserved_574.reserved(23 downto 16);</t>
  </si>
  <si>
    <t xml:space="preserve">      avalon_mm_rmap_o.readdata(31 downto 24) &lt;= rmap_registers_wr_i.aeb_gen_cfg_reserved_574.reserved(31 downto 24);</t>
  </si>
  <si>
    <t xml:space="preserve">  when (16#218#) =&gt;</t>
  </si>
  <si>
    <t xml:space="preserve">      -- AEB General Configuration Area Register "RESERVED_578" : "RESERVED" Field</t>
  </si>
  <si>
    <t xml:space="preserve">      avalon_mm_rmap_o.readdata(7 downto 0) &lt;= rmap_registers_wr_i.aeb_gen_cfg_reserved_578.reserved(7 downto 0);</t>
  </si>
  <si>
    <t xml:space="preserve">      avalon_mm_rmap_o.readdata(15 downto 8) &lt;= rmap_registers_wr_i.aeb_gen_cfg_reserved_578.reserved(15 downto 8);</t>
  </si>
  <si>
    <t xml:space="preserve">      avalon_mm_rmap_o.readdata(23 downto 16) &lt;= rmap_registers_wr_i.aeb_gen_cfg_reserved_578.reserved(23 downto 16);</t>
  </si>
  <si>
    <t xml:space="preserve">      avalon_mm_rmap_o.readdata(31 downto 24) &lt;= rmap_registers_wr_i.aeb_gen_cfg_reserved_578.reserved(31 downto 24);</t>
  </si>
  <si>
    <t xml:space="preserve">  when (16#219#) =&gt;</t>
  </si>
  <si>
    <t xml:space="preserve">      -- AEB General Configuration Area Register "RESERVED_57C" : "RESERVED" Field</t>
  </si>
  <si>
    <t xml:space="preserve">      avalon_mm_rmap_o.readdata(7 downto 0) &lt;= rmap_registers_wr_i.aeb_gen_cfg_reserved_57c.reserved(7 downto 0);</t>
  </si>
  <si>
    <t xml:space="preserve">      avalon_mm_rmap_o.readdata(15 downto 8) &lt;= rmap_registers_wr_i.aeb_gen_cfg_reserved_57c.reserved(15 downto 8);</t>
  </si>
  <si>
    <t xml:space="preserve">      avalon_mm_rmap_o.readdata(23 downto 16) &lt;= rmap_registers_wr_i.aeb_gen_cfg_reserved_57c.reserved(23 downto 16);</t>
  </si>
  <si>
    <t xml:space="preserve">      avalon_mm_rmap_o.readdata(31 downto 24) &lt;= rmap_registers_wr_i.aeb_gen_cfg_reserved_57c.reserved(31 downto 24);</t>
  </si>
  <si>
    <t xml:space="preserve">  when (16#21A#) =&gt;</t>
  </si>
  <si>
    <t xml:space="preserve">      -- AEB General Configuration Area Register "RESERVED_580" : "RESERVED" Field</t>
  </si>
  <si>
    <t xml:space="preserve">      avalon_mm_rmap_o.readdata(7 downto 0) &lt;= rmap_registers_wr_i.aeb_gen_cfg_reserved_580.reserved(7 downto 0);</t>
  </si>
  <si>
    <t xml:space="preserve">      avalon_mm_rmap_o.readdata(15 downto 8) &lt;= rmap_registers_wr_i.aeb_gen_cfg_reserved_580.reserved(15 downto 8);</t>
  </si>
  <si>
    <t xml:space="preserve">      avalon_mm_rmap_o.readdata(23 downto 16) &lt;= rmap_registers_wr_i.aeb_gen_cfg_reserved_580.reserved(23 downto 16);</t>
  </si>
  <si>
    <t xml:space="preserve">      avalon_mm_rmap_o.readdata(31 downto 24) &lt;= rmap_registers_wr_i.aeb_gen_cfg_reserved_580.reserved(31 downto 24);</t>
  </si>
  <si>
    <t xml:space="preserve">  when (16#21B#) =&gt;</t>
  </si>
  <si>
    <t xml:space="preserve">      -- AEB General Configuration Area Register "RESERVED_584" : "RESERVED" Field</t>
  </si>
  <si>
    <t xml:space="preserve">      avalon_mm_rmap_o.readdata(7 downto 0) &lt;= rmap_registers_wr_i.aeb_gen_cfg_reserved_584.reserved(7 downto 0);</t>
  </si>
  <si>
    <t xml:space="preserve">      avalon_mm_rmap_o.readdata(15 downto 8) &lt;= rmap_registers_wr_i.aeb_gen_cfg_reserved_584.reserved(15 downto 8);</t>
  </si>
  <si>
    <t xml:space="preserve">      avalon_mm_rmap_o.readdata(23 downto 16) &lt;= rmap_registers_wr_i.aeb_gen_cfg_reserved_584.reserved(23 downto 16);</t>
  </si>
  <si>
    <t xml:space="preserve">      avalon_mm_rmap_o.readdata(31 downto 24) &lt;= rmap_registers_wr_i.aeb_gen_cfg_reserved_584.reserved(31 downto 24);</t>
  </si>
  <si>
    <t xml:space="preserve">  when (16#21C#) =&gt;</t>
  </si>
  <si>
    <t xml:space="preserve">      -- AEB General Configuration Area Register "RESERVED_588" : "RESERVED" Field</t>
  </si>
  <si>
    <t xml:space="preserve">      avalon_mm_rmap_o.readdata(7 downto 0) &lt;= rmap_registers_wr_i.aeb_gen_cfg_reserved_588.reserved(7 downto 0);</t>
  </si>
  <si>
    <t xml:space="preserve">      avalon_mm_rmap_o.readdata(15 downto 8) &lt;= rmap_registers_wr_i.aeb_gen_cfg_reserved_588.reserved(15 downto 8);</t>
  </si>
  <si>
    <t xml:space="preserve">      avalon_mm_rmap_o.readdata(23 downto 16) &lt;= rmap_registers_wr_i.aeb_gen_cfg_reserved_588.reserved(23 downto 16);</t>
  </si>
  <si>
    <t xml:space="preserve">      avalon_mm_rmap_o.readdata(31 downto 24) &lt;= rmap_registers_wr_i.aeb_gen_cfg_reserved_588.reserved(31 downto 24);</t>
  </si>
  <si>
    <t xml:space="preserve">  when (16#21D#) =&gt;</t>
  </si>
  <si>
    <t xml:space="preserve">      -- AEB General Configuration Area Register "RESERVED_58C" : "RESERVED" Field</t>
  </si>
  <si>
    <t xml:space="preserve">      avalon_mm_rmap_o.readdata(7 downto 0) &lt;= rmap_registers_wr_i.aeb_gen_cfg_reserved_58c.reserved(7 downto 0);</t>
  </si>
  <si>
    <t xml:space="preserve">      avalon_mm_rmap_o.readdata(15 downto 8) &lt;= rmap_registers_wr_i.aeb_gen_cfg_reserved_58c.reserved(15 downto 8);</t>
  </si>
  <si>
    <t xml:space="preserve">      avalon_mm_rmap_o.readdata(23 downto 16) &lt;= rmap_registers_wr_i.aeb_gen_cfg_reserved_58c.reserved(23 downto 16);</t>
  </si>
  <si>
    <t xml:space="preserve">      avalon_mm_rmap_o.readdata(31 downto 24) &lt;= rmap_registers_wr_i.aeb_gen_cfg_reserved_58c.reserved(31 downto 24);</t>
  </si>
  <si>
    <t xml:space="preserve">  when (16#21E#) =&gt;</t>
  </si>
  <si>
    <t xml:space="preserve">      -- AEB General Configuration Area Register "RESERVED_590" : "RESERVED" Field</t>
  </si>
  <si>
    <t xml:space="preserve">      avalon_mm_rmap_o.readdata(7 downto 0) &lt;= rmap_registers_wr_i.aeb_gen_cfg_reserved_590.reserved(7 downto 0);</t>
  </si>
  <si>
    <t xml:space="preserve">      avalon_mm_rmap_o.readdata(15 downto 8) &lt;= rmap_registers_wr_i.aeb_gen_cfg_reserved_590.reserved(15 downto 8);</t>
  </si>
  <si>
    <t xml:space="preserve">      avalon_mm_rmap_o.readdata(23 downto 16) &lt;= rmap_registers_wr_i.aeb_gen_cfg_reserved_590.reserved(23 downto 16);</t>
  </si>
  <si>
    <t xml:space="preserve">      avalon_mm_rmap_o.readdata(31 downto 24) &lt;= rmap_registers_wr_i.aeb_gen_cfg_reserved_590.reserved(31 downto 24);</t>
  </si>
  <si>
    <t xml:space="preserve">  when (16#21F#) =&gt;</t>
  </si>
  <si>
    <t xml:space="preserve">      -- AEB General Configuration Area Register "RESERVED_594" : "RESERVED" Field</t>
  </si>
  <si>
    <t xml:space="preserve">      avalon_mm_rmap_o.readdata(7 downto 0) &lt;= rmap_registers_wr_i.aeb_gen_cfg_reserved_594.reserved(7 downto 0);</t>
  </si>
  <si>
    <t xml:space="preserve">      avalon_mm_rmap_o.readdata(15 downto 8) &lt;= rmap_registers_wr_i.aeb_gen_cfg_reserved_594.reserved(15 downto 8);</t>
  </si>
  <si>
    <t xml:space="preserve">      avalon_mm_rmap_o.readdata(23 downto 16) &lt;= rmap_registers_wr_i.aeb_gen_cfg_reserved_594.reserved(23 downto 16);</t>
  </si>
  <si>
    <t xml:space="preserve">      avalon_mm_rmap_o.readdata(31 downto 24) &lt;= rmap_registers_wr_i.aeb_gen_cfg_reserved_594.reserved(31 downto 24);</t>
  </si>
  <si>
    <t xml:space="preserve">  when (16#220#) =&gt;</t>
  </si>
  <si>
    <t xml:space="preserve">      -- AEB General Configuration Area Register "RESERVED_598" : "RESERVED" Field</t>
  </si>
  <si>
    <t xml:space="preserve">      avalon_mm_rmap_o.readdata(7 downto 0) &lt;= rmap_registers_wr_i.aeb_gen_cfg_reserved_598.reserved(7 downto 0);</t>
  </si>
  <si>
    <t xml:space="preserve">      avalon_mm_rmap_o.readdata(15 downto 8) &lt;= rmap_registers_wr_i.aeb_gen_cfg_reserved_598.reserved(15 downto 8);</t>
  </si>
  <si>
    <t xml:space="preserve">      avalon_mm_rmap_o.readdata(23 downto 16) &lt;= rmap_registers_wr_i.aeb_gen_cfg_reserved_598.reserved(23 downto 16);</t>
  </si>
  <si>
    <t xml:space="preserve">      avalon_mm_rmap_o.readdata(31 downto 24) &lt;= rmap_registers_wr_i.aeb_gen_cfg_reserved_598.reserved(31 downto 24);</t>
  </si>
  <si>
    <t xml:space="preserve">  when (16#221#) =&gt;</t>
  </si>
  <si>
    <t xml:space="preserve">      -- AEB General Configuration Area Register "RESERVED_59C" : "RESERVED" Field</t>
  </si>
  <si>
    <t xml:space="preserve">      avalon_mm_rmap_o.readdata(7 downto 0) &lt;= rmap_registers_wr_i.aeb_gen_cfg_reserved_59c.reserved(7 downto 0);</t>
  </si>
  <si>
    <t xml:space="preserve">      avalon_mm_rmap_o.readdata(15 downto 8) &lt;= rmap_registers_wr_i.aeb_gen_cfg_reserved_59c.reserved(15 downto 8);</t>
  </si>
  <si>
    <t xml:space="preserve">      avalon_mm_rmap_o.readdata(23 downto 16) &lt;= rmap_registers_wr_i.aeb_gen_cfg_reserved_59c.reserved(23 downto 16);</t>
  </si>
  <si>
    <t xml:space="preserve">      avalon_mm_rmap_o.readdata(31 downto 24) &lt;= rmap_registers_wr_i.aeb_gen_cfg_reserved_59c.reserved(31 downto 24);</t>
  </si>
  <si>
    <t xml:space="preserve">  when (16#222#) =&gt;</t>
  </si>
  <si>
    <t xml:space="preserve">      -- AEB General Configuration Area Register "RESERVED_5A0" : "RESERVED" Field</t>
  </si>
  <si>
    <t xml:space="preserve">      avalon_mm_rmap_o.readdata(7 downto 0) &lt;= rmap_registers_wr_i.aeb_gen_cfg_reserved_5a0.reserved(7 downto 0);</t>
  </si>
  <si>
    <t xml:space="preserve">      avalon_mm_rmap_o.readdata(15 downto 8) &lt;= rmap_registers_wr_i.aeb_gen_cfg_reserved_5a0.reserved(15 downto 8);</t>
  </si>
  <si>
    <t xml:space="preserve">      avalon_mm_rmap_o.readdata(23 downto 16) &lt;= rmap_registers_wr_i.aeb_gen_cfg_reserved_5a0.reserved(23 downto 16);</t>
  </si>
  <si>
    <t xml:space="preserve">      avalon_mm_rmap_o.readdata(31 downto 24) &lt;= rmap_registers_wr_i.aeb_gen_cfg_reserved_5a0.reserved(31 downto 24);</t>
  </si>
  <si>
    <t xml:space="preserve">  when (16#223#) =&gt;</t>
  </si>
  <si>
    <t xml:space="preserve">      -- AEB General Configuration Area Register "RESERVED_5A4" : "RESERVED" Field</t>
  </si>
  <si>
    <t xml:space="preserve">      avalon_mm_rmap_o.readdata(7 downto 0) &lt;= rmap_registers_wr_i.aeb_gen_cfg_reserved_5a4.reserved(7 downto 0);</t>
  </si>
  <si>
    <t xml:space="preserve">      avalon_mm_rmap_o.readdata(15 downto 8) &lt;= rmap_registers_wr_i.aeb_gen_cfg_reserved_5a4.reserved(15 downto 8);</t>
  </si>
  <si>
    <t xml:space="preserve">      avalon_mm_rmap_o.readdata(23 downto 16) &lt;= rmap_registers_wr_i.aeb_gen_cfg_reserved_5a4.reserved(23 downto 16);</t>
  </si>
  <si>
    <t xml:space="preserve">      avalon_mm_rmap_o.readdata(31 downto 24) &lt;= rmap_registers_wr_i.aeb_gen_cfg_reserved_5a4.reserved(31 downto 24);</t>
  </si>
  <si>
    <t xml:space="preserve">  when (16#224#) =&gt;</t>
  </si>
  <si>
    <t xml:space="preserve">      -- AEB General Configuration Area Register "RESERVED_5A8" : "RESERVED" Field</t>
  </si>
  <si>
    <t xml:space="preserve">      avalon_mm_rmap_o.readdata(7 downto 0) &lt;= rmap_registers_wr_i.aeb_gen_cfg_reserved_5a8.reserved(7 downto 0);</t>
  </si>
  <si>
    <t xml:space="preserve">      avalon_mm_rmap_o.readdata(15 downto 8) &lt;= rmap_registers_wr_i.aeb_gen_cfg_reserved_5a8.reserved(15 downto 8);</t>
  </si>
  <si>
    <t xml:space="preserve">      avalon_mm_rmap_o.readdata(23 downto 16) &lt;= rmap_registers_wr_i.aeb_gen_cfg_reserved_5a8.reserved(23 downto 16);</t>
  </si>
  <si>
    <t xml:space="preserve">      avalon_mm_rmap_o.readdata(31 downto 24) &lt;= rmap_registers_wr_i.aeb_gen_cfg_reserved_5a8.reserved(31 downto 24);</t>
  </si>
  <si>
    <t xml:space="preserve">  when (16#225#) =&gt;</t>
  </si>
  <si>
    <t xml:space="preserve">      -- AEB General Configuration Area Register "RESERVED_5AC" : "RESERVED" Field</t>
  </si>
  <si>
    <t xml:space="preserve">      avalon_mm_rmap_o.readdata(7 downto 0) &lt;= rmap_registers_wr_i.aeb_gen_cfg_reserved_5ac.reserved(7 downto 0);</t>
  </si>
  <si>
    <t xml:space="preserve">      avalon_mm_rmap_o.readdata(15 downto 8) &lt;= rmap_registers_wr_i.aeb_gen_cfg_reserved_5ac.reserved(15 downto 8);</t>
  </si>
  <si>
    <t xml:space="preserve">      avalon_mm_rmap_o.readdata(23 downto 16) &lt;= rmap_registers_wr_i.aeb_gen_cfg_reserved_5ac.reserved(23 downto 16);</t>
  </si>
  <si>
    <t xml:space="preserve">      avalon_mm_rmap_o.readdata(31 downto 24) &lt;= rmap_registers_wr_i.aeb_gen_cfg_reserved_5ac.reserved(31 downto 24);</t>
  </si>
  <si>
    <t xml:space="preserve">  when (16#226#) =&gt;</t>
  </si>
  <si>
    <t xml:space="preserve">      -- AEB General Configuration Area Register "RESERVED_5B0" : "RESERVED" Field</t>
  </si>
  <si>
    <t xml:space="preserve">      avalon_mm_rmap_o.readdata(7 downto 0) &lt;= rmap_registers_wr_i.aeb_gen_cfg_reserved_5b0.reserved(7 downto 0);</t>
  </si>
  <si>
    <t xml:space="preserve">      avalon_mm_rmap_o.readdata(15 downto 8) &lt;= rmap_registers_wr_i.aeb_gen_cfg_reserved_5b0.reserved(15 downto 8);</t>
  </si>
  <si>
    <t xml:space="preserve">      avalon_mm_rmap_o.readdata(23 downto 16) &lt;= rmap_registers_wr_i.aeb_gen_cfg_reserved_5b0.reserved(23 downto 16);</t>
  </si>
  <si>
    <t xml:space="preserve">      avalon_mm_rmap_o.readdata(31 downto 24) &lt;= rmap_registers_wr_i.aeb_gen_cfg_reserved_5b0.reserved(31 downto 24);</t>
  </si>
  <si>
    <t xml:space="preserve">  when (16#227#) =&gt;</t>
  </si>
  <si>
    <t xml:space="preserve">      -- AEB General Configuration Area Register "RESERVED_5B4" : "RESERVED" Field</t>
  </si>
  <si>
    <t xml:space="preserve">      avalon_mm_rmap_o.readdata(7 downto 0) &lt;= rmap_registers_wr_i.aeb_gen_cfg_reserved_5b4.reserved(7 downto 0);</t>
  </si>
  <si>
    <t xml:space="preserve">      avalon_mm_rmap_o.readdata(15 downto 8) &lt;= rmap_registers_wr_i.aeb_gen_cfg_reserved_5b4.reserved(15 downto 8);</t>
  </si>
  <si>
    <t xml:space="preserve">      avalon_mm_rmap_o.readdata(23 downto 16) &lt;= rmap_registers_wr_i.aeb_gen_cfg_reserved_5b4.reserved(23 downto 16);</t>
  </si>
  <si>
    <t xml:space="preserve">      avalon_mm_rmap_o.readdata(31 downto 24) &lt;= rmap_registers_wr_i.aeb_gen_cfg_reserved_5b4.reserved(31 downto 24);</t>
  </si>
  <si>
    <t xml:space="preserve">  when (16#228#) =&gt;</t>
  </si>
  <si>
    <t xml:space="preserve">      -- AEB General Configuration Area Register "RESERVED_5B8" : "RESERVED" Field</t>
  </si>
  <si>
    <t xml:space="preserve">      avalon_mm_rmap_o.readdata(7 downto 0) &lt;= rmap_registers_wr_i.aeb_gen_cfg_reserved_5b8.reserved(7 downto 0);</t>
  </si>
  <si>
    <t xml:space="preserve">      avalon_mm_rmap_o.readdata(15 downto 8) &lt;= rmap_registers_wr_i.aeb_gen_cfg_reserved_5b8.reserved(15 downto 8);</t>
  </si>
  <si>
    <t xml:space="preserve">      avalon_mm_rmap_o.readdata(23 downto 16) &lt;= rmap_registers_wr_i.aeb_gen_cfg_reserved_5b8.reserved(23 downto 16);</t>
  </si>
  <si>
    <t xml:space="preserve">      avalon_mm_rmap_o.readdata(31 downto 24) &lt;= rmap_registers_wr_i.aeb_gen_cfg_reserved_5b8.reserved(31 downto 24);</t>
  </si>
  <si>
    <t xml:space="preserve">  when (16#229#) =&gt;</t>
  </si>
  <si>
    <t xml:space="preserve">      -- AEB General Configuration Area Register "RESERVED_5BC" : "RESERVED" Field</t>
  </si>
  <si>
    <t xml:space="preserve">      avalon_mm_rmap_o.readdata(7 downto 0) &lt;= rmap_registers_wr_i.aeb_gen_cfg_reserved_5bc.reserved(7 downto 0);</t>
  </si>
  <si>
    <t xml:space="preserve">      avalon_mm_rmap_o.readdata(15 downto 8) &lt;= rmap_registers_wr_i.aeb_gen_cfg_reserved_5bc.reserved(15 downto 8);</t>
  </si>
  <si>
    <t xml:space="preserve">      avalon_mm_rmap_o.readdata(23 downto 16) &lt;= rmap_registers_wr_i.aeb_gen_cfg_reserved_5bc.reserved(23 downto 16);</t>
  </si>
  <si>
    <t xml:space="preserve">      avalon_mm_rmap_o.readdata(31 downto 24) &lt;= rmap_registers_wr_i.aeb_gen_cfg_reserved_5bc.reserved(31 downto 24);</t>
  </si>
  <si>
    <t xml:space="preserve">  when (16#22A#) =&gt;</t>
  </si>
  <si>
    <t xml:space="preserve">      -- AEB General Configuration Area Register "RESERVED_5C0" : "RESERVED" Field</t>
  </si>
  <si>
    <t xml:space="preserve">      avalon_mm_rmap_o.readdata(7 downto 0) &lt;= rmap_registers_wr_i.aeb_gen_cfg_reserved_5c0.reserved(7 downto 0);</t>
  </si>
  <si>
    <t xml:space="preserve">      avalon_mm_rmap_o.readdata(15 downto 8) &lt;= rmap_registers_wr_i.aeb_gen_cfg_reserved_5c0.reserved(15 downto 8);</t>
  </si>
  <si>
    <t xml:space="preserve">      avalon_mm_rmap_o.readdata(23 downto 16) &lt;= rmap_registers_wr_i.aeb_gen_cfg_reserved_5c0.reserved(23 downto 16);</t>
  </si>
  <si>
    <t xml:space="preserve">      avalon_mm_rmap_o.readdata(31 downto 24) &lt;= rmap_registers_wr_i.aeb_gen_cfg_reserved_5c0.reserved(31 downto 24);</t>
  </si>
  <si>
    <t xml:space="preserve">  when (16#22B#) =&gt;</t>
  </si>
  <si>
    <t xml:space="preserve">      -- AEB General Configuration Area Register "RESERVED_5C4" : "RESERVED" Field</t>
  </si>
  <si>
    <t xml:space="preserve">      avalon_mm_rmap_o.readdata(7 downto 0) &lt;= rmap_registers_wr_i.aeb_gen_cfg_reserved_5c4.reserved(7 downto 0);</t>
  </si>
  <si>
    <t xml:space="preserve">      avalon_mm_rmap_o.readdata(15 downto 8) &lt;= rmap_registers_wr_i.aeb_gen_cfg_reserved_5c4.reserved(15 downto 8);</t>
  </si>
  <si>
    <t xml:space="preserve">      avalon_mm_rmap_o.readdata(23 downto 16) &lt;= rmap_registers_wr_i.aeb_gen_cfg_reserved_5c4.reserved(23 downto 16);</t>
  </si>
  <si>
    <t xml:space="preserve">      avalon_mm_rmap_o.readdata(31 downto 24) &lt;= rmap_registers_wr_i.aeb_gen_cfg_reserved_5c4.reserved(31 downto 24);</t>
  </si>
  <si>
    <t xml:space="preserve">  when (16#22C#) =&gt;</t>
  </si>
  <si>
    <t xml:space="preserve">      -- AEB General Configuration Area Register "RESERVED_5C8" : "RESERVED" Field</t>
  </si>
  <si>
    <t xml:space="preserve">      avalon_mm_rmap_o.readdata(7 downto 0) &lt;= rmap_registers_wr_i.aeb_gen_cfg_reserved_5c8.reserved(7 downto 0);</t>
  </si>
  <si>
    <t xml:space="preserve">      avalon_mm_rmap_o.readdata(15 downto 8) &lt;= rmap_registers_wr_i.aeb_gen_cfg_reserved_5c8.reserved(15 downto 8);</t>
  </si>
  <si>
    <t xml:space="preserve">      avalon_mm_rmap_o.readdata(23 downto 16) &lt;= rmap_registers_wr_i.aeb_gen_cfg_reserved_5c8.reserved(23 downto 16);</t>
  </si>
  <si>
    <t xml:space="preserve">      avalon_mm_rmap_o.readdata(31 downto 24) &lt;= rmap_registers_wr_i.aeb_gen_cfg_reserved_5c8.reserved(31 downto 24);</t>
  </si>
  <si>
    <t xml:space="preserve">  when (16#22D#) =&gt;</t>
  </si>
  <si>
    <t xml:space="preserve">      -- AEB General Configuration Area Register "RESERVED_5CC" : "RESERVED" Field</t>
  </si>
  <si>
    <t xml:space="preserve">      avalon_mm_rmap_o.readdata(7 downto 0) &lt;= rmap_registers_wr_i.aeb_gen_cfg_reserved_5cc.reserved(7 downto 0);</t>
  </si>
  <si>
    <t xml:space="preserve">      avalon_mm_rmap_o.readdata(15 downto 8) &lt;= rmap_registers_wr_i.aeb_gen_cfg_reserved_5cc.reserved(15 downto 8);</t>
  </si>
  <si>
    <t xml:space="preserve">      avalon_mm_rmap_o.readdata(23 downto 16) &lt;= rmap_registers_wr_i.aeb_gen_cfg_reserved_5cc.reserved(23 downto 16);</t>
  </si>
  <si>
    <t xml:space="preserve">      avalon_mm_rmap_o.readdata(31 downto 24) &lt;= rmap_registers_wr_i.aeb_gen_cfg_reserved_5cc.reserved(31 downto 24);</t>
  </si>
  <si>
    <t xml:space="preserve">  when (16#22E#) =&gt;</t>
  </si>
  <si>
    <t xml:space="preserve">      -- AEB General Configuration Area Register "RESERVED_5D0" : "RESERVED" Field</t>
  </si>
  <si>
    <t xml:space="preserve">      avalon_mm_rmap_o.readdata(7 downto 0) &lt;= rmap_registers_wr_i.aeb_gen_cfg_reserved_5d0.reserved(7 downto 0);</t>
  </si>
  <si>
    <t xml:space="preserve">      avalon_mm_rmap_o.readdata(15 downto 8) &lt;= rmap_registers_wr_i.aeb_gen_cfg_reserved_5d0.reserved(15 downto 8);</t>
  </si>
  <si>
    <t xml:space="preserve">      avalon_mm_rmap_o.readdata(23 downto 16) &lt;= rmap_registers_wr_i.aeb_gen_cfg_reserved_5d0.reserved(23 downto 16);</t>
  </si>
  <si>
    <t xml:space="preserve">      avalon_mm_rmap_o.readdata(31 downto 24) &lt;= rmap_registers_wr_i.aeb_gen_cfg_reserved_5d0.reserved(31 downto 24);</t>
  </si>
  <si>
    <t xml:space="preserve">  when (16#22F#) =&gt;</t>
  </si>
  <si>
    <t xml:space="preserve">      -- AEB General Configuration Area Register "RESERVED_5D4" : "RESERVED" Field</t>
  </si>
  <si>
    <t xml:space="preserve">      avalon_mm_rmap_o.readdata(7 downto 0) &lt;= rmap_registers_wr_i.aeb_gen_cfg_reserved_5d4.reserved(7 downto 0);</t>
  </si>
  <si>
    <t xml:space="preserve">      avalon_mm_rmap_o.readdata(15 downto 8) &lt;= rmap_registers_wr_i.aeb_gen_cfg_reserved_5d4.reserved(15 downto 8);</t>
  </si>
  <si>
    <t xml:space="preserve">      avalon_mm_rmap_o.readdata(23 downto 16) &lt;= rmap_registers_wr_i.aeb_gen_cfg_reserved_5d4.reserved(23 downto 16);</t>
  </si>
  <si>
    <t xml:space="preserve">      avalon_mm_rmap_o.readdata(31 downto 24) &lt;= rmap_registers_wr_i.aeb_gen_cfg_reserved_5d4.reserved(31 downto 24);</t>
  </si>
  <si>
    <t xml:space="preserve">  when (16#230#) =&gt;</t>
  </si>
  <si>
    <t xml:space="preserve">      -- AEB General Configuration Area Register "RESERVED_5D8" : "RESERVED" Field</t>
  </si>
  <si>
    <t xml:space="preserve">      avalon_mm_rmap_o.readdata(7 downto 0) &lt;= rmap_registers_wr_i.aeb_gen_cfg_reserved_5d8.reserved(7 downto 0);</t>
  </si>
  <si>
    <t xml:space="preserve">      avalon_mm_rmap_o.readdata(15 downto 8) &lt;= rmap_registers_wr_i.aeb_gen_cfg_reserved_5d8.reserved(15 downto 8);</t>
  </si>
  <si>
    <t xml:space="preserve">      avalon_mm_rmap_o.readdata(23 downto 16) &lt;= rmap_registers_wr_i.aeb_gen_cfg_reserved_5d8.reserved(23 downto 16);</t>
  </si>
  <si>
    <t xml:space="preserve">      avalon_mm_rmap_o.readdata(31 downto 24) &lt;= rmap_registers_wr_i.aeb_gen_cfg_reserved_5d8.reserved(31 downto 24);</t>
  </si>
  <si>
    <t xml:space="preserve">  when (16#231#) =&gt;</t>
  </si>
  <si>
    <t xml:space="preserve">      -- AEB General Configuration Area Register "RESERVED_5DC" : "RESERVED" Field</t>
  </si>
  <si>
    <t xml:space="preserve">      avalon_mm_rmap_o.readdata(7 downto 0) &lt;= rmap_registers_wr_i.aeb_gen_cfg_reserved_5dc.reserved(7 downto 0);</t>
  </si>
  <si>
    <t xml:space="preserve">      avalon_mm_rmap_o.readdata(15 downto 8) &lt;= rmap_registers_wr_i.aeb_gen_cfg_reserved_5dc.reserved(15 downto 8);</t>
  </si>
  <si>
    <t xml:space="preserve">      avalon_mm_rmap_o.readdata(23 downto 16) &lt;= rmap_registers_wr_i.aeb_gen_cfg_reserved_5dc.reserved(23 downto 16);</t>
  </si>
  <si>
    <t xml:space="preserve">      avalon_mm_rmap_o.readdata(31 downto 24) &lt;= rmap_registers_wr_i.aeb_gen_cfg_reserved_5dc.reserved(31 downto 24);</t>
  </si>
  <si>
    <t xml:space="preserve">  when (16#232#) =&gt;</t>
  </si>
  <si>
    <t xml:space="preserve">      -- AEB General Configuration Area Register "RESERVED_5E0" : "RESERVED" Field</t>
  </si>
  <si>
    <t xml:space="preserve">      avalon_mm_rmap_o.readdata(7 downto 0) &lt;= rmap_registers_wr_i.aeb_gen_cfg_reserved_5e0.reserved(7 downto 0);</t>
  </si>
  <si>
    <t xml:space="preserve">      avalon_mm_rmap_o.readdata(15 downto 8) &lt;= rmap_registers_wr_i.aeb_gen_cfg_reserved_5e0.reserved(15 downto 8);</t>
  </si>
  <si>
    <t xml:space="preserve">      avalon_mm_rmap_o.readdata(23 downto 16) &lt;= rmap_registers_wr_i.aeb_gen_cfg_reserved_5e0.reserved(23 downto 16);</t>
  </si>
  <si>
    <t xml:space="preserve">      avalon_mm_rmap_o.readdata(31 downto 24) &lt;= rmap_registers_wr_i.aeb_gen_cfg_reserved_5e0.reserved(31 downto 24);</t>
  </si>
  <si>
    <t xml:space="preserve">  when (16#233#) =&gt;</t>
  </si>
  <si>
    <t xml:space="preserve">      -- AEB General Configuration Area Register "RESERVED_5E4" : "RESERVED" Field</t>
  </si>
  <si>
    <t xml:space="preserve">      avalon_mm_rmap_o.readdata(7 downto 0) &lt;= rmap_registers_wr_i.aeb_gen_cfg_reserved_5e4.reserved(7 downto 0);</t>
  </si>
  <si>
    <t xml:space="preserve">      avalon_mm_rmap_o.readdata(15 downto 8) &lt;= rmap_registers_wr_i.aeb_gen_cfg_reserved_5e4.reserved(15 downto 8);</t>
  </si>
  <si>
    <t xml:space="preserve">      avalon_mm_rmap_o.readdata(23 downto 16) &lt;= rmap_registers_wr_i.aeb_gen_cfg_reserved_5e4.reserved(23 downto 16);</t>
  </si>
  <si>
    <t xml:space="preserve">      avalon_mm_rmap_o.readdata(31 downto 24) &lt;= rmap_registers_wr_i.aeb_gen_cfg_reserved_5e4.reserved(31 downto 24);</t>
  </si>
  <si>
    <t xml:space="preserve">  when (16#234#) =&gt;</t>
  </si>
  <si>
    <t xml:space="preserve">      -- AEB General Configuration Area Register "RESERVED_5E8" : "RESERVED" Field</t>
  </si>
  <si>
    <t xml:space="preserve">      avalon_mm_rmap_o.readdata(7 downto 0) &lt;= rmap_registers_wr_i.aeb_gen_cfg_reserved_5e8.reserved(7 downto 0);</t>
  </si>
  <si>
    <t xml:space="preserve">      avalon_mm_rmap_o.readdata(15 downto 8) &lt;= rmap_registers_wr_i.aeb_gen_cfg_reserved_5e8.reserved(15 downto 8);</t>
  </si>
  <si>
    <t xml:space="preserve">      avalon_mm_rmap_o.readdata(23 downto 16) &lt;= rmap_registers_wr_i.aeb_gen_cfg_reserved_5e8.reserved(23 downto 16);</t>
  </si>
  <si>
    <t xml:space="preserve">      avalon_mm_rmap_o.readdata(31 downto 24) &lt;= rmap_registers_wr_i.aeb_gen_cfg_reserved_5e8.reserved(31 downto 24);</t>
  </si>
  <si>
    <t xml:space="preserve">  when (16#235#) =&gt;</t>
  </si>
  <si>
    <t xml:space="preserve">      -- AEB General Configuration Area Register "RESERVED_5EC" : "RESERVED" Field</t>
  </si>
  <si>
    <t xml:space="preserve">      avalon_mm_rmap_o.readdata(7 downto 0) &lt;= rmap_registers_wr_i.aeb_gen_cfg_reserved_5ec.reserved(7 downto 0);</t>
  </si>
  <si>
    <t xml:space="preserve">      avalon_mm_rmap_o.readdata(15 downto 8) &lt;= rmap_registers_wr_i.aeb_gen_cfg_reserved_5ec.reserved(15 downto 8);</t>
  </si>
  <si>
    <t xml:space="preserve">      avalon_mm_rmap_o.readdata(23 downto 16) &lt;= rmap_registers_wr_i.aeb_gen_cfg_reserved_5ec.reserved(23 downto 16);</t>
  </si>
  <si>
    <t xml:space="preserve">      avalon_mm_rmap_o.readdata(31 downto 24) &lt;= rmap_registers_wr_i.aeb_gen_cfg_reserved_5ec.reserved(31 downto 24);</t>
  </si>
  <si>
    <t xml:space="preserve">  when (16#236#) =&gt;</t>
  </si>
  <si>
    <t xml:space="preserve">      -- AEB General Configuration Area Register "RESERVED_5F0" : "RESERVED" Field</t>
  </si>
  <si>
    <t xml:space="preserve">      avalon_mm_rmap_o.readdata(7 downto 0) &lt;= rmap_registers_wr_i.aeb_gen_cfg_reserved_5f0.reserved(7 downto 0);</t>
  </si>
  <si>
    <t xml:space="preserve">      avalon_mm_rmap_o.readdata(15 downto 8) &lt;= rmap_registers_wr_i.aeb_gen_cfg_reserved_5f0.reserved(15 downto 8);</t>
  </si>
  <si>
    <t xml:space="preserve">      avalon_mm_rmap_o.readdata(23 downto 16) &lt;= rmap_registers_wr_i.aeb_gen_cfg_reserved_5f0.reserved(23 downto 16);</t>
  </si>
  <si>
    <t xml:space="preserve">      avalon_mm_rmap_o.readdata(31 downto 24) &lt;= rmap_registers_wr_i.aeb_gen_cfg_reserved_5f0.reserved(31 downto 24);</t>
  </si>
  <si>
    <t xml:space="preserve">  when (16#237#) =&gt;</t>
  </si>
  <si>
    <t xml:space="preserve">      -- AEB General Configuration Area Register "RESERVED_5F4" : "RESERVED" Field</t>
  </si>
  <si>
    <t xml:space="preserve">      avalon_mm_rmap_o.readdata(7 downto 0) &lt;= rmap_registers_wr_i.aeb_gen_cfg_reserved_5f4.reserved(7 downto 0);</t>
  </si>
  <si>
    <t xml:space="preserve">      avalon_mm_rmap_o.readdata(15 downto 8) &lt;= rmap_registers_wr_i.aeb_gen_cfg_reserved_5f4.reserved(15 downto 8);</t>
  </si>
  <si>
    <t xml:space="preserve">      avalon_mm_rmap_o.readdata(23 downto 16) &lt;= rmap_registers_wr_i.aeb_gen_cfg_reserved_5f4.reserved(23 downto 16);</t>
  </si>
  <si>
    <t xml:space="preserve">      avalon_mm_rmap_o.readdata(31 downto 24) &lt;= rmap_registers_wr_i.aeb_gen_cfg_reserved_5f4.reserved(31 downto 24);</t>
  </si>
  <si>
    <t xml:space="preserve">  when (16#238#) =&gt;</t>
  </si>
  <si>
    <t xml:space="preserve">      -- AEB General Configuration Area Register "RESERVED_5F8" : "RESERVED" Field</t>
  </si>
  <si>
    <t xml:space="preserve">      avalon_mm_rmap_o.readdata(7 downto 0) &lt;= rmap_registers_wr_i.aeb_gen_cfg_reserved_5f8.reserved(7 downto 0);</t>
  </si>
  <si>
    <t xml:space="preserve">      avalon_mm_rmap_o.readdata(15 downto 8) &lt;= rmap_registers_wr_i.aeb_gen_cfg_reserved_5f8.reserved(15 downto 8);</t>
  </si>
  <si>
    <t xml:space="preserve">      avalon_mm_rmap_o.readdata(23 downto 16) &lt;= rmap_registers_wr_i.aeb_gen_cfg_reserved_5f8.reserved(23 downto 16);</t>
  </si>
  <si>
    <t xml:space="preserve">      avalon_mm_rmap_o.readdata(31 downto 24) &lt;= rmap_registers_wr_i.aeb_gen_cfg_reserved_5f8.reserved(31 downto 24);</t>
  </si>
  <si>
    <t xml:space="preserve">  when (16#239#) =&gt;</t>
  </si>
  <si>
    <t xml:space="preserve">      -- AEB General Configuration Area Register "RESERVED_5FC" : "RESERVED" Field</t>
  </si>
  <si>
    <t xml:space="preserve">      avalon_mm_rmap_o.readdata(7 downto 0) &lt;= rmap_registers_wr_i.aeb_gen_cfg_reserved_5fc.reserved(7 downto 0);</t>
  </si>
  <si>
    <t xml:space="preserve">      avalon_mm_rmap_o.readdata(15 downto 8) &lt;= rmap_registers_wr_i.aeb_gen_cfg_reserved_5fc.reserved(15 downto 8);</t>
  </si>
  <si>
    <t xml:space="preserve">      avalon_mm_rmap_o.readdata(23 downto 16) &lt;= rmap_registers_wr_i.aeb_gen_cfg_reserved_5fc.reserved(23 downto 16);</t>
  </si>
  <si>
    <t xml:space="preserve">      avalon_mm_rmap_o.readdata(31 downto 24) &lt;= rmap_registers_wr_i.aeb_gen_cfg_reserved_5fc.reserved(31 downto 24);</t>
  </si>
  <si>
    <t xml:space="preserve">  when (16#23A#) =&gt;</t>
  </si>
  <si>
    <t xml:space="preserve">      -- AEB General Configuration Area Register "RESERVED_600" : "RESERVED" Field</t>
  </si>
  <si>
    <t xml:space="preserve">      avalon_mm_rmap_o.readdata(7 downto 0) &lt;= rmap_registers_wr_i.aeb_gen_cfg_reserved_600.reserved(7 downto 0);</t>
  </si>
  <si>
    <t xml:space="preserve">      avalon_mm_rmap_o.readdata(15 downto 8) &lt;= rmap_registers_wr_i.aeb_gen_cfg_reserved_600.reserved(15 downto 8);</t>
  </si>
  <si>
    <t xml:space="preserve">      avalon_mm_rmap_o.readdata(23 downto 16) &lt;= rmap_registers_wr_i.aeb_gen_cfg_reserved_600.reserved(23 downto 16);</t>
  </si>
  <si>
    <t xml:space="preserve">      avalon_mm_rmap_o.readdata(31 downto 24) &lt;= rmap_registers_wr_i.aeb_gen_cfg_reserved_600.reserved(31 downto 24);</t>
  </si>
  <si>
    <t xml:space="preserve">  when (16#23B#) =&gt;</t>
  </si>
  <si>
    <t xml:space="preserve">      -- AEB General Configuration Area Register "RESERVED_604" : "RESERVED" Field</t>
  </si>
  <si>
    <t xml:space="preserve">      avalon_mm_rmap_o.readdata(7 downto 0) &lt;= rmap_registers_wr_i.aeb_gen_cfg_reserved_604.reserved(7 downto 0);</t>
  </si>
  <si>
    <t xml:space="preserve">      avalon_mm_rmap_o.readdata(15 downto 8) &lt;= rmap_registers_wr_i.aeb_gen_cfg_reserved_604.reserved(15 downto 8);</t>
  </si>
  <si>
    <t xml:space="preserve">      avalon_mm_rmap_o.readdata(23 downto 16) &lt;= rmap_registers_wr_i.aeb_gen_cfg_reserved_604.reserved(23 downto 16);</t>
  </si>
  <si>
    <t xml:space="preserve">      avalon_mm_rmap_o.readdata(31 downto 24) &lt;= rmap_registers_wr_i.aeb_gen_cfg_reserved_604.reserved(31 downto 24);</t>
  </si>
  <si>
    <t xml:space="preserve">  when (16#23C#) =&gt;</t>
  </si>
  <si>
    <t xml:space="preserve">      -- AEB General Configuration Area Register "RESERVED_608" : "RESERVED" Field</t>
  </si>
  <si>
    <t xml:space="preserve">      avalon_mm_rmap_o.readdata(7 downto 0) &lt;= rmap_registers_wr_i.aeb_gen_cfg_reserved_608.reserved(7 downto 0);</t>
  </si>
  <si>
    <t xml:space="preserve">      avalon_mm_rmap_o.readdata(15 downto 8) &lt;= rmap_registers_wr_i.aeb_gen_cfg_reserved_608.reserved(15 downto 8);</t>
  </si>
  <si>
    <t xml:space="preserve">      avalon_mm_rmap_o.readdata(23 downto 16) &lt;= rmap_registers_wr_i.aeb_gen_cfg_reserved_608.reserved(23 downto 16);</t>
  </si>
  <si>
    <t xml:space="preserve">      avalon_mm_rmap_o.readdata(31 downto 24) &lt;= rmap_registers_wr_i.aeb_gen_cfg_reserved_608.reserved(31 downto 24);</t>
  </si>
  <si>
    <t xml:space="preserve">  when (16#23D#) =&gt;</t>
  </si>
  <si>
    <t xml:space="preserve">      -- AEB General Configuration Area Register "RESERVED_60C" : "RESERVED" Field</t>
  </si>
  <si>
    <t xml:space="preserve">      avalon_mm_rmap_o.readdata(7 downto 0) &lt;= rmap_registers_wr_i.aeb_gen_cfg_reserved_60c.reserved(7 downto 0);</t>
  </si>
  <si>
    <t xml:space="preserve">      avalon_mm_rmap_o.readdata(15 downto 8) &lt;= rmap_registers_wr_i.aeb_gen_cfg_reserved_60c.reserved(15 downto 8);</t>
  </si>
  <si>
    <t xml:space="preserve">      avalon_mm_rmap_o.readdata(23 downto 16) &lt;= rmap_registers_wr_i.aeb_gen_cfg_reserved_60c.reserved(23 downto 16);</t>
  </si>
  <si>
    <t xml:space="preserve">      avalon_mm_rmap_o.readdata(31 downto 24) &lt;= rmap_registers_wr_i.aeb_gen_cfg_reserved_60c.reserved(31 downto 24);</t>
  </si>
  <si>
    <t xml:space="preserve">  when (16#23E#) =&gt;</t>
  </si>
  <si>
    <t xml:space="preserve">      -- AEB General Configuration Area Register "RESERVED_610" : "RESERVED" Field</t>
  </si>
  <si>
    <t xml:space="preserve">      avalon_mm_rmap_o.readdata(7 downto 0) &lt;= rmap_registers_wr_i.aeb_gen_cfg_reserved_610.reserved(7 downto 0);</t>
  </si>
  <si>
    <t xml:space="preserve">      avalon_mm_rmap_o.readdata(15 downto 8) &lt;= rmap_registers_wr_i.aeb_gen_cfg_reserved_610.reserved(15 downto 8);</t>
  </si>
  <si>
    <t xml:space="preserve">      avalon_mm_rmap_o.readdata(23 downto 16) &lt;= rmap_registers_wr_i.aeb_gen_cfg_reserved_610.reserved(23 downto 16);</t>
  </si>
  <si>
    <t xml:space="preserve">      avalon_mm_rmap_o.readdata(31 downto 24) &lt;= rmap_registers_wr_i.aeb_gen_cfg_reserved_610.reserved(31 downto 24);</t>
  </si>
  <si>
    <t xml:space="preserve">  when (16#23F#) =&gt;</t>
  </si>
  <si>
    <t xml:space="preserve">      -- AEB General Configuration Area Register "RESERVED_614" : "RESERVED" Field</t>
  </si>
  <si>
    <t xml:space="preserve">      avalon_mm_rmap_o.readdata(7 downto 0) &lt;= rmap_registers_wr_i.aeb_gen_cfg_reserved_614.reserved(7 downto 0);</t>
  </si>
  <si>
    <t xml:space="preserve">      avalon_mm_rmap_o.readdata(15 downto 8) &lt;= rmap_registers_wr_i.aeb_gen_cfg_reserved_614.reserved(15 downto 8);</t>
  </si>
  <si>
    <t xml:space="preserve">      avalon_mm_rmap_o.readdata(23 downto 16) &lt;= rmap_registers_wr_i.aeb_gen_cfg_reserved_614.reserved(23 downto 16);</t>
  </si>
  <si>
    <t xml:space="preserve">      avalon_mm_rmap_o.readdata(31 downto 24) &lt;= rmap_registers_wr_i.aeb_gen_cfg_reserved_614.reserved(31 downto 24);</t>
  </si>
  <si>
    <t xml:space="preserve">  when (16#240#) =&gt;</t>
  </si>
  <si>
    <t xml:space="preserve">      -- AEB General Configuration Area Register "RESERVED_618" : "RESERVED" Field</t>
  </si>
  <si>
    <t xml:space="preserve">      avalon_mm_rmap_o.readdata(7 downto 0) &lt;= rmap_registers_wr_i.aeb_gen_cfg_reserved_618.reserved(7 downto 0);</t>
  </si>
  <si>
    <t xml:space="preserve">      avalon_mm_rmap_o.readdata(15 downto 8) &lt;= rmap_registers_wr_i.aeb_gen_cfg_reserved_618.reserved(15 downto 8);</t>
  </si>
  <si>
    <t xml:space="preserve">      avalon_mm_rmap_o.readdata(23 downto 16) &lt;= rmap_registers_wr_i.aeb_gen_cfg_reserved_618.reserved(23 downto 16);</t>
  </si>
  <si>
    <t xml:space="preserve">      avalon_mm_rmap_o.readdata(31 downto 24) &lt;= rmap_registers_wr_i.aeb_gen_cfg_reserved_618.reserved(31 downto 24);</t>
  </si>
  <si>
    <t xml:space="preserve">  when (16#241#) =&gt;</t>
  </si>
  <si>
    <t xml:space="preserve">      -- AEB General Configuration Area Register "RESERVED_61C" : "RESERVED" Field</t>
  </si>
  <si>
    <t xml:space="preserve">      avalon_mm_rmap_o.readdata(7 downto 0) &lt;= rmap_registers_wr_i.aeb_gen_cfg_reserved_61c.reserved(7 downto 0);</t>
  </si>
  <si>
    <t xml:space="preserve">      avalon_mm_rmap_o.readdata(15 downto 8) &lt;= rmap_registers_wr_i.aeb_gen_cfg_reserved_61c.reserved(15 downto 8);</t>
  </si>
  <si>
    <t xml:space="preserve">      avalon_mm_rmap_o.readdata(23 downto 16) &lt;= rmap_registers_wr_i.aeb_gen_cfg_reserved_61c.reserved(23 downto 16);</t>
  </si>
  <si>
    <t xml:space="preserve">      avalon_mm_rmap_o.readdata(31 downto 24) &lt;= rmap_registers_wr_i.aeb_gen_cfg_reserved_61c.reserved(31 downto 24);</t>
  </si>
  <si>
    <t xml:space="preserve">  when (16#242#) =&gt;</t>
  </si>
  <si>
    <t xml:space="preserve">      -- AEB General Configuration Area Register "RESERVED_620" : "RESERVED" Field</t>
  </si>
  <si>
    <t xml:space="preserve">      avalon_mm_rmap_o.readdata(7 downto 0) &lt;= rmap_registers_wr_i.aeb_gen_cfg_reserved_620.reserved(7 downto 0);</t>
  </si>
  <si>
    <t xml:space="preserve">      avalon_mm_rmap_o.readdata(15 downto 8) &lt;= rmap_registers_wr_i.aeb_gen_cfg_reserved_620.reserved(15 downto 8);</t>
  </si>
  <si>
    <t xml:space="preserve">      avalon_mm_rmap_o.readdata(23 downto 16) &lt;= rmap_registers_wr_i.aeb_gen_cfg_reserved_620.reserved(23 downto 16);</t>
  </si>
  <si>
    <t xml:space="preserve">      avalon_mm_rmap_o.readdata(31 downto 24) &lt;= rmap_registers_wr_i.aeb_gen_cfg_reserved_620.reserved(31 downto 24);</t>
  </si>
  <si>
    <t xml:space="preserve">  when (16#243#) =&gt;</t>
  </si>
  <si>
    <t xml:space="preserve">      -- AEB General Configuration Area Register "RESERVED_624" : "RESERVED" Field</t>
  </si>
  <si>
    <t xml:space="preserve">      avalon_mm_rmap_o.readdata(7 downto 0) &lt;= rmap_registers_wr_i.aeb_gen_cfg_reserved_624.reserved(7 downto 0);</t>
  </si>
  <si>
    <t xml:space="preserve">      avalon_mm_rmap_o.readdata(15 downto 8) &lt;= rmap_registers_wr_i.aeb_gen_cfg_reserved_624.reserved(15 downto 8);</t>
  </si>
  <si>
    <t xml:space="preserve">      avalon_mm_rmap_o.readdata(23 downto 16) &lt;= rmap_registers_wr_i.aeb_gen_cfg_reserved_624.reserved(23 downto 16);</t>
  </si>
  <si>
    <t xml:space="preserve">      avalon_mm_rmap_o.readdata(31 downto 24) &lt;= rmap_registers_wr_i.aeb_gen_cfg_reserved_624.reserved(31 downto 24);</t>
  </si>
  <si>
    <t xml:space="preserve">  when (16#244#) =&gt;</t>
  </si>
  <si>
    <t xml:space="preserve">      -- AEB General Configuration Area Register "RESERVED_628" : "RESERVED" Field</t>
  </si>
  <si>
    <t xml:space="preserve">      avalon_mm_rmap_o.readdata(7 downto 0) &lt;= rmap_registers_wr_i.aeb_gen_cfg_reserved_628.reserved(7 downto 0);</t>
  </si>
  <si>
    <t xml:space="preserve">      avalon_mm_rmap_o.readdata(15 downto 8) &lt;= rmap_registers_wr_i.aeb_gen_cfg_reserved_628.reserved(15 downto 8);</t>
  </si>
  <si>
    <t xml:space="preserve">      avalon_mm_rmap_o.readdata(23 downto 16) &lt;= rmap_registers_wr_i.aeb_gen_cfg_reserved_628.reserved(23 downto 16);</t>
  </si>
  <si>
    <t xml:space="preserve">      avalon_mm_rmap_o.readdata(31 downto 24) &lt;= rmap_registers_wr_i.aeb_gen_cfg_reserved_628.reserved(31 downto 24);</t>
  </si>
  <si>
    <t xml:space="preserve">  when (16#245#) =&gt;</t>
  </si>
  <si>
    <t xml:space="preserve">      -- AEB General Configuration Area Register "RESERVED_62C" : "RESERVED" Field</t>
  </si>
  <si>
    <t xml:space="preserve">      avalon_mm_rmap_o.readdata(7 downto 0) &lt;= rmap_registers_wr_i.aeb_gen_cfg_reserved_62c.reserved(7 downto 0);</t>
  </si>
  <si>
    <t xml:space="preserve">      avalon_mm_rmap_o.readdata(15 downto 8) &lt;= rmap_registers_wr_i.aeb_gen_cfg_reserved_62c.reserved(15 downto 8);</t>
  </si>
  <si>
    <t xml:space="preserve">      avalon_mm_rmap_o.readdata(23 downto 16) &lt;= rmap_registers_wr_i.aeb_gen_cfg_reserved_62c.reserved(23 downto 16);</t>
  </si>
  <si>
    <t xml:space="preserve">      avalon_mm_rmap_o.readdata(31 downto 24) &lt;= rmap_registers_wr_i.aeb_gen_cfg_reserved_62c.reserved(31 downto 24);</t>
  </si>
  <si>
    <t xml:space="preserve">  when (16#246#) =&gt;</t>
  </si>
  <si>
    <t xml:space="preserve">      -- AEB General Configuration Area Register "RESERVED_630" : "RESERVED" Field</t>
  </si>
  <si>
    <t xml:space="preserve">      avalon_mm_rmap_o.readdata(7 downto 0) &lt;= rmap_registers_wr_i.aeb_gen_cfg_reserved_630.reserved(7 downto 0);</t>
  </si>
  <si>
    <t xml:space="preserve">      avalon_mm_rmap_o.readdata(15 downto 8) &lt;= rmap_registers_wr_i.aeb_gen_cfg_reserved_630.reserved(15 downto 8);</t>
  </si>
  <si>
    <t xml:space="preserve">      avalon_mm_rmap_o.readdata(23 downto 16) &lt;= rmap_registers_wr_i.aeb_gen_cfg_reserved_630.reserved(23 downto 16);</t>
  </si>
  <si>
    <t xml:space="preserve">      avalon_mm_rmap_o.readdata(31 downto 24) &lt;= rmap_registers_wr_i.aeb_gen_cfg_reserved_630.reserved(31 downto 24);</t>
  </si>
  <si>
    <t xml:space="preserve">  when (16#247#) =&gt;</t>
  </si>
  <si>
    <t xml:space="preserve">      -- AEB General Configuration Area Register "RESERVED_634" : "RESERVED" Field</t>
  </si>
  <si>
    <t xml:space="preserve">      avalon_mm_rmap_o.readdata(7 downto 0) &lt;= rmap_registers_wr_i.aeb_gen_cfg_reserved_634.reserved(7 downto 0);</t>
  </si>
  <si>
    <t xml:space="preserve">      avalon_mm_rmap_o.readdata(15 downto 8) &lt;= rmap_registers_wr_i.aeb_gen_cfg_reserved_634.reserved(15 downto 8);</t>
  </si>
  <si>
    <t xml:space="preserve">      avalon_mm_rmap_o.readdata(23 downto 16) &lt;= rmap_registers_wr_i.aeb_gen_cfg_reserved_634.reserved(23 downto 16);</t>
  </si>
  <si>
    <t xml:space="preserve">      avalon_mm_rmap_o.readdata(31 downto 24) &lt;= rmap_registers_wr_i.aeb_gen_cfg_reserved_634.reserved(31 downto 24);</t>
  </si>
  <si>
    <t xml:space="preserve">  when (16#248#) =&gt;</t>
  </si>
  <si>
    <t xml:space="preserve">      -- AEB General Configuration Area Register "RESERVED_638" : "RESERVED" Field</t>
  </si>
  <si>
    <t xml:space="preserve">      avalon_mm_rmap_o.readdata(7 downto 0) &lt;= rmap_registers_wr_i.aeb_gen_cfg_reserved_638.reserved(7 downto 0);</t>
  </si>
  <si>
    <t xml:space="preserve">      avalon_mm_rmap_o.readdata(15 downto 8) &lt;= rmap_registers_wr_i.aeb_gen_cfg_reserved_638.reserved(15 downto 8);</t>
  </si>
  <si>
    <t xml:space="preserve">      avalon_mm_rmap_o.readdata(23 downto 16) &lt;= rmap_registers_wr_i.aeb_gen_cfg_reserved_638.reserved(23 downto 16);</t>
  </si>
  <si>
    <t xml:space="preserve">      avalon_mm_rmap_o.readdata(31 downto 24) &lt;= rmap_registers_wr_i.aeb_gen_cfg_reserved_638.reserved(31 downto 24);</t>
  </si>
  <si>
    <t xml:space="preserve">  when (16#249#) =&gt;</t>
  </si>
  <si>
    <t xml:space="preserve">      -- AEB General Configuration Area Register "RESERVED_63C" : "RESERVED" Field</t>
  </si>
  <si>
    <t xml:space="preserve">      avalon_mm_rmap_o.readdata(7 downto 0) &lt;= rmap_registers_wr_i.aeb_gen_cfg_reserved_63c.reserved(7 downto 0);</t>
  </si>
  <si>
    <t xml:space="preserve">      avalon_mm_rmap_o.readdata(15 downto 8) &lt;= rmap_registers_wr_i.aeb_gen_cfg_reserved_63c.reserved(15 downto 8);</t>
  </si>
  <si>
    <t xml:space="preserve">      avalon_mm_rmap_o.readdata(23 downto 16) &lt;= rmap_registers_wr_i.aeb_gen_cfg_reserved_63c.reserved(23 downto 16);</t>
  </si>
  <si>
    <t xml:space="preserve">      avalon_mm_rmap_o.readdata(31 downto 24) &lt;= rmap_registers_wr_i.aeb_gen_cfg_reserved_63c.reserved(31 downto 24);</t>
  </si>
  <si>
    <t xml:space="preserve">  when (16#24A#) =&gt;</t>
  </si>
  <si>
    <t xml:space="preserve">      -- AEB General Configuration Area Register "RESERVED_640" : "RESERVED" Field</t>
  </si>
  <si>
    <t xml:space="preserve">      avalon_mm_rmap_o.readdata(7 downto 0) &lt;= rmap_registers_wr_i.aeb_gen_cfg_reserved_640.reserved(7 downto 0);</t>
  </si>
  <si>
    <t xml:space="preserve">      avalon_mm_rmap_o.readdata(15 downto 8) &lt;= rmap_registers_wr_i.aeb_gen_cfg_reserved_640.reserved(15 downto 8);</t>
  </si>
  <si>
    <t xml:space="preserve">      avalon_mm_rmap_o.readdata(23 downto 16) &lt;= rmap_registers_wr_i.aeb_gen_cfg_reserved_640.reserved(23 downto 16);</t>
  </si>
  <si>
    <t xml:space="preserve">      avalon_mm_rmap_o.readdata(31 downto 24) &lt;= rmap_registers_wr_i.aeb_gen_cfg_reserved_640.reserved(31 downto 24);</t>
  </si>
  <si>
    <t xml:space="preserve">  when (16#24B#) =&gt;</t>
  </si>
  <si>
    <t xml:space="preserve">      -- AEB General Configuration Area Register "RESERVED_644" : "RESERVED" Field</t>
  </si>
  <si>
    <t xml:space="preserve">      avalon_mm_rmap_o.readdata(7 downto 0) &lt;= rmap_registers_wr_i.aeb_gen_cfg_reserved_644.reserved(7 downto 0);</t>
  </si>
  <si>
    <t xml:space="preserve">      avalon_mm_rmap_o.readdata(15 downto 8) &lt;= rmap_registers_wr_i.aeb_gen_cfg_reserved_644.reserved(15 downto 8);</t>
  </si>
  <si>
    <t xml:space="preserve">      avalon_mm_rmap_o.readdata(23 downto 16) &lt;= rmap_registers_wr_i.aeb_gen_cfg_reserved_644.reserved(23 downto 16);</t>
  </si>
  <si>
    <t xml:space="preserve">      avalon_mm_rmap_o.readdata(31 downto 24) &lt;= rmap_registers_wr_i.aeb_gen_cfg_reserved_644.reserved(31 downto 24);</t>
  </si>
  <si>
    <t xml:space="preserve">  when (16#24C#) =&gt;</t>
  </si>
  <si>
    <t xml:space="preserve">      -- AEB General Configuration Area Register "RESERVED_648" : "RESERVED" Field</t>
  </si>
  <si>
    <t xml:space="preserve">      avalon_mm_rmap_o.readdata(7 downto 0) &lt;= rmap_registers_wr_i.aeb_gen_cfg_reserved_648.reserved(7 downto 0);</t>
  </si>
  <si>
    <t xml:space="preserve">      avalon_mm_rmap_o.readdata(15 downto 8) &lt;= rmap_registers_wr_i.aeb_gen_cfg_reserved_648.reserved(15 downto 8);</t>
  </si>
  <si>
    <t xml:space="preserve">      avalon_mm_rmap_o.readdata(23 downto 16) &lt;= rmap_registers_wr_i.aeb_gen_cfg_reserved_648.reserved(23 downto 16);</t>
  </si>
  <si>
    <t xml:space="preserve">      avalon_mm_rmap_o.readdata(31 downto 24) &lt;= rmap_registers_wr_i.aeb_gen_cfg_reserved_648.reserved(31 downto 24);</t>
  </si>
  <si>
    <t xml:space="preserve">  when (16#24D#) =&gt;</t>
  </si>
  <si>
    <t xml:space="preserve">      -- AEB General Configuration Area Register "RESERVED_64C" : "RESERVED" Field</t>
  </si>
  <si>
    <t xml:space="preserve">      avalon_mm_rmap_o.readdata(7 downto 0) &lt;= rmap_registers_wr_i.aeb_gen_cfg_reserved_64c.reserved(7 downto 0);</t>
  </si>
  <si>
    <t xml:space="preserve">      avalon_mm_rmap_o.readdata(15 downto 8) &lt;= rmap_registers_wr_i.aeb_gen_cfg_reserved_64c.reserved(15 downto 8);</t>
  </si>
  <si>
    <t xml:space="preserve">      avalon_mm_rmap_o.readdata(23 downto 16) &lt;= rmap_registers_wr_i.aeb_gen_cfg_reserved_64c.reserved(23 downto 16);</t>
  </si>
  <si>
    <t xml:space="preserve">      avalon_mm_rmap_o.readdata(31 downto 24) &lt;= rmap_registers_wr_i.aeb_gen_cfg_reserved_64c.reserved(31 downto 24);</t>
  </si>
  <si>
    <t xml:space="preserve">  when (16#24E#) =&gt;</t>
  </si>
  <si>
    <t xml:space="preserve">      -- AEB General Configuration Area Register "RESERVED_650" : "RESERVED" Field</t>
  </si>
  <si>
    <t xml:space="preserve">      avalon_mm_rmap_o.readdata(7 downto 0) &lt;= rmap_registers_wr_i.aeb_gen_cfg_reserved_650.reserved(7 downto 0);</t>
  </si>
  <si>
    <t xml:space="preserve">      avalon_mm_rmap_o.readdata(15 downto 8) &lt;= rmap_registers_wr_i.aeb_gen_cfg_reserved_650.reserved(15 downto 8);</t>
  </si>
  <si>
    <t xml:space="preserve">      avalon_mm_rmap_o.readdata(23 downto 16) &lt;= rmap_registers_wr_i.aeb_gen_cfg_reserved_650.reserved(23 downto 16);</t>
  </si>
  <si>
    <t xml:space="preserve">      avalon_mm_rmap_o.readdata(31 downto 24) &lt;= rmap_registers_wr_i.aeb_gen_cfg_reserved_650.reserved(31 downto 24);</t>
  </si>
  <si>
    <t xml:space="preserve">  when (16#24F#) =&gt;</t>
  </si>
  <si>
    <t xml:space="preserve">      -- AEB General Configuration Area Register "RESERVED_654" : "RESERVED" Field</t>
  </si>
  <si>
    <t xml:space="preserve">      avalon_mm_rmap_o.readdata(7 downto 0) &lt;= rmap_registers_wr_i.aeb_gen_cfg_reserved_654.reserved(7 downto 0);</t>
  </si>
  <si>
    <t xml:space="preserve">      avalon_mm_rmap_o.readdata(15 downto 8) &lt;= rmap_registers_wr_i.aeb_gen_cfg_reserved_654.reserved(15 downto 8);</t>
  </si>
  <si>
    <t xml:space="preserve">      avalon_mm_rmap_o.readdata(23 downto 16) &lt;= rmap_registers_wr_i.aeb_gen_cfg_reserved_654.reserved(23 downto 16);</t>
  </si>
  <si>
    <t xml:space="preserve">      avalon_mm_rmap_o.readdata(31 downto 24) &lt;= rmap_registers_wr_i.aeb_gen_cfg_reserved_654.reserved(31 downto 24);</t>
  </si>
  <si>
    <t xml:space="preserve">  when (16#250#) =&gt;</t>
  </si>
  <si>
    <t xml:space="preserve">      -- AEB General Configuration Area Register "RESERVED_658" : "RESERVED" Field</t>
  </si>
  <si>
    <t xml:space="preserve">      avalon_mm_rmap_o.readdata(7 downto 0) &lt;= rmap_registers_wr_i.aeb_gen_cfg_reserved_658.reserved(7 downto 0);</t>
  </si>
  <si>
    <t xml:space="preserve">      avalon_mm_rmap_o.readdata(15 downto 8) &lt;= rmap_registers_wr_i.aeb_gen_cfg_reserved_658.reserved(15 downto 8);</t>
  </si>
  <si>
    <t xml:space="preserve">      avalon_mm_rmap_o.readdata(23 downto 16) &lt;= rmap_registers_wr_i.aeb_gen_cfg_reserved_658.reserved(23 downto 16);</t>
  </si>
  <si>
    <t xml:space="preserve">      avalon_mm_rmap_o.readdata(31 downto 24) &lt;= rmap_registers_wr_i.aeb_gen_cfg_reserved_658.reserved(31 downto 24);</t>
  </si>
  <si>
    <t xml:space="preserve">  when (16#251#) =&gt;</t>
  </si>
  <si>
    <t xml:space="preserve">      -- AEB General Configuration Area Register "RESERVED_65C" : "RESERVED" Field</t>
  </si>
  <si>
    <t xml:space="preserve">      avalon_mm_rmap_o.readdata(7 downto 0) &lt;= rmap_registers_wr_i.aeb_gen_cfg_reserved_65c.reserved(7 downto 0);</t>
  </si>
  <si>
    <t xml:space="preserve">      avalon_mm_rmap_o.readdata(15 downto 8) &lt;= rmap_registers_wr_i.aeb_gen_cfg_reserved_65c.reserved(15 downto 8);</t>
  </si>
  <si>
    <t xml:space="preserve">      avalon_mm_rmap_o.readdata(23 downto 16) &lt;= rmap_registers_wr_i.aeb_gen_cfg_reserved_65c.reserved(23 downto 16);</t>
  </si>
  <si>
    <t xml:space="preserve">      avalon_mm_rmap_o.readdata(31 downto 24) &lt;= rmap_registers_wr_i.aeb_gen_cfg_reserved_65c.reserved(31 downto 24);</t>
  </si>
  <si>
    <t xml:space="preserve">  when (16#252#) =&gt;</t>
  </si>
  <si>
    <t xml:space="preserve">      -- AEB General Configuration Area Register "RESERVED_660" : "RESERVED" Field</t>
  </si>
  <si>
    <t xml:space="preserve">      avalon_mm_rmap_o.readdata(7 downto 0) &lt;= rmap_registers_wr_i.aeb_gen_cfg_reserved_660.reserved(7 downto 0);</t>
  </si>
  <si>
    <t xml:space="preserve">      avalon_mm_rmap_o.readdata(15 downto 8) &lt;= rmap_registers_wr_i.aeb_gen_cfg_reserved_660.reserved(15 downto 8);</t>
  </si>
  <si>
    <t xml:space="preserve">      avalon_mm_rmap_o.readdata(23 downto 16) &lt;= rmap_registers_wr_i.aeb_gen_cfg_reserved_660.reserved(23 downto 16);</t>
  </si>
  <si>
    <t xml:space="preserve">      avalon_mm_rmap_o.readdata(31 downto 24) &lt;= rmap_registers_wr_i.aeb_gen_cfg_reserved_660.reserved(31 downto 24);</t>
  </si>
  <si>
    <t xml:space="preserve">  when (16#253#) =&gt;</t>
  </si>
  <si>
    <t xml:space="preserve">      -- AEB General Configuration Area Register "RESERVED_664" : "RESERVED" Field</t>
  </si>
  <si>
    <t xml:space="preserve">      avalon_mm_rmap_o.readdata(7 downto 0) &lt;= rmap_registers_wr_i.aeb_gen_cfg_reserved_664.reserved(7 downto 0);</t>
  </si>
  <si>
    <t xml:space="preserve">      avalon_mm_rmap_o.readdata(15 downto 8) &lt;= rmap_registers_wr_i.aeb_gen_cfg_reserved_664.reserved(15 downto 8);</t>
  </si>
  <si>
    <t xml:space="preserve">      avalon_mm_rmap_o.readdata(23 downto 16) &lt;= rmap_registers_wr_i.aeb_gen_cfg_reserved_664.reserved(23 downto 16);</t>
  </si>
  <si>
    <t xml:space="preserve">      avalon_mm_rmap_o.readdata(31 downto 24) &lt;= rmap_registers_wr_i.aeb_gen_cfg_reserved_664.reserved(31 downto 24);</t>
  </si>
  <si>
    <t xml:space="preserve">  when (16#254#) =&gt;</t>
  </si>
  <si>
    <t xml:space="preserve">      -- AEB General Configuration Area Register "RESERVED_668" : "RESERVED" Field</t>
  </si>
  <si>
    <t xml:space="preserve">      avalon_mm_rmap_o.readdata(7 downto 0) &lt;= rmap_registers_wr_i.aeb_gen_cfg_reserved_668.reserved(7 downto 0);</t>
  </si>
  <si>
    <t xml:space="preserve">      avalon_mm_rmap_o.readdata(15 downto 8) &lt;= rmap_registers_wr_i.aeb_gen_cfg_reserved_668.reserved(15 downto 8);</t>
  </si>
  <si>
    <t xml:space="preserve">      avalon_mm_rmap_o.readdata(23 downto 16) &lt;= rmap_registers_wr_i.aeb_gen_cfg_reserved_668.reserved(23 downto 16);</t>
  </si>
  <si>
    <t xml:space="preserve">      avalon_mm_rmap_o.readdata(31 downto 24) &lt;= rmap_registers_wr_i.aeb_gen_cfg_reserved_668.reserved(31 downto 24);</t>
  </si>
  <si>
    <t xml:space="preserve">  when (16#255#) =&gt;</t>
  </si>
  <si>
    <t xml:space="preserve">      -- AEB General Configuration Area Register "RESERVED_66C" : "RESERVED" Field</t>
  </si>
  <si>
    <t xml:space="preserve">      avalon_mm_rmap_o.readdata(7 downto 0) &lt;= rmap_registers_wr_i.aeb_gen_cfg_reserved_66c.reserved(7 downto 0);</t>
  </si>
  <si>
    <t xml:space="preserve">      avalon_mm_rmap_o.readdata(15 downto 8) &lt;= rmap_registers_wr_i.aeb_gen_cfg_reserved_66c.reserved(15 downto 8);</t>
  </si>
  <si>
    <t xml:space="preserve">      avalon_mm_rmap_o.readdata(23 downto 16) &lt;= rmap_registers_wr_i.aeb_gen_cfg_reserved_66c.reserved(23 downto 16);</t>
  </si>
  <si>
    <t xml:space="preserve">      avalon_mm_rmap_o.readdata(31 downto 24) &lt;= rmap_registers_wr_i.aeb_gen_cfg_reserved_66c.reserved(31 downto 24);</t>
  </si>
  <si>
    <t xml:space="preserve">  when (16#256#) =&gt;</t>
  </si>
  <si>
    <t xml:space="preserve">      -- AEB General Configuration Area Register "RESERVED_670" : "RESERVED" Field</t>
  </si>
  <si>
    <t xml:space="preserve">      avalon_mm_rmap_o.readdata(7 downto 0) &lt;= rmap_registers_wr_i.aeb_gen_cfg_reserved_670.reserved(7 downto 0);</t>
  </si>
  <si>
    <t xml:space="preserve">      avalon_mm_rmap_o.readdata(15 downto 8) &lt;= rmap_registers_wr_i.aeb_gen_cfg_reserved_670.reserved(15 downto 8);</t>
  </si>
  <si>
    <t xml:space="preserve">      avalon_mm_rmap_o.readdata(23 downto 16) &lt;= rmap_registers_wr_i.aeb_gen_cfg_reserved_670.reserved(23 downto 16);</t>
  </si>
  <si>
    <t xml:space="preserve">      avalon_mm_rmap_o.readdata(31 downto 24) &lt;= rmap_registers_wr_i.aeb_gen_cfg_reserved_670.reserved(31 downto 24);</t>
  </si>
  <si>
    <t xml:space="preserve">  when (16#257#) =&gt;</t>
  </si>
  <si>
    <t xml:space="preserve">      -- AEB General Configuration Area Register "RESERVED_674" : "RESERVED" Field</t>
  </si>
  <si>
    <t xml:space="preserve">      avalon_mm_rmap_o.readdata(7 downto 0) &lt;= rmap_registers_wr_i.aeb_gen_cfg_reserved_674.reserved(7 downto 0);</t>
  </si>
  <si>
    <t xml:space="preserve">      avalon_mm_rmap_o.readdata(15 downto 8) &lt;= rmap_registers_wr_i.aeb_gen_cfg_reserved_674.reserved(15 downto 8);</t>
  </si>
  <si>
    <t xml:space="preserve">      avalon_mm_rmap_o.readdata(23 downto 16) &lt;= rmap_registers_wr_i.aeb_gen_cfg_reserved_674.reserved(23 downto 16);</t>
  </si>
  <si>
    <t xml:space="preserve">      avalon_mm_rmap_o.readdata(31 downto 24) &lt;= rmap_registers_wr_i.aeb_gen_cfg_reserved_674.reserved(31 downto 24);</t>
  </si>
  <si>
    <t xml:space="preserve">  when (16#258#) =&gt;</t>
  </si>
  <si>
    <t xml:space="preserve">      -- AEB General Configuration Area Register "RESERVED_678" : "RESERVED" Field</t>
  </si>
  <si>
    <t xml:space="preserve">      avalon_mm_rmap_o.readdata(7 downto 0) &lt;= rmap_registers_wr_i.aeb_gen_cfg_reserved_678.reserved(7 downto 0);</t>
  </si>
  <si>
    <t xml:space="preserve">      avalon_mm_rmap_o.readdata(15 downto 8) &lt;= rmap_registers_wr_i.aeb_gen_cfg_reserved_678.reserved(15 downto 8);</t>
  </si>
  <si>
    <t xml:space="preserve">      avalon_mm_rmap_o.readdata(23 downto 16) &lt;= rmap_registers_wr_i.aeb_gen_cfg_reserved_678.reserved(23 downto 16);</t>
  </si>
  <si>
    <t xml:space="preserve">      avalon_mm_rmap_o.readdata(31 downto 24) &lt;= rmap_registers_wr_i.aeb_gen_cfg_reserved_678.reserved(31 downto 24);</t>
  </si>
  <si>
    <t xml:space="preserve">  when (16#259#) =&gt;</t>
  </si>
  <si>
    <t xml:space="preserve">      -- AEB General Configuration Area Register "RESERVED_67C" : "RESERVED" Field</t>
  </si>
  <si>
    <t xml:space="preserve">      avalon_mm_rmap_o.readdata(7 downto 0) &lt;= rmap_registers_wr_i.aeb_gen_cfg_reserved_67c.reserved(7 downto 0);</t>
  </si>
  <si>
    <t xml:space="preserve">      avalon_mm_rmap_o.readdata(15 downto 8) &lt;= rmap_registers_wr_i.aeb_gen_cfg_reserved_67c.reserved(15 downto 8);</t>
  </si>
  <si>
    <t xml:space="preserve">      avalon_mm_rmap_o.readdata(23 downto 16) &lt;= rmap_registers_wr_i.aeb_gen_cfg_reserved_67c.reserved(23 downto 16);</t>
  </si>
  <si>
    <t xml:space="preserve">      avalon_mm_rmap_o.readdata(31 downto 24) &lt;= rmap_registers_wr_i.aeb_gen_cfg_reserved_67c.reserved(31 downto 24);</t>
  </si>
  <si>
    <t xml:space="preserve">  when (16#25A#) =&gt;</t>
  </si>
  <si>
    <t xml:space="preserve">      -- AEB General Configuration Area Register "RESERVED_680" : "RESERVED" Field</t>
  </si>
  <si>
    <t xml:space="preserve">      avalon_mm_rmap_o.readdata(7 downto 0) &lt;= rmap_registers_wr_i.aeb_gen_cfg_reserved_680.reserved(7 downto 0);</t>
  </si>
  <si>
    <t xml:space="preserve">      avalon_mm_rmap_o.readdata(15 downto 8) &lt;= rmap_registers_wr_i.aeb_gen_cfg_reserved_680.reserved(15 downto 8);</t>
  </si>
  <si>
    <t xml:space="preserve">      avalon_mm_rmap_o.readdata(23 downto 16) &lt;= rmap_registers_wr_i.aeb_gen_cfg_reserved_680.reserved(23 downto 16);</t>
  </si>
  <si>
    <t xml:space="preserve">      avalon_mm_rmap_o.readdata(31 downto 24) &lt;= rmap_registers_wr_i.aeb_gen_cfg_reserved_680.reserved(31 downto 24);</t>
  </si>
  <si>
    <t xml:space="preserve">  when (16#25B#) =&gt;</t>
  </si>
  <si>
    <t xml:space="preserve">      -- AEB General Configuration Area Register "RESERVED_684" : "RESERVED" Field</t>
  </si>
  <si>
    <t xml:space="preserve">      avalon_mm_rmap_o.readdata(7 downto 0) &lt;= rmap_registers_wr_i.aeb_gen_cfg_reserved_684.reserved(7 downto 0);</t>
  </si>
  <si>
    <t xml:space="preserve">      avalon_mm_rmap_o.readdata(15 downto 8) &lt;= rmap_registers_wr_i.aeb_gen_cfg_reserved_684.reserved(15 downto 8);</t>
  </si>
  <si>
    <t xml:space="preserve">      avalon_mm_rmap_o.readdata(23 downto 16) &lt;= rmap_registers_wr_i.aeb_gen_cfg_reserved_684.reserved(23 downto 16);</t>
  </si>
  <si>
    <t xml:space="preserve">      avalon_mm_rmap_o.readdata(31 downto 24) &lt;= rmap_registers_wr_i.aeb_gen_cfg_reserved_684.reserved(31 downto 24);</t>
  </si>
  <si>
    <t xml:space="preserve">  when (16#25C#) =&gt;</t>
  </si>
  <si>
    <t xml:space="preserve">      -- AEB General Configuration Area Register "RESERVED_688" : "RESERVED" Field</t>
  </si>
  <si>
    <t xml:space="preserve">      avalon_mm_rmap_o.readdata(7 downto 0) &lt;= rmap_registers_wr_i.aeb_gen_cfg_reserved_688.reserved(7 downto 0);</t>
  </si>
  <si>
    <t xml:space="preserve">      avalon_mm_rmap_o.readdata(15 downto 8) &lt;= rmap_registers_wr_i.aeb_gen_cfg_reserved_688.reserved(15 downto 8);</t>
  </si>
  <si>
    <t xml:space="preserve">      avalon_mm_rmap_o.readdata(23 downto 16) &lt;= rmap_registers_wr_i.aeb_gen_cfg_reserved_688.reserved(23 downto 16);</t>
  </si>
  <si>
    <t xml:space="preserve">      avalon_mm_rmap_o.readdata(31 downto 24) &lt;= rmap_registers_wr_i.aeb_gen_cfg_reserved_688.reserved(31 downto 24);</t>
  </si>
  <si>
    <t xml:space="preserve">  when (16#25D#) =&gt;</t>
  </si>
  <si>
    <t xml:space="preserve">      -- AEB General Configuration Area Register "RESERVED_68C" : "RESERVED" Field</t>
  </si>
  <si>
    <t xml:space="preserve">      avalon_mm_rmap_o.readdata(7 downto 0) &lt;= rmap_registers_wr_i.aeb_gen_cfg_reserved_68c.reserved(7 downto 0);</t>
  </si>
  <si>
    <t xml:space="preserve">      avalon_mm_rmap_o.readdata(15 downto 8) &lt;= rmap_registers_wr_i.aeb_gen_cfg_reserved_68c.reserved(15 downto 8);</t>
  </si>
  <si>
    <t xml:space="preserve">      avalon_mm_rmap_o.readdata(23 downto 16) &lt;= rmap_registers_wr_i.aeb_gen_cfg_reserved_68c.reserved(23 downto 16);</t>
  </si>
  <si>
    <t xml:space="preserve">      avalon_mm_rmap_o.readdata(31 downto 24) &lt;= rmap_registers_wr_i.aeb_gen_cfg_reserved_68c.reserved(31 downto 24);</t>
  </si>
  <si>
    <t xml:space="preserve">  when (16#25E#) =&gt;</t>
  </si>
  <si>
    <t xml:space="preserve">      -- AEB General Configuration Area Register "RESERVED_690" : "RESERVED" Field</t>
  </si>
  <si>
    <t xml:space="preserve">      avalon_mm_rmap_o.readdata(7 downto 0) &lt;= rmap_registers_wr_i.aeb_gen_cfg_reserved_690.reserved(7 downto 0);</t>
  </si>
  <si>
    <t xml:space="preserve">      avalon_mm_rmap_o.readdata(15 downto 8) &lt;= rmap_registers_wr_i.aeb_gen_cfg_reserved_690.reserved(15 downto 8);</t>
  </si>
  <si>
    <t xml:space="preserve">      avalon_mm_rmap_o.readdata(23 downto 16) &lt;= rmap_registers_wr_i.aeb_gen_cfg_reserved_690.reserved(23 downto 16);</t>
  </si>
  <si>
    <t xml:space="preserve">      avalon_mm_rmap_o.readdata(31 downto 24) &lt;= rmap_registers_wr_i.aeb_gen_cfg_reserved_690.reserved(31 downto 24);</t>
  </si>
  <si>
    <t xml:space="preserve">  when (16#25F#) =&gt;</t>
  </si>
  <si>
    <t xml:space="preserve">      -- AEB General Configuration Area Register "RESERVED_694" : "RESERVED" Field</t>
  </si>
  <si>
    <t xml:space="preserve">      avalon_mm_rmap_o.readdata(7 downto 0) &lt;= rmap_registers_wr_i.aeb_gen_cfg_reserved_694.reserved(7 downto 0);</t>
  </si>
  <si>
    <t xml:space="preserve">      avalon_mm_rmap_o.readdata(15 downto 8) &lt;= rmap_registers_wr_i.aeb_gen_cfg_reserved_694.reserved(15 downto 8);</t>
  </si>
  <si>
    <t xml:space="preserve">      avalon_mm_rmap_o.readdata(23 downto 16) &lt;= rmap_registers_wr_i.aeb_gen_cfg_reserved_694.reserved(23 downto 16);</t>
  </si>
  <si>
    <t xml:space="preserve">      avalon_mm_rmap_o.readdata(31 downto 24) &lt;= rmap_registers_wr_i.aeb_gen_cfg_reserved_694.reserved(31 downto 24);</t>
  </si>
  <si>
    <t xml:space="preserve">  when (16#260#) =&gt;</t>
  </si>
  <si>
    <t xml:space="preserve">      -- AEB General Configuration Area Register "RESERVED_698" : "RESERVED" Field</t>
  </si>
  <si>
    <t xml:space="preserve">      avalon_mm_rmap_o.readdata(7 downto 0) &lt;= rmap_registers_wr_i.aeb_gen_cfg_reserved_698.reserved(7 downto 0);</t>
  </si>
  <si>
    <t xml:space="preserve">      avalon_mm_rmap_o.readdata(15 downto 8) &lt;= rmap_registers_wr_i.aeb_gen_cfg_reserved_698.reserved(15 downto 8);</t>
  </si>
  <si>
    <t xml:space="preserve">      avalon_mm_rmap_o.readdata(23 downto 16) &lt;= rmap_registers_wr_i.aeb_gen_cfg_reserved_698.reserved(23 downto 16);</t>
  </si>
  <si>
    <t xml:space="preserve">      avalon_mm_rmap_o.readdata(31 downto 24) &lt;= rmap_registers_wr_i.aeb_gen_cfg_reserved_698.reserved(31 downto 24);</t>
  </si>
  <si>
    <t xml:space="preserve">  when (16#261#) =&gt;</t>
  </si>
  <si>
    <t xml:space="preserve">      -- AEB General Configuration Area Register "RESERVED_69C" : "RESERVED" Field</t>
  </si>
  <si>
    <t xml:space="preserve">      avalon_mm_rmap_o.readdata(7 downto 0) &lt;= rmap_registers_wr_i.aeb_gen_cfg_reserved_69c.reserved(7 downto 0);</t>
  </si>
  <si>
    <t xml:space="preserve">      avalon_mm_rmap_o.readdata(15 downto 8) &lt;= rmap_registers_wr_i.aeb_gen_cfg_reserved_69c.reserved(15 downto 8);</t>
  </si>
  <si>
    <t xml:space="preserve">      avalon_mm_rmap_o.readdata(23 downto 16) &lt;= rmap_registers_wr_i.aeb_gen_cfg_reserved_69c.reserved(23 downto 16);</t>
  </si>
  <si>
    <t xml:space="preserve">      avalon_mm_rmap_o.readdata(31 downto 24) &lt;= rmap_registers_wr_i.aeb_gen_cfg_reserved_69c.reserved(31 downto 24);</t>
  </si>
  <si>
    <t xml:space="preserve">  when (16#262#) =&gt;</t>
  </si>
  <si>
    <t xml:space="preserve">      -- AEB General Configuration Area Register "RESERVED_6A0" : "RESERVED" Field</t>
  </si>
  <si>
    <t xml:space="preserve">      avalon_mm_rmap_o.readdata(7 downto 0) &lt;= rmap_registers_wr_i.aeb_gen_cfg_reserved_6a0.reserved(7 downto 0);</t>
  </si>
  <si>
    <t xml:space="preserve">      avalon_mm_rmap_o.readdata(15 downto 8) &lt;= rmap_registers_wr_i.aeb_gen_cfg_reserved_6a0.reserved(15 downto 8);</t>
  </si>
  <si>
    <t xml:space="preserve">      avalon_mm_rmap_o.readdata(23 downto 16) &lt;= rmap_registers_wr_i.aeb_gen_cfg_reserved_6a0.reserved(23 downto 16);</t>
  </si>
  <si>
    <t xml:space="preserve">      avalon_mm_rmap_o.readdata(31 downto 24) &lt;= rmap_registers_wr_i.aeb_gen_cfg_reserved_6a0.reserved(31 downto 24);</t>
  </si>
  <si>
    <t xml:space="preserve">  when (16#263#) =&gt;</t>
  </si>
  <si>
    <t xml:space="preserve">      -- AEB General Configuration Area Register "RESERVED_6A4" : "RESERVED" Field</t>
  </si>
  <si>
    <t xml:space="preserve">      avalon_mm_rmap_o.readdata(7 downto 0) &lt;= rmap_registers_wr_i.aeb_gen_cfg_reserved_6a4.reserved(7 downto 0);</t>
  </si>
  <si>
    <t xml:space="preserve">      avalon_mm_rmap_o.readdata(15 downto 8) &lt;= rmap_registers_wr_i.aeb_gen_cfg_reserved_6a4.reserved(15 downto 8);</t>
  </si>
  <si>
    <t xml:space="preserve">      avalon_mm_rmap_o.readdata(23 downto 16) &lt;= rmap_registers_wr_i.aeb_gen_cfg_reserved_6a4.reserved(23 downto 16);</t>
  </si>
  <si>
    <t xml:space="preserve">      avalon_mm_rmap_o.readdata(31 downto 24) &lt;= rmap_registers_wr_i.aeb_gen_cfg_reserved_6a4.reserved(31 downto 24);</t>
  </si>
  <si>
    <t xml:space="preserve">  when (16#264#) =&gt;</t>
  </si>
  <si>
    <t xml:space="preserve">      -- AEB General Configuration Area Register "RESERVED_6A8" : "RESERVED" Field</t>
  </si>
  <si>
    <t xml:space="preserve">      avalon_mm_rmap_o.readdata(7 downto 0) &lt;= rmap_registers_wr_i.aeb_gen_cfg_reserved_6a8.reserved(7 downto 0);</t>
  </si>
  <si>
    <t xml:space="preserve">      avalon_mm_rmap_o.readdata(15 downto 8) &lt;= rmap_registers_wr_i.aeb_gen_cfg_reserved_6a8.reserved(15 downto 8);</t>
  </si>
  <si>
    <t xml:space="preserve">      avalon_mm_rmap_o.readdata(23 downto 16) &lt;= rmap_registers_wr_i.aeb_gen_cfg_reserved_6a8.reserved(23 downto 16);</t>
  </si>
  <si>
    <t xml:space="preserve">      avalon_mm_rmap_o.readdata(31 downto 24) &lt;= rmap_registers_wr_i.aeb_gen_cfg_reserved_6a8.reserved(31 downto 24);</t>
  </si>
  <si>
    <t xml:space="preserve">  when (16#265#) =&gt;</t>
  </si>
  <si>
    <t xml:space="preserve">      -- AEB General Configuration Area Register "RESERVED_6AC" : "RESERVED" Field</t>
  </si>
  <si>
    <t xml:space="preserve">      avalon_mm_rmap_o.readdata(7 downto 0) &lt;= rmap_registers_wr_i.aeb_gen_cfg_reserved_6ac.reserved(7 downto 0);</t>
  </si>
  <si>
    <t xml:space="preserve">      avalon_mm_rmap_o.readdata(15 downto 8) &lt;= rmap_registers_wr_i.aeb_gen_cfg_reserved_6ac.reserved(15 downto 8);</t>
  </si>
  <si>
    <t xml:space="preserve">      avalon_mm_rmap_o.readdata(23 downto 16) &lt;= rmap_registers_wr_i.aeb_gen_cfg_reserved_6ac.reserved(23 downto 16);</t>
  </si>
  <si>
    <t xml:space="preserve">      avalon_mm_rmap_o.readdata(31 downto 24) &lt;= rmap_registers_wr_i.aeb_gen_cfg_reserved_6ac.reserved(31 downto 24);</t>
  </si>
  <si>
    <t xml:space="preserve">  when (16#266#) =&gt;</t>
  </si>
  <si>
    <t xml:space="preserve">      -- AEB General Configuration Area Register "RESERVED_6B0" : "RESERVED" Field</t>
  </si>
  <si>
    <t xml:space="preserve">      avalon_mm_rmap_o.readdata(7 downto 0) &lt;= rmap_registers_wr_i.aeb_gen_cfg_reserved_6b0.reserved(7 downto 0);</t>
  </si>
  <si>
    <t xml:space="preserve">      avalon_mm_rmap_o.readdata(15 downto 8) &lt;= rmap_registers_wr_i.aeb_gen_cfg_reserved_6b0.reserved(15 downto 8);</t>
  </si>
  <si>
    <t xml:space="preserve">      avalon_mm_rmap_o.readdata(23 downto 16) &lt;= rmap_registers_wr_i.aeb_gen_cfg_reserved_6b0.reserved(23 downto 16);</t>
  </si>
  <si>
    <t xml:space="preserve">      avalon_mm_rmap_o.readdata(31 downto 24) &lt;= rmap_registers_wr_i.aeb_gen_cfg_reserved_6b0.reserved(31 downto 24);</t>
  </si>
  <si>
    <t xml:space="preserve">  when (16#267#) =&gt;</t>
  </si>
  <si>
    <t xml:space="preserve">      -- AEB General Configuration Area Register "RESERVED_6B4" : "RESERVED" Field</t>
  </si>
  <si>
    <t xml:space="preserve">      avalon_mm_rmap_o.readdata(7 downto 0) &lt;= rmap_registers_wr_i.aeb_gen_cfg_reserved_6b4.reserved(7 downto 0);</t>
  </si>
  <si>
    <t xml:space="preserve">      avalon_mm_rmap_o.readdata(15 downto 8) &lt;= rmap_registers_wr_i.aeb_gen_cfg_reserved_6b4.reserved(15 downto 8);</t>
  </si>
  <si>
    <t xml:space="preserve">      avalon_mm_rmap_o.readdata(23 downto 16) &lt;= rmap_registers_wr_i.aeb_gen_cfg_reserved_6b4.reserved(23 downto 16);</t>
  </si>
  <si>
    <t xml:space="preserve">      avalon_mm_rmap_o.readdata(31 downto 24) &lt;= rmap_registers_wr_i.aeb_gen_cfg_reserved_6b4.reserved(31 downto 24);</t>
  </si>
  <si>
    <t xml:space="preserve">  when (16#268#) =&gt;</t>
  </si>
  <si>
    <t xml:space="preserve">      -- AEB General Configuration Area Register "RESERVED_6B8" : "RESERVED" Field</t>
  </si>
  <si>
    <t xml:space="preserve">      avalon_mm_rmap_o.readdata(7 downto 0) &lt;= rmap_registers_wr_i.aeb_gen_cfg_reserved_6b8.reserved(7 downto 0);</t>
  </si>
  <si>
    <t xml:space="preserve">      avalon_mm_rmap_o.readdata(15 downto 8) &lt;= rmap_registers_wr_i.aeb_gen_cfg_reserved_6b8.reserved(15 downto 8);</t>
  </si>
  <si>
    <t xml:space="preserve">      avalon_mm_rmap_o.readdata(23 downto 16) &lt;= rmap_registers_wr_i.aeb_gen_cfg_reserved_6b8.reserved(23 downto 16);</t>
  </si>
  <si>
    <t xml:space="preserve">      avalon_mm_rmap_o.readdata(31 downto 24) &lt;= rmap_registers_wr_i.aeb_gen_cfg_reserved_6b8.reserved(31 downto 24);</t>
  </si>
  <si>
    <t xml:space="preserve">  when (16#269#) =&gt;</t>
  </si>
  <si>
    <t xml:space="preserve">      -- AEB General Configuration Area Register "RESERVED_6BC" : "RESERVED" Field</t>
  </si>
  <si>
    <t xml:space="preserve">      avalon_mm_rmap_o.readdata(7 downto 0) &lt;= rmap_registers_wr_i.aeb_gen_cfg_reserved_6bc.reserved(7 downto 0);</t>
  </si>
  <si>
    <t xml:space="preserve">      avalon_mm_rmap_o.readdata(15 downto 8) &lt;= rmap_registers_wr_i.aeb_gen_cfg_reserved_6bc.reserved(15 downto 8);</t>
  </si>
  <si>
    <t xml:space="preserve">      avalon_mm_rmap_o.readdata(23 downto 16) &lt;= rmap_registers_wr_i.aeb_gen_cfg_reserved_6bc.reserved(23 downto 16);</t>
  </si>
  <si>
    <t xml:space="preserve">      avalon_mm_rmap_o.readdata(31 downto 24) &lt;= rmap_registers_wr_i.aeb_gen_cfg_reserved_6bc.reserved(31 downto 24);</t>
  </si>
  <si>
    <t xml:space="preserve">  when (16#26A#) =&gt;</t>
  </si>
  <si>
    <t xml:space="preserve">      -- AEB General Configuration Area Register "RESERVED_6C0" : "RESERVED" Field</t>
  </si>
  <si>
    <t xml:space="preserve">      avalon_mm_rmap_o.readdata(7 downto 0) &lt;= rmap_registers_wr_i.aeb_gen_cfg_reserved_6c0.reserved(7 downto 0);</t>
  </si>
  <si>
    <t xml:space="preserve">      avalon_mm_rmap_o.readdata(15 downto 8) &lt;= rmap_registers_wr_i.aeb_gen_cfg_reserved_6c0.reserved(15 downto 8);</t>
  </si>
  <si>
    <t xml:space="preserve">      avalon_mm_rmap_o.readdata(23 downto 16) &lt;= rmap_registers_wr_i.aeb_gen_cfg_reserved_6c0.reserved(23 downto 16);</t>
  </si>
  <si>
    <t xml:space="preserve">      avalon_mm_rmap_o.readdata(31 downto 24) &lt;= rmap_registers_wr_i.aeb_gen_cfg_reserved_6c0.reserved(31 downto 24);</t>
  </si>
  <si>
    <t xml:space="preserve">  when (16#26B#) =&gt;</t>
  </si>
  <si>
    <t xml:space="preserve">      -- AEB General Configuration Area Register "RESERVED_6C4" : "RESERVED" Field</t>
  </si>
  <si>
    <t xml:space="preserve">      avalon_mm_rmap_o.readdata(7 downto 0) &lt;= rmap_registers_wr_i.aeb_gen_cfg_reserved_6c4.reserved(7 downto 0);</t>
  </si>
  <si>
    <t xml:space="preserve">      avalon_mm_rmap_o.readdata(15 downto 8) &lt;= rmap_registers_wr_i.aeb_gen_cfg_reserved_6c4.reserved(15 downto 8);</t>
  </si>
  <si>
    <t xml:space="preserve">      avalon_mm_rmap_o.readdata(23 downto 16) &lt;= rmap_registers_wr_i.aeb_gen_cfg_reserved_6c4.reserved(23 downto 16);</t>
  </si>
  <si>
    <t xml:space="preserve">      avalon_mm_rmap_o.readdata(31 downto 24) &lt;= rmap_registers_wr_i.aeb_gen_cfg_reserved_6c4.reserved(31 downto 24);</t>
  </si>
  <si>
    <t xml:space="preserve">  when (16#26C#) =&gt;</t>
  </si>
  <si>
    <t xml:space="preserve">      -- AEB General Configuration Area Register "RESERVED_6C8" : "RESERVED" Field</t>
  </si>
  <si>
    <t xml:space="preserve">      avalon_mm_rmap_o.readdata(7 downto 0) &lt;= rmap_registers_wr_i.aeb_gen_cfg_reserved_6c8.reserved(7 downto 0);</t>
  </si>
  <si>
    <t xml:space="preserve">      avalon_mm_rmap_o.readdata(15 downto 8) &lt;= rmap_registers_wr_i.aeb_gen_cfg_reserved_6c8.reserved(15 downto 8);</t>
  </si>
  <si>
    <t xml:space="preserve">      avalon_mm_rmap_o.readdata(23 downto 16) &lt;= rmap_registers_wr_i.aeb_gen_cfg_reserved_6c8.reserved(23 downto 16);</t>
  </si>
  <si>
    <t xml:space="preserve">      avalon_mm_rmap_o.readdata(31 downto 24) &lt;= rmap_registers_wr_i.aeb_gen_cfg_reserved_6c8.reserved(31 downto 24);</t>
  </si>
  <si>
    <t xml:space="preserve">  when (16#26D#) =&gt;</t>
  </si>
  <si>
    <t xml:space="preserve">      -- AEB General Configuration Area Register "RESERVED_6CC" : "RESERVED" Field</t>
  </si>
  <si>
    <t xml:space="preserve">      avalon_mm_rmap_o.readdata(7 downto 0) &lt;= rmap_registers_wr_i.aeb_gen_cfg_reserved_6cc.reserved(7 downto 0);</t>
  </si>
  <si>
    <t xml:space="preserve">      avalon_mm_rmap_o.readdata(15 downto 8) &lt;= rmap_registers_wr_i.aeb_gen_cfg_reserved_6cc.reserved(15 downto 8);</t>
  </si>
  <si>
    <t xml:space="preserve">      avalon_mm_rmap_o.readdata(23 downto 16) &lt;= rmap_registers_wr_i.aeb_gen_cfg_reserved_6cc.reserved(23 downto 16);</t>
  </si>
  <si>
    <t xml:space="preserve">      avalon_mm_rmap_o.readdata(31 downto 24) &lt;= rmap_registers_wr_i.aeb_gen_cfg_reserved_6cc.reserved(31 downto 24);</t>
  </si>
  <si>
    <t xml:space="preserve">  when (16#26E#) =&gt;</t>
  </si>
  <si>
    <t xml:space="preserve">      -- AEB General Configuration Area Register "RESERVED_6D0" : "RESERVED" Field</t>
  </si>
  <si>
    <t xml:space="preserve">      avalon_mm_rmap_o.readdata(7 downto 0) &lt;= rmap_registers_wr_i.aeb_gen_cfg_reserved_6d0.reserved(7 downto 0);</t>
  </si>
  <si>
    <t xml:space="preserve">      avalon_mm_rmap_o.readdata(15 downto 8) &lt;= rmap_registers_wr_i.aeb_gen_cfg_reserved_6d0.reserved(15 downto 8);</t>
  </si>
  <si>
    <t xml:space="preserve">      avalon_mm_rmap_o.readdata(23 downto 16) &lt;= rmap_registers_wr_i.aeb_gen_cfg_reserved_6d0.reserved(23 downto 16);</t>
  </si>
  <si>
    <t xml:space="preserve">      avalon_mm_rmap_o.readdata(31 downto 24) &lt;= rmap_registers_wr_i.aeb_gen_cfg_reserved_6d0.reserved(31 downto 24);</t>
  </si>
  <si>
    <t xml:space="preserve">  when (16#26F#) =&gt;</t>
  </si>
  <si>
    <t xml:space="preserve">      -- AEB General Configuration Area Register "RESERVED_6D4" : "RESERVED" Field</t>
  </si>
  <si>
    <t xml:space="preserve">      avalon_mm_rmap_o.readdata(7 downto 0) &lt;= rmap_registers_wr_i.aeb_gen_cfg_reserved_6d4.reserved(7 downto 0);</t>
  </si>
  <si>
    <t xml:space="preserve">      avalon_mm_rmap_o.readdata(15 downto 8) &lt;= rmap_registers_wr_i.aeb_gen_cfg_reserved_6d4.reserved(15 downto 8);</t>
  </si>
  <si>
    <t xml:space="preserve">      avalon_mm_rmap_o.readdata(23 downto 16) &lt;= rmap_registers_wr_i.aeb_gen_cfg_reserved_6d4.reserved(23 downto 16);</t>
  </si>
  <si>
    <t xml:space="preserve">      avalon_mm_rmap_o.readdata(31 downto 24) &lt;= rmap_registers_wr_i.aeb_gen_cfg_reserved_6d4.reserved(31 downto 24);</t>
  </si>
  <si>
    <t xml:space="preserve">  when (16#270#) =&gt;</t>
  </si>
  <si>
    <t xml:space="preserve">      -- AEB General Configuration Area Register "RESERVED_6D8" : "RESERVED" Field</t>
  </si>
  <si>
    <t xml:space="preserve">      avalon_mm_rmap_o.readdata(7 downto 0) &lt;= rmap_registers_wr_i.aeb_gen_cfg_reserved_6d8.reserved(7 downto 0);</t>
  </si>
  <si>
    <t xml:space="preserve">      avalon_mm_rmap_o.readdata(15 downto 8) &lt;= rmap_registers_wr_i.aeb_gen_cfg_reserved_6d8.reserved(15 downto 8);</t>
  </si>
  <si>
    <t xml:space="preserve">      avalon_mm_rmap_o.readdata(23 downto 16) &lt;= rmap_registers_wr_i.aeb_gen_cfg_reserved_6d8.reserved(23 downto 16);</t>
  </si>
  <si>
    <t xml:space="preserve">      avalon_mm_rmap_o.readdata(31 downto 24) &lt;= rmap_registers_wr_i.aeb_gen_cfg_reserved_6d8.reserved(31 downto 24);</t>
  </si>
  <si>
    <t xml:space="preserve">  when (16#271#) =&gt;</t>
  </si>
  <si>
    <t xml:space="preserve">      -- AEB General Configuration Area Register "RESERVED_6DC" : "RESERVED" Field</t>
  </si>
  <si>
    <t xml:space="preserve">      avalon_mm_rmap_o.readdata(7 downto 0) &lt;= rmap_registers_wr_i.aeb_gen_cfg_reserved_6dc.reserved(7 downto 0);</t>
  </si>
  <si>
    <t xml:space="preserve">      avalon_mm_rmap_o.readdata(15 downto 8) &lt;= rmap_registers_wr_i.aeb_gen_cfg_reserved_6dc.reserved(15 downto 8);</t>
  </si>
  <si>
    <t xml:space="preserve">      avalon_mm_rmap_o.readdata(23 downto 16) &lt;= rmap_registers_wr_i.aeb_gen_cfg_reserved_6dc.reserved(23 downto 16);</t>
  </si>
  <si>
    <t xml:space="preserve">      avalon_mm_rmap_o.readdata(31 downto 24) &lt;= rmap_registers_wr_i.aeb_gen_cfg_reserved_6dc.reserved(31 downto 24);</t>
  </si>
  <si>
    <t xml:space="preserve">  when (16#272#) =&gt;</t>
  </si>
  <si>
    <t xml:space="preserve">      -- AEB General Configuration Area Register "RESERVED_6E0" : "RESERVED" Field</t>
  </si>
  <si>
    <t xml:space="preserve">      avalon_mm_rmap_o.readdata(7 downto 0) &lt;= rmap_registers_wr_i.aeb_gen_cfg_reserved_6e0.reserved(7 downto 0);</t>
  </si>
  <si>
    <t xml:space="preserve">      avalon_mm_rmap_o.readdata(15 downto 8) &lt;= rmap_registers_wr_i.aeb_gen_cfg_reserved_6e0.reserved(15 downto 8);</t>
  </si>
  <si>
    <t xml:space="preserve">      avalon_mm_rmap_o.readdata(23 downto 16) &lt;= rmap_registers_wr_i.aeb_gen_cfg_reserved_6e0.reserved(23 downto 16);</t>
  </si>
  <si>
    <t xml:space="preserve">      avalon_mm_rmap_o.readdata(31 downto 24) &lt;= rmap_registers_wr_i.aeb_gen_cfg_reserved_6e0.reserved(31 downto 24);</t>
  </si>
  <si>
    <t xml:space="preserve">  when (16#273#) =&gt;</t>
  </si>
  <si>
    <t xml:space="preserve">      -- AEB General Configuration Area Register "RESERVED_6E4" : "RESERVED" Field</t>
  </si>
  <si>
    <t xml:space="preserve">      avalon_mm_rmap_o.readdata(7 downto 0) &lt;= rmap_registers_wr_i.aeb_gen_cfg_reserved_6e4.reserved(7 downto 0);</t>
  </si>
  <si>
    <t xml:space="preserve">      avalon_mm_rmap_o.readdata(15 downto 8) &lt;= rmap_registers_wr_i.aeb_gen_cfg_reserved_6e4.reserved(15 downto 8);</t>
  </si>
  <si>
    <t xml:space="preserve">      avalon_mm_rmap_o.readdata(23 downto 16) &lt;= rmap_registers_wr_i.aeb_gen_cfg_reserved_6e4.reserved(23 downto 16);</t>
  </si>
  <si>
    <t xml:space="preserve">      avalon_mm_rmap_o.readdata(31 downto 24) &lt;= rmap_registers_wr_i.aeb_gen_cfg_reserved_6e4.reserved(31 downto 24);</t>
  </si>
  <si>
    <t xml:space="preserve">  when (16#274#) =&gt;</t>
  </si>
  <si>
    <t xml:space="preserve">      -- AEB General Configuration Area Register "RESERVED_6E8" : "RESERVED" Field</t>
  </si>
  <si>
    <t xml:space="preserve">      avalon_mm_rmap_o.readdata(7 downto 0) &lt;= rmap_registers_wr_i.aeb_gen_cfg_reserved_6e8.reserved(7 downto 0);</t>
  </si>
  <si>
    <t xml:space="preserve">      avalon_mm_rmap_o.readdata(15 downto 8) &lt;= rmap_registers_wr_i.aeb_gen_cfg_reserved_6e8.reserved(15 downto 8);</t>
  </si>
  <si>
    <t xml:space="preserve">      avalon_mm_rmap_o.readdata(23 downto 16) &lt;= rmap_registers_wr_i.aeb_gen_cfg_reserved_6e8.reserved(23 downto 16);</t>
  </si>
  <si>
    <t xml:space="preserve">      avalon_mm_rmap_o.readdata(31 downto 24) &lt;= rmap_registers_wr_i.aeb_gen_cfg_reserved_6e8.reserved(31 downto 24);</t>
  </si>
  <si>
    <t xml:space="preserve">  when (16#275#) =&gt;</t>
  </si>
  <si>
    <t xml:space="preserve">      -- AEB General Configuration Area Register "RESERVED_6EC" : "RESERVED" Field</t>
  </si>
  <si>
    <t xml:space="preserve">      avalon_mm_rmap_o.readdata(7 downto 0) &lt;= rmap_registers_wr_i.aeb_gen_cfg_reserved_6ec.reserved(7 downto 0);</t>
  </si>
  <si>
    <t xml:space="preserve">      avalon_mm_rmap_o.readdata(15 downto 8) &lt;= rmap_registers_wr_i.aeb_gen_cfg_reserved_6ec.reserved(15 downto 8);</t>
  </si>
  <si>
    <t xml:space="preserve">      avalon_mm_rmap_o.readdata(23 downto 16) &lt;= rmap_registers_wr_i.aeb_gen_cfg_reserved_6ec.reserved(23 downto 16);</t>
  </si>
  <si>
    <t xml:space="preserve">      avalon_mm_rmap_o.readdata(31 downto 24) &lt;= rmap_registers_wr_i.aeb_gen_cfg_reserved_6ec.reserved(31 downto 24);</t>
  </si>
  <si>
    <t xml:space="preserve">  when (16#276#) =&gt;</t>
  </si>
  <si>
    <t xml:space="preserve">      -- AEB General Configuration Area Register "RESERVED_6F0" : "RESERVED" Field</t>
  </si>
  <si>
    <t xml:space="preserve">      avalon_mm_rmap_o.readdata(7 downto 0) &lt;= rmap_registers_wr_i.aeb_gen_cfg_reserved_6f0.reserved(7 downto 0);</t>
  </si>
  <si>
    <t xml:space="preserve">      avalon_mm_rmap_o.readdata(15 downto 8) &lt;= rmap_registers_wr_i.aeb_gen_cfg_reserved_6f0.reserved(15 downto 8);</t>
  </si>
  <si>
    <t xml:space="preserve">      avalon_mm_rmap_o.readdata(23 downto 16) &lt;= rmap_registers_wr_i.aeb_gen_cfg_reserved_6f0.reserved(23 downto 16);</t>
  </si>
  <si>
    <t xml:space="preserve">      avalon_mm_rmap_o.readdata(31 downto 24) &lt;= rmap_registers_wr_i.aeb_gen_cfg_reserved_6f0.reserved(31 downto 24);</t>
  </si>
  <si>
    <t xml:space="preserve">  when (16#277#) =&gt;</t>
  </si>
  <si>
    <t xml:space="preserve">      -- AEB General Configuration Area Register "RESERVED_6F4" : "RESERVED" Field</t>
  </si>
  <si>
    <t xml:space="preserve">      avalon_mm_rmap_o.readdata(7 downto 0) &lt;= rmap_registers_wr_i.aeb_gen_cfg_reserved_6f4.reserved(7 downto 0);</t>
  </si>
  <si>
    <t xml:space="preserve">      avalon_mm_rmap_o.readdata(15 downto 8) &lt;= rmap_registers_wr_i.aeb_gen_cfg_reserved_6f4.reserved(15 downto 8);</t>
  </si>
  <si>
    <t xml:space="preserve">      avalon_mm_rmap_o.readdata(23 downto 16) &lt;= rmap_registers_wr_i.aeb_gen_cfg_reserved_6f4.reserved(23 downto 16);</t>
  </si>
  <si>
    <t xml:space="preserve">      avalon_mm_rmap_o.readdata(31 downto 24) &lt;= rmap_registers_wr_i.aeb_gen_cfg_reserved_6f4.reserved(31 downto 24);</t>
  </si>
  <si>
    <t xml:space="preserve">  when (16#278#) =&gt;</t>
  </si>
  <si>
    <t xml:space="preserve">      -- AEB General Configuration Area Register "RESERVED_6F8" : "RESERVED" Field</t>
  </si>
  <si>
    <t xml:space="preserve">      avalon_mm_rmap_o.readdata(7 downto 0) &lt;= rmap_registers_wr_i.aeb_gen_cfg_reserved_6f8.reserved(7 downto 0);</t>
  </si>
  <si>
    <t xml:space="preserve">      avalon_mm_rmap_o.readdata(15 downto 8) &lt;= rmap_registers_wr_i.aeb_gen_cfg_reserved_6f8.reserved(15 downto 8);</t>
  </si>
  <si>
    <t xml:space="preserve">      avalon_mm_rmap_o.readdata(23 downto 16) &lt;= rmap_registers_wr_i.aeb_gen_cfg_reserved_6f8.reserved(23 downto 16);</t>
  </si>
  <si>
    <t xml:space="preserve">      avalon_mm_rmap_o.readdata(31 downto 24) &lt;= rmap_registers_wr_i.aeb_gen_cfg_reserved_6f8.reserved(31 downto 24);</t>
  </si>
  <si>
    <t xml:space="preserve">  when (16#279#) =&gt;</t>
  </si>
  <si>
    <t xml:space="preserve">      -- AEB General Configuration Area Register "RESERVED_6FC" : "RESERVED" Field</t>
  </si>
  <si>
    <t xml:space="preserve">      avalon_mm_rmap_o.readdata(7 downto 0) &lt;= rmap_registers_wr_i.aeb_gen_cfg_reserved_6fc.reserved(7 downto 0);</t>
  </si>
  <si>
    <t xml:space="preserve">      avalon_mm_rmap_o.readdata(15 downto 8) &lt;= rmap_registers_wr_i.aeb_gen_cfg_reserved_6fc.reserved(15 downto 8);</t>
  </si>
  <si>
    <t xml:space="preserve">      avalon_mm_rmap_o.readdata(23 downto 16) &lt;= rmap_registers_wr_i.aeb_gen_cfg_reserved_6fc.reserved(23 downto 16);</t>
  </si>
  <si>
    <t xml:space="preserve">      avalon_mm_rmap_o.readdata(31 downto 24) &lt;= rmap_registers_wr_i.aeb_gen_cfg_reserved_6fc.reserved(31 downto 24);</t>
  </si>
  <si>
    <t xml:space="preserve">  when (16#27A#) =&gt;</t>
  </si>
  <si>
    <t xml:space="preserve">      -- AEB General Configuration Area Register "RESERVED_700" : "RESERVED" Field</t>
  </si>
  <si>
    <t xml:space="preserve">      avalon_mm_rmap_o.readdata(7 downto 0) &lt;= rmap_registers_wr_i.aeb_gen_cfg_reserved_700.reserved(7 downto 0);</t>
  </si>
  <si>
    <t xml:space="preserve">      avalon_mm_rmap_o.readdata(15 downto 8) &lt;= rmap_registers_wr_i.aeb_gen_cfg_reserved_700.reserved(15 downto 8);</t>
  </si>
  <si>
    <t xml:space="preserve">      avalon_mm_rmap_o.readdata(23 downto 16) &lt;= rmap_registers_wr_i.aeb_gen_cfg_reserved_700.reserved(23 downto 16);</t>
  </si>
  <si>
    <t xml:space="preserve">      avalon_mm_rmap_o.readdata(31 downto 24) &lt;= rmap_registers_wr_i.aeb_gen_cfg_reserved_700.reserved(31 downto 24);</t>
  </si>
  <si>
    <t xml:space="preserve">  when (16#27B#) =&gt;</t>
  </si>
  <si>
    <t xml:space="preserve">      -- AEB General Configuration Area Register "RESERVED_704" : "RESERVED" Field</t>
  </si>
  <si>
    <t xml:space="preserve">      avalon_mm_rmap_o.readdata(7 downto 0) &lt;= rmap_registers_wr_i.aeb_gen_cfg_reserved_704.reserved(7 downto 0);</t>
  </si>
  <si>
    <t xml:space="preserve">      avalon_mm_rmap_o.readdata(15 downto 8) &lt;= rmap_registers_wr_i.aeb_gen_cfg_reserved_704.reserved(15 downto 8);</t>
  </si>
  <si>
    <t xml:space="preserve">      avalon_mm_rmap_o.readdata(23 downto 16) &lt;= rmap_registers_wr_i.aeb_gen_cfg_reserved_704.reserved(23 downto 16);</t>
  </si>
  <si>
    <t xml:space="preserve">      avalon_mm_rmap_o.readdata(31 downto 24) &lt;= rmap_registers_wr_i.aeb_gen_cfg_reserved_704.reserved(31 downto 24);</t>
  </si>
  <si>
    <t xml:space="preserve">  when (16#27C#) =&gt;</t>
  </si>
  <si>
    <t xml:space="preserve">      -- AEB General Configuration Area Register "RESERVED_708" : "RESERVED" Field</t>
  </si>
  <si>
    <t xml:space="preserve">      avalon_mm_rmap_o.readdata(7 downto 0) &lt;= rmap_registers_wr_i.aeb_gen_cfg_reserved_708.reserved(7 downto 0);</t>
  </si>
  <si>
    <t xml:space="preserve">      avalon_mm_rmap_o.readdata(15 downto 8) &lt;= rmap_registers_wr_i.aeb_gen_cfg_reserved_708.reserved(15 downto 8);</t>
  </si>
  <si>
    <t xml:space="preserve">      avalon_mm_rmap_o.readdata(23 downto 16) &lt;= rmap_registers_wr_i.aeb_gen_cfg_reserved_708.reserved(23 downto 16);</t>
  </si>
  <si>
    <t xml:space="preserve">      avalon_mm_rmap_o.readdata(31 downto 24) &lt;= rmap_registers_wr_i.aeb_gen_cfg_reserved_708.reserved(31 downto 24);</t>
  </si>
  <si>
    <t xml:space="preserve">  when (16#27D#) =&gt;</t>
  </si>
  <si>
    <t xml:space="preserve">      -- AEB General Configuration Area Register "RESERVED_70C" : "RESERVED" Field</t>
  </si>
  <si>
    <t xml:space="preserve">      avalon_mm_rmap_o.readdata(7 downto 0) &lt;= rmap_registers_wr_i.aeb_gen_cfg_reserved_70c.reserved(7 downto 0);</t>
  </si>
  <si>
    <t xml:space="preserve">      avalon_mm_rmap_o.readdata(15 downto 8) &lt;= rmap_registers_wr_i.aeb_gen_cfg_reserved_70c.reserved(15 downto 8);</t>
  </si>
  <si>
    <t xml:space="preserve">      avalon_mm_rmap_o.readdata(23 downto 16) &lt;= rmap_registers_wr_i.aeb_gen_cfg_reserved_70c.reserved(23 downto 16);</t>
  </si>
  <si>
    <t xml:space="preserve">      avalon_mm_rmap_o.readdata(31 downto 24) &lt;= rmap_registers_wr_i.aeb_gen_cfg_reserved_70c.reserved(31 downto 24);</t>
  </si>
  <si>
    <t xml:space="preserve">  when (16#27E#) =&gt;</t>
  </si>
  <si>
    <t xml:space="preserve">      -- AEB General Configuration Area Register "RESERVED_710" : "RESERVED" Field</t>
  </si>
  <si>
    <t xml:space="preserve">      avalon_mm_rmap_o.readdata(7 downto 0) &lt;= rmap_registers_wr_i.aeb_gen_cfg_reserved_710.reserved(7 downto 0);</t>
  </si>
  <si>
    <t xml:space="preserve">      avalon_mm_rmap_o.readdata(15 downto 8) &lt;= rmap_registers_wr_i.aeb_gen_cfg_reserved_710.reserved(15 downto 8);</t>
  </si>
  <si>
    <t xml:space="preserve">      avalon_mm_rmap_o.readdata(23 downto 16) &lt;= rmap_registers_wr_i.aeb_gen_cfg_reserved_710.reserved(23 downto 16);</t>
  </si>
  <si>
    <t xml:space="preserve">      avalon_mm_rmap_o.readdata(31 downto 24) &lt;= rmap_registers_wr_i.aeb_gen_cfg_reserved_710.reserved(31 downto 24);</t>
  </si>
  <si>
    <t xml:space="preserve">  when (16#27F#) =&gt;</t>
  </si>
  <si>
    <t xml:space="preserve">      -- AEB General Configuration Area Register "RESERVED_714" : "RESERVED" Field</t>
  </si>
  <si>
    <t xml:space="preserve">      avalon_mm_rmap_o.readdata(7 downto 0) &lt;= rmap_registers_wr_i.aeb_gen_cfg_reserved_714.reserved(7 downto 0);</t>
  </si>
  <si>
    <t xml:space="preserve">      avalon_mm_rmap_o.readdata(15 downto 8) &lt;= rmap_registers_wr_i.aeb_gen_cfg_reserved_714.reserved(15 downto 8);</t>
  </si>
  <si>
    <t xml:space="preserve">      avalon_mm_rmap_o.readdata(23 downto 16) &lt;= rmap_registers_wr_i.aeb_gen_cfg_reserved_714.reserved(23 downto 16);</t>
  </si>
  <si>
    <t xml:space="preserve">      avalon_mm_rmap_o.readdata(31 downto 24) &lt;= rmap_registers_wr_i.aeb_gen_cfg_reserved_714.reserved(31 downto 24);</t>
  </si>
  <si>
    <t xml:space="preserve">  when (16#280#) =&gt;</t>
  </si>
  <si>
    <t xml:space="preserve">      -- AEB General Configuration Area Register "RESERVED_718" : "RESERVED" Field</t>
  </si>
  <si>
    <t xml:space="preserve">      avalon_mm_rmap_o.readdata(7 downto 0) &lt;= rmap_registers_wr_i.aeb_gen_cfg_reserved_718.reserved(7 downto 0);</t>
  </si>
  <si>
    <t xml:space="preserve">      avalon_mm_rmap_o.readdata(15 downto 8) &lt;= rmap_registers_wr_i.aeb_gen_cfg_reserved_718.reserved(15 downto 8);</t>
  </si>
  <si>
    <t xml:space="preserve">      avalon_mm_rmap_o.readdata(23 downto 16) &lt;= rmap_registers_wr_i.aeb_gen_cfg_reserved_718.reserved(23 downto 16);</t>
  </si>
  <si>
    <t xml:space="preserve">      avalon_mm_rmap_o.readdata(31 downto 24) &lt;= rmap_registers_wr_i.aeb_gen_cfg_reserved_718.reserved(31 downto 24);</t>
  </si>
  <si>
    <t xml:space="preserve">  when (16#281#) =&gt;</t>
  </si>
  <si>
    <t xml:space="preserve">      -- AEB General Configuration Area Register "RESERVED_71C" : "RESERVED" Field</t>
  </si>
  <si>
    <t xml:space="preserve">      avalon_mm_rmap_o.readdata(7 downto 0) &lt;= rmap_registers_wr_i.aeb_gen_cfg_reserved_71c.reserved(7 downto 0);</t>
  </si>
  <si>
    <t xml:space="preserve">      avalon_mm_rmap_o.readdata(15 downto 8) &lt;= rmap_registers_wr_i.aeb_gen_cfg_reserved_71c.reserved(15 downto 8);</t>
  </si>
  <si>
    <t xml:space="preserve">      avalon_mm_rmap_o.readdata(23 downto 16) &lt;= rmap_registers_wr_i.aeb_gen_cfg_reserved_71c.reserved(23 downto 16);</t>
  </si>
  <si>
    <t xml:space="preserve">      avalon_mm_rmap_o.readdata(31 downto 24) &lt;= rmap_registers_wr_i.aeb_gen_cfg_reserved_71c.reserved(31 downto 24);</t>
  </si>
  <si>
    <t xml:space="preserve">  when (16#282#) =&gt;</t>
  </si>
  <si>
    <t xml:space="preserve">      -- AEB General Configuration Area Register "RESERVED_720" : "RESERVED" Field</t>
  </si>
  <si>
    <t xml:space="preserve">      avalon_mm_rmap_o.readdata(7 downto 0) &lt;= rmap_registers_wr_i.aeb_gen_cfg_reserved_720.reserved(7 downto 0);</t>
  </si>
  <si>
    <t xml:space="preserve">      avalon_mm_rmap_o.readdata(15 downto 8) &lt;= rmap_registers_wr_i.aeb_gen_cfg_reserved_720.reserved(15 downto 8);</t>
  </si>
  <si>
    <t xml:space="preserve">      avalon_mm_rmap_o.readdata(23 downto 16) &lt;= rmap_registers_wr_i.aeb_gen_cfg_reserved_720.reserved(23 downto 16);</t>
  </si>
  <si>
    <t xml:space="preserve">      avalon_mm_rmap_o.readdata(31 downto 24) &lt;= rmap_registers_wr_i.aeb_gen_cfg_reserved_720.reserved(31 downto 24);</t>
  </si>
  <si>
    <t xml:space="preserve">  when (16#283#) =&gt;</t>
  </si>
  <si>
    <t xml:space="preserve">      -- AEB General Configuration Area Register "RESERVED_724" : "RESERVED" Field</t>
  </si>
  <si>
    <t xml:space="preserve">      avalon_mm_rmap_o.readdata(7 downto 0) &lt;= rmap_registers_wr_i.aeb_gen_cfg_reserved_724.reserved(7 downto 0);</t>
  </si>
  <si>
    <t xml:space="preserve">      avalon_mm_rmap_o.readdata(15 downto 8) &lt;= rmap_registers_wr_i.aeb_gen_cfg_reserved_724.reserved(15 downto 8);</t>
  </si>
  <si>
    <t xml:space="preserve">      avalon_mm_rmap_o.readdata(23 downto 16) &lt;= rmap_registers_wr_i.aeb_gen_cfg_reserved_724.reserved(23 downto 16);</t>
  </si>
  <si>
    <t xml:space="preserve">      avalon_mm_rmap_o.readdata(31 downto 24) &lt;= rmap_registers_wr_i.aeb_gen_cfg_reserved_724.reserved(31 downto 24);</t>
  </si>
  <si>
    <t xml:space="preserve">  when (16#284#) =&gt;</t>
  </si>
  <si>
    <t xml:space="preserve">      -- AEB General Configuration Area Register "RESERVED_728" : "RESERVED" Field</t>
  </si>
  <si>
    <t xml:space="preserve">      avalon_mm_rmap_o.readdata(7 downto 0) &lt;= rmap_registers_wr_i.aeb_gen_cfg_reserved_728.reserved(7 downto 0);</t>
  </si>
  <si>
    <t xml:space="preserve">      avalon_mm_rmap_o.readdata(15 downto 8) &lt;= rmap_registers_wr_i.aeb_gen_cfg_reserved_728.reserved(15 downto 8);</t>
  </si>
  <si>
    <t xml:space="preserve">      avalon_mm_rmap_o.readdata(23 downto 16) &lt;= rmap_registers_wr_i.aeb_gen_cfg_reserved_728.reserved(23 downto 16);</t>
  </si>
  <si>
    <t xml:space="preserve">      avalon_mm_rmap_o.readdata(31 downto 24) &lt;= rmap_registers_wr_i.aeb_gen_cfg_reserved_728.reserved(31 downto 24);</t>
  </si>
  <si>
    <t xml:space="preserve">  when (16#285#) =&gt;</t>
  </si>
  <si>
    <t xml:space="preserve">      -- AEB General Configuration Area Register "RESERVED_72C" : "RESERVED" Field</t>
  </si>
  <si>
    <t xml:space="preserve">      avalon_mm_rmap_o.readdata(7 downto 0) &lt;= rmap_registers_wr_i.aeb_gen_cfg_reserved_72c.reserved(7 downto 0);</t>
  </si>
  <si>
    <t xml:space="preserve">      avalon_mm_rmap_o.readdata(15 downto 8) &lt;= rmap_registers_wr_i.aeb_gen_cfg_reserved_72c.reserved(15 downto 8);</t>
  </si>
  <si>
    <t xml:space="preserve">      avalon_mm_rmap_o.readdata(23 downto 16) &lt;= rmap_registers_wr_i.aeb_gen_cfg_reserved_72c.reserved(23 downto 16);</t>
  </si>
  <si>
    <t xml:space="preserve">      avalon_mm_rmap_o.readdata(31 downto 24) &lt;= rmap_registers_wr_i.aeb_gen_cfg_reserved_72c.reserved(31 downto 24);</t>
  </si>
  <si>
    <t xml:space="preserve">  when (16#286#) =&gt;</t>
  </si>
  <si>
    <t xml:space="preserve">      -- AEB General Configuration Area Register "RESERVED_730" : "RESERVED" Field</t>
  </si>
  <si>
    <t xml:space="preserve">      avalon_mm_rmap_o.readdata(7 downto 0) &lt;= rmap_registers_wr_i.aeb_gen_cfg_reserved_730.reserved(7 downto 0);</t>
  </si>
  <si>
    <t xml:space="preserve">      avalon_mm_rmap_o.readdata(15 downto 8) &lt;= rmap_registers_wr_i.aeb_gen_cfg_reserved_730.reserved(15 downto 8);</t>
  </si>
  <si>
    <t xml:space="preserve">      avalon_mm_rmap_o.readdata(23 downto 16) &lt;= rmap_registers_wr_i.aeb_gen_cfg_reserved_730.reserved(23 downto 16);</t>
  </si>
  <si>
    <t xml:space="preserve">      avalon_mm_rmap_o.readdata(31 downto 24) &lt;= rmap_registers_wr_i.aeb_gen_cfg_reserved_730.reserved(31 downto 24);</t>
  </si>
  <si>
    <t xml:space="preserve">  when (16#287#) =&gt;</t>
  </si>
  <si>
    <t xml:space="preserve">      -- AEB General Configuration Area Register "RESERVED_734" : "RESERVED" Field</t>
  </si>
  <si>
    <t xml:space="preserve">      avalon_mm_rmap_o.readdata(7 downto 0) &lt;= rmap_registers_wr_i.aeb_gen_cfg_reserved_734.reserved(7 downto 0);</t>
  </si>
  <si>
    <t xml:space="preserve">      avalon_mm_rmap_o.readdata(15 downto 8) &lt;= rmap_registers_wr_i.aeb_gen_cfg_reserved_734.reserved(15 downto 8);</t>
  </si>
  <si>
    <t xml:space="preserve">      avalon_mm_rmap_o.readdata(23 downto 16) &lt;= rmap_registers_wr_i.aeb_gen_cfg_reserved_734.reserved(23 downto 16);</t>
  </si>
  <si>
    <t xml:space="preserve">      avalon_mm_rmap_o.readdata(31 downto 24) &lt;= rmap_registers_wr_i.aeb_gen_cfg_reserved_734.reserved(31 downto 24);</t>
  </si>
  <si>
    <t xml:space="preserve">  when (16#288#) =&gt;</t>
  </si>
  <si>
    <t xml:space="preserve">      -- AEB General Configuration Area Register "RESERVED_738" : "RESERVED" Field</t>
  </si>
  <si>
    <t xml:space="preserve">      avalon_mm_rmap_o.readdata(7 downto 0) &lt;= rmap_registers_wr_i.aeb_gen_cfg_reserved_738.reserved(7 downto 0);</t>
  </si>
  <si>
    <t xml:space="preserve">      avalon_mm_rmap_o.readdata(15 downto 8) &lt;= rmap_registers_wr_i.aeb_gen_cfg_reserved_738.reserved(15 downto 8);</t>
  </si>
  <si>
    <t xml:space="preserve">      avalon_mm_rmap_o.readdata(23 downto 16) &lt;= rmap_registers_wr_i.aeb_gen_cfg_reserved_738.reserved(23 downto 16);</t>
  </si>
  <si>
    <t xml:space="preserve">      avalon_mm_rmap_o.readdata(31 downto 24) &lt;= rmap_registers_wr_i.aeb_gen_cfg_reserved_738.reserved(31 downto 24);</t>
  </si>
  <si>
    <t xml:space="preserve">  when (16#289#) =&gt;</t>
  </si>
  <si>
    <t xml:space="preserve">      -- AEB General Configuration Area Register "RESERVED_73C" : "RESERVED" Field</t>
  </si>
  <si>
    <t xml:space="preserve">      avalon_mm_rmap_o.readdata(7 downto 0) &lt;= rmap_registers_wr_i.aeb_gen_cfg_reserved_73c.reserved(7 downto 0);</t>
  </si>
  <si>
    <t xml:space="preserve">      avalon_mm_rmap_o.readdata(15 downto 8) &lt;= rmap_registers_wr_i.aeb_gen_cfg_reserved_73c.reserved(15 downto 8);</t>
  </si>
  <si>
    <t xml:space="preserve">      avalon_mm_rmap_o.readdata(23 downto 16) &lt;= rmap_registers_wr_i.aeb_gen_cfg_reserved_73c.reserved(23 downto 16);</t>
  </si>
  <si>
    <t xml:space="preserve">      avalon_mm_rmap_o.readdata(31 downto 24) &lt;= rmap_registers_wr_i.aeb_gen_cfg_reserved_73c.reserved(31 downto 24);</t>
  </si>
  <si>
    <t xml:space="preserve">  when (16#28A#) =&gt;</t>
  </si>
  <si>
    <t xml:space="preserve">      -- AEB General Configuration Area Register "RESERVED_740" : "RESERVED" Field</t>
  </si>
  <si>
    <t xml:space="preserve">      avalon_mm_rmap_o.readdata(7 downto 0) &lt;= rmap_registers_wr_i.aeb_gen_cfg_reserved_740.reserved(7 downto 0);</t>
  </si>
  <si>
    <t xml:space="preserve">      avalon_mm_rmap_o.readdata(15 downto 8) &lt;= rmap_registers_wr_i.aeb_gen_cfg_reserved_740.reserved(15 downto 8);</t>
  </si>
  <si>
    <t xml:space="preserve">      avalon_mm_rmap_o.readdata(23 downto 16) &lt;= rmap_registers_wr_i.aeb_gen_cfg_reserved_740.reserved(23 downto 16);</t>
  </si>
  <si>
    <t xml:space="preserve">      avalon_mm_rmap_o.readdata(31 downto 24) &lt;= rmap_registers_wr_i.aeb_gen_cfg_reserved_740.reserved(31 downto 24);</t>
  </si>
  <si>
    <t xml:space="preserve">  when (16#28B#) =&gt;</t>
  </si>
  <si>
    <t xml:space="preserve">      -- AEB General Configuration Area Register "RESERVED_744" : "RESERVED" Field</t>
  </si>
  <si>
    <t xml:space="preserve">      avalon_mm_rmap_o.readdata(7 downto 0) &lt;= rmap_registers_wr_i.aeb_gen_cfg_reserved_744.reserved(7 downto 0);</t>
  </si>
  <si>
    <t xml:space="preserve">      avalon_mm_rmap_o.readdata(15 downto 8) &lt;= rmap_registers_wr_i.aeb_gen_cfg_reserved_744.reserved(15 downto 8);</t>
  </si>
  <si>
    <t xml:space="preserve">      avalon_mm_rmap_o.readdata(23 downto 16) &lt;= rmap_registers_wr_i.aeb_gen_cfg_reserved_744.reserved(23 downto 16);</t>
  </si>
  <si>
    <t xml:space="preserve">      avalon_mm_rmap_o.readdata(31 downto 24) &lt;= rmap_registers_wr_i.aeb_gen_cfg_reserved_744.reserved(31 downto 24);</t>
  </si>
  <si>
    <t xml:space="preserve">  when (16#28C#) =&gt;</t>
  </si>
  <si>
    <t xml:space="preserve">      -- AEB General Configuration Area Register "RESERVED_748" : "RESERVED" Field</t>
  </si>
  <si>
    <t xml:space="preserve">      avalon_mm_rmap_o.readdata(7 downto 0) &lt;= rmap_registers_wr_i.aeb_gen_cfg_reserved_748.reserved(7 downto 0);</t>
  </si>
  <si>
    <t xml:space="preserve">      avalon_mm_rmap_o.readdata(15 downto 8) &lt;= rmap_registers_wr_i.aeb_gen_cfg_reserved_748.reserved(15 downto 8);</t>
  </si>
  <si>
    <t xml:space="preserve">      avalon_mm_rmap_o.readdata(23 downto 16) &lt;= rmap_registers_wr_i.aeb_gen_cfg_reserved_748.reserved(23 downto 16);</t>
  </si>
  <si>
    <t xml:space="preserve">      avalon_mm_rmap_o.readdata(31 downto 24) &lt;= rmap_registers_wr_i.aeb_gen_cfg_reserved_748.reserved(31 downto 24);</t>
  </si>
  <si>
    <t xml:space="preserve">  when (16#28D#) =&gt;</t>
  </si>
  <si>
    <t xml:space="preserve">      -- AEB General Configuration Area Register "RESERVED_74C" : "RESERVED" Field</t>
  </si>
  <si>
    <t xml:space="preserve">      avalon_mm_rmap_o.readdata(7 downto 0) &lt;= rmap_registers_wr_i.aeb_gen_cfg_reserved_74c.reserved(7 downto 0);</t>
  </si>
  <si>
    <t xml:space="preserve">      avalon_mm_rmap_o.readdata(15 downto 8) &lt;= rmap_registers_wr_i.aeb_gen_cfg_reserved_74c.reserved(15 downto 8);</t>
  </si>
  <si>
    <t xml:space="preserve">      avalon_mm_rmap_o.readdata(23 downto 16) &lt;= rmap_registers_wr_i.aeb_gen_cfg_reserved_74c.reserved(23 downto 16);</t>
  </si>
  <si>
    <t xml:space="preserve">      avalon_mm_rmap_o.readdata(31 downto 24) &lt;= rmap_registers_wr_i.aeb_gen_cfg_reserved_74c.reserved(31 downto 24);</t>
  </si>
  <si>
    <t xml:space="preserve">  when (16#28E#) =&gt;</t>
  </si>
  <si>
    <t xml:space="preserve">      -- AEB General Configuration Area Register "RESERVED_750" : "RESERVED" Field</t>
  </si>
  <si>
    <t xml:space="preserve">      avalon_mm_rmap_o.readdata(7 downto 0) &lt;= rmap_registers_wr_i.aeb_gen_cfg_reserved_750.reserved(7 downto 0);</t>
  </si>
  <si>
    <t xml:space="preserve">      avalon_mm_rmap_o.readdata(15 downto 8) &lt;= rmap_registers_wr_i.aeb_gen_cfg_reserved_750.reserved(15 downto 8);</t>
  </si>
  <si>
    <t xml:space="preserve">      avalon_mm_rmap_o.readdata(23 downto 16) &lt;= rmap_registers_wr_i.aeb_gen_cfg_reserved_750.reserved(23 downto 16);</t>
  </si>
  <si>
    <t xml:space="preserve">      avalon_mm_rmap_o.readdata(31 downto 24) &lt;= rmap_registers_wr_i.aeb_gen_cfg_reserved_750.reserved(31 downto 24);</t>
  </si>
  <si>
    <t xml:space="preserve">  when (16#28F#) =&gt;</t>
  </si>
  <si>
    <t xml:space="preserve">      -- AEB General Configuration Area Register "RESERVED_754" : "RESERVED" Field</t>
  </si>
  <si>
    <t xml:space="preserve">      avalon_mm_rmap_o.readdata(7 downto 0) &lt;= rmap_registers_wr_i.aeb_gen_cfg_reserved_754.reserved(7 downto 0);</t>
  </si>
  <si>
    <t xml:space="preserve">      avalon_mm_rmap_o.readdata(15 downto 8) &lt;= rmap_registers_wr_i.aeb_gen_cfg_reserved_754.reserved(15 downto 8);</t>
  </si>
  <si>
    <t xml:space="preserve">      avalon_mm_rmap_o.readdata(23 downto 16) &lt;= rmap_registers_wr_i.aeb_gen_cfg_reserved_754.reserved(23 downto 16);</t>
  </si>
  <si>
    <t xml:space="preserve">      avalon_mm_rmap_o.readdata(31 downto 24) &lt;= rmap_registers_wr_i.aeb_gen_cfg_reserved_754.reserved(31 downto 24);</t>
  </si>
  <si>
    <t xml:space="preserve">  when (16#290#) =&gt;</t>
  </si>
  <si>
    <t xml:space="preserve">      -- AEB General Configuration Area Register "RESERVED_758" : "RESERVED" Field</t>
  </si>
  <si>
    <t xml:space="preserve">      avalon_mm_rmap_o.readdata(7 downto 0) &lt;= rmap_registers_wr_i.aeb_gen_cfg_reserved_758.reserved(7 downto 0);</t>
  </si>
  <si>
    <t xml:space="preserve">      avalon_mm_rmap_o.readdata(15 downto 8) &lt;= rmap_registers_wr_i.aeb_gen_cfg_reserved_758.reserved(15 downto 8);</t>
  </si>
  <si>
    <t xml:space="preserve">      avalon_mm_rmap_o.readdata(23 downto 16) &lt;= rmap_registers_wr_i.aeb_gen_cfg_reserved_758.reserved(23 downto 16);</t>
  </si>
  <si>
    <t xml:space="preserve">      avalon_mm_rmap_o.readdata(31 downto 24) &lt;= rmap_registers_wr_i.aeb_gen_cfg_reserved_758.reserved(31 downto 24);</t>
  </si>
  <si>
    <t xml:space="preserve">  when (16#291#) =&gt;</t>
  </si>
  <si>
    <t xml:space="preserve">      -- AEB General Configuration Area Register "RESERVED_75C" : "RESERVED" Field</t>
  </si>
  <si>
    <t xml:space="preserve">      avalon_mm_rmap_o.readdata(7 downto 0) &lt;= rmap_registers_wr_i.aeb_gen_cfg_reserved_75c.reserved(7 downto 0);</t>
  </si>
  <si>
    <t xml:space="preserve">      avalon_mm_rmap_o.readdata(15 downto 8) &lt;= rmap_registers_wr_i.aeb_gen_cfg_reserved_75c.reserved(15 downto 8);</t>
  </si>
  <si>
    <t xml:space="preserve">      avalon_mm_rmap_o.readdata(23 downto 16) &lt;= rmap_registers_wr_i.aeb_gen_cfg_reserved_75c.reserved(23 downto 16);</t>
  </si>
  <si>
    <t xml:space="preserve">      avalon_mm_rmap_o.readdata(31 downto 24) &lt;= rmap_registers_wr_i.aeb_gen_cfg_reserved_75c.reserved(31 downto 24);</t>
  </si>
  <si>
    <t xml:space="preserve">  when (16#292#) =&gt;</t>
  </si>
  <si>
    <t xml:space="preserve">      -- AEB General Configuration Area Register "RESERVED_760" : "RESERVED" Field</t>
  </si>
  <si>
    <t xml:space="preserve">      avalon_mm_rmap_o.readdata(7 downto 0) &lt;= rmap_registers_wr_i.aeb_gen_cfg_reserved_760.reserved(7 downto 0);</t>
  </si>
  <si>
    <t xml:space="preserve">      avalon_mm_rmap_o.readdata(15 downto 8) &lt;= rmap_registers_wr_i.aeb_gen_cfg_reserved_760.reserved(15 downto 8);</t>
  </si>
  <si>
    <t xml:space="preserve">      avalon_mm_rmap_o.readdata(23 downto 16) &lt;= rmap_registers_wr_i.aeb_gen_cfg_reserved_760.reserved(23 downto 16);</t>
  </si>
  <si>
    <t xml:space="preserve">      avalon_mm_rmap_o.readdata(31 downto 24) &lt;= rmap_registers_wr_i.aeb_gen_cfg_reserved_760.reserved(31 downto 24);</t>
  </si>
  <si>
    <t xml:space="preserve">  when (16#293#) =&gt;</t>
  </si>
  <si>
    <t xml:space="preserve">      -- AEB General Configuration Area Register "RESERVED_764" : "RESERVED" Field</t>
  </si>
  <si>
    <t xml:space="preserve">      avalon_mm_rmap_o.readdata(7 downto 0) &lt;= rmap_registers_wr_i.aeb_gen_cfg_reserved_764.reserved(7 downto 0);</t>
  </si>
  <si>
    <t xml:space="preserve">      avalon_mm_rmap_o.readdata(15 downto 8) &lt;= rmap_registers_wr_i.aeb_gen_cfg_reserved_764.reserved(15 downto 8);</t>
  </si>
  <si>
    <t xml:space="preserve">      avalon_mm_rmap_o.readdata(23 downto 16) &lt;= rmap_registers_wr_i.aeb_gen_cfg_reserved_764.reserved(23 downto 16);</t>
  </si>
  <si>
    <t xml:space="preserve">      avalon_mm_rmap_o.readdata(31 downto 24) &lt;= rmap_registers_wr_i.aeb_gen_cfg_reserved_764.reserved(31 downto 24);</t>
  </si>
  <si>
    <t xml:space="preserve">  when (16#294#) =&gt;</t>
  </si>
  <si>
    <t xml:space="preserve">      -- AEB General Configuration Area Register "RESERVED_768" : "RESERVED" Field</t>
  </si>
  <si>
    <t xml:space="preserve">      avalon_mm_rmap_o.readdata(7 downto 0) &lt;= rmap_registers_wr_i.aeb_gen_cfg_reserved_768.reserved(7 downto 0);</t>
  </si>
  <si>
    <t xml:space="preserve">      avalon_mm_rmap_o.readdata(15 downto 8) &lt;= rmap_registers_wr_i.aeb_gen_cfg_reserved_768.reserved(15 downto 8);</t>
  </si>
  <si>
    <t xml:space="preserve">      avalon_mm_rmap_o.readdata(23 downto 16) &lt;= rmap_registers_wr_i.aeb_gen_cfg_reserved_768.reserved(23 downto 16);</t>
  </si>
  <si>
    <t xml:space="preserve">      avalon_mm_rmap_o.readdata(31 downto 24) &lt;= rmap_registers_wr_i.aeb_gen_cfg_reserved_768.reserved(31 downto 24);</t>
  </si>
  <si>
    <t xml:space="preserve">  when (16#295#) =&gt;</t>
  </si>
  <si>
    <t xml:space="preserve">      -- AEB General Configuration Area Register "RESERVED_76C" : "RESERVED" Field</t>
  </si>
  <si>
    <t xml:space="preserve">      avalon_mm_rmap_o.readdata(7 downto 0) &lt;= rmap_registers_wr_i.aeb_gen_cfg_reserved_76c.reserved(7 downto 0);</t>
  </si>
  <si>
    <t xml:space="preserve">      avalon_mm_rmap_o.readdata(15 downto 8) &lt;= rmap_registers_wr_i.aeb_gen_cfg_reserved_76c.reserved(15 downto 8);</t>
  </si>
  <si>
    <t xml:space="preserve">      avalon_mm_rmap_o.readdata(23 downto 16) &lt;= rmap_registers_wr_i.aeb_gen_cfg_reserved_76c.reserved(23 downto 16);</t>
  </si>
  <si>
    <t xml:space="preserve">      avalon_mm_rmap_o.readdata(31 downto 24) &lt;= rmap_registers_wr_i.aeb_gen_cfg_reserved_76c.reserved(31 downto 24);</t>
  </si>
  <si>
    <t xml:space="preserve">  when (16#296#) =&gt;</t>
  </si>
  <si>
    <t xml:space="preserve">      -- AEB General Configuration Area Register "RESERVED_770" : "RESERVED" Field</t>
  </si>
  <si>
    <t xml:space="preserve">      avalon_mm_rmap_o.readdata(7 downto 0) &lt;= rmap_registers_wr_i.aeb_gen_cfg_reserved_770.reserved(7 downto 0);</t>
  </si>
  <si>
    <t xml:space="preserve">      avalon_mm_rmap_o.readdata(15 downto 8) &lt;= rmap_registers_wr_i.aeb_gen_cfg_reserved_770.reserved(15 downto 8);</t>
  </si>
  <si>
    <t xml:space="preserve">      avalon_mm_rmap_o.readdata(23 downto 16) &lt;= rmap_registers_wr_i.aeb_gen_cfg_reserved_770.reserved(23 downto 16);</t>
  </si>
  <si>
    <t xml:space="preserve">      avalon_mm_rmap_o.readdata(31 downto 24) &lt;= rmap_registers_wr_i.aeb_gen_cfg_reserved_770.reserved(31 downto 24);</t>
  </si>
  <si>
    <t xml:space="preserve">  when (16#297#) =&gt;</t>
  </si>
  <si>
    <t xml:space="preserve">      -- AEB General Configuration Area Register "RESERVED_774" : "RESERVED" Field</t>
  </si>
  <si>
    <t xml:space="preserve">      avalon_mm_rmap_o.readdata(7 downto 0) &lt;= rmap_registers_wr_i.aeb_gen_cfg_reserved_774.reserved(7 downto 0);</t>
  </si>
  <si>
    <t xml:space="preserve">      avalon_mm_rmap_o.readdata(15 downto 8) &lt;= rmap_registers_wr_i.aeb_gen_cfg_reserved_774.reserved(15 downto 8);</t>
  </si>
  <si>
    <t xml:space="preserve">      avalon_mm_rmap_o.readdata(23 downto 16) &lt;= rmap_registers_wr_i.aeb_gen_cfg_reserved_774.reserved(23 downto 16);</t>
  </si>
  <si>
    <t xml:space="preserve">      avalon_mm_rmap_o.readdata(31 downto 24) &lt;= rmap_registers_wr_i.aeb_gen_cfg_reserved_774.reserved(31 downto 24);</t>
  </si>
  <si>
    <t xml:space="preserve">  when (16#298#) =&gt;</t>
  </si>
  <si>
    <t xml:space="preserve">      -- AEB General Configuration Area Register "RESERVED_778" : "RESERVED" Field</t>
  </si>
  <si>
    <t xml:space="preserve">      avalon_mm_rmap_o.readdata(7 downto 0) &lt;= rmap_registers_wr_i.aeb_gen_cfg_reserved_778.reserved(7 downto 0);</t>
  </si>
  <si>
    <t xml:space="preserve">      avalon_mm_rmap_o.readdata(15 downto 8) &lt;= rmap_registers_wr_i.aeb_gen_cfg_reserved_778.reserved(15 downto 8);</t>
  </si>
  <si>
    <t xml:space="preserve">      avalon_mm_rmap_o.readdata(23 downto 16) &lt;= rmap_registers_wr_i.aeb_gen_cfg_reserved_778.reserved(23 downto 16);</t>
  </si>
  <si>
    <t xml:space="preserve">      avalon_mm_rmap_o.readdata(31 downto 24) &lt;= rmap_registers_wr_i.aeb_gen_cfg_reserved_778.reserved(31 downto 24);</t>
  </si>
  <si>
    <t xml:space="preserve">  when (16#299#) =&gt;</t>
  </si>
  <si>
    <t xml:space="preserve">      -- AEB General Configuration Area Register "RESERVED_77C" : "RESERVED" Field</t>
  </si>
  <si>
    <t xml:space="preserve">      avalon_mm_rmap_o.readdata(7 downto 0) &lt;= rmap_registers_wr_i.aeb_gen_cfg_reserved_77c.reserved(7 downto 0);</t>
  </si>
  <si>
    <t xml:space="preserve">      avalon_mm_rmap_o.readdata(15 downto 8) &lt;= rmap_registers_wr_i.aeb_gen_cfg_reserved_77c.reserved(15 downto 8);</t>
  </si>
  <si>
    <t xml:space="preserve">      avalon_mm_rmap_o.readdata(23 downto 16) &lt;= rmap_registers_wr_i.aeb_gen_cfg_reserved_77c.reserved(23 downto 16);</t>
  </si>
  <si>
    <t xml:space="preserve">      avalon_mm_rmap_o.readdata(31 downto 24) &lt;= rmap_registers_wr_i.aeb_gen_cfg_reserved_77c.reserved(31 downto 24);</t>
  </si>
  <si>
    <t xml:space="preserve">  when (16#29A#) =&gt;</t>
  </si>
  <si>
    <t xml:space="preserve">      -- AEB General Configuration Area Register "RESERVED_780" : "RESERVED" Field</t>
  </si>
  <si>
    <t xml:space="preserve">      avalon_mm_rmap_o.readdata(7 downto 0) &lt;= rmap_registers_wr_i.aeb_gen_cfg_reserved_780.reserved(7 downto 0);</t>
  </si>
  <si>
    <t xml:space="preserve">      avalon_mm_rmap_o.readdata(15 downto 8) &lt;= rmap_registers_wr_i.aeb_gen_cfg_reserved_780.reserved(15 downto 8);</t>
  </si>
  <si>
    <t xml:space="preserve">      avalon_mm_rmap_o.readdata(23 downto 16) &lt;= rmap_registers_wr_i.aeb_gen_cfg_reserved_780.reserved(23 downto 16);</t>
  </si>
  <si>
    <t xml:space="preserve">      avalon_mm_rmap_o.readdata(31 downto 24) &lt;= rmap_registers_wr_i.aeb_gen_cfg_reserved_780.reserved(31 downto 24);</t>
  </si>
  <si>
    <t xml:space="preserve">  when (16#29B#) =&gt;</t>
  </si>
  <si>
    <t xml:space="preserve">      -- AEB General Configuration Area Register "RESERVED_784" : "RESERVED" Field</t>
  </si>
  <si>
    <t xml:space="preserve">      avalon_mm_rmap_o.readdata(7 downto 0) &lt;= rmap_registers_wr_i.aeb_gen_cfg_reserved_784.reserved(7 downto 0);</t>
  </si>
  <si>
    <t xml:space="preserve">      avalon_mm_rmap_o.readdata(15 downto 8) &lt;= rmap_registers_wr_i.aeb_gen_cfg_reserved_784.reserved(15 downto 8);</t>
  </si>
  <si>
    <t xml:space="preserve">      avalon_mm_rmap_o.readdata(23 downto 16) &lt;= rmap_registers_wr_i.aeb_gen_cfg_reserved_784.reserved(23 downto 16);</t>
  </si>
  <si>
    <t xml:space="preserve">      avalon_mm_rmap_o.readdata(31 downto 24) &lt;= rmap_registers_wr_i.aeb_gen_cfg_reserved_784.reserved(31 downto 24);</t>
  </si>
  <si>
    <t xml:space="preserve">  when (16#29C#) =&gt;</t>
  </si>
  <si>
    <t xml:space="preserve">      -- AEB General Configuration Area Register "RESERVED_788" : "RESERVED" Field</t>
  </si>
  <si>
    <t xml:space="preserve">      avalon_mm_rmap_o.readdata(7 downto 0) &lt;= rmap_registers_wr_i.aeb_gen_cfg_reserved_788.reserved(7 downto 0);</t>
  </si>
  <si>
    <t xml:space="preserve">      avalon_mm_rmap_o.readdata(15 downto 8) &lt;= rmap_registers_wr_i.aeb_gen_cfg_reserved_788.reserved(15 downto 8);</t>
  </si>
  <si>
    <t xml:space="preserve">      avalon_mm_rmap_o.readdata(23 downto 16) &lt;= rmap_registers_wr_i.aeb_gen_cfg_reserved_788.reserved(23 downto 16);</t>
  </si>
  <si>
    <t xml:space="preserve">      avalon_mm_rmap_o.readdata(31 downto 24) &lt;= rmap_registers_wr_i.aeb_gen_cfg_reserved_788.reserved(31 downto 24);</t>
  </si>
  <si>
    <t xml:space="preserve">  when (16#29D#) =&gt;</t>
  </si>
  <si>
    <t xml:space="preserve">      -- AEB General Configuration Area Register "RESERVED_78C" : "RESERVED" Field</t>
  </si>
  <si>
    <t xml:space="preserve">      avalon_mm_rmap_o.readdata(7 downto 0) &lt;= rmap_registers_wr_i.aeb_gen_cfg_reserved_78c.reserved(7 downto 0);</t>
  </si>
  <si>
    <t xml:space="preserve">      avalon_mm_rmap_o.readdata(15 downto 8) &lt;= rmap_registers_wr_i.aeb_gen_cfg_reserved_78c.reserved(15 downto 8);</t>
  </si>
  <si>
    <t xml:space="preserve">      avalon_mm_rmap_o.readdata(23 downto 16) &lt;= rmap_registers_wr_i.aeb_gen_cfg_reserved_78c.reserved(23 downto 16);</t>
  </si>
  <si>
    <t xml:space="preserve">      avalon_mm_rmap_o.readdata(31 downto 24) &lt;= rmap_registers_wr_i.aeb_gen_cfg_reserved_78c.reserved(31 downto 24);</t>
  </si>
  <si>
    <t xml:space="preserve">  when (16#29E#) =&gt;</t>
  </si>
  <si>
    <t xml:space="preserve">      -- AEB General Configuration Area Register "RESERVED_790" : "RESERVED" Field</t>
  </si>
  <si>
    <t xml:space="preserve">      avalon_mm_rmap_o.readdata(7 downto 0) &lt;= rmap_registers_wr_i.aeb_gen_cfg_reserved_790.reserved(7 downto 0);</t>
  </si>
  <si>
    <t xml:space="preserve">      avalon_mm_rmap_o.readdata(15 downto 8) &lt;= rmap_registers_wr_i.aeb_gen_cfg_reserved_790.reserved(15 downto 8);</t>
  </si>
  <si>
    <t xml:space="preserve">      avalon_mm_rmap_o.readdata(23 downto 16) &lt;= rmap_registers_wr_i.aeb_gen_cfg_reserved_790.reserved(23 downto 16);</t>
  </si>
  <si>
    <t xml:space="preserve">      avalon_mm_rmap_o.readdata(31 downto 24) &lt;= rmap_registers_wr_i.aeb_gen_cfg_reserved_790.reserved(31 downto 24);</t>
  </si>
  <si>
    <t xml:space="preserve">  when (16#29F#) =&gt;</t>
  </si>
  <si>
    <t xml:space="preserve">      -- AEB General Configuration Area Register "RESERVED_794" : "RESERVED" Field</t>
  </si>
  <si>
    <t xml:space="preserve">      avalon_mm_rmap_o.readdata(7 downto 0) &lt;= rmap_registers_wr_i.aeb_gen_cfg_reserved_794.reserved(7 downto 0);</t>
  </si>
  <si>
    <t xml:space="preserve">      avalon_mm_rmap_o.readdata(15 downto 8) &lt;= rmap_registers_wr_i.aeb_gen_cfg_reserved_794.reserved(15 downto 8);</t>
  </si>
  <si>
    <t xml:space="preserve">      avalon_mm_rmap_o.readdata(23 downto 16) &lt;= rmap_registers_wr_i.aeb_gen_cfg_reserved_794.reserved(23 downto 16);</t>
  </si>
  <si>
    <t xml:space="preserve">      avalon_mm_rmap_o.readdata(31 downto 24) &lt;= rmap_registers_wr_i.aeb_gen_cfg_reserved_794.reserved(31 downto 24);</t>
  </si>
  <si>
    <t xml:space="preserve">  when (16#2A0#) =&gt;</t>
  </si>
  <si>
    <t xml:space="preserve">      -- AEB General Configuration Area Register "RESERVED_798" : "RESERVED" Field</t>
  </si>
  <si>
    <t xml:space="preserve">      avalon_mm_rmap_o.readdata(7 downto 0) &lt;= rmap_registers_wr_i.aeb_gen_cfg_reserved_798.reserved(7 downto 0);</t>
  </si>
  <si>
    <t xml:space="preserve">      avalon_mm_rmap_o.readdata(15 downto 8) &lt;= rmap_registers_wr_i.aeb_gen_cfg_reserved_798.reserved(15 downto 8);</t>
  </si>
  <si>
    <t xml:space="preserve">      avalon_mm_rmap_o.readdata(23 downto 16) &lt;= rmap_registers_wr_i.aeb_gen_cfg_reserved_798.reserved(23 downto 16);</t>
  </si>
  <si>
    <t xml:space="preserve">      avalon_mm_rmap_o.readdata(31 downto 24) &lt;= rmap_registers_wr_i.aeb_gen_cfg_reserved_798.reserved(31 downto 24);</t>
  </si>
  <si>
    <t xml:space="preserve">  when (16#2A1#) =&gt;</t>
  </si>
  <si>
    <t xml:space="preserve">      -- AEB General Configuration Area Register "RESERVED_79C" : "RESERVED" Field</t>
  </si>
  <si>
    <t xml:space="preserve">      avalon_mm_rmap_o.readdata(7 downto 0) &lt;= rmap_registers_wr_i.aeb_gen_cfg_reserved_79c.reserved(7 downto 0);</t>
  </si>
  <si>
    <t xml:space="preserve">      avalon_mm_rmap_o.readdata(15 downto 8) &lt;= rmap_registers_wr_i.aeb_gen_cfg_reserved_79c.reserved(15 downto 8);</t>
  </si>
  <si>
    <t xml:space="preserve">      avalon_mm_rmap_o.readdata(23 downto 16) &lt;= rmap_registers_wr_i.aeb_gen_cfg_reserved_79c.reserved(23 downto 16);</t>
  </si>
  <si>
    <t xml:space="preserve">      avalon_mm_rmap_o.readdata(31 downto 24) &lt;= rmap_registers_wr_i.aeb_gen_cfg_reserved_79c.reserved(31 downto 24);</t>
  </si>
  <si>
    <t xml:space="preserve">  when (16#2A2#) =&gt;</t>
  </si>
  <si>
    <t xml:space="preserve">      -- AEB General Configuration Area Register "RESERVED_7A0" : "RESERVED" Field</t>
  </si>
  <si>
    <t xml:space="preserve">      avalon_mm_rmap_o.readdata(7 downto 0) &lt;= rmap_registers_wr_i.aeb_gen_cfg_reserved_7a0.reserved(7 downto 0);</t>
  </si>
  <si>
    <t xml:space="preserve">      avalon_mm_rmap_o.readdata(15 downto 8) &lt;= rmap_registers_wr_i.aeb_gen_cfg_reserved_7a0.reserved(15 downto 8);</t>
  </si>
  <si>
    <t xml:space="preserve">      avalon_mm_rmap_o.readdata(23 downto 16) &lt;= rmap_registers_wr_i.aeb_gen_cfg_reserved_7a0.reserved(23 downto 16);</t>
  </si>
  <si>
    <t xml:space="preserve">      avalon_mm_rmap_o.readdata(31 downto 24) &lt;= rmap_registers_wr_i.aeb_gen_cfg_reserved_7a0.reserved(31 downto 24);</t>
  </si>
  <si>
    <t xml:space="preserve">  when (16#2A3#) =&gt;</t>
  </si>
  <si>
    <t xml:space="preserve">      -- AEB General Configuration Area Register "RESERVED_7A4" : "RESERVED" Field</t>
  </si>
  <si>
    <t xml:space="preserve">      avalon_mm_rmap_o.readdata(7 downto 0) &lt;= rmap_registers_wr_i.aeb_gen_cfg_reserved_7a4.reserved(7 downto 0);</t>
  </si>
  <si>
    <t xml:space="preserve">      avalon_mm_rmap_o.readdata(15 downto 8) &lt;= rmap_registers_wr_i.aeb_gen_cfg_reserved_7a4.reserved(15 downto 8);</t>
  </si>
  <si>
    <t xml:space="preserve">      avalon_mm_rmap_o.readdata(23 downto 16) &lt;= rmap_registers_wr_i.aeb_gen_cfg_reserved_7a4.reserved(23 downto 16);</t>
  </si>
  <si>
    <t xml:space="preserve">      avalon_mm_rmap_o.readdata(31 downto 24) &lt;= rmap_registers_wr_i.aeb_gen_cfg_reserved_7a4.reserved(31 downto 24);</t>
  </si>
  <si>
    <t xml:space="preserve">  when (16#2A4#) =&gt;</t>
  </si>
  <si>
    <t xml:space="preserve">      -- AEB General Configuration Area Register "RESERVED_7A8" : "RESERVED" Field</t>
  </si>
  <si>
    <t xml:space="preserve">      avalon_mm_rmap_o.readdata(7 downto 0) &lt;= rmap_registers_wr_i.aeb_gen_cfg_reserved_7a8.reserved(7 downto 0);</t>
  </si>
  <si>
    <t xml:space="preserve">      avalon_mm_rmap_o.readdata(15 downto 8) &lt;= rmap_registers_wr_i.aeb_gen_cfg_reserved_7a8.reserved(15 downto 8);</t>
  </si>
  <si>
    <t xml:space="preserve">      avalon_mm_rmap_o.readdata(23 downto 16) &lt;= rmap_registers_wr_i.aeb_gen_cfg_reserved_7a8.reserved(23 downto 16);</t>
  </si>
  <si>
    <t xml:space="preserve">      avalon_mm_rmap_o.readdata(31 downto 24) &lt;= rmap_registers_wr_i.aeb_gen_cfg_reserved_7a8.reserved(31 downto 24);</t>
  </si>
  <si>
    <t xml:space="preserve">  when (16#2A5#) =&gt;</t>
  </si>
  <si>
    <t xml:space="preserve">      -- AEB General Configuration Area Register "RESERVED_7AC" : "RESERVED" Field</t>
  </si>
  <si>
    <t xml:space="preserve">      avalon_mm_rmap_o.readdata(7 downto 0) &lt;= rmap_registers_wr_i.aeb_gen_cfg_reserved_7ac.reserved(7 downto 0);</t>
  </si>
  <si>
    <t xml:space="preserve">      avalon_mm_rmap_o.readdata(15 downto 8) &lt;= rmap_registers_wr_i.aeb_gen_cfg_reserved_7ac.reserved(15 downto 8);</t>
  </si>
  <si>
    <t xml:space="preserve">      avalon_mm_rmap_o.readdata(23 downto 16) &lt;= rmap_registers_wr_i.aeb_gen_cfg_reserved_7ac.reserved(23 downto 16);</t>
  </si>
  <si>
    <t xml:space="preserve">      avalon_mm_rmap_o.readdata(31 downto 24) &lt;= rmap_registers_wr_i.aeb_gen_cfg_reserved_7ac.reserved(31 downto 24);</t>
  </si>
  <si>
    <t xml:space="preserve">  when (16#2A6#) =&gt;</t>
  </si>
  <si>
    <t xml:space="preserve">      -- AEB General Configuration Area Register "RESERVED_7B0" : "RESERVED" Field</t>
  </si>
  <si>
    <t xml:space="preserve">      avalon_mm_rmap_o.readdata(7 downto 0) &lt;= rmap_registers_wr_i.aeb_gen_cfg_reserved_7b0.reserved(7 downto 0);</t>
  </si>
  <si>
    <t xml:space="preserve">      avalon_mm_rmap_o.readdata(15 downto 8) &lt;= rmap_registers_wr_i.aeb_gen_cfg_reserved_7b0.reserved(15 downto 8);</t>
  </si>
  <si>
    <t xml:space="preserve">      avalon_mm_rmap_o.readdata(23 downto 16) &lt;= rmap_registers_wr_i.aeb_gen_cfg_reserved_7b0.reserved(23 downto 16);</t>
  </si>
  <si>
    <t xml:space="preserve">      avalon_mm_rmap_o.readdata(31 downto 24) &lt;= rmap_registers_wr_i.aeb_gen_cfg_reserved_7b0.reserved(31 downto 24);</t>
  </si>
  <si>
    <t xml:space="preserve">  when (16#2A7#) =&gt;</t>
  </si>
  <si>
    <t xml:space="preserve">      -- AEB General Configuration Area Register "RESERVED_7B4" : "RESERVED" Field</t>
  </si>
  <si>
    <t xml:space="preserve">      avalon_mm_rmap_o.readdata(7 downto 0) &lt;= rmap_registers_wr_i.aeb_gen_cfg_reserved_7b4.reserved(7 downto 0);</t>
  </si>
  <si>
    <t xml:space="preserve">      avalon_mm_rmap_o.readdata(15 downto 8) &lt;= rmap_registers_wr_i.aeb_gen_cfg_reserved_7b4.reserved(15 downto 8);</t>
  </si>
  <si>
    <t xml:space="preserve">      avalon_mm_rmap_o.readdata(23 downto 16) &lt;= rmap_registers_wr_i.aeb_gen_cfg_reserved_7b4.reserved(23 downto 16);</t>
  </si>
  <si>
    <t xml:space="preserve">      avalon_mm_rmap_o.readdata(31 downto 24) &lt;= rmap_registers_wr_i.aeb_gen_cfg_reserved_7b4.reserved(31 downto 24);</t>
  </si>
  <si>
    <t xml:space="preserve">  when (16#2A8#) =&gt;</t>
  </si>
  <si>
    <t xml:space="preserve">      -- AEB General Configuration Area Register "RESERVED_7B8" : "RESERVED" Field</t>
  </si>
  <si>
    <t xml:space="preserve">      avalon_mm_rmap_o.readdata(7 downto 0) &lt;= rmap_registers_wr_i.aeb_gen_cfg_reserved_7b8.reserved(7 downto 0);</t>
  </si>
  <si>
    <t xml:space="preserve">      avalon_mm_rmap_o.readdata(15 downto 8) &lt;= rmap_registers_wr_i.aeb_gen_cfg_reserved_7b8.reserved(15 downto 8);</t>
  </si>
  <si>
    <t xml:space="preserve">      avalon_mm_rmap_o.readdata(23 downto 16) &lt;= rmap_registers_wr_i.aeb_gen_cfg_reserved_7b8.reserved(23 downto 16);</t>
  </si>
  <si>
    <t xml:space="preserve">      avalon_mm_rmap_o.readdata(31 downto 24) &lt;= rmap_registers_wr_i.aeb_gen_cfg_reserved_7b8.reserved(31 downto 24);</t>
  </si>
  <si>
    <t xml:space="preserve">  when (16#2A9#) =&gt;</t>
  </si>
  <si>
    <t xml:space="preserve">      -- AEB General Configuration Area Register "RESERVED_7BC" : "RESERVED" Field</t>
  </si>
  <si>
    <t xml:space="preserve">      avalon_mm_rmap_o.readdata(7 downto 0) &lt;= rmap_registers_wr_i.aeb_gen_cfg_reserved_7bc.reserved(7 downto 0);</t>
  </si>
  <si>
    <t xml:space="preserve">      avalon_mm_rmap_o.readdata(15 downto 8) &lt;= rmap_registers_wr_i.aeb_gen_cfg_reserved_7bc.reserved(15 downto 8);</t>
  </si>
  <si>
    <t xml:space="preserve">      avalon_mm_rmap_o.readdata(23 downto 16) &lt;= rmap_registers_wr_i.aeb_gen_cfg_reserved_7bc.reserved(23 downto 16);</t>
  </si>
  <si>
    <t xml:space="preserve">      avalon_mm_rmap_o.readdata(31 downto 24) &lt;= rmap_registers_wr_i.aeb_gen_cfg_reserved_7bc.reserved(31 downto 24);</t>
  </si>
  <si>
    <t xml:space="preserve">  when (16#2AA#) =&gt;</t>
  </si>
  <si>
    <t xml:space="preserve">      -- AEB General Configuration Area Register "RESERVED_7C0" : "RESERVED" Field</t>
  </si>
  <si>
    <t xml:space="preserve">      avalon_mm_rmap_o.readdata(7 downto 0) &lt;= rmap_registers_wr_i.aeb_gen_cfg_reserved_7c0.reserved(7 downto 0);</t>
  </si>
  <si>
    <t xml:space="preserve">      avalon_mm_rmap_o.readdata(15 downto 8) &lt;= rmap_registers_wr_i.aeb_gen_cfg_reserved_7c0.reserved(15 downto 8);</t>
  </si>
  <si>
    <t xml:space="preserve">      avalon_mm_rmap_o.readdata(23 downto 16) &lt;= rmap_registers_wr_i.aeb_gen_cfg_reserved_7c0.reserved(23 downto 16);</t>
  </si>
  <si>
    <t xml:space="preserve">      avalon_mm_rmap_o.readdata(31 downto 24) &lt;= rmap_registers_wr_i.aeb_gen_cfg_reserved_7c0.reserved(31 downto 24);</t>
  </si>
  <si>
    <t xml:space="preserve">  when (16#2AB#) =&gt;</t>
  </si>
  <si>
    <t xml:space="preserve">      -- AEB General Configuration Area Register "RESERVED_7C4" : "RESERVED" Field</t>
  </si>
  <si>
    <t xml:space="preserve">      avalon_mm_rmap_o.readdata(7 downto 0) &lt;= rmap_registers_wr_i.aeb_gen_cfg_reserved_7c4.reserved(7 downto 0);</t>
  </si>
  <si>
    <t xml:space="preserve">      avalon_mm_rmap_o.readdata(15 downto 8) &lt;= rmap_registers_wr_i.aeb_gen_cfg_reserved_7c4.reserved(15 downto 8);</t>
  </si>
  <si>
    <t xml:space="preserve">      avalon_mm_rmap_o.readdata(23 downto 16) &lt;= rmap_registers_wr_i.aeb_gen_cfg_reserved_7c4.reserved(23 downto 16);</t>
  </si>
  <si>
    <t xml:space="preserve">      avalon_mm_rmap_o.readdata(31 downto 24) &lt;= rmap_registers_wr_i.aeb_gen_cfg_reserved_7c4.reserved(31 downto 24);</t>
  </si>
  <si>
    <t xml:space="preserve">  when (16#2AC#) =&gt;</t>
  </si>
  <si>
    <t xml:space="preserve">      -- AEB General Configuration Area Register "RESERVED_7C8" : "RESERVED" Field</t>
  </si>
  <si>
    <t xml:space="preserve">      avalon_mm_rmap_o.readdata(7 downto 0) &lt;= rmap_registers_wr_i.aeb_gen_cfg_reserved_7c8.reserved(7 downto 0);</t>
  </si>
  <si>
    <t xml:space="preserve">      avalon_mm_rmap_o.readdata(15 downto 8) &lt;= rmap_registers_wr_i.aeb_gen_cfg_reserved_7c8.reserved(15 downto 8);</t>
  </si>
  <si>
    <t xml:space="preserve">      avalon_mm_rmap_o.readdata(23 downto 16) &lt;= rmap_registers_wr_i.aeb_gen_cfg_reserved_7c8.reserved(23 downto 16);</t>
  </si>
  <si>
    <t xml:space="preserve">      avalon_mm_rmap_o.readdata(31 downto 24) &lt;= rmap_registers_wr_i.aeb_gen_cfg_reserved_7c8.reserved(31 downto 24);</t>
  </si>
  <si>
    <t xml:space="preserve">  when (16#2AD#) =&gt;</t>
  </si>
  <si>
    <t xml:space="preserve">      -- AEB General Configuration Area Register "RESERVED_7CC" : "RESERVED" Field</t>
  </si>
  <si>
    <t xml:space="preserve">      avalon_mm_rmap_o.readdata(7 downto 0) &lt;= rmap_registers_wr_i.aeb_gen_cfg_reserved_7cc.reserved(7 downto 0);</t>
  </si>
  <si>
    <t xml:space="preserve">      avalon_mm_rmap_o.readdata(15 downto 8) &lt;= rmap_registers_wr_i.aeb_gen_cfg_reserved_7cc.reserved(15 downto 8);</t>
  </si>
  <si>
    <t xml:space="preserve">      avalon_mm_rmap_o.readdata(23 downto 16) &lt;= rmap_registers_wr_i.aeb_gen_cfg_reserved_7cc.reserved(23 downto 16);</t>
  </si>
  <si>
    <t xml:space="preserve">      avalon_mm_rmap_o.readdata(31 downto 24) &lt;= rmap_registers_wr_i.aeb_gen_cfg_reserved_7cc.reserved(31 downto 24);</t>
  </si>
  <si>
    <t xml:space="preserve">  when (16#2AE#) =&gt;</t>
  </si>
  <si>
    <t xml:space="preserve">      -- AEB General Configuration Area Register "RESERVED_7D0" : "RESERVED" Field</t>
  </si>
  <si>
    <t xml:space="preserve">      avalon_mm_rmap_o.readdata(7 downto 0) &lt;= rmap_registers_wr_i.aeb_gen_cfg_reserved_7d0.reserved(7 downto 0);</t>
  </si>
  <si>
    <t xml:space="preserve">      avalon_mm_rmap_o.readdata(15 downto 8) &lt;= rmap_registers_wr_i.aeb_gen_cfg_reserved_7d0.reserved(15 downto 8);</t>
  </si>
  <si>
    <t xml:space="preserve">      avalon_mm_rmap_o.readdata(23 downto 16) &lt;= rmap_registers_wr_i.aeb_gen_cfg_reserved_7d0.reserved(23 downto 16);</t>
  </si>
  <si>
    <t xml:space="preserve">      avalon_mm_rmap_o.readdata(31 downto 24) &lt;= rmap_registers_wr_i.aeb_gen_cfg_reserved_7d0.reserved(31 downto 24);</t>
  </si>
  <si>
    <t xml:space="preserve">  when (16#2AF#) =&gt;</t>
  </si>
  <si>
    <t xml:space="preserve">      -- AEB General Configuration Area Register "RESERVED_7D4" : "RESERVED" Field</t>
  </si>
  <si>
    <t xml:space="preserve">      avalon_mm_rmap_o.readdata(7 downto 0) &lt;= rmap_registers_wr_i.aeb_gen_cfg_reserved_7d4.reserved(7 downto 0);</t>
  </si>
  <si>
    <t xml:space="preserve">      avalon_mm_rmap_o.readdata(15 downto 8) &lt;= rmap_registers_wr_i.aeb_gen_cfg_reserved_7d4.reserved(15 downto 8);</t>
  </si>
  <si>
    <t xml:space="preserve">      avalon_mm_rmap_o.readdata(23 downto 16) &lt;= rmap_registers_wr_i.aeb_gen_cfg_reserved_7d4.reserved(23 downto 16);</t>
  </si>
  <si>
    <t xml:space="preserve">      avalon_mm_rmap_o.readdata(31 downto 24) &lt;= rmap_registers_wr_i.aeb_gen_cfg_reserved_7d4.reserved(31 downto 24);</t>
  </si>
  <si>
    <t xml:space="preserve">  when (16#2B0#) =&gt;</t>
  </si>
  <si>
    <t xml:space="preserve">      -- AEB General Configuration Area Register "RESERVED_7D8" : "RESERVED" Field</t>
  </si>
  <si>
    <t xml:space="preserve">      avalon_mm_rmap_o.readdata(7 downto 0) &lt;= rmap_registers_wr_i.aeb_gen_cfg_reserved_7d8.reserved(7 downto 0);</t>
  </si>
  <si>
    <t xml:space="preserve">      avalon_mm_rmap_o.readdata(15 downto 8) &lt;= rmap_registers_wr_i.aeb_gen_cfg_reserved_7d8.reserved(15 downto 8);</t>
  </si>
  <si>
    <t xml:space="preserve">      avalon_mm_rmap_o.readdata(23 downto 16) &lt;= rmap_registers_wr_i.aeb_gen_cfg_reserved_7d8.reserved(23 downto 16);</t>
  </si>
  <si>
    <t xml:space="preserve">      avalon_mm_rmap_o.readdata(31 downto 24) &lt;= rmap_registers_wr_i.aeb_gen_cfg_reserved_7d8.reserved(31 downto 24);</t>
  </si>
  <si>
    <t xml:space="preserve">  when (16#2B1#) =&gt;</t>
  </si>
  <si>
    <t xml:space="preserve">      -- AEB General Configuration Area Register "RESERVED_7DC" : "RESERVED" Field</t>
  </si>
  <si>
    <t xml:space="preserve">      avalon_mm_rmap_o.readdata(7 downto 0) &lt;= rmap_registers_wr_i.aeb_gen_cfg_reserved_7dc.reserved(7 downto 0);</t>
  </si>
  <si>
    <t xml:space="preserve">      avalon_mm_rmap_o.readdata(15 downto 8) &lt;= rmap_registers_wr_i.aeb_gen_cfg_reserved_7dc.reserved(15 downto 8);</t>
  </si>
  <si>
    <t xml:space="preserve">      avalon_mm_rmap_o.readdata(23 downto 16) &lt;= rmap_registers_wr_i.aeb_gen_cfg_reserved_7dc.reserved(23 downto 16);</t>
  </si>
  <si>
    <t xml:space="preserve">      avalon_mm_rmap_o.readdata(31 downto 24) &lt;= rmap_registers_wr_i.aeb_gen_cfg_reserved_7dc.reserved(31 downto 24);</t>
  </si>
  <si>
    <t xml:space="preserve">  when (16#2B2#) =&gt;</t>
  </si>
  <si>
    <t xml:space="preserve">      -- AEB General Configuration Area Register "RESERVED_7E0" : "RESERVED" Field</t>
  </si>
  <si>
    <t xml:space="preserve">      avalon_mm_rmap_o.readdata(7 downto 0) &lt;= rmap_registers_wr_i.aeb_gen_cfg_reserved_7e0.reserved(7 downto 0);</t>
  </si>
  <si>
    <t xml:space="preserve">      avalon_mm_rmap_o.readdata(15 downto 8) &lt;= rmap_registers_wr_i.aeb_gen_cfg_reserved_7e0.reserved(15 downto 8);</t>
  </si>
  <si>
    <t xml:space="preserve">      avalon_mm_rmap_o.readdata(23 downto 16) &lt;= rmap_registers_wr_i.aeb_gen_cfg_reserved_7e0.reserved(23 downto 16);</t>
  </si>
  <si>
    <t xml:space="preserve">      avalon_mm_rmap_o.readdata(31 downto 24) &lt;= rmap_registers_wr_i.aeb_gen_cfg_reserved_7e0.reserved(31 downto 24);</t>
  </si>
  <si>
    <t xml:space="preserve">  when (16#2B3#) =&gt;</t>
  </si>
  <si>
    <t xml:space="preserve">      -- AEB General Configuration Area Register "RESERVED_7E4" : "RESERVED" Field</t>
  </si>
  <si>
    <t xml:space="preserve">      avalon_mm_rmap_o.readdata(7 downto 0) &lt;= rmap_registers_wr_i.aeb_gen_cfg_reserved_7e4.reserved(7 downto 0);</t>
  </si>
  <si>
    <t xml:space="preserve">      avalon_mm_rmap_o.readdata(15 downto 8) &lt;= rmap_registers_wr_i.aeb_gen_cfg_reserved_7e4.reserved(15 downto 8);</t>
  </si>
  <si>
    <t xml:space="preserve">      avalon_mm_rmap_o.readdata(23 downto 16) &lt;= rmap_registers_wr_i.aeb_gen_cfg_reserved_7e4.reserved(23 downto 16);</t>
  </si>
  <si>
    <t xml:space="preserve">      avalon_mm_rmap_o.readdata(31 downto 24) &lt;= rmap_registers_wr_i.aeb_gen_cfg_reserved_7e4.reserved(31 downto 24);</t>
  </si>
  <si>
    <t xml:space="preserve">  when (16#2B4#) =&gt;</t>
  </si>
  <si>
    <t xml:space="preserve">      -- AEB General Configuration Area Register "RESERVED_7E8" : "RESERVED" Field</t>
  </si>
  <si>
    <t xml:space="preserve">      avalon_mm_rmap_o.readdata(7 downto 0) &lt;= rmap_registers_wr_i.aeb_gen_cfg_reserved_7e8.reserved(7 downto 0);</t>
  </si>
  <si>
    <t xml:space="preserve">      avalon_mm_rmap_o.readdata(15 downto 8) &lt;= rmap_registers_wr_i.aeb_gen_cfg_reserved_7e8.reserved(15 downto 8);</t>
  </si>
  <si>
    <t xml:space="preserve">      avalon_mm_rmap_o.readdata(23 downto 16) &lt;= rmap_registers_wr_i.aeb_gen_cfg_reserved_7e8.reserved(23 downto 16);</t>
  </si>
  <si>
    <t xml:space="preserve">      avalon_mm_rmap_o.readdata(31 downto 24) &lt;= rmap_registers_wr_i.aeb_gen_cfg_reserved_7e8.reserved(31 downto 24);</t>
  </si>
  <si>
    <t xml:space="preserve">  when (16#2B5#) =&gt;</t>
  </si>
  <si>
    <t xml:space="preserve">      -- AEB General Configuration Area Register "RESERVED_7EC" : "RESERVED" Field</t>
  </si>
  <si>
    <t xml:space="preserve">      avalon_mm_rmap_o.readdata(7 downto 0) &lt;= rmap_registers_wr_i.aeb_gen_cfg_reserved_7ec.reserved(7 downto 0);</t>
  </si>
  <si>
    <t xml:space="preserve">      avalon_mm_rmap_o.readdata(15 downto 8) &lt;= rmap_registers_wr_i.aeb_gen_cfg_reserved_7ec.reserved(15 downto 8);</t>
  </si>
  <si>
    <t xml:space="preserve">      avalon_mm_rmap_o.readdata(23 downto 16) &lt;= rmap_registers_wr_i.aeb_gen_cfg_reserved_7ec.reserved(23 downto 16);</t>
  </si>
  <si>
    <t xml:space="preserve">      avalon_mm_rmap_o.readdata(31 downto 24) &lt;= rmap_registers_wr_i.aeb_gen_cfg_reserved_7ec.reserved(31 downto 24);</t>
  </si>
  <si>
    <t xml:space="preserve">  when (16#2B6#) =&gt;</t>
  </si>
  <si>
    <t xml:space="preserve">      -- AEB General Configuration Area Register "RESERVED_7F0" : "RESERVED" Field</t>
  </si>
  <si>
    <t xml:space="preserve">      avalon_mm_rmap_o.readdata(7 downto 0) &lt;= rmap_registers_wr_i.aeb_gen_cfg_reserved_7f0.reserved(7 downto 0);</t>
  </si>
  <si>
    <t xml:space="preserve">      avalon_mm_rmap_o.readdata(15 downto 8) &lt;= rmap_registers_wr_i.aeb_gen_cfg_reserved_7f0.reserved(15 downto 8);</t>
  </si>
  <si>
    <t xml:space="preserve">      avalon_mm_rmap_o.readdata(23 downto 16) &lt;= rmap_registers_wr_i.aeb_gen_cfg_reserved_7f0.reserved(23 downto 16);</t>
  </si>
  <si>
    <t xml:space="preserve">      avalon_mm_rmap_o.readdata(31 downto 24) &lt;= rmap_registers_wr_i.aeb_gen_cfg_reserved_7f0.reserved(31 downto 24);</t>
  </si>
  <si>
    <t xml:space="preserve">  when (16#2B7#) =&gt;</t>
  </si>
  <si>
    <t xml:space="preserve">      -- AEB General Configuration Area Register "RESERVED_7F4" : "RESERVED" Field</t>
  </si>
  <si>
    <t xml:space="preserve">      avalon_mm_rmap_o.readdata(7 downto 0) &lt;= rmap_registers_wr_i.aeb_gen_cfg_reserved_7f4.reserved(7 downto 0);</t>
  </si>
  <si>
    <t xml:space="preserve">      avalon_mm_rmap_o.readdata(15 downto 8) &lt;= rmap_registers_wr_i.aeb_gen_cfg_reserved_7f4.reserved(15 downto 8);</t>
  </si>
  <si>
    <t xml:space="preserve">      avalon_mm_rmap_o.readdata(23 downto 16) &lt;= rmap_registers_wr_i.aeb_gen_cfg_reserved_7f4.reserved(23 downto 16);</t>
  </si>
  <si>
    <t xml:space="preserve">      avalon_mm_rmap_o.readdata(31 downto 24) &lt;= rmap_registers_wr_i.aeb_gen_cfg_reserved_7f4.reserved(31 downto 24);</t>
  </si>
  <si>
    <t xml:space="preserve">  when (16#2B8#) =&gt;</t>
  </si>
  <si>
    <t xml:space="preserve">      -- AEB General Configuration Area Register "RESERVED_7F8" : "RESERVED" Field</t>
  </si>
  <si>
    <t xml:space="preserve">      avalon_mm_rmap_o.readdata(7 downto 0) &lt;= rmap_registers_wr_i.aeb_gen_cfg_reserved_7f8.reserved(7 downto 0);</t>
  </si>
  <si>
    <t xml:space="preserve">      avalon_mm_rmap_o.readdata(15 downto 8) &lt;= rmap_registers_wr_i.aeb_gen_cfg_reserved_7f8.reserved(15 downto 8);</t>
  </si>
  <si>
    <t xml:space="preserve">      avalon_mm_rmap_o.readdata(23 downto 16) &lt;= rmap_registers_wr_i.aeb_gen_cfg_reserved_7f8.reserved(23 downto 16);</t>
  </si>
  <si>
    <t xml:space="preserve">      avalon_mm_rmap_o.readdata(31 downto 24) &lt;= rmap_registers_wr_i.aeb_gen_cfg_reserved_7f8.reserved(31 downto 24);</t>
  </si>
  <si>
    <t xml:space="preserve">  when (16#2B9#) =&gt;</t>
  </si>
  <si>
    <t xml:space="preserve">      -- AEB General Configuration Area Register "RESERVED_7FC" : "RESERVED" Field</t>
  </si>
  <si>
    <t xml:space="preserve">      avalon_mm_rmap_o.readdata(7 downto 0) &lt;= rmap_registers_wr_i.aeb_gen_cfg_reserved_7fc.reserved(7 downto 0);</t>
  </si>
  <si>
    <t xml:space="preserve">      avalon_mm_rmap_o.readdata(15 downto 8) &lt;= rmap_registers_wr_i.aeb_gen_cfg_reserved_7fc.reserved(15 downto 8);</t>
  </si>
  <si>
    <t xml:space="preserve">      avalon_mm_rmap_o.readdata(23 downto 16) &lt;= rmap_registers_wr_i.aeb_gen_cfg_reserved_7fc.reserved(23 downto 16);</t>
  </si>
  <si>
    <t xml:space="preserve">      avalon_mm_rmap_o.readdata(31 downto 24) &lt;= rmap_registers_wr_i.aeb_gen_cfg_reserved_7fc.reserved(31 downto 24);</t>
  </si>
  <si>
    <t xml:space="preserve">  when (16#2BA#) =&gt;</t>
  </si>
  <si>
    <t xml:space="preserve">      -- AEB General Configuration Area Register "RESERVED_800" : "RESERVED" Field</t>
  </si>
  <si>
    <t xml:space="preserve">      avalon_mm_rmap_o.readdata(7 downto 0) &lt;= rmap_registers_wr_i.aeb_gen_cfg_reserved_800.reserved(7 downto 0);</t>
  </si>
  <si>
    <t xml:space="preserve">      avalon_mm_rmap_o.readdata(15 downto 8) &lt;= rmap_registers_wr_i.aeb_gen_cfg_reserved_800.reserved(15 downto 8);</t>
  </si>
  <si>
    <t xml:space="preserve">      avalon_mm_rmap_o.readdata(23 downto 16) &lt;= rmap_registers_wr_i.aeb_gen_cfg_reserved_800.reserved(23 downto 16);</t>
  </si>
  <si>
    <t xml:space="preserve">      avalon_mm_rmap_o.readdata(31 downto 24) &lt;= rmap_registers_wr_i.aeb_gen_cfg_reserved_800.reserved(31 downto 24);</t>
  </si>
  <si>
    <t xml:space="preserve">  when (16#2BB#) =&gt;</t>
  </si>
  <si>
    <t xml:space="preserve">      -- AEB General Configuration Area Register "RESERVED_804" : "RESERVED" Field</t>
  </si>
  <si>
    <t xml:space="preserve">      avalon_mm_rmap_o.readdata(7 downto 0) &lt;= rmap_registers_wr_i.aeb_gen_cfg_reserved_804.reserved(7 downto 0);</t>
  </si>
  <si>
    <t xml:space="preserve">      avalon_mm_rmap_o.readdata(15 downto 8) &lt;= rmap_registers_wr_i.aeb_gen_cfg_reserved_804.reserved(15 downto 8);</t>
  </si>
  <si>
    <t xml:space="preserve">      avalon_mm_rmap_o.readdata(23 downto 16) &lt;= rmap_registers_wr_i.aeb_gen_cfg_reserved_804.reserved(23 downto 16);</t>
  </si>
  <si>
    <t xml:space="preserve">      avalon_mm_rmap_o.readdata(31 downto 24) &lt;= rmap_registers_wr_i.aeb_gen_cfg_reserved_804.reserved(31 downto 24);</t>
  </si>
  <si>
    <t xml:space="preserve">  when (16#2BC#) =&gt;</t>
  </si>
  <si>
    <t xml:space="preserve">      -- AEB General Configuration Area Register "RESERVED_808" : "RESERVED" Field</t>
  </si>
  <si>
    <t xml:space="preserve">      avalon_mm_rmap_o.readdata(7 downto 0) &lt;= rmap_registers_wr_i.aeb_gen_cfg_reserved_808.reserved(7 downto 0);</t>
  </si>
  <si>
    <t xml:space="preserve">      avalon_mm_rmap_o.readdata(15 downto 8) &lt;= rmap_registers_wr_i.aeb_gen_cfg_reserved_808.reserved(15 downto 8);</t>
  </si>
  <si>
    <t xml:space="preserve">      avalon_mm_rmap_o.readdata(23 downto 16) &lt;= rmap_registers_wr_i.aeb_gen_cfg_reserved_808.reserved(23 downto 16);</t>
  </si>
  <si>
    <t xml:space="preserve">      avalon_mm_rmap_o.readdata(31 downto 24) &lt;= rmap_registers_wr_i.aeb_gen_cfg_reserved_808.reserved(31 downto 24);</t>
  </si>
  <si>
    <t xml:space="preserve">  when (16#2BD#) =&gt;</t>
  </si>
  <si>
    <t xml:space="preserve">      -- AEB General Configuration Area Register "RESERVED_80C" : "RESERVED" Field</t>
  </si>
  <si>
    <t xml:space="preserve">      avalon_mm_rmap_o.readdata(7 downto 0) &lt;= rmap_registers_wr_i.aeb_gen_cfg_reserved_80c.reserved(7 downto 0);</t>
  </si>
  <si>
    <t xml:space="preserve">      avalon_mm_rmap_o.readdata(15 downto 8) &lt;= rmap_registers_wr_i.aeb_gen_cfg_reserved_80c.reserved(15 downto 8);</t>
  </si>
  <si>
    <t xml:space="preserve">      avalon_mm_rmap_o.readdata(23 downto 16) &lt;= rmap_registers_wr_i.aeb_gen_cfg_reserved_80c.reserved(23 downto 16);</t>
  </si>
  <si>
    <t xml:space="preserve">      avalon_mm_rmap_o.readdata(31 downto 24) &lt;= rmap_registers_wr_i.aeb_gen_cfg_reserved_80c.reserved(31 downto 24);</t>
  </si>
  <si>
    <t xml:space="preserve">  when (16#2BE#) =&gt;</t>
  </si>
  <si>
    <t xml:space="preserve">      -- AEB General Configuration Area Register "RESERVED_810" : "RESERVED" Field</t>
  </si>
  <si>
    <t xml:space="preserve">      avalon_mm_rmap_o.readdata(7 downto 0) &lt;= rmap_registers_wr_i.aeb_gen_cfg_reserved_810.reserved(7 downto 0);</t>
  </si>
  <si>
    <t xml:space="preserve">      avalon_mm_rmap_o.readdata(15 downto 8) &lt;= rmap_registers_wr_i.aeb_gen_cfg_reserved_810.reserved(15 downto 8);</t>
  </si>
  <si>
    <t xml:space="preserve">      avalon_mm_rmap_o.readdata(23 downto 16) &lt;= rmap_registers_wr_i.aeb_gen_cfg_reserved_810.reserved(23 downto 16);</t>
  </si>
  <si>
    <t xml:space="preserve">      avalon_mm_rmap_o.readdata(31 downto 24) &lt;= rmap_registers_wr_i.aeb_gen_cfg_reserved_810.reserved(31 downto 24);</t>
  </si>
  <si>
    <t xml:space="preserve">  when (16#2BF#) =&gt;</t>
  </si>
  <si>
    <t xml:space="preserve">      -- AEB General Configuration Area Register "RESERVED_814" : "RESERVED" Field</t>
  </si>
  <si>
    <t xml:space="preserve">      avalon_mm_rmap_o.readdata(7 downto 0) &lt;= rmap_registers_wr_i.aeb_gen_cfg_reserved_814.reserved(7 downto 0);</t>
  </si>
  <si>
    <t xml:space="preserve">      avalon_mm_rmap_o.readdata(15 downto 8) &lt;= rmap_registers_wr_i.aeb_gen_cfg_reserved_814.reserved(15 downto 8);</t>
  </si>
  <si>
    <t xml:space="preserve">      avalon_mm_rmap_o.readdata(23 downto 16) &lt;= rmap_registers_wr_i.aeb_gen_cfg_reserved_814.reserved(23 downto 16);</t>
  </si>
  <si>
    <t xml:space="preserve">      avalon_mm_rmap_o.readdata(31 downto 24) &lt;= rmap_registers_wr_i.aeb_gen_cfg_reserved_814.reserved(31 downto 24);</t>
  </si>
  <si>
    <t xml:space="preserve">  when (16#2C0#) =&gt;</t>
  </si>
  <si>
    <t xml:space="preserve">      -- AEB General Configuration Area Register "RESERVED_818" : "RESERVED" Field</t>
  </si>
  <si>
    <t xml:space="preserve">      avalon_mm_rmap_o.readdata(7 downto 0) &lt;= rmap_registers_wr_i.aeb_gen_cfg_reserved_818.reserved(7 downto 0);</t>
  </si>
  <si>
    <t xml:space="preserve">      avalon_mm_rmap_o.readdata(15 downto 8) &lt;= rmap_registers_wr_i.aeb_gen_cfg_reserved_818.reserved(15 downto 8);</t>
  </si>
  <si>
    <t xml:space="preserve">      avalon_mm_rmap_o.readdata(23 downto 16) &lt;= rmap_registers_wr_i.aeb_gen_cfg_reserved_818.reserved(23 downto 16);</t>
  </si>
  <si>
    <t xml:space="preserve">      avalon_mm_rmap_o.readdata(31 downto 24) &lt;= rmap_registers_wr_i.aeb_gen_cfg_reserved_818.reserved(31 downto 24);</t>
  </si>
  <si>
    <t xml:space="preserve">  when (16#2C1#) =&gt;</t>
  </si>
  <si>
    <t xml:space="preserve">      -- AEB General Configuration Area Register "RESERVED_81C" : "RESERVED" Field</t>
  </si>
  <si>
    <t xml:space="preserve">      avalon_mm_rmap_o.readdata(7 downto 0) &lt;= rmap_registers_wr_i.aeb_gen_cfg_reserved_81c.reserved(7 downto 0);</t>
  </si>
  <si>
    <t xml:space="preserve">      avalon_mm_rmap_o.readdata(15 downto 8) &lt;= rmap_registers_wr_i.aeb_gen_cfg_reserved_81c.reserved(15 downto 8);</t>
  </si>
  <si>
    <t xml:space="preserve">      avalon_mm_rmap_o.readdata(23 downto 16) &lt;= rmap_registers_wr_i.aeb_gen_cfg_reserved_81c.reserved(23 downto 16);</t>
  </si>
  <si>
    <t xml:space="preserve">      avalon_mm_rmap_o.readdata(31 downto 24) &lt;= rmap_registers_wr_i.aeb_gen_cfg_reserved_81c.reserved(31 downto 24);</t>
  </si>
  <si>
    <t xml:space="preserve">  when (16#2C2#) =&gt;</t>
  </si>
  <si>
    <t xml:space="preserve">      -- AEB General Configuration Area Register "RESERVED_820" : "RESERVED" Field</t>
  </si>
  <si>
    <t xml:space="preserve">      avalon_mm_rmap_o.readdata(7 downto 0) &lt;= rmap_registers_wr_i.aeb_gen_cfg_reserved_820.reserved(7 downto 0);</t>
  </si>
  <si>
    <t xml:space="preserve">      avalon_mm_rmap_o.readdata(15 downto 8) &lt;= rmap_registers_wr_i.aeb_gen_cfg_reserved_820.reserved(15 downto 8);</t>
  </si>
  <si>
    <t xml:space="preserve">      avalon_mm_rmap_o.readdata(23 downto 16) &lt;= rmap_registers_wr_i.aeb_gen_cfg_reserved_820.reserved(23 downto 16);</t>
  </si>
  <si>
    <t xml:space="preserve">      avalon_mm_rmap_o.readdata(31 downto 24) &lt;= rmap_registers_wr_i.aeb_gen_cfg_reserved_820.reserved(31 downto 24);</t>
  </si>
  <si>
    <t xml:space="preserve">  when (16#2C3#) =&gt;</t>
  </si>
  <si>
    <t xml:space="preserve">      -- AEB General Configuration Area Register "RESERVED_824" : "RESERVED" Field</t>
  </si>
  <si>
    <t xml:space="preserve">      avalon_mm_rmap_o.readdata(7 downto 0) &lt;= rmap_registers_wr_i.aeb_gen_cfg_reserved_824.reserved(7 downto 0);</t>
  </si>
  <si>
    <t xml:space="preserve">      avalon_mm_rmap_o.readdata(15 downto 8) &lt;= rmap_registers_wr_i.aeb_gen_cfg_reserved_824.reserved(15 downto 8);</t>
  </si>
  <si>
    <t xml:space="preserve">      avalon_mm_rmap_o.readdata(23 downto 16) &lt;= rmap_registers_wr_i.aeb_gen_cfg_reserved_824.reserved(23 downto 16);</t>
  </si>
  <si>
    <t xml:space="preserve">      avalon_mm_rmap_o.readdata(31 downto 24) &lt;= rmap_registers_wr_i.aeb_gen_cfg_reserved_824.reserved(31 downto 24);</t>
  </si>
  <si>
    <t xml:space="preserve">  when (16#2C4#) =&gt;</t>
  </si>
  <si>
    <t xml:space="preserve">      -- AEB General Configuration Area Register "RESERVED_828" : "RESERVED" Field</t>
  </si>
  <si>
    <t xml:space="preserve">      avalon_mm_rmap_o.readdata(7 downto 0) &lt;= rmap_registers_wr_i.aeb_gen_cfg_reserved_828.reserved(7 downto 0);</t>
  </si>
  <si>
    <t xml:space="preserve">      avalon_mm_rmap_o.readdata(15 downto 8) &lt;= rmap_registers_wr_i.aeb_gen_cfg_reserved_828.reserved(15 downto 8);</t>
  </si>
  <si>
    <t xml:space="preserve">      avalon_mm_rmap_o.readdata(23 downto 16) &lt;= rmap_registers_wr_i.aeb_gen_cfg_reserved_828.reserved(23 downto 16);</t>
  </si>
  <si>
    <t xml:space="preserve">      avalon_mm_rmap_o.readdata(31 downto 24) &lt;= rmap_registers_wr_i.aeb_gen_cfg_reserved_828.reserved(31 downto 24);</t>
  </si>
  <si>
    <t xml:space="preserve">  when (16#2C5#) =&gt;</t>
  </si>
  <si>
    <t xml:space="preserve">      -- AEB General Configuration Area Register "RESERVED_82C" : "RESERVED" Field</t>
  </si>
  <si>
    <t xml:space="preserve">      avalon_mm_rmap_o.readdata(7 downto 0) &lt;= rmap_registers_wr_i.aeb_gen_cfg_reserved_82c.reserved(7 downto 0);</t>
  </si>
  <si>
    <t xml:space="preserve">      avalon_mm_rmap_o.readdata(15 downto 8) &lt;= rmap_registers_wr_i.aeb_gen_cfg_reserved_82c.reserved(15 downto 8);</t>
  </si>
  <si>
    <t xml:space="preserve">      avalon_mm_rmap_o.readdata(23 downto 16) &lt;= rmap_registers_wr_i.aeb_gen_cfg_reserved_82c.reserved(23 downto 16);</t>
  </si>
  <si>
    <t xml:space="preserve">      avalon_mm_rmap_o.readdata(31 downto 24) &lt;= rmap_registers_wr_i.aeb_gen_cfg_reserved_82c.reserved(31 downto 24);</t>
  </si>
  <si>
    <t xml:space="preserve">  when (16#2C6#) =&gt;</t>
  </si>
  <si>
    <t xml:space="preserve">      -- AEB General Configuration Area Register "RESERVED_830" : "RESERVED" Field</t>
  </si>
  <si>
    <t xml:space="preserve">      avalon_mm_rmap_o.readdata(7 downto 0) &lt;= rmap_registers_wr_i.aeb_gen_cfg_reserved_830.reserved(7 downto 0);</t>
  </si>
  <si>
    <t xml:space="preserve">      avalon_mm_rmap_o.readdata(15 downto 8) &lt;= rmap_registers_wr_i.aeb_gen_cfg_reserved_830.reserved(15 downto 8);</t>
  </si>
  <si>
    <t xml:space="preserve">      avalon_mm_rmap_o.readdata(23 downto 16) &lt;= rmap_registers_wr_i.aeb_gen_cfg_reserved_830.reserved(23 downto 16);</t>
  </si>
  <si>
    <t xml:space="preserve">      avalon_mm_rmap_o.readdata(31 downto 24) &lt;= rmap_registers_wr_i.aeb_gen_cfg_reserved_830.reserved(31 downto 24);</t>
  </si>
  <si>
    <t xml:space="preserve">  when (16#2C7#) =&gt;</t>
  </si>
  <si>
    <t xml:space="preserve">      -- AEB General Configuration Area Register "RESERVED_834" : "RESERVED" Field</t>
  </si>
  <si>
    <t xml:space="preserve">      avalon_mm_rmap_o.readdata(7 downto 0) &lt;= rmap_registers_wr_i.aeb_gen_cfg_reserved_834.reserved(7 downto 0);</t>
  </si>
  <si>
    <t xml:space="preserve">      avalon_mm_rmap_o.readdata(15 downto 8) &lt;= rmap_registers_wr_i.aeb_gen_cfg_reserved_834.reserved(15 downto 8);</t>
  </si>
  <si>
    <t xml:space="preserve">      avalon_mm_rmap_o.readdata(23 downto 16) &lt;= rmap_registers_wr_i.aeb_gen_cfg_reserved_834.reserved(23 downto 16);</t>
  </si>
  <si>
    <t xml:space="preserve">      avalon_mm_rmap_o.readdata(31 downto 24) &lt;= rmap_registers_wr_i.aeb_gen_cfg_reserved_834.reserved(31 downto 24);</t>
  </si>
  <si>
    <t xml:space="preserve">  when (16#2C8#) =&gt;</t>
  </si>
  <si>
    <t xml:space="preserve">      -- AEB General Configuration Area Register "RESERVED_838" : "RESERVED" Field</t>
  </si>
  <si>
    <t xml:space="preserve">      avalon_mm_rmap_o.readdata(7 downto 0) &lt;= rmap_registers_wr_i.aeb_gen_cfg_reserved_838.reserved(7 downto 0);</t>
  </si>
  <si>
    <t xml:space="preserve">      avalon_mm_rmap_o.readdata(15 downto 8) &lt;= rmap_registers_wr_i.aeb_gen_cfg_reserved_838.reserved(15 downto 8);</t>
  </si>
  <si>
    <t xml:space="preserve">      avalon_mm_rmap_o.readdata(23 downto 16) &lt;= rmap_registers_wr_i.aeb_gen_cfg_reserved_838.reserved(23 downto 16);</t>
  </si>
  <si>
    <t xml:space="preserve">      avalon_mm_rmap_o.readdata(31 downto 24) &lt;= rmap_registers_wr_i.aeb_gen_cfg_reserved_838.reserved(31 downto 24);</t>
  </si>
  <si>
    <t xml:space="preserve">  when (16#2C9#) =&gt;</t>
  </si>
  <si>
    <t xml:space="preserve">      -- AEB General Configuration Area Register "RESERVED_83C" : "RESERVED" Field</t>
  </si>
  <si>
    <t xml:space="preserve">      avalon_mm_rmap_o.readdata(7 downto 0) &lt;= rmap_registers_wr_i.aeb_gen_cfg_reserved_83c.reserved(7 downto 0);</t>
  </si>
  <si>
    <t xml:space="preserve">      avalon_mm_rmap_o.readdata(15 downto 8) &lt;= rmap_registers_wr_i.aeb_gen_cfg_reserved_83c.reserved(15 downto 8);</t>
  </si>
  <si>
    <t xml:space="preserve">      avalon_mm_rmap_o.readdata(23 downto 16) &lt;= rmap_registers_wr_i.aeb_gen_cfg_reserved_83c.reserved(23 downto 16);</t>
  </si>
  <si>
    <t xml:space="preserve">      avalon_mm_rmap_o.readdata(31 downto 24) &lt;= rmap_registers_wr_i.aeb_gen_cfg_reserved_83c.reserved(31 downto 24);</t>
  </si>
  <si>
    <t xml:space="preserve">  when (16#2CA#) =&gt;</t>
  </si>
  <si>
    <t xml:space="preserve">      -- AEB General Configuration Area Register "RESERVED_840" : "RESERVED" Field</t>
  </si>
  <si>
    <t xml:space="preserve">      avalon_mm_rmap_o.readdata(7 downto 0) &lt;= rmap_registers_wr_i.aeb_gen_cfg_reserved_840.reserved(7 downto 0);</t>
  </si>
  <si>
    <t xml:space="preserve">      avalon_mm_rmap_o.readdata(15 downto 8) &lt;= rmap_registers_wr_i.aeb_gen_cfg_reserved_840.reserved(15 downto 8);</t>
  </si>
  <si>
    <t xml:space="preserve">      avalon_mm_rmap_o.readdata(23 downto 16) &lt;= rmap_registers_wr_i.aeb_gen_cfg_reserved_840.reserved(23 downto 16);</t>
  </si>
  <si>
    <t xml:space="preserve">      avalon_mm_rmap_o.readdata(31 downto 24) &lt;= rmap_registers_wr_i.aeb_gen_cfg_reserved_840.reserved(31 downto 24);</t>
  </si>
  <si>
    <t xml:space="preserve">  when (16#2CB#) =&gt;</t>
  </si>
  <si>
    <t xml:space="preserve">      -- AEB General Configuration Area Register "RESERVED_844" : "RESERVED" Field</t>
  </si>
  <si>
    <t xml:space="preserve">      avalon_mm_rmap_o.readdata(7 downto 0) &lt;= rmap_registers_wr_i.aeb_gen_cfg_reserved_844.reserved(7 downto 0);</t>
  </si>
  <si>
    <t xml:space="preserve">      avalon_mm_rmap_o.readdata(15 downto 8) &lt;= rmap_registers_wr_i.aeb_gen_cfg_reserved_844.reserved(15 downto 8);</t>
  </si>
  <si>
    <t xml:space="preserve">      avalon_mm_rmap_o.readdata(23 downto 16) &lt;= rmap_registers_wr_i.aeb_gen_cfg_reserved_844.reserved(23 downto 16);</t>
  </si>
  <si>
    <t xml:space="preserve">      avalon_mm_rmap_o.readdata(31 downto 24) &lt;= rmap_registers_wr_i.aeb_gen_cfg_reserved_844.reserved(31 downto 24);</t>
  </si>
  <si>
    <t xml:space="preserve">  when (16#2CC#) =&gt;</t>
  </si>
  <si>
    <t xml:space="preserve">      -- AEB General Configuration Area Register "RESERVED_848" : "RESERVED" Field</t>
  </si>
  <si>
    <t xml:space="preserve">      avalon_mm_rmap_o.readdata(7 downto 0) &lt;= rmap_registers_wr_i.aeb_gen_cfg_reserved_848.reserved(7 downto 0);</t>
  </si>
  <si>
    <t xml:space="preserve">      avalon_mm_rmap_o.readdata(15 downto 8) &lt;= rmap_registers_wr_i.aeb_gen_cfg_reserved_848.reserved(15 downto 8);</t>
  </si>
  <si>
    <t xml:space="preserve">      avalon_mm_rmap_o.readdata(23 downto 16) &lt;= rmap_registers_wr_i.aeb_gen_cfg_reserved_848.reserved(23 downto 16);</t>
  </si>
  <si>
    <t xml:space="preserve">      avalon_mm_rmap_o.readdata(31 downto 24) &lt;= rmap_registers_wr_i.aeb_gen_cfg_reserved_848.reserved(31 downto 24);</t>
  </si>
  <si>
    <t xml:space="preserve">  when (16#2CD#) =&gt;</t>
  </si>
  <si>
    <t xml:space="preserve">      -- AEB General Configuration Area Register "RESERVED_84C" : "RESERVED" Field</t>
  </si>
  <si>
    <t xml:space="preserve">      avalon_mm_rmap_o.readdata(7 downto 0) &lt;= rmap_registers_wr_i.aeb_gen_cfg_reserved_84c.reserved(7 downto 0);</t>
  </si>
  <si>
    <t xml:space="preserve">      avalon_mm_rmap_o.readdata(15 downto 8) &lt;= rmap_registers_wr_i.aeb_gen_cfg_reserved_84c.reserved(15 downto 8);</t>
  </si>
  <si>
    <t xml:space="preserve">      avalon_mm_rmap_o.readdata(23 downto 16) &lt;= rmap_registers_wr_i.aeb_gen_cfg_reserved_84c.reserved(23 downto 16);</t>
  </si>
  <si>
    <t xml:space="preserve">      avalon_mm_rmap_o.readdata(31 downto 24) &lt;= rmap_registers_wr_i.aeb_gen_cfg_reserved_84c.reserved(31 downto 24);</t>
  </si>
  <si>
    <t xml:space="preserve">  when (16#2CE#) =&gt;</t>
  </si>
  <si>
    <t xml:space="preserve">      -- AEB General Configuration Area Register "RESERVED_850" : "RESERVED" Field</t>
  </si>
  <si>
    <t xml:space="preserve">      avalon_mm_rmap_o.readdata(7 downto 0) &lt;= rmap_registers_wr_i.aeb_gen_cfg_reserved_850.reserved(7 downto 0);</t>
  </si>
  <si>
    <t xml:space="preserve">      avalon_mm_rmap_o.readdata(15 downto 8) &lt;= rmap_registers_wr_i.aeb_gen_cfg_reserved_850.reserved(15 downto 8);</t>
  </si>
  <si>
    <t xml:space="preserve">      avalon_mm_rmap_o.readdata(23 downto 16) &lt;= rmap_registers_wr_i.aeb_gen_cfg_reserved_850.reserved(23 downto 16);</t>
  </si>
  <si>
    <t xml:space="preserve">      avalon_mm_rmap_o.readdata(31 downto 24) &lt;= rmap_registers_wr_i.aeb_gen_cfg_reserved_850.reserved(31 downto 24);</t>
  </si>
  <si>
    <t xml:space="preserve">  when (16#2CF#) =&gt;</t>
  </si>
  <si>
    <t xml:space="preserve">      -- AEB General Configuration Area Register "RESERVED_854" : "RESERVED" Field</t>
  </si>
  <si>
    <t xml:space="preserve">      avalon_mm_rmap_o.readdata(7 downto 0) &lt;= rmap_registers_wr_i.aeb_gen_cfg_reserved_854.reserved(7 downto 0);</t>
  </si>
  <si>
    <t xml:space="preserve">      avalon_mm_rmap_o.readdata(15 downto 8) &lt;= rmap_registers_wr_i.aeb_gen_cfg_reserved_854.reserved(15 downto 8);</t>
  </si>
  <si>
    <t xml:space="preserve">      avalon_mm_rmap_o.readdata(23 downto 16) &lt;= rmap_registers_wr_i.aeb_gen_cfg_reserved_854.reserved(23 downto 16);</t>
  </si>
  <si>
    <t xml:space="preserve">      avalon_mm_rmap_o.readdata(31 downto 24) &lt;= rmap_registers_wr_i.aeb_gen_cfg_reserved_854.reserved(31 downto 24);</t>
  </si>
  <si>
    <t xml:space="preserve">  when (16#2D0#) =&gt;</t>
  </si>
  <si>
    <t xml:space="preserve">      -- AEB General Configuration Area Register "RESERVED_858" : "RESERVED" Field</t>
  </si>
  <si>
    <t xml:space="preserve">      avalon_mm_rmap_o.readdata(7 downto 0) &lt;= rmap_registers_wr_i.aeb_gen_cfg_reserved_858.reserved(7 downto 0);</t>
  </si>
  <si>
    <t xml:space="preserve">      avalon_mm_rmap_o.readdata(15 downto 8) &lt;= rmap_registers_wr_i.aeb_gen_cfg_reserved_858.reserved(15 downto 8);</t>
  </si>
  <si>
    <t xml:space="preserve">      avalon_mm_rmap_o.readdata(23 downto 16) &lt;= rmap_registers_wr_i.aeb_gen_cfg_reserved_858.reserved(23 downto 16);</t>
  </si>
  <si>
    <t xml:space="preserve">      avalon_mm_rmap_o.readdata(31 downto 24) &lt;= rmap_registers_wr_i.aeb_gen_cfg_reserved_858.reserved(31 downto 24);</t>
  </si>
  <si>
    <t xml:space="preserve">  when (16#2D1#) =&gt;</t>
  </si>
  <si>
    <t xml:space="preserve">      -- AEB General Configuration Area Register "RESERVED_85C" : "RESERVED" Field</t>
  </si>
  <si>
    <t xml:space="preserve">      avalon_mm_rmap_o.readdata(7 downto 0) &lt;= rmap_registers_wr_i.aeb_gen_cfg_reserved_85c.reserved(7 downto 0);</t>
  </si>
  <si>
    <t xml:space="preserve">      avalon_mm_rmap_o.readdata(15 downto 8) &lt;= rmap_registers_wr_i.aeb_gen_cfg_reserved_85c.reserved(15 downto 8);</t>
  </si>
  <si>
    <t xml:space="preserve">      avalon_mm_rmap_o.readdata(23 downto 16) &lt;= rmap_registers_wr_i.aeb_gen_cfg_reserved_85c.reserved(23 downto 16);</t>
  </si>
  <si>
    <t xml:space="preserve">      avalon_mm_rmap_o.readdata(31 downto 24) &lt;= rmap_registers_wr_i.aeb_gen_cfg_reserved_85c.reserved(31 downto 24);</t>
  </si>
  <si>
    <t xml:space="preserve">  when (16#2D2#) =&gt;</t>
  </si>
  <si>
    <t xml:space="preserve">      -- AEB General Configuration Area Register "RESERVED_860" : "RESERVED" Field</t>
  </si>
  <si>
    <t xml:space="preserve">      avalon_mm_rmap_o.readdata(7 downto 0) &lt;= rmap_registers_wr_i.aeb_gen_cfg_reserved_860.reserved(7 downto 0);</t>
  </si>
  <si>
    <t xml:space="preserve">      avalon_mm_rmap_o.readdata(15 downto 8) &lt;= rmap_registers_wr_i.aeb_gen_cfg_reserved_860.reserved(15 downto 8);</t>
  </si>
  <si>
    <t xml:space="preserve">      avalon_mm_rmap_o.readdata(23 downto 16) &lt;= rmap_registers_wr_i.aeb_gen_cfg_reserved_860.reserved(23 downto 16);</t>
  </si>
  <si>
    <t xml:space="preserve">      avalon_mm_rmap_o.readdata(31 downto 24) &lt;= rmap_registers_wr_i.aeb_gen_cfg_reserved_860.reserved(31 downto 24);</t>
  </si>
  <si>
    <t xml:space="preserve">  when (16#2D3#) =&gt;</t>
  </si>
  <si>
    <t xml:space="preserve">      -- AEB General Configuration Area Register "RESERVED_864" : "RESERVED" Field</t>
  </si>
  <si>
    <t xml:space="preserve">      avalon_mm_rmap_o.readdata(7 downto 0) &lt;= rmap_registers_wr_i.aeb_gen_cfg_reserved_864.reserved(7 downto 0);</t>
  </si>
  <si>
    <t xml:space="preserve">      avalon_mm_rmap_o.readdata(15 downto 8) &lt;= rmap_registers_wr_i.aeb_gen_cfg_reserved_864.reserved(15 downto 8);</t>
  </si>
  <si>
    <t xml:space="preserve">      avalon_mm_rmap_o.readdata(23 downto 16) &lt;= rmap_registers_wr_i.aeb_gen_cfg_reserved_864.reserved(23 downto 16);</t>
  </si>
  <si>
    <t xml:space="preserve">      avalon_mm_rmap_o.readdata(31 downto 24) &lt;= rmap_registers_wr_i.aeb_gen_cfg_reserved_864.reserved(31 downto 24);</t>
  </si>
  <si>
    <t xml:space="preserve">  when (16#2D4#) =&gt;</t>
  </si>
  <si>
    <t xml:space="preserve">      -- AEB General Configuration Area Register "RESERVED_868" : "RESERVED" Field</t>
  </si>
  <si>
    <t xml:space="preserve">      avalon_mm_rmap_o.readdata(7 downto 0) &lt;= rmap_registers_wr_i.aeb_gen_cfg_reserved_868.reserved(7 downto 0);</t>
  </si>
  <si>
    <t xml:space="preserve">      avalon_mm_rmap_o.readdata(15 downto 8) &lt;= rmap_registers_wr_i.aeb_gen_cfg_reserved_868.reserved(15 downto 8);</t>
  </si>
  <si>
    <t xml:space="preserve">      avalon_mm_rmap_o.readdata(23 downto 16) &lt;= rmap_registers_wr_i.aeb_gen_cfg_reserved_868.reserved(23 downto 16);</t>
  </si>
  <si>
    <t xml:space="preserve">      avalon_mm_rmap_o.readdata(31 downto 24) &lt;= rmap_registers_wr_i.aeb_gen_cfg_reserved_868.reserved(31 downto 24);</t>
  </si>
  <si>
    <t xml:space="preserve">  when (16#2D5#) =&gt;</t>
  </si>
  <si>
    <t xml:space="preserve">      -- AEB General Configuration Area Register "RESERVED_86C" : "RESERVED" Field</t>
  </si>
  <si>
    <t xml:space="preserve">      avalon_mm_rmap_o.readdata(7 downto 0) &lt;= rmap_registers_wr_i.aeb_gen_cfg_reserved_86c.reserved(7 downto 0);</t>
  </si>
  <si>
    <t xml:space="preserve">      avalon_mm_rmap_o.readdata(15 downto 8) &lt;= rmap_registers_wr_i.aeb_gen_cfg_reserved_86c.reserved(15 downto 8);</t>
  </si>
  <si>
    <t xml:space="preserve">      avalon_mm_rmap_o.readdata(23 downto 16) &lt;= rmap_registers_wr_i.aeb_gen_cfg_reserved_86c.reserved(23 downto 16);</t>
  </si>
  <si>
    <t xml:space="preserve">      avalon_mm_rmap_o.readdata(31 downto 24) &lt;= rmap_registers_wr_i.aeb_gen_cfg_reserved_86c.reserved(31 downto 24);</t>
  </si>
  <si>
    <t xml:space="preserve">  when (16#2D6#) =&gt;</t>
  </si>
  <si>
    <t xml:space="preserve">      -- AEB General Configuration Area Register "RESERVED_870" : "RESERVED" Field</t>
  </si>
  <si>
    <t xml:space="preserve">      avalon_mm_rmap_o.readdata(7 downto 0) &lt;= rmap_registers_wr_i.aeb_gen_cfg_reserved_870.reserved(7 downto 0);</t>
  </si>
  <si>
    <t xml:space="preserve">      avalon_mm_rmap_o.readdata(15 downto 8) &lt;= rmap_registers_wr_i.aeb_gen_cfg_reserved_870.reserved(15 downto 8);</t>
  </si>
  <si>
    <t xml:space="preserve">      avalon_mm_rmap_o.readdata(23 downto 16) &lt;= rmap_registers_wr_i.aeb_gen_cfg_reserved_870.reserved(23 downto 16);</t>
  </si>
  <si>
    <t xml:space="preserve">      avalon_mm_rmap_o.readdata(31 downto 24) &lt;= rmap_registers_wr_i.aeb_gen_cfg_reserved_870.reserved(31 downto 24);</t>
  </si>
  <si>
    <t xml:space="preserve">  when (16#2D7#) =&gt;</t>
  </si>
  <si>
    <t xml:space="preserve">      -- AEB General Configuration Area Register "RESERVED_874" : "RESERVED" Field</t>
  </si>
  <si>
    <t xml:space="preserve">      avalon_mm_rmap_o.readdata(7 downto 0) &lt;= rmap_registers_wr_i.aeb_gen_cfg_reserved_874.reserved(7 downto 0);</t>
  </si>
  <si>
    <t xml:space="preserve">      avalon_mm_rmap_o.readdata(15 downto 8) &lt;= rmap_registers_wr_i.aeb_gen_cfg_reserved_874.reserved(15 downto 8);</t>
  </si>
  <si>
    <t xml:space="preserve">      avalon_mm_rmap_o.readdata(23 downto 16) &lt;= rmap_registers_wr_i.aeb_gen_cfg_reserved_874.reserved(23 downto 16);</t>
  </si>
  <si>
    <t xml:space="preserve">      avalon_mm_rmap_o.readdata(31 downto 24) &lt;= rmap_registers_wr_i.aeb_gen_cfg_reserved_874.reserved(31 downto 24);</t>
  </si>
  <si>
    <t xml:space="preserve">  when (16#2D8#) =&gt;</t>
  </si>
  <si>
    <t xml:space="preserve">      -- AEB General Configuration Area Register "RESERVED_878" : "RESERVED" Field</t>
  </si>
  <si>
    <t xml:space="preserve">      avalon_mm_rmap_o.readdata(7 downto 0) &lt;= rmap_registers_wr_i.aeb_gen_cfg_reserved_878.reserved(7 downto 0);</t>
  </si>
  <si>
    <t xml:space="preserve">      avalon_mm_rmap_o.readdata(15 downto 8) &lt;= rmap_registers_wr_i.aeb_gen_cfg_reserved_878.reserved(15 downto 8);</t>
  </si>
  <si>
    <t xml:space="preserve">      avalon_mm_rmap_o.readdata(23 downto 16) &lt;= rmap_registers_wr_i.aeb_gen_cfg_reserved_878.reserved(23 downto 16);</t>
  </si>
  <si>
    <t xml:space="preserve">      avalon_mm_rmap_o.readdata(31 downto 24) &lt;= rmap_registers_wr_i.aeb_gen_cfg_reserved_878.reserved(31 downto 24);</t>
  </si>
  <si>
    <t xml:space="preserve">  when (16#2D9#) =&gt;</t>
  </si>
  <si>
    <t xml:space="preserve">      -- AEB General Configuration Area Register "RESERVED_87C" : "RESERVED" Field</t>
  </si>
  <si>
    <t xml:space="preserve">      avalon_mm_rmap_o.readdata(7 downto 0) &lt;= rmap_registers_wr_i.aeb_gen_cfg_reserved_87c.reserved(7 downto 0);</t>
  </si>
  <si>
    <t xml:space="preserve">      avalon_mm_rmap_o.readdata(15 downto 8) &lt;= rmap_registers_wr_i.aeb_gen_cfg_reserved_87c.reserved(15 downto 8);</t>
  </si>
  <si>
    <t xml:space="preserve">      avalon_mm_rmap_o.readdata(23 downto 16) &lt;= rmap_registers_wr_i.aeb_gen_cfg_reserved_87c.reserved(23 downto 16);</t>
  </si>
  <si>
    <t xml:space="preserve">      avalon_mm_rmap_o.readdata(31 downto 24) &lt;= rmap_registers_wr_i.aeb_gen_cfg_reserved_87c.reserved(31 downto 24);</t>
  </si>
  <si>
    <t xml:space="preserve">  when (16#2DA#) =&gt;</t>
  </si>
  <si>
    <t xml:space="preserve">      -- AEB General Configuration Area Register "RESERVED_880" : "RESERVED" Field</t>
  </si>
  <si>
    <t xml:space="preserve">      avalon_mm_rmap_o.readdata(7 downto 0) &lt;= rmap_registers_wr_i.aeb_gen_cfg_reserved_880.reserved(7 downto 0);</t>
  </si>
  <si>
    <t xml:space="preserve">      avalon_mm_rmap_o.readdata(15 downto 8) &lt;= rmap_registers_wr_i.aeb_gen_cfg_reserved_880.reserved(15 downto 8);</t>
  </si>
  <si>
    <t xml:space="preserve">      avalon_mm_rmap_o.readdata(23 downto 16) &lt;= rmap_registers_wr_i.aeb_gen_cfg_reserved_880.reserved(23 downto 16);</t>
  </si>
  <si>
    <t xml:space="preserve">      avalon_mm_rmap_o.readdata(31 downto 24) &lt;= rmap_registers_wr_i.aeb_gen_cfg_reserved_880.reserved(31 downto 24);</t>
  </si>
  <si>
    <t xml:space="preserve">  when (16#2DB#) =&gt;</t>
  </si>
  <si>
    <t xml:space="preserve">      -- AEB General Configuration Area Register "RESERVED_884" : "RESERVED" Field</t>
  </si>
  <si>
    <t xml:space="preserve">      avalon_mm_rmap_o.readdata(7 downto 0) &lt;= rmap_registers_wr_i.aeb_gen_cfg_reserved_884.reserved(7 downto 0);</t>
  </si>
  <si>
    <t xml:space="preserve">      avalon_mm_rmap_o.readdata(15 downto 8) &lt;= rmap_registers_wr_i.aeb_gen_cfg_reserved_884.reserved(15 downto 8);</t>
  </si>
  <si>
    <t xml:space="preserve">      avalon_mm_rmap_o.readdata(23 downto 16) &lt;= rmap_registers_wr_i.aeb_gen_cfg_reserved_884.reserved(23 downto 16);</t>
  </si>
  <si>
    <t xml:space="preserve">      avalon_mm_rmap_o.readdata(31 downto 24) &lt;= rmap_registers_wr_i.aeb_gen_cfg_reserved_884.reserved(31 downto 24);</t>
  </si>
  <si>
    <t xml:space="preserve">  when (16#2DC#) =&gt;</t>
  </si>
  <si>
    <t xml:space="preserve">      -- AEB General Configuration Area Register "RESERVED_888" : "RESERVED" Field</t>
  </si>
  <si>
    <t xml:space="preserve">      avalon_mm_rmap_o.readdata(7 downto 0) &lt;= rmap_registers_wr_i.aeb_gen_cfg_reserved_888.reserved(7 downto 0);</t>
  </si>
  <si>
    <t xml:space="preserve">      avalon_mm_rmap_o.readdata(15 downto 8) &lt;= rmap_registers_wr_i.aeb_gen_cfg_reserved_888.reserved(15 downto 8);</t>
  </si>
  <si>
    <t xml:space="preserve">      avalon_mm_rmap_o.readdata(23 downto 16) &lt;= rmap_registers_wr_i.aeb_gen_cfg_reserved_888.reserved(23 downto 16);</t>
  </si>
  <si>
    <t xml:space="preserve">      avalon_mm_rmap_o.readdata(31 downto 24) &lt;= rmap_registers_wr_i.aeb_gen_cfg_reserved_888.reserved(31 downto 24);</t>
  </si>
  <si>
    <t xml:space="preserve">  when (16#2DD#) =&gt;</t>
  </si>
  <si>
    <t xml:space="preserve">      -- AEB General Configuration Area Register "RESERVED_88C" : "RESERVED" Field</t>
  </si>
  <si>
    <t xml:space="preserve">      avalon_mm_rmap_o.readdata(7 downto 0) &lt;= rmap_registers_wr_i.aeb_gen_cfg_reserved_88c.reserved(7 downto 0);</t>
  </si>
  <si>
    <t xml:space="preserve">      avalon_mm_rmap_o.readdata(15 downto 8) &lt;= rmap_registers_wr_i.aeb_gen_cfg_reserved_88c.reserved(15 downto 8);</t>
  </si>
  <si>
    <t xml:space="preserve">      avalon_mm_rmap_o.readdata(23 downto 16) &lt;= rmap_registers_wr_i.aeb_gen_cfg_reserved_88c.reserved(23 downto 16);</t>
  </si>
  <si>
    <t xml:space="preserve">      avalon_mm_rmap_o.readdata(31 downto 24) &lt;= rmap_registers_wr_i.aeb_gen_cfg_reserved_88c.reserved(31 downto 24);</t>
  </si>
  <si>
    <t xml:space="preserve">  when (16#2DE#) =&gt;</t>
  </si>
  <si>
    <t xml:space="preserve">      -- AEB General Configuration Area Register "RESERVED_890" : "RESERVED" Field</t>
  </si>
  <si>
    <t xml:space="preserve">      avalon_mm_rmap_o.readdata(7 downto 0) &lt;= rmap_registers_wr_i.aeb_gen_cfg_reserved_890.reserved(7 downto 0);</t>
  </si>
  <si>
    <t xml:space="preserve">      avalon_mm_rmap_o.readdata(15 downto 8) &lt;= rmap_registers_wr_i.aeb_gen_cfg_reserved_890.reserved(15 downto 8);</t>
  </si>
  <si>
    <t xml:space="preserve">      avalon_mm_rmap_o.readdata(23 downto 16) &lt;= rmap_registers_wr_i.aeb_gen_cfg_reserved_890.reserved(23 downto 16);</t>
  </si>
  <si>
    <t xml:space="preserve">      avalon_mm_rmap_o.readdata(31 downto 24) &lt;= rmap_registers_wr_i.aeb_gen_cfg_reserved_890.reserved(31 downto 24);</t>
  </si>
  <si>
    <t xml:space="preserve">  when (16#2DF#) =&gt;</t>
  </si>
  <si>
    <t xml:space="preserve">      -- AEB General Configuration Area Register "RESERVED_894" : "RESERVED" Field</t>
  </si>
  <si>
    <t xml:space="preserve">      avalon_mm_rmap_o.readdata(7 downto 0) &lt;= rmap_registers_wr_i.aeb_gen_cfg_reserved_894.reserved(7 downto 0);</t>
  </si>
  <si>
    <t xml:space="preserve">      avalon_mm_rmap_o.readdata(15 downto 8) &lt;= rmap_registers_wr_i.aeb_gen_cfg_reserved_894.reserved(15 downto 8);</t>
  </si>
  <si>
    <t xml:space="preserve">      avalon_mm_rmap_o.readdata(23 downto 16) &lt;= rmap_registers_wr_i.aeb_gen_cfg_reserved_894.reserved(23 downto 16);</t>
  </si>
  <si>
    <t xml:space="preserve">      avalon_mm_rmap_o.readdata(31 downto 24) &lt;= rmap_registers_wr_i.aeb_gen_cfg_reserved_894.reserved(31 downto 24);</t>
  </si>
  <si>
    <t xml:space="preserve">  when (16#2E0#) =&gt;</t>
  </si>
  <si>
    <t xml:space="preserve">      -- AEB General Configuration Area Register "RESERVED_898" : "RESERVED" Field</t>
  </si>
  <si>
    <t xml:space="preserve">      avalon_mm_rmap_o.readdata(7 downto 0) &lt;= rmap_registers_wr_i.aeb_gen_cfg_reserved_898.reserved(7 downto 0);</t>
  </si>
  <si>
    <t xml:space="preserve">      avalon_mm_rmap_o.readdata(15 downto 8) &lt;= rmap_registers_wr_i.aeb_gen_cfg_reserved_898.reserved(15 downto 8);</t>
  </si>
  <si>
    <t xml:space="preserve">      avalon_mm_rmap_o.readdata(23 downto 16) &lt;= rmap_registers_wr_i.aeb_gen_cfg_reserved_898.reserved(23 downto 16);</t>
  </si>
  <si>
    <t xml:space="preserve">      avalon_mm_rmap_o.readdata(31 downto 24) &lt;= rmap_registers_wr_i.aeb_gen_cfg_reserved_898.reserved(31 downto 24);</t>
  </si>
  <si>
    <t xml:space="preserve">  when (16#2E1#) =&gt;</t>
  </si>
  <si>
    <t xml:space="preserve">      -- AEB General Configuration Area Register "RESERVED_89C" : "RESERVED" Field</t>
  </si>
  <si>
    <t xml:space="preserve">      avalon_mm_rmap_o.readdata(7 downto 0) &lt;= rmap_registers_wr_i.aeb_gen_cfg_reserved_89c.reserved(7 downto 0);</t>
  </si>
  <si>
    <t xml:space="preserve">      avalon_mm_rmap_o.readdata(15 downto 8) &lt;= rmap_registers_wr_i.aeb_gen_cfg_reserved_89c.reserved(15 downto 8);</t>
  </si>
  <si>
    <t xml:space="preserve">      avalon_mm_rmap_o.readdata(23 downto 16) &lt;= rmap_registers_wr_i.aeb_gen_cfg_reserved_89c.reserved(23 downto 16);</t>
  </si>
  <si>
    <t xml:space="preserve">      avalon_mm_rmap_o.readdata(31 downto 24) &lt;= rmap_registers_wr_i.aeb_gen_cfg_reserved_89c.reserved(31 downto 24);</t>
  </si>
  <si>
    <t xml:space="preserve">  when (16#2E2#) =&gt;</t>
  </si>
  <si>
    <t xml:space="preserve">      -- AEB General Configuration Area Register "RESERVED_8A0" : "RESERVED" Field</t>
  </si>
  <si>
    <t xml:space="preserve">      avalon_mm_rmap_o.readdata(7 downto 0) &lt;= rmap_registers_wr_i.aeb_gen_cfg_reserved_8a0.reserved(7 downto 0);</t>
  </si>
  <si>
    <t xml:space="preserve">      avalon_mm_rmap_o.readdata(15 downto 8) &lt;= rmap_registers_wr_i.aeb_gen_cfg_reserved_8a0.reserved(15 downto 8);</t>
  </si>
  <si>
    <t xml:space="preserve">      avalon_mm_rmap_o.readdata(23 downto 16) &lt;= rmap_registers_wr_i.aeb_gen_cfg_reserved_8a0.reserved(23 downto 16);</t>
  </si>
  <si>
    <t xml:space="preserve">      avalon_mm_rmap_o.readdata(31 downto 24) &lt;= rmap_registers_wr_i.aeb_gen_cfg_reserved_8a0.reserved(31 downto 24);</t>
  </si>
  <si>
    <t xml:space="preserve">  when (16#2E3#) =&gt;</t>
  </si>
  <si>
    <t xml:space="preserve">      -- AEB General Configuration Area Register "RESERVED_8A4" : "RESERVED" Field</t>
  </si>
  <si>
    <t xml:space="preserve">      avalon_mm_rmap_o.readdata(7 downto 0) &lt;= rmap_registers_wr_i.aeb_gen_cfg_reserved_8a4.reserved(7 downto 0);</t>
  </si>
  <si>
    <t xml:space="preserve">      avalon_mm_rmap_o.readdata(15 downto 8) &lt;= rmap_registers_wr_i.aeb_gen_cfg_reserved_8a4.reserved(15 downto 8);</t>
  </si>
  <si>
    <t xml:space="preserve">      avalon_mm_rmap_o.readdata(23 downto 16) &lt;= rmap_registers_wr_i.aeb_gen_cfg_reserved_8a4.reserved(23 downto 16);</t>
  </si>
  <si>
    <t xml:space="preserve">      avalon_mm_rmap_o.readdata(31 downto 24) &lt;= rmap_registers_wr_i.aeb_gen_cfg_reserved_8a4.reserved(31 downto 24);</t>
  </si>
  <si>
    <t xml:space="preserve">  when (16#2E4#) =&gt;</t>
  </si>
  <si>
    <t xml:space="preserve">      -- AEB General Configuration Area Register "RESERVED_8A8" : "RESERVED" Field</t>
  </si>
  <si>
    <t xml:space="preserve">      avalon_mm_rmap_o.readdata(7 downto 0) &lt;= rmap_registers_wr_i.aeb_gen_cfg_reserved_8a8.reserved(7 downto 0);</t>
  </si>
  <si>
    <t xml:space="preserve">      avalon_mm_rmap_o.readdata(15 downto 8) &lt;= rmap_registers_wr_i.aeb_gen_cfg_reserved_8a8.reserved(15 downto 8);</t>
  </si>
  <si>
    <t xml:space="preserve">      avalon_mm_rmap_o.readdata(23 downto 16) &lt;= rmap_registers_wr_i.aeb_gen_cfg_reserved_8a8.reserved(23 downto 16);</t>
  </si>
  <si>
    <t xml:space="preserve">      avalon_mm_rmap_o.readdata(31 downto 24) &lt;= rmap_registers_wr_i.aeb_gen_cfg_reserved_8a8.reserved(31 downto 24);</t>
  </si>
  <si>
    <t xml:space="preserve">  when (16#2E5#) =&gt;</t>
  </si>
  <si>
    <t xml:space="preserve">      -- AEB General Configuration Area Register "RESERVED_8AC" : "RESERVED" Field</t>
  </si>
  <si>
    <t xml:space="preserve">      avalon_mm_rmap_o.readdata(7 downto 0) &lt;= rmap_registers_wr_i.aeb_gen_cfg_reserved_8ac.reserved(7 downto 0);</t>
  </si>
  <si>
    <t xml:space="preserve">      avalon_mm_rmap_o.readdata(15 downto 8) &lt;= rmap_registers_wr_i.aeb_gen_cfg_reserved_8ac.reserved(15 downto 8);</t>
  </si>
  <si>
    <t xml:space="preserve">      avalon_mm_rmap_o.readdata(23 downto 16) &lt;= rmap_registers_wr_i.aeb_gen_cfg_reserved_8ac.reserved(23 downto 16);</t>
  </si>
  <si>
    <t xml:space="preserve">      avalon_mm_rmap_o.readdata(31 downto 24) &lt;= rmap_registers_wr_i.aeb_gen_cfg_reserved_8ac.reserved(31 downto 24);</t>
  </si>
  <si>
    <t xml:space="preserve">  when (16#2E6#) =&gt;</t>
  </si>
  <si>
    <t xml:space="preserve">      -- AEB General Configuration Area Register "RESERVED_8B0" : "RESERVED" Field</t>
  </si>
  <si>
    <t xml:space="preserve">      avalon_mm_rmap_o.readdata(7 downto 0) &lt;= rmap_registers_wr_i.aeb_gen_cfg_reserved_8b0.reserved(7 downto 0);</t>
  </si>
  <si>
    <t xml:space="preserve">      avalon_mm_rmap_o.readdata(15 downto 8) &lt;= rmap_registers_wr_i.aeb_gen_cfg_reserved_8b0.reserved(15 downto 8);</t>
  </si>
  <si>
    <t xml:space="preserve">      avalon_mm_rmap_o.readdata(23 downto 16) &lt;= rmap_registers_wr_i.aeb_gen_cfg_reserved_8b0.reserved(23 downto 16);</t>
  </si>
  <si>
    <t xml:space="preserve">      avalon_mm_rmap_o.readdata(31 downto 24) &lt;= rmap_registers_wr_i.aeb_gen_cfg_reserved_8b0.reserved(31 downto 24);</t>
  </si>
  <si>
    <t xml:space="preserve">  when (16#2E7#) =&gt;</t>
  </si>
  <si>
    <t xml:space="preserve">      -- AEB General Configuration Area Register "RESERVED_8B4" : "RESERVED" Field</t>
  </si>
  <si>
    <t xml:space="preserve">      avalon_mm_rmap_o.readdata(7 downto 0) &lt;= rmap_registers_wr_i.aeb_gen_cfg_reserved_8b4.reserved(7 downto 0);</t>
  </si>
  <si>
    <t xml:space="preserve">      avalon_mm_rmap_o.readdata(15 downto 8) &lt;= rmap_registers_wr_i.aeb_gen_cfg_reserved_8b4.reserved(15 downto 8);</t>
  </si>
  <si>
    <t xml:space="preserve">      avalon_mm_rmap_o.readdata(23 downto 16) &lt;= rmap_registers_wr_i.aeb_gen_cfg_reserved_8b4.reserved(23 downto 16);</t>
  </si>
  <si>
    <t xml:space="preserve">      avalon_mm_rmap_o.readdata(31 downto 24) &lt;= rmap_registers_wr_i.aeb_gen_cfg_reserved_8b4.reserved(31 downto 24);</t>
  </si>
  <si>
    <t xml:space="preserve">  when (16#2E8#) =&gt;</t>
  </si>
  <si>
    <t xml:space="preserve">      -- AEB General Configuration Area Register "RESERVED_8B8" : "RESERVED" Field</t>
  </si>
  <si>
    <t xml:space="preserve">      avalon_mm_rmap_o.readdata(7 downto 0) &lt;= rmap_registers_wr_i.aeb_gen_cfg_reserved_8b8.reserved(7 downto 0);</t>
  </si>
  <si>
    <t xml:space="preserve">      avalon_mm_rmap_o.readdata(15 downto 8) &lt;= rmap_registers_wr_i.aeb_gen_cfg_reserved_8b8.reserved(15 downto 8);</t>
  </si>
  <si>
    <t xml:space="preserve">      avalon_mm_rmap_o.readdata(23 downto 16) &lt;= rmap_registers_wr_i.aeb_gen_cfg_reserved_8b8.reserved(23 downto 16);</t>
  </si>
  <si>
    <t xml:space="preserve">      avalon_mm_rmap_o.readdata(31 downto 24) &lt;= rmap_registers_wr_i.aeb_gen_cfg_reserved_8b8.reserved(31 downto 24);</t>
  </si>
  <si>
    <t xml:space="preserve">  when (16#2E9#) =&gt;</t>
  </si>
  <si>
    <t xml:space="preserve">      -- AEB General Configuration Area Register "RESERVED_8BC" : "RESERVED" Field</t>
  </si>
  <si>
    <t xml:space="preserve">      avalon_mm_rmap_o.readdata(7 downto 0) &lt;= rmap_registers_wr_i.aeb_gen_cfg_reserved_8bc.reserved(7 downto 0);</t>
  </si>
  <si>
    <t xml:space="preserve">      avalon_mm_rmap_o.readdata(15 downto 8) &lt;= rmap_registers_wr_i.aeb_gen_cfg_reserved_8bc.reserved(15 downto 8);</t>
  </si>
  <si>
    <t xml:space="preserve">      avalon_mm_rmap_o.readdata(23 downto 16) &lt;= rmap_registers_wr_i.aeb_gen_cfg_reserved_8bc.reserved(23 downto 16);</t>
  </si>
  <si>
    <t xml:space="preserve">      avalon_mm_rmap_o.readdata(31 downto 24) &lt;= rmap_registers_wr_i.aeb_gen_cfg_reserved_8bc.reserved(31 downto 24);</t>
  </si>
  <si>
    <t xml:space="preserve">  when (16#2EA#) =&gt;</t>
  </si>
  <si>
    <t xml:space="preserve">      -- AEB General Configuration Area Register "RESERVED_8C0" : "RESERVED" Field</t>
  </si>
  <si>
    <t xml:space="preserve">      avalon_mm_rmap_o.readdata(7 downto 0) &lt;= rmap_registers_wr_i.aeb_gen_cfg_reserved_8c0.reserved(7 downto 0);</t>
  </si>
  <si>
    <t xml:space="preserve">      avalon_mm_rmap_o.readdata(15 downto 8) &lt;= rmap_registers_wr_i.aeb_gen_cfg_reserved_8c0.reserved(15 downto 8);</t>
  </si>
  <si>
    <t xml:space="preserve">      avalon_mm_rmap_o.readdata(23 downto 16) &lt;= rmap_registers_wr_i.aeb_gen_cfg_reserved_8c0.reserved(23 downto 16);</t>
  </si>
  <si>
    <t xml:space="preserve">      avalon_mm_rmap_o.readdata(31 downto 24) &lt;= rmap_registers_wr_i.aeb_gen_cfg_reserved_8c0.reserved(31 downto 24);</t>
  </si>
  <si>
    <t xml:space="preserve">  when (16#2EB#) =&gt;</t>
  </si>
  <si>
    <t xml:space="preserve">      -- AEB General Configuration Area Register "RESERVED_8C4" : "RESERVED" Field</t>
  </si>
  <si>
    <t xml:space="preserve">      avalon_mm_rmap_o.readdata(7 downto 0) &lt;= rmap_registers_wr_i.aeb_gen_cfg_reserved_8c4.reserved(7 downto 0);</t>
  </si>
  <si>
    <t xml:space="preserve">      avalon_mm_rmap_o.readdata(15 downto 8) &lt;= rmap_registers_wr_i.aeb_gen_cfg_reserved_8c4.reserved(15 downto 8);</t>
  </si>
  <si>
    <t xml:space="preserve">      avalon_mm_rmap_o.readdata(23 downto 16) &lt;= rmap_registers_wr_i.aeb_gen_cfg_reserved_8c4.reserved(23 downto 16);</t>
  </si>
  <si>
    <t xml:space="preserve">      avalon_mm_rmap_o.readdata(31 downto 24) &lt;= rmap_registers_wr_i.aeb_gen_cfg_reserved_8c4.reserved(31 downto 24);</t>
  </si>
  <si>
    <t xml:space="preserve">  when (16#2EC#) =&gt;</t>
  </si>
  <si>
    <t xml:space="preserve">      -- AEB General Configuration Area Register "RESERVED_8C8" : "RESERVED" Field</t>
  </si>
  <si>
    <t xml:space="preserve">      avalon_mm_rmap_o.readdata(7 downto 0) &lt;= rmap_registers_wr_i.aeb_gen_cfg_reserved_8c8.reserved(7 downto 0);</t>
  </si>
  <si>
    <t xml:space="preserve">      avalon_mm_rmap_o.readdata(15 downto 8) &lt;= rmap_registers_wr_i.aeb_gen_cfg_reserved_8c8.reserved(15 downto 8);</t>
  </si>
  <si>
    <t xml:space="preserve">      avalon_mm_rmap_o.readdata(23 downto 16) &lt;= rmap_registers_wr_i.aeb_gen_cfg_reserved_8c8.reserved(23 downto 16);</t>
  </si>
  <si>
    <t xml:space="preserve">      avalon_mm_rmap_o.readdata(31 downto 24) &lt;= rmap_registers_wr_i.aeb_gen_cfg_reserved_8c8.reserved(31 downto 24);</t>
  </si>
  <si>
    <t xml:space="preserve">  when (16#2ED#) =&gt;</t>
  </si>
  <si>
    <t xml:space="preserve">      -- AEB General Configuration Area Register "RESERVED_8CC" : "RESERVED" Field</t>
  </si>
  <si>
    <t xml:space="preserve">      avalon_mm_rmap_o.readdata(7 downto 0) &lt;= rmap_registers_wr_i.aeb_gen_cfg_reserved_8cc.reserved(7 downto 0);</t>
  </si>
  <si>
    <t xml:space="preserve">      avalon_mm_rmap_o.readdata(15 downto 8) &lt;= rmap_registers_wr_i.aeb_gen_cfg_reserved_8cc.reserved(15 downto 8);</t>
  </si>
  <si>
    <t xml:space="preserve">      avalon_mm_rmap_o.readdata(23 downto 16) &lt;= rmap_registers_wr_i.aeb_gen_cfg_reserved_8cc.reserved(23 downto 16);</t>
  </si>
  <si>
    <t xml:space="preserve">      avalon_mm_rmap_o.readdata(31 downto 24) &lt;= rmap_registers_wr_i.aeb_gen_cfg_reserved_8cc.reserved(31 downto 24);</t>
  </si>
  <si>
    <t xml:space="preserve">  when (16#2EE#) =&gt;</t>
  </si>
  <si>
    <t xml:space="preserve">      -- AEB General Configuration Area Register "RESERVED_8D0" : "RESERVED" Field</t>
  </si>
  <si>
    <t xml:space="preserve">      avalon_mm_rmap_o.readdata(7 downto 0) &lt;= rmap_registers_wr_i.aeb_gen_cfg_reserved_8d0.reserved(7 downto 0);</t>
  </si>
  <si>
    <t xml:space="preserve">      avalon_mm_rmap_o.readdata(15 downto 8) &lt;= rmap_registers_wr_i.aeb_gen_cfg_reserved_8d0.reserved(15 downto 8);</t>
  </si>
  <si>
    <t xml:space="preserve">      avalon_mm_rmap_o.readdata(23 downto 16) &lt;= rmap_registers_wr_i.aeb_gen_cfg_reserved_8d0.reserved(23 downto 16);</t>
  </si>
  <si>
    <t xml:space="preserve">      avalon_mm_rmap_o.readdata(31 downto 24) &lt;= rmap_registers_wr_i.aeb_gen_cfg_reserved_8d0.reserved(31 downto 24);</t>
  </si>
  <si>
    <t xml:space="preserve">  when (16#2EF#) =&gt;</t>
  </si>
  <si>
    <t xml:space="preserve">      -- AEB General Configuration Area Register "RESERVED_8D4" : "RESERVED" Field</t>
  </si>
  <si>
    <t xml:space="preserve">      avalon_mm_rmap_o.readdata(7 downto 0) &lt;= rmap_registers_wr_i.aeb_gen_cfg_reserved_8d4.reserved(7 downto 0);</t>
  </si>
  <si>
    <t xml:space="preserve">      avalon_mm_rmap_o.readdata(15 downto 8) &lt;= rmap_registers_wr_i.aeb_gen_cfg_reserved_8d4.reserved(15 downto 8);</t>
  </si>
  <si>
    <t xml:space="preserve">      avalon_mm_rmap_o.readdata(23 downto 16) &lt;= rmap_registers_wr_i.aeb_gen_cfg_reserved_8d4.reserved(23 downto 16);</t>
  </si>
  <si>
    <t xml:space="preserve">      avalon_mm_rmap_o.readdata(31 downto 24) &lt;= rmap_registers_wr_i.aeb_gen_cfg_reserved_8d4.reserved(31 downto 24);</t>
  </si>
  <si>
    <t xml:space="preserve">  when (16#2F0#) =&gt;</t>
  </si>
  <si>
    <t xml:space="preserve">      -- AEB General Configuration Area Register "RESERVED_8D8" : "RESERVED" Field</t>
  </si>
  <si>
    <t xml:space="preserve">      avalon_mm_rmap_o.readdata(7 downto 0) &lt;= rmap_registers_wr_i.aeb_gen_cfg_reserved_8d8.reserved(7 downto 0);</t>
  </si>
  <si>
    <t xml:space="preserve">      avalon_mm_rmap_o.readdata(15 downto 8) &lt;= rmap_registers_wr_i.aeb_gen_cfg_reserved_8d8.reserved(15 downto 8);</t>
  </si>
  <si>
    <t xml:space="preserve">      avalon_mm_rmap_o.readdata(23 downto 16) &lt;= rmap_registers_wr_i.aeb_gen_cfg_reserved_8d8.reserved(23 downto 16);</t>
  </si>
  <si>
    <t xml:space="preserve">      avalon_mm_rmap_o.readdata(31 downto 24) &lt;= rmap_registers_wr_i.aeb_gen_cfg_reserved_8d8.reserved(31 downto 24);</t>
  </si>
  <si>
    <t xml:space="preserve">  when (16#2F1#) =&gt;</t>
  </si>
  <si>
    <t xml:space="preserve">      -- AEB General Configuration Area Register "RESERVED_8DC" : "RESERVED" Field</t>
  </si>
  <si>
    <t xml:space="preserve">      avalon_mm_rmap_o.readdata(7 downto 0) &lt;= rmap_registers_wr_i.aeb_gen_cfg_reserved_8dc.reserved(7 downto 0);</t>
  </si>
  <si>
    <t xml:space="preserve">      avalon_mm_rmap_o.readdata(15 downto 8) &lt;= rmap_registers_wr_i.aeb_gen_cfg_reserved_8dc.reserved(15 downto 8);</t>
  </si>
  <si>
    <t xml:space="preserve">      avalon_mm_rmap_o.readdata(23 downto 16) &lt;= rmap_registers_wr_i.aeb_gen_cfg_reserved_8dc.reserved(23 downto 16);</t>
  </si>
  <si>
    <t xml:space="preserve">      avalon_mm_rmap_o.readdata(31 downto 24) &lt;= rmap_registers_wr_i.aeb_gen_cfg_reserved_8dc.reserved(31 downto 24);</t>
  </si>
  <si>
    <t xml:space="preserve">  when (16#2F2#) =&gt;</t>
  </si>
  <si>
    <t xml:space="preserve">      -- AEB General Configuration Area Register "RESERVED_8E0" : "RESERVED" Field</t>
  </si>
  <si>
    <t xml:space="preserve">      avalon_mm_rmap_o.readdata(7 downto 0) &lt;= rmap_registers_wr_i.aeb_gen_cfg_reserved_8e0.reserved(7 downto 0);</t>
  </si>
  <si>
    <t xml:space="preserve">      avalon_mm_rmap_o.readdata(15 downto 8) &lt;= rmap_registers_wr_i.aeb_gen_cfg_reserved_8e0.reserved(15 downto 8);</t>
  </si>
  <si>
    <t xml:space="preserve">      avalon_mm_rmap_o.readdata(23 downto 16) &lt;= rmap_registers_wr_i.aeb_gen_cfg_reserved_8e0.reserved(23 downto 16);</t>
  </si>
  <si>
    <t xml:space="preserve">      avalon_mm_rmap_o.readdata(31 downto 24) &lt;= rmap_registers_wr_i.aeb_gen_cfg_reserved_8e0.reserved(31 downto 24);</t>
  </si>
  <si>
    <t xml:space="preserve">  when (16#2F3#) =&gt;</t>
  </si>
  <si>
    <t xml:space="preserve">      -- AEB General Configuration Area Register "RESERVED_8E4" : "RESERVED" Field</t>
  </si>
  <si>
    <t xml:space="preserve">      avalon_mm_rmap_o.readdata(7 downto 0) &lt;= rmap_registers_wr_i.aeb_gen_cfg_reserved_8e4.reserved(7 downto 0);</t>
  </si>
  <si>
    <t xml:space="preserve">      avalon_mm_rmap_o.readdata(15 downto 8) &lt;= rmap_registers_wr_i.aeb_gen_cfg_reserved_8e4.reserved(15 downto 8);</t>
  </si>
  <si>
    <t xml:space="preserve">      avalon_mm_rmap_o.readdata(23 downto 16) &lt;= rmap_registers_wr_i.aeb_gen_cfg_reserved_8e4.reserved(23 downto 16);</t>
  </si>
  <si>
    <t xml:space="preserve">      avalon_mm_rmap_o.readdata(31 downto 24) &lt;= rmap_registers_wr_i.aeb_gen_cfg_reserved_8e4.reserved(31 downto 24);</t>
  </si>
  <si>
    <t xml:space="preserve">  when (16#2F4#) =&gt;</t>
  </si>
  <si>
    <t xml:space="preserve">      -- AEB General Configuration Area Register "RESERVED_8E8" : "RESERVED" Field</t>
  </si>
  <si>
    <t xml:space="preserve">      avalon_mm_rmap_o.readdata(7 downto 0) &lt;= rmap_registers_wr_i.aeb_gen_cfg_reserved_8e8.reserved(7 downto 0);</t>
  </si>
  <si>
    <t xml:space="preserve">      avalon_mm_rmap_o.readdata(15 downto 8) &lt;= rmap_registers_wr_i.aeb_gen_cfg_reserved_8e8.reserved(15 downto 8);</t>
  </si>
  <si>
    <t xml:space="preserve">      avalon_mm_rmap_o.readdata(23 downto 16) &lt;= rmap_registers_wr_i.aeb_gen_cfg_reserved_8e8.reserved(23 downto 16);</t>
  </si>
  <si>
    <t xml:space="preserve">      avalon_mm_rmap_o.readdata(31 downto 24) &lt;= rmap_registers_wr_i.aeb_gen_cfg_reserved_8e8.reserved(31 downto 24);</t>
  </si>
  <si>
    <t xml:space="preserve">  when (16#2F5#) =&gt;</t>
  </si>
  <si>
    <t xml:space="preserve">      -- AEB General Configuration Area Register "RESERVED_8EC" : "RESERVED" Field</t>
  </si>
  <si>
    <t xml:space="preserve">      avalon_mm_rmap_o.readdata(7 downto 0) &lt;= rmap_registers_wr_i.aeb_gen_cfg_reserved_8ec.reserved(7 downto 0);</t>
  </si>
  <si>
    <t xml:space="preserve">      avalon_mm_rmap_o.readdata(15 downto 8) &lt;= rmap_registers_wr_i.aeb_gen_cfg_reserved_8ec.reserved(15 downto 8);</t>
  </si>
  <si>
    <t xml:space="preserve">      avalon_mm_rmap_o.readdata(23 downto 16) &lt;= rmap_registers_wr_i.aeb_gen_cfg_reserved_8ec.reserved(23 downto 16);</t>
  </si>
  <si>
    <t xml:space="preserve">      avalon_mm_rmap_o.readdata(31 downto 24) &lt;= rmap_registers_wr_i.aeb_gen_cfg_reserved_8ec.reserved(31 downto 24);</t>
  </si>
  <si>
    <t xml:space="preserve">  when (16#2F6#) =&gt;</t>
  </si>
  <si>
    <t xml:space="preserve">      -- AEB General Configuration Area Register "RESERVED_8F0" : "RESERVED" Field</t>
  </si>
  <si>
    <t xml:space="preserve">      avalon_mm_rmap_o.readdata(7 downto 0) &lt;= rmap_registers_wr_i.aeb_gen_cfg_reserved_8f0.reserved(7 downto 0);</t>
  </si>
  <si>
    <t xml:space="preserve">      avalon_mm_rmap_o.readdata(15 downto 8) &lt;= rmap_registers_wr_i.aeb_gen_cfg_reserved_8f0.reserved(15 downto 8);</t>
  </si>
  <si>
    <t xml:space="preserve">      avalon_mm_rmap_o.readdata(23 downto 16) &lt;= rmap_registers_wr_i.aeb_gen_cfg_reserved_8f0.reserved(23 downto 16);</t>
  </si>
  <si>
    <t xml:space="preserve">      avalon_mm_rmap_o.readdata(31 downto 24) &lt;= rmap_registers_wr_i.aeb_gen_cfg_reserved_8f0.reserved(31 downto 24);</t>
  </si>
  <si>
    <t xml:space="preserve">  when (16#2F7#) =&gt;</t>
  </si>
  <si>
    <t xml:space="preserve">      -- AEB General Configuration Area Register "RESERVED_8F4" : "RESERVED" Field</t>
  </si>
  <si>
    <t xml:space="preserve">      avalon_mm_rmap_o.readdata(7 downto 0) &lt;= rmap_registers_wr_i.aeb_gen_cfg_reserved_8f4.reserved(7 downto 0);</t>
  </si>
  <si>
    <t xml:space="preserve">      avalon_mm_rmap_o.readdata(15 downto 8) &lt;= rmap_registers_wr_i.aeb_gen_cfg_reserved_8f4.reserved(15 downto 8);</t>
  </si>
  <si>
    <t xml:space="preserve">      avalon_mm_rmap_o.readdata(23 downto 16) &lt;= rmap_registers_wr_i.aeb_gen_cfg_reserved_8f4.reserved(23 downto 16);</t>
  </si>
  <si>
    <t xml:space="preserve">      avalon_mm_rmap_o.readdata(31 downto 24) &lt;= rmap_registers_wr_i.aeb_gen_cfg_reserved_8f4.reserved(31 downto 24);</t>
  </si>
  <si>
    <t xml:space="preserve">  when (16#2F8#) =&gt;</t>
  </si>
  <si>
    <t xml:space="preserve">      -- AEB General Configuration Area Register "RESERVED_8F8" : "RESERVED" Field</t>
  </si>
  <si>
    <t xml:space="preserve">      avalon_mm_rmap_o.readdata(7 downto 0) &lt;= rmap_registers_wr_i.aeb_gen_cfg_reserved_8f8.reserved(7 downto 0);</t>
  </si>
  <si>
    <t xml:space="preserve">      avalon_mm_rmap_o.readdata(15 downto 8) &lt;= rmap_registers_wr_i.aeb_gen_cfg_reserved_8f8.reserved(15 downto 8);</t>
  </si>
  <si>
    <t xml:space="preserve">      avalon_mm_rmap_o.readdata(23 downto 16) &lt;= rmap_registers_wr_i.aeb_gen_cfg_reserved_8f8.reserved(23 downto 16);</t>
  </si>
  <si>
    <t xml:space="preserve">      avalon_mm_rmap_o.readdata(31 downto 24) &lt;= rmap_registers_wr_i.aeb_gen_cfg_reserved_8f8.reserved(31 downto 24);</t>
  </si>
  <si>
    <t xml:space="preserve">  when (16#2F9#) =&gt;</t>
  </si>
  <si>
    <t xml:space="preserve">      -- AEB General Configuration Area Register "RESERVED_8FC" : "RESERVED" Field</t>
  </si>
  <si>
    <t xml:space="preserve">      avalon_mm_rmap_o.readdata(7 downto 0) &lt;= rmap_registers_wr_i.aeb_gen_cfg_reserved_8fc.reserved(7 downto 0);</t>
  </si>
  <si>
    <t xml:space="preserve">      avalon_mm_rmap_o.readdata(15 downto 8) &lt;= rmap_registers_wr_i.aeb_gen_cfg_reserved_8fc.reserved(15 downto 8);</t>
  </si>
  <si>
    <t xml:space="preserve">      avalon_mm_rmap_o.readdata(23 downto 16) &lt;= rmap_registers_wr_i.aeb_gen_cfg_reserved_8fc.reserved(23 downto 16);</t>
  </si>
  <si>
    <t xml:space="preserve">      avalon_mm_rmap_o.readdata(31 downto 24) &lt;= rmap_registers_wr_i.aeb_gen_cfg_reserved_8fc.reserved(31 downto 24);</t>
  </si>
  <si>
    <t xml:space="preserve">  when (16#2FA#) =&gt;</t>
  </si>
  <si>
    <t xml:space="preserve">      -- AEB General Configuration Area Register "RESERVED_900" : "RESERVED" Field</t>
  </si>
  <si>
    <t xml:space="preserve">      avalon_mm_rmap_o.readdata(7 downto 0) &lt;= rmap_registers_wr_i.aeb_gen_cfg_reserved_900.reserved(7 downto 0);</t>
  </si>
  <si>
    <t xml:space="preserve">      avalon_mm_rmap_o.readdata(15 downto 8) &lt;= rmap_registers_wr_i.aeb_gen_cfg_reserved_900.reserved(15 downto 8);</t>
  </si>
  <si>
    <t xml:space="preserve">      avalon_mm_rmap_o.readdata(23 downto 16) &lt;= rmap_registers_wr_i.aeb_gen_cfg_reserved_900.reserved(23 downto 16);</t>
  </si>
  <si>
    <t xml:space="preserve">      avalon_mm_rmap_o.readdata(31 downto 24) &lt;= rmap_registers_wr_i.aeb_gen_cfg_reserved_900.reserved(31 downto 24);</t>
  </si>
  <si>
    <t xml:space="preserve">  when (16#2FB#) =&gt;</t>
  </si>
  <si>
    <t xml:space="preserve">      -- AEB General Configuration Area Register "RESERVED_904" : "RESERVED" Field</t>
  </si>
  <si>
    <t xml:space="preserve">      avalon_mm_rmap_o.readdata(7 downto 0) &lt;= rmap_registers_wr_i.aeb_gen_cfg_reserved_904.reserved(7 downto 0);</t>
  </si>
  <si>
    <t xml:space="preserve">      avalon_mm_rmap_o.readdata(15 downto 8) &lt;= rmap_registers_wr_i.aeb_gen_cfg_reserved_904.reserved(15 downto 8);</t>
  </si>
  <si>
    <t xml:space="preserve">      avalon_mm_rmap_o.readdata(23 downto 16) &lt;= rmap_registers_wr_i.aeb_gen_cfg_reserved_904.reserved(23 downto 16);</t>
  </si>
  <si>
    <t xml:space="preserve">      avalon_mm_rmap_o.readdata(31 downto 24) &lt;= rmap_registers_wr_i.aeb_gen_cfg_reserved_904.reserved(31 downto 24);</t>
  </si>
  <si>
    <t xml:space="preserve">  when (16#2FC#) =&gt;</t>
  </si>
  <si>
    <t xml:space="preserve">      -- AEB General Configuration Area Register "RESERVED_908" : "RESERVED" Field</t>
  </si>
  <si>
    <t xml:space="preserve">      avalon_mm_rmap_o.readdata(7 downto 0) &lt;= rmap_registers_wr_i.aeb_gen_cfg_reserved_908.reserved(7 downto 0);</t>
  </si>
  <si>
    <t xml:space="preserve">      avalon_mm_rmap_o.readdata(15 downto 8) &lt;= rmap_registers_wr_i.aeb_gen_cfg_reserved_908.reserved(15 downto 8);</t>
  </si>
  <si>
    <t xml:space="preserve">      avalon_mm_rmap_o.readdata(23 downto 16) &lt;= rmap_registers_wr_i.aeb_gen_cfg_reserved_908.reserved(23 downto 16);</t>
  </si>
  <si>
    <t xml:space="preserve">      avalon_mm_rmap_o.readdata(31 downto 24) &lt;= rmap_registers_wr_i.aeb_gen_cfg_reserved_908.reserved(31 downto 24);</t>
  </si>
  <si>
    <t xml:space="preserve">  when (16#2FD#) =&gt;</t>
  </si>
  <si>
    <t xml:space="preserve">      -- AEB General Configuration Area Register "RESERVED_90C" : "RESERVED" Field</t>
  </si>
  <si>
    <t xml:space="preserve">      avalon_mm_rmap_o.readdata(7 downto 0) &lt;= rmap_registers_wr_i.aeb_gen_cfg_reserved_90c.reserved(7 downto 0);</t>
  </si>
  <si>
    <t xml:space="preserve">      avalon_mm_rmap_o.readdata(15 downto 8) &lt;= rmap_registers_wr_i.aeb_gen_cfg_reserved_90c.reserved(15 downto 8);</t>
  </si>
  <si>
    <t xml:space="preserve">      avalon_mm_rmap_o.readdata(23 downto 16) &lt;= rmap_registers_wr_i.aeb_gen_cfg_reserved_90c.reserved(23 downto 16);</t>
  </si>
  <si>
    <t xml:space="preserve">      avalon_mm_rmap_o.readdata(31 downto 24) &lt;= rmap_registers_wr_i.aeb_gen_cfg_reserved_90c.reserved(31 downto 24);</t>
  </si>
  <si>
    <t xml:space="preserve">  when (16#2FE#) =&gt;</t>
  </si>
  <si>
    <t xml:space="preserve">      -- AEB General Configuration Area Register "RESERVED_910" : "RESERVED" Field</t>
  </si>
  <si>
    <t xml:space="preserve">      avalon_mm_rmap_o.readdata(7 downto 0) &lt;= rmap_registers_wr_i.aeb_gen_cfg_reserved_910.reserved(7 downto 0);</t>
  </si>
  <si>
    <t xml:space="preserve">      avalon_mm_rmap_o.readdata(15 downto 8) &lt;= rmap_registers_wr_i.aeb_gen_cfg_reserved_910.reserved(15 downto 8);</t>
  </si>
  <si>
    <t xml:space="preserve">      avalon_mm_rmap_o.readdata(23 downto 16) &lt;= rmap_registers_wr_i.aeb_gen_cfg_reserved_910.reserved(23 downto 16);</t>
  </si>
  <si>
    <t xml:space="preserve">      avalon_mm_rmap_o.readdata(31 downto 24) &lt;= rmap_registers_wr_i.aeb_gen_cfg_reserved_910.reserved(31 downto 24);</t>
  </si>
  <si>
    <t xml:space="preserve">  when (16#2FF#) =&gt;</t>
  </si>
  <si>
    <t xml:space="preserve">      -- AEB General Configuration Area Register "RESERVED_914" : "RESERVED" Field</t>
  </si>
  <si>
    <t xml:space="preserve">      avalon_mm_rmap_o.readdata(7 downto 0) &lt;= rmap_registers_wr_i.aeb_gen_cfg_reserved_914.reserved(7 downto 0);</t>
  </si>
  <si>
    <t xml:space="preserve">      avalon_mm_rmap_o.readdata(15 downto 8) &lt;= rmap_registers_wr_i.aeb_gen_cfg_reserved_914.reserved(15 downto 8);</t>
  </si>
  <si>
    <t xml:space="preserve">      avalon_mm_rmap_o.readdata(23 downto 16) &lt;= rmap_registers_wr_i.aeb_gen_cfg_reserved_914.reserved(23 downto 16);</t>
  </si>
  <si>
    <t xml:space="preserve">      avalon_mm_rmap_o.readdata(31 downto 24) &lt;= rmap_registers_wr_i.aeb_gen_cfg_reserved_914.reserved(31 downto 24);</t>
  </si>
  <si>
    <t xml:space="preserve">  when (16#300#) =&gt;</t>
  </si>
  <si>
    <t xml:space="preserve">      -- AEB General Configuration Area Register "RESERVED_918" : "RESERVED" Field</t>
  </si>
  <si>
    <t xml:space="preserve">      avalon_mm_rmap_o.readdata(7 downto 0) &lt;= rmap_registers_wr_i.aeb_gen_cfg_reserved_918.reserved(7 downto 0);</t>
  </si>
  <si>
    <t xml:space="preserve">      avalon_mm_rmap_o.readdata(15 downto 8) &lt;= rmap_registers_wr_i.aeb_gen_cfg_reserved_918.reserved(15 downto 8);</t>
  </si>
  <si>
    <t xml:space="preserve">      avalon_mm_rmap_o.readdata(23 downto 16) &lt;= rmap_registers_wr_i.aeb_gen_cfg_reserved_918.reserved(23 downto 16);</t>
  </si>
  <si>
    <t xml:space="preserve">      avalon_mm_rmap_o.readdata(31 downto 24) &lt;= rmap_registers_wr_i.aeb_gen_cfg_reserved_918.reserved(31 downto 24);</t>
  </si>
  <si>
    <t xml:space="preserve">  when (16#301#) =&gt;</t>
  </si>
  <si>
    <t xml:space="preserve">      -- AEB General Configuration Area Register "RESERVED_91C" : "RESERVED" Field</t>
  </si>
  <si>
    <t xml:space="preserve">      avalon_mm_rmap_o.readdata(7 downto 0) &lt;= rmap_registers_wr_i.aeb_gen_cfg_reserved_91c.reserved(7 downto 0);</t>
  </si>
  <si>
    <t xml:space="preserve">      avalon_mm_rmap_o.readdata(15 downto 8) &lt;= rmap_registers_wr_i.aeb_gen_cfg_reserved_91c.reserved(15 downto 8);</t>
  </si>
  <si>
    <t xml:space="preserve">      avalon_mm_rmap_o.readdata(23 downto 16) &lt;= rmap_registers_wr_i.aeb_gen_cfg_reserved_91c.reserved(23 downto 16);</t>
  </si>
  <si>
    <t xml:space="preserve">      avalon_mm_rmap_o.readdata(31 downto 24) &lt;= rmap_registers_wr_i.aeb_gen_cfg_reserved_91c.reserved(31 downto 24);</t>
  </si>
  <si>
    <t xml:space="preserve">  when (16#302#) =&gt;</t>
  </si>
  <si>
    <t xml:space="preserve">      -- AEB General Configuration Area Register "RESERVED_920" : "RESERVED" Field</t>
  </si>
  <si>
    <t xml:space="preserve">      avalon_mm_rmap_o.readdata(7 downto 0) &lt;= rmap_registers_wr_i.aeb_gen_cfg_reserved_920.reserved(7 downto 0);</t>
  </si>
  <si>
    <t xml:space="preserve">      avalon_mm_rmap_o.readdata(15 downto 8) &lt;= rmap_registers_wr_i.aeb_gen_cfg_reserved_920.reserved(15 downto 8);</t>
  </si>
  <si>
    <t xml:space="preserve">      avalon_mm_rmap_o.readdata(23 downto 16) &lt;= rmap_registers_wr_i.aeb_gen_cfg_reserved_920.reserved(23 downto 16);</t>
  </si>
  <si>
    <t xml:space="preserve">      avalon_mm_rmap_o.readdata(31 downto 24) &lt;= rmap_registers_wr_i.aeb_gen_cfg_reserved_920.reserved(31 downto 24);</t>
  </si>
  <si>
    <t xml:space="preserve">  when (16#303#) =&gt;</t>
  </si>
  <si>
    <t xml:space="preserve">      -- AEB General Configuration Area Register "RESERVED_924" : "RESERVED" Field</t>
  </si>
  <si>
    <t xml:space="preserve">      avalon_mm_rmap_o.readdata(7 downto 0) &lt;= rmap_registers_wr_i.aeb_gen_cfg_reserved_924.reserved(7 downto 0);</t>
  </si>
  <si>
    <t xml:space="preserve">      avalon_mm_rmap_o.readdata(15 downto 8) &lt;= rmap_registers_wr_i.aeb_gen_cfg_reserved_924.reserved(15 downto 8);</t>
  </si>
  <si>
    <t xml:space="preserve">      avalon_mm_rmap_o.readdata(23 downto 16) &lt;= rmap_registers_wr_i.aeb_gen_cfg_reserved_924.reserved(23 downto 16);</t>
  </si>
  <si>
    <t xml:space="preserve">      avalon_mm_rmap_o.readdata(31 downto 24) &lt;= rmap_registers_wr_i.aeb_gen_cfg_reserved_924.reserved(31 downto 24);</t>
  </si>
  <si>
    <t xml:space="preserve">  when (16#304#) =&gt;</t>
  </si>
  <si>
    <t xml:space="preserve">      -- AEB General Configuration Area Register "RESERVED_928" : "RESERVED" Field</t>
  </si>
  <si>
    <t xml:space="preserve">      avalon_mm_rmap_o.readdata(7 downto 0) &lt;= rmap_registers_wr_i.aeb_gen_cfg_reserved_928.reserved(7 downto 0);</t>
  </si>
  <si>
    <t xml:space="preserve">      avalon_mm_rmap_o.readdata(15 downto 8) &lt;= rmap_registers_wr_i.aeb_gen_cfg_reserved_928.reserved(15 downto 8);</t>
  </si>
  <si>
    <t xml:space="preserve">      avalon_mm_rmap_o.readdata(23 downto 16) &lt;= rmap_registers_wr_i.aeb_gen_cfg_reserved_928.reserved(23 downto 16);</t>
  </si>
  <si>
    <t xml:space="preserve">      avalon_mm_rmap_o.readdata(31 downto 24) &lt;= rmap_registers_wr_i.aeb_gen_cfg_reserved_928.reserved(31 downto 24);</t>
  </si>
  <si>
    <t xml:space="preserve">  when (16#305#) =&gt;</t>
  </si>
  <si>
    <t xml:space="preserve">      -- AEB General Configuration Area Register "RESERVED_92C" : "RESERVED" Field</t>
  </si>
  <si>
    <t xml:space="preserve">      avalon_mm_rmap_o.readdata(7 downto 0) &lt;= rmap_registers_wr_i.aeb_gen_cfg_reserved_92c.reserved(7 downto 0);</t>
  </si>
  <si>
    <t xml:space="preserve">      avalon_mm_rmap_o.readdata(15 downto 8) &lt;= rmap_registers_wr_i.aeb_gen_cfg_reserved_92c.reserved(15 downto 8);</t>
  </si>
  <si>
    <t xml:space="preserve">      avalon_mm_rmap_o.readdata(23 downto 16) &lt;= rmap_registers_wr_i.aeb_gen_cfg_reserved_92c.reserved(23 downto 16);</t>
  </si>
  <si>
    <t xml:space="preserve">      avalon_mm_rmap_o.readdata(31 downto 24) &lt;= rmap_registers_wr_i.aeb_gen_cfg_reserved_92c.reserved(31 downto 24);</t>
  </si>
  <si>
    <t xml:space="preserve">  when (16#306#) =&gt;</t>
  </si>
  <si>
    <t xml:space="preserve">      -- AEB General Configuration Area Register "RESERVED_930" : "RESERVED" Field</t>
  </si>
  <si>
    <t xml:space="preserve">      avalon_mm_rmap_o.readdata(7 downto 0) &lt;= rmap_registers_wr_i.aeb_gen_cfg_reserved_930.reserved(7 downto 0);</t>
  </si>
  <si>
    <t xml:space="preserve">      avalon_mm_rmap_o.readdata(15 downto 8) &lt;= rmap_registers_wr_i.aeb_gen_cfg_reserved_930.reserved(15 downto 8);</t>
  </si>
  <si>
    <t xml:space="preserve">      avalon_mm_rmap_o.readdata(23 downto 16) &lt;= rmap_registers_wr_i.aeb_gen_cfg_reserved_930.reserved(23 downto 16);</t>
  </si>
  <si>
    <t xml:space="preserve">      avalon_mm_rmap_o.readdata(31 downto 24) &lt;= rmap_registers_wr_i.aeb_gen_cfg_reserved_930.reserved(31 downto 24);</t>
  </si>
  <si>
    <t xml:space="preserve">  when (16#307#) =&gt;</t>
  </si>
  <si>
    <t xml:space="preserve">      -- AEB General Configuration Area Register "RESERVED_934" : "RESERVED" Field</t>
  </si>
  <si>
    <t xml:space="preserve">      avalon_mm_rmap_o.readdata(7 downto 0) &lt;= rmap_registers_wr_i.aeb_gen_cfg_reserved_934.reserved(7 downto 0);</t>
  </si>
  <si>
    <t xml:space="preserve">      avalon_mm_rmap_o.readdata(15 downto 8) &lt;= rmap_registers_wr_i.aeb_gen_cfg_reserved_934.reserved(15 downto 8);</t>
  </si>
  <si>
    <t xml:space="preserve">      avalon_mm_rmap_o.readdata(23 downto 16) &lt;= rmap_registers_wr_i.aeb_gen_cfg_reserved_934.reserved(23 downto 16);</t>
  </si>
  <si>
    <t xml:space="preserve">      avalon_mm_rmap_o.readdata(31 downto 24) &lt;= rmap_registers_wr_i.aeb_gen_cfg_reserved_934.reserved(31 downto 24);</t>
  </si>
  <si>
    <t xml:space="preserve">  when (16#308#) =&gt;</t>
  </si>
  <si>
    <t xml:space="preserve">      -- AEB General Configuration Area Register "RESERVED_938" : "RESERVED" Field</t>
  </si>
  <si>
    <t xml:space="preserve">      avalon_mm_rmap_o.readdata(7 downto 0) &lt;= rmap_registers_wr_i.aeb_gen_cfg_reserved_938.reserved(7 downto 0);</t>
  </si>
  <si>
    <t xml:space="preserve">      avalon_mm_rmap_o.readdata(15 downto 8) &lt;= rmap_registers_wr_i.aeb_gen_cfg_reserved_938.reserved(15 downto 8);</t>
  </si>
  <si>
    <t xml:space="preserve">      avalon_mm_rmap_o.readdata(23 downto 16) &lt;= rmap_registers_wr_i.aeb_gen_cfg_reserved_938.reserved(23 downto 16);</t>
  </si>
  <si>
    <t xml:space="preserve">      avalon_mm_rmap_o.readdata(31 downto 24) &lt;= rmap_registers_wr_i.aeb_gen_cfg_reserved_938.reserved(31 downto 24);</t>
  </si>
  <si>
    <t xml:space="preserve">  when (16#309#) =&gt;</t>
  </si>
  <si>
    <t xml:space="preserve">      -- AEB General Configuration Area Register "RESERVED_93C" : "RESERVED" Field</t>
  </si>
  <si>
    <t xml:space="preserve">      avalon_mm_rmap_o.readdata(7 downto 0) &lt;= rmap_registers_wr_i.aeb_gen_cfg_reserved_93c.reserved(7 downto 0);</t>
  </si>
  <si>
    <t xml:space="preserve">      avalon_mm_rmap_o.readdata(15 downto 8) &lt;= rmap_registers_wr_i.aeb_gen_cfg_reserved_93c.reserved(15 downto 8);</t>
  </si>
  <si>
    <t xml:space="preserve">      avalon_mm_rmap_o.readdata(23 downto 16) &lt;= rmap_registers_wr_i.aeb_gen_cfg_reserved_93c.reserved(23 downto 16);</t>
  </si>
  <si>
    <t xml:space="preserve">      avalon_mm_rmap_o.readdata(31 downto 24) &lt;= rmap_registers_wr_i.aeb_gen_cfg_reserved_93c.reserved(31 downto 24);</t>
  </si>
  <si>
    <t xml:space="preserve">  when (16#30A#) =&gt;</t>
  </si>
  <si>
    <t xml:space="preserve">      -- AEB General Configuration Area Register "RESERVED_940" : "RESERVED" Field</t>
  </si>
  <si>
    <t xml:space="preserve">      avalon_mm_rmap_o.readdata(7 downto 0) &lt;= rmap_registers_wr_i.aeb_gen_cfg_reserved_940.reserved(7 downto 0);</t>
  </si>
  <si>
    <t xml:space="preserve">      avalon_mm_rmap_o.readdata(15 downto 8) &lt;= rmap_registers_wr_i.aeb_gen_cfg_reserved_940.reserved(15 downto 8);</t>
  </si>
  <si>
    <t xml:space="preserve">      avalon_mm_rmap_o.readdata(23 downto 16) &lt;= rmap_registers_wr_i.aeb_gen_cfg_reserved_940.reserved(23 downto 16);</t>
  </si>
  <si>
    <t xml:space="preserve">      avalon_mm_rmap_o.readdata(31 downto 24) &lt;= rmap_registers_wr_i.aeb_gen_cfg_reserved_940.reserved(31 downto 24);</t>
  </si>
  <si>
    <t xml:space="preserve">  when (16#30B#) =&gt;</t>
  </si>
  <si>
    <t xml:space="preserve">      -- AEB General Configuration Area Register "RESERVED_944" : "RESERVED" Field</t>
  </si>
  <si>
    <t xml:space="preserve">      avalon_mm_rmap_o.readdata(7 downto 0) &lt;= rmap_registers_wr_i.aeb_gen_cfg_reserved_944.reserved(7 downto 0);</t>
  </si>
  <si>
    <t xml:space="preserve">      avalon_mm_rmap_o.readdata(15 downto 8) &lt;= rmap_registers_wr_i.aeb_gen_cfg_reserved_944.reserved(15 downto 8);</t>
  </si>
  <si>
    <t xml:space="preserve">      avalon_mm_rmap_o.readdata(23 downto 16) &lt;= rmap_registers_wr_i.aeb_gen_cfg_reserved_944.reserved(23 downto 16);</t>
  </si>
  <si>
    <t xml:space="preserve">      avalon_mm_rmap_o.readdata(31 downto 24) &lt;= rmap_registers_wr_i.aeb_gen_cfg_reserved_944.reserved(31 downto 24);</t>
  </si>
  <si>
    <t xml:space="preserve">  when (16#30C#) =&gt;</t>
  </si>
  <si>
    <t xml:space="preserve">      -- AEB General Configuration Area Register "RESERVED_948" : "RESERVED" Field</t>
  </si>
  <si>
    <t xml:space="preserve">      avalon_mm_rmap_o.readdata(7 downto 0) &lt;= rmap_registers_wr_i.aeb_gen_cfg_reserved_948.reserved(7 downto 0);</t>
  </si>
  <si>
    <t xml:space="preserve">      avalon_mm_rmap_o.readdata(15 downto 8) &lt;= rmap_registers_wr_i.aeb_gen_cfg_reserved_948.reserved(15 downto 8);</t>
  </si>
  <si>
    <t xml:space="preserve">      avalon_mm_rmap_o.readdata(23 downto 16) &lt;= rmap_registers_wr_i.aeb_gen_cfg_reserved_948.reserved(23 downto 16);</t>
  </si>
  <si>
    <t xml:space="preserve">      avalon_mm_rmap_o.readdata(31 downto 24) &lt;= rmap_registers_wr_i.aeb_gen_cfg_reserved_948.reserved(31 downto 24);</t>
  </si>
  <si>
    <t xml:space="preserve">  when (16#30D#) =&gt;</t>
  </si>
  <si>
    <t xml:space="preserve">      -- AEB General Configuration Area Register "RESERVED_94C" : "RESERVED" Field</t>
  </si>
  <si>
    <t xml:space="preserve">      avalon_mm_rmap_o.readdata(7 downto 0) &lt;= rmap_registers_wr_i.aeb_gen_cfg_reserved_94c.reserved(7 downto 0);</t>
  </si>
  <si>
    <t xml:space="preserve">      avalon_mm_rmap_o.readdata(15 downto 8) &lt;= rmap_registers_wr_i.aeb_gen_cfg_reserved_94c.reserved(15 downto 8);</t>
  </si>
  <si>
    <t xml:space="preserve">      avalon_mm_rmap_o.readdata(23 downto 16) &lt;= rmap_registers_wr_i.aeb_gen_cfg_reserved_94c.reserved(23 downto 16);</t>
  </si>
  <si>
    <t xml:space="preserve">      avalon_mm_rmap_o.readdata(31 downto 24) &lt;= rmap_registers_wr_i.aeb_gen_cfg_reserved_94c.reserved(31 downto 24);</t>
  </si>
  <si>
    <t xml:space="preserve">  when (16#30E#) =&gt;</t>
  </si>
  <si>
    <t xml:space="preserve">      -- AEB General Configuration Area Register "RESERVED_950" : "RESERVED" Field</t>
  </si>
  <si>
    <t xml:space="preserve">      avalon_mm_rmap_o.readdata(7 downto 0) &lt;= rmap_registers_wr_i.aeb_gen_cfg_reserved_950.reserved(7 downto 0);</t>
  </si>
  <si>
    <t xml:space="preserve">      avalon_mm_rmap_o.readdata(15 downto 8) &lt;= rmap_registers_wr_i.aeb_gen_cfg_reserved_950.reserved(15 downto 8);</t>
  </si>
  <si>
    <t xml:space="preserve">      avalon_mm_rmap_o.readdata(23 downto 16) &lt;= rmap_registers_wr_i.aeb_gen_cfg_reserved_950.reserved(23 downto 16);</t>
  </si>
  <si>
    <t xml:space="preserve">      avalon_mm_rmap_o.readdata(31 downto 24) &lt;= rmap_registers_wr_i.aeb_gen_cfg_reserved_950.reserved(31 downto 24);</t>
  </si>
  <si>
    <t xml:space="preserve">  when (16#30F#) =&gt;</t>
  </si>
  <si>
    <t xml:space="preserve">      -- AEB General Configuration Area Register "RESERVED_954" : "RESERVED" Field</t>
  </si>
  <si>
    <t xml:space="preserve">      avalon_mm_rmap_o.readdata(7 downto 0) &lt;= rmap_registers_wr_i.aeb_gen_cfg_reserved_954.reserved(7 downto 0);</t>
  </si>
  <si>
    <t xml:space="preserve">      avalon_mm_rmap_o.readdata(15 downto 8) &lt;= rmap_registers_wr_i.aeb_gen_cfg_reserved_954.reserved(15 downto 8);</t>
  </si>
  <si>
    <t xml:space="preserve">      avalon_mm_rmap_o.readdata(23 downto 16) &lt;= rmap_registers_wr_i.aeb_gen_cfg_reserved_954.reserved(23 downto 16);</t>
  </si>
  <si>
    <t xml:space="preserve">      avalon_mm_rmap_o.readdata(31 downto 24) &lt;= rmap_registers_wr_i.aeb_gen_cfg_reserved_954.reserved(31 downto 24);</t>
  </si>
  <si>
    <t xml:space="preserve">  when (16#310#) =&gt;</t>
  </si>
  <si>
    <t xml:space="preserve">      -- AEB General Configuration Area Register "RESERVED_958" : "RESERVED" Field</t>
  </si>
  <si>
    <t xml:space="preserve">      avalon_mm_rmap_o.readdata(7 downto 0) &lt;= rmap_registers_wr_i.aeb_gen_cfg_reserved_958.reserved(7 downto 0);</t>
  </si>
  <si>
    <t xml:space="preserve">      avalon_mm_rmap_o.readdata(15 downto 8) &lt;= rmap_registers_wr_i.aeb_gen_cfg_reserved_958.reserved(15 downto 8);</t>
  </si>
  <si>
    <t xml:space="preserve">      avalon_mm_rmap_o.readdata(23 downto 16) &lt;= rmap_registers_wr_i.aeb_gen_cfg_reserved_958.reserved(23 downto 16);</t>
  </si>
  <si>
    <t xml:space="preserve">      avalon_mm_rmap_o.readdata(31 downto 24) &lt;= rmap_registers_wr_i.aeb_gen_cfg_reserved_958.reserved(31 downto 24);</t>
  </si>
  <si>
    <t xml:space="preserve">  when (16#311#) =&gt;</t>
  </si>
  <si>
    <t xml:space="preserve">      -- AEB General Configuration Area Register "RESERVED_95C" : "RESERVED" Field</t>
  </si>
  <si>
    <t xml:space="preserve">      avalon_mm_rmap_o.readdata(7 downto 0) &lt;= rmap_registers_wr_i.aeb_gen_cfg_reserved_95c.reserved(7 downto 0);</t>
  </si>
  <si>
    <t xml:space="preserve">      avalon_mm_rmap_o.readdata(15 downto 8) &lt;= rmap_registers_wr_i.aeb_gen_cfg_reserved_95c.reserved(15 downto 8);</t>
  </si>
  <si>
    <t xml:space="preserve">      avalon_mm_rmap_o.readdata(23 downto 16) &lt;= rmap_registers_wr_i.aeb_gen_cfg_reserved_95c.reserved(23 downto 16);</t>
  </si>
  <si>
    <t xml:space="preserve">      avalon_mm_rmap_o.readdata(31 downto 24) &lt;= rmap_registers_wr_i.aeb_gen_cfg_reserved_95c.reserved(31 downto 24);</t>
  </si>
  <si>
    <t xml:space="preserve">  when (16#312#) =&gt;</t>
  </si>
  <si>
    <t xml:space="preserve">      -- AEB General Configuration Area Register "RESERVED_960" : "RESERVED" Field</t>
  </si>
  <si>
    <t xml:space="preserve">      avalon_mm_rmap_o.readdata(7 downto 0) &lt;= rmap_registers_wr_i.aeb_gen_cfg_reserved_960.reserved(7 downto 0);</t>
  </si>
  <si>
    <t xml:space="preserve">      avalon_mm_rmap_o.readdata(15 downto 8) &lt;= rmap_registers_wr_i.aeb_gen_cfg_reserved_960.reserved(15 downto 8);</t>
  </si>
  <si>
    <t xml:space="preserve">      avalon_mm_rmap_o.readdata(23 downto 16) &lt;= rmap_registers_wr_i.aeb_gen_cfg_reserved_960.reserved(23 downto 16);</t>
  </si>
  <si>
    <t xml:space="preserve">      avalon_mm_rmap_o.readdata(31 downto 24) &lt;= rmap_registers_wr_i.aeb_gen_cfg_reserved_960.reserved(31 downto 24);</t>
  </si>
  <si>
    <t xml:space="preserve">  when (16#313#) =&gt;</t>
  </si>
  <si>
    <t xml:space="preserve">      -- AEB General Configuration Area Register "RESERVED_964" : "RESERVED" Field</t>
  </si>
  <si>
    <t xml:space="preserve">      avalon_mm_rmap_o.readdata(7 downto 0) &lt;= rmap_registers_wr_i.aeb_gen_cfg_reserved_964.reserved(7 downto 0);</t>
  </si>
  <si>
    <t xml:space="preserve">      avalon_mm_rmap_o.readdata(15 downto 8) &lt;= rmap_registers_wr_i.aeb_gen_cfg_reserved_964.reserved(15 downto 8);</t>
  </si>
  <si>
    <t xml:space="preserve">      avalon_mm_rmap_o.readdata(23 downto 16) &lt;= rmap_registers_wr_i.aeb_gen_cfg_reserved_964.reserved(23 downto 16);</t>
  </si>
  <si>
    <t xml:space="preserve">      avalon_mm_rmap_o.readdata(31 downto 24) &lt;= rmap_registers_wr_i.aeb_gen_cfg_reserved_964.reserved(31 downto 24);</t>
  </si>
  <si>
    <t xml:space="preserve">  when (16#314#) =&gt;</t>
  </si>
  <si>
    <t xml:space="preserve">      -- AEB General Configuration Area Register "RESERVED_968" : "RESERVED" Field</t>
  </si>
  <si>
    <t xml:space="preserve">      avalon_mm_rmap_o.readdata(7 downto 0) &lt;= rmap_registers_wr_i.aeb_gen_cfg_reserved_968.reserved(7 downto 0);</t>
  </si>
  <si>
    <t xml:space="preserve">      avalon_mm_rmap_o.readdata(15 downto 8) &lt;= rmap_registers_wr_i.aeb_gen_cfg_reserved_968.reserved(15 downto 8);</t>
  </si>
  <si>
    <t xml:space="preserve">      avalon_mm_rmap_o.readdata(23 downto 16) &lt;= rmap_registers_wr_i.aeb_gen_cfg_reserved_968.reserved(23 downto 16);</t>
  </si>
  <si>
    <t xml:space="preserve">      avalon_mm_rmap_o.readdata(31 downto 24) &lt;= rmap_registers_wr_i.aeb_gen_cfg_reserved_968.reserved(31 downto 24);</t>
  </si>
  <si>
    <t xml:space="preserve">  when (16#315#) =&gt;</t>
  </si>
  <si>
    <t xml:space="preserve">      -- AEB General Configuration Area Register "RESERVED_96C" : "RESERVED" Field</t>
  </si>
  <si>
    <t xml:space="preserve">      avalon_mm_rmap_o.readdata(7 downto 0) &lt;= rmap_registers_wr_i.aeb_gen_cfg_reserved_96c.reserved(7 downto 0);</t>
  </si>
  <si>
    <t xml:space="preserve">      avalon_mm_rmap_o.readdata(15 downto 8) &lt;= rmap_registers_wr_i.aeb_gen_cfg_reserved_96c.reserved(15 downto 8);</t>
  </si>
  <si>
    <t xml:space="preserve">      avalon_mm_rmap_o.readdata(23 downto 16) &lt;= rmap_registers_wr_i.aeb_gen_cfg_reserved_96c.reserved(23 downto 16);</t>
  </si>
  <si>
    <t xml:space="preserve">      avalon_mm_rmap_o.readdata(31 downto 24) &lt;= rmap_registers_wr_i.aeb_gen_cfg_reserved_96c.reserved(31 downto 24);</t>
  </si>
  <si>
    <t xml:space="preserve">  when (16#316#) =&gt;</t>
  </si>
  <si>
    <t xml:space="preserve">      -- AEB General Configuration Area Register "RESERVED_970" : "RESERVED" Field</t>
  </si>
  <si>
    <t xml:space="preserve">      avalon_mm_rmap_o.readdata(7 downto 0) &lt;= rmap_registers_wr_i.aeb_gen_cfg_reserved_970.reserved(7 downto 0);</t>
  </si>
  <si>
    <t xml:space="preserve">      avalon_mm_rmap_o.readdata(15 downto 8) &lt;= rmap_registers_wr_i.aeb_gen_cfg_reserved_970.reserved(15 downto 8);</t>
  </si>
  <si>
    <t xml:space="preserve">      avalon_mm_rmap_o.readdata(23 downto 16) &lt;= rmap_registers_wr_i.aeb_gen_cfg_reserved_970.reserved(23 downto 16);</t>
  </si>
  <si>
    <t xml:space="preserve">      avalon_mm_rmap_o.readdata(31 downto 24) &lt;= rmap_registers_wr_i.aeb_gen_cfg_reserved_970.reserved(31 downto 24);</t>
  </si>
  <si>
    <t xml:space="preserve">  when (16#317#) =&gt;</t>
  </si>
  <si>
    <t xml:space="preserve">      -- AEB General Configuration Area Register "RESERVED_974" : "RESERVED" Field</t>
  </si>
  <si>
    <t xml:space="preserve">      avalon_mm_rmap_o.readdata(7 downto 0) &lt;= rmap_registers_wr_i.aeb_gen_cfg_reserved_974.reserved(7 downto 0);</t>
  </si>
  <si>
    <t xml:space="preserve">      avalon_mm_rmap_o.readdata(15 downto 8) &lt;= rmap_registers_wr_i.aeb_gen_cfg_reserved_974.reserved(15 downto 8);</t>
  </si>
  <si>
    <t xml:space="preserve">      avalon_mm_rmap_o.readdata(23 downto 16) &lt;= rmap_registers_wr_i.aeb_gen_cfg_reserved_974.reserved(23 downto 16);</t>
  </si>
  <si>
    <t xml:space="preserve">      avalon_mm_rmap_o.readdata(31 downto 24) &lt;= rmap_registers_wr_i.aeb_gen_cfg_reserved_974.reserved(31 downto 24);</t>
  </si>
  <si>
    <t xml:space="preserve">  when (16#318#) =&gt;</t>
  </si>
  <si>
    <t xml:space="preserve">      -- AEB General Configuration Area Register "RESERVED_978" : "RESERVED" Field</t>
  </si>
  <si>
    <t xml:space="preserve">      avalon_mm_rmap_o.readdata(7 downto 0) &lt;= rmap_registers_wr_i.aeb_gen_cfg_reserved_978.reserved(7 downto 0);</t>
  </si>
  <si>
    <t xml:space="preserve">      avalon_mm_rmap_o.readdata(15 downto 8) &lt;= rmap_registers_wr_i.aeb_gen_cfg_reserved_978.reserved(15 downto 8);</t>
  </si>
  <si>
    <t xml:space="preserve">      avalon_mm_rmap_o.readdata(23 downto 16) &lt;= rmap_registers_wr_i.aeb_gen_cfg_reserved_978.reserved(23 downto 16);</t>
  </si>
  <si>
    <t xml:space="preserve">      avalon_mm_rmap_o.readdata(31 downto 24) &lt;= rmap_registers_wr_i.aeb_gen_cfg_reserved_978.reserved(31 downto 24);</t>
  </si>
  <si>
    <t xml:space="preserve">  when (16#319#) =&gt;</t>
  </si>
  <si>
    <t xml:space="preserve">      -- AEB General Configuration Area Register "RESERVED_97C" : "RESERVED" Field</t>
  </si>
  <si>
    <t xml:space="preserve">      avalon_mm_rmap_o.readdata(7 downto 0) &lt;= rmap_registers_wr_i.aeb_gen_cfg_reserved_97c.reserved(7 downto 0);</t>
  </si>
  <si>
    <t xml:space="preserve">      avalon_mm_rmap_o.readdata(15 downto 8) &lt;= rmap_registers_wr_i.aeb_gen_cfg_reserved_97c.reserved(15 downto 8);</t>
  </si>
  <si>
    <t xml:space="preserve">      avalon_mm_rmap_o.readdata(23 downto 16) &lt;= rmap_registers_wr_i.aeb_gen_cfg_reserved_97c.reserved(23 downto 16);</t>
  </si>
  <si>
    <t xml:space="preserve">      avalon_mm_rmap_o.readdata(31 downto 24) &lt;= rmap_registers_wr_i.aeb_gen_cfg_reserved_97c.reserved(31 downto 24);</t>
  </si>
  <si>
    <t xml:space="preserve">  when (16#31A#) =&gt;</t>
  </si>
  <si>
    <t xml:space="preserve">      -- AEB General Configuration Area Register "RESERVED_980" : "RESERVED" Field</t>
  </si>
  <si>
    <t xml:space="preserve">      avalon_mm_rmap_o.readdata(7 downto 0) &lt;= rmap_registers_wr_i.aeb_gen_cfg_reserved_980.reserved(7 downto 0);</t>
  </si>
  <si>
    <t xml:space="preserve">      avalon_mm_rmap_o.readdata(15 downto 8) &lt;= rmap_registers_wr_i.aeb_gen_cfg_reserved_980.reserved(15 downto 8);</t>
  </si>
  <si>
    <t xml:space="preserve">      avalon_mm_rmap_o.readdata(23 downto 16) &lt;= rmap_registers_wr_i.aeb_gen_cfg_reserved_980.reserved(23 downto 16);</t>
  </si>
  <si>
    <t xml:space="preserve">      avalon_mm_rmap_o.readdata(31 downto 24) &lt;= rmap_registers_wr_i.aeb_gen_cfg_reserved_980.reserved(31 downto 24);</t>
  </si>
  <si>
    <t xml:space="preserve">  when (16#31B#) =&gt;</t>
  </si>
  <si>
    <t xml:space="preserve">      -- AEB General Configuration Area Register "RESERVED_984" : "RESERVED" Field</t>
  </si>
  <si>
    <t xml:space="preserve">      avalon_mm_rmap_o.readdata(7 downto 0) &lt;= rmap_registers_wr_i.aeb_gen_cfg_reserved_984.reserved(7 downto 0);</t>
  </si>
  <si>
    <t xml:space="preserve">      avalon_mm_rmap_o.readdata(15 downto 8) &lt;= rmap_registers_wr_i.aeb_gen_cfg_reserved_984.reserved(15 downto 8);</t>
  </si>
  <si>
    <t xml:space="preserve">      avalon_mm_rmap_o.readdata(23 downto 16) &lt;= rmap_registers_wr_i.aeb_gen_cfg_reserved_984.reserved(23 downto 16);</t>
  </si>
  <si>
    <t xml:space="preserve">      avalon_mm_rmap_o.readdata(31 downto 24) &lt;= rmap_registers_wr_i.aeb_gen_cfg_reserved_984.reserved(31 downto 24);</t>
  </si>
  <si>
    <t xml:space="preserve">  when (16#31C#) =&gt;</t>
  </si>
  <si>
    <t xml:space="preserve">      -- AEB General Configuration Area Register "RESERVED_988" : "RESERVED" Field</t>
  </si>
  <si>
    <t xml:space="preserve">      avalon_mm_rmap_o.readdata(7 downto 0) &lt;= rmap_registers_wr_i.aeb_gen_cfg_reserved_988.reserved(7 downto 0);</t>
  </si>
  <si>
    <t xml:space="preserve">      avalon_mm_rmap_o.readdata(15 downto 8) &lt;= rmap_registers_wr_i.aeb_gen_cfg_reserved_988.reserved(15 downto 8);</t>
  </si>
  <si>
    <t xml:space="preserve">      avalon_mm_rmap_o.readdata(23 downto 16) &lt;= rmap_registers_wr_i.aeb_gen_cfg_reserved_988.reserved(23 downto 16);</t>
  </si>
  <si>
    <t xml:space="preserve">      avalon_mm_rmap_o.readdata(31 downto 24) &lt;= rmap_registers_wr_i.aeb_gen_cfg_reserved_988.reserved(31 downto 24);</t>
  </si>
  <si>
    <t xml:space="preserve">  when (16#31D#) =&gt;</t>
  </si>
  <si>
    <t xml:space="preserve">      -- AEB General Configuration Area Register "RESERVED_98C" : "RESERVED" Field</t>
  </si>
  <si>
    <t xml:space="preserve">      avalon_mm_rmap_o.readdata(7 downto 0) &lt;= rmap_registers_wr_i.aeb_gen_cfg_reserved_98c.reserved(7 downto 0);</t>
  </si>
  <si>
    <t xml:space="preserve">      avalon_mm_rmap_o.readdata(15 downto 8) &lt;= rmap_registers_wr_i.aeb_gen_cfg_reserved_98c.reserved(15 downto 8);</t>
  </si>
  <si>
    <t xml:space="preserve">      avalon_mm_rmap_o.readdata(23 downto 16) &lt;= rmap_registers_wr_i.aeb_gen_cfg_reserved_98c.reserved(23 downto 16);</t>
  </si>
  <si>
    <t xml:space="preserve">      avalon_mm_rmap_o.readdata(31 downto 24) &lt;= rmap_registers_wr_i.aeb_gen_cfg_reserved_98c.reserved(31 downto 24);</t>
  </si>
  <si>
    <t xml:space="preserve">  when (16#31E#) =&gt;</t>
  </si>
  <si>
    <t xml:space="preserve">      -- AEB General Configuration Area Register "RESERVED_990" : "RESERVED" Field</t>
  </si>
  <si>
    <t xml:space="preserve">      avalon_mm_rmap_o.readdata(7 downto 0) &lt;= rmap_registers_wr_i.aeb_gen_cfg_reserved_990.reserved(7 downto 0);</t>
  </si>
  <si>
    <t xml:space="preserve">      avalon_mm_rmap_o.readdata(15 downto 8) &lt;= rmap_registers_wr_i.aeb_gen_cfg_reserved_990.reserved(15 downto 8);</t>
  </si>
  <si>
    <t xml:space="preserve">      avalon_mm_rmap_o.readdata(23 downto 16) &lt;= rmap_registers_wr_i.aeb_gen_cfg_reserved_990.reserved(23 downto 16);</t>
  </si>
  <si>
    <t xml:space="preserve">      avalon_mm_rmap_o.readdata(31 downto 24) &lt;= rmap_registers_wr_i.aeb_gen_cfg_reserved_990.reserved(31 downto 24);</t>
  </si>
  <si>
    <t xml:space="preserve">  when (16#31F#) =&gt;</t>
  </si>
  <si>
    <t xml:space="preserve">      -- AEB General Configuration Area Register "RESERVED_994" : "RESERVED" Field</t>
  </si>
  <si>
    <t xml:space="preserve">      avalon_mm_rmap_o.readdata(7 downto 0) &lt;= rmap_registers_wr_i.aeb_gen_cfg_reserved_994.reserved(7 downto 0);</t>
  </si>
  <si>
    <t xml:space="preserve">      avalon_mm_rmap_o.readdata(15 downto 8) &lt;= rmap_registers_wr_i.aeb_gen_cfg_reserved_994.reserved(15 downto 8);</t>
  </si>
  <si>
    <t xml:space="preserve">      avalon_mm_rmap_o.readdata(23 downto 16) &lt;= rmap_registers_wr_i.aeb_gen_cfg_reserved_994.reserved(23 downto 16);</t>
  </si>
  <si>
    <t xml:space="preserve">      avalon_mm_rmap_o.readdata(31 downto 24) &lt;= rmap_registers_wr_i.aeb_gen_cfg_reserved_994.reserved(31 downto 24);</t>
  </si>
  <si>
    <t xml:space="preserve">  when (16#320#) =&gt;</t>
  </si>
  <si>
    <t xml:space="preserve">      -- AEB General Configuration Area Register "RESERVED_998" : "RESERVED" Field</t>
  </si>
  <si>
    <t xml:space="preserve">      avalon_mm_rmap_o.readdata(7 downto 0) &lt;= rmap_registers_wr_i.aeb_gen_cfg_reserved_998.reserved(7 downto 0);</t>
  </si>
  <si>
    <t xml:space="preserve">      avalon_mm_rmap_o.readdata(15 downto 8) &lt;= rmap_registers_wr_i.aeb_gen_cfg_reserved_998.reserved(15 downto 8);</t>
  </si>
  <si>
    <t xml:space="preserve">      avalon_mm_rmap_o.readdata(23 downto 16) &lt;= rmap_registers_wr_i.aeb_gen_cfg_reserved_998.reserved(23 downto 16);</t>
  </si>
  <si>
    <t xml:space="preserve">      avalon_mm_rmap_o.readdata(31 downto 24) &lt;= rmap_registers_wr_i.aeb_gen_cfg_reserved_998.reserved(31 downto 24);</t>
  </si>
  <si>
    <t xml:space="preserve">  when (16#321#) =&gt;</t>
  </si>
  <si>
    <t xml:space="preserve">      -- AEB General Configuration Area Register "RESERVED_99C" : "RESERVED" Field</t>
  </si>
  <si>
    <t xml:space="preserve">      avalon_mm_rmap_o.readdata(7 downto 0) &lt;= rmap_registers_wr_i.aeb_gen_cfg_reserved_99c.reserved(7 downto 0);</t>
  </si>
  <si>
    <t xml:space="preserve">      avalon_mm_rmap_o.readdata(15 downto 8) &lt;= rmap_registers_wr_i.aeb_gen_cfg_reserved_99c.reserved(15 downto 8);</t>
  </si>
  <si>
    <t xml:space="preserve">      avalon_mm_rmap_o.readdata(23 downto 16) &lt;= rmap_registers_wr_i.aeb_gen_cfg_reserved_99c.reserved(23 downto 16);</t>
  </si>
  <si>
    <t xml:space="preserve">      avalon_mm_rmap_o.readdata(31 downto 24) &lt;= rmap_registers_wr_i.aeb_gen_cfg_reserved_99c.reserved(31 downto 24);</t>
  </si>
  <si>
    <t xml:space="preserve">  when (16#322#) =&gt;</t>
  </si>
  <si>
    <t xml:space="preserve">      -- AEB General Configuration Area Register "RESERVED_9A0" : "RESERVED" Field</t>
  </si>
  <si>
    <t xml:space="preserve">      avalon_mm_rmap_o.readdata(7 downto 0) &lt;= rmap_registers_wr_i.aeb_gen_cfg_reserved_9a0.reserved(7 downto 0);</t>
  </si>
  <si>
    <t xml:space="preserve">      avalon_mm_rmap_o.readdata(15 downto 8) &lt;= rmap_registers_wr_i.aeb_gen_cfg_reserved_9a0.reserved(15 downto 8);</t>
  </si>
  <si>
    <t xml:space="preserve">      avalon_mm_rmap_o.readdata(23 downto 16) &lt;= rmap_registers_wr_i.aeb_gen_cfg_reserved_9a0.reserved(23 downto 16);</t>
  </si>
  <si>
    <t xml:space="preserve">      avalon_mm_rmap_o.readdata(31 downto 24) &lt;= rmap_registers_wr_i.aeb_gen_cfg_reserved_9a0.reserved(31 downto 24);</t>
  </si>
  <si>
    <t xml:space="preserve">  when (16#323#) =&gt;</t>
  </si>
  <si>
    <t xml:space="preserve">      -- AEB General Configuration Area Register "RESERVED_9A4" : "RESERVED" Field</t>
  </si>
  <si>
    <t xml:space="preserve">      avalon_mm_rmap_o.readdata(7 downto 0) &lt;= rmap_registers_wr_i.aeb_gen_cfg_reserved_9a4.reserved(7 downto 0);</t>
  </si>
  <si>
    <t xml:space="preserve">      avalon_mm_rmap_o.readdata(15 downto 8) &lt;= rmap_registers_wr_i.aeb_gen_cfg_reserved_9a4.reserved(15 downto 8);</t>
  </si>
  <si>
    <t xml:space="preserve">      avalon_mm_rmap_o.readdata(23 downto 16) &lt;= rmap_registers_wr_i.aeb_gen_cfg_reserved_9a4.reserved(23 downto 16);</t>
  </si>
  <si>
    <t xml:space="preserve">      avalon_mm_rmap_o.readdata(31 downto 24) &lt;= rmap_registers_wr_i.aeb_gen_cfg_reserved_9a4.reserved(31 downto 24);</t>
  </si>
  <si>
    <t xml:space="preserve">  when (16#324#) =&gt;</t>
  </si>
  <si>
    <t xml:space="preserve">      -- AEB General Configuration Area Register "RESERVED_9A8" : "RESERVED" Field</t>
  </si>
  <si>
    <t xml:space="preserve">      avalon_mm_rmap_o.readdata(7 downto 0) &lt;= rmap_registers_wr_i.aeb_gen_cfg_reserved_9a8.reserved(7 downto 0);</t>
  </si>
  <si>
    <t xml:space="preserve">      avalon_mm_rmap_o.readdata(15 downto 8) &lt;= rmap_registers_wr_i.aeb_gen_cfg_reserved_9a8.reserved(15 downto 8);</t>
  </si>
  <si>
    <t xml:space="preserve">      avalon_mm_rmap_o.readdata(23 downto 16) &lt;= rmap_registers_wr_i.aeb_gen_cfg_reserved_9a8.reserved(23 downto 16);</t>
  </si>
  <si>
    <t xml:space="preserve">      avalon_mm_rmap_o.readdata(31 downto 24) &lt;= rmap_registers_wr_i.aeb_gen_cfg_reserved_9a8.reserved(31 downto 24);</t>
  </si>
  <si>
    <t xml:space="preserve">  when (16#325#) =&gt;</t>
  </si>
  <si>
    <t xml:space="preserve">      -- AEB General Configuration Area Register "RESERVED_9AC" : "RESERVED" Field</t>
  </si>
  <si>
    <t xml:space="preserve">      avalon_mm_rmap_o.readdata(7 downto 0) &lt;= rmap_registers_wr_i.aeb_gen_cfg_reserved_9ac.reserved(7 downto 0);</t>
  </si>
  <si>
    <t xml:space="preserve">      avalon_mm_rmap_o.readdata(15 downto 8) &lt;= rmap_registers_wr_i.aeb_gen_cfg_reserved_9ac.reserved(15 downto 8);</t>
  </si>
  <si>
    <t xml:space="preserve">      avalon_mm_rmap_o.readdata(23 downto 16) &lt;= rmap_registers_wr_i.aeb_gen_cfg_reserved_9ac.reserved(23 downto 16);</t>
  </si>
  <si>
    <t xml:space="preserve">      avalon_mm_rmap_o.readdata(31 downto 24) &lt;= rmap_registers_wr_i.aeb_gen_cfg_reserved_9ac.reserved(31 downto 24);</t>
  </si>
  <si>
    <t xml:space="preserve">  when (16#326#) =&gt;</t>
  </si>
  <si>
    <t xml:space="preserve">      -- AEB General Configuration Area Register "RESERVED_9B0" : "RESERVED" Field</t>
  </si>
  <si>
    <t xml:space="preserve">      avalon_mm_rmap_o.readdata(7 downto 0) &lt;= rmap_registers_wr_i.aeb_gen_cfg_reserved_9b0.reserved(7 downto 0);</t>
  </si>
  <si>
    <t xml:space="preserve">      avalon_mm_rmap_o.readdata(15 downto 8) &lt;= rmap_registers_wr_i.aeb_gen_cfg_reserved_9b0.reserved(15 downto 8);</t>
  </si>
  <si>
    <t xml:space="preserve">      avalon_mm_rmap_o.readdata(23 downto 16) &lt;= rmap_registers_wr_i.aeb_gen_cfg_reserved_9b0.reserved(23 downto 16);</t>
  </si>
  <si>
    <t xml:space="preserve">      avalon_mm_rmap_o.readdata(31 downto 24) &lt;= rmap_registers_wr_i.aeb_gen_cfg_reserved_9b0.reserved(31 downto 24);</t>
  </si>
  <si>
    <t xml:space="preserve">  when (16#327#) =&gt;</t>
  </si>
  <si>
    <t xml:space="preserve">      -- AEB General Configuration Area Register "RESERVED_9B4" : "RESERVED" Field</t>
  </si>
  <si>
    <t xml:space="preserve">      avalon_mm_rmap_o.readdata(7 downto 0) &lt;= rmap_registers_wr_i.aeb_gen_cfg_reserved_9b4.reserved(7 downto 0);</t>
  </si>
  <si>
    <t xml:space="preserve">      avalon_mm_rmap_o.readdata(15 downto 8) &lt;= rmap_registers_wr_i.aeb_gen_cfg_reserved_9b4.reserved(15 downto 8);</t>
  </si>
  <si>
    <t xml:space="preserve">      avalon_mm_rmap_o.readdata(23 downto 16) &lt;= rmap_registers_wr_i.aeb_gen_cfg_reserved_9b4.reserved(23 downto 16);</t>
  </si>
  <si>
    <t xml:space="preserve">      avalon_mm_rmap_o.readdata(31 downto 24) &lt;= rmap_registers_wr_i.aeb_gen_cfg_reserved_9b4.reserved(31 downto 24);</t>
  </si>
  <si>
    <t xml:space="preserve">  when (16#328#) =&gt;</t>
  </si>
  <si>
    <t xml:space="preserve">      -- AEB General Configuration Area Register "RESERVED_9B8" : "RESERVED" Field</t>
  </si>
  <si>
    <t xml:space="preserve">      avalon_mm_rmap_o.readdata(7 downto 0) &lt;= rmap_registers_wr_i.aeb_gen_cfg_reserved_9b8.reserved(7 downto 0);</t>
  </si>
  <si>
    <t xml:space="preserve">      avalon_mm_rmap_o.readdata(15 downto 8) &lt;= rmap_registers_wr_i.aeb_gen_cfg_reserved_9b8.reserved(15 downto 8);</t>
  </si>
  <si>
    <t xml:space="preserve">      avalon_mm_rmap_o.readdata(23 downto 16) &lt;= rmap_registers_wr_i.aeb_gen_cfg_reserved_9b8.reserved(23 downto 16);</t>
  </si>
  <si>
    <t xml:space="preserve">      avalon_mm_rmap_o.readdata(31 downto 24) &lt;= rmap_registers_wr_i.aeb_gen_cfg_reserved_9b8.reserved(31 downto 24);</t>
  </si>
  <si>
    <t xml:space="preserve">  when (16#329#) =&gt;</t>
  </si>
  <si>
    <t xml:space="preserve">      -- AEB General Configuration Area Register "RESERVED_9BC" : "RESERVED" Field</t>
  </si>
  <si>
    <t xml:space="preserve">      avalon_mm_rmap_o.readdata(7 downto 0) &lt;= rmap_registers_wr_i.aeb_gen_cfg_reserved_9bc.reserved(7 downto 0);</t>
  </si>
  <si>
    <t xml:space="preserve">      avalon_mm_rmap_o.readdata(15 downto 8) &lt;= rmap_registers_wr_i.aeb_gen_cfg_reserved_9bc.reserved(15 downto 8);</t>
  </si>
  <si>
    <t xml:space="preserve">      avalon_mm_rmap_o.readdata(23 downto 16) &lt;= rmap_registers_wr_i.aeb_gen_cfg_reserved_9bc.reserved(23 downto 16);</t>
  </si>
  <si>
    <t xml:space="preserve">      avalon_mm_rmap_o.readdata(31 downto 24) &lt;= rmap_registers_wr_i.aeb_gen_cfg_reserved_9bc.reserved(31 downto 24);</t>
  </si>
  <si>
    <t xml:space="preserve">  when (16#32A#) =&gt;</t>
  </si>
  <si>
    <t xml:space="preserve">      -- AEB General Configuration Area Register "RESERVED_9C0" : "RESERVED" Field</t>
  </si>
  <si>
    <t xml:space="preserve">      avalon_mm_rmap_o.readdata(7 downto 0) &lt;= rmap_registers_wr_i.aeb_gen_cfg_reserved_9c0.reserved(7 downto 0);</t>
  </si>
  <si>
    <t xml:space="preserve">      avalon_mm_rmap_o.readdata(15 downto 8) &lt;= rmap_registers_wr_i.aeb_gen_cfg_reserved_9c0.reserved(15 downto 8);</t>
  </si>
  <si>
    <t xml:space="preserve">      avalon_mm_rmap_o.readdata(23 downto 16) &lt;= rmap_registers_wr_i.aeb_gen_cfg_reserved_9c0.reserved(23 downto 16);</t>
  </si>
  <si>
    <t xml:space="preserve">      avalon_mm_rmap_o.readdata(31 downto 24) &lt;= rmap_registers_wr_i.aeb_gen_cfg_reserved_9c0.reserved(31 downto 24);</t>
  </si>
  <si>
    <t xml:space="preserve">  when (16#32B#) =&gt;</t>
  </si>
  <si>
    <t xml:space="preserve">      -- AEB General Configuration Area Register "RESERVED_9C4" : "RESERVED" Field</t>
  </si>
  <si>
    <t xml:space="preserve">      avalon_mm_rmap_o.readdata(7 downto 0) &lt;= rmap_registers_wr_i.aeb_gen_cfg_reserved_9c4.reserved(7 downto 0);</t>
  </si>
  <si>
    <t xml:space="preserve">      avalon_mm_rmap_o.readdata(15 downto 8) &lt;= rmap_registers_wr_i.aeb_gen_cfg_reserved_9c4.reserved(15 downto 8);</t>
  </si>
  <si>
    <t xml:space="preserve">      avalon_mm_rmap_o.readdata(23 downto 16) &lt;= rmap_registers_wr_i.aeb_gen_cfg_reserved_9c4.reserved(23 downto 16);</t>
  </si>
  <si>
    <t xml:space="preserve">      avalon_mm_rmap_o.readdata(31 downto 24) &lt;= rmap_registers_wr_i.aeb_gen_cfg_reserved_9c4.reserved(31 downto 24);</t>
  </si>
  <si>
    <t xml:space="preserve">  when (16#32C#) =&gt;</t>
  </si>
  <si>
    <t xml:space="preserve">      -- AEB General Configuration Area Register "RESERVED_9C8" : "RESERVED" Field</t>
  </si>
  <si>
    <t xml:space="preserve">      avalon_mm_rmap_o.readdata(7 downto 0) &lt;= rmap_registers_wr_i.aeb_gen_cfg_reserved_9c8.reserved(7 downto 0);</t>
  </si>
  <si>
    <t xml:space="preserve">      avalon_mm_rmap_o.readdata(15 downto 8) &lt;= rmap_registers_wr_i.aeb_gen_cfg_reserved_9c8.reserved(15 downto 8);</t>
  </si>
  <si>
    <t xml:space="preserve">      avalon_mm_rmap_o.readdata(23 downto 16) &lt;= rmap_registers_wr_i.aeb_gen_cfg_reserved_9c8.reserved(23 downto 16);</t>
  </si>
  <si>
    <t xml:space="preserve">      avalon_mm_rmap_o.readdata(31 downto 24) &lt;= rmap_registers_wr_i.aeb_gen_cfg_reserved_9c8.reserved(31 downto 24);</t>
  </si>
  <si>
    <t xml:space="preserve">  when (16#32D#) =&gt;</t>
  </si>
  <si>
    <t xml:space="preserve">      -- AEB General Configuration Area Register "RESERVED_9CC" : "RESERVED" Field</t>
  </si>
  <si>
    <t xml:space="preserve">      avalon_mm_rmap_o.readdata(7 downto 0) &lt;= rmap_registers_wr_i.aeb_gen_cfg_reserved_9cc.reserved(7 downto 0);</t>
  </si>
  <si>
    <t xml:space="preserve">      avalon_mm_rmap_o.readdata(15 downto 8) &lt;= rmap_registers_wr_i.aeb_gen_cfg_reserved_9cc.reserved(15 downto 8);</t>
  </si>
  <si>
    <t xml:space="preserve">      avalon_mm_rmap_o.readdata(23 downto 16) &lt;= rmap_registers_wr_i.aeb_gen_cfg_reserved_9cc.reserved(23 downto 16);</t>
  </si>
  <si>
    <t xml:space="preserve">      avalon_mm_rmap_o.readdata(31 downto 24) &lt;= rmap_registers_wr_i.aeb_gen_cfg_reserved_9cc.reserved(31 downto 24);</t>
  </si>
  <si>
    <t xml:space="preserve">  when (16#32E#) =&gt;</t>
  </si>
  <si>
    <t xml:space="preserve">      -- AEB General Configuration Area Register "RESERVED_9D0" : "RESERVED" Field</t>
  </si>
  <si>
    <t xml:space="preserve">      avalon_mm_rmap_o.readdata(7 downto 0) &lt;= rmap_registers_wr_i.aeb_gen_cfg_reserved_9d0.reserved(7 downto 0);</t>
  </si>
  <si>
    <t xml:space="preserve">      avalon_mm_rmap_o.readdata(15 downto 8) &lt;= rmap_registers_wr_i.aeb_gen_cfg_reserved_9d0.reserved(15 downto 8);</t>
  </si>
  <si>
    <t xml:space="preserve">      avalon_mm_rmap_o.readdata(23 downto 16) &lt;= rmap_registers_wr_i.aeb_gen_cfg_reserved_9d0.reserved(23 downto 16);</t>
  </si>
  <si>
    <t xml:space="preserve">      avalon_mm_rmap_o.readdata(31 downto 24) &lt;= rmap_registers_wr_i.aeb_gen_cfg_reserved_9d0.reserved(31 downto 24);</t>
  </si>
  <si>
    <t xml:space="preserve">  when (16#32F#) =&gt;</t>
  </si>
  <si>
    <t xml:space="preserve">      -- AEB General Configuration Area Register "RESERVED_9D4" : "RESERVED" Field</t>
  </si>
  <si>
    <t xml:space="preserve">      avalon_mm_rmap_o.readdata(7 downto 0) &lt;= rmap_registers_wr_i.aeb_gen_cfg_reserved_9d4.reserved(7 downto 0);</t>
  </si>
  <si>
    <t xml:space="preserve">      avalon_mm_rmap_o.readdata(15 downto 8) &lt;= rmap_registers_wr_i.aeb_gen_cfg_reserved_9d4.reserved(15 downto 8);</t>
  </si>
  <si>
    <t xml:space="preserve">      avalon_mm_rmap_o.readdata(23 downto 16) &lt;= rmap_registers_wr_i.aeb_gen_cfg_reserved_9d4.reserved(23 downto 16);</t>
  </si>
  <si>
    <t xml:space="preserve">      avalon_mm_rmap_o.readdata(31 downto 24) &lt;= rmap_registers_wr_i.aeb_gen_cfg_reserved_9d4.reserved(31 downto 24);</t>
  </si>
  <si>
    <t xml:space="preserve">  when (16#330#) =&gt;</t>
  </si>
  <si>
    <t xml:space="preserve">      -- AEB General Configuration Area Register "RESERVED_9D8" : "RESERVED" Field</t>
  </si>
  <si>
    <t xml:space="preserve">      avalon_mm_rmap_o.readdata(7 downto 0) &lt;= rmap_registers_wr_i.aeb_gen_cfg_reserved_9d8.reserved(7 downto 0);</t>
  </si>
  <si>
    <t xml:space="preserve">      avalon_mm_rmap_o.readdata(15 downto 8) &lt;= rmap_registers_wr_i.aeb_gen_cfg_reserved_9d8.reserved(15 downto 8);</t>
  </si>
  <si>
    <t xml:space="preserve">      avalon_mm_rmap_o.readdata(23 downto 16) &lt;= rmap_registers_wr_i.aeb_gen_cfg_reserved_9d8.reserved(23 downto 16);</t>
  </si>
  <si>
    <t xml:space="preserve">      avalon_mm_rmap_o.readdata(31 downto 24) &lt;= rmap_registers_wr_i.aeb_gen_cfg_reserved_9d8.reserved(31 downto 24);</t>
  </si>
  <si>
    <t xml:space="preserve">  when (16#331#) =&gt;</t>
  </si>
  <si>
    <t xml:space="preserve">      -- AEB General Configuration Area Register "RESERVED_9DC" : "RESERVED" Field</t>
  </si>
  <si>
    <t xml:space="preserve">      avalon_mm_rmap_o.readdata(7 downto 0) &lt;= rmap_registers_wr_i.aeb_gen_cfg_reserved_9dc.reserved(7 downto 0);</t>
  </si>
  <si>
    <t xml:space="preserve">      avalon_mm_rmap_o.readdata(15 downto 8) &lt;= rmap_registers_wr_i.aeb_gen_cfg_reserved_9dc.reserved(15 downto 8);</t>
  </si>
  <si>
    <t xml:space="preserve">      avalon_mm_rmap_o.readdata(23 downto 16) &lt;= rmap_registers_wr_i.aeb_gen_cfg_reserved_9dc.reserved(23 downto 16);</t>
  </si>
  <si>
    <t xml:space="preserve">      avalon_mm_rmap_o.readdata(31 downto 24) &lt;= rmap_registers_wr_i.aeb_gen_cfg_reserved_9dc.reserved(31 downto 24);</t>
  </si>
  <si>
    <t xml:space="preserve">  when (16#332#) =&gt;</t>
  </si>
  <si>
    <t xml:space="preserve">      -- AEB General Configuration Area Register "RESERVED_9E0" : "RESERVED" Field</t>
  </si>
  <si>
    <t xml:space="preserve">      avalon_mm_rmap_o.readdata(7 downto 0) &lt;= rmap_registers_wr_i.aeb_gen_cfg_reserved_9e0.reserved(7 downto 0);</t>
  </si>
  <si>
    <t xml:space="preserve">      avalon_mm_rmap_o.readdata(15 downto 8) &lt;= rmap_registers_wr_i.aeb_gen_cfg_reserved_9e0.reserved(15 downto 8);</t>
  </si>
  <si>
    <t xml:space="preserve">      avalon_mm_rmap_o.readdata(23 downto 16) &lt;= rmap_registers_wr_i.aeb_gen_cfg_reserved_9e0.reserved(23 downto 16);</t>
  </si>
  <si>
    <t xml:space="preserve">      avalon_mm_rmap_o.readdata(31 downto 24) &lt;= rmap_registers_wr_i.aeb_gen_cfg_reserved_9e0.reserved(31 downto 24);</t>
  </si>
  <si>
    <t xml:space="preserve">  when (16#333#) =&gt;</t>
  </si>
  <si>
    <t xml:space="preserve">      -- AEB General Configuration Area Register "RESERVED_9E4" : "RESERVED" Field</t>
  </si>
  <si>
    <t xml:space="preserve">      avalon_mm_rmap_o.readdata(7 downto 0) &lt;= rmap_registers_wr_i.aeb_gen_cfg_reserved_9e4.reserved(7 downto 0);</t>
  </si>
  <si>
    <t xml:space="preserve">      avalon_mm_rmap_o.readdata(15 downto 8) &lt;= rmap_registers_wr_i.aeb_gen_cfg_reserved_9e4.reserved(15 downto 8);</t>
  </si>
  <si>
    <t xml:space="preserve">      avalon_mm_rmap_o.readdata(23 downto 16) &lt;= rmap_registers_wr_i.aeb_gen_cfg_reserved_9e4.reserved(23 downto 16);</t>
  </si>
  <si>
    <t xml:space="preserve">      avalon_mm_rmap_o.readdata(31 downto 24) &lt;= rmap_registers_wr_i.aeb_gen_cfg_reserved_9e4.reserved(31 downto 24);</t>
  </si>
  <si>
    <t xml:space="preserve">  when (16#334#) =&gt;</t>
  </si>
  <si>
    <t xml:space="preserve">      -- AEB General Configuration Area Register "RESERVED_9E8" : "RESERVED" Field</t>
  </si>
  <si>
    <t xml:space="preserve">      avalon_mm_rmap_o.readdata(7 downto 0) &lt;= rmap_registers_wr_i.aeb_gen_cfg_reserved_9e8.reserved(7 downto 0);</t>
  </si>
  <si>
    <t xml:space="preserve">      avalon_mm_rmap_o.readdata(15 downto 8) &lt;= rmap_registers_wr_i.aeb_gen_cfg_reserved_9e8.reserved(15 downto 8);</t>
  </si>
  <si>
    <t xml:space="preserve">      avalon_mm_rmap_o.readdata(23 downto 16) &lt;= rmap_registers_wr_i.aeb_gen_cfg_reserved_9e8.reserved(23 downto 16);</t>
  </si>
  <si>
    <t xml:space="preserve">      avalon_mm_rmap_o.readdata(31 downto 24) &lt;= rmap_registers_wr_i.aeb_gen_cfg_reserved_9e8.reserved(31 downto 24);</t>
  </si>
  <si>
    <t xml:space="preserve">  when (16#335#) =&gt;</t>
  </si>
  <si>
    <t xml:space="preserve">      -- AEB General Configuration Area Register "RESERVED_9EC" : "RESERVED" Field</t>
  </si>
  <si>
    <t xml:space="preserve">      avalon_mm_rmap_o.readdata(7 downto 0) &lt;= rmap_registers_wr_i.aeb_gen_cfg_reserved_9ec.reserved(7 downto 0);</t>
  </si>
  <si>
    <t xml:space="preserve">      avalon_mm_rmap_o.readdata(15 downto 8) &lt;= rmap_registers_wr_i.aeb_gen_cfg_reserved_9ec.reserved(15 downto 8);</t>
  </si>
  <si>
    <t xml:space="preserve">      avalon_mm_rmap_o.readdata(23 downto 16) &lt;= rmap_registers_wr_i.aeb_gen_cfg_reserved_9ec.reserved(23 downto 16);</t>
  </si>
  <si>
    <t xml:space="preserve">      avalon_mm_rmap_o.readdata(31 downto 24) &lt;= rmap_registers_wr_i.aeb_gen_cfg_reserved_9ec.reserved(31 downto 24);</t>
  </si>
  <si>
    <t xml:space="preserve">  when (16#336#) =&gt;</t>
  </si>
  <si>
    <t xml:space="preserve">      -- AEB General Configuration Area Register "RESERVED_9F0" : "RESERVED" Field</t>
  </si>
  <si>
    <t xml:space="preserve">      avalon_mm_rmap_o.readdata(7 downto 0) &lt;= rmap_registers_wr_i.aeb_gen_cfg_reserved_9f0.reserved(7 downto 0);</t>
  </si>
  <si>
    <t xml:space="preserve">      avalon_mm_rmap_o.readdata(15 downto 8) &lt;= rmap_registers_wr_i.aeb_gen_cfg_reserved_9f0.reserved(15 downto 8);</t>
  </si>
  <si>
    <t xml:space="preserve">      avalon_mm_rmap_o.readdata(23 downto 16) &lt;= rmap_registers_wr_i.aeb_gen_cfg_reserved_9f0.reserved(23 downto 16);</t>
  </si>
  <si>
    <t xml:space="preserve">      avalon_mm_rmap_o.readdata(31 downto 24) &lt;= rmap_registers_wr_i.aeb_gen_cfg_reserved_9f0.reserved(31 downto 24);</t>
  </si>
  <si>
    <t xml:space="preserve">  when (16#337#) =&gt;</t>
  </si>
  <si>
    <t xml:space="preserve">      -- AEB General Configuration Area Register "RESERVED_9F4" : "RESERVED" Field</t>
  </si>
  <si>
    <t xml:space="preserve">      avalon_mm_rmap_o.readdata(7 downto 0) &lt;= rmap_registers_wr_i.aeb_gen_cfg_reserved_9f4.reserved(7 downto 0);</t>
  </si>
  <si>
    <t xml:space="preserve">      avalon_mm_rmap_o.readdata(15 downto 8) &lt;= rmap_registers_wr_i.aeb_gen_cfg_reserved_9f4.reserved(15 downto 8);</t>
  </si>
  <si>
    <t xml:space="preserve">      avalon_mm_rmap_o.readdata(23 downto 16) &lt;= rmap_registers_wr_i.aeb_gen_cfg_reserved_9f4.reserved(23 downto 16);</t>
  </si>
  <si>
    <t xml:space="preserve">      avalon_mm_rmap_o.readdata(31 downto 24) &lt;= rmap_registers_wr_i.aeb_gen_cfg_reserved_9f4.reserved(31 downto 24);</t>
  </si>
  <si>
    <t xml:space="preserve">  when (16#338#) =&gt;</t>
  </si>
  <si>
    <t xml:space="preserve">      -- AEB General Configuration Area Register "RESERVED_9F8" : "RESERVED" Field</t>
  </si>
  <si>
    <t xml:space="preserve">      avalon_mm_rmap_o.readdata(7 downto 0) &lt;= rmap_registers_wr_i.aeb_gen_cfg_reserved_9f8.reserved(7 downto 0);</t>
  </si>
  <si>
    <t xml:space="preserve">      avalon_mm_rmap_o.readdata(15 downto 8) &lt;= rmap_registers_wr_i.aeb_gen_cfg_reserved_9f8.reserved(15 downto 8);</t>
  </si>
  <si>
    <t xml:space="preserve">      avalon_mm_rmap_o.readdata(23 downto 16) &lt;= rmap_registers_wr_i.aeb_gen_cfg_reserved_9f8.reserved(23 downto 16);</t>
  </si>
  <si>
    <t xml:space="preserve">      avalon_mm_rmap_o.readdata(31 downto 24) &lt;= rmap_registers_wr_i.aeb_gen_cfg_reserved_9f8.reserved(31 downto 24);</t>
  </si>
  <si>
    <t xml:space="preserve">  when (16#339#) =&gt;</t>
  </si>
  <si>
    <t xml:space="preserve">      -- AEB General Configuration Area Register "RESERVED_9FC" : "RESERVED" Field</t>
  </si>
  <si>
    <t xml:space="preserve">      avalon_mm_rmap_o.readdata(7 downto 0) &lt;= rmap_registers_wr_i.aeb_gen_cfg_reserved_9fc.reserved(7 downto 0);</t>
  </si>
  <si>
    <t xml:space="preserve">      avalon_mm_rmap_o.readdata(15 downto 8) &lt;= rmap_registers_wr_i.aeb_gen_cfg_reserved_9fc.reserved(15 downto 8);</t>
  </si>
  <si>
    <t xml:space="preserve">      avalon_mm_rmap_o.readdata(23 downto 16) &lt;= rmap_registers_wr_i.aeb_gen_cfg_reserved_9fc.reserved(23 downto 16);</t>
  </si>
  <si>
    <t xml:space="preserve">      avalon_mm_rmap_o.readdata(31 downto 24) &lt;= rmap_registers_wr_i.aeb_gen_cfg_reserved_9fc.reserved(31 downto 24);</t>
  </si>
  <si>
    <t xml:space="preserve">  when (16#33A#) =&gt;</t>
  </si>
  <si>
    <t xml:space="preserve">      -- AEB General Configuration Area Register "RESERVED_A00" : "RESERVED" Field</t>
  </si>
  <si>
    <t xml:space="preserve">      avalon_mm_rmap_o.readdata(7 downto 0) &lt;= rmap_registers_wr_i.aeb_gen_cfg_reserved_a00.reserved(7 downto 0);</t>
  </si>
  <si>
    <t xml:space="preserve">      avalon_mm_rmap_o.readdata(15 downto 8) &lt;= rmap_registers_wr_i.aeb_gen_cfg_reserved_a00.reserved(15 downto 8);</t>
  </si>
  <si>
    <t xml:space="preserve">      avalon_mm_rmap_o.readdata(23 downto 16) &lt;= rmap_registers_wr_i.aeb_gen_cfg_reserved_a00.reserved(23 downto 16);</t>
  </si>
  <si>
    <t xml:space="preserve">      avalon_mm_rmap_o.readdata(31 downto 24) &lt;= rmap_registers_wr_i.aeb_gen_cfg_reserved_a00.reserved(31 downto 24);</t>
  </si>
  <si>
    <t xml:space="preserve">  when (16#33B#) =&gt;</t>
  </si>
  <si>
    <t xml:space="preserve">      -- AEB General Configuration Area Register "RESERVED_A04" : "RESERVED" Field</t>
  </si>
  <si>
    <t xml:space="preserve">      avalon_mm_rmap_o.readdata(7 downto 0) &lt;= rmap_registers_wr_i.aeb_gen_cfg_reserved_a04.reserved(7 downto 0);</t>
  </si>
  <si>
    <t xml:space="preserve">      avalon_mm_rmap_o.readdata(15 downto 8) &lt;= rmap_registers_wr_i.aeb_gen_cfg_reserved_a04.reserved(15 downto 8);</t>
  </si>
  <si>
    <t xml:space="preserve">      avalon_mm_rmap_o.readdata(23 downto 16) &lt;= rmap_registers_wr_i.aeb_gen_cfg_reserved_a04.reserved(23 downto 16);</t>
  </si>
  <si>
    <t xml:space="preserve">      avalon_mm_rmap_o.readdata(31 downto 24) &lt;= rmap_registers_wr_i.aeb_gen_cfg_reserved_a04.reserved(31 downto 24);</t>
  </si>
  <si>
    <t xml:space="preserve">  when (16#33C#) =&gt;</t>
  </si>
  <si>
    <t xml:space="preserve">      -- AEB General Configuration Area Register "RESERVED_A08" : "RESERVED" Field</t>
  </si>
  <si>
    <t xml:space="preserve">      avalon_mm_rmap_o.readdata(7 downto 0) &lt;= rmap_registers_wr_i.aeb_gen_cfg_reserved_a08.reserved(7 downto 0);</t>
  </si>
  <si>
    <t xml:space="preserve">      avalon_mm_rmap_o.readdata(15 downto 8) &lt;= rmap_registers_wr_i.aeb_gen_cfg_reserved_a08.reserved(15 downto 8);</t>
  </si>
  <si>
    <t xml:space="preserve">      avalon_mm_rmap_o.readdata(23 downto 16) &lt;= rmap_registers_wr_i.aeb_gen_cfg_reserved_a08.reserved(23 downto 16);</t>
  </si>
  <si>
    <t xml:space="preserve">      avalon_mm_rmap_o.readdata(31 downto 24) &lt;= rmap_registers_wr_i.aeb_gen_cfg_reserved_a08.reserved(31 downto 24);</t>
  </si>
  <si>
    <t xml:space="preserve">  when (16#33D#) =&gt;</t>
  </si>
  <si>
    <t xml:space="preserve">      -- AEB General Configuration Area Register "RESERVED_A0C" : "RESERVED" Field</t>
  </si>
  <si>
    <t xml:space="preserve">      avalon_mm_rmap_o.readdata(7 downto 0) &lt;= rmap_registers_wr_i.aeb_gen_cfg_reserved_a0c.reserved(7 downto 0);</t>
  </si>
  <si>
    <t xml:space="preserve">      avalon_mm_rmap_o.readdata(15 downto 8) &lt;= rmap_registers_wr_i.aeb_gen_cfg_reserved_a0c.reserved(15 downto 8);</t>
  </si>
  <si>
    <t xml:space="preserve">      avalon_mm_rmap_o.readdata(23 downto 16) &lt;= rmap_registers_wr_i.aeb_gen_cfg_reserved_a0c.reserved(23 downto 16);</t>
  </si>
  <si>
    <t xml:space="preserve">      avalon_mm_rmap_o.readdata(31 downto 24) &lt;= rmap_registers_wr_i.aeb_gen_cfg_reserved_a0c.reserved(31 downto 24);</t>
  </si>
  <si>
    <t xml:space="preserve">  when (16#33E#) =&gt;</t>
  </si>
  <si>
    <t xml:space="preserve">      -- AEB General Configuration Area Register "RESERVED_A10" : "RESERVED" Field</t>
  </si>
  <si>
    <t xml:space="preserve">      avalon_mm_rmap_o.readdata(7 downto 0) &lt;= rmap_registers_wr_i.aeb_gen_cfg_reserved_a10.reserved(7 downto 0);</t>
  </si>
  <si>
    <t xml:space="preserve">      avalon_mm_rmap_o.readdata(15 downto 8) &lt;= rmap_registers_wr_i.aeb_gen_cfg_reserved_a10.reserved(15 downto 8);</t>
  </si>
  <si>
    <t xml:space="preserve">      avalon_mm_rmap_o.readdata(23 downto 16) &lt;= rmap_registers_wr_i.aeb_gen_cfg_reserved_a10.reserved(23 downto 16);</t>
  </si>
  <si>
    <t xml:space="preserve">      avalon_mm_rmap_o.readdata(31 downto 24) &lt;= rmap_registers_wr_i.aeb_gen_cfg_reserved_a10.reserved(31 downto 24);</t>
  </si>
  <si>
    <t xml:space="preserve">  when (16#33F#) =&gt;</t>
  </si>
  <si>
    <t xml:space="preserve">      -- AEB General Configuration Area Register "RESERVED_A14" : "RESERVED" Field</t>
  </si>
  <si>
    <t xml:space="preserve">      avalon_mm_rmap_o.readdata(7 downto 0) &lt;= rmap_registers_wr_i.aeb_gen_cfg_reserved_a14.reserved(7 downto 0);</t>
  </si>
  <si>
    <t xml:space="preserve">      avalon_mm_rmap_o.readdata(15 downto 8) &lt;= rmap_registers_wr_i.aeb_gen_cfg_reserved_a14.reserved(15 downto 8);</t>
  </si>
  <si>
    <t xml:space="preserve">      avalon_mm_rmap_o.readdata(23 downto 16) &lt;= rmap_registers_wr_i.aeb_gen_cfg_reserved_a14.reserved(23 downto 16);</t>
  </si>
  <si>
    <t xml:space="preserve">      avalon_mm_rmap_o.readdata(31 downto 24) &lt;= rmap_registers_wr_i.aeb_gen_cfg_reserved_a14.reserved(31 downto 24);</t>
  </si>
  <si>
    <t xml:space="preserve">  when (16#340#) =&gt;</t>
  </si>
  <si>
    <t xml:space="preserve">      -- AEB General Configuration Area Register "RESERVED_A18" : "RESERVED" Field</t>
  </si>
  <si>
    <t xml:space="preserve">      avalon_mm_rmap_o.readdata(7 downto 0) &lt;= rmap_registers_wr_i.aeb_gen_cfg_reserved_a18.reserved(7 downto 0);</t>
  </si>
  <si>
    <t xml:space="preserve">      avalon_mm_rmap_o.readdata(15 downto 8) &lt;= rmap_registers_wr_i.aeb_gen_cfg_reserved_a18.reserved(15 downto 8);</t>
  </si>
  <si>
    <t xml:space="preserve">      avalon_mm_rmap_o.readdata(23 downto 16) &lt;= rmap_registers_wr_i.aeb_gen_cfg_reserved_a18.reserved(23 downto 16);</t>
  </si>
  <si>
    <t xml:space="preserve">      avalon_mm_rmap_o.readdata(31 downto 24) &lt;= rmap_registers_wr_i.aeb_gen_cfg_reserved_a18.reserved(31 downto 24);</t>
  </si>
  <si>
    <t xml:space="preserve">  when (16#341#) =&gt;</t>
  </si>
  <si>
    <t xml:space="preserve">      -- AEB General Configuration Area Register "RESERVED_A1C" : "RESERVED" Field</t>
  </si>
  <si>
    <t xml:space="preserve">      avalon_mm_rmap_o.readdata(7 downto 0) &lt;= rmap_registers_wr_i.aeb_gen_cfg_reserved_a1c.reserved(7 downto 0);</t>
  </si>
  <si>
    <t xml:space="preserve">      avalon_mm_rmap_o.readdata(15 downto 8) &lt;= rmap_registers_wr_i.aeb_gen_cfg_reserved_a1c.reserved(15 downto 8);</t>
  </si>
  <si>
    <t xml:space="preserve">      avalon_mm_rmap_o.readdata(23 downto 16) &lt;= rmap_registers_wr_i.aeb_gen_cfg_reserved_a1c.reserved(23 downto 16);</t>
  </si>
  <si>
    <t xml:space="preserve">      avalon_mm_rmap_o.readdata(31 downto 24) &lt;= rmap_registers_wr_i.aeb_gen_cfg_reserved_a1c.reserved(31 downto 24);</t>
  </si>
  <si>
    <t xml:space="preserve">  when (16#342#) =&gt;</t>
  </si>
  <si>
    <t xml:space="preserve">      -- AEB General Configuration Area Register "RESERVED_A20" : "RESERVED" Field</t>
  </si>
  <si>
    <t xml:space="preserve">      avalon_mm_rmap_o.readdata(7 downto 0) &lt;= rmap_registers_wr_i.aeb_gen_cfg_reserved_a20.reserved(7 downto 0);</t>
  </si>
  <si>
    <t xml:space="preserve">      avalon_mm_rmap_o.readdata(15 downto 8) &lt;= rmap_registers_wr_i.aeb_gen_cfg_reserved_a20.reserved(15 downto 8);</t>
  </si>
  <si>
    <t xml:space="preserve">      avalon_mm_rmap_o.readdata(23 downto 16) &lt;= rmap_registers_wr_i.aeb_gen_cfg_reserved_a20.reserved(23 downto 16);</t>
  </si>
  <si>
    <t xml:space="preserve">      avalon_mm_rmap_o.readdata(31 downto 24) &lt;= rmap_registers_wr_i.aeb_gen_cfg_reserved_a20.reserved(31 downto 24);</t>
  </si>
  <si>
    <t xml:space="preserve">  when (16#343#) =&gt;</t>
  </si>
  <si>
    <t xml:space="preserve">      -- AEB General Configuration Area Register "RESERVED_A24" : "RESERVED" Field</t>
  </si>
  <si>
    <t xml:space="preserve">      avalon_mm_rmap_o.readdata(7 downto 0) &lt;= rmap_registers_wr_i.aeb_gen_cfg_reserved_a24.reserved(7 downto 0);</t>
  </si>
  <si>
    <t xml:space="preserve">      avalon_mm_rmap_o.readdata(15 downto 8) &lt;= rmap_registers_wr_i.aeb_gen_cfg_reserved_a24.reserved(15 downto 8);</t>
  </si>
  <si>
    <t xml:space="preserve">      avalon_mm_rmap_o.readdata(23 downto 16) &lt;= rmap_registers_wr_i.aeb_gen_cfg_reserved_a24.reserved(23 downto 16);</t>
  </si>
  <si>
    <t xml:space="preserve">      avalon_mm_rmap_o.readdata(31 downto 24) &lt;= rmap_registers_wr_i.aeb_gen_cfg_reserved_a24.reserved(31 downto 24);</t>
  </si>
  <si>
    <t xml:space="preserve">  when (16#344#) =&gt;</t>
  </si>
  <si>
    <t xml:space="preserve">      -- AEB General Configuration Area Register "RESERVED_A28" : "RESERVED" Field</t>
  </si>
  <si>
    <t xml:space="preserve">      avalon_mm_rmap_o.readdata(7 downto 0) &lt;= rmap_registers_wr_i.aeb_gen_cfg_reserved_a28.reserved(7 downto 0);</t>
  </si>
  <si>
    <t xml:space="preserve">      avalon_mm_rmap_o.readdata(15 downto 8) &lt;= rmap_registers_wr_i.aeb_gen_cfg_reserved_a28.reserved(15 downto 8);</t>
  </si>
  <si>
    <t xml:space="preserve">      avalon_mm_rmap_o.readdata(23 downto 16) &lt;= rmap_registers_wr_i.aeb_gen_cfg_reserved_a28.reserved(23 downto 16);</t>
  </si>
  <si>
    <t xml:space="preserve">      avalon_mm_rmap_o.readdata(31 downto 24) &lt;= rmap_registers_wr_i.aeb_gen_cfg_reserved_a28.reserved(31 downto 24);</t>
  </si>
  <si>
    <t xml:space="preserve">  when (16#345#) =&gt;</t>
  </si>
  <si>
    <t xml:space="preserve">      -- AEB General Configuration Area Register "RESERVED_A2C" : "RESERVED" Field</t>
  </si>
  <si>
    <t xml:space="preserve">      avalon_mm_rmap_o.readdata(7 downto 0) &lt;= rmap_registers_wr_i.aeb_gen_cfg_reserved_a2c.reserved(7 downto 0);</t>
  </si>
  <si>
    <t xml:space="preserve">      avalon_mm_rmap_o.readdata(15 downto 8) &lt;= rmap_registers_wr_i.aeb_gen_cfg_reserved_a2c.reserved(15 downto 8);</t>
  </si>
  <si>
    <t xml:space="preserve">      avalon_mm_rmap_o.readdata(23 downto 16) &lt;= rmap_registers_wr_i.aeb_gen_cfg_reserved_a2c.reserved(23 downto 16);</t>
  </si>
  <si>
    <t xml:space="preserve">      avalon_mm_rmap_o.readdata(31 downto 24) &lt;= rmap_registers_wr_i.aeb_gen_cfg_reserved_a2c.reserved(31 downto 24);</t>
  </si>
  <si>
    <t xml:space="preserve">  when (16#346#) =&gt;</t>
  </si>
  <si>
    <t xml:space="preserve">      -- AEB General Configuration Area Register "RESERVED_A30" : "RESERVED" Field</t>
  </si>
  <si>
    <t xml:space="preserve">      avalon_mm_rmap_o.readdata(7 downto 0) &lt;= rmap_registers_wr_i.aeb_gen_cfg_reserved_a30.reserved(7 downto 0);</t>
  </si>
  <si>
    <t xml:space="preserve">      avalon_mm_rmap_o.readdata(15 downto 8) &lt;= rmap_registers_wr_i.aeb_gen_cfg_reserved_a30.reserved(15 downto 8);</t>
  </si>
  <si>
    <t xml:space="preserve">      avalon_mm_rmap_o.readdata(23 downto 16) &lt;= rmap_registers_wr_i.aeb_gen_cfg_reserved_a30.reserved(23 downto 16);</t>
  </si>
  <si>
    <t xml:space="preserve">      avalon_mm_rmap_o.readdata(31 downto 24) &lt;= rmap_registers_wr_i.aeb_gen_cfg_reserved_a30.reserved(31 downto 24);</t>
  </si>
  <si>
    <t xml:space="preserve">  when (16#347#) =&gt;</t>
  </si>
  <si>
    <t xml:space="preserve">      -- AEB General Configuration Area Register "RESERVED_A34" : "RESERVED" Field</t>
  </si>
  <si>
    <t xml:space="preserve">      avalon_mm_rmap_o.readdata(7 downto 0) &lt;= rmap_registers_wr_i.aeb_gen_cfg_reserved_a34.reserved(7 downto 0);</t>
  </si>
  <si>
    <t xml:space="preserve">      avalon_mm_rmap_o.readdata(15 downto 8) &lt;= rmap_registers_wr_i.aeb_gen_cfg_reserved_a34.reserved(15 downto 8);</t>
  </si>
  <si>
    <t xml:space="preserve">      avalon_mm_rmap_o.readdata(23 downto 16) &lt;= rmap_registers_wr_i.aeb_gen_cfg_reserved_a34.reserved(23 downto 16);</t>
  </si>
  <si>
    <t xml:space="preserve">      avalon_mm_rmap_o.readdata(31 downto 24) &lt;= rmap_registers_wr_i.aeb_gen_cfg_reserved_a34.reserved(31 downto 24);</t>
  </si>
  <si>
    <t xml:space="preserve">  when (16#348#) =&gt;</t>
  </si>
  <si>
    <t xml:space="preserve">      -- AEB General Configuration Area Register "RESERVED_A38" : "RESERVED" Field</t>
  </si>
  <si>
    <t xml:space="preserve">      avalon_mm_rmap_o.readdata(7 downto 0) &lt;= rmap_registers_wr_i.aeb_gen_cfg_reserved_a38.reserved(7 downto 0);</t>
  </si>
  <si>
    <t xml:space="preserve">      avalon_mm_rmap_o.readdata(15 downto 8) &lt;= rmap_registers_wr_i.aeb_gen_cfg_reserved_a38.reserved(15 downto 8);</t>
  </si>
  <si>
    <t xml:space="preserve">      avalon_mm_rmap_o.readdata(23 downto 16) &lt;= rmap_registers_wr_i.aeb_gen_cfg_reserved_a38.reserved(23 downto 16);</t>
  </si>
  <si>
    <t xml:space="preserve">      avalon_mm_rmap_o.readdata(31 downto 24) &lt;= rmap_registers_wr_i.aeb_gen_cfg_reserved_a38.reserved(31 downto 24);</t>
  </si>
  <si>
    <t xml:space="preserve">  when (16#349#) =&gt;</t>
  </si>
  <si>
    <t xml:space="preserve">      -- AEB General Configuration Area Register "RESERVED_A3C" : "RESERVED" Field</t>
  </si>
  <si>
    <t xml:space="preserve">      avalon_mm_rmap_o.readdata(7 downto 0) &lt;= rmap_registers_wr_i.aeb_gen_cfg_reserved_a3c.reserved(7 downto 0);</t>
  </si>
  <si>
    <t xml:space="preserve">      avalon_mm_rmap_o.readdata(15 downto 8) &lt;= rmap_registers_wr_i.aeb_gen_cfg_reserved_a3c.reserved(15 downto 8);</t>
  </si>
  <si>
    <t xml:space="preserve">      avalon_mm_rmap_o.readdata(23 downto 16) &lt;= rmap_registers_wr_i.aeb_gen_cfg_reserved_a3c.reserved(23 downto 16);</t>
  </si>
  <si>
    <t xml:space="preserve">      avalon_mm_rmap_o.readdata(31 downto 24) &lt;= rmap_registers_wr_i.aeb_gen_cfg_reserved_a3c.reserved(31 downto 24);</t>
  </si>
  <si>
    <t xml:space="preserve">  when (16#34A#) =&gt;</t>
  </si>
  <si>
    <t xml:space="preserve">      -- AEB General Configuration Area Register "RESERVED_A40" : "RESERVED" Field</t>
  </si>
  <si>
    <t xml:space="preserve">      avalon_mm_rmap_o.readdata(7 downto 0) &lt;= rmap_registers_wr_i.aeb_gen_cfg_reserved_a40.reserved(7 downto 0);</t>
  </si>
  <si>
    <t xml:space="preserve">      avalon_mm_rmap_o.readdata(15 downto 8) &lt;= rmap_registers_wr_i.aeb_gen_cfg_reserved_a40.reserved(15 downto 8);</t>
  </si>
  <si>
    <t xml:space="preserve">      avalon_mm_rmap_o.readdata(23 downto 16) &lt;= rmap_registers_wr_i.aeb_gen_cfg_reserved_a40.reserved(23 downto 16);</t>
  </si>
  <si>
    <t xml:space="preserve">      avalon_mm_rmap_o.readdata(31 downto 24) &lt;= rmap_registers_wr_i.aeb_gen_cfg_reserved_a40.reserved(31 downto 24);</t>
  </si>
  <si>
    <t xml:space="preserve">  when (16#34B#) =&gt;</t>
  </si>
  <si>
    <t xml:space="preserve">      -- AEB General Configuration Area Register "RESERVED_A44" : "RESERVED" Field</t>
  </si>
  <si>
    <t xml:space="preserve">      avalon_mm_rmap_o.readdata(7 downto 0) &lt;= rmap_registers_wr_i.aeb_gen_cfg_reserved_a44.reserved(7 downto 0);</t>
  </si>
  <si>
    <t xml:space="preserve">      avalon_mm_rmap_o.readdata(15 downto 8) &lt;= rmap_registers_wr_i.aeb_gen_cfg_reserved_a44.reserved(15 downto 8);</t>
  </si>
  <si>
    <t xml:space="preserve">      avalon_mm_rmap_o.readdata(23 downto 16) &lt;= rmap_registers_wr_i.aeb_gen_cfg_reserved_a44.reserved(23 downto 16);</t>
  </si>
  <si>
    <t xml:space="preserve">      avalon_mm_rmap_o.readdata(31 downto 24) &lt;= rmap_registers_wr_i.aeb_gen_cfg_reserved_a44.reserved(31 downto 24);</t>
  </si>
  <si>
    <t xml:space="preserve">  when (16#34C#) =&gt;</t>
  </si>
  <si>
    <t xml:space="preserve">      -- AEB General Configuration Area Register "RESERVED_A48" : "RESERVED" Field</t>
  </si>
  <si>
    <t xml:space="preserve">      avalon_mm_rmap_o.readdata(7 downto 0) &lt;= rmap_registers_wr_i.aeb_gen_cfg_reserved_a48.reserved(7 downto 0);</t>
  </si>
  <si>
    <t xml:space="preserve">      avalon_mm_rmap_o.readdata(15 downto 8) &lt;= rmap_registers_wr_i.aeb_gen_cfg_reserved_a48.reserved(15 downto 8);</t>
  </si>
  <si>
    <t xml:space="preserve">      avalon_mm_rmap_o.readdata(23 downto 16) &lt;= rmap_registers_wr_i.aeb_gen_cfg_reserved_a48.reserved(23 downto 16);</t>
  </si>
  <si>
    <t xml:space="preserve">      avalon_mm_rmap_o.readdata(31 downto 24) &lt;= rmap_registers_wr_i.aeb_gen_cfg_reserved_a48.reserved(31 downto 24);</t>
  </si>
  <si>
    <t xml:space="preserve">  when (16#34D#) =&gt;</t>
  </si>
  <si>
    <t xml:space="preserve">      -- AEB General Configuration Area Register "RESERVED_A4C" : "RESERVED" Field</t>
  </si>
  <si>
    <t xml:space="preserve">      avalon_mm_rmap_o.readdata(7 downto 0) &lt;= rmap_registers_wr_i.aeb_gen_cfg_reserved_a4c.reserved(7 downto 0);</t>
  </si>
  <si>
    <t xml:space="preserve">      avalon_mm_rmap_o.readdata(15 downto 8) &lt;= rmap_registers_wr_i.aeb_gen_cfg_reserved_a4c.reserved(15 downto 8);</t>
  </si>
  <si>
    <t xml:space="preserve">      avalon_mm_rmap_o.readdata(23 downto 16) &lt;= rmap_registers_wr_i.aeb_gen_cfg_reserved_a4c.reserved(23 downto 16);</t>
  </si>
  <si>
    <t xml:space="preserve">      avalon_mm_rmap_o.readdata(31 downto 24) &lt;= rmap_registers_wr_i.aeb_gen_cfg_reserved_a4c.reserved(31 downto 24);</t>
  </si>
  <si>
    <t xml:space="preserve">  when (16#34E#) =&gt;</t>
  </si>
  <si>
    <t xml:space="preserve">      -- AEB General Configuration Area Register "RESERVED_A50" : "RESERVED" Field</t>
  </si>
  <si>
    <t xml:space="preserve">      avalon_mm_rmap_o.readdata(7 downto 0) &lt;= rmap_registers_wr_i.aeb_gen_cfg_reserved_a50.reserved(7 downto 0);</t>
  </si>
  <si>
    <t xml:space="preserve">      avalon_mm_rmap_o.readdata(15 downto 8) &lt;= rmap_registers_wr_i.aeb_gen_cfg_reserved_a50.reserved(15 downto 8);</t>
  </si>
  <si>
    <t xml:space="preserve">      avalon_mm_rmap_o.readdata(23 downto 16) &lt;= rmap_registers_wr_i.aeb_gen_cfg_reserved_a50.reserved(23 downto 16);</t>
  </si>
  <si>
    <t xml:space="preserve">      avalon_mm_rmap_o.readdata(31 downto 24) &lt;= rmap_registers_wr_i.aeb_gen_cfg_reserved_a50.reserved(31 downto 24);</t>
  </si>
  <si>
    <t xml:space="preserve">  when (16#34F#) =&gt;</t>
  </si>
  <si>
    <t xml:space="preserve">      -- AEB General Configuration Area Register "RESERVED_A54" : "RESERVED" Field</t>
  </si>
  <si>
    <t xml:space="preserve">      avalon_mm_rmap_o.readdata(7 downto 0) &lt;= rmap_registers_wr_i.aeb_gen_cfg_reserved_a54.reserved(7 downto 0);</t>
  </si>
  <si>
    <t xml:space="preserve">      avalon_mm_rmap_o.readdata(15 downto 8) &lt;= rmap_registers_wr_i.aeb_gen_cfg_reserved_a54.reserved(15 downto 8);</t>
  </si>
  <si>
    <t xml:space="preserve">      avalon_mm_rmap_o.readdata(23 downto 16) &lt;= rmap_registers_wr_i.aeb_gen_cfg_reserved_a54.reserved(23 downto 16);</t>
  </si>
  <si>
    <t xml:space="preserve">      avalon_mm_rmap_o.readdata(31 downto 24) &lt;= rmap_registers_wr_i.aeb_gen_cfg_reserved_a54.reserved(31 downto 24);</t>
  </si>
  <si>
    <t xml:space="preserve">  when (16#350#) =&gt;</t>
  </si>
  <si>
    <t xml:space="preserve">      -- AEB General Configuration Area Register "RESERVED_A58" : "RESERVED" Field</t>
  </si>
  <si>
    <t xml:space="preserve">      avalon_mm_rmap_o.readdata(7 downto 0) &lt;= rmap_registers_wr_i.aeb_gen_cfg_reserved_a58.reserved(7 downto 0);</t>
  </si>
  <si>
    <t xml:space="preserve">      avalon_mm_rmap_o.readdata(15 downto 8) &lt;= rmap_registers_wr_i.aeb_gen_cfg_reserved_a58.reserved(15 downto 8);</t>
  </si>
  <si>
    <t xml:space="preserve">      avalon_mm_rmap_o.readdata(23 downto 16) &lt;= rmap_registers_wr_i.aeb_gen_cfg_reserved_a58.reserved(23 downto 16);</t>
  </si>
  <si>
    <t xml:space="preserve">      avalon_mm_rmap_o.readdata(31 downto 24) &lt;= rmap_registers_wr_i.aeb_gen_cfg_reserved_a58.reserved(31 downto 24);</t>
  </si>
  <si>
    <t xml:space="preserve">  when (16#351#) =&gt;</t>
  </si>
  <si>
    <t xml:space="preserve">      -- AEB General Configuration Area Register "RESERVED_A5C" : "RESERVED" Field</t>
  </si>
  <si>
    <t xml:space="preserve">      avalon_mm_rmap_o.readdata(7 downto 0) &lt;= rmap_registers_wr_i.aeb_gen_cfg_reserved_a5c.reserved(7 downto 0);</t>
  </si>
  <si>
    <t xml:space="preserve">      avalon_mm_rmap_o.readdata(15 downto 8) &lt;= rmap_registers_wr_i.aeb_gen_cfg_reserved_a5c.reserved(15 downto 8);</t>
  </si>
  <si>
    <t xml:space="preserve">      avalon_mm_rmap_o.readdata(23 downto 16) &lt;= rmap_registers_wr_i.aeb_gen_cfg_reserved_a5c.reserved(23 downto 16);</t>
  </si>
  <si>
    <t xml:space="preserve">      avalon_mm_rmap_o.readdata(31 downto 24) &lt;= rmap_registers_wr_i.aeb_gen_cfg_reserved_a5c.reserved(31 downto 24);</t>
  </si>
  <si>
    <t xml:space="preserve">  when (16#352#) =&gt;</t>
  </si>
  <si>
    <t xml:space="preserve">      -- AEB General Configuration Area Register "RESERVED_A60" : "RESERVED" Field</t>
  </si>
  <si>
    <t xml:space="preserve">      avalon_mm_rmap_o.readdata(7 downto 0) &lt;= rmap_registers_wr_i.aeb_gen_cfg_reserved_a60.reserved(7 downto 0);</t>
  </si>
  <si>
    <t xml:space="preserve">      avalon_mm_rmap_o.readdata(15 downto 8) &lt;= rmap_registers_wr_i.aeb_gen_cfg_reserved_a60.reserved(15 downto 8);</t>
  </si>
  <si>
    <t xml:space="preserve">      avalon_mm_rmap_o.readdata(23 downto 16) &lt;= rmap_registers_wr_i.aeb_gen_cfg_reserved_a60.reserved(23 downto 16);</t>
  </si>
  <si>
    <t xml:space="preserve">      avalon_mm_rmap_o.readdata(31 downto 24) &lt;= rmap_registers_wr_i.aeb_gen_cfg_reserved_a60.reserved(31 downto 24);</t>
  </si>
  <si>
    <t xml:space="preserve">  when (16#353#) =&gt;</t>
  </si>
  <si>
    <t xml:space="preserve">      -- AEB General Configuration Area Register "RESERVED_A64" : "RESERVED" Field</t>
  </si>
  <si>
    <t xml:space="preserve">      avalon_mm_rmap_o.readdata(7 downto 0) &lt;= rmap_registers_wr_i.aeb_gen_cfg_reserved_a64.reserved(7 downto 0);</t>
  </si>
  <si>
    <t xml:space="preserve">      avalon_mm_rmap_o.readdata(15 downto 8) &lt;= rmap_registers_wr_i.aeb_gen_cfg_reserved_a64.reserved(15 downto 8);</t>
  </si>
  <si>
    <t xml:space="preserve">      avalon_mm_rmap_o.readdata(23 downto 16) &lt;= rmap_registers_wr_i.aeb_gen_cfg_reserved_a64.reserved(23 downto 16);</t>
  </si>
  <si>
    <t xml:space="preserve">      avalon_mm_rmap_o.readdata(31 downto 24) &lt;= rmap_registers_wr_i.aeb_gen_cfg_reserved_a64.reserved(31 downto 24);</t>
  </si>
  <si>
    <t xml:space="preserve">  when (16#354#) =&gt;</t>
  </si>
  <si>
    <t xml:space="preserve">      -- AEB General Configuration Area Register "RESERVED_A68" : "RESERVED" Field</t>
  </si>
  <si>
    <t xml:space="preserve">      avalon_mm_rmap_o.readdata(7 downto 0) &lt;= rmap_registers_wr_i.aeb_gen_cfg_reserved_a68.reserved(7 downto 0);</t>
  </si>
  <si>
    <t xml:space="preserve">      avalon_mm_rmap_o.readdata(15 downto 8) &lt;= rmap_registers_wr_i.aeb_gen_cfg_reserved_a68.reserved(15 downto 8);</t>
  </si>
  <si>
    <t xml:space="preserve">      avalon_mm_rmap_o.readdata(23 downto 16) &lt;= rmap_registers_wr_i.aeb_gen_cfg_reserved_a68.reserved(23 downto 16);</t>
  </si>
  <si>
    <t xml:space="preserve">      avalon_mm_rmap_o.readdata(31 downto 24) &lt;= rmap_registers_wr_i.aeb_gen_cfg_reserved_a68.reserved(31 downto 24);</t>
  </si>
  <si>
    <t xml:space="preserve">  when (16#355#) =&gt;</t>
  </si>
  <si>
    <t xml:space="preserve">      -- AEB General Configuration Area Register "RESERVED_A6C" : "RESERVED" Field</t>
  </si>
  <si>
    <t xml:space="preserve">      avalon_mm_rmap_o.readdata(7 downto 0) &lt;= rmap_registers_wr_i.aeb_gen_cfg_reserved_a6c.reserved(7 downto 0);</t>
  </si>
  <si>
    <t xml:space="preserve">      avalon_mm_rmap_o.readdata(15 downto 8) &lt;= rmap_registers_wr_i.aeb_gen_cfg_reserved_a6c.reserved(15 downto 8);</t>
  </si>
  <si>
    <t xml:space="preserve">      avalon_mm_rmap_o.readdata(23 downto 16) &lt;= rmap_registers_wr_i.aeb_gen_cfg_reserved_a6c.reserved(23 downto 16);</t>
  </si>
  <si>
    <t xml:space="preserve">      avalon_mm_rmap_o.readdata(31 downto 24) &lt;= rmap_registers_wr_i.aeb_gen_cfg_reserved_a6c.reserved(31 downto 24);</t>
  </si>
  <si>
    <t xml:space="preserve">  when (16#356#) =&gt;</t>
  </si>
  <si>
    <t xml:space="preserve">      -- AEB General Configuration Area Register "RESERVED_A70" : "RESERVED" Field</t>
  </si>
  <si>
    <t xml:space="preserve">      avalon_mm_rmap_o.readdata(7 downto 0) &lt;= rmap_registers_wr_i.aeb_gen_cfg_reserved_a70.reserved(7 downto 0);</t>
  </si>
  <si>
    <t xml:space="preserve">      avalon_mm_rmap_o.readdata(15 downto 8) &lt;= rmap_registers_wr_i.aeb_gen_cfg_reserved_a70.reserved(15 downto 8);</t>
  </si>
  <si>
    <t xml:space="preserve">      avalon_mm_rmap_o.readdata(23 downto 16) &lt;= rmap_registers_wr_i.aeb_gen_cfg_reserved_a70.reserved(23 downto 16);</t>
  </si>
  <si>
    <t xml:space="preserve">      avalon_mm_rmap_o.readdata(31 downto 24) &lt;= rmap_registers_wr_i.aeb_gen_cfg_reserved_a70.reserved(31 downto 24);</t>
  </si>
  <si>
    <t xml:space="preserve">  when (16#357#) =&gt;</t>
  </si>
  <si>
    <t xml:space="preserve">      -- AEB General Configuration Area Register "RESERVED_A74" : "RESERVED" Field</t>
  </si>
  <si>
    <t xml:space="preserve">      avalon_mm_rmap_o.readdata(7 downto 0) &lt;= rmap_registers_wr_i.aeb_gen_cfg_reserved_a74.reserved(7 downto 0);</t>
  </si>
  <si>
    <t xml:space="preserve">      avalon_mm_rmap_o.readdata(15 downto 8) &lt;= rmap_registers_wr_i.aeb_gen_cfg_reserved_a74.reserved(15 downto 8);</t>
  </si>
  <si>
    <t xml:space="preserve">      avalon_mm_rmap_o.readdata(23 downto 16) &lt;= rmap_registers_wr_i.aeb_gen_cfg_reserved_a74.reserved(23 downto 16);</t>
  </si>
  <si>
    <t xml:space="preserve">      avalon_mm_rmap_o.readdata(31 downto 24) &lt;= rmap_registers_wr_i.aeb_gen_cfg_reserved_a74.reserved(31 downto 24);</t>
  </si>
  <si>
    <t xml:space="preserve">  when (16#358#) =&gt;</t>
  </si>
  <si>
    <t xml:space="preserve">      -- AEB General Configuration Area Register "RESERVED_A78" : "RESERVED" Field</t>
  </si>
  <si>
    <t xml:space="preserve">      avalon_mm_rmap_o.readdata(7 downto 0) &lt;= rmap_registers_wr_i.aeb_gen_cfg_reserved_a78.reserved(7 downto 0);</t>
  </si>
  <si>
    <t xml:space="preserve">      avalon_mm_rmap_o.readdata(15 downto 8) &lt;= rmap_registers_wr_i.aeb_gen_cfg_reserved_a78.reserved(15 downto 8);</t>
  </si>
  <si>
    <t xml:space="preserve">      avalon_mm_rmap_o.readdata(23 downto 16) &lt;= rmap_registers_wr_i.aeb_gen_cfg_reserved_a78.reserved(23 downto 16);</t>
  </si>
  <si>
    <t xml:space="preserve">      avalon_mm_rmap_o.readdata(31 downto 24) &lt;= rmap_registers_wr_i.aeb_gen_cfg_reserved_a78.reserved(31 downto 24);</t>
  </si>
  <si>
    <t xml:space="preserve">  when (16#359#) =&gt;</t>
  </si>
  <si>
    <t xml:space="preserve">      -- AEB General Configuration Area Register "RESERVED_A7C" : "RESERVED" Field</t>
  </si>
  <si>
    <t xml:space="preserve">      avalon_mm_rmap_o.readdata(7 downto 0) &lt;= rmap_registers_wr_i.aeb_gen_cfg_reserved_a7c.reserved(7 downto 0);</t>
  </si>
  <si>
    <t xml:space="preserve">      avalon_mm_rmap_o.readdata(15 downto 8) &lt;= rmap_registers_wr_i.aeb_gen_cfg_reserved_a7c.reserved(15 downto 8);</t>
  </si>
  <si>
    <t xml:space="preserve">      avalon_mm_rmap_o.readdata(23 downto 16) &lt;= rmap_registers_wr_i.aeb_gen_cfg_reserved_a7c.reserved(23 downto 16);</t>
  </si>
  <si>
    <t xml:space="preserve">      avalon_mm_rmap_o.readdata(31 downto 24) &lt;= rmap_registers_wr_i.aeb_gen_cfg_reserved_a7c.reserved(31 downto 24);</t>
  </si>
  <si>
    <t xml:space="preserve">  when (16#35A#) =&gt;</t>
  </si>
  <si>
    <t xml:space="preserve">      -- AEB General Configuration Area Register "RESERVED_A80" : "RESERVED" Field</t>
  </si>
  <si>
    <t xml:space="preserve">      avalon_mm_rmap_o.readdata(7 downto 0) &lt;= rmap_registers_wr_i.aeb_gen_cfg_reserved_a80.reserved(7 downto 0);</t>
  </si>
  <si>
    <t xml:space="preserve">      avalon_mm_rmap_o.readdata(15 downto 8) &lt;= rmap_registers_wr_i.aeb_gen_cfg_reserved_a80.reserved(15 downto 8);</t>
  </si>
  <si>
    <t xml:space="preserve">      avalon_mm_rmap_o.readdata(23 downto 16) &lt;= rmap_registers_wr_i.aeb_gen_cfg_reserved_a80.reserved(23 downto 16);</t>
  </si>
  <si>
    <t xml:space="preserve">      avalon_mm_rmap_o.readdata(31 downto 24) &lt;= rmap_registers_wr_i.aeb_gen_cfg_reserved_a80.reserved(31 downto 24);</t>
  </si>
  <si>
    <t xml:space="preserve">  when (16#35B#) =&gt;</t>
  </si>
  <si>
    <t xml:space="preserve">      -- AEB General Configuration Area Register "RESERVED_A84" : "RESERVED" Field</t>
  </si>
  <si>
    <t xml:space="preserve">      avalon_mm_rmap_o.readdata(7 downto 0) &lt;= rmap_registers_wr_i.aeb_gen_cfg_reserved_a84.reserved(7 downto 0);</t>
  </si>
  <si>
    <t xml:space="preserve">      avalon_mm_rmap_o.readdata(15 downto 8) &lt;= rmap_registers_wr_i.aeb_gen_cfg_reserved_a84.reserved(15 downto 8);</t>
  </si>
  <si>
    <t xml:space="preserve">      avalon_mm_rmap_o.readdata(23 downto 16) &lt;= rmap_registers_wr_i.aeb_gen_cfg_reserved_a84.reserved(23 downto 16);</t>
  </si>
  <si>
    <t xml:space="preserve">      avalon_mm_rmap_o.readdata(31 downto 24) &lt;= rmap_registers_wr_i.aeb_gen_cfg_reserved_a84.reserved(31 downto 24);</t>
  </si>
  <si>
    <t xml:space="preserve">  when (16#35C#) =&gt;</t>
  </si>
  <si>
    <t xml:space="preserve">      -- AEB General Configuration Area Register "RESERVED_A88" : "RESERVED" Field</t>
  </si>
  <si>
    <t xml:space="preserve">      avalon_mm_rmap_o.readdata(7 downto 0) &lt;= rmap_registers_wr_i.aeb_gen_cfg_reserved_a88.reserved(7 downto 0);</t>
  </si>
  <si>
    <t xml:space="preserve">      avalon_mm_rmap_o.readdata(15 downto 8) &lt;= rmap_registers_wr_i.aeb_gen_cfg_reserved_a88.reserved(15 downto 8);</t>
  </si>
  <si>
    <t xml:space="preserve">      avalon_mm_rmap_o.readdata(23 downto 16) &lt;= rmap_registers_wr_i.aeb_gen_cfg_reserved_a88.reserved(23 downto 16);</t>
  </si>
  <si>
    <t xml:space="preserve">      avalon_mm_rmap_o.readdata(31 downto 24) &lt;= rmap_registers_wr_i.aeb_gen_cfg_reserved_a88.reserved(31 downto 24);</t>
  </si>
  <si>
    <t xml:space="preserve">  when (16#35D#) =&gt;</t>
  </si>
  <si>
    <t xml:space="preserve">      -- AEB General Configuration Area Register "RESERVED_A8C" : "RESERVED" Field</t>
  </si>
  <si>
    <t xml:space="preserve">      avalon_mm_rmap_o.readdata(7 downto 0) &lt;= rmap_registers_wr_i.aeb_gen_cfg_reserved_a8c.reserved(7 downto 0);</t>
  </si>
  <si>
    <t xml:space="preserve">      avalon_mm_rmap_o.readdata(15 downto 8) &lt;= rmap_registers_wr_i.aeb_gen_cfg_reserved_a8c.reserved(15 downto 8);</t>
  </si>
  <si>
    <t xml:space="preserve">      avalon_mm_rmap_o.readdata(23 downto 16) &lt;= rmap_registers_wr_i.aeb_gen_cfg_reserved_a8c.reserved(23 downto 16);</t>
  </si>
  <si>
    <t xml:space="preserve">      avalon_mm_rmap_o.readdata(31 downto 24) &lt;= rmap_registers_wr_i.aeb_gen_cfg_reserved_a8c.reserved(31 downto 24);</t>
  </si>
  <si>
    <t xml:space="preserve">  when (16#35E#) =&gt;</t>
  </si>
  <si>
    <t xml:space="preserve">      -- AEB General Configuration Area Register "RESERVED_A90" : "RESERVED" Field</t>
  </si>
  <si>
    <t xml:space="preserve">      avalon_mm_rmap_o.readdata(7 downto 0) &lt;= rmap_registers_wr_i.aeb_gen_cfg_reserved_a90.reserved(7 downto 0);</t>
  </si>
  <si>
    <t xml:space="preserve">      avalon_mm_rmap_o.readdata(15 downto 8) &lt;= rmap_registers_wr_i.aeb_gen_cfg_reserved_a90.reserved(15 downto 8);</t>
  </si>
  <si>
    <t xml:space="preserve">      avalon_mm_rmap_o.readdata(23 downto 16) &lt;= rmap_registers_wr_i.aeb_gen_cfg_reserved_a90.reserved(23 downto 16);</t>
  </si>
  <si>
    <t xml:space="preserve">      avalon_mm_rmap_o.readdata(31 downto 24) &lt;= rmap_registers_wr_i.aeb_gen_cfg_reserved_a90.reserved(31 downto 24);</t>
  </si>
  <si>
    <t xml:space="preserve">  when (16#35F#) =&gt;</t>
  </si>
  <si>
    <t xml:space="preserve">      -- AEB General Configuration Area Register "RESERVED_A94" : "RESERVED" Field</t>
  </si>
  <si>
    <t xml:space="preserve">      avalon_mm_rmap_o.readdata(7 downto 0) &lt;= rmap_registers_wr_i.aeb_gen_cfg_reserved_a94.reserved(7 downto 0);</t>
  </si>
  <si>
    <t xml:space="preserve">      avalon_mm_rmap_o.readdata(15 downto 8) &lt;= rmap_registers_wr_i.aeb_gen_cfg_reserved_a94.reserved(15 downto 8);</t>
  </si>
  <si>
    <t xml:space="preserve">      avalon_mm_rmap_o.readdata(23 downto 16) &lt;= rmap_registers_wr_i.aeb_gen_cfg_reserved_a94.reserved(23 downto 16);</t>
  </si>
  <si>
    <t xml:space="preserve">      avalon_mm_rmap_o.readdata(31 downto 24) &lt;= rmap_registers_wr_i.aeb_gen_cfg_reserved_a94.reserved(31 downto 24);</t>
  </si>
  <si>
    <t xml:space="preserve">  when (16#360#) =&gt;</t>
  </si>
  <si>
    <t xml:space="preserve">      -- AEB General Configuration Area Register "RESERVED_A98" : "RESERVED" Field</t>
  </si>
  <si>
    <t xml:space="preserve">      avalon_mm_rmap_o.readdata(7 downto 0) &lt;= rmap_registers_wr_i.aeb_gen_cfg_reserved_a98.reserved(7 downto 0);</t>
  </si>
  <si>
    <t xml:space="preserve">      avalon_mm_rmap_o.readdata(15 downto 8) &lt;= rmap_registers_wr_i.aeb_gen_cfg_reserved_a98.reserved(15 downto 8);</t>
  </si>
  <si>
    <t xml:space="preserve">      avalon_mm_rmap_o.readdata(23 downto 16) &lt;= rmap_registers_wr_i.aeb_gen_cfg_reserved_a98.reserved(23 downto 16);</t>
  </si>
  <si>
    <t xml:space="preserve">      avalon_mm_rmap_o.readdata(31 downto 24) &lt;= rmap_registers_wr_i.aeb_gen_cfg_reserved_a98.reserved(31 downto 24);</t>
  </si>
  <si>
    <t xml:space="preserve">  when (16#361#) =&gt;</t>
  </si>
  <si>
    <t xml:space="preserve">      -- AEB General Configuration Area Register "RESERVED_A9C" : "RESERVED" Field</t>
  </si>
  <si>
    <t xml:space="preserve">      avalon_mm_rmap_o.readdata(7 downto 0) &lt;= rmap_registers_wr_i.aeb_gen_cfg_reserved_a9c.reserved(7 downto 0);</t>
  </si>
  <si>
    <t xml:space="preserve">      avalon_mm_rmap_o.readdata(15 downto 8) &lt;= rmap_registers_wr_i.aeb_gen_cfg_reserved_a9c.reserved(15 downto 8);</t>
  </si>
  <si>
    <t xml:space="preserve">      avalon_mm_rmap_o.readdata(23 downto 16) &lt;= rmap_registers_wr_i.aeb_gen_cfg_reserved_a9c.reserved(23 downto 16);</t>
  </si>
  <si>
    <t xml:space="preserve">      avalon_mm_rmap_o.readdata(31 downto 24) &lt;= rmap_registers_wr_i.aeb_gen_cfg_reserved_a9c.reserved(31 downto 24);</t>
  </si>
  <si>
    <t xml:space="preserve">  when (16#362#) =&gt;</t>
  </si>
  <si>
    <t xml:space="preserve">      -- AEB General Configuration Area Register "RESERVED_AA0" : "RESERVED" Field</t>
  </si>
  <si>
    <t xml:space="preserve">      avalon_mm_rmap_o.readdata(7 downto 0) &lt;= rmap_registers_wr_i.aeb_gen_cfg_reserved_aa0.reserved(7 downto 0);</t>
  </si>
  <si>
    <t xml:space="preserve">      avalon_mm_rmap_o.readdata(15 downto 8) &lt;= rmap_registers_wr_i.aeb_gen_cfg_reserved_aa0.reserved(15 downto 8);</t>
  </si>
  <si>
    <t xml:space="preserve">      avalon_mm_rmap_o.readdata(23 downto 16) &lt;= rmap_registers_wr_i.aeb_gen_cfg_reserved_aa0.reserved(23 downto 16);</t>
  </si>
  <si>
    <t xml:space="preserve">      avalon_mm_rmap_o.readdata(31 downto 24) &lt;= rmap_registers_wr_i.aeb_gen_cfg_reserved_aa0.reserved(31 downto 24);</t>
  </si>
  <si>
    <t xml:space="preserve">  when (16#363#) =&gt;</t>
  </si>
  <si>
    <t xml:space="preserve">      -- AEB General Configuration Area Register "RESERVED_AA4" : "RESERVED" Field</t>
  </si>
  <si>
    <t xml:space="preserve">      avalon_mm_rmap_o.readdata(7 downto 0) &lt;= rmap_registers_wr_i.aeb_gen_cfg_reserved_aa4.reserved(7 downto 0);</t>
  </si>
  <si>
    <t xml:space="preserve">      avalon_mm_rmap_o.readdata(15 downto 8) &lt;= rmap_registers_wr_i.aeb_gen_cfg_reserved_aa4.reserved(15 downto 8);</t>
  </si>
  <si>
    <t xml:space="preserve">      avalon_mm_rmap_o.readdata(23 downto 16) &lt;= rmap_registers_wr_i.aeb_gen_cfg_reserved_aa4.reserved(23 downto 16);</t>
  </si>
  <si>
    <t xml:space="preserve">      avalon_mm_rmap_o.readdata(31 downto 24) &lt;= rmap_registers_wr_i.aeb_gen_cfg_reserved_aa4.reserved(31 downto 24);</t>
  </si>
  <si>
    <t xml:space="preserve">  when (16#364#) =&gt;</t>
  </si>
  <si>
    <t xml:space="preserve">      -- AEB General Configuration Area Register "RESERVED_AA8" : "RESERVED" Field</t>
  </si>
  <si>
    <t xml:space="preserve">      avalon_mm_rmap_o.readdata(7 downto 0) &lt;= rmap_registers_wr_i.aeb_gen_cfg_reserved_aa8.reserved(7 downto 0);</t>
  </si>
  <si>
    <t xml:space="preserve">      avalon_mm_rmap_o.readdata(15 downto 8) &lt;= rmap_registers_wr_i.aeb_gen_cfg_reserved_aa8.reserved(15 downto 8);</t>
  </si>
  <si>
    <t xml:space="preserve">      avalon_mm_rmap_o.readdata(23 downto 16) &lt;= rmap_registers_wr_i.aeb_gen_cfg_reserved_aa8.reserved(23 downto 16);</t>
  </si>
  <si>
    <t xml:space="preserve">      avalon_mm_rmap_o.readdata(31 downto 24) &lt;= rmap_registers_wr_i.aeb_gen_cfg_reserved_aa8.reserved(31 downto 24);</t>
  </si>
  <si>
    <t xml:space="preserve">  when (16#365#) =&gt;</t>
  </si>
  <si>
    <t xml:space="preserve">      -- AEB General Configuration Area Register "RESERVED_AAC" : "RESERVED" Field</t>
  </si>
  <si>
    <t xml:space="preserve">      avalon_mm_rmap_o.readdata(7 downto 0) &lt;= rmap_registers_wr_i.aeb_gen_cfg_reserved_aac.reserved(7 downto 0);</t>
  </si>
  <si>
    <t xml:space="preserve">      avalon_mm_rmap_o.readdata(15 downto 8) &lt;= rmap_registers_wr_i.aeb_gen_cfg_reserved_aac.reserved(15 downto 8);</t>
  </si>
  <si>
    <t xml:space="preserve">      avalon_mm_rmap_o.readdata(23 downto 16) &lt;= rmap_registers_wr_i.aeb_gen_cfg_reserved_aac.reserved(23 downto 16);</t>
  </si>
  <si>
    <t xml:space="preserve">      avalon_mm_rmap_o.readdata(31 downto 24) &lt;= rmap_registers_wr_i.aeb_gen_cfg_reserved_aac.reserved(31 downto 24);</t>
  </si>
  <si>
    <t xml:space="preserve">  when (16#366#) =&gt;</t>
  </si>
  <si>
    <t xml:space="preserve">      -- AEB General Configuration Area Register "RESERVED_AB0" : "RESERVED" Field</t>
  </si>
  <si>
    <t xml:space="preserve">      avalon_mm_rmap_o.readdata(7 downto 0) &lt;= rmap_registers_wr_i.aeb_gen_cfg_reserved_ab0.reserved(7 downto 0);</t>
  </si>
  <si>
    <t xml:space="preserve">      avalon_mm_rmap_o.readdata(15 downto 8) &lt;= rmap_registers_wr_i.aeb_gen_cfg_reserved_ab0.reserved(15 downto 8);</t>
  </si>
  <si>
    <t xml:space="preserve">      avalon_mm_rmap_o.readdata(23 downto 16) &lt;= rmap_registers_wr_i.aeb_gen_cfg_reserved_ab0.reserved(23 downto 16);</t>
  </si>
  <si>
    <t xml:space="preserve">      avalon_mm_rmap_o.readdata(31 downto 24) &lt;= rmap_registers_wr_i.aeb_gen_cfg_reserved_ab0.reserved(31 downto 24);</t>
  </si>
  <si>
    <t xml:space="preserve">  when (16#367#) =&gt;</t>
  </si>
  <si>
    <t xml:space="preserve">      -- AEB General Configuration Area Register "RESERVED_AB4" : "RESERVED" Field</t>
  </si>
  <si>
    <t xml:space="preserve">      avalon_mm_rmap_o.readdata(7 downto 0) &lt;= rmap_registers_wr_i.aeb_gen_cfg_reserved_ab4.reserved(7 downto 0);</t>
  </si>
  <si>
    <t xml:space="preserve">      avalon_mm_rmap_o.readdata(15 downto 8) &lt;= rmap_registers_wr_i.aeb_gen_cfg_reserved_ab4.reserved(15 downto 8);</t>
  </si>
  <si>
    <t xml:space="preserve">      avalon_mm_rmap_o.readdata(23 downto 16) &lt;= rmap_registers_wr_i.aeb_gen_cfg_reserved_ab4.reserved(23 downto 16);</t>
  </si>
  <si>
    <t xml:space="preserve">      avalon_mm_rmap_o.readdata(31 downto 24) &lt;= rmap_registers_wr_i.aeb_gen_cfg_reserved_ab4.reserved(31 downto 24);</t>
  </si>
  <si>
    <t xml:space="preserve">  when (16#368#) =&gt;</t>
  </si>
  <si>
    <t xml:space="preserve">      -- AEB General Configuration Area Register "RESERVED_AB8" : "RESERVED" Field</t>
  </si>
  <si>
    <t xml:space="preserve">      avalon_mm_rmap_o.readdata(7 downto 0) &lt;= rmap_registers_wr_i.aeb_gen_cfg_reserved_ab8.reserved(7 downto 0);</t>
  </si>
  <si>
    <t xml:space="preserve">      avalon_mm_rmap_o.readdata(15 downto 8) &lt;= rmap_registers_wr_i.aeb_gen_cfg_reserved_ab8.reserved(15 downto 8);</t>
  </si>
  <si>
    <t xml:space="preserve">      avalon_mm_rmap_o.readdata(23 downto 16) &lt;= rmap_registers_wr_i.aeb_gen_cfg_reserved_ab8.reserved(23 downto 16);</t>
  </si>
  <si>
    <t xml:space="preserve">      avalon_mm_rmap_o.readdata(31 downto 24) &lt;= rmap_registers_wr_i.aeb_gen_cfg_reserved_ab8.reserved(31 downto 24);</t>
  </si>
  <si>
    <t xml:space="preserve">  when (16#369#) =&gt;</t>
  </si>
  <si>
    <t xml:space="preserve">      -- AEB General Configuration Area Register "RESERVED_ABC" : "RESERVED" Field</t>
  </si>
  <si>
    <t xml:space="preserve">      avalon_mm_rmap_o.readdata(7 downto 0) &lt;= rmap_registers_wr_i.aeb_gen_cfg_reserved_abc.reserved(7 downto 0);</t>
  </si>
  <si>
    <t xml:space="preserve">      avalon_mm_rmap_o.readdata(15 downto 8) &lt;= rmap_registers_wr_i.aeb_gen_cfg_reserved_abc.reserved(15 downto 8);</t>
  </si>
  <si>
    <t xml:space="preserve">      avalon_mm_rmap_o.readdata(23 downto 16) &lt;= rmap_registers_wr_i.aeb_gen_cfg_reserved_abc.reserved(23 downto 16);</t>
  </si>
  <si>
    <t xml:space="preserve">      avalon_mm_rmap_o.readdata(31 downto 24) &lt;= rmap_registers_wr_i.aeb_gen_cfg_reserved_abc.reserved(31 downto 24);</t>
  </si>
  <si>
    <t xml:space="preserve">  when (16#36A#) =&gt;</t>
  </si>
  <si>
    <t xml:space="preserve">      -- AEB General Configuration Area Register "RESERVED_AC0" : "RESERVED" Field</t>
  </si>
  <si>
    <t xml:space="preserve">      avalon_mm_rmap_o.readdata(7 downto 0) &lt;= rmap_registers_wr_i.aeb_gen_cfg_reserved_ac0.reserved(7 downto 0);</t>
  </si>
  <si>
    <t xml:space="preserve">      avalon_mm_rmap_o.readdata(15 downto 8) &lt;= rmap_registers_wr_i.aeb_gen_cfg_reserved_ac0.reserved(15 downto 8);</t>
  </si>
  <si>
    <t xml:space="preserve">      avalon_mm_rmap_o.readdata(23 downto 16) &lt;= rmap_registers_wr_i.aeb_gen_cfg_reserved_ac0.reserved(23 downto 16);</t>
  </si>
  <si>
    <t xml:space="preserve">      avalon_mm_rmap_o.readdata(31 downto 24) &lt;= rmap_registers_wr_i.aeb_gen_cfg_reserved_ac0.reserved(31 downto 24);</t>
  </si>
  <si>
    <t xml:space="preserve">  when (16#36B#) =&gt;</t>
  </si>
  <si>
    <t xml:space="preserve">      -- AEB General Configuration Area Register "RESERVED_AC4" : "RESERVED" Field</t>
  </si>
  <si>
    <t xml:space="preserve">      avalon_mm_rmap_o.readdata(7 downto 0) &lt;= rmap_registers_wr_i.aeb_gen_cfg_reserved_ac4.reserved(7 downto 0);</t>
  </si>
  <si>
    <t xml:space="preserve">      avalon_mm_rmap_o.readdata(15 downto 8) &lt;= rmap_registers_wr_i.aeb_gen_cfg_reserved_ac4.reserved(15 downto 8);</t>
  </si>
  <si>
    <t xml:space="preserve">      avalon_mm_rmap_o.readdata(23 downto 16) &lt;= rmap_registers_wr_i.aeb_gen_cfg_reserved_ac4.reserved(23 downto 16);</t>
  </si>
  <si>
    <t xml:space="preserve">      avalon_mm_rmap_o.readdata(31 downto 24) &lt;= rmap_registers_wr_i.aeb_gen_cfg_reserved_ac4.reserved(31 downto 24);</t>
  </si>
  <si>
    <t xml:space="preserve">  when (16#36C#) =&gt;</t>
  </si>
  <si>
    <t xml:space="preserve">      -- AEB General Configuration Area Register "RESERVED_AC8" : "RESERVED" Field</t>
  </si>
  <si>
    <t xml:space="preserve">      avalon_mm_rmap_o.readdata(7 downto 0) &lt;= rmap_registers_wr_i.aeb_gen_cfg_reserved_ac8.reserved(7 downto 0);</t>
  </si>
  <si>
    <t xml:space="preserve">      avalon_mm_rmap_o.readdata(15 downto 8) &lt;= rmap_registers_wr_i.aeb_gen_cfg_reserved_ac8.reserved(15 downto 8);</t>
  </si>
  <si>
    <t xml:space="preserve">      avalon_mm_rmap_o.readdata(23 downto 16) &lt;= rmap_registers_wr_i.aeb_gen_cfg_reserved_ac8.reserved(23 downto 16);</t>
  </si>
  <si>
    <t xml:space="preserve">      avalon_mm_rmap_o.readdata(31 downto 24) &lt;= rmap_registers_wr_i.aeb_gen_cfg_reserved_ac8.reserved(31 downto 24);</t>
  </si>
  <si>
    <t xml:space="preserve">  when (16#36D#) =&gt;</t>
  </si>
  <si>
    <t xml:space="preserve">      -- AEB General Configuration Area Register "RESERVED_ACC" : "RESERVED" Field</t>
  </si>
  <si>
    <t xml:space="preserve">      avalon_mm_rmap_o.readdata(7 downto 0) &lt;= rmap_registers_wr_i.aeb_gen_cfg_reserved_acc.reserved(7 downto 0);</t>
  </si>
  <si>
    <t xml:space="preserve">      avalon_mm_rmap_o.readdata(15 downto 8) &lt;= rmap_registers_wr_i.aeb_gen_cfg_reserved_acc.reserved(15 downto 8);</t>
  </si>
  <si>
    <t xml:space="preserve">      avalon_mm_rmap_o.readdata(23 downto 16) &lt;= rmap_registers_wr_i.aeb_gen_cfg_reserved_acc.reserved(23 downto 16);</t>
  </si>
  <si>
    <t xml:space="preserve">      avalon_mm_rmap_o.readdata(31 downto 24) &lt;= rmap_registers_wr_i.aeb_gen_cfg_reserved_acc.reserved(31 downto 24);</t>
  </si>
  <si>
    <t xml:space="preserve">  when (16#36E#) =&gt;</t>
  </si>
  <si>
    <t xml:space="preserve">      -- AEB General Configuration Area Register "RESERVED_AD0" : "RESERVED" Field</t>
  </si>
  <si>
    <t xml:space="preserve">      avalon_mm_rmap_o.readdata(7 downto 0) &lt;= rmap_registers_wr_i.aeb_gen_cfg_reserved_ad0.reserved(7 downto 0);</t>
  </si>
  <si>
    <t xml:space="preserve">      avalon_mm_rmap_o.readdata(15 downto 8) &lt;= rmap_registers_wr_i.aeb_gen_cfg_reserved_ad0.reserved(15 downto 8);</t>
  </si>
  <si>
    <t xml:space="preserve">      avalon_mm_rmap_o.readdata(23 downto 16) &lt;= rmap_registers_wr_i.aeb_gen_cfg_reserved_ad0.reserved(23 downto 16);</t>
  </si>
  <si>
    <t xml:space="preserve">      avalon_mm_rmap_o.readdata(31 downto 24) &lt;= rmap_registers_wr_i.aeb_gen_cfg_reserved_ad0.reserved(31 downto 24);</t>
  </si>
  <si>
    <t xml:space="preserve">  when (16#36F#) =&gt;</t>
  </si>
  <si>
    <t xml:space="preserve">      -- AEB General Configuration Area Register "RESERVED_AD4" : "RESERVED" Field</t>
  </si>
  <si>
    <t xml:space="preserve">      avalon_mm_rmap_o.readdata(7 downto 0) &lt;= rmap_registers_wr_i.aeb_gen_cfg_reserved_ad4.reserved(7 downto 0);</t>
  </si>
  <si>
    <t xml:space="preserve">      avalon_mm_rmap_o.readdata(15 downto 8) &lt;= rmap_registers_wr_i.aeb_gen_cfg_reserved_ad4.reserved(15 downto 8);</t>
  </si>
  <si>
    <t xml:space="preserve">      avalon_mm_rmap_o.readdata(23 downto 16) &lt;= rmap_registers_wr_i.aeb_gen_cfg_reserved_ad4.reserved(23 downto 16);</t>
  </si>
  <si>
    <t xml:space="preserve">      avalon_mm_rmap_o.readdata(31 downto 24) &lt;= rmap_registers_wr_i.aeb_gen_cfg_reserved_ad4.reserved(31 downto 24);</t>
  </si>
  <si>
    <t xml:space="preserve">  when (16#370#) =&gt;</t>
  </si>
  <si>
    <t xml:space="preserve">      -- AEB General Configuration Area Register "RESERVED_AD8" : "RESERVED" Field</t>
  </si>
  <si>
    <t xml:space="preserve">      avalon_mm_rmap_o.readdata(7 downto 0) &lt;= rmap_registers_wr_i.aeb_gen_cfg_reserved_ad8.reserved(7 downto 0);</t>
  </si>
  <si>
    <t xml:space="preserve">      avalon_mm_rmap_o.readdata(15 downto 8) &lt;= rmap_registers_wr_i.aeb_gen_cfg_reserved_ad8.reserved(15 downto 8);</t>
  </si>
  <si>
    <t xml:space="preserve">      avalon_mm_rmap_o.readdata(23 downto 16) &lt;= rmap_registers_wr_i.aeb_gen_cfg_reserved_ad8.reserved(23 downto 16);</t>
  </si>
  <si>
    <t xml:space="preserve">      avalon_mm_rmap_o.readdata(31 downto 24) &lt;= rmap_registers_wr_i.aeb_gen_cfg_reserved_ad8.reserved(31 downto 24);</t>
  </si>
  <si>
    <t xml:space="preserve">  when (16#371#) =&gt;</t>
  </si>
  <si>
    <t xml:space="preserve">      -- AEB General Configuration Area Register "RESERVED_ADC" : "RESERVED" Field</t>
  </si>
  <si>
    <t xml:space="preserve">      avalon_mm_rmap_o.readdata(7 downto 0) &lt;= rmap_registers_wr_i.aeb_gen_cfg_reserved_adc.reserved(7 downto 0);</t>
  </si>
  <si>
    <t xml:space="preserve">      avalon_mm_rmap_o.readdata(15 downto 8) &lt;= rmap_registers_wr_i.aeb_gen_cfg_reserved_adc.reserved(15 downto 8);</t>
  </si>
  <si>
    <t xml:space="preserve">      avalon_mm_rmap_o.readdata(23 downto 16) &lt;= rmap_registers_wr_i.aeb_gen_cfg_reserved_adc.reserved(23 downto 16);</t>
  </si>
  <si>
    <t xml:space="preserve">      avalon_mm_rmap_o.readdata(31 downto 24) &lt;= rmap_registers_wr_i.aeb_gen_cfg_reserved_adc.reserved(31 downto 24);</t>
  </si>
  <si>
    <t xml:space="preserve">  when (16#372#) =&gt;</t>
  </si>
  <si>
    <t xml:space="preserve">      -- AEB General Configuration Area Register "RESERVED_AE0" : "RESERVED" Field</t>
  </si>
  <si>
    <t xml:space="preserve">      avalon_mm_rmap_o.readdata(7 downto 0) &lt;= rmap_registers_wr_i.aeb_gen_cfg_reserved_ae0.reserved(7 downto 0);</t>
  </si>
  <si>
    <t xml:space="preserve">      avalon_mm_rmap_o.readdata(15 downto 8) &lt;= rmap_registers_wr_i.aeb_gen_cfg_reserved_ae0.reserved(15 downto 8);</t>
  </si>
  <si>
    <t xml:space="preserve">      avalon_mm_rmap_o.readdata(23 downto 16) &lt;= rmap_registers_wr_i.aeb_gen_cfg_reserved_ae0.reserved(23 downto 16);</t>
  </si>
  <si>
    <t xml:space="preserve">      avalon_mm_rmap_o.readdata(31 downto 24) &lt;= rmap_registers_wr_i.aeb_gen_cfg_reserved_ae0.reserved(31 downto 24);</t>
  </si>
  <si>
    <t xml:space="preserve">  when (16#373#) =&gt;</t>
  </si>
  <si>
    <t xml:space="preserve">      -- AEB General Configuration Area Register "RESERVED_AE4" : "RESERVED" Field</t>
  </si>
  <si>
    <t xml:space="preserve">      avalon_mm_rmap_o.readdata(7 downto 0) &lt;= rmap_registers_wr_i.aeb_gen_cfg_reserved_ae4.reserved(7 downto 0);</t>
  </si>
  <si>
    <t xml:space="preserve">      avalon_mm_rmap_o.readdata(15 downto 8) &lt;= rmap_registers_wr_i.aeb_gen_cfg_reserved_ae4.reserved(15 downto 8);</t>
  </si>
  <si>
    <t xml:space="preserve">      avalon_mm_rmap_o.readdata(23 downto 16) &lt;= rmap_registers_wr_i.aeb_gen_cfg_reserved_ae4.reserved(23 downto 16);</t>
  </si>
  <si>
    <t xml:space="preserve">      avalon_mm_rmap_o.readdata(31 downto 24) &lt;= rmap_registers_wr_i.aeb_gen_cfg_reserved_ae4.reserved(31 downto 24);</t>
  </si>
  <si>
    <t xml:space="preserve">  when (16#374#) =&gt;</t>
  </si>
  <si>
    <t xml:space="preserve">      -- AEB General Configuration Area Register "RESERVED_AE8" : "RESERVED" Field</t>
  </si>
  <si>
    <t xml:space="preserve">      avalon_mm_rmap_o.readdata(7 downto 0) &lt;= rmap_registers_wr_i.aeb_gen_cfg_reserved_ae8.reserved(7 downto 0);</t>
  </si>
  <si>
    <t xml:space="preserve">      avalon_mm_rmap_o.readdata(15 downto 8) &lt;= rmap_registers_wr_i.aeb_gen_cfg_reserved_ae8.reserved(15 downto 8);</t>
  </si>
  <si>
    <t xml:space="preserve">      avalon_mm_rmap_o.readdata(23 downto 16) &lt;= rmap_registers_wr_i.aeb_gen_cfg_reserved_ae8.reserved(23 downto 16);</t>
  </si>
  <si>
    <t xml:space="preserve">      avalon_mm_rmap_o.readdata(31 downto 24) &lt;= rmap_registers_wr_i.aeb_gen_cfg_reserved_ae8.reserved(31 downto 24);</t>
  </si>
  <si>
    <t xml:space="preserve">  when (16#375#) =&gt;</t>
  </si>
  <si>
    <t xml:space="preserve">      -- AEB General Configuration Area Register "RESERVED_AEC" : "RESERVED" Field</t>
  </si>
  <si>
    <t xml:space="preserve">      avalon_mm_rmap_o.readdata(7 downto 0) &lt;= rmap_registers_wr_i.aeb_gen_cfg_reserved_aec.reserved(7 downto 0);</t>
  </si>
  <si>
    <t xml:space="preserve">      avalon_mm_rmap_o.readdata(15 downto 8) &lt;= rmap_registers_wr_i.aeb_gen_cfg_reserved_aec.reserved(15 downto 8);</t>
  </si>
  <si>
    <t xml:space="preserve">      avalon_mm_rmap_o.readdata(23 downto 16) &lt;= rmap_registers_wr_i.aeb_gen_cfg_reserved_aec.reserved(23 downto 16);</t>
  </si>
  <si>
    <t xml:space="preserve">      avalon_mm_rmap_o.readdata(31 downto 24) &lt;= rmap_registers_wr_i.aeb_gen_cfg_reserved_aec.reserved(31 downto 24);</t>
  </si>
  <si>
    <t xml:space="preserve">  when (16#376#) =&gt;</t>
  </si>
  <si>
    <t xml:space="preserve">      -- AEB General Configuration Area Register "RESERVED_AF0" : "RESERVED" Field</t>
  </si>
  <si>
    <t xml:space="preserve">      avalon_mm_rmap_o.readdata(7 downto 0) &lt;= rmap_registers_wr_i.aeb_gen_cfg_reserved_af0.reserved(7 downto 0);</t>
  </si>
  <si>
    <t xml:space="preserve">      avalon_mm_rmap_o.readdata(15 downto 8) &lt;= rmap_registers_wr_i.aeb_gen_cfg_reserved_af0.reserved(15 downto 8);</t>
  </si>
  <si>
    <t xml:space="preserve">      avalon_mm_rmap_o.readdata(23 downto 16) &lt;= rmap_registers_wr_i.aeb_gen_cfg_reserved_af0.reserved(23 downto 16);</t>
  </si>
  <si>
    <t xml:space="preserve">      avalon_mm_rmap_o.readdata(31 downto 24) &lt;= rmap_registers_wr_i.aeb_gen_cfg_reserved_af0.reserved(31 downto 24);</t>
  </si>
  <si>
    <t xml:space="preserve">  when (16#377#) =&gt;</t>
  </si>
  <si>
    <t xml:space="preserve">      -- AEB General Configuration Area Register "RESERVED_AF4" : "RESERVED" Field</t>
  </si>
  <si>
    <t xml:space="preserve">      avalon_mm_rmap_o.readdata(7 downto 0) &lt;= rmap_registers_wr_i.aeb_gen_cfg_reserved_af4.reserved(7 downto 0);</t>
  </si>
  <si>
    <t xml:space="preserve">      avalon_mm_rmap_o.readdata(15 downto 8) &lt;= rmap_registers_wr_i.aeb_gen_cfg_reserved_af4.reserved(15 downto 8);</t>
  </si>
  <si>
    <t xml:space="preserve">      avalon_mm_rmap_o.readdata(23 downto 16) &lt;= rmap_registers_wr_i.aeb_gen_cfg_reserved_af4.reserved(23 downto 16);</t>
  </si>
  <si>
    <t xml:space="preserve">      avalon_mm_rmap_o.readdata(31 downto 24) &lt;= rmap_registers_wr_i.aeb_gen_cfg_reserved_af4.reserved(31 downto 24);</t>
  </si>
  <si>
    <t xml:space="preserve">  when (16#378#) =&gt;</t>
  </si>
  <si>
    <t xml:space="preserve">      -- AEB General Configuration Area Register "RESERVED_AF8" : "RESERVED" Field</t>
  </si>
  <si>
    <t xml:space="preserve">      avalon_mm_rmap_o.readdata(7 downto 0) &lt;= rmap_registers_wr_i.aeb_gen_cfg_reserved_af8.reserved(7 downto 0);</t>
  </si>
  <si>
    <t xml:space="preserve">      avalon_mm_rmap_o.readdata(15 downto 8) &lt;= rmap_registers_wr_i.aeb_gen_cfg_reserved_af8.reserved(15 downto 8);</t>
  </si>
  <si>
    <t xml:space="preserve">      avalon_mm_rmap_o.readdata(23 downto 16) &lt;= rmap_registers_wr_i.aeb_gen_cfg_reserved_af8.reserved(23 downto 16);</t>
  </si>
  <si>
    <t xml:space="preserve">      avalon_mm_rmap_o.readdata(31 downto 24) &lt;= rmap_registers_wr_i.aeb_gen_cfg_reserved_af8.reserved(31 downto 24);</t>
  </si>
  <si>
    <t xml:space="preserve">  when (16#379#) =&gt;</t>
  </si>
  <si>
    <t xml:space="preserve">      -- AEB General Configuration Area Register "RESERVED_AFC" : "RESERVED" Field</t>
  </si>
  <si>
    <t xml:space="preserve">      avalon_mm_rmap_o.readdata(7 downto 0) &lt;= rmap_registers_wr_i.aeb_gen_cfg_reserved_afc.reserved(7 downto 0);</t>
  </si>
  <si>
    <t xml:space="preserve">      avalon_mm_rmap_o.readdata(15 downto 8) &lt;= rmap_registers_wr_i.aeb_gen_cfg_reserved_afc.reserved(15 downto 8);</t>
  </si>
  <si>
    <t xml:space="preserve">      avalon_mm_rmap_o.readdata(23 downto 16) &lt;= rmap_registers_wr_i.aeb_gen_cfg_reserved_afc.reserved(23 downto 16);</t>
  </si>
  <si>
    <t xml:space="preserve">      avalon_mm_rmap_o.readdata(31 downto 24) &lt;= rmap_registers_wr_i.aeb_gen_cfg_reserved_afc.reserved(31 downto 24);</t>
  </si>
  <si>
    <t xml:space="preserve">  when (16#37A#) =&gt;</t>
  </si>
  <si>
    <t xml:space="preserve">      -- AEB General Configuration Area Register "RESERVED_B00" : "RESERVED" Field</t>
  </si>
  <si>
    <t xml:space="preserve">      avalon_mm_rmap_o.readdata(7 downto 0) &lt;= rmap_registers_wr_i.aeb_gen_cfg_reserved_b00.reserved(7 downto 0);</t>
  </si>
  <si>
    <t xml:space="preserve">      avalon_mm_rmap_o.readdata(15 downto 8) &lt;= rmap_registers_wr_i.aeb_gen_cfg_reserved_b00.reserved(15 downto 8);</t>
  </si>
  <si>
    <t xml:space="preserve">      avalon_mm_rmap_o.readdata(23 downto 16) &lt;= rmap_registers_wr_i.aeb_gen_cfg_reserved_b00.reserved(23 downto 16);</t>
  </si>
  <si>
    <t xml:space="preserve">      avalon_mm_rmap_o.readdata(31 downto 24) &lt;= rmap_registers_wr_i.aeb_gen_cfg_reserved_b00.reserved(31 downto 24);</t>
  </si>
  <si>
    <t xml:space="preserve">  when (16#37B#) =&gt;</t>
  </si>
  <si>
    <t xml:space="preserve">      -- AEB General Configuration Area Register "RESERVED_B04" : "RESERVED" Field</t>
  </si>
  <si>
    <t xml:space="preserve">      avalon_mm_rmap_o.readdata(7 downto 0) &lt;= rmap_registers_wr_i.aeb_gen_cfg_reserved_b04.reserved(7 downto 0);</t>
  </si>
  <si>
    <t xml:space="preserve">      avalon_mm_rmap_o.readdata(15 downto 8) &lt;= rmap_registers_wr_i.aeb_gen_cfg_reserved_b04.reserved(15 downto 8);</t>
  </si>
  <si>
    <t xml:space="preserve">      avalon_mm_rmap_o.readdata(23 downto 16) &lt;= rmap_registers_wr_i.aeb_gen_cfg_reserved_b04.reserved(23 downto 16);</t>
  </si>
  <si>
    <t xml:space="preserve">      avalon_mm_rmap_o.readdata(31 downto 24) &lt;= rmap_registers_wr_i.aeb_gen_cfg_reserved_b04.reserved(31 downto 24);</t>
  </si>
  <si>
    <t xml:space="preserve">  when (16#37C#) =&gt;</t>
  </si>
  <si>
    <t xml:space="preserve">      -- AEB General Configuration Area Register "RESERVED_B08" : "RESERVED" Field</t>
  </si>
  <si>
    <t xml:space="preserve">      avalon_mm_rmap_o.readdata(7 downto 0) &lt;= rmap_registers_wr_i.aeb_gen_cfg_reserved_b08.reserved(7 downto 0);</t>
  </si>
  <si>
    <t xml:space="preserve">      avalon_mm_rmap_o.readdata(15 downto 8) &lt;= rmap_registers_wr_i.aeb_gen_cfg_reserved_b08.reserved(15 downto 8);</t>
  </si>
  <si>
    <t xml:space="preserve">      avalon_mm_rmap_o.readdata(23 downto 16) &lt;= rmap_registers_wr_i.aeb_gen_cfg_reserved_b08.reserved(23 downto 16);</t>
  </si>
  <si>
    <t xml:space="preserve">      avalon_mm_rmap_o.readdata(31 downto 24) &lt;= rmap_registers_wr_i.aeb_gen_cfg_reserved_b08.reserved(31 downto 24);</t>
  </si>
  <si>
    <t xml:space="preserve">  when (16#37D#) =&gt;</t>
  </si>
  <si>
    <t xml:space="preserve">      -- AEB General Configuration Area Register "RESERVED_B0C" : "RESERVED" Field</t>
  </si>
  <si>
    <t xml:space="preserve">      avalon_mm_rmap_o.readdata(7 downto 0) &lt;= rmap_registers_wr_i.aeb_gen_cfg_reserved_b0c.reserved(7 downto 0);</t>
  </si>
  <si>
    <t xml:space="preserve">      avalon_mm_rmap_o.readdata(15 downto 8) &lt;= rmap_registers_wr_i.aeb_gen_cfg_reserved_b0c.reserved(15 downto 8);</t>
  </si>
  <si>
    <t xml:space="preserve">      avalon_mm_rmap_o.readdata(23 downto 16) &lt;= rmap_registers_wr_i.aeb_gen_cfg_reserved_b0c.reserved(23 downto 16);</t>
  </si>
  <si>
    <t xml:space="preserve">      avalon_mm_rmap_o.readdata(31 downto 24) &lt;= rmap_registers_wr_i.aeb_gen_cfg_reserved_b0c.reserved(31 downto 24);</t>
  </si>
  <si>
    <t xml:space="preserve">  when (16#37E#) =&gt;</t>
  </si>
  <si>
    <t xml:space="preserve">      -- AEB General Configuration Area Register "RESERVED_B10" : "RESERVED" Field</t>
  </si>
  <si>
    <t xml:space="preserve">      avalon_mm_rmap_o.readdata(7 downto 0) &lt;= rmap_registers_wr_i.aeb_gen_cfg_reserved_b10.reserved(7 downto 0);</t>
  </si>
  <si>
    <t xml:space="preserve">      avalon_mm_rmap_o.readdata(15 downto 8) &lt;= rmap_registers_wr_i.aeb_gen_cfg_reserved_b10.reserved(15 downto 8);</t>
  </si>
  <si>
    <t xml:space="preserve">      avalon_mm_rmap_o.readdata(23 downto 16) &lt;= rmap_registers_wr_i.aeb_gen_cfg_reserved_b10.reserved(23 downto 16);</t>
  </si>
  <si>
    <t xml:space="preserve">      avalon_mm_rmap_o.readdata(31 downto 24) &lt;= rmap_registers_wr_i.aeb_gen_cfg_reserved_b10.reserved(31 downto 24);</t>
  </si>
  <si>
    <t xml:space="preserve">  when (16#37F#) =&gt;</t>
  </si>
  <si>
    <t xml:space="preserve">      -- AEB General Configuration Area Register "RESERVED_B14" : "RESERVED" Field</t>
  </si>
  <si>
    <t xml:space="preserve">      avalon_mm_rmap_o.readdata(7 downto 0) &lt;= rmap_registers_wr_i.aeb_gen_cfg_reserved_b14.reserved(7 downto 0);</t>
  </si>
  <si>
    <t xml:space="preserve">      avalon_mm_rmap_o.readdata(15 downto 8) &lt;= rmap_registers_wr_i.aeb_gen_cfg_reserved_b14.reserved(15 downto 8);</t>
  </si>
  <si>
    <t xml:space="preserve">      avalon_mm_rmap_o.readdata(23 downto 16) &lt;= rmap_registers_wr_i.aeb_gen_cfg_reserved_b14.reserved(23 downto 16);</t>
  </si>
  <si>
    <t xml:space="preserve">      avalon_mm_rmap_o.readdata(31 downto 24) &lt;= rmap_registers_wr_i.aeb_gen_cfg_reserved_b14.reserved(31 downto 24);</t>
  </si>
  <si>
    <t xml:space="preserve">  when (16#380#) =&gt;</t>
  </si>
  <si>
    <t xml:space="preserve">      -- AEB General Configuration Area Register "RESERVED_B18" : "RESERVED" Field</t>
  </si>
  <si>
    <t xml:space="preserve">      avalon_mm_rmap_o.readdata(7 downto 0) &lt;= rmap_registers_wr_i.aeb_gen_cfg_reserved_b18.reserved(7 downto 0);</t>
  </si>
  <si>
    <t xml:space="preserve">      avalon_mm_rmap_o.readdata(15 downto 8) &lt;= rmap_registers_wr_i.aeb_gen_cfg_reserved_b18.reserved(15 downto 8);</t>
  </si>
  <si>
    <t xml:space="preserve">      avalon_mm_rmap_o.readdata(23 downto 16) &lt;= rmap_registers_wr_i.aeb_gen_cfg_reserved_b18.reserved(23 downto 16);</t>
  </si>
  <si>
    <t xml:space="preserve">      avalon_mm_rmap_o.readdata(31 downto 24) &lt;= rmap_registers_wr_i.aeb_gen_cfg_reserved_b18.reserved(31 downto 24);</t>
  </si>
  <si>
    <t xml:space="preserve">  when (16#381#) =&gt;</t>
  </si>
  <si>
    <t xml:space="preserve">      -- AEB General Configuration Area Register "RESERVED_B1C" : "RESERVED" Field</t>
  </si>
  <si>
    <t xml:space="preserve">      avalon_mm_rmap_o.readdata(7 downto 0) &lt;= rmap_registers_wr_i.aeb_gen_cfg_reserved_b1c.reserved(7 downto 0);</t>
  </si>
  <si>
    <t xml:space="preserve">      avalon_mm_rmap_o.readdata(15 downto 8) &lt;= rmap_registers_wr_i.aeb_gen_cfg_reserved_b1c.reserved(15 downto 8);</t>
  </si>
  <si>
    <t xml:space="preserve">      avalon_mm_rmap_o.readdata(23 downto 16) &lt;= rmap_registers_wr_i.aeb_gen_cfg_reserved_b1c.reserved(23 downto 16);</t>
  </si>
  <si>
    <t xml:space="preserve">      avalon_mm_rmap_o.readdata(31 downto 24) &lt;= rmap_registers_wr_i.aeb_gen_cfg_reserved_b1c.reserved(31 downto 24);</t>
  </si>
  <si>
    <t xml:space="preserve">  when (16#382#) =&gt;</t>
  </si>
  <si>
    <t xml:space="preserve">      -- AEB General Configuration Area Register "RESERVED_B20" : "RESERVED" Field</t>
  </si>
  <si>
    <t xml:space="preserve">      avalon_mm_rmap_o.readdata(7 downto 0) &lt;= rmap_registers_wr_i.aeb_gen_cfg_reserved_b20.reserved(7 downto 0);</t>
  </si>
  <si>
    <t xml:space="preserve">      avalon_mm_rmap_o.readdata(15 downto 8) &lt;= rmap_registers_wr_i.aeb_gen_cfg_reserved_b20.reserved(15 downto 8);</t>
  </si>
  <si>
    <t xml:space="preserve">      avalon_mm_rmap_o.readdata(23 downto 16) &lt;= rmap_registers_wr_i.aeb_gen_cfg_reserved_b20.reserved(23 downto 16);</t>
  </si>
  <si>
    <t xml:space="preserve">      avalon_mm_rmap_o.readdata(31 downto 24) &lt;= rmap_registers_wr_i.aeb_gen_cfg_reserved_b20.reserved(31 downto 24);</t>
  </si>
  <si>
    <t xml:space="preserve">  when (16#383#) =&gt;</t>
  </si>
  <si>
    <t xml:space="preserve">      -- AEB General Configuration Area Register "RESERVED_B24" : "RESERVED" Field</t>
  </si>
  <si>
    <t xml:space="preserve">      avalon_mm_rmap_o.readdata(7 downto 0) &lt;= rmap_registers_wr_i.aeb_gen_cfg_reserved_b24.reserved(7 downto 0);</t>
  </si>
  <si>
    <t xml:space="preserve">      avalon_mm_rmap_o.readdata(15 downto 8) &lt;= rmap_registers_wr_i.aeb_gen_cfg_reserved_b24.reserved(15 downto 8);</t>
  </si>
  <si>
    <t xml:space="preserve">      avalon_mm_rmap_o.readdata(23 downto 16) &lt;= rmap_registers_wr_i.aeb_gen_cfg_reserved_b24.reserved(23 downto 16);</t>
  </si>
  <si>
    <t xml:space="preserve">      avalon_mm_rmap_o.readdata(31 downto 24) &lt;= rmap_registers_wr_i.aeb_gen_cfg_reserved_b24.reserved(31 downto 24);</t>
  </si>
  <si>
    <t xml:space="preserve">  when (16#384#) =&gt;</t>
  </si>
  <si>
    <t xml:space="preserve">      -- AEB General Configuration Area Register "RESERVED_B28" : "RESERVED" Field</t>
  </si>
  <si>
    <t xml:space="preserve">      avalon_mm_rmap_o.readdata(7 downto 0) &lt;= rmap_registers_wr_i.aeb_gen_cfg_reserved_b28.reserved(7 downto 0);</t>
  </si>
  <si>
    <t xml:space="preserve">      avalon_mm_rmap_o.readdata(15 downto 8) &lt;= rmap_registers_wr_i.aeb_gen_cfg_reserved_b28.reserved(15 downto 8);</t>
  </si>
  <si>
    <t xml:space="preserve">      avalon_mm_rmap_o.readdata(23 downto 16) &lt;= rmap_registers_wr_i.aeb_gen_cfg_reserved_b28.reserved(23 downto 16);</t>
  </si>
  <si>
    <t xml:space="preserve">      avalon_mm_rmap_o.readdata(31 downto 24) &lt;= rmap_registers_wr_i.aeb_gen_cfg_reserved_b28.reserved(31 downto 24);</t>
  </si>
  <si>
    <t xml:space="preserve">  when (16#385#) =&gt;</t>
  </si>
  <si>
    <t xml:space="preserve">      -- AEB General Configuration Area Register "RESERVED_B2C" : "RESERVED" Field</t>
  </si>
  <si>
    <t xml:space="preserve">      avalon_mm_rmap_o.readdata(7 downto 0) &lt;= rmap_registers_wr_i.aeb_gen_cfg_reserved_b2c.reserved(7 downto 0);</t>
  </si>
  <si>
    <t xml:space="preserve">      avalon_mm_rmap_o.readdata(15 downto 8) &lt;= rmap_registers_wr_i.aeb_gen_cfg_reserved_b2c.reserved(15 downto 8);</t>
  </si>
  <si>
    <t xml:space="preserve">      avalon_mm_rmap_o.readdata(23 downto 16) &lt;= rmap_registers_wr_i.aeb_gen_cfg_reserved_b2c.reserved(23 downto 16);</t>
  </si>
  <si>
    <t xml:space="preserve">      avalon_mm_rmap_o.readdata(31 downto 24) &lt;= rmap_registers_wr_i.aeb_gen_cfg_reserved_b2c.reserved(31 downto 24);</t>
  </si>
  <si>
    <t xml:space="preserve">  when (16#386#) =&gt;</t>
  </si>
  <si>
    <t xml:space="preserve">      -- AEB General Configuration Area Register "RESERVED_B30" : "RESERVED" Field</t>
  </si>
  <si>
    <t xml:space="preserve">      avalon_mm_rmap_o.readdata(7 downto 0) &lt;= rmap_registers_wr_i.aeb_gen_cfg_reserved_b30.reserved(7 downto 0);</t>
  </si>
  <si>
    <t xml:space="preserve">      avalon_mm_rmap_o.readdata(15 downto 8) &lt;= rmap_registers_wr_i.aeb_gen_cfg_reserved_b30.reserved(15 downto 8);</t>
  </si>
  <si>
    <t xml:space="preserve">      avalon_mm_rmap_o.readdata(23 downto 16) &lt;= rmap_registers_wr_i.aeb_gen_cfg_reserved_b30.reserved(23 downto 16);</t>
  </si>
  <si>
    <t xml:space="preserve">      avalon_mm_rmap_o.readdata(31 downto 24) &lt;= rmap_registers_wr_i.aeb_gen_cfg_reserved_b30.reserved(31 downto 24);</t>
  </si>
  <si>
    <t xml:space="preserve">  when (16#387#) =&gt;</t>
  </si>
  <si>
    <t xml:space="preserve">      -- AEB General Configuration Area Register "RESERVED_B34" : "RESERVED" Field</t>
  </si>
  <si>
    <t xml:space="preserve">      avalon_mm_rmap_o.readdata(7 downto 0) &lt;= rmap_registers_wr_i.aeb_gen_cfg_reserved_b34.reserved(7 downto 0);</t>
  </si>
  <si>
    <t xml:space="preserve">      avalon_mm_rmap_o.readdata(15 downto 8) &lt;= rmap_registers_wr_i.aeb_gen_cfg_reserved_b34.reserved(15 downto 8);</t>
  </si>
  <si>
    <t xml:space="preserve">      avalon_mm_rmap_o.readdata(23 downto 16) &lt;= rmap_registers_wr_i.aeb_gen_cfg_reserved_b34.reserved(23 downto 16);</t>
  </si>
  <si>
    <t xml:space="preserve">      avalon_mm_rmap_o.readdata(31 downto 24) &lt;= rmap_registers_wr_i.aeb_gen_cfg_reserved_b34.reserved(31 downto 24);</t>
  </si>
  <si>
    <t xml:space="preserve">  when (16#388#) =&gt;</t>
  </si>
  <si>
    <t xml:space="preserve">      -- AEB General Configuration Area Register "RESERVED_B38" : "RESERVED" Field</t>
  </si>
  <si>
    <t xml:space="preserve">      avalon_mm_rmap_o.readdata(7 downto 0) &lt;= rmap_registers_wr_i.aeb_gen_cfg_reserved_b38.reserved(7 downto 0);</t>
  </si>
  <si>
    <t xml:space="preserve">      avalon_mm_rmap_o.readdata(15 downto 8) &lt;= rmap_registers_wr_i.aeb_gen_cfg_reserved_b38.reserved(15 downto 8);</t>
  </si>
  <si>
    <t xml:space="preserve">      avalon_mm_rmap_o.readdata(23 downto 16) &lt;= rmap_registers_wr_i.aeb_gen_cfg_reserved_b38.reserved(23 downto 16);</t>
  </si>
  <si>
    <t xml:space="preserve">      avalon_mm_rmap_o.readdata(31 downto 24) &lt;= rmap_registers_wr_i.aeb_gen_cfg_reserved_b38.reserved(31 downto 24);</t>
  </si>
  <si>
    <t xml:space="preserve">  when (16#389#) =&gt;</t>
  </si>
  <si>
    <t xml:space="preserve">      -- AEB General Configuration Area Register "RESERVED_B3C" : "RESERVED" Field</t>
  </si>
  <si>
    <t xml:space="preserve">      avalon_mm_rmap_o.readdata(7 downto 0) &lt;= rmap_registers_wr_i.aeb_gen_cfg_reserved_b3c.reserved(7 downto 0);</t>
  </si>
  <si>
    <t xml:space="preserve">      avalon_mm_rmap_o.readdata(15 downto 8) &lt;= rmap_registers_wr_i.aeb_gen_cfg_reserved_b3c.reserved(15 downto 8);</t>
  </si>
  <si>
    <t xml:space="preserve">      avalon_mm_rmap_o.readdata(23 downto 16) &lt;= rmap_registers_wr_i.aeb_gen_cfg_reserved_b3c.reserved(23 downto 16);</t>
  </si>
  <si>
    <t xml:space="preserve">      avalon_mm_rmap_o.readdata(31 downto 24) &lt;= rmap_registers_wr_i.aeb_gen_cfg_reserved_b3c.reserved(31 downto 24);</t>
  </si>
  <si>
    <t xml:space="preserve">  when (16#38A#) =&gt;</t>
  </si>
  <si>
    <t xml:space="preserve">      -- AEB General Configuration Area Register "RESERVED_B40" : "RESERVED" Field</t>
  </si>
  <si>
    <t xml:space="preserve">      avalon_mm_rmap_o.readdata(7 downto 0) &lt;= rmap_registers_wr_i.aeb_gen_cfg_reserved_b40.reserved(7 downto 0);</t>
  </si>
  <si>
    <t xml:space="preserve">      avalon_mm_rmap_o.readdata(15 downto 8) &lt;= rmap_registers_wr_i.aeb_gen_cfg_reserved_b40.reserved(15 downto 8);</t>
  </si>
  <si>
    <t xml:space="preserve">      avalon_mm_rmap_o.readdata(23 downto 16) &lt;= rmap_registers_wr_i.aeb_gen_cfg_reserved_b40.reserved(23 downto 16);</t>
  </si>
  <si>
    <t xml:space="preserve">      avalon_mm_rmap_o.readdata(31 downto 24) &lt;= rmap_registers_wr_i.aeb_gen_cfg_reserved_b40.reserved(31 downto 24);</t>
  </si>
  <si>
    <t xml:space="preserve">  when (16#38B#) =&gt;</t>
  </si>
  <si>
    <t xml:space="preserve">      -- AEB General Configuration Area Register "RESERVED_B44" : "RESERVED" Field</t>
  </si>
  <si>
    <t xml:space="preserve">      avalon_mm_rmap_o.readdata(7 downto 0) &lt;= rmap_registers_wr_i.aeb_gen_cfg_reserved_b44.reserved(7 downto 0);</t>
  </si>
  <si>
    <t xml:space="preserve">      avalon_mm_rmap_o.readdata(15 downto 8) &lt;= rmap_registers_wr_i.aeb_gen_cfg_reserved_b44.reserved(15 downto 8);</t>
  </si>
  <si>
    <t xml:space="preserve">      avalon_mm_rmap_o.readdata(23 downto 16) &lt;= rmap_registers_wr_i.aeb_gen_cfg_reserved_b44.reserved(23 downto 16);</t>
  </si>
  <si>
    <t xml:space="preserve">      avalon_mm_rmap_o.readdata(31 downto 24) &lt;= rmap_registers_wr_i.aeb_gen_cfg_reserved_b44.reserved(31 downto 24);</t>
  </si>
  <si>
    <t xml:space="preserve">  when (16#38C#) =&gt;</t>
  </si>
  <si>
    <t xml:space="preserve">      -- AEB General Configuration Area Register "RESERVED_B48" : "RESERVED" Field</t>
  </si>
  <si>
    <t xml:space="preserve">      avalon_mm_rmap_o.readdata(7 downto 0) &lt;= rmap_registers_wr_i.aeb_gen_cfg_reserved_b48.reserved(7 downto 0);</t>
  </si>
  <si>
    <t xml:space="preserve">      avalon_mm_rmap_o.readdata(15 downto 8) &lt;= rmap_registers_wr_i.aeb_gen_cfg_reserved_b48.reserved(15 downto 8);</t>
  </si>
  <si>
    <t xml:space="preserve">      avalon_mm_rmap_o.readdata(23 downto 16) &lt;= rmap_registers_wr_i.aeb_gen_cfg_reserved_b48.reserved(23 downto 16);</t>
  </si>
  <si>
    <t xml:space="preserve">      avalon_mm_rmap_o.readdata(31 downto 24) &lt;= rmap_registers_wr_i.aeb_gen_cfg_reserved_b48.reserved(31 downto 24);</t>
  </si>
  <si>
    <t xml:space="preserve">  when (16#38D#) =&gt;</t>
  </si>
  <si>
    <t xml:space="preserve">      -- AEB General Configuration Area Register "RESERVED_B4C" : "RESERVED" Field</t>
  </si>
  <si>
    <t xml:space="preserve">      avalon_mm_rmap_o.readdata(7 downto 0) &lt;= rmap_registers_wr_i.aeb_gen_cfg_reserved_b4c.reserved(7 downto 0);</t>
  </si>
  <si>
    <t xml:space="preserve">      avalon_mm_rmap_o.readdata(15 downto 8) &lt;= rmap_registers_wr_i.aeb_gen_cfg_reserved_b4c.reserved(15 downto 8);</t>
  </si>
  <si>
    <t xml:space="preserve">      avalon_mm_rmap_o.readdata(23 downto 16) &lt;= rmap_registers_wr_i.aeb_gen_cfg_reserved_b4c.reserved(23 downto 16);</t>
  </si>
  <si>
    <t xml:space="preserve">      avalon_mm_rmap_o.readdata(31 downto 24) &lt;= rmap_registers_wr_i.aeb_gen_cfg_reserved_b4c.reserved(31 downto 24);</t>
  </si>
  <si>
    <t xml:space="preserve">  when (16#38E#) =&gt;</t>
  </si>
  <si>
    <t xml:space="preserve">      -- AEB General Configuration Area Register "RESERVED_B50" : "RESERVED" Field</t>
  </si>
  <si>
    <t xml:space="preserve">      avalon_mm_rmap_o.readdata(7 downto 0) &lt;= rmap_registers_wr_i.aeb_gen_cfg_reserved_b50.reserved(7 downto 0);</t>
  </si>
  <si>
    <t xml:space="preserve">      avalon_mm_rmap_o.readdata(15 downto 8) &lt;= rmap_registers_wr_i.aeb_gen_cfg_reserved_b50.reserved(15 downto 8);</t>
  </si>
  <si>
    <t xml:space="preserve">      avalon_mm_rmap_o.readdata(23 downto 16) &lt;= rmap_registers_wr_i.aeb_gen_cfg_reserved_b50.reserved(23 downto 16);</t>
  </si>
  <si>
    <t xml:space="preserve">      avalon_mm_rmap_o.readdata(31 downto 24) &lt;= rmap_registers_wr_i.aeb_gen_cfg_reserved_b50.reserved(31 downto 24);</t>
  </si>
  <si>
    <t xml:space="preserve">  when (16#38F#) =&gt;</t>
  </si>
  <si>
    <t xml:space="preserve">      -- AEB General Configuration Area Register "RESERVED_B54" : "RESERVED" Field</t>
  </si>
  <si>
    <t xml:space="preserve">      avalon_mm_rmap_o.readdata(7 downto 0) &lt;= rmap_registers_wr_i.aeb_gen_cfg_reserved_b54.reserved(7 downto 0);</t>
  </si>
  <si>
    <t xml:space="preserve">      avalon_mm_rmap_o.readdata(15 downto 8) &lt;= rmap_registers_wr_i.aeb_gen_cfg_reserved_b54.reserved(15 downto 8);</t>
  </si>
  <si>
    <t xml:space="preserve">      avalon_mm_rmap_o.readdata(23 downto 16) &lt;= rmap_registers_wr_i.aeb_gen_cfg_reserved_b54.reserved(23 downto 16);</t>
  </si>
  <si>
    <t xml:space="preserve">      avalon_mm_rmap_o.readdata(31 downto 24) &lt;= rmap_registers_wr_i.aeb_gen_cfg_reserved_b54.reserved(31 downto 24);</t>
  </si>
  <si>
    <t xml:space="preserve">  when (16#390#) =&gt;</t>
  </si>
  <si>
    <t xml:space="preserve">      -- AEB General Configuration Area Register "RESERVED_B58" : "RESERVED" Field</t>
  </si>
  <si>
    <t xml:space="preserve">      avalon_mm_rmap_o.readdata(7 downto 0) &lt;= rmap_registers_wr_i.aeb_gen_cfg_reserved_b58.reserved(7 downto 0);</t>
  </si>
  <si>
    <t xml:space="preserve">      avalon_mm_rmap_o.readdata(15 downto 8) &lt;= rmap_registers_wr_i.aeb_gen_cfg_reserved_b58.reserved(15 downto 8);</t>
  </si>
  <si>
    <t xml:space="preserve">      avalon_mm_rmap_o.readdata(23 downto 16) &lt;= rmap_registers_wr_i.aeb_gen_cfg_reserved_b58.reserved(23 downto 16);</t>
  </si>
  <si>
    <t xml:space="preserve">      avalon_mm_rmap_o.readdata(31 downto 24) &lt;= rmap_registers_wr_i.aeb_gen_cfg_reserved_b58.reserved(31 downto 24);</t>
  </si>
  <si>
    <t xml:space="preserve">  when (16#391#) =&gt;</t>
  </si>
  <si>
    <t xml:space="preserve">      -- AEB General Configuration Area Register "RESERVED_B5C" : "RESERVED" Field</t>
  </si>
  <si>
    <t xml:space="preserve">      avalon_mm_rmap_o.readdata(7 downto 0) &lt;= rmap_registers_wr_i.aeb_gen_cfg_reserved_b5c.reserved(7 downto 0);</t>
  </si>
  <si>
    <t xml:space="preserve">      avalon_mm_rmap_o.readdata(15 downto 8) &lt;= rmap_registers_wr_i.aeb_gen_cfg_reserved_b5c.reserved(15 downto 8);</t>
  </si>
  <si>
    <t xml:space="preserve">      avalon_mm_rmap_o.readdata(23 downto 16) &lt;= rmap_registers_wr_i.aeb_gen_cfg_reserved_b5c.reserved(23 downto 16);</t>
  </si>
  <si>
    <t xml:space="preserve">      avalon_mm_rmap_o.readdata(31 downto 24) &lt;= rmap_registers_wr_i.aeb_gen_cfg_reserved_b5c.reserved(31 downto 24);</t>
  </si>
  <si>
    <t xml:space="preserve">  when (16#392#) =&gt;</t>
  </si>
  <si>
    <t xml:space="preserve">      -- AEB General Configuration Area Register "RESERVED_B60" : "RESERVED" Field</t>
  </si>
  <si>
    <t xml:space="preserve">      avalon_mm_rmap_o.readdata(7 downto 0) &lt;= rmap_registers_wr_i.aeb_gen_cfg_reserved_b60.reserved(7 downto 0);</t>
  </si>
  <si>
    <t xml:space="preserve">      avalon_mm_rmap_o.readdata(15 downto 8) &lt;= rmap_registers_wr_i.aeb_gen_cfg_reserved_b60.reserved(15 downto 8);</t>
  </si>
  <si>
    <t xml:space="preserve">      avalon_mm_rmap_o.readdata(23 downto 16) &lt;= rmap_registers_wr_i.aeb_gen_cfg_reserved_b60.reserved(23 downto 16);</t>
  </si>
  <si>
    <t xml:space="preserve">      avalon_mm_rmap_o.readdata(31 downto 24) &lt;= rmap_registers_wr_i.aeb_gen_cfg_reserved_b60.reserved(31 downto 24);</t>
  </si>
  <si>
    <t xml:space="preserve">  when (16#393#) =&gt;</t>
  </si>
  <si>
    <t xml:space="preserve">      -- AEB General Configuration Area Register "RESERVED_B64" : "RESERVED" Field</t>
  </si>
  <si>
    <t xml:space="preserve">      avalon_mm_rmap_o.readdata(7 downto 0) &lt;= rmap_registers_wr_i.aeb_gen_cfg_reserved_b64.reserved(7 downto 0);</t>
  </si>
  <si>
    <t xml:space="preserve">      avalon_mm_rmap_o.readdata(15 downto 8) &lt;= rmap_registers_wr_i.aeb_gen_cfg_reserved_b64.reserved(15 downto 8);</t>
  </si>
  <si>
    <t xml:space="preserve">      avalon_mm_rmap_o.readdata(23 downto 16) &lt;= rmap_registers_wr_i.aeb_gen_cfg_reserved_b64.reserved(23 downto 16);</t>
  </si>
  <si>
    <t xml:space="preserve">      avalon_mm_rmap_o.readdata(31 downto 24) &lt;= rmap_registers_wr_i.aeb_gen_cfg_reserved_b64.reserved(31 downto 24);</t>
  </si>
  <si>
    <t xml:space="preserve">  when (16#394#) =&gt;</t>
  </si>
  <si>
    <t xml:space="preserve">      -- AEB General Configuration Area Register "RESERVED_B68" : "RESERVED" Field</t>
  </si>
  <si>
    <t xml:space="preserve">      avalon_mm_rmap_o.readdata(7 downto 0) &lt;= rmap_registers_wr_i.aeb_gen_cfg_reserved_b68.reserved(7 downto 0);</t>
  </si>
  <si>
    <t xml:space="preserve">      avalon_mm_rmap_o.readdata(15 downto 8) &lt;= rmap_registers_wr_i.aeb_gen_cfg_reserved_b68.reserved(15 downto 8);</t>
  </si>
  <si>
    <t xml:space="preserve">      avalon_mm_rmap_o.readdata(23 downto 16) &lt;= rmap_registers_wr_i.aeb_gen_cfg_reserved_b68.reserved(23 downto 16);</t>
  </si>
  <si>
    <t xml:space="preserve">      avalon_mm_rmap_o.readdata(31 downto 24) &lt;= rmap_registers_wr_i.aeb_gen_cfg_reserved_b68.reserved(31 downto 24);</t>
  </si>
  <si>
    <t xml:space="preserve">  when (16#395#) =&gt;</t>
  </si>
  <si>
    <t xml:space="preserve">      -- AEB General Configuration Area Register "RESERVED_B6C" : "RESERVED" Field</t>
  </si>
  <si>
    <t xml:space="preserve">      avalon_mm_rmap_o.readdata(7 downto 0) &lt;= rmap_registers_wr_i.aeb_gen_cfg_reserved_b6c.reserved(7 downto 0);</t>
  </si>
  <si>
    <t xml:space="preserve">      avalon_mm_rmap_o.readdata(15 downto 8) &lt;= rmap_registers_wr_i.aeb_gen_cfg_reserved_b6c.reserved(15 downto 8);</t>
  </si>
  <si>
    <t xml:space="preserve">      avalon_mm_rmap_o.readdata(23 downto 16) &lt;= rmap_registers_wr_i.aeb_gen_cfg_reserved_b6c.reserved(23 downto 16);</t>
  </si>
  <si>
    <t xml:space="preserve">      avalon_mm_rmap_o.readdata(31 downto 24) &lt;= rmap_registers_wr_i.aeb_gen_cfg_reserved_b6c.reserved(31 downto 24);</t>
  </si>
  <si>
    <t xml:space="preserve">  when (16#396#) =&gt;</t>
  </si>
  <si>
    <t xml:space="preserve">      -- AEB General Configuration Area Register "RESERVED_B70" : "RESERVED" Field</t>
  </si>
  <si>
    <t xml:space="preserve">      avalon_mm_rmap_o.readdata(7 downto 0) &lt;= rmap_registers_wr_i.aeb_gen_cfg_reserved_b70.reserved(7 downto 0);</t>
  </si>
  <si>
    <t xml:space="preserve">      avalon_mm_rmap_o.readdata(15 downto 8) &lt;= rmap_registers_wr_i.aeb_gen_cfg_reserved_b70.reserved(15 downto 8);</t>
  </si>
  <si>
    <t xml:space="preserve">      avalon_mm_rmap_o.readdata(23 downto 16) &lt;= rmap_registers_wr_i.aeb_gen_cfg_reserved_b70.reserved(23 downto 16);</t>
  </si>
  <si>
    <t xml:space="preserve">      avalon_mm_rmap_o.readdata(31 downto 24) &lt;= rmap_registers_wr_i.aeb_gen_cfg_reserved_b70.reserved(31 downto 24);</t>
  </si>
  <si>
    <t xml:space="preserve">  when (16#397#) =&gt;</t>
  </si>
  <si>
    <t xml:space="preserve">      -- AEB General Configuration Area Register "RESERVED_B74" : "RESERVED" Field</t>
  </si>
  <si>
    <t xml:space="preserve">      avalon_mm_rmap_o.readdata(7 downto 0) &lt;= rmap_registers_wr_i.aeb_gen_cfg_reserved_b74.reserved(7 downto 0);</t>
  </si>
  <si>
    <t xml:space="preserve">      avalon_mm_rmap_o.readdata(15 downto 8) &lt;= rmap_registers_wr_i.aeb_gen_cfg_reserved_b74.reserved(15 downto 8);</t>
  </si>
  <si>
    <t xml:space="preserve">      avalon_mm_rmap_o.readdata(23 downto 16) &lt;= rmap_registers_wr_i.aeb_gen_cfg_reserved_b74.reserved(23 downto 16);</t>
  </si>
  <si>
    <t xml:space="preserve">      avalon_mm_rmap_o.readdata(31 downto 24) &lt;= rmap_registers_wr_i.aeb_gen_cfg_reserved_b74.reserved(31 downto 24);</t>
  </si>
  <si>
    <t xml:space="preserve">  when (16#398#) =&gt;</t>
  </si>
  <si>
    <t xml:space="preserve">      -- AEB General Configuration Area Register "RESERVED_B78" : "RESERVED" Field</t>
  </si>
  <si>
    <t xml:space="preserve">      avalon_mm_rmap_o.readdata(7 downto 0) &lt;= rmap_registers_wr_i.aeb_gen_cfg_reserved_b78.reserved(7 downto 0);</t>
  </si>
  <si>
    <t xml:space="preserve">      avalon_mm_rmap_o.readdata(15 downto 8) &lt;= rmap_registers_wr_i.aeb_gen_cfg_reserved_b78.reserved(15 downto 8);</t>
  </si>
  <si>
    <t xml:space="preserve">      avalon_mm_rmap_o.readdata(23 downto 16) &lt;= rmap_registers_wr_i.aeb_gen_cfg_reserved_b78.reserved(23 downto 16);</t>
  </si>
  <si>
    <t xml:space="preserve">      avalon_mm_rmap_o.readdata(31 downto 24) &lt;= rmap_registers_wr_i.aeb_gen_cfg_reserved_b78.reserved(31 downto 24);</t>
  </si>
  <si>
    <t xml:space="preserve">  when (16#399#) =&gt;</t>
  </si>
  <si>
    <t xml:space="preserve">      -- AEB General Configuration Area Register "RESERVED_B7C" : "RESERVED" Field</t>
  </si>
  <si>
    <t xml:space="preserve">      avalon_mm_rmap_o.readdata(7 downto 0) &lt;= rmap_registers_wr_i.aeb_gen_cfg_reserved_b7c.reserved(7 downto 0);</t>
  </si>
  <si>
    <t xml:space="preserve">      avalon_mm_rmap_o.readdata(15 downto 8) &lt;= rmap_registers_wr_i.aeb_gen_cfg_reserved_b7c.reserved(15 downto 8);</t>
  </si>
  <si>
    <t xml:space="preserve">      avalon_mm_rmap_o.readdata(23 downto 16) &lt;= rmap_registers_wr_i.aeb_gen_cfg_reserved_b7c.reserved(23 downto 16);</t>
  </si>
  <si>
    <t xml:space="preserve">      avalon_mm_rmap_o.readdata(31 downto 24) &lt;= rmap_registers_wr_i.aeb_gen_cfg_reserved_b7c.reserved(31 downto 24);</t>
  </si>
  <si>
    <t xml:space="preserve">  when (16#39A#) =&gt;</t>
  </si>
  <si>
    <t xml:space="preserve">      -- AEB General Configuration Area Register "RESERVED_B80" : "RESERVED" Field</t>
  </si>
  <si>
    <t xml:space="preserve">      avalon_mm_rmap_o.readdata(7 downto 0) &lt;= rmap_registers_wr_i.aeb_gen_cfg_reserved_b80.reserved(7 downto 0);</t>
  </si>
  <si>
    <t xml:space="preserve">      avalon_mm_rmap_o.readdata(15 downto 8) &lt;= rmap_registers_wr_i.aeb_gen_cfg_reserved_b80.reserved(15 downto 8);</t>
  </si>
  <si>
    <t xml:space="preserve">      avalon_mm_rmap_o.readdata(23 downto 16) &lt;= rmap_registers_wr_i.aeb_gen_cfg_reserved_b80.reserved(23 downto 16);</t>
  </si>
  <si>
    <t xml:space="preserve">      avalon_mm_rmap_o.readdata(31 downto 24) &lt;= rmap_registers_wr_i.aeb_gen_cfg_reserved_b80.reserved(31 downto 24);</t>
  </si>
  <si>
    <t xml:space="preserve">  when (16#39B#) =&gt;</t>
  </si>
  <si>
    <t xml:space="preserve">      -- AEB General Configuration Area Register "RESERVED_B84" : "RESERVED" Field</t>
  </si>
  <si>
    <t xml:space="preserve">      avalon_mm_rmap_o.readdata(7 downto 0) &lt;= rmap_registers_wr_i.aeb_gen_cfg_reserved_b84.reserved(7 downto 0);</t>
  </si>
  <si>
    <t xml:space="preserve">      avalon_mm_rmap_o.readdata(15 downto 8) &lt;= rmap_registers_wr_i.aeb_gen_cfg_reserved_b84.reserved(15 downto 8);</t>
  </si>
  <si>
    <t xml:space="preserve">      avalon_mm_rmap_o.readdata(23 downto 16) &lt;= rmap_registers_wr_i.aeb_gen_cfg_reserved_b84.reserved(23 downto 16);</t>
  </si>
  <si>
    <t xml:space="preserve">      avalon_mm_rmap_o.readdata(31 downto 24) &lt;= rmap_registers_wr_i.aeb_gen_cfg_reserved_b84.reserved(31 downto 24);</t>
  </si>
  <si>
    <t xml:space="preserve">  when (16#39C#) =&gt;</t>
  </si>
  <si>
    <t xml:space="preserve">      -- AEB General Configuration Area Register "RESERVED_B88" : "RESERVED" Field</t>
  </si>
  <si>
    <t xml:space="preserve">      avalon_mm_rmap_o.readdata(7 downto 0) &lt;= rmap_registers_wr_i.aeb_gen_cfg_reserved_b88.reserved(7 downto 0);</t>
  </si>
  <si>
    <t xml:space="preserve">      avalon_mm_rmap_o.readdata(15 downto 8) &lt;= rmap_registers_wr_i.aeb_gen_cfg_reserved_b88.reserved(15 downto 8);</t>
  </si>
  <si>
    <t xml:space="preserve">      avalon_mm_rmap_o.readdata(23 downto 16) &lt;= rmap_registers_wr_i.aeb_gen_cfg_reserved_b88.reserved(23 downto 16);</t>
  </si>
  <si>
    <t xml:space="preserve">      avalon_mm_rmap_o.readdata(31 downto 24) &lt;= rmap_registers_wr_i.aeb_gen_cfg_reserved_b88.reserved(31 downto 24);</t>
  </si>
  <si>
    <t xml:space="preserve">  when (16#39D#) =&gt;</t>
  </si>
  <si>
    <t xml:space="preserve">      -- AEB General Configuration Area Register "RESERVED_B8C" : "RESERVED" Field</t>
  </si>
  <si>
    <t xml:space="preserve">      avalon_mm_rmap_o.readdata(7 downto 0) &lt;= rmap_registers_wr_i.aeb_gen_cfg_reserved_b8c.reserved(7 downto 0);</t>
  </si>
  <si>
    <t xml:space="preserve">      avalon_mm_rmap_o.readdata(15 downto 8) &lt;= rmap_registers_wr_i.aeb_gen_cfg_reserved_b8c.reserved(15 downto 8);</t>
  </si>
  <si>
    <t xml:space="preserve">      avalon_mm_rmap_o.readdata(23 downto 16) &lt;= rmap_registers_wr_i.aeb_gen_cfg_reserved_b8c.reserved(23 downto 16);</t>
  </si>
  <si>
    <t xml:space="preserve">      avalon_mm_rmap_o.readdata(31 downto 24) &lt;= rmap_registers_wr_i.aeb_gen_cfg_reserved_b8c.reserved(31 downto 24);</t>
  </si>
  <si>
    <t xml:space="preserve">  when (16#39E#) =&gt;</t>
  </si>
  <si>
    <t xml:space="preserve">      -- AEB General Configuration Area Register "RESERVED_B90" : "RESERVED" Field</t>
  </si>
  <si>
    <t xml:space="preserve">      avalon_mm_rmap_o.readdata(7 downto 0) &lt;= rmap_registers_wr_i.aeb_gen_cfg_reserved_b90.reserved(7 downto 0);</t>
  </si>
  <si>
    <t xml:space="preserve">      avalon_mm_rmap_o.readdata(15 downto 8) &lt;= rmap_registers_wr_i.aeb_gen_cfg_reserved_b90.reserved(15 downto 8);</t>
  </si>
  <si>
    <t xml:space="preserve">      avalon_mm_rmap_o.readdata(23 downto 16) &lt;= rmap_registers_wr_i.aeb_gen_cfg_reserved_b90.reserved(23 downto 16);</t>
  </si>
  <si>
    <t xml:space="preserve">      avalon_mm_rmap_o.readdata(31 downto 24) &lt;= rmap_registers_wr_i.aeb_gen_cfg_reserved_b90.reserved(31 downto 24);</t>
  </si>
  <si>
    <t xml:space="preserve">  when (16#39F#) =&gt;</t>
  </si>
  <si>
    <t xml:space="preserve">      -- AEB General Configuration Area Register "RESERVED_B94" : "RESERVED" Field</t>
  </si>
  <si>
    <t xml:space="preserve">      avalon_mm_rmap_o.readdata(7 downto 0) &lt;= rmap_registers_wr_i.aeb_gen_cfg_reserved_b94.reserved(7 downto 0);</t>
  </si>
  <si>
    <t xml:space="preserve">      avalon_mm_rmap_o.readdata(15 downto 8) &lt;= rmap_registers_wr_i.aeb_gen_cfg_reserved_b94.reserved(15 downto 8);</t>
  </si>
  <si>
    <t xml:space="preserve">      avalon_mm_rmap_o.readdata(23 downto 16) &lt;= rmap_registers_wr_i.aeb_gen_cfg_reserved_b94.reserved(23 downto 16);</t>
  </si>
  <si>
    <t xml:space="preserve">      avalon_mm_rmap_o.readdata(31 downto 24) &lt;= rmap_registers_wr_i.aeb_gen_cfg_reserved_b94.reserved(31 downto 24);</t>
  </si>
  <si>
    <t xml:space="preserve">  when (16#3A0#) =&gt;</t>
  </si>
  <si>
    <t xml:space="preserve">      -- AEB General Configuration Area Register "RESERVED_B98" : "RESERVED" Field</t>
  </si>
  <si>
    <t xml:space="preserve">      avalon_mm_rmap_o.readdata(7 downto 0) &lt;= rmap_registers_wr_i.aeb_gen_cfg_reserved_b98.reserved(7 downto 0);</t>
  </si>
  <si>
    <t xml:space="preserve">      avalon_mm_rmap_o.readdata(15 downto 8) &lt;= rmap_registers_wr_i.aeb_gen_cfg_reserved_b98.reserved(15 downto 8);</t>
  </si>
  <si>
    <t xml:space="preserve">      avalon_mm_rmap_o.readdata(23 downto 16) &lt;= rmap_registers_wr_i.aeb_gen_cfg_reserved_b98.reserved(23 downto 16);</t>
  </si>
  <si>
    <t xml:space="preserve">      avalon_mm_rmap_o.readdata(31 downto 24) &lt;= rmap_registers_wr_i.aeb_gen_cfg_reserved_b98.reserved(31 downto 24);</t>
  </si>
  <si>
    <t xml:space="preserve">  when (16#3A1#) =&gt;</t>
  </si>
  <si>
    <t xml:space="preserve">      -- AEB General Configuration Area Register "RESERVED_B9C" : "RESERVED" Field</t>
  </si>
  <si>
    <t xml:space="preserve">      avalon_mm_rmap_o.readdata(7 downto 0) &lt;= rmap_registers_wr_i.aeb_gen_cfg_reserved_b9c.reserved(7 downto 0);</t>
  </si>
  <si>
    <t xml:space="preserve">      avalon_mm_rmap_o.readdata(15 downto 8) &lt;= rmap_registers_wr_i.aeb_gen_cfg_reserved_b9c.reserved(15 downto 8);</t>
  </si>
  <si>
    <t xml:space="preserve">      avalon_mm_rmap_o.readdata(23 downto 16) &lt;= rmap_registers_wr_i.aeb_gen_cfg_reserved_b9c.reserved(23 downto 16);</t>
  </si>
  <si>
    <t xml:space="preserve">      avalon_mm_rmap_o.readdata(31 downto 24) &lt;= rmap_registers_wr_i.aeb_gen_cfg_reserved_b9c.reserved(31 downto 24);</t>
  </si>
  <si>
    <t xml:space="preserve">  when (16#3A2#) =&gt;</t>
  </si>
  <si>
    <t xml:space="preserve">      -- AEB General Configuration Area Register "RESERVED_BA0" : "RESERVED" Field</t>
  </si>
  <si>
    <t xml:space="preserve">      avalon_mm_rmap_o.readdata(7 downto 0) &lt;= rmap_registers_wr_i.aeb_gen_cfg_reserved_ba0.reserved(7 downto 0);</t>
  </si>
  <si>
    <t xml:space="preserve">      avalon_mm_rmap_o.readdata(15 downto 8) &lt;= rmap_registers_wr_i.aeb_gen_cfg_reserved_ba0.reserved(15 downto 8);</t>
  </si>
  <si>
    <t xml:space="preserve">      avalon_mm_rmap_o.readdata(23 downto 16) &lt;= rmap_registers_wr_i.aeb_gen_cfg_reserved_ba0.reserved(23 downto 16);</t>
  </si>
  <si>
    <t xml:space="preserve">      avalon_mm_rmap_o.readdata(31 downto 24) &lt;= rmap_registers_wr_i.aeb_gen_cfg_reserved_ba0.reserved(31 downto 24);</t>
  </si>
  <si>
    <t xml:space="preserve">  when (16#3A3#) =&gt;</t>
  </si>
  <si>
    <t xml:space="preserve">      -- AEB General Configuration Area Register "RESERVED_BA4" : "RESERVED" Field</t>
  </si>
  <si>
    <t xml:space="preserve">      avalon_mm_rmap_o.readdata(7 downto 0) &lt;= rmap_registers_wr_i.aeb_gen_cfg_reserved_ba4.reserved(7 downto 0);</t>
  </si>
  <si>
    <t xml:space="preserve">      avalon_mm_rmap_o.readdata(15 downto 8) &lt;= rmap_registers_wr_i.aeb_gen_cfg_reserved_ba4.reserved(15 downto 8);</t>
  </si>
  <si>
    <t xml:space="preserve">      avalon_mm_rmap_o.readdata(23 downto 16) &lt;= rmap_registers_wr_i.aeb_gen_cfg_reserved_ba4.reserved(23 downto 16);</t>
  </si>
  <si>
    <t xml:space="preserve">      avalon_mm_rmap_o.readdata(31 downto 24) &lt;= rmap_registers_wr_i.aeb_gen_cfg_reserved_ba4.reserved(31 downto 24);</t>
  </si>
  <si>
    <t xml:space="preserve">  when (16#3A4#) =&gt;</t>
  </si>
  <si>
    <t xml:space="preserve">      -- AEB General Configuration Area Register "RESERVED_BA8" : "RESERVED" Field</t>
  </si>
  <si>
    <t xml:space="preserve">      avalon_mm_rmap_o.readdata(7 downto 0) &lt;= rmap_registers_wr_i.aeb_gen_cfg_reserved_ba8.reserved(7 downto 0);</t>
  </si>
  <si>
    <t xml:space="preserve">      avalon_mm_rmap_o.readdata(15 downto 8) &lt;= rmap_registers_wr_i.aeb_gen_cfg_reserved_ba8.reserved(15 downto 8);</t>
  </si>
  <si>
    <t xml:space="preserve">      avalon_mm_rmap_o.readdata(23 downto 16) &lt;= rmap_registers_wr_i.aeb_gen_cfg_reserved_ba8.reserved(23 downto 16);</t>
  </si>
  <si>
    <t xml:space="preserve">      avalon_mm_rmap_o.readdata(31 downto 24) &lt;= rmap_registers_wr_i.aeb_gen_cfg_reserved_ba8.reserved(31 downto 24);</t>
  </si>
  <si>
    <t xml:space="preserve">  when (16#3A5#) =&gt;</t>
  </si>
  <si>
    <t xml:space="preserve">      -- AEB General Configuration Area Register "RESERVED_BAC" : "RESERVED" Field</t>
  </si>
  <si>
    <t xml:space="preserve">      avalon_mm_rmap_o.readdata(7 downto 0) &lt;= rmap_registers_wr_i.aeb_gen_cfg_reserved_bac.reserved(7 downto 0);</t>
  </si>
  <si>
    <t xml:space="preserve">      avalon_mm_rmap_o.readdata(15 downto 8) &lt;= rmap_registers_wr_i.aeb_gen_cfg_reserved_bac.reserved(15 downto 8);</t>
  </si>
  <si>
    <t xml:space="preserve">      avalon_mm_rmap_o.readdata(23 downto 16) &lt;= rmap_registers_wr_i.aeb_gen_cfg_reserved_bac.reserved(23 downto 16);</t>
  </si>
  <si>
    <t xml:space="preserve">      avalon_mm_rmap_o.readdata(31 downto 24) &lt;= rmap_registers_wr_i.aeb_gen_cfg_reserved_bac.reserved(31 downto 24);</t>
  </si>
  <si>
    <t xml:space="preserve">  when (16#3A6#) =&gt;</t>
  </si>
  <si>
    <t xml:space="preserve">      -- AEB General Configuration Area Register "RESERVED_BB0" : "RESERVED" Field</t>
  </si>
  <si>
    <t xml:space="preserve">      avalon_mm_rmap_o.readdata(7 downto 0) &lt;= rmap_registers_wr_i.aeb_gen_cfg_reserved_bb0.reserved(7 downto 0);</t>
  </si>
  <si>
    <t xml:space="preserve">      avalon_mm_rmap_o.readdata(15 downto 8) &lt;= rmap_registers_wr_i.aeb_gen_cfg_reserved_bb0.reserved(15 downto 8);</t>
  </si>
  <si>
    <t xml:space="preserve">      avalon_mm_rmap_o.readdata(23 downto 16) &lt;= rmap_registers_wr_i.aeb_gen_cfg_reserved_bb0.reserved(23 downto 16);</t>
  </si>
  <si>
    <t xml:space="preserve">      avalon_mm_rmap_o.readdata(31 downto 24) &lt;= rmap_registers_wr_i.aeb_gen_cfg_reserved_bb0.reserved(31 downto 24);</t>
  </si>
  <si>
    <t xml:space="preserve">  when (16#3A7#) =&gt;</t>
  </si>
  <si>
    <t xml:space="preserve">      -- AEB General Configuration Area Register "RESERVED_BB4" : "RESERVED" Field</t>
  </si>
  <si>
    <t xml:space="preserve">      avalon_mm_rmap_o.readdata(7 downto 0) &lt;= rmap_registers_wr_i.aeb_gen_cfg_reserved_bb4.reserved(7 downto 0);</t>
  </si>
  <si>
    <t xml:space="preserve">      avalon_mm_rmap_o.readdata(15 downto 8) &lt;= rmap_registers_wr_i.aeb_gen_cfg_reserved_bb4.reserved(15 downto 8);</t>
  </si>
  <si>
    <t xml:space="preserve">      avalon_mm_rmap_o.readdata(23 downto 16) &lt;= rmap_registers_wr_i.aeb_gen_cfg_reserved_bb4.reserved(23 downto 16);</t>
  </si>
  <si>
    <t xml:space="preserve">      avalon_mm_rmap_o.readdata(31 downto 24) &lt;= rmap_registers_wr_i.aeb_gen_cfg_reserved_bb4.reserved(31 downto 24);</t>
  </si>
  <si>
    <t xml:space="preserve">  when (16#3A8#) =&gt;</t>
  </si>
  <si>
    <t xml:space="preserve">      -- AEB General Configuration Area Register "RESERVED_BB8" : "RESERVED" Field</t>
  </si>
  <si>
    <t xml:space="preserve">      avalon_mm_rmap_o.readdata(7 downto 0) &lt;= rmap_registers_wr_i.aeb_gen_cfg_reserved_bb8.reserved(7 downto 0);</t>
  </si>
  <si>
    <t xml:space="preserve">      avalon_mm_rmap_o.readdata(15 downto 8) &lt;= rmap_registers_wr_i.aeb_gen_cfg_reserved_bb8.reserved(15 downto 8);</t>
  </si>
  <si>
    <t xml:space="preserve">      avalon_mm_rmap_o.readdata(23 downto 16) &lt;= rmap_registers_wr_i.aeb_gen_cfg_reserved_bb8.reserved(23 downto 16);</t>
  </si>
  <si>
    <t xml:space="preserve">      avalon_mm_rmap_o.readdata(31 downto 24) &lt;= rmap_registers_wr_i.aeb_gen_cfg_reserved_bb8.reserved(31 downto 24);</t>
  </si>
  <si>
    <t xml:space="preserve">  when (16#3A9#) =&gt;</t>
  </si>
  <si>
    <t xml:space="preserve">      -- AEB General Configuration Area Register "RESERVED_BBC" : "RESERVED" Field</t>
  </si>
  <si>
    <t xml:space="preserve">      avalon_mm_rmap_o.readdata(7 downto 0) &lt;= rmap_registers_wr_i.aeb_gen_cfg_reserved_bbc.reserved(7 downto 0);</t>
  </si>
  <si>
    <t xml:space="preserve">      avalon_mm_rmap_o.readdata(15 downto 8) &lt;= rmap_registers_wr_i.aeb_gen_cfg_reserved_bbc.reserved(15 downto 8);</t>
  </si>
  <si>
    <t xml:space="preserve">      avalon_mm_rmap_o.readdata(23 downto 16) &lt;= rmap_registers_wr_i.aeb_gen_cfg_reserved_bbc.reserved(23 downto 16);</t>
  </si>
  <si>
    <t xml:space="preserve">      avalon_mm_rmap_o.readdata(31 downto 24) &lt;= rmap_registers_wr_i.aeb_gen_cfg_reserved_bbc.reserved(31 downto 24);</t>
  </si>
  <si>
    <t xml:space="preserve">  when (16#3AA#) =&gt;</t>
  </si>
  <si>
    <t xml:space="preserve">      -- AEB General Configuration Area Register "RESERVED_BC0" : "RESERVED" Field</t>
  </si>
  <si>
    <t xml:space="preserve">      avalon_mm_rmap_o.readdata(7 downto 0) &lt;= rmap_registers_wr_i.aeb_gen_cfg_reserved_bc0.reserved(7 downto 0);</t>
  </si>
  <si>
    <t xml:space="preserve">      avalon_mm_rmap_o.readdata(15 downto 8) &lt;= rmap_registers_wr_i.aeb_gen_cfg_reserved_bc0.reserved(15 downto 8);</t>
  </si>
  <si>
    <t xml:space="preserve">      avalon_mm_rmap_o.readdata(23 downto 16) &lt;= rmap_registers_wr_i.aeb_gen_cfg_reserved_bc0.reserved(23 downto 16);</t>
  </si>
  <si>
    <t xml:space="preserve">      avalon_mm_rmap_o.readdata(31 downto 24) &lt;= rmap_registers_wr_i.aeb_gen_cfg_reserved_bc0.reserved(31 downto 24);</t>
  </si>
  <si>
    <t xml:space="preserve">  when (16#3AB#) =&gt;</t>
  </si>
  <si>
    <t xml:space="preserve">      -- AEB General Configuration Area Register "RESERVED_BC4" : "RESERVED" Field</t>
  </si>
  <si>
    <t xml:space="preserve">      avalon_mm_rmap_o.readdata(7 downto 0) &lt;= rmap_registers_wr_i.aeb_gen_cfg_reserved_bc4.reserved(7 downto 0);</t>
  </si>
  <si>
    <t xml:space="preserve">      avalon_mm_rmap_o.readdata(15 downto 8) &lt;= rmap_registers_wr_i.aeb_gen_cfg_reserved_bc4.reserved(15 downto 8);</t>
  </si>
  <si>
    <t xml:space="preserve">      avalon_mm_rmap_o.readdata(23 downto 16) &lt;= rmap_registers_wr_i.aeb_gen_cfg_reserved_bc4.reserved(23 downto 16);</t>
  </si>
  <si>
    <t xml:space="preserve">      avalon_mm_rmap_o.readdata(31 downto 24) &lt;= rmap_registers_wr_i.aeb_gen_cfg_reserved_bc4.reserved(31 downto 24);</t>
  </si>
  <si>
    <t xml:space="preserve">  when (16#3AC#) =&gt;</t>
  </si>
  <si>
    <t xml:space="preserve">      -- AEB General Configuration Area Register "RESERVED_BC8" : "RESERVED" Field</t>
  </si>
  <si>
    <t xml:space="preserve">      avalon_mm_rmap_o.readdata(7 downto 0) &lt;= rmap_registers_wr_i.aeb_gen_cfg_reserved_bc8.reserved(7 downto 0);</t>
  </si>
  <si>
    <t xml:space="preserve">      avalon_mm_rmap_o.readdata(15 downto 8) &lt;= rmap_registers_wr_i.aeb_gen_cfg_reserved_bc8.reserved(15 downto 8);</t>
  </si>
  <si>
    <t xml:space="preserve">      avalon_mm_rmap_o.readdata(23 downto 16) &lt;= rmap_registers_wr_i.aeb_gen_cfg_reserved_bc8.reserved(23 downto 16);</t>
  </si>
  <si>
    <t xml:space="preserve">      avalon_mm_rmap_o.readdata(31 downto 24) &lt;= rmap_registers_wr_i.aeb_gen_cfg_reserved_bc8.reserved(31 downto 24);</t>
  </si>
  <si>
    <t xml:space="preserve">  when (16#3AD#) =&gt;</t>
  </si>
  <si>
    <t xml:space="preserve">      -- AEB General Configuration Area Register "RESERVED_BCC" : "RESERVED" Field</t>
  </si>
  <si>
    <t xml:space="preserve">      avalon_mm_rmap_o.readdata(7 downto 0) &lt;= rmap_registers_wr_i.aeb_gen_cfg_reserved_bcc.reserved(7 downto 0);</t>
  </si>
  <si>
    <t xml:space="preserve">      avalon_mm_rmap_o.readdata(15 downto 8) &lt;= rmap_registers_wr_i.aeb_gen_cfg_reserved_bcc.reserved(15 downto 8);</t>
  </si>
  <si>
    <t xml:space="preserve">      avalon_mm_rmap_o.readdata(23 downto 16) &lt;= rmap_registers_wr_i.aeb_gen_cfg_reserved_bcc.reserved(23 downto 16);</t>
  </si>
  <si>
    <t xml:space="preserve">      avalon_mm_rmap_o.readdata(31 downto 24) &lt;= rmap_registers_wr_i.aeb_gen_cfg_reserved_bcc.reserved(31 downto 24);</t>
  </si>
  <si>
    <t xml:space="preserve">  when (16#3AE#) =&gt;</t>
  </si>
  <si>
    <t xml:space="preserve">      -- AEB General Configuration Area Register "RESERVED_BD0" : "RESERVED" Field</t>
  </si>
  <si>
    <t xml:space="preserve">      avalon_mm_rmap_o.readdata(7 downto 0) &lt;= rmap_registers_wr_i.aeb_gen_cfg_reserved_bd0.reserved(7 downto 0);</t>
  </si>
  <si>
    <t xml:space="preserve">      avalon_mm_rmap_o.readdata(15 downto 8) &lt;= rmap_registers_wr_i.aeb_gen_cfg_reserved_bd0.reserved(15 downto 8);</t>
  </si>
  <si>
    <t xml:space="preserve">      avalon_mm_rmap_o.readdata(23 downto 16) &lt;= rmap_registers_wr_i.aeb_gen_cfg_reserved_bd0.reserved(23 downto 16);</t>
  </si>
  <si>
    <t xml:space="preserve">      avalon_mm_rmap_o.readdata(31 downto 24) &lt;= rmap_registers_wr_i.aeb_gen_cfg_reserved_bd0.reserved(31 downto 24);</t>
  </si>
  <si>
    <t xml:space="preserve">  when (16#3AF#) =&gt;</t>
  </si>
  <si>
    <t xml:space="preserve">      -- AEB General Configuration Area Register "RESERVED_BD4" : "RESERVED" Field</t>
  </si>
  <si>
    <t xml:space="preserve">      avalon_mm_rmap_o.readdata(7 downto 0) &lt;= rmap_registers_wr_i.aeb_gen_cfg_reserved_bd4.reserved(7 downto 0);</t>
  </si>
  <si>
    <t xml:space="preserve">      avalon_mm_rmap_o.readdata(15 downto 8) &lt;= rmap_registers_wr_i.aeb_gen_cfg_reserved_bd4.reserved(15 downto 8);</t>
  </si>
  <si>
    <t xml:space="preserve">      avalon_mm_rmap_o.readdata(23 downto 16) &lt;= rmap_registers_wr_i.aeb_gen_cfg_reserved_bd4.reserved(23 downto 16);</t>
  </si>
  <si>
    <t xml:space="preserve">      avalon_mm_rmap_o.readdata(31 downto 24) &lt;= rmap_registers_wr_i.aeb_gen_cfg_reserved_bd4.reserved(31 downto 24);</t>
  </si>
  <si>
    <t xml:space="preserve">  when (16#3B0#) =&gt;</t>
  </si>
  <si>
    <t xml:space="preserve">      -- AEB General Configuration Area Register "RESERVED_BD8" : "RESERVED" Field</t>
  </si>
  <si>
    <t xml:space="preserve">      avalon_mm_rmap_o.readdata(7 downto 0) &lt;= rmap_registers_wr_i.aeb_gen_cfg_reserved_bd8.reserved(7 downto 0);</t>
  </si>
  <si>
    <t xml:space="preserve">      avalon_mm_rmap_o.readdata(15 downto 8) &lt;= rmap_registers_wr_i.aeb_gen_cfg_reserved_bd8.reserved(15 downto 8);</t>
  </si>
  <si>
    <t xml:space="preserve">      avalon_mm_rmap_o.readdata(23 downto 16) &lt;= rmap_registers_wr_i.aeb_gen_cfg_reserved_bd8.reserved(23 downto 16);</t>
  </si>
  <si>
    <t xml:space="preserve">      avalon_mm_rmap_o.readdata(31 downto 24) &lt;= rmap_registers_wr_i.aeb_gen_cfg_reserved_bd8.reserved(31 downto 24);</t>
  </si>
  <si>
    <t xml:space="preserve">  when (16#3B1#) =&gt;</t>
  </si>
  <si>
    <t xml:space="preserve">      -- AEB General Configuration Area Register "RESERVED_BDC" : "RESERVED" Field</t>
  </si>
  <si>
    <t xml:space="preserve">      avalon_mm_rmap_o.readdata(7 downto 0) &lt;= rmap_registers_wr_i.aeb_gen_cfg_reserved_bdc.reserved(7 downto 0);</t>
  </si>
  <si>
    <t xml:space="preserve">      avalon_mm_rmap_o.readdata(15 downto 8) &lt;= rmap_registers_wr_i.aeb_gen_cfg_reserved_bdc.reserved(15 downto 8);</t>
  </si>
  <si>
    <t xml:space="preserve">      avalon_mm_rmap_o.readdata(23 downto 16) &lt;= rmap_registers_wr_i.aeb_gen_cfg_reserved_bdc.reserved(23 downto 16);</t>
  </si>
  <si>
    <t xml:space="preserve">      avalon_mm_rmap_o.readdata(31 downto 24) &lt;= rmap_registers_wr_i.aeb_gen_cfg_reserved_bdc.reserved(31 downto 24);</t>
  </si>
  <si>
    <t xml:space="preserve">  when (16#3B2#) =&gt;</t>
  </si>
  <si>
    <t xml:space="preserve">      -- AEB General Configuration Area Register "RESERVED_BE0" : "RESERVED" Field</t>
  </si>
  <si>
    <t xml:space="preserve">      avalon_mm_rmap_o.readdata(7 downto 0) &lt;= rmap_registers_wr_i.aeb_gen_cfg_reserved_be0.reserved(7 downto 0);</t>
  </si>
  <si>
    <t xml:space="preserve">      avalon_mm_rmap_o.readdata(15 downto 8) &lt;= rmap_registers_wr_i.aeb_gen_cfg_reserved_be0.reserved(15 downto 8);</t>
  </si>
  <si>
    <t xml:space="preserve">      avalon_mm_rmap_o.readdata(23 downto 16) &lt;= rmap_registers_wr_i.aeb_gen_cfg_reserved_be0.reserved(23 downto 16);</t>
  </si>
  <si>
    <t xml:space="preserve">      avalon_mm_rmap_o.readdata(31 downto 24) &lt;= rmap_registers_wr_i.aeb_gen_cfg_reserved_be0.reserved(31 downto 24);</t>
  </si>
  <si>
    <t xml:space="preserve">  when (16#3B3#) =&gt;</t>
  </si>
  <si>
    <t xml:space="preserve">      -- AEB General Configuration Area Register "RESERVED_BE4" : "RESERVED" Field</t>
  </si>
  <si>
    <t xml:space="preserve">      avalon_mm_rmap_o.readdata(7 downto 0) &lt;= rmap_registers_wr_i.aeb_gen_cfg_reserved_be4.reserved(7 downto 0);</t>
  </si>
  <si>
    <t xml:space="preserve">      avalon_mm_rmap_o.readdata(15 downto 8) &lt;= rmap_registers_wr_i.aeb_gen_cfg_reserved_be4.reserved(15 downto 8);</t>
  </si>
  <si>
    <t xml:space="preserve">      avalon_mm_rmap_o.readdata(23 downto 16) &lt;= rmap_registers_wr_i.aeb_gen_cfg_reserved_be4.reserved(23 downto 16);</t>
  </si>
  <si>
    <t xml:space="preserve">      avalon_mm_rmap_o.readdata(31 downto 24) &lt;= rmap_registers_wr_i.aeb_gen_cfg_reserved_be4.reserved(31 downto 24);</t>
  </si>
  <si>
    <t xml:space="preserve">  when (16#3B4#) =&gt;</t>
  </si>
  <si>
    <t xml:space="preserve">      -- AEB General Configuration Area Register "RESERVED_BE8" : "RESERVED" Field</t>
  </si>
  <si>
    <t xml:space="preserve">      avalon_mm_rmap_o.readdata(7 downto 0) &lt;= rmap_registers_wr_i.aeb_gen_cfg_reserved_be8.reserved(7 downto 0);</t>
  </si>
  <si>
    <t xml:space="preserve">      avalon_mm_rmap_o.readdata(15 downto 8) &lt;= rmap_registers_wr_i.aeb_gen_cfg_reserved_be8.reserved(15 downto 8);</t>
  </si>
  <si>
    <t xml:space="preserve">      avalon_mm_rmap_o.readdata(23 downto 16) &lt;= rmap_registers_wr_i.aeb_gen_cfg_reserved_be8.reserved(23 downto 16);</t>
  </si>
  <si>
    <t xml:space="preserve">      avalon_mm_rmap_o.readdata(31 downto 24) &lt;= rmap_registers_wr_i.aeb_gen_cfg_reserved_be8.reserved(31 downto 24);</t>
  </si>
  <si>
    <t xml:space="preserve">  when (16#3B5#) =&gt;</t>
  </si>
  <si>
    <t xml:space="preserve">      -- AEB General Configuration Area Register "RESERVED_BEC" : "RESERVED" Field</t>
  </si>
  <si>
    <t xml:space="preserve">      avalon_mm_rmap_o.readdata(7 downto 0) &lt;= rmap_registers_wr_i.aeb_gen_cfg_reserved_bec.reserved(7 downto 0);</t>
  </si>
  <si>
    <t xml:space="preserve">      avalon_mm_rmap_o.readdata(15 downto 8) &lt;= rmap_registers_wr_i.aeb_gen_cfg_reserved_bec.reserved(15 downto 8);</t>
  </si>
  <si>
    <t xml:space="preserve">      avalon_mm_rmap_o.readdata(23 downto 16) &lt;= rmap_registers_wr_i.aeb_gen_cfg_reserved_bec.reserved(23 downto 16);</t>
  </si>
  <si>
    <t xml:space="preserve">      avalon_mm_rmap_o.readdata(31 downto 24) &lt;= rmap_registers_wr_i.aeb_gen_cfg_reserved_bec.reserved(31 downto 24);</t>
  </si>
  <si>
    <t xml:space="preserve">  when (16#3B6#) =&gt;</t>
  </si>
  <si>
    <t xml:space="preserve">      -- AEB General Configuration Area Register "RESERVED_BF0" : "RESERVED" Field</t>
  </si>
  <si>
    <t xml:space="preserve">      avalon_mm_rmap_o.readdata(7 downto 0) &lt;= rmap_registers_wr_i.aeb_gen_cfg_reserved_bf0.reserved(7 downto 0);</t>
  </si>
  <si>
    <t xml:space="preserve">      avalon_mm_rmap_o.readdata(15 downto 8) &lt;= rmap_registers_wr_i.aeb_gen_cfg_reserved_bf0.reserved(15 downto 8);</t>
  </si>
  <si>
    <t xml:space="preserve">      avalon_mm_rmap_o.readdata(23 downto 16) &lt;= rmap_registers_wr_i.aeb_gen_cfg_reserved_bf0.reserved(23 downto 16);</t>
  </si>
  <si>
    <t xml:space="preserve">      avalon_mm_rmap_o.readdata(31 downto 24) &lt;= rmap_registers_wr_i.aeb_gen_cfg_reserved_bf0.reserved(31 downto 24);</t>
  </si>
  <si>
    <t xml:space="preserve">  when (16#3B7#) =&gt;</t>
  </si>
  <si>
    <t xml:space="preserve">      -- AEB General Configuration Area Register "RESERVED_BF4" : "RESERVED" Field</t>
  </si>
  <si>
    <t xml:space="preserve">      avalon_mm_rmap_o.readdata(7 downto 0) &lt;= rmap_registers_wr_i.aeb_gen_cfg_reserved_bf4.reserved(7 downto 0);</t>
  </si>
  <si>
    <t xml:space="preserve">      avalon_mm_rmap_o.readdata(15 downto 8) &lt;= rmap_registers_wr_i.aeb_gen_cfg_reserved_bf4.reserved(15 downto 8);</t>
  </si>
  <si>
    <t xml:space="preserve">      avalon_mm_rmap_o.readdata(23 downto 16) &lt;= rmap_registers_wr_i.aeb_gen_cfg_reserved_bf4.reserved(23 downto 16);</t>
  </si>
  <si>
    <t xml:space="preserve">      avalon_mm_rmap_o.readdata(31 downto 24) &lt;= rmap_registers_wr_i.aeb_gen_cfg_reserved_bf4.reserved(31 downto 24);</t>
  </si>
  <si>
    <t xml:space="preserve">  when (16#3B8#) =&gt;</t>
  </si>
  <si>
    <t xml:space="preserve">      -- AEB General Configuration Area Register "RESERVED_BF8" : "RESERVED" Field</t>
  </si>
  <si>
    <t xml:space="preserve">      avalon_mm_rmap_o.readdata(7 downto 0) &lt;= rmap_registers_wr_i.aeb_gen_cfg_reserved_bf8.reserved(7 downto 0);</t>
  </si>
  <si>
    <t xml:space="preserve">      avalon_mm_rmap_o.readdata(15 downto 8) &lt;= rmap_registers_wr_i.aeb_gen_cfg_reserved_bf8.reserved(15 downto 8);</t>
  </si>
  <si>
    <t xml:space="preserve">      avalon_mm_rmap_o.readdata(23 downto 16) &lt;= rmap_registers_wr_i.aeb_gen_cfg_reserved_bf8.reserved(23 downto 16);</t>
  </si>
  <si>
    <t xml:space="preserve">      avalon_mm_rmap_o.readdata(31 downto 24) &lt;= rmap_registers_wr_i.aeb_gen_cfg_reserved_bf8.reserved(31 downto 24);</t>
  </si>
  <si>
    <t xml:space="preserve">  when (16#3B9#) =&gt;</t>
  </si>
  <si>
    <t xml:space="preserve">      -- AEB General Configuration Area Register "RESERVED_BFC" : "RESERVED" Field</t>
  </si>
  <si>
    <t xml:space="preserve">      avalon_mm_rmap_o.readdata(7 downto 0) &lt;= rmap_registers_wr_i.aeb_gen_cfg_reserved_bfc.reserved(7 downto 0);</t>
  </si>
  <si>
    <t xml:space="preserve">      avalon_mm_rmap_o.readdata(15 downto 8) &lt;= rmap_registers_wr_i.aeb_gen_cfg_reserved_bfc.reserved(15 downto 8);</t>
  </si>
  <si>
    <t xml:space="preserve">      avalon_mm_rmap_o.readdata(23 downto 16) &lt;= rmap_registers_wr_i.aeb_gen_cfg_reserved_bfc.reserved(23 downto 16);</t>
  </si>
  <si>
    <t xml:space="preserve">      avalon_mm_rmap_o.readdata(31 downto 24) &lt;= rmap_registers_wr_i.aeb_gen_cfg_reserved_bfc.reserved(31 downto 24);</t>
  </si>
  <si>
    <t xml:space="preserve">  when (16#3BA#) =&gt;</t>
  </si>
  <si>
    <t xml:space="preserve">      -- AEB General Configuration Area Register "RESERVED_C00" : "RESERVED" Field</t>
  </si>
  <si>
    <t xml:space="preserve">      avalon_mm_rmap_o.readdata(7 downto 0) &lt;= rmap_registers_wr_i.aeb_gen_cfg_reserved_c00.reserved(7 downto 0);</t>
  </si>
  <si>
    <t xml:space="preserve">      avalon_mm_rmap_o.readdata(15 downto 8) &lt;= rmap_registers_wr_i.aeb_gen_cfg_reserved_c00.reserved(15 downto 8);</t>
  </si>
  <si>
    <t xml:space="preserve">      avalon_mm_rmap_o.readdata(23 downto 16) &lt;= rmap_registers_wr_i.aeb_gen_cfg_reserved_c00.reserved(23 downto 16);</t>
  </si>
  <si>
    <t xml:space="preserve">      avalon_mm_rmap_o.readdata(31 downto 24) &lt;= rmap_registers_wr_i.aeb_gen_cfg_reserved_c00.reserved(31 downto 24);</t>
  </si>
  <si>
    <t xml:space="preserve">  when (16#3BB#) =&gt;</t>
  </si>
  <si>
    <t xml:space="preserve">      -- AEB General Configuration Area Register "RESERVED_C04" : "RESERVED" Field</t>
  </si>
  <si>
    <t xml:space="preserve">      avalon_mm_rmap_o.readdata(7 downto 0) &lt;= rmap_registers_wr_i.aeb_gen_cfg_reserved_c04.reserved(7 downto 0);</t>
  </si>
  <si>
    <t xml:space="preserve">      avalon_mm_rmap_o.readdata(15 downto 8) &lt;= rmap_registers_wr_i.aeb_gen_cfg_reserved_c04.reserved(15 downto 8);</t>
  </si>
  <si>
    <t xml:space="preserve">      avalon_mm_rmap_o.readdata(23 downto 16) &lt;= rmap_registers_wr_i.aeb_gen_cfg_reserved_c04.reserved(23 downto 16);</t>
  </si>
  <si>
    <t xml:space="preserve">      avalon_mm_rmap_o.readdata(31 downto 24) &lt;= rmap_registers_wr_i.aeb_gen_cfg_reserved_c04.reserved(31 downto 24);</t>
  </si>
  <si>
    <t xml:space="preserve">  when (16#3BC#) =&gt;</t>
  </si>
  <si>
    <t xml:space="preserve">      -- AEB General Configuration Area Register "RESERVED_C08" : "RESERVED" Field</t>
  </si>
  <si>
    <t xml:space="preserve">      avalon_mm_rmap_o.readdata(7 downto 0) &lt;= rmap_registers_wr_i.aeb_gen_cfg_reserved_c08.reserved(7 downto 0);</t>
  </si>
  <si>
    <t xml:space="preserve">      avalon_mm_rmap_o.readdata(15 downto 8) &lt;= rmap_registers_wr_i.aeb_gen_cfg_reserved_c08.reserved(15 downto 8);</t>
  </si>
  <si>
    <t xml:space="preserve">      avalon_mm_rmap_o.readdata(23 downto 16) &lt;= rmap_registers_wr_i.aeb_gen_cfg_reserved_c08.reserved(23 downto 16);</t>
  </si>
  <si>
    <t xml:space="preserve">      avalon_mm_rmap_o.readdata(31 downto 24) &lt;= rmap_registers_wr_i.aeb_gen_cfg_reserved_c08.reserved(31 downto 24);</t>
  </si>
  <si>
    <t xml:space="preserve">  when (16#3BD#) =&gt;</t>
  </si>
  <si>
    <t xml:space="preserve">      -- AEB General Configuration Area Register "RESERVED_C0C" : "RESERVED" Field</t>
  </si>
  <si>
    <t xml:space="preserve">      avalon_mm_rmap_o.readdata(7 downto 0) &lt;= rmap_registers_wr_i.aeb_gen_cfg_reserved_c0c.reserved(7 downto 0);</t>
  </si>
  <si>
    <t xml:space="preserve">      avalon_mm_rmap_o.readdata(15 downto 8) &lt;= rmap_registers_wr_i.aeb_gen_cfg_reserved_c0c.reserved(15 downto 8);</t>
  </si>
  <si>
    <t xml:space="preserve">      avalon_mm_rmap_o.readdata(23 downto 16) &lt;= rmap_registers_wr_i.aeb_gen_cfg_reserved_c0c.reserved(23 downto 16);</t>
  </si>
  <si>
    <t xml:space="preserve">      avalon_mm_rmap_o.readdata(31 downto 24) &lt;= rmap_registers_wr_i.aeb_gen_cfg_reserved_c0c.reserved(31 downto 24);</t>
  </si>
  <si>
    <t xml:space="preserve">  when (16#3BE#) =&gt;</t>
  </si>
  <si>
    <t xml:space="preserve">      -- AEB General Configuration Area Register "RESERVED_C10" : "RESERVED" Field</t>
  </si>
  <si>
    <t xml:space="preserve">      avalon_mm_rmap_o.readdata(7 downto 0) &lt;= rmap_registers_wr_i.aeb_gen_cfg_reserved_c10.reserved(7 downto 0);</t>
  </si>
  <si>
    <t xml:space="preserve">      avalon_mm_rmap_o.readdata(15 downto 8) &lt;= rmap_registers_wr_i.aeb_gen_cfg_reserved_c10.reserved(15 downto 8);</t>
  </si>
  <si>
    <t xml:space="preserve">      avalon_mm_rmap_o.readdata(23 downto 16) &lt;= rmap_registers_wr_i.aeb_gen_cfg_reserved_c10.reserved(23 downto 16);</t>
  </si>
  <si>
    <t xml:space="preserve">      avalon_mm_rmap_o.readdata(31 downto 24) &lt;= rmap_registers_wr_i.aeb_gen_cfg_reserved_c10.reserved(31 downto 24);</t>
  </si>
  <si>
    <t xml:space="preserve">  when (16#3BF#) =&gt;</t>
  </si>
  <si>
    <t xml:space="preserve">      -- AEB General Configuration Area Register "RESERVED_C14" : "RESERVED" Field</t>
  </si>
  <si>
    <t xml:space="preserve">      avalon_mm_rmap_o.readdata(7 downto 0) &lt;= rmap_registers_wr_i.aeb_gen_cfg_reserved_c14.reserved(7 downto 0);</t>
  </si>
  <si>
    <t xml:space="preserve">      avalon_mm_rmap_o.readdata(15 downto 8) &lt;= rmap_registers_wr_i.aeb_gen_cfg_reserved_c14.reserved(15 downto 8);</t>
  </si>
  <si>
    <t xml:space="preserve">      avalon_mm_rmap_o.readdata(23 downto 16) &lt;= rmap_registers_wr_i.aeb_gen_cfg_reserved_c14.reserved(23 downto 16);</t>
  </si>
  <si>
    <t xml:space="preserve">      avalon_mm_rmap_o.readdata(31 downto 24) &lt;= rmap_registers_wr_i.aeb_gen_cfg_reserved_c14.reserved(31 downto 24);</t>
  </si>
  <si>
    <t xml:space="preserve">  when (16#3C0#) =&gt;</t>
  </si>
  <si>
    <t xml:space="preserve">      -- AEB General Configuration Area Register "RESERVED_C18" : "RESERVED" Field</t>
  </si>
  <si>
    <t xml:space="preserve">      avalon_mm_rmap_o.readdata(7 downto 0) &lt;= rmap_registers_wr_i.aeb_gen_cfg_reserved_c18.reserved(7 downto 0);</t>
  </si>
  <si>
    <t xml:space="preserve">      avalon_mm_rmap_o.readdata(15 downto 8) &lt;= rmap_registers_wr_i.aeb_gen_cfg_reserved_c18.reserved(15 downto 8);</t>
  </si>
  <si>
    <t xml:space="preserve">      avalon_mm_rmap_o.readdata(23 downto 16) &lt;= rmap_registers_wr_i.aeb_gen_cfg_reserved_c18.reserved(23 downto 16);</t>
  </si>
  <si>
    <t xml:space="preserve">      avalon_mm_rmap_o.readdata(31 downto 24) &lt;= rmap_registers_wr_i.aeb_gen_cfg_reserved_c18.reserved(31 downto 24);</t>
  </si>
  <si>
    <t xml:space="preserve">  when (16#3C1#) =&gt;</t>
  </si>
  <si>
    <t xml:space="preserve">      -- AEB General Configuration Area Register "RESERVED_C1C" : "RESERVED" Field</t>
  </si>
  <si>
    <t xml:space="preserve">      avalon_mm_rmap_o.readdata(7 downto 0) &lt;= rmap_registers_wr_i.aeb_gen_cfg_reserved_c1c.reserved(7 downto 0);</t>
  </si>
  <si>
    <t xml:space="preserve">      avalon_mm_rmap_o.readdata(15 downto 8) &lt;= rmap_registers_wr_i.aeb_gen_cfg_reserved_c1c.reserved(15 downto 8);</t>
  </si>
  <si>
    <t xml:space="preserve">      avalon_mm_rmap_o.readdata(23 downto 16) &lt;= rmap_registers_wr_i.aeb_gen_cfg_reserved_c1c.reserved(23 downto 16);</t>
  </si>
  <si>
    <t xml:space="preserve">      avalon_mm_rmap_o.readdata(31 downto 24) &lt;= rmap_registers_wr_i.aeb_gen_cfg_reserved_c1c.reserved(31 downto 24);</t>
  </si>
  <si>
    <t xml:space="preserve">  when (16#3C2#) =&gt;</t>
  </si>
  <si>
    <t xml:space="preserve">      -- AEB General Configuration Area Register "RESERVED_C20" : "RESERVED" Field</t>
  </si>
  <si>
    <t xml:space="preserve">      avalon_mm_rmap_o.readdata(7 downto 0) &lt;= rmap_registers_wr_i.aeb_gen_cfg_reserved_c20.reserved(7 downto 0);</t>
  </si>
  <si>
    <t xml:space="preserve">      avalon_mm_rmap_o.readdata(15 downto 8) &lt;= rmap_registers_wr_i.aeb_gen_cfg_reserved_c20.reserved(15 downto 8);</t>
  </si>
  <si>
    <t xml:space="preserve">      avalon_mm_rmap_o.readdata(23 downto 16) &lt;= rmap_registers_wr_i.aeb_gen_cfg_reserved_c20.reserved(23 downto 16);</t>
  </si>
  <si>
    <t xml:space="preserve">      avalon_mm_rmap_o.readdata(31 downto 24) &lt;= rmap_registers_wr_i.aeb_gen_cfg_reserved_c20.reserved(31 downto 24);</t>
  </si>
  <si>
    <t xml:space="preserve">  when (16#3C3#) =&gt;</t>
  </si>
  <si>
    <t xml:space="preserve">      -- AEB General Configuration Area Register "RESERVED_C24" : "RESERVED" Field</t>
  </si>
  <si>
    <t xml:space="preserve">      avalon_mm_rmap_o.readdata(7 downto 0) &lt;= rmap_registers_wr_i.aeb_gen_cfg_reserved_c24.reserved(7 downto 0);</t>
  </si>
  <si>
    <t xml:space="preserve">      avalon_mm_rmap_o.readdata(15 downto 8) &lt;= rmap_registers_wr_i.aeb_gen_cfg_reserved_c24.reserved(15 downto 8);</t>
  </si>
  <si>
    <t xml:space="preserve">      avalon_mm_rmap_o.readdata(23 downto 16) &lt;= rmap_registers_wr_i.aeb_gen_cfg_reserved_c24.reserved(23 downto 16);</t>
  </si>
  <si>
    <t xml:space="preserve">      avalon_mm_rmap_o.readdata(31 downto 24) &lt;= rmap_registers_wr_i.aeb_gen_cfg_reserved_c24.reserved(31 downto 24);</t>
  </si>
  <si>
    <t xml:space="preserve">  when (16#3C4#) =&gt;</t>
  </si>
  <si>
    <t xml:space="preserve">      -- AEB General Configuration Area Register "RESERVED_C28" : "RESERVED" Field</t>
  </si>
  <si>
    <t xml:space="preserve">      avalon_mm_rmap_o.readdata(7 downto 0) &lt;= rmap_registers_wr_i.aeb_gen_cfg_reserved_c28.reserved(7 downto 0);</t>
  </si>
  <si>
    <t xml:space="preserve">      avalon_mm_rmap_o.readdata(15 downto 8) &lt;= rmap_registers_wr_i.aeb_gen_cfg_reserved_c28.reserved(15 downto 8);</t>
  </si>
  <si>
    <t xml:space="preserve">      avalon_mm_rmap_o.readdata(23 downto 16) &lt;= rmap_registers_wr_i.aeb_gen_cfg_reserved_c28.reserved(23 downto 16);</t>
  </si>
  <si>
    <t xml:space="preserve">      avalon_mm_rmap_o.readdata(31 downto 24) &lt;= rmap_registers_wr_i.aeb_gen_cfg_reserved_c28.reserved(31 downto 24);</t>
  </si>
  <si>
    <t xml:space="preserve">  when (16#3C5#) =&gt;</t>
  </si>
  <si>
    <t xml:space="preserve">      -- AEB General Configuration Area Register "RESERVED_C2C" : "RESERVED" Field</t>
  </si>
  <si>
    <t xml:space="preserve">      avalon_mm_rmap_o.readdata(7 downto 0) &lt;= rmap_registers_wr_i.aeb_gen_cfg_reserved_c2c.reserved(7 downto 0);</t>
  </si>
  <si>
    <t xml:space="preserve">      avalon_mm_rmap_o.readdata(15 downto 8) &lt;= rmap_registers_wr_i.aeb_gen_cfg_reserved_c2c.reserved(15 downto 8);</t>
  </si>
  <si>
    <t xml:space="preserve">      avalon_mm_rmap_o.readdata(23 downto 16) &lt;= rmap_registers_wr_i.aeb_gen_cfg_reserved_c2c.reserved(23 downto 16);</t>
  </si>
  <si>
    <t xml:space="preserve">      avalon_mm_rmap_o.readdata(31 downto 24) &lt;= rmap_registers_wr_i.aeb_gen_cfg_reserved_c2c.reserved(31 downto 24);</t>
  </si>
  <si>
    <t xml:space="preserve">  when (16#3C6#) =&gt;</t>
  </si>
  <si>
    <t xml:space="preserve">      -- AEB General Configuration Area Register "RESERVED_C30" : "RESERVED" Field</t>
  </si>
  <si>
    <t xml:space="preserve">      avalon_mm_rmap_o.readdata(7 downto 0) &lt;= rmap_registers_wr_i.aeb_gen_cfg_reserved_c30.reserved(7 downto 0);</t>
  </si>
  <si>
    <t xml:space="preserve">      avalon_mm_rmap_o.readdata(15 downto 8) &lt;= rmap_registers_wr_i.aeb_gen_cfg_reserved_c30.reserved(15 downto 8);</t>
  </si>
  <si>
    <t xml:space="preserve">      avalon_mm_rmap_o.readdata(23 downto 16) &lt;= rmap_registers_wr_i.aeb_gen_cfg_reserved_c30.reserved(23 downto 16);</t>
  </si>
  <si>
    <t xml:space="preserve">      avalon_mm_rmap_o.readdata(31 downto 24) &lt;= rmap_registers_wr_i.aeb_gen_cfg_reserved_c30.reserved(31 downto 24);</t>
  </si>
  <si>
    <t xml:space="preserve">  when (16#3C7#) =&gt;</t>
  </si>
  <si>
    <t xml:space="preserve">      -- AEB General Configuration Area Register "RESERVED_C34" : "RESERVED" Field</t>
  </si>
  <si>
    <t xml:space="preserve">      avalon_mm_rmap_o.readdata(7 downto 0) &lt;= rmap_registers_wr_i.aeb_gen_cfg_reserved_c34.reserved(7 downto 0);</t>
  </si>
  <si>
    <t xml:space="preserve">      avalon_mm_rmap_o.readdata(15 downto 8) &lt;= rmap_registers_wr_i.aeb_gen_cfg_reserved_c34.reserved(15 downto 8);</t>
  </si>
  <si>
    <t xml:space="preserve">      avalon_mm_rmap_o.readdata(23 downto 16) &lt;= rmap_registers_wr_i.aeb_gen_cfg_reserved_c34.reserved(23 downto 16);</t>
  </si>
  <si>
    <t xml:space="preserve">      avalon_mm_rmap_o.readdata(31 downto 24) &lt;= rmap_registers_wr_i.aeb_gen_cfg_reserved_c34.reserved(31 downto 24);</t>
  </si>
  <si>
    <t xml:space="preserve">  when (16#3C8#) =&gt;</t>
  </si>
  <si>
    <t xml:space="preserve">      -- AEB General Configuration Area Register "RESERVED_C38" : "RESERVED" Field</t>
  </si>
  <si>
    <t xml:space="preserve">      avalon_mm_rmap_o.readdata(7 downto 0) &lt;= rmap_registers_wr_i.aeb_gen_cfg_reserved_c38.reserved(7 downto 0);</t>
  </si>
  <si>
    <t xml:space="preserve">      avalon_mm_rmap_o.readdata(15 downto 8) &lt;= rmap_registers_wr_i.aeb_gen_cfg_reserved_c38.reserved(15 downto 8);</t>
  </si>
  <si>
    <t xml:space="preserve">      avalon_mm_rmap_o.readdata(23 downto 16) &lt;= rmap_registers_wr_i.aeb_gen_cfg_reserved_c38.reserved(23 downto 16);</t>
  </si>
  <si>
    <t xml:space="preserve">      avalon_mm_rmap_o.readdata(31 downto 24) &lt;= rmap_registers_wr_i.aeb_gen_cfg_reserved_c38.reserved(31 downto 24);</t>
  </si>
  <si>
    <t xml:space="preserve">  when (16#3C9#) =&gt;</t>
  </si>
  <si>
    <t xml:space="preserve">      -- AEB General Configuration Area Register "RESERVED_C3C" : "RESERVED" Field</t>
  </si>
  <si>
    <t xml:space="preserve">      avalon_mm_rmap_o.readdata(7 downto 0) &lt;= rmap_registers_wr_i.aeb_gen_cfg_reserved_c3c.reserved(7 downto 0);</t>
  </si>
  <si>
    <t xml:space="preserve">      avalon_mm_rmap_o.readdata(15 downto 8) &lt;= rmap_registers_wr_i.aeb_gen_cfg_reserved_c3c.reserved(15 downto 8);</t>
  </si>
  <si>
    <t xml:space="preserve">      avalon_mm_rmap_o.readdata(23 downto 16) &lt;= rmap_registers_wr_i.aeb_gen_cfg_reserved_c3c.reserved(23 downto 16);</t>
  </si>
  <si>
    <t xml:space="preserve">      avalon_mm_rmap_o.readdata(31 downto 24) &lt;= rmap_registers_wr_i.aeb_gen_cfg_reserved_c3c.reserved(31 downto 24);</t>
  </si>
  <si>
    <t xml:space="preserve">  when (16#3CA#) =&gt;</t>
  </si>
  <si>
    <t xml:space="preserve">      -- AEB General Configuration Area Register "RESERVED_C40" : "RESERVED" Field</t>
  </si>
  <si>
    <t xml:space="preserve">      avalon_mm_rmap_o.readdata(7 downto 0) &lt;= rmap_registers_wr_i.aeb_gen_cfg_reserved_c40.reserved(7 downto 0);</t>
  </si>
  <si>
    <t xml:space="preserve">      avalon_mm_rmap_o.readdata(15 downto 8) &lt;= rmap_registers_wr_i.aeb_gen_cfg_reserved_c40.reserved(15 downto 8);</t>
  </si>
  <si>
    <t xml:space="preserve">      avalon_mm_rmap_o.readdata(23 downto 16) &lt;= rmap_registers_wr_i.aeb_gen_cfg_reserved_c40.reserved(23 downto 16);</t>
  </si>
  <si>
    <t xml:space="preserve">      avalon_mm_rmap_o.readdata(31 downto 24) &lt;= rmap_registers_wr_i.aeb_gen_cfg_reserved_c40.reserved(31 downto 24);</t>
  </si>
  <si>
    <t xml:space="preserve">  when (16#3CB#) =&gt;</t>
  </si>
  <si>
    <t xml:space="preserve">      -- AEB General Configuration Area Register "RESERVED_C44" : "RESERVED" Field</t>
  </si>
  <si>
    <t xml:space="preserve">      avalon_mm_rmap_o.readdata(7 downto 0) &lt;= rmap_registers_wr_i.aeb_gen_cfg_reserved_c44.reserved(7 downto 0);</t>
  </si>
  <si>
    <t xml:space="preserve">      avalon_mm_rmap_o.readdata(15 downto 8) &lt;= rmap_registers_wr_i.aeb_gen_cfg_reserved_c44.reserved(15 downto 8);</t>
  </si>
  <si>
    <t xml:space="preserve">      avalon_mm_rmap_o.readdata(23 downto 16) &lt;= rmap_registers_wr_i.aeb_gen_cfg_reserved_c44.reserved(23 downto 16);</t>
  </si>
  <si>
    <t xml:space="preserve">      avalon_mm_rmap_o.readdata(31 downto 24) &lt;= rmap_registers_wr_i.aeb_gen_cfg_reserved_c44.reserved(31 downto 24);</t>
  </si>
  <si>
    <t xml:space="preserve">  when (16#3CC#) =&gt;</t>
  </si>
  <si>
    <t xml:space="preserve">      -- AEB General Configuration Area Register "RESERVED_C48" : "RESERVED" Field</t>
  </si>
  <si>
    <t xml:space="preserve">      avalon_mm_rmap_o.readdata(7 downto 0) &lt;= rmap_registers_wr_i.aeb_gen_cfg_reserved_c48.reserved(7 downto 0);</t>
  </si>
  <si>
    <t xml:space="preserve">      avalon_mm_rmap_o.readdata(15 downto 8) &lt;= rmap_registers_wr_i.aeb_gen_cfg_reserved_c48.reserved(15 downto 8);</t>
  </si>
  <si>
    <t xml:space="preserve">      avalon_mm_rmap_o.readdata(23 downto 16) &lt;= rmap_registers_wr_i.aeb_gen_cfg_reserved_c48.reserved(23 downto 16);</t>
  </si>
  <si>
    <t xml:space="preserve">      avalon_mm_rmap_o.readdata(31 downto 24) &lt;= rmap_registers_wr_i.aeb_gen_cfg_reserved_c48.reserved(31 downto 24);</t>
  </si>
  <si>
    <t xml:space="preserve">  when (16#3CD#) =&gt;</t>
  </si>
  <si>
    <t xml:space="preserve">      -- AEB General Configuration Area Register "RESERVED_C4C" : "RESERVED" Field</t>
  </si>
  <si>
    <t xml:space="preserve">      avalon_mm_rmap_o.readdata(7 downto 0) &lt;= rmap_registers_wr_i.aeb_gen_cfg_reserved_c4c.reserved(7 downto 0);</t>
  </si>
  <si>
    <t xml:space="preserve">      avalon_mm_rmap_o.readdata(15 downto 8) &lt;= rmap_registers_wr_i.aeb_gen_cfg_reserved_c4c.reserved(15 downto 8);</t>
  </si>
  <si>
    <t xml:space="preserve">      avalon_mm_rmap_o.readdata(23 downto 16) &lt;= rmap_registers_wr_i.aeb_gen_cfg_reserved_c4c.reserved(23 downto 16);</t>
  </si>
  <si>
    <t xml:space="preserve">      avalon_mm_rmap_o.readdata(31 downto 24) &lt;= rmap_registers_wr_i.aeb_gen_cfg_reserved_c4c.reserved(31 downto 24);</t>
  </si>
  <si>
    <t xml:space="preserve">  when (16#3CE#) =&gt;</t>
  </si>
  <si>
    <t xml:space="preserve">      -- AEB General Configuration Area Register "RESERVED_C50" : "RESERVED" Field</t>
  </si>
  <si>
    <t xml:space="preserve">      avalon_mm_rmap_o.readdata(7 downto 0) &lt;= rmap_registers_wr_i.aeb_gen_cfg_reserved_c50.reserved(7 downto 0);</t>
  </si>
  <si>
    <t xml:space="preserve">      avalon_mm_rmap_o.readdata(15 downto 8) &lt;= rmap_registers_wr_i.aeb_gen_cfg_reserved_c50.reserved(15 downto 8);</t>
  </si>
  <si>
    <t xml:space="preserve">      avalon_mm_rmap_o.readdata(23 downto 16) &lt;= rmap_registers_wr_i.aeb_gen_cfg_reserved_c50.reserved(23 downto 16);</t>
  </si>
  <si>
    <t xml:space="preserve">      avalon_mm_rmap_o.readdata(31 downto 24) &lt;= rmap_registers_wr_i.aeb_gen_cfg_reserved_c50.reserved(31 downto 24);</t>
  </si>
  <si>
    <t xml:space="preserve">  when (16#3CF#) =&gt;</t>
  </si>
  <si>
    <t xml:space="preserve">      -- AEB General Configuration Area Register "RESERVED_C54" : "RESERVED" Field</t>
  </si>
  <si>
    <t xml:space="preserve">      avalon_mm_rmap_o.readdata(7 downto 0) &lt;= rmap_registers_wr_i.aeb_gen_cfg_reserved_c54.reserved(7 downto 0);</t>
  </si>
  <si>
    <t xml:space="preserve">      avalon_mm_rmap_o.readdata(15 downto 8) &lt;= rmap_registers_wr_i.aeb_gen_cfg_reserved_c54.reserved(15 downto 8);</t>
  </si>
  <si>
    <t xml:space="preserve">      avalon_mm_rmap_o.readdata(23 downto 16) &lt;= rmap_registers_wr_i.aeb_gen_cfg_reserved_c54.reserved(23 downto 16);</t>
  </si>
  <si>
    <t xml:space="preserve">      avalon_mm_rmap_o.readdata(31 downto 24) &lt;= rmap_registers_wr_i.aeb_gen_cfg_reserved_c54.reserved(31 downto 24);</t>
  </si>
  <si>
    <t xml:space="preserve">  when (16#3D0#) =&gt;</t>
  </si>
  <si>
    <t xml:space="preserve">      -- AEB General Configuration Area Register "RESERVED_C58" : "RESERVED" Field</t>
  </si>
  <si>
    <t xml:space="preserve">      avalon_mm_rmap_o.readdata(7 downto 0) &lt;= rmap_registers_wr_i.aeb_gen_cfg_reserved_c58.reserved(7 downto 0);</t>
  </si>
  <si>
    <t xml:space="preserve">      avalon_mm_rmap_o.readdata(15 downto 8) &lt;= rmap_registers_wr_i.aeb_gen_cfg_reserved_c58.reserved(15 downto 8);</t>
  </si>
  <si>
    <t xml:space="preserve">      avalon_mm_rmap_o.readdata(23 downto 16) &lt;= rmap_registers_wr_i.aeb_gen_cfg_reserved_c58.reserved(23 downto 16);</t>
  </si>
  <si>
    <t xml:space="preserve">      avalon_mm_rmap_o.readdata(31 downto 24) &lt;= rmap_registers_wr_i.aeb_gen_cfg_reserved_c58.reserved(31 downto 24);</t>
  </si>
  <si>
    <t xml:space="preserve">  when (16#3D1#) =&gt;</t>
  </si>
  <si>
    <t xml:space="preserve">      -- AEB General Configuration Area Register "RESERVED_C5C" : "RESERVED" Field</t>
  </si>
  <si>
    <t xml:space="preserve">      avalon_mm_rmap_o.readdata(7 downto 0) &lt;= rmap_registers_wr_i.aeb_gen_cfg_reserved_c5c.reserved(7 downto 0);</t>
  </si>
  <si>
    <t xml:space="preserve">      avalon_mm_rmap_o.readdata(15 downto 8) &lt;= rmap_registers_wr_i.aeb_gen_cfg_reserved_c5c.reserved(15 downto 8);</t>
  </si>
  <si>
    <t xml:space="preserve">      avalon_mm_rmap_o.readdata(23 downto 16) &lt;= rmap_registers_wr_i.aeb_gen_cfg_reserved_c5c.reserved(23 downto 16);</t>
  </si>
  <si>
    <t xml:space="preserve">      avalon_mm_rmap_o.readdata(31 downto 24) &lt;= rmap_registers_wr_i.aeb_gen_cfg_reserved_c5c.reserved(31 downto 24);</t>
  </si>
  <si>
    <t xml:space="preserve">  when (16#3D2#) =&gt;</t>
  </si>
  <si>
    <t xml:space="preserve">      -- AEB General Configuration Area Register "RESERVED_C60" : "RESERVED" Field</t>
  </si>
  <si>
    <t xml:space="preserve">      avalon_mm_rmap_o.readdata(7 downto 0) &lt;= rmap_registers_wr_i.aeb_gen_cfg_reserved_c60.reserved(7 downto 0);</t>
  </si>
  <si>
    <t xml:space="preserve">      avalon_mm_rmap_o.readdata(15 downto 8) &lt;= rmap_registers_wr_i.aeb_gen_cfg_reserved_c60.reserved(15 downto 8);</t>
  </si>
  <si>
    <t xml:space="preserve">      avalon_mm_rmap_o.readdata(23 downto 16) &lt;= rmap_registers_wr_i.aeb_gen_cfg_reserved_c60.reserved(23 downto 16);</t>
  </si>
  <si>
    <t xml:space="preserve">      avalon_mm_rmap_o.readdata(31 downto 24) &lt;= rmap_registers_wr_i.aeb_gen_cfg_reserved_c60.reserved(31 downto 24);</t>
  </si>
  <si>
    <t xml:space="preserve">  when (16#3D3#) =&gt;</t>
  </si>
  <si>
    <t xml:space="preserve">      -- AEB General Configuration Area Register "RESERVED_C64" : "RESERVED" Field</t>
  </si>
  <si>
    <t xml:space="preserve">      avalon_mm_rmap_o.readdata(7 downto 0) &lt;= rmap_registers_wr_i.aeb_gen_cfg_reserved_c64.reserved(7 downto 0);</t>
  </si>
  <si>
    <t xml:space="preserve">      avalon_mm_rmap_o.readdata(15 downto 8) &lt;= rmap_registers_wr_i.aeb_gen_cfg_reserved_c64.reserved(15 downto 8);</t>
  </si>
  <si>
    <t xml:space="preserve">      avalon_mm_rmap_o.readdata(23 downto 16) &lt;= rmap_registers_wr_i.aeb_gen_cfg_reserved_c64.reserved(23 downto 16);</t>
  </si>
  <si>
    <t xml:space="preserve">      avalon_mm_rmap_o.readdata(31 downto 24) &lt;= rmap_registers_wr_i.aeb_gen_cfg_reserved_c64.reserved(31 downto 24);</t>
  </si>
  <si>
    <t xml:space="preserve">  when (16#3D4#) =&gt;</t>
  </si>
  <si>
    <t xml:space="preserve">      -- AEB General Configuration Area Register "RESERVED_C68" : "RESERVED" Field</t>
  </si>
  <si>
    <t xml:space="preserve">      avalon_mm_rmap_o.readdata(7 downto 0) &lt;= rmap_registers_wr_i.aeb_gen_cfg_reserved_c68.reserved(7 downto 0);</t>
  </si>
  <si>
    <t xml:space="preserve">      avalon_mm_rmap_o.readdata(15 downto 8) &lt;= rmap_registers_wr_i.aeb_gen_cfg_reserved_c68.reserved(15 downto 8);</t>
  </si>
  <si>
    <t xml:space="preserve">      avalon_mm_rmap_o.readdata(23 downto 16) &lt;= rmap_registers_wr_i.aeb_gen_cfg_reserved_c68.reserved(23 downto 16);</t>
  </si>
  <si>
    <t xml:space="preserve">      avalon_mm_rmap_o.readdata(31 downto 24) &lt;= rmap_registers_wr_i.aeb_gen_cfg_reserved_c68.reserved(31 downto 24);</t>
  </si>
  <si>
    <t xml:space="preserve">  when (16#3D5#) =&gt;</t>
  </si>
  <si>
    <t xml:space="preserve">      -- AEB General Configuration Area Register "RESERVED_C6C" : "RESERVED" Field</t>
  </si>
  <si>
    <t xml:space="preserve">      avalon_mm_rmap_o.readdata(7 downto 0) &lt;= rmap_registers_wr_i.aeb_gen_cfg_reserved_c6c.reserved(7 downto 0);</t>
  </si>
  <si>
    <t xml:space="preserve">      avalon_mm_rmap_o.readdata(15 downto 8) &lt;= rmap_registers_wr_i.aeb_gen_cfg_reserved_c6c.reserved(15 downto 8);</t>
  </si>
  <si>
    <t xml:space="preserve">      avalon_mm_rmap_o.readdata(23 downto 16) &lt;= rmap_registers_wr_i.aeb_gen_cfg_reserved_c6c.reserved(23 downto 16);</t>
  </si>
  <si>
    <t xml:space="preserve">      avalon_mm_rmap_o.readdata(31 downto 24) &lt;= rmap_registers_wr_i.aeb_gen_cfg_reserved_c6c.reserved(31 downto 24);</t>
  </si>
  <si>
    <t xml:space="preserve">  when (16#3D6#) =&gt;</t>
  </si>
  <si>
    <t xml:space="preserve">      -- AEB General Configuration Area Register "RESERVED_C70" : "RESERVED" Field</t>
  </si>
  <si>
    <t xml:space="preserve">      avalon_mm_rmap_o.readdata(7 downto 0) &lt;= rmap_registers_wr_i.aeb_gen_cfg_reserved_c70.reserved(7 downto 0);</t>
  </si>
  <si>
    <t xml:space="preserve">      avalon_mm_rmap_o.readdata(15 downto 8) &lt;= rmap_registers_wr_i.aeb_gen_cfg_reserved_c70.reserved(15 downto 8);</t>
  </si>
  <si>
    <t xml:space="preserve">      avalon_mm_rmap_o.readdata(23 downto 16) &lt;= rmap_registers_wr_i.aeb_gen_cfg_reserved_c70.reserved(23 downto 16);</t>
  </si>
  <si>
    <t xml:space="preserve">      avalon_mm_rmap_o.readdata(31 downto 24) &lt;= rmap_registers_wr_i.aeb_gen_cfg_reserved_c70.reserved(31 downto 24);</t>
  </si>
  <si>
    <t xml:space="preserve">  when (16#3D7#) =&gt;</t>
  </si>
  <si>
    <t xml:space="preserve">      -- AEB General Configuration Area Register "RESERVED_C74" : "RESERVED" Field</t>
  </si>
  <si>
    <t xml:space="preserve">      avalon_mm_rmap_o.readdata(7 downto 0) &lt;= rmap_registers_wr_i.aeb_gen_cfg_reserved_c74.reserved(7 downto 0);</t>
  </si>
  <si>
    <t xml:space="preserve">      avalon_mm_rmap_o.readdata(15 downto 8) &lt;= rmap_registers_wr_i.aeb_gen_cfg_reserved_c74.reserved(15 downto 8);</t>
  </si>
  <si>
    <t xml:space="preserve">      avalon_mm_rmap_o.readdata(23 downto 16) &lt;= rmap_registers_wr_i.aeb_gen_cfg_reserved_c74.reserved(23 downto 16);</t>
  </si>
  <si>
    <t xml:space="preserve">      avalon_mm_rmap_o.readdata(31 downto 24) &lt;= rmap_registers_wr_i.aeb_gen_cfg_reserved_c74.reserved(31 downto 24);</t>
  </si>
  <si>
    <t xml:space="preserve">  when (16#3D8#) =&gt;</t>
  </si>
  <si>
    <t xml:space="preserve">      -- AEB General Configuration Area Register "RESERVED_C78" : "RESERVED" Field</t>
  </si>
  <si>
    <t xml:space="preserve">      avalon_mm_rmap_o.readdata(7 downto 0) &lt;= rmap_registers_wr_i.aeb_gen_cfg_reserved_c78.reserved(7 downto 0);</t>
  </si>
  <si>
    <t xml:space="preserve">      avalon_mm_rmap_o.readdata(15 downto 8) &lt;= rmap_registers_wr_i.aeb_gen_cfg_reserved_c78.reserved(15 downto 8);</t>
  </si>
  <si>
    <t xml:space="preserve">      avalon_mm_rmap_o.readdata(23 downto 16) &lt;= rmap_registers_wr_i.aeb_gen_cfg_reserved_c78.reserved(23 downto 16);</t>
  </si>
  <si>
    <t xml:space="preserve">      avalon_mm_rmap_o.readdata(31 downto 24) &lt;= rmap_registers_wr_i.aeb_gen_cfg_reserved_c78.reserved(31 downto 24);</t>
  </si>
  <si>
    <t xml:space="preserve">  when (16#3D9#) =&gt;</t>
  </si>
  <si>
    <t xml:space="preserve">      -- AEB General Configuration Area Register "RESERVED_C7C" : "RESERVED" Field</t>
  </si>
  <si>
    <t xml:space="preserve">      avalon_mm_rmap_o.readdata(7 downto 0) &lt;= rmap_registers_wr_i.aeb_gen_cfg_reserved_c7c.reserved(7 downto 0);</t>
  </si>
  <si>
    <t xml:space="preserve">      avalon_mm_rmap_o.readdata(15 downto 8) &lt;= rmap_registers_wr_i.aeb_gen_cfg_reserved_c7c.reserved(15 downto 8);</t>
  </si>
  <si>
    <t xml:space="preserve">      avalon_mm_rmap_o.readdata(23 downto 16) &lt;= rmap_registers_wr_i.aeb_gen_cfg_reserved_c7c.reserved(23 downto 16);</t>
  </si>
  <si>
    <t xml:space="preserve">      avalon_mm_rmap_o.readdata(31 downto 24) &lt;= rmap_registers_wr_i.aeb_gen_cfg_reserved_c7c.reserved(31 downto 24);</t>
  </si>
  <si>
    <t xml:space="preserve">  when (16#3DA#) =&gt;</t>
  </si>
  <si>
    <t xml:space="preserve">      -- AEB General Configuration Area Register "RESERVED_C80" : "RESERVED" Field</t>
  </si>
  <si>
    <t xml:space="preserve">      avalon_mm_rmap_o.readdata(7 downto 0) &lt;= rmap_registers_wr_i.aeb_gen_cfg_reserved_c80.reserved(7 downto 0);</t>
  </si>
  <si>
    <t xml:space="preserve">      avalon_mm_rmap_o.readdata(15 downto 8) &lt;= rmap_registers_wr_i.aeb_gen_cfg_reserved_c80.reserved(15 downto 8);</t>
  </si>
  <si>
    <t xml:space="preserve">      avalon_mm_rmap_o.readdata(23 downto 16) &lt;= rmap_registers_wr_i.aeb_gen_cfg_reserved_c80.reserved(23 downto 16);</t>
  </si>
  <si>
    <t xml:space="preserve">      avalon_mm_rmap_o.readdata(31 downto 24) &lt;= rmap_registers_wr_i.aeb_gen_cfg_reserved_c80.reserved(31 downto 24);</t>
  </si>
  <si>
    <t xml:space="preserve">  when (16#3DB#) =&gt;</t>
  </si>
  <si>
    <t xml:space="preserve">      -- AEB General Configuration Area Register "RESERVED_C84" : "RESERVED" Field</t>
  </si>
  <si>
    <t xml:space="preserve">      avalon_mm_rmap_o.readdata(7 downto 0) &lt;= rmap_registers_wr_i.aeb_gen_cfg_reserved_c84.reserved(7 downto 0);</t>
  </si>
  <si>
    <t xml:space="preserve">      avalon_mm_rmap_o.readdata(15 downto 8) &lt;= rmap_registers_wr_i.aeb_gen_cfg_reserved_c84.reserved(15 downto 8);</t>
  </si>
  <si>
    <t xml:space="preserve">      avalon_mm_rmap_o.readdata(23 downto 16) &lt;= rmap_registers_wr_i.aeb_gen_cfg_reserved_c84.reserved(23 downto 16);</t>
  </si>
  <si>
    <t xml:space="preserve">      avalon_mm_rmap_o.readdata(31 downto 24) &lt;= rmap_registers_wr_i.aeb_gen_cfg_reserved_c84.reserved(31 downto 24);</t>
  </si>
  <si>
    <t xml:space="preserve">  when (16#3DC#) =&gt;</t>
  </si>
  <si>
    <t xml:space="preserve">      -- AEB General Configuration Area Register "RESERVED_C88" : "RESERVED" Field</t>
  </si>
  <si>
    <t xml:space="preserve">      avalon_mm_rmap_o.readdata(7 downto 0) &lt;= rmap_registers_wr_i.aeb_gen_cfg_reserved_c88.reserved(7 downto 0);</t>
  </si>
  <si>
    <t xml:space="preserve">      avalon_mm_rmap_o.readdata(15 downto 8) &lt;= rmap_registers_wr_i.aeb_gen_cfg_reserved_c88.reserved(15 downto 8);</t>
  </si>
  <si>
    <t xml:space="preserve">      avalon_mm_rmap_o.readdata(23 downto 16) &lt;= rmap_registers_wr_i.aeb_gen_cfg_reserved_c88.reserved(23 downto 16);</t>
  </si>
  <si>
    <t xml:space="preserve">      avalon_mm_rmap_o.readdata(31 downto 24) &lt;= rmap_registers_wr_i.aeb_gen_cfg_reserved_c88.reserved(31 downto 24);</t>
  </si>
  <si>
    <t xml:space="preserve">  when (16#3DD#) =&gt;</t>
  </si>
  <si>
    <t xml:space="preserve">      -- AEB General Configuration Area Register "RESERVED_C8C" : "RESERVED" Field</t>
  </si>
  <si>
    <t xml:space="preserve">      avalon_mm_rmap_o.readdata(7 downto 0) &lt;= rmap_registers_wr_i.aeb_gen_cfg_reserved_c8c.reserved(7 downto 0);</t>
  </si>
  <si>
    <t xml:space="preserve">      avalon_mm_rmap_o.readdata(15 downto 8) &lt;= rmap_registers_wr_i.aeb_gen_cfg_reserved_c8c.reserved(15 downto 8);</t>
  </si>
  <si>
    <t xml:space="preserve">      avalon_mm_rmap_o.readdata(23 downto 16) &lt;= rmap_registers_wr_i.aeb_gen_cfg_reserved_c8c.reserved(23 downto 16);</t>
  </si>
  <si>
    <t xml:space="preserve">      avalon_mm_rmap_o.readdata(31 downto 24) &lt;= rmap_registers_wr_i.aeb_gen_cfg_reserved_c8c.reserved(31 downto 24);</t>
  </si>
  <si>
    <t xml:space="preserve">  when (16#3DE#) =&gt;</t>
  </si>
  <si>
    <t xml:space="preserve">      -- AEB General Configuration Area Register "RESERVED_C90" : "RESERVED" Field</t>
  </si>
  <si>
    <t xml:space="preserve">      avalon_mm_rmap_o.readdata(7 downto 0) &lt;= rmap_registers_wr_i.aeb_gen_cfg_reserved_c90.reserved(7 downto 0);</t>
  </si>
  <si>
    <t xml:space="preserve">      avalon_mm_rmap_o.readdata(15 downto 8) &lt;= rmap_registers_wr_i.aeb_gen_cfg_reserved_c90.reserved(15 downto 8);</t>
  </si>
  <si>
    <t xml:space="preserve">      avalon_mm_rmap_o.readdata(23 downto 16) &lt;= rmap_registers_wr_i.aeb_gen_cfg_reserved_c90.reserved(23 downto 16);</t>
  </si>
  <si>
    <t xml:space="preserve">      avalon_mm_rmap_o.readdata(31 downto 24) &lt;= rmap_registers_wr_i.aeb_gen_cfg_reserved_c90.reserved(31 downto 24);</t>
  </si>
  <si>
    <t xml:space="preserve">  when (16#3DF#) =&gt;</t>
  </si>
  <si>
    <t xml:space="preserve">      -- AEB General Configuration Area Register "RESERVED_C94" : "RESERVED" Field</t>
  </si>
  <si>
    <t xml:space="preserve">      avalon_mm_rmap_o.readdata(7 downto 0) &lt;= rmap_registers_wr_i.aeb_gen_cfg_reserved_c94.reserved(7 downto 0);</t>
  </si>
  <si>
    <t xml:space="preserve">      avalon_mm_rmap_o.readdata(15 downto 8) &lt;= rmap_registers_wr_i.aeb_gen_cfg_reserved_c94.reserved(15 downto 8);</t>
  </si>
  <si>
    <t xml:space="preserve">      avalon_mm_rmap_o.readdata(23 downto 16) &lt;= rmap_registers_wr_i.aeb_gen_cfg_reserved_c94.reserved(23 downto 16);</t>
  </si>
  <si>
    <t xml:space="preserve">      avalon_mm_rmap_o.readdata(31 downto 24) &lt;= rmap_registers_wr_i.aeb_gen_cfg_reserved_c94.reserved(31 downto 24);</t>
  </si>
  <si>
    <t xml:space="preserve">  when (16#3E0#) =&gt;</t>
  </si>
  <si>
    <t xml:space="preserve">      -- AEB General Configuration Area Register "RESERVED_C98" : "RESERVED" Field</t>
  </si>
  <si>
    <t xml:space="preserve">      avalon_mm_rmap_o.readdata(7 downto 0) &lt;= rmap_registers_wr_i.aeb_gen_cfg_reserved_c98.reserved(7 downto 0);</t>
  </si>
  <si>
    <t xml:space="preserve">      avalon_mm_rmap_o.readdata(15 downto 8) &lt;= rmap_registers_wr_i.aeb_gen_cfg_reserved_c98.reserved(15 downto 8);</t>
  </si>
  <si>
    <t xml:space="preserve">      avalon_mm_rmap_o.readdata(23 downto 16) &lt;= rmap_registers_wr_i.aeb_gen_cfg_reserved_c98.reserved(23 downto 16);</t>
  </si>
  <si>
    <t xml:space="preserve">      avalon_mm_rmap_o.readdata(31 downto 24) &lt;= rmap_registers_wr_i.aeb_gen_cfg_reserved_c98.reserved(31 downto 24);</t>
  </si>
  <si>
    <t xml:space="preserve">  when (16#3E1#) =&gt;</t>
  </si>
  <si>
    <t xml:space="preserve">      -- AEB General Configuration Area Register "RESERVED_C9C" : "RESERVED" Field</t>
  </si>
  <si>
    <t xml:space="preserve">      avalon_mm_rmap_o.readdata(7 downto 0) &lt;= rmap_registers_wr_i.aeb_gen_cfg_reserved_c9c.reserved(7 downto 0);</t>
  </si>
  <si>
    <t xml:space="preserve">      avalon_mm_rmap_o.readdata(15 downto 8) &lt;= rmap_registers_wr_i.aeb_gen_cfg_reserved_c9c.reserved(15 downto 8);</t>
  </si>
  <si>
    <t xml:space="preserve">      avalon_mm_rmap_o.readdata(23 downto 16) &lt;= rmap_registers_wr_i.aeb_gen_cfg_reserved_c9c.reserved(23 downto 16);</t>
  </si>
  <si>
    <t xml:space="preserve">      avalon_mm_rmap_o.readdata(31 downto 24) &lt;= rmap_registers_wr_i.aeb_gen_cfg_reserved_c9c.reserved(31 downto 24);</t>
  </si>
  <si>
    <t xml:space="preserve">  when (16#3E2#) =&gt;</t>
  </si>
  <si>
    <t xml:space="preserve">      -- AEB General Configuration Area Register "RESERVED_CA0" : "RESERVED" Field</t>
  </si>
  <si>
    <t xml:space="preserve">      avalon_mm_rmap_o.readdata(7 downto 0) &lt;= rmap_registers_wr_i.aeb_gen_cfg_reserved_ca0.reserved(7 downto 0);</t>
  </si>
  <si>
    <t xml:space="preserve">      avalon_mm_rmap_o.readdata(15 downto 8) &lt;= rmap_registers_wr_i.aeb_gen_cfg_reserved_ca0.reserved(15 downto 8);</t>
  </si>
  <si>
    <t xml:space="preserve">      avalon_mm_rmap_o.readdata(23 downto 16) &lt;= rmap_registers_wr_i.aeb_gen_cfg_reserved_ca0.reserved(23 downto 16);</t>
  </si>
  <si>
    <t xml:space="preserve">      avalon_mm_rmap_o.readdata(31 downto 24) &lt;= rmap_registers_wr_i.aeb_gen_cfg_reserved_ca0.reserved(31 downto 24);</t>
  </si>
  <si>
    <t xml:space="preserve">  when (16#3E3#) =&gt;</t>
  </si>
  <si>
    <t xml:space="preserve">      -- AEB General Configuration Area Register "RESERVED_CA4" : "RESERVED" Field</t>
  </si>
  <si>
    <t xml:space="preserve">      avalon_mm_rmap_o.readdata(7 downto 0) &lt;= rmap_registers_wr_i.aeb_gen_cfg_reserved_ca4.reserved(7 downto 0);</t>
  </si>
  <si>
    <t xml:space="preserve">      avalon_mm_rmap_o.readdata(15 downto 8) &lt;= rmap_registers_wr_i.aeb_gen_cfg_reserved_ca4.reserved(15 downto 8);</t>
  </si>
  <si>
    <t xml:space="preserve">      avalon_mm_rmap_o.readdata(23 downto 16) &lt;= rmap_registers_wr_i.aeb_gen_cfg_reserved_ca4.reserved(23 downto 16);</t>
  </si>
  <si>
    <t xml:space="preserve">      avalon_mm_rmap_o.readdata(31 downto 24) &lt;= rmap_registers_wr_i.aeb_gen_cfg_reserved_ca4.reserved(31 downto 24);</t>
  </si>
  <si>
    <t xml:space="preserve">  when (16#3E4#) =&gt;</t>
  </si>
  <si>
    <t xml:space="preserve">      -- AEB General Configuration Area Register "RESERVED_CA8" : "RESERVED" Field</t>
  </si>
  <si>
    <t xml:space="preserve">      avalon_mm_rmap_o.readdata(7 downto 0) &lt;= rmap_registers_wr_i.aeb_gen_cfg_reserved_ca8.reserved(7 downto 0);</t>
  </si>
  <si>
    <t xml:space="preserve">      avalon_mm_rmap_o.readdata(15 downto 8) &lt;= rmap_registers_wr_i.aeb_gen_cfg_reserved_ca8.reserved(15 downto 8);</t>
  </si>
  <si>
    <t xml:space="preserve">      avalon_mm_rmap_o.readdata(23 downto 16) &lt;= rmap_registers_wr_i.aeb_gen_cfg_reserved_ca8.reserved(23 downto 16);</t>
  </si>
  <si>
    <t xml:space="preserve">      avalon_mm_rmap_o.readdata(31 downto 24) &lt;= rmap_registers_wr_i.aeb_gen_cfg_reserved_ca8.reserved(31 downto 24);</t>
  </si>
  <si>
    <t xml:space="preserve">  when (16#3E5#) =&gt;</t>
  </si>
  <si>
    <t xml:space="preserve">      -- AEB General Configuration Area Register "RESERVED_CAC" : "RESERVED" Field</t>
  </si>
  <si>
    <t xml:space="preserve">      avalon_mm_rmap_o.readdata(7 downto 0) &lt;= rmap_registers_wr_i.aeb_gen_cfg_reserved_cac.reserved(7 downto 0);</t>
  </si>
  <si>
    <t xml:space="preserve">      avalon_mm_rmap_o.readdata(15 downto 8) &lt;= rmap_registers_wr_i.aeb_gen_cfg_reserved_cac.reserved(15 downto 8);</t>
  </si>
  <si>
    <t xml:space="preserve">      avalon_mm_rmap_o.readdata(23 downto 16) &lt;= rmap_registers_wr_i.aeb_gen_cfg_reserved_cac.reserved(23 downto 16);</t>
  </si>
  <si>
    <t xml:space="preserve">      avalon_mm_rmap_o.readdata(31 downto 24) &lt;= rmap_registers_wr_i.aeb_gen_cfg_reserved_cac.reserved(31 downto 24);</t>
  </si>
  <si>
    <t xml:space="preserve">  when (16#3E6#) =&gt;</t>
  </si>
  <si>
    <t xml:space="preserve">      -- AEB General Configuration Area Register "RESERVED_CB0" : "RESERVED" Field</t>
  </si>
  <si>
    <t xml:space="preserve">      avalon_mm_rmap_o.readdata(7 downto 0) &lt;= rmap_registers_wr_i.aeb_gen_cfg_reserved_cb0.reserved(7 downto 0);</t>
  </si>
  <si>
    <t xml:space="preserve">      avalon_mm_rmap_o.readdata(15 downto 8) &lt;= rmap_registers_wr_i.aeb_gen_cfg_reserved_cb0.reserved(15 downto 8);</t>
  </si>
  <si>
    <t xml:space="preserve">      avalon_mm_rmap_o.readdata(23 downto 16) &lt;= rmap_registers_wr_i.aeb_gen_cfg_reserved_cb0.reserved(23 downto 16);</t>
  </si>
  <si>
    <t xml:space="preserve">      avalon_mm_rmap_o.readdata(31 downto 24) &lt;= rmap_registers_wr_i.aeb_gen_cfg_reserved_cb0.reserved(31 downto 24);</t>
  </si>
  <si>
    <t xml:space="preserve">  when (16#3E7#) =&gt;</t>
  </si>
  <si>
    <t xml:space="preserve">      -- AEB General Configuration Area Register "RESERVED_CB4" : "RESERVED" Field</t>
  </si>
  <si>
    <t xml:space="preserve">      avalon_mm_rmap_o.readdata(7 downto 0) &lt;= rmap_registers_wr_i.aeb_gen_cfg_reserved_cb4.reserved(7 downto 0);</t>
  </si>
  <si>
    <t xml:space="preserve">      avalon_mm_rmap_o.readdata(15 downto 8) &lt;= rmap_registers_wr_i.aeb_gen_cfg_reserved_cb4.reserved(15 downto 8);</t>
  </si>
  <si>
    <t xml:space="preserve">      avalon_mm_rmap_o.readdata(23 downto 16) &lt;= rmap_registers_wr_i.aeb_gen_cfg_reserved_cb4.reserved(23 downto 16);</t>
  </si>
  <si>
    <t xml:space="preserve">      avalon_mm_rmap_o.readdata(31 downto 24) &lt;= rmap_registers_wr_i.aeb_gen_cfg_reserved_cb4.reserved(31 downto 24);</t>
  </si>
  <si>
    <t xml:space="preserve">  when (16#3E8#) =&gt;</t>
  </si>
  <si>
    <t xml:space="preserve">      -- AEB General Configuration Area Register "RESERVED_CB8" : "RESERVED" Field</t>
  </si>
  <si>
    <t xml:space="preserve">      avalon_mm_rmap_o.readdata(7 downto 0) &lt;= rmap_registers_wr_i.aeb_gen_cfg_reserved_cb8.reserved(7 downto 0);</t>
  </si>
  <si>
    <t xml:space="preserve">      avalon_mm_rmap_o.readdata(15 downto 8) &lt;= rmap_registers_wr_i.aeb_gen_cfg_reserved_cb8.reserved(15 downto 8);</t>
  </si>
  <si>
    <t xml:space="preserve">      avalon_mm_rmap_o.readdata(23 downto 16) &lt;= rmap_registers_wr_i.aeb_gen_cfg_reserved_cb8.reserved(23 downto 16);</t>
  </si>
  <si>
    <t xml:space="preserve">      avalon_mm_rmap_o.readdata(31 downto 24) &lt;= rmap_registers_wr_i.aeb_gen_cfg_reserved_cb8.reserved(31 downto 24);</t>
  </si>
  <si>
    <t xml:space="preserve">  when (16#3E9#) =&gt;</t>
  </si>
  <si>
    <t xml:space="preserve">      -- AEB General Configuration Area Register "RESERVED_CBC" : "RESERVED" Field</t>
  </si>
  <si>
    <t xml:space="preserve">      avalon_mm_rmap_o.readdata(7 downto 0) &lt;= rmap_registers_wr_i.aeb_gen_cfg_reserved_cbc.reserved(7 downto 0);</t>
  </si>
  <si>
    <t xml:space="preserve">      avalon_mm_rmap_o.readdata(15 downto 8) &lt;= rmap_registers_wr_i.aeb_gen_cfg_reserved_cbc.reserved(15 downto 8);</t>
  </si>
  <si>
    <t xml:space="preserve">      avalon_mm_rmap_o.readdata(23 downto 16) &lt;= rmap_registers_wr_i.aeb_gen_cfg_reserved_cbc.reserved(23 downto 16);</t>
  </si>
  <si>
    <t xml:space="preserve">      avalon_mm_rmap_o.readdata(31 downto 24) &lt;= rmap_registers_wr_i.aeb_gen_cfg_reserved_cbc.reserved(31 downto 24);</t>
  </si>
  <si>
    <t xml:space="preserve">  when (16#3EA#) =&gt;</t>
  </si>
  <si>
    <t xml:space="preserve">      -- AEB General Configuration Area Register "RESERVED_CC0" : "RESERVED" Field</t>
  </si>
  <si>
    <t xml:space="preserve">      avalon_mm_rmap_o.readdata(7 downto 0) &lt;= rmap_registers_wr_i.aeb_gen_cfg_reserved_cc0.reserved(7 downto 0);</t>
  </si>
  <si>
    <t xml:space="preserve">      avalon_mm_rmap_o.readdata(15 downto 8) &lt;= rmap_registers_wr_i.aeb_gen_cfg_reserved_cc0.reserved(15 downto 8);</t>
  </si>
  <si>
    <t xml:space="preserve">      avalon_mm_rmap_o.readdata(23 downto 16) &lt;= rmap_registers_wr_i.aeb_gen_cfg_reserved_cc0.reserved(23 downto 16);</t>
  </si>
  <si>
    <t xml:space="preserve">      avalon_mm_rmap_o.readdata(31 downto 24) &lt;= rmap_registers_wr_i.aeb_gen_cfg_reserved_cc0.reserved(31 downto 24);</t>
  </si>
  <si>
    <t xml:space="preserve">  when (16#3EB#) =&gt;</t>
  </si>
  <si>
    <t xml:space="preserve">      -- AEB General Configuration Area Register "RESERVED_CC4" : "RESERVED" Field</t>
  </si>
  <si>
    <t xml:space="preserve">      avalon_mm_rmap_o.readdata(7 downto 0) &lt;= rmap_registers_wr_i.aeb_gen_cfg_reserved_cc4.reserved(7 downto 0);</t>
  </si>
  <si>
    <t xml:space="preserve">      avalon_mm_rmap_o.readdata(15 downto 8) &lt;= rmap_registers_wr_i.aeb_gen_cfg_reserved_cc4.reserved(15 downto 8);</t>
  </si>
  <si>
    <t xml:space="preserve">      avalon_mm_rmap_o.readdata(23 downto 16) &lt;= rmap_registers_wr_i.aeb_gen_cfg_reserved_cc4.reserved(23 downto 16);</t>
  </si>
  <si>
    <t xml:space="preserve">      avalon_mm_rmap_o.readdata(31 downto 24) &lt;= rmap_registers_wr_i.aeb_gen_cfg_reserved_cc4.reserved(31 downto 24);</t>
  </si>
  <si>
    <t xml:space="preserve">  when (16#3EC#) =&gt;</t>
  </si>
  <si>
    <t xml:space="preserve">      -- AEB General Configuration Area Register "RESERVED_CC8" : "RESERVED" Field</t>
  </si>
  <si>
    <t xml:space="preserve">      avalon_mm_rmap_o.readdata(7 downto 0) &lt;= rmap_registers_wr_i.aeb_gen_cfg_reserved_cc8.reserved(7 downto 0);</t>
  </si>
  <si>
    <t xml:space="preserve">      avalon_mm_rmap_o.readdata(15 downto 8) &lt;= rmap_registers_wr_i.aeb_gen_cfg_reserved_cc8.reserved(15 downto 8);</t>
  </si>
  <si>
    <t xml:space="preserve">      avalon_mm_rmap_o.readdata(23 downto 16) &lt;= rmap_registers_wr_i.aeb_gen_cfg_reserved_cc8.reserved(23 downto 16);</t>
  </si>
  <si>
    <t xml:space="preserve">      avalon_mm_rmap_o.readdata(31 downto 24) &lt;= rmap_registers_wr_i.aeb_gen_cfg_reserved_cc8.reserved(31 downto 24);</t>
  </si>
  <si>
    <t xml:space="preserve">  when (16#3ED#) =&gt;</t>
  </si>
  <si>
    <t xml:space="preserve">      -- AEB General Configuration Area Register "RESERVED_CCC" : "RESERVED" Field</t>
  </si>
  <si>
    <t xml:space="preserve">      avalon_mm_rmap_o.readdata(7 downto 0) &lt;= rmap_registers_wr_i.aeb_gen_cfg_reserved_ccc.reserved(7 downto 0);</t>
  </si>
  <si>
    <t xml:space="preserve">      avalon_mm_rmap_o.readdata(15 downto 8) &lt;= rmap_registers_wr_i.aeb_gen_cfg_reserved_ccc.reserved(15 downto 8);</t>
  </si>
  <si>
    <t xml:space="preserve">      avalon_mm_rmap_o.readdata(23 downto 16) &lt;= rmap_registers_wr_i.aeb_gen_cfg_reserved_ccc.reserved(23 downto 16);</t>
  </si>
  <si>
    <t xml:space="preserve">      avalon_mm_rmap_o.readdata(31 downto 24) &lt;= rmap_registers_wr_i.aeb_gen_cfg_reserved_ccc.reserved(31 downto 24);</t>
  </si>
  <si>
    <t xml:space="preserve">  when (16#3EE#) =&gt;</t>
  </si>
  <si>
    <t xml:space="preserve">      -- AEB General Configuration Area Register "RESERVED_CD0" : "RESERVED" Field</t>
  </si>
  <si>
    <t xml:space="preserve">      avalon_mm_rmap_o.readdata(7 downto 0) &lt;= rmap_registers_wr_i.aeb_gen_cfg_reserved_cd0.reserved(7 downto 0);</t>
  </si>
  <si>
    <t xml:space="preserve">      avalon_mm_rmap_o.readdata(15 downto 8) &lt;= rmap_registers_wr_i.aeb_gen_cfg_reserved_cd0.reserved(15 downto 8);</t>
  </si>
  <si>
    <t xml:space="preserve">      avalon_mm_rmap_o.readdata(23 downto 16) &lt;= rmap_registers_wr_i.aeb_gen_cfg_reserved_cd0.reserved(23 downto 16);</t>
  </si>
  <si>
    <t xml:space="preserve">      avalon_mm_rmap_o.readdata(31 downto 24) &lt;= rmap_registers_wr_i.aeb_gen_cfg_reserved_cd0.reserved(31 downto 24);</t>
  </si>
  <si>
    <t xml:space="preserve">  when (16#3EF#) =&gt;</t>
  </si>
  <si>
    <t xml:space="preserve">      -- AEB General Configuration Area Register "RESERVED_CD4" : "RESERVED" Field</t>
  </si>
  <si>
    <t xml:space="preserve">      avalon_mm_rmap_o.readdata(7 downto 0) &lt;= rmap_registers_wr_i.aeb_gen_cfg_reserved_cd4.reserved(7 downto 0);</t>
  </si>
  <si>
    <t xml:space="preserve">      avalon_mm_rmap_o.readdata(15 downto 8) &lt;= rmap_registers_wr_i.aeb_gen_cfg_reserved_cd4.reserved(15 downto 8);</t>
  </si>
  <si>
    <t xml:space="preserve">      avalon_mm_rmap_o.readdata(23 downto 16) &lt;= rmap_registers_wr_i.aeb_gen_cfg_reserved_cd4.reserved(23 downto 16);</t>
  </si>
  <si>
    <t xml:space="preserve">      avalon_mm_rmap_o.readdata(31 downto 24) &lt;= rmap_registers_wr_i.aeb_gen_cfg_reserved_cd4.reserved(31 downto 24);</t>
  </si>
  <si>
    <t xml:space="preserve">  when (16#3F0#) =&gt;</t>
  </si>
  <si>
    <t xml:space="preserve">      -- AEB General Configuration Area Register "RESERVED_CD8" : "RESERVED" Field</t>
  </si>
  <si>
    <t xml:space="preserve">      avalon_mm_rmap_o.readdata(7 downto 0) &lt;= rmap_registers_wr_i.aeb_gen_cfg_reserved_cd8.reserved(7 downto 0);</t>
  </si>
  <si>
    <t xml:space="preserve">      avalon_mm_rmap_o.readdata(15 downto 8) &lt;= rmap_registers_wr_i.aeb_gen_cfg_reserved_cd8.reserved(15 downto 8);</t>
  </si>
  <si>
    <t xml:space="preserve">      avalon_mm_rmap_o.readdata(23 downto 16) &lt;= rmap_registers_wr_i.aeb_gen_cfg_reserved_cd8.reserved(23 downto 16);</t>
  </si>
  <si>
    <t xml:space="preserve">      avalon_mm_rmap_o.readdata(31 downto 24) &lt;= rmap_registers_wr_i.aeb_gen_cfg_reserved_cd8.reserved(31 downto 24);</t>
  </si>
  <si>
    <t xml:space="preserve">  when (16#3F1#) =&gt;</t>
  </si>
  <si>
    <t xml:space="preserve">      -- AEB General Configuration Area Register "RESERVED_CDC" : "RESERVED" Field</t>
  </si>
  <si>
    <t xml:space="preserve">      avalon_mm_rmap_o.readdata(7 downto 0) &lt;= rmap_registers_wr_i.aeb_gen_cfg_reserved_cdc.reserved(7 downto 0);</t>
  </si>
  <si>
    <t xml:space="preserve">      avalon_mm_rmap_o.readdata(15 downto 8) &lt;= rmap_registers_wr_i.aeb_gen_cfg_reserved_cdc.reserved(15 downto 8);</t>
  </si>
  <si>
    <t xml:space="preserve">      avalon_mm_rmap_o.readdata(23 downto 16) &lt;= rmap_registers_wr_i.aeb_gen_cfg_reserved_cdc.reserved(23 downto 16);</t>
  </si>
  <si>
    <t xml:space="preserve">      avalon_mm_rmap_o.readdata(31 downto 24) &lt;= rmap_registers_wr_i.aeb_gen_cfg_reserved_cdc.reserved(31 downto 24);</t>
  </si>
  <si>
    <t xml:space="preserve">  when (16#3F2#) =&gt;</t>
  </si>
  <si>
    <t xml:space="preserve">      -- AEB General Configuration Area Register "RESERVED_CE0" : "RESERVED" Field</t>
  </si>
  <si>
    <t xml:space="preserve">      avalon_mm_rmap_o.readdata(7 downto 0) &lt;= rmap_registers_wr_i.aeb_gen_cfg_reserved_ce0.reserved(7 downto 0);</t>
  </si>
  <si>
    <t xml:space="preserve">      avalon_mm_rmap_o.readdata(15 downto 8) &lt;= rmap_registers_wr_i.aeb_gen_cfg_reserved_ce0.reserved(15 downto 8);</t>
  </si>
  <si>
    <t xml:space="preserve">      avalon_mm_rmap_o.readdata(23 downto 16) &lt;= rmap_registers_wr_i.aeb_gen_cfg_reserved_ce0.reserved(23 downto 16);</t>
  </si>
  <si>
    <t xml:space="preserve">      avalon_mm_rmap_o.readdata(31 downto 24) &lt;= rmap_registers_wr_i.aeb_gen_cfg_reserved_ce0.reserved(31 downto 24);</t>
  </si>
  <si>
    <t xml:space="preserve">  when (16#3F3#) =&gt;</t>
  </si>
  <si>
    <t xml:space="preserve">      -- AEB General Configuration Area Register "RESERVED_CE4" : "RESERVED" Field</t>
  </si>
  <si>
    <t xml:space="preserve">      avalon_mm_rmap_o.readdata(7 downto 0) &lt;= rmap_registers_wr_i.aeb_gen_cfg_reserved_ce4.reserved(7 downto 0);</t>
  </si>
  <si>
    <t xml:space="preserve">      avalon_mm_rmap_o.readdata(15 downto 8) &lt;= rmap_registers_wr_i.aeb_gen_cfg_reserved_ce4.reserved(15 downto 8);</t>
  </si>
  <si>
    <t xml:space="preserve">      avalon_mm_rmap_o.readdata(23 downto 16) &lt;= rmap_registers_wr_i.aeb_gen_cfg_reserved_ce4.reserved(23 downto 16);</t>
  </si>
  <si>
    <t xml:space="preserve">      avalon_mm_rmap_o.readdata(31 downto 24) &lt;= rmap_registers_wr_i.aeb_gen_cfg_reserved_ce4.reserved(31 downto 24);</t>
  </si>
  <si>
    <t xml:space="preserve">  when (16#3F4#) =&gt;</t>
  </si>
  <si>
    <t xml:space="preserve">      -- AEB General Configuration Area Register "RESERVED_CE8" : "RESERVED" Field</t>
  </si>
  <si>
    <t xml:space="preserve">      avalon_mm_rmap_o.readdata(7 downto 0) &lt;= rmap_registers_wr_i.aeb_gen_cfg_reserved_ce8.reserved(7 downto 0);</t>
  </si>
  <si>
    <t xml:space="preserve">      avalon_mm_rmap_o.readdata(15 downto 8) &lt;= rmap_registers_wr_i.aeb_gen_cfg_reserved_ce8.reserved(15 downto 8);</t>
  </si>
  <si>
    <t xml:space="preserve">      avalon_mm_rmap_o.readdata(23 downto 16) &lt;= rmap_registers_wr_i.aeb_gen_cfg_reserved_ce8.reserved(23 downto 16);</t>
  </si>
  <si>
    <t xml:space="preserve">      avalon_mm_rmap_o.readdata(31 downto 24) &lt;= rmap_registers_wr_i.aeb_gen_cfg_reserved_ce8.reserved(31 downto 24);</t>
  </si>
  <si>
    <t xml:space="preserve">  when (16#3F5#) =&gt;</t>
  </si>
  <si>
    <t xml:space="preserve">      -- AEB General Configuration Area Register "RESERVED_CEC" : "RESERVED" Field</t>
  </si>
  <si>
    <t xml:space="preserve">      avalon_mm_rmap_o.readdata(7 downto 0) &lt;= rmap_registers_wr_i.aeb_gen_cfg_reserved_cec.reserved(7 downto 0);</t>
  </si>
  <si>
    <t xml:space="preserve">      avalon_mm_rmap_o.readdata(15 downto 8) &lt;= rmap_registers_wr_i.aeb_gen_cfg_reserved_cec.reserved(15 downto 8);</t>
  </si>
  <si>
    <t xml:space="preserve">      avalon_mm_rmap_o.readdata(23 downto 16) &lt;= rmap_registers_wr_i.aeb_gen_cfg_reserved_cec.reserved(23 downto 16);</t>
  </si>
  <si>
    <t xml:space="preserve">      avalon_mm_rmap_o.readdata(31 downto 24) &lt;= rmap_registers_wr_i.aeb_gen_cfg_reserved_cec.reserved(31 downto 24);</t>
  </si>
  <si>
    <t xml:space="preserve">  when (16#3F6#) =&gt;</t>
  </si>
  <si>
    <t xml:space="preserve">      -- AEB General Configuration Area Register "RESERVED_CF0" : "RESERVED" Field</t>
  </si>
  <si>
    <t xml:space="preserve">      avalon_mm_rmap_o.readdata(7 downto 0) &lt;= rmap_registers_wr_i.aeb_gen_cfg_reserved_cf0.reserved(7 downto 0);</t>
  </si>
  <si>
    <t xml:space="preserve">      avalon_mm_rmap_o.readdata(15 downto 8) &lt;= rmap_registers_wr_i.aeb_gen_cfg_reserved_cf0.reserved(15 downto 8);</t>
  </si>
  <si>
    <t xml:space="preserve">      avalon_mm_rmap_o.readdata(23 downto 16) &lt;= rmap_registers_wr_i.aeb_gen_cfg_reserved_cf0.reserved(23 downto 16);</t>
  </si>
  <si>
    <t xml:space="preserve">      avalon_mm_rmap_o.readdata(31 downto 24) &lt;= rmap_registers_wr_i.aeb_gen_cfg_reserved_cf0.reserved(31 downto 24);</t>
  </si>
  <si>
    <t xml:space="preserve">  when (16#3F7#) =&gt;</t>
  </si>
  <si>
    <t xml:space="preserve">      -- AEB General Configuration Area Register "RESERVED_CF4" : "RESERVED" Field</t>
  </si>
  <si>
    <t xml:space="preserve">      avalon_mm_rmap_o.readdata(7 downto 0) &lt;= rmap_registers_wr_i.aeb_gen_cfg_reserved_cf4.reserved(7 downto 0);</t>
  </si>
  <si>
    <t xml:space="preserve">      avalon_mm_rmap_o.readdata(15 downto 8) &lt;= rmap_registers_wr_i.aeb_gen_cfg_reserved_cf4.reserved(15 downto 8);</t>
  </si>
  <si>
    <t xml:space="preserve">      avalon_mm_rmap_o.readdata(23 downto 16) &lt;= rmap_registers_wr_i.aeb_gen_cfg_reserved_cf4.reserved(23 downto 16);</t>
  </si>
  <si>
    <t xml:space="preserve">      avalon_mm_rmap_o.readdata(31 downto 24) &lt;= rmap_registers_wr_i.aeb_gen_cfg_reserved_cf4.reserved(31 downto 24);</t>
  </si>
  <si>
    <t xml:space="preserve">  when (16#3F8#) =&gt;</t>
  </si>
  <si>
    <t xml:space="preserve">      -- AEB General Configuration Area Register "RESERVED_CF8" : "RESERVED" Field</t>
  </si>
  <si>
    <t xml:space="preserve">      avalon_mm_rmap_o.readdata(7 downto 0) &lt;= rmap_registers_wr_i.aeb_gen_cfg_reserved_cf8.reserved(7 downto 0);</t>
  </si>
  <si>
    <t xml:space="preserve">      avalon_mm_rmap_o.readdata(15 downto 8) &lt;= rmap_registers_wr_i.aeb_gen_cfg_reserved_cf8.reserved(15 downto 8);</t>
  </si>
  <si>
    <t xml:space="preserve">      avalon_mm_rmap_o.readdata(23 downto 16) &lt;= rmap_registers_wr_i.aeb_gen_cfg_reserved_cf8.reserved(23 downto 16);</t>
  </si>
  <si>
    <t xml:space="preserve">      avalon_mm_rmap_o.readdata(31 downto 24) &lt;= rmap_registers_wr_i.aeb_gen_cfg_reserved_cf8.reserved(31 downto 24);</t>
  </si>
  <si>
    <t xml:space="preserve">  when (16#3F9#) =&gt;</t>
  </si>
  <si>
    <t xml:space="preserve">      -- AEB General Configuration Area Register "RESERVED_CFC" : "RESERVED" Field</t>
  </si>
  <si>
    <t xml:space="preserve">      avalon_mm_rmap_o.readdata(7 downto 0) &lt;= rmap_registers_wr_i.aeb_gen_cfg_reserved_cfc.reserved(7 downto 0);</t>
  </si>
  <si>
    <t xml:space="preserve">      avalon_mm_rmap_o.readdata(15 downto 8) &lt;= rmap_registers_wr_i.aeb_gen_cfg_reserved_cfc.reserved(15 downto 8);</t>
  </si>
  <si>
    <t xml:space="preserve">      avalon_mm_rmap_o.readdata(23 downto 16) &lt;= rmap_registers_wr_i.aeb_gen_cfg_reserved_cfc.reserved(23 downto 16);</t>
  </si>
  <si>
    <t xml:space="preserve">      avalon_mm_rmap_o.readdata(31 downto 24) &lt;= rmap_registers_wr_i.aeb_gen_cfg_reserved_cfc.reserved(31 downto 24);</t>
  </si>
  <si>
    <t xml:space="preserve">  when (16#3FA#) =&gt;</t>
  </si>
  <si>
    <t xml:space="preserve">      -- AEB General Configuration Area Register "RESERVED_D00" : "RESERVED" Field</t>
  </si>
  <si>
    <t xml:space="preserve">      avalon_mm_rmap_o.readdata(7 downto 0) &lt;= rmap_registers_wr_i.aeb_gen_cfg_reserved_d00.reserved(7 downto 0);</t>
  </si>
  <si>
    <t xml:space="preserve">      avalon_mm_rmap_o.readdata(15 downto 8) &lt;= rmap_registers_wr_i.aeb_gen_cfg_reserved_d00.reserved(15 downto 8);</t>
  </si>
  <si>
    <t xml:space="preserve">      avalon_mm_rmap_o.readdata(23 downto 16) &lt;= rmap_registers_wr_i.aeb_gen_cfg_reserved_d00.reserved(23 downto 16);</t>
  </si>
  <si>
    <t xml:space="preserve">      avalon_mm_rmap_o.readdata(31 downto 24) &lt;= rmap_registers_wr_i.aeb_gen_cfg_reserved_d00.reserved(31 downto 24);</t>
  </si>
  <si>
    <t xml:space="preserve">  when (16#3FB#) =&gt;</t>
  </si>
  <si>
    <t xml:space="preserve">      -- AEB General Configuration Area Register "RESERVED_D04" : "RESERVED" Field</t>
  </si>
  <si>
    <t xml:space="preserve">      avalon_mm_rmap_o.readdata(7 downto 0) &lt;= rmap_registers_wr_i.aeb_gen_cfg_reserved_d04.reserved(7 downto 0);</t>
  </si>
  <si>
    <t xml:space="preserve">      avalon_mm_rmap_o.readdata(15 downto 8) &lt;= rmap_registers_wr_i.aeb_gen_cfg_reserved_d04.reserved(15 downto 8);</t>
  </si>
  <si>
    <t xml:space="preserve">      avalon_mm_rmap_o.readdata(23 downto 16) &lt;= rmap_registers_wr_i.aeb_gen_cfg_reserved_d04.reserved(23 downto 16);</t>
  </si>
  <si>
    <t xml:space="preserve">      avalon_mm_rmap_o.readdata(31 downto 24) &lt;= rmap_registers_wr_i.aeb_gen_cfg_reserved_d04.reserved(31 downto 24);</t>
  </si>
  <si>
    <t xml:space="preserve">  when (16#3FC#) =&gt;</t>
  </si>
  <si>
    <t xml:space="preserve">      -- AEB General Configuration Area Register "RESERVED_D08" : "RESERVED" Field</t>
  </si>
  <si>
    <t xml:space="preserve">      avalon_mm_rmap_o.readdata(7 downto 0) &lt;= rmap_registers_wr_i.aeb_gen_cfg_reserved_d08.reserved(7 downto 0);</t>
  </si>
  <si>
    <t xml:space="preserve">      avalon_mm_rmap_o.readdata(15 downto 8) &lt;= rmap_registers_wr_i.aeb_gen_cfg_reserved_d08.reserved(15 downto 8);</t>
  </si>
  <si>
    <t xml:space="preserve">      avalon_mm_rmap_o.readdata(23 downto 16) &lt;= rmap_registers_wr_i.aeb_gen_cfg_reserved_d08.reserved(23 downto 16);</t>
  </si>
  <si>
    <t xml:space="preserve">      avalon_mm_rmap_o.readdata(31 downto 24) &lt;= rmap_registers_wr_i.aeb_gen_cfg_reserved_d08.reserved(31 downto 24);</t>
  </si>
  <si>
    <t xml:space="preserve">  when (16#3FD#) =&gt;</t>
  </si>
  <si>
    <t xml:space="preserve">      -- AEB General Configuration Area Register "RESERVED_D0C" : "RESERVED" Field</t>
  </si>
  <si>
    <t xml:space="preserve">      avalon_mm_rmap_o.readdata(7 downto 0) &lt;= rmap_registers_wr_i.aeb_gen_cfg_reserved_d0c.reserved(7 downto 0);</t>
  </si>
  <si>
    <t xml:space="preserve">      avalon_mm_rmap_o.readdata(15 downto 8) &lt;= rmap_registers_wr_i.aeb_gen_cfg_reserved_d0c.reserved(15 downto 8);</t>
  </si>
  <si>
    <t xml:space="preserve">      avalon_mm_rmap_o.readdata(23 downto 16) &lt;= rmap_registers_wr_i.aeb_gen_cfg_reserved_d0c.reserved(23 downto 16);</t>
  </si>
  <si>
    <t xml:space="preserve">      avalon_mm_rmap_o.readdata(31 downto 24) &lt;= rmap_registers_wr_i.aeb_gen_cfg_reserved_d0c.reserved(31 downto 24);</t>
  </si>
  <si>
    <t xml:space="preserve">  when (16#3FE#) =&gt;</t>
  </si>
  <si>
    <t xml:space="preserve">      -- AEB General Configuration Area Register "RESERVED_D10" : "RESERVED" Field</t>
  </si>
  <si>
    <t xml:space="preserve">      avalon_mm_rmap_o.readdata(7 downto 0) &lt;= rmap_registers_wr_i.aeb_gen_cfg_reserved_d10.reserved(7 downto 0);</t>
  </si>
  <si>
    <t xml:space="preserve">      avalon_mm_rmap_o.readdata(15 downto 8) &lt;= rmap_registers_wr_i.aeb_gen_cfg_reserved_d10.reserved(15 downto 8);</t>
  </si>
  <si>
    <t xml:space="preserve">      avalon_mm_rmap_o.readdata(23 downto 16) &lt;= rmap_registers_wr_i.aeb_gen_cfg_reserved_d10.reserved(23 downto 16);</t>
  </si>
  <si>
    <t xml:space="preserve">      avalon_mm_rmap_o.readdata(31 downto 24) &lt;= rmap_registers_wr_i.aeb_gen_cfg_reserved_d10.reserved(31 downto 24);</t>
  </si>
  <si>
    <t xml:space="preserve">  when (16#3FF#) =&gt;</t>
  </si>
  <si>
    <t xml:space="preserve">      -- AEB General Configuration Area Register "RESERVED_D14" : "RESERVED" Field</t>
  </si>
  <si>
    <t xml:space="preserve">      avalon_mm_rmap_o.readdata(7 downto 0) &lt;= rmap_registers_wr_i.aeb_gen_cfg_reserved_d14.reserved(7 downto 0);</t>
  </si>
  <si>
    <t xml:space="preserve">      avalon_mm_rmap_o.readdata(15 downto 8) &lt;= rmap_registers_wr_i.aeb_gen_cfg_reserved_d14.reserved(15 downto 8);</t>
  </si>
  <si>
    <t xml:space="preserve">      avalon_mm_rmap_o.readdata(23 downto 16) &lt;= rmap_registers_wr_i.aeb_gen_cfg_reserved_d14.reserved(23 downto 16);</t>
  </si>
  <si>
    <t xml:space="preserve">      avalon_mm_rmap_o.readdata(31 downto 24) &lt;= rmap_registers_wr_i.aeb_gen_cfg_reserved_d14.reserved(31 downto 24);</t>
  </si>
  <si>
    <t xml:space="preserve">  when (16#400#) =&gt;</t>
  </si>
  <si>
    <t xml:space="preserve">      -- AEB General Configuration Area Register "RESERVED_D18" : "RESERVED" Field</t>
  </si>
  <si>
    <t xml:space="preserve">      avalon_mm_rmap_o.readdata(7 downto 0) &lt;= rmap_registers_wr_i.aeb_gen_cfg_reserved_d18.reserved(7 downto 0);</t>
  </si>
  <si>
    <t xml:space="preserve">      avalon_mm_rmap_o.readdata(15 downto 8) &lt;= rmap_registers_wr_i.aeb_gen_cfg_reserved_d18.reserved(15 downto 8);</t>
  </si>
  <si>
    <t xml:space="preserve">      avalon_mm_rmap_o.readdata(23 downto 16) &lt;= rmap_registers_wr_i.aeb_gen_cfg_reserved_d18.reserved(23 downto 16);</t>
  </si>
  <si>
    <t xml:space="preserve">      avalon_mm_rmap_o.readdata(31 downto 24) &lt;= rmap_registers_wr_i.aeb_gen_cfg_reserved_d18.reserved(31 downto 24);</t>
  </si>
  <si>
    <t xml:space="preserve">  when (16#401#) =&gt;</t>
  </si>
  <si>
    <t xml:space="preserve">      -- AEB General Configuration Area Register "RESERVED_D1C" : "RESERVED" Field</t>
  </si>
  <si>
    <t xml:space="preserve">      avalon_mm_rmap_o.readdata(7 downto 0) &lt;= rmap_registers_wr_i.aeb_gen_cfg_reserved_d1c.reserved(7 downto 0);</t>
  </si>
  <si>
    <t xml:space="preserve">      avalon_mm_rmap_o.readdata(15 downto 8) &lt;= rmap_registers_wr_i.aeb_gen_cfg_reserved_d1c.reserved(15 downto 8);</t>
  </si>
  <si>
    <t xml:space="preserve">      avalon_mm_rmap_o.readdata(23 downto 16) &lt;= rmap_registers_wr_i.aeb_gen_cfg_reserved_d1c.reserved(23 downto 16);</t>
  </si>
  <si>
    <t xml:space="preserve">      avalon_mm_rmap_o.readdata(31 downto 24) &lt;= rmap_registers_wr_i.aeb_gen_cfg_reserved_d1c.reserved(31 downto 24);</t>
  </si>
  <si>
    <t xml:space="preserve">  when (16#402#) =&gt;</t>
  </si>
  <si>
    <t xml:space="preserve">      -- AEB General Configuration Area Register "RESERVED_D20" : "RESERVED" Field</t>
  </si>
  <si>
    <t xml:space="preserve">      avalon_mm_rmap_o.readdata(7 downto 0) &lt;= rmap_registers_wr_i.aeb_gen_cfg_reserved_d20.reserved(7 downto 0);</t>
  </si>
  <si>
    <t xml:space="preserve">      avalon_mm_rmap_o.readdata(15 downto 8) &lt;= rmap_registers_wr_i.aeb_gen_cfg_reserved_d20.reserved(15 downto 8);</t>
  </si>
  <si>
    <t xml:space="preserve">      avalon_mm_rmap_o.readdata(23 downto 16) &lt;= rmap_registers_wr_i.aeb_gen_cfg_reserved_d20.reserved(23 downto 16);</t>
  </si>
  <si>
    <t xml:space="preserve">      avalon_mm_rmap_o.readdata(31 downto 24) &lt;= rmap_registers_wr_i.aeb_gen_cfg_reserved_d20.reserved(31 downto 24);</t>
  </si>
  <si>
    <t xml:space="preserve">  when (16#403#) =&gt;</t>
  </si>
  <si>
    <t xml:space="preserve">      -- AEB General Configuration Area Register "RESERVED_D24" : "RESERVED" Field</t>
  </si>
  <si>
    <t xml:space="preserve">      avalon_mm_rmap_o.readdata(7 downto 0) &lt;= rmap_registers_wr_i.aeb_gen_cfg_reserved_d24.reserved(7 downto 0);</t>
  </si>
  <si>
    <t xml:space="preserve">      avalon_mm_rmap_o.readdata(15 downto 8) &lt;= rmap_registers_wr_i.aeb_gen_cfg_reserved_d24.reserved(15 downto 8);</t>
  </si>
  <si>
    <t xml:space="preserve">      avalon_mm_rmap_o.readdata(23 downto 16) &lt;= rmap_registers_wr_i.aeb_gen_cfg_reserved_d24.reserved(23 downto 16);</t>
  </si>
  <si>
    <t xml:space="preserve">      avalon_mm_rmap_o.readdata(31 downto 24) &lt;= rmap_registers_wr_i.aeb_gen_cfg_reserved_d24.reserved(31 downto 24);</t>
  </si>
  <si>
    <t xml:space="preserve">  when (16#404#) =&gt;</t>
  </si>
  <si>
    <t xml:space="preserve">      -- AEB General Configuration Area Register "RESERVED_D28" : "RESERVED" Field</t>
  </si>
  <si>
    <t xml:space="preserve">      avalon_mm_rmap_o.readdata(7 downto 0) &lt;= rmap_registers_wr_i.aeb_gen_cfg_reserved_d28.reserved(7 downto 0);</t>
  </si>
  <si>
    <t xml:space="preserve">      avalon_mm_rmap_o.readdata(15 downto 8) &lt;= rmap_registers_wr_i.aeb_gen_cfg_reserved_d28.reserved(15 downto 8);</t>
  </si>
  <si>
    <t xml:space="preserve">      avalon_mm_rmap_o.readdata(23 downto 16) &lt;= rmap_registers_wr_i.aeb_gen_cfg_reserved_d28.reserved(23 downto 16);</t>
  </si>
  <si>
    <t xml:space="preserve">      avalon_mm_rmap_o.readdata(31 downto 24) &lt;= rmap_registers_wr_i.aeb_gen_cfg_reserved_d28.reserved(31 downto 24);</t>
  </si>
  <si>
    <t xml:space="preserve">  when (16#405#) =&gt;</t>
  </si>
  <si>
    <t xml:space="preserve">      -- AEB General Configuration Area Register "RESERVED_D2C" : "RESERVED" Field</t>
  </si>
  <si>
    <t xml:space="preserve">      avalon_mm_rmap_o.readdata(7 downto 0) &lt;= rmap_registers_wr_i.aeb_gen_cfg_reserved_d2c.reserved(7 downto 0);</t>
  </si>
  <si>
    <t xml:space="preserve">      avalon_mm_rmap_o.readdata(15 downto 8) &lt;= rmap_registers_wr_i.aeb_gen_cfg_reserved_d2c.reserved(15 downto 8);</t>
  </si>
  <si>
    <t xml:space="preserve">      avalon_mm_rmap_o.readdata(23 downto 16) &lt;= rmap_registers_wr_i.aeb_gen_cfg_reserved_d2c.reserved(23 downto 16);</t>
  </si>
  <si>
    <t xml:space="preserve">      avalon_mm_rmap_o.readdata(31 downto 24) &lt;= rmap_registers_wr_i.aeb_gen_cfg_reserved_d2c.reserved(31 downto 24);</t>
  </si>
  <si>
    <t xml:space="preserve">  when (16#406#) =&gt;</t>
  </si>
  <si>
    <t xml:space="preserve">      -- AEB General Configuration Area Register "RESERVED_D30" : "RESERVED" Field</t>
  </si>
  <si>
    <t xml:space="preserve">      avalon_mm_rmap_o.readdata(7 downto 0) &lt;= rmap_registers_wr_i.aeb_gen_cfg_reserved_d30.reserved(7 downto 0);</t>
  </si>
  <si>
    <t xml:space="preserve">      avalon_mm_rmap_o.readdata(15 downto 8) &lt;= rmap_registers_wr_i.aeb_gen_cfg_reserved_d30.reserved(15 downto 8);</t>
  </si>
  <si>
    <t xml:space="preserve">      avalon_mm_rmap_o.readdata(23 downto 16) &lt;= rmap_registers_wr_i.aeb_gen_cfg_reserved_d30.reserved(23 downto 16);</t>
  </si>
  <si>
    <t xml:space="preserve">      avalon_mm_rmap_o.readdata(31 downto 24) &lt;= rmap_registers_wr_i.aeb_gen_cfg_reserved_d30.reserved(31 downto 24);</t>
  </si>
  <si>
    <t xml:space="preserve">  when (16#407#) =&gt;</t>
  </si>
  <si>
    <t xml:space="preserve">      -- AEB General Configuration Area Register "RESERVED_D34" : "RESERVED" Field</t>
  </si>
  <si>
    <t xml:space="preserve">      avalon_mm_rmap_o.readdata(7 downto 0) &lt;= rmap_registers_wr_i.aeb_gen_cfg_reserved_d34.reserved(7 downto 0);</t>
  </si>
  <si>
    <t xml:space="preserve">      avalon_mm_rmap_o.readdata(15 downto 8) &lt;= rmap_registers_wr_i.aeb_gen_cfg_reserved_d34.reserved(15 downto 8);</t>
  </si>
  <si>
    <t xml:space="preserve">      avalon_mm_rmap_o.readdata(23 downto 16) &lt;= rmap_registers_wr_i.aeb_gen_cfg_reserved_d34.reserved(23 downto 16);</t>
  </si>
  <si>
    <t xml:space="preserve">      avalon_mm_rmap_o.readdata(31 downto 24) &lt;= rmap_registers_wr_i.aeb_gen_cfg_reserved_d34.reserved(31 downto 24);</t>
  </si>
  <si>
    <t xml:space="preserve">  when (16#408#) =&gt;</t>
  </si>
  <si>
    <t xml:space="preserve">      -- AEB General Configuration Area Register "RESERVED_D38" : "RESERVED" Field</t>
  </si>
  <si>
    <t xml:space="preserve">      avalon_mm_rmap_o.readdata(7 downto 0) &lt;= rmap_registers_wr_i.aeb_gen_cfg_reserved_d38.reserved(7 downto 0);</t>
  </si>
  <si>
    <t xml:space="preserve">      avalon_mm_rmap_o.readdata(15 downto 8) &lt;= rmap_registers_wr_i.aeb_gen_cfg_reserved_d38.reserved(15 downto 8);</t>
  </si>
  <si>
    <t xml:space="preserve">      avalon_mm_rmap_o.readdata(23 downto 16) &lt;= rmap_registers_wr_i.aeb_gen_cfg_reserved_d38.reserved(23 downto 16);</t>
  </si>
  <si>
    <t xml:space="preserve">      avalon_mm_rmap_o.readdata(31 downto 24) &lt;= rmap_registers_wr_i.aeb_gen_cfg_reserved_d38.reserved(31 downto 24);</t>
  </si>
  <si>
    <t xml:space="preserve">  when (16#409#) =&gt;</t>
  </si>
  <si>
    <t xml:space="preserve">      -- AEB General Configuration Area Register "RESERVED_D3C" : "RESERVED" Field</t>
  </si>
  <si>
    <t xml:space="preserve">      avalon_mm_rmap_o.readdata(7 downto 0) &lt;= rmap_registers_wr_i.aeb_gen_cfg_reserved_d3c.reserved(7 downto 0);</t>
  </si>
  <si>
    <t xml:space="preserve">      avalon_mm_rmap_o.readdata(15 downto 8) &lt;= rmap_registers_wr_i.aeb_gen_cfg_reserved_d3c.reserved(15 downto 8);</t>
  </si>
  <si>
    <t xml:space="preserve">      avalon_mm_rmap_o.readdata(23 downto 16) &lt;= rmap_registers_wr_i.aeb_gen_cfg_reserved_d3c.reserved(23 downto 16);</t>
  </si>
  <si>
    <t xml:space="preserve">      avalon_mm_rmap_o.readdata(31 downto 24) &lt;= rmap_registers_wr_i.aeb_gen_cfg_reserved_d3c.reserved(31 downto 24);</t>
  </si>
  <si>
    <t xml:space="preserve">  when (16#40A#) =&gt;</t>
  </si>
  <si>
    <t xml:space="preserve">      -- AEB General Configuration Area Register "RESERVED_D40" : "RESERVED" Field</t>
  </si>
  <si>
    <t xml:space="preserve">      avalon_mm_rmap_o.readdata(7 downto 0) &lt;= rmap_registers_wr_i.aeb_gen_cfg_reserved_d40.reserved(7 downto 0);</t>
  </si>
  <si>
    <t xml:space="preserve">      avalon_mm_rmap_o.readdata(15 downto 8) &lt;= rmap_registers_wr_i.aeb_gen_cfg_reserved_d40.reserved(15 downto 8);</t>
  </si>
  <si>
    <t xml:space="preserve">      avalon_mm_rmap_o.readdata(23 downto 16) &lt;= rmap_registers_wr_i.aeb_gen_cfg_reserved_d40.reserved(23 downto 16);</t>
  </si>
  <si>
    <t xml:space="preserve">      avalon_mm_rmap_o.readdata(31 downto 24) &lt;= rmap_registers_wr_i.aeb_gen_cfg_reserved_d40.reserved(31 downto 24);</t>
  </si>
  <si>
    <t xml:space="preserve">  when (16#40B#) =&gt;</t>
  </si>
  <si>
    <t xml:space="preserve">      -- AEB General Configuration Area Register "RESERVED_D44" : "RESERVED" Field</t>
  </si>
  <si>
    <t xml:space="preserve">      avalon_mm_rmap_o.readdata(7 downto 0) &lt;= rmap_registers_wr_i.aeb_gen_cfg_reserved_d44.reserved(7 downto 0);</t>
  </si>
  <si>
    <t xml:space="preserve">      avalon_mm_rmap_o.readdata(15 downto 8) &lt;= rmap_registers_wr_i.aeb_gen_cfg_reserved_d44.reserved(15 downto 8);</t>
  </si>
  <si>
    <t xml:space="preserve">      avalon_mm_rmap_o.readdata(23 downto 16) &lt;= rmap_registers_wr_i.aeb_gen_cfg_reserved_d44.reserved(23 downto 16);</t>
  </si>
  <si>
    <t xml:space="preserve">      avalon_mm_rmap_o.readdata(31 downto 24) &lt;= rmap_registers_wr_i.aeb_gen_cfg_reserved_d44.reserved(31 downto 24);</t>
  </si>
  <si>
    <t xml:space="preserve">  when (16#40C#) =&gt;</t>
  </si>
  <si>
    <t xml:space="preserve">      -- AEB General Configuration Area Register "RESERVED_D48" : "RESERVED" Field</t>
  </si>
  <si>
    <t xml:space="preserve">      avalon_mm_rmap_o.readdata(7 downto 0) &lt;= rmap_registers_wr_i.aeb_gen_cfg_reserved_d48.reserved(7 downto 0);</t>
  </si>
  <si>
    <t xml:space="preserve">      avalon_mm_rmap_o.readdata(15 downto 8) &lt;= rmap_registers_wr_i.aeb_gen_cfg_reserved_d48.reserved(15 downto 8);</t>
  </si>
  <si>
    <t xml:space="preserve">      avalon_mm_rmap_o.readdata(23 downto 16) &lt;= rmap_registers_wr_i.aeb_gen_cfg_reserved_d48.reserved(23 downto 16);</t>
  </si>
  <si>
    <t xml:space="preserve">      avalon_mm_rmap_o.readdata(31 downto 24) &lt;= rmap_registers_wr_i.aeb_gen_cfg_reserved_d48.reserved(31 downto 24);</t>
  </si>
  <si>
    <t xml:space="preserve">  when (16#40D#) =&gt;</t>
  </si>
  <si>
    <t xml:space="preserve">      -- AEB General Configuration Area Register "RESERVED_D4C" : "RESERVED" Field</t>
  </si>
  <si>
    <t xml:space="preserve">      avalon_mm_rmap_o.readdata(7 downto 0) &lt;= rmap_registers_wr_i.aeb_gen_cfg_reserved_d4c.reserved(7 downto 0);</t>
  </si>
  <si>
    <t xml:space="preserve">      avalon_mm_rmap_o.readdata(15 downto 8) &lt;= rmap_registers_wr_i.aeb_gen_cfg_reserved_d4c.reserved(15 downto 8);</t>
  </si>
  <si>
    <t xml:space="preserve">      avalon_mm_rmap_o.readdata(23 downto 16) &lt;= rmap_registers_wr_i.aeb_gen_cfg_reserved_d4c.reserved(23 downto 16);</t>
  </si>
  <si>
    <t xml:space="preserve">      avalon_mm_rmap_o.readdata(31 downto 24) &lt;= rmap_registers_wr_i.aeb_gen_cfg_reserved_d4c.reserved(31 downto 24);</t>
  </si>
  <si>
    <t xml:space="preserve">  when (16#40E#) =&gt;</t>
  </si>
  <si>
    <t xml:space="preserve">      -- AEB General Configuration Area Register "RESERVED_D50" : "RESERVED" Field</t>
  </si>
  <si>
    <t xml:space="preserve">      avalon_mm_rmap_o.readdata(7 downto 0) &lt;= rmap_registers_wr_i.aeb_gen_cfg_reserved_d50.reserved(7 downto 0);</t>
  </si>
  <si>
    <t xml:space="preserve">      avalon_mm_rmap_o.readdata(15 downto 8) &lt;= rmap_registers_wr_i.aeb_gen_cfg_reserved_d50.reserved(15 downto 8);</t>
  </si>
  <si>
    <t xml:space="preserve">      avalon_mm_rmap_o.readdata(23 downto 16) &lt;= rmap_registers_wr_i.aeb_gen_cfg_reserved_d50.reserved(23 downto 16);</t>
  </si>
  <si>
    <t xml:space="preserve">      avalon_mm_rmap_o.readdata(31 downto 24) &lt;= rmap_registers_wr_i.aeb_gen_cfg_reserved_d50.reserved(31 downto 24);</t>
  </si>
  <si>
    <t xml:space="preserve">  when (16#40F#) =&gt;</t>
  </si>
  <si>
    <t xml:space="preserve">      -- AEB General Configuration Area Register "RESERVED_D54" : "RESERVED" Field</t>
  </si>
  <si>
    <t xml:space="preserve">      avalon_mm_rmap_o.readdata(7 downto 0) &lt;= rmap_registers_wr_i.aeb_gen_cfg_reserved_d54.reserved(7 downto 0);</t>
  </si>
  <si>
    <t xml:space="preserve">      avalon_mm_rmap_o.readdata(15 downto 8) &lt;= rmap_registers_wr_i.aeb_gen_cfg_reserved_d54.reserved(15 downto 8);</t>
  </si>
  <si>
    <t xml:space="preserve">      avalon_mm_rmap_o.readdata(23 downto 16) &lt;= rmap_registers_wr_i.aeb_gen_cfg_reserved_d54.reserved(23 downto 16);</t>
  </si>
  <si>
    <t xml:space="preserve">      avalon_mm_rmap_o.readdata(31 downto 24) &lt;= rmap_registers_wr_i.aeb_gen_cfg_reserved_d54.reserved(31 downto 24);</t>
  </si>
  <si>
    <t xml:space="preserve">  when (16#410#) =&gt;</t>
  </si>
  <si>
    <t xml:space="preserve">      -- AEB General Configuration Area Register "RESERVED_D58" : "RESERVED" Field</t>
  </si>
  <si>
    <t xml:space="preserve">      avalon_mm_rmap_o.readdata(7 downto 0) &lt;= rmap_registers_wr_i.aeb_gen_cfg_reserved_d58.reserved(7 downto 0);</t>
  </si>
  <si>
    <t xml:space="preserve">      avalon_mm_rmap_o.readdata(15 downto 8) &lt;= rmap_registers_wr_i.aeb_gen_cfg_reserved_d58.reserved(15 downto 8);</t>
  </si>
  <si>
    <t xml:space="preserve">      avalon_mm_rmap_o.readdata(23 downto 16) &lt;= rmap_registers_wr_i.aeb_gen_cfg_reserved_d58.reserved(23 downto 16);</t>
  </si>
  <si>
    <t xml:space="preserve">      avalon_mm_rmap_o.readdata(31 downto 24) &lt;= rmap_registers_wr_i.aeb_gen_cfg_reserved_d58.reserved(31 downto 24);</t>
  </si>
  <si>
    <t xml:space="preserve">  when (16#411#) =&gt;</t>
  </si>
  <si>
    <t xml:space="preserve">      -- AEB General Configuration Area Register "RESERVED_D5C" : "RESERVED" Field</t>
  </si>
  <si>
    <t xml:space="preserve">      avalon_mm_rmap_o.readdata(7 downto 0) &lt;= rmap_registers_wr_i.aeb_gen_cfg_reserved_d5c.reserved(7 downto 0);</t>
  </si>
  <si>
    <t xml:space="preserve">      avalon_mm_rmap_o.readdata(15 downto 8) &lt;= rmap_registers_wr_i.aeb_gen_cfg_reserved_d5c.reserved(15 downto 8);</t>
  </si>
  <si>
    <t xml:space="preserve">      avalon_mm_rmap_o.readdata(23 downto 16) &lt;= rmap_registers_wr_i.aeb_gen_cfg_reserved_d5c.reserved(23 downto 16);</t>
  </si>
  <si>
    <t xml:space="preserve">      avalon_mm_rmap_o.readdata(31 downto 24) &lt;= rmap_registers_wr_i.aeb_gen_cfg_reserved_d5c.reserved(31 downto 24);</t>
  </si>
  <si>
    <t xml:space="preserve">  when (16#412#) =&gt;</t>
  </si>
  <si>
    <t xml:space="preserve">      -- AEB General Configuration Area Register "RESERVED_D60" : "RESERVED" Field</t>
  </si>
  <si>
    <t xml:space="preserve">      avalon_mm_rmap_o.readdata(7 downto 0) &lt;= rmap_registers_wr_i.aeb_gen_cfg_reserved_d60.reserved(7 downto 0);</t>
  </si>
  <si>
    <t xml:space="preserve">      avalon_mm_rmap_o.readdata(15 downto 8) &lt;= rmap_registers_wr_i.aeb_gen_cfg_reserved_d60.reserved(15 downto 8);</t>
  </si>
  <si>
    <t xml:space="preserve">      avalon_mm_rmap_o.readdata(23 downto 16) &lt;= rmap_registers_wr_i.aeb_gen_cfg_reserved_d60.reserved(23 downto 16);</t>
  </si>
  <si>
    <t xml:space="preserve">      avalon_mm_rmap_o.readdata(31 downto 24) &lt;= rmap_registers_wr_i.aeb_gen_cfg_reserved_d60.reserved(31 downto 24);</t>
  </si>
  <si>
    <t xml:space="preserve">  when (16#413#) =&gt;</t>
  </si>
  <si>
    <t xml:space="preserve">      -- AEB General Configuration Area Register "RESERVED_D64" : "RESERVED" Field</t>
  </si>
  <si>
    <t xml:space="preserve">      avalon_mm_rmap_o.readdata(7 downto 0) &lt;= rmap_registers_wr_i.aeb_gen_cfg_reserved_d64.reserved(7 downto 0);</t>
  </si>
  <si>
    <t xml:space="preserve">      avalon_mm_rmap_o.readdata(15 downto 8) &lt;= rmap_registers_wr_i.aeb_gen_cfg_reserved_d64.reserved(15 downto 8);</t>
  </si>
  <si>
    <t xml:space="preserve">      avalon_mm_rmap_o.readdata(23 downto 16) &lt;= rmap_registers_wr_i.aeb_gen_cfg_reserved_d64.reserved(23 downto 16);</t>
  </si>
  <si>
    <t xml:space="preserve">      avalon_mm_rmap_o.readdata(31 downto 24) &lt;= rmap_registers_wr_i.aeb_gen_cfg_reserved_d64.reserved(31 downto 24);</t>
  </si>
  <si>
    <t xml:space="preserve">  when (16#414#) =&gt;</t>
  </si>
  <si>
    <t xml:space="preserve">      -- AEB General Configuration Area Register "RESERVED_D68" : "RESERVED" Field</t>
  </si>
  <si>
    <t xml:space="preserve">      avalon_mm_rmap_o.readdata(7 downto 0) &lt;= rmap_registers_wr_i.aeb_gen_cfg_reserved_d68.reserved(7 downto 0);</t>
  </si>
  <si>
    <t xml:space="preserve">      avalon_mm_rmap_o.readdata(15 downto 8) &lt;= rmap_registers_wr_i.aeb_gen_cfg_reserved_d68.reserved(15 downto 8);</t>
  </si>
  <si>
    <t xml:space="preserve">      avalon_mm_rmap_o.readdata(23 downto 16) &lt;= rmap_registers_wr_i.aeb_gen_cfg_reserved_d68.reserved(23 downto 16);</t>
  </si>
  <si>
    <t xml:space="preserve">      avalon_mm_rmap_o.readdata(31 downto 24) &lt;= rmap_registers_wr_i.aeb_gen_cfg_reserved_d68.reserved(31 downto 24);</t>
  </si>
  <si>
    <t xml:space="preserve">  when (16#415#) =&gt;</t>
  </si>
  <si>
    <t xml:space="preserve">      -- AEB General Configuration Area Register "RESERVED_D6C" : "RESERVED" Field</t>
  </si>
  <si>
    <t xml:space="preserve">      avalon_mm_rmap_o.readdata(7 downto 0) &lt;= rmap_registers_wr_i.aeb_gen_cfg_reserved_d6c.reserved(7 downto 0);</t>
  </si>
  <si>
    <t xml:space="preserve">      avalon_mm_rmap_o.readdata(15 downto 8) &lt;= rmap_registers_wr_i.aeb_gen_cfg_reserved_d6c.reserved(15 downto 8);</t>
  </si>
  <si>
    <t xml:space="preserve">      avalon_mm_rmap_o.readdata(23 downto 16) &lt;= rmap_registers_wr_i.aeb_gen_cfg_reserved_d6c.reserved(23 downto 16);</t>
  </si>
  <si>
    <t xml:space="preserve">      avalon_mm_rmap_o.readdata(31 downto 24) &lt;= rmap_registers_wr_i.aeb_gen_cfg_reserved_d6c.reserved(31 downto 24);</t>
  </si>
  <si>
    <t xml:space="preserve">  when (16#416#) =&gt;</t>
  </si>
  <si>
    <t xml:space="preserve">      -- AEB General Configuration Area Register "RESERVED_D70" : "RESERVED" Field</t>
  </si>
  <si>
    <t xml:space="preserve">      avalon_mm_rmap_o.readdata(7 downto 0) &lt;= rmap_registers_wr_i.aeb_gen_cfg_reserved_d70.reserved(7 downto 0);</t>
  </si>
  <si>
    <t xml:space="preserve">      avalon_mm_rmap_o.readdata(15 downto 8) &lt;= rmap_registers_wr_i.aeb_gen_cfg_reserved_d70.reserved(15 downto 8);</t>
  </si>
  <si>
    <t xml:space="preserve">      avalon_mm_rmap_o.readdata(23 downto 16) &lt;= rmap_registers_wr_i.aeb_gen_cfg_reserved_d70.reserved(23 downto 16);</t>
  </si>
  <si>
    <t xml:space="preserve">      avalon_mm_rmap_o.readdata(31 downto 24) &lt;= rmap_registers_wr_i.aeb_gen_cfg_reserved_d70.reserved(31 downto 24);</t>
  </si>
  <si>
    <t xml:space="preserve">  when (16#417#) =&gt;</t>
  </si>
  <si>
    <t xml:space="preserve">      -- AEB General Configuration Area Register "RESERVED_D74" : "RESERVED" Field</t>
  </si>
  <si>
    <t xml:space="preserve">      avalon_mm_rmap_o.readdata(7 downto 0) &lt;= rmap_registers_wr_i.aeb_gen_cfg_reserved_d74.reserved(7 downto 0);</t>
  </si>
  <si>
    <t xml:space="preserve">      avalon_mm_rmap_o.readdata(15 downto 8) &lt;= rmap_registers_wr_i.aeb_gen_cfg_reserved_d74.reserved(15 downto 8);</t>
  </si>
  <si>
    <t xml:space="preserve">      avalon_mm_rmap_o.readdata(23 downto 16) &lt;= rmap_registers_wr_i.aeb_gen_cfg_reserved_d74.reserved(23 downto 16);</t>
  </si>
  <si>
    <t xml:space="preserve">      avalon_mm_rmap_o.readdata(31 downto 24) &lt;= rmap_registers_wr_i.aeb_gen_cfg_reserved_d74.reserved(31 downto 24);</t>
  </si>
  <si>
    <t xml:space="preserve">  when (16#418#) =&gt;</t>
  </si>
  <si>
    <t xml:space="preserve">      -- AEB General Configuration Area Register "RESERVED_D78" : "RESERVED" Field</t>
  </si>
  <si>
    <t xml:space="preserve">      avalon_mm_rmap_o.readdata(7 downto 0) &lt;= rmap_registers_wr_i.aeb_gen_cfg_reserved_d78.reserved(7 downto 0);</t>
  </si>
  <si>
    <t xml:space="preserve">      avalon_mm_rmap_o.readdata(15 downto 8) &lt;= rmap_registers_wr_i.aeb_gen_cfg_reserved_d78.reserved(15 downto 8);</t>
  </si>
  <si>
    <t xml:space="preserve">      avalon_mm_rmap_o.readdata(23 downto 16) &lt;= rmap_registers_wr_i.aeb_gen_cfg_reserved_d78.reserved(23 downto 16);</t>
  </si>
  <si>
    <t xml:space="preserve">      avalon_mm_rmap_o.readdata(31 downto 24) &lt;= rmap_registers_wr_i.aeb_gen_cfg_reserved_d78.reserved(31 downto 24);</t>
  </si>
  <si>
    <t xml:space="preserve">  when (16#419#) =&gt;</t>
  </si>
  <si>
    <t xml:space="preserve">      -- AEB General Configuration Area Register "RESERVED_D7C" : "RESERVED" Field</t>
  </si>
  <si>
    <t xml:space="preserve">      avalon_mm_rmap_o.readdata(7 downto 0) &lt;= rmap_registers_wr_i.aeb_gen_cfg_reserved_d7c.reserved(7 downto 0);</t>
  </si>
  <si>
    <t xml:space="preserve">      avalon_mm_rmap_o.readdata(15 downto 8) &lt;= rmap_registers_wr_i.aeb_gen_cfg_reserved_d7c.reserved(15 downto 8);</t>
  </si>
  <si>
    <t xml:space="preserve">      avalon_mm_rmap_o.readdata(23 downto 16) &lt;= rmap_registers_wr_i.aeb_gen_cfg_reserved_d7c.reserved(23 downto 16);</t>
  </si>
  <si>
    <t xml:space="preserve">      avalon_mm_rmap_o.readdata(31 downto 24) &lt;= rmap_registers_wr_i.aeb_gen_cfg_reserved_d7c.reserved(31 downto 24);</t>
  </si>
  <si>
    <t xml:space="preserve">  when (16#41A#) =&gt;</t>
  </si>
  <si>
    <t xml:space="preserve">      -- AEB General Configuration Area Register "RESERVED_D80" : "RESERVED" Field</t>
  </si>
  <si>
    <t xml:space="preserve">      avalon_mm_rmap_o.readdata(7 downto 0) &lt;= rmap_registers_wr_i.aeb_gen_cfg_reserved_d80.reserved(7 downto 0);</t>
  </si>
  <si>
    <t xml:space="preserve">      avalon_mm_rmap_o.readdata(15 downto 8) &lt;= rmap_registers_wr_i.aeb_gen_cfg_reserved_d80.reserved(15 downto 8);</t>
  </si>
  <si>
    <t xml:space="preserve">      avalon_mm_rmap_o.readdata(23 downto 16) &lt;= rmap_registers_wr_i.aeb_gen_cfg_reserved_d80.reserved(23 downto 16);</t>
  </si>
  <si>
    <t xml:space="preserve">      avalon_mm_rmap_o.readdata(31 downto 24) &lt;= rmap_registers_wr_i.aeb_gen_cfg_reserved_d80.reserved(31 downto 24);</t>
  </si>
  <si>
    <t xml:space="preserve">  when (16#41B#) =&gt;</t>
  </si>
  <si>
    <t xml:space="preserve">      -- AEB General Configuration Area Register "RESERVED_D84" : "RESERVED" Field</t>
  </si>
  <si>
    <t xml:space="preserve">      avalon_mm_rmap_o.readdata(7 downto 0) &lt;= rmap_registers_wr_i.aeb_gen_cfg_reserved_d84.reserved(7 downto 0);</t>
  </si>
  <si>
    <t xml:space="preserve">      avalon_mm_rmap_o.readdata(15 downto 8) &lt;= rmap_registers_wr_i.aeb_gen_cfg_reserved_d84.reserved(15 downto 8);</t>
  </si>
  <si>
    <t xml:space="preserve">      avalon_mm_rmap_o.readdata(23 downto 16) &lt;= rmap_registers_wr_i.aeb_gen_cfg_reserved_d84.reserved(23 downto 16);</t>
  </si>
  <si>
    <t xml:space="preserve">      avalon_mm_rmap_o.readdata(31 downto 24) &lt;= rmap_registers_wr_i.aeb_gen_cfg_reserved_d84.reserved(31 downto 24);</t>
  </si>
  <si>
    <t xml:space="preserve">  when (16#41C#) =&gt;</t>
  </si>
  <si>
    <t xml:space="preserve">      -- AEB General Configuration Area Register "RESERVED_D88" : "RESERVED" Field</t>
  </si>
  <si>
    <t xml:space="preserve">      avalon_mm_rmap_o.readdata(7 downto 0) &lt;= rmap_registers_wr_i.aeb_gen_cfg_reserved_d88.reserved(7 downto 0);</t>
  </si>
  <si>
    <t xml:space="preserve">      avalon_mm_rmap_o.readdata(15 downto 8) &lt;= rmap_registers_wr_i.aeb_gen_cfg_reserved_d88.reserved(15 downto 8);</t>
  </si>
  <si>
    <t xml:space="preserve">      avalon_mm_rmap_o.readdata(23 downto 16) &lt;= rmap_registers_wr_i.aeb_gen_cfg_reserved_d88.reserved(23 downto 16);</t>
  </si>
  <si>
    <t xml:space="preserve">      avalon_mm_rmap_o.readdata(31 downto 24) &lt;= rmap_registers_wr_i.aeb_gen_cfg_reserved_d88.reserved(31 downto 24);</t>
  </si>
  <si>
    <t xml:space="preserve">  when (16#41D#) =&gt;</t>
  </si>
  <si>
    <t xml:space="preserve">      -- AEB General Configuration Area Register "RESERVED_D8C" : "RESERVED" Field</t>
  </si>
  <si>
    <t xml:space="preserve">      avalon_mm_rmap_o.readdata(7 downto 0) &lt;= rmap_registers_wr_i.aeb_gen_cfg_reserved_d8c.reserved(7 downto 0);</t>
  </si>
  <si>
    <t xml:space="preserve">      avalon_mm_rmap_o.readdata(15 downto 8) &lt;= rmap_registers_wr_i.aeb_gen_cfg_reserved_d8c.reserved(15 downto 8);</t>
  </si>
  <si>
    <t xml:space="preserve">      avalon_mm_rmap_o.readdata(23 downto 16) &lt;= rmap_registers_wr_i.aeb_gen_cfg_reserved_d8c.reserved(23 downto 16);</t>
  </si>
  <si>
    <t xml:space="preserve">      avalon_mm_rmap_o.readdata(31 downto 24) &lt;= rmap_registers_wr_i.aeb_gen_cfg_reserved_d8c.reserved(31 downto 24);</t>
  </si>
  <si>
    <t xml:space="preserve">  when (16#41E#) =&gt;</t>
  </si>
  <si>
    <t xml:space="preserve">      -- AEB General Configuration Area Register "RESERVED_D90" : "RESERVED" Field</t>
  </si>
  <si>
    <t xml:space="preserve">      avalon_mm_rmap_o.readdata(7 downto 0) &lt;= rmap_registers_wr_i.aeb_gen_cfg_reserved_d90.reserved(7 downto 0);</t>
  </si>
  <si>
    <t xml:space="preserve">      avalon_mm_rmap_o.readdata(15 downto 8) &lt;= rmap_registers_wr_i.aeb_gen_cfg_reserved_d90.reserved(15 downto 8);</t>
  </si>
  <si>
    <t xml:space="preserve">      avalon_mm_rmap_o.readdata(23 downto 16) &lt;= rmap_registers_wr_i.aeb_gen_cfg_reserved_d90.reserved(23 downto 16);</t>
  </si>
  <si>
    <t xml:space="preserve">      avalon_mm_rmap_o.readdata(31 downto 24) &lt;= rmap_registers_wr_i.aeb_gen_cfg_reserved_d90.reserved(31 downto 24);</t>
  </si>
  <si>
    <t xml:space="preserve">  when (16#41F#) =&gt;</t>
  </si>
  <si>
    <t xml:space="preserve">      -- AEB General Configuration Area Register "RESERVED_D94" : "RESERVED" Field</t>
  </si>
  <si>
    <t xml:space="preserve">      avalon_mm_rmap_o.readdata(7 downto 0) &lt;= rmap_registers_wr_i.aeb_gen_cfg_reserved_d94.reserved(7 downto 0);</t>
  </si>
  <si>
    <t xml:space="preserve">      avalon_mm_rmap_o.readdata(15 downto 8) &lt;= rmap_registers_wr_i.aeb_gen_cfg_reserved_d94.reserved(15 downto 8);</t>
  </si>
  <si>
    <t xml:space="preserve">      avalon_mm_rmap_o.readdata(23 downto 16) &lt;= rmap_registers_wr_i.aeb_gen_cfg_reserved_d94.reserved(23 downto 16);</t>
  </si>
  <si>
    <t xml:space="preserve">      avalon_mm_rmap_o.readdata(31 downto 24) &lt;= rmap_registers_wr_i.aeb_gen_cfg_reserved_d94.reserved(31 downto 24);</t>
  </si>
  <si>
    <t xml:space="preserve">  when (16#420#) =&gt;</t>
  </si>
  <si>
    <t xml:space="preserve">      -- AEB General Configuration Area Register "RESERVED_D98" : "RESERVED" Field</t>
  </si>
  <si>
    <t xml:space="preserve">      avalon_mm_rmap_o.readdata(7 downto 0) &lt;= rmap_registers_wr_i.aeb_gen_cfg_reserved_d98.reserved(7 downto 0);</t>
  </si>
  <si>
    <t xml:space="preserve">      avalon_mm_rmap_o.readdata(15 downto 8) &lt;= rmap_registers_wr_i.aeb_gen_cfg_reserved_d98.reserved(15 downto 8);</t>
  </si>
  <si>
    <t xml:space="preserve">      avalon_mm_rmap_o.readdata(23 downto 16) &lt;= rmap_registers_wr_i.aeb_gen_cfg_reserved_d98.reserved(23 downto 16);</t>
  </si>
  <si>
    <t xml:space="preserve">      avalon_mm_rmap_o.readdata(31 downto 24) &lt;= rmap_registers_wr_i.aeb_gen_cfg_reserved_d98.reserved(31 downto 24);</t>
  </si>
  <si>
    <t xml:space="preserve">  when (16#421#) =&gt;</t>
  </si>
  <si>
    <t xml:space="preserve">      -- AEB General Configuration Area Register "RESERVED_D9C" : "RESERVED" Field</t>
  </si>
  <si>
    <t xml:space="preserve">      avalon_mm_rmap_o.readdata(7 downto 0) &lt;= rmap_registers_wr_i.aeb_gen_cfg_reserved_d9c.reserved(7 downto 0);</t>
  </si>
  <si>
    <t xml:space="preserve">      avalon_mm_rmap_o.readdata(15 downto 8) &lt;= rmap_registers_wr_i.aeb_gen_cfg_reserved_d9c.reserved(15 downto 8);</t>
  </si>
  <si>
    <t xml:space="preserve">      avalon_mm_rmap_o.readdata(23 downto 16) &lt;= rmap_registers_wr_i.aeb_gen_cfg_reserved_d9c.reserved(23 downto 16);</t>
  </si>
  <si>
    <t xml:space="preserve">      avalon_mm_rmap_o.readdata(31 downto 24) &lt;= rmap_registers_wr_i.aeb_gen_cfg_reserved_d9c.reserved(31 downto 24);</t>
  </si>
  <si>
    <t xml:space="preserve">  when (16#422#) =&gt;</t>
  </si>
  <si>
    <t xml:space="preserve">      -- AEB General Configuration Area Register "RESERVED_DA0" : "RESERVED" Field</t>
  </si>
  <si>
    <t xml:space="preserve">      avalon_mm_rmap_o.readdata(7 downto 0) &lt;= rmap_registers_wr_i.aeb_gen_cfg_reserved_da0.reserved(7 downto 0);</t>
  </si>
  <si>
    <t xml:space="preserve">      avalon_mm_rmap_o.readdata(15 downto 8) &lt;= rmap_registers_wr_i.aeb_gen_cfg_reserved_da0.reserved(15 downto 8);</t>
  </si>
  <si>
    <t xml:space="preserve">      avalon_mm_rmap_o.readdata(23 downto 16) &lt;= rmap_registers_wr_i.aeb_gen_cfg_reserved_da0.reserved(23 downto 16);</t>
  </si>
  <si>
    <t xml:space="preserve">      avalon_mm_rmap_o.readdata(31 downto 24) &lt;= rmap_registers_wr_i.aeb_gen_cfg_reserved_da0.reserved(31 downto 24);</t>
  </si>
  <si>
    <t xml:space="preserve">  when (16#423#) =&gt;</t>
  </si>
  <si>
    <t xml:space="preserve">      -- AEB General Configuration Area Register "RESERVED_DA4" : "RESERVED" Field</t>
  </si>
  <si>
    <t xml:space="preserve">      avalon_mm_rmap_o.readdata(7 downto 0) &lt;= rmap_registers_wr_i.aeb_gen_cfg_reserved_da4.reserved(7 downto 0);</t>
  </si>
  <si>
    <t xml:space="preserve">      avalon_mm_rmap_o.readdata(15 downto 8) &lt;= rmap_registers_wr_i.aeb_gen_cfg_reserved_da4.reserved(15 downto 8);</t>
  </si>
  <si>
    <t xml:space="preserve">      avalon_mm_rmap_o.readdata(23 downto 16) &lt;= rmap_registers_wr_i.aeb_gen_cfg_reserved_da4.reserved(23 downto 16);</t>
  </si>
  <si>
    <t xml:space="preserve">      avalon_mm_rmap_o.readdata(31 downto 24) &lt;= rmap_registers_wr_i.aeb_gen_cfg_reserved_da4.reserved(31 downto 24);</t>
  </si>
  <si>
    <t xml:space="preserve">  when (16#424#) =&gt;</t>
  </si>
  <si>
    <t xml:space="preserve">      -- AEB General Configuration Area Register "RESERVED_DA8" : "RESERVED" Field</t>
  </si>
  <si>
    <t xml:space="preserve">      avalon_mm_rmap_o.readdata(7 downto 0) &lt;= rmap_registers_wr_i.aeb_gen_cfg_reserved_da8.reserved(7 downto 0);</t>
  </si>
  <si>
    <t xml:space="preserve">      avalon_mm_rmap_o.readdata(15 downto 8) &lt;= rmap_registers_wr_i.aeb_gen_cfg_reserved_da8.reserved(15 downto 8);</t>
  </si>
  <si>
    <t xml:space="preserve">      avalon_mm_rmap_o.readdata(23 downto 16) &lt;= rmap_registers_wr_i.aeb_gen_cfg_reserved_da8.reserved(23 downto 16);</t>
  </si>
  <si>
    <t xml:space="preserve">      avalon_mm_rmap_o.readdata(31 downto 24) &lt;= rmap_registers_wr_i.aeb_gen_cfg_reserved_da8.reserved(31 downto 24);</t>
  </si>
  <si>
    <t xml:space="preserve">  when (16#425#) =&gt;</t>
  </si>
  <si>
    <t xml:space="preserve">      -- AEB General Configuration Area Register "RESERVED_DAC" : "RESERVED" Field</t>
  </si>
  <si>
    <t xml:space="preserve">      avalon_mm_rmap_o.readdata(7 downto 0) &lt;= rmap_registers_wr_i.aeb_gen_cfg_reserved_dac.reserved(7 downto 0);</t>
  </si>
  <si>
    <t xml:space="preserve">      avalon_mm_rmap_o.readdata(15 downto 8) &lt;= rmap_registers_wr_i.aeb_gen_cfg_reserved_dac.reserved(15 downto 8);</t>
  </si>
  <si>
    <t xml:space="preserve">      avalon_mm_rmap_o.readdata(23 downto 16) &lt;= rmap_registers_wr_i.aeb_gen_cfg_reserved_dac.reserved(23 downto 16);</t>
  </si>
  <si>
    <t xml:space="preserve">      avalon_mm_rmap_o.readdata(31 downto 24) &lt;= rmap_registers_wr_i.aeb_gen_cfg_reserved_dac.reserved(31 downto 24);</t>
  </si>
  <si>
    <t xml:space="preserve">  when (16#426#) =&gt;</t>
  </si>
  <si>
    <t xml:space="preserve">      -- AEB General Configuration Area Register "RESERVED_DB0" : "RESERVED" Field</t>
  </si>
  <si>
    <t xml:space="preserve">      avalon_mm_rmap_o.readdata(7 downto 0) &lt;= rmap_registers_wr_i.aeb_gen_cfg_reserved_db0.reserved(7 downto 0);</t>
  </si>
  <si>
    <t xml:space="preserve">      avalon_mm_rmap_o.readdata(15 downto 8) &lt;= rmap_registers_wr_i.aeb_gen_cfg_reserved_db0.reserved(15 downto 8);</t>
  </si>
  <si>
    <t xml:space="preserve">      avalon_mm_rmap_o.readdata(23 downto 16) &lt;= rmap_registers_wr_i.aeb_gen_cfg_reserved_db0.reserved(23 downto 16);</t>
  </si>
  <si>
    <t xml:space="preserve">      avalon_mm_rmap_o.readdata(31 downto 24) &lt;= rmap_registers_wr_i.aeb_gen_cfg_reserved_db0.reserved(31 downto 24);</t>
  </si>
  <si>
    <t xml:space="preserve">  when (16#427#) =&gt;</t>
  </si>
  <si>
    <t xml:space="preserve">      -- AEB General Configuration Area Register "RESERVED_DB4" : "RESERVED" Field</t>
  </si>
  <si>
    <t xml:space="preserve">      avalon_mm_rmap_o.readdata(7 downto 0) &lt;= rmap_registers_wr_i.aeb_gen_cfg_reserved_db4.reserved(7 downto 0);</t>
  </si>
  <si>
    <t xml:space="preserve">      avalon_mm_rmap_o.readdata(15 downto 8) &lt;= rmap_registers_wr_i.aeb_gen_cfg_reserved_db4.reserved(15 downto 8);</t>
  </si>
  <si>
    <t xml:space="preserve">      avalon_mm_rmap_o.readdata(23 downto 16) &lt;= rmap_registers_wr_i.aeb_gen_cfg_reserved_db4.reserved(23 downto 16);</t>
  </si>
  <si>
    <t xml:space="preserve">      avalon_mm_rmap_o.readdata(31 downto 24) &lt;= rmap_registers_wr_i.aeb_gen_cfg_reserved_db4.reserved(31 downto 24);</t>
  </si>
  <si>
    <t xml:space="preserve">  when (16#428#) =&gt;</t>
  </si>
  <si>
    <t xml:space="preserve">      -- AEB General Configuration Area Register "RESERVED_DB8" : "RESERVED" Field</t>
  </si>
  <si>
    <t xml:space="preserve">      avalon_mm_rmap_o.readdata(7 downto 0) &lt;= rmap_registers_wr_i.aeb_gen_cfg_reserved_db8.reserved(7 downto 0);</t>
  </si>
  <si>
    <t xml:space="preserve">      avalon_mm_rmap_o.readdata(15 downto 8) &lt;= rmap_registers_wr_i.aeb_gen_cfg_reserved_db8.reserved(15 downto 8);</t>
  </si>
  <si>
    <t xml:space="preserve">      avalon_mm_rmap_o.readdata(23 downto 16) &lt;= rmap_registers_wr_i.aeb_gen_cfg_reserved_db8.reserved(23 downto 16);</t>
  </si>
  <si>
    <t xml:space="preserve">      avalon_mm_rmap_o.readdata(31 downto 24) &lt;= rmap_registers_wr_i.aeb_gen_cfg_reserved_db8.reserved(31 downto 24);</t>
  </si>
  <si>
    <t xml:space="preserve">  when (16#429#) =&gt;</t>
  </si>
  <si>
    <t xml:space="preserve">      -- AEB General Configuration Area Register "RESERVED_DBC" : "RESERVED" Field</t>
  </si>
  <si>
    <t xml:space="preserve">      avalon_mm_rmap_o.readdata(7 downto 0) &lt;= rmap_registers_wr_i.aeb_gen_cfg_reserved_dbc.reserved(7 downto 0);</t>
  </si>
  <si>
    <t xml:space="preserve">      avalon_mm_rmap_o.readdata(15 downto 8) &lt;= rmap_registers_wr_i.aeb_gen_cfg_reserved_dbc.reserved(15 downto 8);</t>
  </si>
  <si>
    <t xml:space="preserve">      avalon_mm_rmap_o.readdata(23 downto 16) &lt;= rmap_registers_wr_i.aeb_gen_cfg_reserved_dbc.reserved(23 downto 16);</t>
  </si>
  <si>
    <t xml:space="preserve">      avalon_mm_rmap_o.readdata(31 downto 24) &lt;= rmap_registers_wr_i.aeb_gen_cfg_reserved_dbc.reserved(31 downto 24);</t>
  </si>
  <si>
    <t xml:space="preserve">  when (16#42A#) =&gt;</t>
  </si>
  <si>
    <t xml:space="preserve">      -- AEB General Configuration Area Register "RESERVED_DC0" : "RESERVED" Field</t>
  </si>
  <si>
    <t xml:space="preserve">      avalon_mm_rmap_o.readdata(7 downto 0) &lt;= rmap_registers_wr_i.aeb_gen_cfg_reserved_dc0.reserved(7 downto 0);</t>
  </si>
  <si>
    <t xml:space="preserve">      avalon_mm_rmap_o.readdata(15 downto 8) &lt;= rmap_registers_wr_i.aeb_gen_cfg_reserved_dc0.reserved(15 downto 8);</t>
  </si>
  <si>
    <t xml:space="preserve">      avalon_mm_rmap_o.readdata(23 downto 16) &lt;= rmap_registers_wr_i.aeb_gen_cfg_reserved_dc0.reserved(23 downto 16);</t>
  </si>
  <si>
    <t xml:space="preserve">      avalon_mm_rmap_o.readdata(31 downto 24) &lt;= rmap_registers_wr_i.aeb_gen_cfg_reserved_dc0.reserved(31 downto 24);</t>
  </si>
  <si>
    <t xml:space="preserve">  when (16#42B#) =&gt;</t>
  </si>
  <si>
    <t xml:space="preserve">      -- AEB General Configuration Area Register "RESERVED_DC4" : "RESERVED" Field</t>
  </si>
  <si>
    <t xml:space="preserve">      avalon_mm_rmap_o.readdata(7 downto 0) &lt;= rmap_registers_wr_i.aeb_gen_cfg_reserved_dc4.reserved(7 downto 0);</t>
  </si>
  <si>
    <t xml:space="preserve">      avalon_mm_rmap_o.readdata(15 downto 8) &lt;= rmap_registers_wr_i.aeb_gen_cfg_reserved_dc4.reserved(15 downto 8);</t>
  </si>
  <si>
    <t xml:space="preserve">      avalon_mm_rmap_o.readdata(23 downto 16) &lt;= rmap_registers_wr_i.aeb_gen_cfg_reserved_dc4.reserved(23 downto 16);</t>
  </si>
  <si>
    <t xml:space="preserve">      avalon_mm_rmap_o.readdata(31 downto 24) &lt;= rmap_registers_wr_i.aeb_gen_cfg_reserved_dc4.reserved(31 downto 24);</t>
  </si>
  <si>
    <t xml:space="preserve">  when (16#42C#) =&gt;</t>
  </si>
  <si>
    <t xml:space="preserve">      -- AEB General Configuration Area Register "RESERVED_DC8" : "RESERVED" Field</t>
  </si>
  <si>
    <t xml:space="preserve">      avalon_mm_rmap_o.readdata(7 downto 0) &lt;= rmap_registers_wr_i.aeb_gen_cfg_reserved_dc8.reserved(7 downto 0);</t>
  </si>
  <si>
    <t xml:space="preserve">      avalon_mm_rmap_o.readdata(15 downto 8) &lt;= rmap_registers_wr_i.aeb_gen_cfg_reserved_dc8.reserved(15 downto 8);</t>
  </si>
  <si>
    <t xml:space="preserve">      avalon_mm_rmap_o.readdata(23 downto 16) &lt;= rmap_registers_wr_i.aeb_gen_cfg_reserved_dc8.reserved(23 downto 16);</t>
  </si>
  <si>
    <t xml:space="preserve">      avalon_mm_rmap_o.readdata(31 downto 24) &lt;= rmap_registers_wr_i.aeb_gen_cfg_reserved_dc8.reserved(31 downto 24);</t>
  </si>
  <si>
    <t xml:space="preserve">  when (16#42D#) =&gt;</t>
  </si>
  <si>
    <t xml:space="preserve">      -- AEB General Configuration Area Register "RESERVED_DCC" : "RESERVED" Field</t>
  </si>
  <si>
    <t xml:space="preserve">      avalon_mm_rmap_o.readdata(7 downto 0) &lt;= rmap_registers_wr_i.aeb_gen_cfg_reserved_dcc.reserved(7 downto 0);</t>
  </si>
  <si>
    <t xml:space="preserve">      avalon_mm_rmap_o.readdata(15 downto 8) &lt;= rmap_registers_wr_i.aeb_gen_cfg_reserved_dcc.reserved(15 downto 8);</t>
  </si>
  <si>
    <t xml:space="preserve">      avalon_mm_rmap_o.readdata(23 downto 16) &lt;= rmap_registers_wr_i.aeb_gen_cfg_reserved_dcc.reserved(23 downto 16);</t>
  </si>
  <si>
    <t xml:space="preserve">      avalon_mm_rmap_o.readdata(31 downto 24) &lt;= rmap_registers_wr_i.aeb_gen_cfg_reserved_dcc.reserved(31 downto 24);</t>
  </si>
  <si>
    <t xml:space="preserve">  when (16#42E#) =&gt;</t>
  </si>
  <si>
    <t xml:space="preserve">      -- AEB General Configuration Area Register "RESERVED_DD0" : "RESERVED" Field</t>
  </si>
  <si>
    <t xml:space="preserve">      avalon_mm_rmap_o.readdata(7 downto 0) &lt;= rmap_registers_wr_i.aeb_gen_cfg_reserved_dd0.reserved(7 downto 0);</t>
  </si>
  <si>
    <t xml:space="preserve">      avalon_mm_rmap_o.readdata(15 downto 8) &lt;= rmap_registers_wr_i.aeb_gen_cfg_reserved_dd0.reserved(15 downto 8);</t>
  </si>
  <si>
    <t xml:space="preserve">      avalon_mm_rmap_o.readdata(23 downto 16) &lt;= rmap_registers_wr_i.aeb_gen_cfg_reserved_dd0.reserved(23 downto 16);</t>
  </si>
  <si>
    <t xml:space="preserve">      avalon_mm_rmap_o.readdata(31 downto 24) &lt;= rmap_registers_wr_i.aeb_gen_cfg_reserved_dd0.reserved(31 downto 24);</t>
  </si>
  <si>
    <t xml:space="preserve">  when (16#42F#) =&gt;</t>
  </si>
  <si>
    <t xml:space="preserve">      -- AEB General Configuration Area Register "RESERVED_DD4" : "RESERVED" Field</t>
  </si>
  <si>
    <t xml:space="preserve">      avalon_mm_rmap_o.readdata(7 downto 0) &lt;= rmap_registers_wr_i.aeb_gen_cfg_reserved_dd4.reserved(7 downto 0);</t>
  </si>
  <si>
    <t xml:space="preserve">      avalon_mm_rmap_o.readdata(15 downto 8) &lt;= rmap_registers_wr_i.aeb_gen_cfg_reserved_dd4.reserved(15 downto 8);</t>
  </si>
  <si>
    <t xml:space="preserve">      avalon_mm_rmap_o.readdata(23 downto 16) &lt;= rmap_registers_wr_i.aeb_gen_cfg_reserved_dd4.reserved(23 downto 16);</t>
  </si>
  <si>
    <t xml:space="preserve">      avalon_mm_rmap_o.readdata(31 downto 24) &lt;= rmap_registers_wr_i.aeb_gen_cfg_reserved_dd4.reserved(31 downto 24);</t>
  </si>
  <si>
    <t xml:space="preserve">  when (16#430#) =&gt;</t>
  </si>
  <si>
    <t xml:space="preserve">      -- AEB General Configuration Area Register "RESERVED_DD8" : "RESERVED" Field</t>
  </si>
  <si>
    <t xml:space="preserve">      avalon_mm_rmap_o.readdata(7 downto 0) &lt;= rmap_registers_wr_i.aeb_gen_cfg_reserved_dd8.reserved(7 downto 0);</t>
  </si>
  <si>
    <t xml:space="preserve">      avalon_mm_rmap_o.readdata(15 downto 8) &lt;= rmap_registers_wr_i.aeb_gen_cfg_reserved_dd8.reserved(15 downto 8);</t>
  </si>
  <si>
    <t xml:space="preserve">      avalon_mm_rmap_o.readdata(23 downto 16) &lt;= rmap_registers_wr_i.aeb_gen_cfg_reserved_dd8.reserved(23 downto 16);</t>
  </si>
  <si>
    <t xml:space="preserve">      avalon_mm_rmap_o.readdata(31 downto 24) &lt;= rmap_registers_wr_i.aeb_gen_cfg_reserved_dd8.reserved(31 downto 24);</t>
  </si>
  <si>
    <t xml:space="preserve">  when (16#431#) =&gt;</t>
  </si>
  <si>
    <t xml:space="preserve">      -- AEB General Configuration Area Register "RESERVED_DDC" : "RESERVED" Field</t>
  </si>
  <si>
    <t xml:space="preserve">      avalon_mm_rmap_o.readdata(7 downto 0) &lt;= rmap_registers_wr_i.aeb_gen_cfg_reserved_ddc.reserved(7 downto 0);</t>
  </si>
  <si>
    <t xml:space="preserve">      avalon_mm_rmap_o.readdata(15 downto 8) &lt;= rmap_registers_wr_i.aeb_gen_cfg_reserved_ddc.reserved(15 downto 8);</t>
  </si>
  <si>
    <t xml:space="preserve">      avalon_mm_rmap_o.readdata(23 downto 16) &lt;= rmap_registers_wr_i.aeb_gen_cfg_reserved_ddc.reserved(23 downto 16);</t>
  </si>
  <si>
    <t xml:space="preserve">      avalon_mm_rmap_o.readdata(31 downto 24) &lt;= rmap_registers_wr_i.aeb_gen_cfg_reserved_ddc.reserved(31 downto 24);</t>
  </si>
  <si>
    <t xml:space="preserve">  when (16#432#) =&gt;</t>
  </si>
  <si>
    <t xml:space="preserve">      -- AEB General Configuration Area Register "RESERVED_DE0" : "RESERVED" Field</t>
  </si>
  <si>
    <t xml:space="preserve">      avalon_mm_rmap_o.readdata(7 downto 0) &lt;= rmap_registers_wr_i.aeb_gen_cfg_reserved_de0.reserved(7 downto 0);</t>
  </si>
  <si>
    <t xml:space="preserve">      avalon_mm_rmap_o.readdata(15 downto 8) &lt;= rmap_registers_wr_i.aeb_gen_cfg_reserved_de0.reserved(15 downto 8);</t>
  </si>
  <si>
    <t xml:space="preserve">      avalon_mm_rmap_o.readdata(23 downto 16) &lt;= rmap_registers_wr_i.aeb_gen_cfg_reserved_de0.reserved(23 downto 16);</t>
  </si>
  <si>
    <t xml:space="preserve">      avalon_mm_rmap_o.readdata(31 downto 24) &lt;= rmap_registers_wr_i.aeb_gen_cfg_reserved_de0.reserved(31 downto 24);</t>
  </si>
  <si>
    <t xml:space="preserve">  when (16#433#) =&gt;</t>
  </si>
  <si>
    <t xml:space="preserve">      -- AEB General Configuration Area Register "RESERVED_DE4" : "RESERVED" Field</t>
  </si>
  <si>
    <t xml:space="preserve">      avalon_mm_rmap_o.readdata(7 downto 0) &lt;= rmap_registers_wr_i.aeb_gen_cfg_reserved_de4.reserved(7 downto 0);</t>
  </si>
  <si>
    <t xml:space="preserve">      avalon_mm_rmap_o.readdata(15 downto 8) &lt;= rmap_registers_wr_i.aeb_gen_cfg_reserved_de4.reserved(15 downto 8);</t>
  </si>
  <si>
    <t xml:space="preserve">      avalon_mm_rmap_o.readdata(23 downto 16) &lt;= rmap_registers_wr_i.aeb_gen_cfg_reserved_de4.reserved(23 downto 16);</t>
  </si>
  <si>
    <t xml:space="preserve">      avalon_mm_rmap_o.readdata(31 downto 24) &lt;= rmap_registers_wr_i.aeb_gen_cfg_reserved_de4.reserved(31 downto 24);</t>
  </si>
  <si>
    <t xml:space="preserve">  when (16#434#) =&gt;</t>
  </si>
  <si>
    <t xml:space="preserve">      -- AEB General Configuration Area Register "RESERVED_DE8" : "RESERVED" Field</t>
  </si>
  <si>
    <t xml:space="preserve">      avalon_mm_rmap_o.readdata(7 downto 0) &lt;= rmap_registers_wr_i.aeb_gen_cfg_reserved_de8.reserved(7 downto 0);</t>
  </si>
  <si>
    <t xml:space="preserve">      avalon_mm_rmap_o.readdata(15 downto 8) &lt;= rmap_registers_wr_i.aeb_gen_cfg_reserved_de8.reserved(15 downto 8);</t>
  </si>
  <si>
    <t xml:space="preserve">      avalon_mm_rmap_o.readdata(23 downto 16) &lt;= rmap_registers_wr_i.aeb_gen_cfg_reserved_de8.reserved(23 downto 16);</t>
  </si>
  <si>
    <t xml:space="preserve">      avalon_mm_rmap_o.readdata(31 downto 24) &lt;= rmap_registers_wr_i.aeb_gen_cfg_reserved_de8.reserved(31 downto 24);</t>
  </si>
  <si>
    <t xml:space="preserve">  when (16#435#) =&gt;</t>
  </si>
  <si>
    <t xml:space="preserve">      -- AEB General Configuration Area Register "RESERVED_DEC" : "RESERVED" Field</t>
  </si>
  <si>
    <t xml:space="preserve">      avalon_mm_rmap_o.readdata(7 downto 0) &lt;= rmap_registers_wr_i.aeb_gen_cfg_reserved_dec.reserved(7 downto 0);</t>
  </si>
  <si>
    <t xml:space="preserve">      avalon_mm_rmap_o.readdata(15 downto 8) &lt;= rmap_registers_wr_i.aeb_gen_cfg_reserved_dec.reserved(15 downto 8);</t>
  </si>
  <si>
    <t xml:space="preserve">      avalon_mm_rmap_o.readdata(23 downto 16) &lt;= rmap_registers_wr_i.aeb_gen_cfg_reserved_dec.reserved(23 downto 16);</t>
  </si>
  <si>
    <t xml:space="preserve">      avalon_mm_rmap_o.readdata(31 downto 24) &lt;= rmap_registers_wr_i.aeb_gen_cfg_reserved_dec.reserved(31 downto 24);</t>
  </si>
  <si>
    <t xml:space="preserve">  when (16#436#) =&gt;</t>
  </si>
  <si>
    <t xml:space="preserve">      -- AEB General Configuration Area Register "RESERVED_DF0" : "RESERVED" Field</t>
  </si>
  <si>
    <t xml:space="preserve">      avalon_mm_rmap_o.readdata(7 downto 0) &lt;= rmap_registers_wr_i.aeb_gen_cfg_reserved_df0.reserved(7 downto 0);</t>
  </si>
  <si>
    <t xml:space="preserve">      avalon_mm_rmap_o.readdata(15 downto 8) &lt;= rmap_registers_wr_i.aeb_gen_cfg_reserved_df0.reserved(15 downto 8);</t>
  </si>
  <si>
    <t xml:space="preserve">      avalon_mm_rmap_o.readdata(23 downto 16) &lt;= rmap_registers_wr_i.aeb_gen_cfg_reserved_df0.reserved(23 downto 16);</t>
  </si>
  <si>
    <t xml:space="preserve">      avalon_mm_rmap_o.readdata(31 downto 24) &lt;= rmap_registers_wr_i.aeb_gen_cfg_reserved_df0.reserved(31 downto 24);</t>
  </si>
  <si>
    <t xml:space="preserve">  when (16#437#) =&gt;</t>
  </si>
  <si>
    <t xml:space="preserve">      -- AEB General Configuration Area Register "RESERVED_DF4" : "RESERVED" Field</t>
  </si>
  <si>
    <t xml:space="preserve">      avalon_mm_rmap_o.readdata(7 downto 0) &lt;= rmap_registers_wr_i.aeb_gen_cfg_reserved_df4.reserved(7 downto 0);</t>
  </si>
  <si>
    <t xml:space="preserve">      avalon_mm_rmap_o.readdata(15 downto 8) &lt;= rmap_registers_wr_i.aeb_gen_cfg_reserved_df4.reserved(15 downto 8);</t>
  </si>
  <si>
    <t xml:space="preserve">      avalon_mm_rmap_o.readdata(23 downto 16) &lt;= rmap_registers_wr_i.aeb_gen_cfg_reserved_df4.reserved(23 downto 16);</t>
  </si>
  <si>
    <t xml:space="preserve">      avalon_mm_rmap_o.readdata(31 downto 24) &lt;= rmap_registers_wr_i.aeb_gen_cfg_reserved_df4.reserved(31 downto 24);</t>
  </si>
  <si>
    <t xml:space="preserve">  when (16#438#) =&gt;</t>
  </si>
  <si>
    <t xml:space="preserve">      -- AEB General Configuration Area Register "RESERVED_DF8" : "RESERVED" Field</t>
  </si>
  <si>
    <t xml:space="preserve">      avalon_mm_rmap_o.readdata(7 downto 0) &lt;= rmap_registers_wr_i.aeb_gen_cfg_reserved_df8.reserved(7 downto 0);</t>
  </si>
  <si>
    <t xml:space="preserve">      avalon_mm_rmap_o.readdata(15 downto 8) &lt;= rmap_registers_wr_i.aeb_gen_cfg_reserved_df8.reserved(15 downto 8);</t>
  </si>
  <si>
    <t xml:space="preserve">      avalon_mm_rmap_o.readdata(23 downto 16) &lt;= rmap_registers_wr_i.aeb_gen_cfg_reserved_df8.reserved(23 downto 16);</t>
  </si>
  <si>
    <t xml:space="preserve">      avalon_mm_rmap_o.readdata(31 downto 24) &lt;= rmap_registers_wr_i.aeb_gen_cfg_reserved_df8.reserved(31 downto 24);</t>
  </si>
  <si>
    <t xml:space="preserve">  when (16#439#) =&gt;</t>
  </si>
  <si>
    <t xml:space="preserve">      -- AEB General Configuration Area Register "RESERVED_DFC" : "RESERVED" Field</t>
  </si>
  <si>
    <t xml:space="preserve">      avalon_mm_rmap_o.readdata(7 downto 0) &lt;= rmap_registers_wr_i.aeb_gen_cfg_reserved_dfc.reserved(7 downto 0);</t>
  </si>
  <si>
    <t xml:space="preserve">      avalon_mm_rmap_o.readdata(15 downto 8) &lt;= rmap_registers_wr_i.aeb_gen_cfg_reserved_dfc.reserved(15 downto 8);</t>
  </si>
  <si>
    <t xml:space="preserve">      avalon_mm_rmap_o.readdata(23 downto 16) &lt;= rmap_registers_wr_i.aeb_gen_cfg_reserved_dfc.reserved(23 downto 16);</t>
  </si>
  <si>
    <t xml:space="preserve">      avalon_mm_rmap_o.readdata(31 downto 24) &lt;= rmap_registers_wr_i.aeb_gen_cfg_reserved_dfc.reserved(31 downto 24);</t>
  </si>
  <si>
    <t xml:space="preserve">  when (16#43A#) =&gt;</t>
  </si>
  <si>
    <t xml:space="preserve">      -- AEB General Configuration Area Register "RESERVED_E00" : "RESERVED" Field</t>
  </si>
  <si>
    <t xml:space="preserve">      avalon_mm_rmap_o.readdata(7 downto 0) &lt;= rmap_registers_wr_i.aeb_gen_cfg_reserved_e00.reserved(7 downto 0);</t>
  </si>
  <si>
    <t xml:space="preserve">      avalon_mm_rmap_o.readdata(15 downto 8) &lt;= rmap_registers_wr_i.aeb_gen_cfg_reserved_e00.reserved(15 downto 8);</t>
  </si>
  <si>
    <t xml:space="preserve">      avalon_mm_rmap_o.readdata(23 downto 16) &lt;= rmap_registers_wr_i.aeb_gen_cfg_reserved_e00.reserved(23 downto 16);</t>
  </si>
  <si>
    <t xml:space="preserve">      avalon_mm_rmap_o.readdata(31 downto 24) &lt;= rmap_registers_wr_i.aeb_gen_cfg_reserved_e00.reserved(31 downto 24);</t>
  </si>
  <si>
    <t xml:space="preserve">  when (16#43B#) =&gt;</t>
  </si>
  <si>
    <t xml:space="preserve">      -- AEB General Configuration Area Register "RESERVED_E04" : "RESERVED" Field</t>
  </si>
  <si>
    <t xml:space="preserve">      avalon_mm_rmap_o.readdata(7 downto 0) &lt;= rmap_registers_wr_i.aeb_gen_cfg_reserved_e04.reserved(7 downto 0);</t>
  </si>
  <si>
    <t xml:space="preserve">      avalon_mm_rmap_o.readdata(15 downto 8) &lt;= rmap_registers_wr_i.aeb_gen_cfg_reserved_e04.reserved(15 downto 8);</t>
  </si>
  <si>
    <t xml:space="preserve">      avalon_mm_rmap_o.readdata(23 downto 16) &lt;= rmap_registers_wr_i.aeb_gen_cfg_reserved_e04.reserved(23 downto 16);</t>
  </si>
  <si>
    <t xml:space="preserve">      avalon_mm_rmap_o.readdata(31 downto 24) &lt;= rmap_registers_wr_i.aeb_gen_cfg_reserved_e04.reserved(31 downto 24);</t>
  </si>
  <si>
    <t xml:space="preserve">  when (16#43C#) =&gt;</t>
  </si>
  <si>
    <t xml:space="preserve">      -- AEB General Configuration Area Register "RESERVED_E08" : "RESERVED" Field</t>
  </si>
  <si>
    <t xml:space="preserve">      avalon_mm_rmap_o.readdata(7 downto 0) &lt;= rmap_registers_wr_i.aeb_gen_cfg_reserved_e08.reserved(7 downto 0);</t>
  </si>
  <si>
    <t xml:space="preserve">      avalon_mm_rmap_o.readdata(15 downto 8) &lt;= rmap_registers_wr_i.aeb_gen_cfg_reserved_e08.reserved(15 downto 8);</t>
  </si>
  <si>
    <t xml:space="preserve">      avalon_mm_rmap_o.readdata(23 downto 16) &lt;= rmap_registers_wr_i.aeb_gen_cfg_reserved_e08.reserved(23 downto 16);</t>
  </si>
  <si>
    <t xml:space="preserve">      avalon_mm_rmap_o.readdata(31 downto 24) &lt;= rmap_registers_wr_i.aeb_gen_cfg_reserved_e08.reserved(31 downto 24);</t>
  </si>
  <si>
    <t xml:space="preserve">  when (16#43D#) =&gt;</t>
  </si>
  <si>
    <t xml:space="preserve">      -- AEB General Configuration Area Register "RESERVED_E0C" : "RESERVED" Field</t>
  </si>
  <si>
    <t xml:space="preserve">      avalon_mm_rmap_o.readdata(7 downto 0) &lt;= rmap_registers_wr_i.aeb_gen_cfg_reserved_e0c.reserved(7 downto 0);</t>
  </si>
  <si>
    <t xml:space="preserve">      avalon_mm_rmap_o.readdata(15 downto 8) &lt;= rmap_registers_wr_i.aeb_gen_cfg_reserved_e0c.reserved(15 downto 8);</t>
  </si>
  <si>
    <t xml:space="preserve">      avalon_mm_rmap_o.readdata(23 downto 16) &lt;= rmap_registers_wr_i.aeb_gen_cfg_reserved_e0c.reserved(23 downto 16);</t>
  </si>
  <si>
    <t xml:space="preserve">      avalon_mm_rmap_o.readdata(31 downto 24) &lt;= rmap_registers_wr_i.aeb_gen_cfg_reserved_e0c.reserved(31 downto 24);</t>
  </si>
  <si>
    <t xml:space="preserve">  when (16#43E#) =&gt;</t>
  </si>
  <si>
    <t xml:space="preserve">      -- AEB General Configuration Area Register "RESERVED_E10" : "RESERVED" Field</t>
  </si>
  <si>
    <t xml:space="preserve">      avalon_mm_rmap_o.readdata(7 downto 0) &lt;= rmap_registers_wr_i.aeb_gen_cfg_reserved_e10.reserved(7 downto 0);</t>
  </si>
  <si>
    <t xml:space="preserve">      avalon_mm_rmap_o.readdata(15 downto 8) &lt;= rmap_registers_wr_i.aeb_gen_cfg_reserved_e10.reserved(15 downto 8);</t>
  </si>
  <si>
    <t xml:space="preserve">      avalon_mm_rmap_o.readdata(23 downto 16) &lt;= rmap_registers_wr_i.aeb_gen_cfg_reserved_e10.reserved(23 downto 16);</t>
  </si>
  <si>
    <t xml:space="preserve">      avalon_mm_rmap_o.readdata(31 downto 24) &lt;= rmap_registers_wr_i.aeb_gen_cfg_reserved_e10.reserved(31 downto 24);</t>
  </si>
  <si>
    <t xml:space="preserve">  when (16#43F#) =&gt;</t>
  </si>
  <si>
    <t xml:space="preserve">      -- AEB General Configuration Area Register "RESERVED_E14" : "RESERVED" Field</t>
  </si>
  <si>
    <t xml:space="preserve">      avalon_mm_rmap_o.readdata(7 downto 0) &lt;= rmap_registers_wr_i.aeb_gen_cfg_reserved_e14.reserved(7 downto 0);</t>
  </si>
  <si>
    <t xml:space="preserve">      avalon_mm_rmap_o.readdata(15 downto 8) &lt;= rmap_registers_wr_i.aeb_gen_cfg_reserved_e14.reserved(15 downto 8);</t>
  </si>
  <si>
    <t xml:space="preserve">      avalon_mm_rmap_o.readdata(23 downto 16) &lt;= rmap_registers_wr_i.aeb_gen_cfg_reserved_e14.reserved(23 downto 16);</t>
  </si>
  <si>
    <t xml:space="preserve">      avalon_mm_rmap_o.readdata(31 downto 24) &lt;= rmap_registers_wr_i.aeb_gen_cfg_reserved_e14.reserved(31 downto 24);</t>
  </si>
  <si>
    <t xml:space="preserve">  when (16#440#) =&gt;</t>
  </si>
  <si>
    <t xml:space="preserve">      -- AEB General Configuration Area Register "RESERVED_E18" : "RESERVED" Field</t>
  </si>
  <si>
    <t xml:space="preserve">      avalon_mm_rmap_o.readdata(7 downto 0) &lt;= rmap_registers_wr_i.aeb_gen_cfg_reserved_e18.reserved(7 downto 0);</t>
  </si>
  <si>
    <t xml:space="preserve">      avalon_mm_rmap_o.readdata(15 downto 8) &lt;= rmap_registers_wr_i.aeb_gen_cfg_reserved_e18.reserved(15 downto 8);</t>
  </si>
  <si>
    <t xml:space="preserve">      avalon_mm_rmap_o.readdata(23 downto 16) &lt;= rmap_registers_wr_i.aeb_gen_cfg_reserved_e18.reserved(23 downto 16);</t>
  </si>
  <si>
    <t xml:space="preserve">      avalon_mm_rmap_o.readdata(31 downto 24) &lt;= rmap_registers_wr_i.aeb_gen_cfg_reserved_e18.reserved(31 downto 24);</t>
  </si>
  <si>
    <t xml:space="preserve">  when (16#441#) =&gt;</t>
  </si>
  <si>
    <t xml:space="preserve">      -- AEB General Configuration Area Register "RESERVED_E1C" : "RESERVED" Field</t>
  </si>
  <si>
    <t xml:space="preserve">      avalon_mm_rmap_o.readdata(7 downto 0) &lt;= rmap_registers_wr_i.aeb_gen_cfg_reserved_e1c.reserved(7 downto 0);</t>
  </si>
  <si>
    <t xml:space="preserve">      avalon_mm_rmap_o.readdata(15 downto 8) &lt;= rmap_registers_wr_i.aeb_gen_cfg_reserved_e1c.reserved(15 downto 8);</t>
  </si>
  <si>
    <t xml:space="preserve">      avalon_mm_rmap_o.readdata(23 downto 16) &lt;= rmap_registers_wr_i.aeb_gen_cfg_reserved_e1c.reserved(23 downto 16);</t>
  </si>
  <si>
    <t xml:space="preserve">      avalon_mm_rmap_o.readdata(31 downto 24) &lt;= rmap_registers_wr_i.aeb_gen_cfg_reserved_e1c.reserved(31 downto 24);</t>
  </si>
  <si>
    <t xml:space="preserve">  when (16#442#) =&gt;</t>
  </si>
  <si>
    <t xml:space="preserve">      -- AEB General Configuration Area Register "RESERVED_E20" : "RESERVED" Field</t>
  </si>
  <si>
    <t xml:space="preserve">      avalon_mm_rmap_o.readdata(7 downto 0) &lt;= rmap_registers_wr_i.aeb_gen_cfg_reserved_e20.reserved(7 downto 0);</t>
  </si>
  <si>
    <t xml:space="preserve">      avalon_mm_rmap_o.readdata(15 downto 8) &lt;= rmap_registers_wr_i.aeb_gen_cfg_reserved_e20.reserved(15 downto 8);</t>
  </si>
  <si>
    <t xml:space="preserve">      avalon_mm_rmap_o.readdata(23 downto 16) &lt;= rmap_registers_wr_i.aeb_gen_cfg_reserved_e20.reserved(23 downto 16);</t>
  </si>
  <si>
    <t xml:space="preserve">      avalon_mm_rmap_o.readdata(31 downto 24) &lt;= rmap_registers_wr_i.aeb_gen_cfg_reserved_e20.reserved(31 downto 24);</t>
  </si>
  <si>
    <t xml:space="preserve">  when (16#443#) =&gt;</t>
  </si>
  <si>
    <t xml:space="preserve">      -- AEB General Configuration Area Register "RESERVED_E24" : "RESERVED" Field</t>
  </si>
  <si>
    <t xml:space="preserve">      avalon_mm_rmap_o.readdata(7 downto 0) &lt;= rmap_registers_wr_i.aeb_gen_cfg_reserved_e24.reserved(7 downto 0);</t>
  </si>
  <si>
    <t xml:space="preserve">      avalon_mm_rmap_o.readdata(15 downto 8) &lt;= rmap_registers_wr_i.aeb_gen_cfg_reserved_e24.reserved(15 downto 8);</t>
  </si>
  <si>
    <t xml:space="preserve">      avalon_mm_rmap_o.readdata(23 downto 16) &lt;= rmap_registers_wr_i.aeb_gen_cfg_reserved_e24.reserved(23 downto 16);</t>
  </si>
  <si>
    <t xml:space="preserve">      avalon_mm_rmap_o.readdata(31 downto 24) &lt;= rmap_registers_wr_i.aeb_gen_cfg_reserved_e24.reserved(31 downto 24);</t>
  </si>
  <si>
    <t xml:space="preserve">  when (16#444#) =&gt;</t>
  </si>
  <si>
    <t xml:space="preserve">      -- AEB General Configuration Area Register "RESERVED_E28" : "RESERVED" Field</t>
  </si>
  <si>
    <t xml:space="preserve">      avalon_mm_rmap_o.readdata(7 downto 0) &lt;= rmap_registers_wr_i.aeb_gen_cfg_reserved_e28.reserved(7 downto 0);</t>
  </si>
  <si>
    <t xml:space="preserve">      avalon_mm_rmap_o.readdata(15 downto 8) &lt;= rmap_registers_wr_i.aeb_gen_cfg_reserved_e28.reserved(15 downto 8);</t>
  </si>
  <si>
    <t xml:space="preserve">      avalon_mm_rmap_o.readdata(23 downto 16) &lt;= rmap_registers_wr_i.aeb_gen_cfg_reserved_e28.reserved(23 downto 16);</t>
  </si>
  <si>
    <t xml:space="preserve">      avalon_mm_rmap_o.readdata(31 downto 24) &lt;= rmap_registers_wr_i.aeb_gen_cfg_reserved_e28.reserved(31 downto 24);</t>
  </si>
  <si>
    <t xml:space="preserve">  when (16#445#) =&gt;</t>
  </si>
  <si>
    <t xml:space="preserve">      -- AEB General Configuration Area Register "RESERVED_E2C" : "RESERVED" Field</t>
  </si>
  <si>
    <t xml:space="preserve">      avalon_mm_rmap_o.readdata(7 downto 0) &lt;= rmap_registers_wr_i.aeb_gen_cfg_reserved_e2c.reserved(7 downto 0);</t>
  </si>
  <si>
    <t xml:space="preserve">      avalon_mm_rmap_o.readdata(15 downto 8) &lt;= rmap_registers_wr_i.aeb_gen_cfg_reserved_e2c.reserved(15 downto 8);</t>
  </si>
  <si>
    <t xml:space="preserve">      avalon_mm_rmap_o.readdata(23 downto 16) &lt;= rmap_registers_wr_i.aeb_gen_cfg_reserved_e2c.reserved(23 downto 16);</t>
  </si>
  <si>
    <t xml:space="preserve">      avalon_mm_rmap_o.readdata(31 downto 24) &lt;= rmap_registers_wr_i.aeb_gen_cfg_reserved_e2c.reserved(31 downto 24);</t>
  </si>
  <si>
    <t xml:space="preserve">  when (16#446#) =&gt;</t>
  </si>
  <si>
    <t xml:space="preserve">      -- AEB General Configuration Area Register "RESERVED_E30" : "RESERVED" Field</t>
  </si>
  <si>
    <t xml:space="preserve">      avalon_mm_rmap_o.readdata(7 downto 0) &lt;= rmap_registers_wr_i.aeb_gen_cfg_reserved_e30.reserved(7 downto 0);</t>
  </si>
  <si>
    <t xml:space="preserve">      avalon_mm_rmap_o.readdata(15 downto 8) &lt;= rmap_registers_wr_i.aeb_gen_cfg_reserved_e30.reserved(15 downto 8);</t>
  </si>
  <si>
    <t xml:space="preserve">      avalon_mm_rmap_o.readdata(23 downto 16) &lt;= rmap_registers_wr_i.aeb_gen_cfg_reserved_e30.reserved(23 downto 16);</t>
  </si>
  <si>
    <t xml:space="preserve">      avalon_mm_rmap_o.readdata(31 downto 24) &lt;= rmap_registers_wr_i.aeb_gen_cfg_reserved_e30.reserved(31 downto 24);</t>
  </si>
  <si>
    <t xml:space="preserve">  when (16#447#) =&gt;</t>
  </si>
  <si>
    <t xml:space="preserve">      -- AEB General Configuration Area Register "RESERVED_E34" : "RESERVED" Field</t>
  </si>
  <si>
    <t xml:space="preserve">      avalon_mm_rmap_o.readdata(7 downto 0) &lt;= rmap_registers_wr_i.aeb_gen_cfg_reserved_e34.reserved(7 downto 0);</t>
  </si>
  <si>
    <t xml:space="preserve">      avalon_mm_rmap_o.readdata(15 downto 8) &lt;= rmap_registers_wr_i.aeb_gen_cfg_reserved_e34.reserved(15 downto 8);</t>
  </si>
  <si>
    <t xml:space="preserve">      avalon_mm_rmap_o.readdata(23 downto 16) &lt;= rmap_registers_wr_i.aeb_gen_cfg_reserved_e34.reserved(23 downto 16);</t>
  </si>
  <si>
    <t xml:space="preserve">      avalon_mm_rmap_o.readdata(31 downto 24) &lt;= rmap_registers_wr_i.aeb_gen_cfg_reserved_e34.reserved(31 downto 24);</t>
  </si>
  <si>
    <t xml:space="preserve">  when (16#448#) =&gt;</t>
  </si>
  <si>
    <t xml:space="preserve">      -- AEB General Configuration Area Register "RESERVED_E38" : "RESERVED" Field</t>
  </si>
  <si>
    <t xml:space="preserve">      avalon_mm_rmap_o.readdata(7 downto 0) &lt;= rmap_registers_wr_i.aeb_gen_cfg_reserved_e38.reserved(7 downto 0);</t>
  </si>
  <si>
    <t xml:space="preserve">      avalon_mm_rmap_o.readdata(15 downto 8) &lt;= rmap_registers_wr_i.aeb_gen_cfg_reserved_e38.reserved(15 downto 8);</t>
  </si>
  <si>
    <t xml:space="preserve">      avalon_mm_rmap_o.readdata(23 downto 16) &lt;= rmap_registers_wr_i.aeb_gen_cfg_reserved_e38.reserved(23 downto 16);</t>
  </si>
  <si>
    <t xml:space="preserve">      avalon_mm_rmap_o.readdata(31 downto 24) &lt;= rmap_registers_wr_i.aeb_gen_cfg_reserved_e38.reserved(31 downto 24);</t>
  </si>
  <si>
    <t xml:space="preserve">  when (16#449#) =&gt;</t>
  </si>
  <si>
    <t xml:space="preserve">      -- AEB General Configuration Area Register "RESERVED_E3C" : "RESERVED" Field</t>
  </si>
  <si>
    <t xml:space="preserve">      avalon_mm_rmap_o.readdata(7 downto 0) &lt;= rmap_registers_wr_i.aeb_gen_cfg_reserved_e3c.reserved(7 downto 0);</t>
  </si>
  <si>
    <t xml:space="preserve">      avalon_mm_rmap_o.readdata(15 downto 8) &lt;= rmap_registers_wr_i.aeb_gen_cfg_reserved_e3c.reserved(15 downto 8);</t>
  </si>
  <si>
    <t xml:space="preserve">      avalon_mm_rmap_o.readdata(23 downto 16) &lt;= rmap_registers_wr_i.aeb_gen_cfg_reserved_e3c.reserved(23 downto 16);</t>
  </si>
  <si>
    <t xml:space="preserve">      avalon_mm_rmap_o.readdata(31 downto 24) &lt;= rmap_registers_wr_i.aeb_gen_cfg_reserved_e3c.reserved(31 downto 24);</t>
  </si>
  <si>
    <t xml:space="preserve">  when (16#44A#) =&gt;</t>
  </si>
  <si>
    <t xml:space="preserve">      -- AEB General Configuration Area Register "RESERVED_E40" : "RESERVED" Field</t>
  </si>
  <si>
    <t xml:space="preserve">      avalon_mm_rmap_o.readdata(7 downto 0) &lt;= rmap_registers_wr_i.aeb_gen_cfg_reserved_e40.reserved(7 downto 0);</t>
  </si>
  <si>
    <t xml:space="preserve">      avalon_mm_rmap_o.readdata(15 downto 8) &lt;= rmap_registers_wr_i.aeb_gen_cfg_reserved_e40.reserved(15 downto 8);</t>
  </si>
  <si>
    <t xml:space="preserve">      avalon_mm_rmap_o.readdata(23 downto 16) &lt;= rmap_registers_wr_i.aeb_gen_cfg_reserved_e40.reserved(23 downto 16);</t>
  </si>
  <si>
    <t xml:space="preserve">      avalon_mm_rmap_o.readdata(31 downto 24) &lt;= rmap_registers_wr_i.aeb_gen_cfg_reserved_e40.reserved(31 downto 24);</t>
  </si>
  <si>
    <t xml:space="preserve">  when (16#44B#) =&gt;</t>
  </si>
  <si>
    <t xml:space="preserve">      -- AEB General Configuration Area Register "RESERVED_E44" : "RESERVED" Field</t>
  </si>
  <si>
    <t xml:space="preserve">      avalon_mm_rmap_o.readdata(7 downto 0) &lt;= rmap_registers_wr_i.aeb_gen_cfg_reserved_e44.reserved(7 downto 0);</t>
  </si>
  <si>
    <t xml:space="preserve">      avalon_mm_rmap_o.readdata(15 downto 8) &lt;= rmap_registers_wr_i.aeb_gen_cfg_reserved_e44.reserved(15 downto 8);</t>
  </si>
  <si>
    <t xml:space="preserve">      avalon_mm_rmap_o.readdata(23 downto 16) &lt;= rmap_registers_wr_i.aeb_gen_cfg_reserved_e44.reserved(23 downto 16);</t>
  </si>
  <si>
    <t xml:space="preserve">      avalon_mm_rmap_o.readdata(31 downto 24) &lt;= rmap_registers_wr_i.aeb_gen_cfg_reserved_e44.reserved(31 downto 24);</t>
  </si>
  <si>
    <t xml:space="preserve">  when (16#44C#) =&gt;</t>
  </si>
  <si>
    <t xml:space="preserve">      -- AEB General Configuration Area Register "RESERVED_E48" : "RESERVED" Field</t>
  </si>
  <si>
    <t xml:space="preserve">      avalon_mm_rmap_o.readdata(7 downto 0) &lt;= rmap_registers_wr_i.aeb_gen_cfg_reserved_e48.reserved(7 downto 0);</t>
  </si>
  <si>
    <t xml:space="preserve">      avalon_mm_rmap_o.readdata(15 downto 8) &lt;= rmap_registers_wr_i.aeb_gen_cfg_reserved_e48.reserved(15 downto 8);</t>
  </si>
  <si>
    <t xml:space="preserve">      avalon_mm_rmap_o.readdata(23 downto 16) &lt;= rmap_registers_wr_i.aeb_gen_cfg_reserved_e48.reserved(23 downto 16);</t>
  </si>
  <si>
    <t xml:space="preserve">      avalon_mm_rmap_o.readdata(31 downto 24) &lt;= rmap_registers_wr_i.aeb_gen_cfg_reserved_e48.reserved(31 downto 24);</t>
  </si>
  <si>
    <t xml:space="preserve">  when (16#44D#) =&gt;</t>
  </si>
  <si>
    <t xml:space="preserve">      -- AEB General Configuration Area Register "RESERVED_E4C" : "RESERVED" Field</t>
  </si>
  <si>
    <t xml:space="preserve">      avalon_mm_rmap_o.readdata(7 downto 0) &lt;= rmap_registers_wr_i.aeb_gen_cfg_reserved_e4c.reserved(7 downto 0);</t>
  </si>
  <si>
    <t xml:space="preserve">      avalon_mm_rmap_o.readdata(15 downto 8) &lt;= rmap_registers_wr_i.aeb_gen_cfg_reserved_e4c.reserved(15 downto 8);</t>
  </si>
  <si>
    <t xml:space="preserve">      avalon_mm_rmap_o.readdata(23 downto 16) &lt;= rmap_registers_wr_i.aeb_gen_cfg_reserved_e4c.reserved(23 downto 16);</t>
  </si>
  <si>
    <t xml:space="preserve">      avalon_mm_rmap_o.readdata(31 downto 24) &lt;= rmap_registers_wr_i.aeb_gen_cfg_reserved_e4c.reserved(31 downto 24);</t>
  </si>
  <si>
    <t xml:space="preserve">  when (16#44E#) =&gt;</t>
  </si>
  <si>
    <t xml:space="preserve">      -- AEB General Configuration Area Register "RESERVED_E50" : "RESERVED" Field</t>
  </si>
  <si>
    <t xml:space="preserve">      avalon_mm_rmap_o.readdata(7 downto 0) &lt;= rmap_registers_wr_i.aeb_gen_cfg_reserved_e50.reserved(7 downto 0);</t>
  </si>
  <si>
    <t xml:space="preserve">      avalon_mm_rmap_o.readdata(15 downto 8) &lt;= rmap_registers_wr_i.aeb_gen_cfg_reserved_e50.reserved(15 downto 8);</t>
  </si>
  <si>
    <t xml:space="preserve">      avalon_mm_rmap_o.readdata(23 downto 16) &lt;= rmap_registers_wr_i.aeb_gen_cfg_reserved_e50.reserved(23 downto 16);</t>
  </si>
  <si>
    <t xml:space="preserve">      avalon_mm_rmap_o.readdata(31 downto 24) &lt;= rmap_registers_wr_i.aeb_gen_cfg_reserved_e50.reserved(31 downto 24);</t>
  </si>
  <si>
    <t xml:space="preserve">  when (16#44F#) =&gt;</t>
  </si>
  <si>
    <t xml:space="preserve">      -- AEB General Configuration Area Register "RESERVED_E54" : "RESERVED" Field</t>
  </si>
  <si>
    <t xml:space="preserve">      avalon_mm_rmap_o.readdata(7 downto 0) &lt;= rmap_registers_wr_i.aeb_gen_cfg_reserved_e54.reserved(7 downto 0);</t>
  </si>
  <si>
    <t xml:space="preserve">      avalon_mm_rmap_o.readdata(15 downto 8) &lt;= rmap_registers_wr_i.aeb_gen_cfg_reserved_e54.reserved(15 downto 8);</t>
  </si>
  <si>
    <t xml:space="preserve">      avalon_mm_rmap_o.readdata(23 downto 16) &lt;= rmap_registers_wr_i.aeb_gen_cfg_reserved_e54.reserved(23 downto 16);</t>
  </si>
  <si>
    <t xml:space="preserve">      avalon_mm_rmap_o.readdata(31 downto 24) &lt;= rmap_registers_wr_i.aeb_gen_cfg_reserved_e54.reserved(31 downto 24);</t>
  </si>
  <si>
    <t xml:space="preserve">  when (16#450#) =&gt;</t>
  </si>
  <si>
    <t xml:space="preserve">      -- AEB General Configuration Area Register "RESERVED_E58" : "RESERVED" Field</t>
  </si>
  <si>
    <t xml:space="preserve">      avalon_mm_rmap_o.readdata(7 downto 0) &lt;= rmap_registers_wr_i.aeb_gen_cfg_reserved_e58.reserved(7 downto 0);</t>
  </si>
  <si>
    <t xml:space="preserve">      avalon_mm_rmap_o.readdata(15 downto 8) &lt;= rmap_registers_wr_i.aeb_gen_cfg_reserved_e58.reserved(15 downto 8);</t>
  </si>
  <si>
    <t xml:space="preserve">      avalon_mm_rmap_o.readdata(23 downto 16) &lt;= rmap_registers_wr_i.aeb_gen_cfg_reserved_e58.reserved(23 downto 16);</t>
  </si>
  <si>
    <t xml:space="preserve">      avalon_mm_rmap_o.readdata(31 downto 24) &lt;= rmap_registers_wr_i.aeb_gen_cfg_reserved_e58.reserved(31 downto 24);</t>
  </si>
  <si>
    <t xml:space="preserve">  when (16#451#) =&gt;</t>
  </si>
  <si>
    <t xml:space="preserve">      -- AEB General Configuration Area Register "RESERVED_E5C" : "RESERVED" Field</t>
  </si>
  <si>
    <t xml:space="preserve">      avalon_mm_rmap_o.readdata(7 downto 0) &lt;= rmap_registers_wr_i.aeb_gen_cfg_reserved_e5c.reserved(7 downto 0);</t>
  </si>
  <si>
    <t xml:space="preserve">      avalon_mm_rmap_o.readdata(15 downto 8) &lt;= rmap_registers_wr_i.aeb_gen_cfg_reserved_e5c.reserved(15 downto 8);</t>
  </si>
  <si>
    <t xml:space="preserve">      avalon_mm_rmap_o.readdata(23 downto 16) &lt;= rmap_registers_wr_i.aeb_gen_cfg_reserved_e5c.reserved(23 downto 16);</t>
  </si>
  <si>
    <t xml:space="preserve">      avalon_mm_rmap_o.readdata(31 downto 24) &lt;= rmap_registers_wr_i.aeb_gen_cfg_reserved_e5c.reserved(31 downto 24);</t>
  </si>
  <si>
    <t xml:space="preserve">  when (16#452#) =&gt;</t>
  </si>
  <si>
    <t xml:space="preserve">      -- AEB General Configuration Area Register "RESERVED_E60" : "RESERVED" Field</t>
  </si>
  <si>
    <t xml:space="preserve">      avalon_mm_rmap_o.readdata(7 downto 0) &lt;= rmap_registers_wr_i.aeb_gen_cfg_reserved_e60.reserved(7 downto 0);</t>
  </si>
  <si>
    <t xml:space="preserve">      avalon_mm_rmap_o.readdata(15 downto 8) &lt;= rmap_registers_wr_i.aeb_gen_cfg_reserved_e60.reserved(15 downto 8);</t>
  </si>
  <si>
    <t xml:space="preserve">      avalon_mm_rmap_o.readdata(23 downto 16) &lt;= rmap_registers_wr_i.aeb_gen_cfg_reserved_e60.reserved(23 downto 16);</t>
  </si>
  <si>
    <t xml:space="preserve">      avalon_mm_rmap_o.readdata(31 downto 24) &lt;= rmap_registers_wr_i.aeb_gen_cfg_reserved_e60.reserved(31 downto 24);</t>
  </si>
  <si>
    <t xml:space="preserve">  when (16#453#) =&gt;</t>
  </si>
  <si>
    <t xml:space="preserve">      -- AEB General Configuration Area Register "RESERVED_E64" : "RESERVED" Field</t>
  </si>
  <si>
    <t xml:space="preserve">      avalon_mm_rmap_o.readdata(7 downto 0) &lt;= rmap_registers_wr_i.aeb_gen_cfg_reserved_e64.reserved(7 downto 0);</t>
  </si>
  <si>
    <t xml:space="preserve">      avalon_mm_rmap_o.readdata(15 downto 8) &lt;= rmap_registers_wr_i.aeb_gen_cfg_reserved_e64.reserved(15 downto 8);</t>
  </si>
  <si>
    <t xml:space="preserve">      avalon_mm_rmap_o.readdata(23 downto 16) &lt;= rmap_registers_wr_i.aeb_gen_cfg_reserved_e64.reserved(23 downto 16);</t>
  </si>
  <si>
    <t xml:space="preserve">      avalon_mm_rmap_o.readdata(31 downto 24) &lt;= rmap_registers_wr_i.aeb_gen_cfg_reserved_e64.reserved(31 downto 24);</t>
  </si>
  <si>
    <t xml:space="preserve">  when (16#454#) =&gt;</t>
  </si>
  <si>
    <t xml:space="preserve">      -- AEB General Configuration Area Register "RESERVED_E68" : "RESERVED" Field</t>
  </si>
  <si>
    <t xml:space="preserve">      avalon_mm_rmap_o.readdata(7 downto 0) &lt;= rmap_registers_wr_i.aeb_gen_cfg_reserved_e68.reserved(7 downto 0);</t>
  </si>
  <si>
    <t xml:space="preserve">      avalon_mm_rmap_o.readdata(15 downto 8) &lt;= rmap_registers_wr_i.aeb_gen_cfg_reserved_e68.reserved(15 downto 8);</t>
  </si>
  <si>
    <t xml:space="preserve">      avalon_mm_rmap_o.readdata(23 downto 16) &lt;= rmap_registers_wr_i.aeb_gen_cfg_reserved_e68.reserved(23 downto 16);</t>
  </si>
  <si>
    <t xml:space="preserve">      avalon_mm_rmap_o.readdata(31 downto 24) &lt;= rmap_registers_wr_i.aeb_gen_cfg_reserved_e68.reserved(31 downto 24);</t>
  </si>
  <si>
    <t xml:space="preserve">  when (16#455#) =&gt;</t>
  </si>
  <si>
    <t xml:space="preserve">      -- AEB General Configuration Area Register "RESERVED_E6C" : "RESERVED" Field</t>
  </si>
  <si>
    <t xml:space="preserve">      avalon_mm_rmap_o.readdata(7 downto 0) &lt;= rmap_registers_wr_i.aeb_gen_cfg_reserved_e6c.reserved(7 downto 0);</t>
  </si>
  <si>
    <t xml:space="preserve">      avalon_mm_rmap_o.readdata(15 downto 8) &lt;= rmap_registers_wr_i.aeb_gen_cfg_reserved_e6c.reserved(15 downto 8);</t>
  </si>
  <si>
    <t xml:space="preserve">      avalon_mm_rmap_o.readdata(23 downto 16) &lt;= rmap_registers_wr_i.aeb_gen_cfg_reserved_e6c.reserved(23 downto 16);</t>
  </si>
  <si>
    <t xml:space="preserve">      avalon_mm_rmap_o.readdata(31 downto 24) &lt;= rmap_registers_wr_i.aeb_gen_cfg_reserved_e6c.reserved(31 downto 24);</t>
  </si>
  <si>
    <t xml:space="preserve">  when (16#456#) =&gt;</t>
  </si>
  <si>
    <t xml:space="preserve">      -- AEB General Configuration Area Register "RESERVED_E70" : "RESERVED" Field</t>
  </si>
  <si>
    <t xml:space="preserve">      avalon_mm_rmap_o.readdata(7 downto 0) &lt;= rmap_registers_wr_i.aeb_gen_cfg_reserved_e70.reserved(7 downto 0);</t>
  </si>
  <si>
    <t xml:space="preserve">      avalon_mm_rmap_o.readdata(15 downto 8) &lt;= rmap_registers_wr_i.aeb_gen_cfg_reserved_e70.reserved(15 downto 8);</t>
  </si>
  <si>
    <t xml:space="preserve">      avalon_mm_rmap_o.readdata(23 downto 16) &lt;= rmap_registers_wr_i.aeb_gen_cfg_reserved_e70.reserved(23 downto 16);</t>
  </si>
  <si>
    <t xml:space="preserve">      avalon_mm_rmap_o.readdata(31 downto 24) &lt;= rmap_registers_wr_i.aeb_gen_cfg_reserved_e70.reserved(31 downto 24);</t>
  </si>
  <si>
    <t xml:space="preserve">  when (16#457#) =&gt;</t>
  </si>
  <si>
    <t xml:space="preserve">      -- AEB General Configuration Area Register "RESERVED_E74" : "RESERVED" Field</t>
  </si>
  <si>
    <t xml:space="preserve">      avalon_mm_rmap_o.readdata(7 downto 0) &lt;= rmap_registers_wr_i.aeb_gen_cfg_reserved_e74.reserved(7 downto 0);</t>
  </si>
  <si>
    <t xml:space="preserve">      avalon_mm_rmap_o.readdata(15 downto 8) &lt;= rmap_registers_wr_i.aeb_gen_cfg_reserved_e74.reserved(15 downto 8);</t>
  </si>
  <si>
    <t xml:space="preserve">      avalon_mm_rmap_o.readdata(23 downto 16) &lt;= rmap_registers_wr_i.aeb_gen_cfg_reserved_e74.reserved(23 downto 16);</t>
  </si>
  <si>
    <t xml:space="preserve">      avalon_mm_rmap_o.readdata(31 downto 24) &lt;= rmap_registers_wr_i.aeb_gen_cfg_reserved_e74.reserved(31 downto 24);</t>
  </si>
  <si>
    <t xml:space="preserve">  when (16#458#) =&gt;</t>
  </si>
  <si>
    <t xml:space="preserve">      -- AEB General Configuration Area Register "RESERVED_E78" : "RESERVED" Field</t>
  </si>
  <si>
    <t xml:space="preserve">      avalon_mm_rmap_o.readdata(7 downto 0) &lt;= rmap_registers_wr_i.aeb_gen_cfg_reserved_e78.reserved(7 downto 0);</t>
  </si>
  <si>
    <t xml:space="preserve">      avalon_mm_rmap_o.readdata(15 downto 8) &lt;= rmap_registers_wr_i.aeb_gen_cfg_reserved_e78.reserved(15 downto 8);</t>
  </si>
  <si>
    <t xml:space="preserve">      avalon_mm_rmap_o.readdata(23 downto 16) &lt;= rmap_registers_wr_i.aeb_gen_cfg_reserved_e78.reserved(23 downto 16);</t>
  </si>
  <si>
    <t xml:space="preserve">      avalon_mm_rmap_o.readdata(31 downto 24) &lt;= rmap_registers_wr_i.aeb_gen_cfg_reserved_e78.reserved(31 downto 24);</t>
  </si>
  <si>
    <t xml:space="preserve">  when (16#459#) =&gt;</t>
  </si>
  <si>
    <t xml:space="preserve">      -- AEB General Configuration Area Register "RESERVED_E7C" : "RESERVED" Field</t>
  </si>
  <si>
    <t xml:space="preserve">      avalon_mm_rmap_o.readdata(7 downto 0) &lt;= rmap_registers_wr_i.aeb_gen_cfg_reserved_e7c.reserved(7 downto 0);</t>
  </si>
  <si>
    <t xml:space="preserve">      avalon_mm_rmap_o.readdata(15 downto 8) &lt;= rmap_registers_wr_i.aeb_gen_cfg_reserved_e7c.reserved(15 downto 8);</t>
  </si>
  <si>
    <t xml:space="preserve">      avalon_mm_rmap_o.readdata(23 downto 16) &lt;= rmap_registers_wr_i.aeb_gen_cfg_reserved_e7c.reserved(23 downto 16);</t>
  </si>
  <si>
    <t xml:space="preserve">      avalon_mm_rmap_o.readdata(31 downto 24) &lt;= rmap_registers_wr_i.aeb_gen_cfg_reserved_e7c.reserved(31 downto 24);</t>
  </si>
  <si>
    <t xml:space="preserve">  when (16#45A#) =&gt;</t>
  </si>
  <si>
    <t xml:space="preserve">      -- AEB General Configuration Area Register "RESERVED_E80" : "RESERVED" Field</t>
  </si>
  <si>
    <t xml:space="preserve">      avalon_mm_rmap_o.readdata(7 downto 0) &lt;= rmap_registers_wr_i.aeb_gen_cfg_reserved_e80.reserved(7 downto 0);</t>
  </si>
  <si>
    <t xml:space="preserve">      avalon_mm_rmap_o.readdata(15 downto 8) &lt;= rmap_registers_wr_i.aeb_gen_cfg_reserved_e80.reserved(15 downto 8);</t>
  </si>
  <si>
    <t xml:space="preserve">      avalon_mm_rmap_o.readdata(23 downto 16) &lt;= rmap_registers_wr_i.aeb_gen_cfg_reserved_e80.reserved(23 downto 16);</t>
  </si>
  <si>
    <t xml:space="preserve">      avalon_mm_rmap_o.readdata(31 downto 24) &lt;= rmap_registers_wr_i.aeb_gen_cfg_reserved_e80.reserved(31 downto 24);</t>
  </si>
  <si>
    <t xml:space="preserve">  when (16#45B#) =&gt;</t>
  </si>
  <si>
    <t xml:space="preserve">      -- AEB General Configuration Area Register "RESERVED_E84" : "RESERVED" Field</t>
  </si>
  <si>
    <t xml:space="preserve">      avalon_mm_rmap_o.readdata(7 downto 0) &lt;= rmap_registers_wr_i.aeb_gen_cfg_reserved_e84.reserved(7 downto 0);</t>
  </si>
  <si>
    <t xml:space="preserve">      avalon_mm_rmap_o.readdata(15 downto 8) &lt;= rmap_registers_wr_i.aeb_gen_cfg_reserved_e84.reserved(15 downto 8);</t>
  </si>
  <si>
    <t xml:space="preserve">      avalon_mm_rmap_o.readdata(23 downto 16) &lt;= rmap_registers_wr_i.aeb_gen_cfg_reserved_e84.reserved(23 downto 16);</t>
  </si>
  <si>
    <t xml:space="preserve">      avalon_mm_rmap_o.readdata(31 downto 24) &lt;= rmap_registers_wr_i.aeb_gen_cfg_reserved_e84.reserved(31 downto 24);</t>
  </si>
  <si>
    <t xml:space="preserve">  when (16#45C#) =&gt;</t>
  </si>
  <si>
    <t xml:space="preserve">      -- AEB General Configuration Area Register "RESERVED_E88" : "RESERVED" Field</t>
  </si>
  <si>
    <t xml:space="preserve">      avalon_mm_rmap_o.readdata(7 downto 0) &lt;= rmap_registers_wr_i.aeb_gen_cfg_reserved_e88.reserved(7 downto 0);</t>
  </si>
  <si>
    <t xml:space="preserve">      avalon_mm_rmap_o.readdata(15 downto 8) &lt;= rmap_registers_wr_i.aeb_gen_cfg_reserved_e88.reserved(15 downto 8);</t>
  </si>
  <si>
    <t xml:space="preserve">      avalon_mm_rmap_o.readdata(23 downto 16) &lt;= rmap_registers_wr_i.aeb_gen_cfg_reserved_e88.reserved(23 downto 16);</t>
  </si>
  <si>
    <t xml:space="preserve">      avalon_mm_rmap_o.readdata(31 downto 24) &lt;= rmap_registers_wr_i.aeb_gen_cfg_reserved_e88.reserved(31 downto 24);</t>
  </si>
  <si>
    <t xml:space="preserve">  when (16#45D#) =&gt;</t>
  </si>
  <si>
    <t xml:space="preserve">      -- AEB General Configuration Area Register "RESERVED_E8C" : "RESERVED" Field</t>
  </si>
  <si>
    <t xml:space="preserve">      avalon_mm_rmap_o.readdata(7 downto 0) &lt;= rmap_registers_wr_i.aeb_gen_cfg_reserved_e8c.reserved(7 downto 0);</t>
  </si>
  <si>
    <t xml:space="preserve">      avalon_mm_rmap_o.readdata(15 downto 8) &lt;= rmap_registers_wr_i.aeb_gen_cfg_reserved_e8c.reserved(15 downto 8);</t>
  </si>
  <si>
    <t xml:space="preserve">      avalon_mm_rmap_o.readdata(23 downto 16) &lt;= rmap_registers_wr_i.aeb_gen_cfg_reserved_e8c.reserved(23 downto 16);</t>
  </si>
  <si>
    <t xml:space="preserve">      avalon_mm_rmap_o.readdata(31 downto 24) &lt;= rmap_registers_wr_i.aeb_gen_cfg_reserved_e8c.reserved(31 downto 24);</t>
  </si>
  <si>
    <t xml:space="preserve">  when (16#45E#) =&gt;</t>
  </si>
  <si>
    <t xml:space="preserve">      -- AEB General Configuration Area Register "RESERVED_E90" : "RESERVED" Field</t>
  </si>
  <si>
    <t xml:space="preserve">      avalon_mm_rmap_o.readdata(7 downto 0) &lt;= rmap_registers_wr_i.aeb_gen_cfg_reserved_e90.reserved(7 downto 0);</t>
  </si>
  <si>
    <t xml:space="preserve">      avalon_mm_rmap_o.readdata(15 downto 8) &lt;= rmap_registers_wr_i.aeb_gen_cfg_reserved_e90.reserved(15 downto 8);</t>
  </si>
  <si>
    <t xml:space="preserve">      avalon_mm_rmap_o.readdata(23 downto 16) &lt;= rmap_registers_wr_i.aeb_gen_cfg_reserved_e90.reserved(23 downto 16);</t>
  </si>
  <si>
    <t xml:space="preserve">      avalon_mm_rmap_o.readdata(31 downto 24) &lt;= rmap_registers_wr_i.aeb_gen_cfg_reserved_e90.reserved(31 downto 24);</t>
  </si>
  <si>
    <t xml:space="preserve">  when (16#45F#) =&gt;</t>
  </si>
  <si>
    <t xml:space="preserve">      -- AEB General Configuration Area Register "RESERVED_E94" : "RESERVED" Field</t>
  </si>
  <si>
    <t xml:space="preserve">      avalon_mm_rmap_o.readdata(7 downto 0) &lt;= rmap_registers_wr_i.aeb_gen_cfg_reserved_e94.reserved(7 downto 0);</t>
  </si>
  <si>
    <t xml:space="preserve">      avalon_mm_rmap_o.readdata(15 downto 8) &lt;= rmap_registers_wr_i.aeb_gen_cfg_reserved_e94.reserved(15 downto 8);</t>
  </si>
  <si>
    <t xml:space="preserve">      avalon_mm_rmap_o.readdata(23 downto 16) &lt;= rmap_registers_wr_i.aeb_gen_cfg_reserved_e94.reserved(23 downto 16);</t>
  </si>
  <si>
    <t xml:space="preserve">      avalon_mm_rmap_o.readdata(31 downto 24) &lt;= rmap_registers_wr_i.aeb_gen_cfg_reserved_e94.reserved(31 downto 24);</t>
  </si>
  <si>
    <t xml:space="preserve">  when (16#460#) =&gt;</t>
  </si>
  <si>
    <t xml:space="preserve">      -- AEB General Configuration Area Register "RESERVED_E98" : "RESERVED" Field</t>
  </si>
  <si>
    <t xml:space="preserve">      avalon_mm_rmap_o.readdata(7 downto 0) &lt;= rmap_registers_wr_i.aeb_gen_cfg_reserved_e98.reserved(7 downto 0);</t>
  </si>
  <si>
    <t xml:space="preserve">      avalon_mm_rmap_o.readdata(15 downto 8) &lt;= rmap_registers_wr_i.aeb_gen_cfg_reserved_e98.reserved(15 downto 8);</t>
  </si>
  <si>
    <t xml:space="preserve">      avalon_mm_rmap_o.readdata(23 downto 16) &lt;= rmap_registers_wr_i.aeb_gen_cfg_reserved_e98.reserved(23 downto 16);</t>
  </si>
  <si>
    <t xml:space="preserve">      avalon_mm_rmap_o.readdata(31 downto 24) &lt;= rmap_registers_wr_i.aeb_gen_cfg_reserved_e98.reserved(31 downto 24);</t>
  </si>
  <si>
    <t xml:space="preserve">  when (16#461#) =&gt;</t>
  </si>
  <si>
    <t xml:space="preserve">      -- AEB General Configuration Area Register "RESERVED_E9C" : "RESERVED" Field</t>
  </si>
  <si>
    <t xml:space="preserve">      avalon_mm_rmap_o.readdata(7 downto 0) &lt;= rmap_registers_wr_i.aeb_gen_cfg_reserved_e9c.reserved(7 downto 0);</t>
  </si>
  <si>
    <t xml:space="preserve">      avalon_mm_rmap_o.readdata(15 downto 8) &lt;= rmap_registers_wr_i.aeb_gen_cfg_reserved_e9c.reserved(15 downto 8);</t>
  </si>
  <si>
    <t xml:space="preserve">      avalon_mm_rmap_o.readdata(23 downto 16) &lt;= rmap_registers_wr_i.aeb_gen_cfg_reserved_e9c.reserved(23 downto 16);</t>
  </si>
  <si>
    <t xml:space="preserve">      avalon_mm_rmap_o.readdata(31 downto 24) &lt;= rmap_registers_wr_i.aeb_gen_cfg_reserved_e9c.reserved(31 downto 24);</t>
  </si>
  <si>
    <t xml:space="preserve">  when (16#462#) =&gt;</t>
  </si>
  <si>
    <t xml:space="preserve">      -- AEB General Configuration Area Register "RESERVED_EA0" : "RESERVED" Field</t>
  </si>
  <si>
    <t xml:space="preserve">      avalon_mm_rmap_o.readdata(7 downto 0) &lt;= rmap_registers_wr_i.aeb_gen_cfg_reserved_ea0.reserved(7 downto 0);</t>
  </si>
  <si>
    <t xml:space="preserve">      avalon_mm_rmap_o.readdata(15 downto 8) &lt;= rmap_registers_wr_i.aeb_gen_cfg_reserved_ea0.reserved(15 downto 8);</t>
  </si>
  <si>
    <t xml:space="preserve">      avalon_mm_rmap_o.readdata(23 downto 16) &lt;= rmap_registers_wr_i.aeb_gen_cfg_reserved_ea0.reserved(23 downto 16);</t>
  </si>
  <si>
    <t xml:space="preserve">      avalon_mm_rmap_o.readdata(31 downto 24) &lt;= rmap_registers_wr_i.aeb_gen_cfg_reserved_ea0.reserved(31 downto 24);</t>
  </si>
  <si>
    <t xml:space="preserve">  when (16#463#) =&gt;</t>
  </si>
  <si>
    <t xml:space="preserve">      -- AEB General Configuration Area Register "RESERVED_EA4" : "RESERVED" Field</t>
  </si>
  <si>
    <t xml:space="preserve">      avalon_mm_rmap_o.readdata(7 downto 0) &lt;= rmap_registers_wr_i.aeb_gen_cfg_reserved_ea4.reserved(7 downto 0);</t>
  </si>
  <si>
    <t xml:space="preserve">      avalon_mm_rmap_o.readdata(15 downto 8) &lt;= rmap_registers_wr_i.aeb_gen_cfg_reserved_ea4.reserved(15 downto 8);</t>
  </si>
  <si>
    <t xml:space="preserve">      avalon_mm_rmap_o.readdata(23 downto 16) &lt;= rmap_registers_wr_i.aeb_gen_cfg_reserved_ea4.reserved(23 downto 16);</t>
  </si>
  <si>
    <t xml:space="preserve">      avalon_mm_rmap_o.readdata(31 downto 24) &lt;= rmap_registers_wr_i.aeb_gen_cfg_reserved_ea4.reserved(31 downto 24);</t>
  </si>
  <si>
    <t xml:space="preserve">  when (16#464#) =&gt;</t>
  </si>
  <si>
    <t xml:space="preserve">      -- AEB General Configuration Area Register "RESERVED_EA8" : "RESERVED" Field</t>
  </si>
  <si>
    <t xml:space="preserve">      avalon_mm_rmap_o.readdata(7 downto 0) &lt;= rmap_registers_wr_i.aeb_gen_cfg_reserved_ea8.reserved(7 downto 0);</t>
  </si>
  <si>
    <t xml:space="preserve">      avalon_mm_rmap_o.readdata(15 downto 8) &lt;= rmap_registers_wr_i.aeb_gen_cfg_reserved_ea8.reserved(15 downto 8);</t>
  </si>
  <si>
    <t xml:space="preserve">      avalon_mm_rmap_o.readdata(23 downto 16) &lt;= rmap_registers_wr_i.aeb_gen_cfg_reserved_ea8.reserved(23 downto 16);</t>
  </si>
  <si>
    <t xml:space="preserve">      avalon_mm_rmap_o.readdata(31 downto 24) &lt;= rmap_registers_wr_i.aeb_gen_cfg_reserved_ea8.reserved(31 downto 24);</t>
  </si>
  <si>
    <t xml:space="preserve">  when (16#465#) =&gt;</t>
  </si>
  <si>
    <t xml:space="preserve">      -- AEB General Configuration Area Register "RESERVED_EAC" : "RESERVED" Field</t>
  </si>
  <si>
    <t xml:space="preserve">      avalon_mm_rmap_o.readdata(7 downto 0) &lt;= rmap_registers_wr_i.aeb_gen_cfg_reserved_eac.reserved(7 downto 0);</t>
  </si>
  <si>
    <t xml:space="preserve">      avalon_mm_rmap_o.readdata(15 downto 8) &lt;= rmap_registers_wr_i.aeb_gen_cfg_reserved_eac.reserved(15 downto 8);</t>
  </si>
  <si>
    <t xml:space="preserve">      avalon_mm_rmap_o.readdata(23 downto 16) &lt;= rmap_registers_wr_i.aeb_gen_cfg_reserved_eac.reserved(23 downto 16);</t>
  </si>
  <si>
    <t xml:space="preserve">      avalon_mm_rmap_o.readdata(31 downto 24) &lt;= rmap_registers_wr_i.aeb_gen_cfg_reserved_eac.reserved(31 downto 24);</t>
  </si>
  <si>
    <t xml:space="preserve">  when (16#466#) =&gt;</t>
  </si>
  <si>
    <t xml:space="preserve">      -- AEB General Configuration Area Register "RESERVED_EB0" : "RESERVED" Field</t>
  </si>
  <si>
    <t xml:space="preserve">      avalon_mm_rmap_o.readdata(7 downto 0) &lt;= rmap_registers_wr_i.aeb_gen_cfg_reserved_eb0.reserved(7 downto 0);</t>
  </si>
  <si>
    <t xml:space="preserve">      avalon_mm_rmap_o.readdata(15 downto 8) &lt;= rmap_registers_wr_i.aeb_gen_cfg_reserved_eb0.reserved(15 downto 8);</t>
  </si>
  <si>
    <t xml:space="preserve">      avalon_mm_rmap_o.readdata(23 downto 16) &lt;= rmap_registers_wr_i.aeb_gen_cfg_reserved_eb0.reserved(23 downto 16);</t>
  </si>
  <si>
    <t xml:space="preserve">      avalon_mm_rmap_o.readdata(31 downto 24) &lt;= rmap_registers_wr_i.aeb_gen_cfg_reserved_eb0.reserved(31 downto 24);</t>
  </si>
  <si>
    <t xml:space="preserve">  when (16#467#) =&gt;</t>
  </si>
  <si>
    <t xml:space="preserve">      -- AEB General Configuration Area Register "RESERVED_EB4" : "RESERVED" Field</t>
  </si>
  <si>
    <t xml:space="preserve">      avalon_mm_rmap_o.readdata(7 downto 0) &lt;= rmap_registers_wr_i.aeb_gen_cfg_reserved_eb4.reserved(7 downto 0);</t>
  </si>
  <si>
    <t xml:space="preserve">      avalon_mm_rmap_o.readdata(15 downto 8) &lt;= rmap_registers_wr_i.aeb_gen_cfg_reserved_eb4.reserved(15 downto 8);</t>
  </si>
  <si>
    <t xml:space="preserve">      avalon_mm_rmap_o.readdata(23 downto 16) &lt;= rmap_registers_wr_i.aeb_gen_cfg_reserved_eb4.reserved(23 downto 16);</t>
  </si>
  <si>
    <t xml:space="preserve">      avalon_mm_rmap_o.readdata(31 downto 24) &lt;= rmap_registers_wr_i.aeb_gen_cfg_reserved_eb4.reserved(31 downto 24);</t>
  </si>
  <si>
    <t xml:space="preserve">  when (16#468#) =&gt;</t>
  </si>
  <si>
    <t xml:space="preserve">      -- AEB General Configuration Area Register "RESERVED_EB8" : "RESERVED" Field</t>
  </si>
  <si>
    <t xml:space="preserve">      avalon_mm_rmap_o.readdata(7 downto 0) &lt;= rmap_registers_wr_i.aeb_gen_cfg_reserved_eb8.reserved(7 downto 0);</t>
  </si>
  <si>
    <t xml:space="preserve">      avalon_mm_rmap_o.readdata(15 downto 8) &lt;= rmap_registers_wr_i.aeb_gen_cfg_reserved_eb8.reserved(15 downto 8);</t>
  </si>
  <si>
    <t xml:space="preserve">      avalon_mm_rmap_o.readdata(23 downto 16) &lt;= rmap_registers_wr_i.aeb_gen_cfg_reserved_eb8.reserved(23 downto 16);</t>
  </si>
  <si>
    <t xml:space="preserve">      avalon_mm_rmap_o.readdata(31 downto 24) &lt;= rmap_registers_wr_i.aeb_gen_cfg_reserved_eb8.reserved(31 downto 24);</t>
  </si>
  <si>
    <t xml:space="preserve">  when (16#469#) =&gt;</t>
  </si>
  <si>
    <t xml:space="preserve">      -- AEB General Configuration Area Register "RESERVED_EBC" : "RESERVED" Field</t>
  </si>
  <si>
    <t xml:space="preserve">      avalon_mm_rmap_o.readdata(7 downto 0) &lt;= rmap_registers_wr_i.aeb_gen_cfg_reserved_ebc.reserved(7 downto 0);</t>
  </si>
  <si>
    <t xml:space="preserve">      avalon_mm_rmap_o.readdata(15 downto 8) &lt;= rmap_registers_wr_i.aeb_gen_cfg_reserved_ebc.reserved(15 downto 8);</t>
  </si>
  <si>
    <t xml:space="preserve">      avalon_mm_rmap_o.readdata(23 downto 16) &lt;= rmap_registers_wr_i.aeb_gen_cfg_reserved_ebc.reserved(23 downto 16);</t>
  </si>
  <si>
    <t xml:space="preserve">      avalon_mm_rmap_o.readdata(31 downto 24) &lt;= rmap_registers_wr_i.aeb_gen_cfg_reserved_ebc.reserved(31 downto 24);</t>
  </si>
  <si>
    <t xml:space="preserve">  when (16#46A#) =&gt;</t>
  </si>
  <si>
    <t xml:space="preserve">      -- AEB General Configuration Area Register "RESERVED_EC0" : "RESERVED" Field</t>
  </si>
  <si>
    <t xml:space="preserve">      avalon_mm_rmap_o.readdata(7 downto 0) &lt;= rmap_registers_wr_i.aeb_gen_cfg_reserved_ec0.reserved(7 downto 0);</t>
  </si>
  <si>
    <t xml:space="preserve">      avalon_mm_rmap_o.readdata(15 downto 8) &lt;= rmap_registers_wr_i.aeb_gen_cfg_reserved_ec0.reserved(15 downto 8);</t>
  </si>
  <si>
    <t xml:space="preserve">      avalon_mm_rmap_o.readdata(23 downto 16) &lt;= rmap_registers_wr_i.aeb_gen_cfg_reserved_ec0.reserved(23 downto 16);</t>
  </si>
  <si>
    <t xml:space="preserve">      avalon_mm_rmap_o.readdata(31 downto 24) &lt;= rmap_registers_wr_i.aeb_gen_cfg_reserved_ec0.reserved(31 downto 24);</t>
  </si>
  <si>
    <t xml:space="preserve">  when (16#46B#) =&gt;</t>
  </si>
  <si>
    <t xml:space="preserve">      -- AEB General Configuration Area Register "RESERVED_EC4" : "RESERVED" Field</t>
  </si>
  <si>
    <t xml:space="preserve">      avalon_mm_rmap_o.readdata(7 downto 0) &lt;= rmap_registers_wr_i.aeb_gen_cfg_reserved_ec4.reserved(7 downto 0);</t>
  </si>
  <si>
    <t xml:space="preserve">      avalon_mm_rmap_o.readdata(15 downto 8) &lt;= rmap_registers_wr_i.aeb_gen_cfg_reserved_ec4.reserved(15 downto 8);</t>
  </si>
  <si>
    <t xml:space="preserve">      avalon_mm_rmap_o.readdata(23 downto 16) &lt;= rmap_registers_wr_i.aeb_gen_cfg_reserved_ec4.reserved(23 downto 16);</t>
  </si>
  <si>
    <t xml:space="preserve">      avalon_mm_rmap_o.readdata(31 downto 24) &lt;= rmap_registers_wr_i.aeb_gen_cfg_reserved_ec4.reserved(31 downto 24);</t>
  </si>
  <si>
    <t xml:space="preserve">  when (16#46C#) =&gt;</t>
  </si>
  <si>
    <t xml:space="preserve">      -- AEB General Configuration Area Register "RESERVED_EC8" : "RESERVED" Field</t>
  </si>
  <si>
    <t xml:space="preserve">      avalon_mm_rmap_o.readdata(7 downto 0) &lt;= rmap_registers_wr_i.aeb_gen_cfg_reserved_ec8.reserved(7 downto 0);</t>
  </si>
  <si>
    <t xml:space="preserve">      avalon_mm_rmap_o.readdata(15 downto 8) &lt;= rmap_registers_wr_i.aeb_gen_cfg_reserved_ec8.reserved(15 downto 8);</t>
  </si>
  <si>
    <t xml:space="preserve">      avalon_mm_rmap_o.readdata(23 downto 16) &lt;= rmap_registers_wr_i.aeb_gen_cfg_reserved_ec8.reserved(23 downto 16);</t>
  </si>
  <si>
    <t xml:space="preserve">      avalon_mm_rmap_o.readdata(31 downto 24) &lt;= rmap_registers_wr_i.aeb_gen_cfg_reserved_ec8.reserved(31 downto 24);</t>
  </si>
  <si>
    <t xml:space="preserve">  when (16#46D#) =&gt;</t>
  </si>
  <si>
    <t xml:space="preserve">      -- AEB General Configuration Area Register "RESERVED_ECC" : "RESERVED" Field</t>
  </si>
  <si>
    <t xml:space="preserve">      avalon_mm_rmap_o.readdata(7 downto 0) &lt;= rmap_registers_wr_i.aeb_gen_cfg_reserved_ecc.reserved(7 downto 0);</t>
  </si>
  <si>
    <t xml:space="preserve">      avalon_mm_rmap_o.readdata(15 downto 8) &lt;= rmap_registers_wr_i.aeb_gen_cfg_reserved_ecc.reserved(15 downto 8);</t>
  </si>
  <si>
    <t xml:space="preserve">      avalon_mm_rmap_o.readdata(23 downto 16) &lt;= rmap_registers_wr_i.aeb_gen_cfg_reserved_ecc.reserved(23 downto 16);</t>
  </si>
  <si>
    <t xml:space="preserve">      avalon_mm_rmap_o.readdata(31 downto 24) &lt;= rmap_registers_wr_i.aeb_gen_cfg_reserved_ecc.reserved(31 downto 24);</t>
  </si>
  <si>
    <t xml:space="preserve">  when (16#46E#) =&gt;</t>
  </si>
  <si>
    <t xml:space="preserve">      -- AEB General Configuration Area Register "RESERVED_ED0" : "RESERVED" Field</t>
  </si>
  <si>
    <t xml:space="preserve">      avalon_mm_rmap_o.readdata(7 downto 0) &lt;= rmap_registers_wr_i.aeb_gen_cfg_reserved_ed0.reserved(7 downto 0);</t>
  </si>
  <si>
    <t xml:space="preserve">      avalon_mm_rmap_o.readdata(15 downto 8) &lt;= rmap_registers_wr_i.aeb_gen_cfg_reserved_ed0.reserved(15 downto 8);</t>
  </si>
  <si>
    <t xml:space="preserve">      avalon_mm_rmap_o.readdata(23 downto 16) &lt;= rmap_registers_wr_i.aeb_gen_cfg_reserved_ed0.reserved(23 downto 16);</t>
  </si>
  <si>
    <t xml:space="preserve">      avalon_mm_rmap_o.readdata(31 downto 24) &lt;= rmap_registers_wr_i.aeb_gen_cfg_reserved_ed0.reserved(31 downto 24);</t>
  </si>
  <si>
    <t xml:space="preserve">  when (16#46F#) =&gt;</t>
  </si>
  <si>
    <t xml:space="preserve">      -- AEB General Configuration Area Register "RESERVED_ED4" : "RESERVED" Field</t>
  </si>
  <si>
    <t xml:space="preserve">      avalon_mm_rmap_o.readdata(7 downto 0) &lt;= rmap_registers_wr_i.aeb_gen_cfg_reserved_ed4.reserved(7 downto 0);</t>
  </si>
  <si>
    <t xml:space="preserve">      avalon_mm_rmap_o.readdata(15 downto 8) &lt;= rmap_registers_wr_i.aeb_gen_cfg_reserved_ed4.reserved(15 downto 8);</t>
  </si>
  <si>
    <t xml:space="preserve">      avalon_mm_rmap_o.readdata(23 downto 16) &lt;= rmap_registers_wr_i.aeb_gen_cfg_reserved_ed4.reserved(23 downto 16);</t>
  </si>
  <si>
    <t xml:space="preserve">      avalon_mm_rmap_o.readdata(31 downto 24) &lt;= rmap_registers_wr_i.aeb_gen_cfg_reserved_ed4.reserved(31 downto 24);</t>
  </si>
  <si>
    <t xml:space="preserve">  when (16#470#) =&gt;</t>
  </si>
  <si>
    <t xml:space="preserve">      -- AEB General Configuration Area Register "RESERVED_ED8" : "RESERVED" Field</t>
  </si>
  <si>
    <t xml:space="preserve">      avalon_mm_rmap_o.readdata(7 downto 0) &lt;= rmap_registers_wr_i.aeb_gen_cfg_reserved_ed8.reserved(7 downto 0);</t>
  </si>
  <si>
    <t xml:space="preserve">      avalon_mm_rmap_o.readdata(15 downto 8) &lt;= rmap_registers_wr_i.aeb_gen_cfg_reserved_ed8.reserved(15 downto 8);</t>
  </si>
  <si>
    <t xml:space="preserve">      avalon_mm_rmap_o.readdata(23 downto 16) &lt;= rmap_registers_wr_i.aeb_gen_cfg_reserved_ed8.reserved(23 downto 16);</t>
  </si>
  <si>
    <t xml:space="preserve">      avalon_mm_rmap_o.readdata(31 downto 24) &lt;= rmap_registers_wr_i.aeb_gen_cfg_reserved_ed8.reserved(31 downto 24);</t>
  </si>
  <si>
    <t xml:space="preserve">  when (16#471#) =&gt;</t>
  </si>
  <si>
    <t xml:space="preserve">      -- AEB General Configuration Area Register "RESERVED_EDC" : "RESERVED" Field</t>
  </si>
  <si>
    <t xml:space="preserve">      avalon_mm_rmap_o.readdata(7 downto 0) &lt;= rmap_registers_wr_i.aeb_gen_cfg_reserved_edc.reserved(7 downto 0);</t>
  </si>
  <si>
    <t xml:space="preserve">      avalon_mm_rmap_o.readdata(15 downto 8) &lt;= rmap_registers_wr_i.aeb_gen_cfg_reserved_edc.reserved(15 downto 8);</t>
  </si>
  <si>
    <t xml:space="preserve">      avalon_mm_rmap_o.readdata(23 downto 16) &lt;= rmap_registers_wr_i.aeb_gen_cfg_reserved_edc.reserved(23 downto 16);</t>
  </si>
  <si>
    <t xml:space="preserve">      avalon_mm_rmap_o.readdata(31 downto 24) &lt;= rmap_registers_wr_i.aeb_gen_cfg_reserved_edc.reserved(31 downto 24);</t>
  </si>
  <si>
    <t xml:space="preserve">  when (16#472#) =&gt;</t>
  </si>
  <si>
    <t xml:space="preserve">      -- AEB General Configuration Area Register "RESERVED_EE0" : "RESERVED" Field</t>
  </si>
  <si>
    <t xml:space="preserve">      avalon_mm_rmap_o.readdata(7 downto 0) &lt;= rmap_registers_wr_i.aeb_gen_cfg_reserved_ee0.reserved(7 downto 0);</t>
  </si>
  <si>
    <t xml:space="preserve">      avalon_mm_rmap_o.readdata(15 downto 8) &lt;= rmap_registers_wr_i.aeb_gen_cfg_reserved_ee0.reserved(15 downto 8);</t>
  </si>
  <si>
    <t xml:space="preserve">      avalon_mm_rmap_o.readdata(23 downto 16) &lt;= rmap_registers_wr_i.aeb_gen_cfg_reserved_ee0.reserved(23 downto 16);</t>
  </si>
  <si>
    <t xml:space="preserve">      avalon_mm_rmap_o.readdata(31 downto 24) &lt;= rmap_registers_wr_i.aeb_gen_cfg_reserved_ee0.reserved(31 downto 24);</t>
  </si>
  <si>
    <t xml:space="preserve">  when (16#473#) =&gt;</t>
  </si>
  <si>
    <t xml:space="preserve">      -- AEB General Configuration Area Register "RESERVED_EE4" : "RESERVED" Field</t>
  </si>
  <si>
    <t xml:space="preserve">      avalon_mm_rmap_o.readdata(7 downto 0) &lt;= rmap_registers_wr_i.aeb_gen_cfg_reserved_ee4.reserved(7 downto 0);</t>
  </si>
  <si>
    <t xml:space="preserve">      avalon_mm_rmap_o.readdata(15 downto 8) &lt;= rmap_registers_wr_i.aeb_gen_cfg_reserved_ee4.reserved(15 downto 8);</t>
  </si>
  <si>
    <t xml:space="preserve">      avalon_mm_rmap_o.readdata(23 downto 16) &lt;= rmap_registers_wr_i.aeb_gen_cfg_reserved_ee4.reserved(23 downto 16);</t>
  </si>
  <si>
    <t xml:space="preserve">      avalon_mm_rmap_o.readdata(31 downto 24) &lt;= rmap_registers_wr_i.aeb_gen_cfg_reserved_ee4.reserved(31 downto 24);</t>
  </si>
  <si>
    <t xml:space="preserve">  when (16#474#) =&gt;</t>
  </si>
  <si>
    <t xml:space="preserve">      -- AEB General Configuration Area Register "RESERVED_EE8" : "RESERVED" Field</t>
  </si>
  <si>
    <t xml:space="preserve">      avalon_mm_rmap_o.readdata(7 downto 0) &lt;= rmap_registers_wr_i.aeb_gen_cfg_reserved_ee8.reserved(7 downto 0);</t>
  </si>
  <si>
    <t xml:space="preserve">      avalon_mm_rmap_o.readdata(15 downto 8) &lt;= rmap_registers_wr_i.aeb_gen_cfg_reserved_ee8.reserved(15 downto 8);</t>
  </si>
  <si>
    <t xml:space="preserve">      avalon_mm_rmap_o.readdata(23 downto 16) &lt;= rmap_registers_wr_i.aeb_gen_cfg_reserved_ee8.reserved(23 downto 16);</t>
  </si>
  <si>
    <t xml:space="preserve">      avalon_mm_rmap_o.readdata(31 downto 24) &lt;= rmap_registers_wr_i.aeb_gen_cfg_reserved_ee8.reserved(31 downto 24);</t>
  </si>
  <si>
    <t xml:space="preserve">  when (16#475#) =&gt;</t>
  </si>
  <si>
    <t xml:space="preserve">      -- AEB General Configuration Area Register "RESERVED_EEC" : "RESERVED" Field</t>
  </si>
  <si>
    <t xml:space="preserve">      avalon_mm_rmap_o.readdata(7 downto 0) &lt;= rmap_registers_wr_i.aeb_gen_cfg_reserved_eec.reserved(7 downto 0);</t>
  </si>
  <si>
    <t xml:space="preserve">      avalon_mm_rmap_o.readdata(15 downto 8) &lt;= rmap_registers_wr_i.aeb_gen_cfg_reserved_eec.reserved(15 downto 8);</t>
  </si>
  <si>
    <t xml:space="preserve">      avalon_mm_rmap_o.readdata(23 downto 16) &lt;= rmap_registers_wr_i.aeb_gen_cfg_reserved_eec.reserved(23 downto 16);</t>
  </si>
  <si>
    <t xml:space="preserve">      avalon_mm_rmap_o.readdata(31 downto 24) &lt;= rmap_registers_wr_i.aeb_gen_cfg_reserved_eec.reserved(31 downto 24);</t>
  </si>
  <si>
    <t xml:space="preserve">  when (16#476#) =&gt;</t>
  </si>
  <si>
    <t xml:space="preserve">      -- AEB General Configuration Area Register "RESERVED_EF0" : "RESERVED" Field</t>
  </si>
  <si>
    <t xml:space="preserve">      avalon_mm_rmap_o.readdata(7 downto 0) &lt;= rmap_registers_wr_i.aeb_gen_cfg_reserved_ef0.reserved(7 downto 0);</t>
  </si>
  <si>
    <t xml:space="preserve">      avalon_mm_rmap_o.readdata(15 downto 8) &lt;= rmap_registers_wr_i.aeb_gen_cfg_reserved_ef0.reserved(15 downto 8);</t>
  </si>
  <si>
    <t xml:space="preserve">      avalon_mm_rmap_o.readdata(23 downto 16) &lt;= rmap_registers_wr_i.aeb_gen_cfg_reserved_ef0.reserved(23 downto 16);</t>
  </si>
  <si>
    <t xml:space="preserve">      avalon_mm_rmap_o.readdata(31 downto 24) &lt;= rmap_registers_wr_i.aeb_gen_cfg_reserved_ef0.reserved(31 downto 24);</t>
  </si>
  <si>
    <t xml:space="preserve">  when (16#477#) =&gt;</t>
  </si>
  <si>
    <t xml:space="preserve">      -- AEB General Configuration Area Register "RESERVED_EF4" : "RESERVED" Field</t>
  </si>
  <si>
    <t xml:space="preserve">      avalon_mm_rmap_o.readdata(7 downto 0) &lt;= rmap_registers_wr_i.aeb_gen_cfg_reserved_ef4.reserved(7 downto 0);</t>
  </si>
  <si>
    <t xml:space="preserve">      avalon_mm_rmap_o.readdata(15 downto 8) &lt;= rmap_registers_wr_i.aeb_gen_cfg_reserved_ef4.reserved(15 downto 8);</t>
  </si>
  <si>
    <t xml:space="preserve">      avalon_mm_rmap_o.readdata(23 downto 16) &lt;= rmap_registers_wr_i.aeb_gen_cfg_reserved_ef4.reserved(23 downto 16);</t>
  </si>
  <si>
    <t xml:space="preserve">      avalon_mm_rmap_o.readdata(31 downto 24) &lt;= rmap_registers_wr_i.aeb_gen_cfg_reserved_ef4.reserved(31 downto 24);</t>
  </si>
  <si>
    <t xml:space="preserve">  when (16#478#) =&gt;</t>
  </si>
  <si>
    <t xml:space="preserve">      -- AEB General Configuration Area Register "RESERVED_EF8" : "RESERVED" Field</t>
  </si>
  <si>
    <t xml:space="preserve">      avalon_mm_rmap_o.readdata(7 downto 0) &lt;= rmap_registers_wr_i.aeb_gen_cfg_reserved_ef8.reserved(7 downto 0);</t>
  </si>
  <si>
    <t xml:space="preserve">      avalon_mm_rmap_o.readdata(15 downto 8) &lt;= rmap_registers_wr_i.aeb_gen_cfg_reserved_ef8.reserved(15 downto 8);</t>
  </si>
  <si>
    <t xml:space="preserve">      avalon_mm_rmap_o.readdata(23 downto 16) &lt;= rmap_registers_wr_i.aeb_gen_cfg_reserved_ef8.reserved(23 downto 16);</t>
  </si>
  <si>
    <t xml:space="preserve">      avalon_mm_rmap_o.readdata(31 downto 24) &lt;= rmap_registers_wr_i.aeb_gen_cfg_reserved_ef8.reserved(31 downto 24);</t>
  </si>
  <si>
    <t xml:space="preserve">  when (16#479#) =&gt;</t>
  </si>
  <si>
    <t xml:space="preserve">      -- AEB General Configuration Area Register "RESERVED_EFC" : "RESERVED" Field</t>
  </si>
  <si>
    <t xml:space="preserve">      avalon_mm_rmap_o.readdata(7 downto 0) &lt;= rmap_registers_wr_i.aeb_gen_cfg_reserved_efc.reserved(7 downto 0);</t>
  </si>
  <si>
    <t xml:space="preserve">      avalon_mm_rmap_o.readdata(15 downto 8) &lt;= rmap_registers_wr_i.aeb_gen_cfg_reserved_efc.reserved(15 downto 8);</t>
  </si>
  <si>
    <t xml:space="preserve">      avalon_mm_rmap_o.readdata(23 downto 16) &lt;= rmap_registers_wr_i.aeb_gen_cfg_reserved_efc.reserved(23 downto 16);</t>
  </si>
  <si>
    <t xml:space="preserve">      avalon_mm_rmap_o.readdata(31 downto 24) &lt;= rmap_registers_wr_i.aeb_gen_cfg_reserved_efc.reserved(31 downto 24);</t>
  </si>
  <si>
    <t xml:space="preserve">  when (16#47A#) =&gt;</t>
  </si>
  <si>
    <t xml:space="preserve">      -- AEB General Configuration Area Register "RESERVED_F00" : "RESERVED" Field</t>
  </si>
  <si>
    <t xml:space="preserve">      avalon_mm_rmap_o.readdata(7 downto 0) &lt;= rmap_registers_wr_i.aeb_gen_cfg_reserved_f00.reserved(7 downto 0);</t>
  </si>
  <si>
    <t xml:space="preserve">      avalon_mm_rmap_o.readdata(15 downto 8) &lt;= rmap_registers_wr_i.aeb_gen_cfg_reserved_f00.reserved(15 downto 8);</t>
  </si>
  <si>
    <t xml:space="preserve">      avalon_mm_rmap_o.readdata(23 downto 16) &lt;= rmap_registers_wr_i.aeb_gen_cfg_reserved_f00.reserved(23 downto 16);</t>
  </si>
  <si>
    <t xml:space="preserve">      avalon_mm_rmap_o.readdata(31 downto 24) &lt;= rmap_registers_wr_i.aeb_gen_cfg_reserved_f00.reserved(31 downto 24);</t>
  </si>
  <si>
    <t xml:space="preserve">  when (16#47B#) =&gt;</t>
  </si>
  <si>
    <t xml:space="preserve">      -- AEB General Configuration Area Register "RESERVED_F04" : "RESERVED" Field</t>
  </si>
  <si>
    <t xml:space="preserve">      avalon_mm_rmap_o.readdata(7 downto 0) &lt;= rmap_registers_wr_i.aeb_gen_cfg_reserved_f04.reserved(7 downto 0);</t>
  </si>
  <si>
    <t xml:space="preserve">      avalon_mm_rmap_o.readdata(15 downto 8) &lt;= rmap_registers_wr_i.aeb_gen_cfg_reserved_f04.reserved(15 downto 8);</t>
  </si>
  <si>
    <t xml:space="preserve">      avalon_mm_rmap_o.readdata(23 downto 16) &lt;= rmap_registers_wr_i.aeb_gen_cfg_reserved_f04.reserved(23 downto 16);</t>
  </si>
  <si>
    <t xml:space="preserve">      avalon_mm_rmap_o.readdata(31 downto 24) &lt;= rmap_registers_wr_i.aeb_gen_cfg_reserved_f04.reserved(31 downto 24);</t>
  </si>
  <si>
    <t xml:space="preserve">  when (16#47C#) =&gt;</t>
  </si>
  <si>
    <t xml:space="preserve">      -- AEB General Configuration Area Register "RESERVED_F08" : "RESERVED" Field</t>
  </si>
  <si>
    <t xml:space="preserve">      avalon_mm_rmap_o.readdata(7 downto 0) &lt;= rmap_registers_wr_i.aeb_gen_cfg_reserved_f08.reserved(7 downto 0);</t>
  </si>
  <si>
    <t xml:space="preserve">      avalon_mm_rmap_o.readdata(15 downto 8) &lt;= rmap_registers_wr_i.aeb_gen_cfg_reserved_f08.reserved(15 downto 8);</t>
  </si>
  <si>
    <t xml:space="preserve">      avalon_mm_rmap_o.readdata(23 downto 16) &lt;= rmap_registers_wr_i.aeb_gen_cfg_reserved_f08.reserved(23 downto 16);</t>
  </si>
  <si>
    <t xml:space="preserve">      avalon_mm_rmap_o.readdata(31 downto 24) &lt;= rmap_registers_wr_i.aeb_gen_cfg_reserved_f08.reserved(31 downto 24);</t>
  </si>
  <si>
    <t xml:space="preserve">  when (16#47D#) =&gt;</t>
  </si>
  <si>
    <t xml:space="preserve">      -- AEB General Configuration Area Register "RESERVED_F0C" : "RESERVED" Field</t>
  </si>
  <si>
    <t xml:space="preserve">      avalon_mm_rmap_o.readdata(7 downto 0) &lt;= rmap_registers_wr_i.aeb_gen_cfg_reserved_f0c.reserved(7 downto 0);</t>
  </si>
  <si>
    <t xml:space="preserve">      avalon_mm_rmap_o.readdata(15 downto 8) &lt;= rmap_registers_wr_i.aeb_gen_cfg_reserved_f0c.reserved(15 downto 8);</t>
  </si>
  <si>
    <t xml:space="preserve">      avalon_mm_rmap_o.readdata(23 downto 16) &lt;= rmap_registers_wr_i.aeb_gen_cfg_reserved_f0c.reserved(23 downto 16);</t>
  </si>
  <si>
    <t xml:space="preserve">      avalon_mm_rmap_o.readdata(31 downto 24) &lt;= rmap_registers_wr_i.aeb_gen_cfg_reserved_f0c.reserved(31 downto 24);</t>
  </si>
  <si>
    <t xml:space="preserve">  when (16#47E#) =&gt;</t>
  </si>
  <si>
    <t xml:space="preserve">      -- AEB General Configuration Area Register "RESERVED_F10" : "RESERVED" Field</t>
  </si>
  <si>
    <t xml:space="preserve">      avalon_mm_rmap_o.readdata(7 downto 0) &lt;= rmap_registers_wr_i.aeb_gen_cfg_reserved_f10.reserved(7 downto 0);</t>
  </si>
  <si>
    <t xml:space="preserve">      avalon_mm_rmap_o.readdata(15 downto 8) &lt;= rmap_registers_wr_i.aeb_gen_cfg_reserved_f10.reserved(15 downto 8);</t>
  </si>
  <si>
    <t xml:space="preserve">      avalon_mm_rmap_o.readdata(23 downto 16) &lt;= rmap_registers_wr_i.aeb_gen_cfg_reserved_f10.reserved(23 downto 16);</t>
  </si>
  <si>
    <t xml:space="preserve">      avalon_mm_rmap_o.readdata(31 downto 24) &lt;= rmap_registers_wr_i.aeb_gen_cfg_reserved_f10.reserved(31 downto 24);</t>
  </si>
  <si>
    <t xml:space="preserve">  when (16#47F#) =&gt;</t>
  </si>
  <si>
    <t xml:space="preserve">      -- AEB General Configuration Area Register "RESERVED_F14" : "RESERVED" Field</t>
  </si>
  <si>
    <t xml:space="preserve">      avalon_mm_rmap_o.readdata(7 downto 0) &lt;= rmap_registers_wr_i.aeb_gen_cfg_reserved_f14.reserved(7 downto 0);</t>
  </si>
  <si>
    <t xml:space="preserve">      avalon_mm_rmap_o.readdata(15 downto 8) &lt;= rmap_registers_wr_i.aeb_gen_cfg_reserved_f14.reserved(15 downto 8);</t>
  </si>
  <si>
    <t xml:space="preserve">      avalon_mm_rmap_o.readdata(23 downto 16) &lt;= rmap_registers_wr_i.aeb_gen_cfg_reserved_f14.reserved(23 downto 16);</t>
  </si>
  <si>
    <t xml:space="preserve">      avalon_mm_rmap_o.readdata(31 downto 24) &lt;= rmap_registers_wr_i.aeb_gen_cfg_reserved_f14.reserved(31 downto 24);</t>
  </si>
  <si>
    <t xml:space="preserve">  when (16#480#) =&gt;</t>
  </si>
  <si>
    <t xml:space="preserve">      -- AEB General Configuration Area Register "RESERVED_F18" : "RESERVED" Field</t>
  </si>
  <si>
    <t xml:space="preserve">      avalon_mm_rmap_o.readdata(7 downto 0) &lt;= rmap_registers_wr_i.aeb_gen_cfg_reserved_f18.reserved(7 downto 0);</t>
  </si>
  <si>
    <t xml:space="preserve">      avalon_mm_rmap_o.readdata(15 downto 8) &lt;= rmap_registers_wr_i.aeb_gen_cfg_reserved_f18.reserved(15 downto 8);</t>
  </si>
  <si>
    <t xml:space="preserve">      avalon_mm_rmap_o.readdata(23 downto 16) &lt;= rmap_registers_wr_i.aeb_gen_cfg_reserved_f18.reserved(23 downto 16);</t>
  </si>
  <si>
    <t xml:space="preserve">      avalon_mm_rmap_o.readdata(31 downto 24) &lt;= rmap_registers_wr_i.aeb_gen_cfg_reserved_f18.reserved(31 downto 24);</t>
  </si>
  <si>
    <t xml:space="preserve">  when (16#481#) =&gt;</t>
  </si>
  <si>
    <t xml:space="preserve">      -- AEB General Configuration Area Register "RESERVED_F1C" : "RESERVED" Field</t>
  </si>
  <si>
    <t xml:space="preserve">      avalon_mm_rmap_o.readdata(7 downto 0) &lt;= rmap_registers_wr_i.aeb_gen_cfg_reserved_f1c.reserved(7 downto 0);</t>
  </si>
  <si>
    <t xml:space="preserve">      avalon_mm_rmap_o.readdata(15 downto 8) &lt;= rmap_registers_wr_i.aeb_gen_cfg_reserved_f1c.reserved(15 downto 8);</t>
  </si>
  <si>
    <t xml:space="preserve">      avalon_mm_rmap_o.readdata(23 downto 16) &lt;= rmap_registers_wr_i.aeb_gen_cfg_reserved_f1c.reserved(23 downto 16);</t>
  </si>
  <si>
    <t xml:space="preserve">      avalon_mm_rmap_o.readdata(31 downto 24) &lt;= rmap_registers_wr_i.aeb_gen_cfg_reserved_f1c.reserved(31 downto 24);</t>
  </si>
  <si>
    <t xml:space="preserve">  when (16#482#) =&gt;</t>
  </si>
  <si>
    <t xml:space="preserve">      -- AEB General Configuration Area Register "RESERVED_F20" : "RESERVED" Field</t>
  </si>
  <si>
    <t xml:space="preserve">      avalon_mm_rmap_o.readdata(7 downto 0) &lt;= rmap_registers_wr_i.aeb_gen_cfg_reserved_f20.reserved(7 downto 0);</t>
  </si>
  <si>
    <t xml:space="preserve">      avalon_mm_rmap_o.readdata(15 downto 8) &lt;= rmap_registers_wr_i.aeb_gen_cfg_reserved_f20.reserved(15 downto 8);</t>
  </si>
  <si>
    <t xml:space="preserve">      avalon_mm_rmap_o.readdata(23 downto 16) &lt;= rmap_registers_wr_i.aeb_gen_cfg_reserved_f20.reserved(23 downto 16);</t>
  </si>
  <si>
    <t xml:space="preserve">      avalon_mm_rmap_o.readdata(31 downto 24) &lt;= rmap_registers_wr_i.aeb_gen_cfg_reserved_f20.reserved(31 downto 24);</t>
  </si>
  <si>
    <t xml:space="preserve">  when (16#483#) =&gt;</t>
  </si>
  <si>
    <t xml:space="preserve">      -- AEB General Configuration Area Register "RESERVED_F24" : "RESERVED" Field</t>
  </si>
  <si>
    <t xml:space="preserve">      avalon_mm_rmap_o.readdata(7 downto 0) &lt;= rmap_registers_wr_i.aeb_gen_cfg_reserved_f24.reserved(7 downto 0);</t>
  </si>
  <si>
    <t xml:space="preserve">      avalon_mm_rmap_o.readdata(15 downto 8) &lt;= rmap_registers_wr_i.aeb_gen_cfg_reserved_f24.reserved(15 downto 8);</t>
  </si>
  <si>
    <t xml:space="preserve">      avalon_mm_rmap_o.readdata(23 downto 16) &lt;= rmap_registers_wr_i.aeb_gen_cfg_reserved_f24.reserved(23 downto 16);</t>
  </si>
  <si>
    <t xml:space="preserve">      avalon_mm_rmap_o.readdata(31 downto 24) &lt;= rmap_registers_wr_i.aeb_gen_cfg_reserved_f24.reserved(31 downto 24);</t>
  </si>
  <si>
    <t xml:space="preserve">  when (16#484#) =&gt;</t>
  </si>
  <si>
    <t xml:space="preserve">      -- AEB General Configuration Area Register "RESERVED_F28" : "RESERVED" Field</t>
  </si>
  <si>
    <t xml:space="preserve">      avalon_mm_rmap_o.readdata(7 downto 0) &lt;= rmap_registers_wr_i.aeb_gen_cfg_reserved_f28.reserved(7 downto 0);</t>
  </si>
  <si>
    <t xml:space="preserve">      avalon_mm_rmap_o.readdata(15 downto 8) &lt;= rmap_registers_wr_i.aeb_gen_cfg_reserved_f28.reserved(15 downto 8);</t>
  </si>
  <si>
    <t xml:space="preserve">      avalon_mm_rmap_o.readdata(23 downto 16) &lt;= rmap_registers_wr_i.aeb_gen_cfg_reserved_f28.reserved(23 downto 16);</t>
  </si>
  <si>
    <t xml:space="preserve">      avalon_mm_rmap_o.readdata(31 downto 24) &lt;= rmap_registers_wr_i.aeb_gen_cfg_reserved_f28.reserved(31 downto 24);</t>
  </si>
  <si>
    <t xml:space="preserve">  when (16#485#) =&gt;</t>
  </si>
  <si>
    <t xml:space="preserve">      -- AEB General Configuration Area Register "RESERVED_F2C" : "RESERVED" Field</t>
  </si>
  <si>
    <t xml:space="preserve">      avalon_mm_rmap_o.readdata(7 downto 0) &lt;= rmap_registers_wr_i.aeb_gen_cfg_reserved_f2c.reserved(7 downto 0);</t>
  </si>
  <si>
    <t xml:space="preserve">      avalon_mm_rmap_o.readdata(15 downto 8) &lt;= rmap_registers_wr_i.aeb_gen_cfg_reserved_f2c.reserved(15 downto 8);</t>
  </si>
  <si>
    <t xml:space="preserve">      avalon_mm_rmap_o.readdata(23 downto 16) &lt;= rmap_registers_wr_i.aeb_gen_cfg_reserved_f2c.reserved(23 downto 16);</t>
  </si>
  <si>
    <t xml:space="preserve">      avalon_mm_rmap_o.readdata(31 downto 24) &lt;= rmap_registers_wr_i.aeb_gen_cfg_reserved_f2c.reserved(31 downto 24);</t>
  </si>
  <si>
    <t xml:space="preserve">  when (16#486#) =&gt;</t>
  </si>
  <si>
    <t xml:space="preserve">      -- AEB General Configuration Area Register "RESERVED_F30" : "RESERVED" Field</t>
  </si>
  <si>
    <t xml:space="preserve">      avalon_mm_rmap_o.readdata(7 downto 0) &lt;= rmap_registers_wr_i.aeb_gen_cfg_reserved_f30.reserved(7 downto 0);</t>
  </si>
  <si>
    <t xml:space="preserve">      avalon_mm_rmap_o.readdata(15 downto 8) &lt;= rmap_registers_wr_i.aeb_gen_cfg_reserved_f30.reserved(15 downto 8);</t>
  </si>
  <si>
    <t xml:space="preserve">      avalon_mm_rmap_o.readdata(23 downto 16) &lt;= rmap_registers_wr_i.aeb_gen_cfg_reserved_f30.reserved(23 downto 16);</t>
  </si>
  <si>
    <t xml:space="preserve">      avalon_mm_rmap_o.readdata(31 downto 24) &lt;= rmap_registers_wr_i.aeb_gen_cfg_reserved_f30.reserved(31 downto 24);</t>
  </si>
  <si>
    <t xml:space="preserve">  when (16#487#) =&gt;</t>
  </si>
  <si>
    <t xml:space="preserve">      -- AEB General Configuration Area Register "RESERVED_F34" : "RESERVED" Field</t>
  </si>
  <si>
    <t xml:space="preserve">      avalon_mm_rmap_o.readdata(7 downto 0) &lt;= rmap_registers_wr_i.aeb_gen_cfg_reserved_f34.reserved(7 downto 0);</t>
  </si>
  <si>
    <t xml:space="preserve">      avalon_mm_rmap_o.readdata(15 downto 8) &lt;= rmap_registers_wr_i.aeb_gen_cfg_reserved_f34.reserved(15 downto 8);</t>
  </si>
  <si>
    <t xml:space="preserve">      avalon_mm_rmap_o.readdata(23 downto 16) &lt;= rmap_registers_wr_i.aeb_gen_cfg_reserved_f34.reserved(23 downto 16);</t>
  </si>
  <si>
    <t xml:space="preserve">      avalon_mm_rmap_o.readdata(31 downto 24) &lt;= rmap_registers_wr_i.aeb_gen_cfg_reserved_f34.reserved(31 downto 24);</t>
  </si>
  <si>
    <t xml:space="preserve">  when (16#488#) =&gt;</t>
  </si>
  <si>
    <t xml:space="preserve">      -- AEB General Configuration Area Register "RESERVED_F38" : "RESERVED" Field</t>
  </si>
  <si>
    <t xml:space="preserve">      avalon_mm_rmap_o.readdata(7 downto 0) &lt;= rmap_registers_wr_i.aeb_gen_cfg_reserved_f38.reserved(7 downto 0);</t>
  </si>
  <si>
    <t xml:space="preserve">      avalon_mm_rmap_o.readdata(15 downto 8) &lt;= rmap_registers_wr_i.aeb_gen_cfg_reserved_f38.reserved(15 downto 8);</t>
  </si>
  <si>
    <t xml:space="preserve">      avalon_mm_rmap_o.readdata(23 downto 16) &lt;= rmap_registers_wr_i.aeb_gen_cfg_reserved_f38.reserved(23 downto 16);</t>
  </si>
  <si>
    <t xml:space="preserve">      avalon_mm_rmap_o.readdata(31 downto 24) &lt;= rmap_registers_wr_i.aeb_gen_cfg_reserved_f38.reserved(31 downto 24);</t>
  </si>
  <si>
    <t xml:space="preserve">  when (16#489#) =&gt;</t>
  </si>
  <si>
    <t xml:space="preserve">      -- AEB General Configuration Area Register "RESERVED_F3C" : "RESERVED" Field</t>
  </si>
  <si>
    <t xml:space="preserve">      avalon_mm_rmap_o.readdata(7 downto 0) &lt;= rmap_registers_wr_i.aeb_gen_cfg_reserved_f3c.reserved(7 downto 0);</t>
  </si>
  <si>
    <t xml:space="preserve">      avalon_mm_rmap_o.readdata(15 downto 8) &lt;= rmap_registers_wr_i.aeb_gen_cfg_reserved_f3c.reserved(15 downto 8);</t>
  </si>
  <si>
    <t xml:space="preserve">      avalon_mm_rmap_o.readdata(23 downto 16) &lt;= rmap_registers_wr_i.aeb_gen_cfg_reserved_f3c.reserved(23 downto 16);</t>
  </si>
  <si>
    <t xml:space="preserve">      avalon_mm_rmap_o.readdata(31 downto 24) &lt;= rmap_registers_wr_i.aeb_gen_cfg_reserved_f3c.reserved(31 downto 24);</t>
  </si>
  <si>
    <t xml:space="preserve">  when (16#48A#) =&gt;</t>
  </si>
  <si>
    <t xml:space="preserve">      -- AEB General Configuration Area Register "RESERVED_F40" : "RESERVED" Field</t>
  </si>
  <si>
    <t xml:space="preserve">      avalon_mm_rmap_o.readdata(7 downto 0) &lt;= rmap_registers_wr_i.aeb_gen_cfg_reserved_f40.reserved(7 downto 0);</t>
  </si>
  <si>
    <t xml:space="preserve">      avalon_mm_rmap_o.readdata(15 downto 8) &lt;= rmap_registers_wr_i.aeb_gen_cfg_reserved_f40.reserved(15 downto 8);</t>
  </si>
  <si>
    <t xml:space="preserve">      avalon_mm_rmap_o.readdata(23 downto 16) &lt;= rmap_registers_wr_i.aeb_gen_cfg_reserved_f40.reserved(23 downto 16);</t>
  </si>
  <si>
    <t xml:space="preserve">      avalon_mm_rmap_o.readdata(31 downto 24) &lt;= rmap_registers_wr_i.aeb_gen_cfg_reserved_f40.reserved(31 downto 24);</t>
  </si>
  <si>
    <t xml:space="preserve">  when (16#48B#) =&gt;</t>
  </si>
  <si>
    <t xml:space="preserve">      -- AEB General Configuration Area Register "RESERVED_F44" : "RESERVED" Field</t>
  </si>
  <si>
    <t xml:space="preserve">      avalon_mm_rmap_o.readdata(7 downto 0) &lt;= rmap_registers_wr_i.aeb_gen_cfg_reserved_f44.reserved(7 downto 0);</t>
  </si>
  <si>
    <t xml:space="preserve">      avalon_mm_rmap_o.readdata(15 downto 8) &lt;= rmap_registers_wr_i.aeb_gen_cfg_reserved_f44.reserved(15 downto 8);</t>
  </si>
  <si>
    <t xml:space="preserve">      avalon_mm_rmap_o.readdata(23 downto 16) &lt;= rmap_registers_wr_i.aeb_gen_cfg_reserved_f44.reserved(23 downto 16);</t>
  </si>
  <si>
    <t xml:space="preserve">      avalon_mm_rmap_o.readdata(31 downto 24) &lt;= rmap_registers_wr_i.aeb_gen_cfg_reserved_f44.reserved(31 downto 24);</t>
  </si>
  <si>
    <t xml:space="preserve">  when (16#48C#) =&gt;</t>
  </si>
  <si>
    <t xml:space="preserve">      -- AEB General Configuration Area Register "RESERVED_F48" : "RESERVED" Field</t>
  </si>
  <si>
    <t xml:space="preserve">      avalon_mm_rmap_o.readdata(7 downto 0) &lt;= rmap_registers_wr_i.aeb_gen_cfg_reserved_f48.reserved(7 downto 0);</t>
  </si>
  <si>
    <t xml:space="preserve">      avalon_mm_rmap_o.readdata(15 downto 8) &lt;= rmap_registers_wr_i.aeb_gen_cfg_reserved_f48.reserved(15 downto 8);</t>
  </si>
  <si>
    <t xml:space="preserve">      avalon_mm_rmap_o.readdata(23 downto 16) &lt;= rmap_registers_wr_i.aeb_gen_cfg_reserved_f48.reserved(23 downto 16);</t>
  </si>
  <si>
    <t xml:space="preserve">      avalon_mm_rmap_o.readdata(31 downto 24) &lt;= rmap_registers_wr_i.aeb_gen_cfg_reserved_f48.reserved(31 downto 24);</t>
  </si>
  <si>
    <t xml:space="preserve">  when (16#48D#) =&gt;</t>
  </si>
  <si>
    <t xml:space="preserve">      -- AEB General Configuration Area Register "RESERVED_F4C" : "RESERVED" Field</t>
  </si>
  <si>
    <t xml:space="preserve">      avalon_mm_rmap_o.readdata(7 downto 0) &lt;= rmap_registers_wr_i.aeb_gen_cfg_reserved_f4c.reserved(7 downto 0);</t>
  </si>
  <si>
    <t xml:space="preserve">      avalon_mm_rmap_o.readdata(15 downto 8) &lt;= rmap_registers_wr_i.aeb_gen_cfg_reserved_f4c.reserved(15 downto 8);</t>
  </si>
  <si>
    <t xml:space="preserve">      avalon_mm_rmap_o.readdata(23 downto 16) &lt;= rmap_registers_wr_i.aeb_gen_cfg_reserved_f4c.reserved(23 downto 16);</t>
  </si>
  <si>
    <t xml:space="preserve">      avalon_mm_rmap_o.readdata(31 downto 24) &lt;= rmap_registers_wr_i.aeb_gen_cfg_reserved_f4c.reserved(31 downto 24);</t>
  </si>
  <si>
    <t xml:space="preserve">  when (16#48E#) =&gt;</t>
  </si>
  <si>
    <t xml:space="preserve">      -- AEB General Configuration Area Register "RESERVED_F50" : "RESERVED" Field</t>
  </si>
  <si>
    <t xml:space="preserve">      avalon_mm_rmap_o.readdata(7 downto 0) &lt;= rmap_registers_wr_i.aeb_gen_cfg_reserved_f50.reserved(7 downto 0);</t>
  </si>
  <si>
    <t xml:space="preserve">      avalon_mm_rmap_o.readdata(15 downto 8) &lt;= rmap_registers_wr_i.aeb_gen_cfg_reserved_f50.reserved(15 downto 8);</t>
  </si>
  <si>
    <t xml:space="preserve">      avalon_mm_rmap_o.readdata(23 downto 16) &lt;= rmap_registers_wr_i.aeb_gen_cfg_reserved_f50.reserved(23 downto 16);</t>
  </si>
  <si>
    <t xml:space="preserve">      avalon_mm_rmap_o.readdata(31 downto 24) &lt;= rmap_registers_wr_i.aeb_gen_cfg_reserved_f50.reserved(31 downto 24);</t>
  </si>
  <si>
    <t xml:space="preserve">  when (16#48F#) =&gt;</t>
  </si>
  <si>
    <t xml:space="preserve">      -- AEB General Configuration Area Register "RESERVED_F54" : "RESERVED" Field</t>
  </si>
  <si>
    <t xml:space="preserve">      avalon_mm_rmap_o.readdata(7 downto 0) &lt;= rmap_registers_wr_i.aeb_gen_cfg_reserved_f54.reserved(7 downto 0);</t>
  </si>
  <si>
    <t xml:space="preserve">      avalon_mm_rmap_o.readdata(15 downto 8) &lt;= rmap_registers_wr_i.aeb_gen_cfg_reserved_f54.reserved(15 downto 8);</t>
  </si>
  <si>
    <t xml:space="preserve">      avalon_mm_rmap_o.readdata(23 downto 16) &lt;= rmap_registers_wr_i.aeb_gen_cfg_reserved_f54.reserved(23 downto 16);</t>
  </si>
  <si>
    <t xml:space="preserve">      avalon_mm_rmap_o.readdata(31 downto 24) &lt;= rmap_registers_wr_i.aeb_gen_cfg_reserved_f54.reserved(31 downto 24);</t>
  </si>
  <si>
    <t xml:space="preserve">  when (16#490#) =&gt;</t>
  </si>
  <si>
    <t xml:space="preserve">      -- AEB General Configuration Area Register "RESERVED_F58" : "RESERVED" Field</t>
  </si>
  <si>
    <t xml:space="preserve">      avalon_mm_rmap_o.readdata(7 downto 0) &lt;= rmap_registers_wr_i.aeb_gen_cfg_reserved_f58.reserved(7 downto 0);</t>
  </si>
  <si>
    <t xml:space="preserve">      avalon_mm_rmap_o.readdata(15 downto 8) &lt;= rmap_registers_wr_i.aeb_gen_cfg_reserved_f58.reserved(15 downto 8);</t>
  </si>
  <si>
    <t xml:space="preserve">      avalon_mm_rmap_o.readdata(23 downto 16) &lt;= rmap_registers_wr_i.aeb_gen_cfg_reserved_f58.reserved(23 downto 16);</t>
  </si>
  <si>
    <t xml:space="preserve">      avalon_mm_rmap_o.readdata(31 downto 24) &lt;= rmap_registers_wr_i.aeb_gen_cfg_reserved_f58.reserved(31 downto 24);</t>
  </si>
  <si>
    <t xml:space="preserve">  when (16#491#) =&gt;</t>
  </si>
  <si>
    <t xml:space="preserve">      -- AEB General Configuration Area Register "RESERVED_F5C" : "RESERVED" Field</t>
  </si>
  <si>
    <t xml:space="preserve">      avalon_mm_rmap_o.readdata(7 downto 0) &lt;= rmap_registers_wr_i.aeb_gen_cfg_reserved_f5c.reserved(7 downto 0);</t>
  </si>
  <si>
    <t xml:space="preserve">      avalon_mm_rmap_o.readdata(15 downto 8) &lt;= rmap_registers_wr_i.aeb_gen_cfg_reserved_f5c.reserved(15 downto 8);</t>
  </si>
  <si>
    <t xml:space="preserve">      avalon_mm_rmap_o.readdata(23 downto 16) &lt;= rmap_registers_wr_i.aeb_gen_cfg_reserved_f5c.reserved(23 downto 16);</t>
  </si>
  <si>
    <t xml:space="preserve">      avalon_mm_rmap_o.readdata(31 downto 24) &lt;= rmap_registers_wr_i.aeb_gen_cfg_reserved_f5c.reserved(31 downto 24);</t>
  </si>
  <si>
    <t xml:space="preserve">  when (16#492#) =&gt;</t>
  </si>
  <si>
    <t xml:space="preserve">      -- AEB General Configuration Area Register "RESERVED_F60" : "RESERVED" Field</t>
  </si>
  <si>
    <t xml:space="preserve">      avalon_mm_rmap_o.readdata(7 downto 0) &lt;= rmap_registers_wr_i.aeb_gen_cfg_reserved_f60.reserved(7 downto 0);</t>
  </si>
  <si>
    <t xml:space="preserve">      avalon_mm_rmap_o.readdata(15 downto 8) &lt;= rmap_registers_wr_i.aeb_gen_cfg_reserved_f60.reserved(15 downto 8);</t>
  </si>
  <si>
    <t xml:space="preserve">      avalon_mm_rmap_o.readdata(23 downto 16) &lt;= rmap_registers_wr_i.aeb_gen_cfg_reserved_f60.reserved(23 downto 16);</t>
  </si>
  <si>
    <t xml:space="preserve">      avalon_mm_rmap_o.readdata(31 downto 24) &lt;= rmap_registers_wr_i.aeb_gen_cfg_reserved_f60.reserved(31 downto 24);</t>
  </si>
  <si>
    <t xml:space="preserve">  when (16#493#) =&gt;</t>
  </si>
  <si>
    <t xml:space="preserve">      -- AEB General Configuration Area Register "RESERVED_F64" : "RESERVED" Field</t>
  </si>
  <si>
    <t xml:space="preserve">      avalon_mm_rmap_o.readdata(7 downto 0) &lt;= rmap_registers_wr_i.aeb_gen_cfg_reserved_f64.reserved(7 downto 0);</t>
  </si>
  <si>
    <t xml:space="preserve">      avalon_mm_rmap_o.readdata(15 downto 8) &lt;= rmap_registers_wr_i.aeb_gen_cfg_reserved_f64.reserved(15 downto 8);</t>
  </si>
  <si>
    <t xml:space="preserve">      avalon_mm_rmap_o.readdata(23 downto 16) &lt;= rmap_registers_wr_i.aeb_gen_cfg_reserved_f64.reserved(23 downto 16);</t>
  </si>
  <si>
    <t xml:space="preserve">      avalon_mm_rmap_o.readdata(31 downto 24) &lt;= rmap_registers_wr_i.aeb_gen_cfg_reserved_f64.reserved(31 downto 24);</t>
  </si>
  <si>
    <t xml:space="preserve">  when (16#494#) =&gt;</t>
  </si>
  <si>
    <t xml:space="preserve">      -- AEB General Configuration Area Register "RESERVED_F68" : "RESERVED" Field</t>
  </si>
  <si>
    <t xml:space="preserve">      avalon_mm_rmap_o.readdata(7 downto 0) &lt;= rmap_registers_wr_i.aeb_gen_cfg_reserved_f68.reserved(7 downto 0);</t>
  </si>
  <si>
    <t xml:space="preserve">      avalon_mm_rmap_o.readdata(15 downto 8) &lt;= rmap_registers_wr_i.aeb_gen_cfg_reserved_f68.reserved(15 downto 8);</t>
  </si>
  <si>
    <t xml:space="preserve">      avalon_mm_rmap_o.readdata(23 downto 16) &lt;= rmap_registers_wr_i.aeb_gen_cfg_reserved_f68.reserved(23 downto 16);</t>
  </si>
  <si>
    <t xml:space="preserve">      avalon_mm_rmap_o.readdata(31 downto 24) &lt;= rmap_registers_wr_i.aeb_gen_cfg_reserved_f68.reserved(31 downto 24);</t>
  </si>
  <si>
    <t xml:space="preserve">  when (16#495#) =&gt;</t>
  </si>
  <si>
    <t xml:space="preserve">      -- AEB General Configuration Area Register "RESERVED_F6C" : "RESERVED" Field</t>
  </si>
  <si>
    <t xml:space="preserve">      avalon_mm_rmap_o.readdata(7 downto 0) &lt;= rmap_registers_wr_i.aeb_gen_cfg_reserved_f6c.reserved(7 downto 0);</t>
  </si>
  <si>
    <t xml:space="preserve">      avalon_mm_rmap_o.readdata(15 downto 8) &lt;= rmap_registers_wr_i.aeb_gen_cfg_reserved_f6c.reserved(15 downto 8);</t>
  </si>
  <si>
    <t xml:space="preserve">      avalon_mm_rmap_o.readdata(23 downto 16) &lt;= rmap_registers_wr_i.aeb_gen_cfg_reserved_f6c.reserved(23 downto 16);</t>
  </si>
  <si>
    <t xml:space="preserve">      avalon_mm_rmap_o.readdata(31 downto 24) &lt;= rmap_registers_wr_i.aeb_gen_cfg_reserved_f6c.reserved(31 downto 24);</t>
  </si>
  <si>
    <t xml:space="preserve">  when (16#496#) =&gt;</t>
  </si>
  <si>
    <t xml:space="preserve">      -- AEB General Configuration Area Register "RESERVED_F70" : "RESERVED" Field</t>
  </si>
  <si>
    <t xml:space="preserve">      avalon_mm_rmap_o.readdata(7 downto 0) &lt;= rmap_registers_wr_i.aeb_gen_cfg_reserved_f70.reserved(7 downto 0);</t>
  </si>
  <si>
    <t xml:space="preserve">      avalon_mm_rmap_o.readdata(15 downto 8) &lt;= rmap_registers_wr_i.aeb_gen_cfg_reserved_f70.reserved(15 downto 8);</t>
  </si>
  <si>
    <t xml:space="preserve">      avalon_mm_rmap_o.readdata(23 downto 16) &lt;= rmap_registers_wr_i.aeb_gen_cfg_reserved_f70.reserved(23 downto 16);</t>
  </si>
  <si>
    <t xml:space="preserve">      avalon_mm_rmap_o.readdata(31 downto 24) &lt;= rmap_registers_wr_i.aeb_gen_cfg_reserved_f70.reserved(31 downto 24);</t>
  </si>
  <si>
    <t xml:space="preserve">  when (16#497#) =&gt;</t>
  </si>
  <si>
    <t xml:space="preserve">      -- AEB General Configuration Area Register "RESERVED_F74" : "RESERVED" Field</t>
  </si>
  <si>
    <t xml:space="preserve">      avalon_mm_rmap_o.readdata(7 downto 0) &lt;= rmap_registers_wr_i.aeb_gen_cfg_reserved_f74.reserved(7 downto 0);</t>
  </si>
  <si>
    <t xml:space="preserve">      avalon_mm_rmap_o.readdata(15 downto 8) &lt;= rmap_registers_wr_i.aeb_gen_cfg_reserved_f74.reserved(15 downto 8);</t>
  </si>
  <si>
    <t xml:space="preserve">      avalon_mm_rmap_o.readdata(23 downto 16) &lt;= rmap_registers_wr_i.aeb_gen_cfg_reserved_f74.reserved(23 downto 16);</t>
  </si>
  <si>
    <t xml:space="preserve">      avalon_mm_rmap_o.readdata(31 downto 24) &lt;= rmap_registers_wr_i.aeb_gen_cfg_reserved_f74.reserved(31 downto 24);</t>
  </si>
  <si>
    <t xml:space="preserve">  when (16#498#) =&gt;</t>
  </si>
  <si>
    <t xml:space="preserve">      -- AEB General Configuration Area Register "RESERVED_F78" : "RESERVED" Field</t>
  </si>
  <si>
    <t xml:space="preserve">      avalon_mm_rmap_o.readdata(7 downto 0) &lt;= rmap_registers_wr_i.aeb_gen_cfg_reserved_f78.reserved(7 downto 0);</t>
  </si>
  <si>
    <t xml:space="preserve">      avalon_mm_rmap_o.readdata(15 downto 8) &lt;= rmap_registers_wr_i.aeb_gen_cfg_reserved_f78.reserved(15 downto 8);</t>
  </si>
  <si>
    <t xml:space="preserve">      avalon_mm_rmap_o.readdata(23 downto 16) &lt;= rmap_registers_wr_i.aeb_gen_cfg_reserved_f78.reserved(23 downto 16);</t>
  </si>
  <si>
    <t xml:space="preserve">      avalon_mm_rmap_o.readdata(31 downto 24) &lt;= rmap_registers_wr_i.aeb_gen_cfg_reserved_f78.reserved(31 downto 24);</t>
  </si>
  <si>
    <t xml:space="preserve">  when (16#499#) =&gt;</t>
  </si>
  <si>
    <t xml:space="preserve">      -- AEB General Configuration Area Register "RESERVED_F7C" : "RESERVED" Field</t>
  </si>
  <si>
    <t xml:space="preserve">      avalon_mm_rmap_o.readdata(7 downto 0) &lt;= rmap_registers_wr_i.aeb_gen_cfg_reserved_f7c.reserved(7 downto 0);</t>
  </si>
  <si>
    <t xml:space="preserve">      avalon_mm_rmap_o.readdata(15 downto 8) &lt;= rmap_registers_wr_i.aeb_gen_cfg_reserved_f7c.reserved(15 downto 8);</t>
  </si>
  <si>
    <t xml:space="preserve">      avalon_mm_rmap_o.readdata(23 downto 16) &lt;= rmap_registers_wr_i.aeb_gen_cfg_reserved_f7c.reserved(23 downto 16);</t>
  </si>
  <si>
    <t xml:space="preserve">      avalon_mm_rmap_o.readdata(31 downto 24) &lt;= rmap_registers_wr_i.aeb_gen_cfg_reserved_f7c.reserved(31 downto 24);</t>
  </si>
  <si>
    <t xml:space="preserve">  when (16#49A#) =&gt;</t>
  </si>
  <si>
    <t xml:space="preserve">      -- AEB General Configuration Area Register "RESERVED_F80" : "RESERVED" Field</t>
  </si>
  <si>
    <t xml:space="preserve">      avalon_mm_rmap_o.readdata(7 downto 0) &lt;= rmap_registers_wr_i.aeb_gen_cfg_reserved_f80.reserved(7 downto 0);</t>
  </si>
  <si>
    <t xml:space="preserve">      avalon_mm_rmap_o.readdata(15 downto 8) &lt;= rmap_registers_wr_i.aeb_gen_cfg_reserved_f80.reserved(15 downto 8);</t>
  </si>
  <si>
    <t xml:space="preserve">      avalon_mm_rmap_o.readdata(23 downto 16) &lt;= rmap_registers_wr_i.aeb_gen_cfg_reserved_f80.reserved(23 downto 16);</t>
  </si>
  <si>
    <t xml:space="preserve">      avalon_mm_rmap_o.readdata(31 downto 24) &lt;= rmap_registers_wr_i.aeb_gen_cfg_reserved_f80.reserved(31 downto 24);</t>
  </si>
  <si>
    <t xml:space="preserve">  when (16#49B#) =&gt;</t>
  </si>
  <si>
    <t xml:space="preserve">      -- AEB General Configuration Area Register "RESERVED_F84" : "RESERVED" Field</t>
  </si>
  <si>
    <t xml:space="preserve">      avalon_mm_rmap_o.readdata(7 downto 0) &lt;= rmap_registers_wr_i.aeb_gen_cfg_reserved_f84.reserved(7 downto 0);</t>
  </si>
  <si>
    <t xml:space="preserve">      avalon_mm_rmap_o.readdata(15 downto 8) &lt;= rmap_registers_wr_i.aeb_gen_cfg_reserved_f84.reserved(15 downto 8);</t>
  </si>
  <si>
    <t xml:space="preserve">      avalon_mm_rmap_o.readdata(23 downto 16) &lt;= rmap_registers_wr_i.aeb_gen_cfg_reserved_f84.reserved(23 downto 16);</t>
  </si>
  <si>
    <t xml:space="preserve">      avalon_mm_rmap_o.readdata(31 downto 24) &lt;= rmap_registers_wr_i.aeb_gen_cfg_reserved_f84.reserved(31 downto 24);</t>
  </si>
  <si>
    <t xml:space="preserve">  when (16#49C#) =&gt;</t>
  </si>
  <si>
    <t xml:space="preserve">      -- AEB General Configuration Area Register "RESERVED_F88" : "RESERVED" Field</t>
  </si>
  <si>
    <t xml:space="preserve">      avalon_mm_rmap_o.readdata(7 downto 0) &lt;= rmap_registers_wr_i.aeb_gen_cfg_reserved_f88.reserved(7 downto 0);</t>
  </si>
  <si>
    <t xml:space="preserve">      avalon_mm_rmap_o.readdata(15 downto 8) &lt;= rmap_registers_wr_i.aeb_gen_cfg_reserved_f88.reserved(15 downto 8);</t>
  </si>
  <si>
    <t xml:space="preserve">      avalon_mm_rmap_o.readdata(23 downto 16) &lt;= rmap_registers_wr_i.aeb_gen_cfg_reserved_f88.reserved(23 downto 16);</t>
  </si>
  <si>
    <t xml:space="preserve">      avalon_mm_rmap_o.readdata(31 downto 24) &lt;= rmap_registers_wr_i.aeb_gen_cfg_reserved_f88.reserved(31 downto 24);</t>
  </si>
  <si>
    <t xml:space="preserve">  when (16#49D#) =&gt;</t>
  </si>
  <si>
    <t xml:space="preserve">      -- AEB General Configuration Area Register "RESERVED_F8C" : "RESERVED" Field</t>
  </si>
  <si>
    <t xml:space="preserve">      avalon_mm_rmap_o.readdata(7 downto 0) &lt;= rmap_registers_wr_i.aeb_gen_cfg_reserved_f8c.reserved(7 downto 0);</t>
  </si>
  <si>
    <t xml:space="preserve">      avalon_mm_rmap_o.readdata(15 downto 8) &lt;= rmap_registers_wr_i.aeb_gen_cfg_reserved_f8c.reserved(15 downto 8);</t>
  </si>
  <si>
    <t xml:space="preserve">      avalon_mm_rmap_o.readdata(23 downto 16) &lt;= rmap_registers_wr_i.aeb_gen_cfg_reserved_f8c.reserved(23 downto 16);</t>
  </si>
  <si>
    <t xml:space="preserve">      avalon_mm_rmap_o.readdata(31 downto 24) &lt;= rmap_registers_wr_i.aeb_gen_cfg_reserved_f8c.reserved(31 downto 24);</t>
  </si>
  <si>
    <t xml:space="preserve">  when (16#49E#) =&gt;</t>
  </si>
  <si>
    <t xml:space="preserve">      -- AEB General Configuration Area Register "RESERVED_F90" : "RESERVED" Field</t>
  </si>
  <si>
    <t xml:space="preserve">      avalon_mm_rmap_o.readdata(7 downto 0) &lt;= rmap_registers_wr_i.aeb_gen_cfg_reserved_f90.reserved(7 downto 0);</t>
  </si>
  <si>
    <t xml:space="preserve">      avalon_mm_rmap_o.readdata(15 downto 8) &lt;= rmap_registers_wr_i.aeb_gen_cfg_reserved_f90.reserved(15 downto 8);</t>
  </si>
  <si>
    <t xml:space="preserve">      avalon_mm_rmap_o.readdata(23 downto 16) &lt;= rmap_registers_wr_i.aeb_gen_cfg_reserved_f90.reserved(23 downto 16);</t>
  </si>
  <si>
    <t xml:space="preserve">      avalon_mm_rmap_o.readdata(31 downto 24) &lt;= rmap_registers_wr_i.aeb_gen_cfg_reserved_f90.reserved(31 downto 24);</t>
  </si>
  <si>
    <t xml:space="preserve">  when (16#49F#) =&gt;</t>
  </si>
  <si>
    <t xml:space="preserve">      -- AEB General Configuration Area Register "RESERVED_F94" : "RESERVED" Field</t>
  </si>
  <si>
    <t xml:space="preserve">      avalon_mm_rmap_o.readdata(7 downto 0) &lt;= rmap_registers_wr_i.aeb_gen_cfg_reserved_f94.reserved(7 downto 0);</t>
  </si>
  <si>
    <t xml:space="preserve">      avalon_mm_rmap_o.readdata(15 downto 8) &lt;= rmap_registers_wr_i.aeb_gen_cfg_reserved_f94.reserved(15 downto 8);</t>
  </si>
  <si>
    <t xml:space="preserve">      avalon_mm_rmap_o.readdata(23 downto 16) &lt;= rmap_registers_wr_i.aeb_gen_cfg_reserved_f94.reserved(23 downto 16);</t>
  </si>
  <si>
    <t xml:space="preserve">      avalon_mm_rmap_o.readdata(31 downto 24) &lt;= rmap_registers_wr_i.aeb_gen_cfg_reserved_f94.reserved(31 downto 24);</t>
  </si>
  <si>
    <t xml:space="preserve">  when (16#4A0#) =&gt;</t>
  </si>
  <si>
    <t xml:space="preserve">      -- AEB General Configuration Area Register "RESERVED_F98" : "RESERVED" Field</t>
  </si>
  <si>
    <t xml:space="preserve">      avalon_mm_rmap_o.readdata(7 downto 0) &lt;= rmap_registers_wr_i.aeb_gen_cfg_reserved_f98.reserved(7 downto 0);</t>
  </si>
  <si>
    <t xml:space="preserve">      avalon_mm_rmap_o.readdata(15 downto 8) &lt;= rmap_registers_wr_i.aeb_gen_cfg_reserved_f98.reserved(15 downto 8);</t>
  </si>
  <si>
    <t xml:space="preserve">      avalon_mm_rmap_o.readdata(23 downto 16) &lt;= rmap_registers_wr_i.aeb_gen_cfg_reserved_f98.reserved(23 downto 16);</t>
  </si>
  <si>
    <t xml:space="preserve">      avalon_mm_rmap_o.readdata(31 downto 24) &lt;= rmap_registers_wr_i.aeb_gen_cfg_reserved_f98.reserved(31 downto 24);</t>
  </si>
  <si>
    <t xml:space="preserve">  when (16#4A1#) =&gt;</t>
  </si>
  <si>
    <t xml:space="preserve">      -- AEB General Configuration Area Register "RESERVED_F9C" : "RESERVED" Field</t>
  </si>
  <si>
    <t xml:space="preserve">      avalon_mm_rmap_o.readdata(7 downto 0) &lt;= rmap_registers_wr_i.aeb_gen_cfg_reserved_f9c.reserved(7 downto 0);</t>
  </si>
  <si>
    <t xml:space="preserve">      avalon_mm_rmap_o.readdata(15 downto 8) &lt;= rmap_registers_wr_i.aeb_gen_cfg_reserved_f9c.reserved(15 downto 8);</t>
  </si>
  <si>
    <t xml:space="preserve">      avalon_mm_rmap_o.readdata(23 downto 16) &lt;= rmap_registers_wr_i.aeb_gen_cfg_reserved_f9c.reserved(23 downto 16);</t>
  </si>
  <si>
    <t xml:space="preserve">      avalon_mm_rmap_o.readdata(31 downto 24) &lt;= rmap_registers_wr_i.aeb_gen_cfg_reserved_f9c.reserved(31 downto 24);</t>
  </si>
  <si>
    <t xml:space="preserve">  when (16#4A2#) =&gt;</t>
  </si>
  <si>
    <t xml:space="preserve">      -- AEB General Configuration Area Register "RESERVED_FA0" : "RESERVED" Field</t>
  </si>
  <si>
    <t xml:space="preserve">      avalon_mm_rmap_o.readdata(7 downto 0) &lt;= rmap_registers_wr_i.aeb_gen_cfg_reserved_fa0.reserved(7 downto 0);</t>
  </si>
  <si>
    <t xml:space="preserve">      avalon_mm_rmap_o.readdata(15 downto 8) &lt;= rmap_registers_wr_i.aeb_gen_cfg_reserved_fa0.reserved(15 downto 8);</t>
  </si>
  <si>
    <t xml:space="preserve">      avalon_mm_rmap_o.readdata(23 downto 16) &lt;= rmap_registers_wr_i.aeb_gen_cfg_reserved_fa0.reserved(23 downto 16);</t>
  </si>
  <si>
    <t xml:space="preserve">      avalon_mm_rmap_o.readdata(31 downto 24) &lt;= rmap_registers_wr_i.aeb_gen_cfg_reserved_fa0.reserved(31 downto 24);</t>
  </si>
  <si>
    <t xml:space="preserve">  when (16#4A3#) =&gt;</t>
  </si>
  <si>
    <t xml:space="preserve">      -- AEB General Configuration Area Register "RESERVED_FA4" : "RESERVED" Field</t>
  </si>
  <si>
    <t xml:space="preserve">      avalon_mm_rmap_o.readdata(7 downto 0) &lt;= rmap_registers_wr_i.aeb_gen_cfg_reserved_fa4.reserved(7 downto 0);</t>
  </si>
  <si>
    <t xml:space="preserve">      avalon_mm_rmap_o.readdata(15 downto 8) &lt;= rmap_registers_wr_i.aeb_gen_cfg_reserved_fa4.reserved(15 downto 8);</t>
  </si>
  <si>
    <t xml:space="preserve">      avalon_mm_rmap_o.readdata(23 downto 16) &lt;= rmap_registers_wr_i.aeb_gen_cfg_reserved_fa4.reserved(23 downto 16);</t>
  </si>
  <si>
    <t xml:space="preserve">      avalon_mm_rmap_o.readdata(31 downto 24) &lt;= rmap_registers_wr_i.aeb_gen_cfg_reserved_fa4.reserved(31 downto 24);</t>
  </si>
  <si>
    <t xml:space="preserve">  when (16#4A4#) =&gt;</t>
  </si>
  <si>
    <t xml:space="preserve">      -- AEB General Configuration Area Register "RESERVED_FA8" : "RESERVED" Field</t>
  </si>
  <si>
    <t xml:space="preserve">      avalon_mm_rmap_o.readdata(7 downto 0) &lt;= rmap_registers_wr_i.aeb_gen_cfg_reserved_fa8.reserved(7 downto 0);</t>
  </si>
  <si>
    <t xml:space="preserve">      avalon_mm_rmap_o.readdata(15 downto 8) &lt;= rmap_registers_wr_i.aeb_gen_cfg_reserved_fa8.reserved(15 downto 8);</t>
  </si>
  <si>
    <t xml:space="preserve">      avalon_mm_rmap_o.readdata(23 downto 16) &lt;= rmap_registers_wr_i.aeb_gen_cfg_reserved_fa8.reserved(23 downto 16);</t>
  </si>
  <si>
    <t xml:space="preserve">      avalon_mm_rmap_o.readdata(31 downto 24) &lt;= rmap_registers_wr_i.aeb_gen_cfg_reserved_fa8.reserved(31 downto 24);</t>
  </si>
  <si>
    <t xml:space="preserve">  when (16#4A5#) =&gt;</t>
  </si>
  <si>
    <t xml:space="preserve">      -- AEB General Configuration Area Register "RESERVED_FAC" : "RESERVED" Field</t>
  </si>
  <si>
    <t xml:space="preserve">      avalon_mm_rmap_o.readdata(7 downto 0) &lt;= rmap_registers_wr_i.aeb_gen_cfg_reserved_fac.reserved(7 downto 0);</t>
  </si>
  <si>
    <t xml:space="preserve">      avalon_mm_rmap_o.readdata(15 downto 8) &lt;= rmap_registers_wr_i.aeb_gen_cfg_reserved_fac.reserved(15 downto 8);</t>
  </si>
  <si>
    <t xml:space="preserve">      avalon_mm_rmap_o.readdata(23 downto 16) &lt;= rmap_registers_wr_i.aeb_gen_cfg_reserved_fac.reserved(23 downto 16);</t>
  </si>
  <si>
    <t xml:space="preserve">      avalon_mm_rmap_o.readdata(31 downto 24) &lt;= rmap_registers_wr_i.aeb_gen_cfg_reserved_fac.reserved(31 downto 24);</t>
  </si>
  <si>
    <t xml:space="preserve">  when (16#4A6#) =&gt;</t>
  </si>
  <si>
    <t xml:space="preserve">      -- AEB General Configuration Area Register "RESERVED_FB0" : "RESERVED" Field</t>
  </si>
  <si>
    <t xml:space="preserve">      avalon_mm_rmap_o.readdata(7 downto 0) &lt;= rmap_registers_wr_i.aeb_gen_cfg_reserved_fb0.reserved(7 downto 0);</t>
  </si>
  <si>
    <t xml:space="preserve">      avalon_mm_rmap_o.readdata(15 downto 8) &lt;= rmap_registers_wr_i.aeb_gen_cfg_reserved_fb0.reserved(15 downto 8);</t>
  </si>
  <si>
    <t xml:space="preserve">      avalon_mm_rmap_o.readdata(23 downto 16) &lt;= rmap_registers_wr_i.aeb_gen_cfg_reserved_fb0.reserved(23 downto 16);</t>
  </si>
  <si>
    <t xml:space="preserve">      avalon_mm_rmap_o.readdata(31 downto 24) &lt;= rmap_registers_wr_i.aeb_gen_cfg_reserved_fb0.reserved(31 downto 24);</t>
  </si>
  <si>
    <t xml:space="preserve">  when (16#4A7#) =&gt;</t>
  </si>
  <si>
    <t xml:space="preserve">      -- AEB General Configuration Area Register "RESERVED_FB4" : "RESERVED" Field</t>
  </si>
  <si>
    <t xml:space="preserve">      avalon_mm_rmap_o.readdata(7 downto 0) &lt;= rmap_registers_wr_i.aeb_gen_cfg_reserved_fb4.reserved(7 downto 0);</t>
  </si>
  <si>
    <t xml:space="preserve">      avalon_mm_rmap_o.readdata(15 downto 8) &lt;= rmap_registers_wr_i.aeb_gen_cfg_reserved_fb4.reserved(15 downto 8);</t>
  </si>
  <si>
    <t xml:space="preserve">      avalon_mm_rmap_o.readdata(23 downto 16) &lt;= rmap_registers_wr_i.aeb_gen_cfg_reserved_fb4.reserved(23 downto 16);</t>
  </si>
  <si>
    <t xml:space="preserve">      avalon_mm_rmap_o.readdata(31 downto 24) &lt;= rmap_registers_wr_i.aeb_gen_cfg_reserved_fb4.reserved(31 downto 24);</t>
  </si>
  <si>
    <t xml:space="preserve">  when (16#4A8#) =&gt;</t>
  </si>
  <si>
    <t xml:space="preserve">      -- AEB General Configuration Area Register "RESERVED_FB8" : "RESERVED" Field</t>
  </si>
  <si>
    <t xml:space="preserve">      avalon_mm_rmap_o.readdata(7 downto 0) &lt;= rmap_registers_wr_i.aeb_gen_cfg_reserved_fb8.reserved(7 downto 0);</t>
  </si>
  <si>
    <t xml:space="preserve">      avalon_mm_rmap_o.readdata(15 downto 8) &lt;= rmap_registers_wr_i.aeb_gen_cfg_reserved_fb8.reserved(15 downto 8);</t>
  </si>
  <si>
    <t xml:space="preserve">      avalon_mm_rmap_o.readdata(23 downto 16) &lt;= rmap_registers_wr_i.aeb_gen_cfg_reserved_fb8.reserved(23 downto 16);</t>
  </si>
  <si>
    <t xml:space="preserve">      avalon_mm_rmap_o.readdata(31 downto 24) &lt;= rmap_registers_wr_i.aeb_gen_cfg_reserved_fb8.reserved(31 downto 24);</t>
  </si>
  <si>
    <t xml:space="preserve">  when (16#4A9#) =&gt;</t>
  </si>
  <si>
    <t xml:space="preserve">      -- AEB General Configuration Area Register "RESERVED_FBC" : "RESERVED" Field</t>
  </si>
  <si>
    <t xml:space="preserve">      avalon_mm_rmap_o.readdata(7 downto 0) &lt;= rmap_registers_wr_i.aeb_gen_cfg_reserved_fbc.reserved(7 downto 0);</t>
  </si>
  <si>
    <t xml:space="preserve">      avalon_mm_rmap_o.readdata(15 downto 8) &lt;= rmap_registers_wr_i.aeb_gen_cfg_reserved_fbc.reserved(15 downto 8);</t>
  </si>
  <si>
    <t xml:space="preserve">      avalon_mm_rmap_o.readdata(23 downto 16) &lt;= rmap_registers_wr_i.aeb_gen_cfg_reserved_fbc.reserved(23 downto 16);</t>
  </si>
  <si>
    <t xml:space="preserve">      avalon_mm_rmap_o.readdata(31 downto 24) &lt;= rmap_registers_wr_i.aeb_gen_cfg_reserved_fbc.reserved(31 downto 24);</t>
  </si>
  <si>
    <t xml:space="preserve">  when (16#4AA#) =&gt;</t>
  </si>
  <si>
    <t xml:space="preserve">      -- AEB General Configuration Area Register "RESERVED_FC0" : "RESERVED" Field</t>
  </si>
  <si>
    <t xml:space="preserve">      avalon_mm_rmap_o.readdata(7 downto 0) &lt;= rmap_registers_wr_i.aeb_gen_cfg_reserved_fc0.reserved(7 downto 0);</t>
  </si>
  <si>
    <t xml:space="preserve">      avalon_mm_rmap_o.readdata(15 downto 8) &lt;= rmap_registers_wr_i.aeb_gen_cfg_reserved_fc0.reserved(15 downto 8);</t>
  </si>
  <si>
    <t xml:space="preserve">      avalon_mm_rmap_o.readdata(23 downto 16) &lt;= rmap_registers_wr_i.aeb_gen_cfg_reserved_fc0.reserved(23 downto 16);</t>
  </si>
  <si>
    <t xml:space="preserve">      avalon_mm_rmap_o.readdata(31 downto 24) &lt;= rmap_registers_wr_i.aeb_gen_cfg_reserved_fc0.reserved(31 downto 24);</t>
  </si>
  <si>
    <t xml:space="preserve">  when (16#4AB#) =&gt;</t>
  </si>
  <si>
    <t xml:space="preserve">      -- AEB General Configuration Area Register "RESERVED_FC4" : "RESERVED" Field</t>
  </si>
  <si>
    <t xml:space="preserve">      avalon_mm_rmap_o.readdata(7 downto 0) &lt;= rmap_registers_wr_i.aeb_gen_cfg_reserved_fc4.reserved(7 downto 0);</t>
  </si>
  <si>
    <t xml:space="preserve">      avalon_mm_rmap_o.readdata(15 downto 8) &lt;= rmap_registers_wr_i.aeb_gen_cfg_reserved_fc4.reserved(15 downto 8);</t>
  </si>
  <si>
    <t xml:space="preserve">      avalon_mm_rmap_o.readdata(23 downto 16) &lt;= rmap_registers_wr_i.aeb_gen_cfg_reserved_fc4.reserved(23 downto 16);</t>
  </si>
  <si>
    <t xml:space="preserve">      avalon_mm_rmap_o.readdata(31 downto 24) &lt;= rmap_registers_wr_i.aeb_gen_cfg_reserved_fc4.reserved(31 downto 24);</t>
  </si>
  <si>
    <t xml:space="preserve">  when (16#4AC#) =&gt;</t>
  </si>
  <si>
    <t xml:space="preserve">      -- AEB General Configuration Area Register "RESERVED_FC8" : "RESERVED" Field</t>
  </si>
  <si>
    <t xml:space="preserve">      avalon_mm_rmap_o.readdata(7 downto 0) &lt;= rmap_registers_wr_i.aeb_gen_cfg_reserved_fc8.reserved(7 downto 0);</t>
  </si>
  <si>
    <t xml:space="preserve">      avalon_mm_rmap_o.readdata(15 downto 8) &lt;= rmap_registers_wr_i.aeb_gen_cfg_reserved_fc8.reserved(15 downto 8);</t>
  </si>
  <si>
    <t xml:space="preserve">      avalon_mm_rmap_o.readdata(23 downto 16) &lt;= rmap_registers_wr_i.aeb_gen_cfg_reserved_fc8.reserved(23 downto 16);</t>
  </si>
  <si>
    <t xml:space="preserve">      avalon_mm_rmap_o.readdata(31 downto 24) &lt;= rmap_registers_wr_i.aeb_gen_cfg_reserved_fc8.reserved(31 downto 24);</t>
  </si>
  <si>
    <t xml:space="preserve">  when (16#4AD#) =&gt;</t>
  </si>
  <si>
    <t xml:space="preserve">      -- AEB General Configuration Area Register "RESERVED_FCC" : "RESERVED" Field</t>
  </si>
  <si>
    <t xml:space="preserve">      avalon_mm_rmap_o.readdata(7 downto 0) &lt;= rmap_registers_wr_i.aeb_gen_cfg_reserved_fcc.reserved(7 downto 0);</t>
  </si>
  <si>
    <t xml:space="preserve">      avalon_mm_rmap_o.readdata(15 downto 8) &lt;= rmap_registers_wr_i.aeb_gen_cfg_reserved_fcc.reserved(15 downto 8);</t>
  </si>
  <si>
    <t xml:space="preserve">      avalon_mm_rmap_o.readdata(23 downto 16) &lt;= rmap_registers_wr_i.aeb_gen_cfg_reserved_fcc.reserved(23 downto 16);</t>
  </si>
  <si>
    <t xml:space="preserve">      avalon_mm_rmap_o.readdata(31 downto 24) &lt;= rmap_registers_wr_i.aeb_gen_cfg_reserved_fcc.reserved(31 downto 24);</t>
  </si>
  <si>
    <t xml:space="preserve">  when (16#4AE#) =&gt;</t>
  </si>
  <si>
    <t xml:space="preserve">      -- AEB General Configuration Area Register "RESERVED_FD0" : "RESERVED" Field</t>
  </si>
  <si>
    <t xml:space="preserve">      avalon_mm_rmap_o.readdata(7 downto 0) &lt;= rmap_registers_wr_i.aeb_gen_cfg_reserved_fd0.reserved(7 downto 0);</t>
  </si>
  <si>
    <t xml:space="preserve">      avalon_mm_rmap_o.readdata(15 downto 8) &lt;= rmap_registers_wr_i.aeb_gen_cfg_reserved_fd0.reserved(15 downto 8);</t>
  </si>
  <si>
    <t xml:space="preserve">      avalon_mm_rmap_o.readdata(23 downto 16) &lt;= rmap_registers_wr_i.aeb_gen_cfg_reserved_fd0.reserved(23 downto 16);</t>
  </si>
  <si>
    <t xml:space="preserve">      avalon_mm_rmap_o.readdata(31 downto 24) &lt;= rmap_registers_wr_i.aeb_gen_cfg_reserved_fd0.reserved(31 downto 24);</t>
  </si>
  <si>
    <t xml:space="preserve">  when (16#4AF#) =&gt;</t>
  </si>
  <si>
    <t xml:space="preserve">      -- AEB General Configuration Area Register "RESERVED_FD4" : "RESERVED" Field</t>
  </si>
  <si>
    <t xml:space="preserve">      avalon_mm_rmap_o.readdata(7 downto 0) &lt;= rmap_registers_wr_i.aeb_gen_cfg_reserved_fd4.reserved(7 downto 0);</t>
  </si>
  <si>
    <t xml:space="preserve">      avalon_mm_rmap_o.readdata(15 downto 8) &lt;= rmap_registers_wr_i.aeb_gen_cfg_reserved_fd4.reserved(15 downto 8);</t>
  </si>
  <si>
    <t xml:space="preserve">      avalon_mm_rmap_o.readdata(23 downto 16) &lt;= rmap_registers_wr_i.aeb_gen_cfg_reserved_fd4.reserved(23 downto 16);</t>
  </si>
  <si>
    <t xml:space="preserve">      avalon_mm_rmap_o.readdata(31 downto 24) &lt;= rmap_registers_wr_i.aeb_gen_cfg_reserved_fd4.reserved(31 downto 24);</t>
  </si>
  <si>
    <t xml:space="preserve">  when (16#4B0#) =&gt;</t>
  </si>
  <si>
    <t xml:space="preserve">      -- AEB General Configuration Area Register "RESERVED_FD8" : "RESERVED" Field</t>
  </si>
  <si>
    <t xml:space="preserve">      avalon_mm_rmap_o.readdata(7 downto 0) &lt;= rmap_registers_wr_i.aeb_gen_cfg_reserved_fd8.reserved(7 downto 0);</t>
  </si>
  <si>
    <t xml:space="preserve">      avalon_mm_rmap_o.readdata(15 downto 8) &lt;= rmap_registers_wr_i.aeb_gen_cfg_reserved_fd8.reserved(15 downto 8);</t>
  </si>
  <si>
    <t xml:space="preserve">      avalon_mm_rmap_o.readdata(23 downto 16) &lt;= rmap_registers_wr_i.aeb_gen_cfg_reserved_fd8.reserved(23 downto 16);</t>
  </si>
  <si>
    <t xml:space="preserve">      avalon_mm_rmap_o.readdata(31 downto 24) &lt;= rmap_registers_wr_i.aeb_gen_cfg_reserved_fd8.reserved(31 downto 24);</t>
  </si>
  <si>
    <t xml:space="preserve">  when (16#4B1#) =&gt;</t>
  </si>
  <si>
    <t xml:space="preserve">      -- AEB General Configuration Area Register "RESERVED_FDC" : "RESERVED" Field</t>
  </si>
  <si>
    <t xml:space="preserve">      avalon_mm_rmap_o.readdata(7 downto 0) &lt;= rmap_registers_wr_i.aeb_gen_cfg_reserved_fdc.reserved(7 downto 0);</t>
  </si>
  <si>
    <t xml:space="preserve">      avalon_mm_rmap_o.readdata(15 downto 8) &lt;= rmap_registers_wr_i.aeb_gen_cfg_reserved_fdc.reserved(15 downto 8);</t>
  </si>
  <si>
    <t xml:space="preserve">      avalon_mm_rmap_o.readdata(23 downto 16) &lt;= rmap_registers_wr_i.aeb_gen_cfg_reserved_fdc.reserved(23 downto 16);</t>
  </si>
  <si>
    <t xml:space="preserve">      avalon_mm_rmap_o.readdata(31 downto 24) &lt;= rmap_registers_wr_i.aeb_gen_cfg_reserved_fdc.reserved(31 downto 24);</t>
  </si>
  <si>
    <t xml:space="preserve">  when (16#4B2#) =&gt;</t>
  </si>
  <si>
    <t xml:space="preserve">      -- AEB General Configuration Area Register "RESERVED_FE0" : "RESERVED" Field</t>
  </si>
  <si>
    <t xml:space="preserve">      avalon_mm_rmap_o.readdata(7 downto 0) &lt;= rmap_registers_wr_i.aeb_gen_cfg_reserved_fe0.reserved(7 downto 0);</t>
  </si>
  <si>
    <t xml:space="preserve">      avalon_mm_rmap_o.readdata(15 downto 8) &lt;= rmap_registers_wr_i.aeb_gen_cfg_reserved_fe0.reserved(15 downto 8);</t>
  </si>
  <si>
    <t xml:space="preserve">      avalon_mm_rmap_o.readdata(23 downto 16) &lt;= rmap_registers_wr_i.aeb_gen_cfg_reserved_fe0.reserved(23 downto 16);</t>
  </si>
  <si>
    <t xml:space="preserve">      avalon_mm_rmap_o.readdata(31 downto 24) &lt;= rmap_registers_wr_i.aeb_gen_cfg_reserved_fe0.reserved(31 downto 24);</t>
  </si>
  <si>
    <t xml:space="preserve">  when (16#4B3#) =&gt;</t>
  </si>
  <si>
    <t xml:space="preserve">      -- AEB General Configuration Area Register "RESERVED_FE4" : "RESERVED" Field</t>
  </si>
  <si>
    <t xml:space="preserve">      avalon_mm_rmap_o.readdata(7 downto 0) &lt;= rmap_registers_wr_i.aeb_gen_cfg_reserved_fe4.reserved(7 downto 0);</t>
  </si>
  <si>
    <t xml:space="preserve">      avalon_mm_rmap_o.readdata(15 downto 8) &lt;= rmap_registers_wr_i.aeb_gen_cfg_reserved_fe4.reserved(15 downto 8);</t>
  </si>
  <si>
    <t xml:space="preserve">      avalon_mm_rmap_o.readdata(23 downto 16) &lt;= rmap_registers_wr_i.aeb_gen_cfg_reserved_fe4.reserved(23 downto 16);</t>
  </si>
  <si>
    <t xml:space="preserve">      avalon_mm_rmap_o.readdata(31 downto 24) &lt;= rmap_registers_wr_i.aeb_gen_cfg_reserved_fe4.reserved(31 downto 24);</t>
  </si>
  <si>
    <t xml:space="preserve">  when (16#4B4#) =&gt;</t>
  </si>
  <si>
    <t xml:space="preserve">      -- AEB General Configuration Area Register "RESERVED_FE8" : "RESERVED" Field</t>
  </si>
  <si>
    <t xml:space="preserve">      avalon_mm_rmap_o.readdata(7 downto 0) &lt;= rmap_registers_wr_i.aeb_gen_cfg_reserved_fe8.reserved(7 downto 0);</t>
  </si>
  <si>
    <t xml:space="preserve">      avalon_mm_rmap_o.readdata(15 downto 8) &lt;= rmap_registers_wr_i.aeb_gen_cfg_reserved_fe8.reserved(15 downto 8);</t>
  </si>
  <si>
    <t xml:space="preserve">      avalon_mm_rmap_o.readdata(23 downto 16) &lt;= rmap_registers_wr_i.aeb_gen_cfg_reserved_fe8.reserved(23 downto 16);</t>
  </si>
  <si>
    <t xml:space="preserve">      avalon_mm_rmap_o.readdata(31 downto 24) &lt;= rmap_registers_wr_i.aeb_gen_cfg_reserved_fe8.reserved(31 downto 24);</t>
  </si>
  <si>
    <t xml:space="preserve">  when (16#4B5#) =&gt;</t>
  </si>
  <si>
    <t xml:space="preserve">      -- AEB General Configuration Area Register "RESERVED_FEC" : "RESERVED" Field</t>
  </si>
  <si>
    <t xml:space="preserve">      avalon_mm_rmap_o.readdata(7 downto 0) &lt;= rmap_registers_wr_i.aeb_gen_cfg_reserved_fec.reserved(7 downto 0);</t>
  </si>
  <si>
    <t xml:space="preserve">      avalon_mm_rmap_o.readdata(15 downto 8) &lt;= rmap_registers_wr_i.aeb_gen_cfg_reserved_fec.reserved(15 downto 8);</t>
  </si>
  <si>
    <t xml:space="preserve">      avalon_mm_rmap_o.readdata(23 downto 16) &lt;= rmap_registers_wr_i.aeb_gen_cfg_reserved_fec.reserved(23 downto 16);</t>
  </si>
  <si>
    <t xml:space="preserve">      avalon_mm_rmap_o.readdata(31 downto 24) &lt;= rmap_registers_wr_i.aeb_gen_cfg_reserved_fec.reserved(31 downto 24);</t>
  </si>
  <si>
    <t xml:space="preserve">  when (16#4B6#) =&gt;</t>
  </si>
  <si>
    <t xml:space="preserve">      -- AEB General Configuration Area Register "RESERVED_FF0" : "RESERVED" Field</t>
  </si>
  <si>
    <t xml:space="preserve">      avalon_mm_rmap_o.readdata(7 downto 0) &lt;= rmap_registers_wr_i.aeb_gen_cfg_reserved_ff0.reserved(7 downto 0);</t>
  </si>
  <si>
    <t xml:space="preserve">      avalon_mm_rmap_o.readdata(15 downto 8) &lt;= rmap_registers_wr_i.aeb_gen_cfg_reserved_ff0.reserved(15 downto 8);</t>
  </si>
  <si>
    <t xml:space="preserve">      avalon_mm_rmap_o.readdata(23 downto 16) &lt;= rmap_registers_wr_i.aeb_gen_cfg_reserved_ff0.reserved(23 downto 16);</t>
  </si>
  <si>
    <t xml:space="preserve">      avalon_mm_rmap_o.readdata(31 downto 24) &lt;= rmap_registers_wr_i.aeb_gen_cfg_reserved_ff0.reserved(31 downto 24);</t>
  </si>
  <si>
    <t xml:space="preserve">  when (16#4B7#) =&gt;</t>
  </si>
  <si>
    <t xml:space="preserve">      -- AEB General Configuration Area Register "RESERVED_FF4" : "RESERVED" Field</t>
  </si>
  <si>
    <t xml:space="preserve">      avalon_mm_rmap_o.readdata(7 downto 0) &lt;= rmap_registers_wr_i.aeb_gen_cfg_reserved_ff4.reserved(7 downto 0);</t>
  </si>
  <si>
    <t xml:space="preserve">      avalon_mm_rmap_o.readdata(15 downto 8) &lt;= rmap_registers_wr_i.aeb_gen_cfg_reserved_ff4.reserved(15 downto 8);</t>
  </si>
  <si>
    <t xml:space="preserve">      avalon_mm_rmap_o.readdata(23 downto 16) &lt;= rmap_registers_wr_i.aeb_gen_cfg_reserved_ff4.reserved(23 downto 16);</t>
  </si>
  <si>
    <t xml:space="preserve">      avalon_mm_rmap_o.readdata(31 downto 24) &lt;= rmap_registers_wr_i.aeb_gen_cfg_reserved_ff4.reserved(31 downto 24);</t>
  </si>
  <si>
    <t xml:space="preserve">  when (16#4B8#) =&gt;</t>
  </si>
  <si>
    <t xml:space="preserve">      -- AEB General Configuration Area Register "RESERVED_FF8" : "RESERVED" Field</t>
  </si>
  <si>
    <t xml:space="preserve">      avalon_mm_rmap_o.readdata(7 downto 0) &lt;= rmap_registers_wr_i.aeb_gen_cfg_reserved_ff8.reserved(7 downto 0);</t>
  </si>
  <si>
    <t xml:space="preserve">      avalon_mm_rmap_o.readdata(15 downto 8) &lt;= rmap_registers_wr_i.aeb_gen_cfg_reserved_ff8.reserved(15 downto 8);</t>
  </si>
  <si>
    <t xml:space="preserve">      avalon_mm_rmap_o.readdata(23 downto 16) &lt;= rmap_registers_wr_i.aeb_gen_cfg_reserved_ff8.reserved(23 downto 16);</t>
  </si>
  <si>
    <t xml:space="preserve">      avalon_mm_rmap_o.readdata(31 downto 24) &lt;= rmap_registers_wr_i.aeb_gen_cfg_reserved_ff8.reserved(31 downto 24);</t>
  </si>
  <si>
    <t xml:space="preserve">  when (16#4B9#) =&gt;</t>
  </si>
  <si>
    <t xml:space="preserve">      -- AEB General Configuration Area Register "RESERVED_FFC" : "RESERVED" Field</t>
  </si>
  <si>
    <t xml:space="preserve">      avalon_mm_rmap_o.readdata(7 downto 0) &lt;= rmap_registers_wr_i.aeb_gen_cfg_reserved_ffc.reserved(7 downto 0);</t>
  </si>
  <si>
    <t xml:space="preserve">      avalon_mm_rmap_o.readdata(15 downto 8) &lt;= rmap_registers_wr_i.aeb_gen_cfg_reserved_ffc.reserved(15 downto 8);</t>
  </si>
  <si>
    <t xml:space="preserve">      avalon_mm_rmap_o.readdata(23 downto 16) &lt;= rmap_registers_wr_i.aeb_gen_cfg_reserved_ffc.reserved(23 downto 16);</t>
  </si>
  <si>
    <t xml:space="preserve">      avalon_mm_rmap_o.readdata(31 downto 24) &lt;= rmap_registers_wr_i.aeb_gen_cfg_reserved_ffc.reserved(31 downto 24);</t>
  </si>
  <si>
    <t xml:space="preserve">  when (16#4BA#) =&gt;</t>
  </si>
  <si>
    <t xml:space="preserve">      -- AEB Housekeeping Area Register "AEB_STATUS" : "AEB_STATUS" Field</t>
  </si>
  <si>
    <t xml:space="preserve">      avalon_mm_rmap_o.readdata(3 downto 0) &lt;= rmap_registers_wr_i.aeb_hk_aeb_status.aeb_status;</t>
  </si>
  <si>
    <t xml:space="preserve">  when (16#4BB#) =&gt;</t>
  </si>
  <si>
    <t xml:space="preserve">      -- AEB Housekeeping Area Register "AEB_STATUS" : "VASP2_CFG_RUN" Field</t>
  </si>
  <si>
    <t xml:space="preserve">      avalon_mm_rmap_o.readdata(0) &lt;= rmap_registers_wr_i.aeb_hk_aeb_status.vasp2_cfg_run;</t>
  </si>
  <si>
    <t xml:space="preserve">  when (16#4BC#) =&gt;</t>
  </si>
  <si>
    <t xml:space="preserve">      -- AEB Housekeeping Area Register "AEB_STATUS" : "VASP1_CFG_RUN" Field</t>
  </si>
  <si>
    <t xml:space="preserve">      avalon_mm_rmap_o.readdata(0) &lt;= rmap_registers_wr_i.aeb_hk_aeb_status.vasp1_cfg_run;</t>
  </si>
  <si>
    <t xml:space="preserve">  when (16#4BD#) =&gt;</t>
  </si>
  <si>
    <t xml:space="preserve">      -- AEB Housekeeping Area Register "AEB_STATUS" : "DAC_CFG_WR_RUN" Field</t>
  </si>
  <si>
    <t xml:space="preserve">      avalon_mm_rmap_o.readdata(0) &lt;= rmap_registers_wr_i.aeb_hk_aeb_status.dac_cfg_wr_run;</t>
  </si>
  <si>
    <t xml:space="preserve">  when (16#4BE#) =&gt;</t>
  </si>
  <si>
    <t xml:space="preserve">      -- AEB Housekeeping Area Register "AEB_STATUS" : "ADC_CFG_RD_RUN" Field</t>
  </si>
  <si>
    <t xml:space="preserve">      avalon_mm_rmap_o.readdata(0) &lt;= rmap_registers_wr_i.aeb_hk_aeb_status.adc_cfg_rd_run;</t>
  </si>
  <si>
    <t xml:space="preserve">  when (16#4BF#) =&gt;</t>
  </si>
  <si>
    <t xml:space="preserve">      -- AEB Housekeeping Area Register "AEB_STATUS" : "ADC_CFG_WR_RUN" Field</t>
  </si>
  <si>
    <t xml:space="preserve">      avalon_mm_rmap_o.readdata(0) &lt;= rmap_registers_wr_i.aeb_hk_aeb_status.adc_cfg_wr_run;</t>
  </si>
  <si>
    <t xml:space="preserve">  when (16#4C0#) =&gt;</t>
  </si>
  <si>
    <t xml:space="preserve">      -- AEB Housekeeping Area Register "AEB_STATUS" : "ADC_DAT_RD_RUN" Field</t>
  </si>
  <si>
    <t xml:space="preserve">      avalon_mm_rmap_o.readdata(0) &lt;= rmap_registers_wr_i.aeb_hk_aeb_status.adc_dat_rd_run;</t>
  </si>
  <si>
    <t xml:space="preserve">  when (16#4C1#) =&gt;</t>
  </si>
  <si>
    <t xml:space="preserve">      -- AEB Housekeeping Area Register "AEB_STATUS" : "ADC_ERROR" Field</t>
  </si>
  <si>
    <t xml:space="preserve">      avalon_mm_rmap_o.readdata(0) &lt;= rmap_registers_wr_i.aeb_hk_aeb_status.adc_error;</t>
  </si>
  <si>
    <t xml:space="preserve">  when (16#4C2#) =&gt;</t>
  </si>
  <si>
    <t xml:space="preserve">      -- AEB Housekeeping Area Register "AEB_STATUS" : "ADC2_LU" Field</t>
  </si>
  <si>
    <t xml:space="preserve">      avalon_mm_rmap_o.readdata(0) &lt;= rmap_registers_wr_i.aeb_hk_aeb_status.adc2_lu;</t>
  </si>
  <si>
    <t xml:space="preserve">  when (16#4C3#) =&gt;</t>
  </si>
  <si>
    <t xml:space="preserve">      -- AEB Housekeeping Area Register "AEB_STATUS" : "ADC1_LU" Field</t>
  </si>
  <si>
    <t xml:space="preserve">      avalon_mm_rmap_o.readdata(0) &lt;= rmap_registers_wr_i.aeb_hk_aeb_status.adc1_lu;</t>
  </si>
  <si>
    <t xml:space="preserve">  when (16#4C4#) =&gt;</t>
  </si>
  <si>
    <t xml:space="preserve">      -- AEB Housekeeping Area Register "AEB_STATUS" : "ADC_DAT_RD" Field</t>
  </si>
  <si>
    <t xml:space="preserve">      avalon_mm_rmap_o.readdata(0) &lt;= rmap_registers_wr_i.aeb_hk_aeb_status.adc_dat_rd;</t>
  </si>
  <si>
    <t xml:space="preserve">  when (16#4C5#) =&gt;</t>
  </si>
  <si>
    <t xml:space="preserve">      -- AEB Housekeeping Area Register "AEB_STATUS" : "ADC_CFG_RD" Field</t>
  </si>
  <si>
    <t xml:space="preserve">      avalon_mm_rmap_o.readdata(0) &lt;= rmap_registers_wr_i.aeb_hk_aeb_status.adc_cfg_rd;</t>
  </si>
  <si>
    <t xml:space="preserve">  when (16#4C6#) =&gt;</t>
  </si>
  <si>
    <t xml:space="preserve">      -- AEB Housekeeping Area Register "AEB_STATUS" : "ADC_CFG_WR" Field</t>
  </si>
  <si>
    <t xml:space="preserve">      avalon_mm_rmap_o.readdata(0) &lt;= rmap_registers_wr_i.aeb_hk_aeb_status.adc_cfg_wr;</t>
  </si>
  <si>
    <t xml:space="preserve">  when (16#4C7#) =&gt;</t>
  </si>
  <si>
    <t xml:space="preserve">      -- AEB Housekeeping Area Register "AEB_STATUS" : "ADC2_BUSY" Field</t>
  </si>
  <si>
    <t xml:space="preserve">      avalon_mm_rmap_o.readdata(0) &lt;= rmap_registers_wr_i.aeb_hk_aeb_status.adc2_busy;</t>
  </si>
  <si>
    <t xml:space="preserve">  when (16#4C8#) =&gt;</t>
  </si>
  <si>
    <t xml:space="preserve">      -- AEB Housekeeping Area Register "AEB_STATUS" : "ADC1_BUSY" Field</t>
  </si>
  <si>
    <t xml:space="preserve">      avalon_mm_rmap_o.readdata(0) &lt;= rmap_registers_wr_i.aeb_hk_aeb_status.adc1_busy;</t>
  </si>
  <si>
    <t xml:space="preserve">  when (16#4C9#) =&gt;</t>
  </si>
  <si>
    <t xml:space="preserve">      -- AEB Housekeeping Area Register "TIMESTAMP_1" : "TIMESTAMP_DWORD_1" Field</t>
  </si>
  <si>
    <t xml:space="preserve">      avalon_mm_rmap_o.readdata(7 downto 0) &lt;= rmap_registers_wr_i.aeb_hk_timestamp_1.timestamp_dword_1(7 downto 0);</t>
  </si>
  <si>
    <t xml:space="preserve">      avalon_mm_rmap_o.readdata(15 downto 8) &lt;= rmap_registers_wr_i.aeb_hk_timestamp_1.timestamp_dword_1(15 downto 8);</t>
  </si>
  <si>
    <t xml:space="preserve">      avalon_mm_rmap_o.readdata(23 downto 16) &lt;= rmap_registers_wr_i.aeb_hk_timestamp_1.timestamp_dword_1(23 downto 16);</t>
  </si>
  <si>
    <t xml:space="preserve">      avalon_mm_rmap_o.readdata(31 downto 24) &lt;= rmap_registers_wr_i.aeb_hk_timestamp_1.timestamp_dword_1(31 downto 24);</t>
  </si>
  <si>
    <t xml:space="preserve">  when (16#4CA#) =&gt;</t>
  </si>
  <si>
    <t xml:space="preserve">      -- AEB Housekeeping Area Register "TIMESTAMP_2" : "TIMESTAMP_DWORD_0" Field</t>
  </si>
  <si>
    <t xml:space="preserve">      avalon_mm_rmap_o.readdata(7 downto 0) &lt;= rmap_registers_wr_i.aeb_hk_timestamp_2.timestamp_dword_0(7 downto 0);</t>
  </si>
  <si>
    <t xml:space="preserve">      avalon_mm_rmap_o.readdata(15 downto 8) &lt;= rmap_registers_wr_i.aeb_hk_timestamp_2.timestamp_dword_0(15 downto 8);</t>
  </si>
  <si>
    <t xml:space="preserve">      avalon_mm_rmap_o.readdata(23 downto 16) &lt;= rmap_registers_wr_i.aeb_hk_timestamp_2.timestamp_dword_0(23 downto 16);</t>
  </si>
  <si>
    <t xml:space="preserve">      avalon_mm_rmap_o.readdata(31 downto 24) &lt;= rmap_registers_wr_i.aeb_hk_timestamp_2.timestamp_dword_0(31 downto 24);</t>
  </si>
  <si>
    <t xml:space="preserve">  when (16#4CB#) =&gt;</t>
  </si>
  <si>
    <t xml:space="preserve">      -- AEB Housekeeping Area Register "ADC_RD_DATA_T_VASP_L" : "NEW" Field</t>
  </si>
  <si>
    <t xml:space="preserve">  when (16#4CC#) =&gt;</t>
  </si>
  <si>
    <t xml:space="preserve">      -- AEB Housekeeping Area Register "ADC_RD_DATA_T_VASP_L" : "OVF" Field</t>
  </si>
  <si>
    <t xml:space="preserve">      avalon_mm_rmap_o.readdata(0) &lt;= rmap_registers_wr_i.aeb_hk_adc_rd_data_t_vasp_l.ovf;</t>
  </si>
  <si>
    <t xml:space="preserve">  when (16#4CD#) =&gt;</t>
  </si>
  <si>
    <t xml:space="preserve">      -- AEB Housekeeping Area Register "ADC_RD_DATA_T_VASP_L" : "SUPPLY" Field</t>
  </si>
  <si>
    <t xml:space="preserve">      avalon_mm_rmap_o.readdata(0) &lt;= rmap_registers_wr_i.aeb_hk_adc_rd_data_t_vasp_l.supply;</t>
  </si>
  <si>
    <t xml:space="preserve">  when (16#4CE#) =&gt;</t>
  </si>
  <si>
    <t xml:space="preserve">      -- AEB Housekeeping Area Register "ADC_RD_DATA_T_VASP_L" : "CHID" Field</t>
  </si>
  <si>
    <t xml:space="preserve">      avalon_mm_rmap_o.readdata(4 downto 0) &lt;= rmap_registers_wr_i.aeb_hk_adc_rd_data_t_vasp_l.chid;</t>
  </si>
  <si>
    <t xml:space="preserve">  when (16#4CF#) =&gt;</t>
  </si>
  <si>
    <t xml:space="preserve">      -- AEB Housekeeping Area Register "ADC_RD_DATA_T_VASP_L" : "ADC_CHX_DATA_T_VASP_L" Field</t>
  </si>
  <si>
    <t xml:space="preserve">      avalon_mm_rmap_o.readdata(7 downto 0) &lt;= rmap_registers_wr_i.aeb_hk_adc_rd_data_t_vasp_l.adc_chx_data_t_vasp_l(7 downto 0);</t>
  </si>
  <si>
    <t xml:space="preserve">      avalon_mm_rmap_o.readdata(15 downto 8) &lt;= rmap_registers_wr_i.aeb_hk_adc_rd_data_t_vasp_l.adc_chx_data_t_vasp_l(15 downto 8);</t>
  </si>
  <si>
    <t xml:space="preserve">      avalon_mm_rmap_o.readdata(23 downto 16) &lt;= rmap_registers_wr_i.aeb_hk_adc_rd_data_t_vasp_l.adc_chx_data_t_vasp_l(23 downto 16);</t>
  </si>
  <si>
    <t xml:space="preserve">  when (16#4D0#) =&gt;</t>
  </si>
  <si>
    <t xml:space="preserve">      -- AEB Housekeeping Area Register "ADC_RD_DATA_T_VASP_R" : "NEW" Field</t>
  </si>
  <si>
    <t xml:space="preserve">  when (16#4D1#) =&gt;</t>
  </si>
  <si>
    <t xml:space="preserve">      -- AEB Housekeeping Area Register "ADC_RD_DATA_T_VASP_R" : "OVF" Field</t>
  </si>
  <si>
    <t xml:space="preserve">      avalon_mm_rmap_o.readdata(0) &lt;= rmap_registers_wr_i.aeb_hk_adc_rd_data_t_vasp_r.ovf;</t>
  </si>
  <si>
    <t xml:space="preserve">  when (16#4D2#) =&gt;</t>
  </si>
  <si>
    <t xml:space="preserve">      -- AEB Housekeeping Area Register "ADC_RD_DATA_T_VASP_R" : "SUPPLY" Field</t>
  </si>
  <si>
    <t xml:space="preserve">      avalon_mm_rmap_o.readdata(0) &lt;= rmap_registers_wr_i.aeb_hk_adc_rd_data_t_vasp_r.supply;</t>
  </si>
  <si>
    <t xml:space="preserve">  when (16#4D3#) =&gt;</t>
  </si>
  <si>
    <t xml:space="preserve">      -- AEB Housekeeping Area Register "ADC_RD_DATA_T_VASP_R" : "CHID" Field</t>
  </si>
  <si>
    <t xml:space="preserve">      avalon_mm_rmap_o.readdata(4 downto 0) &lt;= rmap_registers_wr_i.aeb_hk_adc_rd_data_t_vasp_r.chid;</t>
  </si>
  <si>
    <t xml:space="preserve">  when (16#4D4#) =&gt;</t>
  </si>
  <si>
    <t xml:space="preserve">      -- AEB Housekeeping Area Register "ADC_RD_DATA_T_VASP_R" : "ADC_CHX_DATA_T_VASP_R" Field</t>
  </si>
  <si>
    <t xml:space="preserve">      avalon_mm_rmap_o.readdata(7 downto 0) &lt;= rmap_registers_wr_i.aeb_hk_adc_rd_data_t_vasp_r.adc_chx_data_t_vasp_r(7 downto 0);</t>
  </si>
  <si>
    <t xml:space="preserve">      avalon_mm_rmap_o.readdata(15 downto 8) &lt;= rmap_registers_wr_i.aeb_hk_adc_rd_data_t_vasp_r.adc_chx_data_t_vasp_r(15 downto 8);</t>
  </si>
  <si>
    <t xml:space="preserve">      avalon_mm_rmap_o.readdata(23 downto 16) &lt;= rmap_registers_wr_i.aeb_hk_adc_rd_data_t_vasp_r.adc_chx_data_t_vasp_r(23 downto 16);</t>
  </si>
  <si>
    <t xml:space="preserve">  when (16#4D5#) =&gt;</t>
  </si>
  <si>
    <t xml:space="preserve">      -- AEB Housekeeping Area Register "ADC_RD_DATA_T_BIAS_P" : "NEW" Field</t>
  </si>
  <si>
    <t xml:space="preserve">  when (16#4D6#) =&gt;</t>
  </si>
  <si>
    <t xml:space="preserve">      -- AEB Housekeeping Area Register "ADC_RD_DATA_T_BIAS_P" : "OVF" Field</t>
  </si>
  <si>
    <t xml:space="preserve">      avalon_mm_rmap_o.readdata(0) &lt;= rmap_registers_wr_i.aeb_hk_adc_rd_data_t_bias_p.ovf;</t>
  </si>
  <si>
    <t xml:space="preserve">  when (16#4D7#) =&gt;</t>
  </si>
  <si>
    <t xml:space="preserve">      -- AEB Housekeeping Area Register "ADC_RD_DATA_T_BIAS_P" : "SUPPLY" Field</t>
  </si>
  <si>
    <t xml:space="preserve">      avalon_mm_rmap_o.readdata(0) &lt;= rmap_registers_wr_i.aeb_hk_adc_rd_data_t_bias_p.supply;</t>
  </si>
  <si>
    <t xml:space="preserve">  when (16#4D8#) =&gt;</t>
  </si>
  <si>
    <t xml:space="preserve">      -- AEB Housekeeping Area Register "ADC_RD_DATA_T_BIAS_P" : "CHID" Field</t>
  </si>
  <si>
    <t xml:space="preserve">      avalon_mm_rmap_o.readdata(4 downto 0) &lt;= rmap_registers_wr_i.aeb_hk_adc_rd_data_t_bias_p.chid;</t>
  </si>
  <si>
    <t xml:space="preserve">  when (16#4D9#) =&gt;</t>
  </si>
  <si>
    <t xml:space="preserve">      -- AEB Housekeeping Area Register "ADC_RD_DATA_T_BIAS_P" : "ADC_CHX_DATA_T_BIAS_P" Field</t>
  </si>
  <si>
    <t xml:space="preserve">      avalon_mm_rmap_o.readdata(7 downto 0) &lt;= rmap_registers_wr_i.aeb_hk_adc_rd_data_t_bias_p.adc_chx_data_t_bias_p(7 downto 0);</t>
  </si>
  <si>
    <t xml:space="preserve">      avalon_mm_rmap_o.readdata(15 downto 8) &lt;= rmap_registers_wr_i.aeb_hk_adc_rd_data_t_bias_p.adc_chx_data_t_bias_p(15 downto 8);</t>
  </si>
  <si>
    <t xml:space="preserve">      avalon_mm_rmap_o.readdata(23 downto 16) &lt;= rmap_registers_wr_i.aeb_hk_adc_rd_data_t_bias_p.adc_chx_data_t_bias_p(23 downto 16);</t>
  </si>
  <si>
    <t xml:space="preserve">  when (16#4DA#) =&gt;</t>
  </si>
  <si>
    <t xml:space="preserve">      -- AEB Housekeeping Area Register "ADC_RD_DATA_T_HK_P" : "NEW" Field</t>
  </si>
  <si>
    <t xml:space="preserve">  when (16#4DB#) =&gt;</t>
  </si>
  <si>
    <t xml:space="preserve">      -- AEB Housekeeping Area Register "ADC_RD_DATA_T_HK_P" : "OVF" Field</t>
  </si>
  <si>
    <t xml:space="preserve">      avalon_mm_rmap_o.readdata(0) &lt;= rmap_registers_wr_i.aeb_hk_adc_rd_data_t_hk_p.ovf;</t>
  </si>
  <si>
    <t xml:space="preserve">  when (16#4DC#) =&gt;</t>
  </si>
  <si>
    <t xml:space="preserve">      -- AEB Housekeeping Area Register "ADC_RD_DATA_T_HK_P" : "SUPPLY" Field</t>
  </si>
  <si>
    <t xml:space="preserve">      avalon_mm_rmap_o.readdata(0) &lt;= rmap_registers_wr_i.aeb_hk_adc_rd_data_t_hk_p.supply;</t>
  </si>
  <si>
    <t xml:space="preserve">  when (16#4DD#) =&gt;</t>
  </si>
  <si>
    <t xml:space="preserve">      -- AEB Housekeeping Area Register "ADC_RD_DATA_T_HK_P" : "CHID" Field</t>
  </si>
  <si>
    <t xml:space="preserve">      avalon_mm_rmap_o.readdata(4 downto 0) &lt;= rmap_registers_wr_i.aeb_hk_adc_rd_data_t_hk_p.chid;</t>
  </si>
  <si>
    <t xml:space="preserve">  when (16#4DE#) =&gt;</t>
  </si>
  <si>
    <t xml:space="preserve">      -- AEB Housekeeping Area Register "ADC_RD_DATA_T_HK_P" : "ADC_CHX_DATA_T_HK_P" Field</t>
  </si>
  <si>
    <t xml:space="preserve">      avalon_mm_rmap_o.readdata(7 downto 0) &lt;= rmap_registers_wr_i.aeb_hk_adc_rd_data_t_hk_p.adc_chx_data_t_hk_p(7 downto 0);</t>
  </si>
  <si>
    <t xml:space="preserve">      avalon_mm_rmap_o.readdata(15 downto 8) &lt;= rmap_registers_wr_i.aeb_hk_adc_rd_data_t_hk_p.adc_chx_data_t_hk_p(15 downto 8);</t>
  </si>
  <si>
    <t xml:space="preserve">      avalon_mm_rmap_o.readdata(23 downto 16) &lt;= rmap_registers_wr_i.aeb_hk_adc_rd_data_t_hk_p.adc_chx_data_t_hk_p(23 downto 16);</t>
  </si>
  <si>
    <t xml:space="preserve">  when (16#4DF#) =&gt;</t>
  </si>
  <si>
    <t xml:space="preserve">      -- AEB Housekeeping Area Register "ADC_RD_DATA_T_TOU_1_P" : "NEW" Field</t>
  </si>
  <si>
    <t xml:space="preserve">  when (16#4E0#) =&gt;</t>
  </si>
  <si>
    <t xml:space="preserve">      -- AEB Housekeeping Area Register "ADC_RD_DATA_T_TOU_1_P" : "OVF" Field</t>
  </si>
  <si>
    <t xml:space="preserve">      avalon_mm_rmap_o.readdata(0) &lt;= rmap_registers_wr_i.aeb_hk_adc_rd_data_t_tou_1_p.ovf;</t>
  </si>
  <si>
    <t xml:space="preserve">  when (16#4E1#) =&gt;</t>
  </si>
  <si>
    <t xml:space="preserve">      -- AEB Housekeeping Area Register "ADC_RD_DATA_T_TOU_1_P" : "SUPPLY" Field</t>
  </si>
  <si>
    <t xml:space="preserve">      avalon_mm_rmap_o.readdata(0) &lt;= rmap_registers_wr_i.aeb_hk_adc_rd_data_t_tou_1_p.supply;</t>
  </si>
  <si>
    <t xml:space="preserve">  when (16#4E2#) =&gt;</t>
  </si>
  <si>
    <t xml:space="preserve">      -- AEB Housekeeping Area Register "ADC_RD_DATA_T_TOU_1_P" : "CHID" Field</t>
  </si>
  <si>
    <t xml:space="preserve">      avalon_mm_rmap_o.readdata(4 downto 0) &lt;= rmap_registers_wr_i.aeb_hk_adc_rd_data_t_tou_1_p.chid;</t>
  </si>
  <si>
    <t xml:space="preserve">  when (16#4E3#) =&gt;</t>
  </si>
  <si>
    <t xml:space="preserve">      -- AEB Housekeeping Area Register "ADC_RD_DATA_T_TOU_1_P" : "ADC_CHX_DATA_T_TOU_1_P" Field</t>
  </si>
  <si>
    <t xml:space="preserve">      avalon_mm_rmap_o.readdata(7 downto 0) &lt;= rmap_registers_wr_i.aeb_hk_adc_rd_data_t_tou_1_p.adc_chx_data_t_tou_1_p(7 downto 0);</t>
  </si>
  <si>
    <t xml:space="preserve">      avalon_mm_rmap_o.readdata(15 downto 8) &lt;= rmap_registers_wr_i.aeb_hk_adc_rd_data_t_tou_1_p.adc_chx_data_t_tou_1_p(15 downto 8);</t>
  </si>
  <si>
    <t xml:space="preserve">      avalon_mm_rmap_o.readdata(23 downto 16) &lt;= rmap_registers_wr_i.aeb_hk_adc_rd_data_t_tou_1_p.adc_chx_data_t_tou_1_p(23 downto 16);</t>
  </si>
  <si>
    <t xml:space="preserve">  when (16#4E4#) =&gt;</t>
  </si>
  <si>
    <t xml:space="preserve">      -- AEB Housekeeping Area Register "ADC_RD_DATA_T_TOU_2_P" : "NEW" Field</t>
  </si>
  <si>
    <t xml:space="preserve">  when (16#4E5#) =&gt;</t>
  </si>
  <si>
    <t xml:space="preserve">      -- AEB Housekeeping Area Register "ADC_RD_DATA_T_TOU_2_P" : "OVF" Field</t>
  </si>
  <si>
    <t xml:space="preserve">      avalon_mm_rmap_o.readdata(0) &lt;= rmap_registers_wr_i.aeb_hk_adc_rd_data_t_tou_2_p.ovf;</t>
  </si>
  <si>
    <t xml:space="preserve">  when (16#4E6#) =&gt;</t>
  </si>
  <si>
    <t xml:space="preserve">      -- AEB Housekeeping Area Register "ADC_RD_DATA_T_TOU_2_P" : "SUPPLY" Field</t>
  </si>
  <si>
    <t xml:space="preserve">      avalon_mm_rmap_o.readdata(0) &lt;= rmap_registers_wr_i.aeb_hk_adc_rd_data_t_tou_2_p.supply;</t>
  </si>
  <si>
    <t xml:space="preserve">  when (16#4E7#) =&gt;</t>
  </si>
  <si>
    <t xml:space="preserve">      -- AEB Housekeeping Area Register "ADC_RD_DATA_T_TOU_2_P" : "CHID" Field</t>
  </si>
  <si>
    <t xml:space="preserve">      avalon_mm_rmap_o.readdata(4 downto 0) &lt;= rmap_registers_wr_i.aeb_hk_adc_rd_data_t_tou_2_p.chid;</t>
  </si>
  <si>
    <t xml:space="preserve">  when (16#4E8#) =&gt;</t>
  </si>
  <si>
    <t xml:space="preserve">      -- AEB Housekeeping Area Register "ADC_RD_DATA_T_TOU_2_P" : "ADC_CHX_DATA_T_TOU_2_P" Field</t>
  </si>
  <si>
    <t xml:space="preserve">      avalon_mm_rmap_o.readdata(7 downto 0) &lt;= rmap_registers_wr_i.aeb_hk_adc_rd_data_t_tou_2_p.adc_chx_data_t_tou_2_p(7 downto 0);</t>
  </si>
  <si>
    <t xml:space="preserve">      avalon_mm_rmap_o.readdata(15 downto 8) &lt;= rmap_registers_wr_i.aeb_hk_adc_rd_data_t_tou_2_p.adc_chx_data_t_tou_2_p(15 downto 8);</t>
  </si>
  <si>
    <t xml:space="preserve">      avalon_mm_rmap_o.readdata(23 downto 16) &lt;= rmap_registers_wr_i.aeb_hk_adc_rd_data_t_tou_2_p.adc_chx_data_t_tou_2_p(23 downto 16);</t>
  </si>
  <si>
    <t xml:space="preserve">  when (16#4E9#) =&gt;</t>
  </si>
  <si>
    <t xml:space="preserve">      -- AEB Housekeeping Area Register "ADC_RD_DATA_HK_VODE" : "NEW" Field</t>
  </si>
  <si>
    <t xml:space="preserve">  when (16#4EA#) =&gt;</t>
  </si>
  <si>
    <t xml:space="preserve">      -- AEB Housekeeping Area Register "ADC_RD_DATA_HK_VODE" : "OVF" Field</t>
  </si>
  <si>
    <t xml:space="preserve">      avalon_mm_rmap_o.readdata(0) &lt;= rmap_registers_wr_i.aeb_hk_adc_rd_data_hk_vode.ovf;</t>
  </si>
  <si>
    <t xml:space="preserve">  when (16#4EB#) =&gt;</t>
  </si>
  <si>
    <t xml:space="preserve">      -- AEB Housekeeping Area Register "ADC_RD_DATA_HK_VODE" : "SUPPLY" Field</t>
  </si>
  <si>
    <t xml:space="preserve">      avalon_mm_rmap_o.readdata(0) &lt;= rmap_registers_wr_i.aeb_hk_adc_rd_data_hk_vode.supply;</t>
  </si>
  <si>
    <t xml:space="preserve">  when (16#4EC#) =&gt;</t>
  </si>
  <si>
    <t xml:space="preserve">      -- AEB Housekeeping Area Register "ADC_RD_DATA_HK_VODE" : "CHID" Field</t>
  </si>
  <si>
    <t xml:space="preserve">      avalon_mm_rmap_o.readdata(4 downto 0) &lt;= rmap_registers_wr_i.aeb_hk_adc_rd_data_hk_vode.chid;</t>
  </si>
  <si>
    <t xml:space="preserve">  when (16#4ED#) =&gt;</t>
  </si>
  <si>
    <t xml:space="preserve">      -- AEB Housekeeping Area Register "ADC_RD_DATA_HK_VODE" : "ADC_CHX_DATA_HK_VODE" Field</t>
  </si>
  <si>
    <t xml:space="preserve">      avalon_mm_rmap_o.readdata(7 downto 0) &lt;= rmap_registers_wr_i.aeb_hk_adc_rd_data_hk_vode.adc_chx_data_hk_vode(7 downto 0);</t>
  </si>
  <si>
    <t xml:space="preserve">      avalon_mm_rmap_o.readdata(15 downto 8) &lt;= rmap_registers_wr_i.aeb_hk_adc_rd_data_hk_vode.adc_chx_data_hk_vode(15 downto 8);</t>
  </si>
  <si>
    <t xml:space="preserve">      avalon_mm_rmap_o.readdata(23 downto 16) &lt;= rmap_registers_wr_i.aeb_hk_adc_rd_data_hk_vode.adc_chx_data_hk_vode(23 downto 16);</t>
  </si>
  <si>
    <t xml:space="preserve">  when (16#4EE#) =&gt;</t>
  </si>
  <si>
    <t xml:space="preserve">      -- AEB Housekeeping Area Register "ADC_RD_DATA_HK_VODF" : "NEW" Field</t>
  </si>
  <si>
    <t xml:space="preserve">  when (16#4EF#) =&gt;</t>
  </si>
  <si>
    <t xml:space="preserve">      -- AEB Housekeeping Area Register "ADC_RD_DATA_HK_VODF" : "OVF" Field</t>
  </si>
  <si>
    <t xml:space="preserve">      avalon_mm_rmap_o.readdata(0) &lt;= rmap_registers_wr_i.aeb_hk_adc_rd_data_hk_vodf.ovf;</t>
  </si>
  <si>
    <t xml:space="preserve">  when (16#4F0#) =&gt;</t>
  </si>
  <si>
    <t xml:space="preserve">      -- AEB Housekeeping Area Register "ADC_RD_DATA_HK_VODF" : "SUPPLY" Field</t>
  </si>
  <si>
    <t xml:space="preserve">      avalon_mm_rmap_o.readdata(0) &lt;= rmap_registers_wr_i.aeb_hk_adc_rd_data_hk_vodf.supply;</t>
  </si>
  <si>
    <t xml:space="preserve">  when (16#4F1#) =&gt;</t>
  </si>
  <si>
    <t xml:space="preserve">      -- AEB Housekeeping Area Register "ADC_RD_DATA_HK_VODF" : "CHID" Field</t>
  </si>
  <si>
    <t xml:space="preserve">      avalon_mm_rmap_o.readdata(4 downto 0) &lt;= rmap_registers_wr_i.aeb_hk_adc_rd_data_hk_vodf.chid;</t>
  </si>
  <si>
    <t xml:space="preserve">  when (16#4F2#) =&gt;</t>
  </si>
  <si>
    <t xml:space="preserve">      -- AEB Housekeeping Area Register "ADC_RD_DATA_HK_VODF" : "ADC_CHX_DATA_HK_VODF" Field</t>
  </si>
  <si>
    <t xml:space="preserve">      avalon_mm_rmap_o.readdata(7 downto 0) &lt;= rmap_registers_wr_i.aeb_hk_adc_rd_data_hk_vodf.adc_chx_data_hk_vodf(7 downto 0);</t>
  </si>
  <si>
    <t xml:space="preserve">      avalon_mm_rmap_o.readdata(15 downto 8) &lt;= rmap_registers_wr_i.aeb_hk_adc_rd_data_hk_vodf.adc_chx_data_hk_vodf(15 downto 8);</t>
  </si>
  <si>
    <t xml:space="preserve">      avalon_mm_rmap_o.readdata(23 downto 16) &lt;= rmap_registers_wr_i.aeb_hk_adc_rd_data_hk_vodf.adc_chx_data_hk_vodf(23 downto 16);</t>
  </si>
  <si>
    <t xml:space="preserve">  when (16#4F3#) =&gt;</t>
  </si>
  <si>
    <t xml:space="preserve">      -- AEB Housekeeping Area Register "ADC_RD_DATA_HK_VRD" : "NEW" Field</t>
  </si>
  <si>
    <t xml:space="preserve">  when (16#4F4#) =&gt;</t>
  </si>
  <si>
    <t xml:space="preserve">      -- AEB Housekeeping Area Register "ADC_RD_DATA_HK_VRD" : "OVF" Field</t>
  </si>
  <si>
    <t xml:space="preserve">      avalon_mm_rmap_o.readdata(0) &lt;= rmap_registers_wr_i.aeb_hk_adc_rd_data_hk_vrd.ovf;</t>
  </si>
  <si>
    <t xml:space="preserve">  when (16#4F5#) =&gt;</t>
  </si>
  <si>
    <t xml:space="preserve">      -- AEB Housekeeping Area Register "ADC_RD_DATA_HK_VRD" : "SUPPLY" Field</t>
  </si>
  <si>
    <t xml:space="preserve">      avalon_mm_rmap_o.readdata(0) &lt;= rmap_registers_wr_i.aeb_hk_adc_rd_data_hk_vrd.supply;</t>
  </si>
  <si>
    <t xml:space="preserve">  when (16#4F6#) =&gt;</t>
  </si>
  <si>
    <t xml:space="preserve">      -- AEB Housekeeping Area Register "ADC_RD_DATA_HK_VRD" : "CHID" Field</t>
  </si>
  <si>
    <t xml:space="preserve">      avalon_mm_rmap_o.readdata(4 downto 0) &lt;= rmap_registers_wr_i.aeb_hk_adc_rd_data_hk_vrd.chid;</t>
  </si>
  <si>
    <t xml:space="preserve">  when (16#4F7#) =&gt;</t>
  </si>
  <si>
    <t xml:space="preserve">      -- AEB Housekeeping Area Register "ADC_RD_DATA_HK_VRD" : "ADC_CHX_DATA_HK_VRD" Field</t>
  </si>
  <si>
    <t xml:space="preserve">      avalon_mm_rmap_o.readdata(7 downto 0) &lt;= rmap_registers_wr_i.aeb_hk_adc_rd_data_hk_vrd.adc_chx_data_hk_vrd(7 downto 0);</t>
  </si>
  <si>
    <t xml:space="preserve">      avalon_mm_rmap_o.readdata(15 downto 8) &lt;= rmap_registers_wr_i.aeb_hk_adc_rd_data_hk_vrd.adc_chx_data_hk_vrd(15 downto 8);</t>
  </si>
  <si>
    <t xml:space="preserve">      avalon_mm_rmap_o.readdata(23 downto 16) &lt;= rmap_registers_wr_i.aeb_hk_adc_rd_data_hk_vrd.adc_chx_data_hk_vrd(23 downto 16);</t>
  </si>
  <si>
    <t xml:space="preserve">  when (16#4F8#) =&gt;</t>
  </si>
  <si>
    <t xml:space="preserve">      -- AEB Housekeeping Area Register "ADC_RD_DATA_HK_VOG" : "NEW" Field</t>
  </si>
  <si>
    <t xml:space="preserve">  when (16#4F9#) =&gt;</t>
  </si>
  <si>
    <t xml:space="preserve">      -- AEB Housekeeping Area Register "ADC_RD_DATA_HK_VOG" : "OVF" Field</t>
  </si>
  <si>
    <t xml:space="preserve">      avalon_mm_rmap_o.readdata(0) &lt;= rmap_registers_wr_i.aeb_hk_adc_rd_data_hk_vog.ovf;</t>
  </si>
  <si>
    <t xml:space="preserve">  when (16#4FA#) =&gt;</t>
  </si>
  <si>
    <t xml:space="preserve">      -- AEB Housekeeping Area Register "ADC_RD_DATA_HK_VOG" : "SUPPLY" Field</t>
  </si>
  <si>
    <t xml:space="preserve">      avalon_mm_rmap_o.readdata(0) &lt;= rmap_registers_wr_i.aeb_hk_adc_rd_data_hk_vog.supply;</t>
  </si>
  <si>
    <t xml:space="preserve">  when (16#4FB#) =&gt;</t>
  </si>
  <si>
    <t xml:space="preserve">      -- AEB Housekeeping Area Register "ADC_RD_DATA_HK_VOG" : "CHID" Field</t>
  </si>
  <si>
    <t xml:space="preserve">      avalon_mm_rmap_o.readdata(4 downto 0) &lt;= rmap_registers_wr_i.aeb_hk_adc_rd_data_hk_vog.chid;</t>
  </si>
  <si>
    <t xml:space="preserve">  when (16#4FC#) =&gt;</t>
  </si>
  <si>
    <t xml:space="preserve">      -- AEB Housekeeping Area Register "ADC_RD_DATA_HK_VOG" : "ADC_CHX_DATA_HK_VOG" Field</t>
  </si>
  <si>
    <t xml:space="preserve">      avalon_mm_rmap_o.readdata(7 downto 0) &lt;= rmap_registers_wr_i.aeb_hk_adc_rd_data_hk_vog.adc_chx_data_hk_vog(7 downto 0);</t>
  </si>
  <si>
    <t xml:space="preserve">      avalon_mm_rmap_o.readdata(15 downto 8) &lt;= rmap_registers_wr_i.aeb_hk_adc_rd_data_hk_vog.adc_chx_data_hk_vog(15 downto 8);</t>
  </si>
  <si>
    <t xml:space="preserve">      avalon_mm_rmap_o.readdata(23 downto 16) &lt;= rmap_registers_wr_i.aeb_hk_adc_rd_data_hk_vog.adc_chx_data_hk_vog(23 downto 16);</t>
  </si>
  <si>
    <t xml:space="preserve">  when (16#4FD#) =&gt;</t>
  </si>
  <si>
    <t xml:space="preserve">      -- AEB Housekeeping Area Register "ADC_RD_DATA_T_CCD" : "NEW" Field</t>
  </si>
  <si>
    <t xml:space="preserve">  when (16#4FE#) =&gt;</t>
  </si>
  <si>
    <t xml:space="preserve">      -- AEB Housekeeping Area Register "ADC_RD_DATA_T_CCD" : "OVF" Field</t>
  </si>
  <si>
    <t xml:space="preserve">      avalon_mm_rmap_o.readdata(0) &lt;= rmap_registers_wr_i.aeb_hk_adc_rd_data_t_ccd.ovf;</t>
  </si>
  <si>
    <t xml:space="preserve">  when (16#4FF#) =&gt;</t>
  </si>
  <si>
    <t xml:space="preserve">      -- AEB Housekeeping Area Register "ADC_RD_DATA_T_CCD" : "SUPPLY" Field</t>
  </si>
  <si>
    <t xml:space="preserve">      avalon_mm_rmap_o.readdata(0) &lt;= rmap_registers_wr_i.aeb_hk_adc_rd_data_t_ccd.supply;</t>
  </si>
  <si>
    <t xml:space="preserve">  when (16#500#) =&gt;</t>
  </si>
  <si>
    <t xml:space="preserve">      -- AEB Housekeeping Area Register "ADC_RD_DATA_T_CCD" : "CHID" Field</t>
  </si>
  <si>
    <t xml:space="preserve">      avalon_mm_rmap_o.readdata(4 downto 0) &lt;= rmap_registers_wr_i.aeb_hk_adc_rd_data_t_ccd.chid;</t>
  </si>
  <si>
    <t xml:space="preserve">  when (16#501#) =&gt;</t>
  </si>
  <si>
    <t xml:space="preserve">      -- AEB Housekeeping Area Register "ADC_RD_DATA_T_CCD" : "ADC_CHX_DATA_T_CCD" Field</t>
  </si>
  <si>
    <t xml:space="preserve">      avalon_mm_rmap_o.readdata(7 downto 0) &lt;= rmap_registers_wr_i.aeb_hk_adc_rd_data_t_ccd.adc_chx_data_t_ccd(7 downto 0);</t>
  </si>
  <si>
    <t xml:space="preserve">      avalon_mm_rmap_o.readdata(15 downto 8) &lt;= rmap_registers_wr_i.aeb_hk_adc_rd_data_t_ccd.adc_chx_data_t_ccd(15 downto 8);</t>
  </si>
  <si>
    <t xml:space="preserve">      avalon_mm_rmap_o.readdata(23 downto 16) &lt;= rmap_registers_wr_i.aeb_hk_adc_rd_data_t_ccd.adc_chx_data_t_ccd(23 downto 16);</t>
  </si>
  <si>
    <t xml:space="preserve">  when (16#502#) =&gt;</t>
  </si>
  <si>
    <t xml:space="preserve">      -- AEB Housekeeping Area Register "ADC_RD_DATA_T_REF1K_MEA" : "NEW" Field</t>
  </si>
  <si>
    <t xml:space="preserve">  when (16#503#) =&gt;</t>
  </si>
  <si>
    <t xml:space="preserve">      -- AEB Housekeeping Area Register "ADC_RD_DATA_T_REF1K_MEA" : "OVF" Field</t>
  </si>
  <si>
    <t xml:space="preserve">      avalon_mm_rmap_o.readdata(0) &lt;= rmap_registers_wr_i.aeb_hk_adc_rd_data_t_ref1k_mea.ovf;</t>
  </si>
  <si>
    <t xml:space="preserve">  when (16#504#) =&gt;</t>
  </si>
  <si>
    <t xml:space="preserve">      -- AEB Housekeeping Area Register "ADC_RD_DATA_T_REF1K_MEA" : "SUPPLY" Field</t>
  </si>
  <si>
    <t xml:space="preserve">      avalon_mm_rmap_o.readdata(0) &lt;= rmap_registers_wr_i.aeb_hk_adc_rd_data_t_ref1k_mea.supply;</t>
  </si>
  <si>
    <t xml:space="preserve">  when (16#505#) =&gt;</t>
  </si>
  <si>
    <t xml:space="preserve">      -- AEB Housekeeping Area Register "ADC_RD_DATA_T_REF1K_MEA" : "CHID" Field</t>
  </si>
  <si>
    <t xml:space="preserve">      avalon_mm_rmap_o.readdata(4 downto 0) &lt;= rmap_registers_wr_i.aeb_hk_adc_rd_data_t_ref1k_mea.chid;</t>
  </si>
  <si>
    <t xml:space="preserve">  when (16#506#) =&gt;</t>
  </si>
  <si>
    <t xml:space="preserve">      -- AEB Housekeeping Area Register "ADC_RD_DATA_T_REF1K_MEA" : "ADC_CHX_DATA_T_REF1K_MEA" Field</t>
  </si>
  <si>
    <t xml:space="preserve">      avalon_mm_rmap_o.readdata(7 downto 0) &lt;= rmap_registers_wr_i.aeb_hk_adc_rd_data_t_ref1k_mea.adc_chx_data_t_ref1k_mea(7 downto 0);</t>
  </si>
  <si>
    <t xml:space="preserve">      avalon_mm_rmap_o.readdata(15 downto 8) &lt;= rmap_registers_wr_i.aeb_hk_adc_rd_data_t_ref1k_mea.adc_chx_data_t_ref1k_mea(15 downto 8);</t>
  </si>
  <si>
    <t xml:space="preserve">      avalon_mm_rmap_o.readdata(23 downto 16) &lt;= rmap_registers_wr_i.aeb_hk_adc_rd_data_t_ref1k_mea.adc_chx_data_t_ref1k_mea(23 downto 16);</t>
  </si>
  <si>
    <t xml:space="preserve">  when (16#507#) =&gt;</t>
  </si>
  <si>
    <t xml:space="preserve">      -- AEB Housekeeping Area Register "ADC_RD_DATA_T_REF649R_MEA" : "NEW" Field</t>
  </si>
  <si>
    <t xml:space="preserve">  when (16#508#) =&gt;</t>
  </si>
  <si>
    <t xml:space="preserve">      -- AEB Housekeeping Area Register "ADC_RD_DATA_T_REF649R_MEA" : "OVF" Field</t>
  </si>
  <si>
    <t xml:space="preserve">      avalon_mm_rmap_o.readdata(0) &lt;= rmap_registers_wr_i.aeb_hk_adc_rd_data_t_ref649r_mea.ovf;</t>
  </si>
  <si>
    <t xml:space="preserve">  when (16#509#) =&gt;</t>
  </si>
  <si>
    <t xml:space="preserve">      -- AEB Housekeeping Area Register "ADC_RD_DATA_T_REF649R_MEA" : "SUPPLY" Field</t>
  </si>
  <si>
    <t xml:space="preserve">      avalon_mm_rmap_o.readdata(0) &lt;= rmap_registers_wr_i.aeb_hk_adc_rd_data_t_ref649r_mea.supply;</t>
  </si>
  <si>
    <t xml:space="preserve">  when (16#50A#) =&gt;</t>
  </si>
  <si>
    <t xml:space="preserve">      -- AEB Housekeeping Area Register "ADC_RD_DATA_T_REF649R_MEA" : "CHID" Field</t>
  </si>
  <si>
    <t xml:space="preserve">      avalon_mm_rmap_o.readdata(4 downto 0) &lt;= rmap_registers_wr_i.aeb_hk_adc_rd_data_t_ref649r_mea.chid;</t>
  </si>
  <si>
    <t xml:space="preserve">  when (16#50B#) =&gt;</t>
  </si>
  <si>
    <t xml:space="preserve">      -- AEB Housekeeping Area Register "ADC_RD_DATA_T_REF649R_MEA" : "ADC_CHX_DATA_T_REF649R_MEA" Field</t>
  </si>
  <si>
    <t xml:space="preserve">      avalon_mm_rmap_o.readdata(7 downto 0) &lt;= rmap_registers_wr_i.aeb_hk_adc_rd_data_t_ref649r_mea.adc_chx_data_t_ref649r_mea(7 downto 0);</t>
  </si>
  <si>
    <t xml:space="preserve">      avalon_mm_rmap_o.readdata(15 downto 8) &lt;= rmap_registers_wr_i.aeb_hk_adc_rd_data_t_ref649r_mea.adc_chx_data_t_ref649r_mea(15 downto 8);</t>
  </si>
  <si>
    <t xml:space="preserve">      avalon_mm_rmap_o.readdata(23 downto 16) &lt;= rmap_registers_wr_i.aeb_hk_adc_rd_data_t_ref649r_mea.adc_chx_data_t_ref649r_mea(23 downto 16);</t>
  </si>
  <si>
    <t xml:space="preserve">  when (16#50C#) =&gt;</t>
  </si>
  <si>
    <t xml:space="preserve">      -- AEB Housekeeping Area Register "ADC_RD_DATA_HK_ANA_N5V" : "NEW" Field</t>
  </si>
  <si>
    <t xml:space="preserve">  when (16#50D#) =&gt;</t>
  </si>
  <si>
    <t xml:space="preserve">      -- AEB Housekeeping Area Register "ADC_RD_DATA_HK_ANA_N5V" : "OVF" Field</t>
  </si>
  <si>
    <t xml:space="preserve">      avalon_mm_rmap_o.readdata(0) &lt;= rmap_registers_wr_i.aeb_hk_adc_rd_data_hk_ana_n5v.ovf;</t>
  </si>
  <si>
    <t xml:space="preserve">  when (16#50E#) =&gt;</t>
  </si>
  <si>
    <t xml:space="preserve">      -- AEB Housekeeping Area Register "ADC_RD_DATA_HK_ANA_N5V" : "SUPPLY" Field</t>
  </si>
  <si>
    <t xml:space="preserve">      avalon_mm_rmap_o.readdata(0) &lt;= rmap_registers_wr_i.aeb_hk_adc_rd_data_hk_ana_n5v.supply;</t>
  </si>
  <si>
    <t xml:space="preserve">  when (16#50F#) =&gt;</t>
  </si>
  <si>
    <t xml:space="preserve">      -- AEB Housekeeping Area Register "ADC_RD_DATA_HK_ANA_N5V" : "CHID" Field</t>
  </si>
  <si>
    <t xml:space="preserve">      avalon_mm_rmap_o.readdata(4 downto 0) &lt;= rmap_registers_wr_i.aeb_hk_adc_rd_data_hk_ana_n5v.chid;</t>
  </si>
  <si>
    <t xml:space="preserve">  when (16#510#) =&gt;</t>
  </si>
  <si>
    <t xml:space="preserve">      -- AEB Housekeeping Area Register "ADC_RD_DATA_HK_ANA_N5V" : "ADC_CHX_DATA_HK_ANA_N5V" Field</t>
  </si>
  <si>
    <t xml:space="preserve">      avalon_mm_rmap_o.readdata(7 downto 0) &lt;= rmap_registers_wr_i.aeb_hk_adc_rd_data_hk_ana_n5v.adc_chx_data_hk_ana_n5v(7 downto 0);</t>
  </si>
  <si>
    <t xml:space="preserve">      avalon_mm_rmap_o.readdata(15 downto 8) &lt;= rmap_registers_wr_i.aeb_hk_adc_rd_data_hk_ana_n5v.adc_chx_data_hk_ana_n5v(15 downto 8);</t>
  </si>
  <si>
    <t xml:space="preserve">      avalon_mm_rmap_o.readdata(23 downto 16) &lt;= rmap_registers_wr_i.aeb_hk_adc_rd_data_hk_ana_n5v.adc_chx_data_hk_ana_n5v(23 downto 16);</t>
  </si>
  <si>
    <t xml:space="preserve">  when (16#511#) =&gt;</t>
  </si>
  <si>
    <t xml:space="preserve">      -- AEB Housekeeping Area Register "ADC_RD_DATA_S_REF" : "NEW" Field</t>
  </si>
  <si>
    <t xml:space="preserve">  when (16#512#) =&gt;</t>
  </si>
  <si>
    <t xml:space="preserve">      -- AEB Housekeeping Area Register "ADC_RD_DATA_S_REF" : "OVF" Field</t>
  </si>
  <si>
    <t xml:space="preserve">      avalon_mm_rmap_o.readdata(0) &lt;= rmap_registers_wr_i.aeb_hk_adc_rd_data_s_ref.ovf;</t>
  </si>
  <si>
    <t xml:space="preserve">  when (16#513#) =&gt;</t>
  </si>
  <si>
    <t xml:space="preserve">      -- AEB Housekeeping Area Register "ADC_RD_DATA_S_REF" : "SUPPLY" Field</t>
  </si>
  <si>
    <t xml:space="preserve">      avalon_mm_rmap_o.readdata(0) &lt;= rmap_registers_wr_i.aeb_hk_adc_rd_data_s_ref.supply;</t>
  </si>
  <si>
    <t xml:space="preserve">  when (16#514#) =&gt;</t>
  </si>
  <si>
    <t xml:space="preserve">      -- AEB Housekeeping Area Register "ADC_RD_DATA_S_REF" : "CHID" Field</t>
  </si>
  <si>
    <t xml:space="preserve">      avalon_mm_rmap_o.readdata(4 downto 0) &lt;= rmap_registers_wr_i.aeb_hk_adc_rd_data_s_ref.chid;</t>
  </si>
  <si>
    <t xml:space="preserve">  when (16#515#) =&gt;</t>
  </si>
  <si>
    <t xml:space="preserve">      -- AEB Housekeeping Area Register "ADC_RD_DATA_S_REF" : "ADC_CHX_DATA_S_REF" Field</t>
  </si>
  <si>
    <t xml:space="preserve">      avalon_mm_rmap_o.readdata(7 downto 0) &lt;= rmap_registers_wr_i.aeb_hk_adc_rd_data_s_ref.adc_chx_data_s_ref(7 downto 0);</t>
  </si>
  <si>
    <t xml:space="preserve">      avalon_mm_rmap_o.readdata(15 downto 8) &lt;= rmap_registers_wr_i.aeb_hk_adc_rd_data_s_ref.adc_chx_data_s_ref(15 downto 8);</t>
  </si>
  <si>
    <t xml:space="preserve">      avalon_mm_rmap_o.readdata(23 downto 16) &lt;= rmap_registers_wr_i.aeb_hk_adc_rd_data_s_ref.adc_chx_data_s_ref(23 downto 16);</t>
  </si>
  <si>
    <t xml:space="preserve">  when (16#516#) =&gt;</t>
  </si>
  <si>
    <t xml:space="preserve">      -- AEB Housekeeping Area Register "ADC_RD_DATA_HK_CCD_P31V" : "NEW" Field</t>
  </si>
  <si>
    <t xml:space="preserve">  when (16#517#) =&gt;</t>
  </si>
  <si>
    <t xml:space="preserve">      -- AEB Housekeeping Area Register "ADC_RD_DATA_HK_CCD_P31V" : "OVF" Field</t>
  </si>
  <si>
    <t xml:space="preserve">      avalon_mm_rmap_o.readdata(0) &lt;= rmap_registers_wr_i.aeb_hk_adc_rd_data_hk_ccd_p31v.ovf;</t>
  </si>
  <si>
    <t xml:space="preserve">  when (16#518#) =&gt;</t>
  </si>
  <si>
    <t xml:space="preserve">      -- AEB Housekeeping Area Register "ADC_RD_DATA_HK_CCD_P31V" : "SUPPLY" Field</t>
  </si>
  <si>
    <t xml:space="preserve">      avalon_mm_rmap_o.readdata(0) &lt;= rmap_registers_wr_i.aeb_hk_adc_rd_data_hk_ccd_p31v.supply;</t>
  </si>
  <si>
    <t xml:space="preserve">  when (16#519#) =&gt;</t>
  </si>
  <si>
    <t xml:space="preserve">      -- AEB Housekeeping Area Register "ADC_RD_DATA_HK_CCD_P31V" : "CHID" Field</t>
  </si>
  <si>
    <t xml:space="preserve">      avalon_mm_rmap_o.readdata(4 downto 0) &lt;= rmap_registers_wr_i.aeb_hk_adc_rd_data_hk_ccd_p31v.chid;</t>
  </si>
  <si>
    <t xml:space="preserve">  when (16#51A#) =&gt;</t>
  </si>
  <si>
    <t xml:space="preserve">      -- AEB Housekeeping Area Register "ADC_RD_DATA_HK_CCD_P31V" : "ADC_CHX_DATA_HK_CCD_P31V" Field</t>
  </si>
  <si>
    <t xml:space="preserve">      avalon_mm_rmap_o.readdata(7 downto 0) &lt;= rmap_registers_wr_i.aeb_hk_adc_rd_data_hk_ccd_p31v.adc_chx_data_hk_ccd_p31v(7 downto 0);</t>
  </si>
  <si>
    <t xml:space="preserve">      avalon_mm_rmap_o.readdata(15 downto 8) &lt;= rmap_registers_wr_i.aeb_hk_adc_rd_data_hk_ccd_p31v.adc_chx_data_hk_ccd_p31v(15 downto 8);</t>
  </si>
  <si>
    <t xml:space="preserve">      avalon_mm_rmap_o.readdata(23 downto 16) &lt;= rmap_registers_wr_i.aeb_hk_adc_rd_data_hk_ccd_p31v.adc_chx_data_hk_ccd_p31v(23 downto 16);</t>
  </si>
  <si>
    <t xml:space="preserve">  when (16#51B#) =&gt;</t>
  </si>
  <si>
    <t xml:space="preserve">      -- AEB Housekeeping Area Register "ADC_RD_DATA_HK_CLK_P15V" : "NEW" Field</t>
  </si>
  <si>
    <t xml:space="preserve">  when (16#51C#) =&gt;</t>
  </si>
  <si>
    <t xml:space="preserve">      -- AEB Housekeeping Area Register "ADC_RD_DATA_HK_CLK_P15V" : "OVF" Field</t>
  </si>
  <si>
    <t xml:space="preserve">      avalon_mm_rmap_o.readdata(0) &lt;= rmap_registers_wr_i.aeb_hk_adc_rd_data_hk_clk_p15v.ovf;</t>
  </si>
  <si>
    <t xml:space="preserve">  when (16#51D#) =&gt;</t>
  </si>
  <si>
    <t xml:space="preserve">      -- AEB Housekeeping Area Register "ADC_RD_DATA_HK_CLK_P15V" : "SUPPLY" Field</t>
  </si>
  <si>
    <t xml:space="preserve">      avalon_mm_rmap_o.readdata(0) &lt;= rmap_registers_wr_i.aeb_hk_adc_rd_data_hk_clk_p15v.supply;</t>
  </si>
  <si>
    <t xml:space="preserve">  when (16#51E#) =&gt;</t>
  </si>
  <si>
    <t xml:space="preserve">      -- AEB Housekeeping Area Register "ADC_RD_DATA_HK_CLK_P15V" : "CHID" Field</t>
  </si>
  <si>
    <t xml:space="preserve">      avalon_mm_rmap_o.readdata(4 downto 0) &lt;= rmap_registers_wr_i.aeb_hk_adc_rd_data_hk_clk_p15v.chid;</t>
  </si>
  <si>
    <t xml:space="preserve">  when (16#51F#) =&gt;</t>
  </si>
  <si>
    <t xml:space="preserve">      -- AEB Housekeeping Area Register "ADC_RD_DATA_HK_CLK_P15V" : "ADC_CHX_DATA_HK_CLK_P15V" Field</t>
  </si>
  <si>
    <t xml:space="preserve">      avalon_mm_rmap_o.readdata(7 downto 0) &lt;= rmap_registers_wr_i.aeb_hk_adc_rd_data_hk_clk_p15v.adc_chx_data_hk_clk_p15v(7 downto 0);</t>
  </si>
  <si>
    <t xml:space="preserve">      avalon_mm_rmap_o.readdata(15 downto 8) &lt;= rmap_registers_wr_i.aeb_hk_adc_rd_data_hk_clk_p15v.adc_chx_data_hk_clk_p15v(15 downto 8);</t>
  </si>
  <si>
    <t xml:space="preserve">      avalon_mm_rmap_o.readdata(23 downto 16) &lt;= rmap_registers_wr_i.aeb_hk_adc_rd_data_hk_clk_p15v.adc_chx_data_hk_clk_p15v(23 downto 16);</t>
  </si>
  <si>
    <t xml:space="preserve">  when (16#520#) =&gt;</t>
  </si>
  <si>
    <t xml:space="preserve">      -- AEB Housekeeping Area Register "ADC_RD_DATA_HK_ANA_P5V" : "NEW" Field</t>
  </si>
  <si>
    <t xml:space="preserve">  when (16#521#) =&gt;</t>
  </si>
  <si>
    <t xml:space="preserve">      -- AEB Housekeeping Area Register "ADC_RD_DATA_HK_ANA_P5V" : "OVF" Field</t>
  </si>
  <si>
    <t xml:space="preserve">      avalon_mm_rmap_o.readdata(0) &lt;= rmap_registers_wr_i.aeb_hk_adc_rd_data_hk_ana_p5v.ovf;</t>
  </si>
  <si>
    <t xml:space="preserve">  when (16#522#) =&gt;</t>
  </si>
  <si>
    <t xml:space="preserve">      -- AEB Housekeeping Area Register "ADC_RD_DATA_HK_ANA_P5V" : "SUPPLY" Field</t>
  </si>
  <si>
    <t xml:space="preserve">      avalon_mm_rmap_o.readdata(0) &lt;= rmap_registers_wr_i.aeb_hk_adc_rd_data_hk_ana_p5v.supply;</t>
  </si>
  <si>
    <t xml:space="preserve">  when (16#523#) =&gt;</t>
  </si>
  <si>
    <t xml:space="preserve">      -- AEB Housekeeping Area Register "ADC_RD_DATA_HK_ANA_P5V" : "CHID" Field</t>
  </si>
  <si>
    <t xml:space="preserve">      avalon_mm_rmap_o.readdata(4 downto 0) &lt;= rmap_registers_wr_i.aeb_hk_adc_rd_data_hk_ana_p5v.chid;</t>
  </si>
  <si>
    <t xml:space="preserve">  when (16#524#) =&gt;</t>
  </si>
  <si>
    <t xml:space="preserve">      -- AEB Housekeeping Area Register "ADC_RD_DATA_HK_ANA_P5V" : "ADC_CHX_DATA_HK_ANA_P5V" Field</t>
  </si>
  <si>
    <t xml:space="preserve">      avalon_mm_rmap_o.readdata(7 downto 0) &lt;= rmap_registers_wr_i.aeb_hk_adc_rd_data_hk_ana_p5v.adc_chx_data_hk_ana_p5v(7 downto 0);</t>
  </si>
  <si>
    <t xml:space="preserve">      avalon_mm_rmap_o.readdata(15 downto 8) &lt;= rmap_registers_wr_i.aeb_hk_adc_rd_data_hk_ana_p5v.adc_chx_data_hk_ana_p5v(15 downto 8);</t>
  </si>
  <si>
    <t xml:space="preserve">      avalon_mm_rmap_o.readdata(23 downto 16) &lt;= rmap_registers_wr_i.aeb_hk_adc_rd_data_hk_ana_p5v.adc_chx_data_hk_ana_p5v(23 downto 16);</t>
  </si>
  <si>
    <t xml:space="preserve">  when (16#525#) =&gt;</t>
  </si>
  <si>
    <t xml:space="preserve">      -- AEB Housekeeping Area Register "ADC_RD_DATA_HK_ANA_P3V3" : "NEW" Field</t>
  </si>
  <si>
    <t xml:space="preserve">  when (16#526#) =&gt;</t>
  </si>
  <si>
    <t xml:space="preserve">      -- AEB Housekeeping Area Register "ADC_RD_DATA_HK_ANA_P3V3" : "OVF" Field</t>
  </si>
  <si>
    <t xml:space="preserve">      avalon_mm_rmap_o.readdata(0) &lt;= rmap_registers_wr_i.aeb_hk_adc_rd_data_hk_ana_p3v3.ovf;</t>
  </si>
  <si>
    <t xml:space="preserve">  when (16#527#) =&gt;</t>
  </si>
  <si>
    <t xml:space="preserve">      -- AEB Housekeeping Area Register "ADC_RD_DATA_HK_ANA_P3V3" : "SUPPLY" Field</t>
  </si>
  <si>
    <t xml:space="preserve">      avalon_mm_rmap_o.readdata(0) &lt;= rmap_registers_wr_i.aeb_hk_adc_rd_data_hk_ana_p3v3.supply;</t>
  </si>
  <si>
    <t xml:space="preserve">  when (16#528#) =&gt;</t>
  </si>
  <si>
    <t xml:space="preserve">      -- AEB Housekeeping Area Register "ADC_RD_DATA_HK_ANA_P3V3" : "CHID" Field</t>
  </si>
  <si>
    <t xml:space="preserve">      avalon_mm_rmap_o.readdata(4 downto 0) &lt;= rmap_registers_wr_i.aeb_hk_adc_rd_data_hk_ana_p3v3.chid;</t>
  </si>
  <si>
    <t xml:space="preserve">  when (16#529#) =&gt;</t>
  </si>
  <si>
    <t xml:space="preserve">      -- AEB Housekeeping Area Register "ADC_RD_DATA_HK_ANA_P3V3" : "ADC_CHX_DATA_HK_ANA_P3V3" Field</t>
  </si>
  <si>
    <t xml:space="preserve">      avalon_mm_rmap_o.readdata(7 downto 0) &lt;= rmap_registers_wr_i.aeb_hk_adc_rd_data_hk_ana_p3v3.adc_chx_data_hk_ana_p3v3(7 downto 0);</t>
  </si>
  <si>
    <t xml:space="preserve">      avalon_mm_rmap_o.readdata(15 downto 8) &lt;= rmap_registers_wr_i.aeb_hk_adc_rd_data_hk_ana_p3v3.adc_chx_data_hk_ana_p3v3(15 downto 8);</t>
  </si>
  <si>
    <t xml:space="preserve">      avalon_mm_rmap_o.readdata(23 downto 16) &lt;= rmap_registers_wr_i.aeb_hk_adc_rd_data_hk_ana_p3v3.adc_chx_data_hk_ana_p3v3(23 downto 16);</t>
  </si>
  <si>
    <t xml:space="preserve">  when (16#52A#) =&gt;</t>
  </si>
  <si>
    <t xml:space="preserve">      -- AEB Housekeeping Area Register "ADC_RD_DATA_HK_DIG_P3V3" : "NEW" Field</t>
  </si>
  <si>
    <t xml:space="preserve">  when (16#52B#) =&gt;</t>
  </si>
  <si>
    <t xml:space="preserve">      -- AEB Housekeeping Area Register "ADC_RD_DATA_HK_DIG_P3V3" : "OVF" Field</t>
  </si>
  <si>
    <t xml:space="preserve">      avalon_mm_rmap_o.readdata(0) &lt;= rmap_registers_wr_i.aeb_hk_adc_rd_data_hk_dig_p3v3.ovf;</t>
  </si>
  <si>
    <t xml:space="preserve">  when (16#52C#) =&gt;</t>
  </si>
  <si>
    <t xml:space="preserve">      -- AEB Housekeeping Area Register "ADC_RD_DATA_HK_DIG_P3V3" : "SUPPLY" Field</t>
  </si>
  <si>
    <t xml:space="preserve">      avalon_mm_rmap_o.readdata(0) &lt;= rmap_registers_wr_i.aeb_hk_adc_rd_data_hk_dig_p3v3.supply;</t>
  </si>
  <si>
    <t xml:space="preserve">  when (16#52D#) =&gt;</t>
  </si>
  <si>
    <t xml:space="preserve">      -- AEB Housekeeping Area Register "ADC_RD_DATA_HK_DIG_P3V3" : "CHID" Field</t>
  </si>
  <si>
    <t xml:space="preserve">      avalon_mm_rmap_o.readdata(4 downto 0) &lt;= rmap_registers_wr_i.aeb_hk_adc_rd_data_hk_dig_p3v3.chid;</t>
  </si>
  <si>
    <t xml:space="preserve">  when (16#52E#) =&gt;</t>
  </si>
  <si>
    <t xml:space="preserve">      -- AEB Housekeeping Area Register "ADC_RD_DATA_HK_DIG_P3V3" : "ADC_CHX_DATA_HK_DIG_P3V3" Field</t>
  </si>
  <si>
    <t xml:space="preserve">      avalon_mm_rmap_o.readdata(7 downto 0) &lt;= rmap_registers_wr_i.aeb_hk_adc_rd_data_hk_dig_p3v3.adc_chx_data_hk_dig_p3v3(7 downto 0);</t>
  </si>
  <si>
    <t xml:space="preserve">      avalon_mm_rmap_o.readdata(15 downto 8) &lt;= rmap_registers_wr_i.aeb_hk_adc_rd_data_hk_dig_p3v3.adc_chx_data_hk_dig_p3v3(15 downto 8);</t>
  </si>
  <si>
    <t xml:space="preserve">      avalon_mm_rmap_o.readdata(23 downto 16) &lt;= rmap_registers_wr_i.aeb_hk_adc_rd_data_hk_dig_p3v3.adc_chx_data_hk_dig_p3v3(23 downto 16);</t>
  </si>
  <si>
    <t xml:space="preserve">  when (16#52F#) =&gt;</t>
  </si>
  <si>
    <t xml:space="preserve">      -- AEB Housekeeping Area Register "ADC_RD_DATA_ADC_REF_BUF_2" : "NEW" Field</t>
  </si>
  <si>
    <t xml:space="preserve">  when (16#530#) =&gt;</t>
  </si>
  <si>
    <t xml:space="preserve">      -- AEB Housekeeping Area Register "ADC_RD_DATA_ADC_REF_BUF_2" : "OVF" Field</t>
  </si>
  <si>
    <t xml:space="preserve">      avalon_mm_rmap_o.readdata(0) &lt;= rmap_registers_wr_i.aeb_hk_adc_rd_data_adc_ref_buf_2.ovf;</t>
  </si>
  <si>
    <t xml:space="preserve">  when (16#531#) =&gt;</t>
  </si>
  <si>
    <t xml:space="preserve">      -- AEB Housekeeping Area Register "ADC_RD_DATA_ADC_REF_BUF_2" : "SUPPLY" Field</t>
  </si>
  <si>
    <t xml:space="preserve">      avalon_mm_rmap_o.readdata(0) &lt;= rmap_registers_wr_i.aeb_hk_adc_rd_data_adc_ref_buf_2.supply;</t>
  </si>
  <si>
    <t xml:space="preserve">  when (16#532#) =&gt;</t>
  </si>
  <si>
    <t xml:space="preserve">      -- AEB Housekeeping Area Register "ADC_RD_DATA_ADC_REF_BUF_2" : "CHID" Field</t>
  </si>
  <si>
    <t xml:space="preserve">      avalon_mm_rmap_o.readdata(4 downto 0) &lt;= rmap_registers_wr_i.aeb_hk_adc_rd_data_adc_ref_buf_2.chid;</t>
  </si>
  <si>
    <t xml:space="preserve">      -- AEB Housekeeping Area Register "ADC_RD_DATA_ADC_REF_BUF_2" : "ADC_CHX_DATA_ADC_REF_BUF_2" Field</t>
  </si>
  <si>
    <t xml:space="preserve">      avalon_mm_rmap_o.readdata(11 downto 8) &lt;= rmap_registers_wr_i.aeb_hk_adc_rd_data_adc_ref_buf_2.adc_chx_data_adc_ref_buf_2;</t>
  </si>
  <si>
    <t xml:space="preserve">  when (16#533#) =&gt;</t>
  </si>
  <si>
    <t xml:space="preserve">      -- AEB Housekeeping Area Register "ADC1_RD_CONFIG_1" : "SPIRST" Field</t>
  </si>
  <si>
    <t xml:space="preserve">      avalon_mm_rmap_o.readdata(0) &lt;= rmap_registers_wr_i.aeb_hk_adc1_rd_config_1.spirst;</t>
  </si>
  <si>
    <t xml:space="preserve">  when (16#534#) =&gt;</t>
  </si>
  <si>
    <t xml:space="preserve">      -- AEB Housekeeping Area Register "ADC1_RD_CONFIG_1" : "MUXMOD" Field</t>
  </si>
  <si>
    <t xml:space="preserve">      avalon_mm_rmap_o.readdata(0) &lt;= rmap_registers_wr_i.aeb_hk_adc1_rd_config_1.muxmod;</t>
  </si>
  <si>
    <t xml:space="preserve">  when (16#535#) =&gt;</t>
  </si>
  <si>
    <t xml:space="preserve">      -- AEB Housekeeping Area Register "ADC1_RD_CONFIG_1" : "BYPAS" Field</t>
  </si>
  <si>
    <t xml:space="preserve">      avalon_mm_rmap_o.readdata(0) &lt;= rmap_registers_wr_i.aeb_hk_adc1_rd_config_1.bypas;</t>
  </si>
  <si>
    <t xml:space="preserve">  when (16#536#) =&gt;</t>
  </si>
  <si>
    <t xml:space="preserve">      -- AEB Housekeeping Area Register "ADC1_RD_CONFIG_1" : "CLKENB" Field</t>
  </si>
  <si>
    <t xml:space="preserve">      avalon_mm_rmap_o.readdata(0) &lt;= rmap_registers_wr_i.aeb_hk_adc1_rd_config_1.clkenb;</t>
  </si>
  <si>
    <t xml:space="preserve">  when (16#537#) =&gt;</t>
  </si>
  <si>
    <t xml:space="preserve">      -- AEB Housekeeping Area Register "ADC1_RD_CONFIG_1" : "CHOP" Field</t>
  </si>
  <si>
    <t xml:space="preserve">      avalon_mm_rmap_o.readdata(0) &lt;= rmap_registers_wr_i.aeb_hk_adc1_rd_config_1.chop;</t>
  </si>
  <si>
    <t xml:space="preserve">  when (16#538#) =&gt;</t>
  </si>
  <si>
    <t xml:space="preserve">      -- AEB Housekeeping Area Register "ADC1_RD_CONFIG_1" : "STAT" Field</t>
  </si>
  <si>
    <t xml:space="preserve">      avalon_mm_rmap_o.readdata(0) &lt;= rmap_registers_wr_i.aeb_hk_adc1_rd_config_1.stat;</t>
  </si>
  <si>
    <t xml:space="preserve">  when (16#539#) =&gt;</t>
  </si>
  <si>
    <t xml:space="preserve">      -- AEB Housekeeping Area Register "ADC1_RD_CONFIG_1" : "IDLMOD" Field</t>
  </si>
  <si>
    <t xml:space="preserve">      avalon_mm_rmap_o.readdata(0) &lt;= rmap_registers_wr_i.aeb_hk_adc1_rd_config_1.idlmod;</t>
  </si>
  <si>
    <t xml:space="preserve">  when (16#53A#) =&gt;</t>
  </si>
  <si>
    <t xml:space="preserve">      -- AEB Housekeeping Area Register "ADC1_RD_CONFIG_1" : "DLY2" Field</t>
  </si>
  <si>
    <t xml:space="preserve">      avalon_mm_rmap_o.readdata(0) &lt;= rmap_registers_wr_i.aeb_hk_adc1_rd_config_1.dly2;</t>
  </si>
  <si>
    <t xml:space="preserve">  when (16#53B#) =&gt;</t>
  </si>
  <si>
    <t xml:space="preserve">      -- AEB Housekeeping Area Register "ADC1_RD_CONFIG_1" : "DLY1" Field</t>
  </si>
  <si>
    <t xml:space="preserve">      avalon_mm_rmap_o.readdata(0) &lt;= rmap_registers_wr_i.aeb_hk_adc1_rd_config_1.dly1;</t>
  </si>
  <si>
    <t xml:space="preserve">  when (16#53C#) =&gt;</t>
  </si>
  <si>
    <t xml:space="preserve">      -- AEB Housekeeping Area Register "ADC1_RD_CONFIG_1" : "DLY0" Field</t>
  </si>
  <si>
    <t xml:space="preserve">      avalon_mm_rmap_o.readdata(0) &lt;= rmap_registers_wr_i.aeb_hk_adc1_rd_config_1.dly0;</t>
  </si>
  <si>
    <t xml:space="preserve">  when (16#53D#) =&gt;</t>
  </si>
  <si>
    <t xml:space="preserve">      -- AEB Housekeeping Area Register "ADC1_RD_CONFIG_1" : "SBCS1" Field</t>
  </si>
  <si>
    <t xml:space="preserve">      avalon_mm_rmap_o.readdata(0) &lt;= rmap_registers_wr_i.aeb_hk_adc1_rd_config_1.sbcs1;</t>
  </si>
  <si>
    <t xml:space="preserve">  when (16#53E#) =&gt;</t>
  </si>
  <si>
    <t xml:space="preserve">      -- AEB Housekeeping Area Register "ADC1_RD_CONFIG_1" : "SBCS0" Field</t>
  </si>
  <si>
    <t xml:space="preserve">      avalon_mm_rmap_o.readdata(0) &lt;= rmap_registers_wr_i.aeb_hk_adc1_rd_config_1.sbcs0;</t>
  </si>
  <si>
    <t xml:space="preserve">  when (16#53F#) =&gt;</t>
  </si>
  <si>
    <t xml:space="preserve">      -- AEB Housekeeping Area Register "ADC1_RD_CONFIG_1" : "DRATE1" Field</t>
  </si>
  <si>
    <t xml:space="preserve">      avalon_mm_rmap_o.readdata(0) &lt;= rmap_registers_wr_i.aeb_hk_adc1_rd_config_1.drate1;</t>
  </si>
  <si>
    <t xml:space="preserve">  when (16#540#) =&gt;</t>
  </si>
  <si>
    <t xml:space="preserve">      -- AEB Housekeeping Area Register "ADC1_RD_CONFIG_1" : "DRATE0" Field</t>
  </si>
  <si>
    <t xml:space="preserve">      avalon_mm_rmap_o.readdata(0) &lt;= rmap_registers_wr_i.aeb_hk_adc1_rd_config_1.drate0;</t>
  </si>
  <si>
    <t xml:space="preserve">  when (16#541#) =&gt;</t>
  </si>
  <si>
    <t xml:space="preserve">      -- AEB Housekeeping Area Register "ADC1_RD_CONFIG_1" : "AINP3" Field</t>
  </si>
  <si>
    <t xml:space="preserve">      avalon_mm_rmap_o.readdata(0) &lt;= rmap_registers_wr_i.aeb_hk_adc1_rd_config_1.ainp3;</t>
  </si>
  <si>
    <t xml:space="preserve">  when (16#542#) =&gt;</t>
  </si>
  <si>
    <t xml:space="preserve">      -- AEB Housekeeping Area Register "ADC1_RD_CONFIG_1" : "AINP2" Field</t>
  </si>
  <si>
    <t xml:space="preserve">      avalon_mm_rmap_o.readdata(0) &lt;= rmap_registers_wr_i.aeb_hk_adc1_rd_config_1.ainp2;</t>
  </si>
  <si>
    <t xml:space="preserve">  when (16#543#) =&gt;</t>
  </si>
  <si>
    <t xml:space="preserve">      -- AEB Housekeeping Area Register "ADC1_RD_CONFIG_1" : "AINP1" Field</t>
  </si>
  <si>
    <t xml:space="preserve">      avalon_mm_rmap_o.readdata(0) &lt;= rmap_registers_wr_i.aeb_hk_adc1_rd_config_1.ainp1;</t>
  </si>
  <si>
    <t xml:space="preserve">  when (16#544#) =&gt;</t>
  </si>
  <si>
    <t xml:space="preserve">      -- AEB Housekeeping Area Register "ADC1_RD_CONFIG_1" : "AINP0" Field</t>
  </si>
  <si>
    <t xml:space="preserve">      avalon_mm_rmap_o.readdata(0) &lt;= rmap_registers_wr_i.aeb_hk_adc1_rd_config_1.ainp0;</t>
  </si>
  <si>
    <t xml:space="preserve">  when (16#545#) =&gt;</t>
  </si>
  <si>
    <t xml:space="preserve">      -- AEB Housekeeping Area Register "ADC1_RD_CONFIG_1" : "AINN3" Field</t>
  </si>
  <si>
    <t xml:space="preserve">      avalon_mm_rmap_o.readdata(0) &lt;= rmap_registers_wr_i.aeb_hk_adc1_rd_config_1.ainn3;</t>
  </si>
  <si>
    <t xml:space="preserve">  when (16#546#) =&gt;</t>
  </si>
  <si>
    <t xml:space="preserve">      -- AEB Housekeeping Area Register "ADC1_RD_CONFIG_1" : "AINN2" Field</t>
  </si>
  <si>
    <t xml:space="preserve">      avalon_mm_rmap_o.readdata(0) &lt;= rmap_registers_wr_i.aeb_hk_adc1_rd_config_1.ainn2;</t>
  </si>
  <si>
    <t xml:space="preserve">  when (16#547#) =&gt;</t>
  </si>
  <si>
    <t xml:space="preserve">      -- AEB Housekeeping Area Register "ADC1_RD_CONFIG_1" : "AINN1" Field</t>
  </si>
  <si>
    <t xml:space="preserve">      avalon_mm_rmap_o.readdata(0) &lt;= rmap_registers_wr_i.aeb_hk_adc1_rd_config_1.ainn1;</t>
  </si>
  <si>
    <t xml:space="preserve">  when (16#548#) =&gt;</t>
  </si>
  <si>
    <t xml:space="preserve">      -- AEB Housekeeping Area Register "ADC1_RD_CONFIG_1" : "AINN0" Field</t>
  </si>
  <si>
    <t xml:space="preserve">      avalon_mm_rmap_o.readdata(0) &lt;= rmap_registers_wr_i.aeb_hk_adc1_rd_config_1.ainn0;</t>
  </si>
  <si>
    <t xml:space="preserve">  when (16#549#) =&gt;</t>
  </si>
  <si>
    <t xml:space="preserve">      -- AEB Housekeeping Area Register "ADC1_RD_CONFIG_1" : "DIFF7" Field</t>
  </si>
  <si>
    <t xml:space="preserve">      avalon_mm_rmap_o.readdata(0) &lt;= rmap_registers_wr_i.aeb_hk_adc1_rd_config_1.diff7;</t>
  </si>
  <si>
    <t xml:space="preserve">  when (16#54A#) =&gt;</t>
  </si>
  <si>
    <t xml:space="preserve">      -- AEB Housekeeping Area Register "ADC1_RD_CONFIG_1" : "DIFF6" Field</t>
  </si>
  <si>
    <t xml:space="preserve">      avalon_mm_rmap_o.readdata(0) &lt;= rmap_registers_wr_i.aeb_hk_adc1_rd_config_1.diff6;</t>
  </si>
  <si>
    <t xml:space="preserve">  when (16#54B#) =&gt;</t>
  </si>
  <si>
    <t xml:space="preserve">      -- AEB Housekeeping Area Register "ADC1_RD_CONFIG_1" : "DIFF5" Field</t>
  </si>
  <si>
    <t xml:space="preserve">      avalon_mm_rmap_o.readdata(0) &lt;= rmap_registers_wr_i.aeb_hk_adc1_rd_config_1.diff5;</t>
  </si>
  <si>
    <t xml:space="preserve">  when (16#54C#) =&gt;</t>
  </si>
  <si>
    <t xml:space="preserve">      -- AEB Housekeeping Area Register "ADC1_RD_CONFIG_1" : "DIFF4" Field</t>
  </si>
  <si>
    <t xml:space="preserve">      avalon_mm_rmap_o.readdata(0) &lt;= rmap_registers_wr_i.aeb_hk_adc1_rd_config_1.diff4;</t>
  </si>
  <si>
    <t xml:space="preserve">  when (16#54D#) =&gt;</t>
  </si>
  <si>
    <t xml:space="preserve">      -- AEB Housekeeping Area Register "ADC1_RD_CONFIG_1" : "DIFF3" Field</t>
  </si>
  <si>
    <t xml:space="preserve">      avalon_mm_rmap_o.readdata(0) &lt;= rmap_registers_wr_i.aeb_hk_adc1_rd_config_1.diff3;</t>
  </si>
  <si>
    <t xml:space="preserve">  when (16#54E#) =&gt;</t>
  </si>
  <si>
    <t xml:space="preserve">      -- AEB Housekeeping Area Register "ADC1_RD_CONFIG_1" : "DIFF2" Field</t>
  </si>
  <si>
    <t xml:space="preserve">      avalon_mm_rmap_o.readdata(0) &lt;= rmap_registers_wr_i.aeb_hk_adc1_rd_config_1.diff2;</t>
  </si>
  <si>
    <t xml:space="preserve">  when (16#54F#) =&gt;</t>
  </si>
  <si>
    <t xml:space="preserve">      -- AEB Housekeeping Area Register "ADC1_RD_CONFIG_1" : "DIFF1" Field</t>
  </si>
  <si>
    <t xml:space="preserve">      avalon_mm_rmap_o.readdata(0) &lt;= rmap_registers_wr_i.aeb_hk_adc1_rd_config_1.diff1;</t>
  </si>
  <si>
    <t xml:space="preserve">  when (16#550#) =&gt;</t>
  </si>
  <si>
    <t xml:space="preserve">      -- AEB Housekeeping Area Register "ADC1_RD_CONFIG_1" : "DIFF0" Field</t>
  </si>
  <si>
    <t xml:space="preserve">      avalon_mm_rmap_o.readdata(0) &lt;= rmap_registers_wr_i.aeb_hk_adc1_rd_config_1.diff0;</t>
  </si>
  <si>
    <t xml:space="preserve">  when (16#551#) =&gt;</t>
  </si>
  <si>
    <t xml:space="preserve">      -- AEB Housekeeping Area Register "ADC1_RD_CONFIG_2" : "AIN7" Field</t>
  </si>
  <si>
    <t xml:space="preserve">      avalon_mm_rmap_o.readdata(0) &lt;= rmap_registers_wr_i.aeb_hk_adc1_rd_config_2.ain7;</t>
  </si>
  <si>
    <t xml:space="preserve">  when (16#552#) =&gt;</t>
  </si>
  <si>
    <t xml:space="preserve">      -- AEB Housekeeping Area Register "ADC1_RD_CONFIG_2" : "AIN6" Field</t>
  </si>
  <si>
    <t xml:space="preserve">      avalon_mm_rmap_o.readdata(0) &lt;= rmap_registers_wr_i.aeb_hk_adc1_rd_config_2.ain6;</t>
  </si>
  <si>
    <t xml:space="preserve">  when (16#553#) =&gt;</t>
  </si>
  <si>
    <t xml:space="preserve">      -- AEB Housekeeping Area Register "ADC1_RD_CONFIG_2" : "AIN5" Field</t>
  </si>
  <si>
    <t xml:space="preserve">      avalon_mm_rmap_o.readdata(0) &lt;= rmap_registers_wr_i.aeb_hk_adc1_rd_config_2.ain5;</t>
  </si>
  <si>
    <t xml:space="preserve">  when (16#554#) =&gt;</t>
  </si>
  <si>
    <t xml:space="preserve">      -- AEB Housekeeping Area Register "ADC1_RD_CONFIG_2" : "AIN4" Field</t>
  </si>
  <si>
    <t xml:space="preserve">      avalon_mm_rmap_o.readdata(0) &lt;= rmap_registers_wr_i.aeb_hk_adc1_rd_config_2.ain4;</t>
  </si>
  <si>
    <t xml:space="preserve">  when (16#555#) =&gt;</t>
  </si>
  <si>
    <t xml:space="preserve">      -- AEB Housekeeping Area Register "ADC1_RD_CONFIG_2" : "AIN3" Field</t>
  </si>
  <si>
    <t xml:space="preserve">      avalon_mm_rmap_o.readdata(0) &lt;= rmap_registers_wr_i.aeb_hk_adc1_rd_config_2.ain3;</t>
  </si>
  <si>
    <t xml:space="preserve">  when (16#556#) =&gt;</t>
  </si>
  <si>
    <t xml:space="preserve">      -- AEB Housekeeping Area Register "ADC1_RD_CONFIG_2" : "AIN2" Field</t>
  </si>
  <si>
    <t xml:space="preserve">      avalon_mm_rmap_o.readdata(0) &lt;= rmap_registers_wr_i.aeb_hk_adc1_rd_config_2.ain2;</t>
  </si>
  <si>
    <t xml:space="preserve">  when (16#557#) =&gt;</t>
  </si>
  <si>
    <t xml:space="preserve">      -- AEB Housekeeping Area Register "ADC1_RD_CONFIG_2" : "AIN1" Field</t>
  </si>
  <si>
    <t xml:space="preserve">      avalon_mm_rmap_o.readdata(0) &lt;= rmap_registers_wr_i.aeb_hk_adc1_rd_config_2.ain1;</t>
  </si>
  <si>
    <t xml:space="preserve">  when (16#558#) =&gt;</t>
  </si>
  <si>
    <t xml:space="preserve">      -- AEB Housekeeping Area Register "ADC1_RD_CONFIG_2" : "AIN0" Field</t>
  </si>
  <si>
    <t xml:space="preserve">      avalon_mm_rmap_o.readdata(0) &lt;= rmap_registers_wr_i.aeb_hk_adc1_rd_config_2.ain0;</t>
  </si>
  <si>
    <t xml:space="preserve">  when (16#559#) =&gt;</t>
  </si>
  <si>
    <t xml:space="preserve">      -- AEB Housekeeping Area Register "ADC1_RD_CONFIG_2" : "AIN15" Field</t>
  </si>
  <si>
    <t xml:space="preserve">      avalon_mm_rmap_o.readdata(0) &lt;= rmap_registers_wr_i.aeb_hk_adc1_rd_config_2.ain15;</t>
  </si>
  <si>
    <t xml:space="preserve">  when (16#55A#) =&gt;</t>
  </si>
  <si>
    <t xml:space="preserve">      -- AEB Housekeeping Area Register "ADC1_RD_CONFIG_2" : "AIN14" Field</t>
  </si>
  <si>
    <t xml:space="preserve">      avalon_mm_rmap_o.readdata(0) &lt;= rmap_registers_wr_i.aeb_hk_adc1_rd_config_2.ain14;</t>
  </si>
  <si>
    <t xml:space="preserve">  when (16#55B#) =&gt;</t>
  </si>
  <si>
    <t xml:space="preserve">      -- AEB Housekeeping Area Register "ADC1_RD_CONFIG_2" : "AIN13" Field</t>
  </si>
  <si>
    <t xml:space="preserve">      avalon_mm_rmap_o.readdata(0) &lt;= rmap_registers_wr_i.aeb_hk_adc1_rd_config_2.ain13;</t>
  </si>
  <si>
    <t xml:space="preserve">  when (16#55C#) =&gt;</t>
  </si>
  <si>
    <t xml:space="preserve">      -- AEB Housekeeping Area Register "ADC1_RD_CONFIG_2" : "AIN12" Field</t>
  </si>
  <si>
    <t xml:space="preserve">      avalon_mm_rmap_o.readdata(0) &lt;= rmap_registers_wr_i.aeb_hk_adc1_rd_config_2.ain12;</t>
  </si>
  <si>
    <t xml:space="preserve">  when (16#55D#) =&gt;</t>
  </si>
  <si>
    <t xml:space="preserve">      -- AEB Housekeeping Area Register "ADC1_RD_CONFIG_2" : "AIN11" Field</t>
  </si>
  <si>
    <t xml:space="preserve">      avalon_mm_rmap_o.readdata(0) &lt;= rmap_registers_wr_i.aeb_hk_adc1_rd_config_2.ain11;</t>
  </si>
  <si>
    <t xml:space="preserve">  when (16#55E#) =&gt;</t>
  </si>
  <si>
    <t xml:space="preserve">      -- AEB Housekeeping Area Register "ADC1_RD_CONFIG_2" : "AIN10" Field</t>
  </si>
  <si>
    <t xml:space="preserve">      avalon_mm_rmap_o.readdata(0) &lt;= rmap_registers_wr_i.aeb_hk_adc1_rd_config_2.ain10;</t>
  </si>
  <si>
    <t xml:space="preserve">  when (16#55F#) =&gt;</t>
  </si>
  <si>
    <t xml:space="preserve">      -- AEB Housekeeping Area Register "ADC1_RD_CONFIG_2" : "AIN9" Field</t>
  </si>
  <si>
    <t xml:space="preserve">      avalon_mm_rmap_o.readdata(0) &lt;= rmap_registers_wr_i.aeb_hk_adc1_rd_config_2.ain9;</t>
  </si>
  <si>
    <t xml:space="preserve">  when (16#560#) =&gt;</t>
  </si>
  <si>
    <t xml:space="preserve">      -- AEB Housekeeping Area Register "ADC1_RD_CONFIG_2" : "AIN8" Field</t>
  </si>
  <si>
    <t xml:space="preserve">      avalon_mm_rmap_o.readdata(0) &lt;= rmap_registers_wr_i.aeb_hk_adc1_rd_config_2.ain8;</t>
  </si>
  <si>
    <t xml:space="preserve">  when (16#561#) =&gt;</t>
  </si>
  <si>
    <t xml:space="preserve">      -- AEB Housekeeping Area Register "ADC1_RD_CONFIG_2" : "REF" Field</t>
  </si>
  <si>
    <t xml:space="preserve">      avalon_mm_rmap_o.readdata(0) &lt;= rmap_registers_wr_i.aeb_hk_adc1_rd_config_2.ref;</t>
  </si>
  <si>
    <t xml:space="preserve">  when (16#562#) =&gt;</t>
  </si>
  <si>
    <t xml:space="preserve">      -- AEB Housekeeping Area Register "ADC1_RD_CONFIG_2" : "GAIN" Field</t>
  </si>
  <si>
    <t xml:space="preserve">      avalon_mm_rmap_o.readdata(0) &lt;= rmap_registers_wr_i.aeb_hk_adc1_rd_config_2.gain;</t>
  </si>
  <si>
    <t xml:space="preserve">  when (16#563#) =&gt;</t>
  </si>
  <si>
    <t xml:space="preserve">      -- AEB Housekeeping Area Register "ADC1_RD_CONFIG_2" : "TEMP" Field</t>
  </si>
  <si>
    <t xml:space="preserve">      avalon_mm_rmap_o.readdata(0) &lt;= rmap_registers_wr_i.aeb_hk_adc1_rd_config_2.temp;</t>
  </si>
  <si>
    <t xml:space="preserve">  when (16#564#) =&gt;</t>
  </si>
  <si>
    <t xml:space="preserve">      -- AEB Housekeeping Area Register "ADC1_RD_CONFIG_2" : "VCC" Field</t>
  </si>
  <si>
    <t xml:space="preserve">      avalon_mm_rmap_o.readdata(0) &lt;= rmap_registers_wr_i.aeb_hk_adc1_rd_config_2.vcc;</t>
  </si>
  <si>
    <t xml:space="preserve">  when (16#565#) =&gt;</t>
  </si>
  <si>
    <t xml:space="preserve">      -- AEB Housekeeping Area Register "ADC1_RD_CONFIG_2" : "OFFSET" Field</t>
  </si>
  <si>
    <t xml:space="preserve">      avalon_mm_rmap_o.readdata(0) &lt;= rmap_registers_wr_i.aeb_hk_adc1_rd_config_2.offset;</t>
  </si>
  <si>
    <t xml:space="preserve">  when (16#566#) =&gt;</t>
  </si>
  <si>
    <t xml:space="preserve">      -- AEB Housekeeping Area Register "ADC1_RD_CONFIG_2" : "CIO7" Field</t>
  </si>
  <si>
    <t xml:space="preserve">      avalon_mm_rmap_o.readdata(0) &lt;= rmap_registers_wr_i.aeb_hk_adc1_rd_config_2.cio7;</t>
  </si>
  <si>
    <t xml:space="preserve">  when (16#567#) =&gt;</t>
  </si>
  <si>
    <t xml:space="preserve">      -- AEB Housekeeping Area Register "ADC1_RD_CONFIG_2" : "CIO6" Field</t>
  </si>
  <si>
    <t xml:space="preserve">      avalon_mm_rmap_o.readdata(0) &lt;= rmap_registers_wr_i.aeb_hk_adc1_rd_config_2.cio6;</t>
  </si>
  <si>
    <t xml:space="preserve">  when (16#568#) =&gt;</t>
  </si>
  <si>
    <t xml:space="preserve">      -- AEB Housekeeping Area Register "ADC1_RD_CONFIG_2" : "CIO5" Field</t>
  </si>
  <si>
    <t xml:space="preserve">      avalon_mm_rmap_o.readdata(0) &lt;= rmap_registers_wr_i.aeb_hk_adc1_rd_config_2.cio5;</t>
  </si>
  <si>
    <t xml:space="preserve">  when (16#569#) =&gt;</t>
  </si>
  <si>
    <t xml:space="preserve">      -- AEB Housekeeping Area Register "ADC1_RD_CONFIG_2" : "CIO4" Field</t>
  </si>
  <si>
    <t xml:space="preserve">      avalon_mm_rmap_o.readdata(0) &lt;= rmap_registers_wr_i.aeb_hk_adc1_rd_config_2.cio4;</t>
  </si>
  <si>
    <t xml:space="preserve">  when (16#56A#) =&gt;</t>
  </si>
  <si>
    <t xml:space="preserve">      -- AEB Housekeeping Area Register "ADC1_RD_CONFIG_2" : "CIO3" Field</t>
  </si>
  <si>
    <t xml:space="preserve">      avalon_mm_rmap_o.readdata(0) &lt;= rmap_registers_wr_i.aeb_hk_adc1_rd_config_2.cio3;</t>
  </si>
  <si>
    <t xml:space="preserve">  when (16#56B#) =&gt;</t>
  </si>
  <si>
    <t xml:space="preserve">      -- AEB Housekeeping Area Register "ADC1_RD_CONFIG_2" : "CIO2" Field</t>
  </si>
  <si>
    <t xml:space="preserve">      avalon_mm_rmap_o.readdata(0) &lt;= rmap_registers_wr_i.aeb_hk_adc1_rd_config_2.cio2;</t>
  </si>
  <si>
    <t xml:space="preserve">  when (16#56C#) =&gt;</t>
  </si>
  <si>
    <t xml:space="preserve">      -- AEB Housekeeping Area Register "ADC1_RD_CONFIG_2" : "CIO1" Field</t>
  </si>
  <si>
    <t xml:space="preserve">      avalon_mm_rmap_o.readdata(0) &lt;= rmap_registers_wr_i.aeb_hk_adc1_rd_config_2.cio1;</t>
  </si>
  <si>
    <t xml:space="preserve">  when (16#56D#) =&gt;</t>
  </si>
  <si>
    <t xml:space="preserve">      -- AEB Housekeeping Area Register "ADC1_RD_CONFIG_2" : "CIO0" Field</t>
  </si>
  <si>
    <t xml:space="preserve">      avalon_mm_rmap_o.readdata(0) &lt;= rmap_registers_wr_i.aeb_hk_adc1_rd_config_2.cio0;</t>
  </si>
  <si>
    <t xml:space="preserve">  when (16#56E#) =&gt;</t>
  </si>
  <si>
    <t xml:space="preserve">      -- AEB Housekeeping Area Register "ADC1_RD_CONFIG_3" : "DIO7" Field</t>
  </si>
  <si>
    <t xml:space="preserve">      avalon_mm_rmap_o.readdata(0) &lt;= rmap_registers_wr_i.aeb_hk_adc1_rd_config_3.dio7;</t>
  </si>
  <si>
    <t xml:space="preserve">  when (16#56F#) =&gt;</t>
  </si>
  <si>
    <t xml:space="preserve">      -- AEB Housekeeping Area Register "ADC1_RD_CONFIG_3" : "DIO6" Field</t>
  </si>
  <si>
    <t xml:space="preserve">      avalon_mm_rmap_o.readdata(0) &lt;= rmap_registers_wr_i.aeb_hk_adc1_rd_config_3.dio6;</t>
  </si>
  <si>
    <t xml:space="preserve">  when (16#570#) =&gt;</t>
  </si>
  <si>
    <t xml:space="preserve">      -- AEB Housekeeping Area Register "ADC1_RD_CONFIG_3" : "DIO5" Field</t>
  </si>
  <si>
    <t xml:space="preserve">      avalon_mm_rmap_o.readdata(0) &lt;= rmap_registers_wr_i.aeb_hk_adc1_rd_config_3.dio5;</t>
  </si>
  <si>
    <t xml:space="preserve">  when (16#571#) =&gt;</t>
  </si>
  <si>
    <t xml:space="preserve">      -- AEB Housekeeping Area Register "ADC1_RD_CONFIG_3" : "DIO4" Field</t>
  </si>
  <si>
    <t xml:space="preserve">      avalon_mm_rmap_o.readdata(0) &lt;= rmap_registers_wr_i.aeb_hk_adc1_rd_config_3.dio4;</t>
  </si>
  <si>
    <t xml:space="preserve">  when (16#572#) =&gt;</t>
  </si>
  <si>
    <t xml:space="preserve">      -- AEB Housekeeping Area Register "ADC1_RD_CONFIG_3" : "DIO3" Field</t>
  </si>
  <si>
    <t xml:space="preserve">      avalon_mm_rmap_o.readdata(0) &lt;= rmap_registers_wr_i.aeb_hk_adc1_rd_config_3.dio3;</t>
  </si>
  <si>
    <t xml:space="preserve">  when (16#573#) =&gt;</t>
  </si>
  <si>
    <t xml:space="preserve">      -- AEB Housekeeping Area Register "ADC1_RD_CONFIG_3" : "DIO2" Field</t>
  </si>
  <si>
    <t xml:space="preserve">      avalon_mm_rmap_o.readdata(0) &lt;= rmap_registers_wr_i.aeb_hk_adc1_rd_config_3.dio2;</t>
  </si>
  <si>
    <t xml:space="preserve">  when (16#574#) =&gt;</t>
  </si>
  <si>
    <t xml:space="preserve">      -- AEB Housekeeping Area Register "ADC1_RD_CONFIG_3" : "DIO1" Field</t>
  </si>
  <si>
    <t xml:space="preserve">      avalon_mm_rmap_o.readdata(0) &lt;= rmap_registers_wr_i.aeb_hk_adc1_rd_config_3.dio1;</t>
  </si>
  <si>
    <t xml:space="preserve">  when (16#575#) =&gt;</t>
  </si>
  <si>
    <t xml:space="preserve">      -- AEB Housekeeping Area Register "ADC1_RD_CONFIG_3" : "DIO0" Field</t>
  </si>
  <si>
    <t xml:space="preserve">      avalon_mm_rmap_o.readdata(0) &lt;= rmap_registers_wr_i.aeb_hk_adc1_rd_config_3.dio0;</t>
  </si>
  <si>
    <t xml:space="preserve">  when (16#576#) =&gt;</t>
  </si>
  <si>
    <t xml:space="preserve">      -- AEB Housekeeping Area Register "ADC2_RD_CONFIG_1" : "SPIRST" Field</t>
  </si>
  <si>
    <t xml:space="preserve">      avalon_mm_rmap_o.readdata(0) &lt;= rmap_registers_wr_i.aeb_hk_adc2_rd_config_1.spirst;</t>
  </si>
  <si>
    <t xml:space="preserve">  when (16#577#) =&gt;</t>
  </si>
  <si>
    <t xml:space="preserve">      -- AEB Housekeeping Area Register "ADC2_RD_CONFIG_1" : "MUXMOD" Field</t>
  </si>
  <si>
    <t xml:space="preserve">      avalon_mm_rmap_o.readdata(0) &lt;= rmap_registers_wr_i.aeb_hk_adc2_rd_config_1.muxmod;</t>
  </si>
  <si>
    <t xml:space="preserve">  when (16#578#) =&gt;</t>
  </si>
  <si>
    <t xml:space="preserve">      -- AEB Housekeeping Area Register "ADC2_RD_CONFIG_1" : "BYPAS" Field</t>
  </si>
  <si>
    <t xml:space="preserve">      avalon_mm_rmap_o.readdata(0) &lt;= rmap_registers_wr_i.aeb_hk_adc2_rd_config_1.bypas;</t>
  </si>
  <si>
    <t xml:space="preserve">  when (16#579#) =&gt;</t>
  </si>
  <si>
    <t xml:space="preserve">      -- AEB Housekeeping Area Register "ADC2_RD_CONFIG_1" : "CLKENB" Field</t>
  </si>
  <si>
    <t xml:space="preserve">      avalon_mm_rmap_o.readdata(0) &lt;= rmap_registers_wr_i.aeb_hk_adc2_rd_config_1.clkenb;</t>
  </si>
  <si>
    <t xml:space="preserve">  when (16#57A#) =&gt;</t>
  </si>
  <si>
    <t xml:space="preserve">      -- AEB Housekeeping Area Register "ADC2_RD_CONFIG_1" : "CHOP" Field</t>
  </si>
  <si>
    <t xml:space="preserve">      avalon_mm_rmap_o.readdata(0) &lt;= rmap_registers_wr_i.aeb_hk_adc2_rd_config_1.chop;</t>
  </si>
  <si>
    <t xml:space="preserve">  when (16#57B#) =&gt;</t>
  </si>
  <si>
    <t xml:space="preserve">      -- AEB Housekeeping Area Register "ADC2_RD_CONFIG_1" : "STAT" Field</t>
  </si>
  <si>
    <t xml:space="preserve">      avalon_mm_rmap_o.readdata(0) &lt;= rmap_registers_wr_i.aeb_hk_adc2_rd_config_1.stat;</t>
  </si>
  <si>
    <t xml:space="preserve">  when (16#57C#) =&gt;</t>
  </si>
  <si>
    <t xml:space="preserve">      -- AEB Housekeeping Area Register "ADC2_RD_CONFIG_1" : "IDLMOD" Field</t>
  </si>
  <si>
    <t xml:space="preserve">      avalon_mm_rmap_o.readdata(0) &lt;= rmap_registers_wr_i.aeb_hk_adc2_rd_config_1.idlmod;</t>
  </si>
  <si>
    <t xml:space="preserve">  when (16#57D#) =&gt;</t>
  </si>
  <si>
    <t xml:space="preserve">      -- AEB Housekeeping Area Register "ADC2_RD_CONFIG_1" : "DLY2" Field</t>
  </si>
  <si>
    <t xml:space="preserve">      avalon_mm_rmap_o.readdata(0) &lt;= rmap_registers_wr_i.aeb_hk_adc2_rd_config_1.dly2;</t>
  </si>
  <si>
    <t xml:space="preserve">  when (16#57E#) =&gt;</t>
  </si>
  <si>
    <t xml:space="preserve">      -- AEB Housekeeping Area Register "ADC2_RD_CONFIG_1" : "DLY1" Field</t>
  </si>
  <si>
    <t xml:space="preserve">      avalon_mm_rmap_o.readdata(0) &lt;= rmap_registers_wr_i.aeb_hk_adc2_rd_config_1.dly1;</t>
  </si>
  <si>
    <t xml:space="preserve">  when (16#57F#) =&gt;</t>
  </si>
  <si>
    <t xml:space="preserve">      -- AEB Housekeeping Area Register "ADC2_RD_CONFIG_1" : "DLY0" Field</t>
  </si>
  <si>
    <t xml:space="preserve">      avalon_mm_rmap_o.readdata(0) &lt;= rmap_registers_wr_i.aeb_hk_adc2_rd_config_1.dly0;</t>
  </si>
  <si>
    <t xml:space="preserve">  when (16#580#) =&gt;</t>
  </si>
  <si>
    <t xml:space="preserve">      -- AEB Housekeeping Area Register "ADC2_RD_CONFIG_1" : "SBCS1" Field</t>
  </si>
  <si>
    <t xml:space="preserve">      avalon_mm_rmap_o.readdata(0) &lt;= rmap_registers_wr_i.aeb_hk_adc2_rd_config_1.sbcs1;</t>
  </si>
  <si>
    <t xml:space="preserve">  when (16#581#) =&gt;</t>
  </si>
  <si>
    <t xml:space="preserve">      -- AEB Housekeeping Area Register "ADC2_RD_CONFIG_1" : "SBCS0" Field</t>
  </si>
  <si>
    <t xml:space="preserve">      avalon_mm_rmap_o.readdata(0) &lt;= rmap_registers_wr_i.aeb_hk_adc2_rd_config_1.sbcs0;</t>
  </si>
  <si>
    <t xml:space="preserve">  when (16#582#) =&gt;</t>
  </si>
  <si>
    <t xml:space="preserve">      -- AEB Housekeeping Area Register "ADC2_RD_CONFIG_1" : "DRATE1" Field</t>
  </si>
  <si>
    <t xml:space="preserve">      avalon_mm_rmap_o.readdata(0) &lt;= rmap_registers_wr_i.aeb_hk_adc2_rd_config_1.drate1;</t>
  </si>
  <si>
    <t xml:space="preserve">  when (16#583#) =&gt;</t>
  </si>
  <si>
    <t xml:space="preserve">      -- AEB Housekeeping Area Register "ADC2_RD_CONFIG_1" : "DRATE0" Field</t>
  </si>
  <si>
    <t xml:space="preserve">      avalon_mm_rmap_o.readdata(0) &lt;= rmap_registers_wr_i.aeb_hk_adc2_rd_config_1.drate0;</t>
  </si>
  <si>
    <t xml:space="preserve">  when (16#584#) =&gt;</t>
  </si>
  <si>
    <t xml:space="preserve">      -- AEB Housekeeping Area Register "ADC2_RD_CONFIG_1" : "AINP3" Field</t>
  </si>
  <si>
    <t xml:space="preserve">      avalon_mm_rmap_o.readdata(0) &lt;= rmap_registers_wr_i.aeb_hk_adc2_rd_config_1.ainp3;</t>
  </si>
  <si>
    <t xml:space="preserve">  when (16#585#) =&gt;</t>
  </si>
  <si>
    <t xml:space="preserve">      -- AEB Housekeeping Area Register "ADC2_RD_CONFIG_1" : "AINP2" Field</t>
  </si>
  <si>
    <t xml:space="preserve">      avalon_mm_rmap_o.readdata(0) &lt;= rmap_registers_wr_i.aeb_hk_adc2_rd_config_1.ainp2;</t>
  </si>
  <si>
    <t xml:space="preserve">  when (16#586#) =&gt;</t>
  </si>
  <si>
    <t xml:space="preserve">      -- AEB Housekeeping Area Register "ADC2_RD_CONFIG_1" : "AINP1" Field</t>
  </si>
  <si>
    <t xml:space="preserve">      avalon_mm_rmap_o.readdata(0) &lt;= rmap_registers_wr_i.aeb_hk_adc2_rd_config_1.ainp1;</t>
  </si>
  <si>
    <t xml:space="preserve">  when (16#587#) =&gt;</t>
  </si>
  <si>
    <t xml:space="preserve">      -- AEB Housekeeping Area Register "ADC2_RD_CONFIG_1" : "AINP0" Field</t>
  </si>
  <si>
    <t xml:space="preserve">      avalon_mm_rmap_o.readdata(0) &lt;= rmap_registers_wr_i.aeb_hk_adc2_rd_config_1.ainp0;</t>
  </si>
  <si>
    <t xml:space="preserve">  when (16#588#) =&gt;</t>
  </si>
  <si>
    <t xml:space="preserve">      -- AEB Housekeeping Area Register "ADC2_RD_CONFIG_1" : "AINN3" Field</t>
  </si>
  <si>
    <t xml:space="preserve">      avalon_mm_rmap_o.readdata(0) &lt;= rmap_registers_wr_i.aeb_hk_adc2_rd_config_1.ainn3;</t>
  </si>
  <si>
    <t xml:space="preserve">  when (16#589#) =&gt;</t>
  </si>
  <si>
    <t xml:space="preserve">      -- AEB Housekeeping Area Register "ADC2_RD_CONFIG_1" : "AINN2" Field</t>
  </si>
  <si>
    <t xml:space="preserve">      avalon_mm_rmap_o.readdata(0) &lt;= rmap_registers_wr_i.aeb_hk_adc2_rd_config_1.ainn2;</t>
  </si>
  <si>
    <t xml:space="preserve">  when (16#58A#) =&gt;</t>
  </si>
  <si>
    <t xml:space="preserve">      -- AEB Housekeeping Area Register "ADC2_RD_CONFIG_1" : "AINN1" Field</t>
  </si>
  <si>
    <t xml:space="preserve">      avalon_mm_rmap_o.readdata(0) &lt;= rmap_registers_wr_i.aeb_hk_adc2_rd_config_1.ainn1;</t>
  </si>
  <si>
    <t xml:space="preserve">  when (16#58B#) =&gt;</t>
  </si>
  <si>
    <t xml:space="preserve">      -- AEB Housekeeping Area Register "ADC2_RD_CONFIG_1" : "AINN0" Field</t>
  </si>
  <si>
    <t xml:space="preserve">      avalon_mm_rmap_o.readdata(0) &lt;= rmap_registers_wr_i.aeb_hk_adc2_rd_config_1.ainn0;</t>
  </si>
  <si>
    <t xml:space="preserve">  when (16#58C#) =&gt;</t>
  </si>
  <si>
    <t xml:space="preserve">      -- AEB Housekeeping Area Register "ADC2_RD_CONFIG_1" : "DIFF7" Field</t>
  </si>
  <si>
    <t xml:space="preserve">      avalon_mm_rmap_o.readdata(0) &lt;= rmap_registers_wr_i.aeb_hk_adc2_rd_config_1.diff7;</t>
  </si>
  <si>
    <t xml:space="preserve">  when (16#58D#) =&gt;</t>
  </si>
  <si>
    <t xml:space="preserve">      -- AEB Housekeeping Area Register "ADC2_RD_CONFIG_1" : "DIFF6" Field</t>
  </si>
  <si>
    <t xml:space="preserve">      avalon_mm_rmap_o.readdata(0) &lt;= rmap_registers_wr_i.aeb_hk_adc2_rd_config_1.diff6;</t>
  </si>
  <si>
    <t xml:space="preserve">  when (16#58E#) =&gt;</t>
  </si>
  <si>
    <t xml:space="preserve">      -- AEB Housekeeping Area Register "ADC2_RD_CONFIG_1" : "DIFF5" Field</t>
  </si>
  <si>
    <t xml:space="preserve">      avalon_mm_rmap_o.readdata(0) &lt;= rmap_registers_wr_i.aeb_hk_adc2_rd_config_1.diff5;</t>
  </si>
  <si>
    <t xml:space="preserve">  when (16#58F#) =&gt;</t>
  </si>
  <si>
    <t xml:space="preserve">      -- AEB Housekeeping Area Register "ADC2_RD_CONFIG_1" : "DIFF4" Field</t>
  </si>
  <si>
    <t xml:space="preserve">      avalon_mm_rmap_o.readdata(0) &lt;= rmap_registers_wr_i.aeb_hk_adc2_rd_config_1.diff4;</t>
  </si>
  <si>
    <t xml:space="preserve">  when (16#590#) =&gt;</t>
  </si>
  <si>
    <t xml:space="preserve">      -- AEB Housekeeping Area Register "ADC2_RD_CONFIG_1" : "DIFF3" Field</t>
  </si>
  <si>
    <t xml:space="preserve">      avalon_mm_rmap_o.readdata(0) &lt;= rmap_registers_wr_i.aeb_hk_adc2_rd_config_1.diff3;</t>
  </si>
  <si>
    <t xml:space="preserve">  when (16#591#) =&gt;</t>
  </si>
  <si>
    <t xml:space="preserve">      -- AEB Housekeeping Area Register "ADC2_RD_CONFIG_1" : "DIFF2" Field</t>
  </si>
  <si>
    <t xml:space="preserve">      avalon_mm_rmap_o.readdata(0) &lt;= rmap_registers_wr_i.aeb_hk_adc2_rd_config_1.diff2;</t>
  </si>
  <si>
    <t xml:space="preserve">  when (16#592#) =&gt;</t>
  </si>
  <si>
    <t xml:space="preserve">      -- AEB Housekeeping Area Register "ADC2_RD_CONFIG_1" : "DIFF1" Field</t>
  </si>
  <si>
    <t xml:space="preserve">      avalon_mm_rmap_o.readdata(0) &lt;= rmap_registers_wr_i.aeb_hk_adc2_rd_config_1.diff1;</t>
  </si>
  <si>
    <t xml:space="preserve">  when (16#593#) =&gt;</t>
  </si>
  <si>
    <t xml:space="preserve">      -- AEB Housekeeping Area Register "ADC2_RD_CONFIG_1" : "DIFF0" Field</t>
  </si>
  <si>
    <t xml:space="preserve">      avalon_mm_rmap_o.readdata(0) &lt;= rmap_registers_wr_i.aeb_hk_adc2_rd_config_1.diff0;</t>
  </si>
  <si>
    <t xml:space="preserve">  when (16#594#) =&gt;</t>
  </si>
  <si>
    <t xml:space="preserve">      -- AEB Housekeeping Area Register "ADC2_RD_CONFIG_2" : "AIN7" Field</t>
  </si>
  <si>
    <t xml:space="preserve">      avalon_mm_rmap_o.readdata(0) &lt;= rmap_registers_wr_i.aeb_hk_adc2_rd_config_2.ain7;</t>
  </si>
  <si>
    <t xml:space="preserve">  when (16#595#) =&gt;</t>
  </si>
  <si>
    <t xml:space="preserve">      -- AEB Housekeeping Area Register "ADC2_RD_CONFIG_2" : "AIN6" Field</t>
  </si>
  <si>
    <t xml:space="preserve">      avalon_mm_rmap_o.readdata(0) &lt;= rmap_registers_wr_i.aeb_hk_adc2_rd_config_2.ain6;</t>
  </si>
  <si>
    <t xml:space="preserve">  when (16#596#) =&gt;</t>
  </si>
  <si>
    <t xml:space="preserve">      -- AEB Housekeeping Area Register "ADC2_RD_CONFIG_2" : "AIN5" Field</t>
  </si>
  <si>
    <t xml:space="preserve">      avalon_mm_rmap_o.readdata(0) &lt;= rmap_registers_wr_i.aeb_hk_adc2_rd_config_2.ain5;</t>
  </si>
  <si>
    <t xml:space="preserve">  when (16#597#) =&gt;</t>
  </si>
  <si>
    <t xml:space="preserve">      -- AEB Housekeeping Area Register "ADC2_RD_CONFIG_2" : "AIN4" Field</t>
  </si>
  <si>
    <t xml:space="preserve">      avalon_mm_rmap_o.readdata(0) &lt;= rmap_registers_wr_i.aeb_hk_adc2_rd_config_2.ain4;</t>
  </si>
  <si>
    <t xml:space="preserve">  when (16#598#) =&gt;</t>
  </si>
  <si>
    <t xml:space="preserve">      -- AEB Housekeeping Area Register "ADC2_RD_CONFIG_2" : "AIN3" Field</t>
  </si>
  <si>
    <t xml:space="preserve">      avalon_mm_rmap_o.readdata(0) &lt;= rmap_registers_wr_i.aeb_hk_adc2_rd_config_2.ain3;</t>
  </si>
  <si>
    <t xml:space="preserve">  when (16#599#) =&gt;</t>
  </si>
  <si>
    <t xml:space="preserve">      -- AEB Housekeeping Area Register "ADC2_RD_CONFIG_2" : "AIN2" Field</t>
  </si>
  <si>
    <t xml:space="preserve">      avalon_mm_rmap_o.readdata(0) &lt;= rmap_registers_wr_i.aeb_hk_adc2_rd_config_2.ain2;</t>
  </si>
  <si>
    <t xml:space="preserve">  when (16#59A#) =&gt;</t>
  </si>
  <si>
    <t xml:space="preserve">      -- AEB Housekeeping Area Register "ADC2_RD_CONFIG_2" : "AIN1" Field</t>
  </si>
  <si>
    <t xml:space="preserve">      avalon_mm_rmap_o.readdata(0) &lt;= rmap_registers_wr_i.aeb_hk_adc2_rd_config_2.ain1;</t>
  </si>
  <si>
    <t xml:space="preserve">  when (16#59B#) =&gt;</t>
  </si>
  <si>
    <t xml:space="preserve">      -- AEB Housekeeping Area Register "ADC2_RD_CONFIG_2" : "AIN0" Field</t>
  </si>
  <si>
    <t xml:space="preserve">      avalon_mm_rmap_o.readdata(0) &lt;= rmap_registers_wr_i.aeb_hk_adc2_rd_config_2.ain0;</t>
  </si>
  <si>
    <t xml:space="preserve">  when (16#59C#) =&gt;</t>
  </si>
  <si>
    <t xml:space="preserve">      -- AEB Housekeeping Area Register "ADC2_RD_CONFIG_2" : "AIN15" Field</t>
  </si>
  <si>
    <t xml:space="preserve">      avalon_mm_rmap_o.readdata(0) &lt;= rmap_registers_wr_i.aeb_hk_adc2_rd_config_2.ain15;</t>
  </si>
  <si>
    <t xml:space="preserve">  when (16#59D#) =&gt;</t>
  </si>
  <si>
    <t xml:space="preserve">      -- AEB Housekeeping Area Register "ADC2_RD_CONFIG_2" : "AIN14" Field</t>
  </si>
  <si>
    <t xml:space="preserve">      avalon_mm_rmap_o.readdata(0) &lt;= rmap_registers_wr_i.aeb_hk_adc2_rd_config_2.ain14;</t>
  </si>
  <si>
    <t xml:space="preserve">  when (16#59E#) =&gt;</t>
  </si>
  <si>
    <t xml:space="preserve">      -- AEB Housekeeping Area Register "ADC2_RD_CONFIG_2" : "AIN13" Field</t>
  </si>
  <si>
    <t xml:space="preserve">      avalon_mm_rmap_o.readdata(0) &lt;= rmap_registers_wr_i.aeb_hk_adc2_rd_config_2.ain13;</t>
  </si>
  <si>
    <t xml:space="preserve">  when (16#59F#) =&gt;</t>
  </si>
  <si>
    <t xml:space="preserve">      -- AEB Housekeeping Area Register "ADC2_RD_CONFIG_2" : "AIN12" Field</t>
  </si>
  <si>
    <t xml:space="preserve">      avalon_mm_rmap_o.readdata(0) &lt;= rmap_registers_wr_i.aeb_hk_adc2_rd_config_2.ain12;</t>
  </si>
  <si>
    <t xml:space="preserve">  when (16#5A0#) =&gt;</t>
  </si>
  <si>
    <t xml:space="preserve">      -- AEB Housekeeping Area Register "ADC2_RD_CONFIG_2" : "AIN11" Field</t>
  </si>
  <si>
    <t xml:space="preserve">      avalon_mm_rmap_o.readdata(0) &lt;= rmap_registers_wr_i.aeb_hk_adc2_rd_config_2.ain11;</t>
  </si>
  <si>
    <t xml:space="preserve">  when (16#5A1#) =&gt;</t>
  </si>
  <si>
    <t xml:space="preserve">      -- AEB Housekeeping Area Register "ADC2_RD_CONFIG_2" : "AIN10" Field</t>
  </si>
  <si>
    <t xml:space="preserve">      avalon_mm_rmap_o.readdata(0) &lt;= rmap_registers_wr_i.aeb_hk_adc2_rd_config_2.ain10;</t>
  </si>
  <si>
    <t xml:space="preserve">  when (16#5A2#) =&gt;</t>
  </si>
  <si>
    <t xml:space="preserve">      -- AEB Housekeeping Area Register "ADC2_RD_CONFIG_2" : "AIN9" Field</t>
  </si>
  <si>
    <t xml:space="preserve">      avalon_mm_rmap_o.readdata(0) &lt;= rmap_registers_wr_i.aeb_hk_adc2_rd_config_2.ain9;</t>
  </si>
  <si>
    <t xml:space="preserve">  when (16#5A3#) =&gt;</t>
  </si>
  <si>
    <t xml:space="preserve">      -- AEB Housekeeping Area Register "ADC2_RD_CONFIG_2" : "AIN8" Field</t>
  </si>
  <si>
    <t xml:space="preserve">      avalon_mm_rmap_o.readdata(0) &lt;= rmap_registers_wr_i.aeb_hk_adc2_rd_config_2.ain8;</t>
  </si>
  <si>
    <t xml:space="preserve">  when (16#5A4#) =&gt;</t>
  </si>
  <si>
    <t xml:space="preserve">      -- AEB Housekeeping Area Register "ADC2_RD_CONFIG_2" : "REF" Field</t>
  </si>
  <si>
    <t xml:space="preserve">      avalon_mm_rmap_o.readdata(0) &lt;= rmap_registers_wr_i.aeb_hk_adc2_rd_config_2.ref;</t>
  </si>
  <si>
    <t xml:space="preserve">  when (16#5A5#) =&gt;</t>
  </si>
  <si>
    <t xml:space="preserve">      -- AEB Housekeeping Area Register "ADC2_RD_CONFIG_2" : "GAIN" Field</t>
  </si>
  <si>
    <t xml:space="preserve">      avalon_mm_rmap_o.readdata(0) &lt;= rmap_registers_wr_i.aeb_hk_adc2_rd_config_2.gain;</t>
  </si>
  <si>
    <t xml:space="preserve">  when (16#5A6#) =&gt;</t>
  </si>
  <si>
    <t xml:space="preserve">      -- AEB Housekeeping Area Register "ADC2_RD_CONFIG_2" : "TEMP" Field</t>
  </si>
  <si>
    <t xml:space="preserve">      avalon_mm_rmap_o.readdata(0) &lt;= rmap_registers_wr_i.aeb_hk_adc2_rd_config_2.temp;</t>
  </si>
  <si>
    <t xml:space="preserve">  when (16#5A7#) =&gt;</t>
  </si>
  <si>
    <t xml:space="preserve">      -- AEB Housekeeping Area Register "ADC2_RD_CONFIG_2" : "VCC" Field</t>
  </si>
  <si>
    <t xml:space="preserve">      avalon_mm_rmap_o.readdata(0) &lt;= rmap_registers_wr_i.aeb_hk_adc2_rd_config_2.vcc;</t>
  </si>
  <si>
    <t xml:space="preserve">  when (16#5A8#) =&gt;</t>
  </si>
  <si>
    <t xml:space="preserve">      -- AEB Housekeeping Area Register "ADC2_RD_CONFIG_2" : "OFFSET" Field</t>
  </si>
  <si>
    <t xml:space="preserve">      avalon_mm_rmap_o.readdata(0) &lt;= rmap_registers_wr_i.aeb_hk_adc2_rd_config_2.offset;</t>
  </si>
  <si>
    <t xml:space="preserve">  when (16#5A9#) =&gt;</t>
  </si>
  <si>
    <t xml:space="preserve">      -- AEB Housekeeping Area Register "ADC2_RD_CONFIG_2" : "CIO7" Field</t>
  </si>
  <si>
    <t xml:space="preserve">      avalon_mm_rmap_o.readdata(0) &lt;= rmap_registers_wr_i.aeb_hk_adc2_rd_config_2.cio7;</t>
  </si>
  <si>
    <t xml:space="preserve">  when (16#5AA#) =&gt;</t>
  </si>
  <si>
    <t xml:space="preserve">      -- AEB Housekeeping Area Register "ADC2_RD_CONFIG_2" : "CIO6" Field</t>
  </si>
  <si>
    <t xml:space="preserve">      avalon_mm_rmap_o.readdata(0) &lt;= rmap_registers_wr_i.aeb_hk_adc2_rd_config_2.cio6;</t>
  </si>
  <si>
    <t xml:space="preserve">  when (16#5AB#) =&gt;</t>
  </si>
  <si>
    <t xml:space="preserve">      -- AEB Housekeeping Area Register "ADC2_RD_CONFIG_2" : "CIO5" Field</t>
  </si>
  <si>
    <t xml:space="preserve">      avalon_mm_rmap_o.readdata(0) &lt;= rmap_registers_wr_i.aeb_hk_adc2_rd_config_2.cio5;</t>
  </si>
  <si>
    <t xml:space="preserve">  when (16#5AC#) =&gt;</t>
  </si>
  <si>
    <t xml:space="preserve">      -- AEB Housekeeping Area Register "ADC2_RD_CONFIG_2" : "CIO4" Field</t>
  </si>
  <si>
    <t xml:space="preserve">      avalon_mm_rmap_o.readdata(0) &lt;= rmap_registers_wr_i.aeb_hk_adc2_rd_config_2.cio4;</t>
  </si>
  <si>
    <t xml:space="preserve">  when (16#5AD#) =&gt;</t>
  </si>
  <si>
    <t xml:space="preserve">      -- AEB Housekeeping Area Register "ADC2_RD_CONFIG_2" : "CIO3" Field</t>
  </si>
  <si>
    <t xml:space="preserve">      avalon_mm_rmap_o.readdata(0) &lt;= rmap_registers_wr_i.aeb_hk_adc2_rd_config_2.cio3;</t>
  </si>
  <si>
    <t xml:space="preserve">  when (16#5AE#) =&gt;</t>
  </si>
  <si>
    <t xml:space="preserve">      -- AEB Housekeeping Area Register "ADC2_RD_CONFIG_2" : "CIO2" Field</t>
  </si>
  <si>
    <t xml:space="preserve">      avalon_mm_rmap_o.readdata(0) &lt;= rmap_registers_wr_i.aeb_hk_adc2_rd_config_2.cio2;</t>
  </si>
  <si>
    <t xml:space="preserve">  when (16#5AF#) =&gt;</t>
  </si>
  <si>
    <t xml:space="preserve">      -- AEB Housekeeping Area Register "ADC2_RD_CONFIG_2" : "CIO1" Field</t>
  </si>
  <si>
    <t xml:space="preserve">      avalon_mm_rmap_o.readdata(0) &lt;= rmap_registers_wr_i.aeb_hk_adc2_rd_config_2.cio1;</t>
  </si>
  <si>
    <t xml:space="preserve">  when (16#5B0#) =&gt;</t>
  </si>
  <si>
    <t xml:space="preserve">      -- AEB Housekeeping Area Register "ADC2_RD_CONFIG_2" : "CIO0" Field</t>
  </si>
  <si>
    <t xml:space="preserve">      avalon_mm_rmap_o.readdata(0) &lt;= rmap_registers_wr_i.aeb_hk_adc2_rd_config_2.cio0;</t>
  </si>
  <si>
    <t xml:space="preserve">  when (16#5B1#) =&gt;</t>
  </si>
  <si>
    <t xml:space="preserve">      -- AEB Housekeeping Area Register "ADC2_RD_CONFIG_3" : "DIO7" Field</t>
  </si>
  <si>
    <t xml:space="preserve">      avalon_mm_rmap_o.readdata(0) &lt;= rmap_registers_wr_i.aeb_hk_adc2_rd_config_3.dio7;</t>
  </si>
  <si>
    <t xml:space="preserve">  when (16#5B2#) =&gt;</t>
  </si>
  <si>
    <t xml:space="preserve">      -- AEB Housekeeping Area Register "ADC2_RD_CONFIG_3" : "DIO6" Field</t>
  </si>
  <si>
    <t xml:space="preserve">      avalon_mm_rmap_o.readdata(0) &lt;= rmap_registers_wr_i.aeb_hk_adc2_rd_config_3.dio6;</t>
  </si>
  <si>
    <t xml:space="preserve">  when (16#5B3#) =&gt;</t>
  </si>
  <si>
    <t xml:space="preserve">      -- AEB Housekeeping Area Register "ADC2_RD_CONFIG_3" : "DIO5" Field</t>
  </si>
  <si>
    <t xml:space="preserve">      avalon_mm_rmap_o.readdata(0) &lt;= rmap_registers_wr_i.aeb_hk_adc2_rd_config_3.dio5;</t>
  </si>
  <si>
    <t xml:space="preserve">  when (16#5B4#) =&gt;</t>
  </si>
  <si>
    <t xml:space="preserve">      -- AEB Housekeeping Area Register "ADC2_RD_CONFIG_3" : "DIO4" Field</t>
  </si>
  <si>
    <t xml:space="preserve">      avalon_mm_rmap_o.readdata(0) &lt;= rmap_registers_wr_i.aeb_hk_adc2_rd_config_3.dio4;</t>
  </si>
  <si>
    <t xml:space="preserve">  when (16#5B5#) =&gt;</t>
  </si>
  <si>
    <t xml:space="preserve">      -- AEB Housekeeping Area Register "ADC2_RD_CONFIG_3" : "DIO3" Field</t>
  </si>
  <si>
    <t xml:space="preserve">      avalon_mm_rmap_o.readdata(0) &lt;= rmap_registers_wr_i.aeb_hk_adc2_rd_config_3.dio3;</t>
  </si>
  <si>
    <t xml:space="preserve">  when (16#5B6#) =&gt;</t>
  </si>
  <si>
    <t xml:space="preserve">      -- AEB Housekeeping Area Register "ADC2_RD_CONFIG_3" : "DIO2" Field</t>
  </si>
  <si>
    <t xml:space="preserve">      avalon_mm_rmap_o.readdata(0) &lt;= rmap_registers_wr_i.aeb_hk_adc2_rd_config_3.dio2;</t>
  </si>
  <si>
    <t xml:space="preserve">  when (16#5B7#) =&gt;</t>
  </si>
  <si>
    <t xml:space="preserve">      -- AEB Housekeeping Area Register "ADC2_RD_CONFIG_3" : "DIO1" Field</t>
  </si>
  <si>
    <t xml:space="preserve">      avalon_mm_rmap_o.readdata(0) &lt;= rmap_registers_wr_i.aeb_hk_adc2_rd_config_3.dio1;</t>
  </si>
  <si>
    <t xml:space="preserve">  when (16#5B8#) =&gt;</t>
  </si>
  <si>
    <t xml:space="preserve">      -- AEB Housekeeping Area Register "ADC2_RD_CONFIG_3" : "DIO0" Field</t>
  </si>
  <si>
    <t xml:space="preserve">      avalon_mm_rmap_o.readdata(0) &lt;= rmap_registers_wr_i.aeb_hk_adc2_rd_config_3.dio0;</t>
  </si>
  <si>
    <t xml:space="preserve">  when (16#5B9#) =&gt;</t>
  </si>
  <si>
    <t xml:space="preserve">      -- AEB Housekeeping Area Register "VASP_RD_CONFIG" : "VASP1_READ_DATA" Field</t>
  </si>
  <si>
    <t xml:space="preserve">      avalon_mm_rmap_o.readdata(7 downto 0) &lt;= rmap_registers_wr_i.aeb_hk_vasp_rd_config.vasp1_read_data;</t>
  </si>
  <si>
    <t xml:space="preserve">      -- AEB Housekeeping Area Register "VASP_RD_CONFIG" : "VASP2_READ_DATA" Field</t>
  </si>
  <si>
    <t xml:space="preserve">      avalon_mm_rmap_o.readdata(15 downto 8) &lt;= rmap_registers_wr_i.aeb_hk_vasp_rd_config.vasp2_read_data;</t>
  </si>
  <si>
    <t xml:space="preserve">      -- AEB Housekeeping Area Register "REVISION_ID_1" : "FPGA_VERSION" Field</t>
  </si>
  <si>
    <t xml:space="preserve">      avalon_mm_rmap_o.readdata(23 downto 16) &lt;= rmap_registers_wr_i.aeb_hk_revision_id_1.fpga_version(7 downto 0);</t>
  </si>
  <si>
    <t xml:space="preserve">      avalon_mm_rmap_o.readdata(31 downto 24) &lt;= rmap_registers_wr_i.aeb_hk_revision_id_1.fpga_version(15 downto 8);</t>
  </si>
  <si>
    <t xml:space="preserve">  when (16#5BA#) =&gt;</t>
  </si>
  <si>
    <t xml:space="preserve">      -- AEB Housekeeping Area Register "REVISION_ID_1" : "FPGA_DATE" Field</t>
  </si>
  <si>
    <t xml:space="preserve">      avalon_mm_rmap_o.readdata(7 downto 0) &lt;= rmap_registers_wr_i.aeb_hk_revision_id_1.fpga_date(7 downto 0);</t>
  </si>
  <si>
    <t xml:space="preserve">      avalon_mm_rmap_o.readdata(15 downto 8) &lt;= rmap_registers_wr_i.aeb_hk_revision_id_1.fpga_date(15 downto 8);</t>
  </si>
  <si>
    <t xml:space="preserve">      -- AEB Housekeeping Area Register "REVISION_ID_2" : "FPGA_TIME_H" Field</t>
  </si>
  <si>
    <t xml:space="preserve">      avalon_mm_rmap_o.readdata(23 downto 16) &lt;= rmap_registers_wr_i.aeb_hk_revision_id_2.fpga_time_h(7 downto 0);</t>
  </si>
  <si>
    <t xml:space="preserve">      avalon_mm_rmap_o.readdata(31 downto 24) &lt;= rmap_registers_wr_i.aeb_hk_revision_id_2.fpga_time_h(15 downto 8);</t>
  </si>
  <si>
    <t xml:space="preserve">  when (16#5BB#) =&gt;</t>
  </si>
  <si>
    <t xml:space="preserve">      -- AEB Housekeeping Area Register "REVISION_ID_2" : "FPGA_TIME_M" Field</t>
  </si>
  <si>
    <t xml:space="preserve">      avalon_mm_rmap_o.readdata(7 downto 0) &lt;= rmap_registers_wr_i.aeb_hk_revision_id_2.fpga_time_m;</t>
  </si>
  <si>
    <t xml:space="preserve">      -- AEB Housekeeping Area Register "REVISION_ID_2" : "FPGA_SVN" Field</t>
  </si>
  <si>
    <t xml:space="preserve">      avalon_mm_rmap_o.readdata(23 downto 16) &lt;= rmap_registers_wr_i.aeb_hk_revision_id_2.fpga_svn(7 downto 0);</t>
  </si>
  <si>
    <t xml:space="preserve">      avalon_mm_rmap_o.readdata(31 downto 24) &lt;= rmap_registers_wr_i.aeb_hk_revision_id_2.fpga_svn(15 downto 8);</t>
  </si>
  <si>
    <t xml:space="preserve">      rmap_registers_wr_o.aeb_crit_cfg_aeb_control.reserved_0 &lt;= avalon_mm_rmap_i.writedata(1 downto 0);</t>
  </si>
  <si>
    <t xml:space="preserve">      rmap_registers_wr_o.aeb_crit_cfg_aeb_control.new_state &lt;= avalon_mm_rmap_i.writedata(3 downto 0);</t>
  </si>
  <si>
    <t xml:space="preserve">      rmap_registers_wr_o.aeb_crit_cfg_aeb_control.set_state &lt;= avalon_mm_rmap_i.writedata(0);</t>
  </si>
  <si>
    <t xml:space="preserve">      rmap_registers_wr_o.aeb_crit_cfg_aeb_control.aeb_reset &lt;= avalon_mm_rmap_i.writedata(0);</t>
  </si>
  <si>
    <t xml:space="preserve">      rmap_registers_wr_o.aeb_crit_cfg_aeb_control.reserved_1 &lt;= avalon_mm_rmap_i.writedata(3 downto 0);</t>
  </si>
  <si>
    <t xml:space="preserve">      rmap_registers_wr_o.aeb_crit_cfg_aeb_control.adc_data_rd &lt;= avalon_mm_rmap_i.writedata(0);</t>
  </si>
  <si>
    <t xml:space="preserve">      rmap_registers_wr_o.aeb_crit_cfg_aeb_control.adc_cfg_wr &lt;= avalon_mm_rmap_i.writedata(0);</t>
  </si>
  <si>
    <t xml:space="preserve">      rmap_registers_wr_o.aeb_crit_cfg_aeb_control.adc_cfg_rd &lt;= avalon_mm_rmap_i.writedata(0);</t>
  </si>
  <si>
    <t xml:space="preserve">      rmap_registers_wr_o.aeb_crit_cfg_aeb_control.dac_wr &lt;= avalon_mm_rmap_i.writedata(0);</t>
  </si>
  <si>
    <t xml:space="preserve">      rmap_registers_wr_o.aeb_crit_cfg_aeb_control.reserved_2(7 downto 0) &lt;= avalon_mm_rmap_i.writedata(7 downto 0);</t>
  </si>
  <si>
    <t xml:space="preserve">      rmap_registers_wr_o.aeb_crit_cfg_aeb_control.reserved_2(15 downto 8) &lt;= avalon_mm_rmap_i.writedata(15 downto 8);</t>
  </si>
  <si>
    <t xml:space="preserve">      rmap_registers_wr_o.aeb_crit_cfg_aeb_config.reserved_0 &lt;= avalon_mm_rmap_i.writedata(21 downto 16);</t>
  </si>
  <si>
    <t xml:space="preserve">      rmap_registers_wr_o.aeb_crit_cfg_aeb_config.int_sync &lt;= avalon_mm_rmap_i.writedata(0);</t>
  </si>
  <si>
    <t xml:space="preserve">      rmap_registers_wr_o.aeb_crit_cfg_aeb_config.reserved_1 &lt;= avalon_mm_rmap_i.writedata(4 downto 0);</t>
  </si>
  <si>
    <t xml:space="preserve">      rmap_registers_wr_o.aeb_crit_cfg_aeb_config.vasp_cds_en &lt;= avalon_mm_rmap_i.writedata(0);</t>
  </si>
  <si>
    <t xml:space="preserve">      rmap_registers_wr_o.aeb_crit_cfg_aeb_config.vasp2_cal_en &lt;= avalon_mm_rmap_i.writedata(0);</t>
  </si>
  <si>
    <t xml:space="preserve">      rmap_registers_wr_o.aeb_crit_cfg_aeb_config.vasp1_cal_en &lt;= avalon_mm_rmap_i.writedata(0);</t>
  </si>
  <si>
    <t xml:space="preserve">      rmap_registers_wr_o.aeb_crit_cfg_aeb_config.reserved_2(7 downto 0) &lt;= avalon_mm_rmap_i.writedata(7 downto 0);</t>
  </si>
  <si>
    <t xml:space="preserve">      rmap_registers_wr_o.aeb_crit_cfg_aeb_config.reserved_2(15 downto 8) &lt;= avalon_mm_rmap_i.writedata(15 downto 8);</t>
  </si>
  <si>
    <t xml:space="preserve">      rmap_registers_wr_o.aeb_crit_cfg_aeb_config_key.key(7 downto 0) &lt;= avalon_mm_rmap_i.writedata(7 downto 0);</t>
  </si>
  <si>
    <t xml:space="preserve">      rmap_registers_wr_o.aeb_crit_cfg_aeb_config_key.key(15 downto 8) &lt;= avalon_mm_rmap_i.writedata(15 downto 8);</t>
  </si>
  <si>
    <t xml:space="preserve">      rmap_registers_wr_o.aeb_crit_cfg_aeb_config_key.key(23 downto 16) &lt;= avalon_mm_rmap_i.writedata(23 downto 16);</t>
  </si>
  <si>
    <t xml:space="preserve">      rmap_registers_wr_o.aeb_crit_cfg_aeb_config_key.key(31 downto 24) &lt;= avalon_mm_rmap_i.writedata(31 downto 24);</t>
  </si>
  <si>
    <t xml:space="preserve">      rmap_registers_wr_o.aeb_crit_cfg_aeb_config_ait.override_sw &lt;= avalon_mm_rmap_i.writedata(0);</t>
  </si>
  <si>
    <t xml:space="preserve">      rmap_registers_wr_o.aeb_crit_cfg_aeb_config_ait.reserved_0 &lt;= avalon_mm_rmap_i.writedata(1 downto 0);</t>
  </si>
  <si>
    <t xml:space="preserve">      rmap_registers_wr_o.aeb_crit_cfg_aeb_config_ait.sw_van3 &lt;= avalon_mm_rmap_i.writedata(0);</t>
  </si>
  <si>
    <t xml:space="preserve">      rmap_registers_wr_o.aeb_crit_cfg_aeb_config_ait.sw_van2 &lt;= avalon_mm_rmap_i.writedata(0);</t>
  </si>
  <si>
    <t xml:space="preserve">      rmap_registers_wr_o.aeb_crit_cfg_aeb_config_ait.sw_van1 &lt;= avalon_mm_rmap_i.writedata(0);</t>
  </si>
  <si>
    <t xml:space="preserve">      rmap_registers_wr_o.aeb_crit_cfg_aeb_config_ait.sw_vclk &lt;= avalon_mm_rmap_i.writedata(0);</t>
  </si>
  <si>
    <t xml:space="preserve">      rmap_registers_wr_o.aeb_crit_cfg_aeb_config_ait.sw_vccd &lt;= avalon_mm_rmap_i.writedata(0);</t>
  </si>
  <si>
    <t xml:space="preserve">      rmap_registers_wr_o.aeb_crit_cfg_aeb_config_ait.override_vasp &lt;= avalon_mm_rmap_i.writedata(0);</t>
  </si>
  <si>
    <t xml:space="preserve">      rmap_registers_wr_o.aeb_crit_cfg_aeb_config_ait.reserved_1 &lt;= avalon_mm_rmap_i.writedata(0);</t>
  </si>
  <si>
    <t xml:space="preserve">      rmap_registers_wr_o.aeb_crit_cfg_aeb_config_ait.vasp2_pix_en &lt;= avalon_mm_rmap_i.writedata(0);</t>
  </si>
  <si>
    <t xml:space="preserve">      rmap_registers_wr_o.aeb_crit_cfg_aeb_config_ait.vasp1_pix_en &lt;= avalon_mm_rmap_i.writedata(0);</t>
  </si>
  <si>
    <t xml:space="preserve">      rmap_registers_wr_o.aeb_crit_cfg_aeb_config_ait.vasp2_adc_en &lt;= avalon_mm_rmap_i.writedata(0);</t>
  </si>
  <si>
    <t xml:space="preserve">      rmap_registers_wr_o.aeb_crit_cfg_aeb_config_ait.vasp1_adc_en &lt;= avalon_mm_rmap_i.writedata(0);</t>
  </si>
  <si>
    <t xml:space="preserve">      rmap_registers_wr_o.aeb_crit_cfg_aeb_config_ait.vasp2_reset &lt;= avalon_mm_rmap_i.writedata(0);</t>
  </si>
  <si>
    <t xml:space="preserve">      rmap_registers_wr_o.aeb_crit_cfg_aeb_config_ait.vasp1_reset &lt;= avalon_mm_rmap_i.writedata(0);</t>
  </si>
  <si>
    <t xml:space="preserve">      rmap_registers_wr_o.aeb_crit_cfg_aeb_config_ait.override_adc &lt;= avalon_mm_rmap_i.writedata(0);</t>
  </si>
  <si>
    <t xml:space="preserve">      rmap_registers_wr_o.aeb_crit_cfg_aeb_config_ait.adc2_en_p5v0 &lt;= avalon_mm_rmap_i.writedata(0);</t>
  </si>
  <si>
    <t xml:space="preserve">      rmap_registers_wr_o.aeb_crit_cfg_aeb_config_ait.adc1_en_p5v0 &lt;= avalon_mm_rmap_i.writedata(0);</t>
  </si>
  <si>
    <t xml:space="preserve">      rmap_registers_wr_o.aeb_crit_cfg_aeb_config_ait.pt1000_cal_on_n &lt;= avalon_mm_rmap_i.writedata(0);</t>
  </si>
  <si>
    <t xml:space="preserve">      rmap_registers_wr_o.aeb_crit_cfg_aeb_config_ait.en_v_mux_n &lt;= avalon_mm_rmap_i.writedata(0);</t>
  </si>
  <si>
    <t xml:space="preserve">      rmap_registers_wr_o.aeb_crit_cfg_aeb_config_ait.adc2_pwdn_n &lt;= avalon_mm_rmap_i.writedata(0);</t>
  </si>
  <si>
    <t xml:space="preserve">      rmap_registers_wr_o.aeb_crit_cfg_aeb_config_ait.adc1_pwdn_n &lt;= avalon_mm_rmap_i.writedata(0);</t>
  </si>
  <si>
    <t xml:space="preserve">      rmap_registers_wr_o.aeb_crit_cfg_aeb_config_ait.adc_clk_en &lt;= avalon_mm_rmap_i.writedata(0);</t>
  </si>
  <si>
    <t xml:space="preserve">      rmap_registers_wr_o.aeb_crit_cfg_aeb_config_ait.reserved_2 &lt;= avalon_mm_rmap_i.writedata(7 downto 0);</t>
  </si>
  <si>
    <t xml:space="preserve">      rmap_registers_wr_o.aeb_crit_cfg_aeb_config_pattern.pattern_ccdid &lt;= avalon_mm_rmap_i.writedata(9 downto 8);</t>
  </si>
  <si>
    <t xml:space="preserve">      rmap_registers_wr_o.aeb_crit_cfg_aeb_config_pattern.pattern_cols(7 downto 0) &lt;= avalon_mm_rmap_i.writedata(23 downto 16);</t>
  </si>
  <si>
    <t xml:space="preserve">      rmap_registers_wr_o.aeb_crit_cfg_aeb_config_pattern.pattern_cols(13 downto 8) &lt;= avalon_mm_rmap_i.writedata(29 downto 24);</t>
  </si>
  <si>
    <t xml:space="preserve">      rmap_registers_wr_o.aeb_crit_cfg_aeb_config_pattern.reserved &lt;= avalon_mm_rmap_i.writedata(1 downto 0);</t>
  </si>
  <si>
    <t xml:space="preserve">      rmap_registers_wr_o.aeb_crit_cfg_aeb_config_pattern.pattern_rows(7 downto 0) &lt;= avalon_mm_rmap_i.writedata(23 downto 16);</t>
  </si>
  <si>
    <t xml:space="preserve">      rmap_registers_wr_o.aeb_crit_cfg_aeb_config_pattern.pattern_rows(13 downto 8) &lt;= avalon_mm_rmap_i.writedata(29 downto 24);</t>
  </si>
  <si>
    <t xml:space="preserve">      rmap_registers_wr_o.aeb_crit_cfg_vasp_i2c_control.vasp_cfg_addr &lt;= avalon_mm_rmap_i.writedata(7 downto 0);</t>
  </si>
  <si>
    <t xml:space="preserve">      rmap_registers_wr_o.aeb_crit_cfg_vasp_i2c_control.vasp1_cfg_data &lt;= avalon_mm_rmap_i.writedata(15 downto 8);</t>
  </si>
  <si>
    <t xml:space="preserve">      rmap_registers_wr_o.aeb_crit_cfg_vasp_i2c_control.vasp2_cfg_data &lt;= avalon_mm_rmap_i.writedata(23 downto 16);</t>
  </si>
  <si>
    <t xml:space="preserve">      rmap_registers_wr_o.aeb_crit_cfg_vasp_i2c_control.reserved &lt;= avalon_mm_rmap_i.writedata(26 downto 24);</t>
  </si>
  <si>
    <t xml:space="preserve">      rmap_registers_wr_o.aeb_crit_cfg_vasp_i2c_control.vasp2_select &lt;= avalon_mm_rmap_i.writedata(0);</t>
  </si>
  <si>
    <t xml:space="preserve">      rmap_registers_wr_o.aeb_crit_cfg_vasp_i2c_control.vasp1_select &lt;= avalon_mm_rmap_i.writedata(0);</t>
  </si>
  <si>
    <t xml:space="preserve">      rmap_registers_wr_o.aeb_crit_cfg_vasp_i2c_control.calibration_start &lt;= avalon_mm_rmap_i.writedata(0);</t>
  </si>
  <si>
    <t xml:space="preserve">      rmap_registers_wr_o.aeb_crit_cfg_vasp_i2c_control.i2c_read_start &lt;= avalon_mm_rmap_i.writedata(0);</t>
  </si>
  <si>
    <t xml:space="preserve">      rmap_registers_wr_o.aeb_crit_cfg_vasp_i2c_control.i2c_write_start &lt;= avalon_mm_rmap_i.writedata(0);</t>
  </si>
  <si>
    <t xml:space="preserve">      rmap_registers_wr_o.aeb_crit_cfg_dac_config_1.reserved_0 &lt;= avalon_mm_rmap_i.writedata(3 downto 0);</t>
  </si>
  <si>
    <t xml:space="preserve">      rmap_registers_wr_o.aeb_crit_cfg_dac_config_1.dac_vog(7 downto 0) &lt;= avalon_mm_rmap_i.writedata(23 downto 16);</t>
  </si>
  <si>
    <t xml:space="preserve">      rmap_registers_wr_o.aeb_crit_cfg_dac_config_1.dac_vog(11 downto 8) &lt;= avalon_mm_rmap_i.writedata(27 downto 24);</t>
  </si>
  <si>
    <t xml:space="preserve">      rmap_registers_wr_o.aeb_crit_cfg_dac_config_1.reserved_1 &lt;= avalon_mm_rmap_i.writedata(3 downto 0);</t>
  </si>
  <si>
    <t xml:space="preserve">      rmap_registers_wr_o.aeb_crit_cfg_dac_config_1.dac_vrd(7 downto 0) &lt;= avalon_mm_rmap_i.writedata(23 downto 16);</t>
  </si>
  <si>
    <t xml:space="preserve">      rmap_registers_wr_o.aeb_crit_cfg_dac_config_1.dac_vrd(11 downto 8) &lt;= avalon_mm_rmap_i.writedata(27 downto 24);</t>
  </si>
  <si>
    <t xml:space="preserve">      rmap_registers_wr_o.aeb_crit_cfg_dac_config_2.reserved_0 &lt;= avalon_mm_rmap_i.writedata(3 downto 0);</t>
  </si>
  <si>
    <t xml:space="preserve">      rmap_registers_wr_o.aeb_crit_cfg_dac_config_2.dac_vod(7 downto 0) &lt;= avalon_mm_rmap_i.writedata(23 downto 16);</t>
  </si>
  <si>
    <t xml:space="preserve">      rmap_registers_wr_o.aeb_crit_cfg_dac_config_2.dac_vod(11 downto 8) &lt;= avalon_mm_rmap_i.writedata(27 downto 24);</t>
  </si>
  <si>
    <t xml:space="preserve">      rmap_registers_wr_o.aeb_crit_cfg_dac_config_2.reserved_1(7 downto 0) &lt;= avalon_mm_rmap_i.writedata(7 downto 0);</t>
  </si>
  <si>
    <t xml:space="preserve">      rmap_registers_wr_o.aeb_crit_cfg_dac_config_2.reserved_1(15 downto 8) &lt;= avalon_mm_rmap_i.writedata(15 downto 8);</t>
  </si>
  <si>
    <t xml:space="preserve">      rmap_registers_wr_o.aeb_crit_cfg_reserved_20.reserved(7 downto 0) &lt;= avalon_mm_rmap_i.writedata(7 downto 0);</t>
  </si>
  <si>
    <t xml:space="preserve">      rmap_registers_wr_o.aeb_crit_cfg_reserved_20.reserved(15 downto 8) &lt;= avalon_mm_rmap_i.writedata(15 downto 8);</t>
  </si>
  <si>
    <t xml:space="preserve">      rmap_registers_wr_o.aeb_crit_cfg_reserved_20.reserved(23 downto 16) &lt;= avalon_mm_rmap_i.writedata(23 downto 16);</t>
  </si>
  <si>
    <t xml:space="preserve">      rmap_registers_wr_o.aeb_crit_cfg_reserved_20.reserved(31 downto 24) &lt;= avalon_mm_rmap_i.writedata(31 downto 24);</t>
  </si>
  <si>
    <t xml:space="preserve">      rmap_registers_wr_o.aeb_crit_cfg_pwr_config1.time_vccd_on &lt;= avalon_mm_rmap_i.writedata(7 downto 0);</t>
  </si>
  <si>
    <t xml:space="preserve">      rmap_registers_wr_o.aeb_crit_cfg_pwr_config1.time_vclk_on &lt;= avalon_mm_rmap_i.writedata(15 downto 8);</t>
  </si>
  <si>
    <t xml:space="preserve">      rmap_registers_wr_o.aeb_crit_cfg_pwr_config1.time_van1_on &lt;= avalon_mm_rmap_i.writedata(23 downto 16);</t>
  </si>
  <si>
    <t xml:space="preserve">      rmap_registers_wr_o.aeb_crit_cfg_pwr_config1.time_van2_on &lt;= avalon_mm_rmap_i.writedata(31 downto 24);</t>
  </si>
  <si>
    <t xml:space="preserve">      rmap_registers_wr_o.aeb_crit_cfg_pwr_config2.time_van3_on &lt;= avalon_mm_rmap_i.writedata(7 downto 0);</t>
  </si>
  <si>
    <t xml:space="preserve">      rmap_registers_wr_o.aeb_crit_cfg_pwr_config2.time_vccd_off &lt;= avalon_mm_rmap_i.writedata(15 downto 8);</t>
  </si>
  <si>
    <t xml:space="preserve">      rmap_registers_wr_o.aeb_crit_cfg_pwr_config2.time_vclk_off &lt;= avalon_mm_rmap_i.writedata(23 downto 16);</t>
  </si>
  <si>
    <t xml:space="preserve">      rmap_registers_wr_o.aeb_crit_cfg_pwr_config2.time_van1_off &lt;= avalon_mm_rmap_i.writedata(31 downto 24);</t>
  </si>
  <si>
    <t xml:space="preserve">      rmap_registers_wr_o.aeb_crit_cfg_pwr_config3.time_van2_off &lt;= avalon_mm_rmap_i.writedata(7 downto 0);</t>
  </si>
  <si>
    <t xml:space="preserve">      rmap_registers_wr_o.aeb_crit_cfg_pwr_config3.time_van3_off &lt;= avalon_mm_rmap_i.writedata(15 downto 8);</t>
  </si>
  <si>
    <t xml:space="preserve">      rmap_registers_wr_o.aeb_crit_cfg_reserved_30.reserved(7 downto 0) &lt;= avalon_mm_rmap_i.writedata(7 downto 0);</t>
  </si>
  <si>
    <t xml:space="preserve">      rmap_registers_wr_o.aeb_crit_cfg_reserved_30.reserved(15 downto 8) &lt;= avalon_mm_rmap_i.writedata(15 downto 8);</t>
  </si>
  <si>
    <t xml:space="preserve">      rmap_registers_wr_o.aeb_crit_cfg_reserved_30.reserved(23 downto 16) &lt;= avalon_mm_rmap_i.writedata(23 downto 16);</t>
  </si>
  <si>
    <t xml:space="preserve">      rmap_registers_wr_o.aeb_crit_cfg_reserved_30.reserved(31 downto 24) &lt;= avalon_mm_rmap_i.writedata(31 downto 24);</t>
  </si>
  <si>
    <t xml:space="preserve">      rmap_registers_wr_o.aeb_crit_cfg_reserved_34.reserved(7 downto 0) &lt;= avalon_mm_rmap_i.writedata(7 downto 0);</t>
  </si>
  <si>
    <t xml:space="preserve">      rmap_registers_wr_o.aeb_crit_cfg_reserved_34.reserved(15 downto 8) &lt;= avalon_mm_rmap_i.writedata(15 downto 8);</t>
  </si>
  <si>
    <t xml:space="preserve">      rmap_registers_wr_o.aeb_crit_cfg_reserved_34.reserved(23 downto 16) &lt;= avalon_mm_rmap_i.writedata(23 downto 16);</t>
  </si>
  <si>
    <t xml:space="preserve">      rmap_registers_wr_o.aeb_crit_cfg_reserved_34.reserved(31 downto 24) &lt;= avalon_mm_rmap_i.writedata(31 downto 24);</t>
  </si>
  <si>
    <t xml:space="preserve">      rmap_registers_wr_o.aeb_crit_cfg_reserved_38.reserved(7 downto 0) &lt;= avalon_mm_rmap_i.writedata(7 downto 0);</t>
  </si>
  <si>
    <t xml:space="preserve">      rmap_registers_wr_o.aeb_crit_cfg_reserved_38.reserved(15 downto 8) &lt;= avalon_mm_rmap_i.writedata(15 downto 8);</t>
  </si>
  <si>
    <t xml:space="preserve">      rmap_registers_wr_o.aeb_crit_cfg_reserved_38.reserved(23 downto 16) &lt;= avalon_mm_rmap_i.writedata(23 downto 16);</t>
  </si>
  <si>
    <t xml:space="preserve">      rmap_registers_wr_o.aeb_crit_cfg_reserved_38.reserved(31 downto 24) &lt;= avalon_mm_rmap_i.writedata(31 downto 24);</t>
  </si>
  <si>
    <t xml:space="preserve">      rmap_registers_wr_o.aeb_crit_cfg_reserved_3c.reserved(7 downto 0) &lt;= avalon_mm_rmap_i.writedata(7 downto 0);</t>
  </si>
  <si>
    <t xml:space="preserve">      rmap_registers_wr_o.aeb_crit_cfg_reserved_3c.reserved(15 downto 8) &lt;= avalon_mm_rmap_i.writedata(15 downto 8);</t>
  </si>
  <si>
    <t xml:space="preserve">      rmap_registers_wr_o.aeb_crit_cfg_reserved_3c.reserved(23 downto 16) &lt;= avalon_mm_rmap_i.writedata(23 downto 16);</t>
  </si>
  <si>
    <t xml:space="preserve">      rmap_registers_wr_o.aeb_crit_cfg_reserved_3c.reserved(31 downto 24) &lt;= avalon_mm_rmap_i.writedata(31 downto 24);</t>
  </si>
  <si>
    <t xml:space="preserve">      rmap_registers_wr_o.aeb_crit_cfg_reserved_40.reserved(7 downto 0) &lt;= avalon_mm_rmap_i.writedata(7 downto 0);</t>
  </si>
  <si>
    <t xml:space="preserve">      rmap_registers_wr_o.aeb_crit_cfg_reserved_40.reserved(15 downto 8) &lt;= avalon_mm_rmap_i.writedata(15 downto 8);</t>
  </si>
  <si>
    <t xml:space="preserve">      rmap_registers_wr_o.aeb_crit_cfg_reserved_40.reserved(23 downto 16) &lt;= avalon_mm_rmap_i.writedata(23 downto 16);</t>
  </si>
  <si>
    <t xml:space="preserve">      rmap_registers_wr_o.aeb_crit_cfg_reserved_40.reserved(31 downto 24) &lt;= avalon_mm_rmap_i.writedata(31 downto 24);</t>
  </si>
  <si>
    <t xml:space="preserve">      rmap_registers_wr_o.aeb_crit_cfg_reserved_44.reserved(7 downto 0) &lt;= avalon_mm_rmap_i.writedata(7 downto 0);</t>
  </si>
  <si>
    <t xml:space="preserve">      rmap_registers_wr_o.aeb_crit_cfg_reserved_44.reserved(15 downto 8) &lt;= avalon_mm_rmap_i.writedata(15 downto 8);</t>
  </si>
  <si>
    <t xml:space="preserve">      rmap_registers_wr_o.aeb_crit_cfg_reserved_44.reserved(23 downto 16) &lt;= avalon_mm_rmap_i.writedata(23 downto 16);</t>
  </si>
  <si>
    <t xml:space="preserve">      rmap_registers_wr_o.aeb_crit_cfg_reserved_44.reserved(31 downto 24) &lt;= avalon_mm_rmap_i.writedata(31 downto 24);</t>
  </si>
  <si>
    <t xml:space="preserve">      rmap_registers_wr_o.aeb_crit_cfg_reserved_48.reserved(7 downto 0) &lt;= avalon_mm_rmap_i.writedata(7 downto 0);</t>
  </si>
  <si>
    <t xml:space="preserve">      rmap_registers_wr_o.aeb_crit_cfg_reserved_48.reserved(15 downto 8) &lt;= avalon_mm_rmap_i.writedata(15 downto 8);</t>
  </si>
  <si>
    <t xml:space="preserve">      rmap_registers_wr_o.aeb_crit_cfg_reserved_48.reserved(23 downto 16) &lt;= avalon_mm_rmap_i.writedata(23 downto 16);</t>
  </si>
  <si>
    <t xml:space="preserve">      rmap_registers_wr_o.aeb_crit_cfg_reserved_48.reserved(31 downto 24) &lt;= avalon_mm_rmap_i.writedata(31 downto 24);</t>
  </si>
  <si>
    <t xml:space="preserve">      rmap_registers_wr_o.aeb_crit_cfg_reserved_4c.reserved(7 downto 0) &lt;= avalon_mm_rmap_i.writedata(7 downto 0);</t>
  </si>
  <si>
    <t xml:space="preserve">      rmap_registers_wr_o.aeb_crit_cfg_reserved_4c.reserved(15 downto 8) &lt;= avalon_mm_rmap_i.writedata(15 downto 8);</t>
  </si>
  <si>
    <t xml:space="preserve">      rmap_registers_wr_o.aeb_crit_cfg_reserved_4c.reserved(23 downto 16) &lt;= avalon_mm_rmap_i.writedata(23 downto 16);</t>
  </si>
  <si>
    <t xml:space="preserve">      rmap_registers_wr_o.aeb_crit_cfg_reserved_4c.reserved(31 downto 24) &lt;= avalon_mm_rmap_i.writedata(31 downto 24);</t>
  </si>
  <si>
    <t xml:space="preserve">      rmap_registers_wr_o.aeb_crit_cfg_reserved_50.reserved(7 downto 0) &lt;= avalon_mm_rmap_i.writedata(7 downto 0);</t>
  </si>
  <si>
    <t xml:space="preserve">      rmap_registers_wr_o.aeb_crit_cfg_reserved_50.reserved(15 downto 8) &lt;= avalon_mm_rmap_i.writedata(15 downto 8);</t>
  </si>
  <si>
    <t xml:space="preserve">      rmap_registers_wr_o.aeb_crit_cfg_reserved_50.reserved(23 downto 16) &lt;= avalon_mm_rmap_i.writedata(23 downto 16);</t>
  </si>
  <si>
    <t xml:space="preserve">      rmap_registers_wr_o.aeb_crit_cfg_reserved_50.reserved(31 downto 24) &lt;= avalon_mm_rmap_i.writedata(31 downto 24);</t>
  </si>
  <si>
    <t xml:space="preserve">      rmap_registers_wr_o.aeb_crit_cfg_reserved_54.reserved(7 downto 0) &lt;= avalon_mm_rmap_i.writedata(7 downto 0);</t>
  </si>
  <si>
    <t xml:space="preserve">      rmap_registers_wr_o.aeb_crit_cfg_reserved_54.reserved(15 downto 8) &lt;= avalon_mm_rmap_i.writedata(15 downto 8);</t>
  </si>
  <si>
    <t xml:space="preserve">      rmap_registers_wr_o.aeb_crit_cfg_reserved_54.reserved(23 downto 16) &lt;= avalon_mm_rmap_i.writedata(23 downto 16);</t>
  </si>
  <si>
    <t xml:space="preserve">      rmap_registers_wr_o.aeb_crit_cfg_reserved_54.reserved(31 downto 24) &lt;= avalon_mm_rmap_i.writedata(31 downto 24);</t>
  </si>
  <si>
    <t xml:space="preserve">      rmap_registers_wr_o.aeb_crit_cfg_reserved_58.reserved(7 downto 0) &lt;= avalon_mm_rmap_i.writedata(7 downto 0);</t>
  </si>
  <si>
    <t xml:space="preserve">      rmap_registers_wr_o.aeb_crit_cfg_reserved_58.reserved(15 downto 8) &lt;= avalon_mm_rmap_i.writedata(15 downto 8);</t>
  </si>
  <si>
    <t xml:space="preserve">      rmap_registers_wr_o.aeb_crit_cfg_reserved_58.reserved(23 downto 16) &lt;= avalon_mm_rmap_i.writedata(23 downto 16);</t>
  </si>
  <si>
    <t xml:space="preserve">      rmap_registers_wr_o.aeb_crit_cfg_reserved_58.reserved(31 downto 24) &lt;= avalon_mm_rmap_i.writedata(31 downto 24);</t>
  </si>
  <si>
    <t xml:space="preserve">      rmap_registers_wr_o.aeb_crit_cfg_reserved_5c.reserved(7 downto 0) &lt;= avalon_mm_rmap_i.writedata(7 downto 0);</t>
  </si>
  <si>
    <t xml:space="preserve">      rmap_registers_wr_o.aeb_crit_cfg_reserved_5c.reserved(15 downto 8) &lt;= avalon_mm_rmap_i.writedata(15 downto 8);</t>
  </si>
  <si>
    <t xml:space="preserve">      rmap_registers_wr_o.aeb_crit_cfg_reserved_5c.reserved(23 downto 16) &lt;= avalon_mm_rmap_i.writedata(23 downto 16);</t>
  </si>
  <si>
    <t xml:space="preserve">      rmap_registers_wr_o.aeb_crit_cfg_reserved_5c.reserved(31 downto 24) &lt;= avalon_mm_rmap_i.writedata(31 downto 24);</t>
  </si>
  <si>
    <t xml:space="preserve">      rmap_registers_wr_o.aeb_crit_cfg_reserved_60.reserved(7 downto 0) &lt;= avalon_mm_rmap_i.writedata(7 downto 0);</t>
  </si>
  <si>
    <t xml:space="preserve">      rmap_registers_wr_o.aeb_crit_cfg_reserved_60.reserved(15 downto 8) &lt;= avalon_mm_rmap_i.writedata(15 downto 8);</t>
  </si>
  <si>
    <t xml:space="preserve">      rmap_registers_wr_o.aeb_crit_cfg_reserved_60.reserved(23 downto 16) &lt;= avalon_mm_rmap_i.writedata(23 downto 16);</t>
  </si>
  <si>
    <t xml:space="preserve">      rmap_registers_wr_o.aeb_crit_cfg_reserved_60.reserved(31 downto 24) &lt;= avalon_mm_rmap_i.writedata(31 downto 24);</t>
  </si>
  <si>
    <t xml:space="preserve">      rmap_registers_wr_o.aeb_crit_cfg_reserved_64.reserved(7 downto 0) &lt;= avalon_mm_rmap_i.writedata(7 downto 0);</t>
  </si>
  <si>
    <t xml:space="preserve">      rmap_registers_wr_o.aeb_crit_cfg_reserved_64.reserved(15 downto 8) &lt;= avalon_mm_rmap_i.writedata(15 downto 8);</t>
  </si>
  <si>
    <t xml:space="preserve">      rmap_registers_wr_o.aeb_crit_cfg_reserved_64.reserved(23 downto 16) &lt;= avalon_mm_rmap_i.writedata(23 downto 16);</t>
  </si>
  <si>
    <t xml:space="preserve">      rmap_registers_wr_o.aeb_crit_cfg_reserved_64.reserved(31 downto 24) &lt;= avalon_mm_rmap_i.writedata(31 downto 24);</t>
  </si>
  <si>
    <t xml:space="preserve">      rmap_registers_wr_o.aeb_crit_cfg_reserved_68.reserved(7 downto 0) &lt;= avalon_mm_rmap_i.writedata(7 downto 0);</t>
  </si>
  <si>
    <t xml:space="preserve">      rmap_registers_wr_o.aeb_crit_cfg_reserved_68.reserved(15 downto 8) &lt;= avalon_mm_rmap_i.writedata(15 downto 8);</t>
  </si>
  <si>
    <t xml:space="preserve">      rmap_registers_wr_o.aeb_crit_cfg_reserved_68.reserved(23 downto 16) &lt;= avalon_mm_rmap_i.writedata(23 downto 16);</t>
  </si>
  <si>
    <t xml:space="preserve">      rmap_registers_wr_o.aeb_crit_cfg_reserved_68.reserved(31 downto 24) &lt;= avalon_mm_rmap_i.writedata(31 downto 24);</t>
  </si>
  <si>
    <t xml:space="preserve">      rmap_registers_wr_o.aeb_crit_cfg_reserved_6c.reserved(7 downto 0) &lt;= avalon_mm_rmap_i.writedata(7 downto 0);</t>
  </si>
  <si>
    <t xml:space="preserve">      rmap_registers_wr_o.aeb_crit_cfg_reserved_6c.reserved(15 downto 8) &lt;= avalon_mm_rmap_i.writedata(15 downto 8);</t>
  </si>
  <si>
    <t xml:space="preserve">      rmap_registers_wr_o.aeb_crit_cfg_reserved_6c.reserved(23 downto 16) &lt;= avalon_mm_rmap_i.writedata(23 downto 16);</t>
  </si>
  <si>
    <t xml:space="preserve">      rmap_registers_wr_o.aeb_crit_cfg_reserved_6c.reserved(31 downto 24) &lt;= avalon_mm_rmap_i.writedata(31 downto 24);</t>
  </si>
  <si>
    <t xml:space="preserve">      rmap_registers_wr_o.aeb_crit_cfg_reserved_70.reserved(7 downto 0) &lt;= avalon_mm_rmap_i.writedata(7 downto 0);</t>
  </si>
  <si>
    <t xml:space="preserve">      rmap_registers_wr_o.aeb_crit_cfg_reserved_70.reserved(15 downto 8) &lt;= avalon_mm_rmap_i.writedata(15 downto 8);</t>
  </si>
  <si>
    <t xml:space="preserve">      rmap_registers_wr_o.aeb_crit_cfg_reserved_70.reserved(23 downto 16) &lt;= avalon_mm_rmap_i.writedata(23 downto 16);</t>
  </si>
  <si>
    <t xml:space="preserve">      rmap_registers_wr_o.aeb_crit_cfg_reserved_70.reserved(31 downto 24) &lt;= avalon_mm_rmap_i.writedata(31 downto 24);</t>
  </si>
  <si>
    <t xml:space="preserve">      rmap_registers_wr_o.aeb_crit_cfg_reserved_74.reserved(7 downto 0) &lt;= avalon_mm_rmap_i.writedata(7 downto 0);</t>
  </si>
  <si>
    <t xml:space="preserve">      rmap_registers_wr_o.aeb_crit_cfg_reserved_74.reserved(15 downto 8) &lt;= avalon_mm_rmap_i.writedata(15 downto 8);</t>
  </si>
  <si>
    <t xml:space="preserve">      rmap_registers_wr_o.aeb_crit_cfg_reserved_74.reserved(23 downto 16) &lt;= avalon_mm_rmap_i.writedata(23 downto 16);</t>
  </si>
  <si>
    <t xml:space="preserve">      rmap_registers_wr_o.aeb_crit_cfg_reserved_74.reserved(31 downto 24) &lt;= avalon_mm_rmap_i.writedata(31 downto 24);</t>
  </si>
  <si>
    <t xml:space="preserve">      rmap_registers_wr_o.aeb_crit_cfg_reserved_78.reserved(7 downto 0) &lt;= avalon_mm_rmap_i.writedata(7 downto 0);</t>
  </si>
  <si>
    <t xml:space="preserve">      rmap_registers_wr_o.aeb_crit_cfg_reserved_78.reserved(15 downto 8) &lt;= avalon_mm_rmap_i.writedata(15 downto 8);</t>
  </si>
  <si>
    <t xml:space="preserve">      rmap_registers_wr_o.aeb_crit_cfg_reserved_78.reserved(23 downto 16) &lt;= avalon_mm_rmap_i.writedata(23 downto 16);</t>
  </si>
  <si>
    <t xml:space="preserve">      rmap_registers_wr_o.aeb_crit_cfg_reserved_78.reserved(31 downto 24) &lt;= avalon_mm_rmap_i.writedata(31 downto 24);</t>
  </si>
  <si>
    <t xml:space="preserve">      rmap_registers_wr_o.aeb_crit_cfg_reserved_7c.reserved(7 downto 0) &lt;= avalon_mm_rmap_i.writedata(7 downto 0);</t>
  </si>
  <si>
    <t xml:space="preserve">      rmap_registers_wr_o.aeb_crit_cfg_reserved_7c.reserved(15 downto 8) &lt;= avalon_mm_rmap_i.writedata(15 downto 8);</t>
  </si>
  <si>
    <t xml:space="preserve">      rmap_registers_wr_o.aeb_crit_cfg_reserved_7c.reserved(23 downto 16) &lt;= avalon_mm_rmap_i.writedata(23 downto 16);</t>
  </si>
  <si>
    <t xml:space="preserve">      rmap_registers_wr_o.aeb_crit_cfg_reserved_7c.reserved(31 downto 24) &lt;= avalon_mm_rmap_i.writedata(31 downto 24);</t>
  </si>
  <si>
    <t xml:space="preserve">      rmap_registers_wr_o.aeb_crit_cfg_reserved_80.reserved(7 downto 0) &lt;= avalon_mm_rmap_i.writedata(7 downto 0);</t>
  </si>
  <si>
    <t xml:space="preserve">      rmap_registers_wr_o.aeb_crit_cfg_reserved_80.reserved(15 downto 8) &lt;= avalon_mm_rmap_i.writedata(15 downto 8);</t>
  </si>
  <si>
    <t xml:space="preserve">      rmap_registers_wr_o.aeb_crit_cfg_reserved_80.reserved(23 downto 16) &lt;= avalon_mm_rmap_i.writedata(23 downto 16);</t>
  </si>
  <si>
    <t xml:space="preserve">      rmap_registers_wr_o.aeb_crit_cfg_reserved_80.reserved(31 downto 24) &lt;= avalon_mm_rmap_i.writedata(31 downto 24);</t>
  </si>
  <si>
    <t xml:space="preserve">      rmap_registers_wr_o.aeb_crit_cfg_reserved_84.reserved(7 downto 0) &lt;= avalon_mm_rmap_i.writedata(7 downto 0);</t>
  </si>
  <si>
    <t xml:space="preserve">      rmap_registers_wr_o.aeb_crit_cfg_reserved_84.reserved(15 downto 8) &lt;= avalon_mm_rmap_i.writedata(15 downto 8);</t>
  </si>
  <si>
    <t xml:space="preserve">      rmap_registers_wr_o.aeb_crit_cfg_reserved_84.reserved(23 downto 16) &lt;= avalon_mm_rmap_i.writedata(23 downto 16);</t>
  </si>
  <si>
    <t xml:space="preserve">      rmap_registers_wr_o.aeb_crit_cfg_reserved_84.reserved(31 downto 24) &lt;= avalon_mm_rmap_i.writedata(31 downto 24);</t>
  </si>
  <si>
    <t xml:space="preserve">      rmap_registers_wr_o.aeb_crit_cfg_reserved_88.reserved(7 downto 0) &lt;= avalon_mm_rmap_i.writedata(7 downto 0);</t>
  </si>
  <si>
    <t xml:space="preserve">      rmap_registers_wr_o.aeb_crit_cfg_reserved_88.reserved(15 downto 8) &lt;= avalon_mm_rmap_i.writedata(15 downto 8);</t>
  </si>
  <si>
    <t xml:space="preserve">      rmap_registers_wr_o.aeb_crit_cfg_reserved_88.reserved(23 downto 16) &lt;= avalon_mm_rmap_i.writedata(23 downto 16);</t>
  </si>
  <si>
    <t xml:space="preserve">      rmap_registers_wr_o.aeb_crit_cfg_reserved_88.reserved(31 downto 24) &lt;= avalon_mm_rmap_i.writedata(31 downto 24);</t>
  </si>
  <si>
    <t xml:space="preserve">      rmap_registers_wr_o.aeb_crit_cfg_reserved_8c.reserved(7 downto 0) &lt;= avalon_mm_rmap_i.writedata(7 downto 0);</t>
  </si>
  <si>
    <t xml:space="preserve">      rmap_registers_wr_o.aeb_crit_cfg_reserved_8c.reserved(15 downto 8) &lt;= avalon_mm_rmap_i.writedata(15 downto 8);</t>
  </si>
  <si>
    <t xml:space="preserve">      rmap_registers_wr_o.aeb_crit_cfg_reserved_8c.reserved(23 downto 16) &lt;= avalon_mm_rmap_i.writedata(23 downto 16);</t>
  </si>
  <si>
    <t xml:space="preserve">      rmap_registers_wr_o.aeb_crit_cfg_reserved_8c.reserved(31 downto 24) &lt;= avalon_mm_rmap_i.writedata(31 downto 24);</t>
  </si>
  <si>
    <t xml:space="preserve">      rmap_registers_wr_o.aeb_crit_cfg_reserved_90.reserved(7 downto 0) &lt;= avalon_mm_rmap_i.writedata(7 downto 0);</t>
  </si>
  <si>
    <t xml:space="preserve">      rmap_registers_wr_o.aeb_crit_cfg_reserved_90.reserved(15 downto 8) &lt;= avalon_mm_rmap_i.writedata(15 downto 8);</t>
  </si>
  <si>
    <t xml:space="preserve">      rmap_registers_wr_o.aeb_crit_cfg_reserved_90.reserved(23 downto 16) &lt;= avalon_mm_rmap_i.writedata(23 downto 16);</t>
  </si>
  <si>
    <t xml:space="preserve">      rmap_registers_wr_o.aeb_crit_cfg_reserved_90.reserved(31 downto 24) &lt;= avalon_mm_rmap_i.writedata(31 downto 24);</t>
  </si>
  <si>
    <t xml:space="preserve">      rmap_registers_wr_o.aeb_crit_cfg_reserved_94.reserved(7 downto 0) &lt;= avalon_mm_rmap_i.writedata(7 downto 0);</t>
  </si>
  <si>
    <t xml:space="preserve">      rmap_registers_wr_o.aeb_crit_cfg_reserved_94.reserved(15 downto 8) &lt;= avalon_mm_rmap_i.writedata(15 downto 8);</t>
  </si>
  <si>
    <t xml:space="preserve">      rmap_registers_wr_o.aeb_crit_cfg_reserved_94.reserved(23 downto 16) &lt;= avalon_mm_rmap_i.writedata(23 downto 16);</t>
  </si>
  <si>
    <t xml:space="preserve">      rmap_registers_wr_o.aeb_crit_cfg_reserved_94.reserved(31 downto 24) &lt;= avalon_mm_rmap_i.writedata(31 downto 24);</t>
  </si>
  <si>
    <t xml:space="preserve">      rmap_registers_wr_o.aeb_crit_cfg_reserved_98.reserved(7 downto 0) &lt;= avalon_mm_rmap_i.writedata(7 downto 0);</t>
  </si>
  <si>
    <t xml:space="preserve">      rmap_registers_wr_o.aeb_crit_cfg_reserved_98.reserved(15 downto 8) &lt;= avalon_mm_rmap_i.writedata(15 downto 8);</t>
  </si>
  <si>
    <t xml:space="preserve">      rmap_registers_wr_o.aeb_crit_cfg_reserved_98.reserved(23 downto 16) &lt;= avalon_mm_rmap_i.writedata(23 downto 16);</t>
  </si>
  <si>
    <t xml:space="preserve">      rmap_registers_wr_o.aeb_crit_cfg_reserved_98.reserved(31 downto 24) &lt;= avalon_mm_rmap_i.writedata(31 downto 24);</t>
  </si>
  <si>
    <t xml:space="preserve">      rmap_registers_wr_o.aeb_crit_cfg_reserved_9c.reserved(7 downto 0) &lt;= avalon_mm_rmap_i.writedata(7 downto 0);</t>
  </si>
  <si>
    <t xml:space="preserve">      rmap_registers_wr_o.aeb_crit_cfg_reserved_9c.reserved(15 downto 8) &lt;= avalon_mm_rmap_i.writedata(15 downto 8);</t>
  </si>
  <si>
    <t xml:space="preserve">      rmap_registers_wr_o.aeb_crit_cfg_reserved_9c.reserved(23 downto 16) &lt;= avalon_mm_rmap_i.writedata(23 downto 16);</t>
  </si>
  <si>
    <t xml:space="preserve">      rmap_registers_wr_o.aeb_crit_cfg_reserved_9c.reserved(31 downto 24) &lt;= avalon_mm_rmap_i.writedata(31 downto 24);</t>
  </si>
  <si>
    <t xml:space="preserve">      rmap_registers_wr_o.aeb_crit_cfg_reserved_a0.reserved(7 downto 0) &lt;= avalon_mm_rmap_i.writedata(7 downto 0);</t>
  </si>
  <si>
    <t xml:space="preserve">      rmap_registers_wr_o.aeb_crit_cfg_reserved_a0.reserved(15 downto 8) &lt;= avalon_mm_rmap_i.writedata(15 downto 8);</t>
  </si>
  <si>
    <t xml:space="preserve">      rmap_registers_wr_o.aeb_crit_cfg_reserved_a0.reserved(23 downto 16) &lt;= avalon_mm_rmap_i.writedata(23 downto 16);</t>
  </si>
  <si>
    <t xml:space="preserve">      rmap_registers_wr_o.aeb_crit_cfg_reserved_a0.reserved(31 downto 24) &lt;= avalon_mm_rmap_i.writedata(31 downto 24);</t>
  </si>
  <si>
    <t xml:space="preserve">      rmap_registers_wr_o.aeb_crit_cfg_reserved_a4.reserved(7 downto 0) &lt;= avalon_mm_rmap_i.writedata(7 downto 0);</t>
  </si>
  <si>
    <t xml:space="preserve">      rmap_registers_wr_o.aeb_crit_cfg_reserved_a4.reserved(15 downto 8) &lt;= avalon_mm_rmap_i.writedata(15 downto 8);</t>
  </si>
  <si>
    <t xml:space="preserve">      rmap_registers_wr_o.aeb_crit_cfg_reserved_a4.reserved(23 downto 16) &lt;= avalon_mm_rmap_i.writedata(23 downto 16);</t>
  </si>
  <si>
    <t xml:space="preserve">      rmap_registers_wr_o.aeb_crit_cfg_reserved_a4.reserved(31 downto 24) &lt;= avalon_mm_rmap_i.writedata(31 downto 24);</t>
  </si>
  <si>
    <t xml:space="preserve">      rmap_registers_wr_o.aeb_crit_cfg_reserved_a8.reserved(7 downto 0) &lt;= avalon_mm_rmap_i.writedata(7 downto 0);</t>
  </si>
  <si>
    <t xml:space="preserve">      rmap_registers_wr_o.aeb_crit_cfg_reserved_a8.reserved(15 downto 8) &lt;= avalon_mm_rmap_i.writedata(15 downto 8);</t>
  </si>
  <si>
    <t xml:space="preserve">      rmap_registers_wr_o.aeb_crit_cfg_reserved_a8.reserved(23 downto 16) &lt;= avalon_mm_rmap_i.writedata(23 downto 16);</t>
  </si>
  <si>
    <t xml:space="preserve">      rmap_registers_wr_o.aeb_crit_cfg_reserved_a8.reserved(31 downto 24) &lt;= avalon_mm_rmap_i.writedata(31 downto 24);</t>
  </si>
  <si>
    <t xml:space="preserve">      rmap_registers_wr_o.aeb_crit_cfg_reserved_ac.reserved(7 downto 0) &lt;= avalon_mm_rmap_i.writedata(7 downto 0);</t>
  </si>
  <si>
    <t xml:space="preserve">      rmap_registers_wr_o.aeb_crit_cfg_reserved_ac.reserved(15 downto 8) &lt;= avalon_mm_rmap_i.writedata(15 downto 8);</t>
  </si>
  <si>
    <t xml:space="preserve">      rmap_registers_wr_o.aeb_crit_cfg_reserved_ac.reserved(23 downto 16) &lt;= avalon_mm_rmap_i.writedata(23 downto 16);</t>
  </si>
  <si>
    <t xml:space="preserve">      rmap_registers_wr_o.aeb_crit_cfg_reserved_ac.reserved(31 downto 24) &lt;= avalon_mm_rmap_i.writedata(31 downto 24);</t>
  </si>
  <si>
    <t xml:space="preserve">      rmap_registers_wr_o.aeb_crit_cfg_reserved_b0.reserved(7 downto 0) &lt;= avalon_mm_rmap_i.writedata(7 downto 0);</t>
  </si>
  <si>
    <t xml:space="preserve">      rmap_registers_wr_o.aeb_crit_cfg_reserved_b0.reserved(15 downto 8) &lt;= avalon_mm_rmap_i.writedata(15 downto 8);</t>
  </si>
  <si>
    <t xml:space="preserve">      rmap_registers_wr_o.aeb_crit_cfg_reserved_b0.reserved(23 downto 16) &lt;= avalon_mm_rmap_i.writedata(23 downto 16);</t>
  </si>
  <si>
    <t xml:space="preserve">      rmap_registers_wr_o.aeb_crit_cfg_reserved_b0.reserved(31 downto 24) &lt;= avalon_mm_rmap_i.writedata(31 downto 24);</t>
  </si>
  <si>
    <t xml:space="preserve">      rmap_registers_wr_o.aeb_crit_cfg_reserved_b4.reserved(7 downto 0) &lt;= avalon_mm_rmap_i.writedata(7 downto 0);</t>
  </si>
  <si>
    <t xml:space="preserve">      rmap_registers_wr_o.aeb_crit_cfg_reserved_b4.reserved(15 downto 8) &lt;= avalon_mm_rmap_i.writedata(15 downto 8);</t>
  </si>
  <si>
    <t xml:space="preserve">      rmap_registers_wr_o.aeb_crit_cfg_reserved_b4.reserved(23 downto 16) &lt;= avalon_mm_rmap_i.writedata(23 downto 16);</t>
  </si>
  <si>
    <t xml:space="preserve">      rmap_registers_wr_o.aeb_crit_cfg_reserved_b4.reserved(31 downto 24) &lt;= avalon_mm_rmap_i.writedata(31 downto 24);</t>
  </si>
  <si>
    <t xml:space="preserve">      rmap_registers_wr_o.aeb_crit_cfg_reserved_b8.reserved(7 downto 0) &lt;= avalon_mm_rmap_i.writedata(7 downto 0);</t>
  </si>
  <si>
    <t xml:space="preserve">      rmap_registers_wr_o.aeb_crit_cfg_reserved_b8.reserved(15 downto 8) &lt;= avalon_mm_rmap_i.writedata(15 downto 8);</t>
  </si>
  <si>
    <t xml:space="preserve">      rmap_registers_wr_o.aeb_crit_cfg_reserved_b8.reserved(23 downto 16) &lt;= avalon_mm_rmap_i.writedata(23 downto 16);</t>
  </si>
  <si>
    <t xml:space="preserve">      rmap_registers_wr_o.aeb_crit_cfg_reserved_b8.reserved(31 downto 24) &lt;= avalon_mm_rmap_i.writedata(31 downto 24);</t>
  </si>
  <si>
    <t xml:space="preserve">      rmap_registers_wr_o.aeb_crit_cfg_reserved_bc.reserved(7 downto 0) &lt;= avalon_mm_rmap_i.writedata(7 downto 0);</t>
  </si>
  <si>
    <t xml:space="preserve">      rmap_registers_wr_o.aeb_crit_cfg_reserved_bc.reserved(15 downto 8) &lt;= avalon_mm_rmap_i.writedata(15 downto 8);</t>
  </si>
  <si>
    <t xml:space="preserve">      rmap_registers_wr_o.aeb_crit_cfg_reserved_bc.reserved(23 downto 16) &lt;= avalon_mm_rmap_i.writedata(23 downto 16);</t>
  </si>
  <si>
    <t xml:space="preserve">      rmap_registers_wr_o.aeb_crit_cfg_reserved_bc.reserved(31 downto 24) &lt;= avalon_mm_rmap_i.writedata(31 downto 24);</t>
  </si>
  <si>
    <t xml:space="preserve">      rmap_registers_wr_o.aeb_crit_cfg_reserved_c0.reserved(7 downto 0) &lt;= avalon_mm_rmap_i.writedata(7 downto 0);</t>
  </si>
  <si>
    <t xml:space="preserve">      rmap_registers_wr_o.aeb_crit_cfg_reserved_c0.reserved(15 downto 8) &lt;= avalon_mm_rmap_i.writedata(15 downto 8);</t>
  </si>
  <si>
    <t xml:space="preserve">      rmap_registers_wr_o.aeb_crit_cfg_reserved_c0.reserved(23 downto 16) &lt;= avalon_mm_rmap_i.writedata(23 downto 16);</t>
  </si>
  <si>
    <t xml:space="preserve">      rmap_registers_wr_o.aeb_crit_cfg_reserved_c0.reserved(31 downto 24) &lt;= avalon_mm_rmap_i.writedata(31 downto 24);</t>
  </si>
  <si>
    <t xml:space="preserve">      rmap_registers_wr_o.aeb_crit_cfg_reserved_c4.reserved(7 downto 0) &lt;= avalon_mm_rmap_i.writedata(7 downto 0);</t>
  </si>
  <si>
    <t xml:space="preserve">      rmap_registers_wr_o.aeb_crit_cfg_reserved_c4.reserved(15 downto 8) &lt;= avalon_mm_rmap_i.writedata(15 downto 8);</t>
  </si>
  <si>
    <t xml:space="preserve">      rmap_registers_wr_o.aeb_crit_cfg_reserved_c4.reserved(23 downto 16) &lt;= avalon_mm_rmap_i.writedata(23 downto 16);</t>
  </si>
  <si>
    <t xml:space="preserve">      rmap_registers_wr_o.aeb_crit_cfg_reserved_c4.reserved(31 downto 24) &lt;= avalon_mm_rmap_i.writedata(31 downto 24);</t>
  </si>
  <si>
    <t xml:space="preserve">      rmap_registers_wr_o.aeb_crit_cfg_reserved_c8.reserved(7 downto 0) &lt;= avalon_mm_rmap_i.writedata(7 downto 0);</t>
  </si>
  <si>
    <t xml:space="preserve">      rmap_registers_wr_o.aeb_crit_cfg_reserved_c8.reserved(15 downto 8) &lt;= avalon_mm_rmap_i.writedata(15 downto 8);</t>
  </si>
  <si>
    <t xml:space="preserve">      rmap_registers_wr_o.aeb_crit_cfg_reserved_c8.reserved(23 downto 16) &lt;= avalon_mm_rmap_i.writedata(23 downto 16);</t>
  </si>
  <si>
    <t xml:space="preserve">      rmap_registers_wr_o.aeb_crit_cfg_reserved_c8.reserved(31 downto 24) &lt;= avalon_mm_rmap_i.writedata(31 downto 24);</t>
  </si>
  <si>
    <t xml:space="preserve">      rmap_registers_wr_o.aeb_crit_cfg_reserved_cc.reserved(7 downto 0) &lt;= avalon_mm_rmap_i.writedata(7 downto 0);</t>
  </si>
  <si>
    <t xml:space="preserve">      rmap_registers_wr_o.aeb_crit_cfg_reserved_cc.reserved(15 downto 8) &lt;= avalon_mm_rmap_i.writedata(15 downto 8);</t>
  </si>
  <si>
    <t xml:space="preserve">      rmap_registers_wr_o.aeb_crit_cfg_reserved_cc.reserved(23 downto 16) &lt;= avalon_mm_rmap_i.writedata(23 downto 16);</t>
  </si>
  <si>
    <t xml:space="preserve">      rmap_registers_wr_o.aeb_crit_cfg_reserved_cc.reserved(31 downto 24) &lt;= avalon_mm_rmap_i.writedata(31 downto 24);</t>
  </si>
  <si>
    <t xml:space="preserve">      rmap_registers_wr_o.aeb_crit_cfg_reserved_d0.reserved(7 downto 0) &lt;= avalon_mm_rmap_i.writedata(7 downto 0);</t>
  </si>
  <si>
    <t xml:space="preserve">      rmap_registers_wr_o.aeb_crit_cfg_reserved_d0.reserved(15 downto 8) &lt;= avalon_mm_rmap_i.writedata(15 downto 8);</t>
  </si>
  <si>
    <t xml:space="preserve">      rmap_registers_wr_o.aeb_crit_cfg_reserved_d0.reserved(23 downto 16) &lt;= avalon_mm_rmap_i.writedata(23 downto 16);</t>
  </si>
  <si>
    <t xml:space="preserve">      rmap_registers_wr_o.aeb_crit_cfg_reserved_d0.reserved(31 downto 24) &lt;= avalon_mm_rmap_i.writedata(31 downto 24);</t>
  </si>
  <si>
    <t xml:space="preserve">      rmap_registers_wr_o.aeb_crit_cfg_reserved_d4.reserved(7 downto 0) &lt;= avalon_mm_rmap_i.writedata(7 downto 0);</t>
  </si>
  <si>
    <t xml:space="preserve">      rmap_registers_wr_o.aeb_crit_cfg_reserved_d4.reserved(15 downto 8) &lt;= avalon_mm_rmap_i.writedata(15 downto 8);</t>
  </si>
  <si>
    <t xml:space="preserve">      rmap_registers_wr_o.aeb_crit_cfg_reserved_d4.reserved(23 downto 16) &lt;= avalon_mm_rmap_i.writedata(23 downto 16);</t>
  </si>
  <si>
    <t xml:space="preserve">      rmap_registers_wr_o.aeb_crit_cfg_reserved_d4.reserved(31 downto 24) &lt;= avalon_mm_rmap_i.writedata(31 downto 24);</t>
  </si>
  <si>
    <t xml:space="preserve">      rmap_registers_wr_o.aeb_crit_cfg_reserved_d8.reserved(7 downto 0) &lt;= avalon_mm_rmap_i.writedata(7 downto 0);</t>
  </si>
  <si>
    <t xml:space="preserve">      rmap_registers_wr_o.aeb_crit_cfg_reserved_d8.reserved(15 downto 8) &lt;= avalon_mm_rmap_i.writedata(15 downto 8);</t>
  </si>
  <si>
    <t xml:space="preserve">      rmap_registers_wr_o.aeb_crit_cfg_reserved_d8.reserved(23 downto 16) &lt;= avalon_mm_rmap_i.writedata(23 downto 16);</t>
  </si>
  <si>
    <t xml:space="preserve">      rmap_registers_wr_o.aeb_crit_cfg_reserved_d8.reserved(31 downto 24) &lt;= avalon_mm_rmap_i.writedata(31 downto 24);</t>
  </si>
  <si>
    <t xml:space="preserve">      rmap_registers_wr_o.aeb_crit_cfg_reserved_dc.reserved(7 downto 0) &lt;= avalon_mm_rmap_i.writedata(7 downto 0);</t>
  </si>
  <si>
    <t xml:space="preserve">      rmap_registers_wr_o.aeb_crit_cfg_reserved_dc.reserved(15 downto 8) &lt;= avalon_mm_rmap_i.writedata(15 downto 8);</t>
  </si>
  <si>
    <t xml:space="preserve">      rmap_registers_wr_o.aeb_crit_cfg_reserved_dc.reserved(23 downto 16) &lt;= avalon_mm_rmap_i.writedata(23 downto 16);</t>
  </si>
  <si>
    <t xml:space="preserve">      rmap_registers_wr_o.aeb_crit_cfg_reserved_dc.reserved(31 downto 24) &lt;= avalon_mm_rmap_i.writedata(31 downto 24);</t>
  </si>
  <si>
    <t xml:space="preserve">      rmap_registers_wr_o.aeb_crit_cfg_reserved_e0.reserved(7 downto 0) &lt;= avalon_mm_rmap_i.writedata(7 downto 0);</t>
  </si>
  <si>
    <t xml:space="preserve">      rmap_registers_wr_o.aeb_crit_cfg_reserved_e0.reserved(15 downto 8) &lt;= avalon_mm_rmap_i.writedata(15 downto 8);</t>
  </si>
  <si>
    <t xml:space="preserve">      rmap_registers_wr_o.aeb_crit_cfg_reserved_e0.reserved(23 downto 16) &lt;= avalon_mm_rmap_i.writedata(23 downto 16);</t>
  </si>
  <si>
    <t xml:space="preserve">      rmap_registers_wr_o.aeb_crit_cfg_reserved_e0.reserved(31 downto 24) &lt;= avalon_mm_rmap_i.writedata(31 downto 24);</t>
  </si>
  <si>
    <t xml:space="preserve">      rmap_registers_wr_o.aeb_crit_cfg_reserved_e4.reserved(7 downto 0) &lt;= avalon_mm_rmap_i.writedata(7 downto 0);</t>
  </si>
  <si>
    <t xml:space="preserve">      rmap_registers_wr_o.aeb_crit_cfg_reserved_e4.reserved(15 downto 8) &lt;= avalon_mm_rmap_i.writedata(15 downto 8);</t>
  </si>
  <si>
    <t xml:space="preserve">      rmap_registers_wr_o.aeb_crit_cfg_reserved_e4.reserved(23 downto 16) &lt;= avalon_mm_rmap_i.writedata(23 downto 16);</t>
  </si>
  <si>
    <t xml:space="preserve">      rmap_registers_wr_o.aeb_crit_cfg_reserved_e4.reserved(31 downto 24) &lt;= avalon_mm_rmap_i.writedata(31 downto 24);</t>
  </si>
  <si>
    <t xml:space="preserve">      rmap_registers_wr_o.aeb_crit_cfg_reserved_e8.reserved(7 downto 0) &lt;= avalon_mm_rmap_i.writedata(7 downto 0);</t>
  </si>
  <si>
    <t xml:space="preserve">      rmap_registers_wr_o.aeb_crit_cfg_reserved_e8.reserved(15 downto 8) &lt;= avalon_mm_rmap_i.writedata(15 downto 8);</t>
  </si>
  <si>
    <t xml:space="preserve">      rmap_registers_wr_o.aeb_crit_cfg_reserved_e8.reserved(23 downto 16) &lt;= avalon_mm_rmap_i.writedata(23 downto 16);</t>
  </si>
  <si>
    <t xml:space="preserve">      rmap_registers_wr_o.aeb_crit_cfg_reserved_e8.reserved(31 downto 24) &lt;= avalon_mm_rmap_i.writedata(31 downto 24);</t>
  </si>
  <si>
    <t xml:space="preserve">      rmap_registers_wr_o.aeb_crit_cfg_reserved_ec.reserved(7 downto 0) &lt;= avalon_mm_rmap_i.writedata(7 downto 0);</t>
  </si>
  <si>
    <t xml:space="preserve">      rmap_registers_wr_o.aeb_crit_cfg_reserved_ec.reserved(15 downto 8) &lt;= avalon_mm_rmap_i.writedata(15 downto 8);</t>
  </si>
  <si>
    <t xml:space="preserve">      rmap_registers_wr_o.aeb_crit_cfg_reserved_ec.reserved(23 downto 16) &lt;= avalon_mm_rmap_i.writedata(23 downto 16);</t>
  </si>
  <si>
    <t xml:space="preserve">      rmap_registers_wr_o.aeb_crit_cfg_reserved_ec.reserved(31 downto 24) &lt;= avalon_mm_rmap_i.writedata(31 downto 24);</t>
  </si>
  <si>
    <t xml:space="preserve">      rmap_registers_wr_o.aeb_crit_cfg_reserved_f0.reserved(7 downto 0) &lt;= avalon_mm_rmap_i.writedata(7 downto 0);</t>
  </si>
  <si>
    <t xml:space="preserve">      rmap_registers_wr_o.aeb_crit_cfg_reserved_f0.reserved(15 downto 8) &lt;= avalon_mm_rmap_i.writedata(15 downto 8);</t>
  </si>
  <si>
    <t xml:space="preserve">      rmap_registers_wr_o.aeb_crit_cfg_reserved_f0.reserved(23 downto 16) &lt;= avalon_mm_rmap_i.writedata(23 downto 16);</t>
  </si>
  <si>
    <t xml:space="preserve">      rmap_registers_wr_o.aeb_crit_cfg_reserved_f0.reserved(31 downto 24) &lt;= avalon_mm_rmap_i.writedata(31 downto 24);</t>
  </si>
  <si>
    <t xml:space="preserve">      rmap_registers_wr_o.aeb_crit_cfg_reserved_f4.reserved(7 downto 0) &lt;= avalon_mm_rmap_i.writedata(7 downto 0);</t>
  </si>
  <si>
    <t xml:space="preserve">      rmap_registers_wr_o.aeb_crit_cfg_reserved_f4.reserved(15 downto 8) &lt;= avalon_mm_rmap_i.writedata(15 downto 8);</t>
  </si>
  <si>
    <t xml:space="preserve">      rmap_registers_wr_o.aeb_crit_cfg_reserved_f4.reserved(23 downto 16) &lt;= avalon_mm_rmap_i.writedata(23 downto 16);</t>
  </si>
  <si>
    <t xml:space="preserve">      rmap_registers_wr_o.aeb_crit_cfg_reserved_f4.reserved(31 downto 24) &lt;= avalon_mm_rmap_i.writedata(31 downto 24);</t>
  </si>
  <si>
    <t xml:space="preserve">      rmap_registers_wr_o.aeb_crit_cfg_reserved_f8.reserved(7 downto 0) &lt;= avalon_mm_rmap_i.writedata(7 downto 0);</t>
  </si>
  <si>
    <t xml:space="preserve">      rmap_registers_wr_o.aeb_crit_cfg_reserved_f8.reserved(15 downto 8) &lt;= avalon_mm_rmap_i.writedata(15 downto 8);</t>
  </si>
  <si>
    <t xml:space="preserve">      rmap_registers_wr_o.aeb_crit_cfg_reserved_f8.reserved(23 downto 16) &lt;= avalon_mm_rmap_i.writedata(23 downto 16);</t>
  </si>
  <si>
    <t xml:space="preserve">      rmap_registers_wr_o.aeb_crit_cfg_reserved_f8.reserved(31 downto 24) &lt;= avalon_mm_rmap_i.writedata(31 downto 24);</t>
  </si>
  <si>
    <t xml:space="preserve">      rmap_registers_wr_o.aeb_crit_cfg_reserved_fc.reserved(7 downto 0) &lt;= avalon_mm_rmap_i.writedata(7 downto 0);</t>
  </si>
  <si>
    <t xml:space="preserve">      rmap_registers_wr_o.aeb_crit_cfg_reserved_fc.reserved(15 downto 8) &lt;= avalon_mm_rmap_i.writedata(15 downto 8);</t>
  </si>
  <si>
    <t xml:space="preserve">      rmap_registers_wr_o.aeb_crit_cfg_reserved_fc.reserved(23 downto 16) &lt;= avalon_mm_rmap_i.writedata(23 downto 16);</t>
  </si>
  <si>
    <t xml:space="preserve">      rmap_registers_wr_o.aeb_crit_cfg_reserved_fc.reserved(31 downto 24) &lt;= avalon_mm_rmap_i.writedata(31 downto 24);</t>
  </si>
  <si>
    <t xml:space="preserve">      rmap_registers_wr_o.aeb_gen_cfg_adc1_config_1.reserved_0 &lt;= avalon_mm_rmap_i.writedata(0);</t>
  </si>
  <si>
    <t xml:space="preserve">      rmap_registers_wr_o.aeb_gen_cfg_adc1_config_1.spirst &lt;= avalon_mm_rmap_i.writedata(0);</t>
  </si>
  <si>
    <t xml:space="preserve">      rmap_registers_wr_o.aeb_gen_cfg_adc1_config_1.muxmod &lt;= avalon_mm_rmap_i.writedata(0);</t>
  </si>
  <si>
    <t xml:space="preserve">      rmap_registers_wr_o.aeb_gen_cfg_adc1_config_1.bypas &lt;= avalon_mm_rmap_i.writedata(0);</t>
  </si>
  <si>
    <t xml:space="preserve">      rmap_registers_wr_o.aeb_gen_cfg_adc1_config_1.clkenb &lt;= avalon_mm_rmap_i.writedata(0);</t>
  </si>
  <si>
    <t xml:space="preserve">      rmap_registers_wr_o.aeb_gen_cfg_adc1_config_1.chop &lt;= avalon_mm_rmap_i.writedata(0);</t>
  </si>
  <si>
    <t xml:space="preserve">      rmap_registers_wr_o.aeb_gen_cfg_adc1_config_1.stat &lt;= avalon_mm_rmap_i.writedata(0);</t>
  </si>
  <si>
    <t xml:space="preserve">      rmap_registers_wr_o.aeb_gen_cfg_adc1_config_1.reserved_1 &lt;= avalon_mm_rmap_i.writedata(0);</t>
  </si>
  <si>
    <t xml:space="preserve">      rmap_registers_wr_o.aeb_gen_cfg_adc1_config_1.idlmod &lt;= avalon_mm_rmap_i.writedata(0);</t>
  </si>
  <si>
    <t xml:space="preserve">      rmap_registers_wr_o.aeb_gen_cfg_adc1_config_1.dly &lt;= avalon_mm_rmap_i.writedata(2 downto 0);</t>
  </si>
  <si>
    <t xml:space="preserve">      rmap_registers_wr_o.aeb_gen_cfg_adc1_config_1.sbcs &lt;= avalon_mm_rmap_i.writedata(9 downto 8);</t>
  </si>
  <si>
    <t xml:space="preserve">      rmap_registers_wr_o.aeb_gen_cfg_adc1_config_1.drate &lt;= avalon_mm_rmap_i.writedata(17 downto 16);</t>
  </si>
  <si>
    <t xml:space="preserve">      rmap_registers_wr_o.aeb_gen_cfg_adc1_config_1.ainp &lt;= avalon_mm_rmap_i.writedata(27 downto 24);</t>
  </si>
  <si>
    <t xml:space="preserve">      rmap_registers_wr_o.aeb_gen_cfg_adc1_config_1.ainn &lt;= avalon_mm_rmap_i.writedata(3 downto 0);</t>
  </si>
  <si>
    <t xml:space="preserve">      rmap_registers_wr_o.aeb_gen_cfg_adc1_config_1.diff &lt;= avalon_mm_rmap_i.writedata(15 downto 8);</t>
  </si>
  <si>
    <t xml:space="preserve">      rmap_registers_wr_o.aeb_gen_cfg_adc1_config_2.ain7 &lt;= avalon_mm_rmap_i.writedata(0);</t>
  </si>
  <si>
    <t xml:space="preserve">      rmap_registers_wr_o.aeb_gen_cfg_adc1_config_2.ain6 &lt;= avalon_mm_rmap_i.writedata(0);</t>
  </si>
  <si>
    <t xml:space="preserve">      rmap_registers_wr_o.aeb_gen_cfg_adc1_config_2.ain5 &lt;= avalon_mm_rmap_i.writedata(0);</t>
  </si>
  <si>
    <t xml:space="preserve">      rmap_registers_wr_o.aeb_gen_cfg_adc1_config_2.ain4 &lt;= avalon_mm_rmap_i.writedata(0);</t>
  </si>
  <si>
    <t xml:space="preserve">      rmap_registers_wr_o.aeb_gen_cfg_adc1_config_2.ain3 &lt;= avalon_mm_rmap_i.writedata(0);</t>
  </si>
  <si>
    <t xml:space="preserve">      rmap_registers_wr_o.aeb_gen_cfg_adc1_config_2.ain2 &lt;= avalon_mm_rmap_i.writedata(0);</t>
  </si>
  <si>
    <t xml:space="preserve">      rmap_registers_wr_o.aeb_gen_cfg_adc1_config_2.ain1 &lt;= avalon_mm_rmap_i.writedata(0);</t>
  </si>
  <si>
    <t xml:space="preserve">      rmap_registers_wr_o.aeb_gen_cfg_adc1_config_2.ain0 &lt;= avalon_mm_rmap_i.writedata(0);</t>
  </si>
  <si>
    <t xml:space="preserve">      rmap_registers_wr_o.aeb_gen_cfg_adc1_config_2.ain15 &lt;= avalon_mm_rmap_i.writedata(0);</t>
  </si>
  <si>
    <t xml:space="preserve">      rmap_registers_wr_o.aeb_gen_cfg_adc1_config_2.ain14 &lt;= avalon_mm_rmap_i.writedata(0);</t>
  </si>
  <si>
    <t xml:space="preserve">      rmap_registers_wr_o.aeb_gen_cfg_adc1_config_2.ain13 &lt;= avalon_mm_rmap_i.writedata(0);</t>
  </si>
  <si>
    <t xml:space="preserve">      rmap_registers_wr_o.aeb_gen_cfg_adc1_config_2.ain12 &lt;= avalon_mm_rmap_i.writedata(0);</t>
  </si>
  <si>
    <t xml:space="preserve">      rmap_registers_wr_o.aeb_gen_cfg_adc1_config_2.ain11 &lt;= avalon_mm_rmap_i.writedata(0);</t>
  </si>
  <si>
    <t xml:space="preserve">      rmap_registers_wr_o.aeb_gen_cfg_adc1_config_2.ain10 &lt;= avalon_mm_rmap_i.writedata(0);</t>
  </si>
  <si>
    <t xml:space="preserve">      rmap_registers_wr_o.aeb_gen_cfg_adc1_config_2.ain9 &lt;= avalon_mm_rmap_i.writedata(0);</t>
  </si>
  <si>
    <t xml:space="preserve">      rmap_registers_wr_o.aeb_gen_cfg_adc1_config_2.ain8 &lt;= avalon_mm_rmap_i.writedata(0);</t>
  </si>
  <si>
    <t xml:space="preserve">      rmap_registers_wr_o.aeb_gen_cfg_adc1_config_2.reserved_0 &lt;= avalon_mm_rmap_i.writedata(1 downto 0);</t>
  </si>
  <si>
    <t xml:space="preserve">      rmap_registers_wr_o.aeb_gen_cfg_adc1_config_2.ref &lt;= avalon_mm_rmap_i.writedata(0);</t>
  </si>
  <si>
    <t xml:space="preserve">      rmap_registers_wr_o.aeb_gen_cfg_adc1_config_2.gain &lt;= avalon_mm_rmap_i.writedata(0);</t>
  </si>
  <si>
    <t xml:space="preserve">      rmap_registers_wr_o.aeb_gen_cfg_adc1_config_2.temp &lt;= avalon_mm_rmap_i.writedata(0);</t>
  </si>
  <si>
    <t xml:space="preserve">      rmap_registers_wr_o.aeb_gen_cfg_adc1_config_2.vcc &lt;= avalon_mm_rmap_i.writedata(0);</t>
  </si>
  <si>
    <t xml:space="preserve">      rmap_registers_wr_o.aeb_gen_cfg_adc1_config_2.reserved_1 &lt;= avalon_mm_rmap_i.writedata(0);</t>
  </si>
  <si>
    <t xml:space="preserve">      rmap_registers_wr_o.aeb_gen_cfg_adc1_config_2.offset &lt;= avalon_mm_rmap_i.writedata(0);</t>
  </si>
  <si>
    <t xml:space="preserve">      rmap_registers_wr_o.aeb_gen_cfg_adc1_config_2.cio7 &lt;= avalon_mm_rmap_i.writedata(0);</t>
  </si>
  <si>
    <t xml:space="preserve">      rmap_registers_wr_o.aeb_gen_cfg_adc1_config_2.cio6 &lt;= avalon_mm_rmap_i.writedata(0);</t>
  </si>
  <si>
    <t xml:space="preserve">      rmap_registers_wr_o.aeb_gen_cfg_adc1_config_2.cio5 &lt;= avalon_mm_rmap_i.writedata(0);</t>
  </si>
  <si>
    <t xml:space="preserve">      rmap_registers_wr_o.aeb_gen_cfg_adc1_config_2.cio4 &lt;= avalon_mm_rmap_i.writedata(0);</t>
  </si>
  <si>
    <t xml:space="preserve">      rmap_registers_wr_o.aeb_gen_cfg_adc1_config_2.cio3 &lt;= avalon_mm_rmap_i.writedata(0);</t>
  </si>
  <si>
    <t xml:space="preserve">      rmap_registers_wr_o.aeb_gen_cfg_adc1_config_2.cio2 &lt;= avalon_mm_rmap_i.writedata(0);</t>
  </si>
  <si>
    <t xml:space="preserve">      rmap_registers_wr_o.aeb_gen_cfg_adc1_config_2.cio1 &lt;= avalon_mm_rmap_i.writedata(0);</t>
  </si>
  <si>
    <t xml:space="preserve">      rmap_registers_wr_o.aeb_gen_cfg_adc1_config_2.cio0 &lt;= avalon_mm_rmap_i.writedata(0);</t>
  </si>
  <si>
    <t xml:space="preserve">      rmap_registers_wr_o.aeb_gen_cfg_adc1_config_3.dio7 &lt;= avalon_mm_rmap_i.writedata(0);</t>
  </si>
  <si>
    <t xml:space="preserve">      rmap_registers_wr_o.aeb_gen_cfg_adc1_config_3.dio6 &lt;= avalon_mm_rmap_i.writedata(0);</t>
  </si>
  <si>
    <t xml:space="preserve">      rmap_registers_wr_o.aeb_gen_cfg_adc1_config_3.dio5 &lt;= avalon_mm_rmap_i.writedata(0);</t>
  </si>
  <si>
    <t xml:space="preserve">      rmap_registers_wr_o.aeb_gen_cfg_adc1_config_3.dio4 &lt;= avalon_mm_rmap_i.writedata(0);</t>
  </si>
  <si>
    <t xml:space="preserve">      rmap_registers_wr_o.aeb_gen_cfg_adc1_config_3.dio3 &lt;= avalon_mm_rmap_i.writedata(0);</t>
  </si>
  <si>
    <t xml:space="preserve">      rmap_registers_wr_o.aeb_gen_cfg_adc1_config_3.dio2 &lt;= avalon_mm_rmap_i.writedata(0);</t>
  </si>
  <si>
    <t xml:space="preserve">      rmap_registers_wr_o.aeb_gen_cfg_adc1_config_3.dio1 &lt;= avalon_mm_rmap_i.writedata(0);</t>
  </si>
  <si>
    <t xml:space="preserve">      rmap_registers_wr_o.aeb_gen_cfg_adc1_config_3.dio0 &lt;= avalon_mm_rmap_i.writedata(0);</t>
  </si>
  <si>
    <t xml:space="preserve">      rmap_registers_wr_o.aeb_gen_cfg_adc1_config_3.reserved(7 downto 0) &lt;= avalon_mm_rmap_i.writedata(7 downto 0);</t>
  </si>
  <si>
    <t xml:space="preserve">      rmap_registers_wr_o.aeb_gen_cfg_adc1_config_3.reserved(15 downto 8) &lt;= avalon_mm_rmap_i.writedata(15 downto 8);</t>
  </si>
  <si>
    <t xml:space="preserve">      rmap_registers_wr_o.aeb_gen_cfg_adc1_config_3.reserved(23 downto 16) &lt;= avalon_mm_rmap_i.writedata(23 downto 16);</t>
  </si>
  <si>
    <t xml:space="preserve">      rmap_registers_wr_o.aeb_gen_cfg_adc2_config_1.reserved_0 &lt;= avalon_mm_rmap_i.writedata(0);</t>
  </si>
  <si>
    <t xml:space="preserve">      rmap_registers_wr_o.aeb_gen_cfg_adc2_config_1.spirst &lt;= avalon_mm_rmap_i.writedata(0);</t>
  </si>
  <si>
    <t xml:space="preserve">      rmap_registers_wr_o.aeb_gen_cfg_adc2_config_1.muxmod &lt;= avalon_mm_rmap_i.writedata(0);</t>
  </si>
  <si>
    <t xml:space="preserve">      rmap_registers_wr_o.aeb_gen_cfg_adc2_config_1.bypas &lt;= avalon_mm_rmap_i.writedata(0);</t>
  </si>
  <si>
    <t xml:space="preserve">      rmap_registers_wr_o.aeb_gen_cfg_adc2_config_1.clkenb &lt;= avalon_mm_rmap_i.writedata(0);</t>
  </si>
  <si>
    <t xml:space="preserve">      rmap_registers_wr_o.aeb_gen_cfg_adc2_config_1.chop &lt;= avalon_mm_rmap_i.writedata(0);</t>
  </si>
  <si>
    <t xml:space="preserve">      rmap_registers_wr_o.aeb_gen_cfg_adc2_config_1.stat &lt;= avalon_mm_rmap_i.writedata(0);</t>
  </si>
  <si>
    <t xml:space="preserve">      rmap_registers_wr_o.aeb_gen_cfg_adc2_config_1.reserved_1 &lt;= avalon_mm_rmap_i.writedata(0);</t>
  </si>
  <si>
    <t xml:space="preserve">      rmap_registers_wr_o.aeb_gen_cfg_adc2_config_1.idlmod &lt;= avalon_mm_rmap_i.writedata(0);</t>
  </si>
  <si>
    <t xml:space="preserve">      rmap_registers_wr_o.aeb_gen_cfg_adc2_config_1.dly &lt;= avalon_mm_rmap_i.writedata(2 downto 0);</t>
  </si>
  <si>
    <t xml:space="preserve">      rmap_registers_wr_o.aeb_gen_cfg_adc2_config_1.sbcs &lt;= avalon_mm_rmap_i.writedata(9 downto 8);</t>
  </si>
  <si>
    <t xml:space="preserve">      rmap_registers_wr_o.aeb_gen_cfg_adc2_config_1.drate &lt;= avalon_mm_rmap_i.writedata(17 downto 16);</t>
  </si>
  <si>
    <t xml:space="preserve">      rmap_registers_wr_o.aeb_gen_cfg_adc2_config_1.ainp &lt;= avalon_mm_rmap_i.writedata(27 downto 24);</t>
  </si>
  <si>
    <t xml:space="preserve">      rmap_registers_wr_o.aeb_gen_cfg_adc2_config_1.ainn &lt;= avalon_mm_rmap_i.writedata(3 downto 0);</t>
  </si>
  <si>
    <t xml:space="preserve">      rmap_registers_wr_o.aeb_gen_cfg_adc2_config_1.diff &lt;= avalon_mm_rmap_i.writedata(15 downto 8);</t>
  </si>
  <si>
    <t xml:space="preserve">      rmap_registers_wr_o.aeb_gen_cfg_adc2_config_2.ain7 &lt;= avalon_mm_rmap_i.writedata(0);</t>
  </si>
  <si>
    <t xml:space="preserve">      rmap_registers_wr_o.aeb_gen_cfg_adc2_config_2.ain6 &lt;= avalon_mm_rmap_i.writedata(0);</t>
  </si>
  <si>
    <t xml:space="preserve">      rmap_registers_wr_o.aeb_gen_cfg_adc2_config_2.ain5 &lt;= avalon_mm_rmap_i.writedata(0);</t>
  </si>
  <si>
    <t xml:space="preserve">      rmap_registers_wr_o.aeb_gen_cfg_adc2_config_2.ain4 &lt;= avalon_mm_rmap_i.writedata(0);</t>
  </si>
  <si>
    <t xml:space="preserve">      rmap_registers_wr_o.aeb_gen_cfg_adc2_config_2.ain3 &lt;= avalon_mm_rmap_i.writedata(0);</t>
  </si>
  <si>
    <t xml:space="preserve">      rmap_registers_wr_o.aeb_gen_cfg_adc2_config_2.ain2 &lt;= avalon_mm_rmap_i.writedata(0);</t>
  </si>
  <si>
    <t xml:space="preserve">      rmap_registers_wr_o.aeb_gen_cfg_adc2_config_2.ain1 &lt;= avalon_mm_rmap_i.writedata(0);</t>
  </si>
  <si>
    <t xml:space="preserve">      rmap_registers_wr_o.aeb_gen_cfg_adc2_config_2.ain0 &lt;= avalon_mm_rmap_i.writedata(0);</t>
  </si>
  <si>
    <t xml:space="preserve">      rmap_registers_wr_o.aeb_gen_cfg_adc2_config_2.ain15 &lt;= avalon_mm_rmap_i.writedata(0);</t>
  </si>
  <si>
    <t xml:space="preserve">      rmap_registers_wr_o.aeb_gen_cfg_adc2_config_2.ain14 &lt;= avalon_mm_rmap_i.writedata(0);</t>
  </si>
  <si>
    <t xml:space="preserve">      rmap_registers_wr_o.aeb_gen_cfg_adc2_config_2.ain13 &lt;= avalon_mm_rmap_i.writedata(0);</t>
  </si>
  <si>
    <t xml:space="preserve">      rmap_registers_wr_o.aeb_gen_cfg_adc2_config_2.ain12 &lt;= avalon_mm_rmap_i.writedata(0);</t>
  </si>
  <si>
    <t xml:space="preserve">      rmap_registers_wr_o.aeb_gen_cfg_adc2_config_2.ain11 &lt;= avalon_mm_rmap_i.writedata(0);</t>
  </si>
  <si>
    <t xml:space="preserve">      rmap_registers_wr_o.aeb_gen_cfg_adc2_config_2.ain10 &lt;= avalon_mm_rmap_i.writedata(0);</t>
  </si>
  <si>
    <t xml:space="preserve">      rmap_registers_wr_o.aeb_gen_cfg_adc2_config_2.ain9 &lt;= avalon_mm_rmap_i.writedata(0);</t>
  </si>
  <si>
    <t xml:space="preserve">      rmap_registers_wr_o.aeb_gen_cfg_adc2_config_2.ain8 &lt;= avalon_mm_rmap_i.writedata(0);</t>
  </si>
  <si>
    <t xml:space="preserve">      rmap_registers_wr_o.aeb_gen_cfg_adc2_config_2.reserved_0 &lt;= avalon_mm_rmap_i.writedata(1 downto 0);</t>
  </si>
  <si>
    <t xml:space="preserve">      rmap_registers_wr_o.aeb_gen_cfg_adc2_config_2.ref &lt;= avalon_mm_rmap_i.writedata(0);</t>
  </si>
  <si>
    <t xml:space="preserve">      rmap_registers_wr_o.aeb_gen_cfg_adc2_config_2.gain &lt;= avalon_mm_rmap_i.writedata(0);</t>
  </si>
  <si>
    <t xml:space="preserve">      rmap_registers_wr_o.aeb_gen_cfg_adc2_config_2.temp &lt;= avalon_mm_rmap_i.writedata(0);</t>
  </si>
  <si>
    <t xml:space="preserve">      rmap_registers_wr_o.aeb_gen_cfg_adc2_config_2.vcc &lt;= avalon_mm_rmap_i.writedata(0);</t>
  </si>
  <si>
    <t xml:space="preserve">      rmap_registers_wr_o.aeb_gen_cfg_adc2_config_2.reserved_1 &lt;= avalon_mm_rmap_i.writedata(0);</t>
  </si>
  <si>
    <t xml:space="preserve">      rmap_registers_wr_o.aeb_gen_cfg_adc2_config_2.offset &lt;= avalon_mm_rmap_i.writedata(0);</t>
  </si>
  <si>
    <t xml:space="preserve">      rmap_registers_wr_o.aeb_gen_cfg_adc2_config_2.cio7 &lt;= avalon_mm_rmap_i.writedata(0);</t>
  </si>
  <si>
    <t xml:space="preserve">      rmap_registers_wr_o.aeb_gen_cfg_adc2_config_2.cio6 &lt;= avalon_mm_rmap_i.writedata(0);</t>
  </si>
  <si>
    <t xml:space="preserve">      rmap_registers_wr_o.aeb_gen_cfg_adc2_config_2.cio5 &lt;= avalon_mm_rmap_i.writedata(0);</t>
  </si>
  <si>
    <t xml:space="preserve">      rmap_registers_wr_o.aeb_gen_cfg_adc2_config_2.cio4 &lt;= avalon_mm_rmap_i.writedata(0);</t>
  </si>
  <si>
    <t xml:space="preserve">      rmap_registers_wr_o.aeb_gen_cfg_adc2_config_2.cio3 &lt;= avalon_mm_rmap_i.writedata(0);</t>
  </si>
  <si>
    <t xml:space="preserve">      rmap_registers_wr_o.aeb_gen_cfg_adc2_config_2.cio2 &lt;= avalon_mm_rmap_i.writedata(0);</t>
  </si>
  <si>
    <t xml:space="preserve">      rmap_registers_wr_o.aeb_gen_cfg_adc2_config_2.cio1 &lt;= avalon_mm_rmap_i.writedata(0);</t>
  </si>
  <si>
    <t xml:space="preserve">      rmap_registers_wr_o.aeb_gen_cfg_adc2_config_2.cio0 &lt;= avalon_mm_rmap_i.writedata(0);</t>
  </si>
  <si>
    <t xml:space="preserve">      rmap_registers_wr_o.aeb_gen_cfg_adc2_config_3.dio7 &lt;= avalon_mm_rmap_i.writedata(0);</t>
  </si>
  <si>
    <t xml:space="preserve">      rmap_registers_wr_o.aeb_gen_cfg_adc2_config_3.dio6 &lt;= avalon_mm_rmap_i.writedata(0);</t>
  </si>
  <si>
    <t xml:space="preserve">      rmap_registers_wr_o.aeb_gen_cfg_adc2_config_3.dio5 &lt;= avalon_mm_rmap_i.writedata(0);</t>
  </si>
  <si>
    <t xml:space="preserve">      rmap_registers_wr_o.aeb_gen_cfg_adc2_config_3.dio4 &lt;= avalon_mm_rmap_i.writedata(0);</t>
  </si>
  <si>
    <t xml:space="preserve">      rmap_registers_wr_o.aeb_gen_cfg_adc2_config_3.dio3 &lt;= avalon_mm_rmap_i.writedata(0);</t>
  </si>
  <si>
    <t xml:space="preserve">      rmap_registers_wr_o.aeb_gen_cfg_adc2_config_3.dio2 &lt;= avalon_mm_rmap_i.writedata(0);</t>
  </si>
  <si>
    <t xml:space="preserve">      rmap_registers_wr_o.aeb_gen_cfg_adc2_config_3.dio1 &lt;= avalon_mm_rmap_i.writedata(0);</t>
  </si>
  <si>
    <t xml:space="preserve">      rmap_registers_wr_o.aeb_gen_cfg_adc2_config_3.dio0 &lt;= avalon_mm_rmap_i.writedata(0);</t>
  </si>
  <si>
    <t xml:space="preserve">      rmap_registers_wr_o.aeb_gen_cfg_adc2_config_3.reserved(7 downto 0) &lt;= avalon_mm_rmap_i.writedata(7 downto 0);</t>
  </si>
  <si>
    <t xml:space="preserve">      rmap_registers_wr_o.aeb_gen_cfg_adc2_config_3.reserved(15 downto 8) &lt;= avalon_mm_rmap_i.writedata(15 downto 8);</t>
  </si>
  <si>
    <t xml:space="preserve">      rmap_registers_wr_o.aeb_gen_cfg_adc2_config_3.reserved(23 downto 16) &lt;= avalon_mm_rmap_i.writedata(23 downto 16);</t>
  </si>
  <si>
    <t xml:space="preserve">      rmap_registers_wr_o.aeb_gen_cfg_reserved_118.reserved(7 downto 0) &lt;= avalon_mm_rmap_i.writedata(7 downto 0);</t>
  </si>
  <si>
    <t xml:space="preserve">      rmap_registers_wr_o.aeb_gen_cfg_reserved_118.reserved(15 downto 8) &lt;= avalon_mm_rmap_i.writedata(15 downto 8);</t>
  </si>
  <si>
    <t xml:space="preserve">      rmap_registers_wr_o.aeb_gen_cfg_reserved_118.reserved(23 downto 16) &lt;= avalon_mm_rmap_i.writedata(23 downto 16);</t>
  </si>
  <si>
    <t xml:space="preserve">      rmap_registers_wr_o.aeb_gen_cfg_reserved_118.reserved(31 downto 24) &lt;= avalon_mm_rmap_i.writedata(31 downto 24);</t>
  </si>
  <si>
    <t xml:space="preserve">      rmap_registers_wr_o.aeb_gen_cfg_reserved_11c.reserved(7 downto 0) &lt;= avalon_mm_rmap_i.writedata(7 downto 0);</t>
  </si>
  <si>
    <t xml:space="preserve">      rmap_registers_wr_o.aeb_gen_cfg_reserved_11c.reserved(15 downto 8) &lt;= avalon_mm_rmap_i.writedata(15 downto 8);</t>
  </si>
  <si>
    <t xml:space="preserve">      rmap_registers_wr_o.aeb_gen_cfg_reserved_11c.reserved(23 downto 16) &lt;= avalon_mm_rmap_i.writedata(23 downto 16);</t>
  </si>
  <si>
    <t xml:space="preserve">      rmap_registers_wr_o.aeb_gen_cfg_reserved_11c.reserved(31 downto 24) &lt;= avalon_mm_rmap_i.writedata(31 downto 24);</t>
  </si>
  <si>
    <t xml:space="preserve">      rmap_registers_wr_o.aeb_gen_cfg_seq_config_1.reserved_0 &lt;= avalon_mm_rmap_i.writedata(1 downto 0);</t>
  </si>
  <si>
    <t xml:space="preserve">      rmap_registers_wr_o.aeb_gen_cfg_seq_config_1.seq_oe_ccd_enable &lt;= avalon_mm_rmap_i.writedata(0);</t>
  </si>
  <si>
    <t xml:space="preserve">      rmap_registers_wr_o.aeb_gen_cfg_seq_config_1.seq_oe_spare &lt;= avalon_mm_rmap_i.writedata(0);</t>
  </si>
  <si>
    <t xml:space="preserve">      rmap_registers_wr_o.aeb_gen_cfg_seq_config_1.seq_oe_tstline &lt;= avalon_mm_rmap_i.writedata(0);</t>
  </si>
  <si>
    <t xml:space="preserve">      rmap_registers_wr_o.aeb_gen_cfg_seq_config_1.seq_oe_tstfrm &lt;= avalon_mm_rmap_i.writedata(0);</t>
  </si>
  <si>
    <t xml:space="preserve">      rmap_registers_wr_o.aeb_gen_cfg_seq_config_1.seq_oe_vaspclamp &lt;= avalon_mm_rmap_i.writedata(0);</t>
  </si>
  <si>
    <t xml:space="preserve">      rmap_registers_wr_o.aeb_gen_cfg_seq_config_1.seq_oe_preclamp &lt;= avalon_mm_rmap_i.writedata(0);</t>
  </si>
  <si>
    <t xml:space="preserve">      rmap_registers_wr_o.aeb_gen_cfg_seq_config_1.seq_oe_ig &lt;= avalon_mm_rmap_i.writedata(0);</t>
  </si>
  <si>
    <t xml:space="preserve">      rmap_registers_wr_o.aeb_gen_cfg_seq_config_1.seq_oe_tg &lt;= avalon_mm_rmap_i.writedata(0);</t>
  </si>
  <si>
    <t xml:space="preserve">      rmap_registers_wr_o.aeb_gen_cfg_seq_config_1.seq_oe_dg &lt;= avalon_mm_rmap_i.writedata(0);</t>
  </si>
  <si>
    <t xml:space="preserve">      rmap_registers_wr_o.aeb_gen_cfg_seq_config_1.seq_oe_rphir &lt;= avalon_mm_rmap_i.writedata(0);</t>
  </si>
  <si>
    <t xml:space="preserve">      rmap_registers_wr_o.aeb_gen_cfg_seq_config_1.seq_oe_sw &lt;= avalon_mm_rmap_i.writedata(0);</t>
  </si>
  <si>
    <t xml:space="preserve">      rmap_registers_wr_o.aeb_gen_cfg_seq_config_1.seq_oe_rphi3 &lt;= avalon_mm_rmap_i.writedata(0);</t>
  </si>
  <si>
    <t xml:space="preserve">      rmap_registers_wr_o.aeb_gen_cfg_seq_config_1.seq_oe_rphi2 &lt;= avalon_mm_rmap_i.writedata(0);</t>
  </si>
  <si>
    <t xml:space="preserve">      rmap_registers_wr_o.aeb_gen_cfg_seq_config_1.seq_oe_rphi1 &lt;= avalon_mm_rmap_i.writedata(0);</t>
  </si>
  <si>
    <t xml:space="preserve">      rmap_registers_wr_o.aeb_gen_cfg_seq_config_1.seq_oe_sphi4 &lt;= avalon_mm_rmap_i.writedata(0);</t>
  </si>
  <si>
    <t xml:space="preserve">      rmap_registers_wr_o.aeb_gen_cfg_seq_config_1.seq_oe_sphi3 &lt;= avalon_mm_rmap_i.writedata(0);</t>
  </si>
  <si>
    <t xml:space="preserve">      rmap_registers_wr_o.aeb_gen_cfg_seq_config_1.seq_oe_sphi2 &lt;= avalon_mm_rmap_i.writedata(0);</t>
  </si>
  <si>
    <t xml:space="preserve">      rmap_registers_wr_o.aeb_gen_cfg_seq_config_1.seq_oe_sphi1 &lt;= avalon_mm_rmap_i.writedata(0);</t>
  </si>
  <si>
    <t xml:space="preserve">      rmap_registers_wr_o.aeb_gen_cfg_seq_config_1.seq_oe_iphi4 &lt;= avalon_mm_rmap_i.writedata(0);</t>
  </si>
  <si>
    <t xml:space="preserve">      rmap_registers_wr_o.aeb_gen_cfg_seq_config_1.seq_oe_iphi3 &lt;= avalon_mm_rmap_i.writedata(0);</t>
  </si>
  <si>
    <t xml:space="preserve">      rmap_registers_wr_o.aeb_gen_cfg_seq_config_1.seq_oe_iphi2 &lt;= avalon_mm_rmap_i.writedata(0);</t>
  </si>
  <si>
    <t xml:space="preserve">      rmap_registers_wr_o.aeb_gen_cfg_seq_config_1.seq_oe_iphi1 &lt;= avalon_mm_rmap_i.writedata(0);</t>
  </si>
  <si>
    <t xml:space="preserve">      rmap_registers_wr_o.aeb_gen_cfg_seq_config_1.reserved_1 &lt;= avalon_mm_rmap_i.writedata(0);</t>
  </si>
  <si>
    <t xml:space="preserve">      rmap_registers_wr_o.aeb_gen_cfg_seq_config_1.adc_clk_div &lt;= avalon_mm_rmap_i.writedata(6 downto 0);</t>
  </si>
  <si>
    <t xml:space="preserve">      rmap_registers_wr_o.aeb_gen_cfg_seq_config_2.adc_clk_low_pos &lt;= avalon_mm_rmap_i.writedata(15 downto 8);</t>
  </si>
  <si>
    <t xml:space="preserve">      rmap_registers_wr_o.aeb_gen_cfg_seq_config_2.adc_clk_high_pos &lt;= avalon_mm_rmap_i.writedata(23 downto 16);</t>
  </si>
  <si>
    <t xml:space="preserve">      rmap_registers_wr_o.aeb_gen_cfg_seq_config_2.cds_clk_low_pos &lt;= avalon_mm_rmap_i.writedata(31 downto 24);</t>
  </si>
  <si>
    <t xml:space="preserve">      rmap_registers_wr_o.aeb_gen_cfg_seq_config_2.cds_clk_high_pos &lt;= avalon_mm_rmap_i.writedata(7 downto 0);</t>
  </si>
  <si>
    <t xml:space="preserve">      rmap_registers_wr_o.aeb_gen_cfg_seq_config_3.rphir_clk_low_pos &lt;= avalon_mm_rmap_i.writedata(15 downto 8);</t>
  </si>
  <si>
    <t xml:space="preserve">      rmap_registers_wr_o.aeb_gen_cfg_seq_config_3.rphir_clk_high_pos &lt;= avalon_mm_rmap_i.writedata(23 downto 16);</t>
  </si>
  <si>
    <t xml:space="preserve">      rmap_registers_wr_o.aeb_gen_cfg_seq_config_3.rphi1_clk_low_pos &lt;= avalon_mm_rmap_i.writedata(31 downto 24);</t>
  </si>
  <si>
    <t xml:space="preserve">      rmap_registers_wr_o.aeb_gen_cfg_seq_config_3.rphi1_clk_high_pos &lt;= avalon_mm_rmap_i.writedata(7 downto 0);</t>
  </si>
  <si>
    <t xml:space="preserve">      rmap_registers_wr_o.aeb_gen_cfg_seq_config_4.rphi2_clk_low_pos &lt;= avalon_mm_rmap_i.writedata(15 downto 8);</t>
  </si>
  <si>
    <t xml:space="preserve">      rmap_registers_wr_o.aeb_gen_cfg_seq_config_4.rphi2_clk_high_pos &lt;= avalon_mm_rmap_i.writedata(23 downto 16);</t>
  </si>
  <si>
    <t xml:space="preserve">      rmap_registers_wr_o.aeb_gen_cfg_seq_config_4.rphi3_clk_low_pos &lt;= avalon_mm_rmap_i.writedata(31 downto 24);</t>
  </si>
  <si>
    <t xml:space="preserve">      rmap_registers_wr_o.aeb_gen_cfg_seq_config_4.rphi3_clk_high_pos &lt;= avalon_mm_rmap_i.writedata(7 downto 0);</t>
  </si>
  <si>
    <t xml:space="preserve">      rmap_registers_wr_o.aeb_gen_cfg_seq_config_5.sw_clk_low_pos &lt;= avalon_mm_rmap_i.writedata(15 downto 8);</t>
  </si>
  <si>
    <t xml:space="preserve">      rmap_registers_wr_o.aeb_gen_cfg_seq_config_5.sw_clk_high_pos &lt;= avalon_mm_rmap_i.writedata(23 downto 16);</t>
  </si>
  <si>
    <t xml:space="preserve">      rmap_registers_wr_o.aeb_gen_cfg_seq_config_5.vasp_out_ctrl &lt;= avalon_mm_rmap_i.writedata(0);</t>
  </si>
  <si>
    <t xml:space="preserve">      rmap_registers_wr_o.aeb_gen_cfg_seq_config_5.reserved &lt;= avalon_mm_rmap_i.writedata(0);</t>
  </si>
  <si>
    <t xml:space="preserve">      rmap_registers_wr_o.aeb_gen_cfg_seq_config_5.vasp_out_en_pos(7 downto 0) &lt;= avalon_mm_rmap_i.writedata(7 downto 0);</t>
  </si>
  <si>
    <t xml:space="preserve">      rmap_registers_wr_o.aeb_gen_cfg_seq_config_5.vasp_out_en_pos(13 downto 8) &lt;= avalon_mm_rmap_i.writedata(13 downto 8);</t>
  </si>
  <si>
    <t xml:space="preserve">      rmap_registers_wr_o.aeb_gen_cfg_seq_config_6.vasp_out_ctrl_inv &lt;= avalon_mm_rmap_i.writedata(0);</t>
  </si>
  <si>
    <t xml:space="preserve">      rmap_registers_wr_o.aeb_gen_cfg_seq_config_6.reserved_0 &lt;= avalon_mm_rmap_i.writedata(0);</t>
  </si>
  <si>
    <t xml:space="preserve">      rmap_registers_wr_o.aeb_gen_cfg_seq_config_6.vasp_out_dis_pos(7 downto 0) &lt;= avalon_mm_rmap_i.writedata(7 downto 0);</t>
  </si>
  <si>
    <t xml:space="preserve">      rmap_registers_wr_o.aeb_gen_cfg_seq_config_6.vasp_out_dis_pos(13 downto 8) &lt;= avalon_mm_rmap_i.writedata(13 downto 8);</t>
  </si>
  <si>
    <t xml:space="preserve">      rmap_registers_wr_o.aeb_gen_cfg_seq_config_6.reserved_1(7 downto 0) &lt;= avalon_mm_rmap_i.writedata(23 downto 16);</t>
  </si>
  <si>
    <t xml:space="preserve">      rmap_registers_wr_o.aeb_gen_cfg_seq_config_6.reserved_1(15 downto 8) &lt;= avalon_mm_rmap_i.writedata(31 downto 24);</t>
  </si>
  <si>
    <t xml:space="preserve">      rmap_registers_wr_o.aeb_gen_cfg_seq_config_7.reserved(7 downto 0) &lt;= avalon_mm_rmap_i.writedata(7 downto 0);</t>
  </si>
  <si>
    <t xml:space="preserve">      rmap_registers_wr_o.aeb_gen_cfg_seq_config_7.reserved(15 downto 8) &lt;= avalon_mm_rmap_i.writedata(15 downto 8);</t>
  </si>
  <si>
    <t xml:space="preserve">      rmap_registers_wr_o.aeb_gen_cfg_seq_config_7.reserved(23 downto 16) &lt;= avalon_mm_rmap_i.writedata(23 downto 16);</t>
  </si>
  <si>
    <t xml:space="preserve">      rmap_registers_wr_o.aeb_gen_cfg_seq_config_7.reserved(31 downto 24) &lt;= avalon_mm_rmap_i.writedata(31 downto 24);</t>
  </si>
  <si>
    <t xml:space="preserve">      rmap_registers_wr_o.aeb_gen_cfg_seq_config_8.reserved(7 downto 0) &lt;= avalon_mm_rmap_i.writedata(7 downto 0);</t>
  </si>
  <si>
    <t xml:space="preserve">      rmap_registers_wr_o.aeb_gen_cfg_seq_config_8.reserved(15 downto 8) &lt;= avalon_mm_rmap_i.writedata(15 downto 8);</t>
  </si>
  <si>
    <t xml:space="preserve">      rmap_registers_wr_o.aeb_gen_cfg_seq_config_8.reserved(23 downto 16) &lt;= avalon_mm_rmap_i.writedata(23 downto 16);</t>
  </si>
  <si>
    <t xml:space="preserve">      rmap_registers_wr_o.aeb_gen_cfg_seq_config_8.reserved(31 downto 24) &lt;= avalon_mm_rmap_i.writedata(31 downto 24);</t>
  </si>
  <si>
    <t xml:space="preserve">      rmap_registers_wr_o.aeb_gen_cfg_seq_config_9.reserved_0 &lt;= avalon_mm_rmap_i.writedata(1 downto 0);</t>
  </si>
  <si>
    <t xml:space="preserve">      rmap_registers_wr_o.aeb_gen_cfg_seq_config_9.ft_loop_cnt(7 downto 0) &lt;= avalon_mm_rmap_i.writedata(23 downto 16);</t>
  </si>
  <si>
    <t xml:space="preserve">      rmap_registers_wr_o.aeb_gen_cfg_seq_config_9.ft_loop_cnt(13 downto 8) &lt;= avalon_mm_rmap_i.writedata(29 downto 24);</t>
  </si>
  <si>
    <t xml:space="preserve">      rmap_registers_wr_o.aeb_gen_cfg_seq_config_9.lt0_enabled &lt;= avalon_mm_rmap_i.writedata(0);</t>
  </si>
  <si>
    <t xml:space="preserve">      rmap_registers_wr_o.aeb_gen_cfg_seq_config_9.reserved_1 &lt;= avalon_mm_rmap_i.writedata(0);</t>
  </si>
  <si>
    <t xml:space="preserve">      rmap_registers_wr_o.aeb_gen_cfg_seq_config_9.lt0_loop_cnt(7 downto 0) &lt;= avalon_mm_rmap_i.writedata(7 downto 0);</t>
  </si>
  <si>
    <t xml:space="preserve">      rmap_registers_wr_o.aeb_gen_cfg_seq_config_9.lt0_loop_cnt(13 downto 8) &lt;= avalon_mm_rmap_i.writedata(13 downto 8);</t>
  </si>
  <si>
    <t xml:space="preserve">      rmap_registers_wr_o.aeb_gen_cfg_seq_config_10.lt1_enabled &lt;= avalon_mm_rmap_i.writedata(0);</t>
  </si>
  <si>
    <t xml:space="preserve">      rmap_registers_wr_o.aeb_gen_cfg_seq_config_10.reserved_0 &lt;= avalon_mm_rmap_i.writedata(0);</t>
  </si>
  <si>
    <t xml:space="preserve">      rmap_registers_wr_o.aeb_gen_cfg_seq_config_10.lt1_loop_cnt(7 downto 0) &lt;= avalon_mm_rmap_i.writedata(7 downto 0);</t>
  </si>
  <si>
    <t xml:space="preserve">      rmap_registers_wr_o.aeb_gen_cfg_seq_config_10.lt1_loop_cnt(13 downto 8) &lt;= avalon_mm_rmap_i.writedata(13 downto 8);</t>
  </si>
  <si>
    <t xml:space="preserve">      rmap_registers_wr_o.aeb_gen_cfg_seq_config_10.lt2_enabled &lt;= avalon_mm_rmap_i.writedata(0);</t>
  </si>
  <si>
    <t xml:space="preserve">      rmap_registers_wr_o.aeb_gen_cfg_seq_config_10.reserved_1 &lt;= avalon_mm_rmap_i.writedata(0);</t>
  </si>
  <si>
    <t xml:space="preserve">      rmap_registers_wr_o.aeb_gen_cfg_seq_config_10.lt2_loop_cnt(7 downto 0) &lt;= avalon_mm_rmap_i.writedata(7 downto 0);</t>
  </si>
  <si>
    <t xml:space="preserve">      rmap_registers_wr_o.aeb_gen_cfg_seq_config_10.lt2_loop_cnt(13 downto 8) &lt;= avalon_mm_rmap_i.writedata(13 downto 8);</t>
  </si>
  <si>
    <t xml:space="preserve">      rmap_registers_wr_o.aeb_gen_cfg_seq_config_11.lt3_enabled &lt;= avalon_mm_rmap_i.writedata(0);</t>
  </si>
  <si>
    <t xml:space="preserve">      rmap_registers_wr_o.aeb_gen_cfg_seq_config_11.reserved &lt;= avalon_mm_rmap_i.writedata(0);</t>
  </si>
  <si>
    <t xml:space="preserve">      rmap_registers_wr_o.aeb_gen_cfg_seq_config_11.lt3_loop_cnt(7 downto 0) &lt;= avalon_mm_rmap_i.writedata(7 downto 0);</t>
  </si>
  <si>
    <t xml:space="preserve">      rmap_registers_wr_o.aeb_gen_cfg_seq_config_11.lt3_loop_cnt(13 downto 8) &lt;= avalon_mm_rmap_i.writedata(13 downto 8);</t>
  </si>
  <si>
    <t xml:space="preserve">      rmap_registers_wr_o.aeb_gen_cfg_seq_config_11.pix_loop_cnt_word_1(7 downto 0) &lt;= avalon_mm_rmap_i.writedata(23 downto 16);</t>
  </si>
  <si>
    <t xml:space="preserve">      rmap_registers_wr_o.aeb_gen_cfg_seq_config_11.pix_loop_cnt_word_1(15 downto 8) &lt;= avalon_mm_rmap_i.writedata(31 downto 24);</t>
  </si>
  <si>
    <t xml:space="preserve">      rmap_registers_wr_o.aeb_gen_cfg_seq_config_12.pix_loop_cnt_word_0(7 downto 0) &lt;= avalon_mm_rmap_i.writedata(7 downto 0);</t>
  </si>
  <si>
    <t xml:space="preserve">      rmap_registers_wr_o.aeb_gen_cfg_seq_config_12.pix_loop_cnt_word_0(15 downto 8) &lt;= avalon_mm_rmap_i.writedata(15 downto 8);</t>
  </si>
  <si>
    <t xml:space="preserve">      rmap_registers_wr_o.aeb_gen_cfg_seq_config_12.pc_enabled &lt;= avalon_mm_rmap_i.writedata(0);</t>
  </si>
  <si>
    <t xml:space="preserve">      rmap_registers_wr_o.aeb_gen_cfg_seq_config_12.reserved &lt;= avalon_mm_rmap_i.writedata(0);</t>
  </si>
  <si>
    <t xml:space="preserve">      rmap_registers_wr_o.aeb_gen_cfg_seq_config_12.pc_loop_cnt(7 downto 0) &lt;= avalon_mm_rmap_i.writedata(7 downto 0);</t>
  </si>
  <si>
    <t xml:space="preserve">      rmap_registers_wr_o.aeb_gen_cfg_seq_config_12.pc_loop_cnt(13 downto 8) &lt;= avalon_mm_rmap_i.writedata(13 downto 8);</t>
  </si>
  <si>
    <t xml:space="preserve">      rmap_registers_wr_o.aeb_gen_cfg_seq_config_13.reserved_0 &lt;= avalon_mm_rmap_i.writedata(17 downto 16);</t>
  </si>
  <si>
    <t xml:space="preserve">      rmap_registers_wr_o.aeb_gen_cfg_seq_config_13.int1_loop_cnt(7 downto 0) &lt;= avalon_mm_rmap_i.writedata(7 downto 0);</t>
  </si>
  <si>
    <t xml:space="preserve">      rmap_registers_wr_o.aeb_gen_cfg_seq_config_13.int1_loop_cnt(13 downto 8) &lt;= avalon_mm_rmap_i.writedata(13 downto 8);</t>
  </si>
  <si>
    <t xml:space="preserve">      rmap_registers_wr_o.aeb_gen_cfg_seq_config_13.reserved_1 &lt;= avalon_mm_rmap_i.writedata(17 downto 16);</t>
  </si>
  <si>
    <t xml:space="preserve">      rmap_registers_wr_o.aeb_gen_cfg_seq_config_13.int2_loop_cnt(7 downto 0) &lt;= avalon_mm_rmap_i.writedata(7 downto 0);</t>
  </si>
  <si>
    <t xml:space="preserve">      rmap_registers_wr_o.aeb_gen_cfg_seq_config_13.int2_loop_cnt(13 downto 8) &lt;= avalon_mm_rmap_i.writedata(13 downto 8);</t>
  </si>
  <si>
    <t xml:space="preserve">      rmap_registers_wr_o.aeb_gen_cfg_seq_config_14.reserved_0 &lt;= avalon_mm_rmap_i.writedata(22 downto 16);</t>
  </si>
  <si>
    <t xml:space="preserve">      rmap_registers_wr_o.aeb_gen_cfg_seq_config_14.sphi_inv &lt;= avalon_mm_rmap_i.writedata(0);</t>
  </si>
  <si>
    <t xml:space="preserve">      rmap_registers_wr_o.aeb_gen_cfg_seq_config_14.reserved_1 &lt;= avalon_mm_rmap_i.writedata(6 downto 0);</t>
  </si>
  <si>
    <t xml:space="preserve">      rmap_registers_wr_o.aeb_gen_cfg_seq_config_14.rphi_inv &lt;= avalon_mm_rmap_i.writedata(0);</t>
  </si>
  <si>
    <t xml:space="preserve">      rmap_registers_wr_o.aeb_gen_cfg_seq_config_14.reserved_2(7 downto 0) &lt;= avalon_mm_rmap_i.writedata(7 downto 0);</t>
  </si>
  <si>
    <t xml:space="preserve">      rmap_registers_wr_o.aeb_gen_cfg_seq_config_14.reserved_2(15 downto 8) &lt;= avalon_mm_rmap_i.writedata(15 downto 8);</t>
  </si>
  <si>
    <t xml:space="preserve">      rmap_registers_wr_o.aeb_gen_cfg_reserved_158.reserved(7 downto 0) &lt;= avalon_mm_rmap_i.writedata(7 downto 0);</t>
  </si>
  <si>
    <t xml:space="preserve">      rmap_registers_wr_o.aeb_gen_cfg_reserved_158.reserved(15 downto 8) &lt;= avalon_mm_rmap_i.writedata(15 downto 8);</t>
  </si>
  <si>
    <t xml:space="preserve">      rmap_registers_wr_o.aeb_gen_cfg_reserved_158.reserved(23 downto 16) &lt;= avalon_mm_rmap_i.writedata(23 downto 16);</t>
  </si>
  <si>
    <t xml:space="preserve">      rmap_registers_wr_o.aeb_gen_cfg_reserved_158.reserved(31 downto 24) &lt;= avalon_mm_rmap_i.writedata(31 downto 24);</t>
  </si>
  <si>
    <t xml:space="preserve">      rmap_registers_wr_o.aeb_gen_cfg_reserved_15c.reserved(7 downto 0) &lt;= avalon_mm_rmap_i.writedata(7 downto 0);</t>
  </si>
  <si>
    <t xml:space="preserve">      rmap_registers_wr_o.aeb_gen_cfg_reserved_15c.reserved(15 downto 8) &lt;= avalon_mm_rmap_i.writedata(15 downto 8);</t>
  </si>
  <si>
    <t xml:space="preserve">      rmap_registers_wr_o.aeb_gen_cfg_reserved_15c.reserved(23 downto 16) &lt;= avalon_mm_rmap_i.writedata(23 downto 16);</t>
  </si>
  <si>
    <t xml:space="preserve">      rmap_registers_wr_o.aeb_gen_cfg_reserved_15c.reserved(31 downto 24) &lt;= avalon_mm_rmap_i.writedata(31 downto 24);</t>
  </si>
  <si>
    <t xml:space="preserve">      rmap_registers_wr_o.aeb_gen_cfg_reserved_160.reserved(7 downto 0) &lt;= avalon_mm_rmap_i.writedata(7 downto 0);</t>
  </si>
  <si>
    <t xml:space="preserve">      rmap_registers_wr_o.aeb_gen_cfg_reserved_160.reserved(15 downto 8) &lt;= avalon_mm_rmap_i.writedata(15 downto 8);</t>
  </si>
  <si>
    <t xml:space="preserve">      rmap_registers_wr_o.aeb_gen_cfg_reserved_160.reserved(23 downto 16) &lt;= avalon_mm_rmap_i.writedata(23 downto 16);</t>
  </si>
  <si>
    <t xml:space="preserve">      rmap_registers_wr_o.aeb_gen_cfg_reserved_160.reserved(31 downto 24) &lt;= avalon_mm_rmap_i.writedata(31 downto 24);</t>
  </si>
  <si>
    <t xml:space="preserve">      rmap_registers_wr_o.aeb_gen_cfg_reserved_164.reserved(7 downto 0) &lt;= avalon_mm_rmap_i.writedata(7 downto 0);</t>
  </si>
  <si>
    <t xml:space="preserve">      rmap_registers_wr_o.aeb_gen_cfg_reserved_164.reserved(15 downto 8) &lt;= avalon_mm_rmap_i.writedata(15 downto 8);</t>
  </si>
  <si>
    <t xml:space="preserve">      rmap_registers_wr_o.aeb_gen_cfg_reserved_164.reserved(23 downto 16) &lt;= avalon_mm_rmap_i.writedata(23 downto 16);</t>
  </si>
  <si>
    <t xml:space="preserve">      rmap_registers_wr_o.aeb_gen_cfg_reserved_164.reserved(31 downto 24) &lt;= avalon_mm_rmap_i.writedata(31 downto 24);</t>
  </si>
  <si>
    <t xml:space="preserve">      rmap_registers_wr_o.aeb_gen_cfg_reserved_168.reserved(7 downto 0) &lt;= avalon_mm_rmap_i.writedata(7 downto 0);</t>
  </si>
  <si>
    <t xml:space="preserve">      rmap_registers_wr_o.aeb_gen_cfg_reserved_168.reserved(15 downto 8) &lt;= avalon_mm_rmap_i.writedata(15 downto 8);</t>
  </si>
  <si>
    <t xml:space="preserve">      rmap_registers_wr_o.aeb_gen_cfg_reserved_168.reserved(23 downto 16) &lt;= avalon_mm_rmap_i.writedata(23 downto 16);</t>
  </si>
  <si>
    <t xml:space="preserve">      rmap_registers_wr_o.aeb_gen_cfg_reserved_168.reserved(31 downto 24) &lt;= avalon_mm_rmap_i.writedata(31 downto 24);</t>
  </si>
  <si>
    <t xml:space="preserve">      rmap_registers_wr_o.aeb_gen_cfg_reserved_16c.reserved(7 downto 0) &lt;= avalon_mm_rmap_i.writedata(7 downto 0);</t>
  </si>
  <si>
    <t xml:space="preserve">      rmap_registers_wr_o.aeb_gen_cfg_reserved_16c.reserved(15 downto 8) &lt;= avalon_mm_rmap_i.writedata(15 downto 8);</t>
  </si>
  <si>
    <t xml:space="preserve">      rmap_registers_wr_o.aeb_gen_cfg_reserved_16c.reserved(23 downto 16) &lt;= avalon_mm_rmap_i.writedata(23 downto 16);</t>
  </si>
  <si>
    <t xml:space="preserve">      rmap_registers_wr_o.aeb_gen_cfg_reserved_16c.reserved(31 downto 24) &lt;= avalon_mm_rmap_i.writedata(31 downto 24);</t>
  </si>
  <si>
    <t xml:space="preserve">      rmap_registers_wr_o.aeb_gen_cfg_reserved_170.reserved(7 downto 0) &lt;= avalon_mm_rmap_i.writedata(7 downto 0);</t>
  </si>
  <si>
    <t xml:space="preserve">      rmap_registers_wr_o.aeb_gen_cfg_reserved_170.reserved(15 downto 8) &lt;= avalon_mm_rmap_i.writedata(15 downto 8);</t>
  </si>
  <si>
    <t xml:space="preserve">      rmap_registers_wr_o.aeb_gen_cfg_reserved_170.reserved(23 downto 16) &lt;= avalon_mm_rmap_i.writedata(23 downto 16);</t>
  </si>
  <si>
    <t xml:space="preserve">      rmap_registers_wr_o.aeb_gen_cfg_reserved_170.reserved(31 downto 24) &lt;= avalon_mm_rmap_i.writedata(31 downto 24);</t>
  </si>
  <si>
    <t xml:space="preserve">      rmap_registers_wr_o.aeb_gen_cfg_reserved_174.reserved(7 downto 0) &lt;= avalon_mm_rmap_i.writedata(7 downto 0);</t>
  </si>
  <si>
    <t xml:space="preserve">      rmap_registers_wr_o.aeb_gen_cfg_reserved_174.reserved(15 downto 8) &lt;= avalon_mm_rmap_i.writedata(15 downto 8);</t>
  </si>
  <si>
    <t xml:space="preserve">      rmap_registers_wr_o.aeb_gen_cfg_reserved_174.reserved(23 downto 16) &lt;= avalon_mm_rmap_i.writedata(23 downto 16);</t>
  </si>
  <si>
    <t xml:space="preserve">      rmap_registers_wr_o.aeb_gen_cfg_reserved_174.reserved(31 downto 24) &lt;= avalon_mm_rmap_i.writedata(31 downto 24);</t>
  </si>
  <si>
    <t xml:space="preserve">      rmap_registers_wr_o.aeb_gen_cfg_reserved_178.reserved(7 downto 0) &lt;= avalon_mm_rmap_i.writedata(7 downto 0);</t>
  </si>
  <si>
    <t xml:space="preserve">      rmap_registers_wr_o.aeb_gen_cfg_reserved_178.reserved(15 downto 8) &lt;= avalon_mm_rmap_i.writedata(15 downto 8);</t>
  </si>
  <si>
    <t xml:space="preserve">      rmap_registers_wr_o.aeb_gen_cfg_reserved_178.reserved(23 downto 16) &lt;= avalon_mm_rmap_i.writedata(23 downto 16);</t>
  </si>
  <si>
    <t xml:space="preserve">      rmap_registers_wr_o.aeb_gen_cfg_reserved_178.reserved(31 downto 24) &lt;= avalon_mm_rmap_i.writedata(31 downto 24);</t>
  </si>
  <si>
    <t xml:space="preserve">      rmap_registers_wr_o.aeb_gen_cfg_reserved_17c.reserved(7 downto 0) &lt;= avalon_mm_rmap_i.writedata(7 downto 0);</t>
  </si>
  <si>
    <t xml:space="preserve">      rmap_registers_wr_o.aeb_gen_cfg_reserved_17c.reserved(15 downto 8) &lt;= avalon_mm_rmap_i.writedata(15 downto 8);</t>
  </si>
  <si>
    <t xml:space="preserve">      rmap_registers_wr_o.aeb_gen_cfg_reserved_17c.reserved(23 downto 16) &lt;= avalon_mm_rmap_i.writedata(23 downto 16);</t>
  </si>
  <si>
    <t xml:space="preserve">      rmap_registers_wr_o.aeb_gen_cfg_reserved_17c.reserved(31 downto 24) &lt;= avalon_mm_rmap_i.writedata(31 downto 24);</t>
  </si>
  <si>
    <t xml:space="preserve">      rmap_registers_wr_o.aeb_gen_cfg_reserved_180.reserved(7 downto 0) &lt;= avalon_mm_rmap_i.writedata(7 downto 0);</t>
  </si>
  <si>
    <t xml:space="preserve">      rmap_registers_wr_o.aeb_gen_cfg_reserved_180.reserved(15 downto 8) &lt;= avalon_mm_rmap_i.writedata(15 downto 8);</t>
  </si>
  <si>
    <t xml:space="preserve">      rmap_registers_wr_o.aeb_gen_cfg_reserved_180.reserved(23 downto 16) &lt;= avalon_mm_rmap_i.writedata(23 downto 16);</t>
  </si>
  <si>
    <t xml:space="preserve">      rmap_registers_wr_o.aeb_gen_cfg_reserved_180.reserved(31 downto 24) &lt;= avalon_mm_rmap_i.writedata(31 downto 24);</t>
  </si>
  <si>
    <t xml:space="preserve">      rmap_registers_wr_o.aeb_gen_cfg_reserved_184.reserved(7 downto 0) &lt;= avalon_mm_rmap_i.writedata(7 downto 0);</t>
  </si>
  <si>
    <t xml:space="preserve">      rmap_registers_wr_o.aeb_gen_cfg_reserved_184.reserved(15 downto 8) &lt;= avalon_mm_rmap_i.writedata(15 downto 8);</t>
  </si>
  <si>
    <t xml:space="preserve">      rmap_registers_wr_o.aeb_gen_cfg_reserved_184.reserved(23 downto 16) &lt;= avalon_mm_rmap_i.writedata(23 downto 16);</t>
  </si>
  <si>
    <t xml:space="preserve">      rmap_registers_wr_o.aeb_gen_cfg_reserved_184.reserved(31 downto 24) &lt;= avalon_mm_rmap_i.writedata(31 downto 24);</t>
  </si>
  <si>
    <t xml:space="preserve">      rmap_registers_wr_o.aeb_gen_cfg_reserved_188.reserved(7 downto 0) &lt;= avalon_mm_rmap_i.writedata(7 downto 0);</t>
  </si>
  <si>
    <t xml:space="preserve">      rmap_registers_wr_o.aeb_gen_cfg_reserved_188.reserved(15 downto 8) &lt;= avalon_mm_rmap_i.writedata(15 downto 8);</t>
  </si>
  <si>
    <t xml:space="preserve">      rmap_registers_wr_o.aeb_gen_cfg_reserved_188.reserved(23 downto 16) &lt;= avalon_mm_rmap_i.writedata(23 downto 16);</t>
  </si>
  <si>
    <t xml:space="preserve">      rmap_registers_wr_o.aeb_gen_cfg_reserved_188.reserved(31 downto 24) &lt;= avalon_mm_rmap_i.writedata(31 downto 24);</t>
  </si>
  <si>
    <t xml:space="preserve">      rmap_registers_wr_o.aeb_gen_cfg_reserved_18c.reserved(7 downto 0) &lt;= avalon_mm_rmap_i.writedata(7 downto 0);</t>
  </si>
  <si>
    <t xml:space="preserve">      rmap_registers_wr_o.aeb_gen_cfg_reserved_18c.reserved(15 downto 8) &lt;= avalon_mm_rmap_i.writedata(15 downto 8);</t>
  </si>
  <si>
    <t xml:space="preserve">      rmap_registers_wr_o.aeb_gen_cfg_reserved_18c.reserved(23 downto 16) &lt;= avalon_mm_rmap_i.writedata(23 downto 16);</t>
  </si>
  <si>
    <t xml:space="preserve">      rmap_registers_wr_o.aeb_gen_cfg_reserved_18c.reserved(31 downto 24) &lt;= avalon_mm_rmap_i.writedata(31 downto 24);</t>
  </si>
  <si>
    <t xml:space="preserve">      rmap_registers_wr_o.aeb_gen_cfg_reserved_190.reserved(7 downto 0) &lt;= avalon_mm_rmap_i.writedata(7 downto 0);</t>
  </si>
  <si>
    <t xml:space="preserve">      rmap_registers_wr_o.aeb_gen_cfg_reserved_190.reserved(15 downto 8) &lt;= avalon_mm_rmap_i.writedata(15 downto 8);</t>
  </si>
  <si>
    <t xml:space="preserve">      rmap_registers_wr_o.aeb_gen_cfg_reserved_190.reserved(23 downto 16) &lt;= avalon_mm_rmap_i.writedata(23 downto 16);</t>
  </si>
  <si>
    <t xml:space="preserve">      rmap_registers_wr_o.aeb_gen_cfg_reserved_190.reserved(31 downto 24) &lt;= avalon_mm_rmap_i.writedata(31 downto 24);</t>
  </si>
  <si>
    <t xml:space="preserve">      rmap_registers_wr_o.aeb_gen_cfg_reserved_194.reserved(7 downto 0) &lt;= avalon_mm_rmap_i.writedata(7 downto 0);</t>
  </si>
  <si>
    <t xml:space="preserve">      rmap_registers_wr_o.aeb_gen_cfg_reserved_194.reserved(15 downto 8) &lt;= avalon_mm_rmap_i.writedata(15 downto 8);</t>
  </si>
  <si>
    <t xml:space="preserve">      rmap_registers_wr_o.aeb_gen_cfg_reserved_194.reserved(23 downto 16) &lt;= avalon_mm_rmap_i.writedata(23 downto 16);</t>
  </si>
  <si>
    <t xml:space="preserve">      rmap_registers_wr_o.aeb_gen_cfg_reserved_194.reserved(31 downto 24) &lt;= avalon_mm_rmap_i.writedata(31 downto 24);</t>
  </si>
  <si>
    <t xml:space="preserve">      rmap_registers_wr_o.aeb_gen_cfg_reserved_198.reserved(7 downto 0) &lt;= avalon_mm_rmap_i.writedata(7 downto 0);</t>
  </si>
  <si>
    <t xml:space="preserve">      rmap_registers_wr_o.aeb_gen_cfg_reserved_198.reserved(15 downto 8) &lt;= avalon_mm_rmap_i.writedata(15 downto 8);</t>
  </si>
  <si>
    <t xml:space="preserve">      rmap_registers_wr_o.aeb_gen_cfg_reserved_198.reserved(23 downto 16) &lt;= avalon_mm_rmap_i.writedata(23 downto 16);</t>
  </si>
  <si>
    <t xml:space="preserve">      rmap_registers_wr_o.aeb_gen_cfg_reserved_198.reserved(31 downto 24) &lt;= avalon_mm_rmap_i.writedata(31 downto 24);</t>
  </si>
  <si>
    <t xml:space="preserve">      rmap_registers_wr_o.aeb_gen_cfg_reserved_19c.reserved(7 downto 0) &lt;= avalon_mm_rmap_i.writedata(7 downto 0);</t>
  </si>
  <si>
    <t xml:space="preserve">      rmap_registers_wr_o.aeb_gen_cfg_reserved_19c.reserved(15 downto 8) &lt;= avalon_mm_rmap_i.writedata(15 downto 8);</t>
  </si>
  <si>
    <t xml:space="preserve">      rmap_registers_wr_o.aeb_gen_cfg_reserved_19c.reserved(23 downto 16) &lt;= avalon_mm_rmap_i.writedata(23 downto 16);</t>
  </si>
  <si>
    <t xml:space="preserve">      rmap_registers_wr_o.aeb_gen_cfg_reserved_19c.reserved(31 downto 24) &lt;= avalon_mm_rmap_i.writedata(31 downto 24);</t>
  </si>
  <si>
    <t xml:space="preserve">      rmap_registers_wr_o.aeb_gen_cfg_reserved_1a0.reserved(7 downto 0) &lt;= avalon_mm_rmap_i.writedata(7 downto 0);</t>
  </si>
  <si>
    <t xml:space="preserve">      rmap_registers_wr_o.aeb_gen_cfg_reserved_1a0.reserved(15 downto 8) &lt;= avalon_mm_rmap_i.writedata(15 downto 8);</t>
  </si>
  <si>
    <t xml:space="preserve">      rmap_registers_wr_o.aeb_gen_cfg_reserved_1a0.reserved(23 downto 16) &lt;= avalon_mm_rmap_i.writedata(23 downto 16);</t>
  </si>
  <si>
    <t xml:space="preserve">      rmap_registers_wr_o.aeb_gen_cfg_reserved_1a0.reserved(31 downto 24) &lt;= avalon_mm_rmap_i.writedata(31 downto 24);</t>
  </si>
  <si>
    <t xml:space="preserve">      rmap_registers_wr_o.aeb_gen_cfg_reserved_1a4.reserved(7 downto 0) &lt;= avalon_mm_rmap_i.writedata(7 downto 0);</t>
  </si>
  <si>
    <t xml:space="preserve">      rmap_registers_wr_o.aeb_gen_cfg_reserved_1a4.reserved(15 downto 8) &lt;= avalon_mm_rmap_i.writedata(15 downto 8);</t>
  </si>
  <si>
    <t xml:space="preserve">      rmap_registers_wr_o.aeb_gen_cfg_reserved_1a4.reserved(23 downto 16) &lt;= avalon_mm_rmap_i.writedata(23 downto 16);</t>
  </si>
  <si>
    <t xml:space="preserve">      rmap_registers_wr_o.aeb_gen_cfg_reserved_1a4.reserved(31 downto 24) &lt;= avalon_mm_rmap_i.writedata(31 downto 24);</t>
  </si>
  <si>
    <t xml:space="preserve">      rmap_registers_wr_o.aeb_gen_cfg_reserved_1a8.reserved(7 downto 0) &lt;= avalon_mm_rmap_i.writedata(7 downto 0);</t>
  </si>
  <si>
    <t xml:space="preserve">      rmap_registers_wr_o.aeb_gen_cfg_reserved_1a8.reserved(15 downto 8) &lt;= avalon_mm_rmap_i.writedata(15 downto 8);</t>
  </si>
  <si>
    <t xml:space="preserve">      rmap_registers_wr_o.aeb_gen_cfg_reserved_1a8.reserved(23 downto 16) &lt;= avalon_mm_rmap_i.writedata(23 downto 16);</t>
  </si>
  <si>
    <t xml:space="preserve">      rmap_registers_wr_o.aeb_gen_cfg_reserved_1a8.reserved(31 downto 24) &lt;= avalon_mm_rmap_i.writedata(31 downto 24);</t>
  </si>
  <si>
    <t xml:space="preserve">      rmap_registers_wr_o.aeb_gen_cfg_reserved_1ac.reserved(7 downto 0) &lt;= avalon_mm_rmap_i.writedata(7 downto 0);</t>
  </si>
  <si>
    <t xml:space="preserve">      rmap_registers_wr_o.aeb_gen_cfg_reserved_1ac.reserved(15 downto 8) &lt;= avalon_mm_rmap_i.writedata(15 downto 8);</t>
  </si>
  <si>
    <t xml:space="preserve">      rmap_registers_wr_o.aeb_gen_cfg_reserved_1ac.reserved(23 downto 16) &lt;= avalon_mm_rmap_i.writedata(23 downto 16);</t>
  </si>
  <si>
    <t xml:space="preserve">      rmap_registers_wr_o.aeb_gen_cfg_reserved_1ac.reserved(31 downto 24) &lt;= avalon_mm_rmap_i.writedata(31 downto 24);</t>
  </si>
  <si>
    <t xml:space="preserve">      rmap_registers_wr_o.aeb_gen_cfg_reserved_1b0.reserved(7 downto 0) &lt;= avalon_mm_rmap_i.writedata(7 downto 0);</t>
  </si>
  <si>
    <t xml:space="preserve">      rmap_registers_wr_o.aeb_gen_cfg_reserved_1b0.reserved(15 downto 8) &lt;= avalon_mm_rmap_i.writedata(15 downto 8);</t>
  </si>
  <si>
    <t xml:space="preserve">      rmap_registers_wr_o.aeb_gen_cfg_reserved_1b0.reserved(23 downto 16) &lt;= avalon_mm_rmap_i.writedata(23 downto 16);</t>
  </si>
  <si>
    <t xml:space="preserve">      rmap_registers_wr_o.aeb_gen_cfg_reserved_1b0.reserved(31 downto 24) &lt;= avalon_mm_rmap_i.writedata(31 downto 24);</t>
  </si>
  <si>
    <t xml:space="preserve">      rmap_registers_wr_o.aeb_gen_cfg_reserved_1b4.reserved(7 downto 0) &lt;= avalon_mm_rmap_i.writedata(7 downto 0);</t>
  </si>
  <si>
    <t xml:space="preserve">      rmap_registers_wr_o.aeb_gen_cfg_reserved_1b4.reserved(15 downto 8) &lt;= avalon_mm_rmap_i.writedata(15 downto 8);</t>
  </si>
  <si>
    <t xml:space="preserve">      rmap_registers_wr_o.aeb_gen_cfg_reserved_1b4.reserved(23 downto 16) &lt;= avalon_mm_rmap_i.writedata(23 downto 16);</t>
  </si>
  <si>
    <t xml:space="preserve">      rmap_registers_wr_o.aeb_gen_cfg_reserved_1b4.reserved(31 downto 24) &lt;= avalon_mm_rmap_i.writedata(31 downto 24);</t>
  </si>
  <si>
    <t xml:space="preserve">      rmap_registers_wr_o.aeb_gen_cfg_reserved_1b8.reserved(7 downto 0) &lt;= avalon_mm_rmap_i.writedata(7 downto 0);</t>
  </si>
  <si>
    <t xml:space="preserve">      rmap_registers_wr_o.aeb_gen_cfg_reserved_1b8.reserved(15 downto 8) &lt;= avalon_mm_rmap_i.writedata(15 downto 8);</t>
  </si>
  <si>
    <t xml:space="preserve">      rmap_registers_wr_o.aeb_gen_cfg_reserved_1b8.reserved(23 downto 16) &lt;= avalon_mm_rmap_i.writedata(23 downto 16);</t>
  </si>
  <si>
    <t xml:space="preserve">      rmap_registers_wr_o.aeb_gen_cfg_reserved_1b8.reserved(31 downto 24) &lt;= avalon_mm_rmap_i.writedata(31 downto 24);</t>
  </si>
  <si>
    <t xml:space="preserve">      rmap_registers_wr_o.aeb_gen_cfg_reserved_1bc.reserved(7 downto 0) &lt;= avalon_mm_rmap_i.writedata(7 downto 0);</t>
  </si>
  <si>
    <t xml:space="preserve">      rmap_registers_wr_o.aeb_gen_cfg_reserved_1bc.reserved(15 downto 8) &lt;= avalon_mm_rmap_i.writedata(15 downto 8);</t>
  </si>
  <si>
    <t xml:space="preserve">      rmap_registers_wr_o.aeb_gen_cfg_reserved_1bc.reserved(23 downto 16) &lt;= avalon_mm_rmap_i.writedata(23 downto 16);</t>
  </si>
  <si>
    <t xml:space="preserve">      rmap_registers_wr_o.aeb_gen_cfg_reserved_1bc.reserved(31 downto 24) &lt;= avalon_mm_rmap_i.writedata(31 downto 24);</t>
  </si>
  <si>
    <t xml:space="preserve">      rmap_registers_wr_o.aeb_gen_cfg_reserved_1c0.reserved(7 downto 0) &lt;= avalon_mm_rmap_i.writedata(7 downto 0);</t>
  </si>
  <si>
    <t xml:space="preserve">      rmap_registers_wr_o.aeb_gen_cfg_reserved_1c0.reserved(15 downto 8) &lt;= avalon_mm_rmap_i.writedata(15 downto 8);</t>
  </si>
  <si>
    <t xml:space="preserve">      rmap_registers_wr_o.aeb_gen_cfg_reserved_1c0.reserved(23 downto 16) &lt;= avalon_mm_rmap_i.writedata(23 downto 16);</t>
  </si>
  <si>
    <t xml:space="preserve">      rmap_registers_wr_o.aeb_gen_cfg_reserved_1c0.reserved(31 downto 24) &lt;= avalon_mm_rmap_i.writedata(31 downto 24);</t>
  </si>
  <si>
    <t xml:space="preserve">      rmap_registers_wr_o.aeb_gen_cfg_reserved_1c4.reserved(7 downto 0) &lt;= avalon_mm_rmap_i.writedata(7 downto 0);</t>
  </si>
  <si>
    <t xml:space="preserve">      rmap_registers_wr_o.aeb_gen_cfg_reserved_1c4.reserved(15 downto 8) &lt;= avalon_mm_rmap_i.writedata(15 downto 8);</t>
  </si>
  <si>
    <t xml:space="preserve">      rmap_registers_wr_o.aeb_gen_cfg_reserved_1c4.reserved(23 downto 16) &lt;= avalon_mm_rmap_i.writedata(23 downto 16);</t>
  </si>
  <si>
    <t xml:space="preserve">      rmap_registers_wr_o.aeb_gen_cfg_reserved_1c4.reserved(31 downto 24) &lt;= avalon_mm_rmap_i.writedata(31 downto 24);</t>
  </si>
  <si>
    <t xml:space="preserve">      rmap_registers_wr_o.aeb_gen_cfg_reserved_1c8.reserved(7 downto 0) &lt;= avalon_mm_rmap_i.writedata(7 downto 0);</t>
  </si>
  <si>
    <t xml:space="preserve">      rmap_registers_wr_o.aeb_gen_cfg_reserved_1c8.reserved(15 downto 8) &lt;= avalon_mm_rmap_i.writedata(15 downto 8);</t>
  </si>
  <si>
    <t xml:space="preserve">      rmap_registers_wr_o.aeb_gen_cfg_reserved_1c8.reserved(23 downto 16) &lt;= avalon_mm_rmap_i.writedata(23 downto 16);</t>
  </si>
  <si>
    <t xml:space="preserve">      rmap_registers_wr_o.aeb_gen_cfg_reserved_1c8.reserved(31 downto 24) &lt;= avalon_mm_rmap_i.writedata(31 downto 24);</t>
  </si>
  <si>
    <t xml:space="preserve">      rmap_registers_wr_o.aeb_gen_cfg_reserved_1cc.reserved(7 downto 0) &lt;= avalon_mm_rmap_i.writedata(7 downto 0);</t>
  </si>
  <si>
    <t xml:space="preserve">      rmap_registers_wr_o.aeb_gen_cfg_reserved_1cc.reserved(15 downto 8) &lt;= avalon_mm_rmap_i.writedata(15 downto 8);</t>
  </si>
  <si>
    <t xml:space="preserve">      rmap_registers_wr_o.aeb_gen_cfg_reserved_1cc.reserved(23 downto 16) &lt;= avalon_mm_rmap_i.writedata(23 downto 16);</t>
  </si>
  <si>
    <t xml:space="preserve">      rmap_registers_wr_o.aeb_gen_cfg_reserved_1cc.reserved(31 downto 24) &lt;= avalon_mm_rmap_i.writedata(31 downto 24);</t>
  </si>
  <si>
    <t xml:space="preserve">      rmap_registers_wr_o.aeb_gen_cfg_reserved_1d0.reserved(7 downto 0) &lt;= avalon_mm_rmap_i.writedata(7 downto 0);</t>
  </si>
  <si>
    <t xml:space="preserve">      rmap_registers_wr_o.aeb_gen_cfg_reserved_1d0.reserved(15 downto 8) &lt;= avalon_mm_rmap_i.writedata(15 downto 8);</t>
  </si>
  <si>
    <t xml:space="preserve">      rmap_registers_wr_o.aeb_gen_cfg_reserved_1d0.reserved(23 downto 16) &lt;= avalon_mm_rmap_i.writedata(23 downto 16);</t>
  </si>
  <si>
    <t xml:space="preserve">      rmap_registers_wr_o.aeb_gen_cfg_reserved_1d0.reserved(31 downto 24) &lt;= avalon_mm_rmap_i.writedata(31 downto 24);</t>
  </si>
  <si>
    <t xml:space="preserve">      rmap_registers_wr_o.aeb_gen_cfg_reserved_1d4.reserved(7 downto 0) &lt;= avalon_mm_rmap_i.writedata(7 downto 0);</t>
  </si>
  <si>
    <t xml:space="preserve">      rmap_registers_wr_o.aeb_gen_cfg_reserved_1d4.reserved(15 downto 8) &lt;= avalon_mm_rmap_i.writedata(15 downto 8);</t>
  </si>
  <si>
    <t xml:space="preserve">      rmap_registers_wr_o.aeb_gen_cfg_reserved_1d4.reserved(23 downto 16) &lt;= avalon_mm_rmap_i.writedata(23 downto 16);</t>
  </si>
  <si>
    <t xml:space="preserve">      rmap_registers_wr_o.aeb_gen_cfg_reserved_1d4.reserved(31 downto 24) &lt;= avalon_mm_rmap_i.writedata(31 downto 24);</t>
  </si>
  <si>
    <t xml:space="preserve">      rmap_registers_wr_o.aeb_gen_cfg_reserved_1d8.reserved(7 downto 0) &lt;= avalon_mm_rmap_i.writedata(7 downto 0);</t>
  </si>
  <si>
    <t xml:space="preserve">      rmap_registers_wr_o.aeb_gen_cfg_reserved_1d8.reserved(15 downto 8) &lt;= avalon_mm_rmap_i.writedata(15 downto 8);</t>
  </si>
  <si>
    <t xml:space="preserve">      rmap_registers_wr_o.aeb_gen_cfg_reserved_1d8.reserved(23 downto 16) &lt;= avalon_mm_rmap_i.writedata(23 downto 16);</t>
  </si>
  <si>
    <t xml:space="preserve">      rmap_registers_wr_o.aeb_gen_cfg_reserved_1d8.reserved(31 downto 24) &lt;= avalon_mm_rmap_i.writedata(31 downto 24);</t>
  </si>
  <si>
    <t xml:space="preserve">      rmap_registers_wr_o.aeb_gen_cfg_reserved_1dc.reserved(7 downto 0) &lt;= avalon_mm_rmap_i.writedata(7 downto 0);</t>
  </si>
  <si>
    <t xml:space="preserve">      rmap_registers_wr_o.aeb_gen_cfg_reserved_1dc.reserved(15 downto 8) &lt;= avalon_mm_rmap_i.writedata(15 downto 8);</t>
  </si>
  <si>
    <t xml:space="preserve">      rmap_registers_wr_o.aeb_gen_cfg_reserved_1dc.reserved(23 downto 16) &lt;= avalon_mm_rmap_i.writedata(23 downto 16);</t>
  </si>
  <si>
    <t xml:space="preserve">      rmap_registers_wr_o.aeb_gen_cfg_reserved_1dc.reserved(31 downto 24) &lt;= avalon_mm_rmap_i.writedata(31 downto 24);</t>
  </si>
  <si>
    <t xml:space="preserve">      rmap_registers_wr_o.aeb_gen_cfg_reserved_1e0.reserved(7 downto 0) &lt;= avalon_mm_rmap_i.writedata(7 downto 0);</t>
  </si>
  <si>
    <t xml:space="preserve">      rmap_registers_wr_o.aeb_gen_cfg_reserved_1e0.reserved(15 downto 8) &lt;= avalon_mm_rmap_i.writedata(15 downto 8);</t>
  </si>
  <si>
    <t xml:space="preserve">      rmap_registers_wr_o.aeb_gen_cfg_reserved_1e0.reserved(23 downto 16) &lt;= avalon_mm_rmap_i.writedata(23 downto 16);</t>
  </si>
  <si>
    <t xml:space="preserve">      rmap_registers_wr_o.aeb_gen_cfg_reserved_1e0.reserved(31 downto 24) &lt;= avalon_mm_rmap_i.writedata(31 downto 24);</t>
  </si>
  <si>
    <t xml:space="preserve">      rmap_registers_wr_o.aeb_gen_cfg_reserved_1e4.reserved(7 downto 0) &lt;= avalon_mm_rmap_i.writedata(7 downto 0);</t>
  </si>
  <si>
    <t xml:space="preserve">      rmap_registers_wr_o.aeb_gen_cfg_reserved_1e4.reserved(15 downto 8) &lt;= avalon_mm_rmap_i.writedata(15 downto 8);</t>
  </si>
  <si>
    <t xml:space="preserve">      rmap_registers_wr_o.aeb_gen_cfg_reserved_1e4.reserved(23 downto 16) &lt;= avalon_mm_rmap_i.writedata(23 downto 16);</t>
  </si>
  <si>
    <t xml:space="preserve">      rmap_registers_wr_o.aeb_gen_cfg_reserved_1e4.reserved(31 downto 24) &lt;= avalon_mm_rmap_i.writedata(31 downto 24);</t>
  </si>
  <si>
    <t xml:space="preserve">      rmap_registers_wr_o.aeb_gen_cfg_reserved_1e8.reserved(7 downto 0) &lt;= avalon_mm_rmap_i.writedata(7 downto 0);</t>
  </si>
  <si>
    <t xml:space="preserve">      rmap_registers_wr_o.aeb_gen_cfg_reserved_1e8.reserved(15 downto 8) &lt;= avalon_mm_rmap_i.writedata(15 downto 8);</t>
  </si>
  <si>
    <t xml:space="preserve">      rmap_registers_wr_o.aeb_gen_cfg_reserved_1e8.reserved(23 downto 16) &lt;= avalon_mm_rmap_i.writedata(23 downto 16);</t>
  </si>
  <si>
    <t xml:space="preserve">      rmap_registers_wr_o.aeb_gen_cfg_reserved_1e8.reserved(31 downto 24) &lt;= avalon_mm_rmap_i.writedata(31 downto 24);</t>
  </si>
  <si>
    <t xml:space="preserve">      rmap_registers_wr_o.aeb_gen_cfg_reserved_1ec.reserved(7 downto 0) &lt;= avalon_mm_rmap_i.writedata(7 downto 0);</t>
  </si>
  <si>
    <t xml:space="preserve">      rmap_registers_wr_o.aeb_gen_cfg_reserved_1ec.reserved(15 downto 8) &lt;= avalon_mm_rmap_i.writedata(15 downto 8);</t>
  </si>
  <si>
    <t xml:space="preserve">      rmap_registers_wr_o.aeb_gen_cfg_reserved_1ec.reserved(23 downto 16) &lt;= avalon_mm_rmap_i.writedata(23 downto 16);</t>
  </si>
  <si>
    <t xml:space="preserve">      rmap_registers_wr_o.aeb_gen_cfg_reserved_1ec.reserved(31 downto 24) &lt;= avalon_mm_rmap_i.writedata(31 downto 24);</t>
  </si>
  <si>
    <t xml:space="preserve">      rmap_registers_wr_o.aeb_gen_cfg_reserved_1f0.reserved(7 downto 0) &lt;= avalon_mm_rmap_i.writedata(7 downto 0);</t>
  </si>
  <si>
    <t xml:space="preserve">      rmap_registers_wr_o.aeb_gen_cfg_reserved_1f0.reserved(15 downto 8) &lt;= avalon_mm_rmap_i.writedata(15 downto 8);</t>
  </si>
  <si>
    <t xml:space="preserve">      rmap_registers_wr_o.aeb_gen_cfg_reserved_1f0.reserved(23 downto 16) &lt;= avalon_mm_rmap_i.writedata(23 downto 16);</t>
  </si>
  <si>
    <t xml:space="preserve">      rmap_registers_wr_o.aeb_gen_cfg_reserved_1f0.reserved(31 downto 24) &lt;= avalon_mm_rmap_i.writedata(31 downto 24);</t>
  </si>
  <si>
    <t xml:space="preserve">      rmap_registers_wr_o.aeb_gen_cfg_reserved_1f4.reserved(7 downto 0) &lt;= avalon_mm_rmap_i.writedata(7 downto 0);</t>
  </si>
  <si>
    <t xml:space="preserve">      rmap_registers_wr_o.aeb_gen_cfg_reserved_1f4.reserved(15 downto 8) &lt;= avalon_mm_rmap_i.writedata(15 downto 8);</t>
  </si>
  <si>
    <t xml:space="preserve">      rmap_registers_wr_o.aeb_gen_cfg_reserved_1f4.reserved(23 downto 16) &lt;= avalon_mm_rmap_i.writedata(23 downto 16);</t>
  </si>
  <si>
    <t xml:space="preserve">      rmap_registers_wr_o.aeb_gen_cfg_reserved_1f4.reserved(31 downto 24) &lt;= avalon_mm_rmap_i.writedata(31 downto 24);</t>
  </si>
  <si>
    <t xml:space="preserve">      rmap_registers_wr_o.aeb_gen_cfg_reserved_1f8.reserved(7 downto 0) &lt;= avalon_mm_rmap_i.writedata(7 downto 0);</t>
  </si>
  <si>
    <t xml:space="preserve">      rmap_registers_wr_o.aeb_gen_cfg_reserved_1f8.reserved(15 downto 8) &lt;= avalon_mm_rmap_i.writedata(15 downto 8);</t>
  </si>
  <si>
    <t xml:space="preserve">      rmap_registers_wr_o.aeb_gen_cfg_reserved_1f8.reserved(23 downto 16) &lt;= avalon_mm_rmap_i.writedata(23 downto 16);</t>
  </si>
  <si>
    <t xml:space="preserve">      rmap_registers_wr_o.aeb_gen_cfg_reserved_1f8.reserved(31 downto 24) &lt;= avalon_mm_rmap_i.writedata(31 downto 24);</t>
  </si>
  <si>
    <t xml:space="preserve">      rmap_registers_wr_o.aeb_gen_cfg_reserved_1fc.reserved(7 downto 0) &lt;= avalon_mm_rmap_i.writedata(7 downto 0);</t>
  </si>
  <si>
    <t xml:space="preserve">      rmap_registers_wr_o.aeb_gen_cfg_reserved_1fc.reserved(15 downto 8) &lt;= avalon_mm_rmap_i.writedata(15 downto 8);</t>
  </si>
  <si>
    <t xml:space="preserve">      rmap_registers_wr_o.aeb_gen_cfg_reserved_1fc.reserved(23 downto 16) &lt;= avalon_mm_rmap_i.writedata(23 downto 16);</t>
  </si>
  <si>
    <t xml:space="preserve">      rmap_registers_wr_o.aeb_gen_cfg_reserved_1fc.reserved(31 downto 24) &lt;= avalon_mm_rmap_i.writedata(31 downto 24);</t>
  </si>
  <si>
    <t xml:space="preserve">      rmap_registers_wr_o.aeb_gen_cfg_reserved_200.reserved(7 downto 0) &lt;= avalon_mm_rmap_i.writedata(7 downto 0);</t>
  </si>
  <si>
    <t xml:space="preserve">      rmap_registers_wr_o.aeb_gen_cfg_reserved_200.reserved(15 downto 8) &lt;= avalon_mm_rmap_i.writedata(15 downto 8);</t>
  </si>
  <si>
    <t xml:space="preserve">      rmap_registers_wr_o.aeb_gen_cfg_reserved_200.reserved(23 downto 16) &lt;= avalon_mm_rmap_i.writedata(23 downto 16);</t>
  </si>
  <si>
    <t xml:space="preserve">      rmap_registers_wr_o.aeb_gen_cfg_reserved_200.reserved(31 downto 24) &lt;= avalon_mm_rmap_i.writedata(31 downto 24);</t>
  </si>
  <si>
    <t xml:space="preserve">      rmap_registers_wr_o.aeb_gen_cfg_reserved_204.reserved(7 downto 0) &lt;= avalon_mm_rmap_i.writedata(7 downto 0);</t>
  </si>
  <si>
    <t xml:space="preserve">      rmap_registers_wr_o.aeb_gen_cfg_reserved_204.reserved(15 downto 8) &lt;= avalon_mm_rmap_i.writedata(15 downto 8);</t>
  </si>
  <si>
    <t xml:space="preserve">      rmap_registers_wr_o.aeb_gen_cfg_reserved_204.reserved(23 downto 16) &lt;= avalon_mm_rmap_i.writedata(23 downto 16);</t>
  </si>
  <si>
    <t xml:space="preserve">      rmap_registers_wr_o.aeb_gen_cfg_reserved_204.reserved(31 downto 24) &lt;= avalon_mm_rmap_i.writedata(31 downto 24);</t>
  </si>
  <si>
    <t xml:space="preserve">      rmap_registers_wr_o.aeb_gen_cfg_reserved_208.reserved(7 downto 0) &lt;= avalon_mm_rmap_i.writedata(7 downto 0);</t>
  </si>
  <si>
    <t xml:space="preserve">      rmap_registers_wr_o.aeb_gen_cfg_reserved_208.reserved(15 downto 8) &lt;= avalon_mm_rmap_i.writedata(15 downto 8);</t>
  </si>
  <si>
    <t xml:space="preserve">      rmap_registers_wr_o.aeb_gen_cfg_reserved_208.reserved(23 downto 16) &lt;= avalon_mm_rmap_i.writedata(23 downto 16);</t>
  </si>
  <si>
    <t xml:space="preserve">      rmap_registers_wr_o.aeb_gen_cfg_reserved_208.reserved(31 downto 24) &lt;= avalon_mm_rmap_i.writedata(31 downto 24);</t>
  </si>
  <si>
    <t xml:space="preserve">      rmap_registers_wr_o.aeb_gen_cfg_reserved_20c.reserved(7 downto 0) &lt;= avalon_mm_rmap_i.writedata(7 downto 0);</t>
  </si>
  <si>
    <t xml:space="preserve">      rmap_registers_wr_o.aeb_gen_cfg_reserved_20c.reserved(15 downto 8) &lt;= avalon_mm_rmap_i.writedata(15 downto 8);</t>
  </si>
  <si>
    <t xml:space="preserve">      rmap_registers_wr_o.aeb_gen_cfg_reserved_20c.reserved(23 downto 16) &lt;= avalon_mm_rmap_i.writedata(23 downto 16);</t>
  </si>
  <si>
    <t xml:space="preserve">      rmap_registers_wr_o.aeb_gen_cfg_reserved_20c.reserved(31 downto 24) &lt;= avalon_mm_rmap_i.writedata(31 downto 24);</t>
  </si>
  <si>
    <t xml:space="preserve">      rmap_registers_wr_o.aeb_gen_cfg_reserved_210.reserved(7 downto 0) &lt;= avalon_mm_rmap_i.writedata(7 downto 0);</t>
  </si>
  <si>
    <t xml:space="preserve">      rmap_registers_wr_o.aeb_gen_cfg_reserved_210.reserved(15 downto 8) &lt;= avalon_mm_rmap_i.writedata(15 downto 8);</t>
  </si>
  <si>
    <t xml:space="preserve">      rmap_registers_wr_o.aeb_gen_cfg_reserved_210.reserved(23 downto 16) &lt;= avalon_mm_rmap_i.writedata(23 downto 16);</t>
  </si>
  <si>
    <t xml:space="preserve">      rmap_registers_wr_o.aeb_gen_cfg_reserved_210.reserved(31 downto 24) &lt;= avalon_mm_rmap_i.writedata(31 downto 24);</t>
  </si>
  <si>
    <t xml:space="preserve">      rmap_registers_wr_o.aeb_gen_cfg_reserved_214.reserved(7 downto 0) &lt;= avalon_mm_rmap_i.writedata(7 downto 0);</t>
  </si>
  <si>
    <t xml:space="preserve">      rmap_registers_wr_o.aeb_gen_cfg_reserved_214.reserved(15 downto 8) &lt;= avalon_mm_rmap_i.writedata(15 downto 8);</t>
  </si>
  <si>
    <t xml:space="preserve">      rmap_registers_wr_o.aeb_gen_cfg_reserved_214.reserved(23 downto 16) &lt;= avalon_mm_rmap_i.writedata(23 downto 16);</t>
  </si>
  <si>
    <t xml:space="preserve">      rmap_registers_wr_o.aeb_gen_cfg_reserved_214.reserved(31 downto 24) &lt;= avalon_mm_rmap_i.writedata(31 downto 24);</t>
  </si>
  <si>
    <t xml:space="preserve">      rmap_registers_wr_o.aeb_gen_cfg_reserved_218.reserved(7 downto 0) &lt;= avalon_mm_rmap_i.writedata(7 downto 0);</t>
  </si>
  <si>
    <t xml:space="preserve">      rmap_registers_wr_o.aeb_gen_cfg_reserved_218.reserved(15 downto 8) &lt;= avalon_mm_rmap_i.writedata(15 downto 8);</t>
  </si>
  <si>
    <t xml:space="preserve">      rmap_registers_wr_o.aeb_gen_cfg_reserved_218.reserved(23 downto 16) &lt;= avalon_mm_rmap_i.writedata(23 downto 16);</t>
  </si>
  <si>
    <t xml:space="preserve">      rmap_registers_wr_o.aeb_gen_cfg_reserved_218.reserved(31 downto 24) &lt;= avalon_mm_rmap_i.writedata(31 downto 24);</t>
  </si>
  <si>
    <t xml:space="preserve">      rmap_registers_wr_o.aeb_gen_cfg_reserved_21c.reserved(7 downto 0) &lt;= avalon_mm_rmap_i.writedata(7 downto 0);</t>
  </si>
  <si>
    <t xml:space="preserve">      rmap_registers_wr_o.aeb_gen_cfg_reserved_21c.reserved(15 downto 8) &lt;= avalon_mm_rmap_i.writedata(15 downto 8);</t>
  </si>
  <si>
    <t xml:space="preserve">      rmap_registers_wr_o.aeb_gen_cfg_reserved_21c.reserved(23 downto 16) &lt;= avalon_mm_rmap_i.writedata(23 downto 16);</t>
  </si>
  <si>
    <t xml:space="preserve">      rmap_registers_wr_o.aeb_gen_cfg_reserved_21c.reserved(31 downto 24) &lt;= avalon_mm_rmap_i.writedata(31 downto 24);</t>
  </si>
  <si>
    <t xml:space="preserve">      rmap_registers_wr_o.aeb_gen_cfg_reserved_220.reserved(7 downto 0) &lt;= avalon_mm_rmap_i.writedata(7 downto 0);</t>
  </si>
  <si>
    <t xml:space="preserve">      rmap_registers_wr_o.aeb_gen_cfg_reserved_220.reserved(15 downto 8) &lt;= avalon_mm_rmap_i.writedata(15 downto 8);</t>
  </si>
  <si>
    <t xml:space="preserve">      rmap_registers_wr_o.aeb_gen_cfg_reserved_220.reserved(23 downto 16) &lt;= avalon_mm_rmap_i.writedata(23 downto 16);</t>
  </si>
  <si>
    <t xml:space="preserve">      rmap_registers_wr_o.aeb_gen_cfg_reserved_220.reserved(31 downto 24) &lt;= avalon_mm_rmap_i.writedata(31 downto 24);</t>
  </si>
  <si>
    <t xml:space="preserve">      rmap_registers_wr_o.aeb_gen_cfg_reserved_224.reserved(7 downto 0) &lt;= avalon_mm_rmap_i.writedata(7 downto 0);</t>
  </si>
  <si>
    <t xml:space="preserve">      rmap_registers_wr_o.aeb_gen_cfg_reserved_224.reserved(15 downto 8) &lt;= avalon_mm_rmap_i.writedata(15 downto 8);</t>
  </si>
  <si>
    <t xml:space="preserve">      rmap_registers_wr_o.aeb_gen_cfg_reserved_224.reserved(23 downto 16) &lt;= avalon_mm_rmap_i.writedata(23 downto 16);</t>
  </si>
  <si>
    <t xml:space="preserve">      rmap_registers_wr_o.aeb_gen_cfg_reserved_224.reserved(31 downto 24) &lt;= avalon_mm_rmap_i.writedata(31 downto 24);</t>
  </si>
  <si>
    <t xml:space="preserve">      rmap_registers_wr_o.aeb_gen_cfg_reserved_228.reserved(7 downto 0) &lt;= avalon_mm_rmap_i.writedata(7 downto 0);</t>
  </si>
  <si>
    <t xml:space="preserve">      rmap_registers_wr_o.aeb_gen_cfg_reserved_228.reserved(15 downto 8) &lt;= avalon_mm_rmap_i.writedata(15 downto 8);</t>
  </si>
  <si>
    <t xml:space="preserve">      rmap_registers_wr_o.aeb_gen_cfg_reserved_228.reserved(23 downto 16) &lt;= avalon_mm_rmap_i.writedata(23 downto 16);</t>
  </si>
  <si>
    <t xml:space="preserve">      rmap_registers_wr_o.aeb_gen_cfg_reserved_228.reserved(31 downto 24) &lt;= avalon_mm_rmap_i.writedata(31 downto 24);</t>
  </si>
  <si>
    <t xml:space="preserve">      rmap_registers_wr_o.aeb_gen_cfg_reserved_22c.reserved(7 downto 0) &lt;= avalon_mm_rmap_i.writedata(7 downto 0);</t>
  </si>
  <si>
    <t xml:space="preserve">      rmap_registers_wr_o.aeb_gen_cfg_reserved_22c.reserved(15 downto 8) &lt;= avalon_mm_rmap_i.writedata(15 downto 8);</t>
  </si>
  <si>
    <t xml:space="preserve">      rmap_registers_wr_o.aeb_gen_cfg_reserved_22c.reserved(23 downto 16) &lt;= avalon_mm_rmap_i.writedata(23 downto 16);</t>
  </si>
  <si>
    <t xml:space="preserve">      rmap_registers_wr_o.aeb_gen_cfg_reserved_22c.reserved(31 downto 24) &lt;= avalon_mm_rmap_i.writedata(31 downto 24);</t>
  </si>
  <si>
    <t xml:space="preserve">      rmap_registers_wr_o.aeb_gen_cfg_reserved_230.reserved(7 downto 0) &lt;= avalon_mm_rmap_i.writedata(7 downto 0);</t>
  </si>
  <si>
    <t xml:space="preserve">      rmap_registers_wr_o.aeb_gen_cfg_reserved_230.reserved(15 downto 8) &lt;= avalon_mm_rmap_i.writedata(15 downto 8);</t>
  </si>
  <si>
    <t xml:space="preserve">      rmap_registers_wr_o.aeb_gen_cfg_reserved_230.reserved(23 downto 16) &lt;= avalon_mm_rmap_i.writedata(23 downto 16);</t>
  </si>
  <si>
    <t xml:space="preserve">      rmap_registers_wr_o.aeb_gen_cfg_reserved_230.reserved(31 downto 24) &lt;= avalon_mm_rmap_i.writedata(31 downto 24);</t>
  </si>
  <si>
    <t xml:space="preserve">      rmap_registers_wr_o.aeb_gen_cfg_reserved_234.reserved(7 downto 0) &lt;= avalon_mm_rmap_i.writedata(7 downto 0);</t>
  </si>
  <si>
    <t xml:space="preserve">      rmap_registers_wr_o.aeb_gen_cfg_reserved_234.reserved(15 downto 8) &lt;= avalon_mm_rmap_i.writedata(15 downto 8);</t>
  </si>
  <si>
    <t xml:space="preserve">      rmap_registers_wr_o.aeb_gen_cfg_reserved_234.reserved(23 downto 16) &lt;= avalon_mm_rmap_i.writedata(23 downto 16);</t>
  </si>
  <si>
    <t xml:space="preserve">      rmap_registers_wr_o.aeb_gen_cfg_reserved_234.reserved(31 downto 24) &lt;= avalon_mm_rmap_i.writedata(31 downto 24);</t>
  </si>
  <si>
    <t xml:space="preserve">      rmap_registers_wr_o.aeb_gen_cfg_reserved_238.reserved(7 downto 0) &lt;= avalon_mm_rmap_i.writedata(7 downto 0);</t>
  </si>
  <si>
    <t xml:space="preserve">      rmap_registers_wr_o.aeb_gen_cfg_reserved_238.reserved(15 downto 8) &lt;= avalon_mm_rmap_i.writedata(15 downto 8);</t>
  </si>
  <si>
    <t xml:space="preserve">      rmap_registers_wr_o.aeb_gen_cfg_reserved_238.reserved(23 downto 16) &lt;= avalon_mm_rmap_i.writedata(23 downto 16);</t>
  </si>
  <si>
    <t xml:space="preserve">      rmap_registers_wr_o.aeb_gen_cfg_reserved_238.reserved(31 downto 24) &lt;= avalon_mm_rmap_i.writedata(31 downto 24);</t>
  </si>
  <si>
    <t xml:space="preserve">      rmap_registers_wr_o.aeb_gen_cfg_reserved_23c.reserved(7 downto 0) &lt;= avalon_mm_rmap_i.writedata(7 downto 0);</t>
  </si>
  <si>
    <t xml:space="preserve">      rmap_registers_wr_o.aeb_gen_cfg_reserved_23c.reserved(15 downto 8) &lt;= avalon_mm_rmap_i.writedata(15 downto 8);</t>
  </si>
  <si>
    <t xml:space="preserve">      rmap_registers_wr_o.aeb_gen_cfg_reserved_23c.reserved(23 downto 16) &lt;= avalon_mm_rmap_i.writedata(23 downto 16);</t>
  </si>
  <si>
    <t xml:space="preserve">      rmap_registers_wr_o.aeb_gen_cfg_reserved_23c.reserved(31 downto 24) &lt;= avalon_mm_rmap_i.writedata(31 downto 24);</t>
  </si>
  <si>
    <t xml:space="preserve">      rmap_registers_wr_o.aeb_gen_cfg_reserved_240.reserved(7 downto 0) &lt;= avalon_mm_rmap_i.writedata(7 downto 0);</t>
  </si>
  <si>
    <t xml:space="preserve">      rmap_registers_wr_o.aeb_gen_cfg_reserved_240.reserved(15 downto 8) &lt;= avalon_mm_rmap_i.writedata(15 downto 8);</t>
  </si>
  <si>
    <t xml:space="preserve">      rmap_registers_wr_o.aeb_gen_cfg_reserved_240.reserved(23 downto 16) &lt;= avalon_mm_rmap_i.writedata(23 downto 16);</t>
  </si>
  <si>
    <t xml:space="preserve">      rmap_registers_wr_o.aeb_gen_cfg_reserved_240.reserved(31 downto 24) &lt;= avalon_mm_rmap_i.writedata(31 downto 24);</t>
  </si>
  <si>
    <t xml:space="preserve">      rmap_registers_wr_o.aeb_gen_cfg_reserved_244.reserved(7 downto 0) &lt;= avalon_mm_rmap_i.writedata(7 downto 0);</t>
  </si>
  <si>
    <t xml:space="preserve">      rmap_registers_wr_o.aeb_gen_cfg_reserved_244.reserved(15 downto 8) &lt;= avalon_mm_rmap_i.writedata(15 downto 8);</t>
  </si>
  <si>
    <t xml:space="preserve">      rmap_registers_wr_o.aeb_gen_cfg_reserved_244.reserved(23 downto 16) &lt;= avalon_mm_rmap_i.writedata(23 downto 16);</t>
  </si>
  <si>
    <t xml:space="preserve">      rmap_registers_wr_o.aeb_gen_cfg_reserved_244.reserved(31 downto 24) &lt;= avalon_mm_rmap_i.writedata(31 downto 24);</t>
  </si>
  <si>
    <t xml:space="preserve">      rmap_registers_wr_o.aeb_gen_cfg_reserved_248.reserved(7 downto 0) &lt;= avalon_mm_rmap_i.writedata(7 downto 0);</t>
  </si>
  <si>
    <t xml:space="preserve">      rmap_registers_wr_o.aeb_gen_cfg_reserved_248.reserved(15 downto 8) &lt;= avalon_mm_rmap_i.writedata(15 downto 8);</t>
  </si>
  <si>
    <t xml:space="preserve">      rmap_registers_wr_o.aeb_gen_cfg_reserved_248.reserved(23 downto 16) &lt;= avalon_mm_rmap_i.writedata(23 downto 16);</t>
  </si>
  <si>
    <t xml:space="preserve">      rmap_registers_wr_o.aeb_gen_cfg_reserved_248.reserved(31 downto 24) &lt;= avalon_mm_rmap_i.writedata(31 downto 24);</t>
  </si>
  <si>
    <t xml:space="preserve">      rmap_registers_wr_o.aeb_gen_cfg_reserved_24c.reserved(7 downto 0) &lt;= avalon_mm_rmap_i.writedata(7 downto 0);</t>
  </si>
  <si>
    <t xml:space="preserve">      rmap_registers_wr_o.aeb_gen_cfg_reserved_24c.reserved(15 downto 8) &lt;= avalon_mm_rmap_i.writedata(15 downto 8);</t>
  </si>
  <si>
    <t xml:space="preserve">      rmap_registers_wr_o.aeb_gen_cfg_reserved_24c.reserved(23 downto 16) &lt;= avalon_mm_rmap_i.writedata(23 downto 16);</t>
  </si>
  <si>
    <t xml:space="preserve">      rmap_registers_wr_o.aeb_gen_cfg_reserved_24c.reserved(31 downto 24) &lt;= avalon_mm_rmap_i.writedata(31 downto 24);</t>
  </si>
  <si>
    <t xml:space="preserve">      rmap_registers_wr_o.aeb_gen_cfg_reserved_250.reserved(7 downto 0) &lt;= avalon_mm_rmap_i.writedata(7 downto 0);</t>
  </si>
  <si>
    <t xml:space="preserve">      rmap_registers_wr_o.aeb_gen_cfg_reserved_250.reserved(15 downto 8) &lt;= avalon_mm_rmap_i.writedata(15 downto 8);</t>
  </si>
  <si>
    <t xml:space="preserve">      rmap_registers_wr_o.aeb_gen_cfg_reserved_250.reserved(23 downto 16) &lt;= avalon_mm_rmap_i.writedata(23 downto 16);</t>
  </si>
  <si>
    <t xml:space="preserve">      rmap_registers_wr_o.aeb_gen_cfg_reserved_250.reserved(31 downto 24) &lt;= avalon_mm_rmap_i.writedata(31 downto 24);</t>
  </si>
  <si>
    <t xml:space="preserve">      rmap_registers_wr_o.aeb_gen_cfg_reserved_254.reserved(7 downto 0) &lt;= avalon_mm_rmap_i.writedata(7 downto 0);</t>
  </si>
  <si>
    <t xml:space="preserve">      rmap_registers_wr_o.aeb_gen_cfg_reserved_254.reserved(15 downto 8) &lt;= avalon_mm_rmap_i.writedata(15 downto 8);</t>
  </si>
  <si>
    <t xml:space="preserve">      rmap_registers_wr_o.aeb_gen_cfg_reserved_254.reserved(23 downto 16) &lt;= avalon_mm_rmap_i.writedata(23 downto 16);</t>
  </si>
  <si>
    <t xml:space="preserve">      rmap_registers_wr_o.aeb_gen_cfg_reserved_254.reserved(31 downto 24) &lt;= avalon_mm_rmap_i.writedata(31 downto 24);</t>
  </si>
  <si>
    <t xml:space="preserve">      rmap_registers_wr_o.aeb_gen_cfg_reserved_258.reserved(7 downto 0) &lt;= avalon_mm_rmap_i.writedata(7 downto 0);</t>
  </si>
  <si>
    <t xml:space="preserve">      rmap_registers_wr_o.aeb_gen_cfg_reserved_258.reserved(15 downto 8) &lt;= avalon_mm_rmap_i.writedata(15 downto 8);</t>
  </si>
  <si>
    <t xml:space="preserve">      rmap_registers_wr_o.aeb_gen_cfg_reserved_258.reserved(23 downto 16) &lt;= avalon_mm_rmap_i.writedata(23 downto 16);</t>
  </si>
  <si>
    <t xml:space="preserve">      rmap_registers_wr_o.aeb_gen_cfg_reserved_258.reserved(31 downto 24) &lt;= avalon_mm_rmap_i.writedata(31 downto 24);</t>
  </si>
  <si>
    <t xml:space="preserve">      rmap_registers_wr_o.aeb_gen_cfg_reserved_25c.reserved(7 downto 0) &lt;= avalon_mm_rmap_i.writedata(7 downto 0);</t>
  </si>
  <si>
    <t xml:space="preserve">      rmap_registers_wr_o.aeb_gen_cfg_reserved_25c.reserved(15 downto 8) &lt;= avalon_mm_rmap_i.writedata(15 downto 8);</t>
  </si>
  <si>
    <t xml:space="preserve">      rmap_registers_wr_o.aeb_gen_cfg_reserved_25c.reserved(23 downto 16) &lt;= avalon_mm_rmap_i.writedata(23 downto 16);</t>
  </si>
  <si>
    <t xml:space="preserve">      rmap_registers_wr_o.aeb_gen_cfg_reserved_25c.reserved(31 downto 24) &lt;= avalon_mm_rmap_i.writedata(31 downto 24);</t>
  </si>
  <si>
    <t xml:space="preserve">      rmap_registers_wr_o.aeb_gen_cfg_reserved_260.reserved(7 downto 0) &lt;= avalon_mm_rmap_i.writedata(7 downto 0);</t>
  </si>
  <si>
    <t xml:space="preserve">      rmap_registers_wr_o.aeb_gen_cfg_reserved_260.reserved(15 downto 8) &lt;= avalon_mm_rmap_i.writedata(15 downto 8);</t>
  </si>
  <si>
    <t xml:space="preserve">      rmap_registers_wr_o.aeb_gen_cfg_reserved_260.reserved(23 downto 16) &lt;= avalon_mm_rmap_i.writedata(23 downto 16);</t>
  </si>
  <si>
    <t xml:space="preserve">      rmap_registers_wr_o.aeb_gen_cfg_reserved_260.reserved(31 downto 24) &lt;= avalon_mm_rmap_i.writedata(31 downto 24);</t>
  </si>
  <si>
    <t xml:space="preserve">      rmap_registers_wr_o.aeb_gen_cfg_reserved_264.reserved(7 downto 0) &lt;= avalon_mm_rmap_i.writedata(7 downto 0);</t>
  </si>
  <si>
    <t xml:space="preserve">      rmap_registers_wr_o.aeb_gen_cfg_reserved_264.reserved(15 downto 8) &lt;= avalon_mm_rmap_i.writedata(15 downto 8);</t>
  </si>
  <si>
    <t xml:space="preserve">      rmap_registers_wr_o.aeb_gen_cfg_reserved_264.reserved(23 downto 16) &lt;= avalon_mm_rmap_i.writedata(23 downto 16);</t>
  </si>
  <si>
    <t xml:space="preserve">      rmap_registers_wr_o.aeb_gen_cfg_reserved_264.reserved(31 downto 24) &lt;= avalon_mm_rmap_i.writedata(31 downto 24);</t>
  </si>
  <si>
    <t xml:space="preserve">      rmap_registers_wr_o.aeb_gen_cfg_reserved_268.reserved(7 downto 0) &lt;= avalon_mm_rmap_i.writedata(7 downto 0);</t>
  </si>
  <si>
    <t xml:space="preserve">      rmap_registers_wr_o.aeb_gen_cfg_reserved_268.reserved(15 downto 8) &lt;= avalon_mm_rmap_i.writedata(15 downto 8);</t>
  </si>
  <si>
    <t xml:space="preserve">      rmap_registers_wr_o.aeb_gen_cfg_reserved_268.reserved(23 downto 16) &lt;= avalon_mm_rmap_i.writedata(23 downto 16);</t>
  </si>
  <si>
    <t xml:space="preserve">      rmap_registers_wr_o.aeb_gen_cfg_reserved_268.reserved(31 downto 24) &lt;= avalon_mm_rmap_i.writedata(31 downto 24);</t>
  </si>
  <si>
    <t xml:space="preserve">      rmap_registers_wr_o.aeb_gen_cfg_reserved_26c.reserved(7 downto 0) &lt;= avalon_mm_rmap_i.writedata(7 downto 0);</t>
  </si>
  <si>
    <t xml:space="preserve">      rmap_registers_wr_o.aeb_gen_cfg_reserved_26c.reserved(15 downto 8) &lt;= avalon_mm_rmap_i.writedata(15 downto 8);</t>
  </si>
  <si>
    <t xml:space="preserve">      rmap_registers_wr_o.aeb_gen_cfg_reserved_26c.reserved(23 downto 16) &lt;= avalon_mm_rmap_i.writedata(23 downto 16);</t>
  </si>
  <si>
    <t xml:space="preserve">      rmap_registers_wr_o.aeb_gen_cfg_reserved_26c.reserved(31 downto 24) &lt;= avalon_mm_rmap_i.writedata(31 downto 24);</t>
  </si>
  <si>
    <t xml:space="preserve">      rmap_registers_wr_o.aeb_gen_cfg_reserved_270.reserved(7 downto 0) &lt;= avalon_mm_rmap_i.writedata(7 downto 0);</t>
  </si>
  <si>
    <t xml:space="preserve">      rmap_registers_wr_o.aeb_gen_cfg_reserved_270.reserved(15 downto 8) &lt;= avalon_mm_rmap_i.writedata(15 downto 8);</t>
  </si>
  <si>
    <t xml:space="preserve">      rmap_registers_wr_o.aeb_gen_cfg_reserved_270.reserved(23 downto 16) &lt;= avalon_mm_rmap_i.writedata(23 downto 16);</t>
  </si>
  <si>
    <t xml:space="preserve">      rmap_registers_wr_o.aeb_gen_cfg_reserved_270.reserved(31 downto 24) &lt;= avalon_mm_rmap_i.writedata(31 downto 24);</t>
  </si>
  <si>
    <t xml:space="preserve">      rmap_registers_wr_o.aeb_gen_cfg_reserved_274.reserved(7 downto 0) &lt;= avalon_mm_rmap_i.writedata(7 downto 0);</t>
  </si>
  <si>
    <t xml:space="preserve">      rmap_registers_wr_o.aeb_gen_cfg_reserved_274.reserved(15 downto 8) &lt;= avalon_mm_rmap_i.writedata(15 downto 8);</t>
  </si>
  <si>
    <t xml:space="preserve">      rmap_registers_wr_o.aeb_gen_cfg_reserved_274.reserved(23 downto 16) &lt;= avalon_mm_rmap_i.writedata(23 downto 16);</t>
  </si>
  <si>
    <t xml:space="preserve">      rmap_registers_wr_o.aeb_gen_cfg_reserved_274.reserved(31 downto 24) &lt;= avalon_mm_rmap_i.writedata(31 downto 24);</t>
  </si>
  <si>
    <t xml:space="preserve">      rmap_registers_wr_o.aeb_gen_cfg_reserved_278.reserved(7 downto 0) &lt;= avalon_mm_rmap_i.writedata(7 downto 0);</t>
  </si>
  <si>
    <t xml:space="preserve">      rmap_registers_wr_o.aeb_gen_cfg_reserved_278.reserved(15 downto 8) &lt;= avalon_mm_rmap_i.writedata(15 downto 8);</t>
  </si>
  <si>
    <t xml:space="preserve">      rmap_registers_wr_o.aeb_gen_cfg_reserved_278.reserved(23 downto 16) &lt;= avalon_mm_rmap_i.writedata(23 downto 16);</t>
  </si>
  <si>
    <t xml:space="preserve">      rmap_registers_wr_o.aeb_gen_cfg_reserved_278.reserved(31 downto 24) &lt;= avalon_mm_rmap_i.writedata(31 downto 24);</t>
  </si>
  <si>
    <t xml:space="preserve">      rmap_registers_wr_o.aeb_gen_cfg_reserved_27c.reserved(7 downto 0) &lt;= avalon_mm_rmap_i.writedata(7 downto 0);</t>
  </si>
  <si>
    <t xml:space="preserve">      rmap_registers_wr_o.aeb_gen_cfg_reserved_27c.reserved(15 downto 8) &lt;= avalon_mm_rmap_i.writedata(15 downto 8);</t>
  </si>
  <si>
    <t xml:space="preserve">      rmap_registers_wr_o.aeb_gen_cfg_reserved_27c.reserved(23 downto 16) &lt;= avalon_mm_rmap_i.writedata(23 downto 16);</t>
  </si>
  <si>
    <t xml:space="preserve">      rmap_registers_wr_o.aeb_gen_cfg_reserved_27c.reserved(31 downto 24) &lt;= avalon_mm_rmap_i.writedata(31 downto 24);</t>
  </si>
  <si>
    <t xml:space="preserve">      rmap_registers_wr_o.aeb_gen_cfg_reserved_280.reserved(7 downto 0) &lt;= avalon_mm_rmap_i.writedata(7 downto 0);</t>
  </si>
  <si>
    <t xml:space="preserve">      rmap_registers_wr_o.aeb_gen_cfg_reserved_280.reserved(15 downto 8) &lt;= avalon_mm_rmap_i.writedata(15 downto 8);</t>
  </si>
  <si>
    <t xml:space="preserve">      rmap_registers_wr_o.aeb_gen_cfg_reserved_280.reserved(23 downto 16) &lt;= avalon_mm_rmap_i.writedata(23 downto 16);</t>
  </si>
  <si>
    <t xml:space="preserve">      rmap_registers_wr_o.aeb_gen_cfg_reserved_280.reserved(31 downto 24) &lt;= avalon_mm_rmap_i.writedata(31 downto 24);</t>
  </si>
  <si>
    <t xml:space="preserve">      rmap_registers_wr_o.aeb_gen_cfg_reserved_284.reserved(7 downto 0) &lt;= avalon_mm_rmap_i.writedata(7 downto 0);</t>
  </si>
  <si>
    <t xml:space="preserve">      rmap_registers_wr_o.aeb_gen_cfg_reserved_284.reserved(15 downto 8) &lt;= avalon_mm_rmap_i.writedata(15 downto 8);</t>
  </si>
  <si>
    <t xml:space="preserve">      rmap_registers_wr_o.aeb_gen_cfg_reserved_284.reserved(23 downto 16) &lt;= avalon_mm_rmap_i.writedata(23 downto 16);</t>
  </si>
  <si>
    <t xml:space="preserve">      rmap_registers_wr_o.aeb_gen_cfg_reserved_284.reserved(31 downto 24) &lt;= avalon_mm_rmap_i.writedata(31 downto 24);</t>
  </si>
  <si>
    <t xml:space="preserve">      rmap_registers_wr_o.aeb_gen_cfg_reserved_288.reserved(7 downto 0) &lt;= avalon_mm_rmap_i.writedata(7 downto 0);</t>
  </si>
  <si>
    <t xml:space="preserve">      rmap_registers_wr_o.aeb_gen_cfg_reserved_288.reserved(15 downto 8) &lt;= avalon_mm_rmap_i.writedata(15 downto 8);</t>
  </si>
  <si>
    <t xml:space="preserve">      rmap_registers_wr_o.aeb_gen_cfg_reserved_288.reserved(23 downto 16) &lt;= avalon_mm_rmap_i.writedata(23 downto 16);</t>
  </si>
  <si>
    <t xml:space="preserve">      rmap_registers_wr_o.aeb_gen_cfg_reserved_288.reserved(31 downto 24) &lt;= avalon_mm_rmap_i.writedata(31 downto 24);</t>
  </si>
  <si>
    <t xml:space="preserve">      rmap_registers_wr_o.aeb_gen_cfg_reserved_28c.reserved(7 downto 0) &lt;= avalon_mm_rmap_i.writedata(7 downto 0);</t>
  </si>
  <si>
    <t xml:space="preserve">      rmap_registers_wr_o.aeb_gen_cfg_reserved_28c.reserved(15 downto 8) &lt;= avalon_mm_rmap_i.writedata(15 downto 8);</t>
  </si>
  <si>
    <t xml:space="preserve">      rmap_registers_wr_o.aeb_gen_cfg_reserved_28c.reserved(23 downto 16) &lt;= avalon_mm_rmap_i.writedata(23 downto 16);</t>
  </si>
  <si>
    <t xml:space="preserve">      rmap_registers_wr_o.aeb_gen_cfg_reserved_28c.reserved(31 downto 24) &lt;= avalon_mm_rmap_i.writedata(31 downto 24);</t>
  </si>
  <si>
    <t xml:space="preserve">      rmap_registers_wr_o.aeb_gen_cfg_reserved_290.reserved(7 downto 0) &lt;= avalon_mm_rmap_i.writedata(7 downto 0);</t>
  </si>
  <si>
    <t xml:space="preserve">      rmap_registers_wr_o.aeb_gen_cfg_reserved_290.reserved(15 downto 8) &lt;= avalon_mm_rmap_i.writedata(15 downto 8);</t>
  </si>
  <si>
    <t xml:space="preserve">      rmap_registers_wr_o.aeb_gen_cfg_reserved_290.reserved(23 downto 16) &lt;= avalon_mm_rmap_i.writedata(23 downto 16);</t>
  </si>
  <si>
    <t xml:space="preserve">      rmap_registers_wr_o.aeb_gen_cfg_reserved_290.reserved(31 downto 24) &lt;= avalon_mm_rmap_i.writedata(31 downto 24);</t>
  </si>
  <si>
    <t xml:space="preserve">      rmap_registers_wr_o.aeb_gen_cfg_reserved_294.reserved(7 downto 0) &lt;= avalon_mm_rmap_i.writedata(7 downto 0);</t>
  </si>
  <si>
    <t xml:space="preserve">      rmap_registers_wr_o.aeb_gen_cfg_reserved_294.reserved(15 downto 8) &lt;= avalon_mm_rmap_i.writedata(15 downto 8);</t>
  </si>
  <si>
    <t xml:space="preserve">      rmap_registers_wr_o.aeb_gen_cfg_reserved_294.reserved(23 downto 16) &lt;= avalon_mm_rmap_i.writedata(23 downto 16);</t>
  </si>
  <si>
    <t xml:space="preserve">      rmap_registers_wr_o.aeb_gen_cfg_reserved_294.reserved(31 downto 24) &lt;= avalon_mm_rmap_i.writedata(31 downto 24);</t>
  </si>
  <si>
    <t xml:space="preserve">      rmap_registers_wr_o.aeb_gen_cfg_reserved_298.reserved(7 downto 0) &lt;= avalon_mm_rmap_i.writedata(7 downto 0);</t>
  </si>
  <si>
    <t xml:space="preserve">      rmap_registers_wr_o.aeb_gen_cfg_reserved_298.reserved(15 downto 8) &lt;= avalon_mm_rmap_i.writedata(15 downto 8);</t>
  </si>
  <si>
    <t xml:space="preserve">      rmap_registers_wr_o.aeb_gen_cfg_reserved_298.reserved(23 downto 16) &lt;= avalon_mm_rmap_i.writedata(23 downto 16);</t>
  </si>
  <si>
    <t xml:space="preserve">      rmap_registers_wr_o.aeb_gen_cfg_reserved_298.reserved(31 downto 24) &lt;= avalon_mm_rmap_i.writedata(31 downto 24);</t>
  </si>
  <si>
    <t xml:space="preserve">      rmap_registers_wr_o.aeb_gen_cfg_reserved_29c.reserved(7 downto 0) &lt;= avalon_mm_rmap_i.writedata(7 downto 0);</t>
  </si>
  <si>
    <t xml:space="preserve">      rmap_registers_wr_o.aeb_gen_cfg_reserved_29c.reserved(15 downto 8) &lt;= avalon_mm_rmap_i.writedata(15 downto 8);</t>
  </si>
  <si>
    <t xml:space="preserve">      rmap_registers_wr_o.aeb_gen_cfg_reserved_29c.reserved(23 downto 16) &lt;= avalon_mm_rmap_i.writedata(23 downto 16);</t>
  </si>
  <si>
    <t xml:space="preserve">      rmap_registers_wr_o.aeb_gen_cfg_reserved_29c.reserved(31 downto 24) &lt;= avalon_mm_rmap_i.writedata(31 downto 24);</t>
  </si>
  <si>
    <t xml:space="preserve">      rmap_registers_wr_o.aeb_gen_cfg_reserved_2a0.reserved(7 downto 0) &lt;= avalon_mm_rmap_i.writedata(7 downto 0);</t>
  </si>
  <si>
    <t xml:space="preserve">      rmap_registers_wr_o.aeb_gen_cfg_reserved_2a0.reserved(15 downto 8) &lt;= avalon_mm_rmap_i.writedata(15 downto 8);</t>
  </si>
  <si>
    <t xml:space="preserve">      rmap_registers_wr_o.aeb_gen_cfg_reserved_2a0.reserved(23 downto 16) &lt;= avalon_mm_rmap_i.writedata(23 downto 16);</t>
  </si>
  <si>
    <t xml:space="preserve">      rmap_registers_wr_o.aeb_gen_cfg_reserved_2a0.reserved(31 downto 24) &lt;= avalon_mm_rmap_i.writedata(31 downto 24);</t>
  </si>
  <si>
    <t xml:space="preserve">      rmap_registers_wr_o.aeb_gen_cfg_reserved_2a4.reserved(7 downto 0) &lt;= avalon_mm_rmap_i.writedata(7 downto 0);</t>
  </si>
  <si>
    <t xml:space="preserve">      rmap_registers_wr_o.aeb_gen_cfg_reserved_2a4.reserved(15 downto 8) &lt;= avalon_mm_rmap_i.writedata(15 downto 8);</t>
  </si>
  <si>
    <t xml:space="preserve">      rmap_registers_wr_o.aeb_gen_cfg_reserved_2a4.reserved(23 downto 16) &lt;= avalon_mm_rmap_i.writedata(23 downto 16);</t>
  </si>
  <si>
    <t xml:space="preserve">      rmap_registers_wr_o.aeb_gen_cfg_reserved_2a4.reserved(31 downto 24) &lt;= avalon_mm_rmap_i.writedata(31 downto 24);</t>
  </si>
  <si>
    <t xml:space="preserve">      rmap_registers_wr_o.aeb_gen_cfg_reserved_2a8.reserved(7 downto 0) &lt;= avalon_mm_rmap_i.writedata(7 downto 0);</t>
  </si>
  <si>
    <t xml:space="preserve">      rmap_registers_wr_o.aeb_gen_cfg_reserved_2a8.reserved(15 downto 8) &lt;= avalon_mm_rmap_i.writedata(15 downto 8);</t>
  </si>
  <si>
    <t xml:space="preserve">      rmap_registers_wr_o.aeb_gen_cfg_reserved_2a8.reserved(23 downto 16) &lt;= avalon_mm_rmap_i.writedata(23 downto 16);</t>
  </si>
  <si>
    <t xml:space="preserve">      rmap_registers_wr_o.aeb_gen_cfg_reserved_2a8.reserved(31 downto 24) &lt;= avalon_mm_rmap_i.writedata(31 downto 24);</t>
  </si>
  <si>
    <t xml:space="preserve">      rmap_registers_wr_o.aeb_gen_cfg_reserved_2ac.reserved(7 downto 0) &lt;= avalon_mm_rmap_i.writedata(7 downto 0);</t>
  </si>
  <si>
    <t xml:space="preserve">      rmap_registers_wr_o.aeb_gen_cfg_reserved_2ac.reserved(15 downto 8) &lt;= avalon_mm_rmap_i.writedata(15 downto 8);</t>
  </si>
  <si>
    <t xml:space="preserve">      rmap_registers_wr_o.aeb_gen_cfg_reserved_2ac.reserved(23 downto 16) &lt;= avalon_mm_rmap_i.writedata(23 downto 16);</t>
  </si>
  <si>
    <t xml:space="preserve">      rmap_registers_wr_o.aeb_gen_cfg_reserved_2ac.reserved(31 downto 24) &lt;= avalon_mm_rmap_i.writedata(31 downto 24);</t>
  </si>
  <si>
    <t xml:space="preserve">      rmap_registers_wr_o.aeb_gen_cfg_reserved_2b0.reserved(7 downto 0) &lt;= avalon_mm_rmap_i.writedata(7 downto 0);</t>
  </si>
  <si>
    <t xml:space="preserve">      rmap_registers_wr_o.aeb_gen_cfg_reserved_2b0.reserved(15 downto 8) &lt;= avalon_mm_rmap_i.writedata(15 downto 8);</t>
  </si>
  <si>
    <t xml:space="preserve">      rmap_registers_wr_o.aeb_gen_cfg_reserved_2b0.reserved(23 downto 16) &lt;= avalon_mm_rmap_i.writedata(23 downto 16);</t>
  </si>
  <si>
    <t xml:space="preserve">      rmap_registers_wr_o.aeb_gen_cfg_reserved_2b0.reserved(31 downto 24) &lt;= avalon_mm_rmap_i.writedata(31 downto 24);</t>
  </si>
  <si>
    <t xml:space="preserve">      rmap_registers_wr_o.aeb_gen_cfg_reserved_2b4.reserved(7 downto 0) &lt;= avalon_mm_rmap_i.writedata(7 downto 0);</t>
  </si>
  <si>
    <t xml:space="preserve">      rmap_registers_wr_o.aeb_gen_cfg_reserved_2b4.reserved(15 downto 8) &lt;= avalon_mm_rmap_i.writedata(15 downto 8);</t>
  </si>
  <si>
    <t xml:space="preserve">      rmap_registers_wr_o.aeb_gen_cfg_reserved_2b4.reserved(23 downto 16) &lt;= avalon_mm_rmap_i.writedata(23 downto 16);</t>
  </si>
  <si>
    <t xml:space="preserve">      rmap_registers_wr_o.aeb_gen_cfg_reserved_2b4.reserved(31 downto 24) &lt;= avalon_mm_rmap_i.writedata(31 downto 24);</t>
  </si>
  <si>
    <t xml:space="preserve">      rmap_registers_wr_o.aeb_gen_cfg_reserved_2b8.reserved(7 downto 0) &lt;= avalon_mm_rmap_i.writedata(7 downto 0);</t>
  </si>
  <si>
    <t xml:space="preserve">      rmap_registers_wr_o.aeb_gen_cfg_reserved_2b8.reserved(15 downto 8) &lt;= avalon_mm_rmap_i.writedata(15 downto 8);</t>
  </si>
  <si>
    <t xml:space="preserve">      rmap_registers_wr_o.aeb_gen_cfg_reserved_2b8.reserved(23 downto 16) &lt;= avalon_mm_rmap_i.writedata(23 downto 16);</t>
  </si>
  <si>
    <t xml:space="preserve">      rmap_registers_wr_o.aeb_gen_cfg_reserved_2b8.reserved(31 downto 24) &lt;= avalon_mm_rmap_i.writedata(31 downto 24);</t>
  </si>
  <si>
    <t xml:space="preserve">      rmap_registers_wr_o.aeb_gen_cfg_reserved_2bc.reserved(7 downto 0) &lt;= avalon_mm_rmap_i.writedata(7 downto 0);</t>
  </si>
  <si>
    <t xml:space="preserve">      rmap_registers_wr_o.aeb_gen_cfg_reserved_2bc.reserved(15 downto 8) &lt;= avalon_mm_rmap_i.writedata(15 downto 8);</t>
  </si>
  <si>
    <t xml:space="preserve">      rmap_registers_wr_o.aeb_gen_cfg_reserved_2bc.reserved(23 downto 16) &lt;= avalon_mm_rmap_i.writedata(23 downto 16);</t>
  </si>
  <si>
    <t xml:space="preserve">      rmap_registers_wr_o.aeb_gen_cfg_reserved_2bc.reserved(31 downto 24) &lt;= avalon_mm_rmap_i.writedata(31 downto 24);</t>
  </si>
  <si>
    <t xml:space="preserve">      rmap_registers_wr_o.aeb_gen_cfg_reserved_2c0.reserved(7 downto 0) &lt;= avalon_mm_rmap_i.writedata(7 downto 0);</t>
  </si>
  <si>
    <t xml:space="preserve">      rmap_registers_wr_o.aeb_gen_cfg_reserved_2c0.reserved(15 downto 8) &lt;= avalon_mm_rmap_i.writedata(15 downto 8);</t>
  </si>
  <si>
    <t xml:space="preserve">      rmap_registers_wr_o.aeb_gen_cfg_reserved_2c0.reserved(23 downto 16) &lt;= avalon_mm_rmap_i.writedata(23 downto 16);</t>
  </si>
  <si>
    <t xml:space="preserve">      rmap_registers_wr_o.aeb_gen_cfg_reserved_2c0.reserved(31 downto 24) &lt;= avalon_mm_rmap_i.writedata(31 downto 24);</t>
  </si>
  <si>
    <t xml:space="preserve">      rmap_registers_wr_o.aeb_gen_cfg_reserved_2c4.reserved(7 downto 0) &lt;= avalon_mm_rmap_i.writedata(7 downto 0);</t>
  </si>
  <si>
    <t xml:space="preserve">      rmap_registers_wr_o.aeb_gen_cfg_reserved_2c4.reserved(15 downto 8) &lt;= avalon_mm_rmap_i.writedata(15 downto 8);</t>
  </si>
  <si>
    <t xml:space="preserve">      rmap_registers_wr_o.aeb_gen_cfg_reserved_2c4.reserved(23 downto 16) &lt;= avalon_mm_rmap_i.writedata(23 downto 16);</t>
  </si>
  <si>
    <t xml:space="preserve">      rmap_registers_wr_o.aeb_gen_cfg_reserved_2c4.reserved(31 downto 24) &lt;= avalon_mm_rmap_i.writedata(31 downto 24);</t>
  </si>
  <si>
    <t xml:space="preserve">      rmap_registers_wr_o.aeb_gen_cfg_reserved_2c8.reserved(7 downto 0) &lt;= avalon_mm_rmap_i.writedata(7 downto 0);</t>
  </si>
  <si>
    <t xml:space="preserve">      rmap_registers_wr_o.aeb_gen_cfg_reserved_2c8.reserved(15 downto 8) &lt;= avalon_mm_rmap_i.writedata(15 downto 8);</t>
  </si>
  <si>
    <t xml:space="preserve">      rmap_registers_wr_o.aeb_gen_cfg_reserved_2c8.reserved(23 downto 16) &lt;= avalon_mm_rmap_i.writedata(23 downto 16);</t>
  </si>
  <si>
    <t xml:space="preserve">      rmap_registers_wr_o.aeb_gen_cfg_reserved_2c8.reserved(31 downto 24) &lt;= avalon_mm_rmap_i.writedata(31 downto 24);</t>
  </si>
  <si>
    <t xml:space="preserve">      rmap_registers_wr_o.aeb_gen_cfg_reserved_2cc.reserved(7 downto 0) &lt;= avalon_mm_rmap_i.writedata(7 downto 0);</t>
  </si>
  <si>
    <t xml:space="preserve">      rmap_registers_wr_o.aeb_gen_cfg_reserved_2cc.reserved(15 downto 8) &lt;= avalon_mm_rmap_i.writedata(15 downto 8);</t>
  </si>
  <si>
    <t xml:space="preserve">      rmap_registers_wr_o.aeb_gen_cfg_reserved_2cc.reserved(23 downto 16) &lt;= avalon_mm_rmap_i.writedata(23 downto 16);</t>
  </si>
  <si>
    <t xml:space="preserve">      rmap_registers_wr_o.aeb_gen_cfg_reserved_2cc.reserved(31 downto 24) &lt;= avalon_mm_rmap_i.writedata(31 downto 24);</t>
  </si>
  <si>
    <t xml:space="preserve">      rmap_registers_wr_o.aeb_gen_cfg_reserved_2d0.reserved(7 downto 0) &lt;= avalon_mm_rmap_i.writedata(7 downto 0);</t>
  </si>
  <si>
    <t xml:space="preserve">      rmap_registers_wr_o.aeb_gen_cfg_reserved_2d0.reserved(15 downto 8) &lt;= avalon_mm_rmap_i.writedata(15 downto 8);</t>
  </si>
  <si>
    <t xml:space="preserve">      rmap_registers_wr_o.aeb_gen_cfg_reserved_2d0.reserved(23 downto 16) &lt;= avalon_mm_rmap_i.writedata(23 downto 16);</t>
  </si>
  <si>
    <t xml:space="preserve">      rmap_registers_wr_o.aeb_gen_cfg_reserved_2d0.reserved(31 downto 24) &lt;= avalon_mm_rmap_i.writedata(31 downto 24);</t>
  </si>
  <si>
    <t xml:space="preserve">      rmap_registers_wr_o.aeb_gen_cfg_reserved_2d4.reserved(7 downto 0) &lt;= avalon_mm_rmap_i.writedata(7 downto 0);</t>
  </si>
  <si>
    <t xml:space="preserve">      rmap_registers_wr_o.aeb_gen_cfg_reserved_2d4.reserved(15 downto 8) &lt;= avalon_mm_rmap_i.writedata(15 downto 8);</t>
  </si>
  <si>
    <t xml:space="preserve">      rmap_registers_wr_o.aeb_gen_cfg_reserved_2d4.reserved(23 downto 16) &lt;= avalon_mm_rmap_i.writedata(23 downto 16);</t>
  </si>
  <si>
    <t xml:space="preserve">      rmap_registers_wr_o.aeb_gen_cfg_reserved_2d4.reserved(31 downto 24) &lt;= avalon_mm_rmap_i.writedata(31 downto 24);</t>
  </si>
  <si>
    <t xml:space="preserve">      rmap_registers_wr_o.aeb_gen_cfg_reserved_2d8.reserved(7 downto 0) &lt;= avalon_mm_rmap_i.writedata(7 downto 0);</t>
  </si>
  <si>
    <t xml:space="preserve">      rmap_registers_wr_o.aeb_gen_cfg_reserved_2d8.reserved(15 downto 8) &lt;= avalon_mm_rmap_i.writedata(15 downto 8);</t>
  </si>
  <si>
    <t xml:space="preserve">      rmap_registers_wr_o.aeb_gen_cfg_reserved_2d8.reserved(23 downto 16) &lt;= avalon_mm_rmap_i.writedata(23 downto 16);</t>
  </si>
  <si>
    <t xml:space="preserve">      rmap_registers_wr_o.aeb_gen_cfg_reserved_2d8.reserved(31 downto 24) &lt;= avalon_mm_rmap_i.writedata(31 downto 24);</t>
  </si>
  <si>
    <t xml:space="preserve">      rmap_registers_wr_o.aeb_gen_cfg_reserved_2dc.reserved(7 downto 0) &lt;= avalon_mm_rmap_i.writedata(7 downto 0);</t>
  </si>
  <si>
    <t xml:space="preserve">      rmap_registers_wr_o.aeb_gen_cfg_reserved_2dc.reserved(15 downto 8) &lt;= avalon_mm_rmap_i.writedata(15 downto 8);</t>
  </si>
  <si>
    <t xml:space="preserve">      rmap_registers_wr_o.aeb_gen_cfg_reserved_2dc.reserved(23 downto 16) &lt;= avalon_mm_rmap_i.writedata(23 downto 16);</t>
  </si>
  <si>
    <t xml:space="preserve">      rmap_registers_wr_o.aeb_gen_cfg_reserved_2dc.reserved(31 downto 24) &lt;= avalon_mm_rmap_i.writedata(31 downto 24);</t>
  </si>
  <si>
    <t xml:space="preserve">      rmap_registers_wr_o.aeb_gen_cfg_reserved_2e0.reserved(7 downto 0) &lt;= avalon_mm_rmap_i.writedata(7 downto 0);</t>
  </si>
  <si>
    <t xml:space="preserve">      rmap_registers_wr_o.aeb_gen_cfg_reserved_2e0.reserved(15 downto 8) &lt;= avalon_mm_rmap_i.writedata(15 downto 8);</t>
  </si>
  <si>
    <t xml:space="preserve">      rmap_registers_wr_o.aeb_gen_cfg_reserved_2e0.reserved(23 downto 16) &lt;= avalon_mm_rmap_i.writedata(23 downto 16);</t>
  </si>
  <si>
    <t xml:space="preserve">      rmap_registers_wr_o.aeb_gen_cfg_reserved_2e0.reserved(31 downto 24) &lt;= avalon_mm_rmap_i.writedata(31 downto 24);</t>
  </si>
  <si>
    <t xml:space="preserve">      rmap_registers_wr_o.aeb_gen_cfg_reserved_2e4.reserved(7 downto 0) &lt;= avalon_mm_rmap_i.writedata(7 downto 0);</t>
  </si>
  <si>
    <t xml:space="preserve">      rmap_registers_wr_o.aeb_gen_cfg_reserved_2e4.reserved(15 downto 8) &lt;= avalon_mm_rmap_i.writedata(15 downto 8);</t>
  </si>
  <si>
    <t xml:space="preserve">      rmap_registers_wr_o.aeb_gen_cfg_reserved_2e4.reserved(23 downto 16) &lt;= avalon_mm_rmap_i.writedata(23 downto 16);</t>
  </si>
  <si>
    <t xml:space="preserve">      rmap_registers_wr_o.aeb_gen_cfg_reserved_2e4.reserved(31 downto 24) &lt;= avalon_mm_rmap_i.writedata(31 downto 24);</t>
  </si>
  <si>
    <t xml:space="preserve">      rmap_registers_wr_o.aeb_gen_cfg_reserved_2e8.reserved(7 downto 0) &lt;= avalon_mm_rmap_i.writedata(7 downto 0);</t>
  </si>
  <si>
    <t xml:space="preserve">      rmap_registers_wr_o.aeb_gen_cfg_reserved_2e8.reserved(15 downto 8) &lt;= avalon_mm_rmap_i.writedata(15 downto 8);</t>
  </si>
  <si>
    <t xml:space="preserve">      rmap_registers_wr_o.aeb_gen_cfg_reserved_2e8.reserved(23 downto 16) &lt;= avalon_mm_rmap_i.writedata(23 downto 16);</t>
  </si>
  <si>
    <t xml:space="preserve">      rmap_registers_wr_o.aeb_gen_cfg_reserved_2e8.reserved(31 downto 24) &lt;= avalon_mm_rmap_i.writedata(31 downto 24);</t>
  </si>
  <si>
    <t xml:space="preserve">      rmap_registers_wr_o.aeb_gen_cfg_reserved_2ec.reserved(7 downto 0) &lt;= avalon_mm_rmap_i.writedata(7 downto 0);</t>
  </si>
  <si>
    <t xml:space="preserve">      rmap_registers_wr_o.aeb_gen_cfg_reserved_2ec.reserved(15 downto 8) &lt;= avalon_mm_rmap_i.writedata(15 downto 8);</t>
  </si>
  <si>
    <t xml:space="preserve">      rmap_registers_wr_o.aeb_gen_cfg_reserved_2ec.reserved(23 downto 16) &lt;= avalon_mm_rmap_i.writedata(23 downto 16);</t>
  </si>
  <si>
    <t xml:space="preserve">      rmap_registers_wr_o.aeb_gen_cfg_reserved_2ec.reserved(31 downto 24) &lt;= avalon_mm_rmap_i.writedata(31 downto 24);</t>
  </si>
  <si>
    <t xml:space="preserve">      rmap_registers_wr_o.aeb_gen_cfg_reserved_2f0.reserved(7 downto 0) &lt;= avalon_mm_rmap_i.writedata(7 downto 0);</t>
  </si>
  <si>
    <t xml:space="preserve">      rmap_registers_wr_o.aeb_gen_cfg_reserved_2f0.reserved(15 downto 8) &lt;= avalon_mm_rmap_i.writedata(15 downto 8);</t>
  </si>
  <si>
    <t xml:space="preserve">      rmap_registers_wr_o.aeb_gen_cfg_reserved_2f0.reserved(23 downto 16) &lt;= avalon_mm_rmap_i.writedata(23 downto 16);</t>
  </si>
  <si>
    <t xml:space="preserve">      rmap_registers_wr_o.aeb_gen_cfg_reserved_2f0.reserved(31 downto 24) &lt;= avalon_mm_rmap_i.writedata(31 downto 24);</t>
  </si>
  <si>
    <t xml:space="preserve">      rmap_registers_wr_o.aeb_gen_cfg_reserved_2f4.reserved(7 downto 0) &lt;= avalon_mm_rmap_i.writedata(7 downto 0);</t>
  </si>
  <si>
    <t xml:space="preserve">      rmap_registers_wr_o.aeb_gen_cfg_reserved_2f4.reserved(15 downto 8) &lt;= avalon_mm_rmap_i.writedata(15 downto 8);</t>
  </si>
  <si>
    <t xml:space="preserve">      rmap_registers_wr_o.aeb_gen_cfg_reserved_2f4.reserved(23 downto 16) &lt;= avalon_mm_rmap_i.writedata(23 downto 16);</t>
  </si>
  <si>
    <t xml:space="preserve">      rmap_registers_wr_o.aeb_gen_cfg_reserved_2f4.reserved(31 downto 24) &lt;= avalon_mm_rmap_i.writedata(31 downto 24);</t>
  </si>
  <si>
    <t xml:space="preserve">      rmap_registers_wr_o.aeb_gen_cfg_reserved_2f8.reserved(7 downto 0) &lt;= avalon_mm_rmap_i.writedata(7 downto 0);</t>
  </si>
  <si>
    <t xml:space="preserve">      rmap_registers_wr_o.aeb_gen_cfg_reserved_2f8.reserved(15 downto 8) &lt;= avalon_mm_rmap_i.writedata(15 downto 8);</t>
  </si>
  <si>
    <t xml:space="preserve">      rmap_registers_wr_o.aeb_gen_cfg_reserved_2f8.reserved(23 downto 16) &lt;= avalon_mm_rmap_i.writedata(23 downto 16);</t>
  </si>
  <si>
    <t xml:space="preserve">      rmap_registers_wr_o.aeb_gen_cfg_reserved_2f8.reserved(31 downto 24) &lt;= avalon_mm_rmap_i.writedata(31 downto 24);</t>
  </si>
  <si>
    <t xml:space="preserve">      rmap_registers_wr_o.aeb_gen_cfg_reserved_2fc.reserved(7 downto 0) &lt;= avalon_mm_rmap_i.writedata(7 downto 0);</t>
  </si>
  <si>
    <t xml:space="preserve">      rmap_registers_wr_o.aeb_gen_cfg_reserved_2fc.reserved(15 downto 8) &lt;= avalon_mm_rmap_i.writedata(15 downto 8);</t>
  </si>
  <si>
    <t xml:space="preserve">      rmap_registers_wr_o.aeb_gen_cfg_reserved_2fc.reserved(23 downto 16) &lt;= avalon_mm_rmap_i.writedata(23 downto 16);</t>
  </si>
  <si>
    <t xml:space="preserve">      rmap_registers_wr_o.aeb_gen_cfg_reserved_2fc.reserved(31 downto 24) &lt;= avalon_mm_rmap_i.writedata(31 downto 24);</t>
  </si>
  <si>
    <t xml:space="preserve">      rmap_registers_wr_o.aeb_gen_cfg_reserved_300.reserved(7 downto 0) &lt;= avalon_mm_rmap_i.writedata(7 downto 0);</t>
  </si>
  <si>
    <t xml:space="preserve">      rmap_registers_wr_o.aeb_gen_cfg_reserved_300.reserved(15 downto 8) &lt;= avalon_mm_rmap_i.writedata(15 downto 8);</t>
  </si>
  <si>
    <t xml:space="preserve">      rmap_registers_wr_o.aeb_gen_cfg_reserved_300.reserved(23 downto 16) &lt;= avalon_mm_rmap_i.writedata(23 downto 16);</t>
  </si>
  <si>
    <t xml:space="preserve">      rmap_registers_wr_o.aeb_gen_cfg_reserved_300.reserved(31 downto 24) &lt;= avalon_mm_rmap_i.writedata(31 downto 24);</t>
  </si>
  <si>
    <t xml:space="preserve">      rmap_registers_wr_o.aeb_gen_cfg_reserved_304.reserved(7 downto 0) &lt;= avalon_mm_rmap_i.writedata(7 downto 0);</t>
  </si>
  <si>
    <t xml:space="preserve">      rmap_registers_wr_o.aeb_gen_cfg_reserved_304.reserved(15 downto 8) &lt;= avalon_mm_rmap_i.writedata(15 downto 8);</t>
  </si>
  <si>
    <t xml:space="preserve">      rmap_registers_wr_o.aeb_gen_cfg_reserved_304.reserved(23 downto 16) &lt;= avalon_mm_rmap_i.writedata(23 downto 16);</t>
  </si>
  <si>
    <t xml:space="preserve">      rmap_registers_wr_o.aeb_gen_cfg_reserved_304.reserved(31 downto 24) &lt;= avalon_mm_rmap_i.writedata(31 downto 24);</t>
  </si>
  <si>
    <t xml:space="preserve">      rmap_registers_wr_o.aeb_gen_cfg_reserved_308.reserved(7 downto 0) &lt;= avalon_mm_rmap_i.writedata(7 downto 0);</t>
  </si>
  <si>
    <t xml:space="preserve">      rmap_registers_wr_o.aeb_gen_cfg_reserved_308.reserved(15 downto 8) &lt;= avalon_mm_rmap_i.writedata(15 downto 8);</t>
  </si>
  <si>
    <t xml:space="preserve">      rmap_registers_wr_o.aeb_gen_cfg_reserved_308.reserved(23 downto 16) &lt;= avalon_mm_rmap_i.writedata(23 downto 16);</t>
  </si>
  <si>
    <t xml:space="preserve">      rmap_registers_wr_o.aeb_gen_cfg_reserved_308.reserved(31 downto 24) &lt;= avalon_mm_rmap_i.writedata(31 downto 24);</t>
  </si>
  <si>
    <t xml:space="preserve">      rmap_registers_wr_o.aeb_gen_cfg_reserved_30c.reserved(7 downto 0) &lt;= avalon_mm_rmap_i.writedata(7 downto 0);</t>
  </si>
  <si>
    <t xml:space="preserve">      rmap_registers_wr_o.aeb_gen_cfg_reserved_30c.reserved(15 downto 8) &lt;= avalon_mm_rmap_i.writedata(15 downto 8);</t>
  </si>
  <si>
    <t xml:space="preserve">      rmap_registers_wr_o.aeb_gen_cfg_reserved_30c.reserved(23 downto 16) &lt;= avalon_mm_rmap_i.writedata(23 downto 16);</t>
  </si>
  <si>
    <t xml:space="preserve">      rmap_registers_wr_o.aeb_gen_cfg_reserved_30c.reserved(31 downto 24) &lt;= avalon_mm_rmap_i.writedata(31 downto 24);</t>
  </si>
  <si>
    <t xml:space="preserve">      rmap_registers_wr_o.aeb_gen_cfg_reserved_310.reserved(7 downto 0) &lt;= avalon_mm_rmap_i.writedata(7 downto 0);</t>
  </si>
  <si>
    <t xml:space="preserve">      rmap_registers_wr_o.aeb_gen_cfg_reserved_310.reserved(15 downto 8) &lt;= avalon_mm_rmap_i.writedata(15 downto 8);</t>
  </si>
  <si>
    <t xml:space="preserve">      rmap_registers_wr_o.aeb_gen_cfg_reserved_310.reserved(23 downto 16) &lt;= avalon_mm_rmap_i.writedata(23 downto 16);</t>
  </si>
  <si>
    <t xml:space="preserve">      rmap_registers_wr_o.aeb_gen_cfg_reserved_310.reserved(31 downto 24) &lt;= avalon_mm_rmap_i.writedata(31 downto 24);</t>
  </si>
  <si>
    <t xml:space="preserve">      rmap_registers_wr_o.aeb_gen_cfg_reserved_314.reserved(7 downto 0) &lt;= avalon_mm_rmap_i.writedata(7 downto 0);</t>
  </si>
  <si>
    <t xml:space="preserve">      rmap_registers_wr_o.aeb_gen_cfg_reserved_314.reserved(15 downto 8) &lt;= avalon_mm_rmap_i.writedata(15 downto 8);</t>
  </si>
  <si>
    <t xml:space="preserve">      rmap_registers_wr_o.aeb_gen_cfg_reserved_314.reserved(23 downto 16) &lt;= avalon_mm_rmap_i.writedata(23 downto 16);</t>
  </si>
  <si>
    <t xml:space="preserve">      rmap_registers_wr_o.aeb_gen_cfg_reserved_314.reserved(31 downto 24) &lt;= avalon_mm_rmap_i.writedata(31 downto 24);</t>
  </si>
  <si>
    <t xml:space="preserve">      rmap_registers_wr_o.aeb_gen_cfg_reserved_318.reserved(7 downto 0) &lt;= avalon_mm_rmap_i.writedata(7 downto 0);</t>
  </si>
  <si>
    <t xml:space="preserve">      rmap_registers_wr_o.aeb_gen_cfg_reserved_318.reserved(15 downto 8) &lt;= avalon_mm_rmap_i.writedata(15 downto 8);</t>
  </si>
  <si>
    <t xml:space="preserve">      rmap_registers_wr_o.aeb_gen_cfg_reserved_318.reserved(23 downto 16) &lt;= avalon_mm_rmap_i.writedata(23 downto 16);</t>
  </si>
  <si>
    <t xml:space="preserve">      rmap_registers_wr_o.aeb_gen_cfg_reserved_318.reserved(31 downto 24) &lt;= avalon_mm_rmap_i.writedata(31 downto 24);</t>
  </si>
  <si>
    <t xml:space="preserve">      rmap_registers_wr_o.aeb_gen_cfg_reserved_31c.reserved(7 downto 0) &lt;= avalon_mm_rmap_i.writedata(7 downto 0);</t>
  </si>
  <si>
    <t xml:space="preserve">      rmap_registers_wr_o.aeb_gen_cfg_reserved_31c.reserved(15 downto 8) &lt;= avalon_mm_rmap_i.writedata(15 downto 8);</t>
  </si>
  <si>
    <t xml:space="preserve">      rmap_registers_wr_o.aeb_gen_cfg_reserved_31c.reserved(23 downto 16) &lt;= avalon_mm_rmap_i.writedata(23 downto 16);</t>
  </si>
  <si>
    <t xml:space="preserve">      rmap_registers_wr_o.aeb_gen_cfg_reserved_31c.reserved(31 downto 24) &lt;= avalon_mm_rmap_i.writedata(31 downto 24);</t>
  </si>
  <si>
    <t xml:space="preserve">      rmap_registers_wr_o.aeb_gen_cfg_reserved_320.reserved(7 downto 0) &lt;= avalon_mm_rmap_i.writedata(7 downto 0);</t>
  </si>
  <si>
    <t xml:space="preserve">      rmap_registers_wr_o.aeb_gen_cfg_reserved_320.reserved(15 downto 8) &lt;= avalon_mm_rmap_i.writedata(15 downto 8);</t>
  </si>
  <si>
    <t xml:space="preserve">      rmap_registers_wr_o.aeb_gen_cfg_reserved_320.reserved(23 downto 16) &lt;= avalon_mm_rmap_i.writedata(23 downto 16);</t>
  </si>
  <si>
    <t xml:space="preserve">      rmap_registers_wr_o.aeb_gen_cfg_reserved_320.reserved(31 downto 24) &lt;= avalon_mm_rmap_i.writedata(31 downto 24);</t>
  </si>
  <si>
    <t xml:space="preserve">      rmap_registers_wr_o.aeb_gen_cfg_reserved_324.reserved(7 downto 0) &lt;= avalon_mm_rmap_i.writedata(7 downto 0);</t>
  </si>
  <si>
    <t xml:space="preserve">      rmap_registers_wr_o.aeb_gen_cfg_reserved_324.reserved(15 downto 8) &lt;= avalon_mm_rmap_i.writedata(15 downto 8);</t>
  </si>
  <si>
    <t xml:space="preserve">      rmap_registers_wr_o.aeb_gen_cfg_reserved_324.reserved(23 downto 16) &lt;= avalon_mm_rmap_i.writedata(23 downto 16);</t>
  </si>
  <si>
    <t xml:space="preserve">      rmap_registers_wr_o.aeb_gen_cfg_reserved_324.reserved(31 downto 24) &lt;= avalon_mm_rmap_i.writedata(31 downto 24);</t>
  </si>
  <si>
    <t xml:space="preserve">      rmap_registers_wr_o.aeb_gen_cfg_reserved_328.reserved(7 downto 0) &lt;= avalon_mm_rmap_i.writedata(7 downto 0);</t>
  </si>
  <si>
    <t xml:space="preserve">      rmap_registers_wr_o.aeb_gen_cfg_reserved_328.reserved(15 downto 8) &lt;= avalon_mm_rmap_i.writedata(15 downto 8);</t>
  </si>
  <si>
    <t xml:space="preserve">      rmap_registers_wr_o.aeb_gen_cfg_reserved_328.reserved(23 downto 16) &lt;= avalon_mm_rmap_i.writedata(23 downto 16);</t>
  </si>
  <si>
    <t xml:space="preserve">      rmap_registers_wr_o.aeb_gen_cfg_reserved_328.reserved(31 downto 24) &lt;= avalon_mm_rmap_i.writedata(31 downto 24);</t>
  </si>
  <si>
    <t xml:space="preserve">      rmap_registers_wr_o.aeb_gen_cfg_reserved_32c.reserved(7 downto 0) &lt;= avalon_mm_rmap_i.writedata(7 downto 0);</t>
  </si>
  <si>
    <t xml:space="preserve">      rmap_registers_wr_o.aeb_gen_cfg_reserved_32c.reserved(15 downto 8) &lt;= avalon_mm_rmap_i.writedata(15 downto 8);</t>
  </si>
  <si>
    <t xml:space="preserve">      rmap_registers_wr_o.aeb_gen_cfg_reserved_32c.reserved(23 downto 16) &lt;= avalon_mm_rmap_i.writedata(23 downto 16);</t>
  </si>
  <si>
    <t xml:space="preserve">      rmap_registers_wr_o.aeb_gen_cfg_reserved_32c.reserved(31 downto 24) &lt;= avalon_mm_rmap_i.writedata(31 downto 24);</t>
  </si>
  <si>
    <t xml:space="preserve">      rmap_registers_wr_o.aeb_gen_cfg_reserved_330.reserved(7 downto 0) &lt;= avalon_mm_rmap_i.writedata(7 downto 0);</t>
  </si>
  <si>
    <t xml:space="preserve">      rmap_registers_wr_o.aeb_gen_cfg_reserved_330.reserved(15 downto 8) &lt;= avalon_mm_rmap_i.writedata(15 downto 8);</t>
  </si>
  <si>
    <t xml:space="preserve">      rmap_registers_wr_o.aeb_gen_cfg_reserved_330.reserved(23 downto 16) &lt;= avalon_mm_rmap_i.writedata(23 downto 16);</t>
  </si>
  <si>
    <t xml:space="preserve">      rmap_registers_wr_o.aeb_gen_cfg_reserved_330.reserved(31 downto 24) &lt;= avalon_mm_rmap_i.writedata(31 downto 24);</t>
  </si>
  <si>
    <t xml:space="preserve">      rmap_registers_wr_o.aeb_gen_cfg_reserved_334.reserved(7 downto 0) &lt;= avalon_mm_rmap_i.writedata(7 downto 0);</t>
  </si>
  <si>
    <t xml:space="preserve">      rmap_registers_wr_o.aeb_gen_cfg_reserved_334.reserved(15 downto 8) &lt;= avalon_mm_rmap_i.writedata(15 downto 8);</t>
  </si>
  <si>
    <t xml:space="preserve">      rmap_registers_wr_o.aeb_gen_cfg_reserved_334.reserved(23 downto 16) &lt;= avalon_mm_rmap_i.writedata(23 downto 16);</t>
  </si>
  <si>
    <t xml:space="preserve">      rmap_registers_wr_o.aeb_gen_cfg_reserved_334.reserved(31 downto 24) &lt;= avalon_mm_rmap_i.writedata(31 downto 24);</t>
  </si>
  <si>
    <t xml:space="preserve">      rmap_registers_wr_o.aeb_gen_cfg_reserved_338.reserved(7 downto 0) &lt;= avalon_mm_rmap_i.writedata(7 downto 0);</t>
  </si>
  <si>
    <t xml:space="preserve">      rmap_registers_wr_o.aeb_gen_cfg_reserved_338.reserved(15 downto 8) &lt;= avalon_mm_rmap_i.writedata(15 downto 8);</t>
  </si>
  <si>
    <t xml:space="preserve">      rmap_registers_wr_o.aeb_gen_cfg_reserved_338.reserved(23 downto 16) &lt;= avalon_mm_rmap_i.writedata(23 downto 16);</t>
  </si>
  <si>
    <t xml:space="preserve">      rmap_registers_wr_o.aeb_gen_cfg_reserved_338.reserved(31 downto 24) &lt;= avalon_mm_rmap_i.writedata(31 downto 24);</t>
  </si>
  <si>
    <t xml:space="preserve">      rmap_registers_wr_o.aeb_gen_cfg_reserved_33c.reserved(7 downto 0) &lt;= avalon_mm_rmap_i.writedata(7 downto 0);</t>
  </si>
  <si>
    <t xml:space="preserve">      rmap_registers_wr_o.aeb_gen_cfg_reserved_33c.reserved(15 downto 8) &lt;= avalon_mm_rmap_i.writedata(15 downto 8);</t>
  </si>
  <si>
    <t xml:space="preserve">      rmap_registers_wr_o.aeb_gen_cfg_reserved_33c.reserved(23 downto 16) &lt;= avalon_mm_rmap_i.writedata(23 downto 16);</t>
  </si>
  <si>
    <t xml:space="preserve">      rmap_registers_wr_o.aeb_gen_cfg_reserved_33c.reserved(31 downto 24) &lt;= avalon_mm_rmap_i.writedata(31 downto 24);</t>
  </si>
  <si>
    <t xml:space="preserve">      rmap_registers_wr_o.aeb_gen_cfg_reserved_340.reserved(7 downto 0) &lt;= avalon_mm_rmap_i.writedata(7 downto 0);</t>
  </si>
  <si>
    <t xml:space="preserve">      rmap_registers_wr_o.aeb_gen_cfg_reserved_340.reserved(15 downto 8) &lt;= avalon_mm_rmap_i.writedata(15 downto 8);</t>
  </si>
  <si>
    <t xml:space="preserve">      rmap_registers_wr_o.aeb_gen_cfg_reserved_340.reserved(23 downto 16) &lt;= avalon_mm_rmap_i.writedata(23 downto 16);</t>
  </si>
  <si>
    <t xml:space="preserve">      rmap_registers_wr_o.aeb_gen_cfg_reserved_340.reserved(31 downto 24) &lt;= avalon_mm_rmap_i.writedata(31 downto 24);</t>
  </si>
  <si>
    <t xml:space="preserve">      rmap_registers_wr_o.aeb_gen_cfg_reserved_344.reserved(7 downto 0) &lt;= avalon_mm_rmap_i.writedata(7 downto 0);</t>
  </si>
  <si>
    <t xml:space="preserve">      rmap_registers_wr_o.aeb_gen_cfg_reserved_344.reserved(15 downto 8) &lt;= avalon_mm_rmap_i.writedata(15 downto 8);</t>
  </si>
  <si>
    <t xml:space="preserve">      rmap_registers_wr_o.aeb_gen_cfg_reserved_344.reserved(23 downto 16) &lt;= avalon_mm_rmap_i.writedata(23 downto 16);</t>
  </si>
  <si>
    <t xml:space="preserve">      rmap_registers_wr_o.aeb_gen_cfg_reserved_344.reserved(31 downto 24) &lt;= avalon_mm_rmap_i.writedata(31 downto 24);</t>
  </si>
  <si>
    <t xml:space="preserve">      rmap_registers_wr_o.aeb_gen_cfg_reserved_348.reserved(7 downto 0) &lt;= avalon_mm_rmap_i.writedata(7 downto 0);</t>
  </si>
  <si>
    <t xml:space="preserve">      rmap_registers_wr_o.aeb_gen_cfg_reserved_348.reserved(15 downto 8) &lt;= avalon_mm_rmap_i.writedata(15 downto 8);</t>
  </si>
  <si>
    <t xml:space="preserve">      rmap_registers_wr_o.aeb_gen_cfg_reserved_348.reserved(23 downto 16) &lt;= avalon_mm_rmap_i.writedata(23 downto 16);</t>
  </si>
  <si>
    <t xml:space="preserve">      rmap_registers_wr_o.aeb_gen_cfg_reserved_348.reserved(31 downto 24) &lt;= avalon_mm_rmap_i.writedata(31 downto 24);</t>
  </si>
  <si>
    <t xml:space="preserve">      rmap_registers_wr_o.aeb_gen_cfg_reserved_34c.reserved(7 downto 0) &lt;= avalon_mm_rmap_i.writedata(7 downto 0);</t>
  </si>
  <si>
    <t xml:space="preserve">      rmap_registers_wr_o.aeb_gen_cfg_reserved_34c.reserved(15 downto 8) &lt;= avalon_mm_rmap_i.writedata(15 downto 8);</t>
  </si>
  <si>
    <t xml:space="preserve">      rmap_registers_wr_o.aeb_gen_cfg_reserved_34c.reserved(23 downto 16) &lt;= avalon_mm_rmap_i.writedata(23 downto 16);</t>
  </si>
  <si>
    <t xml:space="preserve">      rmap_registers_wr_o.aeb_gen_cfg_reserved_34c.reserved(31 downto 24) &lt;= avalon_mm_rmap_i.writedata(31 downto 24);</t>
  </si>
  <si>
    <t xml:space="preserve">      rmap_registers_wr_o.aeb_gen_cfg_reserved_350.reserved(7 downto 0) &lt;= avalon_mm_rmap_i.writedata(7 downto 0);</t>
  </si>
  <si>
    <t xml:space="preserve">      rmap_registers_wr_o.aeb_gen_cfg_reserved_350.reserved(15 downto 8) &lt;= avalon_mm_rmap_i.writedata(15 downto 8);</t>
  </si>
  <si>
    <t xml:space="preserve">      rmap_registers_wr_o.aeb_gen_cfg_reserved_350.reserved(23 downto 16) &lt;= avalon_mm_rmap_i.writedata(23 downto 16);</t>
  </si>
  <si>
    <t xml:space="preserve">      rmap_registers_wr_o.aeb_gen_cfg_reserved_350.reserved(31 downto 24) &lt;= avalon_mm_rmap_i.writedata(31 downto 24);</t>
  </si>
  <si>
    <t xml:space="preserve">      rmap_registers_wr_o.aeb_gen_cfg_reserved_354.reserved(7 downto 0) &lt;= avalon_mm_rmap_i.writedata(7 downto 0);</t>
  </si>
  <si>
    <t xml:space="preserve">      rmap_registers_wr_o.aeb_gen_cfg_reserved_354.reserved(15 downto 8) &lt;= avalon_mm_rmap_i.writedata(15 downto 8);</t>
  </si>
  <si>
    <t xml:space="preserve">      rmap_registers_wr_o.aeb_gen_cfg_reserved_354.reserved(23 downto 16) &lt;= avalon_mm_rmap_i.writedata(23 downto 16);</t>
  </si>
  <si>
    <t xml:space="preserve">      rmap_registers_wr_o.aeb_gen_cfg_reserved_354.reserved(31 downto 24) &lt;= avalon_mm_rmap_i.writedata(31 downto 24);</t>
  </si>
  <si>
    <t xml:space="preserve">      rmap_registers_wr_o.aeb_gen_cfg_reserved_358.reserved(7 downto 0) &lt;= avalon_mm_rmap_i.writedata(7 downto 0);</t>
  </si>
  <si>
    <t xml:space="preserve">      rmap_registers_wr_o.aeb_gen_cfg_reserved_358.reserved(15 downto 8) &lt;= avalon_mm_rmap_i.writedata(15 downto 8);</t>
  </si>
  <si>
    <t xml:space="preserve">      rmap_registers_wr_o.aeb_gen_cfg_reserved_358.reserved(23 downto 16) &lt;= avalon_mm_rmap_i.writedata(23 downto 16);</t>
  </si>
  <si>
    <t xml:space="preserve">      rmap_registers_wr_o.aeb_gen_cfg_reserved_358.reserved(31 downto 24) &lt;= avalon_mm_rmap_i.writedata(31 downto 24);</t>
  </si>
  <si>
    <t xml:space="preserve">      rmap_registers_wr_o.aeb_gen_cfg_reserved_35c.reserved(7 downto 0) &lt;= avalon_mm_rmap_i.writedata(7 downto 0);</t>
  </si>
  <si>
    <t xml:space="preserve">      rmap_registers_wr_o.aeb_gen_cfg_reserved_35c.reserved(15 downto 8) &lt;= avalon_mm_rmap_i.writedata(15 downto 8);</t>
  </si>
  <si>
    <t xml:space="preserve">      rmap_registers_wr_o.aeb_gen_cfg_reserved_35c.reserved(23 downto 16) &lt;= avalon_mm_rmap_i.writedata(23 downto 16);</t>
  </si>
  <si>
    <t xml:space="preserve">      rmap_registers_wr_o.aeb_gen_cfg_reserved_35c.reserved(31 downto 24) &lt;= avalon_mm_rmap_i.writedata(31 downto 24);</t>
  </si>
  <si>
    <t xml:space="preserve">      rmap_registers_wr_o.aeb_gen_cfg_reserved_360.reserved(7 downto 0) &lt;= avalon_mm_rmap_i.writedata(7 downto 0);</t>
  </si>
  <si>
    <t xml:space="preserve">      rmap_registers_wr_o.aeb_gen_cfg_reserved_360.reserved(15 downto 8) &lt;= avalon_mm_rmap_i.writedata(15 downto 8);</t>
  </si>
  <si>
    <t xml:space="preserve">      rmap_registers_wr_o.aeb_gen_cfg_reserved_360.reserved(23 downto 16) &lt;= avalon_mm_rmap_i.writedata(23 downto 16);</t>
  </si>
  <si>
    <t xml:space="preserve">      rmap_registers_wr_o.aeb_gen_cfg_reserved_360.reserved(31 downto 24) &lt;= avalon_mm_rmap_i.writedata(31 downto 24);</t>
  </si>
  <si>
    <t xml:space="preserve">      rmap_registers_wr_o.aeb_gen_cfg_reserved_364.reserved(7 downto 0) &lt;= avalon_mm_rmap_i.writedata(7 downto 0);</t>
  </si>
  <si>
    <t xml:space="preserve">      rmap_registers_wr_o.aeb_gen_cfg_reserved_364.reserved(15 downto 8) &lt;= avalon_mm_rmap_i.writedata(15 downto 8);</t>
  </si>
  <si>
    <t xml:space="preserve">      rmap_registers_wr_o.aeb_gen_cfg_reserved_364.reserved(23 downto 16) &lt;= avalon_mm_rmap_i.writedata(23 downto 16);</t>
  </si>
  <si>
    <t xml:space="preserve">      rmap_registers_wr_o.aeb_gen_cfg_reserved_364.reserved(31 downto 24) &lt;= avalon_mm_rmap_i.writedata(31 downto 24);</t>
  </si>
  <si>
    <t xml:space="preserve">      rmap_registers_wr_o.aeb_gen_cfg_reserved_368.reserved(7 downto 0) &lt;= avalon_mm_rmap_i.writedata(7 downto 0);</t>
  </si>
  <si>
    <t xml:space="preserve">      rmap_registers_wr_o.aeb_gen_cfg_reserved_368.reserved(15 downto 8) &lt;= avalon_mm_rmap_i.writedata(15 downto 8);</t>
  </si>
  <si>
    <t xml:space="preserve">      rmap_registers_wr_o.aeb_gen_cfg_reserved_368.reserved(23 downto 16) &lt;= avalon_mm_rmap_i.writedata(23 downto 16);</t>
  </si>
  <si>
    <t xml:space="preserve">      rmap_registers_wr_o.aeb_gen_cfg_reserved_368.reserved(31 downto 24) &lt;= avalon_mm_rmap_i.writedata(31 downto 24);</t>
  </si>
  <si>
    <t xml:space="preserve">      rmap_registers_wr_o.aeb_gen_cfg_reserved_36c.reserved(7 downto 0) &lt;= avalon_mm_rmap_i.writedata(7 downto 0);</t>
  </si>
  <si>
    <t xml:space="preserve">      rmap_registers_wr_o.aeb_gen_cfg_reserved_36c.reserved(15 downto 8) &lt;= avalon_mm_rmap_i.writedata(15 downto 8);</t>
  </si>
  <si>
    <t xml:space="preserve">      rmap_registers_wr_o.aeb_gen_cfg_reserved_36c.reserved(23 downto 16) &lt;= avalon_mm_rmap_i.writedata(23 downto 16);</t>
  </si>
  <si>
    <t xml:space="preserve">      rmap_registers_wr_o.aeb_gen_cfg_reserved_36c.reserved(31 downto 24) &lt;= avalon_mm_rmap_i.writedata(31 downto 24);</t>
  </si>
  <si>
    <t xml:space="preserve">      rmap_registers_wr_o.aeb_gen_cfg_reserved_370.reserved(7 downto 0) &lt;= avalon_mm_rmap_i.writedata(7 downto 0);</t>
  </si>
  <si>
    <t xml:space="preserve">      rmap_registers_wr_o.aeb_gen_cfg_reserved_370.reserved(15 downto 8) &lt;= avalon_mm_rmap_i.writedata(15 downto 8);</t>
  </si>
  <si>
    <t xml:space="preserve">      rmap_registers_wr_o.aeb_gen_cfg_reserved_370.reserved(23 downto 16) &lt;= avalon_mm_rmap_i.writedata(23 downto 16);</t>
  </si>
  <si>
    <t xml:space="preserve">      rmap_registers_wr_o.aeb_gen_cfg_reserved_370.reserved(31 downto 24) &lt;= avalon_mm_rmap_i.writedata(31 downto 24);</t>
  </si>
  <si>
    <t xml:space="preserve">      rmap_registers_wr_o.aeb_gen_cfg_reserved_374.reserved(7 downto 0) &lt;= avalon_mm_rmap_i.writedata(7 downto 0);</t>
  </si>
  <si>
    <t xml:space="preserve">      rmap_registers_wr_o.aeb_gen_cfg_reserved_374.reserved(15 downto 8) &lt;= avalon_mm_rmap_i.writedata(15 downto 8);</t>
  </si>
  <si>
    <t xml:space="preserve">      rmap_registers_wr_o.aeb_gen_cfg_reserved_374.reserved(23 downto 16) &lt;= avalon_mm_rmap_i.writedata(23 downto 16);</t>
  </si>
  <si>
    <t xml:space="preserve">      rmap_registers_wr_o.aeb_gen_cfg_reserved_374.reserved(31 downto 24) &lt;= avalon_mm_rmap_i.writedata(31 downto 24);</t>
  </si>
  <si>
    <t xml:space="preserve">      rmap_registers_wr_o.aeb_gen_cfg_reserved_378.reserved(7 downto 0) &lt;= avalon_mm_rmap_i.writedata(7 downto 0);</t>
  </si>
  <si>
    <t xml:space="preserve">      rmap_registers_wr_o.aeb_gen_cfg_reserved_378.reserved(15 downto 8) &lt;= avalon_mm_rmap_i.writedata(15 downto 8);</t>
  </si>
  <si>
    <t xml:space="preserve">      rmap_registers_wr_o.aeb_gen_cfg_reserved_378.reserved(23 downto 16) &lt;= avalon_mm_rmap_i.writedata(23 downto 16);</t>
  </si>
  <si>
    <t xml:space="preserve">      rmap_registers_wr_o.aeb_gen_cfg_reserved_378.reserved(31 downto 24) &lt;= avalon_mm_rmap_i.writedata(31 downto 24);</t>
  </si>
  <si>
    <t xml:space="preserve">      rmap_registers_wr_o.aeb_gen_cfg_reserved_37c.reserved(7 downto 0) &lt;= avalon_mm_rmap_i.writedata(7 downto 0);</t>
  </si>
  <si>
    <t xml:space="preserve">      rmap_registers_wr_o.aeb_gen_cfg_reserved_37c.reserved(15 downto 8) &lt;= avalon_mm_rmap_i.writedata(15 downto 8);</t>
  </si>
  <si>
    <t xml:space="preserve">      rmap_registers_wr_o.aeb_gen_cfg_reserved_37c.reserved(23 downto 16) &lt;= avalon_mm_rmap_i.writedata(23 downto 16);</t>
  </si>
  <si>
    <t xml:space="preserve">      rmap_registers_wr_o.aeb_gen_cfg_reserved_37c.reserved(31 downto 24) &lt;= avalon_mm_rmap_i.writedata(31 downto 24);</t>
  </si>
  <si>
    <t xml:space="preserve">      rmap_registers_wr_o.aeb_gen_cfg_reserved_380.reserved(7 downto 0) &lt;= avalon_mm_rmap_i.writedata(7 downto 0);</t>
  </si>
  <si>
    <t xml:space="preserve">      rmap_registers_wr_o.aeb_gen_cfg_reserved_380.reserved(15 downto 8) &lt;= avalon_mm_rmap_i.writedata(15 downto 8);</t>
  </si>
  <si>
    <t xml:space="preserve">      rmap_registers_wr_o.aeb_gen_cfg_reserved_380.reserved(23 downto 16) &lt;= avalon_mm_rmap_i.writedata(23 downto 16);</t>
  </si>
  <si>
    <t xml:space="preserve">      rmap_registers_wr_o.aeb_gen_cfg_reserved_380.reserved(31 downto 24) &lt;= avalon_mm_rmap_i.writedata(31 downto 24);</t>
  </si>
  <si>
    <t xml:space="preserve">      rmap_registers_wr_o.aeb_gen_cfg_reserved_384.reserved(7 downto 0) &lt;= avalon_mm_rmap_i.writedata(7 downto 0);</t>
  </si>
  <si>
    <t xml:space="preserve">      rmap_registers_wr_o.aeb_gen_cfg_reserved_384.reserved(15 downto 8) &lt;= avalon_mm_rmap_i.writedata(15 downto 8);</t>
  </si>
  <si>
    <t xml:space="preserve">      rmap_registers_wr_o.aeb_gen_cfg_reserved_384.reserved(23 downto 16) &lt;= avalon_mm_rmap_i.writedata(23 downto 16);</t>
  </si>
  <si>
    <t xml:space="preserve">      rmap_registers_wr_o.aeb_gen_cfg_reserved_384.reserved(31 downto 24) &lt;= avalon_mm_rmap_i.writedata(31 downto 24);</t>
  </si>
  <si>
    <t xml:space="preserve">      rmap_registers_wr_o.aeb_gen_cfg_reserved_388.reserved(7 downto 0) &lt;= avalon_mm_rmap_i.writedata(7 downto 0);</t>
  </si>
  <si>
    <t xml:space="preserve">      rmap_registers_wr_o.aeb_gen_cfg_reserved_388.reserved(15 downto 8) &lt;= avalon_mm_rmap_i.writedata(15 downto 8);</t>
  </si>
  <si>
    <t xml:space="preserve">      rmap_registers_wr_o.aeb_gen_cfg_reserved_388.reserved(23 downto 16) &lt;= avalon_mm_rmap_i.writedata(23 downto 16);</t>
  </si>
  <si>
    <t xml:space="preserve">      rmap_registers_wr_o.aeb_gen_cfg_reserved_388.reserved(31 downto 24) &lt;= avalon_mm_rmap_i.writedata(31 downto 24);</t>
  </si>
  <si>
    <t xml:space="preserve">      rmap_registers_wr_o.aeb_gen_cfg_reserved_38c.reserved(7 downto 0) &lt;= avalon_mm_rmap_i.writedata(7 downto 0);</t>
  </si>
  <si>
    <t xml:space="preserve">      rmap_registers_wr_o.aeb_gen_cfg_reserved_38c.reserved(15 downto 8) &lt;= avalon_mm_rmap_i.writedata(15 downto 8);</t>
  </si>
  <si>
    <t xml:space="preserve">      rmap_registers_wr_o.aeb_gen_cfg_reserved_38c.reserved(23 downto 16) &lt;= avalon_mm_rmap_i.writedata(23 downto 16);</t>
  </si>
  <si>
    <t xml:space="preserve">      rmap_registers_wr_o.aeb_gen_cfg_reserved_38c.reserved(31 downto 24) &lt;= avalon_mm_rmap_i.writedata(31 downto 24);</t>
  </si>
  <si>
    <t xml:space="preserve">      rmap_registers_wr_o.aeb_gen_cfg_reserved_390.reserved(7 downto 0) &lt;= avalon_mm_rmap_i.writedata(7 downto 0);</t>
  </si>
  <si>
    <t xml:space="preserve">      rmap_registers_wr_o.aeb_gen_cfg_reserved_390.reserved(15 downto 8) &lt;= avalon_mm_rmap_i.writedata(15 downto 8);</t>
  </si>
  <si>
    <t xml:space="preserve">      rmap_registers_wr_o.aeb_gen_cfg_reserved_390.reserved(23 downto 16) &lt;= avalon_mm_rmap_i.writedata(23 downto 16);</t>
  </si>
  <si>
    <t xml:space="preserve">      rmap_registers_wr_o.aeb_gen_cfg_reserved_390.reserved(31 downto 24) &lt;= avalon_mm_rmap_i.writedata(31 downto 24);</t>
  </si>
  <si>
    <t xml:space="preserve">      rmap_registers_wr_o.aeb_gen_cfg_reserved_394.reserved(7 downto 0) &lt;= avalon_mm_rmap_i.writedata(7 downto 0);</t>
  </si>
  <si>
    <t xml:space="preserve">      rmap_registers_wr_o.aeb_gen_cfg_reserved_394.reserved(15 downto 8) &lt;= avalon_mm_rmap_i.writedata(15 downto 8);</t>
  </si>
  <si>
    <t xml:space="preserve">      rmap_registers_wr_o.aeb_gen_cfg_reserved_394.reserved(23 downto 16) &lt;= avalon_mm_rmap_i.writedata(23 downto 16);</t>
  </si>
  <si>
    <t xml:space="preserve">      rmap_registers_wr_o.aeb_gen_cfg_reserved_394.reserved(31 downto 24) &lt;= avalon_mm_rmap_i.writedata(31 downto 24);</t>
  </si>
  <si>
    <t xml:space="preserve">      rmap_registers_wr_o.aeb_gen_cfg_reserved_398.reserved(7 downto 0) &lt;= avalon_mm_rmap_i.writedata(7 downto 0);</t>
  </si>
  <si>
    <t xml:space="preserve">      rmap_registers_wr_o.aeb_gen_cfg_reserved_398.reserved(15 downto 8) &lt;= avalon_mm_rmap_i.writedata(15 downto 8);</t>
  </si>
  <si>
    <t xml:space="preserve">      rmap_registers_wr_o.aeb_gen_cfg_reserved_398.reserved(23 downto 16) &lt;= avalon_mm_rmap_i.writedata(23 downto 16);</t>
  </si>
  <si>
    <t xml:space="preserve">      rmap_registers_wr_o.aeb_gen_cfg_reserved_398.reserved(31 downto 24) &lt;= avalon_mm_rmap_i.writedata(31 downto 24);</t>
  </si>
  <si>
    <t xml:space="preserve">      rmap_registers_wr_o.aeb_gen_cfg_reserved_39c.reserved(7 downto 0) &lt;= avalon_mm_rmap_i.writedata(7 downto 0);</t>
  </si>
  <si>
    <t xml:space="preserve">      rmap_registers_wr_o.aeb_gen_cfg_reserved_39c.reserved(15 downto 8) &lt;= avalon_mm_rmap_i.writedata(15 downto 8);</t>
  </si>
  <si>
    <t xml:space="preserve">      rmap_registers_wr_o.aeb_gen_cfg_reserved_39c.reserved(23 downto 16) &lt;= avalon_mm_rmap_i.writedata(23 downto 16);</t>
  </si>
  <si>
    <t xml:space="preserve">      rmap_registers_wr_o.aeb_gen_cfg_reserved_39c.reserved(31 downto 24) &lt;= avalon_mm_rmap_i.writedata(31 downto 24);</t>
  </si>
  <si>
    <t xml:space="preserve">      rmap_registers_wr_o.aeb_gen_cfg_reserved_3a0.reserved(7 downto 0) &lt;= avalon_mm_rmap_i.writedata(7 downto 0);</t>
  </si>
  <si>
    <t xml:space="preserve">      rmap_registers_wr_o.aeb_gen_cfg_reserved_3a0.reserved(15 downto 8) &lt;= avalon_mm_rmap_i.writedata(15 downto 8);</t>
  </si>
  <si>
    <t xml:space="preserve">      rmap_registers_wr_o.aeb_gen_cfg_reserved_3a0.reserved(23 downto 16) &lt;= avalon_mm_rmap_i.writedata(23 downto 16);</t>
  </si>
  <si>
    <t xml:space="preserve">      rmap_registers_wr_o.aeb_gen_cfg_reserved_3a0.reserved(31 downto 24) &lt;= avalon_mm_rmap_i.writedata(31 downto 24);</t>
  </si>
  <si>
    <t xml:space="preserve">      rmap_registers_wr_o.aeb_gen_cfg_reserved_3a4.reserved(7 downto 0) &lt;= avalon_mm_rmap_i.writedata(7 downto 0);</t>
  </si>
  <si>
    <t xml:space="preserve">      rmap_registers_wr_o.aeb_gen_cfg_reserved_3a4.reserved(15 downto 8) &lt;= avalon_mm_rmap_i.writedata(15 downto 8);</t>
  </si>
  <si>
    <t xml:space="preserve">      rmap_registers_wr_o.aeb_gen_cfg_reserved_3a4.reserved(23 downto 16) &lt;= avalon_mm_rmap_i.writedata(23 downto 16);</t>
  </si>
  <si>
    <t xml:space="preserve">      rmap_registers_wr_o.aeb_gen_cfg_reserved_3a4.reserved(31 downto 24) &lt;= avalon_mm_rmap_i.writedata(31 downto 24);</t>
  </si>
  <si>
    <t xml:space="preserve">      rmap_registers_wr_o.aeb_gen_cfg_reserved_3a8.reserved(7 downto 0) &lt;= avalon_mm_rmap_i.writedata(7 downto 0);</t>
  </si>
  <si>
    <t xml:space="preserve">      rmap_registers_wr_o.aeb_gen_cfg_reserved_3a8.reserved(15 downto 8) &lt;= avalon_mm_rmap_i.writedata(15 downto 8);</t>
  </si>
  <si>
    <t xml:space="preserve">      rmap_registers_wr_o.aeb_gen_cfg_reserved_3a8.reserved(23 downto 16) &lt;= avalon_mm_rmap_i.writedata(23 downto 16);</t>
  </si>
  <si>
    <t xml:space="preserve">      rmap_registers_wr_o.aeb_gen_cfg_reserved_3a8.reserved(31 downto 24) &lt;= avalon_mm_rmap_i.writedata(31 downto 24);</t>
  </si>
  <si>
    <t xml:space="preserve">      rmap_registers_wr_o.aeb_gen_cfg_reserved_3ac.reserved(7 downto 0) &lt;= avalon_mm_rmap_i.writedata(7 downto 0);</t>
  </si>
  <si>
    <t xml:space="preserve">      rmap_registers_wr_o.aeb_gen_cfg_reserved_3ac.reserved(15 downto 8) &lt;= avalon_mm_rmap_i.writedata(15 downto 8);</t>
  </si>
  <si>
    <t xml:space="preserve">      rmap_registers_wr_o.aeb_gen_cfg_reserved_3ac.reserved(23 downto 16) &lt;= avalon_mm_rmap_i.writedata(23 downto 16);</t>
  </si>
  <si>
    <t xml:space="preserve">      rmap_registers_wr_o.aeb_gen_cfg_reserved_3ac.reserved(31 downto 24) &lt;= avalon_mm_rmap_i.writedata(31 downto 24);</t>
  </si>
  <si>
    <t xml:space="preserve">      rmap_registers_wr_o.aeb_gen_cfg_reserved_3b0.reserved(7 downto 0) &lt;= avalon_mm_rmap_i.writedata(7 downto 0);</t>
  </si>
  <si>
    <t xml:space="preserve">      rmap_registers_wr_o.aeb_gen_cfg_reserved_3b0.reserved(15 downto 8) &lt;= avalon_mm_rmap_i.writedata(15 downto 8);</t>
  </si>
  <si>
    <t xml:space="preserve">      rmap_registers_wr_o.aeb_gen_cfg_reserved_3b0.reserved(23 downto 16) &lt;= avalon_mm_rmap_i.writedata(23 downto 16);</t>
  </si>
  <si>
    <t xml:space="preserve">      rmap_registers_wr_o.aeb_gen_cfg_reserved_3b0.reserved(31 downto 24) &lt;= avalon_mm_rmap_i.writedata(31 downto 24);</t>
  </si>
  <si>
    <t xml:space="preserve">      rmap_registers_wr_o.aeb_gen_cfg_reserved_3b4.reserved(7 downto 0) &lt;= avalon_mm_rmap_i.writedata(7 downto 0);</t>
  </si>
  <si>
    <t xml:space="preserve">      rmap_registers_wr_o.aeb_gen_cfg_reserved_3b4.reserved(15 downto 8) &lt;= avalon_mm_rmap_i.writedata(15 downto 8);</t>
  </si>
  <si>
    <t xml:space="preserve">      rmap_registers_wr_o.aeb_gen_cfg_reserved_3b4.reserved(23 downto 16) &lt;= avalon_mm_rmap_i.writedata(23 downto 16);</t>
  </si>
  <si>
    <t xml:space="preserve">      rmap_registers_wr_o.aeb_gen_cfg_reserved_3b4.reserved(31 downto 24) &lt;= avalon_mm_rmap_i.writedata(31 downto 24);</t>
  </si>
  <si>
    <t xml:space="preserve">      rmap_registers_wr_o.aeb_gen_cfg_reserved_3b8.reserved(7 downto 0) &lt;= avalon_mm_rmap_i.writedata(7 downto 0);</t>
  </si>
  <si>
    <t xml:space="preserve">      rmap_registers_wr_o.aeb_gen_cfg_reserved_3b8.reserved(15 downto 8) &lt;= avalon_mm_rmap_i.writedata(15 downto 8);</t>
  </si>
  <si>
    <t xml:space="preserve">      rmap_registers_wr_o.aeb_gen_cfg_reserved_3b8.reserved(23 downto 16) &lt;= avalon_mm_rmap_i.writedata(23 downto 16);</t>
  </si>
  <si>
    <t xml:space="preserve">      rmap_registers_wr_o.aeb_gen_cfg_reserved_3b8.reserved(31 downto 24) &lt;= avalon_mm_rmap_i.writedata(31 downto 24);</t>
  </si>
  <si>
    <t xml:space="preserve">      rmap_registers_wr_o.aeb_gen_cfg_reserved_3bc.reserved(7 downto 0) &lt;= avalon_mm_rmap_i.writedata(7 downto 0);</t>
  </si>
  <si>
    <t xml:space="preserve">      rmap_registers_wr_o.aeb_gen_cfg_reserved_3bc.reserved(15 downto 8) &lt;= avalon_mm_rmap_i.writedata(15 downto 8);</t>
  </si>
  <si>
    <t xml:space="preserve">      rmap_registers_wr_o.aeb_gen_cfg_reserved_3bc.reserved(23 downto 16) &lt;= avalon_mm_rmap_i.writedata(23 downto 16);</t>
  </si>
  <si>
    <t xml:space="preserve">      rmap_registers_wr_o.aeb_gen_cfg_reserved_3bc.reserved(31 downto 24) &lt;= avalon_mm_rmap_i.writedata(31 downto 24);</t>
  </si>
  <si>
    <t xml:space="preserve">      rmap_registers_wr_o.aeb_gen_cfg_reserved_3c0.reserved(7 downto 0) &lt;= avalon_mm_rmap_i.writedata(7 downto 0);</t>
  </si>
  <si>
    <t xml:space="preserve">      rmap_registers_wr_o.aeb_gen_cfg_reserved_3c0.reserved(15 downto 8) &lt;= avalon_mm_rmap_i.writedata(15 downto 8);</t>
  </si>
  <si>
    <t xml:space="preserve">      rmap_registers_wr_o.aeb_gen_cfg_reserved_3c0.reserved(23 downto 16) &lt;= avalon_mm_rmap_i.writedata(23 downto 16);</t>
  </si>
  <si>
    <t xml:space="preserve">      rmap_registers_wr_o.aeb_gen_cfg_reserved_3c0.reserved(31 downto 24) &lt;= avalon_mm_rmap_i.writedata(31 downto 24);</t>
  </si>
  <si>
    <t xml:space="preserve">      rmap_registers_wr_o.aeb_gen_cfg_reserved_3c4.reserved(7 downto 0) &lt;= avalon_mm_rmap_i.writedata(7 downto 0);</t>
  </si>
  <si>
    <t xml:space="preserve">      rmap_registers_wr_o.aeb_gen_cfg_reserved_3c4.reserved(15 downto 8) &lt;= avalon_mm_rmap_i.writedata(15 downto 8);</t>
  </si>
  <si>
    <t xml:space="preserve">      rmap_registers_wr_o.aeb_gen_cfg_reserved_3c4.reserved(23 downto 16) &lt;= avalon_mm_rmap_i.writedata(23 downto 16);</t>
  </si>
  <si>
    <t xml:space="preserve">      rmap_registers_wr_o.aeb_gen_cfg_reserved_3c4.reserved(31 downto 24) &lt;= avalon_mm_rmap_i.writedata(31 downto 24);</t>
  </si>
  <si>
    <t xml:space="preserve">      rmap_registers_wr_o.aeb_gen_cfg_reserved_3c8.reserved(7 downto 0) &lt;= avalon_mm_rmap_i.writedata(7 downto 0);</t>
  </si>
  <si>
    <t xml:space="preserve">      rmap_registers_wr_o.aeb_gen_cfg_reserved_3c8.reserved(15 downto 8) &lt;= avalon_mm_rmap_i.writedata(15 downto 8);</t>
  </si>
  <si>
    <t xml:space="preserve">      rmap_registers_wr_o.aeb_gen_cfg_reserved_3c8.reserved(23 downto 16) &lt;= avalon_mm_rmap_i.writedata(23 downto 16);</t>
  </si>
  <si>
    <t xml:space="preserve">      rmap_registers_wr_o.aeb_gen_cfg_reserved_3c8.reserved(31 downto 24) &lt;= avalon_mm_rmap_i.writedata(31 downto 24);</t>
  </si>
  <si>
    <t xml:space="preserve">      rmap_registers_wr_o.aeb_gen_cfg_reserved_3cc.reserved(7 downto 0) &lt;= avalon_mm_rmap_i.writedata(7 downto 0);</t>
  </si>
  <si>
    <t xml:space="preserve">      rmap_registers_wr_o.aeb_gen_cfg_reserved_3cc.reserved(15 downto 8) &lt;= avalon_mm_rmap_i.writedata(15 downto 8);</t>
  </si>
  <si>
    <t xml:space="preserve">      rmap_registers_wr_o.aeb_gen_cfg_reserved_3cc.reserved(23 downto 16) &lt;= avalon_mm_rmap_i.writedata(23 downto 16);</t>
  </si>
  <si>
    <t xml:space="preserve">      rmap_registers_wr_o.aeb_gen_cfg_reserved_3cc.reserved(31 downto 24) &lt;= avalon_mm_rmap_i.writedata(31 downto 24);</t>
  </si>
  <si>
    <t xml:space="preserve">      rmap_registers_wr_o.aeb_gen_cfg_reserved_3d0.reserved(7 downto 0) &lt;= avalon_mm_rmap_i.writedata(7 downto 0);</t>
  </si>
  <si>
    <t xml:space="preserve">      rmap_registers_wr_o.aeb_gen_cfg_reserved_3d0.reserved(15 downto 8) &lt;= avalon_mm_rmap_i.writedata(15 downto 8);</t>
  </si>
  <si>
    <t xml:space="preserve">      rmap_registers_wr_o.aeb_gen_cfg_reserved_3d0.reserved(23 downto 16) &lt;= avalon_mm_rmap_i.writedata(23 downto 16);</t>
  </si>
  <si>
    <t xml:space="preserve">      rmap_registers_wr_o.aeb_gen_cfg_reserved_3d0.reserved(31 downto 24) &lt;= avalon_mm_rmap_i.writedata(31 downto 24);</t>
  </si>
  <si>
    <t xml:space="preserve">      rmap_registers_wr_o.aeb_gen_cfg_reserved_3d4.reserved(7 downto 0) &lt;= avalon_mm_rmap_i.writedata(7 downto 0);</t>
  </si>
  <si>
    <t xml:space="preserve">      rmap_registers_wr_o.aeb_gen_cfg_reserved_3d4.reserved(15 downto 8) &lt;= avalon_mm_rmap_i.writedata(15 downto 8);</t>
  </si>
  <si>
    <t xml:space="preserve">      rmap_registers_wr_o.aeb_gen_cfg_reserved_3d4.reserved(23 downto 16) &lt;= avalon_mm_rmap_i.writedata(23 downto 16);</t>
  </si>
  <si>
    <t xml:space="preserve">      rmap_registers_wr_o.aeb_gen_cfg_reserved_3d4.reserved(31 downto 24) &lt;= avalon_mm_rmap_i.writedata(31 downto 24);</t>
  </si>
  <si>
    <t xml:space="preserve">      rmap_registers_wr_o.aeb_gen_cfg_reserved_3d8.reserved(7 downto 0) &lt;= avalon_mm_rmap_i.writedata(7 downto 0);</t>
  </si>
  <si>
    <t xml:space="preserve">      rmap_registers_wr_o.aeb_gen_cfg_reserved_3d8.reserved(15 downto 8) &lt;= avalon_mm_rmap_i.writedata(15 downto 8);</t>
  </si>
  <si>
    <t xml:space="preserve">      rmap_registers_wr_o.aeb_gen_cfg_reserved_3d8.reserved(23 downto 16) &lt;= avalon_mm_rmap_i.writedata(23 downto 16);</t>
  </si>
  <si>
    <t xml:space="preserve">      rmap_registers_wr_o.aeb_gen_cfg_reserved_3d8.reserved(31 downto 24) &lt;= avalon_mm_rmap_i.writedata(31 downto 24);</t>
  </si>
  <si>
    <t xml:space="preserve">      rmap_registers_wr_o.aeb_gen_cfg_reserved_3dc.reserved(7 downto 0) &lt;= avalon_mm_rmap_i.writedata(7 downto 0);</t>
  </si>
  <si>
    <t xml:space="preserve">      rmap_registers_wr_o.aeb_gen_cfg_reserved_3dc.reserved(15 downto 8) &lt;= avalon_mm_rmap_i.writedata(15 downto 8);</t>
  </si>
  <si>
    <t xml:space="preserve">      rmap_registers_wr_o.aeb_gen_cfg_reserved_3dc.reserved(23 downto 16) &lt;= avalon_mm_rmap_i.writedata(23 downto 16);</t>
  </si>
  <si>
    <t xml:space="preserve">      rmap_registers_wr_o.aeb_gen_cfg_reserved_3dc.reserved(31 downto 24) &lt;= avalon_mm_rmap_i.writedata(31 downto 24);</t>
  </si>
  <si>
    <t xml:space="preserve">      rmap_registers_wr_o.aeb_gen_cfg_reserved_3e0.reserved(7 downto 0) &lt;= avalon_mm_rmap_i.writedata(7 downto 0);</t>
  </si>
  <si>
    <t xml:space="preserve">      rmap_registers_wr_o.aeb_gen_cfg_reserved_3e0.reserved(15 downto 8) &lt;= avalon_mm_rmap_i.writedata(15 downto 8);</t>
  </si>
  <si>
    <t xml:space="preserve">      rmap_registers_wr_o.aeb_gen_cfg_reserved_3e0.reserved(23 downto 16) &lt;= avalon_mm_rmap_i.writedata(23 downto 16);</t>
  </si>
  <si>
    <t xml:space="preserve">      rmap_registers_wr_o.aeb_gen_cfg_reserved_3e0.reserved(31 downto 24) &lt;= avalon_mm_rmap_i.writedata(31 downto 24);</t>
  </si>
  <si>
    <t xml:space="preserve">      rmap_registers_wr_o.aeb_gen_cfg_reserved_3e4.reserved(7 downto 0) &lt;= avalon_mm_rmap_i.writedata(7 downto 0);</t>
  </si>
  <si>
    <t xml:space="preserve">      rmap_registers_wr_o.aeb_gen_cfg_reserved_3e4.reserved(15 downto 8) &lt;= avalon_mm_rmap_i.writedata(15 downto 8);</t>
  </si>
  <si>
    <t xml:space="preserve">      rmap_registers_wr_o.aeb_gen_cfg_reserved_3e4.reserved(23 downto 16) &lt;= avalon_mm_rmap_i.writedata(23 downto 16);</t>
  </si>
  <si>
    <t xml:space="preserve">      rmap_registers_wr_o.aeb_gen_cfg_reserved_3e4.reserved(31 downto 24) &lt;= avalon_mm_rmap_i.writedata(31 downto 24);</t>
  </si>
  <si>
    <t xml:space="preserve">      rmap_registers_wr_o.aeb_gen_cfg_reserved_3e8.reserved(7 downto 0) &lt;= avalon_mm_rmap_i.writedata(7 downto 0);</t>
  </si>
  <si>
    <t xml:space="preserve">      rmap_registers_wr_o.aeb_gen_cfg_reserved_3e8.reserved(15 downto 8) &lt;= avalon_mm_rmap_i.writedata(15 downto 8);</t>
  </si>
  <si>
    <t xml:space="preserve">      rmap_registers_wr_o.aeb_gen_cfg_reserved_3e8.reserved(23 downto 16) &lt;= avalon_mm_rmap_i.writedata(23 downto 16);</t>
  </si>
  <si>
    <t xml:space="preserve">      rmap_registers_wr_o.aeb_gen_cfg_reserved_3e8.reserved(31 downto 24) &lt;= avalon_mm_rmap_i.writedata(31 downto 24);</t>
  </si>
  <si>
    <t xml:space="preserve">      rmap_registers_wr_o.aeb_gen_cfg_reserved_3ec.reserved(7 downto 0) &lt;= avalon_mm_rmap_i.writedata(7 downto 0);</t>
  </si>
  <si>
    <t xml:space="preserve">      rmap_registers_wr_o.aeb_gen_cfg_reserved_3ec.reserved(15 downto 8) &lt;= avalon_mm_rmap_i.writedata(15 downto 8);</t>
  </si>
  <si>
    <t xml:space="preserve">      rmap_registers_wr_o.aeb_gen_cfg_reserved_3ec.reserved(23 downto 16) &lt;= avalon_mm_rmap_i.writedata(23 downto 16);</t>
  </si>
  <si>
    <t xml:space="preserve">      rmap_registers_wr_o.aeb_gen_cfg_reserved_3ec.reserved(31 downto 24) &lt;= avalon_mm_rmap_i.writedata(31 downto 24);</t>
  </si>
  <si>
    <t xml:space="preserve">      rmap_registers_wr_o.aeb_gen_cfg_reserved_3f0.reserved(7 downto 0) &lt;= avalon_mm_rmap_i.writedata(7 downto 0);</t>
  </si>
  <si>
    <t xml:space="preserve">      rmap_registers_wr_o.aeb_gen_cfg_reserved_3f0.reserved(15 downto 8) &lt;= avalon_mm_rmap_i.writedata(15 downto 8);</t>
  </si>
  <si>
    <t xml:space="preserve">      rmap_registers_wr_o.aeb_gen_cfg_reserved_3f0.reserved(23 downto 16) &lt;= avalon_mm_rmap_i.writedata(23 downto 16);</t>
  </si>
  <si>
    <t xml:space="preserve">      rmap_registers_wr_o.aeb_gen_cfg_reserved_3f0.reserved(31 downto 24) &lt;= avalon_mm_rmap_i.writedata(31 downto 24);</t>
  </si>
  <si>
    <t xml:space="preserve">      rmap_registers_wr_o.aeb_gen_cfg_reserved_3f4.reserved(7 downto 0) &lt;= avalon_mm_rmap_i.writedata(7 downto 0);</t>
  </si>
  <si>
    <t xml:space="preserve">      rmap_registers_wr_o.aeb_gen_cfg_reserved_3f4.reserved(15 downto 8) &lt;= avalon_mm_rmap_i.writedata(15 downto 8);</t>
  </si>
  <si>
    <t xml:space="preserve">      rmap_registers_wr_o.aeb_gen_cfg_reserved_3f4.reserved(23 downto 16) &lt;= avalon_mm_rmap_i.writedata(23 downto 16);</t>
  </si>
  <si>
    <t xml:space="preserve">      rmap_registers_wr_o.aeb_gen_cfg_reserved_3f4.reserved(31 downto 24) &lt;= avalon_mm_rmap_i.writedata(31 downto 24);</t>
  </si>
  <si>
    <t xml:space="preserve">      rmap_registers_wr_o.aeb_gen_cfg_reserved_3f8.reserved(7 downto 0) &lt;= avalon_mm_rmap_i.writedata(7 downto 0);</t>
  </si>
  <si>
    <t xml:space="preserve">      rmap_registers_wr_o.aeb_gen_cfg_reserved_3f8.reserved(15 downto 8) &lt;= avalon_mm_rmap_i.writedata(15 downto 8);</t>
  </si>
  <si>
    <t xml:space="preserve">      rmap_registers_wr_o.aeb_gen_cfg_reserved_3f8.reserved(23 downto 16) &lt;= avalon_mm_rmap_i.writedata(23 downto 16);</t>
  </si>
  <si>
    <t xml:space="preserve">      rmap_registers_wr_o.aeb_gen_cfg_reserved_3f8.reserved(31 downto 24) &lt;= avalon_mm_rmap_i.writedata(31 downto 24);</t>
  </si>
  <si>
    <t xml:space="preserve">      rmap_registers_wr_o.aeb_gen_cfg_reserved_3fc.reserved(7 downto 0) &lt;= avalon_mm_rmap_i.writedata(7 downto 0);</t>
  </si>
  <si>
    <t xml:space="preserve">      rmap_registers_wr_o.aeb_gen_cfg_reserved_3fc.reserved(15 downto 8) &lt;= avalon_mm_rmap_i.writedata(15 downto 8);</t>
  </si>
  <si>
    <t xml:space="preserve">      rmap_registers_wr_o.aeb_gen_cfg_reserved_3fc.reserved(23 downto 16) &lt;= avalon_mm_rmap_i.writedata(23 downto 16);</t>
  </si>
  <si>
    <t xml:space="preserve">      rmap_registers_wr_o.aeb_gen_cfg_reserved_3fc.reserved(31 downto 24) &lt;= avalon_mm_rmap_i.writedata(31 downto 24);</t>
  </si>
  <si>
    <t xml:space="preserve">      rmap_registers_wr_o.aeb_gen_cfg_reserved_400.reserved(7 downto 0) &lt;= avalon_mm_rmap_i.writedata(7 downto 0);</t>
  </si>
  <si>
    <t xml:space="preserve">      rmap_registers_wr_o.aeb_gen_cfg_reserved_400.reserved(15 downto 8) &lt;= avalon_mm_rmap_i.writedata(15 downto 8);</t>
  </si>
  <si>
    <t xml:space="preserve">      rmap_registers_wr_o.aeb_gen_cfg_reserved_400.reserved(23 downto 16) &lt;= avalon_mm_rmap_i.writedata(23 downto 16);</t>
  </si>
  <si>
    <t xml:space="preserve">      rmap_registers_wr_o.aeb_gen_cfg_reserved_400.reserved(31 downto 24) &lt;= avalon_mm_rmap_i.writedata(31 downto 24);</t>
  </si>
  <si>
    <t xml:space="preserve">      rmap_registers_wr_o.aeb_gen_cfg_reserved_404.reserved(7 downto 0) &lt;= avalon_mm_rmap_i.writedata(7 downto 0);</t>
  </si>
  <si>
    <t xml:space="preserve">      rmap_registers_wr_o.aeb_gen_cfg_reserved_404.reserved(15 downto 8) &lt;= avalon_mm_rmap_i.writedata(15 downto 8);</t>
  </si>
  <si>
    <t xml:space="preserve">      rmap_registers_wr_o.aeb_gen_cfg_reserved_404.reserved(23 downto 16) &lt;= avalon_mm_rmap_i.writedata(23 downto 16);</t>
  </si>
  <si>
    <t xml:space="preserve">      rmap_registers_wr_o.aeb_gen_cfg_reserved_404.reserved(31 downto 24) &lt;= avalon_mm_rmap_i.writedata(31 downto 24);</t>
  </si>
  <si>
    <t xml:space="preserve">      rmap_registers_wr_o.aeb_gen_cfg_reserved_408.reserved(7 downto 0) &lt;= avalon_mm_rmap_i.writedata(7 downto 0);</t>
  </si>
  <si>
    <t xml:space="preserve">      rmap_registers_wr_o.aeb_gen_cfg_reserved_408.reserved(15 downto 8) &lt;= avalon_mm_rmap_i.writedata(15 downto 8);</t>
  </si>
  <si>
    <t xml:space="preserve">      rmap_registers_wr_o.aeb_gen_cfg_reserved_408.reserved(23 downto 16) &lt;= avalon_mm_rmap_i.writedata(23 downto 16);</t>
  </si>
  <si>
    <t xml:space="preserve">      rmap_registers_wr_o.aeb_gen_cfg_reserved_408.reserved(31 downto 24) &lt;= avalon_mm_rmap_i.writedata(31 downto 24);</t>
  </si>
  <si>
    <t xml:space="preserve">      rmap_registers_wr_o.aeb_gen_cfg_reserved_40c.reserved(7 downto 0) &lt;= avalon_mm_rmap_i.writedata(7 downto 0);</t>
  </si>
  <si>
    <t xml:space="preserve">      rmap_registers_wr_o.aeb_gen_cfg_reserved_40c.reserved(15 downto 8) &lt;= avalon_mm_rmap_i.writedata(15 downto 8);</t>
  </si>
  <si>
    <t xml:space="preserve">      rmap_registers_wr_o.aeb_gen_cfg_reserved_40c.reserved(23 downto 16) &lt;= avalon_mm_rmap_i.writedata(23 downto 16);</t>
  </si>
  <si>
    <t xml:space="preserve">      rmap_registers_wr_o.aeb_gen_cfg_reserved_40c.reserved(31 downto 24) &lt;= avalon_mm_rmap_i.writedata(31 downto 24);</t>
  </si>
  <si>
    <t xml:space="preserve">      rmap_registers_wr_o.aeb_gen_cfg_reserved_410.reserved(7 downto 0) &lt;= avalon_mm_rmap_i.writedata(7 downto 0);</t>
  </si>
  <si>
    <t xml:space="preserve">      rmap_registers_wr_o.aeb_gen_cfg_reserved_410.reserved(15 downto 8) &lt;= avalon_mm_rmap_i.writedata(15 downto 8);</t>
  </si>
  <si>
    <t xml:space="preserve">      rmap_registers_wr_o.aeb_gen_cfg_reserved_410.reserved(23 downto 16) &lt;= avalon_mm_rmap_i.writedata(23 downto 16);</t>
  </si>
  <si>
    <t xml:space="preserve">      rmap_registers_wr_o.aeb_gen_cfg_reserved_410.reserved(31 downto 24) &lt;= avalon_mm_rmap_i.writedata(31 downto 24);</t>
  </si>
  <si>
    <t xml:space="preserve">      rmap_registers_wr_o.aeb_gen_cfg_reserved_414.reserved(7 downto 0) &lt;= avalon_mm_rmap_i.writedata(7 downto 0);</t>
  </si>
  <si>
    <t xml:space="preserve">      rmap_registers_wr_o.aeb_gen_cfg_reserved_414.reserved(15 downto 8) &lt;= avalon_mm_rmap_i.writedata(15 downto 8);</t>
  </si>
  <si>
    <t xml:space="preserve">      rmap_registers_wr_o.aeb_gen_cfg_reserved_414.reserved(23 downto 16) &lt;= avalon_mm_rmap_i.writedata(23 downto 16);</t>
  </si>
  <si>
    <t xml:space="preserve">      rmap_registers_wr_o.aeb_gen_cfg_reserved_414.reserved(31 downto 24) &lt;= avalon_mm_rmap_i.writedata(31 downto 24);</t>
  </si>
  <si>
    <t xml:space="preserve">      rmap_registers_wr_o.aeb_gen_cfg_reserved_418.reserved(7 downto 0) &lt;= avalon_mm_rmap_i.writedata(7 downto 0);</t>
  </si>
  <si>
    <t xml:space="preserve">      rmap_registers_wr_o.aeb_gen_cfg_reserved_418.reserved(15 downto 8) &lt;= avalon_mm_rmap_i.writedata(15 downto 8);</t>
  </si>
  <si>
    <t xml:space="preserve">      rmap_registers_wr_o.aeb_gen_cfg_reserved_418.reserved(23 downto 16) &lt;= avalon_mm_rmap_i.writedata(23 downto 16);</t>
  </si>
  <si>
    <t xml:space="preserve">      rmap_registers_wr_o.aeb_gen_cfg_reserved_418.reserved(31 downto 24) &lt;= avalon_mm_rmap_i.writedata(31 downto 24);</t>
  </si>
  <si>
    <t xml:space="preserve">      rmap_registers_wr_o.aeb_gen_cfg_reserved_41c.reserved(7 downto 0) &lt;= avalon_mm_rmap_i.writedata(7 downto 0);</t>
  </si>
  <si>
    <t xml:space="preserve">      rmap_registers_wr_o.aeb_gen_cfg_reserved_41c.reserved(15 downto 8) &lt;= avalon_mm_rmap_i.writedata(15 downto 8);</t>
  </si>
  <si>
    <t xml:space="preserve">      rmap_registers_wr_o.aeb_gen_cfg_reserved_41c.reserved(23 downto 16) &lt;= avalon_mm_rmap_i.writedata(23 downto 16);</t>
  </si>
  <si>
    <t xml:space="preserve">      rmap_registers_wr_o.aeb_gen_cfg_reserved_41c.reserved(31 downto 24) &lt;= avalon_mm_rmap_i.writedata(31 downto 24);</t>
  </si>
  <si>
    <t xml:space="preserve">      rmap_registers_wr_o.aeb_gen_cfg_reserved_420.reserved(7 downto 0) &lt;= avalon_mm_rmap_i.writedata(7 downto 0);</t>
  </si>
  <si>
    <t xml:space="preserve">      rmap_registers_wr_o.aeb_gen_cfg_reserved_420.reserved(15 downto 8) &lt;= avalon_mm_rmap_i.writedata(15 downto 8);</t>
  </si>
  <si>
    <t xml:space="preserve">      rmap_registers_wr_o.aeb_gen_cfg_reserved_420.reserved(23 downto 16) &lt;= avalon_mm_rmap_i.writedata(23 downto 16);</t>
  </si>
  <si>
    <t xml:space="preserve">      rmap_registers_wr_o.aeb_gen_cfg_reserved_420.reserved(31 downto 24) &lt;= avalon_mm_rmap_i.writedata(31 downto 24);</t>
  </si>
  <si>
    <t xml:space="preserve">      rmap_registers_wr_o.aeb_gen_cfg_reserved_424.reserved(7 downto 0) &lt;= avalon_mm_rmap_i.writedata(7 downto 0);</t>
  </si>
  <si>
    <t xml:space="preserve">      rmap_registers_wr_o.aeb_gen_cfg_reserved_424.reserved(15 downto 8) &lt;= avalon_mm_rmap_i.writedata(15 downto 8);</t>
  </si>
  <si>
    <t xml:space="preserve">      rmap_registers_wr_o.aeb_gen_cfg_reserved_424.reserved(23 downto 16) &lt;= avalon_mm_rmap_i.writedata(23 downto 16);</t>
  </si>
  <si>
    <t xml:space="preserve">      rmap_registers_wr_o.aeb_gen_cfg_reserved_424.reserved(31 downto 24) &lt;= avalon_mm_rmap_i.writedata(31 downto 24);</t>
  </si>
  <si>
    <t xml:space="preserve">      rmap_registers_wr_o.aeb_gen_cfg_reserved_428.reserved(7 downto 0) &lt;= avalon_mm_rmap_i.writedata(7 downto 0);</t>
  </si>
  <si>
    <t xml:space="preserve">      rmap_registers_wr_o.aeb_gen_cfg_reserved_428.reserved(15 downto 8) &lt;= avalon_mm_rmap_i.writedata(15 downto 8);</t>
  </si>
  <si>
    <t xml:space="preserve">      rmap_registers_wr_o.aeb_gen_cfg_reserved_428.reserved(23 downto 16) &lt;= avalon_mm_rmap_i.writedata(23 downto 16);</t>
  </si>
  <si>
    <t xml:space="preserve">      rmap_registers_wr_o.aeb_gen_cfg_reserved_428.reserved(31 downto 24) &lt;= avalon_mm_rmap_i.writedata(31 downto 24);</t>
  </si>
  <si>
    <t xml:space="preserve">      rmap_registers_wr_o.aeb_gen_cfg_reserved_42c.reserved(7 downto 0) &lt;= avalon_mm_rmap_i.writedata(7 downto 0);</t>
  </si>
  <si>
    <t xml:space="preserve">      rmap_registers_wr_o.aeb_gen_cfg_reserved_42c.reserved(15 downto 8) &lt;= avalon_mm_rmap_i.writedata(15 downto 8);</t>
  </si>
  <si>
    <t xml:space="preserve">      rmap_registers_wr_o.aeb_gen_cfg_reserved_42c.reserved(23 downto 16) &lt;= avalon_mm_rmap_i.writedata(23 downto 16);</t>
  </si>
  <si>
    <t xml:space="preserve">      rmap_registers_wr_o.aeb_gen_cfg_reserved_42c.reserved(31 downto 24) &lt;= avalon_mm_rmap_i.writedata(31 downto 24);</t>
  </si>
  <si>
    <t xml:space="preserve">      rmap_registers_wr_o.aeb_gen_cfg_reserved_430.reserved(7 downto 0) &lt;= avalon_mm_rmap_i.writedata(7 downto 0);</t>
  </si>
  <si>
    <t xml:space="preserve">      rmap_registers_wr_o.aeb_gen_cfg_reserved_430.reserved(15 downto 8) &lt;= avalon_mm_rmap_i.writedata(15 downto 8);</t>
  </si>
  <si>
    <t xml:space="preserve">      rmap_registers_wr_o.aeb_gen_cfg_reserved_430.reserved(23 downto 16) &lt;= avalon_mm_rmap_i.writedata(23 downto 16);</t>
  </si>
  <si>
    <t xml:space="preserve">      rmap_registers_wr_o.aeb_gen_cfg_reserved_430.reserved(31 downto 24) &lt;= avalon_mm_rmap_i.writedata(31 downto 24);</t>
  </si>
  <si>
    <t xml:space="preserve">      rmap_registers_wr_o.aeb_gen_cfg_reserved_434.reserved(7 downto 0) &lt;= avalon_mm_rmap_i.writedata(7 downto 0);</t>
  </si>
  <si>
    <t xml:space="preserve">      rmap_registers_wr_o.aeb_gen_cfg_reserved_434.reserved(15 downto 8) &lt;= avalon_mm_rmap_i.writedata(15 downto 8);</t>
  </si>
  <si>
    <t xml:space="preserve">      rmap_registers_wr_o.aeb_gen_cfg_reserved_434.reserved(23 downto 16) &lt;= avalon_mm_rmap_i.writedata(23 downto 16);</t>
  </si>
  <si>
    <t xml:space="preserve">      rmap_registers_wr_o.aeb_gen_cfg_reserved_434.reserved(31 downto 24) &lt;= avalon_mm_rmap_i.writedata(31 downto 24);</t>
  </si>
  <si>
    <t xml:space="preserve">      rmap_registers_wr_o.aeb_gen_cfg_reserved_438.reserved(7 downto 0) &lt;= avalon_mm_rmap_i.writedata(7 downto 0);</t>
  </si>
  <si>
    <t xml:space="preserve">      rmap_registers_wr_o.aeb_gen_cfg_reserved_438.reserved(15 downto 8) &lt;= avalon_mm_rmap_i.writedata(15 downto 8);</t>
  </si>
  <si>
    <t xml:space="preserve">      rmap_registers_wr_o.aeb_gen_cfg_reserved_438.reserved(23 downto 16) &lt;= avalon_mm_rmap_i.writedata(23 downto 16);</t>
  </si>
  <si>
    <t xml:space="preserve">      rmap_registers_wr_o.aeb_gen_cfg_reserved_438.reserved(31 downto 24) &lt;= avalon_mm_rmap_i.writedata(31 downto 24);</t>
  </si>
  <si>
    <t xml:space="preserve">      rmap_registers_wr_o.aeb_gen_cfg_reserved_43c.reserved(7 downto 0) &lt;= avalon_mm_rmap_i.writedata(7 downto 0);</t>
  </si>
  <si>
    <t xml:space="preserve">      rmap_registers_wr_o.aeb_gen_cfg_reserved_43c.reserved(15 downto 8) &lt;= avalon_mm_rmap_i.writedata(15 downto 8);</t>
  </si>
  <si>
    <t xml:space="preserve">      rmap_registers_wr_o.aeb_gen_cfg_reserved_43c.reserved(23 downto 16) &lt;= avalon_mm_rmap_i.writedata(23 downto 16);</t>
  </si>
  <si>
    <t xml:space="preserve">      rmap_registers_wr_o.aeb_gen_cfg_reserved_43c.reserved(31 downto 24) &lt;= avalon_mm_rmap_i.writedata(31 downto 24);</t>
  </si>
  <si>
    <t xml:space="preserve">      rmap_registers_wr_o.aeb_gen_cfg_reserved_440.reserved(7 downto 0) &lt;= avalon_mm_rmap_i.writedata(7 downto 0);</t>
  </si>
  <si>
    <t xml:space="preserve">      rmap_registers_wr_o.aeb_gen_cfg_reserved_440.reserved(15 downto 8) &lt;= avalon_mm_rmap_i.writedata(15 downto 8);</t>
  </si>
  <si>
    <t xml:space="preserve">      rmap_registers_wr_o.aeb_gen_cfg_reserved_440.reserved(23 downto 16) &lt;= avalon_mm_rmap_i.writedata(23 downto 16);</t>
  </si>
  <si>
    <t xml:space="preserve">      rmap_registers_wr_o.aeb_gen_cfg_reserved_440.reserved(31 downto 24) &lt;= avalon_mm_rmap_i.writedata(31 downto 24);</t>
  </si>
  <si>
    <t xml:space="preserve">      rmap_registers_wr_o.aeb_gen_cfg_reserved_444.reserved(7 downto 0) &lt;= avalon_mm_rmap_i.writedata(7 downto 0);</t>
  </si>
  <si>
    <t xml:space="preserve">      rmap_registers_wr_o.aeb_gen_cfg_reserved_444.reserved(15 downto 8) &lt;= avalon_mm_rmap_i.writedata(15 downto 8);</t>
  </si>
  <si>
    <t xml:space="preserve">      rmap_registers_wr_o.aeb_gen_cfg_reserved_444.reserved(23 downto 16) &lt;= avalon_mm_rmap_i.writedata(23 downto 16);</t>
  </si>
  <si>
    <t xml:space="preserve">      rmap_registers_wr_o.aeb_gen_cfg_reserved_444.reserved(31 downto 24) &lt;= avalon_mm_rmap_i.writedata(31 downto 24);</t>
  </si>
  <si>
    <t xml:space="preserve">      rmap_registers_wr_o.aeb_gen_cfg_reserved_448.reserved(7 downto 0) &lt;= avalon_mm_rmap_i.writedata(7 downto 0);</t>
  </si>
  <si>
    <t xml:space="preserve">      rmap_registers_wr_o.aeb_gen_cfg_reserved_448.reserved(15 downto 8) &lt;= avalon_mm_rmap_i.writedata(15 downto 8);</t>
  </si>
  <si>
    <t xml:space="preserve">      rmap_registers_wr_o.aeb_gen_cfg_reserved_448.reserved(23 downto 16) &lt;= avalon_mm_rmap_i.writedata(23 downto 16);</t>
  </si>
  <si>
    <t xml:space="preserve">      rmap_registers_wr_o.aeb_gen_cfg_reserved_448.reserved(31 downto 24) &lt;= avalon_mm_rmap_i.writedata(31 downto 24);</t>
  </si>
  <si>
    <t xml:space="preserve">      rmap_registers_wr_o.aeb_gen_cfg_reserved_44c.reserved(7 downto 0) &lt;= avalon_mm_rmap_i.writedata(7 downto 0);</t>
  </si>
  <si>
    <t xml:space="preserve">      rmap_registers_wr_o.aeb_gen_cfg_reserved_44c.reserved(15 downto 8) &lt;= avalon_mm_rmap_i.writedata(15 downto 8);</t>
  </si>
  <si>
    <t xml:space="preserve">      rmap_registers_wr_o.aeb_gen_cfg_reserved_44c.reserved(23 downto 16) &lt;= avalon_mm_rmap_i.writedata(23 downto 16);</t>
  </si>
  <si>
    <t xml:space="preserve">      rmap_registers_wr_o.aeb_gen_cfg_reserved_44c.reserved(31 downto 24) &lt;= avalon_mm_rmap_i.writedata(31 downto 24);</t>
  </si>
  <si>
    <t xml:space="preserve">      rmap_registers_wr_o.aeb_gen_cfg_reserved_450.reserved(7 downto 0) &lt;= avalon_mm_rmap_i.writedata(7 downto 0);</t>
  </si>
  <si>
    <t xml:space="preserve">      rmap_registers_wr_o.aeb_gen_cfg_reserved_450.reserved(15 downto 8) &lt;= avalon_mm_rmap_i.writedata(15 downto 8);</t>
  </si>
  <si>
    <t xml:space="preserve">      rmap_registers_wr_o.aeb_gen_cfg_reserved_450.reserved(23 downto 16) &lt;= avalon_mm_rmap_i.writedata(23 downto 16);</t>
  </si>
  <si>
    <t xml:space="preserve">      rmap_registers_wr_o.aeb_gen_cfg_reserved_450.reserved(31 downto 24) &lt;= avalon_mm_rmap_i.writedata(31 downto 24);</t>
  </si>
  <si>
    <t xml:space="preserve">      rmap_registers_wr_o.aeb_gen_cfg_reserved_454.reserved(7 downto 0) &lt;= avalon_mm_rmap_i.writedata(7 downto 0);</t>
  </si>
  <si>
    <t xml:space="preserve">      rmap_registers_wr_o.aeb_gen_cfg_reserved_454.reserved(15 downto 8) &lt;= avalon_mm_rmap_i.writedata(15 downto 8);</t>
  </si>
  <si>
    <t xml:space="preserve">      rmap_registers_wr_o.aeb_gen_cfg_reserved_454.reserved(23 downto 16) &lt;= avalon_mm_rmap_i.writedata(23 downto 16);</t>
  </si>
  <si>
    <t xml:space="preserve">      rmap_registers_wr_o.aeb_gen_cfg_reserved_454.reserved(31 downto 24) &lt;= avalon_mm_rmap_i.writedata(31 downto 24);</t>
  </si>
  <si>
    <t xml:space="preserve">      rmap_registers_wr_o.aeb_gen_cfg_reserved_458.reserved(7 downto 0) &lt;= avalon_mm_rmap_i.writedata(7 downto 0);</t>
  </si>
  <si>
    <t xml:space="preserve">      rmap_registers_wr_o.aeb_gen_cfg_reserved_458.reserved(15 downto 8) &lt;= avalon_mm_rmap_i.writedata(15 downto 8);</t>
  </si>
  <si>
    <t xml:space="preserve">      rmap_registers_wr_o.aeb_gen_cfg_reserved_458.reserved(23 downto 16) &lt;= avalon_mm_rmap_i.writedata(23 downto 16);</t>
  </si>
  <si>
    <t xml:space="preserve">      rmap_registers_wr_o.aeb_gen_cfg_reserved_458.reserved(31 downto 24) &lt;= avalon_mm_rmap_i.writedata(31 downto 24);</t>
  </si>
  <si>
    <t xml:space="preserve">      rmap_registers_wr_o.aeb_gen_cfg_reserved_45c.reserved(7 downto 0) &lt;= avalon_mm_rmap_i.writedata(7 downto 0);</t>
  </si>
  <si>
    <t xml:space="preserve">      rmap_registers_wr_o.aeb_gen_cfg_reserved_45c.reserved(15 downto 8) &lt;= avalon_mm_rmap_i.writedata(15 downto 8);</t>
  </si>
  <si>
    <t xml:space="preserve">      rmap_registers_wr_o.aeb_gen_cfg_reserved_45c.reserved(23 downto 16) &lt;= avalon_mm_rmap_i.writedata(23 downto 16);</t>
  </si>
  <si>
    <t xml:space="preserve">      rmap_registers_wr_o.aeb_gen_cfg_reserved_45c.reserved(31 downto 24) &lt;= avalon_mm_rmap_i.writedata(31 downto 24);</t>
  </si>
  <si>
    <t xml:space="preserve">      rmap_registers_wr_o.aeb_gen_cfg_reserved_460.reserved(7 downto 0) &lt;= avalon_mm_rmap_i.writedata(7 downto 0);</t>
  </si>
  <si>
    <t xml:space="preserve">      rmap_registers_wr_o.aeb_gen_cfg_reserved_460.reserved(15 downto 8) &lt;= avalon_mm_rmap_i.writedata(15 downto 8);</t>
  </si>
  <si>
    <t xml:space="preserve">      rmap_registers_wr_o.aeb_gen_cfg_reserved_460.reserved(23 downto 16) &lt;= avalon_mm_rmap_i.writedata(23 downto 16);</t>
  </si>
  <si>
    <t xml:space="preserve">      rmap_registers_wr_o.aeb_gen_cfg_reserved_460.reserved(31 downto 24) &lt;= avalon_mm_rmap_i.writedata(31 downto 24);</t>
  </si>
  <si>
    <t xml:space="preserve">      rmap_registers_wr_o.aeb_gen_cfg_reserved_464.reserved(7 downto 0) &lt;= avalon_mm_rmap_i.writedata(7 downto 0);</t>
  </si>
  <si>
    <t xml:space="preserve">      rmap_registers_wr_o.aeb_gen_cfg_reserved_464.reserved(15 downto 8) &lt;= avalon_mm_rmap_i.writedata(15 downto 8);</t>
  </si>
  <si>
    <t xml:space="preserve">      rmap_registers_wr_o.aeb_gen_cfg_reserved_464.reserved(23 downto 16) &lt;= avalon_mm_rmap_i.writedata(23 downto 16);</t>
  </si>
  <si>
    <t xml:space="preserve">      rmap_registers_wr_o.aeb_gen_cfg_reserved_464.reserved(31 downto 24) &lt;= avalon_mm_rmap_i.writedata(31 downto 24);</t>
  </si>
  <si>
    <t xml:space="preserve">      rmap_registers_wr_o.aeb_gen_cfg_reserved_468.reserved(7 downto 0) &lt;= avalon_mm_rmap_i.writedata(7 downto 0);</t>
  </si>
  <si>
    <t xml:space="preserve">      rmap_registers_wr_o.aeb_gen_cfg_reserved_468.reserved(15 downto 8) &lt;= avalon_mm_rmap_i.writedata(15 downto 8);</t>
  </si>
  <si>
    <t xml:space="preserve">      rmap_registers_wr_o.aeb_gen_cfg_reserved_468.reserved(23 downto 16) &lt;= avalon_mm_rmap_i.writedata(23 downto 16);</t>
  </si>
  <si>
    <t xml:space="preserve">      rmap_registers_wr_o.aeb_gen_cfg_reserved_468.reserved(31 downto 24) &lt;= avalon_mm_rmap_i.writedata(31 downto 24);</t>
  </si>
  <si>
    <t xml:space="preserve">      rmap_registers_wr_o.aeb_gen_cfg_reserved_46c.reserved(7 downto 0) &lt;= avalon_mm_rmap_i.writedata(7 downto 0);</t>
  </si>
  <si>
    <t xml:space="preserve">      rmap_registers_wr_o.aeb_gen_cfg_reserved_46c.reserved(15 downto 8) &lt;= avalon_mm_rmap_i.writedata(15 downto 8);</t>
  </si>
  <si>
    <t xml:space="preserve">      rmap_registers_wr_o.aeb_gen_cfg_reserved_46c.reserved(23 downto 16) &lt;= avalon_mm_rmap_i.writedata(23 downto 16);</t>
  </si>
  <si>
    <t xml:space="preserve">      rmap_registers_wr_o.aeb_gen_cfg_reserved_46c.reserved(31 downto 24) &lt;= avalon_mm_rmap_i.writedata(31 downto 24);</t>
  </si>
  <si>
    <t xml:space="preserve">      rmap_registers_wr_o.aeb_gen_cfg_reserved_470.reserved(7 downto 0) &lt;= avalon_mm_rmap_i.writedata(7 downto 0);</t>
  </si>
  <si>
    <t xml:space="preserve">      rmap_registers_wr_o.aeb_gen_cfg_reserved_470.reserved(15 downto 8) &lt;= avalon_mm_rmap_i.writedata(15 downto 8);</t>
  </si>
  <si>
    <t xml:space="preserve">      rmap_registers_wr_o.aeb_gen_cfg_reserved_470.reserved(23 downto 16) &lt;= avalon_mm_rmap_i.writedata(23 downto 16);</t>
  </si>
  <si>
    <t xml:space="preserve">      rmap_registers_wr_o.aeb_gen_cfg_reserved_470.reserved(31 downto 24) &lt;= avalon_mm_rmap_i.writedata(31 downto 24);</t>
  </si>
  <si>
    <t xml:space="preserve">      rmap_registers_wr_o.aeb_gen_cfg_reserved_474.reserved(7 downto 0) &lt;= avalon_mm_rmap_i.writedata(7 downto 0);</t>
  </si>
  <si>
    <t xml:space="preserve">      rmap_registers_wr_o.aeb_gen_cfg_reserved_474.reserved(15 downto 8) &lt;= avalon_mm_rmap_i.writedata(15 downto 8);</t>
  </si>
  <si>
    <t xml:space="preserve">      rmap_registers_wr_o.aeb_gen_cfg_reserved_474.reserved(23 downto 16) &lt;= avalon_mm_rmap_i.writedata(23 downto 16);</t>
  </si>
  <si>
    <t xml:space="preserve">      rmap_registers_wr_o.aeb_gen_cfg_reserved_474.reserved(31 downto 24) &lt;= avalon_mm_rmap_i.writedata(31 downto 24);</t>
  </si>
  <si>
    <t xml:space="preserve">      rmap_registers_wr_o.aeb_gen_cfg_reserved_478.reserved(7 downto 0) &lt;= avalon_mm_rmap_i.writedata(7 downto 0);</t>
  </si>
  <si>
    <t xml:space="preserve">      rmap_registers_wr_o.aeb_gen_cfg_reserved_478.reserved(15 downto 8) &lt;= avalon_mm_rmap_i.writedata(15 downto 8);</t>
  </si>
  <si>
    <t xml:space="preserve">      rmap_registers_wr_o.aeb_gen_cfg_reserved_478.reserved(23 downto 16) &lt;= avalon_mm_rmap_i.writedata(23 downto 16);</t>
  </si>
  <si>
    <t xml:space="preserve">      rmap_registers_wr_o.aeb_gen_cfg_reserved_478.reserved(31 downto 24) &lt;= avalon_mm_rmap_i.writedata(31 downto 24);</t>
  </si>
  <si>
    <t xml:space="preserve">      rmap_registers_wr_o.aeb_gen_cfg_reserved_47c.reserved(7 downto 0) &lt;= avalon_mm_rmap_i.writedata(7 downto 0);</t>
  </si>
  <si>
    <t xml:space="preserve">      rmap_registers_wr_o.aeb_gen_cfg_reserved_47c.reserved(15 downto 8) &lt;= avalon_mm_rmap_i.writedata(15 downto 8);</t>
  </si>
  <si>
    <t xml:space="preserve">      rmap_registers_wr_o.aeb_gen_cfg_reserved_47c.reserved(23 downto 16) &lt;= avalon_mm_rmap_i.writedata(23 downto 16);</t>
  </si>
  <si>
    <t xml:space="preserve">      rmap_registers_wr_o.aeb_gen_cfg_reserved_47c.reserved(31 downto 24) &lt;= avalon_mm_rmap_i.writedata(31 downto 24);</t>
  </si>
  <si>
    <t xml:space="preserve">      rmap_registers_wr_o.aeb_gen_cfg_reserved_480.reserved(7 downto 0) &lt;= avalon_mm_rmap_i.writedata(7 downto 0);</t>
  </si>
  <si>
    <t xml:space="preserve">      rmap_registers_wr_o.aeb_gen_cfg_reserved_480.reserved(15 downto 8) &lt;= avalon_mm_rmap_i.writedata(15 downto 8);</t>
  </si>
  <si>
    <t xml:space="preserve">      rmap_registers_wr_o.aeb_gen_cfg_reserved_480.reserved(23 downto 16) &lt;= avalon_mm_rmap_i.writedata(23 downto 16);</t>
  </si>
  <si>
    <t xml:space="preserve">      rmap_registers_wr_o.aeb_gen_cfg_reserved_480.reserved(31 downto 24) &lt;= avalon_mm_rmap_i.writedata(31 downto 24);</t>
  </si>
  <si>
    <t xml:space="preserve">      rmap_registers_wr_o.aeb_gen_cfg_reserved_484.reserved(7 downto 0) &lt;= avalon_mm_rmap_i.writedata(7 downto 0);</t>
  </si>
  <si>
    <t xml:space="preserve">      rmap_registers_wr_o.aeb_gen_cfg_reserved_484.reserved(15 downto 8) &lt;= avalon_mm_rmap_i.writedata(15 downto 8);</t>
  </si>
  <si>
    <t xml:space="preserve">      rmap_registers_wr_o.aeb_gen_cfg_reserved_484.reserved(23 downto 16) &lt;= avalon_mm_rmap_i.writedata(23 downto 16);</t>
  </si>
  <si>
    <t xml:space="preserve">      rmap_registers_wr_o.aeb_gen_cfg_reserved_484.reserved(31 downto 24) &lt;= avalon_mm_rmap_i.writedata(31 downto 24);</t>
  </si>
  <si>
    <t xml:space="preserve">      rmap_registers_wr_o.aeb_gen_cfg_reserved_488.reserved(7 downto 0) &lt;= avalon_mm_rmap_i.writedata(7 downto 0);</t>
  </si>
  <si>
    <t xml:space="preserve">      rmap_registers_wr_o.aeb_gen_cfg_reserved_488.reserved(15 downto 8) &lt;= avalon_mm_rmap_i.writedata(15 downto 8);</t>
  </si>
  <si>
    <t xml:space="preserve">      rmap_registers_wr_o.aeb_gen_cfg_reserved_488.reserved(23 downto 16) &lt;= avalon_mm_rmap_i.writedata(23 downto 16);</t>
  </si>
  <si>
    <t xml:space="preserve">      rmap_registers_wr_o.aeb_gen_cfg_reserved_488.reserved(31 downto 24) &lt;= avalon_mm_rmap_i.writedata(31 downto 24);</t>
  </si>
  <si>
    <t xml:space="preserve">      rmap_registers_wr_o.aeb_gen_cfg_reserved_48c.reserved(7 downto 0) &lt;= avalon_mm_rmap_i.writedata(7 downto 0);</t>
  </si>
  <si>
    <t xml:space="preserve">      rmap_registers_wr_o.aeb_gen_cfg_reserved_48c.reserved(15 downto 8) &lt;= avalon_mm_rmap_i.writedata(15 downto 8);</t>
  </si>
  <si>
    <t xml:space="preserve">      rmap_registers_wr_o.aeb_gen_cfg_reserved_48c.reserved(23 downto 16) &lt;= avalon_mm_rmap_i.writedata(23 downto 16);</t>
  </si>
  <si>
    <t xml:space="preserve">      rmap_registers_wr_o.aeb_gen_cfg_reserved_48c.reserved(31 downto 24) &lt;= avalon_mm_rmap_i.writedata(31 downto 24);</t>
  </si>
  <si>
    <t xml:space="preserve">      rmap_registers_wr_o.aeb_gen_cfg_reserved_490.reserved(7 downto 0) &lt;= avalon_mm_rmap_i.writedata(7 downto 0);</t>
  </si>
  <si>
    <t xml:space="preserve">      rmap_registers_wr_o.aeb_gen_cfg_reserved_490.reserved(15 downto 8) &lt;= avalon_mm_rmap_i.writedata(15 downto 8);</t>
  </si>
  <si>
    <t xml:space="preserve">      rmap_registers_wr_o.aeb_gen_cfg_reserved_490.reserved(23 downto 16) &lt;= avalon_mm_rmap_i.writedata(23 downto 16);</t>
  </si>
  <si>
    <t xml:space="preserve">      rmap_registers_wr_o.aeb_gen_cfg_reserved_490.reserved(31 downto 24) &lt;= avalon_mm_rmap_i.writedata(31 downto 24);</t>
  </si>
  <si>
    <t xml:space="preserve">      rmap_registers_wr_o.aeb_gen_cfg_reserved_494.reserved(7 downto 0) &lt;= avalon_mm_rmap_i.writedata(7 downto 0);</t>
  </si>
  <si>
    <t xml:space="preserve">      rmap_registers_wr_o.aeb_gen_cfg_reserved_494.reserved(15 downto 8) &lt;= avalon_mm_rmap_i.writedata(15 downto 8);</t>
  </si>
  <si>
    <t xml:space="preserve">      rmap_registers_wr_o.aeb_gen_cfg_reserved_494.reserved(23 downto 16) &lt;= avalon_mm_rmap_i.writedata(23 downto 16);</t>
  </si>
  <si>
    <t xml:space="preserve">      rmap_registers_wr_o.aeb_gen_cfg_reserved_494.reserved(31 downto 24) &lt;= avalon_mm_rmap_i.writedata(31 downto 24);</t>
  </si>
  <si>
    <t xml:space="preserve">      rmap_registers_wr_o.aeb_gen_cfg_reserved_498.reserved(7 downto 0) &lt;= avalon_mm_rmap_i.writedata(7 downto 0);</t>
  </si>
  <si>
    <t xml:space="preserve">      rmap_registers_wr_o.aeb_gen_cfg_reserved_498.reserved(15 downto 8) &lt;= avalon_mm_rmap_i.writedata(15 downto 8);</t>
  </si>
  <si>
    <t xml:space="preserve">      rmap_registers_wr_o.aeb_gen_cfg_reserved_498.reserved(23 downto 16) &lt;= avalon_mm_rmap_i.writedata(23 downto 16);</t>
  </si>
  <si>
    <t xml:space="preserve">      rmap_registers_wr_o.aeb_gen_cfg_reserved_498.reserved(31 downto 24) &lt;= avalon_mm_rmap_i.writedata(31 downto 24);</t>
  </si>
  <si>
    <t xml:space="preserve">      rmap_registers_wr_o.aeb_gen_cfg_reserved_49c.reserved(7 downto 0) &lt;= avalon_mm_rmap_i.writedata(7 downto 0);</t>
  </si>
  <si>
    <t xml:space="preserve">      rmap_registers_wr_o.aeb_gen_cfg_reserved_49c.reserved(15 downto 8) &lt;= avalon_mm_rmap_i.writedata(15 downto 8);</t>
  </si>
  <si>
    <t xml:space="preserve">      rmap_registers_wr_o.aeb_gen_cfg_reserved_49c.reserved(23 downto 16) &lt;= avalon_mm_rmap_i.writedata(23 downto 16);</t>
  </si>
  <si>
    <t xml:space="preserve">      rmap_registers_wr_o.aeb_gen_cfg_reserved_49c.reserved(31 downto 24) &lt;= avalon_mm_rmap_i.writedata(31 downto 24);</t>
  </si>
  <si>
    <t xml:space="preserve">      rmap_registers_wr_o.aeb_gen_cfg_reserved_4a0.reserved(7 downto 0) &lt;= avalon_mm_rmap_i.writedata(7 downto 0);</t>
  </si>
  <si>
    <t xml:space="preserve">      rmap_registers_wr_o.aeb_gen_cfg_reserved_4a0.reserved(15 downto 8) &lt;= avalon_mm_rmap_i.writedata(15 downto 8);</t>
  </si>
  <si>
    <t xml:space="preserve">      rmap_registers_wr_o.aeb_gen_cfg_reserved_4a0.reserved(23 downto 16) &lt;= avalon_mm_rmap_i.writedata(23 downto 16);</t>
  </si>
  <si>
    <t xml:space="preserve">      rmap_registers_wr_o.aeb_gen_cfg_reserved_4a0.reserved(31 downto 24) &lt;= avalon_mm_rmap_i.writedata(31 downto 24);</t>
  </si>
  <si>
    <t xml:space="preserve">      rmap_registers_wr_o.aeb_gen_cfg_reserved_4a4.reserved(7 downto 0) &lt;= avalon_mm_rmap_i.writedata(7 downto 0);</t>
  </si>
  <si>
    <t xml:space="preserve">      rmap_registers_wr_o.aeb_gen_cfg_reserved_4a4.reserved(15 downto 8) &lt;= avalon_mm_rmap_i.writedata(15 downto 8);</t>
  </si>
  <si>
    <t xml:space="preserve">      rmap_registers_wr_o.aeb_gen_cfg_reserved_4a4.reserved(23 downto 16) &lt;= avalon_mm_rmap_i.writedata(23 downto 16);</t>
  </si>
  <si>
    <t xml:space="preserve">      rmap_registers_wr_o.aeb_gen_cfg_reserved_4a4.reserved(31 downto 24) &lt;= avalon_mm_rmap_i.writedata(31 downto 24);</t>
  </si>
  <si>
    <t xml:space="preserve">      rmap_registers_wr_o.aeb_gen_cfg_reserved_4a8.reserved(7 downto 0) &lt;= avalon_mm_rmap_i.writedata(7 downto 0);</t>
  </si>
  <si>
    <t xml:space="preserve">      rmap_registers_wr_o.aeb_gen_cfg_reserved_4a8.reserved(15 downto 8) &lt;= avalon_mm_rmap_i.writedata(15 downto 8);</t>
  </si>
  <si>
    <t xml:space="preserve">      rmap_registers_wr_o.aeb_gen_cfg_reserved_4a8.reserved(23 downto 16) &lt;= avalon_mm_rmap_i.writedata(23 downto 16);</t>
  </si>
  <si>
    <t xml:space="preserve">      rmap_registers_wr_o.aeb_gen_cfg_reserved_4a8.reserved(31 downto 24) &lt;= avalon_mm_rmap_i.writedata(31 downto 24);</t>
  </si>
  <si>
    <t xml:space="preserve">      rmap_registers_wr_o.aeb_gen_cfg_reserved_4ac.reserved(7 downto 0) &lt;= avalon_mm_rmap_i.writedata(7 downto 0);</t>
  </si>
  <si>
    <t xml:space="preserve">      rmap_registers_wr_o.aeb_gen_cfg_reserved_4ac.reserved(15 downto 8) &lt;= avalon_mm_rmap_i.writedata(15 downto 8);</t>
  </si>
  <si>
    <t xml:space="preserve">      rmap_registers_wr_o.aeb_gen_cfg_reserved_4ac.reserved(23 downto 16) &lt;= avalon_mm_rmap_i.writedata(23 downto 16);</t>
  </si>
  <si>
    <t xml:space="preserve">      rmap_registers_wr_o.aeb_gen_cfg_reserved_4ac.reserved(31 downto 24) &lt;= avalon_mm_rmap_i.writedata(31 downto 24);</t>
  </si>
  <si>
    <t xml:space="preserve">      rmap_registers_wr_o.aeb_gen_cfg_reserved_4b0.reserved(7 downto 0) &lt;= avalon_mm_rmap_i.writedata(7 downto 0);</t>
  </si>
  <si>
    <t xml:space="preserve">      rmap_registers_wr_o.aeb_gen_cfg_reserved_4b0.reserved(15 downto 8) &lt;= avalon_mm_rmap_i.writedata(15 downto 8);</t>
  </si>
  <si>
    <t xml:space="preserve">      rmap_registers_wr_o.aeb_gen_cfg_reserved_4b0.reserved(23 downto 16) &lt;= avalon_mm_rmap_i.writedata(23 downto 16);</t>
  </si>
  <si>
    <t xml:space="preserve">      rmap_registers_wr_o.aeb_gen_cfg_reserved_4b0.reserved(31 downto 24) &lt;= avalon_mm_rmap_i.writedata(31 downto 24);</t>
  </si>
  <si>
    <t xml:space="preserve">      rmap_registers_wr_o.aeb_gen_cfg_reserved_4b4.reserved(7 downto 0) &lt;= avalon_mm_rmap_i.writedata(7 downto 0);</t>
  </si>
  <si>
    <t xml:space="preserve">      rmap_registers_wr_o.aeb_gen_cfg_reserved_4b4.reserved(15 downto 8) &lt;= avalon_mm_rmap_i.writedata(15 downto 8);</t>
  </si>
  <si>
    <t xml:space="preserve">      rmap_registers_wr_o.aeb_gen_cfg_reserved_4b4.reserved(23 downto 16) &lt;= avalon_mm_rmap_i.writedata(23 downto 16);</t>
  </si>
  <si>
    <t xml:space="preserve">      rmap_registers_wr_o.aeb_gen_cfg_reserved_4b4.reserved(31 downto 24) &lt;= avalon_mm_rmap_i.writedata(31 downto 24);</t>
  </si>
  <si>
    <t xml:space="preserve">      rmap_registers_wr_o.aeb_gen_cfg_reserved_4b8.reserved(7 downto 0) &lt;= avalon_mm_rmap_i.writedata(7 downto 0);</t>
  </si>
  <si>
    <t xml:space="preserve">      rmap_registers_wr_o.aeb_gen_cfg_reserved_4b8.reserved(15 downto 8) &lt;= avalon_mm_rmap_i.writedata(15 downto 8);</t>
  </si>
  <si>
    <t xml:space="preserve">      rmap_registers_wr_o.aeb_gen_cfg_reserved_4b8.reserved(23 downto 16) &lt;= avalon_mm_rmap_i.writedata(23 downto 16);</t>
  </si>
  <si>
    <t xml:space="preserve">      rmap_registers_wr_o.aeb_gen_cfg_reserved_4b8.reserved(31 downto 24) &lt;= avalon_mm_rmap_i.writedata(31 downto 24);</t>
  </si>
  <si>
    <t xml:space="preserve">      rmap_registers_wr_o.aeb_gen_cfg_reserved_4bc.reserved(7 downto 0) &lt;= avalon_mm_rmap_i.writedata(7 downto 0);</t>
  </si>
  <si>
    <t xml:space="preserve">      rmap_registers_wr_o.aeb_gen_cfg_reserved_4bc.reserved(15 downto 8) &lt;= avalon_mm_rmap_i.writedata(15 downto 8);</t>
  </si>
  <si>
    <t xml:space="preserve">      rmap_registers_wr_o.aeb_gen_cfg_reserved_4bc.reserved(23 downto 16) &lt;= avalon_mm_rmap_i.writedata(23 downto 16);</t>
  </si>
  <si>
    <t xml:space="preserve">      rmap_registers_wr_o.aeb_gen_cfg_reserved_4bc.reserved(31 downto 24) &lt;= avalon_mm_rmap_i.writedata(31 downto 24);</t>
  </si>
  <si>
    <t xml:space="preserve">      rmap_registers_wr_o.aeb_gen_cfg_reserved_4c0.reserved(7 downto 0) &lt;= avalon_mm_rmap_i.writedata(7 downto 0);</t>
  </si>
  <si>
    <t xml:space="preserve">      rmap_registers_wr_o.aeb_gen_cfg_reserved_4c0.reserved(15 downto 8) &lt;= avalon_mm_rmap_i.writedata(15 downto 8);</t>
  </si>
  <si>
    <t xml:space="preserve">      rmap_registers_wr_o.aeb_gen_cfg_reserved_4c0.reserved(23 downto 16) &lt;= avalon_mm_rmap_i.writedata(23 downto 16);</t>
  </si>
  <si>
    <t xml:space="preserve">      rmap_registers_wr_o.aeb_gen_cfg_reserved_4c0.reserved(31 downto 24) &lt;= avalon_mm_rmap_i.writedata(31 downto 24);</t>
  </si>
  <si>
    <t xml:space="preserve">      rmap_registers_wr_o.aeb_gen_cfg_reserved_4c4.reserved(7 downto 0) &lt;= avalon_mm_rmap_i.writedata(7 downto 0);</t>
  </si>
  <si>
    <t xml:space="preserve">      rmap_registers_wr_o.aeb_gen_cfg_reserved_4c4.reserved(15 downto 8) &lt;= avalon_mm_rmap_i.writedata(15 downto 8);</t>
  </si>
  <si>
    <t xml:space="preserve">      rmap_registers_wr_o.aeb_gen_cfg_reserved_4c4.reserved(23 downto 16) &lt;= avalon_mm_rmap_i.writedata(23 downto 16);</t>
  </si>
  <si>
    <t xml:space="preserve">      rmap_registers_wr_o.aeb_gen_cfg_reserved_4c4.reserved(31 downto 24) &lt;= avalon_mm_rmap_i.writedata(31 downto 24);</t>
  </si>
  <si>
    <t xml:space="preserve">      rmap_registers_wr_o.aeb_gen_cfg_reserved_4c8.reserved(7 downto 0) &lt;= avalon_mm_rmap_i.writedata(7 downto 0);</t>
  </si>
  <si>
    <t xml:space="preserve">      rmap_registers_wr_o.aeb_gen_cfg_reserved_4c8.reserved(15 downto 8) &lt;= avalon_mm_rmap_i.writedata(15 downto 8);</t>
  </si>
  <si>
    <t xml:space="preserve">      rmap_registers_wr_o.aeb_gen_cfg_reserved_4c8.reserved(23 downto 16) &lt;= avalon_mm_rmap_i.writedata(23 downto 16);</t>
  </si>
  <si>
    <t xml:space="preserve">      rmap_registers_wr_o.aeb_gen_cfg_reserved_4c8.reserved(31 downto 24) &lt;= avalon_mm_rmap_i.writedata(31 downto 24);</t>
  </si>
  <si>
    <t xml:space="preserve">      rmap_registers_wr_o.aeb_gen_cfg_reserved_4cc.reserved(7 downto 0) &lt;= avalon_mm_rmap_i.writedata(7 downto 0);</t>
  </si>
  <si>
    <t xml:space="preserve">      rmap_registers_wr_o.aeb_gen_cfg_reserved_4cc.reserved(15 downto 8) &lt;= avalon_mm_rmap_i.writedata(15 downto 8);</t>
  </si>
  <si>
    <t xml:space="preserve">      rmap_registers_wr_o.aeb_gen_cfg_reserved_4cc.reserved(23 downto 16) &lt;= avalon_mm_rmap_i.writedata(23 downto 16);</t>
  </si>
  <si>
    <t xml:space="preserve">      rmap_registers_wr_o.aeb_gen_cfg_reserved_4cc.reserved(31 downto 24) &lt;= avalon_mm_rmap_i.writedata(31 downto 24);</t>
  </si>
  <si>
    <t xml:space="preserve">      rmap_registers_wr_o.aeb_gen_cfg_reserved_4d0.reserved(7 downto 0) &lt;= avalon_mm_rmap_i.writedata(7 downto 0);</t>
  </si>
  <si>
    <t xml:space="preserve">      rmap_registers_wr_o.aeb_gen_cfg_reserved_4d0.reserved(15 downto 8) &lt;= avalon_mm_rmap_i.writedata(15 downto 8);</t>
  </si>
  <si>
    <t xml:space="preserve">      rmap_registers_wr_o.aeb_gen_cfg_reserved_4d0.reserved(23 downto 16) &lt;= avalon_mm_rmap_i.writedata(23 downto 16);</t>
  </si>
  <si>
    <t xml:space="preserve">      rmap_registers_wr_o.aeb_gen_cfg_reserved_4d0.reserved(31 downto 24) &lt;= avalon_mm_rmap_i.writedata(31 downto 24);</t>
  </si>
  <si>
    <t xml:space="preserve">      rmap_registers_wr_o.aeb_gen_cfg_reserved_4d4.reserved(7 downto 0) &lt;= avalon_mm_rmap_i.writedata(7 downto 0);</t>
  </si>
  <si>
    <t xml:space="preserve">      rmap_registers_wr_o.aeb_gen_cfg_reserved_4d4.reserved(15 downto 8) &lt;= avalon_mm_rmap_i.writedata(15 downto 8);</t>
  </si>
  <si>
    <t xml:space="preserve">      rmap_registers_wr_o.aeb_gen_cfg_reserved_4d4.reserved(23 downto 16) &lt;= avalon_mm_rmap_i.writedata(23 downto 16);</t>
  </si>
  <si>
    <t xml:space="preserve">      rmap_registers_wr_o.aeb_gen_cfg_reserved_4d4.reserved(31 downto 24) &lt;= avalon_mm_rmap_i.writedata(31 downto 24);</t>
  </si>
  <si>
    <t xml:space="preserve">      rmap_registers_wr_o.aeb_gen_cfg_reserved_4d8.reserved(7 downto 0) &lt;= avalon_mm_rmap_i.writedata(7 downto 0);</t>
  </si>
  <si>
    <t xml:space="preserve">      rmap_registers_wr_o.aeb_gen_cfg_reserved_4d8.reserved(15 downto 8) &lt;= avalon_mm_rmap_i.writedata(15 downto 8);</t>
  </si>
  <si>
    <t xml:space="preserve">      rmap_registers_wr_o.aeb_gen_cfg_reserved_4d8.reserved(23 downto 16) &lt;= avalon_mm_rmap_i.writedata(23 downto 16);</t>
  </si>
  <si>
    <t xml:space="preserve">      rmap_registers_wr_o.aeb_gen_cfg_reserved_4d8.reserved(31 downto 24) &lt;= avalon_mm_rmap_i.writedata(31 downto 24);</t>
  </si>
  <si>
    <t xml:space="preserve">      rmap_registers_wr_o.aeb_gen_cfg_reserved_4dc.reserved(7 downto 0) &lt;= avalon_mm_rmap_i.writedata(7 downto 0);</t>
  </si>
  <si>
    <t xml:space="preserve">      rmap_registers_wr_o.aeb_gen_cfg_reserved_4dc.reserved(15 downto 8) &lt;= avalon_mm_rmap_i.writedata(15 downto 8);</t>
  </si>
  <si>
    <t xml:space="preserve">      rmap_registers_wr_o.aeb_gen_cfg_reserved_4dc.reserved(23 downto 16) &lt;= avalon_mm_rmap_i.writedata(23 downto 16);</t>
  </si>
  <si>
    <t xml:space="preserve">      rmap_registers_wr_o.aeb_gen_cfg_reserved_4dc.reserved(31 downto 24) &lt;= avalon_mm_rmap_i.writedata(31 downto 24);</t>
  </si>
  <si>
    <t xml:space="preserve">      rmap_registers_wr_o.aeb_gen_cfg_reserved_4e0.reserved(7 downto 0) &lt;= avalon_mm_rmap_i.writedata(7 downto 0);</t>
  </si>
  <si>
    <t xml:space="preserve">      rmap_registers_wr_o.aeb_gen_cfg_reserved_4e0.reserved(15 downto 8) &lt;= avalon_mm_rmap_i.writedata(15 downto 8);</t>
  </si>
  <si>
    <t xml:space="preserve">      rmap_registers_wr_o.aeb_gen_cfg_reserved_4e0.reserved(23 downto 16) &lt;= avalon_mm_rmap_i.writedata(23 downto 16);</t>
  </si>
  <si>
    <t xml:space="preserve">      rmap_registers_wr_o.aeb_gen_cfg_reserved_4e0.reserved(31 downto 24) &lt;= avalon_mm_rmap_i.writedata(31 downto 24);</t>
  </si>
  <si>
    <t xml:space="preserve">      rmap_registers_wr_o.aeb_gen_cfg_reserved_4e4.reserved(7 downto 0) &lt;= avalon_mm_rmap_i.writedata(7 downto 0);</t>
  </si>
  <si>
    <t xml:space="preserve">      rmap_registers_wr_o.aeb_gen_cfg_reserved_4e4.reserved(15 downto 8) &lt;= avalon_mm_rmap_i.writedata(15 downto 8);</t>
  </si>
  <si>
    <t xml:space="preserve">      rmap_registers_wr_o.aeb_gen_cfg_reserved_4e4.reserved(23 downto 16) &lt;= avalon_mm_rmap_i.writedata(23 downto 16);</t>
  </si>
  <si>
    <t xml:space="preserve">      rmap_registers_wr_o.aeb_gen_cfg_reserved_4e4.reserved(31 downto 24) &lt;= avalon_mm_rmap_i.writedata(31 downto 24);</t>
  </si>
  <si>
    <t xml:space="preserve">      rmap_registers_wr_o.aeb_gen_cfg_reserved_4e8.reserved(7 downto 0) &lt;= avalon_mm_rmap_i.writedata(7 downto 0);</t>
  </si>
  <si>
    <t xml:space="preserve">      rmap_registers_wr_o.aeb_gen_cfg_reserved_4e8.reserved(15 downto 8) &lt;= avalon_mm_rmap_i.writedata(15 downto 8);</t>
  </si>
  <si>
    <t xml:space="preserve">      rmap_registers_wr_o.aeb_gen_cfg_reserved_4e8.reserved(23 downto 16) &lt;= avalon_mm_rmap_i.writedata(23 downto 16);</t>
  </si>
  <si>
    <t xml:space="preserve">      rmap_registers_wr_o.aeb_gen_cfg_reserved_4e8.reserved(31 downto 24) &lt;= avalon_mm_rmap_i.writedata(31 downto 24);</t>
  </si>
  <si>
    <t xml:space="preserve">      rmap_registers_wr_o.aeb_gen_cfg_reserved_4ec.reserved(7 downto 0) &lt;= avalon_mm_rmap_i.writedata(7 downto 0);</t>
  </si>
  <si>
    <t xml:space="preserve">      rmap_registers_wr_o.aeb_gen_cfg_reserved_4ec.reserved(15 downto 8) &lt;= avalon_mm_rmap_i.writedata(15 downto 8);</t>
  </si>
  <si>
    <t xml:space="preserve">      rmap_registers_wr_o.aeb_gen_cfg_reserved_4ec.reserved(23 downto 16) &lt;= avalon_mm_rmap_i.writedata(23 downto 16);</t>
  </si>
  <si>
    <t xml:space="preserve">      rmap_registers_wr_o.aeb_gen_cfg_reserved_4ec.reserved(31 downto 24) &lt;= avalon_mm_rmap_i.writedata(31 downto 24);</t>
  </si>
  <si>
    <t xml:space="preserve">      rmap_registers_wr_o.aeb_gen_cfg_reserved_4f0.reserved(7 downto 0) &lt;= avalon_mm_rmap_i.writedata(7 downto 0);</t>
  </si>
  <si>
    <t xml:space="preserve">      rmap_registers_wr_o.aeb_gen_cfg_reserved_4f0.reserved(15 downto 8) &lt;= avalon_mm_rmap_i.writedata(15 downto 8);</t>
  </si>
  <si>
    <t xml:space="preserve">      rmap_registers_wr_o.aeb_gen_cfg_reserved_4f0.reserved(23 downto 16) &lt;= avalon_mm_rmap_i.writedata(23 downto 16);</t>
  </si>
  <si>
    <t xml:space="preserve">      rmap_registers_wr_o.aeb_gen_cfg_reserved_4f0.reserved(31 downto 24) &lt;= avalon_mm_rmap_i.writedata(31 downto 24);</t>
  </si>
  <si>
    <t xml:space="preserve">      rmap_registers_wr_o.aeb_gen_cfg_reserved_4f4.reserved(7 downto 0) &lt;= avalon_mm_rmap_i.writedata(7 downto 0);</t>
  </si>
  <si>
    <t xml:space="preserve">      rmap_registers_wr_o.aeb_gen_cfg_reserved_4f4.reserved(15 downto 8) &lt;= avalon_mm_rmap_i.writedata(15 downto 8);</t>
  </si>
  <si>
    <t xml:space="preserve">      rmap_registers_wr_o.aeb_gen_cfg_reserved_4f4.reserved(23 downto 16) &lt;= avalon_mm_rmap_i.writedata(23 downto 16);</t>
  </si>
  <si>
    <t xml:space="preserve">      rmap_registers_wr_o.aeb_gen_cfg_reserved_4f4.reserved(31 downto 24) &lt;= avalon_mm_rmap_i.writedata(31 downto 24);</t>
  </si>
  <si>
    <t xml:space="preserve">      rmap_registers_wr_o.aeb_gen_cfg_reserved_4f8.reserved(7 downto 0) &lt;= avalon_mm_rmap_i.writedata(7 downto 0);</t>
  </si>
  <si>
    <t xml:space="preserve">      rmap_registers_wr_o.aeb_gen_cfg_reserved_4f8.reserved(15 downto 8) &lt;= avalon_mm_rmap_i.writedata(15 downto 8);</t>
  </si>
  <si>
    <t xml:space="preserve">      rmap_registers_wr_o.aeb_gen_cfg_reserved_4f8.reserved(23 downto 16) &lt;= avalon_mm_rmap_i.writedata(23 downto 16);</t>
  </si>
  <si>
    <t xml:space="preserve">      rmap_registers_wr_o.aeb_gen_cfg_reserved_4f8.reserved(31 downto 24) &lt;= avalon_mm_rmap_i.writedata(31 downto 24);</t>
  </si>
  <si>
    <t xml:space="preserve">      rmap_registers_wr_o.aeb_gen_cfg_reserved_4fc.reserved(7 downto 0) &lt;= avalon_mm_rmap_i.writedata(7 downto 0);</t>
  </si>
  <si>
    <t xml:space="preserve">      rmap_registers_wr_o.aeb_gen_cfg_reserved_4fc.reserved(15 downto 8) &lt;= avalon_mm_rmap_i.writedata(15 downto 8);</t>
  </si>
  <si>
    <t xml:space="preserve">      rmap_registers_wr_o.aeb_gen_cfg_reserved_4fc.reserved(23 downto 16) &lt;= avalon_mm_rmap_i.writedata(23 downto 16);</t>
  </si>
  <si>
    <t xml:space="preserve">      rmap_registers_wr_o.aeb_gen_cfg_reserved_4fc.reserved(31 downto 24) &lt;= avalon_mm_rmap_i.writedata(31 downto 24);</t>
  </si>
  <si>
    <t xml:space="preserve">      rmap_registers_wr_o.aeb_gen_cfg_reserved_500.reserved(7 downto 0) &lt;= avalon_mm_rmap_i.writedata(7 downto 0);</t>
  </si>
  <si>
    <t xml:space="preserve">      rmap_registers_wr_o.aeb_gen_cfg_reserved_500.reserved(15 downto 8) &lt;= avalon_mm_rmap_i.writedata(15 downto 8);</t>
  </si>
  <si>
    <t xml:space="preserve">      rmap_registers_wr_o.aeb_gen_cfg_reserved_500.reserved(23 downto 16) &lt;= avalon_mm_rmap_i.writedata(23 downto 16);</t>
  </si>
  <si>
    <t xml:space="preserve">      rmap_registers_wr_o.aeb_gen_cfg_reserved_500.reserved(31 downto 24) &lt;= avalon_mm_rmap_i.writedata(31 downto 24);</t>
  </si>
  <si>
    <t xml:space="preserve">      rmap_registers_wr_o.aeb_gen_cfg_reserved_504.reserved(7 downto 0) &lt;= avalon_mm_rmap_i.writedata(7 downto 0);</t>
  </si>
  <si>
    <t xml:space="preserve">      rmap_registers_wr_o.aeb_gen_cfg_reserved_504.reserved(15 downto 8) &lt;= avalon_mm_rmap_i.writedata(15 downto 8);</t>
  </si>
  <si>
    <t xml:space="preserve">      rmap_registers_wr_o.aeb_gen_cfg_reserved_504.reserved(23 downto 16) &lt;= avalon_mm_rmap_i.writedata(23 downto 16);</t>
  </si>
  <si>
    <t xml:space="preserve">      rmap_registers_wr_o.aeb_gen_cfg_reserved_504.reserved(31 downto 24) &lt;= avalon_mm_rmap_i.writedata(31 downto 24);</t>
  </si>
  <si>
    <t xml:space="preserve">      rmap_registers_wr_o.aeb_gen_cfg_reserved_508.reserved(7 downto 0) &lt;= avalon_mm_rmap_i.writedata(7 downto 0);</t>
  </si>
  <si>
    <t xml:space="preserve">      rmap_registers_wr_o.aeb_gen_cfg_reserved_508.reserved(15 downto 8) &lt;= avalon_mm_rmap_i.writedata(15 downto 8);</t>
  </si>
  <si>
    <t xml:space="preserve">      rmap_registers_wr_o.aeb_gen_cfg_reserved_508.reserved(23 downto 16) &lt;= avalon_mm_rmap_i.writedata(23 downto 16);</t>
  </si>
  <si>
    <t xml:space="preserve">      rmap_registers_wr_o.aeb_gen_cfg_reserved_508.reserved(31 downto 24) &lt;= avalon_mm_rmap_i.writedata(31 downto 24);</t>
  </si>
  <si>
    <t xml:space="preserve">      rmap_registers_wr_o.aeb_gen_cfg_reserved_50c.reserved(7 downto 0) &lt;= avalon_mm_rmap_i.writedata(7 downto 0);</t>
  </si>
  <si>
    <t xml:space="preserve">      rmap_registers_wr_o.aeb_gen_cfg_reserved_50c.reserved(15 downto 8) &lt;= avalon_mm_rmap_i.writedata(15 downto 8);</t>
  </si>
  <si>
    <t xml:space="preserve">      rmap_registers_wr_o.aeb_gen_cfg_reserved_50c.reserved(23 downto 16) &lt;= avalon_mm_rmap_i.writedata(23 downto 16);</t>
  </si>
  <si>
    <t xml:space="preserve">      rmap_registers_wr_o.aeb_gen_cfg_reserved_50c.reserved(31 downto 24) &lt;= avalon_mm_rmap_i.writedata(31 downto 24);</t>
  </si>
  <si>
    <t xml:space="preserve">      rmap_registers_wr_o.aeb_gen_cfg_reserved_510.reserved(7 downto 0) &lt;= avalon_mm_rmap_i.writedata(7 downto 0);</t>
  </si>
  <si>
    <t xml:space="preserve">      rmap_registers_wr_o.aeb_gen_cfg_reserved_510.reserved(15 downto 8) &lt;= avalon_mm_rmap_i.writedata(15 downto 8);</t>
  </si>
  <si>
    <t xml:space="preserve">      rmap_registers_wr_o.aeb_gen_cfg_reserved_510.reserved(23 downto 16) &lt;= avalon_mm_rmap_i.writedata(23 downto 16);</t>
  </si>
  <si>
    <t xml:space="preserve">      rmap_registers_wr_o.aeb_gen_cfg_reserved_510.reserved(31 downto 24) &lt;= avalon_mm_rmap_i.writedata(31 downto 24);</t>
  </si>
  <si>
    <t xml:space="preserve">      rmap_registers_wr_o.aeb_gen_cfg_reserved_514.reserved(7 downto 0) &lt;= avalon_mm_rmap_i.writedata(7 downto 0);</t>
  </si>
  <si>
    <t xml:space="preserve">      rmap_registers_wr_o.aeb_gen_cfg_reserved_514.reserved(15 downto 8) &lt;= avalon_mm_rmap_i.writedata(15 downto 8);</t>
  </si>
  <si>
    <t xml:space="preserve">      rmap_registers_wr_o.aeb_gen_cfg_reserved_514.reserved(23 downto 16) &lt;= avalon_mm_rmap_i.writedata(23 downto 16);</t>
  </si>
  <si>
    <t xml:space="preserve">      rmap_registers_wr_o.aeb_gen_cfg_reserved_514.reserved(31 downto 24) &lt;= avalon_mm_rmap_i.writedata(31 downto 24);</t>
  </si>
  <si>
    <t xml:space="preserve">      rmap_registers_wr_o.aeb_gen_cfg_reserved_518.reserved(7 downto 0) &lt;= avalon_mm_rmap_i.writedata(7 downto 0);</t>
  </si>
  <si>
    <t xml:space="preserve">      rmap_registers_wr_o.aeb_gen_cfg_reserved_518.reserved(15 downto 8) &lt;= avalon_mm_rmap_i.writedata(15 downto 8);</t>
  </si>
  <si>
    <t xml:space="preserve">      rmap_registers_wr_o.aeb_gen_cfg_reserved_518.reserved(23 downto 16) &lt;= avalon_mm_rmap_i.writedata(23 downto 16);</t>
  </si>
  <si>
    <t xml:space="preserve">      rmap_registers_wr_o.aeb_gen_cfg_reserved_518.reserved(31 downto 24) &lt;= avalon_mm_rmap_i.writedata(31 downto 24);</t>
  </si>
  <si>
    <t xml:space="preserve">      rmap_registers_wr_o.aeb_gen_cfg_reserved_51c.reserved(7 downto 0) &lt;= avalon_mm_rmap_i.writedata(7 downto 0);</t>
  </si>
  <si>
    <t xml:space="preserve">      rmap_registers_wr_o.aeb_gen_cfg_reserved_51c.reserved(15 downto 8) &lt;= avalon_mm_rmap_i.writedata(15 downto 8);</t>
  </si>
  <si>
    <t xml:space="preserve">      rmap_registers_wr_o.aeb_gen_cfg_reserved_51c.reserved(23 downto 16) &lt;= avalon_mm_rmap_i.writedata(23 downto 16);</t>
  </si>
  <si>
    <t xml:space="preserve">      rmap_registers_wr_o.aeb_gen_cfg_reserved_51c.reserved(31 downto 24) &lt;= avalon_mm_rmap_i.writedata(31 downto 24);</t>
  </si>
  <si>
    <t xml:space="preserve">      rmap_registers_wr_o.aeb_gen_cfg_reserved_520.reserved(7 downto 0) &lt;= avalon_mm_rmap_i.writedata(7 downto 0);</t>
  </si>
  <si>
    <t xml:space="preserve">      rmap_registers_wr_o.aeb_gen_cfg_reserved_520.reserved(15 downto 8) &lt;= avalon_mm_rmap_i.writedata(15 downto 8);</t>
  </si>
  <si>
    <t xml:space="preserve">      rmap_registers_wr_o.aeb_gen_cfg_reserved_520.reserved(23 downto 16) &lt;= avalon_mm_rmap_i.writedata(23 downto 16);</t>
  </si>
  <si>
    <t xml:space="preserve">      rmap_registers_wr_o.aeb_gen_cfg_reserved_520.reserved(31 downto 24) &lt;= avalon_mm_rmap_i.writedata(31 downto 24);</t>
  </si>
  <si>
    <t xml:space="preserve">      rmap_registers_wr_o.aeb_gen_cfg_reserved_524.reserved(7 downto 0) &lt;= avalon_mm_rmap_i.writedata(7 downto 0);</t>
  </si>
  <si>
    <t xml:space="preserve">      rmap_registers_wr_o.aeb_gen_cfg_reserved_524.reserved(15 downto 8) &lt;= avalon_mm_rmap_i.writedata(15 downto 8);</t>
  </si>
  <si>
    <t xml:space="preserve">      rmap_registers_wr_o.aeb_gen_cfg_reserved_524.reserved(23 downto 16) &lt;= avalon_mm_rmap_i.writedata(23 downto 16);</t>
  </si>
  <si>
    <t xml:space="preserve">      rmap_registers_wr_o.aeb_gen_cfg_reserved_524.reserved(31 downto 24) &lt;= avalon_mm_rmap_i.writedata(31 downto 24);</t>
  </si>
  <si>
    <t xml:space="preserve">      rmap_registers_wr_o.aeb_gen_cfg_reserved_528.reserved(7 downto 0) &lt;= avalon_mm_rmap_i.writedata(7 downto 0);</t>
  </si>
  <si>
    <t xml:space="preserve">      rmap_registers_wr_o.aeb_gen_cfg_reserved_528.reserved(15 downto 8) &lt;= avalon_mm_rmap_i.writedata(15 downto 8);</t>
  </si>
  <si>
    <t xml:space="preserve">      rmap_registers_wr_o.aeb_gen_cfg_reserved_528.reserved(23 downto 16) &lt;= avalon_mm_rmap_i.writedata(23 downto 16);</t>
  </si>
  <si>
    <t xml:space="preserve">      rmap_registers_wr_o.aeb_gen_cfg_reserved_528.reserved(31 downto 24) &lt;= avalon_mm_rmap_i.writedata(31 downto 24);</t>
  </si>
  <si>
    <t xml:space="preserve">      rmap_registers_wr_o.aeb_gen_cfg_reserved_52c.reserved(7 downto 0) &lt;= avalon_mm_rmap_i.writedata(7 downto 0);</t>
  </si>
  <si>
    <t xml:space="preserve">      rmap_registers_wr_o.aeb_gen_cfg_reserved_52c.reserved(15 downto 8) &lt;= avalon_mm_rmap_i.writedata(15 downto 8);</t>
  </si>
  <si>
    <t xml:space="preserve">      rmap_registers_wr_o.aeb_gen_cfg_reserved_52c.reserved(23 downto 16) &lt;= avalon_mm_rmap_i.writedata(23 downto 16);</t>
  </si>
  <si>
    <t xml:space="preserve">      rmap_registers_wr_o.aeb_gen_cfg_reserved_52c.reserved(31 downto 24) &lt;= avalon_mm_rmap_i.writedata(31 downto 24);</t>
  </si>
  <si>
    <t xml:space="preserve">      rmap_registers_wr_o.aeb_gen_cfg_reserved_530.reserved(7 downto 0) &lt;= avalon_mm_rmap_i.writedata(7 downto 0);</t>
  </si>
  <si>
    <t xml:space="preserve">      rmap_registers_wr_o.aeb_gen_cfg_reserved_530.reserved(15 downto 8) &lt;= avalon_mm_rmap_i.writedata(15 downto 8);</t>
  </si>
  <si>
    <t xml:space="preserve">      rmap_registers_wr_o.aeb_gen_cfg_reserved_530.reserved(23 downto 16) &lt;= avalon_mm_rmap_i.writedata(23 downto 16);</t>
  </si>
  <si>
    <t xml:space="preserve">      rmap_registers_wr_o.aeb_gen_cfg_reserved_530.reserved(31 downto 24) &lt;= avalon_mm_rmap_i.writedata(31 downto 24);</t>
  </si>
  <si>
    <t xml:space="preserve">      rmap_registers_wr_o.aeb_gen_cfg_reserved_534.reserved(7 downto 0) &lt;= avalon_mm_rmap_i.writedata(7 downto 0);</t>
  </si>
  <si>
    <t xml:space="preserve">      rmap_registers_wr_o.aeb_gen_cfg_reserved_534.reserved(15 downto 8) &lt;= avalon_mm_rmap_i.writedata(15 downto 8);</t>
  </si>
  <si>
    <t xml:space="preserve">      rmap_registers_wr_o.aeb_gen_cfg_reserved_534.reserved(23 downto 16) &lt;= avalon_mm_rmap_i.writedata(23 downto 16);</t>
  </si>
  <si>
    <t xml:space="preserve">      rmap_registers_wr_o.aeb_gen_cfg_reserved_534.reserved(31 downto 24) &lt;= avalon_mm_rmap_i.writedata(31 downto 24);</t>
  </si>
  <si>
    <t xml:space="preserve">      rmap_registers_wr_o.aeb_gen_cfg_reserved_538.reserved(7 downto 0) &lt;= avalon_mm_rmap_i.writedata(7 downto 0);</t>
  </si>
  <si>
    <t xml:space="preserve">      rmap_registers_wr_o.aeb_gen_cfg_reserved_538.reserved(15 downto 8) &lt;= avalon_mm_rmap_i.writedata(15 downto 8);</t>
  </si>
  <si>
    <t xml:space="preserve">      rmap_registers_wr_o.aeb_gen_cfg_reserved_538.reserved(23 downto 16) &lt;= avalon_mm_rmap_i.writedata(23 downto 16);</t>
  </si>
  <si>
    <t xml:space="preserve">      rmap_registers_wr_o.aeb_gen_cfg_reserved_538.reserved(31 downto 24) &lt;= avalon_mm_rmap_i.writedata(31 downto 24);</t>
  </si>
  <si>
    <t xml:space="preserve">      rmap_registers_wr_o.aeb_gen_cfg_reserved_53c.reserved(7 downto 0) &lt;= avalon_mm_rmap_i.writedata(7 downto 0);</t>
  </si>
  <si>
    <t xml:space="preserve">      rmap_registers_wr_o.aeb_gen_cfg_reserved_53c.reserved(15 downto 8) &lt;= avalon_mm_rmap_i.writedata(15 downto 8);</t>
  </si>
  <si>
    <t xml:space="preserve">      rmap_registers_wr_o.aeb_gen_cfg_reserved_53c.reserved(23 downto 16) &lt;= avalon_mm_rmap_i.writedata(23 downto 16);</t>
  </si>
  <si>
    <t xml:space="preserve">      rmap_registers_wr_o.aeb_gen_cfg_reserved_53c.reserved(31 downto 24) &lt;= avalon_mm_rmap_i.writedata(31 downto 24);</t>
  </si>
  <si>
    <t xml:space="preserve">      rmap_registers_wr_o.aeb_gen_cfg_reserved_540.reserved(7 downto 0) &lt;= avalon_mm_rmap_i.writedata(7 downto 0);</t>
  </si>
  <si>
    <t xml:space="preserve">      rmap_registers_wr_o.aeb_gen_cfg_reserved_540.reserved(15 downto 8) &lt;= avalon_mm_rmap_i.writedata(15 downto 8);</t>
  </si>
  <si>
    <t xml:space="preserve">      rmap_registers_wr_o.aeb_gen_cfg_reserved_540.reserved(23 downto 16) &lt;= avalon_mm_rmap_i.writedata(23 downto 16);</t>
  </si>
  <si>
    <t xml:space="preserve">      rmap_registers_wr_o.aeb_gen_cfg_reserved_540.reserved(31 downto 24) &lt;= avalon_mm_rmap_i.writedata(31 downto 24);</t>
  </si>
  <si>
    <t xml:space="preserve">      rmap_registers_wr_o.aeb_gen_cfg_reserved_544.reserved(7 downto 0) &lt;= avalon_mm_rmap_i.writedata(7 downto 0);</t>
  </si>
  <si>
    <t xml:space="preserve">      rmap_registers_wr_o.aeb_gen_cfg_reserved_544.reserved(15 downto 8) &lt;= avalon_mm_rmap_i.writedata(15 downto 8);</t>
  </si>
  <si>
    <t xml:space="preserve">      rmap_registers_wr_o.aeb_gen_cfg_reserved_544.reserved(23 downto 16) &lt;= avalon_mm_rmap_i.writedata(23 downto 16);</t>
  </si>
  <si>
    <t xml:space="preserve">      rmap_registers_wr_o.aeb_gen_cfg_reserved_544.reserved(31 downto 24) &lt;= avalon_mm_rmap_i.writedata(31 downto 24);</t>
  </si>
  <si>
    <t xml:space="preserve">      rmap_registers_wr_o.aeb_gen_cfg_reserved_548.reserved(7 downto 0) &lt;= avalon_mm_rmap_i.writedata(7 downto 0);</t>
  </si>
  <si>
    <t xml:space="preserve">      rmap_registers_wr_o.aeb_gen_cfg_reserved_548.reserved(15 downto 8) &lt;= avalon_mm_rmap_i.writedata(15 downto 8);</t>
  </si>
  <si>
    <t xml:space="preserve">      rmap_registers_wr_o.aeb_gen_cfg_reserved_548.reserved(23 downto 16) &lt;= avalon_mm_rmap_i.writedata(23 downto 16);</t>
  </si>
  <si>
    <t xml:space="preserve">      rmap_registers_wr_o.aeb_gen_cfg_reserved_548.reserved(31 downto 24) &lt;= avalon_mm_rmap_i.writedata(31 downto 24);</t>
  </si>
  <si>
    <t xml:space="preserve">      rmap_registers_wr_o.aeb_gen_cfg_reserved_54c.reserved(7 downto 0) &lt;= avalon_mm_rmap_i.writedata(7 downto 0);</t>
  </si>
  <si>
    <t xml:space="preserve">      rmap_registers_wr_o.aeb_gen_cfg_reserved_54c.reserved(15 downto 8) &lt;= avalon_mm_rmap_i.writedata(15 downto 8);</t>
  </si>
  <si>
    <t xml:space="preserve">      rmap_registers_wr_o.aeb_gen_cfg_reserved_54c.reserved(23 downto 16) &lt;= avalon_mm_rmap_i.writedata(23 downto 16);</t>
  </si>
  <si>
    <t xml:space="preserve">      rmap_registers_wr_o.aeb_gen_cfg_reserved_54c.reserved(31 downto 24) &lt;= avalon_mm_rmap_i.writedata(31 downto 24);</t>
  </si>
  <si>
    <t xml:space="preserve">      rmap_registers_wr_o.aeb_gen_cfg_reserved_550.reserved(7 downto 0) &lt;= avalon_mm_rmap_i.writedata(7 downto 0);</t>
  </si>
  <si>
    <t xml:space="preserve">      rmap_registers_wr_o.aeb_gen_cfg_reserved_550.reserved(15 downto 8) &lt;= avalon_mm_rmap_i.writedata(15 downto 8);</t>
  </si>
  <si>
    <t xml:space="preserve">      rmap_registers_wr_o.aeb_gen_cfg_reserved_550.reserved(23 downto 16) &lt;= avalon_mm_rmap_i.writedata(23 downto 16);</t>
  </si>
  <si>
    <t xml:space="preserve">      rmap_registers_wr_o.aeb_gen_cfg_reserved_550.reserved(31 downto 24) &lt;= avalon_mm_rmap_i.writedata(31 downto 24);</t>
  </si>
  <si>
    <t xml:space="preserve">      rmap_registers_wr_o.aeb_gen_cfg_reserved_554.reserved(7 downto 0) &lt;= avalon_mm_rmap_i.writedata(7 downto 0);</t>
  </si>
  <si>
    <t xml:space="preserve">      rmap_registers_wr_o.aeb_gen_cfg_reserved_554.reserved(15 downto 8) &lt;= avalon_mm_rmap_i.writedata(15 downto 8);</t>
  </si>
  <si>
    <t xml:space="preserve">      rmap_registers_wr_o.aeb_gen_cfg_reserved_554.reserved(23 downto 16) &lt;= avalon_mm_rmap_i.writedata(23 downto 16);</t>
  </si>
  <si>
    <t xml:space="preserve">      rmap_registers_wr_o.aeb_gen_cfg_reserved_554.reserved(31 downto 24) &lt;= avalon_mm_rmap_i.writedata(31 downto 24);</t>
  </si>
  <si>
    <t xml:space="preserve">      rmap_registers_wr_o.aeb_gen_cfg_reserved_558.reserved(7 downto 0) &lt;= avalon_mm_rmap_i.writedata(7 downto 0);</t>
  </si>
  <si>
    <t xml:space="preserve">      rmap_registers_wr_o.aeb_gen_cfg_reserved_558.reserved(15 downto 8) &lt;= avalon_mm_rmap_i.writedata(15 downto 8);</t>
  </si>
  <si>
    <t xml:space="preserve">      rmap_registers_wr_o.aeb_gen_cfg_reserved_558.reserved(23 downto 16) &lt;= avalon_mm_rmap_i.writedata(23 downto 16);</t>
  </si>
  <si>
    <t xml:space="preserve">      rmap_registers_wr_o.aeb_gen_cfg_reserved_558.reserved(31 downto 24) &lt;= avalon_mm_rmap_i.writedata(31 downto 24);</t>
  </si>
  <si>
    <t xml:space="preserve">      rmap_registers_wr_o.aeb_gen_cfg_reserved_55c.reserved(7 downto 0) &lt;= avalon_mm_rmap_i.writedata(7 downto 0);</t>
  </si>
  <si>
    <t xml:space="preserve">      rmap_registers_wr_o.aeb_gen_cfg_reserved_55c.reserved(15 downto 8) &lt;= avalon_mm_rmap_i.writedata(15 downto 8);</t>
  </si>
  <si>
    <t xml:space="preserve">      rmap_registers_wr_o.aeb_gen_cfg_reserved_55c.reserved(23 downto 16) &lt;= avalon_mm_rmap_i.writedata(23 downto 16);</t>
  </si>
  <si>
    <t xml:space="preserve">      rmap_registers_wr_o.aeb_gen_cfg_reserved_55c.reserved(31 downto 24) &lt;= avalon_mm_rmap_i.writedata(31 downto 24);</t>
  </si>
  <si>
    <t xml:space="preserve">      rmap_registers_wr_o.aeb_gen_cfg_reserved_560.reserved(7 downto 0) &lt;= avalon_mm_rmap_i.writedata(7 downto 0);</t>
  </si>
  <si>
    <t xml:space="preserve">      rmap_registers_wr_o.aeb_gen_cfg_reserved_560.reserved(15 downto 8) &lt;= avalon_mm_rmap_i.writedata(15 downto 8);</t>
  </si>
  <si>
    <t xml:space="preserve">      rmap_registers_wr_o.aeb_gen_cfg_reserved_560.reserved(23 downto 16) &lt;= avalon_mm_rmap_i.writedata(23 downto 16);</t>
  </si>
  <si>
    <t xml:space="preserve">      rmap_registers_wr_o.aeb_gen_cfg_reserved_560.reserved(31 downto 24) &lt;= avalon_mm_rmap_i.writedata(31 downto 24);</t>
  </si>
  <si>
    <t xml:space="preserve">      rmap_registers_wr_o.aeb_gen_cfg_reserved_564.reserved(7 downto 0) &lt;= avalon_mm_rmap_i.writedata(7 downto 0);</t>
  </si>
  <si>
    <t xml:space="preserve">      rmap_registers_wr_o.aeb_gen_cfg_reserved_564.reserved(15 downto 8) &lt;= avalon_mm_rmap_i.writedata(15 downto 8);</t>
  </si>
  <si>
    <t xml:space="preserve">      rmap_registers_wr_o.aeb_gen_cfg_reserved_564.reserved(23 downto 16) &lt;= avalon_mm_rmap_i.writedata(23 downto 16);</t>
  </si>
  <si>
    <t xml:space="preserve">      rmap_registers_wr_o.aeb_gen_cfg_reserved_564.reserved(31 downto 24) &lt;= avalon_mm_rmap_i.writedata(31 downto 24);</t>
  </si>
  <si>
    <t xml:space="preserve">      rmap_registers_wr_o.aeb_gen_cfg_reserved_568.reserved(7 downto 0) &lt;= avalon_mm_rmap_i.writedata(7 downto 0);</t>
  </si>
  <si>
    <t xml:space="preserve">      rmap_registers_wr_o.aeb_gen_cfg_reserved_568.reserved(15 downto 8) &lt;= avalon_mm_rmap_i.writedata(15 downto 8);</t>
  </si>
  <si>
    <t xml:space="preserve">      rmap_registers_wr_o.aeb_gen_cfg_reserved_568.reserved(23 downto 16) &lt;= avalon_mm_rmap_i.writedata(23 downto 16);</t>
  </si>
  <si>
    <t xml:space="preserve">      rmap_registers_wr_o.aeb_gen_cfg_reserved_568.reserved(31 downto 24) &lt;= avalon_mm_rmap_i.writedata(31 downto 24);</t>
  </si>
  <si>
    <t xml:space="preserve">      rmap_registers_wr_o.aeb_gen_cfg_reserved_56c.reserved(7 downto 0) &lt;= avalon_mm_rmap_i.writedata(7 downto 0);</t>
  </si>
  <si>
    <t xml:space="preserve">      rmap_registers_wr_o.aeb_gen_cfg_reserved_56c.reserved(15 downto 8) &lt;= avalon_mm_rmap_i.writedata(15 downto 8);</t>
  </si>
  <si>
    <t xml:space="preserve">      rmap_registers_wr_o.aeb_gen_cfg_reserved_56c.reserved(23 downto 16) &lt;= avalon_mm_rmap_i.writedata(23 downto 16);</t>
  </si>
  <si>
    <t xml:space="preserve">      rmap_registers_wr_o.aeb_gen_cfg_reserved_56c.reserved(31 downto 24) &lt;= avalon_mm_rmap_i.writedata(31 downto 24);</t>
  </si>
  <si>
    <t xml:space="preserve">      rmap_registers_wr_o.aeb_gen_cfg_reserved_570.reserved(7 downto 0) &lt;= avalon_mm_rmap_i.writedata(7 downto 0);</t>
  </si>
  <si>
    <t xml:space="preserve">      rmap_registers_wr_o.aeb_gen_cfg_reserved_570.reserved(15 downto 8) &lt;= avalon_mm_rmap_i.writedata(15 downto 8);</t>
  </si>
  <si>
    <t xml:space="preserve">      rmap_registers_wr_o.aeb_gen_cfg_reserved_570.reserved(23 downto 16) &lt;= avalon_mm_rmap_i.writedata(23 downto 16);</t>
  </si>
  <si>
    <t xml:space="preserve">      rmap_registers_wr_o.aeb_gen_cfg_reserved_570.reserved(31 downto 24) &lt;= avalon_mm_rmap_i.writedata(31 downto 24);</t>
  </si>
  <si>
    <t xml:space="preserve">      rmap_registers_wr_o.aeb_gen_cfg_reserved_574.reserved(7 downto 0) &lt;= avalon_mm_rmap_i.writedata(7 downto 0);</t>
  </si>
  <si>
    <t xml:space="preserve">      rmap_registers_wr_o.aeb_gen_cfg_reserved_574.reserved(15 downto 8) &lt;= avalon_mm_rmap_i.writedata(15 downto 8);</t>
  </si>
  <si>
    <t xml:space="preserve">      rmap_registers_wr_o.aeb_gen_cfg_reserved_574.reserved(23 downto 16) &lt;= avalon_mm_rmap_i.writedata(23 downto 16);</t>
  </si>
  <si>
    <t xml:space="preserve">      rmap_registers_wr_o.aeb_gen_cfg_reserved_574.reserved(31 downto 24) &lt;= avalon_mm_rmap_i.writedata(31 downto 24);</t>
  </si>
  <si>
    <t xml:space="preserve">      rmap_registers_wr_o.aeb_gen_cfg_reserved_578.reserved(7 downto 0) &lt;= avalon_mm_rmap_i.writedata(7 downto 0);</t>
  </si>
  <si>
    <t xml:space="preserve">      rmap_registers_wr_o.aeb_gen_cfg_reserved_578.reserved(15 downto 8) &lt;= avalon_mm_rmap_i.writedata(15 downto 8);</t>
  </si>
  <si>
    <t xml:space="preserve">      rmap_registers_wr_o.aeb_gen_cfg_reserved_578.reserved(23 downto 16) &lt;= avalon_mm_rmap_i.writedata(23 downto 16);</t>
  </si>
  <si>
    <t xml:space="preserve">      rmap_registers_wr_o.aeb_gen_cfg_reserved_578.reserved(31 downto 24) &lt;= avalon_mm_rmap_i.writedata(31 downto 24);</t>
  </si>
  <si>
    <t xml:space="preserve">      rmap_registers_wr_o.aeb_gen_cfg_reserved_57c.reserved(7 downto 0) &lt;= avalon_mm_rmap_i.writedata(7 downto 0);</t>
  </si>
  <si>
    <t xml:space="preserve">      rmap_registers_wr_o.aeb_gen_cfg_reserved_57c.reserved(15 downto 8) &lt;= avalon_mm_rmap_i.writedata(15 downto 8);</t>
  </si>
  <si>
    <t xml:space="preserve">      rmap_registers_wr_o.aeb_gen_cfg_reserved_57c.reserved(23 downto 16) &lt;= avalon_mm_rmap_i.writedata(23 downto 16);</t>
  </si>
  <si>
    <t xml:space="preserve">      rmap_registers_wr_o.aeb_gen_cfg_reserved_57c.reserved(31 downto 24) &lt;= avalon_mm_rmap_i.writedata(31 downto 24);</t>
  </si>
  <si>
    <t xml:space="preserve">      rmap_registers_wr_o.aeb_gen_cfg_reserved_580.reserved(7 downto 0) &lt;= avalon_mm_rmap_i.writedata(7 downto 0);</t>
  </si>
  <si>
    <t xml:space="preserve">      rmap_registers_wr_o.aeb_gen_cfg_reserved_580.reserved(15 downto 8) &lt;= avalon_mm_rmap_i.writedata(15 downto 8);</t>
  </si>
  <si>
    <t xml:space="preserve">      rmap_registers_wr_o.aeb_gen_cfg_reserved_580.reserved(23 downto 16) &lt;= avalon_mm_rmap_i.writedata(23 downto 16);</t>
  </si>
  <si>
    <t xml:space="preserve">      rmap_registers_wr_o.aeb_gen_cfg_reserved_580.reserved(31 downto 24) &lt;= avalon_mm_rmap_i.writedata(31 downto 24);</t>
  </si>
  <si>
    <t xml:space="preserve">      rmap_registers_wr_o.aeb_gen_cfg_reserved_584.reserved(7 downto 0) &lt;= avalon_mm_rmap_i.writedata(7 downto 0);</t>
  </si>
  <si>
    <t xml:space="preserve">      rmap_registers_wr_o.aeb_gen_cfg_reserved_584.reserved(15 downto 8) &lt;= avalon_mm_rmap_i.writedata(15 downto 8);</t>
  </si>
  <si>
    <t xml:space="preserve">      rmap_registers_wr_o.aeb_gen_cfg_reserved_584.reserved(23 downto 16) &lt;= avalon_mm_rmap_i.writedata(23 downto 16);</t>
  </si>
  <si>
    <t xml:space="preserve">      rmap_registers_wr_o.aeb_gen_cfg_reserved_584.reserved(31 downto 24) &lt;= avalon_mm_rmap_i.writedata(31 downto 24);</t>
  </si>
  <si>
    <t xml:space="preserve">      rmap_registers_wr_o.aeb_gen_cfg_reserved_588.reserved(7 downto 0) &lt;= avalon_mm_rmap_i.writedata(7 downto 0);</t>
  </si>
  <si>
    <t xml:space="preserve">      rmap_registers_wr_o.aeb_gen_cfg_reserved_588.reserved(15 downto 8) &lt;= avalon_mm_rmap_i.writedata(15 downto 8);</t>
  </si>
  <si>
    <t xml:space="preserve">      rmap_registers_wr_o.aeb_gen_cfg_reserved_588.reserved(23 downto 16) &lt;= avalon_mm_rmap_i.writedata(23 downto 16);</t>
  </si>
  <si>
    <t xml:space="preserve">      rmap_registers_wr_o.aeb_gen_cfg_reserved_588.reserved(31 downto 24) &lt;= avalon_mm_rmap_i.writedata(31 downto 24);</t>
  </si>
  <si>
    <t xml:space="preserve">      rmap_registers_wr_o.aeb_gen_cfg_reserved_58c.reserved(7 downto 0) &lt;= avalon_mm_rmap_i.writedata(7 downto 0);</t>
  </si>
  <si>
    <t xml:space="preserve">      rmap_registers_wr_o.aeb_gen_cfg_reserved_58c.reserved(15 downto 8) &lt;= avalon_mm_rmap_i.writedata(15 downto 8);</t>
  </si>
  <si>
    <t xml:space="preserve">      rmap_registers_wr_o.aeb_gen_cfg_reserved_58c.reserved(23 downto 16) &lt;= avalon_mm_rmap_i.writedata(23 downto 16);</t>
  </si>
  <si>
    <t xml:space="preserve">      rmap_registers_wr_o.aeb_gen_cfg_reserved_58c.reserved(31 downto 24) &lt;= avalon_mm_rmap_i.writedata(31 downto 24);</t>
  </si>
  <si>
    <t xml:space="preserve">      rmap_registers_wr_o.aeb_gen_cfg_reserved_590.reserved(7 downto 0) &lt;= avalon_mm_rmap_i.writedata(7 downto 0);</t>
  </si>
  <si>
    <t xml:space="preserve">      rmap_registers_wr_o.aeb_gen_cfg_reserved_590.reserved(15 downto 8) &lt;= avalon_mm_rmap_i.writedata(15 downto 8);</t>
  </si>
  <si>
    <t xml:space="preserve">      rmap_registers_wr_o.aeb_gen_cfg_reserved_590.reserved(23 downto 16) &lt;= avalon_mm_rmap_i.writedata(23 downto 16);</t>
  </si>
  <si>
    <t xml:space="preserve">      rmap_registers_wr_o.aeb_gen_cfg_reserved_590.reserved(31 downto 24) &lt;= avalon_mm_rmap_i.writedata(31 downto 24);</t>
  </si>
  <si>
    <t xml:space="preserve">      rmap_registers_wr_o.aeb_gen_cfg_reserved_594.reserved(7 downto 0) &lt;= avalon_mm_rmap_i.writedata(7 downto 0);</t>
  </si>
  <si>
    <t xml:space="preserve">      rmap_registers_wr_o.aeb_gen_cfg_reserved_594.reserved(15 downto 8) &lt;= avalon_mm_rmap_i.writedata(15 downto 8);</t>
  </si>
  <si>
    <t xml:space="preserve">      rmap_registers_wr_o.aeb_gen_cfg_reserved_594.reserved(23 downto 16) &lt;= avalon_mm_rmap_i.writedata(23 downto 16);</t>
  </si>
  <si>
    <t xml:space="preserve">      rmap_registers_wr_o.aeb_gen_cfg_reserved_594.reserved(31 downto 24) &lt;= avalon_mm_rmap_i.writedata(31 downto 24);</t>
  </si>
  <si>
    <t xml:space="preserve">      rmap_registers_wr_o.aeb_gen_cfg_reserved_598.reserved(7 downto 0) &lt;= avalon_mm_rmap_i.writedata(7 downto 0);</t>
  </si>
  <si>
    <t xml:space="preserve">      rmap_registers_wr_o.aeb_gen_cfg_reserved_598.reserved(15 downto 8) &lt;= avalon_mm_rmap_i.writedata(15 downto 8);</t>
  </si>
  <si>
    <t xml:space="preserve">      rmap_registers_wr_o.aeb_gen_cfg_reserved_598.reserved(23 downto 16) &lt;= avalon_mm_rmap_i.writedata(23 downto 16);</t>
  </si>
  <si>
    <t xml:space="preserve">      rmap_registers_wr_o.aeb_gen_cfg_reserved_598.reserved(31 downto 24) &lt;= avalon_mm_rmap_i.writedata(31 downto 24);</t>
  </si>
  <si>
    <t xml:space="preserve">      rmap_registers_wr_o.aeb_gen_cfg_reserved_59c.reserved(7 downto 0) &lt;= avalon_mm_rmap_i.writedata(7 downto 0);</t>
  </si>
  <si>
    <t xml:space="preserve">      rmap_registers_wr_o.aeb_gen_cfg_reserved_59c.reserved(15 downto 8) &lt;= avalon_mm_rmap_i.writedata(15 downto 8);</t>
  </si>
  <si>
    <t xml:space="preserve">      rmap_registers_wr_o.aeb_gen_cfg_reserved_59c.reserved(23 downto 16) &lt;= avalon_mm_rmap_i.writedata(23 downto 16);</t>
  </si>
  <si>
    <t xml:space="preserve">      rmap_registers_wr_o.aeb_gen_cfg_reserved_59c.reserved(31 downto 24) &lt;= avalon_mm_rmap_i.writedata(31 downto 24);</t>
  </si>
  <si>
    <t xml:space="preserve">      rmap_registers_wr_o.aeb_gen_cfg_reserved_5a0.reserved(7 downto 0) &lt;= avalon_mm_rmap_i.writedata(7 downto 0);</t>
  </si>
  <si>
    <t xml:space="preserve">      rmap_registers_wr_o.aeb_gen_cfg_reserved_5a0.reserved(15 downto 8) &lt;= avalon_mm_rmap_i.writedata(15 downto 8);</t>
  </si>
  <si>
    <t xml:space="preserve">      rmap_registers_wr_o.aeb_gen_cfg_reserved_5a0.reserved(23 downto 16) &lt;= avalon_mm_rmap_i.writedata(23 downto 16);</t>
  </si>
  <si>
    <t xml:space="preserve">      rmap_registers_wr_o.aeb_gen_cfg_reserved_5a0.reserved(31 downto 24) &lt;= avalon_mm_rmap_i.writedata(31 downto 24);</t>
  </si>
  <si>
    <t xml:space="preserve">      rmap_registers_wr_o.aeb_gen_cfg_reserved_5a4.reserved(7 downto 0) &lt;= avalon_mm_rmap_i.writedata(7 downto 0);</t>
  </si>
  <si>
    <t xml:space="preserve">      rmap_registers_wr_o.aeb_gen_cfg_reserved_5a4.reserved(15 downto 8) &lt;= avalon_mm_rmap_i.writedata(15 downto 8);</t>
  </si>
  <si>
    <t xml:space="preserve">      rmap_registers_wr_o.aeb_gen_cfg_reserved_5a4.reserved(23 downto 16) &lt;= avalon_mm_rmap_i.writedata(23 downto 16);</t>
  </si>
  <si>
    <t xml:space="preserve">      rmap_registers_wr_o.aeb_gen_cfg_reserved_5a4.reserved(31 downto 24) &lt;= avalon_mm_rmap_i.writedata(31 downto 24);</t>
  </si>
  <si>
    <t xml:space="preserve">      rmap_registers_wr_o.aeb_gen_cfg_reserved_5a8.reserved(7 downto 0) &lt;= avalon_mm_rmap_i.writedata(7 downto 0);</t>
  </si>
  <si>
    <t xml:space="preserve">      rmap_registers_wr_o.aeb_gen_cfg_reserved_5a8.reserved(15 downto 8) &lt;= avalon_mm_rmap_i.writedata(15 downto 8);</t>
  </si>
  <si>
    <t xml:space="preserve">      rmap_registers_wr_o.aeb_gen_cfg_reserved_5a8.reserved(23 downto 16) &lt;= avalon_mm_rmap_i.writedata(23 downto 16);</t>
  </si>
  <si>
    <t xml:space="preserve">      rmap_registers_wr_o.aeb_gen_cfg_reserved_5a8.reserved(31 downto 24) &lt;= avalon_mm_rmap_i.writedata(31 downto 24);</t>
  </si>
  <si>
    <t xml:space="preserve">      rmap_registers_wr_o.aeb_gen_cfg_reserved_5ac.reserved(7 downto 0) &lt;= avalon_mm_rmap_i.writedata(7 downto 0);</t>
  </si>
  <si>
    <t xml:space="preserve">      rmap_registers_wr_o.aeb_gen_cfg_reserved_5ac.reserved(15 downto 8) &lt;= avalon_mm_rmap_i.writedata(15 downto 8);</t>
  </si>
  <si>
    <t xml:space="preserve">      rmap_registers_wr_o.aeb_gen_cfg_reserved_5ac.reserved(23 downto 16) &lt;= avalon_mm_rmap_i.writedata(23 downto 16);</t>
  </si>
  <si>
    <t xml:space="preserve">      rmap_registers_wr_o.aeb_gen_cfg_reserved_5ac.reserved(31 downto 24) &lt;= avalon_mm_rmap_i.writedata(31 downto 24);</t>
  </si>
  <si>
    <t xml:space="preserve">      rmap_registers_wr_o.aeb_gen_cfg_reserved_5b0.reserved(7 downto 0) &lt;= avalon_mm_rmap_i.writedata(7 downto 0);</t>
  </si>
  <si>
    <t xml:space="preserve">      rmap_registers_wr_o.aeb_gen_cfg_reserved_5b0.reserved(15 downto 8) &lt;= avalon_mm_rmap_i.writedata(15 downto 8);</t>
  </si>
  <si>
    <t xml:space="preserve">      rmap_registers_wr_o.aeb_gen_cfg_reserved_5b0.reserved(23 downto 16) &lt;= avalon_mm_rmap_i.writedata(23 downto 16);</t>
  </si>
  <si>
    <t xml:space="preserve">      rmap_registers_wr_o.aeb_gen_cfg_reserved_5b0.reserved(31 downto 24) &lt;= avalon_mm_rmap_i.writedata(31 downto 24);</t>
  </si>
  <si>
    <t xml:space="preserve">      rmap_registers_wr_o.aeb_gen_cfg_reserved_5b4.reserved(7 downto 0) &lt;= avalon_mm_rmap_i.writedata(7 downto 0);</t>
  </si>
  <si>
    <t xml:space="preserve">      rmap_registers_wr_o.aeb_gen_cfg_reserved_5b4.reserved(15 downto 8) &lt;= avalon_mm_rmap_i.writedata(15 downto 8);</t>
  </si>
  <si>
    <t xml:space="preserve">      rmap_registers_wr_o.aeb_gen_cfg_reserved_5b4.reserved(23 downto 16) &lt;= avalon_mm_rmap_i.writedata(23 downto 16);</t>
  </si>
  <si>
    <t xml:space="preserve">      rmap_registers_wr_o.aeb_gen_cfg_reserved_5b4.reserved(31 downto 24) &lt;= avalon_mm_rmap_i.writedata(31 downto 24);</t>
  </si>
  <si>
    <t xml:space="preserve">      rmap_registers_wr_o.aeb_gen_cfg_reserved_5b8.reserved(7 downto 0) &lt;= avalon_mm_rmap_i.writedata(7 downto 0);</t>
  </si>
  <si>
    <t xml:space="preserve">      rmap_registers_wr_o.aeb_gen_cfg_reserved_5b8.reserved(15 downto 8) &lt;= avalon_mm_rmap_i.writedata(15 downto 8);</t>
  </si>
  <si>
    <t xml:space="preserve">      rmap_registers_wr_o.aeb_gen_cfg_reserved_5b8.reserved(23 downto 16) &lt;= avalon_mm_rmap_i.writedata(23 downto 16);</t>
  </si>
  <si>
    <t xml:space="preserve">      rmap_registers_wr_o.aeb_gen_cfg_reserved_5b8.reserved(31 downto 24) &lt;= avalon_mm_rmap_i.writedata(31 downto 24);</t>
  </si>
  <si>
    <t xml:space="preserve">      rmap_registers_wr_o.aeb_gen_cfg_reserved_5bc.reserved(7 downto 0) &lt;= avalon_mm_rmap_i.writedata(7 downto 0);</t>
  </si>
  <si>
    <t xml:space="preserve">      rmap_registers_wr_o.aeb_gen_cfg_reserved_5bc.reserved(15 downto 8) &lt;= avalon_mm_rmap_i.writedata(15 downto 8);</t>
  </si>
  <si>
    <t xml:space="preserve">      rmap_registers_wr_o.aeb_gen_cfg_reserved_5bc.reserved(23 downto 16) &lt;= avalon_mm_rmap_i.writedata(23 downto 16);</t>
  </si>
  <si>
    <t xml:space="preserve">      rmap_registers_wr_o.aeb_gen_cfg_reserved_5bc.reserved(31 downto 24) &lt;= avalon_mm_rmap_i.writedata(31 downto 24);</t>
  </si>
  <si>
    <t xml:space="preserve">      rmap_registers_wr_o.aeb_gen_cfg_reserved_5c0.reserved(7 downto 0) &lt;= avalon_mm_rmap_i.writedata(7 downto 0);</t>
  </si>
  <si>
    <t xml:space="preserve">      rmap_registers_wr_o.aeb_gen_cfg_reserved_5c0.reserved(15 downto 8) &lt;= avalon_mm_rmap_i.writedata(15 downto 8);</t>
  </si>
  <si>
    <t xml:space="preserve">      rmap_registers_wr_o.aeb_gen_cfg_reserved_5c0.reserved(23 downto 16) &lt;= avalon_mm_rmap_i.writedata(23 downto 16);</t>
  </si>
  <si>
    <t xml:space="preserve">      rmap_registers_wr_o.aeb_gen_cfg_reserved_5c0.reserved(31 downto 24) &lt;= avalon_mm_rmap_i.writedata(31 downto 24);</t>
  </si>
  <si>
    <t xml:space="preserve">      rmap_registers_wr_o.aeb_gen_cfg_reserved_5c4.reserved(7 downto 0) &lt;= avalon_mm_rmap_i.writedata(7 downto 0);</t>
  </si>
  <si>
    <t xml:space="preserve">      rmap_registers_wr_o.aeb_gen_cfg_reserved_5c4.reserved(15 downto 8) &lt;= avalon_mm_rmap_i.writedata(15 downto 8);</t>
  </si>
  <si>
    <t xml:space="preserve">      rmap_registers_wr_o.aeb_gen_cfg_reserved_5c4.reserved(23 downto 16) &lt;= avalon_mm_rmap_i.writedata(23 downto 16);</t>
  </si>
  <si>
    <t xml:space="preserve">      rmap_registers_wr_o.aeb_gen_cfg_reserved_5c4.reserved(31 downto 24) &lt;= avalon_mm_rmap_i.writedata(31 downto 24);</t>
  </si>
  <si>
    <t xml:space="preserve">      rmap_registers_wr_o.aeb_gen_cfg_reserved_5c8.reserved(7 downto 0) &lt;= avalon_mm_rmap_i.writedata(7 downto 0);</t>
  </si>
  <si>
    <t xml:space="preserve">      rmap_registers_wr_o.aeb_gen_cfg_reserved_5c8.reserved(15 downto 8) &lt;= avalon_mm_rmap_i.writedata(15 downto 8);</t>
  </si>
  <si>
    <t xml:space="preserve">      rmap_registers_wr_o.aeb_gen_cfg_reserved_5c8.reserved(23 downto 16) &lt;= avalon_mm_rmap_i.writedata(23 downto 16);</t>
  </si>
  <si>
    <t xml:space="preserve">      rmap_registers_wr_o.aeb_gen_cfg_reserved_5c8.reserved(31 downto 24) &lt;= avalon_mm_rmap_i.writedata(31 downto 24);</t>
  </si>
  <si>
    <t xml:space="preserve">      rmap_registers_wr_o.aeb_gen_cfg_reserved_5cc.reserved(7 downto 0) &lt;= avalon_mm_rmap_i.writedata(7 downto 0);</t>
  </si>
  <si>
    <t xml:space="preserve">      rmap_registers_wr_o.aeb_gen_cfg_reserved_5cc.reserved(15 downto 8) &lt;= avalon_mm_rmap_i.writedata(15 downto 8);</t>
  </si>
  <si>
    <t xml:space="preserve">      rmap_registers_wr_o.aeb_gen_cfg_reserved_5cc.reserved(23 downto 16) &lt;= avalon_mm_rmap_i.writedata(23 downto 16);</t>
  </si>
  <si>
    <t xml:space="preserve">      rmap_registers_wr_o.aeb_gen_cfg_reserved_5cc.reserved(31 downto 24) &lt;= avalon_mm_rmap_i.writedata(31 downto 24);</t>
  </si>
  <si>
    <t xml:space="preserve">      rmap_registers_wr_o.aeb_gen_cfg_reserved_5d0.reserved(7 downto 0) &lt;= avalon_mm_rmap_i.writedata(7 downto 0);</t>
  </si>
  <si>
    <t xml:space="preserve">      rmap_registers_wr_o.aeb_gen_cfg_reserved_5d0.reserved(15 downto 8) &lt;= avalon_mm_rmap_i.writedata(15 downto 8);</t>
  </si>
  <si>
    <t xml:space="preserve">      rmap_registers_wr_o.aeb_gen_cfg_reserved_5d0.reserved(23 downto 16) &lt;= avalon_mm_rmap_i.writedata(23 downto 16);</t>
  </si>
  <si>
    <t xml:space="preserve">      rmap_registers_wr_o.aeb_gen_cfg_reserved_5d0.reserved(31 downto 24) &lt;= avalon_mm_rmap_i.writedata(31 downto 24);</t>
  </si>
  <si>
    <t xml:space="preserve">      rmap_registers_wr_o.aeb_gen_cfg_reserved_5d4.reserved(7 downto 0) &lt;= avalon_mm_rmap_i.writedata(7 downto 0);</t>
  </si>
  <si>
    <t xml:space="preserve">      rmap_registers_wr_o.aeb_gen_cfg_reserved_5d4.reserved(15 downto 8) &lt;= avalon_mm_rmap_i.writedata(15 downto 8);</t>
  </si>
  <si>
    <t xml:space="preserve">      rmap_registers_wr_o.aeb_gen_cfg_reserved_5d4.reserved(23 downto 16) &lt;= avalon_mm_rmap_i.writedata(23 downto 16);</t>
  </si>
  <si>
    <t xml:space="preserve">      rmap_registers_wr_o.aeb_gen_cfg_reserved_5d4.reserved(31 downto 24) &lt;= avalon_mm_rmap_i.writedata(31 downto 24);</t>
  </si>
  <si>
    <t xml:space="preserve">      rmap_registers_wr_o.aeb_gen_cfg_reserved_5d8.reserved(7 downto 0) &lt;= avalon_mm_rmap_i.writedata(7 downto 0);</t>
  </si>
  <si>
    <t xml:space="preserve">      rmap_registers_wr_o.aeb_gen_cfg_reserved_5d8.reserved(15 downto 8) &lt;= avalon_mm_rmap_i.writedata(15 downto 8);</t>
  </si>
  <si>
    <t xml:space="preserve">      rmap_registers_wr_o.aeb_gen_cfg_reserved_5d8.reserved(23 downto 16) &lt;= avalon_mm_rmap_i.writedata(23 downto 16);</t>
  </si>
  <si>
    <t xml:space="preserve">      rmap_registers_wr_o.aeb_gen_cfg_reserved_5d8.reserved(31 downto 24) &lt;= avalon_mm_rmap_i.writedata(31 downto 24);</t>
  </si>
  <si>
    <t xml:space="preserve">      rmap_registers_wr_o.aeb_gen_cfg_reserved_5dc.reserved(7 downto 0) &lt;= avalon_mm_rmap_i.writedata(7 downto 0);</t>
  </si>
  <si>
    <t xml:space="preserve">      rmap_registers_wr_o.aeb_gen_cfg_reserved_5dc.reserved(15 downto 8) &lt;= avalon_mm_rmap_i.writedata(15 downto 8);</t>
  </si>
  <si>
    <t xml:space="preserve">      rmap_registers_wr_o.aeb_gen_cfg_reserved_5dc.reserved(23 downto 16) &lt;= avalon_mm_rmap_i.writedata(23 downto 16);</t>
  </si>
  <si>
    <t xml:space="preserve">      rmap_registers_wr_o.aeb_gen_cfg_reserved_5dc.reserved(31 downto 24) &lt;= avalon_mm_rmap_i.writedata(31 downto 24);</t>
  </si>
  <si>
    <t xml:space="preserve">      rmap_registers_wr_o.aeb_gen_cfg_reserved_5e0.reserved(7 downto 0) &lt;= avalon_mm_rmap_i.writedata(7 downto 0);</t>
  </si>
  <si>
    <t xml:space="preserve">      rmap_registers_wr_o.aeb_gen_cfg_reserved_5e0.reserved(15 downto 8) &lt;= avalon_mm_rmap_i.writedata(15 downto 8);</t>
  </si>
  <si>
    <t xml:space="preserve">      rmap_registers_wr_o.aeb_gen_cfg_reserved_5e0.reserved(23 downto 16) &lt;= avalon_mm_rmap_i.writedata(23 downto 16);</t>
  </si>
  <si>
    <t xml:space="preserve">      rmap_registers_wr_o.aeb_gen_cfg_reserved_5e0.reserved(31 downto 24) &lt;= avalon_mm_rmap_i.writedata(31 downto 24);</t>
  </si>
  <si>
    <t xml:space="preserve">      rmap_registers_wr_o.aeb_gen_cfg_reserved_5e4.reserved(7 downto 0) &lt;= avalon_mm_rmap_i.writedata(7 downto 0);</t>
  </si>
  <si>
    <t xml:space="preserve">      rmap_registers_wr_o.aeb_gen_cfg_reserved_5e4.reserved(15 downto 8) &lt;= avalon_mm_rmap_i.writedata(15 downto 8);</t>
  </si>
  <si>
    <t xml:space="preserve">      rmap_registers_wr_o.aeb_gen_cfg_reserved_5e4.reserved(23 downto 16) &lt;= avalon_mm_rmap_i.writedata(23 downto 16);</t>
  </si>
  <si>
    <t xml:space="preserve">      rmap_registers_wr_o.aeb_gen_cfg_reserved_5e4.reserved(31 downto 24) &lt;= avalon_mm_rmap_i.writedata(31 downto 24);</t>
  </si>
  <si>
    <t xml:space="preserve">      rmap_registers_wr_o.aeb_gen_cfg_reserved_5e8.reserved(7 downto 0) &lt;= avalon_mm_rmap_i.writedata(7 downto 0);</t>
  </si>
  <si>
    <t xml:space="preserve">      rmap_registers_wr_o.aeb_gen_cfg_reserved_5e8.reserved(15 downto 8) &lt;= avalon_mm_rmap_i.writedata(15 downto 8);</t>
  </si>
  <si>
    <t xml:space="preserve">      rmap_registers_wr_o.aeb_gen_cfg_reserved_5e8.reserved(23 downto 16) &lt;= avalon_mm_rmap_i.writedata(23 downto 16);</t>
  </si>
  <si>
    <t xml:space="preserve">      rmap_registers_wr_o.aeb_gen_cfg_reserved_5e8.reserved(31 downto 24) &lt;= avalon_mm_rmap_i.writedata(31 downto 24);</t>
  </si>
  <si>
    <t xml:space="preserve">      rmap_registers_wr_o.aeb_gen_cfg_reserved_5ec.reserved(7 downto 0) &lt;= avalon_mm_rmap_i.writedata(7 downto 0);</t>
  </si>
  <si>
    <t xml:space="preserve">      rmap_registers_wr_o.aeb_gen_cfg_reserved_5ec.reserved(15 downto 8) &lt;= avalon_mm_rmap_i.writedata(15 downto 8);</t>
  </si>
  <si>
    <t xml:space="preserve">      rmap_registers_wr_o.aeb_gen_cfg_reserved_5ec.reserved(23 downto 16) &lt;= avalon_mm_rmap_i.writedata(23 downto 16);</t>
  </si>
  <si>
    <t xml:space="preserve">      rmap_registers_wr_o.aeb_gen_cfg_reserved_5ec.reserved(31 downto 24) &lt;= avalon_mm_rmap_i.writedata(31 downto 24);</t>
  </si>
  <si>
    <t xml:space="preserve">      rmap_registers_wr_o.aeb_gen_cfg_reserved_5f0.reserved(7 downto 0) &lt;= avalon_mm_rmap_i.writedata(7 downto 0);</t>
  </si>
  <si>
    <t xml:space="preserve">      rmap_registers_wr_o.aeb_gen_cfg_reserved_5f0.reserved(15 downto 8) &lt;= avalon_mm_rmap_i.writedata(15 downto 8);</t>
  </si>
  <si>
    <t xml:space="preserve">      rmap_registers_wr_o.aeb_gen_cfg_reserved_5f0.reserved(23 downto 16) &lt;= avalon_mm_rmap_i.writedata(23 downto 16);</t>
  </si>
  <si>
    <t xml:space="preserve">      rmap_registers_wr_o.aeb_gen_cfg_reserved_5f0.reserved(31 downto 24) &lt;= avalon_mm_rmap_i.writedata(31 downto 24);</t>
  </si>
  <si>
    <t xml:space="preserve">      rmap_registers_wr_o.aeb_gen_cfg_reserved_5f4.reserved(7 downto 0) &lt;= avalon_mm_rmap_i.writedata(7 downto 0);</t>
  </si>
  <si>
    <t xml:space="preserve">      rmap_registers_wr_o.aeb_gen_cfg_reserved_5f4.reserved(15 downto 8) &lt;= avalon_mm_rmap_i.writedata(15 downto 8);</t>
  </si>
  <si>
    <t xml:space="preserve">      rmap_registers_wr_o.aeb_gen_cfg_reserved_5f4.reserved(23 downto 16) &lt;= avalon_mm_rmap_i.writedata(23 downto 16);</t>
  </si>
  <si>
    <t xml:space="preserve">      rmap_registers_wr_o.aeb_gen_cfg_reserved_5f4.reserved(31 downto 24) &lt;= avalon_mm_rmap_i.writedata(31 downto 24);</t>
  </si>
  <si>
    <t xml:space="preserve">      rmap_registers_wr_o.aeb_gen_cfg_reserved_5f8.reserved(7 downto 0) &lt;= avalon_mm_rmap_i.writedata(7 downto 0);</t>
  </si>
  <si>
    <t xml:space="preserve">      rmap_registers_wr_o.aeb_gen_cfg_reserved_5f8.reserved(15 downto 8) &lt;= avalon_mm_rmap_i.writedata(15 downto 8);</t>
  </si>
  <si>
    <t xml:space="preserve">      rmap_registers_wr_o.aeb_gen_cfg_reserved_5f8.reserved(23 downto 16) &lt;= avalon_mm_rmap_i.writedata(23 downto 16);</t>
  </si>
  <si>
    <t xml:space="preserve">      rmap_registers_wr_o.aeb_gen_cfg_reserved_5f8.reserved(31 downto 24) &lt;= avalon_mm_rmap_i.writedata(31 downto 24);</t>
  </si>
  <si>
    <t xml:space="preserve">      rmap_registers_wr_o.aeb_gen_cfg_reserved_5fc.reserved(7 downto 0) &lt;= avalon_mm_rmap_i.writedata(7 downto 0);</t>
  </si>
  <si>
    <t xml:space="preserve">      rmap_registers_wr_o.aeb_gen_cfg_reserved_5fc.reserved(15 downto 8) &lt;= avalon_mm_rmap_i.writedata(15 downto 8);</t>
  </si>
  <si>
    <t xml:space="preserve">      rmap_registers_wr_o.aeb_gen_cfg_reserved_5fc.reserved(23 downto 16) &lt;= avalon_mm_rmap_i.writedata(23 downto 16);</t>
  </si>
  <si>
    <t xml:space="preserve">      rmap_registers_wr_o.aeb_gen_cfg_reserved_5fc.reserved(31 downto 24) &lt;= avalon_mm_rmap_i.writedata(31 downto 24);</t>
  </si>
  <si>
    <t xml:space="preserve">      rmap_registers_wr_o.aeb_gen_cfg_reserved_600.reserved(7 downto 0) &lt;= avalon_mm_rmap_i.writedata(7 downto 0);</t>
  </si>
  <si>
    <t xml:space="preserve">      rmap_registers_wr_o.aeb_gen_cfg_reserved_600.reserved(15 downto 8) &lt;= avalon_mm_rmap_i.writedata(15 downto 8);</t>
  </si>
  <si>
    <t xml:space="preserve">      rmap_registers_wr_o.aeb_gen_cfg_reserved_600.reserved(23 downto 16) &lt;= avalon_mm_rmap_i.writedata(23 downto 16);</t>
  </si>
  <si>
    <t xml:space="preserve">      rmap_registers_wr_o.aeb_gen_cfg_reserved_600.reserved(31 downto 24) &lt;= avalon_mm_rmap_i.writedata(31 downto 24);</t>
  </si>
  <si>
    <t xml:space="preserve">      rmap_registers_wr_o.aeb_gen_cfg_reserved_604.reserved(7 downto 0) &lt;= avalon_mm_rmap_i.writedata(7 downto 0);</t>
  </si>
  <si>
    <t xml:space="preserve">      rmap_registers_wr_o.aeb_gen_cfg_reserved_604.reserved(15 downto 8) &lt;= avalon_mm_rmap_i.writedata(15 downto 8);</t>
  </si>
  <si>
    <t xml:space="preserve">      rmap_registers_wr_o.aeb_gen_cfg_reserved_604.reserved(23 downto 16) &lt;= avalon_mm_rmap_i.writedata(23 downto 16);</t>
  </si>
  <si>
    <t xml:space="preserve">      rmap_registers_wr_o.aeb_gen_cfg_reserved_604.reserved(31 downto 24) &lt;= avalon_mm_rmap_i.writedata(31 downto 24);</t>
  </si>
  <si>
    <t xml:space="preserve">      rmap_registers_wr_o.aeb_gen_cfg_reserved_608.reserved(7 downto 0) &lt;= avalon_mm_rmap_i.writedata(7 downto 0);</t>
  </si>
  <si>
    <t xml:space="preserve">      rmap_registers_wr_o.aeb_gen_cfg_reserved_608.reserved(15 downto 8) &lt;= avalon_mm_rmap_i.writedata(15 downto 8);</t>
  </si>
  <si>
    <t xml:space="preserve">      rmap_registers_wr_o.aeb_gen_cfg_reserved_608.reserved(23 downto 16) &lt;= avalon_mm_rmap_i.writedata(23 downto 16);</t>
  </si>
  <si>
    <t xml:space="preserve">      rmap_registers_wr_o.aeb_gen_cfg_reserved_608.reserved(31 downto 24) &lt;= avalon_mm_rmap_i.writedata(31 downto 24);</t>
  </si>
  <si>
    <t xml:space="preserve">      rmap_registers_wr_o.aeb_gen_cfg_reserved_60c.reserved(7 downto 0) &lt;= avalon_mm_rmap_i.writedata(7 downto 0);</t>
  </si>
  <si>
    <t xml:space="preserve">      rmap_registers_wr_o.aeb_gen_cfg_reserved_60c.reserved(15 downto 8) &lt;= avalon_mm_rmap_i.writedata(15 downto 8);</t>
  </si>
  <si>
    <t xml:space="preserve">      rmap_registers_wr_o.aeb_gen_cfg_reserved_60c.reserved(23 downto 16) &lt;= avalon_mm_rmap_i.writedata(23 downto 16);</t>
  </si>
  <si>
    <t xml:space="preserve">      rmap_registers_wr_o.aeb_gen_cfg_reserved_60c.reserved(31 downto 24) &lt;= avalon_mm_rmap_i.writedata(31 downto 24);</t>
  </si>
  <si>
    <t xml:space="preserve">      rmap_registers_wr_o.aeb_gen_cfg_reserved_610.reserved(7 downto 0) &lt;= avalon_mm_rmap_i.writedata(7 downto 0);</t>
  </si>
  <si>
    <t xml:space="preserve">      rmap_registers_wr_o.aeb_gen_cfg_reserved_610.reserved(15 downto 8) &lt;= avalon_mm_rmap_i.writedata(15 downto 8);</t>
  </si>
  <si>
    <t xml:space="preserve">      rmap_registers_wr_o.aeb_gen_cfg_reserved_610.reserved(23 downto 16) &lt;= avalon_mm_rmap_i.writedata(23 downto 16);</t>
  </si>
  <si>
    <t xml:space="preserve">      rmap_registers_wr_o.aeb_gen_cfg_reserved_610.reserved(31 downto 24) &lt;= avalon_mm_rmap_i.writedata(31 downto 24);</t>
  </si>
  <si>
    <t xml:space="preserve">      rmap_registers_wr_o.aeb_gen_cfg_reserved_614.reserved(7 downto 0) &lt;= avalon_mm_rmap_i.writedata(7 downto 0);</t>
  </si>
  <si>
    <t xml:space="preserve">      rmap_registers_wr_o.aeb_gen_cfg_reserved_614.reserved(15 downto 8) &lt;= avalon_mm_rmap_i.writedata(15 downto 8);</t>
  </si>
  <si>
    <t xml:space="preserve">      rmap_registers_wr_o.aeb_gen_cfg_reserved_614.reserved(23 downto 16) &lt;= avalon_mm_rmap_i.writedata(23 downto 16);</t>
  </si>
  <si>
    <t xml:space="preserve">      rmap_registers_wr_o.aeb_gen_cfg_reserved_614.reserved(31 downto 24) &lt;= avalon_mm_rmap_i.writedata(31 downto 24);</t>
  </si>
  <si>
    <t xml:space="preserve">      rmap_registers_wr_o.aeb_gen_cfg_reserved_618.reserved(7 downto 0) &lt;= avalon_mm_rmap_i.writedata(7 downto 0);</t>
  </si>
  <si>
    <t xml:space="preserve">      rmap_registers_wr_o.aeb_gen_cfg_reserved_618.reserved(15 downto 8) &lt;= avalon_mm_rmap_i.writedata(15 downto 8);</t>
  </si>
  <si>
    <t xml:space="preserve">      rmap_registers_wr_o.aeb_gen_cfg_reserved_618.reserved(23 downto 16) &lt;= avalon_mm_rmap_i.writedata(23 downto 16);</t>
  </si>
  <si>
    <t xml:space="preserve">      rmap_registers_wr_o.aeb_gen_cfg_reserved_618.reserved(31 downto 24) &lt;= avalon_mm_rmap_i.writedata(31 downto 24);</t>
  </si>
  <si>
    <t xml:space="preserve">      rmap_registers_wr_o.aeb_gen_cfg_reserved_61c.reserved(7 downto 0) &lt;= avalon_mm_rmap_i.writedata(7 downto 0);</t>
  </si>
  <si>
    <t xml:space="preserve">      rmap_registers_wr_o.aeb_gen_cfg_reserved_61c.reserved(15 downto 8) &lt;= avalon_mm_rmap_i.writedata(15 downto 8);</t>
  </si>
  <si>
    <t xml:space="preserve">      rmap_registers_wr_o.aeb_gen_cfg_reserved_61c.reserved(23 downto 16) &lt;= avalon_mm_rmap_i.writedata(23 downto 16);</t>
  </si>
  <si>
    <t xml:space="preserve">      rmap_registers_wr_o.aeb_gen_cfg_reserved_61c.reserved(31 downto 24) &lt;= avalon_mm_rmap_i.writedata(31 downto 24);</t>
  </si>
  <si>
    <t xml:space="preserve">      rmap_registers_wr_o.aeb_gen_cfg_reserved_620.reserved(7 downto 0) &lt;= avalon_mm_rmap_i.writedata(7 downto 0);</t>
  </si>
  <si>
    <t xml:space="preserve">      rmap_registers_wr_o.aeb_gen_cfg_reserved_620.reserved(15 downto 8) &lt;= avalon_mm_rmap_i.writedata(15 downto 8);</t>
  </si>
  <si>
    <t xml:space="preserve">      rmap_registers_wr_o.aeb_gen_cfg_reserved_620.reserved(23 downto 16) &lt;= avalon_mm_rmap_i.writedata(23 downto 16);</t>
  </si>
  <si>
    <t xml:space="preserve">      rmap_registers_wr_o.aeb_gen_cfg_reserved_620.reserved(31 downto 24) &lt;= avalon_mm_rmap_i.writedata(31 downto 24);</t>
  </si>
  <si>
    <t xml:space="preserve">      rmap_registers_wr_o.aeb_gen_cfg_reserved_624.reserved(7 downto 0) &lt;= avalon_mm_rmap_i.writedata(7 downto 0);</t>
  </si>
  <si>
    <t xml:space="preserve">      rmap_registers_wr_o.aeb_gen_cfg_reserved_624.reserved(15 downto 8) &lt;= avalon_mm_rmap_i.writedata(15 downto 8);</t>
  </si>
  <si>
    <t xml:space="preserve">      rmap_registers_wr_o.aeb_gen_cfg_reserved_624.reserved(23 downto 16) &lt;= avalon_mm_rmap_i.writedata(23 downto 16);</t>
  </si>
  <si>
    <t xml:space="preserve">      rmap_registers_wr_o.aeb_gen_cfg_reserved_624.reserved(31 downto 24) &lt;= avalon_mm_rmap_i.writedata(31 downto 24);</t>
  </si>
  <si>
    <t xml:space="preserve">      rmap_registers_wr_o.aeb_gen_cfg_reserved_628.reserved(7 downto 0) &lt;= avalon_mm_rmap_i.writedata(7 downto 0);</t>
  </si>
  <si>
    <t xml:space="preserve">      rmap_registers_wr_o.aeb_gen_cfg_reserved_628.reserved(15 downto 8) &lt;= avalon_mm_rmap_i.writedata(15 downto 8);</t>
  </si>
  <si>
    <t xml:space="preserve">      rmap_registers_wr_o.aeb_gen_cfg_reserved_628.reserved(23 downto 16) &lt;= avalon_mm_rmap_i.writedata(23 downto 16);</t>
  </si>
  <si>
    <t xml:space="preserve">      rmap_registers_wr_o.aeb_gen_cfg_reserved_628.reserved(31 downto 24) &lt;= avalon_mm_rmap_i.writedata(31 downto 24);</t>
  </si>
  <si>
    <t xml:space="preserve">      rmap_registers_wr_o.aeb_gen_cfg_reserved_62c.reserved(7 downto 0) &lt;= avalon_mm_rmap_i.writedata(7 downto 0);</t>
  </si>
  <si>
    <t xml:space="preserve">      rmap_registers_wr_o.aeb_gen_cfg_reserved_62c.reserved(15 downto 8) &lt;= avalon_mm_rmap_i.writedata(15 downto 8);</t>
  </si>
  <si>
    <t xml:space="preserve">      rmap_registers_wr_o.aeb_gen_cfg_reserved_62c.reserved(23 downto 16) &lt;= avalon_mm_rmap_i.writedata(23 downto 16);</t>
  </si>
  <si>
    <t xml:space="preserve">      rmap_registers_wr_o.aeb_gen_cfg_reserved_62c.reserved(31 downto 24) &lt;= avalon_mm_rmap_i.writedata(31 downto 24);</t>
  </si>
  <si>
    <t xml:space="preserve">      rmap_registers_wr_o.aeb_gen_cfg_reserved_630.reserved(7 downto 0) &lt;= avalon_mm_rmap_i.writedata(7 downto 0);</t>
  </si>
  <si>
    <t xml:space="preserve">      rmap_registers_wr_o.aeb_gen_cfg_reserved_630.reserved(15 downto 8) &lt;= avalon_mm_rmap_i.writedata(15 downto 8);</t>
  </si>
  <si>
    <t xml:space="preserve">      rmap_registers_wr_o.aeb_gen_cfg_reserved_630.reserved(23 downto 16) &lt;= avalon_mm_rmap_i.writedata(23 downto 16);</t>
  </si>
  <si>
    <t xml:space="preserve">      rmap_registers_wr_o.aeb_gen_cfg_reserved_630.reserved(31 downto 24) &lt;= avalon_mm_rmap_i.writedata(31 downto 24);</t>
  </si>
  <si>
    <t xml:space="preserve">      rmap_registers_wr_o.aeb_gen_cfg_reserved_634.reserved(7 downto 0) &lt;= avalon_mm_rmap_i.writedata(7 downto 0);</t>
  </si>
  <si>
    <t xml:space="preserve">      rmap_registers_wr_o.aeb_gen_cfg_reserved_634.reserved(15 downto 8) &lt;= avalon_mm_rmap_i.writedata(15 downto 8);</t>
  </si>
  <si>
    <t xml:space="preserve">      rmap_registers_wr_o.aeb_gen_cfg_reserved_634.reserved(23 downto 16) &lt;= avalon_mm_rmap_i.writedata(23 downto 16);</t>
  </si>
  <si>
    <t xml:space="preserve">      rmap_registers_wr_o.aeb_gen_cfg_reserved_634.reserved(31 downto 24) &lt;= avalon_mm_rmap_i.writedata(31 downto 24);</t>
  </si>
  <si>
    <t xml:space="preserve">      rmap_registers_wr_o.aeb_gen_cfg_reserved_638.reserved(7 downto 0) &lt;= avalon_mm_rmap_i.writedata(7 downto 0);</t>
  </si>
  <si>
    <t xml:space="preserve">      rmap_registers_wr_o.aeb_gen_cfg_reserved_638.reserved(15 downto 8) &lt;= avalon_mm_rmap_i.writedata(15 downto 8);</t>
  </si>
  <si>
    <t xml:space="preserve">      rmap_registers_wr_o.aeb_gen_cfg_reserved_638.reserved(23 downto 16) &lt;= avalon_mm_rmap_i.writedata(23 downto 16);</t>
  </si>
  <si>
    <t xml:space="preserve">      rmap_registers_wr_o.aeb_gen_cfg_reserved_638.reserved(31 downto 24) &lt;= avalon_mm_rmap_i.writedata(31 downto 24);</t>
  </si>
  <si>
    <t xml:space="preserve">      rmap_registers_wr_o.aeb_gen_cfg_reserved_63c.reserved(7 downto 0) &lt;= avalon_mm_rmap_i.writedata(7 downto 0);</t>
  </si>
  <si>
    <t xml:space="preserve">      rmap_registers_wr_o.aeb_gen_cfg_reserved_63c.reserved(15 downto 8) &lt;= avalon_mm_rmap_i.writedata(15 downto 8);</t>
  </si>
  <si>
    <t xml:space="preserve">      rmap_registers_wr_o.aeb_gen_cfg_reserved_63c.reserved(23 downto 16) &lt;= avalon_mm_rmap_i.writedata(23 downto 16);</t>
  </si>
  <si>
    <t xml:space="preserve">      rmap_registers_wr_o.aeb_gen_cfg_reserved_63c.reserved(31 downto 24) &lt;= avalon_mm_rmap_i.writedata(31 downto 24);</t>
  </si>
  <si>
    <t xml:space="preserve">      rmap_registers_wr_o.aeb_gen_cfg_reserved_640.reserved(7 downto 0) &lt;= avalon_mm_rmap_i.writedata(7 downto 0);</t>
  </si>
  <si>
    <t xml:space="preserve">      rmap_registers_wr_o.aeb_gen_cfg_reserved_640.reserved(15 downto 8) &lt;= avalon_mm_rmap_i.writedata(15 downto 8);</t>
  </si>
  <si>
    <t xml:space="preserve">      rmap_registers_wr_o.aeb_gen_cfg_reserved_640.reserved(23 downto 16) &lt;= avalon_mm_rmap_i.writedata(23 downto 16);</t>
  </si>
  <si>
    <t xml:space="preserve">      rmap_registers_wr_o.aeb_gen_cfg_reserved_640.reserved(31 downto 24) &lt;= avalon_mm_rmap_i.writedata(31 downto 24);</t>
  </si>
  <si>
    <t xml:space="preserve">      rmap_registers_wr_o.aeb_gen_cfg_reserved_644.reserved(7 downto 0) &lt;= avalon_mm_rmap_i.writedata(7 downto 0);</t>
  </si>
  <si>
    <t xml:space="preserve">      rmap_registers_wr_o.aeb_gen_cfg_reserved_644.reserved(15 downto 8) &lt;= avalon_mm_rmap_i.writedata(15 downto 8);</t>
  </si>
  <si>
    <t xml:space="preserve">      rmap_registers_wr_o.aeb_gen_cfg_reserved_644.reserved(23 downto 16) &lt;= avalon_mm_rmap_i.writedata(23 downto 16);</t>
  </si>
  <si>
    <t xml:space="preserve">      rmap_registers_wr_o.aeb_gen_cfg_reserved_644.reserved(31 downto 24) &lt;= avalon_mm_rmap_i.writedata(31 downto 24);</t>
  </si>
  <si>
    <t xml:space="preserve">      rmap_registers_wr_o.aeb_gen_cfg_reserved_648.reserved(7 downto 0) &lt;= avalon_mm_rmap_i.writedata(7 downto 0);</t>
  </si>
  <si>
    <t xml:space="preserve">      rmap_registers_wr_o.aeb_gen_cfg_reserved_648.reserved(15 downto 8) &lt;= avalon_mm_rmap_i.writedata(15 downto 8);</t>
  </si>
  <si>
    <t xml:space="preserve">      rmap_registers_wr_o.aeb_gen_cfg_reserved_648.reserved(23 downto 16) &lt;= avalon_mm_rmap_i.writedata(23 downto 16);</t>
  </si>
  <si>
    <t xml:space="preserve">      rmap_registers_wr_o.aeb_gen_cfg_reserved_648.reserved(31 downto 24) &lt;= avalon_mm_rmap_i.writedata(31 downto 24);</t>
  </si>
  <si>
    <t xml:space="preserve">      rmap_registers_wr_o.aeb_gen_cfg_reserved_64c.reserved(7 downto 0) &lt;= avalon_mm_rmap_i.writedata(7 downto 0);</t>
  </si>
  <si>
    <t xml:space="preserve">      rmap_registers_wr_o.aeb_gen_cfg_reserved_64c.reserved(15 downto 8) &lt;= avalon_mm_rmap_i.writedata(15 downto 8);</t>
  </si>
  <si>
    <t xml:space="preserve">      rmap_registers_wr_o.aeb_gen_cfg_reserved_64c.reserved(23 downto 16) &lt;= avalon_mm_rmap_i.writedata(23 downto 16);</t>
  </si>
  <si>
    <t xml:space="preserve">      rmap_registers_wr_o.aeb_gen_cfg_reserved_64c.reserved(31 downto 24) &lt;= avalon_mm_rmap_i.writedata(31 downto 24);</t>
  </si>
  <si>
    <t xml:space="preserve">      rmap_registers_wr_o.aeb_gen_cfg_reserved_650.reserved(7 downto 0) &lt;= avalon_mm_rmap_i.writedata(7 downto 0);</t>
  </si>
  <si>
    <t xml:space="preserve">      rmap_registers_wr_o.aeb_gen_cfg_reserved_650.reserved(15 downto 8) &lt;= avalon_mm_rmap_i.writedata(15 downto 8);</t>
  </si>
  <si>
    <t xml:space="preserve">      rmap_registers_wr_o.aeb_gen_cfg_reserved_650.reserved(23 downto 16) &lt;= avalon_mm_rmap_i.writedata(23 downto 16);</t>
  </si>
  <si>
    <t xml:space="preserve">      rmap_registers_wr_o.aeb_gen_cfg_reserved_650.reserved(31 downto 24) &lt;= avalon_mm_rmap_i.writedata(31 downto 24);</t>
  </si>
  <si>
    <t xml:space="preserve">      rmap_registers_wr_o.aeb_gen_cfg_reserved_654.reserved(7 downto 0) &lt;= avalon_mm_rmap_i.writedata(7 downto 0);</t>
  </si>
  <si>
    <t xml:space="preserve">      rmap_registers_wr_o.aeb_gen_cfg_reserved_654.reserved(15 downto 8) &lt;= avalon_mm_rmap_i.writedata(15 downto 8);</t>
  </si>
  <si>
    <t xml:space="preserve">      rmap_registers_wr_o.aeb_gen_cfg_reserved_654.reserved(23 downto 16) &lt;= avalon_mm_rmap_i.writedata(23 downto 16);</t>
  </si>
  <si>
    <t xml:space="preserve">      rmap_registers_wr_o.aeb_gen_cfg_reserved_654.reserved(31 downto 24) &lt;= avalon_mm_rmap_i.writedata(31 downto 24);</t>
  </si>
  <si>
    <t xml:space="preserve">      rmap_registers_wr_o.aeb_gen_cfg_reserved_658.reserved(7 downto 0) &lt;= avalon_mm_rmap_i.writedata(7 downto 0);</t>
  </si>
  <si>
    <t xml:space="preserve">      rmap_registers_wr_o.aeb_gen_cfg_reserved_658.reserved(15 downto 8) &lt;= avalon_mm_rmap_i.writedata(15 downto 8);</t>
  </si>
  <si>
    <t xml:space="preserve">      rmap_registers_wr_o.aeb_gen_cfg_reserved_658.reserved(23 downto 16) &lt;= avalon_mm_rmap_i.writedata(23 downto 16);</t>
  </si>
  <si>
    <t xml:space="preserve">      rmap_registers_wr_o.aeb_gen_cfg_reserved_658.reserved(31 downto 24) &lt;= avalon_mm_rmap_i.writedata(31 downto 24);</t>
  </si>
  <si>
    <t xml:space="preserve">      rmap_registers_wr_o.aeb_gen_cfg_reserved_65c.reserved(7 downto 0) &lt;= avalon_mm_rmap_i.writedata(7 downto 0);</t>
  </si>
  <si>
    <t xml:space="preserve">      rmap_registers_wr_o.aeb_gen_cfg_reserved_65c.reserved(15 downto 8) &lt;= avalon_mm_rmap_i.writedata(15 downto 8);</t>
  </si>
  <si>
    <t xml:space="preserve">      rmap_registers_wr_o.aeb_gen_cfg_reserved_65c.reserved(23 downto 16) &lt;= avalon_mm_rmap_i.writedata(23 downto 16);</t>
  </si>
  <si>
    <t xml:space="preserve">      rmap_registers_wr_o.aeb_gen_cfg_reserved_65c.reserved(31 downto 24) &lt;= avalon_mm_rmap_i.writedata(31 downto 24);</t>
  </si>
  <si>
    <t xml:space="preserve">      rmap_registers_wr_o.aeb_gen_cfg_reserved_660.reserved(7 downto 0) &lt;= avalon_mm_rmap_i.writedata(7 downto 0);</t>
  </si>
  <si>
    <t xml:space="preserve">      rmap_registers_wr_o.aeb_gen_cfg_reserved_660.reserved(15 downto 8) &lt;= avalon_mm_rmap_i.writedata(15 downto 8);</t>
  </si>
  <si>
    <t xml:space="preserve">      rmap_registers_wr_o.aeb_gen_cfg_reserved_660.reserved(23 downto 16) &lt;= avalon_mm_rmap_i.writedata(23 downto 16);</t>
  </si>
  <si>
    <t xml:space="preserve">      rmap_registers_wr_o.aeb_gen_cfg_reserved_660.reserved(31 downto 24) &lt;= avalon_mm_rmap_i.writedata(31 downto 24);</t>
  </si>
  <si>
    <t xml:space="preserve">      rmap_registers_wr_o.aeb_gen_cfg_reserved_664.reserved(7 downto 0) &lt;= avalon_mm_rmap_i.writedata(7 downto 0);</t>
  </si>
  <si>
    <t xml:space="preserve">      rmap_registers_wr_o.aeb_gen_cfg_reserved_664.reserved(15 downto 8) &lt;= avalon_mm_rmap_i.writedata(15 downto 8);</t>
  </si>
  <si>
    <t xml:space="preserve">      rmap_registers_wr_o.aeb_gen_cfg_reserved_664.reserved(23 downto 16) &lt;= avalon_mm_rmap_i.writedata(23 downto 16);</t>
  </si>
  <si>
    <t xml:space="preserve">      rmap_registers_wr_o.aeb_gen_cfg_reserved_664.reserved(31 downto 24) &lt;= avalon_mm_rmap_i.writedata(31 downto 24);</t>
  </si>
  <si>
    <t xml:space="preserve">      rmap_registers_wr_o.aeb_gen_cfg_reserved_668.reserved(7 downto 0) &lt;= avalon_mm_rmap_i.writedata(7 downto 0);</t>
  </si>
  <si>
    <t xml:space="preserve">      rmap_registers_wr_o.aeb_gen_cfg_reserved_668.reserved(15 downto 8) &lt;= avalon_mm_rmap_i.writedata(15 downto 8);</t>
  </si>
  <si>
    <t xml:space="preserve">      rmap_registers_wr_o.aeb_gen_cfg_reserved_668.reserved(23 downto 16) &lt;= avalon_mm_rmap_i.writedata(23 downto 16);</t>
  </si>
  <si>
    <t xml:space="preserve">      rmap_registers_wr_o.aeb_gen_cfg_reserved_668.reserved(31 downto 24) &lt;= avalon_mm_rmap_i.writedata(31 downto 24);</t>
  </si>
  <si>
    <t xml:space="preserve">      rmap_registers_wr_o.aeb_gen_cfg_reserved_66c.reserved(7 downto 0) &lt;= avalon_mm_rmap_i.writedata(7 downto 0);</t>
  </si>
  <si>
    <t xml:space="preserve">      rmap_registers_wr_o.aeb_gen_cfg_reserved_66c.reserved(15 downto 8) &lt;= avalon_mm_rmap_i.writedata(15 downto 8);</t>
  </si>
  <si>
    <t xml:space="preserve">      rmap_registers_wr_o.aeb_gen_cfg_reserved_66c.reserved(23 downto 16) &lt;= avalon_mm_rmap_i.writedata(23 downto 16);</t>
  </si>
  <si>
    <t xml:space="preserve">      rmap_registers_wr_o.aeb_gen_cfg_reserved_66c.reserved(31 downto 24) &lt;= avalon_mm_rmap_i.writedata(31 downto 24);</t>
  </si>
  <si>
    <t xml:space="preserve">      rmap_registers_wr_o.aeb_gen_cfg_reserved_670.reserved(7 downto 0) &lt;= avalon_mm_rmap_i.writedata(7 downto 0);</t>
  </si>
  <si>
    <t xml:space="preserve">      rmap_registers_wr_o.aeb_gen_cfg_reserved_670.reserved(15 downto 8) &lt;= avalon_mm_rmap_i.writedata(15 downto 8);</t>
  </si>
  <si>
    <t xml:space="preserve">      rmap_registers_wr_o.aeb_gen_cfg_reserved_670.reserved(23 downto 16) &lt;= avalon_mm_rmap_i.writedata(23 downto 16);</t>
  </si>
  <si>
    <t xml:space="preserve">      rmap_registers_wr_o.aeb_gen_cfg_reserved_670.reserved(31 downto 24) &lt;= avalon_mm_rmap_i.writedata(31 downto 24);</t>
  </si>
  <si>
    <t xml:space="preserve">      rmap_registers_wr_o.aeb_gen_cfg_reserved_674.reserved(7 downto 0) &lt;= avalon_mm_rmap_i.writedata(7 downto 0);</t>
  </si>
  <si>
    <t xml:space="preserve">      rmap_registers_wr_o.aeb_gen_cfg_reserved_674.reserved(15 downto 8) &lt;= avalon_mm_rmap_i.writedata(15 downto 8);</t>
  </si>
  <si>
    <t xml:space="preserve">      rmap_registers_wr_o.aeb_gen_cfg_reserved_674.reserved(23 downto 16) &lt;= avalon_mm_rmap_i.writedata(23 downto 16);</t>
  </si>
  <si>
    <t xml:space="preserve">      rmap_registers_wr_o.aeb_gen_cfg_reserved_674.reserved(31 downto 24) &lt;= avalon_mm_rmap_i.writedata(31 downto 24);</t>
  </si>
  <si>
    <t xml:space="preserve">      rmap_registers_wr_o.aeb_gen_cfg_reserved_678.reserved(7 downto 0) &lt;= avalon_mm_rmap_i.writedata(7 downto 0);</t>
  </si>
  <si>
    <t xml:space="preserve">      rmap_registers_wr_o.aeb_gen_cfg_reserved_678.reserved(15 downto 8) &lt;= avalon_mm_rmap_i.writedata(15 downto 8);</t>
  </si>
  <si>
    <t xml:space="preserve">      rmap_registers_wr_o.aeb_gen_cfg_reserved_678.reserved(23 downto 16) &lt;= avalon_mm_rmap_i.writedata(23 downto 16);</t>
  </si>
  <si>
    <t xml:space="preserve">      rmap_registers_wr_o.aeb_gen_cfg_reserved_678.reserved(31 downto 24) &lt;= avalon_mm_rmap_i.writedata(31 downto 24);</t>
  </si>
  <si>
    <t xml:space="preserve">      rmap_registers_wr_o.aeb_gen_cfg_reserved_67c.reserved(7 downto 0) &lt;= avalon_mm_rmap_i.writedata(7 downto 0);</t>
  </si>
  <si>
    <t xml:space="preserve">      rmap_registers_wr_o.aeb_gen_cfg_reserved_67c.reserved(15 downto 8) &lt;= avalon_mm_rmap_i.writedata(15 downto 8);</t>
  </si>
  <si>
    <t xml:space="preserve">      rmap_registers_wr_o.aeb_gen_cfg_reserved_67c.reserved(23 downto 16) &lt;= avalon_mm_rmap_i.writedata(23 downto 16);</t>
  </si>
  <si>
    <t xml:space="preserve">      rmap_registers_wr_o.aeb_gen_cfg_reserved_67c.reserved(31 downto 24) &lt;= avalon_mm_rmap_i.writedata(31 downto 24);</t>
  </si>
  <si>
    <t xml:space="preserve">      rmap_registers_wr_o.aeb_gen_cfg_reserved_680.reserved(7 downto 0) &lt;= avalon_mm_rmap_i.writedata(7 downto 0);</t>
  </si>
  <si>
    <t xml:space="preserve">      rmap_registers_wr_o.aeb_gen_cfg_reserved_680.reserved(15 downto 8) &lt;= avalon_mm_rmap_i.writedata(15 downto 8);</t>
  </si>
  <si>
    <t xml:space="preserve">      rmap_registers_wr_o.aeb_gen_cfg_reserved_680.reserved(23 downto 16) &lt;= avalon_mm_rmap_i.writedata(23 downto 16);</t>
  </si>
  <si>
    <t xml:space="preserve">      rmap_registers_wr_o.aeb_gen_cfg_reserved_680.reserved(31 downto 24) &lt;= avalon_mm_rmap_i.writedata(31 downto 24);</t>
  </si>
  <si>
    <t xml:space="preserve">      rmap_registers_wr_o.aeb_gen_cfg_reserved_684.reserved(7 downto 0) &lt;= avalon_mm_rmap_i.writedata(7 downto 0);</t>
  </si>
  <si>
    <t xml:space="preserve">      rmap_registers_wr_o.aeb_gen_cfg_reserved_684.reserved(15 downto 8) &lt;= avalon_mm_rmap_i.writedata(15 downto 8);</t>
  </si>
  <si>
    <t xml:space="preserve">      rmap_registers_wr_o.aeb_gen_cfg_reserved_684.reserved(23 downto 16) &lt;= avalon_mm_rmap_i.writedata(23 downto 16);</t>
  </si>
  <si>
    <t xml:space="preserve">      rmap_registers_wr_o.aeb_gen_cfg_reserved_684.reserved(31 downto 24) &lt;= avalon_mm_rmap_i.writedata(31 downto 24);</t>
  </si>
  <si>
    <t xml:space="preserve">      rmap_registers_wr_o.aeb_gen_cfg_reserved_688.reserved(7 downto 0) &lt;= avalon_mm_rmap_i.writedata(7 downto 0);</t>
  </si>
  <si>
    <t xml:space="preserve">      rmap_registers_wr_o.aeb_gen_cfg_reserved_688.reserved(15 downto 8) &lt;= avalon_mm_rmap_i.writedata(15 downto 8);</t>
  </si>
  <si>
    <t xml:space="preserve">      rmap_registers_wr_o.aeb_gen_cfg_reserved_688.reserved(23 downto 16) &lt;= avalon_mm_rmap_i.writedata(23 downto 16);</t>
  </si>
  <si>
    <t xml:space="preserve">      rmap_registers_wr_o.aeb_gen_cfg_reserved_688.reserved(31 downto 24) &lt;= avalon_mm_rmap_i.writedata(31 downto 24);</t>
  </si>
  <si>
    <t xml:space="preserve">      rmap_registers_wr_o.aeb_gen_cfg_reserved_68c.reserved(7 downto 0) &lt;= avalon_mm_rmap_i.writedata(7 downto 0);</t>
  </si>
  <si>
    <t xml:space="preserve">      rmap_registers_wr_o.aeb_gen_cfg_reserved_68c.reserved(15 downto 8) &lt;= avalon_mm_rmap_i.writedata(15 downto 8);</t>
  </si>
  <si>
    <t xml:space="preserve">      rmap_registers_wr_o.aeb_gen_cfg_reserved_68c.reserved(23 downto 16) &lt;= avalon_mm_rmap_i.writedata(23 downto 16);</t>
  </si>
  <si>
    <t xml:space="preserve">      rmap_registers_wr_o.aeb_gen_cfg_reserved_68c.reserved(31 downto 24) &lt;= avalon_mm_rmap_i.writedata(31 downto 24);</t>
  </si>
  <si>
    <t xml:space="preserve">      rmap_registers_wr_o.aeb_gen_cfg_reserved_690.reserved(7 downto 0) &lt;= avalon_mm_rmap_i.writedata(7 downto 0);</t>
  </si>
  <si>
    <t xml:space="preserve">      rmap_registers_wr_o.aeb_gen_cfg_reserved_690.reserved(15 downto 8) &lt;= avalon_mm_rmap_i.writedata(15 downto 8);</t>
  </si>
  <si>
    <t xml:space="preserve">      rmap_registers_wr_o.aeb_gen_cfg_reserved_690.reserved(23 downto 16) &lt;= avalon_mm_rmap_i.writedata(23 downto 16);</t>
  </si>
  <si>
    <t xml:space="preserve">      rmap_registers_wr_o.aeb_gen_cfg_reserved_690.reserved(31 downto 24) &lt;= avalon_mm_rmap_i.writedata(31 downto 24);</t>
  </si>
  <si>
    <t xml:space="preserve">      rmap_registers_wr_o.aeb_gen_cfg_reserved_694.reserved(7 downto 0) &lt;= avalon_mm_rmap_i.writedata(7 downto 0);</t>
  </si>
  <si>
    <t xml:space="preserve">      rmap_registers_wr_o.aeb_gen_cfg_reserved_694.reserved(15 downto 8) &lt;= avalon_mm_rmap_i.writedata(15 downto 8);</t>
  </si>
  <si>
    <t xml:space="preserve">      rmap_registers_wr_o.aeb_gen_cfg_reserved_694.reserved(23 downto 16) &lt;= avalon_mm_rmap_i.writedata(23 downto 16);</t>
  </si>
  <si>
    <t xml:space="preserve">      rmap_registers_wr_o.aeb_gen_cfg_reserved_694.reserved(31 downto 24) &lt;= avalon_mm_rmap_i.writedata(31 downto 24);</t>
  </si>
  <si>
    <t xml:space="preserve">      rmap_registers_wr_o.aeb_gen_cfg_reserved_698.reserved(7 downto 0) &lt;= avalon_mm_rmap_i.writedata(7 downto 0);</t>
  </si>
  <si>
    <t xml:space="preserve">      rmap_registers_wr_o.aeb_gen_cfg_reserved_698.reserved(15 downto 8) &lt;= avalon_mm_rmap_i.writedata(15 downto 8);</t>
  </si>
  <si>
    <t xml:space="preserve">      rmap_registers_wr_o.aeb_gen_cfg_reserved_698.reserved(23 downto 16) &lt;= avalon_mm_rmap_i.writedata(23 downto 16);</t>
  </si>
  <si>
    <t xml:space="preserve">      rmap_registers_wr_o.aeb_gen_cfg_reserved_698.reserved(31 downto 24) &lt;= avalon_mm_rmap_i.writedata(31 downto 24);</t>
  </si>
  <si>
    <t xml:space="preserve">      rmap_registers_wr_o.aeb_gen_cfg_reserved_69c.reserved(7 downto 0) &lt;= avalon_mm_rmap_i.writedata(7 downto 0);</t>
  </si>
  <si>
    <t xml:space="preserve">      rmap_registers_wr_o.aeb_gen_cfg_reserved_69c.reserved(15 downto 8) &lt;= avalon_mm_rmap_i.writedata(15 downto 8);</t>
  </si>
  <si>
    <t xml:space="preserve">      rmap_registers_wr_o.aeb_gen_cfg_reserved_69c.reserved(23 downto 16) &lt;= avalon_mm_rmap_i.writedata(23 downto 16);</t>
  </si>
  <si>
    <t xml:space="preserve">      rmap_registers_wr_o.aeb_gen_cfg_reserved_69c.reserved(31 downto 24) &lt;= avalon_mm_rmap_i.writedata(31 downto 24);</t>
  </si>
  <si>
    <t xml:space="preserve">      rmap_registers_wr_o.aeb_gen_cfg_reserved_6a0.reserved(7 downto 0) &lt;= avalon_mm_rmap_i.writedata(7 downto 0);</t>
  </si>
  <si>
    <t xml:space="preserve">      rmap_registers_wr_o.aeb_gen_cfg_reserved_6a0.reserved(15 downto 8) &lt;= avalon_mm_rmap_i.writedata(15 downto 8);</t>
  </si>
  <si>
    <t xml:space="preserve">      rmap_registers_wr_o.aeb_gen_cfg_reserved_6a0.reserved(23 downto 16) &lt;= avalon_mm_rmap_i.writedata(23 downto 16);</t>
  </si>
  <si>
    <t xml:space="preserve">      rmap_registers_wr_o.aeb_gen_cfg_reserved_6a0.reserved(31 downto 24) &lt;= avalon_mm_rmap_i.writedata(31 downto 24);</t>
  </si>
  <si>
    <t xml:space="preserve">      rmap_registers_wr_o.aeb_gen_cfg_reserved_6a4.reserved(7 downto 0) &lt;= avalon_mm_rmap_i.writedata(7 downto 0);</t>
  </si>
  <si>
    <t xml:space="preserve">      rmap_registers_wr_o.aeb_gen_cfg_reserved_6a4.reserved(15 downto 8) &lt;= avalon_mm_rmap_i.writedata(15 downto 8);</t>
  </si>
  <si>
    <t xml:space="preserve">      rmap_registers_wr_o.aeb_gen_cfg_reserved_6a4.reserved(23 downto 16) &lt;= avalon_mm_rmap_i.writedata(23 downto 16);</t>
  </si>
  <si>
    <t xml:space="preserve">      rmap_registers_wr_o.aeb_gen_cfg_reserved_6a4.reserved(31 downto 24) &lt;= avalon_mm_rmap_i.writedata(31 downto 24);</t>
  </si>
  <si>
    <t xml:space="preserve">      rmap_registers_wr_o.aeb_gen_cfg_reserved_6a8.reserved(7 downto 0) &lt;= avalon_mm_rmap_i.writedata(7 downto 0);</t>
  </si>
  <si>
    <t xml:space="preserve">      rmap_registers_wr_o.aeb_gen_cfg_reserved_6a8.reserved(15 downto 8) &lt;= avalon_mm_rmap_i.writedata(15 downto 8);</t>
  </si>
  <si>
    <t xml:space="preserve">      rmap_registers_wr_o.aeb_gen_cfg_reserved_6a8.reserved(23 downto 16) &lt;= avalon_mm_rmap_i.writedata(23 downto 16);</t>
  </si>
  <si>
    <t xml:space="preserve">      rmap_registers_wr_o.aeb_gen_cfg_reserved_6a8.reserved(31 downto 24) &lt;= avalon_mm_rmap_i.writedata(31 downto 24);</t>
  </si>
  <si>
    <t xml:space="preserve">      rmap_registers_wr_o.aeb_gen_cfg_reserved_6ac.reserved(7 downto 0) &lt;= avalon_mm_rmap_i.writedata(7 downto 0);</t>
  </si>
  <si>
    <t xml:space="preserve">      rmap_registers_wr_o.aeb_gen_cfg_reserved_6ac.reserved(15 downto 8) &lt;= avalon_mm_rmap_i.writedata(15 downto 8);</t>
  </si>
  <si>
    <t xml:space="preserve">      rmap_registers_wr_o.aeb_gen_cfg_reserved_6ac.reserved(23 downto 16) &lt;= avalon_mm_rmap_i.writedata(23 downto 16);</t>
  </si>
  <si>
    <t xml:space="preserve">      rmap_registers_wr_o.aeb_gen_cfg_reserved_6ac.reserved(31 downto 24) &lt;= avalon_mm_rmap_i.writedata(31 downto 24);</t>
  </si>
  <si>
    <t xml:space="preserve">      rmap_registers_wr_o.aeb_gen_cfg_reserved_6b0.reserved(7 downto 0) &lt;= avalon_mm_rmap_i.writedata(7 downto 0);</t>
  </si>
  <si>
    <t xml:space="preserve">      rmap_registers_wr_o.aeb_gen_cfg_reserved_6b0.reserved(15 downto 8) &lt;= avalon_mm_rmap_i.writedata(15 downto 8);</t>
  </si>
  <si>
    <t xml:space="preserve">      rmap_registers_wr_o.aeb_gen_cfg_reserved_6b0.reserved(23 downto 16) &lt;= avalon_mm_rmap_i.writedata(23 downto 16);</t>
  </si>
  <si>
    <t xml:space="preserve">      rmap_registers_wr_o.aeb_gen_cfg_reserved_6b0.reserved(31 downto 24) &lt;= avalon_mm_rmap_i.writedata(31 downto 24);</t>
  </si>
  <si>
    <t xml:space="preserve">      rmap_registers_wr_o.aeb_gen_cfg_reserved_6b4.reserved(7 downto 0) &lt;= avalon_mm_rmap_i.writedata(7 downto 0);</t>
  </si>
  <si>
    <t xml:space="preserve">      rmap_registers_wr_o.aeb_gen_cfg_reserved_6b4.reserved(15 downto 8) &lt;= avalon_mm_rmap_i.writedata(15 downto 8);</t>
  </si>
  <si>
    <t xml:space="preserve">      rmap_registers_wr_o.aeb_gen_cfg_reserved_6b4.reserved(23 downto 16) &lt;= avalon_mm_rmap_i.writedata(23 downto 16);</t>
  </si>
  <si>
    <t xml:space="preserve">      rmap_registers_wr_o.aeb_gen_cfg_reserved_6b4.reserved(31 downto 24) &lt;= avalon_mm_rmap_i.writedata(31 downto 24);</t>
  </si>
  <si>
    <t xml:space="preserve">      rmap_registers_wr_o.aeb_gen_cfg_reserved_6b8.reserved(7 downto 0) &lt;= avalon_mm_rmap_i.writedata(7 downto 0);</t>
  </si>
  <si>
    <t xml:space="preserve">      rmap_registers_wr_o.aeb_gen_cfg_reserved_6b8.reserved(15 downto 8) &lt;= avalon_mm_rmap_i.writedata(15 downto 8);</t>
  </si>
  <si>
    <t xml:space="preserve">      rmap_registers_wr_o.aeb_gen_cfg_reserved_6b8.reserved(23 downto 16) &lt;= avalon_mm_rmap_i.writedata(23 downto 16);</t>
  </si>
  <si>
    <t xml:space="preserve">      rmap_registers_wr_o.aeb_gen_cfg_reserved_6b8.reserved(31 downto 24) &lt;= avalon_mm_rmap_i.writedata(31 downto 24);</t>
  </si>
  <si>
    <t xml:space="preserve">      rmap_registers_wr_o.aeb_gen_cfg_reserved_6bc.reserved(7 downto 0) &lt;= avalon_mm_rmap_i.writedata(7 downto 0);</t>
  </si>
  <si>
    <t xml:space="preserve">      rmap_registers_wr_o.aeb_gen_cfg_reserved_6bc.reserved(15 downto 8) &lt;= avalon_mm_rmap_i.writedata(15 downto 8);</t>
  </si>
  <si>
    <t xml:space="preserve">      rmap_registers_wr_o.aeb_gen_cfg_reserved_6bc.reserved(23 downto 16) &lt;= avalon_mm_rmap_i.writedata(23 downto 16);</t>
  </si>
  <si>
    <t xml:space="preserve">      rmap_registers_wr_o.aeb_gen_cfg_reserved_6bc.reserved(31 downto 24) &lt;= avalon_mm_rmap_i.writedata(31 downto 24);</t>
  </si>
  <si>
    <t xml:space="preserve">      rmap_registers_wr_o.aeb_gen_cfg_reserved_6c0.reserved(7 downto 0) &lt;= avalon_mm_rmap_i.writedata(7 downto 0);</t>
  </si>
  <si>
    <t xml:space="preserve">      rmap_registers_wr_o.aeb_gen_cfg_reserved_6c0.reserved(15 downto 8) &lt;= avalon_mm_rmap_i.writedata(15 downto 8);</t>
  </si>
  <si>
    <t xml:space="preserve">      rmap_registers_wr_o.aeb_gen_cfg_reserved_6c0.reserved(23 downto 16) &lt;= avalon_mm_rmap_i.writedata(23 downto 16);</t>
  </si>
  <si>
    <t xml:space="preserve">      rmap_registers_wr_o.aeb_gen_cfg_reserved_6c0.reserved(31 downto 24) &lt;= avalon_mm_rmap_i.writedata(31 downto 24);</t>
  </si>
  <si>
    <t xml:space="preserve">      rmap_registers_wr_o.aeb_gen_cfg_reserved_6c4.reserved(7 downto 0) &lt;= avalon_mm_rmap_i.writedata(7 downto 0);</t>
  </si>
  <si>
    <t xml:space="preserve">      rmap_registers_wr_o.aeb_gen_cfg_reserved_6c4.reserved(15 downto 8) &lt;= avalon_mm_rmap_i.writedata(15 downto 8);</t>
  </si>
  <si>
    <t xml:space="preserve">      rmap_registers_wr_o.aeb_gen_cfg_reserved_6c4.reserved(23 downto 16) &lt;= avalon_mm_rmap_i.writedata(23 downto 16);</t>
  </si>
  <si>
    <t xml:space="preserve">      rmap_registers_wr_o.aeb_gen_cfg_reserved_6c4.reserved(31 downto 24) &lt;= avalon_mm_rmap_i.writedata(31 downto 24);</t>
  </si>
  <si>
    <t xml:space="preserve">      rmap_registers_wr_o.aeb_gen_cfg_reserved_6c8.reserved(7 downto 0) &lt;= avalon_mm_rmap_i.writedata(7 downto 0);</t>
  </si>
  <si>
    <t xml:space="preserve">      rmap_registers_wr_o.aeb_gen_cfg_reserved_6c8.reserved(15 downto 8) &lt;= avalon_mm_rmap_i.writedata(15 downto 8);</t>
  </si>
  <si>
    <t xml:space="preserve">      rmap_registers_wr_o.aeb_gen_cfg_reserved_6c8.reserved(23 downto 16) &lt;= avalon_mm_rmap_i.writedata(23 downto 16);</t>
  </si>
  <si>
    <t xml:space="preserve">      rmap_registers_wr_o.aeb_gen_cfg_reserved_6c8.reserved(31 downto 24) &lt;= avalon_mm_rmap_i.writedata(31 downto 24);</t>
  </si>
  <si>
    <t xml:space="preserve">      rmap_registers_wr_o.aeb_gen_cfg_reserved_6cc.reserved(7 downto 0) &lt;= avalon_mm_rmap_i.writedata(7 downto 0);</t>
  </si>
  <si>
    <t xml:space="preserve">      rmap_registers_wr_o.aeb_gen_cfg_reserved_6cc.reserved(15 downto 8) &lt;= avalon_mm_rmap_i.writedata(15 downto 8);</t>
  </si>
  <si>
    <t xml:space="preserve">      rmap_registers_wr_o.aeb_gen_cfg_reserved_6cc.reserved(23 downto 16) &lt;= avalon_mm_rmap_i.writedata(23 downto 16);</t>
  </si>
  <si>
    <t xml:space="preserve">      rmap_registers_wr_o.aeb_gen_cfg_reserved_6cc.reserved(31 downto 24) &lt;= avalon_mm_rmap_i.writedata(31 downto 24);</t>
  </si>
  <si>
    <t xml:space="preserve">      rmap_registers_wr_o.aeb_gen_cfg_reserved_6d0.reserved(7 downto 0) &lt;= avalon_mm_rmap_i.writedata(7 downto 0);</t>
  </si>
  <si>
    <t xml:space="preserve">      rmap_registers_wr_o.aeb_gen_cfg_reserved_6d0.reserved(15 downto 8) &lt;= avalon_mm_rmap_i.writedata(15 downto 8);</t>
  </si>
  <si>
    <t xml:space="preserve">      rmap_registers_wr_o.aeb_gen_cfg_reserved_6d0.reserved(23 downto 16) &lt;= avalon_mm_rmap_i.writedata(23 downto 16);</t>
  </si>
  <si>
    <t xml:space="preserve">      rmap_registers_wr_o.aeb_gen_cfg_reserved_6d0.reserved(31 downto 24) &lt;= avalon_mm_rmap_i.writedata(31 downto 24);</t>
  </si>
  <si>
    <t xml:space="preserve">      rmap_registers_wr_o.aeb_gen_cfg_reserved_6d4.reserved(7 downto 0) &lt;= avalon_mm_rmap_i.writedata(7 downto 0);</t>
  </si>
  <si>
    <t xml:space="preserve">      rmap_registers_wr_o.aeb_gen_cfg_reserved_6d4.reserved(15 downto 8) &lt;= avalon_mm_rmap_i.writedata(15 downto 8);</t>
  </si>
  <si>
    <t xml:space="preserve">      rmap_registers_wr_o.aeb_gen_cfg_reserved_6d4.reserved(23 downto 16) &lt;= avalon_mm_rmap_i.writedata(23 downto 16);</t>
  </si>
  <si>
    <t xml:space="preserve">      rmap_registers_wr_o.aeb_gen_cfg_reserved_6d4.reserved(31 downto 24) &lt;= avalon_mm_rmap_i.writedata(31 downto 24);</t>
  </si>
  <si>
    <t xml:space="preserve">      rmap_registers_wr_o.aeb_gen_cfg_reserved_6d8.reserved(7 downto 0) &lt;= avalon_mm_rmap_i.writedata(7 downto 0);</t>
  </si>
  <si>
    <t xml:space="preserve">      rmap_registers_wr_o.aeb_gen_cfg_reserved_6d8.reserved(15 downto 8) &lt;= avalon_mm_rmap_i.writedata(15 downto 8);</t>
  </si>
  <si>
    <t xml:space="preserve">      rmap_registers_wr_o.aeb_gen_cfg_reserved_6d8.reserved(23 downto 16) &lt;= avalon_mm_rmap_i.writedata(23 downto 16);</t>
  </si>
  <si>
    <t xml:space="preserve">      rmap_registers_wr_o.aeb_gen_cfg_reserved_6d8.reserved(31 downto 24) &lt;= avalon_mm_rmap_i.writedata(31 downto 24);</t>
  </si>
  <si>
    <t xml:space="preserve">      rmap_registers_wr_o.aeb_gen_cfg_reserved_6dc.reserved(7 downto 0) &lt;= avalon_mm_rmap_i.writedata(7 downto 0);</t>
  </si>
  <si>
    <t xml:space="preserve">      rmap_registers_wr_o.aeb_gen_cfg_reserved_6dc.reserved(15 downto 8) &lt;= avalon_mm_rmap_i.writedata(15 downto 8);</t>
  </si>
  <si>
    <t xml:space="preserve">      rmap_registers_wr_o.aeb_gen_cfg_reserved_6dc.reserved(23 downto 16) &lt;= avalon_mm_rmap_i.writedata(23 downto 16);</t>
  </si>
  <si>
    <t xml:space="preserve">      rmap_registers_wr_o.aeb_gen_cfg_reserved_6dc.reserved(31 downto 24) &lt;= avalon_mm_rmap_i.writedata(31 downto 24);</t>
  </si>
  <si>
    <t xml:space="preserve">      rmap_registers_wr_o.aeb_gen_cfg_reserved_6e0.reserved(7 downto 0) &lt;= avalon_mm_rmap_i.writedata(7 downto 0);</t>
  </si>
  <si>
    <t xml:space="preserve">      rmap_registers_wr_o.aeb_gen_cfg_reserved_6e0.reserved(15 downto 8) &lt;= avalon_mm_rmap_i.writedata(15 downto 8);</t>
  </si>
  <si>
    <t xml:space="preserve">      rmap_registers_wr_o.aeb_gen_cfg_reserved_6e0.reserved(23 downto 16) &lt;= avalon_mm_rmap_i.writedata(23 downto 16);</t>
  </si>
  <si>
    <t xml:space="preserve">      rmap_registers_wr_o.aeb_gen_cfg_reserved_6e0.reserved(31 downto 24) &lt;= avalon_mm_rmap_i.writedata(31 downto 24);</t>
  </si>
  <si>
    <t xml:space="preserve">      rmap_registers_wr_o.aeb_gen_cfg_reserved_6e4.reserved(7 downto 0) &lt;= avalon_mm_rmap_i.writedata(7 downto 0);</t>
  </si>
  <si>
    <t xml:space="preserve">      rmap_registers_wr_o.aeb_gen_cfg_reserved_6e4.reserved(15 downto 8) &lt;= avalon_mm_rmap_i.writedata(15 downto 8);</t>
  </si>
  <si>
    <t xml:space="preserve">      rmap_registers_wr_o.aeb_gen_cfg_reserved_6e4.reserved(23 downto 16) &lt;= avalon_mm_rmap_i.writedata(23 downto 16);</t>
  </si>
  <si>
    <t xml:space="preserve">      rmap_registers_wr_o.aeb_gen_cfg_reserved_6e4.reserved(31 downto 24) &lt;= avalon_mm_rmap_i.writedata(31 downto 24);</t>
  </si>
  <si>
    <t xml:space="preserve">      rmap_registers_wr_o.aeb_gen_cfg_reserved_6e8.reserved(7 downto 0) &lt;= avalon_mm_rmap_i.writedata(7 downto 0);</t>
  </si>
  <si>
    <t xml:space="preserve">      rmap_registers_wr_o.aeb_gen_cfg_reserved_6e8.reserved(15 downto 8) &lt;= avalon_mm_rmap_i.writedata(15 downto 8);</t>
  </si>
  <si>
    <t xml:space="preserve">      rmap_registers_wr_o.aeb_gen_cfg_reserved_6e8.reserved(23 downto 16) &lt;= avalon_mm_rmap_i.writedata(23 downto 16);</t>
  </si>
  <si>
    <t xml:space="preserve">      rmap_registers_wr_o.aeb_gen_cfg_reserved_6e8.reserved(31 downto 24) &lt;= avalon_mm_rmap_i.writedata(31 downto 24);</t>
  </si>
  <si>
    <t xml:space="preserve">      rmap_registers_wr_o.aeb_gen_cfg_reserved_6ec.reserved(7 downto 0) &lt;= avalon_mm_rmap_i.writedata(7 downto 0);</t>
  </si>
  <si>
    <t xml:space="preserve">      rmap_registers_wr_o.aeb_gen_cfg_reserved_6ec.reserved(15 downto 8) &lt;= avalon_mm_rmap_i.writedata(15 downto 8);</t>
  </si>
  <si>
    <t xml:space="preserve">      rmap_registers_wr_o.aeb_gen_cfg_reserved_6ec.reserved(23 downto 16) &lt;= avalon_mm_rmap_i.writedata(23 downto 16);</t>
  </si>
  <si>
    <t xml:space="preserve">      rmap_registers_wr_o.aeb_gen_cfg_reserved_6ec.reserved(31 downto 24) &lt;= avalon_mm_rmap_i.writedata(31 downto 24);</t>
  </si>
  <si>
    <t xml:space="preserve">      rmap_registers_wr_o.aeb_gen_cfg_reserved_6f0.reserved(7 downto 0) &lt;= avalon_mm_rmap_i.writedata(7 downto 0);</t>
  </si>
  <si>
    <t xml:space="preserve">      rmap_registers_wr_o.aeb_gen_cfg_reserved_6f0.reserved(15 downto 8) &lt;= avalon_mm_rmap_i.writedata(15 downto 8);</t>
  </si>
  <si>
    <t xml:space="preserve">      rmap_registers_wr_o.aeb_gen_cfg_reserved_6f0.reserved(23 downto 16) &lt;= avalon_mm_rmap_i.writedata(23 downto 16);</t>
  </si>
  <si>
    <t xml:space="preserve">      rmap_registers_wr_o.aeb_gen_cfg_reserved_6f0.reserved(31 downto 24) &lt;= avalon_mm_rmap_i.writedata(31 downto 24);</t>
  </si>
  <si>
    <t xml:space="preserve">      rmap_registers_wr_o.aeb_gen_cfg_reserved_6f4.reserved(7 downto 0) &lt;= avalon_mm_rmap_i.writedata(7 downto 0);</t>
  </si>
  <si>
    <t xml:space="preserve">      rmap_registers_wr_o.aeb_gen_cfg_reserved_6f4.reserved(15 downto 8) &lt;= avalon_mm_rmap_i.writedata(15 downto 8);</t>
  </si>
  <si>
    <t xml:space="preserve">      rmap_registers_wr_o.aeb_gen_cfg_reserved_6f4.reserved(23 downto 16) &lt;= avalon_mm_rmap_i.writedata(23 downto 16);</t>
  </si>
  <si>
    <t xml:space="preserve">      rmap_registers_wr_o.aeb_gen_cfg_reserved_6f4.reserved(31 downto 24) &lt;= avalon_mm_rmap_i.writedata(31 downto 24);</t>
  </si>
  <si>
    <t xml:space="preserve">      rmap_registers_wr_o.aeb_gen_cfg_reserved_6f8.reserved(7 downto 0) &lt;= avalon_mm_rmap_i.writedata(7 downto 0);</t>
  </si>
  <si>
    <t xml:space="preserve">      rmap_registers_wr_o.aeb_gen_cfg_reserved_6f8.reserved(15 downto 8) &lt;= avalon_mm_rmap_i.writedata(15 downto 8);</t>
  </si>
  <si>
    <t xml:space="preserve">      rmap_registers_wr_o.aeb_gen_cfg_reserved_6f8.reserved(23 downto 16) &lt;= avalon_mm_rmap_i.writedata(23 downto 16);</t>
  </si>
  <si>
    <t xml:space="preserve">      rmap_registers_wr_o.aeb_gen_cfg_reserved_6f8.reserved(31 downto 24) &lt;= avalon_mm_rmap_i.writedata(31 downto 24);</t>
  </si>
  <si>
    <t xml:space="preserve">      rmap_registers_wr_o.aeb_gen_cfg_reserved_6fc.reserved(7 downto 0) &lt;= avalon_mm_rmap_i.writedata(7 downto 0);</t>
  </si>
  <si>
    <t xml:space="preserve">      rmap_registers_wr_o.aeb_gen_cfg_reserved_6fc.reserved(15 downto 8) &lt;= avalon_mm_rmap_i.writedata(15 downto 8);</t>
  </si>
  <si>
    <t xml:space="preserve">      rmap_registers_wr_o.aeb_gen_cfg_reserved_6fc.reserved(23 downto 16) &lt;= avalon_mm_rmap_i.writedata(23 downto 16);</t>
  </si>
  <si>
    <t xml:space="preserve">      rmap_registers_wr_o.aeb_gen_cfg_reserved_6fc.reserved(31 downto 24) &lt;= avalon_mm_rmap_i.writedata(31 downto 24);</t>
  </si>
  <si>
    <t xml:space="preserve">      rmap_registers_wr_o.aeb_gen_cfg_reserved_700.reserved(7 downto 0) &lt;= avalon_mm_rmap_i.writedata(7 downto 0);</t>
  </si>
  <si>
    <t xml:space="preserve">      rmap_registers_wr_o.aeb_gen_cfg_reserved_700.reserved(15 downto 8) &lt;= avalon_mm_rmap_i.writedata(15 downto 8);</t>
  </si>
  <si>
    <t xml:space="preserve">      rmap_registers_wr_o.aeb_gen_cfg_reserved_700.reserved(23 downto 16) &lt;= avalon_mm_rmap_i.writedata(23 downto 16);</t>
  </si>
  <si>
    <t xml:space="preserve">      rmap_registers_wr_o.aeb_gen_cfg_reserved_700.reserved(31 downto 24) &lt;= avalon_mm_rmap_i.writedata(31 downto 24);</t>
  </si>
  <si>
    <t xml:space="preserve">      rmap_registers_wr_o.aeb_gen_cfg_reserved_704.reserved(7 downto 0) &lt;= avalon_mm_rmap_i.writedata(7 downto 0);</t>
  </si>
  <si>
    <t xml:space="preserve">      rmap_registers_wr_o.aeb_gen_cfg_reserved_704.reserved(15 downto 8) &lt;= avalon_mm_rmap_i.writedata(15 downto 8);</t>
  </si>
  <si>
    <t xml:space="preserve">      rmap_registers_wr_o.aeb_gen_cfg_reserved_704.reserved(23 downto 16) &lt;= avalon_mm_rmap_i.writedata(23 downto 16);</t>
  </si>
  <si>
    <t xml:space="preserve">      rmap_registers_wr_o.aeb_gen_cfg_reserved_704.reserved(31 downto 24) &lt;= avalon_mm_rmap_i.writedata(31 downto 24);</t>
  </si>
  <si>
    <t xml:space="preserve">      rmap_registers_wr_o.aeb_gen_cfg_reserved_708.reserved(7 downto 0) &lt;= avalon_mm_rmap_i.writedata(7 downto 0);</t>
  </si>
  <si>
    <t xml:space="preserve">      rmap_registers_wr_o.aeb_gen_cfg_reserved_708.reserved(15 downto 8) &lt;= avalon_mm_rmap_i.writedata(15 downto 8);</t>
  </si>
  <si>
    <t xml:space="preserve">      rmap_registers_wr_o.aeb_gen_cfg_reserved_708.reserved(23 downto 16) &lt;= avalon_mm_rmap_i.writedata(23 downto 16);</t>
  </si>
  <si>
    <t xml:space="preserve">      rmap_registers_wr_o.aeb_gen_cfg_reserved_708.reserved(31 downto 24) &lt;= avalon_mm_rmap_i.writedata(31 downto 24);</t>
  </si>
  <si>
    <t xml:space="preserve">      rmap_registers_wr_o.aeb_gen_cfg_reserved_70c.reserved(7 downto 0) &lt;= avalon_mm_rmap_i.writedata(7 downto 0);</t>
  </si>
  <si>
    <t xml:space="preserve">      rmap_registers_wr_o.aeb_gen_cfg_reserved_70c.reserved(15 downto 8) &lt;= avalon_mm_rmap_i.writedata(15 downto 8);</t>
  </si>
  <si>
    <t xml:space="preserve">      rmap_registers_wr_o.aeb_gen_cfg_reserved_70c.reserved(23 downto 16) &lt;= avalon_mm_rmap_i.writedata(23 downto 16);</t>
  </si>
  <si>
    <t xml:space="preserve">      rmap_registers_wr_o.aeb_gen_cfg_reserved_70c.reserved(31 downto 24) &lt;= avalon_mm_rmap_i.writedata(31 downto 24);</t>
  </si>
  <si>
    <t xml:space="preserve">      rmap_registers_wr_o.aeb_gen_cfg_reserved_710.reserved(7 downto 0) &lt;= avalon_mm_rmap_i.writedata(7 downto 0);</t>
  </si>
  <si>
    <t xml:space="preserve">      rmap_registers_wr_o.aeb_gen_cfg_reserved_710.reserved(15 downto 8) &lt;= avalon_mm_rmap_i.writedata(15 downto 8);</t>
  </si>
  <si>
    <t xml:space="preserve">      rmap_registers_wr_o.aeb_gen_cfg_reserved_710.reserved(23 downto 16) &lt;= avalon_mm_rmap_i.writedata(23 downto 16);</t>
  </si>
  <si>
    <t xml:space="preserve">      rmap_registers_wr_o.aeb_gen_cfg_reserved_710.reserved(31 downto 24) &lt;= avalon_mm_rmap_i.writedata(31 downto 24);</t>
  </si>
  <si>
    <t xml:space="preserve">      rmap_registers_wr_o.aeb_gen_cfg_reserved_714.reserved(7 downto 0) &lt;= avalon_mm_rmap_i.writedata(7 downto 0);</t>
  </si>
  <si>
    <t xml:space="preserve">      rmap_registers_wr_o.aeb_gen_cfg_reserved_714.reserved(15 downto 8) &lt;= avalon_mm_rmap_i.writedata(15 downto 8);</t>
  </si>
  <si>
    <t xml:space="preserve">      rmap_registers_wr_o.aeb_gen_cfg_reserved_714.reserved(23 downto 16) &lt;= avalon_mm_rmap_i.writedata(23 downto 16);</t>
  </si>
  <si>
    <t xml:space="preserve">      rmap_registers_wr_o.aeb_gen_cfg_reserved_714.reserved(31 downto 24) &lt;= avalon_mm_rmap_i.writedata(31 downto 24);</t>
  </si>
  <si>
    <t xml:space="preserve">      rmap_registers_wr_o.aeb_gen_cfg_reserved_718.reserved(7 downto 0) &lt;= avalon_mm_rmap_i.writedata(7 downto 0);</t>
  </si>
  <si>
    <t xml:space="preserve">      rmap_registers_wr_o.aeb_gen_cfg_reserved_718.reserved(15 downto 8) &lt;= avalon_mm_rmap_i.writedata(15 downto 8);</t>
  </si>
  <si>
    <t xml:space="preserve">      rmap_registers_wr_o.aeb_gen_cfg_reserved_718.reserved(23 downto 16) &lt;= avalon_mm_rmap_i.writedata(23 downto 16);</t>
  </si>
  <si>
    <t xml:space="preserve">      rmap_registers_wr_o.aeb_gen_cfg_reserved_718.reserved(31 downto 24) &lt;= avalon_mm_rmap_i.writedata(31 downto 24);</t>
  </si>
  <si>
    <t xml:space="preserve">      rmap_registers_wr_o.aeb_gen_cfg_reserved_71c.reserved(7 downto 0) &lt;= avalon_mm_rmap_i.writedata(7 downto 0);</t>
  </si>
  <si>
    <t xml:space="preserve">      rmap_registers_wr_o.aeb_gen_cfg_reserved_71c.reserved(15 downto 8) &lt;= avalon_mm_rmap_i.writedata(15 downto 8);</t>
  </si>
  <si>
    <t xml:space="preserve">      rmap_registers_wr_o.aeb_gen_cfg_reserved_71c.reserved(23 downto 16) &lt;= avalon_mm_rmap_i.writedata(23 downto 16);</t>
  </si>
  <si>
    <t xml:space="preserve">      rmap_registers_wr_o.aeb_gen_cfg_reserved_71c.reserved(31 downto 24) &lt;= avalon_mm_rmap_i.writedata(31 downto 24);</t>
  </si>
  <si>
    <t xml:space="preserve">      rmap_registers_wr_o.aeb_gen_cfg_reserved_720.reserved(7 downto 0) &lt;= avalon_mm_rmap_i.writedata(7 downto 0);</t>
  </si>
  <si>
    <t xml:space="preserve">      rmap_registers_wr_o.aeb_gen_cfg_reserved_720.reserved(15 downto 8) &lt;= avalon_mm_rmap_i.writedata(15 downto 8);</t>
  </si>
  <si>
    <t xml:space="preserve">      rmap_registers_wr_o.aeb_gen_cfg_reserved_720.reserved(23 downto 16) &lt;= avalon_mm_rmap_i.writedata(23 downto 16);</t>
  </si>
  <si>
    <t xml:space="preserve">      rmap_registers_wr_o.aeb_gen_cfg_reserved_720.reserved(31 downto 24) &lt;= avalon_mm_rmap_i.writedata(31 downto 24);</t>
  </si>
  <si>
    <t xml:space="preserve">      rmap_registers_wr_o.aeb_gen_cfg_reserved_724.reserved(7 downto 0) &lt;= avalon_mm_rmap_i.writedata(7 downto 0);</t>
  </si>
  <si>
    <t xml:space="preserve">      rmap_registers_wr_o.aeb_gen_cfg_reserved_724.reserved(15 downto 8) &lt;= avalon_mm_rmap_i.writedata(15 downto 8);</t>
  </si>
  <si>
    <t xml:space="preserve">      rmap_registers_wr_o.aeb_gen_cfg_reserved_724.reserved(23 downto 16) &lt;= avalon_mm_rmap_i.writedata(23 downto 16);</t>
  </si>
  <si>
    <t xml:space="preserve">      rmap_registers_wr_o.aeb_gen_cfg_reserved_724.reserved(31 downto 24) &lt;= avalon_mm_rmap_i.writedata(31 downto 24);</t>
  </si>
  <si>
    <t xml:space="preserve">      rmap_registers_wr_o.aeb_gen_cfg_reserved_728.reserved(7 downto 0) &lt;= avalon_mm_rmap_i.writedata(7 downto 0);</t>
  </si>
  <si>
    <t xml:space="preserve">      rmap_registers_wr_o.aeb_gen_cfg_reserved_728.reserved(15 downto 8) &lt;= avalon_mm_rmap_i.writedata(15 downto 8);</t>
  </si>
  <si>
    <t xml:space="preserve">      rmap_registers_wr_o.aeb_gen_cfg_reserved_728.reserved(23 downto 16) &lt;= avalon_mm_rmap_i.writedata(23 downto 16);</t>
  </si>
  <si>
    <t xml:space="preserve">      rmap_registers_wr_o.aeb_gen_cfg_reserved_728.reserved(31 downto 24) &lt;= avalon_mm_rmap_i.writedata(31 downto 24);</t>
  </si>
  <si>
    <t xml:space="preserve">      rmap_registers_wr_o.aeb_gen_cfg_reserved_72c.reserved(7 downto 0) &lt;= avalon_mm_rmap_i.writedata(7 downto 0);</t>
  </si>
  <si>
    <t xml:space="preserve">      rmap_registers_wr_o.aeb_gen_cfg_reserved_72c.reserved(15 downto 8) &lt;= avalon_mm_rmap_i.writedata(15 downto 8);</t>
  </si>
  <si>
    <t xml:space="preserve">      rmap_registers_wr_o.aeb_gen_cfg_reserved_72c.reserved(23 downto 16) &lt;= avalon_mm_rmap_i.writedata(23 downto 16);</t>
  </si>
  <si>
    <t xml:space="preserve">      rmap_registers_wr_o.aeb_gen_cfg_reserved_72c.reserved(31 downto 24) &lt;= avalon_mm_rmap_i.writedata(31 downto 24);</t>
  </si>
  <si>
    <t xml:space="preserve">      rmap_registers_wr_o.aeb_gen_cfg_reserved_730.reserved(7 downto 0) &lt;= avalon_mm_rmap_i.writedata(7 downto 0);</t>
  </si>
  <si>
    <t xml:space="preserve">      rmap_registers_wr_o.aeb_gen_cfg_reserved_730.reserved(15 downto 8) &lt;= avalon_mm_rmap_i.writedata(15 downto 8);</t>
  </si>
  <si>
    <t xml:space="preserve">      rmap_registers_wr_o.aeb_gen_cfg_reserved_730.reserved(23 downto 16) &lt;= avalon_mm_rmap_i.writedata(23 downto 16);</t>
  </si>
  <si>
    <t xml:space="preserve">      rmap_registers_wr_o.aeb_gen_cfg_reserved_730.reserved(31 downto 24) &lt;= avalon_mm_rmap_i.writedata(31 downto 24);</t>
  </si>
  <si>
    <t xml:space="preserve">      rmap_registers_wr_o.aeb_gen_cfg_reserved_734.reserved(7 downto 0) &lt;= avalon_mm_rmap_i.writedata(7 downto 0);</t>
  </si>
  <si>
    <t xml:space="preserve">      rmap_registers_wr_o.aeb_gen_cfg_reserved_734.reserved(15 downto 8) &lt;= avalon_mm_rmap_i.writedata(15 downto 8);</t>
  </si>
  <si>
    <t xml:space="preserve">      rmap_registers_wr_o.aeb_gen_cfg_reserved_734.reserved(23 downto 16) &lt;= avalon_mm_rmap_i.writedata(23 downto 16);</t>
  </si>
  <si>
    <t xml:space="preserve">      rmap_registers_wr_o.aeb_gen_cfg_reserved_734.reserved(31 downto 24) &lt;= avalon_mm_rmap_i.writedata(31 downto 24);</t>
  </si>
  <si>
    <t xml:space="preserve">      rmap_registers_wr_o.aeb_gen_cfg_reserved_738.reserved(7 downto 0) &lt;= avalon_mm_rmap_i.writedata(7 downto 0);</t>
  </si>
  <si>
    <t xml:space="preserve">      rmap_registers_wr_o.aeb_gen_cfg_reserved_738.reserved(15 downto 8) &lt;= avalon_mm_rmap_i.writedata(15 downto 8);</t>
  </si>
  <si>
    <t xml:space="preserve">      rmap_registers_wr_o.aeb_gen_cfg_reserved_738.reserved(23 downto 16) &lt;= avalon_mm_rmap_i.writedata(23 downto 16);</t>
  </si>
  <si>
    <t xml:space="preserve">      rmap_registers_wr_o.aeb_gen_cfg_reserved_738.reserved(31 downto 24) &lt;= avalon_mm_rmap_i.writedata(31 downto 24);</t>
  </si>
  <si>
    <t xml:space="preserve">      rmap_registers_wr_o.aeb_gen_cfg_reserved_73c.reserved(7 downto 0) &lt;= avalon_mm_rmap_i.writedata(7 downto 0);</t>
  </si>
  <si>
    <t xml:space="preserve">      rmap_registers_wr_o.aeb_gen_cfg_reserved_73c.reserved(15 downto 8) &lt;= avalon_mm_rmap_i.writedata(15 downto 8);</t>
  </si>
  <si>
    <t xml:space="preserve">      rmap_registers_wr_o.aeb_gen_cfg_reserved_73c.reserved(23 downto 16) &lt;= avalon_mm_rmap_i.writedata(23 downto 16);</t>
  </si>
  <si>
    <t xml:space="preserve">      rmap_registers_wr_o.aeb_gen_cfg_reserved_73c.reserved(31 downto 24) &lt;= avalon_mm_rmap_i.writedata(31 downto 24);</t>
  </si>
  <si>
    <t xml:space="preserve">      rmap_registers_wr_o.aeb_gen_cfg_reserved_740.reserved(7 downto 0) &lt;= avalon_mm_rmap_i.writedata(7 downto 0);</t>
  </si>
  <si>
    <t xml:space="preserve">      rmap_registers_wr_o.aeb_gen_cfg_reserved_740.reserved(15 downto 8) &lt;= avalon_mm_rmap_i.writedata(15 downto 8);</t>
  </si>
  <si>
    <t xml:space="preserve">      rmap_registers_wr_o.aeb_gen_cfg_reserved_740.reserved(23 downto 16) &lt;= avalon_mm_rmap_i.writedata(23 downto 16);</t>
  </si>
  <si>
    <t xml:space="preserve">      rmap_registers_wr_o.aeb_gen_cfg_reserved_740.reserved(31 downto 24) &lt;= avalon_mm_rmap_i.writedata(31 downto 24);</t>
  </si>
  <si>
    <t xml:space="preserve">      rmap_registers_wr_o.aeb_gen_cfg_reserved_744.reserved(7 downto 0) &lt;= avalon_mm_rmap_i.writedata(7 downto 0);</t>
  </si>
  <si>
    <t xml:space="preserve">      rmap_registers_wr_o.aeb_gen_cfg_reserved_744.reserved(15 downto 8) &lt;= avalon_mm_rmap_i.writedata(15 downto 8);</t>
  </si>
  <si>
    <t xml:space="preserve">      rmap_registers_wr_o.aeb_gen_cfg_reserved_744.reserved(23 downto 16) &lt;= avalon_mm_rmap_i.writedata(23 downto 16);</t>
  </si>
  <si>
    <t xml:space="preserve">      rmap_registers_wr_o.aeb_gen_cfg_reserved_744.reserved(31 downto 24) &lt;= avalon_mm_rmap_i.writedata(31 downto 24);</t>
  </si>
  <si>
    <t xml:space="preserve">      rmap_registers_wr_o.aeb_gen_cfg_reserved_748.reserved(7 downto 0) &lt;= avalon_mm_rmap_i.writedata(7 downto 0);</t>
  </si>
  <si>
    <t xml:space="preserve">      rmap_registers_wr_o.aeb_gen_cfg_reserved_748.reserved(15 downto 8) &lt;= avalon_mm_rmap_i.writedata(15 downto 8);</t>
  </si>
  <si>
    <t xml:space="preserve">      rmap_registers_wr_o.aeb_gen_cfg_reserved_748.reserved(23 downto 16) &lt;= avalon_mm_rmap_i.writedata(23 downto 16);</t>
  </si>
  <si>
    <t xml:space="preserve">      rmap_registers_wr_o.aeb_gen_cfg_reserved_748.reserved(31 downto 24) &lt;= avalon_mm_rmap_i.writedata(31 downto 24);</t>
  </si>
  <si>
    <t xml:space="preserve">      rmap_registers_wr_o.aeb_gen_cfg_reserved_74c.reserved(7 downto 0) &lt;= avalon_mm_rmap_i.writedata(7 downto 0);</t>
  </si>
  <si>
    <t xml:space="preserve">      rmap_registers_wr_o.aeb_gen_cfg_reserved_74c.reserved(15 downto 8) &lt;= avalon_mm_rmap_i.writedata(15 downto 8);</t>
  </si>
  <si>
    <t xml:space="preserve">      rmap_registers_wr_o.aeb_gen_cfg_reserved_74c.reserved(23 downto 16) &lt;= avalon_mm_rmap_i.writedata(23 downto 16);</t>
  </si>
  <si>
    <t xml:space="preserve">      rmap_registers_wr_o.aeb_gen_cfg_reserved_74c.reserved(31 downto 24) &lt;= avalon_mm_rmap_i.writedata(31 downto 24);</t>
  </si>
  <si>
    <t xml:space="preserve">      rmap_registers_wr_o.aeb_gen_cfg_reserved_750.reserved(7 downto 0) &lt;= avalon_mm_rmap_i.writedata(7 downto 0);</t>
  </si>
  <si>
    <t xml:space="preserve">      rmap_registers_wr_o.aeb_gen_cfg_reserved_750.reserved(15 downto 8) &lt;= avalon_mm_rmap_i.writedata(15 downto 8);</t>
  </si>
  <si>
    <t xml:space="preserve">      rmap_registers_wr_o.aeb_gen_cfg_reserved_750.reserved(23 downto 16) &lt;= avalon_mm_rmap_i.writedata(23 downto 16);</t>
  </si>
  <si>
    <t xml:space="preserve">      rmap_registers_wr_o.aeb_gen_cfg_reserved_750.reserved(31 downto 24) &lt;= avalon_mm_rmap_i.writedata(31 downto 24);</t>
  </si>
  <si>
    <t xml:space="preserve">      rmap_registers_wr_o.aeb_gen_cfg_reserved_754.reserved(7 downto 0) &lt;= avalon_mm_rmap_i.writedata(7 downto 0);</t>
  </si>
  <si>
    <t xml:space="preserve">      rmap_registers_wr_o.aeb_gen_cfg_reserved_754.reserved(15 downto 8) &lt;= avalon_mm_rmap_i.writedata(15 downto 8);</t>
  </si>
  <si>
    <t xml:space="preserve">      rmap_registers_wr_o.aeb_gen_cfg_reserved_754.reserved(23 downto 16) &lt;= avalon_mm_rmap_i.writedata(23 downto 16);</t>
  </si>
  <si>
    <t xml:space="preserve">      rmap_registers_wr_o.aeb_gen_cfg_reserved_754.reserved(31 downto 24) &lt;= avalon_mm_rmap_i.writedata(31 downto 24);</t>
  </si>
  <si>
    <t xml:space="preserve">      rmap_registers_wr_o.aeb_gen_cfg_reserved_758.reserved(7 downto 0) &lt;= avalon_mm_rmap_i.writedata(7 downto 0);</t>
  </si>
  <si>
    <t xml:space="preserve">      rmap_registers_wr_o.aeb_gen_cfg_reserved_758.reserved(15 downto 8) &lt;= avalon_mm_rmap_i.writedata(15 downto 8);</t>
  </si>
  <si>
    <t xml:space="preserve">      rmap_registers_wr_o.aeb_gen_cfg_reserved_758.reserved(23 downto 16) &lt;= avalon_mm_rmap_i.writedata(23 downto 16);</t>
  </si>
  <si>
    <t xml:space="preserve">      rmap_registers_wr_o.aeb_gen_cfg_reserved_758.reserved(31 downto 24) &lt;= avalon_mm_rmap_i.writedata(31 downto 24);</t>
  </si>
  <si>
    <t xml:space="preserve">      rmap_registers_wr_o.aeb_gen_cfg_reserved_75c.reserved(7 downto 0) &lt;= avalon_mm_rmap_i.writedata(7 downto 0);</t>
  </si>
  <si>
    <t xml:space="preserve">      rmap_registers_wr_o.aeb_gen_cfg_reserved_75c.reserved(15 downto 8) &lt;= avalon_mm_rmap_i.writedata(15 downto 8);</t>
  </si>
  <si>
    <t xml:space="preserve">      rmap_registers_wr_o.aeb_gen_cfg_reserved_75c.reserved(23 downto 16) &lt;= avalon_mm_rmap_i.writedata(23 downto 16);</t>
  </si>
  <si>
    <t xml:space="preserve">      rmap_registers_wr_o.aeb_gen_cfg_reserved_75c.reserved(31 downto 24) &lt;= avalon_mm_rmap_i.writedata(31 downto 24);</t>
  </si>
  <si>
    <t xml:space="preserve">      rmap_registers_wr_o.aeb_gen_cfg_reserved_760.reserved(7 downto 0) &lt;= avalon_mm_rmap_i.writedata(7 downto 0);</t>
  </si>
  <si>
    <t xml:space="preserve">      rmap_registers_wr_o.aeb_gen_cfg_reserved_760.reserved(15 downto 8) &lt;= avalon_mm_rmap_i.writedata(15 downto 8);</t>
  </si>
  <si>
    <t xml:space="preserve">      rmap_registers_wr_o.aeb_gen_cfg_reserved_760.reserved(23 downto 16) &lt;= avalon_mm_rmap_i.writedata(23 downto 16);</t>
  </si>
  <si>
    <t xml:space="preserve">      rmap_registers_wr_o.aeb_gen_cfg_reserved_760.reserved(31 downto 24) &lt;= avalon_mm_rmap_i.writedata(31 downto 24);</t>
  </si>
  <si>
    <t xml:space="preserve">      rmap_registers_wr_o.aeb_gen_cfg_reserved_764.reserved(7 downto 0) &lt;= avalon_mm_rmap_i.writedata(7 downto 0);</t>
  </si>
  <si>
    <t xml:space="preserve">      rmap_registers_wr_o.aeb_gen_cfg_reserved_764.reserved(15 downto 8) &lt;= avalon_mm_rmap_i.writedata(15 downto 8);</t>
  </si>
  <si>
    <t xml:space="preserve">      rmap_registers_wr_o.aeb_gen_cfg_reserved_764.reserved(23 downto 16) &lt;= avalon_mm_rmap_i.writedata(23 downto 16);</t>
  </si>
  <si>
    <t xml:space="preserve">      rmap_registers_wr_o.aeb_gen_cfg_reserved_764.reserved(31 downto 24) &lt;= avalon_mm_rmap_i.writedata(31 downto 24);</t>
  </si>
  <si>
    <t xml:space="preserve">      rmap_registers_wr_o.aeb_gen_cfg_reserved_768.reserved(7 downto 0) &lt;= avalon_mm_rmap_i.writedata(7 downto 0);</t>
  </si>
  <si>
    <t xml:space="preserve">      rmap_registers_wr_o.aeb_gen_cfg_reserved_768.reserved(15 downto 8) &lt;= avalon_mm_rmap_i.writedata(15 downto 8);</t>
  </si>
  <si>
    <t xml:space="preserve">      rmap_registers_wr_o.aeb_gen_cfg_reserved_768.reserved(23 downto 16) &lt;= avalon_mm_rmap_i.writedata(23 downto 16);</t>
  </si>
  <si>
    <t xml:space="preserve">      rmap_registers_wr_o.aeb_gen_cfg_reserved_768.reserved(31 downto 24) &lt;= avalon_mm_rmap_i.writedata(31 downto 24);</t>
  </si>
  <si>
    <t xml:space="preserve">      rmap_registers_wr_o.aeb_gen_cfg_reserved_76c.reserved(7 downto 0) &lt;= avalon_mm_rmap_i.writedata(7 downto 0);</t>
  </si>
  <si>
    <t xml:space="preserve">      rmap_registers_wr_o.aeb_gen_cfg_reserved_76c.reserved(15 downto 8) &lt;= avalon_mm_rmap_i.writedata(15 downto 8);</t>
  </si>
  <si>
    <t xml:space="preserve">      rmap_registers_wr_o.aeb_gen_cfg_reserved_76c.reserved(23 downto 16) &lt;= avalon_mm_rmap_i.writedata(23 downto 16);</t>
  </si>
  <si>
    <t xml:space="preserve">      rmap_registers_wr_o.aeb_gen_cfg_reserved_76c.reserved(31 downto 24) &lt;= avalon_mm_rmap_i.writedata(31 downto 24);</t>
  </si>
  <si>
    <t xml:space="preserve">      rmap_registers_wr_o.aeb_gen_cfg_reserved_770.reserved(7 downto 0) &lt;= avalon_mm_rmap_i.writedata(7 downto 0);</t>
  </si>
  <si>
    <t xml:space="preserve">      rmap_registers_wr_o.aeb_gen_cfg_reserved_770.reserved(15 downto 8) &lt;= avalon_mm_rmap_i.writedata(15 downto 8);</t>
  </si>
  <si>
    <t xml:space="preserve">      rmap_registers_wr_o.aeb_gen_cfg_reserved_770.reserved(23 downto 16) &lt;= avalon_mm_rmap_i.writedata(23 downto 16);</t>
  </si>
  <si>
    <t xml:space="preserve">      rmap_registers_wr_o.aeb_gen_cfg_reserved_770.reserved(31 downto 24) &lt;= avalon_mm_rmap_i.writedata(31 downto 24);</t>
  </si>
  <si>
    <t xml:space="preserve">      rmap_registers_wr_o.aeb_gen_cfg_reserved_774.reserved(7 downto 0) &lt;= avalon_mm_rmap_i.writedata(7 downto 0);</t>
  </si>
  <si>
    <t xml:space="preserve">      rmap_registers_wr_o.aeb_gen_cfg_reserved_774.reserved(15 downto 8) &lt;= avalon_mm_rmap_i.writedata(15 downto 8);</t>
  </si>
  <si>
    <t xml:space="preserve">      rmap_registers_wr_o.aeb_gen_cfg_reserved_774.reserved(23 downto 16) &lt;= avalon_mm_rmap_i.writedata(23 downto 16);</t>
  </si>
  <si>
    <t xml:space="preserve">      rmap_registers_wr_o.aeb_gen_cfg_reserved_774.reserved(31 downto 24) &lt;= avalon_mm_rmap_i.writedata(31 downto 24);</t>
  </si>
  <si>
    <t xml:space="preserve">      rmap_registers_wr_o.aeb_gen_cfg_reserved_778.reserved(7 downto 0) &lt;= avalon_mm_rmap_i.writedata(7 downto 0);</t>
  </si>
  <si>
    <t xml:space="preserve">      rmap_registers_wr_o.aeb_gen_cfg_reserved_778.reserved(15 downto 8) &lt;= avalon_mm_rmap_i.writedata(15 downto 8);</t>
  </si>
  <si>
    <t xml:space="preserve">      rmap_registers_wr_o.aeb_gen_cfg_reserved_778.reserved(23 downto 16) &lt;= avalon_mm_rmap_i.writedata(23 downto 16);</t>
  </si>
  <si>
    <t xml:space="preserve">      rmap_registers_wr_o.aeb_gen_cfg_reserved_778.reserved(31 downto 24) &lt;= avalon_mm_rmap_i.writedata(31 downto 24);</t>
  </si>
  <si>
    <t xml:space="preserve">      rmap_registers_wr_o.aeb_gen_cfg_reserved_77c.reserved(7 downto 0) &lt;= avalon_mm_rmap_i.writedata(7 downto 0);</t>
  </si>
  <si>
    <t xml:space="preserve">      rmap_registers_wr_o.aeb_gen_cfg_reserved_77c.reserved(15 downto 8) &lt;= avalon_mm_rmap_i.writedata(15 downto 8);</t>
  </si>
  <si>
    <t xml:space="preserve">      rmap_registers_wr_o.aeb_gen_cfg_reserved_77c.reserved(23 downto 16) &lt;= avalon_mm_rmap_i.writedata(23 downto 16);</t>
  </si>
  <si>
    <t xml:space="preserve">      rmap_registers_wr_o.aeb_gen_cfg_reserved_77c.reserved(31 downto 24) &lt;= avalon_mm_rmap_i.writedata(31 downto 24);</t>
  </si>
  <si>
    <t xml:space="preserve">      rmap_registers_wr_o.aeb_gen_cfg_reserved_780.reserved(7 downto 0) &lt;= avalon_mm_rmap_i.writedata(7 downto 0);</t>
  </si>
  <si>
    <t xml:space="preserve">      rmap_registers_wr_o.aeb_gen_cfg_reserved_780.reserved(15 downto 8) &lt;= avalon_mm_rmap_i.writedata(15 downto 8);</t>
  </si>
  <si>
    <t xml:space="preserve">      rmap_registers_wr_o.aeb_gen_cfg_reserved_780.reserved(23 downto 16) &lt;= avalon_mm_rmap_i.writedata(23 downto 16);</t>
  </si>
  <si>
    <t xml:space="preserve">      rmap_registers_wr_o.aeb_gen_cfg_reserved_780.reserved(31 downto 24) &lt;= avalon_mm_rmap_i.writedata(31 downto 24);</t>
  </si>
  <si>
    <t xml:space="preserve">      rmap_registers_wr_o.aeb_gen_cfg_reserved_784.reserved(7 downto 0) &lt;= avalon_mm_rmap_i.writedata(7 downto 0);</t>
  </si>
  <si>
    <t xml:space="preserve">      rmap_registers_wr_o.aeb_gen_cfg_reserved_784.reserved(15 downto 8) &lt;= avalon_mm_rmap_i.writedata(15 downto 8);</t>
  </si>
  <si>
    <t xml:space="preserve">      rmap_registers_wr_o.aeb_gen_cfg_reserved_784.reserved(23 downto 16) &lt;= avalon_mm_rmap_i.writedata(23 downto 16);</t>
  </si>
  <si>
    <t xml:space="preserve">      rmap_registers_wr_o.aeb_gen_cfg_reserved_784.reserved(31 downto 24) &lt;= avalon_mm_rmap_i.writedata(31 downto 24);</t>
  </si>
  <si>
    <t xml:space="preserve">      rmap_registers_wr_o.aeb_gen_cfg_reserved_788.reserved(7 downto 0) &lt;= avalon_mm_rmap_i.writedata(7 downto 0);</t>
  </si>
  <si>
    <t xml:space="preserve">      rmap_registers_wr_o.aeb_gen_cfg_reserved_788.reserved(15 downto 8) &lt;= avalon_mm_rmap_i.writedata(15 downto 8);</t>
  </si>
  <si>
    <t xml:space="preserve">      rmap_registers_wr_o.aeb_gen_cfg_reserved_788.reserved(23 downto 16) &lt;= avalon_mm_rmap_i.writedata(23 downto 16);</t>
  </si>
  <si>
    <t xml:space="preserve">      rmap_registers_wr_o.aeb_gen_cfg_reserved_788.reserved(31 downto 24) &lt;= avalon_mm_rmap_i.writedata(31 downto 24);</t>
  </si>
  <si>
    <t xml:space="preserve">      rmap_registers_wr_o.aeb_gen_cfg_reserved_78c.reserved(7 downto 0) &lt;= avalon_mm_rmap_i.writedata(7 downto 0);</t>
  </si>
  <si>
    <t xml:space="preserve">      rmap_registers_wr_o.aeb_gen_cfg_reserved_78c.reserved(15 downto 8) &lt;= avalon_mm_rmap_i.writedata(15 downto 8);</t>
  </si>
  <si>
    <t xml:space="preserve">      rmap_registers_wr_o.aeb_gen_cfg_reserved_78c.reserved(23 downto 16) &lt;= avalon_mm_rmap_i.writedata(23 downto 16);</t>
  </si>
  <si>
    <t xml:space="preserve">      rmap_registers_wr_o.aeb_gen_cfg_reserved_78c.reserved(31 downto 24) &lt;= avalon_mm_rmap_i.writedata(31 downto 24);</t>
  </si>
  <si>
    <t xml:space="preserve">      rmap_registers_wr_o.aeb_gen_cfg_reserved_790.reserved(7 downto 0) &lt;= avalon_mm_rmap_i.writedata(7 downto 0);</t>
  </si>
  <si>
    <t xml:space="preserve">      rmap_registers_wr_o.aeb_gen_cfg_reserved_790.reserved(15 downto 8) &lt;= avalon_mm_rmap_i.writedata(15 downto 8);</t>
  </si>
  <si>
    <t xml:space="preserve">      rmap_registers_wr_o.aeb_gen_cfg_reserved_790.reserved(23 downto 16) &lt;= avalon_mm_rmap_i.writedata(23 downto 16);</t>
  </si>
  <si>
    <t xml:space="preserve">      rmap_registers_wr_o.aeb_gen_cfg_reserved_790.reserved(31 downto 24) &lt;= avalon_mm_rmap_i.writedata(31 downto 24);</t>
  </si>
  <si>
    <t xml:space="preserve">      rmap_registers_wr_o.aeb_gen_cfg_reserved_794.reserved(7 downto 0) &lt;= avalon_mm_rmap_i.writedata(7 downto 0);</t>
  </si>
  <si>
    <t xml:space="preserve">      rmap_registers_wr_o.aeb_gen_cfg_reserved_794.reserved(15 downto 8) &lt;= avalon_mm_rmap_i.writedata(15 downto 8);</t>
  </si>
  <si>
    <t xml:space="preserve">      rmap_registers_wr_o.aeb_gen_cfg_reserved_794.reserved(23 downto 16) &lt;= avalon_mm_rmap_i.writedata(23 downto 16);</t>
  </si>
  <si>
    <t xml:space="preserve">      rmap_registers_wr_o.aeb_gen_cfg_reserved_794.reserved(31 downto 24) &lt;= avalon_mm_rmap_i.writedata(31 downto 24);</t>
  </si>
  <si>
    <t xml:space="preserve">      rmap_registers_wr_o.aeb_gen_cfg_reserved_798.reserved(7 downto 0) &lt;= avalon_mm_rmap_i.writedata(7 downto 0);</t>
  </si>
  <si>
    <t xml:space="preserve">      rmap_registers_wr_o.aeb_gen_cfg_reserved_798.reserved(15 downto 8) &lt;= avalon_mm_rmap_i.writedata(15 downto 8);</t>
  </si>
  <si>
    <t xml:space="preserve">      rmap_registers_wr_o.aeb_gen_cfg_reserved_798.reserved(23 downto 16) &lt;= avalon_mm_rmap_i.writedata(23 downto 16);</t>
  </si>
  <si>
    <t xml:space="preserve">      rmap_registers_wr_o.aeb_gen_cfg_reserved_798.reserved(31 downto 24) &lt;= avalon_mm_rmap_i.writedata(31 downto 24);</t>
  </si>
  <si>
    <t xml:space="preserve">      rmap_registers_wr_o.aeb_gen_cfg_reserved_79c.reserved(7 downto 0) &lt;= avalon_mm_rmap_i.writedata(7 downto 0);</t>
  </si>
  <si>
    <t xml:space="preserve">      rmap_registers_wr_o.aeb_gen_cfg_reserved_79c.reserved(15 downto 8) &lt;= avalon_mm_rmap_i.writedata(15 downto 8);</t>
  </si>
  <si>
    <t xml:space="preserve">      rmap_registers_wr_o.aeb_gen_cfg_reserved_79c.reserved(23 downto 16) &lt;= avalon_mm_rmap_i.writedata(23 downto 16);</t>
  </si>
  <si>
    <t xml:space="preserve">      rmap_registers_wr_o.aeb_gen_cfg_reserved_79c.reserved(31 downto 24) &lt;= avalon_mm_rmap_i.writedata(31 downto 24);</t>
  </si>
  <si>
    <t xml:space="preserve">      rmap_registers_wr_o.aeb_gen_cfg_reserved_7a0.reserved(7 downto 0) &lt;= avalon_mm_rmap_i.writedata(7 downto 0);</t>
  </si>
  <si>
    <t xml:space="preserve">      rmap_registers_wr_o.aeb_gen_cfg_reserved_7a0.reserved(15 downto 8) &lt;= avalon_mm_rmap_i.writedata(15 downto 8);</t>
  </si>
  <si>
    <t xml:space="preserve">      rmap_registers_wr_o.aeb_gen_cfg_reserved_7a0.reserved(23 downto 16) &lt;= avalon_mm_rmap_i.writedata(23 downto 16);</t>
  </si>
  <si>
    <t xml:space="preserve">      rmap_registers_wr_o.aeb_gen_cfg_reserved_7a0.reserved(31 downto 24) &lt;= avalon_mm_rmap_i.writedata(31 downto 24);</t>
  </si>
  <si>
    <t xml:space="preserve">      rmap_registers_wr_o.aeb_gen_cfg_reserved_7a4.reserved(7 downto 0) &lt;= avalon_mm_rmap_i.writedata(7 downto 0);</t>
  </si>
  <si>
    <t xml:space="preserve">      rmap_registers_wr_o.aeb_gen_cfg_reserved_7a4.reserved(15 downto 8) &lt;= avalon_mm_rmap_i.writedata(15 downto 8);</t>
  </si>
  <si>
    <t xml:space="preserve">      rmap_registers_wr_o.aeb_gen_cfg_reserved_7a4.reserved(23 downto 16) &lt;= avalon_mm_rmap_i.writedata(23 downto 16);</t>
  </si>
  <si>
    <t xml:space="preserve">      rmap_registers_wr_o.aeb_gen_cfg_reserved_7a4.reserved(31 downto 24) &lt;= avalon_mm_rmap_i.writedata(31 downto 24);</t>
  </si>
  <si>
    <t xml:space="preserve">      rmap_registers_wr_o.aeb_gen_cfg_reserved_7a8.reserved(7 downto 0) &lt;= avalon_mm_rmap_i.writedata(7 downto 0);</t>
  </si>
  <si>
    <t xml:space="preserve">      rmap_registers_wr_o.aeb_gen_cfg_reserved_7a8.reserved(15 downto 8) &lt;= avalon_mm_rmap_i.writedata(15 downto 8);</t>
  </si>
  <si>
    <t xml:space="preserve">      rmap_registers_wr_o.aeb_gen_cfg_reserved_7a8.reserved(23 downto 16) &lt;= avalon_mm_rmap_i.writedata(23 downto 16);</t>
  </si>
  <si>
    <t xml:space="preserve">      rmap_registers_wr_o.aeb_gen_cfg_reserved_7a8.reserved(31 downto 24) &lt;= avalon_mm_rmap_i.writedata(31 downto 24);</t>
  </si>
  <si>
    <t xml:space="preserve">      rmap_registers_wr_o.aeb_gen_cfg_reserved_7ac.reserved(7 downto 0) &lt;= avalon_mm_rmap_i.writedata(7 downto 0);</t>
  </si>
  <si>
    <t xml:space="preserve">      rmap_registers_wr_o.aeb_gen_cfg_reserved_7ac.reserved(15 downto 8) &lt;= avalon_mm_rmap_i.writedata(15 downto 8);</t>
  </si>
  <si>
    <t xml:space="preserve">      rmap_registers_wr_o.aeb_gen_cfg_reserved_7ac.reserved(23 downto 16) &lt;= avalon_mm_rmap_i.writedata(23 downto 16);</t>
  </si>
  <si>
    <t xml:space="preserve">      rmap_registers_wr_o.aeb_gen_cfg_reserved_7ac.reserved(31 downto 24) &lt;= avalon_mm_rmap_i.writedata(31 downto 24);</t>
  </si>
  <si>
    <t xml:space="preserve">      rmap_registers_wr_o.aeb_gen_cfg_reserved_7b0.reserved(7 downto 0) &lt;= avalon_mm_rmap_i.writedata(7 downto 0);</t>
  </si>
  <si>
    <t xml:space="preserve">      rmap_registers_wr_o.aeb_gen_cfg_reserved_7b0.reserved(15 downto 8) &lt;= avalon_mm_rmap_i.writedata(15 downto 8);</t>
  </si>
  <si>
    <t xml:space="preserve">      rmap_registers_wr_o.aeb_gen_cfg_reserved_7b0.reserved(23 downto 16) &lt;= avalon_mm_rmap_i.writedata(23 downto 16);</t>
  </si>
  <si>
    <t xml:space="preserve">      rmap_registers_wr_o.aeb_gen_cfg_reserved_7b0.reserved(31 downto 24) &lt;= avalon_mm_rmap_i.writedata(31 downto 24);</t>
  </si>
  <si>
    <t xml:space="preserve">      rmap_registers_wr_o.aeb_gen_cfg_reserved_7b4.reserved(7 downto 0) &lt;= avalon_mm_rmap_i.writedata(7 downto 0);</t>
  </si>
  <si>
    <t xml:space="preserve">      rmap_registers_wr_o.aeb_gen_cfg_reserved_7b4.reserved(15 downto 8) &lt;= avalon_mm_rmap_i.writedata(15 downto 8);</t>
  </si>
  <si>
    <t xml:space="preserve">      rmap_registers_wr_o.aeb_gen_cfg_reserved_7b4.reserved(23 downto 16) &lt;= avalon_mm_rmap_i.writedata(23 downto 16);</t>
  </si>
  <si>
    <t xml:space="preserve">      rmap_registers_wr_o.aeb_gen_cfg_reserved_7b4.reserved(31 downto 24) &lt;= avalon_mm_rmap_i.writedata(31 downto 24);</t>
  </si>
  <si>
    <t xml:space="preserve">      rmap_registers_wr_o.aeb_gen_cfg_reserved_7b8.reserved(7 downto 0) &lt;= avalon_mm_rmap_i.writedata(7 downto 0);</t>
  </si>
  <si>
    <t xml:space="preserve">      rmap_registers_wr_o.aeb_gen_cfg_reserved_7b8.reserved(15 downto 8) &lt;= avalon_mm_rmap_i.writedata(15 downto 8);</t>
  </si>
  <si>
    <t xml:space="preserve">      rmap_registers_wr_o.aeb_gen_cfg_reserved_7b8.reserved(23 downto 16) &lt;= avalon_mm_rmap_i.writedata(23 downto 16);</t>
  </si>
  <si>
    <t xml:space="preserve">      rmap_registers_wr_o.aeb_gen_cfg_reserved_7b8.reserved(31 downto 24) &lt;= avalon_mm_rmap_i.writedata(31 downto 24);</t>
  </si>
  <si>
    <t xml:space="preserve">      rmap_registers_wr_o.aeb_gen_cfg_reserved_7bc.reserved(7 downto 0) &lt;= avalon_mm_rmap_i.writedata(7 downto 0);</t>
  </si>
  <si>
    <t xml:space="preserve">      rmap_registers_wr_o.aeb_gen_cfg_reserved_7bc.reserved(15 downto 8) &lt;= avalon_mm_rmap_i.writedata(15 downto 8);</t>
  </si>
  <si>
    <t xml:space="preserve">      rmap_registers_wr_o.aeb_gen_cfg_reserved_7bc.reserved(23 downto 16) &lt;= avalon_mm_rmap_i.writedata(23 downto 16);</t>
  </si>
  <si>
    <t xml:space="preserve">      rmap_registers_wr_o.aeb_gen_cfg_reserved_7bc.reserved(31 downto 24) &lt;= avalon_mm_rmap_i.writedata(31 downto 24);</t>
  </si>
  <si>
    <t xml:space="preserve">      rmap_registers_wr_o.aeb_gen_cfg_reserved_7c0.reserved(7 downto 0) &lt;= avalon_mm_rmap_i.writedata(7 downto 0);</t>
  </si>
  <si>
    <t xml:space="preserve">      rmap_registers_wr_o.aeb_gen_cfg_reserved_7c0.reserved(15 downto 8) &lt;= avalon_mm_rmap_i.writedata(15 downto 8);</t>
  </si>
  <si>
    <t xml:space="preserve">      rmap_registers_wr_o.aeb_gen_cfg_reserved_7c0.reserved(23 downto 16) &lt;= avalon_mm_rmap_i.writedata(23 downto 16);</t>
  </si>
  <si>
    <t xml:space="preserve">      rmap_registers_wr_o.aeb_gen_cfg_reserved_7c0.reserved(31 downto 24) &lt;= avalon_mm_rmap_i.writedata(31 downto 24);</t>
  </si>
  <si>
    <t xml:space="preserve">      rmap_registers_wr_o.aeb_gen_cfg_reserved_7c4.reserved(7 downto 0) &lt;= avalon_mm_rmap_i.writedata(7 downto 0);</t>
  </si>
  <si>
    <t xml:space="preserve">      rmap_registers_wr_o.aeb_gen_cfg_reserved_7c4.reserved(15 downto 8) &lt;= avalon_mm_rmap_i.writedata(15 downto 8);</t>
  </si>
  <si>
    <t xml:space="preserve">      rmap_registers_wr_o.aeb_gen_cfg_reserved_7c4.reserved(23 downto 16) &lt;= avalon_mm_rmap_i.writedata(23 downto 16);</t>
  </si>
  <si>
    <t xml:space="preserve">      rmap_registers_wr_o.aeb_gen_cfg_reserved_7c4.reserved(31 downto 24) &lt;= avalon_mm_rmap_i.writedata(31 downto 24);</t>
  </si>
  <si>
    <t xml:space="preserve">      rmap_registers_wr_o.aeb_gen_cfg_reserved_7c8.reserved(7 downto 0) &lt;= avalon_mm_rmap_i.writedata(7 downto 0);</t>
  </si>
  <si>
    <t xml:space="preserve">      rmap_registers_wr_o.aeb_gen_cfg_reserved_7c8.reserved(15 downto 8) &lt;= avalon_mm_rmap_i.writedata(15 downto 8);</t>
  </si>
  <si>
    <t xml:space="preserve">      rmap_registers_wr_o.aeb_gen_cfg_reserved_7c8.reserved(23 downto 16) &lt;= avalon_mm_rmap_i.writedata(23 downto 16);</t>
  </si>
  <si>
    <t xml:space="preserve">      rmap_registers_wr_o.aeb_gen_cfg_reserved_7c8.reserved(31 downto 24) &lt;= avalon_mm_rmap_i.writedata(31 downto 24);</t>
  </si>
  <si>
    <t xml:space="preserve">      rmap_registers_wr_o.aeb_gen_cfg_reserved_7cc.reserved(7 downto 0) &lt;= avalon_mm_rmap_i.writedata(7 downto 0);</t>
  </si>
  <si>
    <t xml:space="preserve">      rmap_registers_wr_o.aeb_gen_cfg_reserved_7cc.reserved(15 downto 8) &lt;= avalon_mm_rmap_i.writedata(15 downto 8);</t>
  </si>
  <si>
    <t xml:space="preserve">      rmap_registers_wr_o.aeb_gen_cfg_reserved_7cc.reserved(23 downto 16) &lt;= avalon_mm_rmap_i.writedata(23 downto 16);</t>
  </si>
  <si>
    <t xml:space="preserve">      rmap_registers_wr_o.aeb_gen_cfg_reserved_7cc.reserved(31 downto 24) &lt;= avalon_mm_rmap_i.writedata(31 downto 24);</t>
  </si>
  <si>
    <t xml:space="preserve">      rmap_registers_wr_o.aeb_gen_cfg_reserved_7d0.reserved(7 downto 0) &lt;= avalon_mm_rmap_i.writedata(7 downto 0);</t>
  </si>
  <si>
    <t xml:space="preserve">      rmap_registers_wr_o.aeb_gen_cfg_reserved_7d0.reserved(15 downto 8) &lt;= avalon_mm_rmap_i.writedata(15 downto 8);</t>
  </si>
  <si>
    <t xml:space="preserve">      rmap_registers_wr_o.aeb_gen_cfg_reserved_7d0.reserved(23 downto 16) &lt;= avalon_mm_rmap_i.writedata(23 downto 16);</t>
  </si>
  <si>
    <t xml:space="preserve">      rmap_registers_wr_o.aeb_gen_cfg_reserved_7d0.reserved(31 downto 24) &lt;= avalon_mm_rmap_i.writedata(31 downto 24);</t>
  </si>
  <si>
    <t xml:space="preserve">      rmap_registers_wr_o.aeb_gen_cfg_reserved_7d4.reserved(7 downto 0) &lt;= avalon_mm_rmap_i.writedata(7 downto 0);</t>
  </si>
  <si>
    <t xml:space="preserve">      rmap_registers_wr_o.aeb_gen_cfg_reserved_7d4.reserved(15 downto 8) &lt;= avalon_mm_rmap_i.writedata(15 downto 8);</t>
  </si>
  <si>
    <t xml:space="preserve">      rmap_registers_wr_o.aeb_gen_cfg_reserved_7d4.reserved(23 downto 16) &lt;= avalon_mm_rmap_i.writedata(23 downto 16);</t>
  </si>
  <si>
    <t xml:space="preserve">      rmap_registers_wr_o.aeb_gen_cfg_reserved_7d4.reserved(31 downto 24) &lt;= avalon_mm_rmap_i.writedata(31 downto 24);</t>
  </si>
  <si>
    <t xml:space="preserve">      rmap_registers_wr_o.aeb_gen_cfg_reserved_7d8.reserved(7 downto 0) &lt;= avalon_mm_rmap_i.writedata(7 downto 0);</t>
  </si>
  <si>
    <t xml:space="preserve">      rmap_registers_wr_o.aeb_gen_cfg_reserved_7d8.reserved(15 downto 8) &lt;= avalon_mm_rmap_i.writedata(15 downto 8);</t>
  </si>
  <si>
    <t xml:space="preserve">      rmap_registers_wr_o.aeb_gen_cfg_reserved_7d8.reserved(23 downto 16) &lt;= avalon_mm_rmap_i.writedata(23 downto 16);</t>
  </si>
  <si>
    <t xml:space="preserve">      rmap_registers_wr_o.aeb_gen_cfg_reserved_7d8.reserved(31 downto 24) &lt;= avalon_mm_rmap_i.writedata(31 downto 24);</t>
  </si>
  <si>
    <t xml:space="preserve">      rmap_registers_wr_o.aeb_gen_cfg_reserved_7dc.reserved(7 downto 0) &lt;= avalon_mm_rmap_i.writedata(7 downto 0);</t>
  </si>
  <si>
    <t xml:space="preserve">      rmap_registers_wr_o.aeb_gen_cfg_reserved_7dc.reserved(15 downto 8) &lt;= avalon_mm_rmap_i.writedata(15 downto 8);</t>
  </si>
  <si>
    <t xml:space="preserve">      rmap_registers_wr_o.aeb_gen_cfg_reserved_7dc.reserved(23 downto 16) &lt;= avalon_mm_rmap_i.writedata(23 downto 16);</t>
  </si>
  <si>
    <t xml:space="preserve">      rmap_registers_wr_o.aeb_gen_cfg_reserved_7dc.reserved(31 downto 24) &lt;= avalon_mm_rmap_i.writedata(31 downto 24);</t>
  </si>
  <si>
    <t xml:space="preserve">      rmap_registers_wr_o.aeb_gen_cfg_reserved_7e0.reserved(7 downto 0) &lt;= avalon_mm_rmap_i.writedata(7 downto 0);</t>
  </si>
  <si>
    <t xml:space="preserve">      rmap_registers_wr_o.aeb_gen_cfg_reserved_7e0.reserved(15 downto 8) &lt;= avalon_mm_rmap_i.writedata(15 downto 8);</t>
  </si>
  <si>
    <t xml:space="preserve">      rmap_registers_wr_o.aeb_gen_cfg_reserved_7e0.reserved(23 downto 16) &lt;= avalon_mm_rmap_i.writedata(23 downto 16);</t>
  </si>
  <si>
    <t xml:space="preserve">      rmap_registers_wr_o.aeb_gen_cfg_reserved_7e0.reserved(31 downto 24) &lt;= avalon_mm_rmap_i.writedata(31 downto 24);</t>
  </si>
  <si>
    <t xml:space="preserve">      rmap_registers_wr_o.aeb_gen_cfg_reserved_7e4.reserved(7 downto 0) &lt;= avalon_mm_rmap_i.writedata(7 downto 0);</t>
  </si>
  <si>
    <t xml:space="preserve">      rmap_registers_wr_o.aeb_gen_cfg_reserved_7e4.reserved(15 downto 8) &lt;= avalon_mm_rmap_i.writedata(15 downto 8);</t>
  </si>
  <si>
    <t xml:space="preserve">      rmap_registers_wr_o.aeb_gen_cfg_reserved_7e4.reserved(23 downto 16) &lt;= avalon_mm_rmap_i.writedata(23 downto 16);</t>
  </si>
  <si>
    <t xml:space="preserve">      rmap_registers_wr_o.aeb_gen_cfg_reserved_7e4.reserved(31 downto 24) &lt;= avalon_mm_rmap_i.writedata(31 downto 24);</t>
  </si>
  <si>
    <t xml:space="preserve">      rmap_registers_wr_o.aeb_gen_cfg_reserved_7e8.reserved(7 downto 0) &lt;= avalon_mm_rmap_i.writedata(7 downto 0);</t>
  </si>
  <si>
    <t xml:space="preserve">      rmap_registers_wr_o.aeb_gen_cfg_reserved_7e8.reserved(15 downto 8) &lt;= avalon_mm_rmap_i.writedata(15 downto 8);</t>
  </si>
  <si>
    <t xml:space="preserve">      rmap_registers_wr_o.aeb_gen_cfg_reserved_7e8.reserved(23 downto 16) &lt;= avalon_mm_rmap_i.writedata(23 downto 16);</t>
  </si>
  <si>
    <t xml:space="preserve">      rmap_registers_wr_o.aeb_gen_cfg_reserved_7e8.reserved(31 downto 24) &lt;= avalon_mm_rmap_i.writedata(31 downto 24);</t>
  </si>
  <si>
    <t xml:space="preserve">      rmap_registers_wr_o.aeb_gen_cfg_reserved_7ec.reserved(7 downto 0) &lt;= avalon_mm_rmap_i.writedata(7 downto 0);</t>
  </si>
  <si>
    <t xml:space="preserve">      rmap_registers_wr_o.aeb_gen_cfg_reserved_7ec.reserved(15 downto 8) &lt;= avalon_mm_rmap_i.writedata(15 downto 8);</t>
  </si>
  <si>
    <t xml:space="preserve">      rmap_registers_wr_o.aeb_gen_cfg_reserved_7ec.reserved(23 downto 16) &lt;= avalon_mm_rmap_i.writedata(23 downto 16);</t>
  </si>
  <si>
    <t xml:space="preserve">      rmap_registers_wr_o.aeb_gen_cfg_reserved_7ec.reserved(31 downto 24) &lt;= avalon_mm_rmap_i.writedata(31 downto 24);</t>
  </si>
  <si>
    <t xml:space="preserve">      rmap_registers_wr_o.aeb_gen_cfg_reserved_7f0.reserved(7 downto 0) &lt;= avalon_mm_rmap_i.writedata(7 downto 0);</t>
  </si>
  <si>
    <t xml:space="preserve">      rmap_registers_wr_o.aeb_gen_cfg_reserved_7f0.reserved(15 downto 8) &lt;= avalon_mm_rmap_i.writedata(15 downto 8);</t>
  </si>
  <si>
    <t xml:space="preserve">      rmap_registers_wr_o.aeb_gen_cfg_reserved_7f0.reserved(23 downto 16) &lt;= avalon_mm_rmap_i.writedata(23 downto 16);</t>
  </si>
  <si>
    <t xml:space="preserve">      rmap_registers_wr_o.aeb_gen_cfg_reserved_7f0.reserved(31 downto 24) &lt;= avalon_mm_rmap_i.writedata(31 downto 24);</t>
  </si>
  <si>
    <t xml:space="preserve">      rmap_registers_wr_o.aeb_gen_cfg_reserved_7f4.reserved(7 downto 0) &lt;= avalon_mm_rmap_i.writedata(7 downto 0);</t>
  </si>
  <si>
    <t xml:space="preserve">      rmap_registers_wr_o.aeb_gen_cfg_reserved_7f4.reserved(15 downto 8) &lt;= avalon_mm_rmap_i.writedata(15 downto 8);</t>
  </si>
  <si>
    <t xml:space="preserve">      rmap_registers_wr_o.aeb_gen_cfg_reserved_7f4.reserved(23 downto 16) &lt;= avalon_mm_rmap_i.writedata(23 downto 16);</t>
  </si>
  <si>
    <t xml:space="preserve">      rmap_registers_wr_o.aeb_gen_cfg_reserved_7f4.reserved(31 downto 24) &lt;= avalon_mm_rmap_i.writedata(31 downto 24);</t>
  </si>
  <si>
    <t xml:space="preserve">      rmap_registers_wr_o.aeb_gen_cfg_reserved_7f8.reserved(7 downto 0) &lt;= avalon_mm_rmap_i.writedata(7 downto 0);</t>
  </si>
  <si>
    <t xml:space="preserve">      rmap_registers_wr_o.aeb_gen_cfg_reserved_7f8.reserved(15 downto 8) &lt;= avalon_mm_rmap_i.writedata(15 downto 8);</t>
  </si>
  <si>
    <t xml:space="preserve">      rmap_registers_wr_o.aeb_gen_cfg_reserved_7f8.reserved(23 downto 16) &lt;= avalon_mm_rmap_i.writedata(23 downto 16);</t>
  </si>
  <si>
    <t xml:space="preserve">      rmap_registers_wr_o.aeb_gen_cfg_reserved_7f8.reserved(31 downto 24) &lt;= avalon_mm_rmap_i.writedata(31 downto 24);</t>
  </si>
  <si>
    <t xml:space="preserve">      rmap_registers_wr_o.aeb_gen_cfg_reserved_7fc.reserved(7 downto 0) &lt;= avalon_mm_rmap_i.writedata(7 downto 0);</t>
  </si>
  <si>
    <t xml:space="preserve">      rmap_registers_wr_o.aeb_gen_cfg_reserved_7fc.reserved(15 downto 8) &lt;= avalon_mm_rmap_i.writedata(15 downto 8);</t>
  </si>
  <si>
    <t xml:space="preserve">      rmap_registers_wr_o.aeb_gen_cfg_reserved_7fc.reserved(23 downto 16) &lt;= avalon_mm_rmap_i.writedata(23 downto 16);</t>
  </si>
  <si>
    <t xml:space="preserve">      rmap_registers_wr_o.aeb_gen_cfg_reserved_7fc.reserved(31 downto 24) &lt;= avalon_mm_rmap_i.writedata(31 downto 24);</t>
  </si>
  <si>
    <t xml:space="preserve">      rmap_registers_wr_o.aeb_gen_cfg_reserved_800.reserved(7 downto 0) &lt;= avalon_mm_rmap_i.writedata(7 downto 0);</t>
  </si>
  <si>
    <t xml:space="preserve">      rmap_registers_wr_o.aeb_gen_cfg_reserved_800.reserved(15 downto 8) &lt;= avalon_mm_rmap_i.writedata(15 downto 8);</t>
  </si>
  <si>
    <t xml:space="preserve">      rmap_registers_wr_o.aeb_gen_cfg_reserved_800.reserved(23 downto 16) &lt;= avalon_mm_rmap_i.writedata(23 downto 16);</t>
  </si>
  <si>
    <t xml:space="preserve">      rmap_registers_wr_o.aeb_gen_cfg_reserved_800.reserved(31 downto 24) &lt;= avalon_mm_rmap_i.writedata(31 downto 24);</t>
  </si>
  <si>
    <t xml:space="preserve">      rmap_registers_wr_o.aeb_gen_cfg_reserved_804.reserved(7 downto 0) &lt;= avalon_mm_rmap_i.writedata(7 downto 0);</t>
  </si>
  <si>
    <t xml:space="preserve">      rmap_registers_wr_o.aeb_gen_cfg_reserved_804.reserved(15 downto 8) &lt;= avalon_mm_rmap_i.writedata(15 downto 8);</t>
  </si>
  <si>
    <t xml:space="preserve">      rmap_registers_wr_o.aeb_gen_cfg_reserved_804.reserved(23 downto 16) &lt;= avalon_mm_rmap_i.writedata(23 downto 16);</t>
  </si>
  <si>
    <t xml:space="preserve">      rmap_registers_wr_o.aeb_gen_cfg_reserved_804.reserved(31 downto 24) &lt;= avalon_mm_rmap_i.writedata(31 downto 24);</t>
  </si>
  <si>
    <t xml:space="preserve">      rmap_registers_wr_o.aeb_gen_cfg_reserved_808.reserved(7 downto 0) &lt;= avalon_mm_rmap_i.writedata(7 downto 0);</t>
  </si>
  <si>
    <t xml:space="preserve">      rmap_registers_wr_o.aeb_gen_cfg_reserved_808.reserved(15 downto 8) &lt;= avalon_mm_rmap_i.writedata(15 downto 8);</t>
  </si>
  <si>
    <t xml:space="preserve">      rmap_registers_wr_o.aeb_gen_cfg_reserved_808.reserved(23 downto 16) &lt;= avalon_mm_rmap_i.writedata(23 downto 16);</t>
  </si>
  <si>
    <t xml:space="preserve">      rmap_registers_wr_o.aeb_gen_cfg_reserved_808.reserved(31 downto 24) &lt;= avalon_mm_rmap_i.writedata(31 downto 24);</t>
  </si>
  <si>
    <t xml:space="preserve">      rmap_registers_wr_o.aeb_gen_cfg_reserved_80c.reserved(7 downto 0) &lt;= avalon_mm_rmap_i.writedata(7 downto 0);</t>
  </si>
  <si>
    <t xml:space="preserve">      rmap_registers_wr_o.aeb_gen_cfg_reserved_80c.reserved(15 downto 8) &lt;= avalon_mm_rmap_i.writedata(15 downto 8);</t>
  </si>
  <si>
    <t xml:space="preserve">      rmap_registers_wr_o.aeb_gen_cfg_reserved_80c.reserved(23 downto 16) &lt;= avalon_mm_rmap_i.writedata(23 downto 16);</t>
  </si>
  <si>
    <t xml:space="preserve">      rmap_registers_wr_o.aeb_gen_cfg_reserved_80c.reserved(31 downto 24) &lt;= avalon_mm_rmap_i.writedata(31 downto 24);</t>
  </si>
  <si>
    <t xml:space="preserve">      rmap_registers_wr_o.aeb_gen_cfg_reserved_810.reserved(7 downto 0) &lt;= avalon_mm_rmap_i.writedata(7 downto 0);</t>
  </si>
  <si>
    <t xml:space="preserve">      rmap_registers_wr_o.aeb_gen_cfg_reserved_810.reserved(15 downto 8) &lt;= avalon_mm_rmap_i.writedata(15 downto 8);</t>
  </si>
  <si>
    <t xml:space="preserve">      rmap_registers_wr_o.aeb_gen_cfg_reserved_810.reserved(23 downto 16) &lt;= avalon_mm_rmap_i.writedata(23 downto 16);</t>
  </si>
  <si>
    <t xml:space="preserve">      rmap_registers_wr_o.aeb_gen_cfg_reserved_810.reserved(31 downto 24) &lt;= avalon_mm_rmap_i.writedata(31 downto 24);</t>
  </si>
  <si>
    <t xml:space="preserve">      rmap_registers_wr_o.aeb_gen_cfg_reserved_814.reserved(7 downto 0) &lt;= avalon_mm_rmap_i.writedata(7 downto 0);</t>
  </si>
  <si>
    <t xml:space="preserve">      rmap_registers_wr_o.aeb_gen_cfg_reserved_814.reserved(15 downto 8) &lt;= avalon_mm_rmap_i.writedata(15 downto 8);</t>
  </si>
  <si>
    <t xml:space="preserve">      rmap_registers_wr_o.aeb_gen_cfg_reserved_814.reserved(23 downto 16) &lt;= avalon_mm_rmap_i.writedata(23 downto 16);</t>
  </si>
  <si>
    <t xml:space="preserve">      rmap_registers_wr_o.aeb_gen_cfg_reserved_814.reserved(31 downto 24) &lt;= avalon_mm_rmap_i.writedata(31 downto 24);</t>
  </si>
  <si>
    <t xml:space="preserve">      rmap_registers_wr_o.aeb_gen_cfg_reserved_818.reserved(7 downto 0) &lt;= avalon_mm_rmap_i.writedata(7 downto 0);</t>
  </si>
  <si>
    <t xml:space="preserve">      rmap_registers_wr_o.aeb_gen_cfg_reserved_818.reserved(15 downto 8) &lt;= avalon_mm_rmap_i.writedata(15 downto 8);</t>
  </si>
  <si>
    <t xml:space="preserve">      rmap_registers_wr_o.aeb_gen_cfg_reserved_818.reserved(23 downto 16) &lt;= avalon_mm_rmap_i.writedata(23 downto 16);</t>
  </si>
  <si>
    <t xml:space="preserve">      rmap_registers_wr_o.aeb_gen_cfg_reserved_818.reserved(31 downto 24) &lt;= avalon_mm_rmap_i.writedata(31 downto 24);</t>
  </si>
  <si>
    <t xml:space="preserve">      rmap_registers_wr_o.aeb_gen_cfg_reserved_81c.reserved(7 downto 0) &lt;= avalon_mm_rmap_i.writedata(7 downto 0);</t>
  </si>
  <si>
    <t xml:space="preserve">      rmap_registers_wr_o.aeb_gen_cfg_reserved_81c.reserved(15 downto 8) &lt;= avalon_mm_rmap_i.writedata(15 downto 8);</t>
  </si>
  <si>
    <t xml:space="preserve">      rmap_registers_wr_o.aeb_gen_cfg_reserved_81c.reserved(23 downto 16) &lt;= avalon_mm_rmap_i.writedata(23 downto 16);</t>
  </si>
  <si>
    <t xml:space="preserve">      rmap_registers_wr_o.aeb_gen_cfg_reserved_81c.reserved(31 downto 24) &lt;= avalon_mm_rmap_i.writedata(31 downto 24);</t>
  </si>
  <si>
    <t xml:space="preserve">      rmap_registers_wr_o.aeb_gen_cfg_reserved_820.reserved(7 downto 0) &lt;= avalon_mm_rmap_i.writedata(7 downto 0);</t>
  </si>
  <si>
    <t xml:space="preserve">      rmap_registers_wr_o.aeb_gen_cfg_reserved_820.reserved(15 downto 8) &lt;= avalon_mm_rmap_i.writedata(15 downto 8);</t>
  </si>
  <si>
    <t xml:space="preserve">      rmap_registers_wr_o.aeb_gen_cfg_reserved_820.reserved(23 downto 16) &lt;= avalon_mm_rmap_i.writedata(23 downto 16);</t>
  </si>
  <si>
    <t xml:space="preserve">      rmap_registers_wr_o.aeb_gen_cfg_reserved_820.reserved(31 downto 24) &lt;= avalon_mm_rmap_i.writedata(31 downto 24);</t>
  </si>
  <si>
    <t xml:space="preserve">      rmap_registers_wr_o.aeb_gen_cfg_reserved_824.reserved(7 downto 0) &lt;= avalon_mm_rmap_i.writedata(7 downto 0);</t>
  </si>
  <si>
    <t xml:space="preserve">      rmap_registers_wr_o.aeb_gen_cfg_reserved_824.reserved(15 downto 8) &lt;= avalon_mm_rmap_i.writedata(15 downto 8);</t>
  </si>
  <si>
    <t xml:space="preserve">      rmap_registers_wr_o.aeb_gen_cfg_reserved_824.reserved(23 downto 16) &lt;= avalon_mm_rmap_i.writedata(23 downto 16);</t>
  </si>
  <si>
    <t xml:space="preserve">      rmap_registers_wr_o.aeb_gen_cfg_reserved_824.reserved(31 downto 24) &lt;= avalon_mm_rmap_i.writedata(31 downto 24);</t>
  </si>
  <si>
    <t xml:space="preserve">      rmap_registers_wr_o.aeb_gen_cfg_reserved_828.reserved(7 downto 0) &lt;= avalon_mm_rmap_i.writedata(7 downto 0);</t>
  </si>
  <si>
    <t xml:space="preserve">      rmap_registers_wr_o.aeb_gen_cfg_reserved_828.reserved(15 downto 8) &lt;= avalon_mm_rmap_i.writedata(15 downto 8);</t>
  </si>
  <si>
    <t xml:space="preserve">      rmap_registers_wr_o.aeb_gen_cfg_reserved_828.reserved(23 downto 16) &lt;= avalon_mm_rmap_i.writedata(23 downto 16);</t>
  </si>
  <si>
    <t xml:space="preserve">      rmap_registers_wr_o.aeb_gen_cfg_reserved_828.reserved(31 downto 24) &lt;= avalon_mm_rmap_i.writedata(31 downto 24);</t>
  </si>
  <si>
    <t xml:space="preserve">      rmap_registers_wr_o.aeb_gen_cfg_reserved_82c.reserved(7 downto 0) &lt;= avalon_mm_rmap_i.writedata(7 downto 0);</t>
  </si>
  <si>
    <t xml:space="preserve">      rmap_registers_wr_o.aeb_gen_cfg_reserved_82c.reserved(15 downto 8) &lt;= avalon_mm_rmap_i.writedata(15 downto 8);</t>
  </si>
  <si>
    <t xml:space="preserve">      rmap_registers_wr_o.aeb_gen_cfg_reserved_82c.reserved(23 downto 16) &lt;= avalon_mm_rmap_i.writedata(23 downto 16);</t>
  </si>
  <si>
    <t xml:space="preserve">      rmap_registers_wr_o.aeb_gen_cfg_reserved_82c.reserved(31 downto 24) &lt;= avalon_mm_rmap_i.writedata(31 downto 24);</t>
  </si>
  <si>
    <t xml:space="preserve">      rmap_registers_wr_o.aeb_gen_cfg_reserved_830.reserved(7 downto 0) &lt;= avalon_mm_rmap_i.writedata(7 downto 0);</t>
  </si>
  <si>
    <t xml:space="preserve">      rmap_registers_wr_o.aeb_gen_cfg_reserved_830.reserved(15 downto 8) &lt;= avalon_mm_rmap_i.writedata(15 downto 8);</t>
  </si>
  <si>
    <t xml:space="preserve">      rmap_registers_wr_o.aeb_gen_cfg_reserved_830.reserved(23 downto 16) &lt;= avalon_mm_rmap_i.writedata(23 downto 16);</t>
  </si>
  <si>
    <t xml:space="preserve">      rmap_registers_wr_o.aeb_gen_cfg_reserved_830.reserved(31 downto 24) &lt;= avalon_mm_rmap_i.writedata(31 downto 24);</t>
  </si>
  <si>
    <t xml:space="preserve">      rmap_registers_wr_o.aeb_gen_cfg_reserved_834.reserved(7 downto 0) &lt;= avalon_mm_rmap_i.writedata(7 downto 0);</t>
  </si>
  <si>
    <t xml:space="preserve">      rmap_registers_wr_o.aeb_gen_cfg_reserved_834.reserved(15 downto 8) &lt;= avalon_mm_rmap_i.writedata(15 downto 8);</t>
  </si>
  <si>
    <t xml:space="preserve">      rmap_registers_wr_o.aeb_gen_cfg_reserved_834.reserved(23 downto 16) &lt;= avalon_mm_rmap_i.writedata(23 downto 16);</t>
  </si>
  <si>
    <t xml:space="preserve">      rmap_registers_wr_o.aeb_gen_cfg_reserved_834.reserved(31 downto 24) &lt;= avalon_mm_rmap_i.writedata(31 downto 24);</t>
  </si>
  <si>
    <t xml:space="preserve">      rmap_registers_wr_o.aeb_gen_cfg_reserved_838.reserved(7 downto 0) &lt;= avalon_mm_rmap_i.writedata(7 downto 0);</t>
  </si>
  <si>
    <t xml:space="preserve">      rmap_registers_wr_o.aeb_gen_cfg_reserved_838.reserved(15 downto 8) &lt;= avalon_mm_rmap_i.writedata(15 downto 8);</t>
  </si>
  <si>
    <t xml:space="preserve">      rmap_registers_wr_o.aeb_gen_cfg_reserved_838.reserved(23 downto 16) &lt;= avalon_mm_rmap_i.writedata(23 downto 16);</t>
  </si>
  <si>
    <t xml:space="preserve">      rmap_registers_wr_o.aeb_gen_cfg_reserved_838.reserved(31 downto 24) &lt;= avalon_mm_rmap_i.writedata(31 downto 24);</t>
  </si>
  <si>
    <t xml:space="preserve">      rmap_registers_wr_o.aeb_gen_cfg_reserved_83c.reserved(7 downto 0) &lt;= avalon_mm_rmap_i.writedata(7 downto 0);</t>
  </si>
  <si>
    <t xml:space="preserve">      rmap_registers_wr_o.aeb_gen_cfg_reserved_83c.reserved(15 downto 8) &lt;= avalon_mm_rmap_i.writedata(15 downto 8);</t>
  </si>
  <si>
    <t xml:space="preserve">      rmap_registers_wr_o.aeb_gen_cfg_reserved_83c.reserved(23 downto 16) &lt;= avalon_mm_rmap_i.writedata(23 downto 16);</t>
  </si>
  <si>
    <t xml:space="preserve">      rmap_registers_wr_o.aeb_gen_cfg_reserved_83c.reserved(31 downto 24) &lt;= avalon_mm_rmap_i.writedata(31 downto 24);</t>
  </si>
  <si>
    <t xml:space="preserve">      rmap_registers_wr_o.aeb_gen_cfg_reserved_840.reserved(7 downto 0) &lt;= avalon_mm_rmap_i.writedata(7 downto 0);</t>
  </si>
  <si>
    <t xml:space="preserve">      rmap_registers_wr_o.aeb_gen_cfg_reserved_840.reserved(15 downto 8) &lt;= avalon_mm_rmap_i.writedata(15 downto 8);</t>
  </si>
  <si>
    <t xml:space="preserve">      rmap_registers_wr_o.aeb_gen_cfg_reserved_840.reserved(23 downto 16) &lt;= avalon_mm_rmap_i.writedata(23 downto 16);</t>
  </si>
  <si>
    <t xml:space="preserve">      rmap_registers_wr_o.aeb_gen_cfg_reserved_840.reserved(31 downto 24) &lt;= avalon_mm_rmap_i.writedata(31 downto 24);</t>
  </si>
  <si>
    <t xml:space="preserve">      rmap_registers_wr_o.aeb_gen_cfg_reserved_844.reserved(7 downto 0) &lt;= avalon_mm_rmap_i.writedata(7 downto 0);</t>
  </si>
  <si>
    <t xml:space="preserve">      rmap_registers_wr_o.aeb_gen_cfg_reserved_844.reserved(15 downto 8) &lt;= avalon_mm_rmap_i.writedata(15 downto 8);</t>
  </si>
  <si>
    <t xml:space="preserve">      rmap_registers_wr_o.aeb_gen_cfg_reserved_844.reserved(23 downto 16) &lt;= avalon_mm_rmap_i.writedata(23 downto 16);</t>
  </si>
  <si>
    <t xml:space="preserve">      rmap_registers_wr_o.aeb_gen_cfg_reserved_844.reserved(31 downto 24) &lt;= avalon_mm_rmap_i.writedata(31 downto 24);</t>
  </si>
  <si>
    <t xml:space="preserve">      rmap_registers_wr_o.aeb_gen_cfg_reserved_848.reserved(7 downto 0) &lt;= avalon_mm_rmap_i.writedata(7 downto 0);</t>
  </si>
  <si>
    <t xml:space="preserve">      rmap_registers_wr_o.aeb_gen_cfg_reserved_848.reserved(15 downto 8) &lt;= avalon_mm_rmap_i.writedata(15 downto 8);</t>
  </si>
  <si>
    <t xml:space="preserve">      rmap_registers_wr_o.aeb_gen_cfg_reserved_848.reserved(23 downto 16) &lt;= avalon_mm_rmap_i.writedata(23 downto 16);</t>
  </si>
  <si>
    <t xml:space="preserve">      rmap_registers_wr_o.aeb_gen_cfg_reserved_848.reserved(31 downto 24) &lt;= avalon_mm_rmap_i.writedata(31 downto 24);</t>
  </si>
  <si>
    <t xml:space="preserve">      rmap_registers_wr_o.aeb_gen_cfg_reserved_84c.reserved(7 downto 0) &lt;= avalon_mm_rmap_i.writedata(7 downto 0);</t>
  </si>
  <si>
    <t xml:space="preserve">      rmap_registers_wr_o.aeb_gen_cfg_reserved_84c.reserved(15 downto 8) &lt;= avalon_mm_rmap_i.writedata(15 downto 8);</t>
  </si>
  <si>
    <t xml:space="preserve">      rmap_registers_wr_o.aeb_gen_cfg_reserved_84c.reserved(23 downto 16) &lt;= avalon_mm_rmap_i.writedata(23 downto 16);</t>
  </si>
  <si>
    <t xml:space="preserve">      rmap_registers_wr_o.aeb_gen_cfg_reserved_84c.reserved(31 downto 24) &lt;= avalon_mm_rmap_i.writedata(31 downto 24);</t>
  </si>
  <si>
    <t xml:space="preserve">      rmap_registers_wr_o.aeb_gen_cfg_reserved_850.reserved(7 downto 0) &lt;= avalon_mm_rmap_i.writedata(7 downto 0);</t>
  </si>
  <si>
    <t xml:space="preserve">      rmap_registers_wr_o.aeb_gen_cfg_reserved_850.reserved(15 downto 8) &lt;= avalon_mm_rmap_i.writedata(15 downto 8);</t>
  </si>
  <si>
    <t xml:space="preserve">      rmap_registers_wr_o.aeb_gen_cfg_reserved_850.reserved(23 downto 16) &lt;= avalon_mm_rmap_i.writedata(23 downto 16);</t>
  </si>
  <si>
    <t xml:space="preserve">      rmap_registers_wr_o.aeb_gen_cfg_reserved_850.reserved(31 downto 24) &lt;= avalon_mm_rmap_i.writedata(31 downto 24);</t>
  </si>
  <si>
    <t xml:space="preserve">      rmap_registers_wr_o.aeb_gen_cfg_reserved_854.reserved(7 downto 0) &lt;= avalon_mm_rmap_i.writedata(7 downto 0);</t>
  </si>
  <si>
    <t xml:space="preserve">      rmap_registers_wr_o.aeb_gen_cfg_reserved_854.reserved(15 downto 8) &lt;= avalon_mm_rmap_i.writedata(15 downto 8);</t>
  </si>
  <si>
    <t xml:space="preserve">      rmap_registers_wr_o.aeb_gen_cfg_reserved_854.reserved(23 downto 16) &lt;= avalon_mm_rmap_i.writedata(23 downto 16);</t>
  </si>
  <si>
    <t xml:space="preserve">      rmap_registers_wr_o.aeb_gen_cfg_reserved_854.reserved(31 downto 24) &lt;= avalon_mm_rmap_i.writedata(31 downto 24);</t>
  </si>
  <si>
    <t xml:space="preserve">      rmap_registers_wr_o.aeb_gen_cfg_reserved_858.reserved(7 downto 0) &lt;= avalon_mm_rmap_i.writedata(7 downto 0);</t>
  </si>
  <si>
    <t xml:space="preserve">      rmap_registers_wr_o.aeb_gen_cfg_reserved_858.reserved(15 downto 8) &lt;= avalon_mm_rmap_i.writedata(15 downto 8);</t>
  </si>
  <si>
    <t xml:space="preserve">      rmap_registers_wr_o.aeb_gen_cfg_reserved_858.reserved(23 downto 16) &lt;= avalon_mm_rmap_i.writedata(23 downto 16);</t>
  </si>
  <si>
    <t xml:space="preserve">      rmap_registers_wr_o.aeb_gen_cfg_reserved_858.reserved(31 downto 24) &lt;= avalon_mm_rmap_i.writedata(31 downto 24);</t>
  </si>
  <si>
    <t xml:space="preserve">      rmap_registers_wr_o.aeb_gen_cfg_reserved_85c.reserved(7 downto 0) &lt;= avalon_mm_rmap_i.writedata(7 downto 0);</t>
  </si>
  <si>
    <t xml:space="preserve">      rmap_registers_wr_o.aeb_gen_cfg_reserved_85c.reserved(15 downto 8) &lt;= avalon_mm_rmap_i.writedata(15 downto 8);</t>
  </si>
  <si>
    <t xml:space="preserve">      rmap_registers_wr_o.aeb_gen_cfg_reserved_85c.reserved(23 downto 16) &lt;= avalon_mm_rmap_i.writedata(23 downto 16);</t>
  </si>
  <si>
    <t xml:space="preserve">      rmap_registers_wr_o.aeb_gen_cfg_reserved_85c.reserved(31 downto 24) &lt;= avalon_mm_rmap_i.writedata(31 downto 24);</t>
  </si>
  <si>
    <t xml:space="preserve">      rmap_registers_wr_o.aeb_gen_cfg_reserved_860.reserved(7 downto 0) &lt;= avalon_mm_rmap_i.writedata(7 downto 0);</t>
  </si>
  <si>
    <t xml:space="preserve">      rmap_registers_wr_o.aeb_gen_cfg_reserved_860.reserved(15 downto 8) &lt;= avalon_mm_rmap_i.writedata(15 downto 8);</t>
  </si>
  <si>
    <t xml:space="preserve">      rmap_registers_wr_o.aeb_gen_cfg_reserved_860.reserved(23 downto 16) &lt;= avalon_mm_rmap_i.writedata(23 downto 16);</t>
  </si>
  <si>
    <t xml:space="preserve">      rmap_registers_wr_o.aeb_gen_cfg_reserved_860.reserved(31 downto 24) &lt;= avalon_mm_rmap_i.writedata(31 downto 24);</t>
  </si>
  <si>
    <t xml:space="preserve">      rmap_registers_wr_o.aeb_gen_cfg_reserved_864.reserved(7 downto 0) &lt;= avalon_mm_rmap_i.writedata(7 downto 0);</t>
  </si>
  <si>
    <t xml:space="preserve">      rmap_registers_wr_o.aeb_gen_cfg_reserved_864.reserved(15 downto 8) &lt;= avalon_mm_rmap_i.writedata(15 downto 8);</t>
  </si>
  <si>
    <t xml:space="preserve">      rmap_registers_wr_o.aeb_gen_cfg_reserved_864.reserved(23 downto 16) &lt;= avalon_mm_rmap_i.writedata(23 downto 16);</t>
  </si>
  <si>
    <t xml:space="preserve">      rmap_registers_wr_o.aeb_gen_cfg_reserved_864.reserved(31 downto 24) &lt;= avalon_mm_rmap_i.writedata(31 downto 24);</t>
  </si>
  <si>
    <t xml:space="preserve">      rmap_registers_wr_o.aeb_gen_cfg_reserved_868.reserved(7 downto 0) &lt;= avalon_mm_rmap_i.writedata(7 downto 0);</t>
  </si>
  <si>
    <t xml:space="preserve">      rmap_registers_wr_o.aeb_gen_cfg_reserved_868.reserved(15 downto 8) &lt;= avalon_mm_rmap_i.writedata(15 downto 8);</t>
  </si>
  <si>
    <t xml:space="preserve">      rmap_registers_wr_o.aeb_gen_cfg_reserved_868.reserved(23 downto 16) &lt;= avalon_mm_rmap_i.writedata(23 downto 16);</t>
  </si>
  <si>
    <t xml:space="preserve">      rmap_registers_wr_o.aeb_gen_cfg_reserved_868.reserved(31 downto 24) &lt;= avalon_mm_rmap_i.writedata(31 downto 24);</t>
  </si>
  <si>
    <t xml:space="preserve">      rmap_registers_wr_o.aeb_gen_cfg_reserved_86c.reserved(7 downto 0) &lt;= avalon_mm_rmap_i.writedata(7 downto 0);</t>
  </si>
  <si>
    <t xml:space="preserve">      rmap_registers_wr_o.aeb_gen_cfg_reserved_86c.reserved(15 downto 8) &lt;= avalon_mm_rmap_i.writedata(15 downto 8);</t>
  </si>
  <si>
    <t xml:space="preserve">      rmap_registers_wr_o.aeb_gen_cfg_reserved_86c.reserved(23 downto 16) &lt;= avalon_mm_rmap_i.writedata(23 downto 16);</t>
  </si>
  <si>
    <t xml:space="preserve">      rmap_registers_wr_o.aeb_gen_cfg_reserved_86c.reserved(31 downto 24) &lt;= avalon_mm_rmap_i.writedata(31 downto 24);</t>
  </si>
  <si>
    <t xml:space="preserve">      rmap_registers_wr_o.aeb_gen_cfg_reserved_870.reserved(7 downto 0) &lt;= avalon_mm_rmap_i.writedata(7 downto 0);</t>
  </si>
  <si>
    <t xml:space="preserve">      rmap_registers_wr_o.aeb_gen_cfg_reserved_870.reserved(15 downto 8) &lt;= avalon_mm_rmap_i.writedata(15 downto 8);</t>
  </si>
  <si>
    <t xml:space="preserve">      rmap_registers_wr_o.aeb_gen_cfg_reserved_870.reserved(23 downto 16) &lt;= avalon_mm_rmap_i.writedata(23 downto 16);</t>
  </si>
  <si>
    <t xml:space="preserve">      rmap_registers_wr_o.aeb_gen_cfg_reserved_870.reserved(31 downto 24) &lt;= avalon_mm_rmap_i.writedata(31 downto 24);</t>
  </si>
  <si>
    <t xml:space="preserve">      rmap_registers_wr_o.aeb_gen_cfg_reserved_874.reserved(7 downto 0) &lt;= avalon_mm_rmap_i.writedata(7 downto 0);</t>
  </si>
  <si>
    <t xml:space="preserve">      rmap_registers_wr_o.aeb_gen_cfg_reserved_874.reserved(15 downto 8) &lt;= avalon_mm_rmap_i.writedata(15 downto 8);</t>
  </si>
  <si>
    <t xml:space="preserve">      rmap_registers_wr_o.aeb_gen_cfg_reserved_874.reserved(23 downto 16) &lt;= avalon_mm_rmap_i.writedata(23 downto 16);</t>
  </si>
  <si>
    <t xml:space="preserve">      rmap_registers_wr_o.aeb_gen_cfg_reserved_874.reserved(31 downto 24) &lt;= avalon_mm_rmap_i.writedata(31 downto 24);</t>
  </si>
  <si>
    <t xml:space="preserve">      rmap_registers_wr_o.aeb_gen_cfg_reserved_878.reserved(7 downto 0) &lt;= avalon_mm_rmap_i.writedata(7 downto 0);</t>
  </si>
  <si>
    <t xml:space="preserve">      rmap_registers_wr_o.aeb_gen_cfg_reserved_878.reserved(15 downto 8) &lt;= avalon_mm_rmap_i.writedata(15 downto 8);</t>
  </si>
  <si>
    <t xml:space="preserve">      rmap_registers_wr_o.aeb_gen_cfg_reserved_878.reserved(23 downto 16) &lt;= avalon_mm_rmap_i.writedata(23 downto 16);</t>
  </si>
  <si>
    <t xml:space="preserve">      rmap_registers_wr_o.aeb_gen_cfg_reserved_878.reserved(31 downto 24) &lt;= avalon_mm_rmap_i.writedata(31 downto 24);</t>
  </si>
  <si>
    <t xml:space="preserve">      rmap_registers_wr_o.aeb_gen_cfg_reserved_87c.reserved(7 downto 0) &lt;= avalon_mm_rmap_i.writedata(7 downto 0);</t>
  </si>
  <si>
    <t xml:space="preserve">      rmap_registers_wr_o.aeb_gen_cfg_reserved_87c.reserved(15 downto 8) &lt;= avalon_mm_rmap_i.writedata(15 downto 8);</t>
  </si>
  <si>
    <t xml:space="preserve">      rmap_registers_wr_o.aeb_gen_cfg_reserved_87c.reserved(23 downto 16) &lt;= avalon_mm_rmap_i.writedata(23 downto 16);</t>
  </si>
  <si>
    <t xml:space="preserve">      rmap_registers_wr_o.aeb_gen_cfg_reserved_87c.reserved(31 downto 24) &lt;= avalon_mm_rmap_i.writedata(31 downto 24);</t>
  </si>
  <si>
    <t xml:space="preserve">      rmap_registers_wr_o.aeb_gen_cfg_reserved_880.reserved(7 downto 0) &lt;= avalon_mm_rmap_i.writedata(7 downto 0);</t>
  </si>
  <si>
    <t xml:space="preserve">      rmap_registers_wr_o.aeb_gen_cfg_reserved_880.reserved(15 downto 8) &lt;= avalon_mm_rmap_i.writedata(15 downto 8);</t>
  </si>
  <si>
    <t xml:space="preserve">      rmap_registers_wr_o.aeb_gen_cfg_reserved_880.reserved(23 downto 16) &lt;= avalon_mm_rmap_i.writedata(23 downto 16);</t>
  </si>
  <si>
    <t xml:space="preserve">      rmap_registers_wr_o.aeb_gen_cfg_reserved_880.reserved(31 downto 24) &lt;= avalon_mm_rmap_i.writedata(31 downto 24);</t>
  </si>
  <si>
    <t xml:space="preserve">      rmap_registers_wr_o.aeb_gen_cfg_reserved_884.reserved(7 downto 0) &lt;= avalon_mm_rmap_i.writedata(7 downto 0);</t>
  </si>
  <si>
    <t xml:space="preserve">      rmap_registers_wr_o.aeb_gen_cfg_reserved_884.reserved(15 downto 8) &lt;= avalon_mm_rmap_i.writedata(15 downto 8);</t>
  </si>
  <si>
    <t xml:space="preserve">      rmap_registers_wr_o.aeb_gen_cfg_reserved_884.reserved(23 downto 16) &lt;= avalon_mm_rmap_i.writedata(23 downto 16);</t>
  </si>
  <si>
    <t xml:space="preserve">      rmap_registers_wr_o.aeb_gen_cfg_reserved_884.reserved(31 downto 24) &lt;= avalon_mm_rmap_i.writedata(31 downto 24);</t>
  </si>
  <si>
    <t xml:space="preserve">      rmap_registers_wr_o.aeb_gen_cfg_reserved_888.reserved(7 downto 0) &lt;= avalon_mm_rmap_i.writedata(7 downto 0);</t>
  </si>
  <si>
    <t xml:space="preserve">      rmap_registers_wr_o.aeb_gen_cfg_reserved_888.reserved(15 downto 8) &lt;= avalon_mm_rmap_i.writedata(15 downto 8);</t>
  </si>
  <si>
    <t xml:space="preserve">      rmap_registers_wr_o.aeb_gen_cfg_reserved_888.reserved(23 downto 16) &lt;= avalon_mm_rmap_i.writedata(23 downto 16);</t>
  </si>
  <si>
    <t xml:space="preserve">      rmap_registers_wr_o.aeb_gen_cfg_reserved_888.reserved(31 downto 24) &lt;= avalon_mm_rmap_i.writedata(31 downto 24);</t>
  </si>
  <si>
    <t xml:space="preserve">      rmap_registers_wr_o.aeb_gen_cfg_reserved_88c.reserved(7 downto 0) &lt;= avalon_mm_rmap_i.writedata(7 downto 0);</t>
  </si>
  <si>
    <t xml:space="preserve">      rmap_registers_wr_o.aeb_gen_cfg_reserved_88c.reserved(15 downto 8) &lt;= avalon_mm_rmap_i.writedata(15 downto 8);</t>
  </si>
  <si>
    <t xml:space="preserve">      rmap_registers_wr_o.aeb_gen_cfg_reserved_88c.reserved(23 downto 16) &lt;= avalon_mm_rmap_i.writedata(23 downto 16);</t>
  </si>
  <si>
    <t xml:space="preserve">      rmap_registers_wr_o.aeb_gen_cfg_reserved_88c.reserved(31 downto 24) &lt;= avalon_mm_rmap_i.writedata(31 downto 24);</t>
  </si>
  <si>
    <t xml:space="preserve">      rmap_registers_wr_o.aeb_gen_cfg_reserved_890.reserved(7 downto 0) &lt;= avalon_mm_rmap_i.writedata(7 downto 0);</t>
  </si>
  <si>
    <t xml:space="preserve">      rmap_registers_wr_o.aeb_gen_cfg_reserved_890.reserved(15 downto 8) &lt;= avalon_mm_rmap_i.writedata(15 downto 8);</t>
  </si>
  <si>
    <t xml:space="preserve">      rmap_registers_wr_o.aeb_gen_cfg_reserved_890.reserved(23 downto 16) &lt;= avalon_mm_rmap_i.writedata(23 downto 16);</t>
  </si>
  <si>
    <t xml:space="preserve">      rmap_registers_wr_o.aeb_gen_cfg_reserved_890.reserved(31 downto 24) &lt;= avalon_mm_rmap_i.writedata(31 downto 24);</t>
  </si>
  <si>
    <t xml:space="preserve">      rmap_registers_wr_o.aeb_gen_cfg_reserved_894.reserved(7 downto 0) &lt;= avalon_mm_rmap_i.writedata(7 downto 0);</t>
  </si>
  <si>
    <t xml:space="preserve">      rmap_registers_wr_o.aeb_gen_cfg_reserved_894.reserved(15 downto 8) &lt;= avalon_mm_rmap_i.writedata(15 downto 8);</t>
  </si>
  <si>
    <t xml:space="preserve">      rmap_registers_wr_o.aeb_gen_cfg_reserved_894.reserved(23 downto 16) &lt;= avalon_mm_rmap_i.writedata(23 downto 16);</t>
  </si>
  <si>
    <t xml:space="preserve">      rmap_registers_wr_o.aeb_gen_cfg_reserved_894.reserved(31 downto 24) &lt;= avalon_mm_rmap_i.writedata(31 downto 24);</t>
  </si>
  <si>
    <t xml:space="preserve">      rmap_registers_wr_o.aeb_gen_cfg_reserved_898.reserved(7 downto 0) &lt;= avalon_mm_rmap_i.writedata(7 downto 0);</t>
  </si>
  <si>
    <t xml:space="preserve">      rmap_registers_wr_o.aeb_gen_cfg_reserved_898.reserved(15 downto 8) &lt;= avalon_mm_rmap_i.writedata(15 downto 8);</t>
  </si>
  <si>
    <t xml:space="preserve">      rmap_registers_wr_o.aeb_gen_cfg_reserved_898.reserved(23 downto 16) &lt;= avalon_mm_rmap_i.writedata(23 downto 16);</t>
  </si>
  <si>
    <t xml:space="preserve">      rmap_registers_wr_o.aeb_gen_cfg_reserved_898.reserved(31 downto 24) &lt;= avalon_mm_rmap_i.writedata(31 downto 24);</t>
  </si>
  <si>
    <t xml:space="preserve">      rmap_registers_wr_o.aeb_gen_cfg_reserved_89c.reserved(7 downto 0) &lt;= avalon_mm_rmap_i.writedata(7 downto 0);</t>
  </si>
  <si>
    <t xml:space="preserve">      rmap_registers_wr_o.aeb_gen_cfg_reserved_89c.reserved(15 downto 8) &lt;= avalon_mm_rmap_i.writedata(15 downto 8);</t>
  </si>
  <si>
    <t xml:space="preserve">      rmap_registers_wr_o.aeb_gen_cfg_reserved_89c.reserved(23 downto 16) &lt;= avalon_mm_rmap_i.writedata(23 downto 16);</t>
  </si>
  <si>
    <t xml:space="preserve">      rmap_registers_wr_o.aeb_gen_cfg_reserved_89c.reserved(31 downto 24) &lt;= avalon_mm_rmap_i.writedata(31 downto 24);</t>
  </si>
  <si>
    <t xml:space="preserve">      rmap_registers_wr_o.aeb_gen_cfg_reserved_8a0.reserved(7 downto 0) &lt;= avalon_mm_rmap_i.writedata(7 downto 0);</t>
  </si>
  <si>
    <t xml:space="preserve">      rmap_registers_wr_o.aeb_gen_cfg_reserved_8a0.reserved(15 downto 8) &lt;= avalon_mm_rmap_i.writedata(15 downto 8);</t>
  </si>
  <si>
    <t xml:space="preserve">      rmap_registers_wr_o.aeb_gen_cfg_reserved_8a0.reserved(23 downto 16) &lt;= avalon_mm_rmap_i.writedata(23 downto 16);</t>
  </si>
  <si>
    <t xml:space="preserve">      rmap_registers_wr_o.aeb_gen_cfg_reserved_8a0.reserved(31 downto 24) &lt;= avalon_mm_rmap_i.writedata(31 downto 24);</t>
  </si>
  <si>
    <t xml:space="preserve">      rmap_registers_wr_o.aeb_gen_cfg_reserved_8a4.reserved(7 downto 0) &lt;= avalon_mm_rmap_i.writedata(7 downto 0);</t>
  </si>
  <si>
    <t xml:space="preserve">      rmap_registers_wr_o.aeb_gen_cfg_reserved_8a4.reserved(15 downto 8) &lt;= avalon_mm_rmap_i.writedata(15 downto 8);</t>
  </si>
  <si>
    <t xml:space="preserve">      rmap_registers_wr_o.aeb_gen_cfg_reserved_8a4.reserved(23 downto 16) &lt;= avalon_mm_rmap_i.writedata(23 downto 16);</t>
  </si>
  <si>
    <t xml:space="preserve">      rmap_registers_wr_o.aeb_gen_cfg_reserved_8a4.reserved(31 downto 24) &lt;= avalon_mm_rmap_i.writedata(31 downto 24);</t>
  </si>
  <si>
    <t xml:space="preserve">      rmap_registers_wr_o.aeb_gen_cfg_reserved_8a8.reserved(7 downto 0) &lt;= avalon_mm_rmap_i.writedata(7 downto 0);</t>
  </si>
  <si>
    <t xml:space="preserve">      rmap_registers_wr_o.aeb_gen_cfg_reserved_8a8.reserved(15 downto 8) &lt;= avalon_mm_rmap_i.writedata(15 downto 8);</t>
  </si>
  <si>
    <t xml:space="preserve">      rmap_registers_wr_o.aeb_gen_cfg_reserved_8a8.reserved(23 downto 16) &lt;= avalon_mm_rmap_i.writedata(23 downto 16);</t>
  </si>
  <si>
    <t xml:space="preserve">      rmap_registers_wr_o.aeb_gen_cfg_reserved_8a8.reserved(31 downto 24) &lt;= avalon_mm_rmap_i.writedata(31 downto 24);</t>
  </si>
  <si>
    <t xml:space="preserve">      rmap_registers_wr_o.aeb_gen_cfg_reserved_8ac.reserved(7 downto 0) &lt;= avalon_mm_rmap_i.writedata(7 downto 0);</t>
  </si>
  <si>
    <t xml:space="preserve">      rmap_registers_wr_o.aeb_gen_cfg_reserved_8ac.reserved(15 downto 8) &lt;= avalon_mm_rmap_i.writedata(15 downto 8);</t>
  </si>
  <si>
    <t xml:space="preserve">      rmap_registers_wr_o.aeb_gen_cfg_reserved_8ac.reserved(23 downto 16) &lt;= avalon_mm_rmap_i.writedata(23 downto 16);</t>
  </si>
  <si>
    <t xml:space="preserve">      rmap_registers_wr_o.aeb_gen_cfg_reserved_8ac.reserved(31 downto 24) &lt;= avalon_mm_rmap_i.writedata(31 downto 24);</t>
  </si>
  <si>
    <t xml:space="preserve">      rmap_registers_wr_o.aeb_gen_cfg_reserved_8b0.reserved(7 downto 0) &lt;= avalon_mm_rmap_i.writedata(7 downto 0);</t>
  </si>
  <si>
    <t xml:space="preserve">      rmap_registers_wr_o.aeb_gen_cfg_reserved_8b0.reserved(15 downto 8) &lt;= avalon_mm_rmap_i.writedata(15 downto 8);</t>
  </si>
  <si>
    <t xml:space="preserve">      rmap_registers_wr_o.aeb_gen_cfg_reserved_8b0.reserved(23 downto 16) &lt;= avalon_mm_rmap_i.writedata(23 downto 16);</t>
  </si>
  <si>
    <t xml:space="preserve">      rmap_registers_wr_o.aeb_gen_cfg_reserved_8b0.reserved(31 downto 24) &lt;= avalon_mm_rmap_i.writedata(31 downto 24);</t>
  </si>
  <si>
    <t xml:space="preserve">      rmap_registers_wr_o.aeb_gen_cfg_reserved_8b4.reserved(7 downto 0) &lt;= avalon_mm_rmap_i.writedata(7 downto 0);</t>
  </si>
  <si>
    <t xml:space="preserve">      rmap_registers_wr_o.aeb_gen_cfg_reserved_8b4.reserved(15 downto 8) &lt;= avalon_mm_rmap_i.writedata(15 downto 8);</t>
  </si>
  <si>
    <t xml:space="preserve">      rmap_registers_wr_o.aeb_gen_cfg_reserved_8b4.reserved(23 downto 16) &lt;= avalon_mm_rmap_i.writedata(23 downto 16);</t>
  </si>
  <si>
    <t xml:space="preserve">      rmap_registers_wr_o.aeb_gen_cfg_reserved_8b4.reserved(31 downto 24) &lt;= avalon_mm_rmap_i.writedata(31 downto 24);</t>
  </si>
  <si>
    <t xml:space="preserve">      rmap_registers_wr_o.aeb_gen_cfg_reserved_8b8.reserved(7 downto 0) &lt;= avalon_mm_rmap_i.writedata(7 downto 0);</t>
  </si>
  <si>
    <t xml:space="preserve">      rmap_registers_wr_o.aeb_gen_cfg_reserved_8b8.reserved(15 downto 8) &lt;= avalon_mm_rmap_i.writedata(15 downto 8);</t>
  </si>
  <si>
    <t xml:space="preserve">      rmap_registers_wr_o.aeb_gen_cfg_reserved_8b8.reserved(23 downto 16) &lt;= avalon_mm_rmap_i.writedata(23 downto 16);</t>
  </si>
  <si>
    <t xml:space="preserve">      rmap_registers_wr_o.aeb_gen_cfg_reserved_8b8.reserved(31 downto 24) &lt;= avalon_mm_rmap_i.writedata(31 downto 24);</t>
  </si>
  <si>
    <t xml:space="preserve">      rmap_registers_wr_o.aeb_gen_cfg_reserved_8bc.reserved(7 downto 0) &lt;= avalon_mm_rmap_i.writedata(7 downto 0);</t>
  </si>
  <si>
    <t xml:space="preserve">      rmap_registers_wr_o.aeb_gen_cfg_reserved_8bc.reserved(15 downto 8) &lt;= avalon_mm_rmap_i.writedata(15 downto 8);</t>
  </si>
  <si>
    <t xml:space="preserve">      rmap_registers_wr_o.aeb_gen_cfg_reserved_8bc.reserved(23 downto 16) &lt;= avalon_mm_rmap_i.writedata(23 downto 16);</t>
  </si>
  <si>
    <t xml:space="preserve">      rmap_registers_wr_o.aeb_gen_cfg_reserved_8bc.reserved(31 downto 24) &lt;= avalon_mm_rmap_i.writedata(31 downto 24);</t>
  </si>
  <si>
    <t xml:space="preserve">      rmap_registers_wr_o.aeb_gen_cfg_reserved_8c0.reserved(7 downto 0) &lt;= avalon_mm_rmap_i.writedata(7 downto 0);</t>
  </si>
  <si>
    <t xml:space="preserve">      rmap_registers_wr_o.aeb_gen_cfg_reserved_8c0.reserved(15 downto 8) &lt;= avalon_mm_rmap_i.writedata(15 downto 8);</t>
  </si>
  <si>
    <t xml:space="preserve">      rmap_registers_wr_o.aeb_gen_cfg_reserved_8c0.reserved(23 downto 16) &lt;= avalon_mm_rmap_i.writedata(23 downto 16);</t>
  </si>
  <si>
    <t xml:space="preserve">      rmap_registers_wr_o.aeb_gen_cfg_reserved_8c0.reserved(31 downto 24) &lt;= avalon_mm_rmap_i.writedata(31 downto 24);</t>
  </si>
  <si>
    <t xml:space="preserve">      rmap_registers_wr_o.aeb_gen_cfg_reserved_8c4.reserved(7 downto 0) &lt;= avalon_mm_rmap_i.writedata(7 downto 0);</t>
  </si>
  <si>
    <t xml:space="preserve">      rmap_registers_wr_o.aeb_gen_cfg_reserved_8c4.reserved(15 downto 8) &lt;= avalon_mm_rmap_i.writedata(15 downto 8);</t>
  </si>
  <si>
    <t xml:space="preserve">      rmap_registers_wr_o.aeb_gen_cfg_reserved_8c4.reserved(23 downto 16) &lt;= avalon_mm_rmap_i.writedata(23 downto 16);</t>
  </si>
  <si>
    <t xml:space="preserve">      rmap_registers_wr_o.aeb_gen_cfg_reserved_8c4.reserved(31 downto 24) &lt;= avalon_mm_rmap_i.writedata(31 downto 24);</t>
  </si>
  <si>
    <t xml:space="preserve">      rmap_registers_wr_o.aeb_gen_cfg_reserved_8c8.reserved(7 downto 0) &lt;= avalon_mm_rmap_i.writedata(7 downto 0);</t>
  </si>
  <si>
    <t xml:space="preserve">      rmap_registers_wr_o.aeb_gen_cfg_reserved_8c8.reserved(15 downto 8) &lt;= avalon_mm_rmap_i.writedata(15 downto 8);</t>
  </si>
  <si>
    <t xml:space="preserve">      rmap_registers_wr_o.aeb_gen_cfg_reserved_8c8.reserved(23 downto 16) &lt;= avalon_mm_rmap_i.writedata(23 downto 16);</t>
  </si>
  <si>
    <t xml:space="preserve">      rmap_registers_wr_o.aeb_gen_cfg_reserved_8c8.reserved(31 downto 24) &lt;= avalon_mm_rmap_i.writedata(31 downto 24);</t>
  </si>
  <si>
    <t xml:space="preserve">      rmap_registers_wr_o.aeb_gen_cfg_reserved_8cc.reserved(7 downto 0) &lt;= avalon_mm_rmap_i.writedata(7 downto 0);</t>
  </si>
  <si>
    <t xml:space="preserve">      rmap_registers_wr_o.aeb_gen_cfg_reserved_8cc.reserved(15 downto 8) &lt;= avalon_mm_rmap_i.writedata(15 downto 8);</t>
  </si>
  <si>
    <t xml:space="preserve">      rmap_registers_wr_o.aeb_gen_cfg_reserved_8cc.reserved(23 downto 16) &lt;= avalon_mm_rmap_i.writedata(23 downto 16);</t>
  </si>
  <si>
    <t xml:space="preserve">      rmap_registers_wr_o.aeb_gen_cfg_reserved_8cc.reserved(31 downto 24) &lt;= avalon_mm_rmap_i.writedata(31 downto 24);</t>
  </si>
  <si>
    <t xml:space="preserve">      rmap_registers_wr_o.aeb_gen_cfg_reserved_8d0.reserved(7 downto 0) &lt;= avalon_mm_rmap_i.writedata(7 downto 0);</t>
  </si>
  <si>
    <t xml:space="preserve">      rmap_registers_wr_o.aeb_gen_cfg_reserved_8d0.reserved(15 downto 8) &lt;= avalon_mm_rmap_i.writedata(15 downto 8);</t>
  </si>
  <si>
    <t xml:space="preserve">      rmap_registers_wr_o.aeb_gen_cfg_reserved_8d0.reserved(23 downto 16) &lt;= avalon_mm_rmap_i.writedata(23 downto 16);</t>
  </si>
  <si>
    <t xml:space="preserve">      rmap_registers_wr_o.aeb_gen_cfg_reserved_8d0.reserved(31 downto 24) &lt;= avalon_mm_rmap_i.writedata(31 downto 24);</t>
  </si>
  <si>
    <t xml:space="preserve">      rmap_registers_wr_o.aeb_gen_cfg_reserved_8d4.reserved(7 downto 0) &lt;= avalon_mm_rmap_i.writedata(7 downto 0);</t>
  </si>
  <si>
    <t xml:space="preserve">      rmap_registers_wr_o.aeb_gen_cfg_reserved_8d4.reserved(15 downto 8) &lt;= avalon_mm_rmap_i.writedata(15 downto 8);</t>
  </si>
  <si>
    <t xml:space="preserve">      rmap_registers_wr_o.aeb_gen_cfg_reserved_8d4.reserved(23 downto 16) &lt;= avalon_mm_rmap_i.writedata(23 downto 16);</t>
  </si>
  <si>
    <t xml:space="preserve">      rmap_registers_wr_o.aeb_gen_cfg_reserved_8d4.reserved(31 downto 24) &lt;= avalon_mm_rmap_i.writedata(31 downto 24);</t>
  </si>
  <si>
    <t xml:space="preserve">      rmap_registers_wr_o.aeb_gen_cfg_reserved_8d8.reserved(7 downto 0) &lt;= avalon_mm_rmap_i.writedata(7 downto 0);</t>
  </si>
  <si>
    <t xml:space="preserve">      rmap_registers_wr_o.aeb_gen_cfg_reserved_8d8.reserved(15 downto 8) &lt;= avalon_mm_rmap_i.writedata(15 downto 8);</t>
  </si>
  <si>
    <t xml:space="preserve">      rmap_registers_wr_o.aeb_gen_cfg_reserved_8d8.reserved(23 downto 16) &lt;= avalon_mm_rmap_i.writedata(23 downto 16);</t>
  </si>
  <si>
    <t xml:space="preserve">      rmap_registers_wr_o.aeb_gen_cfg_reserved_8d8.reserved(31 downto 24) &lt;= avalon_mm_rmap_i.writedata(31 downto 24);</t>
  </si>
  <si>
    <t xml:space="preserve">      rmap_registers_wr_o.aeb_gen_cfg_reserved_8dc.reserved(7 downto 0) &lt;= avalon_mm_rmap_i.writedata(7 downto 0);</t>
  </si>
  <si>
    <t xml:space="preserve">      rmap_registers_wr_o.aeb_gen_cfg_reserved_8dc.reserved(15 downto 8) &lt;= avalon_mm_rmap_i.writedata(15 downto 8);</t>
  </si>
  <si>
    <t xml:space="preserve">      rmap_registers_wr_o.aeb_gen_cfg_reserved_8dc.reserved(23 downto 16) &lt;= avalon_mm_rmap_i.writedata(23 downto 16);</t>
  </si>
  <si>
    <t xml:space="preserve">      rmap_registers_wr_o.aeb_gen_cfg_reserved_8dc.reserved(31 downto 24) &lt;= avalon_mm_rmap_i.writedata(31 downto 24);</t>
  </si>
  <si>
    <t xml:space="preserve">      rmap_registers_wr_o.aeb_gen_cfg_reserved_8e0.reserved(7 downto 0) &lt;= avalon_mm_rmap_i.writedata(7 downto 0);</t>
  </si>
  <si>
    <t xml:space="preserve">      rmap_registers_wr_o.aeb_gen_cfg_reserved_8e0.reserved(15 downto 8) &lt;= avalon_mm_rmap_i.writedata(15 downto 8);</t>
  </si>
  <si>
    <t xml:space="preserve">      rmap_registers_wr_o.aeb_gen_cfg_reserved_8e0.reserved(23 downto 16) &lt;= avalon_mm_rmap_i.writedata(23 downto 16);</t>
  </si>
  <si>
    <t xml:space="preserve">      rmap_registers_wr_o.aeb_gen_cfg_reserved_8e0.reserved(31 downto 24) &lt;= avalon_mm_rmap_i.writedata(31 downto 24);</t>
  </si>
  <si>
    <t xml:space="preserve">      rmap_registers_wr_o.aeb_gen_cfg_reserved_8e4.reserved(7 downto 0) &lt;= avalon_mm_rmap_i.writedata(7 downto 0);</t>
  </si>
  <si>
    <t xml:space="preserve">      rmap_registers_wr_o.aeb_gen_cfg_reserved_8e4.reserved(15 downto 8) &lt;= avalon_mm_rmap_i.writedata(15 downto 8);</t>
  </si>
  <si>
    <t xml:space="preserve">      rmap_registers_wr_o.aeb_gen_cfg_reserved_8e4.reserved(23 downto 16) &lt;= avalon_mm_rmap_i.writedata(23 downto 16);</t>
  </si>
  <si>
    <t xml:space="preserve">      rmap_registers_wr_o.aeb_gen_cfg_reserved_8e4.reserved(31 downto 24) &lt;= avalon_mm_rmap_i.writedata(31 downto 24);</t>
  </si>
  <si>
    <t xml:space="preserve">      rmap_registers_wr_o.aeb_gen_cfg_reserved_8e8.reserved(7 downto 0) &lt;= avalon_mm_rmap_i.writedata(7 downto 0);</t>
  </si>
  <si>
    <t xml:space="preserve">      rmap_registers_wr_o.aeb_gen_cfg_reserved_8e8.reserved(15 downto 8) &lt;= avalon_mm_rmap_i.writedata(15 downto 8);</t>
  </si>
  <si>
    <t xml:space="preserve">      rmap_registers_wr_o.aeb_gen_cfg_reserved_8e8.reserved(23 downto 16) &lt;= avalon_mm_rmap_i.writedata(23 downto 16);</t>
  </si>
  <si>
    <t xml:space="preserve">      rmap_registers_wr_o.aeb_gen_cfg_reserved_8e8.reserved(31 downto 24) &lt;= avalon_mm_rmap_i.writedata(31 downto 24);</t>
  </si>
  <si>
    <t xml:space="preserve">      rmap_registers_wr_o.aeb_gen_cfg_reserved_8ec.reserved(7 downto 0) &lt;= avalon_mm_rmap_i.writedata(7 downto 0);</t>
  </si>
  <si>
    <t xml:space="preserve">      rmap_registers_wr_o.aeb_gen_cfg_reserved_8ec.reserved(15 downto 8) &lt;= avalon_mm_rmap_i.writedata(15 downto 8);</t>
  </si>
  <si>
    <t xml:space="preserve">      rmap_registers_wr_o.aeb_gen_cfg_reserved_8ec.reserved(23 downto 16) &lt;= avalon_mm_rmap_i.writedata(23 downto 16);</t>
  </si>
  <si>
    <t xml:space="preserve">      rmap_registers_wr_o.aeb_gen_cfg_reserved_8ec.reserved(31 downto 24) &lt;= avalon_mm_rmap_i.writedata(31 downto 24);</t>
  </si>
  <si>
    <t xml:space="preserve">      rmap_registers_wr_o.aeb_gen_cfg_reserved_8f0.reserved(7 downto 0) &lt;= avalon_mm_rmap_i.writedata(7 downto 0);</t>
  </si>
  <si>
    <t xml:space="preserve">      rmap_registers_wr_o.aeb_gen_cfg_reserved_8f0.reserved(15 downto 8) &lt;= avalon_mm_rmap_i.writedata(15 downto 8);</t>
  </si>
  <si>
    <t xml:space="preserve">      rmap_registers_wr_o.aeb_gen_cfg_reserved_8f0.reserved(23 downto 16) &lt;= avalon_mm_rmap_i.writedata(23 downto 16);</t>
  </si>
  <si>
    <t xml:space="preserve">      rmap_registers_wr_o.aeb_gen_cfg_reserved_8f0.reserved(31 downto 24) &lt;= avalon_mm_rmap_i.writedata(31 downto 24);</t>
  </si>
  <si>
    <t xml:space="preserve">      rmap_registers_wr_o.aeb_gen_cfg_reserved_8f4.reserved(7 downto 0) &lt;= avalon_mm_rmap_i.writedata(7 downto 0);</t>
  </si>
  <si>
    <t xml:space="preserve">      rmap_registers_wr_o.aeb_gen_cfg_reserved_8f4.reserved(15 downto 8) &lt;= avalon_mm_rmap_i.writedata(15 downto 8);</t>
  </si>
  <si>
    <t xml:space="preserve">      rmap_registers_wr_o.aeb_gen_cfg_reserved_8f4.reserved(23 downto 16) &lt;= avalon_mm_rmap_i.writedata(23 downto 16);</t>
  </si>
  <si>
    <t xml:space="preserve">      rmap_registers_wr_o.aeb_gen_cfg_reserved_8f4.reserved(31 downto 24) &lt;= avalon_mm_rmap_i.writedata(31 downto 24);</t>
  </si>
  <si>
    <t xml:space="preserve">      rmap_registers_wr_o.aeb_gen_cfg_reserved_8f8.reserved(7 downto 0) &lt;= avalon_mm_rmap_i.writedata(7 downto 0);</t>
  </si>
  <si>
    <t xml:space="preserve">      rmap_registers_wr_o.aeb_gen_cfg_reserved_8f8.reserved(15 downto 8) &lt;= avalon_mm_rmap_i.writedata(15 downto 8);</t>
  </si>
  <si>
    <t xml:space="preserve">      rmap_registers_wr_o.aeb_gen_cfg_reserved_8f8.reserved(23 downto 16) &lt;= avalon_mm_rmap_i.writedata(23 downto 16);</t>
  </si>
  <si>
    <t xml:space="preserve">      rmap_registers_wr_o.aeb_gen_cfg_reserved_8f8.reserved(31 downto 24) &lt;= avalon_mm_rmap_i.writedata(31 downto 24);</t>
  </si>
  <si>
    <t xml:space="preserve">      rmap_registers_wr_o.aeb_gen_cfg_reserved_8fc.reserved(7 downto 0) &lt;= avalon_mm_rmap_i.writedata(7 downto 0);</t>
  </si>
  <si>
    <t xml:space="preserve">      rmap_registers_wr_o.aeb_gen_cfg_reserved_8fc.reserved(15 downto 8) &lt;= avalon_mm_rmap_i.writedata(15 downto 8);</t>
  </si>
  <si>
    <t xml:space="preserve">      rmap_registers_wr_o.aeb_gen_cfg_reserved_8fc.reserved(23 downto 16) &lt;= avalon_mm_rmap_i.writedata(23 downto 16);</t>
  </si>
  <si>
    <t xml:space="preserve">      rmap_registers_wr_o.aeb_gen_cfg_reserved_8fc.reserved(31 downto 24) &lt;= avalon_mm_rmap_i.writedata(31 downto 24);</t>
  </si>
  <si>
    <t xml:space="preserve">      rmap_registers_wr_o.aeb_gen_cfg_reserved_900.reserved(7 downto 0) &lt;= avalon_mm_rmap_i.writedata(7 downto 0);</t>
  </si>
  <si>
    <t xml:space="preserve">      rmap_registers_wr_o.aeb_gen_cfg_reserved_900.reserved(15 downto 8) &lt;= avalon_mm_rmap_i.writedata(15 downto 8);</t>
  </si>
  <si>
    <t xml:space="preserve">      rmap_registers_wr_o.aeb_gen_cfg_reserved_900.reserved(23 downto 16) &lt;= avalon_mm_rmap_i.writedata(23 downto 16);</t>
  </si>
  <si>
    <t xml:space="preserve">      rmap_registers_wr_o.aeb_gen_cfg_reserved_900.reserved(31 downto 24) &lt;= avalon_mm_rmap_i.writedata(31 downto 24);</t>
  </si>
  <si>
    <t xml:space="preserve">      rmap_registers_wr_o.aeb_gen_cfg_reserved_904.reserved(7 downto 0) &lt;= avalon_mm_rmap_i.writedata(7 downto 0);</t>
  </si>
  <si>
    <t xml:space="preserve">      rmap_registers_wr_o.aeb_gen_cfg_reserved_904.reserved(15 downto 8) &lt;= avalon_mm_rmap_i.writedata(15 downto 8);</t>
  </si>
  <si>
    <t xml:space="preserve">      rmap_registers_wr_o.aeb_gen_cfg_reserved_904.reserved(23 downto 16) &lt;= avalon_mm_rmap_i.writedata(23 downto 16);</t>
  </si>
  <si>
    <t xml:space="preserve">      rmap_registers_wr_o.aeb_gen_cfg_reserved_904.reserved(31 downto 24) &lt;= avalon_mm_rmap_i.writedata(31 downto 24);</t>
  </si>
  <si>
    <t xml:space="preserve">      rmap_registers_wr_o.aeb_gen_cfg_reserved_908.reserved(7 downto 0) &lt;= avalon_mm_rmap_i.writedata(7 downto 0);</t>
  </si>
  <si>
    <t xml:space="preserve">      rmap_registers_wr_o.aeb_gen_cfg_reserved_908.reserved(15 downto 8) &lt;= avalon_mm_rmap_i.writedata(15 downto 8);</t>
  </si>
  <si>
    <t xml:space="preserve">      rmap_registers_wr_o.aeb_gen_cfg_reserved_908.reserved(23 downto 16) &lt;= avalon_mm_rmap_i.writedata(23 downto 16);</t>
  </si>
  <si>
    <t xml:space="preserve">      rmap_registers_wr_o.aeb_gen_cfg_reserved_908.reserved(31 downto 24) &lt;= avalon_mm_rmap_i.writedata(31 downto 24);</t>
  </si>
  <si>
    <t xml:space="preserve">      rmap_registers_wr_o.aeb_gen_cfg_reserved_90c.reserved(7 downto 0) &lt;= avalon_mm_rmap_i.writedata(7 downto 0);</t>
  </si>
  <si>
    <t xml:space="preserve">      rmap_registers_wr_o.aeb_gen_cfg_reserved_90c.reserved(15 downto 8) &lt;= avalon_mm_rmap_i.writedata(15 downto 8);</t>
  </si>
  <si>
    <t xml:space="preserve">      rmap_registers_wr_o.aeb_gen_cfg_reserved_90c.reserved(23 downto 16) &lt;= avalon_mm_rmap_i.writedata(23 downto 16);</t>
  </si>
  <si>
    <t xml:space="preserve">      rmap_registers_wr_o.aeb_gen_cfg_reserved_90c.reserved(31 downto 24) &lt;= avalon_mm_rmap_i.writedata(31 downto 24);</t>
  </si>
  <si>
    <t xml:space="preserve">      rmap_registers_wr_o.aeb_gen_cfg_reserved_910.reserved(7 downto 0) &lt;= avalon_mm_rmap_i.writedata(7 downto 0);</t>
  </si>
  <si>
    <t xml:space="preserve">      rmap_registers_wr_o.aeb_gen_cfg_reserved_910.reserved(15 downto 8) &lt;= avalon_mm_rmap_i.writedata(15 downto 8);</t>
  </si>
  <si>
    <t xml:space="preserve">      rmap_registers_wr_o.aeb_gen_cfg_reserved_910.reserved(23 downto 16) &lt;= avalon_mm_rmap_i.writedata(23 downto 16);</t>
  </si>
  <si>
    <t xml:space="preserve">      rmap_registers_wr_o.aeb_gen_cfg_reserved_910.reserved(31 downto 24) &lt;= avalon_mm_rmap_i.writedata(31 downto 24);</t>
  </si>
  <si>
    <t xml:space="preserve">      rmap_registers_wr_o.aeb_gen_cfg_reserved_914.reserved(7 downto 0) &lt;= avalon_mm_rmap_i.writedata(7 downto 0);</t>
  </si>
  <si>
    <t xml:space="preserve">      rmap_registers_wr_o.aeb_gen_cfg_reserved_914.reserved(15 downto 8) &lt;= avalon_mm_rmap_i.writedata(15 downto 8);</t>
  </si>
  <si>
    <t xml:space="preserve">      rmap_registers_wr_o.aeb_gen_cfg_reserved_914.reserved(23 downto 16) &lt;= avalon_mm_rmap_i.writedata(23 downto 16);</t>
  </si>
  <si>
    <t xml:space="preserve">      rmap_registers_wr_o.aeb_gen_cfg_reserved_914.reserved(31 downto 24) &lt;= avalon_mm_rmap_i.writedata(31 downto 24);</t>
  </si>
  <si>
    <t xml:space="preserve">      rmap_registers_wr_o.aeb_gen_cfg_reserved_918.reserved(7 downto 0) &lt;= avalon_mm_rmap_i.writedata(7 downto 0);</t>
  </si>
  <si>
    <t xml:space="preserve">      rmap_registers_wr_o.aeb_gen_cfg_reserved_918.reserved(15 downto 8) &lt;= avalon_mm_rmap_i.writedata(15 downto 8);</t>
  </si>
  <si>
    <t xml:space="preserve">      rmap_registers_wr_o.aeb_gen_cfg_reserved_918.reserved(23 downto 16) &lt;= avalon_mm_rmap_i.writedata(23 downto 16);</t>
  </si>
  <si>
    <t xml:space="preserve">      rmap_registers_wr_o.aeb_gen_cfg_reserved_918.reserved(31 downto 24) &lt;= avalon_mm_rmap_i.writedata(31 downto 24);</t>
  </si>
  <si>
    <t xml:space="preserve">      rmap_registers_wr_o.aeb_gen_cfg_reserved_91c.reserved(7 downto 0) &lt;= avalon_mm_rmap_i.writedata(7 downto 0);</t>
  </si>
  <si>
    <t xml:space="preserve">      rmap_registers_wr_o.aeb_gen_cfg_reserved_91c.reserved(15 downto 8) &lt;= avalon_mm_rmap_i.writedata(15 downto 8);</t>
  </si>
  <si>
    <t xml:space="preserve">      rmap_registers_wr_o.aeb_gen_cfg_reserved_91c.reserved(23 downto 16) &lt;= avalon_mm_rmap_i.writedata(23 downto 16);</t>
  </si>
  <si>
    <t xml:space="preserve">      rmap_registers_wr_o.aeb_gen_cfg_reserved_91c.reserved(31 downto 24) &lt;= avalon_mm_rmap_i.writedata(31 downto 24);</t>
  </si>
  <si>
    <t xml:space="preserve">      rmap_registers_wr_o.aeb_gen_cfg_reserved_920.reserved(7 downto 0) &lt;= avalon_mm_rmap_i.writedata(7 downto 0);</t>
  </si>
  <si>
    <t xml:space="preserve">      rmap_registers_wr_o.aeb_gen_cfg_reserved_920.reserved(15 downto 8) &lt;= avalon_mm_rmap_i.writedata(15 downto 8);</t>
  </si>
  <si>
    <t xml:space="preserve">      rmap_registers_wr_o.aeb_gen_cfg_reserved_920.reserved(23 downto 16) &lt;= avalon_mm_rmap_i.writedata(23 downto 16);</t>
  </si>
  <si>
    <t xml:space="preserve">      rmap_registers_wr_o.aeb_gen_cfg_reserved_920.reserved(31 downto 24) &lt;= avalon_mm_rmap_i.writedata(31 downto 24);</t>
  </si>
  <si>
    <t xml:space="preserve">      rmap_registers_wr_o.aeb_gen_cfg_reserved_924.reserved(7 downto 0) &lt;= avalon_mm_rmap_i.writedata(7 downto 0);</t>
  </si>
  <si>
    <t xml:space="preserve">      rmap_registers_wr_o.aeb_gen_cfg_reserved_924.reserved(15 downto 8) &lt;= avalon_mm_rmap_i.writedata(15 downto 8);</t>
  </si>
  <si>
    <t xml:space="preserve">      rmap_registers_wr_o.aeb_gen_cfg_reserved_924.reserved(23 downto 16) &lt;= avalon_mm_rmap_i.writedata(23 downto 16);</t>
  </si>
  <si>
    <t xml:space="preserve">      rmap_registers_wr_o.aeb_gen_cfg_reserved_924.reserved(31 downto 24) &lt;= avalon_mm_rmap_i.writedata(31 downto 24);</t>
  </si>
  <si>
    <t xml:space="preserve">      rmap_registers_wr_o.aeb_gen_cfg_reserved_928.reserved(7 downto 0) &lt;= avalon_mm_rmap_i.writedata(7 downto 0);</t>
  </si>
  <si>
    <t xml:space="preserve">      rmap_registers_wr_o.aeb_gen_cfg_reserved_928.reserved(15 downto 8) &lt;= avalon_mm_rmap_i.writedata(15 downto 8);</t>
  </si>
  <si>
    <t xml:space="preserve">      rmap_registers_wr_o.aeb_gen_cfg_reserved_928.reserved(23 downto 16) &lt;= avalon_mm_rmap_i.writedata(23 downto 16);</t>
  </si>
  <si>
    <t xml:space="preserve">      rmap_registers_wr_o.aeb_gen_cfg_reserved_928.reserved(31 downto 24) &lt;= avalon_mm_rmap_i.writedata(31 downto 24);</t>
  </si>
  <si>
    <t xml:space="preserve">      rmap_registers_wr_o.aeb_gen_cfg_reserved_92c.reserved(7 downto 0) &lt;= avalon_mm_rmap_i.writedata(7 downto 0);</t>
  </si>
  <si>
    <t xml:space="preserve">      rmap_registers_wr_o.aeb_gen_cfg_reserved_92c.reserved(15 downto 8) &lt;= avalon_mm_rmap_i.writedata(15 downto 8);</t>
  </si>
  <si>
    <t xml:space="preserve">      rmap_registers_wr_o.aeb_gen_cfg_reserved_92c.reserved(23 downto 16) &lt;= avalon_mm_rmap_i.writedata(23 downto 16);</t>
  </si>
  <si>
    <t xml:space="preserve">      rmap_registers_wr_o.aeb_gen_cfg_reserved_92c.reserved(31 downto 24) &lt;= avalon_mm_rmap_i.writedata(31 downto 24);</t>
  </si>
  <si>
    <t xml:space="preserve">      rmap_registers_wr_o.aeb_gen_cfg_reserved_930.reserved(7 downto 0) &lt;= avalon_mm_rmap_i.writedata(7 downto 0);</t>
  </si>
  <si>
    <t xml:space="preserve">      rmap_registers_wr_o.aeb_gen_cfg_reserved_930.reserved(15 downto 8) &lt;= avalon_mm_rmap_i.writedata(15 downto 8);</t>
  </si>
  <si>
    <t xml:space="preserve">      rmap_registers_wr_o.aeb_gen_cfg_reserved_930.reserved(23 downto 16) &lt;= avalon_mm_rmap_i.writedata(23 downto 16);</t>
  </si>
  <si>
    <t xml:space="preserve">      rmap_registers_wr_o.aeb_gen_cfg_reserved_930.reserved(31 downto 24) &lt;= avalon_mm_rmap_i.writedata(31 downto 24);</t>
  </si>
  <si>
    <t xml:space="preserve">      rmap_registers_wr_o.aeb_gen_cfg_reserved_934.reserved(7 downto 0) &lt;= avalon_mm_rmap_i.writedata(7 downto 0);</t>
  </si>
  <si>
    <t xml:space="preserve">      rmap_registers_wr_o.aeb_gen_cfg_reserved_934.reserved(15 downto 8) &lt;= avalon_mm_rmap_i.writedata(15 downto 8);</t>
  </si>
  <si>
    <t xml:space="preserve">      rmap_registers_wr_o.aeb_gen_cfg_reserved_934.reserved(23 downto 16) &lt;= avalon_mm_rmap_i.writedata(23 downto 16);</t>
  </si>
  <si>
    <t xml:space="preserve">      rmap_registers_wr_o.aeb_gen_cfg_reserved_934.reserved(31 downto 24) &lt;= avalon_mm_rmap_i.writedata(31 downto 24);</t>
  </si>
  <si>
    <t xml:space="preserve">      rmap_registers_wr_o.aeb_gen_cfg_reserved_938.reserved(7 downto 0) &lt;= avalon_mm_rmap_i.writedata(7 downto 0);</t>
  </si>
  <si>
    <t xml:space="preserve">      rmap_registers_wr_o.aeb_gen_cfg_reserved_938.reserved(15 downto 8) &lt;= avalon_mm_rmap_i.writedata(15 downto 8);</t>
  </si>
  <si>
    <t xml:space="preserve">      rmap_registers_wr_o.aeb_gen_cfg_reserved_938.reserved(23 downto 16) &lt;= avalon_mm_rmap_i.writedata(23 downto 16);</t>
  </si>
  <si>
    <t xml:space="preserve">      rmap_registers_wr_o.aeb_gen_cfg_reserved_938.reserved(31 downto 24) &lt;= avalon_mm_rmap_i.writedata(31 downto 24);</t>
  </si>
  <si>
    <t xml:space="preserve">      rmap_registers_wr_o.aeb_gen_cfg_reserved_93c.reserved(7 downto 0) &lt;= avalon_mm_rmap_i.writedata(7 downto 0);</t>
  </si>
  <si>
    <t xml:space="preserve">      rmap_registers_wr_o.aeb_gen_cfg_reserved_93c.reserved(15 downto 8) &lt;= avalon_mm_rmap_i.writedata(15 downto 8);</t>
  </si>
  <si>
    <t xml:space="preserve">      rmap_registers_wr_o.aeb_gen_cfg_reserved_93c.reserved(23 downto 16) &lt;= avalon_mm_rmap_i.writedata(23 downto 16);</t>
  </si>
  <si>
    <t xml:space="preserve">      rmap_registers_wr_o.aeb_gen_cfg_reserved_93c.reserved(31 downto 24) &lt;= avalon_mm_rmap_i.writedata(31 downto 24);</t>
  </si>
  <si>
    <t xml:space="preserve">      rmap_registers_wr_o.aeb_gen_cfg_reserved_940.reserved(7 downto 0) &lt;= avalon_mm_rmap_i.writedata(7 downto 0);</t>
  </si>
  <si>
    <t xml:space="preserve">      rmap_registers_wr_o.aeb_gen_cfg_reserved_940.reserved(15 downto 8) &lt;= avalon_mm_rmap_i.writedata(15 downto 8);</t>
  </si>
  <si>
    <t xml:space="preserve">      rmap_registers_wr_o.aeb_gen_cfg_reserved_940.reserved(23 downto 16) &lt;= avalon_mm_rmap_i.writedata(23 downto 16);</t>
  </si>
  <si>
    <t xml:space="preserve">      rmap_registers_wr_o.aeb_gen_cfg_reserved_940.reserved(31 downto 24) &lt;= avalon_mm_rmap_i.writedata(31 downto 24);</t>
  </si>
  <si>
    <t xml:space="preserve">      rmap_registers_wr_o.aeb_gen_cfg_reserved_944.reserved(7 downto 0) &lt;= avalon_mm_rmap_i.writedata(7 downto 0);</t>
  </si>
  <si>
    <t xml:space="preserve">      rmap_registers_wr_o.aeb_gen_cfg_reserved_944.reserved(15 downto 8) &lt;= avalon_mm_rmap_i.writedata(15 downto 8);</t>
  </si>
  <si>
    <t xml:space="preserve">      rmap_registers_wr_o.aeb_gen_cfg_reserved_944.reserved(23 downto 16) &lt;= avalon_mm_rmap_i.writedata(23 downto 16);</t>
  </si>
  <si>
    <t xml:space="preserve">      rmap_registers_wr_o.aeb_gen_cfg_reserved_944.reserved(31 downto 24) &lt;= avalon_mm_rmap_i.writedata(31 downto 24);</t>
  </si>
  <si>
    <t xml:space="preserve">      rmap_registers_wr_o.aeb_gen_cfg_reserved_948.reserved(7 downto 0) &lt;= avalon_mm_rmap_i.writedata(7 downto 0);</t>
  </si>
  <si>
    <t xml:space="preserve">      rmap_registers_wr_o.aeb_gen_cfg_reserved_948.reserved(15 downto 8) &lt;= avalon_mm_rmap_i.writedata(15 downto 8);</t>
  </si>
  <si>
    <t xml:space="preserve">      rmap_registers_wr_o.aeb_gen_cfg_reserved_948.reserved(23 downto 16) &lt;= avalon_mm_rmap_i.writedata(23 downto 16);</t>
  </si>
  <si>
    <t xml:space="preserve">      rmap_registers_wr_o.aeb_gen_cfg_reserved_948.reserved(31 downto 24) &lt;= avalon_mm_rmap_i.writedata(31 downto 24);</t>
  </si>
  <si>
    <t xml:space="preserve">      rmap_registers_wr_o.aeb_gen_cfg_reserved_94c.reserved(7 downto 0) &lt;= avalon_mm_rmap_i.writedata(7 downto 0);</t>
  </si>
  <si>
    <t xml:space="preserve">      rmap_registers_wr_o.aeb_gen_cfg_reserved_94c.reserved(15 downto 8) &lt;= avalon_mm_rmap_i.writedata(15 downto 8);</t>
  </si>
  <si>
    <t xml:space="preserve">      rmap_registers_wr_o.aeb_gen_cfg_reserved_94c.reserved(23 downto 16) &lt;= avalon_mm_rmap_i.writedata(23 downto 16);</t>
  </si>
  <si>
    <t xml:space="preserve">      rmap_registers_wr_o.aeb_gen_cfg_reserved_94c.reserved(31 downto 24) &lt;= avalon_mm_rmap_i.writedata(31 downto 24);</t>
  </si>
  <si>
    <t xml:space="preserve">      rmap_registers_wr_o.aeb_gen_cfg_reserved_950.reserved(7 downto 0) &lt;= avalon_mm_rmap_i.writedata(7 downto 0);</t>
  </si>
  <si>
    <t xml:space="preserve">      rmap_registers_wr_o.aeb_gen_cfg_reserved_950.reserved(15 downto 8) &lt;= avalon_mm_rmap_i.writedata(15 downto 8);</t>
  </si>
  <si>
    <t xml:space="preserve">      rmap_registers_wr_o.aeb_gen_cfg_reserved_950.reserved(23 downto 16) &lt;= avalon_mm_rmap_i.writedata(23 downto 16);</t>
  </si>
  <si>
    <t xml:space="preserve">      rmap_registers_wr_o.aeb_gen_cfg_reserved_950.reserved(31 downto 24) &lt;= avalon_mm_rmap_i.writedata(31 downto 24);</t>
  </si>
  <si>
    <t xml:space="preserve">      rmap_registers_wr_o.aeb_gen_cfg_reserved_954.reserved(7 downto 0) &lt;= avalon_mm_rmap_i.writedata(7 downto 0);</t>
  </si>
  <si>
    <t xml:space="preserve">      rmap_registers_wr_o.aeb_gen_cfg_reserved_954.reserved(15 downto 8) &lt;= avalon_mm_rmap_i.writedata(15 downto 8);</t>
  </si>
  <si>
    <t xml:space="preserve">      rmap_registers_wr_o.aeb_gen_cfg_reserved_954.reserved(23 downto 16) &lt;= avalon_mm_rmap_i.writedata(23 downto 16);</t>
  </si>
  <si>
    <t xml:space="preserve">      rmap_registers_wr_o.aeb_gen_cfg_reserved_954.reserved(31 downto 24) &lt;= avalon_mm_rmap_i.writedata(31 downto 24);</t>
  </si>
  <si>
    <t xml:space="preserve">      rmap_registers_wr_o.aeb_gen_cfg_reserved_958.reserved(7 downto 0) &lt;= avalon_mm_rmap_i.writedata(7 downto 0);</t>
  </si>
  <si>
    <t xml:space="preserve">      rmap_registers_wr_o.aeb_gen_cfg_reserved_958.reserved(15 downto 8) &lt;= avalon_mm_rmap_i.writedata(15 downto 8);</t>
  </si>
  <si>
    <t xml:space="preserve">      rmap_registers_wr_o.aeb_gen_cfg_reserved_958.reserved(23 downto 16) &lt;= avalon_mm_rmap_i.writedata(23 downto 16);</t>
  </si>
  <si>
    <t xml:space="preserve">      rmap_registers_wr_o.aeb_gen_cfg_reserved_958.reserved(31 downto 24) &lt;= avalon_mm_rmap_i.writedata(31 downto 24);</t>
  </si>
  <si>
    <t xml:space="preserve">      rmap_registers_wr_o.aeb_gen_cfg_reserved_95c.reserved(7 downto 0) &lt;= avalon_mm_rmap_i.writedata(7 downto 0);</t>
  </si>
  <si>
    <t xml:space="preserve">      rmap_registers_wr_o.aeb_gen_cfg_reserved_95c.reserved(15 downto 8) &lt;= avalon_mm_rmap_i.writedata(15 downto 8);</t>
  </si>
  <si>
    <t xml:space="preserve">      rmap_registers_wr_o.aeb_gen_cfg_reserved_95c.reserved(23 downto 16) &lt;= avalon_mm_rmap_i.writedata(23 downto 16);</t>
  </si>
  <si>
    <t xml:space="preserve">      rmap_registers_wr_o.aeb_gen_cfg_reserved_95c.reserved(31 downto 24) &lt;= avalon_mm_rmap_i.writedata(31 downto 24);</t>
  </si>
  <si>
    <t xml:space="preserve">      rmap_registers_wr_o.aeb_gen_cfg_reserved_960.reserved(7 downto 0) &lt;= avalon_mm_rmap_i.writedata(7 downto 0);</t>
  </si>
  <si>
    <t xml:space="preserve">      rmap_registers_wr_o.aeb_gen_cfg_reserved_960.reserved(15 downto 8) &lt;= avalon_mm_rmap_i.writedata(15 downto 8);</t>
  </si>
  <si>
    <t xml:space="preserve">      rmap_registers_wr_o.aeb_gen_cfg_reserved_960.reserved(23 downto 16) &lt;= avalon_mm_rmap_i.writedata(23 downto 16);</t>
  </si>
  <si>
    <t xml:space="preserve">      rmap_registers_wr_o.aeb_gen_cfg_reserved_960.reserved(31 downto 24) &lt;= avalon_mm_rmap_i.writedata(31 downto 24);</t>
  </si>
  <si>
    <t xml:space="preserve">      rmap_registers_wr_o.aeb_gen_cfg_reserved_964.reserved(7 downto 0) &lt;= avalon_mm_rmap_i.writedata(7 downto 0);</t>
  </si>
  <si>
    <t xml:space="preserve">      rmap_registers_wr_o.aeb_gen_cfg_reserved_964.reserved(15 downto 8) &lt;= avalon_mm_rmap_i.writedata(15 downto 8);</t>
  </si>
  <si>
    <t xml:space="preserve">      rmap_registers_wr_o.aeb_gen_cfg_reserved_964.reserved(23 downto 16) &lt;= avalon_mm_rmap_i.writedata(23 downto 16);</t>
  </si>
  <si>
    <t xml:space="preserve">      rmap_registers_wr_o.aeb_gen_cfg_reserved_964.reserved(31 downto 24) &lt;= avalon_mm_rmap_i.writedata(31 downto 24);</t>
  </si>
  <si>
    <t xml:space="preserve">      rmap_registers_wr_o.aeb_gen_cfg_reserved_968.reserved(7 downto 0) &lt;= avalon_mm_rmap_i.writedata(7 downto 0);</t>
  </si>
  <si>
    <t xml:space="preserve">      rmap_registers_wr_o.aeb_gen_cfg_reserved_968.reserved(15 downto 8) &lt;= avalon_mm_rmap_i.writedata(15 downto 8);</t>
  </si>
  <si>
    <t xml:space="preserve">      rmap_registers_wr_o.aeb_gen_cfg_reserved_968.reserved(23 downto 16) &lt;= avalon_mm_rmap_i.writedata(23 downto 16);</t>
  </si>
  <si>
    <t xml:space="preserve">      rmap_registers_wr_o.aeb_gen_cfg_reserved_968.reserved(31 downto 24) &lt;= avalon_mm_rmap_i.writedata(31 downto 24);</t>
  </si>
  <si>
    <t xml:space="preserve">      rmap_registers_wr_o.aeb_gen_cfg_reserved_96c.reserved(7 downto 0) &lt;= avalon_mm_rmap_i.writedata(7 downto 0);</t>
  </si>
  <si>
    <t xml:space="preserve">      rmap_registers_wr_o.aeb_gen_cfg_reserved_96c.reserved(15 downto 8) &lt;= avalon_mm_rmap_i.writedata(15 downto 8);</t>
  </si>
  <si>
    <t xml:space="preserve">      rmap_registers_wr_o.aeb_gen_cfg_reserved_96c.reserved(23 downto 16) &lt;= avalon_mm_rmap_i.writedata(23 downto 16);</t>
  </si>
  <si>
    <t xml:space="preserve">      rmap_registers_wr_o.aeb_gen_cfg_reserved_96c.reserved(31 downto 24) &lt;= avalon_mm_rmap_i.writedata(31 downto 24);</t>
  </si>
  <si>
    <t xml:space="preserve">      rmap_registers_wr_o.aeb_gen_cfg_reserved_970.reserved(7 downto 0) &lt;= avalon_mm_rmap_i.writedata(7 downto 0);</t>
  </si>
  <si>
    <t xml:space="preserve">      rmap_registers_wr_o.aeb_gen_cfg_reserved_970.reserved(15 downto 8) &lt;= avalon_mm_rmap_i.writedata(15 downto 8);</t>
  </si>
  <si>
    <t xml:space="preserve">      rmap_registers_wr_o.aeb_gen_cfg_reserved_970.reserved(23 downto 16) &lt;= avalon_mm_rmap_i.writedata(23 downto 16);</t>
  </si>
  <si>
    <t xml:space="preserve">      rmap_registers_wr_o.aeb_gen_cfg_reserved_970.reserved(31 downto 24) &lt;= avalon_mm_rmap_i.writedata(31 downto 24);</t>
  </si>
  <si>
    <t xml:space="preserve">      rmap_registers_wr_o.aeb_gen_cfg_reserved_974.reserved(7 downto 0) &lt;= avalon_mm_rmap_i.writedata(7 downto 0);</t>
  </si>
  <si>
    <t xml:space="preserve">      rmap_registers_wr_o.aeb_gen_cfg_reserved_974.reserved(15 downto 8) &lt;= avalon_mm_rmap_i.writedata(15 downto 8);</t>
  </si>
  <si>
    <t xml:space="preserve">      rmap_registers_wr_o.aeb_gen_cfg_reserved_974.reserved(23 downto 16) &lt;= avalon_mm_rmap_i.writedata(23 downto 16);</t>
  </si>
  <si>
    <t xml:space="preserve">      rmap_registers_wr_o.aeb_gen_cfg_reserved_974.reserved(31 downto 24) &lt;= avalon_mm_rmap_i.writedata(31 downto 24);</t>
  </si>
  <si>
    <t xml:space="preserve">      rmap_registers_wr_o.aeb_gen_cfg_reserved_978.reserved(7 downto 0) &lt;= avalon_mm_rmap_i.writedata(7 downto 0);</t>
  </si>
  <si>
    <t xml:space="preserve">      rmap_registers_wr_o.aeb_gen_cfg_reserved_978.reserved(15 downto 8) &lt;= avalon_mm_rmap_i.writedata(15 downto 8);</t>
  </si>
  <si>
    <t xml:space="preserve">      rmap_registers_wr_o.aeb_gen_cfg_reserved_978.reserved(23 downto 16) &lt;= avalon_mm_rmap_i.writedata(23 downto 16);</t>
  </si>
  <si>
    <t xml:space="preserve">      rmap_registers_wr_o.aeb_gen_cfg_reserved_978.reserved(31 downto 24) &lt;= avalon_mm_rmap_i.writedata(31 downto 24);</t>
  </si>
  <si>
    <t xml:space="preserve">      rmap_registers_wr_o.aeb_gen_cfg_reserved_97c.reserved(7 downto 0) &lt;= avalon_mm_rmap_i.writedata(7 downto 0);</t>
  </si>
  <si>
    <t xml:space="preserve">      rmap_registers_wr_o.aeb_gen_cfg_reserved_97c.reserved(15 downto 8) &lt;= avalon_mm_rmap_i.writedata(15 downto 8);</t>
  </si>
  <si>
    <t xml:space="preserve">      rmap_registers_wr_o.aeb_gen_cfg_reserved_97c.reserved(23 downto 16) &lt;= avalon_mm_rmap_i.writedata(23 downto 16);</t>
  </si>
  <si>
    <t xml:space="preserve">      rmap_registers_wr_o.aeb_gen_cfg_reserved_97c.reserved(31 downto 24) &lt;= avalon_mm_rmap_i.writedata(31 downto 24);</t>
  </si>
  <si>
    <t xml:space="preserve">      rmap_registers_wr_o.aeb_gen_cfg_reserved_980.reserved(7 downto 0) &lt;= avalon_mm_rmap_i.writedata(7 downto 0);</t>
  </si>
  <si>
    <t xml:space="preserve">      rmap_registers_wr_o.aeb_gen_cfg_reserved_980.reserved(15 downto 8) &lt;= avalon_mm_rmap_i.writedata(15 downto 8);</t>
  </si>
  <si>
    <t xml:space="preserve">      rmap_registers_wr_o.aeb_gen_cfg_reserved_980.reserved(23 downto 16) &lt;= avalon_mm_rmap_i.writedata(23 downto 16);</t>
  </si>
  <si>
    <t xml:space="preserve">      rmap_registers_wr_o.aeb_gen_cfg_reserved_980.reserved(31 downto 24) &lt;= avalon_mm_rmap_i.writedata(31 downto 24);</t>
  </si>
  <si>
    <t xml:space="preserve">      rmap_registers_wr_o.aeb_gen_cfg_reserved_984.reserved(7 downto 0) &lt;= avalon_mm_rmap_i.writedata(7 downto 0);</t>
  </si>
  <si>
    <t xml:space="preserve">      rmap_registers_wr_o.aeb_gen_cfg_reserved_984.reserved(15 downto 8) &lt;= avalon_mm_rmap_i.writedata(15 downto 8);</t>
  </si>
  <si>
    <t xml:space="preserve">      rmap_registers_wr_o.aeb_gen_cfg_reserved_984.reserved(23 downto 16) &lt;= avalon_mm_rmap_i.writedata(23 downto 16);</t>
  </si>
  <si>
    <t xml:space="preserve">      rmap_registers_wr_o.aeb_gen_cfg_reserved_984.reserved(31 downto 24) &lt;= avalon_mm_rmap_i.writedata(31 downto 24);</t>
  </si>
  <si>
    <t xml:space="preserve">      rmap_registers_wr_o.aeb_gen_cfg_reserved_988.reserved(7 downto 0) &lt;= avalon_mm_rmap_i.writedata(7 downto 0);</t>
  </si>
  <si>
    <t xml:space="preserve">      rmap_registers_wr_o.aeb_gen_cfg_reserved_988.reserved(15 downto 8) &lt;= avalon_mm_rmap_i.writedata(15 downto 8);</t>
  </si>
  <si>
    <t xml:space="preserve">      rmap_registers_wr_o.aeb_gen_cfg_reserved_988.reserved(23 downto 16) &lt;= avalon_mm_rmap_i.writedata(23 downto 16);</t>
  </si>
  <si>
    <t xml:space="preserve">      rmap_registers_wr_o.aeb_gen_cfg_reserved_988.reserved(31 downto 24) &lt;= avalon_mm_rmap_i.writedata(31 downto 24);</t>
  </si>
  <si>
    <t xml:space="preserve">      rmap_registers_wr_o.aeb_gen_cfg_reserved_98c.reserved(7 downto 0) &lt;= avalon_mm_rmap_i.writedata(7 downto 0);</t>
  </si>
  <si>
    <t xml:space="preserve">      rmap_registers_wr_o.aeb_gen_cfg_reserved_98c.reserved(15 downto 8) &lt;= avalon_mm_rmap_i.writedata(15 downto 8);</t>
  </si>
  <si>
    <t xml:space="preserve">      rmap_registers_wr_o.aeb_gen_cfg_reserved_98c.reserved(23 downto 16) &lt;= avalon_mm_rmap_i.writedata(23 downto 16);</t>
  </si>
  <si>
    <t xml:space="preserve">      rmap_registers_wr_o.aeb_gen_cfg_reserved_98c.reserved(31 downto 24) &lt;= avalon_mm_rmap_i.writedata(31 downto 24);</t>
  </si>
  <si>
    <t xml:space="preserve">      rmap_registers_wr_o.aeb_gen_cfg_reserved_990.reserved(7 downto 0) &lt;= avalon_mm_rmap_i.writedata(7 downto 0);</t>
  </si>
  <si>
    <t xml:space="preserve">      rmap_registers_wr_o.aeb_gen_cfg_reserved_990.reserved(15 downto 8) &lt;= avalon_mm_rmap_i.writedata(15 downto 8);</t>
  </si>
  <si>
    <t xml:space="preserve">      rmap_registers_wr_o.aeb_gen_cfg_reserved_990.reserved(23 downto 16) &lt;= avalon_mm_rmap_i.writedata(23 downto 16);</t>
  </si>
  <si>
    <t xml:space="preserve">      rmap_registers_wr_o.aeb_gen_cfg_reserved_990.reserved(31 downto 24) &lt;= avalon_mm_rmap_i.writedata(31 downto 24);</t>
  </si>
  <si>
    <t xml:space="preserve">      rmap_registers_wr_o.aeb_gen_cfg_reserved_994.reserved(7 downto 0) &lt;= avalon_mm_rmap_i.writedata(7 downto 0);</t>
  </si>
  <si>
    <t xml:space="preserve">      rmap_registers_wr_o.aeb_gen_cfg_reserved_994.reserved(15 downto 8) &lt;= avalon_mm_rmap_i.writedata(15 downto 8);</t>
  </si>
  <si>
    <t xml:space="preserve">      rmap_registers_wr_o.aeb_gen_cfg_reserved_994.reserved(23 downto 16) &lt;= avalon_mm_rmap_i.writedata(23 downto 16);</t>
  </si>
  <si>
    <t xml:space="preserve">      rmap_registers_wr_o.aeb_gen_cfg_reserved_994.reserved(31 downto 24) &lt;= avalon_mm_rmap_i.writedata(31 downto 24);</t>
  </si>
  <si>
    <t xml:space="preserve">      rmap_registers_wr_o.aeb_gen_cfg_reserved_998.reserved(7 downto 0) &lt;= avalon_mm_rmap_i.writedata(7 downto 0);</t>
  </si>
  <si>
    <t xml:space="preserve">      rmap_registers_wr_o.aeb_gen_cfg_reserved_998.reserved(15 downto 8) &lt;= avalon_mm_rmap_i.writedata(15 downto 8);</t>
  </si>
  <si>
    <t xml:space="preserve">      rmap_registers_wr_o.aeb_gen_cfg_reserved_998.reserved(23 downto 16) &lt;= avalon_mm_rmap_i.writedata(23 downto 16);</t>
  </si>
  <si>
    <t xml:space="preserve">      rmap_registers_wr_o.aeb_gen_cfg_reserved_998.reserved(31 downto 24) &lt;= avalon_mm_rmap_i.writedata(31 downto 24);</t>
  </si>
  <si>
    <t xml:space="preserve">      rmap_registers_wr_o.aeb_gen_cfg_reserved_99c.reserved(7 downto 0) &lt;= avalon_mm_rmap_i.writedata(7 downto 0);</t>
  </si>
  <si>
    <t xml:space="preserve">      rmap_registers_wr_o.aeb_gen_cfg_reserved_99c.reserved(15 downto 8) &lt;= avalon_mm_rmap_i.writedata(15 downto 8);</t>
  </si>
  <si>
    <t xml:space="preserve">      rmap_registers_wr_o.aeb_gen_cfg_reserved_99c.reserved(23 downto 16) &lt;= avalon_mm_rmap_i.writedata(23 downto 16);</t>
  </si>
  <si>
    <t xml:space="preserve">      rmap_registers_wr_o.aeb_gen_cfg_reserved_99c.reserved(31 downto 24) &lt;= avalon_mm_rmap_i.writedata(31 downto 24);</t>
  </si>
  <si>
    <t xml:space="preserve">      rmap_registers_wr_o.aeb_gen_cfg_reserved_9a0.reserved(7 downto 0) &lt;= avalon_mm_rmap_i.writedata(7 downto 0);</t>
  </si>
  <si>
    <t xml:space="preserve">      rmap_registers_wr_o.aeb_gen_cfg_reserved_9a0.reserved(15 downto 8) &lt;= avalon_mm_rmap_i.writedata(15 downto 8);</t>
  </si>
  <si>
    <t xml:space="preserve">      rmap_registers_wr_o.aeb_gen_cfg_reserved_9a0.reserved(23 downto 16) &lt;= avalon_mm_rmap_i.writedata(23 downto 16);</t>
  </si>
  <si>
    <t xml:space="preserve">      rmap_registers_wr_o.aeb_gen_cfg_reserved_9a0.reserved(31 downto 24) &lt;= avalon_mm_rmap_i.writedata(31 downto 24);</t>
  </si>
  <si>
    <t xml:space="preserve">      rmap_registers_wr_o.aeb_gen_cfg_reserved_9a4.reserved(7 downto 0) &lt;= avalon_mm_rmap_i.writedata(7 downto 0);</t>
  </si>
  <si>
    <t xml:space="preserve">      rmap_registers_wr_o.aeb_gen_cfg_reserved_9a4.reserved(15 downto 8) &lt;= avalon_mm_rmap_i.writedata(15 downto 8);</t>
  </si>
  <si>
    <t xml:space="preserve">      rmap_registers_wr_o.aeb_gen_cfg_reserved_9a4.reserved(23 downto 16) &lt;= avalon_mm_rmap_i.writedata(23 downto 16);</t>
  </si>
  <si>
    <t xml:space="preserve">      rmap_registers_wr_o.aeb_gen_cfg_reserved_9a4.reserved(31 downto 24) &lt;= avalon_mm_rmap_i.writedata(31 downto 24);</t>
  </si>
  <si>
    <t xml:space="preserve">      rmap_registers_wr_o.aeb_gen_cfg_reserved_9a8.reserved(7 downto 0) &lt;= avalon_mm_rmap_i.writedata(7 downto 0);</t>
  </si>
  <si>
    <t xml:space="preserve">      rmap_registers_wr_o.aeb_gen_cfg_reserved_9a8.reserved(15 downto 8) &lt;= avalon_mm_rmap_i.writedata(15 downto 8);</t>
  </si>
  <si>
    <t xml:space="preserve">      rmap_registers_wr_o.aeb_gen_cfg_reserved_9a8.reserved(23 downto 16) &lt;= avalon_mm_rmap_i.writedata(23 downto 16);</t>
  </si>
  <si>
    <t xml:space="preserve">      rmap_registers_wr_o.aeb_gen_cfg_reserved_9a8.reserved(31 downto 24) &lt;= avalon_mm_rmap_i.writedata(31 downto 24);</t>
  </si>
  <si>
    <t xml:space="preserve">      rmap_registers_wr_o.aeb_gen_cfg_reserved_9ac.reserved(7 downto 0) &lt;= avalon_mm_rmap_i.writedata(7 downto 0);</t>
  </si>
  <si>
    <t xml:space="preserve">      rmap_registers_wr_o.aeb_gen_cfg_reserved_9ac.reserved(15 downto 8) &lt;= avalon_mm_rmap_i.writedata(15 downto 8);</t>
  </si>
  <si>
    <t xml:space="preserve">      rmap_registers_wr_o.aeb_gen_cfg_reserved_9ac.reserved(23 downto 16) &lt;= avalon_mm_rmap_i.writedata(23 downto 16);</t>
  </si>
  <si>
    <t xml:space="preserve">      rmap_registers_wr_o.aeb_gen_cfg_reserved_9ac.reserved(31 downto 24) &lt;= avalon_mm_rmap_i.writedata(31 downto 24);</t>
  </si>
  <si>
    <t xml:space="preserve">      rmap_registers_wr_o.aeb_gen_cfg_reserved_9b0.reserved(7 downto 0) &lt;= avalon_mm_rmap_i.writedata(7 downto 0);</t>
  </si>
  <si>
    <t xml:space="preserve">      rmap_registers_wr_o.aeb_gen_cfg_reserved_9b0.reserved(15 downto 8) &lt;= avalon_mm_rmap_i.writedata(15 downto 8);</t>
  </si>
  <si>
    <t xml:space="preserve">      rmap_registers_wr_o.aeb_gen_cfg_reserved_9b0.reserved(23 downto 16) &lt;= avalon_mm_rmap_i.writedata(23 downto 16);</t>
  </si>
  <si>
    <t xml:space="preserve">      rmap_registers_wr_o.aeb_gen_cfg_reserved_9b0.reserved(31 downto 24) &lt;= avalon_mm_rmap_i.writedata(31 downto 24);</t>
  </si>
  <si>
    <t xml:space="preserve">      rmap_registers_wr_o.aeb_gen_cfg_reserved_9b4.reserved(7 downto 0) &lt;= avalon_mm_rmap_i.writedata(7 downto 0);</t>
  </si>
  <si>
    <t xml:space="preserve">      rmap_registers_wr_o.aeb_gen_cfg_reserved_9b4.reserved(15 downto 8) &lt;= avalon_mm_rmap_i.writedata(15 downto 8);</t>
  </si>
  <si>
    <t xml:space="preserve">      rmap_registers_wr_o.aeb_gen_cfg_reserved_9b4.reserved(23 downto 16) &lt;= avalon_mm_rmap_i.writedata(23 downto 16);</t>
  </si>
  <si>
    <t xml:space="preserve">      rmap_registers_wr_o.aeb_gen_cfg_reserved_9b4.reserved(31 downto 24) &lt;= avalon_mm_rmap_i.writedata(31 downto 24);</t>
  </si>
  <si>
    <t xml:space="preserve">      rmap_registers_wr_o.aeb_gen_cfg_reserved_9b8.reserved(7 downto 0) &lt;= avalon_mm_rmap_i.writedata(7 downto 0);</t>
  </si>
  <si>
    <t xml:space="preserve">      rmap_registers_wr_o.aeb_gen_cfg_reserved_9b8.reserved(15 downto 8) &lt;= avalon_mm_rmap_i.writedata(15 downto 8);</t>
  </si>
  <si>
    <t xml:space="preserve">      rmap_registers_wr_o.aeb_gen_cfg_reserved_9b8.reserved(23 downto 16) &lt;= avalon_mm_rmap_i.writedata(23 downto 16);</t>
  </si>
  <si>
    <t xml:space="preserve">      rmap_registers_wr_o.aeb_gen_cfg_reserved_9b8.reserved(31 downto 24) &lt;= avalon_mm_rmap_i.writedata(31 downto 24);</t>
  </si>
  <si>
    <t xml:space="preserve">      rmap_registers_wr_o.aeb_gen_cfg_reserved_9bc.reserved(7 downto 0) &lt;= avalon_mm_rmap_i.writedata(7 downto 0);</t>
  </si>
  <si>
    <t xml:space="preserve">      rmap_registers_wr_o.aeb_gen_cfg_reserved_9bc.reserved(15 downto 8) &lt;= avalon_mm_rmap_i.writedata(15 downto 8);</t>
  </si>
  <si>
    <t xml:space="preserve">      rmap_registers_wr_o.aeb_gen_cfg_reserved_9bc.reserved(23 downto 16) &lt;= avalon_mm_rmap_i.writedata(23 downto 16);</t>
  </si>
  <si>
    <t xml:space="preserve">      rmap_registers_wr_o.aeb_gen_cfg_reserved_9bc.reserved(31 downto 24) &lt;= avalon_mm_rmap_i.writedata(31 downto 24);</t>
  </si>
  <si>
    <t xml:space="preserve">      rmap_registers_wr_o.aeb_gen_cfg_reserved_9c0.reserved(7 downto 0) &lt;= avalon_mm_rmap_i.writedata(7 downto 0);</t>
  </si>
  <si>
    <t xml:space="preserve">      rmap_registers_wr_o.aeb_gen_cfg_reserved_9c0.reserved(15 downto 8) &lt;= avalon_mm_rmap_i.writedata(15 downto 8);</t>
  </si>
  <si>
    <t xml:space="preserve">      rmap_registers_wr_o.aeb_gen_cfg_reserved_9c0.reserved(23 downto 16) &lt;= avalon_mm_rmap_i.writedata(23 downto 16);</t>
  </si>
  <si>
    <t xml:space="preserve">      rmap_registers_wr_o.aeb_gen_cfg_reserved_9c0.reserved(31 downto 24) &lt;= avalon_mm_rmap_i.writedata(31 downto 24);</t>
  </si>
  <si>
    <t xml:space="preserve">      rmap_registers_wr_o.aeb_gen_cfg_reserved_9c4.reserved(7 downto 0) &lt;= avalon_mm_rmap_i.writedata(7 downto 0);</t>
  </si>
  <si>
    <t xml:space="preserve">      rmap_registers_wr_o.aeb_gen_cfg_reserved_9c4.reserved(15 downto 8) &lt;= avalon_mm_rmap_i.writedata(15 downto 8);</t>
  </si>
  <si>
    <t xml:space="preserve">      rmap_registers_wr_o.aeb_gen_cfg_reserved_9c4.reserved(23 downto 16) &lt;= avalon_mm_rmap_i.writedata(23 downto 16);</t>
  </si>
  <si>
    <t xml:space="preserve">      rmap_registers_wr_o.aeb_gen_cfg_reserved_9c4.reserved(31 downto 24) &lt;= avalon_mm_rmap_i.writedata(31 downto 24);</t>
  </si>
  <si>
    <t xml:space="preserve">      rmap_registers_wr_o.aeb_gen_cfg_reserved_9c8.reserved(7 downto 0) &lt;= avalon_mm_rmap_i.writedata(7 downto 0);</t>
  </si>
  <si>
    <t xml:space="preserve">      rmap_registers_wr_o.aeb_gen_cfg_reserved_9c8.reserved(15 downto 8) &lt;= avalon_mm_rmap_i.writedata(15 downto 8);</t>
  </si>
  <si>
    <t xml:space="preserve">      rmap_registers_wr_o.aeb_gen_cfg_reserved_9c8.reserved(23 downto 16) &lt;= avalon_mm_rmap_i.writedata(23 downto 16);</t>
  </si>
  <si>
    <t xml:space="preserve">      rmap_registers_wr_o.aeb_gen_cfg_reserved_9c8.reserved(31 downto 24) &lt;= avalon_mm_rmap_i.writedata(31 downto 24);</t>
  </si>
  <si>
    <t xml:space="preserve">      rmap_registers_wr_o.aeb_gen_cfg_reserved_9cc.reserved(7 downto 0) &lt;= avalon_mm_rmap_i.writedata(7 downto 0);</t>
  </si>
  <si>
    <t xml:space="preserve">      rmap_registers_wr_o.aeb_gen_cfg_reserved_9cc.reserved(15 downto 8) &lt;= avalon_mm_rmap_i.writedata(15 downto 8);</t>
  </si>
  <si>
    <t xml:space="preserve">      rmap_registers_wr_o.aeb_gen_cfg_reserved_9cc.reserved(23 downto 16) &lt;= avalon_mm_rmap_i.writedata(23 downto 16);</t>
  </si>
  <si>
    <t xml:space="preserve">      rmap_registers_wr_o.aeb_gen_cfg_reserved_9cc.reserved(31 downto 24) &lt;= avalon_mm_rmap_i.writedata(31 downto 24);</t>
  </si>
  <si>
    <t xml:space="preserve">      rmap_registers_wr_o.aeb_gen_cfg_reserved_9d0.reserved(7 downto 0) &lt;= avalon_mm_rmap_i.writedata(7 downto 0);</t>
  </si>
  <si>
    <t xml:space="preserve">      rmap_registers_wr_o.aeb_gen_cfg_reserved_9d0.reserved(15 downto 8) &lt;= avalon_mm_rmap_i.writedata(15 downto 8);</t>
  </si>
  <si>
    <t xml:space="preserve">      rmap_registers_wr_o.aeb_gen_cfg_reserved_9d0.reserved(23 downto 16) &lt;= avalon_mm_rmap_i.writedata(23 downto 16);</t>
  </si>
  <si>
    <t xml:space="preserve">      rmap_registers_wr_o.aeb_gen_cfg_reserved_9d0.reserved(31 downto 24) &lt;= avalon_mm_rmap_i.writedata(31 downto 24);</t>
  </si>
  <si>
    <t xml:space="preserve">      rmap_registers_wr_o.aeb_gen_cfg_reserved_9d4.reserved(7 downto 0) &lt;= avalon_mm_rmap_i.writedata(7 downto 0);</t>
  </si>
  <si>
    <t xml:space="preserve">      rmap_registers_wr_o.aeb_gen_cfg_reserved_9d4.reserved(15 downto 8) &lt;= avalon_mm_rmap_i.writedata(15 downto 8);</t>
  </si>
  <si>
    <t xml:space="preserve">      rmap_registers_wr_o.aeb_gen_cfg_reserved_9d4.reserved(23 downto 16) &lt;= avalon_mm_rmap_i.writedata(23 downto 16);</t>
  </si>
  <si>
    <t xml:space="preserve">      rmap_registers_wr_o.aeb_gen_cfg_reserved_9d4.reserved(31 downto 24) &lt;= avalon_mm_rmap_i.writedata(31 downto 24);</t>
  </si>
  <si>
    <t xml:space="preserve">      rmap_registers_wr_o.aeb_gen_cfg_reserved_9d8.reserved(7 downto 0) &lt;= avalon_mm_rmap_i.writedata(7 downto 0);</t>
  </si>
  <si>
    <t xml:space="preserve">      rmap_registers_wr_o.aeb_gen_cfg_reserved_9d8.reserved(15 downto 8) &lt;= avalon_mm_rmap_i.writedata(15 downto 8);</t>
  </si>
  <si>
    <t xml:space="preserve">      rmap_registers_wr_o.aeb_gen_cfg_reserved_9d8.reserved(23 downto 16) &lt;= avalon_mm_rmap_i.writedata(23 downto 16);</t>
  </si>
  <si>
    <t xml:space="preserve">      rmap_registers_wr_o.aeb_gen_cfg_reserved_9d8.reserved(31 downto 24) &lt;= avalon_mm_rmap_i.writedata(31 downto 24);</t>
  </si>
  <si>
    <t xml:space="preserve">      rmap_registers_wr_o.aeb_gen_cfg_reserved_9dc.reserved(7 downto 0) &lt;= avalon_mm_rmap_i.writedata(7 downto 0);</t>
  </si>
  <si>
    <t xml:space="preserve">      rmap_registers_wr_o.aeb_gen_cfg_reserved_9dc.reserved(15 downto 8) &lt;= avalon_mm_rmap_i.writedata(15 downto 8);</t>
  </si>
  <si>
    <t xml:space="preserve">      rmap_registers_wr_o.aeb_gen_cfg_reserved_9dc.reserved(23 downto 16) &lt;= avalon_mm_rmap_i.writedata(23 downto 16);</t>
  </si>
  <si>
    <t xml:space="preserve">      rmap_registers_wr_o.aeb_gen_cfg_reserved_9dc.reserved(31 downto 24) &lt;= avalon_mm_rmap_i.writedata(31 downto 24);</t>
  </si>
  <si>
    <t xml:space="preserve">      rmap_registers_wr_o.aeb_gen_cfg_reserved_9e0.reserved(7 downto 0) &lt;= avalon_mm_rmap_i.writedata(7 downto 0);</t>
  </si>
  <si>
    <t xml:space="preserve">      rmap_registers_wr_o.aeb_gen_cfg_reserved_9e0.reserved(15 downto 8) &lt;= avalon_mm_rmap_i.writedata(15 downto 8);</t>
  </si>
  <si>
    <t xml:space="preserve">      rmap_registers_wr_o.aeb_gen_cfg_reserved_9e0.reserved(23 downto 16) &lt;= avalon_mm_rmap_i.writedata(23 downto 16);</t>
  </si>
  <si>
    <t xml:space="preserve">      rmap_registers_wr_o.aeb_gen_cfg_reserved_9e0.reserved(31 downto 24) &lt;= avalon_mm_rmap_i.writedata(31 downto 24);</t>
  </si>
  <si>
    <t xml:space="preserve">      rmap_registers_wr_o.aeb_gen_cfg_reserved_9e4.reserved(7 downto 0) &lt;= avalon_mm_rmap_i.writedata(7 downto 0);</t>
  </si>
  <si>
    <t xml:space="preserve">      rmap_registers_wr_o.aeb_gen_cfg_reserved_9e4.reserved(15 downto 8) &lt;= avalon_mm_rmap_i.writedata(15 downto 8);</t>
  </si>
  <si>
    <t xml:space="preserve">      rmap_registers_wr_o.aeb_gen_cfg_reserved_9e4.reserved(23 downto 16) &lt;= avalon_mm_rmap_i.writedata(23 downto 16);</t>
  </si>
  <si>
    <t xml:space="preserve">      rmap_registers_wr_o.aeb_gen_cfg_reserved_9e4.reserved(31 downto 24) &lt;= avalon_mm_rmap_i.writedata(31 downto 24);</t>
  </si>
  <si>
    <t xml:space="preserve">      rmap_registers_wr_o.aeb_gen_cfg_reserved_9e8.reserved(7 downto 0) &lt;= avalon_mm_rmap_i.writedata(7 downto 0);</t>
  </si>
  <si>
    <t xml:space="preserve">      rmap_registers_wr_o.aeb_gen_cfg_reserved_9e8.reserved(15 downto 8) &lt;= avalon_mm_rmap_i.writedata(15 downto 8);</t>
  </si>
  <si>
    <t xml:space="preserve">      rmap_registers_wr_o.aeb_gen_cfg_reserved_9e8.reserved(23 downto 16) &lt;= avalon_mm_rmap_i.writedata(23 downto 16);</t>
  </si>
  <si>
    <t xml:space="preserve">      rmap_registers_wr_o.aeb_gen_cfg_reserved_9e8.reserved(31 downto 24) &lt;= avalon_mm_rmap_i.writedata(31 downto 24);</t>
  </si>
  <si>
    <t xml:space="preserve">      rmap_registers_wr_o.aeb_gen_cfg_reserved_9ec.reserved(7 downto 0) &lt;= avalon_mm_rmap_i.writedata(7 downto 0);</t>
  </si>
  <si>
    <t xml:space="preserve">      rmap_registers_wr_o.aeb_gen_cfg_reserved_9ec.reserved(15 downto 8) &lt;= avalon_mm_rmap_i.writedata(15 downto 8);</t>
  </si>
  <si>
    <t xml:space="preserve">      rmap_registers_wr_o.aeb_gen_cfg_reserved_9ec.reserved(23 downto 16) &lt;= avalon_mm_rmap_i.writedata(23 downto 16);</t>
  </si>
  <si>
    <t xml:space="preserve">      rmap_registers_wr_o.aeb_gen_cfg_reserved_9ec.reserved(31 downto 24) &lt;= avalon_mm_rmap_i.writedata(31 downto 24);</t>
  </si>
  <si>
    <t xml:space="preserve">      rmap_registers_wr_o.aeb_gen_cfg_reserved_9f0.reserved(7 downto 0) &lt;= avalon_mm_rmap_i.writedata(7 downto 0);</t>
  </si>
  <si>
    <t xml:space="preserve">      rmap_registers_wr_o.aeb_gen_cfg_reserved_9f0.reserved(15 downto 8) &lt;= avalon_mm_rmap_i.writedata(15 downto 8);</t>
  </si>
  <si>
    <t xml:space="preserve">      rmap_registers_wr_o.aeb_gen_cfg_reserved_9f0.reserved(23 downto 16) &lt;= avalon_mm_rmap_i.writedata(23 downto 16);</t>
  </si>
  <si>
    <t xml:space="preserve">      rmap_registers_wr_o.aeb_gen_cfg_reserved_9f0.reserved(31 downto 24) &lt;= avalon_mm_rmap_i.writedata(31 downto 24);</t>
  </si>
  <si>
    <t xml:space="preserve">      rmap_registers_wr_o.aeb_gen_cfg_reserved_9f4.reserved(7 downto 0) &lt;= avalon_mm_rmap_i.writedata(7 downto 0);</t>
  </si>
  <si>
    <t xml:space="preserve">      rmap_registers_wr_o.aeb_gen_cfg_reserved_9f4.reserved(15 downto 8) &lt;= avalon_mm_rmap_i.writedata(15 downto 8);</t>
  </si>
  <si>
    <t xml:space="preserve">      rmap_registers_wr_o.aeb_gen_cfg_reserved_9f4.reserved(23 downto 16) &lt;= avalon_mm_rmap_i.writedata(23 downto 16);</t>
  </si>
  <si>
    <t xml:space="preserve">      rmap_registers_wr_o.aeb_gen_cfg_reserved_9f4.reserved(31 downto 24) &lt;= avalon_mm_rmap_i.writedata(31 downto 24);</t>
  </si>
  <si>
    <t xml:space="preserve">      rmap_registers_wr_o.aeb_gen_cfg_reserved_9f8.reserved(7 downto 0) &lt;= avalon_mm_rmap_i.writedata(7 downto 0);</t>
  </si>
  <si>
    <t xml:space="preserve">      rmap_registers_wr_o.aeb_gen_cfg_reserved_9f8.reserved(15 downto 8) &lt;= avalon_mm_rmap_i.writedata(15 downto 8);</t>
  </si>
  <si>
    <t xml:space="preserve">      rmap_registers_wr_o.aeb_gen_cfg_reserved_9f8.reserved(23 downto 16) &lt;= avalon_mm_rmap_i.writedata(23 downto 16);</t>
  </si>
  <si>
    <t xml:space="preserve">      rmap_registers_wr_o.aeb_gen_cfg_reserved_9f8.reserved(31 downto 24) &lt;= avalon_mm_rmap_i.writedata(31 downto 24);</t>
  </si>
  <si>
    <t xml:space="preserve">      rmap_registers_wr_o.aeb_gen_cfg_reserved_9fc.reserved(7 downto 0) &lt;= avalon_mm_rmap_i.writedata(7 downto 0);</t>
  </si>
  <si>
    <t xml:space="preserve">      rmap_registers_wr_o.aeb_gen_cfg_reserved_9fc.reserved(15 downto 8) &lt;= avalon_mm_rmap_i.writedata(15 downto 8);</t>
  </si>
  <si>
    <t xml:space="preserve">      rmap_registers_wr_o.aeb_gen_cfg_reserved_9fc.reserved(23 downto 16) &lt;= avalon_mm_rmap_i.writedata(23 downto 16);</t>
  </si>
  <si>
    <t xml:space="preserve">      rmap_registers_wr_o.aeb_gen_cfg_reserved_9fc.reserved(31 downto 24) &lt;= avalon_mm_rmap_i.writedata(31 downto 24);</t>
  </si>
  <si>
    <t xml:space="preserve">      rmap_registers_wr_o.aeb_gen_cfg_reserved_a00.reserved(7 downto 0) &lt;= avalon_mm_rmap_i.writedata(7 downto 0);</t>
  </si>
  <si>
    <t xml:space="preserve">      rmap_registers_wr_o.aeb_gen_cfg_reserved_a00.reserved(15 downto 8) &lt;= avalon_mm_rmap_i.writedata(15 downto 8);</t>
  </si>
  <si>
    <t xml:space="preserve">      rmap_registers_wr_o.aeb_gen_cfg_reserved_a00.reserved(23 downto 16) &lt;= avalon_mm_rmap_i.writedata(23 downto 16);</t>
  </si>
  <si>
    <t xml:space="preserve">      rmap_registers_wr_o.aeb_gen_cfg_reserved_a00.reserved(31 downto 24) &lt;= avalon_mm_rmap_i.writedata(31 downto 24);</t>
  </si>
  <si>
    <t xml:space="preserve">      rmap_registers_wr_o.aeb_gen_cfg_reserved_a04.reserved(7 downto 0) &lt;= avalon_mm_rmap_i.writedata(7 downto 0);</t>
  </si>
  <si>
    <t xml:space="preserve">      rmap_registers_wr_o.aeb_gen_cfg_reserved_a04.reserved(15 downto 8) &lt;= avalon_mm_rmap_i.writedata(15 downto 8);</t>
  </si>
  <si>
    <t xml:space="preserve">      rmap_registers_wr_o.aeb_gen_cfg_reserved_a04.reserved(23 downto 16) &lt;= avalon_mm_rmap_i.writedata(23 downto 16);</t>
  </si>
  <si>
    <t xml:space="preserve">      rmap_registers_wr_o.aeb_gen_cfg_reserved_a04.reserved(31 downto 24) &lt;= avalon_mm_rmap_i.writedata(31 downto 24);</t>
  </si>
  <si>
    <t xml:space="preserve">      rmap_registers_wr_o.aeb_gen_cfg_reserved_a08.reserved(7 downto 0) &lt;= avalon_mm_rmap_i.writedata(7 downto 0);</t>
  </si>
  <si>
    <t xml:space="preserve">      rmap_registers_wr_o.aeb_gen_cfg_reserved_a08.reserved(15 downto 8) &lt;= avalon_mm_rmap_i.writedata(15 downto 8);</t>
  </si>
  <si>
    <t xml:space="preserve">      rmap_registers_wr_o.aeb_gen_cfg_reserved_a08.reserved(23 downto 16) &lt;= avalon_mm_rmap_i.writedata(23 downto 16);</t>
  </si>
  <si>
    <t xml:space="preserve">      rmap_registers_wr_o.aeb_gen_cfg_reserved_a08.reserved(31 downto 24) &lt;= avalon_mm_rmap_i.writedata(31 downto 24);</t>
  </si>
  <si>
    <t xml:space="preserve">      rmap_registers_wr_o.aeb_gen_cfg_reserved_a0c.reserved(7 downto 0) &lt;= avalon_mm_rmap_i.writedata(7 downto 0);</t>
  </si>
  <si>
    <t xml:space="preserve">      rmap_registers_wr_o.aeb_gen_cfg_reserved_a0c.reserved(15 downto 8) &lt;= avalon_mm_rmap_i.writedata(15 downto 8);</t>
  </si>
  <si>
    <t xml:space="preserve">      rmap_registers_wr_o.aeb_gen_cfg_reserved_a0c.reserved(23 downto 16) &lt;= avalon_mm_rmap_i.writedata(23 downto 16);</t>
  </si>
  <si>
    <t xml:space="preserve">      rmap_registers_wr_o.aeb_gen_cfg_reserved_a0c.reserved(31 downto 24) &lt;= avalon_mm_rmap_i.writedata(31 downto 24);</t>
  </si>
  <si>
    <t xml:space="preserve">      rmap_registers_wr_o.aeb_gen_cfg_reserved_a10.reserved(7 downto 0) &lt;= avalon_mm_rmap_i.writedata(7 downto 0);</t>
  </si>
  <si>
    <t xml:space="preserve">      rmap_registers_wr_o.aeb_gen_cfg_reserved_a10.reserved(15 downto 8) &lt;= avalon_mm_rmap_i.writedata(15 downto 8);</t>
  </si>
  <si>
    <t xml:space="preserve">      rmap_registers_wr_o.aeb_gen_cfg_reserved_a10.reserved(23 downto 16) &lt;= avalon_mm_rmap_i.writedata(23 downto 16);</t>
  </si>
  <si>
    <t xml:space="preserve">      rmap_registers_wr_o.aeb_gen_cfg_reserved_a10.reserved(31 downto 24) &lt;= avalon_mm_rmap_i.writedata(31 downto 24);</t>
  </si>
  <si>
    <t xml:space="preserve">      rmap_registers_wr_o.aeb_gen_cfg_reserved_a14.reserved(7 downto 0) &lt;= avalon_mm_rmap_i.writedata(7 downto 0);</t>
  </si>
  <si>
    <t xml:space="preserve">      rmap_registers_wr_o.aeb_gen_cfg_reserved_a14.reserved(15 downto 8) &lt;= avalon_mm_rmap_i.writedata(15 downto 8);</t>
  </si>
  <si>
    <t xml:space="preserve">      rmap_registers_wr_o.aeb_gen_cfg_reserved_a14.reserved(23 downto 16) &lt;= avalon_mm_rmap_i.writedata(23 downto 16);</t>
  </si>
  <si>
    <t xml:space="preserve">      rmap_registers_wr_o.aeb_gen_cfg_reserved_a14.reserved(31 downto 24) &lt;= avalon_mm_rmap_i.writedata(31 downto 24);</t>
  </si>
  <si>
    <t xml:space="preserve">      rmap_registers_wr_o.aeb_gen_cfg_reserved_a18.reserved(7 downto 0) &lt;= avalon_mm_rmap_i.writedata(7 downto 0);</t>
  </si>
  <si>
    <t xml:space="preserve">      rmap_registers_wr_o.aeb_gen_cfg_reserved_a18.reserved(15 downto 8) &lt;= avalon_mm_rmap_i.writedata(15 downto 8);</t>
  </si>
  <si>
    <t xml:space="preserve">      rmap_registers_wr_o.aeb_gen_cfg_reserved_a18.reserved(23 downto 16) &lt;= avalon_mm_rmap_i.writedata(23 downto 16);</t>
  </si>
  <si>
    <t xml:space="preserve">      rmap_registers_wr_o.aeb_gen_cfg_reserved_a18.reserved(31 downto 24) &lt;= avalon_mm_rmap_i.writedata(31 downto 24);</t>
  </si>
  <si>
    <t xml:space="preserve">      rmap_registers_wr_o.aeb_gen_cfg_reserved_a1c.reserved(7 downto 0) &lt;= avalon_mm_rmap_i.writedata(7 downto 0);</t>
  </si>
  <si>
    <t xml:space="preserve">      rmap_registers_wr_o.aeb_gen_cfg_reserved_a1c.reserved(15 downto 8) &lt;= avalon_mm_rmap_i.writedata(15 downto 8);</t>
  </si>
  <si>
    <t xml:space="preserve">      rmap_registers_wr_o.aeb_gen_cfg_reserved_a1c.reserved(23 downto 16) &lt;= avalon_mm_rmap_i.writedata(23 downto 16);</t>
  </si>
  <si>
    <t xml:space="preserve">      rmap_registers_wr_o.aeb_gen_cfg_reserved_a1c.reserved(31 downto 24) &lt;= avalon_mm_rmap_i.writedata(31 downto 24);</t>
  </si>
  <si>
    <t xml:space="preserve">      rmap_registers_wr_o.aeb_gen_cfg_reserved_a20.reserved(7 downto 0) &lt;= avalon_mm_rmap_i.writedata(7 downto 0);</t>
  </si>
  <si>
    <t xml:space="preserve">      rmap_registers_wr_o.aeb_gen_cfg_reserved_a20.reserved(15 downto 8) &lt;= avalon_mm_rmap_i.writedata(15 downto 8);</t>
  </si>
  <si>
    <t xml:space="preserve">      rmap_registers_wr_o.aeb_gen_cfg_reserved_a20.reserved(23 downto 16) &lt;= avalon_mm_rmap_i.writedata(23 downto 16);</t>
  </si>
  <si>
    <t xml:space="preserve">      rmap_registers_wr_o.aeb_gen_cfg_reserved_a20.reserved(31 downto 24) &lt;= avalon_mm_rmap_i.writedata(31 downto 24);</t>
  </si>
  <si>
    <t xml:space="preserve">      rmap_registers_wr_o.aeb_gen_cfg_reserved_a24.reserved(7 downto 0) &lt;= avalon_mm_rmap_i.writedata(7 downto 0);</t>
  </si>
  <si>
    <t xml:space="preserve">      rmap_registers_wr_o.aeb_gen_cfg_reserved_a24.reserved(15 downto 8) &lt;= avalon_mm_rmap_i.writedata(15 downto 8);</t>
  </si>
  <si>
    <t xml:space="preserve">      rmap_registers_wr_o.aeb_gen_cfg_reserved_a24.reserved(23 downto 16) &lt;= avalon_mm_rmap_i.writedata(23 downto 16);</t>
  </si>
  <si>
    <t xml:space="preserve">      rmap_registers_wr_o.aeb_gen_cfg_reserved_a24.reserved(31 downto 24) &lt;= avalon_mm_rmap_i.writedata(31 downto 24);</t>
  </si>
  <si>
    <t xml:space="preserve">      rmap_registers_wr_o.aeb_gen_cfg_reserved_a28.reserved(7 downto 0) &lt;= avalon_mm_rmap_i.writedata(7 downto 0);</t>
  </si>
  <si>
    <t xml:space="preserve">      rmap_registers_wr_o.aeb_gen_cfg_reserved_a28.reserved(15 downto 8) &lt;= avalon_mm_rmap_i.writedata(15 downto 8);</t>
  </si>
  <si>
    <t xml:space="preserve">      rmap_registers_wr_o.aeb_gen_cfg_reserved_a28.reserved(23 downto 16) &lt;= avalon_mm_rmap_i.writedata(23 downto 16);</t>
  </si>
  <si>
    <t xml:space="preserve">      rmap_registers_wr_o.aeb_gen_cfg_reserved_a28.reserved(31 downto 24) &lt;= avalon_mm_rmap_i.writedata(31 downto 24);</t>
  </si>
  <si>
    <t xml:space="preserve">      rmap_registers_wr_o.aeb_gen_cfg_reserved_a2c.reserved(7 downto 0) &lt;= avalon_mm_rmap_i.writedata(7 downto 0);</t>
  </si>
  <si>
    <t xml:space="preserve">      rmap_registers_wr_o.aeb_gen_cfg_reserved_a2c.reserved(15 downto 8) &lt;= avalon_mm_rmap_i.writedata(15 downto 8);</t>
  </si>
  <si>
    <t xml:space="preserve">      rmap_registers_wr_o.aeb_gen_cfg_reserved_a2c.reserved(23 downto 16) &lt;= avalon_mm_rmap_i.writedata(23 downto 16);</t>
  </si>
  <si>
    <t xml:space="preserve">      rmap_registers_wr_o.aeb_gen_cfg_reserved_a2c.reserved(31 downto 24) &lt;= avalon_mm_rmap_i.writedata(31 downto 24);</t>
  </si>
  <si>
    <t xml:space="preserve">      rmap_registers_wr_o.aeb_gen_cfg_reserved_a30.reserved(7 downto 0) &lt;= avalon_mm_rmap_i.writedata(7 downto 0);</t>
  </si>
  <si>
    <t xml:space="preserve">      rmap_registers_wr_o.aeb_gen_cfg_reserved_a30.reserved(15 downto 8) &lt;= avalon_mm_rmap_i.writedata(15 downto 8);</t>
  </si>
  <si>
    <t xml:space="preserve">      rmap_registers_wr_o.aeb_gen_cfg_reserved_a30.reserved(23 downto 16) &lt;= avalon_mm_rmap_i.writedata(23 downto 16);</t>
  </si>
  <si>
    <t xml:space="preserve">      rmap_registers_wr_o.aeb_gen_cfg_reserved_a30.reserved(31 downto 24) &lt;= avalon_mm_rmap_i.writedata(31 downto 24);</t>
  </si>
  <si>
    <t xml:space="preserve">      rmap_registers_wr_o.aeb_gen_cfg_reserved_a34.reserved(7 downto 0) &lt;= avalon_mm_rmap_i.writedata(7 downto 0);</t>
  </si>
  <si>
    <t xml:space="preserve">      rmap_registers_wr_o.aeb_gen_cfg_reserved_a34.reserved(15 downto 8) &lt;= avalon_mm_rmap_i.writedata(15 downto 8);</t>
  </si>
  <si>
    <t xml:space="preserve">      rmap_registers_wr_o.aeb_gen_cfg_reserved_a34.reserved(23 downto 16) &lt;= avalon_mm_rmap_i.writedata(23 downto 16);</t>
  </si>
  <si>
    <t xml:space="preserve">      rmap_registers_wr_o.aeb_gen_cfg_reserved_a34.reserved(31 downto 24) &lt;= avalon_mm_rmap_i.writedata(31 downto 24);</t>
  </si>
  <si>
    <t xml:space="preserve">      rmap_registers_wr_o.aeb_gen_cfg_reserved_a38.reserved(7 downto 0) &lt;= avalon_mm_rmap_i.writedata(7 downto 0);</t>
  </si>
  <si>
    <t xml:space="preserve">      rmap_registers_wr_o.aeb_gen_cfg_reserved_a38.reserved(15 downto 8) &lt;= avalon_mm_rmap_i.writedata(15 downto 8);</t>
  </si>
  <si>
    <t xml:space="preserve">      rmap_registers_wr_o.aeb_gen_cfg_reserved_a38.reserved(23 downto 16) &lt;= avalon_mm_rmap_i.writedata(23 downto 16);</t>
  </si>
  <si>
    <t xml:space="preserve">      rmap_registers_wr_o.aeb_gen_cfg_reserved_a38.reserved(31 downto 24) &lt;= avalon_mm_rmap_i.writedata(31 downto 24);</t>
  </si>
  <si>
    <t xml:space="preserve">      rmap_registers_wr_o.aeb_gen_cfg_reserved_a3c.reserved(7 downto 0) &lt;= avalon_mm_rmap_i.writedata(7 downto 0);</t>
  </si>
  <si>
    <t xml:space="preserve">      rmap_registers_wr_o.aeb_gen_cfg_reserved_a3c.reserved(15 downto 8) &lt;= avalon_mm_rmap_i.writedata(15 downto 8);</t>
  </si>
  <si>
    <t xml:space="preserve">      rmap_registers_wr_o.aeb_gen_cfg_reserved_a3c.reserved(23 downto 16) &lt;= avalon_mm_rmap_i.writedata(23 downto 16);</t>
  </si>
  <si>
    <t xml:space="preserve">      rmap_registers_wr_o.aeb_gen_cfg_reserved_a3c.reserved(31 downto 24) &lt;= avalon_mm_rmap_i.writedata(31 downto 24);</t>
  </si>
  <si>
    <t xml:space="preserve">      rmap_registers_wr_o.aeb_gen_cfg_reserved_a40.reserved(7 downto 0) &lt;= avalon_mm_rmap_i.writedata(7 downto 0);</t>
  </si>
  <si>
    <t xml:space="preserve">      rmap_registers_wr_o.aeb_gen_cfg_reserved_a40.reserved(15 downto 8) &lt;= avalon_mm_rmap_i.writedata(15 downto 8);</t>
  </si>
  <si>
    <t xml:space="preserve">      rmap_registers_wr_o.aeb_gen_cfg_reserved_a40.reserved(23 downto 16) &lt;= avalon_mm_rmap_i.writedata(23 downto 16);</t>
  </si>
  <si>
    <t xml:space="preserve">      rmap_registers_wr_o.aeb_gen_cfg_reserved_a40.reserved(31 downto 24) &lt;= avalon_mm_rmap_i.writedata(31 downto 24);</t>
  </si>
  <si>
    <t xml:space="preserve">      rmap_registers_wr_o.aeb_gen_cfg_reserved_a44.reserved(7 downto 0) &lt;= avalon_mm_rmap_i.writedata(7 downto 0);</t>
  </si>
  <si>
    <t xml:space="preserve">      rmap_registers_wr_o.aeb_gen_cfg_reserved_a44.reserved(15 downto 8) &lt;= avalon_mm_rmap_i.writedata(15 downto 8);</t>
  </si>
  <si>
    <t xml:space="preserve">      rmap_registers_wr_o.aeb_gen_cfg_reserved_a44.reserved(23 downto 16) &lt;= avalon_mm_rmap_i.writedata(23 downto 16);</t>
  </si>
  <si>
    <t xml:space="preserve">      rmap_registers_wr_o.aeb_gen_cfg_reserved_a44.reserved(31 downto 24) &lt;= avalon_mm_rmap_i.writedata(31 downto 24);</t>
  </si>
  <si>
    <t xml:space="preserve">      rmap_registers_wr_o.aeb_gen_cfg_reserved_a48.reserved(7 downto 0) &lt;= avalon_mm_rmap_i.writedata(7 downto 0);</t>
  </si>
  <si>
    <t xml:space="preserve">      rmap_registers_wr_o.aeb_gen_cfg_reserved_a48.reserved(15 downto 8) &lt;= avalon_mm_rmap_i.writedata(15 downto 8);</t>
  </si>
  <si>
    <t xml:space="preserve">      rmap_registers_wr_o.aeb_gen_cfg_reserved_a48.reserved(23 downto 16) &lt;= avalon_mm_rmap_i.writedata(23 downto 16);</t>
  </si>
  <si>
    <t xml:space="preserve">      rmap_registers_wr_o.aeb_gen_cfg_reserved_a48.reserved(31 downto 24) &lt;= avalon_mm_rmap_i.writedata(31 downto 24);</t>
  </si>
  <si>
    <t xml:space="preserve">      rmap_registers_wr_o.aeb_gen_cfg_reserved_a4c.reserved(7 downto 0) &lt;= avalon_mm_rmap_i.writedata(7 downto 0);</t>
  </si>
  <si>
    <t xml:space="preserve">      rmap_registers_wr_o.aeb_gen_cfg_reserved_a4c.reserved(15 downto 8) &lt;= avalon_mm_rmap_i.writedata(15 downto 8);</t>
  </si>
  <si>
    <t xml:space="preserve">      rmap_registers_wr_o.aeb_gen_cfg_reserved_a4c.reserved(23 downto 16) &lt;= avalon_mm_rmap_i.writedata(23 downto 16);</t>
  </si>
  <si>
    <t xml:space="preserve">      rmap_registers_wr_o.aeb_gen_cfg_reserved_a4c.reserved(31 downto 24) &lt;= avalon_mm_rmap_i.writedata(31 downto 24);</t>
  </si>
  <si>
    <t xml:space="preserve">      rmap_registers_wr_o.aeb_gen_cfg_reserved_a50.reserved(7 downto 0) &lt;= avalon_mm_rmap_i.writedata(7 downto 0);</t>
  </si>
  <si>
    <t xml:space="preserve">      rmap_registers_wr_o.aeb_gen_cfg_reserved_a50.reserved(15 downto 8) &lt;= avalon_mm_rmap_i.writedata(15 downto 8);</t>
  </si>
  <si>
    <t xml:space="preserve">      rmap_registers_wr_o.aeb_gen_cfg_reserved_a50.reserved(23 downto 16) &lt;= avalon_mm_rmap_i.writedata(23 downto 16);</t>
  </si>
  <si>
    <t xml:space="preserve">      rmap_registers_wr_o.aeb_gen_cfg_reserved_a50.reserved(31 downto 24) &lt;= avalon_mm_rmap_i.writedata(31 downto 24);</t>
  </si>
  <si>
    <t xml:space="preserve">      rmap_registers_wr_o.aeb_gen_cfg_reserved_a54.reserved(7 downto 0) &lt;= avalon_mm_rmap_i.writedata(7 downto 0);</t>
  </si>
  <si>
    <t xml:space="preserve">      rmap_registers_wr_o.aeb_gen_cfg_reserved_a54.reserved(15 downto 8) &lt;= avalon_mm_rmap_i.writedata(15 downto 8);</t>
  </si>
  <si>
    <t xml:space="preserve">      rmap_registers_wr_o.aeb_gen_cfg_reserved_a54.reserved(23 downto 16) &lt;= avalon_mm_rmap_i.writedata(23 downto 16);</t>
  </si>
  <si>
    <t xml:space="preserve">      rmap_registers_wr_o.aeb_gen_cfg_reserved_a54.reserved(31 downto 24) &lt;= avalon_mm_rmap_i.writedata(31 downto 24);</t>
  </si>
  <si>
    <t xml:space="preserve">      rmap_registers_wr_o.aeb_gen_cfg_reserved_a58.reserved(7 downto 0) &lt;= avalon_mm_rmap_i.writedata(7 downto 0);</t>
  </si>
  <si>
    <t xml:space="preserve">      rmap_registers_wr_o.aeb_gen_cfg_reserved_a58.reserved(15 downto 8) &lt;= avalon_mm_rmap_i.writedata(15 downto 8);</t>
  </si>
  <si>
    <t xml:space="preserve">      rmap_registers_wr_o.aeb_gen_cfg_reserved_a58.reserved(23 downto 16) &lt;= avalon_mm_rmap_i.writedata(23 downto 16);</t>
  </si>
  <si>
    <t xml:space="preserve">      rmap_registers_wr_o.aeb_gen_cfg_reserved_a58.reserved(31 downto 24) &lt;= avalon_mm_rmap_i.writedata(31 downto 24);</t>
  </si>
  <si>
    <t xml:space="preserve">      rmap_registers_wr_o.aeb_gen_cfg_reserved_a5c.reserved(7 downto 0) &lt;= avalon_mm_rmap_i.writedata(7 downto 0);</t>
  </si>
  <si>
    <t xml:space="preserve">      rmap_registers_wr_o.aeb_gen_cfg_reserved_a5c.reserved(15 downto 8) &lt;= avalon_mm_rmap_i.writedata(15 downto 8);</t>
  </si>
  <si>
    <t xml:space="preserve">      rmap_registers_wr_o.aeb_gen_cfg_reserved_a5c.reserved(23 downto 16) &lt;= avalon_mm_rmap_i.writedata(23 downto 16);</t>
  </si>
  <si>
    <t xml:space="preserve">      rmap_registers_wr_o.aeb_gen_cfg_reserved_a5c.reserved(31 downto 24) &lt;= avalon_mm_rmap_i.writedata(31 downto 24);</t>
  </si>
  <si>
    <t xml:space="preserve">      rmap_registers_wr_o.aeb_gen_cfg_reserved_a60.reserved(7 downto 0) &lt;= avalon_mm_rmap_i.writedata(7 downto 0);</t>
  </si>
  <si>
    <t xml:space="preserve">      rmap_registers_wr_o.aeb_gen_cfg_reserved_a60.reserved(15 downto 8) &lt;= avalon_mm_rmap_i.writedata(15 downto 8);</t>
  </si>
  <si>
    <t xml:space="preserve">      rmap_registers_wr_o.aeb_gen_cfg_reserved_a60.reserved(23 downto 16) &lt;= avalon_mm_rmap_i.writedata(23 downto 16);</t>
  </si>
  <si>
    <t xml:space="preserve">      rmap_registers_wr_o.aeb_gen_cfg_reserved_a60.reserved(31 downto 24) &lt;= avalon_mm_rmap_i.writedata(31 downto 24);</t>
  </si>
  <si>
    <t xml:space="preserve">      rmap_registers_wr_o.aeb_gen_cfg_reserved_a64.reserved(7 downto 0) &lt;= avalon_mm_rmap_i.writedata(7 downto 0);</t>
  </si>
  <si>
    <t xml:space="preserve">      rmap_registers_wr_o.aeb_gen_cfg_reserved_a64.reserved(15 downto 8) &lt;= avalon_mm_rmap_i.writedata(15 downto 8);</t>
  </si>
  <si>
    <t xml:space="preserve">      rmap_registers_wr_o.aeb_gen_cfg_reserved_a64.reserved(23 downto 16) &lt;= avalon_mm_rmap_i.writedata(23 downto 16);</t>
  </si>
  <si>
    <t xml:space="preserve">      rmap_registers_wr_o.aeb_gen_cfg_reserved_a64.reserved(31 downto 24) &lt;= avalon_mm_rmap_i.writedata(31 downto 24);</t>
  </si>
  <si>
    <t xml:space="preserve">      rmap_registers_wr_o.aeb_gen_cfg_reserved_a68.reserved(7 downto 0) &lt;= avalon_mm_rmap_i.writedata(7 downto 0);</t>
  </si>
  <si>
    <t xml:space="preserve">      rmap_registers_wr_o.aeb_gen_cfg_reserved_a68.reserved(15 downto 8) &lt;= avalon_mm_rmap_i.writedata(15 downto 8);</t>
  </si>
  <si>
    <t xml:space="preserve">      rmap_registers_wr_o.aeb_gen_cfg_reserved_a68.reserved(23 downto 16) &lt;= avalon_mm_rmap_i.writedata(23 downto 16);</t>
  </si>
  <si>
    <t xml:space="preserve">      rmap_registers_wr_o.aeb_gen_cfg_reserved_a68.reserved(31 downto 24) &lt;= avalon_mm_rmap_i.writedata(31 downto 24);</t>
  </si>
  <si>
    <t xml:space="preserve">      rmap_registers_wr_o.aeb_gen_cfg_reserved_a6c.reserved(7 downto 0) &lt;= avalon_mm_rmap_i.writedata(7 downto 0);</t>
  </si>
  <si>
    <t xml:space="preserve">      rmap_registers_wr_o.aeb_gen_cfg_reserved_a6c.reserved(15 downto 8) &lt;= avalon_mm_rmap_i.writedata(15 downto 8);</t>
  </si>
  <si>
    <t xml:space="preserve">      rmap_registers_wr_o.aeb_gen_cfg_reserved_a6c.reserved(23 downto 16) &lt;= avalon_mm_rmap_i.writedata(23 downto 16);</t>
  </si>
  <si>
    <t xml:space="preserve">      rmap_registers_wr_o.aeb_gen_cfg_reserved_a6c.reserved(31 downto 24) &lt;= avalon_mm_rmap_i.writedata(31 downto 24);</t>
  </si>
  <si>
    <t xml:space="preserve">      rmap_registers_wr_o.aeb_gen_cfg_reserved_a70.reserved(7 downto 0) &lt;= avalon_mm_rmap_i.writedata(7 downto 0);</t>
  </si>
  <si>
    <t xml:space="preserve">      rmap_registers_wr_o.aeb_gen_cfg_reserved_a70.reserved(15 downto 8) &lt;= avalon_mm_rmap_i.writedata(15 downto 8);</t>
  </si>
  <si>
    <t xml:space="preserve">      rmap_registers_wr_o.aeb_gen_cfg_reserved_a70.reserved(23 downto 16) &lt;= avalon_mm_rmap_i.writedata(23 downto 16);</t>
  </si>
  <si>
    <t xml:space="preserve">      rmap_registers_wr_o.aeb_gen_cfg_reserved_a70.reserved(31 downto 24) &lt;= avalon_mm_rmap_i.writedata(31 downto 24);</t>
  </si>
  <si>
    <t xml:space="preserve">      rmap_registers_wr_o.aeb_gen_cfg_reserved_a74.reserved(7 downto 0) &lt;= avalon_mm_rmap_i.writedata(7 downto 0);</t>
  </si>
  <si>
    <t xml:space="preserve">      rmap_registers_wr_o.aeb_gen_cfg_reserved_a74.reserved(15 downto 8) &lt;= avalon_mm_rmap_i.writedata(15 downto 8);</t>
  </si>
  <si>
    <t xml:space="preserve">      rmap_registers_wr_o.aeb_gen_cfg_reserved_a74.reserved(23 downto 16) &lt;= avalon_mm_rmap_i.writedata(23 downto 16);</t>
  </si>
  <si>
    <t xml:space="preserve">      rmap_registers_wr_o.aeb_gen_cfg_reserved_a74.reserved(31 downto 24) &lt;= avalon_mm_rmap_i.writedata(31 downto 24);</t>
  </si>
  <si>
    <t xml:space="preserve">      rmap_registers_wr_o.aeb_gen_cfg_reserved_a78.reserved(7 downto 0) &lt;= avalon_mm_rmap_i.writedata(7 downto 0);</t>
  </si>
  <si>
    <t xml:space="preserve">      rmap_registers_wr_o.aeb_gen_cfg_reserved_a78.reserved(15 downto 8) &lt;= avalon_mm_rmap_i.writedata(15 downto 8);</t>
  </si>
  <si>
    <t xml:space="preserve">      rmap_registers_wr_o.aeb_gen_cfg_reserved_a78.reserved(23 downto 16) &lt;= avalon_mm_rmap_i.writedata(23 downto 16);</t>
  </si>
  <si>
    <t xml:space="preserve">      rmap_registers_wr_o.aeb_gen_cfg_reserved_a78.reserved(31 downto 24) &lt;= avalon_mm_rmap_i.writedata(31 downto 24);</t>
  </si>
  <si>
    <t xml:space="preserve">      rmap_registers_wr_o.aeb_gen_cfg_reserved_a7c.reserved(7 downto 0) &lt;= avalon_mm_rmap_i.writedata(7 downto 0);</t>
  </si>
  <si>
    <t xml:space="preserve">      rmap_registers_wr_o.aeb_gen_cfg_reserved_a7c.reserved(15 downto 8) &lt;= avalon_mm_rmap_i.writedata(15 downto 8);</t>
  </si>
  <si>
    <t xml:space="preserve">      rmap_registers_wr_o.aeb_gen_cfg_reserved_a7c.reserved(23 downto 16) &lt;= avalon_mm_rmap_i.writedata(23 downto 16);</t>
  </si>
  <si>
    <t xml:space="preserve">      rmap_registers_wr_o.aeb_gen_cfg_reserved_a7c.reserved(31 downto 24) &lt;= avalon_mm_rmap_i.writedata(31 downto 24);</t>
  </si>
  <si>
    <t xml:space="preserve">      rmap_registers_wr_o.aeb_gen_cfg_reserved_a80.reserved(7 downto 0) &lt;= avalon_mm_rmap_i.writedata(7 downto 0);</t>
  </si>
  <si>
    <t xml:space="preserve">      rmap_registers_wr_o.aeb_gen_cfg_reserved_a80.reserved(15 downto 8) &lt;= avalon_mm_rmap_i.writedata(15 downto 8);</t>
  </si>
  <si>
    <t xml:space="preserve">      rmap_registers_wr_o.aeb_gen_cfg_reserved_a80.reserved(23 downto 16) &lt;= avalon_mm_rmap_i.writedata(23 downto 16);</t>
  </si>
  <si>
    <t xml:space="preserve">      rmap_registers_wr_o.aeb_gen_cfg_reserved_a80.reserved(31 downto 24) &lt;= avalon_mm_rmap_i.writedata(31 downto 24);</t>
  </si>
  <si>
    <t xml:space="preserve">      rmap_registers_wr_o.aeb_gen_cfg_reserved_a84.reserved(7 downto 0) &lt;= avalon_mm_rmap_i.writedata(7 downto 0);</t>
  </si>
  <si>
    <t xml:space="preserve">      rmap_registers_wr_o.aeb_gen_cfg_reserved_a84.reserved(15 downto 8) &lt;= avalon_mm_rmap_i.writedata(15 downto 8);</t>
  </si>
  <si>
    <t xml:space="preserve">      rmap_registers_wr_o.aeb_gen_cfg_reserved_a84.reserved(23 downto 16) &lt;= avalon_mm_rmap_i.writedata(23 downto 16);</t>
  </si>
  <si>
    <t xml:space="preserve">      rmap_registers_wr_o.aeb_gen_cfg_reserved_a84.reserved(31 downto 24) &lt;= avalon_mm_rmap_i.writedata(31 downto 24);</t>
  </si>
  <si>
    <t xml:space="preserve">      rmap_registers_wr_o.aeb_gen_cfg_reserved_a88.reserved(7 downto 0) &lt;= avalon_mm_rmap_i.writedata(7 downto 0);</t>
  </si>
  <si>
    <t xml:space="preserve">      rmap_registers_wr_o.aeb_gen_cfg_reserved_a88.reserved(15 downto 8) &lt;= avalon_mm_rmap_i.writedata(15 downto 8);</t>
  </si>
  <si>
    <t xml:space="preserve">      rmap_registers_wr_o.aeb_gen_cfg_reserved_a88.reserved(23 downto 16) &lt;= avalon_mm_rmap_i.writedata(23 downto 16);</t>
  </si>
  <si>
    <t xml:space="preserve">      rmap_registers_wr_o.aeb_gen_cfg_reserved_a88.reserved(31 downto 24) &lt;= avalon_mm_rmap_i.writedata(31 downto 24);</t>
  </si>
  <si>
    <t xml:space="preserve">      rmap_registers_wr_o.aeb_gen_cfg_reserved_a8c.reserved(7 downto 0) &lt;= avalon_mm_rmap_i.writedata(7 downto 0);</t>
  </si>
  <si>
    <t xml:space="preserve">      rmap_registers_wr_o.aeb_gen_cfg_reserved_a8c.reserved(15 downto 8) &lt;= avalon_mm_rmap_i.writedata(15 downto 8);</t>
  </si>
  <si>
    <t xml:space="preserve">      rmap_registers_wr_o.aeb_gen_cfg_reserved_a8c.reserved(23 downto 16) &lt;= avalon_mm_rmap_i.writedata(23 downto 16);</t>
  </si>
  <si>
    <t xml:space="preserve">      rmap_registers_wr_o.aeb_gen_cfg_reserved_a8c.reserved(31 downto 24) &lt;= avalon_mm_rmap_i.writedata(31 downto 24);</t>
  </si>
  <si>
    <t xml:space="preserve">      rmap_registers_wr_o.aeb_gen_cfg_reserved_a90.reserved(7 downto 0) &lt;= avalon_mm_rmap_i.writedata(7 downto 0);</t>
  </si>
  <si>
    <t xml:space="preserve">      rmap_registers_wr_o.aeb_gen_cfg_reserved_a90.reserved(15 downto 8) &lt;= avalon_mm_rmap_i.writedata(15 downto 8);</t>
  </si>
  <si>
    <t xml:space="preserve">      rmap_registers_wr_o.aeb_gen_cfg_reserved_a90.reserved(23 downto 16) &lt;= avalon_mm_rmap_i.writedata(23 downto 16);</t>
  </si>
  <si>
    <t xml:space="preserve">      rmap_registers_wr_o.aeb_gen_cfg_reserved_a90.reserved(31 downto 24) &lt;= avalon_mm_rmap_i.writedata(31 downto 24);</t>
  </si>
  <si>
    <t xml:space="preserve">      rmap_registers_wr_o.aeb_gen_cfg_reserved_a94.reserved(7 downto 0) &lt;= avalon_mm_rmap_i.writedata(7 downto 0);</t>
  </si>
  <si>
    <t xml:space="preserve">      rmap_registers_wr_o.aeb_gen_cfg_reserved_a94.reserved(15 downto 8) &lt;= avalon_mm_rmap_i.writedata(15 downto 8);</t>
  </si>
  <si>
    <t xml:space="preserve">      rmap_registers_wr_o.aeb_gen_cfg_reserved_a94.reserved(23 downto 16) &lt;= avalon_mm_rmap_i.writedata(23 downto 16);</t>
  </si>
  <si>
    <t xml:space="preserve">      rmap_registers_wr_o.aeb_gen_cfg_reserved_a94.reserved(31 downto 24) &lt;= avalon_mm_rmap_i.writedata(31 downto 24);</t>
  </si>
  <si>
    <t xml:space="preserve">      rmap_registers_wr_o.aeb_gen_cfg_reserved_a98.reserved(7 downto 0) &lt;= avalon_mm_rmap_i.writedata(7 downto 0);</t>
  </si>
  <si>
    <t xml:space="preserve">      rmap_registers_wr_o.aeb_gen_cfg_reserved_a98.reserved(15 downto 8) &lt;= avalon_mm_rmap_i.writedata(15 downto 8);</t>
  </si>
  <si>
    <t xml:space="preserve">      rmap_registers_wr_o.aeb_gen_cfg_reserved_a98.reserved(23 downto 16) &lt;= avalon_mm_rmap_i.writedata(23 downto 16);</t>
  </si>
  <si>
    <t xml:space="preserve">      rmap_registers_wr_o.aeb_gen_cfg_reserved_a98.reserved(31 downto 24) &lt;= avalon_mm_rmap_i.writedata(31 downto 24);</t>
  </si>
  <si>
    <t xml:space="preserve">      rmap_registers_wr_o.aeb_gen_cfg_reserved_a9c.reserved(7 downto 0) &lt;= avalon_mm_rmap_i.writedata(7 downto 0);</t>
  </si>
  <si>
    <t xml:space="preserve">      rmap_registers_wr_o.aeb_gen_cfg_reserved_a9c.reserved(15 downto 8) &lt;= avalon_mm_rmap_i.writedata(15 downto 8);</t>
  </si>
  <si>
    <t xml:space="preserve">      rmap_registers_wr_o.aeb_gen_cfg_reserved_a9c.reserved(23 downto 16) &lt;= avalon_mm_rmap_i.writedata(23 downto 16);</t>
  </si>
  <si>
    <t xml:space="preserve">      rmap_registers_wr_o.aeb_gen_cfg_reserved_a9c.reserved(31 downto 24) &lt;= avalon_mm_rmap_i.writedata(31 downto 24);</t>
  </si>
  <si>
    <t xml:space="preserve">      rmap_registers_wr_o.aeb_gen_cfg_reserved_aa0.reserved(7 downto 0) &lt;= avalon_mm_rmap_i.writedata(7 downto 0);</t>
  </si>
  <si>
    <t xml:space="preserve">      rmap_registers_wr_o.aeb_gen_cfg_reserved_aa0.reserved(15 downto 8) &lt;= avalon_mm_rmap_i.writedata(15 downto 8);</t>
  </si>
  <si>
    <t xml:space="preserve">      rmap_registers_wr_o.aeb_gen_cfg_reserved_aa0.reserved(23 downto 16) &lt;= avalon_mm_rmap_i.writedata(23 downto 16);</t>
  </si>
  <si>
    <t xml:space="preserve">      rmap_registers_wr_o.aeb_gen_cfg_reserved_aa0.reserved(31 downto 24) &lt;= avalon_mm_rmap_i.writedata(31 downto 24);</t>
  </si>
  <si>
    <t xml:space="preserve">      rmap_registers_wr_o.aeb_gen_cfg_reserved_aa4.reserved(7 downto 0) &lt;= avalon_mm_rmap_i.writedata(7 downto 0);</t>
  </si>
  <si>
    <t xml:space="preserve">      rmap_registers_wr_o.aeb_gen_cfg_reserved_aa4.reserved(15 downto 8) &lt;= avalon_mm_rmap_i.writedata(15 downto 8);</t>
  </si>
  <si>
    <t xml:space="preserve">      rmap_registers_wr_o.aeb_gen_cfg_reserved_aa4.reserved(23 downto 16) &lt;= avalon_mm_rmap_i.writedata(23 downto 16);</t>
  </si>
  <si>
    <t xml:space="preserve">      rmap_registers_wr_o.aeb_gen_cfg_reserved_aa4.reserved(31 downto 24) &lt;= avalon_mm_rmap_i.writedata(31 downto 24);</t>
  </si>
  <si>
    <t xml:space="preserve">      rmap_registers_wr_o.aeb_gen_cfg_reserved_aa8.reserved(7 downto 0) &lt;= avalon_mm_rmap_i.writedata(7 downto 0);</t>
  </si>
  <si>
    <t xml:space="preserve">      rmap_registers_wr_o.aeb_gen_cfg_reserved_aa8.reserved(15 downto 8) &lt;= avalon_mm_rmap_i.writedata(15 downto 8);</t>
  </si>
  <si>
    <t xml:space="preserve">      rmap_registers_wr_o.aeb_gen_cfg_reserved_aa8.reserved(23 downto 16) &lt;= avalon_mm_rmap_i.writedata(23 downto 16);</t>
  </si>
  <si>
    <t xml:space="preserve">      rmap_registers_wr_o.aeb_gen_cfg_reserved_aa8.reserved(31 downto 24) &lt;= avalon_mm_rmap_i.writedata(31 downto 24);</t>
  </si>
  <si>
    <t xml:space="preserve">      rmap_registers_wr_o.aeb_gen_cfg_reserved_aac.reserved(7 downto 0) &lt;= avalon_mm_rmap_i.writedata(7 downto 0);</t>
  </si>
  <si>
    <t xml:space="preserve">      rmap_registers_wr_o.aeb_gen_cfg_reserved_aac.reserved(15 downto 8) &lt;= avalon_mm_rmap_i.writedata(15 downto 8);</t>
  </si>
  <si>
    <t xml:space="preserve">      rmap_registers_wr_o.aeb_gen_cfg_reserved_aac.reserved(23 downto 16) &lt;= avalon_mm_rmap_i.writedata(23 downto 16);</t>
  </si>
  <si>
    <t xml:space="preserve">      rmap_registers_wr_o.aeb_gen_cfg_reserved_aac.reserved(31 downto 24) &lt;= avalon_mm_rmap_i.writedata(31 downto 24);</t>
  </si>
  <si>
    <t xml:space="preserve">      rmap_registers_wr_o.aeb_gen_cfg_reserved_ab0.reserved(7 downto 0) &lt;= avalon_mm_rmap_i.writedata(7 downto 0);</t>
  </si>
  <si>
    <t xml:space="preserve">      rmap_registers_wr_o.aeb_gen_cfg_reserved_ab0.reserved(15 downto 8) &lt;= avalon_mm_rmap_i.writedata(15 downto 8);</t>
  </si>
  <si>
    <t xml:space="preserve">      rmap_registers_wr_o.aeb_gen_cfg_reserved_ab0.reserved(23 downto 16) &lt;= avalon_mm_rmap_i.writedata(23 downto 16);</t>
  </si>
  <si>
    <t xml:space="preserve">      rmap_registers_wr_o.aeb_gen_cfg_reserved_ab0.reserved(31 downto 24) &lt;= avalon_mm_rmap_i.writedata(31 downto 24);</t>
  </si>
  <si>
    <t xml:space="preserve">      rmap_registers_wr_o.aeb_gen_cfg_reserved_ab4.reserved(7 downto 0) &lt;= avalon_mm_rmap_i.writedata(7 downto 0);</t>
  </si>
  <si>
    <t xml:space="preserve">      rmap_registers_wr_o.aeb_gen_cfg_reserved_ab4.reserved(15 downto 8) &lt;= avalon_mm_rmap_i.writedata(15 downto 8);</t>
  </si>
  <si>
    <t xml:space="preserve">      rmap_registers_wr_o.aeb_gen_cfg_reserved_ab4.reserved(23 downto 16) &lt;= avalon_mm_rmap_i.writedata(23 downto 16);</t>
  </si>
  <si>
    <t xml:space="preserve">      rmap_registers_wr_o.aeb_gen_cfg_reserved_ab4.reserved(31 downto 24) &lt;= avalon_mm_rmap_i.writedata(31 downto 24);</t>
  </si>
  <si>
    <t xml:space="preserve">      rmap_registers_wr_o.aeb_gen_cfg_reserved_ab8.reserved(7 downto 0) &lt;= avalon_mm_rmap_i.writedata(7 downto 0);</t>
  </si>
  <si>
    <t xml:space="preserve">      rmap_registers_wr_o.aeb_gen_cfg_reserved_ab8.reserved(15 downto 8) &lt;= avalon_mm_rmap_i.writedata(15 downto 8);</t>
  </si>
  <si>
    <t xml:space="preserve">      rmap_registers_wr_o.aeb_gen_cfg_reserved_ab8.reserved(23 downto 16) &lt;= avalon_mm_rmap_i.writedata(23 downto 16);</t>
  </si>
  <si>
    <t xml:space="preserve">      rmap_registers_wr_o.aeb_gen_cfg_reserved_ab8.reserved(31 downto 24) &lt;= avalon_mm_rmap_i.writedata(31 downto 24);</t>
  </si>
  <si>
    <t xml:space="preserve">      rmap_registers_wr_o.aeb_gen_cfg_reserved_abc.reserved(7 downto 0) &lt;= avalon_mm_rmap_i.writedata(7 downto 0);</t>
  </si>
  <si>
    <t xml:space="preserve">      rmap_registers_wr_o.aeb_gen_cfg_reserved_abc.reserved(15 downto 8) &lt;= avalon_mm_rmap_i.writedata(15 downto 8);</t>
  </si>
  <si>
    <t xml:space="preserve">      rmap_registers_wr_o.aeb_gen_cfg_reserved_abc.reserved(23 downto 16) &lt;= avalon_mm_rmap_i.writedata(23 downto 16);</t>
  </si>
  <si>
    <t xml:space="preserve">      rmap_registers_wr_o.aeb_gen_cfg_reserved_abc.reserved(31 downto 24) &lt;= avalon_mm_rmap_i.writedata(31 downto 24);</t>
  </si>
  <si>
    <t xml:space="preserve">      rmap_registers_wr_o.aeb_gen_cfg_reserved_ac0.reserved(7 downto 0) &lt;= avalon_mm_rmap_i.writedata(7 downto 0);</t>
  </si>
  <si>
    <t xml:space="preserve">      rmap_registers_wr_o.aeb_gen_cfg_reserved_ac0.reserved(15 downto 8) &lt;= avalon_mm_rmap_i.writedata(15 downto 8);</t>
  </si>
  <si>
    <t xml:space="preserve">      rmap_registers_wr_o.aeb_gen_cfg_reserved_ac0.reserved(23 downto 16) &lt;= avalon_mm_rmap_i.writedata(23 downto 16);</t>
  </si>
  <si>
    <t xml:space="preserve">      rmap_registers_wr_o.aeb_gen_cfg_reserved_ac0.reserved(31 downto 24) &lt;= avalon_mm_rmap_i.writedata(31 downto 24);</t>
  </si>
  <si>
    <t xml:space="preserve">      rmap_registers_wr_o.aeb_gen_cfg_reserved_ac4.reserved(7 downto 0) &lt;= avalon_mm_rmap_i.writedata(7 downto 0);</t>
  </si>
  <si>
    <t xml:space="preserve">      rmap_registers_wr_o.aeb_gen_cfg_reserved_ac4.reserved(15 downto 8) &lt;= avalon_mm_rmap_i.writedata(15 downto 8);</t>
  </si>
  <si>
    <t xml:space="preserve">      rmap_registers_wr_o.aeb_gen_cfg_reserved_ac4.reserved(23 downto 16) &lt;= avalon_mm_rmap_i.writedata(23 downto 16);</t>
  </si>
  <si>
    <t xml:space="preserve">      rmap_registers_wr_o.aeb_gen_cfg_reserved_ac4.reserved(31 downto 24) &lt;= avalon_mm_rmap_i.writedata(31 downto 24);</t>
  </si>
  <si>
    <t xml:space="preserve">      rmap_registers_wr_o.aeb_gen_cfg_reserved_ac8.reserved(7 downto 0) &lt;= avalon_mm_rmap_i.writedata(7 downto 0);</t>
  </si>
  <si>
    <t xml:space="preserve">      rmap_registers_wr_o.aeb_gen_cfg_reserved_ac8.reserved(15 downto 8) &lt;= avalon_mm_rmap_i.writedata(15 downto 8);</t>
  </si>
  <si>
    <t xml:space="preserve">      rmap_registers_wr_o.aeb_gen_cfg_reserved_ac8.reserved(23 downto 16) &lt;= avalon_mm_rmap_i.writedata(23 downto 16);</t>
  </si>
  <si>
    <t xml:space="preserve">      rmap_registers_wr_o.aeb_gen_cfg_reserved_ac8.reserved(31 downto 24) &lt;= avalon_mm_rmap_i.writedata(31 downto 24);</t>
  </si>
  <si>
    <t xml:space="preserve">      rmap_registers_wr_o.aeb_gen_cfg_reserved_acc.reserved(7 downto 0) &lt;= avalon_mm_rmap_i.writedata(7 downto 0);</t>
  </si>
  <si>
    <t xml:space="preserve">      rmap_registers_wr_o.aeb_gen_cfg_reserved_acc.reserved(15 downto 8) &lt;= avalon_mm_rmap_i.writedata(15 downto 8);</t>
  </si>
  <si>
    <t xml:space="preserve">      rmap_registers_wr_o.aeb_gen_cfg_reserved_acc.reserved(23 downto 16) &lt;= avalon_mm_rmap_i.writedata(23 downto 16);</t>
  </si>
  <si>
    <t xml:space="preserve">      rmap_registers_wr_o.aeb_gen_cfg_reserved_acc.reserved(31 downto 24) &lt;= avalon_mm_rmap_i.writedata(31 downto 24);</t>
  </si>
  <si>
    <t xml:space="preserve">      rmap_registers_wr_o.aeb_gen_cfg_reserved_ad0.reserved(7 downto 0) &lt;= avalon_mm_rmap_i.writedata(7 downto 0);</t>
  </si>
  <si>
    <t xml:space="preserve">      rmap_registers_wr_o.aeb_gen_cfg_reserved_ad0.reserved(15 downto 8) &lt;= avalon_mm_rmap_i.writedata(15 downto 8);</t>
  </si>
  <si>
    <t xml:space="preserve">      rmap_registers_wr_o.aeb_gen_cfg_reserved_ad0.reserved(23 downto 16) &lt;= avalon_mm_rmap_i.writedata(23 downto 16);</t>
  </si>
  <si>
    <t xml:space="preserve">      rmap_registers_wr_o.aeb_gen_cfg_reserved_ad0.reserved(31 downto 24) &lt;= avalon_mm_rmap_i.writedata(31 downto 24);</t>
  </si>
  <si>
    <t xml:space="preserve">      rmap_registers_wr_o.aeb_gen_cfg_reserved_ad4.reserved(7 downto 0) &lt;= avalon_mm_rmap_i.writedata(7 downto 0);</t>
  </si>
  <si>
    <t xml:space="preserve">      rmap_registers_wr_o.aeb_gen_cfg_reserved_ad4.reserved(15 downto 8) &lt;= avalon_mm_rmap_i.writedata(15 downto 8);</t>
  </si>
  <si>
    <t xml:space="preserve">      rmap_registers_wr_o.aeb_gen_cfg_reserved_ad4.reserved(23 downto 16) &lt;= avalon_mm_rmap_i.writedata(23 downto 16);</t>
  </si>
  <si>
    <t xml:space="preserve">      rmap_registers_wr_o.aeb_gen_cfg_reserved_ad4.reserved(31 downto 24) &lt;= avalon_mm_rmap_i.writedata(31 downto 24);</t>
  </si>
  <si>
    <t xml:space="preserve">      rmap_registers_wr_o.aeb_gen_cfg_reserved_ad8.reserved(7 downto 0) &lt;= avalon_mm_rmap_i.writedata(7 downto 0);</t>
  </si>
  <si>
    <t xml:space="preserve">      rmap_registers_wr_o.aeb_gen_cfg_reserved_ad8.reserved(15 downto 8) &lt;= avalon_mm_rmap_i.writedata(15 downto 8);</t>
  </si>
  <si>
    <t xml:space="preserve">      rmap_registers_wr_o.aeb_gen_cfg_reserved_ad8.reserved(23 downto 16) &lt;= avalon_mm_rmap_i.writedata(23 downto 16);</t>
  </si>
  <si>
    <t xml:space="preserve">      rmap_registers_wr_o.aeb_gen_cfg_reserved_ad8.reserved(31 downto 24) &lt;= avalon_mm_rmap_i.writedata(31 downto 24);</t>
  </si>
  <si>
    <t xml:space="preserve">      rmap_registers_wr_o.aeb_gen_cfg_reserved_adc.reserved(7 downto 0) &lt;= avalon_mm_rmap_i.writedata(7 downto 0);</t>
  </si>
  <si>
    <t xml:space="preserve">      rmap_registers_wr_o.aeb_gen_cfg_reserved_adc.reserved(15 downto 8) &lt;= avalon_mm_rmap_i.writedata(15 downto 8);</t>
  </si>
  <si>
    <t xml:space="preserve">      rmap_registers_wr_o.aeb_gen_cfg_reserved_adc.reserved(23 downto 16) &lt;= avalon_mm_rmap_i.writedata(23 downto 16);</t>
  </si>
  <si>
    <t xml:space="preserve">      rmap_registers_wr_o.aeb_gen_cfg_reserved_adc.reserved(31 downto 24) &lt;= avalon_mm_rmap_i.writedata(31 downto 24);</t>
  </si>
  <si>
    <t xml:space="preserve">      rmap_registers_wr_o.aeb_gen_cfg_reserved_ae0.reserved(7 downto 0) &lt;= avalon_mm_rmap_i.writedata(7 downto 0);</t>
  </si>
  <si>
    <t xml:space="preserve">      rmap_registers_wr_o.aeb_gen_cfg_reserved_ae0.reserved(15 downto 8) &lt;= avalon_mm_rmap_i.writedata(15 downto 8);</t>
  </si>
  <si>
    <t xml:space="preserve">      rmap_registers_wr_o.aeb_gen_cfg_reserved_ae0.reserved(23 downto 16) &lt;= avalon_mm_rmap_i.writedata(23 downto 16);</t>
  </si>
  <si>
    <t xml:space="preserve">      rmap_registers_wr_o.aeb_gen_cfg_reserved_ae0.reserved(31 downto 24) &lt;= avalon_mm_rmap_i.writedata(31 downto 24);</t>
  </si>
  <si>
    <t xml:space="preserve">      rmap_registers_wr_o.aeb_gen_cfg_reserved_ae4.reserved(7 downto 0) &lt;= avalon_mm_rmap_i.writedata(7 downto 0);</t>
  </si>
  <si>
    <t xml:space="preserve">      rmap_registers_wr_o.aeb_gen_cfg_reserved_ae4.reserved(15 downto 8) &lt;= avalon_mm_rmap_i.writedata(15 downto 8);</t>
  </si>
  <si>
    <t xml:space="preserve">      rmap_registers_wr_o.aeb_gen_cfg_reserved_ae4.reserved(23 downto 16) &lt;= avalon_mm_rmap_i.writedata(23 downto 16);</t>
  </si>
  <si>
    <t xml:space="preserve">      rmap_registers_wr_o.aeb_gen_cfg_reserved_ae4.reserved(31 downto 24) &lt;= avalon_mm_rmap_i.writedata(31 downto 24);</t>
  </si>
  <si>
    <t xml:space="preserve">      rmap_registers_wr_o.aeb_gen_cfg_reserved_ae8.reserved(7 downto 0) &lt;= avalon_mm_rmap_i.writedata(7 downto 0);</t>
  </si>
  <si>
    <t xml:space="preserve">      rmap_registers_wr_o.aeb_gen_cfg_reserved_ae8.reserved(15 downto 8) &lt;= avalon_mm_rmap_i.writedata(15 downto 8);</t>
  </si>
  <si>
    <t xml:space="preserve">      rmap_registers_wr_o.aeb_gen_cfg_reserved_ae8.reserved(23 downto 16) &lt;= avalon_mm_rmap_i.writedata(23 downto 16);</t>
  </si>
  <si>
    <t xml:space="preserve">      rmap_registers_wr_o.aeb_gen_cfg_reserved_ae8.reserved(31 downto 24) &lt;= avalon_mm_rmap_i.writedata(31 downto 24);</t>
  </si>
  <si>
    <t xml:space="preserve">      rmap_registers_wr_o.aeb_gen_cfg_reserved_aec.reserved(7 downto 0) &lt;= avalon_mm_rmap_i.writedata(7 downto 0);</t>
  </si>
  <si>
    <t xml:space="preserve">      rmap_registers_wr_o.aeb_gen_cfg_reserved_aec.reserved(15 downto 8) &lt;= avalon_mm_rmap_i.writedata(15 downto 8);</t>
  </si>
  <si>
    <t xml:space="preserve">      rmap_registers_wr_o.aeb_gen_cfg_reserved_aec.reserved(23 downto 16) &lt;= avalon_mm_rmap_i.writedata(23 downto 16);</t>
  </si>
  <si>
    <t xml:space="preserve">      rmap_registers_wr_o.aeb_gen_cfg_reserved_aec.reserved(31 downto 24) &lt;= avalon_mm_rmap_i.writedata(31 downto 24);</t>
  </si>
  <si>
    <t xml:space="preserve">      rmap_registers_wr_o.aeb_gen_cfg_reserved_af0.reserved(7 downto 0) &lt;= avalon_mm_rmap_i.writedata(7 downto 0);</t>
  </si>
  <si>
    <t xml:space="preserve">      rmap_registers_wr_o.aeb_gen_cfg_reserved_af0.reserved(15 downto 8) &lt;= avalon_mm_rmap_i.writedata(15 downto 8);</t>
  </si>
  <si>
    <t xml:space="preserve">      rmap_registers_wr_o.aeb_gen_cfg_reserved_af0.reserved(23 downto 16) &lt;= avalon_mm_rmap_i.writedata(23 downto 16);</t>
  </si>
  <si>
    <t xml:space="preserve">      rmap_registers_wr_o.aeb_gen_cfg_reserved_af0.reserved(31 downto 24) &lt;= avalon_mm_rmap_i.writedata(31 downto 24);</t>
  </si>
  <si>
    <t xml:space="preserve">      rmap_registers_wr_o.aeb_gen_cfg_reserved_af4.reserved(7 downto 0) &lt;= avalon_mm_rmap_i.writedata(7 downto 0);</t>
  </si>
  <si>
    <t xml:space="preserve">      rmap_registers_wr_o.aeb_gen_cfg_reserved_af4.reserved(15 downto 8) &lt;= avalon_mm_rmap_i.writedata(15 downto 8);</t>
  </si>
  <si>
    <t xml:space="preserve">      rmap_registers_wr_o.aeb_gen_cfg_reserved_af4.reserved(23 downto 16) &lt;= avalon_mm_rmap_i.writedata(23 downto 16);</t>
  </si>
  <si>
    <t xml:space="preserve">      rmap_registers_wr_o.aeb_gen_cfg_reserved_af4.reserved(31 downto 24) &lt;= avalon_mm_rmap_i.writedata(31 downto 24);</t>
  </si>
  <si>
    <t xml:space="preserve">      rmap_registers_wr_o.aeb_gen_cfg_reserved_af8.reserved(7 downto 0) &lt;= avalon_mm_rmap_i.writedata(7 downto 0);</t>
  </si>
  <si>
    <t xml:space="preserve">      rmap_registers_wr_o.aeb_gen_cfg_reserved_af8.reserved(15 downto 8) &lt;= avalon_mm_rmap_i.writedata(15 downto 8);</t>
  </si>
  <si>
    <t xml:space="preserve">      rmap_registers_wr_o.aeb_gen_cfg_reserved_af8.reserved(23 downto 16) &lt;= avalon_mm_rmap_i.writedata(23 downto 16);</t>
  </si>
  <si>
    <t xml:space="preserve">      rmap_registers_wr_o.aeb_gen_cfg_reserved_af8.reserved(31 downto 24) &lt;= avalon_mm_rmap_i.writedata(31 downto 24);</t>
  </si>
  <si>
    <t xml:space="preserve">      rmap_registers_wr_o.aeb_gen_cfg_reserved_afc.reserved(7 downto 0) &lt;= avalon_mm_rmap_i.writedata(7 downto 0);</t>
  </si>
  <si>
    <t xml:space="preserve">      rmap_registers_wr_o.aeb_gen_cfg_reserved_afc.reserved(15 downto 8) &lt;= avalon_mm_rmap_i.writedata(15 downto 8);</t>
  </si>
  <si>
    <t xml:space="preserve">      rmap_registers_wr_o.aeb_gen_cfg_reserved_afc.reserved(23 downto 16) &lt;= avalon_mm_rmap_i.writedata(23 downto 16);</t>
  </si>
  <si>
    <t xml:space="preserve">      rmap_registers_wr_o.aeb_gen_cfg_reserved_afc.reserved(31 downto 24) &lt;= avalon_mm_rmap_i.writedata(31 downto 24);</t>
  </si>
  <si>
    <t xml:space="preserve">      rmap_registers_wr_o.aeb_gen_cfg_reserved_b00.reserved(7 downto 0) &lt;= avalon_mm_rmap_i.writedata(7 downto 0);</t>
  </si>
  <si>
    <t xml:space="preserve">      rmap_registers_wr_o.aeb_gen_cfg_reserved_b00.reserved(15 downto 8) &lt;= avalon_mm_rmap_i.writedata(15 downto 8);</t>
  </si>
  <si>
    <t xml:space="preserve">      rmap_registers_wr_o.aeb_gen_cfg_reserved_b00.reserved(23 downto 16) &lt;= avalon_mm_rmap_i.writedata(23 downto 16);</t>
  </si>
  <si>
    <t xml:space="preserve">      rmap_registers_wr_o.aeb_gen_cfg_reserved_b00.reserved(31 downto 24) &lt;= avalon_mm_rmap_i.writedata(31 downto 24);</t>
  </si>
  <si>
    <t xml:space="preserve">      rmap_registers_wr_o.aeb_gen_cfg_reserved_b04.reserved(7 downto 0) &lt;= avalon_mm_rmap_i.writedata(7 downto 0);</t>
  </si>
  <si>
    <t xml:space="preserve">      rmap_registers_wr_o.aeb_gen_cfg_reserved_b04.reserved(15 downto 8) &lt;= avalon_mm_rmap_i.writedata(15 downto 8);</t>
  </si>
  <si>
    <t xml:space="preserve">      rmap_registers_wr_o.aeb_gen_cfg_reserved_b04.reserved(23 downto 16) &lt;= avalon_mm_rmap_i.writedata(23 downto 16);</t>
  </si>
  <si>
    <t xml:space="preserve">      rmap_registers_wr_o.aeb_gen_cfg_reserved_b04.reserved(31 downto 24) &lt;= avalon_mm_rmap_i.writedata(31 downto 24);</t>
  </si>
  <si>
    <t xml:space="preserve">      rmap_registers_wr_o.aeb_gen_cfg_reserved_b08.reserved(7 downto 0) &lt;= avalon_mm_rmap_i.writedata(7 downto 0);</t>
  </si>
  <si>
    <t xml:space="preserve">      rmap_registers_wr_o.aeb_gen_cfg_reserved_b08.reserved(15 downto 8) &lt;= avalon_mm_rmap_i.writedata(15 downto 8);</t>
  </si>
  <si>
    <t xml:space="preserve">      rmap_registers_wr_o.aeb_gen_cfg_reserved_b08.reserved(23 downto 16) &lt;= avalon_mm_rmap_i.writedata(23 downto 16);</t>
  </si>
  <si>
    <t xml:space="preserve">      rmap_registers_wr_o.aeb_gen_cfg_reserved_b08.reserved(31 downto 24) &lt;= avalon_mm_rmap_i.writedata(31 downto 24);</t>
  </si>
  <si>
    <t xml:space="preserve">      rmap_registers_wr_o.aeb_gen_cfg_reserved_b0c.reserved(7 downto 0) &lt;= avalon_mm_rmap_i.writedata(7 downto 0);</t>
  </si>
  <si>
    <t xml:space="preserve">      rmap_registers_wr_o.aeb_gen_cfg_reserved_b0c.reserved(15 downto 8) &lt;= avalon_mm_rmap_i.writedata(15 downto 8);</t>
  </si>
  <si>
    <t xml:space="preserve">      rmap_registers_wr_o.aeb_gen_cfg_reserved_b0c.reserved(23 downto 16) &lt;= avalon_mm_rmap_i.writedata(23 downto 16);</t>
  </si>
  <si>
    <t xml:space="preserve">      rmap_registers_wr_o.aeb_gen_cfg_reserved_b0c.reserved(31 downto 24) &lt;= avalon_mm_rmap_i.writedata(31 downto 24);</t>
  </si>
  <si>
    <t xml:space="preserve">      rmap_registers_wr_o.aeb_gen_cfg_reserved_b10.reserved(7 downto 0) &lt;= avalon_mm_rmap_i.writedata(7 downto 0);</t>
  </si>
  <si>
    <t xml:space="preserve">      rmap_registers_wr_o.aeb_gen_cfg_reserved_b10.reserved(15 downto 8) &lt;= avalon_mm_rmap_i.writedata(15 downto 8);</t>
  </si>
  <si>
    <t xml:space="preserve">      rmap_registers_wr_o.aeb_gen_cfg_reserved_b10.reserved(23 downto 16) &lt;= avalon_mm_rmap_i.writedata(23 downto 16);</t>
  </si>
  <si>
    <t xml:space="preserve">      rmap_registers_wr_o.aeb_gen_cfg_reserved_b10.reserved(31 downto 24) &lt;= avalon_mm_rmap_i.writedata(31 downto 24);</t>
  </si>
  <si>
    <t xml:space="preserve">      rmap_registers_wr_o.aeb_gen_cfg_reserved_b14.reserved(7 downto 0) &lt;= avalon_mm_rmap_i.writedata(7 downto 0);</t>
  </si>
  <si>
    <t xml:space="preserve">      rmap_registers_wr_o.aeb_gen_cfg_reserved_b14.reserved(15 downto 8) &lt;= avalon_mm_rmap_i.writedata(15 downto 8);</t>
  </si>
  <si>
    <t xml:space="preserve">      rmap_registers_wr_o.aeb_gen_cfg_reserved_b14.reserved(23 downto 16) &lt;= avalon_mm_rmap_i.writedata(23 downto 16);</t>
  </si>
  <si>
    <t xml:space="preserve">      rmap_registers_wr_o.aeb_gen_cfg_reserved_b14.reserved(31 downto 24) &lt;= avalon_mm_rmap_i.writedata(31 downto 24);</t>
  </si>
  <si>
    <t xml:space="preserve">      rmap_registers_wr_o.aeb_gen_cfg_reserved_b18.reserved(7 downto 0) &lt;= avalon_mm_rmap_i.writedata(7 downto 0);</t>
  </si>
  <si>
    <t xml:space="preserve">      rmap_registers_wr_o.aeb_gen_cfg_reserved_b18.reserved(15 downto 8) &lt;= avalon_mm_rmap_i.writedata(15 downto 8);</t>
  </si>
  <si>
    <t xml:space="preserve">      rmap_registers_wr_o.aeb_gen_cfg_reserved_b18.reserved(23 downto 16) &lt;= avalon_mm_rmap_i.writedata(23 downto 16);</t>
  </si>
  <si>
    <t xml:space="preserve">      rmap_registers_wr_o.aeb_gen_cfg_reserved_b18.reserved(31 downto 24) &lt;= avalon_mm_rmap_i.writedata(31 downto 24);</t>
  </si>
  <si>
    <t xml:space="preserve">      rmap_registers_wr_o.aeb_gen_cfg_reserved_b1c.reserved(7 downto 0) &lt;= avalon_mm_rmap_i.writedata(7 downto 0);</t>
  </si>
  <si>
    <t xml:space="preserve">      rmap_registers_wr_o.aeb_gen_cfg_reserved_b1c.reserved(15 downto 8) &lt;= avalon_mm_rmap_i.writedata(15 downto 8);</t>
  </si>
  <si>
    <t xml:space="preserve">      rmap_registers_wr_o.aeb_gen_cfg_reserved_b1c.reserved(23 downto 16) &lt;= avalon_mm_rmap_i.writedata(23 downto 16);</t>
  </si>
  <si>
    <t xml:space="preserve">      rmap_registers_wr_o.aeb_gen_cfg_reserved_b1c.reserved(31 downto 24) &lt;= avalon_mm_rmap_i.writedata(31 downto 24);</t>
  </si>
  <si>
    <t xml:space="preserve">      rmap_registers_wr_o.aeb_gen_cfg_reserved_b20.reserved(7 downto 0) &lt;= avalon_mm_rmap_i.writedata(7 downto 0);</t>
  </si>
  <si>
    <t xml:space="preserve">      rmap_registers_wr_o.aeb_gen_cfg_reserved_b20.reserved(15 downto 8) &lt;= avalon_mm_rmap_i.writedata(15 downto 8);</t>
  </si>
  <si>
    <t xml:space="preserve">      rmap_registers_wr_o.aeb_gen_cfg_reserved_b20.reserved(23 downto 16) &lt;= avalon_mm_rmap_i.writedata(23 downto 16);</t>
  </si>
  <si>
    <t xml:space="preserve">      rmap_registers_wr_o.aeb_gen_cfg_reserved_b20.reserved(31 downto 24) &lt;= avalon_mm_rmap_i.writedata(31 downto 24);</t>
  </si>
  <si>
    <t xml:space="preserve">      rmap_registers_wr_o.aeb_gen_cfg_reserved_b24.reserved(7 downto 0) &lt;= avalon_mm_rmap_i.writedata(7 downto 0);</t>
  </si>
  <si>
    <t xml:space="preserve">      rmap_registers_wr_o.aeb_gen_cfg_reserved_b24.reserved(15 downto 8) &lt;= avalon_mm_rmap_i.writedata(15 downto 8);</t>
  </si>
  <si>
    <t xml:space="preserve">      rmap_registers_wr_o.aeb_gen_cfg_reserved_b24.reserved(23 downto 16) &lt;= avalon_mm_rmap_i.writedata(23 downto 16);</t>
  </si>
  <si>
    <t xml:space="preserve">      rmap_registers_wr_o.aeb_gen_cfg_reserved_b24.reserved(31 downto 24) &lt;= avalon_mm_rmap_i.writedata(31 downto 24);</t>
  </si>
  <si>
    <t xml:space="preserve">      rmap_registers_wr_o.aeb_gen_cfg_reserved_b28.reserved(7 downto 0) &lt;= avalon_mm_rmap_i.writedata(7 downto 0);</t>
  </si>
  <si>
    <t xml:space="preserve">      rmap_registers_wr_o.aeb_gen_cfg_reserved_b28.reserved(15 downto 8) &lt;= avalon_mm_rmap_i.writedata(15 downto 8);</t>
  </si>
  <si>
    <t xml:space="preserve">      rmap_registers_wr_o.aeb_gen_cfg_reserved_b28.reserved(23 downto 16) &lt;= avalon_mm_rmap_i.writedata(23 downto 16);</t>
  </si>
  <si>
    <t xml:space="preserve">      rmap_registers_wr_o.aeb_gen_cfg_reserved_b28.reserved(31 downto 24) &lt;= avalon_mm_rmap_i.writedata(31 downto 24);</t>
  </si>
  <si>
    <t xml:space="preserve">      rmap_registers_wr_o.aeb_gen_cfg_reserved_b2c.reserved(7 downto 0) &lt;= avalon_mm_rmap_i.writedata(7 downto 0);</t>
  </si>
  <si>
    <t xml:space="preserve">      rmap_registers_wr_o.aeb_gen_cfg_reserved_b2c.reserved(15 downto 8) &lt;= avalon_mm_rmap_i.writedata(15 downto 8);</t>
  </si>
  <si>
    <t xml:space="preserve">      rmap_registers_wr_o.aeb_gen_cfg_reserved_b2c.reserved(23 downto 16) &lt;= avalon_mm_rmap_i.writedata(23 downto 16);</t>
  </si>
  <si>
    <t xml:space="preserve">      rmap_registers_wr_o.aeb_gen_cfg_reserved_b2c.reserved(31 downto 24) &lt;= avalon_mm_rmap_i.writedata(31 downto 24);</t>
  </si>
  <si>
    <t xml:space="preserve">      rmap_registers_wr_o.aeb_gen_cfg_reserved_b30.reserved(7 downto 0) &lt;= avalon_mm_rmap_i.writedata(7 downto 0);</t>
  </si>
  <si>
    <t xml:space="preserve">      rmap_registers_wr_o.aeb_gen_cfg_reserved_b30.reserved(15 downto 8) &lt;= avalon_mm_rmap_i.writedata(15 downto 8);</t>
  </si>
  <si>
    <t xml:space="preserve">      rmap_registers_wr_o.aeb_gen_cfg_reserved_b30.reserved(23 downto 16) &lt;= avalon_mm_rmap_i.writedata(23 downto 16);</t>
  </si>
  <si>
    <t xml:space="preserve">      rmap_registers_wr_o.aeb_gen_cfg_reserved_b30.reserved(31 downto 24) &lt;= avalon_mm_rmap_i.writedata(31 downto 24);</t>
  </si>
  <si>
    <t xml:space="preserve">      rmap_registers_wr_o.aeb_gen_cfg_reserved_b34.reserved(7 downto 0) &lt;= avalon_mm_rmap_i.writedata(7 downto 0);</t>
  </si>
  <si>
    <t xml:space="preserve">      rmap_registers_wr_o.aeb_gen_cfg_reserved_b34.reserved(15 downto 8) &lt;= avalon_mm_rmap_i.writedata(15 downto 8);</t>
  </si>
  <si>
    <t xml:space="preserve">      rmap_registers_wr_o.aeb_gen_cfg_reserved_b34.reserved(23 downto 16) &lt;= avalon_mm_rmap_i.writedata(23 downto 16);</t>
  </si>
  <si>
    <t xml:space="preserve">      rmap_registers_wr_o.aeb_gen_cfg_reserved_b34.reserved(31 downto 24) &lt;= avalon_mm_rmap_i.writedata(31 downto 24);</t>
  </si>
  <si>
    <t xml:space="preserve">      rmap_registers_wr_o.aeb_gen_cfg_reserved_b38.reserved(7 downto 0) &lt;= avalon_mm_rmap_i.writedata(7 downto 0);</t>
  </si>
  <si>
    <t xml:space="preserve">      rmap_registers_wr_o.aeb_gen_cfg_reserved_b38.reserved(15 downto 8) &lt;= avalon_mm_rmap_i.writedata(15 downto 8);</t>
  </si>
  <si>
    <t xml:space="preserve">      rmap_registers_wr_o.aeb_gen_cfg_reserved_b38.reserved(23 downto 16) &lt;= avalon_mm_rmap_i.writedata(23 downto 16);</t>
  </si>
  <si>
    <t xml:space="preserve">      rmap_registers_wr_o.aeb_gen_cfg_reserved_b38.reserved(31 downto 24) &lt;= avalon_mm_rmap_i.writedata(31 downto 24);</t>
  </si>
  <si>
    <t xml:space="preserve">      rmap_registers_wr_o.aeb_gen_cfg_reserved_b3c.reserved(7 downto 0) &lt;= avalon_mm_rmap_i.writedata(7 downto 0);</t>
  </si>
  <si>
    <t xml:space="preserve">      rmap_registers_wr_o.aeb_gen_cfg_reserved_b3c.reserved(15 downto 8) &lt;= avalon_mm_rmap_i.writedata(15 downto 8);</t>
  </si>
  <si>
    <t xml:space="preserve">      rmap_registers_wr_o.aeb_gen_cfg_reserved_b3c.reserved(23 downto 16) &lt;= avalon_mm_rmap_i.writedata(23 downto 16);</t>
  </si>
  <si>
    <t xml:space="preserve">      rmap_registers_wr_o.aeb_gen_cfg_reserved_b3c.reserved(31 downto 24) &lt;= avalon_mm_rmap_i.writedata(31 downto 24);</t>
  </si>
  <si>
    <t xml:space="preserve">      rmap_registers_wr_o.aeb_gen_cfg_reserved_b40.reserved(7 downto 0) &lt;= avalon_mm_rmap_i.writedata(7 downto 0);</t>
  </si>
  <si>
    <t xml:space="preserve">      rmap_registers_wr_o.aeb_gen_cfg_reserved_b40.reserved(15 downto 8) &lt;= avalon_mm_rmap_i.writedata(15 downto 8);</t>
  </si>
  <si>
    <t xml:space="preserve">      rmap_registers_wr_o.aeb_gen_cfg_reserved_b40.reserved(23 downto 16) &lt;= avalon_mm_rmap_i.writedata(23 downto 16);</t>
  </si>
  <si>
    <t xml:space="preserve">      rmap_registers_wr_o.aeb_gen_cfg_reserved_b40.reserved(31 downto 24) &lt;= avalon_mm_rmap_i.writedata(31 downto 24);</t>
  </si>
  <si>
    <t xml:space="preserve">      rmap_registers_wr_o.aeb_gen_cfg_reserved_b44.reserved(7 downto 0) &lt;= avalon_mm_rmap_i.writedata(7 downto 0);</t>
  </si>
  <si>
    <t xml:space="preserve">      rmap_registers_wr_o.aeb_gen_cfg_reserved_b44.reserved(15 downto 8) &lt;= avalon_mm_rmap_i.writedata(15 downto 8);</t>
  </si>
  <si>
    <t xml:space="preserve">      rmap_registers_wr_o.aeb_gen_cfg_reserved_b44.reserved(23 downto 16) &lt;= avalon_mm_rmap_i.writedata(23 downto 16);</t>
  </si>
  <si>
    <t xml:space="preserve">      rmap_registers_wr_o.aeb_gen_cfg_reserved_b44.reserved(31 downto 24) &lt;= avalon_mm_rmap_i.writedata(31 downto 24);</t>
  </si>
  <si>
    <t xml:space="preserve">      rmap_registers_wr_o.aeb_gen_cfg_reserved_b48.reserved(7 downto 0) &lt;= avalon_mm_rmap_i.writedata(7 downto 0);</t>
  </si>
  <si>
    <t xml:space="preserve">      rmap_registers_wr_o.aeb_gen_cfg_reserved_b48.reserved(15 downto 8) &lt;= avalon_mm_rmap_i.writedata(15 downto 8);</t>
  </si>
  <si>
    <t xml:space="preserve">      rmap_registers_wr_o.aeb_gen_cfg_reserved_b48.reserved(23 downto 16) &lt;= avalon_mm_rmap_i.writedata(23 downto 16);</t>
  </si>
  <si>
    <t xml:space="preserve">      rmap_registers_wr_o.aeb_gen_cfg_reserved_b48.reserved(31 downto 24) &lt;= avalon_mm_rmap_i.writedata(31 downto 24);</t>
  </si>
  <si>
    <t xml:space="preserve">      rmap_registers_wr_o.aeb_gen_cfg_reserved_b4c.reserved(7 downto 0) &lt;= avalon_mm_rmap_i.writedata(7 downto 0);</t>
  </si>
  <si>
    <t xml:space="preserve">      rmap_registers_wr_o.aeb_gen_cfg_reserved_b4c.reserved(15 downto 8) &lt;= avalon_mm_rmap_i.writedata(15 downto 8);</t>
  </si>
  <si>
    <t xml:space="preserve">      rmap_registers_wr_o.aeb_gen_cfg_reserved_b4c.reserved(23 downto 16) &lt;= avalon_mm_rmap_i.writedata(23 downto 16);</t>
  </si>
  <si>
    <t xml:space="preserve">      rmap_registers_wr_o.aeb_gen_cfg_reserved_b4c.reserved(31 downto 24) &lt;= avalon_mm_rmap_i.writedata(31 downto 24);</t>
  </si>
  <si>
    <t xml:space="preserve">      rmap_registers_wr_o.aeb_gen_cfg_reserved_b50.reserved(7 downto 0) &lt;= avalon_mm_rmap_i.writedata(7 downto 0);</t>
  </si>
  <si>
    <t xml:space="preserve">      rmap_registers_wr_o.aeb_gen_cfg_reserved_b50.reserved(15 downto 8) &lt;= avalon_mm_rmap_i.writedata(15 downto 8);</t>
  </si>
  <si>
    <t xml:space="preserve">      rmap_registers_wr_o.aeb_gen_cfg_reserved_b50.reserved(23 downto 16) &lt;= avalon_mm_rmap_i.writedata(23 downto 16);</t>
  </si>
  <si>
    <t xml:space="preserve">      rmap_registers_wr_o.aeb_gen_cfg_reserved_b50.reserved(31 downto 24) &lt;= avalon_mm_rmap_i.writedata(31 downto 24);</t>
  </si>
  <si>
    <t xml:space="preserve">      rmap_registers_wr_o.aeb_gen_cfg_reserved_b54.reserved(7 downto 0) &lt;= avalon_mm_rmap_i.writedata(7 downto 0);</t>
  </si>
  <si>
    <t xml:space="preserve">      rmap_registers_wr_o.aeb_gen_cfg_reserved_b54.reserved(15 downto 8) &lt;= avalon_mm_rmap_i.writedata(15 downto 8);</t>
  </si>
  <si>
    <t xml:space="preserve">      rmap_registers_wr_o.aeb_gen_cfg_reserved_b54.reserved(23 downto 16) &lt;= avalon_mm_rmap_i.writedata(23 downto 16);</t>
  </si>
  <si>
    <t xml:space="preserve">      rmap_registers_wr_o.aeb_gen_cfg_reserved_b54.reserved(31 downto 24) &lt;= avalon_mm_rmap_i.writedata(31 downto 24);</t>
  </si>
  <si>
    <t xml:space="preserve">      rmap_registers_wr_o.aeb_gen_cfg_reserved_b58.reserved(7 downto 0) &lt;= avalon_mm_rmap_i.writedata(7 downto 0);</t>
  </si>
  <si>
    <t xml:space="preserve">      rmap_registers_wr_o.aeb_gen_cfg_reserved_b58.reserved(15 downto 8) &lt;= avalon_mm_rmap_i.writedata(15 downto 8);</t>
  </si>
  <si>
    <t xml:space="preserve">      rmap_registers_wr_o.aeb_gen_cfg_reserved_b58.reserved(23 downto 16) &lt;= avalon_mm_rmap_i.writedata(23 downto 16);</t>
  </si>
  <si>
    <t xml:space="preserve">      rmap_registers_wr_o.aeb_gen_cfg_reserved_b58.reserved(31 downto 24) &lt;= avalon_mm_rmap_i.writedata(31 downto 24);</t>
  </si>
  <si>
    <t xml:space="preserve">      rmap_registers_wr_o.aeb_gen_cfg_reserved_b5c.reserved(7 downto 0) &lt;= avalon_mm_rmap_i.writedata(7 downto 0);</t>
  </si>
  <si>
    <t xml:space="preserve">      rmap_registers_wr_o.aeb_gen_cfg_reserved_b5c.reserved(15 downto 8) &lt;= avalon_mm_rmap_i.writedata(15 downto 8);</t>
  </si>
  <si>
    <t xml:space="preserve">      rmap_registers_wr_o.aeb_gen_cfg_reserved_b5c.reserved(23 downto 16) &lt;= avalon_mm_rmap_i.writedata(23 downto 16);</t>
  </si>
  <si>
    <t xml:space="preserve">      rmap_registers_wr_o.aeb_gen_cfg_reserved_b5c.reserved(31 downto 24) &lt;= avalon_mm_rmap_i.writedata(31 downto 24);</t>
  </si>
  <si>
    <t xml:space="preserve">      rmap_registers_wr_o.aeb_gen_cfg_reserved_b60.reserved(7 downto 0) &lt;= avalon_mm_rmap_i.writedata(7 downto 0);</t>
  </si>
  <si>
    <t xml:space="preserve">      rmap_registers_wr_o.aeb_gen_cfg_reserved_b60.reserved(15 downto 8) &lt;= avalon_mm_rmap_i.writedata(15 downto 8);</t>
  </si>
  <si>
    <t xml:space="preserve">      rmap_registers_wr_o.aeb_gen_cfg_reserved_b60.reserved(23 downto 16) &lt;= avalon_mm_rmap_i.writedata(23 downto 16);</t>
  </si>
  <si>
    <t xml:space="preserve">      rmap_registers_wr_o.aeb_gen_cfg_reserved_b60.reserved(31 downto 24) &lt;= avalon_mm_rmap_i.writedata(31 downto 24);</t>
  </si>
  <si>
    <t xml:space="preserve">      rmap_registers_wr_o.aeb_gen_cfg_reserved_b64.reserved(7 downto 0) &lt;= avalon_mm_rmap_i.writedata(7 downto 0);</t>
  </si>
  <si>
    <t xml:space="preserve">      rmap_registers_wr_o.aeb_gen_cfg_reserved_b64.reserved(15 downto 8) &lt;= avalon_mm_rmap_i.writedata(15 downto 8);</t>
  </si>
  <si>
    <t xml:space="preserve">      rmap_registers_wr_o.aeb_gen_cfg_reserved_b64.reserved(23 downto 16) &lt;= avalon_mm_rmap_i.writedata(23 downto 16);</t>
  </si>
  <si>
    <t xml:space="preserve">      rmap_registers_wr_o.aeb_gen_cfg_reserved_b64.reserved(31 downto 24) &lt;= avalon_mm_rmap_i.writedata(31 downto 24);</t>
  </si>
  <si>
    <t xml:space="preserve">      rmap_registers_wr_o.aeb_gen_cfg_reserved_b68.reserved(7 downto 0) &lt;= avalon_mm_rmap_i.writedata(7 downto 0);</t>
  </si>
  <si>
    <t xml:space="preserve">      rmap_registers_wr_o.aeb_gen_cfg_reserved_b68.reserved(15 downto 8) &lt;= avalon_mm_rmap_i.writedata(15 downto 8);</t>
  </si>
  <si>
    <t xml:space="preserve">      rmap_registers_wr_o.aeb_gen_cfg_reserved_b68.reserved(23 downto 16) &lt;= avalon_mm_rmap_i.writedata(23 downto 16);</t>
  </si>
  <si>
    <t xml:space="preserve">      rmap_registers_wr_o.aeb_gen_cfg_reserved_b68.reserved(31 downto 24) &lt;= avalon_mm_rmap_i.writedata(31 downto 24);</t>
  </si>
  <si>
    <t xml:space="preserve">      rmap_registers_wr_o.aeb_gen_cfg_reserved_b6c.reserved(7 downto 0) &lt;= avalon_mm_rmap_i.writedata(7 downto 0);</t>
  </si>
  <si>
    <t xml:space="preserve">      rmap_registers_wr_o.aeb_gen_cfg_reserved_b6c.reserved(15 downto 8) &lt;= avalon_mm_rmap_i.writedata(15 downto 8);</t>
  </si>
  <si>
    <t xml:space="preserve">      rmap_registers_wr_o.aeb_gen_cfg_reserved_b6c.reserved(23 downto 16) &lt;= avalon_mm_rmap_i.writedata(23 downto 16);</t>
  </si>
  <si>
    <t xml:space="preserve">      rmap_registers_wr_o.aeb_gen_cfg_reserved_b6c.reserved(31 downto 24) &lt;= avalon_mm_rmap_i.writedata(31 downto 24);</t>
  </si>
  <si>
    <t xml:space="preserve">      rmap_registers_wr_o.aeb_gen_cfg_reserved_b70.reserved(7 downto 0) &lt;= avalon_mm_rmap_i.writedata(7 downto 0);</t>
  </si>
  <si>
    <t xml:space="preserve">      rmap_registers_wr_o.aeb_gen_cfg_reserved_b70.reserved(15 downto 8) &lt;= avalon_mm_rmap_i.writedata(15 downto 8);</t>
  </si>
  <si>
    <t xml:space="preserve">      rmap_registers_wr_o.aeb_gen_cfg_reserved_b70.reserved(23 downto 16) &lt;= avalon_mm_rmap_i.writedata(23 downto 16);</t>
  </si>
  <si>
    <t xml:space="preserve">      rmap_registers_wr_o.aeb_gen_cfg_reserved_b70.reserved(31 downto 24) &lt;= avalon_mm_rmap_i.writedata(31 downto 24);</t>
  </si>
  <si>
    <t xml:space="preserve">      rmap_registers_wr_o.aeb_gen_cfg_reserved_b74.reserved(7 downto 0) &lt;= avalon_mm_rmap_i.writedata(7 downto 0);</t>
  </si>
  <si>
    <t xml:space="preserve">      rmap_registers_wr_o.aeb_gen_cfg_reserved_b74.reserved(15 downto 8) &lt;= avalon_mm_rmap_i.writedata(15 downto 8);</t>
  </si>
  <si>
    <t xml:space="preserve">      rmap_registers_wr_o.aeb_gen_cfg_reserved_b74.reserved(23 downto 16) &lt;= avalon_mm_rmap_i.writedata(23 downto 16);</t>
  </si>
  <si>
    <t xml:space="preserve">      rmap_registers_wr_o.aeb_gen_cfg_reserved_b74.reserved(31 downto 24) &lt;= avalon_mm_rmap_i.writedata(31 downto 24);</t>
  </si>
  <si>
    <t xml:space="preserve">      rmap_registers_wr_o.aeb_gen_cfg_reserved_b78.reserved(7 downto 0) &lt;= avalon_mm_rmap_i.writedata(7 downto 0);</t>
  </si>
  <si>
    <t xml:space="preserve">      rmap_registers_wr_o.aeb_gen_cfg_reserved_b78.reserved(15 downto 8) &lt;= avalon_mm_rmap_i.writedata(15 downto 8);</t>
  </si>
  <si>
    <t xml:space="preserve">      rmap_registers_wr_o.aeb_gen_cfg_reserved_b78.reserved(23 downto 16) &lt;= avalon_mm_rmap_i.writedata(23 downto 16);</t>
  </si>
  <si>
    <t xml:space="preserve">      rmap_registers_wr_o.aeb_gen_cfg_reserved_b78.reserved(31 downto 24) &lt;= avalon_mm_rmap_i.writedata(31 downto 24);</t>
  </si>
  <si>
    <t xml:space="preserve">      rmap_registers_wr_o.aeb_gen_cfg_reserved_b7c.reserved(7 downto 0) &lt;= avalon_mm_rmap_i.writedata(7 downto 0);</t>
  </si>
  <si>
    <t xml:space="preserve">      rmap_registers_wr_o.aeb_gen_cfg_reserved_b7c.reserved(15 downto 8) &lt;= avalon_mm_rmap_i.writedata(15 downto 8);</t>
  </si>
  <si>
    <t xml:space="preserve">      rmap_registers_wr_o.aeb_gen_cfg_reserved_b7c.reserved(23 downto 16) &lt;= avalon_mm_rmap_i.writedata(23 downto 16);</t>
  </si>
  <si>
    <t xml:space="preserve">      rmap_registers_wr_o.aeb_gen_cfg_reserved_b7c.reserved(31 downto 24) &lt;= avalon_mm_rmap_i.writedata(31 downto 24);</t>
  </si>
  <si>
    <t xml:space="preserve">      rmap_registers_wr_o.aeb_gen_cfg_reserved_b80.reserved(7 downto 0) &lt;= avalon_mm_rmap_i.writedata(7 downto 0);</t>
  </si>
  <si>
    <t xml:space="preserve">      rmap_registers_wr_o.aeb_gen_cfg_reserved_b80.reserved(15 downto 8) &lt;= avalon_mm_rmap_i.writedata(15 downto 8);</t>
  </si>
  <si>
    <t xml:space="preserve">      rmap_registers_wr_o.aeb_gen_cfg_reserved_b80.reserved(23 downto 16) &lt;= avalon_mm_rmap_i.writedata(23 downto 16);</t>
  </si>
  <si>
    <t xml:space="preserve">      rmap_registers_wr_o.aeb_gen_cfg_reserved_b80.reserved(31 downto 24) &lt;= avalon_mm_rmap_i.writedata(31 downto 24);</t>
  </si>
  <si>
    <t xml:space="preserve">      rmap_registers_wr_o.aeb_gen_cfg_reserved_b84.reserved(7 downto 0) &lt;= avalon_mm_rmap_i.writedata(7 downto 0);</t>
  </si>
  <si>
    <t xml:space="preserve">      rmap_registers_wr_o.aeb_gen_cfg_reserved_b84.reserved(15 downto 8) &lt;= avalon_mm_rmap_i.writedata(15 downto 8);</t>
  </si>
  <si>
    <t xml:space="preserve">      rmap_registers_wr_o.aeb_gen_cfg_reserved_b84.reserved(23 downto 16) &lt;= avalon_mm_rmap_i.writedata(23 downto 16);</t>
  </si>
  <si>
    <t xml:space="preserve">      rmap_registers_wr_o.aeb_gen_cfg_reserved_b84.reserved(31 downto 24) &lt;= avalon_mm_rmap_i.writedata(31 downto 24);</t>
  </si>
  <si>
    <t xml:space="preserve">      rmap_registers_wr_o.aeb_gen_cfg_reserved_b88.reserved(7 downto 0) &lt;= avalon_mm_rmap_i.writedata(7 downto 0);</t>
  </si>
  <si>
    <t xml:space="preserve">      rmap_registers_wr_o.aeb_gen_cfg_reserved_b88.reserved(15 downto 8) &lt;= avalon_mm_rmap_i.writedata(15 downto 8);</t>
  </si>
  <si>
    <t xml:space="preserve">      rmap_registers_wr_o.aeb_gen_cfg_reserved_b88.reserved(23 downto 16) &lt;= avalon_mm_rmap_i.writedata(23 downto 16);</t>
  </si>
  <si>
    <t xml:space="preserve">      rmap_registers_wr_o.aeb_gen_cfg_reserved_b88.reserved(31 downto 24) &lt;= avalon_mm_rmap_i.writedata(31 downto 24);</t>
  </si>
  <si>
    <t xml:space="preserve">      rmap_registers_wr_o.aeb_gen_cfg_reserved_b8c.reserved(7 downto 0) &lt;= avalon_mm_rmap_i.writedata(7 downto 0);</t>
  </si>
  <si>
    <t xml:space="preserve">      rmap_registers_wr_o.aeb_gen_cfg_reserved_b8c.reserved(15 downto 8) &lt;= avalon_mm_rmap_i.writedata(15 downto 8);</t>
  </si>
  <si>
    <t xml:space="preserve">      rmap_registers_wr_o.aeb_gen_cfg_reserved_b8c.reserved(23 downto 16) &lt;= avalon_mm_rmap_i.writedata(23 downto 16);</t>
  </si>
  <si>
    <t xml:space="preserve">      rmap_registers_wr_o.aeb_gen_cfg_reserved_b8c.reserved(31 downto 24) &lt;= avalon_mm_rmap_i.writedata(31 downto 24);</t>
  </si>
  <si>
    <t xml:space="preserve">      rmap_registers_wr_o.aeb_gen_cfg_reserved_b90.reserved(7 downto 0) &lt;= avalon_mm_rmap_i.writedata(7 downto 0);</t>
  </si>
  <si>
    <t xml:space="preserve">      rmap_registers_wr_o.aeb_gen_cfg_reserved_b90.reserved(15 downto 8) &lt;= avalon_mm_rmap_i.writedata(15 downto 8);</t>
  </si>
  <si>
    <t xml:space="preserve">      rmap_registers_wr_o.aeb_gen_cfg_reserved_b90.reserved(23 downto 16) &lt;= avalon_mm_rmap_i.writedata(23 downto 16);</t>
  </si>
  <si>
    <t xml:space="preserve">      rmap_registers_wr_o.aeb_gen_cfg_reserved_b90.reserved(31 downto 24) &lt;= avalon_mm_rmap_i.writedata(31 downto 24);</t>
  </si>
  <si>
    <t xml:space="preserve">      rmap_registers_wr_o.aeb_gen_cfg_reserved_b94.reserved(7 downto 0) &lt;= avalon_mm_rmap_i.writedata(7 downto 0);</t>
  </si>
  <si>
    <t xml:space="preserve">      rmap_registers_wr_o.aeb_gen_cfg_reserved_b94.reserved(15 downto 8) &lt;= avalon_mm_rmap_i.writedata(15 downto 8);</t>
  </si>
  <si>
    <t xml:space="preserve">      rmap_registers_wr_o.aeb_gen_cfg_reserved_b94.reserved(23 downto 16) &lt;= avalon_mm_rmap_i.writedata(23 downto 16);</t>
  </si>
  <si>
    <t xml:space="preserve">      rmap_registers_wr_o.aeb_gen_cfg_reserved_b94.reserved(31 downto 24) &lt;= avalon_mm_rmap_i.writedata(31 downto 24);</t>
  </si>
  <si>
    <t xml:space="preserve">      rmap_registers_wr_o.aeb_gen_cfg_reserved_b98.reserved(7 downto 0) &lt;= avalon_mm_rmap_i.writedata(7 downto 0);</t>
  </si>
  <si>
    <t xml:space="preserve">      rmap_registers_wr_o.aeb_gen_cfg_reserved_b98.reserved(15 downto 8) &lt;= avalon_mm_rmap_i.writedata(15 downto 8);</t>
  </si>
  <si>
    <t xml:space="preserve">      rmap_registers_wr_o.aeb_gen_cfg_reserved_b98.reserved(23 downto 16) &lt;= avalon_mm_rmap_i.writedata(23 downto 16);</t>
  </si>
  <si>
    <t xml:space="preserve">      rmap_registers_wr_o.aeb_gen_cfg_reserved_b98.reserved(31 downto 24) &lt;= avalon_mm_rmap_i.writedata(31 downto 24);</t>
  </si>
  <si>
    <t xml:space="preserve">      rmap_registers_wr_o.aeb_gen_cfg_reserved_b9c.reserved(7 downto 0) &lt;= avalon_mm_rmap_i.writedata(7 downto 0);</t>
  </si>
  <si>
    <t xml:space="preserve">      rmap_registers_wr_o.aeb_gen_cfg_reserved_b9c.reserved(15 downto 8) &lt;= avalon_mm_rmap_i.writedata(15 downto 8);</t>
  </si>
  <si>
    <t xml:space="preserve">      rmap_registers_wr_o.aeb_gen_cfg_reserved_b9c.reserved(23 downto 16) &lt;= avalon_mm_rmap_i.writedata(23 downto 16);</t>
  </si>
  <si>
    <t xml:space="preserve">      rmap_registers_wr_o.aeb_gen_cfg_reserved_b9c.reserved(31 downto 24) &lt;= avalon_mm_rmap_i.writedata(31 downto 24);</t>
  </si>
  <si>
    <t xml:space="preserve">      rmap_registers_wr_o.aeb_gen_cfg_reserved_ba0.reserved(7 downto 0) &lt;= avalon_mm_rmap_i.writedata(7 downto 0);</t>
  </si>
  <si>
    <t xml:space="preserve">      rmap_registers_wr_o.aeb_gen_cfg_reserved_ba0.reserved(15 downto 8) &lt;= avalon_mm_rmap_i.writedata(15 downto 8);</t>
  </si>
  <si>
    <t xml:space="preserve">      rmap_registers_wr_o.aeb_gen_cfg_reserved_ba0.reserved(23 downto 16) &lt;= avalon_mm_rmap_i.writedata(23 downto 16);</t>
  </si>
  <si>
    <t xml:space="preserve">      rmap_registers_wr_o.aeb_gen_cfg_reserved_ba0.reserved(31 downto 24) &lt;= avalon_mm_rmap_i.writedata(31 downto 24);</t>
  </si>
  <si>
    <t xml:space="preserve">      rmap_registers_wr_o.aeb_gen_cfg_reserved_ba4.reserved(7 downto 0) &lt;= avalon_mm_rmap_i.writedata(7 downto 0);</t>
  </si>
  <si>
    <t xml:space="preserve">      rmap_registers_wr_o.aeb_gen_cfg_reserved_ba4.reserved(15 downto 8) &lt;= avalon_mm_rmap_i.writedata(15 downto 8);</t>
  </si>
  <si>
    <t xml:space="preserve">      rmap_registers_wr_o.aeb_gen_cfg_reserved_ba4.reserved(23 downto 16) &lt;= avalon_mm_rmap_i.writedata(23 downto 16);</t>
  </si>
  <si>
    <t xml:space="preserve">      rmap_registers_wr_o.aeb_gen_cfg_reserved_ba4.reserved(31 downto 24) &lt;= avalon_mm_rmap_i.writedata(31 downto 24);</t>
  </si>
  <si>
    <t xml:space="preserve">      rmap_registers_wr_o.aeb_gen_cfg_reserved_ba8.reserved(7 downto 0) &lt;= avalon_mm_rmap_i.writedata(7 downto 0);</t>
  </si>
  <si>
    <t xml:space="preserve">      rmap_registers_wr_o.aeb_gen_cfg_reserved_ba8.reserved(15 downto 8) &lt;= avalon_mm_rmap_i.writedata(15 downto 8);</t>
  </si>
  <si>
    <t xml:space="preserve">      rmap_registers_wr_o.aeb_gen_cfg_reserved_ba8.reserved(23 downto 16) &lt;= avalon_mm_rmap_i.writedata(23 downto 16);</t>
  </si>
  <si>
    <t xml:space="preserve">      rmap_registers_wr_o.aeb_gen_cfg_reserved_ba8.reserved(31 downto 24) &lt;= avalon_mm_rmap_i.writedata(31 downto 24);</t>
  </si>
  <si>
    <t xml:space="preserve">      rmap_registers_wr_o.aeb_gen_cfg_reserved_bac.reserved(7 downto 0) &lt;= avalon_mm_rmap_i.writedata(7 downto 0);</t>
  </si>
  <si>
    <t xml:space="preserve">      rmap_registers_wr_o.aeb_gen_cfg_reserved_bac.reserved(15 downto 8) &lt;= avalon_mm_rmap_i.writedata(15 downto 8);</t>
  </si>
  <si>
    <t xml:space="preserve">      rmap_registers_wr_o.aeb_gen_cfg_reserved_bac.reserved(23 downto 16) &lt;= avalon_mm_rmap_i.writedata(23 downto 16);</t>
  </si>
  <si>
    <t xml:space="preserve">      rmap_registers_wr_o.aeb_gen_cfg_reserved_bac.reserved(31 downto 24) &lt;= avalon_mm_rmap_i.writedata(31 downto 24);</t>
  </si>
  <si>
    <t xml:space="preserve">      rmap_registers_wr_o.aeb_gen_cfg_reserved_bb0.reserved(7 downto 0) &lt;= avalon_mm_rmap_i.writedata(7 downto 0);</t>
  </si>
  <si>
    <t xml:space="preserve">      rmap_registers_wr_o.aeb_gen_cfg_reserved_bb0.reserved(15 downto 8) &lt;= avalon_mm_rmap_i.writedata(15 downto 8);</t>
  </si>
  <si>
    <t xml:space="preserve">      rmap_registers_wr_o.aeb_gen_cfg_reserved_bb0.reserved(23 downto 16) &lt;= avalon_mm_rmap_i.writedata(23 downto 16);</t>
  </si>
  <si>
    <t xml:space="preserve">      rmap_registers_wr_o.aeb_gen_cfg_reserved_bb0.reserved(31 downto 24) &lt;= avalon_mm_rmap_i.writedata(31 downto 24);</t>
  </si>
  <si>
    <t xml:space="preserve">      rmap_registers_wr_o.aeb_gen_cfg_reserved_bb4.reserved(7 downto 0) &lt;= avalon_mm_rmap_i.writedata(7 downto 0);</t>
  </si>
  <si>
    <t xml:space="preserve">      rmap_registers_wr_o.aeb_gen_cfg_reserved_bb4.reserved(15 downto 8) &lt;= avalon_mm_rmap_i.writedata(15 downto 8);</t>
  </si>
  <si>
    <t xml:space="preserve">      rmap_registers_wr_o.aeb_gen_cfg_reserved_bb4.reserved(23 downto 16) &lt;= avalon_mm_rmap_i.writedata(23 downto 16);</t>
  </si>
  <si>
    <t xml:space="preserve">      rmap_registers_wr_o.aeb_gen_cfg_reserved_bb4.reserved(31 downto 24) &lt;= avalon_mm_rmap_i.writedata(31 downto 24);</t>
  </si>
  <si>
    <t xml:space="preserve">      rmap_registers_wr_o.aeb_gen_cfg_reserved_bb8.reserved(7 downto 0) &lt;= avalon_mm_rmap_i.writedata(7 downto 0);</t>
  </si>
  <si>
    <t xml:space="preserve">      rmap_registers_wr_o.aeb_gen_cfg_reserved_bb8.reserved(15 downto 8) &lt;= avalon_mm_rmap_i.writedata(15 downto 8);</t>
  </si>
  <si>
    <t xml:space="preserve">      rmap_registers_wr_o.aeb_gen_cfg_reserved_bb8.reserved(23 downto 16) &lt;= avalon_mm_rmap_i.writedata(23 downto 16);</t>
  </si>
  <si>
    <t xml:space="preserve">      rmap_registers_wr_o.aeb_gen_cfg_reserved_bb8.reserved(31 downto 24) &lt;= avalon_mm_rmap_i.writedata(31 downto 24);</t>
  </si>
  <si>
    <t xml:space="preserve">      rmap_registers_wr_o.aeb_gen_cfg_reserved_bbc.reserved(7 downto 0) &lt;= avalon_mm_rmap_i.writedata(7 downto 0);</t>
  </si>
  <si>
    <t xml:space="preserve">      rmap_registers_wr_o.aeb_gen_cfg_reserved_bbc.reserved(15 downto 8) &lt;= avalon_mm_rmap_i.writedata(15 downto 8);</t>
  </si>
  <si>
    <t xml:space="preserve">      rmap_registers_wr_o.aeb_gen_cfg_reserved_bbc.reserved(23 downto 16) &lt;= avalon_mm_rmap_i.writedata(23 downto 16);</t>
  </si>
  <si>
    <t xml:space="preserve">      rmap_registers_wr_o.aeb_gen_cfg_reserved_bbc.reserved(31 downto 24) &lt;= avalon_mm_rmap_i.writedata(31 downto 24);</t>
  </si>
  <si>
    <t xml:space="preserve">      rmap_registers_wr_o.aeb_gen_cfg_reserved_bc0.reserved(7 downto 0) &lt;= avalon_mm_rmap_i.writedata(7 downto 0);</t>
  </si>
  <si>
    <t xml:space="preserve">      rmap_registers_wr_o.aeb_gen_cfg_reserved_bc0.reserved(15 downto 8) &lt;= avalon_mm_rmap_i.writedata(15 downto 8);</t>
  </si>
  <si>
    <t xml:space="preserve">      rmap_registers_wr_o.aeb_gen_cfg_reserved_bc0.reserved(23 downto 16) &lt;= avalon_mm_rmap_i.writedata(23 downto 16);</t>
  </si>
  <si>
    <t xml:space="preserve">      rmap_registers_wr_o.aeb_gen_cfg_reserved_bc0.reserved(31 downto 24) &lt;= avalon_mm_rmap_i.writedata(31 downto 24);</t>
  </si>
  <si>
    <t xml:space="preserve">      rmap_registers_wr_o.aeb_gen_cfg_reserved_bc4.reserved(7 downto 0) &lt;= avalon_mm_rmap_i.writedata(7 downto 0);</t>
  </si>
  <si>
    <t xml:space="preserve">      rmap_registers_wr_o.aeb_gen_cfg_reserved_bc4.reserved(15 downto 8) &lt;= avalon_mm_rmap_i.writedata(15 downto 8);</t>
  </si>
  <si>
    <t xml:space="preserve">      rmap_registers_wr_o.aeb_gen_cfg_reserved_bc4.reserved(23 downto 16) &lt;= avalon_mm_rmap_i.writedata(23 downto 16);</t>
  </si>
  <si>
    <t xml:space="preserve">      rmap_registers_wr_o.aeb_gen_cfg_reserved_bc4.reserved(31 downto 24) &lt;= avalon_mm_rmap_i.writedata(31 downto 24);</t>
  </si>
  <si>
    <t xml:space="preserve">      rmap_registers_wr_o.aeb_gen_cfg_reserved_bc8.reserved(7 downto 0) &lt;= avalon_mm_rmap_i.writedata(7 downto 0);</t>
  </si>
  <si>
    <t xml:space="preserve">      rmap_registers_wr_o.aeb_gen_cfg_reserved_bc8.reserved(15 downto 8) &lt;= avalon_mm_rmap_i.writedata(15 downto 8);</t>
  </si>
  <si>
    <t xml:space="preserve">      rmap_registers_wr_o.aeb_gen_cfg_reserved_bc8.reserved(23 downto 16) &lt;= avalon_mm_rmap_i.writedata(23 downto 16);</t>
  </si>
  <si>
    <t xml:space="preserve">      rmap_registers_wr_o.aeb_gen_cfg_reserved_bc8.reserved(31 downto 24) &lt;= avalon_mm_rmap_i.writedata(31 downto 24);</t>
  </si>
  <si>
    <t xml:space="preserve">      rmap_registers_wr_o.aeb_gen_cfg_reserved_bcc.reserved(7 downto 0) &lt;= avalon_mm_rmap_i.writedata(7 downto 0);</t>
  </si>
  <si>
    <t xml:space="preserve">      rmap_registers_wr_o.aeb_gen_cfg_reserved_bcc.reserved(15 downto 8) &lt;= avalon_mm_rmap_i.writedata(15 downto 8);</t>
  </si>
  <si>
    <t xml:space="preserve">      rmap_registers_wr_o.aeb_gen_cfg_reserved_bcc.reserved(23 downto 16) &lt;= avalon_mm_rmap_i.writedata(23 downto 16);</t>
  </si>
  <si>
    <t xml:space="preserve">      rmap_registers_wr_o.aeb_gen_cfg_reserved_bcc.reserved(31 downto 24) &lt;= avalon_mm_rmap_i.writedata(31 downto 24);</t>
  </si>
  <si>
    <t xml:space="preserve">      rmap_registers_wr_o.aeb_gen_cfg_reserved_bd0.reserved(7 downto 0) &lt;= avalon_mm_rmap_i.writedata(7 downto 0);</t>
  </si>
  <si>
    <t xml:space="preserve">      rmap_registers_wr_o.aeb_gen_cfg_reserved_bd0.reserved(15 downto 8) &lt;= avalon_mm_rmap_i.writedata(15 downto 8);</t>
  </si>
  <si>
    <t xml:space="preserve">      rmap_registers_wr_o.aeb_gen_cfg_reserved_bd0.reserved(23 downto 16) &lt;= avalon_mm_rmap_i.writedata(23 downto 16);</t>
  </si>
  <si>
    <t xml:space="preserve">      rmap_registers_wr_o.aeb_gen_cfg_reserved_bd0.reserved(31 downto 24) &lt;= avalon_mm_rmap_i.writedata(31 downto 24);</t>
  </si>
  <si>
    <t xml:space="preserve">      rmap_registers_wr_o.aeb_gen_cfg_reserved_bd4.reserved(7 downto 0) &lt;= avalon_mm_rmap_i.writedata(7 downto 0);</t>
  </si>
  <si>
    <t xml:space="preserve">      rmap_registers_wr_o.aeb_gen_cfg_reserved_bd4.reserved(15 downto 8) &lt;= avalon_mm_rmap_i.writedata(15 downto 8);</t>
  </si>
  <si>
    <t xml:space="preserve">      rmap_registers_wr_o.aeb_gen_cfg_reserved_bd4.reserved(23 downto 16) &lt;= avalon_mm_rmap_i.writedata(23 downto 16);</t>
  </si>
  <si>
    <t xml:space="preserve">      rmap_registers_wr_o.aeb_gen_cfg_reserved_bd4.reserved(31 downto 24) &lt;= avalon_mm_rmap_i.writedata(31 downto 24);</t>
  </si>
  <si>
    <t xml:space="preserve">      rmap_registers_wr_o.aeb_gen_cfg_reserved_bd8.reserved(7 downto 0) &lt;= avalon_mm_rmap_i.writedata(7 downto 0);</t>
  </si>
  <si>
    <t xml:space="preserve">      rmap_registers_wr_o.aeb_gen_cfg_reserved_bd8.reserved(15 downto 8) &lt;= avalon_mm_rmap_i.writedata(15 downto 8);</t>
  </si>
  <si>
    <t xml:space="preserve">      rmap_registers_wr_o.aeb_gen_cfg_reserved_bd8.reserved(23 downto 16) &lt;= avalon_mm_rmap_i.writedata(23 downto 16);</t>
  </si>
  <si>
    <t xml:space="preserve">      rmap_registers_wr_o.aeb_gen_cfg_reserved_bd8.reserved(31 downto 24) &lt;= avalon_mm_rmap_i.writedata(31 downto 24);</t>
  </si>
  <si>
    <t xml:space="preserve">      rmap_registers_wr_o.aeb_gen_cfg_reserved_bdc.reserved(7 downto 0) &lt;= avalon_mm_rmap_i.writedata(7 downto 0);</t>
  </si>
  <si>
    <t xml:space="preserve">      rmap_registers_wr_o.aeb_gen_cfg_reserved_bdc.reserved(15 downto 8) &lt;= avalon_mm_rmap_i.writedata(15 downto 8);</t>
  </si>
  <si>
    <t xml:space="preserve">      rmap_registers_wr_o.aeb_gen_cfg_reserved_bdc.reserved(23 downto 16) &lt;= avalon_mm_rmap_i.writedata(23 downto 16);</t>
  </si>
  <si>
    <t xml:space="preserve">      rmap_registers_wr_o.aeb_gen_cfg_reserved_bdc.reserved(31 downto 24) &lt;= avalon_mm_rmap_i.writedata(31 downto 24);</t>
  </si>
  <si>
    <t xml:space="preserve">      rmap_registers_wr_o.aeb_gen_cfg_reserved_be0.reserved(7 downto 0) &lt;= avalon_mm_rmap_i.writedata(7 downto 0);</t>
  </si>
  <si>
    <t xml:space="preserve">      rmap_registers_wr_o.aeb_gen_cfg_reserved_be0.reserved(15 downto 8) &lt;= avalon_mm_rmap_i.writedata(15 downto 8);</t>
  </si>
  <si>
    <t xml:space="preserve">      rmap_registers_wr_o.aeb_gen_cfg_reserved_be0.reserved(23 downto 16) &lt;= avalon_mm_rmap_i.writedata(23 downto 16);</t>
  </si>
  <si>
    <t xml:space="preserve">      rmap_registers_wr_o.aeb_gen_cfg_reserved_be0.reserved(31 downto 24) &lt;= avalon_mm_rmap_i.writedata(31 downto 24);</t>
  </si>
  <si>
    <t xml:space="preserve">      rmap_registers_wr_o.aeb_gen_cfg_reserved_be4.reserved(7 downto 0) &lt;= avalon_mm_rmap_i.writedata(7 downto 0);</t>
  </si>
  <si>
    <t xml:space="preserve">      rmap_registers_wr_o.aeb_gen_cfg_reserved_be4.reserved(15 downto 8) &lt;= avalon_mm_rmap_i.writedata(15 downto 8);</t>
  </si>
  <si>
    <t xml:space="preserve">      rmap_registers_wr_o.aeb_gen_cfg_reserved_be4.reserved(23 downto 16) &lt;= avalon_mm_rmap_i.writedata(23 downto 16);</t>
  </si>
  <si>
    <t xml:space="preserve">      rmap_registers_wr_o.aeb_gen_cfg_reserved_be4.reserved(31 downto 24) &lt;= avalon_mm_rmap_i.writedata(31 downto 24);</t>
  </si>
  <si>
    <t xml:space="preserve">      rmap_registers_wr_o.aeb_gen_cfg_reserved_be8.reserved(7 downto 0) &lt;= avalon_mm_rmap_i.writedata(7 downto 0);</t>
  </si>
  <si>
    <t xml:space="preserve">      rmap_registers_wr_o.aeb_gen_cfg_reserved_be8.reserved(15 downto 8) &lt;= avalon_mm_rmap_i.writedata(15 downto 8);</t>
  </si>
  <si>
    <t xml:space="preserve">      rmap_registers_wr_o.aeb_gen_cfg_reserved_be8.reserved(23 downto 16) &lt;= avalon_mm_rmap_i.writedata(23 downto 16);</t>
  </si>
  <si>
    <t xml:space="preserve">      rmap_registers_wr_o.aeb_gen_cfg_reserved_be8.reserved(31 downto 24) &lt;= avalon_mm_rmap_i.writedata(31 downto 24);</t>
  </si>
  <si>
    <t xml:space="preserve">      rmap_registers_wr_o.aeb_gen_cfg_reserved_bec.reserved(7 downto 0) &lt;= avalon_mm_rmap_i.writedata(7 downto 0);</t>
  </si>
  <si>
    <t xml:space="preserve">      rmap_registers_wr_o.aeb_gen_cfg_reserved_bec.reserved(15 downto 8) &lt;= avalon_mm_rmap_i.writedata(15 downto 8);</t>
  </si>
  <si>
    <t xml:space="preserve">      rmap_registers_wr_o.aeb_gen_cfg_reserved_bec.reserved(23 downto 16) &lt;= avalon_mm_rmap_i.writedata(23 downto 16);</t>
  </si>
  <si>
    <t xml:space="preserve">      rmap_registers_wr_o.aeb_gen_cfg_reserved_bec.reserved(31 downto 24) &lt;= avalon_mm_rmap_i.writedata(31 downto 24);</t>
  </si>
  <si>
    <t xml:space="preserve">      rmap_registers_wr_o.aeb_gen_cfg_reserved_bf0.reserved(7 downto 0) &lt;= avalon_mm_rmap_i.writedata(7 downto 0);</t>
  </si>
  <si>
    <t xml:space="preserve">      rmap_registers_wr_o.aeb_gen_cfg_reserved_bf0.reserved(15 downto 8) &lt;= avalon_mm_rmap_i.writedata(15 downto 8);</t>
  </si>
  <si>
    <t xml:space="preserve">      rmap_registers_wr_o.aeb_gen_cfg_reserved_bf0.reserved(23 downto 16) &lt;= avalon_mm_rmap_i.writedata(23 downto 16);</t>
  </si>
  <si>
    <t xml:space="preserve">      rmap_registers_wr_o.aeb_gen_cfg_reserved_bf0.reserved(31 downto 24) &lt;= avalon_mm_rmap_i.writedata(31 downto 24);</t>
  </si>
  <si>
    <t xml:space="preserve">      rmap_registers_wr_o.aeb_gen_cfg_reserved_bf4.reserved(7 downto 0) &lt;= avalon_mm_rmap_i.writedata(7 downto 0);</t>
  </si>
  <si>
    <t xml:space="preserve">      rmap_registers_wr_o.aeb_gen_cfg_reserved_bf4.reserved(15 downto 8) &lt;= avalon_mm_rmap_i.writedata(15 downto 8);</t>
  </si>
  <si>
    <t xml:space="preserve">      rmap_registers_wr_o.aeb_gen_cfg_reserved_bf4.reserved(23 downto 16) &lt;= avalon_mm_rmap_i.writedata(23 downto 16);</t>
  </si>
  <si>
    <t xml:space="preserve">      rmap_registers_wr_o.aeb_gen_cfg_reserved_bf4.reserved(31 downto 24) &lt;= avalon_mm_rmap_i.writedata(31 downto 24);</t>
  </si>
  <si>
    <t xml:space="preserve">      rmap_registers_wr_o.aeb_gen_cfg_reserved_bf8.reserved(7 downto 0) &lt;= avalon_mm_rmap_i.writedata(7 downto 0);</t>
  </si>
  <si>
    <t xml:space="preserve">      rmap_registers_wr_o.aeb_gen_cfg_reserved_bf8.reserved(15 downto 8) &lt;= avalon_mm_rmap_i.writedata(15 downto 8);</t>
  </si>
  <si>
    <t xml:space="preserve">      rmap_registers_wr_o.aeb_gen_cfg_reserved_bf8.reserved(23 downto 16) &lt;= avalon_mm_rmap_i.writedata(23 downto 16);</t>
  </si>
  <si>
    <t xml:space="preserve">      rmap_registers_wr_o.aeb_gen_cfg_reserved_bf8.reserved(31 downto 24) &lt;= avalon_mm_rmap_i.writedata(31 downto 24);</t>
  </si>
  <si>
    <t xml:space="preserve">      rmap_registers_wr_o.aeb_gen_cfg_reserved_bfc.reserved(7 downto 0) &lt;= avalon_mm_rmap_i.writedata(7 downto 0);</t>
  </si>
  <si>
    <t xml:space="preserve">      rmap_registers_wr_o.aeb_gen_cfg_reserved_bfc.reserved(15 downto 8) &lt;= avalon_mm_rmap_i.writedata(15 downto 8);</t>
  </si>
  <si>
    <t xml:space="preserve">      rmap_registers_wr_o.aeb_gen_cfg_reserved_bfc.reserved(23 downto 16) &lt;= avalon_mm_rmap_i.writedata(23 downto 16);</t>
  </si>
  <si>
    <t xml:space="preserve">      rmap_registers_wr_o.aeb_gen_cfg_reserved_bfc.reserved(31 downto 24) &lt;= avalon_mm_rmap_i.writedata(31 downto 24);</t>
  </si>
  <si>
    <t xml:space="preserve">      rmap_registers_wr_o.aeb_gen_cfg_reserved_c00.reserved(7 downto 0) &lt;= avalon_mm_rmap_i.writedata(7 downto 0);</t>
  </si>
  <si>
    <t xml:space="preserve">      rmap_registers_wr_o.aeb_gen_cfg_reserved_c00.reserved(15 downto 8) &lt;= avalon_mm_rmap_i.writedata(15 downto 8);</t>
  </si>
  <si>
    <t xml:space="preserve">      rmap_registers_wr_o.aeb_gen_cfg_reserved_c00.reserved(23 downto 16) &lt;= avalon_mm_rmap_i.writedata(23 downto 16);</t>
  </si>
  <si>
    <t xml:space="preserve">      rmap_registers_wr_o.aeb_gen_cfg_reserved_c00.reserved(31 downto 24) &lt;= avalon_mm_rmap_i.writedata(31 downto 24);</t>
  </si>
  <si>
    <t xml:space="preserve">      rmap_registers_wr_o.aeb_gen_cfg_reserved_c04.reserved(7 downto 0) &lt;= avalon_mm_rmap_i.writedata(7 downto 0);</t>
  </si>
  <si>
    <t xml:space="preserve">      rmap_registers_wr_o.aeb_gen_cfg_reserved_c04.reserved(15 downto 8) &lt;= avalon_mm_rmap_i.writedata(15 downto 8);</t>
  </si>
  <si>
    <t xml:space="preserve">      rmap_registers_wr_o.aeb_gen_cfg_reserved_c04.reserved(23 downto 16) &lt;= avalon_mm_rmap_i.writedata(23 downto 16);</t>
  </si>
  <si>
    <t xml:space="preserve">      rmap_registers_wr_o.aeb_gen_cfg_reserved_c04.reserved(31 downto 24) &lt;= avalon_mm_rmap_i.writedata(31 downto 24);</t>
  </si>
  <si>
    <t xml:space="preserve">      rmap_registers_wr_o.aeb_gen_cfg_reserved_c08.reserved(7 downto 0) &lt;= avalon_mm_rmap_i.writedata(7 downto 0);</t>
  </si>
  <si>
    <t xml:space="preserve">      rmap_registers_wr_o.aeb_gen_cfg_reserved_c08.reserved(15 downto 8) &lt;= avalon_mm_rmap_i.writedata(15 downto 8);</t>
  </si>
  <si>
    <t xml:space="preserve">      rmap_registers_wr_o.aeb_gen_cfg_reserved_c08.reserved(23 downto 16) &lt;= avalon_mm_rmap_i.writedata(23 downto 16);</t>
  </si>
  <si>
    <t xml:space="preserve">      rmap_registers_wr_o.aeb_gen_cfg_reserved_c08.reserved(31 downto 24) &lt;= avalon_mm_rmap_i.writedata(31 downto 24);</t>
  </si>
  <si>
    <t xml:space="preserve">      rmap_registers_wr_o.aeb_gen_cfg_reserved_c0c.reserved(7 downto 0) &lt;= avalon_mm_rmap_i.writedata(7 downto 0);</t>
  </si>
  <si>
    <t xml:space="preserve">      rmap_registers_wr_o.aeb_gen_cfg_reserved_c0c.reserved(15 downto 8) &lt;= avalon_mm_rmap_i.writedata(15 downto 8);</t>
  </si>
  <si>
    <t xml:space="preserve">      rmap_registers_wr_o.aeb_gen_cfg_reserved_c0c.reserved(23 downto 16) &lt;= avalon_mm_rmap_i.writedata(23 downto 16);</t>
  </si>
  <si>
    <t xml:space="preserve">      rmap_registers_wr_o.aeb_gen_cfg_reserved_c0c.reserved(31 downto 24) &lt;= avalon_mm_rmap_i.writedata(31 downto 24);</t>
  </si>
  <si>
    <t xml:space="preserve">      rmap_registers_wr_o.aeb_gen_cfg_reserved_c10.reserved(7 downto 0) &lt;= avalon_mm_rmap_i.writedata(7 downto 0);</t>
  </si>
  <si>
    <t xml:space="preserve">      rmap_registers_wr_o.aeb_gen_cfg_reserved_c10.reserved(15 downto 8) &lt;= avalon_mm_rmap_i.writedata(15 downto 8);</t>
  </si>
  <si>
    <t xml:space="preserve">      rmap_registers_wr_o.aeb_gen_cfg_reserved_c10.reserved(23 downto 16) &lt;= avalon_mm_rmap_i.writedata(23 downto 16);</t>
  </si>
  <si>
    <t xml:space="preserve">      rmap_registers_wr_o.aeb_gen_cfg_reserved_c10.reserved(31 downto 24) &lt;= avalon_mm_rmap_i.writedata(31 downto 24);</t>
  </si>
  <si>
    <t xml:space="preserve">      rmap_registers_wr_o.aeb_gen_cfg_reserved_c14.reserved(7 downto 0) &lt;= avalon_mm_rmap_i.writedata(7 downto 0);</t>
  </si>
  <si>
    <t xml:space="preserve">      rmap_registers_wr_o.aeb_gen_cfg_reserved_c14.reserved(15 downto 8) &lt;= avalon_mm_rmap_i.writedata(15 downto 8);</t>
  </si>
  <si>
    <t xml:space="preserve">      rmap_registers_wr_o.aeb_gen_cfg_reserved_c14.reserved(23 downto 16) &lt;= avalon_mm_rmap_i.writedata(23 downto 16);</t>
  </si>
  <si>
    <t xml:space="preserve">      rmap_registers_wr_o.aeb_gen_cfg_reserved_c14.reserved(31 downto 24) &lt;= avalon_mm_rmap_i.writedata(31 downto 24);</t>
  </si>
  <si>
    <t xml:space="preserve">      rmap_registers_wr_o.aeb_gen_cfg_reserved_c18.reserved(7 downto 0) &lt;= avalon_mm_rmap_i.writedata(7 downto 0);</t>
  </si>
  <si>
    <t xml:space="preserve">      rmap_registers_wr_o.aeb_gen_cfg_reserved_c18.reserved(15 downto 8) &lt;= avalon_mm_rmap_i.writedata(15 downto 8);</t>
  </si>
  <si>
    <t xml:space="preserve">      rmap_registers_wr_o.aeb_gen_cfg_reserved_c18.reserved(23 downto 16) &lt;= avalon_mm_rmap_i.writedata(23 downto 16);</t>
  </si>
  <si>
    <t xml:space="preserve">      rmap_registers_wr_o.aeb_gen_cfg_reserved_c18.reserved(31 downto 24) &lt;= avalon_mm_rmap_i.writedata(31 downto 24);</t>
  </si>
  <si>
    <t xml:space="preserve">      rmap_registers_wr_o.aeb_gen_cfg_reserved_c1c.reserved(7 downto 0) &lt;= avalon_mm_rmap_i.writedata(7 downto 0);</t>
  </si>
  <si>
    <t xml:space="preserve">      rmap_registers_wr_o.aeb_gen_cfg_reserved_c1c.reserved(15 downto 8) &lt;= avalon_mm_rmap_i.writedata(15 downto 8);</t>
  </si>
  <si>
    <t xml:space="preserve">      rmap_registers_wr_o.aeb_gen_cfg_reserved_c1c.reserved(23 downto 16) &lt;= avalon_mm_rmap_i.writedata(23 downto 16);</t>
  </si>
  <si>
    <t xml:space="preserve">      rmap_registers_wr_o.aeb_gen_cfg_reserved_c1c.reserved(31 downto 24) &lt;= avalon_mm_rmap_i.writedata(31 downto 24);</t>
  </si>
  <si>
    <t xml:space="preserve">      rmap_registers_wr_o.aeb_gen_cfg_reserved_c20.reserved(7 downto 0) &lt;= avalon_mm_rmap_i.writedata(7 downto 0);</t>
  </si>
  <si>
    <t xml:space="preserve">      rmap_registers_wr_o.aeb_gen_cfg_reserved_c20.reserved(15 downto 8) &lt;= avalon_mm_rmap_i.writedata(15 downto 8);</t>
  </si>
  <si>
    <t xml:space="preserve">      rmap_registers_wr_o.aeb_gen_cfg_reserved_c20.reserved(23 downto 16) &lt;= avalon_mm_rmap_i.writedata(23 downto 16);</t>
  </si>
  <si>
    <t xml:space="preserve">      rmap_registers_wr_o.aeb_gen_cfg_reserved_c20.reserved(31 downto 24) &lt;= avalon_mm_rmap_i.writedata(31 downto 24);</t>
  </si>
  <si>
    <t xml:space="preserve">      rmap_registers_wr_o.aeb_gen_cfg_reserved_c24.reserved(7 downto 0) &lt;= avalon_mm_rmap_i.writedata(7 downto 0);</t>
  </si>
  <si>
    <t xml:space="preserve">      rmap_registers_wr_o.aeb_gen_cfg_reserved_c24.reserved(15 downto 8) &lt;= avalon_mm_rmap_i.writedata(15 downto 8);</t>
  </si>
  <si>
    <t xml:space="preserve">      rmap_registers_wr_o.aeb_gen_cfg_reserved_c24.reserved(23 downto 16) &lt;= avalon_mm_rmap_i.writedata(23 downto 16);</t>
  </si>
  <si>
    <t xml:space="preserve">      rmap_registers_wr_o.aeb_gen_cfg_reserved_c24.reserved(31 downto 24) &lt;= avalon_mm_rmap_i.writedata(31 downto 24);</t>
  </si>
  <si>
    <t xml:space="preserve">      rmap_registers_wr_o.aeb_gen_cfg_reserved_c28.reserved(7 downto 0) &lt;= avalon_mm_rmap_i.writedata(7 downto 0);</t>
  </si>
  <si>
    <t xml:space="preserve">      rmap_registers_wr_o.aeb_gen_cfg_reserved_c28.reserved(15 downto 8) &lt;= avalon_mm_rmap_i.writedata(15 downto 8);</t>
  </si>
  <si>
    <t xml:space="preserve">      rmap_registers_wr_o.aeb_gen_cfg_reserved_c28.reserved(23 downto 16) &lt;= avalon_mm_rmap_i.writedata(23 downto 16);</t>
  </si>
  <si>
    <t xml:space="preserve">      rmap_registers_wr_o.aeb_gen_cfg_reserved_c28.reserved(31 downto 24) &lt;= avalon_mm_rmap_i.writedata(31 downto 24);</t>
  </si>
  <si>
    <t xml:space="preserve">      rmap_registers_wr_o.aeb_gen_cfg_reserved_c2c.reserved(7 downto 0) &lt;= avalon_mm_rmap_i.writedata(7 downto 0);</t>
  </si>
  <si>
    <t xml:space="preserve">      rmap_registers_wr_o.aeb_gen_cfg_reserved_c2c.reserved(15 downto 8) &lt;= avalon_mm_rmap_i.writedata(15 downto 8);</t>
  </si>
  <si>
    <t xml:space="preserve">      rmap_registers_wr_o.aeb_gen_cfg_reserved_c2c.reserved(23 downto 16) &lt;= avalon_mm_rmap_i.writedata(23 downto 16);</t>
  </si>
  <si>
    <t xml:space="preserve">      rmap_registers_wr_o.aeb_gen_cfg_reserved_c2c.reserved(31 downto 24) &lt;= avalon_mm_rmap_i.writedata(31 downto 24);</t>
  </si>
  <si>
    <t xml:space="preserve">      rmap_registers_wr_o.aeb_gen_cfg_reserved_c30.reserved(7 downto 0) &lt;= avalon_mm_rmap_i.writedata(7 downto 0);</t>
  </si>
  <si>
    <t xml:space="preserve">      rmap_registers_wr_o.aeb_gen_cfg_reserved_c30.reserved(15 downto 8) &lt;= avalon_mm_rmap_i.writedata(15 downto 8);</t>
  </si>
  <si>
    <t xml:space="preserve">      rmap_registers_wr_o.aeb_gen_cfg_reserved_c30.reserved(23 downto 16) &lt;= avalon_mm_rmap_i.writedata(23 downto 16);</t>
  </si>
  <si>
    <t xml:space="preserve">      rmap_registers_wr_o.aeb_gen_cfg_reserved_c30.reserved(31 downto 24) &lt;= avalon_mm_rmap_i.writedata(31 downto 24);</t>
  </si>
  <si>
    <t xml:space="preserve">      rmap_registers_wr_o.aeb_gen_cfg_reserved_c34.reserved(7 downto 0) &lt;= avalon_mm_rmap_i.writedata(7 downto 0);</t>
  </si>
  <si>
    <t xml:space="preserve">      rmap_registers_wr_o.aeb_gen_cfg_reserved_c34.reserved(15 downto 8) &lt;= avalon_mm_rmap_i.writedata(15 downto 8);</t>
  </si>
  <si>
    <t xml:space="preserve">      rmap_registers_wr_o.aeb_gen_cfg_reserved_c34.reserved(23 downto 16) &lt;= avalon_mm_rmap_i.writedata(23 downto 16);</t>
  </si>
  <si>
    <t xml:space="preserve">      rmap_registers_wr_o.aeb_gen_cfg_reserved_c34.reserved(31 downto 24) &lt;= avalon_mm_rmap_i.writedata(31 downto 24);</t>
  </si>
  <si>
    <t xml:space="preserve">      rmap_registers_wr_o.aeb_gen_cfg_reserved_c38.reserved(7 downto 0) &lt;= avalon_mm_rmap_i.writedata(7 downto 0);</t>
  </si>
  <si>
    <t xml:space="preserve">      rmap_registers_wr_o.aeb_gen_cfg_reserved_c38.reserved(15 downto 8) &lt;= avalon_mm_rmap_i.writedata(15 downto 8);</t>
  </si>
  <si>
    <t xml:space="preserve">      rmap_registers_wr_o.aeb_gen_cfg_reserved_c38.reserved(23 downto 16) &lt;= avalon_mm_rmap_i.writedata(23 downto 16);</t>
  </si>
  <si>
    <t xml:space="preserve">      rmap_registers_wr_o.aeb_gen_cfg_reserved_c38.reserved(31 downto 24) &lt;= avalon_mm_rmap_i.writedata(31 downto 24);</t>
  </si>
  <si>
    <t xml:space="preserve">      rmap_registers_wr_o.aeb_gen_cfg_reserved_c3c.reserved(7 downto 0) &lt;= avalon_mm_rmap_i.writedata(7 downto 0);</t>
  </si>
  <si>
    <t xml:space="preserve">      rmap_registers_wr_o.aeb_gen_cfg_reserved_c3c.reserved(15 downto 8) &lt;= avalon_mm_rmap_i.writedata(15 downto 8);</t>
  </si>
  <si>
    <t xml:space="preserve">      rmap_registers_wr_o.aeb_gen_cfg_reserved_c3c.reserved(23 downto 16) &lt;= avalon_mm_rmap_i.writedata(23 downto 16);</t>
  </si>
  <si>
    <t xml:space="preserve">      rmap_registers_wr_o.aeb_gen_cfg_reserved_c3c.reserved(31 downto 24) &lt;= avalon_mm_rmap_i.writedata(31 downto 24);</t>
  </si>
  <si>
    <t xml:space="preserve">      rmap_registers_wr_o.aeb_gen_cfg_reserved_c40.reserved(7 downto 0) &lt;= avalon_mm_rmap_i.writedata(7 downto 0);</t>
  </si>
  <si>
    <t xml:space="preserve">      rmap_registers_wr_o.aeb_gen_cfg_reserved_c40.reserved(15 downto 8) &lt;= avalon_mm_rmap_i.writedata(15 downto 8);</t>
  </si>
  <si>
    <t xml:space="preserve">      rmap_registers_wr_o.aeb_gen_cfg_reserved_c40.reserved(23 downto 16) &lt;= avalon_mm_rmap_i.writedata(23 downto 16);</t>
  </si>
  <si>
    <t xml:space="preserve">      rmap_registers_wr_o.aeb_gen_cfg_reserved_c40.reserved(31 downto 24) &lt;= avalon_mm_rmap_i.writedata(31 downto 24);</t>
  </si>
  <si>
    <t xml:space="preserve">      rmap_registers_wr_o.aeb_gen_cfg_reserved_c44.reserved(7 downto 0) &lt;= avalon_mm_rmap_i.writedata(7 downto 0);</t>
  </si>
  <si>
    <t xml:space="preserve">      rmap_registers_wr_o.aeb_gen_cfg_reserved_c44.reserved(15 downto 8) &lt;= avalon_mm_rmap_i.writedata(15 downto 8);</t>
  </si>
  <si>
    <t xml:space="preserve">      rmap_registers_wr_o.aeb_gen_cfg_reserved_c44.reserved(23 downto 16) &lt;= avalon_mm_rmap_i.writedata(23 downto 16);</t>
  </si>
  <si>
    <t xml:space="preserve">      rmap_registers_wr_o.aeb_gen_cfg_reserved_c44.reserved(31 downto 24) &lt;= avalon_mm_rmap_i.writedata(31 downto 24);</t>
  </si>
  <si>
    <t xml:space="preserve">      rmap_registers_wr_o.aeb_gen_cfg_reserved_c48.reserved(7 downto 0) &lt;= avalon_mm_rmap_i.writedata(7 downto 0);</t>
  </si>
  <si>
    <t xml:space="preserve">      rmap_registers_wr_o.aeb_gen_cfg_reserved_c48.reserved(15 downto 8) &lt;= avalon_mm_rmap_i.writedata(15 downto 8);</t>
  </si>
  <si>
    <t xml:space="preserve">      rmap_registers_wr_o.aeb_gen_cfg_reserved_c48.reserved(23 downto 16) &lt;= avalon_mm_rmap_i.writedata(23 downto 16);</t>
  </si>
  <si>
    <t xml:space="preserve">      rmap_registers_wr_o.aeb_gen_cfg_reserved_c48.reserved(31 downto 24) &lt;= avalon_mm_rmap_i.writedata(31 downto 24);</t>
  </si>
  <si>
    <t xml:space="preserve">      rmap_registers_wr_o.aeb_gen_cfg_reserved_c4c.reserved(7 downto 0) &lt;= avalon_mm_rmap_i.writedata(7 downto 0);</t>
  </si>
  <si>
    <t xml:space="preserve">      rmap_registers_wr_o.aeb_gen_cfg_reserved_c4c.reserved(15 downto 8) &lt;= avalon_mm_rmap_i.writedata(15 downto 8);</t>
  </si>
  <si>
    <t xml:space="preserve">      rmap_registers_wr_o.aeb_gen_cfg_reserved_c4c.reserved(23 downto 16) &lt;= avalon_mm_rmap_i.writedata(23 downto 16);</t>
  </si>
  <si>
    <t xml:space="preserve">      rmap_registers_wr_o.aeb_gen_cfg_reserved_c4c.reserved(31 downto 24) &lt;= avalon_mm_rmap_i.writedata(31 downto 24);</t>
  </si>
  <si>
    <t xml:space="preserve">      rmap_registers_wr_o.aeb_gen_cfg_reserved_c50.reserved(7 downto 0) &lt;= avalon_mm_rmap_i.writedata(7 downto 0);</t>
  </si>
  <si>
    <t xml:space="preserve">      rmap_registers_wr_o.aeb_gen_cfg_reserved_c50.reserved(15 downto 8) &lt;= avalon_mm_rmap_i.writedata(15 downto 8);</t>
  </si>
  <si>
    <t xml:space="preserve">      rmap_registers_wr_o.aeb_gen_cfg_reserved_c50.reserved(23 downto 16) &lt;= avalon_mm_rmap_i.writedata(23 downto 16);</t>
  </si>
  <si>
    <t xml:space="preserve">      rmap_registers_wr_o.aeb_gen_cfg_reserved_c50.reserved(31 downto 24) &lt;= avalon_mm_rmap_i.writedata(31 downto 24);</t>
  </si>
  <si>
    <t xml:space="preserve">      rmap_registers_wr_o.aeb_gen_cfg_reserved_c54.reserved(7 downto 0) &lt;= avalon_mm_rmap_i.writedata(7 downto 0);</t>
  </si>
  <si>
    <t xml:space="preserve">      rmap_registers_wr_o.aeb_gen_cfg_reserved_c54.reserved(15 downto 8) &lt;= avalon_mm_rmap_i.writedata(15 downto 8);</t>
  </si>
  <si>
    <t xml:space="preserve">      rmap_registers_wr_o.aeb_gen_cfg_reserved_c54.reserved(23 downto 16) &lt;= avalon_mm_rmap_i.writedata(23 downto 16);</t>
  </si>
  <si>
    <t xml:space="preserve">      rmap_registers_wr_o.aeb_gen_cfg_reserved_c54.reserved(31 downto 24) &lt;= avalon_mm_rmap_i.writedata(31 downto 24);</t>
  </si>
  <si>
    <t xml:space="preserve">      rmap_registers_wr_o.aeb_gen_cfg_reserved_c58.reserved(7 downto 0) &lt;= avalon_mm_rmap_i.writedata(7 downto 0);</t>
  </si>
  <si>
    <t xml:space="preserve">      rmap_registers_wr_o.aeb_gen_cfg_reserved_c58.reserved(15 downto 8) &lt;= avalon_mm_rmap_i.writedata(15 downto 8);</t>
  </si>
  <si>
    <t xml:space="preserve">      rmap_registers_wr_o.aeb_gen_cfg_reserved_c58.reserved(23 downto 16) &lt;= avalon_mm_rmap_i.writedata(23 downto 16);</t>
  </si>
  <si>
    <t xml:space="preserve">      rmap_registers_wr_o.aeb_gen_cfg_reserved_c58.reserved(31 downto 24) &lt;= avalon_mm_rmap_i.writedata(31 downto 24);</t>
  </si>
  <si>
    <t xml:space="preserve">      rmap_registers_wr_o.aeb_gen_cfg_reserved_c5c.reserved(7 downto 0) &lt;= avalon_mm_rmap_i.writedata(7 downto 0);</t>
  </si>
  <si>
    <t xml:space="preserve">      rmap_registers_wr_o.aeb_gen_cfg_reserved_c5c.reserved(15 downto 8) &lt;= avalon_mm_rmap_i.writedata(15 downto 8);</t>
  </si>
  <si>
    <t xml:space="preserve">      rmap_registers_wr_o.aeb_gen_cfg_reserved_c5c.reserved(23 downto 16) &lt;= avalon_mm_rmap_i.writedata(23 downto 16);</t>
  </si>
  <si>
    <t xml:space="preserve">      rmap_registers_wr_o.aeb_gen_cfg_reserved_c5c.reserved(31 downto 24) &lt;= avalon_mm_rmap_i.writedata(31 downto 24);</t>
  </si>
  <si>
    <t xml:space="preserve">      rmap_registers_wr_o.aeb_gen_cfg_reserved_c60.reserved(7 downto 0) &lt;= avalon_mm_rmap_i.writedata(7 downto 0);</t>
  </si>
  <si>
    <t xml:space="preserve">      rmap_registers_wr_o.aeb_gen_cfg_reserved_c60.reserved(15 downto 8) &lt;= avalon_mm_rmap_i.writedata(15 downto 8);</t>
  </si>
  <si>
    <t xml:space="preserve">      rmap_registers_wr_o.aeb_gen_cfg_reserved_c60.reserved(23 downto 16) &lt;= avalon_mm_rmap_i.writedata(23 downto 16);</t>
  </si>
  <si>
    <t xml:space="preserve">      rmap_registers_wr_o.aeb_gen_cfg_reserved_c60.reserved(31 downto 24) &lt;= avalon_mm_rmap_i.writedata(31 downto 24);</t>
  </si>
  <si>
    <t xml:space="preserve">      rmap_registers_wr_o.aeb_gen_cfg_reserved_c64.reserved(7 downto 0) &lt;= avalon_mm_rmap_i.writedata(7 downto 0);</t>
  </si>
  <si>
    <t xml:space="preserve">      rmap_registers_wr_o.aeb_gen_cfg_reserved_c64.reserved(15 downto 8) &lt;= avalon_mm_rmap_i.writedata(15 downto 8);</t>
  </si>
  <si>
    <t xml:space="preserve">      rmap_registers_wr_o.aeb_gen_cfg_reserved_c64.reserved(23 downto 16) &lt;= avalon_mm_rmap_i.writedata(23 downto 16);</t>
  </si>
  <si>
    <t xml:space="preserve">      rmap_registers_wr_o.aeb_gen_cfg_reserved_c64.reserved(31 downto 24) &lt;= avalon_mm_rmap_i.writedata(31 downto 24);</t>
  </si>
  <si>
    <t xml:space="preserve">      rmap_registers_wr_o.aeb_gen_cfg_reserved_c68.reserved(7 downto 0) &lt;= avalon_mm_rmap_i.writedata(7 downto 0);</t>
  </si>
  <si>
    <t xml:space="preserve">      rmap_registers_wr_o.aeb_gen_cfg_reserved_c68.reserved(15 downto 8) &lt;= avalon_mm_rmap_i.writedata(15 downto 8);</t>
  </si>
  <si>
    <t xml:space="preserve">      rmap_registers_wr_o.aeb_gen_cfg_reserved_c68.reserved(23 downto 16) &lt;= avalon_mm_rmap_i.writedata(23 downto 16);</t>
  </si>
  <si>
    <t xml:space="preserve">      rmap_registers_wr_o.aeb_gen_cfg_reserved_c68.reserved(31 downto 24) &lt;= avalon_mm_rmap_i.writedata(31 downto 24);</t>
  </si>
  <si>
    <t xml:space="preserve">      rmap_registers_wr_o.aeb_gen_cfg_reserved_c6c.reserved(7 downto 0) &lt;= avalon_mm_rmap_i.writedata(7 downto 0);</t>
  </si>
  <si>
    <t xml:space="preserve">      rmap_registers_wr_o.aeb_gen_cfg_reserved_c6c.reserved(15 downto 8) &lt;= avalon_mm_rmap_i.writedata(15 downto 8);</t>
  </si>
  <si>
    <t xml:space="preserve">      rmap_registers_wr_o.aeb_gen_cfg_reserved_c6c.reserved(23 downto 16) &lt;= avalon_mm_rmap_i.writedata(23 downto 16);</t>
  </si>
  <si>
    <t xml:space="preserve">      rmap_registers_wr_o.aeb_gen_cfg_reserved_c6c.reserved(31 downto 24) &lt;= avalon_mm_rmap_i.writedata(31 downto 24);</t>
  </si>
  <si>
    <t xml:space="preserve">      rmap_registers_wr_o.aeb_gen_cfg_reserved_c70.reserved(7 downto 0) &lt;= avalon_mm_rmap_i.writedata(7 downto 0);</t>
  </si>
  <si>
    <t xml:space="preserve">      rmap_registers_wr_o.aeb_gen_cfg_reserved_c70.reserved(15 downto 8) &lt;= avalon_mm_rmap_i.writedata(15 downto 8);</t>
  </si>
  <si>
    <t xml:space="preserve">      rmap_registers_wr_o.aeb_gen_cfg_reserved_c70.reserved(23 downto 16) &lt;= avalon_mm_rmap_i.writedata(23 downto 16);</t>
  </si>
  <si>
    <t xml:space="preserve">      rmap_registers_wr_o.aeb_gen_cfg_reserved_c70.reserved(31 downto 24) &lt;= avalon_mm_rmap_i.writedata(31 downto 24);</t>
  </si>
  <si>
    <t xml:space="preserve">      rmap_registers_wr_o.aeb_gen_cfg_reserved_c74.reserved(7 downto 0) &lt;= avalon_mm_rmap_i.writedata(7 downto 0);</t>
  </si>
  <si>
    <t xml:space="preserve">      rmap_registers_wr_o.aeb_gen_cfg_reserved_c74.reserved(15 downto 8) &lt;= avalon_mm_rmap_i.writedata(15 downto 8);</t>
  </si>
  <si>
    <t xml:space="preserve">      rmap_registers_wr_o.aeb_gen_cfg_reserved_c74.reserved(23 downto 16) &lt;= avalon_mm_rmap_i.writedata(23 downto 16);</t>
  </si>
  <si>
    <t xml:space="preserve">      rmap_registers_wr_o.aeb_gen_cfg_reserved_c74.reserved(31 downto 24) &lt;= avalon_mm_rmap_i.writedata(31 downto 24);</t>
  </si>
  <si>
    <t xml:space="preserve">      rmap_registers_wr_o.aeb_gen_cfg_reserved_c78.reserved(7 downto 0) &lt;= avalon_mm_rmap_i.writedata(7 downto 0);</t>
  </si>
  <si>
    <t xml:space="preserve">      rmap_registers_wr_o.aeb_gen_cfg_reserved_c78.reserved(15 downto 8) &lt;= avalon_mm_rmap_i.writedata(15 downto 8);</t>
  </si>
  <si>
    <t xml:space="preserve">      rmap_registers_wr_o.aeb_gen_cfg_reserved_c78.reserved(23 downto 16) &lt;= avalon_mm_rmap_i.writedata(23 downto 16);</t>
  </si>
  <si>
    <t xml:space="preserve">      rmap_registers_wr_o.aeb_gen_cfg_reserved_c78.reserved(31 downto 24) &lt;= avalon_mm_rmap_i.writedata(31 downto 24);</t>
  </si>
  <si>
    <t xml:space="preserve">      rmap_registers_wr_o.aeb_gen_cfg_reserved_c7c.reserved(7 downto 0) &lt;= avalon_mm_rmap_i.writedata(7 downto 0);</t>
  </si>
  <si>
    <t xml:space="preserve">      rmap_registers_wr_o.aeb_gen_cfg_reserved_c7c.reserved(15 downto 8) &lt;= avalon_mm_rmap_i.writedata(15 downto 8);</t>
  </si>
  <si>
    <t xml:space="preserve">      rmap_registers_wr_o.aeb_gen_cfg_reserved_c7c.reserved(23 downto 16) &lt;= avalon_mm_rmap_i.writedata(23 downto 16);</t>
  </si>
  <si>
    <t xml:space="preserve">      rmap_registers_wr_o.aeb_gen_cfg_reserved_c7c.reserved(31 downto 24) &lt;= avalon_mm_rmap_i.writedata(31 downto 24);</t>
  </si>
  <si>
    <t xml:space="preserve">      rmap_registers_wr_o.aeb_gen_cfg_reserved_c80.reserved(7 downto 0) &lt;= avalon_mm_rmap_i.writedata(7 downto 0);</t>
  </si>
  <si>
    <t xml:space="preserve">      rmap_registers_wr_o.aeb_gen_cfg_reserved_c80.reserved(15 downto 8) &lt;= avalon_mm_rmap_i.writedata(15 downto 8);</t>
  </si>
  <si>
    <t xml:space="preserve">      rmap_registers_wr_o.aeb_gen_cfg_reserved_c80.reserved(23 downto 16) &lt;= avalon_mm_rmap_i.writedata(23 downto 16);</t>
  </si>
  <si>
    <t xml:space="preserve">      rmap_registers_wr_o.aeb_gen_cfg_reserved_c80.reserved(31 downto 24) &lt;= avalon_mm_rmap_i.writedata(31 downto 24);</t>
  </si>
  <si>
    <t xml:space="preserve">      rmap_registers_wr_o.aeb_gen_cfg_reserved_c84.reserved(7 downto 0) &lt;= avalon_mm_rmap_i.writedata(7 downto 0);</t>
  </si>
  <si>
    <t xml:space="preserve">      rmap_registers_wr_o.aeb_gen_cfg_reserved_c84.reserved(15 downto 8) &lt;= avalon_mm_rmap_i.writedata(15 downto 8);</t>
  </si>
  <si>
    <t xml:space="preserve">      rmap_registers_wr_o.aeb_gen_cfg_reserved_c84.reserved(23 downto 16) &lt;= avalon_mm_rmap_i.writedata(23 downto 16);</t>
  </si>
  <si>
    <t xml:space="preserve">      rmap_registers_wr_o.aeb_gen_cfg_reserved_c84.reserved(31 downto 24) &lt;= avalon_mm_rmap_i.writedata(31 downto 24);</t>
  </si>
  <si>
    <t xml:space="preserve">      rmap_registers_wr_o.aeb_gen_cfg_reserved_c88.reserved(7 downto 0) &lt;= avalon_mm_rmap_i.writedata(7 downto 0);</t>
  </si>
  <si>
    <t xml:space="preserve">      rmap_registers_wr_o.aeb_gen_cfg_reserved_c88.reserved(15 downto 8) &lt;= avalon_mm_rmap_i.writedata(15 downto 8);</t>
  </si>
  <si>
    <t xml:space="preserve">      rmap_registers_wr_o.aeb_gen_cfg_reserved_c88.reserved(23 downto 16) &lt;= avalon_mm_rmap_i.writedata(23 downto 16);</t>
  </si>
  <si>
    <t xml:space="preserve">      rmap_registers_wr_o.aeb_gen_cfg_reserved_c88.reserved(31 downto 24) &lt;= avalon_mm_rmap_i.writedata(31 downto 24);</t>
  </si>
  <si>
    <t xml:space="preserve">      rmap_registers_wr_o.aeb_gen_cfg_reserved_c8c.reserved(7 downto 0) &lt;= avalon_mm_rmap_i.writedata(7 downto 0);</t>
  </si>
  <si>
    <t xml:space="preserve">      rmap_registers_wr_o.aeb_gen_cfg_reserved_c8c.reserved(15 downto 8) &lt;= avalon_mm_rmap_i.writedata(15 downto 8);</t>
  </si>
  <si>
    <t xml:space="preserve">      rmap_registers_wr_o.aeb_gen_cfg_reserved_c8c.reserved(23 downto 16) &lt;= avalon_mm_rmap_i.writedata(23 downto 16);</t>
  </si>
  <si>
    <t xml:space="preserve">      rmap_registers_wr_o.aeb_gen_cfg_reserved_c8c.reserved(31 downto 24) &lt;= avalon_mm_rmap_i.writedata(31 downto 24);</t>
  </si>
  <si>
    <t xml:space="preserve">      rmap_registers_wr_o.aeb_gen_cfg_reserved_c90.reserved(7 downto 0) &lt;= avalon_mm_rmap_i.writedata(7 downto 0);</t>
  </si>
  <si>
    <t xml:space="preserve">      rmap_registers_wr_o.aeb_gen_cfg_reserved_c90.reserved(15 downto 8) &lt;= avalon_mm_rmap_i.writedata(15 downto 8);</t>
  </si>
  <si>
    <t xml:space="preserve">      rmap_registers_wr_o.aeb_gen_cfg_reserved_c90.reserved(23 downto 16) &lt;= avalon_mm_rmap_i.writedata(23 downto 16);</t>
  </si>
  <si>
    <t xml:space="preserve">      rmap_registers_wr_o.aeb_gen_cfg_reserved_c90.reserved(31 downto 24) &lt;= avalon_mm_rmap_i.writedata(31 downto 24);</t>
  </si>
  <si>
    <t xml:space="preserve">      rmap_registers_wr_o.aeb_gen_cfg_reserved_c94.reserved(7 downto 0) &lt;= avalon_mm_rmap_i.writedata(7 downto 0);</t>
  </si>
  <si>
    <t xml:space="preserve">      rmap_registers_wr_o.aeb_gen_cfg_reserved_c94.reserved(15 downto 8) &lt;= avalon_mm_rmap_i.writedata(15 downto 8);</t>
  </si>
  <si>
    <t xml:space="preserve">      rmap_registers_wr_o.aeb_gen_cfg_reserved_c94.reserved(23 downto 16) &lt;= avalon_mm_rmap_i.writedata(23 downto 16);</t>
  </si>
  <si>
    <t xml:space="preserve">      rmap_registers_wr_o.aeb_gen_cfg_reserved_c94.reserved(31 downto 24) &lt;= avalon_mm_rmap_i.writedata(31 downto 24);</t>
  </si>
  <si>
    <t xml:space="preserve">      rmap_registers_wr_o.aeb_gen_cfg_reserved_c98.reserved(7 downto 0) &lt;= avalon_mm_rmap_i.writedata(7 downto 0);</t>
  </si>
  <si>
    <t xml:space="preserve">      rmap_registers_wr_o.aeb_gen_cfg_reserved_c98.reserved(15 downto 8) &lt;= avalon_mm_rmap_i.writedata(15 downto 8);</t>
  </si>
  <si>
    <t xml:space="preserve">      rmap_registers_wr_o.aeb_gen_cfg_reserved_c98.reserved(23 downto 16) &lt;= avalon_mm_rmap_i.writedata(23 downto 16);</t>
  </si>
  <si>
    <t xml:space="preserve">      rmap_registers_wr_o.aeb_gen_cfg_reserved_c98.reserved(31 downto 24) &lt;= avalon_mm_rmap_i.writedata(31 downto 24);</t>
  </si>
  <si>
    <t xml:space="preserve">      rmap_registers_wr_o.aeb_gen_cfg_reserved_c9c.reserved(7 downto 0) &lt;= avalon_mm_rmap_i.writedata(7 downto 0);</t>
  </si>
  <si>
    <t xml:space="preserve">      rmap_registers_wr_o.aeb_gen_cfg_reserved_c9c.reserved(15 downto 8) &lt;= avalon_mm_rmap_i.writedata(15 downto 8);</t>
  </si>
  <si>
    <t xml:space="preserve">      rmap_registers_wr_o.aeb_gen_cfg_reserved_c9c.reserved(23 downto 16) &lt;= avalon_mm_rmap_i.writedata(23 downto 16);</t>
  </si>
  <si>
    <t xml:space="preserve">      rmap_registers_wr_o.aeb_gen_cfg_reserved_c9c.reserved(31 downto 24) &lt;= avalon_mm_rmap_i.writedata(31 downto 24);</t>
  </si>
  <si>
    <t xml:space="preserve">      rmap_registers_wr_o.aeb_gen_cfg_reserved_ca0.reserved(7 downto 0) &lt;= avalon_mm_rmap_i.writedata(7 downto 0);</t>
  </si>
  <si>
    <t xml:space="preserve">      rmap_registers_wr_o.aeb_gen_cfg_reserved_ca0.reserved(15 downto 8) &lt;= avalon_mm_rmap_i.writedata(15 downto 8);</t>
  </si>
  <si>
    <t xml:space="preserve">      rmap_registers_wr_o.aeb_gen_cfg_reserved_ca0.reserved(23 downto 16) &lt;= avalon_mm_rmap_i.writedata(23 downto 16);</t>
  </si>
  <si>
    <t xml:space="preserve">      rmap_registers_wr_o.aeb_gen_cfg_reserved_ca0.reserved(31 downto 24) &lt;= avalon_mm_rmap_i.writedata(31 downto 24);</t>
  </si>
  <si>
    <t xml:space="preserve">      rmap_registers_wr_o.aeb_gen_cfg_reserved_ca4.reserved(7 downto 0) &lt;= avalon_mm_rmap_i.writedata(7 downto 0);</t>
  </si>
  <si>
    <t xml:space="preserve">      rmap_registers_wr_o.aeb_gen_cfg_reserved_ca4.reserved(15 downto 8) &lt;= avalon_mm_rmap_i.writedata(15 downto 8);</t>
  </si>
  <si>
    <t xml:space="preserve">      rmap_registers_wr_o.aeb_gen_cfg_reserved_ca4.reserved(23 downto 16) &lt;= avalon_mm_rmap_i.writedata(23 downto 16);</t>
  </si>
  <si>
    <t xml:space="preserve">      rmap_registers_wr_o.aeb_gen_cfg_reserved_ca4.reserved(31 downto 24) &lt;= avalon_mm_rmap_i.writedata(31 downto 24);</t>
  </si>
  <si>
    <t xml:space="preserve">      rmap_registers_wr_o.aeb_gen_cfg_reserved_ca8.reserved(7 downto 0) &lt;= avalon_mm_rmap_i.writedata(7 downto 0);</t>
  </si>
  <si>
    <t xml:space="preserve">      rmap_registers_wr_o.aeb_gen_cfg_reserved_ca8.reserved(15 downto 8) &lt;= avalon_mm_rmap_i.writedata(15 downto 8);</t>
  </si>
  <si>
    <t xml:space="preserve">      rmap_registers_wr_o.aeb_gen_cfg_reserved_ca8.reserved(23 downto 16) &lt;= avalon_mm_rmap_i.writedata(23 downto 16);</t>
  </si>
  <si>
    <t xml:space="preserve">      rmap_registers_wr_o.aeb_gen_cfg_reserved_ca8.reserved(31 downto 24) &lt;= avalon_mm_rmap_i.writedata(31 downto 24);</t>
  </si>
  <si>
    <t xml:space="preserve">      rmap_registers_wr_o.aeb_gen_cfg_reserved_cac.reserved(7 downto 0) &lt;= avalon_mm_rmap_i.writedata(7 downto 0);</t>
  </si>
  <si>
    <t xml:space="preserve">      rmap_registers_wr_o.aeb_gen_cfg_reserved_cac.reserved(15 downto 8) &lt;= avalon_mm_rmap_i.writedata(15 downto 8);</t>
  </si>
  <si>
    <t xml:space="preserve">      rmap_registers_wr_o.aeb_gen_cfg_reserved_cac.reserved(23 downto 16) &lt;= avalon_mm_rmap_i.writedata(23 downto 16);</t>
  </si>
  <si>
    <t xml:space="preserve">      rmap_registers_wr_o.aeb_gen_cfg_reserved_cac.reserved(31 downto 24) &lt;= avalon_mm_rmap_i.writedata(31 downto 24);</t>
  </si>
  <si>
    <t xml:space="preserve">      rmap_registers_wr_o.aeb_gen_cfg_reserved_cb0.reserved(7 downto 0) &lt;= avalon_mm_rmap_i.writedata(7 downto 0);</t>
  </si>
  <si>
    <t xml:space="preserve">      rmap_registers_wr_o.aeb_gen_cfg_reserved_cb0.reserved(15 downto 8) &lt;= avalon_mm_rmap_i.writedata(15 downto 8);</t>
  </si>
  <si>
    <t xml:space="preserve">      rmap_registers_wr_o.aeb_gen_cfg_reserved_cb0.reserved(23 downto 16) &lt;= avalon_mm_rmap_i.writedata(23 downto 16);</t>
  </si>
  <si>
    <t xml:space="preserve">      rmap_registers_wr_o.aeb_gen_cfg_reserved_cb0.reserved(31 downto 24) &lt;= avalon_mm_rmap_i.writedata(31 downto 24);</t>
  </si>
  <si>
    <t xml:space="preserve">      rmap_registers_wr_o.aeb_gen_cfg_reserved_cb4.reserved(7 downto 0) &lt;= avalon_mm_rmap_i.writedata(7 downto 0);</t>
  </si>
  <si>
    <t xml:space="preserve">      rmap_registers_wr_o.aeb_gen_cfg_reserved_cb4.reserved(15 downto 8) &lt;= avalon_mm_rmap_i.writedata(15 downto 8);</t>
  </si>
  <si>
    <t xml:space="preserve">      rmap_registers_wr_o.aeb_gen_cfg_reserved_cb4.reserved(23 downto 16) &lt;= avalon_mm_rmap_i.writedata(23 downto 16);</t>
  </si>
  <si>
    <t xml:space="preserve">      rmap_registers_wr_o.aeb_gen_cfg_reserved_cb4.reserved(31 downto 24) &lt;= avalon_mm_rmap_i.writedata(31 downto 24);</t>
  </si>
  <si>
    <t xml:space="preserve">      rmap_registers_wr_o.aeb_gen_cfg_reserved_cb8.reserved(7 downto 0) &lt;= avalon_mm_rmap_i.writedata(7 downto 0);</t>
  </si>
  <si>
    <t xml:space="preserve">      rmap_registers_wr_o.aeb_gen_cfg_reserved_cb8.reserved(15 downto 8) &lt;= avalon_mm_rmap_i.writedata(15 downto 8);</t>
  </si>
  <si>
    <t xml:space="preserve">      rmap_registers_wr_o.aeb_gen_cfg_reserved_cb8.reserved(23 downto 16) &lt;= avalon_mm_rmap_i.writedata(23 downto 16);</t>
  </si>
  <si>
    <t xml:space="preserve">      rmap_registers_wr_o.aeb_gen_cfg_reserved_cb8.reserved(31 downto 24) &lt;= avalon_mm_rmap_i.writedata(31 downto 24);</t>
  </si>
  <si>
    <t xml:space="preserve">      rmap_registers_wr_o.aeb_gen_cfg_reserved_cbc.reserved(7 downto 0) &lt;= avalon_mm_rmap_i.writedata(7 downto 0);</t>
  </si>
  <si>
    <t xml:space="preserve">      rmap_registers_wr_o.aeb_gen_cfg_reserved_cbc.reserved(15 downto 8) &lt;= avalon_mm_rmap_i.writedata(15 downto 8);</t>
  </si>
  <si>
    <t xml:space="preserve">      rmap_registers_wr_o.aeb_gen_cfg_reserved_cbc.reserved(23 downto 16) &lt;= avalon_mm_rmap_i.writedata(23 downto 16);</t>
  </si>
  <si>
    <t xml:space="preserve">      rmap_registers_wr_o.aeb_gen_cfg_reserved_cbc.reserved(31 downto 24) &lt;= avalon_mm_rmap_i.writedata(31 downto 24);</t>
  </si>
  <si>
    <t xml:space="preserve">      rmap_registers_wr_o.aeb_gen_cfg_reserved_cc0.reserved(7 downto 0) &lt;= avalon_mm_rmap_i.writedata(7 downto 0);</t>
  </si>
  <si>
    <t xml:space="preserve">      rmap_registers_wr_o.aeb_gen_cfg_reserved_cc0.reserved(15 downto 8) &lt;= avalon_mm_rmap_i.writedata(15 downto 8);</t>
  </si>
  <si>
    <t xml:space="preserve">      rmap_registers_wr_o.aeb_gen_cfg_reserved_cc0.reserved(23 downto 16) &lt;= avalon_mm_rmap_i.writedata(23 downto 16);</t>
  </si>
  <si>
    <t xml:space="preserve">      rmap_registers_wr_o.aeb_gen_cfg_reserved_cc0.reserved(31 downto 24) &lt;= avalon_mm_rmap_i.writedata(31 downto 24);</t>
  </si>
  <si>
    <t xml:space="preserve">      rmap_registers_wr_o.aeb_gen_cfg_reserved_cc4.reserved(7 downto 0) &lt;= avalon_mm_rmap_i.writedata(7 downto 0);</t>
  </si>
  <si>
    <t xml:space="preserve">      rmap_registers_wr_o.aeb_gen_cfg_reserved_cc4.reserved(15 downto 8) &lt;= avalon_mm_rmap_i.writedata(15 downto 8);</t>
  </si>
  <si>
    <t xml:space="preserve">      rmap_registers_wr_o.aeb_gen_cfg_reserved_cc4.reserved(23 downto 16) &lt;= avalon_mm_rmap_i.writedata(23 downto 16);</t>
  </si>
  <si>
    <t xml:space="preserve">      rmap_registers_wr_o.aeb_gen_cfg_reserved_cc4.reserved(31 downto 24) &lt;= avalon_mm_rmap_i.writedata(31 downto 24);</t>
  </si>
  <si>
    <t xml:space="preserve">      rmap_registers_wr_o.aeb_gen_cfg_reserved_cc8.reserved(7 downto 0) &lt;= avalon_mm_rmap_i.writedata(7 downto 0);</t>
  </si>
  <si>
    <t xml:space="preserve">      rmap_registers_wr_o.aeb_gen_cfg_reserved_cc8.reserved(15 downto 8) &lt;= avalon_mm_rmap_i.writedata(15 downto 8);</t>
  </si>
  <si>
    <t xml:space="preserve">      rmap_registers_wr_o.aeb_gen_cfg_reserved_cc8.reserved(23 downto 16) &lt;= avalon_mm_rmap_i.writedata(23 downto 16);</t>
  </si>
  <si>
    <t xml:space="preserve">      rmap_registers_wr_o.aeb_gen_cfg_reserved_cc8.reserved(31 downto 24) &lt;= avalon_mm_rmap_i.writedata(31 downto 24);</t>
  </si>
  <si>
    <t xml:space="preserve">      rmap_registers_wr_o.aeb_gen_cfg_reserved_ccc.reserved(7 downto 0) &lt;= avalon_mm_rmap_i.writedata(7 downto 0);</t>
  </si>
  <si>
    <t xml:space="preserve">      rmap_registers_wr_o.aeb_gen_cfg_reserved_ccc.reserved(15 downto 8) &lt;= avalon_mm_rmap_i.writedata(15 downto 8);</t>
  </si>
  <si>
    <t xml:space="preserve">      rmap_registers_wr_o.aeb_gen_cfg_reserved_ccc.reserved(23 downto 16) &lt;= avalon_mm_rmap_i.writedata(23 downto 16);</t>
  </si>
  <si>
    <t xml:space="preserve">      rmap_registers_wr_o.aeb_gen_cfg_reserved_ccc.reserved(31 downto 24) &lt;= avalon_mm_rmap_i.writedata(31 downto 24);</t>
  </si>
  <si>
    <t xml:space="preserve">      rmap_registers_wr_o.aeb_gen_cfg_reserved_cd0.reserved(7 downto 0) &lt;= avalon_mm_rmap_i.writedata(7 downto 0);</t>
  </si>
  <si>
    <t xml:space="preserve">      rmap_registers_wr_o.aeb_gen_cfg_reserved_cd0.reserved(15 downto 8) &lt;= avalon_mm_rmap_i.writedata(15 downto 8);</t>
  </si>
  <si>
    <t xml:space="preserve">      rmap_registers_wr_o.aeb_gen_cfg_reserved_cd0.reserved(23 downto 16) &lt;= avalon_mm_rmap_i.writedata(23 downto 16);</t>
  </si>
  <si>
    <t xml:space="preserve">      rmap_registers_wr_o.aeb_gen_cfg_reserved_cd0.reserved(31 downto 24) &lt;= avalon_mm_rmap_i.writedata(31 downto 24);</t>
  </si>
  <si>
    <t xml:space="preserve">      rmap_registers_wr_o.aeb_gen_cfg_reserved_cd4.reserved(7 downto 0) &lt;= avalon_mm_rmap_i.writedata(7 downto 0);</t>
  </si>
  <si>
    <t xml:space="preserve">      rmap_registers_wr_o.aeb_gen_cfg_reserved_cd4.reserved(15 downto 8) &lt;= avalon_mm_rmap_i.writedata(15 downto 8);</t>
  </si>
  <si>
    <t xml:space="preserve">      rmap_registers_wr_o.aeb_gen_cfg_reserved_cd4.reserved(23 downto 16) &lt;= avalon_mm_rmap_i.writedata(23 downto 16);</t>
  </si>
  <si>
    <t xml:space="preserve">      rmap_registers_wr_o.aeb_gen_cfg_reserved_cd4.reserved(31 downto 24) &lt;= avalon_mm_rmap_i.writedata(31 downto 24);</t>
  </si>
  <si>
    <t xml:space="preserve">      rmap_registers_wr_o.aeb_gen_cfg_reserved_cd8.reserved(7 downto 0) &lt;= avalon_mm_rmap_i.writedata(7 downto 0);</t>
  </si>
  <si>
    <t xml:space="preserve">      rmap_registers_wr_o.aeb_gen_cfg_reserved_cd8.reserved(15 downto 8) &lt;= avalon_mm_rmap_i.writedata(15 downto 8);</t>
  </si>
  <si>
    <t xml:space="preserve">      rmap_registers_wr_o.aeb_gen_cfg_reserved_cd8.reserved(23 downto 16) &lt;= avalon_mm_rmap_i.writedata(23 downto 16);</t>
  </si>
  <si>
    <t xml:space="preserve">      rmap_registers_wr_o.aeb_gen_cfg_reserved_cd8.reserved(31 downto 24) &lt;= avalon_mm_rmap_i.writedata(31 downto 24);</t>
  </si>
  <si>
    <t xml:space="preserve">      rmap_registers_wr_o.aeb_gen_cfg_reserved_cdc.reserved(7 downto 0) &lt;= avalon_mm_rmap_i.writedata(7 downto 0);</t>
  </si>
  <si>
    <t xml:space="preserve">      rmap_registers_wr_o.aeb_gen_cfg_reserved_cdc.reserved(15 downto 8) &lt;= avalon_mm_rmap_i.writedata(15 downto 8);</t>
  </si>
  <si>
    <t xml:space="preserve">      rmap_registers_wr_o.aeb_gen_cfg_reserved_cdc.reserved(23 downto 16) &lt;= avalon_mm_rmap_i.writedata(23 downto 16);</t>
  </si>
  <si>
    <t xml:space="preserve">      rmap_registers_wr_o.aeb_gen_cfg_reserved_cdc.reserved(31 downto 24) &lt;= avalon_mm_rmap_i.writedata(31 downto 24);</t>
  </si>
  <si>
    <t xml:space="preserve">      rmap_registers_wr_o.aeb_gen_cfg_reserved_ce0.reserved(7 downto 0) &lt;= avalon_mm_rmap_i.writedata(7 downto 0);</t>
  </si>
  <si>
    <t xml:space="preserve">      rmap_registers_wr_o.aeb_gen_cfg_reserved_ce0.reserved(15 downto 8) &lt;= avalon_mm_rmap_i.writedata(15 downto 8);</t>
  </si>
  <si>
    <t xml:space="preserve">      rmap_registers_wr_o.aeb_gen_cfg_reserved_ce0.reserved(23 downto 16) &lt;= avalon_mm_rmap_i.writedata(23 downto 16);</t>
  </si>
  <si>
    <t xml:space="preserve">      rmap_registers_wr_o.aeb_gen_cfg_reserved_ce0.reserved(31 downto 24) &lt;= avalon_mm_rmap_i.writedata(31 downto 24);</t>
  </si>
  <si>
    <t xml:space="preserve">      rmap_registers_wr_o.aeb_gen_cfg_reserved_ce4.reserved(7 downto 0) &lt;= avalon_mm_rmap_i.writedata(7 downto 0);</t>
  </si>
  <si>
    <t xml:space="preserve">      rmap_registers_wr_o.aeb_gen_cfg_reserved_ce4.reserved(15 downto 8) &lt;= avalon_mm_rmap_i.writedata(15 downto 8);</t>
  </si>
  <si>
    <t xml:space="preserve">      rmap_registers_wr_o.aeb_gen_cfg_reserved_ce4.reserved(23 downto 16) &lt;= avalon_mm_rmap_i.writedata(23 downto 16);</t>
  </si>
  <si>
    <t xml:space="preserve">      rmap_registers_wr_o.aeb_gen_cfg_reserved_ce4.reserved(31 downto 24) &lt;= avalon_mm_rmap_i.writedata(31 downto 24);</t>
  </si>
  <si>
    <t xml:space="preserve">      rmap_registers_wr_o.aeb_gen_cfg_reserved_ce8.reserved(7 downto 0) &lt;= avalon_mm_rmap_i.writedata(7 downto 0);</t>
  </si>
  <si>
    <t xml:space="preserve">      rmap_registers_wr_o.aeb_gen_cfg_reserved_ce8.reserved(15 downto 8) &lt;= avalon_mm_rmap_i.writedata(15 downto 8);</t>
  </si>
  <si>
    <t xml:space="preserve">      rmap_registers_wr_o.aeb_gen_cfg_reserved_ce8.reserved(23 downto 16) &lt;= avalon_mm_rmap_i.writedata(23 downto 16);</t>
  </si>
  <si>
    <t xml:space="preserve">      rmap_registers_wr_o.aeb_gen_cfg_reserved_ce8.reserved(31 downto 24) &lt;= avalon_mm_rmap_i.writedata(31 downto 24);</t>
  </si>
  <si>
    <t xml:space="preserve">      rmap_registers_wr_o.aeb_gen_cfg_reserved_cec.reserved(7 downto 0) &lt;= avalon_mm_rmap_i.writedata(7 downto 0);</t>
  </si>
  <si>
    <t xml:space="preserve">      rmap_registers_wr_o.aeb_gen_cfg_reserved_cec.reserved(15 downto 8) &lt;= avalon_mm_rmap_i.writedata(15 downto 8);</t>
  </si>
  <si>
    <t xml:space="preserve">      rmap_registers_wr_o.aeb_gen_cfg_reserved_cec.reserved(23 downto 16) &lt;= avalon_mm_rmap_i.writedata(23 downto 16);</t>
  </si>
  <si>
    <t xml:space="preserve">      rmap_registers_wr_o.aeb_gen_cfg_reserved_cec.reserved(31 downto 24) &lt;= avalon_mm_rmap_i.writedata(31 downto 24);</t>
  </si>
  <si>
    <t xml:space="preserve">      rmap_registers_wr_o.aeb_gen_cfg_reserved_cf0.reserved(7 downto 0) &lt;= avalon_mm_rmap_i.writedata(7 downto 0);</t>
  </si>
  <si>
    <t xml:space="preserve">      rmap_registers_wr_o.aeb_gen_cfg_reserved_cf0.reserved(15 downto 8) &lt;= avalon_mm_rmap_i.writedata(15 downto 8);</t>
  </si>
  <si>
    <t xml:space="preserve">      rmap_registers_wr_o.aeb_gen_cfg_reserved_cf0.reserved(23 downto 16) &lt;= avalon_mm_rmap_i.writedata(23 downto 16);</t>
  </si>
  <si>
    <t xml:space="preserve">      rmap_registers_wr_o.aeb_gen_cfg_reserved_cf0.reserved(31 downto 24) &lt;= avalon_mm_rmap_i.writedata(31 downto 24);</t>
  </si>
  <si>
    <t xml:space="preserve">      rmap_registers_wr_o.aeb_gen_cfg_reserved_cf4.reserved(7 downto 0) &lt;= avalon_mm_rmap_i.writedata(7 downto 0);</t>
  </si>
  <si>
    <t xml:space="preserve">      rmap_registers_wr_o.aeb_gen_cfg_reserved_cf4.reserved(15 downto 8) &lt;= avalon_mm_rmap_i.writedata(15 downto 8);</t>
  </si>
  <si>
    <t xml:space="preserve">      rmap_registers_wr_o.aeb_gen_cfg_reserved_cf4.reserved(23 downto 16) &lt;= avalon_mm_rmap_i.writedata(23 downto 16);</t>
  </si>
  <si>
    <t xml:space="preserve">      rmap_registers_wr_o.aeb_gen_cfg_reserved_cf4.reserved(31 downto 24) &lt;= avalon_mm_rmap_i.writedata(31 downto 24);</t>
  </si>
  <si>
    <t xml:space="preserve">      rmap_registers_wr_o.aeb_gen_cfg_reserved_cf8.reserved(7 downto 0) &lt;= avalon_mm_rmap_i.writedata(7 downto 0);</t>
  </si>
  <si>
    <t xml:space="preserve">      rmap_registers_wr_o.aeb_gen_cfg_reserved_cf8.reserved(15 downto 8) &lt;= avalon_mm_rmap_i.writedata(15 downto 8);</t>
  </si>
  <si>
    <t xml:space="preserve">      rmap_registers_wr_o.aeb_gen_cfg_reserved_cf8.reserved(23 downto 16) &lt;= avalon_mm_rmap_i.writedata(23 downto 16);</t>
  </si>
  <si>
    <t xml:space="preserve">      rmap_registers_wr_o.aeb_gen_cfg_reserved_cf8.reserved(31 downto 24) &lt;= avalon_mm_rmap_i.writedata(31 downto 24);</t>
  </si>
  <si>
    <t xml:space="preserve">      rmap_registers_wr_o.aeb_gen_cfg_reserved_cfc.reserved(7 downto 0) &lt;= avalon_mm_rmap_i.writedata(7 downto 0);</t>
  </si>
  <si>
    <t xml:space="preserve">      rmap_registers_wr_o.aeb_gen_cfg_reserved_cfc.reserved(15 downto 8) &lt;= avalon_mm_rmap_i.writedata(15 downto 8);</t>
  </si>
  <si>
    <t xml:space="preserve">      rmap_registers_wr_o.aeb_gen_cfg_reserved_cfc.reserved(23 downto 16) &lt;= avalon_mm_rmap_i.writedata(23 downto 16);</t>
  </si>
  <si>
    <t xml:space="preserve">      rmap_registers_wr_o.aeb_gen_cfg_reserved_cfc.reserved(31 downto 24) &lt;= avalon_mm_rmap_i.writedata(31 downto 24);</t>
  </si>
  <si>
    <t xml:space="preserve">      rmap_registers_wr_o.aeb_gen_cfg_reserved_d00.reserved(7 downto 0) &lt;= avalon_mm_rmap_i.writedata(7 downto 0);</t>
  </si>
  <si>
    <t xml:space="preserve">      rmap_registers_wr_o.aeb_gen_cfg_reserved_d00.reserved(15 downto 8) &lt;= avalon_mm_rmap_i.writedata(15 downto 8);</t>
  </si>
  <si>
    <t xml:space="preserve">      rmap_registers_wr_o.aeb_gen_cfg_reserved_d00.reserved(23 downto 16) &lt;= avalon_mm_rmap_i.writedata(23 downto 16);</t>
  </si>
  <si>
    <t xml:space="preserve">      rmap_registers_wr_o.aeb_gen_cfg_reserved_d00.reserved(31 downto 24) &lt;= avalon_mm_rmap_i.writedata(31 downto 24);</t>
  </si>
  <si>
    <t xml:space="preserve">      rmap_registers_wr_o.aeb_gen_cfg_reserved_d04.reserved(7 downto 0) &lt;= avalon_mm_rmap_i.writedata(7 downto 0);</t>
  </si>
  <si>
    <t xml:space="preserve">      rmap_registers_wr_o.aeb_gen_cfg_reserved_d04.reserved(15 downto 8) &lt;= avalon_mm_rmap_i.writedata(15 downto 8);</t>
  </si>
  <si>
    <t xml:space="preserve">      rmap_registers_wr_o.aeb_gen_cfg_reserved_d04.reserved(23 downto 16) &lt;= avalon_mm_rmap_i.writedata(23 downto 16);</t>
  </si>
  <si>
    <t xml:space="preserve">      rmap_registers_wr_o.aeb_gen_cfg_reserved_d04.reserved(31 downto 24) &lt;= avalon_mm_rmap_i.writedata(31 downto 24);</t>
  </si>
  <si>
    <t xml:space="preserve">      rmap_registers_wr_o.aeb_gen_cfg_reserved_d08.reserved(7 downto 0) &lt;= avalon_mm_rmap_i.writedata(7 downto 0);</t>
  </si>
  <si>
    <t xml:space="preserve">      rmap_registers_wr_o.aeb_gen_cfg_reserved_d08.reserved(15 downto 8) &lt;= avalon_mm_rmap_i.writedata(15 downto 8);</t>
  </si>
  <si>
    <t xml:space="preserve">      rmap_registers_wr_o.aeb_gen_cfg_reserved_d08.reserved(23 downto 16) &lt;= avalon_mm_rmap_i.writedata(23 downto 16);</t>
  </si>
  <si>
    <t xml:space="preserve">      rmap_registers_wr_o.aeb_gen_cfg_reserved_d08.reserved(31 downto 24) &lt;= avalon_mm_rmap_i.writedata(31 downto 24);</t>
  </si>
  <si>
    <t xml:space="preserve">      rmap_registers_wr_o.aeb_gen_cfg_reserved_d0c.reserved(7 downto 0) &lt;= avalon_mm_rmap_i.writedata(7 downto 0);</t>
  </si>
  <si>
    <t xml:space="preserve">      rmap_registers_wr_o.aeb_gen_cfg_reserved_d0c.reserved(15 downto 8) &lt;= avalon_mm_rmap_i.writedata(15 downto 8);</t>
  </si>
  <si>
    <t xml:space="preserve">      rmap_registers_wr_o.aeb_gen_cfg_reserved_d0c.reserved(23 downto 16) &lt;= avalon_mm_rmap_i.writedata(23 downto 16);</t>
  </si>
  <si>
    <t xml:space="preserve">      rmap_registers_wr_o.aeb_gen_cfg_reserved_d0c.reserved(31 downto 24) &lt;= avalon_mm_rmap_i.writedata(31 downto 24);</t>
  </si>
  <si>
    <t xml:space="preserve">      rmap_registers_wr_o.aeb_gen_cfg_reserved_d10.reserved(7 downto 0) &lt;= avalon_mm_rmap_i.writedata(7 downto 0);</t>
  </si>
  <si>
    <t xml:space="preserve">      rmap_registers_wr_o.aeb_gen_cfg_reserved_d10.reserved(15 downto 8) &lt;= avalon_mm_rmap_i.writedata(15 downto 8);</t>
  </si>
  <si>
    <t xml:space="preserve">      rmap_registers_wr_o.aeb_gen_cfg_reserved_d10.reserved(23 downto 16) &lt;= avalon_mm_rmap_i.writedata(23 downto 16);</t>
  </si>
  <si>
    <t xml:space="preserve">      rmap_registers_wr_o.aeb_gen_cfg_reserved_d10.reserved(31 downto 24) &lt;= avalon_mm_rmap_i.writedata(31 downto 24);</t>
  </si>
  <si>
    <t xml:space="preserve">      rmap_registers_wr_o.aeb_gen_cfg_reserved_d14.reserved(7 downto 0) &lt;= avalon_mm_rmap_i.writedata(7 downto 0);</t>
  </si>
  <si>
    <t xml:space="preserve">      rmap_registers_wr_o.aeb_gen_cfg_reserved_d14.reserved(15 downto 8) &lt;= avalon_mm_rmap_i.writedata(15 downto 8);</t>
  </si>
  <si>
    <t xml:space="preserve">      rmap_registers_wr_o.aeb_gen_cfg_reserved_d14.reserved(23 downto 16) &lt;= avalon_mm_rmap_i.writedata(23 downto 16);</t>
  </si>
  <si>
    <t xml:space="preserve">      rmap_registers_wr_o.aeb_gen_cfg_reserved_d14.reserved(31 downto 24) &lt;= avalon_mm_rmap_i.writedata(31 downto 24);</t>
  </si>
  <si>
    <t xml:space="preserve">      rmap_registers_wr_o.aeb_gen_cfg_reserved_d18.reserved(7 downto 0) &lt;= avalon_mm_rmap_i.writedata(7 downto 0);</t>
  </si>
  <si>
    <t xml:space="preserve">      rmap_registers_wr_o.aeb_gen_cfg_reserved_d18.reserved(15 downto 8) &lt;= avalon_mm_rmap_i.writedata(15 downto 8);</t>
  </si>
  <si>
    <t xml:space="preserve">      rmap_registers_wr_o.aeb_gen_cfg_reserved_d18.reserved(23 downto 16) &lt;= avalon_mm_rmap_i.writedata(23 downto 16);</t>
  </si>
  <si>
    <t xml:space="preserve">      rmap_registers_wr_o.aeb_gen_cfg_reserved_d18.reserved(31 downto 24) &lt;= avalon_mm_rmap_i.writedata(31 downto 24);</t>
  </si>
  <si>
    <t xml:space="preserve">      rmap_registers_wr_o.aeb_gen_cfg_reserved_d1c.reserved(7 downto 0) &lt;= avalon_mm_rmap_i.writedata(7 downto 0);</t>
  </si>
  <si>
    <t xml:space="preserve">      rmap_registers_wr_o.aeb_gen_cfg_reserved_d1c.reserved(15 downto 8) &lt;= avalon_mm_rmap_i.writedata(15 downto 8);</t>
  </si>
  <si>
    <t xml:space="preserve">      rmap_registers_wr_o.aeb_gen_cfg_reserved_d1c.reserved(23 downto 16) &lt;= avalon_mm_rmap_i.writedata(23 downto 16);</t>
  </si>
  <si>
    <t xml:space="preserve">      rmap_registers_wr_o.aeb_gen_cfg_reserved_d1c.reserved(31 downto 24) &lt;= avalon_mm_rmap_i.writedata(31 downto 24);</t>
  </si>
  <si>
    <t xml:space="preserve">      rmap_registers_wr_o.aeb_gen_cfg_reserved_d20.reserved(7 downto 0) &lt;= avalon_mm_rmap_i.writedata(7 downto 0);</t>
  </si>
  <si>
    <t xml:space="preserve">      rmap_registers_wr_o.aeb_gen_cfg_reserved_d20.reserved(15 downto 8) &lt;= avalon_mm_rmap_i.writedata(15 downto 8);</t>
  </si>
  <si>
    <t xml:space="preserve">      rmap_registers_wr_o.aeb_gen_cfg_reserved_d20.reserved(23 downto 16) &lt;= avalon_mm_rmap_i.writedata(23 downto 16);</t>
  </si>
  <si>
    <t xml:space="preserve">      rmap_registers_wr_o.aeb_gen_cfg_reserved_d20.reserved(31 downto 24) &lt;= avalon_mm_rmap_i.writedata(31 downto 24);</t>
  </si>
  <si>
    <t xml:space="preserve">      rmap_registers_wr_o.aeb_gen_cfg_reserved_d24.reserved(7 downto 0) &lt;= avalon_mm_rmap_i.writedata(7 downto 0);</t>
  </si>
  <si>
    <t xml:space="preserve">      rmap_registers_wr_o.aeb_gen_cfg_reserved_d24.reserved(15 downto 8) &lt;= avalon_mm_rmap_i.writedata(15 downto 8);</t>
  </si>
  <si>
    <t xml:space="preserve">      rmap_registers_wr_o.aeb_gen_cfg_reserved_d24.reserved(23 downto 16) &lt;= avalon_mm_rmap_i.writedata(23 downto 16);</t>
  </si>
  <si>
    <t xml:space="preserve">      rmap_registers_wr_o.aeb_gen_cfg_reserved_d24.reserved(31 downto 24) &lt;= avalon_mm_rmap_i.writedata(31 downto 24);</t>
  </si>
  <si>
    <t xml:space="preserve">      rmap_registers_wr_o.aeb_gen_cfg_reserved_d28.reserved(7 downto 0) &lt;= avalon_mm_rmap_i.writedata(7 downto 0);</t>
  </si>
  <si>
    <t xml:space="preserve">      rmap_registers_wr_o.aeb_gen_cfg_reserved_d28.reserved(15 downto 8) &lt;= avalon_mm_rmap_i.writedata(15 downto 8);</t>
  </si>
  <si>
    <t xml:space="preserve">      rmap_registers_wr_o.aeb_gen_cfg_reserved_d28.reserved(23 downto 16) &lt;= avalon_mm_rmap_i.writedata(23 downto 16);</t>
  </si>
  <si>
    <t xml:space="preserve">      rmap_registers_wr_o.aeb_gen_cfg_reserved_d28.reserved(31 downto 24) &lt;= avalon_mm_rmap_i.writedata(31 downto 24);</t>
  </si>
  <si>
    <t xml:space="preserve">      rmap_registers_wr_o.aeb_gen_cfg_reserved_d2c.reserved(7 downto 0) &lt;= avalon_mm_rmap_i.writedata(7 downto 0);</t>
  </si>
  <si>
    <t xml:space="preserve">      rmap_registers_wr_o.aeb_gen_cfg_reserved_d2c.reserved(15 downto 8) &lt;= avalon_mm_rmap_i.writedata(15 downto 8);</t>
  </si>
  <si>
    <t xml:space="preserve">      rmap_registers_wr_o.aeb_gen_cfg_reserved_d2c.reserved(23 downto 16) &lt;= avalon_mm_rmap_i.writedata(23 downto 16);</t>
  </si>
  <si>
    <t xml:space="preserve">      rmap_registers_wr_o.aeb_gen_cfg_reserved_d2c.reserved(31 downto 24) &lt;= avalon_mm_rmap_i.writedata(31 downto 24);</t>
  </si>
  <si>
    <t xml:space="preserve">      rmap_registers_wr_o.aeb_gen_cfg_reserved_d30.reserved(7 downto 0) &lt;= avalon_mm_rmap_i.writedata(7 downto 0);</t>
  </si>
  <si>
    <t xml:space="preserve">      rmap_registers_wr_o.aeb_gen_cfg_reserved_d30.reserved(15 downto 8) &lt;= avalon_mm_rmap_i.writedata(15 downto 8);</t>
  </si>
  <si>
    <t xml:space="preserve">      rmap_registers_wr_o.aeb_gen_cfg_reserved_d30.reserved(23 downto 16) &lt;= avalon_mm_rmap_i.writedata(23 downto 16);</t>
  </si>
  <si>
    <t xml:space="preserve">      rmap_registers_wr_o.aeb_gen_cfg_reserved_d30.reserved(31 downto 24) &lt;= avalon_mm_rmap_i.writedata(31 downto 24);</t>
  </si>
  <si>
    <t xml:space="preserve">      rmap_registers_wr_o.aeb_gen_cfg_reserved_d34.reserved(7 downto 0) &lt;= avalon_mm_rmap_i.writedata(7 downto 0);</t>
  </si>
  <si>
    <t xml:space="preserve">      rmap_registers_wr_o.aeb_gen_cfg_reserved_d34.reserved(15 downto 8) &lt;= avalon_mm_rmap_i.writedata(15 downto 8);</t>
  </si>
  <si>
    <t xml:space="preserve">      rmap_registers_wr_o.aeb_gen_cfg_reserved_d34.reserved(23 downto 16) &lt;= avalon_mm_rmap_i.writedata(23 downto 16);</t>
  </si>
  <si>
    <t xml:space="preserve">      rmap_registers_wr_o.aeb_gen_cfg_reserved_d34.reserved(31 downto 24) &lt;= avalon_mm_rmap_i.writedata(31 downto 24);</t>
  </si>
  <si>
    <t xml:space="preserve">      rmap_registers_wr_o.aeb_gen_cfg_reserved_d38.reserved(7 downto 0) &lt;= avalon_mm_rmap_i.writedata(7 downto 0);</t>
  </si>
  <si>
    <t xml:space="preserve">      rmap_registers_wr_o.aeb_gen_cfg_reserved_d38.reserved(15 downto 8) &lt;= avalon_mm_rmap_i.writedata(15 downto 8);</t>
  </si>
  <si>
    <t xml:space="preserve">      rmap_registers_wr_o.aeb_gen_cfg_reserved_d38.reserved(23 downto 16) &lt;= avalon_mm_rmap_i.writedata(23 downto 16);</t>
  </si>
  <si>
    <t xml:space="preserve">      rmap_registers_wr_o.aeb_gen_cfg_reserved_d38.reserved(31 downto 24) &lt;= avalon_mm_rmap_i.writedata(31 downto 24);</t>
  </si>
  <si>
    <t xml:space="preserve">      rmap_registers_wr_o.aeb_gen_cfg_reserved_d3c.reserved(7 downto 0) &lt;= avalon_mm_rmap_i.writedata(7 downto 0);</t>
  </si>
  <si>
    <t xml:space="preserve">      rmap_registers_wr_o.aeb_gen_cfg_reserved_d3c.reserved(15 downto 8) &lt;= avalon_mm_rmap_i.writedata(15 downto 8);</t>
  </si>
  <si>
    <t xml:space="preserve">      rmap_registers_wr_o.aeb_gen_cfg_reserved_d3c.reserved(23 downto 16) &lt;= avalon_mm_rmap_i.writedata(23 downto 16);</t>
  </si>
  <si>
    <t xml:space="preserve">      rmap_registers_wr_o.aeb_gen_cfg_reserved_d3c.reserved(31 downto 24) &lt;= avalon_mm_rmap_i.writedata(31 downto 24);</t>
  </si>
  <si>
    <t xml:space="preserve">      rmap_registers_wr_o.aeb_gen_cfg_reserved_d40.reserved(7 downto 0) &lt;= avalon_mm_rmap_i.writedata(7 downto 0);</t>
  </si>
  <si>
    <t xml:space="preserve">      rmap_registers_wr_o.aeb_gen_cfg_reserved_d40.reserved(15 downto 8) &lt;= avalon_mm_rmap_i.writedata(15 downto 8);</t>
  </si>
  <si>
    <t xml:space="preserve">      rmap_registers_wr_o.aeb_gen_cfg_reserved_d40.reserved(23 downto 16) &lt;= avalon_mm_rmap_i.writedata(23 downto 16);</t>
  </si>
  <si>
    <t xml:space="preserve">      rmap_registers_wr_o.aeb_gen_cfg_reserved_d40.reserved(31 downto 24) &lt;= avalon_mm_rmap_i.writedata(31 downto 24);</t>
  </si>
  <si>
    <t xml:space="preserve">      rmap_registers_wr_o.aeb_gen_cfg_reserved_d44.reserved(7 downto 0) &lt;= avalon_mm_rmap_i.writedata(7 downto 0);</t>
  </si>
  <si>
    <t xml:space="preserve">      rmap_registers_wr_o.aeb_gen_cfg_reserved_d44.reserved(15 downto 8) &lt;= avalon_mm_rmap_i.writedata(15 downto 8);</t>
  </si>
  <si>
    <t xml:space="preserve">      rmap_registers_wr_o.aeb_gen_cfg_reserved_d44.reserved(23 downto 16) &lt;= avalon_mm_rmap_i.writedata(23 downto 16);</t>
  </si>
  <si>
    <t xml:space="preserve">      rmap_registers_wr_o.aeb_gen_cfg_reserved_d44.reserved(31 downto 24) &lt;= avalon_mm_rmap_i.writedata(31 downto 24);</t>
  </si>
  <si>
    <t xml:space="preserve">      rmap_registers_wr_o.aeb_gen_cfg_reserved_d48.reserved(7 downto 0) &lt;= avalon_mm_rmap_i.writedata(7 downto 0);</t>
  </si>
  <si>
    <t xml:space="preserve">      rmap_registers_wr_o.aeb_gen_cfg_reserved_d48.reserved(15 downto 8) &lt;= avalon_mm_rmap_i.writedata(15 downto 8);</t>
  </si>
  <si>
    <t xml:space="preserve">      rmap_registers_wr_o.aeb_gen_cfg_reserved_d48.reserved(23 downto 16) &lt;= avalon_mm_rmap_i.writedata(23 downto 16);</t>
  </si>
  <si>
    <t xml:space="preserve">      rmap_registers_wr_o.aeb_gen_cfg_reserved_d48.reserved(31 downto 24) &lt;= avalon_mm_rmap_i.writedata(31 downto 24);</t>
  </si>
  <si>
    <t xml:space="preserve">      rmap_registers_wr_o.aeb_gen_cfg_reserved_d4c.reserved(7 downto 0) &lt;= avalon_mm_rmap_i.writedata(7 downto 0);</t>
  </si>
  <si>
    <t xml:space="preserve">      rmap_registers_wr_o.aeb_gen_cfg_reserved_d4c.reserved(15 downto 8) &lt;= avalon_mm_rmap_i.writedata(15 downto 8);</t>
  </si>
  <si>
    <t xml:space="preserve">      rmap_registers_wr_o.aeb_gen_cfg_reserved_d4c.reserved(23 downto 16) &lt;= avalon_mm_rmap_i.writedata(23 downto 16);</t>
  </si>
  <si>
    <t xml:space="preserve">      rmap_registers_wr_o.aeb_gen_cfg_reserved_d4c.reserved(31 downto 24) &lt;= avalon_mm_rmap_i.writedata(31 downto 24);</t>
  </si>
  <si>
    <t xml:space="preserve">      rmap_registers_wr_o.aeb_gen_cfg_reserved_d50.reserved(7 downto 0) &lt;= avalon_mm_rmap_i.writedata(7 downto 0);</t>
  </si>
  <si>
    <t xml:space="preserve">      rmap_registers_wr_o.aeb_gen_cfg_reserved_d50.reserved(15 downto 8) &lt;= avalon_mm_rmap_i.writedata(15 downto 8);</t>
  </si>
  <si>
    <t xml:space="preserve">      rmap_registers_wr_o.aeb_gen_cfg_reserved_d50.reserved(23 downto 16) &lt;= avalon_mm_rmap_i.writedata(23 downto 16);</t>
  </si>
  <si>
    <t xml:space="preserve">      rmap_registers_wr_o.aeb_gen_cfg_reserved_d50.reserved(31 downto 24) &lt;= avalon_mm_rmap_i.writedata(31 downto 24);</t>
  </si>
  <si>
    <t xml:space="preserve">      rmap_registers_wr_o.aeb_gen_cfg_reserved_d54.reserved(7 downto 0) &lt;= avalon_mm_rmap_i.writedata(7 downto 0);</t>
  </si>
  <si>
    <t xml:space="preserve">      rmap_registers_wr_o.aeb_gen_cfg_reserved_d54.reserved(15 downto 8) &lt;= avalon_mm_rmap_i.writedata(15 downto 8);</t>
  </si>
  <si>
    <t xml:space="preserve">      rmap_registers_wr_o.aeb_gen_cfg_reserved_d54.reserved(23 downto 16) &lt;= avalon_mm_rmap_i.writedata(23 downto 16);</t>
  </si>
  <si>
    <t xml:space="preserve">      rmap_registers_wr_o.aeb_gen_cfg_reserved_d54.reserved(31 downto 24) &lt;= avalon_mm_rmap_i.writedata(31 downto 24);</t>
  </si>
  <si>
    <t xml:space="preserve">      rmap_registers_wr_o.aeb_gen_cfg_reserved_d58.reserved(7 downto 0) &lt;= avalon_mm_rmap_i.writedata(7 downto 0);</t>
  </si>
  <si>
    <t xml:space="preserve">      rmap_registers_wr_o.aeb_gen_cfg_reserved_d58.reserved(15 downto 8) &lt;= avalon_mm_rmap_i.writedata(15 downto 8);</t>
  </si>
  <si>
    <t xml:space="preserve">      rmap_registers_wr_o.aeb_gen_cfg_reserved_d58.reserved(23 downto 16) &lt;= avalon_mm_rmap_i.writedata(23 downto 16);</t>
  </si>
  <si>
    <t xml:space="preserve">      rmap_registers_wr_o.aeb_gen_cfg_reserved_d58.reserved(31 downto 24) &lt;= avalon_mm_rmap_i.writedata(31 downto 24);</t>
  </si>
  <si>
    <t xml:space="preserve">      rmap_registers_wr_o.aeb_gen_cfg_reserved_d5c.reserved(7 downto 0) &lt;= avalon_mm_rmap_i.writedata(7 downto 0);</t>
  </si>
  <si>
    <t xml:space="preserve">      rmap_registers_wr_o.aeb_gen_cfg_reserved_d5c.reserved(15 downto 8) &lt;= avalon_mm_rmap_i.writedata(15 downto 8);</t>
  </si>
  <si>
    <t xml:space="preserve">      rmap_registers_wr_o.aeb_gen_cfg_reserved_d5c.reserved(23 downto 16) &lt;= avalon_mm_rmap_i.writedata(23 downto 16);</t>
  </si>
  <si>
    <t xml:space="preserve">      rmap_registers_wr_o.aeb_gen_cfg_reserved_d5c.reserved(31 downto 24) &lt;= avalon_mm_rmap_i.writedata(31 downto 24);</t>
  </si>
  <si>
    <t xml:space="preserve">      rmap_registers_wr_o.aeb_gen_cfg_reserved_d60.reserved(7 downto 0) &lt;= avalon_mm_rmap_i.writedata(7 downto 0);</t>
  </si>
  <si>
    <t xml:space="preserve">      rmap_registers_wr_o.aeb_gen_cfg_reserved_d60.reserved(15 downto 8) &lt;= avalon_mm_rmap_i.writedata(15 downto 8);</t>
  </si>
  <si>
    <t xml:space="preserve">      rmap_registers_wr_o.aeb_gen_cfg_reserved_d60.reserved(23 downto 16) &lt;= avalon_mm_rmap_i.writedata(23 downto 16);</t>
  </si>
  <si>
    <t xml:space="preserve">      rmap_registers_wr_o.aeb_gen_cfg_reserved_d60.reserved(31 downto 24) &lt;= avalon_mm_rmap_i.writedata(31 downto 24);</t>
  </si>
  <si>
    <t xml:space="preserve">      rmap_registers_wr_o.aeb_gen_cfg_reserved_d64.reserved(7 downto 0) &lt;= avalon_mm_rmap_i.writedata(7 downto 0);</t>
  </si>
  <si>
    <t xml:space="preserve">      rmap_registers_wr_o.aeb_gen_cfg_reserved_d64.reserved(15 downto 8) &lt;= avalon_mm_rmap_i.writedata(15 downto 8);</t>
  </si>
  <si>
    <t xml:space="preserve">      rmap_registers_wr_o.aeb_gen_cfg_reserved_d64.reserved(23 downto 16) &lt;= avalon_mm_rmap_i.writedata(23 downto 16);</t>
  </si>
  <si>
    <t xml:space="preserve">      rmap_registers_wr_o.aeb_gen_cfg_reserved_d64.reserved(31 downto 24) &lt;= avalon_mm_rmap_i.writedata(31 downto 24);</t>
  </si>
  <si>
    <t xml:space="preserve">      rmap_registers_wr_o.aeb_gen_cfg_reserved_d68.reserved(7 downto 0) &lt;= avalon_mm_rmap_i.writedata(7 downto 0);</t>
  </si>
  <si>
    <t xml:space="preserve">      rmap_registers_wr_o.aeb_gen_cfg_reserved_d68.reserved(15 downto 8) &lt;= avalon_mm_rmap_i.writedata(15 downto 8);</t>
  </si>
  <si>
    <t xml:space="preserve">      rmap_registers_wr_o.aeb_gen_cfg_reserved_d68.reserved(23 downto 16) &lt;= avalon_mm_rmap_i.writedata(23 downto 16);</t>
  </si>
  <si>
    <t xml:space="preserve">      rmap_registers_wr_o.aeb_gen_cfg_reserved_d68.reserved(31 downto 24) &lt;= avalon_mm_rmap_i.writedata(31 downto 24);</t>
  </si>
  <si>
    <t xml:space="preserve">      rmap_registers_wr_o.aeb_gen_cfg_reserved_d6c.reserved(7 downto 0) &lt;= avalon_mm_rmap_i.writedata(7 downto 0);</t>
  </si>
  <si>
    <t xml:space="preserve">      rmap_registers_wr_o.aeb_gen_cfg_reserved_d6c.reserved(15 downto 8) &lt;= avalon_mm_rmap_i.writedata(15 downto 8);</t>
  </si>
  <si>
    <t xml:space="preserve">      rmap_registers_wr_o.aeb_gen_cfg_reserved_d6c.reserved(23 downto 16) &lt;= avalon_mm_rmap_i.writedata(23 downto 16);</t>
  </si>
  <si>
    <t xml:space="preserve">      rmap_registers_wr_o.aeb_gen_cfg_reserved_d6c.reserved(31 downto 24) &lt;= avalon_mm_rmap_i.writedata(31 downto 24);</t>
  </si>
  <si>
    <t xml:space="preserve">      rmap_registers_wr_o.aeb_gen_cfg_reserved_d70.reserved(7 downto 0) &lt;= avalon_mm_rmap_i.writedata(7 downto 0);</t>
  </si>
  <si>
    <t xml:space="preserve">      rmap_registers_wr_o.aeb_gen_cfg_reserved_d70.reserved(15 downto 8) &lt;= avalon_mm_rmap_i.writedata(15 downto 8);</t>
  </si>
  <si>
    <t xml:space="preserve">      rmap_registers_wr_o.aeb_gen_cfg_reserved_d70.reserved(23 downto 16) &lt;= avalon_mm_rmap_i.writedata(23 downto 16);</t>
  </si>
  <si>
    <t xml:space="preserve">      rmap_registers_wr_o.aeb_gen_cfg_reserved_d70.reserved(31 downto 24) &lt;= avalon_mm_rmap_i.writedata(31 downto 24);</t>
  </si>
  <si>
    <t xml:space="preserve">      rmap_registers_wr_o.aeb_gen_cfg_reserved_d74.reserved(7 downto 0) &lt;= avalon_mm_rmap_i.writedata(7 downto 0);</t>
  </si>
  <si>
    <t xml:space="preserve">      rmap_registers_wr_o.aeb_gen_cfg_reserved_d74.reserved(15 downto 8) &lt;= avalon_mm_rmap_i.writedata(15 downto 8);</t>
  </si>
  <si>
    <t xml:space="preserve">      rmap_registers_wr_o.aeb_gen_cfg_reserved_d74.reserved(23 downto 16) &lt;= avalon_mm_rmap_i.writedata(23 downto 16);</t>
  </si>
  <si>
    <t xml:space="preserve">      rmap_registers_wr_o.aeb_gen_cfg_reserved_d74.reserved(31 downto 24) &lt;= avalon_mm_rmap_i.writedata(31 downto 24);</t>
  </si>
  <si>
    <t xml:space="preserve">      rmap_registers_wr_o.aeb_gen_cfg_reserved_d78.reserved(7 downto 0) &lt;= avalon_mm_rmap_i.writedata(7 downto 0);</t>
  </si>
  <si>
    <t xml:space="preserve">      rmap_registers_wr_o.aeb_gen_cfg_reserved_d78.reserved(15 downto 8) &lt;= avalon_mm_rmap_i.writedata(15 downto 8);</t>
  </si>
  <si>
    <t xml:space="preserve">      rmap_registers_wr_o.aeb_gen_cfg_reserved_d78.reserved(23 downto 16) &lt;= avalon_mm_rmap_i.writedata(23 downto 16);</t>
  </si>
  <si>
    <t xml:space="preserve">      rmap_registers_wr_o.aeb_gen_cfg_reserved_d78.reserved(31 downto 24) &lt;= avalon_mm_rmap_i.writedata(31 downto 24);</t>
  </si>
  <si>
    <t xml:space="preserve">      rmap_registers_wr_o.aeb_gen_cfg_reserved_d7c.reserved(7 downto 0) &lt;= avalon_mm_rmap_i.writedata(7 downto 0);</t>
  </si>
  <si>
    <t xml:space="preserve">      rmap_registers_wr_o.aeb_gen_cfg_reserved_d7c.reserved(15 downto 8) &lt;= avalon_mm_rmap_i.writedata(15 downto 8);</t>
  </si>
  <si>
    <t xml:space="preserve">      rmap_registers_wr_o.aeb_gen_cfg_reserved_d7c.reserved(23 downto 16) &lt;= avalon_mm_rmap_i.writedata(23 downto 16);</t>
  </si>
  <si>
    <t xml:space="preserve">      rmap_registers_wr_o.aeb_gen_cfg_reserved_d7c.reserved(31 downto 24) &lt;= avalon_mm_rmap_i.writedata(31 downto 24);</t>
  </si>
  <si>
    <t xml:space="preserve">      rmap_registers_wr_o.aeb_gen_cfg_reserved_d80.reserved(7 downto 0) &lt;= avalon_mm_rmap_i.writedata(7 downto 0);</t>
  </si>
  <si>
    <t xml:space="preserve">      rmap_registers_wr_o.aeb_gen_cfg_reserved_d80.reserved(15 downto 8) &lt;= avalon_mm_rmap_i.writedata(15 downto 8);</t>
  </si>
  <si>
    <t xml:space="preserve">      rmap_registers_wr_o.aeb_gen_cfg_reserved_d80.reserved(23 downto 16) &lt;= avalon_mm_rmap_i.writedata(23 downto 16);</t>
  </si>
  <si>
    <t xml:space="preserve">      rmap_registers_wr_o.aeb_gen_cfg_reserved_d80.reserved(31 downto 24) &lt;= avalon_mm_rmap_i.writedata(31 downto 24);</t>
  </si>
  <si>
    <t xml:space="preserve">      rmap_registers_wr_o.aeb_gen_cfg_reserved_d84.reserved(7 downto 0) &lt;= avalon_mm_rmap_i.writedata(7 downto 0);</t>
  </si>
  <si>
    <t xml:space="preserve">      rmap_registers_wr_o.aeb_gen_cfg_reserved_d84.reserved(15 downto 8) &lt;= avalon_mm_rmap_i.writedata(15 downto 8);</t>
  </si>
  <si>
    <t xml:space="preserve">      rmap_registers_wr_o.aeb_gen_cfg_reserved_d84.reserved(23 downto 16) &lt;= avalon_mm_rmap_i.writedata(23 downto 16);</t>
  </si>
  <si>
    <t xml:space="preserve">      rmap_registers_wr_o.aeb_gen_cfg_reserved_d84.reserved(31 downto 24) &lt;= avalon_mm_rmap_i.writedata(31 downto 24);</t>
  </si>
  <si>
    <t xml:space="preserve">      rmap_registers_wr_o.aeb_gen_cfg_reserved_d88.reserved(7 downto 0) &lt;= avalon_mm_rmap_i.writedata(7 downto 0);</t>
  </si>
  <si>
    <t xml:space="preserve">      rmap_registers_wr_o.aeb_gen_cfg_reserved_d88.reserved(15 downto 8) &lt;= avalon_mm_rmap_i.writedata(15 downto 8);</t>
  </si>
  <si>
    <t xml:space="preserve">      rmap_registers_wr_o.aeb_gen_cfg_reserved_d88.reserved(23 downto 16) &lt;= avalon_mm_rmap_i.writedata(23 downto 16);</t>
  </si>
  <si>
    <t xml:space="preserve">      rmap_registers_wr_o.aeb_gen_cfg_reserved_d88.reserved(31 downto 24) &lt;= avalon_mm_rmap_i.writedata(31 downto 24);</t>
  </si>
  <si>
    <t xml:space="preserve">      rmap_registers_wr_o.aeb_gen_cfg_reserved_d8c.reserved(7 downto 0) &lt;= avalon_mm_rmap_i.writedata(7 downto 0);</t>
  </si>
  <si>
    <t xml:space="preserve">      rmap_registers_wr_o.aeb_gen_cfg_reserved_d8c.reserved(15 downto 8) &lt;= avalon_mm_rmap_i.writedata(15 downto 8);</t>
  </si>
  <si>
    <t xml:space="preserve">      rmap_registers_wr_o.aeb_gen_cfg_reserved_d8c.reserved(23 downto 16) &lt;= avalon_mm_rmap_i.writedata(23 downto 16);</t>
  </si>
  <si>
    <t xml:space="preserve">      rmap_registers_wr_o.aeb_gen_cfg_reserved_d8c.reserved(31 downto 24) &lt;= avalon_mm_rmap_i.writedata(31 downto 24);</t>
  </si>
  <si>
    <t xml:space="preserve">      rmap_registers_wr_o.aeb_gen_cfg_reserved_d90.reserved(7 downto 0) &lt;= avalon_mm_rmap_i.writedata(7 downto 0);</t>
  </si>
  <si>
    <t xml:space="preserve">      rmap_registers_wr_o.aeb_gen_cfg_reserved_d90.reserved(15 downto 8) &lt;= avalon_mm_rmap_i.writedata(15 downto 8);</t>
  </si>
  <si>
    <t xml:space="preserve">      rmap_registers_wr_o.aeb_gen_cfg_reserved_d90.reserved(23 downto 16) &lt;= avalon_mm_rmap_i.writedata(23 downto 16);</t>
  </si>
  <si>
    <t xml:space="preserve">      rmap_registers_wr_o.aeb_gen_cfg_reserved_d90.reserved(31 downto 24) &lt;= avalon_mm_rmap_i.writedata(31 downto 24);</t>
  </si>
  <si>
    <t xml:space="preserve">      rmap_registers_wr_o.aeb_gen_cfg_reserved_d94.reserved(7 downto 0) &lt;= avalon_mm_rmap_i.writedata(7 downto 0);</t>
  </si>
  <si>
    <t xml:space="preserve">      rmap_registers_wr_o.aeb_gen_cfg_reserved_d94.reserved(15 downto 8) &lt;= avalon_mm_rmap_i.writedata(15 downto 8);</t>
  </si>
  <si>
    <t xml:space="preserve">      rmap_registers_wr_o.aeb_gen_cfg_reserved_d94.reserved(23 downto 16) &lt;= avalon_mm_rmap_i.writedata(23 downto 16);</t>
  </si>
  <si>
    <t xml:space="preserve">      rmap_registers_wr_o.aeb_gen_cfg_reserved_d94.reserved(31 downto 24) &lt;= avalon_mm_rmap_i.writedata(31 downto 24);</t>
  </si>
  <si>
    <t xml:space="preserve">      rmap_registers_wr_o.aeb_gen_cfg_reserved_d98.reserved(7 downto 0) &lt;= avalon_mm_rmap_i.writedata(7 downto 0);</t>
  </si>
  <si>
    <t xml:space="preserve">      rmap_registers_wr_o.aeb_gen_cfg_reserved_d98.reserved(15 downto 8) &lt;= avalon_mm_rmap_i.writedata(15 downto 8);</t>
  </si>
  <si>
    <t xml:space="preserve">      rmap_registers_wr_o.aeb_gen_cfg_reserved_d98.reserved(23 downto 16) &lt;= avalon_mm_rmap_i.writedata(23 downto 16);</t>
  </si>
  <si>
    <t xml:space="preserve">      rmap_registers_wr_o.aeb_gen_cfg_reserved_d98.reserved(31 downto 24) &lt;= avalon_mm_rmap_i.writedata(31 downto 24);</t>
  </si>
  <si>
    <t xml:space="preserve">      rmap_registers_wr_o.aeb_gen_cfg_reserved_d9c.reserved(7 downto 0) &lt;= avalon_mm_rmap_i.writedata(7 downto 0);</t>
  </si>
  <si>
    <t xml:space="preserve">      rmap_registers_wr_o.aeb_gen_cfg_reserved_d9c.reserved(15 downto 8) &lt;= avalon_mm_rmap_i.writedata(15 downto 8);</t>
  </si>
  <si>
    <t xml:space="preserve">      rmap_registers_wr_o.aeb_gen_cfg_reserved_d9c.reserved(23 downto 16) &lt;= avalon_mm_rmap_i.writedata(23 downto 16);</t>
  </si>
  <si>
    <t xml:space="preserve">      rmap_registers_wr_o.aeb_gen_cfg_reserved_d9c.reserved(31 downto 24) &lt;= avalon_mm_rmap_i.writedata(31 downto 24);</t>
  </si>
  <si>
    <t xml:space="preserve">      rmap_registers_wr_o.aeb_gen_cfg_reserved_da0.reserved(7 downto 0) &lt;= avalon_mm_rmap_i.writedata(7 downto 0);</t>
  </si>
  <si>
    <t xml:space="preserve">      rmap_registers_wr_o.aeb_gen_cfg_reserved_da0.reserved(15 downto 8) &lt;= avalon_mm_rmap_i.writedata(15 downto 8);</t>
  </si>
  <si>
    <t xml:space="preserve">      rmap_registers_wr_o.aeb_gen_cfg_reserved_da0.reserved(23 downto 16) &lt;= avalon_mm_rmap_i.writedata(23 downto 16);</t>
  </si>
  <si>
    <t xml:space="preserve">      rmap_registers_wr_o.aeb_gen_cfg_reserved_da0.reserved(31 downto 24) &lt;= avalon_mm_rmap_i.writedata(31 downto 24);</t>
  </si>
  <si>
    <t xml:space="preserve">      rmap_registers_wr_o.aeb_gen_cfg_reserved_da4.reserved(7 downto 0) &lt;= avalon_mm_rmap_i.writedata(7 downto 0);</t>
  </si>
  <si>
    <t xml:space="preserve">      rmap_registers_wr_o.aeb_gen_cfg_reserved_da4.reserved(15 downto 8) &lt;= avalon_mm_rmap_i.writedata(15 downto 8);</t>
  </si>
  <si>
    <t xml:space="preserve">      rmap_registers_wr_o.aeb_gen_cfg_reserved_da4.reserved(23 downto 16) &lt;= avalon_mm_rmap_i.writedata(23 downto 16);</t>
  </si>
  <si>
    <t xml:space="preserve">      rmap_registers_wr_o.aeb_gen_cfg_reserved_da4.reserved(31 downto 24) &lt;= avalon_mm_rmap_i.writedata(31 downto 24);</t>
  </si>
  <si>
    <t xml:space="preserve">      rmap_registers_wr_o.aeb_gen_cfg_reserved_da8.reserved(7 downto 0) &lt;= avalon_mm_rmap_i.writedata(7 downto 0);</t>
  </si>
  <si>
    <t xml:space="preserve">      rmap_registers_wr_o.aeb_gen_cfg_reserved_da8.reserved(15 downto 8) &lt;= avalon_mm_rmap_i.writedata(15 downto 8);</t>
  </si>
  <si>
    <t xml:space="preserve">      rmap_registers_wr_o.aeb_gen_cfg_reserved_da8.reserved(23 downto 16) &lt;= avalon_mm_rmap_i.writedata(23 downto 16);</t>
  </si>
  <si>
    <t xml:space="preserve">      rmap_registers_wr_o.aeb_gen_cfg_reserved_da8.reserved(31 downto 24) &lt;= avalon_mm_rmap_i.writedata(31 downto 24);</t>
  </si>
  <si>
    <t xml:space="preserve">      rmap_registers_wr_o.aeb_gen_cfg_reserved_dac.reserved(7 downto 0) &lt;= avalon_mm_rmap_i.writedata(7 downto 0);</t>
  </si>
  <si>
    <t xml:space="preserve">      rmap_registers_wr_o.aeb_gen_cfg_reserved_dac.reserved(15 downto 8) &lt;= avalon_mm_rmap_i.writedata(15 downto 8);</t>
  </si>
  <si>
    <t xml:space="preserve">      rmap_registers_wr_o.aeb_gen_cfg_reserved_dac.reserved(23 downto 16) &lt;= avalon_mm_rmap_i.writedata(23 downto 16);</t>
  </si>
  <si>
    <t xml:space="preserve">      rmap_registers_wr_o.aeb_gen_cfg_reserved_dac.reserved(31 downto 24) &lt;= avalon_mm_rmap_i.writedata(31 downto 24);</t>
  </si>
  <si>
    <t xml:space="preserve">      rmap_registers_wr_o.aeb_gen_cfg_reserved_db0.reserved(7 downto 0) &lt;= avalon_mm_rmap_i.writedata(7 downto 0);</t>
  </si>
  <si>
    <t xml:space="preserve">      rmap_registers_wr_o.aeb_gen_cfg_reserved_db0.reserved(15 downto 8) &lt;= avalon_mm_rmap_i.writedata(15 downto 8);</t>
  </si>
  <si>
    <t xml:space="preserve">      rmap_registers_wr_o.aeb_gen_cfg_reserved_db0.reserved(23 downto 16) &lt;= avalon_mm_rmap_i.writedata(23 downto 16);</t>
  </si>
  <si>
    <t xml:space="preserve">      rmap_registers_wr_o.aeb_gen_cfg_reserved_db0.reserved(31 downto 24) &lt;= avalon_mm_rmap_i.writedata(31 downto 24);</t>
  </si>
  <si>
    <t xml:space="preserve">      rmap_registers_wr_o.aeb_gen_cfg_reserved_db4.reserved(7 downto 0) &lt;= avalon_mm_rmap_i.writedata(7 downto 0);</t>
  </si>
  <si>
    <t xml:space="preserve">      rmap_registers_wr_o.aeb_gen_cfg_reserved_db4.reserved(15 downto 8) &lt;= avalon_mm_rmap_i.writedata(15 downto 8);</t>
  </si>
  <si>
    <t xml:space="preserve">      rmap_registers_wr_o.aeb_gen_cfg_reserved_db4.reserved(23 downto 16) &lt;= avalon_mm_rmap_i.writedata(23 downto 16);</t>
  </si>
  <si>
    <t xml:space="preserve">      rmap_registers_wr_o.aeb_gen_cfg_reserved_db4.reserved(31 downto 24) &lt;= avalon_mm_rmap_i.writedata(31 downto 24);</t>
  </si>
  <si>
    <t xml:space="preserve">      rmap_registers_wr_o.aeb_gen_cfg_reserved_db8.reserved(7 downto 0) &lt;= avalon_mm_rmap_i.writedata(7 downto 0);</t>
  </si>
  <si>
    <t xml:space="preserve">      rmap_registers_wr_o.aeb_gen_cfg_reserved_db8.reserved(15 downto 8) &lt;= avalon_mm_rmap_i.writedata(15 downto 8);</t>
  </si>
  <si>
    <t xml:space="preserve">      rmap_registers_wr_o.aeb_gen_cfg_reserved_db8.reserved(23 downto 16) &lt;= avalon_mm_rmap_i.writedata(23 downto 16);</t>
  </si>
  <si>
    <t xml:space="preserve">      rmap_registers_wr_o.aeb_gen_cfg_reserved_db8.reserved(31 downto 24) &lt;= avalon_mm_rmap_i.writedata(31 downto 24);</t>
  </si>
  <si>
    <t xml:space="preserve">      rmap_registers_wr_o.aeb_gen_cfg_reserved_dbc.reserved(7 downto 0) &lt;= avalon_mm_rmap_i.writedata(7 downto 0);</t>
  </si>
  <si>
    <t xml:space="preserve">      rmap_registers_wr_o.aeb_gen_cfg_reserved_dbc.reserved(15 downto 8) &lt;= avalon_mm_rmap_i.writedata(15 downto 8);</t>
  </si>
  <si>
    <t xml:space="preserve">      rmap_registers_wr_o.aeb_gen_cfg_reserved_dbc.reserved(23 downto 16) &lt;= avalon_mm_rmap_i.writedata(23 downto 16);</t>
  </si>
  <si>
    <t xml:space="preserve">      rmap_registers_wr_o.aeb_gen_cfg_reserved_dbc.reserved(31 downto 24) &lt;= avalon_mm_rmap_i.writedata(31 downto 24);</t>
  </si>
  <si>
    <t xml:space="preserve">      rmap_registers_wr_o.aeb_gen_cfg_reserved_dc0.reserved(7 downto 0) &lt;= avalon_mm_rmap_i.writedata(7 downto 0);</t>
  </si>
  <si>
    <t xml:space="preserve">      rmap_registers_wr_o.aeb_gen_cfg_reserved_dc0.reserved(15 downto 8) &lt;= avalon_mm_rmap_i.writedata(15 downto 8);</t>
  </si>
  <si>
    <t xml:space="preserve">      rmap_registers_wr_o.aeb_gen_cfg_reserved_dc0.reserved(23 downto 16) &lt;= avalon_mm_rmap_i.writedata(23 downto 16);</t>
  </si>
  <si>
    <t xml:space="preserve">      rmap_registers_wr_o.aeb_gen_cfg_reserved_dc0.reserved(31 downto 24) &lt;= avalon_mm_rmap_i.writedata(31 downto 24);</t>
  </si>
  <si>
    <t xml:space="preserve">      rmap_registers_wr_o.aeb_gen_cfg_reserved_dc4.reserved(7 downto 0) &lt;= avalon_mm_rmap_i.writedata(7 downto 0);</t>
  </si>
  <si>
    <t xml:space="preserve">      rmap_registers_wr_o.aeb_gen_cfg_reserved_dc4.reserved(15 downto 8) &lt;= avalon_mm_rmap_i.writedata(15 downto 8);</t>
  </si>
  <si>
    <t xml:space="preserve">      rmap_registers_wr_o.aeb_gen_cfg_reserved_dc4.reserved(23 downto 16) &lt;= avalon_mm_rmap_i.writedata(23 downto 16);</t>
  </si>
  <si>
    <t xml:space="preserve">      rmap_registers_wr_o.aeb_gen_cfg_reserved_dc4.reserved(31 downto 24) &lt;= avalon_mm_rmap_i.writedata(31 downto 24);</t>
  </si>
  <si>
    <t xml:space="preserve">      rmap_registers_wr_o.aeb_gen_cfg_reserved_dc8.reserved(7 downto 0) &lt;= avalon_mm_rmap_i.writedata(7 downto 0);</t>
  </si>
  <si>
    <t xml:space="preserve">      rmap_registers_wr_o.aeb_gen_cfg_reserved_dc8.reserved(15 downto 8) &lt;= avalon_mm_rmap_i.writedata(15 downto 8);</t>
  </si>
  <si>
    <t xml:space="preserve">      rmap_registers_wr_o.aeb_gen_cfg_reserved_dc8.reserved(23 downto 16) &lt;= avalon_mm_rmap_i.writedata(23 downto 16);</t>
  </si>
  <si>
    <t xml:space="preserve">      rmap_registers_wr_o.aeb_gen_cfg_reserved_dc8.reserved(31 downto 24) &lt;= avalon_mm_rmap_i.writedata(31 downto 24);</t>
  </si>
  <si>
    <t xml:space="preserve">      rmap_registers_wr_o.aeb_gen_cfg_reserved_dcc.reserved(7 downto 0) &lt;= avalon_mm_rmap_i.writedata(7 downto 0);</t>
  </si>
  <si>
    <t xml:space="preserve">      rmap_registers_wr_o.aeb_gen_cfg_reserved_dcc.reserved(15 downto 8) &lt;= avalon_mm_rmap_i.writedata(15 downto 8);</t>
  </si>
  <si>
    <t xml:space="preserve">      rmap_registers_wr_o.aeb_gen_cfg_reserved_dcc.reserved(23 downto 16) &lt;= avalon_mm_rmap_i.writedata(23 downto 16);</t>
  </si>
  <si>
    <t xml:space="preserve">      rmap_registers_wr_o.aeb_gen_cfg_reserved_dcc.reserved(31 downto 24) &lt;= avalon_mm_rmap_i.writedata(31 downto 24);</t>
  </si>
  <si>
    <t xml:space="preserve">      rmap_registers_wr_o.aeb_gen_cfg_reserved_dd0.reserved(7 downto 0) &lt;= avalon_mm_rmap_i.writedata(7 downto 0);</t>
  </si>
  <si>
    <t xml:space="preserve">      rmap_registers_wr_o.aeb_gen_cfg_reserved_dd0.reserved(15 downto 8) &lt;= avalon_mm_rmap_i.writedata(15 downto 8);</t>
  </si>
  <si>
    <t xml:space="preserve">      rmap_registers_wr_o.aeb_gen_cfg_reserved_dd0.reserved(23 downto 16) &lt;= avalon_mm_rmap_i.writedata(23 downto 16);</t>
  </si>
  <si>
    <t xml:space="preserve">      rmap_registers_wr_o.aeb_gen_cfg_reserved_dd0.reserved(31 downto 24) &lt;= avalon_mm_rmap_i.writedata(31 downto 24);</t>
  </si>
  <si>
    <t xml:space="preserve">      rmap_registers_wr_o.aeb_gen_cfg_reserved_dd4.reserved(7 downto 0) &lt;= avalon_mm_rmap_i.writedata(7 downto 0);</t>
  </si>
  <si>
    <t xml:space="preserve">      rmap_registers_wr_o.aeb_gen_cfg_reserved_dd4.reserved(15 downto 8) &lt;= avalon_mm_rmap_i.writedata(15 downto 8);</t>
  </si>
  <si>
    <t xml:space="preserve">      rmap_registers_wr_o.aeb_gen_cfg_reserved_dd4.reserved(23 downto 16) &lt;= avalon_mm_rmap_i.writedata(23 downto 16);</t>
  </si>
  <si>
    <t xml:space="preserve">      rmap_registers_wr_o.aeb_gen_cfg_reserved_dd4.reserved(31 downto 24) &lt;= avalon_mm_rmap_i.writedata(31 downto 24);</t>
  </si>
  <si>
    <t xml:space="preserve">      rmap_registers_wr_o.aeb_gen_cfg_reserved_dd8.reserved(7 downto 0) &lt;= avalon_mm_rmap_i.writedata(7 downto 0);</t>
  </si>
  <si>
    <t xml:space="preserve">      rmap_registers_wr_o.aeb_gen_cfg_reserved_dd8.reserved(15 downto 8) &lt;= avalon_mm_rmap_i.writedata(15 downto 8);</t>
  </si>
  <si>
    <t xml:space="preserve">      rmap_registers_wr_o.aeb_gen_cfg_reserved_dd8.reserved(23 downto 16) &lt;= avalon_mm_rmap_i.writedata(23 downto 16);</t>
  </si>
  <si>
    <t xml:space="preserve">      rmap_registers_wr_o.aeb_gen_cfg_reserved_dd8.reserved(31 downto 24) &lt;= avalon_mm_rmap_i.writedata(31 downto 24);</t>
  </si>
  <si>
    <t xml:space="preserve">      rmap_registers_wr_o.aeb_gen_cfg_reserved_ddc.reserved(7 downto 0) &lt;= avalon_mm_rmap_i.writedata(7 downto 0);</t>
  </si>
  <si>
    <t xml:space="preserve">      rmap_registers_wr_o.aeb_gen_cfg_reserved_ddc.reserved(15 downto 8) &lt;= avalon_mm_rmap_i.writedata(15 downto 8);</t>
  </si>
  <si>
    <t xml:space="preserve">      rmap_registers_wr_o.aeb_gen_cfg_reserved_ddc.reserved(23 downto 16) &lt;= avalon_mm_rmap_i.writedata(23 downto 16);</t>
  </si>
  <si>
    <t xml:space="preserve">      rmap_registers_wr_o.aeb_gen_cfg_reserved_ddc.reserved(31 downto 24) &lt;= avalon_mm_rmap_i.writedata(31 downto 24);</t>
  </si>
  <si>
    <t xml:space="preserve">      rmap_registers_wr_o.aeb_gen_cfg_reserved_de0.reserved(7 downto 0) &lt;= avalon_mm_rmap_i.writedata(7 downto 0);</t>
  </si>
  <si>
    <t xml:space="preserve">      rmap_registers_wr_o.aeb_gen_cfg_reserved_de0.reserved(15 downto 8) &lt;= avalon_mm_rmap_i.writedata(15 downto 8);</t>
  </si>
  <si>
    <t xml:space="preserve">      rmap_registers_wr_o.aeb_gen_cfg_reserved_de0.reserved(23 downto 16) &lt;= avalon_mm_rmap_i.writedata(23 downto 16);</t>
  </si>
  <si>
    <t xml:space="preserve">      rmap_registers_wr_o.aeb_gen_cfg_reserved_de0.reserved(31 downto 24) &lt;= avalon_mm_rmap_i.writedata(31 downto 24);</t>
  </si>
  <si>
    <t xml:space="preserve">      rmap_registers_wr_o.aeb_gen_cfg_reserved_de4.reserved(7 downto 0) &lt;= avalon_mm_rmap_i.writedata(7 downto 0);</t>
  </si>
  <si>
    <t xml:space="preserve">      rmap_registers_wr_o.aeb_gen_cfg_reserved_de4.reserved(15 downto 8) &lt;= avalon_mm_rmap_i.writedata(15 downto 8);</t>
  </si>
  <si>
    <t xml:space="preserve">      rmap_registers_wr_o.aeb_gen_cfg_reserved_de4.reserved(23 downto 16) &lt;= avalon_mm_rmap_i.writedata(23 downto 16);</t>
  </si>
  <si>
    <t xml:space="preserve">      rmap_registers_wr_o.aeb_gen_cfg_reserved_de4.reserved(31 downto 24) &lt;= avalon_mm_rmap_i.writedata(31 downto 24);</t>
  </si>
  <si>
    <t xml:space="preserve">      rmap_registers_wr_o.aeb_gen_cfg_reserved_de8.reserved(7 downto 0) &lt;= avalon_mm_rmap_i.writedata(7 downto 0);</t>
  </si>
  <si>
    <t xml:space="preserve">      rmap_registers_wr_o.aeb_gen_cfg_reserved_de8.reserved(15 downto 8) &lt;= avalon_mm_rmap_i.writedata(15 downto 8);</t>
  </si>
  <si>
    <t xml:space="preserve">      rmap_registers_wr_o.aeb_gen_cfg_reserved_de8.reserved(23 downto 16) &lt;= avalon_mm_rmap_i.writedata(23 downto 16);</t>
  </si>
  <si>
    <t xml:space="preserve">      rmap_registers_wr_o.aeb_gen_cfg_reserved_de8.reserved(31 downto 24) &lt;= avalon_mm_rmap_i.writedata(31 downto 24);</t>
  </si>
  <si>
    <t xml:space="preserve">      rmap_registers_wr_o.aeb_gen_cfg_reserved_dec.reserved(7 downto 0) &lt;= avalon_mm_rmap_i.writedata(7 downto 0);</t>
  </si>
  <si>
    <t xml:space="preserve">      rmap_registers_wr_o.aeb_gen_cfg_reserved_dec.reserved(15 downto 8) &lt;= avalon_mm_rmap_i.writedata(15 downto 8);</t>
  </si>
  <si>
    <t xml:space="preserve">      rmap_registers_wr_o.aeb_gen_cfg_reserved_dec.reserved(23 downto 16) &lt;= avalon_mm_rmap_i.writedata(23 downto 16);</t>
  </si>
  <si>
    <t xml:space="preserve">      rmap_registers_wr_o.aeb_gen_cfg_reserved_dec.reserved(31 downto 24) &lt;= avalon_mm_rmap_i.writedata(31 downto 24);</t>
  </si>
  <si>
    <t xml:space="preserve">      rmap_registers_wr_o.aeb_gen_cfg_reserved_df0.reserved(7 downto 0) &lt;= avalon_mm_rmap_i.writedata(7 downto 0);</t>
  </si>
  <si>
    <t xml:space="preserve">      rmap_registers_wr_o.aeb_gen_cfg_reserved_df0.reserved(15 downto 8) &lt;= avalon_mm_rmap_i.writedata(15 downto 8);</t>
  </si>
  <si>
    <t xml:space="preserve">      rmap_registers_wr_o.aeb_gen_cfg_reserved_df0.reserved(23 downto 16) &lt;= avalon_mm_rmap_i.writedata(23 downto 16);</t>
  </si>
  <si>
    <t xml:space="preserve">      rmap_registers_wr_o.aeb_gen_cfg_reserved_df0.reserved(31 downto 24) &lt;= avalon_mm_rmap_i.writedata(31 downto 24);</t>
  </si>
  <si>
    <t xml:space="preserve">      rmap_registers_wr_o.aeb_gen_cfg_reserved_df4.reserved(7 downto 0) &lt;= avalon_mm_rmap_i.writedata(7 downto 0);</t>
  </si>
  <si>
    <t xml:space="preserve">      rmap_registers_wr_o.aeb_gen_cfg_reserved_df4.reserved(15 downto 8) &lt;= avalon_mm_rmap_i.writedata(15 downto 8);</t>
  </si>
  <si>
    <t xml:space="preserve">      rmap_registers_wr_o.aeb_gen_cfg_reserved_df4.reserved(23 downto 16) &lt;= avalon_mm_rmap_i.writedata(23 downto 16);</t>
  </si>
  <si>
    <t xml:space="preserve">      rmap_registers_wr_o.aeb_gen_cfg_reserved_df4.reserved(31 downto 24) &lt;= avalon_mm_rmap_i.writedata(31 downto 24);</t>
  </si>
  <si>
    <t xml:space="preserve">      rmap_registers_wr_o.aeb_gen_cfg_reserved_df8.reserved(7 downto 0) &lt;= avalon_mm_rmap_i.writedata(7 downto 0);</t>
  </si>
  <si>
    <t xml:space="preserve">      rmap_registers_wr_o.aeb_gen_cfg_reserved_df8.reserved(15 downto 8) &lt;= avalon_mm_rmap_i.writedata(15 downto 8);</t>
  </si>
  <si>
    <t xml:space="preserve">      rmap_registers_wr_o.aeb_gen_cfg_reserved_df8.reserved(23 downto 16) &lt;= avalon_mm_rmap_i.writedata(23 downto 16);</t>
  </si>
  <si>
    <t xml:space="preserve">      rmap_registers_wr_o.aeb_gen_cfg_reserved_df8.reserved(31 downto 24) &lt;= avalon_mm_rmap_i.writedata(31 downto 24);</t>
  </si>
  <si>
    <t xml:space="preserve">      rmap_registers_wr_o.aeb_gen_cfg_reserved_dfc.reserved(7 downto 0) &lt;= avalon_mm_rmap_i.writedata(7 downto 0);</t>
  </si>
  <si>
    <t xml:space="preserve">      rmap_registers_wr_o.aeb_gen_cfg_reserved_dfc.reserved(15 downto 8) &lt;= avalon_mm_rmap_i.writedata(15 downto 8);</t>
  </si>
  <si>
    <t xml:space="preserve">      rmap_registers_wr_o.aeb_gen_cfg_reserved_dfc.reserved(23 downto 16) &lt;= avalon_mm_rmap_i.writedata(23 downto 16);</t>
  </si>
  <si>
    <t xml:space="preserve">      rmap_registers_wr_o.aeb_gen_cfg_reserved_dfc.reserved(31 downto 24) &lt;= avalon_mm_rmap_i.writedata(31 downto 24);</t>
  </si>
  <si>
    <t xml:space="preserve">      rmap_registers_wr_o.aeb_gen_cfg_reserved_e00.reserved(7 downto 0) &lt;= avalon_mm_rmap_i.writedata(7 downto 0);</t>
  </si>
  <si>
    <t xml:space="preserve">      rmap_registers_wr_o.aeb_gen_cfg_reserved_e00.reserved(15 downto 8) &lt;= avalon_mm_rmap_i.writedata(15 downto 8);</t>
  </si>
  <si>
    <t xml:space="preserve">      rmap_registers_wr_o.aeb_gen_cfg_reserved_e00.reserved(23 downto 16) &lt;= avalon_mm_rmap_i.writedata(23 downto 16);</t>
  </si>
  <si>
    <t xml:space="preserve">      rmap_registers_wr_o.aeb_gen_cfg_reserved_e00.reserved(31 downto 24) &lt;= avalon_mm_rmap_i.writedata(31 downto 24);</t>
  </si>
  <si>
    <t xml:space="preserve">      rmap_registers_wr_o.aeb_gen_cfg_reserved_e04.reserved(7 downto 0) &lt;= avalon_mm_rmap_i.writedata(7 downto 0);</t>
  </si>
  <si>
    <t xml:space="preserve">      rmap_registers_wr_o.aeb_gen_cfg_reserved_e04.reserved(15 downto 8) &lt;= avalon_mm_rmap_i.writedata(15 downto 8);</t>
  </si>
  <si>
    <t xml:space="preserve">      rmap_registers_wr_o.aeb_gen_cfg_reserved_e04.reserved(23 downto 16) &lt;= avalon_mm_rmap_i.writedata(23 downto 16);</t>
  </si>
  <si>
    <t xml:space="preserve">      rmap_registers_wr_o.aeb_gen_cfg_reserved_e04.reserved(31 downto 24) &lt;= avalon_mm_rmap_i.writedata(31 downto 24);</t>
  </si>
  <si>
    <t xml:space="preserve">      rmap_registers_wr_o.aeb_gen_cfg_reserved_e08.reserved(7 downto 0) &lt;= avalon_mm_rmap_i.writedata(7 downto 0);</t>
  </si>
  <si>
    <t xml:space="preserve">      rmap_registers_wr_o.aeb_gen_cfg_reserved_e08.reserved(15 downto 8) &lt;= avalon_mm_rmap_i.writedata(15 downto 8);</t>
  </si>
  <si>
    <t xml:space="preserve">      rmap_registers_wr_o.aeb_gen_cfg_reserved_e08.reserved(23 downto 16) &lt;= avalon_mm_rmap_i.writedata(23 downto 16);</t>
  </si>
  <si>
    <t xml:space="preserve">      rmap_registers_wr_o.aeb_gen_cfg_reserved_e08.reserved(31 downto 24) &lt;= avalon_mm_rmap_i.writedata(31 downto 24);</t>
  </si>
  <si>
    <t xml:space="preserve">      rmap_registers_wr_o.aeb_gen_cfg_reserved_e0c.reserved(7 downto 0) &lt;= avalon_mm_rmap_i.writedata(7 downto 0);</t>
  </si>
  <si>
    <t xml:space="preserve">      rmap_registers_wr_o.aeb_gen_cfg_reserved_e0c.reserved(15 downto 8) &lt;= avalon_mm_rmap_i.writedata(15 downto 8);</t>
  </si>
  <si>
    <t xml:space="preserve">      rmap_registers_wr_o.aeb_gen_cfg_reserved_e0c.reserved(23 downto 16) &lt;= avalon_mm_rmap_i.writedata(23 downto 16);</t>
  </si>
  <si>
    <t xml:space="preserve">      rmap_registers_wr_o.aeb_gen_cfg_reserved_e0c.reserved(31 downto 24) &lt;= avalon_mm_rmap_i.writedata(31 downto 24);</t>
  </si>
  <si>
    <t xml:space="preserve">      rmap_registers_wr_o.aeb_gen_cfg_reserved_e10.reserved(7 downto 0) &lt;= avalon_mm_rmap_i.writedata(7 downto 0);</t>
  </si>
  <si>
    <t xml:space="preserve">      rmap_registers_wr_o.aeb_gen_cfg_reserved_e10.reserved(15 downto 8) &lt;= avalon_mm_rmap_i.writedata(15 downto 8);</t>
  </si>
  <si>
    <t xml:space="preserve">      rmap_registers_wr_o.aeb_gen_cfg_reserved_e10.reserved(23 downto 16) &lt;= avalon_mm_rmap_i.writedata(23 downto 16);</t>
  </si>
  <si>
    <t xml:space="preserve">      rmap_registers_wr_o.aeb_gen_cfg_reserved_e10.reserved(31 downto 24) &lt;= avalon_mm_rmap_i.writedata(31 downto 24);</t>
  </si>
  <si>
    <t xml:space="preserve">      rmap_registers_wr_o.aeb_gen_cfg_reserved_e14.reserved(7 downto 0) &lt;= avalon_mm_rmap_i.writedata(7 downto 0);</t>
  </si>
  <si>
    <t xml:space="preserve">      rmap_registers_wr_o.aeb_gen_cfg_reserved_e14.reserved(15 downto 8) &lt;= avalon_mm_rmap_i.writedata(15 downto 8);</t>
  </si>
  <si>
    <t xml:space="preserve">      rmap_registers_wr_o.aeb_gen_cfg_reserved_e14.reserved(23 downto 16) &lt;= avalon_mm_rmap_i.writedata(23 downto 16);</t>
  </si>
  <si>
    <t xml:space="preserve">      rmap_registers_wr_o.aeb_gen_cfg_reserved_e14.reserved(31 downto 24) &lt;= avalon_mm_rmap_i.writedata(31 downto 24);</t>
  </si>
  <si>
    <t xml:space="preserve">      rmap_registers_wr_o.aeb_gen_cfg_reserved_e18.reserved(7 downto 0) &lt;= avalon_mm_rmap_i.writedata(7 downto 0);</t>
  </si>
  <si>
    <t xml:space="preserve">      rmap_registers_wr_o.aeb_gen_cfg_reserved_e18.reserved(15 downto 8) &lt;= avalon_mm_rmap_i.writedata(15 downto 8);</t>
  </si>
  <si>
    <t xml:space="preserve">      rmap_registers_wr_o.aeb_gen_cfg_reserved_e18.reserved(23 downto 16) &lt;= avalon_mm_rmap_i.writedata(23 downto 16);</t>
  </si>
  <si>
    <t xml:space="preserve">      rmap_registers_wr_o.aeb_gen_cfg_reserved_e18.reserved(31 downto 24) &lt;= avalon_mm_rmap_i.writedata(31 downto 24);</t>
  </si>
  <si>
    <t xml:space="preserve">      rmap_registers_wr_o.aeb_gen_cfg_reserved_e1c.reserved(7 downto 0) &lt;= avalon_mm_rmap_i.writedata(7 downto 0);</t>
  </si>
  <si>
    <t xml:space="preserve">      rmap_registers_wr_o.aeb_gen_cfg_reserved_e1c.reserved(15 downto 8) &lt;= avalon_mm_rmap_i.writedata(15 downto 8);</t>
  </si>
  <si>
    <t xml:space="preserve">      rmap_registers_wr_o.aeb_gen_cfg_reserved_e1c.reserved(23 downto 16) &lt;= avalon_mm_rmap_i.writedata(23 downto 16);</t>
  </si>
  <si>
    <t xml:space="preserve">      rmap_registers_wr_o.aeb_gen_cfg_reserved_e1c.reserved(31 downto 24) &lt;= avalon_mm_rmap_i.writedata(31 downto 24);</t>
  </si>
  <si>
    <t xml:space="preserve">      rmap_registers_wr_o.aeb_gen_cfg_reserved_e20.reserved(7 downto 0) &lt;= avalon_mm_rmap_i.writedata(7 downto 0);</t>
  </si>
  <si>
    <t xml:space="preserve">      rmap_registers_wr_o.aeb_gen_cfg_reserved_e20.reserved(15 downto 8) &lt;= avalon_mm_rmap_i.writedata(15 downto 8);</t>
  </si>
  <si>
    <t xml:space="preserve">      rmap_registers_wr_o.aeb_gen_cfg_reserved_e20.reserved(23 downto 16) &lt;= avalon_mm_rmap_i.writedata(23 downto 16);</t>
  </si>
  <si>
    <t xml:space="preserve">      rmap_registers_wr_o.aeb_gen_cfg_reserved_e20.reserved(31 downto 24) &lt;= avalon_mm_rmap_i.writedata(31 downto 24);</t>
  </si>
  <si>
    <t xml:space="preserve">      rmap_registers_wr_o.aeb_gen_cfg_reserved_e24.reserved(7 downto 0) &lt;= avalon_mm_rmap_i.writedata(7 downto 0);</t>
  </si>
  <si>
    <t xml:space="preserve">      rmap_registers_wr_o.aeb_gen_cfg_reserved_e24.reserved(15 downto 8) &lt;= avalon_mm_rmap_i.writedata(15 downto 8);</t>
  </si>
  <si>
    <t xml:space="preserve">      rmap_registers_wr_o.aeb_gen_cfg_reserved_e24.reserved(23 downto 16) &lt;= avalon_mm_rmap_i.writedata(23 downto 16);</t>
  </si>
  <si>
    <t xml:space="preserve">      rmap_registers_wr_o.aeb_gen_cfg_reserved_e24.reserved(31 downto 24) &lt;= avalon_mm_rmap_i.writedata(31 downto 24);</t>
  </si>
  <si>
    <t xml:space="preserve">      rmap_registers_wr_o.aeb_gen_cfg_reserved_e28.reserved(7 downto 0) &lt;= avalon_mm_rmap_i.writedata(7 downto 0);</t>
  </si>
  <si>
    <t xml:space="preserve">      rmap_registers_wr_o.aeb_gen_cfg_reserved_e28.reserved(15 downto 8) &lt;= avalon_mm_rmap_i.writedata(15 downto 8);</t>
  </si>
  <si>
    <t xml:space="preserve">      rmap_registers_wr_o.aeb_gen_cfg_reserved_e28.reserved(23 downto 16) &lt;= avalon_mm_rmap_i.writedata(23 downto 16);</t>
  </si>
  <si>
    <t xml:space="preserve">      rmap_registers_wr_o.aeb_gen_cfg_reserved_e28.reserved(31 downto 24) &lt;= avalon_mm_rmap_i.writedata(31 downto 24);</t>
  </si>
  <si>
    <t xml:space="preserve">      rmap_registers_wr_o.aeb_gen_cfg_reserved_e2c.reserved(7 downto 0) &lt;= avalon_mm_rmap_i.writedata(7 downto 0);</t>
  </si>
  <si>
    <t xml:space="preserve">      rmap_registers_wr_o.aeb_gen_cfg_reserved_e2c.reserved(15 downto 8) &lt;= avalon_mm_rmap_i.writedata(15 downto 8);</t>
  </si>
  <si>
    <t xml:space="preserve">      rmap_registers_wr_o.aeb_gen_cfg_reserved_e2c.reserved(23 downto 16) &lt;= avalon_mm_rmap_i.writedata(23 downto 16);</t>
  </si>
  <si>
    <t xml:space="preserve">      rmap_registers_wr_o.aeb_gen_cfg_reserved_e2c.reserved(31 downto 24) &lt;= avalon_mm_rmap_i.writedata(31 downto 24);</t>
  </si>
  <si>
    <t xml:space="preserve">      rmap_registers_wr_o.aeb_gen_cfg_reserved_e30.reserved(7 downto 0) &lt;= avalon_mm_rmap_i.writedata(7 downto 0);</t>
  </si>
  <si>
    <t xml:space="preserve">      rmap_registers_wr_o.aeb_gen_cfg_reserved_e30.reserved(15 downto 8) &lt;= avalon_mm_rmap_i.writedata(15 downto 8);</t>
  </si>
  <si>
    <t xml:space="preserve">      rmap_registers_wr_o.aeb_gen_cfg_reserved_e30.reserved(23 downto 16) &lt;= avalon_mm_rmap_i.writedata(23 downto 16);</t>
  </si>
  <si>
    <t xml:space="preserve">      rmap_registers_wr_o.aeb_gen_cfg_reserved_e30.reserved(31 downto 24) &lt;= avalon_mm_rmap_i.writedata(31 downto 24);</t>
  </si>
  <si>
    <t xml:space="preserve">      rmap_registers_wr_o.aeb_gen_cfg_reserved_e34.reserved(7 downto 0) &lt;= avalon_mm_rmap_i.writedata(7 downto 0);</t>
  </si>
  <si>
    <t xml:space="preserve">      rmap_registers_wr_o.aeb_gen_cfg_reserved_e34.reserved(15 downto 8) &lt;= avalon_mm_rmap_i.writedata(15 downto 8);</t>
  </si>
  <si>
    <t xml:space="preserve">      rmap_registers_wr_o.aeb_gen_cfg_reserved_e34.reserved(23 downto 16) &lt;= avalon_mm_rmap_i.writedata(23 downto 16);</t>
  </si>
  <si>
    <t xml:space="preserve">      rmap_registers_wr_o.aeb_gen_cfg_reserved_e34.reserved(31 downto 24) &lt;= avalon_mm_rmap_i.writedata(31 downto 24);</t>
  </si>
  <si>
    <t xml:space="preserve">      rmap_registers_wr_o.aeb_gen_cfg_reserved_e38.reserved(7 downto 0) &lt;= avalon_mm_rmap_i.writedata(7 downto 0);</t>
  </si>
  <si>
    <t xml:space="preserve">      rmap_registers_wr_o.aeb_gen_cfg_reserved_e38.reserved(15 downto 8) &lt;= avalon_mm_rmap_i.writedata(15 downto 8);</t>
  </si>
  <si>
    <t xml:space="preserve">      rmap_registers_wr_o.aeb_gen_cfg_reserved_e38.reserved(23 downto 16) &lt;= avalon_mm_rmap_i.writedata(23 downto 16);</t>
  </si>
  <si>
    <t xml:space="preserve">      rmap_registers_wr_o.aeb_gen_cfg_reserved_e38.reserved(31 downto 24) &lt;= avalon_mm_rmap_i.writedata(31 downto 24);</t>
  </si>
  <si>
    <t xml:space="preserve">      rmap_registers_wr_o.aeb_gen_cfg_reserved_e3c.reserved(7 downto 0) &lt;= avalon_mm_rmap_i.writedata(7 downto 0);</t>
  </si>
  <si>
    <t xml:space="preserve">      rmap_registers_wr_o.aeb_gen_cfg_reserved_e3c.reserved(15 downto 8) &lt;= avalon_mm_rmap_i.writedata(15 downto 8);</t>
  </si>
  <si>
    <t xml:space="preserve">      rmap_registers_wr_o.aeb_gen_cfg_reserved_e3c.reserved(23 downto 16) &lt;= avalon_mm_rmap_i.writedata(23 downto 16);</t>
  </si>
  <si>
    <t xml:space="preserve">      rmap_registers_wr_o.aeb_gen_cfg_reserved_e3c.reserved(31 downto 24) &lt;= avalon_mm_rmap_i.writedata(31 downto 24);</t>
  </si>
  <si>
    <t xml:space="preserve">      rmap_registers_wr_o.aeb_gen_cfg_reserved_e40.reserved(7 downto 0) &lt;= avalon_mm_rmap_i.writedata(7 downto 0);</t>
  </si>
  <si>
    <t xml:space="preserve">      rmap_registers_wr_o.aeb_gen_cfg_reserved_e40.reserved(15 downto 8) &lt;= avalon_mm_rmap_i.writedata(15 downto 8);</t>
  </si>
  <si>
    <t xml:space="preserve">      rmap_registers_wr_o.aeb_gen_cfg_reserved_e40.reserved(23 downto 16) &lt;= avalon_mm_rmap_i.writedata(23 downto 16);</t>
  </si>
  <si>
    <t xml:space="preserve">      rmap_registers_wr_o.aeb_gen_cfg_reserved_e40.reserved(31 downto 24) &lt;= avalon_mm_rmap_i.writedata(31 downto 24);</t>
  </si>
  <si>
    <t xml:space="preserve">      rmap_registers_wr_o.aeb_gen_cfg_reserved_e44.reserved(7 downto 0) &lt;= avalon_mm_rmap_i.writedata(7 downto 0);</t>
  </si>
  <si>
    <t xml:space="preserve">      rmap_registers_wr_o.aeb_gen_cfg_reserved_e44.reserved(15 downto 8) &lt;= avalon_mm_rmap_i.writedata(15 downto 8);</t>
  </si>
  <si>
    <t xml:space="preserve">      rmap_registers_wr_o.aeb_gen_cfg_reserved_e44.reserved(23 downto 16) &lt;= avalon_mm_rmap_i.writedata(23 downto 16);</t>
  </si>
  <si>
    <t xml:space="preserve">      rmap_registers_wr_o.aeb_gen_cfg_reserved_e44.reserved(31 downto 24) &lt;= avalon_mm_rmap_i.writedata(31 downto 24);</t>
  </si>
  <si>
    <t xml:space="preserve">      rmap_registers_wr_o.aeb_gen_cfg_reserved_e48.reserved(7 downto 0) &lt;= avalon_mm_rmap_i.writedata(7 downto 0);</t>
  </si>
  <si>
    <t xml:space="preserve">      rmap_registers_wr_o.aeb_gen_cfg_reserved_e48.reserved(15 downto 8) &lt;= avalon_mm_rmap_i.writedata(15 downto 8);</t>
  </si>
  <si>
    <t xml:space="preserve">      rmap_registers_wr_o.aeb_gen_cfg_reserved_e48.reserved(23 downto 16) &lt;= avalon_mm_rmap_i.writedata(23 downto 16);</t>
  </si>
  <si>
    <t xml:space="preserve">      rmap_registers_wr_o.aeb_gen_cfg_reserved_e48.reserved(31 downto 24) &lt;= avalon_mm_rmap_i.writedata(31 downto 24);</t>
  </si>
  <si>
    <t xml:space="preserve">      rmap_registers_wr_o.aeb_gen_cfg_reserved_e4c.reserved(7 downto 0) &lt;= avalon_mm_rmap_i.writedata(7 downto 0);</t>
  </si>
  <si>
    <t xml:space="preserve">      rmap_registers_wr_o.aeb_gen_cfg_reserved_e4c.reserved(15 downto 8) &lt;= avalon_mm_rmap_i.writedata(15 downto 8);</t>
  </si>
  <si>
    <t xml:space="preserve">      rmap_registers_wr_o.aeb_gen_cfg_reserved_e4c.reserved(23 downto 16) &lt;= avalon_mm_rmap_i.writedata(23 downto 16);</t>
  </si>
  <si>
    <t xml:space="preserve">      rmap_registers_wr_o.aeb_gen_cfg_reserved_e4c.reserved(31 downto 24) &lt;= avalon_mm_rmap_i.writedata(31 downto 24);</t>
  </si>
  <si>
    <t xml:space="preserve">      rmap_registers_wr_o.aeb_gen_cfg_reserved_e50.reserved(7 downto 0) &lt;= avalon_mm_rmap_i.writedata(7 downto 0);</t>
  </si>
  <si>
    <t xml:space="preserve">      rmap_registers_wr_o.aeb_gen_cfg_reserved_e50.reserved(15 downto 8) &lt;= avalon_mm_rmap_i.writedata(15 downto 8);</t>
  </si>
  <si>
    <t xml:space="preserve">      rmap_registers_wr_o.aeb_gen_cfg_reserved_e50.reserved(23 downto 16) &lt;= avalon_mm_rmap_i.writedata(23 downto 16);</t>
  </si>
  <si>
    <t xml:space="preserve">      rmap_registers_wr_o.aeb_gen_cfg_reserved_e50.reserved(31 downto 24) &lt;= avalon_mm_rmap_i.writedata(31 downto 24);</t>
  </si>
  <si>
    <t xml:space="preserve">      rmap_registers_wr_o.aeb_gen_cfg_reserved_e54.reserved(7 downto 0) &lt;= avalon_mm_rmap_i.writedata(7 downto 0);</t>
  </si>
  <si>
    <t xml:space="preserve">      rmap_registers_wr_o.aeb_gen_cfg_reserved_e54.reserved(15 downto 8) &lt;= avalon_mm_rmap_i.writedata(15 downto 8);</t>
  </si>
  <si>
    <t xml:space="preserve">      rmap_registers_wr_o.aeb_gen_cfg_reserved_e54.reserved(23 downto 16) &lt;= avalon_mm_rmap_i.writedata(23 downto 16);</t>
  </si>
  <si>
    <t xml:space="preserve">      rmap_registers_wr_o.aeb_gen_cfg_reserved_e54.reserved(31 downto 24) &lt;= avalon_mm_rmap_i.writedata(31 downto 24);</t>
  </si>
  <si>
    <t xml:space="preserve">      rmap_registers_wr_o.aeb_gen_cfg_reserved_e58.reserved(7 downto 0) &lt;= avalon_mm_rmap_i.writedata(7 downto 0);</t>
  </si>
  <si>
    <t xml:space="preserve">      rmap_registers_wr_o.aeb_gen_cfg_reserved_e58.reserved(15 downto 8) &lt;= avalon_mm_rmap_i.writedata(15 downto 8);</t>
  </si>
  <si>
    <t xml:space="preserve">      rmap_registers_wr_o.aeb_gen_cfg_reserved_e58.reserved(23 downto 16) &lt;= avalon_mm_rmap_i.writedata(23 downto 16);</t>
  </si>
  <si>
    <t xml:space="preserve">      rmap_registers_wr_o.aeb_gen_cfg_reserved_e58.reserved(31 downto 24) &lt;= avalon_mm_rmap_i.writedata(31 downto 24);</t>
  </si>
  <si>
    <t xml:space="preserve">      rmap_registers_wr_o.aeb_gen_cfg_reserved_e5c.reserved(7 downto 0) &lt;= avalon_mm_rmap_i.writedata(7 downto 0);</t>
  </si>
  <si>
    <t xml:space="preserve">      rmap_registers_wr_o.aeb_gen_cfg_reserved_e5c.reserved(15 downto 8) &lt;= avalon_mm_rmap_i.writedata(15 downto 8);</t>
  </si>
  <si>
    <t xml:space="preserve">      rmap_registers_wr_o.aeb_gen_cfg_reserved_e5c.reserved(23 downto 16) &lt;= avalon_mm_rmap_i.writedata(23 downto 16);</t>
  </si>
  <si>
    <t xml:space="preserve">      rmap_registers_wr_o.aeb_gen_cfg_reserved_e5c.reserved(31 downto 24) &lt;= avalon_mm_rmap_i.writedata(31 downto 24);</t>
  </si>
  <si>
    <t xml:space="preserve">      rmap_registers_wr_o.aeb_gen_cfg_reserved_e60.reserved(7 downto 0) &lt;= avalon_mm_rmap_i.writedata(7 downto 0);</t>
  </si>
  <si>
    <t xml:space="preserve">      rmap_registers_wr_o.aeb_gen_cfg_reserved_e60.reserved(15 downto 8) &lt;= avalon_mm_rmap_i.writedata(15 downto 8);</t>
  </si>
  <si>
    <t xml:space="preserve">      rmap_registers_wr_o.aeb_gen_cfg_reserved_e60.reserved(23 downto 16) &lt;= avalon_mm_rmap_i.writedata(23 downto 16);</t>
  </si>
  <si>
    <t xml:space="preserve">      rmap_registers_wr_o.aeb_gen_cfg_reserved_e60.reserved(31 downto 24) &lt;= avalon_mm_rmap_i.writedata(31 downto 24);</t>
  </si>
  <si>
    <t xml:space="preserve">      rmap_registers_wr_o.aeb_gen_cfg_reserved_e64.reserved(7 downto 0) &lt;= avalon_mm_rmap_i.writedata(7 downto 0);</t>
  </si>
  <si>
    <t xml:space="preserve">      rmap_registers_wr_o.aeb_gen_cfg_reserved_e64.reserved(15 downto 8) &lt;= avalon_mm_rmap_i.writedata(15 downto 8);</t>
  </si>
  <si>
    <t xml:space="preserve">      rmap_registers_wr_o.aeb_gen_cfg_reserved_e64.reserved(23 downto 16) &lt;= avalon_mm_rmap_i.writedata(23 downto 16);</t>
  </si>
  <si>
    <t xml:space="preserve">      rmap_registers_wr_o.aeb_gen_cfg_reserved_e64.reserved(31 downto 24) &lt;= avalon_mm_rmap_i.writedata(31 downto 24);</t>
  </si>
  <si>
    <t xml:space="preserve">      rmap_registers_wr_o.aeb_gen_cfg_reserved_e68.reserved(7 downto 0) &lt;= avalon_mm_rmap_i.writedata(7 downto 0);</t>
  </si>
  <si>
    <t xml:space="preserve">      rmap_registers_wr_o.aeb_gen_cfg_reserved_e68.reserved(15 downto 8) &lt;= avalon_mm_rmap_i.writedata(15 downto 8);</t>
  </si>
  <si>
    <t xml:space="preserve">      rmap_registers_wr_o.aeb_gen_cfg_reserved_e68.reserved(23 downto 16) &lt;= avalon_mm_rmap_i.writedata(23 downto 16);</t>
  </si>
  <si>
    <t xml:space="preserve">      rmap_registers_wr_o.aeb_gen_cfg_reserved_e68.reserved(31 downto 24) &lt;= avalon_mm_rmap_i.writedata(31 downto 24);</t>
  </si>
  <si>
    <t xml:space="preserve">      rmap_registers_wr_o.aeb_gen_cfg_reserved_e6c.reserved(7 downto 0) &lt;= avalon_mm_rmap_i.writedata(7 downto 0);</t>
  </si>
  <si>
    <t xml:space="preserve">      rmap_registers_wr_o.aeb_gen_cfg_reserved_e6c.reserved(15 downto 8) &lt;= avalon_mm_rmap_i.writedata(15 downto 8);</t>
  </si>
  <si>
    <t xml:space="preserve">      rmap_registers_wr_o.aeb_gen_cfg_reserved_e6c.reserved(23 downto 16) &lt;= avalon_mm_rmap_i.writedata(23 downto 16);</t>
  </si>
  <si>
    <t xml:space="preserve">      rmap_registers_wr_o.aeb_gen_cfg_reserved_e6c.reserved(31 downto 24) &lt;= avalon_mm_rmap_i.writedata(31 downto 24);</t>
  </si>
  <si>
    <t xml:space="preserve">      rmap_registers_wr_o.aeb_gen_cfg_reserved_e70.reserved(7 downto 0) &lt;= avalon_mm_rmap_i.writedata(7 downto 0);</t>
  </si>
  <si>
    <t xml:space="preserve">      rmap_registers_wr_o.aeb_gen_cfg_reserved_e70.reserved(15 downto 8) &lt;= avalon_mm_rmap_i.writedata(15 downto 8);</t>
  </si>
  <si>
    <t xml:space="preserve">      rmap_registers_wr_o.aeb_gen_cfg_reserved_e70.reserved(23 downto 16) &lt;= avalon_mm_rmap_i.writedata(23 downto 16);</t>
  </si>
  <si>
    <t xml:space="preserve">      rmap_registers_wr_o.aeb_gen_cfg_reserved_e70.reserved(31 downto 24) &lt;= avalon_mm_rmap_i.writedata(31 downto 24);</t>
  </si>
  <si>
    <t xml:space="preserve">      rmap_registers_wr_o.aeb_gen_cfg_reserved_e74.reserved(7 downto 0) &lt;= avalon_mm_rmap_i.writedata(7 downto 0);</t>
  </si>
  <si>
    <t xml:space="preserve">      rmap_registers_wr_o.aeb_gen_cfg_reserved_e74.reserved(15 downto 8) &lt;= avalon_mm_rmap_i.writedata(15 downto 8);</t>
  </si>
  <si>
    <t xml:space="preserve">      rmap_registers_wr_o.aeb_gen_cfg_reserved_e74.reserved(23 downto 16) &lt;= avalon_mm_rmap_i.writedata(23 downto 16);</t>
  </si>
  <si>
    <t xml:space="preserve">      rmap_registers_wr_o.aeb_gen_cfg_reserved_e74.reserved(31 downto 24) &lt;= avalon_mm_rmap_i.writedata(31 downto 24);</t>
  </si>
  <si>
    <t xml:space="preserve">      rmap_registers_wr_o.aeb_gen_cfg_reserved_e78.reserved(7 downto 0) &lt;= avalon_mm_rmap_i.writedata(7 downto 0);</t>
  </si>
  <si>
    <t xml:space="preserve">      rmap_registers_wr_o.aeb_gen_cfg_reserved_e78.reserved(15 downto 8) &lt;= avalon_mm_rmap_i.writedata(15 downto 8);</t>
  </si>
  <si>
    <t xml:space="preserve">      rmap_registers_wr_o.aeb_gen_cfg_reserved_e78.reserved(23 downto 16) &lt;= avalon_mm_rmap_i.writedata(23 downto 16);</t>
  </si>
  <si>
    <t xml:space="preserve">      rmap_registers_wr_o.aeb_gen_cfg_reserved_e78.reserved(31 downto 24) &lt;= avalon_mm_rmap_i.writedata(31 downto 24);</t>
  </si>
  <si>
    <t xml:space="preserve">      rmap_registers_wr_o.aeb_gen_cfg_reserved_e7c.reserved(7 downto 0) &lt;= avalon_mm_rmap_i.writedata(7 downto 0);</t>
  </si>
  <si>
    <t xml:space="preserve">      rmap_registers_wr_o.aeb_gen_cfg_reserved_e7c.reserved(15 downto 8) &lt;= avalon_mm_rmap_i.writedata(15 downto 8);</t>
  </si>
  <si>
    <t xml:space="preserve">      rmap_registers_wr_o.aeb_gen_cfg_reserved_e7c.reserved(23 downto 16) &lt;= avalon_mm_rmap_i.writedata(23 downto 16);</t>
  </si>
  <si>
    <t xml:space="preserve">      rmap_registers_wr_o.aeb_gen_cfg_reserved_e7c.reserved(31 downto 24) &lt;= avalon_mm_rmap_i.writedata(31 downto 24);</t>
  </si>
  <si>
    <t xml:space="preserve">      rmap_registers_wr_o.aeb_gen_cfg_reserved_e80.reserved(7 downto 0) &lt;= avalon_mm_rmap_i.writedata(7 downto 0);</t>
  </si>
  <si>
    <t xml:space="preserve">      rmap_registers_wr_o.aeb_gen_cfg_reserved_e80.reserved(15 downto 8) &lt;= avalon_mm_rmap_i.writedata(15 downto 8);</t>
  </si>
  <si>
    <t xml:space="preserve">      rmap_registers_wr_o.aeb_gen_cfg_reserved_e80.reserved(23 downto 16) &lt;= avalon_mm_rmap_i.writedata(23 downto 16);</t>
  </si>
  <si>
    <t xml:space="preserve">      rmap_registers_wr_o.aeb_gen_cfg_reserved_e80.reserved(31 downto 24) &lt;= avalon_mm_rmap_i.writedata(31 downto 24);</t>
  </si>
  <si>
    <t xml:space="preserve">      rmap_registers_wr_o.aeb_gen_cfg_reserved_e84.reserved(7 downto 0) &lt;= avalon_mm_rmap_i.writedata(7 downto 0);</t>
  </si>
  <si>
    <t xml:space="preserve">      rmap_registers_wr_o.aeb_gen_cfg_reserved_e84.reserved(15 downto 8) &lt;= avalon_mm_rmap_i.writedata(15 downto 8);</t>
  </si>
  <si>
    <t xml:space="preserve">      rmap_registers_wr_o.aeb_gen_cfg_reserved_e84.reserved(23 downto 16) &lt;= avalon_mm_rmap_i.writedata(23 downto 16);</t>
  </si>
  <si>
    <t xml:space="preserve">      rmap_registers_wr_o.aeb_gen_cfg_reserved_e84.reserved(31 downto 24) &lt;= avalon_mm_rmap_i.writedata(31 downto 24);</t>
  </si>
  <si>
    <t xml:space="preserve">      rmap_registers_wr_o.aeb_gen_cfg_reserved_e88.reserved(7 downto 0) &lt;= avalon_mm_rmap_i.writedata(7 downto 0);</t>
  </si>
  <si>
    <t xml:space="preserve">      rmap_registers_wr_o.aeb_gen_cfg_reserved_e88.reserved(15 downto 8) &lt;= avalon_mm_rmap_i.writedata(15 downto 8);</t>
  </si>
  <si>
    <t xml:space="preserve">      rmap_registers_wr_o.aeb_gen_cfg_reserved_e88.reserved(23 downto 16) &lt;= avalon_mm_rmap_i.writedata(23 downto 16);</t>
  </si>
  <si>
    <t xml:space="preserve">      rmap_registers_wr_o.aeb_gen_cfg_reserved_e88.reserved(31 downto 24) &lt;= avalon_mm_rmap_i.writedata(31 downto 24);</t>
  </si>
  <si>
    <t xml:space="preserve">      rmap_registers_wr_o.aeb_gen_cfg_reserved_e8c.reserved(7 downto 0) &lt;= avalon_mm_rmap_i.writedata(7 downto 0);</t>
  </si>
  <si>
    <t xml:space="preserve">      rmap_registers_wr_o.aeb_gen_cfg_reserved_e8c.reserved(15 downto 8) &lt;= avalon_mm_rmap_i.writedata(15 downto 8);</t>
  </si>
  <si>
    <t xml:space="preserve">      rmap_registers_wr_o.aeb_gen_cfg_reserved_e8c.reserved(23 downto 16) &lt;= avalon_mm_rmap_i.writedata(23 downto 16);</t>
  </si>
  <si>
    <t xml:space="preserve">      rmap_registers_wr_o.aeb_gen_cfg_reserved_e8c.reserved(31 downto 24) &lt;= avalon_mm_rmap_i.writedata(31 downto 24);</t>
  </si>
  <si>
    <t xml:space="preserve">      rmap_registers_wr_o.aeb_gen_cfg_reserved_e90.reserved(7 downto 0) &lt;= avalon_mm_rmap_i.writedata(7 downto 0);</t>
  </si>
  <si>
    <t xml:space="preserve">      rmap_registers_wr_o.aeb_gen_cfg_reserved_e90.reserved(15 downto 8) &lt;= avalon_mm_rmap_i.writedata(15 downto 8);</t>
  </si>
  <si>
    <t xml:space="preserve">      rmap_registers_wr_o.aeb_gen_cfg_reserved_e90.reserved(23 downto 16) &lt;= avalon_mm_rmap_i.writedata(23 downto 16);</t>
  </si>
  <si>
    <t xml:space="preserve">      rmap_registers_wr_o.aeb_gen_cfg_reserved_e90.reserved(31 downto 24) &lt;= avalon_mm_rmap_i.writedata(31 downto 24);</t>
  </si>
  <si>
    <t xml:space="preserve">      rmap_registers_wr_o.aeb_gen_cfg_reserved_e94.reserved(7 downto 0) &lt;= avalon_mm_rmap_i.writedata(7 downto 0);</t>
  </si>
  <si>
    <t xml:space="preserve">      rmap_registers_wr_o.aeb_gen_cfg_reserved_e94.reserved(15 downto 8) &lt;= avalon_mm_rmap_i.writedata(15 downto 8);</t>
  </si>
  <si>
    <t xml:space="preserve">      rmap_registers_wr_o.aeb_gen_cfg_reserved_e94.reserved(23 downto 16) &lt;= avalon_mm_rmap_i.writedata(23 downto 16);</t>
  </si>
  <si>
    <t xml:space="preserve">      rmap_registers_wr_o.aeb_gen_cfg_reserved_e94.reserved(31 downto 24) &lt;= avalon_mm_rmap_i.writedata(31 downto 24);</t>
  </si>
  <si>
    <t xml:space="preserve">      rmap_registers_wr_o.aeb_gen_cfg_reserved_e98.reserved(7 downto 0) &lt;= avalon_mm_rmap_i.writedata(7 downto 0);</t>
  </si>
  <si>
    <t xml:space="preserve">      rmap_registers_wr_o.aeb_gen_cfg_reserved_e98.reserved(15 downto 8) &lt;= avalon_mm_rmap_i.writedata(15 downto 8);</t>
  </si>
  <si>
    <t xml:space="preserve">      rmap_registers_wr_o.aeb_gen_cfg_reserved_e98.reserved(23 downto 16) &lt;= avalon_mm_rmap_i.writedata(23 downto 16);</t>
  </si>
  <si>
    <t xml:space="preserve">      rmap_registers_wr_o.aeb_gen_cfg_reserved_e98.reserved(31 downto 24) &lt;= avalon_mm_rmap_i.writedata(31 downto 24);</t>
  </si>
  <si>
    <t xml:space="preserve">      rmap_registers_wr_o.aeb_gen_cfg_reserved_e9c.reserved(7 downto 0) &lt;= avalon_mm_rmap_i.writedata(7 downto 0);</t>
  </si>
  <si>
    <t xml:space="preserve">      rmap_registers_wr_o.aeb_gen_cfg_reserved_e9c.reserved(15 downto 8) &lt;= avalon_mm_rmap_i.writedata(15 downto 8);</t>
  </si>
  <si>
    <t xml:space="preserve">      rmap_registers_wr_o.aeb_gen_cfg_reserved_e9c.reserved(23 downto 16) &lt;= avalon_mm_rmap_i.writedata(23 downto 16);</t>
  </si>
  <si>
    <t xml:space="preserve">      rmap_registers_wr_o.aeb_gen_cfg_reserved_e9c.reserved(31 downto 24) &lt;= avalon_mm_rmap_i.writedata(31 downto 24);</t>
  </si>
  <si>
    <t xml:space="preserve">      rmap_registers_wr_o.aeb_gen_cfg_reserved_ea0.reserved(7 downto 0) &lt;= avalon_mm_rmap_i.writedata(7 downto 0);</t>
  </si>
  <si>
    <t xml:space="preserve">      rmap_registers_wr_o.aeb_gen_cfg_reserved_ea0.reserved(15 downto 8) &lt;= avalon_mm_rmap_i.writedata(15 downto 8);</t>
  </si>
  <si>
    <t xml:space="preserve">      rmap_registers_wr_o.aeb_gen_cfg_reserved_ea0.reserved(23 downto 16) &lt;= avalon_mm_rmap_i.writedata(23 downto 16);</t>
  </si>
  <si>
    <t xml:space="preserve">      rmap_registers_wr_o.aeb_gen_cfg_reserved_ea0.reserved(31 downto 24) &lt;= avalon_mm_rmap_i.writedata(31 downto 24);</t>
  </si>
  <si>
    <t xml:space="preserve">      rmap_registers_wr_o.aeb_gen_cfg_reserved_ea4.reserved(7 downto 0) &lt;= avalon_mm_rmap_i.writedata(7 downto 0);</t>
  </si>
  <si>
    <t xml:space="preserve">      rmap_registers_wr_o.aeb_gen_cfg_reserved_ea4.reserved(15 downto 8) &lt;= avalon_mm_rmap_i.writedata(15 downto 8);</t>
  </si>
  <si>
    <t xml:space="preserve">      rmap_registers_wr_o.aeb_gen_cfg_reserved_ea4.reserved(23 downto 16) &lt;= avalon_mm_rmap_i.writedata(23 downto 16);</t>
  </si>
  <si>
    <t xml:space="preserve">      rmap_registers_wr_o.aeb_gen_cfg_reserved_ea4.reserved(31 downto 24) &lt;= avalon_mm_rmap_i.writedata(31 downto 24);</t>
  </si>
  <si>
    <t xml:space="preserve">      rmap_registers_wr_o.aeb_gen_cfg_reserved_ea8.reserved(7 downto 0) &lt;= avalon_mm_rmap_i.writedata(7 downto 0);</t>
  </si>
  <si>
    <t xml:space="preserve">      rmap_registers_wr_o.aeb_gen_cfg_reserved_ea8.reserved(15 downto 8) &lt;= avalon_mm_rmap_i.writedata(15 downto 8);</t>
  </si>
  <si>
    <t xml:space="preserve">      rmap_registers_wr_o.aeb_gen_cfg_reserved_ea8.reserved(23 downto 16) &lt;= avalon_mm_rmap_i.writedata(23 downto 16);</t>
  </si>
  <si>
    <t xml:space="preserve">      rmap_registers_wr_o.aeb_gen_cfg_reserved_ea8.reserved(31 downto 24) &lt;= avalon_mm_rmap_i.writedata(31 downto 24);</t>
  </si>
  <si>
    <t xml:space="preserve">      rmap_registers_wr_o.aeb_gen_cfg_reserved_eac.reserved(7 downto 0) &lt;= avalon_mm_rmap_i.writedata(7 downto 0);</t>
  </si>
  <si>
    <t xml:space="preserve">      rmap_registers_wr_o.aeb_gen_cfg_reserved_eac.reserved(15 downto 8) &lt;= avalon_mm_rmap_i.writedata(15 downto 8);</t>
  </si>
  <si>
    <t xml:space="preserve">      rmap_registers_wr_o.aeb_gen_cfg_reserved_eac.reserved(23 downto 16) &lt;= avalon_mm_rmap_i.writedata(23 downto 16);</t>
  </si>
  <si>
    <t xml:space="preserve">      rmap_registers_wr_o.aeb_gen_cfg_reserved_eac.reserved(31 downto 24) &lt;= avalon_mm_rmap_i.writedata(31 downto 24);</t>
  </si>
  <si>
    <t xml:space="preserve">      rmap_registers_wr_o.aeb_gen_cfg_reserved_eb0.reserved(7 downto 0) &lt;= avalon_mm_rmap_i.writedata(7 downto 0);</t>
  </si>
  <si>
    <t xml:space="preserve">      rmap_registers_wr_o.aeb_gen_cfg_reserved_eb0.reserved(15 downto 8) &lt;= avalon_mm_rmap_i.writedata(15 downto 8);</t>
  </si>
  <si>
    <t xml:space="preserve">      rmap_registers_wr_o.aeb_gen_cfg_reserved_eb0.reserved(23 downto 16) &lt;= avalon_mm_rmap_i.writedata(23 downto 16);</t>
  </si>
  <si>
    <t xml:space="preserve">      rmap_registers_wr_o.aeb_gen_cfg_reserved_eb0.reserved(31 downto 24) &lt;= avalon_mm_rmap_i.writedata(31 downto 24);</t>
  </si>
  <si>
    <t xml:space="preserve">      rmap_registers_wr_o.aeb_gen_cfg_reserved_eb4.reserved(7 downto 0) &lt;= avalon_mm_rmap_i.writedata(7 downto 0);</t>
  </si>
  <si>
    <t xml:space="preserve">      rmap_registers_wr_o.aeb_gen_cfg_reserved_eb4.reserved(15 downto 8) &lt;= avalon_mm_rmap_i.writedata(15 downto 8);</t>
  </si>
  <si>
    <t xml:space="preserve">      rmap_registers_wr_o.aeb_gen_cfg_reserved_eb4.reserved(23 downto 16) &lt;= avalon_mm_rmap_i.writedata(23 downto 16);</t>
  </si>
  <si>
    <t xml:space="preserve">      rmap_registers_wr_o.aeb_gen_cfg_reserved_eb4.reserved(31 downto 24) &lt;= avalon_mm_rmap_i.writedata(31 downto 24);</t>
  </si>
  <si>
    <t xml:space="preserve">      rmap_registers_wr_o.aeb_gen_cfg_reserved_eb8.reserved(7 downto 0) &lt;= avalon_mm_rmap_i.writedata(7 downto 0);</t>
  </si>
  <si>
    <t xml:space="preserve">      rmap_registers_wr_o.aeb_gen_cfg_reserved_eb8.reserved(15 downto 8) &lt;= avalon_mm_rmap_i.writedata(15 downto 8);</t>
  </si>
  <si>
    <t xml:space="preserve">      rmap_registers_wr_o.aeb_gen_cfg_reserved_eb8.reserved(23 downto 16) &lt;= avalon_mm_rmap_i.writedata(23 downto 16);</t>
  </si>
  <si>
    <t xml:space="preserve">      rmap_registers_wr_o.aeb_gen_cfg_reserved_eb8.reserved(31 downto 24) &lt;= avalon_mm_rmap_i.writedata(31 downto 24);</t>
  </si>
  <si>
    <t xml:space="preserve">      rmap_registers_wr_o.aeb_gen_cfg_reserved_ebc.reserved(7 downto 0) &lt;= avalon_mm_rmap_i.writedata(7 downto 0);</t>
  </si>
  <si>
    <t xml:space="preserve">      rmap_registers_wr_o.aeb_gen_cfg_reserved_ebc.reserved(15 downto 8) &lt;= avalon_mm_rmap_i.writedata(15 downto 8);</t>
  </si>
  <si>
    <t xml:space="preserve">      rmap_registers_wr_o.aeb_gen_cfg_reserved_ebc.reserved(23 downto 16) &lt;= avalon_mm_rmap_i.writedata(23 downto 16);</t>
  </si>
  <si>
    <t xml:space="preserve">      rmap_registers_wr_o.aeb_gen_cfg_reserved_ebc.reserved(31 downto 24) &lt;= avalon_mm_rmap_i.writedata(31 downto 24);</t>
  </si>
  <si>
    <t xml:space="preserve">      rmap_registers_wr_o.aeb_gen_cfg_reserved_ec0.reserved(7 downto 0) &lt;= avalon_mm_rmap_i.writedata(7 downto 0);</t>
  </si>
  <si>
    <t xml:space="preserve">      rmap_registers_wr_o.aeb_gen_cfg_reserved_ec0.reserved(15 downto 8) &lt;= avalon_mm_rmap_i.writedata(15 downto 8);</t>
  </si>
  <si>
    <t xml:space="preserve">      rmap_registers_wr_o.aeb_gen_cfg_reserved_ec0.reserved(23 downto 16) &lt;= avalon_mm_rmap_i.writedata(23 downto 16);</t>
  </si>
  <si>
    <t xml:space="preserve">      rmap_registers_wr_o.aeb_gen_cfg_reserved_ec0.reserved(31 downto 24) &lt;= avalon_mm_rmap_i.writedata(31 downto 24);</t>
  </si>
  <si>
    <t xml:space="preserve">      rmap_registers_wr_o.aeb_gen_cfg_reserved_ec4.reserved(7 downto 0) &lt;= avalon_mm_rmap_i.writedata(7 downto 0);</t>
  </si>
  <si>
    <t xml:space="preserve">      rmap_registers_wr_o.aeb_gen_cfg_reserved_ec4.reserved(15 downto 8) &lt;= avalon_mm_rmap_i.writedata(15 downto 8);</t>
  </si>
  <si>
    <t xml:space="preserve">      rmap_registers_wr_o.aeb_gen_cfg_reserved_ec4.reserved(23 downto 16) &lt;= avalon_mm_rmap_i.writedata(23 downto 16);</t>
  </si>
  <si>
    <t xml:space="preserve">      rmap_registers_wr_o.aeb_gen_cfg_reserved_ec4.reserved(31 downto 24) &lt;= avalon_mm_rmap_i.writedata(31 downto 24);</t>
  </si>
  <si>
    <t xml:space="preserve">      rmap_registers_wr_o.aeb_gen_cfg_reserved_ec8.reserved(7 downto 0) &lt;= avalon_mm_rmap_i.writedata(7 downto 0);</t>
  </si>
  <si>
    <t xml:space="preserve">      rmap_registers_wr_o.aeb_gen_cfg_reserved_ec8.reserved(15 downto 8) &lt;= avalon_mm_rmap_i.writedata(15 downto 8);</t>
  </si>
  <si>
    <t xml:space="preserve">      rmap_registers_wr_o.aeb_gen_cfg_reserved_ec8.reserved(23 downto 16) &lt;= avalon_mm_rmap_i.writedata(23 downto 16);</t>
  </si>
  <si>
    <t xml:space="preserve">      rmap_registers_wr_o.aeb_gen_cfg_reserved_ec8.reserved(31 downto 24) &lt;= avalon_mm_rmap_i.writedata(31 downto 24);</t>
  </si>
  <si>
    <t xml:space="preserve">      rmap_registers_wr_o.aeb_gen_cfg_reserved_ecc.reserved(7 downto 0) &lt;= avalon_mm_rmap_i.writedata(7 downto 0);</t>
  </si>
  <si>
    <t xml:space="preserve">      rmap_registers_wr_o.aeb_gen_cfg_reserved_ecc.reserved(15 downto 8) &lt;= avalon_mm_rmap_i.writedata(15 downto 8);</t>
  </si>
  <si>
    <t xml:space="preserve">      rmap_registers_wr_o.aeb_gen_cfg_reserved_ecc.reserved(23 downto 16) &lt;= avalon_mm_rmap_i.writedata(23 downto 16);</t>
  </si>
  <si>
    <t xml:space="preserve">      rmap_registers_wr_o.aeb_gen_cfg_reserved_ecc.reserved(31 downto 24) &lt;= avalon_mm_rmap_i.writedata(31 downto 24);</t>
  </si>
  <si>
    <t xml:space="preserve">      rmap_registers_wr_o.aeb_gen_cfg_reserved_ed0.reserved(7 downto 0) &lt;= avalon_mm_rmap_i.writedata(7 downto 0);</t>
  </si>
  <si>
    <t xml:space="preserve">      rmap_registers_wr_o.aeb_gen_cfg_reserved_ed0.reserved(15 downto 8) &lt;= avalon_mm_rmap_i.writedata(15 downto 8);</t>
  </si>
  <si>
    <t xml:space="preserve">      rmap_registers_wr_o.aeb_gen_cfg_reserved_ed0.reserved(23 downto 16) &lt;= avalon_mm_rmap_i.writedata(23 downto 16);</t>
  </si>
  <si>
    <t xml:space="preserve">      rmap_registers_wr_o.aeb_gen_cfg_reserved_ed0.reserved(31 downto 24) &lt;= avalon_mm_rmap_i.writedata(31 downto 24);</t>
  </si>
  <si>
    <t xml:space="preserve">      rmap_registers_wr_o.aeb_gen_cfg_reserved_ed4.reserved(7 downto 0) &lt;= avalon_mm_rmap_i.writedata(7 downto 0);</t>
  </si>
  <si>
    <t xml:space="preserve">      rmap_registers_wr_o.aeb_gen_cfg_reserved_ed4.reserved(15 downto 8) &lt;= avalon_mm_rmap_i.writedata(15 downto 8);</t>
  </si>
  <si>
    <t xml:space="preserve">      rmap_registers_wr_o.aeb_gen_cfg_reserved_ed4.reserved(23 downto 16) &lt;= avalon_mm_rmap_i.writedata(23 downto 16);</t>
  </si>
  <si>
    <t xml:space="preserve">      rmap_registers_wr_o.aeb_gen_cfg_reserved_ed4.reserved(31 downto 24) &lt;= avalon_mm_rmap_i.writedata(31 downto 24);</t>
  </si>
  <si>
    <t xml:space="preserve">      rmap_registers_wr_o.aeb_gen_cfg_reserved_ed8.reserved(7 downto 0) &lt;= avalon_mm_rmap_i.writedata(7 downto 0);</t>
  </si>
  <si>
    <t xml:space="preserve">      rmap_registers_wr_o.aeb_gen_cfg_reserved_ed8.reserved(15 downto 8) &lt;= avalon_mm_rmap_i.writedata(15 downto 8);</t>
  </si>
  <si>
    <t xml:space="preserve">      rmap_registers_wr_o.aeb_gen_cfg_reserved_ed8.reserved(23 downto 16) &lt;= avalon_mm_rmap_i.writedata(23 downto 16);</t>
  </si>
  <si>
    <t xml:space="preserve">      rmap_registers_wr_o.aeb_gen_cfg_reserved_ed8.reserved(31 downto 24) &lt;= avalon_mm_rmap_i.writedata(31 downto 24);</t>
  </si>
  <si>
    <t xml:space="preserve">      rmap_registers_wr_o.aeb_gen_cfg_reserved_edc.reserved(7 downto 0) &lt;= avalon_mm_rmap_i.writedata(7 downto 0);</t>
  </si>
  <si>
    <t xml:space="preserve">      rmap_registers_wr_o.aeb_gen_cfg_reserved_edc.reserved(15 downto 8) &lt;= avalon_mm_rmap_i.writedata(15 downto 8);</t>
  </si>
  <si>
    <t xml:space="preserve">      rmap_registers_wr_o.aeb_gen_cfg_reserved_edc.reserved(23 downto 16) &lt;= avalon_mm_rmap_i.writedata(23 downto 16);</t>
  </si>
  <si>
    <t xml:space="preserve">      rmap_registers_wr_o.aeb_gen_cfg_reserved_edc.reserved(31 downto 24) &lt;= avalon_mm_rmap_i.writedata(31 downto 24);</t>
  </si>
  <si>
    <t xml:space="preserve">      rmap_registers_wr_o.aeb_gen_cfg_reserved_ee0.reserved(7 downto 0) &lt;= avalon_mm_rmap_i.writedata(7 downto 0);</t>
  </si>
  <si>
    <t xml:space="preserve">      rmap_registers_wr_o.aeb_gen_cfg_reserved_ee0.reserved(15 downto 8) &lt;= avalon_mm_rmap_i.writedata(15 downto 8);</t>
  </si>
  <si>
    <t xml:space="preserve">      rmap_registers_wr_o.aeb_gen_cfg_reserved_ee0.reserved(23 downto 16) &lt;= avalon_mm_rmap_i.writedata(23 downto 16);</t>
  </si>
  <si>
    <t xml:space="preserve">      rmap_registers_wr_o.aeb_gen_cfg_reserved_ee0.reserved(31 downto 24) &lt;= avalon_mm_rmap_i.writedata(31 downto 24);</t>
  </si>
  <si>
    <t xml:space="preserve">      rmap_registers_wr_o.aeb_gen_cfg_reserved_ee4.reserved(7 downto 0) &lt;= avalon_mm_rmap_i.writedata(7 downto 0);</t>
  </si>
  <si>
    <t xml:space="preserve">      rmap_registers_wr_o.aeb_gen_cfg_reserved_ee4.reserved(15 downto 8) &lt;= avalon_mm_rmap_i.writedata(15 downto 8);</t>
  </si>
  <si>
    <t xml:space="preserve">      rmap_registers_wr_o.aeb_gen_cfg_reserved_ee4.reserved(23 downto 16) &lt;= avalon_mm_rmap_i.writedata(23 downto 16);</t>
  </si>
  <si>
    <t xml:space="preserve">      rmap_registers_wr_o.aeb_gen_cfg_reserved_ee4.reserved(31 downto 24) &lt;= avalon_mm_rmap_i.writedata(31 downto 24);</t>
  </si>
  <si>
    <t xml:space="preserve">      rmap_registers_wr_o.aeb_gen_cfg_reserved_ee8.reserved(7 downto 0) &lt;= avalon_mm_rmap_i.writedata(7 downto 0);</t>
  </si>
  <si>
    <t xml:space="preserve">      rmap_registers_wr_o.aeb_gen_cfg_reserved_ee8.reserved(15 downto 8) &lt;= avalon_mm_rmap_i.writedata(15 downto 8);</t>
  </si>
  <si>
    <t xml:space="preserve">      rmap_registers_wr_o.aeb_gen_cfg_reserved_ee8.reserved(23 downto 16) &lt;= avalon_mm_rmap_i.writedata(23 downto 16);</t>
  </si>
  <si>
    <t xml:space="preserve">      rmap_registers_wr_o.aeb_gen_cfg_reserved_ee8.reserved(31 downto 24) &lt;= avalon_mm_rmap_i.writedata(31 downto 24);</t>
  </si>
  <si>
    <t xml:space="preserve">      rmap_registers_wr_o.aeb_gen_cfg_reserved_eec.reserved(7 downto 0) &lt;= avalon_mm_rmap_i.writedata(7 downto 0);</t>
  </si>
  <si>
    <t xml:space="preserve">      rmap_registers_wr_o.aeb_gen_cfg_reserved_eec.reserved(15 downto 8) &lt;= avalon_mm_rmap_i.writedata(15 downto 8);</t>
  </si>
  <si>
    <t xml:space="preserve">      rmap_registers_wr_o.aeb_gen_cfg_reserved_eec.reserved(23 downto 16) &lt;= avalon_mm_rmap_i.writedata(23 downto 16);</t>
  </si>
  <si>
    <t xml:space="preserve">      rmap_registers_wr_o.aeb_gen_cfg_reserved_eec.reserved(31 downto 24) &lt;= avalon_mm_rmap_i.writedata(31 downto 24);</t>
  </si>
  <si>
    <t xml:space="preserve">      rmap_registers_wr_o.aeb_gen_cfg_reserved_ef0.reserved(7 downto 0) &lt;= avalon_mm_rmap_i.writedata(7 downto 0);</t>
  </si>
  <si>
    <t xml:space="preserve">      rmap_registers_wr_o.aeb_gen_cfg_reserved_ef0.reserved(15 downto 8) &lt;= avalon_mm_rmap_i.writedata(15 downto 8);</t>
  </si>
  <si>
    <t xml:space="preserve">      rmap_registers_wr_o.aeb_gen_cfg_reserved_ef0.reserved(23 downto 16) &lt;= avalon_mm_rmap_i.writedata(23 downto 16);</t>
  </si>
  <si>
    <t xml:space="preserve">      rmap_registers_wr_o.aeb_gen_cfg_reserved_ef0.reserved(31 downto 24) &lt;= avalon_mm_rmap_i.writedata(31 downto 24);</t>
  </si>
  <si>
    <t xml:space="preserve">      rmap_registers_wr_o.aeb_gen_cfg_reserved_ef4.reserved(7 downto 0) &lt;= avalon_mm_rmap_i.writedata(7 downto 0);</t>
  </si>
  <si>
    <t xml:space="preserve">      rmap_registers_wr_o.aeb_gen_cfg_reserved_ef4.reserved(15 downto 8) &lt;= avalon_mm_rmap_i.writedata(15 downto 8);</t>
  </si>
  <si>
    <t xml:space="preserve">      rmap_registers_wr_o.aeb_gen_cfg_reserved_ef4.reserved(23 downto 16) &lt;= avalon_mm_rmap_i.writedata(23 downto 16);</t>
  </si>
  <si>
    <t xml:space="preserve">      rmap_registers_wr_o.aeb_gen_cfg_reserved_ef4.reserved(31 downto 24) &lt;= avalon_mm_rmap_i.writedata(31 downto 24);</t>
  </si>
  <si>
    <t xml:space="preserve">      rmap_registers_wr_o.aeb_gen_cfg_reserved_ef8.reserved(7 downto 0) &lt;= avalon_mm_rmap_i.writedata(7 downto 0);</t>
  </si>
  <si>
    <t xml:space="preserve">      rmap_registers_wr_o.aeb_gen_cfg_reserved_ef8.reserved(15 downto 8) &lt;= avalon_mm_rmap_i.writedata(15 downto 8);</t>
  </si>
  <si>
    <t xml:space="preserve">      rmap_registers_wr_o.aeb_gen_cfg_reserved_ef8.reserved(23 downto 16) &lt;= avalon_mm_rmap_i.writedata(23 downto 16);</t>
  </si>
  <si>
    <t xml:space="preserve">      rmap_registers_wr_o.aeb_gen_cfg_reserved_ef8.reserved(31 downto 24) &lt;= avalon_mm_rmap_i.writedata(31 downto 24);</t>
  </si>
  <si>
    <t xml:space="preserve">      rmap_registers_wr_o.aeb_gen_cfg_reserved_efc.reserved(7 downto 0) &lt;= avalon_mm_rmap_i.writedata(7 downto 0);</t>
  </si>
  <si>
    <t xml:space="preserve">      rmap_registers_wr_o.aeb_gen_cfg_reserved_efc.reserved(15 downto 8) &lt;= avalon_mm_rmap_i.writedata(15 downto 8);</t>
  </si>
  <si>
    <t xml:space="preserve">      rmap_registers_wr_o.aeb_gen_cfg_reserved_efc.reserved(23 downto 16) &lt;= avalon_mm_rmap_i.writedata(23 downto 16);</t>
  </si>
  <si>
    <t xml:space="preserve">      rmap_registers_wr_o.aeb_gen_cfg_reserved_efc.reserved(31 downto 24) &lt;= avalon_mm_rmap_i.writedata(31 downto 24);</t>
  </si>
  <si>
    <t xml:space="preserve">      rmap_registers_wr_o.aeb_gen_cfg_reserved_f00.reserved(7 downto 0) &lt;= avalon_mm_rmap_i.writedata(7 downto 0);</t>
  </si>
  <si>
    <t xml:space="preserve">      rmap_registers_wr_o.aeb_gen_cfg_reserved_f00.reserved(15 downto 8) &lt;= avalon_mm_rmap_i.writedata(15 downto 8);</t>
  </si>
  <si>
    <t xml:space="preserve">      rmap_registers_wr_o.aeb_gen_cfg_reserved_f00.reserved(23 downto 16) &lt;= avalon_mm_rmap_i.writedata(23 downto 16);</t>
  </si>
  <si>
    <t xml:space="preserve">      rmap_registers_wr_o.aeb_gen_cfg_reserved_f00.reserved(31 downto 24) &lt;= avalon_mm_rmap_i.writedata(31 downto 24);</t>
  </si>
  <si>
    <t xml:space="preserve">      rmap_registers_wr_o.aeb_gen_cfg_reserved_f04.reserved(7 downto 0) &lt;= avalon_mm_rmap_i.writedata(7 downto 0);</t>
  </si>
  <si>
    <t xml:space="preserve">      rmap_registers_wr_o.aeb_gen_cfg_reserved_f04.reserved(15 downto 8) &lt;= avalon_mm_rmap_i.writedata(15 downto 8);</t>
  </si>
  <si>
    <t xml:space="preserve">      rmap_registers_wr_o.aeb_gen_cfg_reserved_f04.reserved(23 downto 16) &lt;= avalon_mm_rmap_i.writedata(23 downto 16);</t>
  </si>
  <si>
    <t xml:space="preserve">      rmap_registers_wr_o.aeb_gen_cfg_reserved_f04.reserved(31 downto 24) &lt;= avalon_mm_rmap_i.writedata(31 downto 24);</t>
  </si>
  <si>
    <t xml:space="preserve">      rmap_registers_wr_o.aeb_gen_cfg_reserved_f08.reserved(7 downto 0) &lt;= avalon_mm_rmap_i.writedata(7 downto 0);</t>
  </si>
  <si>
    <t xml:space="preserve">      rmap_registers_wr_o.aeb_gen_cfg_reserved_f08.reserved(15 downto 8) &lt;= avalon_mm_rmap_i.writedata(15 downto 8);</t>
  </si>
  <si>
    <t xml:space="preserve">      rmap_registers_wr_o.aeb_gen_cfg_reserved_f08.reserved(23 downto 16) &lt;= avalon_mm_rmap_i.writedata(23 downto 16);</t>
  </si>
  <si>
    <t xml:space="preserve">      rmap_registers_wr_o.aeb_gen_cfg_reserved_f08.reserved(31 downto 24) &lt;= avalon_mm_rmap_i.writedata(31 downto 24);</t>
  </si>
  <si>
    <t xml:space="preserve">      rmap_registers_wr_o.aeb_gen_cfg_reserved_f0c.reserved(7 downto 0) &lt;= avalon_mm_rmap_i.writedata(7 downto 0);</t>
  </si>
  <si>
    <t xml:space="preserve">      rmap_registers_wr_o.aeb_gen_cfg_reserved_f0c.reserved(15 downto 8) &lt;= avalon_mm_rmap_i.writedata(15 downto 8);</t>
  </si>
  <si>
    <t xml:space="preserve">      rmap_registers_wr_o.aeb_gen_cfg_reserved_f0c.reserved(23 downto 16) &lt;= avalon_mm_rmap_i.writedata(23 downto 16);</t>
  </si>
  <si>
    <t xml:space="preserve">      rmap_registers_wr_o.aeb_gen_cfg_reserved_f0c.reserved(31 downto 24) &lt;= avalon_mm_rmap_i.writedata(31 downto 24);</t>
  </si>
  <si>
    <t xml:space="preserve">      rmap_registers_wr_o.aeb_gen_cfg_reserved_f10.reserved(7 downto 0) &lt;= avalon_mm_rmap_i.writedata(7 downto 0);</t>
  </si>
  <si>
    <t xml:space="preserve">      rmap_registers_wr_o.aeb_gen_cfg_reserved_f10.reserved(15 downto 8) &lt;= avalon_mm_rmap_i.writedata(15 downto 8);</t>
  </si>
  <si>
    <t xml:space="preserve">      rmap_registers_wr_o.aeb_gen_cfg_reserved_f10.reserved(23 downto 16) &lt;= avalon_mm_rmap_i.writedata(23 downto 16);</t>
  </si>
  <si>
    <t xml:space="preserve">      rmap_registers_wr_o.aeb_gen_cfg_reserved_f10.reserved(31 downto 24) &lt;= avalon_mm_rmap_i.writedata(31 downto 24);</t>
  </si>
  <si>
    <t xml:space="preserve">      rmap_registers_wr_o.aeb_gen_cfg_reserved_f14.reserved(7 downto 0) &lt;= avalon_mm_rmap_i.writedata(7 downto 0);</t>
  </si>
  <si>
    <t xml:space="preserve">      rmap_registers_wr_o.aeb_gen_cfg_reserved_f14.reserved(15 downto 8) &lt;= avalon_mm_rmap_i.writedata(15 downto 8);</t>
  </si>
  <si>
    <t xml:space="preserve">      rmap_registers_wr_o.aeb_gen_cfg_reserved_f14.reserved(23 downto 16) &lt;= avalon_mm_rmap_i.writedata(23 downto 16);</t>
  </si>
  <si>
    <t xml:space="preserve">      rmap_registers_wr_o.aeb_gen_cfg_reserved_f14.reserved(31 downto 24) &lt;= avalon_mm_rmap_i.writedata(31 downto 24);</t>
  </si>
  <si>
    <t xml:space="preserve">      rmap_registers_wr_o.aeb_gen_cfg_reserved_f18.reserved(7 downto 0) &lt;= avalon_mm_rmap_i.writedata(7 downto 0);</t>
  </si>
  <si>
    <t xml:space="preserve">      rmap_registers_wr_o.aeb_gen_cfg_reserved_f18.reserved(15 downto 8) &lt;= avalon_mm_rmap_i.writedata(15 downto 8);</t>
  </si>
  <si>
    <t xml:space="preserve">      rmap_registers_wr_o.aeb_gen_cfg_reserved_f18.reserved(23 downto 16) &lt;= avalon_mm_rmap_i.writedata(23 downto 16);</t>
  </si>
  <si>
    <t xml:space="preserve">      rmap_registers_wr_o.aeb_gen_cfg_reserved_f18.reserved(31 downto 24) &lt;= avalon_mm_rmap_i.writedata(31 downto 24);</t>
  </si>
  <si>
    <t xml:space="preserve">      rmap_registers_wr_o.aeb_gen_cfg_reserved_f1c.reserved(7 downto 0) &lt;= avalon_mm_rmap_i.writedata(7 downto 0);</t>
  </si>
  <si>
    <t xml:space="preserve">      rmap_registers_wr_o.aeb_gen_cfg_reserved_f1c.reserved(15 downto 8) &lt;= avalon_mm_rmap_i.writedata(15 downto 8);</t>
  </si>
  <si>
    <t xml:space="preserve">      rmap_registers_wr_o.aeb_gen_cfg_reserved_f1c.reserved(23 downto 16) &lt;= avalon_mm_rmap_i.writedata(23 downto 16);</t>
  </si>
  <si>
    <t xml:space="preserve">      rmap_registers_wr_o.aeb_gen_cfg_reserved_f1c.reserved(31 downto 24) &lt;= avalon_mm_rmap_i.writedata(31 downto 24);</t>
  </si>
  <si>
    <t xml:space="preserve">      rmap_registers_wr_o.aeb_gen_cfg_reserved_f20.reserved(7 downto 0) &lt;= avalon_mm_rmap_i.writedata(7 downto 0);</t>
  </si>
  <si>
    <t xml:space="preserve">      rmap_registers_wr_o.aeb_gen_cfg_reserved_f20.reserved(15 downto 8) &lt;= avalon_mm_rmap_i.writedata(15 downto 8);</t>
  </si>
  <si>
    <t xml:space="preserve">      rmap_registers_wr_o.aeb_gen_cfg_reserved_f20.reserved(23 downto 16) &lt;= avalon_mm_rmap_i.writedata(23 downto 16);</t>
  </si>
  <si>
    <t xml:space="preserve">      rmap_registers_wr_o.aeb_gen_cfg_reserved_f20.reserved(31 downto 24) &lt;= avalon_mm_rmap_i.writedata(31 downto 24);</t>
  </si>
  <si>
    <t xml:space="preserve">      rmap_registers_wr_o.aeb_gen_cfg_reserved_f24.reserved(7 downto 0) &lt;= avalon_mm_rmap_i.writedata(7 downto 0);</t>
  </si>
  <si>
    <t xml:space="preserve">      rmap_registers_wr_o.aeb_gen_cfg_reserved_f24.reserved(15 downto 8) &lt;= avalon_mm_rmap_i.writedata(15 downto 8);</t>
  </si>
  <si>
    <t xml:space="preserve">      rmap_registers_wr_o.aeb_gen_cfg_reserved_f24.reserved(23 downto 16) &lt;= avalon_mm_rmap_i.writedata(23 downto 16);</t>
  </si>
  <si>
    <t xml:space="preserve">      rmap_registers_wr_o.aeb_gen_cfg_reserved_f24.reserved(31 downto 24) &lt;= avalon_mm_rmap_i.writedata(31 downto 24);</t>
  </si>
  <si>
    <t xml:space="preserve">      rmap_registers_wr_o.aeb_gen_cfg_reserved_f28.reserved(7 downto 0) &lt;= avalon_mm_rmap_i.writedata(7 downto 0);</t>
  </si>
  <si>
    <t xml:space="preserve">      rmap_registers_wr_o.aeb_gen_cfg_reserved_f28.reserved(15 downto 8) &lt;= avalon_mm_rmap_i.writedata(15 downto 8);</t>
  </si>
  <si>
    <t xml:space="preserve">      rmap_registers_wr_o.aeb_gen_cfg_reserved_f28.reserved(23 downto 16) &lt;= avalon_mm_rmap_i.writedata(23 downto 16);</t>
  </si>
  <si>
    <t xml:space="preserve">      rmap_registers_wr_o.aeb_gen_cfg_reserved_f28.reserved(31 downto 24) &lt;= avalon_mm_rmap_i.writedata(31 downto 24);</t>
  </si>
  <si>
    <t xml:space="preserve">      rmap_registers_wr_o.aeb_gen_cfg_reserved_f2c.reserved(7 downto 0) &lt;= avalon_mm_rmap_i.writedata(7 downto 0);</t>
  </si>
  <si>
    <t xml:space="preserve">      rmap_registers_wr_o.aeb_gen_cfg_reserved_f2c.reserved(15 downto 8) &lt;= avalon_mm_rmap_i.writedata(15 downto 8);</t>
  </si>
  <si>
    <t xml:space="preserve">      rmap_registers_wr_o.aeb_gen_cfg_reserved_f2c.reserved(23 downto 16) &lt;= avalon_mm_rmap_i.writedata(23 downto 16);</t>
  </si>
  <si>
    <t xml:space="preserve">      rmap_registers_wr_o.aeb_gen_cfg_reserved_f2c.reserved(31 downto 24) &lt;= avalon_mm_rmap_i.writedata(31 downto 24);</t>
  </si>
  <si>
    <t xml:space="preserve">      rmap_registers_wr_o.aeb_gen_cfg_reserved_f30.reserved(7 downto 0) &lt;= avalon_mm_rmap_i.writedata(7 downto 0);</t>
  </si>
  <si>
    <t xml:space="preserve">      rmap_registers_wr_o.aeb_gen_cfg_reserved_f30.reserved(15 downto 8) &lt;= avalon_mm_rmap_i.writedata(15 downto 8);</t>
  </si>
  <si>
    <t xml:space="preserve">      rmap_registers_wr_o.aeb_gen_cfg_reserved_f30.reserved(23 downto 16) &lt;= avalon_mm_rmap_i.writedata(23 downto 16);</t>
  </si>
  <si>
    <t xml:space="preserve">      rmap_registers_wr_o.aeb_gen_cfg_reserved_f30.reserved(31 downto 24) &lt;= avalon_mm_rmap_i.writedata(31 downto 24);</t>
  </si>
  <si>
    <t xml:space="preserve">      rmap_registers_wr_o.aeb_gen_cfg_reserved_f34.reserved(7 downto 0) &lt;= avalon_mm_rmap_i.writedata(7 downto 0);</t>
  </si>
  <si>
    <t xml:space="preserve">      rmap_registers_wr_o.aeb_gen_cfg_reserved_f34.reserved(15 downto 8) &lt;= avalon_mm_rmap_i.writedata(15 downto 8);</t>
  </si>
  <si>
    <t xml:space="preserve">      rmap_registers_wr_o.aeb_gen_cfg_reserved_f34.reserved(23 downto 16) &lt;= avalon_mm_rmap_i.writedata(23 downto 16);</t>
  </si>
  <si>
    <t xml:space="preserve">      rmap_registers_wr_o.aeb_gen_cfg_reserved_f34.reserved(31 downto 24) &lt;= avalon_mm_rmap_i.writedata(31 downto 24);</t>
  </si>
  <si>
    <t xml:space="preserve">      rmap_registers_wr_o.aeb_gen_cfg_reserved_f38.reserved(7 downto 0) &lt;= avalon_mm_rmap_i.writedata(7 downto 0);</t>
  </si>
  <si>
    <t xml:space="preserve">      rmap_registers_wr_o.aeb_gen_cfg_reserved_f38.reserved(15 downto 8) &lt;= avalon_mm_rmap_i.writedata(15 downto 8);</t>
  </si>
  <si>
    <t xml:space="preserve">      rmap_registers_wr_o.aeb_gen_cfg_reserved_f38.reserved(23 downto 16) &lt;= avalon_mm_rmap_i.writedata(23 downto 16);</t>
  </si>
  <si>
    <t xml:space="preserve">      rmap_registers_wr_o.aeb_gen_cfg_reserved_f38.reserved(31 downto 24) &lt;= avalon_mm_rmap_i.writedata(31 downto 24);</t>
  </si>
  <si>
    <t xml:space="preserve">      rmap_registers_wr_o.aeb_gen_cfg_reserved_f3c.reserved(7 downto 0) &lt;= avalon_mm_rmap_i.writedata(7 downto 0);</t>
  </si>
  <si>
    <t xml:space="preserve">      rmap_registers_wr_o.aeb_gen_cfg_reserved_f3c.reserved(15 downto 8) &lt;= avalon_mm_rmap_i.writedata(15 downto 8);</t>
  </si>
  <si>
    <t xml:space="preserve">      rmap_registers_wr_o.aeb_gen_cfg_reserved_f3c.reserved(23 downto 16) &lt;= avalon_mm_rmap_i.writedata(23 downto 16);</t>
  </si>
  <si>
    <t xml:space="preserve">      rmap_registers_wr_o.aeb_gen_cfg_reserved_f3c.reserved(31 downto 24) &lt;= avalon_mm_rmap_i.writedata(31 downto 24);</t>
  </si>
  <si>
    <t xml:space="preserve">      rmap_registers_wr_o.aeb_gen_cfg_reserved_f40.reserved(7 downto 0) &lt;= avalon_mm_rmap_i.writedata(7 downto 0);</t>
  </si>
  <si>
    <t xml:space="preserve">      rmap_registers_wr_o.aeb_gen_cfg_reserved_f40.reserved(15 downto 8) &lt;= avalon_mm_rmap_i.writedata(15 downto 8);</t>
  </si>
  <si>
    <t xml:space="preserve">      rmap_registers_wr_o.aeb_gen_cfg_reserved_f40.reserved(23 downto 16) &lt;= avalon_mm_rmap_i.writedata(23 downto 16);</t>
  </si>
  <si>
    <t xml:space="preserve">      rmap_registers_wr_o.aeb_gen_cfg_reserved_f40.reserved(31 downto 24) &lt;= avalon_mm_rmap_i.writedata(31 downto 24);</t>
  </si>
  <si>
    <t xml:space="preserve">      rmap_registers_wr_o.aeb_gen_cfg_reserved_f44.reserved(7 downto 0) &lt;= avalon_mm_rmap_i.writedata(7 downto 0);</t>
  </si>
  <si>
    <t xml:space="preserve">      rmap_registers_wr_o.aeb_gen_cfg_reserved_f44.reserved(15 downto 8) &lt;= avalon_mm_rmap_i.writedata(15 downto 8);</t>
  </si>
  <si>
    <t xml:space="preserve">      rmap_registers_wr_o.aeb_gen_cfg_reserved_f44.reserved(23 downto 16) &lt;= avalon_mm_rmap_i.writedata(23 downto 16);</t>
  </si>
  <si>
    <t xml:space="preserve">      rmap_registers_wr_o.aeb_gen_cfg_reserved_f44.reserved(31 downto 24) &lt;= avalon_mm_rmap_i.writedata(31 downto 24);</t>
  </si>
  <si>
    <t xml:space="preserve">      rmap_registers_wr_o.aeb_gen_cfg_reserved_f48.reserved(7 downto 0) &lt;= avalon_mm_rmap_i.writedata(7 downto 0);</t>
  </si>
  <si>
    <t xml:space="preserve">      rmap_registers_wr_o.aeb_gen_cfg_reserved_f48.reserved(15 downto 8) &lt;= avalon_mm_rmap_i.writedata(15 downto 8);</t>
  </si>
  <si>
    <t xml:space="preserve">      rmap_registers_wr_o.aeb_gen_cfg_reserved_f48.reserved(23 downto 16) &lt;= avalon_mm_rmap_i.writedata(23 downto 16);</t>
  </si>
  <si>
    <t xml:space="preserve">      rmap_registers_wr_o.aeb_gen_cfg_reserved_f48.reserved(31 downto 24) &lt;= avalon_mm_rmap_i.writedata(31 downto 24);</t>
  </si>
  <si>
    <t xml:space="preserve">      rmap_registers_wr_o.aeb_gen_cfg_reserved_f4c.reserved(7 downto 0) &lt;= avalon_mm_rmap_i.writedata(7 downto 0);</t>
  </si>
  <si>
    <t xml:space="preserve">      rmap_registers_wr_o.aeb_gen_cfg_reserved_f4c.reserved(15 downto 8) &lt;= avalon_mm_rmap_i.writedata(15 downto 8);</t>
  </si>
  <si>
    <t xml:space="preserve">      rmap_registers_wr_o.aeb_gen_cfg_reserved_f4c.reserved(23 downto 16) &lt;= avalon_mm_rmap_i.writedata(23 downto 16);</t>
  </si>
  <si>
    <t xml:space="preserve">      rmap_registers_wr_o.aeb_gen_cfg_reserved_f4c.reserved(31 downto 24) &lt;= avalon_mm_rmap_i.writedata(31 downto 24);</t>
  </si>
  <si>
    <t xml:space="preserve">      rmap_registers_wr_o.aeb_gen_cfg_reserved_f50.reserved(7 downto 0) &lt;= avalon_mm_rmap_i.writedata(7 downto 0);</t>
  </si>
  <si>
    <t xml:space="preserve">      rmap_registers_wr_o.aeb_gen_cfg_reserved_f50.reserved(15 downto 8) &lt;= avalon_mm_rmap_i.writedata(15 downto 8);</t>
  </si>
  <si>
    <t xml:space="preserve">      rmap_registers_wr_o.aeb_gen_cfg_reserved_f50.reserved(23 downto 16) &lt;= avalon_mm_rmap_i.writedata(23 downto 16);</t>
  </si>
  <si>
    <t xml:space="preserve">      rmap_registers_wr_o.aeb_gen_cfg_reserved_f50.reserved(31 downto 24) &lt;= avalon_mm_rmap_i.writedata(31 downto 24);</t>
  </si>
  <si>
    <t xml:space="preserve">      rmap_registers_wr_o.aeb_gen_cfg_reserved_f54.reserved(7 downto 0) &lt;= avalon_mm_rmap_i.writedata(7 downto 0);</t>
  </si>
  <si>
    <t xml:space="preserve">      rmap_registers_wr_o.aeb_gen_cfg_reserved_f54.reserved(15 downto 8) &lt;= avalon_mm_rmap_i.writedata(15 downto 8);</t>
  </si>
  <si>
    <t xml:space="preserve">      rmap_registers_wr_o.aeb_gen_cfg_reserved_f54.reserved(23 downto 16) &lt;= avalon_mm_rmap_i.writedata(23 downto 16);</t>
  </si>
  <si>
    <t xml:space="preserve">      rmap_registers_wr_o.aeb_gen_cfg_reserved_f54.reserved(31 downto 24) &lt;= avalon_mm_rmap_i.writedata(31 downto 24);</t>
  </si>
  <si>
    <t xml:space="preserve">      rmap_registers_wr_o.aeb_gen_cfg_reserved_f58.reserved(7 downto 0) &lt;= avalon_mm_rmap_i.writedata(7 downto 0);</t>
  </si>
  <si>
    <t xml:space="preserve">      rmap_registers_wr_o.aeb_gen_cfg_reserved_f58.reserved(15 downto 8) &lt;= avalon_mm_rmap_i.writedata(15 downto 8);</t>
  </si>
  <si>
    <t xml:space="preserve">      rmap_registers_wr_o.aeb_gen_cfg_reserved_f58.reserved(23 downto 16) &lt;= avalon_mm_rmap_i.writedata(23 downto 16);</t>
  </si>
  <si>
    <t xml:space="preserve">      rmap_registers_wr_o.aeb_gen_cfg_reserved_f58.reserved(31 downto 24) &lt;= avalon_mm_rmap_i.writedata(31 downto 24);</t>
  </si>
  <si>
    <t xml:space="preserve">      rmap_registers_wr_o.aeb_gen_cfg_reserved_f5c.reserved(7 downto 0) &lt;= avalon_mm_rmap_i.writedata(7 downto 0);</t>
  </si>
  <si>
    <t xml:space="preserve">      rmap_registers_wr_o.aeb_gen_cfg_reserved_f5c.reserved(15 downto 8) &lt;= avalon_mm_rmap_i.writedata(15 downto 8);</t>
  </si>
  <si>
    <t xml:space="preserve">      rmap_registers_wr_o.aeb_gen_cfg_reserved_f5c.reserved(23 downto 16) &lt;= avalon_mm_rmap_i.writedata(23 downto 16);</t>
  </si>
  <si>
    <t xml:space="preserve">      rmap_registers_wr_o.aeb_gen_cfg_reserved_f5c.reserved(31 downto 24) &lt;= avalon_mm_rmap_i.writedata(31 downto 24);</t>
  </si>
  <si>
    <t xml:space="preserve">      rmap_registers_wr_o.aeb_gen_cfg_reserved_f60.reserved(7 downto 0) &lt;= avalon_mm_rmap_i.writedata(7 downto 0);</t>
  </si>
  <si>
    <t xml:space="preserve">      rmap_registers_wr_o.aeb_gen_cfg_reserved_f60.reserved(15 downto 8) &lt;= avalon_mm_rmap_i.writedata(15 downto 8);</t>
  </si>
  <si>
    <t xml:space="preserve">      rmap_registers_wr_o.aeb_gen_cfg_reserved_f60.reserved(23 downto 16) &lt;= avalon_mm_rmap_i.writedata(23 downto 16);</t>
  </si>
  <si>
    <t xml:space="preserve">      rmap_registers_wr_o.aeb_gen_cfg_reserved_f60.reserved(31 downto 24) &lt;= avalon_mm_rmap_i.writedata(31 downto 24);</t>
  </si>
  <si>
    <t xml:space="preserve">      rmap_registers_wr_o.aeb_gen_cfg_reserved_f64.reserved(7 downto 0) &lt;= avalon_mm_rmap_i.writedata(7 downto 0);</t>
  </si>
  <si>
    <t xml:space="preserve">      rmap_registers_wr_o.aeb_gen_cfg_reserved_f64.reserved(15 downto 8) &lt;= avalon_mm_rmap_i.writedata(15 downto 8);</t>
  </si>
  <si>
    <t xml:space="preserve">      rmap_registers_wr_o.aeb_gen_cfg_reserved_f64.reserved(23 downto 16) &lt;= avalon_mm_rmap_i.writedata(23 downto 16);</t>
  </si>
  <si>
    <t xml:space="preserve">      rmap_registers_wr_o.aeb_gen_cfg_reserved_f64.reserved(31 downto 24) &lt;= avalon_mm_rmap_i.writedata(31 downto 24);</t>
  </si>
  <si>
    <t xml:space="preserve">      rmap_registers_wr_o.aeb_gen_cfg_reserved_f68.reserved(7 downto 0) &lt;= avalon_mm_rmap_i.writedata(7 downto 0);</t>
  </si>
  <si>
    <t xml:space="preserve">      rmap_registers_wr_o.aeb_gen_cfg_reserved_f68.reserved(15 downto 8) &lt;= avalon_mm_rmap_i.writedata(15 downto 8);</t>
  </si>
  <si>
    <t xml:space="preserve">      rmap_registers_wr_o.aeb_gen_cfg_reserved_f68.reserved(23 downto 16) &lt;= avalon_mm_rmap_i.writedata(23 downto 16);</t>
  </si>
  <si>
    <t xml:space="preserve">      rmap_registers_wr_o.aeb_gen_cfg_reserved_f68.reserved(31 downto 24) &lt;= avalon_mm_rmap_i.writedata(31 downto 24);</t>
  </si>
  <si>
    <t xml:space="preserve">      rmap_registers_wr_o.aeb_gen_cfg_reserved_f6c.reserved(7 downto 0) &lt;= avalon_mm_rmap_i.writedata(7 downto 0);</t>
  </si>
  <si>
    <t xml:space="preserve">      rmap_registers_wr_o.aeb_gen_cfg_reserved_f6c.reserved(15 downto 8) &lt;= avalon_mm_rmap_i.writedata(15 downto 8);</t>
  </si>
  <si>
    <t xml:space="preserve">      rmap_registers_wr_o.aeb_gen_cfg_reserved_f6c.reserved(23 downto 16) &lt;= avalon_mm_rmap_i.writedata(23 downto 16);</t>
  </si>
  <si>
    <t xml:space="preserve">      rmap_registers_wr_o.aeb_gen_cfg_reserved_f6c.reserved(31 downto 24) &lt;= avalon_mm_rmap_i.writedata(31 downto 24);</t>
  </si>
  <si>
    <t xml:space="preserve">      rmap_registers_wr_o.aeb_gen_cfg_reserved_f70.reserved(7 downto 0) &lt;= avalon_mm_rmap_i.writedata(7 downto 0);</t>
  </si>
  <si>
    <t xml:space="preserve">      rmap_registers_wr_o.aeb_gen_cfg_reserved_f70.reserved(15 downto 8) &lt;= avalon_mm_rmap_i.writedata(15 downto 8);</t>
  </si>
  <si>
    <t xml:space="preserve">      rmap_registers_wr_o.aeb_gen_cfg_reserved_f70.reserved(23 downto 16) &lt;= avalon_mm_rmap_i.writedata(23 downto 16);</t>
  </si>
  <si>
    <t xml:space="preserve">      rmap_registers_wr_o.aeb_gen_cfg_reserved_f70.reserved(31 downto 24) &lt;= avalon_mm_rmap_i.writedata(31 downto 24);</t>
  </si>
  <si>
    <t xml:space="preserve">      rmap_registers_wr_o.aeb_gen_cfg_reserved_f74.reserved(7 downto 0) &lt;= avalon_mm_rmap_i.writedata(7 downto 0);</t>
  </si>
  <si>
    <t xml:space="preserve">      rmap_registers_wr_o.aeb_gen_cfg_reserved_f74.reserved(15 downto 8) &lt;= avalon_mm_rmap_i.writedata(15 downto 8);</t>
  </si>
  <si>
    <t xml:space="preserve">      rmap_registers_wr_o.aeb_gen_cfg_reserved_f74.reserved(23 downto 16) &lt;= avalon_mm_rmap_i.writedata(23 downto 16);</t>
  </si>
  <si>
    <t xml:space="preserve">      rmap_registers_wr_o.aeb_gen_cfg_reserved_f74.reserved(31 downto 24) &lt;= avalon_mm_rmap_i.writedata(31 downto 24);</t>
  </si>
  <si>
    <t xml:space="preserve">      rmap_registers_wr_o.aeb_gen_cfg_reserved_f78.reserved(7 downto 0) &lt;= avalon_mm_rmap_i.writedata(7 downto 0);</t>
  </si>
  <si>
    <t xml:space="preserve">      rmap_registers_wr_o.aeb_gen_cfg_reserved_f78.reserved(15 downto 8) &lt;= avalon_mm_rmap_i.writedata(15 downto 8);</t>
  </si>
  <si>
    <t xml:space="preserve">      rmap_registers_wr_o.aeb_gen_cfg_reserved_f78.reserved(23 downto 16) &lt;= avalon_mm_rmap_i.writedata(23 downto 16);</t>
  </si>
  <si>
    <t xml:space="preserve">      rmap_registers_wr_o.aeb_gen_cfg_reserved_f78.reserved(31 downto 24) &lt;= avalon_mm_rmap_i.writedata(31 downto 24);</t>
  </si>
  <si>
    <t xml:space="preserve">      rmap_registers_wr_o.aeb_gen_cfg_reserved_f7c.reserved(7 downto 0) &lt;= avalon_mm_rmap_i.writedata(7 downto 0);</t>
  </si>
  <si>
    <t xml:space="preserve">      rmap_registers_wr_o.aeb_gen_cfg_reserved_f7c.reserved(15 downto 8) &lt;= avalon_mm_rmap_i.writedata(15 downto 8);</t>
  </si>
  <si>
    <t xml:space="preserve">      rmap_registers_wr_o.aeb_gen_cfg_reserved_f7c.reserved(23 downto 16) &lt;= avalon_mm_rmap_i.writedata(23 downto 16);</t>
  </si>
  <si>
    <t xml:space="preserve">      rmap_registers_wr_o.aeb_gen_cfg_reserved_f7c.reserved(31 downto 24) &lt;= avalon_mm_rmap_i.writedata(31 downto 24);</t>
  </si>
  <si>
    <t xml:space="preserve">      rmap_registers_wr_o.aeb_gen_cfg_reserved_f80.reserved(7 downto 0) &lt;= avalon_mm_rmap_i.writedata(7 downto 0);</t>
  </si>
  <si>
    <t xml:space="preserve">      rmap_registers_wr_o.aeb_gen_cfg_reserved_f80.reserved(15 downto 8) &lt;= avalon_mm_rmap_i.writedata(15 downto 8);</t>
  </si>
  <si>
    <t xml:space="preserve">      rmap_registers_wr_o.aeb_gen_cfg_reserved_f80.reserved(23 downto 16) &lt;= avalon_mm_rmap_i.writedata(23 downto 16);</t>
  </si>
  <si>
    <t xml:space="preserve">      rmap_registers_wr_o.aeb_gen_cfg_reserved_f80.reserved(31 downto 24) &lt;= avalon_mm_rmap_i.writedata(31 downto 24);</t>
  </si>
  <si>
    <t xml:space="preserve">      rmap_registers_wr_o.aeb_gen_cfg_reserved_f84.reserved(7 downto 0) &lt;= avalon_mm_rmap_i.writedata(7 downto 0);</t>
  </si>
  <si>
    <t xml:space="preserve">      rmap_registers_wr_o.aeb_gen_cfg_reserved_f84.reserved(15 downto 8) &lt;= avalon_mm_rmap_i.writedata(15 downto 8);</t>
  </si>
  <si>
    <t xml:space="preserve">      rmap_registers_wr_o.aeb_gen_cfg_reserved_f84.reserved(23 downto 16) &lt;= avalon_mm_rmap_i.writedata(23 downto 16);</t>
  </si>
  <si>
    <t xml:space="preserve">      rmap_registers_wr_o.aeb_gen_cfg_reserved_f84.reserved(31 downto 24) &lt;= avalon_mm_rmap_i.writedata(31 downto 24);</t>
  </si>
  <si>
    <t xml:space="preserve">      rmap_registers_wr_o.aeb_gen_cfg_reserved_f88.reserved(7 downto 0) &lt;= avalon_mm_rmap_i.writedata(7 downto 0);</t>
  </si>
  <si>
    <t xml:space="preserve">      rmap_registers_wr_o.aeb_gen_cfg_reserved_f88.reserved(15 downto 8) &lt;= avalon_mm_rmap_i.writedata(15 downto 8);</t>
  </si>
  <si>
    <t xml:space="preserve">      rmap_registers_wr_o.aeb_gen_cfg_reserved_f88.reserved(23 downto 16) &lt;= avalon_mm_rmap_i.writedata(23 downto 16);</t>
  </si>
  <si>
    <t xml:space="preserve">      rmap_registers_wr_o.aeb_gen_cfg_reserved_f88.reserved(31 downto 24) &lt;= avalon_mm_rmap_i.writedata(31 downto 24);</t>
  </si>
  <si>
    <t xml:space="preserve">      rmap_registers_wr_o.aeb_gen_cfg_reserved_f8c.reserved(7 downto 0) &lt;= avalon_mm_rmap_i.writedata(7 downto 0);</t>
  </si>
  <si>
    <t xml:space="preserve">      rmap_registers_wr_o.aeb_gen_cfg_reserved_f8c.reserved(15 downto 8) &lt;= avalon_mm_rmap_i.writedata(15 downto 8);</t>
  </si>
  <si>
    <t xml:space="preserve">      rmap_registers_wr_o.aeb_gen_cfg_reserved_f8c.reserved(23 downto 16) &lt;= avalon_mm_rmap_i.writedata(23 downto 16);</t>
  </si>
  <si>
    <t xml:space="preserve">      rmap_registers_wr_o.aeb_gen_cfg_reserved_f8c.reserved(31 downto 24) &lt;= avalon_mm_rmap_i.writedata(31 downto 24);</t>
  </si>
  <si>
    <t xml:space="preserve">      rmap_registers_wr_o.aeb_gen_cfg_reserved_f90.reserved(7 downto 0) &lt;= avalon_mm_rmap_i.writedata(7 downto 0);</t>
  </si>
  <si>
    <t xml:space="preserve">      rmap_registers_wr_o.aeb_gen_cfg_reserved_f90.reserved(15 downto 8) &lt;= avalon_mm_rmap_i.writedata(15 downto 8);</t>
  </si>
  <si>
    <t xml:space="preserve">      rmap_registers_wr_o.aeb_gen_cfg_reserved_f90.reserved(23 downto 16) &lt;= avalon_mm_rmap_i.writedata(23 downto 16);</t>
  </si>
  <si>
    <t xml:space="preserve">      rmap_registers_wr_o.aeb_gen_cfg_reserved_f90.reserved(31 downto 24) &lt;= avalon_mm_rmap_i.writedata(31 downto 24);</t>
  </si>
  <si>
    <t xml:space="preserve">      rmap_registers_wr_o.aeb_gen_cfg_reserved_f94.reserved(7 downto 0) &lt;= avalon_mm_rmap_i.writedata(7 downto 0);</t>
  </si>
  <si>
    <t xml:space="preserve">      rmap_registers_wr_o.aeb_gen_cfg_reserved_f94.reserved(15 downto 8) &lt;= avalon_mm_rmap_i.writedata(15 downto 8);</t>
  </si>
  <si>
    <t xml:space="preserve">      rmap_registers_wr_o.aeb_gen_cfg_reserved_f94.reserved(23 downto 16) &lt;= avalon_mm_rmap_i.writedata(23 downto 16);</t>
  </si>
  <si>
    <t xml:space="preserve">      rmap_registers_wr_o.aeb_gen_cfg_reserved_f94.reserved(31 downto 24) &lt;= avalon_mm_rmap_i.writedata(31 downto 24);</t>
  </si>
  <si>
    <t xml:space="preserve">      rmap_registers_wr_o.aeb_gen_cfg_reserved_f98.reserved(7 downto 0) &lt;= avalon_mm_rmap_i.writedata(7 downto 0);</t>
  </si>
  <si>
    <t xml:space="preserve">      rmap_registers_wr_o.aeb_gen_cfg_reserved_f98.reserved(15 downto 8) &lt;= avalon_mm_rmap_i.writedata(15 downto 8);</t>
  </si>
  <si>
    <t xml:space="preserve">      rmap_registers_wr_o.aeb_gen_cfg_reserved_f98.reserved(23 downto 16) &lt;= avalon_mm_rmap_i.writedata(23 downto 16);</t>
  </si>
  <si>
    <t xml:space="preserve">      rmap_registers_wr_o.aeb_gen_cfg_reserved_f98.reserved(31 downto 24) &lt;= avalon_mm_rmap_i.writedata(31 downto 24);</t>
  </si>
  <si>
    <t xml:space="preserve">      rmap_registers_wr_o.aeb_gen_cfg_reserved_f9c.reserved(7 downto 0) &lt;= avalon_mm_rmap_i.writedata(7 downto 0);</t>
  </si>
  <si>
    <t xml:space="preserve">      rmap_registers_wr_o.aeb_gen_cfg_reserved_f9c.reserved(15 downto 8) &lt;= avalon_mm_rmap_i.writedata(15 downto 8);</t>
  </si>
  <si>
    <t xml:space="preserve">      rmap_registers_wr_o.aeb_gen_cfg_reserved_f9c.reserved(23 downto 16) &lt;= avalon_mm_rmap_i.writedata(23 downto 16);</t>
  </si>
  <si>
    <t xml:space="preserve">      rmap_registers_wr_o.aeb_gen_cfg_reserved_f9c.reserved(31 downto 24) &lt;= avalon_mm_rmap_i.writedata(31 downto 24);</t>
  </si>
  <si>
    <t xml:space="preserve">      rmap_registers_wr_o.aeb_gen_cfg_reserved_fa0.reserved(7 downto 0) &lt;= avalon_mm_rmap_i.writedata(7 downto 0);</t>
  </si>
  <si>
    <t xml:space="preserve">      rmap_registers_wr_o.aeb_gen_cfg_reserved_fa0.reserved(15 downto 8) &lt;= avalon_mm_rmap_i.writedata(15 downto 8);</t>
  </si>
  <si>
    <t xml:space="preserve">      rmap_registers_wr_o.aeb_gen_cfg_reserved_fa0.reserved(23 downto 16) &lt;= avalon_mm_rmap_i.writedata(23 downto 16);</t>
  </si>
  <si>
    <t xml:space="preserve">      rmap_registers_wr_o.aeb_gen_cfg_reserved_fa0.reserved(31 downto 24) &lt;= avalon_mm_rmap_i.writedata(31 downto 24);</t>
  </si>
  <si>
    <t xml:space="preserve">      rmap_registers_wr_o.aeb_gen_cfg_reserved_fa4.reserved(7 downto 0) &lt;= avalon_mm_rmap_i.writedata(7 downto 0);</t>
  </si>
  <si>
    <t xml:space="preserve">      rmap_registers_wr_o.aeb_gen_cfg_reserved_fa4.reserved(15 downto 8) &lt;= avalon_mm_rmap_i.writedata(15 downto 8);</t>
  </si>
  <si>
    <t xml:space="preserve">      rmap_registers_wr_o.aeb_gen_cfg_reserved_fa4.reserved(23 downto 16) &lt;= avalon_mm_rmap_i.writedata(23 downto 16);</t>
  </si>
  <si>
    <t xml:space="preserve">      rmap_registers_wr_o.aeb_gen_cfg_reserved_fa4.reserved(31 downto 24) &lt;= avalon_mm_rmap_i.writedata(31 downto 24);</t>
  </si>
  <si>
    <t xml:space="preserve">      rmap_registers_wr_o.aeb_gen_cfg_reserved_fa8.reserved(7 downto 0) &lt;= avalon_mm_rmap_i.writedata(7 downto 0);</t>
  </si>
  <si>
    <t xml:space="preserve">      rmap_registers_wr_o.aeb_gen_cfg_reserved_fa8.reserved(15 downto 8) &lt;= avalon_mm_rmap_i.writedata(15 downto 8);</t>
  </si>
  <si>
    <t xml:space="preserve">      rmap_registers_wr_o.aeb_gen_cfg_reserved_fa8.reserved(23 downto 16) &lt;= avalon_mm_rmap_i.writedata(23 downto 16);</t>
  </si>
  <si>
    <t xml:space="preserve">      rmap_registers_wr_o.aeb_gen_cfg_reserved_fa8.reserved(31 downto 24) &lt;= avalon_mm_rmap_i.writedata(31 downto 24);</t>
  </si>
  <si>
    <t xml:space="preserve">      rmap_registers_wr_o.aeb_gen_cfg_reserved_fac.reserved(7 downto 0) &lt;= avalon_mm_rmap_i.writedata(7 downto 0);</t>
  </si>
  <si>
    <t xml:space="preserve">      rmap_registers_wr_o.aeb_gen_cfg_reserved_fac.reserved(15 downto 8) &lt;= avalon_mm_rmap_i.writedata(15 downto 8);</t>
  </si>
  <si>
    <t xml:space="preserve">      rmap_registers_wr_o.aeb_gen_cfg_reserved_fac.reserved(23 downto 16) &lt;= avalon_mm_rmap_i.writedata(23 downto 16);</t>
  </si>
  <si>
    <t xml:space="preserve">      rmap_registers_wr_o.aeb_gen_cfg_reserved_fac.reserved(31 downto 24) &lt;= avalon_mm_rmap_i.writedata(31 downto 24);</t>
  </si>
  <si>
    <t xml:space="preserve">      rmap_registers_wr_o.aeb_gen_cfg_reserved_fb0.reserved(7 downto 0) &lt;= avalon_mm_rmap_i.writedata(7 downto 0);</t>
  </si>
  <si>
    <t xml:space="preserve">      rmap_registers_wr_o.aeb_gen_cfg_reserved_fb0.reserved(15 downto 8) &lt;= avalon_mm_rmap_i.writedata(15 downto 8);</t>
  </si>
  <si>
    <t xml:space="preserve">      rmap_registers_wr_o.aeb_gen_cfg_reserved_fb0.reserved(23 downto 16) &lt;= avalon_mm_rmap_i.writedata(23 downto 16);</t>
  </si>
  <si>
    <t xml:space="preserve">      rmap_registers_wr_o.aeb_gen_cfg_reserved_fb0.reserved(31 downto 24) &lt;= avalon_mm_rmap_i.writedata(31 downto 24);</t>
  </si>
  <si>
    <t xml:space="preserve">      rmap_registers_wr_o.aeb_gen_cfg_reserved_fb4.reserved(7 downto 0) &lt;= avalon_mm_rmap_i.writedata(7 downto 0);</t>
  </si>
  <si>
    <t xml:space="preserve">      rmap_registers_wr_o.aeb_gen_cfg_reserved_fb4.reserved(15 downto 8) &lt;= avalon_mm_rmap_i.writedata(15 downto 8);</t>
  </si>
  <si>
    <t xml:space="preserve">      rmap_registers_wr_o.aeb_gen_cfg_reserved_fb4.reserved(23 downto 16) &lt;= avalon_mm_rmap_i.writedata(23 downto 16);</t>
  </si>
  <si>
    <t xml:space="preserve">      rmap_registers_wr_o.aeb_gen_cfg_reserved_fb4.reserved(31 downto 24) &lt;= avalon_mm_rmap_i.writedata(31 downto 24);</t>
  </si>
  <si>
    <t xml:space="preserve">      rmap_registers_wr_o.aeb_gen_cfg_reserved_fb8.reserved(7 downto 0) &lt;= avalon_mm_rmap_i.writedata(7 downto 0);</t>
  </si>
  <si>
    <t xml:space="preserve">      rmap_registers_wr_o.aeb_gen_cfg_reserved_fb8.reserved(15 downto 8) &lt;= avalon_mm_rmap_i.writedata(15 downto 8);</t>
  </si>
  <si>
    <t xml:space="preserve">      rmap_registers_wr_o.aeb_gen_cfg_reserved_fb8.reserved(23 downto 16) &lt;= avalon_mm_rmap_i.writedata(23 downto 16);</t>
  </si>
  <si>
    <t xml:space="preserve">      rmap_registers_wr_o.aeb_gen_cfg_reserved_fb8.reserved(31 downto 24) &lt;= avalon_mm_rmap_i.writedata(31 downto 24);</t>
  </si>
  <si>
    <t xml:space="preserve">      rmap_registers_wr_o.aeb_gen_cfg_reserved_fbc.reserved(7 downto 0) &lt;= avalon_mm_rmap_i.writedata(7 downto 0);</t>
  </si>
  <si>
    <t xml:space="preserve">      rmap_registers_wr_o.aeb_gen_cfg_reserved_fbc.reserved(15 downto 8) &lt;= avalon_mm_rmap_i.writedata(15 downto 8);</t>
  </si>
  <si>
    <t xml:space="preserve">      rmap_registers_wr_o.aeb_gen_cfg_reserved_fbc.reserved(23 downto 16) &lt;= avalon_mm_rmap_i.writedata(23 downto 16);</t>
  </si>
  <si>
    <t xml:space="preserve">      rmap_registers_wr_o.aeb_gen_cfg_reserved_fbc.reserved(31 downto 24) &lt;= avalon_mm_rmap_i.writedata(31 downto 24);</t>
  </si>
  <si>
    <t xml:space="preserve">      rmap_registers_wr_o.aeb_gen_cfg_reserved_fc0.reserved(7 downto 0) &lt;= avalon_mm_rmap_i.writedata(7 downto 0);</t>
  </si>
  <si>
    <t xml:space="preserve">      rmap_registers_wr_o.aeb_gen_cfg_reserved_fc0.reserved(15 downto 8) &lt;= avalon_mm_rmap_i.writedata(15 downto 8);</t>
  </si>
  <si>
    <t xml:space="preserve">      rmap_registers_wr_o.aeb_gen_cfg_reserved_fc0.reserved(23 downto 16) &lt;= avalon_mm_rmap_i.writedata(23 downto 16);</t>
  </si>
  <si>
    <t xml:space="preserve">      rmap_registers_wr_o.aeb_gen_cfg_reserved_fc0.reserved(31 downto 24) &lt;= avalon_mm_rmap_i.writedata(31 downto 24);</t>
  </si>
  <si>
    <t xml:space="preserve">      rmap_registers_wr_o.aeb_gen_cfg_reserved_fc4.reserved(7 downto 0) &lt;= avalon_mm_rmap_i.writedata(7 downto 0);</t>
  </si>
  <si>
    <t xml:space="preserve">      rmap_registers_wr_o.aeb_gen_cfg_reserved_fc4.reserved(15 downto 8) &lt;= avalon_mm_rmap_i.writedata(15 downto 8);</t>
  </si>
  <si>
    <t xml:space="preserve">      rmap_registers_wr_o.aeb_gen_cfg_reserved_fc4.reserved(23 downto 16) &lt;= avalon_mm_rmap_i.writedata(23 downto 16);</t>
  </si>
  <si>
    <t xml:space="preserve">      rmap_registers_wr_o.aeb_gen_cfg_reserved_fc4.reserved(31 downto 24) &lt;= avalon_mm_rmap_i.writedata(31 downto 24);</t>
  </si>
  <si>
    <t xml:space="preserve">      rmap_registers_wr_o.aeb_gen_cfg_reserved_fc8.reserved(7 downto 0) &lt;= avalon_mm_rmap_i.writedata(7 downto 0);</t>
  </si>
  <si>
    <t xml:space="preserve">      rmap_registers_wr_o.aeb_gen_cfg_reserved_fc8.reserved(15 downto 8) &lt;= avalon_mm_rmap_i.writedata(15 downto 8);</t>
  </si>
  <si>
    <t xml:space="preserve">      rmap_registers_wr_o.aeb_gen_cfg_reserved_fc8.reserved(23 downto 16) &lt;= avalon_mm_rmap_i.writedata(23 downto 16);</t>
  </si>
  <si>
    <t xml:space="preserve">      rmap_registers_wr_o.aeb_gen_cfg_reserved_fc8.reserved(31 downto 24) &lt;= avalon_mm_rmap_i.writedata(31 downto 24);</t>
  </si>
  <si>
    <t xml:space="preserve">      rmap_registers_wr_o.aeb_gen_cfg_reserved_fcc.reserved(7 downto 0) &lt;= avalon_mm_rmap_i.writedata(7 downto 0);</t>
  </si>
  <si>
    <t xml:space="preserve">      rmap_registers_wr_o.aeb_gen_cfg_reserved_fcc.reserved(15 downto 8) &lt;= avalon_mm_rmap_i.writedata(15 downto 8);</t>
  </si>
  <si>
    <t xml:space="preserve">      rmap_registers_wr_o.aeb_gen_cfg_reserved_fcc.reserved(23 downto 16) &lt;= avalon_mm_rmap_i.writedata(23 downto 16);</t>
  </si>
  <si>
    <t xml:space="preserve">      rmap_registers_wr_o.aeb_gen_cfg_reserved_fcc.reserved(31 downto 24) &lt;= avalon_mm_rmap_i.writedata(31 downto 24);</t>
  </si>
  <si>
    <t xml:space="preserve">      rmap_registers_wr_o.aeb_gen_cfg_reserved_fd0.reserved(7 downto 0) &lt;= avalon_mm_rmap_i.writedata(7 downto 0);</t>
  </si>
  <si>
    <t xml:space="preserve">      rmap_registers_wr_o.aeb_gen_cfg_reserved_fd0.reserved(15 downto 8) &lt;= avalon_mm_rmap_i.writedata(15 downto 8);</t>
  </si>
  <si>
    <t xml:space="preserve">      rmap_registers_wr_o.aeb_gen_cfg_reserved_fd0.reserved(23 downto 16) &lt;= avalon_mm_rmap_i.writedata(23 downto 16);</t>
  </si>
  <si>
    <t xml:space="preserve">      rmap_registers_wr_o.aeb_gen_cfg_reserved_fd0.reserved(31 downto 24) &lt;= avalon_mm_rmap_i.writedata(31 downto 24);</t>
  </si>
  <si>
    <t xml:space="preserve">      rmap_registers_wr_o.aeb_gen_cfg_reserved_fd4.reserved(7 downto 0) &lt;= avalon_mm_rmap_i.writedata(7 downto 0);</t>
  </si>
  <si>
    <t xml:space="preserve">      rmap_registers_wr_o.aeb_gen_cfg_reserved_fd4.reserved(15 downto 8) &lt;= avalon_mm_rmap_i.writedata(15 downto 8);</t>
  </si>
  <si>
    <t xml:space="preserve">      rmap_registers_wr_o.aeb_gen_cfg_reserved_fd4.reserved(23 downto 16) &lt;= avalon_mm_rmap_i.writedata(23 downto 16);</t>
  </si>
  <si>
    <t xml:space="preserve">      rmap_registers_wr_o.aeb_gen_cfg_reserved_fd4.reserved(31 downto 24) &lt;= avalon_mm_rmap_i.writedata(31 downto 24);</t>
  </si>
  <si>
    <t xml:space="preserve">      rmap_registers_wr_o.aeb_gen_cfg_reserved_fd8.reserved(7 downto 0) &lt;= avalon_mm_rmap_i.writedata(7 downto 0);</t>
  </si>
  <si>
    <t xml:space="preserve">      rmap_registers_wr_o.aeb_gen_cfg_reserved_fd8.reserved(15 downto 8) &lt;= avalon_mm_rmap_i.writedata(15 downto 8);</t>
  </si>
  <si>
    <t xml:space="preserve">      rmap_registers_wr_o.aeb_gen_cfg_reserved_fd8.reserved(23 downto 16) &lt;= avalon_mm_rmap_i.writedata(23 downto 16);</t>
  </si>
  <si>
    <t xml:space="preserve">      rmap_registers_wr_o.aeb_gen_cfg_reserved_fd8.reserved(31 downto 24) &lt;= avalon_mm_rmap_i.writedata(31 downto 24);</t>
  </si>
  <si>
    <t xml:space="preserve">      rmap_registers_wr_o.aeb_gen_cfg_reserved_fdc.reserved(7 downto 0) &lt;= avalon_mm_rmap_i.writedata(7 downto 0);</t>
  </si>
  <si>
    <t xml:space="preserve">      rmap_registers_wr_o.aeb_gen_cfg_reserved_fdc.reserved(15 downto 8) &lt;= avalon_mm_rmap_i.writedata(15 downto 8);</t>
  </si>
  <si>
    <t xml:space="preserve">      rmap_registers_wr_o.aeb_gen_cfg_reserved_fdc.reserved(23 downto 16) &lt;= avalon_mm_rmap_i.writedata(23 downto 16);</t>
  </si>
  <si>
    <t xml:space="preserve">      rmap_registers_wr_o.aeb_gen_cfg_reserved_fdc.reserved(31 downto 24) &lt;= avalon_mm_rmap_i.writedata(31 downto 24);</t>
  </si>
  <si>
    <t xml:space="preserve">      rmap_registers_wr_o.aeb_gen_cfg_reserved_fe0.reserved(7 downto 0) &lt;= avalon_mm_rmap_i.writedata(7 downto 0);</t>
  </si>
  <si>
    <t xml:space="preserve">      rmap_registers_wr_o.aeb_gen_cfg_reserved_fe0.reserved(15 downto 8) &lt;= avalon_mm_rmap_i.writedata(15 downto 8);</t>
  </si>
  <si>
    <t xml:space="preserve">      rmap_registers_wr_o.aeb_gen_cfg_reserved_fe0.reserved(23 downto 16) &lt;= avalon_mm_rmap_i.writedata(23 downto 16);</t>
  </si>
  <si>
    <t xml:space="preserve">      rmap_registers_wr_o.aeb_gen_cfg_reserved_fe0.reserved(31 downto 24) &lt;= avalon_mm_rmap_i.writedata(31 downto 24);</t>
  </si>
  <si>
    <t xml:space="preserve">      rmap_registers_wr_o.aeb_gen_cfg_reserved_fe4.reserved(7 downto 0) &lt;= avalon_mm_rmap_i.writedata(7 downto 0);</t>
  </si>
  <si>
    <t xml:space="preserve">      rmap_registers_wr_o.aeb_gen_cfg_reserved_fe4.reserved(15 downto 8) &lt;= avalon_mm_rmap_i.writedata(15 downto 8);</t>
  </si>
  <si>
    <t xml:space="preserve">      rmap_registers_wr_o.aeb_gen_cfg_reserved_fe4.reserved(23 downto 16) &lt;= avalon_mm_rmap_i.writedata(23 downto 16);</t>
  </si>
  <si>
    <t xml:space="preserve">      rmap_registers_wr_o.aeb_gen_cfg_reserved_fe4.reserved(31 downto 24) &lt;= avalon_mm_rmap_i.writedata(31 downto 24);</t>
  </si>
  <si>
    <t xml:space="preserve">      rmap_registers_wr_o.aeb_gen_cfg_reserved_fe8.reserved(7 downto 0) &lt;= avalon_mm_rmap_i.writedata(7 downto 0);</t>
  </si>
  <si>
    <t xml:space="preserve">      rmap_registers_wr_o.aeb_gen_cfg_reserved_fe8.reserved(15 downto 8) &lt;= avalon_mm_rmap_i.writedata(15 downto 8);</t>
  </si>
  <si>
    <t xml:space="preserve">      rmap_registers_wr_o.aeb_gen_cfg_reserved_fe8.reserved(23 downto 16) &lt;= avalon_mm_rmap_i.writedata(23 downto 16);</t>
  </si>
  <si>
    <t xml:space="preserve">      rmap_registers_wr_o.aeb_gen_cfg_reserved_fe8.reserved(31 downto 24) &lt;= avalon_mm_rmap_i.writedata(31 downto 24);</t>
  </si>
  <si>
    <t xml:space="preserve">      rmap_registers_wr_o.aeb_gen_cfg_reserved_fec.reserved(7 downto 0) &lt;= avalon_mm_rmap_i.writedata(7 downto 0);</t>
  </si>
  <si>
    <t xml:space="preserve">      rmap_registers_wr_o.aeb_gen_cfg_reserved_fec.reserved(15 downto 8) &lt;= avalon_mm_rmap_i.writedata(15 downto 8);</t>
  </si>
  <si>
    <t xml:space="preserve">      rmap_registers_wr_o.aeb_gen_cfg_reserved_fec.reserved(23 downto 16) &lt;= avalon_mm_rmap_i.writedata(23 downto 16);</t>
  </si>
  <si>
    <t xml:space="preserve">      rmap_registers_wr_o.aeb_gen_cfg_reserved_fec.reserved(31 downto 24) &lt;= avalon_mm_rmap_i.writedata(31 downto 24);</t>
  </si>
  <si>
    <t xml:space="preserve">      rmap_registers_wr_o.aeb_gen_cfg_reserved_ff0.reserved(7 downto 0) &lt;= avalon_mm_rmap_i.writedata(7 downto 0);</t>
  </si>
  <si>
    <t xml:space="preserve">      rmap_registers_wr_o.aeb_gen_cfg_reserved_ff0.reserved(15 downto 8) &lt;= avalon_mm_rmap_i.writedata(15 downto 8);</t>
  </si>
  <si>
    <t xml:space="preserve">      rmap_registers_wr_o.aeb_gen_cfg_reserved_ff0.reserved(23 downto 16) &lt;= avalon_mm_rmap_i.writedata(23 downto 16);</t>
  </si>
  <si>
    <t xml:space="preserve">      rmap_registers_wr_o.aeb_gen_cfg_reserved_ff0.reserved(31 downto 24) &lt;= avalon_mm_rmap_i.writedata(31 downto 24);</t>
  </si>
  <si>
    <t xml:space="preserve">      rmap_registers_wr_o.aeb_gen_cfg_reserved_ff4.reserved(7 downto 0) &lt;= avalon_mm_rmap_i.writedata(7 downto 0);</t>
  </si>
  <si>
    <t xml:space="preserve">      rmap_registers_wr_o.aeb_gen_cfg_reserved_ff4.reserved(15 downto 8) &lt;= avalon_mm_rmap_i.writedata(15 downto 8);</t>
  </si>
  <si>
    <t xml:space="preserve">      rmap_registers_wr_o.aeb_gen_cfg_reserved_ff4.reserved(23 downto 16) &lt;= avalon_mm_rmap_i.writedata(23 downto 16);</t>
  </si>
  <si>
    <t xml:space="preserve">      rmap_registers_wr_o.aeb_gen_cfg_reserved_ff4.reserved(31 downto 24) &lt;= avalon_mm_rmap_i.writedata(31 downto 24);</t>
  </si>
  <si>
    <t xml:space="preserve">      rmap_registers_wr_o.aeb_gen_cfg_reserved_ff8.reserved(7 downto 0) &lt;= avalon_mm_rmap_i.writedata(7 downto 0);</t>
  </si>
  <si>
    <t xml:space="preserve">      rmap_registers_wr_o.aeb_gen_cfg_reserved_ff8.reserved(15 downto 8) &lt;= avalon_mm_rmap_i.writedata(15 downto 8);</t>
  </si>
  <si>
    <t xml:space="preserve">      rmap_registers_wr_o.aeb_gen_cfg_reserved_ff8.reserved(23 downto 16) &lt;= avalon_mm_rmap_i.writedata(23 downto 16);</t>
  </si>
  <si>
    <t xml:space="preserve">      rmap_registers_wr_o.aeb_gen_cfg_reserved_ff8.reserved(31 downto 24) &lt;= avalon_mm_rmap_i.writedata(31 downto 24);</t>
  </si>
  <si>
    <t xml:space="preserve">      rmap_registers_wr_o.aeb_gen_cfg_reserved_ffc.reserved(7 downto 0) &lt;= avalon_mm_rmap_i.writedata(7 downto 0);</t>
  </si>
  <si>
    <t xml:space="preserve">      rmap_registers_wr_o.aeb_gen_cfg_reserved_ffc.reserved(15 downto 8) &lt;= avalon_mm_rmap_i.writedata(15 downto 8);</t>
  </si>
  <si>
    <t xml:space="preserve">      rmap_registers_wr_o.aeb_gen_cfg_reserved_ffc.reserved(23 downto 16) &lt;= avalon_mm_rmap_i.writedata(23 downto 16);</t>
  </si>
  <si>
    <t xml:space="preserve">      rmap_registers_wr_o.aeb_gen_cfg_reserved_ffc.reserved(31 downto 24) &lt;= avalon_mm_rmap_i.writedata(31 downto 24);</t>
  </si>
  <si>
    <t xml:space="preserve">      rmap_registers_wr_o.aeb_hk_aeb_status.aeb_status &lt;= avalon_mm_rmap_i.writedata(3 downto 0);</t>
  </si>
  <si>
    <t xml:space="preserve">      rmap_registers_wr_o.aeb_hk_aeb_status.vasp2_cfg_run &lt;= avalon_mm_rmap_i.writedata(0);</t>
  </si>
  <si>
    <t xml:space="preserve">      rmap_registers_wr_o.aeb_hk_aeb_status.vasp1_cfg_run &lt;= avalon_mm_rmap_i.writedata(0);</t>
  </si>
  <si>
    <t xml:space="preserve">      rmap_registers_wr_o.aeb_hk_aeb_status.dac_cfg_wr_run &lt;= avalon_mm_rmap_i.writedata(0);</t>
  </si>
  <si>
    <t xml:space="preserve">      rmap_registers_wr_o.aeb_hk_aeb_status.adc_cfg_rd_run &lt;= avalon_mm_rmap_i.writedata(0);</t>
  </si>
  <si>
    <t xml:space="preserve">      rmap_registers_wr_o.aeb_hk_aeb_status.adc_cfg_wr_run &lt;= avalon_mm_rmap_i.writedata(0);</t>
  </si>
  <si>
    <t xml:space="preserve">      rmap_registers_wr_o.aeb_hk_aeb_status.adc_dat_rd_run &lt;= avalon_mm_rmap_i.writedata(0);</t>
  </si>
  <si>
    <t xml:space="preserve">      rmap_registers_wr_o.aeb_hk_aeb_status.adc_error &lt;= avalon_mm_rmap_i.writedata(0);</t>
  </si>
  <si>
    <t xml:space="preserve">      rmap_registers_wr_o.aeb_hk_aeb_status.adc2_lu &lt;= avalon_mm_rmap_i.writedata(0);</t>
  </si>
  <si>
    <t xml:space="preserve">      rmap_registers_wr_o.aeb_hk_aeb_status.adc1_lu &lt;= avalon_mm_rmap_i.writedata(0);</t>
  </si>
  <si>
    <t xml:space="preserve">      rmap_registers_wr_o.aeb_hk_aeb_status.adc_dat_rd &lt;= avalon_mm_rmap_i.writedata(0);</t>
  </si>
  <si>
    <t xml:space="preserve">      rmap_registers_wr_o.aeb_hk_aeb_status.adc_cfg_rd &lt;= avalon_mm_rmap_i.writedata(0);</t>
  </si>
  <si>
    <t xml:space="preserve">      rmap_registers_wr_o.aeb_hk_aeb_status.adc_cfg_wr &lt;= avalon_mm_rmap_i.writedata(0);</t>
  </si>
  <si>
    <t xml:space="preserve">      rmap_registers_wr_o.aeb_hk_aeb_status.adc2_busy &lt;= avalon_mm_rmap_i.writedata(0);</t>
  </si>
  <si>
    <t xml:space="preserve">      rmap_registers_wr_o.aeb_hk_aeb_status.adc1_busy &lt;= avalon_mm_rmap_i.writedata(0);</t>
  </si>
  <si>
    <t xml:space="preserve">      rmap_registers_wr_o.aeb_hk_timestamp_1.timestamp_dword_1(7 downto 0) &lt;= avalon_mm_rmap_i.writedata(7 downto 0);</t>
  </si>
  <si>
    <t xml:space="preserve">      rmap_registers_wr_o.aeb_hk_timestamp_1.timestamp_dword_1(15 downto 8) &lt;= avalon_mm_rmap_i.writedata(15 downto 8);</t>
  </si>
  <si>
    <t xml:space="preserve">      rmap_registers_wr_o.aeb_hk_timestamp_1.timestamp_dword_1(23 downto 16) &lt;= avalon_mm_rmap_i.writedata(23 downto 16);</t>
  </si>
  <si>
    <t xml:space="preserve">      rmap_registers_wr_o.aeb_hk_timestamp_1.timestamp_dword_1(31 downto 24) &lt;= avalon_mm_rmap_i.writedata(31 downto 24);</t>
  </si>
  <si>
    <t xml:space="preserve">      rmap_registers_wr_o.aeb_hk_timestamp_2.timestamp_dword_0(7 downto 0) &lt;= avalon_mm_rmap_i.writedata(7 downto 0);</t>
  </si>
  <si>
    <t xml:space="preserve">      rmap_registers_wr_o.aeb_hk_timestamp_2.timestamp_dword_0(15 downto 8) &lt;= avalon_mm_rmap_i.writedata(15 downto 8);</t>
  </si>
  <si>
    <t xml:space="preserve">      rmap_registers_wr_o.aeb_hk_timestamp_2.timestamp_dword_0(23 downto 16) &lt;= avalon_mm_rmap_i.writedata(23 downto 16);</t>
  </si>
  <si>
    <t xml:space="preserve">      rmap_registers_wr_o.aeb_hk_timestamp_2.timestamp_dword_0(31 downto 24) &lt;= avalon_mm_rmap_i.writedata(31 downto 24);</t>
  </si>
  <si>
    <t xml:space="preserve">      rmap_registers_wr_o.aeb_hk_adc_rd_data_t_vasp_l.ovf &lt;= avalon_mm_rmap_i.writedata(0);</t>
  </si>
  <si>
    <t xml:space="preserve">      rmap_registers_wr_o.aeb_hk_adc_rd_data_t_vasp_l.supply &lt;= avalon_mm_rmap_i.writedata(0);</t>
  </si>
  <si>
    <t xml:space="preserve">      rmap_registers_wr_o.aeb_hk_adc_rd_data_t_vasp_l.chid &lt;= avalon_mm_rmap_i.writedata(4 downto 0);</t>
  </si>
  <si>
    <t xml:space="preserve">      rmap_registers_wr_o.aeb_hk_adc_rd_data_t_vasp_l.adc_chx_data_t_vasp_l(7 downto 0) &lt;= avalon_mm_rmap_i.writedata(7 downto 0);</t>
  </si>
  <si>
    <t xml:space="preserve">      rmap_registers_wr_o.aeb_hk_adc_rd_data_t_vasp_l.adc_chx_data_t_vasp_l(15 downto 8) &lt;= avalon_mm_rmap_i.writedata(15 downto 8);</t>
  </si>
  <si>
    <t xml:space="preserve">      rmap_registers_wr_o.aeb_hk_adc_rd_data_t_vasp_l.adc_chx_data_t_vasp_l(23 downto 16) &lt;= avalon_mm_rmap_i.writedata(23 downto 16);</t>
  </si>
  <si>
    <t xml:space="preserve">      rmap_registers_wr_o.aeb_hk_adc_rd_data_t_vasp_r.ovf &lt;= avalon_mm_rmap_i.writedata(0);</t>
  </si>
  <si>
    <t xml:space="preserve">      rmap_registers_wr_o.aeb_hk_adc_rd_data_t_vasp_r.supply &lt;= avalon_mm_rmap_i.writedata(0);</t>
  </si>
  <si>
    <t xml:space="preserve">      rmap_registers_wr_o.aeb_hk_adc_rd_data_t_vasp_r.chid &lt;= avalon_mm_rmap_i.writedata(4 downto 0);</t>
  </si>
  <si>
    <t xml:space="preserve">      rmap_registers_wr_o.aeb_hk_adc_rd_data_t_vasp_r.adc_chx_data_t_vasp_r(7 downto 0) &lt;= avalon_mm_rmap_i.writedata(7 downto 0);</t>
  </si>
  <si>
    <t xml:space="preserve">      rmap_registers_wr_o.aeb_hk_adc_rd_data_t_vasp_r.adc_chx_data_t_vasp_r(15 downto 8) &lt;= avalon_mm_rmap_i.writedata(15 downto 8);</t>
  </si>
  <si>
    <t xml:space="preserve">      rmap_registers_wr_o.aeb_hk_adc_rd_data_t_vasp_r.adc_chx_data_t_vasp_r(23 downto 16) &lt;= avalon_mm_rmap_i.writedata(23 downto 16);</t>
  </si>
  <si>
    <t xml:space="preserve">      rmap_registers_wr_o.aeb_hk_adc_rd_data_t_bias_p.ovf &lt;= avalon_mm_rmap_i.writedata(0);</t>
  </si>
  <si>
    <t xml:space="preserve">      rmap_registers_wr_o.aeb_hk_adc_rd_data_t_bias_p.supply &lt;= avalon_mm_rmap_i.writedata(0);</t>
  </si>
  <si>
    <t xml:space="preserve">      rmap_registers_wr_o.aeb_hk_adc_rd_data_t_bias_p.chid &lt;= avalon_mm_rmap_i.writedata(4 downto 0);</t>
  </si>
  <si>
    <t xml:space="preserve">      rmap_registers_wr_o.aeb_hk_adc_rd_data_t_bias_p.adc_chx_data_t_bias_p(7 downto 0) &lt;= avalon_mm_rmap_i.writedata(7 downto 0);</t>
  </si>
  <si>
    <t xml:space="preserve">      rmap_registers_wr_o.aeb_hk_adc_rd_data_t_bias_p.adc_chx_data_t_bias_p(15 downto 8) &lt;= avalon_mm_rmap_i.writedata(15 downto 8);</t>
  </si>
  <si>
    <t xml:space="preserve">      rmap_registers_wr_o.aeb_hk_adc_rd_data_t_bias_p.adc_chx_data_t_bias_p(23 downto 16) &lt;= avalon_mm_rmap_i.writedata(23 downto 16);</t>
  </si>
  <si>
    <t xml:space="preserve">      rmap_registers_wr_o.aeb_hk_adc_rd_data_t_hk_p.ovf &lt;= avalon_mm_rmap_i.writedata(0);</t>
  </si>
  <si>
    <t xml:space="preserve">      rmap_registers_wr_o.aeb_hk_adc_rd_data_t_hk_p.supply &lt;= avalon_mm_rmap_i.writedata(0);</t>
  </si>
  <si>
    <t xml:space="preserve">      rmap_registers_wr_o.aeb_hk_adc_rd_data_t_hk_p.chid &lt;= avalon_mm_rmap_i.writedata(4 downto 0);</t>
  </si>
  <si>
    <t xml:space="preserve">      rmap_registers_wr_o.aeb_hk_adc_rd_data_t_hk_p.adc_chx_data_t_hk_p(7 downto 0) &lt;= avalon_mm_rmap_i.writedata(7 downto 0);</t>
  </si>
  <si>
    <t xml:space="preserve">      rmap_registers_wr_o.aeb_hk_adc_rd_data_t_hk_p.adc_chx_data_t_hk_p(15 downto 8) &lt;= avalon_mm_rmap_i.writedata(15 downto 8);</t>
  </si>
  <si>
    <t xml:space="preserve">      rmap_registers_wr_o.aeb_hk_adc_rd_data_t_hk_p.adc_chx_data_t_hk_p(23 downto 16) &lt;= avalon_mm_rmap_i.writedata(23 downto 16);</t>
  </si>
  <si>
    <t xml:space="preserve">      rmap_registers_wr_o.aeb_hk_adc_rd_data_t_tou_1_p.ovf &lt;= avalon_mm_rmap_i.writedata(0);</t>
  </si>
  <si>
    <t xml:space="preserve">      rmap_registers_wr_o.aeb_hk_adc_rd_data_t_tou_1_p.supply &lt;= avalon_mm_rmap_i.writedata(0);</t>
  </si>
  <si>
    <t xml:space="preserve">      rmap_registers_wr_o.aeb_hk_adc_rd_data_t_tou_1_p.chid &lt;= avalon_mm_rmap_i.writedata(4 downto 0);</t>
  </si>
  <si>
    <t xml:space="preserve">      rmap_registers_wr_o.aeb_hk_adc_rd_data_t_tou_1_p.adc_chx_data_t_tou_1_p(7 downto 0) &lt;= avalon_mm_rmap_i.writedata(7 downto 0);</t>
  </si>
  <si>
    <t xml:space="preserve">      rmap_registers_wr_o.aeb_hk_adc_rd_data_t_tou_1_p.adc_chx_data_t_tou_1_p(15 downto 8) &lt;= avalon_mm_rmap_i.writedata(15 downto 8);</t>
  </si>
  <si>
    <t xml:space="preserve">      rmap_registers_wr_o.aeb_hk_adc_rd_data_t_tou_1_p.adc_chx_data_t_tou_1_p(23 downto 16) &lt;= avalon_mm_rmap_i.writedata(23 downto 16);</t>
  </si>
  <si>
    <t xml:space="preserve">      rmap_registers_wr_o.aeb_hk_adc_rd_data_t_tou_2_p.ovf &lt;= avalon_mm_rmap_i.writedata(0);</t>
  </si>
  <si>
    <t xml:space="preserve">      rmap_registers_wr_o.aeb_hk_adc_rd_data_t_tou_2_p.supply &lt;= avalon_mm_rmap_i.writedata(0);</t>
  </si>
  <si>
    <t xml:space="preserve">      rmap_registers_wr_o.aeb_hk_adc_rd_data_t_tou_2_p.chid &lt;= avalon_mm_rmap_i.writedata(4 downto 0);</t>
  </si>
  <si>
    <t xml:space="preserve">      rmap_registers_wr_o.aeb_hk_adc_rd_data_t_tou_2_p.adc_chx_data_t_tou_2_p(7 downto 0) &lt;= avalon_mm_rmap_i.writedata(7 downto 0);</t>
  </si>
  <si>
    <t xml:space="preserve">      rmap_registers_wr_o.aeb_hk_adc_rd_data_t_tou_2_p.adc_chx_data_t_tou_2_p(15 downto 8) &lt;= avalon_mm_rmap_i.writedata(15 downto 8);</t>
  </si>
  <si>
    <t xml:space="preserve">      rmap_registers_wr_o.aeb_hk_adc_rd_data_t_tou_2_p.adc_chx_data_t_tou_2_p(23 downto 16) &lt;= avalon_mm_rmap_i.writedata(23 downto 16);</t>
  </si>
  <si>
    <t xml:space="preserve">      rmap_registers_wr_o.aeb_hk_adc_rd_data_hk_vode.ovf &lt;= avalon_mm_rmap_i.writedata(0);</t>
  </si>
  <si>
    <t xml:space="preserve">      rmap_registers_wr_o.aeb_hk_adc_rd_data_hk_vode.supply &lt;= avalon_mm_rmap_i.writedata(0);</t>
  </si>
  <si>
    <t xml:space="preserve">      rmap_registers_wr_o.aeb_hk_adc_rd_data_hk_vode.chid &lt;= avalon_mm_rmap_i.writedata(4 downto 0);</t>
  </si>
  <si>
    <t xml:space="preserve">      rmap_registers_wr_o.aeb_hk_adc_rd_data_hk_vode.adc_chx_data_hk_vode(7 downto 0) &lt;= avalon_mm_rmap_i.writedata(7 downto 0);</t>
  </si>
  <si>
    <t xml:space="preserve">      rmap_registers_wr_o.aeb_hk_adc_rd_data_hk_vode.adc_chx_data_hk_vode(15 downto 8) &lt;= avalon_mm_rmap_i.writedata(15 downto 8);</t>
  </si>
  <si>
    <t xml:space="preserve">      rmap_registers_wr_o.aeb_hk_adc_rd_data_hk_vode.adc_chx_data_hk_vode(23 downto 16) &lt;= avalon_mm_rmap_i.writedata(23 downto 16);</t>
  </si>
  <si>
    <t xml:space="preserve">      rmap_registers_wr_o.aeb_hk_adc_rd_data_hk_vodf.ovf &lt;= avalon_mm_rmap_i.writedata(0);</t>
  </si>
  <si>
    <t xml:space="preserve">      rmap_registers_wr_o.aeb_hk_adc_rd_data_hk_vodf.supply &lt;= avalon_mm_rmap_i.writedata(0);</t>
  </si>
  <si>
    <t xml:space="preserve">      rmap_registers_wr_o.aeb_hk_adc_rd_data_hk_vodf.chid &lt;= avalon_mm_rmap_i.writedata(4 downto 0);</t>
  </si>
  <si>
    <t xml:space="preserve">      rmap_registers_wr_o.aeb_hk_adc_rd_data_hk_vodf.adc_chx_data_hk_vodf(7 downto 0) &lt;= avalon_mm_rmap_i.writedata(7 downto 0);</t>
  </si>
  <si>
    <t xml:space="preserve">      rmap_registers_wr_o.aeb_hk_adc_rd_data_hk_vodf.adc_chx_data_hk_vodf(15 downto 8) &lt;= avalon_mm_rmap_i.writedata(15 downto 8);</t>
  </si>
  <si>
    <t xml:space="preserve">      rmap_registers_wr_o.aeb_hk_adc_rd_data_hk_vodf.adc_chx_data_hk_vodf(23 downto 16) &lt;= avalon_mm_rmap_i.writedata(23 downto 16);</t>
  </si>
  <si>
    <t xml:space="preserve">      rmap_registers_wr_o.aeb_hk_adc_rd_data_hk_vrd.ovf &lt;= avalon_mm_rmap_i.writedata(0);</t>
  </si>
  <si>
    <t xml:space="preserve">      rmap_registers_wr_o.aeb_hk_adc_rd_data_hk_vrd.supply &lt;= avalon_mm_rmap_i.writedata(0);</t>
  </si>
  <si>
    <t xml:space="preserve">      rmap_registers_wr_o.aeb_hk_adc_rd_data_hk_vrd.chid &lt;= avalon_mm_rmap_i.writedata(4 downto 0);</t>
  </si>
  <si>
    <t xml:space="preserve">      rmap_registers_wr_o.aeb_hk_adc_rd_data_hk_vrd.adc_chx_data_hk_vrd(7 downto 0) &lt;= avalon_mm_rmap_i.writedata(7 downto 0);</t>
  </si>
  <si>
    <t xml:space="preserve">      rmap_registers_wr_o.aeb_hk_adc_rd_data_hk_vrd.adc_chx_data_hk_vrd(15 downto 8) &lt;= avalon_mm_rmap_i.writedata(15 downto 8);</t>
  </si>
  <si>
    <t xml:space="preserve">      rmap_registers_wr_o.aeb_hk_adc_rd_data_hk_vrd.adc_chx_data_hk_vrd(23 downto 16) &lt;= avalon_mm_rmap_i.writedata(23 downto 16);</t>
  </si>
  <si>
    <t xml:space="preserve">      rmap_registers_wr_o.aeb_hk_adc_rd_data_hk_vog.ovf &lt;= avalon_mm_rmap_i.writedata(0);</t>
  </si>
  <si>
    <t xml:space="preserve">      rmap_registers_wr_o.aeb_hk_adc_rd_data_hk_vog.supply &lt;= avalon_mm_rmap_i.writedata(0);</t>
  </si>
  <si>
    <t xml:space="preserve">      rmap_registers_wr_o.aeb_hk_adc_rd_data_hk_vog.chid &lt;= avalon_mm_rmap_i.writedata(4 downto 0);</t>
  </si>
  <si>
    <t xml:space="preserve">      rmap_registers_wr_o.aeb_hk_adc_rd_data_hk_vog.adc_chx_data_hk_vog(7 downto 0) &lt;= avalon_mm_rmap_i.writedata(7 downto 0);</t>
  </si>
  <si>
    <t xml:space="preserve">      rmap_registers_wr_o.aeb_hk_adc_rd_data_hk_vog.adc_chx_data_hk_vog(15 downto 8) &lt;= avalon_mm_rmap_i.writedata(15 downto 8);</t>
  </si>
  <si>
    <t xml:space="preserve">      rmap_registers_wr_o.aeb_hk_adc_rd_data_hk_vog.adc_chx_data_hk_vog(23 downto 16) &lt;= avalon_mm_rmap_i.writedata(23 downto 16);</t>
  </si>
  <si>
    <t xml:space="preserve">      rmap_registers_wr_o.aeb_hk_adc_rd_data_t_ccd.ovf &lt;= avalon_mm_rmap_i.writedata(0);</t>
  </si>
  <si>
    <t xml:space="preserve">      rmap_registers_wr_o.aeb_hk_adc_rd_data_t_ccd.supply &lt;= avalon_mm_rmap_i.writedata(0);</t>
  </si>
  <si>
    <t xml:space="preserve">      rmap_registers_wr_o.aeb_hk_adc_rd_data_t_ccd.chid &lt;= avalon_mm_rmap_i.writedata(4 downto 0);</t>
  </si>
  <si>
    <t xml:space="preserve">      rmap_registers_wr_o.aeb_hk_adc_rd_data_t_ccd.adc_chx_data_t_ccd(7 downto 0) &lt;= avalon_mm_rmap_i.writedata(7 downto 0);</t>
  </si>
  <si>
    <t xml:space="preserve">      rmap_registers_wr_o.aeb_hk_adc_rd_data_t_ccd.adc_chx_data_t_ccd(15 downto 8) &lt;= avalon_mm_rmap_i.writedata(15 downto 8);</t>
  </si>
  <si>
    <t xml:space="preserve">      rmap_registers_wr_o.aeb_hk_adc_rd_data_t_ccd.adc_chx_data_t_ccd(23 downto 16) &lt;= avalon_mm_rmap_i.writedata(23 downto 16);</t>
  </si>
  <si>
    <t xml:space="preserve">      rmap_registers_wr_o.aeb_hk_adc_rd_data_t_ref1k_mea.ovf &lt;= avalon_mm_rmap_i.writedata(0);</t>
  </si>
  <si>
    <t xml:space="preserve">      rmap_registers_wr_o.aeb_hk_adc_rd_data_t_ref1k_mea.supply &lt;= avalon_mm_rmap_i.writedata(0);</t>
  </si>
  <si>
    <t xml:space="preserve">      rmap_registers_wr_o.aeb_hk_adc_rd_data_t_ref1k_mea.chid &lt;= avalon_mm_rmap_i.writedata(4 downto 0);</t>
  </si>
  <si>
    <t xml:space="preserve">      rmap_registers_wr_o.aeb_hk_adc_rd_data_t_ref1k_mea.adc_chx_data_t_ref1k_mea(7 downto 0) &lt;= avalon_mm_rmap_i.writedata(7 downto 0);</t>
  </si>
  <si>
    <t xml:space="preserve">      rmap_registers_wr_o.aeb_hk_adc_rd_data_t_ref1k_mea.adc_chx_data_t_ref1k_mea(15 downto 8) &lt;= avalon_mm_rmap_i.writedata(15 downto 8);</t>
  </si>
  <si>
    <t xml:space="preserve">      rmap_registers_wr_o.aeb_hk_adc_rd_data_t_ref1k_mea.adc_chx_data_t_ref1k_mea(23 downto 16) &lt;= avalon_mm_rmap_i.writedata(23 downto 16);</t>
  </si>
  <si>
    <t xml:space="preserve">      rmap_registers_wr_o.aeb_hk_adc_rd_data_t_ref649r_mea.ovf &lt;= avalon_mm_rmap_i.writedata(0);</t>
  </si>
  <si>
    <t xml:space="preserve">      rmap_registers_wr_o.aeb_hk_adc_rd_data_t_ref649r_mea.supply &lt;= avalon_mm_rmap_i.writedata(0);</t>
  </si>
  <si>
    <t xml:space="preserve">      rmap_registers_wr_o.aeb_hk_adc_rd_data_t_ref649r_mea.chid &lt;= avalon_mm_rmap_i.writedata(4 downto 0);</t>
  </si>
  <si>
    <t xml:space="preserve">      rmap_registers_wr_o.aeb_hk_adc_rd_data_t_ref649r_mea.adc_chx_data_t_ref649r_mea(7 downto 0) &lt;= avalon_mm_rmap_i.writedata(7 downto 0);</t>
  </si>
  <si>
    <t xml:space="preserve">      rmap_registers_wr_o.aeb_hk_adc_rd_data_t_ref649r_mea.adc_chx_data_t_ref649r_mea(15 downto 8) &lt;= avalon_mm_rmap_i.writedata(15 downto 8);</t>
  </si>
  <si>
    <t xml:space="preserve">      rmap_registers_wr_o.aeb_hk_adc_rd_data_t_ref649r_mea.adc_chx_data_t_ref649r_mea(23 downto 16) &lt;= avalon_mm_rmap_i.writedata(23 downto 16);</t>
  </si>
  <si>
    <t xml:space="preserve">      rmap_registers_wr_o.aeb_hk_adc_rd_data_hk_ana_n5v.ovf &lt;= avalon_mm_rmap_i.writedata(0);</t>
  </si>
  <si>
    <t xml:space="preserve">      rmap_registers_wr_o.aeb_hk_adc_rd_data_hk_ana_n5v.supply &lt;= avalon_mm_rmap_i.writedata(0);</t>
  </si>
  <si>
    <t xml:space="preserve">      rmap_registers_wr_o.aeb_hk_adc_rd_data_hk_ana_n5v.chid &lt;= avalon_mm_rmap_i.writedata(4 downto 0);</t>
  </si>
  <si>
    <t xml:space="preserve">      rmap_registers_wr_o.aeb_hk_adc_rd_data_hk_ana_n5v.adc_chx_data_hk_ana_n5v(7 downto 0) &lt;= avalon_mm_rmap_i.writedata(7 downto 0);</t>
  </si>
  <si>
    <t xml:space="preserve">      rmap_registers_wr_o.aeb_hk_adc_rd_data_hk_ana_n5v.adc_chx_data_hk_ana_n5v(15 downto 8) &lt;= avalon_mm_rmap_i.writedata(15 downto 8);</t>
  </si>
  <si>
    <t xml:space="preserve">      rmap_registers_wr_o.aeb_hk_adc_rd_data_hk_ana_n5v.adc_chx_data_hk_ana_n5v(23 downto 16) &lt;= avalon_mm_rmap_i.writedata(23 downto 16);</t>
  </si>
  <si>
    <t xml:space="preserve">      rmap_registers_wr_o.aeb_hk_adc_rd_data_s_ref.ovf &lt;= avalon_mm_rmap_i.writedata(0);</t>
  </si>
  <si>
    <t xml:space="preserve">      rmap_registers_wr_o.aeb_hk_adc_rd_data_s_ref.supply &lt;= avalon_mm_rmap_i.writedata(0);</t>
  </si>
  <si>
    <t xml:space="preserve">      rmap_registers_wr_o.aeb_hk_adc_rd_data_s_ref.chid &lt;= avalon_mm_rmap_i.writedata(4 downto 0);</t>
  </si>
  <si>
    <t xml:space="preserve">      rmap_registers_wr_o.aeb_hk_adc_rd_data_s_ref.adc_chx_data_s_ref(7 downto 0) &lt;= avalon_mm_rmap_i.writedata(7 downto 0);</t>
  </si>
  <si>
    <t xml:space="preserve">      rmap_registers_wr_o.aeb_hk_adc_rd_data_s_ref.adc_chx_data_s_ref(15 downto 8) &lt;= avalon_mm_rmap_i.writedata(15 downto 8);</t>
  </si>
  <si>
    <t xml:space="preserve">      rmap_registers_wr_o.aeb_hk_adc_rd_data_s_ref.adc_chx_data_s_ref(23 downto 16) &lt;= avalon_mm_rmap_i.writedata(23 downto 16);</t>
  </si>
  <si>
    <t xml:space="preserve">      rmap_registers_wr_o.aeb_hk_adc_rd_data_hk_ccd_p31v.ovf &lt;= avalon_mm_rmap_i.writedata(0);</t>
  </si>
  <si>
    <t xml:space="preserve">      rmap_registers_wr_o.aeb_hk_adc_rd_data_hk_ccd_p31v.supply &lt;= avalon_mm_rmap_i.writedata(0);</t>
  </si>
  <si>
    <t xml:space="preserve">      rmap_registers_wr_o.aeb_hk_adc_rd_data_hk_ccd_p31v.chid &lt;= avalon_mm_rmap_i.writedata(4 downto 0);</t>
  </si>
  <si>
    <t xml:space="preserve">      rmap_registers_wr_o.aeb_hk_adc_rd_data_hk_ccd_p31v.adc_chx_data_hk_ccd_p31v(7 downto 0) &lt;= avalon_mm_rmap_i.writedata(7 downto 0);</t>
  </si>
  <si>
    <t xml:space="preserve">      rmap_registers_wr_o.aeb_hk_adc_rd_data_hk_ccd_p31v.adc_chx_data_hk_ccd_p31v(15 downto 8) &lt;= avalon_mm_rmap_i.writedata(15 downto 8);</t>
  </si>
  <si>
    <t xml:space="preserve">      rmap_registers_wr_o.aeb_hk_adc_rd_data_hk_ccd_p31v.adc_chx_data_hk_ccd_p31v(23 downto 16) &lt;= avalon_mm_rmap_i.writedata(23 downto 16);</t>
  </si>
  <si>
    <t xml:space="preserve">      rmap_registers_wr_o.aeb_hk_adc_rd_data_hk_clk_p15v.ovf &lt;= avalon_mm_rmap_i.writedata(0);</t>
  </si>
  <si>
    <t xml:space="preserve">      rmap_registers_wr_o.aeb_hk_adc_rd_data_hk_clk_p15v.supply &lt;= avalon_mm_rmap_i.writedata(0);</t>
  </si>
  <si>
    <t xml:space="preserve">      rmap_registers_wr_o.aeb_hk_adc_rd_data_hk_clk_p15v.chid &lt;= avalon_mm_rmap_i.writedata(4 downto 0);</t>
  </si>
  <si>
    <t xml:space="preserve">      rmap_registers_wr_o.aeb_hk_adc_rd_data_hk_clk_p15v.adc_chx_data_hk_clk_p15v(7 downto 0) &lt;= avalon_mm_rmap_i.writedata(7 downto 0);</t>
  </si>
  <si>
    <t xml:space="preserve">      rmap_registers_wr_o.aeb_hk_adc_rd_data_hk_clk_p15v.adc_chx_data_hk_clk_p15v(15 downto 8) &lt;= avalon_mm_rmap_i.writedata(15 downto 8);</t>
  </si>
  <si>
    <t xml:space="preserve">      rmap_registers_wr_o.aeb_hk_adc_rd_data_hk_clk_p15v.adc_chx_data_hk_clk_p15v(23 downto 16) &lt;= avalon_mm_rmap_i.writedata(23 downto 16);</t>
  </si>
  <si>
    <t xml:space="preserve">      rmap_registers_wr_o.aeb_hk_adc_rd_data_hk_ana_p5v.ovf &lt;= avalon_mm_rmap_i.writedata(0);</t>
  </si>
  <si>
    <t xml:space="preserve">      rmap_registers_wr_o.aeb_hk_adc_rd_data_hk_ana_p5v.supply &lt;= avalon_mm_rmap_i.writedata(0);</t>
  </si>
  <si>
    <t xml:space="preserve">      rmap_registers_wr_o.aeb_hk_adc_rd_data_hk_ana_p5v.chid &lt;= avalon_mm_rmap_i.writedata(4 downto 0);</t>
  </si>
  <si>
    <t xml:space="preserve">      rmap_registers_wr_o.aeb_hk_adc_rd_data_hk_ana_p5v.adc_chx_data_hk_ana_p5v(7 downto 0) &lt;= avalon_mm_rmap_i.writedata(7 downto 0);</t>
  </si>
  <si>
    <t xml:space="preserve">      rmap_registers_wr_o.aeb_hk_adc_rd_data_hk_ana_p5v.adc_chx_data_hk_ana_p5v(15 downto 8) &lt;= avalon_mm_rmap_i.writedata(15 downto 8);</t>
  </si>
  <si>
    <t xml:space="preserve">      rmap_registers_wr_o.aeb_hk_adc_rd_data_hk_ana_p5v.adc_chx_data_hk_ana_p5v(23 downto 16) &lt;= avalon_mm_rmap_i.writedata(23 downto 16);</t>
  </si>
  <si>
    <t xml:space="preserve">      rmap_registers_wr_o.aeb_hk_adc_rd_data_hk_ana_p3v3.ovf &lt;= avalon_mm_rmap_i.writedata(0);</t>
  </si>
  <si>
    <t xml:space="preserve">      rmap_registers_wr_o.aeb_hk_adc_rd_data_hk_ana_p3v3.supply &lt;= avalon_mm_rmap_i.writedata(0);</t>
  </si>
  <si>
    <t xml:space="preserve">      rmap_registers_wr_o.aeb_hk_adc_rd_data_hk_ana_p3v3.chid &lt;= avalon_mm_rmap_i.writedata(4 downto 0);</t>
  </si>
  <si>
    <t xml:space="preserve">      rmap_registers_wr_o.aeb_hk_adc_rd_data_hk_ana_p3v3.adc_chx_data_hk_ana_p3v3(7 downto 0) &lt;= avalon_mm_rmap_i.writedata(7 downto 0);</t>
  </si>
  <si>
    <t xml:space="preserve">      rmap_registers_wr_o.aeb_hk_adc_rd_data_hk_ana_p3v3.adc_chx_data_hk_ana_p3v3(15 downto 8) &lt;= avalon_mm_rmap_i.writedata(15 downto 8);</t>
  </si>
  <si>
    <t xml:space="preserve">      rmap_registers_wr_o.aeb_hk_adc_rd_data_hk_ana_p3v3.adc_chx_data_hk_ana_p3v3(23 downto 16) &lt;= avalon_mm_rmap_i.writedata(23 downto 16);</t>
  </si>
  <si>
    <t xml:space="preserve">      rmap_registers_wr_o.aeb_hk_adc_rd_data_hk_dig_p3v3.ovf &lt;= avalon_mm_rmap_i.writedata(0);</t>
  </si>
  <si>
    <t xml:space="preserve">      rmap_registers_wr_o.aeb_hk_adc_rd_data_hk_dig_p3v3.supply &lt;= avalon_mm_rmap_i.writedata(0);</t>
  </si>
  <si>
    <t xml:space="preserve">      rmap_registers_wr_o.aeb_hk_adc_rd_data_hk_dig_p3v3.chid &lt;= avalon_mm_rmap_i.writedata(4 downto 0);</t>
  </si>
  <si>
    <t xml:space="preserve">      rmap_registers_wr_o.aeb_hk_adc_rd_data_hk_dig_p3v3.adc_chx_data_hk_dig_p3v3(7 downto 0) &lt;= avalon_mm_rmap_i.writedata(7 downto 0);</t>
  </si>
  <si>
    <t xml:space="preserve">      rmap_registers_wr_o.aeb_hk_adc_rd_data_hk_dig_p3v3.adc_chx_data_hk_dig_p3v3(15 downto 8) &lt;= avalon_mm_rmap_i.writedata(15 downto 8);</t>
  </si>
  <si>
    <t xml:space="preserve">      rmap_registers_wr_o.aeb_hk_adc_rd_data_hk_dig_p3v3.adc_chx_data_hk_dig_p3v3(23 downto 16) &lt;= avalon_mm_rmap_i.writedata(23 downto 16);</t>
  </si>
  <si>
    <t xml:space="preserve">      rmap_registers_wr_o.aeb_hk_adc_rd_data_adc_ref_buf_2.ovf &lt;= avalon_mm_rmap_i.writedata(0);</t>
  </si>
  <si>
    <t xml:space="preserve">      rmap_registers_wr_o.aeb_hk_adc_rd_data_adc_ref_buf_2.supply &lt;= avalon_mm_rmap_i.writedata(0);</t>
  </si>
  <si>
    <t xml:space="preserve">      rmap_registers_wr_o.aeb_hk_adc_rd_data_adc_ref_buf_2.chid &lt;= avalon_mm_rmap_i.writedata(4 downto 0);</t>
  </si>
  <si>
    <t xml:space="preserve">      rmap_registers_wr_o.aeb_hk_adc_rd_data_adc_ref_buf_2.adc_chx_data_adc_ref_buf_2 &lt;= avalon_mm_rmap_i.writedata(11 downto 8);</t>
  </si>
  <si>
    <t xml:space="preserve">      rmap_registers_wr_o.aeb_hk_adc1_rd_config_1.spirst &lt;= avalon_mm_rmap_i.writedata(0);</t>
  </si>
  <si>
    <t xml:space="preserve">      rmap_registers_wr_o.aeb_hk_adc1_rd_config_1.muxmod &lt;= avalon_mm_rmap_i.writedata(0);</t>
  </si>
  <si>
    <t xml:space="preserve">      rmap_registers_wr_o.aeb_hk_adc1_rd_config_1.bypas &lt;= avalon_mm_rmap_i.writedata(0);</t>
  </si>
  <si>
    <t xml:space="preserve">      rmap_registers_wr_o.aeb_hk_adc1_rd_config_1.clkenb &lt;= avalon_mm_rmap_i.writedata(0);</t>
  </si>
  <si>
    <t xml:space="preserve">      rmap_registers_wr_o.aeb_hk_adc1_rd_config_1.chop &lt;= avalon_mm_rmap_i.writedata(0);</t>
  </si>
  <si>
    <t xml:space="preserve">      rmap_registers_wr_o.aeb_hk_adc1_rd_config_1.stat &lt;= avalon_mm_rmap_i.writedata(0);</t>
  </si>
  <si>
    <t xml:space="preserve">      rmap_registers_wr_o.aeb_hk_adc1_rd_config_1.idlmod &lt;= avalon_mm_rmap_i.writedata(0);</t>
  </si>
  <si>
    <t xml:space="preserve">      rmap_registers_wr_o.aeb_hk_adc1_rd_config_1.dly2 &lt;= avalon_mm_rmap_i.writedata(0);</t>
  </si>
  <si>
    <t xml:space="preserve">      rmap_registers_wr_o.aeb_hk_adc1_rd_config_1.dly1 &lt;= avalon_mm_rmap_i.writedata(0);</t>
  </si>
  <si>
    <t xml:space="preserve">      rmap_registers_wr_o.aeb_hk_adc1_rd_config_1.dly0 &lt;= avalon_mm_rmap_i.writedata(0);</t>
  </si>
  <si>
    <t xml:space="preserve">      rmap_registers_wr_o.aeb_hk_adc1_rd_config_1.sbcs1 &lt;= avalon_mm_rmap_i.writedata(0);</t>
  </si>
  <si>
    <t xml:space="preserve">      rmap_registers_wr_o.aeb_hk_adc1_rd_config_1.sbcs0 &lt;= avalon_mm_rmap_i.writedata(0);</t>
  </si>
  <si>
    <t xml:space="preserve">      rmap_registers_wr_o.aeb_hk_adc1_rd_config_1.drate1 &lt;= avalon_mm_rmap_i.writedata(0);</t>
  </si>
  <si>
    <t xml:space="preserve">      rmap_registers_wr_o.aeb_hk_adc1_rd_config_1.drate0 &lt;= avalon_mm_rmap_i.writedata(0);</t>
  </si>
  <si>
    <t xml:space="preserve">      rmap_registers_wr_o.aeb_hk_adc1_rd_config_1.ainp3 &lt;= avalon_mm_rmap_i.writedata(0);</t>
  </si>
  <si>
    <t xml:space="preserve">      rmap_registers_wr_o.aeb_hk_adc1_rd_config_1.ainp2 &lt;= avalon_mm_rmap_i.writedata(0);</t>
  </si>
  <si>
    <t xml:space="preserve">      rmap_registers_wr_o.aeb_hk_adc1_rd_config_1.ainp1 &lt;= avalon_mm_rmap_i.writedata(0);</t>
  </si>
  <si>
    <t xml:space="preserve">      rmap_registers_wr_o.aeb_hk_adc1_rd_config_1.ainp0 &lt;= avalon_mm_rmap_i.writedata(0);</t>
  </si>
  <si>
    <t xml:space="preserve">      rmap_registers_wr_o.aeb_hk_adc1_rd_config_1.ainn3 &lt;= avalon_mm_rmap_i.writedata(0);</t>
  </si>
  <si>
    <t xml:space="preserve">      rmap_registers_wr_o.aeb_hk_adc1_rd_config_1.ainn2 &lt;= avalon_mm_rmap_i.writedata(0);</t>
  </si>
  <si>
    <t xml:space="preserve">      rmap_registers_wr_o.aeb_hk_adc1_rd_config_1.ainn1 &lt;= avalon_mm_rmap_i.writedata(0);</t>
  </si>
  <si>
    <t xml:space="preserve">      rmap_registers_wr_o.aeb_hk_adc1_rd_config_1.ainn0 &lt;= avalon_mm_rmap_i.writedata(0);</t>
  </si>
  <si>
    <t xml:space="preserve">      rmap_registers_wr_o.aeb_hk_adc1_rd_config_1.diff7 &lt;= avalon_mm_rmap_i.writedata(0);</t>
  </si>
  <si>
    <t xml:space="preserve">      rmap_registers_wr_o.aeb_hk_adc1_rd_config_1.diff6 &lt;= avalon_mm_rmap_i.writedata(0);</t>
  </si>
  <si>
    <t xml:space="preserve">      rmap_registers_wr_o.aeb_hk_adc1_rd_config_1.diff5 &lt;= avalon_mm_rmap_i.writedata(0);</t>
  </si>
  <si>
    <t xml:space="preserve">      rmap_registers_wr_o.aeb_hk_adc1_rd_config_1.diff4 &lt;= avalon_mm_rmap_i.writedata(0);</t>
  </si>
  <si>
    <t xml:space="preserve">      rmap_registers_wr_o.aeb_hk_adc1_rd_config_1.diff3 &lt;= avalon_mm_rmap_i.writedata(0);</t>
  </si>
  <si>
    <t xml:space="preserve">      rmap_registers_wr_o.aeb_hk_adc1_rd_config_1.diff2 &lt;= avalon_mm_rmap_i.writedata(0);</t>
  </si>
  <si>
    <t xml:space="preserve">      rmap_registers_wr_o.aeb_hk_adc1_rd_config_1.diff1 &lt;= avalon_mm_rmap_i.writedata(0);</t>
  </si>
  <si>
    <t xml:space="preserve">      rmap_registers_wr_o.aeb_hk_adc1_rd_config_1.diff0 &lt;= avalon_mm_rmap_i.writedata(0);</t>
  </si>
  <si>
    <t xml:space="preserve">      rmap_registers_wr_o.aeb_hk_adc1_rd_config_2.ain7 &lt;= avalon_mm_rmap_i.writedata(0);</t>
  </si>
  <si>
    <t xml:space="preserve">      rmap_registers_wr_o.aeb_hk_adc1_rd_config_2.ain6 &lt;= avalon_mm_rmap_i.writedata(0);</t>
  </si>
  <si>
    <t xml:space="preserve">      rmap_registers_wr_o.aeb_hk_adc1_rd_config_2.ain5 &lt;= avalon_mm_rmap_i.writedata(0);</t>
  </si>
  <si>
    <t xml:space="preserve">      rmap_registers_wr_o.aeb_hk_adc1_rd_config_2.ain4 &lt;= avalon_mm_rmap_i.writedata(0);</t>
  </si>
  <si>
    <t xml:space="preserve">      rmap_registers_wr_o.aeb_hk_adc1_rd_config_2.ain3 &lt;= avalon_mm_rmap_i.writedata(0);</t>
  </si>
  <si>
    <t xml:space="preserve">      rmap_registers_wr_o.aeb_hk_adc1_rd_config_2.ain2 &lt;= avalon_mm_rmap_i.writedata(0);</t>
  </si>
  <si>
    <t xml:space="preserve">      rmap_registers_wr_o.aeb_hk_adc1_rd_config_2.ain1 &lt;= avalon_mm_rmap_i.writedata(0);</t>
  </si>
  <si>
    <t xml:space="preserve">      rmap_registers_wr_o.aeb_hk_adc1_rd_config_2.ain0 &lt;= avalon_mm_rmap_i.writedata(0);</t>
  </si>
  <si>
    <t xml:space="preserve">      rmap_registers_wr_o.aeb_hk_adc1_rd_config_2.ain15 &lt;= avalon_mm_rmap_i.writedata(0);</t>
  </si>
  <si>
    <t xml:space="preserve">      rmap_registers_wr_o.aeb_hk_adc1_rd_config_2.ain14 &lt;= avalon_mm_rmap_i.writedata(0);</t>
  </si>
  <si>
    <t xml:space="preserve">      rmap_registers_wr_o.aeb_hk_adc1_rd_config_2.ain13 &lt;= avalon_mm_rmap_i.writedata(0);</t>
  </si>
  <si>
    <t xml:space="preserve">      rmap_registers_wr_o.aeb_hk_adc1_rd_config_2.ain12 &lt;= avalon_mm_rmap_i.writedata(0);</t>
  </si>
  <si>
    <t xml:space="preserve">      rmap_registers_wr_o.aeb_hk_adc1_rd_config_2.ain11 &lt;= avalon_mm_rmap_i.writedata(0);</t>
  </si>
  <si>
    <t xml:space="preserve">      rmap_registers_wr_o.aeb_hk_adc1_rd_config_2.ain10 &lt;= avalon_mm_rmap_i.writedata(0);</t>
  </si>
  <si>
    <t xml:space="preserve">      rmap_registers_wr_o.aeb_hk_adc1_rd_config_2.ain9 &lt;= avalon_mm_rmap_i.writedata(0);</t>
  </si>
  <si>
    <t xml:space="preserve">      rmap_registers_wr_o.aeb_hk_adc1_rd_config_2.ain8 &lt;= avalon_mm_rmap_i.writedata(0);</t>
  </si>
  <si>
    <t xml:space="preserve">      rmap_registers_wr_o.aeb_hk_adc1_rd_config_2.ref &lt;= avalon_mm_rmap_i.writedata(0);</t>
  </si>
  <si>
    <t xml:space="preserve">      rmap_registers_wr_o.aeb_hk_adc1_rd_config_2.gain &lt;= avalon_mm_rmap_i.writedata(0);</t>
  </si>
  <si>
    <t xml:space="preserve">      rmap_registers_wr_o.aeb_hk_adc1_rd_config_2.temp &lt;= avalon_mm_rmap_i.writedata(0);</t>
  </si>
  <si>
    <t xml:space="preserve">      rmap_registers_wr_o.aeb_hk_adc1_rd_config_2.vcc &lt;= avalon_mm_rmap_i.writedata(0);</t>
  </si>
  <si>
    <t xml:space="preserve">      rmap_registers_wr_o.aeb_hk_adc1_rd_config_2.offset &lt;= avalon_mm_rmap_i.writedata(0);</t>
  </si>
  <si>
    <t xml:space="preserve">      rmap_registers_wr_o.aeb_hk_adc1_rd_config_2.cio7 &lt;= avalon_mm_rmap_i.writedata(0);</t>
  </si>
  <si>
    <t xml:space="preserve">      rmap_registers_wr_o.aeb_hk_adc1_rd_config_2.cio6 &lt;= avalon_mm_rmap_i.writedata(0);</t>
  </si>
  <si>
    <t xml:space="preserve">      rmap_registers_wr_o.aeb_hk_adc1_rd_config_2.cio5 &lt;= avalon_mm_rmap_i.writedata(0);</t>
  </si>
  <si>
    <t xml:space="preserve">      rmap_registers_wr_o.aeb_hk_adc1_rd_config_2.cio4 &lt;= avalon_mm_rmap_i.writedata(0);</t>
  </si>
  <si>
    <t xml:space="preserve">      rmap_registers_wr_o.aeb_hk_adc1_rd_config_2.cio3 &lt;= avalon_mm_rmap_i.writedata(0);</t>
  </si>
  <si>
    <t xml:space="preserve">      rmap_registers_wr_o.aeb_hk_adc1_rd_config_2.cio2 &lt;= avalon_mm_rmap_i.writedata(0);</t>
  </si>
  <si>
    <t xml:space="preserve">      rmap_registers_wr_o.aeb_hk_adc1_rd_config_2.cio1 &lt;= avalon_mm_rmap_i.writedata(0);</t>
  </si>
  <si>
    <t xml:space="preserve">      rmap_registers_wr_o.aeb_hk_adc1_rd_config_2.cio0 &lt;= avalon_mm_rmap_i.writedata(0);</t>
  </si>
  <si>
    <t xml:space="preserve">      rmap_registers_wr_o.aeb_hk_adc1_rd_config_3.dio7 &lt;= avalon_mm_rmap_i.writedata(0);</t>
  </si>
  <si>
    <t xml:space="preserve">      rmap_registers_wr_o.aeb_hk_adc1_rd_config_3.dio6 &lt;= avalon_mm_rmap_i.writedata(0);</t>
  </si>
  <si>
    <t xml:space="preserve">      rmap_registers_wr_o.aeb_hk_adc1_rd_config_3.dio5 &lt;= avalon_mm_rmap_i.writedata(0);</t>
  </si>
  <si>
    <t xml:space="preserve">      rmap_registers_wr_o.aeb_hk_adc1_rd_config_3.dio4 &lt;= avalon_mm_rmap_i.writedata(0);</t>
  </si>
  <si>
    <t xml:space="preserve">      rmap_registers_wr_o.aeb_hk_adc1_rd_config_3.dio3 &lt;= avalon_mm_rmap_i.writedata(0);</t>
  </si>
  <si>
    <t xml:space="preserve">      rmap_registers_wr_o.aeb_hk_adc1_rd_config_3.dio2 &lt;= avalon_mm_rmap_i.writedata(0);</t>
  </si>
  <si>
    <t xml:space="preserve">      rmap_registers_wr_o.aeb_hk_adc1_rd_config_3.dio1 &lt;= avalon_mm_rmap_i.writedata(0);</t>
  </si>
  <si>
    <t xml:space="preserve">      rmap_registers_wr_o.aeb_hk_adc1_rd_config_3.dio0 &lt;= avalon_mm_rmap_i.writedata(0);</t>
  </si>
  <si>
    <t xml:space="preserve">      rmap_registers_wr_o.aeb_hk_adc2_rd_config_1.spirst &lt;= avalon_mm_rmap_i.writedata(0);</t>
  </si>
  <si>
    <t xml:space="preserve">      rmap_registers_wr_o.aeb_hk_adc2_rd_config_1.muxmod &lt;= avalon_mm_rmap_i.writedata(0);</t>
  </si>
  <si>
    <t xml:space="preserve">      rmap_registers_wr_o.aeb_hk_adc2_rd_config_1.bypas &lt;= avalon_mm_rmap_i.writedata(0);</t>
  </si>
  <si>
    <t xml:space="preserve">      rmap_registers_wr_o.aeb_hk_adc2_rd_config_1.clkenb &lt;= avalon_mm_rmap_i.writedata(0);</t>
  </si>
  <si>
    <t xml:space="preserve">      rmap_registers_wr_o.aeb_hk_adc2_rd_config_1.chop &lt;= avalon_mm_rmap_i.writedata(0);</t>
  </si>
  <si>
    <t xml:space="preserve">      rmap_registers_wr_o.aeb_hk_adc2_rd_config_1.stat &lt;= avalon_mm_rmap_i.writedata(0);</t>
  </si>
  <si>
    <t xml:space="preserve">      rmap_registers_wr_o.aeb_hk_adc2_rd_config_1.idlmod &lt;= avalon_mm_rmap_i.writedata(0);</t>
  </si>
  <si>
    <t xml:space="preserve">      rmap_registers_wr_o.aeb_hk_adc2_rd_config_1.dly2 &lt;= avalon_mm_rmap_i.writedata(0);</t>
  </si>
  <si>
    <t xml:space="preserve">      rmap_registers_wr_o.aeb_hk_adc2_rd_config_1.dly1 &lt;= avalon_mm_rmap_i.writedata(0);</t>
  </si>
  <si>
    <t xml:space="preserve">      rmap_registers_wr_o.aeb_hk_adc2_rd_config_1.dly0 &lt;= avalon_mm_rmap_i.writedata(0);</t>
  </si>
  <si>
    <t xml:space="preserve">      rmap_registers_wr_o.aeb_hk_adc2_rd_config_1.sbcs1 &lt;= avalon_mm_rmap_i.writedata(0);</t>
  </si>
  <si>
    <t xml:space="preserve">      rmap_registers_wr_o.aeb_hk_adc2_rd_config_1.sbcs0 &lt;= avalon_mm_rmap_i.writedata(0);</t>
  </si>
  <si>
    <t xml:space="preserve">      rmap_registers_wr_o.aeb_hk_adc2_rd_config_1.drate1 &lt;= avalon_mm_rmap_i.writedata(0);</t>
  </si>
  <si>
    <t xml:space="preserve">      rmap_registers_wr_o.aeb_hk_adc2_rd_config_1.drate0 &lt;= avalon_mm_rmap_i.writedata(0);</t>
  </si>
  <si>
    <t xml:space="preserve">      rmap_registers_wr_o.aeb_hk_adc2_rd_config_1.ainp3 &lt;= avalon_mm_rmap_i.writedata(0);</t>
  </si>
  <si>
    <t xml:space="preserve">      rmap_registers_wr_o.aeb_hk_adc2_rd_config_1.ainp2 &lt;= avalon_mm_rmap_i.writedata(0);</t>
  </si>
  <si>
    <t xml:space="preserve">      rmap_registers_wr_o.aeb_hk_adc2_rd_config_1.ainp1 &lt;= avalon_mm_rmap_i.writedata(0);</t>
  </si>
  <si>
    <t xml:space="preserve">      rmap_registers_wr_o.aeb_hk_adc2_rd_config_1.ainp0 &lt;= avalon_mm_rmap_i.writedata(0);</t>
  </si>
  <si>
    <t xml:space="preserve">      rmap_registers_wr_o.aeb_hk_adc2_rd_config_1.ainn3 &lt;= avalon_mm_rmap_i.writedata(0);</t>
  </si>
  <si>
    <t xml:space="preserve">      rmap_registers_wr_o.aeb_hk_adc2_rd_config_1.ainn2 &lt;= avalon_mm_rmap_i.writedata(0);</t>
  </si>
  <si>
    <t xml:space="preserve">      rmap_registers_wr_o.aeb_hk_adc2_rd_config_1.ainn1 &lt;= avalon_mm_rmap_i.writedata(0);</t>
  </si>
  <si>
    <t xml:space="preserve">      rmap_registers_wr_o.aeb_hk_adc2_rd_config_1.ainn0 &lt;= avalon_mm_rmap_i.writedata(0);</t>
  </si>
  <si>
    <t xml:space="preserve">      rmap_registers_wr_o.aeb_hk_adc2_rd_config_1.diff7 &lt;= avalon_mm_rmap_i.writedata(0);</t>
  </si>
  <si>
    <t xml:space="preserve">      rmap_registers_wr_o.aeb_hk_adc2_rd_config_1.diff6 &lt;= avalon_mm_rmap_i.writedata(0);</t>
  </si>
  <si>
    <t xml:space="preserve">      rmap_registers_wr_o.aeb_hk_adc2_rd_config_1.diff5 &lt;= avalon_mm_rmap_i.writedata(0);</t>
  </si>
  <si>
    <t xml:space="preserve">      rmap_registers_wr_o.aeb_hk_adc2_rd_config_1.diff4 &lt;= avalon_mm_rmap_i.writedata(0);</t>
  </si>
  <si>
    <t xml:space="preserve">      rmap_registers_wr_o.aeb_hk_adc2_rd_config_1.diff3 &lt;= avalon_mm_rmap_i.writedata(0);</t>
  </si>
  <si>
    <t xml:space="preserve">      rmap_registers_wr_o.aeb_hk_adc2_rd_config_1.diff2 &lt;= avalon_mm_rmap_i.writedata(0);</t>
  </si>
  <si>
    <t xml:space="preserve">      rmap_registers_wr_o.aeb_hk_adc2_rd_config_1.diff1 &lt;= avalon_mm_rmap_i.writedata(0);</t>
  </si>
  <si>
    <t xml:space="preserve">      rmap_registers_wr_o.aeb_hk_adc2_rd_config_1.diff0 &lt;= avalon_mm_rmap_i.writedata(0);</t>
  </si>
  <si>
    <t xml:space="preserve">      rmap_registers_wr_o.aeb_hk_adc2_rd_config_2.ain7 &lt;= avalon_mm_rmap_i.writedata(0);</t>
  </si>
  <si>
    <t xml:space="preserve">      rmap_registers_wr_o.aeb_hk_adc2_rd_config_2.ain6 &lt;= avalon_mm_rmap_i.writedata(0);</t>
  </si>
  <si>
    <t xml:space="preserve">      rmap_registers_wr_o.aeb_hk_adc2_rd_config_2.ain5 &lt;= avalon_mm_rmap_i.writedata(0);</t>
  </si>
  <si>
    <t xml:space="preserve">      rmap_registers_wr_o.aeb_hk_adc2_rd_config_2.ain4 &lt;= avalon_mm_rmap_i.writedata(0);</t>
  </si>
  <si>
    <t xml:space="preserve">      rmap_registers_wr_o.aeb_hk_adc2_rd_config_2.ain3 &lt;= avalon_mm_rmap_i.writedata(0);</t>
  </si>
  <si>
    <t xml:space="preserve">      rmap_registers_wr_o.aeb_hk_adc2_rd_config_2.ain2 &lt;= avalon_mm_rmap_i.writedata(0);</t>
  </si>
  <si>
    <t xml:space="preserve">      rmap_registers_wr_o.aeb_hk_adc2_rd_config_2.ain1 &lt;= avalon_mm_rmap_i.writedata(0);</t>
  </si>
  <si>
    <t xml:space="preserve">      rmap_registers_wr_o.aeb_hk_adc2_rd_config_2.ain0 &lt;= avalon_mm_rmap_i.writedata(0);</t>
  </si>
  <si>
    <t xml:space="preserve">      rmap_registers_wr_o.aeb_hk_adc2_rd_config_2.ain15 &lt;= avalon_mm_rmap_i.writedata(0);</t>
  </si>
  <si>
    <t xml:space="preserve">      rmap_registers_wr_o.aeb_hk_adc2_rd_config_2.ain14 &lt;= avalon_mm_rmap_i.writedata(0);</t>
  </si>
  <si>
    <t xml:space="preserve">      rmap_registers_wr_o.aeb_hk_adc2_rd_config_2.ain13 &lt;= avalon_mm_rmap_i.writedata(0);</t>
  </si>
  <si>
    <t xml:space="preserve">      rmap_registers_wr_o.aeb_hk_adc2_rd_config_2.ain12 &lt;= avalon_mm_rmap_i.writedata(0);</t>
  </si>
  <si>
    <t xml:space="preserve">      rmap_registers_wr_o.aeb_hk_adc2_rd_config_2.ain11 &lt;= avalon_mm_rmap_i.writedata(0);</t>
  </si>
  <si>
    <t xml:space="preserve">      rmap_registers_wr_o.aeb_hk_adc2_rd_config_2.ain10 &lt;= avalon_mm_rmap_i.writedata(0);</t>
  </si>
  <si>
    <t xml:space="preserve">      rmap_registers_wr_o.aeb_hk_adc2_rd_config_2.ain9 &lt;= avalon_mm_rmap_i.writedata(0);</t>
  </si>
  <si>
    <t xml:space="preserve">      rmap_registers_wr_o.aeb_hk_adc2_rd_config_2.ain8 &lt;= avalon_mm_rmap_i.writedata(0);</t>
  </si>
  <si>
    <t xml:space="preserve">      rmap_registers_wr_o.aeb_hk_adc2_rd_config_2.ref &lt;= avalon_mm_rmap_i.writedata(0);</t>
  </si>
  <si>
    <t xml:space="preserve">      rmap_registers_wr_o.aeb_hk_adc2_rd_config_2.gain &lt;= avalon_mm_rmap_i.writedata(0);</t>
  </si>
  <si>
    <t xml:space="preserve">      rmap_registers_wr_o.aeb_hk_adc2_rd_config_2.temp &lt;= avalon_mm_rmap_i.writedata(0);</t>
  </si>
  <si>
    <t xml:space="preserve">      rmap_registers_wr_o.aeb_hk_adc2_rd_config_2.vcc &lt;= avalon_mm_rmap_i.writedata(0);</t>
  </si>
  <si>
    <t xml:space="preserve">      rmap_registers_wr_o.aeb_hk_adc2_rd_config_2.offset &lt;= avalon_mm_rmap_i.writedata(0);</t>
  </si>
  <si>
    <t xml:space="preserve">      rmap_registers_wr_o.aeb_hk_adc2_rd_config_2.cio7 &lt;= avalon_mm_rmap_i.writedata(0);</t>
  </si>
  <si>
    <t xml:space="preserve">      rmap_registers_wr_o.aeb_hk_adc2_rd_config_2.cio6 &lt;= avalon_mm_rmap_i.writedata(0);</t>
  </si>
  <si>
    <t xml:space="preserve">      rmap_registers_wr_o.aeb_hk_adc2_rd_config_2.cio5 &lt;= avalon_mm_rmap_i.writedata(0);</t>
  </si>
  <si>
    <t xml:space="preserve">      rmap_registers_wr_o.aeb_hk_adc2_rd_config_2.cio4 &lt;= avalon_mm_rmap_i.writedata(0);</t>
  </si>
  <si>
    <t xml:space="preserve">      rmap_registers_wr_o.aeb_hk_adc2_rd_config_2.cio3 &lt;= avalon_mm_rmap_i.writedata(0);</t>
  </si>
  <si>
    <t xml:space="preserve">      rmap_registers_wr_o.aeb_hk_adc2_rd_config_2.cio2 &lt;= avalon_mm_rmap_i.writedata(0);</t>
  </si>
  <si>
    <t xml:space="preserve">      rmap_registers_wr_o.aeb_hk_adc2_rd_config_2.cio1 &lt;= avalon_mm_rmap_i.writedata(0);</t>
  </si>
  <si>
    <t xml:space="preserve">      rmap_registers_wr_o.aeb_hk_adc2_rd_config_2.cio0 &lt;= avalon_mm_rmap_i.writedata(0);</t>
  </si>
  <si>
    <t xml:space="preserve">      rmap_registers_wr_o.aeb_hk_adc2_rd_config_3.dio7 &lt;= avalon_mm_rmap_i.writedata(0);</t>
  </si>
  <si>
    <t xml:space="preserve">      rmap_registers_wr_o.aeb_hk_adc2_rd_config_3.dio6 &lt;= avalon_mm_rmap_i.writedata(0);</t>
  </si>
  <si>
    <t xml:space="preserve">      rmap_registers_wr_o.aeb_hk_adc2_rd_config_3.dio5 &lt;= avalon_mm_rmap_i.writedata(0);</t>
  </si>
  <si>
    <t xml:space="preserve">      rmap_registers_wr_o.aeb_hk_adc2_rd_config_3.dio4 &lt;= avalon_mm_rmap_i.writedata(0);</t>
  </si>
  <si>
    <t xml:space="preserve">      rmap_registers_wr_o.aeb_hk_adc2_rd_config_3.dio3 &lt;= avalon_mm_rmap_i.writedata(0);</t>
  </si>
  <si>
    <t xml:space="preserve">      rmap_registers_wr_o.aeb_hk_adc2_rd_config_3.dio2 &lt;= avalon_mm_rmap_i.writedata(0);</t>
  </si>
  <si>
    <t xml:space="preserve">      rmap_registers_wr_o.aeb_hk_adc2_rd_config_3.dio1 &lt;= avalon_mm_rmap_i.writedata(0);</t>
  </si>
  <si>
    <t xml:space="preserve">      rmap_registers_wr_o.aeb_hk_adc2_rd_config_3.dio0 &lt;= avalon_mm_rmap_i.writedata(0);</t>
  </si>
  <si>
    <t xml:space="preserve">      rmap_registers_wr_o.aeb_hk_vasp_rd_config.vasp1_read_data &lt;= avalon_mm_rmap_i.writedata(7 downto 0);</t>
  </si>
  <si>
    <t xml:space="preserve">      rmap_registers_wr_o.aeb_hk_vasp_rd_config.vasp2_read_data &lt;= avalon_mm_rmap_i.writedata(15 downto 8);</t>
  </si>
  <si>
    <t xml:space="preserve">      rmap_registers_wr_o.aeb_hk_revision_id_1.fpga_version(7 downto 0) &lt;= avalon_mm_rmap_i.writedata(23 downto 16);</t>
  </si>
  <si>
    <t xml:space="preserve">      rmap_registers_wr_o.aeb_hk_revision_id_1.fpga_version(15 downto 8) &lt;= avalon_mm_rmap_i.writedata(31 downto 24);</t>
  </si>
  <si>
    <t xml:space="preserve">      rmap_registers_wr_o.aeb_hk_revision_id_1.fpga_date(7 downto 0) &lt;= avalon_mm_rmap_i.writedata(7 downto 0);</t>
  </si>
  <si>
    <t xml:space="preserve">      rmap_registers_wr_o.aeb_hk_revision_id_1.fpga_date(15 downto 8) &lt;= avalon_mm_rmap_i.writedata(15 downto 8);</t>
  </si>
  <si>
    <t xml:space="preserve">      rmap_registers_wr_o.aeb_hk_revision_id_2.fpga_time_h(7 downto 0) &lt;= avalon_mm_rmap_i.writedata(23 downto 16);</t>
  </si>
  <si>
    <t xml:space="preserve">      rmap_registers_wr_o.aeb_hk_revision_id_2.fpga_time_h(15 downto 8) &lt;= avalon_mm_rmap_i.writedata(31 downto 24);</t>
  </si>
  <si>
    <t xml:space="preserve">      rmap_registers_wr_o.aeb_hk_revision_id_2.fpga_time_m &lt;= avalon_mm_rmap_i.writedata(7 downto 0);</t>
  </si>
  <si>
    <t xml:space="preserve">      rmap_registers_wr_o.aeb_hk_revision_id_2.fpga_svn(7 downto 0) &lt;= avalon_mm_rmap_i.writedata(23 downto 16);</t>
  </si>
  <si>
    <t xml:space="preserve">      rmap_registers_wr_o.aeb_hk_revision_id_2.fpga_svn(15 downto 8) &lt;= avalon_mm_rmap_i.writedata(31 downto 24);</t>
  </si>
  <si>
    <t>-- AEB Critical Configuration Area Register "AEB_CONTROL" : "RESERVED_0" Field</t>
  </si>
  <si>
    <t>rmap_registers_wr_o.aeb_crit_cfg_aeb_control.reserved_0 &lt;= (others =&gt; '0');</t>
  </si>
  <si>
    <t>-- AEB Critical Configuration Area Register "AEB_CONTROL" : "NEW_STATE" Field</t>
  </si>
  <si>
    <t>rmap_registers_wr_o.aeb_crit_cfg_aeb_control.new_state &lt;= "0000";</t>
  </si>
  <si>
    <t>-- AEB Critical Configuration Area Register "AEB_CONTROL" : "SET_STATE" Field</t>
  </si>
  <si>
    <t>rmap_registers_wr_o.aeb_crit_cfg_aeb_control.set_state &lt;= '0';</t>
  </si>
  <si>
    <t>-- AEB Critical Configuration Area Register "AEB_CONTROL" : "AEB_RESET" Field</t>
  </si>
  <si>
    <t>rmap_registers_wr_o.aeb_crit_cfg_aeb_control.aeb_reset &lt;= '0';</t>
  </si>
  <si>
    <t>-- AEB Critical Configuration Area Register "AEB_CONTROL" : "RESERVED_1" Field</t>
  </si>
  <si>
    <t>-- AEB Critical Configuration Area Register "AEB_CONTROL" : "ADC_DATA_RD" Field</t>
  </si>
  <si>
    <t>rmap_registers_wr_o.aeb_crit_cfg_aeb_control.adc_data_rd &lt;= '0';</t>
  </si>
  <si>
    <t>-- AEB Critical Configuration Area Register "AEB_CONTROL" : "ADC_CFG_WR" Field</t>
  </si>
  <si>
    <t>rmap_registers_wr_o.aeb_crit_cfg_aeb_control.adc_cfg_wr &lt;= '0';</t>
  </si>
  <si>
    <t>-- AEB Critical Configuration Area Register "AEB_CONTROL" : "ADC_CFG_RD" Field</t>
  </si>
  <si>
    <t>rmap_registers_wr_o.aeb_crit_cfg_aeb_control.adc_cfg_rd &lt;= '0';</t>
  </si>
  <si>
    <t>-- AEB Critical Configuration Area Register "AEB_CONTROL" : "DAC_WR" Field</t>
  </si>
  <si>
    <t>rmap_registers_wr_o.aeb_crit_cfg_aeb_control.dac_wr &lt;= '0';</t>
  </si>
  <si>
    <t>-- AEB Critical Configuration Area Register "AEB_CONTROL" : "RESERVED_2" Field</t>
  </si>
  <si>
    <t>rmap_registers_wr_o.aeb_crit_cfg_aeb_control.reserved_2 &lt;= (others =&gt; '0');</t>
  </si>
  <si>
    <t>-- AEB Critical Configuration Area Register "AEB_CONFIG" : "RESERVED_0" Field</t>
  </si>
  <si>
    <t>rmap_registers_wr_o.aeb_crit_cfg_aeb_config.reserved_0 &lt;= (others =&gt; '0');</t>
  </si>
  <si>
    <t>-- AEB Critical Configuration Area Register "AEB_CONFIG" : "WATCH-DOG_DIS" Field</t>
  </si>
  <si>
    <t>-- AEB Critical Configuration Area Register "AEB_CONFIG" : "INT_SYNC" Field</t>
  </si>
  <si>
    <t>rmap_registers_wr_o.aeb_crit_cfg_aeb_config.int_sync &lt;= '0';</t>
  </si>
  <si>
    <t>-- AEB Critical Configuration Area Register "AEB_CONFIG" : "RESERVED_1" Field</t>
  </si>
  <si>
    <t>-- AEB Critical Configuration Area Register "AEB_CONFIG" : "VASP_CDS_EN" Field</t>
  </si>
  <si>
    <t>rmap_registers_wr_o.aeb_crit_cfg_aeb_config.vasp_cds_en &lt;= '1';</t>
  </si>
  <si>
    <t>-- AEB Critical Configuration Area Register "AEB_CONFIG" : "VASP2_CAL_EN" Field</t>
  </si>
  <si>
    <t>rmap_registers_wr_o.aeb_crit_cfg_aeb_config.vasp2_cal_en &lt;= '1';</t>
  </si>
  <si>
    <t>-- AEB Critical Configuration Area Register "AEB_CONFIG" : "VASP1_CAL_EN" Field</t>
  </si>
  <si>
    <t>rmap_registers_wr_o.aeb_crit_cfg_aeb_config.vasp1_cal_en &lt;= '1';</t>
  </si>
  <si>
    <t>-- AEB Critical Configuration Area Register "AEB_CONFIG" : "RESERVED_2" Field</t>
  </si>
  <si>
    <t>rmap_registers_wr_o.aeb_crit_cfg_aeb_config.reserved_2 &lt;= (others =&gt; '0');</t>
  </si>
  <si>
    <t>-- AEB Critical Configuration Area Register "AEB_CONFIG_KEY" : "KEY" Field</t>
  </si>
  <si>
    <t>rmap_registers_wr_o.aeb_crit_cfg_aeb_config_key.key &lt;= (others =&gt; '0');</t>
  </si>
  <si>
    <t>-- AEB Critical Configuration Area Register "AEB_CONFIG_AIT" : "OVERRIDE_SW" Field</t>
  </si>
  <si>
    <t>rmap_registers_wr_o.aeb_crit_cfg_aeb_config_ait.override_sw &lt;= '0';</t>
  </si>
  <si>
    <t>-- AEB Critical Configuration Area Register "AEB_CONFIG_AIT" : "RESERVED_0" Field</t>
  </si>
  <si>
    <t>-- AEB Critical Configuration Area Register "AEB_CONFIG_AIT" : "SW_VAN3" Field</t>
  </si>
  <si>
    <t>rmap_registers_wr_o.aeb_crit_cfg_aeb_config_ait.sw_van3 &lt;= '0';</t>
  </si>
  <si>
    <t>-- AEB Critical Configuration Area Register "AEB_CONFIG_AIT" : "SW_VAN2" Field</t>
  </si>
  <si>
    <t>rmap_registers_wr_o.aeb_crit_cfg_aeb_config_ait.sw_van2 &lt;= '0';</t>
  </si>
  <si>
    <t>-- AEB Critical Configuration Area Register "AEB_CONFIG_AIT" : "SW_VAN1" Field</t>
  </si>
  <si>
    <t>rmap_registers_wr_o.aeb_crit_cfg_aeb_config_ait.sw_van1 &lt;= '0';</t>
  </si>
  <si>
    <t>-- AEB Critical Configuration Area Register "AEB_CONFIG_AIT" : "SW_VCLK" Field</t>
  </si>
  <si>
    <t>rmap_registers_wr_o.aeb_crit_cfg_aeb_config_ait.sw_vclk &lt;= '0';</t>
  </si>
  <si>
    <t>-- AEB Critical Configuration Area Register "AEB_CONFIG_AIT" : "SW_VCCD" Field</t>
  </si>
  <si>
    <t>rmap_registers_wr_o.aeb_crit_cfg_aeb_config_ait.sw_vccd &lt;= '0';</t>
  </si>
  <si>
    <t>-- AEB Critical Configuration Area Register "AEB_CONFIG_AIT" : "OVERRIDE_VASP" Field</t>
  </si>
  <si>
    <t>rmap_registers_wr_o.aeb_crit_cfg_aeb_config_ait.override_vasp &lt;= '0';</t>
  </si>
  <si>
    <t>-- AEB Critical Configuration Area Register "AEB_CONFIG_AIT" : "RESERVED_1" Field</t>
  </si>
  <si>
    <t>rmap_registers_wr_o.aeb_crit_cfg_aeb_config_ait.reserved_1 &lt;= '0';</t>
  </si>
  <si>
    <t>-- AEB Critical Configuration Area Register "AEB_CONFIG_AIT" : "VASP2_PIX_EN" Field</t>
  </si>
  <si>
    <t>rmap_registers_wr_o.aeb_crit_cfg_aeb_config_ait.vasp2_pix_en &lt;= '0';</t>
  </si>
  <si>
    <t>-- AEB Critical Configuration Area Register "AEB_CONFIG_AIT" : "VASP1_PIX_EN" Field</t>
  </si>
  <si>
    <t>rmap_registers_wr_o.aeb_crit_cfg_aeb_config_ait.vasp1_pix_en &lt;= '0';</t>
  </si>
  <si>
    <t>-- AEB Critical Configuration Area Register "AEB_CONFIG_AIT" : "VASP2_ADC_EN" Field</t>
  </si>
  <si>
    <t>rmap_registers_wr_o.aeb_crit_cfg_aeb_config_ait.vasp2_adc_en &lt;= '0';</t>
  </si>
  <si>
    <t>-- AEB Critical Configuration Area Register "AEB_CONFIG_AIT" : "VASP1_ADC_EN" Field</t>
  </si>
  <si>
    <t>rmap_registers_wr_o.aeb_crit_cfg_aeb_config_ait.vasp1_adc_en &lt;= '0';</t>
  </si>
  <si>
    <t>-- AEB Critical Configuration Area Register "AEB_CONFIG_AIT" : "VASP2_RESET" Field</t>
  </si>
  <si>
    <t>rmap_registers_wr_o.aeb_crit_cfg_aeb_config_ait.vasp2_reset &lt;= '0';</t>
  </si>
  <si>
    <t>-- AEB Critical Configuration Area Register "AEB_CONFIG_AIT" : "VASP1_RESET" Field</t>
  </si>
  <si>
    <t>rmap_registers_wr_o.aeb_crit_cfg_aeb_config_ait.vasp1_reset &lt;= '0';</t>
  </si>
  <si>
    <t>-- AEB Critical Configuration Area Register "AEB_CONFIG_AIT" : "OVERRIDE_ADC" Field</t>
  </si>
  <si>
    <t>rmap_registers_wr_o.aeb_crit_cfg_aeb_config_ait.override_adc &lt;= '0';</t>
  </si>
  <si>
    <t>-- AEB Critical Configuration Area Register "AEB_CONFIG_AIT" : "ADC2_EN_P5V0" Field</t>
  </si>
  <si>
    <t>rmap_registers_wr_o.aeb_crit_cfg_aeb_config_ait.adc2_en_p5v0 &lt;= '0';</t>
  </si>
  <si>
    <t>-- AEB Critical Configuration Area Register "AEB_CONFIG_AIT" : "ADC1_EN_P5V0" Field</t>
  </si>
  <si>
    <t>rmap_registers_wr_o.aeb_crit_cfg_aeb_config_ait.adc1_en_p5v0 &lt;= '0';</t>
  </si>
  <si>
    <t>-- AEB Critical Configuration Area Register "AEB_CONFIG_AIT" : "PT1000_CAL_ON_N" Field</t>
  </si>
  <si>
    <t>rmap_registers_wr_o.aeb_crit_cfg_aeb_config_ait.pt1000_cal_on_n &lt;= '0';</t>
  </si>
  <si>
    <t>-- AEB Critical Configuration Area Register "AEB_CONFIG_AIT" : "EN_V_MUX_N" Field</t>
  </si>
  <si>
    <t>rmap_registers_wr_o.aeb_crit_cfg_aeb_config_ait.en_v_mux_n &lt;= '0';</t>
  </si>
  <si>
    <t>-- AEB Critical Configuration Area Register "AEB_CONFIG_AIT" : "ADC2_PWDN_N" Field</t>
  </si>
  <si>
    <t>rmap_registers_wr_o.aeb_crit_cfg_aeb_config_ait.adc2_pwdn_n &lt;= '0';</t>
  </si>
  <si>
    <t>-- AEB Critical Configuration Area Register "AEB_CONFIG_AIT" : "ADC1_PWDN_N" Field</t>
  </si>
  <si>
    <t>rmap_registers_wr_o.aeb_crit_cfg_aeb_config_ait.adc1_pwdn_n &lt;= '0';</t>
  </si>
  <si>
    <t>-- AEB Critical Configuration Area Register "AEB_CONFIG_AIT" : "ADC_CLK_EN" Field</t>
  </si>
  <si>
    <t>rmap_registers_wr_o.aeb_crit_cfg_aeb_config_ait.adc_clk_en &lt;= '0';</t>
  </si>
  <si>
    <t>-- AEB Critical Configuration Area Register "AEB_CONFIG_AIT" : "RESERVED_2" Field</t>
  </si>
  <si>
    <t>rmap_registers_wr_o.aeb_crit_cfg_aeb_config_ait.reserved_2 &lt;= (others =&gt; '0');</t>
  </si>
  <si>
    <t>-- AEB Critical Configuration Area Register "AEB_CONFIG_PATTERN" : "PATTERN_CCDID" Field</t>
  </si>
  <si>
    <t>rmap_registers_wr_o.aeb_crit_cfg_aeb_config_pattern.pattern_ccdid &lt;= "00";</t>
  </si>
  <si>
    <t>-- AEB Critical Configuration Area Register "AEB_CONFIG_PATTERN" : "PATTERN_COLS" Field</t>
  </si>
  <si>
    <t>rmap_registers_wr_o.aeb_crit_cfg_aeb_config_pattern.pattern_cols &lt;= std_logic_vector(to_unsigned(32, 14));</t>
  </si>
  <si>
    <t>-- AEB Critical Configuration Area Register "AEB_CONFIG_PATTERN" : "RESERVED" Field</t>
  </si>
  <si>
    <t>-- AEB Critical Configuration Area Register "AEB_CONFIG_PATTERN" : "PATTERN_ROWS" Field</t>
  </si>
  <si>
    <t>rmap_registers_wr_o.aeb_crit_cfg_aeb_config_pattern.pattern_rows &lt;= std_logic_vector(to_unsigned(32, 14));</t>
  </si>
  <si>
    <t>-- AEB Critical Configuration Area Register "VASP_I2C_CONTROL" : "VASP_CFG_ADDR" Field</t>
  </si>
  <si>
    <t>rmap_registers_wr_o.aeb_crit_cfg_vasp_i2c_control.vasp_cfg_addr &lt;= (others =&gt; '0');</t>
  </si>
  <si>
    <t>-- AEB Critical Configuration Area Register "VASP_I2C_CONTROL" : "VASP1_CFG_DATA" Field</t>
  </si>
  <si>
    <t>rmap_registers_wr_o.aeb_crit_cfg_vasp_i2c_control.vasp1_cfg_data &lt;= (others =&gt; '0');</t>
  </si>
  <si>
    <t>-- AEB Critical Configuration Area Register "VASP_I2C_CONTROL" : "VASP2_CFG_DATA" Field</t>
  </si>
  <si>
    <t>rmap_registers_wr_o.aeb_crit_cfg_vasp_i2c_control.vasp2_cfg_data &lt;= (others =&gt; '0');</t>
  </si>
  <si>
    <t>-- AEB Critical Configuration Area Register "VASP_I2C_CONTROL" : "RESERVED" Field</t>
  </si>
  <si>
    <t>-- AEB Critical Configuration Area Register "VASP_I2C_CONTROL" : "VASP2_SELECT" Field</t>
  </si>
  <si>
    <t>rmap_registers_wr_o.aeb_crit_cfg_vasp_i2c_control.vasp2_select &lt;= '0';</t>
  </si>
  <si>
    <t>-- AEB Critical Configuration Area Register "VASP_I2C_CONTROL" : "VASP1_SELECT" Field</t>
  </si>
  <si>
    <t>rmap_registers_wr_o.aeb_crit_cfg_vasp_i2c_control.vasp1_select &lt;= '0';</t>
  </si>
  <si>
    <t>-- AEB Critical Configuration Area Register "VASP_I2C_CONTROL" : "CALIBRATION_START" Field</t>
  </si>
  <si>
    <t>rmap_registers_wr_o.aeb_crit_cfg_vasp_i2c_control.calibration_start &lt;= '0';</t>
  </si>
  <si>
    <t>-- AEB Critical Configuration Area Register "VASP_I2C_CONTROL" : "I2C_READ_START" Field</t>
  </si>
  <si>
    <t>rmap_registers_wr_o.aeb_crit_cfg_vasp_i2c_control.i2c_read_start &lt;= '0';</t>
  </si>
  <si>
    <t>-- AEB Critical Configuration Area Register "VASP_I2C_CONTROL" : "I2C_WRITE_START" Field</t>
  </si>
  <si>
    <t>rmap_registers_wr_o.aeb_crit_cfg_vasp_i2c_control.i2c_write_start &lt;= '0';</t>
  </si>
  <si>
    <t>-- AEB Critical Configuration Area Register "DAC_CONFIG_1" : "RESERVED_0" Field</t>
  </si>
  <si>
    <t>rmap_registers_wr_o.aeb_crit_cfg_dac_config_1.reserved_0 &lt;= (others =&gt; '0');</t>
  </si>
  <si>
    <t>-- AEB Critical Configuration Area Register "DAC_CONFIG_1" : "DAC_VOG" Field</t>
  </si>
  <si>
    <t>rmap_registers_wr_o.aeb_crit_cfg_dac_config_1.dac_vog &lt;= x"800";</t>
  </si>
  <si>
    <t>-- AEB Critical Configuration Area Register "DAC_CONFIG_1" : "RESERVED_1" Field</t>
  </si>
  <si>
    <t>-- AEB Critical Configuration Area Register "DAC_CONFIG_1" : "DAC_VRD" Field</t>
  </si>
  <si>
    <t>rmap_registers_wr_o.aeb_crit_cfg_dac_config_1.dac_vrd &lt;= x"800";</t>
  </si>
  <si>
    <t>-- AEB Critical Configuration Area Register "DAC_CONFIG_2" : "RESERVED_0" Field</t>
  </si>
  <si>
    <t>rmap_registers_wr_o.aeb_crit_cfg_dac_config_2.reserved_0 &lt;= (others =&gt; '0');</t>
  </si>
  <si>
    <t>-- AEB Critical Configuration Area Register "DAC_CONFIG_2" : "DAC_VOD" Field</t>
  </si>
  <si>
    <t>rmap_registers_wr_o.aeb_crit_cfg_dac_config_2.dac_vod &lt;= x"800";</t>
  </si>
  <si>
    <t>-- AEB Critical Configuration Area Register "DAC_CONFIG_2" : "RESERVED_1" Field</t>
  </si>
  <si>
    <t>rmap_registers_wr_o.aeb_crit_cfg_dac_config_2.reserved_1 &lt;= (others =&gt; '0');</t>
  </si>
  <si>
    <t>-- AEB Critical Configuration Area Register "RESERVED_20" : "RESERVED" Field</t>
  </si>
  <si>
    <t>rmap_registers_wr_o.aeb_crit_cfg_reserved_20.reserved &lt;= (others =&gt; '0');</t>
  </si>
  <si>
    <t>-- AEB Critical Configuration Area Register "PWR_CONFIG1" : "TIME_VCCD_ON" Field</t>
  </si>
  <si>
    <t>rmap_registers_wr_o.aeb_crit_cfg_pwr_config1.time_vccd_on &lt;= x"00";</t>
  </si>
  <si>
    <t>-- AEB Critical Configuration Area Register "PWR_CONFIG1" : "TIME_VCLK_ON" Field</t>
  </si>
  <si>
    <t>rmap_registers_wr_o.aeb_crit_cfg_pwr_config1.time_vclk_on &lt;= x"63";</t>
  </si>
  <si>
    <t>-- AEB Critical Configuration Area Register "PWR_CONFIG1" : "TIME_VAN1_ON" Field</t>
  </si>
  <si>
    <t>rmap_registers_wr_o.aeb_crit_cfg_pwr_config1.time_van1_on &lt;= x"C8";</t>
  </si>
  <si>
    <t>-- AEB Critical Configuration Area Register "PWR_CONFIG1" : "TIME_VAN2_ON" Field</t>
  </si>
  <si>
    <t>rmap_registers_wr_o.aeb_crit_cfg_pwr_config1.time_van2_on &lt;= x"C8";</t>
  </si>
  <si>
    <t>-- AEB Critical Configuration Area Register "PWR_CONFIG2" : "TIME_VAN3_ON" Field</t>
  </si>
  <si>
    <t>rmap_registers_wr_o.aeb_crit_cfg_pwr_config2.time_van3_on &lt;= x"C8";</t>
  </si>
  <si>
    <t>-- AEB Critical Configuration Area Register "PWR_CONFIG2" : "TIME_VCCD_OFF" Field</t>
  </si>
  <si>
    <t>rmap_registers_wr_o.aeb_crit_cfg_pwr_config2.time_vccd_off &lt;= x"C8";</t>
  </si>
  <si>
    <t>-- AEB Critical Configuration Area Register "PWR_CONFIG2" : "TIME_VCLK_OFF" Field</t>
  </si>
  <si>
    <t>rmap_registers_wr_o.aeb_crit_cfg_pwr_config2.time_vclk_off &lt;= x"63";</t>
  </si>
  <si>
    <t>-- AEB Critical Configuration Area Register "PWR_CONFIG2" : "TIME_VAN1_OFF" Field</t>
  </si>
  <si>
    <t>rmap_registers_wr_o.aeb_crit_cfg_pwr_config2.time_van1_off &lt;= x"00";</t>
  </si>
  <si>
    <t>-- AEB Critical Configuration Area Register "PWR_CONFIG3" : "TIME_VAN2_OFF" Field</t>
  </si>
  <si>
    <t>rmap_registers_wr_o.aeb_crit_cfg_pwr_config3.time_van2_off &lt;= x"00";</t>
  </si>
  <si>
    <t>-- AEB Critical Configuration Area Register "PWR_CONFIG3" : "TIME_VAN3_OFF" Field</t>
  </si>
  <si>
    <t>rmap_registers_wr_o.aeb_crit_cfg_pwr_config3.time_van3_off &lt;= x"00";</t>
  </si>
  <si>
    <t>-- AEB Critical Configuration Area Register "RESERVED_30" : "RESERVED" Field</t>
  </si>
  <si>
    <t>rmap_registers_wr_o.aeb_crit_cfg_reserved_30.reserved &lt;= (others =&gt; '0');</t>
  </si>
  <si>
    <t>-- AEB Critical Configuration Area Register "RESERVED_34" : "RESERVED" Field</t>
  </si>
  <si>
    <t>rmap_registers_wr_o.aeb_crit_cfg_reserved_34.reserved &lt;= (others =&gt; '0');</t>
  </si>
  <si>
    <t>-- AEB Critical Configuration Area Register "RESERVED_38" : "RESERVED" Field</t>
  </si>
  <si>
    <t>rmap_registers_wr_o.aeb_crit_cfg_reserved_38.reserved &lt;= (others =&gt; '0');</t>
  </si>
  <si>
    <t>-- AEB Critical Configuration Area Register "RESERVED_3C" : "RESERVED" Field</t>
  </si>
  <si>
    <t>rmap_registers_wr_o.aeb_crit_cfg_reserved_3c.reserved &lt;= (others =&gt; '0');</t>
  </si>
  <si>
    <t>-- AEB Critical Configuration Area Register "RESERVED_40" : "RESERVED" Field</t>
  </si>
  <si>
    <t>rmap_registers_wr_o.aeb_crit_cfg_reserved_40.reserved &lt;= (others =&gt; '0');</t>
  </si>
  <si>
    <t>-- AEB Critical Configuration Area Register "RESERVED_44" : "RESERVED" Field</t>
  </si>
  <si>
    <t>rmap_registers_wr_o.aeb_crit_cfg_reserved_44.reserved &lt;= (others =&gt; '0');</t>
  </si>
  <si>
    <t>-- AEB Critical Configuration Area Register "RESERVED_48" : "RESERVED" Field</t>
  </si>
  <si>
    <t>rmap_registers_wr_o.aeb_crit_cfg_reserved_48.reserved &lt;= (others =&gt; '0');</t>
  </si>
  <si>
    <t>-- AEB Critical Configuration Area Register "RESERVED_4C" : "RESERVED" Field</t>
  </si>
  <si>
    <t>rmap_registers_wr_o.aeb_crit_cfg_reserved_4c.reserved &lt;= (others =&gt; '0');</t>
  </si>
  <si>
    <t>-- AEB Critical Configuration Area Register "RESERVED_50" : "RESERVED" Field</t>
  </si>
  <si>
    <t>rmap_registers_wr_o.aeb_crit_cfg_reserved_50.reserved &lt;= (others =&gt; '0');</t>
  </si>
  <si>
    <t>-- AEB Critical Configuration Area Register "RESERVED_54" : "RESERVED" Field</t>
  </si>
  <si>
    <t>rmap_registers_wr_o.aeb_crit_cfg_reserved_54.reserved &lt;= (others =&gt; '0');</t>
  </si>
  <si>
    <t>-- AEB Critical Configuration Area Register "RESERVED_58" : "RESERVED" Field</t>
  </si>
  <si>
    <t>rmap_registers_wr_o.aeb_crit_cfg_reserved_58.reserved &lt;= (others =&gt; '0');</t>
  </si>
  <si>
    <t>-- AEB Critical Configuration Area Register "RESERVED_5C" : "RESERVED" Field</t>
  </si>
  <si>
    <t>rmap_registers_wr_o.aeb_crit_cfg_reserved_5c.reserved &lt;= (others =&gt; '0');</t>
  </si>
  <si>
    <t>-- AEB Critical Configuration Area Register "RESERVED_60" : "RESERVED" Field</t>
  </si>
  <si>
    <t>rmap_registers_wr_o.aeb_crit_cfg_reserved_60.reserved &lt;= (others =&gt; '0');</t>
  </si>
  <si>
    <t>-- AEB Critical Configuration Area Register "RESERVED_64" : "RESERVED" Field</t>
  </si>
  <si>
    <t>rmap_registers_wr_o.aeb_crit_cfg_reserved_64.reserved &lt;= (others =&gt; '0');</t>
  </si>
  <si>
    <t>-- AEB Critical Configuration Area Register "RESERVED_68" : "RESERVED" Field</t>
  </si>
  <si>
    <t>rmap_registers_wr_o.aeb_crit_cfg_reserved_68.reserved &lt;= (others =&gt; '0');</t>
  </si>
  <si>
    <t>-- AEB Critical Configuration Area Register "RESERVED_6C" : "RESERVED" Field</t>
  </si>
  <si>
    <t>rmap_registers_wr_o.aeb_crit_cfg_reserved_6c.reserved &lt;= (others =&gt; '0');</t>
  </si>
  <si>
    <t>-- AEB Critical Configuration Area Register "RESERVED_70" : "RESERVED" Field</t>
  </si>
  <si>
    <t>rmap_registers_wr_o.aeb_crit_cfg_reserved_70.reserved &lt;= (others =&gt; '0');</t>
  </si>
  <si>
    <t>-- AEB Critical Configuration Area Register "RESERVED_74" : "RESERVED" Field</t>
  </si>
  <si>
    <t>rmap_registers_wr_o.aeb_crit_cfg_reserved_74.reserved &lt;= (others =&gt; '0');</t>
  </si>
  <si>
    <t>-- AEB Critical Configuration Area Register "RESERVED_78" : "RESERVED" Field</t>
  </si>
  <si>
    <t>rmap_registers_wr_o.aeb_crit_cfg_reserved_78.reserved &lt;= (others =&gt; '0');</t>
  </si>
  <si>
    <t>-- AEB Critical Configuration Area Register "RESERVED_7C" : "RESERVED" Field</t>
  </si>
  <si>
    <t>rmap_registers_wr_o.aeb_crit_cfg_reserved_7c.reserved &lt;= (others =&gt; '0');</t>
  </si>
  <si>
    <t>-- AEB Critical Configuration Area Register "RESERVED_80" : "RESERVED" Field</t>
  </si>
  <si>
    <t>rmap_registers_wr_o.aeb_crit_cfg_reserved_80.reserved &lt;= (others =&gt; '0');</t>
  </si>
  <si>
    <t>-- AEB Critical Configuration Area Register "RESERVED_84" : "RESERVED" Field</t>
  </si>
  <si>
    <t>rmap_registers_wr_o.aeb_crit_cfg_reserved_84.reserved &lt;= (others =&gt; '0');</t>
  </si>
  <si>
    <t>-- AEB Critical Configuration Area Register "RESERVED_88" : "RESERVED" Field</t>
  </si>
  <si>
    <t>rmap_registers_wr_o.aeb_crit_cfg_reserved_88.reserved &lt;= (others =&gt; '0');</t>
  </si>
  <si>
    <t>-- AEB Critical Configuration Area Register "RESERVED_8C" : "RESERVED" Field</t>
  </si>
  <si>
    <t>rmap_registers_wr_o.aeb_crit_cfg_reserved_8c.reserved &lt;= (others =&gt; '0');</t>
  </si>
  <si>
    <t>-- AEB Critical Configuration Area Register "RESERVED_90" : "RESERVED" Field</t>
  </si>
  <si>
    <t>rmap_registers_wr_o.aeb_crit_cfg_reserved_90.reserved &lt;= (others =&gt; '0');</t>
  </si>
  <si>
    <t>-- AEB Critical Configuration Area Register "RESERVED_94" : "RESERVED" Field</t>
  </si>
  <si>
    <t>rmap_registers_wr_o.aeb_crit_cfg_reserved_94.reserved &lt;= (others =&gt; '0');</t>
  </si>
  <si>
    <t>-- AEB Critical Configuration Area Register "RESERVED_98" : "RESERVED" Field</t>
  </si>
  <si>
    <t>rmap_registers_wr_o.aeb_crit_cfg_reserved_98.reserved &lt;= (others =&gt; '0');</t>
  </si>
  <si>
    <t>-- AEB Critical Configuration Area Register "RESERVED_9C" : "RESERVED" Field</t>
  </si>
  <si>
    <t>rmap_registers_wr_o.aeb_crit_cfg_reserved_9c.reserved &lt;= (others =&gt; '0');</t>
  </si>
  <si>
    <t>-- AEB Critical Configuration Area Register "RESERVED_A0" : "RESERVED" Field</t>
  </si>
  <si>
    <t>rmap_registers_wr_o.aeb_crit_cfg_reserved_a0.reserved &lt;= (others =&gt; '0');</t>
  </si>
  <si>
    <t>-- AEB Critical Configuration Area Register "RESERVED_A4" : "RESERVED" Field</t>
  </si>
  <si>
    <t>rmap_registers_wr_o.aeb_crit_cfg_reserved_a4.reserved &lt;= (others =&gt; '0');</t>
  </si>
  <si>
    <t>-- AEB Critical Configuration Area Register "RESERVED_A8" : "RESERVED" Field</t>
  </si>
  <si>
    <t>rmap_registers_wr_o.aeb_crit_cfg_reserved_a8.reserved &lt;= (others =&gt; '0');</t>
  </si>
  <si>
    <t>-- AEB Critical Configuration Area Register "RESERVED_AC" : "RESERVED" Field</t>
  </si>
  <si>
    <t>rmap_registers_wr_o.aeb_crit_cfg_reserved_ac.reserved &lt;= (others =&gt; '0');</t>
  </si>
  <si>
    <t>-- AEB Critical Configuration Area Register "RESERVED_B0" : "RESERVED" Field</t>
  </si>
  <si>
    <t>rmap_registers_wr_o.aeb_crit_cfg_reserved_b0.reserved &lt;= (others =&gt; '0');</t>
  </si>
  <si>
    <t>-- AEB Critical Configuration Area Register "RESERVED_B4" : "RESERVED" Field</t>
  </si>
  <si>
    <t>rmap_registers_wr_o.aeb_crit_cfg_reserved_b4.reserved &lt;= (others =&gt; '0');</t>
  </si>
  <si>
    <t>-- AEB Critical Configuration Area Register "RESERVED_B8" : "RESERVED" Field</t>
  </si>
  <si>
    <t>rmap_registers_wr_o.aeb_crit_cfg_reserved_b8.reserved &lt;= (others =&gt; '0');</t>
  </si>
  <si>
    <t>-- AEB Critical Configuration Area Register "RESERVED_BC" : "RESERVED" Field</t>
  </si>
  <si>
    <t>rmap_registers_wr_o.aeb_crit_cfg_reserved_bc.reserved &lt;= (others =&gt; '0');</t>
  </si>
  <si>
    <t>-- AEB Critical Configuration Area Register "RESERVED_C0" : "RESERVED" Field</t>
  </si>
  <si>
    <t>rmap_registers_wr_o.aeb_crit_cfg_reserved_c0.reserved &lt;= (others =&gt; '0');</t>
  </si>
  <si>
    <t>-- AEB Critical Configuration Area Register "RESERVED_C4" : "RESERVED" Field</t>
  </si>
  <si>
    <t>rmap_registers_wr_o.aeb_crit_cfg_reserved_c4.reserved &lt;= (others =&gt; '0');</t>
  </si>
  <si>
    <t>-- AEB Critical Configuration Area Register "RESERVED_C8" : "RESERVED" Field</t>
  </si>
  <si>
    <t>rmap_registers_wr_o.aeb_crit_cfg_reserved_c8.reserved &lt;= (others =&gt; '0');</t>
  </si>
  <si>
    <t>-- AEB Critical Configuration Area Register "RESERVED_CC" : "RESERVED" Field</t>
  </si>
  <si>
    <t>rmap_registers_wr_o.aeb_crit_cfg_reserved_cc.reserved &lt;= (others =&gt; '0');</t>
  </si>
  <si>
    <t>-- AEB Critical Configuration Area Register "RESERVED_D0" : "RESERVED" Field</t>
  </si>
  <si>
    <t>rmap_registers_wr_o.aeb_crit_cfg_reserved_d0.reserved &lt;= (others =&gt; '0');</t>
  </si>
  <si>
    <t>-- AEB Critical Configuration Area Register "RESERVED_D4" : "RESERVED" Field</t>
  </si>
  <si>
    <t>rmap_registers_wr_o.aeb_crit_cfg_reserved_d4.reserved &lt;= (others =&gt; '0');</t>
  </si>
  <si>
    <t>-- AEB Critical Configuration Area Register "RESERVED_D8" : "RESERVED" Field</t>
  </si>
  <si>
    <t>rmap_registers_wr_o.aeb_crit_cfg_reserved_d8.reserved &lt;= (others =&gt; '0');</t>
  </si>
  <si>
    <t>-- AEB Critical Configuration Area Register "RESERVED_DC" : "RESERVED" Field</t>
  </si>
  <si>
    <t>rmap_registers_wr_o.aeb_crit_cfg_reserved_dc.reserved &lt;= (others =&gt; '0');</t>
  </si>
  <si>
    <t>-- AEB Critical Configuration Area Register "RESERVED_E0" : "RESERVED" Field</t>
  </si>
  <si>
    <t>rmap_registers_wr_o.aeb_crit_cfg_reserved_e0.reserved &lt;= (others =&gt; '0');</t>
  </si>
  <si>
    <t>-- AEB Critical Configuration Area Register "RESERVED_E4" : "RESERVED" Field</t>
  </si>
  <si>
    <t>rmap_registers_wr_o.aeb_crit_cfg_reserved_e4.reserved &lt;= (others =&gt; '0');</t>
  </si>
  <si>
    <t>-- AEB Critical Configuration Area Register "RESERVED_E8" : "RESERVED" Field</t>
  </si>
  <si>
    <t>rmap_registers_wr_o.aeb_crit_cfg_reserved_e8.reserved &lt;= (others =&gt; '0');</t>
  </si>
  <si>
    <t>-- AEB Critical Configuration Area Register "RESERVED_EC" : "RESERVED" Field</t>
  </si>
  <si>
    <t>rmap_registers_wr_o.aeb_crit_cfg_reserved_ec.reserved &lt;= (others =&gt; '0');</t>
  </si>
  <si>
    <t>-- AEB Critical Configuration Area Register "RESERVED_F0" : "RESERVED" Field</t>
  </si>
  <si>
    <t>rmap_registers_wr_o.aeb_crit_cfg_reserved_f0.reserved &lt;= (others =&gt; '0');</t>
  </si>
  <si>
    <t>-- AEB Critical Configuration Area Register "RESERVED_F4" : "RESERVED" Field</t>
  </si>
  <si>
    <t>rmap_registers_wr_o.aeb_crit_cfg_reserved_f4.reserved &lt;= (others =&gt; '0');</t>
  </si>
  <si>
    <t>-- AEB Critical Configuration Area Register "RESERVED_F8" : "RESERVED" Field</t>
  </si>
  <si>
    <t>rmap_registers_wr_o.aeb_crit_cfg_reserved_f8.reserved &lt;= (others =&gt; '0');</t>
  </si>
  <si>
    <t>-- AEB Critical Configuration Area Register "RESERVED_FC" : "RESERVED" Field</t>
  </si>
  <si>
    <t>rmap_registers_wr_o.aeb_crit_cfg_reserved_fc.reserved &lt;= (others =&gt; '0');</t>
  </si>
  <si>
    <t>-- AEB General Configuration Area Register "ADC1_CONFIG_1" : "RESERVED_0" Field</t>
  </si>
  <si>
    <t>rmap_registers_wr_o.aeb_gen_cfg_adc1_config_1.reserved_0 &lt;= '0';</t>
  </si>
  <si>
    <t>-- AEB General Configuration Area Register "ADC1_CONFIG_1" : "SPIRST" Field</t>
  </si>
  <si>
    <t>rmap_registers_wr_o.aeb_gen_cfg_adc1_config_1.spirst &lt;= '1';</t>
  </si>
  <si>
    <t>-- AEB General Configuration Area Register "ADC1_CONFIG_1" : "MUXMOD" Field</t>
  </si>
  <si>
    <t>rmap_registers_wr_o.aeb_gen_cfg_adc1_config_1.muxmod &lt;= '0';</t>
  </si>
  <si>
    <t>-- AEB General Configuration Area Register "ADC1_CONFIG_1" : "BYPAS" Field</t>
  </si>
  <si>
    <t>rmap_registers_wr_o.aeb_gen_cfg_adc1_config_1.bypas &lt;= '1';</t>
  </si>
  <si>
    <t>-- AEB General Configuration Area Register "ADC1_CONFIG_1" : "CLKENB" Field</t>
  </si>
  <si>
    <t>rmap_registers_wr_o.aeb_gen_cfg_adc1_config_1.clkenb &lt;= '0';</t>
  </si>
  <si>
    <t>-- AEB General Configuration Area Register "ADC1_CONFIG_1" : "CHOP" Field</t>
  </si>
  <si>
    <t>rmap_registers_wr_o.aeb_gen_cfg_adc1_config_1.chop &lt;= '1';</t>
  </si>
  <si>
    <t>-- AEB General Configuration Area Register "ADC1_CONFIG_1" : "STAT" Field</t>
  </si>
  <si>
    <t>rmap_registers_wr_o.aeb_gen_cfg_adc1_config_1.stat &lt;= '1';</t>
  </si>
  <si>
    <t>-- AEB General Configuration Area Register "ADC1_CONFIG_1" : "RESERVED_1" Field</t>
  </si>
  <si>
    <t>rmap_registers_wr_o.aeb_gen_cfg_adc1_config_1.reserved_1 &lt;= '0';</t>
  </si>
  <si>
    <t>-- AEB General Configuration Area Register "ADC1_CONFIG_1" : "IDLMOD" Field</t>
  </si>
  <si>
    <t>rmap_registers_wr_o.aeb_gen_cfg_adc1_config_1.idlmod &lt;= '0';</t>
  </si>
  <si>
    <t>-- AEB General Configuration Area Register "ADC1_CONFIG_1" : "DLY" Field</t>
  </si>
  <si>
    <t>rmap_registers_wr_o.aeb_gen_cfg_adc1_config_1.dly &lt;= "100";</t>
  </si>
  <si>
    <t>-- AEB General Configuration Area Register "ADC1_CONFIG_1" : "SBCS" Field</t>
  </si>
  <si>
    <t>rmap_registers_wr_o.aeb_gen_cfg_adc1_config_1.sbcs &lt;= (others =&gt; '0');</t>
  </si>
  <si>
    <t>-- AEB General Configuration Area Register "ADC1_CONFIG_1" : "DRATE" Field</t>
  </si>
  <si>
    <t>rmap_registers_wr_o.aeb_gen_cfg_adc1_config_1.drate &lt;= (others =&gt; '0');</t>
  </si>
  <si>
    <t>-- AEB General Configuration Area Register "ADC1_CONFIG_1" : "AINP" Field</t>
  </si>
  <si>
    <t>rmap_registers_wr_o.aeb_gen_cfg_adc1_config_1.ainp &lt;= (others =&gt; '0');</t>
  </si>
  <si>
    <t>-- AEB General Configuration Area Register "ADC1_CONFIG_1" : "AINN" Field</t>
  </si>
  <si>
    <t>rmap_registers_wr_o.aeb_gen_cfg_adc1_config_1.ainn &lt;= (others =&gt; '0');</t>
  </si>
  <si>
    <t>-- AEB General Configuration Area Register "ADC1_CONFIG_1" : "DIFF" Field</t>
  </si>
  <si>
    <t>rmap_registers_wr_o.aeb_gen_cfg_adc1_config_1.diff &lt;= x"3F";</t>
  </si>
  <si>
    <t>-- AEB General Configuration Area Register "ADC1_CONFIG_2" : "AIN7" Field</t>
  </si>
  <si>
    <t>rmap_registers_wr_o.aeb_gen_cfg_adc1_config_2.ain7 &lt;= '0';</t>
  </si>
  <si>
    <t>-- AEB General Configuration Area Register "ADC1_CONFIG_2" : "AIN6" Field</t>
  </si>
  <si>
    <t>rmap_registers_wr_o.aeb_gen_cfg_adc1_config_2.ain6 &lt;= '0';</t>
  </si>
  <si>
    <t>-- AEB General Configuration Area Register "ADC1_CONFIG_2" : "AIN5" Field</t>
  </si>
  <si>
    <t>rmap_registers_wr_o.aeb_gen_cfg_adc1_config_2.ain5 &lt;= '0';</t>
  </si>
  <si>
    <t>-- AEB General Configuration Area Register "ADC1_CONFIG_2" : "AIN4" Field</t>
  </si>
  <si>
    <t>rmap_registers_wr_o.aeb_gen_cfg_adc1_config_2.ain4 &lt;= '0';</t>
  </si>
  <si>
    <t>-- AEB General Configuration Area Register "ADC1_CONFIG_2" : "AIN3" Field</t>
  </si>
  <si>
    <t>rmap_registers_wr_o.aeb_gen_cfg_adc1_config_2.ain3 &lt;= '0';</t>
  </si>
  <si>
    <t>-- AEB General Configuration Area Register "ADC1_CONFIG_2" : "AIN2" Field</t>
  </si>
  <si>
    <t>rmap_registers_wr_o.aeb_gen_cfg_adc1_config_2.ain2 &lt;= '0';</t>
  </si>
  <si>
    <t>-- AEB General Configuration Area Register "ADC1_CONFIG_2" : "AIN1" Field</t>
  </si>
  <si>
    <t>rmap_registers_wr_o.aeb_gen_cfg_adc1_config_2.ain1 &lt;= '0';</t>
  </si>
  <si>
    <t>-- AEB General Configuration Area Register "ADC1_CONFIG_2" : "AIN0" Field</t>
  </si>
  <si>
    <t>rmap_registers_wr_o.aeb_gen_cfg_adc1_config_2.ain0 &lt;= '0';</t>
  </si>
  <si>
    <t>-- AEB General Configuration Area Register "ADC1_CONFIG_2" : "AIN15" Field</t>
  </si>
  <si>
    <t>rmap_registers_wr_o.aeb_gen_cfg_adc1_config_2.ain15 &lt;= '1';</t>
  </si>
  <si>
    <t>-- AEB General Configuration Area Register "ADC1_CONFIG_2" : "AIN14" Field</t>
  </si>
  <si>
    <t>rmap_registers_wr_o.aeb_gen_cfg_adc1_config_2.ain14 &lt;= '1';</t>
  </si>
  <si>
    <t>-- AEB General Configuration Area Register "ADC1_CONFIG_2" : "AIN13" Field</t>
  </si>
  <si>
    <t>rmap_registers_wr_o.aeb_gen_cfg_adc1_config_2.ain13 &lt;= '1';</t>
  </si>
  <si>
    <t>-- AEB General Configuration Area Register "ADC1_CONFIG_2" : "AIN12" Field</t>
  </si>
  <si>
    <t>rmap_registers_wr_o.aeb_gen_cfg_adc1_config_2.ain12 &lt;= '1';</t>
  </si>
  <si>
    <t>-- AEB General Configuration Area Register "ADC1_CONFIG_2" : "AIN11" Field</t>
  </si>
  <si>
    <t>rmap_registers_wr_o.aeb_gen_cfg_adc1_config_2.ain11 &lt;= '0';</t>
  </si>
  <si>
    <t>-- AEB General Configuration Area Register "ADC1_CONFIG_2" : "AIN10" Field</t>
  </si>
  <si>
    <t>rmap_registers_wr_o.aeb_gen_cfg_adc1_config_2.ain10 &lt;= '0';</t>
  </si>
  <si>
    <t>-- AEB General Configuration Area Register "ADC1_CONFIG_2" : "AIN9" Field</t>
  </si>
  <si>
    <t>rmap_registers_wr_o.aeb_gen_cfg_adc1_config_2.ain9 &lt;= '0';</t>
  </si>
  <si>
    <t>-- AEB General Configuration Area Register "ADC1_CONFIG_2" : "AIN8" Field</t>
  </si>
  <si>
    <t>rmap_registers_wr_o.aeb_gen_cfg_adc1_config_2.ain8 &lt;= '0';</t>
  </si>
  <si>
    <t>-- AEB General Configuration Area Register "ADC1_CONFIG_2" : "RESERVED_0" Field</t>
  </si>
  <si>
    <t>rmap_registers_wr_o.aeb_gen_cfg_adc1_config_2.reserved_0 &lt;= (others =&gt; '0');</t>
  </si>
  <si>
    <t>-- AEB General Configuration Area Register "ADC1_CONFIG_2" : "REF" Field</t>
  </si>
  <si>
    <t>rmap_registers_wr_o.aeb_gen_cfg_adc1_config_2.ref &lt;= '0';</t>
  </si>
  <si>
    <t>-- AEB General Configuration Area Register "ADC1_CONFIG_2" : "GAIN" Field</t>
  </si>
  <si>
    <t>rmap_registers_wr_o.aeb_gen_cfg_adc1_config_2.gain &lt;= '0';</t>
  </si>
  <si>
    <t>-- AEB General Configuration Area Register "ADC1_CONFIG_2" : "TEMP" Field</t>
  </si>
  <si>
    <t>rmap_registers_wr_o.aeb_gen_cfg_adc1_config_2.temp &lt;= '0';</t>
  </si>
  <si>
    <t>-- AEB General Configuration Area Register "ADC1_CONFIG_2" : "VCC" Field</t>
  </si>
  <si>
    <t>rmap_registers_wr_o.aeb_gen_cfg_adc1_config_2.vcc &lt;= '0';</t>
  </si>
  <si>
    <t>-- AEB General Configuration Area Register "ADC1_CONFIG_2" : "RESERVED_1" Field</t>
  </si>
  <si>
    <t>rmap_registers_wr_o.aeb_gen_cfg_adc1_config_2.reserved_1 &lt;= '0';</t>
  </si>
  <si>
    <t>-- AEB General Configuration Area Register "ADC1_CONFIG_2" : "OFFSET" Field</t>
  </si>
  <si>
    <t>rmap_registers_wr_o.aeb_gen_cfg_adc1_config_2.offset &lt;= '0';</t>
  </si>
  <si>
    <t>-- AEB General Configuration Area Register "ADC1_CONFIG_2" : "CIO7" Field</t>
  </si>
  <si>
    <t>rmap_registers_wr_o.aeb_gen_cfg_adc1_config_2.cio7 &lt;= '0';</t>
  </si>
  <si>
    <t>-- AEB General Configuration Area Register "ADC1_CONFIG_2" : "CIO6" Field</t>
  </si>
  <si>
    <t>rmap_registers_wr_o.aeb_gen_cfg_adc1_config_2.cio6 &lt;= '0';</t>
  </si>
  <si>
    <t>-- AEB General Configuration Area Register "ADC1_CONFIG_2" : "CIO5" Field</t>
  </si>
  <si>
    <t>rmap_registers_wr_o.aeb_gen_cfg_adc1_config_2.cio5 &lt;= '0';</t>
  </si>
  <si>
    <t>-- AEB General Configuration Area Register "ADC1_CONFIG_2" : "CIO4" Field</t>
  </si>
  <si>
    <t>rmap_registers_wr_o.aeb_gen_cfg_adc1_config_2.cio4 &lt;= '0';</t>
  </si>
  <si>
    <t>-- AEB General Configuration Area Register "ADC1_CONFIG_2" : "CIO3" Field</t>
  </si>
  <si>
    <t>rmap_registers_wr_o.aeb_gen_cfg_adc1_config_2.cio3 &lt;= '0';</t>
  </si>
  <si>
    <t>-- AEB General Configuration Area Register "ADC1_CONFIG_2" : "CIO2" Field</t>
  </si>
  <si>
    <t>rmap_registers_wr_o.aeb_gen_cfg_adc1_config_2.cio2 &lt;= '0';</t>
  </si>
  <si>
    <t>-- AEB General Configuration Area Register "ADC1_CONFIG_2" : "CIO1" Field</t>
  </si>
  <si>
    <t>rmap_registers_wr_o.aeb_gen_cfg_adc1_config_2.cio1 &lt;= '0';</t>
  </si>
  <si>
    <t>-- AEB General Configuration Area Register "ADC1_CONFIG_2" : "CIO0" Field</t>
  </si>
  <si>
    <t>rmap_registers_wr_o.aeb_gen_cfg_adc1_config_2.cio0 &lt;= '0';</t>
  </si>
  <si>
    <t>-- AEB General Configuration Area Register "ADC1_CONFIG_3" : "DIO7" Field</t>
  </si>
  <si>
    <t>rmap_registers_wr_o.aeb_gen_cfg_adc1_config_3.dio7 &lt;= '0';</t>
  </si>
  <si>
    <t>-- AEB General Configuration Area Register "ADC1_CONFIG_3" : "DIO6" Field</t>
  </si>
  <si>
    <t>rmap_registers_wr_o.aeb_gen_cfg_adc1_config_3.dio6 &lt;= '0';</t>
  </si>
  <si>
    <t>-- AEB General Configuration Area Register "ADC1_CONFIG_3" : "DIO5" Field</t>
  </si>
  <si>
    <t>rmap_registers_wr_o.aeb_gen_cfg_adc1_config_3.dio5 &lt;= '0';</t>
  </si>
  <si>
    <t>-- AEB General Configuration Area Register "ADC1_CONFIG_3" : "DIO4" Field</t>
  </si>
  <si>
    <t>rmap_registers_wr_o.aeb_gen_cfg_adc1_config_3.dio4 &lt;= '0';</t>
  </si>
  <si>
    <t>-- AEB General Configuration Area Register "ADC1_CONFIG_3" : "DIO3" Field</t>
  </si>
  <si>
    <t>rmap_registers_wr_o.aeb_gen_cfg_adc1_config_3.dio3 &lt;= '0';</t>
  </si>
  <si>
    <t>-- AEB General Configuration Area Register "ADC1_CONFIG_3" : "DIO2" Field</t>
  </si>
  <si>
    <t>rmap_registers_wr_o.aeb_gen_cfg_adc1_config_3.dio2 &lt;= '0';</t>
  </si>
  <si>
    <t>-- AEB General Configuration Area Register "ADC1_CONFIG_3" : "DIO1" Field</t>
  </si>
  <si>
    <t>rmap_registers_wr_o.aeb_gen_cfg_adc1_config_3.dio1 &lt;= '0';</t>
  </si>
  <si>
    <t>-- AEB General Configuration Area Register "ADC1_CONFIG_3" : "DIO0" Field</t>
  </si>
  <si>
    <t>rmap_registers_wr_o.aeb_gen_cfg_adc1_config_3.dio0 &lt;= '0';</t>
  </si>
  <si>
    <t>-- AEB General Configuration Area Register "ADC1_CONFIG_3" : "RESERVED" Field</t>
  </si>
  <si>
    <t>rmap_registers_wr_o.aeb_gen_cfg_adc1_config_3.reserved &lt;= (others =&gt; '0');</t>
  </si>
  <si>
    <t>-- AEB General Configuration Area Register "ADC2_CONFIG_1" : "RESERVED_0" Field</t>
  </si>
  <si>
    <t>rmap_registers_wr_o.aeb_gen_cfg_adc2_config_1.reserved_0 &lt;= '0';</t>
  </si>
  <si>
    <t>-- AEB General Configuration Area Register "ADC2_CONFIG_1" : "SPIRST" Field</t>
  </si>
  <si>
    <t>rmap_registers_wr_o.aeb_gen_cfg_adc2_config_1.spirst &lt;= '1';</t>
  </si>
  <si>
    <t>-- AEB General Configuration Area Register "ADC2_CONFIG_1" : "MUXMOD" Field</t>
  </si>
  <si>
    <t>rmap_registers_wr_o.aeb_gen_cfg_adc2_config_1.muxmod &lt;= '0';</t>
  </si>
  <si>
    <t>-- AEB General Configuration Area Register "ADC2_CONFIG_1" : "BYPAS" Field</t>
  </si>
  <si>
    <t>rmap_registers_wr_o.aeb_gen_cfg_adc2_config_1.bypas &lt;= '1';</t>
  </si>
  <si>
    <t>-- AEB General Configuration Area Register "ADC2_CONFIG_1" : "CLKENB" Field</t>
  </si>
  <si>
    <t>rmap_registers_wr_o.aeb_gen_cfg_adc2_config_1.clkenb &lt;= '0';</t>
  </si>
  <si>
    <t>-- AEB General Configuration Area Register "ADC2_CONFIG_1" : "CHOP" Field</t>
  </si>
  <si>
    <t>rmap_registers_wr_o.aeb_gen_cfg_adc2_config_1.chop &lt;= '1';</t>
  </si>
  <si>
    <t>-- AEB General Configuration Area Register "ADC2_CONFIG_1" : "STAT" Field</t>
  </si>
  <si>
    <t>rmap_registers_wr_o.aeb_gen_cfg_adc2_config_1.stat &lt;= '1';</t>
  </si>
  <si>
    <t>-- AEB General Configuration Area Register "ADC2_CONFIG_1" : "RESERVED_1" Field</t>
  </si>
  <si>
    <t>rmap_registers_wr_o.aeb_gen_cfg_adc2_config_1.reserved_1 &lt;= '0';</t>
  </si>
  <si>
    <t>-- AEB General Configuration Area Register "ADC2_CONFIG_1" : "IDLMOD" Field</t>
  </si>
  <si>
    <t>rmap_registers_wr_o.aeb_gen_cfg_adc2_config_1.idlmod &lt;= '0';</t>
  </si>
  <si>
    <t>-- AEB General Configuration Area Register "ADC2_CONFIG_1" : "DLY" Field</t>
  </si>
  <si>
    <t>rmap_registers_wr_o.aeb_gen_cfg_adc2_config_1.dly &lt;= "100";</t>
  </si>
  <si>
    <t>-- AEB General Configuration Area Register "ADC2_CONFIG_1" : "SBCS" Field</t>
  </si>
  <si>
    <t>rmap_registers_wr_o.aeb_gen_cfg_adc2_config_1.sbcs &lt;= (others =&gt; '0');</t>
  </si>
  <si>
    <t>-- AEB General Configuration Area Register "ADC2_CONFIG_1" : "DRATE" Field</t>
  </si>
  <si>
    <t>rmap_registers_wr_o.aeb_gen_cfg_adc2_config_1.drate &lt;= (others =&gt; '0');</t>
  </si>
  <si>
    <t>-- AEB General Configuration Area Register "ADC2_CONFIG_1" : "AINP" Field</t>
  </si>
  <si>
    <t>rmap_registers_wr_o.aeb_gen_cfg_adc2_config_1.ainp &lt;= (others =&gt; '0');</t>
  </si>
  <si>
    <t>-- AEB General Configuration Area Register "ADC2_CONFIG_1" : "AINN" Field</t>
  </si>
  <si>
    <t>rmap_registers_wr_o.aeb_gen_cfg_adc2_config_1.ainn &lt;= (others =&gt; '0');</t>
  </si>
  <si>
    <t>-- AEB General Configuration Area Register "ADC2_CONFIG_1" : "DIFF" Field</t>
  </si>
  <si>
    <t>rmap_registers_wr_o.aeb_gen_cfg_adc2_config_1.diff &lt;= x"8F";</t>
  </si>
  <si>
    <t>-- AEB General Configuration Area Register "ADC2_CONFIG_2" : "AIN7" Field</t>
  </si>
  <si>
    <t>rmap_registers_wr_o.aeb_gen_cfg_adc2_config_2.ain7 &lt;= '0';</t>
  </si>
  <si>
    <t>-- AEB General Configuration Area Register "ADC2_CONFIG_2" : "AIN6" Field</t>
  </si>
  <si>
    <t>rmap_registers_wr_o.aeb_gen_cfg_adc2_config_2.ain6 &lt;= '0';</t>
  </si>
  <si>
    <t>-- AEB General Configuration Area Register "ADC2_CONFIG_2" : "AIN5" Field</t>
  </si>
  <si>
    <t>rmap_registers_wr_o.aeb_gen_cfg_adc2_config_2.ain5 &lt;= '0';</t>
  </si>
  <si>
    <t>-- AEB General Configuration Area Register "ADC2_CONFIG_2" : "AIN4" Field</t>
  </si>
  <si>
    <t>rmap_registers_wr_o.aeb_gen_cfg_adc2_config_2.ain4 &lt;= '0';</t>
  </si>
  <si>
    <t>-- AEB General Configuration Area Register "ADC2_CONFIG_2" : "AIN3" Field</t>
  </si>
  <si>
    <t>rmap_registers_wr_o.aeb_gen_cfg_adc2_config_2.ain3 &lt;= '0';</t>
  </si>
  <si>
    <t>-- AEB General Configuration Area Register "ADC2_CONFIG_2" : "AIN2" Field</t>
  </si>
  <si>
    <t>rmap_registers_wr_o.aeb_gen_cfg_adc2_config_2.ain2 &lt;= '0';</t>
  </si>
  <si>
    <t>-- AEB General Configuration Area Register "ADC2_CONFIG_2" : "AIN1" Field</t>
  </si>
  <si>
    <t>rmap_registers_wr_o.aeb_gen_cfg_adc2_config_2.ain1 &lt;= '0';</t>
  </si>
  <si>
    <t>-- AEB General Configuration Area Register "ADC2_CONFIG_2" : "AIN0" Field</t>
  </si>
  <si>
    <t>rmap_registers_wr_o.aeb_gen_cfg_adc2_config_2.ain0 &lt;= '0';</t>
  </si>
  <si>
    <t>-- AEB General Configuration Area Register "ADC2_CONFIG_2" : "AIN15" Field</t>
  </si>
  <si>
    <t>rmap_registers_wr_o.aeb_gen_cfg_adc2_config_2.ain15 &lt;= '0';</t>
  </si>
  <si>
    <t>-- AEB General Configuration Area Register "ADC2_CONFIG_2" : "AIN14" Field</t>
  </si>
  <si>
    <t>rmap_registers_wr_o.aeb_gen_cfg_adc2_config_2.ain14 &lt;= '0';</t>
  </si>
  <si>
    <t>-- AEB General Configuration Area Register "ADC2_CONFIG_2" : "AIN13" Field</t>
  </si>
  <si>
    <t>rmap_registers_wr_o.aeb_gen_cfg_adc2_config_2.ain13 &lt;= '1';</t>
  </si>
  <si>
    <t>-- AEB General Configuration Area Register "ADC2_CONFIG_2" : "AIN12" Field</t>
  </si>
  <si>
    <t>rmap_registers_wr_o.aeb_gen_cfg_adc2_config_2.ain12 &lt;= '1';</t>
  </si>
  <si>
    <t>-- AEB General Configuration Area Register "ADC2_CONFIG_2" : "AIN11" Field</t>
  </si>
  <si>
    <t>rmap_registers_wr_o.aeb_gen_cfg_adc2_config_2.ain11 &lt;= '1';</t>
  </si>
  <si>
    <t>-- AEB General Configuration Area Register "ADC2_CONFIG_2" : "AIN10" Field</t>
  </si>
  <si>
    <t>rmap_registers_wr_o.aeb_gen_cfg_adc2_config_2.ain10 &lt;= '1';</t>
  </si>
  <si>
    <t>-- AEB General Configuration Area Register "ADC2_CONFIG_2" : "AIN9" Field</t>
  </si>
  <si>
    <t>rmap_registers_wr_o.aeb_gen_cfg_adc2_config_2.ain9 &lt;= '1';</t>
  </si>
  <si>
    <t>-- AEB General Configuration Area Register "ADC2_CONFIG_2" : "AIN8" Field</t>
  </si>
  <si>
    <t>rmap_registers_wr_o.aeb_gen_cfg_adc2_config_2.ain8 &lt;= '1';</t>
  </si>
  <si>
    <t>-- AEB General Configuration Area Register "ADC2_CONFIG_2" : "RESERVED_0" Field</t>
  </si>
  <si>
    <t>rmap_registers_wr_o.aeb_gen_cfg_adc2_config_2.reserved_0 &lt;= (others =&gt; '0');</t>
  </si>
  <si>
    <t>-- AEB General Configuration Area Register "ADC2_CONFIG_2" : "REF" Field</t>
  </si>
  <si>
    <t>rmap_registers_wr_o.aeb_gen_cfg_adc2_config_2.ref &lt;= '0';</t>
  </si>
  <si>
    <t>-- AEB General Configuration Area Register "ADC2_CONFIG_2" : "GAIN" Field</t>
  </si>
  <si>
    <t>rmap_registers_wr_o.aeb_gen_cfg_adc2_config_2.gain &lt;= '0';</t>
  </si>
  <si>
    <t>-- AEB General Configuration Area Register "ADC2_CONFIG_2" : "TEMP" Field</t>
  </si>
  <si>
    <t>rmap_registers_wr_o.aeb_gen_cfg_adc2_config_2.temp &lt;= '0';</t>
  </si>
  <si>
    <t>-- AEB General Configuration Area Register "ADC2_CONFIG_2" : "VCC" Field</t>
  </si>
  <si>
    <t>rmap_registers_wr_o.aeb_gen_cfg_adc2_config_2.vcc &lt;= '0';</t>
  </si>
  <si>
    <t>-- AEB General Configuration Area Register "ADC2_CONFIG_2" : "RESERVED_1" Field</t>
  </si>
  <si>
    <t>rmap_registers_wr_o.aeb_gen_cfg_adc2_config_2.reserved_1 &lt;= '0';</t>
  </si>
  <si>
    <t>-- AEB General Configuration Area Register "ADC2_CONFIG_2" : "OFFSET" Field</t>
  </si>
  <si>
    <t>rmap_registers_wr_o.aeb_gen_cfg_adc2_config_2.offset &lt;= '0';</t>
  </si>
  <si>
    <t>-- AEB General Configuration Area Register "ADC2_CONFIG_2" : "CIO7" Field</t>
  </si>
  <si>
    <t>rmap_registers_wr_o.aeb_gen_cfg_adc2_config_2.cio7 &lt;= '0';</t>
  </si>
  <si>
    <t>-- AEB General Configuration Area Register "ADC2_CONFIG_2" : "CIO6" Field</t>
  </si>
  <si>
    <t>rmap_registers_wr_o.aeb_gen_cfg_adc2_config_2.cio6 &lt;= '0';</t>
  </si>
  <si>
    <t>-- AEB General Configuration Area Register "ADC2_CONFIG_2" : "CIO5" Field</t>
  </si>
  <si>
    <t>rmap_registers_wr_o.aeb_gen_cfg_adc2_config_2.cio5 &lt;= '0';</t>
  </si>
  <si>
    <t>-- AEB General Configuration Area Register "ADC2_CONFIG_2" : "CIO4" Field</t>
  </si>
  <si>
    <t>rmap_registers_wr_o.aeb_gen_cfg_adc2_config_2.cio4 &lt;= '0';</t>
  </si>
  <si>
    <t>-- AEB General Configuration Area Register "ADC2_CONFIG_2" : "CIO3" Field</t>
  </si>
  <si>
    <t>rmap_registers_wr_o.aeb_gen_cfg_adc2_config_2.cio3 &lt;= '0';</t>
  </si>
  <si>
    <t>-- AEB General Configuration Area Register "ADC2_CONFIG_2" : "CIO2" Field</t>
  </si>
  <si>
    <t>rmap_registers_wr_o.aeb_gen_cfg_adc2_config_2.cio2 &lt;= '0';</t>
  </si>
  <si>
    <t>-- AEB General Configuration Area Register "ADC2_CONFIG_2" : "CIO1" Field</t>
  </si>
  <si>
    <t>rmap_registers_wr_o.aeb_gen_cfg_adc2_config_2.cio1 &lt;= '0';</t>
  </si>
  <si>
    <t>-- AEB General Configuration Area Register "ADC2_CONFIG_2" : "CIO0" Field</t>
  </si>
  <si>
    <t>rmap_registers_wr_o.aeb_gen_cfg_adc2_config_2.cio0 &lt;= '0';</t>
  </si>
  <si>
    <t>-- AEB General Configuration Area Register "ADC2_CONFIG_3" : "DIO7" Field</t>
  </si>
  <si>
    <t>rmap_registers_wr_o.aeb_gen_cfg_adc2_config_3.dio7 &lt;= '0';</t>
  </si>
  <si>
    <t>-- AEB General Configuration Area Register "ADC2_CONFIG_3" : "DIO6" Field</t>
  </si>
  <si>
    <t>rmap_registers_wr_o.aeb_gen_cfg_adc2_config_3.dio6 &lt;= '0';</t>
  </si>
  <si>
    <t>-- AEB General Configuration Area Register "ADC2_CONFIG_3" : "DIO5" Field</t>
  </si>
  <si>
    <t>rmap_registers_wr_o.aeb_gen_cfg_adc2_config_3.dio5 &lt;= '0';</t>
  </si>
  <si>
    <t>-- AEB General Configuration Area Register "ADC2_CONFIG_3" : "DIO4" Field</t>
  </si>
  <si>
    <t>rmap_registers_wr_o.aeb_gen_cfg_adc2_config_3.dio4 &lt;= '0';</t>
  </si>
  <si>
    <t>-- AEB General Configuration Area Register "ADC2_CONFIG_3" : "DIO3" Field</t>
  </si>
  <si>
    <t>rmap_registers_wr_o.aeb_gen_cfg_adc2_config_3.dio3 &lt;= '0';</t>
  </si>
  <si>
    <t>-- AEB General Configuration Area Register "ADC2_CONFIG_3" : "DIO2" Field</t>
  </si>
  <si>
    <t>rmap_registers_wr_o.aeb_gen_cfg_adc2_config_3.dio2 &lt;= '0';</t>
  </si>
  <si>
    <t>-- AEB General Configuration Area Register "ADC2_CONFIG_3" : "DIO1" Field</t>
  </si>
  <si>
    <t>rmap_registers_wr_o.aeb_gen_cfg_adc2_config_3.dio1 &lt;= '0';</t>
  </si>
  <si>
    <t>-- AEB General Configuration Area Register "ADC2_CONFIG_3" : "DIO0" Field</t>
  </si>
  <si>
    <t>rmap_registers_wr_o.aeb_gen_cfg_adc2_config_3.dio0 &lt;= '0';</t>
  </si>
  <si>
    <t>-- AEB General Configuration Area Register "ADC2_CONFIG_3" : "RESERVED" Field</t>
  </si>
  <si>
    <t>rmap_registers_wr_o.aeb_gen_cfg_adc2_config_3.reserved &lt;= (others =&gt; '0');</t>
  </si>
  <si>
    <t>-- AEB General Configuration Area Register "RESERVED_118" : "RESERVED" Field</t>
  </si>
  <si>
    <t>rmap_registers_wr_o.aeb_gen_cfg_reserved_118.reserved &lt;= (others =&gt; '0');</t>
  </si>
  <si>
    <t>-- AEB General Configuration Area Register "RESERVED_11C" : "RESERVED" Field</t>
  </si>
  <si>
    <t>rmap_registers_wr_o.aeb_gen_cfg_reserved_11c.reserved &lt;= (others =&gt; '0');</t>
  </si>
  <si>
    <t>-- AEB General Configuration Area Register "SEQ_CONFIG_1" : "RESERVED_0" Field</t>
  </si>
  <si>
    <t>rmap_registers_wr_o.aeb_gen_cfg_seq_config_1.reserved_0 &lt;= (others =&gt; '0');</t>
  </si>
  <si>
    <t>-- AEB General Configuration Area Register "SEQ_CONFIG_1" : "SEQ_OE_CCD_ENABLE" Field</t>
  </si>
  <si>
    <t>rmap_registers_wr_o.aeb_gen_cfg_seq_config_1.seq_oe_ccd_enable &lt;= '1';</t>
  </si>
  <si>
    <t>-- AEB General Configuration Area Register "SEQ_CONFIG_1" : "SEQ_OE_SPARE" Field</t>
  </si>
  <si>
    <t>rmap_registers_wr_o.aeb_gen_cfg_seq_config_1.seq_oe_spare &lt;= '0';</t>
  </si>
  <si>
    <t>-- AEB General Configuration Area Register "SEQ_CONFIG_1" : "SEQ_OE_TSTLINE" Field</t>
  </si>
  <si>
    <t>rmap_registers_wr_o.aeb_gen_cfg_seq_config_1.seq_oe_tstline &lt;= '0';</t>
  </si>
  <si>
    <t>-- AEB General Configuration Area Register "SEQ_CONFIG_1" : "SEQ_OE_TSTFRM" Field</t>
  </si>
  <si>
    <t>rmap_registers_wr_o.aeb_gen_cfg_seq_config_1.seq_oe_tstfrm &lt;= '0';</t>
  </si>
  <si>
    <t>-- AEB General Configuration Area Register "SEQ_CONFIG_1" : "SEQ_OE_VASPCLAMP" Field</t>
  </si>
  <si>
    <t>rmap_registers_wr_o.aeb_gen_cfg_seq_config_1.seq_oe_vaspclamp &lt;= '1';</t>
  </si>
  <si>
    <t>-- AEB General Configuration Area Register "SEQ_CONFIG_1" : "SEQ_OE_PRECLAMP" Field</t>
  </si>
  <si>
    <t>rmap_registers_wr_o.aeb_gen_cfg_seq_config_1.seq_oe_preclamp &lt;= '0';</t>
  </si>
  <si>
    <t>-- AEB General Configuration Area Register "SEQ_CONFIG_1" : "SEQ_OE_IG" Field</t>
  </si>
  <si>
    <t>rmap_registers_wr_o.aeb_gen_cfg_seq_config_1.seq_oe_ig &lt;= '1';</t>
  </si>
  <si>
    <t>-- AEB General Configuration Area Register "SEQ_CONFIG_1" : "SEQ_OE_TG" Field</t>
  </si>
  <si>
    <t>rmap_registers_wr_o.aeb_gen_cfg_seq_config_1.seq_oe_tg &lt;= '1';</t>
  </si>
  <si>
    <t>-- AEB General Configuration Area Register "SEQ_CONFIG_1" : "SEQ_OE_DG" Field</t>
  </si>
  <si>
    <t>rmap_registers_wr_o.aeb_gen_cfg_seq_config_1.seq_oe_dg &lt;= '1';</t>
  </si>
  <si>
    <t>-- AEB General Configuration Area Register "SEQ_CONFIG_1" : "SEQ_OE_RPHIR" Field</t>
  </si>
  <si>
    <t>rmap_registers_wr_o.aeb_gen_cfg_seq_config_1.seq_oe_rphir &lt;= '1';</t>
  </si>
  <si>
    <t>-- AEB General Configuration Area Register "SEQ_CONFIG_1" : "SEQ_OE_SW" Field</t>
  </si>
  <si>
    <t>rmap_registers_wr_o.aeb_gen_cfg_seq_config_1.seq_oe_sw &lt;= '1';</t>
  </si>
  <si>
    <t>-- AEB General Configuration Area Register "SEQ_CONFIG_1" : "SEQ_OE_RPHI3" Field</t>
  </si>
  <si>
    <t>rmap_registers_wr_o.aeb_gen_cfg_seq_config_1.seq_oe_rphi3 &lt;= '1';</t>
  </si>
  <si>
    <t>-- AEB General Configuration Area Register "SEQ_CONFIG_1" : "SEQ_OE_RPHI2" Field</t>
  </si>
  <si>
    <t>rmap_registers_wr_o.aeb_gen_cfg_seq_config_1.seq_oe_rphi2 &lt;= '1';</t>
  </si>
  <si>
    <t>-- AEB General Configuration Area Register "SEQ_CONFIG_1" : "SEQ_OE_RPHI1" Field</t>
  </si>
  <si>
    <t>rmap_registers_wr_o.aeb_gen_cfg_seq_config_1.seq_oe_rphi1 &lt;= '1';</t>
  </si>
  <si>
    <t>-- AEB General Configuration Area Register "SEQ_CONFIG_1" : "SEQ_OE_SPHI4" Field</t>
  </si>
  <si>
    <t>rmap_registers_wr_o.aeb_gen_cfg_seq_config_1.seq_oe_sphi4 &lt;= '1';</t>
  </si>
  <si>
    <t>-- AEB General Configuration Area Register "SEQ_CONFIG_1" : "SEQ_OE_SPHI3" Field</t>
  </si>
  <si>
    <t>rmap_registers_wr_o.aeb_gen_cfg_seq_config_1.seq_oe_sphi3 &lt;= '1';</t>
  </si>
  <si>
    <t>-- AEB General Configuration Area Register "SEQ_CONFIG_1" : "SEQ_OE_SPHI2" Field</t>
  </si>
  <si>
    <t>rmap_registers_wr_o.aeb_gen_cfg_seq_config_1.seq_oe_sphi2 &lt;= '1';</t>
  </si>
  <si>
    <t>-- AEB General Configuration Area Register "SEQ_CONFIG_1" : "SEQ_OE_SPHI1" Field</t>
  </si>
  <si>
    <t>rmap_registers_wr_o.aeb_gen_cfg_seq_config_1.seq_oe_sphi1 &lt;= '1';</t>
  </si>
  <si>
    <t>-- AEB General Configuration Area Register "SEQ_CONFIG_1" : "SEQ_OE_IPHI4" Field</t>
  </si>
  <si>
    <t>rmap_registers_wr_o.aeb_gen_cfg_seq_config_1.seq_oe_iphi4 &lt;= '1';</t>
  </si>
  <si>
    <t>-- AEB General Configuration Area Register "SEQ_CONFIG_1" : "SEQ_OE_IPHI3" Field</t>
  </si>
  <si>
    <t>rmap_registers_wr_o.aeb_gen_cfg_seq_config_1.seq_oe_iphi3 &lt;= '1';</t>
  </si>
  <si>
    <t>-- AEB General Configuration Area Register "SEQ_CONFIG_1" : "SEQ_OE_IPHI2" Field</t>
  </si>
  <si>
    <t>rmap_registers_wr_o.aeb_gen_cfg_seq_config_1.seq_oe_iphi2 &lt;= '1';</t>
  </si>
  <si>
    <t>-- AEB General Configuration Area Register "SEQ_CONFIG_1" : "SEQ_OE_IPHI1" Field</t>
  </si>
  <si>
    <t>rmap_registers_wr_o.aeb_gen_cfg_seq_config_1.seq_oe_iphi1 &lt;= '1';</t>
  </si>
  <si>
    <t>-- AEB General Configuration Area Register "SEQ_CONFIG_1" : "RESERVED_1" Field</t>
  </si>
  <si>
    <t>rmap_registers_wr_o.aeb_gen_cfg_seq_config_1.reserved_1 &lt;= '0';</t>
  </si>
  <si>
    <t>-- AEB General Configuration Area Register "SEQ_CONFIG_1" : "ADC_CLK_DIV" Field</t>
  </si>
  <si>
    <t>rmap_registers_wr_o.aeb_gen_cfg_seq_config_1.adc_clk_div &lt;= "0011111";</t>
  </si>
  <si>
    <t>-- AEB General Configuration Area Register "SEQ_CONFIG_2" : "ADC_CLK_LOW_POS" Field</t>
  </si>
  <si>
    <t>rmap_registers_wr_o.aeb_gen_cfg_seq_config_2.adc_clk_low_pos &lt;= x"0E";</t>
  </si>
  <si>
    <t>-- AEB General Configuration Area Register "SEQ_CONFIG_2" : "ADC_CLK_HIGH_POS" Field</t>
  </si>
  <si>
    <t>rmap_registers_wr_o.aeb_gen_cfg_seq_config_2.adc_clk_high_pos &lt;= x"1F";</t>
  </si>
  <si>
    <t>-- AEB General Configuration Area Register "SEQ_CONFIG_2" : "CDS_CLK_LOW_POS" Field</t>
  </si>
  <si>
    <t>rmap_registers_wr_o.aeb_gen_cfg_seq_config_2.cds_clk_low_pos &lt;= x"00";</t>
  </si>
  <si>
    <t>-- AEB General Configuration Area Register "SEQ_CONFIG_2" : "CDS_CLK_HIGH_POS" Field</t>
  </si>
  <si>
    <t>rmap_registers_wr_o.aeb_gen_cfg_seq_config_2.cds_clk_high_pos &lt;= x"11";</t>
  </si>
  <si>
    <t>-- AEB General Configuration Area Register "SEQ_CONFIG_3" : "RPHIR_CLK_LOW_POS" Field</t>
  </si>
  <si>
    <t>rmap_registers_wr_o.aeb_gen_cfg_seq_config_3.rphir_clk_low_pos &lt;= x"00";</t>
  </si>
  <si>
    <t>-- AEB General Configuration Area Register "SEQ_CONFIG_3" : "RPHIR_CLK_HIGH_POS" Field</t>
  </si>
  <si>
    <t>rmap_registers_wr_o.aeb_gen_cfg_seq_config_3.rphir_clk_high_pos &lt;= x"00";</t>
  </si>
  <si>
    <t>-- AEB General Configuration Area Register "SEQ_CONFIG_3" : "RPHI1_CLK_LOW_POS" Field</t>
  </si>
  <si>
    <t>rmap_registers_wr_o.aeb_gen_cfg_seq_config_3.rphi1_clk_low_pos &lt;= x"00";</t>
  </si>
  <si>
    <t>-- AEB General Configuration Area Register "SEQ_CONFIG_3" : "RPHI1_CLK_HIGH_POS" Field</t>
  </si>
  <si>
    <t>rmap_registers_wr_o.aeb_gen_cfg_seq_config_3.rphi1_clk_high_pos &lt;= x"00";</t>
  </si>
  <si>
    <t>-- AEB General Configuration Area Register "SEQ_CONFIG_4" : "RPHI2_CLK_LOW_POS" Field</t>
  </si>
  <si>
    <t>rmap_registers_wr_o.aeb_gen_cfg_seq_config_4.rphi2_clk_low_pos &lt;= x"00";</t>
  </si>
  <si>
    <t>-- AEB General Configuration Area Register "SEQ_CONFIG_4" : "RPHI2_CLK_HIGH_POS" Field</t>
  </si>
  <si>
    <t>rmap_registers_wr_o.aeb_gen_cfg_seq_config_4.rphi2_clk_high_pos &lt;= x"00";</t>
  </si>
  <si>
    <t>-- AEB General Configuration Area Register "SEQ_CONFIG_4" : "RPHI3_CLK_LOW_POS" Field</t>
  </si>
  <si>
    <t>rmap_registers_wr_o.aeb_gen_cfg_seq_config_4.rphi3_clk_low_pos &lt;= x"00";</t>
  </si>
  <si>
    <t>-- AEB General Configuration Area Register "SEQ_CONFIG_4" : "RPHI3_CLK_HIGH_POS" Field</t>
  </si>
  <si>
    <t>rmap_registers_wr_o.aeb_gen_cfg_seq_config_4.rphi3_clk_high_pos &lt;= x"00";</t>
  </si>
  <si>
    <t>-- AEB General Configuration Area Register "SEQ_CONFIG_5" : "SW_CLK_LOW_POS" Field</t>
  </si>
  <si>
    <t>rmap_registers_wr_o.aeb_gen_cfg_seq_config_5.sw_clk_low_pos &lt;= x"00";</t>
  </si>
  <si>
    <t>-- AEB General Configuration Area Register "SEQ_CONFIG_5" : "SW_CLK_HIGH_POS" Field</t>
  </si>
  <si>
    <t>rmap_registers_wr_o.aeb_gen_cfg_seq_config_5.sw_clk_high_pos &lt;= x"00";</t>
  </si>
  <si>
    <t>-- AEB General Configuration Area Register "SEQ_CONFIG_5" : "VASP_OUT_CTRL" Field</t>
  </si>
  <si>
    <t>rmap_registers_wr_o.aeb_gen_cfg_seq_config_5.vasp_out_ctrl &lt;= '0';</t>
  </si>
  <si>
    <t>-- AEB General Configuration Area Register "SEQ_CONFIG_5" : "RESERVED" Field</t>
  </si>
  <si>
    <t>rmap_registers_wr_o.aeb_gen_cfg_seq_config_5.reserved &lt;= '0';</t>
  </si>
  <si>
    <t>-- AEB General Configuration Area Register "SEQ_CONFIG_5" : "VASP_OUT_EN_POS" Field</t>
  </si>
  <si>
    <t>rmap_registers_wr_o.aeb_gen_cfg_seq_config_5.vasp_out_en_pos &lt;= (others =&gt; '0');</t>
  </si>
  <si>
    <t>-- AEB General Configuration Area Register "SEQ_CONFIG_6" : "VASP_OUT_CTRL_INV" Field</t>
  </si>
  <si>
    <t>rmap_registers_wr_o.aeb_gen_cfg_seq_config_6.vasp_out_ctrl_inv &lt;= '0';</t>
  </si>
  <si>
    <t>-- AEB General Configuration Area Register "SEQ_CONFIG_6" : "RESERVED_0" Field</t>
  </si>
  <si>
    <t>rmap_registers_wr_o.aeb_gen_cfg_seq_config_6.reserved_0 &lt;= '0';</t>
  </si>
  <si>
    <t>-- AEB General Configuration Area Register "SEQ_CONFIG_6" : "VASP_OUT_DIS_POS" Field</t>
  </si>
  <si>
    <t>rmap_registers_wr_o.aeb_gen_cfg_seq_config_6.vasp_out_dis_pos &lt;= (others =&gt; '0');</t>
  </si>
  <si>
    <t>-- AEB General Configuration Area Register "SEQ_CONFIG_6" : "RESERVED_1" Field</t>
  </si>
  <si>
    <t>rmap_registers_wr_o.aeb_gen_cfg_seq_config_6.reserved_1 &lt;= (others =&gt; '0');</t>
  </si>
  <si>
    <t>-- AEB General Configuration Area Register "SEQ_CONFIG_7" : "RESERVED" Field</t>
  </si>
  <si>
    <t>rmap_registers_wr_o.aeb_gen_cfg_seq_config_7.reserved &lt;= (others =&gt; '0');</t>
  </si>
  <si>
    <t>-- AEB General Configuration Area Register "SEQ_CONFIG_8" : "RESERVED" Field</t>
  </si>
  <si>
    <t>rmap_registers_wr_o.aeb_gen_cfg_seq_config_8.reserved &lt;= (others =&gt; '0');</t>
  </si>
  <si>
    <t>-- AEB General Configuration Area Register "SEQ_CONFIG_9" : "RESERVED_0" Field</t>
  </si>
  <si>
    <t>rmap_registers_wr_o.aeb_gen_cfg_seq_config_9.reserved_0 &lt;= (others =&gt; '0');</t>
  </si>
  <si>
    <t>-- AEB General Configuration Area Register "SEQ_CONFIG_9" : "FT_LOOP_CNT" Field</t>
  </si>
  <si>
    <t>rmap_registers_wr_o.aeb_gen_cfg_seq_config_9.ft_loop_cnt &lt;= "00100011000101";</t>
  </si>
  <si>
    <t>-- AEB General Configuration Area Register "SEQ_CONFIG_9" : "LT0_ENABLED" Field</t>
  </si>
  <si>
    <t>rmap_registers_wr_o.aeb_gen_cfg_seq_config_9.lt0_enabled &lt;= '0';</t>
  </si>
  <si>
    <t>-- AEB General Configuration Area Register "SEQ_CONFIG_9" : "RESERVED_1" Field</t>
  </si>
  <si>
    <t>rmap_registers_wr_o.aeb_gen_cfg_seq_config_9.reserved_1 &lt;= '0';</t>
  </si>
  <si>
    <t>-- AEB General Configuration Area Register "SEQ_CONFIG_9" : "LT0_LOOP_CNT" Field</t>
  </si>
  <si>
    <t>rmap_registers_wr_o.aeb_gen_cfg_seq_config_9.lt0_loop_cnt &lt;= (others =&gt; '0');</t>
  </si>
  <si>
    <t>-- AEB General Configuration Area Register "SEQ_CONFIG_10" : "LT1_ENABLED" Field</t>
  </si>
  <si>
    <t>rmap_registers_wr_o.aeb_gen_cfg_seq_config_10.lt1_enabled &lt;= '1';</t>
  </si>
  <si>
    <t>-- AEB General Configuration Area Register "SEQ_CONFIG_10" : "RESERVED_0" Field</t>
  </si>
  <si>
    <t>rmap_registers_wr_o.aeb_gen_cfg_seq_config_10.reserved_0 &lt;= '0';</t>
  </si>
  <si>
    <t>-- AEB General Configuration Area Register "SEQ_CONFIG_10" : "LT1_LOOP_CNT" Field</t>
  </si>
  <si>
    <t>rmap_registers_wr_o.aeb_gen_cfg_seq_config_10.lt1_loop_cnt &lt;= "00100011000101";</t>
  </si>
  <si>
    <t>-- AEB General Configuration Area Register "SEQ_CONFIG_10" : "LT2_ENABLED" Field</t>
  </si>
  <si>
    <t>rmap_registers_wr_o.aeb_gen_cfg_seq_config_10.lt2_enabled &lt;= '0';</t>
  </si>
  <si>
    <t>-- AEB General Configuration Area Register "SEQ_CONFIG_10" : "RESERVED_1" Field</t>
  </si>
  <si>
    <t>rmap_registers_wr_o.aeb_gen_cfg_seq_config_10.reserved_1 &lt;= '0';</t>
  </si>
  <si>
    <t>-- AEB General Configuration Area Register "SEQ_CONFIG_10" : "LT2_LOOP_CNT" Field</t>
  </si>
  <si>
    <t>rmap_registers_wr_o.aeb_gen_cfg_seq_config_10.lt2_loop_cnt &lt;= (others =&gt; '0');</t>
  </si>
  <si>
    <t>-- AEB General Configuration Area Register "SEQ_CONFIG_11" : "LT3_ENABLED" Field</t>
  </si>
  <si>
    <t>rmap_registers_wr_o.aeb_gen_cfg_seq_config_11.lt3_enabled &lt;= '0';</t>
  </si>
  <si>
    <t>-- AEB General Configuration Area Register "SEQ_CONFIG_11" : "RESERVED" Field</t>
  </si>
  <si>
    <t>rmap_registers_wr_o.aeb_gen_cfg_seq_config_11.reserved &lt;= '0';</t>
  </si>
  <si>
    <t>-- AEB General Configuration Area Register "SEQ_CONFIG_11" : "LT3_LOOP_CNT" Field</t>
  </si>
  <si>
    <t>rmap_registers_wr_o.aeb_gen_cfg_seq_config_11.lt3_loop_cnt &lt;= "00101000000000";</t>
  </si>
  <si>
    <t>-- AEB General Configuration Area Register "SEQ_CONFIG_11" : "PIX_LOOP_CNT_WORD_1" Field</t>
  </si>
  <si>
    <t>rmap_registers_wr_o.aeb_gen_cfg_seq_config_11.pix_loop_cnt_word_1 &lt;= x"0000";</t>
  </si>
  <si>
    <t>-- AEB General Configuration Area Register "SEQ_CONFIG_12" : "PIX_LOOP_CNT_WORD_0" Field</t>
  </si>
  <si>
    <t>rmap_registers_wr_o.aeb_gen_cfg_seq_config_12.pix_loop_cnt_word_0 &lt;= x"08C5";</t>
  </si>
  <si>
    <t>-- AEB General Configuration Area Register "SEQ_CONFIG_12" : "PC_ENABLED" Field</t>
  </si>
  <si>
    <t>rmap_registers_wr_o.aeb_gen_cfg_seq_config_12.pc_enabled &lt;= '0';</t>
  </si>
  <si>
    <t>-- AEB General Configuration Area Register "SEQ_CONFIG_12" : "RESERVED" Field</t>
  </si>
  <si>
    <t>rmap_registers_wr_o.aeb_gen_cfg_seq_config_12.reserved &lt;= '0';</t>
  </si>
  <si>
    <t>-- AEB General Configuration Area Register "SEQ_CONFIG_12" : "PC_LOOP_CNT" Field</t>
  </si>
  <si>
    <t>rmap_registers_wr_o.aeb_gen_cfg_seq_config_12.pc_loop_cnt &lt;= "01000110001010";</t>
  </si>
  <si>
    <t>-- AEB General Configuration Area Register "SEQ_CONFIG_13" : "RESERVED_0" Field</t>
  </si>
  <si>
    <t>rmap_registers_wr_o.aeb_gen_cfg_seq_config_13.reserved_0 &lt;= (others =&gt; '0');</t>
  </si>
  <si>
    <t>-- AEB General Configuration Area Register "SEQ_CONFIG_13" : "INT1_LOOP_CNT" Field</t>
  </si>
  <si>
    <t>rmap_registers_wr_o.aeb_gen_cfg_seq_config_13.int1_loop_cnt &lt;= (others =&gt; '0');</t>
  </si>
  <si>
    <t>-- AEB General Configuration Area Register "SEQ_CONFIG_13" : "RESERVED_1" Field</t>
  </si>
  <si>
    <t>rmap_registers_wr_o.aeb_gen_cfg_seq_config_13.reserved_1 &lt;= (others =&gt; '0');</t>
  </si>
  <si>
    <t>-- AEB General Configuration Area Register "SEQ_CONFIG_13" : "INT2_LOOP_CNT" Field</t>
  </si>
  <si>
    <t>rmap_registers_wr_o.aeb_gen_cfg_seq_config_13.int2_loop_cnt &lt;= (others =&gt; '0');</t>
  </si>
  <si>
    <t>-- AEB General Configuration Area Register "SEQ_CONFIG_14" : "RESERVED_0" Field</t>
  </si>
  <si>
    <t>rmap_registers_wr_o.aeb_gen_cfg_seq_config_14.reserved_0 &lt;= (others =&gt; '0');</t>
  </si>
  <si>
    <t>-- AEB General Configuration Area Register "SEQ_CONFIG_14" : "SPHI_INV" Field</t>
  </si>
  <si>
    <t>rmap_registers_wr_o.aeb_gen_cfg_seq_config_14.sphi_inv &lt;= '0';</t>
  </si>
  <si>
    <t>-- AEB General Configuration Area Register "SEQ_CONFIG_14" : "RESERVED_1" Field</t>
  </si>
  <si>
    <t>rmap_registers_wr_o.aeb_gen_cfg_seq_config_14.reserved_1 &lt;= (others =&gt; '0');</t>
  </si>
  <si>
    <t>-- AEB General Configuration Area Register "SEQ_CONFIG_14" : "RPHI_INV" Field</t>
  </si>
  <si>
    <t>rmap_registers_wr_o.aeb_gen_cfg_seq_config_14.rphi_inv &lt;= '0';</t>
  </si>
  <si>
    <t>-- AEB General Configuration Area Register "SEQ_CONFIG_14" : "RESERVED_2" Field</t>
  </si>
  <si>
    <t>rmap_registers_wr_o.aeb_gen_cfg_seq_config_14.reserved_2 &lt;= (others =&gt; '0');</t>
  </si>
  <si>
    <t>-- AEB General Configuration Area Register "RESERVED_158" : "RESERVED" Field</t>
  </si>
  <si>
    <t>rmap_registers_wr_o.aeb_gen_cfg_reserved_158.reserved &lt;= (others =&gt; '0');</t>
  </si>
  <si>
    <t>-- AEB General Configuration Area Register "RESERVED_15C" : "RESERVED" Field</t>
  </si>
  <si>
    <t>rmap_registers_wr_o.aeb_gen_cfg_reserved_15c.reserved &lt;= (others =&gt; '0');</t>
  </si>
  <si>
    <t>-- AEB General Configuration Area Register "RESERVED_160" : "RESERVED" Field</t>
  </si>
  <si>
    <t>rmap_registers_wr_o.aeb_gen_cfg_reserved_160.reserved &lt;= (others =&gt; '0');</t>
  </si>
  <si>
    <t>-- AEB General Configuration Area Register "RESERVED_164" : "RESERVED" Field</t>
  </si>
  <si>
    <t>rmap_registers_wr_o.aeb_gen_cfg_reserved_164.reserved &lt;= (others =&gt; '0');</t>
  </si>
  <si>
    <t>-- AEB General Configuration Area Register "RESERVED_168" : "RESERVED" Field</t>
  </si>
  <si>
    <t>rmap_registers_wr_o.aeb_gen_cfg_reserved_168.reserved &lt;= (others =&gt; '0');</t>
  </si>
  <si>
    <t>-- AEB General Configuration Area Register "RESERVED_16C" : "RESERVED" Field</t>
  </si>
  <si>
    <t>rmap_registers_wr_o.aeb_gen_cfg_reserved_16c.reserved &lt;= (others =&gt; '0');</t>
  </si>
  <si>
    <t>-- AEB General Configuration Area Register "RESERVED_170" : "RESERVED" Field</t>
  </si>
  <si>
    <t>rmap_registers_wr_o.aeb_gen_cfg_reserved_170.reserved &lt;= (others =&gt; '0');</t>
  </si>
  <si>
    <t>-- AEB General Configuration Area Register "RESERVED_174" : "RESERVED" Field</t>
  </si>
  <si>
    <t>rmap_registers_wr_o.aeb_gen_cfg_reserved_174.reserved &lt;= (others =&gt; '0');</t>
  </si>
  <si>
    <t>-- AEB General Configuration Area Register "RESERVED_178" : "RESERVED" Field</t>
  </si>
  <si>
    <t>rmap_registers_wr_o.aeb_gen_cfg_reserved_178.reserved &lt;= (others =&gt; '0');</t>
  </si>
  <si>
    <t>-- AEB General Configuration Area Register "RESERVED_17C" : "RESERVED" Field</t>
  </si>
  <si>
    <t>rmap_registers_wr_o.aeb_gen_cfg_reserved_17c.reserved &lt;= (others =&gt; '0');</t>
  </si>
  <si>
    <t>-- AEB General Configuration Area Register "RESERVED_180" : "RESERVED" Field</t>
  </si>
  <si>
    <t>rmap_registers_wr_o.aeb_gen_cfg_reserved_180.reserved &lt;= (others =&gt; '0');</t>
  </si>
  <si>
    <t>-- AEB General Configuration Area Register "RESERVED_184" : "RESERVED" Field</t>
  </si>
  <si>
    <t>rmap_registers_wr_o.aeb_gen_cfg_reserved_184.reserved &lt;= (others =&gt; '0');</t>
  </si>
  <si>
    <t>-- AEB General Configuration Area Register "RESERVED_188" : "RESERVED" Field</t>
  </si>
  <si>
    <t>rmap_registers_wr_o.aeb_gen_cfg_reserved_188.reserved &lt;= (others =&gt; '0');</t>
  </si>
  <si>
    <t>-- AEB General Configuration Area Register "RESERVED_18C" : "RESERVED" Field</t>
  </si>
  <si>
    <t>rmap_registers_wr_o.aeb_gen_cfg_reserved_18c.reserved &lt;= (others =&gt; '0');</t>
  </si>
  <si>
    <t>-- AEB General Configuration Area Register "RESERVED_190" : "RESERVED" Field</t>
  </si>
  <si>
    <t>rmap_registers_wr_o.aeb_gen_cfg_reserved_190.reserved &lt;= (others =&gt; '0');</t>
  </si>
  <si>
    <t>-- AEB General Configuration Area Register "RESERVED_194" : "RESERVED" Field</t>
  </si>
  <si>
    <t>rmap_registers_wr_o.aeb_gen_cfg_reserved_194.reserved &lt;= (others =&gt; '0');</t>
  </si>
  <si>
    <t>-- AEB General Configuration Area Register "RESERVED_198" : "RESERVED" Field</t>
  </si>
  <si>
    <t>rmap_registers_wr_o.aeb_gen_cfg_reserved_198.reserved &lt;= (others =&gt; '0');</t>
  </si>
  <si>
    <t>-- AEB General Configuration Area Register "RESERVED_19C" : "RESERVED" Field</t>
  </si>
  <si>
    <t>rmap_registers_wr_o.aeb_gen_cfg_reserved_19c.reserved &lt;= (others =&gt; '0');</t>
  </si>
  <si>
    <t>-- AEB General Configuration Area Register "RESERVED_1A0" : "RESERVED" Field</t>
  </si>
  <si>
    <t>rmap_registers_wr_o.aeb_gen_cfg_reserved_1a0.reserved &lt;= (others =&gt; '0');</t>
  </si>
  <si>
    <t>-- AEB General Configuration Area Register "RESERVED_1A4" : "RESERVED" Field</t>
  </si>
  <si>
    <t>rmap_registers_wr_o.aeb_gen_cfg_reserved_1a4.reserved &lt;= (others =&gt; '0');</t>
  </si>
  <si>
    <t>-- AEB General Configuration Area Register "RESERVED_1A8" : "RESERVED" Field</t>
  </si>
  <si>
    <t>rmap_registers_wr_o.aeb_gen_cfg_reserved_1a8.reserved &lt;= (others =&gt; '0');</t>
  </si>
  <si>
    <t>-- AEB General Configuration Area Register "RESERVED_1AC" : "RESERVED" Field</t>
  </si>
  <si>
    <t>rmap_registers_wr_o.aeb_gen_cfg_reserved_1ac.reserved &lt;= (others =&gt; '0');</t>
  </si>
  <si>
    <t>-- AEB General Configuration Area Register "RESERVED_1B0" : "RESERVED" Field</t>
  </si>
  <si>
    <t>rmap_registers_wr_o.aeb_gen_cfg_reserved_1b0.reserved &lt;= (others =&gt; '0');</t>
  </si>
  <si>
    <t>-- AEB General Configuration Area Register "RESERVED_1B4" : "RESERVED" Field</t>
  </si>
  <si>
    <t>rmap_registers_wr_o.aeb_gen_cfg_reserved_1b4.reserved &lt;= (others =&gt; '0');</t>
  </si>
  <si>
    <t>-- AEB General Configuration Area Register "RESERVED_1B8" : "RESERVED" Field</t>
  </si>
  <si>
    <t>rmap_registers_wr_o.aeb_gen_cfg_reserved_1b8.reserved &lt;= (others =&gt; '0');</t>
  </si>
  <si>
    <t>-- AEB General Configuration Area Register "RESERVED_1BC" : "RESERVED" Field</t>
  </si>
  <si>
    <t>rmap_registers_wr_o.aeb_gen_cfg_reserved_1bc.reserved &lt;= (others =&gt; '0');</t>
  </si>
  <si>
    <t>-- AEB General Configuration Area Register "RESERVED_1C0" : "RESERVED" Field</t>
  </si>
  <si>
    <t>rmap_registers_wr_o.aeb_gen_cfg_reserved_1c0.reserved &lt;= (others =&gt; '0');</t>
  </si>
  <si>
    <t>-- AEB General Configuration Area Register "RESERVED_1C4" : "RESERVED" Field</t>
  </si>
  <si>
    <t>rmap_registers_wr_o.aeb_gen_cfg_reserved_1c4.reserved &lt;= (others =&gt; '0');</t>
  </si>
  <si>
    <t>-- AEB General Configuration Area Register "RESERVED_1C8" : "RESERVED" Field</t>
  </si>
  <si>
    <t>rmap_registers_wr_o.aeb_gen_cfg_reserved_1c8.reserved &lt;= (others =&gt; '0');</t>
  </si>
  <si>
    <t>-- AEB General Configuration Area Register "RESERVED_1CC" : "RESERVED" Field</t>
  </si>
  <si>
    <t>rmap_registers_wr_o.aeb_gen_cfg_reserved_1cc.reserved &lt;= (others =&gt; '0');</t>
  </si>
  <si>
    <t>-- AEB General Configuration Area Register "RESERVED_1D0" : "RESERVED" Field</t>
  </si>
  <si>
    <t>rmap_registers_wr_o.aeb_gen_cfg_reserved_1d0.reserved &lt;= (others =&gt; '0');</t>
  </si>
  <si>
    <t>-- AEB General Configuration Area Register "RESERVED_1D4" : "RESERVED" Field</t>
  </si>
  <si>
    <t>rmap_registers_wr_o.aeb_gen_cfg_reserved_1d4.reserved &lt;= (others =&gt; '0');</t>
  </si>
  <si>
    <t>-- AEB General Configuration Area Register "RESERVED_1D8" : "RESERVED" Field</t>
  </si>
  <si>
    <t>rmap_registers_wr_o.aeb_gen_cfg_reserved_1d8.reserved &lt;= (others =&gt; '0');</t>
  </si>
  <si>
    <t>-- AEB General Configuration Area Register "RESERVED_1DC" : "RESERVED" Field</t>
  </si>
  <si>
    <t>rmap_registers_wr_o.aeb_gen_cfg_reserved_1dc.reserved &lt;= (others =&gt; '0');</t>
  </si>
  <si>
    <t>-- AEB General Configuration Area Register "RESERVED_1E0" : "RESERVED" Field</t>
  </si>
  <si>
    <t>rmap_registers_wr_o.aeb_gen_cfg_reserved_1e0.reserved &lt;= (others =&gt; '0');</t>
  </si>
  <si>
    <t>-- AEB General Configuration Area Register "RESERVED_1E4" : "RESERVED" Field</t>
  </si>
  <si>
    <t>rmap_registers_wr_o.aeb_gen_cfg_reserved_1e4.reserved &lt;= (others =&gt; '0');</t>
  </si>
  <si>
    <t>-- AEB General Configuration Area Register "RESERVED_1E8" : "RESERVED" Field</t>
  </si>
  <si>
    <t>rmap_registers_wr_o.aeb_gen_cfg_reserved_1e8.reserved &lt;= (others =&gt; '0');</t>
  </si>
  <si>
    <t>-- AEB General Configuration Area Register "RESERVED_1EC" : "RESERVED" Field</t>
  </si>
  <si>
    <t>rmap_registers_wr_o.aeb_gen_cfg_reserved_1ec.reserved &lt;= (others =&gt; '0');</t>
  </si>
  <si>
    <t>-- AEB General Configuration Area Register "RESERVED_1F0" : "RESERVED" Field</t>
  </si>
  <si>
    <t>rmap_registers_wr_o.aeb_gen_cfg_reserved_1f0.reserved &lt;= (others =&gt; '0');</t>
  </si>
  <si>
    <t>-- AEB General Configuration Area Register "RESERVED_1F4" : "RESERVED" Field</t>
  </si>
  <si>
    <t>rmap_registers_wr_o.aeb_gen_cfg_reserved_1f4.reserved &lt;= (others =&gt; '0');</t>
  </si>
  <si>
    <t>-- AEB General Configuration Area Register "RESERVED_1F8" : "RESERVED" Field</t>
  </si>
  <si>
    <t>rmap_registers_wr_o.aeb_gen_cfg_reserved_1f8.reserved &lt;= (others =&gt; '0');</t>
  </si>
  <si>
    <t>-- AEB General Configuration Area Register "RESERVED_1FC" : "RESERVED" Field</t>
  </si>
  <si>
    <t>rmap_registers_wr_o.aeb_gen_cfg_reserved_1fc.reserved &lt;= (others =&gt; '0');</t>
  </si>
  <si>
    <t>-- AEB General Configuration Area Register "RESERVED_200" : "RESERVED" Field</t>
  </si>
  <si>
    <t>rmap_registers_wr_o.aeb_gen_cfg_reserved_200.reserved &lt;= (others =&gt; '0');</t>
  </si>
  <si>
    <t>-- AEB General Configuration Area Register "RESERVED_204" : "RESERVED" Field</t>
  </si>
  <si>
    <t>rmap_registers_wr_o.aeb_gen_cfg_reserved_204.reserved &lt;= (others =&gt; '0');</t>
  </si>
  <si>
    <t>-- AEB General Configuration Area Register "RESERVED_208" : "RESERVED" Field</t>
  </si>
  <si>
    <t>rmap_registers_wr_o.aeb_gen_cfg_reserved_208.reserved &lt;= (others =&gt; '0');</t>
  </si>
  <si>
    <t>-- AEB General Configuration Area Register "RESERVED_20C" : "RESERVED" Field</t>
  </si>
  <si>
    <t>rmap_registers_wr_o.aeb_gen_cfg_reserved_20c.reserved &lt;= (others =&gt; '0');</t>
  </si>
  <si>
    <t>-- AEB General Configuration Area Register "RESERVED_210" : "RESERVED" Field</t>
  </si>
  <si>
    <t>rmap_registers_wr_o.aeb_gen_cfg_reserved_210.reserved &lt;= (others =&gt; '0');</t>
  </si>
  <si>
    <t>-- AEB General Configuration Area Register "RESERVED_214" : "RESERVED" Field</t>
  </si>
  <si>
    <t>rmap_registers_wr_o.aeb_gen_cfg_reserved_214.reserved &lt;= (others =&gt; '0');</t>
  </si>
  <si>
    <t>-- AEB General Configuration Area Register "RESERVED_218" : "RESERVED" Field</t>
  </si>
  <si>
    <t>rmap_registers_wr_o.aeb_gen_cfg_reserved_218.reserved &lt;= (others =&gt; '0');</t>
  </si>
  <si>
    <t>-- AEB General Configuration Area Register "RESERVED_21C" : "RESERVED" Field</t>
  </si>
  <si>
    <t>rmap_registers_wr_o.aeb_gen_cfg_reserved_21c.reserved &lt;= (others =&gt; '0');</t>
  </si>
  <si>
    <t>-- AEB General Configuration Area Register "RESERVED_220" : "RESERVED" Field</t>
  </si>
  <si>
    <t>rmap_registers_wr_o.aeb_gen_cfg_reserved_220.reserved &lt;= (others =&gt; '0');</t>
  </si>
  <si>
    <t>-- AEB General Configuration Area Register "RESERVED_224" : "RESERVED" Field</t>
  </si>
  <si>
    <t>rmap_registers_wr_o.aeb_gen_cfg_reserved_224.reserved &lt;= (others =&gt; '0');</t>
  </si>
  <si>
    <t>-- AEB General Configuration Area Register "RESERVED_228" : "RESERVED" Field</t>
  </si>
  <si>
    <t>rmap_registers_wr_o.aeb_gen_cfg_reserved_228.reserved &lt;= (others =&gt; '0');</t>
  </si>
  <si>
    <t>-- AEB General Configuration Area Register "RESERVED_22C" : "RESERVED" Field</t>
  </si>
  <si>
    <t>rmap_registers_wr_o.aeb_gen_cfg_reserved_22c.reserved &lt;= (others =&gt; '0');</t>
  </si>
  <si>
    <t>-- AEB General Configuration Area Register "RESERVED_230" : "RESERVED" Field</t>
  </si>
  <si>
    <t>rmap_registers_wr_o.aeb_gen_cfg_reserved_230.reserved &lt;= (others =&gt; '0');</t>
  </si>
  <si>
    <t>-- AEB General Configuration Area Register "RESERVED_234" : "RESERVED" Field</t>
  </si>
  <si>
    <t>rmap_registers_wr_o.aeb_gen_cfg_reserved_234.reserved &lt;= (others =&gt; '0');</t>
  </si>
  <si>
    <t>-- AEB General Configuration Area Register "RESERVED_238" : "RESERVED" Field</t>
  </si>
  <si>
    <t>rmap_registers_wr_o.aeb_gen_cfg_reserved_238.reserved &lt;= (others =&gt; '0');</t>
  </si>
  <si>
    <t>-- AEB General Configuration Area Register "RESERVED_23C" : "RESERVED" Field</t>
  </si>
  <si>
    <t>rmap_registers_wr_o.aeb_gen_cfg_reserved_23c.reserved &lt;= (others =&gt; '0');</t>
  </si>
  <si>
    <t>-- AEB General Configuration Area Register "RESERVED_240" : "RESERVED" Field</t>
  </si>
  <si>
    <t>rmap_registers_wr_o.aeb_gen_cfg_reserved_240.reserved &lt;= (others =&gt; '0');</t>
  </si>
  <si>
    <t>-- AEB General Configuration Area Register "RESERVED_244" : "RESERVED" Field</t>
  </si>
  <si>
    <t>rmap_registers_wr_o.aeb_gen_cfg_reserved_244.reserved &lt;= (others =&gt; '0');</t>
  </si>
  <si>
    <t>-- AEB General Configuration Area Register "RESERVED_248" : "RESERVED" Field</t>
  </si>
  <si>
    <t>rmap_registers_wr_o.aeb_gen_cfg_reserved_248.reserved &lt;= (others =&gt; '0');</t>
  </si>
  <si>
    <t>-- AEB General Configuration Area Register "RESERVED_24C" : "RESERVED" Field</t>
  </si>
  <si>
    <t>rmap_registers_wr_o.aeb_gen_cfg_reserved_24c.reserved &lt;= (others =&gt; '0');</t>
  </si>
  <si>
    <t>-- AEB General Configuration Area Register "RESERVED_250" : "RESERVED" Field</t>
  </si>
  <si>
    <t>rmap_registers_wr_o.aeb_gen_cfg_reserved_250.reserved &lt;= (others =&gt; '0');</t>
  </si>
  <si>
    <t>-- AEB General Configuration Area Register "RESERVED_254" : "RESERVED" Field</t>
  </si>
  <si>
    <t>rmap_registers_wr_o.aeb_gen_cfg_reserved_254.reserved &lt;= (others =&gt; '0');</t>
  </si>
  <si>
    <t>-- AEB General Configuration Area Register "RESERVED_258" : "RESERVED" Field</t>
  </si>
  <si>
    <t>rmap_registers_wr_o.aeb_gen_cfg_reserved_258.reserved &lt;= (others =&gt; '0');</t>
  </si>
  <si>
    <t>-- AEB General Configuration Area Register "RESERVED_25C" : "RESERVED" Field</t>
  </si>
  <si>
    <t>rmap_registers_wr_o.aeb_gen_cfg_reserved_25c.reserved &lt;= (others =&gt; '0');</t>
  </si>
  <si>
    <t>-- AEB General Configuration Area Register "RESERVED_260" : "RESERVED" Field</t>
  </si>
  <si>
    <t>rmap_registers_wr_o.aeb_gen_cfg_reserved_260.reserved &lt;= (others =&gt; '0');</t>
  </si>
  <si>
    <t>-- AEB General Configuration Area Register "RESERVED_264" : "RESERVED" Field</t>
  </si>
  <si>
    <t>rmap_registers_wr_o.aeb_gen_cfg_reserved_264.reserved &lt;= (others =&gt; '0');</t>
  </si>
  <si>
    <t>-- AEB General Configuration Area Register "RESERVED_268" : "RESERVED" Field</t>
  </si>
  <si>
    <t>rmap_registers_wr_o.aeb_gen_cfg_reserved_268.reserved &lt;= (others =&gt; '0');</t>
  </si>
  <si>
    <t>-- AEB General Configuration Area Register "RESERVED_26C" : "RESERVED" Field</t>
  </si>
  <si>
    <t>rmap_registers_wr_o.aeb_gen_cfg_reserved_26c.reserved &lt;= (others =&gt; '0');</t>
  </si>
  <si>
    <t>-- AEB General Configuration Area Register "RESERVED_270" : "RESERVED" Field</t>
  </si>
  <si>
    <t>rmap_registers_wr_o.aeb_gen_cfg_reserved_270.reserved &lt;= (others =&gt; '0');</t>
  </si>
  <si>
    <t>-- AEB General Configuration Area Register "RESERVED_274" : "RESERVED" Field</t>
  </si>
  <si>
    <t>rmap_registers_wr_o.aeb_gen_cfg_reserved_274.reserved &lt;= (others =&gt; '0');</t>
  </si>
  <si>
    <t>-- AEB General Configuration Area Register "RESERVED_278" : "RESERVED" Field</t>
  </si>
  <si>
    <t>rmap_registers_wr_o.aeb_gen_cfg_reserved_278.reserved &lt;= (others =&gt; '0');</t>
  </si>
  <si>
    <t>-- AEB General Configuration Area Register "RESERVED_27C" : "RESERVED" Field</t>
  </si>
  <si>
    <t>rmap_registers_wr_o.aeb_gen_cfg_reserved_27c.reserved &lt;= (others =&gt; '0');</t>
  </si>
  <si>
    <t>-- AEB General Configuration Area Register "RESERVED_280" : "RESERVED" Field</t>
  </si>
  <si>
    <t>rmap_registers_wr_o.aeb_gen_cfg_reserved_280.reserved &lt;= (others =&gt; '0');</t>
  </si>
  <si>
    <t>-- AEB General Configuration Area Register "RESERVED_284" : "RESERVED" Field</t>
  </si>
  <si>
    <t>rmap_registers_wr_o.aeb_gen_cfg_reserved_284.reserved &lt;= (others =&gt; '0');</t>
  </si>
  <si>
    <t>-- AEB General Configuration Area Register "RESERVED_288" : "RESERVED" Field</t>
  </si>
  <si>
    <t>rmap_registers_wr_o.aeb_gen_cfg_reserved_288.reserved &lt;= (others =&gt; '0');</t>
  </si>
  <si>
    <t>-- AEB General Configuration Area Register "RESERVED_28C" : "RESERVED" Field</t>
  </si>
  <si>
    <t>rmap_registers_wr_o.aeb_gen_cfg_reserved_28c.reserved &lt;= (others =&gt; '0');</t>
  </si>
  <si>
    <t>-- AEB General Configuration Area Register "RESERVED_290" : "RESERVED" Field</t>
  </si>
  <si>
    <t>rmap_registers_wr_o.aeb_gen_cfg_reserved_290.reserved &lt;= (others =&gt; '0');</t>
  </si>
  <si>
    <t>-- AEB General Configuration Area Register "RESERVED_294" : "RESERVED" Field</t>
  </si>
  <si>
    <t>rmap_registers_wr_o.aeb_gen_cfg_reserved_294.reserved &lt;= (others =&gt; '0');</t>
  </si>
  <si>
    <t>-- AEB General Configuration Area Register "RESERVED_298" : "RESERVED" Field</t>
  </si>
  <si>
    <t>rmap_registers_wr_o.aeb_gen_cfg_reserved_298.reserved &lt;= (others =&gt; '0');</t>
  </si>
  <si>
    <t>-- AEB General Configuration Area Register "RESERVED_29C" : "RESERVED" Field</t>
  </si>
  <si>
    <t>rmap_registers_wr_o.aeb_gen_cfg_reserved_29c.reserved &lt;= (others =&gt; '0');</t>
  </si>
  <si>
    <t>-- AEB General Configuration Area Register "RESERVED_2A0" : "RESERVED" Field</t>
  </si>
  <si>
    <t>rmap_registers_wr_o.aeb_gen_cfg_reserved_2a0.reserved &lt;= (others =&gt; '0');</t>
  </si>
  <si>
    <t>-- AEB General Configuration Area Register "RESERVED_2A4" : "RESERVED" Field</t>
  </si>
  <si>
    <t>rmap_registers_wr_o.aeb_gen_cfg_reserved_2a4.reserved &lt;= (others =&gt; '0');</t>
  </si>
  <si>
    <t>-- AEB General Configuration Area Register "RESERVED_2A8" : "RESERVED" Field</t>
  </si>
  <si>
    <t>rmap_registers_wr_o.aeb_gen_cfg_reserved_2a8.reserved &lt;= (others =&gt; '0');</t>
  </si>
  <si>
    <t>-- AEB General Configuration Area Register "RESERVED_2AC" : "RESERVED" Field</t>
  </si>
  <si>
    <t>rmap_registers_wr_o.aeb_gen_cfg_reserved_2ac.reserved &lt;= (others =&gt; '0');</t>
  </si>
  <si>
    <t>-- AEB General Configuration Area Register "RESERVED_2B0" : "RESERVED" Field</t>
  </si>
  <si>
    <t>rmap_registers_wr_o.aeb_gen_cfg_reserved_2b0.reserved &lt;= (others =&gt; '0');</t>
  </si>
  <si>
    <t>-- AEB General Configuration Area Register "RESERVED_2B4" : "RESERVED" Field</t>
  </si>
  <si>
    <t>rmap_registers_wr_o.aeb_gen_cfg_reserved_2b4.reserved &lt;= (others =&gt; '0');</t>
  </si>
  <si>
    <t>-- AEB General Configuration Area Register "RESERVED_2B8" : "RESERVED" Field</t>
  </si>
  <si>
    <t>rmap_registers_wr_o.aeb_gen_cfg_reserved_2b8.reserved &lt;= (others =&gt; '0');</t>
  </si>
  <si>
    <t>-- AEB General Configuration Area Register "RESERVED_2BC" : "RESERVED" Field</t>
  </si>
  <si>
    <t>rmap_registers_wr_o.aeb_gen_cfg_reserved_2bc.reserved &lt;= (others =&gt; '0');</t>
  </si>
  <si>
    <t>-- AEB General Configuration Area Register "RESERVED_2C0" : "RESERVED" Field</t>
  </si>
  <si>
    <t>rmap_registers_wr_o.aeb_gen_cfg_reserved_2c0.reserved &lt;= (others =&gt; '0');</t>
  </si>
  <si>
    <t>-- AEB General Configuration Area Register "RESERVED_2C4" : "RESERVED" Field</t>
  </si>
  <si>
    <t>rmap_registers_wr_o.aeb_gen_cfg_reserved_2c4.reserved &lt;= (others =&gt; '0');</t>
  </si>
  <si>
    <t>-- AEB General Configuration Area Register "RESERVED_2C8" : "RESERVED" Field</t>
  </si>
  <si>
    <t>rmap_registers_wr_o.aeb_gen_cfg_reserved_2c8.reserved &lt;= (others =&gt; '0');</t>
  </si>
  <si>
    <t>-- AEB General Configuration Area Register "RESERVED_2CC" : "RESERVED" Field</t>
  </si>
  <si>
    <t>rmap_registers_wr_o.aeb_gen_cfg_reserved_2cc.reserved &lt;= (others =&gt; '0');</t>
  </si>
  <si>
    <t>-- AEB General Configuration Area Register "RESERVED_2D0" : "RESERVED" Field</t>
  </si>
  <si>
    <t>rmap_registers_wr_o.aeb_gen_cfg_reserved_2d0.reserved &lt;= (others =&gt; '0');</t>
  </si>
  <si>
    <t>-- AEB General Configuration Area Register "RESERVED_2D4" : "RESERVED" Field</t>
  </si>
  <si>
    <t>rmap_registers_wr_o.aeb_gen_cfg_reserved_2d4.reserved &lt;= (others =&gt; '0');</t>
  </si>
  <si>
    <t>-- AEB General Configuration Area Register "RESERVED_2D8" : "RESERVED" Field</t>
  </si>
  <si>
    <t>rmap_registers_wr_o.aeb_gen_cfg_reserved_2d8.reserved &lt;= (others =&gt; '0');</t>
  </si>
  <si>
    <t>-- AEB General Configuration Area Register "RESERVED_2DC" : "RESERVED" Field</t>
  </si>
  <si>
    <t>rmap_registers_wr_o.aeb_gen_cfg_reserved_2dc.reserved &lt;= (others =&gt; '0');</t>
  </si>
  <si>
    <t>-- AEB General Configuration Area Register "RESERVED_2E0" : "RESERVED" Field</t>
  </si>
  <si>
    <t>rmap_registers_wr_o.aeb_gen_cfg_reserved_2e0.reserved &lt;= (others =&gt; '0');</t>
  </si>
  <si>
    <t>-- AEB General Configuration Area Register "RESERVED_2E4" : "RESERVED" Field</t>
  </si>
  <si>
    <t>rmap_registers_wr_o.aeb_gen_cfg_reserved_2e4.reserved &lt;= (others =&gt; '0');</t>
  </si>
  <si>
    <t>-- AEB General Configuration Area Register "RESERVED_2E8" : "RESERVED" Field</t>
  </si>
  <si>
    <t>rmap_registers_wr_o.aeb_gen_cfg_reserved_2e8.reserved &lt;= (others =&gt; '0');</t>
  </si>
  <si>
    <t>-- AEB General Configuration Area Register "RESERVED_2EC" : "RESERVED" Field</t>
  </si>
  <si>
    <t>rmap_registers_wr_o.aeb_gen_cfg_reserved_2ec.reserved &lt;= (others =&gt; '0');</t>
  </si>
  <si>
    <t>-- AEB General Configuration Area Register "RESERVED_2F0" : "RESERVED" Field</t>
  </si>
  <si>
    <t>rmap_registers_wr_o.aeb_gen_cfg_reserved_2f0.reserved &lt;= (others =&gt; '0');</t>
  </si>
  <si>
    <t>-- AEB General Configuration Area Register "RESERVED_2F4" : "RESERVED" Field</t>
  </si>
  <si>
    <t>rmap_registers_wr_o.aeb_gen_cfg_reserved_2f4.reserved &lt;= (others =&gt; '0');</t>
  </si>
  <si>
    <t>-- AEB General Configuration Area Register "RESERVED_2F8" : "RESERVED" Field</t>
  </si>
  <si>
    <t>rmap_registers_wr_o.aeb_gen_cfg_reserved_2f8.reserved &lt;= (others =&gt; '0');</t>
  </si>
  <si>
    <t>-- AEB General Configuration Area Register "RESERVED_2FC" : "RESERVED" Field</t>
  </si>
  <si>
    <t>rmap_registers_wr_o.aeb_gen_cfg_reserved_2fc.reserved &lt;= (others =&gt; '0');</t>
  </si>
  <si>
    <t>-- AEB General Configuration Area Register "RESERVED_300" : "RESERVED" Field</t>
  </si>
  <si>
    <t>rmap_registers_wr_o.aeb_gen_cfg_reserved_300.reserved &lt;= (others =&gt; '0');</t>
  </si>
  <si>
    <t>-- AEB General Configuration Area Register "RESERVED_304" : "RESERVED" Field</t>
  </si>
  <si>
    <t>rmap_registers_wr_o.aeb_gen_cfg_reserved_304.reserved &lt;= (others =&gt; '0');</t>
  </si>
  <si>
    <t>-- AEB General Configuration Area Register "RESERVED_308" : "RESERVED" Field</t>
  </si>
  <si>
    <t>rmap_registers_wr_o.aeb_gen_cfg_reserved_308.reserved &lt;= (others =&gt; '0');</t>
  </si>
  <si>
    <t>-- AEB General Configuration Area Register "RESERVED_30C" : "RESERVED" Field</t>
  </si>
  <si>
    <t>rmap_registers_wr_o.aeb_gen_cfg_reserved_30c.reserved &lt;= (others =&gt; '0');</t>
  </si>
  <si>
    <t>-- AEB General Configuration Area Register "RESERVED_310" : "RESERVED" Field</t>
  </si>
  <si>
    <t>rmap_registers_wr_o.aeb_gen_cfg_reserved_310.reserved &lt;= (others =&gt; '0');</t>
  </si>
  <si>
    <t>-- AEB General Configuration Area Register "RESERVED_314" : "RESERVED" Field</t>
  </si>
  <si>
    <t>rmap_registers_wr_o.aeb_gen_cfg_reserved_314.reserved &lt;= (others =&gt; '0');</t>
  </si>
  <si>
    <t>-- AEB General Configuration Area Register "RESERVED_318" : "RESERVED" Field</t>
  </si>
  <si>
    <t>rmap_registers_wr_o.aeb_gen_cfg_reserved_318.reserved &lt;= (others =&gt; '0');</t>
  </si>
  <si>
    <t>-- AEB General Configuration Area Register "RESERVED_31C" : "RESERVED" Field</t>
  </si>
  <si>
    <t>rmap_registers_wr_o.aeb_gen_cfg_reserved_31c.reserved &lt;= (others =&gt; '0');</t>
  </si>
  <si>
    <t>-- AEB General Configuration Area Register "RESERVED_320" : "RESERVED" Field</t>
  </si>
  <si>
    <t>rmap_registers_wr_o.aeb_gen_cfg_reserved_320.reserved &lt;= (others =&gt; '0');</t>
  </si>
  <si>
    <t>-- AEB General Configuration Area Register "RESERVED_324" : "RESERVED" Field</t>
  </si>
  <si>
    <t>rmap_registers_wr_o.aeb_gen_cfg_reserved_324.reserved &lt;= (others =&gt; '0');</t>
  </si>
  <si>
    <t>-- AEB General Configuration Area Register "RESERVED_328" : "RESERVED" Field</t>
  </si>
  <si>
    <t>rmap_registers_wr_o.aeb_gen_cfg_reserved_328.reserved &lt;= (others =&gt; '0');</t>
  </si>
  <si>
    <t>-- AEB General Configuration Area Register "RESERVED_32C" : "RESERVED" Field</t>
  </si>
  <si>
    <t>rmap_registers_wr_o.aeb_gen_cfg_reserved_32c.reserved &lt;= (others =&gt; '0');</t>
  </si>
  <si>
    <t>-- AEB General Configuration Area Register "RESERVED_330" : "RESERVED" Field</t>
  </si>
  <si>
    <t>rmap_registers_wr_o.aeb_gen_cfg_reserved_330.reserved &lt;= (others =&gt; '0');</t>
  </si>
  <si>
    <t>-- AEB General Configuration Area Register "RESERVED_334" : "RESERVED" Field</t>
  </si>
  <si>
    <t>rmap_registers_wr_o.aeb_gen_cfg_reserved_334.reserved &lt;= (others =&gt; '0');</t>
  </si>
  <si>
    <t>-- AEB General Configuration Area Register "RESERVED_338" : "RESERVED" Field</t>
  </si>
  <si>
    <t>rmap_registers_wr_o.aeb_gen_cfg_reserved_338.reserved &lt;= (others =&gt; '0');</t>
  </si>
  <si>
    <t>-- AEB General Configuration Area Register "RESERVED_33C" : "RESERVED" Field</t>
  </si>
  <si>
    <t>rmap_registers_wr_o.aeb_gen_cfg_reserved_33c.reserved &lt;= (others =&gt; '0');</t>
  </si>
  <si>
    <t>-- AEB General Configuration Area Register "RESERVED_340" : "RESERVED" Field</t>
  </si>
  <si>
    <t>rmap_registers_wr_o.aeb_gen_cfg_reserved_340.reserved &lt;= (others =&gt; '0');</t>
  </si>
  <si>
    <t>-- AEB General Configuration Area Register "RESERVED_344" : "RESERVED" Field</t>
  </si>
  <si>
    <t>rmap_registers_wr_o.aeb_gen_cfg_reserved_344.reserved &lt;= (others =&gt; '0');</t>
  </si>
  <si>
    <t>-- AEB General Configuration Area Register "RESERVED_348" : "RESERVED" Field</t>
  </si>
  <si>
    <t>rmap_registers_wr_o.aeb_gen_cfg_reserved_348.reserved &lt;= (others =&gt; '0');</t>
  </si>
  <si>
    <t>-- AEB General Configuration Area Register "RESERVED_34C" : "RESERVED" Field</t>
  </si>
  <si>
    <t>rmap_registers_wr_o.aeb_gen_cfg_reserved_34c.reserved &lt;= (others =&gt; '0');</t>
  </si>
  <si>
    <t>-- AEB General Configuration Area Register "RESERVED_350" : "RESERVED" Field</t>
  </si>
  <si>
    <t>rmap_registers_wr_o.aeb_gen_cfg_reserved_350.reserved &lt;= (others =&gt; '0');</t>
  </si>
  <si>
    <t>-- AEB General Configuration Area Register "RESERVED_354" : "RESERVED" Field</t>
  </si>
  <si>
    <t>rmap_registers_wr_o.aeb_gen_cfg_reserved_354.reserved &lt;= (others =&gt; '0');</t>
  </si>
  <si>
    <t>-- AEB General Configuration Area Register "RESERVED_358" : "RESERVED" Field</t>
  </si>
  <si>
    <t>rmap_registers_wr_o.aeb_gen_cfg_reserved_358.reserved &lt;= (others =&gt; '0');</t>
  </si>
  <si>
    <t>-- AEB General Configuration Area Register "RESERVED_35C" : "RESERVED" Field</t>
  </si>
  <si>
    <t>rmap_registers_wr_o.aeb_gen_cfg_reserved_35c.reserved &lt;= (others =&gt; '0');</t>
  </si>
  <si>
    <t>-- AEB General Configuration Area Register "RESERVED_360" : "RESERVED" Field</t>
  </si>
  <si>
    <t>rmap_registers_wr_o.aeb_gen_cfg_reserved_360.reserved &lt;= (others =&gt; '0');</t>
  </si>
  <si>
    <t>-- AEB General Configuration Area Register "RESERVED_364" : "RESERVED" Field</t>
  </si>
  <si>
    <t>rmap_registers_wr_o.aeb_gen_cfg_reserved_364.reserved &lt;= (others =&gt; '0');</t>
  </si>
  <si>
    <t>-- AEB General Configuration Area Register "RESERVED_368" : "RESERVED" Field</t>
  </si>
  <si>
    <t>rmap_registers_wr_o.aeb_gen_cfg_reserved_368.reserved &lt;= (others =&gt; '0');</t>
  </si>
  <si>
    <t>-- AEB General Configuration Area Register "RESERVED_36C" : "RESERVED" Field</t>
  </si>
  <si>
    <t>rmap_registers_wr_o.aeb_gen_cfg_reserved_36c.reserved &lt;= (others =&gt; '0');</t>
  </si>
  <si>
    <t>-- AEB General Configuration Area Register "RESERVED_370" : "RESERVED" Field</t>
  </si>
  <si>
    <t>rmap_registers_wr_o.aeb_gen_cfg_reserved_370.reserved &lt;= (others =&gt; '0');</t>
  </si>
  <si>
    <t>-- AEB General Configuration Area Register "RESERVED_374" : "RESERVED" Field</t>
  </si>
  <si>
    <t>rmap_registers_wr_o.aeb_gen_cfg_reserved_374.reserved &lt;= (others =&gt; '0');</t>
  </si>
  <si>
    <t>-- AEB General Configuration Area Register "RESERVED_378" : "RESERVED" Field</t>
  </si>
  <si>
    <t>rmap_registers_wr_o.aeb_gen_cfg_reserved_378.reserved &lt;= (others =&gt; '0');</t>
  </si>
  <si>
    <t>-- AEB General Configuration Area Register "RESERVED_37C" : "RESERVED" Field</t>
  </si>
  <si>
    <t>rmap_registers_wr_o.aeb_gen_cfg_reserved_37c.reserved &lt;= (others =&gt; '0');</t>
  </si>
  <si>
    <t>-- AEB General Configuration Area Register "RESERVED_380" : "RESERVED" Field</t>
  </si>
  <si>
    <t>rmap_registers_wr_o.aeb_gen_cfg_reserved_380.reserved &lt;= (others =&gt; '0');</t>
  </si>
  <si>
    <t>-- AEB General Configuration Area Register "RESERVED_384" : "RESERVED" Field</t>
  </si>
  <si>
    <t>rmap_registers_wr_o.aeb_gen_cfg_reserved_384.reserved &lt;= (others =&gt; '0');</t>
  </si>
  <si>
    <t>-- AEB General Configuration Area Register "RESERVED_388" : "RESERVED" Field</t>
  </si>
  <si>
    <t>rmap_registers_wr_o.aeb_gen_cfg_reserved_388.reserved &lt;= (others =&gt; '0');</t>
  </si>
  <si>
    <t>-- AEB General Configuration Area Register "RESERVED_38C" : "RESERVED" Field</t>
  </si>
  <si>
    <t>rmap_registers_wr_o.aeb_gen_cfg_reserved_38c.reserved &lt;= (others =&gt; '0');</t>
  </si>
  <si>
    <t>-- AEB General Configuration Area Register "RESERVED_390" : "RESERVED" Field</t>
  </si>
  <si>
    <t>rmap_registers_wr_o.aeb_gen_cfg_reserved_390.reserved &lt;= (others =&gt; '0');</t>
  </si>
  <si>
    <t>-- AEB General Configuration Area Register "RESERVED_394" : "RESERVED" Field</t>
  </si>
  <si>
    <t>rmap_registers_wr_o.aeb_gen_cfg_reserved_394.reserved &lt;= (others =&gt; '0');</t>
  </si>
  <si>
    <t>-- AEB General Configuration Area Register "RESERVED_398" : "RESERVED" Field</t>
  </si>
  <si>
    <t>rmap_registers_wr_o.aeb_gen_cfg_reserved_398.reserved &lt;= (others =&gt; '0');</t>
  </si>
  <si>
    <t>-- AEB General Configuration Area Register "RESERVED_39C" : "RESERVED" Field</t>
  </si>
  <si>
    <t>rmap_registers_wr_o.aeb_gen_cfg_reserved_39c.reserved &lt;= (others =&gt; '0');</t>
  </si>
  <si>
    <t>-- AEB General Configuration Area Register "RESERVED_3A0" : "RESERVED" Field</t>
  </si>
  <si>
    <t>rmap_registers_wr_o.aeb_gen_cfg_reserved_3a0.reserved &lt;= (others =&gt; '0');</t>
  </si>
  <si>
    <t>-- AEB General Configuration Area Register "RESERVED_3A4" : "RESERVED" Field</t>
  </si>
  <si>
    <t>rmap_registers_wr_o.aeb_gen_cfg_reserved_3a4.reserved &lt;= (others =&gt; '0');</t>
  </si>
  <si>
    <t>-- AEB General Configuration Area Register "RESERVED_3A8" : "RESERVED" Field</t>
  </si>
  <si>
    <t>rmap_registers_wr_o.aeb_gen_cfg_reserved_3a8.reserved &lt;= (others =&gt; '0');</t>
  </si>
  <si>
    <t>-- AEB General Configuration Area Register "RESERVED_3AC" : "RESERVED" Field</t>
  </si>
  <si>
    <t>rmap_registers_wr_o.aeb_gen_cfg_reserved_3ac.reserved &lt;= (others =&gt; '0');</t>
  </si>
  <si>
    <t>-- AEB General Configuration Area Register "RESERVED_3B0" : "RESERVED" Field</t>
  </si>
  <si>
    <t>rmap_registers_wr_o.aeb_gen_cfg_reserved_3b0.reserved &lt;= (others =&gt; '0');</t>
  </si>
  <si>
    <t>-- AEB General Configuration Area Register "RESERVED_3B4" : "RESERVED" Field</t>
  </si>
  <si>
    <t>rmap_registers_wr_o.aeb_gen_cfg_reserved_3b4.reserved &lt;= (others =&gt; '0');</t>
  </si>
  <si>
    <t>-- AEB General Configuration Area Register "RESERVED_3B8" : "RESERVED" Field</t>
  </si>
  <si>
    <t>rmap_registers_wr_o.aeb_gen_cfg_reserved_3b8.reserved &lt;= (others =&gt; '0');</t>
  </si>
  <si>
    <t>-- AEB General Configuration Area Register "RESERVED_3BC" : "RESERVED" Field</t>
  </si>
  <si>
    <t>rmap_registers_wr_o.aeb_gen_cfg_reserved_3bc.reserved &lt;= (others =&gt; '0');</t>
  </si>
  <si>
    <t>-- AEB General Configuration Area Register "RESERVED_3C0" : "RESERVED" Field</t>
  </si>
  <si>
    <t>rmap_registers_wr_o.aeb_gen_cfg_reserved_3c0.reserved &lt;= (others =&gt; '0');</t>
  </si>
  <si>
    <t>-- AEB General Configuration Area Register "RESERVED_3C4" : "RESERVED" Field</t>
  </si>
  <si>
    <t>rmap_registers_wr_o.aeb_gen_cfg_reserved_3c4.reserved &lt;= (others =&gt; '0');</t>
  </si>
  <si>
    <t>-- AEB General Configuration Area Register "RESERVED_3C8" : "RESERVED" Field</t>
  </si>
  <si>
    <t>rmap_registers_wr_o.aeb_gen_cfg_reserved_3c8.reserved &lt;= (others =&gt; '0');</t>
  </si>
  <si>
    <t>-- AEB General Configuration Area Register "RESERVED_3CC" : "RESERVED" Field</t>
  </si>
  <si>
    <t>rmap_registers_wr_o.aeb_gen_cfg_reserved_3cc.reserved &lt;= (others =&gt; '0');</t>
  </si>
  <si>
    <t>-- AEB General Configuration Area Register "RESERVED_3D0" : "RESERVED" Field</t>
  </si>
  <si>
    <t>rmap_registers_wr_o.aeb_gen_cfg_reserved_3d0.reserved &lt;= (others =&gt; '0');</t>
  </si>
  <si>
    <t>-- AEB General Configuration Area Register "RESERVED_3D4" : "RESERVED" Field</t>
  </si>
  <si>
    <t>rmap_registers_wr_o.aeb_gen_cfg_reserved_3d4.reserved &lt;= (others =&gt; '0');</t>
  </si>
  <si>
    <t>-- AEB General Configuration Area Register "RESERVED_3D8" : "RESERVED" Field</t>
  </si>
  <si>
    <t>rmap_registers_wr_o.aeb_gen_cfg_reserved_3d8.reserved &lt;= (others =&gt; '0');</t>
  </si>
  <si>
    <t>-- AEB General Configuration Area Register "RESERVED_3DC" : "RESERVED" Field</t>
  </si>
  <si>
    <t>rmap_registers_wr_o.aeb_gen_cfg_reserved_3dc.reserved &lt;= (others =&gt; '0');</t>
  </si>
  <si>
    <t>-- AEB General Configuration Area Register "RESERVED_3E0" : "RESERVED" Field</t>
  </si>
  <si>
    <t>rmap_registers_wr_o.aeb_gen_cfg_reserved_3e0.reserved &lt;= (others =&gt; '0');</t>
  </si>
  <si>
    <t>-- AEB General Configuration Area Register "RESERVED_3E4" : "RESERVED" Field</t>
  </si>
  <si>
    <t>rmap_registers_wr_o.aeb_gen_cfg_reserved_3e4.reserved &lt;= (others =&gt; '0');</t>
  </si>
  <si>
    <t>-- AEB General Configuration Area Register "RESERVED_3E8" : "RESERVED" Field</t>
  </si>
  <si>
    <t>rmap_registers_wr_o.aeb_gen_cfg_reserved_3e8.reserved &lt;= (others =&gt; '0');</t>
  </si>
  <si>
    <t>-- AEB General Configuration Area Register "RESERVED_3EC" : "RESERVED" Field</t>
  </si>
  <si>
    <t>rmap_registers_wr_o.aeb_gen_cfg_reserved_3ec.reserved &lt;= (others =&gt; '0');</t>
  </si>
  <si>
    <t>-- AEB General Configuration Area Register "RESERVED_3F0" : "RESERVED" Field</t>
  </si>
  <si>
    <t>rmap_registers_wr_o.aeb_gen_cfg_reserved_3f0.reserved &lt;= (others =&gt; '0');</t>
  </si>
  <si>
    <t>-- AEB General Configuration Area Register "RESERVED_3F4" : "RESERVED" Field</t>
  </si>
  <si>
    <t>rmap_registers_wr_o.aeb_gen_cfg_reserved_3f4.reserved &lt;= (others =&gt; '0');</t>
  </si>
  <si>
    <t>-- AEB General Configuration Area Register "RESERVED_3F8" : "RESERVED" Field</t>
  </si>
  <si>
    <t>rmap_registers_wr_o.aeb_gen_cfg_reserved_3f8.reserved &lt;= (others =&gt; '0');</t>
  </si>
  <si>
    <t>-- AEB General Configuration Area Register "RESERVED_3FC" : "RESERVED" Field</t>
  </si>
  <si>
    <t>rmap_registers_wr_o.aeb_gen_cfg_reserved_3fc.reserved &lt;= (others =&gt; '0');</t>
  </si>
  <si>
    <t>-- AEB General Configuration Area Register "RESERVED_400" : "RESERVED" Field</t>
  </si>
  <si>
    <t>rmap_registers_wr_o.aeb_gen_cfg_reserved_400.reserved &lt;= (others =&gt; '0');</t>
  </si>
  <si>
    <t>-- AEB General Configuration Area Register "RESERVED_404" : "RESERVED" Field</t>
  </si>
  <si>
    <t>rmap_registers_wr_o.aeb_gen_cfg_reserved_404.reserved &lt;= (others =&gt; '0');</t>
  </si>
  <si>
    <t>-- AEB General Configuration Area Register "RESERVED_408" : "RESERVED" Field</t>
  </si>
  <si>
    <t>rmap_registers_wr_o.aeb_gen_cfg_reserved_408.reserved &lt;= (others =&gt; '0');</t>
  </si>
  <si>
    <t>-- AEB General Configuration Area Register "RESERVED_40C" : "RESERVED" Field</t>
  </si>
  <si>
    <t>rmap_registers_wr_o.aeb_gen_cfg_reserved_40c.reserved &lt;= (others =&gt; '0');</t>
  </si>
  <si>
    <t>-- AEB General Configuration Area Register "RESERVED_410" : "RESERVED" Field</t>
  </si>
  <si>
    <t>rmap_registers_wr_o.aeb_gen_cfg_reserved_410.reserved &lt;= (others =&gt; '0');</t>
  </si>
  <si>
    <t>-- AEB General Configuration Area Register "RESERVED_414" : "RESERVED" Field</t>
  </si>
  <si>
    <t>rmap_registers_wr_o.aeb_gen_cfg_reserved_414.reserved &lt;= (others =&gt; '0');</t>
  </si>
  <si>
    <t>-- AEB General Configuration Area Register "RESERVED_418" : "RESERVED" Field</t>
  </si>
  <si>
    <t>rmap_registers_wr_o.aeb_gen_cfg_reserved_418.reserved &lt;= (others =&gt; '0');</t>
  </si>
  <si>
    <t>-- AEB General Configuration Area Register "RESERVED_41C" : "RESERVED" Field</t>
  </si>
  <si>
    <t>rmap_registers_wr_o.aeb_gen_cfg_reserved_41c.reserved &lt;= (others =&gt; '0');</t>
  </si>
  <si>
    <t>-- AEB General Configuration Area Register "RESERVED_420" : "RESERVED" Field</t>
  </si>
  <si>
    <t>rmap_registers_wr_o.aeb_gen_cfg_reserved_420.reserved &lt;= (others =&gt; '0');</t>
  </si>
  <si>
    <t>-- AEB General Configuration Area Register "RESERVED_424" : "RESERVED" Field</t>
  </si>
  <si>
    <t>rmap_registers_wr_o.aeb_gen_cfg_reserved_424.reserved &lt;= (others =&gt; '0');</t>
  </si>
  <si>
    <t>-- AEB General Configuration Area Register "RESERVED_428" : "RESERVED" Field</t>
  </si>
  <si>
    <t>rmap_registers_wr_o.aeb_gen_cfg_reserved_428.reserved &lt;= (others =&gt; '0');</t>
  </si>
  <si>
    <t>-- AEB General Configuration Area Register "RESERVED_42C" : "RESERVED" Field</t>
  </si>
  <si>
    <t>rmap_registers_wr_o.aeb_gen_cfg_reserved_42c.reserved &lt;= (others =&gt; '0');</t>
  </si>
  <si>
    <t>-- AEB General Configuration Area Register "RESERVED_430" : "RESERVED" Field</t>
  </si>
  <si>
    <t>rmap_registers_wr_o.aeb_gen_cfg_reserved_430.reserved &lt;= (others =&gt; '0');</t>
  </si>
  <si>
    <t>-- AEB General Configuration Area Register "RESERVED_434" : "RESERVED" Field</t>
  </si>
  <si>
    <t>rmap_registers_wr_o.aeb_gen_cfg_reserved_434.reserved &lt;= (others =&gt; '0');</t>
  </si>
  <si>
    <t>-- AEB General Configuration Area Register "RESERVED_438" : "RESERVED" Field</t>
  </si>
  <si>
    <t>rmap_registers_wr_o.aeb_gen_cfg_reserved_438.reserved &lt;= (others =&gt; '0');</t>
  </si>
  <si>
    <t>-- AEB General Configuration Area Register "RESERVED_43C" : "RESERVED" Field</t>
  </si>
  <si>
    <t>rmap_registers_wr_o.aeb_gen_cfg_reserved_43c.reserved &lt;= (others =&gt; '0');</t>
  </si>
  <si>
    <t>-- AEB General Configuration Area Register "RESERVED_440" : "RESERVED" Field</t>
  </si>
  <si>
    <t>rmap_registers_wr_o.aeb_gen_cfg_reserved_440.reserved &lt;= (others =&gt; '0');</t>
  </si>
  <si>
    <t>-- AEB General Configuration Area Register "RESERVED_444" : "RESERVED" Field</t>
  </si>
  <si>
    <t>rmap_registers_wr_o.aeb_gen_cfg_reserved_444.reserved &lt;= (others =&gt; '0');</t>
  </si>
  <si>
    <t>-- AEB General Configuration Area Register "RESERVED_448" : "RESERVED" Field</t>
  </si>
  <si>
    <t>rmap_registers_wr_o.aeb_gen_cfg_reserved_448.reserved &lt;= (others =&gt; '0');</t>
  </si>
  <si>
    <t>-- AEB General Configuration Area Register "RESERVED_44C" : "RESERVED" Field</t>
  </si>
  <si>
    <t>rmap_registers_wr_o.aeb_gen_cfg_reserved_44c.reserved &lt;= (others =&gt; '0');</t>
  </si>
  <si>
    <t>-- AEB General Configuration Area Register "RESERVED_450" : "RESERVED" Field</t>
  </si>
  <si>
    <t>rmap_registers_wr_o.aeb_gen_cfg_reserved_450.reserved &lt;= (others =&gt; '0');</t>
  </si>
  <si>
    <t>-- AEB General Configuration Area Register "RESERVED_454" : "RESERVED" Field</t>
  </si>
  <si>
    <t>rmap_registers_wr_o.aeb_gen_cfg_reserved_454.reserved &lt;= (others =&gt; '0');</t>
  </si>
  <si>
    <t>-- AEB General Configuration Area Register "RESERVED_458" : "RESERVED" Field</t>
  </si>
  <si>
    <t>rmap_registers_wr_o.aeb_gen_cfg_reserved_458.reserved &lt;= (others =&gt; '0');</t>
  </si>
  <si>
    <t>-- AEB General Configuration Area Register "RESERVED_45C" : "RESERVED" Field</t>
  </si>
  <si>
    <t>rmap_registers_wr_o.aeb_gen_cfg_reserved_45c.reserved &lt;= (others =&gt; '0');</t>
  </si>
  <si>
    <t>-- AEB General Configuration Area Register "RESERVED_460" : "RESERVED" Field</t>
  </si>
  <si>
    <t>rmap_registers_wr_o.aeb_gen_cfg_reserved_460.reserved &lt;= (others =&gt; '0');</t>
  </si>
  <si>
    <t>-- AEB General Configuration Area Register "RESERVED_464" : "RESERVED" Field</t>
  </si>
  <si>
    <t>rmap_registers_wr_o.aeb_gen_cfg_reserved_464.reserved &lt;= (others =&gt; '0');</t>
  </si>
  <si>
    <t>-- AEB General Configuration Area Register "RESERVED_468" : "RESERVED" Field</t>
  </si>
  <si>
    <t>rmap_registers_wr_o.aeb_gen_cfg_reserved_468.reserved &lt;= (others =&gt; '0');</t>
  </si>
  <si>
    <t>-- AEB General Configuration Area Register "RESERVED_46C" : "RESERVED" Field</t>
  </si>
  <si>
    <t>rmap_registers_wr_o.aeb_gen_cfg_reserved_46c.reserved &lt;= (others =&gt; '0');</t>
  </si>
  <si>
    <t>-- AEB General Configuration Area Register "RESERVED_470" : "RESERVED" Field</t>
  </si>
  <si>
    <t>rmap_registers_wr_o.aeb_gen_cfg_reserved_470.reserved &lt;= (others =&gt; '0');</t>
  </si>
  <si>
    <t>-- AEB General Configuration Area Register "RESERVED_474" : "RESERVED" Field</t>
  </si>
  <si>
    <t>rmap_registers_wr_o.aeb_gen_cfg_reserved_474.reserved &lt;= (others =&gt; '0');</t>
  </si>
  <si>
    <t>-- AEB General Configuration Area Register "RESERVED_478" : "RESERVED" Field</t>
  </si>
  <si>
    <t>rmap_registers_wr_o.aeb_gen_cfg_reserved_478.reserved &lt;= (others =&gt; '0');</t>
  </si>
  <si>
    <t>-- AEB General Configuration Area Register "RESERVED_47C" : "RESERVED" Field</t>
  </si>
  <si>
    <t>rmap_registers_wr_o.aeb_gen_cfg_reserved_47c.reserved &lt;= (others =&gt; '0');</t>
  </si>
  <si>
    <t>-- AEB General Configuration Area Register "RESERVED_480" : "RESERVED" Field</t>
  </si>
  <si>
    <t>rmap_registers_wr_o.aeb_gen_cfg_reserved_480.reserved &lt;= (others =&gt; '0');</t>
  </si>
  <si>
    <t>-- AEB General Configuration Area Register "RESERVED_484" : "RESERVED" Field</t>
  </si>
  <si>
    <t>rmap_registers_wr_o.aeb_gen_cfg_reserved_484.reserved &lt;= (others =&gt; '0');</t>
  </si>
  <si>
    <t>-- AEB General Configuration Area Register "RESERVED_488" : "RESERVED" Field</t>
  </si>
  <si>
    <t>rmap_registers_wr_o.aeb_gen_cfg_reserved_488.reserved &lt;= (others =&gt; '0');</t>
  </si>
  <si>
    <t>-- AEB General Configuration Area Register "RESERVED_48C" : "RESERVED" Field</t>
  </si>
  <si>
    <t>rmap_registers_wr_o.aeb_gen_cfg_reserved_48c.reserved &lt;= (others =&gt; '0');</t>
  </si>
  <si>
    <t>-- AEB General Configuration Area Register "RESERVED_490" : "RESERVED" Field</t>
  </si>
  <si>
    <t>rmap_registers_wr_o.aeb_gen_cfg_reserved_490.reserved &lt;= (others =&gt; '0');</t>
  </si>
  <si>
    <t>-- AEB General Configuration Area Register "RESERVED_494" : "RESERVED" Field</t>
  </si>
  <si>
    <t>rmap_registers_wr_o.aeb_gen_cfg_reserved_494.reserved &lt;= (others =&gt; '0');</t>
  </si>
  <si>
    <t>-- AEB General Configuration Area Register "RESERVED_498" : "RESERVED" Field</t>
  </si>
  <si>
    <t>rmap_registers_wr_o.aeb_gen_cfg_reserved_498.reserved &lt;= (others =&gt; '0');</t>
  </si>
  <si>
    <t>-- AEB General Configuration Area Register "RESERVED_49C" : "RESERVED" Field</t>
  </si>
  <si>
    <t>rmap_registers_wr_o.aeb_gen_cfg_reserved_49c.reserved &lt;= (others =&gt; '0');</t>
  </si>
  <si>
    <t>-- AEB General Configuration Area Register "RESERVED_4A0" : "RESERVED" Field</t>
  </si>
  <si>
    <t>rmap_registers_wr_o.aeb_gen_cfg_reserved_4a0.reserved &lt;= (others =&gt; '0');</t>
  </si>
  <si>
    <t>-- AEB General Configuration Area Register "RESERVED_4A4" : "RESERVED" Field</t>
  </si>
  <si>
    <t>rmap_registers_wr_o.aeb_gen_cfg_reserved_4a4.reserved &lt;= (others =&gt; '0');</t>
  </si>
  <si>
    <t>-- AEB General Configuration Area Register "RESERVED_4A8" : "RESERVED" Field</t>
  </si>
  <si>
    <t>rmap_registers_wr_o.aeb_gen_cfg_reserved_4a8.reserved &lt;= (others =&gt; '0');</t>
  </si>
  <si>
    <t>-- AEB General Configuration Area Register "RESERVED_4AC" : "RESERVED" Field</t>
  </si>
  <si>
    <t>rmap_registers_wr_o.aeb_gen_cfg_reserved_4ac.reserved &lt;= (others =&gt; '0');</t>
  </si>
  <si>
    <t>-- AEB General Configuration Area Register "RESERVED_4B0" : "RESERVED" Field</t>
  </si>
  <si>
    <t>rmap_registers_wr_o.aeb_gen_cfg_reserved_4b0.reserved &lt;= (others =&gt; '0');</t>
  </si>
  <si>
    <t>-- AEB General Configuration Area Register "RESERVED_4B4" : "RESERVED" Field</t>
  </si>
  <si>
    <t>rmap_registers_wr_o.aeb_gen_cfg_reserved_4b4.reserved &lt;= (others =&gt; '0');</t>
  </si>
  <si>
    <t>-- AEB General Configuration Area Register "RESERVED_4B8" : "RESERVED" Field</t>
  </si>
  <si>
    <t>rmap_registers_wr_o.aeb_gen_cfg_reserved_4b8.reserved &lt;= (others =&gt; '0');</t>
  </si>
  <si>
    <t>-- AEB General Configuration Area Register "RESERVED_4BC" : "RESERVED" Field</t>
  </si>
  <si>
    <t>rmap_registers_wr_o.aeb_gen_cfg_reserved_4bc.reserved &lt;= (others =&gt; '0');</t>
  </si>
  <si>
    <t>-- AEB General Configuration Area Register "RESERVED_4C0" : "RESERVED" Field</t>
  </si>
  <si>
    <t>rmap_registers_wr_o.aeb_gen_cfg_reserved_4c0.reserved &lt;= (others =&gt; '0');</t>
  </si>
  <si>
    <t>-- AEB General Configuration Area Register "RESERVED_4C4" : "RESERVED" Field</t>
  </si>
  <si>
    <t>rmap_registers_wr_o.aeb_gen_cfg_reserved_4c4.reserved &lt;= (others =&gt; '0');</t>
  </si>
  <si>
    <t>-- AEB General Configuration Area Register "RESERVED_4C8" : "RESERVED" Field</t>
  </si>
  <si>
    <t>rmap_registers_wr_o.aeb_gen_cfg_reserved_4c8.reserved &lt;= (others =&gt; '0');</t>
  </si>
  <si>
    <t>-- AEB General Configuration Area Register "RESERVED_4CC" : "RESERVED" Field</t>
  </si>
  <si>
    <t>rmap_registers_wr_o.aeb_gen_cfg_reserved_4cc.reserved &lt;= (others =&gt; '0');</t>
  </si>
  <si>
    <t>-- AEB General Configuration Area Register "RESERVED_4D0" : "RESERVED" Field</t>
  </si>
  <si>
    <t>rmap_registers_wr_o.aeb_gen_cfg_reserved_4d0.reserved &lt;= (others =&gt; '0');</t>
  </si>
  <si>
    <t>-- AEB General Configuration Area Register "RESERVED_4D4" : "RESERVED" Field</t>
  </si>
  <si>
    <t>rmap_registers_wr_o.aeb_gen_cfg_reserved_4d4.reserved &lt;= (others =&gt; '0');</t>
  </si>
  <si>
    <t>-- AEB General Configuration Area Register "RESERVED_4D8" : "RESERVED" Field</t>
  </si>
  <si>
    <t>rmap_registers_wr_o.aeb_gen_cfg_reserved_4d8.reserved &lt;= (others =&gt; '0');</t>
  </si>
  <si>
    <t>-- AEB General Configuration Area Register "RESERVED_4DC" : "RESERVED" Field</t>
  </si>
  <si>
    <t>rmap_registers_wr_o.aeb_gen_cfg_reserved_4dc.reserved &lt;= (others =&gt; '0');</t>
  </si>
  <si>
    <t>-- AEB General Configuration Area Register "RESERVED_4E0" : "RESERVED" Field</t>
  </si>
  <si>
    <t>rmap_registers_wr_o.aeb_gen_cfg_reserved_4e0.reserved &lt;= (others =&gt; '0');</t>
  </si>
  <si>
    <t>-- AEB General Configuration Area Register "RESERVED_4E4" : "RESERVED" Field</t>
  </si>
  <si>
    <t>rmap_registers_wr_o.aeb_gen_cfg_reserved_4e4.reserved &lt;= (others =&gt; '0');</t>
  </si>
  <si>
    <t>-- AEB General Configuration Area Register "RESERVED_4E8" : "RESERVED" Field</t>
  </si>
  <si>
    <t>rmap_registers_wr_o.aeb_gen_cfg_reserved_4e8.reserved &lt;= (others =&gt; '0');</t>
  </si>
  <si>
    <t>-- AEB General Configuration Area Register "RESERVED_4EC" : "RESERVED" Field</t>
  </si>
  <si>
    <t>rmap_registers_wr_o.aeb_gen_cfg_reserved_4ec.reserved &lt;= (others =&gt; '0');</t>
  </si>
  <si>
    <t>-- AEB General Configuration Area Register "RESERVED_4F0" : "RESERVED" Field</t>
  </si>
  <si>
    <t>rmap_registers_wr_o.aeb_gen_cfg_reserved_4f0.reserved &lt;= (others =&gt; '0');</t>
  </si>
  <si>
    <t>-- AEB General Configuration Area Register "RESERVED_4F4" : "RESERVED" Field</t>
  </si>
  <si>
    <t>rmap_registers_wr_o.aeb_gen_cfg_reserved_4f4.reserved &lt;= (others =&gt; '0');</t>
  </si>
  <si>
    <t>-- AEB General Configuration Area Register "RESERVED_4F8" : "RESERVED" Field</t>
  </si>
  <si>
    <t>rmap_registers_wr_o.aeb_gen_cfg_reserved_4f8.reserved &lt;= (others =&gt; '0');</t>
  </si>
  <si>
    <t>-- AEB General Configuration Area Register "RESERVED_4FC" : "RESERVED" Field</t>
  </si>
  <si>
    <t>rmap_registers_wr_o.aeb_gen_cfg_reserved_4fc.reserved &lt;= (others =&gt; '0');</t>
  </si>
  <si>
    <t>-- AEB General Configuration Area Register "RESERVED_500" : "RESERVED" Field</t>
  </si>
  <si>
    <t>rmap_registers_wr_o.aeb_gen_cfg_reserved_500.reserved &lt;= (others =&gt; '0');</t>
  </si>
  <si>
    <t>-- AEB General Configuration Area Register "RESERVED_504" : "RESERVED" Field</t>
  </si>
  <si>
    <t>rmap_registers_wr_o.aeb_gen_cfg_reserved_504.reserved &lt;= (others =&gt; '0');</t>
  </si>
  <si>
    <t>-- AEB General Configuration Area Register "RESERVED_508" : "RESERVED" Field</t>
  </si>
  <si>
    <t>rmap_registers_wr_o.aeb_gen_cfg_reserved_508.reserved &lt;= (others =&gt; '0');</t>
  </si>
  <si>
    <t>-- AEB General Configuration Area Register "RESERVED_50C" : "RESERVED" Field</t>
  </si>
  <si>
    <t>rmap_registers_wr_o.aeb_gen_cfg_reserved_50c.reserved &lt;= (others =&gt; '0');</t>
  </si>
  <si>
    <t>-- AEB General Configuration Area Register "RESERVED_510" : "RESERVED" Field</t>
  </si>
  <si>
    <t>rmap_registers_wr_o.aeb_gen_cfg_reserved_510.reserved &lt;= (others =&gt; '0');</t>
  </si>
  <si>
    <t>-- AEB General Configuration Area Register "RESERVED_514" : "RESERVED" Field</t>
  </si>
  <si>
    <t>rmap_registers_wr_o.aeb_gen_cfg_reserved_514.reserved &lt;= (others =&gt; '0');</t>
  </si>
  <si>
    <t>-- AEB General Configuration Area Register "RESERVED_518" : "RESERVED" Field</t>
  </si>
  <si>
    <t>rmap_registers_wr_o.aeb_gen_cfg_reserved_518.reserved &lt;= (others =&gt; '0');</t>
  </si>
  <si>
    <t>-- AEB General Configuration Area Register "RESERVED_51C" : "RESERVED" Field</t>
  </si>
  <si>
    <t>rmap_registers_wr_o.aeb_gen_cfg_reserved_51c.reserved &lt;= (others =&gt; '0');</t>
  </si>
  <si>
    <t>-- AEB General Configuration Area Register "RESERVED_520" : "RESERVED" Field</t>
  </si>
  <si>
    <t>rmap_registers_wr_o.aeb_gen_cfg_reserved_520.reserved &lt;= (others =&gt; '0');</t>
  </si>
  <si>
    <t>-- AEB General Configuration Area Register "RESERVED_524" : "RESERVED" Field</t>
  </si>
  <si>
    <t>rmap_registers_wr_o.aeb_gen_cfg_reserved_524.reserved &lt;= (others =&gt; '0');</t>
  </si>
  <si>
    <t>-- AEB General Configuration Area Register "RESERVED_528" : "RESERVED" Field</t>
  </si>
  <si>
    <t>rmap_registers_wr_o.aeb_gen_cfg_reserved_528.reserved &lt;= (others =&gt; '0');</t>
  </si>
  <si>
    <t>-- AEB General Configuration Area Register "RESERVED_52C" : "RESERVED" Field</t>
  </si>
  <si>
    <t>rmap_registers_wr_o.aeb_gen_cfg_reserved_52c.reserved &lt;= (others =&gt; '0');</t>
  </si>
  <si>
    <t>-- AEB General Configuration Area Register "RESERVED_530" : "RESERVED" Field</t>
  </si>
  <si>
    <t>rmap_registers_wr_o.aeb_gen_cfg_reserved_530.reserved &lt;= (others =&gt; '0');</t>
  </si>
  <si>
    <t>-- AEB General Configuration Area Register "RESERVED_534" : "RESERVED" Field</t>
  </si>
  <si>
    <t>rmap_registers_wr_o.aeb_gen_cfg_reserved_534.reserved &lt;= (others =&gt; '0');</t>
  </si>
  <si>
    <t>-- AEB General Configuration Area Register "RESERVED_538" : "RESERVED" Field</t>
  </si>
  <si>
    <t>rmap_registers_wr_o.aeb_gen_cfg_reserved_538.reserved &lt;= (others =&gt; '0');</t>
  </si>
  <si>
    <t>-- AEB General Configuration Area Register "RESERVED_53C" : "RESERVED" Field</t>
  </si>
  <si>
    <t>rmap_registers_wr_o.aeb_gen_cfg_reserved_53c.reserved &lt;= (others =&gt; '0');</t>
  </si>
  <si>
    <t>-- AEB General Configuration Area Register "RESERVED_540" : "RESERVED" Field</t>
  </si>
  <si>
    <t>rmap_registers_wr_o.aeb_gen_cfg_reserved_540.reserved &lt;= (others =&gt; '0');</t>
  </si>
  <si>
    <t>-- AEB General Configuration Area Register "RESERVED_544" : "RESERVED" Field</t>
  </si>
  <si>
    <t>rmap_registers_wr_o.aeb_gen_cfg_reserved_544.reserved &lt;= (others =&gt; '0');</t>
  </si>
  <si>
    <t>-- AEB General Configuration Area Register "RESERVED_548" : "RESERVED" Field</t>
  </si>
  <si>
    <t>rmap_registers_wr_o.aeb_gen_cfg_reserved_548.reserved &lt;= (others =&gt; '0');</t>
  </si>
  <si>
    <t>-- AEB General Configuration Area Register "RESERVED_54C" : "RESERVED" Field</t>
  </si>
  <si>
    <t>rmap_registers_wr_o.aeb_gen_cfg_reserved_54c.reserved &lt;= (others =&gt; '0');</t>
  </si>
  <si>
    <t>-- AEB General Configuration Area Register "RESERVED_550" : "RESERVED" Field</t>
  </si>
  <si>
    <t>rmap_registers_wr_o.aeb_gen_cfg_reserved_550.reserved &lt;= (others =&gt; '0');</t>
  </si>
  <si>
    <t>-- AEB General Configuration Area Register "RESERVED_554" : "RESERVED" Field</t>
  </si>
  <si>
    <t>rmap_registers_wr_o.aeb_gen_cfg_reserved_554.reserved &lt;= (others =&gt; '0');</t>
  </si>
  <si>
    <t>-- AEB General Configuration Area Register "RESERVED_558" : "RESERVED" Field</t>
  </si>
  <si>
    <t>rmap_registers_wr_o.aeb_gen_cfg_reserved_558.reserved &lt;= (others =&gt; '0');</t>
  </si>
  <si>
    <t>-- AEB General Configuration Area Register "RESERVED_55C" : "RESERVED" Field</t>
  </si>
  <si>
    <t>rmap_registers_wr_o.aeb_gen_cfg_reserved_55c.reserved &lt;= (others =&gt; '0');</t>
  </si>
  <si>
    <t>-- AEB General Configuration Area Register "RESERVED_560" : "RESERVED" Field</t>
  </si>
  <si>
    <t>rmap_registers_wr_o.aeb_gen_cfg_reserved_560.reserved &lt;= (others =&gt; '0');</t>
  </si>
  <si>
    <t>-- AEB General Configuration Area Register "RESERVED_564" : "RESERVED" Field</t>
  </si>
  <si>
    <t>rmap_registers_wr_o.aeb_gen_cfg_reserved_564.reserved &lt;= (others =&gt; '0');</t>
  </si>
  <si>
    <t>-- AEB General Configuration Area Register "RESERVED_568" : "RESERVED" Field</t>
  </si>
  <si>
    <t>rmap_registers_wr_o.aeb_gen_cfg_reserved_568.reserved &lt;= (others =&gt; '0');</t>
  </si>
  <si>
    <t>-- AEB General Configuration Area Register "RESERVED_56C" : "RESERVED" Field</t>
  </si>
  <si>
    <t>rmap_registers_wr_o.aeb_gen_cfg_reserved_56c.reserved &lt;= (others =&gt; '0');</t>
  </si>
  <si>
    <t>-- AEB General Configuration Area Register "RESERVED_570" : "RESERVED" Field</t>
  </si>
  <si>
    <t>rmap_registers_wr_o.aeb_gen_cfg_reserved_570.reserved &lt;= (others =&gt; '0');</t>
  </si>
  <si>
    <t>-- AEB General Configuration Area Register "RESERVED_574" : "RESERVED" Field</t>
  </si>
  <si>
    <t>rmap_registers_wr_o.aeb_gen_cfg_reserved_574.reserved &lt;= (others =&gt; '0');</t>
  </si>
  <si>
    <t>-- AEB General Configuration Area Register "RESERVED_578" : "RESERVED" Field</t>
  </si>
  <si>
    <t>rmap_registers_wr_o.aeb_gen_cfg_reserved_578.reserved &lt;= (others =&gt; '0');</t>
  </si>
  <si>
    <t>-- AEB General Configuration Area Register "RESERVED_57C" : "RESERVED" Field</t>
  </si>
  <si>
    <t>rmap_registers_wr_o.aeb_gen_cfg_reserved_57c.reserved &lt;= (others =&gt; '0');</t>
  </si>
  <si>
    <t>-- AEB General Configuration Area Register "RESERVED_580" : "RESERVED" Field</t>
  </si>
  <si>
    <t>rmap_registers_wr_o.aeb_gen_cfg_reserved_580.reserved &lt;= (others =&gt; '0');</t>
  </si>
  <si>
    <t>-- AEB General Configuration Area Register "RESERVED_584" : "RESERVED" Field</t>
  </si>
  <si>
    <t>rmap_registers_wr_o.aeb_gen_cfg_reserved_584.reserved &lt;= (others =&gt; '0');</t>
  </si>
  <si>
    <t>-- AEB General Configuration Area Register "RESERVED_588" : "RESERVED" Field</t>
  </si>
  <si>
    <t>rmap_registers_wr_o.aeb_gen_cfg_reserved_588.reserved &lt;= (others =&gt; '0');</t>
  </si>
  <si>
    <t>-- AEB General Configuration Area Register "RESERVED_58C" : "RESERVED" Field</t>
  </si>
  <si>
    <t>rmap_registers_wr_o.aeb_gen_cfg_reserved_58c.reserved &lt;= (others =&gt; '0');</t>
  </si>
  <si>
    <t>-- AEB General Configuration Area Register "RESERVED_590" : "RESERVED" Field</t>
  </si>
  <si>
    <t>rmap_registers_wr_o.aeb_gen_cfg_reserved_590.reserved &lt;= (others =&gt; '0');</t>
  </si>
  <si>
    <t>-- AEB General Configuration Area Register "RESERVED_594" : "RESERVED" Field</t>
  </si>
  <si>
    <t>rmap_registers_wr_o.aeb_gen_cfg_reserved_594.reserved &lt;= (others =&gt; '0');</t>
  </si>
  <si>
    <t>-- AEB General Configuration Area Register "RESERVED_598" : "RESERVED" Field</t>
  </si>
  <si>
    <t>rmap_registers_wr_o.aeb_gen_cfg_reserved_598.reserved &lt;= (others =&gt; '0');</t>
  </si>
  <si>
    <t>-- AEB General Configuration Area Register "RESERVED_59C" : "RESERVED" Field</t>
  </si>
  <si>
    <t>rmap_registers_wr_o.aeb_gen_cfg_reserved_59c.reserved &lt;= (others =&gt; '0');</t>
  </si>
  <si>
    <t>-- AEB General Configuration Area Register "RESERVED_5A0" : "RESERVED" Field</t>
  </si>
  <si>
    <t>rmap_registers_wr_o.aeb_gen_cfg_reserved_5a0.reserved &lt;= (others =&gt; '0');</t>
  </si>
  <si>
    <t>-- AEB General Configuration Area Register "RESERVED_5A4" : "RESERVED" Field</t>
  </si>
  <si>
    <t>rmap_registers_wr_o.aeb_gen_cfg_reserved_5a4.reserved &lt;= (others =&gt; '0');</t>
  </si>
  <si>
    <t>-- AEB General Configuration Area Register "RESERVED_5A8" : "RESERVED" Field</t>
  </si>
  <si>
    <t>rmap_registers_wr_o.aeb_gen_cfg_reserved_5a8.reserved &lt;= (others =&gt; '0');</t>
  </si>
  <si>
    <t>-- AEB General Configuration Area Register "RESERVED_5AC" : "RESERVED" Field</t>
  </si>
  <si>
    <t>rmap_registers_wr_o.aeb_gen_cfg_reserved_5ac.reserved &lt;= (others =&gt; '0');</t>
  </si>
  <si>
    <t>-- AEB General Configuration Area Register "RESERVED_5B0" : "RESERVED" Field</t>
  </si>
  <si>
    <t>rmap_registers_wr_o.aeb_gen_cfg_reserved_5b0.reserved &lt;= (others =&gt; '0');</t>
  </si>
  <si>
    <t>-- AEB General Configuration Area Register "RESERVED_5B4" : "RESERVED" Field</t>
  </si>
  <si>
    <t>rmap_registers_wr_o.aeb_gen_cfg_reserved_5b4.reserved &lt;= (others =&gt; '0');</t>
  </si>
  <si>
    <t>-- AEB General Configuration Area Register "RESERVED_5B8" : "RESERVED" Field</t>
  </si>
  <si>
    <t>rmap_registers_wr_o.aeb_gen_cfg_reserved_5b8.reserved &lt;= (others =&gt; '0');</t>
  </si>
  <si>
    <t>-- AEB General Configuration Area Register "RESERVED_5BC" : "RESERVED" Field</t>
  </si>
  <si>
    <t>rmap_registers_wr_o.aeb_gen_cfg_reserved_5bc.reserved &lt;= (others =&gt; '0');</t>
  </si>
  <si>
    <t>-- AEB General Configuration Area Register "RESERVED_5C0" : "RESERVED" Field</t>
  </si>
  <si>
    <t>rmap_registers_wr_o.aeb_gen_cfg_reserved_5c0.reserved &lt;= (others =&gt; '0');</t>
  </si>
  <si>
    <t>-- AEB General Configuration Area Register "RESERVED_5C4" : "RESERVED" Field</t>
  </si>
  <si>
    <t>rmap_registers_wr_o.aeb_gen_cfg_reserved_5c4.reserved &lt;= (others =&gt; '0');</t>
  </si>
  <si>
    <t>-- AEB General Configuration Area Register "RESERVED_5C8" : "RESERVED" Field</t>
  </si>
  <si>
    <t>rmap_registers_wr_o.aeb_gen_cfg_reserved_5c8.reserved &lt;= (others =&gt; '0');</t>
  </si>
  <si>
    <t>-- AEB General Configuration Area Register "RESERVED_5CC" : "RESERVED" Field</t>
  </si>
  <si>
    <t>rmap_registers_wr_o.aeb_gen_cfg_reserved_5cc.reserved &lt;= (others =&gt; '0');</t>
  </si>
  <si>
    <t>-- AEB General Configuration Area Register "RESERVED_5D0" : "RESERVED" Field</t>
  </si>
  <si>
    <t>rmap_registers_wr_o.aeb_gen_cfg_reserved_5d0.reserved &lt;= (others =&gt; '0');</t>
  </si>
  <si>
    <t>-- AEB General Configuration Area Register "RESERVED_5D4" : "RESERVED" Field</t>
  </si>
  <si>
    <t>rmap_registers_wr_o.aeb_gen_cfg_reserved_5d4.reserved &lt;= (others =&gt; '0');</t>
  </si>
  <si>
    <t>-- AEB General Configuration Area Register "RESERVED_5D8" : "RESERVED" Field</t>
  </si>
  <si>
    <t>rmap_registers_wr_o.aeb_gen_cfg_reserved_5d8.reserved &lt;= (others =&gt; '0');</t>
  </si>
  <si>
    <t>-- AEB General Configuration Area Register "RESERVED_5DC" : "RESERVED" Field</t>
  </si>
  <si>
    <t>rmap_registers_wr_o.aeb_gen_cfg_reserved_5dc.reserved &lt;= (others =&gt; '0');</t>
  </si>
  <si>
    <t>-- AEB General Configuration Area Register "RESERVED_5E0" : "RESERVED" Field</t>
  </si>
  <si>
    <t>rmap_registers_wr_o.aeb_gen_cfg_reserved_5e0.reserved &lt;= (others =&gt; '0');</t>
  </si>
  <si>
    <t>-- AEB General Configuration Area Register "RESERVED_5E4" : "RESERVED" Field</t>
  </si>
  <si>
    <t>rmap_registers_wr_o.aeb_gen_cfg_reserved_5e4.reserved &lt;= (others =&gt; '0');</t>
  </si>
  <si>
    <t>-- AEB General Configuration Area Register "RESERVED_5E8" : "RESERVED" Field</t>
  </si>
  <si>
    <t>rmap_registers_wr_o.aeb_gen_cfg_reserved_5e8.reserved &lt;= (others =&gt; '0');</t>
  </si>
  <si>
    <t>-- AEB General Configuration Area Register "RESERVED_5EC" : "RESERVED" Field</t>
  </si>
  <si>
    <t>rmap_registers_wr_o.aeb_gen_cfg_reserved_5ec.reserved &lt;= (others =&gt; '0');</t>
  </si>
  <si>
    <t>-- AEB General Configuration Area Register "RESERVED_5F0" : "RESERVED" Field</t>
  </si>
  <si>
    <t>rmap_registers_wr_o.aeb_gen_cfg_reserved_5f0.reserved &lt;= (others =&gt; '0');</t>
  </si>
  <si>
    <t>-- AEB General Configuration Area Register "RESERVED_5F4" : "RESERVED" Field</t>
  </si>
  <si>
    <t>rmap_registers_wr_o.aeb_gen_cfg_reserved_5f4.reserved &lt;= (others =&gt; '0');</t>
  </si>
  <si>
    <t>-- AEB General Configuration Area Register "RESERVED_5F8" : "RESERVED" Field</t>
  </si>
  <si>
    <t>rmap_registers_wr_o.aeb_gen_cfg_reserved_5f8.reserved &lt;= (others =&gt; '0');</t>
  </si>
  <si>
    <t>-- AEB General Configuration Area Register "RESERVED_5FC" : "RESERVED" Field</t>
  </si>
  <si>
    <t>rmap_registers_wr_o.aeb_gen_cfg_reserved_5fc.reserved &lt;= (others =&gt; '0');</t>
  </si>
  <si>
    <t>-- AEB General Configuration Area Register "RESERVED_600" : "RESERVED" Field</t>
  </si>
  <si>
    <t>rmap_registers_wr_o.aeb_gen_cfg_reserved_600.reserved &lt;= (others =&gt; '0');</t>
  </si>
  <si>
    <t>-- AEB General Configuration Area Register "RESERVED_604" : "RESERVED" Field</t>
  </si>
  <si>
    <t>rmap_registers_wr_o.aeb_gen_cfg_reserved_604.reserved &lt;= (others =&gt; '0');</t>
  </si>
  <si>
    <t>-- AEB General Configuration Area Register "RESERVED_608" : "RESERVED" Field</t>
  </si>
  <si>
    <t>rmap_registers_wr_o.aeb_gen_cfg_reserved_608.reserved &lt;= (others =&gt; '0');</t>
  </si>
  <si>
    <t>-- AEB General Configuration Area Register "RESERVED_60C" : "RESERVED" Field</t>
  </si>
  <si>
    <t>rmap_registers_wr_o.aeb_gen_cfg_reserved_60c.reserved &lt;= (others =&gt; '0');</t>
  </si>
  <si>
    <t>-- AEB General Configuration Area Register "RESERVED_610" : "RESERVED" Field</t>
  </si>
  <si>
    <t>rmap_registers_wr_o.aeb_gen_cfg_reserved_610.reserved &lt;= (others =&gt; '0');</t>
  </si>
  <si>
    <t>-- AEB General Configuration Area Register "RESERVED_614" : "RESERVED" Field</t>
  </si>
  <si>
    <t>rmap_registers_wr_o.aeb_gen_cfg_reserved_614.reserved &lt;= (others =&gt; '0');</t>
  </si>
  <si>
    <t>-- AEB General Configuration Area Register "RESERVED_618" : "RESERVED" Field</t>
  </si>
  <si>
    <t>rmap_registers_wr_o.aeb_gen_cfg_reserved_618.reserved &lt;= (others =&gt; '0');</t>
  </si>
  <si>
    <t>-- AEB General Configuration Area Register "RESERVED_61C" : "RESERVED" Field</t>
  </si>
  <si>
    <t>rmap_registers_wr_o.aeb_gen_cfg_reserved_61c.reserved &lt;= (others =&gt; '0');</t>
  </si>
  <si>
    <t>-- AEB General Configuration Area Register "RESERVED_620" : "RESERVED" Field</t>
  </si>
  <si>
    <t>rmap_registers_wr_o.aeb_gen_cfg_reserved_620.reserved &lt;= (others =&gt; '0');</t>
  </si>
  <si>
    <t>-- AEB General Configuration Area Register "RESERVED_624" : "RESERVED" Field</t>
  </si>
  <si>
    <t>rmap_registers_wr_o.aeb_gen_cfg_reserved_624.reserved &lt;= (others =&gt; '0');</t>
  </si>
  <si>
    <t>-- AEB General Configuration Area Register "RESERVED_628" : "RESERVED" Field</t>
  </si>
  <si>
    <t>rmap_registers_wr_o.aeb_gen_cfg_reserved_628.reserved &lt;= (others =&gt; '0');</t>
  </si>
  <si>
    <t>-- AEB General Configuration Area Register "RESERVED_62C" : "RESERVED" Field</t>
  </si>
  <si>
    <t>rmap_registers_wr_o.aeb_gen_cfg_reserved_62c.reserved &lt;= (others =&gt; '0');</t>
  </si>
  <si>
    <t>-- AEB General Configuration Area Register "RESERVED_630" : "RESERVED" Field</t>
  </si>
  <si>
    <t>rmap_registers_wr_o.aeb_gen_cfg_reserved_630.reserved &lt;= (others =&gt; '0');</t>
  </si>
  <si>
    <t>-- AEB General Configuration Area Register "RESERVED_634" : "RESERVED" Field</t>
  </si>
  <si>
    <t>rmap_registers_wr_o.aeb_gen_cfg_reserved_634.reserved &lt;= (others =&gt; '0');</t>
  </si>
  <si>
    <t>-- AEB General Configuration Area Register "RESERVED_638" : "RESERVED" Field</t>
  </si>
  <si>
    <t>rmap_registers_wr_o.aeb_gen_cfg_reserved_638.reserved &lt;= (others =&gt; '0');</t>
  </si>
  <si>
    <t>-- AEB General Configuration Area Register "RESERVED_63C" : "RESERVED" Field</t>
  </si>
  <si>
    <t>rmap_registers_wr_o.aeb_gen_cfg_reserved_63c.reserved &lt;= (others =&gt; '0');</t>
  </si>
  <si>
    <t>-- AEB General Configuration Area Register "RESERVED_640" : "RESERVED" Field</t>
  </si>
  <si>
    <t>rmap_registers_wr_o.aeb_gen_cfg_reserved_640.reserved &lt;= (others =&gt; '0');</t>
  </si>
  <si>
    <t>-- AEB General Configuration Area Register "RESERVED_644" : "RESERVED" Field</t>
  </si>
  <si>
    <t>rmap_registers_wr_o.aeb_gen_cfg_reserved_644.reserved &lt;= (others =&gt; '0');</t>
  </si>
  <si>
    <t>-- AEB General Configuration Area Register "RESERVED_648" : "RESERVED" Field</t>
  </si>
  <si>
    <t>rmap_registers_wr_o.aeb_gen_cfg_reserved_648.reserved &lt;= (others =&gt; '0');</t>
  </si>
  <si>
    <t>-- AEB General Configuration Area Register "RESERVED_64C" : "RESERVED" Field</t>
  </si>
  <si>
    <t>rmap_registers_wr_o.aeb_gen_cfg_reserved_64c.reserved &lt;= (others =&gt; '0');</t>
  </si>
  <si>
    <t>-- AEB General Configuration Area Register "RESERVED_650" : "RESERVED" Field</t>
  </si>
  <si>
    <t>rmap_registers_wr_o.aeb_gen_cfg_reserved_650.reserved &lt;= (others =&gt; '0');</t>
  </si>
  <si>
    <t>-- AEB General Configuration Area Register "RESERVED_654" : "RESERVED" Field</t>
  </si>
  <si>
    <t>rmap_registers_wr_o.aeb_gen_cfg_reserved_654.reserved &lt;= (others =&gt; '0');</t>
  </si>
  <si>
    <t>-- AEB General Configuration Area Register "RESERVED_658" : "RESERVED" Field</t>
  </si>
  <si>
    <t>rmap_registers_wr_o.aeb_gen_cfg_reserved_658.reserved &lt;= (others =&gt; '0');</t>
  </si>
  <si>
    <t>-- AEB General Configuration Area Register "RESERVED_65C" : "RESERVED" Field</t>
  </si>
  <si>
    <t>rmap_registers_wr_o.aeb_gen_cfg_reserved_65c.reserved &lt;= (others =&gt; '0');</t>
  </si>
  <si>
    <t>-- AEB General Configuration Area Register "RESERVED_660" : "RESERVED" Field</t>
  </si>
  <si>
    <t>rmap_registers_wr_o.aeb_gen_cfg_reserved_660.reserved &lt;= (others =&gt; '0');</t>
  </si>
  <si>
    <t>-- AEB General Configuration Area Register "RESERVED_664" : "RESERVED" Field</t>
  </si>
  <si>
    <t>rmap_registers_wr_o.aeb_gen_cfg_reserved_664.reserved &lt;= (others =&gt; '0');</t>
  </si>
  <si>
    <t>-- AEB General Configuration Area Register "RESERVED_668" : "RESERVED" Field</t>
  </si>
  <si>
    <t>rmap_registers_wr_o.aeb_gen_cfg_reserved_668.reserved &lt;= (others =&gt; '0');</t>
  </si>
  <si>
    <t>-- AEB General Configuration Area Register "RESERVED_66C" : "RESERVED" Field</t>
  </si>
  <si>
    <t>rmap_registers_wr_o.aeb_gen_cfg_reserved_66c.reserved &lt;= (others =&gt; '0');</t>
  </si>
  <si>
    <t>-- AEB General Configuration Area Register "RESERVED_670" : "RESERVED" Field</t>
  </si>
  <si>
    <t>rmap_registers_wr_o.aeb_gen_cfg_reserved_670.reserved &lt;= (others =&gt; '0');</t>
  </si>
  <si>
    <t>-- AEB General Configuration Area Register "RESERVED_674" : "RESERVED" Field</t>
  </si>
  <si>
    <t>rmap_registers_wr_o.aeb_gen_cfg_reserved_674.reserved &lt;= (others =&gt; '0');</t>
  </si>
  <si>
    <t>-- AEB General Configuration Area Register "RESERVED_678" : "RESERVED" Field</t>
  </si>
  <si>
    <t>rmap_registers_wr_o.aeb_gen_cfg_reserved_678.reserved &lt;= (others =&gt; '0');</t>
  </si>
  <si>
    <t>-- AEB General Configuration Area Register "RESERVED_67C" : "RESERVED" Field</t>
  </si>
  <si>
    <t>rmap_registers_wr_o.aeb_gen_cfg_reserved_67c.reserved &lt;= (others =&gt; '0');</t>
  </si>
  <si>
    <t>-- AEB General Configuration Area Register "RESERVED_680" : "RESERVED" Field</t>
  </si>
  <si>
    <t>rmap_registers_wr_o.aeb_gen_cfg_reserved_680.reserved &lt;= (others =&gt; '0');</t>
  </si>
  <si>
    <t>-- AEB General Configuration Area Register "RESERVED_684" : "RESERVED" Field</t>
  </si>
  <si>
    <t>rmap_registers_wr_o.aeb_gen_cfg_reserved_684.reserved &lt;= (others =&gt; '0');</t>
  </si>
  <si>
    <t>-- AEB General Configuration Area Register "RESERVED_688" : "RESERVED" Field</t>
  </si>
  <si>
    <t>rmap_registers_wr_o.aeb_gen_cfg_reserved_688.reserved &lt;= (others =&gt; '0');</t>
  </si>
  <si>
    <t>-- AEB General Configuration Area Register "RESERVED_68C" : "RESERVED" Field</t>
  </si>
  <si>
    <t>rmap_registers_wr_o.aeb_gen_cfg_reserved_68c.reserved &lt;= (others =&gt; '0');</t>
  </si>
  <si>
    <t>-- AEB General Configuration Area Register "RESERVED_690" : "RESERVED" Field</t>
  </si>
  <si>
    <t>rmap_registers_wr_o.aeb_gen_cfg_reserved_690.reserved &lt;= (others =&gt; '0');</t>
  </si>
  <si>
    <t>-- AEB General Configuration Area Register "RESERVED_694" : "RESERVED" Field</t>
  </si>
  <si>
    <t>rmap_registers_wr_o.aeb_gen_cfg_reserved_694.reserved &lt;= (others =&gt; '0');</t>
  </si>
  <si>
    <t>-- AEB General Configuration Area Register "RESERVED_698" : "RESERVED" Field</t>
  </si>
  <si>
    <t>rmap_registers_wr_o.aeb_gen_cfg_reserved_698.reserved &lt;= (others =&gt; '0');</t>
  </si>
  <si>
    <t>-- AEB General Configuration Area Register "RESERVED_69C" : "RESERVED" Field</t>
  </si>
  <si>
    <t>rmap_registers_wr_o.aeb_gen_cfg_reserved_69c.reserved &lt;= (others =&gt; '0');</t>
  </si>
  <si>
    <t>-- AEB General Configuration Area Register "RESERVED_6A0" : "RESERVED" Field</t>
  </si>
  <si>
    <t>rmap_registers_wr_o.aeb_gen_cfg_reserved_6a0.reserved &lt;= (others =&gt; '0');</t>
  </si>
  <si>
    <t>-- AEB General Configuration Area Register "RESERVED_6A4" : "RESERVED" Field</t>
  </si>
  <si>
    <t>rmap_registers_wr_o.aeb_gen_cfg_reserved_6a4.reserved &lt;= (others =&gt; '0');</t>
  </si>
  <si>
    <t>-- AEB General Configuration Area Register "RESERVED_6A8" : "RESERVED" Field</t>
  </si>
  <si>
    <t>rmap_registers_wr_o.aeb_gen_cfg_reserved_6a8.reserved &lt;= (others =&gt; '0');</t>
  </si>
  <si>
    <t>-- AEB General Configuration Area Register "RESERVED_6AC" : "RESERVED" Field</t>
  </si>
  <si>
    <t>rmap_registers_wr_o.aeb_gen_cfg_reserved_6ac.reserved &lt;= (others =&gt; '0');</t>
  </si>
  <si>
    <t>-- AEB General Configuration Area Register "RESERVED_6B0" : "RESERVED" Field</t>
  </si>
  <si>
    <t>rmap_registers_wr_o.aeb_gen_cfg_reserved_6b0.reserved &lt;= (others =&gt; '0');</t>
  </si>
  <si>
    <t>-- AEB General Configuration Area Register "RESERVED_6B4" : "RESERVED" Field</t>
  </si>
  <si>
    <t>rmap_registers_wr_o.aeb_gen_cfg_reserved_6b4.reserved &lt;= (others =&gt; '0');</t>
  </si>
  <si>
    <t>-- AEB General Configuration Area Register "RESERVED_6B8" : "RESERVED" Field</t>
  </si>
  <si>
    <t>rmap_registers_wr_o.aeb_gen_cfg_reserved_6b8.reserved &lt;= (others =&gt; '0');</t>
  </si>
  <si>
    <t>-- AEB General Configuration Area Register "RESERVED_6BC" : "RESERVED" Field</t>
  </si>
  <si>
    <t>rmap_registers_wr_o.aeb_gen_cfg_reserved_6bc.reserved &lt;= (others =&gt; '0');</t>
  </si>
  <si>
    <t>-- AEB General Configuration Area Register "RESERVED_6C0" : "RESERVED" Field</t>
  </si>
  <si>
    <t>rmap_registers_wr_o.aeb_gen_cfg_reserved_6c0.reserved &lt;= (others =&gt; '0');</t>
  </si>
  <si>
    <t>-- AEB General Configuration Area Register "RESERVED_6C4" : "RESERVED" Field</t>
  </si>
  <si>
    <t>rmap_registers_wr_o.aeb_gen_cfg_reserved_6c4.reserved &lt;= (others =&gt; '0');</t>
  </si>
  <si>
    <t>-- AEB General Configuration Area Register "RESERVED_6C8" : "RESERVED" Field</t>
  </si>
  <si>
    <t>rmap_registers_wr_o.aeb_gen_cfg_reserved_6c8.reserved &lt;= (others =&gt; '0');</t>
  </si>
  <si>
    <t>-- AEB General Configuration Area Register "RESERVED_6CC" : "RESERVED" Field</t>
  </si>
  <si>
    <t>rmap_registers_wr_o.aeb_gen_cfg_reserved_6cc.reserved &lt;= (others =&gt; '0');</t>
  </si>
  <si>
    <t>-- AEB General Configuration Area Register "RESERVED_6D0" : "RESERVED" Field</t>
  </si>
  <si>
    <t>rmap_registers_wr_o.aeb_gen_cfg_reserved_6d0.reserved &lt;= (others =&gt; '0');</t>
  </si>
  <si>
    <t>-- AEB General Configuration Area Register "RESERVED_6D4" : "RESERVED" Field</t>
  </si>
  <si>
    <t>rmap_registers_wr_o.aeb_gen_cfg_reserved_6d4.reserved &lt;= (others =&gt; '0');</t>
  </si>
  <si>
    <t>-- AEB General Configuration Area Register "RESERVED_6D8" : "RESERVED" Field</t>
  </si>
  <si>
    <t>rmap_registers_wr_o.aeb_gen_cfg_reserved_6d8.reserved &lt;= (others =&gt; '0');</t>
  </si>
  <si>
    <t>-- AEB General Configuration Area Register "RESERVED_6DC" : "RESERVED" Field</t>
  </si>
  <si>
    <t>rmap_registers_wr_o.aeb_gen_cfg_reserved_6dc.reserved &lt;= (others =&gt; '0');</t>
  </si>
  <si>
    <t>-- AEB General Configuration Area Register "RESERVED_6E0" : "RESERVED" Field</t>
  </si>
  <si>
    <t>rmap_registers_wr_o.aeb_gen_cfg_reserved_6e0.reserved &lt;= (others =&gt; '0');</t>
  </si>
  <si>
    <t>-- AEB General Configuration Area Register "RESERVED_6E4" : "RESERVED" Field</t>
  </si>
  <si>
    <t>rmap_registers_wr_o.aeb_gen_cfg_reserved_6e4.reserved &lt;= (others =&gt; '0');</t>
  </si>
  <si>
    <t>-- AEB General Configuration Area Register "RESERVED_6E8" : "RESERVED" Field</t>
  </si>
  <si>
    <t>rmap_registers_wr_o.aeb_gen_cfg_reserved_6e8.reserved &lt;= (others =&gt; '0');</t>
  </si>
  <si>
    <t>-- AEB General Configuration Area Register "RESERVED_6EC" : "RESERVED" Field</t>
  </si>
  <si>
    <t>rmap_registers_wr_o.aeb_gen_cfg_reserved_6ec.reserved &lt;= (others =&gt; '0');</t>
  </si>
  <si>
    <t>-- AEB General Configuration Area Register "RESERVED_6F0" : "RESERVED" Field</t>
  </si>
  <si>
    <t>rmap_registers_wr_o.aeb_gen_cfg_reserved_6f0.reserved &lt;= (others =&gt; '0');</t>
  </si>
  <si>
    <t>-- AEB General Configuration Area Register "RESERVED_6F4" : "RESERVED" Field</t>
  </si>
  <si>
    <t>rmap_registers_wr_o.aeb_gen_cfg_reserved_6f4.reserved &lt;= (others =&gt; '0');</t>
  </si>
  <si>
    <t>-- AEB General Configuration Area Register "RESERVED_6F8" : "RESERVED" Field</t>
  </si>
  <si>
    <t>rmap_registers_wr_o.aeb_gen_cfg_reserved_6f8.reserved &lt;= (others =&gt; '0');</t>
  </si>
  <si>
    <t>-- AEB General Configuration Area Register "RESERVED_6FC" : "RESERVED" Field</t>
  </si>
  <si>
    <t>rmap_registers_wr_o.aeb_gen_cfg_reserved_6fc.reserved &lt;= (others =&gt; '0');</t>
  </si>
  <si>
    <t>-- AEB General Configuration Area Register "RESERVED_700" : "RESERVED" Field</t>
  </si>
  <si>
    <t>rmap_registers_wr_o.aeb_gen_cfg_reserved_700.reserved &lt;= (others =&gt; '0');</t>
  </si>
  <si>
    <t>-- AEB General Configuration Area Register "RESERVED_704" : "RESERVED" Field</t>
  </si>
  <si>
    <t>rmap_registers_wr_o.aeb_gen_cfg_reserved_704.reserved &lt;= (others =&gt; '0');</t>
  </si>
  <si>
    <t>-- AEB General Configuration Area Register "RESERVED_708" : "RESERVED" Field</t>
  </si>
  <si>
    <t>rmap_registers_wr_o.aeb_gen_cfg_reserved_708.reserved &lt;= (others =&gt; '0');</t>
  </si>
  <si>
    <t>-- AEB General Configuration Area Register "RESERVED_70C" : "RESERVED" Field</t>
  </si>
  <si>
    <t>rmap_registers_wr_o.aeb_gen_cfg_reserved_70c.reserved &lt;= (others =&gt; '0');</t>
  </si>
  <si>
    <t>-- AEB General Configuration Area Register "RESERVED_710" : "RESERVED" Field</t>
  </si>
  <si>
    <t>rmap_registers_wr_o.aeb_gen_cfg_reserved_710.reserved &lt;= (others =&gt; '0');</t>
  </si>
  <si>
    <t>-- AEB General Configuration Area Register "RESERVED_714" : "RESERVED" Field</t>
  </si>
  <si>
    <t>rmap_registers_wr_o.aeb_gen_cfg_reserved_714.reserved &lt;= (others =&gt; '0');</t>
  </si>
  <si>
    <t>-- AEB General Configuration Area Register "RESERVED_718" : "RESERVED" Field</t>
  </si>
  <si>
    <t>rmap_registers_wr_o.aeb_gen_cfg_reserved_718.reserved &lt;= (others =&gt; '0');</t>
  </si>
  <si>
    <t>-- AEB General Configuration Area Register "RESERVED_71C" : "RESERVED" Field</t>
  </si>
  <si>
    <t>rmap_registers_wr_o.aeb_gen_cfg_reserved_71c.reserved &lt;= (others =&gt; '0');</t>
  </si>
  <si>
    <t>-- AEB General Configuration Area Register "RESERVED_720" : "RESERVED" Field</t>
  </si>
  <si>
    <t>rmap_registers_wr_o.aeb_gen_cfg_reserved_720.reserved &lt;= (others =&gt; '0');</t>
  </si>
  <si>
    <t>-- AEB General Configuration Area Register "RESERVED_724" : "RESERVED" Field</t>
  </si>
  <si>
    <t>rmap_registers_wr_o.aeb_gen_cfg_reserved_724.reserved &lt;= (others =&gt; '0');</t>
  </si>
  <si>
    <t>-- AEB General Configuration Area Register "RESERVED_728" : "RESERVED" Field</t>
  </si>
  <si>
    <t>rmap_registers_wr_o.aeb_gen_cfg_reserved_728.reserved &lt;= (others =&gt; '0');</t>
  </si>
  <si>
    <t>-- AEB General Configuration Area Register "RESERVED_72C" : "RESERVED" Field</t>
  </si>
  <si>
    <t>rmap_registers_wr_o.aeb_gen_cfg_reserved_72c.reserved &lt;= (others =&gt; '0');</t>
  </si>
  <si>
    <t>-- AEB General Configuration Area Register "RESERVED_730" : "RESERVED" Field</t>
  </si>
  <si>
    <t>rmap_registers_wr_o.aeb_gen_cfg_reserved_730.reserved &lt;= (others =&gt; '0');</t>
  </si>
  <si>
    <t>-- AEB General Configuration Area Register "RESERVED_734" : "RESERVED" Field</t>
  </si>
  <si>
    <t>rmap_registers_wr_o.aeb_gen_cfg_reserved_734.reserved &lt;= (others =&gt; '0');</t>
  </si>
  <si>
    <t>-- AEB General Configuration Area Register "RESERVED_738" : "RESERVED" Field</t>
  </si>
  <si>
    <t>rmap_registers_wr_o.aeb_gen_cfg_reserved_738.reserved &lt;= (others =&gt; '0');</t>
  </si>
  <si>
    <t>-- AEB General Configuration Area Register "RESERVED_73C" : "RESERVED" Field</t>
  </si>
  <si>
    <t>rmap_registers_wr_o.aeb_gen_cfg_reserved_73c.reserved &lt;= (others =&gt; '0');</t>
  </si>
  <si>
    <t>-- AEB General Configuration Area Register "RESERVED_740" : "RESERVED" Field</t>
  </si>
  <si>
    <t>rmap_registers_wr_o.aeb_gen_cfg_reserved_740.reserved &lt;= (others =&gt; '0');</t>
  </si>
  <si>
    <t>-- AEB General Configuration Area Register "RESERVED_744" : "RESERVED" Field</t>
  </si>
  <si>
    <t>rmap_registers_wr_o.aeb_gen_cfg_reserved_744.reserved &lt;= (others =&gt; '0');</t>
  </si>
  <si>
    <t>-- AEB General Configuration Area Register "RESERVED_748" : "RESERVED" Field</t>
  </si>
  <si>
    <t>rmap_registers_wr_o.aeb_gen_cfg_reserved_748.reserved &lt;= (others =&gt; '0');</t>
  </si>
  <si>
    <t>-- AEB General Configuration Area Register "RESERVED_74C" : "RESERVED" Field</t>
  </si>
  <si>
    <t>rmap_registers_wr_o.aeb_gen_cfg_reserved_74c.reserved &lt;= (others =&gt; '0');</t>
  </si>
  <si>
    <t>-- AEB General Configuration Area Register "RESERVED_750" : "RESERVED" Field</t>
  </si>
  <si>
    <t>rmap_registers_wr_o.aeb_gen_cfg_reserved_750.reserved &lt;= (others =&gt; '0');</t>
  </si>
  <si>
    <t>-- AEB General Configuration Area Register "RESERVED_754" : "RESERVED" Field</t>
  </si>
  <si>
    <t>rmap_registers_wr_o.aeb_gen_cfg_reserved_754.reserved &lt;= (others =&gt; '0');</t>
  </si>
  <si>
    <t>-- AEB General Configuration Area Register "RESERVED_758" : "RESERVED" Field</t>
  </si>
  <si>
    <t>rmap_registers_wr_o.aeb_gen_cfg_reserved_758.reserved &lt;= (others =&gt; '0');</t>
  </si>
  <si>
    <t>-- AEB General Configuration Area Register "RESERVED_75C" : "RESERVED" Field</t>
  </si>
  <si>
    <t>rmap_registers_wr_o.aeb_gen_cfg_reserved_75c.reserved &lt;= (others =&gt; '0');</t>
  </si>
  <si>
    <t>-- AEB General Configuration Area Register "RESERVED_760" : "RESERVED" Field</t>
  </si>
  <si>
    <t>rmap_registers_wr_o.aeb_gen_cfg_reserved_760.reserved &lt;= (others =&gt; '0');</t>
  </si>
  <si>
    <t>-- AEB General Configuration Area Register "RESERVED_764" : "RESERVED" Field</t>
  </si>
  <si>
    <t>rmap_registers_wr_o.aeb_gen_cfg_reserved_764.reserved &lt;= (others =&gt; '0');</t>
  </si>
  <si>
    <t>-- AEB General Configuration Area Register "RESERVED_768" : "RESERVED" Field</t>
  </si>
  <si>
    <t>rmap_registers_wr_o.aeb_gen_cfg_reserved_768.reserved &lt;= (others =&gt; '0');</t>
  </si>
  <si>
    <t>-- AEB General Configuration Area Register "RESERVED_76C" : "RESERVED" Field</t>
  </si>
  <si>
    <t>rmap_registers_wr_o.aeb_gen_cfg_reserved_76c.reserved &lt;= (others =&gt; '0');</t>
  </si>
  <si>
    <t>-- AEB General Configuration Area Register "RESERVED_770" : "RESERVED" Field</t>
  </si>
  <si>
    <t>rmap_registers_wr_o.aeb_gen_cfg_reserved_770.reserved &lt;= (others =&gt; '0');</t>
  </si>
  <si>
    <t>-- AEB General Configuration Area Register "RESERVED_774" : "RESERVED" Field</t>
  </si>
  <si>
    <t>rmap_registers_wr_o.aeb_gen_cfg_reserved_774.reserved &lt;= (others =&gt; '0');</t>
  </si>
  <si>
    <t>-- AEB General Configuration Area Register "RESERVED_778" : "RESERVED" Field</t>
  </si>
  <si>
    <t>rmap_registers_wr_o.aeb_gen_cfg_reserved_778.reserved &lt;= (others =&gt; '0');</t>
  </si>
  <si>
    <t>-- AEB General Configuration Area Register "RESERVED_77C" : "RESERVED" Field</t>
  </si>
  <si>
    <t>rmap_registers_wr_o.aeb_gen_cfg_reserved_77c.reserved &lt;= (others =&gt; '0');</t>
  </si>
  <si>
    <t>-- AEB General Configuration Area Register "RESERVED_780" : "RESERVED" Field</t>
  </si>
  <si>
    <t>rmap_registers_wr_o.aeb_gen_cfg_reserved_780.reserved &lt;= (others =&gt; '0');</t>
  </si>
  <si>
    <t>-- AEB General Configuration Area Register "RESERVED_784" : "RESERVED" Field</t>
  </si>
  <si>
    <t>rmap_registers_wr_o.aeb_gen_cfg_reserved_784.reserved &lt;= (others =&gt; '0');</t>
  </si>
  <si>
    <t>-- AEB General Configuration Area Register "RESERVED_788" : "RESERVED" Field</t>
  </si>
  <si>
    <t>rmap_registers_wr_o.aeb_gen_cfg_reserved_788.reserved &lt;= (others =&gt; '0');</t>
  </si>
  <si>
    <t>-- AEB General Configuration Area Register "RESERVED_78C" : "RESERVED" Field</t>
  </si>
  <si>
    <t>rmap_registers_wr_o.aeb_gen_cfg_reserved_78c.reserved &lt;= (others =&gt; '0');</t>
  </si>
  <si>
    <t>-- AEB General Configuration Area Register "RESERVED_790" : "RESERVED" Field</t>
  </si>
  <si>
    <t>rmap_registers_wr_o.aeb_gen_cfg_reserved_790.reserved &lt;= (others =&gt; '0');</t>
  </si>
  <si>
    <t>-- AEB General Configuration Area Register "RESERVED_794" : "RESERVED" Field</t>
  </si>
  <si>
    <t>rmap_registers_wr_o.aeb_gen_cfg_reserved_794.reserved &lt;= (others =&gt; '0');</t>
  </si>
  <si>
    <t>-- AEB General Configuration Area Register "RESERVED_798" : "RESERVED" Field</t>
  </si>
  <si>
    <t>rmap_registers_wr_o.aeb_gen_cfg_reserved_798.reserved &lt;= (others =&gt; '0');</t>
  </si>
  <si>
    <t>-- AEB General Configuration Area Register "RESERVED_79C" : "RESERVED" Field</t>
  </si>
  <si>
    <t>rmap_registers_wr_o.aeb_gen_cfg_reserved_79c.reserved &lt;= (others =&gt; '0');</t>
  </si>
  <si>
    <t>-- AEB General Configuration Area Register "RESERVED_7A0" : "RESERVED" Field</t>
  </si>
  <si>
    <t>rmap_registers_wr_o.aeb_gen_cfg_reserved_7a0.reserved &lt;= (others =&gt; '0');</t>
  </si>
  <si>
    <t>-- AEB General Configuration Area Register "RESERVED_7A4" : "RESERVED" Field</t>
  </si>
  <si>
    <t>rmap_registers_wr_o.aeb_gen_cfg_reserved_7a4.reserved &lt;= (others =&gt; '0');</t>
  </si>
  <si>
    <t>-- AEB General Configuration Area Register "RESERVED_7A8" : "RESERVED" Field</t>
  </si>
  <si>
    <t>rmap_registers_wr_o.aeb_gen_cfg_reserved_7a8.reserved &lt;= (others =&gt; '0');</t>
  </si>
  <si>
    <t>-- AEB General Configuration Area Register "RESERVED_7AC" : "RESERVED" Field</t>
  </si>
  <si>
    <t>rmap_registers_wr_o.aeb_gen_cfg_reserved_7ac.reserved &lt;= (others =&gt; '0');</t>
  </si>
  <si>
    <t>-- AEB General Configuration Area Register "RESERVED_7B0" : "RESERVED" Field</t>
  </si>
  <si>
    <t>rmap_registers_wr_o.aeb_gen_cfg_reserved_7b0.reserved &lt;= (others =&gt; '0');</t>
  </si>
  <si>
    <t>-- AEB General Configuration Area Register "RESERVED_7B4" : "RESERVED" Field</t>
  </si>
  <si>
    <t>rmap_registers_wr_o.aeb_gen_cfg_reserved_7b4.reserved &lt;= (others =&gt; '0');</t>
  </si>
  <si>
    <t>-- AEB General Configuration Area Register "RESERVED_7B8" : "RESERVED" Field</t>
  </si>
  <si>
    <t>rmap_registers_wr_o.aeb_gen_cfg_reserved_7b8.reserved &lt;= (others =&gt; '0');</t>
  </si>
  <si>
    <t>-- AEB General Configuration Area Register "RESERVED_7BC" : "RESERVED" Field</t>
  </si>
  <si>
    <t>rmap_registers_wr_o.aeb_gen_cfg_reserved_7bc.reserved &lt;= (others =&gt; '0');</t>
  </si>
  <si>
    <t>-- AEB General Configuration Area Register "RESERVED_7C0" : "RESERVED" Field</t>
  </si>
  <si>
    <t>rmap_registers_wr_o.aeb_gen_cfg_reserved_7c0.reserved &lt;= (others =&gt; '0');</t>
  </si>
  <si>
    <t>-- AEB General Configuration Area Register "RESERVED_7C4" : "RESERVED" Field</t>
  </si>
  <si>
    <t>rmap_registers_wr_o.aeb_gen_cfg_reserved_7c4.reserved &lt;= (others =&gt; '0');</t>
  </si>
  <si>
    <t>-- AEB General Configuration Area Register "RESERVED_7C8" : "RESERVED" Field</t>
  </si>
  <si>
    <t>rmap_registers_wr_o.aeb_gen_cfg_reserved_7c8.reserved &lt;= (others =&gt; '0');</t>
  </si>
  <si>
    <t>-- AEB General Configuration Area Register "RESERVED_7CC" : "RESERVED" Field</t>
  </si>
  <si>
    <t>rmap_registers_wr_o.aeb_gen_cfg_reserved_7cc.reserved &lt;= (others =&gt; '0');</t>
  </si>
  <si>
    <t>-- AEB General Configuration Area Register "RESERVED_7D0" : "RESERVED" Field</t>
  </si>
  <si>
    <t>rmap_registers_wr_o.aeb_gen_cfg_reserved_7d0.reserved &lt;= (others =&gt; '0');</t>
  </si>
  <si>
    <t>-- AEB General Configuration Area Register "RESERVED_7D4" : "RESERVED" Field</t>
  </si>
  <si>
    <t>rmap_registers_wr_o.aeb_gen_cfg_reserved_7d4.reserved &lt;= (others =&gt; '0');</t>
  </si>
  <si>
    <t>-- AEB General Configuration Area Register "RESERVED_7D8" : "RESERVED" Field</t>
  </si>
  <si>
    <t>rmap_registers_wr_o.aeb_gen_cfg_reserved_7d8.reserved &lt;= (others =&gt; '0');</t>
  </si>
  <si>
    <t>-- AEB General Configuration Area Register "RESERVED_7DC" : "RESERVED" Field</t>
  </si>
  <si>
    <t>rmap_registers_wr_o.aeb_gen_cfg_reserved_7dc.reserved &lt;= (others =&gt; '0');</t>
  </si>
  <si>
    <t>-- AEB General Configuration Area Register "RESERVED_7E0" : "RESERVED" Field</t>
  </si>
  <si>
    <t>rmap_registers_wr_o.aeb_gen_cfg_reserved_7e0.reserved &lt;= (others =&gt; '0');</t>
  </si>
  <si>
    <t>-- AEB General Configuration Area Register "RESERVED_7E4" : "RESERVED" Field</t>
  </si>
  <si>
    <t>rmap_registers_wr_o.aeb_gen_cfg_reserved_7e4.reserved &lt;= (others =&gt; '0');</t>
  </si>
  <si>
    <t>-- AEB General Configuration Area Register "RESERVED_7E8" : "RESERVED" Field</t>
  </si>
  <si>
    <t>rmap_registers_wr_o.aeb_gen_cfg_reserved_7e8.reserved &lt;= (others =&gt; '0');</t>
  </si>
  <si>
    <t>-- AEB General Configuration Area Register "RESERVED_7EC" : "RESERVED" Field</t>
  </si>
  <si>
    <t>rmap_registers_wr_o.aeb_gen_cfg_reserved_7ec.reserved &lt;= (others =&gt; '0');</t>
  </si>
  <si>
    <t>-- AEB General Configuration Area Register "RESERVED_7F0" : "RESERVED" Field</t>
  </si>
  <si>
    <t>rmap_registers_wr_o.aeb_gen_cfg_reserved_7f0.reserved &lt;= (others =&gt; '0');</t>
  </si>
  <si>
    <t>-- AEB General Configuration Area Register "RESERVED_7F4" : "RESERVED" Field</t>
  </si>
  <si>
    <t>rmap_registers_wr_o.aeb_gen_cfg_reserved_7f4.reserved &lt;= (others =&gt; '0');</t>
  </si>
  <si>
    <t>-- AEB General Configuration Area Register "RESERVED_7F8" : "RESERVED" Field</t>
  </si>
  <si>
    <t>rmap_registers_wr_o.aeb_gen_cfg_reserved_7f8.reserved &lt;= (others =&gt; '0');</t>
  </si>
  <si>
    <t>-- AEB General Configuration Area Register "RESERVED_7FC" : "RESERVED" Field</t>
  </si>
  <si>
    <t>rmap_registers_wr_o.aeb_gen_cfg_reserved_7fc.reserved &lt;= (others =&gt; '0');</t>
  </si>
  <si>
    <t>-- AEB General Configuration Area Register "RESERVED_800" : "RESERVED" Field</t>
  </si>
  <si>
    <t>rmap_registers_wr_o.aeb_gen_cfg_reserved_800.reserved &lt;= (others =&gt; '0');</t>
  </si>
  <si>
    <t>-- AEB General Configuration Area Register "RESERVED_804" : "RESERVED" Field</t>
  </si>
  <si>
    <t>rmap_registers_wr_o.aeb_gen_cfg_reserved_804.reserved &lt;= (others =&gt; '0');</t>
  </si>
  <si>
    <t>-- AEB General Configuration Area Register "RESERVED_808" : "RESERVED" Field</t>
  </si>
  <si>
    <t>rmap_registers_wr_o.aeb_gen_cfg_reserved_808.reserved &lt;= (others =&gt; '0');</t>
  </si>
  <si>
    <t>-- AEB General Configuration Area Register "RESERVED_80C" : "RESERVED" Field</t>
  </si>
  <si>
    <t>rmap_registers_wr_o.aeb_gen_cfg_reserved_80c.reserved &lt;= (others =&gt; '0');</t>
  </si>
  <si>
    <t>-- AEB General Configuration Area Register "RESERVED_810" : "RESERVED" Field</t>
  </si>
  <si>
    <t>rmap_registers_wr_o.aeb_gen_cfg_reserved_810.reserved &lt;= (others =&gt; '0');</t>
  </si>
  <si>
    <t>-- AEB General Configuration Area Register "RESERVED_814" : "RESERVED" Field</t>
  </si>
  <si>
    <t>rmap_registers_wr_o.aeb_gen_cfg_reserved_814.reserved &lt;= (others =&gt; '0');</t>
  </si>
  <si>
    <t>-- AEB General Configuration Area Register "RESERVED_818" : "RESERVED" Field</t>
  </si>
  <si>
    <t>rmap_registers_wr_o.aeb_gen_cfg_reserved_818.reserved &lt;= (others =&gt; '0');</t>
  </si>
  <si>
    <t>-- AEB General Configuration Area Register "RESERVED_81C" : "RESERVED" Field</t>
  </si>
  <si>
    <t>rmap_registers_wr_o.aeb_gen_cfg_reserved_81c.reserved &lt;= (others =&gt; '0');</t>
  </si>
  <si>
    <t>-- AEB General Configuration Area Register "RESERVED_820" : "RESERVED" Field</t>
  </si>
  <si>
    <t>rmap_registers_wr_o.aeb_gen_cfg_reserved_820.reserved &lt;= (others =&gt; '0');</t>
  </si>
  <si>
    <t>-- AEB General Configuration Area Register "RESERVED_824" : "RESERVED" Field</t>
  </si>
  <si>
    <t>rmap_registers_wr_o.aeb_gen_cfg_reserved_824.reserved &lt;= (others =&gt; '0');</t>
  </si>
  <si>
    <t>-- AEB General Configuration Area Register "RESERVED_828" : "RESERVED" Field</t>
  </si>
  <si>
    <t>rmap_registers_wr_o.aeb_gen_cfg_reserved_828.reserved &lt;= (others =&gt; '0');</t>
  </si>
  <si>
    <t>-- AEB General Configuration Area Register "RESERVED_82C" : "RESERVED" Field</t>
  </si>
  <si>
    <t>rmap_registers_wr_o.aeb_gen_cfg_reserved_82c.reserved &lt;= (others =&gt; '0');</t>
  </si>
  <si>
    <t>-- AEB General Configuration Area Register "RESERVED_830" : "RESERVED" Field</t>
  </si>
  <si>
    <t>rmap_registers_wr_o.aeb_gen_cfg_reserved_830.reserved &lt;= (others =&gt; '0');</t>
  </si>
  <si>
    <t>-- AEB General Configuration Area Register "RESERVED_834" : "RESERVED" Field</t>
  </si>
  <si>
    <t>rmap_registers_wr_o.aeb_gen_cfg_reserved_834.reserved &lt;= (others =&gt; '0');</t>
  </si>
  <si>
    <t>-- AEB General Configuration Area Register "RESERVED_838" : "RESERVED" Field</t>
  </si>
  <si>
    <t>rmap_registers_wr_o.aeb_gen_cfg_reserved_838.reserved &lt;= (others =&gt; '0');</t>
  </si>
  <si>
    <t>-- AEB General Configuration Area Register "RESERVED_83C" : "RESERVED" Field</t>
  </si>
  <si>
    <t>rmap_registers_wr_o.aeb_gen_cfg_reserved_83c.reserved &lt;= (others =&gt; '0');</t>
  </si>
  <si>
    <t>-- AEB General Configuration Area Register "RESERVED_840" : "RESERVED" Field</t>
  </si>
  <si>
    <t>rmap_registers_wr_o.aeb_gen_cfg_reserved_840.reserved &lt;= (others =&gt; '0');</t>
  </si>
  <si>
    <t>-- AEB General Configuration Area Register "RESERVED_844" : "RESERVED" Field</t>
  </si>
  <si>
    <t>rmap_registers_wr_o.aeb_gen_cfg_reserved_844.reserved &lt;= (others =&gt; '0');</t>
  </si>
  <si>
    <t>-- AEB General Configuration Area Register "RESERVED_848" : "RESERVED" Field</t>
  </si>
  <si>
    <t>rmap_registers_wr_o.aeb_gen_cfg_reserved_848.reserved &lt;= (others =&gt; '0');</t>
  </si>
  <si>
    <t>-- AEB General Configuration Area Register "RESERVED_84C" : "RESERVED" Field</t>
  </si>
  <si>
    <t>rmap_registers_wr_o.aeb_gen_cfg_reserved_84c.reserved &lt;= (others =&gt; '0');</t>
  </si>
  <si>
    <t>-- AEB General Configuration Area Register "RESERVED_850" : "RESERVED" Field</t>
  </si>
  <si>
    <t>rmap_registers_wr_o.aeb_gen_cfg_reserved_850.reserved &lt;= (others =&gt; '0');</t>
  </si>
  <si>
    <t>-- AEB General Configuration Area Register "RESERVED_854" : "RESERVED" Field</t>
  </si>
  <si>
    <t>rmap_registers_wr_o.aeb_gen_cfg_reserved_854.reserved &lt;= (others =&gt; '0');</t>
  </si>
  <si>
    <t>-- AEB General Configuration Area Register "RESERVED_858" : "RESERVED" Field</t>
  </si>
  <si>
    <t>rmap_registers_wr_o.aeb_gen_cfg_reserved_858.reserved &lt;= (others =&gt; '0');</t>
  </si>
  <si>
    <t>-- AEB General Configuration Area Register "RESERVED_85C" : "RESERVED" Field</t>
  </si>
  <si>
    <t>rmap_registers_wr_o.aeb_gen_cfg_reserved_85c.reserved &lt;= (others =&gt; '0');</t>
  </si>
  <si>
    <t>-- AEB General Configuration Area Register "RESERVED_860" : "RESERVED" Field</t>
  </si>
  <si>
    <t>rmap_registers_wr_o.aeb_gen_cfg_reserved_860.reserved &lt;= (others =&gt; '0');</t>
  </si>
  <si>
    <t>-- AEB General Configuration Area Register "RESERVED_864" : "RESERVED" Field</t>
  </si>
  <si>
    <t>rmap_registers_wr_o.aeb_gen_cfg_reserved_864.reserved &lt;= (others =&gt; '0');</t>
  </si>
  <si>
    <t>-- AEB General Configuration Area Register "RESERVED_868" : "RESERVED" Field</t>
  </si>
  <si>
    <t>rmap_registers_wr_o.aeb_gen_cfg_reserved_868.reserved &lt;= (others =&gt; '0');</t>
  </si>
  <si>
    <t>-- AEB General Configuration Area Register "RESERVED_86C" : "RESERVED" Field</t>
  </si>
  <si>
    <t>rmap_registers_wr_o.aeb_gen_cfg_reserved_86c.reserved &lt;= (others =&gt; '0');</t>
  </si>
  <si>
    <t>-- AEB General Configuration Area Register "RESERVED_870" : "RESERVED" Field</t>
  </si>
  <si>
    <t>rmap_registers_wr_o.aeb_gen_cfg_reserved_870.reserved &lt;= (others =&gt; '0');</t>
  </si>
  <si>
    <t>-- AEB General Configuration Area Register "RESERVED_874" : "RESERVED" Field</t>
  </si>
  <si>
    <t>rmap_registers_wr_o.aeb_gen_cfg_reserved_874.reserved &lt;= (others =&gt; '0');</t>
  </si>
  <si>
    <t>-- AEB General Configuration Area Register "RESERVED_878" : "RESERVED" Field</t>
  </si>
  <si>
    <t>rmap_registers_wr_o.aeb_gen_cfg_reserved_878.reserved &lt;= (others =&gt; '0');</t>
  </si>
  <si>
    <t>-- AEB General Configuration Area Register "RESERVED_87C" : "RESERVED" Field</t>
  </si>
  <si>
    <t>rmap_registers_wr_o.aeb_gen_cfg_reserved_87c.reserved &lt;= (others =&gt; '0');</t>
  </si>
  <si>
    <t>-- AEB General Configuration Area Register "RESERVED_880" : "RESERVED" Field</t>
  </si>
  <si>
    <t>rmap_registers_wr_o.aeb_gen_cfg_reserved_880.reserved &lt;= (others =&gt; '0');</t>
  </si>
  <si>
    <t>-- AEB General Configuration Area Register "RESERVED_884" : "RESERVED" Field</t>
  </si>
  <si>
    <t>rmap_registers_wr_o.aeb_gen_cfg_reserved_884.reserved &lt;= (others =&gt; '0');</t>
  </si>
  <si>
    <t>-- AEB General Configuration Area Register "RESERVED_888" : "RESERVED" Field</t>
  </si>
  <si>
    <t>rmap_registers_wr_o.aeb_gen_cfg_reserved_888.reserved &lt;= (others =&gt; '0');</t>
  </si>
  <si>
    <t>-- AEB General Configuration Area Register "RESERVED_88C" : "RESERVED" Field</t>
  </si>
  <si>
    <t>rmap_registers_wr_o.aeb_gen_cfg_reserved_88c.reserved &lt;= (others =&gt; '0');</t>
  </si>
  <si>
    <t>-- AEB General Configuration Area Register "RESERVED_890" : "RESERVED" Field</t>
  </si>
  <si>
    <t>rmap_registers_wr_o.aeb_gen_cfg_reserved_890.reserved &lt;= (others =&gt; '0');</t>
  </si>
  <si>
    <t>-- AEB General Configuration Area Register "RESERVED_894" : "RESERVED" Field</t>
  </si>
  <si>
    <t>rmap_registers_wr_o.aeb_gen_cfg_reserved_894.reserved &lt;= (others =&gt; '0');</t>
  </si>
  <si>
    <t>-- AEB General Configuration Area Register "RESERVED_898" : "RESERVED" Field</t>
  </si>
  <si>
    <t>rmap_registers_wr_o.aeb_gen_cfg_reserved_898.reserved &lt;= (others =&gt; '0');</t>
  </si>
  <si>
    <t>-- AEB General Configuration Area Register "RESERVED_89C" : "RESERVED" Field</t>
  </si>
  <si>
    <t>rmap_registers_wr_o.aeb_gen_cfg_reserved_89c.reserved &lt;= (others =&gt; '0');</t>
  </si>
  <si>
    <t>-- AEB General Configuration Area Register "RESERVED_8A0" : "RESERVED" Field</t>
  </si>
  <si>
    <t>rmap_registers_wr_o.aeb_gen_cfg_reserved_8a0.reserved &lt;= (others =&gt; '0');</t>
  </si>
  <si>
    <t>-- AEB General Configuration Area Register "RESERVED_8A4" : "RESERVED" Field</t>
  </si>
  <si>
    <t>rmap_registers_wr_o.aeb_gen_cfg_reserved_8a4.reserved &lt;= (others =&gt; '0');</t>
  </si>
  <si>
    <t>-- AEB General Configuration Area Register "RESERVED_8A8" : "RESERVED" Field</t>
  </si>
  <si>
    <t>rmap_registers_wr_o.aeb_gen_cfg_reserved_8a8.reserved &lt;= (others =&gt; '0');</t>
  </si>
  <si>
    <t>-- AEB General Configuration Area Register "RESERVED_8AC" : "RESERVED" Field</t>
  </si>
  <si>
    <t>rmap_registers_wr_o.aeb_gen_cfg_reserved_8ac.reserved &lt;= (others =&gt; '0');</t>
  </si>
  <si>
    <t>-- AEB General Configuration Area Register "RESERVED_8B0" : "RESERVED" Field</t>
  </si>
  <si>
    <t>rmap_registers_wr_o.aeb_gen_cfg_reserved_8b0.reserved &lt;= (others =&gt; '0');</t>
  </si>
  <si>
    <t>-- AEB General Configuration Area Register "RESERVED_8B4" : "RESERVED" Field</t>
  </si>
  <si>
    <t>rmap_registers_wr_o.aeb_gen_cfg_reserved_8b4.reserved &lt;= (others =&gt; '0');</t>
  </si>
  <si>
    <t>-- AEB General Configuration Area Register "RESERVED_8B8" : "RESERVED" Field</t>
  </si>
  <si>
    <t>rmap_registers_wr_o.aeb_gen_cfg_reserved_8b8.reserved &lt;= (others =&gt; '0');</t>
  </si>
  <si>
    <t>-- AEB General Configuration Area Register "RESERVED_8BC" : "RESERVED" Field</t>
  </si>
  <si>
    <t>rmap_registers_wr_o.aeb_gen_cfg_reserved_8bc.reserved &lt;= (others =&gt; '0');</t>
  </si>
  <si>
    <t>-- AEB General Configuration Area Register "RESERVED_8C0" : "RESERVED" Field</t>
  </si>
  <si>
    <t>rmap_registers_wr_o.aeb_gen_cfg_reserved_8c0.reserved &lt;= (others =&gt; '0');</t>
  </si>
  <si>
    <t>-- AEB General Configuration Area Register "RESERVED_8C4" : "RESERVED" Field</t>
  </si>
  <si>
    <t>rmap_registers_wr_o.aeb_gen_cfg_reserved_8c4.reserved &lt;= (others =&gt; '0');</t>
  </si>
  <si>
    <t>-- AEB General Configuration Area Register "RESERVED_8C8" : "RESERVED" Field</t>
  </si>
  <si>
    <t>rmap_registers_wr_o.aeb_gen_cfg_reserved_8c8.reserved &lt;= (others =&gt; '0');</t>
  </si>
  <si>
    <t>-- AEB General Configuration Area Register "RESERVED_8CC" : "RESERVED" Field</t>
  </si>
  <si>
    <t>rmap_registers_wr_o.aeb_gen_cfg_reserved_8cc.reserved &lt;= (others =&gt; '0');</t>
  </si>
  <si>
    <t>-- AEB General Configuration Area Register "RESERVED_8D0" : "RESERVED" Field</t>
  </si>
  <si>
    <t>rmap_registers_wr_o.aeb_gen_cfg_reserved_8d0.reserved &lt;= (others =&gt; '0');</t>
  </si>
  <si>
    <t>-- AEB General Configuration Area Register "RESERVED_8D4" : "RESERVED" Field</t>
  </si>
  <si>
    <t>rmap_registers_wr_o.aeb_gen_cfg_reserved_8d4.reserved &lt;= (others =&gt; '0');</t>
  </si>
  <si>
    <t>-- AEB General Configuration Area Register "RESERVED_8D8" : "RESERVED" Field</t>
  </si>
  <si>
    <t>rmap_registers_wr_o.aeb_gen_cfg_reserved_8d8.reserved &lt;= (others =&gt; '0');</t>
  </si>
  <si>
    <t>-- AEB General Configuration Area Register "RESERVED_8DC" : "RESERVED" Field</t>
  </si>
  <si>
    <t>rmap_registers_wr_o.aeb_gen_cfg_reserved_8dc.reserved &lt;= (others =&gt; '0');</t>
  </si>
  <si>
    <t>-- AEB General Configuration Area Register "RESERVED_8E0" : "RESERVED" Field</t>
  </si>
  <si>
    <t>rmap_registers_wr_o.aeb_gen_cfg_reserved_8e0.reserved &lt;= (others =&gt; '0');</t>
  </si>
  <si>
    <t>-- AEB General Configuration Area Register "RESERVED_8E4" : "RESERVED" Field</t>
  </si>
  <si>
    <t>rmap_registers_wr_o.aeb_gen_cfg_reserved_8e4.reserved &lt;= (others =&gt; '0');</t>
  </si>
  <si>
    <t>-- AEB General Configuration Area Register "RESERVED_8E8" : "RESERVED" Field</t>
  </si>
  <si>
    <t>rmap_registers_wr_o.aeb_gen_cfg_reserved_8e8.reserved &lt;= (others =&gt; '0');</t>
  </si>
  <si>
    <t>-- AEB General Configuration Area Register "RESERVED_8EC" : "RESERVED" Field</t>
  </si>
  <si>
    <t>rmap_registers_wr_o.aeb_gen_cfg_reserved_8ec.reserved &lt;= (others =&gt; '0');</t>
  </si>
  <si>
    <t>-- AEB General Configuration Area Register "RESERVED_8F0" : "RESERVED" Field</t>
  </si>
  <si>
    <t>rmap_registers_wr_o.aeb_gen_cfg_reserved_8f0.reserved &lt;= (others =&gt; '0');</t>
  </si>
  <si>
    <t>-- AEB General Configuration Area Register "RESERVED_8F4" : "RESERVED" Field</t>
  </si>
  <si>
    <t>rmap_registers_wr_o.aeb_gen_cfg_reserved_8f4.reserved &lt;= (others =&gt; '0');</t>
  </si>
  <si>
    <t>-- AEB General Configuration Area Register "RESERVED_8F8" : "RESERVED" Field</t>
  </si>
  <si>
    <t>rmap_registers_wr_o.aeb_gen_cfg_reserved_8f8.reserved &lt;= (others =&gt; '0');</t>
  </si>
  <si>
    <t>-- AEB General Configuration Area Register "RESERVED_8FC" : "RESERVED" Field</t>
  </si>
  <si>
    <t>rmap_registers_wr_o.aeb_gen_cfg_reserved_8fc.reserved &lt;= (others =&gt; '0');</t>
  </si>
  <si>
    <t>-- AEB General Configuration Area Register "RESERVED_900" : "RESERVED" Field</t>
  </si>
  <si>
    <t>rmap_registers_wr_o.aeb_gen_cfg_reserved_900.reserved &lt;= (others =&gt; '0');</t>
  </si>
  <si>
    <t>-- AEB General Configuration Area Register "RESERVED_904" : "RESERVED" Field</t>
  </si>
  <si>
    <t>rmap_registers_wr_o.aeb_gen_cfg_reserved_904.reserved &lt;= (others =&gt; '0');</t>
  </si>
  <si>
    <t>-- AEB General Configuration Area Register "RESERVED_908" : "RESERVED" Field</t>
  </si>
  <si>
    <t>rmap_registers_wr_o.aeb_gen_cfg_reserved_908.reserved &lt;= (others =&gt; '0');</t>
  </si>
  <si>
    <t>-- AEB General Configuration Area Register "RESERVED_90C" : "RESERVED" Field</t>
  </si>
  <si>
    <t>rmap_registers_wr_o.aeb_gen_cfg_reserved_90c.reserved &lt;= (others =&gt; '0');</t>
  </si>
  <si>
    <t>-- AEB General Configuration Area Register "RESERVED_910" : "RESERVED" Field</t>
  </si>
  <si>
    <t>rmap_registers_wr_o.aeb_gen_cfg_reserved_910.reserved &lt;= (others =&gt; '0');</t>
  </si>
  <si>
    <t>-- AEB General Configuration Area Register "RESERVED_914" : "RESERVED" Field</t>
  </si>
  <si>
    <t>rmap_registers_wr_o.aeb_gen_cfg_reserved_914.reserved &lt;= (others =&gt; '0');</t>
  </si>
  <si>
    <t>-- AEB General Configuration Area Register "RESERVED_918" : "RESERVED" Field</t>
  </si>
  <si>
    <t>rmap_registers_wr_o.aeb_gen_cfg_reserved_918.reserved &lt;= (others =&gt; '0');</t>
  </si>
  <si>
    <t>-- AEB General Configuration Area Register "RESERVED_91C" : "RESERVED" Field</t>
  </si>
  <si>
    <t>rmap_registers_wr_o.aeb_gen_cfg_reserved_91c.reserved &lt;= (others =&gt; '0');</t>
  </si>
  <si>
    <t>-- AEB General Configuration Area Register "RESERVED_920" : "RESERVED" Field</t>
  </si>
  <si>
    <t>rmap_registers_wr_o.aeb_gen_cfg_reserved_920.reserved &lt;= (others =&gt; '0');</t>
  </si>
  <si>
    <t>-- AEB General Configuration Area Register "RESERVED_924" : "RESERVED" Field</t>
  </si>
  <si>
    <t>rmap_registers_wr_o.aeb_gen_cfg_reserved_924.reserved &lt;= (others =&gt; '0');</t>
  </si>
  <si>
    <t>-- AEB General Configuration Area Register "RESERVED_928" : "RESERVED" Field</t>
  </si>
  <si>
    <t>rmap_registers_wr_o.aeb_gen_cfg_reserved_928.reserved &lt;= (others =&gt; '0');</t>
  </si>
  <si>
    <t>-- AEB General Configuration Area Register "RESERVED_92C" : "RESERVED" Field</t>
  </si>
  <si>
    <t>rmap_registers_wr_o.aeb_gen_cfg_reserved_92c.reserved &lt;= (others =&gt; '0');</t>
  </si>
  <si>
    <t>-- AEB General Configuration Area Register "RESERVED_930" : "RESERVED" Field</t>
  </si>
  <si>
    <t>rmap_registers_wr_o.aeb_gen_cfg_reserved_930.reserved &lt;= (others =&gt; '0');</t>
  </si>
  <si>
    <t>-- AEB General Configuration Area Register "RESERVED_934" : "RESERVED" Field</t>
  </si>
  <si>
    <t>rmap_registers_wr_o.aeb_gen_cfg_reserved_934.reserved &lt;= (others =&gt; '0');</t>
  </si>
  <si>
    <t>-- AEB General Configuration Area Register "RESERVED_938" : "RESERVED" Field</t>
  </si>
  <si>
    <t>rmap_registers_wr_o.aeb_gen_cfg_reserved_938.reserved &lt;= (others =&gt; '0');</t>
  </si>
  <si>
    <t>-- AEB General Configuration Area Register "RESERVED_93C" : "RESERVED" Field</t>
  </si>
  <si>
    <t>rmap_registers_wr_o.aeb_gen_cfg_reserved_93c.reserved &lt;= (others =&gt; '0');</t>
  </si>
  <si>
    <t>-- AEB General Configuration Area Register "RESERVED_940" : "RESERVED" Field</t>
  </si>
  <si>
    <t>rmap_registers_wr_o.aeb_gen_cfg_reserved_940.reserved &lt;= (others =&gt; '0');</t>
  </si>
  <si>
    <t>-- AEB General Configuration Area Register "RESERVED_944" : "RESERVED" Field</t>
  </si>
  <si>
    <t>rmap_registers_wr_o.aeb_gen_cfg_reserved_944.reserved &lt;= (others =&gt; '0');</t>
  </si>
  <si>
    <t>-- AEB General Configuration Area Register "RESERVED_948" : "RESERVED" Field</t>
  </si>
  <si>
    <t>rmap_registers_wr_o.aeb_gen_cfg_reserved_948.reserved &lt;= (others =&gt; '0');</t>
  </si>
  <si>
    <t>-- AEB General Configuration Area Register "RESERVED_94C" : "RESERVED" Field</t>
  </si>
  <si>
    <t>rmap_registers_wr_o.aeb_gen_cfg_reserved_94c.reserved &lt;= (others =&gt; '0');</t>
  </si>
  <si>
    <t>-- AEB General Configuration Area Register "RESERVED_950" : "RESERVED" Field</t>
  </si>
  <si>
    <t>rmap_registers_wr_o.aeb_gen_cfg_reserved_950.reserved &lt;= (others =&gt; '0');</t>
  </si>
  <si>
    <t>-- AEB General Configuration Area Register "RESERVED_954" : "RESERVED" Field</t>
  </si>
  <si>
    <t>rmap_registers_wr_o.aeb_gen_cfg_reserved_954.reserved &lt;= (others =&gt; '0');</t>
  </si>
  <si>
    <t>-- AEB General Configuration Area Register "RESERVED_958" : "RESERVED" Field</t>
  </si>
  <si>
    <t>rmap_registers_wr_o.aeb_gen_cfg_reserved_958.reserved &lt;= (others =&gt; '0');</t>
  </si>
  <si>
    <t>-- AEB General Configuration Area Register "RESERVED_95C" : "RESERVED" Field</t>
  </si>
  <si>
    <t>rmap_registers_wr_o.aeb_gen_cfg_reserved_95c.reserved &lt;= (others =&gt; '0');</t>
  </si>
  <si>
    <t>-- AEB General Configuration Area Register "RESERVED_960" : "RESERVED" Field</t>
  </si>
  <si>
    <t>rmap_registers_wr_o.aeb_gen_cfg_reserved_960.reserved &lt;= (others =&gt; '0');</t>
  </si>
  <si>
    <t>-- AEB General Configuration Area Register "RESERVED_964" : "RESERVED" Field</t>
  </si>
  <si>
    <t>rmap_registers_wr_o.aeb_gen_cfg_reserved_964.reserved &lt;= (others =&gt; '0');</t>
  </si>
  <si>
    <t>-- AEB General Configuration Area Register "RESERVED_968" : "RESERVED" Field</t>
  </si>
  <si>
    <t>rmap_registers_wr_o.aeb_gen_cfg_reserved_968.reserved &lt;= (others =&gt; '0');</t>
  </si>
  <si>
    <t>-- AEB General Configuration Area Register "RESERVED_96C" : "RESERVED" Field</t>
  </si>
  <si>
    <t>rmap_registers_wr_o.aeb_gen_cfg_reserved_96c.reserved &lt;= (others =&gt; '0');</t>
  </si>
  <si>
    <t>-- AEB General Configuration Area Register "RESERVED_970" : "RESERVED" Field</t>
  </si>
  <si>
    <t>rmap_registers_wr_o.aeb_gen_cfg_reserved_970.reserved &lt;= (others =&gt; '0');</t>
  </si>
  <si>
    <t>-- AEB General Configuration Area Register "RESERVED_974" : "RESERVED" Field</t>
  </si>
  <si>
    <t>rmap_registers_wr_o.aeb_gen_cfg_reserved_974.reserved &lt;= (others =&gt; '0');</t>
  </si>
  <si>
    <t>-- AEB General Configuration Area Register "RESERVED_978" : "RESERVED" Field</t>
  </si>
  <si>
    <t>rmap_registers_wr_o.aeb_gen_cfg_reserved_978.reserved &lt;= (others =&gt; '0');</t>
  </si>
  <si>
    <t>-- AEB General Configuration Area Register "RESERVED_97C" : "RESERVED" Field</t>
  </si>
  <si>
    <t>rmap_registers_wr_o.aeb_gen_cfg_reserved_97c.reserved &lt;= (others =&gt; '0');</t>
  </si>
  <si>
    <t>-- AEB General Configuration Area Register "RESERVED_980" : "RESERVED" Field</t>
  </si>
  <si>
    <t>rmap_registers_wr_o.aeb_gen_cfg_reserved_980.reserved &lt;= (others =&gt; '0');</t>
  </si>
  <si>
    <t>-- AEB General Configuration Area Register "RESERVED_984" : "RESERVED" Field</t>
  </si>
  <si>
    <t>rmap_registers_wr_o.aeb_gen_cfg_reserved_984.reserved &lt;= (others =&gt; '0');</t>
  </si>
  <si>
    <t>-- AEB General Configuration Area Register "RESERVED_988" : "RESERVED" Field</t>
  </si>
  <si>
    <t>rmap_registers_wr_o.aeb_gen_cfg_reserved_988.reserved &lt;= (others =&gt; '0');</t>
  </si>
  <si>
    <t>-- AEB General Configuration Area Register "RESERVED_98C" : "RESERVED" Field</t>
  </si>
  <si>
    <t>rmap_registers_wr_o.aeb_gen_cfg_reserved_98c.reserved &lt;= (others =&gt; '0');</t>
  </si>
  <si>
    <t>-- AEB General Configuration Area Register "RESERVED_990" : "RESERVED" Field</t>
  </si>
  <si>
    <t>rmap_registers_wr_o.aeb_gen_cfg_reserved_990.reserved &lt;= (others =&gt; '0');</t>
  </si>
  <si>
    <t>-- AEB General Configuration Area Register "RESERVED_994" : "RESERVED" Field</t>
  </si>
  <si>
    <t>rmap_registers_wr_o.aeb_gen_cfg_reserved_994.reserved &lt;= (others =&gt; '0');</t>
  </si>
  <si>
    <t>-- AEB General Configuration Area Register "RESERVED_998" : "RESERVED" Field</t>
  </si>
  <si>
    <t>rmap_registers_wr_o.aeb_gen_cfg_reserved_998.reserved &lt;= (others =&gt; '0');</t>
  </si>
  <si>
    <t>-- AEB General Configuration Area Register "RESERVED_99C" : "RESERVED" Field</t>
  </si>
  <si>
    <t>rmap_registers_wr_o.aeb_gen_cfg_reserved_99c.reserved &lt;= (others =&gt; '0');</t>
  </si>
  <si>
    <t>-- AEB General Configuration Area Register "RESERVED_9A0" : "RESERVED" Field</t>
  </si>
  <si>
    <t>rmap_registers_wr_o.aeb_gen_cfg_reserved_9a0.reserved &lt;= (others =&gt; '0');</t>
  </si>
  <si>
    <t>-- AEB General Configuration Area Register "RESERVED_9A4" : "RESERVED" Field</t>
  </si>
  <si>
    <t>rmap_registers_wr_o.aeb_gen_cfg_reserved_9a4.reserved &lt;= (others =&gt; '0');</t>
  </si>
  <si>
    <t>-- AEB General Configuration Area Register "RESERVED_9A8" : "RESERVED" Field</t>
  </si>
  <si>
    <t>rmap_registers_wr_o.aeb_gen_cfg_reserved_9a8.reserved &lt;= (others =&gt; '0');</t>
  </si>
  <si>
    <t>-- AEB General Configuration Area Register "RESERVED_9AC" : "RESERVED" Field</t>
  </si>
  <si>
    <t>rmap_registers_wr_o.aeb_gen_cfg_reserved_9ac.reserved &lt;= (others =&gt; '0');</t>
  </si>
  <si>
    <t>-- AEB General Configuration Area Register "RESERVED_9B0" : "RESERVED" Field</t>
  </si>
  <si>
    <t>rmap_registers_wr_o.aeb_gen_cfg_reserved_9b0.reserved &lt;= (others =&gt; '0');</t>
  </si>
  <si>
    <t>-- AEB General Configuration Area Register "RESERVED_9B4" : "RESERVED" Field</t>
  </si>
  <si>
    <t>rmap_registers_wr_o.aeb_gen_cfg_reserved_9b4.reserved &lt;= (others =&gt; '0');</t>
  </si>
  <si>
    <t>-- AEB General Configuration Area Register "RESERVED_9B8" : "RESERVED" Field</t>
  </si>
  <si>
    <t>rmap_registers_wr_o.aeb_gen_cfg_reserved_9b8.reserved &lt;= (others =&gt; '0');</t>
  </si>
  <si>
    <t>-- AEB General Configuration Area Register "RESERVED_9BC" : "RESERVED" Field</t>
  </si>
  <si>
    <t>rmap_registers_wr_o.aeb_gen_cfg_reserved_9bc.reserved &lt;= (others =&gt; '0');</t>
  </si>
  <si>
    <t>-- AEB General Configuration Area Register "RESERVED_9C0" : "RESERVED" Field</t>
  </si>
  <si>
    <t>rmap_registers_wr_o.aeb_gen_cfg_reserved_9c0.reserved &lt;= (others =&gt; '0');</t>
  </si>
  <si>
    <t>-- AEB General Configuration Area Register "RESERVED_9C4" : "RESERVED" Field</t>
  </si>
  <si>
    <t>rmap_registers_wr_o.aeb_gen_cfg_reserved_9c4.reserved &lt;= (others =&gt; '0');</t>
  </si>
  <si>
    <t>-- AEB General Configuration Area Register "RESERVED_9C8" : "RESERVED" Field</t>
  </si>
  <si>
    <t>rmap_registers_wr_o.aeb_gen_cfg_reserved_9c8.reserved &lt;= (others =&gt; '0');</t>
  </si>
  <si>
    <t>-- AEB General Configuration Area Register "RESERVED_9CC" : "RESERVED" Field</t>
  </si>
  <si>
    <t>rmap_registers_wr_o.aeb_gen_cfg_reserved_9cc.reserved &lt;= (others =&gt; '0');</t>
  </si>
  <si>
    <t>-- AEB General Configuration Area Register "RESERVED_9D0" : "RESERVED" Field</t>
  </si>
  <si>
    <t>rmap_registers_wr_o.aeb_gen_cfg_reserved_9d0.reserved &lt;= (others =&gt; '0');</t>
  </si>
  <si>
    <t>-- AEB General Configuration Area Register "RESERVED_9D4" : "RESERVED" Field</t>
  </si>
  <si>
    <t>rmap_registers_wr_o.aeb_gen_cfg_reserved_9d4.reserved &lt;= (others =&gt; '0');</t>
  </si>
  <si>
    <t>-- AEB General Configuration Area Register "RESERVED_9D8" : "RESERVED" Field</t>
  </si>
  <si>
    <t>rmap_registers_wr_o.aeb_gen_cfg_reserved_9d8.reserved &lt;= (others =&gt; '0');</t>
  </si>
  <si>
    <t>-- AEB General Configuration Area Register "RESERVED_9DC" : "RESERVED" Field</t>
  </si>
  <si>
    <t>rmap_registers_wr_o.aeb_gen_cfg_reserved_9dc.reserved &lt;= (others =&gt; '0');</t>
  </si>
  <si>
    <t>-- AEB General Configuration Area Register "RESERVED_9E0" : "RESERVED" Field</t>
  </si>
  <si>
    <t>rmap_registers_wr_o.aeb_gen_cfg_reserved_9e0.reserved &lt;= (others =&gt; '0');</t>
  </si>
  <si>
    <t>-- AEB General Configuration Area Register "RESERVED_9E4" : "RESERVED" Field</t>
  </si>
  <si>
    <t>rmap_registers_wr_o.aeb_gen_cfg_reserved_9e4.reserved &lt;= (others =&gt; '0');</t>
  </si>
  <si>
    <t>-- AEB General Configuration Area Register "RESERVED_9E8" : "RESERVED" Field</t>
  </si>
  <si>
    <t>rmap_registers_wr_o.aeb_gen_cfg_reserved_9e8.reserved &lt;= (others =&gt; '0');</t>
  </si>
  <si>
    <t>-- AEB General Configuration Area Register "RESERVED_9EC" : "RESERVED" Field</t>
  </si>
  <si>
    <t>rmap_registers_wr_o.aeb_gen_cfg_reserved_9ec.reserved &lt;= (others =&gt; '0');</t>
  </si>
  <si>
    <t>-- AEB General Configuration Area Register "RESERVED_9F0" : "RESERVED" Field</t>
  </si>
  <si>
    <t>rmap_registers_wr_o.aeb_gen_cfg_reserved_9f0.reserved &lt;= (others =&gt; '0');</t>
  </si>
  <si>
    <t>-- AEB General Configuration Area Register "RESERVED_9F4" : "RESERVED" Field</t>
  </si>
  <si>
    <t>rmap_registers_wr_o.aeb_gen_cfg_reserved_9f4.reserved &lt;= (others =&gt; '0');</t>
  </si>
  <si>
    <t>-- AEB General Configuration Area Register "RESERVED_9F8" : "RESERVED" Field</t>
  </si>
  <si>
    <t>rmap_registers_wr_o.aeb_gen_cfg_reserved_9f8.reserved &lt;= (others =&gt; '0');</t>
  </si>
  <si>
    <t>-- AEB General Configuration Area Register "RESERVED_9FC" : "RESERVED" Field</t>
  </si>
  <si>
    <t>rmap_registers_wr_o.aeb_gen_cfg_reserved_9fc.reserved &lt;= (others =&gt; '0');</t>
  </si>
  <si>
    <t>-- AEB General Configuration Area Register "RESERVED_A00" : "RESERVED" Field</t>
  </si>
  <si>
    <t>rmap_registers_wr_o.aeb_gen_cfg_reserved_a00.reserved &lt;= (others =&gt; '0');</t>
  </si>
  <si>
    <t>-- AEB General Configuration Area Register "RESERVED_A04" : "RESERVED" Field</t>
  </si>
  <si>
    <t>rmap_registers_wr_o.aeb_gen_cfg_reserved_a04.reserved &lt;= (others =&gt; '0');</t>
  </si>
  <si>
    <t>-- AEB General Configuration Area Register "RESERVED_A08" : "RESERVED" Field</t>
  </si>
  <si>
    <t>rmap_registers_wr_o.aeb_gen_cfg_reserved_a08.reserved &lt;= (others =&gt; '0');</t>
  </si>
  <si>
    <t>-- AEB General Configuration Area Register "RESERVED_A0C" : "RESERVED" Field</t>
  </si>
  <si>
    <t>rmap_registers_wr_o.aeb_gen_cfg_reserved_a0c.reserved &lt;= (others =&gt; '0');</t>
  </si>
  <si>
    <t>-- AEB General Configuration Area Register "RESERVED_A10" : "RESERVED" Field</t>
  </si>
  <si>
    <t>rmap_registers_wr_o.aeb_gen_cfg_reserved_a10.reserved &lt;= (others =&gt; '0');</t>
  </si>
  <si>
    <t>-- AEB General Configuration Area Register "RESERVED_A14" : "RESERVED" Field</t>
  </si>
  <si>
    <t>rmap_registers_wr_o.aeb_gen_cfg_reserved_a14.reserved &lt;= (others =&gt; '0');</t>
  </si>
  <si>
    <t>-- AEB General Configuration Area Register "RESERVED_A18" : "RESERVED" Field</t>
  </si>
  <si>
    <t>rmap_registers_wr_o.aeb_gen_cfg_reserved_a18.reserved &lt;= (others =&gt; '0');</t>
  </si>
  <si>
    <t>-- AEB General Configuration Area Register "RESERVED_A1C" : "RESERVED" Field</t>
  </si>
  <si>
    <t>rmap_registers_wr_o.aeb_gen_cfg_reserved_a1c.reserved &lt;= (others =&gt; '0');</t>
  </si>
  <si>
    <t>-- AEB General Configuration Area Register "RESERVED_A20" : "RESERVED" Field</t>
  </si>
  <si>
    <t>rmap_registers_wr_o.aeb_gen_cfg_reserved_a20.reserved &lt;= (others =&gt; '0');</t>
  </si>
  <si>
    <t>-- AEB General Configuration Area Register "RESERVED_A24" : "RESERVED" Field</t>
  </si>
  <si>
    <t>rmap_registers_wr_o.aeb_gen_cfg_reserved_a24.reserved &lt;= (others =&gt; '0');</t>
  </si>
  <si>
    <t>-- AEB General Configuration Area Register "RESERVED_A28" : "RESERVED" Field</t>
  </si>
  <si>
    <t>rmap_registers_wr_o.aeb_gen_cfg_reserved_a28.reserved &lt;= (others =&gt; '0');</t>
  </si>
  <si>
    <t>-- AEB General Configuration Area Register "RESERVED_A2C" : "RESERVED" Field</t>
  </si>
  <si>
    <t>rmap_registers_wr_o.aeb_gen_cfg_reserved_a2c.reserved &lt;= (others =&gt; '0');</t>
  </si>
  <si>
    <t>-- AEB General Configuration Area Register "RESERVED_A30" : "RESERVED" Field</t>
  </si>
  <si>
    <t>rmap_registers_wr_o.aeb_gen_cfg_reserved_a30.reserved &lt;= (others =&gt; '0');</t>
  </si>
  <si>
    <t>-- AEB General Configuration Area Register "RESERVED_A34" : "RESERVED" Field</t>
  </si>
  <si>
    <t>rmap_registers_wr_o.aeb_gen_cfg_reserved_a34.reserved &lt;= (others =&gt; '0');</t>
  </si>
  <si>
    <t>-- AEB General Configuration Area Register "RESERVED_A38" : "RESERVED" Field</t>
  </si>
  <si>
    <t>rmap_registers_wr_o.aeb_gen_cfg_reserved_a38.reserved &lt;= (others =&gt; '0');</t>
  </si>
  <si>
    <t>-- AEB General Configuration Area Register "RESERVED_A3C" : "RESERVED" Field</t>
  </si>
  <si>
    <t>rmap_registers_wr_o.aeb_gen_cfg_reserved_a3c.reserved &lt;= (others =&gt; '0');</t>
  </si>
  <si>
    <t>-- AEB General Configuration Area Register "RESERVED_A40" : "RESERVED" Field</t>
  </si>
  <si>
    <t>rmap_registers_wr_o.aeb_gen_cfg_reserved_a40.reserved &lt;= (others =&gt; '0');</t>
  </si>
  <si>
    <t>-- AEB General Configuration Area Register "RESERVED_A44" : "RESERVED" Field</t>
  </si>
  <si>
    <t>rmap_registers_wr_o.aeb_gen_cfg_reserved_a44.reserved &lt;= (others =&gt; '0');</t>
  </si>
  <si>
    <t>-- AEB General Configuration Area Register "RESERVED_A48" : "RESERVED" Field</t>
  </si>
  <si>
    <t>rmap_registers_wr_o.aeb_gen_cfg_reserved_a48.reserved &lt;= (others =&gt; '0');</t>
  </si>
  <si>
    <t>-- AEB General Configuration Area Register "RESERVED_A4C" : "RESERVED" Field</t>
  </si>
  <si>
    <t>rmap_registers_wr_o.aeb_gen_cfg_reserved_a4c.reserved &lt;= (others =&gt; '0');</t>
  </si>
  <si>
    <t>-- AEB General Configuration Area Register "RESERVED_A50" : "RESERVED" Field</t>
  </si>
  <si>
    <t>rmap_registers_wr_o.aeb_gen_cfg_reserved_a50.reserved &lt;= (others =&gt; '0');</t>
  </si>
  <si>
    <t>-- AEB General Configuration Area Register "RESERVED_A54" : "RESERVED" Field</t>
  </si>
  <si>
    <t>rmap_registers_wr_o.aeb_gen_cfg_reserved_a54.reserved &lt;= (others =&gt; '0');</t>
  </si>
  <si>
    <t>-- AEB General Configuration Area Register "RESERVED_A58" : "RESERVED" Field</t>
  </si>
  <si>
    <t>rmap_registers_wr_o.aeb_gen_cfg_reserved_a58.reserved &lt;= (others =&gt; '0');</t>
  </si>
  <si>
    <t>-- AEB General Configuration Area Register "RESERVED_A5C" : "RESERVED" Field</t>
  </si>
  <si>
    <t>rmap_registers_wr_o.aeb_gen_cfg_reserved_a5c.reserved &lt;= (others =&gt; '0');</t>
  </si>
  <si>
    <t>-- AEB General Configuration Area Register "RESERVED_A60" : "RESERVED" Field</t>
  </si>
  <si>
    <t>rmap_registers_wr_o.aeb_gen_cfg_reserved_a60.reserved &lt;= (others =&gt; '0');</t>
  </si>
  <si>
    <t>-- AEB General Configuration Area Register "RESERVED_A64" : "RESERVED" Field</t>
  </si>
  <si>
    <t>rmap_registers_wr_o.aeb_gen_cfg_reserved_a64.reserved &lt;= (others =&gt; '0');</t>
  </si>
  <si>
    <t>-- AEB General Configuration Area Register "RESERVED_A68" : "RESERVED" Field</t>
  </si>
  <si>
    <t>rmap_registers_wr_o.aeb_gen_cfg_reserved_a68.reserved &lt;= (others =&gt; '0');</t>
  </si>
  <si>
    <t>-- AEB General Configuration Area Register "RESERVED_A6C" : "RESERVED" Field</t>
  </si>
  <si>
    <t>rmap_registers_wr_o.aeb_gen_cfg_reserved_a6c.reserved &lt;= (others =&gt; '0');</t>
  </si>
  <si>
    <t>-- AEB General Configuration Area Register "RESERVED_A70" : "RESERVED" Field</t>
  </si>
  <si>
    <t>rmap_registers_wr_o.aeb_gen_cfg_reserved_a70.reserved &lt;= (others =&gt; '0');</t>
  </si>
  <si>
    <t>-- AEB General Configuration Area Register "RESERVED_A74" : "RESERVED" Field</t>
  </si>
  <si>
    <t>rmap_registers_wr_o.aeb_gen_cfg_reserved_a74.reserved &lt;= (others =&gt; '0');</t>
  </si>
  <si>
    <t>-- AEB General Configuration Area Register "RESERVED_A78" : "RESERVED" Field</t>
  </si>
  <si>
    <t>rmap_registers_wr_o.aeb_gen_cfg_reserved_a78.reserved &lt;= (others =&gt; '0');</t>
  </si>
  <si>
    <t>-- AEB General Configuration Area Register "RESERVED_A7C" : "RESERVED" Field</t>
  </si>
  <si>
    <t>rmap_registers_wr_o.aeb_gen_cfg_reserved_a7c.reserved &lt;= (others =&gt; '0');</t>
  </si>
  <si>
    <t>-- AEB General Configuration Area Register "RESERVED_A80" : "RESERVED" Field</t>
  </si>
  <si>
    <t>rmap_registers_wr_o.aeb_gen_cfg_reserved_a80.reserved &lt;= (others =&gt; '0');</t>
  </si>
  <si>
    <t>-- AEB General Configuration Area Register "RESERVED_A84" : "RESERVED" Field</t>
  </si>
  <si>
    <t>rmap_registers_wr_o.aeb_gen_cfg_reserved_a84.reserved &lt;= (others =&gt; '0');</t>
  </si>
  <si>
    <t>-- AEB General Configuration Area Register "RESERVED_A88" : "RESERVED" Field</t>
  </si>
  <si>
    <t>rmap_registers_wr_o.aeb_gen_cfg_reserved_a88.reserved &lt;= (others =&gt; '0');</t>
  </si>
  <si>
    <t>-- AEB General Configuration Area Register "RESERVED_A8C" : "RESERVED" Field</t>
  </si>
  <si>
    <t>rmap_registers_wr_o.aeb_gen_cfg_reserved_a8c.reserved &lt;= (others =&gt; '0');</t>
  </si>
  <si>
    <t>-- AEB General Configuration Area Register "RESERVED_A90" : "RESERVED" Field</t>
  </si>
  <si>
    <t>rmap_registers_wr_o.aeb_gen_cfg_reserved_a90.reserved &lt;= (others =&gt; '0');</t>
  </si>
  <si>
    <t>-- AEB General Configuration Area Register "RESERVED_A94" : "RESERVED" Field</t>
  </si>
  <si>
    <t>rmap_registers_wr_o.aeb_gen_cfg_reserved_a94.reserved &lt;= (others =&gt; '0');</t>
  </si>
  <si>
    <t>-- AEB General Configuration Area Register "RESERVED_A98" : "RESERVED" Field</t>
  </si>
  <si>
    <t>rmap_registers_wr_o.aeb_gen_cfg_reserved_a98.reserved &lt;= (others =&gt; '0');</t>
  </si>
  <si>
    <t>-- AEB General Configuration Area Register "RESERVED_A9C" : "RESERVED" Field</t>
  </si>
  <si>
    <t>rmap_registers_wr_o.aeb_gen_cfg_reserved_a9c.reserved &lt;= (others =&gt; '0');</t>
  </si>
  <si>
    <t>-- AEB General Configuration Area Register "RESERVED_AA0" : "RESERVED" Field</t>
  </si>
  <si>
    <t>rmap_registers_wr_o.aeb_gen_cfg_reserved_aa0.reserved &lt;= (others =&gt; '0');</t>
  </si>
  <si>
    <t>-- AEB General Configuration Area Register "RESERVED_AA4" : "RESERVED" Field</t>
  </si>
  <si>
    <t>rmap_registers_wr_o.aeb_gen_cfg_reserved_aa4.reserved &lt;= (others =&gt; '0');</t>
  </si>
  <si>
    <t>-- AEB General Configuration Area Register "RESERVED_AA8" : "RESERVED" Field</t>
  </si>
  <si>
    <t>rmap_registers_wr_o.aeb_gen_cfg_reserved_aa8.reserved &lt;= (others =&gt; '0');</t>
  </si>
  <si>
    <t>-- AEB General Configuration Area Register "RESERVED_AAC" : "RESERVED" Field</t>
  </si>
  <si>
    <t>rmap_registers_wr_o.aeb_gen_cfg_reserved_aac.reserved &lt;= (others =&gt; '0');</t>
  </si>
  <si>
    <t>-- AEB General Configuration Area Register "RESERVED_AB0" : "RESERVED" Field</t>
  </si>
  <si>
    <t>rmap_registers_wr_o.aeb_gen_cfg_reserved_ab0.reserved &lt;= (others =&gt; '0');</t>
  </si>
  <si>
    <t>-- AEB General Configuration Area Register "RESERVED_AB4" : "RESERVED" Field</t>
  </si>
  <si>
    <t>rmap_registers_wr_o.aeb_gen_cfg_reserved_ab4.reserved &lt;= (others =&gt; '0');</t>
  </si>
  <si>
    <t>-- AEB General Configuration Area Register "RESERVED_AB8" : "RESERVED" Field</t>
  </si>
  <si>
    <t>rmap_registers_wr_o.aeb_gen_cfg_reserved_ab8.reserved &lt;= (others =&gt; '0');</t>
  </si>
  <si>
    <t>-- AEB General Configuration Area Register "RESERVED_ABC" : "RESERVED" Field</t>
  </si>
  <si>
    <t>rmap_registers_wr_o.aeb_gen_cfg_reserved_abc.reserved &lt;= (others =&gt; '0');</t>
  </si>
  <si>
    <t>-- AEB General Configuration Area Register "RESERVED_AC0" : "RESERVED" Field</t>
  </si>
  <si>
    <t>rmap_registers_wr_o.aeb_gen_cfg_reserved_ac0.reserved &lt;= (others =&gt; '0');</t>
  </si>
  <si>
    <t>-- AEB General Configuration Area Register "RESERVED_AC4" : "RESERVED" Field</t>
  </si>
  <si>
    <t>rmap_registers_wr_o.aeb_gen_cfg_reserved_ac4.reserved &lt;= (others =&gt; '0');</t>
  </si>
  <si>
    <t>-- AEB General Configuration Area Register "RESERVED_AC8" : "RESERVED" Field</t>
  </si>
  <si>
    <t>rmap_registers_wr_o.aeb_gen_cfg_reserved_ac8.reserved &lt;= (others =&gt; '0');</t>
  </si>
  <si>
    <t>-- AEB General Configuration Area Register "RESERVED_ACC" : "RESERVED" Field</t>
  </si>
  <si>
    <t>rmap_registers_wr_o.aeb_gen_cfg_reserved_acc.reserved &lt;= (others =&gt; '0');</t>
  </si>
  <si>
    <t>-- AEB General Configuration Area Register "RESERVED_AD0" : "RESERVED" Field</t>
  </si>
  <si>
    <t>rmap_registers_wr_o.aeb_gen_cfg_reserved_ad0.reserved &lt;= (others =&gt; '0');</t>
  </si>
  <si>
    <t>-- AEB General Configuration Area Register "RESERVED_AD4" : "RESERVED" Field</t>
  </si>
  <si>
    <t>rmap_registers_wr_o.aeb_gen_cfg_reserved_ad4.reserved &lt;= (others =&gt; '0');</t>
  </si>
  <si>
    <t>-- AEB General Configuration Area Register "RESERVED_AD8" : "RESERVED" Field</t>
  </si>
  <si>
    <t>rmap_registers_wr_o.aeb_gen_cfg_reserved_ad8.reserved &lt;= (others =&gt; '0');</t>
  </si>
  <si>
    <t>-- AEB General Configuration Area Register "RESERVED_ADC" : "RESERVED" Field</t>
  </si>
  <si>
    <t>rmap_registers_wr_o.aeb_gen_cfg_reserved_adc.reserved &lt;= (others =&gt; '0');</t>
  </si>
  <si>
    <t>-- AEB General Configuration Area Register "RESERVED_AE0" : "RESERVED" Field</t>
  </si>
  <si>
    <t>rmap_registers_wr_o.aeb_gen_cfg_reserved_ae0.reserved &lt;= (others =&gt; '0');</t>
  </si>
  <si>
    <t>-- AEB General Configuration Area Register "RESERVED_AE4" : "RESERVED" Field</t>
  </si>
  <si>
    <t>rmap_registers_wr_o.aeb_gen_cfg_reserved_ae4.reserved &lt;= (others =&gt; '0');</t>
  </si>
  <si>
    <t>-- AEB General Configuration Area Register "RESERVED_AE8" : "RESERVED" Field</t>
  </si>
  <si>
    <t>rmap_registers_wr_o.aeb_gen_cfg_reserved_ae8.reserved &lt;= (others =&gt; '0');</t>
  </si>
  <si>
    <t>-- AEB General Configuration Area Register "RESERVED_AEC" : "RESERVED" Field</t>
  </si>
  <si>
    <t>rmap_registers_wr_o.aeb_gen_cfg_reserved_aec.reserved &lt;= (others =&gt; '0');</t>
  </si>
  <si>
    <t>-- AEB General Configuration Area Register "RESERVED_AF0" : "RESERVED" Field</t>
  </si>
  <si>
    <t>rmap_registers_wr_o.aeb_gen_cfg_reserved_af0.reserved &lt;= (others =&gt; '0');</t>
  </si>
  <si>
    <t>-- AEB General Configuration Area Register "RESERVED_AF4" : "RESERVED" Field</t>
  </si>
  <si>
    <t>rmap_registers_wr_o.aeb_gen_cfg_reserved_af4.reserved &lt;= (others =&gt; '0');</t>
  </si>
  <si>
    <t>-- AEB General Configuration Area Register "RESERVED_AF8" : "RESERVED" Field</t>
  </si>
  <si>
    <t>rmap_registers_wr_o.aeb_gen_cfg_reserved_af8.reserved &lt;= (others =&gt; '0');</t>
  </si>
  <si>
    <t>-- AEB General Configuration Area Register "RESERVED_AFC" : "RESERVED" Field</t>
  </si>
  <si>
    <t>rmap_registers_wr_o.aeb_gen_cfg_reserved_afc.reserved &lt;= (others =&gt; '0');</t>
  </si>
  <si>
    <t>-- AEB General Configuration Area Register "RESERVED_B00" : "RESERVED" Field</t>
  </si>
  <si>
    <t>rmap_registers_wr_o.aeb_gen_cfg_reserved_b00.reserved &lt;= (others =&gt; '0');</t>
  </si>
  <si>
    <t>-- AEB General Configuration Area Register "RESERVED_B04" : "RESERVED" Field</t>
  </si>
  <si>
    <t>rmap_registers_wr_o.aeb_gen_cfg_reserved_b04.reserved &lt;= (others =&gt; '0');</t>
  </si>
  <si>
    <t>-- AEB General Configuration Area Register "RESERVED_B08" : "RESERVED" Field</t>
  </si>
  <si>
    <t>rmap_registers_wr_o.aeb_gen_cfg_reserved_b08.reserved &lt;= (others =&gt; '0');</t>
  </si>
  <si>
    <t>-- AEB General Configuration Area Register "RESERVED_B0C" : "RESERVED" Field</t>
  </si>
  <si>
    <t>rmap_registers_wr_o.aeb_gen_cfg_reserved_b0c.reserved &lt;= (others =&gt; '0');</t>
  </si>
  <si>
    <t>-- AEB General Configuration Area Register "RESERVED_B10" : "RESERVED" Field</t>
  </si>
  <si>
    <t>rmap_registers_wr_o.aeb_gen_cfg_reserved_b10.reserved &lt;= (others =&gt; '0');</t>
  </si>
  <si>
    <t>-- AEB General Configuration Area Register "RESERVED_B14" : "RESERVED" Field</t>
  </si>
  <si>
    <t>rmap_registers_wr_o.aeb_gen_cfg_reserved_b14.reserved &lt;= (others =&gt; '0');</t>
  </si>
  <si>
    <t>-- AEB General Configuration Area Register "RESERVED_B18" : "RESERVED" Field</t>
  </si>
  <si>
    <t>rmap_registers_wr_o.aeb_gen_cfg_reserved_b18.reserved &lt;= (others =&gt; '0');</t>
  </si>
  <si>
    <t>-- AEB General Configuration Area Register "RESERVED_B1C" : "RESERVED" Field</t>
  </si>
  <si>
    <t>rmap_registers_wr_o.aeb_gen_cfg_reserved_b1c.reserved &lt;= (others =&gt; '0');</t>
  </si>
  <si>
    <t>-- AEB General Configuration Area Register "RESERVED_B20" : "RESERVED" Field</t>
  </si>
  <si>
    <t>rmap_registers_wr_o.aeb_gen_cfg_reserved_b20.reserved &lt;= (others =&gt; '0');</t>
  </si>
  <si>
    <t>-- AEB General Configuration Area Register "RESERVED_B24" : "RESERVED" Field</t>
  </si>
  <si>
    <t>rmap_registers_wr_o.aeb_gen_cfg_reserved_b24.reserved &lt;= (others =&gt; '0');</t>
  </si>
  <si>
    <t>-- AEB General Configuration Area Register "RESERVED_B28" : "RESERVED" Field</t>
  </si>
  <si>
    <t>rmap_registers_wr_o.aeb_gen_cfg_reserved_b28.reserved &lt;= (others =&gt; '0');</t>
  </si>
  <si>
    <t>-- AEB General Configuration Area Register "RESERVED_B2C" : "RESERVED" Field</t>
  </si>
  <si>
    <t>rmap_registers_wr_o.aeb_gen_cfg_reserved_b2c.reserved &lt;= (others =&gt; '0');</t>
  </si>
  <si>
    <t>-- AEB General Configuration Area Register "RESERVED_B30" : "RESERVED" Field</t>
  </si>
  <si>
    <t>rmap_registers_wr_o.aeb_gen_cfg_reserved_b30.reserved &lt;= (others =&gt; '0');</t>
  </si>
  <si>
    <t>-- AEB General Configuration Area Register "RESERVED_B34" : "RESERVED" Field</t>
  </si>
  <si>
    <t>rmap_registers_wr_o.aeb_gen_cfg_reserved_b34.reserved &lt;= (others =&gt; '0');</t>
  </si>
  <si>
    <t>-- AEB General Configuration Area Register "RESERVED_B38" : "RESERVED" Field</t>
  </si>
  <si>
    <t>rmap_registers_wr_o.aeb_gen_cfg_reserved_b38.reserved &lt;= (others =&gt; '0');</t>
  </si>
  <si>
    <t>-- AEB General Configuration Area Register "RESERVED_B3C" : "RESERVED" Field</t>
  </si>
  <si>
    <t>rmap_registers_wr_o.aeb_gen_cfg_reserved_b3c.reserved &lt;= (others =&gt; '0');</t>
  </si>
  <si>
    <t>-- AEB General Configuration Area Register "RESERVED_B40" : "RESERVED" Field</t>
  </si>
  <si>
    <t>rmap_registers_wr_o.aeb_gen_cfg_reserved_b40.reserved &lt;= (others =&gt; '0');</t>
  </si>
  <si>
    <t>-- AEB General Configuration Area Register "RESERVED_B44" : "RESERVED" Field</t>
  </si>
  <si>
    <t>rmap_registers_wr_o.aeb_gen_cfg_reserved_b44.reserved &lt;= (others =&gt; '0');</t>
  </si>
  <si>
    <t>-- AEB General Configuration Area Register "RESERVED_B48" : "RESERVED" Field</t>
  </si>
  <si>
    <t>rmap_registers_wr_o.aeb_gen_cfg_reserved_b48.reserved &lt;= (others =&gt; '0');</t>
  </si>
  <si>
    <t>-- AEB General Configuration Area Register "RESERVED_B4C" : "RESERVED" Field</t>
  </si>
  <si>
    <t>rmap_registers_wr_o.aeb_gen_cfg_reserved_b4c.reserved &lt;= (others =&gt; '0');</t>
  </si>
  <si>
    <t>-- AEB General Configuration Area Register "RESERVED_B50" : "RESERVED" Field</t>
  </si>
  <si>
    <t>rmap_registers_wr_o.aeb_gen_cfg_reserved_b50.reserved &lt;= (others =&gt; '0');</t>
  </si>
  <si>
    <t>-- AEB General Configuration Area Register "RESERVED_B54" : "RESERVED" Field</t>
  </si>
  <si>
    <t>rmap_registers_wr_o.aeb_gen_cfg_reserved_b54.reserved &lt;= (others =&gt; '0');</t>
  </si>
  <si>
    <t>-- AEB General Configuration Area Register "RESERVED_B58" : "RESERVED" Field</t>
  </si>
  <si>
    <t>rmap_registers_wr_o.aeb_gen_cfg_reserved_b58.reserved &lt;= (others =&gt; '0');</t>
  </si>
  <si>
    <t>-- AEB General Configuration Area Register "RESERVED_B5C" : "RESERVED" Field</t>
  </si>
  <si>
    <t>rmap_registers_wr_o.aeb_gen_cfg_reserved_b5c.reserved &lt;= (others =&gt; '0');</t>
  </si>
  <si>
    <t>-- AEB General Configuration Area Register "RESERVED_B60" : "RESERVED" Field</t>
  </si>
  <si>
    <t>rmap_registers_wr_o.aeb_gen_cfg_reserved_b60.reserved &lt;= (others =&gt; '0');</t>
  </si>
  <si>
    <t>-- AEB General Configuration Area Register "RESERVED_B64" : "RESERVED" Field</t>
  </si>
  <si>
    <t>rmap_registers_wr_o.aeb_gen_cfg_reserved_b64.reserved &lt;= (others =&gt; '0');</t>
  </si>
  <si>
    <t>-- AEB General Configuration Area Register "RESERVED_B68" : "RESERVED" Field</t>
  </si>
  <si>
    <t>rmap_registers_wr_o.aeb_gen_cfg_reserved_b68.reserved &lt;= (others =&gt; '0');</t>
  </si>
  <si>
    <t>-- AEB General Configuration Area Register "RESERVED_B6C" : "RESERVED" Field</t>
  </si>
  <si>
    <t>rmap_registers_wr_o.aeb_gen_cfg_reserved_b6c.reserved &lt;= (others =&gt; '0');</t>
  </si>
  <si>
    <t>-- AEB General Configuration Area Register "RESERVED_B70" : "RESERVED" Field</t>
  </si>
  <si>
    <t>rmap_registers_wr_o.aeb_gen_cfg_reserved_b70.reserved &lt;= (others =&gt; '0');</t>
  </si>
  <si>
    <t>-- AEB General Configuration Area Register "RESERVED_B74" : "RESERVED" Field</t>
  </si>
  <si>
    <t>rmap_registers_wr_o.aeb_gen_cfg_reserved_b74.reserved &lt;= (others =&gt; '0');</t>
  </si>
  <si>
    <t>-- AEB General Configuration Area Register "RESERVED_B78" : "RESERVED" Field</t>
  </si>
  <si>
    <t>rmap_registers_wr_o.aeb_gen_cfg_reserved_b78.reserved &lt;= (others =&gt; '0');</t>
  </si>
  <si>
    <t>-- AEB General Configuration Area Register "RESERVED_B7C" : "RESERVED" Field</t>
  </si>
  <si>
    <t>rmap_registers_wr_o.aeb_gen_cfg_reserved_b7c.reserved &lt;= (others =&gt; '0');</t>
  </si>
  <si>
    <t>-- AEB General Configuration Area Register "RESERVED_B80" : "RESERVED" Field</t>
  </si>
  <si>
    <t>rmap_registers_wr_o.aeb_gen_cfg_reserved_b80.reserved &lt;= (others =&gt; '0');</t>
  </si>
  <si>
    <t>-- AEB General Configuration Area Register "RESERVED_B84" : "RESERVED" Field</t>
  </si>
  <si>
    <t>rmap_registers_wr_o.aeb_gen_cfg_reserved_b84.reserved &lt;= (others =&gt; '0');</t>
  </si>
  <si>
    <t>-- AEB General Configuration Area Register "RESERVED_B88" : "RESERVED" Field</t>
  </si>
  <si>
    <t>rmap_registers_wr_o.aeb_gen_cfg_reserved_b88.reserved &lt;= (others =&gt; '0');</t>
  </si>
  <si>
    <t>-- AEB General Configuration Area Register "RESERVED_B8C" : "RESERVED" Field</t>
  </si>
  <si>
    <t>rmap_registers_wr_o.aeb_gen_cfg_reserved_b8c.reserved &lt;= (others =&gt; '0');</t>
  </si>
  <si>
    <t>-- AEB General Configuration Area Register "RESERVED_B90" : "RESERVED" Field</t>
  </si>
  <si>
    <t>rmap_registers_wr_o.aeb_gen_cfg_reserved_b90.reserved &lt;= (others =&gt; '0');</t>
  </si>
  <si>
    <t>-- AEB General Configuration Area Register "RESERVED_B94" : "RESERVED" Field</t>
  </si>
  <si>
    <t>rmap_registers_wr_o.aeb_gen_cfg_reserved_b94.reserved &lt;= (others =&gt; '0');</t>
  </si>
  <si>
    <t>-- AEB General Configuration Area Register "RESERVED_B98" : "RESERVED" Field</t>
  </si>
  <si>
    <t>rmap_registers_wr_o.aeb_gen_cfg_reserved_b98.reserved &lt;= (others =&gt; '0');</t>
  </si>
  <si>
    <t>-- AEB General Configuration Area Register "RESERVED_B9C" : "RESERVED" Field</t>
  </si>
  <si>
    <t>rmap_registers_wr_o.aeb_gen_cfg_reserved_b9c.reserved &lt;= (others =&gt; '0');</t>
  </si>
  <si>
    <t>-- AEB General Configuration Area Register "RESERVED_BA0" : "RESERVED" Field</t>
  </si>
  <si>
    <t>rmap_registers_wr_o.aeb_gen_cfg_reserved_ba0.reserved &lt;= (others =&gt; '0');</t>
  </si>
  <si>
    <t>-- AEB General Configuration Area Register "RESERVED_BA4" : "RESERVED" Field</t>
  </si>
  <si>
    <t>rmap_registers_wr_o.aeb_gen_cfg_reserved_ba4.reserved &lt;= (others =&gt; '0');</t>
  </si>
  <si>
    <t>-- AEB General Configuration Area Register "RESERVED_BA8" : "RESERVED" Field</t>
  </si>
  <si>
    <t>rmap_registers_wr_o.aeb_gen_cfg_reserved_ba8.reserved &lt;= (others =&gt; '0');</t>
  </si>
  <si>
    <t>-- AEB General Configuration Area Register "RESERVED_BAC" : "RESERVED" Field</t>
  </si>
  <si>
    <t>rmap_registers_wr_o.aeb_gen_cfg_reserved_bac.reserved &lt;= (others =&gt; '0');</t>
  </si>
  <si>
    <t>-- AEB General Configuration Area Register "RESERVED_BB0" : "RESERVED" Field</t>
  </si>
  <si>
    <t>rmap_registers_wr_o.aeb_gen_cfg_reserved_bb0.reserved &lt;= (others =&gt; '0');</t>
  </si>
  <si>
    <t>-- AEB General Configuration Area Register "RESERVED_BB4" : "RESERVED" Field</t>
  </si>
  <si>
    <t>rmap_registers_wr_o.aeb_gen_cfg_reserved_bb4.reserved &lt;= (others =&gt; '0');</t>
  </si>
  <si>
    <t>-- AEB General Configuration Area Register "RESERVED_BB8" : "RESERVED" Field</t>
  </si>
  <si>
    <t>rmap_registers_wr_o.aeb_gen_cfg_reserved_bb8.reserved &lt;= (others =&gt; '0');</t>
  </si>
  <si>
    <t>-- AEB General Configuration Area Register "RESERVED_BBC" : "RESERVED" Field</t>
  </si>
  <si>
    <t>rmap_registers_wr_o.aeb_gen_cfg_reserved_bbc.reserved &lt;= (others =&gt; '0');</t>
  </si>
  <si>
    <t>-- AEB General Configuration Area Register "RESERVED_BC0" : "RESERVED" Field</t>
  </si>
  <si>
    <t>rmap_registers_wr_o.aeb_gen_cfg_reserved_bc0.reserved &lt;= (others =&gt; '0');</t>
  </si>
  <si>
    <t>-- AEB General Configuration Area Register "RESERVED_BC4" : "RESERVED" Field</t>
  </si>
  <si>
    <t>rmap_registers_wr_o.aeb_gen_cfg_reserved_bc4.reserved &lt;= (others =&gt; '0');</t>
  </si>
  <si>
    <t>-- AEB General Configuration Area Register "RESERVED_BC8" : "RESERVED" Field</t>
  </si>
  <si>
    <t>rmap_registers_wr_o.aeb_gen_cfg_reserved_bc8.reserved &lt;= (others =&gt; '0');</t>
  </si>
  <si>
    <t>-- AEB General Configuration Area Register "RESERVED_BCC" : "RESERVED" Field</t>
  </si>
  <si>
    <t>rmap_registers_wr_o.aeb_gen_cfg_reserved_bcc.reserved &lt;= (others =&gt; '0');</t>
  </si>
  <si>
    <t>-- AEB General Configuration Area Register "RESERVED_BD0" : "RESERVED" Field</t>
  </si>
  <si>
    <t>rmap_registers_wr_o.aeb_gen_cfg_reserved_bd0.reserved &lt;= (others =&gt; '0');</t>
  </si>
  <si>
    <t>-- AEB General Configuration Area Register "RESERVED_BD4" : "RESERVED" Field</t>
  </si>
  <si>
    <t>rmap_registers_wr_o.aeb_gen_cfg_reserved_bd4.reserved &lt;= (others =&gt; '0');</t>
  </si>
  <si>
    <t>-- AEB General Configuration Area Register "RESERVED_BD8" : "RESERVED" Field</t>
  </si>
  <si>
    <t>rmap_registers_wr_o.aeb_gen_cfg_reserved_bd8.reserved &lt;= (others =&gt; '0');</t>
  </si>
  <si>
    <t>-- AEB General Configuration Area Register "RESERVED_BDC" : "RESERVED" Field</t>
  </si>
  <si>
    <t>rmap_registers_wr_o.aeb_gen_cfg_reserved_bdc.reserved &lt;= (others =&gt; '0');</t>
  </si>
  <si>
    <t>-- AEB General Configuration Area Register "RESERVED_BE0" : "RESERVED" Field</t>
  </si>
  <si>
    <t>rmap_registers_wr_o.aeb_gen_cfg_reserved_be0.reserved &lt;= (others =&gt; '0');</t>
  </si>
  <si>
    <t>-- AEB General Configuration Area Register "RESERVED_BE4" : "RESERVED" Field</t>
  </si>
  <si>
    <t>rmap_registers_wr_o.aeb_gen_cfg_reserved_be4.reserved &lt;= (others =&gt; '0');</t>
  </si>
  <si>
    <t>-- AEB General Configuration Area Register "RESERVED_BE8" : "RESERVED" Field</t>
  </si>
  <si>
    <t>rmap_registers_wr_o.aeb_gen_cfg_reserved_be8.reserved &lt;= (others =&gt; '0');</t>
  </si>
  <si>
    <t>-- AEB General Configuration Area Register "RESERVED_BEC" : "RESERVED" Field</t>
  </si>
  <si>
    <t>rmap_registers_wr_o.aeb_gen_cfg_reserved_bec.reserved &lt;= (others =&gt; '0');</t>
  </si>
  <si>
    <t>-- AEB General Configuration Area Register "RESERVED_BF0" : "RESERVED" Field</t>
  </si>
  <si>
    <t>rmap_registers_wr_o.aeb_gen_cfg_reserved_bf0.reserved &lt;= (others =&gt; '0');</t>
  </si>
  <si>
    <t>-- AEB General Configuration Area Register "RESERVED_BF4" : "RESERVED" Field</t>
  </si>
  <si>
    <t>rmap_registers_wr_o.aeb_gen_cfg_reserved_bf4.reserved &lt;= (others =&gt; '0');</t>
  </si>
  <si>
    <t>-- AEB General Configuration Area Register "RESERVED_BF8" : "RESERVED" Field</t>
  </si>
  <si>
    <t>rmap_registers_wr_o.aeb_gen_cfg_reserved_bf8.reserved &lt;= (others =&gt; '0');</t>
  </si>
  <si>
    <t>-- AEB General Configuration Area Register "RESERVED_BFC" : "RESERVED" Field</t>
  </si>
  <si>
    <t>rmap_registers_wr_o.aeb_gen_cfg_reserved_bfc.reserved &lt;= (others =&gt; '0');</t>
  </si>
  <si>
    <t>-- AEB General Configuration Area Register "RESERVED_C00" : "RESERVED" Field</t>
  </si>
  <si>
    <t>rmap_registers_wr_o.aeb_gen_cfg_reserved_c00.reserved &lt;= (others =&gt; '0');</t>
  </si>
  <si>
    <t>-- AEB General Configuration Area Register "RESERVED_C04" : "RESERVED" Field</t>
  </si>
  <si>
    <t>rmap_registers_wr_o.aeb_gen_cfg_reserved_c04.reserved &lt;= (others =&gt; '0');</t>
  </si>
  <si>
    <t>-- AEB General Configuration Area Register "RESERVED_C08" : "RESERVED" Field</t>
  </si>
  <si>
    <t>rmap_registers_wr_o.aeb_gen_cfg_reserved_c08.reserved &lt;= (others =&gt; '0');</t>
  </si>
  <si>
    <t>-- AEB General Configuration Area Register "RESERVED_C0C" : "RESERVED" Field</t>
  </si>
  <si>
    <t>rmap_registers_wr_o.aeb_gen_cfg_reserved_c0c.reserved &lt;= (others =&gt; '0');</t>
  </si>
  <si>
    <t>-- AEB General Configuration Area Register "RESERVED_C10" : "RESERVED" Field</t>
  </si>
  <si>
    <t>rmap_registers_wr_o.aeb_gen_cfg_reserved_c10.reserved &lt;= (others =&gt; '0');</t>
  </si>
  <si>
    <t>-- AEB General Configuration Area Register "RESERVED_C14" : "RESERVED" Field</t>
  </si>
  <si>
    <t>rmap_registers_wr_o.aeb_gen_cfg_reserved_c14.reserved &lt;= (others =&gt; '0');</t>
  </si>
  <si>
    <t>-- AEB General Configuration Area Register "RESERVED_C18" : "RESERVED" Field</t>
  </si>
  <si>
    <t>rmap_registers_wr_o.aeb_gen_cfg_reserved_c18.reserved &lt;= (others =&gt; '0');</t>
  </si>
  <si>
    <t>-- AEB General Configuration Area Register "RESERVED_C1C" : "RESERVED" Field</t>
  </si>
  <si>
    <t>rmap_registers_wr_o.aeb_gen_cfg_reserved_c1c.reserved &lt;= (others =&gt; '0');</t>
  </si>
  <si>
    <t>-- AEB General Configuration Area Register "RESERVED_C20" : "RESERVED" Field</t>
  </si>
  <si>
    <t>rmap_registers_wr_o.aeb_gen_cfg_reserved_c20.reserved &lt;= (others =&gt; '0');</t>
  </si>
  <si>
    <t>-- AEB General Configuration Area Register "RESERVED_C24" : "RESERVED" Field</t>
  </si>
  <si>
    <t>rmap_registers_wr_o.aeb_gen_cfg_reserved_c24.reserved &lt;= (others =&gt; '0');</t>
  </si>
  <si>
    <t>-- AEB General Configuration Area Register "RESERVED_C28" : "RESERVED" Field</t>
  </si>
  <si>
    <t>rmap_registers_wr_o.aeb_gen_cfg_reserved_c28.reserved &lt;= (others =&gt; '0');</t>
  </si>
  <si>
    <t>-- AEB General Configuration Area Register "RESERVED_C2C" : "RESERVED" Field</t>
  </si>
  <si>
    <t>rmap_registers_wr_o.aeb_gen_cfg_reserved_c2c.reserved &lt;= (others =&gt; '0');</t>
  </si>
  <si>
    <t>-- AEB General Configuration Area Register "RESERVED_C30" : "RESERVED" Field</t>
  </si>
  <si>
    <t>rmap_registers_wr_o.aeb_gen_cfg_reserved_c30.reserved &lt;= (others =&gt; '0');</t>
  </si>
  <si>
    <t>-- AEB General Configuration Area Register "RESERVED_C34" : "RESERVED" Field</t>
  </si>
  <si>
    <t>rmap_registers_wr_o.aeb_gen_cfg_reserved_c34.reserved &lt;= (others =&gt; '0');</t>
  </si>
  <si>
    <t>-- AEB General Configuration Area Register "RESERVED_C38" : "RESERVED" Field</t>
  </si>
  <si>
    <t>rmap_registers_wr_o.aeb_gen_cfg_reserved_c38.reserved &lt;= (others =&gt; '0');</t>
  </si>
  <si>
    <t>-- AEB General Configuration Area Register "RESERVED_C3C" : "RESERVED" Field</t>
  </si>
  <si>
    <t>rmap_registers_wr_o.aeb_gen_cfg_reserved_c3c.reserved &lt;= (others =&gt; '0');</t>
  </si>
  <si>
    <t>-- AEB General Configuration Area Register "RESERVED_C40" : "RESERVED" Field</t>
  </si>
  <si>
    <t>rmap_registers_wr_o.aeb_gen_cfg_reserved_c40.reserved &lt;= (others =&gt; '0');</t>
  </si>
  <si>
    <t>-- AEB General Configuration Area Register "RESERVED_C44" : "RESERVED" Field</t>
  </si>
  <si>
    <t>rmap_registers_wr_o.aeb_gen_cfg_reserved_c44.reserved &lt;= (others =&gt; '0');</t>
  </si>
  <si>
    <t>-- AEB General Configuration Area Register "RESERVED_C48" : "RESERVED" Field</t>
  </si>
  <si>
    <t>rmap_registers_wr_o.aeb_gen_cfg_reserved_c48.reserved &lt;= (others =&gt; '0');</t>
  </si>
  <si>
    <t>-- AEB General Configuration Area Register "RESERVED_C4C" : "RESERVED" Field</t>
  </si>
  <si>
    <t>rmap_registers_wr_o.aeb_gen_cfg_reserved_c4c.reserved &lt;= (others =&gt; '0');</t>
  </si>
  <si>
    <t>-- AEB General Configuration Area Register "RESERVED_C50" : "RESERVED" Field</t>
  </si>
  <si>
    <t>rmap_registers_wr_o.aeb_gen_cfg_reserved_c50.reserved &lt;= (others =&gt; '0');</t>
  </si>
  <si>
    <t>-- AEB General Configuration Area Register "RESERVED_C54" : "RESERVED" Field</t>
  </si>
  <si>
    <t>rmap_registers_wr_o.aeb_gen_cfg_reserved_c54.reserved &lt;= (others =&gt; '0');</t>
  </si>
  <si>
    <t>-- AEB General Configuration Area Register "RESERVED_C58" : "RESERVED" Field</t>
  </si>
  <si>
    <t>rmap_registers_wr_o.aeb_gen_cfg_reserved_c58.reserved &lt;= (others =&gt; '0');</t>
  </si>
  <si>
    <t>-- AEB General Configuration Area Register "RESERVED_C5C" : "RESERVED" Field</t>
  </si>
  <si>
    <t>rmap_registers_wr_o.aeb_gen_cfg_reserved_c5c.reserved &lt;= (others =&gt; '0');</t>
  </si>
  <si>
    <t>-- AEB General Configuration Area Register "RESERVED_C60" : "RESERVED" Field</t>
  </si>
  <si>
    <t>rmap_registers_wr_o.aeb_gen_cfg_reserved_c60.reserved &lt;= (others =&gt; '0');</t>
  </si>
  <si>
    <t>-- AEB General Configuration Area Register "RESERVED_C64" : "RESERVED" Field</t>
  </si>
  <si>
    <t>rmap_registers_wr_o.aeb_gen_cfg_reserved_c64.reserved &lt;= (others =&gt; '0');</t>
  </si>
  <si>
    <t>-- AEB General Configuration Area Register "RESERVED_C68" : "RESERVED" Field</t>
  </si>
  <si>
    <t>rmap_registers_wr_o.aeb_gen_cfg_reserved_c68.reserved &lt;= (others =&gt; '0');</t>
  </si>
  <si>
    <t>-- AEB General Configuration Area Register "RESERVED_C6C" : "RESERVED" Field</t>
  </si>
  <si>
    <t>rmap_registers_wr_o.aeb_gen_cfg_reserved_c6c.reserved &lt;= (others =&gt; '0');</t>
  </si>
  <si>
    <t>-- AEB General Configuration Area Register "RESERVED_C70" : "RESERVED" Field</t>
  </si>
  <si>
    <t>rmap_registers_wr_o.aeb_gen_cfg_reserved_c70.reserved &lt;= (others =&gt; '0');</t>
  </si>
  <si>
    <t>-- AEB General Configuration Area Register "RESERVED_C74" : "RESERVED" Field</t>
  </si>
  <si>
    <t>rmap_registers_wr_o.aeb_gen_cfg_reserved_c74.reserved &lt;= (others =&gt; '0');</t>
  </si>
  <si>
    <t>-- AEB General Configuration Area Register "RESERVED_C78" : "RESERVED" Field</t>
  </si>
  <si>
    <t>rmap_registers_wr_o.aeb_gen_cfg_reserved_c78.reserved &lt;= (others =&gt; '0');</t>
  </si>
  <si>
    <t>-- AEB General Configuration Area Register "RESERVED_C7C" : "RESERVED" Field</t>
  </si>
  <si>
    <t>rmap_registers_wr_o.aeb_gen_cfg_reserved_c7c.reserved &lt;= (others =&gt; '0');</t>
  </si>
  <si>
    <t>-- AEB General Configuration Area Register "RESERVED_C80" : "RESERVED" Field</t>
  </si>
  <si>
    <t>rmap_registers_wr_o.aeb_gen_cfg_reserved_c80.reserved &lt;= (others =&gt; '0');</t>
  </si>
  <si>
    <t>-- AEB General Configuration Area Register "RESERVED_C84" : "RESERVED" Field</t>
  </si>
  <si>
    <t>rmap_registers_wr_o.aeb_gen_cfg_reserved_c84.reserved &lt;= (others =&gt; '0');</t>
  </si>
  <si>
    <t>-- AEB General Configuration Area Register "RESERVED_C88" : "RESERVED" Field</t>
  </si>
  <si>
    <t>rmap_registers_wr_o.aeb_gen_cfg_reserved_c88.reserved &lt;= (others =&gt; '0');</t>
  </si>
  <si>
    <t>-- AEB General Configuration Area Register "RESERVED_C8C" : "RESERVED" Field</t>
  </si>
  <si>
    <t>rmap_registers_wr_o.aeb_gen_cfg_reserved_c8c.reserved &lt;= (others =&gt; '0');</t>
  </si>
  <si>
    <t>-- AEB General Configuration Area Register "RESERVED_C90" : "RESERVED" Field</t>
  </si>
  <si>
    <t>rmap_registers_wr_o.aeb_gen_cfg_reserved_c90.reserved &lt;= (others =&gt; '0');</t>
  </si>
  <si>
    <t>-- AEB General Configuration Area Register "RESERVED_C94" : "RESERVED" Field</t>
  </si>
  <si>
    <t>rmap_registers_wr_o.aeb_gen_cfg_reserved_c94.reserved &lt;= (others =&gt; '0');</t>
  </si>
  <si>
    <t>-- AEB General Configuration Area Register "RESERVED_C98" : "RESERVED" Field</t>
  </si>
  <si>
    <t>rmap_registers_wr_o.aeb_gen_cfg_reserved_c98.reserved &lt;= (others =&gt; '0');</t>
  </si>
  <si>
    <t>-- AEB General Configuration Area Register "RESERVED_C9C" : "RESERVED" Field</t>
  </si>
  <si>
    <t>rmap_registers_wr_o.aeb_gen_cfg_reserved_c9c.reserved &lt;= (others =&gt; '0');</t>
  </si>
  <si>
    <t>-- AEB General Configuration Area Register "RESERVED_CA0" : "RESERVED" Field</t>
  </si>
  <si>
    <t>rmap_registers_wr_o.aeb_gen_cfg_reserved_ca0.reserved &lt;= (others =&gt; '0');</t>
  </si>
  <si>
    <t>-- AEB General Configuration Area Register "RESERVED_CA4" : "RESERVED" Field</t>
  </si>
  <si>
    <t>rmap_registers_wr_o.aeb_gen_cfg_reserved_ca4.reserved &lt;= (others =&gt; '0');</t>
  </si>
  <si>
    <t>-- AEB General Configuration Area Register "RESERVED_CA8" : "RESERVED" Field</t>
  </si>
  <si>
    <t>rmap_registers_wr_o.aeb_gen_cfg_reserved_ca8.reserved &lt;= (others =&gt; '0');</t>
  </si>
  <si>
    <t>-- AEB General Configuration Area Register "RESERVED_CAC" : "RESERVED" Field</t>
  </si>
  <si>
    <t>rmap_registers_wr_o.aeb_gen_cfg_reserved_cac.reserved &lt;= (others =&gt; '0');</t>
  </si>
  <si>
    <t>-- AEB General Configuration Area Register "RESERVED_CB0" : "RESERVED" Field</t>
  </si>
  <si>
    <t>rmap_registers_wr_o.aeb_gen_cfg_reserved_cb0.reserved &lt;= (others =&gt; '0');</t>
  </si>
  <si>
    <t>-- AEB General Configuration Area Register "RESERVED_CB4" : "RESERVED" Field</t>
  </si>
  <si>
    <t>rmap_registers_wr_o.aeb_gen_cfg_reserved_cb4.reserved &lt;= (others =&gt; '0');</t>
  </si>
  <si>
    <t>-- AEB General Configuration Area Register "RESERVED_CB8" : "RESERVED" Field</t>
  </si>
  <si>
    <t>rmap_registers_wr_o.aeb_gen_cfg_reserved_cb8.reserved &lt;= (others =&gt; '0');</t>
  </si>
  <si>
    <t>-- AEB General Configuration Area Register "RESERVED_CBC" : "RESERVED" Field</t>
  </si>
  <si>
    <t>rmap_registers_wr_o.aeb_gen_cfg_reserved_cbc.reserved &lt;= (others =&gt; '0');</t>
  </si>
  <si>
    <t>-- AEB General Configuration Area Register "RESERVED_CC0" : "RESERVED" Field</t>
  </si>
  <si>
    <t>rmap_registers_wr_o.aeb_gen_cfg_reserved_cc0.reserved &lt;= (others =&gt; '0');</t>
  </si>
  <si>
    <t>-- AEB General Configuration Area Register "RESERVED_CC4" : "RESERVED" Field</t>
  </si>
  <si>
    <t>rmap_registers_wr_o.aeb_gen_cfg_reserved_cc4.reserved &lt;= (others =&gt; '0');</t>
  </si>
  <si>
    <t>-- AEB General Configuration Area Register "RESERVED_CC8" : "RESERVED" Field</t>
  </si>
  <si>
    <t>rmap_registers_wr_o.aeb_gen_cfg_reserved_cc8.reserved &lt;= (others =&gt; '0');</t>
  </si>
  <si>
    <t>-- AEB General Configuration Area Register "RESERVED_CCC" : "RESERVED" Field</t>
  </si>
  <si>
    <t>rmap_registers_wr_o.aeb_gen_cfg_reserved_ccc.reserved &lt;= (others =&gt; '0');</t>
  </si>
  <si>
    <t>-- AEB General Configuration Area Register "RESERVED_CD0" : "RESERVED" Field</t>
  </si>
  <si>
    <t>rmap_registers_wr_o.aeb_gen_cfg_reserved_cd0.reserved &lt;= (others =&gt; '0');</t>
  </si>
  <si>
    <t>-- AEB General Configuration Area Register "RESERVED_CD4" : "RESERVED" Field</t>
  </si>
  <si>
    <t>rmap_registers_wr_o.aeb_gen_cfg_reserved_cd4.reserved &lt;= (others =&gt; '0');</t>
  </si>
  <si>
    <t>-- AEB General Configuration Area Register "RESERVED_CD8" : "RESERVED" Field</t>
  </si>
  <si>
    <t>rmap_registers_wr_o.aeb_gen_cfg_reserved_cd8.reserved &lt;= (others =&gt; '0');</t>
  </si>
  <si>
    <t>-- AEB General Configuration Area Register "RESERVED_CDC" : "RESERVED" Field</t>
  </si>
  <si>
    <t>rmap_registers_wr_o.aeb_gen_cfg_reserved_cdc.reserved &lt;= (others =&gt; '0');</t>
  </si>
  <si>
    <t>-- AEB General Configuration Area Register "RESERVED_CE0" : "RESERVED" Field</t>
  </si>
  <si>
    <t>rmap_registers_wr_o.aeb_gen_cfg_reserved_ce0.reserved &lt;= (others =&gt; '0');</t>
  </si>
  <si>
    <t>-- AEB General Configuration Area Register "RESERVED_CE4" : "RESERVED" Field</t>
  </si>
  <si>
    <t>rmap_registers_wr_o.aeb_gen_cfg_reserved_ce4.reserved &lt;= (others =&gt; '0');</t>
  </si>
  <si>
    <t>-- AEB General Configuration Area Register "RESERVED_CE8" : "RESERVED" Field</t>
  </si>
  <si>
    <t>rmap_registers_wr_o.aeb_gen_cfg_reserved_ce8.reserved &lt;= (others =&gt; '0');</t>
  </si>
  <si>
    <t>-- AEB General Configuration Area Register "RESERVED_CEC" : "RESERVED" Field</t>
  </si>
  <si>
    <t>rmap_registers_wr_o.aeb_gen_cfg_reserved_cec.reserved &lt;= (others =&gt; '0');</t>
  </si>
  <si>
    <t>-- AEB General Configuration Area Register "RESERVED_CF0" : "RESERVED" Field</t>
  </si>
  <si>
    <t>rmap_registers_wr_o.aeb_gen_cfg_reserved_cf0.reserved &lt;= (others =&gt; '0');</t>
  </si>
  <si>
    <t>-- AEB General Configuration Area Register "RESERVED_CF4" : "RESERVED" Field</t>
  </si>
  <si>
    <t>rmap_registers_wr_o.aeb_gen_cfg_reserved_cf4.reserved &lt;= (others =&gt; '0');</t>
  </si>
  <si>
    <t>-- AEB General Configuration Area Register "RESERVED_CF8" : "RESERVED" Field</t>
  </si>
  <si>
    <t>rmap_registers_wr_o.aeb_gen_cfg_reserved_cf8.reserved &lt;= (others =&gt; '0');</t>
  </si>
  <si>
    <t>-- AEB General Configuration Area Register "RESERVED_CFC" : "RESERVED" Field</t>
  </si>
  <si>
    <t>rmap_registers_wr_o.aeb_gen_cfg_reserved_cfc.reserved &lt;= (others =&gt; '0');</t>
  </si>
  <si>
    <t>-- AEB General Configuration Area Register "RESERVED_D00" : "RESERVED" Field</t>
  </si>
  <si>
    <t>rmap_registers_wr_o.aeb_gen_cfg_reserved_d00.reserved &lt;= (others =&gt; '0');</t>
  </si>
  <si>
    <t>-- AEB General Configuration Area Register "RESERVED_D04" : "RESERVED" Field</t>
  </si>
  <si>
    <t>rmap_registers_wr_o.aeb_gen_cfg_reserved_d04.reserved &lt;= (others =&gt; '0');</t>
  </si>
  <si>
    <t>-- AEB General Configuration Area Register "RESERVED_D08" : "RESERVED" Field</t>
  </si>
  <si>
    <t>rmap_registers_wr_o.aeb_gen_cfg_reserved_d08.reserved &lt;= (others =&gt; '0');</t>
  </si>
  <si>
    <t>-- AEB General Configuration Area Register "RESERVED_D0C" : "RESERVED" Field</t>
  </si>
  <si>
    <t>rmap_registers_wr_o.aeb_gen_cfg_reserved_d0c.reserved &lt;= (others =&gt; '0');</t>
  </si>
  <si>
    <t>-- AEB General Configuration Area Register "RESERVED_D10" : "RESERVED" Field</t>
  </si>
  <si>
    <t>rmap_registers_wr_o.aeb_gen_cfg_reserved_d10.reserved &lt;= (others =&gt; '0');</t>
  </si>
  <si>
    <t>-- AEB General Configuration Area Register "RESERVED_D14" : "RESERVED" Field</t>
  </si>
  <si>
    <t>rmap_registers_wr_o.aeb_gen_cfg_reserved_d14.reserved &lt;= (others =&gt; '0');</t>
  </si>
  <si>
    <t>-- AEB General Configuration Area Register "RESERVED_D18" : "RESERVED" Field</t>
  </si>
  <si>
    <t>rmap_registers_wr_o.aeb_gen_cfg_reserved_d18.reserved &lt;= (others =&gt; '0');</t>
  </si>
  <si>
    <t>-- AEB General Configuration Area Register "RESERVED_D1C" : "RESERVED" Field</t>
  </si>
  <si>
    <t>rmap_registers_wr_o.aeb_gen_cfg_reserved_d1c.reserved &lt;= (others =&gt; '0');</t>
  </si>
  <si>
    <t>-- AEB General Configuration Area Register "RESERVED_D20" : "RESERVED" Field</t>
  </si>
  <si>
    <t>rmap_registers_wr_o.aeb_gen_cfg_reserved_d20.reserved &lt;= (others =&gt; '0');</t>
  </si>
  <si>
    <t>-- AEB General Configuration Area Register "RESERVED_D24" : "RESERVED" Field</t>
  </si>
  <si>
    <t>rmap_registers_wr_o.aeb_gen_cfg_reserved_d24.reserved &lt;= (others =&gt; '0');</t>
  </si>
  <si>
    <t>-- AEB General Configuration Area Register "RESERVED_D28" : "RESERVED" Field</t>
  </si>
  <si>
    <t>rmap_registers_wr_o.aeb_gen_cfg_reserved_d28.reserved &lt;= (others =&gt; '0');</t>
  </si>
  <si>
    <t>-- AEB General Configuration Area Register "RESERVED_D2C" : "RESERVED" Field</t>
  </si>
  <si>
    <t>rmap_registers_wr_o.aeb_gen_cfg_reserved_d2c.reserved &lt;= (others =&gt; '0');</t>
  </si>
  <si>
    <t>-- AEB General Configuration Area Register "RESERVED_D30" : "RESERVED" Field</t>
  </si>
  <si>
    <t>rmap_registers_wr_o.aeb_gen_cfg_reserved_d30.reserved &lt;= (others =&gt; '0');</t>
  </si>
  <si>
    <t>-- AEB General Configuration Area Register "RESERVED_D34" : "RESERVED" Field</t>
  </si>
  <si>
    <t>rmap_registers_wr_o.aeb_gen_cfg_reserved_d34.reserved &lt;= (others =&gt; '0');</t>
  </si>
  <si>
    <t>-- AEB General Configuration Area Register "RESERVED_D38" : "RESERVED" Field</t>
  </si>
  <si>
    <t>rmap_registers_wr_o.aeb_gen_cfg_reserved_d38.reserved &lt;= (others =&gt; '0');</t>
  </si>
  <si>
    <t>-- AEB General Configuration Area Register "RESERVED_D3C" : "RESERVED" Field</t>
  </si>
  <si>
    <t>rmap_registers_wr_o.aeb_gen_cfg_reserved_d3c.reserved &lt;= (others =&gt; '0');</t>
  </si>
  <si>
    <t>-- AEB General Configuration Area Register "RESERVED_D40" : "RESERVED" Field</t>
  </si>
  <si>
    <t>rmap_registers_wr_o.aeb_gen_cfg_reserved_d40.reserved &lt;= (others =&gt; '0');</t>
  </si>
  <si>
    <t>-- AEB General Configuration Area Register "RESERVED_D44" : "RESERVED" Field</t>
  </si>
  <si>
    <t>rmap_registers_wr_o.aeb_gen_cfg_reserved_d44.reserved &lt;= (others =&gt; '0');</t>
  </si>
  <si>
    <t>-- AEB General Configuration Area Register "RESERVED_D48" : "RESERVED" Field</t>
  </si>
  <si>
    <t>rmap_registers_wr_o.aeb_gen_cfg_reserved_d48.reserved &lt;= (others =&gt; '0');</t>
  </si>
  <si>
    <t>-- AEB General Configuration Area Register "RESERVED_D4C" : "RESERVED" Field</t>
  </si>
  <si>
    <t>rmap_registers_wr_o.aeb_gen_cfg_reserved_d4c.reserved &lt;= (others =&gt; '0');</t>
  </si>
  <si>
    <t>-- AEB General Configuration Area Register "RESERVED_D50" : "RESERVED" Field</t>
  </si>
  <si>
    <t>rmap_registers_wr_o.aeb_gen_cfg_reserved_d50.reserved &lt;= (others =&gt; '0');</t>
  </si>
  <si>
    <t>-- AEB General Configuration Area Register "RESERVED_D54" : "RESERVED" Field</t>
  </si>
  <si>
    <t>rmap_registers_wr_o.aeb_gen_cfg_reserved_d54.reserved &lt;= (others =&gt; '0');</t>
  </si>
  <si>
    <t>-- AEB General Configuration Area Register "RESERVED_D58" : "RESERVED" Field</t>
  </si>
  <si>
    <t>rmap_registers_wr_o.aeb_gen_cfg_reserved_d58.reserved &lt;= (others =&gt; '0');</t>
  </si>
  <si>
    <t>-- AEB General Configuration Area Register "RESERVED_D5C" : "RESERVED" Field</t>
  </si>
  <si>
    <t>rmap_registers_wr_o.aeb_gen_cfg_reserved_d5c.reserved &lt;= (others =&gt; '0');</t>
  </si>
  <si>
    <t>-- AEB General Configuration Area Register "RESERVED_D60" : "RESERVED" Field</t>
  </si>
  <si>
    <t>rmap_registers_wr_o.aeb_gen_cfg_reserved_d60.reserved &lt;= (others =&gt; '0');</t>
  </si>
  <si>
    <t>-- AEB General Configuration Area Register "RESERVED_D64" : "RESERVED" Field</t>
  </si>
  <si>
    <t>rmap_registers_wr_o.aeb_gen_cfg_reserved_d64.reserved &lt;= (others =&gt; '0');</t>
  </si>
  <si>
    <t>-- AEB General Configuration Area Register "RESERVED_D68" : "RESERVED" Field</t>
  </si>
  <si>
    <t>rmap_registers_wr_o.aeb_gen_cfg_reserved_d68.reserved &lt;= (others =&gt; '0');</t>
  </si>
  <si>
    <t>-- AEB General Configuration Area Register "RESERVED_D6C" : "RESERVED" Field</t>
  </si>
  <si>
    <t>rmap_registers_wr_o.aeb_gen_cfg_reserved_d6c.reserved &lt;= (others =&gt; '0');</t>
  </si>
  <si>
    <t>-- AEB General Configuration Area Register "RESERVED_D70" : "RESERVED" Field</t>
  </si>
  <si>
    <t>rmap_registers_wr_o.aeb_gen_cfg_reserved_d70.reserved &lt;= (others =&gt; '0');</t>
  </si>
  <si>
    <t>-- AEB General Configuration Area Register "RESERVED_D74" : "RESERVED" Field</t>
  </si>
  <si>
    <t>rmap_registers_wr_o.aeb_gen_cfg_reserved_d74.reserved &lt;= (others =&gt; '0');</t>
  </si>
  <si>
    <t>-- AEB General Configuration Area Register "RESERVED_D78" : "RESERVED" Field</t>
  </si>
  <si>
    <t>rmap_registers_wr_o.aeb_gen_cfg_reserved_d78.reserved &lt;= (others =&gt; '0');</t>
  </si>
  <si>
    <t>-- AEB General Configuration Area Register "RESERVED_D7C" : "RESERVED" Field</t>
  </si>
  <si>
    <t>rmap_registers_wr_o.aeb_gen_cfg_reserved_d7c.reserved &lt;= (others =&gt; '0');</t>
  </si>
  <si>
    <t>-- AEB General Configuration Area Register "RESERVED_D80" : "RESERVED" Field</t>
  </si>
  <si>
    <t>rmap_registers_wr_o.aeb_gen_cfg_reserved_d80.reserved &lt;= (others =&gt; '0');</t>
  </si>
  <si>
    <t>-- AEB General Configuration Area Register "RESERVED_D84" : "RESERVED" Field</t>
  </si>
  <si>
    <t>rmap_registers_wr_o.aeb_gen_cfg_reserved_d84.reserved &lt;= (others =&gt; '0');</t>
  </si>
  <si>
    <t>-- AEB General Configuration Area Register "RESERVED_D88" : "RESERVED" Field</t>
  </si>
  <si>
    <t>rmap_registers_wr_o.aeb_gen_cfg_reserved_d88.reserved &lt;= (others =&gt; '0');</t>
  </si>
  <si>
    <t>-- AEB General Configuration Area Register "RESERVED_D8C" : "RESERVED" Field</t>
  </si>
  <si>
    <t>rmap_registers_wr_o.aeb_gen_cfg_reserved_d8c.reserved &lt;= (others =&gt; '0');</t>
  </si>
  <si>
    <t>-- AEB General Configuration Area Register "RESERVED_D90" : "RESERVED" Field</t>
  </si>
  <si>
    <t>rmap_registers_wr_o.aeb_gen_cfg_reserved_d90.reserved &lt;= (others =&gt; '0');</t>
  </si>
  <si>
    <t>-- AEB General Configuration Area Register "RESERVED_D94" : "RESERVED" Field</t>
  </si>
  <si>
    <t>rmap_registers_wr_o.aeb_gen_cfg_reserved_d94.reserved &lt;= (others =&gt; '0');</t>
  </si>
  <si>
    <t>-- AEB General Configuration Area Register "RESERVED_D98" : "RESERVED" Field</t>
  </si>
  <si>
    <t>rmap_registers_wr_o.aeb_gen_cfg_reserved_d98.reserved &lt;= (others =&gt; '0');</t>
  </si>
  <si>
    <t>-- AEB General Configuration Area Register "RESERVED_D9C" : "RESERVED" Field</t>
  </si>
  <si>
    <t>rmap_registers_wr_o.aeb_gen_cfg_reserved_d9c.reserved &lt;= (others =&gt; '0');</t>
  </si>
  <si>
    <t>-- AEB General Configuration Area Register "RESERVED_DA0" : "RESERVED" Field</t>
  </si>
  <si>
    <t>rmap_registers_wr_o.aeb_gen_cfg_reserved_da0.reserved &lt;= (others =&gt; '0');</t>
  </si>
  <si>
    <t>-- AEB General Configuration Area Register "RESERVED_DA4" : "RESERVED" Field</t>
  </si>
  <si>
    <t>rmap_registers_wr_o.aeb_gen_cfg_reserved_da4.reserved &lt;= (others =&gt; '0');</t>
  </si>
  <si>
    <t>-- AEB General Configuration Area Register "RESERVED_DA8" : "RESERVED" Field</t>
  </si>
  <si>
    <t>rmap_registers_wr_o.aeb_gen_cfg_reserved_da8.reserved &lt;= (others =&gt; '0');</t>
  </si>
  <si>
    <t>-- AEB General Configuration Area Register "RESERVED_DAC" : "RESERVED" Field</t>
  </si>
  <si>
    <t>rmap_registers_wr_o.aeb_gen_cfg_reserved_dac.reserved &lt;= (others =&gt; '0');</t>
  </si>
  <si>
    <t>-- AEB General Configuration Area Register "RESERVED_DB0" : "RESERVED" Field</t>
  </si>
  <si>
    <t>rmap_registers_wr_o.aeb_gen_cfg_reserved_db0.reserved &lt;= (others =&gt; '0');</t>
  </si>
  <si>
    <t>-- AEB General Configuration Area Register "RESERVED_DB4" : "RESERVED" Field</t>
  </si>
  <si>
    <t>rmap_registers_wr_o.aeb_gen_cfg_reserved_db4.reserved &lt;= (others =&gt; '0');</t>
  </si>
  <si>
    <t>-- AEB General Configuration Area Register "RESERVED_DB8" : "RESERVED" Field</t>
  </si>
  <si>
    <t>rmap_registers_wr_o.aeb_gen_cfg_reserved_db8.reserved &lt;= (others =&gt; '0');</t>
  </si>
  <si>
    <t>-- AEB General Configuration Area Register "RESERVED_DBC" : "RESERVED" Field</t>
  </si>
  <si>
    <t>rmap_registers_wr_o.aeb_gen_cfg_reserved_dbc.reserved &lt;= (others =&gt; '0');</t>
  </si>
  <si>
    <t>-- AEB General Configuration Area Register "RESERVED_DC0" : "RESERVED" Field</t>
  </si>
  <si>
    <t>rmap_registers_wr_o.aeb_gen_cfg_reserved_dc0.reserved &lt;= (others =&gt; '0');</t>
  </si>
  <si>
    <t>-- AEB General Configuration Area Register "RESERVED_DC4" : "RESERVED" Field</t>
  </si>
  <si>
    <t>rmap_registers_wr_o.aeb_gen_cfg_reserved_dc4.reserved &lt;= (others =&gt; '0');</t>
  </si>
  <si>
    <t>-- AEB General Configuration Area Register "RESERVED_DC8" : "RESERVED" Field</t>
  </si>
  <si>
    <t>rmap_registers_wr_o.aeb_gen_cfg_reserved_dc8.reserved &lt;= (others =&gt; '0');</t>
  </si>
  <si>
    <t>-- AEB General Configuration Area Register "RESERVED_DCC" : "RESERVED" Field</t>
  </si>
  <si>
    <t>rmap_registers_wr_o.aeb_gen_cfg_reserved_dcc.reserved &lt;= (others =&gt; '0');</t>
  </si>
  <si>
    <t>-- AEB General Configuration Area Register "RESERVED_DD0" : "RESERVED" Field</t>
  </si>
  <si>
    <t>rmap_registers_wr_o.aeb_gen_cfg_reserved_dd0.reserved &lt;= (others =&gt; '0');</t>
  </si>
  <si>
    <t>-- AEB General Configuration Area Register "RESERVED_DD4" : "RESERVED" Field</t>
  </si>
  <si>
    <t>rmap_registers_wr_o.aeb_gen_cfg_reserved_dd4.reserved &lt;= (others =&gt; '0');</t>
  </si>
  <si>
    <t>-- AEB General Configuration Area Register "RESERVED_DD8" : "RESERVED" Field</t>
  </si>
  <si>
    <t>rmap_registers_wr_o.aeb_gen_cfg_reserved_dd8.reserved &lt;= (others =&gt; '0');</t>
  </si>
  <si>
    <t>-- AEB General Configuration Area Register "RESERVED_DDC" : "RESERVED" Field</t>
  </si>
  <si>
    <t>rmap_registers_wr_o.aeb_gen_cfg_reserved_ddc.reserved &lt;= (others =&gt; '0');</t>
  </si>
  <si>
    <t>-- AEB General Configuration Area Register "RESERVED_DE0" : "RESERVED" Field</t>
  </si>
  <si>
    <t>rmap_registers_wr_o.aeb_gen_cfg_reserved_de0.reserved &lt;= (others =&gt; '0');</t>
  </si>
  <si>
    <t>-- AEB General Configuration Area Register "RESERVED_DE4" : "RESERVED" Field</t>
  </si>
  <si>
    <t>rmap_registers_wr_o.aeb_gen_cfg_reserved_de4.reserved &lt;= (others =&gt; '0');</t>
  </si>
  <si>
    <t>-- AEB General Configuration Area Register "RESERVED_DE8" : "RESERVED" Field</t>
  </si>
  <si>
    <t>rmap_registers_wr_o.aeb_gen_cfg_reserved_de8.reserved &lt;= (others =&gt; '0');</t>
  </si>
  <si>
    <t>-- AEB General Configuration Area Register "RESERVED_DEC" : "RESERVED" Field</t>
  </si>
  <si>
    <t>rmap_registers_wr_o.aeb_gen_cfg_reserved_dec.reserved &lt;= (others =&gt; '0');</t>
  </si>
  <si>
    <t>-- AEB General Configuration Area Register "RESERVED_DF0" : "RESERVED" Field</t>
  </si>
  <si>
    <t>rmap_registers_wr_o.aeb_gen_cfg_reserved_df0.reserved &lt;= (others =&gt; '0');</t>
  </si>
  <si>
    <t>-- AEB General Configuration Area Register "RESERVED_DF4" : "RESERVED" Field</t>
  </si>
  <si>
    <t>rmap_registers_wr_o.aeb_gen_cfg_reserved_df4.reserved &lt;= (others =&gt; '0');</t>
  </si>
  <si>
    <t>-- AEB General Configuration Area Register "RESERVED_DF8" : "RESERVED" Field</t>
  </si>
  <si>
    <t>rmap_registers_wr_o.aeb_gen_cfg_reserved_df8.reserved &lt;= (others =&gt; '0');</t>
  </si>
  <si>
    <t>-- AEB General Configuration Area Register "RESERVED_DFC" : "RESERVED" Field</t>
  </si>
  <si>
    <t>rmap_registers_wr_o.aeb_gen_cfg_reserved_dfc.reserved &lt;= (others =&gt; '0');</t>
  </si>
  <si>
    <t>-- AEB General Configuration Area Register "RESERVED_E00" : "RESERVED" Field</t>
  </si>
  <si>
    <t>rmap_registers_wr_o.aeb_gen_cfg_reserved_e00.reserved &lt;= (others =&gt; '0');</t>
  </si>
  <si>
    <t>-- AEB General Configuration Area Register "RESERVED_E04" : "RESERVED" Field</t>
  </si>
  <si>
    <t>rmap_registers_wr_o.aeb_gen_cfg_reserved_e04.reserved &lt;= (others =&gt; '0');</t>
  </si>
  <si>
    <t>-- AEB General Configuration Area Register "RESERVED_E08" : "RESERVED" Field</t>
  </si>
  <si>
    <t>rmap_registers_wr_o.aeb_gen_cfg_reserved_e08.reserved &lt;= (others =&gt; '0');</t>
  </si>
  <si>
    <t>-- AEB General Configuration Area Register "RESERVED_E0C" : "RESERVED" Field</t>
  </si>
  <si>
    <t>rmap_registers_wr_o.aeb_gen_cfg_reserved_e0c.reserved &lt;= (others =&gt; '0');</t>
  </si>
  <si>
    <t>-- AEB General Configuration Area Register "RESERVED_E10" : "RESERVED" Field</t>
  </si>
  <si>
    <t>rmap_registers_wr_o.aeb_gen_cfg_reserved_e10.reserved &lt;= (others =&gt; '0');</t>
  </si>
  <si>
    <t>-- AEB General Configuration Area Register "RESERVED_E14" : "RESERVED" Field</t>
  </si>
  <si>
    <t>rmap_registers_wr_o.aeb_gen_cfg_reserved_e14.reserved &lt;= (others =&gt; '0');</t>
  </si>
  <si>
    <t>-- AEB General Configuration Area Register "RESERVED_E18" : "RESERVED" Field</t>
  </si>
  <si>
    <t>rmap_registers_wr_o.aeb_gen_cfg_reserved_e18.reserved &lt;= (others =&gt; '0');</t>
  </si>
  <si>
    <t>-- AEB General Configuration Area Register "RESERVED_E1C" : "RESERVED" Field</t>
  </si>
  <si>
    <t>rmap_registers_wr_o.aeb_gen_cfg_reserved_e1c.reserved &lt;= (others =&gt; '0');</t>
  </si>
  <si>
    <t>-- AEB General Configuration Area Register "RESERVED_E20" : "RESERVED" Field</t>
  </si>
  <si>
    <t>rmap_registers_wr_o.aeb_gen_cfg_reserved_e20.reserved &lt;= (others =&gt; '0');</t>
  </si>
  <si>
    <t>-- AEB General Configuration Area Register "RESERVED_E24" : "RESERVED" Field</t>
  </si>
  <si>
    <t>rmap_registers_wr_o.aeb_gen_cfg_reserved_e24.reserved &lt;= (others =&gt; '0');</t>
  </si>
  <si>
    <t>-- AEB General Configuration Area Register "RESERVED_E28" : "RESERVED" Field</t>
  </si>
  <si>
    <t>rmap_registers_wr_o.aeb_gen_cfg_reserved_e28.reserved &lt;= (others =&gt; '0');</t>
  </si>
  <si>
    <t>-- AEB General Configuration Area Register "RESERVED_E2C" : "RESERVED" Field</t>
  </si>
  <si>
    <t>rmap_registers_wr_o.aeb_gen_cfg_reserved_e2c.reserved &lt;= (others =&gt; '0');</t>
  </si>
  <si>
    <t>-- AEB General Configuration Area Register "RESERVED_E30" : "RESERVED" Field</t>
  </si>
  <si>
    <t>rmap_registers_wr_o.aeb_gen_cfg_reserved_e30.reserved &lt;= (others =&gt; '0');</t>
  </si>
  <si>
    <t>-- AEB General Configuration Area Register "RESERVED_E34" : "RESERVED" Field</t>
  </si>
  <si>
    <t>rmap_registers_wr_o.aeb_gen_cfg_reserved_e34.reserved &lt;= (others =&gt; '0');</t>
  </si>
  <si>
    <t>-- AEB General Configuration Area Register "RESERVED_E38" : "RESERVED" Field</t>
  </si>
  <si>
    <t>rmap_registers_wr_o.aeb_gen_cfg_reserved_e38.reserved &lt;= (others =&gt; '0');</t>
  </si>
  <si>
    <t>-- AEB General Configuration Area Register "RESERVED_E3C" : "RESERVED" Field</t>
  </si>
  <si>
    <t>rmap_registers_wr_o.aeb_gen_cfg_reserved_e3c.reserved &lt;= (others =&gt; '0');</t>
  </si>
  <si>
    <t>-- AEB General Configuration Area Register "RESERVED_E40" : "RESERVED" Field</t>
  </si>
  <si>
    <t>rmap_registers_wr_o.aeb_gen_cfg_reserved_e40.reserved &lt;= (others =&gt; '0');</t>
  </si>
  <si>
    <t>-- AEB General Configuration Area Register "RESERVED_E44" : "RESERVED" Field</t>
  </si>
  <si>
    <t>rmap_registers_wr_o.aeb_gen_cfg_reserved_e44.reserved &lt;= (others =&gt; '0');</t>
  </si>
  <si>
    <t>-- AEB General Configuration Area Register "RESERVED_E48" : "RESERVED" Field</t>
  </si>
  <si>
    <t>rmap_registers_wr_o.aeb_gen_cfg_reserved_e48.reserved &lt;= (others =&gt; '0');</t>
  </si>
  <si>
    <t>-- AEB General Configuration Area Register "RESERVED_E4C" : "RESERVED" Field</t>
  </si>
  <si>
    <t>rmap_registers_wr_o.aeb_gen_cfg_reserved_e4c.reserved &lt;= (others =&gt; '0');</t>
  </si>
  <si>
    <t>-- AEB General Configuration Area Register "RESERVED_E50" : "RESERVED" Field</t>
  </si>
  <si>
    <t>rmap_registers_wr_o.aeb_gen_cfg_reserved_e50.reserved &lt;= (others =&gt; '0');</t>
  </si>
  <si>
    <t>-- AEB General Configuration Area Register "RESERVED_E54" : "RESERVED" Field</t>
  </si>
  <si>
    <t>rmap_registers_wr_o.aeb_gen_cfg_reserved_e54.reserved &lt;= (others =&gt; '0');</t>
  </si>
  <si>
    <t>-- AEB General Configuration Area Register "RESERVED_E58" : "RESERVED" Field</t>
  </si>
  <si>
    <t>rmap_registers_wr_o.aeb_gen_cfg_reserved_e58.reserved &lt;= (others =&gt; '0');</t>
  </si>
  <si>
    <t>-- AEB General Configuration Area Register "RESERVED_E5C" : "RESERVED" Field</t>
  </si>
  <si>
    <t>rmap_registers_wr_o.aeb_gen_cfg_reserved_e5c.reserved &lt;= (others =&gt; '0');</t>
  </si>
  <si>
    <t>-- AEB General Configuration Area Register "RESERVED_E60" : "RESERVED" Field</t>
  </si>
  <si>
    <t>rmap_registers_wr_o.aeb_gen_cfg_reserved_e60.reserved &lt;= (others =&gt; '0');</t>
  </si>
  <si>
    <t>-- AEB General Configuration Area Register "RESERVED_E64" : "RESERVED" Field</t>
  </si>
  <si>
    <t>rmap_registers_wr_o.aeb_gen_cfg_reserved_e64.reserved &lt;= (others =&gt; '0');</t>
  </si>
  <si>
    <t>-- AEB General Configuration Area Register "RESERVED_E68" : "RESERVED" Field</t>
  </si>
  <si>
    <t>rmap_registers_wr_o.aeb_gen_cfg_reserved_e68.reserved &lt;= (others =&gt; '0');</t>
  </si>
  <si>
    <t>-- AEB General Configuration Area Register "RESERVED_E6C" : "RESERVED" Field</t>
  </si>
  <si>
    <t>rmap_registers_wr_o.aeb_gen_cfg_reserved_e6c.reserved &lt;= (others =&gt; '0');</t>
  </si>
  <si>
    <t>-- AEB General Configuration Area Register "RESERVED_E70" : "RESERVED" Field</t>
  </si>
  <si>
    <t>rmap_registers_wr_o.aeb_gen_cfg_reserved_e70.reserved &lt;= (others =&gt; '0');</t>
  </si>
  <si>
    <t>-- AEB General Configuration Area Register "RESERVED_E74" : "RESERVED" Field</t>
  </si>
  <si>
    <t>rmap_registers_wr_o.aeb_gen_cfg_reserved_e74.reserved &lt;= (others =&gt; '0');</t>
  </si>
  <si>
    <t>-- AEB General Configuration Area Register "RESERVED_E78" : "RESERVED" Field</t>
  </si>
  <si>
    <t>rmap_registers_wr_o.aeb_gen_cfg_reserved_e78.reserved &lt;= (others =&gt; '0');</t>
  </si>
  <si>
    <t>-- AEB General Configuration Area Register "RESERVED_E7C" : "RESERVED" Field</t>
  </si>
  <si>
    <t>rmap_registers_wr_o.aeb_gen_cfg_reserved_e7c.reserved &lt;= (others =&gt; '0');</t>
  </si>
  <si>
    <t>-- AEB General Configuration Area Register "RESERVED_E80" : "RESERVED" Field</t>
  </si>
  <si>
    <t>rmap_registers_wr_o.aeb_gen_cfg_reserved_e80.reserved &lt;= (others =&gt; '0');</t>
  </si>
  <si>
    <t>-- AEB General Configuration Area Register "RESERVED_E84" : "RESERVED" Field</t>
  </si>
  <si>
    <t>rmap_registers_wr_o.aeb_gen_cfg_reserved_e84.reserved &lt;= (others =&gt; '0');</t>
  </si>
  <si>
    <t>-- AEB General Configuration Area Register "RESERVED_E88" : "RESERVED" Field</t>
  </si>
  <si>
    <t>rmap_registers_wr_o.aeb_gen_cfg_reserved_e88.reserved &lt;= (others =&gt; '0');</t>
  </si>
  <si>
    <t>-- AEB General Configuration Area Register "RESERVED_E8C" : "RESERVED" Field</t>
  </si>
  <si>
    <t>rmap_registers_wr_o.aeb_gen_cfg_reserved_e8c.reserved &lt;= (others =&gt; '0');</t>
  </si>
  <si>
    <t>-- AEB General Configuration Area Register "RESERVED_E90" : "RESERVED" Field</t>
  </si>
  <si>
    <t>rmap_registers_wr_o.aeb_gen_cfg_reserved_e90.reserved &lt;= (others =&gt; '0');</t>
  </si>
  <si>
    <t>-- AEB General Configuration Area Register "RESERVED_E94" : "RESERVED" Field</t>
  </si>
  <si>
    <t>rmap_registers_wr_o.aeb_gen_cfg_reserved_e94.reserved &lt;= (others =&gt; '0');</t>
  </si>
  <si>
    <t>-- AEB General Configuration Area Register "RESERVED_E98" : "RESERVED" Field</t>
  </si>
  <si>
    <t>rmap_registers_wr_o.aeb_gen_cfg_reserved_e98.reserved &lt;= (others =&gt; '0');</t>
  </si>
  <si>
    <t>-- AEB General Configuration Area Register "RESERVED_E9C" : "RESERVED" Field</t>
  </si>
  <si>
    <t>rmap_registers_wr_o.aeb_gen_cfg_reserved_e9c.reserved &lt;= (others =&gt; '0');</t>
  </si>
  <si>
    <t>-- AEB General Configuration Area Register "RESERVED_EA0" : "RESERVED" Field</t>
  </si>
  <si>
    <t>rmap_registers_wr_o.aeb_gen_cfg_reserved_ea0.reserved &lt;= (others =&gt; '0');</t>
  </si>
  <si>
    <t>-- AEB General Configuration Area Register "RESERVED_EA4" : "RESERVED" Field</t>
  </si>
  <si>
    <t>rmap_registers_wr_o.aeb_gen_cfg_reserved_ea4.reserved &lt;= (others =&gt; '0');</t>
  </si>
  <si>
    <t>-- AEB General Configuration Area Register "RESERVED_EA8" : "RESERVED" Field</t>
  </si>
  <si>
    <t>rmap_registers_wr_o.aeb_gen_cfg_reserved_ea8.reserved &lt;= (others =&gt; '0');</t>
  </si>
  <si>
    <t>-- AEB General Configuration Area Register "RESERVED_EAC" : "RESERVED" Field</t>
  </si>
  <si>
    <t>rmap_registers_wr_o.aeb_gen_cfg_reserved_eac.reserved &lt;= (others =&gt; '0');</t>
  </si>
  <si>
    <t>-- AEB General Configuration Area Register "RESERVED_EB0" : "RESERVED" Field</t>
  </si>
  <si>
    <t>rmap_registers_wr_o.aeb_gen_cfg_reserved_eb0.reserved &lt;= (others =&gt; '0');</t>
  </si>
  <si>
    <t>-- AEB General Configuration Area Register "RESERVED_EB4" : "RESERVED" Field</t>
  </si>
  <si>
    <t>rmap_registers_wr_o.aeb_gen_cfg_reserved_eb4.reserved &lt;= (others =&gt; '0');</t>
  </si>
  <si>
    <t>-- AEB General Configuration Area Register "RESERVED_EB8" : "RESERVED" Field</t>
  </si>
  <si>
    <t>rmap_registers_wr_o.aeb_gen_cfg_reserved_eb8.reserved &lt;= (others =&gt; '0');</t>
  </si>
  <si>
    <t>-- AEB General Configuration Area Register "RESERVED_EBC" : "RESERVED" Field</t>
  </si>
  <si>
    <t>rmap_registers_wr_o.aeb_gen_cfg_reserved_ebc.reserved &lt;= (others =&gt; '0');</t>
  </si>
  <si>
    <t>-- AEB General Configuration Area Register "RESERVED_EC0" : "RESERVED" Field</t>
  </si>
  <si>
    <t>rmap_registers_wr_o.aeb_gen_cfg_reserved_ec0.reserved &lt;= (others =&gt; '0');</t>
  </si>
  <si>
    <t>-- AEB General Configuration Area Register "RESERVED_EC4" : "RESERVED" Field</t>
  </si>
  <si>
    <t>rmap_registers_wr_o.aeb_gen_cfg_reserved_ec4.reserved &lt;= (others =&gt; '0');</t>
  </si>
  <si>
    <t>-- AEB General Configuration Area Register "RESERVED_EC8" : "RESERVED" Field</t>
  </si>
  <si>
    <t>rmap_registers_wr_o.aeb_gen_cfg_reserved_ec8.reserved &lt;= (others =&gt; '0');</t>
  </si>
  <si>
    <t>-- AEB General Configuration Area Register "RESERVED_ECC" : "RESERVED" Field</t>
  </si>
  <si>
    <t>rmap_registers_wr_o.aeb_gen_cfg_reserved_ecc.reserved &lt;= (others =&gt; '0');</t>
  </si>
  <si>
    <t>-- AEB General Configuration Area Register "RESERVED_ED0" : "RESERVED" Field</t>
  </si>
  <si>
    <t>rmap_registers_wr_o.aeb_gen_cfg_reserved_ed0.reserved &lt;= (others =&gt; '0');</t>
  </si>
  <si>
    <t>-- AEB General Configuration Area Register "RESERVED_ED4" : "RESERVED" Field</t>
  </si>
  <si>
    <t>rmap_registers_wr_o.aeb_gen_cfg_reserved_ed4.reserved &lt;= (others =&gt; '0');</t>
  </si>
  <si>
    <t>-- AEB General Configuration Area Register "RESERVED_ED8" : "RESERVED" Field</t>
  </si>
  <si>
    <t>rmap_registers_wr_o.aeb_gen_cfg_reserved_ed8.reserved &lt;= (others =&gt; '0');</t>
  </si>
  <si>
    <t>-- AEB General Configuration Area Register "RESERVED_EDC" : "RESERVED" Field</t>
  </si>
  <si>
    <t>rmap_registers_wr_o.aeb_gen_cfg_reserved_edc.reserved &lt;= (others =&gt; '0');</t>
  </si>
  <si>
    <t>-- AEB General Configuration Area Register "RESERVED_EE0" : "RESERVED" Field</t>
  </si>
  <si>
    <t>rmap_registers_wr_o.aeb_gen_cfg_reserved_ee0.reserved &lt;= (others =&gt; '0');</t>
  </si>
  <si>
    <t>-- AEB General Configuration Area Register "RESERVED_EE4" : "RESERVED" Field</t>
  </si>
  <si>
    <t>rmap_registers_wr_o.aeb_gen_cfg_reserved_ee4.reserved &lt;= (others =&gt; '0');</t>
  </si>
  <si>
    <t>-- AEB General Configuration Area Register "RESERVED_EE8" : "RESERVED" Field</t>
  </si>
  <si>
    <t>rmap_registers_wr_o.aeb_gen_cfg_reserved_ee8.reserved &lt;= (others =&gt; '0');</t>
  </si>
  <si>
    <t>-- AEB General Configuration Area Register "RESERVED_EEC" : "RESERVED" Field</t>
  </si>
  <si>
    <t>rmap_registers_wr_o.aeb_gen_cfg_reserved_eec.reserved &lt;= (others =&gt; '0');</t>
  </si>
  <si>
    <t>-- AEB General Configuration Area Register "RESERVED_EF0" : "RESERVED" Field</t>
  </si>
  <si>
    <t>rmap_registers_wr_o.aeb_gen_cfg_reserved_ef0.reserved &lt;= (others =&gt; '0');</t>
  </si>
  <si>
    <t>-- AEB General Configuration Area Register "RESERVED_EF4" : "RESERVED" Field</t>
  </si>
  <si>
    <t>rmap_registers_wr_o.aeb_gen_cfg_reserved_ef4.reserved &lt;= (others =&gt; '0');</t>
  </si>
  <si>
    <t>-- AEB General Configuration Area Register "RESERVED_EF8" : "RESERVED" Field</t>
  </si>
  <si>
    <t>rmap_registers_wr_o.aeb_gen_cfg_reserved_ef8.reserved &lt;= (others =&gt; '0');</t>
  </si>
  <si>
    <t>-- AEB General Configuration Area Register "RESERVED_EFC" : "RESERVED" Field</t>
  </si>
  <si>
    <t>rmap_registers_wr_o.aeb_gen_cfg_reserved_efc.reserved &lt;= (others =&gt; '0');</t>
  </si>
  <si>
    <t>-- AEB General Configuration Area Register "RESERVED_F00" : "RESERVED" Field</t>
  </si>
  <si>
    <t>rmap_registers_wr_o.aeb_gen_cfg_reserved_f00.reserved &lt;= (others =&gt; '0');</t>
  </si>
  <si>
    <t>-- AEB General Configuration Area Register "RESERVED_F04" : "RESERVED" Field</t>
  </si>
  <si>
    <t>rmap_registers_wr_o.aeb_gen_cfg_reserved_f04.reserved &lt;= (others =&gt; '0');</t>
  </si>
  <si>
    <t>-- AEB General Configuration Area Register "RESERVED_F08" : "RESERVED" Field</t>
  </si>
  <si>
    <t>rmap_registers_wr_o.aeb_gen_cfg_reserved_f08.reserved &lt;= (others =&gt; '0');</t>
  </si>
  <si>
    <t>-- AEB General Configuration Area Register "RESERVED_F0C" : "RESERVED" Field</t>
  </si>
  <si>
    <t>rmap_registers_wr_o.aeb_gen_cfg_reserved_f0c.reserved &lt;= (others =&gt; '0');</t>
  </si>
  <si>
    <t>-- AEB General Configuration Area Register "RESERVED_F10" : "RESERVED" Field</t>
  </si>
  <si>
    <t>rmap_registers_wr_o.aeb_gen_cfg_reserved_f10.reserved &lt;= (others =&gt; '0');</t>
  </si>
  <si>
    <t>-- AEB General Configuration Area Register "RESERVED_F14" : "RESERVED" Field</t>
  </si>
  <si>
    <t>rmap_registers_wr_o.aeb_gen_cfg_reserved_f14.reserved &lt;= (others =&gt; '0');</t>
  </si>
  <si>
    <t>-- AEB General Configuration Area Register "RESERVED_F18" : "RESERVED" Field</t>
  </si>
  <si>
    <t>rmap_registers_wr_o.aeb_gen_cfg_reserved_f18.reserved &lt;= (others =&gt; '0');</t>
  </si>
  <si>
    <t>-- AEB General Configuration Area Register "RESERVED_F1C" : "RESERVED" Field</t>
  </si>
  <si>
    <t>rmap_registers_wr_o.aeb_gen_cfg_reserved_f1c.reserved &lt;= (others =&gt; '0');</t>
  </si>
  <si>
    <t>-- AEB General Configuration Area Register "RESERVED_F20" : "RESERVED" Field</t>
  </si>
  <si>
    <t>rmap_registers_wr_o.aeb_gen_cfg_reserved_f20.reserved &lt;= (others =&gt; '0');</t>
  </si>
  <si>
    <t>-- AEB General Configuration Area Register "RESERVED_F24" : "RESERVED" Field</t>
  </si>
  <si>
    <t>rmap_registers_wr_o.aeb_gen_cfg_reserved_f24.reserved &lt;= (others =&gt; '0');</t>
  </si>
  <si>
    <t>-- AEB General Configuration Area Register "RESERVED_F28" : "RESERVED" Field</t>
  </si>
  <si>
    <t>rmap_registers_wr_o.aeb_gen_cfg_reserved_f28.reserved &lt;= (others =&gt; '0');</t>
  </si>
  <si>
    <t>-- AEB General Configuration Area Register "RESERVED_F2C" : "RESERVED" Field</t>
  </si>
  <si>
    <t>rmap_registers_wr_o.aeb_gen_cfg_reserved_f2c.reserved &lt;= (others =&gt; '0');</t>
  </si>
  <si>
    <t>-- AEB General Configuration Area Register "RESERVED_F30" : "RESERVED" Field</t>
  </si>
  <si>
    <t>rmap_registers_wr_o.aeb_gen_cfg_reserved_f30.reserved &lt;= (others =&gt; '0');</t>
  </si>
  <si>
    <t>-- AEB General Configuration Area Register "RESERVED_F34" : "RESERVED" Field</t>
  </si>
  <si>
    <t>rmap_registers_wr_o.aeb_gen_cfg_reserved_f34.reserved &lt;= (others =&gt; '0');</t>
  </si>
  <si>
    <t>-- AEB General Configuration Area Register "RESERVED_F38" : "RESERVED" Field</t>
  </si>
  <si>
    <t>rmap_registers_wr_o.aeb_gen_cfg_reserved_f38.reserved &lt;= (others =&gt; '0');</t>
  </si>
  <si>
    <t>-- AEB General Configuration Area Register "RESERVED_F3C" : "RESERVED" Field</t>
  </si>
  <si>
    <t>rmap_registers_wr_o.aeb_gen_cfg_reserved_f3c.reserved &lt;= (others =&gt; '0');</t>
  </si>
  <si>
    <t>-- AEB General Configuration Area Register "RESERVED_F40" : "RESERVED" Field</t>
  </si>
  <si>
    <t>rmap_registers_wr_o.aeb_gen_cfg_reserved_f40.reserved &lt;= (others =&gt; '0');</t>
  </si>
  <si>
    <t>-- AEB General Configuration Area Register "RESERVED_F44" : "RESERVED" Field</t>
  </si>
  <si>
    <t>rmap_registers_wr_o.aeb_gen_cfg_reserved_f44.reserved &lt;= (others =&gt; '0');</t>
  </si>
  <si>
    <t>-- AEB General Configuration Area Register "RESERVED_F48" : "RESERVED" Field</t>
  </si>
  <si>
    <t>rmap_registers_wr_o.aeb_gen_cfg_reserved_f48.reserved &lt;= (others =&gt; '0');</t>
  </si>
  <si>
    <t>-- AEB General Configuration Area Register "RESERVED_F4C" : "RESERVED" Field</t>
  </si>
  <si>
    <t>rmap_registers_wr_o.aeb_gen_cfg_reserved_f4c.reserved &lt;= (others =&gt; '0');</t>
  </si>
  <si>
    <t>-- AEB General Configuration Area Register "RESERVED_F50" : "RESERVED" Field</t>
  </si>
  <si>
    <t>rmap_registers_wr_o.aeb_gen_cfg_reserved_f50.reserved &lt;= (others =&gt; '0');</t>
  </si>
  <si>
    <t>-- AEB General Configuration Area Register "RESERVED_F54" : "RESERVED" Field</t>
  </si>
  <si>
    <t>rmap_registers_wr_o.aeb_gen_cfg_reserved_f54.reserved &lt;= (others =&gt; '0');</t>
  </si>
  <si>
    <t>-- AEB General Configuration Area Register "RESERVED_F58" : "RESERVED" Field</t>
  </si>
  <si>
    <t>rmap_registers_wr_o.aeb_gen_cfg_reserved_f58.reserved &lt;= (others =&gt; '0');</t>
  </si>
  <si>
    <t>-- AEB General Configuration Area Register "RESERVED_F5C" : "RESERVED" Field</t>
  </si>
  <si>
    <t>rmap_registers_wr_o.aeb_gen_cfg_reserved_f5c.reserved &lt;= (others =&gt; '0');</t>
  </si>
  <si>
    <t>-- AEB General Configuration Area Register "RESERVED_F60" : "RESERVED" Field</t>
  </si>
  <si>
    <t>rmap_registers_wr_o.aeb_gen_cfg_reserved_f60.reserved &lt;= (others =&gt; '0');</t>
  </si>
  <si>
    <t>-- AEB General Configuration Area Register "RESERVED_F64" : "RESERVED" Field</t>
  </si>
  <si>
    <t>rmap_registers_wr_o.aeb_gen_cfg_reserved_f64.reserved &lt;= (others =&gt; '0');</t>
  </si>
  <si>
    <t>-- AEB General Configuration Area Register "RESERVED_F68" : "RESERVED" Field</t>
  </si>
  <si>
    <t>rmap_registers_wr_o.aeb_gen_cfg_reserved_f68.reserved &lt;= (others =&gt; '0');</t>
  </si>
  <si>
    <t>-- AEB General Configuration Area Register "RESERVED_F6C" : "RESERVED" Field</t>
  </si>
  <si>
    <t>rmap_registers_wr_o.aeb_gen_cfg_reserved_f6c.reserved &lt;= (others =&gt; '0');</t>
  </si>
  <si>
    <t>-- AEB General Configuration Area Register "RESERVED_F70" : "RESERVED" Field</t>
  </si>
  <si>
    <t>rmap_registers_wr_o.aeb_gen_cfg_reserved_f70.reserved &lt;= (others =&gt; '0');</t>
  </si>
  <si>
    <t>-- AEB General Configuration Area Register "RESERVED_F74" : "RESERVED" Field</t>
  </si>
  <si>
    <t>rmap_registers_wr_o.aeb_gen_cfg_reserved_f74.reserved &lt;= (others =&gt; '0');</t>
  </si>
  <si>
    <t>-- AEB General Configuration Area Register "RESERVED_F78" : "RESERVED" Field</t>
  </si>
  <si>
    <t>rmap_registers_wr_o.aeb_gen_cfg_reserved_f78.reserved &lt;= (others =&gt; '0');</t>
  </si>
  <si>
    <t>-- AEB General Configuration Area Register "RESERVED_F7C" : "RESERVED" Field</t>
  </si>
  <si>
    <t>rmap_registers_wr_o.aeb_gen_cfg_reserved_f7c.reserved &lt;= (others =&gt; '0');</t>
  </si>
  <si>
    <t>-- AEB General Configuration Area Register "RESERVED_F80" : "RESERVED" Field</t>
  </si>
  <si>
    <t>rmap_registers_wr_o.aeb_gen_cfg_reserved_f80.reserved &lt;= (others =&gt; '0');</t>
  </si>
  <si>
    <t>-- AEB General Configuration Area Register "RESERVED_F84" : "RESERVED" Field</t>
  </si>
  <si>
    <t>rmap_registers_wr_o.aeb_gen_cfg_reserved_f84.reserved &lt;= (others =&gt; '0');</t>
  </si>
  <si>
    <t>-- AEB General Configuration Area Register "RESERVED_F88" : "RESERVED" Field</t>
  </si>
  <si>
    <t>rmap_registers_wr_o.aeb_gen_cfg_reserved_f88.reserved &lt;= (others =&gt; '0');</t>
  </si>
  <si>
    <t>-- AEB General Configuration Area Register "RESERVED_F8C" : "RESERVED" Field</t>
  </si>
  <si>
    <t>rmap_registers_wr_o.aeb_gen_cfg_reserved_f8c.reserved &lt;= (others =&gt; '0');</t>
  </si>
  <si>
    <t>-- AEB General Configuration Area Register "RESERVED_F90" : "RESERVED" Field</t>
  </si>
  <si>
    <t>rmap_registers_wr_o.aeb_gen_cfg_reserved_f90.reserved &lt;= (others =&gt; '0');</t>
  </si>
  <si>
    <t>-- AEB General Configuration Area Register "RESERVED_F94" : "RESERVED" Field</t>
  </si>
  <si>
    <t>rmap_registers_wr_o.aeb_gen_cfg_reserved_f94.reserved &lt;= (others =&gt; '0');</t>
  </si>
  <si>
    <t>-- AEB General Configuration Area Register "RESERVED_F98" : "RESERVED" Field</t>
  </si>
  <si>
    <t>rmap_registers_wr_o.aeb_gen_cfg_reserved_f98.reserved &lt;= (others =&gt; '0');</t>
  </si>
  <si>
    <t>-- AEB General Configuration Area Register "RESERVED_F9C" : "RESERVED" Field</t>
  </si>
  <si>
    <t>rmap_registers_wr_o.aeb_gen_cfg_reserved_f9c.reserved &lt;= (others =&gt; '0');</t>
  </si>
  <si>
    <t>-- AEB General Configuration Area Register "RESERVED_FA0" : "RESERVED" Field</t>
  </si>
  <si>
    <t>rmap_registers_wr_o.aeb_gen_cfg_reserved_fa0.reserved &lt;= (others =&gt; '0');</t>
  </si>
  <si>
    <t>-- AEB General Configuration Area Register "RESERVED_FA4" : "RESERVED" Field</t>
  </si>
  <si>
    <t>rmap_registers_wr_o.aeb_gen_cfg_reserved_fa4.reserved &lt;= (others =&gt; '0');</t>
  </si>
  <si>
    <t>-- AEB General Configuration Area Register "RESERVED_FA8" : "RESERVED" Field</t>
  </si>
  <si>
    <t>rmap_registers_wr_o.aeb_gen_cfg_reserved_fa8.reserved &lt;= (others =&gt; '0');</t>
  </si>
  <si>
    <t>-- AEB General Configuration Area Register "RESERVED_FAC" : "RESERVED" Field</t>
  </si>
  <si>
    <t>rmap_registers_wr_o.aeb_gen_cfg_reserved_fac.reserved &lt;= (others =&gt; '0');</t>
  </si>
  <si>
    <t>-- AEB General Configuration Area Register "RESERVED_FB0" : "RESERVED" Field</t>
  </si>
  <si>
    <t>rmap_registers_wr_o.aeb_gen_cfg_reserved_fb0.reserved &lt;= (others =&gt; '0');</t>
  </si>
  <si>
    <t>-- AEB General Configuration Area Register "RESERVED_FB4" : "RESERVED" Field</t>
  </si>
  <si>
    <t>rmap_registers_wr_o.aeb_gen_cfg_reserved_fb4.reserved &lt;= (others =&gt; '0');</t>
  </si>
  <si>
    <t>-- AEB General Configuration Area Register "RESERVED_FB8" : "RESERVED" Field</t>
  </si>
  <si>
    <t>rmap_registers_wr_o.aeb_gen_cfg_reserved_fb8.reserved &lt;= (others =&gt; '0');</t>
  </si>
  <si>
    <t>-- AEB General Configuration Area Register "RESERVED_FBC" : "RESERVED" Field</t>
  </si>
  <si>
    <t>rmap_registers_wr_o.aeb_gen_cfg_reserved_fbc.reserved &lt;= (others =&gt; '0');</t>
  </si>
  <si>
    <t>-- AEB General Configuration Area Register "RESERVED_FC0" : "RESERVED" Field</t>
  </si>
  <si>
    <t>rmap_registers_wr_o.aeb_gen_cfg_reserved_fc0.reserved &lt;= (others =&gt; '0');</t>
  </si>
  <si>
    <t>-- AEB General Configuration Area Register "RESERVED_FC4" : "RESERVED" Field</t>
  </si>
  <si>
    <t>rmap_registers_wr_o.aeb_gen_cfg_reserved_fc4.reserved &lt;= (others =&gt; '0');</t>
  </si>
  <si>
    <t>-- AEB General Configuration Area Register "RESERVED_FC8" : "RESERVED" Field</t>
  </si>
  <si>
    <t>rmap_registers_wr_o.aeb_gen_cfg_reserved_fc8.reserved &lt;= (others =&gt; '0');</t>
  </si>
  <si>
    <t>-- AEB General Configuration Area Register "RESERVED_FCC" : "RESERVED" Field</t>
  </si>
  <si>
    <t>rmap_registers_wr_o.aeb_gen_cfg_reserved_fcc.reserved &lt;= (others =&gt; '0');</t>
  </si>
  <si>
    <t>-- AEB General Configuration Area Register "RESERVED_FD0" : "RESERVED" Field</t>
  </si>
  <si>
    <t>rmap_registers_wr_o.aeb_gen_cfg_reserved_fd0.reserved &lt;= (others =&gt; '0');</t>
  </si>
  <si>
    <t>-- AEB General Configuration Area Register "RESERVED_FD4" : "RESERVED" Field</t>
  </si>
  <si>
    <t>rmap_registers_wr_o.aeb_gen_cfg_reserved_fd4.reserved &lt;= (others =&gt; '0');</t>
  </si>
  <si>
    <t>-- AEB General Configuration Area Register "RESERVED_FD8" : "RESERVED" Field</t>
  </si>
  <si>
    <t>rmap_registers_wr_o.aeb_gen_cfg_reserved_fd8.reserved &lt;= (others =&gt; '0');</t>
  </si>
  <si>
    <t>-- AEB General Configuration Area Register "RESERVED_FDC" : "RESERVED" Field</t>
  </si>
  <si>
    <t>rmap_registers_wr_o.aeb_gen_cfg_reserved_fdc.reserved &lt;= (others =&gt; '0');</t>
  </si>
  <si>
    <t>-- AEB General Configuration Area Register "RESERVED_FE0" : "RESERVED" Field</t>
  </si>
  <si>
    <t>rmap_registers_wr_o.aeb_gen_cfg_reserved_fe0.reserved &lt;= (others =&gt; '0');</t>
  </si>
  <si>
    <t>-- AEB General Configuration Area Register "RESERVED_FE4" : "RESERVED" Field</t>
  </si>
  <si>
    <t>rmap_registers_wr_o.aeb_gen_cfg_reserved_fe4.reserved &lt;= (others =&gt; '0');</t>
  </si>
  <si>
    <t>-- AEB General Configuration Area Register "RESERVED_FE8" : "RESERVED" Field</t>
  </si>
  <si>
    <t>rmap_registers_wr_o.aeb_gen_cfg_reserved_fe8.reserved &lt;= (others =&gt; '0');</t>
  </si>
  <si>
    <t>-- AEB General Configuration Area Register "RESERVED_FEC" : "RESERVED" Field</t>
  </si>
  <si>
    <t>rmap_registers_wr_o.aeb_gen_cfg_reserved_fec.reserved &lt;= (others =&gt; '0');</t>
  </si>
  <si>
    <t>-- AEB General Configuration Area Register "RESERVED_FF0" : "RESERVED" Field</t>
  </si>
  <si>
    <t>rmap_registers_wr_o.aeb_gen_cfg_reserved_ff0.reserved &lt;= (others =&gt; '0');</t>
  </si>
  <si>
    <t>-- AEB General Configuration Area Register "RESERVED_FF4" : "RESERVED" Field</t>
  </si>
  <si>
    <t>rmap_registers_wr_o.aeb_gen_cfg_reserved_ff4.reserved &lt;= (others =&gt; '0');</t>
  </si>
  <si>
    <t>-- AEB General Configuration Area Register "RESERVED_FF8" : "RESERVED" Field</t>
  </si>
  <si>
    <t>rmap_registers_wr_o.aeb_gen_cfg_reserved_ff8.reserved &lt;= (others =&gt; '0');</t>
  </si>
  <si>
    <t>-- AEB General Configuration Area Register "RESERVED_FFC" : "RESERVED" Field</t>
  </si>
  <si>
    <t>rmap_registers_wr_o.aeb_gen_cfg_reserved_ffc.reserved &lt;= (others =&gt; '0');</t>
  </si>
  <si>
    <t>-- AEB Housekeeping Area Register "AEB_STATUS" : "AEB_STATUS" Field</t>
  </si>
  <si>
    <t>rmap_registers_wr_o.aeb_hk_aeb_status.aeb_status &lt;= (others =&gt; '0');</t>
  </si>
  <si>
    <t>-- AEB Housekeeping Area Register "AEB_STATUS" : "VASP2_CFG_RUN" Field</t>
  </si>
  <si>
    <t>rmap_registers_wr_o.aeb_hk_aeb_status.vasp2_cfg_run &lt;= '0';</t>
  </si>
  <si>
    <t>-- AEB Housekeeping Area Register "AEB_STATUS" : "VASP1_CFG_RUN" Field</t>
  </si>
  <si>
    <t>rmap_registers_wr_o.aeb_hk_aeb_status.vasp1_cfg_run &lt;= '0';</t>
  </si>
  <si>
    <t>-- AEB Housekeeping Area Register "AEB_STATUS" : "DAC_CFG_WR_RUN" Field</t>
  </si>
  <si>
    <t>rmap_registers_wr_o.aeb_hk_aeb_status.dac_cfg_wr_run &lt;= '0';</t>
  </si>
  <si>
    <t>-- AEB Housekeeping Area Register "AEB_STATUS" : "ADC_CFG_RD_RUN" Field</t>
  </si>
  <si>
    <t>rmap_registers_wr_o.aeb_hk_aeb_status.adc_cfg_rd_run &lt;= '0';</t>
  </si>
  <si>
    <t>-- AEB Housekeeping Area Register "AEB_STATUS" : "ADC_CFG_WR_RUN" Field</t>
  </si>
  <si>
    <t>rmap_registers_wr_o.aeb_hk_aeb_status.adc_cfg_wr_run &lt;= '0';</t>
  </si>
  <si>
    <t>-- AEB Housekeeping Area Register "AEB_STATUS" : "ADC_DAT_RD_RUN" Field</t>
  </si>
  <si>
    <t>rmap_registers_wr_o.aeb_hk_aeb_status.adc_dat_rd_run &lt;= '0';</t>
  </si>
  <si>
    <t>-- AEB Housekeeping Area Register "AEB_STATUS" : "ADC_ERROR" Field</t>
  </si>
  <si>
    <t>rmap_registers_wr_o.aeb_hk_aeb_status.adc_error &lt;= '0';</t>
  </si>
  <si>
    <t>-- AEB Housekeeping Area Register "AEB_STATUS" : "ADC2_LU" Field</t>
  </si>
  <si>
    <t>rmap_registers_wr_o.aeb_hk_aeb_status.adc2_lu &lt;= '0';</t>
  </si>
  <si>
    <t>-- AEB Housekeeping Area Register "AEB_STATUS" : "ADC1_LU" Field</t>
  </si>
  <si>
    <t>rmap_registers_wr_o.aeb_hk_aeb_status.adc1_lu &lt;= '0';</t>
  </si>
  <si>
    <t>-- AEB Housekeeping Area Register "AEB_STATUS" : "ADC_DAT_RD" Field</t>
  </si>
  <si>
    <t>rmap_registers_wr_o.aeb_hk_aeb_status.adc_dat_rd &lt;= '0';</t>
  </si>
  <si>
    <t>-- AEB Housekeeping Area Register "AEB_STATUS" : "ADC_CFG_RD" Field</t>
  </si>
  <si>
    <t>rmap_registers_wr_o.aeb_hk_aeb_status.adc_cfg_rd &lt;= '0';</t>
  </si>
  <si>
    <t>-- AEB Housekeeping Area Register "AEB_STATUS" : "ADC_CFG_WR" Field</t>
  </si>
  <si>
    <t>rmap_registers_wr_o.aeb_hk_aeb_status.adc_cfg_wr &lt;= '0';</t>
  </si>
  <si>
    <t>-- AEB Housekeeping Area Register "AEB_STATUS" : "ADC2_BUSY" Field</t>
  </si>
  <si>
    <t>rmap_registers_wr_o.aeb_hk_aeb_status.adc2_busy &lt;= '0';</t>
  </si>
  <si>
    <t>-- AEB Housekeeping Area Register "AEB_STATUS" : "ADC1_BUSY" Field</t>
  </si>
  <si>
    <t>rmap_registers_wr_o.aeb_hk_aeb_status.adc1_busy &lt;= '0';</t>
  </si>
  <si>
    <t>-- AEB Housekeeping Area Register "TIMESTAMP_1" : "TIMESTAMP_DWORD_1" Field</t>
  </si>
  <si>
    <t>rmap_registers_wr_o.aeb_hk_timestamp_1.timestamp_dword_1 &lt;= (others =&gt; '0');</t>
  </si>
  <si>
    <t>-- AEB Housekeeping Area Register "TIMESTAMP_2" : "TIMESTAMP_DWORD_0" Field</t>
  </si>
  <si>
    <t>rmap_registers_wr_o.aeb_hk_timestamp_2.timestamp_dword_0 &lt;= (others =&gt; '0');</t>
  </si>
  <si>
    <t>-- AEB Housekeeping Area Register "ADC_RD_DATA_T_VASP_L" : "NEW" Field</t>
  </si>
  <si>
    <t>-- AEB Housekeeping Area Register "ADC_RD_DATA_T_VASP_L" : "OVF" Field</t>
  </si>
  <si>
    <t>rmap_registers_wr_o.aeb_hk_adc_rd_data_t_vasp_l.ovf &lt;= '0';</t>
  </si>
  <si>
    <t>-- AEB Housekeeping Area Register "ADC_RD_DATA_T_VASP_L" : "SUPPLY" Field</t>
  </si>
  <si>
    <t>rmap_registers_wr_o.aeb_hk_adc_rd_data_t_vasp_l.supply &lt;= '0';</t>
  </si>
  <si>
    <t>-- AEB Housekeeping Area Register "ADC_RD_DATA_T_VASP_L" : "CHID" Field</t>
  </si>
  <si>
    <t>rmap_registers_wr_o.aeb_hk_adc_rd_data_t_vasp_l.chid &lt;= (others =&gt; '0');</t>
  </si>
  <si>
    <t>-- AEB Housekeeping Area Register "ADC_RD_DATA_T_VASP_L" : "ADC_CHX_DATA_T_VASP_L" Field</t>
  </si>
  <si>
    <t>rmap_registers_wr_o.aeb_hk_adc_rd_data_t_vasp_l.adc_chx_data_t_vasp_l &lt;= (others =&gt; '0');</t>
  </si>
  <si>
    <t>-- AEB Housekeeping Area Register "ADC_RD_DATA_T_VASP_R" : "NEW" Field</t>
  </si>
  <si>
    <t>-- AEB Housekeeping Area Register "ADC_RD_DATA_T_VASP_R" : "OVF" Field</t>
  </si>
  <si>
    <t>rmap_registers_wr_o.aeb_hk_adc_rd_data_t_vasp_r.ovf &lt;= '0';</t>
  </si>
  <si>
    <t>-- AEB Housekeeping Area Register "ADC_RD_DATA_T_VASP_R" : "SUPPLY" Field</t>
  </si>
  <si>
    <t>rmap_registers_wr_o.aeb_hk_adc_rd_data_t_vasp_r.supply &lt;= '0';</t>
  </si>
  <si>
    <t>-- AEB Housekeeping Area Register "ADC_RD_DATA_T_VASP_R" : "CHID" Field</t>
  </si>
  <si>
    <t>rmap_registers_wr_o.aeb_hk_adc_rd_data_t_vasp_r.chid &lt;= (others =&gt; '0');</t>
  </si>
  <si>
    <t>-- AEB Housekeeping Area Register "ADC_RD_DATA_T_VASP_R" : "ADC_CHX_DATA_T_VASP_R" Field</t>
  </si>
  <si>
    <t>rmap_registers_wr_o.aeb_hk_adc_rd_data_t_vasp_r.adc_chx_data_t_vasp_r &lt;= (others =&gt; '0');</t>
  </si>
  <si>
    <t>-- AEB Housekeeping Area Register "ADC_RD_DATA_T_BIAS_P" : "NEW" Field</t>
  </si>
  <si>
    <t>-- AEB Housekeeping Area Register "ADC_RD_DATA_T_BIAS_P" : "OVF" Field</t>
  </si>
  <si>
    <t>rmap_registers_wr_o.aeb_hk_adc_rd_data_t_bias_p.ovf &lt;= '0';</t>
  </si>
  <si>
    <t>-- AEB Housekeeping Area Register "ADC_RD_DATA_T_BIAS_P" : "SUPPLY" Field</t>
  </si>
  <si>
    <t>rmap_registers_wr_o.aeb_hk_adc_rd_data_t_bias_p.supply &lt;= '0';</t>
  </si>
  <si>
    <t>-- AEB Housekeeping Area Register "ADC_RD_DATA_T_BIAS_P" : "CHID" Field</t>
  </si>
  <si>
    <t>rmap_registers_wr_o.aeb_hk_adc_rd_data_t_bias_p.chid &lt;= (others =&gt; '0');</t>
  </si>
  <si>
    <t>-- AEB Housekeeping Area Register "ADC_RD_DATA_T_BIAS_P" : "ADC_CHX_DATA_T_BIAS_P" Field</t>
  </si>
  <si>
    <t>rmap_registers_wr_o.aeb_hk_adc_rd_data_t_bias_p.adc_chx_data_t_bias_p &lt;= (others =&gt; '0');</t>
  </si>
  <si>
    <t>-- AEB Housekeeping Area Register "ADC_RD_DATA_T_HK_P" : "NEW" Field</t>
  </si>
  <si>
    <t>-- AEB Housekeeping Area Register "ADC_RD_DATA_T_HK_P" : "OVF" Field</t>
  </si>
  <si>
    <t>rmap_registers_wr_o.aeb_hk_adc_rd_data_t_hk_p.ovf &lt;= '0';</t>
  </si>
  <si>
    <t>-- AEB Housekeeping Area Register "ADC_RD_DATA_T_HK_P" : "SUPPLY" Field</t>
  </si>
  <si>
    <t>rmap_registers_wr_o.aeb_hk_adc_rd_data_t_hk_p.supply &lt;= '0';</t>
  </si>
  <si>
    <t>-- AEB Housekeeping Area Register "ADC_RD_DATA_T_HK_P" : "CHID" Field</t>
  </si>
  <si>
    <t>rmap_registers_wr_o.aeb_hk_adc_rd_data_t_hk_p.chid &lt;= (others =&gt; '0');</t>
  </si>
  <si>
    <t>-- AEB Housekeeping Area Register "ADC_RD_DATA_T_HK_P" : "ADC_CHX_DATA_T_HK_P" Field</t>
  </si>
  <si>
    <t>rmap_registers_wr_o.aeb_hk_adc_rd_data_t_hk_p.adc_chx_data_t_hk_p &lt;= (others =&gt; '0');</t>
  </si>
  <si>
    <t>-- AEB Housekeeping Area Register "ADC_RD_DATA_T_TOU_1_P" : "NEW" Field</t>
  </si>
  <si>
    <t>-- AEB Housekeeping Area Register "ADC_RD_DATA_T_TOU_1_P" : "OVF" Field</t>
  </si>
  <si>
    <t>rmap_registers_wr_o.aeb_hk_adc_rd_data_t_tou_1_p.ovf &lt;= '0';</t>
  </si>
  <si>
    <t>-- AEB Housekeeping Area Register "ADC_RD_DATA_T_TOU_1_P" : "SUPPLY" Field</t>
  </si>
  <si>
    <t>rmap_registers_wr_o.aeb_hk_adc_rd_data_t_tou_1_p.supply &lt;= '0';</t>
  </si>
  <si>
    <t>-- AEB Housekeeping Area Register "ADC_RD_DATA_T_TOU_1_P" : "CHID" Field</t>
  </si>
  <si>
    <t>rmap_registers_wr_o.aeb_hk_adc_rd_data_t_tou_1_p.chid &lt;= (others =&gt; '0');</t>
  </si>
  <si>
    <t>-- AEB Housekeeping Area Register "ADC_RD_DATA_T_TOU_1_P" : "ADC_CHX_DATA_T_TOU_1_P" Field</t>
  </si>
  <si>
    <t>rmap_registers_wr_o.aeb_hk_adc_rd_data_t_tou_1_p.adc_chx_data_t_tou_1_p &lt;= (others =&gt; '0');</t>
  </si>
  <si>
    <t>-- AEB Housekeeping Area Register "ADC_RD_DATA_T_TOU_2_P" : "NEW" Field</t>
  </si>
  <si>
    <t>-- AEB Housekeeping Area Register "ADC_RD_DATA_T_TOU_2_P" : "OVF" Field</t>
  </si>
  <si>
    <t>rmap_registers_wr_o.aeb_hk_adc_rd_data_t_tou_2_p.ovf &lt;= '0';</t>
  </si>
  <si>
    <t>-- AEB Housekeeping Area Register "ADC_RD_DATA_T_TOU_2_P" : "SUPPLY" Field</t>
  </si>
  <si>
    <t>rmap_registers_wr_o.aeb_hk_adc_rd_data_t_tou_2_p.supply &lt;= '0';</t>
  </si>
  <si>
    <t>-- AEB Housekeeping Area Register "ADC_RD_DATA_T_TOU_2_P" : "CHID" Field</t>
  </si>
  <si>
    <t>rmap_registers_wr_o.aeb_hk_adc_rd_data_t_tou_2_p.chid &lt;= (others =&gt; '0');</t>
  </si>
  <si>
    <t>-- AEB Housekeeping Area Register "ADC_RD_DATA_T_TOU_2_P" : "ADC_CHX_DATA_T_TOU_2_P" Field</t>
  </si>
  <si>
    <t>rmap_registers_wr_o.aeb_hk_adc_rd_data_t_tou_2_p.adc_chx_data_t_tou_2_p &lt;= (others =&gt; '0');</t>
  </si>
  <si>
    <t>-- AEB Housekeeping Area Register "ADC_RD_DATA_HK_VODE" : "NEW" Field</t>
  </si>
  <si>
    <t>-- AEB Housekeeping Area Register "ADC_RD_DATA_HK_VODE" : "OVF" Field</t>
  </si>
  <si>
    <t>rmap_registers_wr_o.aeb_hk_adc_rd_data_hk_vode.ovf &lt;= '0';</t>
  </si>
  <si>
    <t>-- AEB Housekeeping Area Register "ADC_RD_DATA_HK_VODE" : "SUPPLY" Field</t>
  </si>
  <si>
    <t>rmap_registers_wr_o.aeb_hk_adc_rd_data_hk_vode.supply &lt;= '0';</t>
  </si>
  <si>
    <t>-- AEB Housekeeping Area Register "ADC_RD_DATA_HK_VODE" : "CHID" Field</t>
  </si>
  <si>
    <t>rmap_registers_wr_o.aeb_hk_adc_rd_data_hk_vode.chid &lt;= (others =&gt; '0');</t>
  </si>
  <si>
    <t>-- AEB Housekeeping Area Register "ADC_RD_DATA_HK_VODE" : "ADC_CHX_DATA_HK_VODE" Field</t>
  </si>
  <si>
    <t>rmap_registers_wr_o.aeb_hk_adc_rd_data_hk_vode.adc_chx_data_hk_vode &lt;= (others =&gt; '0');</t>
  </si>
  <si>
    <t>-- AEB Housekeeping Area Register "ADC_RD_DATA_HK_VODF" : "NEW" Field</t>
  </si>
  <si>
    <t>-- AEB Housekeeping Area Register "ADC_RD_DATA_HK_VODF" : "OVF" Field</t>
  </si>
  <si>
    <t>rmap_registers_wr_o.aeb_hk_adc_rd_data_hk_vodf.ovf &lt;= '0';</t>
  </si>
  <si>
    <t>-- AEB Housekeeping Area Register "ADC_RD_DATA_HK_VODF" : "SUPPLY" Field</t>
  </si>
  <si>
    <t>rmap_registers_wr_o.aeb_hk_adc_rd_data_hk_vodf.supply &lt;= '0';</t>
  </si>
  <si>
    <t>-- AEB Housekeeping Area Register "ADC_RD_DATA_HK_VODF" : "CHID" Field</t>
  </si>
  <si>
    <t>rmap_registers_wr_o.aeb_hk_adc_rd_data_hk_vodf.chid &lt;= (others =&gt; '0');</t>
  </si>
  <si>
    <t>-- AEB Housekeeping Area Register "ADC_RD_DATA_HK_VODF" : "ADC_CHX_DATA_HK_VODF" Field</t>
  </si>
  <si>
    <t>rmap_registers_wr_o.aeb_hk_adc_rd_data_hk_vodf.adc_chx_data_hk_vodf &lt;= (others =&gt; '0');</t>
  </si>
  <si>
    <t>-- AEB Housekeeping Area Register "ADC_RD_DATA_HK_VRD" : "NEW" Field</t>
  </si>
  <si>
    <t>-- AEB Housekeeping Area Register "ADC_RD_DATA_HK_VRD" : "OVF" Field</t>
  </si>
  <si>
    <t>rmap_registers_wr_o.aeb_hk_adc_rd_data_hk_vrd.ovf &lt;= '0';</t>
  </si>
  <si>
    <t>-- AEB Housekeeping Area Register "ADC_RD_DATA_HK_VRD" : "SUPPLY" Field</t>
  </si>
  <si>
    <t>rmap_registers_wr_o.aeb_hk_adc_rd_data_hk_vrd.supply &lt;= '0';</t>
  </si>
  <si>
    <t>-- AEB Housekeeping Area Register "ADC_RD_DATA_HK_VRD" : "CHID" Field</t>
  </si>
  <si>
    <t>rmap_registers_wr_o.aeb_hk_adc_rd_data_hk_vrd.chid &lt;= (others =&gt; '0');</t>
  </si>
  <si>
    <t>-- AEB Housekeeping Area Register "ADC_RD_DATA_HK_VRD" : "ADC_CHX_DATA_HK_VRD" Field</t>
  </si>
  <si>
    <t>rmap_registers_wr_o.aeb_hk_adc_rd_data_hk_vrd.adc_chx_data_hk_vrd &lt;= (others =&gt; '0');</t>
  </si>
  <si>
    <t>-- AEB Housekeeping Area Register "ADC_RD_DATA_HK_VOG" : "NEW" Field</t>
  </si>
  <si>
    <t>-- AEB Housekeeping Area Register "ADC_RD_DATA_HK_VOG" : "OVF" Field</t>
  </si>
  <si>
    <t>rmap_registers_wr_o.aeb_hk_adc_rd_data_hk_vog.ovf &lt;= '0';</t>
  </si>
  <si>
    <t>-- AEB Housekeeping Area Register "ADC_RD_DATA_HK_VOG" : "SUPPLY" Field</t>
  </si>
  <si>
    <t>rmap_registers_wr_o.aeb_hk_adc_rd_data_hk_vog.supply &lt;= '0';</t>
  </si>
  <si>
    <t>-- AEB Housekeeping Area Register "ADC_RD_DATA_HK_VOG" : "CHID" Field</t>
  </si>
  <si>
    <t>rmap_registers_wr_o.aeb_hk_adc_rd_data_hk_vog.chid &lt;= (others =&gt; '0');</t>
  </si>
  <si>
    <t>-- AEB Housekeeping Area Register "ADC_RD_DATA_HK_VOG" : "ADC_CHX_DATA_HK_VOG" Field</t>
  </si>
  <si>
    <t>rmap_registers_wr_o.aeb_hk_adc_rd_data_hk_vog.adc_chx_data_hk_vog &lt;= (others =&gt; '0');</t>
  </si>
  <si>
    <t>-- AEB Housekeeping Area Register "ADC_RD_DATA_T_CCD" : "NEW" Field</t>
  </si>
  <si>
    <t>-- AEB Housekeeping Area Register "ADC_RD_DATA_T_CCD" : "OVF" Field</t>
  </si>
  <si>
    <t>rmap_registers_wr_o.aeb_hk_adc_rd_data_t_ccd.ovf &lt;= '0';</t>
  </si>
  <si>
    <t>-- AEB Housekeeping Area Register "ADC_RD_DATA_T_CCD" : "SUPPLY" Field</t>
  </si>
  <si>
    <t>rmap_registers_wr_o.aeb_hk_adc_rd_data_t_ccd.supply &lt;= '0';</t>
  </si>
  <si>
    <t>-- AEB Housekeeping Area Register "ADC_RD_DATA_T_CCD" : "CHID" Field</t>
  </si>
  <si>
    <t>rmap_registers_wr_o.aeb_hk_adc_rd_data_t_ccd.chid &lt;= (others =&gt; '0');</t>
  </si>
  <si>
    <t>-- AEB Housekeeping Area Register "ADC_RD_DATA_T_CCD" : "ADC_CHX_DATA_T_CCD" Field</t>
  </si>
  <si>
    <t>rmap_registers_wr_o.aeb_hk_adc_rd_data_t_ccd.adc_chx_data_t_ccd &lt;= (others =&gt; '0');</t>
  </si>
  <si>
    <t>-- AEB Housekeeping Area Register "ADC_RD_DATA_T_REF1K_MEA" : "NEW" Field</t>
  </si>
  <si>
    <t>-- AEB Housekeeping Area Register "ADC_RD_DATA_T_REF1K_MEA" : "OVF" Field</t>
  </si>
  <si>
    <t>rmap_registers_wr_o.aeb_hk_adc_rd_data_t_ref1k_mea.ovf &lt;= '0';</t>
  </si>
  <si>
    <t>-- AEB Housekeeping Area Register "ADC_RD_DATA_T_REF1K_MEA" : "SUPPLY" Field</t>
  </si>
  <si>
    <t>rmap_registers_wr_o.aeb_hk_adc_rd_data_t_ref1k_mea.supply &lt;= '0';</t>
  </si>
  <si>
    <t>-- AEB Housekeeping Area Register "ADC_RD_DATA_T_REF1K_MEA" : "CHID" Field</t>
  </si>
  <si>
    <t>rmap_registers_wr_o.aeb_hk_adc_rd_data_t_ref1k_mea.chid &lt;= (others =&gt; '0');</t>
  </si>
  <si>
    <t>-- AEB Housekeeping Area Register "ADC_RD_DATA_T_REF1K_MEA" : "ADC_CHX_DATA_T_REF1K_MEA" Field</t>
  </si>
  <si>
    <t>rmap_registers_wr_o.aeb_hk_adc_rd_data_t_ref1k_mea.adc_chx_data_t_ref1k_mea &lt;= (others =&gt; '0');</t>
  </si>
  <si>
    <t>-- AEB Housekeeping Area Register "ADC_RD_DATA_T_REF649R_MEA" : "NEW" Field</t>
  </si>
  <si>
    <t>-- AEB Housekeeping Area Register "ADC_RD_DATA_T_REF649R_MEA" : "OVF" Field</t>
  </si>
  <si>
    <t>rmap_registers_wr_o.aeb_hk_adc_rd_data_t_ref649r_mea.ovf &lt;= '0';</t>
  </si>
  <si>
    <t>-- AEB Housekeeping Area Register "ADC_RD_DATA_T_REF649R_MEA" : "SUPPLY" Field</t>
  </si>
  <si>
    <t>rmap_registers_wr_o.aeb_hk_adc_rd_data_t_ref649r_mea.supply &lt;= '0';</t>
  </si>
  <si>
    <t>-- AEB Housekeeping Area Register "ADC_RD_DATA_T_REF649R_MEA" : "CHID" Field</t>
  </si>
  <si>
    <t>rmap_registers_wr_o.aeb_hk_adc_rd_data_t_ref649r_mea.chid &lt;= (others =&gt; '0');</t>
  </si>
  <si>
    <t>-- AEB Housekeeping Area Register "ADC_RD_DATA_T_REF649R_MEA" : "ADC_CHX_DATA_T_REF649R_MEA" Field</t>
  </si>
  <si>
    <t>rmap_registers_wr_o.aeb_hk_adc_rd_data_t_ref649r_mea.adc_chx_data_t_ref649r_mea &lt;= (others =&gt; '0');</t>
  </si>
  <si>
    <t>-- AEB Housekeeping Area Register "ADC_RD_DATA_HK_ANA_N5V" : "NEW" Field</t>
  </si>
  <si>
    <t>-- AEB Housekeeping Area Register "ADC_RD_DATA_HK_ANA_N5V" : "OVF" Field</t>
  </si>
  <si>
    <t>rmap_registers_wr_o.aeb_hk_adc_rd_data_hk_ana_n5v.ovf &lt;= '0';</t>
  </si>
  <si>
    <t>-- AEB Housekeeping Area Register "ADC_RD_DATA_HK_ANA_N5V" : "SUPPLY" Field</t>
  </si>
  <si>
    <t>rmap_registers_wr_o.aeb_hk_adc_rd_data_hk_ana_n5v.supply &lt;= '0';</t>
  </si>
  <si>
    <t>-- AEB Housekeeping Area Register "ADC_RD_DATA_HK_ANA_N5V" : "CHID" Field</t>
  </si>
  <si>
    <t>rmap_registers_wr_o.aeb_hk_adc_rd_data_hk_ana_n5v.chid &lt;= (others =&gt; '0');</t>
  </si>
  <si>
    <t>-- AEB Housekeeping Area Register "ADC_RD_DATA_HK_ANA_N5V" : "ADC_CHX_DATA_HK_ANA_N5V" Field</t>
  </si>
  <si>
    <t>rmap_registers_wr_o.aeb_hk_adc_rd_data_hk_ana_n5v.adc_chx_data_hk_ana_n5v &lt;= (others =&gt; '0');</t>
  </si>
  <si>
    <t>-- AEB Housekeeping Area Register "ADC_RD_DATA_S_REF" : "NEW" Field</t>
  </si>
  <si>
    <t>-- AEB Housekeeping Area Register "ADC_RD_DATA_S_REF" : "OVF" Field</t>
  </si>
  <si>
    <t>rmap_registers_wr_o.aeb_hk_adc_rd_data_s_ref.ovf &lt;= '0';</t>
  </si>
  <si>
    <t>-- AEB Housekeeping Area Register "ADC_RD_DATA_S_REF" : "SUPPLY" Field</t>
  </si>
  <si>
    <t>rmap_registers_wr_o.aeb_hk_adc_rd_data_s_ref.supply &lt;= '0';</t>
  </si>
  <si>
    <t>-- AEB Housekeeping Area Register "ADC_RD_DATA_S_REF" : "CHID" Field</t>
  </si>
  <si>
    <t>rmap_registers_wr_o.aeb_hk_adc_rd_data_s_ref.chid &lt;= (others =&gt; '0');</t>
  </si>
  <si>
    <t>-- AEB Housekeeping Area Register "ADC_RD_DATA_S_REF" : "ADC_CHX_DATA_S_REF" Field</t>
  </si>
  <si>
    <t>rmap_registers_wr_o.aeb_hk_adc_rd_data_s_ref.adc_chx_data_s_ref &lt;= (others =&gt; '0');</t>
  </si>
  <si>
    <t>-- AEB Housekeeping Area Register "ADC_RD_DATA_HK_CCD_P31V" : "NEW" Field</t>
  </si>
  <si>
    <t>-- AEB Housekeeping Area Register "ADC_RD_DATA_HK_CCD_P31V" : "OVF" Field</t>
  </si>
  <si>
    <t>rmap_registers_wr_o.aeb_hk_adc_rd_data_hk_ccd_p31v.ovf &lt;= '0';</t>
  </si>
  <si>
    <t>-- AEB Housekeeping Area Register "ADC_RD_DATA_HK_CCD_P31V" : "SUPPLY" Field</t>
  </si>
  <si>
    <t>rmap_registers_wr_o.aeb_hk_adc_rd_data_hk_ccd_p31v.supply &lt;= '0';</t>
  </si>
  <si>
    <t>-- AEB Housekeeping Area Register "ADC_RD_DATA_HK_CCD_P31V" : "CHID" Field</t>
  </si>
  <si>
    <t>rmap_registers_wr_o.aeb_hk_adc_rd_data_hk_ccd_p31v.chid &lt;= (others =&gt; '0');</t>
  </si>
  <si>
    <t>-- AEB Housekeeping Area Register "ADC_RD_DATA_HK_CCD_P31V" : "ADC_CHX_DATA_HK_CCD_P31V" Field</t>
  </si>
  <si>
    <t>rmap_registers_wr_o.aeb_hk_adc_rd_data_hk_ccd_p31v.adc_chx_data_hk_ccd_p31v &lt;= (others =&gt; '0');</t>
  </si>
  <si>
    <t>-- AEB Housekeeping Area Register "ADC_RD_DATA_HK_CLK_P15V" : "NEW" Field</t>
  </si>
  <si>
    <t>-- AEB Housekeeping Area Register "ADC_RD_DATA_HK_CLK_P15V" : "OVF" Field</t>
  </si>
  <si>
    <t>rmap_registers_wr_o.aeb_hk_adc_rd_data_hk_clk_p15v.ovf &lt;= '0';</t>
  </si>
  <si>
    <t>-- AEB Housekeeping Area Register "ADC_RD_DATA_HK_CLK_P15V" : "SUPPLY" Field</t>
  </si>
  <si>
    <t>rmap_registers_wr_o.aeb_hk_adc_rd_data_hk_clk_p15v.supply &lt;= '0';</t>
  </si>
  <si>
    <t>-- AEB Housekeeping Area Register "ADC_RD_DATA_HK_CLK_P15V" : "CHID" Field</t>
  </si>
  <si>
    <t>rmap_registers_wr_o.aeb_hk_adc_rd_data_hk_clk_p15v.chid &lt;= (others =&gt; '0');</t>
  </si>
  <si>
    <t>-- AEB Housekeeping Area Register "ADC_RD_DATA_HK_CLK_P15V" : "ADC_CHX_DATA_HK_CLK_P15V" Field</t>
  </si>
  <si>
    <t>rmap_registers_wr_o.aeb_hk_adc_rd_data_hk_clk_p15v.adc_chx_data_hk_clk_p15v &lt;= (others =&gt; '0');</t>
  </si>
  <si>
    <t>-- AEB Housekeeping Area Register "ADC_RD_DATA_HK_ANA_P5V" : "NEW" Field</t>
  </si>
  <si>
    <t>-- AEB Housekeeping Area Register "ADC_RD_DATA_HK_ANA_P5V" : "OVF" Field</t>
  </si>
  <si>
    <t>rmap_registers_wr_o.aeb_hk_adc_rd_data_hk_ana_p5v.ovf &lt;= '0';</t>
  </si>
  <si>
    <t>-- AEB Housekeeping Area Register "ADC_RD_DATA_HK_ANA_P5V" : "SUPPLY" Field</t>
  </si>
  <si>
    <t>rmap_registers_wr_o.aeb_hk_adc_rd_data_hk_ana_p5v.supply &lt;= '0';</t>
  </si>
  <si>
    <t>-- AEB Housekeeping Area Register "ADC_RD_DATA_HK_ANA_P5V" : "CHID" Field</t>
  </si>
  <si>
    <t>rmap_registers_wr_o.aeb_hk_adc_rd_data_hk_ana_p5v.chid &lt;= (others =&gt; '0');</t>
  </si>
  <si>
    <t>-- AEB Housekeeping Area Register "ADC_RD_DATA_HK_ANA_P5V" : "ADC_CHX_DATA_HK_ANA_P5V" Field</t>
  </si>
  <si>
    <t>rmap_registers_wr_o.aeb_hk_adc_rd_data_hk_ana_p5v.adc_chx_data_hk_ana_p5v &lt;= (others =&gt; '0');</t>
  </si>
  <si>
    <t>-- AEB Housekeeping Area Register "ADC_RD_DATA_HK_ANA_P3V3" : "NEW" Field</t>
  </si>
  <si>
    <t>-- AEB Housekeeping Area Register "ADC_RD_DATA_HK_ANA_P3V3" : "OVF" Field</t>
  </si>
  <si>
    <t>rmap_registers_wr_o.aeb_hk_adc_rd_data_hk_ana_p3v3.ovf &lt;= '0';</t>
  </si>
  <si>
    <t>-- AEB Housekeeping Area Register "ADC_RD_DATA_HK_ANA_P3V3" : "SUPPLY" Field</t>
  </si>
  <si>
    <t>rmap_registers_wr_o.aeb_hk_adc_rd_data_hk_ana_p3v3.supply &lt;= '0';</t>
  </si>
  <si>
    <t>-- AEB Housekeeping Area Register "ADC_RD_DATA_HK_ANA_P3V3" : "CHID" Field</t>
  </si>
  <si>
    <t>rmap_registers_wr_o.aeb_hk_adc_rd_data_hk_ana_p3v3.chid &lt;= (others =&gt; '0');</t>
  </si>
  <si>
    <t>-- AEB Housekeeping Area Register "ADC_RD_DATA_HK_ANA_P3V3" : "ADC_CHX_DATA_HK_ANA_P3V3" Field</t>
  </si>
  <si>
    <t>rmap_registers_wr_o.aeb_hk_adc_rd_data_hk_ana_p3v3.adc_chx_data_hk_ana_p3v3 &lt;= (others =&gt; '0');</t>
  </si>
  <si>
    <t>-- AEB Housekeeping Area Register "ADC_RD_DATA_HK_DIG_P3V3" : "NEW" Field</t>
  </si>
  <si>
    <t>-- AEB Housekeeping Area Register "ADC_RD_DATA_HK_DIG_P3V3" : "OVF" Field</t>
  </si>
  <si>
    <t>rmap_registers_wr_o.aeb_hk_adc_rd_data_hk_dig_p3v3.ovf &lt;= '0';</t>
  </si>
  <si>
    <t>-- AEB Housekeeping Area Register "ADC_RD_DATA_HK_DIG_P3V3" : "SUPPLY" Field</t>
  </si>
  <si>
    <t>rmap_registers_wr_o.aeb_hk_adc_rd_data_hk_dig_p3v3.supply &lt;= '0';</t>
  </si>
  <si>
    <t>-- AEB Housekeeping Area Register "ADC_RD_DATA_HK_DIG_P3V3" : "CHID" Field</t>
  </si>
  <si>
    <t>rmap_registers_wr_o.aeb_hk_adc_rd_data_hk_dig_p3v3.chid &lt;= (others =&gt; '0');</t>
  </si>
  <si>
    <t>-- AEB Housekeeping Area Register "ADC_RD_DATA_HK_DIG_P3V3" : "ADC_CHX_DATA_HK_DIG_P3V3" Field</t>
  </si>
  <si>
    <t>rmap_registers_wr_o.aeb_hk_adc_rd_data_hk_dig_p3v3.adc_chx_data_hk_dig_p3v3 &lt;= (others =&gt; '0');</t>
  </si>
  <si>
    <t>-- AEB Housekeeping Area Register "ADC_RD_DATA_ADC_REF_BUF_2" : "NEW" Field</t>
  </si>
  <si>
    <t>-- AEB Housekeeping Area Register "ADC_RD_DATA_ADC_REF_BUF_2" : "OVF" Field</t>
  </si>
  <si>
    <t>rmap_registers_wr_o.aeb_hk_adc_rd_data_adc_ref_buf_2.ovf &lt;= '0';</t>
  </si>
  <si>
    <t>-- AEB Housekeeping Area Register "ADC_RD_DATA_ADC_REF_BUF_2" : "SUPPLY" Field</t>
  </si>
  <si>
    <t>rmap_registers_wr_o.aeb_hk_adc_rd_data_adc_ref_buf_2.supply &lt;= '0';</t>
  </si>
  <si>
    <t>-- AEB Housekeeping Area Register "ADC_RD_DATA_ADC_REF_BUF_2" : "CHID" Field</t>
  </si>
  <si>
    <t>rmap_registers_wr_o.aeb_hk_adc_rd_data_adc_ref_buf_2.chid &lt;= (others =&gt; '0');</t>
  </si>
  <si>
    <t>-- AEB Housekeeping Area Register "ADC_RD_DATA_ADC_REF_BUF_2" : "ADC_CHX_DATA_ADC_REF_BUF_2" Field</t>
  </si>
  <si>
    <t>rmap_registers_wr_o.aeb_hk_adc_rd_data_adc_ref_buf_2.adc_chx_data_adc_ref_buf_2 &lt;= (others =&gt; '0');</t>
  </si>
  <si>
    <t>-- AEB Housekeeping Area Register "ADC1_RD_CONFIG_1" : "SPIRST" Field</t>
  </si>
  <si>
    <t>rmap_registers_wr_o.aeb_hk_adc1_rd_config_1.spirst &lt;= '0';</t>
  </si>
  <si>
    <t>-- AEB Housekeeping Area Register "ADC1_RD_CONFIG_1" : "MUXMOD" Field</t>
  </si>
  <si>
    <t>rmap_registers_wr_o.aeb_hk_adc1_rd_config_1.muxmod &lt;= '0';</t>
  </si>
  <si>
    <t>-- AEB Housekeeping Area Register "ADC1_RD_CONFIG_1" : "BYPAS" Field</t>
  </si>
  <si>
    <t>rmap_registers_wr_o.aeb_hk_adc1_rd_config_1.bypas &lt;= '0';</t>
  </si>
  <si>
    <t>-- AEB Housekeeping Area Register "ADC1_RD_CONFIG_1" : "CLKENB" Field</t>
  </si>
  <si>
    <t>rmap_registers_wr_o.aeb_hk_adc1_rd_config_1.clkenb &lt;= '0';</t>
  </si>
  <si>
    <t>-- AEB Housekeeping Area Register "ADC1_RD_CONFIG_1" : "CHOP" Field</t>
  </si>
  <si>
    <t>rmap_registers_wr_o.aeb_hk_adc1_rd_config_1.chop &lt;= '0';</t>
  </si>
  <si>
    <t>-- AEB Housekeeping Area Register "ADC1_RD_CONFIG_1" : "STAT" Field</t>
  </si>
  <si>
    <t>rmap_registers_wr_o.aeb_hk_adc1_rd_config_1.stat &lt;= '0';</t>
  </si>
  <si>
    <t>-- AEB Housekeeping Area Register "ADC1_RD_CONFIG_1" : "IDLMOD" Field</t>
  </si>
  <si>
    <t>rmap_registers_wr_o.aeb_hk_adc1_rd_config_1.idlmod &lt;= '0';</t>
  </si>
  <si>
    <t>-- AEB Housekeeping Area Register "ADC1_RD_CONFIG_1" : "DLY2" Field</t>
  </si>
  <si>
    <t>rmap_registers_wr_o.aeb_hk_adc1_rd_config_1.dly2 &lt;= '0';</t>
  </si>
  <si>
    <t>-- AEB Housekeeping Area Register "ADC1_RD_CONFIG_1" : "DLY1" Field</t>
  </si>
  <si>
    <t>rmap_registers_wr_o.aeb_hk_adc1_rd_config_1.dly1 &lt;= '0';</t>
  </si>
  <si>
    <t>-- AEB Housekeeping Area Register "ADC1_RD_CONFIG_1" : "DLY0" Field</t>
  </si>
  <si>
    <t>rmap_registers_wr_o.aeb_hk_adc1_rd_config_1.dly0 &lt;= '0';</t>
  </si>
  <si>
    <t>-- AEB Housekeeping Area Register "ADC1_RD_CONFIG_1" : "SBCS1" Field</t>
  </si>
  <si>
    <t>rmap_registers_wr_o.aeb_hk_adc1_rd_config_1.sbcs1 &lt;= '0';</t>
  </si>
  <si>
    <t>-- AEB Housekeeping Area Register "ADC1_RD_CONFIG_1" : "SBCS0" Field</t>
  </si>
  <si>
    <t>rmap_registers_wr_o.aeb_hk_adc1_rd_config_1.sbcs0 &lt;= '0';</t>
  </si>
  <si>
    <t>-- AEB Housekeeping Area Register "ADC1_RD_CONFIG_1" : "DRATE1" Field</t>
  </si>
  <si>
    <t>rmap_registers_wr_o.aeb_hk_adc1_rd_config_1.drate1 &lt;= '0';</t>
  </si>
  <si>
    <t>-- AEB Housekeeping Area Register "ADC1_RD_CONFIG_1" : "DRATE0" Field</t>
  </si>
  <si>
    <t>rmap_registers_wr_o.aeb_hk_adc1_rd_config_1.drate0 &lt;= '0';</t>
  </si>
  <si>
    <t>-- AEB Housekeeping Area Register "ADC1_RD_CONFIG_1" : "AINP3" Field</t>
  </si>
  <si>
    <t>rmap_registers_wr_o.aeb_hk_adc1_rd_config_1.ainp3 &lt;= '0';</t>
  </si>
  <si>
    <t>-- AEB Housekeeping Area Register "ADC1_RD_CONFIG_1" : "AINP2" Field</t>
  </si>
  <si>
    <t>rmap_registers_wr_o.aeb_hk_adc1_rd_config_1.ainp2 &lt;= '0';</t>
  </si>
  <si>
    <t>-- AEB Housekeeping Area Register "ADC1_RD_CONFIG_1" : "AINP1" Field</t>
  </si>
  <si>
    <t>rmap_registers_wr_o.aeb_hk_adc1_rd_config_1.ainp1 &lt;= '0';</t>
  </si>
  <si>
    <t>-- AEB Housekeeping Area Register "ADC1_RD_CONFIG_1" : "AINP0" Field</t>
  </si>
  <si>
    <t>rmap_registers_wr_o.aeb_hk_adc1_rd_config_1.ainp0 &lt;= '0';</t>
  </si>
  <si>
    <t>-- AEB Housekeeping Area Register "ADC1_RD_CONFIG_1" : "AINN3" Field</t>
  </si>
  <si>
    <t>rmap_registers_wr_o.aeb_hk_adc1_rd_config_1.ainn3 &lt;= '0';</t>
  </si>
  <si>
    <t>-- AEB Housekeeping Area Register "ADC1_RD_CONFIG_1" : "AINN2" Field</t>
  </si>
  <si>
    <t>rmap_registers_wr_o.aeb_hk_adc1_rd_config_1.ainn2 &lt;= '0';</t>
  </si>
  <si>
    <t>-- AEB Housekeeping Area Register "ADC1_RD_CONFIG_1" : "AINN1" Field</t>
  </si>
  <si>
    <t>rmap_registers_wr_o.aeb_hk_adc1_rd_config_1.ainn1 &lt;= '0';</t>
  </si>
  <si>
    <t>-- AEB Housekeeping Area Register "ADC1_RD_CONFIG_1" : "AINN0" Field</t>
  </si>
  <si>
    <t>rmap_registers_wr_o.aeb_hk_adc1_rd_config_1.ainn0 &lt;= '0';</t>
  </si>
  <si>
    <t>-- AEB Housekeeping Area Register "ADC1_RD_CONFIG_1" : "DIFF7" Field</t>
  </si>
  <si>
    <t>rmap_registers_wr_o.aeb_hk_adc1_rd_config_1.diff7 &lt;= '0';</t>
  </si>
  <si>
    <t>-- AEB Housekeeping Area Register "ADC1_RD_CONFIG_1" : "DIFF6" Field</t>
  </si>
  <si>
    <t>rmap_registers_wr_o.aeb_hk_adc1_rd_config_1.diff6 &lt;= '0';</t>
  </si>
  <si>
    <t>-- AEB Housekeeping Area Register "ADC1_RD_CONFIG_1" : "DIFF5" Field</t>
  </si>
  <si>
    <t>rmap_registers_wr_o.aeb_hk_adc1_rd_config_1.diff5 &lt;= '0';</t>
  </si>
  <si>
    <t>-- AEB Housekeeping Area Register "ADC1_RD_CONFIG_1" : "DIFF4" Field</t>
  </si>
  <si>
    <t>rmap_registers_wr_o.aeb_hk_adc1_rd_config_1.diff4 &lt;= '0';</t>
  </si>
  <si>
    <t>-- AEB Housekeeping Area Register "ADC1_RD_CONFIG_1" : "DIFF3" Field</t>
  </si>
  <si>
    <t>rmap_registers_wr_o.aeb_hk_adc1_rd_config_1.diff3 &lt;= '0';</t>
  </si>
  <si>
    <t>-- AEB Housekeeping Area Register "ADC1_RD_CONFIG_1" : "DIFF2" Field</t>
  </si>
  <si>
    <t>rmap_registers_wr_o.aeb_hk_adc1_rd_config_1.diff2 &lt;= '0';</t>
  </si>
  <si>
    <t>-- AEB Housekeeping Area Register "ADC1_RD_CONFIG_1" : "DIFF1" Field</t>
  </si>
  <si>
    <t>rmap_registers_wr_o.aeb_hk_adc1_rd_config_1.diff1 &lt;= '0';</t>
  </si>
  <si>
    <t>-- AEB Housekeeping Area Register "ADC1_RD_CONFIG_1" : "DIFF0" Field</t>
  </si>
  <si>
    <t>rmap_registers_wr_o.aeb_hk_adc1_rd_config_1.diff0 &lt;= '0';</t>
  </si>
  <si>
    <t>-- AEB Housekeeping Area Register "ADC1_RD_CONFIG_2" : "AIN7" Field</t>
  </si>
  <si>
    <t>rmap_registers_wr_o.aeb_hk_adc1_rd_config_2.ain7 &lt;= '0';</t>
  </si>
  <si>
    <t>-- AEB Housekeeping Area Register "ADC1_RD_CONFIG_2" : "AIN6" Field</t>
  </si>
  <si>
    <t>rmap_registers_wr_o.aeb_hk_adc1_rd_config_2.ain6 &lt;= '0';</t>
  </si>
  <si>
    <t>-- AEB Housekeeping Area Register "ADC1_RD_CONFIG_2" : "AIN5" Field</t>
  </si>
  <si>
    <t>rmap_registers_wr_o.aeb_hk_adc1_rd_config_2.ain5 &lt;= '0';</t>
  </si>
  <si>
    <t>-- AEB Housekeeping Area Register "ADC1_RD_CONFIG_2" : "AIN4" Field</t>
  </si>
  <si>
    <t>rmap_registers_wr_o.aeb_hk_adc1_rd_config_2.ain4 &lt;= '0';</t>
  </si>
  <si>
    <t>-- AEB Housekeeping Area Register "ADC1_RD_CONFIG_2" : "AIN3" Field</t>
  </si>
  <si>
    <t>rmap_registers_wr_o.aeb_hk_adc1_rd_config_2.ain3 &lt;= '0';</t>
  </si>
  <si>
    <t>-- AEB Housekeeping Area Register "ADC1_RD_CONFIG_2" : "AIN2" Field</t>
  </si>
  <si>
    <t>rmap_registers_wr_o.aeb_hk_adc1_rd_config_2.ain2 &lt;= '0';</t>
  </si>
  <si>
    <t>-- AEB Housekeeping Area Register "ADC1_RD_CONFIG_2" : "AIN1" Field</t>
  </si>
  <si>
    <t>rmap_registers_wr_o.aeb_hk_adc1_rd_config_2.ain1 &lt;= '0';</t>
  </si>
  <si>
    <t>-- AEB Housekeeping Area Register "ADC1_RD_CONFIG_2" : "AIN0" Field</t>
  </si>
  <si>
    <t>rmap_registers_wr_o.aeb_hk_adc1_rd_config_2.ain0 &lt;= '0';</t>
  </si>
  <si>
    <t>-- AEB Housekeeping Area Register "ADC1_RD_CONFIG_2" : "AIN15" Field</t>
  </si>
  <si>
    <t>rmap_registers_wr_o.aeb_hk_adc1_rd_config_2.ain15 &lt;= '0';</t>
  </si>
  <si>
    <t>-- AEB Housekeeping Area Register "ADC1_RD_CONFIG_2" : "AIN14" Field</t>
  </si>
  <si>
    <t>rmap_registers_wr_o.aeb_hk_adc1_rd_config_2.ain14 &lt;= '0';</t>
  </si>
  <si>
    <t>-- AEB Housekeeping Area Register "ADC1_RD_CONFIG_2" : "AIN13" Field</t>
  </si>
  <si>
    <t>rmap_registers_wr_o.aeb_hk_adc1_rd_config_2.ain13 &lt;= '0';</t>
  </si>
  <si>
    <t>-- AEB Housekeeping Area Register "ADC1_RD_CONFIG_2" : "AIN12" Field</t>
  </si>
  <si>
    <t>rmap_registers_wr_o.aeb_hk_adc1_rd_config_2.ain12 &lt;= '0';</t>
  </si>
  <si>
    <t>-- AEB Housekeeping Area Register "ADC1_RD_CONFIG_2" : "AIN11" Field</t>
  </si>
  <si>
    <t>rmap_registers_wr_o.aeb_hk_adc1_rd_config_2.ain11 &lt;= '0';</t>
  </si>
  <si>
    <t>-- AEB Housekeeping Area Register "ADC1_RD_CONFIG_2" : "AIN10" Field</t>
  </si>
  <si>
    <t>rmap_registers_wr_o.aeb_hk_adc1_rd_config_2.ain10 &lt;= '0';</t>
  </si>
  <si>
    <t>-- AEB Housekeeping Area Register "ADC1_RD_CONFIG_2" : "AIN9" Field</t>
  </si>
  <si>
    <t>rmap_registers_wr_o.aeb_hk_adc1_rd_config_2.ain9 &lt;= '0';</t>
  </si>
  <si>
    <t>-- AEB Housekeeping Area Register "ADC1_RD_CONFIG_2" : "AIN8" Field</t>
  </si>
  <si>
    <t>rmap_registers_wr_o.aeb_hk_adc1_rd_config_2.ain8 &lt;= '0';</t>
  </si>
  <si>
    <t>-- AEB Housekeeping Area Register "ADC1_RD_CONFIG_2" : "REF" Field</t>
  </si>
  <si>
    <t>rmap_registers_wr_o.aeb_hk_adc1_rd_config_2.ref &lt;= '0';</t>
  </si>
  <si>
    <t>-- AEB Housekeeping Area Register "ADC1_RD_CONFIG_2" : "GAIN" Field</t>
  </si>
  <si>
    <t>rmap_registers_wr_o.aeb_hk_adc1_rd_config_2.gain &lt;= '0';</t>
  </si>
  <si>
    <t>-- AEB Housekeeping Area Register "ADC1_RD_CONFIG_2" : "TEMP" Field</t>
  </si>
  <si>
    <t>rmap_registers_wr_o.aeb_hk_adc1_rd_config_2.temp &lt;= '0';</t>
  </si>
  <si>
    <t>-- AEB Housekeeping Area Register "ADC1_RD_CONFIG_2" : "VCC" Field</t>
  </si>
  <si>
    <t>rmap_registers_wr_o.aeb_hk_adc1_rd_config_2.vcc &lt;= '0';</t>
  </si>
  <si>
    <t>-- AEB Housekeeping Area Register "ADC1_RD_CONFIG_2" : "OFFSET" Field</t>
  </si>
  <si>
    <t>rmap_registers_wr_o.aeb_hk_adc1_rd_config_2.offset &lt;= '0';</t>
  </si>
  <si>
    <t>-- AEB Housekeeping Area Register "ADC1_RD_CONFIG_2" : "CIO7" Field</t>
  </si>
  <si>
    <t>rmap_registers_wr_o.aeb_hk_adc1_rd_config_2.cio7 &lt;= '0';</t>
  </si>
  <si>
    <t>-- AEB Housekeeping Area Register "ADC1_RD_CONFIG_2" : "CIO6" Field</t>
  </si>
  <si>
    <t>rmap_registers_wr_o.aeb_hk_adc1_rd_config_2.cio6 &lt;= '0';</t>
  </si>
  <si>
    <t>-- AEB Housekeeping Area Register "ADC1_RD_CONFIG_2" : "CIO5" Field</t>
  </si>
  <si>
    <t>rmap_registers_wr_o.aeb_hk_adc1_rd_config_2.cio5 &lt;= '0';</t>
  </si>
  <si>
    <t>-- AEB Housekeeping Area Register "ADC1_RD_CONFIG_2" : "CIO4" Field</t>
  </si>
  <si>
    <t>rmap_registers_wr_o.aeb_hk_adc1_rd_config_2.cio4 &lt;= '0';</t>
  </si>
  <si>
    <t>-- AEB Housekeeping Area Register "ADC1_RD_CONFIG_2" : "CIO3" Field</t>
  </si>
  <si>
    <t>rmap_registers_wr_o.aeb_hk_adc1_rd_config_2.cio3 &lt;= '0';</t>
  </si>
  <si>
    <t>-- AEB Housekeeping Area Register "ADC1_RD_CONFIG_2" : "CIO2" Field</t>
  </si>
  <si>
    <t>rmap_registers_wr_o.aeb_hk_adc1_rd_config_2.cio2 &lt;= '0';</t>
  </si>
  <si>
    <t>-- AEB Housekeeping Area Register "ADC1_RD_CONFIG_2" : "CIO1" Field</t>
  </si>
  <si>
    <t>rmap_registers_wr_o.aeb_hk_adc1_rd_config_2.cio1 &lt;= '0';</t>
  </si>
  <si>
    <t>-- AEB Housekeeping Area Register "ADC1_RD_CONFIG_2" : "CIO0" Field</t>
  </si>
  <si>
    <t>rmap_registers_wr_o.aeb_hk_adc1_rd_config_2.cio0 &lt;= '0';</t>
  </si>
  <si>
    <t>-- AEB Housekeeping Area Register "ADC1_RD_CONFIG_3" : "DIO7" Field</t>
  </si>
  <si>
    <t>rmap_registers_wr_o.aeb_hk_adc1_rd_config_3.dio7 &lt;= '0';</t>
  </si>
  <si>
    <t>-- AEB Housekeeping Area Register "ADC1_RD_CONFIG_3" : "DIO6" Field</t>
  </si>
  <si>
    <t>rmap_registers_wr_o.aeb_hk_adc1_rd_config_3.dio6 &lt;= '0';</t>
  </si>
  <si>
    <t>-- AEB Housekeeping Area Register "ADC1_RD_CONFIG_3" : "DIO5" Field</t>
  </si>
  <si>
    <t>rmap_registers_wr_o.aeb_hk_adc1_rd_config_3.dio5 &lt;= '0';</t>
  </si>
  <si>
    <t>-- AEB Housekeeping Area Register "ADC1_RD_CONFIG_3" : "DIO4" Field</t>
  </si>
  <si>
    <t>rmap_registers_wr_o.aeb_hk_adc1_rd_config_3.dio4 &lt;= '0';</t>
  </si>
  <si>
    <t>-- AEB Housekeeping Area Register "ADC1_RD_CONFIG_3" : "DIO3" Field</t>
  </si>
  <si>
    <t>rmap_registers_wr_o.aeb_hk_adc1_rd_config_3.dio3 &lt;= '0';</t>
  </si>
  <si>
    <t>-- AEB Housekeeping Area Register "ADC1_RD_CONFIG_3" : "DIO2" Field</t>
  </si>
  <si>
    <t>rmap_registers_wr_o.aeb_hk_adc1_rd_config_3.dio2 &lt;= '0';</t>
  </si>
  <si>
    <t>-- AEB Housekeeping Area Register "ADC1_RD_CONFIG_3" : "DIO1" Field</t>
  </si>
  <si>
    <t>rmap_registers_wr_o.aeb_hk_adc1_rd_config_3.dio1 &lt;= '0';</t>
  </si>
  <si>
    <t>-- AEB Housekeeping Area Register "ADC1_RD_CONFIG_3" : "DIO0" Field</t>
  </si>
  <si>
    <t>rmap_registers_wr_o.aeb_hk_adc1_rd_config_3.dio0 &lt;= '0';</t>
  </si>
  <si>
    <t>-- AEB Housekeeping Area Register "ADC2_RD_CONFIG_1" : "SPIRST" Field</t>
  </si>
  <si>
    <t>rmap_registers_wr_o.aeb_hk_adc2_rd_config_1.spirst &lt;= '0';</t>
  </si>
  <si>
    <t>-- AEB Housekeeping Area Register "ADC2_RD_CONFIG_1" : "MUXMOD" Field</t>
  </si>
  <si>
    <t>rmap_registers_wr_o.aeb_hk_adc2_rd_config_1.muxmod &lt;= '0';</t>
  </si>
  <si>
    <t>-- AEB Housekeeping Area Register "ADC2_RD_CONFIG_1" : "BYPAS" Field</t>
  </si>
  <si>
    <t>rmap_registers_wr_o.aeb_hk_adc2_rd_config_1.bypas &lt;= '0';</t>
  </si>
  <si>
    <t>-- AEB Housekeeping Area Register "ADC2_RD_CONFIG_1" : "CLKENB" Field</t>
  </si>
  <si>
    <t>rmap_registers_wr_o.aeb_hk_adc2_rd_config_1.clkenb &lt;= '0';</t>
  </si>
  <si>
    <t>-- AEB Housekeeping Area Register "ADC2_RD_CONFIG_1" : "CHOP" Field</t>
  </si>
  <si>
    <t>rmap_registers_wr_o.aeb_hk_adc2_rd_config_1.chop &lt;= '0';</t>
  </si>
  <si>
    <t>-- AEB Housekeeping Area Register "ADC2_RD_CONFIG_1" : "STAT" Field</t>
  </si>
  <si>
    <t>rmap_registers_wr_o.aeb_hk_adc2_rd_config_1.stat &lt;= '0';</t>
  </si>
  <si>
    <t>-- AEB Housekeeping Area Register "ADC2_RD_CONFIG_1" : "IDLMOD" Field</t>
  </si>
  <si>
    <t>rmap_registers_wr_o.aeb_hk_adc2_rd_config_1.idlmod &lt;= '0';</t>
  </si>
  <si>
    <t>-- AEB Housekeeping Area Register "ADC2_RD_CONFIG_1" : "DLY2" Field</t>
  </si>
  <si>
    <t>rmap_registers_wr_o.aeb_hk_adc2_rd_config_1.dly2 &lt;= '0';</t>
  </si>
  <si>
    <t>-- AEB Housekeeping Area Register "ADC2_RD_CONFIG_1" : "DLY1" Field</t>
  </si>
  <si>
    <t>rmap_registers_wr_o.aeb_hk_adc2_rd_config_1.dly1 &lt;= '0';</t>
  </si>
  <si>
    <t>-- AEB Housekeeping Area Register "ADC2_RD_CONFIG_1" : "DLY0" Field</t>
  </si>
  <si>
    <t>rmap_registers_wr_o.aeb_hk_adc2_rd_config_1.dly0 &lt;= '0';</t>
  </si>
  <si>
    <t>-- AEB Housekeeping Area Register "ADC2_RD_CONFIG_1" : "SBCS1" Field</t>
  </si>
  <si>
    <t>rmap_registers_wr_o.aeb_hk_adc2_rd_config_1.sbcs1 &lt;= '0';</t>
  </si>
  <si>
    <t>-- AEB Housekeeping Area Register "ADC2_RD_CONFIG_1" : "SBCS0" Field</t>
  </si>
  <si>
    <t>rmap_registers_wr_o.aeb_hk_adc2_rd_config_1.sbcs0 &lt;= '0';</t>
  </si>
  <si>
    <t>-- AEB Housekeeping Area Register "ADC2_RD_CONFIG_1" : "DRATE1" Field</t>
  </si>
  <si>
    <t>rmap_registers_wr_o.aeb_hk_adc2_rd_config_1.drate1 &lt;= '0';</t>
  </si>
  <si>
    <t>-- AEB Housekeeping Area Register "ADC2_RD_CONFIG_1" : "DRATE0" Field</t>
  </si>
  <si>
    <t>rmap_registers_wr_o.aeb_hk_adc2_rd_config_1.drate0 &lt;= '0';</t>
  </si>
  <si>
    <t>-- AEB Housekeeping Area Register "ADC2_RD_CONFIG_1" : "AINP3" Field</t>
  </si>
  <si>
    <t>rmap_registers_wr_o.aeb_hk_adc2_rd_config_1.ainp3 &lt;= '0';</t>
  </si>
  <si>
    <t>-- AEB Housekeeping Area Register "ADC2_RD_CONFIG_1" : "AINP2" Field</t>
  </si>
  <si>
    <t>rmap_registers_wr_o.aeb_hk_adc2_rd_config_1.ainp2 &lt;= '0';</t>
  </si>
  <si>
    <t>-- AEB Housekeeping Area Register "ADC2_RD_CONFIG_1" : "AINP1" Field</t>
  </si>
  <si>
    <t>rmap_registers_wr_o.aeb_hk_adc2_rd_config_1.ainp1 &lt;= '0';</t>
  </si>
  <si>
    <t>-- AEB Housekeeping Area Register "ADC2_RD_CONFIG_1" : "AINP0" Field</t>
  </si>
  <si>
    <t>rmap_registers_wr_o.aeb_hk_adc2_rd_config_1.ainp0 &lt;= '0';</t>
  </si>
  <si>
    <t>-- AEB Housekeeping Area Register "ADC2_RD_CONFIG_1" : "AINN3" Field</t>
  </si>
  <si>
    <t>rmap_registers_wr_o.aeb_hk_adc2_rd_config_1.ainn3 &lt;= '0';</t>
  </si>
  <si>
    <t>-- AEB Housekeeping Area Register "ADC2_RD_CONFIG_1" : "AINN2" Field</t>
  </si>
  <si>
    <t>rmap_registers_wr_o.aeb_hk_adc2_rd_config_1.ainn2 &lt;= '0';</t>
  </si>
  <si>
    <t>-- AEB Housekeeping Area Register "ADC2_RD_CONFIG_1" : "AINN1" Field</t>
  </si>
  <si>
    <t>rmap_registers_wr_o.aeb_hk_adc2_rd_config_1.ainn1 &lt;= '0';</t>
  </si>
  <si>
    <t>-- AEB Housekeeping Area Register "ADC2_RD_CONFIG_1" : "AINN0" Field</t>
  </si>
  <si>
    <t>rmap_registers_wr_o.aeb_hk_adc2_rd_config_1.ainn0 &lt;= '0';</t>
  </si>
  <si>
    <t>-- AEB Housekeeping Area Register "ADC2_RD_CONFIG_1" : "DIFF7" Field</t>
  </si>
  <si>
    <t>rmap_registers_wr_o.aeb_hk_adc2_rd_config_1.diff7 &lt;= '0';</t>
  </si>
  <si>
    <t>-- AEB Housekeeping Area Register "ADC2_RD_CONFIG_1" : "DIFF6" Field</t>
  </si>
  <si>
    <t>rmap_registers_wr_o.aeb_hk_adc2_rd_config_1.diff6 &lt;= '0';</t>
  </si>
  <si>
    <t>-- AEB Housekeeping Area Register "ADC2_RD_CONFIG_1" : "DIFF5" Field</t>
  </si>
  <si>
    <t>rmap_registers_wr_o.aeb_hk_adc2_rd_config_1.diff5 &lt;= '0';</t>
  </si>
  <si>
    <t>-- AEB Housekeeping Area Register "ADC2_RD_CONFIG_1" : "DIFF4" Field</t>
  </si>
  <si>
    <t>rmap_registers_wr_o.aeb_hk_adc2_rd_config_1.diff4 &lt;= '0';</t>
  </si>
  <si>
    <t>-- AEB Housekeeping Area Register "ADC2_RD_CONFIG_1" : "DIFF3" Field</t>
  </si>
  <si>
    <t>rmap_registers_wr_o.aeb_hk_adc2_rd_config_1.diff3 &lt;= '0';</t>
  </si>
  <si>
    <t>-- AEB Housekeeping Area Register "ADC2_RD_CONFIG_1" : "DIFF2" Field</t>
  </si>
  <si>
    <t>rmap_registers_wr_o.aeb_hk_adc2_rd_config_1.diff2 &lt;= '0';</t>
  </si>
  <si>
    <t>-- AEB Housekeeping Area Register "ADC2_RD_CONFIG_1" : "DIFF1" Field</t>
  </si>
  <si>
    <t>rmap_registers_wr_o.aeb_hk_adc2_rd_config_1.diff1 &lt;= '0';</t>
  </si>
  <si>
    <t>-- AEB Housekeeping Area Register "ADC2_RD_CONFIG_1" : "DIFF0" Field</t>
  </si>
  <si>
    <t>rmap_registers_wr_o.aeb_hk_adc2_rd_config_1.diff0 &lt;= '0';</t>
  </si>
  <si>
    <t>-- AEB Housekeeping Area Register "ADC2_RD_CONFIG_2" : "AIN7" Field</t>
  </si>
  <si>
    <t>rmap_registers_wr_o.aeb_hk_adc2_rd_config_2.ain7 &lt;= '0';</t>
  </si>
  <si>
    <t>-- AEB Housekeeping Area Register "ADC2_RD_CONFIG_2" : "AIN6" Field</t>
  </si>
  <si>
    <t>rmap_registers_wr_o.aeb_hk_adc2_rd_config_2.ain6 &lt;= '0';</t>
  </si>
  <si>
    <t>-- AEB Housekeeping Area Register "ADC2_RD_CONFIG_2" : "AIN5" Field</t>
  </si>
  <si>
    <t>rmap_registers_wr_o.aeb_hk_adc2_rd_config_2.ain5 &lt;= '0';</t>
  </si>
  <si>
    <t>-- AEB Housekeeping Area Register "ADC2_RD_CONFIG_2" : "AIN4" Field</t>
  </si>
  <si>
    <t>rmap_registers_wr_o.aeb_hk_adc2_rd_config_2.ain4 &lt;= '0';</t>
  </si>
  <si>
    <t>-- AEB Housekeeping Area Register "ADC2_RD_CONFIG_2" : "AIN3" Field</t>
  </si>
  <si>
    <t>rmap_registers_wr_o.aeb_hk_adc2_rd_config_2.ain3 &lt;= '0';</t>
  </si>
  <si>
    <t>-- AEB Housekeeping Area Register "ADC2_RD_CONFIG_2" : "AIN2" Field</t>
  </si>
  <si>
    <t>rmap_registers_wr_o.aeb_hk_adc2_rd_config_2.ain2 &lt;= '0';</t>
  </si>
  <si>
    <t>-- AEB Housekeeping Area Register "ADC2_RD_CONFIG_2" : "AIN1" Field</t>
  </si>
  <si>
    <t>rmap_registers_wr_o.aeb_hk_adc2_rd_config_2.ain1 &lt;= '0';</t>
  </si>
  <si>
    <t>-- AEB Housekeeping Area Register "ADC2_RD_CONFIG_2" : "AIN0" Field</t>
  </si>
  <si>
    <t>rmap_registers_wr_o.aeb_hk_adc2_rd_config_2.ain0 &lt;= '0';</t>
  </si>
  <si>
    <t>-- AEB Housekeeping Area Register "ADC2_RD_CONFIG_2" : "AIN15" Field</t>
  </si>
  <si>
    <t>rmap_registers_wr_o.aeb_hk_adc2_rd_config_2.ain15 &lt;= '0';</t>
  </si>
  <si>
    <t>-- AEB Housekeeping Area Register "ADC2_RD_CONFIG_2" : "AIN14" Field</t>
  </si>
  <si>
    <t>rmap_registers_wr_o.aeb_hk_adc2_rd_config_2.ain14 &lt;= '0';</t>
  </si>
  <si>
    <t>-- AEB Housekeeping Area Register "ADC2_RD_CONFIG_2" : "AIN13" Field</t>
  </si>
  <si>
    <t>rmap_registers_wr_o.aeb_hk_adc2_rd_config_2.ain13 &lt;= '0';</t>
  </si>
  <si>
    <t>-- AEB Housekeeping Area Register "ADC2_RD_CONFIG_2" : "AIN12" Field</t>
  </si>
  <si>
    <t>rmap_registers_wr_o.aeb_hk_adc2_rd_config_2.ain12 &lt;= '0';</t>
  </si>
  <si>
    <t>-- AEB Housekeeping Area Register "ADC2_RD_CONFIG_2" : "AIN11" Field</t>
  </si>
  <si>
    <t>rmap_registers_wr_o.aeb_hk_adc2_rd_config_2.ain11 &lt;= '0';</t>
  </si>
  <si>
    <t>-- AEB Housekeeping Area Register "ADC2_RD_CONFIG_2" : "AIN10" Field</t>
  </si>
  <si>
    <t>rmap_registers_wr_o.aeb_hk_adc2_rd_config_2.ain10 &lt;= '0';</t>
  </si>
  <si>
    <t>-- AEB Housekeeping Area Register "ADC2_RD_CONFIG_2" : "AIN9" Field</t>
  </si>
  <si>
    <t>rmap_registers_wr_o.aeb_hk_adc2_rd_config_2.ain9 &lt;= '0';</t>
  </si>
  <si>
    <t>-- AEB Housekeeping Area Register "ADC2_RD_CONFIG_2" : "AIN8" Field</t>
  </si>
  <si>
    <t>rmap_registers_wr_o.aeb_hk_adc2_rd_config_2.ain8 &lt;= '0';</t>
  </si>
  <si>
    <t>-- AEB Housekeeping Area Register "ADC2_RD_CONFIG_2" : "REF" Field</t>
  </si>
  <si>
    <t>rmap_registers_wr_o.aeb_hk_adc2_rd_config_2.ref &lt;= '0';</t>
  </si>
  <si>
    <t>-- AEB Housekeeping Area Register "ADC2_RD_CONFIG_2" : "GAIN" Field</t>
  </si>
  <si>
    <t>rmap_registers_wr_o.aeb_hk_adc2_rd_config_2.gain &lt;= '0';</t>
  </si>
  <si>
    <t>-- AEB Housekeeping Area Register "ADC2_RD_CONFIG_2" : "TEMP" Field</t>
  </si>
  <si>
    <t>rmap_registers_wr_o.aeb_hk_adc2_rd_config_2.temp &lt;= '0';</t>
  </si>
  <si>
    <t>-- AEB Housekeeping Area Register "ADC2_RD_CONFIG_2" : "VCC" Field</t>
  </si>
  <si>
    <t>rmap_registers_wr_o.aeb_hk_adc2_rd_config_2.vcc &lt;= '0';</t>
  </si>
  <si>
    <t>-- AEB Housekeeping Area Register "ADC2_RD_CONFIG_2" : "OFFSET" Field</t>
  </si>
  <si>
    <t>rmap_registers_wr_o.aeb_hk_adc2_rd_config_2.offset &lt;= '0';</t>
  </si>
  <si>
    <t>-- AEB Housekeeping Area Register "ADC2_RD_CONFIG_2" : "CIO7" Field</t>
  </si>
  <si>
    <t>rmap_registers_wr_o.aeb_hk_adc2_rd_config_2.cio7 &lt;= '0';</t>
  </si>
  <si>
    <t>-- AEB Housekeeping Area Register "ADC2_RD_CONFIG_2" : "CIO6" Field</t>
  </si>
  <si>
    <t>rmap_registers_wr_o.aeb_hk_adc2_rd_config_2.cio6 &lt;= '0';</t>
  </si>
  <si>
    <t>-- AEB Housekeeping Area Register "ADC2_RD_CONFIG_2" : "CIO5" Field</t>
  </si>
  <si>
    <t>rmap_registers_wr_o.aeb_hk_adc2_rd_config_2.cio5 &lt;= '0';</t>
  </si>
  <si>
    <t>-- AEB Housekeeping Area Register "ADC2_RD_CONFIG_2" : "CIO4" Field</t>
  </si>
  <si>
    <t>rmap_registers_wr_o.aeb_hk_adc2_rd_config_2.cio4 &lt;= '0';</t>
  </si>
  <si>
    <t>-- AEB Housekeeping Area Register "ADC2_RD_CONFIG_2" : "CIO3" Field</t>
  </si>
  <si>
    <t>rmap_registers_wr_o.aeb_hk_adc2_rd_config_2.cio3 &lt;= '0';</t>
  </si>
  <si>
    <t>-- AEB Housekeeping Area Register "ADC2_RD_CONFIG_2" : "CIO2" Field</t>
  </si>
  <si>
    <t>rmap_registers_wr_o.aeb_hk_adc2_rd_config_2.cio2 &lt;= '0';</t>
  </si>
  <si>
    <t>-- AEB Housekeeping Area Register "ADC2_RD_CONFIG_2" : "CIO1" Field</t>
  </si>
  <si>
    <t>rmap_registers_wr_o.aeb_hk_adc2_rd_config_2.cio1 &lt;= '0';</t>
  </si>
  <si>
    <t>-- AEB Housekeeping Area Register "ADC2_RD_CONFIG_2" : "CIO0" Field</t>
  </si>
  <si>
    <t>rmap_registers_wr_o.aeb_hk_adc2_rd_config_2.cio0 &lt;= '0';</t>
  </si>
  <si>
    <t>-- AEB Housekeeping Area Register "ADC2_RD_CONFIG_3" : "DIO7" Field</t>
  </si>
  <si>
    <t>rmap_registers_wr_o.aeb_hk_adc2_rd_config_3.dio7 &lt;= '0';</t>
  </si>
  <si>
    <t>-- AEB Housekeeping Area Register "ADC2_RD_CONFIG_3" : "DIO6" Field</t>
  </si>
  <si>
    <t>rmap_registers_wr_o.aeb_hk_adc2_rd_config_3.dio6 &lt;= '0';</t>
  </si>
  <si>
    <t>-- AEB Housekeeping Area Register "ADC2_RD_CONFIG_3" : "DIO5" Field</t>
  </si>
  <si>
    <t>rmap_registers_wr_o.aeb_hk_adc2_rd_config_3.dio5 &lt;= '0';</t>
  </si>
  <si>
    <t>-- AEB Housekeeping Area Register "ADC2_RD_CONFIG_3" : "DIO4" Field</t>
  </si>
  <si>
    <t>rmap_registers_wr_o.aeb_hk_adc2_rd_config_3.dio4 &lt;= '0';</t>
  </si>
  <si>
    <t>-- AEB Housekeeping Area Register "ADC2_RD_CONFIG_3" : "DIO3" Field</t>
  </si>
  <si>
    <t>rmap_registers_wr_o.aeb_hk_adc2_rd_config_3.dio3 &lt;= '0';</t>
  </si>
  <si>
    <t>-- AEB Housekeeping Area Register "ADC2_RD_CONFIG_3" : "DIO2" Field</t>
  </si>
  <si>
    <t>rmap_registers_wr_o.aeb_hk_adc2_rd_config_3.dio2 &lt;= '0';</t>
  </si>
  <si>
    <t>-- AEB Housekeeping Area Register "ADC2_RD_CONFIG_3" : "DIO1" Field</t>
  </si>
  <si>
    <t>rmap_registers_wr_o.aeb_hk_adc2_rd_config_3.dio1 &lt;= '0';</t>
  </si>
  <si>
    <t>-- AEB Housekeeping Area Register "ADC2_RD_CONFIG_3" : "DIO0" Field</t>
  </si>
  <si>
    <t>rmap_registers_wr_o.aeb_hk_adc2_rd_config_3.dio0 &lt;= '0';</t>
  </si>
  <si>
    <t>-- AEB Housekeeping Area Register "VASP_RD_CONFIG" : "VASP1_READ_DATA" Field</t>
  </si>
  <si>
    <t>rmap_registers_wr_o.aeb_hk_vasp_rd_config.vasp1_read_data &lt;= (others =&gt; '0');</t>
  </si>
  <si>
    <t>-- AEB Housekeeping Area Register "VASP_RD_CONFIG" : "VASP2_READ_DATA" Field</t>
  </si>
  <si>
    <t>rmap_registers_wr_o.aeb_hk_vasp_rd_config.vasp2_read_data &lt;= (others =&gt; '0');</t>
  </si>
  <si>
    <t>-- AEB Housekeeping Area Register "REVISION_ID_1" : "FPGA_VERSION" Field</t>
  </si>
  <si>
    <t>rmap_registers_wr_o.aeb_hk_revision_id_1.fpga_version &lt;= (others =&gt; '0');</t>
  </si>
  <si>
    <t>-- AEB Housekeeping Area Register "REVISION_ID_1" : "FPGA_DATE" Field</t>
  </si>
  <si>
    <t>rmap_registers_wr_o.aeb_hk_revision_id_1.fpga_date &lt;= (others =&gt; '0');</t>
  </si>
  <si>
    <t>-- AEB Housekeeping Area Register "REVISION_ID_2" : "FPGA_TIME_H" Field</t>
  </si>
  <si>
    <t>rmap_registers_wr_o.aeb_hk_revision_id_2.fpga_time_h &lt;= (others =&gt; '0');</t>
  </si>
  <si>
    <t>-- AEB Housekeeping Area Register "REVISION_ID_2" : "FPGA_TIME_M" Field</t>
  </si>
  <si>
    <t>rmap_registers_wr_o.aeb_hk_revision_id_2.fpga_time_m &lt;= (others =&gt; '0');</t>
  </si>
  <si>
    <t>-- AEB Housekeeping Area Register "REVISION_ID_2" : "FPGA_SVN" Field</t>
  </si>
  <si>
    <t>rmap_registers_wr_o.aeb_hk_revision_id_2.fpga_svn &lt;= (others =&gt; '0');</t>
  </si>
  <si>
    <t xml:space="preserve"> /* AEB Critical Configuration Area Register "AEB_CONTROL" Struct */</t>
  </si>
  <si>
    <t xml:space="preserve">  bool bAebIdx3; /* "RESERVED_0" Field */</t>
  </si>
  <si>
    <t xml:space="preserve">  bool bAebIdx2; /* "NEW_STATE" Field */</t>
  </si>
  <si>
    <t xml:space="preserve">  bool bAebIdx1; /* "SET_STATE" Field */</t>
  </si>
  <si>
    <t xml:space="preserve">  bool bAebIdx0; /* "AEB_RESET" Field */</t>
  </si>
  <si>
    <t>new_data</t>
  </si>
  <si>
    <t xml:space="preserve">  new_data : std_logic; -- "NEW" Field</t>
  </si>
  <si>
    <t>watchdog_dis</t>
  </si>
  <si>
    <t xml:space="preserve">  watchdog_dis : std_logic; -- "WATCH-DOG_DIS" Field</t>
  </si>
  <si>
    <t xml:space="preserve">      avalon_mm_rmap_o.readdata(0) &lt;= rmap_registers_wr_i.aeb_crit_cfg_aeb_config.watchdog_dis;</t>
  </si>
  <si>
    <t xml:space="preserve">      avalon_mm_rmap_o.readdata(0) &lt;= rmap_registers_wr_i.aeb_hk_adc_rd_data_t_vasp_l.new_data;</t>
  </si>
  <si>
    <t xml:space="preserve">      avalon_mm_rmap_o.readdata(0) &lt;= rmap_registers_wr_i.aeb_hk_adc_rd_data_t_vasp_r.new_data;</t>
  </si>
  <si>
    <t xml:space="preserve">      avalon_mm_rmap_o.readdata(0) &lt;= rmap_registers_wr_i.aeb_hk_adc_rd_data_t_bias_p.new_data;</t>
  </si>
  <si>
    <t xml:space="preserve">      avalon_mm_rmap_o.readdata(0) &lt;= rmap_registers_wr_i.aeb_hk_adc_rd_data_t_hk_p.new_data;</t>
  </si>
  <si>
    <t xml:space="preserve">      avalon_mm_rmap_o.readdata(0) &lt;= rmap_registers_wr_i.aeb_hk_adc_rd_data_t_tou_1_p.new_data;</t>
  </si>
  <si>
    <t xml:space="preserve">      avalon_mm_rmap_o.readdata(0) &lt;= rmap_registers_wr_i.aeb_hk_adc_rd_data_t_tou_2_p.new_data;</t>
  </si>
  <si>
    <t xml:space="preserve">      avalon_mm_rmap_o.readdata(0) &lt;= rmap_registers_wr_i.aeb_hk_adc_rd_data_hk_vode.new_data;</t>
  </si>
  <si>
    <t xml:space="preserve">      avalon_mm_rmap_o.readdata(0) &lt;= rmap_registers_wr_i.aeb_hk_adc_rd_data_hk_vodf.new_data;</t>
  </si>
  <si>
    <t xml:space="preserve">      avalon_mm_rmap_o.readdata(0) &lt;= rmap_registers_wr_i.aeb_hk_adc_rd_data_hk_vrd.new_data;</t>
  </si>
  <si>
    <t xml:space="preserve">      avalon_mm_rmap_o.readdata(0) &lt;= rmap_registers_wr_i.aeb_hk_adc_rd_data_hk_vog.new_data;</t>
  </si>
  <si>
    <t xml:space="preserve">      avalon_mm_rmap_o.readdata(0) &lt;= rmap_registers_wr_i.aeb_hk_adc_rd_data_t_ccd.new_data;</t>
  </si>
  <si>
    <t xml:space="preserve">      avalon_mm_rmap_o.readdata(0) &lt;= rmap_registers_wr_i.aeb_hk_adc_rd_data_t_ref1k_mea.new_data;</t>
  </si>
  <si>
    <t xml:space="preserve">      avalon_mm_rmap_o.readdata(0) &lt;= rmap_registers_wr_i.aeb_hk_adc_rd_data_t_ref649r_mea.new_data;</t>
  </si>
  <si>
    <t xml:space="preserve">      avalon_mm_rmap_o.readdata(0) &lt;= rmap_registers_wr_i.aeb_hk_adc_rd_data_hk_ana_n5v.new_data;</t>
  </si>
  <si>
    <t xml:space="preserve">      avalon_mm_rmap_o.readdata(0) &lt;= rmap_registers_wr_i.aeb_hk_adc_rd_data_s_ref.new_data;</t>
  </si>
  <si>
    <t xml:space="preserve">      avalon_mm_rmap_o.readdata(0) &lt;= rmap_registers_wr_i.aeb_hk_adc_rd_data_hk_ccd_p31v.new_data;</t>
  </si>
  <si>
    <t xml:space="preserve">      avalon_mm_rmap_o.readdata(0) &lt;= rmap_registers_wr_i.aeb_hk_adc_rd_data_hk_clk_p15v.new_data;</t>
  </si>
  <si>
    <t xml:space="preserve">      avalon_mm_rmap_o.readdata(0) &lt;= rmap_registers_wr_i.aeb_hk_adc_rd_data_hk_ana_p5v.new_data;</t>
  </si>
  <si>
    <t xml:space="preserve">      avalon_mm_rmap_o.readdata(0) &lt;= rmap_registers_wr_i.aeb_hk_adc_rd_data_hk_ana_p3v3.new_data;</t>
  </si>
  <si>
    <t xml:space="preserve">      avalon_mm_rmap_o.readdata(0) &lt;= rmap_registers_wr_i.aeb_hk_adc_rd_data_hk_dig_p3v3.new_data;</t>
  </si>
  <si>
    <t xml:space="preserve">      avalon_mm_rmap_o.readdata(0) &lt;= rmap_registers_wr_i.aeb_hk_adc_rd_data_adc_ref_buf_2.new_data;</t>
  </si>
  <si>
    <t>rmap_registers_wr_o.aeb_crit_cfg_aeb_config.watchdog_dis &lt;= '0';</t>
  </si>
  <si>
    <t>rmap_registers_wr_o.aeb_hk_adc_rd_data_t_vasp_l.new_data &lt;= '0';</t>
  </si>
  <si>
    <t>rmap_registers_wr_o.aeb_hk_adc_rd_data_t_vasp_r.new_data &lt;= '0';</t>
  </si>
  <si>
    <t>rmap_registers_wr_o.aeb_hk_adc_rd_data_t_bias_p.new_data &lt;= '0';</t>
  </si>
  <si>
    <t>rmap_registers_wr_o.aeb_hk_adc_rd_data_t_hk_p.new_data &lt;= '0';</t>
  </si>
  <si>
    <t>rmap_registers_wr_o.aeb_hk_adc_rd_data_t_tou_1_p.new_data &lt;= '0';</t>
  </si>
  <si>
    <t>rmap_registers_wr_o.aeb_hk_adc_rd_data_t_tou_2_p.new_data &lt;= '0';</t>
  </si>
  <si>
    <t>rmap_registers_wr_o.aeb_hk_adc_rd_data_hk_vode.new_data &lt;= '0';</t>
  </si>
  <si>
    <t>rmap_registers_wr_o.aeb_hk_adc_rd_data_hk_vodf.new_data &lt;= '0';</t>
  </si>
  <si>
    <t>rmap_registers_wr_o.aeb_hk_adc_rd_data_hk_vrd.new_data &lt;= '0';</t>
  </si>
  <si>
    <t>rmap_registers_wr_o.aeb_hk_adc_rd_data_hk_vog.new_data &lt;= '0';</t>
  </si>
  <si>
    <t>rmap_registers_wr_o.aeb_hk_adc_rd_data_t_ccd.new_data &lt;= '0';</t>
  </si>
  <si>
    <t>rmap_registers_wr_o.aeb_hk_adc_rd_data_t_ref1k_mea.new_data &lt;= '0';</t>
  </si>
  <si>
    <t>rmap_registers_wr_o.aeb_hk_adc_rd_data_t_ref649r_mea.new_data &lt;= '0';</t>
  </si>
  <si>
    <t>rmap_registers_wr_o.aeb_hk_adc_rd_data_hk_ana_n5v.new_data &lt;= '0';</t>
  </si>
  <si>
    <t>rmap_registers_wr_o.aeb_hk_adc_rd_data_s_ref.new_data &lt;= '0';</t>
  </si>
  <si>
    <t>rmap_registers_wr_o.aeb_hk_adc_rd_data_hk_ccd_p31v.new_data &lt;= '0';</t>
  </si>
  <si>
    <t>rmap_registers_wr_o.aeb_hk_adc_rd_data_hk_clk_p15v.new_data &lt;= '0';</t>
  </si>
  <si>
    <t>rmap_registers_wr_o.aeb_hk_adc_rd_data_hk_ana_p5v.new_data &lt;= '0';</t>
  </si>
  <si>
    <t>rmap_registers_wr_o.aeb_hk_adc_rd_data_hk_ana_p3v3.new_data &lt;= '0';</t>
  </si>
  <si>
    <t>rmap_registers_wr_o.aeb_hk_adc_rd_data_hk_dig_p3v3.new_data &lt;= '0';</t>
  </si>
  <si>
    <t>rmap_registers_wr_o.aeb_hk_adc_rd_data_adc_ref_buf_2.new_data &lt;= '0';</t>
  </si>
  <si>
    <t xml:space="preserve">      rmap_registers_wr_o.aeb_crit_cfg_aeb_config.watchdog_dis &lt;= avalon_mm_rmap_i.writedata(0);</t>
  </si>
  <si>
    <t xml:space="preserve">      rmap_registers_wr_o.aeb_hk_adc_rd_data_t_vasp_l.new_data &lt;= avalon_mm_rmap_i.writedata(0);</t>
  </si>
  <si>
    <t xml:space="preserve">      rmap_registers_wr_o.aeb_hk_adc_rd_data_t_vasp_r.new_data &lt;= avalon_mm_rmap_i.writedata(0);</t>
  </si>
  <si>
    <t xml:space="preserve">      rmap_registers_wr_o.aeb_hk_adc_rd_data_t_bias_p.new_data &lt;= avalon_mm_rmap_i.writedata(0);</t>
  </si>
  <si>
    <t xml:space="preserve">      rmap_registers_wr_o.aeb_hk_adc_rd_data_t_hk_p.new_data &lt;= avalon_mm_rmap_i.writedata(0);</t>
  </si>
  <si>
    <t xml:space="preserve">      rmap_registers_wr_o.aeb_hk_adc_rd_data_t_tou_1_p.new_data &lt;= avalon_mm_rmap_i.writedata(0);</t>
  </si>
  <si>
    <t xml:space="preserve">      rmap_registers_wr_o.aeb_hk_adc_rd_data_t_tou_2_p.new_data &lt;= avalon_mm_rmap_i.writedata(0);</t>
  </si>
  <si>
    <t xml:space="preserve">      rmap_registers_wr_o.aeb_hk_adc_rd_data_hk_vode.new_data &lt;= avalon_mm_rmap_i.writedata(0);</t>
  </si>
  <si>
    <t xml:space="preserve">      rmap_registers_wr_o.aeb_hk_adc_rd_data_hk_vodf.new_data &lt;= avalon_mm_rmap_i.writedata(0);</t>
  </si>
  <si>
    <t xml:space="preserve">      rmap_registers_wr_o.aeb_hk_adc_rd_data_hk_vrd.new_data &lt;= avalon_mm_rmap_i.writedata(0);</t>
  </si>
  <si>
    <t xml:space="preserve">      rmap_registers_wr_o.aeb_hk_adc_rd_data_hk_vog.new_data &lt;= avalon_mm_rmap_i.writedata(0);</t>
  </si>
  <si>
    <t xml:space="preserve">      rmap_registers_wr_o.aeb_hk_adc_rd_data_t_ccd.new_data &lt;= avalon_mm_rmap_i.writedata(0);</t>
  </si>
  <si>
    <t xml:space="preserve">      rmap_registers_wr_o.aeb_hk_adc_rd_data_t_ref1k_mea.new_data &lt;= avalon_mm_rmap_i.writedata(0);</t>
  </si>
  <si>
    <t xml:space="preserve">      rmap_registers_wr_o.aeb_hk_adc_rd_data_t_ref649r_mea.new_data &lt;= avalon_mm_rmap_i.writedata(0);</t>
  </si>
  <si>
    <t xml:space="preserve">      rmap_registers_wr_o.aeb_hk_adc_rd_data_hk_ana_n5v.new_data &lt;= avalon_mm_rmap_i.writedata(0);</t>
  </si>
  <si>
    <t xml:space="preserve">      rmap_registers_wr_o.aeb_hk_adc_rd_data_s_ref.new_data &lt;= avalon_mm_rmap_i.writedata(0);</t>
  </si>
  <si>
    <t xml:space="preserve">      rmap_registers_wr_o.aeb_hk_adc_rd_data_hk_ccd_p31v.new_data &lt;= avalon_mm_rmap_i.writedata(0);</t>
  </si>
  <si>
    <t xml:space="preserve">      rmap_registers_wr_o.aeb_hk_adc_rd_data_hk_clk_p15v.new_data &lt;= avalon_mm_rmap_i.writedata(0);</t>
  </si>
  <si>
    <t xml:space="preserve">      rmap_registers_wr_o.aeb_hk_adc_rd_data_hk_ana_p5v.new_data &lt;= avalon_mm_rmap_i.writedata(0);</t>
  </si>
  <si>
    <t xml:space="preserve">      rmap_registers_wr_o.aeb_hk_adc_rd_data_hk_ana_p3v3.new_data &lt;= avalon_mm_rmap_i.writedata(0);</t>
  </si>
  <si>
    <t xml:space="preserve">      rmap_registers_wr_o.aeb_hk_adc_rd_data_hk_dig_p3v3.new_data &lt;= avalon_mm_rmap_i.writedata(0);</t>
  </si>
  <si>
    <t xml:space="preserve">      rmap_registers_wr_o.aeb_hk_adc_rd_data_adc_ref_buf_2.new_data &lt;= avalon_mm_rmap_i.writedata(0);</t>
  </si>
  <si>
    <t>rmap_registers_wr_o.aeb_crit_cfg_aeb_control.reserved_1 &lt;= (others =&gt; '0');</t>
  </si>
  <si>
    <t>rmap_registers_wr_o.aeb_crit_cfg_aeb_config.reserved_1 &lt;= (others =&gt; '0');</t>
  </si>
  <si>
    <t>rmap_registers_wr_o.aeb_crit_cfg_aeb_config_ait.reserved_0 &lt;= (others =&gt; '0');</t>
  </si>
  <si>
    <t>rmap_registers_wr_o.aeb_crit_cfg_aeb_config_pattern.reserved &lt;= (others =&gt; '0');</t>
  </si>
  <si>
    <t>rmap_registers_wr_o.aeb_crit_cfg_vasp_i2c_control.reserved &lt;= (others =&gt; '0');</t>
  </si>
  <si>
    <t>rmap_registers_wr_o.aeb_crit_cfg_dac_config_1.reserved_1 &lt;= (others =&gt; '0');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</si>
</sst>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quotePrefix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518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56.28515625" style="2" bestFit="1" customWidth="1"/>
    <col min="3" max="3" width="30.28515625" style="2" bestFit="1" customWidth="1"/>
    <col min="4" max="4" width="6.28515625" style="2" bestFit="1" customWidth="1"/>
    <col min="5" max="5" width="24.28515625" style="2" bestFit="1" customWidth="1"/>
    <col min="6" max="6" width="28.42578125" style="2" bestFit="1" customWidth="1"/>
    <col min="7" max="7" width="37.5703125" style="2" bestFit="1" customWidth="1"/>
    <col min="8" max="8" width="19.42578125" style="2" bestFit="1" customWidth="1"/>
    <col min="9" max="9" width="10.140625" style="2" customWidth="1"/>
    <col min="10" max="10" width="9.42578125" style="2" customWidth="1"/>
    <col min="11" max="11" width="12.85546875" style="2" bestFit="1" customWidth="1"/>
    <col min="12" max="12" width="12" style="2" customWidth="1"/>
    <col min="13" max="13" width="20" style="2" bestFit="1" customWidth="1"/>
    <col min="14" max="14" width="21.85546875" style="2" bestFit="1" customWidth="1"/>
    <col min="15" max="15" width="25.28515625" style="2" bestFit="1" customWidth="1"/>
    <col min="16" max="16" width="13.7109375" style="2" bestFit="1" customWidth="1"/>
    <col min="17" max="17" width="18.28515625" style="2" bestFit="1" customWidth="1"/>
    <col min="18" max="18" width="19.85546875" style="2" bestFit="1" customWidth="1"/>
    <col min="19" max="19" width="14.85546875" style="2" bestFit="1" customWidth="1"/>
    <col min="20" max="20" width="15" style="2" bestFit="1" customWidth="1"/>
    <col min="21" max="21" width="16.7109375" style="2" bestFit="1" customWidth="1"/>
    <col min="22" max="22" width="19.85546875" style="2" bestFit="1" customWidth="1"/>
    <col min="23" max="26" width="10.140625" style="2" bestFit="1" customWidth="1"/>
    <col min="27" max="28" width="18.85546875" style="3" bestFit="1" customWidth="1"/>
    <col min="29" max="29" width="17.85546875" style="3" bestFit="1" customWidth="1"/>
    <col min="30" max="30" width="16.7109375" style="3" bestFit="1" customWidth="1"/>
    <col min="31" max="32" width="18.85546875" style="3" bestFit="1" customWidth="1"/>
    <col min="33" max="33" width="17.85546875" style="3" bestFit="1" customWidth="1"/>
    <col min="34" max="34" width="16.7109375" style="3" bestFit="1" customWidth="1"/>
  </cols>
  <sheetData>
    <row r="1" spans="1:35" x14ac:dyDescent="0.25">
      <c r="A1" s="2"/>
      <c r="AA1" s="2"/>
      <c r="AB1" s="2"/>
      <c r="AC1" s="2"/>
      <c r="AD1" s="2"/>
      <c r="AE1" s="2"/>
      <c r="AF1" s="2"/>
      <c r="AG1" s="2"/>
      <c r="AH1" s="2"/>
    </row>
    <row r="2" spans="1:35" x14ac:dyDescent="0.25">
      <c r="A2" s="2"/>
      <c r="B2" s="24" t="s">
        <v>31</v>
      </c>
      <c r="C2" s="24" t="s">
        <v>32</v>
      </c>
      <c r="D2" s="24" t="s">
        <v>0</v>
      </c>
      <c r="E2" s="24" t="s">
        <v>43</v>
      </c>
      <c r="F2" s="24" t="s">
        <v>1</v>
      </c>
      <c r="G2" s="24" t="s">
        <v>3</v>
      </c>
      <c r="H2" s="24" t="s">
        <v>2</v>
      </c>
      <c r="I2" s="24" t="s">
        <v>42</v>
      </c>
      <c r="J2" s="24" t="s">
        <v>33</v>
      </c>
      <c r="K2" s="24" t="s">
        <v>79</v>
      </c>
      <c r="L2" s="24" t="s">
        <v>80</v>
      </c>
      <c r="M2" s="24" t="s">
        <v>82</v>
      </c>
      <c r="N2" s="24" t="s">
        <v>44</v>
      </c>
      <c r="O2" s="24" t="s">
        <v>45</v>
      </c>
      <c r="P2" s="24" t="s">
        <v>46</v>
      </c>
      <c r="Q2" s="24" t="s">
        <v>73</v>
      </c>
      <c r="R2" s="24" t="s">
        <v>74</v>
      </c>
      <c r="S2" s="24" t="s">
        <v>76</v>
      </c>
      <c r="T2" s="24" t="s">
        <v>78</v>
      </c>
      <c r="U2" s="24" t="s">
        <v>75</v>
      </c>
      <c r="V2" s="24" t="s">
        <v>77</v>
      </c>
      <c r="W2" s="27" t="s">
        <v>7</v>
      </c>
      <c r="X2" s="27"/>
      <c r="Y2" s="27"/>
      <c r="Z2" s="27"/>
      <c r="AA2" s="28" t="s">
        <v>116</v>
      </c>
      <c r="AB2" s="28"/>
      <c r="AC2" s="28"/>
      <c r="AD2" s="28"/>
      <c r="AE2" s="28" t="s">
        <v>22</v>
      </c>
      <c r="AF2" s="28"/>
      <c r="AG2" s="28"/>
      <c r="AH2" s="28"/>
      <c r="AI2" s="6" t="s">
        <v>83</v>
      </c>
    </row>
    <row r="3" spans="1:35" x14ac:dyDescent="0.25">
      <c r="A3" s="2"/>
      <c r="B3" s="24" t="s">
        <v>40</v>
      </c>
      <c r="C3" s="24" t="s">
        <v>40</v>
      </c>
      <c r="D3" s="24" t="s">
        <v>40</v>
      </c>
      <c r="E3" s="24" t="s">
        <v>40</v>
      </c>
      <c r="F3" s="24" t="s">
        <v>40</v>
      </c>
      <c r="G3" s="24" t="s">
        <v>40</v>
      </c>
      <c r="H3" s="24" t="s">
        <v>40</v>
      </c>
      <c r="I3" s="24" t="s">
        <v>40</v>
      </c>
      <c r="J3" s="24" t="s">
        <v>40</v>
      </c>
      <c r="K3" s="24" t="s">
        <v>40</v>
      </c>
      <c r="L3" s="24" t="s">
        <v>40</v>
      </c>
      <c r="M3" s="24" t="s">
        <v>40</v>
      </c>
      <c r="N3" s="24" t="s">
        <v>40</v>
      </c>
      <c r="O3" s="24" t="s">
        <v>40</v>
      </c>
      <c r="P3" s="24" t="s">
        <v>40</v>
      </c>
      <c r="Q3" s="24" t="s">
        <v>40</v>
      </c>
      <c r="R3" s="24" t="s">
        <v>40</v>
      </c>
      <c r="S3" s="24" t="s">
        <v>40</v>
      </c>
      <c r="T3" s="24" t="s">
        <v>40</v>
      </c>
      <c r="U3" s="24" t="s">
        <v>40</v>
      </c>
      <c r="V3" s="24" t="s">
        <v>40</v>
      </c>
      <c r="W3" s="24" t="s">
        <v>8</v>
      </c>
      <c r="X3" s="24" t="s">
        <v>9</v>
      </c>
      <c r="Y3" s="24" t="s">
        <v>10</v>
      </c>
      <c r="Z3" s="24" t="s">
        <v>11</v>
      </c>
      <c r="AA3" s="25" t="s">
        <v>23</v>
      </c>
      <c r="AB3" s="25" t="s">
        <v>24</v>
      </c>
      <c r="AC3" s="25" t="s">
        <v>25</v>
      </c>
      <c r="AD3" s="25" t="s">
        <v>26</v>
      </c>
      <c r="AE3" s="25" t="s">
        <v>23</v>
      </c>
      <c r="AF3" s="25" t="s">
        <v>24</v>
      </c>
      <c r="AG3" s="25" t="s">
        <v>25</v>
      </c>
      <c r="AH3" s="25" t="s">
        <v>26</v>
      </c>
    </row>
    <row r="4" spans="1:35" x14ac:dyDescent="0.25">
      <c r="B4" s="2" t="s">
        <v>156</v>
      </c>
      <c r="C4" s="2" t="s">
        <v>157</v>
      </c>
      <c r="D4" s="2" t="s">
        <v>0</v>
      </c>
      <c r="E4" s="2" t="s">
        <v>130</v>
      </c>
      <c r="F4" s="2" t="s">
        <v>158</v>
      </c>
      <c r="G4" s="2" t="s">
        <v>159</v>
      </c>
      <c r="H4" s="2" t="s">
        <v>160</v>
      </c>
      <c r="I4" s="2" t="s">
        <v>41</v>
      </c>
      <c r="J4" s="2">
        <v>2</v>
      </c>
      <c r="K4" s="2" t="s">
        <v>132</v>
      </c>
      <c r="L4" s="2" t="s">
        <v>40</v>
      </c>
      <c r="M4" s="2" t="s">
        <v>143</v>
      </c>
      <c r="N4" s="2" t="s">
        <v>148</v>
      </c>
      <c r="O4" s="2" t="s">
        <v>144</v>
      </c>
      <c r="P4" s="2" t="s">
        <v>4</v>
      </c>
      <c r="Q4" s="2">
        <f>INDEX(Tables!$C$4:$C$28,MATCH($P4,Tables!$B$4:$B$28,0))</f>
        <v>32</v>
      </c>
      <c r="R4" s="2">
        <f>INDEX(Tables!$D$4:$D$28,MATCH($P4,Tables!$B$4:$B$28,0))</f>
        <v>4</v>
      </c>
      <c r="S4" s="2">
        <v>0</v>
      </c>
      <c r="T4" s="2" t="str">
        <f>DEC2HEX($S4,4)</f>
        <v>0000</v>
      </c>
      <c r="U4" s="2">
        <f>ROUNDDOWN(S4/4,0)</f>
        <v>0</v>
      </c>
      <c r="V4" s="2" t="str">
        <f>DEC2HEX($U4,3)</f>
        <v>000</v>
      </c>
      <c r="W4" s="2" t="str">
        <f>IF(MOD($S4,4)=3,"X",IF(AND(MOD($S4,4)=2,$J4&gt;8),"X",IF(AND(MOD($S4,4)=1,$J4&gt;16),"X",IF(AND(MOD($S4,4)=0,$J4&gt;24),"X",""))))</f>
        <v/>
      </c>
      <c r="X4" s="2" t="str">
        <f>IF(MOD($S4,4)=2,"X",IF(AND(MOD($S4,4)=1,$J4&gt;8),"X",IF(AND(MOD($S4,4)=0,$J4&gt;16),"X","")))</f>
        <v/>
      </c>
      <c r="Y4" s="2" t="str">
        <f>IF(MOD($S4,4)=1,"X",IF(AND(MOD($S4,4)=0,$J4&gt;8),"X",""))</f>
        <v/>
      </c>
      <c r="Z4" s="2" t="str">
        <f>IF(MOD($S4,4)=0,"X","")</f>
        <v>X</v>
      </c>
      <c r="AA4" s="2" t="str">
        <f>IF(W4="","",CONCATENATE("(",IF(($J4-COUNTIF($X4:$Z4,"X")*8)=1,"24)",CONCATENATE(IF(($J4-COUNTIF($X4:$Z4,"X")*8)&gt;=8,32,($J4-COUNTIF($X4:$Z4,"X")*8)+24)-1," downto 24)"))))</f>
        <v/>
      </c>
      <c r="AB4" s="2" t="str">
        <f t="shared" ref="AB4:AB6" si="0">IF(X4="","",CONCATENATE("(",IF(($J4-COUNTIF($Y4:$Z4,"X")*8)=1,"16)",CONCATENATE(IF(($J4-COUNTIF($Y4:$Z4,"X")*8)&gt;=8,24,($J4-COUNTIF($Y4:$Z4,"X")*8)+16)-1," downto 16)"))))</f>
        <v/>
      </c>
      <c r="AC4" s="2" t="str">
        <f t="shared" ref="AC4:AC6" si="1">IF(Y4="","",CONCATENATE("(",IF(($J4-COUNTIF($Z4,"X")*8)=1,"8)",CONCATENATE(IF(($J4-COUNTIF($Z4,"X")*8)&gt;=8,16,($J4-COUNTIF($Z4,"X")*8)+8)-1," downto 8)"))))</f>
        <v/>
      </c>
      <c r="AD4" s="2" t="str">
        <f t="shared" ref="AD4:AD6" si="2">IF(Z4="","",CONCATENATE("(",IF($J4=1,"0)",CONCATENATE(IF($J4&gt;=8,8,$J4)-1," downto 0)"))))</f>
        <v>(1 downto 0)</v>
      </c>
      <c r="AE4" s="2" t="str">
        <f t="shared" ref="AE4:AE6" si="3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/>
      </c>
      <c r="AF4" s="2" t="str">
        <f t="shared" ref="AF4:AF6" si="4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/>
      </c>
      <c r="AG4" s="2" t="str">
        <f t="shared" ref="AG4:AG6" si="5">IF(Y4="","",IF($J4&lt;=8,"",IF(($J4-COUNTIF($Z4,"X")*8)=1,CONCATENATE("(",($J4-1),")"),CONCATENATE("(",IF(($J4-COUNTIF($Z4,"X")*8)&gt;=8,COUNTIF($Z4,"X")*8+7,$J4-COUNTIF($Z4,"X")*8-1+COUNTIF($Z4,"X")*8)," downto ",COUNTIF($Z4,"X")*8,")"))))</f>
        <v/>
      </c>
      <c r="AH4" s="2" t="str">
        <f t="shared" ref="AH4:AH6" si="6">IF(Z4="","",IF($J4&lt;=8,"",CONCATENATE("(",IF($J4&gt;=8,7,$J4-1)," downto ",0,")")))</f>
        <v/>
      </c>
    </row>
    <row r="5" spans="1:35" x14ac:dyDescent="0.25">
      <c r="B5" s="2" t="s">
        <v>156</v>
      </c>
      <c r="C5" s="2" t="s">
        <v>161</v>
      </c>
      <c r="D5" s="2" t="s">
        <v>0</v>
      </c>
      <c r="E5" s="2" t="s">
        <v>130</v>
      </c>
      <c r="F5" s="2" t="s">
        <v>158</v>
      </c>
      <c r="G5" s="2" t="s">
        <v>159</v>
      </c>
      <c r="H5" s="2" t="s">
        <v>162</v>
      </c>
      <c r="I5" s="2" t="s">
        <v>41</v>
      </c>
      <c r="J5" s="2">
        <v>4</v>
      </c>
      <c r="K5" s="2" t="s">
        <v>163</v>
      </c>
      <c r="L5" s="2" t="s">
        <v>40</v>
      </c>
      <c r="M5" s="2" t="s">
        <v>143</v>
      </c>
      <c r="N5" s="2" t="s">
        <v>148</v>
      </c>
      <c r="O5" s="2" t="s">
        <v>145</v>
      </c>
      <c r="P5" s="2" t="s">
        <v>4</v>
      </c>
      <c r="Q5" s="2">
        <f>INDEX(Tables!$C$4:$C$28,MATCH($P5,Tables!$B$4:$B$28,0))</f>
        <v>32</v>
      </c>
      <c r="R5" s="2">
        <f>INDEX(Tables!$D$4:$D$28,MATCH($P5,Tables!$B$4:$B$28,0))</f>
        <v>4</v>
      </c>
      <c r="S5" s="2">
        <f>$S4+$R4+INDEX(Tables!$N$5:$Q$8,MATCH(MOD($S4+$R4,4),Tables!$M$5:$M$8,0),MATCH($R5,Tables!$N$4:$Q$4,0))</f>
        <v>4</v>
      </c>
      <c r="T5" s="2" t="str">
        <f t="shared" ref="T5:T68" si="7">DEC2HEX($S5,4)</f>
        <v>0004</v>
      </c>
      <c r="U5" s="2">
        <f t="shared" ref="U5:U6" si="8">ROUNDDOWN(S5/4,0)</f>
        <v>1</v>
      </c>
      <c r="V5" s="2" t="str">
        <f t="shared" ref="V5:V68" si="9">DEC2HEX($U5,3)</f>
        <v>001</v>
      </c>
      <c r="W5" s="2" t="str">
        <f t="shared" ref="W5:W68" si="10">IF(MOD($S5,4)=3,"X",IF(AND(MOD($S5,4)=2,$J5&gt;8),"X",IF(AND(MOD($S5,4)=1,$J5&gt;16),"X",IF(AND(MOD($S5,4)=0,$J5&gt;24),"X",""))))</f>
        <v/>
      </c>
      <c r="X5" s="2" t="str">
        <f>IF(MOD($S5,4)=2,"X",IF(AND(MOD($S5,4)=1,$J5&gt;8),"X",IF(AND(MOD($S5,4)=0,$J5&gt;16),"X","")))</f>
        <v/>
      </c>
      <c r="Y5" s="2" t="str">
        <f t="shared" ref="Y5:Y68" si="11">IF(MOD($S5,4)=1,"X",IF(AND(MOD($S5,4)=0,$J5&gt;8),"X",""))</f>
        <v/>
      </c>
      <c r="Z5" s="2" t="str">
        <f t="shared" ref="Z5:Z68" si="12">IF(MOD($S5,4)=0,"X","")</f>
        <v>X</v>
      </c>
      <c r="AA5" s="2" t="str">
        <f t="shared" ref="AA5:AA6" si="13">IF(W5="","",CONCATENATE("(",IF(($J5-COUNTIF($X5:$Z5,"X")*8)=1,"24)",CONCATENATE(IF(($J5-COUNTIF($X5:$Z5,"X")*8)&gt;=8,32,($J5-COUNTIF($X5:$Z5,"X")*8)+24)-1," downto 24)"))))</f>
        <v/>
      </c>
      <c r="AB5" s="2" t="str">
        <f t="shared" si="0"/>
        <v/>
      </c>
      <c r="AC5" s="2" t="str">
        <f t="shared" si="1"/>
        <v/>
      </c>
      <c r="AD5" s="2" t="str">
        <f t="shared" si="2"/>
        <v>(3 downto 0)</v>
      </c>
      <c r="AE5" s="2" t="str">
        <f t="shared" si="3"/>
        <v/>
      </c>
      <c r="AF5" s="2" t="str">
        <f t="shared" si="4"/>
        <v/>
      </c>
      <c r="AG5" s="2" t="str">
        <f t="shared" si="5"/>
        <v/>
      </c>
      <c r="AH5" s="2" t="str">
        <f t="shared" si="6"/>
        <v/>
      </c>
    </row>
    <row r="6" spans="1:35" x14ac:dyDescent="0.25">
      <c r="B6" s="2" t="s">
        <v>156</v>
      </c>
      <c r="C6" s="2" t="s">
        <v>164</v>
      </c>
      <c r="D6" s="2" t="s">
        <v>0</v>
      </c>
      <c r="E6" s="2" t="s">
        <v>130</v>
      </c>
      <c r="F6" s="2" t="s">
        <v>158</v>
      </c>
      <c r="G6" s="2" t="s">
        <v>159</v>
      </c>
      <c r="H6" s="2" t="s">
        <v>165</v>
      </c>
      <c r="I6" s="2" t="s">
        <v>41</v>
      </c>
      <c r="J6" s="2">
        <v>1</v>
      </c>
      <c r="K6" s="2" t="s">
        <v>81</v>
      </c>
      <c r="L6" s="2" t="s">
        <v>40</v>
      </c>
      <c r="M6" s="2" t="s">
        <v>143</v>
      </c>
      <c r="N6" s="2" t="s">
        <v>148</v>
      </c>
      <c r="O6" s="2" t="s">
        <v>146</v>
      </c>
      <c r="P6" s="2" t="s">
        <v>4</v>
      </c>
      <c r="Q6" s="2">
        <f>INDEX(Tables!$C$4:$C$28,MATCH($P6,Tables!$B$4:$B$28,0))</f>
        <v>32</v>
      </c>
      <c r="R6" s="2">
        <f>INDEX(Tables!$D$4:$D$28,MATCH($P6,Tables!$B$4:$B$28,0))</f>
        <v>4</v>
      </c>
      <c r="S6" s="2">
        <f>$S5+$R5+INDEX(Tables!$N$5:$Q$8,MATCH(MOD($S5+$R5,4),Tables!$M$5:$M$8,0),MATCH($R6,Tables!$N$4:$Q$4,0))</f>
        <v>8</v>
      </c>
      <c r="T6" s="2" t="str">
        <f t="shared" si="7"/>
        <v>0008</v>
      </c>
      <c r="U6" s="2">
        <f t="shared" si="8"/>
        <v>2</v>
      </c>
      <c r="V6" s="2" t="str">
        <f t="shared" si="9"/>
        <v>002</v>
      </c>
      <c r="W6" s="2" t="str">
        <f t="shared" si="10"/>
        <v/>
      </c>
      <c r="X6" s="2" t="str">
        <f t="shared" ref="X6:X69" si="14">IF(MOD($S6,4)=2,"X",IF(AND(MOD($S6,4)=1,$J6&gt;8),"X",IF(AND(MOD($S6,4)=0,$J6&gt;16),"X","")))</f>
        <v/>
      </c>
      <c r="Y6" s="2" t="str">
        <f t="shared" si="11"/>
        <v/>
      </c>
      <c r="Z6" s="2" t="str">
        <f t="shared" si="12"/>
        <v>X</v>
      </c>
      <c r="AA6" s="2" t="str">
        <f t="shared" si="13"/>
        <v/>
      </c>
      <c r="AB6" s="2" t="str">
        <f t="shared" si="0"/>
        <v/>
      </c>
      <c r="AC6" s="2" t="str">
        <f t="shared" si="1"/>
        <v/>
      </c>
      <c r="AD6" s="2" t="str">
        <f t="shared" si="2"/>
        <v>(0)</v>
      </c>
      <c r="AE6" s="2" t="str">
        <f t="shared" si="3"/>
        <v/>
      </c>
      <c r="AF6" s="2" t="str">
        <f t="shared" si="4"/>
        <v/>
      </c>
      <c r="AG6" s="2" t="str">
        <f t="shared" si="5"/>
        <v/>
      </c>
      <c r="AH6" s="2" t="str">
        <f t="shared" si="6"/>
        <v/>
      </c>
    </row>
    <row r="7" spans="1:35" x14ac:dyDescent="0.25">
      <c r="B7" s="2" t="s">
        <v>156</v>
      </c>
      <c r="C7" s="2" t="s">
        <v>166</v>
      </c>
      <c r="D7" s="2" t="s">
        <v>0</v>
      </c>
      <c r="E7" s="2" t="s">
        <v>130</v>
      </c>
      <c r="F7" s="2" t="s">
        <v>158</v>
      </c>
      <c r="G7" s="2" t="s">
        <v>159</v>
      </c>
      <c r="H7" s="2" t="s">
        <v>167</v>
      </c>
      <c r="I7" s="2" t="s">
        <v>41</v>
      </c>
      <c r="J7" s="2">
        <v>1</v>
      </c>
      <c r="K7" s="2" t="s">
        <v>81</v>
      </c>
      <c r="L7" s="2" t="s">
        <v>40</v>
      </c>
      <c r="M7" s="2" t="s">
        <v>143</v>
      </c>
      <c r="N7" s="2" t="s">
        <v>148</v>
      </c>
      <c r="O7" s="2" t="s">
        <v>147</v>
      </c>
      <c r="P7" s="2" t="s">
        <v>4</v>
      </c>
      <c r="Q7" s="2">
        <f>INDEX(Tables!$C$4:$C$28,MATCH($P7,Tables!$B$4:$B$28,0))</f>
        <v>32</v>
      </c>
      <c r="R7" s="2">
        <f>INDEX(Tables!$D$4:$D$28,MATCH($P7,Tables!$B$4:$B$28,0))</f>
        <v>4</v>
      </c>
      <c r="S7" s="2">
        <f>$S6+$R6+INDEX(Tables!$N$5:$Q$8,MATCH(MOD($S6+$R6,4),Tables!$M$5:$M$8,0),MATCH($R7,Tables!$N$4:$Q$4,0))</f>
        <v>12</v>
      </c>
      <c r="T7" s="2" t="str">
        <f t="shared" si="7"/>
        <v>000C</v>
      </c>
      <c r="U7" s="2">
        <f t="shared" ref="U7:U8" si="15">ROUNDDOWN(S7/4,0)</f>
        <v>3</v>
      </c>
      <c r="V7" s="2" t="str">
        <f t="shared" si="9"/>
        <v>003</v>
      </c>
      <c r="W7" s="2" t="str">
        <f t="shared" si="10"/>
        <v/>
      </c>
      <c r="X7" s="2" t="str">
        <f t="shared" si="14"/>
        <v/>
      </c>
      <c r="Y7" s="2" t="str">
        <f t="shared" si="11"/>
        <v/>
      </c>
      <c r="Z7" s="2" t="str">
        <f t="shared" si="12"/>
        <v>X</v>
      </c>
      <c r="AA7" s="2" t="str">
        <f t="shared" ref="AA7:AA8" si="16">IF(W7="","",CONCATENATE("(",IF(($J7-COUNTIF($X7:$Z7,"X")*8)=1,"24)",CONCATENATE(IF(($J7-COUNTIF($X7:$Z7,"X")*8)&gt;=8,32,($J7-COUNTIF($X7:$Z7,"X")*8)+24)-1," downto 24)"))))</f>
        <v/>
      </c>
      <c r="AB7" s="2" t="str">
        <f t="shared" ref="AB7:AB8" si="17">IF(X7="","",CONCATENATE("(",IF(($J7-COUNTIF($Y7:$Z7,"X")*8)=1,"16)",CONCATENATE(IF(($J7-COUNTIF($Y7:$Z7,"X")*8)&gt;=8,24,($J7-COUNTIF($Y7:$Z7,"X")*8)+16)-1," downto 16)"))))</f>
        <v/>
      </c>
      <c r="AC7" s="2" t="str">
        <f t="shared" ref="AC7:AC8" si="18">IF(Y7="","",CONCATENATE("(",IF(($J7-COUNTIF($Z7,"X")*8)=1,"8)",CONCATENATE(IF(($J7-COUNTIF($Z7,"X")*8)&gt;=8,16,($J7-COUNTIF($Z7,"X")*8)+8)-1," downto 8)"))))</f>
        <v/>
      </c>
      <c r="AD7" s="2" t="str">
        <f t="shared" ref="AD7:AD8" si="19">IF(Z7="","",CONCATENATE("(",IF($J7=1,"0)",CONCATENATE(IF($J7&gt;=8,8,$J7)-1," downto 0)"))))</f>
        <v>(0)</v>
      </c>
      <c r="AE7" s="2" t="str">
        <f t="shared" ref="AE7:AE8" si="20">IF(W7="","",IF($J7&lt;=8,"",IF(($J7-COUNTIF($X7:$Z7,"X")*8)=1,CONCATENATE("(",($J7-1),")"),CONCATENATE("(",IF(($J7-COUNTIF($X7:$Z7,"X")*8)&gt;=8,COUNTIF($X7:$Z7,"X")*8+7,$J7-COUNTIF($X7:$Z7,"X")*8-1+COUNTIF($X7:$Z7,"X")*8)," downto ",COUNTIF($X7:$Z7,"X")*8,")"))))</f>
        <v/>
      </c>
      <c r="AF7" s="2" t="str">
        <f t="shared" ref="AF7:AF8" si="21">IF(X7="","",IF($J7&lt;=8,"",IF(($J7-COUNTIF($Y7:$Z7,"X")*8)=1,CONCATENATE("(",($J7-1),")"),CONCATENATE("(",IF(($J7-COUNTIF($Y7:$Z7,"X")*8)&gt;=8,COUNTIF($Y7:$Z7,"X")*8+7,$J7-COUNTIF($Y7:$Z7,"X")*8-1+COUNTIF($Y7:$Z7,"X")*8)," downto ",COUNTIF($Y7:$Z7,"X")*8,")"))))</f>
        <v/>
      </c>
      <c r="AG7" s="2" t="str">
        <f t="shared" ref="AG7:AG8" si="22">IF(Y7="","",IF($J7&lt;=8,"",IF(($J7-COUNTIF($Z7,"X")*8)=1,CONCATENATE("(",($J7-1),")"),CONCATENATE("(",IF(($J7-COUNTIF($Z7,"X")*8)&gt;=8,COUNTIF($Z7,"X")*8+7,$J7-COUNTIF($Z7,"X")*8-1+COUNTIF($Z7,"X")*8)," downto ",COUNTIF($Z7,"X")*8,")"))))</f>
        <v/>
      </c>
      <c r="AH7" s="2" t="str">
        <f t="shared" ref="AH7:AH8" si="23">IF(Z7="","",IF($J7&lt;=8,"",CONCATENATE("(",IF($J7&gt;=8,7,$J7-1)," downto ",0,")")))</f>
        <v/>
      </c>
    </row>
    <row r="8" spans="1:35" x14ac:dyDescent="0.25">
      <c r="B8" s="2" t="s">
        <v>156</v>
      </c>
      <c r="C8" s="2" t="s">
        <v>168</v>
      </c>
      <c r="D8" s="2" t="s">
        <v>0</v>
      </c>
      <c r="E8" s="2" t="s">
        <v>130</v>
      </c>
      <c r="F8" s="2" t="s">
        <v>158</v>
      </c>
      <c r="G8" s="2" t="s">
        <v>159</v>
      </c>
      <c r="H8" s="2" t="s">
        <v>169</v>
      </c>
      <c r="I8" s="2" t="s">
        <v>41</v>
      </c>
      <c r="J8" s="2">
        <v>4</v>
      </c>
      <c r="K8" s="2" t="s">
        <v>132</v>
      </c>
      <c r="L8" s="2" t="s">
        <v>40</v>
      </c>
      <c r="P8" s="2" t="s">
        <v>47</v>
      </c>
      <c r="Q8" s="2">
        <f>INDEX(Tables!$C$4:$C$28,MATCH($P8,Tables!$B$4:$B$28,0))</f>
        <v>8</v>
      </c>
      <c r="R8" s="2">
        <f>INDEX(Tables!$D$4:$D$28,MATCH($P8,Tables!$B$4:$B$28,0))</f>
        <v>1</v>
      </c>
      <c r="S8" s="2">
        <f>$S7+$R7+INDEX(Tables!$N$5:$Q$8,MATCH(MOD($S7+$R7,4),Tables!$M$5:$M$8,0),MATCH($R8,Tables!$N$4:$Q$4,0))</f>
        <v>16</v>
      </c>
      <c r="T8" s="2" t="str">
        <f t="shared" si="7"/>
        <v>0010</v>
      </c>
      <c r="U8" s="2">
        <f t="shared" si="15"/>
        <v>4</v>
      </c>
      <c r="V8" s="2" t="str">
        <f t="shared" si="9"/>
        <v>004</v>
      </c>
      <c r="W8" s="2" t="str">
        <f t="shared" si="10"/>
        <v/>
      </c>
      <c r="X8" s="2" t="str">
        <f t="shared" si="14"/>
        <v/>
      </c>
      <c r="Y8" s="2" t="str">
        <f t="shared" si="11"/>
        <v/>
      </c>
      <c r="Z8" s="2" t="str">
        <f t="shared" si="12"/>
        <v>X</v>
      </c>
      <c r="AA8" s="2" t="str">
        <f t="shared" si="16"/>
        <v/>
      </c>
      <c r="AB8" s="2" t="str">
        <f t="shared" si="17"/>
        <v/>
      </c>
      <c r="AC8" s="2" t="str">
        <f t="shared" si="18"/>
        <v/>
      </c>
      <c r="AD8" s="2" t="str">
        <f t="shared" si="19"/>
        <v>(3 downto 0)</v>
      </c>
      <c r="AE8" s="2" t="str">
        <f t="shared" si="20"/>
        <v/>
      </c>
      <c r="AF8" s="2" t="str">
        <f t="shared" si="21"/>
        <v/>
      </c>
      <c r="AG8" s="2" t="str">
        <f t="shared" si="22"/>
        <v/>
      </c>
      <c r="AH8" s="2" t="str">
        <f t="shared" si="23"/>
        <v/>
      </c>
    </row>
    <row r="9" spans="1:35" x14ac:dyDescent="0.25">
      <c r="B9" s="2" t="s">
        <v>156</v>
      </c>
      <c r="C9" s="2" t="s">
        <v>170</v>
      </c>
      <c r="D9" s="2" t="s">
        <v>0</v>
      </c>
      <c r="E9" s="2" t="s">
        <v>130</v>
      </c>
      <c r="F9" s="2" t="s">
        <v>158</v>
      </c>
      <c r="G9" s="2" t="s">
        <v>159</v>
      </c>
      <c r="H9" s="2" t="s">
        <v>171</v>
      </c>
      <c r="I9" s="2" t="s">
        <v>41</v>
      </c>
      <c r="J9" s="2">
        <v>1</v>
      </c>
      <c r="K9" s="2" t="s">
        <v>81</v>
      </c>
      <c r="L9" s="2" t="s">
        <v>40</v>
      </c>
      <c r="P9" s="2" t="s">
        <v>4</v>
      </c>
      <c r="Q9" s="2">
        <f>INDEX(Tables!$C$4:$C$28,MATCH($P9,Tables!$B$4:$B$28,0))</f>
        <v>32</v>
      </c>
      <c r="R9" s="2">
        <f>INDEX(Tables!$D$4:$D$28,MATCH($P9,Tables!$B$4:$B$28,0))</f>
        <v>4</v>
      </c>
      <c r="S9" s="2">
        <f>$S8+$R8+INDEX(Tables!$N$5:$Q$8,MATCH(MOD($S8+$R8,4),Tables!$M$5:$M$8,0),MATCH($R9,Tables!$N$4:$Q$4,0))</f>
        <v>20</v>
      </c>
      <c r="T9" s="2" t="str">
        <f t="shared" si="7"/>
        <v>0014</v>
      </c>
      <c r="U9" s="2">
        <f t="shared" ref="U9:U72" si="24">ROUNDDOWN(S9/4,0)</f>
        <v>5</v>
      </c>
      <c r="V9" s="2" t="str">
        <f t="shared" si="9"/>
        <v>005</v>
      </c>
      <c r="W9" s="2" t="str">
        <f t="shared" si="10"/>
        <v/>
      </c>
      <c r="X9" s="2" t="str">
        <f t="shared" si="14"/>
        <v/>
      </c>
      <c r="Y9" s="2" t="str">
        <f t="shared" si="11"/>
        <v/>
      </c>
      <c r="Z9" s="2" t="str">
        <f t="shared" si="12"/>
        <v>X</v>
      </c>
      <c r="AA9" s="2" t="str">
        <f t="shared" ref="AA9:AA72" si="25">IF(W9="","",CONCATENATE("(",IF(($J9-COUNTIF($X9:$Z9,"X")*8)=1,"24)",CONCATENATE(IF(($J9-COUNTIF($X9:$Z9,"X")*8)&gt;=8,32,($J9-COUNTIF($X9:$Z9,"X")*8)+24)-1," downto 24)"))))</f>
        <v/>
      </c>
      <c r="AB9" s="2" t="str">
        <f t="shared" ref="AB9:AB72" si="26">IF(X9="","",CONCATENATE("(",IF(($J9-COUNTIF($Y9:$Z9,"X")*8)=1,"16)",CONCATENATE(IF(($J9-COUNTIF($Y9:$Z9,"X")*8)&gt;=8,24,($J9-COUNTIF($Y9:$Z9,"X")*8)+16)-1," downto 16)"))))</f>
        <v/>
      </c>
      <c r="AC9" s="2" t="str">
        <f t="shared" ref="AC9:AC72" si="27">IF(Y9="","",CONCATENATE("(",IF(($J9-COUNTIF($Z9,"X")*8)=1,"8)",CONCATENATE(IF(($J9-COUNTIF($Z9,"X")*8)&gt;=8,16,($J9-COUNTIF($Z9,"X")*8)+8)-1," downto 8)"))))</f>
        <v/>
      </c>
      <c r="AD9" s="2" t="str">
        <f t="shared" ref="AD9:AD72" si="28">IF(Z9="","",CONCATENATE("(",IF($J9=1,"0)",CONCATENATE(IF($J9&gt;=8,8,$J9)-1," downto 0)"))))</f>
        <v>(0)</v>
      </c>
      <c r="AE9" s="2" t="str">
        <f t="shared" ref="AE9:AE72" si="29">IF(W9="","",IF($J9&lt;=8,"",IF(($J9-COUNTIF($X9:$Z9,"X")*8)=1,CONCATENATE("(",($J9-1),")"),CONCATENATE("(",IF(($J9-COUNTIF($X9:$Z9,"X")*8)&gt;=8,COUNTIF($X9:$Z9,"X")*8+7,$J9-COUNTIF($X9:$Z9,"X")*8-1+COUNTIF($X9:$Z9,"X")*8)," downto ",COUNTIF($X9:$Z9,"X")*8,")"))))</f>
        <v/>
      </c>
      <c r="AF9" s="2" t="str">
        <f t="shared" ref="AF9:AF72" si="30">IF(X9="","",IF($J9&lt;=8,"",IF(($J9-COUNTIF($Y9:$Z9,"X")*8)=1,CONCATENATE("(",($J9-1),")"),CONCATENATE("(",IF(($J9-COUNTIF($Y9:$Z9,"X")*8)&gt;=8,COUNTIF($Y9:$Z9,"X")*8+7,$J9-COUNTIF($Y9:$Z9,"X")*8-1+COUNTIF($Y9:$Z9,"X")*8)," downto ",COUNTIF($Y9:$Z9,"X")*8,")"))))</f>
        <v/>
      </c>
      <c r="AG9" s="2" t="str">
        <f t="shared" ref="AG9:AG72" si="31">IF(Y9="","",IF($J9&lt;=8,"",IF(($J9-COUNTIF($Z9,"X")*8)=1,CONCATENATE("(",($J9-1),")"),CONCATENATE("(",IF(($J9-COUNTIF($Z9,"X")*8)&gt;=8,COUNTIF($Z9,"X")*8+7,$J9-COUNTIF($Z9,"X")*8-1+COUNTIF($Z9,"X")*8)," downto ",COUNTIF($Z9,"X")*8,")"))))</f>
        <v/>
      </c>
      <c r="AH9" s="2" t="str">
        <f t="shared" ref="AH9:AH72" si="32">IF(Z9="","",IF($J9&lt;=8,"",CONCATENATE("(",IF($J9&gt;=8,7,$J9-1)," downto ",0,")")))</f>
        <v/>
      </c>
    </row>
    <row r="10" spans="1:35" x14ac:dyDescent="0.25">
      <c r="B10" s="2" t="s">
        <v>156</v>
      </c>
      <c r="C10" s="2" t="s">
        <v>172</v>
      </c>
      <c r="D10" s="2" t="s">
        <v>0</v>
      </c>
      <c r="E10" s="2" t="s">
        <v>130</v>
      </c>
      <c r="F10" s="2" t="s">
        <v>158</v>
      </c>
      <c r="G10" s="2" t="s">
        <v>159</v>
      </c>
      <c r="H10" s="2" t="s">
        <v>173</v>
      </c>
      <c r="I10" s="2" t="s">
        <v>41</v>
      </c>
      <c r="J10" s="2">
        <v>1</v>
      </c>
      <c r="K10" s="2" t="s">
        <v>81</v>
      </c>
      <c r="L10" s="2" t="s">
        <v>40</v>
      </c>
      <c r="P10" s="2" t="s">
        <v>4</v>
      </c>
      <c r="Q10" s="2">
        <f>INDEX(Tables!$C$4:$C$28,MATCH($P10,Tables!$B$4:$B$28,0))</f>
        <v>32</v>
      </c>
      <c r="R10" s="2">
        <f>INDEX(Tables!$D$4:$D$28,MATCH($P10,Tables!$B$4:$B$28,0))</f>
        <v>4</v>
      </c>
      <c r="S10" s="2">
        <f>$S9+$R9+INDEX(Tables!$N$5:$Q$8,MATCH(MOD($S9+$R9,4),Tables!$M$5:$M$8,0),MATCH($R10,Tables!$N$4:$Q$4,0))</f>
        <v>24</v>
      </c>
      <c r="T10" s="2" t="str">
        <f t="shared" si="7"/>
        <v>0018</v>
      </c>
      <c r="U10" s="2">
        <f t="shared" si="24"/>
        <v>6</v>
      </c>
      <c r="V10" s="2" t="str">
        <f t="shared" si="9"/>
        <v>006</v>
      </c>
      <c r="W10" s="2" t="str">
        <f t="shared" si="10"/>
        <v/>
      </c>
      <c r="X10" s="2" t="str">
        <f t="shared" si="14"/>
        <v/>
      </c>
      <c r="Y10" s="2" t="str">
        <f t="shared" si="11"/>
        <v/>
      </c>
      <c r="Z10" s="2" t="str">
        <f t="shared" si="12"/>
        <v>X</v>
      </c>
      <c r="AA10" s="2" t="str">
        <f t="shared" si="25"/>
        <v/>
      </c>
      <c r="AB10" s="2" t="str">
        <f t="shared" si="26"/>
        <v/>
      </c>
      <c r="AC10" s="2" t="str">
        <f t="shared" si="27"/>
        <v/>
      </c>
      <c r="AD10" s="2" t="str">
        <f t="shared" si="28"/>
        <v>(0)</v>
      </c>
      <c r="AE10" s="2" t="str">
        <f t="shared" si="29"/>
        <v/>
      </c>
      <c r="AF10" s="2" t="str">
        <f t="shared" si="30"/>
        <v/>
      </c>
      <c r="AG10" s="2" t="str">
        <f t="shared" si="31"/>
        <v/>
      </c>
      <c r="AH10" s="2" t="str">
        <f t="shared" si="32"/>
        <v/>
      </c>
    </row>
    <row r="11" spans="1:35" x14ac:dyDescent="0.25">
      <c r="B11" s="2" t="s">
        <v>156</v>
      </c>
      <c r="C11" s="2" t="s">
        <v>174</v>
      </c>
      <c r="D11" s="2" t="s">
        <v>0</v>
      </c>
      <c r="E11" s="2" t="s">
        <v>130</v>
      </c>
      <c r="F11" s="2" t="s">
        <v>158</v>
      </c>
      <c r="G11" s="2" t="s">
        <v>159</v>
      </c>
      <c r="H11" s="2" t="s">
        <v>175</v>
      </c>
      <c r="I11" s="2" t="s">
        <v>41</v>
      </c>
      <c r="J11" s="2">
        <v>1</v>
      </c>
      <c r="K11" s="2" t="s">
        <v>81</v>
      </c>
      <c r="L11" s="2" t="s">
        <v>40</v>
      </c>
      <c r="P11" s="2" t="s">
        <v>4</v>
      </c>
      <c r="Q11" s="2">
        <f>INDEX(Tables!$C$4:$C$28,MATCH($P11,Tables!$B$4:$B$28,0))</f>
        <v>32</v>
      </c>
      <c r="R11" s="2">
        <f>INDEX(Tables!$D$4:$D$28,MATCH($P11,Tables!$B$4:$B$28,0))</f>
        <v>4</v>
      </c>
      <c r="S11" s="2">
        <f>$S10+$R10+INDEX(Tables!$N$5:$Q$8,MATCH(MOD($S10+$R10,4),Tables!$M$5:$M$8,0),MATCH($R11,Tables!$N$4:$Q$4,0))</f>
        <v>28</v>
      </c>
      <c r="T11" s="2" t="str">
        <f t="shared" si="7"/>
        <v>001C</v>
      </c>
      <c r="U11" s="2">
        <f t="shared" si="24"/>
        <v>7</v>
      </c>
      <c r="V11" s="2" t="str">
        <f t="shared" si="9"/>
        <v>007</v>
      </c>
      <c r="W11" s="2" t="str">
        <f t="shared" si="10"/>
        <v/>
      </c>
      <c r="X11" s="2" t="str">
        <f t="shared" si="14"/>
        <v/>
      </c>
      <c r="Y11" s="2" t="str">
        <f t="shared" si="11"/>
        <v/>
      </c>
      <c r="Z11" s="2" t="str">
        <f t="shared" si="12"/>
        <v>X</v>
      </c>
      <c r="AA11" s="2" t="str">
        <f t="shared" si="25"/>
        <v/>
      </c>
      <c r="AB11" s="2" t="str">
        <f t="shared" si="26"/>
        <v/>
      </c>
      <c r="AC11" s="2" t="str">
        <f t="shared" si="27"/>
        <v/>
      </c>
      <c r="AD11" s="2" t="str">
        <f t="shared" si="28"/>
        <v>(0)</v>
      </c>
      <c r="AE11" s="2" t="str">
        <f t="shared" si="29"/>
        <v/>
      </c>
      <c r="AF11" s="2" t="str">
        <f t="shared" si="30"/>
        <v/>
      </c>
      <c r="AG11" s="2" t="str">
        <f t="shared" si="31"/>
        <v/>
      </c>
      <c r="AH11" s="2" t="str">
        <f t="shared" si="32"/>
        <v/>
      </c>
    </row>
    <row r="12" spans="1:35" x14ac:dyDescent="0.25">
      <c r="B12" s="2" t="s">
        <v>156</v>
      </c>
      <c r="C12" s="2" t="s">
        <v>176</v>
      </c>
      <c r="D12" s="2" t="s">
        <v>0</v>
      </c>
      <c r="E12" s="2" t="s">
        <v>130</v>
      </c>
      <c r="F12" s="2" t="s">
        <v>158</v>
      </c>
      <c r="G12" s="2" t="s">
        <v>159</v>
      </c>
      <c r="H12" s="2" t="s">
        <v>177</v>
      </c>
      <c r="I12" s="2" t="s">
        <v>41</v>
      </c>
      <c r="J12" s="2">
        <v>1</v>
      </c>
      <c r="K12" s="2" t="s">
        <v>81</v>
      </c>
      <c r="L12" s="2" t="s">
        <v>40</v>
      </c>
      <c r="P12" s="2" t="s">
        <v>4</v>
      </c>
      <c r="Q12" s="2">
        <f>INDEX(Tables!$C$4:$C$28,MATCH($P12,Tables!$B$4:$B$28,0))</f>
        <v>32</v>
      </c>
      <c r="R12" s="2">
        <f>INDEX(Tables!$D$4:$D$28,MATCH($P12,Tables!$B$4:$B$28,0))</f>
        <v>4</v>
      </c>
      <c r="S12" s="2">
        <f>$S11+$R11+INDEX(Tables!$N$5:$Q$8,MATCH(MOD($S11+$R11,4),Tables!$M$5:$M$8,0),MATCH($R12,Tables!$N$4:$Q$4,0))</f>
        <v>32</v>
      </c>
      <c r="T12" s="2" t="str">
        <f t="shared" si="7"/>
        <v>0020</v>
      </c>
      <c r="U12" s="2">
        <f t="shared" si="24"/>
        <v>8</v>
      </c>
      <c r="V12" s="2" t="str">
        <f t="shared" si="9"/>
        <v>008</v>
      </c>
      <c r="W12" s="2" t="str">
        <f t="shared" si="10"/>
        <v/>
      </c>
      <c r="X12" s="2" t="str">
        <f t="shared" si="14"/>
        <v/>
      </c>
      <c r="Y12" s="2" t="str">
        <f t="shared" si="11"/>
        <v/>
      </c>
      <c r="Z12" s="2" t="str">
        <f t="shared" si="12"/>
        <v>X</v>
      </c>
      <c r="AA12" s="2" t="str">
        <f t="shared" si="25"/>
        <v/>
      </c>
      <c r="AB12" s="2" t="str">
        <f t="shared" si="26"/>
        <v/>
      </c>
      <c r="AC12" s="2" t="str">
        <f t="shared" si="27"/>
        <v/>
      </c>
      <c r="AD12" s="2" t="str">
        <f t="shared" si="28"/>
        <v>(0)</v>
      </c>
      <c r="AE12" s="2" t="str">
        <f t="shared" si="29"/>
        <v/>
      </c>
      <c r="AF12" s="2" t="str">
        <f t="shared" si="30"/>
        <v/>
      </c>
      <c r="AG12" s="2" t="str">
        <f t="shared" si="31"/>
        <v/>
      </c>
      <c r="AH12" s="2" t="str">
        <f t="shared" si="32"/>
        <v/>
      </c>
    </row>
    <row r="13" spans="1:35" x14ac:dyDescent="0.25">
      <c r="B13" s="2" t="s">
        <v>156</v>
      </c>
      <c r="C13" s="2" t="s">
        <v>178</v>
      </c>
      <c r="D13" s="2" t="s">
        <v>0</v>
      </c>
      <c r="E13" s="2" t="s">
        <v>130</v>
      </c>
      <c r="F13" s="2" t="s">
        <v>158</v>
      </c>
      <c r="G13" s="2" t="s">
        <v>159</v>
      </c>
      <c r="H13" s="2" t="s">
        <v>179</v>
      </c>
      <c r="I13" s="2" t="s">
        <v>41</v>
      </c>
      <c r="J13" s="2">
        <v>16</v>
      </c>
      <c r="K13" s="2" t="s">
        <v>132</v>
      </c>
      <c r="L13" s="2" t="s">
        <v>40</v>
      </c>
      <c r="P13" s="2" t="s">
        <v>49</v>
      </c>
      <c r="Q13" s="2">
        <f>INDEX(Tables!$C$4:$C$28,MATCH($P13,Tables!$B$4:$B$28,0))</f>
        <v>16</v>
      </c>
      <c r="R13" s="2">
        <f>INDEX(Tables!$D$4:$D$28,MATCH($P13,Tables!$B$4:$B$28,0))</f>
        <v>2</v>
      </c>
      <c r="S13" s="2">
        <f>$S12+$R12+INDEX(Tables!$N$5:$Q$8,MATCH(MOD($S12+$R12,4),Tables!$M$5:$M$8,0),MATCH($R13,Tables!$N$4:$Q$4,0))</f>
        <v>36</v>
      </c>
      <c r="T13" s="2" t="str">
        <f t="shared" si="7"/>
        <v>0024</v>
      </c>
      <c r="U13" s="2">
        <f t="shared" si="24"/>
        <v>9</v>
      </c>
      <c r="V13" s="2" t="str">
        <f t="shared" si="9"/>
        <v>009</v>
      </c>
      <c r="W13" s="2" t="str">
        <f t="shared" si="10"/>
        <v/>
      </c>
      <c r="X13" s="2" t="str">
        <f t="shared" si="14"/>
        <v/>
      </c>
      <c r="Y13" s="2" t="str">
        <f t="shared" si="11"/>
        <v>X</v>
      </c>
      <c r="Z13" s="2" t="str">
        <f t="shared" si="12"/>
        <v>X</v>
      </c>
      <c r="AA13" s="2" t="str">
        <f t="shared" si="25"/>
        <v/>
      </c>
      <c r="AB13" s="2" t="str">
        <f t="shared" si="26"/>
        <v/>
      </c>
      <c r="AC13" s="2" t="str">
        <f t="shared" si="27"/>
        <v>(15 downto 8)</v>
      </c>
      <c r="AD13" s="2" t="str">
        <f t="shared" si="28"/>
        <v>(7 downto 0)</v>
      </c>
      <c r="AE13" s="2" t="str">
        <f t="shared" si="29"/>
        <v/>
      </c>
      <c r="AF13" s="2" t="str">
        <f t="shared" si="30"/>
        <v/>
      </c>
      <c r="AG13" s="2" t="str">
        <f t="shared" si="31"/>
        <v>(15 downto 8)</v>
      </c>
      <c r="AH13" s="2" t="str">
        <f t="shared" si="32"/>
        <v>(7 downto 0)</v>
      </c>
    </row>
    <row r="14" spans="1:35" x14ac:dyDescent="0.25">
      <c r="B14" s="2" t="s">
        <v>180</v>
      </c>
      <c r="C14" s="2" t="s">
        <v>157</v>
      </c>
      <c r="D14" s="2" t="s">
        <v>0</v>
      </c>
      <c r="E14" s="2" t="s">
        <v>130</v>
      </c>
      <c r="F14" s="2" t="s">
        <v>181</v>
      </c>
      <c r="G14" s="2" t="s">
        <v>182</v>
      </c>
      <c r="H14" s="2" t="s">
        <v>160</v>
      </c>
      <c r="I14" s="2" t="s">
        <v>41</v>
      </c>
      <c r="J14" s="2">
        <v>6</v>
      </c>
      <c r="K14" s="2" t="s">
        <v>132</v>
      </c>
      <c r="L14" s="2" t="s">
        <v>40</v>
      </c>
      <c r="P14" s="2" t="s">
        <v>47</v>
      </c>
      <c r="Q14" s="2">
        <f>INDEX(Tables!$C$4:$C$28,MATCH($P14,Tables!$B$4:$B$28,0))</f>
        <v>8</v>
      </c>
      <c r="R14" s="2">
        <f>INDEX(Tables!$D$4:$D$28,MATCH($P14,Tables!$B$4:$B$28,0))</f>
        <v>1</v>
      </c>
      <c r="S14" s="2">
        <f>$S13+$R13+INDEX(Tables!$N$5:$Q$8,MATCH(MOD($S13+$R13,4),Tables!$M$5:$M$8,0),MATCH($R14,Tables!$N$4:$Q$4,0))</f>
        <v>38</v>
      </c>
      <c r="T14" s="2" t="str">
        <f t="shared" si="7"/>
        <v>0026</v>
      </c>
      <c r="U14" s="2">
        <f t="shared" si="24"/>
        <v>9</v>
      </c>
      <c r="V14" s="2" t="str">
        <f t="shared" si="9"/>
        <v>009</v>
      </c>
      <c r="W14" s="2" t="str">
        <f t="shared" si="10"/>
        <v/>
      </c>
      <c r="X14" s="2" t="str">
        <f t="shared" si="14"/>
        <v>X</v>
      </c>
      <c r="Y14" s="2" t="str">
        <f t="shared" si="11"/>
        <v/>
      </c>
      <c r="Z14" s="2" t="str">
        <f t="shared" si="12"/>
        <v/>
      </c>
      <c r="AA14" s="2" t="str">
        <f t="shared" si="25"/>
        <v/>
      </c>
      <c r="AB14" s="2" t="str">
        <f t="shared" si="26"/>
        <v>(21 downto 16)</v>
      </c>
      <c r="AC14" s="2" t="str">
        <f t="shared" si="27"/>
        <v/>
      </c>
      <c r="AD14" s="2" t="str">
        <f t="shared" si="28"/>
        <v/>
      </c>
      <c r="AE14" s="2" t="str">
        <f t="shared" si="29"/>
        <v/>
      </c>
      <c r="AF14" s="2" t="str">
        <f t="shared" si="30"/>
        <v/>
      </c>
      <c r="AG14" s="2" t="str">
        <f t="shared" si="31"/>
        <v/>
      </c>
      <c r="AH14" s="2" t="str">
        <f t="shared" si="32"/>
        <v/>
      </c>
    </row>
    <row r="15" spans="1:35" x14ac:dyDescent="0.25">
      <c r="B15" s="2" t="s">
        <v>180</v>
      </c>
      <c r="C15" s="2" t="s">
        <v>183</v>
      </c>
      <c r="D15" s="2" t="s">
        <v>0</v>
      </c>
      <c r="E15" s="2" t="s">
        <v>130</v>
      </c>
      <c r="F15" s="2" t="s">
        <v>181</v>
      </c>
      <c r="G15" s="2" t="s">
        <v>182</v>
      </c>
      <c r="H15" s="2" t="s">
        <v>23410</v>
      </c>
      <c r="I15" s="2" t="s">
        <v>41</v>
      </c>
      <c r="J15" s="2">
        <v>1</v>
      </c>
      <c r="K15" s="2" t="s">
        <v>81</v>
      </c>
      <c r="L15" s="2" t="s">
        <v>40</v>
      </c>
      <c r="P15" s="2" t="s">
        <v>4</v>
      </c>
      <c r="Q15" s="2">
        <f>INDEX(Tables!$C$4:$C$28,MATCH($P15,Tables!$B$4:$B$28,0))</f>
        <v>32</v>
      </c>
      <c r="R15" s="2">
        <f>INDEX(Tables!$D$4:$D$28,MATCH($P15,Tables!$B$4:$B$28,0))</f>
        <v>4</v>
      </c>
      <c r="S15" s="2">
        <f>$S14+$R14+INDEX(Tables!$N$5:$Q$8,MATCH(MOD($S14+$R14,4),Tables!$M$5:$M$8,0),MATCH($R15,Tables!$N$4:$Q$4,0))</f>
        <v>40</v>
      </c>
      <c r="T15" s="2" t="str">
        <f t="shared" si="7"/>
        <v>0028</v>
      </c>
      <c r="U15" s="2">
        <f t="shared" si="24"/>
        <v>10</v>
      </c>
      <c r="V15" s="2" t="str">
        <f t="shared" si="9"/>
        <v>00A</v>
      </c>
      <c r="W15" s="2" t="str">
        <f t="shared" si="10"/>
        <v/>
      </c>
      <c r="X15" s="2" t="str">
        <f t="shared" si="14"/>
        <v/>
      </c>
      <c r="Y15" s="2" t="str">
        <f t="shared" si="11"/>
        <v/>
      </c>
      <c r="Z15" s="2" t="str">
        <f t="shared" si="12"/>
        <v>X</v>
      </c>
      <c r="AA15" s="2" t="str">
        <f t="shared" si="25"/>
        <v/>
      </c>
      <c r="AB15" s="2" t="str">
        <f t="shared" si="26"/>
        <v/>
      </c>
      <c r="AC15" s="2" t="str">
        <f t="shared" si="27"/>
        <v/>
      </c>
      <c r="AD15" s="2" t="str">
        <f t="shared" si="28"/>
        <v>(0)</v>
      </c>
      <c r="AE15" s="2" t="str">
        <f t="shared" si="29"/>
        <v/>
      </c>
      <c r="AF15" s="2" t="str">
        <f t="shared" si="30"/>
        <v/>
      </c>
      <c r="AG15" s="2" t="str">
        <f t="shared" si="31"/>
        <v/>
      </c>
      <c r="AH15" s="2" t="str">
        <f t="shared" si="32"/>
        <v/>
      </c>
    </row>
    <row r="16" spans="1:35" x14ac:dyDescent="0.25">
      <c r="B16" s="2" t="s">
        <v>180</v>
      </c>
      <c r="C16" s="2" t="s">
        <v>184</v>
      </c>
      <c r="D16" s="2" t="s">
        <v>0</v>
      </c>
      <c r="E16" s="2" t="s">
        <v>130</v>
      </c>
      <c r="F16" s="2" t="s">
        <v>181</v>
      </c>
      <c r="G16" s="2" t="s">
        <v>182</v>
      </c>
      <c r="H16" s="2" t="s">
        <v>185</v>
      </c>
      <c r="I16" s="2" t="s">
        <v>41</v>
      </c>
      <c r="J16" s="2">
        <v>1</v>
      </c>
      <c r="K16" s="2" t="s">
        <v>81</v>
      </c>
      <c r="L16" s="2" t="s">
        <v>40</v>
      </c>
      <c r="P16" s="2" t="s">
        <v>4</v>
      </c>
      <c r="Q16" s="2">
        <f>INDEX(Tables!$C$4:$C$28,MATCH($P16,Tables!$B$4:$B$28,0))</f>
        <v>32</v>
      </c>
      <c r="R16" s="2">
        <f>INDEX(Tables!$D$4:$D$28,MATCH($P16,Tables!$B$4:$B$28,0))</f>
        <v>4</v>
      </c>
      <c r="S16" s="2">
        <f>$S15+$R15+INDEX(Tables!$N$5:$Q$8,MATCH(MOD($S15+$R15,4),Tables!$M$5:$M$8,0),MATCH($R16,Tables!$N$4:$Q$4,0))</f>
        <v>44</v>
      </c>
      <c r="T16" s="2" t="str">
        <f t="shared" si="7"/>
        <v>002C</v>
      </c>
      <c r="U16" s="2">
        <f t="shared" si="24"/>
        <v>11</v>
      </c>
      <c r="V16" s="2" t="str">
        <f t="shared" si="9"/>
        <v>00B</v>
      </c>
      <c r="W16" s="2" t="str">
        <f t="shared" si="10"/>
        <v/>
      </c>
      <c r="X16" s="2" t="str">
        <f t="shared" si="14"/>
        <v/>
      </c>
      <c r="Y16" s="2" t="str">
        <f t="shared" si="11"/>
        <v/>
      </c>
      <c r="Z16" s="2" t="str">
        <f t="shared" si="12"/>
        <v>X</v>
      </c>
      <c r="AA16" s="2" t="str">
        <f t="shared" si="25"/>
        <v/>
      </c>
      <c r="AB16" s="2" t="str">
        <f t="shared" si="26"/>
        <v/>
      </c>
      <c r="AC16" s="2" t="str">
        <f t="shared" si="27"/>
        <v/>
      </c>
      <c r="AD16" s="2" t="str">
        <f t="shared" si="28"/>
        <v>(0)</v>
      </c>
      <c r="AE16" s="2" t="str">
        <f t="shared" si="29"/>
        <v/>
      </c>
      <c r="AF16" s="2" t="str">
        <f t="shared" si="30"/>
        <v/>
      </c>
      <c r="AG16" s="2" t="str">
        <f t="shared" si="31"/>
        <v/>
      </c>
      <c r="AH16" s="2" t="str">
        <f t="shared" si="32"/>
        <v/>
      </c>
    </row>
    <row r="17" spans="2:34" x14ac:dyDescent="0.25">
      <c r="B17" s="2" t="s">
        <v>180</v>
      </c>
      <c r="C17" s="2" t="s">
        <v>168</v>
      </c>
      <c r="D17" s="2" t="s">
        <v>0</v>
      </c>
      <c r="E17" s="2" t="s">
        <v>130</v>
      </c>
      <c r="F17" s="2" t="s">
        <v>181</v>
      </c>
      <c r="G17" s="2" t="s">
        <v>182</v>
      </c>
      <c r="H17" s="2" t="s">
        <v>169</v>
      </c>
      <c r="I17" s="2" t="s">
        <v>41</v>
      </c>
      <c r="J17" s="2">
        <v>5</v>
      </c>
      <c r="K17" s="2" t="s">
        <v>132</v>
      </c>
      <c r="L17" s="2" t="s">
        <v>40</v>
      </c>
      <c r="P17" s="2" t="s">
        <v>47</v>
      </c>
      <c r="Q17" s="2">
        <f>INDEX(Tables!$C$4:$C$28,MATCH($P17,Tables!$B$4:$B$28,0))</f>
        <v>8</v>
      </c>
      <c r="R17" s="2">
        <f>INDEX(Tables!$D$4:$D$28,MATCH($P17,Tables!$B$4:$B$28,0))</f>
        <v>1</v>
      </c>
      <c r="S17" s="2">
        <f>$S16+$R16+INDEX(Tables!$N$5:$Q$8,MATCH(MOD($S16+$R16,4),Tables!$M$5:$M$8,0),MATCH($R17,Tables!$N$4:$Q$4,0))</f>
        <v>48</v>
      </c>
      <c r="T17" s="2" t="str">
        <f t="shared" si="7"/>
        <v>0030</v>
      </c>
      <c r="U17" s="2">
        <f t="shared" si="24"/>
        <v>12</v>
      </c>
      <c r="V17" s="2" t="str">
        <f t="shared" si="9"/>
        <v>00C</v>
      </c>
      <c r="W17" s="2" t="str">
        <f t="shared" si="10"/>
        <v/>
      </c>
      <c r="X17" s="2" t="str">
        <f t="shared" si="14"/>
        <v/>
      </c>
      <c r="Y17" s="2" t="str">
        <f t="shared" si="11"/>
        <v/>
      </c>
      <c r="Z17" s="2" t="str">
        <f t="shared" si="12"/>
        <v>X</v>
      </c>
      <c r="AA17" s="2" t="str">
        <f t="shared" si="25"/>
        <v/>
      </c>
      <c r="AB17" s="2" t="str">
        <f t="shared" si="26"/>
        <v/>
      </c>
      <c r="AC17" s="2" t="str">
        <f t="shared" si="27"/>
        <v/>
      </c>
      <c r="AD17" s="2" t="str">
        <f t="shared" si="28"/>
        <v>(4 downto 0)</v>
      </c>
      <c r="AE17" s="2" t="str">
        <f t="shared" si="29"/>
        <v/>
      </c>
      <c r="AF17" s="2" t="str">
        <f t="shared" si="30"/>
        <v/>
      </c>
      <c r="AG17" s="2" t="str">
        <f t="shared" si="31"/>
        <v/>
      </c>
      <c r="AH17" s="2" t="str">
        <f t="shared" si="32"/>
        <v/>
      </c>
    </row>
    <row r="18" spans="2:34" x14ac:dyDescent="0.25">
      <c r="B18" s="2" t="s">
        <v>180</v>
      </c>
      <c r="C18" s="2" t="s">
        <v>186</v>
      </c>
      <c r="D18" s="2" t="s">
        <v>0</v>
      </c>
      <c r="E18" s="2" t="s">
        <v>130</v>
      </c>
      <c r="F18" s="2" t="s">
        <v>181</v>
      </c>
      <c r="G18" s="2" t="s">
        <v>182</v>
      </c>
      <c r="H18" s="2" t="s">
        <v>187</v>
      </c>
      <c r="I18" s="2" t="s">
        <v>41</v>
      </c>
      <c r="J18" s="2">
        <v>1</v>
      </c>
      <c r="K18" s="2" t="s">
        <v>131</v>
      </c>
      <c r="L18" s="2" t="s">
        <v>40</v>
      </c>
      <c r="P18" s="2" t="s">
        <v>4</v>
      </c>
      <c r="Q18" s="2">
        <f>INDEX(Tables!$C$4:$C$28,MATCH($P18,Tables!$B$4:$B$28,0))</f>
        <v>32</v>
      </c>
      <c r="R18" s="2">
        <f>INDEX(Tables!$D$4:$D$28,MATCH($P18,Tables!$B$4:$B$28,0))</f>
        <v>4</v>
      </c>
      <c r="S18" s="2">
        <f>$S17+$R17+INDEX(Tables!$N$5:$Q$8,MATCH(MOD($S17+$R17,4),Tables!$M$5:$M$8,0),MATCH($R18,Tables!$N$4:$Q$4,0))</f>
        <v>52</v>
      </c>
      <c r="T18" s="2" t="str">
        <f t="shared" si="7"/>
        <v>0034</v>
      </c>
      <c r="U18" s="2">
        <f t="shared" si="24"/>
        <v>13</v>
      </c>
      <c r="V18" s="2" t="str">
        <f t="shared" si="9"/>
        <v>00D</v>
      </c>
      <c r="W18" s="2" t="str">
        <f t="shared" si="10"/>
        <v/>
      </c>
      <c r="X18" s="2" t="str">
        <f t="shared" si="14"/>
        <v/>
      </c>
      <c r="Y18" s="2" t="str">
        <f t="shared" si="11"/>
        <v/>
      </c>
      <c r="Z18" s="2" t="str">
        <f t="shared" si="12"/>
        <v>X</v>
      </c>
      <c r="AA18" s="2" t="str">
        <f t="shared" si="25"/>
        <v/>
      </c>
      <c r="AB18" s="2" t="str">
        <f t="shared" si="26"/>
        <v/>
      </c>
      <c r="AC18" s="2" t="str">
        <f t="shared" si="27"/>
        <v/>
      </c>
      <c r="AD18" s="2" t="str">
        <f t="shared" si="28"/>
        <v>(0)</v>
      </c>
      <c r="AE18" s="2" t="str">
        <f t="shared" si="29"/>
        <v/>
      </c>
      <c r="AF18" s="2" t="str">
        <f t="shared" si="30"/>
        <v/>
      </c>
      <c r="AG18" s="2" t="str">
        <f t="shared" si="31"/>
        <v/>
      </c>
      <c r="AH18" s="2" t="str">
        <f t="shared" si="32"/>
        <v/>
      </c>
    </row>
    <row r="19" spans="2:34" x14ac:dyDescent="0.25">
      <c r="B19" s="2" t="s">
        <v>180</v>
      </c>
      <c r="C19" s="2" t="s">
        <v>188</v>
      </c>
      <c r="D19" s="2" t="s">
        <v>0</v>
      </c>
      <c r="E19" s="2" t="s">
        <v>130</v>
      </c>
      <c r="F19" s="2" t="s">
        <v>181</v>
      </c>
      <c r="G19" s="2" t="s">
        <v>182</v>
      </c>
      <c r="H19" s="2" t="s">
        <v>189</v>
      </c>
      <c r="I19" s="2" t="s">
        <v>41</v>
      </c>
      <c r="J19" s="2">
        <v>1</v>
      </c>
      <c r="K19" s="2" t="s">
        <v>131</v>
      </c>
      <c r="L19" s="2" t="s">
        <v>40</v>
      </c>
      <c r="P19" s="2" t="s">
        <v>4</v>
      </c>
      <c r="Q19" s="2">
        <f>INDEX(Tables!$C$4:$C$28,MATCH($P19,Tables!$B$4:$B$28,0))</f>
        <v>32</v>
      </c>
      <c r="R19" s="2">
        <f>INDEX(Tables!$D$4:$D$28,MATCH($P19,Tables!$B$4:$B$28,0))</f>
        <v>4</v>
      </c>
      <c r="S19" s="2">
        <f>$S18+$R18+INDEX(Tables!$N$5:$Q$8,MATCH(MOD($S18+$R18,4),Tables!$M$5:$M$8,0),MATCH($R19,Tables!$N$4:$Q$4,0))</f>
        <v>56</v>
      </c>
      <c r="T19" s="2" t="str">
        <f t="shared" si="7"/>
        <v>0038</v>
      </c>
      <c r="U19" s="2">
        <f t="shared" si="24"/>
        <v>14</v>
      </c>
      <c r="V19" s="2" t="str">
        <f t="shared" si="9"/>
        <v>00E</v>
      </c>
      <c r="W19" s="2" t="str">
        <f t="shared" si="10"/>
        <v/>
      </c>
      <c r="X19" s="2" t="str">
        <f t="shared" si="14"/>
        <v/>
      </c>
      <c r="Y19" s="2" t="str">
        <f t="shared" si="11"/>
        <v/>
      </c>
      <c r="Z19" s="2" t="str">
        <f t="shared" si="12"/>
        <v>X</v>
      </c>
      <c r="AA19" s="2" t="str">
        <f t="shared" si="25"/>
        <v/>
      </c>
      <c r="AB19" s="2" t="str">
        <f t="shared" si="26"/>
        <v/>
      </c>
      <c r="AC19" s="2" t="str">
        <f t="shared" si="27"/>
        <v/>
      </c>
      <c r="AD19" s="2" t="str">
        <f t="shared" si="28"/>
        <v>(0)</v>
      </c>
      <c r="AE19" s="2" t="str">
        <f t="shared" si="29"/>
        <v/>
      </c>
      <c r="AF19" s="2" t="str">
        <f t="shared" si="30"/>
        <v/>
      </c>
      <c r="AG19" s="2" t="str">
        <f t="shared" si="31"/>
        <v/>
      </c>
      <c r="AH19" s="2" t="str">
        <f t="shared" si="32"/>
        <v/>
      </c>
    </row>
    <row r="20" spans="2:34" x14ac:dyDescent="0.25">
      <c r="B20" s="2" t="s">
        <v>180</v>
      </c>
      <c r="C20" s="2" t="s">
        <v>190</v>
      </c>
      <c r="D20" s="2" t="s">
        <v>0</v>
      </c>
      <c r="E20" s="2" t="s">
        <v>130</v>
      </c>
      <c r="F20" s="2" t="s">
        <v>181</v>
      </c>
      <c r="G20" s="2" t="s">
        <v>182</v>
      </c>
      <c r="H20" s="2" t="s">
        <v>191</v>
      </c>
      <c r="I20" s="2" t="s">
        <v>41</v>
      </c>
      <c r="J20" s="2">
        <v>1</v>
      </c>
      <c r="K20" s="2" t="s">
        <v>131</v>
      </c>
      <c r="L20" s="2" t="s">
        <v>40</v>
      </c>
      <c r="P20" s="2" t="s">
        <v>4</v>
      </c>
      <c r="Q20" s="2">
        <f>INDEX(Tables!$C$4:$C$28,MATCH($P20,Tables!$B$4:$B$28,0))</f>
        <v>32</v>
      </c>
      <c r="R20" s="2">
        <f>INDEX(Tables!$D$4:$D$28,MATCH($P20,Tables!$B$4:$B$28,0))</f>
        <v>4</v>
      </c>
      <c r="S20" s="2">
        <f>$S19+$R19+INDEX(Tables!$N$5:$Q$8,MATCH(MOD($S19+$R19,4),Tables!$M$5:$M$8,0),MATCH($R20,Tables!$N$4:$Q$4,0))</f>
        <v>60</v>
      </c>
      <c r="T20" s="2" t="str">
        <f t="shared" si="7"/>
        <v>003C</v>
      </c>
      <c r="U20" s="2">
        <f t="shared" si="24"/>
        <v>15</v>
      </c>
      <c r="V20" s="2" t="str">
        <f t="shared" si="9"/>
        <v>00F</v>
      </c>
      <c r="W20" s="2" t="str">
        <f t="shared" si="10"/>
        <v/>
      </c>
      <c r="X20" s="2" t="str">
        <f t="shared" si="14"/>
        <v/>
      </c>
      <c r="Y20" s="2" t="str">
        <f t="shared" si="11"/>
        <v/>
      </c>
      <c r="Z20" s="2" t="str">
        <f t="shared" si="12"/>
        <v>X</v>
      </c>
      <c r="AA20" s="2" t="str">
        <f t="shared" si="25"/>
        <v/>
      </c>
      <c r="AB20" s="2" t="str">
        <f t="shared" si="26"/>
        <v/>
      </c>
      <c r="AC20" s="2" t="str">
        <f t="shared" si="27"/>
        <v/>
      </c>
      <c r="AD20" s="2" t="str">
        <f t="shared" si="28"/>
        <v>(0)</v>
      </c>
      <c r="AE20" s="2" t="str">
        <f t="shared" si="29"/>
        <v/>
      </c>
      <c r="AF20" s="2" t="str">
        <f t="shared" si="30"/>
        <v/>
      </c>
      <c r="AG20" s="2" t="str">
        <f t="shared" si="31"/>
        <v/>
      </c>
      <c r="AH20" s="2" t="str">
        <f t="shared" si="32"/>
        <v/>
      </c>
    </row>
    <row r="21" spans="2:34" x14ac:dyDescent="0.25">
      <c r="B21" s="2" t="s">
        <v>180</v>
      </c>
      <c r="C21" s="2" t="s">
        <v>178</v>
      </c>
      <c r="D21" s="2" t="s">
        <v>0</v>
      </c>
      <c r="E21" s="2" t="s">
        <v>130</v>
      </c>
      <c r="F21" s="2" t="s">
        <v>181</v>
      </c>
      <c r="G21" s="2" t="s">
        <v>182</v>
      </c>
      <c r="H21" s="2" t="s">
        <v>179</v>
      </c>
      <c r="I21" s="2" t="s">
        <v>41</v>
      </c>
      <c r="J21" s="2">
        <v>16</v>
      </c>
      <c r="K21" s="2" t="s">
        <v>132</v>
      </c>
      <c r="L21" s="2" t="s">
        <v>40</v>
      </c>
      <c r="P21" s="2" t="s">
        <v>49</v>
      </c>
      <c r="Q21" s="2">
        <f>INDEX(Tables!$C$4:$C$28,MATCH($P21,Tables!$B$4:$B$28,0))</f>
        <v>16</v>
      </c>
      <c r="R21" s="2">
        <f>INDEX(Tables!$D$4:$D$28,MATCH($P21,Tables!$B$4:$B$28,0))</f>
        <v>2</v>
      </c>
      <c r="S21" s="2">
        <f>$S20+$R20+INDEX(Tables!$N$5:$Q$8,MATCH(MOD($S20+$R20,4),Tables!$M$5:$M$8,0),MATCH($R21,Tables!$N$4:$Q$4,0))</f>
        <v>64</v>
      </c>
      <c r="T21" s="2" t="str">
        <f t="shared" si="7"/>
        <v>0040</v>
      </c>
      <c r="U21" s="2">
        <f t="shared" si="24"/>
        <v>16</v>
      </c>
      <c r="V21" s="2" t="str">
        <f t="shared" si="9"/>
        <v>010</v>
      </c>
      <c r="W21" s="2" t="str">
        <f t="shared" si="10"/>
        <v/>
      </c>
      <c r="X21" s="2" t="str">
        <f t="shared" si="14"/>
        <v/>
      </c>
      <c r="Y21" s="2" t="str">
        <f t="shared" si="11"/>
        <v>X</v>
      </c>
      <c r="Z21" s="2" t="str">
        <f t="shared" si="12"/>
        <v>X</v>
      </c>
      <c r="AA21" s="2" t="str">
        <f t="shared" si="25"/>
        <v/>
      </c>
      <c r="AB21" s="2" t="str">
        <f t="shared" si="26"/>
        <v/>
      </c>
      <c r="AC21" s="2" t="str">
        <f t="shared" si="27"/>
        <v>(15 downto 8)</v>
      </c>
      <c r="AD21" s="2" t="str">
        <f t="shared" si="28"/>
        <v>(7 downto 0)</v>
      </c>
      <c r="AE21" s="2" t="str">
        <f t="shared" si="29"/>
        <v/>
      </c>
      <c r="AF21" s="2" t="str">
        <f t="shared" si="30"/>
        <v/>
      </c>
      <c r="AG21" s="2" t="str">
        <f t="shared" si="31"/>
        <v>(15 downto 8)</v>
      </c>
      <c r="AH21" s="2" t="str">
        <f t="shared" si="32"/>
        <v>(7 downto 0)</v>
      </c>
    </row>
    <row r="22" spans="2:34" x14ac:dyDescent="0.25">
      <c r="B22" s="2" t="s">
        <v>192</v>
      </c>
      <c r="C22" s="2" t="s">
        <v>193</v>
      </c>
      <c r="D22" s="2" t="s">
        <v>0</v>
      </c>
      <c r="E22" s="2" t="s">
        <v>130</v>
      </c>
      <c r="F22" s="2" t="s">
        <v>194</v>
      </c>
      <c r="G22" s="2" t="s">
        <v>195</v>
      </c>
      <c r="H22" s="2" t="s">
        <v>196</v>
      </c>
      <c r="I22" s="2" t="s">
        <v>41</v>
      </c>
      <c r="J22" s="2">
        <v>32</v>
      </c>
      <c r="K22" s="2" t="s">
        <v>132</v>
      </c>
      <c r="L22" s="2" t="s">
        <v>40</v>
      </c>
      <c r="P22" s="2" t="s">
        <v>48</v>
      </c>
      <c r="Q22" s="2">
        <f>INDEX(Tables!$C$4:$C$28,MATCH($P22,Tables!$B$4:$B$28,0))</f>
        <v>32</v>
      </c>
      <c r="R22" s="2">
        <f>INDEX(Tables!$D$4:$D$28,MATCH($P22,Tables!$B$4:$B$28,0))</f>
        <v>4</v>
      </c>
      <c r="S22" s="2">
        <f>$S21+$R21+INDEX(Tables!$N$5:$Q$8,MATCH(MOD($S21+$R21,4),Tables!$M$5:$M$8,0),MATCH($R22,Tables!$N$4:$Q$4,0))</f>
        <v>68</v>
      </c>
      <c r="T22" s="2" t="str">
        <f t="shared" si="7"/>
        <v>0044</v>
      </c>
      <c r="U22" s="2">
        <f t="shared" si="24"/>
        <v>17</v>
      </c>
      <c r="V22" s="2" t="str">
        <f t="shared" si="9"/>
        <v>011</v>
      </c>
      <c r="W22" s="2" t="str">
        <f t="shared" si="10"/>
        <v>X</v>
      </c>
      <c r="X22" s="2" t="str">
        <f t="shared" si="14"/>
        <v>X</v>
      </c>
      <c r="Y22" s="2" t="str">
        <f t="shared" si="11"/>
        <v>X</v>
      </c>
      <c r="Z22" s="2" t="str">
        <f t="shared" si="12"/>
        <v>X</v>
      </c>
      <c r="AA22" s="2" t="str">
        <f t="shared" si="25"/>
        <v>(31 downto 24)</v>
      </c>
      <c r="AB22" s="2" t="str">
        <f t="shared" si="26"/>
        <v>(23 downto 16)</v>
      </c>
      <c r="AC22" s="2" t="str">
        <f t="shared" si="27"/>
        <v>(15 downto 8)</v>
      </c>
      <c r="AD22" s="2" t="str">
        <f t="shared" si="28"/>
        <v>(7 downto 0)</v>
      </c>
      <c r="AE22" s="2" t="str">
        <f t="shared" si="29"/>
        <v>(31 downto 24)</v>
      </c>
      <c r="AF22" s="2" t="str">
        <f t="shared" si="30"/>
        <v>(23 downto 16)</v>
      </c>
      <c r="AG22" s="2" t="str">
        <f t="shared" si="31"/>
        <v>(15 downto 8)</v>
      </c>
      <c r="AH22" s="2" t="str">
        <f t="shared" si="32"/>
        <v>(7 downto 0)</v>
      </c>
    </row>
    <row r="23" spans="2:34" x14ac:dyDescent="0.25">
      <c r="B23" s="2" t="s">
        <v>197</v>
      </c>
      <c r="C23" s="2" t="s">
        <v>198</v>
      </c>
      <c r="D23" s="2" t="s">
        <v>0</v>
      </c>
      <c r="E23" s="2" t="s">
        <v>130</v>
      </c>
      <c r="F23" s="2" t="s">
        <v>199</v>
      </c>
      <c r="G23" s="2" t="s">
        <v>200</v>
      </c>
      <c r="H23" s="2" t="s">
        <v>201</v>
      </c>
      <c r="I23" s="2" t="s">
        <v>41</v>
      </c>
      <c r="J23" s="2">
        <v>1</v>
      </c>
      <c r="K23" s="2" t="s">
        <v>81</v>
      </c>
      <c r="L23" s="2" t="s">
        <v>40</v>
      </c>
      <c r="P23" s="2" t="s">
        <v>4</v>
      </c>
      <c r="Q23" s="2">
        <f>INDEX(Tables!$C$4:$C$28,MATCH($P23,Tables!$B$4:$B$28,0))</f>
        <v>32</v>
      </c>
      <c r="R23" s="2">
        <f>INDEX(Tables!$D$4:$D$28,MATCH($P23,Tables!$B$4:$B$28,0))</f>
        <v>4</v>
      </c>
      <c r="S23" s="2">
        <f>$S22+$R22+INDEX(Tables!$N$5:$Q$8,MATCH(MOD($S22+$R22,4),Tables!$M$5:$M$8,0),MATCH($R23,Tables!$N$4:$Q$4,0))</f>
        <v>72</v>
      </c>
      <c r="T23" s="2" t="str">
        <f t="shared" si="7"/>
        <v>0048</v>
      </c>
      <c r="U23" s="2">
        <f t="shared" si="24"/>
        <v>18</v>
      </c>
      <c r="V23" s="2" t="str">
        <f t="shared" si="9"/>
        <v>012</v>
      </c>
      <c r="W23" s="2" t="str">
        <f t="shared" si="10"/>
        <v/>
      </c>
      <c r="X23" s="2" t="str">
        <f t="shared" si="14"/>
        <v/>
      </c>
      <c r="Y23" s="2" t="str">
        <f t="shared" si="11"/>
        <v/>
      </c>
      <c r="Z23" s="2" t="str">
        <f t="shared" si="12"/>
        <v>X</v>
      </c>
      <c r="AA23" s="2" t="str">
        <f t="shared" si="25"/>
        <v/>
      </c>
      <c r="AB23" s="2" t="str">
        <f t="shared" si="26"/>
        <v/>
      </c>
      <c r="AC23" s="2" t="str">
        <f t="shared" si="27"/>
        <v/>
      </c>
      <c r="AD23" s="2" t="str">
        <f t="shared" si="28"/>
        <v>(0)</v>
      </c>
      <c r="AE23" s="2" t="str">
        <f t="shared" si="29"/>
        <v/>
      </c>
      <c r="AF23" s="2" t="str">
        <f t="shared" si="30"/>
        <v/>
      </c>
      <c r="AG23" s="2" t="str">
        <f t="shared" si="31"/>
        <v/>
      </c>
      <c r="AH23" s="2" t="str">
        <f t="shared" si="32"/>
        <v/>
      </c>
    </row>
    <row r="24" spans="2:34" x14ac:dyDescent="0.25">
      <c r="B24" s="2" t="s">
        <v>197</v>
      </c>
      <c r="C24" s="2" t="s">
        <v>157</v>
      </c>
      <c r="D24" s="2" t="s">
        <v>0</v>
      </c>
      <c r="E24" s="2" t="s">
        <v>130</v>
      </c>
      <c r="F24" s="2" t="s">
        <v>199</v>
      </c>
      <c r="G24" s="2" t="s">
        <v>200</v>
      </c>
      <c r="H24" s="2" t="s">
        <v>160</v>
      </c>
      <c r="I24" s="2" t="s">
        <v>41</v>
      </c>
      <c r="J24" s="2">
        <v>2</v>
      </c>
      <c r="K24" s="2" t="s">
        <v>132</v>
      </c>
      <c r="L24" s="2" t="s">
        <v>40</v>
      </c>
      <c r="P24" s="2" t="s">
        <v>47</v>
      </c>
      <c r="Q24" s="2">
        <f>INDEX(Tables!$C$4:$C$28,MATCH($P24,Tables!$B$4:$B$28,0))</f>
        <v>8</v>
      </c>
      <c r="R24" s="2">
        <f>INDEX(Tables!$D$4:$D$28,MATCH($P24,Tables!$B$4:$B$28,0))</f>
        <v>1</v>
      </c>
      <c r="S24" s="2">
        <f>$S23+$R23+INDEX(Tables!$N$5:$Q$8,MATCH(MOD($S23+$R23,4),Tables!$M$5:$M$8,0),MATCH($R24,Tables!$N$4:$Q$4,0))</f>
        <v>76</v>
      </c>
      <c r="T24" s="2" t="str">
        <f t="shared" si="7"/>
        <v>004C</v>
      </c>
      <c r="U24" s="2">
        <f t="shared" si="24"/>
        <v>19</v>
      </c>
      <c r="V24" s="2" t="str">
        <f t="shared" si="9"/>
        <v>013</v>
      </c>
      <c r="W24" s="2" t="str">
        <f t="shared" si="10"/>
        <v/>
      </c>
      <c r="X24" s="2" t="str">
        <f t="shared" si="14"/>
        <v/>
      </c>
      <c r="Y24" s="2" t="str">
        <f t="shared" si="11"/>
        <v/>
      </c>
      <c r="Z24" s="2" t="str">
        <f t="shared" si="12"/>
        <v>X</v>
      </c>
      <c r="AA24" s="2" t="str">
        <f t="shared" si="25"/>
        <v/>
      </c>
      <c r="AB24" s="2" t="str">
        <f t="shared" si="26"/>
        <v/>
      </c>
      <c r="AC24" s="2" t="str">
        <f t="shared" si="27"/>
        <v/>
      </c>
      <c r="AD24" s="2" t="str">
        <f t="shared" si="28"/>
        <v>(1 downto 0)</v>
      </c>
      <c r="AE24" s="2" t="str">
        <f t="shared" si="29"/>
        <v/>
      </c>
      <c r="AF24" s="2" t="str">
        <f t="shared" si="30"/>
        <v/>
      </c>
      <c r="AG24" s="2" t="str">
        <f t="shared" si="31"/>
        <v/>
      </c>
      <c r="AH24" s="2" t="str">
        <f t="shared" si="32"/>
        <v/>
      </c>
    </row>
    <row r="25" spans="2:34" x14ac:dyDescent="0.25">
      <c r="B25" s="2" t="s">
        <v>197</v>
      </c>
      <c r="C25" s="2" t="s">
        <v>202</v>
      </c>
      <c r="D25" s="2" t="s">
        <v>0</v>
      </c>
      <c r="E25" s="2" t="s">
        <v>130</v>
      </c>
      <c r="F25" s="2" t="s">
        <v>199</v>
      </c>
      <c r="G25" s="2" t="s">
        <v>200</v>
      </c>
      <c r="H25" s="2" t="s">
        <v>203</v>
      </c>
      <c r="I25" s="2" t="s">
        <v>41</v>
      </c>
      <c r="J25" s="2">
        <v>1</v>
      </c>
      <c r="K25" s="2" t="s">
        <v>81</v>
      </c>
      <c r="L25" s="2" t="s">
        <v>40</v>
      </c>
      <c r="P25" s="2" t="s">
        <v>4</v>
      </c>
      <c r="Q25" s="2">
        <f>INDEX(Tables!$C$4:$C$28,MATCH($P25,Tables!$B$4:$B$28,0))</f>
        <v>32</v>
      </c>
      <c r="R25" s="2">
        <f>INDEX(Tables!$D$4:$D$28,MATCH($P25,Tables!$B$4:$B$28,0))</f>
        <v>4</v>
      </c>
      <c r="S25" s="2">
        <f>$S24+$R24+INDEX(Tables!$N$5:$Q$8,MATCH(MOD($S24+$R24,4),Tables!$M$5:$M$8,0),MATCH($R25,Tables!$N$4:$Q$4,0))</f>
        <v>80</v>
      </c>
      <c r="T25" s="2" t="str">
        <f t="shared" si="7"/>
        <v>0050</v>
      </c>
      <c r="U25" s="2">
        <f t="shared" si="24"/>
        <v>20</v>
      </c>
      <c r="V25" s="2" t="str">
        <f t="shared" si="9"/>
        <v>014</v>
      </c>
      <c r="W25" s="2" t="str">
        <f t="shared" si="10"/>
        <v/>
      </c>
      <c r="X25" s="2" t="str">
        <f t="shared" si="14"/>
        <v/>
      </c>
      <c r="Y25" s="2" t="str">
        <f t="shared" si="11"/>
        <v/>
      </c>
      <c r="Z25" s="2" t="str">
        <f t="shared" si="12"/>
        <v>X</v>
      </c>
      <c r="AA25" s="2" t="str">
        <f t="shared" si="25"/>
        <v/>
      </c>
      <c r="AB25" s="2" t="str">
        <f t="shared" si="26"/>
        <v/>
      </c>
      <c r="AC25" s="2" t="str">
        <f t="shared" si="27"/>
        <v/>
      </c>
      <c r="AD25" s="2" t="str">
        <f t="shared" si="28"/>
        <v>(0)</v>
      </c>
      <c r="AE25" s="2" t="str">
        <f t="shared" si="29"/>
        <v/>
      </c>
      <c r="AF25" s="2" t="str">
        <f t="shared" si="30"/>
        <v/>
      </c>
      <c r="AG25" s="2" t="str">
        <f t="shared" si="31"/>
        <v/>
      </c>
      <c r="AH25" s="2" t="str">
        <f t="shared" si="32"/>
        <v/>
      </c>
    </row>
    <row r="26" spans="2:34" x14ac:dyDescent="0.25">
      <c r="B26" s="2" t="s">
        <v>197</v>
      </c>
      <c r="C26" s="2" t="s">
        <v>204</v>
      </c>
      <c r="D26" s="2" t="s">
        <v>0</v>
      </c>
      <c r="E26" s="2" t="s">
        <v>130</v>
      </c>
      <c r="F26" s="2" t="s">
        <v>199</v>
      </c>
      <c r="G26" s="2" t="s">
        <v>200</v>
      </c>
      <c r="H26" s="2" t="s">
        <v>205</v>
      </c>
      <c r="I26" s="2" t="s">
        <v>41</v>
      </c>
      <c r="J26" s="2">
        <v>1</v>
      </c>
      <c r="K26" s="2" t="s">
        <v>81</v>
      </c>
      <c r="L26" s="2" t="s">
        <v>40</v>
      </c>
      <c r="P26" s="2" t="s">
        <v>4</v>
      </c>
      <c r="Q26" s="2">
        <f>INDEX(Tables!$C$4:$C$28,MATCH($P26,Tables!$B$4:$B$28,0))</f>
        <v>32</v>
      </c>
      <c r="R26" s="2">
        <f>INDEX(Tables!$D$4:$D$28,MATCH($P26,Tables!$B$4:$B$28,0))</f>
        <v>4</v>
      </c>
      <c r="S26" s="2">
        <f>$S25+$R25+INDEX(Tables!$N$5:$Q$8,MATCH(MOD($S25+$R25,4),Tables!$M$5:$M$8,0),MATCH($R26,Tables!$N$4:$Q$4,0))</f>
        <v>84</v>
      </c>
      <c r="T26" s="2" t="str">
        <f t="shared" si="7"/>
        <v>0054</v>
      </c>
      <c r="U26" s="2">
        <f t="shared" si="24"/>
        <v>21</v>
      </c>
      <c r="V26" s="2" t="str">
        <f t="shared" si="9"/>
        <v>015</v>
      </c>
      <c r="W26" s="2" t="str">
        <f t="shared" si="10"/>
        <v/>
      </c>
      <c r="X26" s="2" t="str">
        <f t="shared" si="14"/>
        <v/>
      </c>
      <c r="Y26" s="2" t="str">
        <f t="shared" si="11"/>
        <v/>
      </c>
      <c r="Z26" s="2" t="str">
        <f t="shared" si="12"/>
        <v>X</v>
      </c>
      <c r="AA26" s="2" t="str">
        <f t="shared" si="25"/>
        <v/>
      </c>
      <c r="AB26" s="2" t="str">
        <f t="shared" si="26"/>
        <v/>
      </c>
      <c r="AC26" s="2" t="str">
        <f t="shared" si="27"/>
        <v/>
      </c>
      <c r="AD26" s="2" t="str">
        <f t="shared" si="28"/>
        <v>(0)</v>
      </c>
      <c r="AE26" s="2" t="str">
        <f t="shared" si="29"/>
        <v/>
      </c>
      <c r="AF26" s="2" t="str">
        <f t="shared" si="30"/>
        <v/>
      </c>
      <c r="AG26" s="2" t="str">
        <f t="shared" si="31"/>
        <v/>
      </c>
      <c r="AH26" s="2" t="str">
        <f t="shared" si="32"/>
        <v/>
      </c>
    </row>
    <row r="27" spans="2:34" x14ac:dyDescent="0.25">
      <c r="B27" s="2" t="s">
        <v>197</v>
      </c>
      <c r="C27" s="2" t="s">
        <v>206</v>
      </c>
      <c r="D27" s="2" t="s">
        <v>0</v>
      </c>
      <c r="E27" s="2" t="s">
        <v>130</v>
      </c>
      <c r="F27" s="2" t="s">
        <v>199</v>
      </c>
      <c r="G27" s="2" t="s">
        <v>200</v>
      </c>
      <c r="H27" s="2" t="s">
        <v>207</v>
      </c>
      <c r="I27" s="2" t="s">
        <v>41</v>
      </c>
      <c r="J27" s="2">
        <v>1</v>
      </c>
      <c r="K27" s="2" t="s">
        <v>81</v>
      </c>
      <c r="L27" s="2" t="s">
        <v>40</v>
      </c>
      <c r="P27" s="2" t="s">
        <v>4</v>
      </c>
      <c r="Q27" s="2">
        <f>INDEX(Tables!$C$4:$C$28,MATCH($P27,Tables!$B$4:$B$28,0))</f>
        <v>32</v>
      </c>
      <c r="R27" s="2">
        <f>INDEX(Tables!$D$4:$D$28,MATCH($P27,Tables!$B$4:$B$28,0))</f>
        <v>4</v>
      </c>
      <c r="S27" s="2">
        <f>$S26+$R26+INDEX(Tables!$N$5:$Q$8,MATCH(MOD($S26+$R26,4),Tables!$M$5:$M$8,0),MATCH($R27,Tables!$N$4:$Q$4,0))</f>
        <v>88</v>
      </c>
      <c r="T27" s="2" t="str">
        <f t="shared" si="7"/>
        <v>0058</v>
      </c>
      <c r="U27" s="2">
        <f t="shared" si="24"/>
        <v>22</v>
      </c>
      <c r="V27" s="2" t="str">
        <f t="shared" si="9"/>
        <v>016</v>
      </c>
      <c r="W27" s="2" t="str">
        <f t="shared" si="10"/>
        <v/>
      </c>
      <c r="X27" s="2" t="str">
        <f t="shared" si="14"/>
        <v/>
      </c>
      <c r="Y27" s="2" t="str">
        <f t="shared" si="11"/>
        <v/>
      </c>
      <c r="Z27" s="2" t="str">
        <f t="shared" si="12"/>
        <v>X</v>
      </c>
      <c r="AA27" s="2" t="str">
        <f t="shared" si="25"/>
        <v/>
      </c>
      <c r="AB27" s="2" t="str">
        <f t="shared" si="26"/>
        <v/>
      </c>
      <c r="AC27" s="2" t="str">
        <f t="shared" si="27"/>
        <v/>
      </c>
      <c r="AD27" s="2" t="str">
        <f t="shared" si="28"/>
        <v>(0)</v>
      </c>
      <c r="AE27" s="2" t="str">
        <f t="shared" si="29"/>
        <v/>
      </c>
      <c r="AF27" s="2" t="str">
        <f t="shared" si="30"/>
        <v/>
      </c>
      <c r="AG27" s="2" t="str">
        <f t="shared" si="31"/>
        <v/>
      </c>
      <c r="AH27" s="2" t="str">
        <f t="shared" si="32"/>
        <v/>
      </c>
    </row>
    <row r="28" spans="2:34" x14ac:dyDescent="0.25">
      <c r="B28" s="2" t="s">
        <v>197</v>
      </c>
      <c r="C28" s="2" t="s">
        <v>208</v>
      </c>
      <c r="D28" s="2" t="s">
        <v>0</v>
      </c>
      <c r="E28" s="2" t="s">
        <v>130</v>
      </c>
      <c r="F28" s="2" t="s">
        <v>199</v>
      </c>
      <c r="G28" s="2" t="s">
        <v>200</v>
      </c>
      <c r="H28" s="2" t="s">
        <v>209</v>
      </c>
      <c r="I28" s="2" t="s">
        <v>41</v>
      </c>
      <c r="J28" s="2">
        <v>1</v>
      </c>
      <c r="K28" s="2" t="s">
        <v>81</v>
      </c>
      <c r="L28" s="2" t="s">
        <v>40</v>
      </c>
      <c r="P28" s="2" t="s">
        <v>4</v>
      </c>
      <c r="Q28" s="2">
        <f>INDEX(Tables!$C$4:$C$28,MATCH($P28,Tables!$B$4:$B$28,0))</f>
        <v>32</v>
      </c>
      <c r="R28" s="2">
        <f>INDEX(Tables!$D$4:$D$28,MATCH($P28,Tables!$B$4:$B$28,0))</f>
        <v>4</v>
      </c>
      <c r="S28" s="2">
        <f>$S27+$R27+INDEX(Tables!$N$5:$Q$8,MATCH(MOD($S27+$R27,4),Tables!$M$5:$M$8,0),MATCH($R28,Tables!$N$4:$Q$4,0))</f>
        <v>92</v>
      </c>
      <c r="T28" s="2" t="str">
        <f t="shared" si="7"/>
        <v>005C</v>
      </c>
      <c r="U28" s="2">
        <f t="shared" si="24"/>
        <v>23</v>
      </c>
      <c r="V28" s="2" t="str">
        <f t="shared" si="9"/>
        <v>017</v>
      </c>
      <c r="W28" s="2" t="str">
        <f t="shared" si="10"/>
        <v/>
      </c>
      <c r="X28" s="2" t="str">
        <f t="shared" si="14"/>
        <v/>
      </c>
      <c r="Y28" s="2" t="str">
        <f t="shared" si="11"/>
        <v/>
      </c>
      <c r="Z28" s="2" t="str">
        <f t="shared" si="12"/>
        <v>X</v>
      </c>
      <c r="AA28" s="2" t="str">
        <f t="shared" si="25"/>
        <v/>
      </c>
      <c r="AB28" s="2" t="str">
        <f t="shared" si="26"/>
        <v/>
      </c>
      <c r="AC28" s="2" t="str">
        <f t="shared" si="27"/>
        <v/>
      </c>
      <c r="AD28" s="2" t="str">
        <f t="shared" si="28"/>
        <v>(0)</v>
      </c>
      <c r="AE28" s="2" t="str">
        <f t="shared" si="29"/>
        <v/>
      </c>
      <c r="AF28" s="2" t="str">
        <f t="shared" si="30"/>
        <v/>
      </c>
      <c r="AG28" s="2" t="str">
        <f t="shared" si="31"/>
        <v/>
      </c>
      <c r="AH28" s="2" t="str">
        <f t="shared" si="32"/>
        <v/>
      </c>
    </row>
    <row r="29" spans="2:34" x14ac:dyDescent="0.25">
      <c r="B29" s="2" t="s">
        <v>197</v>
      </c>
      <c r="C29" s="2" t="s">
        <v>210</v>
      </c>
      <c r="D29" s="2" t="s">
        <v>0</v>
      </c>
      <c r="E29" s="2" t="s">
        <v>130</v>
      </c>
      <c r="F29" s="2" t="s">
        <v>199</v>
      </c>
      <c r="G29" s="2" t="s">
        <v>200</v>
      </c>
      <c r="H29" s="2" t="s">
        <v>211</v>
      </c>
      <c r="I29" s="2" t="s">
        <v>41</v>
      </c>
      <c r="J29" s="2">
        <v>1</v>
      </c>
      <c r="K29" s="2" t="s">
        <v>81</v>
      </c>
      <c r="L29" s="2" t="s">
        <v>40</v>
      </c>
      <c r="P29" s="2" t="s">
        <v>4</v>
      </c>
      <c r="Q29" s="2">
        <f>INDEX(Tables!$C$4:$C$28,MATCH($P29,Tables!$B$4:$B$28,0))</f>
        <v>32</v>
      </c>
      <c r="R29" s="2">
        <f>INDEX(Tables!$D$4:$D$28,MATCH($P29,Tables!$B$4:$B$28,0))</f>
        <v>4</v>
      </c>
      <c r="S29" s="2">
        <f>$S28+$R28+INDEX(Tables!$N$5:$Q$8,MATCH(MOD($S28+$R28,4),Tables!$M$5:$M$8,0),MATCH($R29,Tables!$N$4:$Q$4,0))</f>
        <v>96</v>
      </c>
      <c r="T29" s="2" t="str">
        <f t="shared" si="7"/>
        <v>0060</v>
      </c>
      <c r="U29" s="2">
        <f t="shared" si="24"/>
        <v>24</v>
      </c>
      <c r="V29" s="2" t="str">
        <f t="shared" si="9"/>
        <v>018</v>
      </c>
      <c r="W29" s="2" t="str">
        <f t="shared" si="10"/>
        <v/>
      </c>
      <c r="X29" s="2" t="str">
        <f t="shared" si="14"/>
        <v/>
      </c>
      <c r="Y29" s="2" t="str">
        <f t="shared" si="11"/>
        <v/>
      </c>
      <c r="Z29" s="2" t="str">
        <f t="shared" si="12"/>
        <v>X</v>
      </c>
      <c r="AA29" s="2" t="str">
        <f t="shared" si="25"/>
        <v/>
      </c>
      <c r="AB29" s="2" t="str">
        <f t="shared" si="26"/>
        <v/>
      </c>
      <c r="AC29" s="2" t="str">
        <f t="shared" si="27"/>
        <v/>
      </c>
      <c r="AD29" s="2" t="str">
        <f t="shared" si="28"/>
        <v>(0)</v>
      </c>
      <c r="AE29" s="2" t="str">
        <f t="shared" si="29"/>
        <v/>
      </c>
      <c r="AF29" s="2" t="str">
        <f t="shared" si="30"/>
        <v/>
      </c>
      <c r="AG29" s="2" t="str">
        <f t="shared" si="31"/>
        <v/>
      </c>
      <c r="AH29" s="2" t="str">
        <f t="shared" si="32"/>
        <v/>
      </c>
    </row>
    <row r="30" spans="2:34" x14ac:dyDescent="0.25">
      <c r="B30" s="2" t="s">
        <v>197</v>
      </c>
      <c r="C30" s="2" t="s">
        <v>212</v>
      </c>
      <c r="D30" s="2" t="s">
        <v>0</v>
      </c>
      <c r="E30" s="2" t="s">
        <v>130</v>
      </c>
      <c r="F30" s="2" t="s">
        <v>199</v>
      </c>
      <c r="G30" s="2" t="s">
        <v>200</v>
      </c>
      <c r="H30" s="2" t="s">
        <v>213</v>
      </c>
      <c r="I30" s="2" t="s">
        <v>41</v>
      </c>
      <c r="J30" s="2">
        <v>1</v>
      </c>
      <c r="K30" s="2" t="s">
        <v>81</v>
      </c>
      <c r="L30" s="2" t="s">
        <v>40</v>
      </c>
      <c r="P30" s="2" t="s">
        <v>4</v>
      </c>
      <c r="Q30" s="2">
        <f>INDEX(Tables!$C$4:$C$28,MATCH($P30,Tables!$B$4:$B$28,0))</f>
        <v>32</v>
      </c>
      <c r="R30" s="2">
        <f>INDEX(Tables!$D$4:$D$28,MATCH($P30,Tables!$B$4:$B$28,0))</f>
        <v>4</v>
      </c>
      <c r="S30" s="2">
        <f>$S29+$R29+INDEX(Tables!$N$5:$Q$8,MATCH(MOD($S29+$R29,4),Tables!$M$5:$M$8,0),MATCH($R30,Tables!$N$4:$Q$4,0))</f>
        <v>100</v>
      </c>
      <c r="T30" s="2" t="str">
        <f t="shared" si="7"/>
        <v>0064</v>
      </c>
      <c r="U30" s="2">
        <f t="shared" si="24"/>
        <v>25</v>
      </c>
      <c r="V30" s="2" t="str">
        <f t="shared" si="9"/>
        <v>019</v>
      </c>
      <c r="W30" s="2" t="str">
        <f t="shared" si="10"/>
        <v/>
      </c>
      <c r="X30" s="2" t="str">
        <f t="shared" si="14"/>
        <v/>
      </c>
      <c r="Y30" s="2" t="str">
        <f t="shared" si="11"/>
        <v/>
      </c>
      <c r="Z30" s="2" t="str">
        <f t="shared" si="12"/>
        <v>X</v>
      </c>
      <c r="AA30" s="2" t="str">
        <f t="shared" si="25"/>
        <v/>
      </c>
      <c r="AB30" s="2" t="str">
        <f t="shared" si="26"/>
        <v/>
      </c>
      <c r="AC30" s="2" t="str">
        <f t="shared" si="27"/>
        <v/>
      </c>
      <c r="AD30" s="2" t="str">
        <f t="shared" si="28"/>
        <v>(0)</v>
      </c>
      <c r="AE30" s="2" t="str">
        <f t="shared" si="29"/>
        <v/>
      </c>
      <c r="AF30" s="2" t="str">
        <f t="shared" si="30"/>
        <v/>
      </c>
      <c r="AG30" s="2" t="str">
        <f t="shared" si="31"/>
        <v/>
      </c>
      <c r="AH30" s="2" t="str">
        <f t="shared" si="32"/>
        <v/>
      </c>
    </row>
    <row r="31" spans="2:34" x14ac:dyDescent="0.25">
      <c r="B31" s="2" t="s">
        <v>197</v>
      </c>
      <c r="C31" s="2" t="s">
        <v>168</v>
      </c>
      <c r="D31" s="2" t="s">
        <v>0</v>
      </c>
      <c r="E31" s="2" t="s">
        <v>130</v>
      </c>
      <c r="F31" s="2" t="s">
        <v>199</v>
      </c>
      <c r="G31" s="2" t="s">
        <v>200</v>
      </c>
      <c r="H31" s="2" t="s">
        <v>169</v>
      </c>
      <c r="I31" s="2" t="s">
        <v>41</v>
      </c>
      <c r="J31" s="2">
        <v>1</v>
      </c>
      <c r="K31" s="2" t="s">
        <v>81</v>
      </c>
      <c r="L31" s="2" t="s">
        <v>40</v>
      </c>
      <c r="P31" s="2" t="s">
        <v>4</v>
      </c>
      <c r="Q31" s="2">
        <f>INDEX(Tables!$C$4:$C$28,MATCH($P31,Tables!$B$4:$B$28,0))</f>
        <v>32</v>
      </c>
      <c r="R31" s="2">
        <f>INDEX(Tables!$D$4:$D$28,MATCH($P31,Tables!$B$4:$B$28,0))</f>
        <v>4</v>
      </c>
      <c r="S31" s="2">
        <f>$S30+$R30+INDEX(Tables!$N$5:$Q$8,MATCH(MOD($S30+$R30,4),Tables!$M$5:$M$8,0),MATCH($R31,Tables!$N$4:$Q$4,0))</f>
        <v>104</v>
      </c>
      <c r="T31" s="2" t="str">
        <f t="shared" si="7"/>
        <v>0068</v>
      </c>
      <c r="U31" s="2">
        <f t="shared" si="24"/>
        <v>26</v>
      </c>
      <c r="V31" s="2" t="str">
        <f t="shared" si="9"/>
        <v>01A</v>
      </c>
      <c r="W31" s="2" t="str">
        <f t="shared" si="10"/>
        <v/>
      </c>
      <c r="X31" s="2" t="str">
        <f t="shared" si="14"/>
        <v/>
      </c>
      <c r="Y31" s="2" t="str">
        <f t="shared" si="11"/>
        <v/>
      </c>
      <c r="Z31" s="2" t="str">
        <f t="shared" si="12"/>
        <v>X</v>
      </c>
      <c r="AA31" s="2" t="str">
        <f t="shared" si="25"/>
        <v/>
      </c>
      <c r="AB31" s="2" t="str">
        <f t="shared" si="26"/>
        <v/>
      </c>
      <c r="AC31" s="2" t="str">
        <f t="shared" si="27"/>
        <v/>
      </c>
      <c r="AD31" s="2" t="str">
        <f t="shared" si="28"/>
        <v>(0)</v>
      </c>
      <c r="AE31" s="2" t="str">
        <f t="shared" si="29"/>
        <v/>
      </c>
      <c r="AF31" s="2" t="str">
        <f t="shared" si="30"/>
        <v/>
      </c>
      <c r="AG31" s="2" t="str">
        <f t="shared" si="31"/>
        <v/>
      </c>
      <c r="AH31" s="2" t="str">
        <f t="shared" si="32"/>
        <v/>
      </c>
    </row>
    <row r="32" spans="2:34" x14ac:dyDescent="0.25">
      <c r="B32" s="2" t="s">
        <v>197</v>
      </c>
      <c r="C32" s="2" t="s">
        <v>214</v>
      </c>
      <c r="D32" s="2" t="s">
        <v>0</v>
      </c>
      <c r="E32" s="2" t="s">
        <v>130</v>
      </c>
      <c r="F32" s="2" t="s">
        <v>199</v>
      </c>
      <c r="G32" s="2" t="s">
        <v>200</v>
      </c>
      <c r="H32" s="2" t="s">
        <v>215</v>
      </c>
      <c r="I32" s="2" t="s">
        <v>41</v>
      </c>
      <c r="J32" s="2">
        <v>1</v>
      </c>
      <c r="K32" s="2" t="s">
        <v>81</v>
      </c>
      <c r="L32" s="2" t="s">
        <v>40</v>
      </c>
      <c r="P32" s="2" t="s">
        <v>4</v>
      </c>
      <c r="Q32" s="2">
        <f>INDEX(Tables!$C$4:$C$28,MATCH($P32,Tables!$B$4:$B$28,0))</f>
        <v>32</v>
      </c>
      <c r="R32" s="2">
        <f>INDEX(Tables!$D$4:$D$28,MATCH($P32,Tables!$B$4:$B$28,0))</f>
        <v>4</v>
      </c>
      <c r="S32" s="2">
        <f>$S31+$R31+INDEX(Tables!$N$5:$Q$8,MATCH(MOD($S31+$R31,4),Tables!$M$5:$M$8,0),MATCH($R32,Tables!$N$4:$Q$4,0))</f>
        <v>108</v>
      </c>
      <c r="T32" s="2" t="str">
        <f t="shared" si="7"/>
        <v>006C</v>
      </c>
      <c r="U32" s="2">
        <f t="shared" si="24"/>
        <v>27</v>
      </c>
      <c r="V32" s="2" t="str">
        <f t="shared" si="9"/>
        <v>01B</v>
      </c>
      <c r="W32" s="2" t="str">
        <f t="shared" si="10"/>
        <v/>
      </c>
      <c r="X32" s="2" t="str">
        <f t="shared" si="14"/>
        <v/>
      </c>
      <c r="Y32" s="2" t="str">
        <f t="shared" si="11"/>
        <v/>
      </c>
      <c r="Z32" s="2" t="str">
        <f t="shared" si="12"/>
        <v>X</v>
      </c>
      <c r="AA32" s="2" t="str">
        <f t="shared" si="25"/>
        <v/>
      </c>
      <c r="AB32" s="2" t="str">
        <f t="shared" si="26"/>
        <v/>
      </c>
      <c r="AC32" s="2" t="str">
        <f t="shared" si="27"/>
        <v/>
      </c>
      <c r="AD32" s="2" t="str">
        <f t="shared" si="28"/>
        <v>(0)</v>
      </c>
      <c r="AE32" s="2" t="str">
        <f t="shared" si="29"/>
        <v/>
      </c>
      <c r="AF32" s="2" t="str">
        <f t="shared" si="30"/>
        <v/>
      </c>
      <c r="AG32" s="2" t="str">
        <f t="shared" si="31"/>
        <v/>
      </c>
      <c r="AH32" s="2" t="str">
        <f t="shared" si="32"/>
        <v/>
      </c>
    </row>
    <row r="33" spans="2:34" x14ac:dyDescent="0.25">
      <c r="B33" s="2" t="s">
        <v>197</v>
      </c>
      <c r="C33" s="2" t="s">
        <v>216</v>
      </c>
      <c r="D33" s="2" t="s">
        <v>0</v>
      </c>
      <c r="E33" s="2" t="s">
        <v>130</v>
      </c>
      <c r="F33" s="2" t="s">
        <v>199</v>
      </c>
      <c r="G33" s="2" t="s">
        <v>200</v>
      </c>
      <c r="H33" s="2" t="s">
        <v>217</v>
      </c>
      <c r="I33" s="2" t="s">
        <v>41</v>
      </c>
      <c r="J33" s="2">
        <v>1</v>
      </c>
      <c r="K33" s="2" t="s">
        <v>81</v>
      </c>
      <c r="L33" s="2" t="s">
        <v>40</v>
      </c>
      <c r="P33" s="2" t="s">
        <v>4</v>
      </c>
      <c r="Q33" s="2">
        <f>INDEX(Tables!$C$4:$C$28,MATCH($P33,Tables!$B$4:$B$28,0))</f>
        <v>32</v>
      </c>
      <c r="R33" s="2">
        <f>INDEX(Tables!$D$4:$D$28,MATCH($P33,Tables!$B$4:$B$28,0))</f>
        <v>4</v>
      </c>
      <c r="S33" s="2">
        <f>$S32+$R32+INDEX(Tables!$N$5:$Q$8,MATCH(MOD($S32+$R32,4),Tables!$M$5:$M$8,0),MATCH($R33,Tables!$N$4:$Q$4,0))</f>
        <v>112</v>
      </c>
      <c r="T33" s="2" t="str">
        <f t="shared" si="7"/>
        <v>0070</v>
      </c>
      <c r="U33" s="2">
        <f t="shared" si="24"/>
        <v>28</v>
      </c>
      <c r="V33" s="2" t="str">
        <f t="shared" si="9"/>
        <v>01C</v>
      </c>
      <c r="W33" s="2" t="str">
        <f t="shared" si="10"/>
        <v/>
      </c>
      <c r="X33" s="2" t="str">
        <f t="shared" si="14"/>
        <v/>
      </c>
      <c r="Y33" s="2" t="str">
        <f t="shared" si="11"/>
        <v/>
      </c>
      <c r="Z33" s="2" t="str">
        <f t="shared" si="12"/>
        <v>X</v>
      </c>
      <c r="AA33" s="2" t="str">
        <f t="shared" si="25"/>
        <v/>
      </c>
      <c r="AB33" s="2" t="str">
        <f t="shared" si="26"/>
        <v/>
      </c>
      <c r="AC33" s="2" t="str">
        <f t="shared" si="27"/>
        <v/>
      </c>
      <c r="AD33" s="2" t="str">
        <f t="shared" si="28"/>
        <v>(0)</v>
      </c>
      <c r="AE33" s="2" t="str">
        <f t="shared" si="29"/>
        <v/>
      </c>
      <c r="AF33" s="2" t="str">
        <f t="shared" si="30"/>
        <v/>
      </c>
      <c r="AG33" s="2" t="str">
        <f t="shared" si="31"/>
        <v/>
      </c>
      <c r="AH33" s="2" t="str">
        <f t="shared" si="32"/>
        <v/>
      </c>
    </row>
    <row r="34" spans="2:34" x14ac:dyDescent="0.25">
      <c r="B34" s="2" t="s">
        <v>197</v>
      </c>
      <c r="C34" s="2" t="s">
        <v>218</v>
      </c>
      <c r="D34" s="2" t="s">
        <v>0</v>
      </c>
      <c r="E34" s="2" t="s">
        <v>130</v>
      </c>
      <c r="F34" s="2" t="s">
        <v>199</v>
      </c>
      <c r="G34" s="2" t="s">
        <v>200</v>
      </c>
      <c r="H34" s="2" t="s">
        <v>219</v>
      </c>
      <c r="I34" s="2" t="s">
        <v>41</v>
      </c>
      <c r="J34" s="2">
        <v>1</v>
      </c>
      <c r="K34" s="2" t="s">
        <v>81</v>
      </c>
      <c r="L34" s="2" t="s">
        <v>40</v>
      </c>
      <c r="P34" s="2" t="s">
        <v>4</v>
      </c>
      <c r="Q34" s="2">
        <f>INDEX(Tables!$C$4:$C$28,MATCH($P34,Tables!$B$4:$B$28,0))</f>
        <v>32</v>
      </c>
      <c r="R34" s="2">
        <f>INDEX(Tables!$D$4:$D$28,MATCH($P34,Tables!$B$4:$B$28,0))</f>
        <v>4</v>
      </c>
      <c r="S34" s="2">
        <f>$S33+$R33+INDEX(Tables!$N$5:$Q$8,MATCH(MOD($S33+$R33,4),Tables!$M$5:$M$8,0),MATCH($R34,Tables!$N$4:$Q$4,0))</f>
        <v>116</v>
      </c>
      <c r="T34" s="2" t="str">
        <f t="shared" si="7"/>
        <v>0074</v>
      </c>
      <c r="U34" s="2">
        <f t="shared" si="24"/>
        <v>29</v>
      </c>
      <c r="V34" s="2" t="str">
        <f t="shared" si="9"/>
        <v>01D</v>
      </c>
      <c r="W34" s="2" t="str">
        <f t="shared" si="10"/>
        <v/>
      </c>
      <c r="X34" s="2" t="str">
        <f t="shared" si="14"/>
        <v/>
      </c>
      <c r="Y34" s="2" t="str">
        <f t="shared" si="11"/>
        <v/>
      </c>
      <c r="Z34" s="2" t="str">
        <f t="shared" si="12"/>
        <v>X</v>
      </c>
      <c r="AA34" s="2" t="str">
        <f t="shared" si="25"/>
        <v/>
      </c>
      <c r="AB34" s="2" t="str">
        <f t="shared" si="26"/>
        <v/>
      </c>
      <c r="AC34" s="2" t="str">
        <f t="shared" si="27"/>
        <v/>
      </c>
      <c r="AD34" s="2" t="str">
        <f t="shared" si="28"/>
        <v>(0)</v>
      </c>
      <c r="AE34" s="2" t="str">
        <f t="shared" si="29"/>
        <v/>
      </c>
      <c r="AF34" s="2" t="str">
        <f t="shared" si="30"/>
        <v/>
      </c>
      <c r="AG34" s="2" t="str">
        <f t="shared" si="31"/>
        <v/>
      </c>
      <c r="AH34" s="2" t="str">
        <f t="shared" si="32"/>
        <v/>
      </c>
    </row>
    <row r="35" spans="2:34" x14ac:dyDescent="0.25">
      <c r="B35" s="2" t="s">
        <v>197</v>
      </c>
      <c r="C35" s="2" t="s">
        <v>220</v>
      </c>
      <c r="D35" s="2" t="s">
        <v>0</v>
      </c>
      <c r="E35" s="2" t="s">
        <v>130</v>
      </c>
      <c r="F35" s="2" t="s">
        <v>199</v>
      </c>
      <c r="G35" s="2" t="s">
        <v>200</v>
      </c>
      <c r="H35" s="2" t="s">
        <v>221</v>
      </c>
      <c r="I35" s="2" t="s">
        <v>41</v>
      </c>
      <c r="J35" s="2">
        <v>1</v>
      </c>
      <c r="K35" s="2" t="s">
        <v>81</v>
      </c>
      <c r="L35" s="2" t="s">
        <v>40</v>
      </c>
      <c r="P35" s="2" t="s">
        <v>4</v>
      </c>
      <c r="Q35" s="2">
        <f>INDEX(Tables!$C$4:$C$28,MATCH($P35,Tables!$B$4:$B$28,0))</f>
        <v>32</v>
      </c>
      <c r="R35" s="2">
        <f>INDEX(Tables!$D$4:$D$28,MATCH($P35,Tables!$B$4:$B$28,0))</f>
        <v>4</v>
      </c>
      <c r="S35" s="2">
        <f>$S34+$R34+INDEX(Tables!$N$5:$Q$8,MATCH(MOD($S34+$R34,4),Tables!$M$5:$M$8,0),MATCH($R35,Tables!$N$4:$Q$4,0))</f>
        <v>120</v>
      </c>
      <c r="T35" s="2" t="str">
        <f t="shared" si="7"/>
        <v>0078</v>
      </c>
      <c r="U35" s="2">
        <f t="shared" si="24"/>
        <v>30</v>
      </c>
      <c r="V35" s="2" t="str">
        <f t="shared" si="9"/>
        <v>01E</v>
      </c>
      <c r="W35" s="2" t="str">
        <f t="shared" si="10"/>
        <v/>
      </c>
      <c r="X35" s="2" t="str">
        <f t="shared" si="14"/>
        <v/>
      </c>
      <c r="Y35" s="2" t="str">
        <f t="shared" si="11"/>
        <v/>
      </c>
      <c r="Z35" s="2" t="str">
        <f t="shared" si="12"/>
        <v>X</v>
      </c>
      <c r="AA35" s="2" t="str">
        <f t="shared" si="25"/>
        <v/>
      </c>
      <c r="AB35" s="2" t="str">
        <f t="shared" si="26"/>
        <v/>
      </c>
      <c r="AC35" s="2" t="str">
        <f t="shared" si="27"/>
        <v/>
      </c>
      <c r="AD35" s="2" t="str">
        <f t="shared" si="28"/>
        <v>(0)</v>
      </c>
      <c r="AE35" s="2" t="str">
        <f t="shared" si="29"/>
        <v/>
      </c>
      <c r="AF35" s="2" t="str">
        <f t="shared" si="30"/>
        <v/>
      </c>
      <c r="AG35" s="2" t="str">
        <f t="shared" si="31"/>
        <v/>
      </c>
      <c r="AH35" s="2" t="str">
        <f t="shared" si="32"/>
        <v/>
      </c>
    </row>
    <row r="36" spans="2:34" x14ac:dyDescent="0.25">
      <c r="B36" s="2" t="s">
        <v>197</v>
      </c>
      <c r="C36" s="2" t="s">
        <v>222</v>
      </c>
      <c r="D36" s="2" t="s">
        <v>0</v>
      </c>
      <c r="E36" s="2" t="s">
        <v>130</v>
      </c>
      <c r="F36" s="2" t="s">
        <v>199</v>
      </c>
      <c r="G36" s="2" t="s">
        <v>200</v>
      </c>
      <c r="H36" s="2" t="s">
        <v>223</v>
      </c>
      <c r="I36" s="2" t="s">
        <v>41</v>
      </c>
      <c r="J36" s="2">
        <v>1</v>
      </c>
      <c r="K36" s="2" t="s">
        <v>81</v>
      </c>
      <c r="L36" s="2" t="s">
        <v>40</v>
      </c>
      <c r="P36" s="2" t="s">
        <v>4</v>
      </c>
      <c r="Q36" s="2">
        <f>INDEX(Tables!$C$4:$C$28,MATCH($P36,Tables!$B$4:$B$28,0))</f>
        <v>32</v>
      </c>
      <c r="R36" s="2">
        <f>INDEX(Tables!$D$4:$D$28,MATCH($P36,Tables!$B$4:$B$28,0))</f>
        <v>4</v>
      </c>
      <c r="S36" s="2">
        <f>$S35+$R35+INDEX(Tables!$N$5:$Q$8,MATCH(MOD($S35+$R35,4),Tables!$M$5:$M$8,0),MATCH($R36,Tables!$N$4:$Q$4,0))</f>
        <v>124</v>
      </c>
      <c r="T36" s="2" t="str">
        <f t="shared" si="7"/>
        <v>007C</v>
      </c>
      <c r="U36" s="2">
        <f t="shared" si="24"/>
        <v>31</v>
      </c>
      <c r="V36" s="2" t="str">
        <f t="shared" si="9"/>
        <v>01F</v>
      </c>
      <c r="W36" s="2" t="str">
        <f t="shared" si="10"/>
        <v/>
      </c>
      <c r="X36" s="2" t="str">
        <f t="shared" si="14"/>
        <v/>
      </c>
      <c r="Y36" s="2" t="str">
        <f t="shared" si="11"/>
        <v/>
      </c>
      <c r="Z36" s="2" t="str">
        <f t="shared" si="12"/>
        <v>X</v>
      </c>
      <c r="AA36" s="2" t="str">
        <f t="shared" si="25"/>
        <v/>
      </c>
      <c r="AB36" s="2" t="str">
        <f t="shared" si="26"/>
        <v/>
      </c>
      <c r="AC36" s="2" t="str">
        <f t="shared" si="27"/>
        <v/>
      </c>
      <c r="AD36" s="2" t="str">
        <f t="shared" si="28"/>
        <v>(0)</v>
      </c>
      <c r="AE36" s="2" t="str">
        <f t="shared" si="29"/>
        <v/>
      </c>
      <c r="AF36" s="2" t="str">
        <f t="shared" si="30"/>
        <v/>
      </c>
      <c r="AG36" s="2" t="str">
        <f t="shared" si="31"/>
        <v/>
      </c>
      <c r="AH36" s="2" t="str">
        <f t="shared" si="32"/>
        <v/>
      </c>
    </row>
    <row r="37" spans="2:34" x14ac:dyDescent="0.25">
      <c r="B37" s="2" t="s">
        <v>197</v>
      </c>
      <c r="C37" s="2" t="s">
        <v>224</v>
      </c>
      <c r="D37" s="2" t="s">
        <v>0</v>
      </c>
      <c r="E37" s="2" t="s">
        <v>130</v>
      </c>
      <c r="F37" s="2" t="s">
        <v>199</v>
      </c>
      <c r="G37" s="2" t="s">
        <v>200</v>
      </c>
      <c r="H37" s="2" t="s">
        <v>225</v>
      </c>
      <c r="I37" s="2" t="s">
        <v>41</v>
      </c>
      <c r="J37" s="2">
        <v>1</v>
      </c>
      <c r="K37" s="2" t="s">
        <v>81</v>
      </c>
      <c r="L37" s="2" t="s">
        <v>40</v>
      </c>
      <c r="P37" s="2" t="s">
        <v>4</v>
      </c>
      <c r="Q37" s="2">
        <f>INDEX(Tables!$C$4:$C$28,MATCH($P37,Tables!$B$4:$B$28,0))</f>
        <v>32</v>
      </c>
      <c r="R37" s="2">
        <f>INDEX(Tables!$D$4:$D$28,MATCH($P37,Tables!$B$4:$B$28,0))</f>
        <v>4</v>
      </c>
      <c r="S37" s="2">
        <f>$S36+$R36+INDEX(Tables!$N$5:$Q$8,MATCH(MOD($S36+$R36,4),Tables!$M$5:$M$8,0),MATCH($R37,Tables!$N$4:$Q$4,0))</f>
        <v>128</v>
      </c>
      <c r="T37" s="2" t="str">
        <f t="shared" si="7"/>
        <v>0080</v>
      </c>
      <c r="U37" s="2">
        <f t="shared" si="24"/>
        <v>32</v>
      </c>
      <c r="V37" s="2" t="str">
        <f t="shared" si="9"/>
        <v>020</v>
      </c>
      <c r="W37" s="2" t="str">
        <f t="shared" si="10"/>
        <v/>
      </c>
      <c r="X37" s="2" t="str">
        <f t="shared" si="14"/>
        <v/>
      </c>
      <c r="Y37" s="2" t="str">
        <f t="shared" si="11"/>
        <v/>
      </c>
      <c r="Z37" s="2" t="str">
        <f t="shared" si="12"/>
        <v>X</v>
      </c>
      <c r="AA37" s="2" t="str">
        <f t="shared" si="25"/>
        <v/>
      </c>
      <c r="AB37" s="2" t="str">
        <f t="shared" si="26"/>
        <v/>
      </c>
      <c r="AC37" s="2" t="str">
        <f t="shared" si="27"/>
        <v/>
      </c>
      <c r="AD37" s="2" t="str">
        <f t="shared" si="28"/>
        <v>(0)</v>
      </c>
      <c r="AE37" s="2" t="str">
        <f t="shared" si="29"/>
        <v/>
      </c>
      <c r="AF37" s="2" t="str">
        <f t="shared" si="30"/>
        <v/>
      </c>
      <c r="AG37" s="2" t="str">
        <f t="shared" si="31"/>
        <v/>
      </c>
      <c r="AH37" s="2" t="str">
        <f t="shared" si="32"/>
        <v/>
      </c>
    </row>
    <row r="38" spans="2:34" x14ac:dyDescent="0.25">
      <c r="B38" s="2" t="s">
        <v>197</v>
      </c>
      <c r="C38" s="2" t="s">
        <v>226</v>
      </c>
      <c r="D38" s="2" t="s">
        <v>0</v>
      </c>
      <c r="E38" s="2" t="s">
        <v>130</v>
      </c>
      <c r="F38" s="2" t="s">
        <v>199</v>
      </c>
      <c r="G38" s="2" t="s">
        <v>200</v>
      </c>
      <c r="H38" s="2" t="s">
        <v>227</v>
      </c>
      <c r="I38" s="2" t="s">
        <v>41</v>
      </c>
      <c r="J38" s="2">
        <v>1</v>
      </c>
      <c r="K38" s="2" t="s">
        <v>81</v>
      </c>
      <c r="L38" s="2" t="s">
        <v>40</v>
      </c>
      <c r="P38" s="2" t="s">
        <v>4</v>
      </c>
      <c r="Q38" s="2">
        <f>INDEX(Tables!$C$4:$C$28,MATCH($P38,Tables!$B$4:$B$28,0))</f>
        <v>32</v>
      </c>
      <c r="R38" s="2">
        <f>INDEX(Tables!$D$4:$D$28,MATCH($P38,Tables!$B$4:$B$28,0))</f>
        <v>4</v>
      </c>
      <c r="S38" s="2">
        <f>$S37+$R37+INDEX(Tables!$N$5:$Q$8,MATCH(MOD($S37+$R37,4),Tables!$M$5:$M$8,0),MATCH($R38,Tables!$N$4:$Q$4,0))</f>
        <v>132</v>
      </c>
      <c r="T38" s="2" t="str">
        <f t="shared" si="7"/>
        <v>0084</v>
      </c>
      <c r="U38" s="2">
        <f t="shared" si="24"/>
        <v>33</v>
      </c>
      <c r="V38" s="2" t="str">
        <f t="shared" si="9"/>
        <v>021</v>
      </c>
      <c r="W38" s="2" t="str">
        <f t="shared" si="10"/>
        <v/>
      </c>
      <c r="X38" s="2" t="str">
        <f t="shared" si="14"/>
        <v/>
      </c>
      <c r="Y38" s="2" t="str">
        <f t="shared" si="11"/>
        <v/>
      </c>
      <c r="Z38" s="2" t="str">
        <f t="shared" si="12"/>
        <v>X</v>
      </c>
      <c r="AA38" s="2" t="str">
        <f t="shared" si="25"/>
        <v/>
      </c>
      <c r="AB38" s="2" t="str">
        <f t="shared" si="26"/>
        <v/>
      </c>
      <c r="AC38" s="2" t="str">
        <f t="shared" si="27"/>
        <v/>
      </c>
      <c r="AD38" s="2" t="str">
        <f t="shared" si="28"/>
        <v>(0)</v>
      </c>
      <c r="AE38" s="2" t="str">
        <f t="shared" si="29"/>
        <v/>
      </c>
      <c r="AF38" s="2" t="str">
        <f t="shared" si="30"/>
        <v/>
      </c>
      <c r="AG38" s="2" t="str">
        <f t="shared" si="31"/>
        <v/>
      </c>
      <c r="AH38" s="2" t="str">
        <f t="shared" si="32"/>
        <v/>
      </c>
    </row>
    <row r="39" spans="2:34" x14ac:dyDescent="0.25">
      <c r="B39" s="2" t="s">
        <v>197</v>
      </c>
      <c r="C39" s="2" t="s">
        <v>228</v>
      </c>
      <c r="D39" s="2" t="s">
        <v>0</v>
      </c>
      <c r="E39" s="2" t="s">
        <v>130</v>
      </c>
      <c r="F39" s="2" t="s">
        <v>199</v>
      </c>
      <c r="G39" s="2" t="s">
        <v>200</v>
      </c>
      <c r="H39" s="2" t="s">
        <v>229</v>
      </c>
      <c r="I39" s="2" t="s">
        <v>41</v>
      </c>
      <c r="J39" s="2">
        <v>1</v>
      </c>
      <c r="K39" s="2" t="s">
        <v>81</v>
      </c>
      <c r="L39" s="2" t="s">
        <v>40</v>
      </c>
      <c r="P39" s="2" t="s">
        <v>4</v>
      </c>
      <c r="Q39" s="2">
        <f>INDEX(Tables!$C$4:$C$28,MATCH($P39,Tables!$B$4:$B$28,0))</f>
        <v>32</v>
      </c>
      <c r="R39" s="2">
        <f>INDEX(Tables!$D$4:$D$28,MATCH($P39,Tables!$B$4:$B$28,0))</f>
        <v>4</v>
      </c>
      <c r="S39" s="2">
        <f>$S38+$R38+INDEX(Tables!$N$5:$Q$8,MATCH(MOD($S38+$R38,4),Tables!$M$5:$M$8,0),MATCH($R39,Tables!$N$4:$Q$4,0))</f>
        <v>136</v>
      </c>
      <c r="T39" s="2" t="str">
        <f t="shared" si="7"/>
        <v>0088</v>
      </c>
      <c r="U39" s="2">
        <f t="shared" si="24"/>
        <v>34</v>
      </c>
      <c r="V39" s="2" t="str">
        <f t="shared" si="9"/>
        <v>022</v>
      </c>
      <c r="W39" s="2" t="str">
        <f t="shared" si="10"/>
        <v/>
      </c>
      <c r="X39" s="2" t="str">
        <f t="shared" si="14"/>
        <v/>
      </c>
      <c r="Y39" s="2" t="str">
        <f t="shared" si="11"/>
        <v/>
      </c>
      <c r="Z39" s="2" t="str">
        <f t="shared" si="12"/>
        <v>X</v>
      </c>
      <c r="AA39" s="2" t="str">
        <f t="shared" si="25"/>
        <v/>
      </c>
      <c r="AB39" s="2" t="str">
        <f t="shared" si="26"/>
        <v/>
      </c>
      <c r="AC39" s="2" t="str">
        <f t="shared" si="27"/>
        <v/>
      </c>
      <c r="AD39" s="2" t="str">
        <f t="shared" si="28"/>
        <v>(0)</v>
      </c>
      <c r="AE39" s="2" t="str">
        <f t="shared" si="29"/>
        <v/>
      </c>
      <c r="AF39" s="2" t="str">
        <f t="shared" si="30"/>
        <v/>
      </c>
      <c r="AG39" s="2" t="str">
        <f t="shared" si="31"/>
        <v/>
      </c>
      <c r="AH39" s="2" t="str">
        <f t="shared" si="32"/>
        <v/>
      </c>
    </row>
    <row r="40" spans="2:34" x14ac:dyDescent="0.25">
      <c r="B40" s="2" t="s">
        <v>197</v>
      </c>
      <c r="C40" s="2" t="s">
        <v>230</v>
      </c>
      <c r="D40" s="2" t="s">
        <v>0</v>
      </c>
      <c r="E40" s="2" t="s">
        <v>130</v>
      </c>
      <c r="F40" s="2" t="s">
        <v>199</v>
      </c>
      <c r="G40" s="2" t="s">
        <v>200</v>
      </c>
      <c r="H40" s="2" t="s">
        <v>231</v>
      </c>
      <c r="I40" s="2" t="s">
        <v>41</v>
      </c>
      <c r="J40" s="2">
        <v>1</v>
      </c>
      <c r="K40" s="2" t="s">
        <v>81</v>
      </c>
      <c r="L40" s="2" t="s">
        <v>40</v>
      </c>
      <c r="P40" s="2" t="s">
        <v>4</v>
      </c>
      <c r="Q40" s="2">
        <f>INDEX(Tables!$C$4:$C$28,MATCH($P40,Tables!$B$4:$B$28,0))</f>
        <v>32</v>
      </c>
      <c r="R40" s="2">
        <f>INDEX(Tables!$D$4:$D$28,MATCH($P40,Tables!$B$4:$B$28,0))</f>
        <v>4</v>
      </c>
      <c r="S40" s="2">
        <f>$S39+$R39+INDEX(Tables!$N$5:$Q$8,MATCH(MOD($S39+$R39,4),Tables!$M$5:$M$8,0),MATCH($R40,Tables!$N$4:$Q$4,0))</f>
        <v>140</v>
      </c>
      <c r="T40" s="2" t="str">
        <f t="shared" si="7"/>
        <v>008C</v>
      </c>
      <c r="U40" s="2">
        <f t="shared" si="24"/>
        <v>35</v>
      </c>
      <c r="V40" s="2" t="str">
        <f t="shared" si="9"/>
        <v>023</v>
      </c>
      <c r="W40" s="2" t="str">
        <f t="shared" si="10"/>
        <v/>
      </c>
      <c r="X40" s="2" t="str">
        <f t="shared" si="14"/>
        <v/>
      </c>
      <c r="Y40" s="2" t="str">
        <f t="shared" si="11"/>
        <v/>
      </c>
      <c r="Z40" s="2" t="str">
        <f t="shared" si="12"/>
        <v>X</v>
      </c>
      <c r="AA40" s="2" t="str">
        <f t="shared" si="25"/>
        <v/>
      </c>
      <c r="AB40" s="2" t="str">
        <f t="shared" si="26"/>
        <v/>
      </c>
      <c r="AC40" s="2" t="str">
        <f t="shared" si="27"/>
        <v/>
      </c>
      <c r="AD40" s="2" t="str">
        <f t="shared" si="28"/>
        <v>(0)</v>
      </c>
      <c r="AE40" s="2" t="str">
        <f t="shared" si="29"/>
        <v/>
      </c>
      <c r="AF40" s="2" t="str">
        <f t="shared" si="30"/>
        <v/>
      </c>
      <c r="AG40" s="2" t="str">
        <f t="shared" si="31"/>
        <v/>
      </c>
      <c r="AH40" s="2" t="str">
        <f t="shared" si="32"/>
        <v/>
      </c>
    </row>
    <row r="41" spans="2:34" x14ac:dyDescent="0.25">
      <c r="B41" s="2" t="s">
        <v>197</v>
      </c>
      <c r="C41" s="2" t="s">
        <v>232</v>
      </c>
      <c r="D41" s="2" t="s">
        <v>0</v>
      </c>
      <c r="E41" s="2" t="s">
        <v>130</v>
      </c>
      <c r="F41" s="2" t="s">
        <v>199</v>
      </c>
      <c r="G41" s="2" t="s">
        <v>200</v>
      </c>
      <c r="H41" s="2" t="s">
        <v>233</v>
      </c>
      <c r="I41" s="2" t="s">
        <v>41</v>
      </c>
      <c r="J41" s="2">
        <v>1</v>
      </c>
      <c r="K41" s="2" t="s">
        <v>81</v>
      </c>
      <c r="L41" s="2" t="s">
        <v>40</v>
      </c>
      <c r="P41" s="2" t="s">
        <v>4</v>
      </c>
      <c r="Q41" s="2">
        <f>INDEX(Tables!$C$4:$C$28,MATCH($P41,Tables!$B$4:$B$28,0))</f>
        <v>32</v>
      </c>
      <c r="R41" s="2">
        <f>INDEX(Tables!$D$4:$D$28,MATCH($P41,Tables!$B$4:$B$28,0))</f>
        <v>4</v>
      </c>
      <c r="S41" s="2">
        <f>$S40+$R40+INDEX(Tables!$N$5:$Q$8,MATCH(MOD($S40+$R40,4),Tables!$M$5:$M$8,0),MATCH($R41,Tables!$N$4:$Q$4,0))</f>
        <v>144</v>
      </c>
      <c r="T41" s="2" t="str">
        <f t="shared" si="7"/>
        <v>0090</v>
      </c>
      <c r="U41" s="2">
        <f t="shared" si="24"/>
        <v>36</v>
      </c>
      <c r="V41" s="2" t="str">
        <f t="shared" si="9"/>
        <v>024</v>
      </c>
      <c r="W41" s="2" t="str">
        <f t="shared" si="10"/>
        <v/>
      </c>
      <c r="X41" s="2" t="str">
        <f t="shared" si="14"/>
        <v/>
      </c>
      <c r="Y41" s="2" t="str">
        <f t="shared" si="11"/>
        <v/>
      </c>
      <c r="Z41" s="2" t="str">
        <f t="shared" si="12"/>
        <v>X</v>
      </c>
      <c r="AA41" s="2" t="str">
        <f t="shared" si="25"/>
        <v/>
      </c>
      <c r="AB41" s="2" t="str">
        <f t="shared" si="26"/>
        <v/>
      </c>
      <c r="AC41" s="2" t="str">
        <f t="shared" si="27"/>
        <v/>
      </c>
      <c r="AD41" s="2" t="str">
        <f t="shared" si="28"/>
        <v>(0)</v>
      </c>
      <c r="AE41" s="2" t="str">
        <f t="shared" si="29"/>
        <v/>
      </c>
      <c r="AF41" s="2" t="str">
        <f t="shared" si="30"/>
        <v/>
      </c>
      <c r="AG41" s="2" t="str">
        <f t="shared" si="31"/>
        <v/>
      </c>
      <c r="AH41" s="2" t="str">
        <f t="shared" si="32"/>
        <v/>
      </c>
    </row>
    <row r="42" spans="2:34" x14ac:dyDescent="0.25">
      <c r="B42" s="2" t="s">
        <v>197</v>
      </c>
      <c r="C42" s="2" t="s">
        <v>234</v>
      </c>
      <c r="D42" s="2" t="s">
        <v>0</v>
      </c>
      <c r="E42" s="2" t="s">
        <v>130</v>
      </c>
      <c r="F42" s="2" t="s">
        <v>199</v>
      </c>
      <c r="G42" s="2" t="s">
        <v>200</v>
      </c>
      <c r="H42" s="2" t="s">
        <v>235</v>
      </c>
      <c r="I42" s="2" t="s">
        <v>41</v>
      </c>
      <c r="J42" s="2">
        <v>1</v>
      </c>
      <c r="K42" s="2" t="s">
        <v>81</v>
      </c>
      <c r="L42" s="2" t="s">
        <v>40</v>
      </c>
      <c r="P42" s="2" t="s">
        <v>4</v>
      </c>
      <c r="Q42" s="2">
        <f>INDEX(Tables!$C$4:$C$28,MATCH($P42,Tables!$B$4:$B$28,0))</f>
        <v>32</v>
      </c>
      <c r="R42" s="2">
        <f>INDEX(Tables!$D$4:$D$28,MATCH($P42,Tables!$B$4:$B$28,0))</f>
        <v>4</v>
      </c>
      <c r="S42" s="2">
        <f>$S41+$R41+INDEX(Tables!$N$5:$Q$8,MATCH(MOD($S41+$R41,4),Tables!$M$5:$M$8,0),MATCH($R42,Tables!$N$4:$Q$4,0))</f>
        <v>148</v>
      </c>
      <c r="T42" s="2" t="str">
        <f t="shared" si="7"/>
        <v>0094</v>
      </c>
      <c r="U42" s="2">
        <f t="shared" si="24"/>
        <v>37</v>
      </c>
      <c r="V42" s="2" t="str">
        <f t="shared" si="9"/>
        <v>025</v>
      </c>
      <c r="W42" s="2" t="str">
        <f t="shared" si="10"/>
        <v/>
      </c>
      <c r="X42" s="2" t="str">
        <f t="shared" si="14"/>
        <v/>
      </c>
      <c r="Y42" s="2" t="str">
        <f t="shared" si="11"/>
        <v/>
      </c>
      <c r="Z42" s="2" t="str">
        <f t="shared" si="12"/>
        <v>X</v>
      </c>
      <c r="AA42" s="2" t="str">
        <f t="shared" si="25"/>
        <v/>
      </c>
      <c r="AB42" s="2" t="str">
        <f t="shared" si="26"/>
        <v/>
      </c>
      <c r="AC42" s="2" t="str">
        <f t="shared" si="27"/>
        <v/>
      </c>
      <c r="AD42" s="2" t="str">
        <f t="shared" si="28"/>
        <v>(0)</v>
      </c>
      <c r="AE42" s="2" t="str">
        <f t="shared" si="29"/>
        <v/>
      </c>
      <c r="AF42" s="2" t="str">
        <f t="shared" si="30"/>
        <v/>
      </c>
      <c r="AG42" s="2" t="str">
        <f t="shared" si="31"/>
        <v/>
      </c>
      <c r="AH42" s="2" t="str">
        <f t="shared" si="32"/>
        <v/>
      </c>
    </row>
    <row r="43" spans="2:34" x14ac:dyDescent="0.25">
      <c r="B43" s="2" t="s">
        <v>197</v>
      </c>
      <c r="C43" s="2" t="s">
        <v>236</v>
      </c>
      <c r="D43" s="2" t="s">
        <v>0</v>
      </c>
      <c r="E43" s="2" t="s">
        <v>130</v>
      </c>
      <c r="F43" s="2" t="s">
        <v>199</v>
      </c>
      <c r="G43" s="2" t="s">
        <v>200</v>
      </c>
      <c r="H43" s="2" t="s">
        <v>237</v>
      </c>
      <c r="I43" s="2" t="s">
        <v>41</v>
      </c>
      <c r="J43" s="2">
        <v>1</v>
      </c>
      <c r="K43" s="2" t="s">
        <v>81</v>
      </c>
      <c r="L43" s="2" t="s">
        <v>40</v>
      </c>
      <c r="P43" s="2" t="s">
        <v>4</v>
      </c>
      <c r="Q43" s="2">
        <f>INDEX(Tables!$C$4:$C$28,MATCH($P43,Tables!$B$4:$B$28,0))</f>
        <v>32</v>
      </c>
      <c r="R43" s="2">
        <f>INDEX(Tables!$D$4:$D$28,MATCH($P43,Tables!$B$4:$B$28,0))</f>
        <v>4</v>
      </c>
      <c r="S43" s="2">
        <f>$S42+$R42+INDEX(Tables!$N$5:$Q$8,MATCH(MOD($S42+$R42,4),Tables!$M$5:$M$8,0),MATCH($R43,Tables!$N$4:$Q$4,0))</f>
        <v>152</v>
      </c>
      <c r="T43" s="2" t="str">
        <f t="shared" si="7"/>
        <v>0098</v>
      </c>
      <c r="U43" s="2">
        <f t="shared" si="24"/>
        <v>38</v>
      </c>
      <c r="V43" s="2" t="str">
        <f t="shared" si="9"/>
        <v>026</v>
      </c>
      <c r="W43" s="2" t="str">
        <f t="shared" si="10"/>
        <v/>
      </c>
      <c r="X43" s="2" t="str">
        <f t="shared" si="14"/>
        <v/>
      </c>
      <c r="Y43" s="2" t="str">
        <f t="shared" si="11"/>
        <v/>
      </c>
      <c r="Z43" s="2" t="str">
        <f t="shared" si="12"/>
        <v>X</v>
      </c>
      <c r="AA43" s="2" t="str">
        <f t="shared" si="25"/>
        <v/>
      </c>
      <c r="AB43" s="2" t="str">
        <f t="shared" si="26"/>
        <v/>
      </c>
      <c r="AC43" s="2" t="str">
        <f t="shared" si="27"/>
        <v/>
      </c>
      <c r="AD43" s="2" t="str">
        <f t="shared" si="28"/>
        <v>(0)</v>
      </c>
      <c r="AE43" s="2" t="str">
        <f t="shared" si="29"/>
        <v/>
      </c>
      <c r="AF43" s="2" t="str">
        <f t="shared" si="30"/>
        <v/>
      </c>
      <c r="AG43" s="2" t="str">
        <f t="shared" si="31"/>
        <v/>
      </c>
      <c r="AH43" s="2" t="str">
        <f t="shared" si="32"/>
        <v/>
      </c>
    </row>
    <row r="44" spans="2:34" x14ac:dyDescent="0.25">
      <c r="B44" s="2" t="s">
        <v>197</v>
      </c>
      <c r="C44" s="2" t="s">
        <v>238</v>
      </c>
      <c r="D44" s="2" t="s">
        <v>0</v>
      </c>
      <c r="E44" s="2" t="s">
        <v>130</v>
      </c>
      <c r="F44" s="2" t="s">
        <v>199</v>
      </c>
      <c r="G44" s="2" t="s">
        <v>200</v>
      </c>
      <c r="H44" s="2" t="s">
        <v>239</v>
      </c>
      <c r="I44" s="2" t="s">
        <v>41</v>
      </c>
      <c r="J44" s="2">
        <v>1</v>
      </c>
      <c r="K44" s="2" t="s">
        <v>81</v>
      </c>
      <c r="L44" s="2" t="s">
        <v>40</v>
      </c>
      <c r="P44" s="2" t="s">
        <v>4</v>
      </c>
      <c r="Q44" s="2">
        <f>INDEX(Tables!$C$4:$C$28,MATCH($P44,Tables!$B$4:$B$28,0))</f>
        <v>32</v>
      </c>
      <c r="R44" s="2">
        <f>INDEX(Tables!$D$4:$D$28,MATCH($P44,Tables!$B$4:$B$28,0))</f>
        <v>4</v>
      </c>
      <c r="S44" s="2">
        <f>$S43+$R43+INDEX(Tables!$N$5:$Q$8,MATCH(MOD($S43+$R43,4),Tables!$M$5:$M$8,0),MATCH($R44,Tables!$N$4:$Q$4,0))</f>
        <v>156</v>
      </c>
      <c r="T44" s="2" t="str">
        <f t="shared" si="7"/>
        <v>009C</v>
      </c>
      <c r="U44" s="2">
        <f t="shared" si="24"/>
        <v>39</v>
      </c>
      <c r="V44" s="2" t="str">
        <f t="shared" si="9"/>
        <v>027</v>
      </c>
      <c r="W44" s="2" t="str">
        <f t="shared" si="10"/>
        <v/>
      </c>
      <c r="X44" s="2" t="str">
        <f t="shared" si="14"/>
        <v/>
      </c>
      <c r="Y44" s="2" t="str">
        <f t="shared" si="11"/>
        <v/>
      </c>
      <c r="Z44" s="2" t="str">
        <f t="shared" si="12"/>
        <v>X</v>
      </c>
      <c r="AA44" s="2" t="str">
        <f t="shared" si="25"/>
        <v/>
      </c>
      <c r="AB44" s="2" t="str">
        <f t="shared" si="26"/>
        <v/>
      </c>
      <c r="AC44" s="2" t="str">
        <f t="shared" si="27"/>
        <v/>
      </c>
      <c r="AD44" s="2" t="str">
        <f t="shared" si="28"/>
        <v>(0)</v>
      </c>
      <c r="AE44" s="2" t="str">
        <f t="shared" si="29"/>
        <v/>
      </c>
      <c r="AF44" s="2" t="str">
        <f t="shared" si="30"/>
        <v/>
      </c>
      <c r="AG44" s="2" t="str">
        <f t="shared" si="31"/>
        <v/>
      </c>
      <c r="AH44" s="2" t="str">
        <f t="shared" si="32"/>
        <v/>
      </c>
    </row>
    <row r="45" spans="2:34" x14ac:dyDescent="0.25">
      <c r="B45" s="2" t="s">
        <v>197</v>
      </c>
      <c r="C45" s="2" t="s">
        <v>240</v>
      </c>
      <c r="D45" s="2" t="s">
        <v>0</v>
      </c>
      <c r="E45" s="2" t="s">
        <v>130</v>
      </c>
      <c r="F45" s="2" t="s">
        <v>199</v>
      </c>
      <c r="G45" s="2" t="s">
        <v>200</v>
      </c>
      <c r="H45" s="2" t="s">
        <v>241</v>
      </c>
      <c r="I45" s="2" t="s">
        <v>41</v>
      </c>
      <c r="J45" s="2">
        <v>1</v>
      </c>
      <c r="K45" s="2" t="s">
        <v>81</v>
      </c>
      <c r="L45" s="2" t="s">
        <v>40</v>
      </c>
      <c r="P45" s="2" t="s">
        <v>4</v>
      </c>
      <c r="Q45" s="2">
        <f>INDEX(Tables!$C$4:$C$28,MATCH($P45,Tables!$B$4:$B$28,0))</f>
        <v>32</v>
      </c>
      <c r="R45" s="2">
        <f>INDEX(Tables!$D$4:$D$28,MATCH($P45,Tables!$B$4:$B$28,0))</f>
        <v>4</v>
      </c>
      <c r="S45" s="2">
        <f>$S44+$R44+INDEX(Tables!$N$5:$Q$8,MATCH(MOD($S44+$R44,4),Tables!$M$5:$M$8,0),MATCH($R45,Tables!$N$4:$Q$4,0))</f>
        <v>160</v>
      </c>
      <c r="T45" s="2" t="str">
        <f t="shared" si="7"/>
        <v>00A0</v>
      </c>
      <c r="U45" s="2">
        <f t="shared" si="24"/>
        <v>40</v>
      </c>
      <c r="V45" s="2" t="str">
        <f t="shared" si="9"/>
        <v>028</v>
      </c>
      <c r="W45" s="2" t="str">
        <f t="shared" si="10"/>
        <v/>
      </c>
      <c r="X45" s="2" t="str">
        <f t="shared" si="14"/>
        <v/>
      </c>
      <c r="Y45" s="2" t="str">
        <f t="shared" si="11"/>
        <v/>
      </c>
      <c r="Z45" s="2" t="str">
        <f t="shared" si="12"/>
        <v>X</v>
      </c>
      <c r="AA45" s="2" t="str">
        <f t="shared" si="25"/>
        <v/>
      </c>
      <c r="AB45" s="2" t="str">
        <f t="shared" si="26"/>
        <v/>
      </c>
      <c r="AC45" s="2" t="str">
        <f t="shared" si="27"/>
        <v/>
      </c>
      <c r="AD45" s="2" t="str">
        <f t="shared" si="28"/>
        <v>(0)</v>
      </c>
      <c r="AE45" s="2" t="str">
        <f t="shared" si="29"/>
        <v/>
      </c>
      <c r="AF45" s="2" t="str">
        <f t="shared" si="30"/>
        <v/>
      </c>
      <c r="AG45" s="2" t="str">
        <f t="shared" si="31"/>
        <v/>
      </c>
      <c r="AH45" s="2" t="str">
        <f t="shared" si="32"/>
        <v/>
      </c>
    </row>
    <row r="46" spans="2:34" x14ac:dyDescent="0.25">
      <c r="B46" s="2" t="s">
        <v>197</v>
      </c>
      <c r="C46" s="2" t="s">
        <v>178</v>
      </c>
      <c r="D46" s="2" t="s">
        <v>0</v>
      </c>
      <c r="E46" s="2" t="s">
        <v>130</v>
      </c>
      <c r="F46" s="2" t="s">
        <v>199</v>
      </c>
      <c r="G46" s="2" t="s">
        <v>200</v>
      </c>
      <c r="H46" s="2" t="s">
        <v>179</v>
      </c>
      <c r="I46" s="2" t="s">
        <v>41</v>
      </c>
      <c r="J46" s="2">
        <v>8</v>
      </c>
      <c r="K46" s="2" t="s">
        <v>132</v>
      </c>
      <c r="L46" s="2" t="s">
        <v>40</v>
      </c>
      <c r="P46" s="2" t="s">
        <v>47</v>
      </c>
      <c r="Q46" s="2">
        <f>INDEX(Tables!$C$4:$C$28,MATCH($P46,Tables!$B$4:$B$28,0))</f>
        <v>8</v>
      </c>
      <c r="R46" s="2">
        <f>INDEX(Tables!$D$4:$D$28,MATCH($P46,Tables!$B$4:$B$28,0))</f>
        <v>1</v>
      </c>
      <c r="S46" s="2">
        <f>$S45+$R45+INDEX(Tables!$N$5:$Q$8,MATCH(MOD($S45+$R45,4),Tables!$M$5:$M$8,0),MATCH($R46,Tables!$N$4:$Q$4,0))</f>
        <v>164</v>
      </c>
      <c r="T46" s="2" t="str">
        <f t="shared" si="7"/>
        <v>00A4</v>
      </c>
      <c r="U46" s="2">
        <f t="shared" si="24"/>
        <v>41</v>
      </c>
      <c r="V46" s="2" t="str">
        <f t="shared" si="9"/>
        <v>029</v>
      </c>
      <c r="W46" s="2" t="str">
        <f t="shared" si="10"/>
        <v/>
      </c>
      <c r="X46" s="2" t="str">
        <f t="shared" si="14"/>
        <v/>
      </c>
      <c r="Y46" s="2" t="str">
        <f t="shared" si="11"/>
        <v/>
      </c>
      <c r="Z46" s="2" t="str">
        <f t="shared" si="12"/>
        <v>X</v>
      </c>
      <c r="AA46" s="2" t="str">
        <f t="shared" si="25"/>
        <v/>
      </c>
      <c r="AB46" s="2" t="str">
        <f t="shared" si="26"/>
        <v/>
      </c>
      <c r="AC46" s="2" t="str">
        <f t="shared" si="27"/>
        <v/>
      </c>
      <c r="AD46" s="2" t="str">
        <f t="shared" si="28"/>
        <v>(7 downto 0)</v>
      </c>
      <c r="AE46" s="2" t="str">
        <f t="shared" si="29"/>
        <v/>
      </c>
      <c r="AF46" s="2" t="str">
        <f t="shared" si="30"/>
        <v/>
      </c>
      <c r="AG46" s="2" t="str">
        <f t="shared" si="31"/>
        <v/>
      </c>
      <c r="AH46" s="2" t="str">
        <f t="shared" si="32"/>
        <v/>
      </c>
    </row>
    <row r="47" spans="2:34" x14ac:dyDescent="0.25">
      <c r="B47" s="2" t="s">
        <v>242</v>
      </c>
      <c r="C47" s="2" t="s">
        <v>243</v>
      </c>
      <c r="D47" s="2" t="s">
        <v>0</v>
      </c>
      <c r="E47" s="2" t="s">
        <v>130</v>
      </c>
      <c r="F47" s="2" t="s">
        <v>244</v>
      </c>
      <c r="G47" s="2" t="s">
        <v>245</v>
      </c>
      <c r="H47" s="2" t="s">
        <v>246</v>
      </c>
      <c r="I47" s="2" t="s">
        <v>41</v>
      </c>
      <c r="J47" s="2">
        <v>2</v>
      </c>
      <c r="K47" s="2" t="s">
        <v>140</v>
      </c>
      <c r="L47" s="2" t="s">
        <v>40</v>
      </c>
      <c r="P47" s="2" t="s">
        <v>47</v>
      </c>
      <c r="Q47" s="2">
        <f>INDEX(Tables!$C$4:$C$28,MATCH($P47,Tables!$B$4:$B$28,0))</f>
        <v>8</v>
      </c>
      <c r="R47" s="2">
        <f>INDEX(Tables!$D$4:$D$28,MATCH($P47,Tables!$B$4:$B$28,0))</f>
        <v>1</v>
      </c>
      <c r="S47" s="2">
        <f>$S46+$R46+INDEX(Tables!$N$5:$Q$8,MATCH(MOD($S46+$R46,4),Tables!$M$5:$M$8,0),MATCH($R47,Tables!$N$4:$Q$4,0))</f>
        <v>165</v>
      </c>
      <c r="T47" s="2" t="str">
        <f t="shared" si="7"/>
        <v>00A5</v>
      </c>
      <c r="U47" s="2">
        <f t="shared" si="24"/>
        <v>41</v>
      </c>
      <c r="V47" s="2" t="str">
        <f t="shared" si="9"/>
        <v>029</v>
      </c>
      <c r="W47" s="2" t="str">
        <f t="shared" si="10"/>
        <v/>
      </c>
      <c r="X47" s="2" t="str">
        <f t="shared" si="14"/>
        <v/>
      </c>
      <c r="Y47" s="2" t="str">
        <f t="shared" si="11"/>
        <v>X</v>
      </c>
      <c r="Z47" s="2" t="str">
        <f t="shared" si="12"/>
        <v/>
      </c>
      <c r="AA47" s="2" t="str">
        <f t="shared" si="25"/>
        <v/>
      </c>
      <c r="AB47" s="2" t="str">
        <f t="shared" si="26"/>
        <v/>
      </c>
      <c r="AC47" s="2" t="str">
        <f t="shared" si="27"/>
        <v>(9 downto 8)</v>
      </c>
      <c r="AD47" s="2" t="str">
        <f t="shared" si="28"/>
        <v/>
      </c>
      <c r="AE47" s="2" t="str">
        <f t="shared" si="29"/>
        <v/>
      </c>
      <c r="AF47" s="2" t="str">
        <f t="shared" si="30"/>
        <v/>
      </c>
      <c r="AG47" s="2" t="str">
        <f t="shared" si="31"/>
        <v/>
      </c>
      <c r="AH47" s="2" t="str">
        <f t="shared" si="32"/>
        <v/>
      </c>
    </row>
    <row r="48" spans="2:34" x14ac:dyDescent="0.25">
      <c r="B48" s="2" t="s">
        <v>242</v>
      </c>
      <c r="C48" s="2" t="s">
        <v>247</v>
      </c>
      <c r="D48" s="2" t="s">
        <v>0</v>
      </c>
      <c r="E48" s="2" t="s">
        <v>130</v>
      </c>
      <c r="F48" s="2" t="s">
        <v>244</v>
      </c>
      <c r="G48" s="2" t="s">
        <v>245</v>
      </c>
      <c r="H48" s="2" t="s">
        <v>248</v>
      </c>
      <c r="I48" s="2" t="s">
        <v>41</v>
      </c>
      <c r="J48" s="2">
        <v>14</v>
      </c>
      <c r="K48" s="2" t="s">
        <v>249</v>
      </c>
      <c r="L48" s="2" t="s">
        <v>40</v>
      </c>
      <c r="P48" s="2" t="s">
        <v>49</v>
      </c>
      <c r="Q48" s="2">
        <f>INDEX(Tables!$C$4:$C$28,MATCH($P48,Tables!$B$4:$B$28,0))</f>
        <v>16</v>
      </c>
      <c r="R48" s="2">
        <f>INDEX(Tables!$D$4:$D$28,MATCH($P48,Tables!$B$4:$B$28,0))</f>
        <v>2</v>
      </c>
      <c r="S48" s="2">
        <f>$S47+$R47+INDEX(Tables!$N$5:$Q$8,MATCH(MOD($S47+$R47,4),Tables!$M$5:$M$8,0),MATCH($R48,Tables!$N$4:$Q$4,0))</f>
        <v>166</v>
      </c>
      <c r="T48" s="2" t="str">
        <f t="shared" si="7"/>
        <v>00A6</v>
      </c>
      <c r="U48" s="2">
        <f t="shared" si="24"/>
        <v>41</v>
      </c>
      <c r="V48" s="2" t="str">
        <f t="shared" si="9"/>
        <v>029</v>
      </c>
      <c r="W48" s="2" t="str">
        <f t="shared" si="10"/>
        <v>X</v>
      </c>
      <c r="X48" s="2" t="str">
        <f t="shared" si="14"/>
        <v>X</v>
      </c>
      <c r="Y48" s="2" t="str">
        <f t="shared" si="11"/>
        <v/>
      </c>
      <c r="Z48" s="2" t="str">
        <f t="shared" si="12"/>
        <v/>
      </c>
      <c r="AA48" s="2" t="str">
        <f t="shared" si="25"/>
        <v>(29 downto 24)</v>
      </c>
      <c r="AB48" s="2" t="str">
        <f t="shared" si="26"/>
        <v>(23 downto 16)</v>
      </c>
      <c r="AC48" s="2" t="str">
        <f t="shared" si="27"/>
        <v/>
      </c>
      <c r="AD48" s="2" t="str">
        <f t="shared" si="28"/>
        <v/>
      </c>
      <c r="AE48" s="2" t="str">
        <f t="shared" si="29"/>
        <v>(13 downto 8)</v>
      </c>
      <c r="AF48" s="2" t="str">
        <f t="shared" si="30"/>
        <v>(7 downto 0)</v>
      </c>
      <c r="AG48" s="2" t="str">
        <f t="shared" si="31"/>
        <v/>
      </c>
      <c r="AH48" s="2" t="str">
        <f t="shared" si="32"/>
        <v/>
      </c>
    </row>
    <row r="49" spans="2:34" x14ac:dyDescent="0.25">
      <c r="B49" s="2" t="s">
        <v>242</v>
      </c>
      <c r="C49" s="2" t="s">
        <v>141</v>
      </c>
      <c r="D49" s="2" t="s">
        <v>0</v>
      </c>
      <c r="E49" s="2" t="s">
        <v>130</v>
      </c>
      <c r="F49" s="2" t="s">
        <v>244</v>
      </c>
      <c r="G49" s="2" t="s">
        <v>245</v>
      </c>
      <c r="H49" s="2" t="s">
        <v>142</v>
      </c>
      <c r="I49" s="2" t="s">
        <v>41</v>
      </c>
      <c r="J49" s="2">
        <v>2</v>
      </c>
      <c r="K49" s="2" t="s">
        <v>132</v>
      </c>
      <c r="L49" s="2" t="s">
        <v>40</v>
      </c>
      <c r="P49" s="2" t="s">
        <v>47</v>
      </c>
      <c r="Q49" s="2">
        <f>INDEX(Tables!$C$4:$C$28,MATCH($P49,Tables!$B$4:$B$28,0))</f>
        <v>8</v>
      </c>
      <c r="R49" s="2">
        <f>INDEX(Tables!$D$4:$D$28,MATCH($P49,Tables!$B$4:$B$28,0))</f>
        <v>1</v>
      </c>
      <c r="S49" s="2">
        <f>$S48+$R48+INDEX(Tables!$N$5:$Q$8,MATCH(MOD($S48+$R48,4),Tables!$M$5:$M$8,0),MATCH($R49,Tables!$N$4:$Q$4,0))</f>
        <v>168</v>
      </c>
      <c r="T49" s="2" t="str">
        <f t="shared" si="7"/>
        <v>00A8</v>
      </c>
      <c r="U49" s="2">
        <f t="shared" si="24"/>
        <v>42</v>
      </c>
      <c r="V49" s="2" t="str">
        <f t="shared" si="9"/>
        <v>02A</v>
      </c>
      <c r="W49" s="2" t="str">
        <f t="shared" si="10"/>
        <v/>
      </c>
      <c r="X49" s="2" t="str">
        <f t="shared" si="14"/>
        <v/>
      </c>
      <c r="Y49" s="2" t="str">
        <f t="shared" si="11"/>
        <v/>
      </c>
      <c r="Z49" s="2" t="str">
        <f t="shared" si="12"/>
        <v>X</v>
      </c>
      <c r="AA49" s="2" t="str">
        <f t="shared" si="25"/>
        <v/>
      </c>
      <c r="AB49" s="2" t="str">
        <f t="shared" si="26"/>
        <v/>
      </c>
      <c r="AC49" s="2" t="str">
        <f t="shared" si="27"/>
        <v/>
      </c>
      <c r="AD49" s="2" t="str">
        <f t="shared" si="28"/>
        <v>(1 downto 0)</v>
      </c>
      <c r="AE49" s="2" t="str">
        <f t="shared" si="29"/>
        <v/>
      </c>
      <c r="AF49" s="2" t="str">
        <f t="shared" si="30"/>
        <v/>
      </c>
      <c r="AG49" s="2" t="str">
        <f t="shared" si="31"/>
        <v/>
      </c>
      <c r="AH49" s="2" t="str">
        <f t="shared" si="32"/>
        <v/>
      </c>
    </row>
    <row r="50" spans="2:34" x14ac:dyDescent="0.25">
      <c r="B50" s="2" t="s">
        <v>242</v>
      </c>
      <c r="C50" s="2" t="s">
        <v>250</v>
      </c>
      <c r="D50" s="2" t="s">
        <v>0</v>
      </c>
      <c r="E50" s="2" t="s">
        <v>130</v>
      </c>
      <c r="F50" s="2" t="s">
        <v>244</v>
      </c>
      <c r="G50" s="2" t="s">
        <v>245</v>
      </c>
      <c r="H50" s="2" t="s">
        <v>251</v>
      </c>
      <c r="I50" s="2" t="s">
        <v>41</v>
      </c>
      <c r="J50" s="2">
        <v>14</v>
      </c>
      <c r="K50" s="2" t="s">
        <v>249</v>
      </c>
      <c r="L50" s="2" t="s">
        <v>40</v>
      </c>
      <c r="P50" s="2" t="s">
        <v>49</v>
      </c>
      <c r="Q50" s="2">
        <f>INDEX(Tables!$C$4:$C$28,MATCH($P50,Tables!$B$4:$B$28,0))</f>
        <v>16</v>
      </c>
      <c r="R50" s="2">
        <f>INDEX(Tables!$D$4:$D$28,MATCH($P50,Tables!$B$4:$B$28,0))</f>
        <v>2</v>
      </c>
      <c r="S50" s="2">
        <f>$S49+$R49+INDEX(Tables!$N$5:$Q$8,MATCH(MOD($S49+$R49,4),Tables!$M$5:$M$8,0),MATCH($R50,Tables!$N$4:$Q$4,0))</f>
        <v>170</v>
      </c>
      <c r="T50" s="2" t="str">
        <f t="shared" si="7"/>
        <v>00AA</v>
      </c>
      <c r="U50" s="2">
        <f t="shared" si="24"/>
        <v>42</v>
      </c>
      <c r="V50" s="2" t="str">
        <f t="shared" si="9"/>
        <v>02A</v>
      </c>
      <c r="W50" s="2" t="str">
        <f t="shared" si="10"/>
        <v>X</v>
      </c>
      <c r="X50" s="2" t="str">
        <f t="shared" si="14"/>
        <v>X</v>
      </c>
      <c r="Y50" s="2" t="str">
        <f t="shared" si="11"/>
        <v/>
      </c>
      <c r="Z50" s="2" t="str">
        <f t="shared" si="12"/>
        <v/>
      </c>
      <c r="AA50" s="2" t="str">
        <f t="shared" si="25"/>
        <v>(29 downto 24)</v>
      </c>
      <c r="AB50" s="2" t="str">
        <f t="shared" si="26"/>
        <v>(23 downto 16)</v>
      </c>
      <c r="AC50" s="2" t="str">
        <f t="shared" si="27"/>
        <v/>
      </c>
      <c r="AD50" s="2" t="str">
        <f t="shared" si="28"/>
        <v/>
      </c>
      <c r="AE50" s="2" t="str">
        <f t="shared" si="29"/>
        <v>(13 downto 8)</v>
      </c>
      <c r="AF50" s="2" t="str">
        <f t="shared" si="30"/>
        <v>(7 downto 0)</v>
      </c>
      <c r="AG50" s="2" t="str">
        <f t="shared" si="31"/>
        <v/>
      </c>
      <c r="AH50" s="2" t="str">
        <f t="shared" si="32"/>
        <v/>
      </c>
    </row>
    <row r="51" spans="2:34" x14ac:dyDescent="0.25">
      <c r="B51" s="2" t="s">
        <v>252</v>
      </c>
      <c r="C51" s="2" t="s">
        <v>253</v>
      </c>
      <c r="D51" s="2" t="s">
        <v>0</v>
      </c>
      <c r="E51" s="2" t="s">
        <v>130</v>
      </c>
      <c r="F51" s="2" t="s">
        <v>254</v>
      </c>
      <c r="G51" s="2" t="s">
        <v>255</v>
      </c>
      <c r="H51" s="2" t="s">
        <v>256</v>
      </c>
      <c r="I51" s="2" t="s">
        <v>41</v>
      </c>
      <c r="J51" s="2">
        <v>8</v>
      </c>
      <c r="K51" s="2" t="s">
        <v>132</v>
      </c>
      <c r="L51" s="2" t="s">
        <v>40</v>
      </c>
      <c r="P51" s="2" t="s">
        <v>47</v>
      </c>
      <c r="Q51" s="2">
        <f>INDEX(Tables!$C$4:$C$28,MATCH($P51,Tables!$B$4:$B$28,0))</f>
        <v>8</v>
      </c>
      <c r="R51" s="2">
        <f>INDEX(Tables!$D$4:$D$28,MATCH($P51,Tables!$B$4:$B$28,0))</f>
        <v>1</v>
      </c>
      <c r="S51" s="2">
        <f>$S50+$R50+INDEX(Tables!$N$5:$Q$8,MATCH(MOD($S50+$R50,4),Tables!$M$5:$M$8,0),MATCH($R51,Tables!$N$4:$Q$4,0))</f>
        <v>172</v>
      </c>
      <c r="T51" s="2" t="str">
        <f t="shared" si="7"/>
        <v>00AC</v>
      </c>
      <c r="U51" s="2">
        <f t="shared" si="24"/>
        <v>43</v>
      </c>
      <c r="V51" s="2" t="str">
        <f t="shared" si="9"/>
        <v>02B</v>
      </c>
      <c r="W51" s="2" t="str">
        <f t="shared" si="10"/>
        <v/>
      </c>
      <c r="X51" s="2" t="str">
        <f t="shared" si="14"/>
        <v/>
      </c>
      <c r="Y51" s="2" t="str">
        <f t="shared" si="11"/>
        <v/>
      </c>
      <c r="Z51" s="2" t="str">
        <f t="shared" si="12"/>
        <v>X</v>
      </c>
      <c r="AA51" s="2" t="str">
        <f t="shared" si="25"/>
        <v/>
      </c>
      <c r="AB51" s="2" t="str">
        <f t="shared" si="26"/>
        <v/>
      </c>
      <c r="AC51" s="2" t="str">
        <f t="shared" si="27"/>
        <v/>
      </c>
      <c r="AD51" s="2" t="str">
        <f t="shared" si="28"/>
        <v>(7 downto 0)</v>
      </c>
      <c r="AE51" s="2" t="str">
        <f t="shared" si="29"/>
        <v/>
      </c>
      <c r="AF51" s="2" t="str">
        <f t="shared" si="30"/>
        <v/>
      </c>
      <c r="AG51" s="2" t="str">
        <f t="shared" si="31"/>
        <v/>
      </c>
      <c r="AH51" s="2" t="str">
        <f t="shared" si="32"/>
        <v/>
      </c>
    </row>
    <row r="52" spans="2:34" x14ac:dyDescent="0.25">
      <c r="B52" s="2" t="s">
        <v>252</v>
      </c>
      <c r="C52" s="2" t="s">
        <v>257</v>
      </c>
      <c r="D52" s="2" t="s">
        <v>0</v>
      </c>
      <c r="E52" s="2" t="s">
        <v>130</v>
      </c>
      <c r="F52" s="2" t="s">
        <v>254</v>
      </c>
      <c r="G52" s="2" t="s">
        <v>255</v>
      </c>
      <c r="H52" s="2" t="s">
        <v>258</v>
      </c>
      <c r="I52" s="2" t="s">
        <v>41</v>
      </c>
      <c r="J52" s="2">
        <v>8</v>
      </c>
      <c r="K52" s="2" t="s">
        <v>132</v>
      </c>
      <c r="L52" s="2" t="s">
        <v>40</v>
      </c>
      <c r="P52" s="2" t="s">
        <v>47</v>
      </c>
      <c r="Q52" s="2">
        <f>INDEX(Tables!$C$4:$C$28,MATCH($P52,Tables!$B$4:$B$28,0))</f>
        <v>8</v>
      </c>
      <c r="R52" s="2">
        <f>INDEX(Tables!$D$4:$D$28,MATCH($P52,Tables!$B$4:$B$28,0))</f>
        <v>1</v>
      </c>
      <c r="S52" s="2">
        <f>$S51+$R51+INDEX(Tables!$N$5:$Q$8,MATCH(MOD($S51+$R51,4),Tables!$M$5:$M$8,0),MATCH($R52,Tables!$N$4:$Q$4,0))</f>
        <v>173</v>
      </c>
      <c r="T52" s="2" t="str">
        <f t="shared" si="7"/>
        <v>00AD</v>
      </c>
      <c r="U52" s="2">
        <f t="shared" si="24"/>
        <v>43</v>
      </c>
      <c r="V52" s="2" t="str">
        <f t="shared" si="9"/>
        <v>02B</v>
      </c>
      <c r="W52" s="2" t="str">
        <f t="shared" si="10"/>
        <v/>
      </c>
      <c r="X52" s="2" t="str">
        <f t="shared" si="14"/>
        <v/>
      </c>
      <c r="Y52" s="2" t="str">
        <f t="shared" si="11"/>
        <v>X</v>
      </c>
      <c r="Z52" s="2" t="str">
        <f t="shared" si="12"/>
        <v/>
      </c>
      <c r="AA52" s="2" t="str">
        <f t="shared" si="25"/>
        <v/>
      </c>
      <c r="AB52" s="2" t="str">
        <f t="shared" si="26"/>
        <v/>
      </c>
      <c r="AC52" s="2" t="str">
        <f t="shared" si="27"/>
        <v>(15 downto 8)</v>
      </c>
      <c r="AD52" s="2" t="str">
        <f t="shared" si="28"/>
        <v/>
      </c>
      <c r="AE52" s="2" t="str">
        <f t="shared" si="29"/>
        <v/>
      </c>
      <c r="AF52" s="2" t="str">
        <f t="shared" si="30"/>
        <v/>
      </c>
      <c r="AG52" s="2" t="str">
        <f t="shared" si="31"/>
        <v/>
      </c>
      <c r="AH52" s="2" t="str">
        <f t="shared" si="32"/>
        <v/>
      </c>
    </row>
    <row r="53" spans="2:34" x14ac:dyDescent="0.25">
      <c r="B53" s="2" t="s">
        <v>252</v>
      </c>
      <c r="C53" s="2" t="s">
        <v>259</v>
      </c>
      <c r="D53" s="2" t="s">
        <v>0</v>
      </c>
      <c r="E53" s="2" t="s">
        <v>130</v>
      </c>
      <c r="F53" s="2" t="s">
        <v>254</v>
      </c>
      <c r="G53" s="2" t="s">
        <v>255</v>
      </c>
      <c r="H53" s="2" t="s">
        <v>260</v>
      </c>
      <c r="I53" s="2" t="s">
        <v>41</v>
      </c>
      <c r="J53" s="2">
        <v>8</v>
      </c>
      <c r="K53" s="2" t="s">
        <v>132</v>
      </c>
      <c r="L53" s="2" t="s">
        <v>40</v>
      </c>
      <c r="P53" s="2" t="s">
        <v>47</v>
      </c>
      <c r="Q53" s="2">
        <f>INDEX(Tables!$C$4:$C$28,MATCH($P53,Tables!$B$4:$B$28,0))</f>
        <v>8</v>
      </c>
      <c r="R53" s="2">
        <f>INDEX(Tables!$D$4:$D$28,MATCH($P53,Tables!$B$4:$B$28,0))</f>
        <v>1</v>
      </c>
      <c r="S53" s="2">
        <f>$S52+$R52+INDEX(Tables!$N$5:$Q$8,MATCH(MOD($S52+$R52,4),Tables!$M$5:$M$8,0),MATCH($R53,Tables!$N$4:$Q$4,0))</f>
        <v>174</v>
      </c>
      <c r="T53" s="2" t="str">
        <f t="shared" si="7"/>
        <v>00AE</v>
      </c>
      <c r="U53" s="2">
        <f t="shared" si="24"/>
        <v>43</v>
      </c>
      <c r="V53" s="2" t="str">
        <f t="shared" si="9"/>
        <v>02B</v>
      </c>
      <c r="W53" s="2" t="str">
        <f t="shared" si="10"/>
        <v/>
      </c>
      <c r="X53" s="2" t="str">
        <f t="shared" si="14"/>
        <v>X</v>
      </c>
      <c r="Y53" s="2" t="str">
        <f t="shared" si="11"/>
        <v/>
      </c>
      <c r="Z53" s="2" t="str">
        <f t="shared" si="12"/>
        <v/>
      </c>
      <c r="AA53" s="2" t="str">
        <f t="shared" si="25"/>
        <v/>
      </c>
      <c r="AB53" s="2" t="str">
        <f t="shared" si="26"/>
        <v>(23 downto 16)</v>
      </c>
      <c r="AC53" s="2" t="str">
        <f t="shared" si="27"/>
        <v/>
      </c>
      <c r="AD53" s="2" t="str">
        <f t="shared" si="28"/>
        <v/>
      </c>
      <c r="AE53" s="2" t="str">
        <f t="shared" si="29"/>
        <v/>
      </c>
      <c r="AF53" s="2" t="str">
        <f t="shared" si="30"/>
        <v/>
      </c>
      <c r="AG53" s="2" t="str">
        <f t="shared" si="31"/>
        <v/>
      </c>
      <c r="AH53" s="2" t="str">
        <f t="shared" si="32"/>
        <v/>
      </c>
    </row>
    <row r="54" spans="2:34" x14ac:dyDescent="0.25">
      <c r="B54" s="2" t="s">
        <v>252</v>
      </c>
      <c r="C54" s="2" t="s">
        <v>141</v>
      </c>
      <c r="D54" s="2" t="s">
        <v>0</v>
      </c>
      <c r="E54" s="2" t="s">
        <v>130</v>
      </c>
      <c r="F54" s="2" t="s">
        <v>254</v>
      </c>
      <c r="G54" s="2" t="s">
        <v>255</v>
      </c>
      <c r="H54" s="2" t="s">
        <v>142</v>
      </c>
      <c r="I54" s="2" t="s">
        <v>41</v>
      </c>
      <c r="J54" s="2">
        <v>3</v>
      </c>
      <c r="K54" s="2" t="s">
        <v>132</v>
      </c>
      <c r="L54" s="2" t="s">
        <v>40</v>
      </c>
      <c r="P54" s="2" t="s">
        <v>47</v>
      </c>
      <c r="Q54" s="2">
        <f>INDEX(Tables!$C$4:$C$28,MATCH($P54,Tables!$B$4:$B$28,0))</f>
        <v>8</v>
      </c>
      <c r="R54" s="2">
        <f>INDEX(Tables!$D$4:$D$28,MATCH($P54,Tables!$B$4:$B$28,0))</f>
        <v>1</v>
      </c>
      <c r="S54" s="2">
        <f>$S53+$R53+INDEX(Tables!$N$5:$Q$8,MATCH(MOD($S53+$R53,4),Tables!$M$5:$M$8,0),MATCH($R54,Tables!$N$4:$Q$4,0))</f>
        <v>175</v>
      </c>
      <c r="T54" s="2" t="str">
        <f t="shared" si="7"/>
        <v>00AF</v>
      </c>
      <c r="U54" s="2">
        <f t="shared" si="24"/>
        <v>43</v>
      </c>
      <c r="V54" s="2" t="str">
        <f t="shared" si="9"/>
        <v>02B</v>
      </c>
      <c r="W54" s="2" t="str">
        <f t="shared" si="10"/>
        <v>X</v>
      </c>
      <c r="X54" s="2" t="str">
        <f t="shared" si="14"/>
        <v/>
      </c>
      <c r="Y54" s="2" t="str">
        <f t="shared" si="11"/>
        <v/>
      </c>
      <c r="Z54" s="2" t="str">
        <f t="shared" si="12"/>
        <v/>
      </c>
      <c r="AA54" s="2" t="str">
        <f t="shared" si="25"/>
        <v>(26 downto 24)</v>
      </c>
      <c r="AB54" s="2" t="str">
        <f t="shared" si="26"/>
        <v/>
      </c>
      <c r="AC54" s="2" t="str">
        <f t="shared" si="27"/>
        <v/>
      </c>
      <c r="AD54" s="2" t="str">
        <f t="shared" si="28"/>
        <v/>
      </c>
      <c r="AE54" s="2" t="str">
        <f t="shared" si="29"/>
        <v/>
      </c>
      <c r="AF54" s="2" t="str">
        <f t="shared" si="30"/>
        <v/>
      </c>
      <c r="AG54" s="2" t="str">
        <f t="shared" si="31"/>
        <v/>
      </c>
      <c r="AH54" s="2" t="str">
        <f t="shared" si="32"/>
        <v/>
      </c>
    </row>
    <row r="55" spans="2:34" x14ac:dyDescent="0.25">
      <c r="B55" s="2" t="s">
        <v>252</v>
      </c>
      <c r="C55" s="2" t="s">
        <v>261</v>
      </c>
      <c r="D55" s="2" t="s">
        <v>0</v>
      </c>
      <c r="E55" s="2" t="s">
        <v>130</v>
      </c>
      <c r="F55" s="2" t="s">
        <v>254</v>
      </c>
      <c r="G55" s="2" t="s">
        <v>255</v>
      </c>
      <c r="H55" s="2" t="s">
        <v>262</v>
      </c>
      <c r="I55" s="2" t="s">
        <v>41</v>
      </c>
      <c r="J55" s="2">
        <v>1</v>
      </c>
      <c r="K55" s="2" t="s">
        <v>81</v>
      </c>
      <c r="L55" s="2" t="s">
        <v>40</v>
      </c>
      <c r="P55" s="2" t="s">
        <v>4</v>
      </c>
      <c r="Q55" s="2">
        <f>INDEX(Tables!$C$4:$C$28,MATCH($P55,Tables!$B$4:$B$28,0))</f>
        <v>32</v>
      </c>
      <c r="R55" s="2">
        <f>INDEX(Tables!$D$4:$D$28,MATCH($P55,Tables!$B$4:$B$28,0))</f>
        <v>4</v>
      </c>
      <c r="S55" s="2">
        <f>$S54+$R54+INDEX(Tables!$N$5:$Q$8,MATCH(MOD($S54+$R54,4),Tables!$M$5:$M$8,0),MATCH($R55,Tables!$N$4:$Q$4,0))</f>
        <v>176</v>
      </c>
      <c r="T55" s="2" t="str">
        <f t="shared" si="7"/>
        <v>00B0</v>
      </c>
      <c r="U55" s="2">
        <f t="shared" si="24"/>
        <v>44</v>
      </c>
      <c r="V55" s="2" t="str">
        <f t="shared" si="9"/>
        <v>02C</v>
      </c>
      <c r="W55" s="2" t="str">
        <f t="shared" si="10"/>
        <v/>
      </c>
      <c r="X55" s="2" t="str">
        <f t="shared" si="14"/>
        <v/>
      </c>
      <c r="Y55" s="2" t="str">
        <f t="shared" si="11"/>
        <v/>
      </c>
      <c r="Z55" s="2" t="str">
        <f t="shared" si="12"/>
        <v>X</v>
      </c>
      <c r="AA55" s="2" t="str">
        <f t="shared" si="25"/>
        <v/>
      </c>
      <c r="AB55" s="2" t="str">
        <f t="shared" si="26"/>
        <v/>
      </c>
      <c r="AC55" s="2" t="str">
        <f t="shared" si="27"/>
        <v/>
      </c>
      <c r="AD55" s="2" t="str">
        <f t="shared" si="28"/>
        <v>(0)</v>
      </c>
      <c r="AE55" s="2" t="str">
        <f t="shared" si="29"/>
        <v/>
      </c>
      <c r="AF55" s="2" t="str">
        <f t="shared" si="30"/>
        <v/>
      </c>
      <c r="AG55" s="2" t="str">
        <f t="shared" si="31"/>
        <v/>
      </c>
      <c r="AH55" s="2" t="str">
        <f t="shared" si="32"/>
        <v/>
      </c>
    </row>
    <row r="56" spans="2:34" x14ac:dyDescent="0.25">
      <c r="B56" s="2" t="s">
        <v>252</v>
      </c>
      <c r="C56" s="2" t="s">
        <v>263</v>
      </c>
      <c r="D56" s="2" t="s">
        <v>0</v>
      </c>
      <c r="E56" s="2" t="s">
        <v>130</v>
      </c>
      <c r="F56" s="2" t="s">
        <v>254</v>
      </c>
      <c r="G56" s="2" t="s">
        <v>255</v>
      </c>
      <c r="H56" s="2" t="s">
        <v>264</v>
      </c>
      <c r="I56" s="2" t="s">
        <v>41</v>
      </c>
      <c r="J56" s="2">
        <v>1</v>
      </c>
      <c r="K56" s="2" t="s">
        <v>81</v>
      </c>
      <c r="L56" s="2" t="s">
        <v>40</v>
      </c>
      <c r="P56" s="2" t="s">
        <v>4</v>
      </c>
      <c r="Q56" s="2">
        <f>INDEX(Tables!$C$4:$C$28,MATCH($P56,Tables!$B$4:$B$28,0))</f>
        <v>32</v>
      </c>
      <c r="R56" s="2">
        <f>INDEX(Tables!$D$4:$D$28,MATCH($P56,Tables!$B$4:$B$28,0))</f>
        <v>4</v>
      </c>
      <c r="S56" s="2">
        <f>$S55+$R55+INDEX(Tables!$N$5:$Q$8,MATCH(MOD($S55+$R55,4),Tables!$M$5:$M$8,0),MATCH($R56,Tables!$N$4:$Q$4,0))</f>
        <v>180</v>
      </c>
      <c r="T56" s="2" t="str">
        <f t="shared" si="7"/>
        <v>00B4</v>
      </c>
      <c r="U56" s="2">
        <f t="shared" si="24"/>
        <v>45</v>
      </c>
      <c r="V56" s="2" t="str">
        <f t="shared" si="9"/>
        <v>02D</v>
      </c>
      <c r="W56" s="2" t="str">
        <f t="shared" si="10"/>
        <v/>
      </c>
      <c r="X56" s="2" t="str">
        <f t="shared" si="14"/>
        <v/>
      </c>
      <c r="Y56" s="2" t="str">
        <f t="shared" si="11"/>
        <v/>
      </c>
      <c r="Z56" s="2" t="str">
        <f t="shared" si="12"/>
        <v>X</v>
      </c>
      <c r="AA56" s="2" t="str">
        <f t="shared" si="25"/>
        <v/>
      </c>
      <c r="AB56" s="2" t="str">
        <f t="shared" si="26"/>
        <v/>
      </c>
      <c r="AC56" s="2" t="str">
        <f t="shared" si="27"/>
        <v/>
      </c>
      <c r="AD56" s="2" t="str">
        <f t="shared" si="28"/>
        <v>(0)</v>
      </c>
      <c r="AE56" s="2" t="str">
        <f t="shared" si="29"/>
        <v/>
      </c>
      <c r="AF56" s="2" t="str">
        <f t="shared" si="30"/>
        <v/>
      </c>
      <c r="AG56" s="2" t="str">
        <f t="shared" si="31"/>
        <v/>
      </c>
      <c r="AH56" s="2" t="str">
        <f t="shared" si="32"/>
        <v/>
      </c>
    </row>
    <row r="57" spans="2:34" x14ac:dyDescent="0.25">
      <c r="B57" s="2" t="s">
        <v>252</v>
      </c>
      <c r="C57" s="2" t="s">
        <v>265</v>
      </c>
      <c r="D57" s="2" t="s">
        <v>0</v>
      </c>
      <c r="E57" s="2" t="s">
        <v>130</v>
      </c>
      <c r="F57" s="2" t="s">
        <v>254</v>
      </c>
      <c r="G57" s="2" t="s">
        <v>255</v>
      </c>
      <c r="H57" s="2" t="s">
        <v>266</v>
      </c>
      <c r="I57" s="2" t="s">
        <v>41</v>
      </c>
      <c r="J57" s="2">
        <v>1</v>
      </c>
      <c r="K57" s="2" t="s">
        <v>81</v>
      </c>
      <c r="L57" s="2" t="s">
        <v>40</v>
      </c>
      <c r="P57" s="2" t="s">
        <v>4</v>
      </c>
      <c r="Q57" s="2">
        <f>INDEX(Tables!$C$4:$C$28,MATCH($P57,Tables!$B$4:$B$28,0))</f>
        <v>32</v>
      </c>
      <c r="R57" s="2">
        <f>INDEX(Tables!$D$4:$D$28,MATCH($P57,Tables!$B$4:$B$28,0))</f>
        <v>4</v>
      </c>
      <c r="S57" s="2">
        <f>$S56+$R56+INDEX(Tables!$N$5:$Q$8,MATCH(MOD($S56+$R56,4),Tables!$M$5:$M$8,0),MATCH($R57,Tables!$N$4:$Q$4,0))</f>
        <v>184</v>
      </c>
      <c r="T57" s="2" t="str">
        <f t="shared" si="7"/>
        <v>00B8</v>
      </c>
      <c r="U57" s="2">
        <f t="shared" si="24"/>
        <v>46</v>
      </c>
      <c r="V57" s="2" t="str">
        <f t="shared" si="9"/>
        <v>02E</v>
      </c>
      <c r="W57" s="2" t="str">
        <f t="shared" si="10"/>
        <v/>
      </c>
      <c r="X57" s="2" t="str">
        <f t="shared" si="14"/>
        <v/>
      </c>
      <c r="Y57" s="2" t="str">
        <f t="shared" si="11"/>
        <v/>
      </c>
      <c r="Z57" s="2" t="str">
        <f t="shared" si="12"/>
        <v>X</v>
      </c>
      <c r="AA57" s="2" t="str">
        <f t="shared" si="25"/>
        <v/>
      </c>
      <c r="AB57" s="2" t="str">
        <f t="shared" si="26"/>
        <v/>
      </c>
      <c r="AC57" s="2" t="str">
        <f t="shared" si="27"/>
        <v/>
      </c>
      <c r="AD57" s="2" t="str">
        <f t="shared" si="28"/>
        <v>(0)</v>
      </c>
      <c r="AE57" s="2" t="str">
        <f t="shared" si="29"/>
        <v/>
      </c>
      <c r="AF57" s="2" t="str">
        <f t="shared" si="30"/>
        <v/>
      </c>
      <c r="AG57" s="2" t="str">
        <f t="shared" si="31"/>
        <v/>
      </c>
      <c r="AH57" s="2" t="str">
        <f t="shared" si="32"/>
        <v/>
      </c>
    </row>
    <row r="58" spans="2:34" x14ac:dyDescent="0.25">
      <c r="B58" s="2" t="s">
        <v>252</v>
      </c>
      <c r="C58" s="2" t="s">
        <v>267</v>
      </c>
      <c r="D58" s="2" t="s">
        <v>0</v>
      </c>
      <c r="E58" s="2" t="s">
        <v>130</v>
      </c>
      <c r="F58" s="2" t="s">
        <v>254</v>
      </c>
      <c r="G58" s="2" t="s">
        <v>255</v>
      </c>
      <c r="H58" s="2" t="s">
        <v>268</v>
      </c>
      <c r="I58" s="2" t="s">
        <v>41</v>
      </c>
      <c r="J58" s="2">
        <v>1</v>
      </c>
      <c r="K58" s="2" t="s">
        <v>81</v>
      </c>
      <c r="L58" s="2" t="s">
        <v>40</v>
      </c>
      <c r="P58" s="2" t="s">
        <v>4</v>
      </c>
      <c r="Q58" s="2">
        <f>INDEX(Tables!$C$4:$C$28,MATCH($P58,Tables!$B$4:$B$28,0))</f>
        <v>32</v>
      </c>
      <c r="R58" s="2">
        <f>INDEX(Tables!$D$4:$D$28,MATCH($P58,Tables!$B$4:$B$28,0))</f>
        <v>4</v>
      </c>
      <c r="S58" s="2">
        <f>$S57+$R57+INDEX(Tables!$N$5:$Q$8,MATCH(MOD($S57+$R57,4),Tables!$M$5:$M$8,0),MATCH($R58,Tables!$N$4:$Q$4,0))</f>
        <v>188</v>
      </c>
      <c r="T58" s="2" t="str">
        <f t="shared" si="7"/>
        <v>00BC</v>
      </c>
      <c r="U58" s="2">
        <f t="shared" si="24"/>
        <v>47</v>
      </c>
      <c r="V58" s="2" t="str">
        <f t="shared" si="9"/>
        <v>02F</v>
      </c>
      <c r="W58" s="2" t="str">
        <f t="shared" si="10"/>
        <v/>
      </c>
      <c r="X58" s="2" t="str">
        <f t="shared" si="14"/>
        <v/>
      </c>
      <c r="Y58" s="2" t="str">
        <f t="shared" si="11"/>
        <v/>
      </c>
      <c r="Z58" s="2" t="str">
        <f t="shared" si="12"/>
        <v>X</v>
      </c>
      <c r="AA58" s="2" t="str">
        <f t="shared" si="25"/>
        <v/>
      </c>
      <c r="AB58" s="2" t="str">
        <f t="shared" si="26"/>
        <v/>
      </c>
      <c r="AC58" s="2" t="str">
        <f t="shared" si="27"/>
        <v/>
      </c>
      <c r="AD58" s="2" t="str">
        <f t="shared" si="28"/>
        <v>(0)</v>
      </c>
      <c r="AE58" s="2" t="str">
        <f t="shared" si="29"/>
        <v/>
      </c>
      <c r="AF58" s="2" t="str">
        <f t="shared" si="30"/>
        <v/>
      </c>
      <c r="AG58" s="2" t="str">
        <f t="shared" si="31"/>
        <v/>
      </c>
      <c r="AH58" s="2" t="str">
        <f t="shared" si="32"/>
        <v/>
      </c>
    </row>
    <row r="59" spans="2:34" x14ac:dyDescent="0.25">
      <c r="B59" s="2" t="s">
        <v>252</v>
      </c>
      <c r="C59" s="2" t="s">
        <v>269</v>
      </c>
      <c r="D59" s="2" t="s">
        <v>0</v>
      </c>
      <c r="E59" s="2" t="s">
        <v>130</v>
      </c>
      <c r="F59" s="2" t="s">
        <v>254</v>
      </c>
      <c r="G59" s="2" t="s">
        <v>255</v>
      </c>
      <c r="H59" s="2" t="s">
        <v>270</v>
      </c>
      <c r="I59" s="2" t="s">
        <v>41</v>
      </c>
      <c r="J59" s="2">
        <v>1</v>
      </c>
      <c r="K59" s="2" t="s">
        <v>81</v>
      </c>
      <c r="L59" s="2" t="s">
        <v>40</v>
      </c>
      <c r="P59" s="2" t="s">
        <v>4</v>
      </c>
      <c r="Q59" s="2">
        <f>INDEX(Tables!$C$4:$C$28,MATCH($P59,Tables!$B$4:$B$28,0))</f>
        <v>32</v>
      </c>
      <c r="R59" s="2">
        <f>INDEX(Tables!$D$4:$D$28,MATCH($P59,Tables!$B$4:$B$28,0))</f>
        <v>4</v>
      </c>
      <c r="S59" s="2">
        <f>$S58+$R58+INDEX(Tables!$N$5:$Q$8,MATCH(MOD($S58+$R58,4),Tables!$M$5:$M$8,0),MATCH($R59,Tables!$N$4:$Q$4,0))</f>
        <v>192</v>
      </c>
      <c r="T59" s="2" t="str">
        <f t="shared" si="7"/>
        <v>00C0</v>
      </c>
      <c r="U59" s="2">
        <f t="shared" si="24"/>
        <v>48</v>
      </c>
      <c r="V59" s="2" t="str">
        <f t="shared" si="9"/>
        <v>030</v>
      </c>
      <c r="W59" s="2" t="str">
        <f t="shared" si="10"/>
        <v/>
      </c>
      <c r="X59" s="2" t="str">
        <f t="shared" si="14"/>
        <v/>
      </c>
      <c r="Y59" s="2" t="str">
        <f t="shared" si="11"/>
        <v/>
      </c>
      <c r="Z59" s="2" t="str">
        <f t="shared" si="12"/>
        <v>X</v>
      </c>
      <c r="AA59" s="2" t="str">
        <f t="shared" si="25"/>
        <v/>
      </c>
      <c r="AB59" s="2" t="str">
        <f t="shared" si="26"/>
        <v/>
      </c>
      <c r="AC59" s="2" t="str">
        <f t="shared" si="27"/>
        <v/>
      </c>
      <c r="AD59" s="2" t="str">
        <f t="shared" si="28"/>
        <v>(0)</v>
      </c>
      <c r="AE59" s="2" t="str">
        <f t="shared" si="29"/>
        <v/>
      </c>
      <c r="AF59" s="2" t="str">
        <f t="shared" si="30"/>
        <v/>
      </c>
      <c r="AG59" s="2" t="str">
        <f t="shared" si="31"/>
        <v/>
      </c>
      <c r="AH59" s="2" t="str">
        <f t="shared" si="32"/>
        <v/>
      </c>
    </row>
    <row r="60" spans="2:34" x14ac:dyDescent="0.25">
      <c r="B60" s="2" t="s">
        <v>271</v>
      </c>
      <c r="C60" s="2" t="s">
        <v>157</v>
      </c>
      <c r="D60" s="2" t="s">
        <v>0</v>
      </c>
      <c r="E60" s="2" t="s">
        <v>130</v>
      </c>
      <c r="F60" s="2" t="s">
        <v>272</v>
      </c>
      <c r="G60" s="2" t="s">
        <v>273</v>
      </c>
      <c r="H60" s="2" t="s">
        <v>160</v>
      </c>
      <c r="I60" s="2" t="s">
        <v>41</v>
      </c>
      <c r="J60" s="2">
        <v>4</v>
      </c>
      <c r="K60" s="2" t="s">
        <v>132</v>
      </c>
      <c r="L60" s="2" t="s">
        <v>40</v>
      </c>
      <c r="P60" s="2" t="s">
        <v>47</v>
      </c>
      <c r="Q60" s="2">
        <f>INDEX(Tables!$C$4:$C$28,MATCH($P60,Tables!$B$4:$B$28,0))</f>
        <v>8</v>
      </c>
      <c r="R60" s="2">
        <f>INDEX(Tables!$D$4:$D$28,MATCH($P60,Tables!$B$4:$B$28,0))</f>
        <v>1</v>
      </c>
      <c r="S60" s="2">
        <f>$S59+$R59+INDEX(Tables!$N$5:$Q$8,MATCH(MOD($S59+$R59,4),Tables!$M$5:$M$8,0),MATCH($R60,Tables!$N$4:$Q$4,0))</f>
        <v>196</v>
      </c>
      <c r="T60" s="2" t="str">
        <f t="shared" si="7"/>
        <v>00C4</v>
      </c>
      <c r="U60" s="2">
        <f t="shared" si="24"/>
        <v>49</v>
      </c>
      <c r="V60" s="2" t="str">
        <f t="shared" si="9"/>
        <v>031</v>
      </c>
      <c r="W60" s="2" t="str">
        <f t="shared" si="10"/>
        <v/>
      </c>
      <c r="X60" s="2" t="str">
        <f t="shared" si="14"/>
        <v/>
      </c>
      <c r="Y60" s="2" t="str">
        <f t="shared" si="11"/>
        <v/>
      </c>
      <c r="Z60" s="2" t="str">
        <f t="shared" si="12"/>
        <v>X</v>
      </c>
      <c r="AA60" s="2" t="str">
        <f t="shared" si="25"/>
        <v/>
      </c>
      <c r="AB60" s="2" t="str">
        <f t="shared" si="26"/>
        <v/>
      </c>
      <c r="AC60" s="2" t="str">
        <f t="shared" si="27"/>
        <v/>
      </c>
      <c r="AD60" s="2" t="str">
        <f t="shared" si="28"/>
        <v>(3 downto 0)</v>
      </c>
      <c r="AE60" s="2" t="str">
        <f t="shared" si="29"/>
        <v/>
      </c>
      <c r="AF60" s="2" t="str">
        <f t="shared" si="30"/>
        <v/>
      </c>
      <c r="AG60" s="2" t="str">
        <f t="shared" si="31"/>
        <v/>
      </c>
      <c r="AH60" s="2" t="str">
        <f t="shared" si="32"/>
        <v/>
      </c>
    </row>
    <row r="61" spans="2:34" x14ac:dyDescent="0.25">
      <c r="B61" s="2" t="s">
        <v>271</v>
      </c>
      <c r="C61" s="2" t="s">
        <v>274</v>
      </c>
      <c r="D61" s="2" t="s">
        <v>0</v>
      </c>
      <c r="E61" s="2" t="s">
        <v>130</v>
      </c>
      <c r="F61" s="2" t="s">
        <v>272</v>
      </c>
      <c r="G61" s="2" t="s">
        <v>273</v>
      </c>
      <c r="H61" s="2" t="s">
        <v>275</v>
      </c>
      <c r="I61" s="2" t="s">
        <v>41</v>
      </c>
      <c r="J61" s="2">
        <v>12</v>
      </c>
      <c r="K61" s="2" t="s">
        <v>276</v>
      </c>
      <c r="L61" s="2" t="s">
        <v>40</v>
      </c>
      <c r="P61" s="2" t="s">
        <v>49</v>
      </c>
      <c r="Q61" s="2">
        <f>INDEX(Tables!$C$4:$C$28,MATCH($P61,Tables!$B$4:$B$28,0))</f>
        <v>16</v>
      </c>
      <c r="R61" s="2">
        <f>INDEX(Tables!$D$4:$D$28,MATCH($P61,Tables!$B$4:$B$28,0))</f>
        <v>2</v>
      </c>
      <c r="S61" s="2">
        <f>$S60+$R60+INDEX(Tables!$N$5:$Q$8,MATCH(MOD($S60+$R60,4),Tables!$M$5:$M$8,0),MATCH($R61,Tables!$N$4:$Q$4,0))</f>
        <v>198</v>
      </c>
      <c r="T61" s="2" t="str">
        <f t="shared" si="7"/>
        <v>00C6</v>
      </c>
      <c r="U61" s="2">
        <f t="shared" si="24"/>
        <v>49</v>
      </c>
      <c r="V61" s="2" t="str">
        <f t="shared" si="9"/>
        <v>031</v>
      </c>
      <c r="W61" s="2" t="str">
        <f t="shared" si="10"/>
        <v>X</v>
      </c>
      <c r="X61" s="2" t="str">
        <f t="shared" si="14"/>
        <v>X</v>
      </c>
      <c r="Y61" s="2" t="str">
        <f t="shared" si="11"/>
        <v/>
      </c>
      <c r="Z61" s="2" t="str">
        <f t="shared" si="12"/>
        <v/>
      </c>
      <c r="AA61" s="2" t="str">
        <f t="shared" si="25"/>
        <v>(27 downto 24)</v>
      </c>
      <c r="AB61" s="2" t="str">
        <f t="shared" si="26"/>
        <v>(23 downto 16)</v>
      </c>
      <c r="AC61" s="2" t="str">
        <f t="shared" si="27"/>
        <v/>
      </c>
      <c r="AD61" s="2" t="str">
        <f t="shared" si="28"/>
        <v/>
      </c>
      <c r="AE61" s="2" t="str">
        <f t="shared" si="29"/>
        <v>(11 downto 8)</v>
      </c>
      <c r="AF61" s="2" t="str">
        <f t="shared" si="30"/>
        <v>(7 downto 0)</v>
      </c>
      <c r="AG61" s="2" t="str">
        <f t="shared" si="31"/>
        <v/>
      </c>
      <c r="AH61" s="2" t="str">
        <f t="shared" si="32"/>
        <v/>
      </c>
    </row>
    <row r="62" spans="2:34" x14ac:dyDescent="0.25">
      <c r="B62" s="2" t="s">
        <v>271</v>
      </c>
      <c r="C62" s="2" t="s">
        <v>168</v>
      </c>
      <c r="D62" s="2" t="s">
        <v>0</v>
      </c>
      <c r="E62" s="2" t="s">
        <v>130</v>
      </c>
      <c r="F62" s="2" t="s">
        <v>272</v>
      </c>
      <c r="G62" s="2" t="s">
        <v>273</v>
      </c>
      <c r="H62" s="2" t="s">
        <v>169</v>
      </c>
      <c r="I62" s="2" t="s">
        <v>41</v>
      </c>
      <c r="J62" s="2">
        <v>4</v>
      </c>
      <c r="K62" s="2" t="s">
        <v>132</v>
      </c>
      <c r="L62" s="2" t="s">
        <v>40</v>
      </c>
      <c r="P62" s="2" t="s">
        <v>47</v>
      </c>
      <c r="Q62" s="2">
        <f>INDEX(Tables!$C$4:$C$28,MATCH($P62,Tables!$B$4:$B$28,0))</f>
        <v>8</v>
      </c>
      <c r="R62" s="2">
        <f>INDEX(Tables!$D$4:$D$28,MATCH($P62,Tables!$B$4:$B$28,0))</f>
        <v>1</v>
      </c>
      <c r="S62" s="2">
        <f>$S61+$R61+INDEX(Tables!$N$5:$Q$8,MATCH(MOD($S61+$R61,4),Tables!$M$5:$M$8,0),MATCH($R62,Tables!$N$4:$Q$4,0))</f>
        <v>200</v>
      </c>
      <c r="T62" s="2" t="str">
        <f t="shared" si="7"/>
        <v>00C8</v>
      </c>
      <c r="U62" s="2">
        <f t="shared" si="24"/>
        <v>50</v>
      </c>
      <c r="V62" s="2" t="str">
        <f t="shared" si="9"/>
        <v>032</v>
      </c>
      <c r="W62" s="2" t="str">
        <f t="shared" si="10"/>
        <v/>
      </c>
      <c r="X62" s="2" t="str">
        <f t="shared" si="14"/>
        <v/>
      </c>
      <c r="Y62" s="2" t="str">
        <f t="shared" si="11"/>
        <v/>
      </c>
      <c r="Z62" s="2" t="str">
        <f t="shared" si="12"/>
        <v>X</v>
      </c>
      <c r="AA62" s="2" t="str">
        <f t="shared" si="25"/>
        <v/>
      </c>
      <c r="AB62" s="2" t="str">
        <f t="shared" si="26"/>
        <v/>
      </c>
      <c r="AC62" s="2" t="str">
        <f t="shared" si="27"/>
        <v/>
      </c>
      <c r="AD62" s="2" t="str">
        <f t="shared" si="28"/>
        <v>(3 downto 0)</v>
      </c>
      <c r="AE62" s="2" t="str">
        <f t="shared" si="29"/>
        <v/>
      </c>
      <c r="AF62" s="2" t="str">
        <f t="shared" si="30"/>
        <v/>
      </c>
      <c r="AG62" s="2" t="str">
        <f t="shared" si="31"/>
        <v/>
      </c>
      <c r="AH62" s="2" t="str">
        <f t="shared" si="32"/>
        <v/>
      </c>
    </row>
    <row r="63" spans="2:34" x14ac:dyDescent="0.25">
      <c r="B63" s="2" t="s">
        <v>271</v>
      </c>
      <c r="C63" s="2" t="s">
        <v>277</v>
      </c>
      <c r="D63" s="2" t="s">
        <v>0</v>
      </c>
      <c r="E63" s="2" t="s">
        <v>130</v>
      </c>
      <c r="F63" s="2" t="s">
        <v>272</v>
      </c>
      <c r="G63" s="2" t="s">
        <v>273</v>
      </c>
      <c r="H63" s="2" t="s">
        <v>278</v>
      </c>
      <c r="I63" s="2" t="s">
        <v>41</v>
      </c>
      <c r="J63" s="2">
        <v>12</v>
      </c>
      <c r="K63" s="2" t="s">
        <v>276</v>
      </c>
      <c r="L63" s="2" t="s">
        <v>40</v>
      </c>
      <c r="P63" s="2" t="s">
        <v>49</v>
      </c>
      <c r="Q63" s="2">
        <f>INDEX(Tables!$C$4:$C$28,MATCH($P63,Tables!$B$4:$B$28,0))</f>
        <v>16</v>
      </c>
      <c r="R63" s="2">
        <f>INDEX(Tables!$D$4:$D$28,MATCH($P63,Tables!$B$4:$B$28,0))</f>
        <v>2</v>
      </c>
      <c r="S63" s="2">
        <f>$S62+$R62+INDEX(Tables!$N$5:$Q$8,MATCH(MOD($S62+$R62,4),Tables!$M$5:$M$8,0),MATCH($R63,Tables!$N$4:$Q$4,0))</f>
        <v>202</v>
      </c>
      <c r="T63" s="2" t="str">
        <f t="shared" si="7"/>
        <v>00CA</v>
      </c>
      <c r="U63" s="2">
        <f t="shared" si="24"/>
        <v>50</v>
      </c>
      <c r="V63" s="2" t="str">
        <f t="shared" si="9"/>
        <v>032</v>
      </c>
      <c r="W63" s="2" t="str">
        <f t="shared" si="10"/>
        <v>X</v>
      </c>
      <c r="X63" s="2" t="str">
        <f t="shared" si="14"/>
        <v>X</v>
      </c>
      <c r="Y63" s="2" t="str">
        <f t="shared" si="11"/>
        <v/>
      </c>
      <c r="Z63" s="2" t="str">
        <f t="shared" si="12"/>
        <v/>
      </c>
      <c r="AA63" s="2" t="str">
        <f t="shared" si="25"/>
        <v>(27 downto 24)</v>
      </c>
      <c r="AB63" s="2" t="str">
        <f t="shared" si="26"/>
        <v>(23 downto 16)</v>
      </c>
      <c r="AC63" s="2" t="str">
        <f t="shared" si="27"/>
        <v/>
      </c>
      <c r="AD63" s="2" t="str">
        <f t="shared" si="28"/>
        <v/>
      </c>
      <c r="AE63" s="2" t="str">
        <f t="shared" si="29"/>
        <v>(11 downto 8)</v>
      </c>
      <c r="AF63" s="2" t="str">
        <f t="shared" si="30"/>
        <v>(7 downto 0)</v>
      </c>
      <c r="AG63" s="2" t="str">
        <f t="shared" si="31"/>
        <v/>
      </c>
      <c r="AH63" s="2" t="str">
        <f t="shared" si="32"/>
        <v/>
      </c>
    </row>
    <row r="64" spans="2:34" x14ac:dyDescent="0.25">
      <c r="B64" s="2" t="s">
        <v>279</v>
      </c>
      <c r="C64" s="2" t="s">
        <v>157</v>
      </c>
      <c r="D64" s="2" t="s">
        <v>0</v>
      </c>
      <c r="E64" s="2" t="s">
        <v>130</v>
      </c>
      <c r="F64" s="2" t="s">
        <v>280</v>
      </c>
      <c r="G64" s="2" t="s">
        <v>281</v>
      </c>
      <c r="H64" s="2" t="s">
        <v>160</v>
      </c>
      <c r="I64" s="2" t="s">
        <v>41</v>
      </c>
      <c r="J64" s="2">
        <v>4</v>
      </c>
      <c r="K64" s="2" t="s">
        <v>132</v>
      </c>
      <c r="L64" s="2" t="s">
        <v>40</v>
      </c>
      <c r="P64" s="2" t="s">
        <v>47</v>
      </c>
      <c r="Q64" s="2">
        <f>INDEX(Tables!$C$4:$C$28,MATCH($P64,Tables!$B$4:$B$28,0))</f>
        <v>8</v>
      </c>
      <c r="R64" s="2">
        <f>INDEX(Tables!$D$4:$D$28,MATCH($P64,Tables!$B$4:$B$28,0))</f>
        <v>1</v>
      </c>
      <c r="S64" s="2">
        <f>$S63+$R63+INDEX(Tables!$N$5:$Q$8,MATCH(MOD($S63+$R63,4),Tables!$M$5:$M$8,0),MATCH($R64,Tables!$N$4:$Q$4,0))</f>
        <v>204</v>
      </c>
      <c r="T64" s="2" t="str">
        <f t="shared" si="7"/>
        <v>00CC</v>
      </c>
      <c r="U64" s="2">
        <f t="shared" si="24"/>
        <v>51</v>
      </c>
      <c r="V64" s="2" t="str">
        <f t="shared" si="9"/>
        <v>033</v>
      </c>
      <c r="W64" s="2" t="str">
        <f t="shared" si="10"/>
        <v/>
      </c>
      <c r="X64" s="2" t="str">
        <f t="shared" si="14"/>
        <v/>
      </c>
      <c r="Y64" s="2" t="str">
        <f t="shared" si="11"/>
        <v/>
      </c>
      <c r="Z64" s="2" t="str">
        <f t="shared" si="12"/>
        <v>X</v>
      </c>
      <c r="AA64" s="2" t="str">
        <f t="shared" si="25"/>
        <v/>
      </c>
      <c r="AB64" s="2" t="str">
        <f t="shared" si="26"/>
        <v/>
      </c>
      <c r="AC64" s="2" t="str">
        <f t="shared" si="27"/>
        <v/>
      </c>
      <c r="AD64" s="2" t="str">
        <f t="shared" si="28"/>
        <v>(3 downto 0)</v>
      </c>
      <c r="AE64" s="2" t="str">
        <f t="shared" si="29"/>
        <v/>
      </c>
      <c r="AF64" s="2" t="str">
        <f t="shared" si="30"/>
        <v/>
      </c>
      <c r="AG64" s="2" t="str">
        <f t="shared" si="31"/>
        <v/>
      </c>
      <c r="AH64" s="2" t="str">
        <f t="shared" si="32"/>
        <v/>
      </c>
    </row>
    <row r="65" spans="2:34" x14ac:dyDescent="0.25">
      <c r="B65" s="2" t="s">
        <v>279</v>
      </c>
      <c r="C65" s="2" t="s">
        <v>282</v>
      </c>
      <c r="D65" s="2" t="s">
        <v>0</v>
      </c>
      <c r="E65" s="2" t="s">
        <v>130</v>
      </c>
      <c r="F65" s="2" t="s">
        <v>280</v>
      </c>
      <c r="G65" s="2" t="s">
        <v>281</v>
      </c>
      <c r="H65" s="2" t="s">
        <v>283</v>
      </c>
      <c r="I65" s="2" t="s">
        <v>41</v>
      </c>
      <c r="J65" s="2">
        <v>12</v>
      </c>
      <c r="K65" s="2" t="s">
        <v>276</v>
      </c>
      <c r="L65" s="2" t="s">
        <v>40</v>
      </c>
      <c r="P65" s="2" t="s">
        <v>49</v>
      </c>
      <c r="Q65" s="2">
        <f>INDEX(Tables!$C$4:$C$28,MATCH($P65,Tables!$B$4:$B$28,0))</f>
        <v>16</v>
      </c>
      <c r="R65" s="2">
        <f>INDEX(Tables!$D$4:$D$28,MATCH($P65,Tables!$B$4:$B$28,0))</f>
        <v>2</v>
      </c>
      <c r="S65" s="2">
        <f>$S64+$R64+INDEX(Tables!$N$5:$Q$8,MATCH(MOD($S64+$R64,4),Tables!$M$5:$M$8,0),MATCH($R65,Tables!$N$4:$Q$4,0))</f>
        <v>206</v>
      </c>
      <c r="T65" s="2" t="str">
        <f t="shared" si="7"/>
        <v>00CE</v>
      </c>
      <c r="U65" s="2">
        <f t="shared" si="24"/>
        <v>51</v>
      </c>
      <c r="V65" s="2" t="str">
        <f t="shared" si="9"/>
        <v>033</v>
      </c>
      <c r="W65" s="2" t="str">
        <f t="shared" si="10"/>
        <v>X</v>
      </c>
      <c r="X65" s="2" t="str">
        <f t="shared" si="14"/>
        <v>X</v>
      </c>
      <c r="Y65" s="2" t="str">
        <f t="shared" si="11"/>
        <v/>
      </c>
      <c r="Z65" s="2" t="str">
        <f t="shared" si="12"/>
        <v/>
      </c>
      <c r="AA65" s="2" t="str">
        <f t="shared" si="25"/>
        <v>(27 downto 24)</v>
      </c>
      <c r="AB65" s="2" t="str">
        <f t="shared" si="26"/>
        <v>(23 downto 16)</v>
      </c>
      <c r="AC65" s="2" t="str">
        <f t="shared" si="27"/>
        <v/>
      </c>
      <c r="AD65" s="2" t="str">
        <f t="shared" si="28"/>
        <v/>
      </c>
      <c r="AE65" s="2" t="str">
        <f t="shared" si="29"/>
        <v>(11 downto 8)</v>
      </c>
      <c r="AF65" s="2" t="str">
        <f t="shared" si="30"/>
        <v>(7 downto 0)</v>
      </c>
      <c r="AG65" s="2" t="str">
        <f t="shared" si="31"/>
        <v/>
      </c>
      <c r="AH65" s="2" t="str">
        <f t="shared" si="32"/>
        <v/>
      </c>
    </row>
    <row r="66" spans="2:34" x14ac:dyDescent="0.25">
      <c r="B66" s="2" t="s">
        <v>279</v>
      </c>
      <c r="C66" s="2" t="s">
        <v>168</v>
      </c>
      <c r="D66" s="2" t="s">
        <v>0</v>
      </c>
      <c r="E66" s="2" t="s">
        <v>130</v>
      </c>
      <c r="F66" s="2" t="s">
        <v>280</v>
      </c>
      <c r="G66" s="2" t="s">
        <v>281</v>
      </c>
      <c r="H66" s="2" t="s">
        <v>169</v>
      </c>
      <c r="I66" s="2" t="s">
        <v>41</v>
      </c>
      <c r="J66" s="2">
        <v>16</v>
      </c>
      <c r="K66" s="2" t="s">
        <v>132</v>
      </c>
      <c r="L66" s="2" t="s">
        <v>40</v>
      </c>
      <c r="P66" s="2" t="s">
        <v>49</v>
      </c>
      <c r="Q66" s="2">
        <f>INDEX(Tables!$C$4:$C$28,MATCH($P66,Tables!$B$4:$B$28,0))</f>
        <v>16</v>
      </c>
      <c r="R66" s="2">
        <f>INDEX(Tables!$D$4:$D$28,MATCH($P66,Tables!$B$4:$B$28,0))</f>
        <v>2</v>
      </c>
      <c r="S66" s="2">
        <f>$S65+$R65+INDEX(Tables!$N$5:$Q$8,MATCH(MOD($S65+$R65,4),Tables!$M$5:$M$8,0),MATCH($R66,Tables!$N$4:$Q$4,0))</f>
        <v>208</v>
      </c>
      <c r="T66" s="2" t="str">
        <f t="shared" si="7"/>
        <v>00D0</v>
      </c>
      <c r="U66" s="2">
        <f t="shared" si="24"/>
        <v>52</v>
      </c>
      <c r="V66" s="2" t="str">
        <f t="shared" si="9"/>
        <v>034</v>
      </c>
      <c r="W66" s="2" t="str">
        <f t="shared" si="10"/>
        <v/>
      </c>
      <c r="X66" s="2" t="str">
        <f t="shared" si="14"/>
        <v/>
      </c>
      <c r="Y66" s="2" t="str">
        <f t="shared" si="11"/>
        <v>X</v>
      </c>
      <c r="Z66" s="2" t="str">
        <f t="shared" si="12"/>
        <v>X</v>
      </c>
      <c r="AA66" s="2" t="str">
        <f t="shared" si="25"/>
        <v/>
      </c>
      <c r="AB66" s="2" t="str">
        <f t="shared" si="26"/>
        <v/>
      </c>
      <c r="AC66" s="2" t="str">
        <f t="shared" si="27"/>
        <v>(15 downto 8)</v>
      </c>
      <c r="AD66" s="2" t="str">
        <f t="shared" si="28"/>
        <v>(7 downto 0)</v>
      </c>
      <c r="AE66" s="2" t="str">
        <f t="shared" si="29"/>
        <v/>
      </c>
      <c r="AF66" s="2" t="str">
        <f t="shared" si="30"/>
        <v/>
      </c>
      <c r="AG66" s="2" t="str">
        <f t="shared" si="31"/>
        <v>(15 downto 8)</v>
      </c>
      <c r="AH66" s="2" t="str">
        <f t="shared" si="32"/>
        <v>(7 downto 0)</v>
      </c>
    </row>
    <row r="67" spans="2:34" x14ac:dyDescent="0.25">
      <c r="B67" s="2" t="s">
        <v>284</v>
      </c>
      <c r="C67" s="2" t="s">
        <v>141</v>
      </c>
      <c r="D67" s="2" t="s">
        <v>0</v>
      </c>
      <c r="E67" s="2" t="s">
        <v>130</v>
      </c>
      <c r="F67" s="2" t="s">
        <v>285</v>
      </c>
      <c r="G67" s="2" t="s">
        <v>286</v>
      </c>
      <c r="H67" s="2" t="s">
        <v>142</v>
      </c>
      <c r="I67" s="2" t="s">
        <v>41</v>
      </c>
      <c r="J67" s="2">
        <v>32</v>
      </c>
      <c r="K67" s="2" t="s">
        <v>132</v>
      </c>
      <c r="L67" s="2" t="s">
        <v>40</v>
      </c>
      <c r="P67" s="2" t="s">
        <v>48</v>
      </c>
      <c r="Q67" s="2">
        <f>INDEX(Tables!$C$4:$C$28,MATCH($P67,Tables!$B$4:$B$28,0))</f>
        <v>32</v>
      </c>
      <c r="R67" s="2">
        <f>INDEX(Tables!$D$4:$D$28,MATCH($P67,Tables!$B$4:$B$28,0))</f>
        <v>4</v>
      </c>
      <c r="S67" s="2">
        <f>$S66+$R66+INDEX(Tables!$N$5:$Q$8,MATCH(MOD($S66+$R66,4),Tables!$M$5:$M$8,0),MATCH($R67,Tables!$N$4:$Q$4,0))</f>
        <v>212</v>
      </c>
      <c r="T67" s="2" t="str">
        <f t="shared" si="7"/>
        <v>00D4</v>
      </c>
      <c r="U67" s="2">
        <f t="shared" si="24"/>
        <v>53</v>
      </c>
      <c r="V67" s="2" t="str">
        <f t="shared" si="9"/>
        <v>035</v>
      </c>
      <c r="W67" s="2" t="str">
        <f t="shared" si="10"/>
        <v>X</v>
      </c>
      <c r="X67" s="2" t="str">
        <f t="shared" si="14"/>
        <v>X</v>
      </c>
      <c r="Y67" s="2" t="str">
        <f t="shared" si="11"/>
        <v>X</v>
      </c>
      <c r="Z67" s="2" t="str">
        <f t="shared" si="12"/>
        <v>X</v>
      </c>
      <c r="AA67" s="2" t="str">
        <f t="shared" si="25"/>
        <v>(31 downto 24)</v>
      </c>
      <c r="AB67" s="2" t="str">
        <f t="shared" si="26"/>
        <v>(23 downto 16)</v>
      </c>
      <c r="AC67" s="2" t="str">
        <f t="shared" si="27"/>
        <v>(15 downto 8)</v>
      </c>
      <c r="AD67" s="2" t="str">
        <f t="shared" si="28"/>
        <v>(7 downto 0)</v>
      </c>
      <c r="AE67" s="2" t="str">
        <f t="shared" si="29"/>
        <v>(31 downto 24)</v>
      </c>
      <c r="AF67" s="2" t="str">
        <f t="shared" si="30"/>
        <v>(23 downto 16)</v>
      </c>
      <c r="AG67" s="2" t="str">
        <f t="shared" si="31"/>
        <v>(15 downto 8)</v>
      </c>
      <c r="AH67" s="2" t="str">
        <f t="shared" si="32"/>
        <v>(7 downto 0)</v>
      </c>
    </row>
    <row r="68" spans="2:34" x14ac:dyDescent="0.25">
      <c r="B68" s="2" t="s">
        <v>287</v>
      </c>
      <c r="C68" s="2" t="s">
        <v>288</v>
      </c>
      <c r="D68" s="2" t="s">
        <v>0</v>
      </c>
      <c r="E68" s="2" t="s">
        <v>130</v>
      </c>
      <c r="F68" s="2" t="s">
        <v>289</v>
      </c>
      <c r="G68" s="2" t="s">
        <v>290</v>
      </c>
      <c r="H68" s="2" t="s">
        <v>291</v>
      </c>
      <c r="I68" s="2" t="s">
        <v>41</v>
      </c>
      <c r="J68" s="2">
        <v>8</v>
      </c>
      <c r="K68" s="2" t="s">
        <v>292</v>
      </c>
      <c r="L68" s="2" t="s">
        <v>40</v>
      </c>
      <c r="P68" s="2" t="s">
        <v>47</v>
      </c>
      <c r="Q68" s="2">
        <f>INDEX(Tables!$C$4:$C$28,MATCH($P68,Tables!$B$4:$B$28,0))</f>
        <v>8</v>
      </c>
      <c r="R68" s="2">
        <f>INDEX(Tables!$D$4:$D$28,MATCH($P68,Tables!$B$4:$B$28,0))</f>
        <v>1</v>
      </c>
      <c r="S68" s="2">
        <f>$S67+$R67+INDEX(Tables!$N$5:$Q$8,MATCH(MOD($S67+$R67,4),Tables!$M$5:$M$8,0),MATCH($R68,Tables!$N$4:$Q$4,0))</f>
        <v>216</v>
      </c>
      <c r="T68" s="2" t="str">
        <f t="shared" si="7"/>
        <v>00D8</v>
      </c>
      <c r="U68" s="2">
        <f t="shared" si="24"/>
        <v>54</v>
      </c>
      <c r="V68" s="2" t="str">
        <f t="shared" si="9"/>
        <v>036</v>
      </c>
      <c r="W68" s="2" t="str">
        <f t="shared" si="10"/>
        <v/>
      </c>
      <c r="X68" s="2" t="str">
        <f t="shared" si="14"/>
        <v/>
      </c>
      <c r="Y68" s="2" t="str">
        <f t="shared" si="11"/>
        <v/>
      </c>
      <c r="Z68" s="2" t="str">
        <f t="shared" si="12"/>
        <v>X</v>
      </c>
      <c r="AA68" s="2" t="str">
        <f t="shared" si="25"/>
        <v/>
      </c>
      <c r="AB68" s="2" t="str">
        <f t="shared" si="26"/>
        <v/>
      </c>
      <c r="AC68" s="2" t="str">
        <f t="shared" si="27"/>
        <v/>
      </c>
      <c r="AD68" s="2" t="str">
        <f t="shared" si="28"/>
        <v>(7 downto 0)</v>
      </c>
      <c r="AE68" s="2" t="str">
        <f t="shared" si="29"/>
        <v/>
      </c>
      <c r="AF68" s="2" t="str">
        <f t="shared" si="30"/>
        <v/>
      </c>
      <c r="AG68" s="2" t="str">
        <f t="shared" si="31"/>
        <v/>
      </c>
      <c r="AH68" s="2" t="str">
        <f t="shared" si="32"/>
        <v/>
      </c>
    </row>
    <row r="69" spans="2:34" x14ac:dyDescent="0.25">
      <c r="B69" s="2" t="s">
        <v>287</v>
      </c>
      <c r="C69" s="2" t="s">
        <v>293</v>
      </c>
      <c r="D69" s="2" t="s">
        <v>0</v>
      </c>
      <c r="E69" s="2" t="s">
        <v>130</v>
      </c>
      <c r="F69" s="2" t="s">
        <v>289</v>
      </c>
      <c r="G69" s="2" t="s">
        <v>290</v>
      </c>
      <c r="H69" s="2" t="s">
        <v>294</v>
      </c>
      <c r="I69" s="2" t="s">
        <v>41</v>
      </c>
      <c r="J69" s="2">
        <v>8</v>
      </c>
      <c r="K69" s="2" t="s">
        <v>295</v>
      </c>
      <c r="L69" s="2" t="s">
        <v>40</v>
      </c>
      <c r="P69" s="2" t="s">
        <v>47</v>
      </c>
      <c r="Q69" s="2">
        <f>INDEX(Tables!$C$4:$C$28,MATCH($P69,Tables!$B$4:$B$28,0))</f>
        <v>8</v>
      </c>
      <c r="R69" s="2">
        <f>INDEX(Tables!$D$4:$D$28,MATCH($P69,Tables!$B$4:$B$28,0))</f>
        <v>1</v>
      </c>
      <c r="S69" s="2">
        <f>$S68+$R68+INDEX(Tables!$N$5:$Q$8,MATCH(MOD($S68+$R68,4),Tables!$M$5:$M$8,0),MATCH($R69,Tables!$N$4:$Q$4,0))</f>
        <v>217</v>
      </c>
      <c r="T69" s="2" t="str">
        <f t="shared" ref="T69:T132" si="33">DEC2HEX($S69,4)</f>
        <v>00D9</v>
      </c>
      <c r="U69" s="2">
        <f t="shared" si="24"/>
        <v>54</v>
      </c>
      <c r="V69" s="2" t="str">
        <f t="shared" ref="V69:V132" si="34">DEC2HEX($U69,3)</f>
        <v>036</v>
      </c>
      <c r="W69" s="2" t="str">
        <f t="shared" ref="W69:W132" si="35">IF(MOD($S69,4)=3,"X",IF(AND(MOD($S69,4)=2,$J69&gt;8),"X",IF(AND(MOD($S69,4)=1,$J69&gt;16),"X",IF(AND(MOD($S69,4)=0,$J69&gt;24),"X",""))))</f>
        <v/>
      </c>
      <c r="X69" s="2" t="str">
        <f t="shared" si="14"/>
        <v/>
      </c>
      <c r="Y69" s="2" t="str">
        <f t="shared" ref="Y69:Y132" si="36">IF(MOD($S69,4)=1,"X",IF(AND(MOD($S69,4)=0,$J69&gt;8),"X",""))</f>
        <v>X</v>
      </c>
      <c r="Z69" s="2" t="str">
        <f t="shared" ref="Z69:Z132" si="37">IF(MOD($S69,4)=0,"X","")</f>
        <v/>
      </c>
      <c r="AA69" s="2" t="str">
        <f t="shared" si="25"/>
        <v/>
      </c>
      <c r="AB69" s="2" t="str">
        <f t="shared" si="26"/>
        <v/>
      </c>
      <c r="AC69" s="2" t="str">
        <f t="shared" si="27"/>
        <v>(15 downto 8)</v>
      </c>
      <c r="AD69" s="2" t="str">
        <f t="shared" si="28"/>
        <v/>
      </c>
      <c r="AE69" s="2" t="str">
        <f t="shared" si="29"/>
        <v/>
      </c>
      <c r="AF69" s="2" t="str">
        <f t="shared" si="30"/>
        <v/>
      </c>
      <c r="AG69" s="2" t="str">
        <f t="shared" si="31"/>
        <v/>
      </c>
      <c r="AH69" s="2" t="str">
        <f t="shared" si="32"/>
        <v/>
      </c>
    </row>
    <row r="70" spans="2:34" x14ac:dyDescent="0.25">
      <c r="B70" s="2" t="s">
        <v>287</v>
      </c>
      <c r="C70" s="2" t="s">
        <v>296</v>
      </c>
      <c r="D70" s="2" t="s">
        <v>0</v>
      </c>
      <c r="E70" s="2" t="s">
        <v>130</v>
      </c>
      <c r="F70" s="2" t="s">
        <v>289</v>
      </c>
      <c r="G70" s="2" t="s">
        <v>290</v>
      </c>
      <c r="H70" s="2" t="s">
        <v>297</v>
      </c>
      <c r="I70" s="2" t="s">
        <v>41</v>
      </c>
      <c r="J70" s="2">
        <v>8</v>
      </c>
      <c r="K70" s="2" t="s">
        <v>298</v>
      </c>
      <c r="L70" s="2" t="s">
        <v>40</v>
      </c>
      <c r="P70" s="2" t="s">
        <v>47</v>
      </c>
      <c r="Q70" s="2">
        <f>INDEX(Tables!$C$4:$C$28,MATCH($P70,Tables!$B$4:$B$28,0))</f>
        <v>8</v>
      </c>
      <c r="R70" s="2">
        <f>INDEX(Tables!$D$4:$D$28,MATCH($P70,Tables!$B$4:$B$28,0))</f>
        <v>1</v>
      </c>
      <c r="S70" s="2">
        <f>$S69+$R69+INDEX(Tables!$N$5:$Q$8,MATCH(MOD($S69+$R69,4),Tables!$M$5:$M$8,0),MATCH($R70,Tables!$N$4:$Q$4,0))</f>
        <v>218</v>
      </c>
      <c r="T70" s="2" t="str">
        <f t="shared" si="33"/>
        <v>00DA</v>
      </c>
      <c r="U70" s="2">
        <f t="shared" si="24"/>
        <v>54</v>
      </c>
      <c r="V70" s="2" t="str">
        <f t="shared" si="34"/>
        <v>036</v>
      </c>
      <c r="W70" s="2" t="str">
        <f t="shared" si="35"/>
        <v/>
      </c>
      <c r="X70" s="2" t="str">
        <f t="shared" ref="X70:X133" si="38">IF(MOD($S70,4)=2,"X",IF(AND(MOD($S70,4)=1,$J70&gt;8),"X",IF(AND(MOD($S70,4)=0,$J70&gt;16),"X","")))</f>
        <v>X</v>
      </c>
      <c r="Y70" s="2" t="str">
        <f t="shared" si="36"/>
        <v/>
      </c>
      <c r="Z70" s="2" t="str">
        <f t="shared" si="37"/>
        <v/>
      </c>
      <c r="AA70" s="2" t="str">
        <f t="shared" si="25"/>
        <v/>
      </c>
      <c r="AB70" s="2" t="str">
        <f t="shared" si="26"/>
        <v>(23 downto 16)</v>
      </c>
      <c r="AC70" s="2" t="str">
        <f t="shared" si="27"/>
        <v/>
      </c>
      <c r="AD70" s="2" t="str">
        <f t="shared" si="28"/>
        <v/>
      </c>
      <c r="AE70" s="2" t="str">
        <f t="shared" si="29"/>
        <v/>
      </c>
      <c r="AF70" s="2" t="str">
        <f t="shared" si="30"/>
        <v/>
      </c>
      <c r="AG70" s="2" t="str">
        <f t="shared" si="31"/>
        <v/>
      </c>
      <c r="AH70" s="2" t="str">
        <f t="shared" si="32"/>
        <v/>
      </c>
    </row>
    <row r="71" spans="2:34" x14ac:dyDescent="0.25">
      <c r="B71" s="2" t="s">
        <v>287</v>
      </c>
      <c r="C71" s="2" t="s">
        <v>299</v>
      </c>
      <c r="D71" s="2" t="s">
        <v>0</v>
      </c>
      <c r="E71" s="2" t="s">
        <v>130</v>
      </c>
      <c r="F71" s="2" t="s">
        <v>289</v>
      </c>
      <c r="G71" s="2" t="s">
        <v>290</v>
      </c>
      <c r="H71" s="2" t="s">
        <v>300</v>
      </c>
      <c r="I71" s="2" t="s">
        <v>41</v>
      </c>
      <c r="J71" s="2">
        <v>8</v>
      </c>
      <c r="K71" s="2" t="s">
        <v>298</v>
      </c>
      <c r="L71" s="2" t="s">
        <v>40</v>
      </c>
      <c r="P71" s="2" t="s">
        <v>47</v>
      </c>
      <c r="Q71" s="2">
        <f>INDEX(Tables!$C$4:$C$28,MATCH($P71,Tables!$B$4:$B$28,0))</f>
        <v>8</v>
      </c>
      <c r="R71" s="2">
        <f>INDEX(Tables!$D$4:$D$28,MATCH($P71,Tables!$B$4:$B$28,0))</f>
        <v>1</v>
      </c>
      <c r="S71" s="2">
        <f>$S70+$R70+INDEX(Tables!$N$5:$Q$8,MATCH(MOD($S70+$R70,4),Tables!$M$5:$M$8,0),MATCH($R71,Tables!$N$4:$Q$4,0))</f>
        <v>219</v>
      </c>
      <c r="T71" s="2" t="str">
        <f t="shared" si="33"/>
        <v>00DB</v>
      </c>
      <c r="U71" s="2">
        <f t="shared" si="24"/>
        <v>54</v>
      </c>
      <c r="V71" s="2" t="str">
        <f t="shared" si="34"/>
        <v>036</v>
      </c>
      <c r="W71" s="2" t="str">
        <f t="shared" si="35"/>
        <v>X</v>
      </c>
      <c r="X71" s="2" t="str">
        <f t="shared" si="38"/>
        <v/>
      </c>
      <c r="Y71" s="2" t="str">
        <f t="shared" si="36"/>
        <v/>
      </c>
      <c r="Z71" s="2" t="str">
        <f t="shared" si="37"/>
        <v/>
      </c>
      <c r="AA71" s="2" t="str">
        <f t="shared" si="25"/>
        <v>(31 downto 24)</v>
      </c>
      <c r="AB71" s="2" t="str">
        <f t="shared" si="26"/>
        <v/>
      </c>
      <c r="AC71" s="2" t="str">
        <f t="shared" si="27"/>
        <v/>
      </c>
      <c r="AD71" s="2" t="str">
        <f t="shared" si="28"/>
        <v/>
      </c>
      <c r="AE71" s="2" t="str">
        <f t="shared" si="29"/>
        <v/>
      </c>
      <c r="AF71" s="2" t="str">
        <f t="shared" si="30"/>
        <v/>
      </c>
      <c r="AG71" s="2" t="str">
        <f t="shared" si="31"/>
        <v/>
      </c>
      <c r="AH71" s="2" t="str">
        <f t="shared" si="32"/>
        <v/>
      </c>
    </row>
    <row r="72" spans="2:34" x14ac:dyDescent="0.25">
      <c r="B72" s="2" t="s">
        <v>301</v>
      </c>
      <c r="C72" s="2" t="s">
        <v>302</v>
      </c>
      <c r="D72" s="2" t="s">
        <v>0</v>
      </c>
      <c r="E72" s="2" t="s">
        <v>130</v>
      </c>
      <c r="F72" s="2" t="s">
        <v>303</v>
      </c>
      <c r="G72" s="2" t="s">
        <v>304</v>
      </c>
      <c r="H72" s="2" t="s">
        <v>305</v>
      </c>
      <c r="I72" s="2" t="s">
        <v>41</v>
      </c>
      <c r="J72" s="2">
        <v>8</v>
      </c>
      <c r="K72" s="2" t="s">
        <v>298</v>
      </c>
      <c r="L72" s="2" t="s">
        <v>40</v>
      </c>
      <c r="P72" s="2" t="s">
        <v>47</v>
      </c>
      <c r="Q72" s="2">
        <f>INDEX(Tables!$C$4:$C$28,MATCH($P72,Tables!$B$4:$B$28,0))</f>
        <v>8</v>
      </c>
      <c r="R72" s="2">
        <f>INDEX(Tables!$D$4:$D$28,MATCH($P72,Tables!$B$4:$B$28,0))</f>
        <v>1</v>
      </c>
      <c r="S72" s="2">
        <f>$S71+$R71+INDEX(Tables!$N$5:$Q$8,MATCH(MOD($S71+$R71,4),Tables!$M$5:$M$8,0),MATCH($R72,Tables!$N$4:$Q$4,0))</f>
        <v>220</v>
      </c>
      <c r="T72" s="2" t="str">
        <f t="shared" si="33"/>
        <v>00DC</v>
      </c>
      <c r="U72" s="2">
        <f t="shared" si="24"/>
        <v>55</v>
      </c>
      <c r="V72" s="2" t="str">
        <f t="shared" si="34"/>
        <v>037</v>
      </c>
      <c r="W72" s="2" t="str">
        <f t="shared" si="35"/>
        <v/>
      </c>
      <c r="X72" s="2" t="str">
        <f t="shared" si="38"/>
        <v/>
      </c>
      <c r="Y72" s="2" t="str">
        <f t="shared" si="36"/>
        <v/>
      </c>
      <c r="Z72" s="2" t="str">
        <f t="shared" si="37"/>
        <v>X</v>
      </c>
      <c r="AA72" s="2" t="str">
        <f t="shared" si="25"/>
        <v/>
      </c>
      <c r="AB72" s="2" t="str">
        <f t="shared" si="26"/>
        <v/>
      </c>
      <c r="AC72" s="2" t="str">
        <f t="shared" si="27"/>
        <v/>
      </c>
      <c r="AD72" s="2" t="str">
        <f t="shared" si="28"/>
        <v>(7 downto 0)</v>
      </c>
      <c r="AE72" s="2" t="str">
        <f t="shared" si="29"/>
        <v/>
      </c>
      <c r="AF72" s="2" t="str">
        <f t="shared" si="30"/>
        <v/>
      </c>
      <c r="AG72" s="2" t="str">
        <f t="shared" si="31"/>
        <v/>
      </c>
      <c r="AH72" s="2" t="str">
        <f t="shared" si="32"/>
        <v/>
      </c>
    </row>
    <row r="73" spans="2:34" x14ac:dyDescent="0.25">
      <c r="B73" s="2" t="s">
        <v>301</v>
      </c>
      <c r="C73" s="2" t="s">
        <v>306</v>
      </c>
      <c r="D73" s="2" t="s">
        <v>0</v>
      </c>
      <c r="E73" s="2" t="s">
        <v>130</v>
      </c>
      <c r="F73" s="2" t="s">
        <v>303</v>
      </c>
      <c r="G73" s="2" t="s">
        <v>304</v>
      </c>
      <c r="H73" s="2" t="s">
        <v>307</v>
      </c>
      <c r="I73" s="2" t="s">
        <v>41</v>
      </c>
      <c r="J73" s="2">
        <v>8</v>
      </c>
      <c r="K73" s="2" t="s">
        <v>298</v>
      </c>
      <c r="L73" s="2" t="s">
        <v>40</v>
      </c>
      <c r="P73" s="2" t="s">
        <v>47</v>
      </c>
      <c r="Q73" s="2">
        <f>INDEX(Tables!$C$4:$C$28,MATCH($P73,Tables!$B$4:$B$28,0))</f>
        <v>8</v>
      </c>
      <c r="R73" s="2">
        <f>INDEX(Tables!$D$4:$D$28,MATCH($P73,Tables!$B$4:$B$28,0))</f>
        <v>1</v>
      </c>
      <c r="S73" s="2">
        <f>$S72+$R72+INDEX(Tables!$N$5:$Q$8,MATCH(MOD($S72+$R72,4),Tables!$M$5:$M$8,0),MATCH($R73,Tables!$N$4:$Q$4,0))</f>
        <v>221</v>
      </c>
      <c r="T73" s="2" t="str">
        <f t="shared" si="33"/>
        <v>00DD</v>
      </c>
      <c r="U73" s="2">
        <f t="shared" ref="U73:U136" si="39">ROUNDDOWN(S73/4,0)</f>
        <v>55</v>
      </c>
      <c r="V73" s="2" t="str">
        <f t="shared" si="34"/>
        <v>037</v>
      </c>
      <c r="W73" s="2" t="str">
        <f t="shared" si="35"/>
        <v/>
      </c>
      <c r="X73" s="2" t="str">
        <f t="shared" si="38"/>
        <v/>
      </c>
      <c r="Y73" s="2" t="str">
        <f t="shared" si="36"/>
        <v>X</v>
      </c>
      <c r="Z73" s="2" t="str">
        <f t="shared" si="37"/>
        <v/>
      </c>
      <c r="AA73" s="2" t="str">
        <f t="shared" ref="AA73:AA136" si="40">IF(W73="","",CONCATENATE("(",IF(($J73-COUNTIF($X73:$Z73,"X")*8)=1,"24)",CONCATENATE(IF(($J73-COUNTIF($X73:$Z73,"X")*8)&gt;=8,32,($J73-COUNTIF($X73:$Z73,"X")*8)+24)-1," downto 24)"))))</f>
        <v/>
      </c>
      <c r="AB73" s="2" t="str">
        <f t="shared" ref="AB73:AB136" si="41">IF(X73="","",CONCATENATE("(",IF(($J73-COUNTIF($Y73:$Z73,"X")*8)=1,"16)",CONCATENATE(IF(($J73-COUNTIF($Y73:$Z73,"X")*8)&gt;=8,24,($J73-COUNTIF($Y73:$Z73,"X")*8)+16)-1," downto 16)"))))</f>
        <v/>
      </c>
      <c r="AC73" s="2" t="str">
        <f t="shared" ref="AC73:AC136" si="42">IF(Y73="","",CONCATENATE("(",IF(($J73-COUNTIF($Z73,"X")*8)=1,"8)",CONCATENATE(IF(($J73-COUNTIF($Z73,"X")*8)&gt;=8,16,($J73-COUNTIF($Z73,"X")*8)+8)-1," downto 8)"))))</f>
        <v>(15 downto 8)</v>
      </c>
      <c r="AD73" s="2" t="str">
        <f t="shared" ref="AD73:AD136" si="43">IF(Z73="","",CONCATENATE("(",IF($J73=1,"0)",CONCATENATE(IF($J73&gt;=8,8,$J73)-1," downto 0)"))))</f>
        <v/>
      </c>
      <c r="AE73" s="2" t="str">
        <f t="shared" ref="AE73:AE136" si="44">IF(W73="","",IF($J73&lt;=8,"",IF(($J73-COUNTIF($X73:$Z73,"X")*8)=1,CONCATENATE("(",($J73-1),")"),CONCATENATE("(",IF(($J73-COUNTIF($X73:$Z73,"X")*8)&gt;=8,COUNTIF($X73:$Z73,"X")*8+7,$J73-COUNTIF($X73:$Z73,"X")*8-1+COUNTIF($X73:$Z73,"X")*8)," downto ",COUNTIF($X73:$Z73,"X")*8,")"))))</f>
        <v/>
      </c>
      <c r="AF73" s="2" t="str">
        <f t="shared" ref="AF73:AF136" si="45">IF(X73="","",IF($J73&lt;=8,"",IF(($J73-COUNTIF($Y73:$Z73,"X")*8)=1,CONCATENATE("(",($J73-1),")"),CONCATENATE("(",IF(($J73-COUNTIF($Y73:$Z73,"X")*8)&gt;=8,COUNTIF($Y73:$Z73,"X")*8+7,$J73-COUNTIF($Y73:$Z73,"X")*8-1+COUNTIF($Y73:$Z73,"X")*8)," downto ",COUNTIF($Y73:$Z73,"X")*8,")"))))</f>
        <v/>
      </c>
      <c r="AG73" s="2" t="str">
        <f t="shared" ref="AG73:AG136" si="46">IF(Y73="","",IF($J73&lt;=8,"",IF(($J73-COUNTIF($Z73,"X")*8)=1,CONCATENATE("(",($J73-1),")"),CONCATENATE("(",IF(($J73-COUNTIF($Z73,"X")*8)&gt;=8,COUNTIF($Z73,"X")*8+7,$J73-COUNTIF($Z73,"X")*8-1+COUNTIF($Z73,"X")*8)," downto ",COUNTIF($Z73,"X")*8,")"))))</f>
        <v/>
      </c>
      <c r="AH73" s="2" t="str">
        <f t="shared" ref="AH73:AH136" si="47">IF(Z73="","",IF($J73&lt;=8,"",CONCATENATE("(",IF($J73&gt;=8,7,$J73-1)," downto ",0,")")))</f>
        <v/>
      </c>
    </row>
    <row r="74" spans="2:34" x14ac:dyDescent="0.25">
      <c r="B74" s="2" t="s">
        <v>301</v>
      </c>
      <c r="C74" s="2" t="s">
        <v>308</v>
      </c>
      <c r="D74" s="2" t="s">
        <v>0</v>
      </c>
      <c r="E74" s="2" t="s">
        <v>130</v>
      </c>
      <c r="F74" s="2" t="s">
        <v>303</v>
      </c>
      <c r="G74" s="2" t="s">
        <v>304</v>
      </c>
      <c r="H74" s="2" t="s">
        <v>309</v>
      </c>
      <c r="I74" s="2" t="s">
        <v>41</v>
      </c>
      <c r="J74" s="2">
        <v>8</v>
      </c>
      <c r="K74" s="2" t="s">
        <v>295</v>
      </c>
      <c r="L74" s="2" t="s">
        <v>40</v>
      </c>
      <c r="P74" s="2" t="s">
        <v>47</v>
      </c>
      <c r="Q74" s="2">
        <f>INDEX(Tables!$C$4:$C$28,MATCH($P74,Tables!$B$4:$B$28,0))</f>
        <v>8</v>
      </c>
      <c r="R74" s="2">
        <f>INDEX(Tables!$D$4:$D$28,MATCH($P74,Tables!$B$4:$B$28,0))</f>
        <v>1</v>
      </c>
      <c r="S74" s="2">
        <f>$S73+$R73+INDEX(Tables!$N$5:$Q$8,MATCH(MOD($S73+$R73,4),Tables!$M$5:$M$8,0),MATCH($R74,Tables!$N$4:$Q$4,0))</f>
        <v>222</v>
      </c>
      <c r="T74" s="2" t="str">
        <f t="shared" si="33"/>
        <v>00DE</v>
      </c>
      <c r="U74" s="2">
        <f t="shared" si="39"/>
        <v>55</v>
      </c>
      <c r="V74" s="2" t="str">
        <f t="shared" si="34"/>
        <v>037</v>
      </c>
      <c r="W74" s="2" t="str">
        <f t="shared" si="35"/>
        <v/>
      </c>
      <c r="X74" s="2" t="str">
        <f t="shared" si="38"/>
        <v>X</v>
      </c>
      <c r="Y74" s="2" t="str">
        <f t="shared" si="36"/>
        <v/>
      </c>
      <c r="Z74" s="2" t="str">
        <f t="shared" si="37"/>
        <v/>
      </c>
      <c r="AA74" s="2" t="str">
        <f t="shared" si="40"/>
        <v/>
      </c>
      <c r="AB74" s="2" t="str">
        <f t="shared" si="41"/>
        <v>(23 downto 16)</v>
      </c>
      <c r="AC74" s="2" t="str">
        <f t="shared" si="42"/>
        <v/>
      </c>
      <c r="AD74" s="2" t="str">
        <f t="shared" si="43"/>
        <v/>
      </c>
      <c r="AE74" s="2" t="str">
        <f t="shared" si="44"/>
        <v/>
      </c>
      <c r="AF74" s="2" t="str">
        <f t="shared" si="45"/>
        <v/>
      </c>
      <c r="AG74" s="2" t="str">
        <f t="shared" si="46"/>
        <v/>
      </c>
      <c r="AH74" s="2" t="str">
        <f t="shared" si="47"/>
        <v/>
      </c>
    </row>
    <row r="75" spans="2:34" x14ac:dyDescent="0.25">
      <c r="B75" s="2" t="s">
        <v>301</v>
      </c>
      <c r="C75" s="2" t="s">
        <v>310</v>
      </c>
      <c r="D75" s="2" t="s">
        <v>0</v>
      </c>
      <c r="E75" s="2" t="s">
        <v>130</v>
      </c>
      <c r="F75" s="2" t="s">
        <v>303</v>
      </c>
      <c r="G75" s="2" t="s">
        <v>304</v>
      </c>
      <c r="H75" s="2" t="s">
        <v>311</v>
      </c>
      <c r="I75" s="2" t="s">
        <v>41</v>
      </c>
      <c r="J75" s="2">
        <v>8</v>
      </c>
      <c r="K75" s="2" t="s">
        <v>292</v>
      </c>
      <c r="L75" s="2" t="s">
        <v>40</v>
      </c>
      <c r="P75" s="2" t="s">
        <v>47</v>
      </c>
      <c r="Q75" s="2">
        <f>INDEX(Tables!$C$4:$C$28,MATCH($P75,Tables!$B$4:$B$28,0))</f>
        <v>8</v>
      </c>
      <c r="R75" s="2">
        <f>INDEX(Tables!$D$4:$D$28,MATCH($P75,Tables!$B$4:$B$28,0))</f>
        <v>1</v>
      </c>
      <c r="S75" s="2">
        <f>$S74+$R74+INDEX(Tables!$N$5:$Q$8,MATCH(MOD($S74+$R74,4),Tables!$M$5:$M$8,0),MATCH($R75,Tables!$N$4:$Q$4,0))</f>
        <v>223</v>
      </c>
      <c r="T75" s="2" t="str">
        <f t="shared" si="33"/>
        <v>00DF</v>
      </c>
      <c r="U75" s="2">
        <f t="shared" si="39"/>
        <v>55</v>
      </c>
      <c r="V75" s="2" t="str">
        <f t="shared" si="34"/>
        <v>037</v>
      </c>
      <c r="W75" s="2" t="str">
        <f t="shared" si="35"/>
        <v>X</v>
      </c>
      <c r="X75" s="2" t="str">
        <f t="shared" si="38"/>
        <v/>
      </c>
      <c r="Y75" s="2" t="str">
        <f t="shared" si="36"/>
        <v/>
      </c>
      <c r="Z75" s="2" t="str">
        <f t="shared" si="37"/>
        <v/>
      </c>
      <c r="AA75" s="2" t="str">
        <f t="shared" si="40"/>
        <v>(31 downto 24)</v>
      </c>
      <c r="AB75" s="2" t="str">
        <f t="shared" si="41"/>
        <v/>
      </c>
      <c r="AC75" s="2" t="str">
        <f t="shared" si="42"/>
        <v/>
      </c>
      <c r="AD75" s="2" t="str">
        <f t="shared" si="43"/>
        <v/>
      </c>
      <c r="AE75" s="2" t="str">
        <f t="shared" si="44"/>
        <v/>
      </c>
      <c r="AF75" s="2" t="str">
        <f t="shared" si="45"/>
        <v/>
      </c>
      <c r="AG75" s="2" t="str">
        <f t="shared" si="46"/>
        <v/>
      </c>
      <c r="AH75" s="2" t="str">
        <f t="shared" si="47"/>
        <v/>
      </c>
    </row>
    <row r="76" spans="2:34" x14ac:dyDescent="0.25">
      <c r="B76" s="2" t="s">
        <v>312</v>
      </c>
      <c r="C76" s="2" t="s">
        <v>313</v>
      </c>
      <c r="D76" s="2" t="s">
        <v>0</v>
      </c>
      <c r="E76" s="2" t="s">
        <v>130</v>
      </c>
      <c r="F76" s="2" t="s">
        <v>314</v>
      </c>
      <c r="G76" s="2" t="s">
        <v>315</v>
      </c>
      <c r="H76" s="2" t="s">
        <v>316</v>
      </c>
      <c r="I76" s="2" t="s">
        <v>41</v>
      </c>
      <c r="J76" s="2">
        <v>8</v>
      </c>
      <c r="K76" s="2" t="s">
        <v>292</v>
      </c>
      <c r="L76" s="2" t="s">
        <v>40</v>
      </c>
      <c r="P76" s="2" t="s">
        <v>47</v>
      </c>
      <c r="Q76" s="2">
        <f>INDEX(Tables!$C$4:$C$28,MATCH($P76,Tables!$B$4:$B$28,0))</f>
        <v>8</v>
      </c>
      <c r="R76" s="2">
        <f>INDEX(Tables!$D$4:$D$28,MATCH($P76,Tables!$B$4:$B$28,0))</f>
        <v>1</v>
      </c>
      <c r="S76" s="2">
        <f>$S75+$R75+INDEX(Tables!$N$5:$Q$8,MATCH(MOD($S75+$R75,4),Tables!$M$5:$M$8,0),MATCH($R76,Tables!$N$4:$Q$4,0))</f>
        <v>224</v>
      </c>
      <c r="T76" s="2" t="str">
        <f t="shared" si="33"/>
        <v>00E0</v>
      </c>
      <c r="U76" s="2">
        <f t="shared" si="39"/>
        <v>56</v>
      </c>
      <c r="V76" s="2" t="str">
        <f t="shared" si="34"/>
        <v>038</v>
      </c>
      <c r="W76" s="2" t="str">
        <f t="shared" si="35"/>
        <v/>
      </c>
      <c r="X76" s="2" t="str">
        <f t="shared" si="38"/>
        <v/>
      </c>
      <c r="Y76" s="2" t="str">
        <f t="shared" si="36"/>
        <v/>
      </c>
      <c r="Z76" s="2" t="str">
        <f t="shared" si="37"/>
        <v>X</v>
      </c>
      <c r="AA76" s="2" t="str">
        <f t="shared" si="40"/>
        <v/>
      </c>
      <c r="AB76" s="2" t="str">
        <f t="shared" si="41"/>
        <v/>
      </c>
      <c r="AC76" s="2" t="str">
        <f t="shared" si="42"/>
        <v/>
      </c>
      <c r="AD76" s="2" t="str">
        <f t="shared" si="43"/>
        <v>(7 downto 0)</v>
      </c>
      <c r="AE76" s="2" t="str">
        <f t="shared" si="44"/>
        <v/>
      </c>
      <c r="AF76" s="2" t="str">
        <f t="shared" si="45"/>
        <v/>
      </c>
      <c r="AG76" s="2" t="str">
        <f t="shared" si="46"/>
        <v/>
      </c>
      <c r="AH76" s="2" t="str">
        <f t="shared" si="47"/>
        <v/>
      </c>
    </row>
    <row r="77" spans="2:34" x14ac:dyDescent="0.25">
      <c r="B77" s="2" t="s">
        <v>312</v>
      </c>
      <c r="C77" s="2" t="s">
        <v>317</v>
      </c>
      <c r="D77" s="2" t="s">
        <v>0</v>
      </c>
      <c r="E77" s="2" t="s">
        <v>130</v>
      </c>
      <c r="F77" s="2" t="s">
        <v>314</v>
      </c>
      <c r="G77" s="2" t="s">
        <v>315</v>
      </c>
      <c r="H77" s="2" t="s">
        <v>318</v>
      </c>
      <c r="I77" s="2" t="s">
        <v>41</v>
      </c>
      <c r="J77" s="2">
        <v>8</v>
      </c>
      <c r="K77" s="2" t="s">
        <v>292</v>
      </c>
      <c r="L77" s="2" t="s">
        <v>40</v>
      </c>
      <c r="P77" s="2" t="s">
        <v>47</v>
      </c>
      <c r="Q77" s="2">
        <f>INDEX(Tables!$C$4:$C$28,MATCH($P77,Tables!$B$4:$B$28,0))</f>
        <v>8</v>
      </c>
      <c r="R77" s="2">
        <f>INDEX(Tables!$D$4:$D$28,MATCH($P77,Tables!$B$4:$B$28,0))</f>
        <v>1</v>
      </c>
      <c r="S77" s="2">
        <f>$S76+$R76+INDEX(Tables!$N$5:$Q$8,MATCH(MOD($S76+$R76,4),Tables!$M$5:$M$8,0),MATCH($R77,Tables!$N$4:$Q$4,0))</f>
        <v>225</v>
      </c>
      <c r="T77" s="2" t="str">
        <f t="shared" si="33"/>
        <v>00E1</v>
      </c>
      <c r="U77" s="2">
        <f t="shared" si="39"/>
        <v>56</v>
      </c>
      <c r="V77" s="2" t="str">
        <f t="shared" si="34"/>
        <v>038</v>
      </c>
      <c r="W77" s="2" t="str">
        <f t="shared" si="35"/>
        <v/>
      </c>
      <c r="X77" s="2" t="str">
        <f t="shared" si="38"/>
        <v/>
      </c>
      <c r="Y77" s="2" t="str">
        <f t="shared" si="36"/>
        <v>X</v>
      </c>
      <c r="Z77" s="2" t="str">
        <f t="shared" si="37"/>
        <v/>
      </c>
      <c r="AA77" s="2" t="str">
        <f t="shared" si="40"/>
        <v/>
      </c>
      <c r="AB77" s="2" t="str">
        <f t="shared" si="41"/>
        <v/>
      </c>
      <c r="AC77" s="2" t="str">
        <f t="shared" si="42"/>
        <v>(15 downto 8)</v>
      </c>
      <c r="AD77" s="2" t="str">
        <f t="shared" si="43"/>
        <v/>
      </c>
      <c r="AE77" s="2" t="str">
        <f t="shared" si="44"/>
        <v/>
      </c>
      <c r="AF77" s="2" t="str">
        <f t="shared" si="45"/>
        <v/>
      </c>
      <c r="AG77" s="2" t="str">
        <f t="shared" si="46"/>
        <v/>
      </c>
      <c r="AH77" s="2" t="str">
        <f t="shared" si="47"/>
        <v/>
      </c>
    </row>
    <row r="78" spans="2:34" x14ac:dyDescent="0.25">
      <c r="B78" s="2" t="s">
        <v>319</v>
      </c>
      <c r="C78" s="2" t="s">
        <v>141</v>
      </c>
      <c r="D78" s="2" t="s">
        <v>0</v>
      </c>
      <c r="E78" s="2" t="s">
        <v>130</v>
      </c>
      <c r="F78" s="2" t="s">
        <v>320</v>
      </c>
      <c r="G78" s="2" t="s">
        <v>321</v>
      </c>
      <c r="H78" s="2" t="s">
        <v>142</v>
      </c>
      <c r="I78" s="2" t="s">
        <v>41</v>
      </c>
      <c r="J78" s="2">
        <v>32</v>
      </c>
      <c r="K78" s="2" t="s">
        <v>132</v>
      </c>
      <c r="L78" s="2" t="s">
        <v>40</v>
      </c>
      <c r="P78" s="2" t="s">
        <v>48</v>
      </c>
      <c r="Q78" s="2">
        <f>INDEX(Tables!$C$4:$C$28,MATCH($P78,Tables!$B$4:$B$28,0))</f>
        <v>32</v>
      </c>
      <c r="R78" s="2">
        <f>INDEX(Tables!$D$4:$D$28,MATCH($P78,Tables!$B$4:$B$28,0))</f>
        <v>4</v>
      </c>
      <c r="S78" s="2">
        <f>$S77+$R77+INDEX(Tables!$N$5:$Q$8,MATCH(MOD($S77+$R77,4),Tables!$M$5:$M$8,0),MATCH($R78,Tables!$N$4:$Q$4,0))</f>
        <v>228</v>
      </c>
      <c r="T78" s="2" t="str">
        <f t="shared" si="33"/>
        <v>00E4</v>
      </c>
      <c r="U78" s="2">
        <f t="shared" si="39"/>
        <v>57</v>
      </c>
      <c r="V78" s="2" t="str">
        <f t="shared" si="34"/>
        <v>039</v>
      </c>
      <c r="W78" s="2" t="str">
        <f t="shared" si="35"/>
        <v>X</v>
      </c>
      <c r="X78" s="2" t="str">
        <f t="shared" si="38"/>
        <v>X</v>
      </c>
      <c r="Y78" s="2" t="str">
        <f t="shared" si="36"/>
        <v>X</v>
      </c>
      <c r="Z78" s="2" t="str">
        <f t="shared" si="37"/>
        <v>X</v>
      </c>
      <c r="AA78" s="2" t="str">
        <f t="shared" si="40"/>
        <v>(31 downto 24)</v>
      </c>
      <c r="AB78" s="2" t="str">
        <f t="shared" si="41"/>
        <v>(23 downto 16)</v>
      </c>
      <c r="AC78" s="2" t="str">
        <f t="shared" si="42"/>
        <v>(15 downto 8)</v>
      </c>
      <c r="AD78" s="2" t="str">
        <f t="shared" si="43"/>
        <v>(7 downto 0)</v>
      </c>
      <c r="AE78" s="2" t="str">
        <f t="shared" si="44"/>
        <v>(31 downto 24)</v>
      </c>
      <c r="AF78" s="2" t="str">
        <f t="shared" si="45"/>
        <v>(23 downto 16)</v>
      </c>
      <c r="AG78" s="2" t="str">
        <f t="shared" si="46"/>
        <v>(15 downto 8)</v>
      </c>
      <c r="AH78" s="2" t="str">
        <f t="shared" si="47"/>
        <v>(7 downto 0)</v>
      </c>
    </row>
    <row r="79" spans="2:34" x14ac:dyDescent="0.25">
      <c r="B79" s="2" t="s">
        <v>322</v>
      </c>
      <c r="C79" s="2" t="s">
        <v>141</v>
      </c>
      <c r="D79" s="2" t="s">
        <v>0</v>
      </c>
      <c r="E79" s="2" t="s">
        <v>130</v>
      </c>
      <c r="F79" s="2" t="s">
        <v>323</v>
      </c>
      <c r="G79" s="2" t="s">
        <v>324</v>
      </c>
      <c r="H79" s="2" t="s">
        <v>142</v>
      </c>
      <c r="I79" s="2" t="s">
        <v>41</v>
      </c>
      <c r="J79" s="2">
        <v>32</v>
      </c>
      <c r="K79" s="2" t="s">
        <v>132</v>
      </c>
      <c r="L79" s="2" t="s">
        <v>40</v>
      </c>
      <c r="P79" s="2" t="s">
        <v>48</v>
      </c>
      <c r="Q79" s="2">
        <f>INDEX(Tables!$C$4:$C$28,MATCH($P79,Tables!$B$4:$B$28,0))</f>
        <v>32</v>
      </c>
      <c r="R79" s="2">
        <f>INDEX(Tables!$D$4:$D$28,MATCH($P79,Tables!$B$4:$B$28,0))</f>
        <v>4</v>
      </c>
      <c r="S79" s="2">
        <f>$S78+$R78+INDEX(Tables!$N$5:$Q$8,MATCH(MOD($S78+$R78,4),Tables!$M$5:$M$8,0),MATCH($R79,Tables!$N$4:$Q$4,0))</f>
        <v>232</v>
      </c>
      <c r="T79" s="2" t="str">
        <f t="shared" si="33"/>
        <v>00E8</v>
      </c>
      <c r="U79" s="2">
        <f t="shared" si="39"/>
        <v>58</v>
      </c>
      <c r="V79" s="2" t="str">
        <f t="shared" si="34"/>
        <v>03A</v>
      </c>
      <c r="W79" s="2" t="str">
        <f t="shared" si="35"/>
        <v>X</v>
      </c>
      <c r="X79" s="2" t="str">
        <f t="shared" si="38"/>
        <v>X</v>
      </c>
      <c r="Y79" s="2" t="str">
        <f t="shared" si="36"/>
        <v>X</v>
      </c>
      <c r="Z79" s="2" t="str">
        <f t="shared" si="37"/>
        <v>X</v>
      </c>
      <c r="AA79" s="2" t="str">
        <f t="shared" si="40"/>
        <v>(31 downto 24)</v>
      </c>
      <c r="AB79" s="2" t="str">
        <f t="shared" si="41"/>
        <v>(23 downto 16)</v>
      </c>
      <c r="AC79" s="2" t="str">
        <f t="shared" si="42"/>
        <v>(15 downto 8)</v>
      </c>
      <c r="AD79" s="2" t="str">
        <f t="shared" si="43"/>
        <v>(7 downto 0)</v>
      </c>
      <c r="AE79" s="2" t="str">
        <f t="shared" si="44"/>
        <v>(31 downto 24)</v>
      </c>
      <c r="AF79" s="2" t="str">
        <f t="shared" si="45"/>
        <v>(23 downto 16)</v>
      </c>
      <c r="AG79" s="2" t="str">
        <f t="shared" si="46"/>
        <v>(15 downto 8)</v>
      </c>
      <c r="AH79" s="2" t="str">
        <f t="shared" si="47"/>
        <v>(7 downto 0)</v>
      </c>
    </row>
    <row r="80" spans="2:34" x14ac:dyDescent="0.25">
      <c r="B80" s="2" t="s">
        <v>325</v>
      </c>
      <c r="C80" s="2" t="s">
        <v>141</v>
      </c>
      <c r="D80" s="2" t="s">
        <v>0</v>
      </c>
      <c r="E80" s="2" t="s">
        <v>130</v>
      </c>
      <c r="F80" s="2" t="s">
        <v>326</v>
      </c>
      <c r="G80" s="2" t="s">
        <v>327</v>
      </c>
      <c r="H80" s="2" t="s">
        <v>142</v>
      </c>
      <c r="I80" s="2" t="s">
        <v>41</v>
      </c>
      <c r="J80" s="2">
        <v>32</v>
      </c>
      <c r="K80" s="2" t="s">
        <v>132</v>
      </c>
      <c r="L80" s="2" t="s">
        <v>40</v>
      </c>
      <c r="P80" s="2" t="s">
        <v>48</v>
      </c>
      <c r="Q80" s="2">
        <f>INDEX(Tables!$C$4:$C$28,MATCH($P80,Tables!$B$4:$B$28,0))</f>
        <v>32</v>
      </c>
      <c r="R80" s="2">
        <f>INDEX(Tables!$D$4:$D$28,MATCH($P80,Tables!$B$4:$B$28,0))</f>
        <v>4</v>
      </c>
      <c r="S80" s="2">
        <f>$S79+$R79+INDEX(Tables!$N$5:$Q$8,MATCH(MOD($S79+$R79,4),Tables!$M$5:$M$8,0),MATCH($R80,Tables!$N$4:$Q$4,0))</f>
        <v>236</v>
      </c>
      <c r="T80" s="2" t="str">
        <f t="shared" si="33"/>
        <v>00EC</v>
      </c>
      <c r="U80" s="2">
        <f t="shared" si="39"/>
        <v>59</v>
      </c>
      <c r="V80" s="2" t="str">
        <f t="shared" si="34"/>
        <v>03B</v>
      </c>
      <c r="W80" s="2" t="str">
        <f t="shared" si="35"/>
        <v>X</v>
      </c>
      <c r="X80" s="2" t="str">
        <f t="shared" si="38"/>
        <v>X</v>
      </c>
      <c r="Y80" s="2" t="str">
        <f t="shared" si="36"/>
        <v>X</v>
      </c>
      <c r="Z80" s="2" t="str">
        <f t="shared" si="37"/>
        <v>X</v>
      </c>
      <c r="AA80" s="2" t="str">
        <f t="shared" si="40"/>
        <v>(31 downto 24)</v>
      </c>
      <c r="AB80" s="2" t="str">
        <f t="shared" si="41"/>
        <v>(23 downto 16)</v>
      </c>
      <c r="AC80" s="2" t="str">
        <f t="shared" si="42"/>
        <v>(15 downto 8)</v>
      </c>
      <c r="AD80" s="2" t="str">
        <f t="shared" si="43"/>
        <v>(7 downto 0)</v>
      </c>
      <c r="AE80" s="2" t="str">
        <f t="shared" si="44"/>
        <v>(31 downto 24)</v>
      </c>
      <c r="AF80" s="2" t="str">
        <f t="shared" si="45"/>
        <v>(23 downto 16)</v>
      </c>
      <c r="AG80" s="2" t="str">
        <f t="shared" si="46"/>
        <v>(15 downto 8)</v>
      </c>
      <c r="AH80" s="2" t="str">
        <f t="shared" si="47"/>
        <v>(7 downto 0)</v>
      </c>
    </row>
    <row r="81" spans="1:38" x14ac:dyDescent="0.25">
      <c r="B81" s="2" t="s">
        <v>328</v>
      </c>
      <c r="C81" s="2" t="s">
        <v>141</v>
      </c>
      <c r="D81" s="2" t="s">
        <v>0</v>
      </c>
      <c r="E81" s="2" t="s">
        <v>130</v>
      </c>
      <c r="F81" s="2" t="s">
        <v>329</v>
      </c>
      <c r="G81" s="2" t="s">
        <v>330</v>
      </c>
      <c r="H81" s="2" t="s">
        <v>142</v>
      </c>
      <c r="I81" s="2" t="s">
        <v>41</v>
      </c>
      <c r="J81" s="2">
        <v>32</v>
      </c>
      <c r="K81" s="2" t="s">
        <v>132</v>
      </c>
      <c r="L81" s="2" t="s">
        <v>40</v>
      </c>
      <c r="P81" s="2" t="s">
        <v>48</v>
      </c>
      <c r="Q81" s="2">
        <f>INDEX(Tables!$C$4:$C$28,MATCH($P81,Tables!$B$4:$B$28,0))</f>
        <v>32</v>
      </c>
      <c r="R81" s="2">
        <f>INDEX(Tables!$D$4:$D$28,MATCH($P81,Tables!$B$4:$B$28,0))</f>
        <v>4</v>
      </c>
      <c r="S81" s="2">
        <f>$S80+$R80+INDEX(Tables!$N$5:$Q$8,MATCH(MOD($S80+$R80,4),Tables!$M$5:$M$8,0),MATCH($R81,Tables!$N$4:$Q$4,0))</f>
        <v>240</v>
      </c>
      <c r="T81" s="2" t="str">
        <f t="shared" si="33"/>
        <v>00F0</v>
      </c>
      <c r="U81" s="2">
        <f t="shared" si="39"/>
        <v>60</v>
      </c>
      <c r="V81" s="2" t="str">
        <f t="shared" si="34"/>
        <v>03C</v>
      </c>
      <c r="W81" s="2" t="str">
        <f t="shared" si="35"/>
        <v>X</v>
      </c>
      <c r="X81" s="2" t="str">
        <f t="shared" si="38"/>
        <v>X</v>
      </c>
      <c r="Y81" s="2" t="str">
        <f t="shared" si="36"/>
        <v>X</v>
      </c>
      <c r="Z81" s="2" t="str">
        <f t="shared" si="37"/>
        <v>X</v>
      </c>
      <c r="AA81" s="2" t="str">
        <f t="shared" si="40"/>
        <v>(31 downto 24)</v>
      </c>
      <c r="AB81" s="2" t="str">
        <f t="shared" si="41"/>
        <v>(23 downto 16)</v>
      </c>
      <c r="AC81" s="2" t="str">
        <f t="shared" si="42"/>
        <v>(15 downto 8)</v>
      </c>
      <c r="AD81" s="2" t="str">
        <f t="shared" si="43"/>
        <v>(7 downto 0)</v>
      </c>
      <c r="AE81" s="2" t="str">
        <f t="shared" si="44"/>
        <v>(31 downto 24)</v>
      </c>
      <c r="AF81" s="2" t="str">
        <f t="shared" si="45"/>
        <v>(23 downto 16)</v>
      </c>
      <c r="AG81" s="2" t="str">
        <f t="shared" si="46"/>
        <v>(15 downto 8)</v>
      </c>
      <c r="AH81" s="2" t="str">
        <f t="shared" si="47"/>
        <v>(7 downto 0)</v>
      </c>
    </row>
    <row r="82" spans="1:38" x14ac:dyDescent="0.25">
      <c r="B82" s="2" t="s">
        <v>331</v>
      </c>
      <c r="C82" s="2" t="s">
        <v>141</v>
      </c>
      <c r="D82" s="2" t="s">
        <v>0</v>
      </c>
      <c r="E82" s="2" t="s">
        <v>130</v>
      </c>
      <c r="F82" s="2" t="s">
        <v>332</v>
      </c>
      <c r="G82" s="2" t="s">
        <v>333</v>
      </c>
      <c r="H82" s="2" t="s">
        <v>142</v>
      </c>
      <c r="I82" s="2" t="s">
        <v>41</v>
      </c>
      <c r="J82" s="2">
        <v>32</v>
      </c>
      <c r="K82" s="2" t="s">
        <v>132</v>
      </c>
      <c r="L82" s="2" t="s">
        <v>40</v>
      </c>
      <c r="P82" s="2" t="s">
        <v>48</v>
      </c>
      <c r="Q82" s="2">
        <f>INDEX(Tables!$C$4:$C$28,MATCH($P82,Tables!$B$4:$B$28,0))</f>
        <v>32</v>
      </c>
      <c r="R82" s="2">
        <f>INDEX(Tables!$D$4:$D$28,MATCH($P82,Tables!$B$4:$B$28,0))</f>
        <v>4</v>
      </c>
      <c r="S82" s="2">
        <f>$S81+$R81+INDEX(Tables!$N$5:$Q$8,MATCH(MOD($S81+$R81,4),Tables!$M$5:$M$8,0),MATCH($R82,Tables!$N$4:$Q$4,0))</f>
        <v>244</v>
      </c>
      <c r="T82" s="2" t="str">
        <f t="shared" si="33"/>
        <v>00F4</v>
      </c>
      <c r="U82" s="2">
        <f t="shared" si="39"/>
        <v>61</v>
      </c>
      <c r="V82" s="2" t="str">
        <f t="shared" si="34"/>
        <v>03D</v>
      </c>
      <c r="W82" s="2" t="str">
        <f t="shared" si="35"/>
        <v>X</v>
      </c>
      <c r="X82" s="2" t="str">
        <f t="shared" si="38"/>
        <v>X</v>
      </c>
      <c r="Y82" s="2" t="str">
        <f t="shared" si="36"/>
        <v>X</v>
      </c>
      <c r="Z82" s="2" t="str">
        <f t="shared" si="37"/>
        <v>X</v>
      </c>
      <c r="AA82" s="2" t="str">
        <f t="shared" si="40"/>
        <v>(31 downto 24)</v>
      </c>
      <c r="AB82" s="2" t="str">
        <f t="shared" si="41"/>
        <v>(23 downto 16)</v>
      </c>
      <c r="AC82" s="2" t="str">
        <f t="shared" si="42"/>
        <v>(15 downto 8)</v>
      </c>
      <c r="AD82" s="2" t="str">
        <f t="shared" si="43"/>
        <v>(7 downto 0)</v>
      </c>
      <c r="AE82" s="2" t="str">
        <f t="shared" si="44"/>
        <v>(31 downto 24)</v>
      </c>
      <c r="AF82" s="2" t="str">
        <f t="shared" si="45"/>
        <v>(23 downto 16)</v>
      </c>
      <c r="AG82" s="2" t="str">
        <f t="shared" si="46"/>
        <v>(15 downto 8)</v>
      </c>
      <c r="AH82" s="2" t="str">
        <f t="shared" si="47"/>
        <v>(7 downto 0)</v>
      </c>
    </row>
    <row r="83" spans="1:38" x14ac:dyDescent="0.25">
      <c r="B83" s="2" t="s">
        <v>334</v>
      </c>
      <c r="C83" s="2" t="s">
        <v>141</v>
      </c>
      <c r="D83" s="2" t="s">
        <v>0</v>
      </c>
      <c r="E83" s="2" t="s">
        <v>130</v>
      </c>
      <c r="F83" s="2" t="s">
        <v>335</v>
      </c>
      <c r="G83" s="2" t="s">
        <v>336</v>
      </c>
      <c r="H83" s="2" t="s">
        <v>142</v>
      </c>
      <c r="I83" s="2" t="s">
        <v>41</v>
      </c>
      <c r="J83" s="2">
        <v>32</v>
      </c>
      <c r="K83" s="2" t="s">
        <v>132</v>
      </c>
      <c r="L83" s="2" t="s">
        <v>40</v>
      </c>
      <c r="P83" s="2" t="s">
        <v>48</v>
      </c>
      <c r="Q83" s="2">
        <f>INDEX(Tables!$C$4:$C$28,MATCH($P83,Tables!$B$4:$B$28,0))</f>
        <v>32</v>
      </c>
      <c r="R83" s="2">
        <f>INDEX(Tables!$D$4:$D$28,MATCH($P83,Tables!$B$4:$B$28,0))</f>
        <v>4</v>
      </c>
      <c r="S83" s="2">
        <f>$S82+$R82+INDEX(Tables!$N$5:$Q$8,MATCH(MOD($S82+$R82,4),Tables!$M$5:$M$8,0),MATCH($R83,Tables!$N$4:$Q$4,0))</f>
        <v>248</v>
      </c>
      <c r="T83" s="2" t="str">
        <f t="shared" si="33"/>
        <v>00F8</v>
      </c>
      <c r="U83" s="2">
        <f t="shared" si="39"/>
        <v>62</v>
      </c>
      <c r="V83" s="2" t="str">
        <f t="shared" si="34"/>
        <v>03E</v>
      </c>
      <c r="W83" s="2" t="str">
        <f t="shared" si="35"/>
        <v>X</v>
      </c>
      <c r="X83" s="2" t="str">
        <f t="shared" si="38"/>
        <v>X</v>
      </c>
      <c r="Y83" s="2" t="str">
        <f t="shared" si="36"/>
        <v>X</v>
      </c>
      <c r="Z83" s="2" t="str">
        <f t="shared" si="37"/>
        <v>X</v>
      </c>
      <c r="AA83" s="2" t="str">
        <f t="shared" si="40"/>
        <v>(31 downto 24)</v>
      </c>
      <c r="AB83" s="2" t="str">
        <f t="shared" si="41"/>
        <v>(23 downto 16)</v>
      </c>
      <c r="AC83" s="2" t="str">
        <f t="shared" si="42"/>
        <v>(15 downto 8)</v>
      </c>
      <c r="AD83" s="2" t="str">
        <f t="shared" si="43"/>
        <v>(7 downto 0)</v>
      </c>
      <c r="AE83" s="2" t="str">
        <f t="shared" si="44"/>
        <v>(31 downto 24)</v>
      </c>
      <c r="AF83" s="2" t="str">
        <f t="shared" si="45"/>
        <v>(23 downto 16)</v>
      </c>
      <c r="AG83" s="2" t="str">
        <f t="shared" si="46"/>
        <v>(15 downto 8)</v>
      </c>
      <c r="AH83" s="2" t="str">
        <f t="shared" si="47"/>
        <v>(7 downto 0)</v>
      </c>
    </row>
    <row r="84" spans="1:38" x14ac:dyDescent="0.25">
      <c r="B84" s="2" t="s">
        <v>337</v>
      </c>
      <c r="C84" s="2" t="s">
        <v>141</v>
      </c>
      <c r="D84" s="2" t="s">
        <v>0</v>
      </c>
      <c r="E84" s="2" t="s">
        <v>130</v>
      </c>
      <c r="F84" s="2" t="s">
        <v>338</v>
      </c>
      <c r="G84" s="2" t="s">
        <v>339</v>
      </c>
      <c r="H84" s="2" t="s">
        <v>142</v>
      </c>
      <c r="I84" s="2" t="s">
        <v>41</v>
      </c>
      <c r="J84" s="2">
        <v>32</v>
      </c>
      <c r="K84" s="2" t="s">
        <v>132</v>
      </c>
      <c r="L84" s="2" t="s">
        <v>40</v>
      </c>
      <c r="P84" s="2" t="s">
        <v>48</v>
      </c>
      <c r="Q84" s="2">
        <f>INDEX(Tables!$C$4:$C$28,MATCH($P84,Tables!$B$4:$B$28,0))</f>
        <v>32</v>
      </c>
      <c r="R84" s="2">
        <f>INDEX(Tables!$D$4:$D$28,MATCH($P84,Tables!$B$4:$B$28,0))</f>
        <v>4</v>
      </c>
      <c r="S84" s="2">
        <f>$S83+$R83+INDEX(Tables!$N$5:$Q$8,MATCH(MOD($S83+$R83,4),Tables!$M$5:$M$8,0),MATCH($R84,Tables!$N$4:$Q$4,0))</f>
        <v>252</v>
      </c>
      <c r="T84" s="2" t="str">
        <f t="shared" si="33"/>
        <v>00FC</v>
      </c>
      <c r="U84" s="2">
        <f t="shared" si="39"/>
        <v>63</v>
      </c>
      <c r="V84" s="2" t="str">
        <f t="shared" si="34"/>
        <v>03F</v>
      </c>
      <c r="W84" s="2" t="str">
        <f t="shared" si="35"/>
        <v>X</v>
      </c>
      <c r="X84" s="2" t="str">
        <f t="shared" si="38"/>
        <v>X</v>
      </c>
      <c r="Y84" s="2" t="str">
        <f t="shared" si="36"/>
        <v>X</v>
      </c>
      <c r="Z84" s="2" t="str">
        <f t="shared" si="37"/>
        <v>X</v>
      </c>
      <c r="AA84" s="2" t="str">
        <f t="shared" si="40"/>
        <v>(31 downto 24)</v>
      </c>
      <c r="AB84" s="2" t="str">
        <f t="shared" si="41"/>
        <v>(23 downto 16)</v>
      </c>
      <c r="AC84" s="2" t="str">
        <f t="shared" si="42"/>
        <v>(15 downto 8)</v>
      </c>
      <c r="AD84" s="2" t="str">
        <f t="shared" si="43"/>
        <v>(7 downto 0)</v>
      </c>
      <c r="AE84" s="2" t="str">
        <f t="shared" si="44"/>
        <v>(31 downto 24)</v>
      </c>
      <c r="AF84" s="2" t="str">
        <f t="shared" si="45"/>
        <v>(23 downto 16)</v>
      </c>
      <c r="AG84" s="2" t="str">
        <f t="shared" si="46"/>
        <v>(15 downto 8)</v>
      </c>
      <c r="AH84" s="2" t="str">
        <f t="shared" si="47"/>
        <v>(7 downto 0)</v>
      </c>
    </row>
    <row r="85" spans="1:38" x14ac:dyDescent="0.25">
      <c r="B85" s="2" t="s">
        <v>340</v>
      </c>
      <c r="C85" s="2" t="s">
        <v>141</v>
      </c>
      <c r="D85" s="2" t="s">
        <v>0</v>
      </c>
      <c r="E85" s="2" t="s">
        <v>130</v>
      </c>
      <c r="F85" s="2" t="s">
        <v>341</v>
      </c>
      <c r="G85" s="2" t="s">
        <v>342</v>
      </c>
      <c r="H85" s="2" t="s">
        <v>142</v>
      </c>
      <c r="I85" s="2" t="s">
        <v>41</v>
      </c>
      <c r="J85" s="2">
        <v>32</v>
      </c>
      <c r="K85" s="2" t="s">
        <v>132</v>
      </c>
      <c r="L85" s="2" t="s">
        <v>40</v>
      </c>
      <c r="P85" s="2" t="s">
        <v>48</v>
      </c>
      <c r="Q85" s="2">
        <f>INDEX(Tables!$C$4:$C$28,MATCH($P85,Tables!$B$4:$B$28,0))</f>
        <v>32</v>
      </c>
      <c r="R85" s="2">
        <f>INDEX(Tables!$D$4:$D$28,MATCH($P85,Tables!$B$4:$B$28,0))</f>
        <v>4</v>
      </c>
      <c r="S85" s="2">
        <f>$S84+$R84+INDEX(Tables!$N$5:$Q$8,MATCH(MOD($S84+$R84,4),Tables!$M$5:$M$8,0),MATCH($R85,Tables!$N$4:$Q$4,0))</f>
        <v>256</v>
      </c>
      <c r="T85" s="2" t="str">
        <f t="shared" si="33"/>
        <v>0100</v>
      </c>
      <c r="U85" s="2">
        <f t="shared" si="39"/>
        <v>64</v>
      </c>
      <c r="V85" s="2" t="str">
        <f t="shared" si="34"/>
        <v>040</v>
      </c>
      <c r="W85" s="2" t="str">
        <f t="shared" si="35"/>
        <v>X</v>
      </c>
      <c r="X85" s="2" t="str">
        <f t="shared" si="38"/>
        <v>X</v>
      </c>
      <c r="Y85" s="2" t="str">
        <f t="shared" si="36"/>
        <v>X</v>
      </c>
      <c r="Z85" s="2" t="str">
        <f t="shared" si="37"/>
        <v>X</v>
      </c>
      <c r="AA85" s="2" t="str">
        <f t="shared" si="40"/>
        <v>(31 downto 24)</v>
      </c>
      <c r="AB85" s="2" t="str">
        <f t="shared" si="41"/>
        <v>(23 downto 16)</v>
      </c>
      <c r="AC85" s="2" t="str">
        <f t="shared" si="42"/>
        <v>(15 downto 8)</v>
      </c>
      <c r="AD85" s="2" t="str">
        <f t="shared" si="43"/>
        <v>(7 downto 0)</v>
      </c>
      <c r="AE85" s="2" t="str">
        <f t="shared" si="44"/>
        <v>(31 downto 24)</v>
      </c>
      <c r="AF85" s="2" t="str">
        <f t="shared" si="45"/>
        <v>(23 downto 16)</v>
      </c>
      <c r="AG85" s="2" t="str">
        <f t="shared" si="46"/>
        <v>(15 downto 8)</v>
      </c>
      <c r="AH85" s="2" t="str">
        <f t="shared" si="47"/>
        <v>(7 downto 0)</v>
      </c>
    </row>
    <row r="86" spans="1:38" x14ac:dyDescent="0.25">
      <c r="B86" s="2" t="s">
        <v>343</v>
      </c>
      <c r="C86" s="2" t="s">
        <v>141</v>
      </c>
      <c r="D86" s="2" t="s">
        <v>0</v>
      </c>
      <c r="E86" s="2" t="s">
        <v>130</v>
      </c>
      <c r="F86" s="2" t="s">
        <v>344</v>
      </c>
      <c r="G86" s="2" t="s">
        <v>345</v>
      </c>
      <c r="H86" s="2" t="s">
        <v>142</v>
      </c>
      <c r="I86" s="2" t="s">
        <v>41</v>
      </c>
      <c r="J86" s="2">
        <v>32</v>
      </c>
      <c r="K86" s="2" t="s">
        <v>132</v>
      </c>
      <c r="L86" s="2" t="s">
        <v>40</v>
      </c>
      <c r="P86" s="2" t="s">
        <v>48</v>
      </c>
      <c r="Q86" s="2">
        <f>INDEX(Tables!$C$4:$C$28,MATCH($P86,Tables!$B$4:$B$28,0))</f>
        <v>32</v>
      </c>
      <c r="R86" s="2">
        <f>INDEX(Tables!$D$4:$D$28,MATCH($P86,Tables!$B$4:$B$28,0))</f>
        <v>4</v>
      </c>
      <c r="S86" s="2">
        <f>$S85+$R85+INDEX(Tables!$N$5:$Q$8,MATCH(MOD($S85+$R85,4),Tables!$M$5:$M$8,0),MATCH($R86,Tables!$N$4:$Q$4,0))</f>
        <v>260</v>
      </c>
      <c r="T86" s="2" t="str">
        <f t="shared" si="33"/>
        <v>0104</v>
      </c>
      <c r="U86" s="2">
        <f t="shared" si="39"/>
        <v>65</v>
      </c>
      <c r="V86" s="2" t="str">
        <f t="shared" si="34"/>
        <v>041</v>
      </c>
      <c r="W86" s="2" t="str">
        <f t="shared" si="35"/>
        <v>X</v>
      </c>
      <c r="X86" s="2" t="str">
        <f t="shared" si="38"/>
        <v>X</v>
      </c>
      <c r="Y86" s="2" t="str">
        <f t="shared" si="36"/>
        <v>X</v>
      </c>
      <c r="Z86" s="2" t="str">
        <f t="shared" si="37"/>
        <v>X</v>
      </c>
      <c r="AA86" s="2" t="str">
        <f t="shared" si="40"/>
        <v>(31 downto 24)</v>
      </c>
      <c r="AB86" s="2" t="str">
        <f t="shared" si="41"/>
        <v>(23 downto 16)</v>
      </c>
      <c r="AC86" s="2" t="str">
        <f t="shared" si="42"/>
        <v>(15 downto 8)</v>
      </c>
      <c r="AD86" s="2" t="str">
        <f t="shared" si="43"/>
        <v>(7 downto 0)</v>
      </c>
      <c r="AE86" s="2" t="str">
        <f t="shared" si="44"/>
        <v>(31 downto 24)</v>
      </c>
      <c r="AF86" s="2" t="str">
        <f t="shared" si="45"/>
        <v>(23 downto 16)</v>
      </c>
      <c r="AG86" s="2" t="str">
        <f t="shared" si="46"/>
        <v>(15 downto 8)</v>
      </c>
      <c r="AH86" s="2" t="str">
        <f t="shared" si="47"/>
        <v>(7 downto 0)</v>
      </c>
    </row>
    <row r="87" spans="1:38" x14ac:dyDescent="0.25">
      <c r="B87" s="2" t="s">
        <v>346</v>
      </c>
      <c r="C87" s="2" t="s">
        <v>141</v>
      </c>
      <c r="D87" s="2" t="s">
        <v>0</v>
      </c>
      <c r="E87" s="2" t="s">
        <v>130</v>
      </c>
      <c r="F87" s="2" t="s">
        <v>347</v>
      </c>
      <c r="G87" s="2" t="s">
        <v>348</v>
      </c>
      <c r="H87" s="2" t="s">
        <v>142</v>
      </c>
      <c r="I87" s="2" t="s">
        <v>41</v>
      </c>
      <c r="J87" s="2">
        <v>32</v>
      </c>
      <c r="K87" s="2" t="s">
        <v>132</v>
      </c>
      <c r="L87" s="2" t="s">
        <v>40</v>
      </c>
      <c r="P87" s="2" t="s">
        <v>48</v>
      </c>
      <c r="Q87" s="2">
        <f>INDEX(Tables!$C$4:$C$28,MATCH($P87,Tables!$B$4:$B$28,0))</f>
        <v>32</v>
      </c>
      <c r="R87" s="2">
        <f>INDEX(Tables!$D$4:$D$28,MATCH($P87,Tables!$B$4:$B$28,0))</f>
        <v>4</v>
      </c>
      <c r="S87" s="2">
        <f>$S86+$R86+INDEX(Tables!$N$5:$Q$8,MATCH(MOD($S86+$R86,4),Tables!$M$5:$M$8,0),MATCH($R87,Tables!$N$4:$Q$4,0))</f>
        <v>264</v>
      </c>
      <c r="T87" s="2" t="str">
        <f t="shared" si="33"/>
        <v>0108</v>
      </c>
      <c r="U87" s="2">
        <f t="shared" si="39"/>
        <v>66</v>
      </c>
      <c r="V87" s="2" t="str">
        <f t="shared" si="34"/>
        <v>042</v>
      </c>
      <c r="W87" s="2" t="str">
        <f t="shared" si="35"/>
        <v>X</v>
      </c>
      <c r="X87" s="2" t="str">
        <f t="shared" si="38"/>
        <v>X</v>
      </c>
      <c r="Y87" s="2" t="str">
        <f t="shared" si="36"/>
        <v>X</v>
      </c>
      <c r="Z87" s="2" t="str">
        <f t="shared" si="37"/>
        <v>X</v>
      </c>
      <c r="AA87" s="2" t="str">
        <f t="shared" si="40"/>
        <v>(31 downto 24)</v>
      </c>
      <c r="AB87" s="2" t="str">
        <f t="shared" si="41"/>
        <v>(23 downto 16)</v>
      </c>
      <c r="AC87" s="2" t="str">
        <f t="shared" si="42"/>
        <v>(15 downto 8)</v>
      </c>
      <c r="AD87" s="2" t="str">
        <f t="shared" si="43"/>
        <v>(7 downto 0)</v>
      </c>
      <c r="AE87" s="2" t="str">
        <f t="shared" si="44"/>
        <v>(31 downto 24)</v>
      </c>
      <c r="AF87" s="2" t="str">
        <f t="shared" si="45"/>
        <v>(23 downto 16)</v>
      </c>
      <c r="AG87" s="2" t="str">
        <f t="shared" si="46"/>
        <v>(15 downto 8)</v>
      </c>
      <c r="AH87" s="2" t="str">
        <f t="shared" si="47"/>
        <v>(7 downto 0)</v>
      </c>
      <c r="AI87" s="2"/>
      <c r="AJ87" s="5"/>
      <c r="AK87" s="5"/>
      <c r="AL87" s="5"/>
    </row>
    <row r="88" spans="1:38" x14ac:dyDescent="0.25">
      <c r="B88" s="2" t="s">
        <v>349</v>
      </c>
      <c r="C88" s="2" t="s">
        <v>141</v>
      </c>
      <c r="D88" s="2" t="s">
        <v>0</v>
      </c>
      <c r="E88" s="2" t="s">
        <v>130</v>
      </c>
      <c r="F88" s="2" t="s">
        <v>350</v>
      </c>
      <c r="G88" s="2" t="s">
        <v>351</v>
      </c>
      <c r="H88" s="2" t="s">
        <v>142</v>
      </c>
      <c r="I88" s="2" t="s">
        <v>41</v>
      </c>
      <c r="J88" s="2">
        <v>32</v>
      </c>
      <c r="K88" s="2" t="s">
        <v>132</v>
      </c>
      <c r="L88" s="2" t="s">
        <v>40</v>
      </c>
      <c r="P88" s="2" t="s">
        <v>48</v>
      </c>
      <c r="Q88" s="2">
        <f>INDEX(Tables!$C$4:$C$28,MATCH($P88,Tables!$B$4:$B$28,0))</f>
        <v>32</v>
      </c>
      <c r="R88" s="2">
        <f>INDEX(Tables!$D$4:$D$28,MATCH($P88,Tables!$B$4:$B$28,0))</f>
        <v>4</v>
      </c>
      <c r="S88" s="2">
        <f>$S87+$R87+INDEX(Tables!$N$5:$Q$8,MATCH(MOD($S87+$R87,4),Tables!$M$5:$M$8,0),MATCH($R88,Tables!$N$4:$Q$4,0))</f>
        <v>268</v>
      </c>
      <c r="T88" s="2" t="str">
        <f t="shared" si="33"/>
        <v>010C</v>
      </c>
      <c r="U88" s="2">
        <f t="shared" si="39"/>
        <v>67</v>
      </c>
      <c r="V88" s="2" t="str">
        <f t="shared" si="34"/>
        <v>043</v>
      </c>
      <c r="W88" s="2" t="str">
        <f t="shared" si="35"/>
        <v>X</v>
      </c>
      <c r="X88" s="2" t="str">
        <f t="shared" si="38"/>
        <v>X</v>
      </c>
      <c r="Y88" s="2" t="str">
        <f t="shared" si="36"/>
        <v>X</v>
      </c>
      <c r="Z88" s="2" t="str">
        <f t="shared" si="37"/>
        <v>X</v>
      </c>
      <c r="AA88" s="2" t="str">
        <f t="shared" si="40"/>
        <v>(31 downto 24)</v>
      </c>
      <c r="AB88" s="2" t="str">
        <f t="shared" si="41"/>
        <v>(23 downto 16)</v>
      </c>
      <c r="AC88" s="2" t="str">
        <f t="shared" si="42"/>
        <v>(15 downto 8)</v>
      </c>
      <c r="AD88" s="2" t="str">
        <f t="shared" si="43"/>
        <v>(7 downto 0)</v>
      </c>
      <c r="AE88" s="2" t="str">
        <f t="shared" si="44"/>
        <v>(31 downto 24)</v>
      </c>
      <c r="AF88" s="2" t="str">
        <f t="shared" si="45"/>
        <v>(23 downto 16)</v>
      </c>
      <c r="AG88" s="2" t="str">
        <f t="shared" si="46"/>
        <v>(15 downto 8)</v>
      </c>
      <c r="AH88" s="2" t="str">
        <f t="shared" si="47"/>
        <v>(7 downto 0)</v>
      </c>
    </row>
    <row r="89" spans="1:38" x14ac:dyDescent="0.25">
      <c r="B89" s="2" t="s">
        <v>352</v>
      </c>
      <c r="C89" s="2" t="s">
        <v>141</v>
      </c>
      <c r="D89" s="2" t="s">
        <v>0</v>
      </c>
      <c r="E89" s="2" t="s">
        <v>130</v>
      </c>
      <c r="F89" s="2" t="s">
        <v>353</v>
      </c>
      <c r="G89" s="2" t="s">
        <v>354</v>
      </c>
      <c r="H89" s="2" t="s">
        <v>142</v>
      </c>
      <c r="I89" s="2" t="s">
        <v>41</v>
      </c>
      <c r="J89" s="2">
        <v>32</v>
      </c>
      <c r="K89" s="2" t="s">
        <v>132</v>
      </c>
      <c r="L89" s="2" t="s">
        <v>40</v>
      </c>
      <c r="P89" s="2" t="s">
        <v>48</v>
      </c>
      <c r="Q89" s="2">
        <f>INDEX(Tables!$C$4:$C$28,MATCH($P89,Tables!$B$4:$B$28,0))</f>
        <v>32</v>
      </c>
      <c r="R89" s="2">
        <f>INDEX(Tables!$D$4:$D$28,MATCH($P89,Tables!$B$4:$B$28,0))</f>
        <v>4</v>
      </c>
      <c r="S89" s="2">
        <f>$S88+$R88+INDEX(Tables!$N$5:$Q$8,MATCH(MOD($S88+$R88,4),Tables!$M$5:$M$8,0),MATCH($R89,Tables!$N$4:$Q$4,0))</f>
        <v>272</v>
      </c>
      <c r="T89" s="2" t="str">
        <f t="shared" si="33"/>
        <v>0110</v>
      </c>
      <c r="U89" s="2">
        <f t="shared" si="39"/>
        <v>68</v>
      </c>
      <c r="V89" s="2" t="str">
        <f t="shared" si="34"/>
        <v>044</v>
      </c>
      <c r="W89" s="2" t="str">
        <f t="shared" si="35"/>
        <v>X</v>
      </c>
      <c r="X89" s="2" t="str">
        <f t="shared" si="38"/>
        <v>X</v>
      </c>
      <c r="Y89" s="2" t="str">
        <f t="shared" si="36"/>
        <v>X</v>
      </c>
      <c r="Z89" s="2" t="str">
        <f t="shared" si="37"/>
        <v>X</v>
      </c>
      <c r="AA89" s="2" t="str">
        <f t="shared" si="40"/>
        <v>(31 downto 24)</v>
      </c>
      <c r="AB89" s="2" t="str">
        <f t="shared" si="41"/>
        <v>(23 downto 16)</v>
      </c>
      <c r="AC89" s="2" t="str">
        <f t="shared" si="42"/>
        <v>(15 downto 8)</v>
      </c>
      <c r="AD89" s="2" t="str">
        <f t="shared" si="43"/>
        <v>(7 downto 0)</v>
      </c>
      <c r="AE89" s="2" t="str">
        <f t="shared" si="44"/>
        <v>(31 downto 24)</v>
      </c>
      <c r="AF89" s="2" t="str">
        <f t="shared" si="45"/>
        <v>(23 downto 16)</v>
      </c>
      <c r="AG89" s="2" t="str">
        <f t="shared" si="46"/>
        <v>(15 downto 8)</v>
      </c>
      <c r="AH89" s="2" t="str">
        <f t="shared" si="47"/>
        <v>(7 downto 0)</v>
      </c>
    </row>
    <row r="90" spans="1:38" s="11" customFormat="1" x14ac:dyDescent="0.25">
      <c r="A90"/>
      <c r="B90" s="2" t="s">
        <v>355</v>
      </c>
      <c r="C90" s="2" t="s">
        <v>141</v>
      </c>
      <c r="D90" s="2" t="s">
        <v>0</v>
      </c>
      <c r="E90" s="2" t="s">
        <v>130</v>
      </c>
      <c r="F90" s="2" t="s">
        <v>356</v>
      </c>
      <c r="G90" s="2" t="s">
        <v>357</v>
      </c>
      <c r="H90" s="2" t="s">
        <v>142</v>
      </c>
      <c r="I90" s="2" t="s">
        <v>41</v>
      </c>
      <c r="J90" s="2">
        <v>32</v>
      </c>
      <c r="K90" s="2" t="s">
        <v>132</v>
      </c>
      <c r="L90" s="2" t="s">
        <v>40</v>
      </c>
      <c r="M90" s="2"/>
      <c r="N90" s="2"/>
      <c r="O90" s="2"/>
      <c r="P90" s="2" t="s">
        <v>48</v>
      </c>
      <c r="Q90" s="2">
        <f>INDEX(Tables!$C$4:$C$28,MATCH($P90,Tables!$B$4:$B$28,0))</f>
        <v>32</v>
      </c>
      <c r="R90" s="2">
        <f>INDEX(Tables!$D$4:$D$28,MATCH($P90,Tables!$B$4:$B$28,0))</f>
        <v>4</v>
      </c>
      <c r="S90" s="2">
        <f>$S89+$R89+INDEX(Tables!$N$5:$Q$8,MATCH(MOD($S89+$R89,4),Tables!$M$5:$M$8,0),MATCH($R90,Tables!$N$4:$Q$4,0))</f>
        <v>276</v>
      </c>
      <c r="T90" s="2" t="str">
        <f t="shared" si="33"/>
        <v>0114</v>
      </c>
      <c r="U90" s="2">
        <f t="shared" si="39"/>
        <v>69</v>
      </c>
      <c r="V90" s="2" t="str">
        <f t="shared" si="34"/>
        <v>045</v>
      </c>
      <c r="W90" s="2" t="str">
        <f t="shared" si="35"/>
        <v>X</v>
      </c>
      <c r="X90" s="2" t="str">
        <f t="shared" si="38"/>
        <v>X</v>
      </c>
      <c r="Y90" s="2" t="str">
        <f t="shared" si="36"/>
        <v>X</v>
      </c>
      <c r="Z90" s="2" t="str">
        <f t="shared" si="37"/>
        <v>X</v>
      </c>
      <c r="AA90" s="2" t="str">
        <f t="shared" si="40"/>
        <v>(31 downto 24)</v>
      </c>
      <c r="AB90" s="2" t="str">
        <f t="shared" si="41"/>
        <v>(23 downto 16)</v>
      </c>
      <c r="AC90" s="2" t="str">
        <f t="shared" si="42"/>
        <v>(15 downto 8)</v>
      </c>
      <c r="AD90" s="2" t="str">
        <f t="shared" si="43"/>
        <v>(7 downto 0)</v>
      </c>
      <c r="AE90" s="2" t="str">
        <f t="shared" si="44"/>
        <v>(31 downto 24)</v>
      </c>
      <c r="AF90" s="2" t="str">
        <f t="shared" si="45"/>
        <v>(23 downto 16)</v>
      </c>
      <c r="AG90" s="2" t="str">
        <f t="shared" si="46"/>
        <v>(15 downto 8)</v>
      </c>
      <c r="AH90" s="2" t="str">
        <f t="shared" si="47"/>
        <v>(7 downto 0)</v>
      </c>
      <c r="AI90"/>
    </row>
    <row r="91" spans="1:38" x14ac:dyDescent="0.25">
      <c r="B91" s="2" t="s">
        <v>358</v>
      </c>
      <c r="C91" s="2" t="s">
        <v>141</v>
      </c>
      <c r="D91" s="2" t="s">
        <v>0</v>
      </c>
      <c r="E91" s="2" t="s">
        <v>130</v>
      </c>
      <c r="F91" s="2" t="s">
        <v>359</v>
      </c>
      <c r="G91" s="2" t="s">
        <v>360</v>
      </c>
      <c r="H91" s="2" t="s">
        <v>142</v>
      </c>
      <c r="I91" s="2" t="s">
        <v>41</v>
      </c>
      <c r="J91" s="2">
        <v>32</v>
      </c>
      <c r="K91" s="2" t="s">
        <v>132</v>
      </c>
      <c r="L91" s="2" t="s">
        <v>40</v>
      </c>
      <c r="P91" s="2" t="s">
        <v>48</v>
      </c>
      <c r="Q91" s="2">
        <f>INDEX(Tables!$C$4:$C$28,MATCH($P91,Tables!$B$4:$B$28,0))</f>
        <v>32</v>
      </c>
      <c r="R91" s="2">
        <f>INDEX(Tables!$D$4:$D$28,MATCH($P91,Tables!$B$4:$B$28,0))</f>
        <v>4</v>
      </c>
      <c r="S91" s="2">
        <f>$S90+$R90+INDEX(Tables!$N$5:$Q$8,MATCH(MOD($S90+$R90,4),Tables!$M$5:$M$8,0),MATCH($R91,Tables!$N$4:$Q$4,0))</f>
        <v>280</v>
      </c>
      <c r="T91" s="2" t="str">
        <f t="shared" si="33"/>
        <v>0118</v>
      </c>
      <c r="U91" s="2">
        <f t="shared" si="39"/>
        <v>70</v>
      </c>
      <c r="V91" s="2" t="str">
        <f t="shared" si="34"/>
        <v>046</v>
      </c>
      <c r="W91" s="2" t="str">
        <f t="shared" si="35"/>
        <v>X</v>
      </c>
      <c r="X91" s="2" t="str">
        <f t="shared" si="38"/>
        <v>X</v>
      </c>
      <c r="Y91" s="2" t="str">
        <f t="shared" si="36"/>
        <v>X</v>
      </c>
      <c r="Z91" s="2" t="str">
        <f t="shared" si="37"/>
        <v>X</v>
      </c>
      <c r="AA91" s="2" t="str">
        <f t="shared" si="40"/>
        <v>(31 downto 24)</v>
      </c>
      <c r="AB91" s="2" t="str">
        <f t="shared" si="41"/>
        <v>(23 downto 16)</v>
      </c>
      <c r="AC91" s="2" t="str">
        <f t="shared" si="42"/>
        <v>(15 downto 8)</v>
      </c>
      <c r="AD91" s="2" t="str">
        <f t="shared" si="43"/>
        <v>(7 downto 0)</v>
      </c>
      <c r="AE91" s="2" t="str">
        <f t="shared" si="44"/>
        <v>(31 downto 24)</v>
      </c>
      <c r="AF91" s="2" t="str">
        <f t="shared" si="45"/>
        <v>(23 downto 16)</v>
      </c>
      <c r="AG91" s="2" t="str">
        <f t="shared" si="46"/>
        <v>(15 downto 8)</v>
      </c>
      <c r="AH91" s="2" t="str">
        <f t="shared" si="47"/>
        <v>(7 downto 0)</v>
      </c>
    </row>
    <row r="92" spans="1:38" x14ac:dyDescent="0.25">
      <c r="B92" s="2" t="s">
        <v>361</v>
      </c>
      <c r="C92" s="2" t="s">
        <v>141</v>
      </c>
      <c r="D92" s="2" t="s">
        <v>0</v>
      </c>
      <c r="E92" s="2" t="s">
        <v>130</v>
      </c>
      <c r="F92" s="2" t="s">
        <v>362</v>
      </c>
      <c r="G92" s="2" t="s">
        <v>363</v>
      </c>
      <c r="H92" s="2" t="s">
        <v>142</v>
      </c>
      <c r="I92" s="2" t="s">
        <v>41</v>
      </c>
      <c r="J92" s="2">
        <v>32</v>
      </c>
      <c r="K92" s="2" t="s">
        <v>132</v>
      </c>
      <c r="L92" s="2" t="s">
        <v>40</v>
      </c>
      <c r="P92" s="2" t="s">
        <v>48</v>
      </c>
      <c r="Q92" s="2">
        <f>INDEX(Tables!$C$4:$C$28,MATCH($P92,Tables!$B$4:$B$28,0))</f>
        <v>32</v>
      </c>
      <c r="R92" s="2">
        <f>INDEX(Tables!$D$4:$D$28,MATCH($P92,Tables!$B$4:$B$28,0))</f>
        <v>4</v>
      </c>
      <c r="S92" s="2">
        <f>$S91+$R91+INDEX(Tables!$N$5:$Q$8,MATCH(MOD($S91+$R91,4),Tables!$M$5:$M$8,0),MATCH($R92,Tables!$N$4:$Q$4,0))</f>
        <v>284</v>
      </c>
      <c r="T92" s="2" t="str">
        <f t="shared" si="33"/>
        <v>011C</v>
      </c>
      <c r="U92" s="2">
        <f t="shared" si="39"/>
        <v>71</v>
      </c>
      <c r="V92" s="2" t="str">
        <f t="shared" si="34"/>
        <v>047</v>
      </c>
      <c r="W92" s="2" t="str">
        <f t="shared" si="35"/>
        <v>X</v>
      </c>
      <c r="X92" s="2" t="str">
        <f t="shared" si="38"/>
        <v>X</v>
      </c>
      <c r="Y92" s="2" t="str">
        <f t="shared" si="36"/>
        <v>X</v>
      </c>
      <c r="Z92" s="2" t="str">
        <f t="shared" si="37"/>
        <v>X</v>
      </c>
      <c r="AA92" s="2" t="str">
        <f t="shared" si="40"/>
        <v>(31 downto 24)</v>
      </c>
      <c r="AB92" s="2" t="str">
        <f t="shared" si="41"/>
        <v>(23 downto 16)</v>
      </c>
      <c r="AC92" s="2" t="str">
        <f t="shared" si="42"/>
        <v>(15 downto 8)</v>
      </c>
      <c r="AD92" s="2" t="str">
        <f t="shared" si="43"/>
        <v>(7 downto 0)</v>
      </c>
      <c r="AE92" s="2" t="str">
        <f t="shared" si="44"/>
        <v>(31 downto 24)</v>
      </c>
      <c r="AF92" s="2" t="str">
        <f t="shared" si="45"/>
        <v>(23 downto 16)</v>
      </c>
      <c r="AG92" s="2" t="str">
        <f t="shared" si="46"/>
        <v>(15 downto 8)</v>
      </c>
      <c r="AH92" s="2" t="str">
        <f t="shared" si="47"/>
        <v>(7 downto 0)</v>
      </c>
    </row>
    <row r="93" spans="1:38" x14ac:dyDescent="0.25">
      <c r="B93" s="2" t="s">
        <v>364</v>
      </c>
      <c r="C93" s="2" t="s">
        <v>141</v>
      </c>
      <c r="D93" s="2" t="s">
        <v>0</v>
      </c>
      <c r="E93" s="2" t="s">
        <v>130</v>
      </c>
      <c r="F93" s="2" t="s">
        <v>365</v>
      </c>
      <c r="G93" s="2" t="s">
        <v>366</v>
      </c>
      <c r="H93" s="2" t="s">
        <v>142</v>
      </c>
      <c r="I93" s="2" t="s">
        <v>41</v>
      </c>
      <c r="J93" s="2">
        <v>32</v>
      </c>
      <c r="K93" s="2" t="s">
        <v>132</v>
      </c>
      <c r="L93" s="2" t="s">
        <v>40</v>
      </c>
      <c r="P93" s="2" t="s">
        <v>48</v>
      </c>
      <c r="Q93" s="2">
        <f>INDEX(Tables!$C$4:$C$28,MATCH($P93,Tables!$B$4:$B$28,0))</f>
        <v>32</v>
      </c>
      <c r="R93" s="2">
        <f>INDEX(Tables!$D$4:$D$28,MATCH($P93,Tables!$B$4:$B$28,0))</f>
        <v>4</v>
      </c>
      <c r="S93" s="2">
        <f>$S92+$R92+INDEX(Tables!$N$5:$Q$8,MATCH(MOD($S92+$R92,4),Tables!$M$5:$M$8,0),MATCH($R93,Tables!$N$4:$Q$4,0))</f>
        <v>288</v>
      </c>
      <c r="T93" s="2" t="str">
        <f t="shared" si="33"/>
        <v>0120</v>
      </c>
      <c r="U93" s="2">
        <f t="shared" si="39"/>
        <v>72</v>
      </c>
      <c r="V93" s="2" t="str">
        <f t="shared" si="34"/>
        <v>048</v>
      </c>
      <c r="W93" s="2" t="str">
        <f t="shared" si="35"/>
        <v>X</v>
      </c>
      <c r="X93" s="2" t="str">
        <f t="shared" si="38"/>
        <v>X</v>
      </c>
      <c r="Y93" s="2" t="str">
        <f t="shared" si="36"/>
        <v>X</v>
      </c>
      <c r="Z93" s="2" t="str">
        <f t="shared" si="37"/>
        <v>X</v>
      </c>
      <c r="AA93" s="2" t="str">
        <f t="shared" si="40"/>
        <v>(31 downto 24)</v>
      </c>
      <c r="AB93" s="2" t="str">
        <f t="shared" si="41"/>
        <v>(23 downto 16)</v>
      </c>
      <c r="AC93" s="2" t="str">
        <f t="shared" si="42"/>
        <v>(15 downto 8)</v>
      </c>
      <c r="AD93" s="2" t="str">
        <f t="shared" si="43"/>
        <v>(7 downto 0)</v>
      </c>
      <c r="AE93" s="2" t="str">
        <f t="shared" si="44"/>
        <v>(31 downto 24)</v>
      </c>
      <c r="AF93" s="2" t="str">
        <f t="shared" si="45"/>
        <v>(23 downto 16)</v>
      </c>
      <c r="AG93" s="2" t="str">
        <f t="shared" si="46"/>
        <v>(15 downto 8)</v>
      </c>
      <c r="AH93" s="2" t="str">
        <f t="shared" si="47"/>
        <v>(7 downto 0)</v>
      </c>
    </row>
    <row r="94" spans="1:38" x14ac:dyDescent="0.25">
      <c r="B94" s="2" t="s">
        <v>367</v>
      </c>
      <c r="C94" s="2" t="s">
        <v>141</v>
      </c>
      <c r="D94" s="2" t="s">
        <v>0</v>
      </c>
      <c r="E94" s="2" t="s">
        <v>130</v>
      </c>
      <c r="F94" s="2" t="s">
        <v>368</v>
      </c>
      <c r="G94" s="2" t="s">
        <v>369</v>
      </c>
      <c r="H94" s="2" t="s">
        <v>142</v>
      </c>
      <c r="I94" s="2" t="s">
        <v>41</v>
      </c>
      <c r="J94" s="2">
        <v>32</v>
      </c>
      <c r="K94" s="2" t="s">
        <v>132</v>
      </c>
      <c r="L94" s="2" t="s">
        <v>40</v>
      </c>
      <c r="P94" s="2" t="s">
        <v>48</v>
      </c>
      <c r="Q94" s="2">
        <f>INDEX(Tables!$C$4:$C$28,MATCH($P94,Tables!$B$4:$B$28,0))</f>
        <v>32</v>
      </c>
      <c r="R94" s="2">
        <f>INDEX(Tables!$D$4:$D$28,MATCH($P94,Tables!$B$4:$B$28,0))</f>
        <v>4</v>
      </c>
      <c r="S94" s="2">
        <f>$S93+$R93+INDEX(Tables!$N$5:$Q$8,MATCH(MOD($S93+$R93,4),Tables!$M$5:$M$8,0),MATCH($R94,Tables!$N$4:$Q$4,0))</f>
        <v>292</v>
      </c>
      <c r="T94" s="2" t="str">
        <f t="shared" si="33"/>
        <v>0124</v>
      </c>
      <c r="U94" s="2">
        <f t="shared" si="39"/>
        <v>73</v>
      </c>
      <c r="V94" s="2" t="str">
        <f t="shared" si="34"/>
        <v>049</v>
      </c>
      <c r="W94" s="2" t="str">
        <f t="shared" si="35"/>
        <v>X</v>
      </c>
      <c r="X94" s="2" t="str">
        <f t="shared" si="38"/>
        <v>X</v>
      </c>
      <c r="Y94" s="2" t="str">
        <f t="shared" si="36"/>
        <v>X</v>
      </c>
      <c r="Z94" s="2" t="str">
        <f t="shared" si="37"/>
        <v>X</v>
      </c>
      <c r="AA94" s="2" t="str">
        <f t="shared" si="40"/>
        <v>(31 downto 24)</v>
      </c>
      <c r="AB94" s="2" t="str">
        <f t="shared" si="41"/>
        <v>(23 downto 16)</v>
      </c>
      <c r="AC94" s="2" t="str">
        <f t="shared" si="42"/>
        <v>(15 downto 8)</v>
      </c>
      <c r="AD94" s="2" t="str">
        <f t="shared" si="43"/>
        <v>(7 downto 0)</v>
      </c>
      <c r="AE94" s="2" t="str">
        <f t="shared" si="44"/>
        <v>(31 downto 24)</v>
      </c>
      <c r="AF94" s="2" t="str">
        <f t="shared" si="45"/>
        <v>(23 downto 16)</v>
      </c>
      <c r="AG94" s="2" t="str">
        <f t="shared" si="46"/>
        <v>(15 downto 8)</v>
      </c>
      <c r="AH94" s="2" t="str">
        <f t="shared" si="47"/>
        <v>(7 downto 0)</v>
      </c>
    </row>
    <row r="95" spans="1:38" x14ac:dyDescent="0.25">
      <c r="B95" s="2" t="s">
        <v>370</v>
      </c>
      <c r="C95" s="2" t="s">
        <v>141</v>
      </c>
      <c r="D95" s="2" t="s">
        <v>0</v>
      </c>
      <c r="E95" s="2" t="s">
        <v>130</v>
      </c>
      <c r="F95" s="2" t="s">
        <v>371</v>
      </c>
      <c r="G95" s="2" t="s">
        <v>372</v>
      </c>
      <c r="H95" s="2" t="s">
        <v>142</v>
      </c>
      <c r="I95" s="2" t="s">
        <v>41</v>
      </c>
      <c r="J95" s="2">
        <v>32</v>
      </c>
      <c r="K95" s="2" t="s">
        <v>132</v>
      </c>
      <c r="L95" s="2" t="s">
        <v>40</v>
      </c>
      <c r="P95" s="2" t="s">
        <v>48</v>
      </c>
      <c r="Q95" s="2">
        <f>INDEX(Tables!$C$4:$C$28,MATCH($P95,Tables!$B$4:$B$28,0))</f>
        <v>32</v>
      </c>
      <c r="R95" s="2">
        <f>INDEX(Tables!$D$4:$D$28,MATCH($P95,Tables!$B$4:$B$28,0))</f>
        <v>4</v>
      </c>
      <c r="S95" s="2">
        <f>$S94+$R94+INDEX(Tables!$N$5:$Q$8,MATCH(MOD($S94+$R94,4),Tables!$M$5:$M$8,0),MATCH($R95,Tables!$N$4:$Q$4,0))</f>
        <v>296</v>
      </c>
      <c r="T95" s="2" t="str">
        <f t="shared" si="33"/>
        <v>0128</v>
      </c>
      <c r="U95" s="2">
        <f t="shared" si="39"/>
        <v>74</v>
      </c>
      <c r="V95" s="2" t="str">
        <f t="shared" si="34"/>
        <v>04A</v>
      </c>
      <c r="W95" s="2" t="str">
        <f t="shared" si="35"/>
        <v>X</v>
      </c>
      <c r="X95" s="2" t="str">
        <f t="shared" si="38"/>
        <v>X</v>
      </c>
      <c r="Y95" s="2" t="str">
        <f t="shared" si="36"/>
        <v>X</v>
      </c>
      <c r="Z95" s="2" t="str">
        <f t="shared" si="37"/>
        <v>X</v>
      </c>
      <c r="AA95" s="2" t="str">
        <f t="shared" si="40"/>
        <v>(31 downto 24)</v>
      </c>
      <c r="AB95" s="2" t="str">
        <f t="shared" si="41"/>
        <v>(23 downto 16)</v>
      </c>
      <c r="AC95" s="2" t="str">
        <f t="shared" si="42"/>
        <v>(15 downto 8)</v>
      </c>
      <c r="AD95" s="2" t="str">
        <f t="shared" si="43"/>
        <v>(7 downto 0)</v>
      </c>
      <c r="AE95" s="2" t="str">
        <f t="shared" si="44"/>
        <v>(31 downto 24)</v>
      </c>
      <c r="AF95" s="2" t="str">
        <f t="shared" si="45"/>
        <v>(23 downto 16)</v>
      </c>
      <c r="AG95" s="2" t="str">
        <f t="shared" si="46"/>
        <v>(15 downto 8)</v>
      </c>
      <c r="AH95" s="2" t="str">
        <f t="shared" si="47"/>
        <v>(7 downto 0)</v>
      </c>
    </row>
    <row r="96" spans="1:38" x14ac:dyDescent="0.25">
      <c r="B96" s="2" t="s">
        <v>373</v>
      </c>
      <c r="C96" s="2" t="s">
        <v>141</v>
      </c>
      <c r="D96" s="2" t="s">
        <v>0</v>
      </c>
      <c r="E96" s="2" t="s">
        <v>130</v>
      </c>
      <c r="F96" s="2" t="s">
        <v>374</v>
      </c>
      <c r="G96" s="2" t="s">
        <v>375</v>
      </c>
      <c r="H96" s="2" t="s">
        <v>142</v>
      </c>
      <c r="I96" s="2" t="s">
        <v>41</v>
      </c>
      <c r="J96" s="2">
        <v>32</v>
      </c>
      <c r="K96" s="2" t="s">
        <v>132</v>
      </c>
      <c r="L96" s="2" t="s">
        <v>40</v>
      </c>
      <c r="P96" s="2" t="s">
        <v>48</v>
      </c>
      <c r="Q96" s="2">
        <f>INDEX(Tables!$C$4:$C$28,MATCH($P96,Tables!$B$4:$B$28,0))</f>
        <v>32</v>
      </c>
      <c r="R96" s="2">
        <f>INDEX(Tables!$D$4:$D$28,MATCH($P96,Tables!$B$4:$B$28,0))</f>
        <v>4</v>
      </c>
      <c r="S96" s="2">
        <f>$S95+$R95+INDEX(Tables!$N$5:$Q$8,MATCH(MOD($S95+$R95,4),Tables!$M$5:$M$8,0),MATCH($R96,Tables!$N$4:$Q$4,0))</f>
        <v>300</v>
      </c>
      <c r="T96" s="2" t="str">
        <f t="shared" si="33"/>
        <v>012C</v>
      </c>
      <c r="U96" s="2">
        <f t="shared" si="39"/>
        <v>75</v>
      </c>
      <c r="V96" s="2" t="str">
        <f t="shared" si="34"/>
        <v>04B</v>
      </c>
      <c r="W96" s="2" t="str">
        <f t="shared" si="35"/>
        <v>X</v>
      </c>
      <c r="X96" s="2" t="str">
        <f t="shared" si="38"/>
        <v>X</v>
      </c>
      <c r="Y96" s="2" t="str">
        <f t="shared" si="36"/>
        <v>X</v>
      </c>
      <c r="Z96" s="2" t="str">
        <f t="shared" si="37"/>
        <v>X</v>
      </c>
      <c r="AA96" s="2" t="str">
        <f t="shared" si="40"/>
        <v>(31 downto 24)</v>
      </c>
      <c r="AB96" s="2" t="str">
        <f t="shared" si="41"/>
        <v>(23 downto 16)</v>
      </c>
      <c r="AC96" s="2" t="str">
        <f t="shared" si="42"/>
        <v>(15 downto 8)</v>
      </c>
      <c r="AD96" s="2" t="str">
        <f t="shared" si="43"/>
        <v>(7 downto 0)</v>
      </c>
      <c r="AE96" s="2" t="str">
        <f t="shared" si="44"/>
        <v>(31 downto 24)</v>
      </c>
      <c r="AF96" s="2" t="str">
        <f t="shared" si="45"/>
        <v>(23 downto 16)</v>
      </c>
      <c r="AG96" s="2" t="str">
        <f t="shared" si="46"/>
        <v>(15 downto 8)</v>
      </c>
      <c r="AH96" s="2" t="str">
        <f t="shared" si="47"/>
        <v>(7 downto 0)</v>
      </c>
    </row>
    <row r="97" spans="2:34" x14ac:dyDescent="0.25">
      <c r="B97" s="2" t="s">
        <v>376</v>
      </c>
      <c r="C97" s="2" t="s">
        <v>141</v>
      </c>
      <c r="D97" s="2" t="s">
        <v>0</v>
      </c>
      <c r="E97" s="2" t="s">
        <v>130</v>
      </c>
      <c r="F97" s="2" t="s">
        <v>377</v>
      </c>
      <c r="G97" s="2" t="s">
        <v>378</v>
      </c>
      <c r="H97" s="2" t="s">
        <v>142</v>
      </c>
      <c r="I97" s="2" t="s">
        <v>41</v>
      </c>
      <c r="J97" s="2">
        <v>32</v>
      </c>
      <c r="K97" s="2" t="s">
        <v>132</v>
      </c>
      <c r="L97" s="2" t="s">
        <v>40</v>
      </c>
      <c r="P97" s="2" t="s">
        <v>48</v>
      </c>
      <c r="Q97" s="2">
        <f>INDEX(Tables!$C$4:$C$28,MATCH($P97,Tables!$B$4:$B$28,0))</f>
        <v>32</v>
      </c>
      <c r="R97" s="2">
        <f>INDEX(Tables!$D$4:$D$28,MATCH($P97,Tables!$B$4:$B$28,0))</f>
        <v>4</v>
      </c>
      <c r="S97" s="2">
        <f>$S96+$R96+INDEX(Tables!$N$5:$Q$8,MATCH(MOD($S96+$R96,4),Tables!$M$5:$M$8,0),MATCH($R97,Tables!$N$4:$Q$4,0))</f>
        <v>304</v>
      </c>
      <c r="T97" s="2" t="str">
        <f t="shared" si="33"/>
        <v>0130</v>
      </c>
      <c r="U97" s="2">
        <f t="shared" si="39"/>
        <v>76</v>
      </c>
      <c r="V97" s="2" t="str">
        <f t="shared" si="34"/>
        <v>04C</v>
      </c>
      <c r="W97" s="2" t="str">
        <f t="shared" si="35"/>
        <v>X</v>
      </c>
      <c r="X97" s="2" t="str">
        <f t="shared" si="38"/>
        <v>X</v>
      </c>
      <c r="Y97" s="2" t="str">
        <f t="shared" si="36"/>
        <v>X</v>
      </c>
      <c r="Z97" s="2" t="str">
        <f t="shared" si="37"/>
        <v>X</v>
      </c>
      <c r="AA97" s="2" t="str">
        <f t="shared" si="40"/>
        <v>(31 downto 24)</v>
      </c>
      <c r="AB97" s="2" t="str">
        <f t="shared" si="41"/>
        <v>(23 downto 16)</v>
      </c>
      <c r="AC97" s="2" t="str">
        <f t="shared" si="42"/>
        <v>(15 downto 8)</v>
      </c>
      <c r="AD97" s="2" t="str">
        <f t="shared" si="43"/>
        <v>(7 downto 0)</v>
      </c>
      <c r="AE97" s="2" t="str">
        <f t="shared" si="44"/>
        <v>(31 downto 24)</v>
      </c>
      <c r="AF97" s="2" t="str">
        <f t="shared" si="45"/>
        <v>(23 downto 16)</v>
      </c>
      <c r="AG97" s="2" t="str">
        <f t="shared" si="46"/>
        <v>(15 downto 8)</v>
      </c>
      <c r="AH97" s="2" t="str">
        <f t="shared" si="47"/>
        <v>(7 downto 0)</v>
      </c>
    </row>
    <row r="98" spans="2:34" x14ac:dyDescent="0.25">
      <c r="B98" s="2" t="s">
        <v>379</v>
      </c>
      <c r="C98" s="2" t="s">
        <v>141</v>
      </c>
      <c r="D98" s="2" t="s">
        <v>0</v>
      </c>
      <c r="E98" s="2" t="s">
        <v>130</v>
      </c>
      <c r="F98" s="2" t="s">
        <v>380</v>
      </c>
      <c r="G98" s="2" t="s">
        <v>381</v>
      </c>
      <c r="H98" s="2" t="s">
        <v>142</v>
      </c>
      <c r="I98" s="2" t="s">
        <v>41</v>
      </c>
      <c r="J98" s="2">
        <v>32</v>
      </c>
      <c r="K98" s="2" t="s">
        <v>132</v>
      </c>
      <c r="L98" s="2" t="s">
        <v>40</v>
      </c>
      <c r="P98" s="2" t="s">
        <v>48</v>
      </c>
      <c r="Q98" s="2">
        <f>INDEX(Tables!$C$4:$C$28,MATCH($P98,Tables!$B$4:$B$28,0))</f>
        <v>32</v>
      </c>
      <c r="R98" s="2">
        <f>INDEX(Tables!$D$4:$D$28,MATCH($P98,Tables!$B$4:$B$28,0))</f>
        <v>4</v>
      </c>
      <c r="S98" s="2">
        <f>$S97+$R97+INDEX(Tables!$N$5:$Q$8,MATCH(MOD($S97+$R97,4),Tables!$M$5:$M$8,0),MATCH($R98,Tables!$N$4:$Q$4,0))</f>
        <v>308</v>
      </c>
      <c r="T98" s="2" t="str">
        <f t="shared" si="33"/>
        <v>0134</v>
      </c>
      <c r="U98" s="2">
        <f t="shared" si="39"/>
        <v>77</v>
      </c>
      <c r="V98" s="2" t="str">
        <f t="shared" si="34"/>
        <v>04D</v>
      </c>
      <c r="W98" s="2" t="str">
        <f t="shared" si="35"/>
        <v>X</v>
      </c>
      <c r="X98" s="2" t="str">
        <f t="shared" si="38"/>
        <v>X</v>
      </c>
      <c r="Y98" s="2" t="str">
        <f t="shared" si="36"/>
        <v>X</v>
      </c>
      <c r="Z98" s="2" t="str">
        <f t="shared" si="37"/>
        <v>X</v>
      </c>
      <c r="AA98" s="2" t="str">
        <f t="shared" si="40"/>
        <v>(31 downto 24)</v>
      </c>
      <c r="AB98" s="2" t="str">
        <f t="shared" si="41"/>
        <v>(23 downto 16)</v>
      </c>
      <c r="AC98" s="2" t="str">
        <f t="shared" si="42"/>
        <v>(15 downto 8)</v>
      </c>
      <c r="AD98" s="2" t="str">
        <f t="shared" si="43"/>
        <v>(7 downto 0)</v>
      </c>
      <c r="AE98" s="2" t="str">
        <f t="shared" si="44"/>
        <v>(31 downto 24)</v>
      </c>
      <c r="AF98" s="2" t="str">
        <f t="shared" si="45"/>
        <v>(23 downto 16)</v>
      </c>
      <c r="AG98" s="2" t="str">
        <f t="shared" si="46"/>
        <v>(15 downto 8)</v>
      </c>
      <c r="AH98" s="2" t="str">
        <f t="shared" si="47"/>
        <v>(7 downto 0)</v>
      </c>
    </row>
    <row r="99" spans="2:34" x14ac:dyDescent="0.25">
      <c r="B99" s="2" t="s">
        <v>382</v>
      </c>
      <c r="C99" s="2" t="s">
        <v>141</v>
      </c>
      <c r="D99" s="2" t="s">
        <v>0</v>
      </c>
      <c r="E99" s="2" t="s">
        <v>130</v>
      </c>
      <c r="F99" s="2" t="s">
        <v>383</v>
      </c>
      <c r="G99" s="2" t="s">
        <v>384</v>
      </c>
      <c r="H99" s="2" t="s">
        <v>142</v>
      </c>
      <c r="I99" s="2" t="s">
        <v>41</v>
      </c>
      <c r="J99" s="2">
        <v>32</v>
      </c>
      <c r="K99" s="2" t="s">
        <v>132</v>
      </c>
      <c r="L99" s="2" t="s">
        <v>40</v>
      </c>
      <c r="P99" s="2" t="s">
        <v>48</v>
      </c>
      <c r="Q99" s="2">
        <f>INDEX(Tables!$C$4:$C$28,MATCH($P99,Tables!$B$4:$B$28,0))</f>
        <v>32</v>
      </c>
      <c r="R99" s="2">
        <f>INDEX(Tables!$D$4:$D$28,MATCH($P99,Tables!$B$4:$B$28,0))</f>
        <v>4</v>
      </c>
      <c r="S99" s="2">
        <f>$S98+$R98+INDEX(Tables!$N$5:$Q$8,MATCH(MOD($S98+$R98,4),Tables!$M$5:$M$8,0),MATCH($R99,Tables!$N$4:$Q$4,0))</f>
        <v>312</v>
      </c>
      <c r="T99" s="2" t="str">
        <f t="shared" si="33"/>
        <v>0138</v>
      </c>
      <c r="U99" s="2">
        <f t="shared" si="39"/>
        <v>78</v>
      </c>
      <c r="V99" s="2" t="str">
        <f t="shared" si="34"/>
        <v>04E</v>
      </c>
      <c r="W99" s="2" t="str">
        <f t="shared" si="35"/>
        <v>X</v>
      </c>
      <c r="X99" s="2" t="str">
        <f t="shared" si="38"/>
        <v>X</v>
      </c>
      <c r="Y99" s="2" t="str">
        <f t="shared" si="36"/>
        <v>X</v>
      </c>
      <c r="Z99" s="2" t="str">
        <f t="shared" si="37"/>
        <v>X</v>
      </c>
      <c r="AA99" s="2" t="str">
        <f t="shared" si="40"/>
        <v>(31 downto 24)</v>
      </c>
      <c r="AB99" s="2" t="str">
        <f t="shared" si="41"/>
        <v>(23 downto 16)</v>
      </c>
      <c r="AC99" s="2" t="str">
        <f t="shared" si="42"/>
        <v>(15 downto 8)</v>
      </c>
      <c r="AD99" s="2" t="str">
        <f t="shared" si="43"/>
        <v>(7 downto 0)</v>
      </c>
      <c r="AE99" s="2" t="str">
        <f t="shared" si="44"/>
        <v>(31 downto 24)</v>
      </c>
      <c r="AF99" s="2" t="str">
        <f t="shared" si="45"/>
        <v>(23 downto 16)</v>
      </c>
      <c r="AG99" s="2" t="str">
        <f t="shared" si="46"/>
        <v>(15 downto 8)</v>
      </c>
      <c r="AH99" s="2" t="str">
        <f t="shared" si="47"/>
        <v>(7 downto 0)</v>
      </c>
    </row>
    <row r="100" spans="2:34" x14ac:dyDescent="0.25">
      <c r="B100" s="2" t="s">
        <v>385</v>
      </c>
      <c r="C100" s="2" t="s">
        <v>141</v>
      </c>
      <c r="D100" s="2" t="s">
        <v>0</v>
      </c>
      <c r="E100" s="2" t="s">
        <v>130</v>
      </c>
      <c r="F100" s="2" t="s">
        <v>386</v>
      </c>
      <c r="G100" s="2" t="s">
        <v>387</v>
      </c>
      <c r="H100" s="2" t="s">
        <v>142</v>
      </c>
      <c r="I100" s="2" t="s">
        <v>41</v>
      </c>
      <c r="J100" s="2">
        <v>32</v>
      </c>
      <c r="K100" s="2" t="s">
        <v>132</v>
      </c>
      <c r="L100" s="2" t="s">
        <v>40</v>
      </c>
      <c r="P100" s="2" t="s">
        <v>48</v>
      </c>
      <c r="Q100" s="2">
        <f>INDEX(Tables!$C$4:$C$28,MATCH($P100,Tables!$B$4:$B$28,0))</f>
        <v>32</v>
      </c>
      <c r="R100" s="2">
        <f>INDEX(Tables!$D$4:$D$28,MATCH($P100,Tables!$B$4:$B$28,0))</f>
        <v>4</v>
      </c>
      <c r="S100" s="2">
        <f>$S99+$R99+INDEX(Tables!$N$5:$Q$8,MATCH(MOD($S99+$R99,4),Tables!$M$5:$M$8,0),MATCH($R100,Tables!$N$4:$Q$4,0))</f>
        <v>316</v>
      </c>
      <c r="T100" s="2" t="str">
        <f t="shared" si="33"/>
        <v>013C</v>
      </c>
      <c r="U100" s="2">
        <f t="shared" si="39"/>
        <v>79</v>
      </c>
      <c r="V100" s="2" t="str">
        <f t="shared" si="34"/>
        <v>04F</v>
      </c>
      <c r="W100" s="2" t="str">
        <f t="shared" si="35"/>
        <v>X</v>
      </c>
      <c r="X100" s="2" t="str">
        <f t="shared" si="38"/>
        <v>X</v>
      </c>
      <c r="Y100" s="2" t="str">
        <f t="shared" si="36"/>
        <v>X</v>
      </c>
      <c r="Z100" s="2" t="str">
        <f t="shared" si="37"/>
        <v>X</v>
      </c>
      <c r="AA100" s="2" t="str">
        <f t="shared" si="40"/>
        <v>(31 downto 24)</v>
      </c>
      <c r="AB100" s="2" t="str">
        <f t="shared" si="41"/>
        <v>(23 downto 16)</v>
      </c>
      <c r="AC100" s="2" t="str">
        <f t="shared" si="42"/>
        <v>(15 downto 8)</v>
      </c>
      <c r="AD100" s="2" t="str">
        <f t="shared" si="43"/>
        <v>(7 downto 0)</v>
      </c>
      <c r="AE100" s="2" t="str">
        <f t="shared" si="44"/>
        <v>(31 downto 24)</v>
      </c>
      <c r="AF100" s="2" t="str">
        <f t="shared" si="45"/>
        <v>(23 downto 16)</v>
      </c>
      <c r="AG100" s="2" t="str">
        <f t="shared" si="46"/>
        <v>(15 downto 8)</v>
      </c>
      <c r="AH100" s="2" t="str">
        <f t="shared" si="47"/>
        <v>(7 downto 0)</v>
      </c>
    </row>
    <row r="101" spans="2:34" x14ac:dyDescent="0.25">
      <c r="B101" s="2" t="s">
        <v>388</v>
      </c>
      <c r="C101" s="2" t="s">
        <v>141</v>
      </c>
      <c r="D101" s="2" t="s">
        <v>0</v>
      </c>
      <c r="E101" s="2" t="s">
        <v>130</v>
      </c>
      <c r="F101" s="2" t="s">
        <v>389</v>
      </c>
      <c r="G101" s="2" t="s">
        <v>390</v>
      </c>
      <c r="H101" s="2" t="s">
        <v>142</v>
      </c>
      <c r="I101" s="2" t="s">
        <v>41</v>
      </c>
      <c r="J101" s="2">
        <v>32</v>
      </c>
      <c r="K101" s="2" t="s">
        <v>132</v>
      </c>
      <c r="L101" s="2" t="s">
        <v>40</v>
      </c>
      <c r="P101" s="2" t="s">
        <v>48</v>
      </c>
      <c r="Q101" s="2">
        <f>INDEX(Tables!$C$4:$C$28,MATCH($P101,Tables!$B$4:$B$28,0))</f>
        <v>32</v>
      </c>
      <c r="R101" s="2">
        <f>INDEX(Tables!$D$4:$D$28,MATCH($P101,Tables!$B$4:$B$28,0))</f>
        <v>4</v>
      </c>
      <c r="S101" s="2">
        <f>$S100+$R100+INDEX(Tables!$N$5:$Q$8,MATCH(MOD($S100+$R100,4),Tables!$M$5:$M$8,0),MATCH($R101,Tables!$N$4:$Q$4,0))</f>
        <v>320</v>
      </c>
      <c r="T101" s="2" t="str">
        <f t="shared" si="33"/>
        <v>0140</v>
      </c>
      <c r="U101" s="2">
        <f t="shared" si="39"/>
        <v>80</v>
      </c>
      <c r="V101" s="2" t="str">
        <f t="shared" si="34"/>
        <v>050</v>
      </c>
      <c r="W101" s="2" t="str">
        <f t="shared" si="35"/>
        <v>X</v>
      </c>
      <c r="X101" s="2" t="str">
        <f t="shared" si="38"/>
        <v>X</v>
      </c>
      <c r="Y101" s="2" t="str">
        <f t="shared" si="36"/>
        <v>X</v>
      </c>
      <c r="Z101" s="2" t="str">
        <f t="shared" si="37"/>
        <v>X</v>
      </c>
      <c r="AA101" s="2" t="str">
        <f t="shared" si="40"/>
        <v>(31 downto 24)</v>
      </c>
      <c r="AB101" s="2" t="str">
        <f t="shared" si="41"/>
        <v>(23 downto 16)</v>
      </c>
      <c r="AC101" s="2" t="str">
        <f t="shared" si="42"/>
        <v>(15 downto 8)</v>
      </c>
      <c r="AD101" s="2" t="str">
        <f t="shared" si="43"/>
        <v>(7 downto 0)</v>
      </c>
      <c r="AE101" s="2" t="str">
        <f t="shared" si="44"/>
        <v>(31 downto 24)</v>
      </c>
      <c r="AF101" s="2" t="str">
        <f t="shared" si="45"/>
        <v>(23 downto 16)</v>
      </c>
      <c r="AG101" s="2" t="str">
        <f t="shared" si="46"/>
        <v>(15 downto 8)</v>
      </c>
      <c r="AH101" s="2" t="str">
        <f t="shared" si="47"/>
        <v>(7 downto 0)</v>
      </c>
    </row>
    <row r="102" spans="2:34" x14ac:dyDescent="0.25">
      <c r="B102" s="2" t="s">
        <v>391</v>
      </c>
      <c r="C102" s="2" t="s">
        <v>141</v>
      </c>
      <c r="D102" s="2" t="s">
        <v>0</v>
      </c>
      <c r="E102" s="2" t="s">
        <v>130</v>
      </c>
      <c r="F102" s="2" t="s">
        <v>392</v>
      </c>
      <c r="G102" s="2" t="s">
        <v>393</v>
      </c>
      <c r="H102" s="2" t="s">
        <v>142</v>
      </c>
      <c r="I102" s="2" t="s">
        <v>41</v>
      </c>
      <c r="J102" s="2">
        <v>32</v>
      </c>
      <c r="K102" s="2" t="s">
        <v>132</v>
      </c>
      <c r="L102" s="2" t="s">
        <v>40</v>
      </c>
      <c r="P102" s="2" t="s">
        <v>48</v>
      </c>
      <c r="Q102" s="2">
        <f>INDEX(Tables!$C$4:$C$28,MATCH($P102,Tables!$B$4:$B$28,0))</f>
        <v>32</v>
      </c>
      <c r="R102" s="2">
        <f>INDEX(Tables!$D$4:$D$28,MATCH($P102,Tables!$B$4:$B$28,0))</f>
        <v>4</v>
      </c>
      <c r="S102" s="2">
        <f>$S101+$R101+INDEX(Tables!$N$5:$Q$8,MATCH(MOD($S101+$R101,4),Tables!$M$5:$M$8,0),MATCH($R102,Tables!$N$4:$Q$4,0))</f>
        <v>324</v>
      </c>
      <c r="T102" s="2" t="str">
        <f t="shared" si="33"/>
        <v>0144</v>
      </c>
      <c r="U102" s="2">
        <f t="shared" si="39"/>
        <v>81</v>
      </c>
      <c r="V102" s="2" t="str">
        <f t="shared" si="34"/>
        <v>051</v>
      </c>
      <c r="W102" s="2" t="str">
        <f t="shared" si="35"/>
        <v>X</v>
      </c>
      <c r="X102" s="2" t="str">
        <f t="shared" si="38"/>
        <v>X</v>
      </c>
      <c r="Y102" s="2" t="str">
        <f t="shared" si="36"/>
        <v>X</v>
      </c>
      <c r="Z102" s="2" t="str">
        <f t="shared" si="37"/>
        <v>X</v>
      </c>
      <c r="AA102" s="2" t="str">
        <f t="shared" si="40"/>
        <v>(31 downto 24)</v>
      </c>
      <c r="AB102" s="2" t="str">
        <f t="shared" si="41"/>
        <v>(23 downto 16)</v>
      </c>
      <c r="AC102" s="2" t="str">
        <f t="shared" si="42"/>
        <v>(15 downto 8)</v>
      </c>
      <c r="AD102" s="2" t="str">
        <f t="shared" si="43"/>
        <v>(7 downto 0)</v>
      </c>
      <c r="AE102" s="2" t="str">
        <f t="shared" si="44"/>
        <v>(31 downto 24)</v>
      </c>
      <c r="AF102" s="2" t="str">
        <f t="shared" si="45"/>
        <v>(23 downto 16)</v>
      </c>
      <c r="AG102" s="2" t="str">
        <f t="shared" si="46"/>
        <v>(15 downto 8)</v>
      </c>
      <c r="AH102" s="2" t="str">
        <f t="shared" si="47"/>
        <v>(7 downto 0)</v>
      </c>
    </row>
    <row r="103" spans="2:34" x14ac:dyDescent="0.25">
      <c r="B103" s="2" t="s">
        <v>394</v>
      </c>
      <c r="C103" s="2" t="s">
        <v>141</v>
      </c>
      <c r="D103" s="2" t="s">
        <v>0</v>
      </c>
      <c r="E103" s="2" t="s">
        <v>130</v>
      </c>
      <c r="F103" s="2" t="s">
        <v>395</v>
      </c>
      <c r="G103" s="2" t="s">
        <v>396</v>
      </c>
      <c r="H103" s="2" t="s">
        <v>142</v>
      </c>
      <c r="I103" s="2" t="s">
        <v>41</v>
      </c>
      <c r="J103" s="2">
        <v>32</v>
      </c>
      <c r="K103" s="2" t="s">
        <v>132</v>
      </c>
      <c r="L103" s="2" t="s">
        <v>40</v>
      </c>
      <c r="P103" s="2" t="s">
        <v>48</v>
      </c>
      <c r="Q103" s="2">
        <f>INDEX(Tables!$C$4:$C$28,MATCH($P103,Tables!$B$4:$B$28,0))</f>
        <v>32</v>
      </c>
      <c r="R103" s="2">
        <f>INDEX(Tables!$D$4:$D$28,MATCH($P103,Tables!$B$4:$B$28,0))</f>
        <v>4</v>
      </c>
      <c r="S103" s="2">
        <f>$S102+$R102+INDEX(Tables!$N$5:$Q$8,MATCH(MOD($S102+$R102,4),Tables!$M$5:$M$8,0),MATCH($R103,Tables!$N$4:$Q$4,0))</f>
        <v>328</v>
      </c>
      <c r="T103" s="2" t="str">
        <f t="shared" si="33"/>
        <v>0148</v>
      </c>
      <c r="U103" s="2">
        <f t="shared" si="39"/>
        <v>82</v>
      </c>
      <c r="V103" s="2" t="str">
        <f t="shared" si="34"/>
        <v>052</v>
      </c>
      <c r="W103" s="2" t="str">
        <f t="shared" si="35"/>
        <v>X</v>
      </c>
      <c r="X103" s="2" t="str">
        <f t="shared" si="38"/>
        <v>X</v>
      </c>
      <c r="Y103" s="2" t="str">
        <f t="shared" si="36"/>
        <v>X</v>
      </c>
      <c r="Z103" s="2" t="str">
        <f t="shared" si="37"/>
        <v>X</v>
      </c>
      <c r="AA103" s="2" t="str">
        <f t="shared" si="40"/>
        <v>(31 downto 24)</v>
      </c>
      <c r="AB103" s="2" t="str">
        <f t="shared" si="41"/>
        <v>(23 downto 16)</v>
      </c>
      <c r="AC103" s="2" t="str">
        <f t="shared" si="42"/>
        <v>(15 downto 8)</v>
      </c>
      <c r="AD103" s="2" t="str">
        <f t="shared" si="43"/>
        <v>(7 downto 0)</v>
      </c>
      <c r="AE103" s="2" t="str">
        <f t="shared" si="44"/>
        <v>(31 downto 24)</v>
      </c>
      <c r="AF103" s="2" t="str">
        <f t="shared" si="45"/>
        <v>(23 downto 16)</v>
      </c>
      <c r="AG103" s="2" t="str">
        <f t="shared" si="46"/>
        <v>(15 downto 8)</v>
      </c>
      <c r="AH103" s="2" t="str">
        <f t="shared" si="47"/>
        <v>(7 downto 0)</v>
      </c>
    </row>
    <row r="104" spans="2:34" x14ac:dyDescent="0.25">
      <c r="B104" s="2" t="s">
        <v>397</v>
      </c>
      <c r="C104" s="2" t="s">
        <v>141</v>
      </c>
      <c r="D104" s="2" t="s">
        <v>0</v>
      </c>
      <c r="E104" s="2" t="s">
        <v>130</v>
      </c>
      <c r="F104" s="2" t="s">
        <v>398</v>
      </c>
      <c r="G104" s="2" t="s">
        <v>399</v>
      </c>
      <c r="H104" s="2" t="s">
        <v>142</v>
      </c>
      <c r="I104" s="2" t="s">
        <v>41</v>
      </c>
      <c r="J104" s="2">
        <v>32</v>
      </c>
      <c r="K104" s="2" t="s">
        <v>132</v>
      </c>
      <c r="L104" s="2" t="s">
        <v>40</v>
      </c>
      <c r="P104" s="2" t="s">
        <v>48</v>
      </c>
      <c r="Q104" s="2">
        <f>INDEX(Tables!$C$4:$C$28,MATCH($P104,Tables!$B$4:$B$28,0))</f>
        <v>32</v>
      </c>
      <c r="R104" s="2">
        <f>INDEX(Tables!$D$4:$D$28,MATCH($P104,Tables!$B$4:$B$28,0))</f>
        <v>4</v>
      </c>
      <c r="S104" s="2">
        <f>$S103+$R103+INDEX(Tables!$N$5:$Q$8,MATCH(MOD($S103+$R103,4),Tables!$M$5:$M$8,0),MATCH($R104,Tables!$N$4:$Q$4,0))</f>
        <v>332</v>
      </c>
      <c r="T104" s="2" t="str">
        <f t="shared" si="33"/>
        <v>014C</v>
      </c>
      <c r="U104" s="2">
        <f t="shared" si="39"/>
        <v>83</v>
      </c>
      <c r="V104" s="2" t="str">
        <f t="shared" si="34"/>
        <v>053</v>
      </c>
      <c r="W104" s="2" t="str">
        <f t="shared" si="35"/>
        <v>X</v>
      </c>
      <c r="X104" s="2" t="str">
        <f t="shared" si="38"/>
        <v>X</v>
      </c>
      <c r="Y104" s="2" t="str">
        <f t="shared" si="36"/>
        <v>X</v>
      </c>
      <c r="Z104" s="2" t="str">
        <f t="shared" si="37"/>
        <v>X</v>
      </c>
      <c r="AA104" s="2" t="str">
        <f t="shared" si="40"/>
        <v>(31 downto 24)</v>
      </c>
      <c r="AB104" s="2" t="str">
        <f t="shared" si="41"/>
        <v>(23 downto 16)</v>
      </c>
      <c r="AC104" s="2" t="str">
        <f t="shared" si="42"/>
        <v>(15 downto 8)</v>
      </c>
      <c r="AD104" s="2" t="str">
        <f t="shared" si="43"/>
        <v>(7 downto 0)</v>
      </c>
      <c r="AE104" s="2" t="str">
        <f t="shared" si="44"/>
        <v>(31 downto 24)</v>
      </c>
      <c r="AF104" s="2" t="str">
        <f t="shared" si="45"/>
        <v>(23 downto 16)</v>
      </c>
      <c r="AG104" s="2" t="str">
        <f t="shared" si="46"/>
        <v>(15 downto 8)</v>
      </c>
      <c r="AH104" s="2" t="str">
        <f t="shared" si="47"/>
        <v>(7 downto 0)</v>
      </c>
    </row>
    <row r="105" spans="2:34" x14ac:dyDescent="0.25">
      <c r="B105" s="2" t="s">
        <v>400</v>
      </c>
      <c r="C105" s="2" t="s">
        <v>141</v>
      </c>
      <c r="D105" s="2" t="s">
        <v>0</v>
      </c>
      <c r="E105" s="2" t="s">
        <v>130</v>
      </c>
      <c r="F105" s="2" t="s">
        <v>401</v>
      </c>
      <c r="G105" s="2" t="s">
        <v>402</v>
      </c>
      <c r="H105" s="2" t="s">
        <v>142</v>
      </c>
      <c r="I105" s="2" t="s">
        <v>41</v>
      </c>
      <c r="J105" s="2">
        <v>32</v>
      </c>
      <c r="K105" s="2" t="s">
        <v>132</v>
      </c>
      <c r="L105" s="2" t="s">
        <v>40</v>
      </c>
      <c r="P105" s="2" t="s">
        <v>48</v>
      </c>
      <c r="Q105" s="2">
        <f>INDEX(Tables!$C$4:$C$28,MATCH($P105,Tables!$B$4:$B$28,0))</f>
        <v>32</v>
      </c>
      <c r="R105" s="2">
        <f>INDEX(Tables!$D$4:$D$28,MATCH($P105,Tables!$B$4:$B$28,0))</f>
        <v>4</v>
      </c>
      <c r="S105" s="2">
        <f>$S104+$R104+INDEX(Tables!$N$5:$Q$8,MATCH(MOD($S104+$R104,4),Tables!$M$5:$M$8,0),MATCH($R105,Tables!$N$4:$Q$4,0))</f>
        <v>336</v>
      </c>
      <c r="T105" s="2" t="str">
        <f t="shared" si="33"/>
        <v>0150</v>
      </c>
      <c r="U105" s="2">
        <f t="shared" si="39"/>
        <v>84</v>
      </c>
      <c r="V105" s="2" t="str">
        <f t="shared" si="34"/>
        <v>054</v>
      </c>
      <c r="W105" s="2" t="str">
        <f t="shared" si="35"/>
        <v>X</v>
      </c>
      <c r="X105" s="2" t="str">
        <f t="shared" si="38"/>
        <v>X</v>
      </c>
      <c r="Y105" s="2" t="str">
        <f t="shared" si="36"/>
        <v>X</v>
      </c>
      <c r="Z105" s="2" t="str">
        <f t="shared" si="37"/>
        <v>X</v>
      </c>
      <c r="AA105" s="2" t="str">
        <f t="shared" si="40"/>
        <v>(31 downto 24)</v>
      </c>
      <c r="AB105" s="2" t="str">
        <f t="shared" si="41"/>
        <v>(23 downto 16)</v>
      </c>
      <c r="AC105" s="2" t="str">
        <f t="shared" si="42"/>
        <v>(15 downto 8)</v>
      </c>
      <c r="AD105" s="2" t="str">
        <f t="shared" si="43"/>
        <v>(7 downto 0)</v>
      </c>
      <c r="AE105" s="2" t="str">
        <f t="shared" si="44"/>
        <v>(31 downto 24)</v>
      </c>
      <c r="AF105" s="2" t="str">
        <f t="shared" si="45"/>
        <v>(23 downto 16)</v>
      </c>
      <c r="AG105" s="2" t="str">
        <f t="shared" si="46"/>
        <v>(15 downto 8)</v>
      </c>
      <c r="AH105" s="2" t="str">
        <f t="shared" si="47"/>
        <v>(7 downto 0)</v>
      </c>
    </row>
    <row r="106" spans="2:34" x14ac:dyDescent="0.25">
      <c r="B106" s="2" t="s">
        <v>403</v>
      </c>
      <c r="C106" s="2" t="s">
        <v>141</v>
      </c>
      <c r="D106" s="2" t="s">
        <v>0</v>
      </c>
      <c r="E106" s="2" t="s">
        <v>130</v>
      </c>
      <c r="F106" s="2" t="s">
        <v>404</v>
      </c>
      <c r="G106" s="2" t="s">
        <v>405</v>
      </c>
      <c r="H106" s="2" t="s">
        <v>142</v>
      </c>
      <c r="I106" s="2" t="s">
        <v>41</v>
      </c>
      <c r="J106" s="2">
        <v>32</v>
      </c>
      <c r="K106" s="2" t="s">
        <v>132</v>
      </c>
      <c r="L106" s="2" t="s">
        <v>40</v>
      </c>
      <c r="P106" s="2" t="s">
        <v>48</v>
      </c>
      <c r="Q106" s="2">
        <f>INDEX(Tables!$C$4:$C$28,MATCH($P106,Tables!$B$4:$B$28,0))</f>
        <v>32</v>
      </c>
      <c r="R106" s="2">
        <f>INDEX(Tables!$D$4:$D$28,MATCH($P106,Tables!$B$4:$B$28,0))</f>
        <v>4</v>
      </c>
      <c r="S106" s="2">
        <f>$S105+$R105+INDEX(Tables!$N$5:$Q$8,MATCH(MOD($S105+$R105,4),Tables!$M$5:$M$8,0),MATCH($R106,Tables!$N$4:$Q$4,0))</f>
        <v>340</v>
      </c>
      <c r="T106" s="2" t="str">
        <f t="shared" si="33"/>
        <v>0154</v>
      </c>
      <c r="U106" s="2">
        <f t="shared" si="39"/>
        <v>85</v>
      </c>
      <c r="V106" s="2" t="str">
        <f t="shared" si="34"/>
        <v>055</v>
      </c>
      <c r="W106" s="2" t="str">
        <f t="shared" si="35"/>
        <v>X</v>
      </c>
      <c r="X106" s="2" t="str">
        <f t="shared" si="38"/>
        <v>X</v>
      </c>
      <c r="Y106" s="2" t="str">
        <f t="shared" si="36"/>
        <v>X</v>
      </c>
      <c r="Z106" s="2" t="str">
        <f t="shared" si="37"/>
        <v>X</v>
      </c>
      <c r="AA106" s="2" t="str">
        <f t="shared" si="40"/>
        <v>(31 downto 24)</v>
      </c>
      <c r="AB106" s="2" t="str">
        <f t="shared" si="41"/>
        <v>(23 downto 16)</v>
      </c>
      <c r="AC106" s="2" t="str">
        <f t="shared" si="42"/>
        <v>(15 downto 8)</v>
      </c>
      <c r="AD106" s="2" t="str">
        <f t="shared" si="43"/>
        <v>(7 downto 0)</v>
      </c>
      <c r="AE106" s="2" t="str">
        <f t="shared" si="44"/>
        <v>(31 downto 24)</v>
      </c>
      <c r="AF106" s="2" t="str">
        <f t="shared" si="45"/>
        <v>(23 downto 16)</v>
      </c>
      <c r="AG106" s="2" t="str">
        <f t="shared" si="46"/>
        <v>(15 downto 8)</v>
      </c>
      <c r="AH106" s="2" t="str">
        <f t="shared" si="47"/>
        <v>(7 downto 0)</v>
      </c>
    </row>
    <row r="107" spans="2:34" x14ac:dyDescent="0.25">
      <c r="B107" s="2" t="s">
        <v>406</v>
      </c>
      <c r="C107" s="2" t="s">
        <v>141</v>
      </c>
      <c r="D107" s="2" t="s">
        <v>0</v>
      </c>
      <c r="E107" s="2" t="s">
        <v>130</v>
      </c>
      <c r="F107" s="2" t="s">
        <v>407</v>
      </c>
      <c r="G107" s="2" t="s">
        <v>408</v>
      </c>
      <c r="H107" s="2" t="s">
        <v>142</v>
      </c>
      <c r="I107" s="2" t="s">
        <v>41</v>
      </c>
      <c r="J107" s="2">
        <v>32</v>
      </c>
      <c r="K107" s="2" t="s">
        <v>132</v>
      </c>
      <c r="L107" s="2" t="s">
        <v>40</v>
      </c>
      <c r="P107" s="2" t="s">
        <v>48</v>
      </c>
      <c r="Q107" s="2">
        <f>INDEX(Tables!$C$4:$C$28,MATCH($P107,Tables!$B$4:$B$28,0))</f>
        <v>32</v>
      </c>
      <c r="R107" s="2">
        <f>INDEX(Tables!$D$4:$D$28,MATCH($P107,Tables!$B$4:$B$28,0))</f>
        <v>4</v>
      </c>
      <c r="S107" s="2">
        <f>$S106+$R106+INDEX(Tables!$N$5:$Q$8,MATCH(MOD($S106+$R106,4),Tables!$M$5:$M$8,0),MATCH($R107,Tables!$N$4:$Q$4,0))</f>
        <v>344</v>
      </c>
      <c r="T107" s="2" t="str">
        <f t="shared" si="33"/>
        <v>0158</v>
      </c>
      <c r="U107" s="2">
        <f t="shared" si="39"/>
        <v>86</v>
      </c>
      <c r="V107" s="2" t="str">
        <f t="shared" si="34"/>
        <v>056</v>
      </c>
      <c r="W107" s="2" t="str">
        <f t="shared" si="35"/>
        <v>X</v>
      </c>
      <c r="X107" s="2" t="str">
        <f t="shared" si="38"/>
        <v>X</v>
      </c>
      <c r="Y107" s="2" t="str">
        <f t="shared" si="36"/>
        <v>X</v>
      </c>
      <c r="Z107" s="2" t="str">
        <f t="shared" si="37"/>
        <v>X</v>
      </c>
      <c r="AA107" s="2" t="str">
        <f t="shared" si="40"/>
        <v>(31 downto 24)</v>
      </c>
      <c r="AB107" s="2" t="str">
        <f t="shared" si="41"/>
        <v>(23 downto 16)</v>
      </c>
      <c r="AC107" s="2" t="str">
        <f t="shared" si="42"/>
        <v>(15 downto 8)</v>
      </c>
      <c r="AD107" s="2" t="str">
        <f t="shared" si="43"/>
        <v>(7 downto 0)</v>
      </c>
      <c r="AE107" s="2" t="str">
        <f t="shared" si="44"/>
        <v>(31 downto 24)</v>
      </c>
      <c r="AF107" s="2" t="str">
        <f t="shared" si="45"/>
        <v>(23 downto 16)</v>
      </c>
      <c r="AG107" s="2" t="str">
        <f t="shared" si="46"/>
        <v>(15 downto 8)</v>
      </c>
      <c r="AH107" s="2" t="str">
        <f t="shared" si="47"/>
        <v>(7 downto 0)</v>
      </c>
    </row>
    <row r="108" spans="2:34" x14ac:dyDescent="0.25">
      <c r="B108" s="2" t="s">
        <v>409</v>
      </c>
      <c r="C108" s="2" t="s">
        <v>141</v>
      </c>
      <c r="D108" s="2" t="s">
        <v>0</v>
      </c>
      <c r="E108" s="2" t="s">
        <v>130</v>
      </c>
      <c r="F108" s="2" t="s">
        <v>410</v>
      </c>
      <c r="G108" s="2" t="s">
        <v>411</v>
      </c>
      <c r="H108" s="2" t="s">
        <v>142</v>
      </c>
      <c r="I108" s="2" t="s">
        <v>41</v>
      </c>
      <c r="J108" s="2">
        <v>32</v>
      </c>
      <c r="K108" s="2" t="s">
        <v>132</v>
      </c>
      <c r="L108" s="2" t="s">
        <v>40</v>
      </c>
      <c r="P108" s="2" t="s">
        <v>48</v>
      </c>
      <c r="Q108" s="2">
        <f>INDEX(Tables!$C$4:$C$28,MATCH($P108,Tables!$B$4:$B$28,0))</f>
        <v>32</v>
      </c>
      <c r="R108" s="2">
        <f>INDEX(Tables!$D$4:$D$28,MATCH($P108,Tables!$B$4:$B$28,0))</f>
        <v>4</v>
      </c>
      <c r="S108" s="2">
        <f>$S107+$R107+INDEX(Tables!$N$5:$Q$8,MATCH(MOD($S107+$R107,4),Tables!$M$5:$M$8,0),MATCH($R108,Tables!$N$4:$Q$4,0))</f>
        <v>348</v>
      </c>
      <c r="T108" s="2" t="str">
        <f t="shared" si="33"/>
        <v>015C</v>
      </c>
      <c r="U108" s="2">
        <f t="shared" si="39"/>
        <v>87</v>
      </c>
      <c r="V108" s="2" t="str">
        <f t="shared" si="34"/>
        <v>057</v>
      </c>
      <c r="W108" s="2" t="str">
        <f t="shared" si="35"/>
        <v>X</v>
      </c>
      <c r="X108" s="2" t="str">
        <f t="shared" si="38"/>
        <v>X</v>
      </c>
      <c r="Y108" s="2" t="str">
        <f t="shared" si="36"/>
        <v>X</v>
      </c>
      <c r="Z108" s="2" t="str">
        <f t="shared" si="37"/>
        <v>X</v>
      </c>
      <c r="AA108" s="2" t="str">
        <f t="shared" si="40"/>
        <v>(31 downto 24)</v>
      </c>
      <c r="AB108" s="2" t="str">
        <f t="shared" si="41"/>
        <v>(23 downto 16)</v>
      </c>
      <c r="AC108" s="2" t="str">
        <f t="shared" si="42"/>
        <v>(15 downto 8)</v>
      </c>
      <c r="AD108" s="2" t="str">
        <f t="shared" si="43"/>
        <v>(7 downto 0)</v>
      </c>
      <c r="AE108" s="2" t="str">
        <f t="shared" si="44"/>
        <v>(31 downto 24)</v>
      </c>
      <c r="AF108" s="2" t="str">
        <f t="shared" si="45"/>
        <v>(23 downto 16)</v>
      </c>
      <c r="AG108" s="2" t="str">
        <f t="shared" si="46"/>
        <v>(15 downto 8)</v>
      </c>
      <c r="AH108" s="2" t="str">
        <f t="shared" si="47"/>
        <v>(7 downto 0)</v>
      </c>
    </row>
    <row r="109" spans="2:34" x14ac:dyDescent="0.25">
      <c r="B109" s="2" t="s">
        <v>412</v>
      </c>
      <c r="C109" s="2" t="s">
        <v>141</v>
      </c>
      <c r="D109" s="2" t="s">
        <v>0</v>
      </c>
      <c r="E109" s="2" t="s">
        <v>130</v>
      </c>
      <c r="F109" s="2" t="s">
        <v>413</v>
      </c>
      <c r="G109" s="2" t="s">
        <v>414</v>
      </c>
      <c r="H109" s="2" t="s">
        <v>142</v>
      </c>
      <c r="I109" s="2" t="s">
        <v>41</v>
      </c>
      <c r="J109" s="2">
        <v>32</v>
      </c>
      <c r="K109" s="2" t="s">
        <v>132</v>
      </c>
      <c r="L109" s="2" t="s">
        <v>40</v>
      </c>
      <c r="P109" s="2" t="s">
        <v>48</v>
      </c>
      <c r="Q109" s="2">
        <f>INDEX(Tables!$C$4:$C$28,MATCH($P109,Tables!$B$4:$B$28,0))</f>
        <v>32</v>
      </c>
      <c r="R109" s="2">
        <f>INDEX(Tables!$D$4:$D$28,MATCH($P109,Tables!$B$4:$B$28,0))</f>
        <v>4</v>
      </c>
      <c r="S109" s="2">
        <f>$S108+$R108+INDEX(Tables!$N$5:$Q$8,MATCH(MOD($S108+$R108,4),Tables!$M$5:$M$8,0),MATCH($R109,Tables!$N$4:$Q$4,0))</f>
        <v>352</v>
      </c>
      <c r="T109" s="2" t="str">
        <f t="shared" si="33"/>
        <v>0160</v>
      </c>
      <c r="U109" s="2">
        <f t="shared" si="39"/>
        <v>88</v>
      </c>
      <c r="V109" s="2" t="str">
        <f t="shared" si="34"/>
        <v>058</v>
      </c>
      <c r="W109" s="2" t="str">
        <f t="shared" si="35"/>
        <v>X</v>
      </c>
      <c r="X109" s="2" t="str">
        <f t="shared" si="38"/>
        <v>X</v>
      </c>
      <c r="Y109" s="2" t="str">
        <f t="shared" si="36"/>
        <v>X</v>
      </c>
      <c r="Z109" s="2" t="str">
        <f t="shared" si="37"/>
        <v>X</v>
      </c>
      <c r="AA109" s="2" t="str">
        <f t="shared" si="40"/>
        <v>(31 downto 24)</v>
      </c>
      <c r="AB109" s="2" t="str">
        <f t="shared" si="41"/>
        <v>(23 downto 16)</v>
      </c>
      <c r="AC109" s="2" t="str">
        <f t="shared" si="42"/>
        <v>(15 downto 8)</v>
      </c>
      <c r="AD109" s="2" t="str">
        <f t="shared" si="43"/>
        <v>(7 downto 0)</v>
      </c>
      <c r="AE109" s="2" t="str">
        <f t="shared" si="44"/>
        <v>(31 downto 24)</v>
      </c>
      <c r="AF109" s="2" t="str">
        <f t="shared" si="45"/>
        <v>(23 downto 16)</v>
      </c>
      <c r="AG109" s="2" t="str">
        <f t="shared" si="46"/>
        <v>(15 downto 8)</v>
      </c>
      <c r="AH109" s="2" t="str">
        <f t="shared" si="47"/>
        <v>(7 downto 0)</v>
      </c>
    </row>
    <row r="110" spans="2:34" x14ac:dyDescent="0.25">
      <c r="B110" s="2" t="s">
        <v>415</v>
      </c>
      <c r="C110" s="2" t="s">
        <v>141</v>
      </c>
      <c r="D110" s="2" t="s">
        <v>0</v>
      </c>
      <c r="E110" s="2" t="s">
        <v>130</v>
      </c>
      <c r="F110" s="2" t="s">
        <v>416</v>
      </c>
      <c r="G110" s="2" t="s">
        <v>417</v>
      </c>
      <c r="H110" s="2" t="s">
        <v>142</v>
      </c>
      <c r="I110" s="2" t="s">
        <v>41</v>
      </c>
      <c r="J110" s="2">
        <v>32</v>
      </c>
      <c r="K110" s="2" t="s">
        <v>132</v>
      </c>
      <c r="L110" s="2" t="s">
        <v>40</v>
      </c>
      <c r="P110" s="2" t="s">
        <v>48</v>
      </c>
      <c r="Q110" s="2">
        <f>INDEX(Tables!$C$4:$C$28,MATCH($P110,Tables!$B$4:$B$28,0))</f>
        <v>32</v>
      </c>
      <c r="R110" s="2">
        <f>INDEX(Tables!$D$4:$D$28,MATCH($P110,Tables!$B$4:$B$28,0))</f>
        <v>4</v>
      </c>
      <c r="S110" s="2">
        <f>$S109+$R109+INDEX(Tables!$N$5:$Q$8,MATCH(MOD($S109+$R109,4),Tables!$M$5:$M$8,0),MATCH($R110,Tables!$N$4:$Q$4,0))</f>
        <v>356</v>
      </c>
      <c r="T110" s="2" t="str">
        <f t="shared" si="33"/>
        <v>0164</v>
      </c>
      <c r="U110" s="2">
        <f t="shared" si="39"/>
        <v>89</v>
      </c>
      <c r="V110" s="2" t="str">
        <f t="shared" si="34"/>
        <v>059</v>
      </c>
      <c r="W110" s="2" t="str">
        <f t="shared" si="35"/>
        <v>X</v>
      </c>
      <c r="X110" s="2" t="str">
        <f t="shared" si="38"/>
        <v>X</v>
      </c>
      <c r="Y110" s="2" t="str">
        <f t="shared" si="36"/>
        <v>X</v>
      </c>
      <c r="Z110" s="2" t="str">
        <f t="shared" si="37"/>
        <v>X</v>
      </c>
      <c r="AA110" s="2" t="str">
        <f t="shared" si="40"/>
        <v>(31 downto 24)</v>
      </c>
      <c r="AB110" s="2" t="str">
        <f t="shared" si="41"/>
        <v>(23 downto 16)</v>
      </c>
      <c r="AC110" s="2" t="str">
        <f t="shared" si="42"/>
        <v>(15 downto 8)</v>
      </c>
      <c r="AD110" s="2" t="str">
        <f t="shared" si="43"/>
        <v>(7 downto 0)</v>
      </c>
      <c r="AE110" s="2" t="str">
        <f t="shared" si="44"/>
        <v>(31 downto 24)</v>
      </c>
      <c r="AF110" s="2" t="str">
        <f t="shared" si="45"/>
        <v>(23 downto 16)</v>
      </c>
      <c r="AG110" s="2" t="str">
        <f t="shared" si="46"/>
        <v>(15 downto 8)</v>
      </c>
      <c r="AH110" s="2" t="str">
        <f t="shared" si="47"/>
        <v>(7 downto 0)</v>
      </c>
    </row>
    <row r="111" spans="2:34" x14ac:dyDescent="0.25">
      <c r="B111" s="2" t="s">
        <v>418</v>
      </c>
      <c r="C111" s="2" t="s">
        <v>141</v>
      </c>
      <c r="D111" s="2" t="s">
        <v>0</v>
      </c>
      <c r="E111" s="2" t="s">
        <v>130</v>
      </c>
      <c r="F111" s="2" t="s">
        <v>419</v>
      </c>
      <c r="G111" s="2" t="s">
        <v>420</v>
      </c>
      <c r="H111" s="2" t="s">
        <v>142</v>
      </c>
      <c r="I111" s="2" t="s">
        <v>41</v>
      </c>
      <c r="J111" s="2">
        <v>32</v>
      </c>
      <c r="K111" s="2" t="s">
        <v>132</v>
      </c>
      <c r="L111" s="2" t="s">
        <v>40</v>
      </c>
      <c r="P111" s="2" t="s">
        <v>48</v>
      </c>
      <c r="Q111" s="2">
        <f>INDEX(Tables!$C$4:$C$28,MATCH($P111,Tables!$B$4:$B$28,0))</f>
        <v>32</v>
      </c>
      <c r="R111" s="2">
        <f>INDEX(Tables!$D$4:$D$28,MATCH($P111,Tables!$B$4:$B$28,0))</f>
        <v>4</v>
      </c>
      <c r="S111" s="2">
        <f>$S110+$R110+INDEX(Tables!$N$5:$Q$8,MATCH(MOD($S110+$R110,4),Tables!$M$5:$M$8,0),MATCH($R111,Tables!$N$4:$Q$4,0))</f>
        <v>360</v>
      </c>
      <c r="T111" s="2" t="str">
        <f t="shared" si="33"/>
        <v>0168</v>
      </c>
      <c r="U111" s="2">
        <f t="shared" si="39"/>
        <v>90</v>
      </c>
      <c r="V111" s="2" t="str">
        <f t="shared" si="34"/>
        <v>05A</v>
      </c>
      <c r="W111" s="2" t="str">
        <f t="shared" si="35"/>
        <v>X</v>
      </c>
      <c r="X111" s="2" t="str">
        <f t="shared" si="38"/>
        <v>X</v>
      </c>
      <c r="Y111" s="2" t="str">
        <f t="shared" si="36"/>
        <v>X</v>
      </c>
      <c r="Z111" s="2" t="str">
        <f t="shared" si="37"/>
        <v>X</v>
      </c>
      <c r="AA111" s="2" t="str">
        <f t="shared" si="40"/>
        <v>(31 downto 24)</v>
      </c>
      <c r="AB111" s="2" t="str">
        <f t="shared" si="41"/>
        <v>(23 downto 16)</v>
      </c>
      <c r="AC111" s="2" t="str">
        <f t="shared" si="42"/>
        <v>(15 downto 8)</v>
      </c>
      <c r="AD111" s="2" t="str">
        <f t="shared" si="43"/>
        <v>(7 downto 0)</v>
      </c>
      <c r="AE111" s="2" t="str">
        <f t="shared" si="44"/>
        <v>(31 downto 24)</v>
      </c>
      <c r="AF111" s="2" t="str">
        <f t="shared" si="45"/>
        <v>(23 downto 16)</v>
      </c>
      <c r="AG111" s="2" t="str">
        <f t="shared" si="46"/>
        <v>(15 downto 8)</v>
      </c>
      <c r="AH111" s="2" t="str">
        <f t="shared" si="47"/>
        <v>(7 downto 0)</v>
      </c>
    </row>
    <row r="112" spans="2:34" x14ac:dyDescent="0.25">
      <c r="B112" s="2" t="s">
        <v>421</v>
      </c>
      <c r="C112" s="2" t="s">
        <v>141</v>
      </c>
      <c r="D112" s="2" t="s">
        <v>0</v>
      </c>
      <c r="E112" s="2" t="s">
        <v>130</v>
      </c>
      <c r="F112" s="2" t="s">
        <v>422</v>
      </c>
      <c r="G112" s="2" t="s">
        <v>423</v>
      </c>
      <c r="H112" s="2" t="s">
        <v>142</v>
      </c>
      <c r="I112" s="2" t="s">
        <v>41</v>
      </c>
      <c r="J112" s="2">
        <v>32</v>
      </c>
      <c r="K112" s="2" t="s">
        <v>132</v>
      </c>
      <c r="L112" s="2" t="s">
        <v>40</v>
      </c>
      <c r="P112" s="2" t="s">
        <v>48</v>
      </c>
      <c r="Q112" s="2">
        <f>INDEX(Tables!$C$4:$C$28,MATCH($P112,Tables!$B$4:$B$28,0))</f>
        <v>32</v>
      </c>
      <c r="R112" s="2">
        <f>INDEX(Tables!$D$4:$D$28,MATCH($P112,Tables!$B$4:$B$28,0))</f>
        <v>4</v>
      </c>
      <c r="S112" s="2">
        <f>$S111+$R111+INDEX(Tables!$N$5:$Q$8,MATCH(MOD($S111+$R111,4),Tables!$M$5:$M$8,0),MATCH($R112,Tables!$N$4:$Q$4,0))</f>
        <v>364</v>
      </c>
      <c r="T112" s="2" t="str">
        <f t="shared" si="33"/>
        <v>016C</v>
      </c>
      <c r="U112" s="2">
        <f t="shared" si="39"/>
        <v>91</v>
      </c>
      <c r="V112" s="2" t="str">
        <f t="shared" si="34"/>
        <v>05B</v>
      </c>
      <c r="W112" s="2" t="str">
        <f t="shared" si="35"/>
        <v>X</v>
      </c>
      <c r="X112" s="2" t="str">
        <f t="shared" si="38"/>
        <v>X</v>
      </c>
      <c r="Y112" s="2" t="str">
        <f t="shared" si="36"/>
        <v>X</v>
      </c>
      <c r="Z112" s="2" t="str">
        <f t="shared" si="37"/>
        <v>X</v>
      </c>
      <c r="AA112" s="2" t="str">
        <f t="shared" si="40"/>
        <v>(31 downto 24)</v>
      </c>
      <c r="AB112" s="2" t="str">
        <f t="shared" si="41"/>
        <v>(23 downto 16)</v>
      </c>
      <c r="AC112" s="2" t="str">
        <f t="shared" si="42"/>
        <v>(15 downto 8)</v>
      </c>
      <c r="AD112" s="2" t="str">
        <f t="shared" si="43"/>
        <v>(7 downto 0)</v>
      </c>
      <c r="AE112" s="2" t="str">
        <f t="shared" si="44"/>
        <v>(31 downto 24)</v>
      </c>
      <c r="AF112" s="2" t="str">
        <f t="shared" si="45"/>
        <v>(23 downto 16)</v>
      </c>
      <c r="AG112" s="2" t="str">
        <f t="shared" si="46"/>
        <v>(15 downto 8)</v>
      </c>
      <c r="AH112" s="2" t="str">
        <f t="shared" si="47"/>
        <v>(7 downto 0)</v>
      </c>
    </row>
    <row r="113" spans="2:34" x14ac:dyDescent="0.25">
      <c r="B113" s="2" t="s">
        <v>424</v>
      </c>
      <c r="C113" s="2" t="s">
        <v>141</v>
      </c>
      <c r="D113" s="2" t="s">
        <v>0</v>
      </c>
      <c r="E113" s="2" t="s">
        <v>130</v>
      </c>
      <c r="F113" s="2" t="s">
        <v>425</v>
      </c>
      <c r="G113" s="2" t="s">
        <v>426</v>
      </c>
      <c r="H113" s="2" t="s">
        <v>142</v>
      </c>
      <c r="I113" s="2" t="s">
        <v>41</v>
      </c>
      <c r="J113" s="2">
        <v>32</v>
      </c>
      <c r="K113" s="2" t="s">
        <v>132</v>
      </c>
      <c r="L113" s="2" t="s">
        <v>40</v>
      </c>
      <c r="P113" s="2" t="s">
        <v>48</v>
      </c>
      <c r="Q113" s="2">
        <f>INDEX(Tables!$C$4:$C$28,MATCH($P113,Tables!$B$4:$B$28,0))</f>
        <v>32</v>
      </c>
      <c r="R113" s="2">
        <f>INDEX(Tables!$D$4:$D$28,MATCH($P113,Tables!$B$4:$B$28,0))</f>
        <v>4</v>
      </c>
      <c r="S113" s="2">
        <f>$S112+$R112+INDEX(Tables!$N$5:$Q$8,MATCH(MOD($S112+$R112,4),Tables!$M$5:$M$8,0),MATCH($R113,Tables!$N$4:$Q$4,0))</f>
        <v>368</v>
      </c>
      <c r="T113" s="2" t="str">
        <f t="shared" si="33"/>
        <v>0170</v>
      </c>
      <c r="U113" s="2">
        <f t="shared" si="39"/>
        <v>92</v>
      </c>
      <c r="V113" s="2" t="str">
        <f t="shared" si="34"/>
        <v>05C</v>
      </c>
      <c r="W113" s="2" t="str">
        <f t="shared" si="35"/>
        <v>X</v>
      </c>
      <c r="X113" s="2" t="str">
        <f t="shared" si="38"/>
        <v>X</v>
      </c>
      <c r="Y113" s="2" t="str">
        <f t="shared" si="36"/>
        <v>X</v>
      </c>
      <c r="Z113" s="2" t="str">
        <f t="shared" si="37"/>
        <v>X</v>
      </c>
      <c r="AA113" s="2" t="str">
        <f t="shared" si="40"/>
        <v>(31 downto 24)</v>
      </c>
      <c r="AB113" s="2" t="str">
        <f t="shared" si="41"/>
        <v>(23 downto 16)</v>
      </c>
      <c r="AC113" s="2" t="str">
        <f t="shared" si="42"/>
        <v>(15 downto 8)</v>
      </c>
      <c r="AD113" s="2" t="str">
        <f t="shared" si="43"/>
        <v>(7 downto 0)</v>
      </c>
      <c r="AE113" s="2" t="str">
        <f t="shared" si="44"/>
        <v>(31 downto 24)</v>
      </c>
      <c r="AF113" s="2" t="str">
        <f t="shared" si="45"/>
        <v>(23 downto 16)</v>
      </c>
      <c r="AG113" s="2" t="str">
        <f t="shared" si="46"/>
        <v>(15 downto 8)</v>
      </c>
      <c r="AH113" s="2" t="str">
        <f t="shared" si="47"/>
        <v>(7 downto 0)</v>
      </c>
    </row>
    <row r="114" spans="2:34" x14ac:dyDescent="0.25">
      <c r="B114" s="2" t="s">
        <v>427</v>
      </c>
      <c r="C114" s="2" t="s">
        <v>141</v>
      </c>
      <c r="D114" s="2" t="s">
        <v>0</v>
      </c>
      <c r="E114" s="2" t="s">
        <v>130</v>
      </c>
      <c r="F114" s="2" t="s">
        <v>428</v>
      </c>
      <c r="G114" s="2" t="s">
        <v>429</v>
      </c>
      <c r="H114" s="2" t="s">
        <v>142</v>
      </c>
      <c r="I114" s="2" t="s">
        <v>41</v>
      </c>
      <c r="J114" s="2">
        <v>32</v>
      </c>
      <c r="K114" s="2" t="s">
        <v>132</v>
      </c>
      <c r="L114" s="2" t="s">
        <v>40</v>
      </c>
      <c r="P114" s="2" t="s">
        <v>48</v>
      </c>
      <c r="Q114" s="2">
        <f>INDEX(Tables!$C$4:$C$28,MATCH($P114,Tables!$B$4:$B$28,0))</f>
        <v>32</v>
      </c>
      <c r="R114" s="2">
        <f>INDEX(Tables!$D$4:$D$28,MATCH($P114,Tables!$B$4:$B$28,0))</f>
        <v>4</v>
      </c>
      <c r="S114" s="2">
        <f>$S113+$R113+INDEX(Tables!$N$5:$Q$8,MATCH(MOD($S113+$R113,4),Tables!$M$5:$M$8,0),MATCH($R114,Tables!$N$4:$Q$4,0))</f>
        <v>372</v>
      </c>
      <c r="T114" s="2" t="str">
        <f t="shared" si="33"/>
        <v>0174</v>
      </c>
      <c r="U114" s="2">
        <f t="shared" si="39"/>
        <v>93</v>
      </c>
      <c r="V114" s="2" t="str">
        <f t="shared" si="34"/>
        <v>05D</v>
      </c>
      <c r="W114" s="2" t="str">
        <f t="shared" si="35"/>
        <v>X</v>
      </c>
      <c r="X114" s="2" t="str">
        <f t="shared" si="38"/>
        <v>X</v>
      </c>
      <c r="Y114" s="2" t="str">
        <f t="shared" si="36"/>
        <v>X</v>
      </c>
      <c r="Z114" s="2" t="str">
        <f t="shared" si="37"/>
        <v>X</v>
      </c>
      <c r="AA114" s="2" t="str">
        <f t="shared" si="40"/>
        <v>(31 downto 24)</v>
      </c>
      <c r="AB114" s="2" t="str">
        <f t="shared" si="41"/>
        <v>(23 downto 16)</v>
      </c>
      <c r="AC114" s="2" t="str">
        <f t="shared" si="42"/>
        <v>(15 downto 8)</v>
      </c>
      <c r="AD114" s="2" t="str">
        <f t="shared" si="43"/>
        <v>(7 downto 0)</v>
      </c>
      <c r="AE114" s="2" t="str">
        <f t="shared" si="44"/>
        <v>(31 downto 24)</v>
      </c>
      <c r="AF114" s="2" t="str">
        <f t="shared" si="45"/>
        <v>(23 downto 16)</v>
      </c>
      <c r="AG114" s="2" t="str">
        <f t="shared" si="46"/>
        <v>(15 downto 8)</v>
      </c>
      <c r="AH114" s="2" t="str">
        <f t="shared" si="47"/>
        <v>(7 downto 0)</v>
      </c>
    </row>
    <row r="115" spans="2:34" x14ac:dyDescent="0.25">
      <c r="B115" s="2" t="s">
        <v>430</v>
      </c>
      <c r="C115" s="2" t="s">
        <v>141</v>
      </c>
      <c r="D115" s="2" t="s">
        <v>0</v>
      </c>
      <c r="E115" s="2" t="s">
        <v>130</v>
      </c>
      <c r="F115" s="2" t="s">
        <v>431</v>
      </c>
      <c r="G115" s="2" t="s">
        <v>432</v>
      </c>
      <c r="H115" s="2" t="s">
        <v>142</v>
      </c>
      <c r="I115" s="2" t="s">
        <v>41</v>
      </c>
      <c r="J115" s="2">
        <v>32</v>
      </c>
      <c r="K115" s="2" t="s">
        <v>132</v>
      </c>
      <c r="L115" s="2" t="s">
        <v>40</v>
      </c>
      <c r="P115" s="2" t="s">
        <v>48</v>
      </c>
      <c r="Q115" s="2">
        <f>INDEX(Tables!$C$4:$C$28,MATCH($P115,Tables!$B$4:$B$28,0))</f>
        <v>32</v>
      </c>
      <c r="R115" s="2">
        <f>INDEX(Tables!$D$4:$D$28,MATCH($P115,Tables!$B$4:$B$28,0))</f>
        <v>4</v>
      </c>
      <c r="S115" s="2">
        <f>$S114+$R114+INDEX(Tables!$N$5:$Q$8,MATCH(MOD($S114+$R114,4),Tables!$M$5:$M$8,0),MATCH($R115,Tables!$N$4:$Q$4,0))</f>
        <v>376</v>
      </c>
      <c r="T115" s="2" t="str">
        <f t="shared" si="33"/>
        <v>0178</v>
      </c>
      <c r="U115" s="2">
        <f t="shared" si="39"/>
        <v>94</v>
      </c>
      <c r="V115" s="2" t="str">
        <f t="shared" si="34"/>
        <v>05E</v>
      </c>
      <c r="W115" s="2" t="str">
        <f t="shared" si="35"/>
        <v>X</v>
      </c>
      <c r="X115" s="2" t="str">
        <f t="shared" si="38"/>
        <v>X</v>
      </c>
      <c r="Y115" s="2" t="str">
        <f t="shared" si="36"/>
        <v>X</v>
      </c>
      <c r="Z115" s="2" t="str">
        <f t="shared" si="37"/>
        <v>X</v>
      </c>
      <c r="AA115" s="2" t="str">
        <f t="shared" si="40"/>
        <v>(31 downto 24)</v>
      </c>
      <c r="AB115" s="2" t="str">
        <f t="shared" si="41"/>
        <v>(23 downto 16)</v>
      </c>
      <c r="AC115" s="2" t="str">
        <f t="shared" si="42"/>
        <v>(15 downto 8)</v>
      </c>
      <c r="AD115" s="2" t="str">
        <f t="shared" si="43"/>
        <v>(7 downto 0)</v>
      </c>
      <c r="AE115" s="2" t="str">
        <f t="shared" si="44"/>
        <v>(31 downto 24)</v>
      </c>
      <c r="AF115" s="2" t="str">
        <f t="shared" si="45"/>
        <v>(23 downto 16)</v>
      </c>
      <c r="AG115" s="2" t="str">
        <f t="shared" si="46"/>
        <v>(15 downto 8)</v>
      </c>
      <c r="AH115" s="2" t="str">
        <f t="shared" si="47"/>
        <v>(7 downto 0)</v>
      </c>
    </row>
    <row r="116" spans="2:34" x14ac:dyDescent="0.25">
      <c r="B116" s="2" t="s">
        <v>433</v>
      </c>
      <c r="C116" s="2" t="s">
        <v>141</v>
      </c>
      <c r="D116" s="2" t="s">
        <v>0</v>
      </c>
      <c r="E116" s="2" t="s">
        <v>130</v>
      </c>
      <c r="F116" s="2" t="s">
        <v>434</v>
      </c>
      <c r="G116" s="2" t="s">
        <v>435</v>
      </c>
      <c r="H116" s="2" t="s">
        <v>142</v>
      </c>
      <c r="I116" s="2" t="s">
        <v>41</v>
      </c>
      <c r="J116" s="2">
        <v>32</v>
      </c>
      <c r="K116" s="2" t="s">
        <v>132</v>
      </c>
      <c r="L116" s="2" t="s">
        <v>40</v>
      </c>
      <c r="P116" s="2" t="s">
        <v>48</v>
      </c>
      <c r="Q116" s="2">
        <f>INDEX(Tables!$C$4:$C$28,MATCH($P116,Tables!$B$4:$B$28,0))</f>
        <v>32</v>
      </c>
      <c r="R116" s="2">
        <f>INDEX(Tables!$D$4:$D$28,MATCH($P116,Tables!$B$4:$B$28,0))</f>
        <v>4</v>
      </c>
      <c r="S116" s="2">
        <f>$S115+$R115+INDEX(Tables!$N$5:$Q$8,MATCH(MOD($S115+$R115,4),Tables!$M$5:$M$8,0),MATCH($R116,Tables!$N$4:$Q$4,0))</f>
        <v>380</v>
      </c>
      <c r="T116" s="2" t="str">
        <f t="shared" si="33"/>
        <v>017C</v>
      </c>
      <c r="U116" s="2">
        <f t="shared" si="39"/>
        <v>95</v>
      </c>
      <c r="V116" s="2" t="str">
        <f t="shared" si="34"/>
        <v>05F</v>
      </c>
      <c r="W116" s="2" t="str">
        <f t="shared" si="35"/>
        <v>X</v>
      </c>
      <c r="X116" s="2" t="str">
        <f t="shared" si="38"/>
        <v>X</v>
      </c>
      <c r="Y116" s="2" t="str">
        <f t="shared" si="36"/>
        <v>X</v>
      </c>
      <c r="Z116" s="2" t="str">
        <f t="shared" si="37"/>
        <v>X</v>
      </c>
      <c r="AA116" s="2" t="str">
        <f t="shared" si="40"/>
        <v>(31 downto 24)</v>
      </c>
      <c r="AB116" s="2" t="str">
        <f t="shared" si="41"/>
        <v>(23 downto 16)</v>
      </c>
      <c r="AC116" s="2" t="str">
        <f t="shared" si="42"/>
        <v>(15 downto 8)</v>
      </c>
      <c r="AD116" s="2" t="str">
        <f t="shared" si="43"/>
        <v>(7 downto 0)</v>
      </c>
      <c r="AE116" s="2" t="str">
        <f t="shared" si="44"/>
        <v>(31 downto 24)</v>
      </c>
      <c r="AF116" s="2" t="str">
        <f t="shared" si="45"/>
        <v>(23 downto 16)</v>
      </c>
      <c r="AG116" s="2" t="str">
        <f t="shared" si="46"/>
        <v>(15 downto 8)</v>
      </c>
      <c r="AH116" s="2" t="str">
        <f t="shared" si="47"/>
        <v>(7 downto 0)</v>
      </c>
    </row>
    <row r="117" spans="2:34" x14ac:dyDescent="0.25">
      <c r="B117" s="2" t="s">
        <v>436</v>
      </c>
      <c r="C117" s="2" t="s">
        <v>141</v>
      </c>
      <c r="D117" s="2" t="s">
        <v>0</v>
      </c>
      <c r="E117" s="2" t="s">
        <v>130</v>
      </c>
      <c r="F117" s="2" t="s">
        <v>437</v>
      </c>
      <c r="G117" s="2" t="s">
        <v>438</v>
      </c>
      <c r="H117" s="2" t="s">
        <v>142</v>
      </c>
      <c r="I117" s="2" t="s">
        <v>41</v>
      </c>
      <c r="J117" s="2">
        <v>32</v>
      </c>
      <c r="K117" s="2" t="s">
        <v>132</v>
      </c>
      <c r="L117" s="2" t="s">
        <v>40</v>
      </c>
      <c r="P117" s="2" t="s">
        <v>48</v>
      </c>
      <c r="Q117" s="2">
        <f>INDEX(Tables!$C$4:$C$28,MATCH($P117,Tables!$B$4:$B$28,0))</f>
        <v>32</v>
      </c>
      <c r="R117" s="2">
        <f>INDEX(Tables!$D$4:$D$28,MATCH($P117,Tables!$B$4:$B$28,0))</f>
        <v>4</v>
      </c>
      <c r="S117" s="2">
        <f>$S116+$R116+INDEX(Tables!$N$5:$Q$8,MATCH(MOD($S116+$R116,4),Tables!$M$5:$M$8,0),MATCH($R117,Tables!$N$4:$Q$4,0))</f>
        <v>384</v>
      </c>
      <c r="T117" s="2" t="str">
        <f t="shared" si="33"/>
        <v>0180</v>
      </c>
      <c r="U117" s="2">
        <f t="shared" si="39"/>
        <v>96</v>
      </c>
      <c r="V117" s="2" t="str">
        <f t="shared" si="34"/>
        <v>060</v>
      </c>
      <c r="W117" s="2" t="str">
        <f t="shared" si="35"/>
        <v>X</v>
      </c>
      <c r="X117" s="2" t="str">
        <f t="shared" si="38"/>
        <v>X</v>
      </c>
      <c r="Y117" s="2" t="str">
        <f t="shared" si="36"/>
        <v>X</v>
      </c>
      <c r="Z117" s="2" t="str">
        <f t="shared" si="37"/>
        <v>X</v>
      </c>
      <c r="AA117" s="2" t="str">
        <f t="shared" si="40"/>
        <v>(31 downto 24)</v>
      </c>
      <c r="AB117" s="2" t="str">
        <f t="shared" si="41"/>
        <v>(23 downto 16)</v>
      </c>
      <c r="AC117" s="2" t="str">
        <f t="shared" si="42"/>
        <v>(15 downto 8)</v>
      </c>
      <c r="AD117" s="2" t="str">
        <f t="shared" si="43"/>
        <v>(7 downto 0)</v>
      </c>
      <c r="AE117" s="2" t="str">
        <f t="shared" si="44"/>
        <v>(31 downto 24)</v>
      </c>
      <c r="AF117" s="2" t="str">
        <f t="shared" si="45"/>
        <v>(23 downto 16)</v>
      </c>
      <c r="AG117" s="2" t="str">
        <f t="shared" si="46"/>
        <v>(15 downto 8)</v>
      </c>
      <c r="AH117" s="2" t="str">
        <f t="shared" si="47"/>
        <v>(7 downto 0)</v>
      </c>
    </row>
    <row r="118" spans="2:34" x14ac:dyDescent="0.25">
      <c r="B118" s="2" t="s">
        <v>439</v>
      </c>
      <c r="C118" s="2" t="s">
        <v>141</v>
      </c>
      <c r="D118" s="2" t="s">
        <v>0</v>
      </c>
      <c r="E118" s="2" t="s">
        <v>130</v>
      </c>
      <c r="F118" s="2" t="s">
        <v>440</v>
      </c>
      <c r="G118" s="2" t="s">
        <v>441</v>
      </c>
      <c r="H118" s="2" t="s">
        <v>142</v>
      </c>
      <c r="I118" s="2" t="s">
        <v>41</v>
      </c>
      <c r="J118" s="2">
        <v>32</v>
      </c>
      <c r="K118" s="2" t="s">
        <v>132</v>
      </c>
      <c r="L118" s="2" t="s">
        <v>40</v>
      </c>
      <c r="P118" s="2" t="s">
        <v>48</v>
      </c>
      <c r="Q118" s="2">
        <f>INDEX(Tables!$C$4:$C$28,MATCH($P118,Tables!$B$4:$B$28,0))</f>
        <v>32</v>
      </c>
      <c r="R118" s="2">
        <f>INDEX(Tables!$D$4:$D$28,MATCH($P118,Tables!$B$4:$B$28,0))</f>
        <v>4</v>
      </c>
      <c r="S118" s="2">
        <f>$S117+$R117+INDEX(Tables!$N$5:$Q$8,MATCH(MOD($S117+$R117,4),Tables!$M$5:$M$8,0),MATCH($R118,Tables!$N$4:$Q$4,0))</f>
        <v>388</v>
      </c>
      <c r="T118" s="2" t="str">
        <f t="shared" si="33"/>
        <v>0184</v>
      </c>
      <c r="U118" s="2">
        <f t="shared" si="39"/>
        <v>97</v>
      </c>
      <c r="V118" s="2" t="str">
        <f t="shared" si="34"/>
        <v>061</v>
      </c>
      <c r="W118" s="2" t="str">
        <f t="shared" si="35"/>
        <v>X</v>
      </c>
      <c r="X118" s="2" t="str">
        <f t="shared" si="38"/>
        <v>X</v>
      </c>
      <c r="Y118" s="2" t="str">
        <f t="shared" si="36"/>
        <v>X</v>
      </c>
      <c r="Z118" s="2" t="str">
        <f t="shared" si="37"/>
        <v>X</v>
      </c>
      <c r="AA118" s="2" t="str">
        <f t="shared" si="40"/>
        <v>(31 downto 24)</v>
      </c>
      <c r="AB118" s="2" t="str">
        <f t="shared" si="41"/>
        <v>(23 downto 16)</v>
      </c>
      <c r="AC118" s="2" t="str">
        <f t="shared" si="42"/>
        <v>(15 downto 8)</v>
      </c>
      <c r="AD118" s="2" t="str">
        <f t="shared" si="43"/>
        <v>(7 downto 0)</v>
      </c>
      <c r="AE118" s="2" t="str">
        <f t="shared" si="44"/>
        <v>(31 downto 24)</v>
      </c>
      <c r="AF118" s="2" t="str">
        <f t="shared" si="45"/>
        <v>(23 downto 16)</v>
      </c>
      <c r="AG118" s="2" t="str">
        <f t="shared" si="46"/>
        <v>(15 downto 8)</v>
      </c>
      <c r="AH118" s="2" t="str">
        <f t="shared" si="47"/>
        <v>(7 downto 0)</v>
      </c>
    </row>
    <row r="119" spans="2:34" x14ac:dyDescent="0.25">
      <c r="B119" s="2" t="s">
        <v>442</v>
      </c>
      <c r="C119" s="2" t="s">
        <v>141</v>
      </c>
      <c r="D119" s="2" t="s">
        <v>0</v>
      </c>
      <c r="E119" s="2" t="s">
        <v>130</v>
      </c>
      <c r="F119" s="2" t="s">
        <v>443</v>
      </c>
      <c r="G119" s="2" t="s">
        <v>444</v>
      </c>
      <c r="H119" s="2" t="s">
        <v>142</v>
      </c>
      <c r="I119" s="2" t="s">
        <v>41</v>
      </c>
      <c r="J119" s="2">
        <v>32</v>
      </c>
      <c r="K119" s="2" t="s">
        <v>132</v>
      </c>
      <c r="L119" s="2" t="s">
        <v>40</v>
      </c>
      <c r="P119" s="2" t="s">
        <v>48</v>
      </c>
      <c r="Q119" s="2">
        <f>INDEX(Tables!$C$4:$C$28,MATCH($P119,Tables!$B$4:$B$28,0))</f>
        <v>32</v>
      </c>
      <c r="R119" s="2">
        <f>INDEX(Tables!$D$4:$D$28,MATCH($P119,Tables!$B$4:$B$28,0))</f>
        <v>4</v>
      </c>
      <c r="S119" s="2">
        <f>$S118+$R118+INDEX(Tables!$N$5:$Q$8,MATCH(MOD($S118+$R118,4),Tables!$M$5:$M$8,0),MATCH($R119,Tables!$N$4:$Q$4,0))</f>
        <v>392</v>
      </c>
      <c r="T119" s="2" t="str">
        <f t="shared" si="33"/>
        <v>0188</v>
      </c>
      <c r="U119" s="2">
        <f t="shared" si="39"/>
        <v>98</v>
      </c>
      <c r="V119" s="2" t="str">
        <f t="shared" si="34"/>
        <v>062</v>
      </c>
      <c r="W119" s="2" t="str">
        <f t="shared" si="35"/>
        <v>X</v>
      </c>
      <c r="X119" s="2" t="str">
        <f t="shared" si="38"/>
        <v>X</v>
      </c>
      <c r="Y119" s="2" t="str">
        <f t="shared" si="36"/>
        <v>X</v>
      </c>
      <c r="Z119" s="2" t="str">
        <f t="shared" si="37"/>
        <v>X</v>
      </c>
      <c r="AA119" s="2" t="str">
        <f t="shared" si="40"/>
        <v>(31 downto 24)</v>
      </c>
      <c r="AB119" s="2" t="str">
        <f t="shared" si="41"/>
        <v>(23 downto 16)</v>
      </c>
      <c r="AC119" s="2" t="str">
        <f t="shared" si="42"/>
        <v>(15 downto 8)</v>
      </c>
      <c r="AD119" s="2" t="str">
        <f t="shared" si="43"/>
        <v>(7 downto 0)</v>
      </c>
      <c r="AE119" s="2" t="str">
        <f t="shared" si="44"/>
        <v>(31 downto 24)</v>
      </c>
      <c r="AF119" s="2" t="str">
        <f t="shared" si="45"/>
        <v>(23 downto 16)</v>
      </c>
      <c r="AG119" s="2" t="str">
        <f t="shared" si="46"/>
        <v>(15 downto 8)</v>
      </c>
      <c r="AH119" s="2" t="str">
        <f t="shared" si="47"/>
        <v>(7 downto 0)</v>
      </c>
    </row>
    <row r="120" spans="2:34" x14ac:dyDescent="0.25">
      <c r="B120" s="2" t="s">
        <v>445</v>
      </c>
      <c r="C120" s="2" t="s">
        <v>141</v>
      </c>
      <c r="D120" s="2" t="s">
        <v>0</v>
      </c>
      <c r="E120" s="2" t="s">
        <v>130</v>
      </c>
      <c r="F120" s="2" t="s">
        <v>446</v>
      </c>
      <c r="G120" s="2" t="s">
        <v>447</v>
      </c>
      <c r="H120" s="2" t="s">
        <v>142</v>
      </c>
      <c r="I120" s="2" t="s">
        <v>41</v>
      </c>
      <c r="J120" s="2">
        <v>32</v>
      </c>
      <c r="K120" s="2" t="s">
        <v>132</v>
      </c>
      <c r="L120" s="2" t="s">
        <v>40</v>
      </c>
      <c r="P120" s="2" t="s">
        <v>48</v>
      </c>
      <c r="Q120" s="2">
        <f>INDEX(Tables!$C$4:$C$28,MATCH($P120,Tables!$B$4:$B$28,0))</f>
        <v>32</v>
      </c>
      <c r="R120" s="2">
        <f>INDEX(Tables!$D$4:$D$28,MATCH($P120,Tables!$B$4:$B$28,0))</f>
        <v>4</v>
      </c>
      <c r="S120" s="2">
        <f>$S119+$R119+INDEX(Tables!$N$5:$Q$8,MATCH(MOD($S119+$R119,4),Tables!$M$5:$M$8,0),MATCH($R120,Tables!$N$4:$Q$4,0))</f>
        <v>396</v>
      </c>
      <c r="T120" s="2" t="str">
        <f t="shared" si="33"/>
        <v>018C</v>
      </c>
      <c r="U120" s="2">
        <f t="shared" si="39"/>
        <v>99</v>
      </c>
      <c r="V120" s="2" t="str">
        <f t="shared" si="34"/>
        <v>063</v>
      </c>
      <c r="W120" s="2" t="str">
        <f t="shared" si="35"/>
        <v>X</v>
      </c>
      <c r="X120" s="2" t="str">
        <f t="shared" si="38"/>
        <v>X</v>
      </c>
      <c r="Y120" s="2" t="str">
        <f t="shared" si="36"/>
        <v>X</v>
      </c>
      <c r="Z120" s="2" t="str">
        <f t="shared" si="37"/>
        <v>X</v>
      </c>
      <c r="AA120" s="2" t="str">
        <f t="shared" si="40"/>
        <v>(31 downto 24)</v>
      </c>
      <c r="AB120" s="2" t="str">
        <f t="shared" si="41"/>
        <v>(23 downto 16)</v>
      </c>
      <c r="AC120" s="2" t="str">
        <f t="shared" si="42"/>
        <v>(15 downto 8)</v>
      </c>
      <c r="AD120" s="2" t="str">
        <f t="shared" si="43"/>
        <v>(7 downto 0)</v>
      </c>
      <c r="AE120" s="2" t="str">
        <f t="shared" si="44"/>
        <v>(31 downto 24)</v>
      </c>
      <c r="AF120" s="2" t="str">
        <f t="shared" si="45"/>
        <v>(23 downto 16)</v>
      </c>
      <c r="AG120" s="2" t="str">
        <f t="shared" si="46"/>
        <v>(15 downto 8)</v>
      </c>
      <c r="AH120" s="2" t="str">
        <f t="shared" si="47"/>
        <v>(7 downto 0)</v>
      </c>
    </row>
    <row r="121" spans="2:34" x14ac:dyDescent="0.25">
      <c r="B121" s="2" t="s">
        <v>448</v>
      </c>
      <c r="C121" s="2" t="s">
        <v>141</v>
      </c>
      <c r="D121" s="2" t="s">
        <v>0</v>
      </c>
      <c r="E121" s="2" t="s">
        <v>130</v>
      </c>
      <c r="F121" s="2" t="s">
        <v>449</v>
      </c>
      <c r="G121" s="2" t="s">
        <v>450</v>
      </c>
      <c r="H121" s="2" t="s">
        <v>142</v>
      </c>
      <c r="I121" s="2" t="s">
        <v>41</v>
      </c>
      <c r="J121" s="2">
        <v>32</v>
      </c>
      <c r="K121" s="2" t="s">
        <v>132</v>
      </c>
      <c r="L121" s="2" t="s">
        <v>40</v>
      </c>
      <c r="P121" s="2" t="s">
        <v>48</v>
      </c>
      <c r="Q121" s="2">
        <f>INDEX(Tables!$C$4:$C$28,MATCH($P121,Tables!$B$4:$B$28,0))</f>
        <v>32</v>
      </c>
      <c r="R121" s="2">
        <f>INDEX(Tables!$D$4:$D$28,MATCH($P121,Tables!$B$4:$B$28,0))</f>
        <v>4</v>
      </c>
      <c r="S121" s="2">
        <f>$S120+$R120+INDEX(Tables!$N$5:$Q$8,MATCH(MOD($S120+$R120,4),Tables!$M$5:$M$8,0),MATCH($R121,Tables!$N$4:$Q$4,0))</f>
        <v>400</v>
      </c>
      <c r="T121" s="2" t="str">
        <f t="shared" si="33"/>
        <v>0190</v>
      </c>
      <c r="U121" s="2">
        <f t="shared" si="39"/>
        <v>100</v>
      </c>
      <c r="V121" s="2" t="str">
        <f t="shared" si="34"/>
        <v>064</v>
      </c>
      <c r="W121" s="2" t="str">
        <f t="shared" si="35"/>
        <v>X</v>
      </c>
      <c r="X121" s="2" t="str">
        <f t="shared" si="38"/>
        <v>X</v>
      </c>
      <c r="Y121" s="2" t="str">
        <f t="shared" si="36"/>
        <v>X</v>
      </c>
      <c r="Z121" s="2" t="str">
        <f t="shared" si="37"/>
        <v>X</v>
      </c>
      <c r="AA121" s="2" t="str">
        <f t="shared" si="40"/>
        <v>(31 downto 24)</v>
      </c>
      <c r="AB121" s="2" t="str">
        <f t="shared" si="41"/>
        <v>(23 downto 16)</v>
      </c>
      <c r="AC121" s="2" t="str">
        <f t="shared" si="42"/>
        <v>(15 downto 8)</v>
      </c>
      <c r="AD121" s="2" t="str">
        <f t="shared" si="43"/>
        <v>(7 downto 0)</v>
      </c>
      <c r="AE121" s="2" t="str">
        <f t="shared" si="44"/>
        <v>(31 downto 24)</v>
      </c>
      <c r="AF121" s="2" t="str">
        <f t="shared" si="45"/>
        <v>(23 downto 16)</v>
      </c>
      <c r="AG121" s="2" t="str">
        <f t="shared" si="46"/>
        <v>(15 downto 8)</v>
      </c>
      <c r="AH121" s="2" t="str">
        <f t="shared" si="47"/>
        <v>(7 downto 0)</v>
      </c>
    </row>
    <row r="122" spans="2:34" x14ac:dyDescent="0.25">
      <c r="B122" s="2" t="s">
        <v>451</v>
      </c>
      <c r="C122" s="2" t="s">
        <v>141</v>
      </c>
      <c r="D122" s="2" t="s">
        <v>0</v>
      </c>
      <c r="E122" s="2" t="s">
        <v>130</v>
      </c>
      <c r="F122" s="2" t="s">
        <v>452</v>
      </c>
      <c r="G122" s="2" t="s">
        <v>453</v>
      </c>
      <c r="H122" s="2" t="s">
        <v>142</v>
      </c>
      <c r="I122" s="2" t="s">
        <v>41</v>
      </c>
      <c r="J122" s="2">
        <v>32</v>
      </c>
      <c r="K122" s="2" t="s">
        <v>132</v>
      </c>
      <c r="L122" s="2" t="s">
        <v>40</v>
      </c>
      <c r="P122" s="2" t="s">
        <v>48</v>
      </c>
      <c r="Q122" s="2">
        <f>INDEX(Tables!$C$4:$C$28,MATCH($P122,Tables!$B$4:$B$28,0))</f>
        <v>32</v>
      </c>
      <c r="R122" s="2">
        <f>INDEX(Tables!$D$4:$D$28,MATCH($P122,Tables!$B$4:$B$28,0))</f>
        <v>4</v>
      </c>
      <c r="S122" s="2">
        <f>$S121+$R121+INDEX(Tables!$N$5:$Q$8,MATCH(MOD($S121+$R121,4),Tables!$M$5:$M$8,0),MATCH($R122,Tables!$N$4:$Q$4,0))</f>
        <v>404</v>
      </c>
      <c r="T122" s="2" t="str">
        <f t="shared" si="33"/>
        <v>0194</v>
      </c>
      <c r="U122" s="2">
        <f t="shared" si="39"/>
        <v>101</v>
      </c>
      <c r="V122" s="2" t="str">
        <f t="shared" si="34"/>
        <v>065</v>
      </c>
      <c r="W122" s="2" t="str">
        <f t="shared" si="35"/>
        <v>X</v>
      </c>
      <c r="X122" s="2" t="str">
        <f t="shared" si="38"/>
        <v>X</v>
      </c>
      <c r="Y122" s="2" t="str">
        <f t="shared" si="36"/>
        <v>X</v>
      </c>
      <c r="Z122" s="2" t="str">
        <f t="shared" si="37"/>
        <v>X</v>
      </c>
      <c r="AA122" s="2" t="str">
        <f t="shared" si="40"/>
        <v>(31 downto 24)</v>
      </c>
      <c r="AB122" s="2" t="str">
        <f t="shared" si="41"/>
        <v>(23 downto 16)</v>
      </c>
      <c r="AC122" s="2" t="str">
        <f t="shared" si="42"/>
        <v>(15 downto 8)</v>
      </c>
      <c r="AD122" s="2" t="str">
        <f t="shared" si="43"/>
        <v>(7 downto 0)</v>
      </c>
      <c r="AE122" s="2" t="str">
        <f t="shared" si="44"/>
        <v>(31 downto 24)</v>
      </c>
      <c r="AF122" s="2" t="str">
        <f t="shared" si="45"/>
        <v>(23 downto 16)</v>
      </c>
      <c r="AG122" s="2" t="str">
        <f t="shared" si="46"/>
        <v>(15 downto 8)</v>
      </c>
      <c r="AH122" s="2" t="str">
        <f t="shared" si="47"/>
        <v>(7 downto 0)</v>
      </c>
    </row>
    <row r="123" spans="2:34" x14ac:dyDescent="0.25">
      <c r="B123" s="2" t="s">
        <v>454</v>
      </c>
      <c r="C123" s="2" t="s">
        <v>141</v>
      </c>
      <c r="D123" s="2" t="s">
        <v>0</v>
      </c>
      <c r="E123" s="2" t="s">
        <v>130</v>
      </c>
      <c r="F123" s="2" t="s">
        <v>455</v>
      </c>
      <c r="G123" s="2" t="s">
        <v>456</v>
      </c>
      <c r="H123" s="2" t="s">
        <v>142</v>
      </c>
      <c r="I123" s="2" t="s">
        <v>41</v>
      </c>
      <c r="J123" s="2">
        <v>32</v>
      </c>
      <c r="K123" s="2" t="s">
        <v>132</v>
      </c>
      <c r="L123" s="2" t="s">
        <v>40</v>
      </c>
      <c r="P123" s="2" t="s">
        <v>48</v>
      </c>
      <c r="Q123" s="2">
        <f>INDEX(Tables!$C$4:$C$28,MATCH($P123,Tables!$B$4:$B$28,0))</f>
        <v>32</v>
      </c>
      <c r="R123" s="2">
        <f>INDEX(Tables!$D$4:$D$28,MATCH($P123,Tables!$B$4:$B$28,0))</f>
        <v>4</v>
      </c>
      <c r="S123" s="2">
        <f>$S122+$R122+INDEX(Tables!$N$5:$Q$8,MATCH(MOD($S122+$R122,4),Tables!$M$5:$M$8,0),MATCH($R123,Tables!$N$4:$Q$4,0))</f>
        <v>408</v>
      </c>
      <c r="T123" s="2" t="str">
        <f t="shared" si="33"/>
        <v>0198</v>
      </c>
      <c r="U123" s="2">
        <f t="shared" si="39"/>
        <v>102</v>
      </c>
      <c r="V123" s="2" t="str">
        <f t="shared" si="34"/>
        <v>066</v>
      </c>
      <c r="W123" s="2" t="str">
        <f t="shared" si="35"/>
        <v>X</v>
      </c>
      <c r="X123" s="2" t="str">
        <f t="shared" si="38"/>
        <v>X</v>
      </c>
      <c r="Y123" s="2" t="str">
        <f t="shared" si="36"/>
        <v>X</v>
      </c>
      <c r="Z123" s="2" t="str">
        <f t="shared" si="37"/>
        <v>X</v>
      </c>
      <c r="AA123" s="2" t="str">
        <f t="shared" si="40"/>
        <v>(31 downto 24)</v>
      </c>
      <c r="AB123" s="2" t="str">
        <f t="shared" si="41"/>
        <v>(23 downto 16)</v>
      </c>
      <c r="AC123" s="2" t="str">
        <f t="shared" si="42"/>
        <v>(15 downto 8)</v>
      </c>
      <c r="AD123" s="2" t="str">
        <f t="shared" si="43"/>
        <v>(7 downto 0)</v>
      </c>
      <c r="AE123" s="2" t="str">
        <f t="shared" si="44"/>
        <v>(31 downto 24)</v>
      </c>
      <c r="AF123" s="2" t="str">
        <f t="shared" si="45"/>
        <v>(23 downto 16)</v>
      </c>
      <c r="AG123" s="2" t="str">
        <f t="shared" si="46"/>
        <v>(15 downto 8)</v>
      </c>
      <c r="AH123" s="2" t="str">
        <f t="shared" si="47"/>
        <v>(7 downto 0)</v>
      </c>
    </row>
    <row r="124" spans="2:34" x14ac:dyDescent="0.25">
      <c r="B124" s="2" t="s">
        <v>457</v>
      </c>
      <c r="C124" s="2" t="s">
        <v>141</v>
      </c>
      <c r="D124" s="2" t="s">
        <v>0</v>
      </c>
      <c r="E124" s="2" t="s">
        <v>130</v>
      </c>
      <c r="F124" s="2" t="s">
        <v>458</v>
      </c>
      <c r="G124" s="2" t="s">
        <v>459</v>
      </c>
      <c r="H124" s="2" t="s">
        <v>142</v>
      </c>
      <c r="I124" s="2" t="s">
        <v>41</v>
      </c>
      <c r="J124" s="2">
        <v>32</v>
      </c>
      <c r="K124" s="2" t="s">
        <v>132</v>
      </c>
      <c r="L124" s="2" t="s">
        <v>40</v>
      </c>
      <c r="P124" s="2" t="s">
        <v>48</v>
      </c>
      <c r="Q124" s="2">
        <f>INDEX(Tables!$C$4:$C$28,MATCH($P124,Tables!$B$4:$B$28,0))</f>
        <v>32</v>
      </c>
      <c r="R124" s="2">
        <f>INDEX(Tables!$D$4:$D$28,MATCH($P124,Tables!$B$4:$B$28,0))</f>
        <v>4</v>
      </c>
      <c r="S124" s="2">
        <f>$S123+$R123+INDEX(Tables!$N$5:$Q$8,MATCH(MOD($S123+$R123,4),Tables!$M$5:$M$8,0),MATCH($R124,Tables!$N$4:$Q$4,0))</f>
        <v>412</v>
      </c>
      <c r="T124" s="2" t="str">
        <f t="shared" si="33"/>
        <v>019C</v>
      </c>
      <c r="U124" s="2">
        <f t="shared" si="39"/>
        <v>103</v>
      </c>
      <c r="V124" s="2" t="str">
        <f t="shared" si="34"/>
        <v>067</v>
      </c>
      <c r="W124" s="2" t="str">
        <f t="shared" si="35"/>
        <v>X</v>
      </c>
      <c r="X124" s="2" t="str">
        <f t="shared" si="38"/>
        <v>X</v>
      </c>
      <c r="Y124" s="2" t="str">
        <f t="shared" si="36"/>
        <v>X</v>
      </c>
      <c r="Z124" s="2" t="str">
        <f t="shared" si="37"/>
        <v>X</v>
      </c>
      <c r="AA124" s="2" t="str">
        <f t="shared" si="40"/>
        <v>(31 downto 24)</v>
      </c>
      <c r="AB124" s="2" t="str">
        <f t="shared" si="41"/>
        <v>(23 downto 16)</v>
      </c>
      <c r="AC124" s="2" t="str">
        <f t="shared" si="42"/>
        <v>(15 downto 8)</v>
      </c>
      <c r="AD124" s="2" t="str">
        <f t="shared" si="43"/>
        <v>(7 downto 0)</v>
      </c>
      <c r="AE124" s="2" t="str">
        <f t="shared" si="44"/>
        <v>(31 downto 24)</v>
      </c>
      <c r="AF124" s="2" t="str">
        <f t="shared" si="45"/>
        <v>(23 downto 16)</v>
      </c>
      <c r="AG124" s="2" t="str">
        <f t="shared" si="46"/>
        <v>(15 downto 8)</v>
      </c>
      <c r="AH124" s="2" t="str">
        <f t="shared" si="47"/>
        <v>(7 downto 0)</v>
      </c>
    </row>
    <row r="125" spans="2:34" x14ac:dyDescent="0.25">
      <c r="B125" s="2" t="s">
        <v>460</v>
      </c>
      <c r="C125" s="2" t="s">
        <v>141</v>
      </c>
      <c r="D125" s="2" t="s">
        <v>0</v>
      </c>
      <c r="E125" s="2" t="s">
        <v>130</v>
      </c>
      <c r="F125" s="2" t="s">
        <v>461</v>
      </c>
      <c r="G125" s="2" t="s">
        <v>462</v>
      </c>
      <c r="H125" s="2" t="s">
        <v>142</v>
      </c>
      <c r="I125" s="2" t="s">
        <v>41</v>
      </c>
      <c r="J125" s="2">
        <v>32</v>
      </c>
      <c r="K125" s="2" t="s">
        <v>132</v>
      </c>
      <c r="L125" s="2" t="s">
        <v>40</v>
      </c>
      <c r="P125" s="2" t="s">
        <v>48</v>
      </c>
      <c r="Q125" s="2">
        <f>INDEX(Tables!$C$4:$C$28,MATCH($P125,Tables!$B$4:$B$28,0))</f>
        <v>32</v>
      </c>
      <c r="R125" s="2">
        <f>INDEX(Tables!$D$4:$D$28,MATCH($P125,Tables!$B$4:$B$28,0))</f>
        <v>4</v>
      </c>
      <c r="S125" s="2">
        <f>$S124+$R124+INDEX(Tables!$N$5:$Q$8,MATCH(MOD($S124+$R124,4),Tables!$M$5:$M$8,0),MATCH($R125,Tables!$N$4:$Q$4,0))</f>
        <v>416</v>
      </c>
      <c r="T125" s="2" t="str">
        <f t="shared" si="33"/>
        <v>01A0</v>
      </c>
      <c r="U125" s="2">
        <f t="shared" si="39"/>
        <v>104</v>
      </c>
      <c r="V125" s="2" t="str">
        <f t="shared" si="34"/>
        <v>068</v>
      </c>
      <c r="W125" s="2" t="str">
        <f t="shared" si="35"/>
        <v>X</v>
      </c>
      <c r="X125" s="2" t="str">
        <f t="shared" si="38"/>
        <v>X</v>
      </c>
      <c r="Y125" s="2" t="str">
        <f t="shared" si="36"/>
        <v>X</v>
      </c>
      <c r="Z125" s="2" t="str">
        <f t="shared" si="37"/>
        <v>X</v>
      </c>
      <c r="AA125" s="2" t="str">
        <f t="shared" si="40"/>
        <v>(31 downto 24)</v>
      </c>
      <c r="AB125" s="2" t="str">
        <f t="shared" si="41"/>
        <v>(23 downto 16)</v>
      </c>
      <c r="AC125" s="2" t="str">
        <f t="shared" si="42"/>
        <v>(15 downto 8)</v>
      </c>
      <c r="AD125" s="2" t="str">
        <f t="shared" si="43"/>
        <v>(7 downto 0)</v>
      </c>
      <c r="AE125" s="2" t="str">
        <f t="shared" si="44"/>
        <v>(31 downto 24)</v>
      </c>
      <c r="AF125" s="2" t="str">
        <f t="shared" si="45"/>
        <v>(23 downto 16)</v>
      </c>
      <c r="AG125" s="2" t="str">
        <f t="shared" si="46"/>
        <v>(15 downto 8)</v>
      </c>
      <c r="AH125" s="2" t="str">
        <f t="shared" si="47"/>
        <v>(7 downto 0)</v>
      </c>
    </row>
    <row r="126" spans="2:34" x14ac:dyDescent="0.25">
      <c r="B126" s="2" t="s">
        <v>463</v>
      </c>
      <c r="C126" s="2" t="s">
        <v>141</v>
      </c>
      <c r="D126" s="2" t="s">
        <v>0</v>
      </c>
      <c r="E126" s="2" t="s">
        <v>130</v>
      </c>
      <c r="F126" s="2" t="s">
        <v>464</v>
      </c>
      <c r="G126" s="2" t="s">
        <v>465</v>
      </c>
      <c r="H126" s="2" t="s">
        <v>142</v>
      </c>
      <c r="I126" s="2" t="s">
        <v>41</v>
      </c>
      <c r="J126" s="2">
        <v>32</v>
      </c>
      <c r="K126" s="2" t="s">
        <v>132</v>
      </c>
      <c r="L126" s="2" t="s">
        <v>40</v>
      </c>
      <c r="P126" s="2" t="s">
        <v>48</v>
      </c>
      <c r="Q126" s="2">
        <f>INDEX(Tables!$C$4:$C$28,MATCH($P126,Tables!$B$4:$B$28,0))</f>
        <v>32</v>
      </c>
      <c r="R126" s="2">
        <f>INDEX(Tables!$D$4:$D$28,MATCH($P126,Tables!$B$4:$B$28,0))</f>
        <v>4</v>
      </c>
      <c r="S126" s="2">
        <f>$S125+$R125+INDEX(Tables!$N$5:$Q$8,MATCH(MOD($S125+$R125,4),Tables!$M$5:$M$8,0),MATCH($R126,Tables!$N$4:$Q$4,0))</f>
        <v>420</v>
      </c>
      <c r="T126" s="2" t="str">
        <f t="shared" si="33"/>
        <v>01A4</v>
      </c>
      <c r="U126" s="2">
        <f t="shared" si="39"/>
        <v>105</v>
      </c>
      <c r="V126" s="2" t="str">
        <f t="shared" si="34"/>
        <v>069</v>
      </c>
      <c r="W126" s="2" t="str">
        <f t="shared" si="35"/>
        <v>X</v>
      </c>
      <c r="X126" s="2" t="str">
        <f t="shared" si="38"/>
        <v>X</v>
      </c>
      <c r="Y126" s="2" t="str">
        <f t="shared" si="36"/>
        <v>X</v>
      </c>
      <c r="Z126" s="2" t="str">
        <f t="shared" si="37"/>
        <v>X</v>
      </c>
      <c r="AA126" s="2" t="str">
        <f t="shared" si="40"/>
        <v>(31 downto 24)</v>
      </c>
      <c r="AB126" s="2" t="str">
        <f t="shared" si="41"/>
        <v>(23 downto 16)</v>
      </c>
      <c r="AC126" s="2" t="str">
        <f t="shared" si="42"/>
        <v>(15 downto 8)</v>
      </c>
      <c r="AD126" s="2" t="str">
        <f t="shared" si="43"/>
        <v>(7 downto 0)</v>
      </c>
      <c r="AE126" s="2" t="str">
        <f t="shared" si="44"/>
        <v>(31 downto 24)</v>
      </c>
      <c r="AF126" s="2" t="str">
        <f t="shared" si="45"/>
        <v>(23 downto 16)</v>
      </c>
      <c r="AG126" s="2" t="str">
        <f t="shared" si="46"/>
        <v>(15 downto 8)</v>
      </c>
      <c r="AH126" s="2" t="str">
        <f t="shared" si="47"/>
        <v>(7 downto 0)</v>
      </c>
    </row>
    <row r="127" spans="2:34" x14ac:dyDescent="0.25">
      <c r="B127" s="2" t="s">
        <v>466</v>
      </c>
      <c r="C127" s="2" t="s">
        <v>141</v>
      </c>
      <c r="D127" s="2" t="s">
        <v>0</v>
      </c>
      <c r="E127" s="2" t="s">
        <v>130</v>
      </c>
      <c r="F127" s="2" t="s">
        <v>467</v>
      </c>
      <c r="G127" s="2" t="s">
        <v>468</v>
      </c>
      <c r="H127" s="2" t="s">
        <v>142</v>
      </c>
      <c r="I127" s="2" t="s">
        <v>41</v>
      </c>
      <c r="J127" s="2">
        <v>32</v>
      </c>
      <c r="K127" s="2" t="s">
        <v>132</v>
      </c>
      <c r="L127" s="2" t="s">
        <v>40</v>
      </c>
      <c r="P127" s="2" t="s">
        <v>48</v>
      </c>
      <c r="Q127" s="2">
        <f>INDEX(Tables!$C$4:$C$28,MATCH($P127,Tables!$B$4:$B$28,0))</f>
        <v>32</v>
      </c>
      <c r="R127" s="2">
        <f>INDEX(Tables!$D$4:$D$28,MATCH($P127,Tables!$B$4:$B$28,0))</f>
        <v>4</v>
      </c>
      <c r="S127" s="2">
        <f>$S126+$R126+INDEX(Tables!$N$5:$Q$8,MATCH(MOD($S126+$R126,4),Tables!$M$5:$M$8,0),MATCH($R127,Tables!$N$4:$Q$4,0))</f>
        <v>424</v>
      </c>
      <c r="T127" s="2" t="str">
        <f t="shared" si="33"/>
        <v>01A8</v>
      </c>
      <c r="U127" s="2">
        <f t="shared" si="39"/>
        <v>106</v>
      </c>
      <c r="V127" s="2" t="str">
        <f t="shared" si="34"/>
        <v>06A</v>
      </c>
      <c r="W127" s="2" t="str">
        <f t="shared" si="35"/>
        <v>X</v>
      </c>
      <c r="X127" s="2" t="str">
        <f t="shared" si="38"/>
        <v>X</v>
      </c>
      <c r="Y127" s="2" t="str">
        <f t="shared" si="36"/>
        <v>X</v>
      </c>
      <c r="Z127" s="2" t="str">
        <f t="shared" si="37"/>
        <v>X</v>
      </c>
      <c r="AA127" s="2" t="str">
        <f t="shared" si="40"/>
        <v>(31 downto 24)</v>
      </c>
      <c r="AB127" s="2" t="str">
        <f t="shared" si="41"/>
        <v>(23 downto 16)</v>
      </c>
      <c r="AC127" s="2" t="str">
        <f t="shared" si="42"/>
        <v>(15 downto 8)</v>
      </c>
      <c r="AD127" s="2" t="str">
        <f t="shared" si="43"/>
        <v>(7 downto 0)</v>
      </c>
      <c r="AE127" s="2" t="str">
        <f t="shared" si="44"/>
        <v>(31 downto 24)</v>
      </c>
      <c r="AF127" s="2" t="str">
        <f t="shared" si="45"/>
        <v>(23 downto 16)</v>
      </c>
      <c r="AG127" s="2" t="str">
        <f t="shared" si="46"/>
        <v>(15 downto 8)</v>
      </c>
      <c r="AH127" s="2" t="str">
        <f t="shared" si="47"/>
        <v>(7 downto 0)</v>
      </c>
    </row>
    <row r="128" spans="2:34" x14ac:dyDescent="0.25">
      <c r="B128" s="2" t="s">
        <v>469</v>
      </c>
      <c r="C128" s="2" t="s">
        <v>141</v>
      </c>
      <c r="D128" s="2" t="s">
        <v>0</v>
      </c>
      <c r="E128" s="2" t="s">
        <v>130</v>
      </c>
      <c r="F128" s="2" t="s">
        <v>470</v>
      </c>
      <c r="G128" s="2" t="s">
        <v>471</v>
      </c>
      <c r="H128" s="2" t="s">
        <v>142</v>
      </c>
      <c r="I128" s="2" t="s">
        <v>41</v>
      </c>
      <c r="J128" s="2">
        <v>32</v>
      </c>
      <c r="K128" s="2" t="s">
        <v>132</v>
      </c>
      <c r="L128" s="2" t="s">
        <v>40</v>
      </c>
      <c r="P128" s="2" t="s">
        <v>48</v>
      </c>
      <c r="Q128" s="2">
        <f>INDEX(Tables!$C$4:$C$28,MATCH($P128,Tables!$B$4:$B$28,0))</f>
        <v>32</v>
      </c>
      <c r="R128" s="2">
        <f>INDEX(Tables!$D$4:$D$28,MATCH($P128,Tables!$B$4:$B$28,0))</f>
        <v>4</v>
      </c>
      <c r="S128" s="2">
        <f>$S127+$R127+INDEX(Tables!$N$5:$Q$8,MATCH(MOD($S127+$R127,4),Tables!$M$5:$M$8,0),MATCH($R128,Tables!$N$4:$Q$4,0))</f>
        <v>428</v>
      </c>
      <c r="T128" s="2" t="str">
        <f t="shared" si="33"/>
        <v>01AC</v>
      </c>
      <c r="U128" s="2">
        <f t="shared" si="39"/>
        <v>107</v>
      </c>
      <c r="V128" s="2" t="str">
        <f t="shared" si="34"/>
        <v>06B</v>
      </c>
      <c r="W128" s="2" t="str">
        <f t="shared" si="35"/>
        <v>X</v>
      </c>
      <c r="X128" s="2" t="str">
        <f t="shared" si="38"/>
        <v>X</v>
      </c>
      <c r="Y128" s="2" t="str">
        <f t="shared" si="36"/>
        <v>X</v>
      </c>
      <c r="Z128" s="2" t="str">
        <f t="shared" si="37"/>
        <v>X</v>
      </c>
      <c r="AA128" s="2" t="str">
        <f t="shared" si="40"/>
        <v>(31 downto 24)</v>
      </c>
      <c r="AB128" s="2" t="str">
        <f t="shared" si="41"/>
        <v>(23 downto 16)</v>
      </c>
      <c r="AC128" s="2" t="str">
        <f t="shared" si="42"/>
        <v>(15 downto 8)</v>
      </c>
      <c r="AD128" s="2" t="str">
        <f t="shared" si="43"/>
        <v>(7 downto 0)</v>
      </c>
      <c r="AE128" s="2" t="str">
        <f t="shared" si="44"/>
        <v>(31 downto 24)</v>
      </c>
      <c r="AF128" s="2" t="str">
        <f t="shared" si="45"/>
        <v>(23 downto 16)</v>
      </c>
      <c r="AG128" s="2" t="str">
        <f t="shared" si="46"/>
        <v>(15 downto 8)</v>
      </c>
      <c r="AH128" s="2" t="str">
        <f t="shared" si="47"/>
        <v>(7 downto 0)</v>
      </c>
    </row>
    <row r="129" spans="2:34" x14ac:dyDescent="0.25">
      <c r="B129" s="2" t="s">
        <v>472</v>
      </c>
      <c r="C129" s="2" t="s">
        <v>141</v>
      </c>
      <c r="D129" s="2" t="s">
        <v>0</v>
      </c>
      <c r="E129" s="2" t="s">
        <v>130</v>
      </c>
      <c r="F129" s="2" t="s">
        <v>473</v>
      </c>
      <c r="G129" s="2" t="s">
        <v>474</v>
      </c>
      <c r="H129" s="2" t="s">
        <v>142</v>
      </c>
      <c r="I129" s="2" t="s">
        <v>41</v>
      </c>
      <c r="J129" s="2">
        <v>32</v>
      </c>
      <c r="K129" s="2" t="s">
        <v>132</v>
      </c>
      <c r="L129" s="2" t="s">
        <v>40</v>
      </c>
      <c r="P129" s="2" t="s">
        <v>48</v>
      </c>
      <c r="Q129" s="2">
        <f>INDEX(Tables!$C$4:$C$28,MATCH($P129,Tables!$B$4:$B$28,0))</f>
        <v>32</v>
      </c>
      <c r="R129" s="2">
        <f>INDEX(Tables!$D$4:$D$28,MATCH($P129,Tables!$B$4:$B$28,0))</f>
        <v>4</v>
      </c>
      <c r="S129" s="2">
        <f>$S128+$R128+INDEX(Tables!$N$5:$Q$8,MATCH(MOD($S128+$R128,4),Tables!$M$5:$M$8,0),MATCH($R129,Tables!$N$4:$Q$4,0))</f>
        <v>432</v>
      </c>
      <c r="T129" s="2" t="str">
        <f t="shared" si="33"/>
        <v>01B0</v>
      </c>
      <c r="U129" s="2">
        <f t="shared" si="39"/>
        <v>108</v>
      </c>
      <c r="V129" s="2" t="str">
        <f t="shared" si="34"/>
        <v>06C</v>
      </c>
      <c r="W129" s="2" t="str">
        <f t="shared" si="35"/>
        <v>X</v>
      </c>
      <c r="X129" s="2" t="str">
        <f t="shared" si="38"/>
        <v>X</v>
      </c>
      <c r="Y129" s="2" t="str">
        <f t="shared" si="36"/>
        <v>X</v>
      </c>
      <c r="Z129" s="2" t="str">
        <f t="shared" si="37"/>
        <v>X</v>
      </c>
      <c r="AA129" s="2" t="str">
        <f t="shared" si="40"/>
        <v>(31 downto 24)</v>
      </c>
      <c r="AB129" s="2" t="str">
        <f t="shared" si="41"/>
        <v>(23 downto 16)</v>
      </c>
      <c r="AC129" s="2" t="str">
        <f t="shared" si="42"/>
        <v>(15 downto 8)</v>
      </c>
      <c r="AD129" s="2" t="str">
        <f t="shared" si="43"/>
        <v>(7 downto 0)</v>
      </c>
      <c r="AE129" s="2" t="str">
        <f t="shared" si="44"/>
        <v>(31 downto 24)</v>
      </c>
      <c r="AF129" s="2" t="str">
        <f t="shared" si="45"/>
        <v>(23 downto 16)</v>
      </c>
      <c r="AG129" s="2" t="str">
        <f t="shared" si="46"/>
        <v>(15 downto 8)</v>
      </c>
      <c r="AH129" s="2" t="str">
        <f t="shared" si="47"/>
        <v>(7 downto 0)</v>
      </c>
    </row>
    <row r="130" spans="2:34" x14ac:dyDescent="0.25">
      <c r="B130" s="2" t="s">
        <v>475</v>
      </c>
      <c r="C130" s="2" t="s">
        <v>157</v>
      </c>
      <c r="D130" s="2" t="s">
        <v>0</v>
      </c>
      <c r="E130" s="2" t="s">
        <v>130</v>
      </c>
      <c r="F130" s="2" t="s">
        <v>476</v>
      </c>
      <c r="G130" s="2" t="s">
        <v>477</v>
      </c>
      <c r="H130" s="2" t="s">
        <v>160</v>
      </c>
      <c r="I130" s="2" t="s">
        <v>41</v>
      </c>
      <c r="J130" s="2">
        <v>1</v>
      </c>
      <c r="K130" s="2" t="s">
        <v>81</v>
      </c>
      <c r="L130" s="2" t="s">
        <v>40</v>
      </c>
      <c r="P130" s="2" t="s">
        <v>4</v>
      </c>
      <c r="Q130" s="2">
        <f>INDEX(Tables!$C$4:$C$28,MATCH($P130,Tables!$B$4:$B$28,0))</f>
        <v>32</v>
      </c>
      <c r="R130" s="2">
        <f>INDEX(Tables!$D$4:$D$28,MATCH($P130,Tables!$B$4:$B$28,0))</f>
        <v>4</v>
      </c>
      <c r="S130" s="2">
        <f>$S129+$R129+INDEX(Tables!$N$5:$Q$8,MATCH(MOD($S129+$R129,4),Tables!$M$5:$M$8,0),MATCH($R130,Tables!$N$4:$Q$4,0))</f>
        <v>436</v>
      </c>
      <c r="T130" s="2" t="str">
        <f t="shared" si="33"/>
        <v>01B4</v>
      </c>
      <c r="U130" s="2">
        <f t="shared" si="39"/>
        <v>109</v>
      </c>
      <c r="V130" s="2" t="str">
        <f t="shared" si="34"/>
        <v>06D</v>
      </c>
      <c r="W130" s="2" t="str">
        <f t="shared" si="35"/>
        <v/>
      </c>
      <c r="X130" s="2" t="str">
        <f t="shared" si="38"/>
        <v/>
      </c>
      <c r="Y130" s="2" t="str">
        <f t="shared" si="36"/>
        <v/>
      </c>
      <c r="Z130" s="2" t="str">
        <f t="shared" si="37"/>
        <v>X</v>
      </c>
      <c r="AA130" s="2" t="str">
        <f t="shared" si="40"/>
        <v/>
      </c>
      <c r="AB130" s="2" t="str">
        <f t="shared" si="41"/>
        <v/>
      </c>
      <c r="AC130" s="2" t="str">
        <f t="shared" si="42"/>
        <v/>
      </c>
      <c r="AD130" s="2" t="str">
        <f t="shared" si="43"/>
        <v>(0)</v>
      </c>
      <c r="AE130" s="2" t="str">
        <f t="shared" si="44"/>
        <v/>
      </c>
      <c r="AF130" s="2" t="str">
        <f t="shared" si="45"/>
        <v/>
      </c>
      <c r="AG130" s="2" t="str">
        <f t="shared" si="46"/>
        <v/>
      </c>
      <c r="AH130" s="2" t="str">
        <f t="shared" si="47"/>
        <v/>
      </c>
    </row>
    <row r="131" spans="2:34" x14ac:dyDescent="0.25">
      <c r="B131" s="2" t="s">
        <v>475</v>
      </c>
      <c r="C131" s="2" t="s">
        <v>478</v>
      </c>
      <c r="D131" s="2" t="s">
        <v>0</v>
      </c>
      <c r="E131" s="2" t="s">
        <v>130</v>
      </c>
      <c r="F131" s="2" t="s">
        <v>476</v>
      </c>
      <c r="G131" s="2" t="s">
        <v>477</v>
      </c>
      <c r="H131" s="2" t="s">
        <v>479</v>
      </c>
      <c r="I131" s="2" t="s">
        <v>41</v>
      </c>
      <c r="J131" s="2">
        <v>1</v>
      </c>
      <c r="K131" s="2" t="s">
        <v>131</v>
      </c>
      <c r="L131" s="2" t="s">
        <v>40</v>
      </c>
      <c r="P131" s="2" t="s">
        <v>4</v>
      </c>
      <c r="Q131" s="2">
        <f>INDEX(Tables!$C$4:$C$28,MATCH($P131,Tables!$B$4:$B$28,0))</f>
        <v>32</v>
      </c>
      <c r="R131" s="2">
        <f>INDEX(Tables!$D$4:$D$28,MATCH($P131,Tables!$B$4:$B$28,0))</f>
        <v>4</v>
      </c>
      <c r="S131" s="2">
        <f>$S130+$R130+INDEX(Tables!$N$5:$Q$8,MATCH(MOD($S130+$R130,4),Tables!$M$5:$M$8,0),MATCH($R131,Tables!$N$4:$Q$4,0))</f>
        <v>440</v>
      </c>
      <c r="T131" s="2" t="str">
        <f t="shared" si="33"/>
        <v>01B8</v>
      </c>
      <c r="U131" s="2">
        <f t="shared" si="39"/>
        <v>110</v>
      </c>
      <c r="V131" s="2" t="str">
        <f t="shared" si="34"/>
        <v>06E</v>
      </c>
      <c r="W131" s="2" t="str">
        <f t="shared" si="35"/>
        <v/>
      </c>
      <c r="X131" s="2" t="str">
        <f t="shared" si="38"/>
        <v/>
      </c>
      <c r="Y131" s="2" t="str">
        <f t="shared" si="36"/>
        <v/>
      </c>
      <c r="Z131" s="2" t="str">
        <f t="shared" si="37"/>
        <v>X</v>
      </c>
      <c r="AA131" s="2" t="str">
        <f t="shared" si="40"/>
        <v/>
      </c>
      <c r="AB131" s="2" t="str">
        <f t="shared" si="41"/>
        <v/>
      </c>
      <c r="AC131" s="2" t="str">
        <f t="shared" si="42"/>
        <v/>
      </c>
      <c r="AD131" s="2" t="str">
        <f t="shared" si="43"/>
        <v>(0)</v>
      </c>
      <c r="AE131" s="2" t="str">
        <f t="shared" si="44"/>
        <v/>
      </c>
      <c r="AF131" s="2" t="str">
        <f t="shared" si="45"/>
        <v/>
      </c>
      <c r="AG131" s="2" t="str">
        <f t="shared" si="46"/>
        <v/>
      </c>
      <c r="AH131" s="2" t="str">
        <f t="shared" si="47"/>
        <v/>
      </c>
    </row>
    <row r="132" spans="2:34" x14ac:dyDescent="0.25">
      <c r="B132" s="2" t="s">
        <v>475</v>
      </c>
      <c r="C132" s="2" t="s">
        <v>480</v>
      </c>
      <c r="D132" s="2" t="s">
        <v>0</v>
      </c>
      <c r="E132" s="2" t="s">
        <v>130</v>
      </c>
      <c r="F132" s="2" t="s">
        <v>476</v>
      </c>
      <c r="G132" s="2" t="s">
        <v>477</v>
      </c>
      <c r="H132" s="2" t="s">
        <v>481</v>
      </c>
      <c r="I132" s="2" t="s">
        <v>41</v>
      </c>
      <c r="J132" s="2">
        <v>1</v>
      </c>
      <c r="K132" s="2" t="s">
        <v>81</v>
      </c>
      <c r="L132" s="2" t="s">
        <v>40</v>
      </c>
      <c r="P132" s="2" t="s">
        <v>4</v>
      </c>
      <c r="Q132" s="2">
        <f>INDEX(Tables!$C$4:$C$28,MATCH($P132,Tables!$B$4:$B$28,0))</f>
        <v>32</v>
      </c>
      <c r="R132" s="2">
        <f>INDEX(Tables!$D$4:$D$28,MATCH($P132,Tables!$B$4:$B$28,0))</f>
        <v>4</v>
      </c>
      <c r="S132" s="2">
        <f>$S131+$R131+INDEX(Tables!$N$5:$Q$8,MATCH(MOD($S131+$R131,4),Tables!$M$5:$M$8,0),MATCH($R132,Tables!$N$4:$Q$4,0))</f>
        <v>444</v>
      </c>
      <c r="T132" s="2" t="str">
        <f t="shared" si="33"/>
        <v>01BC</v>
      </c>
      <c r="U132" s="2">
        <f t="shared" si="39"/>
        <v>111</v>
      </c>
      <c r="V132" s="2" t="str">
        <f t="shared" si="34"/>
        <v>06F</v>
      </c>
      <c r="W132" s="2" t="str">
        <f t="shared" si="35"/>
        <v/>
      </c>
      <c r="X132" s="2" t="str">
        <f t="shared" si="38"/>
        <v/>
      </c>
      <c r="Y132" s="2" t="str">
        <f t="shared" si="36"/>
        <v/>
      </c>
      <c r="Z132" s="2" t="str">
        <f t="shared" si="37"/>
        <v>X</v>
      </c>
      <c r="AA132" s="2" t="str">
        <f t="shared" si="40"/>
        <v/>
      </c>
      <c r="AB132" s="2" t="str">
        <f t="shared" si="41"/>
        <v/>
      </c>
      <c r="AC132" s="2" t="str">
        <f t="shared" si="42"/>
        <v/>
      </c>
      <c r="AD132" s="2" t="str">
        <f t="shared" si="43"/>
        <v>(0)</v>
      </c>
      <c r="AE132" s="2" t="str">
        <f t="shared" si="44"/>
        <v/>
      </c>
      <c r="AF132" s="2" t="str">
        <f t="shared" si="45"/>
        <v/>
      </c>
      <c r="AG132" s="2" t="str">
        <f t="shared" si="46"/>
        <v/>
      </c>
      <c r="AH132" s="2" t="str">
        <f t="shared" si="47"/>
        <v/>
      </c>
    </row>
    <row r="133" spans="2:34" x14ac:dyDescent="0.25">
      <c r="B133" s="2" t="s">
        <v>475</v>
      </c>
      <c r="C133" s="2" t="s">
        <v>482</v>
      </c>
      <c r="D133" s="2" t="s">
        <v>0</v>
      </c>
      <c r="E133" s="2" t="s">
        <v>130</v>
      </c>
      <c r="F133" s="2" t="s">
        <v>476</v>
      </c>
      <c r="G133" s="2" t="s">
        <v>477</v>
      </c>
      <c r="H133" s="2" t="s">
        <v>483</v>
      </c>
      <c r="I133" s="2" t="s">
        <v>41</v>
      </c>
      <c r="J133" s="2">
        <v>1</v>
      </c>
      <c r="K133" s="2" t="s">
        <v>131</v>
      </c>
      <c r="L133" s="2" t="s">
        <v>40</v>
      </c>
      <c r="P133" s="2" t="s">
        <v>4</v>
      </c>
      <c r="Q133" s="2">
        <f>INDEX(Tables!$C$4:$C$28,MATCH($P133,Tables!$B$4:$B$28,0))</f>
        <v>32</v>
      </c>
      <c r="R133" s="2">
        <f>INDEX(Tables!$D$4:$D$28,MATCH($P133,Tables!$B$4:$B$28,0))</f>
        <v>4</v>
      </c>
      <c r="S133" s="2">
        <f>$S132+$R132+INDEX(Tables!$N$5:$Q$8,MATCH(MOD($S132+$R132,4),Tables!$M$5:$M$8,0),MATCH($R133,Tables!$N$4:$Q$4,0))</f>
        <v>448</v>
      </c>
      <c r="T133" s="2" t="str">
        <f t="shared" ref="T133:T196" si="48">DEC2HEX($S133,4)</f>
        <v>01C0</v>
      </c>
      <c r="U133" s="2">
        <f t="shared" si="39"/>
        <v>112</v>
      </c>
      <c r="V133" s="2" t="str">
        <f t="shared" ref="V133:V196" si="49">DEC2HEX($U133,3)</f>
        <v>070</v>
      </c>
      <c r="W133" s="2" t="str">
        <f t="shared" ref="W133:W196" si="50">IF(MOD($S133,4)=3,"X",IF(AND(MOD($S133,4)=2,$J133&gt;8),"X",IF(AND(MOD($S133,4)=1,$J133&gt;16),"X",IF(AND(MOD($S133,4)=0,$J133&gt;24),"X",""))))</f>
        <v/>
      </c>
      <c r="X133" s="2" t="str">
        <f t="shared" si="38"/>
        <v/>
      </c>
      <c r="Y133" s="2" t="str">
        <f t="shared" ref="Y133:Y196" si="51">IF(MOD($S133,4)=1,"X",IF(AND(MOD($S133,4)=0,$J133&gt;8),"X",""))</f>
        <v/>
      </c>
      <c r="Z133" s="2" t="str">
        <f t="shared" ref="Z133:Z196" si="52">IF(MOD($S133,4)=0,"X","")</f>
        <v>X</v>
      </c>
      <c r="AA133" s="2" t="str">
        <f t="shared" si="40"/>
        <v/>
      </c>
      <c r="AB133" s="2" t="str">
        <f t="shared" si="41"/>
        <v/>
      </c>
      <c r="AC133" s="2" t="str">
        <f t="shared" si="42"/>
        <v/>
      </c>
      <c r="AD133" s="2" t="str">
        <f t="shared" si="43"/>
        <v>(0)</v>
      </c>
      <c r="AE133" s="2" t="str">
        <f t="shared" si="44"/>
        <v/>
      </c>
      <c r="AF133" s="2" t="str">
        <f t="shared" si="45"/>
        <v/>
      </c>
      <c r="AG133" s="2" t="str">
        <f t="shared" si="46"/>
        <v/>
      </c>
      <c r="AH133" s="2" t="str">
        <f t="shared" si="47"/>
        <v/>
      </c>
    </row>
    <row r="134" spans="2:34" x14ac:dyDescent="0.25">
      <c r="B134" s="2" t="s">
        <v>475</v>
      </c>
      <c r="C134" s="2" t="s">
        <v>484</v>
      </c>
      <c r="D134" s="2" t="s">
        <v>0</v>
      </c>
      <c r="E134" s="2" t="s">
        <v>130</v>
      </c>
      <c r="F134" s="2" t="s">
        <v>476</v>
      </c>
      <c r="G134" s="2" t="s">
        <v>477</v>
      </c>
      <c r="H134" s="2" t="s">
        <v>485</v>
      </c>
      <c r="I134" s="2" t="s">
        <v>41</v>
      </c>
      <c r="J134" s="2">
        <v>1</v>
      </c>
      <c r="K134" s="2" t="s">
        <v>81</v>
      </c>
      <c r="L134" s="2" t="s">
        <v>40</v>
      </c>
      <c r="P134" s="2" t="s">
        <v>4</v>
      </c>
      <c r="Q134" s="2">
        <f>INDEX(Tables!$C$4:$C$28,MATCH($P134,Tables!$B$4:$B$28,0))</f>
        <v>32</v>
      </c>
      <c r="R134" s="2">
        <f>INDEX(Tables!$D$4:$D$28,MATCH($P134,Tables!$B$4:$B$28,0))</f>
        <v>4</v>
      </c>
      <c r="S134" s="2">
        <f>$S133+$R133+INDEX(Tables!$N$5:$Q$8,MATCH(MOD($S133+$R133,4),Tables!$M$5:$M$8,0),MATCH($R134,Tables!$N$4:$Q$4,0))</f>
        <v>452</v>
      </c>
      <c r="T134" s="2" t="str">
        <f t="shared" si="48"/>
        <v>01C4</v>
      </c>
      <c r="U134" s="2">
        <f t="shared" si="39"/>
        <v>113</v>
      </c>
      <c r="V134" s="2" t="str">
        <f t="shared" si="49"/>
        <v>071</v>
      </c>
      <c r="W134" s="2" t="str">
        <f t="shared" si="50"/>
        <v/>
      </c>
      <c r="X134" s="2" t="str">
        <f t="shared" ref="X134:X197" si="53">IF(MOD($S134,4)=2,"X",IF(AND(MOD($S134,4)=1,$J134&gt;8),"X",IF(AND(MOD($S134,4)=0,$J134&gt;16),"X","")))</f>
        <v/>
      </c>
      <c r="Y134" s="2" t="str">
        <f t="shared" si="51"/>
        <v/>
      </c>
      <c r="Z134" s="2" t="str">
        <f t="shared" si="52"/>
        <v>X</v>
      </c>
      <c r="AA134" s="2" t="str">
        <f t="shared" si="40"/>
        <v/>
      </c>
      <c r="AB134" s="2" t="str">
        <f t="shared" si="41"/>
        <v/>
      </c>
      <c r="AC134" s="2" t="str">
        <f t="shared" si="42"/>
        <v/>
      </c>
      <c r="AD134" s="2" t="str">
        <f t="shared" si="43"/>
        <v>(0)</v>
      </c>
      <c r="AE134" s="2" t="str">
        <f t="shared" si="44"/>
        <v/>
      </c>
      <c r="AF134" s="2" t="str">
        <f t="shared" si="45"/>
        <v/>
      </c>
      <c r="AG134" s="2" t="str">
        <f t="shared" si="46"/>
        <v/>
      </c>
      <c r="AH134" s="2" t="str">
        <f t="shared" si="47"/>
        <v/>
      </c>
    </row>
    <row r="135" spans="2:34" x14ac:dyDescent="0.25">
      <c r="B135" s="2" t="s">
        <v>475</v>
      </c>
      <c r="C135" s="2" t="s">
        <v>486</v>
      </c>
      <c r="D135" s="2" t="s">
        <v>0</v>
      </c>
      <c r="E135" s="2" t="s">
        <v>130</v>
      </c>
      <c r="F135" s="2" t="s">
        <v>476</v>
      </c>
      <c r="G135" s="2" t="s">
        <v>477</v>
      </c>
      <c r="H135" s="2" t="s">
        <v>487</v>
      </c>
      <c r="I135" s="2" t="s">
        <v>41</v>
      </c>
      <c r="J135" s="2">
        <v>1</v>
      </c>
      <c r="K135" s="2" t="s">
        <v>131</v>
      </c>
      <c r="L135" s="2" t="s">
        <v>40</v>
      </c>
      <c r="P135" s="2" t="s">
        <v>4</v>
      </c>
      <c r="Q135" s="2">
        <f>INDEX(Tables!$C$4:$C$28,MATCH($P135,Tables!$B$4:$B$28,0))</f>
        <v>32</v>
      </c>
      <c r="R135" s="2">
        <f>INDEX(Tables!$D$4:$D$28,MATCH($P135,Tables!$B$4:$B$28,0))</f>
        <v>4</v>
      </c>
      <c r="S135" s="2">
        <f>$S134+$R134+INDEX(Tables!$N$5:$Q$8,MATCH(MOD($S134+$R134,4),Tables!$M$5:$M$8,0),MATCH($R135,Tables!$N$4:$Q$4,0))</f>
        <v>456</v>
      </c>
      <c r="T135" s="2" t="str">
        <f t="shared" si="48"/>
        <v>01C8</v>
      </c>
      <c r="U135" s="2">
        <f t="shared" si="39"/>
        <v>114</v>
      </c>
      <c r="V135" s="2" t="str">
        <f t="shared" si="49"/>
        <v>072</v>
      </c>
      <c r="W135" s="2" t="str">
        <f t="shared" si="50"/>
        <v/>
      </c>
      <c r="X135" s="2" t="str">
        <f t="shared" si="53"/>
        <v/>
      </c>
      <c r="Y135" s="2" t="str">
        <f t="shared" si="51"/>
        <v/>
      </c>
      <c r="Z135" s="2" t="str">
        <f t="shared" si="52"/>
        <v>X</v>
      </c>
      <c r="AA135" s="2" t="str">
        <f t="shared" si="40"/>
        <v/>
      </c>
      <c r="AB135" s="2" t="str">
        <f t="shared" si="41"/>
        <v/>
      </c>
      <c r="AC135" s="2" t="str">
        <f t="shared" si="42"/>
        <v/>
      </c>
      <c r="AD135" s="2" t="str">
        <f t="shared" si="43"/>
        <v>(0)</v>
      </c>
      <c r="AE135" s="2" t="str">
        <f t="shared" si="44"/>
        <v/>
      </c>
      <c r="AF135" s="2" t="str">
        <f t="shared" si="45"/>
        <v/>
      </c>
      <c r="AG135" s="2" t="str">
        <f t="shared" si="46"/>
        <v/>
      </c>
      <c r="AH135" s="2" t="str">
        <f t="shared" si="47"/>
        <v/>
      </c>
    </row>
    <row r="136" spans="2:34" x14ac:dyDescent="0.25">
      <c r="B136" s="2" t="s">
        <v>475</v>
      </c>
      <c r="C136" s="2" t="s">
        <v>488</v>
      </c>
      <c r="D136" s="2" t="s">
        <v>0</v>
      </c>
      <c r="E136" s="2" t="s">
        <v>130</v>
      </c>
      <c r="F136" s="2" t="s">
        <v>476</v>
      </c>
      <c r="G136" s="2" t="s">
        <v>477</v>
      </c>
      <c r="H136" s="2" t="s">
        <v>489</v>
      </c>
      <c r="I136" s="2" t="s">
        <v>41</v>
      </c>
      <c r="J136" s="2">
        <v>1</v>
      </c>
      <c r="K136" s="2" t="s">
        <v>131</v>
      </c>
      <c r="L136" s="2" t="s">
        <v>40</v>
      </c>
      <c r="P136" s="2" t="s">
        <v>4</v>
      </c>
      <c r="Q136" s="2">
        <f>INDEX(Tables!$C$4:$C$28,MATCH($P136,Tables!$B$4:$B$28,0))</f>
        <v>32</v>
      </c>
      <c r="R136" s="2">
        <f>INDEX(Tables!$D$4:$D$28,MATCH($P136,Tables!$B$4:$B$28,0))</f>
        <v>4</v>
      </c>
      <c r="S136" s="2">
        <f>$S135+$R135+INDEX(Tables!$N$5:$Q$8,MATCH(MOD($S135+$R135,4),Tables!$M$5:$M$8,0),MATCH($R136,Tables!$N$4:$Q$4,0))</f>
        <v>460</v>
      </c>
      <c r="T136" s="2" t="str">
        <f t="shared" si="48"/>
        <v>01CC</v>
      </c>
      <c r="U136" s="2">
        <f t="shared" si="39"/>
        <v>115</v>
      </c>
      <c r="V136" s="2" t="str">
        <f t="shared" si="49"/>
        <v>073</v>
      </c>
      <c r="W136" s="2" t="str">
        <f t="shared" si="50"/>
        <v/>
      </c>
      <c r="X136" s="2" t="str">
        <f t="shared" si="53"/>
        <v/>
      </c>
      <c r="Y136" s="2" t="str">
        <f t="shared" si="51"/>
        <v/>
      </c>
      <c r="Z136" s="2" t="str">
        <f t="shared" si="52"/>
        <v>X</v>
      </c>
      <c r="AA136" s="2" t="str">
        <f t="shared" si="40"/>
        <v/>
      </c>
      <c r="AB136" s="2" t="str">
        <f t="shared" si="41"/>
        <v/>
      </c>
      <c r="AC136" s="2" t="str">
        <f t="shared" si="42"/>
        <v/>
      </c>
      <c r="AD136" s="2" t="str">
        <f t="shared" si="43"/>
        <v>(0)</v>
      </c>
      <c r="AE136" s="2" t="str">
        <f t="shared" si="44"/>
        <v/>
      </c>
      <c r="AF136" s="2" t="str">
        <f t="shared" si="45"/>
        <v/>
      </c>
      <c r="AG136" s="2" t="str">
        <f t="shared" si="46"/>
        <v/>
      </c>
      <c r="AH136" s="2" t="str">
        <f t="shared" si="47"/>
        <v/>
      </c>
    </row>
    <row r="137" spans="2:34" x14ac:dyDescent="0.25">
      <c r="B137" s="2" t="s">
        <v>475</v>
      </c>
      <c r="C137" s="2" t="s">
        <v>168</v>
      </c>
      <c r="D137" s="2" t="s">
        <v>0</v>
      </c>
      <c r="E137" s="2" t="s">
        <v>130</v>
      </c>
      <c r="F137" s="2" t="s">
        <v>476</v>
      </c>
      <c r="G137" s="2" t="s">
        <v>477</v>
      </c>
      <c r="H137" s="2" t="s">
        <v>169</v>
      </c>
      <c r="I137" s="2" t="s">
        <v>41</v>
      </c>
      <c r="J137" s="2">
        <v>1</v>
      </c>
      <c r="K137" s="2" t="s">
        <v>81</v>
      </c>
      <c r="L137" s="2" t="s">
        <v>40</v>
      </c>
      <c r="P137" s="2" t="s">
        <v>4</v>
      </c>
      <c r="Q137" s="2">
        <f>INDEX(Tables!$C$4:$C$28,MATCH($P137,Tables!$B$4:$B$28,0))</f>
        <v>32</v>
      </c>
      <c r="R137" s="2">
        <f>INDEX(Tables!$D$4:$D$28,MATCH($P137,Tables!$B$4:$B$28,0))</f>
        <v>4</v>
      </c>
      <c r="S137" s="2">
        <f>$S136+$R136+INDEX(Tables!$N$5:$Q$8,MATCH(MOD($S136+$R136,4),Tables!$M$5:$M$8,0),MATCH($R137,Tables!$N$4:$Q$4,0))</f>
        <v>464</v>
      </c>
      <c r="T137" s="2" t="str">
        <f t="shared" si="48"/>
        <v>01D0</v>
      </c>
      <c r="U137" s="2">
        <f t="shared" ref="U137:U200" si="54">ROUNDDOWN(S137/4,0)</f>
        <v>116</v>
      </c>
      <c r="V137" s="2" t="str">
        <f t="shared" si="49"/>
        <v>074</v>
      </c>
      <c r="W137" s="2" t="str">
        <f t="shared" si="50"/>
        <v/>
      </c>
      <c r="X137" s="2" t="str">
        <f t="shared" si="53"/>
        <v/>
      </c>
      <c r="Y137" s="2" t="str">
        <f t="shared" si="51"/>
        <v/>
      </c>
      <c r="Z137" s="2" t="str">
        <f t="shared" si="52"/>
        <v>X</v>
      </c>
      <c r="AA137" s="2" t="str">
        <f t="shared" ref="AA137:AA200" si="55">IF(W137="","",CONCATENATE("(",IF(($J137-COUNTIF($X137:$Z137,"X")*8)=1,"24)",CONCATENATE(IF(($J137-COUNTIF($X137:$Z137,"X")*8)&gt;=8,32,($J137-COUNTIF($X137:$Z137,"X")*8)+24)-1," downto 24)"))))</f>
        <v/>
      </c>
      <c r="AB137" s="2" t="str">
        <f t="shared" ref="AB137:AB200" si="56">IF(X137="","",CONCATENATE("(",IF(($J137-COUNTIF($Y137:$Z137,"X")*8)=1,"16)",CONCATENATE(IF(($J137-COUNTIF($Y137:$Z137,"X")*8)&gt;=8,24,($J137-COUNTIF($Y137:$Z137,"X")*8)+16)-1," downto 16)"))))</f>
        <v/>
      </c>
      <c r="AC137" s="2" t="str">
        <f t="shared" ref="AC137:AC200" si="57">IF(Y137="","",CONCATENATE("(",IF(($J137-COUNTIF($Z137,"X")*8)=1,"8)",CONCATENATE(IF(($J137-COUNTIF($Z137,"X")*8)&gt;=8,16,($J137-COUNTIF($Z137,"X")*8)+8)-1," downto 8)"))))</f>
        <v/>
      </c>
      <c r="AD137" s="2" t="str">
        <f t="shared" ref="AD137:AD200" si="58">IF(Z137="","",CONCATENATE("(",IF($J137=1,"0)",CONCATENATE(IF($J137&gt;=8,8,$J137)-1," downto 0)"))))</f>
        <v>(0)</v>
      </c>
      <c r="AE137" s="2" t="str">
        <f t="shared" ref="AE137:AE200" si="59">IF(W137="","",IF($J137&lt;=8,"",IF(($J137-COUNTIF($X137:$Z137,"X")*8)=1,CONCATENATE("(",($J137-1),")"),CONCATENATE("(",IF(($J137-COUNTIF($X137:$Z137,"X")*8)&gt;=8,COUNTIF($X137:$Z137,"X")*8+7,$J137-COUNTIF($X137:$Z137,"X")*8-1+COUNTIF($X137:$Z137,"X")*8)," downto ",COUNTIF($X137:$Z137,"X")*8,")"))))</f>
        <v/>
      </c>
      <c r="AF137" s="2" t="str">
        <f t="shared" ref="AF137:AF200" si="60">IF(X137="","",IF($J137&lt;=8,"",IF(($J137-COUNTIF($Y137:$Z137,"X")*8)=1,CONCATENATE("(",($J137-1),")"),CONCATENATE("(",IF(($J137-COUNTIF($Y137:$Z137,"X")*8)&gt;=8,COUNTIF($Y137:$Z137,"X")*8+7,$J137-COUNTIF($Y137:$Z137,"X")*8-1+COUNTIF($Y137:$Z137,"X")*8)," downto ",COUNTIF($Y137:$Z137,"X")*8,")"))))</f>
        <v/>
      </c>
      <c r="AG137" s="2" t="str">
        <f t="shared" ref="AG137:AG200" si="61">IF(Y137="","",IF($J137&lt;=8,"",IF(($J137-COUNTIF($Z137,"X")*8)=1,CONCATENATE("(",($J137-1),")"),CONCATENATE("(",IF(($J137-COUNTIF($Z137,"X")*8)&gt;=8,COUNTIF($Z137,"X")*8+7,$J137-COUNTIF($Z137,"X")*8-1+COUNTIF($Z137,"X")*8)," downto ",COUNTIF($Z137,"X")*8,")"))))</f>
        <v/>
      </c>
      <c r="AH137" s="2" t="str">
        <f t="shared" ref="AH137:AH200" si="62">IF(Z137="","",IF($J137&lt;=8,"",CONCATENATE("(",IF($J137&gt;=8,7,$J137-1)," downto ",0,")")))</f>
        <v/>
      </c>
    </row>
    <row r="138" spans="2:34" x14ac:dyDescent="0.25">
      <c r="B138" s="2" t="s">
        <v>475</v>
      </c>
      <c r="C138" s="2" t="s">
        <v>490</v>
      </c>
      <c r="D138" s="2" t="s">
        <v>0</v>
      </c>
      <c r="E138" s="2" t="s">
        <v>130</v>
      </c>
      <c r="F138" s="2" t="s">
        <v>476</v>
      </c>
      <c r="G138" s="2" t="s">
        <v>477</v>
      </c>
      <c r="H138" s="2" t="s">
        <v>491</v>
      </c>
      <c r="I138" s="2" t="s">
        <v>41</v>
      </c>
      <c r="J138" s="2">
        <v>1</v>
      </c>
      <c r="K138" s="2" t="s">
        <v>81</v>
      </c>
      <c r="L138" s="2" t="s">
        <v>40</v>
      </c>
      <c r="P138" s="2" t="s">
        <v>4</v>
      </c>
      <c r="Q138" s="2">
        <f>INDEX(Tables!$C$4:$C$28,MATCH($P138,Tables!$B$4:$B$28,0))</f>
        <v>32</v>
      </c>
      <c r="R138" s="2">
        <f>INDEX(Tables!$D$4:$D$28,MATCH($P138,Tables!$B$4:$B$28,0))</f>
        <v>4</v>
      </c>
      <c r="S138" s="2">
        <f>$S137+$R137+INDEX(Tables!$N$5:$Q$8,MATCH(MOD($S137+$R137,4),Tables!$M$5:$M$8,0),MATCH($R138,Tables!$N$4:$Q$4,0))</f>
        <v>468</v>
      </c>
      <c r="T138" s="2" t="str">
        <f t="shared" si="48"/>
        <v>01D4</v>
      </c>
      <c r="U138" s="2">
        <f t="shared" si="54"/>
        <v>117</v>
      </c>
      <c r="V138" s="2" t="str">
        <f t="shared" si="49"/>
        <v>075</v>
      </c>
      <c r="W138" s="2" t="str">
        <f t="shared" si="50"/>
        <v/>
      </c>
      <c r="X138" s="2" t="str">
        <f t="shared" si="53"/>
        <v/>
      </c>
      <c r="Y138" s="2" t="str">
        <f t="shared" si="51"/>
        <v/>
      </c>
      <c r="Z138" s="2" t="str">
        <f t="shared" si="52"/>
        <v>X</v>
      </c>
      <c r="AA138" s="2" t="str">
        <f t="shared" si="55"/>
        <v/>
      </c>
      <c r="AB138" s="2" t="str">
        <f t="shared" si="56"/>
        <v/>
      </c>
      <c r="AC138" s="2" t="str">
        <f t="shared" si="57"/>
        <v/>
      </c>
      <c r="AD138" s="2" t="str">
        <f t="shared" si="58"/>
        <v>(0)</v>
      </c>
      <c r="AE138" s="2" t="str">
        <f t="shared" si="59"/>
        <v/>
      </c>
      <c r="AF138" s="2" t="str">
        <f t="shared" si="60"/>
        <v/>
      </c>
      <c r="AG138" s="2" t="str">
        <f t="shared" si="61"/>
        <v/>
      </c>
      <c r="AH138" s="2" t="str">
        <f t="shared" si="62"/>
        <v/>
      </c>
    </row>
    <row r="139" spans="2:34" x14ac:dyDescent="0.25">
      <c r="B139" s="2" t="s">
        <v>475</v>
      </c>
      <c r="C139" s="2" t="s">
        <v>492</v>
      </c>
      <c r="D139" s="2" t="s">
        <v>0</v>
      </c>
      <c r="E139" s="2" t="s">
        <v>130</v>
      </c>
      <c r="F139" s="2" t="s">
        <v>476</v>
      </c>
      <c r="G139" s="2" t="s">
        <v>477</v>
      </c>
      <c r="H139" s="2" t="s">
        <v>493</v>
      </c>
      <c r="I139" s="2" t="s">
        <v>41</v>
      </c>
      <c r="J139" s="2">
        <v>3</v>
      </c>
      <c r="K139" s="2" t="s">
        <v>494</v>
      </c>
      <c r="L139" s="2" t="s">
        <v>40</v>
      </c>
      <c r="P139" s="2" t="s">
        <v>47</v>
      </c>
      <c r="Q139" s="2">
        <f>INDEX(Tables!$C$4:$C$28,MATCH($P139,Tables!$B$4:$B$28,0))</f>
        <v>8</v>
      </c>
      <c r="R139" s="2">
        <f>INDEX(Tables!$D$4:$D$28,MATCH($P139,Tables!$B$4:$B$28,0))</f>
        <v>1</v>
      </c>
      <c r="S139" s="2">
        <f>$S138+$R138+INDEX(Tables!$N$5:$Q$8,MATCH(MOD($S138+$R138,4),Tables!$M$5:$M$8,0),MATCH($R139,Tables!$N$4:$Q$4,0))</f>
        <v>472</v>
      </c>
      <c r="T139" s="2" t="str">
        <f t="shared" si="48"/>
        <v>01D8</v>
      </c>
      <c r="U139" s="2">
        <f t="shared" si="54"/>
        <v>118</v>
      </c>
      <c r="V139" s="2" t="str">
        <f t="shared" si="49"/>
        <v>076</v>
      </c>
      <c r="W139" s="2" t="str">
        <f t="shared" si="50"/>
        <v/>
      </c>
      <c r="X139" s="2" t="str">
        <f t="shared" si="53"/>
        <v/>
      </c>
      <c r="Y139" s="2" t="str">
        <f t="shared" si="51"/>
        <v/>
      </c>
      <c r="Z139" s="2" t="str">
        <f t="shared" si="52"/>
        <v>X</v>
      </c>
      <c r="AA139" s="2" t="str">
        <f t="shared" si="55"/>
        <v/>
      </c>
      <c r="AB139" s="2" t="str">
        <f t="shared" si="56"/>
        <v/>
      </c>
      <c r="AC139" s="2" t="str">
        <f t="shared" si="57"/>
        <v/>
      </c>
      <c r="AD139" s="2" t="str">
        <f t="shared" si="58"/>
        <v>(2 downto 0)</v>
      </c>
      <c r="AE139" s="2" t="str">
        <f t="shared" si="59"/>
        <v/>
      </c>
      <c r="AF139" s="2" t="str">
        <f t="shared" si="60"/>
        <v/>
      </c>
      <c r="AG139" s="2" t="str">
        <f t="shared" si="61"/>
        <v/>
      </c>
      <c r="AH139" s="2" t="str">
        <f t="shared" si="62"/>
        <v/>
      </c>
    </row>
    <row r="140" spans="2:34" x14ac:dyDescent="0.25">
      <c r="B140" s="2" t="s">
        <v>475</v>
      </c>
      <c r="C140" s="2" t="s">
        <v>495</v>
      </c>
      <c r="D140" s="2" t="s">
        <v>0</v>
      </c>
      <c r="E140" s="2" t="s">
        <v>130</v>
      </c>
      <c r="F140" s="2" t="s">
        <v>476</v>
      </c>
      <c r="G140" s="2" t="s">
        <v>477</v>
      </c>
      <c r="H140" s="2" t="s">
        <v>496</v>
      </c>
      <c r="I140" s="2" t="s">
        <v>41</v>
      </c>
      <c r="J140" s="2">
        <v>2</v>
      </c>
      <c r="K140" s="2" t="s">
        <v>132</v>
      </c>
      <c r="L140" s="2" t="s">
        <v>40</v>
      </c>
      <c r="P140" s="2" t="s">
        <v>47</v>
      </c>
      <c r="Q140" s="2">
        <f>INDEX(Tables!$C$4:$C$28,MATCH($P140,Tables!$B$4:$B$28,0))</f>
        <v>8</v>
      </c>
      <c r="R140" s="2">
        <f>INDEX(Tables!$D$4:$D$28,MATCH($P140,Tables!$B$4:$B$28,0))</f>
        <v>1</v>
      </c>
      <c r="S140" s="2">
        <f>$S139+$R139+INDEX(Tables!$N$5:$Q$8,MATCH(MOD($S139+$R139,4),Tables!$M$5:$M$8,0),MATCH($R140,Tables!$N$4:$Q$4,0))</f>
        <v>473</v>
      </c>
      <c r="T140" s="2" t="str">
        <f t="shared" si="48"/>
        <v>01D9</v>
      </c>
      <c r="U140" s="2">
        <f t="shared" si="54"/>
        <v>118</v>
      </c>
      <c r="V140" s="2" t="str">
        <f t="shared" si="49"/>
        <v>076</v>
      </c>
      <c r="W140" s="2" t="str">
        <f t="shared" si="50"/>
        <v/>
      </c>
      <c r="X140" s="2" t="str">
        <f t="shared" si="53"/>
        <v/>
      </c>
      <c r="Y140" s="2" t="str">
        <f t="shared" si="51"/>
        <v>X</v>
      </c>
      <c r="Z140" s="2" t="str">
        <f t="shared" si="52"/>
        <v/>
      </c>
      <c r="AA140" s="2" t="str">
        <f t="shared" si="55"/>
        <v/>
      </c>
      <c r="AB140" s="2" t="str">
        <f t="shared" si="56"/>
        <v/>
      </c>
      <c r="AC140" s="2" t="str">
        <f t="shared" si="57"/>
        <v>(9 downto 8)</v>
      </c>
      <c r="AD140" s="2" t="str">
        <f t="shared" si="58"/>
        <v/>
      </c>
      <c r="AE140" s="2" t="str">
        <f t="shared" si="59"/>
        <v/>
      </c>
      <c r="AF140" s="2" t="str">
        <f t="shared" si="60"/>
        <v/>
      </c>
      <c r="AG140" s="2" t="str">
        <f t="shared" si="61"/>
        <v/>
      </c>
      <c r="AH140" s="2" t="str">
        <f t="shared" si="62"/>
        <v/>
      </c>
    </row>
    <row r="141" spans="2:34" x14ac:dyDescent="0.25">
      <c r="B141" s="2" t="s">
        <v>475</v>
      </c>
      <c r="C141" s="2" t="s">
        <v>497</v>
      </c>
      <c r="D141" s="2" t="s">
        <v>0</v>
      </c>
      <c r="E141" s="2" t="s">
        <v>130</v>
      </c>
      <c r="F141" s="2" t="s">
        <v>476</v>
      </c>
      <c r="G141" s="2" t="s">
        <v>477</v>
      </c>
      <c r="H141" s="2" t="s">
        <v>498</v>
      </c>
      <c r="I141" s="2" t="s">
        <v>41</v>
      </c>
      <c r="J141" s="2">
        <v>2</v>
      </c>
      <c r="K141" s="2" t="s">
        <v>132</v>
      </c>
      <c r="L141" s="2" t="s">
        <v>40</v>
      </c>
      <c r="P141" s="2" t="s">
        <v>47</v>
      </c>
      <c r="Q141" s="2">
        <f>INDEX(Tables!$C$4:$C$28,MATCH($P141,Tables!$B$4:$B$28,0))</f>
        <v>8</v>
      </c>
      <c r="R141" s="2">
        <f>INDEX(Tables!$D$4:$D$28,MATCH($P141,Tables!$B$4:$B$28,0))</f>
        <v>1</v>
      </c>
      <c r="S141" s="2">
        <f>$S140+$R140+INDEX(Tables!$N$5:$Q$8,MATCH(MOD($S140+$R140,4),Tables!$M$5:$M$8,0),MATCH($R141,Tables!$N$4:$Q$4,0))</f>
        <v>474</v>
      </c>
      <c r="T141" s="2" t="str">
        <f t="shared" si="48"/>
        <v>01DA</v>
      </c>
      <c r="U141" s="2">
        <f t="shared" si="54"/>
        <v>118</v>
      </c>
      <c r="V141" s="2" t="str">
        <f t="shared" si="49"/>
        <v>076</v>
      </c>
      <c r="W141" s="2" t="str">
        <f t="shared" si="50"/>
        <v/>
      </c>
      <c r="X141" s="2" t="str">
        <f t="shared" si="53"/>
        <v>X</v>
      </c>
      <c r="Y141" s="2" t="str">
        <f t="shared" si="51"/>
        <v/>
      </c>
      <c r="Z141" s="2" t="str">
        <f t="shared" si="52"/>
        <v/>
      </c>
      <c r="AA141" s="2" t="str">
        <f t="shared" si="55"/>
        <v/>
      </c>
      <c r="AB141" s="2" t="str">
        <f t="shared" si="56"/>
        <v>(17 downto 16)</v>
      </c>
      <c r="AC141" s="2" t="str">
        <f t="shared" si="57"/>
        <v/>
      </c>
      <c r="AD141" s="2" t="str">
        <f t="shared" si="58"/>
        <v/>
      </c>
      <c r="AE141" s="2" t="str">
        <f t="shared" si="59"/>
        <v/>
      </c>
      <c r="AF141" s="2" t="str">
        <f t="shared" si="60"/>
        <v/>
      </c>
      <c r="AG141" s="2" t="str">
        <f t="shared" si="61"/>
        <v/>
      </c>
      <c r="AH141" s="2" t="str">
        <f t="shared" si="62"/>
        <v/>
      </c>
    </row>
    <row r="142" spans="2:34" x14ac:dyDescent="0.25">
      <c r="B142" s="2" t="s">
        <v>475</v>
      </c>
      <c r="C142" s="2" t="s">
        <v>499</v>
      </c>
      <c r="D142" s="2" t="s">
        <v>0</v>
      </c>
      <c r="E142" s="2" t="s">
        <v>130</v>
      </c>
      <c r="F142" s="2" t="s">
        <v>476</v>
      </c>
      <c r="G142" s="2" t="s">
        <v>477</v>
      </c>
      <c r="H142" s="2" t="s">
        <v>500</v>
      </c>
      <c r="I142" s="2" t="s">
        <v>41</v>
      </c>
      <c r="J142" s="2">
        <v>4</v>
      </c>
      <c r="K142" s="2" t="s">
        <v>132</v>
      </c>
      <c r="L142" s="2" t="s">
        <v>40</v>
      </c>
      <c r="P142" s="2" t="s">
        <v>47</v>
      </c>
      <c r="Q142" s="2">
        <f>INDEX(Tables!$C$4:$C$28,MATCH($P142,Tables!$B$4:$B$28,0))</f>
        <v>8</v>
      </c>
      <c r="R142" s="2">
        <f>INDEX(Tables!$D$4:$D$28,MATCH($P142,Tables!$B$4:$B$28,0))</f>
        <v>1</v>
      </c>
      <c r="S142" s="2">
        <f>$S141+$R141+INDEX(Tables!$N$5:$Q$8,MATCH(MOD($S141+$R141,4),Tables!$M$5:$M$8,0),MATCH($R142,Tables!$N$4:$Q$4,0))</f>
        <v>475</v>
      </c>
      <c r="T142" s="2" t="str">
        <f t="shared" si="48"/>
        <v>01DB</v>
      </c>
      <c r="U142" s="2">
        <f t="shared" si="54"/>
        <v>118</v>
      </c>
      <c r="V142" s="2" t="str">
        <f t="shared" si="49"/>
        <v>076</v>
      </c>
      <c r="W142" s="2" t="str">
        <f t="shared" si="50"/>
        <v>X</v>
      </c>
      <c r="X142" s="2" t="str">
        <f t="shared" si="53"/>
        <v/>
      </c>
      <c r="Y142" s="2" t="str">
        <f t="shared" si="51"/>
        <v/>
      </c>
      <c r="Z142" s="2" t="str">
        <f t="shared" si="52"/>
        <v/>
      </c>
      <c r="AA142" s="2" t="str">
        <f t="shared" si="55"/>
        <v>(27 downto 24)</v>
      </c>
      <c r="AB142" s="2" t="str">
        <f t="shared" si="56"/>
        <v/>
      </c>
      <c r="AC142" s="2" t="str">
        <f t="shared" si="57"/>
        <v/>
      </c>
      <c r="AD142" s="2" t="str">
        <f t="shared" si="58"/>
        <v/>
      </c>
      <c r="AE142" s="2" t="str">
        <f t="shared" si="59"/>
        <v/>
      </c>
      <c r="AF142" s="2" t="str">
        <f t="shared" si="60"/>
        <v/>
      </c>
      <c r="AG142" s="2" t="str">
        <f t="shared" si="61"/>
        <v/>
      </c>
      <c r="AH142" s="2" t="str">
        <f t="shared" si="62"/>
        <v/>
      </c>
    </row>
    <row r="143" spans="2:34" x14ac:dyDescent="0.25">
      <c r="B143" s="2" t="s">
        <v>475</v>
      </c>
      <c r="C143" s="2" t="s">
        <v>501</v>
      </c>
      <c r="D143" s="2" t="s">
        <v>0</v>
      </c>
      <c r="E143" s="2" t="s">
        <v>130</v>
      </c>
      <c r="F143" s="2" t="s">
        <v>476</v>
      </c>
      <c r="G143" s="2" t="s">
        <v>477</v>
      </c>
      <c r="H143" s="2" t="s">
        <v>502</v>
      </c>
      <c r="I143" s="2" t="s">
        <v>41</v>
      </c>
      <c r="J143" s="2">
        <v>4</v>
      </c>
      <c r="K143" s="2" t="s">
        <v>132</v>
      </c>
      <c r="L143" s="2" t="s">
        <v>40</v>
      </c>
      <c r="P143" s="2" t="s">
        <v>47</v>
      </c>
      <c r="Q143" s="2">
        <f>INDEX(Tables!$C$4:$C$28,MATCH($P143,Tables!$B$4:$B$28,0))</f>
        <v>8</v>
      </c>
      <c r="R143" s="2">
        <f>INDEX(Tables!$D$4:$D$28,MATCH($P143,Tables!$B$4:$B$28,0))</f>
        <v>1</v>
      </c>
      <c r="S143" s="2">
        <f>$S142+$R142+INDEX(Tables!$N$5:$Q$8,MATCH(MOD($S142+$R142,4),Tables!$M$5:$M$8,0),MATCH($R143,Tables!$N$4:$Q$4,0))</f>
        <v>476</v>
      </c>
      <c r="T143" s="2" t="str">
        <f t="shared" si="48"/>
        <v>01DC</v>
      </c>
      <c r="U143" s="2">
        <f t="shared" si="54"/>
        <v>119</v>
      </c>
      <c r="V143" s="2" t="str">
        <f t="shared" si="49"/>
        <v>077</v>
      </c>
      <c r="W143" s="2" t="str">
        <f t="shared" si="50"/>
        <v/>
      </c>
      <c r="X143" s="2" t="str">
        <f t="shared" si="53"/>
        <v/>
      </c>
      <c r="Y143" s="2" t="str">
        <f t="shared" si="51"/>
        <v/>
      </c>
      <c r="Z143" s="2" t="str">
        <f t="shared" si="52"/>
        <v>X</v>
      </c>
      <c r="AA143" s="2" t="str">
        <f t="shared" si="55"/>
        <v/>
      </c>
      <c r="AB143" s="2" t="str">
        <f t="shared" si="56"/>
        <v/>
      </c>
      <c r="AC143" s="2" t="str">
        <f t="shared" si="57"/>
        <v/>
      </c>
      <c r="AD143" s="2" t="str">
        <f t="shared" si="58"/>
        <v>(3 downto 0)</v>
      </c>
      <c r="AE143" s="2" t="str">
        <f t="shared" si="59"/>
        <v/>
      </c>
      <c r="AF143" s="2" t="str">
        <f t="shared" si="60"/>
        <v/>
      </c>
      <c r="AG143" s="2" t="str">
        <f t="shared" si="61"/>
        <v/>
      </c>
      <c r="AH143" s="2" t="str">
        <f t="shared" si="62"/>
        <v/>
      </c>
    </row>
    <row r="144" spans="2:34" x14ac:dyDescent="0.25">
      <c r="B144" s="2" t="s">
        <v>475</v>
      </c>
      <c r="C144" s="2" t="s">
        <v>503</v>
      </c>
      <c r="D144" s="2" t="s">
        <v>0</v>
      </c>
      <c r="E144" s="2" t="s">
        <v>130</v>
      </c>
      <c r="F144" s="2" t="s">
        <v>476</v>
      </c>
      <c r="G144" s="2" t="s">
        <v>477</v>
      </c>
      <c r="H144" s="2" t="s">
        <v>504</v>
      </c>
      <c r="I144" s="2" t="s">
        <v>41</v>
      </c>
      <c r="J144" s="2">
        <v>8</v>
      </c>
      <c r="K144" s="2" t="s">
        <v>505</v>
      </c>
      <c r="L144" s="2" t="s">
        <v>40</v>
      </c>
      <c r="P144" s="2" t="s">
        <v>47</v>
      </c>
      <c r="Q144" s="2">
        <f>INDEX(Tables!$C$4:$C$28,MATCH($P144,Tables!$B$4:$B$28,0))</f>
        <v>8</v>
      </c>
      <c r="R144" s="2">
        <f>INDEX(Tables!$D$4:$D$28,MATCH($P144,Tables!$B$4:$B$28,0))</f>
        <v>1</v>
      </c>
      <c r="S144" s="2">
        <f>$S143+$R143+INDEX(Tables!$N$5:$Q$8,MATCH(MOD($S143+$R143,4),Tables!$M$5:$M$8,0),MATCH($R144,Tables!$N$4:$Q$4,0))</f>
        <v>477</v>
      </c>
      <c r="T144" s="2" t="str">
        <f t="shared" si="48"/>
        <v>01DD</v>
      </c>
      <c r="U144" s="2">
        <f t="shared" si="54"/>
        <v>119</v>
      </c>
      <c r="V144" s="2" t="str">
        <f t="shared" si="49"/>
        <v>077</v>
      </c>
      <c r="W144" s="2" t="str">
        <f t="shared" si="50"/>
        <v/>
      </c>
      <c r="X144" s="2" t="str">
        <f t="shared" si="53"/>
        <v/>
      </c>
      <c r="Y144" s="2" t="str">
        <f t="shared" si="51"/>
        <v>X</v>
      </c>
      <c r="Z144" s="2" t="str">
        <f t="shared" si="52"/>
        <v/>
      </c>
      <c r="AA144" s="2" t="str">
        <f t="shared" si="55"/>
        <v/>
      </c>
      <c r="AB144" s="2" t="str">
        <f t="shared" si="56"/>
        <v/>
      </c>
      <c r="AC144" s="2" t="str">
        <f t="shared" si="57"/>
        <v>(15 downto 8)</v>
      </c>
      <c r="AD144" s="2" t="str">
        <f t="shared" si="58"/>
        <v/>
      </c>
      <c r="AE144" s="2" t="str">
        <f t="shared" si="59"/>
        <v/>
      </c>
      <c r="AF144" s="2" t="str">
        <f t="shared" si="60"/>
        <v/>
      </c>
      <c r="AG144" s="2" t="str">
        <f t="shared" si="61"/>
        <v/>
      </c>
      <c r="AH144" s="2" t="str">
        <f t="shared" si="62"/>
        <v/>
      </c>
    </row>
    <row r="145" spans="2:34" x14ac:dyDescent="0.25">
      <c r="B145" s="2" t="s">
        <v>506</v>
      </c>
      <c r="C145" s="2" t="s">
        <v>507</v>
      </c>
      <c r="D145" s="2" t="s">
        <v>0</v>
      </c>
      <c r="E145" s="2" t="s">
        <v>130</v>
      </c>
      <c r="F145" s="2" t="s">
        <v>508</v>
      </c>
      <c r="G145" s="2" t="s">
        <v>509</v>
      </c>
      <c r="H145" s="2" t="s">
        <v>510</v>
      </c>
      <c r="I145" s="2" t="s">
        <v>41</v>
      </c>
      <c r="J145" s="2">
        <v>1</v>
      </c>
      <c r="K145" s="2" t="s">
        <v>81</v>
      </c>
      <c r="L145" s="2" t="s">
        <v>40</v>
      </c>
      <c r="P145" s="2" t="s">
        <v>4</v>
      </c>
      <c r="Q145" s="2">
        <f>INDEX(Tables!$C$4:$C$28,MATCH($P145,Tables!$B$4:$B$28,0))</f>
        <v>32</v>
      </c>
      <c r="R145" s="2">
        <f>INDEX(Tables!$D$4:$D$28,MATCH($P145,Tables!$B$4:$B$28,0))</f>
        <v>4</v>
      </c>
      <c r="S145" s="2">
        <f>$S144+$R144+INDEX(Tables!$N$5:$Q$8,MATCH(MOD($S144+$R144,4),Tables!$M$5:$M$8,0),MATCH($R145,Tables!$N$4:$Q$4,0))</f>
        <v>480</v>
      </c>
      <c r="T145" s="2" t="str">
        <f t="shared" si="48"/>
        <v>01E0</v>
      </c>
      <c r="U145" s="2">
        <f t="shared" si="54"/>
        <v>120</v>
      </c>
      <c r="V145" s="2" t="str">
        <f t="shared" si="49"/>
        <v>078</v>
      </c>
      <c r="W145" s="2" t="str">
        <f t="shared" si="50"/>
        <v/>
      </c>
      <c r="X145" s="2" t="str">
        <f t="shared" si="53"/>
        <v/>
      </c>
      <c r="Y145" s="2" t="str">
        <f t="shared" si="51"/>
        <v/>
      </c>
      <c r="Z145" s="2" t="str">
        <f t="shared" si="52"/>
        <v>X</v>
      </c>
      <c r="AA145" s="2" t="str">
        <f t="shared" si="55"/>
        <v/>
      </c>
      <c r="AB145" s="2" t="str">
        <f t="shared" si="56"/>
        <v/>
      </c>
      <c r="AC145" s="2" t="str">
        <f t="shared" si="57"/>
        <v/>
      </c>
      <c r="AD145" s="2" t="str">
        <f t="shared" si="58"/>
        <v>(0)</v>
      </c>
      <c r="AE145" s="2" t="str">
        <f t="shared" si="59"/>
        <v/>
      </c>
      <c r="AF145" s="2" t="str">
        <f t="shared" si="60"/>
        <v/>
      </c>
      <c r="AG145" s="2" t="str">
        <f t="shared" si="61"/>
        <v/>
      </c>
      <c r="AH145" s="2" t="str">
        <f t="shared" si="62"/>
        <v/>
      </c>
    </row>
    <row r="146" spans="2:34" x14ac:dyDescent="0.25">
      <c r="B146" s="2" t="s">
        <v>506</v>
      </c>
      <c r="C146" s="2" t="s">
        <v>511</v>
      </c>
      <c r="D146" s="2" t="s">
        <v>0</v>
      </c>
      <c r="E146" s="2" t="s">
        <v>130</v>
      </c>
      <c r="F146" s="2" t="s">
        <v>508</v>
      </c>
      <c r="G146" s="2" t="s">
        <v>509</v>
      </c>
      <c r="H146" s="2" t="s">
        <v>512</v>
      </c>
      <c r="I146" s="2" t="s">
        <v>41</v>
      </c>
      <c r="J146" s="2">
        <v>1</v>
      </c>
      <c r="K146" s="2" t="s">
        <v>81</v>
      </c>
      <c r="L146" s="2" t="s">
        <v>40</v>
      </c>
      <c r="P146" s="2" t="s">
        <v>4</v>
      </c>
      <c r="Q146" s="2">
        <f>INDEX(Tables!$C$4:$C$28,MATCH($P146,Tables!$B$4:$B$28,0))</f>
        <v>32</v>
      </c>
      <c r="R146" s="2">
        <f>INDEX(Tables!$D$4:$D$28,MATCH($P146,Tables!$B$4:$B$28,0))</f>
        <v>4</v>
      </c>
      <c r="S146" s="2">
        <f>$S145+$R145+INDEX(Tables!$N$5:$Q$8,MATCH(MOD($S145+$R145,4),Tables!$M$5:$M$8,0),MATCH($R146,Tables!$N$4:$Q$4,0))</f>
        <v>484</v>
      </c>
      <c r="T146" s="2" t="str">
        <f t="shared" si="48"/>
        <v>01E4</v>
      </c>
      <c r="U146" s="2">
        <f t="shared" si="54"/>
        <v>121</v>
      </c>
      <c r="V146" s="2" t="str">
        <f t="shared" si="49"/>
        <v>079</v>
      </c>
      <c r="W146" s="2" t="str">
        <f t="shared" si="50"/>
        <v/>
      </c>
      <c r="X146" s="2" t="str">
        <f t="shared" si="53"/>
        <v/>
      </c>
      <c r="Y146" s="2" t="str">
        <f t="shared" si="51"/>
        <v/>
      </c>
      <c r="Z146" s="2" t="str">
        <f t="shared" si="52"/>
        <v>X</v>
      </c>
      <c r="AA146" s="2" t="str">
        <f t="shared" si="55"/>
        <v/>
      </c>
      <c r="AB146" s="2" t="str">
        <f t="shared" si="56"/>
        <v/>
      </c>
      <c r="AC146" s="2" t="str">
        <f t="shared" si="57"/>
        <v/>
      </c>
      <c r="AD146" s="2" t="str">
        <f t="shared" si="58"/>
        <v>(0)</v>
      </c>
      <c r="AE146" s="2" t="str">
        <f t="shared" si="59"/>
        <v/>
      </c>
      <c r="AF146" s="2" t="str">
        <f t="shared" si="60"/>
        <v/>
      </c>
      <c r="AG146" s="2" t="str">
        <f t="shared" si="61"/>
        <v/>
      </c>
      <c r="AH146" s="2" t="str">
        <f t="shared" si="62"/>
        <v/>
      </c>
    </row>
    <row r="147" spans="2:34" x14ac:dyDescent="0.25">
      <c r="B147" s="2" t="s">
        <v>506</v>
      </c>
      <c r="C147" s="2" t="s">
        <v>513</v>
      </c>
      <c r="D147" s="2" t="s">
        <v>0</v>
      </c>
      <c r="E147" s="2" t="s">
        <v>130</v>
      </c>
      <c r="F147" s="2" t="s">
        <v>508</v>
      </c>
      <c r="G147" s="2" t="s">
        <v>509</v>
      </c>
      <c r="H147" s="2" t="s">
        <v>514</v>
      </c>
      <c r="I147" s="2" t="s">
        <v>41</v>
      </c>
      <c r="J147" s="2">
        <v>1</v>
      </c>
      <c r="K147" s="2" t="s">
        <v>81</v>
      </c>
      <c r="L147" s="2" t="s">
        <v>40</v>
      </c>
      <c r="P147" s="2" t="s">
        <v>4</v>
      </c>
      <c r="Q147" s="2">
        <f>INDEX(Tables!$C$4:$C$28,MATCH($P147,Tables!$B$4:$B$28,0))</f>
        <v>32</v>
      </c>
      <c r="R147" s="2">
        <f>INDEX(Tables!$D$4:$D$28,MATCH($P147,Tables!$B$4:$B$28,0))</f>
        <v>4</v>
      </c>
      <c r="S147" s="2">
        <f>$S146+$R146+INDEX(Tables!$N$5:$Q$8,MATCH(MOD($S146+$R146,4),Tables!$M$5:$M$8,0),MATCH($R147,Tables!$N$4:$Q$4,0))</f>
        <v>488</v>
      </c>
      <c r="T147" s="2" t="str">
        <f t="shared" si="48"/>
        <v>01E8</v>
      </c>
      <c r="U147" s="2">
        <f t="shared" si="54"/>
        <v>122</v>
      </c>
      <c r="V147" s="2" t="str">
        <f t="shared" si="49"/>
        <v>07A</v>
      </c>
      <c r="W147" s="2" t="str">
        <f t="shared" si="50"/>
        <v/>
      </c>
      <c r="X147" s="2" t="str">
        <f t="shared" si="53"/>
        <v/>
      </c>
      <c r="Y147" s="2" t="str">
        <f t="shared" si="51"/>
        <v/>
      </c>
      <c r="Z147" s="2" t="str">
        <f t="shared" si="52"/>
        <v>X</v>
      </c>
      <c r="AA147" s="2" t="str">
        <f t="shared" si="55"/>
        <v/>
      </c>
      <c r="AB147" s="2" t="str">
        <f t="shared" si="56"/>
        <v/>
      </c>
      <c r="AC147" s="2" t="str">
        <f t="shared" si="57"/>
        <v/>
      </c>
      <c r="AD147" s="2" t="str">
        <f t="shared" si="58"/>
        <v>(0)</v>
      </c>
      <c r="AE147" s="2" t="str">
        <f t="shared" si="59"/>
        <v/>
      </c>
      <c r="AF147" s="2" t="str">
        <f t="shared" si="60"/>
        <v/>
      </c>
      <c r="AG147" s="2" t="str">
        <f t="shared" si="61"/>
        <v/>
      </c>
      <c r="AH147" s="2" t="str">
        <f t="shared" si="62"/>
        <v/>
      </c>
    </row>
    <row r="148" spans="2:34" x14ac:dyDescent="0.25">
      <c r="B148" s="2" t="s">
        <v>506</v>
      </c>
      <c r="C148" s="2" t="s">
        <v>515</v>
      </c>
      <c r="D148" s="2" t="s">
        <v>0</v>
      </c>
      <c r="E148" s="2" t="s">
        <v>130</v>
      </c>
      <c r="F148" s="2" t="s">
        <v>508</v>
      </c>
      <c r="G148" s="2" t="s">
        <v>509</v>
      </c>
      <c r="H148" s="2" t="s">
        <v>516</v>
      </c>
      <c r="I148" s="2" t="s">
        <v>41</v>
      </c>
      <c r="J148" s="2">
        <v>1</v>
      </c>
      <c r="K148" s="2" t="s">
        <v>81</v>
      </c>
      <c r="L148" s="2" t="s">
        <v>40</v>
      </c>
      <c r="P148" s="2" t="s">
        <v>4</v>
      </c>
      <c r="Q148" s="2">
        <f>INDEX(Tables!$C$4:$C$28,MATCH($P148,Tables!$B$4:$B$28,0))</f>
        <v>32</v>
      </c>
      <c r="R148" s="2">
        <f>INDEX(Tables!$D$4:$D$28,MATCH($P148,Tables!$B$4:$B$28,0))</f>
        <v>4</v>
      </c>
      <c r="S148" s="2">
        <f>$S147+$R147+INDEX(Tables!$N$5:$Q$8,MATCH(MOD($S147+$R147,4),Tables!$M$5:$M$8,0),MATCH($R148,Tables!$N$4:$Q$4,0))</f>
        <v>492</v>
      </c>
      <c r="T148" s="2" t="str">
        <f t="shared" si="48"/>
        <v>01EC</v>
      </c>
      <c r="U148" s="2">
        <f t="shared" si="54"/>
        <v>123</v>
      </c>
      <c r="V148" s="2" t="str">
        <f t="shared" si="49"/>
        <v>07B</v>
      </c>
      <c r="W148" s="2" t="str">
        <f t="shared" si="50"/>
        <v/>
      </c>
      <c r="X148" s="2" t="str">
        <f t="shared" si="53"/>
        <v/>
      </c>
      <c r="Y148" s="2" t="str">
        <f t="shared" si="51"/>
        <v/>
      </c>
      <c r="Z148" s="2" t="str">
        <f t="shared" si="52"/>
        <v>X</v>
      </c>
      <c r="AA148" s="2" t="str">
        <f t="shared" si="55"/>
        <v/>
      </c>
      <c r="AB148" s="2" t="str">
        <f t="shared" si="56"/>
        <v/>
      </c>
      <c r="AC148" s="2" t="str">
        <f t="shared" si="57"/>
        <v/>
      </c>
      <c r="AD148" s="2" t="str">
        <f t="shared" si="58"/>
        <v>(0)</v>
      </c>
      <c r="AE148" s="2" t="str">
        <f t="shared" si="59"/>
        <v/>
      </c>
      <c r="AF148" s="2" t="str">
        <f t="shared" si="60"/>
        <v/>
      </c>
      <c r="AG148" s="2" t="str">
        <f t="shared" si="61"/>
        <v/>
      </c>
      <c r="AH148" s="2" t="str">
        <f t="shared" si="62"/>
        <v/>
      </c>
    </row>
    <row r="149" spans="2:34" x14ac:dyDescent="0.25">
      <c r="B149" s="2" t="s">
        <v>506</v>
      </c>
      <c r="C149" s="2" t="s">
        <v>517</v>
      </c>
      <c r="D149" s="2" t="s">
        <v>0</v>
      </c>
      <c r="E149" s="2" t="s">
        <v>130</v>
      </c>
      <c r="F149" s="2" t="s">
        <v>508</v>
      </c>
      <c r="G149" s="2" t="s">
        <v>509</v>
      </c>
      <c r="H149" s="2" t="s">
        <v>518</v>
      </c>
      <c r="I149" s="2" t="s">
        <v>41</v>
      </c>
      <c r="J149" s="2">
        <v>1</v>
      </c>
      <c r="K149" s="2" t="s">
        <v>81</v>
      </c>
      <c r="L149" s="2" t="s">
        <v>40</v>
      </c>
      <c r="P149" s="2" t="s">
        <v>4</v>
      </c>
      <c r="Q149" s="2">
        <f>INDEX(Tables!$C$4:$C$28,MATCH($P149,Tables!$B$4:$B$28,0))</f>
        <v>32</v>
      </c>
      <c r="R149" s="2">
        <f>INDEX(Tables!$D$4:$D$28,MATCH($P149,Tables!$B$4:$B$28,0))</f>
        <v>4</v>
      </c>
      <c r="S149" s="2">
        <f>$S148+$R148+INDEX(Tables!$N$5:$Q$8,MATCH(MOD($S148+$R148,4),Tables!$M$5:$M$8,0),MATCH($R149,Tables!$N$4:$Q$4,0))</f>
        <v>496</v>
      </c>
      <c r="T149" s="2" t="str">
        <f t="shared" si="48"/>
        <v>01F0</v>
      </c>
      <c r="U149" s="2">
        <f t="shared" si="54"/>
        <v>124</v>
      </c>
      <c r="V149" s="2" t="str">
        <f t="shared" si="49"/>
        <v>07C</v>
      </c>
      <c r="W149" s="2" t="str">
        <f t="shared" si="50"/>
        <v/>
      </c>
      <c r="X149" s="2" t="str">
        <f t="shared" si="53"/>
        <v/>
      </c>
      <c r="Y149" s="2" t="str">
        <f t="shared" si="51"/>
        <v/>
      </c>
      <c r="Z149" s="2" t="str">
        <f t="shared" si="52"/>
        <v>X</v>
      </c>
      <c r="AA149" s="2" t="str">
        <f t="shared" si="55"/>
        <v/>
      </c>
      <c r="AB149" s="2" t="str">
        <f t="shared" si="56"/>
        <v/>
      </c>
      <c r="AC149" s="2" t="str">
        <f t="shared" si="57"/>
        <v/>
      </c>
      <c r="AD149" s="2" t="str">
        <f t="shared" si="58"/>
        <v>(0)</v>
      </c>
      <c r="AE149" s="2" t="str">
        <f t="shared" si="59"/>
        <v/>
      </c>
      <c r="AF149" s="2" t="str">
        <f t="shared" si="60"/>
        <v/>
      </c>
      <c r="AG149" s="2" t="str">
        <f t="shared" si="61"/>
        <v/>
      </c>
      <c r="AH149" s="2" t="str">
        <f t="shared" si="62"/>
        <v/>
      </c>
    </row>
    <row r="150" spans="2:34" x14ac:dyDescent="0.25">
      <c r="B150" s="2" t="s">
        <v>506</v>
      </c>
      <c r="C150" s="2" t="s">
        <v>519</v>
      </c>
      <c r="D150" s="2" t="s">
        <v>0</v>
      </c>
      <c r="E150" s="2" t="s">
        <v>130</v>
      </c>
      <c r="F150" s="2" t="s">
        <v>508</v>
      </c>
      <c r="G150" s="2" t="s">
        <v>509</v>
      </c>
      <c r="H150" s="2" t="s">
        <v>520</v>
      </c>
      <c r="I150" s="2" t="s">
        <v>41</v>
      </c>
      <c r="J150" s="2">
        <v>1</v>
      </c>
      <c r="K150" s="2" t="s">
        <v>81</v>
      </c>
      <c r="L150" s="2" t="s">
        <v>40</v>
      </c>
      <c r="P150" s="2" t="s">
        <v>4</v>
      </c>
      <c r="Q150" s="2">
        <f>INDEX(Tables!$C$4:$C$28,MATCH($P150,Tables!$B$4:$B$28,0))</f>
        <v>32</v>
      </c>
      <c r="R150" s="2">
        <f>INDEX(Tables!$D$4:$D$28,MATCH($P150,Tables!$B$4:$B$28,0))</f>
        <v>4</v>
      </c>
      <c r="S150" s="2">
        <f>$S149+$R149+INDEX(Tables!$N$5:$Q$8,MATCH(MOD($S149+$R149,4),Tables!$M$5:$M$8,0),MATCH($R150,Tables!$N$4:$Q$4,0))</f>
        <v>500</v>
      </c>
      <c r="T150" s="2" t="str">
        <f t="shared" si="48"/>
        <v>01F4</v>
      </c>
      <c r="U150" s="2">
        <f t="shared" si="54"/>
        <v>125</v>
      </c>
      <c r="V150" s="2" t="str">
        <f t="shared" si="49"/>
        <v>07D</v>
      </c>
      <c r="W150" s="2" t="str">
        <f t="shared" si="50"/>
        <v/>
      </c>
      <c r="X150" s="2" t="str">
        <f t="shared" si="53"/>
        <v/>
      </c>
      <c r="Y150" s="2" t="str">
        <f t="shared" si="51"/>
        <v/>
      </c>
      <c r="Z150" s="2" t="str">
        <f t="shared" si="52"/>
        <v>X</v>
      </c>
      <c r="AA150" s="2" t="str">
        <f t="shared" si="55"/>
        <v/>
      </c>
      <c r="AB150" s="2" t="str">
        <f t="shared" si="56"/>
        <v/>
      </c>
      <c r="AC150" s="2" t="str">
        <f t="shared" si="57"/>
        <v/>
      </c>
      <c r="AD150" s="2" t="str">
        <f t="shared" si="58"/>
        <v>(0)</v>
      </c>
      <c r="AE150" s="2" t="str">
        <f t="shared" si="59"/>
        <v/>
      </c>
      <c r="AF150" s="2" t="str">
        <f t="shared" si="60"/>
        <v/>
      </c>
      <c r="AG150" s="2" t="str">
        <f t="shared" si="61"/>
        <v/>
      </c>
      <c r="AH150" s="2" t="str">
        <f t="shared" si="62"/>
        <v/>
      </c>
    </row>
    <row r="151" spans="2:34" x14ac:dyDescent="0.25">
      <c r="B151" s="2" t="s">
        <v>506</v>
      </c>
      <c r="C151" s="2" t="s">
        <v>521</v>
      </c>
      <c r="D151" s="2" t="s">
        <v>0</v>
      </c>
      <c r="E151" s="2" t="s">
        <v>130</v>
      </c>
      <c r="F151" s="2" t="s">
        <v>508</v>
      </c>
      <c r="G151" s="2" t="s">
        <v>509</v>
      </c>
      <c r="H151" s="2" t="s">
        <v>522</v>
      </c>
      <c r="I151" s="2" t="s">
        <v>41</v>
      </c>
      <c r="J151" s="2">
        <v>1</v>
      </c>
      <c r="K151" s="2" t="s">
        <v>81</v>
      </c>
      <c r="L151" s="2" t="s">
        <v>40</v>
      </c>
      <c r="P151" s="2" t="s">
        <v>4</v>
      </c>
      <c r="Q151" s="2">
        <f>INDEX(Tables!$C$4:$C$28,MATCH($P151,Tables!$B$4:$B$28,0))</f>
        <v>32</v>
      </c>
      <c r="R151" s="2">
        <f>INDEX(Tables!$D$4:$D$28,MATCH($P151,Tables!$B$4:$B$28,0))</f>
        <v>4</v>
      </c>
      <c r="S151" s="2">
        <f>$S150+$R150+INDEX(Tables!$N$5:$Q$8,MATCH(MOD($S150+$R150,4),Tables!$M$5:$M$8,0),MATCH($R151,Tables!$N$4:$Q$4,0))</f>
        <v>504</v>
      </c>
      <c r="T151" s="2" t="str">
        <f t="shared" si="48"/>
        <v>01F8</v>
      </c>
      <c r="U151" s="2">
        <f t="shared" si="54"/>
        <v>126</v>
      </c>
      <c r="V151" s="2" t="str">
        <f t="shared" si="49"/>
        <v>07E</v>
      </c>
      <c r="W151" s="2" t="str">
        <f t="shared" si="50"/>
        <v/>
      </c>
      <c r="X151" s="2" t="str">
        <f t="shared" si="53"/>
        <v/>
      </c>
      <c r="Y151" s="2" t="str">
        <f t="shared" si="51"/>
        <v/>
      </c>
      <c r="Z151" s="2" t="str">
        <f t="shared" si="52"/>
        <v>X</v>
      </c>
      <c r="AA151" s="2" t="str">
        <f t="shared" si="55"/>
        <v/>
      </c>
      <c r="AB151" s="2" t="str">
        <f t="shared" si="56"/>
        <v/>
      </c>
      <c r="AC151" s="2" t="str">
        <f t="shared" si="57"/>
        <v/>
      </c>
      <c r="AD151" s="2" t="str">
        <f t="shared" si="58"/>
        <v>(0)</v>
      </c>
      <c r="AE151" s="2" t="str">
        <f t="shared" si="59"/>
        <v/>
      </c>
      <c r="AF151" s="2" t="str">
        <f t="shared" si="60"/>
        <v/>
      </c>
      <c r="AG151" s="2" t="str">
        <f t="shared" si="61"/>
        <v/>
      </c>
      <c r="AH151" s="2" t="str">
        <f t="shared" si="62"/>
        <v/>
      </c>
    </row>
    <row r="152" spans="2:34" x14ac:dyDescent="0.25">
      <c r="B152" s="2" t="s">
        <v>506</v>
      </c>
      <c r="C152" s="2" t="s">
        <v>523</v>
      </c>
      <c r="D152" s="2" t="s">
        <v>0</v>
      </c>
      <c r="E152" s="2" t="s">
        <v>130</v>
      </c>
      <c r="F152" s="2" t="s">
        <v>508</v>
      </c>
      <c r="G152" s="2" t="s">
        <v>509</v>
      </c>
      <c r="H152" s="2" t="s">
        <v>524</v>
      </c>
      <c r="I152" s="2" t="s">
        <v>41</v>
      </c>
      <c r="J152" s="2">
        <v>1</v>
      </c>
      <c r="K152" s="26" t="s">
        <v>81</v>
      </c>
      <c r="L152" s="2" t="s">
        <v>40</v>
      </c>
      <c r="P152" s="2" t="s">
        <v>4</v>
      </c>
      <c r="Q152" s="2">
        <f>INDEX(Tables!$C$4:$C$28,MATCH($P152,Tables!$B$4:$B$28,0))</f>
        <v>32</v>
      </c>
      <c r="R152" s="2">
        <f>INDEX(Tables!$D$4:$D$28,MATCH($P152,Tables!$B$4:$B$28,0))</f>
        <v>4</v>
      </c>
      <c r="S152" s="2">
        <f>$S151+$R151+INDEX(Tables!$N$5:$Q$8,MATCH(MOD($S151+$R151,4),Tables!$M$5:$M$8,0),MATCH($R152,Tables!$N$4:$Q$4,0))</f>
        <v>508</v>
      </c>
      <c r="T152" s="2" t="str">
        <f t="shared" si="48"/>
        <v>01FC</v>
      </c>
      <c r="U152" s="2">
        <f t="shared" si="54"/>
        <v>127</v>
      </c>
      <c r="V152" s="2" t="str">
        <f t="shared" si="49"/>
        <v>07F</v>
      </c>
      <c r="W152" s="2" t="str">
        <f t="shared" si="50"/>
        <v/>
      </c>
      <c r="X152" s="2" t="str">
        <f t="shared" si="53"/>
        <v/>
      </c>
      <c r="Y152" s="2" t="str">
        <f t="shared" si="51"/>
        <v/>
      </c>
      <c r="Z152" s="2" t="str">
        <f t="shared" si="52"/>
        <v>X</v>
      </c>
      <c r="AA152" s="2" t="str">
        <f t="shared" si="55"/>
        <v/>
      </c>
      <c r="AB152" s="2" t="str">
        <f t="shared" si="56"/>
        <v/>
      </c>
      <c r="AC152" s="2" t="str">
        <f t="shared" si="57"/>
        <v/>
      </c>
      <c r="AD152" s="2" t="str">
        <f t="shared" si="58"/>
        <v>(0)</v>
      </c>
      <c r="AE152" s="2" t="str">
        <f t="shared" si="59"/>
        <v/>
      </c>
      <c r="AF152" s="2" t="str">
        <f t="shared" si="60"/>
        <v/>
      </c>
      <c r="AG152" s="2" t="str">
        <f t="shared" si="61"/>
        <v/>
      </c>
      <c r="AH152" s="2" t="str">
        <f t="shared" si="62"/>
        <v/>
      </c>
    </row>
    <row r="153" spans="2:34" x14ac:dyDescent="0.25">
      <c r="B153" s="2" t="s">
        <v>506</v>
      </c>
      <c r="C153" s="2" t="s">
        <v>525</v>
      </c>
      <c r="D153" s="2" t="s">
        <v>0</v>
      </c>
      <c r="E153" s="2" t="s">
        <v>130</v>
      </c>
      <c r="F153" s="2" t="s">
        <v>508</v>
      </c>
      <c r="G153" s="2" t="s">
        <v>509</v>
      </c>
      <c r="H153" s="2" t="s">
        <v>526</v>
      </c>
      <c r="I153" s="2" t="s">
        <v>41</v>
      </c>
      <c r="J153" s="2">
        <v>1</v>
      </c>
      <c r="K153" s="2" t="s">
        <v>131</v>
      </c>
      <c r="L153" s="2" t="s">
        <v>40</v>
      </c>
      <c r="P153" s="2" t="s">
        <v>4</v>
      </c>
      <c r="Q153" s="2">
        <f>INDEX(Tables!$C$4:$C$28,MATCH($P153,Tables!$B$4:$B$28,0))</f>
        <v>32</v>
      </c>
      <c r="R153" s="2">
        <f>INDEX(Tables!$D$4:$D$28,MATCH($P153,Tables!$B$4:$B$28,0))</f>
        <v>4</v>
      </c>
      <c r="S153" s="2">
        <f>$S152+$R152+INDEX(Tables!$N$5:$Q$8,MATCH(MOD($S152+$R152,4),Tables!$M$5:$M$8,0),MATCH($R153,Tables!$N$4:$Q$4,0))</f>
        <v>512</v>
      </c>
      <c r="T153" s="2" t="str">
        <f t="shared" si="48"/>
        <v>0200</v>
      </c>
      <c r="U153" s="2">
        <f t="shared" si="54"/>
        <v>128</v>
      </c>
      <c r="V153" s="2" t="str">
        <f t="shared" si="49"/>
        <v>080</v>
      </c>
      <c r="W153" s="2" t="str">
        <f t="shared" si="50"/>
        <v/>
      </c>
      <c r="X153" s="2" t="str">
        <f t="shared" si="53"/>
        <v/>
      </c>
      <c r="Y153" s="2" t="str">
        <f t="shared" si="51"/>
        <v/>
      </c>
      <c r="Z153" s="2" t="str">
        <f t="shared" si="52"/>
        <v>X</v>
      </c>
      <c r="AA153" s="2" t="str">
        <f t="shared" si="55"/>
        <v/>
      </c>
      <c r="AB153" s="2" t="str">
        <f t="shared" si="56"/>
        <v/>
      </c>
      <c r="AC153" s="2" t="str">
        <f t="shared" si="57"/>
        <v/>
      </c>
      <c r="AD153" s="2" t="str">
        <f t="shared" si="58"/>
        <v>(0)</v>
      </c>
      <c r="AE153" s="2" t="str">
        <f t="shared" si="59"/>
        <v/>
      </c>
      <c r="AF153" s="2" t="str">
        <f t="shared" si="60"/>
        <v/>
      </c>
      <c r="AG153" s="2" t="str">
        <f t="shared" si="61"/>
        <v/>
      </c>
      <c r="AH153" s="2" t="str">
        <f t="shared" si="62"/>
        <v/>
      </c>
    </row>
    <row r="154" spans="2:34" ht="14.25" customHeight="1" x14ac:dyDescent="0.25">
      <c r="B154" s="2" t="s">
        <v>506</v>
      </c>
      <c r="C154" s="2" t="s">
        <v>527</v>
      </c>
      <c r="D154" s="2" t="s">
        <v>0</v>
      </c>
      <c r="E154" s="2" t="s">
        <v>130</v>
      </c>
      <c r="F154" s="2" t="s">
        <v>508</v>
      </c>
      <c r="G154" s="2" t="s">
        <v>509</v>
      </c>
      <c r="H154" s="2" t="s">
        <v>528</v>
      </c>
      <c r="I154" s="2" t="s">
        <v>41</v>
      </c>
      <c r="J154" s="2">
        <v>1</v>
      </c>
      <c r="K154" s="2" t="s">
        <v>131</v>
      </c>
      <c r="L154" s="2" t="s">
        <v>40</v>
      </c>
      <c r="P154" s="2" t="s">
        <v>4</v>
      </c>
      <c r="Q154" s="2">
        <f>INDEX(Tables!$C$4:$C$28,MATCH($P154,Tables!$B$4:$B$28,0))</f>
        <v>32</v>
      </c>
      <c r="R154" s="2">
        <f>INDEX(Tables!$D$4:$D$28,MATCH($P154,Tables!$B$4:$B$28,0))</f>
        <v>4</v>
      </c>
      <c r="S154" s="2">
        <f>$S153+$R153+INDEX(Tables!$N$5:$Q$8,MATCH(MOD($S153+$R153,4),Tables!$M$5:$M$8,0),MATCH($R154,Tables!$N$4:$Q$4,0))</f>
        <v>516</v>
      </c>
      <c r="T154" s="2" t="str">
        <f t="shared" si="48"/>
        <v>0204</v>
      </c>
      <c r="U154" s="2">
        <f t="shared" si="54"/>
        <v>129</v>
      </c>
      <c r="V154" s="2" t="str">
        <f t="shared" si="49"/>
        <v>081</v>
      </c>
      <c r="W154" s="2" t="str">
        <f t="shared" si="50"/>
        <v/>
      </c>
      <c r="X154" s="2" t="str">
        <f t="shared" si="53"/>
        <v/>
      </c>
      <c r="Y154" s="2" t="str">
        <f t="shared" si="51"/>
        <v/>
      </c>
      <c r="Z154" s="2" t="str">
        <f t="shared" si="52"/>
        <v>X</v>
      </c>
      <c r="AA154" s="2" t="str">
        <f t="shared" si="55"/>
        <v/>
      </c>
      <c r="AB154" s="2" t="str">
        <f t="shared" si="56"/>
        <v/>
      </c>
      <c r="AC154" s="2" t="str">
        <f t="shared" si="57"/>
        <v/>
      </c>
      <c r="AD154" s="2" t="str">
        <f t="shared" si="58"/>
        <v>(0)</v>
      </c>
      <c r="AE154" s="2" t="str">
        <f t="shared" si="59"/>
        <v/>
      </c>
      <c r="AF154" s="2" t="str">
        <f t="shared" si="60"/>
        <v/>
      </c>
      <c r="AG154" s="2" t="str">
        <f t="shared" si="61"/>
        <v/>
      </c>
      <c r="AH154" s="2" t="str">
        <f t="shared" si="62"/>
        <v/>
      </c>
    </row>
    <row r="155" spans="2:34" x14ac:dyDescent="0.25">
      <c r="B155" s="2" t="s">
        <v>506</v>
      </c>
      <c r="C155" s="2" t="s">
        <v>529</v>
      </c>
      <c r="D155" s="2" t="s">
        <v>0</v>
      </c>
      <c r="E155" s="2" t="s">
        <v>130</v>
      </c>
      <c r="F155" s="2" t="s">
        <v>508</v>
      </c>
      <c r="G155" s="2" t="s">
        <v>509</v>
      </c>
      <c r="H155" s="2" t="s">
        <v>530</v>
      </c>
      <c r="I155" s="2" t="s">
        <v>41</v>
      </c>
      <c r="J155" s="2">
        <v>1</v>
      </c>
      <c r="K155" s="2" t="s">
        <v>131</v>
      </c>
      <c r="L155" s="2" t="s">
        <v>40</v>
      </c>
      <c r="P155" s="2" t="s">
        <v>4</v>
      </c>
      <c r="Q155" s="2">
        <f>INDEX(Tables!$C$4:$C$28,MATCH($P155,Tables!$B$4:$B$28,0))</f>
        <v>32</v>
      </c>
      <c r="R155" s="2">
        <f>INDEX(Tables!$D$4:$D$28,MATCH($P155,Tables!$B$4:$B$28,0))</f>
        <v>4</v>
      </c>
      <c r="S155" s="2">
        <f>$S154+$R154+INDEX(Tables!$N$5:$Q$8,MATCH(MOD($S154+$R154,4),Tables!$M$5:$M$8,0),MATCH($R155,Tables!$N$4:$Q$4,0))</f>
        <v>520</v>
      </c>
      <c r="T155" s="2" t="str">
        <f t="shared" si="48"/>
        <v>0208</v>
      </c>
      <c r="U155" s="2">
        <f t="shared" si="54"/>
        <v>130</v>
      </c>
      <c r="V155" s="2" t="str">
        <f t="shared" si="49"/>
        <v>082</v>
      </c>
      <c r="W155" s="2" t="str">
        <f t="shared" si="50"/>
        <v/>
      </c>
      <c r="X155" s="2" t="str">
        <f t="shared" si="53"/>
        <v/>
      </c>
      <c r="Y155" s="2" t="str">
        <f t="shared" si="51"/>
        <v/>
      </c>
      <c r="Z155" s="2" t="str">
        <f t="shared" si="52"/>
        <v>X</v>
      </c>
      <c r="AA155" s="2" t="str">
        <f t="shared" si="55"/>
        <v/>
      </c>
      <c r="AB155" s="2" t="str">
        <f t="shared" si="56"/>
        <v/>
      </c>
      <c r="AC155" s="2" t="str">
        <f t="shared" si="57"/>
        <v/>
      </c>
      <c r="AD155" s="2" t="str">
        <f t="shared" si="58"/>
        <v>(0)</v>
      </c>
      <c r="AE155" s="2" t="str">
        <f t="shared" si="59"/>
        <v/>
      </c>
      <c r="AF155" s="2" t="str">
        <f t="shared" si="60"/>
        <v/>
      </c>
      <c r="AG155" s="2" t="str">
        <f t="shared" si="61"/>
        <v/>
      </c>
      <c r="AH155" s="2" t="str">
        <f t="shared" si="62"/>
        <v/>
      </c>
    </row>
    <row r="156" spans="2:34" x14ac:dyDescent="0.25">
      <c r="B156" s="2" t="s">
        <v>506</v>
      </c>
      <c r="C156" s="2" t="s">
        <v>531</v>
      </c>
      <c r="D156" s="2" t="s">
        <v>0</v>
      </c>
      <c r="E156" s="2" t="s">
        <v>130</v>
      </c>
      <c r="F156" s="2" t="s">
        <v>508</v>
      </c>
      <c r="G156" s="2" t="s">
        <v>509</v>
      </c>
      <c r="H156" s="2" t="s">
        <v>532</v>
      </c>
      <c r="I156" s="2" t="s">
        <v>41</v>
      </c>
      <c r="J156" s="2">
        <v>1</v>
      </c>
      <c r="K156" s="2" t="s">
        <v>131</v>
      </c>
      <c r="L156" s="2" t="s">
        <v>40</v>
      </c>
      <c r="P156" s="2" t="s">
        <v>4</v>
      </c>
      <c r="Q156" s="2">
        <f>INDEX(Tables!$C$4:$C$28,MATCH($P156,Tables!$B$4:$B$28,0))</f>
        <v>32</v>
      </c>
      <c r="R156" s="2">
        <f>INDEX(Tables!$D$4:$D$28,MATCH($P156,Tables!$B$4:$B$28,0))</f>
        <v>4</v>
      </c>
      <c r="S156" s="2">
        <f>$S155+$R155+INDEX(Tables!$N$5:$Q$8,MATCH(MOD($S155+$R155,4),Tables!$M$5:$M$8,0),MATCH($R156,Tables!$N$4:$Q$4,0))</f>
        <v>524</v>
      </c>
      <c r="T156" s="2" t="str">
        <f t="shared" si="48"/>
        <v>020C</v>
      </c>
      <c r="U156" s="2">
        <f t="shared" si="54"/>
        <v>131</v>
      </c>
      <c r="V156" s="2" t="str">
        <f t="shared" si="49"/>
        <v>083</v>
      </c>
      <c r="W156" s="2" t="str">
        <f t="shared" si="50"/>
        <v/>
      </c>
      <c r="X156" s="2" t="str">
        <f t="shared" si="53"/>
        <v/>
      </c>
      <c r="Y156" s="2" t="str">
        <f t="shared" si="51"/>
        <v/>
      </c>
      <c r="Z156" s="2" t="str">
        <f t="shared" si="52"/>
        <v>X</v>
      </c>
      <c r="AA156" s="2" t="str">
        <f t="shared" si="55"/>
        <v/>
      </c>
      <c r="AB156" s="2" t="str">
        <f t="shared" si="56"/>
        <v/>
      </c>
      <c r="AC156" s="2" t="str">
        <f t="shared" si="57"/>
        <v/>
      </c>
      <c r="AD156" s="2" t="str">
        <f t="shared" si="58"/>
        <v>(0)</v>
      </c>
      <c r="AE156" s="2" t="str">
        <f t="shared" si="59"/>
        <v/>
      </c>
      <c r="AF156" s="2" t="str">
        <f t="shared" si="60"/>
        <v/>
      </c>
      <c r="AG156" s="2" t="str">
        <f t="shared" si="61"/>
        <v/>
      </c>
      <c r="AH156" s="2" t="str">
        <f t="shared" si="62"/>
        <v/>
      </c>
    </row>
    <row r="157" spans="2:34" x14ac:dyDescent="0.25">
      <c r="B157" s="2" t="s">
        <v>506</v>
      </c>
      <c r="C157" s="2" t="s">
        <v>533</v>
      </c>
      <c r="D157" s="2" t="s">
        <v>0</v>
      </c>
      <c r="E157" s="2" t="s">
        <v>130</v>
      </c>
      <c r="F157" s="2" t="s">
        <v>508</v>
      </c>
      <c r="G157" s="2" t="s">
        <v>509</v>
      </c>
      <c r="H157" s="2" t="s">
        <v>534</v>
      </c>
      <c r="I157" s="2" t="s">
        <v>41</v>
      </c>
      <c r="J157" s="2">
        <v>1</v>
      </c>
      <c r="K157" s="2" t="s">
        <v>81</v>
      </c>
      <c r="L157" s="2" t="s">
        <v>40</v>
      </c>
      <c r="P157" s="2" t="s">
        <v>4</v>
      </c>
      <c r="Q157" s="2">
        <f>INDEX(Tables!$C$4:$C$28,MATCH($P157,Tables!$B$4:$B$28,0))</f>
        <v>32</v>
      </c>
      <c r="R157" s="2">
        <f>INDEX(Tables!$D$4:$D$28,MATCH($P157,Tables!$B$4:$B$28,0))</f>
        <v>4</v>
      </c>
      <c r="S157" s="2">
        <f>$S156+$R156+INDEX(Tables!$N$5:$Q$8,MATCH(MOD($S156+$R156,4),Tables!$M$5:$M$8,0),MATCH($R157,Tables!$N$4:$Q$4,0))</f>
        <v>528</v>
      </c>
      <c r="T157" s="2" t="str">
        <f t="shared" si="48"/>
        <v>0210</v>
      </c>
      <c r="U157" s="2">
        <f t="shared" si="54"/>
        <v>132</v>
      </c>
      <c r="V157" s="2" t="str">
        <f t="shared" si="49"/>
        <v>084</v>
      </c>
      <c r="W157" s="2" t="str">
        <f t="shared" si="50"/>
        <v/>
      </c>
      <c r="X157" s="2" t="str">
        <f t="shared" si="53"/>
        <v/>
      </c>
      <c r="Y157" s="2" t="str">
        <f t="shared" si="51"/>
        <v/>
      </c>
      <c r="Z157" s="2" t="str">
        <f t="shared" si="52"/>
        <v>X</v>
      </c>
      <c r="AA157" s="2" t="str">
        <f t="shared" si="55"/>
        <v/>
      </c>
      <c r="AB157" s="2" t="str">
        <f t="shared" si="56"/>
        <v/>
      </c>
      <c r="AC157" s="2" t="str">
        <f t="shared" si="57"/>
        <v/>
      </c>
      <c r="AD157" s="2" t="str">
        <f t="shared" si="58"/>
        <v>(0)</v>
      </c>
      <c r="AE157" s="2" t="str">
        <f t="shared" si="59"/>
        <v/>
      </c>
      <c r="AF157" s="2" t="str">
        <f t="shared" si="60"/>
        <v/>
      </c>
      <c r="AG157" s="2" t="str">
        <f t="shared" si="61"/>
        <v/>
      </c>
      <c r="AH157" s="2" t="str">
        <f t="shared" si="62"/>
        <v/>
      </c>
    </row>
    <row r="158" spans="2:34" x14ac:dyDescent="0.25">
      <c r="B158" s="2" t="s">
        <v>506</v>
      </c>
      <c r="C158" s="2" t="s">
        <v>535</v>
      </c>
      <c r="D158" s="2" t="s">
        <v>0</v>
      </c>
      <c r="E158" s="2" t="s">
        <v>130</v>
      </c>
      <c r="F158" s="2" t="s">
        <v>508</v>
      </c>
      <c r="G158" s="2" t="s">
        <v>509</v>
      </c>
      <c r="H158" s="2" t="s">
        <v>536</v>
      </c>
      <c r="I158" s="2" t="s">
        <v>41</v>
      </c>
      <c r="J158" s="2">
        <v>1</v>
      </c>
      <c r="K158" s="2" t="s">
        <v>81</v>
      </c>
      <c r="L158" s="2" t="s">
        <v>40</v>
      </c>
      <c r="P158" s="2" t="s">
        <v>4</v>
      </c>
      <c r="Q158" s="2">
        <f>INDEX(Tables!$C$4:$C$28,MATCH($P158,Tables!$B$4:$B$28,0))</f>
        <v>32</v>
      </c>
      <c r="R158" s="2">
        <f>INDEX(Tables!$D$4:$D$28,MATCH($P158,Tables!$B$4:$B$28,0))</f>
        <v>4</v>
      </c>
      <c r="S158" s="2">
        <f>$S157+$R157+INDEX(Tables!$N$5:$Q$8,MATCH(MOD($S157+$R157,4),Tables!$M$5:$M$8,0),MATCH($R158,Tables!$N$4:$Q$4,0))</f>
        <v>532</v>
      </c>
      <c r="T158" s="2" t="str">
        <f t="shared" si="48"/>
        <v>0214</v>
      </c>
      <c r="U158" s="2">
        <f t="shared" si="54"/>
        <v>133</v>
      </c>
      <c r="V158" s="2" t="str">
        <f t="shared" si="49"/>
        <v>085</v>
      </c>
      <c r="W158" s="2" t="str">
        <f t="shared" si="50"/>
        <v/>
      </c>
      <c r="X158" s="2" t="str">
        <f t="shared" si="53"/>
        <v/>
      </c>
      <c r="Y158" s="2" t="str">
        <f t="shared" si="51"/>
        <v/>
      </c>
      <c r="Z158" s="2" t="str">
        <f t="shared" si="52"/>
        <v>X</v>
      </c>
      <c r="AA158" s="2" t="str">
        <f t="shared" si="55"/>
        <v/>
      </c>
      <c r="AB158" s="2" t="str">
        <f t="shared" si="56"/>
        <v/>
      </c>
      <c r="AC158" s="2" t="str">
        <f t="shared" si="57"/>
        <v/>
      </c>
      <c r="AD158" s="2" t="str">
        <f t="shared" si="58"/>
        <v>(0)</v>
      </c>
      <c r="AE158" s="2" t="str">
        <f t="shared" si="59"/>
        <v/>
      </c>
      <c r="AF158" s="2" t="str">
        <f t="shared" si="60"/>
        <v/>
      </c>
      <c r="AG158" s="2" t="str">
        <f t="shared" si="61"/>
        <v/>
      </c>
      <c r="AH158" s="2" t="str">
        <f t="shared" si="62"/>
        <v/>
      </c>
    </row>
    <row r="159" spans="2:34" x14ac:dyDescent="0.25">
      <c r="B159" s="2" t="s">
        <v>506</v>
      </c>
      <c r="C159" s="2" t="s">
        <v>537</v>
      </c>
      <c r="D159" s="2" t="s">
        <v>0</v>
      </c>
      <c r="E159" s="2" t="s">
        <v>130</v>
      </c>
      <c r="F159" s="2" t="s">
        <v>508</v>
      </c>
      <c r="G159" s="2" t="s">
        <v>509</v>
      </c>
      <c r="H159" s="2" t="s">
        <v>538</v>
      </c>
      <c r="I159" s="2" t="s">
        <v>41</v>
      </c>
      <c r="J159" s="2">
        <v>1</v>
      </c>
      <c r="K159" s="2" t="s">
        <v>81</v>
      </c>
      <c r="L159" s="2" t="s">
        <v>40</v>
      </c>
      <c r="P159" s="2" t="s">
        <v>4</v>
      </c>
      <c r="Q159" s="2">
        <f>INDEX(Tables!$C$4:$C$28,MATCH($P159,Tables!$B$4:$B$28,0))</f>
        <v>32</v>
      </c>
      <c r="R159" s="2">
        <f>INDEX(Tables!$D$4:$D$28,MATCH($P159,Tables!$B$4:$B$28,0))</f>
        <v>4</v>
      </c>
      <c r="S159" s="2">
        <f>$S158+$R158+INDEX(Tables!$N$5:$Q$8,MATCH(MOD($S158+$R158,4),Tables!$M$5:$M$8,0),MATCH($R159,Tables!$N$4:$Q$4,0))</f>
        <v>536</v>
      </c>
      <c r="T159" s="2" t="str">
        <f t="shared" si="48"/>
        <v>0218</v>
      </c>
      <c r="U159" s="2">
        <f t="shared" si="54"/>
        <v>134</v>
      </c>
      <c r="V159" s="2" t="str">
        <f t="shared" si="49"/>
        <v>086</v>
      </c>
      <c r="W159" s="2" t="str">
        <f t="shared" si="50"/>
        <v/>
      </c>
      <c r="X159" s="2" t="str">
        <f t="shared" si="53"/>
        <v/>
      </c>
      <c r="Y159" s="2" t="str">
        <f t="shared" si="51"/>
        <v/>
      </c>
      <c r="Z159" s="2" t="str">
        <f t="shared" si="52"/>
        <v>X</v>
      </c>
      <c r="AA159" s="2" t="str">
        <f t="shared" si="55"/>
        <v/>
      </c>
      <c r="AB159" s="2" t="str">
        <f t="shared" si="56"/>
        <v/>
      </c>
      <c r="AC159" s="2" t="str">
        <f t="shared" si="57"/>
        <v/>
      </c>
      <c r="AD159" s="2" t="str">
        <f t="shared" si="58"/>
        <v>(0)</v>
      </c>
      <c r="AE159" s="2" t="str">
        <f t="shared" si="59"/>
        <v/>
      </c>
      <c r="AF159" s="2" t="str">
        <f t="shared" si="60"/>
        <v/>
      </c>
      <c r="AG159" s="2" t="str">
        <f t="shared" si="61"/>
        <v/>
      </c>
      <c r="AH159" s="2" t="str">
        <f t="shared" si="62"/>
        <v/>
      </c>
    </row>
    <row r="160" spans="2:34" x14ac:dyDescent="0.25">
      <c r="B160" s="2" t="s">
        <v>506</v>
      </c>
      <c r="C160" s="2" t="s">
        <v>539</v>
      </c>
      <c r="D160" s="2" t="s">
        <v>0</v>
      </c>
      <c r="E160" s="2" t="s">
        <v>130</v>
      </c>
      <c r="F160" s="2" t="s">
        <v>508</v>
      </c>
      <c r="G160" s="2" t="s">
        <v>509</v>
      </c>
      <c r="H160" s="2" t="s">
        <v>540</v>
      </c>
      <c r="I160" s="2" t="s">
        <v>41</v>
      </c>
      <c r="J160" s="2">
        <v>1</v>
      </c>
      <c r="K160" s="2" t="s">
        <v>81</v>
      </c>
      <c r="L160" s="2" t="s">
        <v>40</v>
      </c>
      <c r="P160" s="2" t="s">
        <v>4</v>
      </c>
      <c r="Q160" s="2">
        <f>INDEX(Tables!$C$4:$C$28,MATCH($P160,Tables!$B$4:$B$28,0))</f>
        <v>32</v>
      </c>
      <c r="R160" s="2">
        <f>INDEX(Tables!$D$4:$D$28,MATCH($P160,Tables!$B$4:$B$28,0))</f>
        <v>4</v>
      </c>
      <c r="S160" s="2">
        <f>$S159+$R159+INDEX(Tables!$N$5:$Q$8,MATCH(MOD($S159+$R159,4),Tables!$M$5:$M$8,0),MATCH($R160,Tables!$N$4:$Q$4,0))</f>
        <v>540</v>
      </c>
      <c r="T160" s="2" t="str">
        <f t="shared" si="48"/>
        <v>021C</v>
      </c>
      <c r="U160" s="2">
        <f t="shared" si="54"/>
        <v>135</v>
      </c>
      <c r="V160" s="2" t="str">
        <f t="shared" si="49"/>
        <v>087</v>
      </c>
      <c r="W160" s="2" t="str">
        <f t="shared" si="50"/>
        <v/>
      </c>
      <c r="X160" s="2" t="str">
        <f t="shared" si="53"/>
        <v/>
      </c>
      <c r="Y160" s="2" t="str">
        <f t="shared" si="51"/>
        <v/>
      </c>
      <c r="Z160" s="2" t="str">
        <f t="shared" si="52"/>
        <v>X</v>
      </c>
      <c r="AA160" s="2" t="str">
        <f t="shared" si="55"/>
        <v/>
      </c>
      <c r="AB160" s="2" t="str">
        <f t="shared" si="56"/>
        <v/>
      </c>
      <c r="AC160" s="2" t="str">
        <f t="shared" si="57"/>
        <v/>
      </c>
      <c r="AD160" s="2" t="str">
        <f t="shared" si="58"/>
        <v>(0)</v>
      </c>
      <c r="AE160" s="2" t="str">
        <f t="shared" si="59"/>
        <v/>
      </c>
      <c r="AF160" s="2" t="str">
        <f t="shared" si="60"/>
        <v/>
      </c>
      <c r="AG160" s="2" t="str">
        <f t="shared" si="61"/>
        <v/>
      </c>
      <c r="AH160" s="2" t="str">
        <f t="shared" si="62"/>
        <v/>
      </c>
    </row>
    <row r="161" spans="2:34" x14ac:dyDescent="0.25">
      <c r="B161" s="2" t="s">
        <v>506</v>
      </c>
      <c r="C161" s="2" t="s">
        <v>157</v>
      </c>
      <c r="D161" s="2" t="s">
        <v>0</v>
      </c>
      <c r="E161" s="2" t="s">
        <v>130</v>
      </c>
      <c r="F161" s="2" t="s">
        <v>508</v>
      </c>
      <c r="G161" s="2" t="s">
        <v>509</v>
      </c>
      <c r="H161" s="2" t="s">
        <v>160</v>
      </c>
      <c r="I161" s="2" t="s">
        <v>41</v>
      </c>
      <c r="J161" s="2">
        <v>2</v>
      </c>
      <c r="K161" s="2" t="s">
        <v>132</v>
      </c>
      <c r="L161" s="2" t="s">
        <v>40</v>
      </c>
      <c r="P161" s="2" t="s">
        <v>47</v>
      </c>
      <c r="Q161" s="2">
        <f>INDEX(Tables!$C$4:$C$28,MATCH($P161,Tables!$B$4:$B$28,0))</f>
        <v>8</v>
      </c>
      <c r="R161" s="2">
        <f>INDEX(Tables!$D$4:$D$28,MATCH($P161,Tables!$B$4:$B$28,0))</f>
        <v>1</v>
      </c>
      <c r="S161" s="2">
        <f>$S160+$R160+INDEX(Tables!$N$5:$Q$8,MATCH(MOD($S160+$R160,4),Tables!$M$5:$M$8,0),MATCH($R161,Tables!$N$4:$Q$4,0))</f>
        <v>544</v>
      </c>
      <c r="T161" s="2" t="str">
        <f t="shared" si="48"/>
        <v>0220</v>
      </c>
      <c r="U161" s="2">
        <f t="shared" si="54"/>
        <v>136</v>
      </c>
      <c r="V161" s="2" t="str">
        <f t="shared" si="49"/>
        <v>088</v>
      </c>
      <c r="W161" s="2" t="str">
        <f t="shared" si="50"/>
        <v/>
      </c>
      <c r="X161" s="2" t="str">
        <f t="shared" si="53"/>
        <v/>
      </c>
      <c r="Y161" s="2" t="str">
        <f t="shared" si="51"/>
        <v/>
      </c>
      <c r="Z161" s="2" t="str">
        <f t="shared" si="52"/>
        <v>X</v>
      </c>
      <c r="AA161" s="2" t="str">
        <f t="shared" si="55"/>
        <v/>
      </c>
      <c r="AB161" s="2" t="str">
        <f t="shared" si="56"/>
        <v/>
      </c>
      <c r="AC161" s="2" t="str">
        <f t="shared" si="57"/>
        <v/>
      </c>
      <c r="AD161" s="2" t="str">
        <f t="shared" si="58"/>
        <v>(1 downto 0)</v>
      </c>
      <c r="AE161" s="2" t="str">
        <f t="shared" si="59"/>
        <v/>
      </c>
      <c r="AF161" s="2" t="str">
        <f t="shared" si="60"/>
        <v/>
      </c>
      <c r="AG161" s="2" t="str">
        <f t="shared" si="61"/>
        <v/>
      </c>
      <c r="AH161" s="2" t="str">
        <f t="shared" si="62"/>
        <v/>
      </c>
    </row>
    <row r="162" spans="2:34" x14ac:dyDescent="0.25">
      <c r="B162" s="2" t="s">
        <v>506</v>
      </c>
      <c r="C162" s="2" t="s">
        <v>541</v>
      </c>
      <c r="D162" s="2" t="s">
        <v>0</v>
      </c>
      <c r="E162" s="2" t="s">
        <v>130</v>
      </c>
      <c r="F162" s="2" t="s">
        <v>508</v>
      </c>
      <c r="G162" s="2" t="s">
        <v>509</v>
      </c>
      <c r="H162" s="2" t="s">
        <v>542</v>
      </c>
      <c r="I162" s="2" t="s">
        <v>41</v>
      </c>
      <c r="J162" s="2">
        <v>1</v>
      </c>
      <c r="K162" s="2" t="s">
        <v>81</v>
      </c>
      <c r="L162" s="2" t="s">
        <v>40</v>
      </c>
      <c r="P162" s="2" t="s">
        <v>4</v>
      </c>
      <c r="Q162" s="2">
        <f>INDEX(Tables!$C$4:$C$28,MATCH($P162,Tables!$B$4:$B$28,0))</f>
        <v>32</v>
      </c>
      <c r="R162" s="2">
        <f>INDEX(Tables!$D$4:$D$28,MATCH($P162,Tables!$B$4:$B$28,0))</f>
        <v>4</v>
      </c>
      <c r="S162" s="2">
        <f>$S161+$R161+INDEX(Tables!$N$5:$Q$8,MATCH(MOD($S161+$R161,4),Tables!$M$5:$M$8,0),MATCH($R162,Tables!$N$4:$Q$4,0))</f>
        <v>548</v>
      </c>
      <c r="T162" s="2" t="str">
        <f t="shared" si="48"/>
        <v>0224</v>
      </c>
      <c r="U162" s="2">
        <f t="shared" si="54"/>
        <v>137</v>
      </c>
      <c r="V162" s="2" t="str">
        <f t="shared" si="49"/>
        <v>089</v>
      </c>
      <c r="W162" s="2" t="str">
        <f t="shared" si="50"/>
        <v/>
      </c>
      <c r="X162" s="2" t="str">
        <f t="shared" si="53"/>
        <v/>
      </c>
      <c r="Y162" s="2" t="str">
        <f t="shared" si="51"/>
        <v/>
      </c>
      <c r="Z162" s="2" t="str">
        <f t="shared" si="52"/>
        <v>X</v>
      </c>
      <c r="AA162" s="2" t="str">
        <f t="shared" si="55"/>
        <v/>
      </c>
      <c r="AB162" s="2" t="str">
        <f t="shared" si="56"/>
        <v/>
      </c>
      <c r="AC162" s="2" t="str">
        <f t="shared" si="57"/>
        <v/>
      </c>
      <c r="AD162" s="2" t="str">
        <f t="shared" si="58"/>
        <v>(0)</v>
      </c>
      <c r="AE162" s="2" t="str">
        <f t="shared" si="59"/>
        <v/>
      </c>
      <c r="AF162" s="2" t="str">
        <f t="shared" si="60"/>
        <v/>
      </c>
      <c r="AG162" s="2" t="str">
        <f t="shared" si="61"/>
        <v/>
      </c>
      <c r="AH162" s="2" t="str">
        <f t="shared" si="62"/>
        <v/>
      </c>
    </row>
    <row r="163" spans="2:34" x14ac:dyDescent="0.25">
      <c r="B163" s="2" t="s">
        <v>506</v>
      </c>
      <c r="C163" s="2" t="s">
        <v>543</v>
      </c>
      <c r="D163" s="2" t="s">
        <v>0</v>
      </c>
      <c r="E163" s="2" t="s">
        <v>130</v>
      </c>
      <c r="F163" s="2" t="s">
        <v>508</v>
      </c>
      <c r="G163" s="2" t="s">
        <v>509</v>
      </c>
      <c r="H163" s="2" t="s">
        <v>544</v>
      </c>
      <c r="I163" s="2" t="s">
        <v>41</v>
      </c>
      <c r="J163" s="2">
        <v>1</v>
      </c>
      <c r="K163" s="2" t="s">
        <v>81</v>
      </c>
      <c r="L163" s="2" t="s">
        <v>40</v>
      </c>
      <c r="P163" s="2" t="s">
        <v>4</v>
      </c>
      <c r="Q163" s="2">
        <f>INDEX(Tables!$C$4:$C$28,MATCH($P163,Tables!$B$4:$B$28,0))</f>
        <v>32</v>
      </c>
      <c r="R163" s="2">
        <f>INDEX(Tables!$D$4:$D$28,MATCH($P163,Tables!$B$4:$B$28,0))</f>
        <v>4</v>
      </c>
      <c r="S163" s="2">
        <f>$S162+$R162+INDEX(Tables!$N$5:$Q$8,MATCH(MOD($S162+$R162,4),Tables!$M$5:$M$8,0),MATCH($R163,Tables!$N$4:$Q$4,0))</f>
        <v>552</v>
      </c>
      <c r="T163" s="2" t="str">
        <f t="shared" si="48"/>
        <v>0228</v>
      </c>
      <c r="U163" s="2">
        <f t="shared" si="54"/>
        <v>138</v>
      </c>
      <c r="V163" s="2" t="str">
        <f t="shared" si="49"/>
        <v>08A</v>
      </c>
      <c r="W163" s="2" t="str">
        <f t="shared" si="50"/>
        <v/>
      </c>
      <c r="X163" s="2" t="str">
        <f t="shared" si="53"/>
        <v/>
      </c>
      <c r="Y163" s="2" t="str">
        <f t="shared" si="51"/>
        <v/>
      </c>
      <c r="Z163" s="2" t="str">
        <f t="shared" si="52"/>
        <v>X</v>
      </c>
      <c r="AA163" s="2" t="str">
        <f t="shared" si="55"/>
        <v/>
      </c>
      <c r="AB163" s="2" t="str">
        <f t="shared" si="56"/>
        <v/>
      </c>
      <c r="AC163" s="2" t="str">
        <f t="shared" si="57"/>
        <v/>
      </c>
      <c r="AD163" s="2" t="str">
        <f t="shared" si="58"/>
        <v>(0)</v>
      </c>
      <c r="AE163" s="2" t="str">
        <f t="shared" si="59"/>
        <v/>
      </c>
      <c r="AF163" s="2" t="str">
        <f t="shared" si="60"/>
        <v/>
      </c>
      <c r="AG163" s="2" t="str">
        <f t="shared" si="61"/>
        <v/>
      </c>
      <c r="AH163" s="2" t="str">
        <f t="shared" si="62"/>
        <v/>
      </c>
    </row>
    <row r="164" spans="2:34" x14ac:dyDescent="0.25">
      <c r="B164" s="2" t="s">
        <v>506</v>
      </c>
      <c r="C164" s="2" t="s">
        <v>545</v>
      </c>
      <c r="D164" s="2" t="s">
        <v>0</v>
      </c>
      <c r="E164" s="2" t="s">
        <v>130</v>
      </c>
      <c r="F164" s="2" t="s">
        <v>508</v>
      </c>
      <c r="G164" s="2" t="s">
        <v>509</v>
      </c>
      <c r="H164" s="2" t="s">
        <v>546</v>
      </c>
      <c r="I164" s="2" t="s">
        <v>41</v>
      </c>
      <c r="J164" s="2">
        <v>1</v>
      </c>
      <c r="K164" s="2" t="s">
        <v>81</v>
      </c>
      <c r="L164" s="2" t="s">
        <v>40</v>
      </c>
      <c r="P164" s="2" t="s">
        <v>4</v>
      </c>
      <c r="Q164" s="2">
        <f>INDEX(Tables!$C$4:$C$28,MATCH($P164,Tables!$B$4:$B$28,0))</f>
        <v>32</v>
      </c>
      <c r="R164" s="2">
        <f>INDEX(Tables!$D$4:$D$28,MATCH($P164,Tables!$B$4:$B$28,0))</f>
        <v>4</v>
      </c>
      <c r="S164" s="2">
        <f>$S163+$R163+INDEX(Tables!$N$5:$Q$8,MATCH(MOD($S163+$R163,4),Tables!$M$5:$M$8,0),MATCH($R164,Tables!$N$4:$Q$4,0))</f>
        <v>556</v>
      </c>
      <c r="T164" s="2" t="str">
        <f t="shared" si="48"/>
        <v>022C</v>
      </c>
      <c r="U164" s="2">
        <f t="shared" si="54"/>
        <v>139</v>
      </c>
      <c r="V164" s="2" t="str">
        <f t="shared" si="49"/>
        <v>08B</v>
      </c>
      <c r="W164" s="2" t="str">
        <f t="shared" si="50"/>
        <v/>
      </c>
      <c r="X164" s="2" t="str">
        <f t="shared" si="53"/>
        <v/>
      </c>
      <c r="Y164" s="2" t="str">
        <f t="shared" si="51"/>
        <v/>
      </c>
      <c r="Z164" s="2" t="str">
        <f t="shared" si="52"/>
        <v>X</v>
      </c>
      <c r="AA164" s="2" t="str">
        <f t="shared" si="55"/>
        <v/>
      </c>
      <c r="AB164" s="2" t="str">
        <f t="shared" si="56"/>
        <v/>
      </c>
      <c r="AC164" s="2" t="str">
        <f t="shared" si="57"/>
        <v/>
      </c>
      <c r="AD164" s="2" t="str">
        <f t="shared" si="58"/>
        <v>(0)</v>
      </c>
      <c r="AE164" s="2" t="str">
        <f t="shared" si="59"/>
        <v/>
      </c>
      <c r="AF164" s="2" t="str">
        <f t="shared" si="60"/>
        <v/>
      </c>
      <c r="AG164" s="2" t="str">
        <f t="shared" si="61"/>
        <v/>
      </c>
      <c r="AH164" s="2" t="str">
        <f t="shared" si="62"/>
        <v/>
      </c>
    </row>
    <row r="165" spans="2:34" x14ac:dyDescent="0.25">
      <c r="B165" s="2" t="s">
        <v>506</v>
      </c>
      <c r="C165" s="2" t="s">
        <v>547</v>
      </c>
      <c r="D165" s="2" t="s">
        <v>0</v>
      </c>
      <c r="E165" s="2" t="s">
        <v>130</v>
      </c>
      <c r="F165" s="2" t="s">
        <v>508</v>
      </c>
      <c r="G165" s="2" t="s">
        <v>509</v>
      </c>
      <c r="H165" s="2" t="s">
        <v>548</v>
      </c>
      <c r="I165" s="2" t="s">
        <v>41</v>
      </c>
      <c r="J165" s="2">
        <v>1</v>
      </c>
      <c r="K165" s="2" t="s">
        <v>81</v>
      </c>
      <c r="L165" s="2" t="s">
        <v>40</v>
      </c>
      <c r="P165" s="2" t="s">
        <v>4</v>
      </c>
      <c r="Q165" s="2">
        <f>INDEX(Tables!$C$4:$C$28,MATCH($P165,Tables!$B$4:$B$28,0))</f>
        <v>32</v>
      </c>
      <c r="R165" s="2">
        <f>INDEX(Tables!$D$4:$D$28,MATCH($P165,Tables!$B$4:$B$28,0))</f>
        <v>4</v>
      </c>
      <c r="S165" s="2">
        <f>$S164+$R164+INDEX(Tables!$N$5:$Q$8,MATCH(MOD($S164+$R164,4),Tables!$M$5:$M$8,0),MATCH($R165,Tables!$N$4:$Q$4,0))</f>
        <v>560</v>
      </c>
      <c r="T165" s="2" t="str">
        <f t="shared" si="48"/>
        <v>0230</v>
      </c>
      <c r="U165" s="2">
        <f t="shared" si="54"/>
        <v>140</v>
      </c>
      <c r="V165" s="2" t="str">
        <f t="shared" si="49"/>
        <v>08C</v>
      </c>
      <c r="W165" s="2" t="str">
        <f t="shared" si="50"/>
        <v/>
      </c>
      <c r="X165" s="2" t="str">
        <f t="shared" si="53"/>
        <v/>
      </c>
      <c r="Y165" s="2" t="str">
        <f t="shared" si="51"/>
        <v/>
      </c>
      <c r="Z165" s="2" t="str">
        <f t="shared" si="52"/>
        <v>X</v>
      </c>
      <c r="AA165" s="2" t="str">
        <f t="shared" si="55"/>
        <v/>
      </c>
      <c r="AB165" s="2" t="str">
        <f t="shared" si="56"/>
        <v/>
      </c>
      <c r="AC165" s="2" t="str">
        <f t="shared" si="57"/>
        <v/>
      </c>
      <c r="AD165" s="2" t="str">
        <f t="shared" si="58"/>
        <v>(0)</v>
      </c>
      <c r="AE165" s="2" t="str">
        <f t="shared" si="59"/>
        <v/>
      </c>
      <c r="AF165" s="2" t="str">
        <f t="shared" si="60"/>
        <v/>
      </c>
      <c r="AG165" s="2" t="str">
        <f t="shared" si="61"/>
        <v/>
      </c>
      <c r="AH165" s="2" t="str">
        <f t="shared" si="62"/>
        <v/>
      </c>
    </row>
    <row r="166" spans="2:34" x14ac:dyDescent="0.25">
      <c r="B166" s="2" t="s">
        <v>506</v>
      </c>
      <c r="C166" s="2" t="s">
        <v>168</v>
      </c>
      <c r="D166" s="2" t="s">
        <v>0</v>
      </c>
      <c r="E166" s="2" t="s">
        <v>130</v>
      </c>
      <c r="F166" s="2" t="s">
        <v>508</v>
      </c>
      <c r="G166" s="2" t="s">
        <v>509</v>
      </c>
      <c r="H166" s="2" t="s">
        <v>169</v>
      </c>
      <c r="I166" s="2" t="s">
        <v>41</v>
      </c>
      <c r="J166" s="2">
        <v>1</v>
      </c>
      <c r="K166" s="2" t="s">
        <v>81</v>
      </c>
      <c r="L166" s="2" t="s">
        <v>40</v>
      </c>
      <c r="P166" s="2" t="s">
        <v>4</v>
      </c>
      <c r="Q166" s="2">
        <f>INDEX(Tables!$C$4:$C$28,MATCH($P166,Tables!$B$4:$B$28,0))</f>
        <v>32</v>
      </c>
      <c r="R166" s="2">
        <f>INDEX(Tables!$D$4:$D$28,MATCH($P166,Tables!$B$4:$B$28,0))</f>
        <v>4</v>
      </c>
      <c r="S166" s="2">
        <f>$S165+$R165+INDEX(Tables!$N$5:$Q$8,MATCH(MOD($S165+$R165,4),Tables!$M$5:$M$8,0),MATCH($R166,Tables!$N$4:$Q$4,0))</f>
        <v>564</v>
      </c>
      <c r="T166" s="2" t="str">
        <f t="shared" si="48"/>
        <v>0234</v>
      </c>
      <c r="U166" s="2">
        <f t="shared" si="54"/>
        <v>141</v>
      </c>
      <c r="V166" s="2" t="str">
        <f t="shared" si="49"/>
        <v>08D</v>
      </c>
      <c r="W166" s="2" t="str">
        <f t="shared" si="50"/>
        <v/>
      </c>
      <c r="X166" s="2" t="str">
        <f t="shared" si="53"/>
        <v/>
      </c>
      <c r="Y166" s="2" t="str">
        <f t="shared" si="51"/>
        <v/>
      </c>
      <c r="Z166" s="2" t="str">
        <f t="shared" si="52"/>
        <v>X</v>
      </c>
      <c r="AA166" s="2" t="str">
        <f t="shared" si="55"/>
        <v/>
      </c>
      <c r="AB166" s="2" t="str">
        <f t="shared" si="56"/>
        <v/>
      </c>
      <c r="AC166" s="2" t="str">
        <f t="shared" si="57"/>
        <v/>
      </c>
      <c r="AD166" s="2" t="str">
        <f t="shared" si="58"/>
        <v>(0)</v>
      </c>
      <c r="AE166" s="2" t="str">
        <f t="shared" si="59"/>
        <v/>
      </c>
      <c r="AF166" s="2" t="str">
        <f t="shared" si="60"/>
        <v/>
      </c>
      <c r="AG166" s="2" t="str">
        <f t="shared" si="61"/>
        <v/>
      </c>
      <c r="AH166" s="2" t="str">
        <f t="shared" si="62"/>
        <v/>
      </c>
    </row>
    <row r="167" spans="2:34" x14ac:dyDescent="0.25">
      <c r="B167" s="2" t="s">
        <v>506</v>
      </c>
      <c r="C167" s="2" t="s">
        <v>549</v>
      </c>
      <c r="D167" s="2" t="s">
        <v>0</v>
      </c>
      <c r="E167" s="2" t="s">
        <v>130</v>
      </c>
      <c r="F167" s="2" t="s">
        <v>508</v>
      </c>
      <c r="G167" s="2" t="s">
        <v>509</v>
      </c>
      <c r="H167" s="2" t="s">
        <v>550</v>
      </c>
      <c r="I167" s="2" t="s">
        <v>41</v>
      </c>
      <c r="J167" s="2">
        <v>1</v>
      </c>
      <c r="K167" s="2" t="s">
        <v>81</v>
      </c>
      <c r="L167" s="2" t="s">
        <v>40</v>
      </c>
      <c r="P167" s="2" t="s">
        <v>4</v>
      </c>
      <c r="Q167" s="2">
        <f>INDEX(Tables!$C$4:$C$28,MATCH($P167,Tables!$B$4:$B$28,0))</f>
        <v>32</v>
      </c>
      <c r="R167" s="2">
        <f>INDEX(Tables!$D$4:$D$28,MATCH($P167,Tables!$B$4:$B$28,0))</f>
        <v>4</v>
      </c>
      <c r="S167" s="2">
        <f>$S166+$R166+INDEX(Tables!$N$5:$Q$8,MATCH(MOD($S166+$R166,4),Tables!$M$5:$M$8,0),MATCH($R167,Tables!$N$4:$Q$4,0))</f>
        <v>568</v>
      </c>
      <c r="T167" s="2" t="str">
        <f t="shared" si="48"/>
        <v>0238</v>
      </c>
      <c r="U167" s="2">
        <f t="shared" si="54"/>
        <v>142</v>
      </c>
      <c r="V167" s="2" t="str">
        <f t="shared" si="49"/>
        <v>08E</v>
      </c>
      <c r="W167" s="2" t="str">
        <f t="shared" si="50"/>
        <v/>
      </c>
      <c r="X167" s="2" t="str">
        <f t="shared" si="53"/>
        <v/>
      </c>
      <c r="Y167" s="2" t="str">
        <f t="shared" si="51"/>
        <v/>
      </c>
      <c r="Z167" s="2" t="str">
        <f t="shared" si="52"/>
        <v>X</v>
      </c>
      <c r="AA167" s="2" t="str">
        <f t="shared" si="55"/>
        <v/>
      </c>
      <c r="AB167" s="2" t="str">
        <f t="shared" si="56"/>
        <v/>
      </c>
      <c r="AC167" s="2" t="str">
        <f t="shared" si="57"/>
        <v/>
      </c>
      <c r="AD167" s="2" t="str">
        <f t="shared" si="58"/>
        <v>(0)</v>
      </c>
      <c r="AE167" s="2" t="str">
        <f t="shared" si="59"/>
        <v/>
      </c>
      <c r="AF167" s="2" t="str">
        <f t="shared" si="60"/>
        <v/>
      </c>
      <c r="AG167" s="2" t="str">
        <f t="shared" si="61"/>
        <v/>
      </c>
      <c r="AH167" s="2" t="str">
        <f t="shared" si="62"/>
        <v/>
      </c>
    </row>
    <row r="168" spans="2:34" x14ac:dyDescent="0.25">
      <c r="B168" s="2" t="s">
        <v>506</v>
      </c>
      <c r="C168" s="2" t="s">
        <v>551</v>
      </c>
      <c r="D168" s="2" t="s">
        <v>0</v>
      </c>
      <c r="E168" s="2" t="s">
        <v>130</v>
      </c>
      <c r="F168" s="2" t="s">
        <v>508</v>
      </c>
      <c r="G168" s="2" t="s">
        <v>509</v>
      </c>
      <c r="H168" s="2" t="s">
        <v>552</v>
      </c>
      <c r="I168" s="2" t="s">
        <v>41</v>
      </c>
      <c r="J168" s="2">
        <v>1</v>
      </c>
      <c r="K168" s="2" t="s">
        <v>81</v>
      </c>
      <c r="L168" s="2" t="s">
        <v>40</v>
      </c>
      <c r="P168" s="2" t="s">
        <v>4</v>
      </c>
      <c r="Q168" s="2">
        <f>INDEX(Tables!$C$4:$C$28,MATCH($P168,Tables!$B$4:$B$28,0))</f>
        <v>32</v>
      </c>
      <c r="R168" s="2">
        <f>INDEX(Tables!$D$4:$D$28,MATCH($P168,Tables!$B$4:$B$28,0))</f>
        <v>4</v>
      </c>
      <c r="S168" s="2">
        <f>$S167+$R167+INDEX(Tables!$N$5:$Q$8,MATCH(MOD($S167+$R167,4),Tables!$M$5:$M$8,0),MATCH($R168,Tables!$N$4:$Q$4,0))</f>
        <v>572</v>
      </c>
      <c r="T168" s="2" t="str">
        <f t="shared" si="48"/>
        <v>023C</v>
      </c>
      <c r="U168" s="2">
        <f t="shared" si="54"/>
        <v>143</v>
      </c>
      <c r="V168" s="2" t="str">
        <f t="shared" si="49"/>
        <v>08F</v>
      </c>
      <c r="W168" s="2" t="str">
        <f t="shared" si="50"/>
        <v/>
      </c>
      <c r="X168" s="2" t="str">
        <f t="shared" si="53"/>
        <v/>
      </c>
      <c r="Y168" s="2" t="str">
        <f t="shared" si="51"/>
        <v/>
      </c>
      <c r="Z168" s="2" t="str">
        <f t="shared" si="52"/>
        <v>X</v>
      </c>
      <c r="AA168" s="2" t="str">
        <f t="shared" si="55"/>
        <v/>
      </c>
      <c r="AB168" s="2" t="str">
        <f t="shared" si="56"/>
        <v/>
      </c>
      <c r="AC168" s="2" t="str">
        <f t="shared" si="57"/>
        <v/>
      </c>
      <c r="AD168" s="2" t="str">
        <f t="shared" si="58"/>
        <v>(0)</v>
      </c>
      <c r="AE168" s="2" t="str">
        <f t="shared" si="59"/>
        <v/>
      </c>
      <c r="AF168" s="2" t="str">
        <f t="shared" si="60"/>
        <v/>
      </c>
      <c r="AG168" s="2" t="str">
        <f t="shared" si="61"/>
        <v/>
      </c>
      <c r="AH168" s="2" t="str">
        <f t="shared" si="62"/>
        <v/>
      </c>
    </row>
    <row r="169" spans="2:34" x14ac:dyDescent="0.25">
      <c r="B169" s="2" t="s">
        <v>506</v>
      </c>
      <c r="C169" s="2" t="s">
        <v>553</v>
      </c>
      <c r="D169" s="2" t="s">
        <v>0</v>
      </c>
      <c r="E169" s="2" t="s">
        <v>130</v>
      </c>
      <c r="F169" s="2" t="s">
        <v>508</v>
      </c>
      <c r="G169" s="2" t="s">
        <v>509</v>
      </c>
      <c r="H169" s="2" t="s">
        <v>554</v>
      </c>
      <c r="I169" s="2" t="s">
        <v>41</v>
      </c>
      <c r="J169" s="2">
        <v>1</v>
      </c>
      <c r="K169" s="2" t="s">
        <v>81</v>
      </c>
      <c r="L169" s="2" t="s">
        <v>40</v>
      </c>
      <c r="P169" s="2" t="s">
        <v>4</v>
      </c>
      <c r="Q169" s="2">
        <f>INDEX(Tables!$C$4:$C$28,MATCH($P169,Tables!$B$4:$B$28,0))</f>
        <v>32</v>
      </c>
      <c r="R169" s="2">
        <f>INDEX(Tables!$D$4:$D$28,MATCH($P169,Tables!$B$4:$B$28,0))</f>
        <v>4</v>
      </c>
      <c r="S169" s="2">
        <f>$S168+$R168+INDEX(Tables!$N$5:$Q$8,MATCH(MOD($S168+$R168,4),Tables!$M$5:$M$8,0),MATCH($R169,Tables!$N$4:$Q$4,0))</f>
        <v>576</v>
      </c>
      <c r="T169" s="2" t="str">
        <f t="shared" si="48"/>
        <v>0240</v>
      </c>
      <c r="U169" s="2">
        <f t="shared" si="54"/>
        <v>144</v>
      </c>
      <c r="V169" s="2" t="str">
        <f t="shared" si="49"/>
        <v>090</v>
      </c>
      <c r="W169" s="2" t="str">
        <f t="shared" si="50"/>
        <v/>
      </c>
      <c r="X169" s="2" t="str">
        <f t="shared" si="53"/>
        <v/>
      </c>
      <c r="Y169" s="2" t="str">
        <f t="shared" si="51"/>
        <v/>
      </c>
      <c r="Z169" s="2" t="str">
        <f t="shared" si="52"/>
        <v>X</v>
      </c>
      <c r="AA169" s="2" t="str">
        <f t="shared" si="55"/>
        <v/>
      </c>
      <c r="AB169" s="2" t="str">
        <f t="shared" si="56"/>
        <v/>
      </c>
      <c r="AC169" s="2" t="str">
        <f t="shared" si="57"/>
        <v/>
      </c>
      <c r="AD169" s="2" t="str">
        <f t="shared" si="58"/>
        <v>(0)</v>
      </c>
      <c r="AE169" s="2" t="str">
        <f t="shared" si="59"/>
        <v/>
      </c>
      <c r="AF169" s="2" t="str">
        <f t="shared" si="60"/>
        <v/>
      </c>
      <c r="AG169" s="2" t="str">
        <f t="shared" si="61"/>
        <v/>
      </c>
      <c r="AH169" s="2" t="str">
        <f t="shared" si="62"/>
        <v/>
      </c>
    </row>
    <row r="170" spans="2:34" x14ac:dyDescent="0.25">
      <c r="B170" s="2" t="s">
        <v>506</v>
      </c>
      <c r="C170" s="2" t="s">
        <v>555</v>
      </c>
      <c r="D170" s="2" t="s">
        <v>0</v>
      </c>
      <c r="E170" s="2" t="s">
        <v>130</v>
      </c>
      <c r="F170" s="2" t="s">
        <v>508</v>
      </c>
      <c r="G170" s="2" t="s">
        <v>509</v>
      </c>
      <c r="H170" s="2" t="s">
        <v>556</v>
      </c>
      <c r="I170" s="2" t="s">
        <v>41</v>
      </c>
      <c r="J170" s="2">
        <v>1</v>
      </c>
      <c r="K170" s="2" t="s">
        <v>81</v>
      </c>
      <c r="L170" s="2" t="s">
        <v>40</v>
      </c>
      <c r="P170" s="2" t="s">
        <v>4</v>
      </c>
      <c r="Q170" s="2">
        <f>INDEX(Tables!$C$4:$C$28,MATCH($P170,Tables!$B$4:$B$28,0))</f>
        <v>32</v>
      </c>
      <c r="R170" s="2">
        <f>INDEX(Tables!$D$4:$D$28,MATCH($P170,Tables!$B$4:$B$28,0))</f>
        <v>4</v>
      </c>
      <c r="S170" s="2">
        <f>$S169+$R169+INDEX(Tables!$N$5:$Q$8,MATCH(MOD($S169+$R169,4),Tables!$M$5:$M$8,0),MATCH($R170,Tables!$N$4:$Q$4,0))</f>
        <v>580</v>
      </c>
      <c r="T170" s="2" t="str">
        <f t="shared" si="48"/>
        <v>0244</v>
      </c>
      <c r="U170" s="2">
        <f t="shared" si="54"/>
        <v>145</v>
      </c>
      <c r="V170" s="2" t="str">
        <f t="shared" si="49"/>
        <v>091</v>
      </c>
      <c r="W170" s="2" t="str">
        <f t="shared" si="50"/>
        <v/>
      </c>
      <c r="X170" s="2" t="str">
        <f t="shared" si="53"/>
        <v/>
      </c>
      <c r="Y170" s="2" t="str">
        <f t="shared" si="51"/>
        <v/>
      </c>
      <c r="Z170" s="2" t="str">
        <f t="shared" si="52"/>
        <v>X</v>
      </c>
      <c r="AA170" s="2" t="str">
        <f t="shared" si="55"/>
        <v/>
      </c>
      <c r="AB170" s="2" t="str">
        <f t="shared" si="56"/>
        <v/>
      </c>
      <c r="AC170" s="2" t="str">
        <f t="shared" si="57"/>
        <v/>
      </c>
      <c r="AD170" s="2" t="str">
        <f t="shared" si="58"/>
        <v>(0)</v>
      </c>
      <c r="AE170" s="2" t="str">
        <f t="shared" si="59"/>
        <v/>
      </c>
      <c r="AF170" s="2" t="str">
        <f t="shared" si="60"/>
        <v/>
      </c>
      <c r="AG170" s="2" t="str">
        <f t="shared" si="61"/>
        <v/>
      </c>
      <c r="AH170" s="2" t="str">
        <f t="shared" si="62"/>
        <v/>
      </c>
    </row>
    <row r="171" spans="2:34" x14ac:dyDescent="0.25">
      <c r="B171" s="2" t="s">
        <v>506</v>
      </c>
      <c r="C171" s="2" t="s">
        <v>557</v>
      </c>
      <c r="D171" s="2" t="s">
        <v>0</v>
      </c>
      <c r="E171" s="2" t="s">
        <v>130</v>
      </c>
      <c r="F171" s="2" t="s">
        <v>508</v>
      </c>
      <c r="G171" s="2" t="s">
        <v>509</v>
      </c>
      <c r="H171" s="2" t="s">
        <v>558</v>
      </c>
      <c r="I171" s="2" t="s">
        <v>41</v>
      </c>
      <c r="J171" s="2">
        <v>1</v>
      </c>
      <c r="K171" s="2" t="s">
        <v>81</v>
      </c>
      <c r="L171" s="2" t="s">
        <v>40</v>
      </c>
      <c r="P171" s="2" t="s">
        <v>4</v>
      </c>
      <c r="Q171" s="2">
        <f>INDEX(Tables!$C$4:$C$28,MATCH($P171,Tables!$B$4:$B$28,0))</f>
        <v>32</v>
      </c>
      <c r="R171" s="2">
        <f>INDEX(Tables!$D$4:$D$28,MATCH($P171,Tables!$B$4:$B$28,0))</f>
        <v>4</v>
      </c>
      <c r="S171" s="2">
        <f>$S170+$R170+INDEX(Tables!$N$5:$Q$8,MATCH(MOD($S170+$R170,4),Tables!$M$5:$M$8,0),MATCH($R171,Tables!$N$4:$Q$4,0))</f>
        <v>584</v>
      </c>
      <c r="T171" s="2" t="str">
        <f t="shared" si="48"/>
        <v>0248</v>
      </c>
      <c r="U171" s="2">
        <f t="shared" si="54"/>
        <v>146</v>
      </c>
      <c r="V171" s="2" t="str">
        <f t="shared" si="49"/>
        <v>092</v>
      </c>
      <c r="W171" s="2" t="str">
        <f t="shared" si="50"/>
        <v/>
      </c>
      <c r="X171" s="2" t="str">
        <f t="shared" si="53"/>
        <v/>
      </c>
      <c r="Y171" s="2" t="str">
        <f t="shared" si="51"/>
        <v/>
      </c>
      <c r="Z171" s="2" t="str">
        <f t="shared" si="52"/>
        <v>X</v>
      </c>
      <c r="AA171" s="2" t="str">
        <f t="shared" si="55"/>
        <v/>
      </c>
      <c r="AB171" s="2" t="str">
        <f t="shared" si="56"/>
        <v/>
      </c>
      <c r="AC171" s="2" t="str">
        <f t="shared" si="57"/>
        <v/>
      </c>
      <c r="AD171" s="2" t="str">
        <f t="shared" si="58"/>
        <v>(0)</v>
      </c>
      <c r="AE171" s="2" t="str">
        <f t="shared" si="59"/>
        <v/>
      </c>
      <c r="AF171" s="2" t="str">
        <f t="shared" si="60"/>
        <v/>
      </c>
      <c r="AG171" s="2" t="str">
        <f t="shared" si="61"/>
        <v/>
      </c>
      <c r="AH171" s="2" t="str">
        <f t="shared" si="62"/>
        <v/>
      </c>
    </row>
    <row r="172" spans="2:34" x14ac:dyDescent="0.25">
      <c r="B172" s="2" t="s">
        <v>506</v>
      </c>
      <c r="C172" s="2" t="s">
        <v>559</v>
      </c>
      <c r="D172" s="2" t="s">
        <v>0</v>
      </c>
      <c r="E172" s="2" t="s">
        <v>130</v>
      </c>
      <c r="F172" s="2" t="s">
        <v>508</v>
      </c>
      <c r="G172" s="2" t="s">
        <v>509</v>
      </c>
      <c r="H172" s="2" t="s">
        <v>560</v>
      </c>
      <c r="I172" s="2" t="s">
        <v>41</v>
      </c>
      <c r="J172" s="2">
        <v>1</v>
      </c>
      <c r="K172" s="2" t="s">
        <v>81</v>
      </c>
      <c r="L172" s="2" t="s">
        <v>40</v>
      </c>
      <c r="P172" s="2" t="s">
        <v>4</v>
      </c>
      <c r="Q172" s="2">
        <f>INDEX(Tables!$C$4:$C$28,MATCH($P172,Tables!$B$4:$B$28,0))</f>
        <v>32</v>
      </c>
      <c r="R172" s="2">
        <f>INDEX(Tables!$D$4:$D$28,MATCH($P172,Tables!$B$4:$B$28,0))</f>
        <v>4</v>
      </c>
      <c r="S172" s="2">
        <f>$S171+$R171+INDEX(Tables!$N$5:$Q$8,MATCH(MOD($S171+$R171,4),Tables!$M$5:$M$8,0),MATCH($R172,Tables!$N$4:$Q$4,0))</f>
        <v>588</v>
      </c>
      <c r="T172" s="2" t="str">
        <f t="shared" si="48"/>
        <v>024C</v>
      </c>
      <c r="U172" s="2">
        <f t="shared" si="54"/>
        <v>147</v>
      </c>
      <c r="V172" s="2" t="str">
        <f t="shared" si="49"/>
        <v>093</v>
      </c>
      <c r="W172" s="2" t="str">
        <f t="shared" si="50"/>
        <v/>
      </c>
      <c r="X172" s="2" t="str">
        <f t="shared" si="53"/>
        <v/>
      </c>
      <c r="Y172" s="2" t="str">
        <f t="shared" si="51"/>
        <v/>
      </c>
      <c r="Z172" s="2" t="str">
        <f t="shared" si="52"/>
        <v>X</v>
      </c>
      <c r="AA172" s="2" t="str">
        <f t="shared" si="55"/>
        <v/>
      </c>
      <c r="AB172" s="2" t="str">
        <f t="shared" si="56"/>
        <v/>
      </c>
      <c r="AC172" s="2" t="str">
        <f t="shared" si="57"/>
        <v/>
      </c>
      <c r="AD172" s="2" t="str">
        <f t="shared" si="58"/>
        <v>(0)</v>
      </c>
      <c r="AE172" s="2" t="str">
        <f t="shared" si="59"/>
        <v/>
      </c>
      <c r="AF172" s="2" t="str">
        <f t="shared" si="60"/>
        <v/>
      </c>
      <c r="AG172" s="2" t="str">
        <f t="shared" si="61"/>
        <v/>
      </c>
      <c r="AH172" s="2" t="str">
        <f t="shared" si="62"/>
        <v/>
      </c>
    </row>
    <row r="173" spans="2:34" x14ac:dyDescent="0.25">
      <c r="B173" s="2" t="s">
        <v>506</v>
      </c>
      <c r="C173" s="2" t="s">
        <v>561</v>
      </c>
      <c r="D173" s="2" t="s">
        <v>0</v>
      </c>
      <c r="E173" s="2" t="s">
        <v>130</v>
      </c>
      <c r="F173" s="2" t="s">
        <v>508</v>
      </c>
      <c r="G173" s="2" t="s">
        <v>509</v>
      </c>
      <c r="H173" s="2" t="s">
        <v>562</v>
      </c>
      <c r="I173" s="2" t="s">
        <v>41</v>
      </c>
      <c r="J173" s="2">
        <v>1</v>
      </c>
      <c r="K173" s="2" t="s">
        <v>81</v>
      </c>
      <c r="L173" s="2" t="s">
        <v>40</v>
      </c>
      <c r="P173" s="2" t="s">
        <v>4</v>
      </c>
      <c r="Q173" s="2">
        <f>INDEX(Tables!$C$4:$C$28,MATCH($P173,Tables!$B$4:$B$28,0))</f>
        <v>32</v>
      </c>
      <c r="R173" s="2">
        <f>INDEX(Tables!$D$4:$D$28,MATCH($P173,Tables!$B$4:$B$28,0))</f>
        <v>4</v>
      </c>
      <c r="S173" s="2">
        <f>$S172+$R172+INDEX(Tables!$N$5:$Q$8,MATCH(MOD($S172+$R172,4),Tables!$M$5:$M$8,0),MATCH($R173,Tables!$N$4:$Q$4,0))</f>
        <v>592</v>
      </c>
      <c r="T173" s="2" t="str">
        <f t="shared" si="48"/>
        <v>0250</v>
      </c>
      <c r="U173" s="2">
        <f t="shared" si="54"/>
        <v>148</v>
      </c>
      <c r="V173" s="2" t="str">
        <f t="shared" si="49"/>
        <v>094</v>
      </c>
      <c r="W173" s="2" t="str">
        <f t="shared" si="50"/>
        <v/>
      </c>
      <c r="X173" s="2" t="str">
        <f t="shared" si="53"/>
        <v/>
      </c>
      <c r="Y173" s="2" t="str">
        <f t="shared" si="51"/>
        <v/>
      </c>
      <c r="Z173" s="2" t="str">
        <f t="shared" si="52"/>
        <v>X</v>
      </c>
      <c r="AA173" s="2" t="str">
        <f t="shared" si="55"/>
        <v/>
      </c>
      <c r="AB173" s="2" t="str">
        <f t="shared" si="56"/>
        <v/>
      </c>
      <c r="AC173" s="2" t="str">
        <f t="shared" si="57"/>
        <v/>
      </c>
      <c r="AD173" s="2" t="str">
        <f t="shared" si="58"/>
        <v>(0)</v>
      </c>
      <c r="AE173" s="2" t="str">
        <f t="shared" si="59"/>
        <v/>
      </c>
      <c r="AF173" s="2" t="str">
        <f t="shared" si="60"/>
        <v/>
      </c>
      <c r="AG173" s="2" t="str">
        <f t="shared" si="61"/>
        <v/>
      </c>
      <c r="AH173" s="2" t="str">
        <f t="shared" si="62"/>
        <v/>
      </c>
    </row>
    <row r="174" spans="2:34" x14ac:dyDescent="0.25">
      <c r="B174" s="2" t="s">
        <v>506</v>
      </c>
      <c r="C174" s="2" t="s">
        <v>563</v>
      </c>
      <c r="D174" s="2" t="s">
        <v>0</v>
      </c>
      <c r="E174" s="2" t="s">
        <v>130</v>
      </c>
      <c r="F174" s="2" t="s">
        <v>508</v>
      </c>
      <c r="G174" s="2" t="s">
        <v>509</v>
      </c>
      <c r="H174" s="2" t="s">
        <v>564</v>
      </c>
      <c r="I174" s="2" t="s">
        <v>41</v>
      </c>
      <c r="J174" s="2">
        <v>1</v>
      </c>
      <c r="K174" s="2" t="s">
        <v>81</v>
      </c>
      <c r="L174" s="2" t="s">
        <v>40</v>
      </c>
      <c r="P174" s="2" t="s">
        <v>4</v>
      </c>
      <c r="Q174" s="2">
        <f>INDEX(Tables!$C$4:$C$28,MATCH($P174,Tables!$B$4:$B$28,0))</f>
        <v>32</v>
      </c>
      <c r="R174" s="2">
        <f>INDEX(Tables!$D$4:$D$28,MATCH($P174,Tables!$B$4:$B$28,0))</f>
        <v>4</v>
      </c>
      <c r="S174" s="2">
        <f>$S173+$R173+INDEX(Tables!$N$5:$Q$8,MATCH(MOD($S173+$R173,4),Tables!$M$5:$M$8,0),MATCH($R174,Tables!$N$4:$Q$4,0))</f>
        <v>596</v>
      </c>
      <c r="T174" s="2" t="str">
        <f t="shared" si="48"/>
        <v>0254</v>
      </c>
      <c r="U174" s="2">
        <f t="shared" si="54"/>
        <v>149</v>
      </c>
      <c r="V174" s="2" t="str">
        <f t="shared" si="49"/>
        <v>095</v>
      </c>
      <c r="W174" s="2" t="str">
        <f t="shared" si="50"/>
        <v/>
      </c>
      <c r="X174" s="2" t="str">
        <f t="shared" si="53"/>
        <v/>
      </c>
      <c r="Y174" s="2" t="str">
        <f t="shared" si="51"/>
        <v/>
      </c>
      <c r="Z174" s="2" t="str">
        <f t="shared" si="52"/>
        <v>X</v>
      </c>
      <c r="AA174" s="2" t="str">
        <f t="shared" si="55"/>
        <v/>
      </c>
      <c r="AB174" s="2" t="str">
        <f t="shared" si="56"/>
        <v/>
      </c>
      <c r="AC174" s="2" t="str">
        <f t="shared" si="57"/>
        <v/>
      </c>
      <c r="AD174" s="2" t="str">
        <f t="shared" si="58"/>
        <v>(0)</v>
      </c>
      <c r="AE174" s="2" t="str">
        <f t="shared" si="59"/>
        <v/>
      </c>
      <c r="AF174" s="2" t="str">
        <f t="shared" si="60"/>
        <v/>
      </c>
      <c r="AG174" s="2" t="str">
        <f t="shared" si="61"/>
        <v/>
      </c>
      <c r="AH174" s="2" t="str">
        <f t="shared" si="62"/>
        <v/>
      </c>
    </row>
    <row r="175" spans="2:34" x14ac:dyDescent="0.25">
      <c r="B175" s="2" t="s">
        <v>506</v>
      </c>
      <c r="C175" s="2" t="s">
        <v>565</v>
      </c>
      <c r="D175" s="2" t="s">
        <v>0</v>
      </c>
      <c r="E175" s="2" t="s">
        <v>130</v>
      </c>
      <c r="F175" s="2" t="s">
        <v>508</v>
      </c>
      <c r="G175" s="2" t="s">
        <v>509</v>
      </c>
      <c r="H175" s="2" t="s">
        <v>566</v>
      </c>
      <c r="I175" s="2" t="s">
        <v>41</v>
      </c>
      <c r="J175" s="2">
        <v>1</v>
      </c>
      <c r="K175" s="2" t="s">
        <v>81</v>
      </c>
      <c r="L175" s="2" t="s">
        <v>40</v>
      </c>
      <c r="P175" s="2" t="s">
        <v>4</v>
      </c>
      <c r="Q175" s="2">
        <f>INDEX(Tables!$C$4:$C$28,MATCH($P175,Tables!$B$4:$B$28,0))</f>
        <v>32</v>
      </c>
      <c r="R175" s="2">
        <f>INDEX(Tables!$D$4:$D$28,MATCH($P175,Tables!$B$4:$B$28,0))</f>
        <v>4</v>
      </c>
      <c r="S175" s="2">
        <f>$S174+$R174+INDEX(Tables!$N$5:$Q$8,MATCH(MOD($S174+$R174,4),Tables!$M$5:$M$8,0),MATCH($R175,Tables!$N$4:$Q$4,0))</f>
        <v>600</v>
      </c>
      <c r="T175" s="2" t="str">
        <f t="shared" si="48"/>
        <v>0258</v>
      </c>
      <c r="U175" s="2">
        <f t="shared" si="54"/>
        <v>150</v>
      </c>
      <c r="V175" s="2" t="str">
        <f t="shared" si="49"/>
        <v>096</v>
      </c>
      <c r="W175" s="2" t="str">
        <f t="shared" si="50"/>
        <v/>
      </c>
      <c r="X175" s="2" t="str">
        <f t="shared" si="53"/>
        <v/>
      </c>
      <c r="Y175" s="2" t="str">
        <f t="shared" si="51"/>
        <v/>
      </c>
      <c r="Z175" s="2" t="str">
        <f t="shared" si="52"/>
        <v>X</v>
      </c>
      <c r="AA175" s="2" t="str">
        <f t="shared" si="55"/>
        <v/>
      </c>
      <c r="AB175" s="2" t="str">
        <f t="shared" si="56"/>
        <v/>
      </c>
      <c r="AC175" s="2" t="str">
        <f t="shared" si="57"/>
        <v/>
      </c>
      <c r="AD175" s="2" t="str">
        <f t="shared" si="58"/>
        <v>(0)</v>
      </c>
      <c r="AE175" s="2" t="str">
        <f t="shared" si="59"/>
        <v/>
      </c>
      <c r="AF175" s="2" t="str">
        <f t="shared" si="60"/>
        <v/>
      </c>
      <c r="AG175" s="2" t="str">
        <f t="shared" si="61"/>
        <v/>
      </c>
      <c r="AH175" s="2" t="str">
        <f t="shared" si="62"/>
        <v/>
      </c>
    </row>
    <row r="176" spans="2:34" x14ac:dyDescent="0.25">
      <c r="B176" s="2" t="s">
        <v>567</v>
      </c>
      <c r="C176" s="2" t="s">
        <v>568</v>
      </c>
      <c r="D176" s="2" t="s">
        <v>0</v>
      </c>
      <c r="E176" s="2" t="s">
        <v>130</v>
      </c>
      <c r="F176" s="2" t="s">
        <v>569</v>
      </c>
      <c r="G176" s="2" t="s">
        <v>570</v>
      </c>
      <c r="H176" s="2" t="s">
        <v>571</v>
      </c>
      <c r="I176" s="2" t="s">
        <v>41</v>
      </c>
      <c r="J176" s="2">
        <v>1</v>
      </c>
      <c r="K176" s="2" t="s">
        <v>81</v>
      </c>
      <c r="L176" s="2" t="s">
        <v>40</v>
      </c>
      <c r="P176" s="2" t="s">
        <v>4</v>
      </c>
      <c r="Q176" s="2">
        <f>INDEX(Tables!$C$4:$C$28,MATCH($P176,Tables!$B$4:$B$28,0))</f>
        <v>32</v>
      </c>
      <c r="R176" s="2">
        <f>INDEX(Tables!$D$4:$D$28,MATCH($P176,Tables!$B$4:$B$28,0))</f>
        <v>4</v>
      </c>
      <c r="S176" s="2">
        <f>$S175+$R175+INDEX(Tables!$N$5:$Q$8,MATCH(MOD($S175+$R175,4),Tables!$M$5:$M$8,0),MATCH($R176,Tables!$N$4:$Q$4,0))</f>
        <v>604</v>
      </c>
      <c r="T176" s="2" t="str">
        <f t="shared" si="48"/>
        <v>025C</v>
      </c>
      <c r="U176" s="2">
        <f t="shared" si="54"/>
        <v>151</v>
      </c>
      <c r="V176" s="2" t="str">
        <f t="shared" si="49"/>
        <v>097</v>
      </c>
      <c r="W176" s="2" t="str">
        <f t="shared" si="50"/>
        <v/>
      </c>
      <c r="X176" s="2" t="str">
        <f t="shared" si="53"/>
        <v/>
      </c>
      <c r="Y176" s="2" t="str">
        <f t="shared" si="51"/>
        <v/>
      </c>
      <c r="Z176" s="2" t="str">
        <f t="shared" si="52"/>
        <v>X</v>
      </c>
      <c r="AA176" s="2" t="str">
        <f t="shared" si="55"/>
        <v/>
      </c>
      <c r="AB176" s="2" t="str">
        <f t="shared" si="56"/>
        <v/>
      </c>
      <c r="AC176" s="2" t="str">
        <f t="shared" si="57"/>
        <v/>
      </c>
      <c r="AD176" s="2" t="str">
        <f t="shared" si="58"/>
        <v>(0)</v>
      </c>
      <c r="AE176" s="2" t="str">
        <f t="shared" si="59"/>
        <v/>
      </c>
      <c r="AF176" s="2" t="str">
        <f t="shared" si="60"/>
        <v/>
      </c>
      <c r="AG176" s="2" t="str">
        <f t="shared" si="61"/>
        <v/>
      </c>
      <c r="AH176" s="2" t="str">
        <f t="shared" si="62"/>
        <v/>
      </c>
    </row>
    <row r="177" spans="2:34" x14ac:dyDescent="0.25">
      <c r="B177" s="2" t="s">
        <v>567</v>
      </c>
      <c r="C177" s="2" t="s">
        <v>572</v>
      </c>
      <c r="D177" s="2" t="s">
        <v>0</v>
      </c>
      <c r="E177" s="2" t="s">
        <v>130</v>
      </c>
      <c r="F177" s="2" t="s">
        <v>569</v>
      </c>
      <c r="G177" s="2" t="s">
        <v>570</v>
      </c>
      <c r="H177" s="2" t="s">
        <v>573</v>
      </c>
      <c r="I177" s="2" t="s">
        <v>41</v>
      </c>
      <c r="J177" s="2">
        <v>1</v>
      </c>
      <c r="K177" s="2" t="s">
        <v>81</v>
      </c>
      <c r="L177" s="2" t="s">
        <v>40</v>
      </c>
      <c r="P177" s="2" t="s">
        <v>4</v>
      </c>
      <c r="Q177" s="2">
        <f>INDEX(Tables!$C$4:$C$28,MATCH($P177,Tables!$B$4:$B$28,0))</f>
        <v>32</v>
      </c>
      <c r="R177" s="2">
        <f>INDEX(Tables!$D$4:$D$28,MATCH($P177,Tables!$B$4:$B$28,0))</f>
        <v>4</v>
      </c>
      <c r="S177" s="2">
        <f>$S176+$R176+INDEX(Tables!$N$5:$Q$8,MATCH(MOD($S176+$R176,4),Tables!$M$5:$M$8,0),MATCH($R177,Tables!$N$4:$Q$4,0))</f>
        <v>608</v>
      </c>
      <c r="T177" s="2" t="str">
        <f t="shared" si="48"/>
        <v>0260</v>
      </c>
      <c r="U177" s="2">
        <f t="shared" si="54"/>
        <v>152</v>
      </c>
      <c r="V177" s="2" t="str">
        <f t="shared" si="49"/>
        <v>098</v>
      </c>
      <c r="W177" s="2" t="str">
        <f t="shared" si="50"/>
        <v/>
      </c>
      <c r="X177" s="2" t="str">
        <f t="shared" si="53"/>
        <v/>
      </c>
      <c r="Y177" s="2" t="str">
        <f t="shared" si="51"/>
        <v/>
      </c>
      <c r="Z177" s="2" t="str">
        <f t="shared" si="52"/>
        <v>X</v>
      </c>
      <c r="AA177" s="2" t="str">
        <f t="shared" si="55"/>
        <v/>
      </c>
      <c r="AB177" s="2" t="str">
        <f t="shared" si="56"/>
        <v/>
      </c>
      <c r="AC177" s="2" t="str">
        <f t="shared" si="57"/>
        <v/>
      </c>
      <c r="AD177" s="2" t="str">
        <f t="shared" si="58"/>
        <v>(0)</v>
      </c>
      <c r="AE177" s="2" t="str">
        <f t="shared" si="59"/>
        <v/>
      </c>
      <c r="AF177" s="2" t="str">
        <f t="shared" si="60"/>
        <v/>
      </c>
      <c r="AG177" s="2" t="str">
        <f t="shared" si="61"/>
        <v/>
      </c>
      <c r="AH177" s="2" t="str">
        <f t="shared" si="62"/>
        <v/>
      </c>
    </row>
    <row r="178" spans="2:34" x14ac:dyDescent="0.25">
      <c r="B178" s="2" t="s">
        <v>567</v>
      </c>
      <c r="C178" s="2" t="s">
        <v>574</v>
      </c>
      <c r="D178" s="2" t="s">
        <v>0</v>
      </c>
      <c r="E178" s="2" t="s">
        <v>130</v>
      </c>
      <c r="F178" s="2" t="s">
        <v>569</v>
      </c>
      <c r="G178" s="2" t="s">
        <v>570</v>
      </c>
      <c r="H178" s="2" t="s">
        <v>575</v>
      </c>
      <c r="I178" s="2" t="s">
        <v>41</v>
      </c>
      <c r="J178" s="2">
        <v>1</v>
      </c>
      <c r="K178" s="2" t="s">
        <v>81</v>
      </c>
      <c r="L178" s="2" t="s">
        <v>40</v>
      </c>
      <c r="P178" s="2" t="s">
        <v>4</v>
      </c>
      <c r="Q178" s="2">
        <f>INDEX(Tables!$C$4:$C$28,MATCH($P178,Tables!$B$4:$B$28,0))</f>
        <v>32</v>
      </c>
      <c r="R178" s="2">
        <f>INDEX(Tables!$D$4:$D$28,MATCH($P178,Tables!$B$4:$B$28,0))</f>
        <v>4</v>
      </c>
      <c r="S178" s="2">
        <f>$S177+$R177+INDEX(Tables!$N$5:$Q$8,MATCH(MOD($S177+$R177,4),Tables!$M$5:$M$8,0),MATCH($R178,Tables!$N$4:$Q$4,0))</f>
        <v>612</v>
      </c>
      <c r="T178" s="2" t="str">
        <f t="shared" si="48"/>
        <v>0264</v>
      </c>
      <c r="U178" s="2">
        <f t="shared" si="54"/>
        <v>153</v>
      </c>
      <c r="V178" s="2" t="str">
        <f t="shared" si="49"/>
        <v>099</v>
      </c>
      <c r="W178" s="2" t="str">
        <f t="shared" si="50"/>
        <v/>
      </c>
      <c r="X178" s="2" t="str">
        <f t="shared" si="53"/>
        <v/>
      </c>
      <c r="Y178" s="2" t="str">
        <f t="shared" si="51"/>
        <v/>
      </c>
      <c r="Z178" s="2" t="str">
        <f t="shared" si="52"/>
        <v>X</v>
      </c>
      <c r="AA178" s="2" t="str">
        <f t="shared" si="55"/>
        <v/>
      </c>
      <c r="AB178" s="2" t="str">
        <f t="shared" si="56"/>
        <v/>
      </c>
      <c r="AC178" s="2" t="str">
        <f t="shared" si="57"/>
        <v/>
      </c>
      <c r="AD178" s="2" t="str">
        <f t="shared" si="58"/>
        <v>(0)</v>
      </c>
      <c r="AE178" s="2" t="str">
        <f t="shared" si="59"/>
        <v/>
      </c>
      <c r="AF178" s="2" t="str">
        <f t="shared" si="60"/>
        <v/>
      </c>
      <c r="AG178" s="2" t="str">
        <f t="shared" si="61"/>
        <v/>
      </c>
      <c r="AH178" s="2" t="str">
        <f t="shared" si="62"/>
        <v/>
      </c>
    </row>
    <row r="179" spans="2:34" x14ac:dyDescent="0.25">
      <c r="B179" s="2" t="s">
        <v>567</v>
      </c>
      <c r="C179" s="2" t="s">
        <v>576</v>
      </c>
      <c r="D179" s="2" t="s">
        <v>0</v>
      </c>
      <c r="E179" s="2" t="s">
        <v>130</v>
      </c>
      <c r="F179" s="2" t="s">
        <v>569</v>
      </c>
      <c r="G179" s="2" t="s">
        <v>570</v>
      </c>
      <c r="H179" s="2" t="s">
        <v>577</v>
      </c>
      <c r="I179" s="2" t="s">
        <v>41</v>
      </c>
      <c r="J179" s="2">
        <v>1</v>
      </c>
      <c r="K179" s="2" t="s">
        <v>81</v>
      </c>
      <c r="L179" s="2" t="s">
        <v>40</v>
      </c>
      <c r="P179" s="2" t="s">
        <v>4</v>
      </c>
      <c r="Q179" s="2">
        <f>INDEX(Tables!$C$4:$C$28,MATCH($P179,Tables!$B$4:$B$28,0))</f>
        <v>32</v>
      </c>
      <c r="R179" s="2">
        <f>INDEX(Tables!$D$4:$D$28,MATCH($P179,Tables!$B$4:$B$28,0))</f>
        <v>4</v>
      </c>
      <c r="S179" s="2">
        <f>$S178+$R178+INDEX(Tables!$N$5:$Q$8,MATCH(MOD($S178+$R178,4),Tables!$M$5:$M$8,0),MATCH($R179,Tables!$N$4:$Q$4,0))</f>
        <v>616</v>
      </c>
      <c r="T179" s="2" t="str">
        <f t="shared" si="48"/>
        <v>0268</v>
      </c>
      <c r="U179" s="2">
        <f t="shared" si="54"/>
        <v>154</v>
      </c>
      <c r="V179" s="2" t="str">
        <f t="shared" si="49"/>
        <v>09A</v>
      </c>
      <c r="W179" s="2" t="str">
        <f t="shared" si="50"/>
        <v/>
      </c>
      <c r="X179" s="2" t="str">
        <f t="shared" si="53"/>
        <v/>
      </c>
      <c r="Y179" s="2" t="str">
        <f t="shared" si="51"/>
        <v/>
      </c>
      <c r="Z179" s="2" t="str">
        <f t="shared" si="52"/>
        <v>X</v>
      </c>
      <c r="AA179" s="2" t="str">
        <f t="shared" si="55"/>
        <v/>
      </c>
      <c r="AB179" s="2" t="str">
        <f t="shared" si="56"/>
        <v/>
      </c>
      <c r="AC179" s="2" t="str">
        <f t="shared" si="57"/>
        <v/>
      </c>
      <c r="AD179" s="2" t="str">
        <f t="shared" si="58"/>
        <v>(0)</v>
      </c>
      <c r="AE179" s="2" t="str">
        <f t="shared" si="59"/>
        <v/>
      </c>
      <c r="AF179" s="2" t="str">
        <f t="shared" si="60"/>
        <v/>
      </c>
      <c r="AG179" s="2" t="str">
        <f t="shared" si="61"/>
        <v/>
      </c>
      <c r="AH179" s="2" t="str">
        <f t="shared" si="62"/>
        <v/>
      </c>
    </row>
    <row r="180" spans="2:34" x14ac:dyDescent="0.25">
      <c r="B180" s="2" t="s">
        <v>567</v>
      </c>
      <c r="C180" s="2" t="s">
        <v>578</v>
      </c>
      <c r="D180" s="2" t="s">
        <v>0</v>
      </c>
      <c r="E180" s="2" t="s">
        <v>130</v>
      </c>
      <c r="F180" s="2" t="s">
        <v>569</v>
      </c>
      <c r="G180" s="2" t="s">
        <v>570</v>
      </c>
      <c r="H180" s="2" t="s">
        <v>579</v>
      </c>
      <c r="I180" s="2" t="s">
        <v>41</v>
      </c>
      <c r="J180" s="2">
        <v>1</v>
      </c>
      <c r="K180" s="2" t="s">
        <v>81</v>
      </c>
      <c r="L180" s="2" t="s">
        <v>40</v>
      </c>
      <c r="P180" s="2" t="s">
        <v>4</v>
      </c>
      <c r="Q180" s="2">
        <f>INDEX(Tables!$C$4:$C$28,MATCH($P180,Tables!$B$4:$B$28,0))</f>
        <v>32</v>
      </c>
      <c r="R180" s="2">
        <f>INDEX(Tables!$D$4:$D$28,MATCH($P180,Tables!$B$4:$B$28,0))</f>
        <v>4</v>
      </c>
      <c r="S180" s="2">
        <f>$S179+$R179+INDEX(Tables!$N$5:$Q$8,MATCH(MOD($S179+$R179,4),Tables!$M$5:$M$8,0),MATCH($R180,Tables!$N$4:$Q$4,0))</f>
        <v>620</v>
      </c>
      <c r="T180" s="2" t="str">
        <f t="shared" si="48"/>
        <v>026C</v>
      </c>
      <c r="U180" s="2">
        <f t="shared" si="54"/>
        <v>155</v>
      </c>
      <c r="V180" s="2" t="str">
        <f t="shared" si="49"/>
        <v>09B</v>
      </c>
      <c r="W180" s="2" t="str">
        <f t="shared" si="50"/>
        <v/>
      </c>
      <c r="X180" s="2" t="str">
        <f t="shared" si="53"/>
        <v/>
      </c>
      <c r="Y180" s="2" t="str">
        <f t="shared" si="51"/>
        <v/>
      </c>
      <c r="Z180" s="2" t="str">
        <f t="shared" si="52"/>
        <v>X</v>
      </c>
      <c r="AA180" s="2" t="str">
        <f t="shared" si="55"/>
        <v/>
      </c>
      <c r="AB180" s="2" t="str">
        <f t="shared" si="56"/>
        <v/>
      </c>
      <c r="AC180" s="2" t="str">
        <f t="shared" si="57"/>
        <v/>
      </c>
      <c r="AD180" s="2" t="str">
        <f t="shared" si="58"/>
        <v>(0)</v>
      </c>
      <c r="AE180" s="2" t="str">
        <f t="shared" si="59"/>
        <v/>
      </c>
      <c r="AF180" s="2" t="str">
        <f t="shared" si="60"/>
        <v/>
      </c>
      <c r="AG180" s="2" t="str">
        <f t="shared" si="61"/>
        <v/>
      </c>
      <c r="AH180" s="2" t="str">
        <f t="shared" si="62"/>
        <v/>
      </c>
    </row>
    <row r="181" spans="2:34" x14ac:dyDescent="0.25">
      <c r="B181" s="2" t="s">
        <v>567</v>
      </c>
      <c r="C181" s="2" t="s">
        <v>580</v>
      </c>
      <c r="D181" s="2" t="s">
        <v>0</v>
      </c>
      <c r="E181" s="2" t="s">
        <v>130</v>
      </c>
      <c r="F181" s="2" t="s">
        <v>569</v>
      </c>
      <c r="G181" s="2" t="s">
        <v>570</v>
      </c>
      <c r="H181" s="2" t="s">
        <v>581</v>
      </c>
      <c r="I181" s="2" t="s">
        <v>41</v>
      </c>
      <c r="J181" s="2">
        <v>1</v>
      </c>
      <c r="K181" s="2" t="s">
        <v>81</v>
      </c>
      <c r="L181" s="2" t="s">
        <v>40</v>
      </c>
      <c r="P181" s="2" t="s">
        <v>4</v>
      </c>
      <c r="Q181" s="2">
        <f>INDEX(Tables!$C$4:$C$28,MATCH($P181,Tables!$B$4:$B$28,0))</f>
        <v>32</v>
      </c>
      <c r="R181" s="2">
        <f>INDEX(Tables!$D$4:$D$28,MATCH($P181,Tables!$B$4:$B$28,0))</f>
        <v>4</v>
      </c>
      <c r="S181" s="2">
        <f>$S180+$R180+INDEX(Tables!$N$5:$Q$8,MATCH(MOD($S180+$R180,4),Tables!$M$5:$M$8,0),MATCH($R181,Tables!$N$4:$Q$4,0))</f>
        <v>624</v>
      </c>
      <c r="T181" s="2" t="str">
        <f t="shared" si="48"/>
        <v>0270</v>
      </c>
      <c r="U181" s="2">
        <f t="shared" si="54"/>
        <v>156</v>
      </c>
      <c r="V181" s="2" t="str">
        <f t="shared" si="49"/>
        <v>09C</v>
      </c>
      <c r="W181" s="2" t="str">
        <f t="shared" si="50"/>
        <v/>
      </c>
      <c r="X181" s="2" t="str">
        <f t="shared" si="53"/>
        <v/>
      </c>
      <c r="Y181" s="2" t="str">
        <f t="shared" si="51"/>
        <v/>
      </c>
      <c r="Z181" s="2" t="str">
        <f t="shared" si="52"/>
        <v>X</v>
      </c>
      <c r="AA181" s="2" t="str">
        <f t="shared" si="55"/>
        <v/>
      </c>
      <c r="AB181" s="2" t="str">
        <f t="shared" si="56"/>
        <v/>
      </c>
      <c r="AC181" s="2" t="str">
        <f t="shared" si="57"/>
        <v/>
      </c>
      <c r="AD181" s="2" t="str">
        <f t="shared" si="58"/>
        <v>(0)</v>
      </c>
      <c r="AE181" s="2" t="str">
        <f t="shared" si="59"/>
        <v/>
      </c>
      <c r="AF181" s="2" t="str">
        <f t="shared" si="60"/>
        <v/>
      </c>
      <c r="AG181" s="2" t="str">
        <f t="shared" si="61"/>
        <v/>
      </c>
      <c r="AH181" s="2" t="str">
        <f t="shared" si="62"/>
        <v/>
      </c>
    </row>
    <row r="182" spans="2:34" x14ac:dyDescent="0.25">
      <c r="B182" s="2" t="s">
        <v>567</v>
      </c>
      <c r="C182" s="2" t="s">
        <v>582</v>
      </c>
      <c r="D182" s="2" t="s">
        <v>0</v>
      </c>
      <c r="E182" s="2" t="s">
        <v>130</v>
      </c>
      <c r="F182" s="2" t="s">
        <v>569</v>
      </c>
      <c r="G182" s="2" t="s">
        <v>570</v>
      </c>
      <c r="H182" s="2" t="s">
        <v>583</v>
      </c>
      <c r="I182" s="2" t="s">
        <v>41</v>
      </c>
      <c r="J182" s="2">
        <v>1</v>
      </c>
      <c r="K182" s="2" t="s">
        <v>81</v>
      </c>
      <c r="L182" s="2" t="s">
        <v>40</v>
      </c>
      <c r="P182" s="2" t="s">
        <v>4</v>
      </c>
      <c r="Q182" s="2">
        <f>INDEX(Tables!$C$4:$C$28,MATCH($P182,Tables!$B$4:$B$28,0))</f>
        <v>32</v>
      </c>
      <c r="R182" s="2">
        <f>INDEX(Tables!$D$4:$D$28,MATCH($P182,Tables!$B$4:$B$28,0))</f>
        <v>4</v>
      </c>
      <c r="S182" s="2">
        <f>$S181+$R181+INDEX(Tables!$N$5:$Q$8,MATCH(MOD($S181+$R181,4),Tables!$M$5:$M$8,0),MATCH($R182,Tables!$N$4:$Q$4,0))</f>
        <v>628</v>
      </c>
      <c r="T182" s="2" t="str">
        <f t="shared" si="48"/>
        <v>0274</v>
      </c>
      <c r="U182" s="2">
        <f t="shared" si="54"/>
        <v>157</v>
      </c>
      <c r="V182" s="2" t="str">
        <f t="shared" si="49"/>
        <v>09D</v>
      </c>
      <c r="W182" s="2" t="str">
        <f t="shared" si="50"/>
        <v/>
      </c>
      <c r="X182" s="2" t="str">
        <f t="shared" si="53"/>
        <v/>
      </c>
      <c r="Y182" s="2" t="str">
        <f t="shared" si="51"/>
        <v/>
      </c>
      <c r="Z182" s="2" t="str">
        <f t="shared" si="52"/>
        <v>X</v>
      </c>
      <c r="AA182" s="2" t="str">
        <f t="shared" si="55"/>
        <v/>
      </c>
      <c r="AB182" s="2" t="str">
        <f t="shared" si="56"/>
        <v/>
      </c>
      <c r="AC182" s="2" t="str">
        <f t="shared" si="57"/>
        <v/>
      </c>
      <c r="AD182" s="2" t="str">
        <f t="shared" si="58"/>
        <v>(0)</v>
      </c>
      <c r="AE182" s="2" t="str">
        <f t="shared" si="59"/>
        <v/>
      </c>
      <c r="AF182" s="2" t="str">
        <f t="shared" si="60"/>
        <v/>
      </c>
      <c r="AG182" s="2" t="str">
        <f t="shared" si="61"/>
        <v/>
      </c>
      <c r="AH182" s="2" t="str">
        <f t="shared" si="62"/>
        <v/>
      </c>
    </row>
    <row r="183" spans="2:34" x14ac:dyDescent="0.25">
      <c r="B183" s="2" t="s">
        <v>567</v>
      </c>
      <c r="C183" s="2" t="s">
        <v>584</v>
      </c>
      <c r="D183" s="2" t="s">
        <v>0</v>
      </c>
      <c r="E183" s="2" t="s">
        <v>130</v>
      </c>
      <c r="F183" s="2" t="s">
        <v>569</v>
      </c>
      <c r="G183" s="2" t="s">
        <v>570</v>
      </c>
      <c r="H183" s="2" t="s">
        <v>585</v>
      </c>
      <c r="I183" s="2" t="s">
        <v>41</v>
      </c>
      <c r="J183" s="2">
        <v>1</v>
      </c>
      <c r="K183" s="2" t="s">
        <v>81</v>
      </c>
      <c r="L183" s="2" t="s">
        <v>40</v>
      </c>
      <c r="P183" s="2" t="s">
        <v>4</v>
      </c>
      <c r="Q183" s="2">
        <f>INDEX(Tables!$C$4:$C$28,MATCH($P183,Tables!$B$4:$B$28,0))</f>
        <v>32</v>
      </c>
      <c r="R183" s="2">
        <f>INDEX(Tables!$D$4:$D$28,MATCH($P183,Tables!$B$4:$B$28,0))</f>
        <v>4</v>
      </c>
      <c r="S183" s="2">
        <f>$S182+$R182+INDEX(Tables!$N$5:$Q$8,MATCH(MOD($S182+$R182,4),Tables!$M$5:$M$8,0),MATCH($R183,Tables!$N$4:$Q$4,0))</f>
        <v>632</v>
      </c>
      <c r="T183" s="2" t="str">
        <f t="shared" si="48"/>
        <v>0278</v>
      </c>
      <c r="U183" s="2">
        <f t="shared" si="54"/>
        <v>158</v>
      </c>
      <c r="V183" s="2" t="str">
        <f t="shared" si="49"/>
        <v>09E</v>
      </c>
      <c r="W183" s="2" t="str">
        <f t="shared" si="50"/>
        <v/>
      </c>
      <c r="X183" s="2" t="str">
        <f t="shared" si="53"/>
        <v/>
      </c>
      <c r="Y183" s="2" t="str">
        <f t="shared" si="51"/>
        <v/>
      </c>
      <c r="Z183" s="2" t="str">
        <f t="shared" si="52"/>
        <v>X</v>
      </c>
      <c r="AA183" s="2" t="str">
        <f t="shared" si="55"/>
        <v/>
      </c>
      <c r="AB183" s="2" t="str">
        <f t="shared" si="56"/>
        <v/>
      </c>
      <c r="AC183" s="2" t="str">
        <f t="shared" si="57"/>
        <v/>
      </c>
      <c r="AD183" s="2" t="str">
        <f t="shared" si="58"/>
        <v>(0)</v>
      </c>
      <c r="AE183" s="2" t="str">
        <f t="shared" si="59"/>
        <v/>
      </c>
      <c r="AF183" s="2" t="str">
        <f t="shared" si="60"/>
        <v/>
      </c>
      <c r="AG183" s="2" t="str">
        <f t="shared" si="61"/>
        <v/>
      </c>
      <c r="AH183" s="2" t="str">
        <f t="shared" si="62"/>
        <v/>
      </c>
    </row>
    <row r="184" spans="2:34" x14ac:dyDescent="0.25">
      <c r="B184" s="2" t="s">
        <v>567</v>
      </c>
      <c r="C184" s="2" t="s">
        <v>141</v>
      </c>
      <c r="D184" s="2" t="s">
        <v>0</v>
      </c>
      <c r="E184" s="2" t="s">
        <v>130</v>
      </c>
      <c r="F184" s="2" t="s">
        <v>569</v>
      </c>
      <c r="G184" s="2" t="s">
        <v>570</v>
      </c>
      <c r="H184" s="2" t="s">
        <v>142</v>
      </c>
      <c r="I184" s="2" t="s">
        <v>41</v>
      </c>
      <c r="J184" s="2">
        <v>24</v>
      </c>
      <c r="K184" s="2" t="s">
        <v>132</v>
      </c>
      <c r="L184" s="2" t="s">
        <v>40</v>
      </c>
      <c r="P184" s="2" t="s">
        <v>48</v>
      </c>
      <c r="Q184" s="2">
        <f>INDEX(Tables!$C$4:$C$28,MATCH($P184,Tables!$B$4:$B$28,0))</f>
        <v>32</v>
      </c>
      <c r="R184" s="2">
        <f>INDEX(Tables!$D$4:$D$28,MATCH($P184,Tables!$B$4:$B$28,0))</f>
        <v>4</v>
      </c>
      <c r="S184" s="2">
        <f>$S183+$R183+INDEX(Tables!$N$5:$Q$8,MATCH(MOD($S183+$R183,4),Tables!$M$5:$M$8,0),MATCH($R184,Tables!$N$4:$Q$4,0))</f>
        <v>636</v>
      </c>
      <c r="T184" s="2" t="str">
        <f t="shared" si="48"/>
        <v>027C</v>
      </c>
      <c r="U184" s="2">
        <f t="shared" si="54"/>
        <v>159</v>
      </c>
      <c r="V184" s="2" t="str">
        <f t="shared" si="49"/>
        <v>09F</v>
      </c>
      <c r="W184" s="2" t="str">
        <f t="shared" si="50"/>
        <v/>
      </c>
      <c r="X184" s="2" t="str">
        <f t="shared" si="53"/>
        <v>X</v>
      </c>
      <c r="Y184" s="2" t="str">
        <f t="shared" si="51"/>
        <v>X</v>
      </c>
      <c r="Z184" s="2" t="str">
        <f t="shared" si="52"/>
        <v>X</v>
      </c>
      <c r="AA184" s="2" t="str">
        <f t="shared" si="55"/>
        <v/>
      </c>
      <c r="AB184" s="2" t="str">
        <f t="shared" si="56"/>
        <v>(23 downto 16)</v>
      </c>
      <c r="AC184" s="2" t="str">
        <f t="shared" si="57"/>
        <v>(15 downto 8)</v>
      </c>
      <c r="AD184" s="2" t="str">
        <f t="shared" si="58"/>
        <v>(7 downto 0)</v>
      </c>
      <c r="AE184" s="2" t="str">
        <f t="shared" si="59"/>
        <v/>
      </c>
      <c r="AF184" s="2" t="str">
        <f t="shared" si="60"/>
        <v>(23 downto 16)</v>
      </c>
      <c r="AG184" s="2" t="str">
        <f t="shared" si="61"/>
        <v>(15 downto 8)</v>
      </c>
      <c r="AH184" s="2" t="str">
        <f t="shared" si="62"/>
        <v>(7 downto 0)</v>
      </c>
    </row>
    <row r="185" spans="2:34" x14ac:dyDescent="0.25">
      <c r="B185" s="2" t="s">
        <v>586</v>
      </c>
      <c r="C185" s="2" t="s">
        <v>157</v>
      </c>
      <c r="D185" s="2" t="s">
        <v>0</v>
      </c>
      <c r="E185" s="2" t="s">
        <v>130</v>
      </c>
      <c r="F185" s="2" t="s">
        <v>587</v>
      </c>
      <c r="G185" s="2" t="s">
        <v>588</v>
      </c>
      <c r="H185" s="2" t="s">
        <v>160</v>
      </c>
      <c r="I185" s="2" t="s">
        <v>41</v>
      </c>
      <c r="J185" s="2">
        <v>1</v>
      </c>
      <c r="K185" s="2" t="s">
        <v>81</v>
      </c>
      <c r="L185" s="2" t="s">
        <v>40</v>
      </c>
      <c r="P185" s="2" t="s">
        <v>4</v>
      </c>
      <c r="Q185" s="2">
        <f>INDEX(Tables!$C$4:$C$28,MATCH($P185,Tables!$B$4:$B$28,0))</f>
        <v>32</v>
      </c>
      <c r="R185" s="2">
        <f>INDEX(Tables!$D$4:$D$28,MATCH($P185,Tables!$B$4:$B$28,0))</f>
        <v>4</v>
      </c>
      <c r="S185" s="2">
        <f>$S184+$R184+INDEX(Tables!$N$5:$Q$8,MATCH(MOD($S184+$R184,4),Tables!$M$5:$M$8,0),MATCH($R185,Tables!$N$4:$Q$4,0))</f>
        <v>640</v>
      </c>
      <c r="T185" s="2" t="str">
        <f t="shared" si="48"/>
        <v>0280</v>
      </c>
      <c r="U185" s="2">
        <f t="shared" si="54"/>
        <v>160</v>
      </c>
      <c r="V185" s="2" t="str">
        <f t="shared" si="49"/>
        <v>0A0</v>
      </c>
      <c r="W185" s="2" t="str">
        <f t="shared" si="50"/>
        <v/>
      </c>
      <c r="X185" s="2" t="str">
        <f t="shared" si="53"/>
        <v/>
      </c>
      <c r="Y185" s="2" t="str">
        <f t="shared" si="51"/>
        <v/>
      </c>
      <c r="Z185" s="2" t="str">
        <f t="shared" si="52"/>
        <v>X</v>
      </c>
      <c r="AA185" s="2" t="str">
        <f t="shared" si="55"/>
        <v/>
      </c>
      <c r="AB185" s="2" t="str">
        <f t="shared" si="56"/>
        <v/>
      </c>
      <c r="AC185" s="2" t="str">
        <f t="shared" si="57"/>
        <v/>
      </c>
      <c r="AD185" s="2" t="str">
        <f t="shared" si="58"/>
        <v>(0)</v>
      </c>
      <c r="AE185" s="2" t="str">
        <f t="shared" si="59"/>
        <v/>
      </c>
      <c r="AF185" s="2" t="str">
        <f t="shared" si="60"/>
        <v/>
      </c>
      <c r="AG185" s="2" t="str">
        <f t="shared" si="61"/>
        <v/>
      </c>
      <c r="AH185" s="2" t="str">
        <f t="shared" si="62"/>
        <v/>
      </c>
    </row>
    <row r="186" spans="2:34" x14ac:dyDescent="0.25">
      <c r="B186" s="2" t="s">
        <v>586</v>
      </c>
      <c r="C186" s="2" t="s">
        <v>478</v>
      </c>
      <c r="D186" s="2" t="s">
        <v>0</v>
      </c>
      <c r="E186" s="2" t="s">
        <v>130</v>
      </c>
      <c r="F186" s="2" t="s">
        <v>587</v>
      </c>
      <c r="G186" s="2" t="s">
        <v>588</v>
      </c>
      <c r="H186" s="2" t="s">
        <v>479</v>
      </c>
      <c r="I186" s="2" t="s">
        <v>41</v>
      </c>
      <c r="J186" s="2">
        <v>1</v>
      </c>
      <c r="K186" s="2" t="s">
        <v>131</v>
      </c>
      <c r="L186" s="2" t="s">
        <v>40</v>
      </c>
      <c r="P186" s="2" t="s">
        <v>4</v>
      </c>
      <c r="Q186" s="2">
        <f>INDEX(Tables!$C$4:$C$28,MATCH($P186,Tables!$B$4:$B$28,0))</f>
        <v>32</v>
      </c>
      <c r="R186" s="2">
        <f>INDEX(Tables!$D$4:$D$28,MATCH($P186,Tables!$B$4:$B$28,0))</f>
        <v>4</v>
      </c>
      <c r="S186" s="2">
        <f>$S185+$R185+INDEX(Tables!$N$5:$Q$8,MATCH(MOD($S185+$R185,4),Tables!$M$5:$M$8,0),MATCH($R186,Tables!$N$4:$Q$4,0))</f>
        <v>644</v>
      </c>
      <c r="T186" s="2" t="str">
        <f t="shared" si="48"/>
        <v>0284</v>
      </c>
      <c r="U186" s="2">
        <f t="shared" si="54"/>
        <v>161</v>
      </c>
      <c r="V186" s="2" t="str">
        <f t="shared" si="49"/>
        <v>0A1</v>
      </c>
      <c r="W186" s="2" t="str">
        <f t="shared" si="50"/>
        <v/>
      </c>
      <c r="X186" s="2" t="str">
        <f t="shared" si="53"/>
        <v/>
      </c>
      <c r="Y186" s="2" t="str">
        <f t="shared" si="51"/>
        <v/>
      </c>
      <c r="Z186" s="2" t="str">
        <f t="shared" si="52"/>
        <v>X</v>
      </c>
      <c r="AA186" s="2" t="str">
        <f t="shared" si="55"/>
        <v/>
      </c>
      <c r="AB186" s="2" t="str">
        <f t="shared" si="56"/>
        <v/>
      </c>
      <c r="AC186" s="2" t="str">
        <f t="shared" si="57"/>
        <v/>
      </c>
      <c r="AD186" s="2" t="str">
        <f t="shared" si="58"/>
        <v>(0)</v>
      </c>
      <c r="AE186" s="2" t="str">
        <f t="shared" si="59"/>
        <v/>
      </c>
      <c r="AF186" s="2" t="str">
        <f t="shared" si="60"/>
        <v/>
      </c>
      <c r="AG186" s="2" t="str">
        <f t="shared" si="61"/>
        <v/>
      </c>
      <c r="AH186" s="2" t="str">
        <f t="shared" si="62"/>
        <v/>
      </c>
    </row>
    <row r="187" spans="2:34" x14ac:dyDescent="0.25">
      <c r="B187" s="2" t="s">
        <v>586</v>
      </c>
      <c r="C187" s="2" t="s">
        <v>480</v>
      </c>
      <c r="D187" s="2" t="s">
        <v>0</v>
      </c>
      <c r="E187" s="2" t="s">
        <v>130</v>
      </c>
      <c r="F187" s="2" t="s">
        <v>587</v>
      </c>
      <c r="G187" s="2" t="s">
        <v>588</v>
      </c>
      <c r="H187" s="2" t="s">
        <v>481</v>
      </c>
      <c r="I187" s="2" t="s">
        <v>41</v>
      </c>
      <c r="J187" s="2">
        <v>1</v>
      </c>
      <c r="K187" s="2" t="s">
        <v>81</v>
      </c>
      <c r="L187" s="2" t="s">
        <v>40</v>
      </c>
      <c r="P187" s="2" t="s">
        <v>4</v>
      </c>
      <c r="Q187" s="2">
        <f>INDEX(Tables!$C$4:$C$28,MATCH($P187,Tables!$B$4:$B$28,0))</f>
        <v>32</v>
      </c>
      <c r="R187" s="2">
        <f>INDEX(Tables!$D$4:$D$28,MATCH($P187,Tables!$B$4:$B$28,0))</f>
        <v>4</v>
      </c>
      <c r="S187" s="2">
        <f>$S186+$R186+INDEX(Tables!$N$5:$Q$8,MATCH(MOD($S186+$R186,4),Tables!$M$5:$M$8,0),MATCH($R187,Tables!$N$4:$Q$4,0))</f>
        <v>648</v>
      </c>
      <c r="T187" s="2" t="str">
        <f t="shared" si="48"/>
        <v>0288</v>
      </c>
      <c r="U187" s="2">
        <f t="shared" si="54"/>
        <v>162</v>
      </c>
      <c r="V187" s="2" t="str">
        <f t="shared" si="49"/>
        <v>0A2</v>
      </c>
      <c r="W187" s="2" t="str">
        <f t="shared" si="50"/>
        <v/>
      </c>
      <c r="X187" s="2" t="str">
        <f t="shared" si="53"/>
        <v/>
      </c>
      <c r="Y187" s="2" t="str">
        <f t="shared" si="51"/>
        <v/>
      </c>
      <c r="Z187" s="2" t="str">
        <f t="shared" si="52"/>
        <v>X</v>
      </c>
      <c r="AA187" s="2" t="str">
        <f t="shared" si="55"/>
        <v/>
      </c>
      <c r="AB187" s="2" t="str">
        <f t="shared" si="56"/>
        <v/>
      </c>
      <c r="AC187" s="2" t="str">
        <f t="shared" si="57"/>
        <v/>
      </c>
      <c r="AD187" s="2" t="str">
        <f t="shared" si="58"/>
        <v>(0)</v>
      </c>
      <c r="AE187" s="2" t="str">
        <f t="shared" si="59"/>
        <v/>
      </c>
      <c r="AF187" s="2" t="str">
        <f t="shared" si="60"/>
        <v/>
      </c>
      <c r="AG187" s="2" t="str">
        <f t="shared" si="61"/>
        <v/>
      </c>
      <c r="AH187" s="2" t="str">
        <f t="shared" si="62"/>
        <v/>
      </c>
    </row>
    <row r="188" spans="2:34" x14ac:dyDescent="0.25">
      <c r="B188" s="2" t="s">
        <v>586</v>
      </c>
      <c r="C188" s="2" t="s">
        <v>482</v>
      </c>
      <c r="D188" s="2" t="s">
        <v>0</v>
      </c>
      <c r="E188" s="2" t="s">
        <v>130</v>
      </c>
      <c r="F188" s="2" t="s">
        <v>587</v>
      </c>
      <c r="G188" s="2" t="s">
        <v>588</v>
      </c>
      <c r="H188" s="2" t="s">
        <v>483</v>
      </c>
      <c r="I188" s="2" t="s">
        <v>41</v>
      </c>
      <c r="J188" s="2">
        <v>1</v>
      </c>
      <c r="K188" s="2" t="s">
        <v>131</v>
      </c>
      <c r="L188" s="2" t="s">
        <v>40</v>
      </c>
      <c r="P188" s="2" t="s">
        <v>4</v>
      </c>
      <c r="Q188" s="2">
        <f>INDEX(Tables!$C$4:$C$28,MATCH($P188,Tables!$B$4:$B$28,0))</f>
        <v>32</v>
      </c>
      <c r="R188" s="2">
        <f>INDEX(Tables!$D$4:$D$28,MATCH($P188,Tables!$B$4:$B$28,0))</f>
        <v>4</v>
      </c>
      <c r="S188" s="2">
        <f>$S187+$R187+INDEX(Tables!$N$5:$Q$8,MATCH(MOD($S187+$R187,4),Tables!$M$5:$M$8,0),MATCH($R188,Tables!$N$4:$Q$4,0))</f>
        <v>652</v>
      </c>
      <c r="T188" s="2" t="str">
        <f t="shared" si="48"/>
        <v>028C</v>
      </c>
      <c r="U188" s="2">
        <f t="shared" si="54"/>
        <v>163</v>
      </c>
      <c r="V188" s="2" t="str">
        <f t="shared" si="49"/>
        <v>0A3</v>
      </c>
      <c r="W188" s="2" t="str">
        <f t="shared" si="50"/>
        <v/>
      </c>
      <c r="X188" s="2" t="str">
        <f t="shared" si="53"/>
        <v/>
      </c>
      <c r="Y188" s="2" t="str">
        <f t="shared" si="51"/>
        <v/>
      </c>
      <c r="Z188" s="2" t="str">
        <f t="shared" si="52"/>
        <v>X</v>
      </c>
      <c r="AA188" s="2" t="str">
        <f t="shared" si="55"/>
        <v/>
      </c>
      <c r="AB188" s="2" t="str">
        <f t="shared" si="56"/>
        <v/>
      </c>
      <c r="AC188" s="2" t="str">
        <f t="shared" si="57"/>
        <v/>
      </c>
      <c r="AD188" s="2" t="str">
        <f t="shared" si="58"/>
        <v>(0)</v>
      </c>
      <c r="AE188" s="2" t="str">
        <f t="shared" si="59"/>
        <v/>
      </c>
      <c r="AF188" s="2" t="str">
        <f t="shared" si="60"/>
        <v/>
      </c>
      <c r="AG188" s="2" t="str">
        <f t="shared" si="61"/>
        <v/>
      </c>
      <c r="AH188" s="2" t="str">
        <f t="shared" si="62"/>
        <v/>
      </c>
    </row>
    <row r="189" spans="2:34" x14ac:dyDescent="0.25">
      <c r="B189" s="2" t="s">
        <v>586</v>
      </c>
      <c r="C189" s="2" t="s">
        <v>484</v>
      </c>
      <c r="D189" s="2" t="s">
        <v>0</v>
      </c>
      <c r="E189" s="2" t="s">
        <v>130</v>
      </c>
      <c r="F189" s="2" t="s">
        <v>587</v>
      </c>
      <c r="G189" s="2" t="s">
        <v>588</v>
      </c>
      <c r="H189" s="2" t="s">
        <v>485</v>
      </c>
      <c r="I189" s="2" t="s">
        <v>41</v>
      </c>
      <c r="J189" s="2">
        <v>1</v>
      </c>
      <c r="K189" s="2" t="s">
        <v>81</v>
      </c>
      <c r="L189" s="2" t="s">
        <v>40</v>
      </c>
      <c r="P189" s="2" t="s">
        <v>4</v>
      </c>
      <c r="Q189" s="2">
        <f>INDEX(Tables!$C$4:$C$28,MATCH($P189,Tables!$B$4:$B$28,0))</f>
        <v>32</v>
      </c>
      <c r="R189" s="2">
        <f>INDEX(Tables!$D$4:$D$28,MATCH($P189,Tables!$B$4:$B$28,0))</f>
        <v>4</v>
      </c>
      <c r="S189" s="2">
        <f>$S188+$R188+INDEX(Tables!$N$5:$Q$8,MATCH(MOD($S188+$R188,4),Tables!$M$5:$M$8,0),MATCH($R189,Tables!$N$4:$Q$4,0))</f>
        <v>656</v>
      </c>
      <c r="T189" s="2" t="str">
        <f t="shared" si="48"/>
        <v>0290</v>
      </c>
      <c r="U189" s="2">
        <f t="shared" si="54"/>
        <v>164</v>
      </c>
      <c r="V189" s="2" t="str">
        <f t="shared" si="49"/>
        <v>0A4</v>
      </c>
      <c r="W189" s="2" t="str">
        <f t="shared" si="50"/>
        <v/>
      </c>
      <c r="X189" s="2" t="str">
        <f t="shared" si="53"/>
        <v/>
      </c>
      <c r="Y189" s="2" t="str">
        <f t="shared" si="51"/>
        <v/>
      </c>
      <c r="Z189" s="2" t="str">
        <f t="shared" si="52"/>
        <v>X</v>
      </c>
      <c r="AA189" s="2" t="str">
        <f t="shared" si="55"/>
        <v/>
      </c>
      <c r="AB189" s="2" t="str">
        <f t="shared" si="56"/>
        <v/>
      </c>
      <c r="AC189" s="2" t="str">
        <f t="shared" si="57"/>
        <v/>
      </c>
      <c r="AD189" s="2" t="str">
        <f t="shared" si="58"/>
        <v>(0)</v>
      </c>
      <c r="AE189" s="2" t="str">
        <f t="shared" si="59"/>
        <v/>
      </c>
      <c r="AF189" s="2" t="str">
        <f t="shared" si="60"/>
        <v/>
      </c>
      <c r="AG189" s="2" t="str">
        <f t="shared" si="61"/>
        <v/>
      </c>
      <c r="AH189" s="2" t="str">
        <f t="shared" si="62"/>
        <v/>
      </c>
    </row>
    <row r="190" spans="2:34" x14ac:dyDescent="0.25">
      <c r="B190" s="2" t="s">
        <v>586</v>
      </c>
      <c r="C190" s="2" t="s">
        <v>486</v>
      </c>
      <c r="D190" s="2" t="s">
        <v>0</v>
      </c>
      <c r="E190" s="2" t="s">
        <v>130</v>
      </c>
      <c r="F190" s="2" t="s">
        <v>587</v>
      </c>
      <c r="G190" s="2" t="s">
        <v>588</v>
      </c>
      <c r="H190" s="2" t="s">
        <v>487</v>
      </c>
      <c r="I190" s="2" t="s">
        <v>41</v>
      </c>
      <c r="J190" s="2">
        <v>1</v>
      </c>
      <c r="K190" s="2" t="s">
        <v>131</v>
      </c>
      <c r="L190" s="2" t="s">
        <v>40</v>
      </c>
      <c r="P190" s="2" t="s">
        <v>4</v>
      </c>
      <c r="Q190" s="2">
        <f>INDEX(Tables!$C$4:$C$28,MATCH($P190,Tables!$B$4:$B$28,0))</f>
        <v>32</v>
      </c>
      <c r="R190" s="2">
        <f>INDEX(Tables!$D$4:$D$28,MATCH($P190,Tables!$B$4:$B$28,0))</f>
        <v>4</v>
      </c>
      <c r="S190" s="2">
        <f>$S189+$R189+INDEX(Tables!$N$5:$Q$8,MATCH(MOD($S189+$R189,4),Tables!$M$5:$M$8,0),MATCH($R190,Tables!$N$4:$Q$4,0))</f>
        <v>660</v>
      </c>
      <c r="T190" s="2" t="str">
        <f t="shared" si="48"/>
        <v>0294</v>
      </c>
      <c r="U190" s="2">
        <f t="shared" si="54"/>
        <v>165</v>
      </c>
      <c r="V190" s="2" t="str">
        <f t="shared" si="49"/>
        <v>0A5</v>
      </c>
      <c r="W190" s="2" t="str">
        <f t="shared" si="50"/>
        <v/>
      </c>
      <c r="X190" s="2" t="str">
        <f t="shared" si="53"/>
        <v/>
      </c>
      <c r="Y190" s="2" t="str">
        <f t="shared" si="51"/>
        <v/>
      </c>
      <c r="Z190" s="2" t="str">
        <f t="shared" si="52"/>
        <v>X</v>
      </c>
      <c r="AA190" s="2" t="str">
        <f t="shared" si="55"/>
        <v/>
      </c>
      <c r="AB190" s="2" t="str">
        <f t="shared" si="56"/>
        <v/>
      </c>
      <c r="AC190" s="2" t="str">
        <f t="shared" si="57"/>
        <v/>
      </c>
      <c r="AD190" s="2" t="str">
        <f t="shared" si="58"/>
        <v>(0)</v>
      </c>
      <c r="AE190" s="2" t="str">
        <f t="shared" si="59"/>
        <v/>
      </c>
      <c r="AF190" s="2" t="str">
        <f t="shared" si="60"/>
        <v/>
      </c>
      <c r="AG190" s="2" t="str">
        <f t="shared" si="61"/>
        <v/>
      </c>
      <c r="AH190" s="2" t="str">
        <f t="shared" si="62"/>
        <v/>
      </c>
    </row>
    <row r="191" spans="2:34" x14ac:dyDescent="0.25">
      <c r="B191" s="2" t="s">
        <v>586</v>
      </c>
      <c r="C191" s="2" t="s">
        <v>488</v>
      </c>
      <c r="D191" s="2" t="s">
        <v>0</v>
      </c>
      <c r="E191" s="2" t="s">
        <v>130</v>
      </c>
      <c r="F191" s="2" t="s">
        <v>587</v>
      </c>
      <c r="G191" s="2" t="s">
        <v>588</v>
      </c>
      <c r="H191" s="2" t="s">
        <v>489</v>
      </c>
      <c r="I191" s="2" t="s">
        <v>41</v>
      </c>
      <c r="J191" s="2">
        <v>1</v>
      </c>
      <c r="K191" s="2" t="s">
        <v>131</v>
      </c>
      <c r="L191" s="2" t="s">
        <v>40</v>
      </c>
      <c r="P191" s="2" t="s">
        <v>4</v>
      </c>
      <c r="Q191" s="2">
        <f>INDEX(Tables!$C$4:$C$28,MATCH($P191,Tables!$B$4:$B$28,0))</f>
        <v>32</v>
      </c>
      <c r="R191" s="2">
        <f>INDEX(Tables!$D$4:$D$28,MATCH($P191,Tables!$B$4:$B$28,0))</f>
        <v>4</v>
      </c>
      <c r="S191" s="2">
        <f>$S190+$R190+INDEX(Tables!$N$5:$Q$8,MATCH(MOD($S190+$R190,4),Tables!$M$5:$M$8,0),MATCH($R191,Tables!$N$4:$Q$4,0))</f>
        <v>664</v>
      </c>
      <c r="T191" s="2" t="str">
        <f t="shared" si="48"/>
        <v>0298</v>
      </c>
      <c r="U191" s="2">
        <f t="shared" si="54"/>
        <v>166</v>
      </c>
      <c r="V191" s="2" t="str">
        <f t="shared" si="49"/>
        <v>0A6</v>
      </c>
      <c r="W191" s="2" t="str">
        <f t="shared" si="50"/>
        <v/>
      </c>
      <c r="X191" s="2" t="str">
        <f t="shared" si="53"/>
        <v/>
      </c>
      <c r="Y191" s="2" t="str">
        <f t="shared" si="51"/>
        <v/>
      </c>
      <c r="Z191" s="2" t="str">
        <f t="shared" si="52"/>
        <v>X</v>
      </c>
      <c r="AA191" s="2" t="str">
        <f t="shared" si="55"/>
        <v/>
      </c>
      <c r="AB191" s="2" t="str">
        <f t="shared" si="56"/>
        <v/>
      </c>
      <c r="AC191" s="2" t="str">
        <f t="shared" si="57"/>
        <v/>
      </c>
      <c r="AD191" s="2" t="str">
        <f t="shared" si="58"/>
        <v>(0)</v>
      </c>
      <c r="AE191" s="2" t="str">
        <f t="shared" si="59"/>
        <v/>
      </c>
      <c r="AF191" s="2" t="str">
        <f t="shared" si="60"/>
        <v/>
      </c>
      <c r="AG191" s="2" t="str">
        <f t="shared" si="61"/>
        <v/>
      </c>
      <c r="AH191" s="2" t="str">
        <f t="shared" si="62"/>
        <v/>
      </c>
    </row>
    <row r="192" spans="2:34" x14ac:dyDescent="0.25">
      <c r="B192" s="2" t="s">
        <v>586</v>
      </c>
      <c r="C192" s="2" t="s">
        <v>168</v>
      </c>
      <c r="D192" s="2" t="s">
        <v>0</v>
      </c>
      <c r="E192" s="2" t="s">
        <v>130</v>
      </c>
      <c r="F192" s="2" t="s">
        <v>587</v>
      </c>
      <c r="G192" s="2" t="s">
        <v>588</v>
      </c>
      <c r="H192" s="2" t="s">
        <v>169</v>
      </c>
      <c r="I192" s="2" t="s">
        <v>41</v>
      </c>
      <c r="J192" s="2">
        <v>1</v>
      </c>
      <c r="K192" s="2" t="s">
        <v>81</v>
      </c>
      <c r="L192" s="2" t="s">
        <v>40</v>
      </c>
      <c r="P192" s="2" t="s">
        <v>4</v>
      </c>
      <c r="Q192" s="2">
        <f>INDEX(Tables!$C$4:$C$28,MATCH($P192,Tables!$B$4:$B$28,0))</f>
        <v>32</v>
      </c>
      <c r="R192" s="2">
        <f>INDEX(Tables!$D$4:$D$28,MATCH($P192,Tables!$B$4:$B$28,0))</f>
        <v>4</v>
      </c>
      <c r="S192" s="2">
        <f>$S191+$R191+INDEX(Tables!$N$5:$Q$8,MATCH(MOD($S191+$R191,4),Tables!$M$5:$M$8,0),MATCH($R192,Tables!$N$4:$Q$4,0))</f>
        <v>668</v>
      </c>
      <c r="T192" s="2" t="str">
        <f t="shared" si="48"/>
        <v>029C</v>
      </c>
      <c r="U192" s="2">
        <f t="shared" si="54"/>
        <v>167</v>
      </c>
      <c r="V192" s="2" t="str">
        <f t="shared" si="49"/>
        <v>0A7</v>
      </c>
      <c r="W192" s="2" t="str">
        <f t="shared" si="50"/>
        <v/>
      </c>
      <c r="X192" s="2" t="str">
        <f t="shared" si="53"/>
        <v/>
      </c>
      <c r="Y192" s="2" t="str">
        <f t="shared" si="51"/>
        <v/>
      </c>
      <c r="Z192" s="2" t="str">
        <f t="shared" si="52"/>
        <v>X</v>
      </c>
      <c r="AA192" s="2" t="str">
        <f t="shared" si="55"/>
        <v/>
      </c>
      <c r="AB192" s="2" t="str">
        <f t="shared" si="56"/>
        <v/>
      </c>
      <c r="AC192" s="2" t="str">
        <f t="shared" si="57"/>
        <v/>
      </c>
      <c r="AD192" s="2" t="str">
        <f t="shared" si="58"/>
        <v>(0)</v>
      </c>
      <c r="AE192" s="2" t="str">
        <f t="shared" si="59"/>
        <v/>
      </c>
      <c r="AF192" s="2" t="str">
        <f t="shared" si="60"/>
        <v/>
      </c>
      <c r="AG192" s="2" t="str">
        <f t="shared" si="61"/>
        <v/>
      </c>
      <c r="AH192" s="2" t="str">
        <f t="shared" si="62"/>
        <v/>
      </c>
    </row>
    <row r="193" spans="2:34" x14ac:dyDescent="0.25">
      <c r="B193" s="2" t="s">
        <v>586</v>
      </c>
      <c r="C193" s="2" t="s">
        <v>490</v>
      </c>
      <c r="D193" s="2" t="s">
        <v>0</v>
      </c>
      <c r="E193" s="2" t="s">
        <v>130</v>
      </c>
      <c r="F193" s="2" t="s">
        <v>587</v>
      </c>
      <c r="G193" s="2" t="s">
        <v>588</v>
      </c>
      <c r="H193" s="2" t="s">
        <v>491</v>
      </c>
      <c r="I193" s="2" t="s">
        <v>41</v>
      </c>
      <c r="J193" s="2">
        <v>1</v>
      </c>
      <c r="K193" s="2" t="s">
        <v>81</v>
      </c>
      <c r="L193" s="2" t="s">
        <v>40</v>
      </c>
      <c r="P193" s="2" t="s">
        <v>4</v>
      </c>
      <c r="Q193" s="2">
        <f>INDEX(Tables!$C$4:$C$28,MATCH($P193,Tables!$B$4:$B$28,0))</f>
        <v>32</v>
      </c>
      <c r="R193" s="2">
        <f>INDEX(Tables!$D$4:$D$28,MATCH($P193,Tables!$B$4:$B$28,0))</f>
        <v>4</v>
      </c>
      <c r="S193" s="2">
        <f>$S192+$R192+INDEX(Tables!$N$5:$Q$8,MATCH(MOD($S192+$R192,4),Tables!$M$5:$M$8,0),MATCH($R193,Tables!$N$4:$Q$4,0))</f>
        <v>672</v>
      </c>
      <c r="T193" s="2" t="str">
        <f t="shared" si="48"/>
        <v>02A0</v>
      </c>
      <c r="U193" s="2">
        <f t="shared" si="54"/>
        <v>168</v>
      </c>
      <c r="V193" s="2" t="str">
        <f t="shared" si="49"/>
        <v>0A8</v>
      </c>
      <c r="W193" s="2" t="str">
        <f t="shared" si="50"/>
        <v/>
      </c>
      <c r="X193" s="2" t="str">
        <f t="shared" si="53"/>
        <v/>
      </c>
      <c r="Y193" s="2" t="str">
        <f t="shared" si="51"/>
        <v/>
      </c>
      <c r="Z193" s="2" t="str">
        <f t="shared" si="52"/>
        <v>X</v>
      </c>
      <c r="AA193" s="2" t="str">
        <f t="shared" si="55"/>
        <v/>
      </c>
      <c r="AB193" s="2" t="str">
        <f t="shared" si="56"/>
        <v/>
      </c>
      <c r="AC193" s="2" t="str">
        <f t="shared" si="57"/>
        <v/>
      </c>
      <c r="AD193" s="2" t="str">
        <f t="shared" si="58"/>
        <v>(0)</v>
      </c>
      <c r="AE193" s="2" t="str">
        <f t="shared" si="59"/>
        <v/>
      </c>
      <c r="AF193" s="2" t="str">
        <f t="shared" si="60"/>
        <v/>
      </c>
      <c r="AG193" s="2" t="str">
        <f t="shared" si="61"/>
        <v/>
      </c>
      <c r="AH193" s="2" t="str">
        <f t="shared" si="62"/>
        <v/>
      </c>
    </row>
    <row r="194" spans="2:34" x14ac:dyDescent="0.25">
      <c r="B194" s="2" t="s">
        <v>586</v>
      </c>
      <c r="C194" s="2" t="s">
        <v>492</v>
      </c>
      <c r="D194" s="2" t="s">
        <v>0</v>
      </c>
      <c r="E194" s="2" t="s">
        <v>130</v>
      </c>
      <c r="F194" s="2" t="s">
        <v>587</v>
      </c>
      <c r="G194" s="2" t="s">
        <v>588</v>
      </c>
      <c r="H194" s="2" t="s">
        <v>493</v>
      </c>
      <c r="I194" s="2" t="s">
        <v>41</v>
      </c>
      <c r="J194" s="2">
        <v>3</v>
      </c>
      <c r="K194" s="2" t="s">
        <v>494</v>
      </c>
      <c r="L194" s="2" t="s">
        <v>40</v>
      </c>
      <c r="P194" s="2" t="s">
        <v>47</v>
      </c>
      <c r="Q194" s="2">
        <f>INDEX(Tables!$C$4:$C$28,MATCH($P194,Tables!$B$4:$B$28,0))</f>
        <v>8</v>
      </c>
      <c r="R194" s="2">
        <f>INDEX(Tables!$D$4:$D$28,MATCH($P194,Tables!$B$4:$B$28,0))</f>
        <v>1</v>
      </c>
      <c r="S194" s="2">
        <f>$S193+$R193+INDEX(Tables!$N$5:$Q$8,MATCH(MOD($S193+$R193,4),Tables!$M$5:$M$8,0),MATCH($R194,Tables!$N$4:$Q$4,0))</f>
        <v>676</v>
      </c>
      <c r="T194" s="2" t="str">
        <f t="shared" si="48"/>
        <v>02A4</v>
      </c>
      <c r="U194" s="2">
        <f t="shared" si="54"/>
        <v>169</v>
      </c>
      <c r="V194" s="2" t="str">
        <f t="shared" si="49"/>
        <v>0A9</v>
      </c>
      <c r="W194" s="2" t="str">
        <f t="shared" si="50"/>
        <v/>
      </c>
      <c r="X194" s="2" t="str">
        <f t="shared" si="53"/>
        <v/>
      </c>
      <c r="Y194" s="2" t="str">
        <f t="shared" si="51"/>
        <v/>
      </c>
      <c r="Z194" s="2" t="str">
        <f t="shared" si="52"/>
        <v>X</v>
      </c>
      <c r="AA194" s="2" t="str">
        <f t="shared" si="55"/>
        <v/>
      </c>
      <c r="AB194" s="2" t="str">
        <f t="shared" si="56"/>
        <v/>
      </c>
      <c r="AC194" s="2" t="str">
        <f t="shared" si="57"/>
        <v/>
      </c>
      <c r="AD194" s="2" t="str">
        <f t="shared" si="58"/>
        <v>(2 downto 0)</v>
      </c>
      <c r="AE194" s="2" t="str">
        <f t="shared" si="59"/>
        <v/>
      </c>
      <c r="AF194" s="2" t="str">
        <f t="shared" si="60"/>
        <v/>
      </c>
      <c r="AG194" s="2" t="str">
        <f t="shared" si="61"/>
        <v/>
      </c>
      <c r="AH194" s="2" t="str">
        <f t="shared" si="62"/>
        <v/>
      </c>
    </row>
    <row r="195" spans="2:34" x14ac:dyDescent="0.25">
      <c r="B195" s="2" t="s">
        <v>586</v>
      </c>
      <c r="C195" s="2" t="s">
        <v>495</v>
      </c>
      <c r="D195" s="2" t="s">
        <v>0</v>
      </c>
      <c r="E195" s="2" t="s">
        <v>130</v>
      </c>
      <c r="F195" s="2" t="s">
        <v>587</v>
      </c>
      <c r="G195" s="2" t="s">
        <v>588</v>
      </c>
      <c r="H195" s="2" t="s">
        <v>496</v>
      </c>
      <c r="I195" s="2" t="s">
        <v>41</v>
      </c>
      <c r="J195" s="2">
        <v>2</v>
      </c>
      <c r="K195" s="2" t="s">
        <v>132</v>
      </c>
      <c r="L195" s="2" t="s">
        <v>40</v>
      </c>
      <c r="P195" s="2" t="s">
        <v>47</v>
      </c>
      <c r="Q195" s="2">
        <f>INDEX(Tables!$C$4:$C$28,MATCH($P195,Tables!$B$4:$B$28,0))</f>
        <v>8</v>
      </c>
      <c r="R195" s="2">
        <f>INDEX(Tables!$D$4:$D$28,MATCH($P195,Tables!$B$4:$B$28,0))</f>
        <v>1</v>
      </c>
      <c r="S195" s="2">
        <f>$S194+$R194+INDEX(Tables!$N$5:$Q$8,MATCH(MOD($S194+$R194,4),Tables!$M$5:$M$8,0),MATCH($R195,Tables!$N$4:$Q$4,0))</f>
        <v>677</v>
      </c>
      <c r="T195" s="2" t="str">
        <f t="shared" si="48"/>
        <v>02A5</v>
      </c>
      <c r="U195" s="2">
        <f t="shared" si="54"/>
        <v>169</v>
      </c>
      <c r="V195" s="2" t="str">
        <f t="shared" si="49"/>
        <v>0A9</v>
      </c>
      <c r="W195" s="2" t="str">
        <f t="shared" si="50"/>
        <v/>
      </c>
      <c r="X195" s="2" t="str">
        <f t="shared" si="53"/>
        <v/>
      </c>
      <c r="Y195" s="2" t="str">
        <f t="shared" si="51"/>
        <v>X</v>
      </c>
      <c r="Z195" s="2" t="str">
        <f t="shared" si="52"/>
        <v/>
      </c>
      <c r="AA195" s="2" t="str">
        <f t="shared" si="55"/>
        <v/>
      </c>
      <c r="AB195" s="2" t="str">
        <f t="shared" si="56"/>
        <v/>
      </c>
      <c r="AC195" s="2" t="str">
        <f t="shared" si="57"/>
        <v>(9 downto 8)</v>
      </c>
      <c r="AD195" s="2" t="str">
        <f t="shared" si="58"/>
        <v/>
      </c>
      <c r="AE195" s="2" t="str">
        <f t="shared" si="59"/>
        <v/>
      </c>
      <c r="AF195" s="2" t="str">
        <f t="shared" si="60"/>
        <v/>
      </c>
      <c r="AG195" s="2" t="str">
        <f t="shared" si="61"/>
        <v/>
      </c>
      <c r="AH195" s="2" t="str">
        <f t="shared" si="62"/>
        <v/>
      </c>
    </row>
    <row r="196" spans="2:34" x14ac:dyDescent="0.25">
      <c r="B196" s="2" t="s">
        <v>586</v>
      </c>
      <c r="C196" s="2" t="s">
        <v>497</v>
      </c>
      <c r="D196" s="2" t="s">
        <v>0</v>
      </c>
      <c r="E196" s="2" t="s">
        <v>130</v>
      </c>
      <c r="F196" s="2" t="s">
        <v>587</v>
      </c>
      <c r="G196" s="2" t="s">
        <v>588</v>
      </c>
      <c r="H196" s="2" t="s">
        <v>498</v>
      </c>
      <c r="I196" s="2" t="s">
        <v>41</v>
      </c>
      <c r="J196" s="2">
        <v>2</v>
      </c>
      <c r="K196" s="2" t="s">
        <v>132</v>
      </c>
      <c r="L196" s="2" t="s">
        <v>40</v>
      </c>
      <c r="P196" s="2" t="s">
        <v>47</v>
      </c>
      <c r="Q196" s="2">
        <f>INDEX(Tables!$C$4:$C$28,MATCH($P196,Tables!$B$4:$B$28,0))</f>
        <v>8</v>
      </c>
      <c r="R196" s="2">
        <f>INDEX(Tables!$D$4:$D$28,MATCH($P196,Tables!$B$4:$B$28,0))</f>
        <v>1</v>
      </c>
      <c r="S196" s="2">
        <f>$S195+$R195+INDEX(Tables!$N$5:$Q$8,MATCH(MOD($S195+$R195,4),Tables!$M$5:$M$8,0),MATCH($R196,Tables!$N$4:$Q$4,0))</f>
        <v>678</v>
      </c>
      <c r="T196" s="2" t="str">
        <f t="shared" si="48"/>
        <v>02A6</v>
      </c>
      <c r="U196" s="2">
        <f t="shared" si="54"/>
        <v>169</v>
      </c>
      <c r="V196" s="2" t="str">
        <f t="shared" si="49"/>
        <v>0A9</v>
      </c>
      <c r="W196" s="2" t="str">
        <f t="shared" si="50"/>
        <v/>
      </c>
      <c r="X196" s="2" t="str">
        <f t="shared" si="53"/>
        <v>X</v>
      </c>
      <c r="Y196" s="2" t="str">
        <f t="shared" si="51"/>
        <v/>
      </c>
      <c r="Z196" s="2" t="str">
        <f t="shared" si="52"/>
        <v/>
      </c>
      <c r="AA196" s="2" t="str">
        <f t="shared" si="55"/>
        <v/>
      </c>
      <c r="AB196" s="2" t="str">
        <f t="shared" si="56"/>
        <v>(17 downto 16)</v>
      </c>
      <c r="AC196" s="2" t="str">
        <f t="shared" si="57"/>
        <v/>
      </c>
      <c r="AD196" s="2" t="str">
        <f t="shared" si="58"/>
        <v/>
      </c>
      <c r="AE196" s="2" t="str">
        <f t="shared" si="59"/>
        <v/>
      </c>
      <c r="AF196" s="2" t="str">
        <f t="shared" si="60"/>
        <v/>
      </c>
      <c r="AG196" s="2" t="str">
        <f t="shared" si="61"/>
        <v/>
      </c>
      <c r="AH196" s="2" t="str">
        <f t="shared" si="62"/>
        <v/>
      </c>
    </row>
    <row r="197" spans="2:34" x14ac:dyDescent="0.25">
      <c r="B197" s="2" t="s">
        <v>586</v>
      </c>
      <c r="C197" s="2" t="s">
        <v>499</v>
      </c>
      <c r="D197" s="2" t="s">
        <v>0</v>
      </c>
      <c r="E197" s="2" t="s">
        <v>130</v>
      </c>
      <c r="F197" s="2" t="s">
        <v>587</v>
      </c>
      <c r="G197" s="2" t="s">
        <v>588</v>
      </c>
      <c r="H197" s="2" t="s">
        <v>500</v>
      </c>
      <c r="I197" s="2" t="s">
        <v>41</v>
      </c>
      <c r="J197" s="2">
        <v>4</v>
      </c>
      <c r="K197" s="2" t="s">
        <v>132</v>
      </c>
      <c r="L197" s="2" t="s">
        <v>40</v>
      </c>
      <c r="P197" s="2" t="s">
        <v>47</v>
      </c>
      <c r="Q197" s="2">
        <f>INDEX(Tables!$C$4:$C$28,MATCH($P197,Tables!$B$4:$B$28,0))</f>
        <v>8</v>
      </c>
      <c r="R197" s="2">
        <f>INDEX(Tables!$D$4:$D$28,MATCH($P197,Tables!$B$4:$B$28,0))</f>
        <v>1</v>
      </c>
      <c r="S197" s="2">
        <f>$S196+$R196+INDEX(Tables!$N$5:$Q$8,MATCH(MOD($S196+$R196,4),Tables!$M$5:$M$8,0),MATCH($R197,Tables!$N$4:$Q$4,0))</f>
        <v>679</v>
      </c>
      <c r="T197" s="2" t="str">
        <f t="shared" ref="T197:T260" si="63">DEC2HEX($S197,4)</f>
        <v>02A7</v>
      </c>
      <c r="U197" s="2">
        <f t="shared" si="54"/>
        <v>169</v>
      </c>
      <c r="V197" s="2" t="str">
        <f t="shared" ref="V197:V260" si="64">DEC2HEX($U197,3)</f>
        <v>0A9</v>
      </c>
      <c r="W197" s="2" t="str">
        <f t="shared" ref="W197:W260" si="65">IF(MOD($S197,4)=3,"X",IF(AND(MOD($S197,4)=2,$J197&gt;8),"X",IF(AND(MOD($S197,4)=1,$J197&gt;16),"X",IF(AND(MOD($S197,4)=0,$J197&gt;24),"X",""))))</f>
        <v>X</v>
      </c>
      <c r="X197" s="2" t="str">
        <f t="shared" si="53"/>
        <v/>
      </c>
      <c r="Y197" s="2" t="str">
        <f t="shared" ref="Y197:Y260" si="66">IF(MOD($S197,4)=1,"X",IF(AND(MOD($S197,4)=0,$J197&gt;8),"X",""))</f>
        <v/>
      </c>
      <c r="Z197" s="2" t="str">
        <f t="shared" ref="Z197:Z260" si="67">IF(MOD($S197,4)=0,"X","")</f>
        <v/>
      </c>
      <c r="AA197" s="2" t="str">
        <f t="shared" si="55"/>
        <v>(27 downto 24)</v>
      </c>
      <c r="AB197" s="2" t="str">
        <f t="shared" si="56"/>
        <v/>
      </c>
      <c r="AC197" s="2" t="str">
        <f t="shared" si="57"/>
        <v/>
      </c>
      <c r="AD197" s="2" t="str">
        <f t="shared" si="58"/>
        <v/>
      </c>
      <c r="AE197" s="2" t="str">
        <f t="shared" si="59"/>
        <v/>
      </c>
      <c r="AF197" s="2" t="str">
        <f t="shared" si="60"/>
        <v/>
      </c>
      <c r="AG197" s="2" t="str">
        <f t="shared" si="61"/>
        <v/>
      </c>
      <c r="AH197" s="2" t="str">
        <f t="shared" si="62"/>
        <v/>
      </c>
    </row>
    <row r="198" spans="2:34" x14ac:dyDescent="0.25">
      <c r="B198" s="2" t="s">
        <v>586</v>
      </c>
      <c r="C198" s="2" t="s">
        <v>501</v>
      </c>
      <c r="D198" s="2" t="s">
        <v>0</v>
      </c>
      <c r="E198" s="2" t="s">
        <v>130</v>
      </c>
      <c r="F198" s="2" t="s">
        <v>587</v>
      </c>
      <c r="G198" s="2" t="s">
        <v>588</v>
      </c>
      <c r="H198" s="2" t="s">
        <v>502</v>
      </c>
      <c r="I198" s="2" t="s">
        <v>41</v>
      </c>
      <c r="J198" s="2">
        <v>4</v>
      </c>
      <c r="K198" s="2" t="s">
        <v>132</v>
      </c>
      <c r="L198" s="2" t="s">
        <v>40</v>
      </c>
      <c r="P198" s="2" t="s">
        <v>47</v>
      </c>
      <c r="Q198" s="2">
        <f>INDEX(Tables!$C$4:$C$28,MATCH($P198,Tables!$B$4:$B$28,0))</f>
        <v>8</v>
      </c>
      <c r="R198" s="2">
        <f>INDEX(Tables!$D$4:$D$28,MATCH($P198,Tables!$B$4:$B$28,0))</f>
        <v>1</v>
      </c>
      <c r="S198" s="2">
        <f>$S197+$R197+INDEX(Tables!$N$5:$Q$8,MATCH(MOD($S197+$R197,4),Tables!$M$5:$M$8,0),MATCH($R198,Tables!$N$4:$Q$4,0))</f>
        <v>680</v>
      </c>
      <c r="T198" s="2" t="str">
        <f t="shared" si="63"/>
        <v>02A8</v>
      </c>
      <c r="U198" s="2">
        <f t="shared" si="54"/>
        <v>170</v>
      </c>
      <c r="V198" s="2" t="str">
        <f t="shared" si="64"/>
        <v>0AA</v>
      </c>
      <c r="W198" s="2" t="str">
        <f t="shared" si="65"/>
        <v/>
      </c>
      <c r="X198" s="2" t="str">
        <f t="shared" ref="X198:X261" si="68">IF(MOD($S198,4)=2,"X",IF(AND(MOD($S198,4)=1,$J198&gt;8),"X",IF(AND(MOD($S198,4)=0,$J198&gt;16),"X","")))</f>
        <v/>
      </c>
      <c r="Y198" s="2" t="str">
        <f t="shared" si="66"/>
        <v/>
      </c>
      <c r="Z198" s="2" t="str">
        <f t="shared" si="67"/>
        <v>X</v>
      </c>
      <c r="AA198" s="2" t="str">
        <f t="shared" si="55"/>
        <v/>
      </c>
      <c r="AB198" s="2" t="str">
        <f t="shared" si="56"/>
        <v/>
      </c>
      <c r="AC198" s="2" t="str">
        <f t="shared" si="57"/>
        <v/>
      </c>
      <c r="AD198" s="2" t="str">
        <f t="shared" si="58"/>
        <v>(3 downto 0)</v>
      </c>
      <c r="AE198" s="2" t="str">
        <f t="shared" si="59"/>
        <v/>
      </c>
      <c r="AF198" s="2" t="str">
        <f t="shared" si="60"/>
        <v/>
      </c>
      <c r="AG198" s="2" t="str">
        <f t="shared" si="61"/>
        <v/>
      </c>
      <c r="AH198" s="2" t="str">
        <f t="shared" si="62"/>
        <v/>
      </c>
    </row>
    <row r="199" spans="2:34" x14ac:dyDescent="0.25">
      <c r="B199" s="2" t="s">
        <v>586</v>
      </c>
      <c r="C199" s="2" t="s">
        <v>503</v>
      </c>
      <c r="D199" s="2" t="s">
        <v>0</v>
      </c>
      <c r="E199" s="2" t="s">
        <v>130</v>
      </c>
      <c r="F199" s="2" t="s">
        <v>587</v>
      </c>
      <c r="G199" s="2" t="s">
        <v>588</v>
      </c>
      <c r="H199" s="2" t="s">
        <v>504</v>
      </c>
      <c r="I199" s="2" t="s">
        <v>41</v>
      </c>
      <c r="J199" s="2">
        <v>8</v>
      </c>
      <c r="K199" s="2" t="s">
        <v>589</v>
      </c>
      <c r="L199" s="2" t="s">
        <v>40</v>
      </c>
      <c r="P199" s="2" t="s">
        <v>47</v>
      </c>
      <c r="Q199" s="2">
        <f>INDEX(Tables!$C$4:$C$28,MATCH($P199,Tables!$B$4:$B$28,0))</f>
        <v>8</v>
      </c>
      <c r="R199" s="2">
        <f>INDEX(Tables!$D$4:$D$28,MATCH($P199,Tables!$B$4:$B$28,0))</f>
        <v>1</v>
      </c>
      <c r="S199" s="2">
        <f>$S198+$R198+INDEX(Tables!$N$5:$Q$8,MATCH(MOD($S198+$R198,4),Tables!$M$5:$M$8,0),MATCH($R199,Tables!$N$4:$Q$4,0))</f>
        <v>681</v>
      </c>
      <c r="T199" s="2" t="str">
        <f t="shared" si="63"/>
        <v>02A9</v>
      </c>
      <c r="U199" s="2">
        <f t="shared" si="54"/>
        <v>170</v>
      </c>
      <c r="V199" s="2" t="str">
        <f t="shared" si="64"/>
        <v>0AA</v>
      </c>
      <c r="W199" s="2" t="str">
        <f t="shared" si="65"/>
        <v/>
      </c>
      <c r="X199" s="2" t="str">
        <f t="shared" si="68"/>
        <v/>
      </c>
      <c r="Y199" s="2" t="str">
        <f t="shared" si="66"/>
        <v>X</v>
      </c>
      <c r="Z199" s="2" t="str">
        <f t="shared" si="67"/>
        <v/>
      </c>
      <c r="AA199" s="2" t="str">
        <f t="shared" si="55"/>
        <v/>
      </c>
      <c r="AB199" s="2" t="str">
        <f t="shared" si="56"/>
        <v/>
      </c>
      <c r="AC199" s="2" t="str">
        <f t="shared" si="57"/>
        <v>(15 downto 8)</v>
      </c>
      <c r="AD199" s="2" t="str">
        <f t="shared" si="58"/>
        <v/>
      </c>
      <c r="AE199" s="2" t="str">
        <f t="shared" si="59"/>
        <v/>
      </c>
      <c r="AF199" s="2" t="str">
        <f t="shared" si="60"/>
        <v/>
      </c>
      <c r="AG199" s="2" t="str">
        <f t="shared" si="61"/>
        <v/>
      </c>
      <c r="AH199" s="2" t="str">
        <f t="shared" si="62"/>
        <v/>
      </c>
    </row>
    <row r="200" spans="2:34" x14ac:dyDescent="0.25">
      <c r="B200" s="2" t="s">
        <v>590</v>
      </c>
      <c r="C200" s="2" t="s">
        <v>507</v>
      </c>
      <c r="D200" s="2" t="s">
        <v>0</v>
      </c>
      <c r="E200" s="2" t="s">
        <v>130</v>
      </c>
      <c r="F200" s="2" t="s">
        <v>591</v>
      </c>
      <c r="G200" s="2" t="s">
        <v>592</v>
      </c>
      <c r="H200" s="2" t="s">
        <v>510</v>
      </c>
      <c r="I200" s="2" t="s">
        <v>41</v>
      </c>
      <c r="J200" s="2">
        <v>1</v>
      </c>
      <c r="K200" s="2" t="s">
        <v>81</v>
      </c>
      <c r="L200" s="2" t="s">
        <v>40</v>
      </c>
      <c r="P200" s="2" t="s">
        <v>4</v>
      </c>
      <c r="Q200" s="2">
        <f>INDEX(Tables!$C$4:$C$28,MATCH($P200,Tables!$B$4:$B$28,0))</f>
        <v>32</v>
      </c>
      <c r="R200" s="2">
        <f>INDEX(Tables!$D$4:$D$28,MATCH($P200,Tables!$B$4:$B$28,0))</f>
        <v>4</v>
      </c>
      <c r="S200" s="2">
        <f>$S199+$R199+INDEX(Tables!$N$5:$Q$8,MATCH(MOD($S199+$R199,4),Tables!$M$5:$M$8,0),MATCH($R200,Tables!$N$4:$Q$4,0))</f>
        <v>684</v>
      </c>
      <c r="T200" s="2" t="str">
        <f t="shared" si="63"/>
        <v>02AC</v>
      </c>
      <c r="U200" s="2">
        <f t="shared" si="54"/>
        <v>171</v>
      </c>
      <c r="V200" s="2" t="str">
        <f t="shared" si="64"/>
        <v>0AB</v>
      </c>
      <c r="W200" s="2" t="str">
        <f t="shared" si="65"/>
        <v/>
      </c>
      <c r="X200" s="2" t="str">
        <f t="shared" si="68"/>
        <v/>
      </c>
      <c r="Y200" s="2" t="str">
        <f t="shared" si="66"/>
        <v/>
      </c>
      <c r="Z200" s="2" t="str">
        <f t="shared" si="67"/>
        <v>X</v>
      </c>
      <c r="AA200" s="2" t="str">
        <f t="shared" si="55"/>
        <v/>
      </c>
      <c r="AB200" s="2" t="str">
        <f t="shared" si="56"/>
        <v/>
      </c>
      <c r="AC200" s="2" t="str">
        <f t="shared" si="57"/>
        <v/>
      </c>
      <c r="AD200" s="2" t="str">
        <f t="shared" si="58"/>
        <v>(0)</v>
      </c>
      <c r="AE200" s="2" t="str">
        <f t="shared" si="59"/>
        <v/>
      </c>
      <c r="AF200" s="2" t="str">
        <f t="shared" si="60"/>
        <v/>
      </c>
      <c r="AG200" s="2" t="str">
        <f t="shared" si="61"/>
        <v/>
      </c>
      <c r="AH200" s="2" t="str">
        <f t="shared" si="62"/>
        <v/>
      </c>
    </row>
    <row r="201" spans="2:34" x14ac:dyDescent="0.25">
      <c r="B201" s="2" t="s">
        <v>590</v>
      </c>
      <c r="C201" s="2" t="s">
        <v>511</v>
      </c>
      <c r="D201" s="2" t="s">
        <v>0</v>
      </c>
      <c r="E201" s="2" t="s">
        <v>130</v>
      </c>
      <c r="F201" s="2" t="s">
        <v>591</v>
      </c>
      <c r="G201" s="2" t="s">
        <v>592</v>
      </c>
      <c r="H201" s="2" t="s">
        <v>512</v>
      </c>
      <c r="I201" s="2" t="s">
        <v>41</v>
      </c>
      <c r="J201" s="2">
        <v>1</v>
      </c>
      <c r="K201" s="2" t="s">
        <v>81</v>
      </c>
      <c r="L201" s="2" t="s">
        <v>40</v>
      </c>
      <c r="P201" s="2" t="s">
        <v>4</v>
      </c>
      <c r="Q201" s="2">
        <f>INDEX(Tables!$C$4:$C$28,MATCH($P201,Tables!$B$4:$B$28,0))</f>
        <v>32</v>
      </c>
      <c r="R201" s="2">
        <f>INDEX(Tables!$D$4:$D$28,MATCH($P201,Tables!$B$4:$B$28,0))</f>
        <v>4</v>
      </c>
      <c r="S201" s="2">
        <f>$S200+$R200+INDEX(Tables!$N$5:$Q$8,MATCH(MOD($S200+$R200,4),Tables!$M$5:$M$8,0),MATCH($R201,Tables!$N$4:$Q$4,0))</f>
        <v>688</v>
      </c>
      <c r="T201" s="2" t="str">
        <f t="shared" si="63"/>
        <v>02B0</v>
      </c>
      <c r="U201" s="2">
        <f t="shared" ref="U201:U264" si="69">ROUNDDOWN(S201/4,0)</f>
        <v>172</v>
      </c>
      <c r="V201" s="2" t="str">
        <f t="shared" si="64"/>
        <v>0AC</v>
      </c>
      <c r="W201" s="2" t="str">
        <f t="shared" si="65"/>
        <v/>
      </c>
      <c r="X201" s="2" t="str">
        <f t="shared" si="68"/>
        <v/>
      </c>
      <c r="Y201" s="2" t="str">
        <f t="shared" si="66"/>
        <v/>
      </c>
      <c r="Z201" s="2" t="str">
        <f t="shared" si="67"/>
        <v>X</v>
      </c>
      <c r="AA201" s="2" t="str">
        <f t="shared" ref="AA201:AA264" si="70">IF(W201="","",CONCATENATE("(",IF(($J201-COUNTIF($X201:$Z201,"X")*8)=1,"24)",CONCATENATE(IF(($J201-COUNTIF($X201:$Z201,"X")*8)&gt;=8,32,($J201-COUNTIF($X201:$Z201,"X")*8)+24)-1," downto 24)"))))</f>
        <v/>
      </c>
      <c r="AB201" s="2" t="str">
        <f t="shared" ref="AB201:AB264" si="71">IF(X201="","",CONCATENATE("(",IF(($J201-COUNTIF($Y201:$Z201,"X")*8)=1,"16)",CONCATENATE(IF(($J201-COUNTIF($Y201:$Z201,"X")*8)&gt;=8,24,($J201-COUNTIF($Y201:$Z201,"X")*8)+16)-1," downto 16)"))))</f>
        <v/>
      </c>
      <c r="AC201" s="2" t="str">
        <f t="shared" ref="AC201:AC264" si="72">IF(Y201="","",CONCATENATE("(",IF(($J201-COUNTIF($Z201,"X")*8)=1,"8)",CONCATENATE(IF(($J201-COUNTIF($Z201,"X")*8)&gt;=8,16,($J201-COUNTIF($Z201,"X")*8)+8)-1," downto 8)"))))</f>
        <v/>
      </c>
      <c r="AD201" s="2" t="str">
        <f t="shared" ref="AD201:AD264" si="73">IF(Z201="","",CONCATENATE("(",IF($J201=1,"0)",CONCATENATE(IF($J201&gt;=8,8,$J201)-1," downto 0)"))))</f>
        <v>(0)</v>
      </c>
      <c r="AE201" s="2" t="str">
        <f t="shared" ref="AE201:AE264" si="74">IF(W201="","",IF($J201&lt;=8,"",IF(($J201-COUNTIF($X201:$Z201,"X")*8)=1,CONCATENATE("(",($J201-1),")"),CONCATENATE("(",IF(($J201-COUNTIF($X201:$Z201,"X")*8)&gt;=8,COUNTIF($X201:$Z201,"X")*8+7,$J201-COUNTIF($X201:$Z201,"X")*8-1+COUNTIF($X201:$Z201,"X")*8)," downto ",COUNTIF($X201:$Z201,"X")*8,")"))))</f>
        <v/>
      </c>
      <c r="AF201" s="2" t="str">
        <f t="shared" ref="AF201:AF264" si="75">IF(X201="","",IF($J201&lt;=8,"",IF(($J201-COUNTIF($Y201:$Z201,"X")*8)=1,CONCATENATE("(",($J201-1),")"),CONCATENATE("(",IF(($J201-COUNTIF($Y201:$Z201,"X")*8)&gt;=8,COUNTIF($Y201:$Z201,"X")*8+7,$J201-COUNTIF($Y201:$Z201,"X")*8-1+COUNTIF($Y201:$Z201,"X")*8)," downto ",COUNTIF($Y201:$Z201,"X")*8,")"))))</f>
        <v/>
      </c>
      <c r="AG201" s="2" t="str">
        <f t="shared" ref="AG201:AG264" si="76">IF(Y201="","",IF($J201&lt;=8,"",IF(($J201-COUNTIF($Z201,"X")*8)=1,CONCATENATE("(",($J201-1),")"),CONCATENATE("(",IF(($J201-COUNTIF($Z201,"X")*8)&gt;=8,COUNTIF($Z201,"X")*8+7,$J201-COUNTIF($Z201,"X")*8-1+COUNTIF($Z201,"X")*8)," downto ",COUNTIF($Z201,"X")*8,")"))))</f>
        <v/>
      </c>
      <c r="AH201" s="2" t="str">
        <f t="shared" ref="AH201:AH264" si="77">IF(Z201="","",IF($J201&lt;=8,"",CONCATENATE("(",IF($J201&gt;=8,7,$J201-1)," downto ",0,")")))</f>
        <v/>
      </c>
    </row>
    <row r="202" spans="2:34" x14ac:dyDescent="0.25">
      <c r="B202" s="2" t="s">
        <v>590</v>
      </c>
      <c r="C202" s="2" t="s">
        <v>513</v>
      </c>
      <c r="D202" s="2" t="s">
        <v>0</v>
      </c>
      <c r="E202" s="2" t="s">
        <v>130</v>
      </c>
      <c r="F202" s="2" t="s">
        <v>591</v>
      </c>
      <c r="G202" s="2" t="s">
        <v>592</v>
      </c>
      <c r="H202" s="2" t="s">
        <v>514</v>
      </c>
      <c r="I202" s="2" t="s">
        <v>41</v>
      </c>
      <c r="J202" s="2">
        <v>1</v>
      </c>
      <c r="K202" s="2" t="s">
        <v>81</v>
      </c>
      <c r="L202" s="2" t="s">
        <v>40</v>
      </c>
      <c r="P202" s="2" t="s">
        <v>4</v>
      </c>
      <c r="Q202" s="2">
        <f>INDEX(Tables!$C$4:$C$28,MATCH($P202,Tables!$B$4:$B$28,0))</f>
        <v>32</v>
      </c>
      <c r="R202" s="2">
        <f>INDEX(Tables!$D$4:$D$28,MATCH($P202,Tables!$B$4:$B$28,0))</f>
        <v>4</v>
      </c>
      <c r="S202" s="2">
        <f>$S201+$R201+INDEX(Tables!$N$5:$Q$8,MATCH(MOD($S201+$R201,4),Tables!$M$5:$M$8,0),MATCH($R202,Tables!$N$4:$Q$4,0))</f>
        <v>692</v>
      </c>
      <c r="T202" s="2" t="str">
        <f t="shared" si="63"/>
        <v>02B4</v>
      </c>
      <c r="U202" s="2">
        <f t="shared" si="69"/>
        <v>173</v>
      </c>
      <c r="V202" s="2" t="str">
        <f t="shared" si="64"/>
        <v>0AD</v>
      </c>
      <c r="W202" s="2" t="str">
        <f t="shared" si="65"/>
        <v/>
      </c>
      <c r="X202" s="2" t="str">
        <f t="shared" si="68"/>
        <v/>
      </c>
      <c r="Y202" s="2" t="str">
        <f t="shared" si="66"/>
        <v/>
      </c>
      <c r="Z202" s="2" t="str">
        <f t="shared" si="67"/>
        <v>X</v>
      </c>
      <c r="AA202" s="2" t="str">
        <f t="shared" si="70"/>
        <v/>
      </c>
      <c r="AB202" s="2" t="str">
        <f t="shared" si="71"/>
        <v/>
      </c>
      <c r="AC202" s="2" t="str">
        <f t="shared" si="72"/>
        <v/>
      </c>
      <c r="AD202" s="2" t="str">
        <f t="shared" si="73"/>
        <v>(0)</v>
      </c>
      <c r="AE202" s="2" t="str">
        <f t="shared" si="74"/>
        <v/>
      </c>
      <c r="AF202" s="2" t="str">
        <f t="shared" si="75"/>
        <v/>
      </c>
      <c r="AG202" s="2" t="str">
        <f t="shared" si="76"/>
        <v/>
      </c>
      <c r="AH202" s="2" t="str">
        <f t="shared" si="77"/>
        <v/>
      </c>
    </row>
    <row r="203" spans="2:34" x14ac:dyDescent="0.25">
      <c r="B203" s="2" t="s">
        <v>590</v>
      </c>
      <c r="C203" s="2" t="s">
        <v>515</v>
      </c>
      <c r="D203" s="2" t="s">
        <v>0</v>
      </c>
      <c r="E203" s="2" t="s">
        <v>130</v>
      </c>
      <c r="F203" s="2" t="s">
        <v>591</v>
      </c>
      <c r="G203" s="2" t="s">
        <v>592</v>
      </c>
      <c r="H203" s="2" t="s">
        <v>516</v>
      </c>
      <c r="I203" s="2" t="s">
        <v>41</v>
      </c>
      <c r="J203" s="2">
        <v>1</v>
      </c>
      <c r="K203" s="2" t="s">
        <v>81</v>
      </c>
      <c r="L203" s="2" t="s">
        <v>40</v>
      </c>
      <c r="P203" s="2" t="s">
        <v>4</v>
      </c>
      <c r="Q203" s="2">
        <f>INDEX(Tables!$C$4:$C$28,MATCH($P203,Tables!$B$4:$B$28,0))</f>
        <v>32</v>
      </c>
      <c r="R203" s="2">
        <f>INDEX(Tables!$D$4:$D$28,MATCH($P203,Tables!$B$4:$B$28,0))</f>
        <v>4</v>
      </c>
      <c r="S203" s="2">
        <f>$S202+$R202+INDEX(Tables!$N$5:$Q$8,MATCH(MOD($S202+$R202,4),Tables!$M$5:$M$8,0),MATCH($R203,Tables!$N$4:$Q$4,0))</f>
        <v>696</v>
      </c>
      <c r="T203" s="2" t="str">
        <f t="shared" si="63"/>
        <v>02B8</v>
      </c>
      <c r="U203" s="2">
        <f t="shared" si="69"/>
        <v>174</v>
      </c>
      <c r="V203" s="2" t="str">
        <f t="shared" si="64"/>
        <v>0AE</v>
      </c>
      <c r="W203" s="2" t="str">
        <f t="shared" si="65"/>
        <v/>
      </c>
      <c r="X203" s="2" t="str">
        <f t="shared" si="68"/>
        <v/>
      </c>
      <c r="Y203" s="2" t="str">
        <f t="shared" si="66"/>
        <v/>
      </c>
      <c r="Z203" s="2" t="str">
        <f t="shared" si="67"/>
        <v>X</v>
      </c>
      <c r="AA203" s="2" t="str">
        <f t="shared" si="70"/>
        <v/>
      </c>
      <c r="AB203" s="2" t="str">
        <f t="shared" si="71"/>
        <v/>
      </c>
      <c r="AC203" s="2" t="str">
        <f t="shared" si="72"/>
        <v/>
      </c>
      <c r="AD203" s="2" t="str">
        <f t="shared" si="73"/>
        <v>(0)</v>
      </c>
      <c r="AE203" s="2" t="str">
        <f t="shared" si="74"/>
        <v/>
      </c>
      <c r="AF203" s="2" t="str">
        <f t="shared" si="75"/>
        <v/>
      </c>
      <c r="AG203" s="2" t="str">
        <f t="shared" si="76"/>
        <v/>
      </c>
      <c r="AH203" s="2" t="str">
        <f t="shared" si="77"/>
        <v/>
      </c>
    </row>
    <row r="204" spans="2:34" x14ac:dyDescent="0.25">
      <c r="B204" s="2" t="s">
        <v>590</v>
      </c>
      <c r="C204" s="2" t="s">
        <v>517</v>
      </c>
      <c r="D204" s="2" t="s">
        <v>0</v>
      </c>
      <c r="E204" s="2" t="s">
        <v>130</v>
      </c>
      <c r="F204" s="2" t="s">
        <v>591</v>
      </c>
      <c r="G204" s="2" t="s">
        <v>592</v>
      </c>
      <c r="H204" s="2" t="s">
        <v>518</v>
      </c>
      <c r="I204" s="2" t="s">
        <v>41</v>
      </c>
      <c r="J204" s="2">
        <v>1</v>
      </c>
      <c r="K204" s="2" t="s">
        <v>81</v>
      </c>
      <c r="L204" s="2" t="s">
        <v>40</v>
      </c>
      <c r="P204" s="2" t="s">
        <v>4</v>
      </c>
      <c r="Q204" s="2">
        <f>INDEX(Tables!$C$4:$C$28,MATCH($P204,Tables!$B$4:$B$28,0))</f>
        <v>32</v>
      </c>
      <c r="R204" s="2">
        <f>INDEX(Tables!$D$4:$D$28,MATCH($P204,Tables!$B$4:$B$28,0))</f>
        <v>4</v>
      </c>
      <c r="S204" s="2">
        <f>$S203+$R203+INDEX(Tables!$N$5:$Q$8,MATCH(MOD($S203+$R203,4),Tables!$M$5:$M$8,0),MATCH($R204,Tables!$N$4:$Q$4,0))</f>
        <v>700</v>
      </c>
      <c r="T204" s="2" t="str">
        <f t="shared" si="63"/>
        <v>02BC</v>
      </c>
      <c r="U204" s="2">
        <f t="shared" si="69"/>
        <v>175</v>
      </c>
      <c r="V204" s="2" t="str">
        <f t="shared" si="64"/>
        <v>0AF</v>
      </c>
      <c r="W204" s="2" t="str">
        <f t="shared" si="65"/>
        <v/>
      </c>
      <c r="X204" s="2" t="str">
        <f t="shared" si="68"/>
        <v/>
      </c>
      <c r="Y204" s="2" t="str">
        <f t="shared" si="66"/>
        <v/>
      </c>
      <c r="Z204" s="2" t="str">
        <f t="shared" si="67"/>
        <v>X</v>
      </c>
      <c r="AA204" s="2" t="str">
        <f t="shared" si="70"/>
        <v/>
      </c>
      <c r="AB204" s="2" t="str">
        <f t="shared" si="71"/>
        <v/>
      </c>
      <c r="AC204" s="2" t="str">
        <f t="shared" si="72"/>
        <v/>
      </c>
      <c r="AD204" s="2" t="str">
        <f t="shared" si="73"/>
        <v>(0)</v>
      </c>
      <c r="AE204" s="2" t="str">
        <f t="shared" si="74"/>
        <v/>
      </c>
      <c r="AF204" s="2" t="str">
        <f t="shared" si="75"/>
        <v/>
      </c>
      <c r="AG204" s="2" t="str">
        <f t="shared" si="76"/>
        <v/>
      </c>
      <c r="AH204" s="2" t="str">
        <f t="shared" si="77"/>
        <v/>
      </c>
    </row>
    <row r="205" spans="2:34" x14ac:dyDescent="0.25">
      <c r="B205" s="2" t="s">
        <v>590</v>
      </c>
      <c r="C205" s="2" t="s">
        <v>519</v>
      </c>
      <c r="D205" s="2" t="s">
        <v>0</v>
      </c>
      <c r="E205" s="2" t="s">
        <v>130</v>
      </c>
      <c r="F205" s="2" t="s">
        <v>591</v>
      </c>
      <c r="G205" s="2" t="s">
        <v>592</v>
      </c>
      <c r="H205" s="2" t="s">
        <v>520</v>
      </c>
      <c r="I205" s="2" t="s">
        <v>41</v>
      </c>
      <c r="J205" s="2">
        <v>1</v>
      </c>
      <c r="K205" s="2" t="s">
        <v>81</v>
      </c>
      <c r="L205" s="2" t="s">
        <v>40</v>
      </c>
      <c r="P205" s="2" t="s">
        <v>4</v>
      </c>
      <c r="Q205" s="2">
        <f>INDEX(Tables!$C$4:$C$28,MATCH($P205,Tables!$B$4:$B$28,0))</f>
        <v>32</v>
      </c>
      <c r="R205" s="2">
        <f>INDEX(Tables!$D$4:$D$28,MATCH($P205,Tables!$B$4:$B$28,0))</f>
        <v>4</v>
      </c>
      <c r="S205" s="2">
        <f>$S204+$R204+INDEX(Tables!$N$5:$Q$8,MATCH(MOD($S204+$R204,4),Tables!$M$5:$M$8,0),MATCH($R205,Tables!$N$4:$Q$4,0))</f>
        <v>704</v>
      </c>
      <c r="T205" s="2" t="str">
        <f t="shared" si="63"/>
        <v>02C0</v>
      </c>
      <c r="U205" s="2">
        <f t="shared" si="69"/>
        <v>176</v>
      </c>
      <c r="V205" s="2" t="str">
        <f t="shared" si="64"/>
        <v>0B0</v>
      </c>
      <c r="W205" s="2" t="str">
        <f t="shared" si="65"/>
        <v/>
      </c>
      <c r="X205" s="2" t="str">
        <f t="shared" si="68"/>
        <v/>
      </c>
      <c r="Y205" s="2" t="str">
        <f t="shared" si="66"/>
        <v/>
      </c>
      <c r="Z205" s="2" t="str">
        <f t="shared" si="67"/>
        <v>X</v>
      </c>
      <c r="AA205" s="2" t="str">
        <f t="shared" si="70"/>
        <v/>
      </c>
      <c r="AB205" s="2" t="str">
        <f t="shared" si="71"/>
        <v/>
      </c>
      <c r="AC205" s="2" t="str">
        <f t="shared" si="72"/>
        <v/>
      </c>
      <c r="AD205" s="2" t="str">
        <f t="shared" si="73"/>
        <v>(0)</v>
      </c>
      <c r="AE205" s="2" t="str">
        <f t="shared" si="74"/>
        <v/>
      </c>
      <c r="AF205" s="2" t="str">
        <f t="shared" si="75"/>
        <v/>
      </c>
      <c r="AG205" s="2" t="str">
        <f t="shared" si="76"/>
        <v/>
      </c>
      <c r="AH205" s="2" t="str">
        <f t="shared" si="77"/>
        <v/>
      </c>
    </row>
    <row r="206" spans="2:34" x14ac:dyDescent="0.25">
      <c r="B206" s="2" t="s">
        <v>590</v>
      </c>
      <c r="C206" s="2" t="s">
        <v>521</v>
      </c>
      <c r="D206" s="2" t="s">
        <v>0</v>
      </c>
      <c r="E206" s="2" t="s">
        <v>130</v>
      </c>
      <c r="F206" s="2" t="s">
        <v>591</v>
      </c>
      <c r="G206" s="2" t="s">
        <v>592</v>
      </c>
      <c r="H206" s="2" t="s">
        <v>522</v>
      </c>
      <c r="I206" s="2" t="s">
        <v>41</v>
      </c>
      <c r="J206" s="2">
        <v>1</v>
      </c>
      <c r="K206" s="2" t="s">
        <v>81</v>
      </c>
      <c r="L206" s="2" t="s">
        <v>40</v>
      </c>
      <c r="P206" s="2" t="s">
        <v>4</v>
      </c>
      <c r="Q206" s="2">
        <f>INDEX(Tables!$C$4:$C$28,MATCH($P206,Tables!$B$4:$B$28,0))</f>
        <v>32</v>
      </c>
      <c r="R206" s="2">
        <f>INDEX(Tables!$D$4:$D$28,MATCH($P206,Tables!$B$4:$B$28,0))</f>
        <v>4</v>
      </c>
      <c r="S206" s="2">
        <f>$S205+$R205+INDEX(Tables!$N$5:$Q$8,MATCH(MOD($S205+$R205,4),Tables!$M$5:$M$8,0),MATCH($R206,Tables!$N$4:$Q$4,0))</f>
        <v>708</v>
      </c>
      <c r="T206" s="2" t="str">
        <f t="shared" si="63"/>
        <v>02C4</v>
      </c>
      <c r="U206" s="2">
        <f t="shared" si="69"/>
        <v>177</v>
      </c>
      <c r="V206" s="2" t="str">
        <f t="shared" si="64"/>
        <v>0B1</v>
      </c>
      <c r="W206" s="2" t="str">
        <f t="shared" si="65"/>
        <v/>
      </c>
      <c r="X206" s="2" t="str">
        <f t="shared" si="68"/>
        <v/>
      </c>
      <c r="Y206" s="2" t="str">
        <f t="shared" si="66"/>
        <v/>
      </c>
      <c r="Z206" s="2" t="str">
        <f t="shared" si="67"/>
        <v>X</v>
      </c>
      <c r="AA206" s="2" t="str">
        <f t="shared" si="70"/>
        <v/>
      </c>
      <c r="AB206" s="2" t="str">
        <f t="shared" si="71"/>
        <v/>
      </c>
      <c r="AC206" s="2" t="str">
        <f t="shared" si="72"/>
        <v/>
      </c>
      <c r="AD206" s="2" t="str">
        <f t="shared" si="73"/>
        <v>(0)</v>
      </c>
      <c r="AE206" s="2" t="str">
        <f t="shared" si="74"/>
        <v/>
      </c>
      <c r="AF206" s="2" t="str">
        <f t="shared" si="75"/>
        <v/>
      </c>
      <c r="AG206" s="2" t="str">
        <f t="shared" si="76"/>
        <v/>
      </c>
      <c r="AH206" s="2" t="str">
        <f t="shared" si="77"/>
        <v/>
      </c>
    </row>
    <row r="207" spans="2:34" x14ac:dyDescent="0.25">
      <c r="B207" s="2" t="s">
        <v>590</v>
      </c>
      <c r="C207" s="2" t="s">
        <v>523</v>
      </c>
      <c r="D207" s="2" t="s">
        <v>0</v>
      </c>
      <c r="E207" s="2" t="s">
        <v>130</v>
      </c>
      <c r="F207" s="2" t="s">
        <v>591</v>
      </c>
      <c r="G207" s="2" t="s">
        <v>592</v>
      </c>
      <c r="H207" s="2" t="s">
        <v>524</v>
      </c>
      <c r="I207" s="2" t="s">
        <v>41</v>
      </c>
      <c r="J207" s="2">
        <v>1</v>
      </c>
      <c r="K207" s="2" t="s">
        <v>81</v>
      </c>
      <c r="L207" s="2" t="s">
        <v>40</v>
      </c>
      <c r="P207" s="2" t="s">
        <v>4</v>
      </c>
      <c r="Q207" s="2">
        <f>INDEX(Tables!$C$4:$C$28,MATCH($P207,Tables!$B$4:$B$28,0))</f>
        <v>32</v>
      </c>
      <c r="R207" s="2">
        <f>INDEX(Tables!$D$4:$D$28,MATCH($P207,Tables!$B$4:$B$28,0))</f>
        <v>4</v>
      </c>
      <c r="S207" s="2">
        <f>$S206+$R206+INDEX(Tables!$N$5:$Q$8,MATCH(MOD($S206+$R206,4),Tables!$M$5:$M$8,0),MATCH($R207,Tables!$N$4:$Q$4,0))</f>
        <v>712</v>
      </c>
      <c r="T207" s="2" t="str">
        <f t="shared" si="63"/>
        <v>02C8</v>
      </c>
      <c r="U207" s="2">
        <f t="shared" si="69"/>
        <v>178</v>
      </c>
      <c r="V207" s="2" t="str">
        <f t="shared" si="64"/>
        <v>0B2</v>
      </c>
      <c r="W207" s="2" t="str">
        <f t="shared" si="65"/>
        <v/>
      </c>
      <c r="X207" s="2" t="str">
        <f t="shared" si="68"/>
        <v/>
      </c>
      <c r="Y207" s="2" t="str">
        <f t="shared" si="66"/>
        <v/>
      </c>
      <c r="Z207" s="2" t="str">
        <f t="shared" si="67"/>
        <v>X</v>
      </c>
      <c r="AA207" s="2" t="str">
        <f t="shared" si="70"/>
        <v/>
      </c>
      <c r="AB207" s="2" t="str">
        <f t="shared" si="71"/>
        <v/>
      </c>
      <c r="AC207" s="2" t="str">
        <f t="shared" si="72"/>
        <v/>
      </c>
      <c r="AD207" s="2" t="str">
        <f t="shared" si="73"/>
        <v>(0)</v>
      </c>
      <c r="AE207" s="2" t="str">
        <f t="shared" si="74"/>
        <v/>
      </c>
      <c r="AF207" s="2" t="str">
        <f t="shared" si="75"/>
        <v/>
      </c>
      <c r="AG207" s="2" t="str">
        <f t="shared" si="76"/>
        <v/>
      </c>
      <c r="AH207" s="2" t="str">
        <f t="shared" si="77"/>
        <v/>
      </c>
    </row>
    <row r="208" spans="2:34" x14ac:dyDescent="0.25">
      <c r="B208" s="2" t="s">
        <v>590</v>
      </c>
      <c r="C208" s="2" t="s">
        <v>525</v>
      </c>
      <c r="D208" s="2" t="s">
        <v>0</v>
      </c>
      <c r="E208" s="2" t="s">
        <v>130</v>
      </c>
      <c r="F208" s="2" t="s">
        <v>591</v>
      </c>
      <c r="G208" s="2" t="s">
        <v>592</v>
      </c>
      <c r="H208" s="2" t="s">
        <v>526</v>
      </c>
      <c r="I208" s="2" t="s">
        <v>41</v>
      </c>
      <c r="J208" s="2">
        <v>1</v>
      </c>
      <c r="K208" s="2" t="s">
        <v>81</v>
      </c>
      <c r="L208" s="2" t="s">
        <v>40</v>
      </c>
      <c r="P208" s="2" t="s">
        <v>4</v>
      </c>
      <c r="Q208" s="2">
        <f>INDEX(Tables!$C$4:$C$28,MATCH($P208,Tables!$B$4:$B$28,0))</f>
        <v>32</v>
      </c>
      <c r="R208" s="2">
        <f>INDEX(Tables!$D$4:$D$28,MATCH($P208,Tables!$B$4:$B$28,0))</f>
        <v>4</v>
      </c>
      <c r="S208" s="2">
        <f>$S207+$R207+INDEX(Tables!$N$5:$Q$8,MATCH(MOD($S207+$R207,4),Tables!$M$5:$M$8,0),MATCH($R208,Tables!$N$4:$Q$4,0))</f>
        <v>716</v>
      </c>
      <c r="T208" s="2" t="str">
        <f t="shared" si="63"/>
        <v>02CC</v>
      </c>
      <c r="U208" s="2">
        <f t="shared" si="69"/>
        <v>179</v>
      </c>
      <c r="V208" s="2" t="str">
        <f t="shared" si="64"/>
        <v>0B3</v>
      </c>
      <c r="W208" s="2" t="str">
        <f t="shared" si="65"/>
        <v/>
      </c>
      <c r="X208" s="2" t="str">
        <f t="shared" si="68"/>
        <v/>
      </c>
      <c r="Y208" s="2" t="str">
        <f t="shared" si="66"/>
        <v/>
      </c>
      <c r="Z208" s="2" t="str">
        <f t="shared" si="67"/>
        <v>X</v>
      </c>
      <c r="AA208" s="2" t="str">
        <f t="shared" si="70"/>
        <v/>
      </c>
      <c r="AB208" s="2" t="str">
        <f t="shared" si="71"/>
        <v/>
      </c>
      <c r="AC208" s="2" t="str">
        <f t="shared" si="72"/>
        <v/>
      </c>
      <c r="AD208" s="2" t="str">
        <f t="shared" si="73"/>
        <v>(0)</v>
      </c>
      <c r="AE208" s="2" t="str">
        <f t="shared" si="74"/>
        <v/>
      </c>
      <c r="AF208" s="2" t="str">
        <f t="shared" si="75"/>
        <v/>
      </c>
      <c r="AG208" s="2" t="str">
        <f t="shared" si="76"/>
        <v/>
      </c>
      <c r="AH208" s="2" t="str">
        <f t="shared" si="77"/>
        <v/>
      </c>
    </row>
    <row r="209" spans="2:34" x14ac:dyDescent="0.25">
      <c r="B209" s="2" t="s">
        <v>590</v>
      </c>
      <c r="C209" s="2" t="s">
        <v>527</v>
      </c>
      <c r="D209" s="2" t="s">
        <v>0</v>
      </c>
      <c r="E209" s="2" t="s">
        <v>130</v>
      </c>
      <c r="F209" s="2" t="s">
        <v>591</v>
      </c>
      <c r="G209" s="2" t="s">
        <v>592</v>
      </c>
      <c r="H209" s="2" t="s">
        <v>528</v>
      </c>
      <c r="I209" s="2" t="s">
        <v>41</v>
      </c>
      <c r="J209" s="2">
        <v>1</v>
      </c>
      <c r="K209" s="2" t="s">
        <v>81</v>
      </c>
      <c r="L209" s="2" t="s">
        <v>40</v>
      </c>
      <c r="P209" s="2" t="s">
        <v>4</v>
      </c>
      <c r="Q209" s="2">
        <f>INDEX(Tables!$C$4:$C$28,MATCH($P209,Tables!$B$4:$B$28,0))</f>
        <v>32</v>
      </c>
      <c r="R209" s="2">
        <f>INDEX(Tables!$D$4:$D$28,MATCH($P209,Tables!$B$4:$B$28,0))</f>
        <v>4</v>
      </c>
      <c r="S209" s="2">
        <f>$S208+$R208+INDEX(Tables!$N$5:$Q$8,MATCH(MOD($S208+$R208,4),Tables!$M$5:$M$8,0),MATCH($R209,Tables!$N$4:$Q$4,0))</f>
        <v>720</v>
      </c>
      <c r="T209" s="2" t="str">
        <f t="shared" si="63"/>
        <v>02D0</v>
      </c>
      <c r="U209" s="2">
        <f t="shared" si="69"/>
        <v>180</v>
      </c>
      <c r="V209" s="2" t="str">
        <f t="shared" si="64"/>
        <v>0B4</v>
      </c>
      <c r="W209" s="2" t="str">
        <f t="shared" si="65"/>
        <v/>
      </c>
      <c r="X209" s="2" t="str">
        <f t="shared" si="68"/>
        <v/>
      </c>
      <c r="Y209" s="2" t="str">
        <f t="shared" si="66"/>
        <v/>
      </c>
      <c r="Z209" s="2" t="str">
        <f t="shared" si="67"/>
        <v>X</v>
      </c>
      <c r="AA209" s="2" t="str">
        <f t="shared" si="70"/>
        <v/>
      </c>
      <c r="AB209" s="2" t="str">
        <f t="shared" si="71"/>
        <v/>
      </c>
      <c r="AC209" s="2" t="str">
        <f t="shared" si="72"/>
        <v/>
      </c>
      <c r="AD209" s="2" t="str">
        <f t="shared" si="73"/>
        <v>(0)</v>
      </c>
      <c r="AE209" s="2" t="str">
        <f t="shared" si="74"/>
        <v/>
      </c>
      <c r="AF209" s="2" t="str">
        <f t="shared" si="75"/>
        <v/>
      </c>
      <c r="AG209" s="2" t="str">
        <f t="shared" si="76"/>
        <v/>
      </c>
      <c r="AH209" s="2" t="str">
        <f t="shared" si="77"/>
        <v/>
      </c>
    </row>
    <row r="210" spans="2:34" x14ac:dyDescent="0.25">
      <c r="B210" s="2" t="s">
        <v>590</v>
      </c>
      <c r="C210" s="2" t="s">
        <v>529</v>
      </c>
      <c r="D210" s="2" t="s">
        <v>0</v>
      </c>
      <c r="E210" s="2" t="s">
        <v>130</v>
      </c>
      <c r="F210" s="2" t="s">
        <v>591</v>
      </c>
      <c r="G210" s="2" t="s">
        <v>592</v>
      </c>
      <c r="H210" s="2" t="s">
        <v>530</v>
      </c>
      <c r="I210" s="2" t="s">
        <v>41</v>
      </c>
      <c r="J210" s="2">
        <v>1</v>
      </c>
      <c r="K210" s="2" t="s">
        <v>131</v>
      </c>
      <c r="L210" s="2" t="s">
        <v>40</v>
      </c>
      <c r="P210" s="2" t="s">
        <v>4</v>
      </c>
      <c r="Q210" s="2">
        <f>INDEX(Tables!$C$4:$C$28,MATCH($P210,Tables!$B$4:$B$28,0))</f>
        <v>32</v>
      </c>
      <c r="R210" s="2">
        <f>INDEX(Tables!$D$4:$D$28,MATCH($P210,Tables!$B$4:$B$28,0))</f>
        <v>4</v>
      </c>
      <c r="S210" s="2">
        <f>$S209+$R209+INDEX(Tables!$N$5:$Q$8,MATCH(MOD($S209+$R209,4),Tables!$M$5:$M$8,0),MATCH($R210,Tables!$N$4:$Q$4,0))</f>
        <v>724</v>
      </c>
      <c r="T210" s="2" t="str">
        <f t="shared" si="63"/>
        <v>02D4</v>
      </c>
      <c r="U210" s="2">
        <f t="shared" si="69"/>
        <v>181</v>
      </c>
      <c r="V210" s="2" t="str">
        <f t="shared" si="64"/>
        <v>0B5</v>
      </c>
      <c r="W210" s="2" t="str">
        <f t="shared" si="65"/>
        <v/>
      </c>
      <c r="X210" s="2" t="str">
        <f t="shared" si="68"/>
        <v/>
      </c>
      <c r="Y210" s="2" t="str">
        <f t="shared" si="66"/>
        <v/>
      </c>
      <c r="Z210" s="2" t="str">
        <f t="shared" si="67"/>
        <v>X</v>
      </c>
      <c r="AA210" s="2" t="str">
        <f t="shared" si="70"/>
        <v/>
      </c>
      <c r="AB210" s="2" t="str">
        <f t="shared" si="71"/>
        <v/>
      </c>
      <c r="AC210" s="2" t="str">
        <f t="shared" si="72"/>
        <v/>
      </c>
      <c r="AD210" s="2" t="str">
        <f t="shared" si="73"/>
        <v>(0)</v>
      </c>
      <c r="AE210" s="2" t="str">
        <f t="shared" si="74"/>
        <v/>
      </c>
      <c r="AF210" s="2" t="str">
        <f t="shared" si="75"/>
        <v/>
      </c>
      <c r="AG210" s="2" t="str">
        <f t="shared" si="76"/>
        <v/>
      </c>
      <c r="AH210" s="2" t="str">
        <f t="shared" si="77"/>
        <v/>
      </c>
    </row>
    <row r="211" spans="2:34" x14ac:dyDescent="0.25">
      <c r="B211" s="2" t="s">
        <v>590</v>
      </c>
      <c r="C211" s="2" t="s">
        <v>531</v>
      </c>
      <c r="D211" s="2" t="s">
        <v>0</v>
      </c>
      <c r="E211" s="2" t="s">
        <v>130</v>
      </c>
      <c r="F211" s="2" t="s">
        <v>591</v>
      </c>
      <c r="G211" s="2" t="s">
        <v>592</v>
      </c>
      <c r="H211" s="2" t="s">
        <v>532</v>
      </c>
      <c r="I211" s="2" t="s">
        <v>41</v>
      </c>
      <c r="J211" s="2">
        <v>1</v>
      </c>
      <c r="K211" s="2" t="s">
        <v>131</v>
      </c>
      <c r="L211" s="2" t="s">
        <v>40</v>
      </c>
      <c r="P211" s="2" t="s">
        <v>4</v>
      </c>
      <c r="Q211" s="2">
        <f>INDEX(Tables!$C$4:$C$28,MATCH($P211,Tables!$B$4:$B$28,0))</f>
        <v>32</v>
      </c>
      <c r="R211" s="2">
        <f>INDEX(Tables!$D$4:$D$28,MATCH($P211,Tables!$B$4:$B$28,0))</f>
        <v>4</v>
      </c>
      <c r="S211" s="2">
        <f>$S210+$R210+INDEX(Tables!$N$5:$Q$8,MATCH(MOD($S210+$R210,4),Tables!$M$5:$M$8,0),MATCH($R211,Tables!$N$4:$Q$4,0))</f>
        <v>728</v>
      </c>
      <c r="T211" s="2" t="str">
        <f t="shared" si="63"/>
        <v>02D8</v>
      </c>
      <c r="U211" s="2">
        <f t="shared" si="69"/>
        <v>182</v>
      </c>
      <c r="V211" s="2" t="str">
        <f t="shared" si="64"/>
        <v>0B6</v>
      </c>
      <c r="W211" s="2" t="str">
        <f t="shared" si="65"/>
        <v/>
      </c>
      <c r="X211" s="2" t="str">
        <f t="shared" si="68"/>
        <v/>
      </c>
      <c r="Y211" s="2" t="str">
        <f t="shared" si="66"/>
        <v/>
      </c>
      <c r="Z211" s="2" t="str">
        <f t="shared" si="67"/>
        <v>X</v>
      </c>
      <c r="AA211" s="2" t="str">
        <f t="shared" si="70"/>
        <v/>
      </c>
      <c r="AB211" s="2" t="str">
        <f t="shared" si="71"/>
        <v/>
      </c>
      <c r="AC211" s="2" t="str">
        <f t="shared" si="72"/>
        <v/>
      </c>
      <c r="AD211" s="2" t="str">
        <f t="shared" si="73"/>
        <v>(0)</v>
      </c>
      <c r="AE211" s="2" t="str">
        <f t="shared" si="74"/>
        <v/>
      </c>
      <c r="AF211" s="2" t="str">
        <f t="shared" si="75"/>
        <v/>
      </c>
      <c r="AG211" s="2" t="str">
        <f t="shared" si="76"/>
        <v/>
      </c>
      <c r="AH211" s="2" t="str">
        <f t="shared" si="77"/>
        <v/>
      </c>
    </row>
    <row r="212" spans="2:34" x14ac:dyDescent="0.25">
      <c r="B212" s="2" t="s">
        <v>590</v>
      </c>
      <c r="C212" s="2" t="s">
        <v>533</v>
      </c>
      <c r="D212" s="2" t="s">
        <v>0</v>
      </c>
      <c r="E212" s="2" t="s">
        <v>130</v>
      </c>
      <c r="F212" s="2" t="s">
        <v>591</v>
      </c>
      <c r="G212" s="2" t="s">
        <v>592</v>
      </c>
      <c r="H212" s="2" t="s">
        <v>534</v>
      </c>
      <c r="I212" s="2" t="s">
        <v>41</v>
      </c>
      <c r="J212" s="2">
        <v>1</v>
      </c>
      <c r="K212" s="2" t="s">
        <v>131</v>
      </c>
      <c r="L212" s="2" t="s">
        <v>40</v>
      </c>
      <c r="P212" s="2" t="s">
        <v>4</v>
      </c>
      <c r="Q212" s="2">
        <f>INDEX(Tables!$C$4:$C$28,MATCH($P212,Tables!$B$4:$B$28,0))</f>
        <v>32</v>
      </c>
      <c r="R212" s="2">
        <f>INDEX(Tables!$D$4:$D$28,MATCH($P212,Tables!$B$4:$B$28,0))</f>
        <v>4</v>
      </c>
      <c r="S212" s="2">
        <f>$S211+$R211+INDEX(Tables!$N$5:$Q$8,MATCH(MOD($S211+$R211,4),Tables!$M$5:$M$8,0),MATCH($R212,Tables!$N$4:$Q$4,0))</f>
        <v>732</v>
      </c>
      <c r="T212" s="2" t="str">
        <f t="shared" si="63"/>
        <v>02DC</v>
      </c>
      <c r="U212" s="2">
        <f t="shared" si="69"/>
        <v>183</v>
      </c>
      <c r="V212" s="2" t="str">
        <f t="shared" si="64"/>
        <v>0B7</v>
      </c>
      <c r="W212" s="2" t="str">
        <f t="shared" si="65"/>
        <v/>
      </c>
      <c r="X212" s="2" t="str">
        <f t="shared" si="68"/>
        <v/>
      </c>
      <c r="Y212" s="2" t="str">
        <f t="shared" si="66"/>
        <v/>
      </c>
      <c r="Z212" s="2" t="str">
        <f t="shared" si="67"/>
        <v>X</v>
      </c>
      <c r="AA212" s="2" t="str">
        <f t="shared" si="70"/>
        <v/>
      </c>
      <c r="AB212" s="2" t="str">
        <f t="shared" si="71"/>
        <v/>
      </c>
      <c r="AC212" s="2" t="str">
        <f t="shared" si="72"/>
        <v/>
      </c>
      <c r="AD212" s="2" t="str">
        <f t="shared" si="73"/>
        <v>(0)</v>
      </c>
      <c r="AE212" s="2" t="str">
        <f t="shared" si="74"/>
        <v/>
      </c>
      <c r="AF212" s="2" t="str">
        <f t="shared" si="75"/>
        <v/>
      </c>
      <c r="AG212" s="2" t="str">
        <f t="shared" si="76"/>
        <v/>
      </c>
      <c r="AH212" s="2" t="str">
        <f t="shared" si="77"/>
        <v/>
      </c>
    </row>
    <row r="213" spans="2:34" x14ac:dyDescent="0.25">
      <c r="B213" s="2" t="s">
        <v>590</v>
      </c>
      <c r="C213" s="2" t="s">
        <v>535</v>
      </c>
      <c r="D213" s="2" t="s">
        <v>0</v>
      </c>
      <c r="E213" s="2" t="s">
        <v>130</v>
      </c>
      <c r="F213" s="2" t="s">
        <v>591</v>
      </c>
      <c r="G213" s="2" t="s">
        <v>592</v>
      </c>
      <c r="H213" s="2" t="s">
        <v>536</v>
      </c>
      <c r="I213" s="2" t="s">
        <v>41</v>
      </c>
      <c r="J213" s="2">
        <v>1</v>
      </c>
      <c r="K213" s="2" t="s">
        <v>131</v>
      </c>
      <c r="L213" s="2" t="s">
        <v>40</v>
      </c>
      <c r="P213" s="2" t="s">
        <v>4</v>
      </c>
      <c r="Q213" s="2">
        <f>INDEX(Tables!$C$4:$C$28,MATCH($P213,Tables!$B$4:$B$28,0))</f>
        <v>32</v>
      </c>
      <c r="R213" s="2">
        <f>INDEX(Tables!$D$4:$D$28,MATCH($P213,Tables!$B$4:$B$28,0))</f>
        <v>4</v>
      </c>
      <c r="S213" s="2">
        <f>$S212+$R212+INDEX(Tables!$N$5:$Q$8,MATCH(MOD($S212+$R212,4),Tables!$M$5:$M$8,0),MATCH($R213,Tables!$N$4:$Q$4,0))</f>
        <v>736</v>
      </c>
      <c r="T213" s="2" t="str">
        <f t="shared" si="63"/>
        <v>02E0</v>
      </c>
      <c r="U213" s="2">
        <f t="shared" si="69"/>
        <v>184</v>
      </c>
      <c r="V213" s="2" t="str">
        <f t="shared" si="64"/>
        <v>0B8</v>
      </c>
      <c r="W213" s="2" t="str">
        <f t="shared" si="65"/>
        <v/>
      </c>
      <c r="X213" s="2" t="str">
        <f t="shared" si="68"/>
        <v/>
      </c>
      <c r="Y213" s="2" t="str">
        <f t="shared" si="66"/>
        <v/>
      </c>
      <c r="Z213" s="2" t="str">
        <f t="shared" si="67"/>
        <v>X</v>
      </c>
      <c r="AA213" s="2" t="str">
        <f t="shared" si="70"/>
        <v/>
      </c>
      <c r="AB213" s="2" t="str">
        <f t="shared" si="71"/>
        <v/>
      </c>
      <c r="AC213" s="2" t="str">
        <f t="shared" si="72"/>
        <v/>
      </c>
      <c r="AD213" s="2" t="str">
        <f t="shared" si="73"/>
        <v>(0)</v>
      </c>
      <c r="AE213" s="2" t="str">
        <f t="shared" si="74"/>
        <v/>
      </c>
      <c r="AF213" s="2" t="str">
        <f t="shared" si="75"/>
        <v/>
      </c>
      <c r="AG213" s="2" t="str">
        <f t="shared" si="76"/>
        <v/>
      </c>
      <c r="AH213" s="2" t="str">
        <f t="shared" si="77"/>
        <v/>
      </c>
    </row>
    <row r="214" spans="2:34" x14ac:dyDescent="0.25">
      <c r="B214" s="2" t="s">
        <v>590</v>
      </c>
      <c r="C214" s="2" t="s">
        <v>537</v>
      </c>
      <c r="D214" s="2" t="s">
        <v>0</v>
      </c>
      <c r="E214" s="2" t="s">
        <v>130</v>
      </c>
      <c r="F214" s="2" t="s">
        <v>591</v>
      </c>
      <c r="G214" s="2" t="s">
        <v>592</v>
      </c>
      <c r="H214" s="2" t="s">
        <v>538</v>
      </c>
      <c r="I214" s="2" t="s">
        <v>41</v>
      </c>
      <c r="J214" s="2">
        <v>1</v>
      </c>
      <c r="K214" s="2" t="s">
        <v>131</v>
      </c>
      <c r="L214" s="2" t="s">
        <v>40</v>
      </c>
      <c r="P214" s="2" t="s">
        <v>4</v>
      </c>
      <c r="Q214" s="2">
        <f>INDEX(Tables!$C$4:$C$28,MATCH($P214,Tables!$B$4:$B$28,0))</f>
        <v>32</v>
      </c>
      <c r="R214" s="2">
        <f>INDEX(Tables!$D$4:$D$28,MATCH($P214,Tables!$B$4:$B$28,0))</f>
        <v>4</v>
      </c>
      <c r="S214" s="2">
        <f>$S213+$R213+INDEX(Tables!$N$5:$Q$8,MATCH(MOD($S213+$R213,4),Tables!$M$5:$M$8,0),MATCH($R214,Tables!$N$4:$Q$4,0))</f>
        <v>740</v>
      </c>
      <c r="T214" s="2" t="str">
        <f t="shared" si="63"/>
        <v>02E4</v>
      </c>
      <c r="U214" s="2">
        <f t="shared" si="69"/>
        <v>185</v>
      </c>
      <c r="V214" s="2" t="str">
        <f t="shared" si="64"/>
        <v>0B9</v>
      </c>
      <c r="W214" s="2" t="str">
        <f t="shared" si="65"/>
        <v/>
      </c>
      <c r="X214" s="2" t="str">
        <f t="shared" si="68"/>
        <v/>
      </c>
      <c r="Y214" s="2" t="str">
        <f t="shared" si="66"/>
        <v/>
      </c>
      <c r="Z214" s="2" t="str">
        <f t="shared" si="67"/>
        <v>X</v>
      </c>
      <c r="AA214" s="2" t="str">
        <f t="shared" si="70"/>
        <v/>
      </c>
      <c r="AB214" s="2" t="str">
        <f t="shared" si="71"/>
        <v/>
      </c>
      <c r="AC214" s="2" t="str">
        <f t="shared" si="72"/>
        <v/>
      </c>
      <c r="AD214" s="2" t="str">
        <f t="shared" si="73"/>
        <v>(0)</v>
      </c>
      <c r="AE214" s="2" t="str">
        <f t="shared" si="74"/>
        <v/>
      </c>
      <c r="AF214" s="2" t="str">
        <f t="shared" si="75"/>
        <v/>
      </c>
      <c r="AG214" s="2" t="str">
        <f t="shared" si="76"/>
        <v/>
      </c>
      <c r="AH214" s="2" t="str">
        <f t="shared" si="77"/>
        <v/>
      </c>
    </row>
    <row r="215" spans="2:34" x14ac:dyDescent="0.25">
      <c r="B215" s="2" t="s">
        <v>590</v>
      </c>
      <c r="C215" s="2" t="s">
        <v>539</v>
      </c>
      <c r="D215" s="2" t="s">
        <v>0</v>
      </c>
      <c r="E215" s="2" t="s">
        <v>130</v>
      </c>
      <c r="F215" s="2" t="s">
        <v>591</v>
      </c>
      <c r="G215" s="2" t="s">
        <v>592</v>
      </c>
      <c r="H215" s="2" t="s">
        <v>540</v>
      </c>
      <c r="I215" s="2" t="s">
        <v>41</v>
      </c>
      <c r="J215" s="2">
        <v>1</v>
      </c>
      <c r="K215" s="2" t="s">
        <v>131</v>
      </c>
      <c r="L215" s="2" t="s">
        <v>40</v>
      </c>
      <c r="P215" s="2" t="s">
        <v>4</v>
      </c>
      <c r="Q215" s="2">
        <f>INDEX(Tables!$C$4:$C$28,MATCH($P215,Tables!$B$4:$B$28,0))</f>
        <v>32</v>
      </c>
      <c r="R215" s="2">
        <f>INDEX(Tables!$D$4:$D$28,MATCH($P215,Tables!$B$4:$B$28,0))</f>
        <v>4</v>
      </c>
      <c r="S215" s="2">
        <f>$S214+$R214+INDEX(Tables!$N$5:$Q$8,MATCH(MOD($S214+$R214,4),Tables!$M$5:$M$8,0),MATCH($R215,Tables!$N$4:$Q$4,0))</f>
        <v>744</v>
      </c>
      <c r="T215" s="2" t="str">
        <f t="shared" si="63"/>
        <v>02E8</v>
      </c>
      <c r="U215" s="2">
        <f t="shared" si="69"/>
        <v>186</v>
      </c>
      <c r="V215" s="2" t="str">
        <f t="shared" si="64"/>
        <v>0BA</v>
      </c>
      <c r="W215" s="2" t="str">
        <f t="shared" si="65"/>
        <v/>
      </c>
      <c r="X215" s="2" t="str">
        <f t="shared" si="68"/>
        <v/>
      </c>
      <c r="Y215" s="2" t="str">
        <f t="shared" si="66"/>
        <v/>
      </c>
      <c r="Z215" s="2" t="str">
        <f t="shared" si="67"/>
        <v>X</v>
      </c>
      <c r="AA215" s="2" t="str">
        <f t="shared" si="70"/>
        <v/>
      </c>
      <c r="AB215" s="2" t="str">
        <f t="shared" si="71"/>
        <v/>
      </c>
      <c r="AC215" s="2" t="str">
        <f t="shared" si="72"/>
        <v/>
      </c>
      <c r="AD215" s="2" t="str">
        <f t="shared" si="73"/>
        <v>(0)</v>
      </c>
      <c r="AE215" s="2" t="str">
        <f t="shared" si="74"/>
        <v/>
      </c>
      <c r="AF215" s="2" t="str">
        <f t="shared" si="75"/>
        <v/>
      </c>
      <c r="AG215" s="2" t="str">
        <f t="shared" si="76"/>
        <v/>
      </c>
      <c r="AH215" s="2" t="str">
        <f t="shared" si="77"/>
        <v/>
      </c>
    </row>
    <row r="216" spans="2:34" x14ac:dyDescent="0.25">
      <c r="B216" s="2" t="s">
        <v>590</v>
      </c>
      <c r="C216" s="2" t="s">
        <v>157</v>
      </c>
      <c r="D216" s="2" t="s">
        <v>0</v>
      </c>
      <c r="E216" s="2" t="s">
        <v>130</v>
      </c>
      <c r="F216" s="2" t="s">
        <v>591</v>
      </c>
      <c r="G216" s="2" t="s">
        <v>592</v>
      </c>
      <c r="H216" s="2" t="s">
        <v>160</v>
      </c>
      <c r="I216" s="2" t="s">
        <v>41</v>
      </c>
      <c r="J216" s="2">
        <v>2</v>
      </c>
      <c r="K216" s="2" t="s">
        <v>132</v>
      </c>
      <c r="L216" s="2" t="s">
        <v>40</v>
      </c>
      <c r="P216" s="2" t="s">
        <v>47</v>
      </c>
      <c r="Q216" s="2">
        <f>INDEX(Tables!$C$4:$C$28,MATCH($P216,Tables!$B$4:$B$28,0))</f>
        <v>8</v>
      </c>
      <c r="R216" s="2">
        <f>INDEX(Tables!$D$4:$D$28,MATCH($P216,Tables!$B$4:$B$28,0))</f>
        <v>1</v>
      </c>
      <c r="S216" s="2">
        <f>$S215+$R215+INDEX(Tables!$N$5:$Q$8,MATCH(MOD($S215+$R215,4),Tables!$M$5:$M$8,0),MATCH($R216,Tables!$N$4:$Q$4,0))</f>
        <v>748</v>
      </c>
      <c r="T216" s="2" t="str">
        <f t="shared" si="63"/>
        <v>02EC</v>
      </c>
      <c r="U216" s="2">
        <f t="shared" si="69"/>
        <v>187</v>
      </c>
      <c r="V216" s="2" t="str">
        <f t="shared" si="64"/>
        <v>0BB</v>
      </c>
      <c r="W216" s="2" t="str">
        <f t="shared" si="65"/>
        <v/>
      </c>
      <c r="X216" s="2" t="str">
        <f t="shared" si="68"/>
        <v/>
      </c>
      <c r="Y216" s="2" t="str">
        <f t="shared" si="66"/>
        <v/>
      </c>
      <c r="Z216" s="2" t="str">
        <f t="shared" si="67"/>
        <v>X</v>
      </c>
      <c r="AA216" s="2" t="str">
        <f t="shared" si="70"/>
        <v/>
      </c>
      <c r="AB216" s="2" t="str">
        <f t="shared" si="71"/>
        <v/>
      </c>
      <c r="AC216" s="2" t="str">
        <f t="shared" si="72"/>
        <v/>
      </c>
      <c r="AD216" s="2" t="str">
        <f t="shared" si="73"/>
        <v>(1 downto 0)</v>
      </c>
      <c r="AE216" s="2" t="str">
        <f t="shared" si="74"/>
        <v/>
      </c>
      <c r="AF216" s="2" t="str">
        <f t="shared" si="75"/>
        <v/>
      </c>
      <c r="AG216" s="2" t="str">
        <f t="shared" si="76"/>
        <v/>
      </c>
      <c r="AH216" s="2" t="str">
        <f t="shared" si="77"/>
        <v/>
      </c>
    </row>
    <row r="217" spans="2:34" x14ac:dyDescent="0.25">
      <c r="B217" s="2" t="s">
        <v>590</v>
      </c>
      <c r="C217" s="2" t="s">
        <v>541</v>
      </c>
      <c r="D217" s="2" t="s">
        <v>0</v>
      </c>
      <c r="E217" s="2" t="s">
        <v>130</v>
      </c>
      <c r="F217" s="2" t="s">
        <v>591</v>
      </c>
      <c r="G217" s="2" t="s">
        <v>592</v>
      </c>
      <c r="H217" s="2" t="s">
        <v>542</v>
      </c>
      <c r="I217" s="2" t="s">
        <v>41</v>
      </c>
      <c r="J217" s="2">
        <v>1</v>
      </c>
      <c r="K217" s="2" t="s">
        <v>81</v>
      </c>
      <c r="L217" s="2" t="s">
        <v>40</v>
      </c>
      <c r="P217" s="2" t="s">
        <v>4</v>
      </c>
      <c r="Q217" s="2">
        <f>INDEX(Tables!$C$4:$C$28,MATCH($P217,Tables!$B$4:$B$28,0))</f>
        <v>32</v>
      </c>
      <c r="R217" s="2">
        <f>INDEX(Tables!$D$4:$D$28,MATCH($P217,Tables!$B$4:$B$28,0))</f>
        <v>4</v>
      </c>
      <c r="S217" s="2">
        <f>$S216+$R216+INDEX(Tables!$N$5:$Q$8,MATCH(MOD($S216+$R216,4),Tables!$M$5:$M$8,0),MATCH($R217,Tables!$N$4:$Q$4,0))</f>
        <v>752</v>
      </c>
      <c r="T217" s="2" t="str">
        <f t="shared" si="63"/>
        <v>02F0</v>
      </c>
      <c r="U217" s="2">
        <f t="shared" si="69"/>
        <v>188</v>
      </c>
      <c r="V217" s="2" t="str">
        <f t="shared" si="64"/>
        <v>0BC</v>
      </c>
      <c r="W217" s="2" t="str">
        <f t="shared" si="65"/>
        <v/>
      </c>
      <c r="X217" s="2" t="str">
        <f t="shared" si="68"/>
        <v/>
      </c>
      <c r="Y217" s="2" t="str">
        <f t="shared" si="66"/>
        <v/>
      </c>
      <c r="Z217" s="2" t="str">
        <f t="shared" si="67"/>
        <v>X</v>
      </c>
      <c r="AA217" s="2" t="str">
        <f t="shared" si="70"/>
        <v/>
      </c>
      <c r="AB217" s="2" t="str">
        <f t="shared" si="71"/>
        <v/>
      </c>
      <c r="AC217" s="2" t="str">
        <f t="shared" si="72"/>
        <v/>
      </c>
      <c r="AD217" s="2" t="str">
        <f t="shared" si="73"/>
        <v>(0)</v>
      </c>
      <c r="AE217" s="2" t="str">
        <f t="shared" si="74"/>
        <v/>
      </c>
      <c r="AF217" s="2" t="str">
        <f t="shared" si="75"/>
        <v/>
      </c>
      <c r="AG217" s="2" t="str">
        <f t="shared" si="76"/>
        <v/>
      </c>
      <c r="AH217" s="2" t="str">
        <f t="shared" si="77"/>
        <v/>
      </c>
    </row>
    <row r="218" spans="2:34" x14ac:dyDescent="0.25">
      <c r="B218" s="2" t="s">
        <v>590</v>
      </c>
      <c r="C218" s="2" t="s">
        <v>543</v>
      </c>
      <c r="D218" s="2" t="s">
        <v>0</v>
      </c>
      <c r="E218" s="2" t="s">
        <v>130</v>
      </c>
      <c r="F218" s="2" t="s">
        <v>591</v>
      </c>
      <c r="G218" s="2" t="s">
        <v>592</v>
      </c>
      <c r="H218" s="2" t="s">
        <v>544</v>
      </c>
      <c r="I218" s="2" t="s">
        <v>41</v>
      </c>
      <c r="J218" s="2">
        <v>1</v>
      </c>
      <c r="K218" s="2" t="s">
        <v>81</v>
      </c>
      <c r="L218" s="2" t="s">
        <v>40</v>
      </c>
      <c r="P218" s="2" t="s">
        <v>4</v>
      </c>
      <c r="Q218" s="2">
        <f>INDEX(Tables!$C$4:$C$28,MATCH($P218,Tables!$B$4:$B$28,0))</f>
        <v>32</v>
      </c>
      <c r="R218" s="2">
        <f>INDEX(Tables!$D$4:$D$28,MATCH($P218,Tables!$B$4:$B$28,0))</f>
        <v>4</v>
      </c>
      <c r="S218" s="2">
        <f>$S217+$R217+INDEX(Tables!$N$5:$Q$8,MATCH(MOD($S217+$R217,4),Tables!$M$5:$M$8,0),MATCH($R218,Tables!$N$4:$Q$4,0))</f>
        <v>756</v>
      </c>
      <c r="T218" s="2" t="str">
        <f t="shared" si="63"/>
        <v>02F4</v>
      </c>
      <c r="U218" s="2">
        <f t="shared" si="69"/>
        <v>189</v>
      </c>
      <c r="V218" s="2" t="str">
        <f t="shared" si="64"/>
        <v>0BD</v>
      </c>
      <c r="W218" s="2" t="str">
        <f t="shared" si="65"/>
        <v/>
      </c>
      <c r="X218" s="2" t="str">
        <f t="shared" si="68"/>
        <v/>
      </c>
      <c r="Y218" s="2" t="str">
        <f t="shared" si="66"/>
        <v/>
      </c>
      <c r="Z218" s="2" t="str">
        <f t="shared" si="67"/>
        <v>X</v>
      </c>
      <c r="AA218" s="2" t="str">
        <f t="shared" si="70"/>
        <v/>
      </c>
      <c r="AB218" s="2" t="str">
        <f t="shared" si="71"/>
        <v/>
      </c>
      <c r="AC218" s="2" t="str">
        <f t="shared" si="72"/>
        <v/>
      </c>
      <c r="AD218" s="2" t="str">
        <f t="shared" si="73"/>
        <v>(0)</v>
      </c>
      <c r="AE218" s="2" t="str">
        <f t="shared" si="74"/>
        <v/>
      </c>
      <c r="AF218" s="2" t="str">
        <f t="shared" si="75"/>
        <v/>
      </c>
      <c r="AG218" s="2" t="str">
        <f t="shared" si="76"/>
        <v/>
      </c>
      <c r="AH218" s="2" t="str">
        <f t="shared" si="77"/>
        <v/>
      </c>
    </row>
    <row r="219" spans="2:34" x14ac:dyDescent="0.25">
      <c r="B219" s="2" t="s">
        <v>590</v>
      </c>
      <c r="C219" s="2" t="s">
        <v>545</v>
      </c>
      <c r="D219" s="2" t="s">
        <v>0</v>
      </c>
      <c r="E219" s="2" t="s">
        <v>130</v>
      </c>
      <c r="F219" s="2" t="s">
        <v>591</v>
      </c>
      <c r="G219" s="2" t="s">
        <v>592</v>
      </c>
      <c r="H219" s="2" t="s">
        <v>546</v>
      </c>
      <c r="I219" s="2" t="s">
        <v>41</v>
      </c>
      <c r="J219" s="2">
        <v>1</v>
      </c>
      <c r="K219" s="2" t="s">
        <v>81</v>
      </c>
      <c r="L219" s="2" t="s">
        <v>40</v>
      </c>
      <c r="P219" s="2" t="s">
        <v>4</v>
      </c>
      <c r="Q219" s="2">
        <f>INDEX(Tables!$C$4:$C$28,MATCH($P219,Tables!$B$4:$B$28,0))</f>
        <v>32</v>
      </c>
      <c r="R219" s="2">
        <f>INDEX(Tables!$D$4:$D$28,MATCH($P219,Tables!$B$4:$B$28,0))</f>
        <v>4</v>
      </c>
      <c r="S219" s="2">
        <f>$S218+$R218+INDEX(Tables!$N$5:$Q$8,MATCH(MOD($S218+$R218,4),Tables!$M$5:$M$8,0),MATCH($R219,Tables!$N$4:$Q$4,0))</f>
        <v>760</v>
      </c>
      <c r="T219" s="2" t="str">
        <f t="shared" si="63"/>
        <v>02F8</v>
      </c>
      <c r="U219" s="2">
        <f t="shared" si="69"/>
        <v>190</v>
      </c>
      <c r="V219" s="2" t="str">
        <f t="shared" si="64"/>
        <v>0BE</v>
      </c>
      <c r="W219" s="2" t="str">
        <f t="shared" si="65"/>
        <v/>
      </c>
      <c r="X219" s="2" t="str">
        <f t="shared" si="68"/>
        <v/>
      </c>
      <c r="Y219" s="2" t="str">
        <f t="shared" si="66"/>
        <v/>
      </c>
      <c r="Z219" s="2" t="str">
        <f t="shared" si="67"/>
        <v>X</v>
      </c>
      <c r="AA219" s="2" t="str">
        <f t="shared" si="70"/>
        <v/>
      </c>
      <c r="AB219" s="2" t="str">
        <f t="shared" si="71"/>
        <v/>
      </c>
      <c r="AC219" s="2" t="str">
        <f t="shared" si="72"/>
        <v/>
      </c>
      <c r="AD219" s="2" t="str">
        <f t="shared" si="73"/>
        <v>(0)</v>
      </c>
      <c r="AE219" s="2" t="str">
        <f t="shared" si="74"/>
        <v/>
      </c>
      <c r="AF219" s="2" t="str">
        <f t="shared" si="75"/>
        <v/>
      </c>
      <c r="AG219" s="2" t="str">
        <f t="shared" si="76"/>
        <v/>
      </c>
      <c r="AH219" s="2" t="str">
        <f t="shared" si="77"/>
        <v/>
      </c>
    </row>
    <row r="220" spans="2:34" x14ac:dyDescent="0.25">
      <c r="B220" s="2" t="s">
        <v>590</v>
      </c>
      <c r="C220" s="2" t="s">
        <v>547</v>
      </c>
      <c r="D220" s="2" t="s">
        <v>0</v>
      </c>
      <c r="E220" s="2" t="s">
        <v>130</v>
      </c>
      <c r="F220" s="2" t="s">
        <v>591</v>
      </c>
      <c r="G220" s="2" t="s">
        <v>592</v>
      </c>
      <c r="H220" s="2" t="s">
        <v>548</v>
      </c>
      <c r="I220" s="2" t="s">
        <v>41</v>
      </c>
      <c r="J220" s="2">
        <v>1</v>
      </c>
      <c r="K220" s="2" t="s">
        <v>81</v>
      </c>
      <c r="L220" s="2" t="s">
        <v>40</v>
      </c>
      <c r="P220" s="2" t="s">
        <v>4</v>
      </c>
      <c r="Q220" s="2">
        <f>INDEX(Tables!$C$4:$C$28,MATCH($P220,Tables!$B$4:$B$28,0))</f>
        <v>32</v>
      </c>
      <c r="R220" s="2">
        <f>INDEX(Tables!$D$4:$D$28,MATCH($P220,Tables!$B$4:$B$28,0))</f>
        <v>4</v>
      </c>
      <c r="S220" s="2">
        <f>$S219+$R219+INDEX(Tables!$N$5:$Q$8,MATCH(MOD($S219+$R219,4),Tables!$M$5:$M$8,0),MATCH($R220,Tables!$N$4:$Q$4,0))</f>
        <v>764</v>
      </c>
      <c r="T220" s="2" t="str">
        <f t="shared" si="63"/>
        <v>02FC</v>
      </c>
      <c r="U220" s="2">
        <f t="shared" si="69"/>
        <v>191</v>
      </c>
      <c r="V220" s="2" t="str">
        <f t="shared" si="64"/>
        <v>0BF</v>
      </c>
      <c r="W220" s="2" t="str">
        <f t="shared" si="65"/>
        <v/>
      </c>
      <c r="X220" s="2" t="str">
        <f t="shared" si="68"/>
        <v/>
      </c>
      <c r="Y220" s="2" t="str">
        <f t="shared" si="66"/>
        <v/>
      </c>
      <c r="Z220" s="2" t="str">
        <f t="shared" si="67"/>
        <v>X</v>
      </c>
      <c r="AA220" s="2" t="str">
        <f t="shared" si="70"/>
        <v/>
      </c>
      <c r="AB220" s="2" t="str">
        <f t="shared" si="71"/>
        <v/>
      </c>
      <c r="AC220" s="2" t="str">
        <f t="shared" si="72"/>
        <v/>
      </c>
      <c r="AD220" s="2" t="str">
        <f t="shared" si="73"/>
        <v>(0)</v>
      </c>
      <c r="AE220" s="2" t="str">
        <f t="shared" si="74"/>
        <v/>
      </c>
      <c r="AF220" s="2" t="str">
        <f t="shared" si="75"/>
        <v/>
      </c>
      <c r="AG220" s="2" t="str">
        <f t="shared" si="76"/>
        <v/>
      </c>
      <c r="AH220" s="2" t="str">
        <f t="shared" si="77"/>
        <v/>
      </c>
    </row>
    <row r="221" spans="2:34" x14ac:dyDescent="0.25">
      <c r="B221" s="2" t="s">
        <v>590</v>
      </c>
      <c r="C221" s="2" t="s">
        <v>168</v>
      </c>
      <c r="D221" s="2" t="s">
        <v>0</v>
      </c>
      <c r="E221" s="2" t="s">
        <v>130</v>
      </c>
      <c r="F221" s="2" t="s">
        <v>591</v>
      </c>
      <c r="G221" s="2" t="s">
        <v>592</v>
      </c>
      <c r="H221" s="2" t="s">
        <v>169</v>
      </c>
      <c r="I221" s="2" t="s">
        <v>41</v>
      </c>
      <c r="J221" s="2">
        <v>1</v>
      </c>
      <c r="K221" s="2" t="s">
        <v>81</v>
      </c>
      <c r="L221" s="2" t="s">
        <v>40</v>
      </c>
      <c r="P221" s="2" t="s">
        <v>4</v>
      </c>
      <c r="Q221" s="2">
        <f>INDEX(Tables!$C$4:$C$28,MATCH($P221,Tables!$B$4:$B$28,0))</f>
        <v>32</v>
      </c>
      <c r="R221" s="2">
        <f>INDEX(Tables!$D$4:$D$28,MATCH($P221,Tables!$B$4:$B$28,0))</f>
        <v>4</v>
      </c>
      <c r="S221" s="2">
        <f>$S220+$R220+INDEX(Tables!$N$5:$Q$8,MATCH(MOD($S220+$R220,4),Tables!$M$5:$M$8,0),MATCH($R221,Tables!$N$4:$Q$4,0))</f>
        <v>768</v>
      </c>
      <c r="T221" s="2" t="str">
        <f t="shared" si="63"/>
        <v>0300</v>
      </c>
      <c r="U221" s="2">
        <f t="shared" si="69"/>
        <v>192</v>
      </c>
      <c r="V221" s="2" t="str">
        <f t="shared" si="64"/>
        <v>0C0</v>
      </c>
      <c r="W221" s="2" t="str">
        <f t="shared" si="65"/>
        <v/>
      </c>
      <c r="X221" s="2" t="str">
        <f t="shared" si="68"/>
        <v/>
      </c>
      <c r="Y221" s="2" t="str">
        <f t="shared" si="66"/>
        <v/>
      </c>
      <c r="Z221" s="2" t="str">
        <f t="shared" si="67"/>
        <v>X</v>
      </c>
      <c r="AA221" s="2" t="str">
        <f t="shared" si="70"/>
        <v/>
      </c>
      <c r="AB221" s="2" t="str">
        <f t="shared" si="71"/>
        <v/>
      </c>
      <c r="AC221" s="2" t="str">
        <f t="shared" si="72"/>
        <v/>
      </c>
      <c r="AD221" s="2" t="str">
        <f t="shared" si="73"/>
        <v>(0)</v>
      </c>
      <c r="AE221" s="2" t="str">
        <f t="shared" si="74"/>
        <v/>
      </c>
      <c r="AF221" s="2" t="str">
        <f t="shared" si="75"/>
        <v/>
      </c>
      <c r="AG221" s="2" t="str">
        <f t="shared" si="76"/>
        <v/>
      </c>
      <c r="AH221" s="2" t="str">
        <f t="shared" si="77"/>
        <v/>
      </c>
    </row>
    <row r="222" spans="2:34" x14ac:dyDescent="0.25">
      <c r="B222" s="2" t="s">
        <v>590</v>
      </c>
      <c r="C222" s="2" t="s">
        <v>549</v>
      </c>
      <c r="D222" s="2" t="s">
        <v>0</v>
      </c>
      <c r="E222" s="2" t="s">
        <v>130</v>
      </c>
      <c r="F222" s="2" t="s">
        <v>591</v>
      </c>
      <c r="G222" s="2" t="s">
        <v>592</v>
      </c>
      <c r="H222" s="2" t="s">
        <v>550</v>
      </c>
      <c r="I222" s="2" t="s">
        <v>41</v>
      </c>
      <c r="J222" s="2">
        <v>1</v>
      </c>
      <c r="K222" s="2" t="s">
        <v>81</v>
      </c>
      <c r="L222" s="2" t="s">
        <v>40</v>
      </c>
      <c r="P222" s="2" t="s">
        <v>4</v>
      </c>
      <c r="Q222" s="2">
        <f>INDEX(Tables!$C$4:$C$28,MATCH($P222,Tables!$B$4:$B$28,0))</f>
        <v>32</v>
      </c>
      <c r="R222" s="2">
        <f>INDEX(Tables!$D$4:$D$28,MATCH($P222,Tables!$B$4:$B$28,0))</f>
        <v>4</v>
      </c>
      <c r="S222" s="2">
        <f>$S221+$R221+INDEX(Tables!$N$5:$Q$8,MATCH(MOD($S221+$R221,4),Tables!$M$5:$M$8,0),MATCH($R222,Tables!$N$4:$Q$4,0))</f>
        <v>772</v>
      </c>
      <c r="T222" s="2" t="str">
        <f t="shared" si="63"/>
        <v>0304</v>
      </c>
      <c r="U222" s="2">
        <f t="shared" si="69"/>
        <v>193</v>
      </c>
      <c r="V222" s="2" t="str">
        <f t="shared" si="64"/>
        <v>0C1</v>
      </c>
      <c r="W222" s="2" t="str">
        <f t="shared" si="65"/>
        <v/>
      </c>
      <c r="X222" s="2" t="str">
        <f t="shared" si="68"/>
        <v/>
      </c>
      <c r="Y222" s="2" t="str">
        <f t="shared" si="66"/>
        <v/>
      </c>
      <c r="Z222" s="2" t="str">
        <f t="shared" si="67"/>
        <v>X</v>
      </c>
      <c r="AA222" s="2" t="str">
        <f t="shared" si="70"/>
        <v/>
      </c>
      <c r="AB222" s="2" t="str">
        <f t="shared" si="71"/>
        <v/>
      </c>
      <c r="AC222" s="2" t="str">
        <f t="shared" si="72"/>
        <v/>
      </c>
      <c r="AD222" s="2" t="str">
        <f t="shared" si="73"/>
        <v>(0)</v>
      </c>
      <c r="AE222" s="2" t="str">
        <f t="shared" si="74"/>
        <v/>
      </c>
      <c r="AF222" s="2" t="str">
        <f t="shared" si="75"/>
        <v/>
      </c>
      <c r="AG222" s="2" t="str">
        <f t="shared" si="76"/>
        <v/>
      </c>
      <c r="AH222" s="2" t="str">
        <f t="shared" si="77"/>
        <v/>
      </c>
    </row>
    <row r="223" spans="2:34" x14ac:dyDescent="0.25">
      <c r="B223" s="2" t="s">
        <v>590</v>
      </c>
      <c r="C223" s="2" t="s">
        <v>551</v>
      </c>
      <c r="D223" s="2" t="s">
        <v>0</v>
      </c>
      <c r="E223" s="2" t="s">
        <v>130</v>
      </c>
      <c r="F223" s="2" t="s">
        <v>591</v>
      </c>
      <c r="G223" s="2" t="s">
        <v>592</v>
      </c>
      <c r="H223" s="2" t="s">
        <v>552</v>
      </c>
      <c r="I223" s="2" t="s">
        <v>41</v>
      </c>
      <c r="J223" s="2">
        <v>1</v>
      </c>
      <c r="K223" s="2" t="s">
        <v>81</v>
      </c>
      <c r="L223" s="2" t="s">
        <v>40</v>
      </c>
      <c r="P223" s="2" t="s">
        <v>4</v>
      </c>
      <c r="Q223" s="2">
        <f>INDEX(Tables!$C$4:$C$28,MATCH($P223,Tables!$B$4:$B$28,0))</f>
        <v>32</v>
      </c>
      <c r="R223" s="2">
        <f>INDEX(Tables!$D$4:$D$28,MATCH($P223,Tables!$B$4:$B$28,0))</f>
        <v>4</v>
      </c>
      <c r="S223" s="2">
        <f>$S222+$R222+INDEX(Tables!$N$5:$Q$8,MATCH(MOD($S222+$R222,4),Tables!$M$5:$M$8,0),MATCH($R223,Tables!$N$4:$Q$4,0))</f>
        <v>776</v>
      </c>
      <c r="T223" s="2" t="str">
        <f t="shared" si="63"/>
        <v>0308</v>
      </c>
      <c r="U223" s="2">
        <f t="shared" si="69"/>
        <v>194</v>
      </c>
      <c r="V223" s="2" t="str">
        <f t="shared" si="64"/>
        <v>0C2</v>
      </c>
      <c r="W223" s="2" t="str">
        <f t="shared" si="65"/>
        <v/>
      </c>
      <c r="X223" s="2" t="str">
        <f t="shared" si="68"/>
        <v/>
      </c>
      <c r="Y223" s="2" t="str">
        <f t="shared" si="66"/>
        <v/>
      </c>
      <c r="Z223" s="2" t="str">
        <f t="shared" si="67"/>
        <v>X</v>
      </c>
      <c r="AA223" s="2" t="str">
        <f t="shared" si="70"/>
        <v/>
      </c>
      <c r="AB223" s="2" t="str">
        <f t="shared" si="71"/>
        <v/>
      </c>
      <c r="AC223" s="2" t="str">
        <f t="shared" si="72"/>
        <v/>
      </c>
      <c r="AD223" s="2" t="str">
        <f t="shared" si="73"/>
        <v>(0)</v>
      </c>
      <c r="AE223" s="2" t="str">
        <f t="shared" si="74"/>
        <v/>
      </c>
      <c r="AF223" s="2" t="str">
        <f t="shared" si="75"/>
        <v/>
      </c>
      <c r="AG223" s="2" t="str">
        <f t="shared" si="76"/>
        <v/>
      </c>
      <c r="AH223" s="2" t="str">
        <f t="shared" si="77"/>
        <v/>
      </c>
    </row>
    <row r="224" spans="2:34" x14ac:dyDescent="0.25">
      <c r="B224" s="2" t="s">
        <v>590</v>
      </c>
      <c r="C224" s="2" t="s">
        <v>553</v>
      </c>
      <c r="D224" s="2" t="s">
        <v>0</v>
      </c>
      <c r="E224" s="2" t="s">
        <v>130</v>
      </c>
      <c r="F224" s="2" t="s">
        <v>591</v>
      </c>
      <c r="G224" s="2" t="s">
        <v>592</v>
      </c>
      <c r="H224" s="2" t="s">
        <v>554</v>
      </c>
      <c r="I224" s="2" t="s">
        <v>41</v>
      </c>
      <c r="J224" s="2">
        <v>1</v>
      </c>
      <c r="K224" s="2" t="s">
        <v>81</v>
      </c>
      <c r="L224" s="2" t="s">
        <v>40</v>
      </c>
      <c r="P224" s="2" t="s">
        <v>4</v>
      </c>
      <c r="Q224" s="2">
        <f>INDEX(Tables!$C$4:$C$28,MATCH($P224,Tables!$B$4:$B$28,0))</f>
        <v>32</v>
      </c>
      <c r="R224" s="2">
        <f>INDEX(Tables!$D$4:$D$28,MATCH($P224,Tables!$B$4:$B$28,0))</f>
        <v>4</v>
      </c>
      <c r="S224" s="2">
        <f>$S223+$R223+INDEX(Tables!$N$5:$Q$8,MATCH(MOD($S223+$R223,4),Tables!$M$5:$M$8,0),MATCH($R224,Tables!$N$4:$Q$4,0))</f>
        <v>780</v>
      </c>
      <c r="T224" s="2" t="str">
        <f t="shared" si="63"/>
        <v>030C</v>
      </c>
      <c r="U224" s="2">
        <f t="shared" si="69"/>
        <v>195</v>
      </c>
      <c r="V224" s="2" t="str">
        <f t="shared" si="64"/>
        <v>0C3</v>
      </c>
      <c r="W224" s="2" t="str">
        <f t="shared" si="65"/>
        <v/>
      </c>
      <c r="X224" s="2" t="str">
        <f t="shared" si="68"/>
        <v/>
      </c>
      <c r="Y224" s="2" t="str">
        <f t="shared" si="66"/>
        <v/>
      </c>
      <c r="Z224" s="2" t="str">
        <f t="shared" si="67"/>
        <v>X</v>
      </c>
      <c r="AA224" s="2" t="str">
        <f t="shared" si="70"/>
        <v/>
      </c>
      <c r="AB224" s="2" t="str">
        <f t="shared" si="71"/>
        <v/>
      </c>
      <c r="AC224" s="2" t="str">
        <f t="shared" si="72"/>
        <v/>
      </c>
      <c r="AD224" s="2" t="str">
        <f t="shared" si="73"/>
        <v>(0)</v>
      </c>
      <c r="AE224" s="2" t="str">
        <f t="shared" si="74"/>
        <v/>
      </c>
      <c r="AF224" s="2" t="str">
        <f t="shared" si="75"/>
        <v/>
      </c>
      <c r="AG224" s="2" t="str">
        <f t="shared" si="76"/>
        <v/>
      </c>
      <c r="AH224" s="2" t="str">
        <f t="shared" si="77"/>
        <v/>
      </c>
    </row>
    <row r="225" spans="2:34" x14ac:dyDescent="0.25">
      <c r="B225" s="2" t="s">
        <v>590</v>
      </c>
      <c r="C225" s="2" t="s">
        <v>555</v>
      </c>
      <c r="D225" s="2" t="s">
        <v>0</v>
      </c>
      <c r="E225" s="2" t="s">
        <v>130</v>
      </c>
      <c r="F225" s="2" t="s">
        <v>591</v>
      </c>
      <c r="G225" s="2" t="s">
        <v>592</v>
      </c>
      <c r="H225" s="2" t="s">
        <v>556</v>
      </c>
      <c r="I225" s="2" t="s">
        <v>41</v>
      </c>
      <c r="J225" s="2">
        <v>1</v>
      </c>
      <c r="K225" s="2" t="s">
        <v>81</v>
      </c>
      <c r="L225" s="2" t="s">
        <v>40</v>
      </c>
      <c r="P225" s="2" t="s">
        <v>4</v>
      </c>
      <c r="Q225" s="2">
        <f>INDEX(Tables!$C$4:$C$28,MATCH($P225,Tables!$B$4:$B$28,0))</f>
        <v>32</v>
      </c>
      <c r="R225" s="2">
        <f>INDEX(Tables!$D$4:$D$28,MATCH($P225,Tables!$B$4:$B$28,0))</f>
        <v>4</v>
      </c>
      <c r="S225" s="2">
        <f>$S224+$R224+INDEX(Tables!$N$5:$Q$8,MATCH(MOD($S224+$R224,4),Tables!$M$5:$M$8,0),MATCH($R225,Tables!$N$4:$Q$4,0))</f>
        <v>784</v>
      </c>
      <c r="T225" s="2" t="str">
        <f t="shared" si="63"/>
        <v>0310</v>
      </c>
      <c r="U225" s="2">
        <f t="shared" si="69"/>
        <v>196</v>
      </c>
      <c r="V225" s="2" t="str">
        <f t="shared" si="64"/>
        <v>0C4</v>
      </c>
      <c r="W225" s="2" t="str">
        <f t="shared" si="65"/>
        <v/>
      </c>
      <c r="X225" s="2" t="str">
        <f t="shared" si="68"/>
        <v/>
      </c>
      <c r="Y225" s="2" t="str">
        <f t="shared" si="66"/>
        <v/>
      </c>
      <c r="Z225" s="2" t="str">
        <f t="shared" si="67"/>
        <v>X</v>
      </c>
      <c r="AA225" s="2" t="str">
        <f t="shared" si="70"/>
        <v/>
      </c>
      <c r="AB225" s="2" t="str">
        <f t="shared" si="71"/>
        <v/>
      </c>
      <c r="AC225" s="2" t="str">
        <f t="shared" si="72"/>
        <v/>
      </c>
      <c r="AD225" s="2" t="str">
        <f t="shared" si="73"/>
        <v>(0)</v>
      </c>
      <c r="AE225" s="2" t="str">
        <f t="shared" si="74"/>
        <v/>
      </c>
      <c r="AF225" s="2" t="str">
        <f t="shared" si="75"/>
        <v/>
      </c>
      <c r="AG225" s="2" t="str">
        <f t="shared" si="76"/>
        <v/>
      </c>
      <c r="AH225" s="2" t="str">
        <f t="shared" si="77"/>
        <v/>
      </c>
    </row>
    <row r="226" spans="2:34" x14ac:dyDescent="0.25">
      <c r="B226" s="2" t="s">
        <v>590</v>
      </c>
      <c r="C226" s="2" t="s">
        <v>557</v>
      </c>
      <c r="D226" s="2" t="s">
        <v>0</v>
      </c>
      <c r="E226" s="2" t="s">
        <v>130</v>
      </c>
      <c r="F226" s="2" t="s">
        <v>591</v>
      </c>
      <c r="G226" s="2" t="s">
        <v>592</v>
      </c>
      <c r="H226" s="2" t="s">
        <v>558</v>
      </c>
      <c r="I226" s="2" t="s">
        <v>41</v>
      </c>
      <c r="J226" s="2">
        <v>1</v>
      </c>
      <c r="K226" s="2" t="s">
        <v>81</v>
      </c>
      <c r="L226" s="2" t="s">
        <v>40</v>
      </c>
      <c r="P226" s="2" t="s">
        <v>4</v>
      </c>
      <c r="Q226" s="2">
        <f>INDEX(Tables!$C$4:$C$28,MATCH($P226,Tables!$B$4:$B$28,0))</f>
        <v>32</v>
      </c>
      <c r="R226" s="2">
        <f>INDEX(Tables!$D$4:$D$28,MATCH($P226,Tables!$B$4:$B$28,0))</f>
        <v>4</v>
      </c>
      <c r="S226" s="2">
        <f>$S225+$R225+INDEX(Tables!$N$5:$Q$8,MATCH(MOD($S225+$R225,4),Tables!$M$5:$M$8,0),MATCH($R226,Tables!$N$4:$Q$4,0))</f>
        <v>788</v>
      </c>
      <c r="T226" s="2" t="str">
        <f t="shared" si="63"/>
        <v>0314</v>
      </c>
      <c r="U226" s="2">
        <f t="shared" si="69"/>
        <v>197</v>
      </c>
      <c r="V226" s="2" t="str">
        <f t="shared" si="64"/>
        <v>0C5</v>
      </c>
      <c r="W226" s="2" t="str">
        <f t="shared" si="65"/>
        <v/>
      </c>
      <c r="X226" s="2" t="str">
        <f t="shared" si="68"/>
        <v/>
      </c>
      <c r="Y226" s="2" t="str">
        <f t="shared" si="66"/>
        <v/>
      </c>
      <c r="Z226" s="2" t="str">
        <f t="shared" si="67"/>
        <v>X</v>
      </c>
      <c r="AA226" s="2" t="str">
        <f t="shared" si="70"/>
        <v/>
      </c>
      <c r="AB226" s="2" t="str">
        <f t="shared" si="71"/>
        <v/>
      </c>
      <c r="AC226" s="2" t="str">
        <f t="shared" si="72"/>
        <v/>
      </c>
      <c r="AD226" s="2" t="str">
        <f t="shared" si="73"/>
        <v>(0)</v>
      </c>
      <c r="AE226" s="2" t="str">
        <f t="shared" si="74"/>
        <v/>
      </c>
      <c r="AF226" s="2" t="str">
        <f t="shared" si="75"/>
        <v/>
      </c>
      <c r="AG226" s="2" t="str">
        <f t="shared" si="76"/>
        <v/>
      </c>
      <c r="AH226" s="2" t="str">
        <f t="shared" si="77"/>
        <v/>
      </c>
    </row>
    <row r="227" spans="2:34" x14ac:dyDescent="0.25">
      <c r="B227" s="2" t="s">
        <v>590</v>
      </c>
      <c r="C227" s="2" t="s">
        <v>559</v>
      </c>
      <c r="D227" s="2" t="s">
        <v>0</v>
      </c>
      <c r="E227" s="2" t="s">
        <v>130</v>
      </c>
      <c r="F227" s="2" t="s">
        <v>591</v>
      </c>
      <c r="G227" s="2" t="s">
        <v>592</v>
      </c>
      <c r="H227" s="2" t="s">
        <v>560</v>
      </c>
      <c r="I227" s="2" t="s">
        <v>41</v>
      </c>
      <c r="J227" s="2">
        <v>1</v>
      </c>
      <c r="K227" s="2" t="s">
        <v>81</v>
      </c>
      <c r="L227" s="2" t="s">
        <v>40</v>
      </c>
      <c r="P227" s="2" t="s">
        <v>4</v>
      </c>
      <c r="Q227" s="2">
        <f>INDEX(Tables!$C$4:$C$28,MATCH($P227,Tables!$B$4:$B$28,0))</f>
        <v>32</v>
      </c>
      <c r="R227" s="2">
        <f>INDEX(Tables!$D$4:$D$28,MATCH($P227,Tables!$B$4:$B$28,0))</f>
        <v>4</v>
      </c>
      <c r="S227" s="2">
        <f>$S226+$R226+INDEX(Tables!$N$5:$Q$8,MATCH(MOD($S226+$R226,4),Tables!$M$5:$M$8,0),MATCH($R227,Tables!$N$4:$Q$4,0))</f>
        <v>792</v>
      </c>
      <c r="T227" s="2" t="str">
        <f t="shared" si="63"/>
        <v>0318</v>
      </c>
      <c r="U227" s="2">
        <f t="shared" si="69"/>
        <v>198</v>
      </c>
      <c r="V227" s="2" t="str">
        <f t="shared" si="64"/>
        <v>0C6</v>
      </c>
      <c r="W227" s="2" t="str">
        <f t="shared" si="65"/>
        <v/>
      </c>
      <c r="X227" s="2" t="str">
        <f t="shared" si="68"/>
        <v/>
      </c>
      <c r="Y227" s="2" t="str">
        <f t="shared" si="66"/>
        <v/>
      </c>
      <c r="Z227" s="2" t="str">
        <f t="shared" si="67"/>
        <v>X</v>
      </c>
      <c r="AA227" s="2" t="str">
        <f t="shared" si="70"/>
        <v/>
      </c>
      <c r="AB227" s="2" t="str">
        <f t="shared" si="71"/>
        <v/>
      </c>
      <c r="AC227" s="2" t="str">
        <f t="shared" si="72"/>
        <v/>
      </c>
      <c r="AD227" s="2" t="str">
        <f t="shared" si="73"/>
        <v>(0)</v>
      </c>
      <c r="AE227" s="2" t="str">
        <f t="shared" si="74"/>
        <v/>
      </c>
      <c r="AF227" s="2" t="str">
        <f t="shared" si="75"/>
        <v/>
      </c>
      <c r="AG227" s="2" t="str">
        <f t="shared" si="76"/>
        <v/>
      </c>
      <c r="AH227" s="2" t="str">
        <f t="shared" si="77"/>
        <v/>
      </c>
    </row>
    <row r="228" spans="2:34" x14ac:dyDescent="0.25">
      <c r="B228" s="2" t="s">
        <v>590</v>
      </c>
      <c r="C228" s="2" t="s">
        <v>561</v>
      </c>
      <c r="D228" s="2" t="s">
        <v>0</v>
      </c>
      <c r="E228" s="2" t="s">
        <v>130</v>
      </c>
      <c r="F228" s="2" t="s">
        <v>591</v>
      </c>
      <c r="G228" s="2" t="s">
        <v>592</v>
      </c>
      <c r="H228" s="2" t="s">
        <v>562</v>
      </c>
      <c r="I228" s="2" t="s">
        <v>41</v>
      </c>
      <c r="J228" s="2">
        <v>1</v>
      </c>
      <c r="K228" s="2" t="s">
        <v>81</v>
      </c>
      <c r="L228" s="2" t="s">
        <v>40</v>
      </c>
      <c r="P228" s="2" t="s">
        <v>4</v>
      </c>
      <c r="Q228" s="2">
        <f>INDEX(Tables!$C$4:$C$28,MATCH($P228,Tables!$B$4:$B$28,0))</f>
        <v>32</v>
      </c>
      <c r="R228" s="2">
        <f>INDEX(Tables!$D$4:$D$28,MATCH($P228,Tables!$B$4:$B$28,0))</f>
        <v>4</v>
      </c>
      <c r="S228" s="2">
        <f>$S227+$R227+INDEX(Tables!$N$5:$Q$8,MATCH(MOD($S227+$R227,4),Tables!$M$5:$M$8,0),MATCH($R228,Tables!$N$4:$Q$4,0))</f>
        <v>796</v>
      </c>
      <c r="T228" s="2" t="str">
        <f t="shared" si="63"/>
        <v>031C</v>
      </c>
      <c r="U228" s="2">
        <f t="shared" si="69"/>
        <v>199</v>
      </c>
      <c r="V228" s="2" t="str">
        <f t="shared" si="64"/>
        <v>0C7</v>
      </c>
      <c r="W228" s="2" t="str">
        <f t="shared" si="65"/>
        <v/>
      </c>
      <c r="X228" s="2" t="str">
        <f t="shared" si="68"/>
        <v/>
      </c>
      <c r="Y228" s="2" t="str">
        <f t="shared" si="66"/>
        <v/>
      </c>
      <c r="Z228" s="2" t="str">
        <f t="shared" si="67"/>
        <v>X</v>
      </c>
      <c r="AA228" s="2" t="str">
        <f t="shared" si="70"/>
        <v/>
      </c>
      <c r="AB228" s="2" t="str">
        <f t="shared" si="71"/>
        <v/>
      </c>
      <c r="AC228" s="2" t="str">
        <f t="shared" si="72"/>
        <v/>
      </c>
      <c r="AD228" s="2" t="str">
        <f t="shared" si="73"/>
        <v>(0)</v>
      </c>
      <c r="AE228" s="2" t="str">
        <f t="shared" si="74"/>
        <v/>
      </c>
      <c r="AF228" s="2" t="str">
        <f t="shared" si="75"/>
        <v/>
      </c>
      <c r="AG228" s="2" t="str">
        <f t="shared" si="76"/>
        <v/>
      </c>
      <c r="AH228" s="2" t="str">
        <f t="shared" si="77"/>
        <v/>
      </c>
    </row>
    <row r="229" spans="2:34" x14ac:dyDescent="0.25">
      <c r="B229" s="2" t="s">
        <v>590</v>
      </c>
      <c r="C229" s="2" t="s">
        <v>563</v>
      </c>
      <c r="D229" s="2" t="s">
        <v>0</v>
      </c>
      <c r="E229" s="2" t="s">
        <v>130</v>
      </c>
      <c r="F229" s="2" t="s">
        <v>591</v>
      </c>
      <c r="G229" s="2" t="s">
        <v>592</v>
      </c>
      <c r="H229" s="2" t="s">
        <v>564</v>
      </c>
      <c r="I229" s="2" t="s">
        <v>41</v>
      </c>
      <c r="J229" s="2">
        <v>1</v>
      </c>
      <c r="K229" s="2" t="s">
        <v>81</v>
      </c>
      <c r="L229" s="2" t="s">
        <v>40</v>
      </c>
      <c r="P229" s="2" t="s">
        <v>4</v>
      </c>
      <c r="Q229" s="2">
        <f>INDEX(Tables!$C$4:$C$28,MATCH($P229,Tables!$B$4:$B$28,0))</f>
        <v>32</v>
      </c>
      <c r="R229" s="2">
        <f>INDEX(Tables!$D$4:$D$28,MATCH($P229,Tables!$B$4:$B$28,0))</f>
        <v>4</v>
      </c>
      <c r="S229" s="2">
        <f>$S228+$R228+INDEX(Tables!$N$5:$Q$8,MATCH(MOD($S228+$R228,4),Tables!$M$5:$M$8,0),MATCH($R229,Tables!$N$4:$Q$4,0))</f>
        <v>800</v>
      </c>
      <c r="T229" s="2" t="str">
        <f t="shared" si="63"/>
        <v>0320</v>
      </c>
      <c r="U229" s="2">
        <f t="shared" si="69"/>
        <v>200</v>
      </c>
      <c r="V229" s="2" t="str">
        <f t="shared" si="64"/>
        <v>0C8</v>
      </c>
      <c r="W229" s="2" t="str">
        <f t="shared" si="65"/>
        <v/>
      </c>
      <c r="X229" s="2" t="str">
        <f t="shared" si="68"/>
        <v/>
      </c>
      <c r="Y229" s="2" t="str">
        <f t="shared" si="66"/>
        <v/>
      </c>
      <c r="Z229" s="2" t="str">
        <f t="shared" si="67"/>
        <v>X</v>
      </c>
      <c r="AA229" s="2" t="str">
        <f t="shared" si="70"/>
        <v/>
      </c>
      <c r="AB229" s="2" t="str">
        <f t="shared" si="71"/>
        <v/>
      </c>
      <c r="AC229" s="2" t="str">
        <f t="shared" si="72"/>
        <v/>
      </c>
      <c r="AD229" s="2" t="str">
        <f t="shared" si="73"/>
        <v>(0)</v>
      </c>
      <c r="AE229" s="2" t="str">
        <f t="shared" si="74"/>
        <v/>
      </c>
      <c r="AF229" s="2" t="str">
        <f t="shared" si="75"/>
        <v/>
      </c>
      <c r="AG229" s="2" t="str">
        <f t="shared" si="76"/>
        <v/>
      </c>
      <c r="AH229" s="2" t="str">
        <f t="shared" si="77"/>
        <v/>
      </c>
    </row>
    <row r="230" spans="2:34" x14ac:dyDescent="0.25">
      <c r="B230" s="2" t="s">
        <v>590</v>
      </c>
      <c r="C230" s="2" t="s">
        <v>565</v>
      </c>
      <c r="D230" s="2" t="s">
        <v>0</v>
      </c>
      <c r="E230" s="2" t="s">
        <v>130</v>
      </c>
      <c r="F230" s="2" t="s">
        <v>591</v>
      </c>
      <c r="G230" s="2" t="s">
        <v>592</v>
      </c>
      <c r="H230" s="2" t="s">
        <v>566</v>
      </c>
      <c r="I230" s="2" t="s">
        <v>41</v>
      </c>
      <c r="J230" s="2">
        <v>1</v>
      </c>
      <c r="K230" s="2" t="s">
        <v>81</v>
      </c>
      <c r="L230" s="2" t="s">
        <v>40</v>
      </c>
      <c r="P230" s="2" t="s">
        <v>4</v>
      </c>
      <c r="Q230" s="2">
        <f>INDEX(Tables!$C$4:$C$28,MATCH($P230,Tables!$B$4:$B$28,0))</f>
        <v>32</v>
      </c>
      <c r="R230" s="2">
        <f>INDEX(Tables!$D$4:$D$28,MATCH($P230,Tables!$B$4:$B$28,0))</f>
        <v>4</v>
      </c>
      <c r="S230" s="2">
        <f>$S229+$R229+INDEX(Tables!$N$5:$Q$8,MATCH(MOD($S229+$R229,4),Tables!$M$5:$M$8,0),MATCH($R230,Tables!$N$4:$Q$4,0))</f>
        <v>804</v>
      </c>
      <c r="T230" s="2" t="str">
        <f t="shared" si="63"/>
        <v>0324</v>
      </c>
      <c r="U230" s="2">
        <f t="shared" si="69"/>
        <v>201</v>
      </c>
      <c r="V230" s="2" t="str">
        <f t="shared" si="64"/>
        <v>0C9</v>
      </c>
      <c r="W230" s="2" t="str">
        <f t="shared" si="65"/>
        <v/>
      </c>
      <c r="X230" s="2" t="str">
        <f t="shared" si="68"/>
        <v/>
      </c>
      <c r="Y230" s="2" t="str">
        <f t="shared" si="66"/>
        <v/>
      </c>
      <c r="Z230" s="2" t="str">
        <f t="shared" si="67"/>
        <v>X</v>
      </c>
      <c r="AA230" s="2" t="str">
        <f t="shared" si="70"/>
        <v/>
      </c>
      <c r="AB230" s="2" t="str">
        <f t="shared" si="71"/>
        <v/>
      </c>
      <c r="AC230" s="2" t="str">
        <f t="shared" si="72"/>
        <v/>
      </c>
      <c r="AD230" s="2" t="str">
        <f t="shared" si="73"/>
        <v>(0)</v>
      </c>
      <c r="AE230" s="2" t="str">
        <f t="shared" si="74"/>
        <v/>
      </c>
      <c r="AF230" s="2" t="str">
        <f t="shared" si="75"/>
        <v/>
      </c>
      <c r="AG230" s="2" t="str">
        <f t="shared" si="76"/>
        <v/>
      </c>
      <c r="AH230" s="2" t="str">
        <f t="shared" si="77"/>
        <v/>
      </c>
    </row>
    <row r="231" spans="2:34" x14ac:dyDescent="0.25">
      <c r="B231" s="2" t="s">
        <v>593</v>
      </c>
      <c r="C231" s="2" t="s">
        <v>568</v>
      </c>
      <c r="D231" s="2" t="s">
        <v>0</v>
      </c>
      <c r="E231" s="2" t="s">
        <v>130</v>
      </c>
      <c r="F231" s="2" t="s">
        <v>594</v>
      </c>
      <c r="G231" s="2" t="s">
        <v>595</v>
      </c>
      <c r="H231" s="2" t="s">
        <v>571</v>
      </c>
      <c r="I231" s="2" t="s">
        <v>41</v>
      </c>
      <c r="J231" s="2">
        <v>1</v>
      </c>
      <c r="K231" s="2" t="s">
        <v>81</v>
      </c>
      <c r="L231" s="2" t="s">
        <v>40</v>
      </c>
      <c r="P231" s="2" t="s">
        <v>4</v>
      </c>
      <c r="Q231" s="2">
        <f>INDEX(Tables!$C$4:$C$28,MATCH($P231,Tables!$B$4:$B$28,0))</f>
        <v>32</v>
      </c>
      <c r="R231" s="2">
        <f>INDEX(Tables!$D$4:$D$28,MATCH($P231,Tables!$B$4:$B$28,0))</f>
        <v>4</v>
      </c>
      <c r="S231" s="2">
        <f>$S230+$R230+INDEX(Tables!$N$5:$Q$8,MATCH(MOD($S230+$R230,4),Tables!$M$5:$M$8,0),MATCH($R231,Tables!$N$4:$Q$4,0))</f>
        <v>808</v>
      </c>
      <c r="T231" s="2" t="str">
        <f t="shared" si="63"/>
        <v>0328</v>
      </c>
      <c r="U231" s="2">
        <f t="shared" si="69"/>
        <v>202</v>
      </c>
      <c r="V231" s="2" t="str">
        <f t="shared" si="64"/>
        <v>0CA</v>
      </c>
      <c r="W231" s="2" t="str">
        <f t="shared" si="65"/>
        <v/>
      </c>
      <c r="X231" s="2" t="str">
        <f t="shared" si="68"/>
        <v/>
      </c>
      <c r="Y231" s="2" t="str">
        <f t="shared" si="66"/>
        <v/>
      </c>
      <c r="Z231" s="2" t="str">
        <f t="shared" si="67"/>
        <v>X</v>
      </c>
      <c r="AA231" s="2" t="str">
        <f t="shared" si="70"/>
        <v/>
      </c>
      <c r="AB231" s="2" t="str">
        <f t="shared" si="71"/>
        <v/>
      </c>
      <c r="AC231" s="2" t="str">
        <f t="shared" si="72"/>
        <v/>
      </c>
      <c r="AD231" s="2" t="str">
        <f t="shared" si="73"/>
        <v>(0)</v>
      </c>
      <c r="AE231" s="2" t="str">
        <f t="shared" si="74"/>
        <v/>
      </c>
      <c r="AF231" s="2" t="str">
        <f t="shared" si="75"/>
        <v/>
      </c>
      <c r="AG231" s="2" t="str">
        <f t="shared" si="76"/>
        <v/>
      </c>
      <c r="AH231" s="2" t="str">
        <f t="shared" si="77"/>
        <v/>
      </c>
    </row>
    <row r="232" spans="2:34" x14ac:dyDescent="0.25">
      <c r="B232" s="2" t="s">
        <v>593</v>
      </c>
      <c r="C232" s="2" t="s">
        <v>572</v>
      </c>
      <c r="D232" s="2" t="s">
        <v>0</v>
      </c>
      <c r="E232" s="2" t="s">
        <v>130</v>
      </c>
      <c r="F232" s="2" t="s">
        <v>594</v>
      </c>
      <c r="G232" s="2" t="s">
        <v>595</v>
      </c>
      <c r="H232" s="2" t="s">
        <v>573</v>
      </c>
      <c r="I232" s="2" t="s">
        <v>41</v>
      </c>
      <c r="J232" s="2">
        <v>1</v>
      </c>
      <c r="K232" s="2" t="s">
        <v>81</v>
      </c>
      <c r="L232" s="2" t="s">
        <v>40</v>
      </c>
      <c r="P232" s="2" t="s">
        <v>4</v>
      </c>
      <c r="Q232" s="2">
        <f>INDEX(Tables!$C$4:$C$28,MATCH($P232,Tables!$B$4:$B$28,0))</f>
        <v>32</v>
      </c>
      <c r="R232" s="2">
        <f>INDEX(Tables!$D$4:$D$28,MATCH($P232,Tables!$B$4:$B$28,0))</f>
        <v>4</v>
      </c>
      <c r="S232" s="2">
        <f>$S231+$R231+INDEX(Tables!$N$5:$Q$8,MATCH(MOD($S231+$R231,4),Tables!$M$5:$M$8,0),MATCH($R232,Tables!$N$4:$Q$4,0))</f>
        <v>812</v>
      </c>
      <c r="T232" s="2" t="str">
        <f t="shared" si="63"/>
        <v>032C</v>
      </c>
      <c r="U232" s="2">
        <f t="shared" si="69"/>
        <v>203</v>
      </c>
      <c r="V232" s="2" t="str">
        <f t="shared" si="64"/>
        <v>0CB</v>
      </c>
      <c r="W232" s="2" t="str">
        <f t="shared" si="65"/>
        <v/>
      </c>
      <c r="X232" s="2" t="str">
        <f t="shared" si="68"/>
        <v/>
      </c>
      <c r="Y232" s="2" t="str">
        <f t="shared" si="66"/>
        <v/>
      </c>
      <c r="Z232" s="2" t="str">
        <f t="shared" si="67"/>
        <v>X</v>
      </c>
      <c r="AA232" s="2" t="str">
        <f t="shared" si="70"/>
        <v/>
      </c>
      <c r="AB232" s="2" t="str">
        <f t="shared" si="71"/>
        <v/>
      </c>
      <c r="AC232" s="2" t="str">
        <f t="shared" si="72"/>
        <v/>
      </c>
      <c r="AD232" s="2" t="str">
        <f t="shared" si="73"/>
        <v>(0)</v>
      </c>
      <c r="AE232" s="2" t="str">
        <f t="shared" si="74"/>
        <v/>
      </c>
      <c r="AF232" s="2" t="str">
        <f t="shared" si="75"/>
        <v/>
      </c>
      <c r="AG232" s="2" t="str">
        <f t="shared" si="76"/>
        <v/>
      </c>
      <c r="AH232" s="2" t="str">
        <f t="shared" si="77"/>
        <v/>
      </c>
    </row>
    <row r="233" spans="2:34" x14ac:dyDescent="0.25">
      <c r="B233" s="2" t="s">
        <v>593</v>
      </c>
      <c r="C233" s="2" t="s">
        <v>574</v>
      </c>
      <c r="D233" s="2" t="s">
        <v>0</v>
      </c>
      <c r="E233" s="2" t="s">
        <v>130</v>
      </c>
      <c r="F233" s="2" t="s">
        <v>594</v>
      </c>
      <c r="G233" s="2" t="s">
        <v>595</v>
      </c>
      <c r="H233" s="2" t="s">
        <v>575</v>
      </c>
      <c r="I233" s="2" t="s">
        <v>41</v>
      </c>
      <c r="J233" s="2">
        <v>1</v>
      </c>
      <c r="K233" s="2" t="s">
        <v>81</v>
      </c>
      <c r="L233" s="2" t="s">
        <v>40</v>
      </c>
      <c r="P233" s="2" t="s">
        <v>4</v>
      </c>
      <c r="Q233" s="2">
        <f>INDEX(Tables!$C$4:$C$28,MATCH($P233,Tables!$B$4:$B$28,0))</f>
        <v>32</v>
      </c>
      <c r="R233" s="2">
        <f>INDEX(Tables!$D$4:$D$28,MATCH($P233,Tables!$B$4:$B$28,0))</f>
        <v>4</v>
      </c>
      <c r="S233" s="2">
        <f>$S232+$R232+INDEX(Tables!$N$5:$Q$8,MATCH(MOD($S232+$R232,4),Tables!$M$5:$M$8,0),MATCH($R233,Tables!$N$4:$Q$4,0))</f>
        <v>816</v>
      </c>
      <c r="T233" s="2" t="str">
        <f t="shared" si="63"/>
        <v>0330</v>
      </c>
      <c r="U233" s="2">
        <f t="shared" si="69"/>
        <v>204</v>
      </c>
      <c r="V233" s="2" t="str">
        <f t="shared" si="64"/>
        <v>0CC</v>
      </c>
      <c r="W233" s="2" t="str">
        <f t="shared" si="65"/>
        <v/>
      </c>
      <c r="X233" s="2" t="str">
        <f t="shared" si="68"/>
        <v/>
      </c>
      <c r="Y233" s="2" t="str">
        <f t="shared" si="66"/>
        <v/>
      </c>
      <c r="Z233" s="2" t="str">
        <f t="shared" si="67"/>
        <v>X</v>
      </c>
      <c r="AA233" s="2" t="str">
        <f t="shared" si="70"/>
        <v/>
      </c>
      <c r="AB233" s="2" t="str">
        <f t="shared" si="71"/>
        <v/>
      </c>
      <c r="AC233" s="2" t="str">
        <f t="shared" si="72"/>
        <v/>
      </c>
      <c r="AD233" s="2" t="str">
        <f t="shared" si="73"/>
        <v>(0)</v>
      </c>
      <c r="AE233" s="2" t="str">
        <f t="shared" si="74"/>
        <v/>
      </c>
      <c r="AF233" s="2" t="str">
        <f t="shared" si="75"/>
        <v/>
      </c>
      <c r="AG233" s="2" t="str">
        <f t="shared" si="76"/>
        <v/>
      </c>
      <c r="AH233" s="2" t="str">
        <f t="shared" si="77"/>
        <v/>
      </c>
    </row>
    <row r="234" spans="2:34" x14ac:dyDescent="0.25">
      <c r="B234" s="2" t="s">
        <v>593</v>
      </c>
      <c r="C234" s="2" t="s">
        <v>576</v>
      </c>
      <c r="D234" s="2" t="s">
        <v>0</v>
      </c>
      <c r="E234" s="2" t="s">
        <v>130</v>
      </c>
      <c r="F234" s="2" t="s">
        <v>594</v>
      </c>
      <c r="G234" s="2" t="s">
        <v>595</v>
      </c>
      <c r="H234" s="2" t="s">
        <v>577</v>
      </c>
      <c r="I234" s="2" t="s">
        <v>41</v>
      </c>
      <c r="J234" s="2">
        <v>1</v>
      </c>
      <c r="K234" s="2" t="s">
        <v>81</v>
      </c>
      <c r="L234" s="2" t="s">
        <v>40</v>
      </c>
      <c r="P234" s="2" t="s">
        <v>4</v>
      </c>
      <c r="Q234" s="2">
        <f>INDEX(Tables!$C$4:$C$28,MATCH($P234,Tables!$B$4:$B$28,0))</f>
        <v>32</v>
      </c>
      <c r="R234" s="2">
        <f>INDEX(Tables!$D$4:$D$28,MATCH($P234,Tables!$B$4:$B$28,0))</f>
        <v>4</v>
      </c>
      <c r="S234" s="2">
        <f>$S233+$R233+INDEX(Tables!$N$5:$Q$8,MATCH(MOD($S233+$R233,4),Tables!$M$5:$M$8,0),MATCH($R234,Tables!$N$4:$Q$4,0))</f>
        <v>820</v>
      </c>
      <c r="T234" s="2" t="str">
        <f t="shared" si="63"/>
        <v>0334</v>
      </c>
      <c r="U234" s="2">
        <f t="shared" si="69"/>
        <v>205</v>
      </c>
      <c r="V234" s="2" t="str">
        <f t="shared" si="64"/>
        <v>0CD</v>
      </c>
      <c r="W234" s="2" t="str">
        <f t="shared" si="65"/>
        <v/>
      </c>
      <c r="X234" s="2" t="str">
        <f t="shared" si="68"/>
        <v/>
      </c>
      <c r="Y234" s="2" t="str">
        <f t="shared" si="66"/>
        <v/>
      </c>
      <c r="Z234" s="2" t="str">
        <f t="shared" si="67"/>
        <v>X</v>
      </c>
      <c r="AA234" s="2" t="str">
        <f t="shared" si="70"/>
        <v/>
      </c>
      <c r="AB234" s="2" t="str">
        <f t="shared" si="71"/>
        <v/>
      </c>
      <c r="AC234" s="2" t="str">
        <f t="shared" si="72"/>
        <v/>
      </c>
      <c r="AD234" s="2" t="str">
        <f t="shared" si="73"/>
        <v>(0)</v>
      </c>
      <c r="AE234" s="2" t="str">
        <f t="shared" si="74"/>
        <v/>
      </c>
      <c r="AF234" s="2" t="str">
        <f t="shared" si="75"/>
        <v/>
      </c>
      <c r="AG234" s="2" t="str">
        <f t="shared" si="76"/>
        <v/>
      </c>
      <c r="AH234" s="2" t="str">
        <f t="shared" si="77"/>
        <v/>
      </c>
    </row>
    <row r="235" spans="2:34" x14ac:dyDescent="0.25">
      <c r="B235" s="2" t="s">
        <v>593</v>
      </c>
      <c r="C235" s="2" t="s">
        <v>578</v>
      </c>
      <c r="D235" s="2" t="s">
        <v>0</v>
      </c>
      <c r="E235" s="2" t="s">
        <v>130</v>
      </c>
      <c r="F235" s="2" t="s">
        <v>594</v>
      </c>
      <c r="G235" s="2" t="s">
        <v>595</v>
      </c>
      <c r="H235" s="2" t="s">
        <v>579</v>
      </c>
      <c r="I235" s="2" t="s">
        <v>41</v>
      </c>
      <c r="J235" s="2">
        <v>1</v>
      </c>
      <c r="K235" s="2" t="s">
        <v>81</v>
      </c>
      <c r="L235" s="2" t="s">
        <v>40</v>
      </c>
      <c r="P235" s="2" t="s">
        <v>4</v>
      </c>
      <c r="Q235" s="2">
        <f>INDEX(Tables!$C$4:$C$28,MATCH($P235,Tables!$B$4:$B$28,0))</f>
        <v>32</v>
      </c>
      <c r="R235" s="2">
        <f>INDEX(Tables!$D$4:$D$28,MATCH($P235,Tables!$B$4:$B$28,0))</f>
        <v>4</v>
      </c>
      <c r="S235" s="2">
        <f>$S234+$R234+INDEX(Tables!$N$5:$Q$8,MATCH(MOD($S234+$R234,4),Tables!$M$5:$M$8,0),MATCH($R235,Tables!$N$4:$Q$4,0))</f>
        <v>824</v>
      </c>
      <c r="T235" s="2" t="str">
        <f t="shared" si="63"/>
        <v>0338</v>
      </c>
      <c r="U235" s="2">
        <f t="shared" si="69"/>
        <v>206</v>
      </c>
      <c r="V235" s="2" t="str">
        <f t="shared" si="64"/>
        <v>0CE</v>
      </c>
      <c r="W235" s="2" t="str">
        <f t="shared" si="65"/>
        <v/>
      </c>
      <c r="X235" s="2" t="str">
        <f t="shared" si="68"/>
        <v/>
      </c>
      <c r="Y235" s="2" t="str">
        <f t="shared" si="66"/>
        <v/>
      </c>
      <c r="Z235" s="2" t="str">
        <f t="shared" si="67"/>
        <v>X</v>
      </c>
      <c r="AA235" s="2" t="str">
        <f t="shared" si="70"/>
        <v/>
      </c>
      <c r="AB235" s="2" t="str">
        <f t="shared" si="71"/>
        <v/>
      </c>
      <c r="AC235" s="2" t="str">
        <f t="shared" si="72"/>
        <v/>
      </c>
      <c r="AD235" s="2" t="str">
        <f t="shared" si="73"/>
        <v>(0)</v>
      </c>
      <c r="AE235" s="2" t="str">
        <f t="shared" si="74"/>
        <v/>
      </c>
      <c r="AF235" s="2" t="str">
        <f t="shared" si="75"/>
        <v/>
      </c>
      <c r="AG235" s="2" t="str">
        <f t="shared" si="76"/>
        <v/>
      </c>
      <c r="AH235" s="2" t="str">
        <f t="shared" si="77"/>
        <v/>
      </c>
    </row>
    <row r="236" spans="2:34" x14ac:dyDescent="0.25">
      <c r="B236" s="2" t="s">
        <v>593</v>
      </c>
      <c r="C236" s="2" t="s">
        <v>580</v>
      </c>
      <c r="D236" s="2" t="s">
        <v>0</v>
      </c>
      <c r="E236" s="2" t="s">
        <v>130</v>
      </c>
      <c r="F236" s="2" t="s">
        <v>594</v>
      </c>
      <c r="G236" s="2" t="s">
        <v>595</v>
      </c>
      <c r="H236" s="2" t="s">
        <v>581</v>
      </c>
      <c r="I236" s="2" t="s">
        <v>41</v>
      </c>
      <c r="J236" s="2">
        <v>1</v>
      </c>
      <c r="K236" s="2" t="s">
        <v>81</v>
      </c>
      <c r="L236" s="2" t="s">
        <v>40</v>
      </c>
      <c r="P236" s="2" t="s">
        <v>4</v>
      </c>
      <c r="Q236" s="2">
        <f>INDEX(Tables!$C$4:$C$28,MATCH($P236,Tables!$B$4:$B$28,0))</f>
        <v>32</v>
      </c>
      <c r="R236" s="2">
        <f>INDEX(Tables!$D$4:$D$28,MATCH($P236,Tables!$B$4:$B$28,0))</f>
        <v>4</v>
      </c>
      <c r="S236" s="2">
        <f>$S235+$R235+INDEX(Tables!$N$5:$Q$8,MATCH(MOD($S235+$R235,4),Tables!$M$5:$M$8,0),MATCH($R236,Tables!$N$4:$Q$4,0))</f>
        <v>828</v>
      </c>
      <c r="T236" s="2" t="str">
        <f t="shared" si="63"/>
        <v>033C</v>
      </c>
      <c r="U236" s="2">
        <f t="shared" si="69"/>
        <v>207</v>
      </c>
      <c r="V236" s="2" t="str">
        <f t="shared" si="64"/>
        <v>0CF</v>
      </c>
      <c r="W236" s="2" t="str">
        <f t="shared" si="65"/>
        <v/>
      </c>
      <c r="X236" s="2" t="str">
        <f t="shared" si="68"/>
        <v/>
      </c>
      <c r="Y236" s="2" t="str">
        <f t="shared" si="66"/>
        <v/>
      </c>
      <c r="Z236" s="2" t="str">
        <f t="shared" si="67"/>
        <v>X</v>
      </c>
      <c r="AA236" s="2" t="str">
        <f t="shared" si="70"/>
        <v/>
      </c>
      <c r="AB236" s="2" t="str">
        <f t="shared" si="71"/>
        <v/>
      </c>
      <c r="AC236" s="2" t="str">
        <f t="shared" si="72"/>
        <v/>
      </c>
      <c r="AD236" s="2" t="str">
        <f t="shared" si="73"/>
        <v>(0)</v>
      </c>
      <c r="AE236" s="2" t="str">
        <f t="shared" si="74"/>
        <v/>
      </c>
      <c r="AF236" s="2" t="str">
        <f t="shared" si="75"/>
        <v/>
      </c>
      <c r="AG236" s="2" t="str">
        <f t="shared" si="76"/>
        <v/>
      </c>
      <c r="AH236" s="2" t="str">
        <f t="shared" si="77"/>
        <v/>
      </c>
    </row>
    <row r="237" spans="2:34" x14ac:dyDescent="0.25">
      <c r="B237" s="2" t="s">
        <v>593</v>
      </c>
      <c r="C237" s="2" t="s">
        <v>582</v>
      </c>
      <c r="D237" s="2" t="s">
        <v>0</v>
      </c>
      <c r="E237" s="2" t="s">
        <v>130</v>
      </c>
      <c r="F237" s="2" t="s">
        <v>594</v>
      </c>
      <c r="G237" s="2" t="s">
        <v>595</v>
      </c>
      <c r="H237" s="2" t="s">
        <v>583</v>
      </c>
      <c r="I237" s="2" t="s">
        <v>41</v>
      </c>
      <c r="J237" s="2">
        <v>1</v>
      </c>
      <c r="K237" s="2" t="s">
        <v>81</v>
      </c>
      <c r="L237" s="2" t="s">
        <v>40</v>
      </c>
      <c r="P237" s="2" t="s">
        <v>4</v>
      </c>
      <c r="Q237" s="2">
        <f>INDEX(Tables!$C$4:$C$28,MATCH($P237,Tables!$B$4:$B$28,0))</f>
        <v>32</v>
      </c>
      <c r="R237" s="2">
        <f>INDEX(Tables!$D$4:$D$28,MATCH($P237,Tables!$B$4:$B$28,0))</f>
        <v>4</v>
      </c>
      <c r="S237" s="2">
        <f>$S236+$R236+INDEX(Tables!$N$5:$Q$8,MATCH(MOD($S236+$R236,4),Tables!$M$5:$M$8,0),MATCH($R237,Tables!$N$4:$Q$4,0))</f>
        <v>832</v>
      </c>
      <c r="T237" s="2" t="str">
        <f t="shared" si="63"/>
        <v>0340</v>
      </c>
      <c r="U237" s="2">
        <f t="shared" si="69"/>
        <v>208</v>
      </c>
      <c r="V237" s="2" t="str">
        <f t="shared" si="64"/>
        <v>0D0</v>
      </c>
      <c r="W237" s="2" t="str">
        <f t="shared" si="65"/>
        <v/>
      </c>
      <c r="X237" s="2" t="str">
        <f t="shared" si="68"/>
        <v/>
      </c>
      <c r="Y237" s="2" t="str">
        <f t="shared" si="66"/>
        <v/>
      </c>
      <c r="Z237" s="2" t="str">
        <f t="shared" si="67"/>
        <v>X</v>
      </c>
      <c r="AA237" s="2" t="str">
        <f t="shared" si="70"/>
        <v/>
      </c>
      <c r="AB237" s="2" t="str">
        <f t="shared" si="71"/>
        <v/>
      </c>
      <c r="AC237" s="2" t="str">
        <f t="shared" si="72"/>
        <v/>
      </c>
      <c r="AD237" s="2" t="str">
        <f t="shared" si="73"/>
        <v>(0)</v>
      </c>
      <c r="AE237" s="2" t="str">
        <f t="shared" si="74"/>
        <v/>
      </c>
      <c r="AF237" s="2" t="str">
        <f t="shared" si="75"/>
        <v/>
      </c>
      <c r="AG237" s="2" t="str">
        <f t="shared" si="76"/>
        <v/>
      </c>
      <c r="AH237" s="2" t="str">
        <f t="shared" si="77"/>
        <v/>
      </c>
    </row>
    <row r="238" spans="2:34" x14ac:dyDescent="0.25">
      <c r="B238" s="2" t="s">
        <v>593</v>
      </c>
      <c r="C238" s="2" t="s">
        <v>584</v>
      </c>
      <c r="D238" s="2" t="s">
        <v>0</v>
      </c>
      <c r="E238" s="2" t="s">
        <v>130</v>
      </c>
      <c r="F238" s="2" t="s">
        <v>594</v>
      </c>
      <c r="G238" s="2" t="s">
        <v>595</v>
      </c>
      <c r="H238" s="2" t="s">
        <v>585</v>
      </c>
      <c r="I238" s="2" t="s">
        <v>41</v>
      </c>
      <c r="J238" s="2">
        <v>1</v>
      </c>
      <c r="K238" s="2" t="s">
        <v>81</v>
      </c>
      <c r="L238" s="2" t="s">
        <v>40</v>
      </c>
      <c r="P238" s="2" t="s">
        <v>4</v>
      </c>
      <c r="Q238" s="2">
        <f>INDEX(Tables!$C$4:$C$28,MATCH($P238,Tables!$B$4:$B$28,0))</f>
        <v>32</v>
      </c>
      <c r="R238" s="2">
        <f>INDEX(Tables!$D$4:$D$28,MATCH($P238,Tables!$B$4:$B$28,0))</f>
        <v>4</v>
      </c>
      <c r="S238" s="2">
        <f>$S237+$R237+INDEX(Tables!$N$5:$Q$8,MATCH(MOD($S237+$R237,4),Tables!$M$5:$M$8,0),MATCH($R238,Tables!$N$4:$Q$4,0))</f>
        <v>836</v>
      </c>
      <c r="T238" s="2" t="str">
        <f t="shared" si="63"/>
        <v>0344</v>
      </c>
      <c r="U238" s="2">
        <f t="shared" si="69"/>
        <v>209</v>
      </c>
      <c r="V238" s="2" t="str">
        <f t="shared" si="64"/>
        <v>0D1</v>
      </c>
      <c r="W238" s="2" t="str">
        <f t="shared" si="65"/>
        <v/>
      </c>
      <c r="X238" s="2" t="str">
        <f t="shared" si="68"/>
        <v/>
      </c>
      <c r="Y238" s="2" t="str">
        <f t="shared" si="66"/>
        <v/>
      </c>
      <c r="Z238" s="2" t="str">
        <f t="shared" si="67"/>
        <v>X</v>
      </c>
      <c r="AA238" s="2" t="str">
        <f t="shared" si="70"/>
        <v/>
      </c>
      <c r="AB238" s="2" t="str">
        <f t="shared" si="71"/>
        <v/>
      </c>
      <c r="AC238" s="2" t="str">
        <f t="shared" si="72"/>
        <v/>
      </c>
      <c r="AD238" s="2" t="str">
        <f t="shared" si="73"/>
        <v>(0)</v>
      </c>
      <c r="AE238" s="2" t="str">
        <f t="shared" si="74"/>
        <v/>
      </c>
      <c r="AF238" s="2" t="str">
        <f t="shared" si="75"/>
        <v/>
      </c>
      <c r="AG238" s="2" t="str">
        <f t="shared" si="76"/>
        <v/>
      </c>
      <c r="AH238" s="2" t="str">
        <f t="shared" si="77"/>
        <v/>
      </c>
    </row>
    <row r="239" spans="2:34" x14ac:dyDescent="0.25">
      <c r="B239" s="2" t="s">
        <v>593</v>
      </c>
      <c r="C239" s="2" t="s">
        <v>141</v>
      </c>
      <c r="D239" s="2" t="s">
        <v>0</v>
      </c>
      <c r="E239" s="2" t="s">
        <v>130</v>
      </c>
      <c r="F239" s="2" t="s">
        <v>594</v>
      </c>
      <c r="G239" s="2" t="s">
        <v>595</v>
      </c>
      <c r="H239" s="2" t="s">
        <v>142</v>
      </c>
      <c r="I239" s="2" t="s">
        <v>41</v>
      </c>
      <c r="J239" s="2">
        <v>24</v>
      </c>
      <c r="K239" s="2" t="s">
        <v>132</v>
      </c>
      <c r="L239" s="2" t="s">
        <v>40</v>
      </c>
      <c r="P239" s="2" t="s">
        <v>48</v>
      </c>
      <c r="Q239" s="2">
        <f>INDEX(Tables!$C$4:$C$28,MATCH($P239,Tables!$B$4:$B$28,0))</f>
        <v>32</v>
      </c>
      <c r="R239" s="2">
        <f>INDEX(Tables!$D$4:$D$28,MATCH($P239,Tables!$B$4:$B$28,0))</f>
        <v>4</v>
      </c>
      <c r="S239" s="2">
        <f>$S238+$R238+INDEX(Tables!$N$5:$Q$8,MATCH(MOD($S238+$R238,4),Tables!$M$5:$M$8,0),MATCH($R239,Tables!$N$4:$Q$4,0))</f>
        <v>840</v>
      </c>
      <c r="T239" s="2" t="str">
        <f t="shared" si="63"/>
        <v>0348</v>
      </c>
      <c r="U239" s="2">
        <f t="shared" si="69"/>
        <v>210</v>
      </c>
      <c r="V239" s="2" t="str">
        <f t="shared" si="64"/>
        <v>0D2</v>
      </c>
      <c r="W239" s="2" t="str">
        <f t="shared" si="65"/>
        <v/>
      </c>
      <c r="X239" s="2" t="str">
        <f t="shared" si="68"/>
        <v>X</v>
      </c>
      <c r="Y239" s="2" t="str">
        <f t="shared" si="66"/>
        <v>X</v>
      </c>
      <c r="Z239" s="2" t="str">
        <f t="shared" si="67"/>
        <v>X</v>
      </c>
      <c r="AA239" s="2" t="str">
        <f t="shared" si="70"/>
        <v/>
      </c>
      <c r="AB239" s="2" t="str">
        <f t="shared" si="71"/>
        <v>(23 downto 16)</v>
      </c>
      <c r="AC239" s="2" t="str">
        <f t="shared" si="72"/>
        <v>(15 downto 8)</v>
      </c>
      <c r="AD239" s="2" t="str">
        <f t="shared" si="73"/>
        <v>(7 downto 0)</v>
      </c>
      <c r="AE239" s="2" t="str">
        <f t="shared" si="74"/>
        <v/>
      </c>
      <c r="AF239" s="2" t="str">
        <f t="shared" si="75"/>
        <v>(23 downto 16)</v>
      </c>
      <c r="AG239" s="2" t="str">
        <f t="shared" si="76"/>
        <v>(15 downto 8)</v>
      </c>
      <c r="AH239" s="2" t="str">
        <f t="shared" si="77"/>
        <v>(7 downto 0)</v>
      </c>
    </row>
    <row r="240" spans="2:34" x14ac:dyDescent="0.25">
      <c r="B240" s="2" t="s">
        <v>596</v>
      </c>
      <c r="C240" s="2" t="s">
        <v>141</v>
      </c>
      <c r="D240" s="2" t="s">
        <v>0</v>
      </c>
      <c r="E240" s="2" t="s">
        <v>130</v>
      </c>
      <c r="F240" s="2" t="s">
        <v>597</v>
      </c>
      <c r="G240" s="2" t="s">
        <v>598</v>
      </c>
      <c r="H240" s="2" t="s">
        <v>142</v>
      </c>
      <c r="I240" s="2" t="s">
        <v>41</v>
      </c>
      <c r="J240" s="2">
        <v>32</v>
      </c>
      <c r="K240" s="2" t="s">
        <v>132</v>
      </c>
      <c r="L240" s="2" t="s">
        <v>40</v>
      </c>
      <c r="P240" s="2" t="s">
        <v>48</v>
      </c>
      <c r="Q240" s="2">
        <f>INDEX(Tables!$C$4:$C$28,MATCH($P240,Tables!$B$4:$B$28,0))</f>
        <v>32</v>
      </c>
      <c r="R240" s="2">
        <f>INDEX(Tables!$D$4:$D$28,MATCH($P240,Tables!$B$4:$B$28,0))</f>
        <v>4</v>
      </c>
      <c r="S240" s="2">
        <f>$S239+$R239+INDEX(Tables!$N$5:$Q$8,MATCH(MOD($S239+$R239,4),Tables!$M$5:$M$8,0),MATCH($R240,Tables!$N$4:$Q$4,0))</f>
        <v>844</v>
      </c>
      <c r="T240" s="2" t="str">
        <f t="shared" si="63"/>
        <v>034C</v>
      </c>
      <c r="U240" s="2">
        <f t="shared" si="69"/>
        <v>211</v>
      </c>
      <c r="V240" s="2" t="str">
        <f t="shared" si="64"/>
        <v>0D3</v>
      </c>
      <c r="W240" s="2" t="str">
        <f t="shared" si="65"/>
        <v>X</v>
      </c>
      <c r="X240" s="2" t="str">
        <f t="shared" si="68"/>
        <v>X</v>
      </c>
      <c r="Y240" s="2" t="str">
        <f t="shared" si="66"/>
        <v>X</v>
      </c>
      <c r="Z240" s="2" t="str">
        <f t="shared" si="67"/>
        <v>X</v>
      </c>
      <c r="AA240" s="2" t="str">
        <f t="shared" si="70"/>
        <v>(31 downto 24)</v>
      </c>
      <c r="AB240" s="2" t="str">
        <f t="shared" si="71"/>
        <v>(23 downto 16)</v>
      </c>
      <c r="AC240" s="2" t="str">
        <f t="shared" si="72"/>
        <v>(15 downto 8)</v>
      </c>
      <c r="AD240" s="2" t="str">
        <f t="shared" si="73"/>
        <v>(7 downto 0)</v>
      </c>
      <c r="AE240" s="2" t="str">
        <f t="shared" si="74"/>
        <v>(31 downto 24)</v>
      </c>
      <c r="AF240" s="2" t="str">
        <f t="shared" si="75"/>
        <v>(23 downto 16)</v>
      </c>
      <c r="AG240" s="2" t="str">
        <f t="shared" si="76"/>
        <v>(15 downto 8)</v>
      </c>
      <c r="AH240" s="2" t="str">
        <f t="shared" si="77"/>
        <v>(7 downto 0)</v>
      </c>
    </row>
    <row r="241" spans="2:34" x14ac:dyDescent="0.25">
      <c r="B241" s="2" t="s">
        <v>599</v>
      </c>
      <c r="C241" s="2" t="s">
        <v>141</v>
      </c>
      <c r="D241" s="2" t="s">
        <v>0</v>
      </c>
      <c r="E241" s="2" t="s">
        <v>130</v>
      </c>
      <c r="F241" s="2" t="s">
        <v>600</v>
      </c>
      <c r="G241" s="2" t="s">
        <v>601</v>
      </c>
      <c r="H241" s="2" t="s">
        <v>142</v>
      </c>
      <c r="I241" s="2" t="s">
        <v>41</v>
      </c>
      <c r="J241" s="2">
        <v>32</v>
      </c>
      <c r="K241" s="2" t="s">
        <v>132</v>
      </c>
      <c r="L241" s="2" t="s">
        <v>40</v>
      </c>
      <c r="P241" s="2" t="s">
        <v>48</v>
      </c>
      <c r="Q241" s="2">
        <f>INDEX(Tables!$C$4:$C$28,MATCH($P241,Tables!$B$4:$B$28,0))</f>
        <v>32</v>
      </c>
      <c r="R241" s="2">
        <f>INDEX(Tables!$D$4:$D$28,MATCH($P241,Tables!$B$4:$B$28,0))</f>
        <v>4</v>
      </c>
      <c r="S241" s="2">
        <f>$S240+$R240+INDEX(Tables!$N$5:$Q$8,MATCH(MOD($S240+$R240,4),Tables!$M$5:$M$8,0),MATCH($R241,Tables!$N$4:$Q$4,0))</f>
        <v>848</v>
      </c>
      <c r="T241" s="2" t="str">
        <f t="shared" si="63"/>
        <v>0350</v>
      </c>
      <c r="U241" s="2">
        <f t="shared" si="69"/>
        <v>212</v>
      </c>
      <c r="V241" s="2" t="str">
        <f t="shared" si="64"/>
        <v>0D4</v>
      </c>
      <c r="W241" s="2" t="str">
        <f t="shared" si="65"/>
        <v>X</v>
      </c>
      <c r="X241" s="2" t="str">
        <f t="shared" si="68"/>
        <v>X</v>
      </c>
      <c r="Y241" s="2" t="str">
        <f t="shared" si="66"/>
        <v>X</v>
      </c>
      <c r="Z241" s="2" t="str">
        <f t="shared" si="67"/>
        <v>X</v>
      </c>
      <c r="AA241" s="2" t="str">
        <f t="shared" si="70"/>
        <v>(31 downto 24)</v>
      </c>
      <c r="AB241" s="2" t="str">
        <f t="shared" si="71"/>
        <v>(23 downto 16)</v>
      </c>
      <c r="AC241" s="2" t="str">
        <f t="shared" si="72"/>
        <v>(15 downto 8)</v>
      </c>
      <c r="AD241" s="2" t="str">
        <f t="shared" si="73"/>
        <v>(7 downto 0)</v>
      </c>
      <c r="AE241" s="2" t="str">
        <f t="shared" si="74"/>
        <v>(31 downto 24)</v>
      </c>
      <c r="AF241" s="2" t="str">
        <f t="shared" si="75"/>
        <v>(23 downto 16)</v>
      </c>
      <c r="AG241" s="2" t="str">
        <f t="shared" si="76"/>
        <v>(15 downto 8)</v>
      </c>
      <c r="AH241" s="2" t="str">
        <f t="shared" si="77"/>
        <v>(7 downto 0)</v>
      </c>
    </row>
    <row r="242" spans="2:34" x14ac:dyDescent="0.25">
      <c r="B242" s="2" t="s">
        <v>602</v>
      </c>
      <c r="C242" s="2" t="s">
        <v>157</v>
      </c>
      <c r="D242" s="2" t="s">
        <v>0</v>
      </c>
      <c r="E242" s="2" t="s">
        <v>130</v>
      </c>
      <c r="F242" s="2" t="s">
        <v>603</v>
      </c>
      <c r="G242" s="2" t="s">
        <v>604</v>
      </c>
      <c r="H242" s="2" t="s">
        <v>160</v>
      </c>
      <c r="I242" s="2" t="s">
        <v>41</v>
      </c>
      <c r="J242" s="2">
        <v>2</v>
      </c>
      <c r="K242" s="2" t="s">
        <v>132</v>
      </c>
      <c r="L242" s="2" t="s">
        <v>40</v>
      </c>
      <c r="P242" s="2" t="s">
        <v>47</v>
      </c>
      <c r="Q242" s="2">
        <f>INDEX(Tables!$C$4:$C$28,MATCH($P242,Tables!$B$4:$B$28,0))</f>
        <v>8</v>
      </c>
      <c r="R242" s="2">
        <f>INDEX(Tables!$D$4:$D$28,MATCH($P242,Tables!$B$4:$B$28,0))</f>
        <v>1</v>
      </c>
      <c r="S242" s="2">
        <f>$S241+$R241+INDEX(Tables!$N$5:$Q$8,MATCH(MOD($S241+$R241,4),Tables!$M$5:$M$8,0),MATCH($R242,Tables!$N$4:$Q$4,0))</f>
        <v>852</v>
      </c>
      <c r="T242" s="2" t="str">
        <f t="shared" si="63"/>
        <v>0354</v>
      </c>
      <c r="U242" s="2">
        <f t="shared" si="69"/>
        <v>213</v>
      </c>
      <c r="V242" s="2" t="str">
        <f t="shared" si="64"/>
        <v>0D5</v>
      </c>
      <c r="W242" s="2" t="str">
        <f t="shared" si="65"/>
        <v/>
      </c>
      <c r="X242" s="2" t="str">
        <f t="shared" si="68"/>
        <v/>
      </c>
      <c r="Y242" s="2" t="str">
        <f t="shared" si="66"/>
        <v/>
      </c>
      <c r="Z242" s="2" t="str">
        <f t="shared" si="67"/>
        <v>X</v>
      </c>
      <c r="AA242" s="2" t="str">
        <f t="shared" si="70"/>
        <v/>
      </c>
      <c r="AB242" s="2" t="str">
        <f t="shared" si="71"/>
        <v/>
      </c>
      <c r="AC242" s="2" t="str">
        <f t="shared" si="72"/>
        <v/>
      </c>
      <c r="AD242" s="2" t="str">
        <f t="shared" si="73"/>
        <v>(1 downto 0)</v>
      </c>
      <c r="AE242" s="2" t="str">
        <f t="shared" si="74"/>
        <v/>
      </c>
      <c r="AF242" s="2" t="str">
        <f t="shared" si="75"/>
        <v/>
      </c>
      <c r="AG242" s="2" t="str">
        <f t="shared" si="76"/>
        <v/>
      </c>
      <c r="AH242" s="2" t="str">
        <f t="shared" si="77"/>
        <v/>
      </c>
    </row>
    <row r="243" spans="2:34" x14ac:dyDescent="0.25">
      <c r="B243" s="2" t="s">
        <v>602</v>
      </c>
      <c r="C243" s="2" t="s">
        <v>605</v>
      </c>
      <c r="D243" s="2" t="s">
        <v>0</v>
      </c>
      <c r="E243" s="2" t="s">
        <v>130</v>
      </c>
      <c r="F243" s="2" t="s">
        <v>603</v>
      </c>
      <c r="G243" s="2" t="s">
        <v>604</v>
      </c>
      <c r="H243" s="2" t="s">
        <v>606</v>
      </c>
      <c r="I243" s="2" t="s">
        <v>41</v>
      </c>
      <c r="J243" s="2">
        <v>1</v>
      </c>
      <c r="K243" s="2" t="s">
        <v>131</v>
      </c>
      <c r="L243" s="2" t="s">
        <v>40</v>
      </c>
      <c r="P243" s="2" t="s">
        <v>4</v>
      </c>
      <c r="Q243" s="2">
        <f>INDEX(Tables!$C$4:$C$28,MATCH($P243,Tables!$B$4:$B$28,0))</f>
        <v>32</v>
      </c>
      <c r="R243" s="2">
        <f>INDEX(Tables!$D$4:$D$28,MATCH($P243,Tables!$B$4:$B$28,0))</f>
        <v>4</v>
      </c>
      <c r="S243" s="2">
        <f>$S242+$R242+INDEX(Tables!$N$5:$Q$8,MATCH(MOD($S242+$R242,4),Tables!$M$5:$M$8,0),MATCH($R243,Tables!$N$4:$Q$4,0))</f>
        <v>856</v>
      </c>
      <c r="T243" s="2" t="str">
        <f t="shared" si="63"/>
        <v>0358</v>
      </c>
      <c r="U243" s="2">
        <f t="shared" si="69"/>
        <v>214</v>
      </c>
      <c r="V243" s="2" t="str">
        <f t="shared" si="64"/>
        <v>0D6</v>
      </c>
      <c r="W243" s="2" t="str">
        <f t="shared" si="65"/>
        <v/>
      </c>
      <c r="X243" s="2" t="str">
        <f t="shared" si="68"/>
        <v/>
      </c>
      <c r="Y243" s="2" t="str">
        <f t="shared" si="66"/>
        <v/>
      </c>
      <c r="Z243" s="2" t="str">
        <f t="shared" si="67"/>
        <v>X</v>
      </c>
      <c r="AA243" s="2" t="str">
        <f t="shared" si="70"/>
        <v/>
      </c>
      <c r="AB243" s="2" t="str">
        <f t="shared" si="71"/>
        <v/>
      </c>
      <c r="AC243" s="2" t="str">
        <f t="shared" si="72"/>
        <v/>
      </c>
      <c r="AD243" s="2" t="str">
        <f t="shared" si="73"/>
        <v>(0)</v>
      </c>
      <c r="AE243" s="2" t="str">
        <f t="shared" si="74"/>
        <v/>
      </c>
      <c r="AF243" s="2" t="str">
        <f t="shared" si="75"/>
        <v/>
      </c>
      <c r="AG243" s="2" t="str">
        <f t="shared" si="76"/>
        <v/>
      </c>
      <c r="AH243" s="2" t="str">
        <f t="shared" si="77"/>
        <v/>
      </c>
    </row>
    <row r="244" spans="2:34" x14ac:dyDescent="0.25">
      <c r="B244" s="2" t="s">
        <v>602</v>
      </c>
      <c r="C244" s="2" t="s">
        <v>607</v>
      </c>
      <c r="D244" s="2" t="s">
        <v>0</v>
      </c>
      <c r="E244" s="2" t="s">
        <v>130</v>
      </c>
      <c r="F244" s="2" t="s">
        <v>603</v>
      </c>
      <c r="G244" s="2" t="s">
        <v>604</v>
      </c>
      <c r="H244" s="2" t="s">
        <v>608</v>
      </c>
      <c r="I244" s="2" t="s">
        <v>41</v>
      </c>
      <c r="J244" s="2">
        <v>1</v>
      </c>
      <c r="K244" s="2" t="s">
        <v>81</v>
      </c>
      <c r="L244" s="2" t="s">
        <v>40</v>
      </c>
      <c r="P244" s="2" t="s">
        <v>4</v>
      </c>
      <c r="Q244" s="2">
        <f>INDEX(Tables!$C$4:$C$28,MATCH($P244,Tables!$B$4:$B$28,0))</f>
        <v>32</v>
      </c>
      <c r="R244" s="2">
        <f>INDEX(Tables!$D$4:$D$28,MATCH($P244,Tables!$B$4:$B$28,0))</f>
        <v>4</v>
      </c>
      <c r="S244" s="2">
        <f>$S243+$R243+INDEX(Tables!$N$5:$Q$8,MATCH(MOD($S243+$R243,4),Tables!$M$5:$M$8,0),MATCH($R244,Tables!$N$4:$Q$4,0))</f>
        <v>860</v>
      </c>
      <c r="T244" s="2" t="str">
        <f t="shared" si="63"/>
        <v>035C</v>
      </c>
      <c r="U244" s="2">
        <f t="shared" si="69"/>
        <v>215</v>
      </c>
      <c r="V244" s="2" t="str">
        <f t="shared" si="64"/>
        <v>0D7</v>
      </c>
      <c r="W244" s="2" t="str">
        <f t="shared" si="65"/>
        <v/>
      </c>
      <c r="X244" s="2" t="str">
        <f t="shared" si="68"/>
        <v/>
      </c>
      <c r="Y244" s="2" t="str">
        <f t="shared" si="66"/>
        <v/>
      </c>
      <c r="Z244" s="2" t="str">
        <f t="shared" si="67"/>
        <v>X</v>
      </c>
      <c r="AA244" s="2" t="str">
        <f t="shared" si="70"/>
        <v/>
      </c>
      <c r="AB244" s="2" t="str">
        <f t="shared" si="71"/>
        <v/>
      </c>
      <c r="AC244" s="2" t="str">
        <f t="shared" si="72"/>
        <v/>
      </c>
      <c r="AD244" s="2" t="str">
        <f t="shared" si="73"/>
        <v>(0)</v>
      </c>
      <c r="AE244" s="2" t="str">
        <f t="shared" si="74"/>
        <v/>
      </c>
      <c r="AF244" s="2" t="str">
        <f t="shared" si="75"/>
        <v/>
      </c>
      <c r="AG244" s="2" t="str">
        <f t="shared" si="76"/>
        <v/>
      </c>
      <c r="AH244" s="2" t="str">
        <f t="shared" si="77"/>
        <v/>
      </c>
    </row>
    <row r="245" spans="2:34" x14ac:dyDescent="0.25">
      <c r="B245" s="2" t="s">
        <v>602</v>
      </c>
      <c r="C245" s="2" t="s">
        <v>609</v>
      </c>
      <c r="D245" s="2" t="s">
        <v>0</v>
      </c>
      <c r="E245" s="2" t="s">
        <v>130</v>
      </c>
      <c r="F245" s="2" t="s">
        <v>603</v>
      </c>
      <c r="G245" s="2" t="s">
        <v>604</v>
      </c>
      <c r="H245" s="2" t="s">
        <v>610</v>
      </c>
      <c r="I245" s="2" t="s">
        <v>41</v>
      </c>
      <c r="J245" s="2">
        <v>1</v>
      </c>
      <c r="K245" s="2" t="s">
        <v>81</v>
      </c>
      <c r="L245" s="2" t="s">
        <v>40</v>
      </c>
      <c r="P245" s="2" t="s">
        <v>4</v>
      </c>
      <c r="Q245" s="2">
        <f>INDEX(Tables!$C$4:$C$28,MATCH($P245,Tables!$B$4:$B$28,0))</f>
        <v>32</v>
      </c>
      <c r="R245" s="2">
        <f>INDEX(Tables!$D$4:$D$28,MATCH($P245,Tables!$B$4:$B$28,0))</f>
        <v>4</v>
      </c>
      <c r="S245" s="2">
        <f>$S244+$R244+INDEX(Tables!$N$5:$Q$8,MATCH(MOD($S244+$R244,4),Tables!$M$5:$M$8,0),MATCH($R245,Tables!$N$4:$Q$4,0))</f>
        <v>864</v>
      </c>
      <c r="T245" s="2" t="str">
        <f t="shared" si="63"/>
        <v>0360</v>
      </c>
      <c r="U245" s="2">
        <f t="shared" si="69"/>
        <v>216</v>
      </c>
      <c r="V245" s="2" t="str">
        <f t="shared" si="64"/>
        <v>0D8</v>
      </c>
      <c r="W245" s="2" t="str">
        <f t="shared" si="65"/>
        <v/>
      </c>
      <c r="X245" s="2" t="str">
        <f t="shared" si="68"/>
        <v/>
      </c>
      <c r="Y245" s="2" t="str">
        <f t="shared" si="66"/>
        <v/>
      </c>
      <c r="Z245" s="2" t="str">
        <f t="shared" si="67"/>
        <v>X</v>
      </c>
      <c r="AA245" s="2" t="str">
        <f t="shared" si="70"/>
        <v/>
      </c>
      <c r="AB245" s="2" t="str">
        <f t="shared" si="71"/>
        <v/>
      </c>
      <c r="AC245" s="2" t="str">
        <f t="shared" si="72"/>
        <v/>
      </c>
      <c r="AD245" s="2" t="str">
        <f t="shared" si="73"/>
        <v>(0)</v>
      </c>
      <c r="AE245" s="2" t="str">
        <f t="shared" si="74"/>
        <v/>
      </c>
      <c r="AF245" s="2" t="str">
        <f t="shared" si="75"/>
        <v/>
      </c>
      <c r="AG245" s="2" t="str">
        <f t="shared" si="76"/>
        <v/>
      </c>
      <c r="AH245" s="2" t="str">
        <f t="shared" si="77"/>
        <v/>
      </c>
    </row>
    <row r="246" spans="2:34" x14ac:dyDescent="0.25">
      <c r="B246" s="2" t="s">
        <v>602</v>
      </c>
      <c r="C246" s="2" t="s">
        <v>611</v>
      </c>
      <c r="D246" s="2" t="s">
        <v>0</v>
      </c>
      <c r="E246" s="2" t="s">
        <v>130</v>
      </c>
      <c r="F246" s="2" t="s">
        <v>603</v>
      </c>
      <c r="G246" s="2" t="s">
        <v>604</v>
      </c>
      <c r="H246" s="2" t="s">
        <v>612</v>
      </c>
      <c r="I246" s="2" t="s">
        <v>41</v>
      </c>
      <c r="J246" s="2">
        <v>1</v>
      </c>
      <c r="K246" s="2" t="s">
        <v>81</v>
      </c>
      <c r="L246" s="2" t="s">
        <v>40</v>
      </c>
      <c r="P246" s="2" t="s">
        <v>4</v>
      </c>
      <c r="Q246" s="2">
        <f>INDEX(Tables!$C$4:$C$28,MATCH($P246,Tables!$B$4:$B$28,0))</f>
        <v>32</v>
      </c>
      <c r="R246" s="2">
        <f>INDEX(Tables!$D$4:$D$28,MATCH($P246,Tables!$B$4:$B$28,0))</f>
        <v>4</v>
      </c>
      <c r="S246" s="2">
        <f>$S245+$R245+INDEX(Tables!$N$5:$Q$8,MATCH(MOD($S245+$R245,4),Tables!$M$5:$M$8,0),MATCH($R246,Tables!$N$4:$Q$4,0))</f>
        <v>868</v>
      </c>
      <c r="T246" s="2" t="str">
        <f t="shared" si="63"/>
        <v>0364</v>
      </c>
      <c r="U246" s="2">
        <f t="shared" si="69"/>
        <v>217</v>
      </c>
      <c r="V246" s="2" t="str">
        <f t="shared" si="64"/>
        <v>0D9</v>
      </c>
      <c r="W246" s="2" t="str">
        <f t="shared" si="65"/>
        <v/>
      </c>
      <c r="X246" s="2" t="str">
        <f t="shared" si="68"/>
        <v/>
      </c>
      <c r="Y246" s="2" t="str">
        <f t="shared" si="66"/>
        <v/>
      </c>
      <c r="Z246" s="2" t="str">
        <f t="shared" si="67"/>
        <v>X</v>
      </c>
      <c r="AA246" s="2" t="str">
        <f t="shared" si="70"/>
        <v/>
      </c>
      <c r="AB246" s="2" t="str">
        <f t="shared" si="71"/>
        <v/>
      </c>
      <c r="AC246" s="2" t="str">
        <f t="shared" si="72"/>
        <v/>
      </c>
      <c r="AD246" s="2" t="str">
        <f t="shared" si="73"/>
        <v>(0)</v>
      </c>
      <c r="AE246" s="2" t="str">
        <f t="shared" si="74"/>
        <v/>
      </c>
      <c r="AF246" s="2" t="str">
        <f t="shared" si="75"/>
        <v/>
      </c>
      <c r="AG246" s="2" t="str">
        <f t="shared" si="76"/>
        <v/>
      </c>
      <c r="AH246" s="2" t="str">
        <f t="shared" si="77"/>
        <v/>
      </c>
    </row>
    <row r="247" spans="2:34" x14ac:dyDescent="0.25">
      <c r="B247" s="2" t="s">
        <v>602</v>
      </c>
      <c r="C247" s="2" t="s">
        <v>613</v>
      </c>
      <c r="D247" s="2" t="s">
        <v>0</v>
      </c>
      <c r="E247" s="2" t="s">
        <v>130</v>
      </c>
      <c r="F247" s="2" t="s">
        <v>603</v>
      </c>
      <c r="G247" s="2" t="s">
        <v>604</v>
      </c>
      <c r="H247" s="2" t="s">
        <v>614</v>
      </c>
      <c r="I247" s="2" t="s">
        <v>41</v>
      </c>
      <c r="J247" s="2">
        <v>1</v>
      </c>
      <c r="K247" s="2" t="s">
        <v>131</v>
      </c>
      <c r="L247" s="2" t="s">
        <v>40</v>
      </c>
      <c r="P247" s="2" t="s">
        <v>4</v>
      </c>
      <c r="Q247" s="2">
        <f>INDEX(Tables!$C$4:$C$28,MATCH($P247,Tables!$B$4:$B$28,0))</f>
        <v>32</v>
      </c>
      <c r="R247" s="2">
        <f>INDEX(Tables!$D$4:$D$28,MATCH($P247,Tables!$B$4:$B$28,0))</f>
        <v>4</v>
      </c>
      <c r="S247" s="2">
        <f>$S246+$R246+INDEX(Tables!$N$5:$Q$8,MATCH(MOD($S246+$R246,4),Tables!$M$5:$M$8,0),MATCH($R247,Tables!$N$4:$Q$4,0))</f>
        <v>872</v>
      </c>
      <c r="T247" s="2" t="str">
        <f t="shared" si="63"/>
        <v>0368</v>
      </c>
      <c r="U247" s="2">
        <f t="shared" si="69"/>
        <v>218</v>
      </c>
      <c r="V247" s="2" t="str">
        <f t="shared" si="64"/>
        <v>0DA</v>
      </c>
      <c r="W247" s="2" t="str">
        <f t="shared" si="65"/>
        <v/>
      </c>
      <c r="X247" s="2" t="str">
        <f t="shared" si="68"/>
        <v/>
      </c>
      <c r="Y247" s="2" t="str">
        <f t="shared" si="66"/>
        <v/>
      </c>
      <c r="Z247" s="2" t="str">
        <f t="shared" si="67"/>
        <v>X</v>
      </c>
      <c r="AA247" s="2" t="str">
        <f t="shared" si="70"/>
        <v/>
      </c>
      <c r="AB247" s="2" t="str">
        <f t="shared" si="71"/>
        <v/>
      </c>
      <c r="AC247" s="2" t="str">
        <f t="shared" si="72"/>
        <v/>
      </c>
      <c r="AD247" s="2" t="str">
        <f t="shared" si="73"/>
        <v>(0)</v>
      </c>
      <c r="AE247" s="2" t="str">
        <f t="shared" si="74"/>
        <v/>
      </c>
      <c r="AF247" s="2" t="str">
        <f t="shared" si="75"/>
        <v/>
      </c>
      <c r="AG247" s="2" t="str">
        <f t="shared" si="76"/>
        <v/>
      </c>
      <c r="AH247" s="2" t="str">
        <f t="shared" si="77"/>
        <v/>
      </c>
    </row>
    <row r="248" spans="2:34" x14ac:dyDescent="0.25">
      <c r="B248" s="2" t="s">
        <v>602</v>
      </c>
      <c r="C248" s="2" t="s">
        <v>615</v>
      </c>
      <c r="D248" s="2" t="s">
        <v>0</v>
      </c>
      <c r="E248" s="2" t="s">
        <v>130</v>
      </c>
      <c r="F248" s="2" t="s">
        <v>603</v>
      </c>
      <c r="G248" s="2" t="s">
        <v>604</v>
      </c>
      <c r="H248" s="2" t="s">
        <v>616</v>
      </c>
      <c r="I248" s="2" t="s">
        <v>41</v>
      </c>
      <c r="J248" s="2">
        <v>1</v>
      </c>
      <c r="K248" s="2" t="s">
        <v>81</v>
      </c>
      <c r="L248" s="2" t="s">
        <v>40</v>
      </c>
      <c r="P248" s="2" t="s">
        <v>4</v>
      </c>
      <c r="Q248" s="2">
        <f>INDEX(Tables!$C$4:$C$28,MATCH($P248,Tables!$B$4:$B$28,0))</f>
        <v>32</v>
      </c>
      <c r="R248" s="2">
        <f>INDEX(Tables!$D$4:$D$28,MATCH($P248,Tables!$B$4:$B$28,0))</f>
        <v>4</v>
      </c>
      <c r="S248" s="2">
        <f>$S247+$R247+INDEX(Tables!$N$5:$Q$8,MATCH(MOD($S247+$R247,4),Tables!$M$5:$M$8,0),MATCH($R248,Tables!$N$4:$Q$4,0))</f>
        <v>876</v>
      </c>
      <c r="T248" s="2" t="str">
        <f t="shared" si="63"/>
        <v>036C</v>
      </c>
      <c r="U248" s="2">
        <f t="shared" si="69"/>
        <v>219</v>
      </c>
      <c r="V248" s="2" t="str">
        <f t="shared" si="64"/>
        <v>0DB</v>
      </c>
      <c r="W248" s="2" t="str">
        <f t="shared" si="65"/>
        <v/>
      </c>
      <c r="X248" s="2" t="str">
        <f t="shared" si="68"/>
        <v/>
      </c>
      <c r="Y248" s="2" t="str">
        <f t="shared" si="66"/>
        <v/>
      </c>
      <c r="Z248" s="2" t="str">
        <f t="shared" si="67"/>
        <v>X</v>
      </c>
      <c r="AA248" s="2" t="str">
        <f t="shared" si="70"/>
        <v/>
      </c>
      <c r="AB248" s="2" t="str">
        <f t="shared" si="71"/>
        <v/>
      </c>
      <c r="AC248" s="2" t="str">
        <f t="shared" si="72"/>
        <v/>
      </c>
      <c r="AD248" s="2" t="str">
        <f t="shared" si="73"/>
        <v>(0)</v>
      </c>
      <c r="AE248" s="2" t="str">
        <f t="shared" si="74"/>
        <v/>
      </c>
      <c r="AF248" s="2" t="str">
        <f t="shared" si="75"/>
        <v/>
      </c>
      <c r="AG248" s="2" t="str">
        <f t="shared" si="76"/>
        <v/>
      </c>
      <c r="AH248" s="2" t="str">
        <f t="shared" si="77"/>
        <v/>
      </c>
    </row>
    <row r="249" spans="2:34" x14ac:dyDescent="0.25">
      <c r="B249" s="2" t="s">
        <v>602</v>
      </c>
      <c r="C249" s="2" t="s">
        <v>617</v>
      </c>
      <c r="D249" s="2" t="s">
        <v>0</v>
      </c>
      <c r="E249" s="2" t="s">
        <v>130</v>
      </c>
      <c r="F249" s="2" t="s">
        <v>603</v>
      </c>
      <c r="G249" s="2" t="s">
        <v>604</v>
      </c>
      <c r="H249" s="2" t="s">
        <v>618</v>
      </c>
      <c r="I249" s="2" t="s">
        <v>41</v>
      </c>
      <c r="J249" s="2">
        <v>1</v>
      </c>
      <c r="K249" s="2" t="s">
        <v>131</v>
      </c>
      <c r="L249" s="2" t="s">
        <v>40</v>
      </c>
      <c r="P249" s="2" t="s">
        <v>4</v>
      </c>
      <c r="Q249" s="2">
        <f>INDEX(Tables!$C$4:$C$28,MATCH($P249,Tables!$B$4:$B$28,0))</f>
        <v>32</v>
      </c>
      <c r="R249" s="2">
        <f>INDEX(Tables!$D$4:$D$28,MATCH($P249,Tables!$B$4:$B$28,0))</f>
        <v>4</v>
      </c>
      <c r="S249" s="2">
        <f>$S248+$R248+INDEX(Tables!$N$5:$Q$8,MATCH(MOD($S248+$R248,4),Tables!$M$5:$M$8,0),MATCH($R249,Tables!$N$4:$Q$4,0))</f>
        <v>880</v>
      </c>
      <c r="T249" s="2" t="str">
        <f t="shared" si="63"/>
        <v>0370</v>
      </c>
      <c r="U249" s="2">
        <f t="shared" si="69"/>
        <v>220</v>
      </c>
      <c r="V249" s="2" t="str">
        <f t="shared" si="64"/>
        <v>0DC</v>
      </c>
      <c r="W249" s="2" t="str">
        <f t="shared" si="65"/>
        <v/>
      </c>
      <c r="X249" s="2" t="str">
        <f t="shared" si="68"/>
        <v/>
      </c>
      <c r="Y249" s="2" t="str">
        <f t="shared" si="66"/>
        <v/>
      </c>
      <c r="Z249" s="2" t="str">
        <f t="shared" si="67"/>
        <v>X</v>
      </c>
      <c r="AA249" s="2" t="str">
        <f t="shared" si="70"/>
        <v/>
      </c>
      <c r="AB249" s="2" t="str">
        <f t="shared" si="71"/>
        <v/>
      </c>
      <c r="AC249" s="2" t="str">
        <f t="shared" si="72"/>
        <v/>
      </c>
      <c r="AD249" s="2" t="str">
        <f t="shared" si="73"/>
        <v>(0)</v>
      </c>
      <c r="AE249" s="2" t="str">
        <f t="shared" si="74"/>
        <v/>
      </c>
      <c r="AF249" s="2" t="str">
        <f t="shared" si="75"/>
        <v/>
      </c>
      <c r="AG249" s="2" t="str">
        <f t="shared" si="76"/>
        <v/>
      </c>
      <c r="AH249" s="2" t="str">
        <f t="shared" si="77"/>
        <v/>
      </c>
    </row>
    <row r="250" spans="2:34" x14ac:dyDescent="0.25">
      <c r="B250" s="2" t="s">
        <v>602</v>
      </c>
      <c r="C250" s="2" t="s">
        <v>619</v>
      </c>
      <c r="D250" s="2" t="s">
        <v>0</v>
      </c>
      <c r="E250" s="2" t="s">
        <v>130</v>
      </c>
      <c r="F250" s="2" t="s">
        <v>603</v>
      </c>
      <c r="G250" s="2" t="s">
        <v>604</v>
      </c>
      <c r="H250" s="2" t="s">
        <v>620</v>
      </c>
      <c r="I250" s="2" t="s">
        <v>41</v>
      </c>
      <c r="J250" s="2">
        <v>1</v>
      </c>
      <c r="K250" s="2" t="s">
        <v>131</v>
      </c>
      <c r="L250" s="2" t="s">
        <v>40</v>
      </c>
      <c r="P250" s="2" t="s">
        <v>4</v>
      </c>
      <c r="Q250" s="2">
        <f>INDEX(Tables!$C$4:$C$28,MATCH($P250,Tables!$B$4:$B$28,0))</f>
        <v>32</v>
      </c>
      <c r="R250" s="2">
        <f>INDEX(Tables!$D$4:$D$28,MATCH($P250,Tables!$B$4:$B$28,0))</f>
        <v>4</v>
      </c>
      <c r="S250" s="2">
        <f>$S249+$R249+INDEX(Tables!$N$5:$Q$8,MATCH(MOD($S249+$R249,4),Tables!$M$5:$M$8,0),MATCH($R250,Tables!$N$4:$Q$4,0))</f>
        <v>884</v>
      </c>
      <c r="T250" s="2" t="str">
        <f t="shared" si="63"/>
        <v>0374</v>
      </c>
      <c r="U250" s="2">
        <f t="shared" si="69"/>
        <v>221</v>
      </c>
      <c r="V250" s="2" t="str">
        <f t="shared" si="64"/>
        <v>0DD</v>
      </c>
      <c r="W250" s="2" t="str">
        <f t="shared" si="65"/>
        <v/>
      </c>
      <c r="X250" s="2" t="str">
        <f t="shared" si="68"/>
        <v/>
      </c>
      <c r="Y250" s="2" t="str">
        <f t="shared" si="66"/>
        <v/>
      </c>
      <c r="Z250" s="2" t="str">
        <f t="shared" si="67"/>
        <v>X</v>
      </c>
      <c r="AA250" s="2" t="str">
        <f t="shared" si="70"/>
        <v/>
      </c>
      <c r="AB250" s="2" t="str">
        <f t="shared" si="71"/>
        <v/>
      </c>
      <c r="AC250" s="2" t="str">
        <f t="shared" si="72"/>
        <v/>
      </c>
      <c r="AD250" s="2" t="str">
        <f t="shared" si="73"/>
        <v>(0)</v>
      </c>
      <c r="AE250" s="2" t="str">
        <f t="shared" si="74"/>
        <v/>
      </c>
      <c r="AF250" s="2" t="str">
        <f t="shared" si="75"/>
        <v/>
      </c>
      <c r="AG250" s="2" t="str">
        <f t="shared" si="76"/>
        <v/>
      </c>
      <c r="AH250" s="2" t="str">
        <f t="shared" si="77"/>
        <v/>
      </c>
    </row>
    <row r="251" spans="2:34" x14ac:dyDescent="0.25">
      <c r="B251" s="2" t="s">
        <v>602</v>
      </c>
      <c r="C251" s="2" t="s">
        <v>621</v>
      </c>
      <c r="D251" s="2" t="s">
        <v>0</v>
      </c>
      <c r="E251" s="2" t="s">
        <v>130</v>
      </c>
      <c r="F251" s="2" t="s">
        <v>603</v>
      </c>
      <c r="G251" s="2" t="s">
        <v>604</v>
      </c>
      <c r="H251" s="2" t="s">
        <v>622</v>
      </c>
      <c r="I251" s="2" t="s">
        <v>41</v>
      </c>
      <c r="J251" s="2">
        <v>1</v>
      </c>
      <c r="K251" s="2" t="s">
        <v>131</v>
      </c>
      <c r="L251" s="2" t="s">
        <v>40</v>
      </c>
      <c r="P251" s="2" t="s">
        <v>4</v>
      </c>
      <c r="Q251" s="2">
        <f>INDEX(Tables!$C$4:$C$28,MATCH($P251,Tables!$B$4:$B$28,0))</f>
        <v>32</v>
      </c>
      <c r="R251" s="2">
        <f>INDEX(Tables!$D$4:$D$28,MATCH($P251,Tables!$B$4:$B$28,0))</f>
        <v>4</v>
      </c>
      <c r="S251" s="2">
        <f>$S250+$R250+INDEX(Tables!$N$5:$Q$8,MATCH(MOD($S250+$R250,4),Tables!$M$5:$M$8,0),MATCH($R251,Tables!$N$4:$Q$4,0))</f>
        <v>888</v>
      </c>
      <c r="T251" s="2" t="str">
        <f t="shared" si="63"/>
        <v>0378</v>
      </c>
      <c r="U251" s="2">
        <f t="shared" si="69"/>
        <v>222</v>
      </c>
      <c r="V251" s="2" t="str">
        <f t="shared" si="64"/>
        <v>0DE</v>
      </c>
      <c r="W251" s="2" t="str">
        <f t="shared" si="65"/>
        <v/>
      </c>
      <c r="X251" s="2" t="str">
        <f t="shared" si="68"/>
        <v/>
      </c>
      <c r="Y251" s="2" t="str">
        <f t="shared" si="66"/>
        <v/>
      </c>
      <c r="Z251" s="2" t="str">
        <f t="shared" si="67"/>
        <v>X</v>
      </c>
      <c r="AA251" s="2" t="str">
        <f t="shared" si="70"/>
        <v/>
      </c>
      <c r="AB251" s="2" t="str">
        <f t="shared" si="71"/>
        <v/>
      </c>
      <c r="AC251" s="2" t="str">
        <f t="shared" si="72"/>
        <v/>
      </c>
      <c r="AD251" s="2" t="str">
        <f t="shared" si="73"/>
        <v>(0)</v>
      </c>
      <c r="AE251" s="2" t="str">
        <f t="shared" si="74"/>
        <v/>
      </c>
      <c r="AF251" s="2" t="str">
        <f t="shared" si="75"/>
        <v/>
      </c>
      <c r="AG251" s="2" t="str">
        <f t="shared" si="76"/>
        <v/>
      </c>
      <c r="AH251" s="2" t="str">
        <f t="shared" si="77"/>
        <v/>
      </c>
    </row>
    <row r="252" spans="2:34" x14ac:dyDescent="0.25">
      <c r="B252" s="2" t="s">
        <v>602</v>
      </c>
      <c r="C252" s="2" t="s">
        <v>623</v>
      </c>
      <c r="D252" s="2" t="s">
        <v>0</v>
      </c>
      <c r="E252" s="2" t="s">
        <v>130</v>
      </c>
      <c r="F252" s="2" t="s">
        <v>603</v>
      </c>
      <c r="G252" s="2" t="s">
        <v>604</v>
      </c>
      <c r="H252" s="2" t="s">
        <v>624</v>
      </c>
      <c r="I252" s="2" t="s">
        <v>41</v>
      </c>
      <c r="J252" s="2">
        <v>1</v>
      </c>
      <c r="K252" s="2" t="s">
        <v>131</v>
      </c>
      <c r="L252" s="2" t="s">
        <v>40</v>
      </c>
      <c r="P252" s="2" t="s">
        <v>4</v>
      </c>
      <c r="Q252" s="2">
        <f>INDEX(Tables!$C$4:$C$28,MATCH($P252,Tables!$B$4:$B$28,0))</f>
        <v>32</v>
      </c>
      <c r="R252" s="2">
        <f>INDEX(Tables!$D$4:$D$28,MATCH($P252,Tables!$B$4:$B$28,0))</f>
        <v>4</v>
      </c>
      <c r="S252" s="2">
        <f>$S251+$R251+INDEX(Tables!$N$5:$Q$8,MATCH(MOD($S251+$R251,4),Tables!$M$5:$M$8,0),MATCH($R252,Tables!$N$4:$Q$4,0))</f>
        <v>892</v>
      </c>
      <c r="T252" s="2" t="str">
        <f t="shared" si="63"/>
        <v>037C</v>
      </c>
      <c r="U252" s="2">
        <f t="shared" si="69"/>
        <v>223</v>
      </c>
      <c r="V252" s="2" t="str">
        <f t="shared" si="64"/>
        <v>0DF</v>
      </c>
      <c r="W252" s="2" t="str">
        <f t="shared" si="65"/>
        <v/>
      </c>
      <c r="X252" s="2" t="str">
        <f t="shared" si="68"/>
        <v/>
      </c>
      <c r="Y252" s="2" t="str">
        <f t="shared" si="66"/>
        <v/>
      </c>
      <c r="Z252" s="2" t="str">
        <f t="shared" si="67"/>
        <v>X</v>
      </c>
      <c r="AA252" s="2" t="str">
        <f t="shared" si="70"/>
        <v/>
      </c>
      <c r="AB252" s="2" t="str">
        <f t="shared" si="71"/>
        <v/>
      </c>
      <c r="AC252" s="2" t="str">
        <f t="shared" si="72"/>
        <v/>
      </c>
      <c r="AD252" s="2" t="str">
        <f t="shared" si="73"/>
        <v>(0)</v>
      </c>
      <c r="AE252" s="2" t="str">
        <f t="shared" si="74"/>
        <v/>
      </c>
      <c r="AF252" s="2" t="str">
        <f t="shared" si="75"/>
        <v/>
      </c>
      <c r="AG252" s="2" t="str">
        <f t="shared" si="76"/>
        <v/>
      </c>
      <c r="AH252" s="2" t="str">
        <f t="shared" si="77"/>
        <v/>
      </c>
    </row>
    <row r="253" spans="2:34" x14ac:dyDescent="0.25">
      <c r="B253" s="2" t="s">
        <v>602</v>
      </c>
      <c r="C253" s="2" t="s">
        <v>625</v>
      </c>
      <c r="D253" s="2" t="s">
        <v>0</v>
      </c>
      <c r="E253" s="2" t="s">
        <v>130</v>
      </c>
      <c r="F253" s="2" t="s">
        <v>603</v>
      </c>
      <c r="G253" s="2" t="s">
        <v>604</v>
      </c>
      <c r="H253" s="2" t="s">
        <v>626</v>
      </c>
      <c r="I253" s="2" t="s">
        <v>41</v>
      </c>
      <c r="J253" s="2">
        <v>1</v>
      </c>
      <c r="K253" s="2" t="s">
        <v>131</v>
      </c>
      <c r="L253" s="2" t="s">
        <v>40</v>
      </c>
      <c r="P253" s="2" t="s">
        <v>4</v>
      </c>
      <c r="Q253" s="2">
        <f>INDEX(Tables!$C$4:$C$28,MATCH($P253,Tables!$B$4:$B$28,0))</f>
        <v>32</v>
      </c>
      <c r="R253" s="2">
        <f>INDEX(Tables!$D$4:$D$28,MATCH($P253,Tables!$B$4:$B$28,0))</f>
        <v>4</v>
      </c>
      <c r="S253" s="2">
        <f>$S252+$R252+INDEX(Tables!$N$5:$Q$8,MATCH(MOD($S252+$R252,4),Tables!$M$5:$M$8,0),MATCH($R253,Tables!$N$4:$Q$4,0))</f>
        <v>896</v>
      </c>
      <c r="T253" s="2" t="str">
        <f t="shared" si="63"/>
        <v>0380</v>
      </c>
      <c r="U253" s="2">
        <f t="shared" si="69"/>
        <v>224</v>
      </c>
      <c r="V253" s="2" t="str">
        <f t="shared" si="64"/>
        <v>0E0</v>
      </c>
      <c r="W253" s="2" t="str">
        <f t="shared" si="65"/>
        <v/>
      </c>
      <c r="X253" s="2" t="str">
        <f t="shared" si="68"/>
        <v/>
      </c>
      <c r="Y253" s="2" t="str">
        <f t="shared" si="66"/>
        <v/>
      </c>
      <c r="Z253" s="2" t="str">
        <f t="shared" si="67"/>
        <v>X</v>
      </c>
      <c r="AA253" s="2" t="str">
        <f t="shared" si="70"/>
        <v/>
      </c>
      <c r="AB253" s="2" t="str">
        <f t="shared" si="71"/>
        <v/>
      </c>
      <c r="AC253" s="2" t="str">
        <f t="shared" si="72"/>
        <v/>
      </c>
      <c r="AD253" s="2" t="str">
        <f t="shared" si="73"/>
        <v>(0)</v>
      </c>
      <c r="AE253" s="2" t="str">
        <f t="shared" si="74"/>
        <v/>
      </c>
      <c r="AF253" s="2" t="str">
        <f t="shared" si="75"/>
        <v/>
      </c>
      <c r="AG253" s="2" t="str">
        <f t="shared" si="76"/>
        <v/>
      </c>
      <c r="AH253" s="2" t="str">
        <f t="shared" si="77"/>
        <v/>
      </c>
    </row>
    <row r="254" spans="2:34" x14ac:dyDescent="0.25">
      <c r="B254" s="2" t="s">
        <v>602</v>
      </c>
      <c r="C254" s="2" t="s">
        <v>627</v>
      </c>
      <c r="D254" s="2" t="s">
        <v>0</v>
      </c>
      <c r="E254" s="2" t="s">
        <v>130</v>
      </c>
      <c r="F254" s="2" t="s">
        <v>603</v>
      </c>
      <c r="G254" s="2" t="s">
        <v>604</v>
      </c>
      <c r="H254" s="2" t="s">
        <v>628</v>
      </c>
      <c r="I254" s="2" t="s">
        <v>41</v>
      </c>
      <c r="J254" s="2">
        <v>1</v>
      </c>
      <c r="K254" s="2" t="s">
        <v>131</v>
      </c>
      <c r="L254" s="2" t="s">
        <v>40</v>
      </c>
      <c r="P254" s="2" t="s">
        <v>4</v>
      </c>
      <c r="Q254" s="2">
        <f>INDEX(Tables!$C$4:$C$28,MATCH($P254,Tables!$B$4:$B$28,0))</f>
        <v>32</v>
      </c>
      <c r="R254" s="2">
        <f>INDEX(Tables!$D$4:$D$28,MATCH($P254,Tables!$B$4:$B$28,0))</f>
        <v>4</v>
      </c>
      <c r="S254" s="2">
        <f>$S253+$R253+INDEX(Tables!$N$5:$Q$8,MATCH(MOD($S253+$R253,4),Tables!$M$5:$M$8,0),MATCH($R254,Tables!$N$4:$Q$4,0))</f>
        <v>900</v>
      </c>
      <c r="T254" s="2" t="str">
        <f t="shared" si="63"/>
        <v>0384</v>
      </c>
      <c r="U254" s="2">
        <f t="shared" si="69"/>
        <v>225</v>
      </c>
      <c r="V254" s="2" t="str">
        <f t="shared" si="64"/>
        <v>0E1</v>
      </c>
      <c r="W254" s="2" t="str">
        <f t="shared" si="65"/>
        <v/>
      </c>
      <c r="X254" s="2" t="str">
        <f t="shared" si="68"/>
        <v/>
      </c>
      <c r="Y254" s="2" t="str">
        <f t="shared" si="66"/>
        <v/>
      </c>
      <c r="Z254" s="2" t="str">
        <f t="shared" si="67"/>
        <v>X</v>
      </c>
      <c r="AA254" s="2" t="str">
        <f t="shared" si="70"/>
        <v/>
      </c>
      <c r="AB254" s="2" t="str">
        <f t="shared" si="71"/>
        <v/>
      </c>
      <c r="AC254" s="2" t="str">
        <f t="shared" si="72"/>
        <v/>
      </c>
      <c r="AD254" s="2" t="str">
        <f t="shared" si="73"/>
        <v>(0)</v>
      </c>
      <c r="AE254" s="2" t="str">
        <f t="shared" si="74"/>
        <v/>
      </c>
      <c r="AF254" s="2" t="str">
        <f t="shared" si="75"/>
        <v/>
      </c>
      <c r="AG254" s="2" t="str">
        <f t="shared" si="76"/>
        <v/>
      </c>
      <c r="AH254" s="2" t="str">
        <f t="shared" si="77"/>
        <v/>
      </c>
    </row>
    <row r="255" spans="2:34" x14ac:dyDescent="0.25">
      <c r="B255" s="2" t="s">
        <v>602</v>
      </c>
      <c r="C255" s="2" t="s">
        <v>629</v>
      </c>
      <c r="D255" s="2" t="s">
        <v>0</v>
      </c>
      <c r="E255" s="2" t="s">
        <v>130</v>
      </c>
      <c r="F255" s="2" t="s">
        <v>603</v>
      </c>
      <c r="G255" s="2" t="s">
        <v>604</v>
      </c>
      <c r="H255" s="2" t="s">
        <v>630</v>
      </c>
      <c r="I255" s="2" t="s">
        <v>41</v>
      </c>
      <c r="J255" s="2">
        <v>1</v>
      </c>
      <c r="K255" s="2" t="s">
        <v>131</v>
      </c>
      <c r="L255" s="2" t="s">
        <v>40</v>
      </c>
      <c r="P255" s="2" t="s">
        <v>4</v>
      </c>
      <c r="Q255" s="2">
        <f>INDEX(Tables!$C$4:$C$28,MATCH($P255,Tables!$B$4:$B$28,0))</f>
        <v>32</v>
      </c>
      <c r="R255" s="2">
        <f>INDEX(Tables!$D$4:$D$28,MATCH($P255,Tables!$B$4:$B$28,0))</f>
        <v>4</v>
      </c>
      <c r="S255" s="2">
        <f>$S254+$R254+INDEX(Tables!$N$5:$Q$8,MATCH(MOD($S254+$R254,4),Tables!$M$5:$M$8,0),MATCH($R255,Tables!$N$4:$Q$4,0))</f>
        <v>904</v>
      </c>
      <c r="T255" s="2" t="str">
        <f t="shared" si="63"/>
        <v>0388</v>
      </c>
      <c r="U255" s="2">
        <f t="shared" si="69"/>
        <v>226</v>
      </c>
      <c r="V255" s="2" t="str">
        <f t="shared" si="64"/>
        <v>0E2</v>
      </c>
      <c r="W255" s="2" t="str">
        <f t="shared" si="65"/>
        <v/>
      </c>
      <c r="X255" s="2" t="str">
        <f t="shared" si="68"/>
        <v/>
      </c>
      <c r="Y255" s="2" t="str">
        <f t="shared" si="66"/>
        <v/>
      </c>
      <c r="Z255" s="2" t="str">
        <f t="shared" si="67"/>
        <v>X</v>
      </c>
      <c r="AA255" s="2" t="str">
        <f t="shared" si="70"/>
        <v/>
      </c>
      <c r="AB255" s="2" t="str">
        <f t="shared" si="71"/>
        <v/>
      </c>
      <c r="AC255" s="2" t="str">
        <f t="shared" si="72"/>
        <v/>
      </c>
      <c r="AD255" s="2" t="str">
        <f t="shared" si="73"/>
        <v>(0)</v>
      </c>
      <c r="AE255" s="2" t="str">
        <f t="shared" si="74"/>
        <v/>
      </c>
      <c r="AF255" s="2" t="str">
        <f t="shared" si="75"/>
        <v/>
      </c>
      <c r="AG255" s="2" t="str">
        <f t="shared" si="76"/>
        <v/>
      </c>
      <c r="AH255" s="2" t="str">
        <f t="shared" si="77"/>
        <v/>
      </c>
    </row>
    <row r="256" spans="2:34" x14ac:dyDescent="0.25">
      <c r="B256" s="2" t="s">
        <v>602</v>
      </c>
      <c r="C256" s="2" t="s">
        <v>631</v>
      </c>
      <c r="D256" s="2" t="s">
        <v>0</v>
      </c>
      <c r="E256" s="2" t="s">
        <v>130</v>
      </c>
      <c r="F256" s="2" t="s">
        <v>603</v>
      </c>
      <c r="G256" s="2" t="s">
        <v>604</v>
      </c>
      <c r="H256" s="2" t="s">
        <v>632</v>
      </c>
      <c r="I256" s="2" t="s">
        <v>41</v>
      </c>
      <c r="J256" s="2">
        <v>1</v>
      </c>
      <c r="K256" s="2" t="s">
        <v>131</v>
      </c>
      <c r="L256" s="2" t="s">
        <v>40</v>
      </c>
      <c r="P256" s="2" t="s">
        <v>4</v>
      </c>
      <c r="Q256" s="2">
        <f>INDEX(Tables!$C$4:$C$28,MATCH($P256,Tables!$B$4:$B$28,0))</f>
        <v>32</v>
      </c>
      <c r="R256" s="2">
        <f>INDEX(Tables!$D$4:$D$28,MATCH($P256,Tables!$B$4:$B$28,0))</f>
        <v>4</v>
      </c>
      <c r="S256" s="2">
        <f>$S255+$R255+INDEX(Tables!$N$5:$Q$8,MATCH(MOD($S255+$R255,4),Tables!$M$5:$M$8,0),MATCH($R256,Tables!$N$4:$Q$4,0))</f>
        <v>908</v>
      </c>
      <c r="T256" s="2" t="str">
        <f t="shared" si="63"/>
        <v>038C</v>
      </c>
      <c r="U256" s="2">
        <f t="shared" si="69"/>
        <v>227</v>
      </c>
      <c r="V256" s="2" t="str">
        <f t="shared" si="64"/>
        <v>0E3</v>
      </c>
      <c r="W256" s="2" t="str">
        <f t="shared" si="65"/>
        <v/>
      </c>
      <c r="X256" s="2" t="str">
        <f t="shared" si="68"/>
        <v/>
      </c>
      <c r="Y256" s="2" t="str">
        <f t="shared" si="66"/>
        <v/>
      </c>
      <c r="Z256" s="2" t="str">
        <f t="shared" si="67"/>
        <v>X</v>
      </c>
      <c r="AA256" s="2" t="str">
        <f t="shared" si="70"/>
        <v/>
      </c>
      <c r="AB256" s="2" t="str">
        <f t="shared" si="71"/>
        <v/>
      </c>
      <c r="AC256" s="2" t="str">
        <f t="shared" si="72"/>
        <v/>
      </c>
      <c r="AD256" s="2" t="str">
        <f t="shared" si="73"/>
        <v>(0)</v>
      </c>
      <c r="AE256" s="2" t="str">
        <f t="shared" si="74"/>
        <v/>
      </c>
      <c r="AF256" s="2" t="str">
        <f t="shared" si="75"/>
        <v/>
      </c>
      <c r="AG256" s="2" t="str">
        <f t="shared" si="76"/>
        <v/>
      </c>
      <c r="AH256" s="2" t="str">
        <f t="shared" si="77"/>
        <v/>
      </c>
    </row>
    <row r="257" spans="2:34" x14ac:dyDescent="0.25">
      <c r="B257" s="2" t="s">
        <v>602</v>
      </c>
      <c r="C257" s="2" t="s">
        <v>633</v>
      </c>
      <c r="D257" s="2" t="s">
        <v>0</v>
      </c>
      <c r="E257" s="2" t="s">
        <v>130</v>
      </c>
      <c r="F257" s="2" t="s">
        <v>603</v>
      </c>
      <c r="G257" s="2" t="s">
        <v>604</v>
      </c>
      <c r="H257" s="2" t="s">
        <v>634</v>
      </c>
      <c r="I257" s="2" t="s">
        <v>41</v>
      </c>
      <c r="J257" s="2">
        <v>1</v>
      </c>
      <c r="K257" s="2" t="s">
        <v>131</v>
      </c>
      <c r="L257" s="2" t="s">
        <v>40</v>
      </c>
      <c r="P257" s="2" t="s">
        <v>4</v>
      </c>
      <c r="Q257" s="2">
        <f>INDEX(Tables!$C$4:$C$28,MATCH($P257,Tables!$B$4:$B$28,0))</f>
        <v>32</v>
      </c>
      <c r="R257" s="2">
        <f>INDEX(Tables!$D$4:$D$28,MATCH($P257,Tables!$B$4:$B$28,0))</f>
        <v>4</v>
      </c>
      <c r="S257" s="2">
        <f>$S256+$R256+INDEX(Tables!$N$5:$Q$8,MATCH(MOD($S256+$R256,4),Tables!$M$5:$M$8,0),MATCH($R257,Tables!$N$4:$Q$4,0))</f>
        <v>912</v>
      </c>
      <c r="T257" s="2" t="str">
        <f t="shared" si="63"/>
        <v>0390</v>
      </c>
      <c r="U257" s="2">
        <f t="shared" si="69"/>
        <v>228</v>
      </c>
      <c r="V257" s="2" t="str">
        <f t="shared" si="64"/>
        <v>0E4</v>
      </c>
      <c r="W257" s="2" t="str">
        <f t="shared" si="65"/>
        <v/>
      </c>
      <c r="X257" s="2" t="str">
        <f t="shared" si="68"/>
        <v/>
      </c>
      <c r="Y257" s="2" t="str">
        <f t="shared" si="66"/>
        <v/>
      </c>
      <c r="Z257" s="2" t="str">
        <f t="shared" si="67"/>
        <v>X</v>
      </c>
      <c r="AA257" s="2" t="str">
        <f t="shared" si="70"/>
        <v/>
      </c>
      <c r="AB257" s="2" t="str">
        <f t="shared" si="71"/>
        <v/>
      </c>
      <c r="AC257" s="2" t="str">
        <f t="shared" si="72"/>
        <v/>
      </c>
      <c r="AD257" s="2" t="str">
        <f t="shared" si="73"/>
        <v>(0)</v>
      </c>
      <c r="AE257" s="2" t="str">
        <f t="shared" si="74"/>
        <v/>
      </c>
      <c r="AF257" s="2" t="str">
        <f t="shared" si="75"/>
        <v/>
      </c>
      <c r="AG257" s="2" t="str">
        <f t="shared" si="76"/>
        <v/>
      </c>
      <c r="AH257" s="2" t="str">
        <f t="shared" si="77"/>
        <v/>
      </c>
    </row>
    <row r="258" spans="2:34" x14ac:dyDescent="0.25">
      <c r="B258" s="2" t="s">
        <v>602</v>
      </c>
      <c r="C258" s="2" t="s">
        <v>635</v>
      </c>
      <c r="D258" s="2" t="s">
        <v>0</v>
      </c>
      <c r="E258" s="2" t="s">
        <v>130</v>
      </c>
      <c r="F258" s="2" t="s">
        <v>603</v>
      </c>
      <c r="G258" s="2" t="s">
        <v>604</v>
      </c>
      <c r="H258" s="2" t="s">
        <v>636</v>
      </c>
      <c r="I258" s="2" t="s">
        <v>41</v>
      </c>
      <c r="J258" s="2">
        <v>1</v>
      </c>
      <c r="K258" s="2" t="s">
        <v>131</v>
      </c>
      <c r="L258" s="2" t="s">
        <v>40</v>
      </c>
      <c r="P258" s="2" t="s">
        <v>4</v>
      </c>
      <c r="Q258" s="2">
        <f>INDEX(Tables!$C$4:$C$28,MATCH($P258,Tables!$B$4:$B$28,0))</f>
        <v>32</v>
      </c>
      <c r="R258" s="2">
        <f>INDEX(Tables!$D$4:$D$28,MATCH($P258,Tables!$B$4:$B$28,0))</f>
        <v>4</v>
      </c>
      <c r="S258" s="2">
        <f>$S257+$R257+INDEX(Tables!$N$5:$Q$8,MATCH(MOD($S257+$R257,4),Tables!$M$5:$M$8,0),MATCH($R258,Tables!$N$4:$Q$4,0))</f>
        <v>916</v>
      </c>
      <c r="T258" s="2" t="str">
        <f t="shared" si="63"/>
        <v>0394</v>
      </c>
      <c r="U258" s="2">
        <f t="shared" si="69"/>
        <v>229</v>
      </c>
      <c r="V258" s="2" t="str">
        <f t="shared" si="64"/>
        <v>0E5</v>
      </c>
      <c r="W258" s="2" t="str">
        <f t="shared" si="65"/>
        <v/>
      </c>
      <c r="X258" s="2" t="str">
        <f t="shared" si="68"/>
        <v/>
      </c>
      <c r="Y258" s="2" t="str">
        <f t="shared" si="66"/>
        <v/>
      </c>
      <c r="Z258" s="2" t="str">
        <f t="shared" si="67"/>
        <v>X</v>
      </c>
      <c r="AA258" s="2" t="str">
        <f t="shared" si="70"/>
        <v/>
      </c>
      <c r="AB258" s="2" t="str">
        <f t="shared" si="71"/>
        <v/>
      </c>
      <c r="AC258" s="2" t="str">
        <f t="shared" si="72"/>
        <v/>
      </c>
      <c r="AD258" s="2" t="str">
        <f t="shared" si="73"/>
        <v>(0)</v>
      </c>
      <c r="AE258" s="2" t="str">
        <f t="shared" si="74"/>
        <v/>
      </c>
      <c r="AF258" s="2" t="str">
        <f t="shared" si="75"/>
        <v/>
      </c>
      <c r="AG258" s="2" t="str">
        <f t="shared" si="76"/>
        <v/>
      </c>
      <c r="AH258" s="2" t="str">
        <f t="shared" si="77"/>
        <v/>
      </c>
    </row>
    <row r="259" spans="2:34" x14ac:dyDescent="0.25">
      <c r="B259" s="2" t="s">
        <v>602</v>
      </c>
      <c r="C259" s="2" t="s">
        <v>637</v>
      </c>
      <c r="D259" s="2" t="s">
        <v>0</v>
      </c>
      <c r="E259" s="2" t="s">
        <v>130</v>
      </c>
      <c r="F259" s="2" t="s">
        <v>603</v>
      </c>
      <c r="G259" s="2" t="s">
        <v>604</v>
      </c>
      <c r="H259" s="2" t="s">
        <v>638</v>
      </c>
      <c r="I259" s="2" t="s">
        <v>41</v>
      </c>
      <c r="J259" s="2">
        <v>1</v>
      </c>
      <c r="K259" s="2" t="s">
        <v>131</v>
      </c>
      <c r="L259" s="2" t="s">
        <v>40</v>
      </c>
      <c r="P259" s="2" t="s">
        <v>4</v>
      </c>
      <c r="Q259" s="2">
        <f>INDEX(Tables!$C$4:$C$28,MATCH($P259,Tables!$B$4:$B$28,0))</f>
        <v>32</v>
      </c>
      <c r="R259" s="2">
        <f>INDEX(Tables!$D$4:$D$28,MATCH($P259,Tables!$B$4:$B$28,0))</f>
        <v>4</v>
      </c>
      <c r="S259" s="2">
        <f>$S258+$R258+INDEX(Tables!$N$5:$Q$8,MATCH(MOD($S258+$R258,4),Tables!$M$5:$M$8,0),MATCH($R259,Tables!$N$4:$Q$4,0))</f>
        <v>920</v>
      </c>
      <c r="T259" s="2" t="str">
        <f t="shared" si="63"/>
        <v>0398</v>
      </c>
      <c r="U259" s="2">
        <f t="shared" si="69"/>
        <v>230</v>
      </c>
      <c r="V259" s="2" t="str">
        <f t="shared" si="64"/>
        <v>0E6</v>
      </c>
      <c r="W259" s="2" t="str">
        <f t="shared" si="65"/>
        <v/>
      </c>
      <c r="X259" s="2" t="str">
        <f t="shared" si="68"/>
        <v/>
      </c>
      <c r="Y259" s="2" t="str">
        <f t="shared" si="66"/>
        <v/>
      </c>
      <c r="Z259" s="2" t="str">
        <f t="shared" si="67"/>
        <v>X</v>
      </c>
      <c r="AA259" s="2" t="str">
        <f t="shared" si="70"/>
        <v/>
      </c>
      <c r="AB259" s="2" t="str">
        <f t="shared" si="71"/>
        <v/>
      </c>
      <c r="AC259" s="2" t="str">
        <f t="shared" si="72"/>
        <v/>
      </c>
      <c r="AD259" s="2" t="str">
        <f t="shared" si="73"/>
        <v>(0)</v>
      </c>
      <c r="AE259" s="2" t="str">
        <f t="shared" si="74"/>
        <v/>
      </c>
      <c r="AF259" s="2" t="str">
        <f t="shared" si="75"/>
        <v/>
      </c>
      <c r="AG259" s="2" t="str">
        <f t="shared" si="76"/>
        <v/>
      </c>
      <c r="AH259" s="2" t="str">
        <f t="shared" si="77"/>
        <v/>
      </c>
    </row>
    <row r="260" spans="2:34" x14ac:dyDescent="0.25">
      <c r="B260" s="2" t="s">
        <v>602</v>
      </c>
      <c r="C260" s="2" t="s">
        <v>639</v>
      </c>
      <c r="D260" s="2" t="s">
        <v>0</v>
      </c>
      <c r="E260" s="2" t="s">
        <v>130</v>
      </c>
      <c r="F260" s="2" t="s">
        <v>603</v>
      </c>
      <c r="G260" s="2" t="s">
        <v>604</v>
      </c>
      <c r="H260" s="2" t="s">
        <v>640</v>
      </c>
      <c r="I260" s="2" t="s">
        <v>41</v>
      </c>
      <c r="J260" s="2">
        <v>1</v>
      </c>
      <c r="K260" s="2" t="s">
        <v>131</v>
      </c>
      <c r="L260" s="2" t="s">
        <v>40</v>
      </c>
      <c r="P260" s="2" t="s">
        <v>4</v>
      </c>
      <c r="Q260" s="2">
        <f>INDEX(Tables!$C$4:$C$28,MATCH($P260,Tables!$B$4:$B$28,0))</f>
        <v>32</v>
      </c>
      <c r="R260" s="2">
        <f>INDEX(Tables!$D$4:$D$28,MATCH($P260,Tables!$B$4:$B$28,0))</f>
        <v>4</v>
      </c>
      <c r="S260" s="2">
        <f>$S259+$R259+INDEX(Tables!$N$5:$Q$8,MATCH(MOD($S259+$R259,4),Tables!$M$5:$M$8,0),MATCH($R260,Tables!$N$4:$Q$4,0))</f>
        <v>924</v>
      </c>
      <c r="T260" s="2" t="str">
        <f t="shared" si="63"/>
        <v>039C</v>
      </c>
      <c r="U260" s="2">
        <f t="shared" si="69"/>
        <v>231</v>
      </c>
      <c r="V260" s="2" t="str">
        <f t="shared" si="64"/>
        <v>0E7</v>
      </c>
      <c r="W260" s="2" t="str">
        <f t="shared" si="65"/>
        <v/>
      </c>
      <c r="X260" s="2" t="str">
        <f t="shared" si="68"/>
        <v/>
      </c>
      <c r="Y260" s="2" t="str">
        <f t="shared" si="66"/>
        <v/>
      </c>
      <c r="Z260" s="2" t="str">
        <f t="shared" si="67"/>
        <v>X</v>
      </c>
      <c r="AA260" s="2" t="str">
        <f t="shared" si="70"/>
        <v/>
      </c>
      <c r="AB260" s="2" t="str">
        <f t="shared" si="71"/>
        <v/>
      </c>
      <c r="AC260" s="2" t="str">
        <f t="shared" si="72"/>
        <v/>
      </c>
      <c r="AD260" s="2" t="str">
        <f t="shared" si="73"/>
        <v>(0)</v>
      </c>
      <c r="AE260" s="2" t="str">
        <f t="shared" si="74"/>
        <v/>
      </c>
      <c r="AF260" s="2" t="str">
        <f t="shared" si="75"/>
        <v/>
      </c>
      <c r="AG260" s="2" t="str">
        <f t="shared" si="76"/>
        <v/>
      </c>
      <c r="AH260" s="2" t="str">
        <f t="shared" si="77"/>
        <v/>
      </c>
    </row>
    <row r="261" spans="2:34" x14ac:dyDescent="0.25">
      <c r="B261" s="2" t="s">
        <v>602</v>
      </c>
      <c r="C261" s="2" t="s">
        <v>641</v>
      </c>
      <c r="D261" s="2" t="s">
        <v>0</v>
      </c>
      <c r="E261" s="2" t="s">
        <v>130</v>
      </c>
      <c r="F261" s="2" t="s">
        <v>603</v>
      </c>
      <c r="G261" s="2" t="s">
        <v>604</v>
      </c>
      <c r="H261" s="2" t="s">
        <v>642</v>
      </c>
      <c r="I261" s="2" t="s">
        <v>41</v>
      </c>
      <c r="J261" s="2">
        <v>1</v>
      </c>
      <c r="K261" s="2" t="s">
        <v>131</v>
      </c>
      <c r="L261" s="2" t="s">
        <v>40</v>
      </c>
      <c r="P261" s="2" t="s">
        <v>4</v>
      </c>
      <c r="Q261" s="2">
        <f>INDEX(Tables!$C$4:$C$28,MATCH($P261,Tables!$B$4:$B$28,0))</f>
        <v>32</v>
      </c>
      <c r="R261" s="2">
        <f>INDEX(Tables!$D$4:$D$28,MATCH($P261,Tables!$B$4:$B$28,0))</f>
        <v>4</v>
      </c>
      <c r="S261" s="2">
        <f>$S260+$R260+INDEX(Tables!$N$5:$Q$8,MATCH(MOD($S260+$R260,4),Tables!$M$5:$M$8,0),MATCH($R261,Tables!$N$4:$Q$4,0))</f>
        <v>928</v>
      </c>
      <c r="T261" s="2" t="str">
        <f t="shared" ref="T261:T324" si="78">DEC2HEX($S261,4)</f>
        <v>03A0</v>
      </c>
      <c r="U261" s="2">
        <f t="shared" si="69"/>
        <v>232</v>
      </c>
      <c r="V261" s="2" t="str">
        <f t="shared" ref="V261:V324" si="79">DEC2HEX($U261,3)</f>
        <v>0E8</v>
      </c>
      <c r="W261" s="2" t="str">
        <f t="shared" ref="W261:W324" si="80">IF(MOD($S261,4)=3,"X",IF(AND(MOD($S261,4)=2,$J261&gt;8),"X",IF(AND(MOD($S261,4)=1,$J261&gt;16),"X",IF(AND(MOD($S261,4)=0,$J261&gt;24),"X",""))))</f>
        <v/>
      </c>
      <c r="X261" s="2" t="str">
        <f t="shared" si="68"/>
        <v/>
      </c>
      <c r="Y261" s="2" t="str">
        <f t="shared" ref="Y261:Y324" si="81">IF(MOD($S261,4)=1,"X",IF(AND(MOD($S261,4)=0,$J261&gt;8),"X",""))</f>
        <v/>
      </c>
      <c r="Z261" s="2" t="str">
        <f t="shared" ref="Z261:Z324" si="82">IF(MOD($S261,4)=0,"X","")</f>
        <v>X</v>
      </c>
      <c r="AA261" s="2" t="str">
        <f t="shared" si="70"/>
        <v/>
      </c>
      <c r="AB261" s="2" t="str">
        <f t="shared" si="71"/>
        <v/>
      </c>
      <c r="AC261" s="2" t="str">
        <f t="shared" si="72"/>
        <v/>
      </c>
      <c r="AD261" s="2" t="str">
        <f t="shared" si="73"/>
        <v>(0)</v>
      </c>
      <c r="AE261" s="2" t="str">
        <f t="shared" si="74"/>
        <v/>
      </c>
      <c r="AF261" s="2" t="str">
        <f t="shared" si="75"/>
        <v/>
      </c>
      <c r="AG261" s="2" t="str">
        <f t="shared" si="76"/>
        <v/>
      </c>
      <c r="AH261" s="2" t="str">
        <f t="shared" si="77"/>
        <v/>
      </c>
    </row>
    <row r="262" spans="2:34" x14ac:dyDescent="0.25">
      <c r="B262" s="2" t="s">
        <v>602</v>
      </c>
      <c r="C262" s="2" t="s">
        <v>643</v>
      </c>
      <c r="D262" s="2" t="s">
        <v>0</v>
      </c>
      <c r="E262" s="2" t="s">
        <v>130</v>
      </c>
      <c r="F262" s="2" t="s">
        <v>603</v>
      </c>
      <c r="G262" s="2" t="s">
        <v>604</v>
      </c>
      <c r="H262" s="2" t="s">
        <v>644</v>
      </c>
      <c r="I262" s="2" t="s">
        <v>41</v>
      </c>
      <c r="J262" s="2">
        <v>1</v>
      </c>
      <c r="K262" s="2" t="s">
        <v>131</v>
      </c>
      <c r="L262" s="2" t="s">
        <v>40</v>
      </c>
      <c r="P262" s="2" t="s">
        <v>4</v>
      </c>
      <c r="Q262" s="2">
        <f>INDEX(Tables!$C$4:$C$28,MATCH($P262,Tables!$B$4:$B$28,0))</f>
        <v>32</v>
      </c>
      <c r="R262" s="2">
        <f>INDEX(Tables!$D$4:$D$28,MATCH($P262,Tables!$B$4:$B$28,0))</f>
        <v>4</v>
      </c>
      <c r="S262" s="2">
        <f>$S261+$R261+INDEX(Tables!$N$5:$Q$8,MATCH(MOD($S261+$R261,4),Tables!$M$5:$M$8,0),MATCH($R262,Tables!$N$4:$Q$4,0))</f>
        <v>932</v>
      </c>
      <c r="T262" s="2" t="str">
        <f t="shared" si="78"/>
        <v>03A4</v>
      </c>
      <c r="U262" s="2">
        <f t="shared" si="69"/>
        <v>233</v>
      </c>
      <c r="V262" s="2" t="str">
        <f t="shared" si="79"/>
        <v>0E9</v>
      </c>
      <c r="W262" s="2" t="str">
        <f t="shared" si="80"/>
        <v/>
      </c>
      <c r="X262" s="2" t="str">
        <f t="shared" ref="X262:X325" si="83">IF(MOD($S262,4)=2,"X",IF(AND(MOD($S262,4)=1,$J262&gt;8),"X",IF(AND(MOD($S262,4)=0,$J262&gt;16),"X","")))</f>
        <v/>
      </c>
      <c r="Y262" s="2" t="str">
        <f t="shared" si="81"/>
        <v/>
      </c>
      <c r="Z262" s="2" t="str">
        <f t="shared" si="82"/>
        <v>X</v>
      </c>
      <c r="AA262" s="2" t="str">
        <f t="shared" si="70"/>
        <v/>
      </c>
      <c r="AB262" s="2" t="str">
        <f t="shared" si="71"/>
        <v/>
      </c>
      <c r="AC262" s="2" t="str">
        <f t="shared" si="72"/>
        <v/>
      </c>
      <c r="AD262" s="2" t="str">
        <f t="shared" si="73"/>
        <v>(0)</v>
      </c>
      <c r="AE262" s="2" t="str">
        <f t="shared" si="74"/>
        <v/>
      </c>
      <c r="AF262" s="2" t="str">
        <f t="shared" si="75"/>
        <v/>
      </c>
      <c r="AG262" s="2" t="str">
        <f t="shared" si="76"/>
        <v/>
      </c>
      <c r="AH262" s="2" t="str">
        <f t="shared" si="77"/>
        <v/>
      </c>
    </row>
    <row r="263" spans="2:34" x14ac:dyDescent="0.25">
      <c r="B263" s="2" t="s">
        <v>602</v>
      </c>
      <c r="C263" s="2" t="s">
        <v>645</v>
      </c>
      <c r="D263" s="2" t="s">
        <v>0</v>
      </c>
      <c r="E263" s="2" t="s">
        <v>130</v>
      </c>
      <c r="F263" s="2" t="s">
        <v>603</v>
      </c>
      <c r="G263" s="2" t="s">
        <v>604</v>
      </c>
      <c r="H263" s="2" t="s">
        <v>646</v>
      </c>
      <c r="I263" s="2" t="s">
        <v>41</v>
      </c>
      <c r="J263" s="2">
        <v>1</v>
      </c>
      <c r="K263" s="2" t="s">
        <v>131</v>
      </c>
      <c r="L263" s="2" t="s">
        <v>40</v>
      </c>
      <c r="P263" s="2" t="s">
        <v>4</v>
      </c>
      <c r="Q263" s="2">
        <f>INDEX(Tables!$C$4:$C$28,MATCH($P263,Tables!$B$4:$B$28,0))</f>
        <v>32</v>
      </c>
      <c r="R263" s="2">
        <f>INDEX(Tables!$D$4:$D$28,MATCH($P263,Tables!$B$4:$B$28,0))</f>
        <v>4</v>
      </c>
      <c r="S263" s="2">
        <f>$S262+$R262+INDEX(Tables!$N$5:$Q$8,MATCH(MOD($S262+$R262,4),Tables!$M$5:$M$8,0),MATCH($R263,Tables!$N$4:$Q$4,0))</f>
        <v>936</v>
      </c>
      <c r="T263" s="2" t="str">
        <f t="shared" si="78"/>
        <v>03A8</v>
      </c>
      <c r="U263" s="2">
        <f t="shared" si="69"/>
        <v>234</v>
      </c>
      <c r="V263" s="2" t="str">
        <f t="shared" si="79"/>
        <v>0EA</v>
      </c>
      <c r="W263" s="2" t="str">
        <f t="shared" si="80"/>
        <v/>
      </c>
      <c r="X263" s="2" t="str">
        <f t="shared" si="83"/>
        <v/>
      </c>
      <c r="Y263" s="2" t="str">
        <f t="shared" si="81"/>
        <v/>
      </c>
      <c r="Z263" s="2" t="str">
        <f t="shared" si="82"/>
        <v>X</v>
      </c>
      <c r="AA263" s="2" t="str">
        <f t="shared" si="70"/>
        <v/>
      </c>
      <c r="AB263" s="2" t="str">
        <f t="shared" si="71"/>
        <v/>
      </c>
      <c r="AC263" s="2" t="str">
        <f t="shared" si="72"/>
        <v/>
      </c>
      <c r="AD263" s="2" t="str">
        <f t="shared" si="73"/>
        <v>(0)</v>
      </c>
      <c r="AE263" s="2" t="str">
        <f t="shared" si="74"/>
        <v/>
      </c>
      <c r="AF263" s="2" t="str">
        <f t="shared" si="75"/>
        <v/>
      </c>
      <c r="AG263" s="2" t="str">
        <f t="shared" si="76"/>
        <v/>
      </c>
      <c r="AH263" s="2" t="str">
        <f t="shared" si="77"/>
        <v/>
      </c>
    </row>
    <row r="264" spans="2:34" x14ac:dyDescent="0.25">
      <c r="B264" s="2" t="s">
        <v>602</v>
      </c>
      <c r="C264" s="2" t="s">
        <v>647</v>
      </c>
      <c r="D264" s="2" t="s">
        <v>0</v>
      </c>
      <c r="E264" s="2" t="s">
        <v>130</v>
      </c>
      <c r="F264" s="2" t="s">
        <v>603</v>
      </c>
      <c r="G264" s="2" t="s">
        <v>604</v>
      </c>
      <c r="H264" s="2" t="s">
        <v>648</v>
      </c>
      <c r="I264" s="2" t="s">
        <v>41</v>
      </c>
      <c r="J264" s="2">
        <v>1</v>
      </c>
      <c r="K264" s="2" t="s">
        <v>131</v>
      </c>
      <c r="L264" s="2" t="s">
        <v>40</v>
      </c>
      <c r="P264" s="2" t="s">
        <v>4</v>
      </c>
      <c r="Q264" s="2">
        <f>INDEX(Tables!$C$4:$C$28,MATCH($P264,Tables!$B$4:$B$28,0))</f>
        <v>32</v>
      </c>
      <c r="R264" s="2">
        <f>INDEX(Tables!$D$4:$D$28,MATCH($P264,Tables!$B$4:$B$28,0))</f>
        <v>4</v>
      </c>
      <c r="S264" s="2">
        <f>$S263+$R263+INDEX(Tables!$N$5:$Q$8,MATCH(MOD($S263+$R263,4),Tables!$M$5:$M$8,0),MATCH($R264,Tables!$N$4:$Q$4,0))</f>
        <v>940</v>
      </c>
      <c r="T264" s="2" t="str">
        <f t="shared" si="78"/>
        <v>03AC</v>
      </c>
      <c r="U264" s="2">
        <f t="shared" si="69"/>
        <v>235</v>
      </c>
      <c r="V264" s="2" t="str">
        <f t="shared" si="79"/>
        <v>0EB</v>
      </c>
      <c r="W264" s="2" t="str">
        <f t="shared" si="80"/>
        <v/>
      </c>
      <c r="X264" s="2" t="str">
        <f t="shared" si="83"/>
        <v/>
      </c>
      <c r="Y264" s="2" t="str">
        <f t="shared" si="81"/>
        <v/>
      </c>
      <c r="Z264" s="2" t="str">
        <f t="shared" si="82"/>
        <v>X</v>
      </c>
      <c r="AA264" s="2" t="str">
        <f t="shared" si="70"/>
        <v/>
      </c>
      <c r="AB264" s="2" t="str">
        <f t="shared" si="71"/>
        <v/>
      </c>
      <c r="AC264" s="2" t="str">
        <f t="shared" si="72"/>
        <v/>
      </c>
      <c r="AD264" s="2" t="str">
        <f t="shared" si="73"/>
        <v>(0)</v>
      </c>
      <c r="AE264" s="2" t="str">
        <f t="shared" si="74"/>
        <v/>
      </c>
      <c r="AF264" s="2" t="str">
        <f t="shared" si="75"/>
        <v/>
      </c>
      <c r="AG264" s="2" t="str">
        <f t="shared" si="76"/>
        <v/>
      </c>
      <c r="AH264" s="2" t="str">
        <f t="shared" si="77"/>
        <v/>
      </c>
    </row>
    <row r="265" spans="2:34" x14ac:dyDescent="0.25">
      <c r="B265" s="2" t="s">
        <v>602</v>
      </c>
      <c r="C265" s="2" t="s">
        <v>168</v>
      </c>
      <c r="D265" s="2" t="s">
        <v>0</v>
      </c>
      <c r="E265" s="2" t="s">
        <v>130</v>
      </c>
      <c r="F265" s="2" t="s">
        <v>603</v>
      </c>
      <c r="G265" s="2" t="s">
        <v>604</v>
      </c>
      <c r="H265" s="2" t="s">
        <v>169</v>
      </c>
      <c r="I265" s="2" t="s">
        <v>41</v>
      </c>
      <c r="J265" s="2">
        <v>1</v>
      </c>
      <c r="K265" s="2" t="s">
        <v>81</v>
      </c>
      <c r="L265" s="2" t="s">
        <v>40</v>
      </c>
      <c r="P265" s="2" t="s">
        <v>4</v>
      </c>
      <c r="Q265" s="2">
        <f>INDEX(Tables!$C$4:$C$28,MATCH($P265,Tables!$B$4:$B$28,0))</f>
        <v>32</v>
      </c>
      <c r="R265" s="2">
        <f>INDEX(Tables!$D$4:$D$28,MATCH($P265,Tables!$B$4:$B$28,0))</f>
        <v>4</v>
      </c>
      <c r="S265" s="2">
        <f>$S264+$R264+INDEX(Tables!$N$5:$Q$8,MATCH(MOD($S264+$R264,4),Tables!$M$5:$M$8,0),MATCH($R265,Tables!$N$4:$Q$4,0))</f>
        <v>944</v>
      </c>
      <c r="T265" s="2" t="str">
        <f t="shared" si="78"/>
        <v>03B0</v>
      </c>
      <c r="U265" s="2">
        <f t="shared" ref="U265:U328" si="84">ROUNDDOWN(S265/4,0)</f>
        <v>236</v>
      </c>
      <c r="V265" s="2" t="str">
        <f t="shared" si="79"/>
        <v>0EC</v>
      </c>
      <c r="W265" s="2" t="str">
        <f t="shared" si="80"/>
        <v/>
      </c>
      <c r="X265" s="2" t="str">
        <f t="shared" si="83"/>
        <v/>
      </c>
      <c r="Y265" s="2" t="str">
        <f t="shared" si="81"/>
        <v/>
      </c>
      <c r="Z265" s="2" t="str">
        <f t="shared" si="82"/>
        <v>X</v>
      </c>
      <c r="AA265" s="2" t="str">
        <f t="shared" ref="AA265:AA328" si="85">IF(W265="","",CONCATENATE("(",IF(($J265-COUNTIF($X265:$Z265,"X")*8)=1,"24)",CONCATENATE(IF(($J265-COUNTIF($X265:$Z265,"X")*8)&gt;=8,32,($J265-COUNTIF($X265:$Z265,"X")*8)+24)-1," downto 24)"))))</f>
        <v/>
      </c>
      <c r="AB265" s="2" t="str">
        <f t="shared" ref="AB265:AB328" si="86">IF(X265="","",CONCATENATE("(",IF(($J265-COUNTIF($Y265:$Z265,"X")*8)=1,"16)",CONCATENATE(IF(($J265-COUNTIF($Y265:$Z265,"X")*8)&gt;=8,24,($J265-COUNTIF($Y265:$Z265,"X")*8)+16)-1," downto 16)"))))</f>
        <v/>
      </c>
      <c r="AC265" s="2" t="str">
        <f t="shared" ref="AC265:AC328" si="87">IF(Y265="","",CONCATENATE("(",IF(($J265-COUNTIF($Z265,"X")*8)=1,"8)",CONCATENATE(IF(($J265-COUNTIF($Z265,"X")*8)&gt;=8,16,($J265-COUNTIF($Z265,"X")*8)+8)-1," downto 8)"))))</f>
        <v/>
      </c>
      <c r="AD265" s="2" t="str">
        <f t="shared" ref="AD265:AD328" si="88">IF(Z265="","",CONCATENATE("(",IF($J265=1,"0)",CONCATENATE(IF($J265&gt;=8,8,$J265)-1," downto 0)"))))</f>
        <v>(0)</v>
      </c>
      <c r="AE265" s="2" t="str">
        <f t="shared" ref="AE265:AE328" si="89">IF(W265="","",IF($J265&lt;=8,"",IF(($J265-COUNTIF($X265:$Z265,"X")*8)=1,CONCATENATE("(",($J265-1),")"),CONCATENATE("(",IF(($J265-COUNTIF($X265:$Z265,"X")*8)&gt;=8,COUNTIF($X265:$Z265,"X")*8+7,$J265-COUNTIF($X265:$Z265,"X")*8-1+COUNTIF($X265:$Z265,"X")*8)," downto ",COUNTIF($X265:$Z265,"X")*8,")"))))</f>
        <v/>
      </c>
      <c r="AF265" s="2" t="str">
        <f t="shared" ref="AF265:AF328" si="90">IF(X265="","",IF($J265&lt;=8,"",IF(($J265-COUNTIF($Y265:$Z265,"X")*8)=1,CONCATENATE("(",($J265-1),")"),CONCATENATE("(",IF(($J265-COUNTIF($Y265:$Z265,"X")*8)&gt;=8,COUNTIF($Y265:$Z265,"X")*8+7,$J265-COUNTIF($Y265:$Z265,"X")*8-1+COUNTIF($Y265:$Z265,"X")*8)," downto ",COUNTIF($Y265:$Z265,"X")*8,")"))))</f>
        <v/>
      </c>
      <c r="AG265" s="2" t="str">
        <f t="shared" ref="AG265:AG328" si="91">IF(Y265="","",IF($J265&lt;=8,"",IF(($J265-COUNTIF($Z265,"X")*8)=1,CONCATENATE("(",($J265-1),")"),CONCATENATE("(",IF(($J265-COUNTIF($Z265,"X")*8)&gt;=8,COUNTIF($Z265,"X")*8+7,$J265-COUNTIF($Z265,"X")*8-1+COUNTIF($Z265,"X")*8)," downto ",COUNTIF($Z265,"X")*8,")"))))</f>
        <v/>
      </c>
      <c r="AH265" s="2" t="str">
        <f t="shared" ref="AH265:AH328" si="92">IF(Z265="","",IF($J265&lt;=8,"",CONCATENATE("(",IF($J265&gt;=8,7,$J265-1)," downto ",0,")")))</f>
        <v/>
      </c>
    </row>
    <row r="266" spans="2:34" x14ac:dyDescent="0.25">
      <c r="B266" s="2" t="s">
        <v>602</v>
      </c>
      <c r="C266" s="2" t="s">
        <v>649</v>
      </c>
      <c r="D266" s="2" t="s">
        <v>0</v>
      </c>
      <c r="E266" s="2" t="s">
        <v>130</v>
      </c>
      <c r="F266" s="2" t="s">
        <v>603</v>
      </c>
      <c r="G266" s="2" t="s">
        <v>604</v>
      </c>
      <c r="H266" s="2" t="s">
        <v>650</v>
      </c>
      <c r="I266" s="2" t="s">
        <v>41</v>
      </c>
      <c r="J266" s="2">
        <v>7</v>
      </c>
      <c r="K266" s="2" t="s">
        <v>651</v>
      </c>
      <c r="L266" s="2" t="s">
        <v>40</v>
      </c>
      <c r="P266" s="2" t="s">
        <v>47</v>
      </c>
      <c r="Q266" s="2">
        <f>INDEX(Tables!$C$4:$C$28,MATCH($P266,Tables!$B$4:$B$28,0))</f>
        <v>8</v>
      </c>
      <c r="R266" s="2">
        <f>INDEX(Tables!$D$4:$D$28,MATCH($P266,Tables!$B$4:$B$28,0))</f>
        <v>1</v>
      </c>
      <c r="S266" s="2">
        <f>$S265+$R265+INDEX(Tables!$N$5:$Q$8,MATCH(MOD($S265+$R265,4),Tables!$M$5:$M$8,0),MATCH($R266,Tables!$N$4:$Q$4,0))</f>
        <v>948</v>
      </c>
      <c r="T266" s="2" t="str">
        <f t="shared" si="78"/>
        <v>03B4</v>
      </c>
      <c r="U266" s="2">
        <f t="shared" si="84"/>
        <v>237</v>
      </c>
      <c r="V266" s="2" t="str">
        <f t="shared" si="79"/>
        <v>0ED</v>
      </c>
      <c r="W266" s="2" t="str">
        <f t="shared" si="80"/>
        <v/>
      </c>
      <c r="X266" s="2" t="str">
        <f t="shared" si="83"/>
        <v/>
      </c>
      <c r="Y266" s="2" t="str">
        <f t="shared" si="81"/>
        <v/>
      </c>
      <c r="Z266" s="2" t="str">
        <f t="shared" si="82"/>
        <v>X</v>
      </c>
      <c r="AA266" s="2" t="str">
        <f t="shared" si="85"/>
        <v/>
      </c>
      <c r="AB266" s="2" t="str">
        <f t="shared" si="86"/>
        <v/>
      </c>
      <c r="AC266" s="2" t="str">
        <f t="shared" si="87"/>
        <v/>
      </c>
      <c r="AD266" s="2" t="str">
        <f t="shared" si="88"/>
        <v>(6 downto 0)</v>
      </c>
      <c r="AE266" s="2" t="str">
        <f t="shared" si="89"/>
        <v/>
      </c>
      <c r="AF266" s="2" t="str">
        <f t="shared" si="90"/>
        <v/>
      </c>
      <c r="AG266" s="2" t="str">
        <f t="shared" si="91"/>
        <v/>
      </c>
      <c r="AH266" s="2" t="str">
        <f t="shared" si="92"/>
        <v/>
      </c>
    </row>
    <row r="267" spans="2:34" x14ac:dyDescent="0.25">
      <c r="B267" s="2" t="s">
        <v>652</v>
      </c>
      <c r="C267" s="2" t="s">
        <v>653</v>
      </c>
      <c r="D267" s="2" t="s">
        <v>0</v>
      </c>
      <c r="E267" s="2" t="s">
        <v>130</v>
      </c>
      <c r="F267" s="2" t="s">
        <v>654</v>
      </c>
      <c r="G267" s="2" t="s">
        <v>655</v>
      </c>
      <c r="H267" s="2" t="s">
        <v>656</v>
      </c>
      <c r="I267" s="2" t="s">
        <v>41</v>
      </c>
      <c r="J267" s="2">
        <v>8</v>
      </c>
      <c r="K267" s="2" t="s">
        <v>657</v>
      </c>
      <c r="L267" s="2" t="s">
        <v>40</v>
      </c>
      <c r="P267" s="2" t="s">
        <v>47</v>
      </c>
      <c r="Q267" s="2">
        <f>INDEX(Tables!$C$4:$C$28,MATCH($P267,Tables!$B$4:$B$28,0))</f>
        <v>8</v>
      </c>
      <c r="R267" s="2">
        <f>INDEX(Tables!$D$4:$D$28,MATCH($P267,Tables!$B$4:$B$28,0))</f>
        <v>1</v>
      </c>
      <c r="S267" s="2">
        <f>$S266+$R266+INDEX(Tables!$N$5:$Q$8,MATCH(MOD($S266+$R266,4),Tables!$M$5:$M$8,0),MATCH($R267,Tables!$N$4:$Q$4,0))</f>
        <v>949</v>
      </c>
      <c r="T267" s="2" t="str">
        <f t="shared" si="78"/>
        <v>03B5</v>
      </c>
      <c r="U267" s="2">
        <f t="shared" si="84"/>
        <v>237</v>
      </c>
      <c r="V267" s="2" t="str">
        <f t="shared" si="79"/>
        <v>0ED</v>
      </c>
      <c r="W267" s="2" t="str">
        <f t="shared" si="80"/>
        <v/>
      </c>
      <c r="X267" s="2" t="str">
        <f t="shared" si="83"/>
        <v/>
      </c>
      <c r="Y267" s="2" t="str">
        <f t="shared" si="81"/>
        <v>X</v>
      </c>
      <c r="Z267" s="2" t="str">
        <f t="shared" si="82"/>
        <v/>
      </c>
      <c r="AA267" s="2" t="str">
        <f t="shared" si="85"/>
        <v/>
      </c>
      <c r="AB267" s="2" t="str">
        <f t="shared" si="86"/>
        <v/>
      </c>
      <c r="AC267" s="2" t="str">
        <f t="shared" si="87"/>
        <v>(15 downto 8)</v>
      </c>
      <c r="AD267" s="2" t="str">
        <f t="shared" si="88"/>
        <v/>
      </c>
      <c r="AE267" s="2" t="str">
        <f t="shared" si="89"/>
        <v/>
      </c>
      <c r="AF267" s="2" t="str">
        <f t="shared" si="90"/>
        <v/>
      </c>
      <c r="AG267" s="2" t="str">
        <f t="shared" si="91"/>
        <v/>
      </c>
      <c r="AH267" s="2" t="str">
        <f t="shared" si="92"/>
        <v/>
      </c>
    </row>
    <row r="268" spans="2:34" x14ac:dyDescent="0.25">
      <c r="B268" s="2" t="s">
        <v>652</v>
      </c>
      <c r="C268" s="2" t="s">
        <v>658</v>
      </c>
      <c r="D268" s="2" t="s">
        <v>0</v>
      </c>
      <c r="E268" s="2" t="s">
        <v>130</v>
      </c>
      <c r="F268" s="2" t="s">
        <v>654</v>
      </c>
      <c r="G268" s="2" t="s">
        <v>655</v>
      </c>
      <c r="H268" s="2" t="s">
        <v>659</v>
      </c>
      <c r="I268" s="2" t="s">
        <v>41</v>
      </c>
      <c r="J268" s="2">
        <v>8</v>
      </c>
      <c r="K268" s="2" t="s">
        <v>660</v>
      </c>
      <c r="L268" s="2" t="s">
        <v>40</v>
      </c>
      <c r="P268" s="2" t="s">
        <v>47</v>
      </c>
      <c r="Q268" s="2">
        <f>INDEX(Tables!$C$4:$C$28,MATCH($P268,Tables!$B$4:$B$28,0))</f>
        <v>8</v>
      </c>
      <c r="R268" s="2">
        <f>INDEX(Tables!$D$4:$D$28,MATCH($P268,Tables!$B$4:$B$28,0))</f>
        <v>1</v>
      </c>
      <c r="S268" s="2">
        <f>$S267+$R267+INDEX(Tables!$N$5:$Q$8,MATCH(MOD($S267+$R267,4),Tables!$M$5:$M$8,0),MATCH($R268,Tables!$N$4:$Q$4,0))</f>
        <v>950</v>
      </c>
      <c r="T268" s="2" t="str">
        <f t="shared" si="78"/>
        <v>03B6</v>
      </c>
      <c r="U268" s="2">
        <f t="shared" si="84"/>
        <v>237</v>
      </c>
      <c r="V268" s="2" t="str">
        <f t="shared" si="79"/>
        <v>0ED</v>
      </c>
      <c r="W268" s="2" t="str">
        <f t="shared" si="80"/>
        <v/>
      </c>
      <c r="X268" s="2" t="str">
        <f t="shared" si="83"/>
        <v>X</v>
      </c>
      <c r="Y268" s="2" t="str">
        <f t="shared" si="81"/>
        <v/>
      </c>
      <c r="Z268" s="2" t="str">
        <f t="shared" si="82"/>
        <v/>
      </c>
      <c r="AA268" s="2" t="str">
        <f t="shared" si="85"/>
        <v/>
      </c>
      <c r="AB268" s="2" t="str">
        <f t="shared" si="86"/>
        <v>(23 downto 16)</v>
      </c>
      <c r="AC268" s="2" t="str">
        <f t="shared" si="87"/>
        <v/>
      </c>
      <c r="AD268" s="2" t="str">
        <f t="shared" si="88"/>
        <v/>
      </c>
      <c r="AE268" s="2" t="str">
        <f t="shared" si="89"/>
        <v/>
      </c>
      <c r="AF268" s="2" t="str">
        <f t="shared" si="90"/>
        <v/>
      </c>
      <c r="AG268" s="2" t="str">
        <f t="shared" si="91"/>
        <v/>
      </c>
      <c r="AH268" s="2" t="str">
        <f t="shared" si="92"/>
        <v/>
      </c>
    </row>
    <row r="269" spans="2:34" x14ac:dyDescent="0.25">
      <c r="B269" s="2" t="s">
        <v>652</v>
      </c>
      <c r="C269" s="2" t="s">
        <v>661</v>
      </c>
      <c r="D269" s="2" t="s">
        <v>0</v>
      </c>
      <c r="E269" s="2" t="s">
        <v>130</v>
      </c>
      <c r="F269" s="2" t="s">
        <v>654</v>
      </c>
      <c r="G269" s="2" t="s">
        <v>655</v>
      </c>
      <c r="H269" s="2" t="s">
        <v>662</v>
      </c>
      <c r="I269" s="2" t="s">
        <v>41</v>
      </c>
      <c r="J269" s="2">
        <v>8</v>
      </c>
      <c r="K269" s="2" t="s">
        <v>292</v>
      </c>
      <c r="L269" s="2" t="s">
        <v>40</v>
      </c>
      <c r="P269" s="2" t="s">
        <v>47</v>
      </c>
      <c r="Q269" s="2">
        <f>INDEX(Tables!$C$4:$C$28,MATCH($P269,Tables!$B$4:$B$28,0))</f>
        <v>8</v>
      </c>
      <c r="R269" s="2">
        <f>INDEX(Tables!$D$4:$D$28,MATCH($P269,Tables!$B$4:$B$28,0))</f>
        <v>1</v>
      </c>
      <c r="S269" s="2">
        <f>$S268+$R268+INDEX(Tables!$N$5:$Q$8,MATCH(MOD($S268+$R268,4),Tables!$M$5:$M$8,0),MATCH($R269,Tables!$N$4:$Q$4,0))</f>
        <v>951</v>
      </c>
      <c r="T269" s="2" t="str">
        <f t="shared" si="78"/>
        <v>03B7</v>
      </c>
      <c r="U269" s="2">
        <f t="shared" si="84"/>
        <v>237</v>
      </c>
      <c r="V269" s="2" t="str">
        <f t="shared" si="79"/>
        <v>0ED</v>
      </c>
      <c r="W269" s="2" t="str">
        <f t="shared" si="80"/>
        <v>X</v>
      </c>
      <c r="X269" s="2" t="str">
        <f t="shared" si="83"/>
        <v/>
      </c>
      <c r="Y269" s="2" t="str">
        <f t="shared" si="81"/>
        <v/>
      </c>
      <c r="Z269" s="2" t="str">
        <f t="shared" si="82"/>
        <v/>
      </c>
      <c r="AA269" s="2" t="str">
        <f t="shared" si="85"/>
        <v>(31 downto 24)</v>
      </c>
      <c r="AB269" s="2" t="str">
        <f t="shared" si="86"/>
        <v/>
      </c>
      <c r="AC269" s="2" t="str">
        <f t="shared" si="87"/>
        <v/>
      </c>
      <c r="AD269" s="2" t="str">
        <f t="shared" si="88"/>
        <v/>
      </c>
      <c r="AE269" s="2" t="str">
        <f t="shared" si="89"/>
        <v/>
      </c>
      <c r="AF269" s="2" t="str">
        <f t="shared" si="90"/>
        <v/>
      </c>
      <c r="AG269" s="2" t="str">
        <f t="shared" si="91"/>
        <v/>
      </c>
      <c r="AH269" s="2" t="str">
        <f t="shared" si="92"/>
        <v/>
      </c>
    </row>
    <row r="270" spans="2:34" x14ac:dyDescent="0.25">
      <c r="B270" s="2" t="s">
        <v>652</v>
      </c>
      <c r="C270" s="2" t="s">
        <v>663</v>
      </c>
      <c r="D270" s="2" t="s">
        <v>0</v>
      </c>
      <c r="E270" s="2" t="s">
        <v>130</v>
      </c>
      <c r="F270" s="2" t="s">
        <v>654</v>
      </c>
      <c r="G270" s="2" t="s">
        <v>655</v>
      </c>
      <c r="H270" s="2" t="s">
        <v>664</v>
      </c>
      <c r="I270" s="2" t="s">
        <v>41</v>
      </c>
      <c r="J270" s="2">
        <v>8</v>
      </c>
      <c r="K270" s="2" t="s">
        <v>665</v>
      </c>
      <c r="L270" s="2" t="s">
        <v>40</v>
      </c>
      <c r="P270" s="2" t="s">
        <v>47</v>
      </c>
      <c r="Q270" s="2">
        <f>INDEX(Tables!$C$4:$C$28,MATCH($P270,Tables!$B$4:$B$28,0))</f>
        <v>8</v>
      </c>
      <c r="R270" s="2">
        <f>INDEX(Tables!$D$4:$D$28,MATCH($P270,Tables!$B$4:$B$28,0))</f>
        <v>1</v>
      </c>
      <c r="S270" s="2">
        <f>$S269+$R269+INDEX(Tables!$N$5:$Q$8,MATCH(MOD($S269+$R269,4),Tables!$M$5:$M$8,0),MATCH($R270,Tables!$N$4:$Q$4,0))</f>
        <v>952</v>
      </c>
      <c r="T270" s="2" t="str">
        <f t="shared" si="78"/>
        <v>03B8</v>
      </c>
      <c r="U270" s="2">
        <f t="shared" si="84"/>
        <v>238</v>
      </c>
      <c r="V270" s="2" t="str">
        <f t="shared" si="79"/>
        <v>0EE</v>
      </c>
      <c r="W270" s="2" t="str">
        <f t="shared" si="80"/>
        <v/>
      </c>
      <c r="X270" s="2" t="str">
        <f t="shared" si="83"/>
        <v/>
      </c>
      <c r="Y270" s="2" t="str">
        <f t="shared" si="81"/>
        <v/>
      </c>
      <c r="Z270" s="2" t="str">
        <f t="shared" si="82"/>
        <v>X</v>
      </c>
      <c r="AA270" s="2" t="str">
        <f t="shared" si="85"/>
        <v/>
      </c>
      <c r="AB270" s="2" t="str">
        <f t="shared" si="86"/>
        <v/>
      </c>
      <c r="AC270" s="2" t="str">
        <f t="shared" si="87"/>
        <v/>
      </c>
      <c r="AD270" s="2" t="str">
        <f t="shared" si="88"/>
        <v>(7 downto 0)</v>
      </c>
      <c r="AE270" s="2" t="str">
        <f t="shared" si="89"/>
        <v/>
      </c>
      <c r="AF270" s="2" t="str">
        <f t="shared" si="90"/>
        <v/>
      </c>
      <c r="AG270" s="2" t="str">
        <f t="shared" si="91"/>
        <v/>
      </c>
      <c r="AH270" s="2" t="str">
        <f t="shared" si="92"/>
        <v/>
      </c>
    </row>
    <row r="271" spans="2:34" x14ac:dyDescent="0.25">
      <c r="B271" s="2" t="s">
        <v>666</v>
      </c>
      <c r="C271" s="2" t="s">
        <v>667</v>
      </c>
      <c r="D271" s="2" t="s">
        <v>0</v>
      </c>
      <c r="E271" s="2" t="s">
        <v>130</v>
      </c>
      <c r="F271" s="2" t="s">
        <v>668</v>
      </c>
      <c r="G271" s="2" t="s">
        <v>669</v>
      </c>
      <c r="H271" s="2" t="s">
        <v>670</v>
      </c>
      <c r="I271" s="2" t="s">
        <v>41</v>
      </c>
      <c r="J271" s="2">
        <v>8</v>
      </c>
      <c r="K271" s="2" t="s">
        <v>292</v>
      </c>
      <c r="L271" s="2" t="s">
        <v>40</v>
      </c>
      <c r="P271" s="2" t="s">
        <v>47</v>
      </c>
      <c r="Q271" s="2">
        <f>INDEX(Tables!$C$4:$C$28,MATCH($P271,Tables!$B$4:$B$28,0))</f>
        <v>8</v>
      </c>
      <c r="R271" s="2">
        <f>INDEX(Tables!$D$4:$D$28,MATCH($P271,Tables!$B$4:$B$28,0))</f>
        <v>1</v>
      </c>
      <c r="S271" s="2">
        <f>$S270+$R270+INDEX(Tables!$N$5:$Q$8,MATCH(MOD($S270+$R270,4),Tables!$M$5:$M$8,0),MATCH($R271,Tables!$N$4:$Q$4,0))</f>
        <v>953</v>
      </c>
      <c r="T271" s="2" t="str">
        <f t="shared" si="78"/>
        <v>03B9</v>
      </c>
      <c r="U271" s="2">
        <f t="shared" si="84"/>
        <v>238</v>
      </c>
      <c r="V271" s="2" t="str">
        <f t="shared" si="79"/>
        <v>0EE</v>
      </c>
      <c r="W271" s="2" t="str">
        <f t="shared" si="80"/>
        <v/>
      </c>
      <c r="X271" s="2" t="str">
        <f t="shared" si="83"/>
        <v/>
      </c>
      <c r="Y271" s="2" t="str">
        <f t="shared" si="81"/>
        <v>X</v>
      </c>
      <c r="Z271" s="2" t="str">
        <f t="shared" si="82"/>
        <v/>
      </c>
      <c r="AA271" s="2" t="str">
        <f t="shared" si="85"/>
        <v/>
      </c>
      <c r="AB271" s="2" t="str">
        <f t="shared" si="86"/>
        <v/>
      </c>
      <c r="AC271" s="2" t="str">
        <f t="shared" si="87"/>
        <v>(15 downto 8)</v>
      </c>
      <c r="AD271" s="2" t="str">
        <f t="shared" si="88"/>
        <v/>
      </c>
      <c r="AE271" s="2" t="str">
        <f t="shared" si="89"/>
        <v/>
      </c>
      <c r="AF271" s="2" t="str">
        <f t="shared" si="90"/>
        <v/>
      </c>
      <c r="AG271" s="2" t="str">
        <f t="shared" si="91"/>
        <v/>
      </c>
      <c r="AH271" s="2" t="str">
        <f t="shared" si="92"/>
        <v/>
      </c>
    </row>
    <row r="272" spans="2:34" x14ac:dyDescent="0.25">
      <c r="B272" s="2" t="s">
        <v>666</v>
      </c>
      <c r="C272" s="2" t="s">
        <v>671</v>
      </c>
      <c r="D272" s="2" t="s">
        <v>0</v>
      </c>
      <c r="E272" s="2" t="s">
        <v>130</v>
      </c>
      <c r="F272" s="2" t="s">
        <v>668</v>
      </c>
      <c r="G272" s="2" t="s">
        <v>669</v>
      </c>
      <c r="H272" s="2" t="s">
        <v>672</v>
      </c>
      <c r="I272" s="2" t="s">
        <v>41</v>
      </c>
      <c r="J272" s="2">
        <v>8</v>
      </c>
      <c r="K272" s="2" t="s">
        <v>292</v>
      </c>
      <c r="L272" s="2" t="s">
        <v>40</v>
      </c>
      <c r="P272" s="2" t="s">
        <v>47</v>
      </c>
      <c r="Q272" s="2">
        <f>INDEX(Tables!$C$4:$C$28,MATCH($P272,Tables!$B$4:$B$28,0))</f>
        <v>8</v>
      </c>
      <c r="R272" s="2">
        <f>INDEX(Tables!$D$4:$D$28,MATCH($P272,Tables!$B$4:$B$28,0))</f>
        <v>1</v>
      </c>
      <c r="S272" s="2">
        <f>$S271+$R271+INDEX(Tables!$N$5:$Q$8,MATCH(MOD($S271+$R271,4),Tables!$M$5:$M$8,0),MATCH($R272,Tables!$N$4:$Q$4,0))</f>
        <v>954</v>
      </c>
      <c r="T272" s="2" t="str">
        <f t="shared" si="78"/>
        <v>03BA</v>
      </c>
      <c r="U272" s="2">
        <f t="shared" si="84"/>
        <v>238</v>
      </c>
      <c r="V272" s="2" t="str">
        <f t="shared" si="79"/>
        <v>0EE</v>
      </c>
      <c r="W272" s="2" t="str">
        <f t="shared" si="80"/>
        <v/>
      </c>
      <c r="X272" s="2" t="str">
        <f t="shared" si="83"/>
        <v>X</v>
      </c>
      <c r="Y272" s="2" t="str">
        <f t="shared" si="81"/>
        <v/>
      </c>
      <c r="Z272" s="2" t="str">
        <f t="shared" si="82"/>
        <v/>
      </c>
      <c r="AA272" s="2" t="str">
        <f t="shared" si="85"/>
        <v/>
      </c>
      <c r="AB272" s="2" t="str">
        <f t="shared" si="86"/>
        <v>(23 downto 16)</v>
      </c>
      <c r="AC272" s="2" t="str">
        <f t="shared" si="87"/>
        <v/>
      </c>
      <c r="AD272" s="2" t="str">
        <f t="shared" si="88"/>
        <v/>
      </c>
      <c r="AE272" s="2" t="str">
        <f t="shared" si="89"/>
        <v/>
      </c>
      <c r="AF272" s="2" t="str">
        <f t="shared" si="90"/>
        <v/>
      </c>
      <c r="AG272" s="2" t="str">
        <f t="shared" si="91"/>
        <v/>
      </c>
      <c r="AH272" s="2" t="str">
        <f t="shared" si="92"/>
        <v/>
      </c>
    </row>
    <row r="273" spans="2:34" x14ac:dyDescent="0.25">
      <c r="B273" s="2" t="s">
        <v>666</v>
      </c>
      <c r="C273" s="2" t="s">
        <v>673</v>
      </c>
      <c r="D273" s="2" t="s">
        <v>0</v>
      </c>
      <c r="E273" s="2" t="s">
        <v>130</v>
      </c>
      <c r="F273" s="2" t="s">
        <v>668</v>
      </c>
      <c r="G273" s="2" t="s">
        <v>669</v>
      </c>
      <c r="H273" s="2" t="s">
        <v>674</v>
      </c>
      <c r="I273" s="2" t="s">
        <v>41</v>
      </c>
      <c r="J273" s="2">
        <v>8</v>
      </c>
      <c r="K273" s="2" t="s">
        <v>292</v>
      </c>
      <c r="L273" s="2" t="s">
        <v>40</v>
      </c>
      <c r="P273" s="2" t="s">
        <v>47</v>
      </c>
      <c r="Q273" s="2">
        <f>INDEX(Tables!$C$4:$C$28,MATCH($P273,Tables!$B$4:$B$28,0))</f>
        <v>8</v>
      </c>
      <c r="R273" s="2">
        <f>INDEX(Tables!$D$4:$D$28,MATCH($P273,Tables!$B$4:$B$28,0))</f>
        <v>1</v>
      </c>
      <c r="S273" s="2">
        <f>$S272+$R272+INDEX(Tables!$N$5:$Q$8,MATCH(MOD($S272+$R272,4),Tables!$M$5:$M$8,0),MATCH($R273,Tables!$N$4:$Q$4,0))</f>
        <v>955</v>
      </c>
      <c r="T273" s="2" t="str">
        <f t="shared" si="78"/>
        <v>03BB</v>
      </c>
      <c r="U273" s="2">
        <f t="shared" si="84"/>
        <v>238</v>
      </c>
      <c r="V273" s="2" t="str">
        <f t="shared" si="79"/>
        <v>0EE</v>
      </c>
      <c r="W273" s="2" t="str">
        <f t="shared" si="80"/>
        <v>X</v>
      </c>
      <c r="X273" s="2" t="str">
        <f t="shared" si="83"/>
        <v/>
      </c>
      <c r="Y273" s="2" t="str">
        <f t="shared" si="81"/>
        <v/>
      </c>
      <c r="Z273" s="2" t="str">
        <f t="shared" si="82"/>
        <v/>
      </c>
      <c r="AA273" s="2" t="str">
        <f t="shared" si="85"/>
        <v>(31 downto 24)</v>
      </c>
      <c r="AB273" s="2" t="str">
        <f t="shared" si="86"/>
        <v/>
      </c>
      <c r="AC273" s="2" t="str">
        <f t="shared" si="87"/>
        <v/>
      </c>
      <c r="AD273" s="2" t="str">
        <f t="shared" si="88"/>
        <v/>
      </c>
      <c r="AE273" s="2" t="str">
        <f t="shared" si="89"/>
        <v/>
      </c>
      <c r="AF273" s="2" t="str">
        <f t="shared" si="90"/>
        <v/>
      </c>
      <c r="AG273" s="2" t="str">
        <f t="shared" si="91"/>
        <v/>
      </c>
      <c r="AH273" s="2" t="str">
        <f t="shared" si="92"/>
        <v/>
      </c>
    </row>
    <row r="274" spans="2:34" x14ac:dyDescent="0.25">
      <c r="B274" s="2" t="s">
        <v>666</v>
      </c>
      <c r="C274" s="2" t="s">
        <v>675</v>
      </c>
      <c r="D274" s="2" t="s">
        <v>0</v>
      </c>
      <c r="E274" s="2" t="s">
        <v>130</v>
      </c>
      <c r="F274" s="2" t="s">
        <v>668</v>
      </c>
      <c r="G274" s="2" t="s">
        <v>669</v>
      </c>
      <c r="H274" s="2" t="s">
        <v>676</v>
      </c>
      <c r="I274" s="2" t="s">
        <v>41</v>
      </c>
      <c r="J274" s="2">
        <v>8</v>
      </c>
      <c r="K274" s="2" t="s">
        <v>292</v>
      </c>
      <c r="L274" s="2" t="s">
        <v>40</v>
      </c>
      <c r="P274" s="2" t="s">
        <v>47</v>
      </c>
      <c r="Q274" s="2">
        <f>INDEX(Tables!$C$4:$C$28,MATCH($P274,Tables!$B$4:$B$28,0))</f>
        <v>8</v>
      </c>
      <c r="R274" s="2">
        <f>INDEX(Tables!$D$4:$D$28,MATCH($P274,Tables!$B$4:$B$28,0))</f>
        <v>1</v>
      </c>
      <c r="S274" s="2">
        <f>$S273+$R273+INDEX(Tables!$N$5:$Q$8,MATCH(MOD($S273+$R273,4),Tables!$M$5:$M$8,0),MATCH($R274,Tables!$N$4:$Q$4,0))</f>
        <v>956</v>
      </c>
      <c r="T274" s="2" t="str">
        <f t="shared" si="78"/>
        <v>03BC</v>
      </c>
      <c r="U274" s="2">
        <f t="shared" si="84"/>
        <v>239</v>
      </c>
      <c r="V274" s="2" t="str">
        <f t="shared" si="79"/>
        <v>0EF</v>
      </c>
      <c r="W274" s="2" t="str">
        <f t="shared" si="80"/>
        <v/>
      </c>
      <c r="X274" s="2" t="str">
        <f t="shared" si="83"/>
        <v/>
      </c>
      <c r="Y274" s="2" t="str">
        <f t="shared" si="81"/>
        <v/>
      </c>
      <c r="Z274" s="2" t="str">
        <f t="shared" si="82"/>
        <v>X</v>
      </c>
      <c r="AA274" s="2" t="str">
        <f t="shared" si="85"/>
        <v/>
      </c>
      <c r="AB274" s="2" t="str">
        <f t="shared" si="86"/>
        <v/>
      </c>
      <c r="AC274" s="2" t="str">
        <f t="shared" si="87"/>
        <v/>
      </c>
      <c r="AD274" s="2" t="str">
        <f t="shared" si="88"/>
        <v>(7 downto 0)</v>
      </c>
      <c r="AE274" s="2" t="str">
        <f t="shared" si="89"/>
        <v/>
      </c>
      <c r="AF274" s="2" t="str">
        <f t="shared" si="90"/>
        <v/>
      </c>
      <c r="AG274" s="2" t="str">
        <f t="shared" si="91"/>
        <v/>
      </c>
      <c r="AH274" s="2" t="str">
        <f t="shared" si="92"/>
        <v/>
      </c>
    </row>
    <row r="275" spans="2:34" x14ac:dyDescent="0.25">
      <c r="B275" s="2" t="s">
        <v>677</v>
      </c>
      <c r="C275" s="2" t="s">
        <v>678</v>
      </c>
      <c r="D275" s="2" t="s">
        <v>0</v>
      </c>
      <c r="E275" s="2" t="s">
        <v>130</v>
      </c>
      <c r="F275" s="2" t="s">
        <v>679</v>
      </c>
      <c r="G275" s="2" t="s">
        <v>680</v>
      </c>
      <c r="H275" s="2" t="s">
        <v>681</v>
      </c>
      <c r="I275" s="2" t="s">
        <v>41</v>
      </c>
      <c r="J275" s="2">
        <v>8</v>
      </c>
      <c r="K275" s="2" t="s">
        <v>292</v>
      </c>
      <c r="L275" s="2" t="s">
        <v>40</v>
      </c>
      <c r="P275" s="2" t="s">
        <v>47</v>
      </c>
      <c r="Q275" s="2">
        <f>INDEX(Tables!$C$4:$C$28,MATCH($P275,Tables!$B$4:$B$28,0))</f>
        <v>8</v>
      </c>
      <c r="R275" s="2">
        <f>INDEX(Tables!$D$4:$D$28,MATCH($P275,Tables!$B$4:$B$28,0))</f>
        <v>1</v>
      </c>
      <c r="S275" s="2">
        <f>$S274+$R274+INDEX(Tables!$N$5:$Q$8,MATCH(MOD($S274+$R274,4),Tables!$M$5:$M$8,0),MATCH($R275,Tables!$N$4:$Q$4,0))</f>
        <v>957</v>
      </c>
      <c r="T275" s="2" t="str">
        <f t="shared" si="78"/>
        <v>03BD</v>
      </c>
      <c r="U275" s="2">
        <f t="shared" si="84"/>
        <v>239</v>
      </c>
      <c r="V275" s="2" t="str">
        <f t="shared" si="79"/>
        <v>0EF</v>
      </c>
      <c r="W275" s="2" t="str">
        <f t="shared" si="80"/>
        <v/>
      </c>
      <c r="X275" s="2" t="str">
        <f t="shared" si="83"/>
        <v/>
      </c>
      <c r="Y275" s="2" t="str">
        <f t="shared" si="81"/>
        <v>X</v>
      </c>
      <c r="Z275" s="2" t="str">
        <f t="shared" si="82"/>
        <v/>
      </c>
      <c r="AA275" s="2" t="str">
        <f t="shared" si="85"/>
        <v/>
      </c>
      <c r="AB275" s="2" t="str">
        <f t="shared" si="86"/>
        <v/>
      </c>
      <c r="AC275" s="2" t="str">
        <f t="shared" si="87"/>
        <v>(15 downto 8)</v>
      </c>
      <c r="AD275" s="2" t="str">
        <f t="shared" si="88"/>
        <v/>
      </c>
      <c r="AE275" s="2" t="str">
        <f t="shared" si="89"/>
        <v/>
      </c>
      <c r="AF275" s="2" t="str">
        <f t="shared" si="90"/>
        <v/>
      </c>
      <c r="AG275" s="2" t="str">
        <f t="shared" si="91"/>
        <v/>
      </c>
      <c r="AH275" s="2" t="str">
        <f t="shared" si="92"/>
        <v/>
      </c>
    </row>
    <row r="276" spans="2:34" x14ac:dyDescent="0.25">
      <c r="B276" s="2" t="s">
        <v>677</v>
      </c>
      <c r="C276" s="2" t="s">
        <v>682</v>
      </c>
      <c r="D276" s="2" t="s">
        <v>0</v>
      </c>
      <c r="E276" s="2" t="s">
        <v>130</v>
      </c>
      <c r="F276" s="2" t="s">
        <v>679</v>
      </c>
      <c r="G276" s="2" t="s">
        <v>680</v>
      </c>
      <c r="H276" s="2" t="s">
        <v>683</v>
      </c>
      <c r="I276" s="2" t="s">
        <v>41</v>
      </c>
      <c r="J276" s="2">
        <v>8</v>
      </c>
      <c r="K276" s="2" t="s">
        <v>292</v>
      </c>
      <c r="L276" s="2" t="s">
        <v>40</v>
      </c>
      <c r="P276" s="2" t="s">
        <v>47</v>
      </c>
      <c r="Q276" s="2">
        <f>INDEX(Tables!$C$4:$C$28,MATCH($P276,Tables!$B$4:$B$28,0))</f>
        <v>8</v>
      </c>
      <c r="R276" s="2">
        <f>INDEX(Tables!$D$4:$D$28,MATCH($P276,Tables!$B$4:$B$28,0))</f>
        <v>1</v>
      </c>
      <c r="S276" s="2">
        <f>$S275+$R275+INDEX(Tables!$N$5:$Q$8,MATCH(MOD($S275+$R275,4),Tables!$M$5:$M$8,0),MATCH($R276,Tables!$N$4:$Q$4,0))</f>
        <v>958</v>
      </c>
      <c r="T276" s="2" t="str">
        <f t="shared" si="78"/>
        <v>03BE</v>
      </c>
      <c r="U276" s="2">
        <f t="shared" si="84"/>
        <v>239</v>
      </c>
      <c r="V276" s="2" t="str">
        <f t="shared" si="79"/>
        <v>0EF</v>
      </c>
      <c r="W276" s="2" t="str">
        <f t="shared" si="80"/>
        <v/>
      </c>
      <c r="X276" s="2" t="str">
        <f t="shared" si="83"/>
        <v>X</v>
      </c>
      <c r="Y276" s="2" t="str">
        <f t="shared" si="81"/>
        <v/>
      </c>
      <c r="Z276" s="2" t="str">
        <f t="shared" si="82"/>
        <v/>
      </c>
      <c r="AA276" s="2" t="str">
        <f t="shared" si="85"/>
        <v/>
      </c>
      <c r="AB276" s="2" t="str">
        <f t="shared" si="86"/>
        <v>(23 downto 16)</v>
      </c>
      <c r="AC276" s="2" t="str">
        <f t="shared" si="87"/>
        <v/>
      </c>
      <c r="AD276" s="2" t="str">
        <f t="shared" si="88"/>
        <v/>
      </c>
      <c r="AE276" s="2" t="str">
        <f t="shared" si="89"/>
        <v/>
      </c>
      <c r="AF276" s="2" t="str">
        <f t="shared" si="90"/>
        <v/>
      </c>
      <c r="AG276" s="2" t="str">
        <f t="shared" si="91"/>
        <v/>
      </c>
      <c r="AH276" s="2" t="str">
        <f t="shared" si="92"/>
        <v/>
      </c>
    </row>
    <row r="277" spans="2:34" x14ac:dyDescent="0.25">
      <c r="B277" s="2" t="s">
        <v>677</v>
      </c>
      <c r="C277" s="2" t="s">
        <v>684</v>
      </c>
      <c r="D277" s="2" t="s">
        <v>0</v>
      </c>
      <c r="E277" s="2" t="s">
        <v>130</v>
      </c>
      <c r="F277" s="2" t="s">
        <v>679</v>
      </c>
      <c r="G277" s="2" t="s">
        <v>680</v>
      </c>
      <c r="H277" s="2" t="s">
        <v>685</v>
      </c>
      <c r="I277" s="2" t="s">
        <v>41</v>
      </c>
      <c r="J277" s="2">
        <v>8</v>
      </c>
      <c r="K277" s="2" t="s">
        <v>292</v>
      </c>
      <c r="L277" s="2" t="s">
        <v>40</v>
      </c>
      <c r="P277" s="2" t="s">
        <v>47</v>
      </c>
      <c r="Q277" s="2">
        <f>INDEX(Tables!$C$4:$C$28,MATCH($P277,Tables!$B$4:$B$28,0))</f>
        <v>8</v>
      </c>
      <c r="R277" s="2">
        <f>INDEX(Tables!$D$4:$D$28,MATCH($P277,Tables!$B$4:$B$28,0))</f>
        <v>1</v>
      </c>
      <c r="S277" s="2">
        <f>$S276+$R276+INDEX(Tables!$N$5:$Q$8,MATCH(MOD($S276+$R276,4),Tables!$M$5:$M$8,0),MATCH($R277,Tables!$N$4:$Q$4,0))</f>
        <v>959</v>
      </c>
      <c r="T277" s="2" t="str">
        <f t="shared" si="78"/>
        <v>03BF</v>
      </c>
      <c r="U277" s="2">
        <f t="shared" si="84"/>
        <v>239</v>
      </c>
      <c r="V277" s="2" t="str">
        <f t="shared" si="79"/>
        <v>0EF</v>
      </c>
      <c r="W277" s="2" t="str">
        <f t="shared" si="80"/>
        <v>X</v>
      </c>
      <c r="X277" s="2" t="str">
        <f t="shared" si="83"/>
        <v/>
      </c>
      <c r="Y277" s="2" t="str">
        <f t="shared" si="81"/>
        <v/>
      </c>
      <c r="Z277" s="2" t="str">
        <f t="shared" si="82"/>
        <v/>
      </c>
      <c r="AA277" s="2" t="str">
        <f t="shared" si="85"/>
        <v>(31 downto 24)</v>
      </c>
      <c r="AB277" s="2" t="str">
        <f t="shared" si="86"/>
        <v/>
      </c>
      <c r="AC277" s="2" t="str">
        <f t="shared" si="87"/>
        <v/>
      </c>
      <c r="AD277" s="2" t="str">
        <f t="shared" si="88"/>
        <v/>
      </c>
      <c r="AE277" s="2" t="str">
        <f t="shared" si="89"/>
        <v/>
      </c>
      <c r="AF277" s="2" t="str">
        <f t="shared" si="90"/>
        <v/>
      </c>
      <c r="AG277" s="2" t="str">
        <f t="shared" si="91"/>
        <v/>
      </c>
      <c r="AH277" s="2" t="str">
        <f t="shared" si="92"/>
        <v/>
      </c>
    </row>
    <row r="278" spans="2:34" x14ac:dyDescent="0.25">
      <c r="B278" s="2" t="s">
        <v>677</v>
      </c>
      <c r="C278" s="2" t="s">
        <v>686</v>
      </c>
      <c r="D278" s="2" t="s">
        <v>0</v>
      </c>
      <c r="E278" s="2" t="s">
        <v>130</v>
      </c>
      <c r="F278" s="2" t="s">
        <v>679</v>
      </c>
      <c r="G278" s="2" t="s">
        <v>680</v>
      </c>
      <c r="H278" s="2" t="s">
        <v>687</v>
      </c>
      <c r="I278" s="2" t="s">
        <v>41</v>
      </c>
      <c r="J278" s="2">
        <v>8</v>
      </c>
      <c r="K278" s="2" t="s">
        <v>292</v>
      </c>
      <c r="L278" s="2" t="s">
        <v>40</v>
      </c>
      <c r="P278" s="2" t="s">
        <v>47</v>
      </c>
      <c r="Q278" s="2">
        <f>INDEX(Tables!$C$4:$C$28,MATCH($P278,Tables!$B$4:$B$28,0))</f>
        <v>8</v>
      </c>
      <c r="R278" s="2">
        <f>INDEX(Tables!$D$4:$D$28,MATCH($P278,Tables!$B$4:$B$28,0))</f>
        <v>1</v>
      </c>
      <c r="S278" s="2">
        <f>$S277+$R277+INDEX(Tables!$N$5:$Q$8,MATCH(MOD($S277+$R277,4),Tables!$M$5:$M$8,0),MATCH($R278,Tables!$N$4:$Q$4,0))</f>
        <v>960</v>
      </c>
      <c r="T278" s="2" t="str">
        <f t="shared" si="78"/>
        <v>03C0</v>
      </c>
      <c r="U278" s="2">
        <f t="shared" si="84"/>
        <v>240</v>
      </c>
      <c r="V278" s="2" t="str">
        <f t="shared" si="79"/>
        <v>0F0</v>
      </c>
      <c r="W278" s="2" t="str">
        <f t="shared" si="80"/>
        <v/>
      </c>
      <c r="X278" s="2" t="str">
        <f t="shared" si="83"/>
        <v/>
      </c>
      <c r="Y278" s="2" t="str">
        <f t="shared" si="81"/>
        <v/>
      </c>
      <c r="Z278" s="2" t="str">
        <f t="shared" si="82"/>
        <v>X</v>
      </c>
      <c r="AA278" s="2" t="str">
        <f t="shared" si="85"/>
        <v/>
      </c>
      <c r="AB278" s="2" t="str">
        <f t="shared" si="86"/>
        <v/>
      </c>
      <c r="AC278" s="2" t="str">
        <f t="shared" si="87"/>
        <v/>
      </c>
      <c r="AD278" s="2" t="str">
        <f t="shared" si="88"/>
        <v>(7 downto 0)</v>
      </c>
      <c r="AE278" s="2" t="str">
        <f t="shared" si="89"/>
        <v/>
      </c>
      <c r="AF278" s="2" t="str">
        <f t="shared" si="90"/>
        <v/>
      </c>
      <c r="AG278" s="2" t="str">
        <f t="shared" si="91"/>
        <v/>
      </c>
      <c r="AH278" s="2" t="str">
        <f t="shared" si="92"/>
        <v/>
      </c>
    </row>
    <row r="279" spans="2:34" x14ac:dyDescent="0.25">
      <c r="B279" s="2" t="s">
        <v>688</v>
      </c>
      <c r="C279" s="2" t="s">
        <v>689</v>
      </c>
      <c r="D279" s="2" t="s">
        <v>0</v>
      </c>
      <c r="E279" s="2" t="s">
        <v>130</v>
      </c>
      <c r="F279" s="2" t="s">
        <v>690</v>
      </c>
      <c r="G279" s="2" t="s">
        <v>691</v>
      </c>
      <c r="H279" s="2" t="s">
        <v>692</v>
      </c>
      <c r="I279" s="2" t="s">
        <v>41</v>
      </c>
      <c r="J279" s="2">
        <v>8</v>
      </c>
      <c r="K279" s="2" t="s">
        <v>292</v>
      </c>
      <c r="L279" s="2" t="s">
        <v>40</v>
      </c>
      <c r="P279" s="2" t="s">
        <v>47</v>
      </c>
      <c r="Q279" s="2">
        <f>INDEX(Tables!$C$4:$C$28,MATCH($P279,Tables!$B$4:$B$28,0))</f>
        <v>8</v>
      </c>
      <c r="R279" s="2">
        <f>INDEX(Tables!$D$4:$D$28,MATCH($P279,Tables!$B$4:$B$28,0))</f>
        <v>1</v>
      </c>
      <c r="S279" s="2">
        <f>$S278+$R278+INDEX(Tables!$N$5:$Q$8,MATCH(MOD($S278+$R278,4),Tables!$M$5:$M$8,0),MATCH($R279,Tables!$N$4:$Q$4,0))</f>
        <v>961</v>
      </c>
      <c r="T279" s="2" t="str">
        <f t="shared" si="78"/>
        <v>03C1</v>
      </c>
      <c r="U279" s="2">
        <f t="shared" si="84"/>
        <v>240</v>
      </c>
      <c r="V279" s="2" t="str">
        <f t="shared" si="79"/>
        <v>0F0</v>
      </c>
      <c r="W279" s="2" t="str">
        <f t="shared" si="80"/>
        <v/>
      </c>
      <c r="X279" s="2" t="str">
        <f t="shared" si="83"/>
        <v/>
      </c>
      <c r="Y279" s="2" t="str">
        <f t="shared" si="81"/>
        <v>X</v>
      </c>
      <c r="Z279" s="2" t="str">
        <f t="shared" si="82"/>
        <v/>
      </c>
      <c r="AA279" s="2" t="str">
        <f t="shared" si="85"/>
        <v/>
      </c>
      <c r="AB279" s="2" t="str">
        <f t="shared" si="86"/>
        <v/>
      </c>
      <c r="AC279" s="2" t="str">
        <f t="shared" si="87"/>
        <v>(15 downto 8)</v>
      </c>
      <c r="AD279" s="2" t="str">
        <f t="shared" si="88"/>
        <v/>
      </c>
      <c r="AE279" s="2" t="str">
        <f t="shared" si="89"/>
        <v/>
      </c>
      <c r="AF279" s="2" t="str">
        <f t="shared" si="90"/>
        <v/>
      </c>
      <c r="AG279" s="2" t="str">
        <f t="shared" si="91"/>
        <v/>
      </c>
      <c r="AH279" s="2" t="str">
        <f t="shared" si="92"/>
        <v/>
      </c>
    </row>
    <row r="280" spans="2:34" x14ac:dyDescent="0.25">
      <c r="B280" s="2" t="s">
        <v>688</v>
      </c>
      <c r="C280" s="2" t="s">
        <v>693</v>
      </c>
      <c r="D280" s="2" t="s">
        <v>0</v>
      </c>
      <c r="E280" s="2" t="s">
        <v>130</v>
      </c>
      <c r="F280" s="2" t="s">
        <v>690</v>
      </c>
      <c r="G280" s="2" t="s">
        <v>691</v>
      </c>
      <c r="H280" s="2" t="s">
        <v>694</v>
      </c>
      <c r="I280" s="2" t="s">
        <v>41</v>
      </c>
      <c r="J280" s="2">
        <v>8</v>
      </c>
      <c r="K280" s="2" t="s">
        <v>292</v>
      </c>
      <c r="L280" s="2" t="s">
        <v>40</v>
      </c>
      <c r="P280" s="2" t="s">
        <v>47</v>
      </c>
      <c r="Q280" s="2">
        <f>INDEX(Tables!$C$4:$C$28,MATCH($P280,Tables!$B$4:$B$28,0))</f>
        <v>8</v>
      </c>
      <c r="R280" s="2">
        <f>INDEX(Tables!$D$4:$D$28,MATCH($P280,Tables!$B$4:$B$28,0))</f>
        <v>1</v>
      </c>
      <c r="S280" s="2">
        <f>$S279+$R279+INDEX(Tables!$N$5:$Q$8,MATCH(MOD($S279+$R279,4),Tables!$M$5:$M$8,0),MATCH($R280,Tables!$N$4:$Q$4,0))</f>
        <v>962</v>
      </c>
      <c r="T280" s="2" t="str">
        <f t="shared" si="78"/>
        <v>03C2</v>
      </c>
      <c r="U280" s="2">
        <f t="shared" si="84"/>
        <v>240</v>
      </c>
      <c r="V280" s="2" t="str">
        <f t="shared" si="79"/>
        <v>0F0</v>
      </c>
      <c r="W280" s="2" t="str">
        <f t="shared" si="80"/>
        <v/>
      </c>
      <c r="X280" s="2" t="str">
        <f t="shared" si="83"/>
        <v>X</v>
      </c>
      <c r="Y280" s="2" t="str">
        <f t="shared" si="81"/>
        <v/>
      </c>
      <c r="Z280" s="2" t="str">
        <f t="shared" si="82"/>
        <v/>
      </c>
      <c r="AA280" s="2" t="str">
        <f t="shared" si="85"/>
        <v/>
      </c>
      <c r="AB280" s="2" t="str">
        <f t="shared" si="86"/>
        <v>(23 downto 16)</v>
      </c>
      <c r="AC280" s="2" t="str">
        <f t="shared" si="87"/>
        <v/>
      </c>
      <c r="AD280" s="2" t="str">
        <f t="shared" si="88"/>
        <v/>
      </c>
      <c r="AE280" s="2" t="str">
        <f t="shared" si="89"/>
        <v/>
      </c>
      <c r="AF280" s="2" t="str">
        <f t="shared" si="90"/>
        <v/>
      </c>
      <c r="AG280" s="2" t="str">
        <f t="shared" si="91"/>
        <v/>
      </c>
      <c r="AH280" s="2" t="str">
        <f t="shared" si="92"/>
        <v/>
      </c>
    </row>
    <row r="281" spans="2:34" x14ac:dyDescent="0.25">
      <c r="B281" s="2" t="s">
        <v>688</v>
      </c>
      <c r="C281" s="2" t="s">
        <v>695</v>
      </c>
      <c r="D281" s="2" t="s">
        <v>0</v>
      </c>
      <c r="E281" s="2" t="s">
        <v>130</v>
      </c>
      <c r="F281" s="2" t="s">
        <v>690</v>
      </c>
      <c r="G281" s="2" t="s">
        <v>691</v>
      </c>
      <c r="H281" s="2" t="s">
        <v>696</v>
      </c>
      <c r="I281" s="2" t="s">
        <v>41</v>
      </c>
      <c r="J281" s="2">
        <v>1</v>
      </c>
      <c r="K281" s="2" t="s">
        <v>81</v>
      </c>
      <c r="L281" s="2" t="s">
        <v>40</v>
      </c>
      <c r="P281" s="2" t="s">
        <v>4</v>
      </c>
      <c r="Q281" s="2">
        <f>INDEX(Tables!$C$4:$C$28,MATCH($P281,Tables!$B$4:$B$28,0))</f>
        <v>32</v>
      </c>
      <c r="R281" s="2">
        <f>INDEX(Tables!$D$4:$D$28,MATCH($P281,Tables!$B$4:$B$28,0))</f>
        <v>4</v>
      </c>
      <c r="S281" s="2">
        <f>$S280+$R280+INDEX(Tables!$N$5:$Q$8,MATCH(MOD($S280+$R280,4),Tables!$M$5:$M$8,0),MATCH($R281,Tables!$N$4:$Q$4,0))</f>
        <v>964</v>
      </c>
      <c r="T281" s="2" t="str">
        <f t="shared" si="78"/>
        <v>03C4</v>
      </c>
      <c r="U281" s="2">
        <f t="shared" si="84"/>
        <v>241</v>
      </c>
      <c r="V281" s="2" t="str">
        <f t="shared" si="79"/>
        <v>0F1</v>
      </c>
      <c r="W281" s="2" t="str">
        <f t="shared" si="80"/>
        <v/>
      </c>
      <c r="X281" s="2" t="str">
        <f t="shared" si="83"/>
        <v/>
      </c>
      <c r="Y281" s="2" t="str">
        <f t="shared" si="81"/>
        <v/>
      </c>
      <c r="Z281" s="2" t="str">
        <f t="shared" si="82"/>
        <v>X</v>
      </c>
      <c r="AA281" s="2" t="str">
        <f t="shared" si="85"/>
        <v/>
      </c>
      <c r="AB281" s="2" t="str">
        <f t="shared" si="86"/>
        <v/>
      </c>
      <c r="AC281" s="2" t="str">
        <f t="shared" si="87"/>
        <v/>
      </c>
      <c r="AD281" s="2" t="str">
        <f t="shared" si="88"/>
        <v>(0)</v>
      </c>
      <c r="AE281" s="2" t="str">
        <f t="shared" si="89"/>
        <v/>
      </c>
      <c r="AF281" s="2" t="str">
        <f t="shared" si="90"/>
        <v/>
      </c>
      <c r="AG281" s="2" t="str">
        <f t="shared" si="91"/>
        <v/>
      </c>
      <c r="AH281" s="2" t="str">
        <f t="shared" si="92"/>
        <v/>
      </c>
    </row>
    <row r="282" spans="2:34" x14ac:dyDescent="0.25">
      <c r="B282" s="2" t="s">
        <v>688</v>
      </c>
      <c r="C282" s="2" t="s">
        <v>141</v>
      </c>
      <c r="D282" s="2" t="s">
        <v>0</v>
      </c>
      <c r="E282" s="2" t="s">
        <v>130</v>
      </c>
      <c r="F282" s="2" t="s">
        <v>690</v>
      </c>
      <c r="G282" s="2" t="s">
        <v>691</v>
      </c>
      <c r="H282" s="2" t="s">
        <v>142</v>
      </c>
      <c r="I282" s="2" t="s">
        <v>41</v>
      </c>
      <c r="J282" s="2">
        <v>1</v>
      </c>
      <c r="K282" s="2" t="s">
        <v>81</v>
      </c>
      <c r="L282" s="2" t="s">
        <v>40</v>
      </c>
      <c r="P282" s="2" t="s">
        <v>4</v>
      </c>
      <c r="Q282" s="2">
        <f>INDEX(Tables!$C$4:$C$28,MATCH($P282,Tables!$B$4:$B$28,0))</f>
        <v>32</v>
      </c>
      <c r="R282" s="2">
        <f>INDEX(Tables!$D$4:$D$28,MATCH($P282,Tables!$B$4:$B$28,0))</f>
        <v>4</v>
      </c>
      <c r="S282" s="2">
        <f>$S281+$R281+INDEX(Tables!$N$5:$Q$8,MATCH(MOD($S281+$R281,4),Tables!$M$5:$M$8,0),MATCH($R282,Tables!$N$4:$Q$4,0))</f>
        <v>968</v>
      </c>
      <c r="T282" s="2" t="str">
        <f t="shared" si="78"/>
        <v>03C8</v>
      </c>
      <c r="U282" s="2">
        <f t="shared" si="84"/>
        <v>242</v>
      </c>
      <c r="V282" s="2" t="str">
        <f t="shared" si="79"/>
        <v>0F2</v>
      </c>
      <c r="W282" s="2" t="str">
        <f t="shared" si="80"/>
        <v/>
      </c>
      <c r="X282" s="2" t="str">
        <f t="shared" si="83"/>
        <v/>
      </c>
      <c r="Y282" s="2" t="str">
        <f t="shared" si="81"/>
        <v/>
      </c>
      <c r="Z282" s="2" t="str">
        <f t="shared" si="82"/>
        <v>X</v>
      </c>
      <c r="AA282" s="2" t="str">
        <f t="shared" si="85"/>
        <v/>
      </c>
      <c r="AB282" s="2" t="str">
        <f t="shared" si="86"/>
        <v/>
      </c>
      <c r="AC282" s="2" t="str">
        <f t="shared" si="87"/>
        <v/>
      </c>
      <c r="AD282" s="2" t="str">
        <f t="shared" si="88"/>
        <v>(0)</v>
      </c>
      <c r="AE282" s="2" t="str">
        <f t="shared" si="89"/>
        <v/>
      </c>
      <c r="AF282" s="2" t="str">
        <f t="shared" si="90"/>
        <v/>
      </c>
      <c r="AG282" s="2" t="str">
        <f t="shared" si="91"/>
        <v/>
      </c>
      <c r="AH282" s="2" t="str">
        <f t="shared" si="92"/>
        <v/>
      </c>
    </row>
    <row r="283" spans="2:34" x14ac:dyDescent="0.25">
      <c r="B283" s="2" t="s">
        <v>688</v>
      </c>
      <c r="C283" s="2" t="s">
        <v>697</v>
      </c>
      <c r="D283" s="2" t="s">
        <v>0</v>
      </c>
      <c r="E283" s="2" t="s">
        <v>130</v>
      </c>
      <c r="F283" s="2" t="s">
        <v>690</v>
      </c>
      <c r="G283" s="2" t="s">
        <v>691</v>
      </c>
      <c r="H283" s="2" t="s">
        <v>698</v>
      </c>
      <c r="I283" s="2" t="s">
        <v>41</v>
      </c>
      <c r="J283" s="2">
        <v>14</v>
      </c>
      <c r="K283" s="2" t="s">
        <v>132</v>
      </c>
      <c r="L283" s="2" t="s">
        <v>40</v>
      </c>
      <c r="P283" s="2" t="s">
        <v>49</v>
      </c>
      <c r="Q283" s="2">
        <f>INDEX(Tables!$C$4:$C$28,MATCH($P283,Tables!$B$4:$B$28,0))</f>
        <v>16</v>
      </c>
      <c r="R283" s="2">
        <f>INDEX(Tables!$D$4:$D$28,MATCH($P283,Tables!$B$4:$B$28,0))</f>
        <v>2</v>
      </c>
      <c r="S283" s="2">
        <f>$S282+$R282+INDEX(Tables!$N$5:$Q$8,MATCH(MOD($S282+$R282,4),Tables!$M$5:$M$8,0),MATCH($R283,Tables!$N$4:$Q$4,0))</f>
        <v>972</v>
      </c>
      <c r="T283" s="2" t="str">
        <f t="shared" si="78"/>
        <v>03CC</v>
      </c>
      <c r="U283" s="2">
        <f t="shared" si="84"/>
        <v>243</v>
      </c>
      <c r="V283" s="2" t="str">
        <f t="shared" si="79"/>
        <v>0F3</v>
      </c>
      <c r="W283" s="2" t="str">
        <f t="shared" si="80"/>
        <v/>
      </c>
      <c r="X283" s="2" t="str">
        <f t="shared" si="83"/>
        <v/>
      </c>
      <c r="Y283" s="2" t="str">
        <f t="shared" si="81"/>
        <v>X</v>
      </c>
      <c r="Z283" s="2" t="str">
        <f t="shared" si="82"/>
        <v>X</v>
      </c>
      <c r="AA283" s="2" t="str">
        <f t="shared" si="85"/>
        <v/>
      </c>
      <c r="AB283" s="2" t="str">
        <f t="shared" si="86"/>
        <v/>
      </c>
      <c r="AC283" s="2" t="str">
        <f t="shared" si="87"/>
        <v>(13 downto 8)</v>
      </c>
      <c r="AD283" s="2" t="str">
        <f t="shared" si="88"/>
        <v>(7 downto 0)</v>
      </c>
      <c r="AE283" s="2" t="str">
        <f t="shared" si="89"/>
        <v/>
      </c>
      <c r="AF283" s="2" t="str">
        <f t="shared" si="90"/>
        <v/>
      </c>
      <c r="AG283" s="2" t="str">
        <f t="shared" si="91"/>
        <v>(13 downto 8)</v>
      </c>
      <c r="AH283" s="2" t="str">
        <f t="shared" si="92"/>
        <v>(7 downto 0)</v>
      </c>
    </row>
    <row r="284" spans="2:34" x14ac:dyDescent="0.25">
      <c r="B284" s="2" t="s">
        <v>699</v>
      </c>
      <c r="C284" s="2" t="s">
        <v>700</v>
      </c>
      <c r="D284" s="2" t="s">
        <v>0</v>
      </c>
      <c r="E284" s="2" t="s">
        <v>130</v>
      </c>
      <c r="F284" s="2" t="s">
        <v>701</v>
      </c>
      <c r="G284" s="2" t="s">
        <v>702</v>
      </c>
      <c r="H284" s="2" t="s">
        <v>703</v>
      </c>
      <c r="I284" s="2" t="s">
        <v>41</v>
      </c>
      <c r="J284" s="2">
        <v>1</v>
      </c>
      <c r="K284" s="2" t="s">
        <v>81</v>
      </c>
      <c r="L284" s="2" t="s">
        <v>40</v>
      </c>
      <c r="P284" s="2" t="s">
        <v>4</v>
      </c>
      <c r="Q284" s="2">
        <f>INDEX(Tables!$C$4:$C$28,MATCH($P284,Tables!$B$4:$B$28,0))</f>
        <v>32</v>
      </c>
      <c r="R284" s="2">
        <f>INDEX(Tables!$D$4:$D$28,MATCH($P284,Tables!$B$4:$B$28,0))</f>
        <v>4</v>
      </c>
      <c r="S284" s="2">
        <f>$S283+$R283+INDEX(Tables!$N$5:$Q$8,MATCH(MOD($S283+$R283,4),Tables!$M$5:$M$8,0),MATCH($R284,Tables!$N$4:$Q$4,0))</f>
        <v>976</v>
      </c>
      <c r="T284" s="2" t="str">
        <f t="shared" si="78"/>
        <v>03D0</v>
      </c>
      <c r="U284" s="2">
        <f t="shared" si="84"/>
        <v>244</v>
      </c>
      <c r="V284" s="2" t="str">
        <f t="shared" si="79"/>
        <v>0F4</v>
      </c>
      <c r="W284" s="2" t="str">
        <f t="shared" si="80"/>
        <v/>
      </c>
      <c r="X284" s="2" t="str">
        <f t="shared" si="83"/>
        <v/>
      </c>
      <c r="Y284" s="2" t="str">
        <f t="shared" si="81"/>
        <v/>
      </c>
      <c r="Z284" s="2" t="str">
        <f t="shared" si="82"/>
        <v>X</v>
      </c>
      <c r="AA284" s="2" t="str">
        <f t="shared" si="85"/>
        <v/>
      </c>
      <c r="AB284" s="2" t="str">
        <f t="shared" si="86"/>
        <v/>
      </c>
      <c r="AC284" s="2" t="str">
        <f t="shared" si="87"/>
        <v/>
      </c>
      <c r="AD284" s="2" t="str">
        <f t="shared" si="88"/>
        <v>(0)</v>
      </c>
      <c r="AE284" s="2" t="str">
        <f t="shared" si="89"/>
        <v/>
      </c>
      <c r="AF284" s="2" t="str">
        <f t="shared" si="90"/>
        <v/>
      </c>
      <c r="AG284" s="2" t="str">
        <f t="shared" si="91"/>
        <v/>
      </c>
      <c r="AH284" s="2" t="str">
        <f t="shared" si="92"/>
        <v/>
      </c>
    </row>
    <row r="285" spans="2:34" x14ac:dyDescent="0.25">
      <c r="B285" s="2" t="s">
        <v>699</v>
      </c>
      <c r="C285" s="2" t="s">
        <v>157</v>
      </c>
      <c r="D285" s="2" t="s">
        <v>0</v>
      </c>
      <c r="E285" s="2" t="s">
        <v>130</v>
      </c>
      <c r="F285" s="2" t="s">
        <v>701</v>
      </c>
      <c r="G285" s="2" t="s">
        <v>702</v>
      </c>
      <c r="H285" s="2" t="s">
        <v>160</v>
      </c>
      <c r="I285" s="2" t="s">
        <v>41</v>
      </c>
      <c r="J285" s="2">
        <v>1</v>
      </c>
      <c r="K285" s="2" t="s">
        <v>81</v>
      </c>
      <c r="L285" s="2" t="s">
        <v>40</v>
      </c>
      <c r="P285" s="2" t="s">
        <v>4</v>
      </c>
      <c r="Q285" s="2">
        <f>INDEX(Tables!$C$4:$C$28,MATCH($P285,Tables!$B$4:$B$28,0))</f>
        <v>32</v>
      </c>
      <c r="R285" s="2">
        <f>INDEX(Tables!$D$4:$D$28,MATCH($P285,Tables!$B$4:$B$28,0))</f>
        <v>4</v>
      </c>
      <c r="S285" s="2">
        <f>$S284+$R284+INDEX(Tables!$N$5:$Q$8,MATCH(MOD($S284+$R284,4),Tables!$M$5:$M$8,0),MATCH($R285,Tables!$N$4:$Q$4,0))</f>
        <v>980</v>
      </c>
      <c r="T285" s="2" t="str">
        <f t="shared" si="78"/>
        <v>03D4</v>
      </c>
      <c r="U285" s="2">
        <f t="shared" si="84"/>
        <v>245</v>
      </c>
      <c r="V285" s="2" t="str">
        <f t="shared" si="79"/>
        <v>0F5</v>
      </c>
      <c r="W285" s="2" t="str">
        <f t="shared" si="80"/>
        <v/>
      </c>
      <c r="X285" s="2" t="str">
        <f t="shared" si="83"/>
        <v/>
      </c>
      <c r="Y285" s="2" t="str">
        <f t="shared" si="81"/>
        <v/>
      </c>
      <c r="Z285" s="2" t="str">
        <f t="shared" si="82"/>
        <v>X</v>
      </c>
      <c r="AA285" s="2" t="str">
        <f t="shared" si="85"/>
        <v/>
      </c>
      <c r="AB285" s="2" t="str">
        <f t="shared" si="86"/>
        <v/>
      </c>
      <c r="AC285" s="2" t="str">
        <f t="shared" si="87"/>
        <v/>
      </c>
      <c r="AD285" s="2" t="str">
        <f t="shared" si="88"/>
        <v>(0)</v>
      </c>
      <c r="AE285" s="2" t="str">
        <f t="shared" si="89"/>
        <v/>
      </c>
      <c r="AF285" s="2" t="str">
        <f t="shared" si="90"/>
        <v/>
      </c>
      <c r="AG285" s="2" t="str">
        <f t="shared" si="91"/>
        <v/>
      </c>
      <c r="AH285" s="2" t="str">
        <f t="shared" si="92"/>
        <v/>
      </c>
    </row>
    <row r="286" spans="2:34" x14ac:dyDescent="0.25">
      <c r="B286" s="2" t="s">
        <v>699</v>
      </c>
      <c r="C286" s="2" t="s">
        <v>704</v>
      </c>
      <c r="D286" s="2" t="s">
        <v>0</v>
      </c>
      <c r="E286" s="2" t="s">
        <v>130</v>
      </c>
      <c r="F286" s="2" t="s">
        <v>701</v>
      </c>
      <c r="G286" s="2" t="s">
        <v>702</v>
      </c>
      <c r="H286" s="2" t="s">
        <v>705</v>
      </c>
      <c r="I286" s="2" t="s">
        <v>41</v>
      </c>
      <c r="J286" s="2">
        <v>14</v>
      </c>
      <c r="K286" s="2" t="s">
        <v>132</v>
      </c>
      <c r="L286" s="2" t="s">
        <v>40</v>
      </c>
      <c r="P286" s="2" t="s">
        <v>49</v>
      </c>
      <c r="Q286" s="2">
        <f>INDEX(Tables!$C$4:$C$28,MATCH($P286,Tables!$B$4:$B$28,0))</f>
        <v>16</v>
      </c>
      <c r="R286" s="2">
        <f>INDEX(Tables!$D$4:$D$28,MATCH($P286,Tables!$B$4:$B$28,0))</f>
        <v>2</v>
      </c>
      <c r="S286" s="2">
        <f>$S285+$R285+INDEX(Tables!$N$5:$Q$8,MATCH(MOD($S285+$R285,4),Tables!$M$5:$M$8,0),MATCH($R286,Tables!$N$4:$Q$4,0))</f>
        <v>984</v>
      </c>
      <c r="T286" s="2" t="str">
        <f t="shared" si="78"/>
        <v>03D8</v>
      </c>
      <c r="U286" s="2">
        <f t="shared" si="84"/>
        <v>246</v>
      </c>
      <c r="V286" s="2" t="str">
        <f t="shared" si="79"/>
        <v>0F6</v>
      </c>
      <c r="W286" s="2" t="str">
        <f t="shared" si="80"/>
        <v/>
      </c>
      <c r="X286" s="2" t="str">
        <f t="shared" si="83"/>
        <v/>
      </c>
      <c r="Y286" s="2" t="str">
        <f t="shared" si="81"/>
        <v>X</v>
      </c>
      <c r="Z286" s="2" t="str">
        <f t="shared" si="82"/>
        <v>X</v>
      </c>
      <c r="AA286" s="2" t="str">
        <f t="shared" si="85"/>
        <v/>
      </c>
      <c r="AB286" s="2" t="str">
        <f t="shared" si="86"/>
        <v/>
      </c>
      <c r="AC286" s="2" t="str">
        <f t="shared" si="87"/>
        <v>(13 downto 8)</v>
      </c>
      <c r="AD286" s="2" t="str">
        <f t="shared" si="88"/>
        <v>(7 downto 0)</v>
      </c>
      <c r="AE286" s="2" t="str">
        <f t="shared" si="89"/>
        <v/>
      </c>
      <c r="AF286" s="2" t="str">
        <f t="shared" si="90"/>
        <v/>
      </c>
      <c r="AG286" s="2" t="str">
        <f t="shared" si="91"/>
        <v>(13 downto 8)</v>
      </c>
      <c r="AH286" s="2" t="str">
        <f t="shared" si="92"/>
        <v>(7 downto 0)</v>
      </c>
    </row>
    <row r="287" spans="2:34" x14ac:dyDescent="0.25">
      <c r="B287" s="2" t="s">
        <v>699</v>
      </c>
      <c r="C287" s="2" t="s">
        <v>168</v>
      </c>
      <c r="D287" s="2" t="s">
        <v>0</v>
      </c>
      <c r="E287" s="2" t="s">
        <v>130</v>
      </c>
      <c r="F287" s="2" t="s">
        <v>701</v>
      </c>
      <c r="G287" s="2" t="s">
        <v>702</v>
      </c>
      <c r="H287" s="2" t="s">
        <v>169</v>
      </c>
      <c r="I287" s="2" t="s">
        <v>41</v>
      </c>
      <c r="J287" s="2">
        <v>16</v>
      </c>
      <c r="K287" s="2" t="s">
        <v>132</v>
      </c>
      <c r="L287" s="2" t="s">
        <v>40</v>
      </c>
      <c r="P287" s="2" t="s">
        <v>49</v>
      </c>
      <c r="Q287" s="2">
        <f>INDEX(Tables!$C$4:$C$28,MATCH($P287,Tables!$B$4:$B$28,0))</f>
        <v>16</v>
      </c>
      <c r="R287" s="2">
        <f>INDEX(Tables!$D$4:$D$28,MATCH($P287,Tables!$B$4:$B$28,0))</f>
        <v>2</v>
      </c>
      <c r="S287" s="2">
        <f>$S286+$R286+INDEX(Tables!$N$5:$Q$8,MATCH(MOD($S286+$R286,4),Tables!$M$5:$M$8,0),MATCH($R287,Tables!$N$4:$Q$4,0))</f>
        <v>986</v>
      </c>
      <c r="T287" s="2" t="str">
        <f t="shared" si="78"/>
        <v>03DA</v>
      </c>
      <c r="U287" s="2">
        <f t="shared" si="84"/>
        <v>246</v>
      </c>
      <c r="V287" s="2" t="str">
        <f t="shared" si="79"/>
        <v>0F6</v>
      </c>
      <c r="W287" s="2" t="str">
        <f t="shared" si="80"/>
        <v>X</v>
      </c>
      <c r="X287" s="2" t="str">
        <f t="shared" si="83"/>
        <v>X</v>
      </c>
      <c r="Y287" s="2" t="str">
        <f t="shared" si="81"/>
        <v/>
      </c>
      <c r="Z287" s="2" t="str">
        <f t="shared" si="82"/>
        <v/>
      </c>
      <c r="AA287" s="2" t="str">
        <f t="shared" si="85"/>
        <v>(31 downto 24)</v>
      </c>
      <c r="AB287" s="2" t="str">
        <f t="shared" si="86"/>
        <v>(23 downto 16)</v>
      </c>
      <c r="AC287" s="2" t="str">
        <f t="shared" si="87"/>
        <v/>
      </c>
      <c r="AD287" s="2" t="str">
        <f t="shared" si="88"/>
        <v/>
      </c>
      <c r="AE287" s="2" t="str">
        <f t="shared" si="89"/>
        <v>(15 downto 8)</v>
      </c>
      <c r="AF287" s="2" t="str">
        <f t="shared" si="90"/>
        <v>(7 downto 0)</v>
      </c>
      <c r="AG287" s="2" t="str">
        <f t="shared" si="91"/>
        <v/>
      </c>
      <c r="AH287" s="2" t="str">
        <f t="shared" si="92"/>
        <v/>
      </c>
    </row>
    <row r="288" spans="2:34" x14ac:dyDescent="0.25">
      <c r="B288" s="2" t="s">
        <v>706</v>
      </c>
      <c r="C288" s="2" t="s">
        <v>141</v>
      </c>
      <c r="D288" s="2" t="s">
        <v>0</v>
      </c>
      <c r="E288" s="2" t="s">
        <v>130</v>
      </c>
      <c r="F288" s="2" t="s">
        <v>707</v>
      </c>
      <c r="G288" s="2" t="s">
        <v>708</v>
      </c>
      <c r="H288" s="2" t="s">
        <v>142</v>
      </c>
      <c r="I288" s="2" t="s">
        <v>41</v>
      </c>
      <c r="J288" s="2">
        <v>32</v>
      </c>
      <c r="K288" s="2" t="s">
        <v>132</v>
      </c>
      <c r="L288" s="2" t="s">
        <v>40</v>
      </c>
      <c r="P288" s="2" t="s">
        <v>48</v>
      </c>
      <c r="Q288" s="2">
        <f>INDEX(Tables!$C$4:$C$28,MATCH($P288,Tables!$B$4:$B$28,0))</f>
        <v>32</v>
      </c>
      <c r="R288" s="2">
        <f>INDEX(Tables!$D$4:$D$28,MATCH($P288,Tables!$B$4:$B$28,0))</f>
        <v>4</v>
      </c>
      <c r="S288" s="2">
        <f>$S287+$R287+INDEX(Tables!$N$5:$Q$8,MATCH(MOD($S287+$R287,4),Tables!$M$5:$M$8,0),MATCH($R288,Tables!$N$4:$Q$4,0))</f>
        <v>988</v>
      </c>
      <c r="T288" s="2" t="str">
        <f t="shared" si="78"/>
        <v>03DC</v>
      </c>
      <c r="U288" s="2">
        <f t="shared" si="84"/>
        <v>247</v>
      </c>
      <c r="V288" s="2" t="str">
        <f t="shared" si="79"/>
        <v>0F7</v>
      </c>
      <c r="W288" s="2" t="str">
        <f t="shared" si="80"/>
        <v>X</v>
      </c>
      <c r="X288" s="2" t="str">
        <f t="shared" si="83"/>
        <v>X</v>
      </c>
      <c r="Y288" s="2" t="str">
        <f t="shared" si="81"/>
        <v>X</v>
      </c>
      <c r="Z288" s="2" t="str">
        <f t="shared" si="82"/>
        <v>X</v>
      </c>
      <c r="AA288" s="2" t="str">
        <f t="shared" si="85"/>
        <v>(31 downto 24)</v>
      </c>
      <c r="AB288" s="2" t="str">
        <f t="shared" si="86"/>
        <v>(23 downto 16)</v>
      </c>
      <c r="AC288" s="2" t="str">
        <f t="shared" si="87"/>
        <v>(15 downto 8)</v>
      </c>
      <c r="AD288" s="2" t="str">
        <f t="shared" si="88"/>
        <v>(7 downto 0)</v>
      </c>
      <c r="AE288" s="2" t="str">
        <f t="shared" si="89"/>
        <v>(31 downto 24)</v>
      </c>
      <c r="AF288" s="2" t="str">
        <f t="shared" si="90"/>
        <v>(23 downto 16)</v>
      </c>
      <c r="AG288" s="2" t="str">
        <f t="shared" si="91"/>
        <v>(15 downto 8)</v>
      </c>
      <c r="AH288" s="2" t="str">
        <f t="shared" si="92"/>
        <v>(7 downto 0)</v>
      </c>
    </row>
    <row r="289" spans="2:34" x14ac:dyDescent="0.25">
      <c r="B289" s="2" t="s">
        <v>709</v>
      </c>
      <c r="C289" s="2" t="s">
        <v>141</v>
      </c>
      <c r="D289" s="2" t="s">
        <v>0</v>
      </c>
      <c r="E289" s="2" t="s">
        <v>130</v>
      </c>
      <c r="F289" s="2" t="s">
        <v>710</v>
      </c>
      <c r="G289" s="2" t="s">
        <v>711</v>
      </c>
      <c r="H289" s="2" t="s">
        <v>142</v>
      </c>
      <c r="I289" s="2" t="s">
        <v>41</v>
      </c>
      <c r="J289" s="2">
        <v>32</v>
      </c>
      <c r="K289" s="2" t="s">
        <v>132</v>
      </c>
      <c r="L289" s="2" t="s">
        <v>40</v>
      </c>
      <c r="P289" s="2" t="s">
        <v>48</v>
      </c>
      <c r="Q289" s="2">
        <f>INDEX(Tables!$C$4:$C$28,MATCH($P289,Tables!$B$4:$B$28,0))</f>
        <v>32</v>
      </c>
      <c r="R289" s="2">
        <f>INDEX(Tables!$D$4:$D$28,MATCH($P289,Tables!$B$4:$B$28,0))</f>
        <v>4</v>
      </c>
      <c r="S289" s="2">
        <f>$S288+$R288+INDEX(Tables!$N$5:$Q$8,MATCH(MOD($S288+$R288,4),Tables!$M$5:$M$8,0),MATCH($R289,Tables!$N$4:$Q$4,0))</f>
        <v>992</v>
      </c>
      <c r="T289" s="2" t="str">
        <f t="shared" si="78"/>
        <v>03E0</v>
      </c>
      <c r="U289" s="2">
        <f t="shared" si="84"/>
        <v>248</v>
      </c>
      <c r="V289" s="2" t="str">
        <f t="shared" si="79"/>
        <v>0F8</v>
      </c>
      <c r="W289" s="2" t="str">
        <f t="shared" si="80"/>
        <v>X</v>
      </c>
      <c r="X289" s="2" t="str">
        <f t="shared" si="83"/>
        <v>X</v>
      </c>
      <c r="Y289" s="2" t="str">
        <f t="shared" si="81"/>
        <v>X</v>
      </c>
      <c r="Z289" s="2" t="str">
        <f t="shared" si="82"/>
        <v>X</v>
      </c>
      <c r="AA289" s="2" t="str">
        <f t="shared" si="85"/>
        <v>(31 downto 24)</v>
      </c>
      <c r="AB289" s="2" t="str">
        <f t="shared" si="86"/>
        <v>(23 downto 16)</v>
      </c>
      <c r="AC289" s="2" t="str">
        <f t="shared" si="87"/>
        <v>(15 downto 8)</v>
      </c>
      <c r="AD289" s="2" t="str">
        <f t="shared" si="88"/>
        <v>(7 downto 0)</v>
      </c>
      <c r="AE289" s="2" t="str">
        <f t="shared" si="89"/>
        <v>(31 downto 24)</v>
      </c>
      <c r="AF289" s="2" t="str">
        <f t="shared" si="90"/>
        <v>(23 downto 16)</v>
      </c>
      <c r="AG289" s="2" t="str">
        <f t="shared" si="91"/>
        <v>(15 downto 8)</v>
      </c>
      <c r="AH289" s="2" t="str">
        <f t="shared" si="92"/>
        <v>(7 downto 0)</v>
      </c>
    </row>
    <row r="290" spans="2:34" x14ac:dyDescent="0.25">
      <c r="B290" s="2" t="s">
        <v>712</v>
      </c>
      <c r="C290" s="2" t="s">
        <v>157</v>
      </c>
      <c r="D290" s="2" t="s">
        <v>0</v>
      </c>
      <c r="E290" s="2" t="s">
        <v>130</v>
      </c>
      <c r="F290" s="2" t="s">
        <v>713</v>
      </c>
      <c r="G290" s="2" t="s">
        <v>714</v>
      </c>
      <c r="H290" s="2" t="s">
        <v>160</v>
      </c>
      <c r="I290" s="2" t="s">
        <v>41</v>
      </c>
      <c r="J290" s="2">
        <v>2</v>
      </c>
      <c r="K290" s="2" t="s">
        <v>132</v>
      </c>
      <c r="L290" s="2" t="s">
        <v>40</v>
      </c>
      <c r="P290" s="2" t="s">
        <v>47</v>
      </c>
      <c r="Q290" s="2">
        <f>INDEX(Tables!$C$4:$C$28,MATCH($P290,Tables!$B$4:$B$28,0))</f>
        <v>8</v>
      </c>
      <c r="R290" s="2">
        <f>INDEX(Tables!$D$4:$D$28,MATCH($P290,Tables!$B$4:$B$28,0))</f>
        <v>1</v>
      </c>
      <c r="S290" s="2">
        <f>$S289+$R289+INDEX(Tables!$N$5:$Q$8,MATCH(MOD($S289+$R289,4),Tables!$M$5:$M$8,0),MATCH($R290,Tables!$N$4:$Q$4,0))</f>
        <v>996</v>
      </c>
      <c r="T290" s="2" t="str">
        <f t="shared" si="78"/>
        <v>03E4</v>
      </c>
      <c r="U290" s="2">
        <f t="shared" si="84"/>
        <v>249</v>
      </c>
      <c r="V290" s="2" t="str">
        <f t="shared" si="79"/>
        <v>0F9</v>
      </c>
      <c r="W290" s="2" t="str">
        <f t="shared" si="80"/>
        <v/>
      </c>
      <c r="X290" s="2" t="str">
        <f t="shared" si="83"/>
        <v/>
      </c>
      <c r="Y290" s="2" t="str">
        <f t="shared" si="81"/>
        <v/>
      </c>
      <c r="Z290" s="2" t="str">
        <f t="shared" si="82"/>
        <v>X</v>
      </c>
      <c r="AA290" s="2" t="str">
        <f t="shared" si="85"/>
        <v/>
      </c>
      <c r="AB290" s="2" t="str">
        <f t="shared" si="86"/>
        <v/>
      </c>
      <c r="AC290" s="2" t="str">
        <f t="shared" si="87"/>
        <v/>
      </c>
      <c r="AD290" s="2" t="str">
        <f t="shared" si="88"/>
        <v>(1 downto 0)</v>
      </c>
      <c r="AE290" s="2" t="str">
        <f t="shared" si="89"/>
        <v/>
      </c>
      <c r="AF290" s="2" t="str">
        <f t="shared" si="90"/>
        <v/>
      </c>
      <c r="AG290" s="2" t="str">
        <f t="shared" si="91"/>
        <v/>
      </c>
      <c r="AH290" s="2" t="str">
        <f t="shared" si="92"/>
        <v/>
      </c>
    </row>
    <row r="291" spans="2:34" x14ac:dyDescent="0.25">
      <c r="B291" s="2" t="s">
        <v>712</v>
      </c>
      <c r="C291" s="2" t="s">
        <v>715</v>
      </c>
      <c r="D291" s="2" t="s">
        <v>0</v>
      </c>
      <c r="E291" s="2" t="s">
        <v>130</v>
      </c>
      <c r="F291" s="2" t="s">
        <v>713</v>
      </c>
      <c r="G291" s="2" t="s">
        <v>714</v>
      </c>
      <c r="H291" s="2" t="s">
        <v>716</v>
      </c>
      <c r="I291" s="2" t="s">
        <v>41</v>
      </c>
      <c r="J291" s="2">
        <v>14</v>
      </c>
      <c r="K291" s="2" t="s">
        <v>717</v>
      </c>
      <c r="L291" s="2" t="s">
        <v>40</v>
      </c>
      <c r="P291" s="2" t="s">
        <v>49</v>
      </c>
      <c r="Q291" s="2">
        <f>INDEX(Tables!$C$4:$C$28,MATCH($P291,Tables!$B$4:$B$28,0))</f>
        <v>16</v>
      </c>
      <c r="R291" s="2">
        <f>INDEX(Tables!$D$4:$D$28,MATCH($P291,Tables!$B$4:$B$28,0))</f>
        <v>2</v>
      </c>
      <c r="S291" s="2">
        <f>$S290+$R290+INDEX(Tables!$N$5:$Q$8,MATCH(MOD($S290+$R290,4),Tables!$M$5:$M$8,0),MATCH($R291,Tables!$N$4:$Q$4,0))</f>
        <v>998</v>
      </c>
      <c r="T291" s="2" t="str">
        <f t="shared" si="78"/>
        <v>03E6</v>
      </c>
      <c r="U291" s="2">
        <f t="shared" si="84"/>
        <v>249</v>
      </c>
      <c r="V291" s="2" t="str">
        <f t="shared" si="79"/>
        <v>0F9</v>
      </c>
      <c r="W291" s="2" t="str">
        <f t="shared" si="80"/>
        <v>X</v>
      </c>
      <c r="X291" s="2" t="str">
        <f t="shared" si="83"/>
        <v>X</v>
      </c>
      <c r="Y291" s="2" t="str">
        <f t="shared" si="81"/>
        <v/>
      </c>
      <c r="Z291" s="2" t="str">
        <f t="shared" si="82"/>
        <v/>
      </c>
      <c r="AA291" s="2" t="str">
        <f t="shared" si="85"/>
        <v>(29 downto 24)</v>
      </c>
      <c r="AB291" s="2" t="str">
        <f t="shared" si="86"/>
        <v>(23 downto 16)</v>
      </c>
      <c r="AC291" s="2" t="str">
        <f t="shared" si="87"/>
        <v/>
      </c>
      <c r="AD291" s="2" t="str">
        <f t="shared" si="88"/>
        <v/>
      </c>
      <c r="AE291" s="2" t="str">
        <f t="shared" si="89"/>
        <v>(13 downto 8)</v>
      </c>
      <c r="AF291" s="2" t="str">
        <f t="shared" si="90"/>
        <v>(7 downto 0)</v>
      </c>
      <c r="AG291" s="2" t="str">
        <f t="shared" si="91"/>
        <v/>
      </c>
      <c r="AH291" s="2" t="str">
        <f t="shared" si="92"/>
        <v/>
      </c>
    </row>
    <row r="292" spans="2:34" x14ac:dyDescent="0.25">
      <c r="B292" s="2" t="s">
        <v>712</v>
      </c>
      <c r="C292" s="2" t="s">
        <v>718</v>
      </c>
      <c r="D292" s="2" t="s">
        <v>0</v>
      </c>
      <c r="E292" s="2" t="s">
        <v>130</v>
      </c>
      <c r="F292" s="2" t="s">
        <v>713</v>
      </c>
      <c r="G292" s="2" t="s">
        <v>714</v>
      </c>
      <c r="H292" s="2" t="s">
        <v>719</v>
      </c>
      <c r="I292" s="2" t="s">
        <v>41</v>
      </c>
      <c r="J292" s="2">
        <v>1</v>
      </c>
      <c r="K292" s="2" t="s">
        <v>81</v>
      </c>
      <c r="L292" s="2" t="s">
        <v>40</v>
      </c>
      <c r="P292" s="2" t="s">
        <v>4</v>
      </c>
      <c r="Q292" s="2">
        <f>INDEX(Tables!$C$4:$C$28,MATCH($P292,Tables!$B$4:$B$28,0))</f>
        <v>32</v>
      </c>
      <c r="R292" s="2">
        <f>INDEX(Tables!$D$4:$D$28,MATCH($P292,Tables!$B$4:$B$28,0))</f>
        <v>4</v>
      </c>
      <c r="S292" s="2">
        <f>$S291+$R291+INDEX(Tables!$N$5:$Q$8,MATCH(MOD($S291+$R291,4),Tables!$M$5:$M$8,0),MATCH($R292,Tables!$N$4:$Q$4,0))</f>
        <v>1000</v>
      </c>
      <c r="T292" s="2" t="str">
        <f t="shared" si="78"/>
        <v>03E8</v>
      </c>
      <c r="U292" s="2">
        <f t="shared" si="84"/>
        <v>250</v>
      </c>
      <c r="V292" s="2" t="str">
        <f t="shared" si="79"/>
        <v>0FA</v>
      </c>
      <c r="W292" s="2" t="str">
        <f t="shared" si="80"/>
        <v/>
      </c>
      <c r="X292" s="2" t="str">
        <f t="shared" si="83"/>
        <v/>
      </c>
      <c r="Y292" s="2" t="str">
        <f t="shared" si="81"/>
        <v/>
      </c>
      <c r="Z292" s="2" t="str">
        <f t="shared" si="82"/>
        <v>X</v>
      </c>
      <c r="AA292" s="2" t="str">
        <f t="shared" si="85"/>
        <v/>
      </c>
      <c r="AB292" s="2" t="str">
        <f t="shared" si="86"/>
        <v/>
      </c>
      <c r="AC292" s="2" t="str">
        <f t="shared" si="87"/>
        <v/>
      </c>
      <c r="AD292" s="2" t="str">
        <f t="shared" si="88"/>
        <v>(0)</v>
      </c>
      <c r="AE292" s="2" t="str">
        <f t="shared" si="89"/>
        <v/>
      </c>
      <c r="AF292" s="2" t="str">
        <f t="shared" si="90"/>
        <v/>
      </c>
      <c r="AG292" s="2" t="str">
        <f t="shared" si="91"/>
        <v/>
      </c>
      <c r="AH292" s="2" t="str">
        <f t="shared" si="92"/>
        <v/>
      </c>
    </row>
    <row r="293" spans="2:34" x14ac:dyDescent="0.25">
      <c r="B293" s="2" t="s">
        <v>712</v>
      </c>
      <c r="C293" s="2" t="s">
        <v>168</v>
      </c>
      <c r="D293" s="2" t="s">
        <v>0</v>
      </c>
      <c r="E293" s="2" t="s">
        <v>130</v>
      </c>
      <c r="F293" s="2" t="s">
        <v>713</v>
      </c>
      <c r="G293" s="2" t="s">
        <v>714</v>
      </c>
      <c r="H293" s="2" t="s">
        <v>169</v>
      </c>
      <c r="I293" s="2" t="s">
        <v>41</v>
      </c>
      <c r="J293" s="2">
        <v>1</v>
      </c>
      <c r="K293" s="2" t="s">
        <v>81</v>
      </c>
      <c r="L293" s="2" t="s">
        <v>40</v>
      </c>
      <c r="P293" s="2" t="s">
        <v>4</v>
      </c>
      <c r="Q293" s="2">
        <f>INDEX(Tables!$C$4:$C$28,MATCH($P293,Tables!$B$4:$B$28,0))</f>
        <v>32</v>
      </c>
      <c r="R293" s="2">
        <f>INDEX(Tables!$D$4:$D$28,MATCH($P293,Tables!$B$4:$B$28,0))</f>
        <v>4</v>
      </c>
      <c r="S293" s="2">
        <f>$S292+$R292+INDEX(Tables!$N$5:$Q$8,MATCH(MOD($S292+$R292,4),Tables!$M$5:$M$8,0),MATCH($R293,Tables!$N$4:$Q$4,0))</f>
        <v>1004</v>
      </c>
      <c r="T293" s="2" t="str">
        <f t="shared" si="78"/>
        <v>03EC</v>
      </c>
      <c r="U293" s="2">
        <f t="shared" si="84"/>
        <v>251</v>
      </c>
      <c r="V293" s="2" t="str">
        <f t="shared" si="79"/>
        <v>0FB</v>
      </c>
      <c r="W293" s="2" t="str">
        <f t="shared" si="80"/>
        <v/>
      </c>
      <c r="X293" s="2" t="str">
        <f t="shared" si="83"/>
        <v/>
      </c>
      <c r="Y293" s="2" t="str">
        <f t="shared" si="81"/>
        <v/>
      </c>
      <c r="Z293" s="2" t="str">
        <f t="shared" si="82"/>
        <v>X</v>
      </c>
      <c r="AA293" s="2" t="str">
        <f t="shared" si="85"/>
        <v/>
      </c>
      <c r="AB293" s="2" t="str">
        <f t="shared" si="86"/>
        <v/>
      </c>
      <c r="AC293" s="2" t="str">
        <f t="shared" si="87"/>
        <v/>
      </c>
      <c r="AD293" s="2" t="str">
        <f t="shared" si="88"/>
        <v>(0)</v>
      </c>
      <c r="AE293" s="2" t="str">
        <f t="shared" si="89"/>
        <v/>
      </c>
      <c r="AF293" s="2" t="str">
        <f t="shared" si="90"/>
        <v/>
      </c>
      <c r="AG293" s="2" t="str">
        <f t="shared" si="91"/>
        <v/>
      </c>
      <c r="AH293" s="2" t="str">
        <f t="shared" si="92"/>
        <v/>
      </c>
    </row>
    <row r="294" spans="2:34" x14ac:dyDescent="0.25">
      <c r="B294" s="2" t="s">
        <v>712</v>
      </c>
      <c r="C294" s="2" t="s">
        <v>720</v>
      </c>
      <c r="D294" s="2" t="s">
        <v>0</v>
      </c>
      <c r="E294" s="2" t="s">
        <v>130</v>
      </c>
      <c r="F294" s="2" t="s">
        <v>713</v>
      </c>
      <c r="G294" s="2" t="s">
        <v>714</v>
      </c>
      <c r="H294" s="2" t="s">
        <v>721</v>
      </c>
      <c r="I294" s="2" t="s">
        <v>41</v>
      </c>
      <c r="J294" s="2">
        <v>14</v>
      </c>
      <c r="K294" s="2" t="s">
        <v>132</v>
      </c>
      <c r="L294" s="2" t="s">
        <v>40</v>
      </c>
      <c r="P294" s="2" t="s">
        <v>49</v>
      </c>
      <c r="Q294" s="2">
        <f>INDEX(Tables!$C$4:$C$28,MATCH($P294,Tables!$B$4:$B$28,0))</f>
        <v>16</v>
      </c>
      <c r="R294" s="2">
        <f>INDEX(Tables!$D$4:$D$28,MATCH($P294,Tables!$B$4:$B$28,0))</f>
        <v>2</v>
      </c>
      <c r="S294" s="2">
        <f>$S293+$R293+INDEX(Tables!$N$5:$Q$8,MATCH(MOD($S293+$R293,4),Tables!$M$5:$M$8,0),MATCH($R294,Tables!$N$4:$Q$4,0))</f>
        <v>1008</v>
      </c>
      <c r="T294" s="2" t="str">
        <f t="shared" si="78"/>
        <v>03F0</v>
      </c>
      <c r="U294" s="2">
        <f t="shared" si="84"/>
        <v>252</v>
      </c>
      <c r="V294" s="2" t="str">
        <f t="shared" si="79"/>
        <v>0FC</v>
      </c>
      <c r="W294" s="2" t="str">
        <f t="shared" si="80"/>
        <v/>
      </c>
      <c r="X294" s="2" t="str">
        <f t="shared" si="83"/>
        <v/>
      </c>
      <c r="Y294" s="2" t="str">
        <f t="shared" si="81"/>
        <v>X</v>
      </c>
      <c r="Z294" s="2" t="str">
        <f t="shared" si="82"/>
        <v>X</v>
      </c>
      <c r="AA294" s="2" t="str">
        <f t="shared" si="85"/>
        <v/>
      </c>
      <c r="AB294" s="2" t="str">
        <f t="shared" si="86"/>
        <v/>
      </c>
      <c r="AC294" s="2" t="str">
        <f t="shared" si="87"/>
        <v>(13 downto 8)</v>
      </c>
      <c r="AD294" s="2" t="str">
        <f t="shared" si="88"/>
        <v>(7 downto 0)</v>
      </c>
      <c r="AE294" s="2" t="str">
        <f t="shared" si="89"/>
        <v/>
      </c>
      <c r="AF294" s="2" t="str">
        <f t="shared" si="90"/>
        <v/>
      </c>
      <c r="AG294" s="2" t="str">
        <f t="shared" si="91"/>
        <v>(13 downto 8)</v>
      </c>
      <c r="AH294" s="2" t="str">
        <f t="shared" si="92"/>
        <v>(7 downto 0)</v>
      </c>
    </row>
    <row r="295" spans="2:34" x14ac:dyDescent="0.25">
      <c r="B295" s="2" t="s">
        <v>722</v>
      </c>
      <c r="C295" s="2" t="s">
        <v>723</v>
      </c>
      <c r="D295" s="2" t="s">
        <v>0</v>
      </c>
      <c r="E295" s="2" t="s">
        <v>130</v>
      </c>
      <c r="F295" s="2" t="s">
        <v>724</v>
      </c>
      <c r="G295" s="2" t="s">
        <v>725</v>
      </c>
      <c r="H295" s="2" t="s">
        <v>726</v>
      </c>
      <c r="I295" s="2" t="s">
        <v>41</v>
      </c>
      <c r="J295" s="2">
        <v>1</v>
      </c>
      <c r="K295" s="2" t="s">
        <v>131</v>
      </c>
      <c r="L295" s="2" t="s">
        <v>40</v>
      </c>
      <c r="P295" s="2" t="s">
        <v>4</v>
      </c>
      <c r="Q295" s="2">
        <f>INDEX(Tables!$C$4:$C$28,MATCH($P295,Tables!$B$4:$B$28,0))</f>
        <v>32</v>
      </c>
      <c r="R295" s="2">
        <f>INDEX(Tables!$D$4:$D$28,MATCH($P295,Tables!$B$4:$B$28,0))</f>
        <v>4</v>
      </c>
      <c r="S295" s="2">
        <f>$S294+$R294+INDEX(Tables!$N$5:$Q$8,MATCH(MOD($S294+$R294,4),Tables!$M$5:$M$8,0),MATCH($R295,Tables!$N$4:$Q$4,0))</f>
        <v>1012</v>
      </c>
      <c r="T295" s="2" t="str">
        <f t="shared" si="78"/>
        <v>03F4</v>
      </c>
      <c r="U295" s="2">
        <f t="shared" si="84"/>
        <v>253</v>
      </c>
      <c r="V295" s="2" t="str">
        <f t="shared" si="79"/>
        <v>0FD</v>
      </c>
      <c r="W295" s="2" t="str">
        <f t="shared" si="80"/>
        <v/>
      </c>
      <c r="X295" s="2" t="str">
        <f t="shared" si="83"/>
        <v/>
      </c>
      <c r="Y295" s="2" t="str">
        <f t="shared" si="81"/>
        <v/>
      </c>
      <c r="Z295" s="2" t="str">
        <f t="shared" si="82"/>
        <v>X</v>
      </c>
      <c r="AA295" s="2" t="str">
        <f t="shared" si="85"/>
        <v/>
      </c>
      <c r="AB295" s="2" t="str">
        <f t="shared" si="86"/>
        <v/>
      </c>
      <c r="AC295" s="2" t="str">
        <f t="shared" si="87"/>
        <v/>
      </c>
      <c r="AD295" s="2" t="str">
        <f t="shared" si="88"/>
        <v>(0)</v>
      </c>
      <c r="AE295" s="2" t="str">
        <f t="shared" si="89"/>
        <v/>
      </c>
      <c r="AF295" s="2" t="str">
        <f t="shared" si="90"/>
        <v/>
      </c>
      <c r="AG295" s="2" t="str">
        <f t="shared" si="91"/>
        <v/>
      </c>
      <c r="AH295" s="2" t="str">
        <f t="shared" si="92"/>
        <v/>
      </c>
    </row>
    <row r="296" spans="2:34" x14ac:dyDescent="0.25">
      <c r="B296" s="2" t="s">
        <v>722</v>
      </c>
      <c r="C296" s="2" t="s">
        <v>157</v>
      </c>
      <c r="D296" s="2" t="s">
        <v>0</v>
      </c>
      <c r="E296" s="2" t="s">
        <v>130</v>
      </c>
      <c r="F296" s="2" t="s">
        <v>724</v>
      </c>
      <c r="G296" s="2" t="s">
        <v>725</v>
      </c>
      <c r="H296" s="2" t="s">
        <v>160</v>
      </c>
      <c r="I296" s="2" t="s">
        <v>41</v>
      </c>
      <c r="J296" s="2">
        <v>1</v>
      </c>
      <c r="K296" s="2" t="s">
        <v>81</v>
      </c>
      <c r="L296" s="2" t="s">
        <v>40</v>
      </c>
      <c r="P296" s="2" t="s">
        <v>4</v>
      </c>
      <c r="Q296" s="2">
        <f>INDEX(Tables!$C$4:$C$28,MATCH($P296,Tables!$B$4:$B$28,0))</f>
        <v>32</v>
      </c>
      <c r="R296" s="2">
        <f>INDEX(Tables!$D$4:$D$28,MATCH($P296,Tables!$B$4:$B$28,0))</f>
        <v>4</v>
      </c>
      <c r="S296" s="2">
        <f>$S295+$R295+INDEX(Tables!$N$5:$Q$8,MATCH(MOD($S295+$R295,4),Tables!$M$5:$M$8,0),MATCH($R296,Tables!$N$4:$Q$4,0))</f>
        <v>1016</v>
      </c>
      <c r="T296" s="2" t="str">
        <f t="shared" si="78"/>
        <v>03F8</v>
      </c>
      <c r="U296" s="2">
        <f t="shared" si="84"/>
        <v>254</v>
      </c>
      <c r="V296" s="2" t="str">
        <f t="shared" si="79"/>
        <v>0FE</v>
      </c>
      <c r="W296" s="2" t="str">
        <f t="shared" si="80"/>
        <v/>
      </c>
      <c r="X296" s="2" t="str">
        <f t="shared" si="83"/>
        <v/>
      </c>
      <c r="Y296" s="2" t="str">
        <f t="shared" si="81"/>
        <v/>
      </c>
      <c r="Z296" s="2" t="str">
        <f t="shared" si="82"/>
        <v>X</v>
      </c>
      <c r="AA296" s="2" t="str">
        <f t="shared" si="85"/>
        <v/>
      </c>
      <c r="AB296" s="2" t="str">
        <f t="shared" si="86"/>
        <v/>
      </c>
      <c r="AC296" s="2" t="str">
        <f t="shared" si="87"/>
        <v/>
      </c>
      <c r="AD296" s="2" t="str">
        <f t="shared" si="88"/>
        <v>(0)</v>
      </c>
      <c r="AE296" s="2" t="str">
        <f t="shared" si="89"/>
        <v/>
      </c>
      <c r="AF296" s="2" t="str">
        <f t="shared" si="90"/>
        <v/>
      </c>
      <c r="AG296" s="2" t="str">
        <f t="shared" si="91"/>
        <v/>
      </c>
      <c r="AH296" s="2" t="str">
        <f t="shared" si="92"/>
        <v/>
      </c>
    </row>
    <row r="297" spans="2:34" x14ac:dyDescent="0.25">
      <c r="B297" s="2" t="s">
        <v>722</v>
      </c>
      <c r="C297" s="2" t="s">
        <v>727</v>
      </c>
      <c r="D297" s="2" t="s">
        <v>0</v>
      </c>
      <c r="E297" s="2" t="s">
        <v>130</v>
      </c>
      <c r="F297" s="2" t="s">
        <v>724</v>
      </c>
      <c r="G297" s="2" t="s">
        <v>725</v>
      </c>
      <c r="H297" s="2" t="s">
        <v>728</v>
      </c>
      <c r="I297" s="2" t="s">
        <v>41</v>
      </c>
      <c r="J297" s="2">
        <v>14</v>
      </c>
      <c r="K297" s="2" t="s">
        <v>717</v>
      </c>
      <c r="L297" s="2" t="s">
        <v>40</v>
      </c>
      <c r="P297" s="2" t="s">
        <v>49</v>
      </c>
      <c r="Q297" s="2">
        <f>INDEX(Tables!$C$4:$C$28,MATCH($P297,Tables!$B$4:$B$28,0))</f>
        <v>16</v>
      </c>
      <c r="R297" s="2">
        <f>INDEX(Tables!$D$4:$D$28,MATCH($P297,Tables!$B$4:$B$28,0))</f>
        <v>2</v>
      </c>
      <c r="S297" s="2">
        <f>$S296+$R296+INDEX(Tables!$N$5:$Q$8,MATCH(MOD($S296+$R296,4),Tables!$M$5:$M$8,0),MATCH($R297,Tables!$N$4:$Q$4,0))</f>
        <v>1020</v>
      </c>
      <c r="T297" s="2" t="str">
        <f t="shared" si="78"/>
        <v>03FC</v>
      </c>
      <c r="U297" s="2">
        <f t="shared" si="84"/>
        <v>255</v>
      </c>
      <c r="V297" s="2" t="str">
        <f t="shared" si="79"/>
        <v>0FF</v>
      </c>
      <c r="W297" s="2" t="str">
        <f t="shared" si="80"/>
        <v/>
      </c>
      <c r="X297" s="2" t="str">
        <f t="shared" si="83"/>
        <v/>
      </c>
      <c r="Y297" s="2" t="str">
        <f t="shared" si="81"/>
        <v>X</v>
      </c>
      <c r="Z297" s="2" t="str">
        <f t="shared" si="82"/>
        <v>X</v>
      </c>
      <c r="AA297" s="2" t="str">
        <f t="shared" si="85"/>
        <v/>
      </c>
      <c r="AB297" s="2" t="str">
        <f t="shared" si="86"/>
        <v/>
      </c>
      <c r="AC297" s="2" t="str">
        <f t="shared" si="87"/>
        <v>(13 downto 8)</v>
      </c>
      <c r="AD297" s="2" t="str">
        <f t="shared" si="88"/>
        <v>(7 downto 0)</v>
      </c>
      <c r="AE297" s="2" t="str">
        <f t="shared" si="89"/>
        <v/>
      </c>
      <c r="AF297" s="2" t="str">
        <f t="shared" si="90"/>
        <v/>
      </c>
      <c r="AG297" s="2" t="str">
        <f t="shared" si="91"/>
        <v>(13 downto 8)</v>
      </c>
      <c r="AH297" s="2" t="str">
        <f t="shared" si="92"/>
        <v>(7 downto 0)</v>
      </c>
    </row>
    <row r="298" spans="2:34" x14ac:dyDescent="0.25">
      <c r="B298" s="2" t="s">
        <v>722</v>
      </c>
      <c r="C298" s="2" t="s">
        <v>729</v>
      </c>
      <c r="D298" s="2" t="s">
        <v>0</v>
      </c>
      <c r="E298" s="2" t="s">
        <v>130</v>
      </c>
      <c r="F298" s="2" t="s">
        <v>724</v>
      </c>
      <c r="G298" s="2" t="s">
        <v>725</v>
      </c>
      <c r="H298" s="2" t="s">
        <v>730</v>
      </c>
      <c r="I298" s="2" t="s">
        <v>41</v>
      </c>
      <c r="J298" s="2">
        <v>1</v>
      </c>
      <c r="K298" s="2" t="s">
        <v>81</v>
      </c>
      <c r="L298" s="2" t="s">
        <v>40</v>
      </c>
      <c r="P298" s="2" t="s">
        <v>4</v>
      </c>
      <c r="Q298" s="2">
        <f>INDEX(Tables!$C$4:$C$28,MATCH($P298,Tables!$B$4:$B$28,0))</f>
        <v>32</v>
      </c>
      <c r="R298" s="2">
        <f>INDEX(Tables!$D$4:$D$28,MATCH($P298,Tables!$B$4:$B$28,0))</f>
        <v>4</v>
      </c>
      <c r="S298" s="2">
        <f>$S297+$R297+INDEX(Tables!$N$5:$Q$8,MATCH(MOD($S297+$R297,4),Tables!$M$5:$M$8,0),MATCH($R298,Tables!$N$4:$Q$4,0))</f>
        <v>1024</v>
      </c>
      <c r="T298" s="2" t="str">
        <f t="shared" si="78"/>
        <v>0400</v>
      </c>
      <c r="U298" s="2">
        <f t="shared" si="84"/>
        <v>256</v>
      </c>
      <c r="V298" s="2" t="str">
        <f t="shared" si="79"/>
        <v>100</v>
      </c>
      <c r="W298" s="2" t="str">
        <f t="shared" si="80"/>
        <v/>
      </c>
      <c r="X298" s="2" t="str">
        <f t="shared" si="83"/>
        <v/>
      </c>
      <c r="Y298" s="2" t="str">
        <f t="shared" si="81"/>
        <v/>
      </c>
      <c r="Z298" s="2" t="str">
        <f t="shared" si="82"/>
        <v>X</v>
      </c>
      <c r="AA298" s="2" t="str">
        <f t="shared" si="85"/>
        <v/>
      </c>
      <c r="AB298" s="2" t="str">
        <f t="shared" si="86"/>
        <v/>
      </c>
      <c r="AC298" s="2" t="str">
        <f t="shared" si="87"/>
        <v/>
      </c>
      <c r="AD298" s="2" t="str">
        <f t="shared" si="88"/>
        <v>(0)</v>
      </c>
      <c r="AE298" s="2" t="str">
        <f t="shared" si="89"/>
        <v/>
      </c>
      <c r="AF298" s="2" t="str">
        <f t="shared" si="90"/>
        <v/>
      </c>
      <c r="AG298" s="2" t="str">
        <f t="shared" si="91"/>
        <v/>
      </c>
      <c r="AH298" s="2" t="str">
        <f t="shared" si="92"/>
        <v/>
      </c>
    </row>
    <row r="299" spans="2:34" x14ac:dyDescent="0.25">
      <c r="B299" s="2" t="s">
        <v>722</v>
      </c>
      <c r="C299" s="2" t="s">
        <v>168</v>
      </c>
      <c r="D299" s="2" t="s">
        <v>0</v>
      </c>
      <c r="E299" s="2" t="s">
        <v>130</v>
      </c>
      <c r="F299" s="2" t="s">
        <v>724</v>
      </c>
      <c r="G299" s="2" t="s">
        <v>725</v>
      </c>
      <c r="H299" s="2" t="s">
        <v>169</v>
      </c>
      <c r="I299" s="2" t="s">
        <v>41</v>
      </c>
      <c r="J299" s="2">
        <v>1</v>
      </c>
      <c r="K299" s="2" t="s">
        <v>81</v>
      </c>
      <c r="L299" s="2" t="s">
        <v>40</v>
      </c>
      <c r="P299" s="2" t="s">
        <v>4</v>
      </c>
      <c r="Q299" s="2">
        <f>INDEX(Tables!$C$4:$C$28,MATCH($P299,Tables!$B$4:$B$28,0))</f>
        <v>32</v>
      </c>
      <c r="R299" s="2">
        <f>INDEX(Tables!$D$4:$D$28,MATCH($P299,Tables!$B$4:$B$28,0))</f>
        <v>4</v>
      </c>
      <c r="S299" s="2">
        <f>$S298+$R298+INDEX(Tables!$N$5:$Q$8,MATCH(MOD($S298+$R298,4),Tables!$M$5:$M$8,0),MATCH($R299,Tables!$N$4:$Q$4,0))</f>
        <v>1028</v>
      </c>
      <c r="T299" s="2" t="str">
        <f t="shared" si="78"/>
        <v>0404</v>
      </c>
      <c r="U299" s="2">
        <f t="shared" si="84"/>
        <v>257</v>
      </c>
      <c r="V299" s="2" t="str">
        <f t="shared" si="79"/>
        <v>101</v>
      </c>
      <c r="W299" s="2" t="str">
        <f t="shared" si="80"/>
        <v/>
      </c>
      <c r="X299" s="2" t="str">
        <f t="shared" si="83"/>
        <v/>
      </c>
      <c r="Y299" s="2" t="str">
        <f t="shared" si="81"/>
        <v/>
      </c>
      <c r="Z299" s="2" t="str">
        <f t="shared" si="82"/>
        <v>X</v>
      </c>
      <c r="AA299" s="2" t="str">
        <f t="shared" si="85"/>
        <v/>
      </c>
      <c r="AB299" s="2" t="str">
        <f t="shared" si="86"/>
        <v/>
      </c>
      <c r="AC299" s="2" t="str">
        <f t="shared" si="87"/>
        <v/>
      </c>
      <c r="AD299" s="2" t="str">
        <f t="shared" si="88"/>
        <v>(0)</v>
      </c>
      <c r="AE299" s="2" t="str">
        <f t="shared" si="89"/>
        <v/>
      </c>
      <c r="AF299" s="2" t="str">
        <f t="shared" si="90"/>
        <v/>
      </c>
      <c r="AG299" s="2" t="str">
        <f t="shared" si="91"/>
        <v/>
      </c>
      <c r="AH299" s="2" t="str">
        <f t="shared" si="92"/>
        <v/>
      </c>
    </row>
    <row r="300" spans="2:34" x14ac:dyDescent="0.25">
      <c r="B300" s="2" t="s">
        <v>722</v>
      </c>
      <c r="C300" s="2" t="s">
        <v>731</v>
      </c>
      <c r="D300" s="2" t="s">
        <v>0</v>
      </c>
      <c r="E300" s="2" t="s">
        <v>130</v>
      </c>
      <c r="F300" s="2" t="s">
        <v>724</v>
      </c>
      <c r="G300" s="2" t="s">
        <v>725</v>
      </c>
      <c r="H300" s="2" t="s">
        <v>732</v>
      </c>
      <c r="I300" s="2" t="s">
        <v>41</v>
      </c>
      <c r="J300" s="2">
        <v>14</v>
      </c>
      <c r="K300" s="2" t="s">
        <v>132</v>
      </c>
      <c r="L300" s="2" t="s">
        <v>40</v>
      </c>
      <c r="P300" s="2" t="s">
        <v>49</v>
      </c>
      <c r="Q300" s="2">
        <f>INDEX(Tables!$C$4:$C$28,MATCH($P300,Tables!$B$4:$B$28,0))</f>
        <v>16</v>
      </c>
      <c r="R300" s="2">
        <f>INDEX(Tables!$D$4:$D$28,MATCH($P300,Tables!$B$4:$B$28,0))</f>
        <v>2</v>
      </c>
      <c r="S300" s="2">
        <f>$S299+$R299+INDEX(Tables!$N$5:$Q$8,MATCH(MOD($S299+$R299,4),Tables!$M$5:$M$8,0),MATCH($R300,Tables!$N$4:$Q$4,0))</f>
        <v>1032</v>
      </c>
      <c r="T300" s="2" t="str">
        <f t="shared" si="78"/>
        <v>0408</v>
      </c>
      <c r="U300" s="2">
        <f t="shared" si="84"/>
        <v>258</v>
      </c>
      <c r="V300" s="2" t="str">
        <f t="shared" si="79"/>
        <v>102</v>
      </c>
      <c r="W300" s="2" t="str">
        <f t="shared" si="80"/>
        <v/>
      </c>
      <c r="X300" s="2" t="str">
        <f t="shared" si="83"/>
        <v/>
      </c>
      <c r="Y300" s="2" t="str">
        <f t="shared" si="81"/>
        <v>X</v>
      </c>
      <c r="Z300" s="2" t="str">
        <f t="shared" si="82"/>
        <v>X</v>
      </c>
      <c r="AA300" s="2" t="str">
        <f t="shared" si="85"/>
        <v/>
      </c>
      <c r="AB300" s="2" t="str">
        <f t="shared" si="86"/>
        <v/>
      </c>
      <c r="AC300" s="2" t="str">
        <f t="shared" si="87"/>
        <v>(13 downto 8)</v>
      </c>
      <c r="AD300" s="2" t="str">
        <f t="shared" si="88"/>
        <v>(7 downto 0)</v>
      </c>
      <c r="AE300" s="2" t="str">
        <f t="shared" si="89"/>
        <v/>
      </c>
      <c r="AF300" s="2" t="str">
        <f t="shared" si="90"/>
        <v/>
      </c>
      <c r="AG300" s="2" t="str">
        <f t="shared" si="91"/>
        <v>(13 downto 8)</v>
      </c>
      <c r="AH300" s="2" t="str">
        <f t="shared" si="92"/>
        <v>(7 downto 0)</v>
      </c>
    </row>
    <row r="301" spans="2:34" x14ac:dyDescent="0.25">
      <c r="B301" s="2" t="s">
        <v>733</v>
      </c>
      <c r="C301" s="2" t="s">
        <v>734</v>
      </c>
      <c r="D301" s="2" t="s">
        <v>0</v>
      </c>
      <c r="E301" s="2" t="s">
        <v>130</v>
      </c>
      <c r="F301" s="2" t="s">
        <v>735</v>
      </c>
      <c r="G301" s="2" t="s">
        <v>736</v>
      </c>
      <c r="H301" s="2" t="s">
        <v>737</v>
      </c>
      <c r="I301" s="2" t="s">
        <v>41</v>
      </c>
      <c r="J301" s="2">
        <v>1</v>
      </c>
      <c r="K301" s="2" t="s">
        <v>81</v>
      </c>
      <c r="L301" s="2" t="s">
        <v>40</v>
      </c>
      <c r="P301" s="2" t="s">
        <v>4</v>
      </c>
      <c r="Q301" s="2">
        <f>INDEX(Tables!$C$4:$C$28,MATCH($P301,Tables!$B$4:$B$28,0))</f>
        <v>32</v>
      </c>
      <c r="R301" s="2">
        <f>INDEX(Tables!$D$4:$D$28,MATCH($P301,Tables!$B$4:$B$28,0))</f>
        <v>4</v>
      </c>
      <c r="S301" s="2">
        <f>$S300+$R300+INDEX(Tables!$N$5:$Q$8,MATCH(MOD($S300+$R300,4),Tables!$M$5:$M$8,0),MATCH($R301,Tables!$N$4:$Q$4,0))</f>
        <v>1036</v>
      </c>
      <c r="T301" s="2" t="str">
        <f t="shared" si="78"/>
        <v>040C</v>
      </c>
      <c r="U301" s="2">
        <f t="shared" si="84"/>
        <v>259</v>
      </c>
      <c r="V301" s="2" t="str">
        <f t="shared" si="79"/>
        <v>103</v>
      </c>
      <c r="W301" s="2" t="str">
        <f t="shared" si="80"/>
        <v/>
      </c>
      <c r="X301" s="2" t="str">
        <f t="shared" si="83"/>
        <v/>
      </c>
      <c r="Y301" s="2" t="str">
        <f t="shared" si="81"/>
        <v/>
      </c>
      <c r="Z301" s="2" t="str">
        <f t="shared" si="82"/>
        <v>X</v>
      </c>
      <c r="AA301" s="2" t="str">
        <f t="shared" si="85"/>
        <v/>
      </c>
      <c r="AB301" s="2" t="str">
        <f t="shared" si="86"/>
        <v/>
      </c>
      <c r="AC301" s="2" t="str">
        <f t="shared" si="87"/>
        <v/>
      </c>
      <c r="AD301" s="2" t="str">
        <f t="shared" si="88"/>
        <v>(0)</v>
      </c>
      <c r="AE301" s="2" t="str">
        <f t="shared" si="89"/>
        <v/>
      </c>
      <c r="AF301" s="2" t="str">
        <f t="shared" si="90"/>
        <v/>
      </c>
      <c r="AG301" s="2" t="str">
        <f t="shared" si="91"/>
        <v/>
      </c>
      <c r="AH301" s="2" t="str">
        <f t="shared" si="92"/>
        <v/>
      </c>
    </row>
    <row r="302" spans="2:34" x14ac:dyDescent="0.25">
      <c r="B302" s="2" t="s">
        <v>733</v>
      </c>
      <c r="C302" s="2" t="s">
        <v>141</v>
      </c>
      <c r="D302" s="2" t="s">
        <v>0</v>
      </c>
      <c r="E302" s="2" t="s">
        <v>130</v>
      </c>
      <c r="F302" s="2" t="s">
        <v>735</v>
      </c>
      <c r="G302" s="2" t="s">
        <v>736</v>
      </c>
      <c r="H302" s="2" t="s">
        <v>142</v>
      </c>
      <c r="I302" s="2" t="s">
        <v>41</v>
      </c>
      <c r="J302" s="2">
        <v>1</v>
      </c>
      <c r="K302" s="2" t="s">
        <v>81</v>
      </c>
      <c r="L302" s="2" t="s">
        <v>40</v>
      </c>
      <c r="P302" s="2" t="s">
        <v>4</v>
      </c>
      <c r="Q302" s="2">
        <f>INDEX(Tables!$C$4:$C$28,MATCH($P302,Tables!$B$4:$B$28,0))</f>
        <v>32</v>
      </c>
      <c r="R302" s="2">
        <f>INDEX(Tables!$D$4:$D$28,MATCH($P302,Tables!$B$4:$B$28,0))</f>
        <v>4</v>
      </c>
      <c r="S302" s="2">
        <f>$S301+$R301+INDEX(Tables!$N$5:$Q$8,MATCH(MOD($S301+$R301,4),Tables!$M$5:$M$8,0),MATCH($R302,Tables!$N$4:$Q$4,0))</f>
        <v>1040</v>
      </c>
      <c r="T302" s="2" t="str">
        <f t="shared" si="78"/>
        <v>0410</v>
      </c>
      <c r="U302" s="2">
        <f t="shared" si="84"/>
        <v>260</v>
      </c>
      <c r="V302" s="2" t="str">
        <f t="shared" si="79"/>
        <v>104</v>
      </c>
      <c r="W302" s="2" t="str">
        <f t="shared" si="80"/>
        <v/>
      </c>
      <c r="X302" s="2" t="str">
        <f t="shared" si="83"/>
        <v/>
      </c>
      <c r="Y302" s="2" t="str">
        <f t="shared" si="81"/>
        <v/>
      </c>
      <c r="Z302" s="2" t="str">
        <f t="shared" si="82"/>
        <v>X</v>
      </c>
      <c r="AA302" s="2" t="str">
        <f t="shared" si="85"/>
        <v/>
      </c>
      <c r="AB302" s="2" t="str">
        <f t="shared" si="86"/>
        <v/>
      </c>
      <c r="AC302" s="2" t="str">
        <f t="shared" si="87"/>
        <v/>
      </c>
      <c r="AD302" s="2" t="str">
        <f t="shared" si="88"/>
        <v>(0)</v>
      </c>
      <c r="AE302" s="2" t="str">
        <f t="shared" si="89"/>
        <v/>
      </c>
      <c r="AF302" s="2" t="str">
        <f t="shared" si="90"/>
        <v/>
      </c>
      <c r="AG302" s="2" t="str">
        <f t="shared" si="91"/>
        <v/>
      </c>
      <c r="AH302" s="2" t="str">
        <f t="shared" si="92"/>
        <v/>
      </c>
    </row>
    <row r="303" spans="2:34" x14ac:dyDescent="0.25">
      <c r="B303" s="2" t="s">
        <v>733</v>
      </c>
      <c r="C303" s="2" t="s">
        <v>738</v>
      </c>
      <c r="D303" s="2" t="s">
        <v>0</v>
      </c>
      <c r="E303" s="2" t="s">
        <v>130</v>
      </c>
      <c r="F303" s="2" t="s">
        <v>735</v>
      </c>
      <c r="G303" s="2" t="s">
        <v>736</v>
      </c>
      <c r="H303" s="2" t="s">
        <v>739</v>
      </c>
      <c r="I303" s="2" t="s">
        <v>41</v>
      </c>
      <c r="J303" s="2">
        <v>14</v>
      </c>
      <c r="K303" s="2" t="s">
        <v>740</v>
      </c>
      <c r="L303" s="2" t="s">
        <v>40</v>
      </c>
      <c r="P303" s="2" t="s">
        <v>49</v>
      </c>
      <c r="Q303" s="2">
        <f>INDEX(Tables!$C$4:$C$28,MATCH($P303,Tables!$B$4:$B$28,0))</f>
        <v>16</v>
      </c>
      <c r="R303" s="2">
        <f>INDEX(Tables!$D$4:$D$28,MATCH($P303,Tables!$B$4:$B$28,0))</f>
        <v>2</v>
      </c>
      <c r="S303" s="2">
        <f>$S302+$R302+INDEX(Tables!$N$5:$Q$8,MATCH(MOD($S302+$R302,4),Tables!$M$5:$M$8,0),MATCH($R303,Tables!$N$4:$Q$4,0))</f>
        <v>1044</v>
      </c>
      <c r="T303" s="2" t="str">
        <f t="shared" si="78"/>
        <v>0414</v>
      </c>
      <c r="U303" s="2">
        <f t="shared" si="84"/>
        <v>261</v>
      </c>
      <c r="V303" s="2" t="str">
        <f t="shared" si="79"/>
        <v>105</v>
      </c>
      <c r="W303" s="2" t="str">
        <f t="shared" si="80"/>
        <v/>
      </c>
      <c r="X303" s="2" t="str">
        <f t="shared" si="83"/>
        <v/>
      </c>
      <c r="Y303" s="2" t="str">
        <f t="shared" si="81"/>
        <v>X</v>
      </c>
      <c r="Z303" s="2" t="str">
        <f t="shared" si="82"/>
        <v>X</v>
      </c>
      <c r="AA303" s="2" t="str">
        <f t="shared" si="85"/>
        <v/>
      </c>
      <c r="AB303" s="2" t="str">
        <f t="shared" si="86"/>
        <v/>
      </c>
      <c r="AC303" s="2" t="str">
        <f t="shared" si="87"/>
        <v>(13 downto 8)</v>
      </c>
      <c r="AD303" s="2" t="str">
        <f t="shared" si="88"/>
        <v>(7 downto 0)</v>
      </c>
      <c r="AE303" s="2" t="str">
        <f t="shared" si="89"/>
        <v/>
      </c>
      <c r="AF303" s="2" t="str">
        <f t="shared" si="90"/>
        <v/>
      </c>
      <c r="AG303" s="2" t="str">
        <f t="shared" si="91"/>
        <v>(13 downto 8)</v>
      </c>
      <c r="AH303" s="2" t="str">
        <f t="shared" si="92"/>
        <v>(7 downto 0)</v>
      </c>
    </row>
    <row r="304" spans="2:34" x14ac:dyDescent="0.25">
      <c r="B304" s="2" t="s">
        <v>733</v>
      </c>
      <c r="C304" s="2" t="s">
        <v>741</v>
      </c>
      <c r="D304" s="2" t="s">
        <v>0</v>
      </c>
      <c r="E304" s="2" t="s">
        <v>130</v>
      </c>
      <c r="F304" s="2" t="s">
        <v>735</v>
      </c>
      <c r="G304" s="2" t="s">
        <v>736</v>
      </c>
      <c r="H304" s="2" t="s">
        <v>742</v>
      </c>
      <c r="I304" s="2" t="s">
        <v>41</v>
      </c>
      <c r="J304" s="2">
        <v>16</v>
      </c>
      <c r="K304" s="2" t="s">
        <v>743</v>
      </c>
      <c r="L304" s="2" t="s">
        <v>40</v>
      </c>
      <c r="P304" s="2" t="s">
        <v>49</v>
      </c>
      <c r="Q304" s="2">
        <f>INDEX(Tables!$C$4:$C$28,MATCH($P304,Tables!$B$4:$B$28,0))</f>
        <v>16</v>
      </c>
      <c r="R304" s="2">
        <f>INDEX(Tables!$D$4:$D$28,MATCH($P304,Tables!$B$4:$B$28,0))</f>
        <v>2</v>
      </c>
      <c r="S304" s="2">
        <f>$S303+$R303+INDEX(Tables!$N$5:$Q$8,MATCH(MOD($S303+$R303,4),Tables!$M$5:$M$8,0),MATCH($R304,Tables!$N$4:$Q$4,0))</f>
        <v>1046</v>
      </c>
      <c r="T304" s="2" t="str">
        <f t="shared" si="78"/>
        <v>0416</v>
      </c>
      <c r="U304" s="2">
        <f t="shared" si="84"/>
        <v>261</v>
      </c>
      <c r="V304" s="2" t="str">
        <f t="shared" si="79"/>
        <v>105</v>
      </c>
      <c r="W304" s="2" t="str">
        <f t="shared" si="80"/>
        <v>X</v>
      </c>
      <c r="X304" s="2" t="str">
        <f t="shared" si="83"/>
        <v>X</v>
      </c>
      <c r="Y304" s="2" t="str">
        <f t="shared" si="81"/>
        <v/>
      </c>
      <c r="Z304" s="2" t="str">
        <f t="shared" si="82"/>
        <v/>
      </c>
      <c r="AA304" s="2" t="str">
        <f t="shared" si="85"/>
        <v>(31 downto 24)</v>
      </c>
      <c r="AB304" s="2" t="str">
        <f t="shared" si="86"/>
        <v>(23 downto 16)</v>
      </c>
      <c r="AC304" s="2" t="str">
        <f t="shared" si="87"/>
        <v/>
      </c>
      <c r="AD304" s="2" t="str">
        <f t="shared" si="88"/>
        <v/>
      </c>
      <c r="AE304" s="2" t="str">
        <f t="shared" si="89"/>
        <v>(15 downto 8)</v>
      </c>
      <c r="AF304" s="2" t="str">
        <f t="shared" si="90"/>
        <v>(7 downto 0)</v>
      </c>
      <c r="AG304" s="2" t="str">
        <f t="shared" si="91"/>
        <v/>
      </c>
      <c r="AH304" s="2" t="str">
        <f t="shared" si="92"/>
        <v/>
      </c>
    </row>
    <row r="305" spans="2:34" x14ac:dyDescent="0.25">
      <c r="B305" s="2" t="s">
        <v>744</v>
      </c>
      <c r="C305" s="2" t="s">
        <v>745</v>
      </c>
      <c r="D305" s="2" t="s">
        <v>0</v>
      </c>
      <c r="E305" s="2" t="s">
        <v>130</v>
      </c>
      <c r="F305" s="2" t="s">
        <v>746</v>
      </c>
      <c r="G305" s="2" t="s">
        <v>747</v>
      </c>
      <c r="H305" s="2" t="s">
        <v>748</v>
      </c>
      <c r="I305" s="2" t="s">
        <v>41</v>
      </c>
      <c r="J305" s="2">
        <v>16</v>
      </c>
      <c r="K305" s="2" t="s">
        <v>749</v>
      </c>
      <c r="L305" s="2" t="s">
        <v>40</v>
      </c>
      <c r="P305" s="2" t="s">
        <v>49</v>
      </c>
      <c r="Q305" s="2">
        <f>INDEX(Tables!$C$4:$C$28,MATCH($P305,Tables!$B$4:$B$28,0))</f>
        <v>16</v>
      </c>
      <c r="R305" s="2">
        <f>INDEX(Tables!$D$4:$D$28,MATCH($P305,Tables!$B$4:$B$28,0))</f>
        <v>2</v>
      </c>
      <c r="S305" s="2">
        <f>$S304+$R304+INDEX(Tables!$N$5:$Q$8,MATCH(MOD($S304+$R304,4),Tables!$M$5:$M$8,0),MATCH($R305,Tables!$N$4:$Q$4,0))</f>
        <v>1048</v>
      </c>
      <c r="T305" s="2" t="str">
        <f t="shared" si="78"/>
        <v>0418</v>
      </c>
      <c r="U305" s="2">
        <f t="shared" si="84"/>
        <v>262</v>
      </c>
      <c r="V305" s="2" t="str">
        <f t="shared" si="79"/>
        <v>106</v>
      </c>
      <c r="W305" s="2" t="str">
        <f t="shared" si="80"/>
        <v/>
      </c>
      <c r="X305" s="2" t="str">
        <f t="shared" si="83"/>
        <v/>
      </c>
      <c r="Y305" s="2" t="str">
        <f t="shared" si="81"/>
        <v>X</v>
      </c>
      <c r="Z305" s="2" t="str">
        <f t="shared" si="82"/>
        <v>X</v>
      </c>
      <c r="AA305" s="2" t="str">
        <f t="shared" si="85"/>
        <v/>
      </c>
      <c r="AB305" s="2" t="str">
        <f t="shared" si="86"/>
        <v/>
      </c>
      <c r="AC305" s="2" t="str">
        <f t="shared" si="87"/>
        <v>(15 downto 8)</v>
      </c>
      <c r="AD305" s="2" t="str">
        <f t="shared" si="88"/>
        <v>(7 downto 0)</v>
      </c>
      <c r="AE305" s="2" t="str">
        <f t="shared" si="89"/>
        <v/>
      </c>
      <c r="AF305" s="2" t="str">
        <f t="shared" si="90"/>
        <v/>
      </c>
      <c r="AG305" s="2" t="str">
        <f t="shared" si="91"/>
        <v>(15 downto 8)</v>
      </c>
      <c r="AH305" s="2" t="str">
        <f t="shared" si="92"/>
        <v>(7 downto 0)</v>
      </c>
    </row>
    <row r="306" spans="2:34" x14ac:dyDescent="0.25">
      <c r="B306" s="2" t="s">
        <v>744</v>
      </c>
      <c r="C306" s="2" t="s">
        <v>750</v>
      </c>
      <c r="D306" s="2" t="s">
        <v>0</v>
      </c>
      <c r="E306" s="2" t="s">
        <v>130</v>
      </c>
      <c r="F306" s="2" t="s">
        <v>746</v>
      </c>
      <c r="G306" s="2" t="s">
        <v>747</v>
      </c>
      <c r="H306" s="2" t="s">
        <v>751</v>
      </c>
      <c r="I306" s="2" t="s">
        <v>41</v>
      </c>
      <c r="J306" s="2">
        <v>1</v>
      </c>
      <c r="K306" s="2" t="s">
        <v>81</v>
      </c>
      <c r="L306" s="2" t="s">
        <v>40</v>
      </c>
      <c r="P306" s="2" t="s">
        <v>4</v>
      </c>
      <c r="Q306" s="2">
        <f>INDEX(Tables!$C$4:$C$28,MATCH($P306,Tables!$B$4:$B$28,0))</f>
        <v>32</v>
      </c>
      <c r="R306" s="2">
        <f>INDEX(Tables!$D$4:$D$28,MATCH($P306,Tables!$B$4:$B$28,0))</f>
        <v>4</v>
      </c>
      <c r="S306" s="2">
        <f>$S305+$R305+INDEX(Tables!$N$5:$Q$8,MATCH(MOD($S305+$R305,4),Tables!$M$5:$M$8,0),MATCH($R306,Tables!$N$4:$Q$4,0))</f>
        <v>1052</v>
      </c>
      <c r="T306" s="2" t="str">
        <f t="shared" si="78"/>
        <v>041C</v>
      </c>
      <c r="U306" s="2">
        <f t="shared" si="84"/>
        <v>263</v>
      </c>
      <c r="V306" s="2" t="str">
        <f t="shared" si="79"/>
        <v>107</v>
      </c>
      <c r="W306" s="2" t="str">
        <f t="shared" si="80"/>
        <v/>
      </c>
      <c r="X306" s="2" t="str">
        <f t="shared" si="83"/>
        <v/>
      </c>
      <c r="Y306" s="2" t="str">
        <f t="shared" si="81"/>
        <v/>
      </c>
      <c r="Z306" s="2" t="str">
        <f t="shared" si="82"/>
        <v>X</v>
      </c>
      <c r="AA306" s="2" t="str">
        <f t="shared" si="85"/>
        <v/>
      </c>
      <c r="AB306" s="2" t="str">
        <f t="shared" si="86"/>
        <v/>
      </c>
      <c r="AC306" s="2" t="str">
        <f t="shared" si="87"/>
        <v/>
      </c>
      <c r="AD306" s="2" t="str">
        <f t="shared" si="88"/>
        <v>(0)</v>
      </c>
      <c r="AE306" s="2" t="str">
        <f t="shared" si="89"/>
        <v/>
      </c>
      <c r="AF306" s="2" t="str">
        <f t="shared" si="90"/>
        <v/>
      </c>
      <c r="AG306" s="2" t="str">
        <f t="shared" si="91"/>
        <v/>
      </c>
      <c r="AH306" s="2" t="str">
        <f t="shared" si="92"/>
        <v/>
      </c>
    </row>
    <row r="307" spans="2:34" x14ac:dyDescent="0.25">
      <c r="B307" s="2" t="s">
        <v>744</v>
      </c>
      <c r="C307" s="2" t="s">
        <v>141</v>
      </c>
      <c r="D307" s="2" t="s">
        <v>0</v>
      </c>
      <c r="E307" s="2" t="s">
        <v>130</v>
      </c>
      <c r="F307" s="2" t="s">
        <v>746</v>
      </c>
      <c r="G307" s="2" t="s">
        <v>747</v>
      </c>
      <c r="H307" s="2" t="s">
        <v>142</v>
      </c>
      <c r="I307" s="2" t="s">
        <v>41</v>
      </c>
      <c r="J307" s="2">
        <v>1</v>
      </c>
      <c r="K307" s="2" t="s">
        <v>81</v>
      </c>
      <c r="L307" s="2" t="s">
        <v>40</v>
      </c>
      <c r="P307" s="2" t="s">
        <v>4</v>
      </c>
      <c r="Q307" s="2">
        <f>INDEX(Tables!$C$4:$C$28,MATCH($P307,Tables!$B$4:$B$28,0))</f>
        <v>32</v>
      </c>
      <c r="R307" s="2">
        <f>INDEX(Tables!$D$4:$D$28,MATCH($P307,Tables!$B$4:$B$28,0))</f>
        <v>4</v>
      </c>
      <c r="S307" s="2">
        <f>$S306+$R306+INDEX(Tables!$N$5:$Q$8,MATCH(MOD($S306+$R306,4),Tables!$M$5:$M$8,0),MATCH($R307,Tables!$N$4:$Q$4,0))</f>
        <v>1056</v>
      </c>
      <c r="T307" s="2" t="str">
        <f t="shared" si="78"/>
        <v>0420</v>
      </c>
      <c r="U307" s="2">
        <f t="shared" si="84"/>
        <v>264</v>
      </c>
      <c r="V307" s="2" t="str">
        <f t="shared" si="79"/>
        <v>108</v>
      </c>
      <c r="W307" s="2" t="str">
        <f t="shared" si="80"/>
        <v/>
      </c>
      <c r="X307" s="2" t="str">
        <f t="shared" si="83"/>
        <v/>
      </c>
      <c r="Y307" s="2" t="str">
        <f t="shared" si="81"/>
        <v/>
      </c>
      <c r="Z307" s="2" t="str">
        <f t="shared" si="82"/>
        <v>X</v>
      </c>
      <c r="AA307" s="2" t="str">
        <f t="shared" si="85"/>
        <v/>
      </c>
      <c r="AB307" s="2" t="str">
        <f t="shared" si="86"/>
        <v/>
      </c>
      <c r="AC307" s="2" t="str">
        <f t="shared" si="87"/>
        <v/>
      </c>
      <c r="AD307" s="2" t="str">
        <f t="shared" si="88"/>
        <v>(0)</v>
      </c>
      <c r="AE307" s="2" t="str">
        <f t="shared" si="89"/>
        <v/>
      </c>
      <c r="AF307" s="2" t="str">
        <f t="shared" si="90"/>
        <v/>
      </c>
      <c r="AG307" s="2" t="str">
        <f t="shared" si="91"/>
        <v/>
      </c>
      <c r="AH307" s="2" t="str">
        <f t="shared" si="92"/>
        <v/>
      </c>
    </row>
    <row r="308" spans="2:34" x14ac:dyDescent="0.25">
      <c r="B308" s="2" t="s">
        <v>744</v>
      </c>
      <c r="C308" s="2" t="s">
        <v>752</v>
      </c>
      <c r="D308" s="2" t="s">
        <v>0</v>
      </c>
      <c r="E308" s="2" t="s">
        <v>130</v>
      </c>
      <c r="F308" s="2" t="s">
        <v>746</v>
      </c>
      <c r="G308" s="2" t="s">
        <v>747</v>
      </c>
      <c r="H308" s="2" t="s">
        <v>753</v>
      </c>
      <c r="I308" s="2" t="s">
        <v>41</v>
      </c>
      <c r="J308" s="2">
        <v>14</v>
      </c>
      <c r="K308" s="2" t="s">
        <v>754</v>
      </c>
      <c r="L308" s="2" t="s">
        <v>40</v>
      </c>
      <c r="P308" s="2" t="s">
        <v>49</v>
      </c>
      <c r="Q308" s="2">
        <f>INDEX(Tables!$C$4:$C$28,MATCH($P308,Tables!$B$4:$B$28,0))</f>
        <v>16</v>
      </c>
      <c r="R308" s="2">
        <f>INDEX(Tables!$D$4:$D$28,MATCH($P308,Tables!$B$4:$B$28,0))</f>
        <v>2</v>
      </c>
      <c r="S308" s="2">
        <f>$S307+$R307+INDEX(Tables!$N$5:$Q$8,MATCH(MOD($S307+$R307,4),Tables!$M$5:$M$8,0),MATCH($R308,Tables!$N$4:$Q$4,0))</f>
        <v>1060</v>
      </c>
      <c r="T308" s="2" t="str">
        <f t="shared" si="78"/>
        <v>0424</v>
      </c>
      <c r="U308" s="2">
        <f t="shared" si="84"/>
        <v>265</v>
      </c>
      <c r="V308" s="2" t="str">
        <f t="shared" si="79"/>
        <v>109</v>
      </c>
      <c r="W308" s="2" t="str">
        <f t="shared" si="80"/>
        <v/>
      </c>
      <c r="X308" s="2" t="str">
        <f t="shared" si="83"/>
        <v/>
      </c>
      <c r="Y308" s="2" t="str">
        <f t="shared" si="81"/>
        <v>X</v>
      </c>
      <c r="Z308" s="2" t="str">
        <f t="shared" si="82"/>
        <v>X</v>
      </c>
      <c r="AA308" s="2" t="str">
        <f t="shared" si="85"/>
        <v/>
      </c>
      <c r="AB308" s="2" t="str">
        <f t="shared" si="86"/>
        <v/>
      </c>
      <c r="AC308" s="2" t="str">
        <f t="shared" si="87"/>
        <v>(13 downto 8)</v>
      </c>
      <c r="AD308" s="2" t="str">
        <f t="shared" si="88"/>
        <v>(7 downto 0)</v>
      </c>
      <c r="AE308" s="2" t="str">
        <f t="shared" si="89"/>
        <v/>
      </c>
      <c r="AF308" s="2" t="str">
        <f t="shared" si="90"/>
        <v/>
      </c>
      <c r="AG308" s="2" t="str">
        <f t="shared" si="91"/>
        <v>(13 downto 8)</v>
      </c>
      <c r="AH308" s="2" t="str">
        <f t="shared" si="92"/>
        <v>(7 downto 0)</v>
      </c>
    </row>
    <row r="309" spans="2:34" x14ac:dyDescent="0.25">
      <c r="B309" s="2" t="s">
        <v>755</v>
      </c>
      <c r="C309" s="2" t="s">
        <v>157</v>
      </c>
      <c r="D309" s="2" t="s">
        <v>0</v>
      </c>
      <c r="E309" s="2" t="s">
        <v>130</v>
      </c>
      <c r="F309" s="2" t="s">
        <v>756</v>
      </c>
      <c r="G309" s="2" t="s">
        <v>757</v>
      </c>
      <c r="H309" s="2" t="s">
        <v>160</v>
      </c>
      <c r="I309" s="2" t="s">
        <v>41</v>
      </c>
      <c r="J309" s="2">
        <v>2</v>
      </c>
      <c r="K309" s="2" t="s">
        <v>132</v>
      </c>
      <c r="L309" s="2" t="s">
        <v>40</v>
      </c>
      <c r="P309" s="2" t="s">
        <v>47</v>
      </c>
      <c r="Q309" s="2">
        <f>INDEX(Tables!$C$4:$C$28,MATCH($P309,Tables!$B$4:$B$28,0))</f>
        <v>8</v>
      </c>
      <c r="R309" s="2">
        <f>INDEX(Tables!$D$4:$D$28,MATCH($P309,Tables!$B$4:$B$28,0))</f>
        <v>1</v>
      </c>
      <c r="S309" s="2">
        <f>$S308+$R308+INDEX(Tables!$N$5:$Q$8,MATCH(MOD($S308+$R308,4),Tables!$M$5:$M$8,0),MATCH($R309,Tables!$N$4:$Q$4,0))</f>
        <v>1062</v>
      </c>
      <c r="T309" s="2" t="str">
        <f t="shared" si="78"/>
        <v>0426</v>
      </c>
      <c r="U309" s="2">
        <f t="shared" si="84"/>
        <v>265</v>
      </c>
      <c r="V309" s="2" t="str">
        <f t="shared" si="79"/>
        <v>109</v>
      </c>
      <c r="W309" s="2" t="str">
        <f t="shared" si="80"/>
        <v/>
      </c>
      <c r="X309" s="2" t="str">
        <f t="shared" si="83"/>
        <v>X</v>
      </c>
      <c r="Y309" s="2" t="str">
        <f t="shared" si="81"/>
        <v/>
      </c>
      <c r="Z309" s="2" t="str">
        <f t="shared" si="82"/>
        <v/>
      </c>
      <c r="AA309" s="2" t="str">
        <f t="shared" si="85"/>
        <v/>
      </c>
      <c r="AB309" s="2" t="str">
        <f t="shared" si="86"/>
        <v>(17 downto 16)</v>
      </c>
      <c r="AC309" s="2" t="str">
        <f t="shared" si="87"/>
        <v/>
      </c>
      <c r="AD309" s="2" t="str">
        <f t="shared" si="88"/>
        <v/>
      </c>
      <c r="AE309" s="2" t="str">
        <f t="shared" si="89"/>
        <v/>
      </c>
      <c r="AF309" s="2" t="str">
        <f t="shared" si="90"/>
        <v/>
      </c>
      <c r="AG309" s="2" t="str">
        <f t="shared" si="91"/>
        <v/>
      </c>
      <c r="AH309" s="2" t="str">
        <f t="shared" si="92"/>
        <v/>
      </c>
    </row>
    <row r="310" spans="2:34" x14ac:dyDescent="0.25">
      <c r="B310" s="2" t="s">
        <v>755</v>
      </c>
      <c r="C310" s="2" t="s">
        <v>758</v>
      </c>
      <c r="D310" s="2" t="s">
        <v>0</v>
      </c>
      <c r="E310" s="2" t="s">
        <v>130</v>
      </c>
      <c r="F310" s="2" t="s">
        <v>756</v>
      </c>
      <c r="G310" s="2" t="s">
        <v>757</v>
      </c>
      <c r="H310" s="2" t="s">
        <v>759</v>
      </c>
      <c r="I310" s="2" t="s">
        <v>41</v>
      </c>
      <c r="J310" s="2">
        <v>14</v>
      </c>
      <c r="K310" s="2" t="s">
        <v>132</v>
      </c>
      <c r="L310" s="2" t="s">
        <v>40</v>
      </c>
      <c r="P310" s="2" t="s">
        <v>49</v>
      </c>
      <c r="Q310" s="2">
        <f>INDEX(Tables!$C$4:$C$28,MATCH($P310,Tables!$B$4:$B$28,0))</f>
        <v>16</v>
      </c>
      <c r="R310" s="2">
        <f>INDEX(Tables!$D$4:$D$28,MATCH($P310,Tables!$B$4:$B$28,0))</f>
        <v>2</v>
      </c>
      <c r="S310" s="2">
        <f>$S309+$R309+INDEX(Tables!$N$5:$Q$8,MATCH(MOD($S309+$R309,4),Tables!$M$5:$M$8,0),MATCH($R310,Tables!$N$4:$Q$4,0))</f>
        <v>1064</v>
      </c>
      <c r="T310" s="2" t="str">
        <f t="shared" si="78"/>
        <v>0428</v>
      </c>
      <c r="U310" s="2">
        <f t="shared" si="84"/>
        <v>266</v>
      </c>
      <c r="V310" s="2" t="str">
        <f t="shared" si="79"/>
        <v>10A</v>
      </c>
      <c r="W310" s="2" t="str">
        <f t="shared" si="80"/>
        <v/>
      </c>
      <c r="X310" s="2" t="str">
        <f t="shared" si="83"/>
        <v/>
      </c>
      <c r="Y310" s="2" t="str">
        <f t="shared" si="81"/>
        <v>X</v>
      </c>
      <c r="Z310" s="2" t="str">
        <f t="shared" si="82"/>
        <v>X</v>
      </c>
      <c r="AA310" s="2" t="str">
        <f t="shared" si="85"/>
        <v/>
      </c>
      <c r="AB310" s="2" t="str">
        <f t="shared" si="86"/>
        <v/>
      </c>
      <c r="AC310" s="2" t="str">
        <f t="shared" si="87"/>
        <v>(13 downto 8)</v>
      </c>
      <c r="AD310" s="2" t="str">
        <f t="shared" si="88"/>
        <v>(7 downto 0)</v>
      </c>
      <c r="AE310" s="2" t="str">
        <f t="shared" si="89"/>
        <v/>
      </c>
      <c r="AF310" s="2" t="str">
        <f t="shared" si="90"/>
        <v/>
      </c>
      <c r="AG310" s="2" t="str">
        <f t="shared" si="91"/>
        <v>(13 downto 8)</v>
      </c>
      <c r="AH310" s="2" t="str">
        <f t="shared" si="92"/>
        <v>(7 downto 0)</v>
      </c>
    </row>
    <row r="311" spans="2:34" x14ac:dyDescent="0.25">
      <c r="B311" s="2" t="s">
        <v>755</v>
      </c>
      <c r="C311" s="2" t="s">
        <v>168</v>
      </c>
      <c r="D311" s="2" t="s">
        <v>0</v>
      </c>
      <c r="E311" s="2" t="s">
        <v>130</v>
      </c>
      <c r="F311" s="2" t="s">
        <v>756</v>
      </c>
      <c r="G311" s="2" t="s">
        <v>757</v>
      </c>
      <c r="H311" s="2" t="s">
        <v>169</v>
      </c>
      <c r="I311" s="2" t="s">
        <v>41</v>
      </c>
      <c r="J311" s="2">
        <v>2</v>
      </c>
      <c r="K311" s="2" t="s">
        <v>132</v>
      </c>
      <c r="L311" s="2" t="s">
        <v>40</v>
      </c>
      <c r="P311" s="2" t="s">
        <v>47</v>
      </c>
      <c r="Q311" s="2">
        <f>INDEX(Tables!$C$4:$C$28,MATCH($P311,Tables!$B$4:$B$28,0))</f>
        <v>8</v>
      </c>
      <c r="R311" s="2">
        <f>INDEX(Tables!$D$4:$D$28,MATCH($P311,Tables!$B$4:$B$28,0))</f>
        <v>1</v>
      </c>
      <c r="S311" s="2">
        <f>$S310+$R310+INDEX(Tables!$N$5:$Q$8,MATCH(MOD($S310+$R310,4),Tables!$M$5:$M$8,0),MATCH($R311,Tables!$N$4:$Q$4,0))</f>
        <v>1066</v>
      </c>
      <c r="T311" s="2" t="str">
        <f t="shared" si="78"/>
        <v>042A</v>
      </c>
      <c r="U311" s="2">
        <f t="shared" si="84"/>
        <v>266</v>
      </c>
      <c r="V311" s="2" t="str">
        <f t="shared" si="79"/>
        <v>10A</v>
      </c>
      <c r="W311" s="2" t="str">
        <f t="shared" si="80"/>
        <v/>
      </c>
      <c r="X311" s="2" t="str">
        <f t="shared" si="83"/>
        <v>X</v>
      </c>
      <c r="Y311" s="2" t="str">
        <f t="shared" si="81"/>
        <v/>
      </c>
      <c r="Z311" s="2" t="str">
        <f t="shared" si="82"/>
        <v/>
      </c>
      <c r="AA311" s="2" t="str">
        <f t="shared" si="85"/>
        <v/>
      </c>
      <c r="AB311" s="2" t="str">
        <f t="shared" si="86"/>
        <v>(17 downto 16)</v>
      </c>
      <c r="AC311" s="2" t="str">
        <f t="shared" si="87"/>
        <v/>
      </c>
      <c r="AD311" s="2" t="str">
        <f t="shared" si="88"/>
        <v/>
      </c>
      <c r="AE311" s="2" t="str">
        <f t="shared" si="89"/>
        <v/>
      </c>
      <c r="AF311" s="2" t="str">
        <f t="shared" si="90"/>
        <v/>
      </c>
      <c r="AG311" s="2" t="str">
        <f t="shared" si="91"/>
        <v/>
      </c>
      <c r="AH311" s="2" t="str">
        <f t="shared" si="92"/>
        <v/>
      </c>
    </row>
    <row r="312" spans="2:34" x14ac:dyDescent="0.25">
      <c r="B312" s="2" t="s">
        <v>755</v>
      </c>
      <c r="C312" s="2" t="s">
        <v>760</v>
      </c>
      <c r="D312" s="2" t="s">
        <v>0</v>
      </c>
      <c r="E312" s="2" t="s">
        <v>130</v>
      </c>
      <c r="F312" s="2" t="s">
        <v>756</v>
      </c>
      <c r="G312" s="2" t="s">
        <v>757</v>
      </c>
      <c r="H312" s="2" t="s">
        <v>761</v>
      </c>
      <c r="I312" s="2" t="s">
        <v>41</v>
      </c>
      <c r="J312" s="2">
        <v>14</v>
      </c>
      <c r="K312" s="2" t="s">
        <v>132</v>
      </c>
      <c r="L312" s="2" t="s">
        <v>40</v>
      </c>
      <c r="P312" s="2" t="s">
        <v>49</v>
      </c>
      <c r="Q312" s="2">
        <f>INDEX(Tables!$C$4:$C$28,MATCH($P312,Tables!$B$4:$B$28,0))</f>
        <v>16</v>
      </c>
      <c r="R312" s="2">
        <f>INDEX(Tables!$D$4:$D$28,MATCH($P312,Tables!$B$4:$B$28,0))</f>
        <v>2</v>
      </c>
      <c r="S312" s="2">
        <f>$S311+$R311+INDEX(Tables!$N$5:$Q$8,MATCH(MOD($S311+$R311,4),Tables!$M$5:$M$8,0),MATCH($R312,Tables!$N$4:$Q$4,0))</f>
        <v>1068</v>
      </c>
      <c r="T312" s="2" t="str">
        <f t="shared" si="78"/>
        <v>042C</v>
      </c>
      <c r="U312" s="2">
        <f t="shared" si="84"/>
        <v>267</v>
      </c>
      <c r="V312" s="2" t="str">
        <f t="shared" si="79"/>
        <v>10B</v>
      </c>
      <c r="W312" s="2" t="str">
        <f t="shared" si="80"/>
        <v/>
      </c>
      <c r="X312" s="2" t="str">
        <f t="shared" si="83"/>
        <v/>
      </c>
      <c r="Y312" s="2" t="str">
        <f t="shared" si="81"/>
        <v>X</v>
      </c>
      <c r="Z312" s="2" t="str">
        <f t="shared" si="82"/>
        <v>X</v>
      </c>
      <c r="AA312" s="2" t="str">
        <f t="shared" si="85"/>
        <v/>
      </c>
      <c r="AB312" s="2" t="str">
        <f t="shared" si="86"/>
        <v/>
      </c>
      <c r="AC312" s="2" t="str">
        <f t="shared" si="87"/>
        <v>(13 downto 8)</v>
      </c>
      <c r="AD312" s="2" t="str">
        <f t="shared" si="88"/>
        <v>(7 downto 0)</v>
      </c>
      <c r="AE312" s="2" t="str">
        <f t="shared" si="89"/>
        <v/>
      </c>
      <c r="AF312" s="2" t="str">
        <f t="shared" si="90"/>
        <v/>
      </c>
      <c r="AG312" s="2" t="str">
        <f t="shared" si="91"/>
        <v>(13 downto 8)</v>
      </c>
      <c r="AH312" s="2" t="str">
        <f t="shared" si="92"/>
        <v>(7 downto 0)</v>
      </c>
    </row>
    <row r="313" spans="2:34" x14ac:dyDescent="0.25">
      <c r="B313" s="2" t="s">
        <v>762</v>
      </c>
      <c r="C313" s="2" t="s">
        <v>157</v>
      </c>
      <c r="D313" s="2" t="s">
        <v>0</v>
      </c>
      <c r="E313" s="2" t="s">
        <v>130</v>
      </c>
      <c r="F313" s="2" t="s">
        <v>763</v>
      </c>
      <c r="G313" s="2" t="s">
        <v>764</v>
      </c>
      <c r="H313" s="2" t="s">
        <v>160</v>
      </c>
      <c r="I313" s="2" t="s">
        <v>41</v>
      </c>
      <c r="J313" s="2">
        <v>7</v>
      </c>
      <c r="K313" s="2" t="s">
        <v>132</v>
      </c>
      <c r="L313" s="2" t="s">
        <v>40</v>
      </c>
      <c r="P313" s="2" t="s">
        <v>47</v>
      </c>
      <c r="Q313" s="2">
        <f>INDEX(Tables!$C$4:$C$28,MATCH($P313,Tables!$B$4:$B$28,0))</f>
        <v>8</v>
      </c>
      <c r="R313" s="2">
        <f>INDEX(Tables!$D$4:$D$28,MATCH($P313,Tables!$B$4:$B$28,0))</f>
        <v>1</v>
      </c>
      <c r="S313" s="2">
        <f>$S312+$R312+INDEX(Tables!$N$5:$Q$8,MATCH(MOD($S312+$R312,4),Tables!$M$5:$M$8,0),MATCH($R313,Tables!$N$4:$Q$4,0))</f>
        <v>1070</v>
      </c>
      <c r="T313" s="2" t="str">
        <f t="shared" si="78"/>
        <v>042E</v>
      </c>
      <c r="U313" s="2">
        <f t="shared" si="84"/>
        <v>267</v>
      </c>
      <c r="V313" s="2" t="str">
        <f t="shared" si="79"/>
        <v>10B</v>
      </c>
      <c r="W313" s="2" t="str">
        <f t="shared" si="80"/>
        <v/>
      </c>
      <c r="X313" s="2" t="str">
        <f t="shared" si="83"/>
        <v>X</v>
      </c>
      <c r="Y313" s="2" t="str">
        <f t="shared" si="81"/>
        <v/>
      </c>
      <c r="Z313" s="2" t="str">
        <f t="shared" si="82"/>
        <v/>
      </c>
      <c r="AA313" s="2" t="str">
        <f t="shared" si="85"/>
        <v/>
      </c>
      <c r="AB313" s="2" t="str">
        <f t="shared" si="86"/>
        <v>(22 downto 16)</v>
      </c>
      <c r="AC313" s="2" t="str">
        <f t="shared" si="87"/>
        <v/>
      </c>
      <c r="AD313" s="2" t="str">
        <f t="shared" si="88"/>
        <v/>
      </c>
      <c r="AE313" s="2" t="str">
        <f t="shared" si="89"/>
        <v/>
      </c>
      <c r="AF313" s="2" t="str">
        <f t="shared" si="90"/>
        <v/>
      </c>
      <c r="AG313" s="2" t="str">
        <f t="shared" si="91"/>
        <v/>
      </c>
      <c r="AH313" s="2" t="str">
        <f t="shared" si="92"/>
        <v/>
      </c>
    </row>
    <row r="314" spans="2:34" x14ac:dyDescent="0.25">
      <c r="B314" s="2" t="s">
        <v>762</v>
      </c>
      <c r="C314" s="2" t="s">
        <v>765</v>
      </c>
      <c r="D314" s="2" t="s">
        <v>0</v>
      </c>
      <c r="E314" s="2" t="s">
        <v>130</v>
      </c>
      <c r="F314" s="2" t="s">
        <v>763</v>
      </c>
      <c r="G314" s="2" t="s">
        <v>764</v>
      </c>
      <c r="H314" s="2" t="s">
        <v>766</v>
      </c>
      <c r="I314" s="2" t="s">
        <v>41</v>
      </c>
      <c r="J314" s="2">
        <v>1</v>
      </c>
      <c r="K314" s="2" t="s">
        <v>81</v>
      </c>
      <c r="L314" s="2" t="s">
        <v>40</v>
      </c>
      <c r="P314" s="2" t="s">
        <v>4</v>
      </c>
      <c r="Q314" s="2">
        <f>INDEX(Tables!$C$4:$C$28,MATCH($P314,Tables!$B$4:$B$28,0))</f>
        <v>32</v>
      </c>
      <c r="R314" s="2">
        <f>INDEX(Tables!$D$4:$D$28,MATCH($P314,Tables!$B$4:$B$28,0))</f>
        <v>4</v>
      </c>
      <c r="S314" s="2">
        <f>$S313+$R313+INDEX(Tables!$N$5:$Q$8,MATCH(MOD($S313+$R313,4),Tables!$M$5:$M$8,0),MATCH($R314,Tables!$N$4:$Q$4,0))</f>
        <v>1072</v>
      </c>
      <c r="T314" s="2" t="str">
        <f t="shared" si="78"/>
        <v>0430</v>
      </c>
      <c r="U314" s="2">
        <f t="shared" si="84"/>
        <v>268</v>
      </c>
      <c r="V314" s="2" t="str">
        <f t="shared" si="79"/>
        <v>10C</v>
      </c>
      <c r="W314" s="2" t="str">
        <f t="shared" si="80"/>
        <v/>
      </c>
      <c r="X314" s="2" t="str">
        <f t="shared" si="83"/>
        <v/>
      </c>
      <c r="Y314" s="2" t="str">
        <f t="shared" si="81"/>
        <v/>
      </c>
      <c r="Z314" s="2" t="str">
        <f t="shared" si="82"/>
        <v>X</v>
      </c>
      <c r="AA314" s="2" t="str">
        <f t="shared" si="85"/>
        <v/>
      </c>
      <c r="AB314" s="2" t="str">
        <f t="shared" si="86"/>
        <v/>
      </c>
      <c r="AC314" s="2" t="str">
        <f t="shared" si="87"/>
        <v/>
      </c>
      <c r="AD314" s="2" t="str">
        <f t="shared" si="88"/>
        <v>(0)</v>
      </c>
      <c r="AE314" s="2" t="str">
        <f t="shared" si="89"/>
        <v/>
      </c>
      <c r="AF314" s="2" t="str">
        <f t="shared" si="90"/>
        <v/>
      </c>
      <c r="AG314" s="2" t="str">
        <f t="shared" si="91"/>
        <v/>
      </c>
      <c r="AH314" s="2" t="str">
        <f t="shared" si="92"/>
        <v/>
      </c>
    </row>
    <row r="315" spans="2:34" x14ac:dyDescent="0.25">
      <c r="B315" s="2" t="s">
        <v>762</v>
      </c>
      <c r="C315" s="2" t="s">
        <v>168</v>
      </c>
      <c r="D315" s="2" t="s">
        <v>0</v>
      </c>
      <c r="E315" s="2" t="s">
        <v>130</v>
      </c>
      <c r="F315" s="2" t="s">
        <v>763</v>
      </c>
      <c r="G315" s="2" t="s">
        <v>764</v>
      </c>
      <c r="H315" s="2" t="s">
        <v>169</v>
      </c>
      <c r="I315" s="2" t="s">
        <v>41</v>
      </c>
      <c r="J315" s="2">
        <v>7</v>
      </c>
      <c r="K315" s="2" t="s">
        <v>132</v>
      </c>
      <c r="L315" s="2" t="s">
        <v>40</v>
      </c>
      <c r="P315" s="2" t="s">
        <v>47</v>
      </c>
      <c r="Q315" s="2">
        <f>INDEX(Tables!$C$4:$C$28,MATCH($P315,Tables!$B$4:$B$28,0))</f>
        <v>8</v>
      </c>
      <c r="R315" s="2">
        <f>INDEX(Tables!$D$4:$D$28,MATCH($P315,Tables!$B$4:$B$28,0))</f>
        <v>1</v>
      </c>
      <c r="S315" s="2">
        <f>$S314+$R314+INDEX(Tables!$N$5:$Q$8,MATCH(MOD($S314+$R314,4),Tables!$M$5:$M$8,0),MATCH($R315,Tables!$N$4:$Q$4,0))</f>
        <v>1076</v>
      </c>
      <c r="T315" s="2" t="str">
        <f t="shared" si="78"/>
        <v>0434</v>
      </c>
      <c r="U315" s="2">
        <f t="shared" si="84"/>
        <v>269</v>
      </c>
      <c r="V315" s="2" t="str">
        <f t="shared" si="79"/>
        <v>10D</v>
      </c>
      <c r="W315" s="2" t="str">
        <f t="shared" si="80"/>
        <v/>
      </c>
      <c r="X315" s="2" t="str">
        <f t="shared" si="83"/>
        <v/>
      </c>
      <c r="Y315" s="2" t="str">
        <f t="shared" si="81"/>
        <v/>
      </c>
      <c r="Z315" s="2" t="str">
        <f t="shared" si="82"/>
        <v>X</v>
      </c>
      <c r="AA315" s="2" t="str">
        <f t="shared" si="85"/>
        <v/>
      </c>
      <c r="AB315" s="2" t="str">
        <f t="shared" si="86"/>
        <v/>
      </c>
      <c r="AC315" s="2" t="str">
        <f t="shared" si="87"/>
        <v/>
      </c>
      <c r="AD315" s="2" t="str">
        <f t="shared" si="88"/>
        <v>(6 downto 0)</v>
      </c>
      <c r="AE315" s="2" t="str">
        <f t="shared" si="89"/>
        <v/>
      </c>
      <c r="AF315" s="2" t="str">
        <f t="shared" si="90"/>
        <v/>
      </c>
      <c r="AG315" s="2" t="str">
        <f t="shared" si="91"/>
        <v/>
      </c>
      <c r="AH315" s="2" t="str">
        <f t="shared" si="92"/>
        <v/>
      </c>
    </row>
    <row r="316" spans="2:34" x14ac:dyDescent="0.25">
      <c r="B316" s="2" t="s">
        <v>762</v>
      </c>
      <c r="C316" s="2" t="s">
        <v>767</v>
      </c>
      <c r="D316" s="2" t="s">
        <v>0</v>
      </c>
      <c r="E316" s="2" t="s">
        <v>130</v>
      </c>
      <c r="F316" s="2" t="s">
        <v>763</v>
      </c>
      <c r="G316" s="2" t="s">
        <v>764</v>
      </c>
      <c r="H316" s="2" t="s">
        <v>768</v>
      </c>
      <c r="I316" s="2" t="s">
        <v>41</v>
      </c>
      <c r="J316" s="2">
        <v>1</v>
      </c>
      <c r="K316" s="2" t="s">
        <v>81</v>
      </c>
      <c r="L316" s="2" t="s">
        <v>40</v>
      </c>
      <c r="P316" s="2" t="s">
        <v>4</v>
      </c>
      <c r="Q316" s="2">
        <f>INDEX(Tables!$C$4:$C$28,MATCH($P316,Tables!$B$4:$B$28,0))</f>
        <v>32</v>
      </c>
      <c r="R316" s="2">
        <f>INDEX(Tables!$D$4:$D$28,MATCH($P316,Tables!$B$4:$B$28,0))</f>
        <v>4</v>
      </c>
      <c r="S316" s="2">
        <f>$S315+$R315+INDEX(Tables!$N$5:$Q$8,MATCH(MOD($S315+$R315,4),Tables!$M$5:$M$8,0),MATCH($R316,Tables!$N$4:$Q$4,0))</f>
        <v>1080</v>
      </c>
      <c r="T316" s="2" t="str">
        <f t="shared" si="78"/>
        <v>0438</v>
      </c>
      <c r="U316" s="2">
        <f t="shared" si="84"/>
        <v>270</v>
      </c>
      <c r="V316" s="2" t="str">
        <f t="shared" si="79"/>
        <v>10E</v>
      </c>
      <c r="W316" s="2" t="str">
        <f t="shared" si="80"/>
        <v/>
      </c>
      <c r="X316" s="2" t="str">
        <f t="shared" si="83"/>
        <v/>
      </c>
      <c r="Y316" s="2" t="str">
        <f t="shared" si="81"/>
        <v/>
      </c>
      <c r="Z316" s="2" t="str">
        <f t="shared" si="82"/>
        <v>X</v>
      </c>
      <c r="AA316" s="2" t="str">
        <f t="shared" si="85"/>
        <v/>
      </c>
      <c r="AB316" s="2" t="str">
        <f t="shared" si="86"/>
        <v/>
      </c>
      <c r="AC316" s="2" t="str">
        <f t="shared" si="87"/>
        <v/>
      </c>
      <c r="AD316" s="2" t="str">
        <f t="shared" si="88"/>
        <v>(0)</v>
      </c>
      <c r="AE316" s="2" t="str">
        <f t="shared" si="89"/>
        <v/>
      </c>
      <c r="AF316" s="2" t="str">
        <f t="shared" si="90"/>
        <v/>
      </c>
      <c r="AG316" s="2" t="str">
        <f t="shared" si="91"/>
        <v/>
      </c>
      <c r="AH316" s="2" t="str">
        <f t="shared" si="92"/>
        <v/>
      </c>
    </row>
    <row r="317" spans="2:34" x14ac:dyDescent="0.25">
      <c r="B317" s="2" t="s">
        <v>762</v>
      </c>
      <c r="C317" s="2" t="s">
        <v>178</v>
      </c>
      <c r="D317" s="2" t="s">
        <v>0</v>
      </c>
      <c r="E317" s="2" t="s">
        <v>130</v>
      </c>
      <c r="F317" s="2" t="s">
        <v>763</v>
      </c>
      <c r="G317" s="2" t="s">
        <v>764</v>
      </c>
      <c r="H317" s="2" t="s">
        <v>179</v>
      </c>
      <c r="I317" s="2" t="s">
        <v>41</v>
      </c>
      <c r="J317" s="2">
        <v>16</v>
      </c>
      <c r="K317" s="2" t="s">
        <v>132</v>
      </c>
      <c r="L317" s="2" t="s">
        <v>40</v>
      </c>
      <c r="P317" s="2" t="s">
        <v>49</v>
      </c>
      <c r="Q317" s="2">
        <f>INDEX(Tables!$C$4:$C$28,MATCH($P317,Tables!$B$4:$B$28,0))</f>
        <v>16</v>
      </c>
      <c r="R317" s="2">
        <f>INDEX(Tables!$D$4:$D$28,MATCH($P317,Tables!$B$4:$B$28,0))</f>
        <v>2</v>
      </c>
      <c r="S317" s="2">
        <f>$S316+$R316+INDEX(Tables!$N$5:$Q$8,MATCH(MOD($S316+$R316,4),Tables!$M$5:$M$8,0),MATCH($R317,Tables!$N$4:$Q$4,0))</f>
        <v>1084</v>
      </c>
      <c r="T317" s="2" t="str">
        <f t="shared" si="78"/>
        <v>043C</v>
      </c>
      <c r="U317" s="2">
        <f t="shared" si="84"/>
        <v>271</v>
      </c>
      <c r="V317" s="2" t="str">
        <f t="shared" si="79"/>
        <v>10F</v>
      </c>
      <c r="W317" s="2" t="str">
        <f t="shared" si="80"/>
        <v/>
      </c>
      <c r="X317" s="2" t="str">
        <f t="shared" si="83"/>
        <v/>
      </c>
      <c r="Y317" s="2" t="str">
        <f t="shared" si="81"/>
        <v>X</v>
      </c>
      <c r="Z317" s="2" t="str">
        <f t="shared" si="82"/>
        <v>X</v>
      </c>
      <c r="AA317" s="2" t="str">
        <f t="shared" si="85"/>
        <v/>
      </c>
      <c r="AB317" s="2" t="str">
        <f t="shared" si="86"/>
        <v/>
      </c>
      <c r="AC317" s="2" t="str">
        <f t="shared" si="87"/>
        <v>(15 downto 8)</v>
      </c>
      <c r="AD317" s="2" t="str">
        <f t="shared" si="88"/>
        <v>(7 downto 0)</v>
      </c>
      <c r="AE317" s="2" t="str">
        <f t="shared" si="89"/>
        <v/>
      </c>
      <c r="AF317" s="2" t="str">
        <f t="shared" si="90"/>
        <v/>
      </c>
      <c r="AG317" s="2" t="str">
        <f t="shared" si="91"/>
        <v>(15 downto 8)</v>
      </c>
      <c r="AH317" s="2" t="str">
        <f t="shared" si="92"/>
        <v>(7 downto 0)</v>
      </c>
    </row>
    <row r="318" spans="2:34" x14ac:dyDescent="0.25">
      <c r="B318" s="2" t="s">
        <v>769</v>
      </c>
      <c r="C318" s="2" t="s">
        <v>141</v>
      </c>
      <c r="D318" s="2" t="s">
        <v>0</v>
      </c>
      <c r="E318" s="2" t="s">
        <v>130</v>
      </c>
      <c r="F318" s="2" t="s">
        <v>770</v>
      </c>
      <c r="G318" s="2" t="s">
        <v>771</v>
      </c>
      <c r="H318" s="2" t="s">
        <v>142</v>
      </c>
      <c r="I318" s="2" t="s">
        <v>41</v>
      </c>
      <c r="J318" s="2">
        <v>32</v>
      </c>
      <c r="K318" s="2" t="s">
        <v>132</v>
      </c>
      <c r="L318" s="2" t="s">
        <v>40</v>
      </c>
      <c r="P318" s="2" t="s">
        <v>48</v>
      </c>
      <c r="Q318" s="2">
        <f>INDEX(Tables!$C$4:$C$28,MATCH($P318,Tables!$B$4:$B$28,0))</f>
        <v>32</v>
      </c>
      <c r="R318" s="2">
        <f>INDEX(Tables!$D$4:$D$28,MATCH($P318,Tables!$B$4:$B$28,0))</f>
        <v>4</v>
      </c>
      <c r="S318" s="2">
        <f>$S317+$R317+INDEX(Tables!$N$5:$Q$8,MATCH(MOD($S317+$R317,4),Tables!$M$5:$M$8,0),MATCH($R318,Tables!$N$4:$Q$4,0))</f>
        <v>1088</v>
      </c>
      <c r="T318" s="2" t="str">
        <f t="shared" si="78"/>
        <v>0440</v>
      </c>
      <c r="U318" s="2">
        <f t="shared" si="84"/>
        <v>272</v>
      </c>
      <c r="V318" s="2" t="str">
        <f t="shared" si="79"/>
        <v>110</v>
      </c>
      <c r="W318" s="2" t="str">
        <f t="shared" si="80"/>
        <v>X</v>
      </c>
      <c r="X318" s="2" t="str">
        <f t="shared" si="83"/>
        <v>X</v>
      </c>
      <c r="Y318" s="2" t="str">
        <f t="shared" si="81"/>
        <v>X</v>
      </c>
      <c r="Z318" s="2" t="str">
        <f t="shared" si="82"/>
        <v>X</v>
      </c>
      <c r="AA318" s="2" t="str">
        <f t="shared" si="85"/>
        <v>(31 downto 24)</v>
      </c>
      <c r="AB318" s="2" t="str">
        <f t="shared" si="86"/>
        <v>(23 downto 16)</v>
      </c>
      <c r="AC318" s="2" t="str">
        <f t="shared" si="87"/>
        <v>(15 downto 8)</v>
      </c>
      <c r="AD318" s="2" t="str">
        <f t="shared" si="88"/>
        <v>(7 downto 0)</v>
      </c>
      <c r="AE318" s="2" t="str">
        <f t="shared" si="89"/>
        <v>(31 downto 24)</v>
      </c>
      <c r="AF318" s="2" t="str">
        <f t="shared" si="90"/>
        <v>(23 downto 16)</v>
      </c>
      <c r="AG318" s="2" t="str">
        <f t="shared" si="91"/>
        <v>(15 downto 8)</v>
      </c>
      <c r="AH318" s="2" t="str">
        <f t="shared" si="92"/>
        <v>(7 downto 0)</v>
      </c>
    </row>
    <row r="319" spans="2:34" x14ac:dyDescent="0.25">
      <c r="B319" s="2" t="s">
        <v>772</v>
      </c>
      <c r="C319" s="2" t="s">
        <v>141</v>
      </c>
      <c r="D319" s="2" t="s">
        <v>0</v>
      </c>
      <c r="E319" s="2" t="s">
        <v>130</v>
      </c>
      <c r="F319" s="2" t="s">
        <v>773</v>
      </c>
      <c r="G319" s="2" t="s">
        <v>774</v>
      </c>
      <c r="H319" s="2" t="s">
        <v>142</v>
      </c>
      <c r="I319" s="2" t="s">
        <v>41</v>
      </c>
      <c r="J319" s="2">
        <v>32</v>
      </c>
      <c r="K319" s="2" t="s">
        <v>132</v>
      </c>
      <c r="L319" s="2" t="s">
        <v>40</v>
      </c>
      <c r="P319" s="2" t="s">
        <v>48</v>
      </c>
      <c r="Q319" s="2">
        <f>INDEX(Tables!$C$4:$C$28,MATCH($P319,Tables!$B$4:$B$28,0))</f>
        <v>32</v>
      </c>
      <c r="R319" s="2">
        <f>INDEX(Tables!$D$4:$D$28,MATCH($P319,Tables!$B$4:$B$28,0))</f>
        <v>4</v>
      </c>
      <c r="S319" s="2">
        <f>$S318+$R318+INDEX(Tables!$N$5:$Q$8,MATCH(MOD($S318+$R318,4),Tables!$M$5:$M$8,0),MATCH($R319,Tables!$N$4:$Q$4,0))</f>
        <v>1092</v>
      </c>
      <c r="T319" s="2" t="str">
        <f t="shared" si="78"/>
        <v>0444</v>
      </c>
      <c r="U319" s="2">
        <f t="shared" si="84"/>
        <v>273</v>
      </c>
      <c r="V319" s="2" t="str">
        <f t="shared" si="79"/>
        <v>111</v>
      </c>
      <c r="W319" s="2" t="str">
        <f t="shared" si="80"/>
        <v>X</v>
      </c>
      <c r="X319" s="2" t="str">
        <f t="shared" si="83"/>
        <v>X</v>
      </c>
      <c r="Y319" s="2" t="str">
        <f t="shared" si="81"/>
        <v>X</v>
      </c>
      <c r="Z319" s="2" t="str">
        <f t="shared" si="82"/>
        <v>X</v>
      </c>
      <c r="AA319" s="2" t="str">
        <f t="shared" si="85"/>
        <v>(31 downto 24)</v>
      </c>
      <c r="AB319" s="2" t="str">
        <f t="shared" si="86"/>
        <v>(23 downto 16)</v>
      </c>
      <c r="AC319" s="2" t="str">
        <f t="shared" si="87"/>
        <v>(15 downto 8)</v>
      </c>
      <c r="AD319" s="2" t="str">
        <f t="shared" si="88"/>
        <v>(7 downto 0)</v>
      </c>
      <c r="AE319" s="2" t="str">
        <f t="shared" si="89"/>
        <v>(31 downto 24)</v>
      </c>
      <c r="AF319" s="2" t="str">
        <f t="shared" si="90"/>
        <v>(23 downto 16)</v>
      </c>
      <c r="AG319" s="2" t="str">
        <f t="shared" si="91"/>
        <v>(15 downto 8)</v>
      </c>
      <c r="AH319" s="2" t="str">
        <f t="shared" si="92"/>
        <v>(7 downto 0)</v>
      </c>
    </row>
    <row r="320" spans="2:34" x14ac:dyDescent="0.25">
      <c r="B320" s="2" t="s">
        <v>775</v>
      </c>
      <c r="C320" s="2" t="s">
        <v>141</v>
      </c>
      <c r="D320" s="2" t="s">
        <v>0</v>
      </c>
      <c r="E320" s="2" t="s">
        <v>130</v>
      </c>
      <c r="F320" s="2" t="s">
        <v>776</v>
      </c>
      <c r="G320" s="2" t="s">
        <v>777</v>
      </c>
      <c r="H320" s="2" t="s">
        <v>142</v>
      </c>
      <c r="I320" s="2" t="s">
        <v>41</v>
      </c>
      <c r="J320" s="2">
        <v>32</v>
      </c>
      <c r="K320" s="2" t="s">
        <v>132</v>
      </c>
      <c r="L320" s="2" t="s">
        <v>40</v>
      </c>
      <c r="P320" s="2" t="s">
        <v>48</v>
      </c>
      <c r="Q320" s="2">
        <f>INDEX(Tables!$C$4:$C$28,MATCH($P320,Tables!$B$4:$B$28,0))</f>
        <v>32</v>
      </c>
      <c r="R320" s="2">
        <f>INDEX(Tables!$D$4:$D$28,MATCH($P320,Tables!$B$4:$B$28,0))</f>
        <v>4</v>
      </c>
      <c r="S320" s="2">
        <f>$S319+$R319+INDEX(Tables!$N$5:$Q$8,MATCH(MOD($S319+$R319,4),Tables!$M$5:$M$8,0),MATCH($R320,Tables!$N$4:$Q$4,0))</f>
        <v>1096</v>
      </c>
      <c r="T320" s="2" t="str">
        <f t="shared" si="78"/>
        <v>0448</v>
      </c>
      <c r="U320" s="2">
        <f t="shared" si="84"/>
        <v>274</v>
      </c>
      <c r="V320" s="2" t="str">
        <f t="shared" si="79"/>
        <v>112</v>
      </c>
      <c r="W320" s="2" t="str">
        <f t="shared" si="80"/>
        <v>X</v>
      </c>
      <c r="X320" s="2" t="str">
        <f t="shared" si="83"/>
        <v>X</v>
      </c>
      <c r="Y320" s="2" t="str">
        <f t="shared" si="81"/>
        <v>X</v>
      </c>
      <c r="Z320" s="2" t="str">
        <f t="shared" si="82"/>
        <v>X</v>
      </c>
      <c r="AA320" s="2" t="str">
        <f t="shared" si="85"/>
        <v>(31 downto 24)</v>
      </c>
      <c r="AB320" s="2" t="str">
        <f t="shared" si="86"/>
        <v>(23 downto 16)</v>
      </c>
      <c r="AC320" s="2" t="str">
        <f t="shared" si="87"/>
        <v>(15 downto 8)</v>
      </c>
      <c r="AD320" s="2" t="str">
        <f t="shared" si="88"/>
        <v>(7 downto 0)</v>
      </c>
      <c r="AE320" s="2" t="str">
        <f t="shared" si="89"/>
        <v>(31 downto 24)</v>
      </c>
      <c r="AF320" s="2" t="str">
        <f t="shared" si="90"/>
        <v>(23 downto 16)</v>
      </c>
      <c r="AG320" s="2" t="str">
        <f t="shared" si="91"/>
        <v>(15 downto 8)</v>
      </c>
      <c r="AH320" s="2" t="str">
        <f t="shared" si="92"/>
        <v>(7 downto 0)</v>
      </c>
    </row>
    <row r="321" spans="2:34" x14ac:dyDescent="0.25">
      <c r="B321" s="2" t="s">
        <v>778</v>
      </c>
      <c r="C321" s="2" t="s">
        <v>141</v>
      </c>
      <c r="D321" s="2" t="s">
        <v>0</v>
      </c>
      <c r="E321" s="2" t="s">
        <v>130</v>
      </c>
      <c r="F321" s="2" t="s">
        <v>779</v>
      </c>
      <c r="G321" s="2" t="s">
        <v>780</v>
      </c>
      <c r="H321" s="2" t="s">
        <v>142</v>
      </c>
      <c r="I321" s="2" t="s">
        <v>41</v>
      </c>
      <c r="J321" s="2">
        <v>32</v>
      </c>
      <c r="K321" s="2" t="s">
        <v>132</v>
      </c>
      <c r="L321" s="2" t="s">
        <v>40</v>
      </c>
      <c r="P321" s="2" t="s">
        <v>48</v>
      </c>
      <c r="Q321" s="2">
        <f>INDEX(Tables!$C$4:$C$28,MATCH($P321,Tables!$B$4:$B$28,0))</f>
        <v>32</v>
      </c>
      <c r="R321" s="2">
        <f>INDEX(Tables!$D$4:$D$28,MATCH($P321,Tables!$B$4:$B$28,0))</f>
        <v>4</v>
      </c>
      <c r="S321" s="2">
        <f>$S320+$R320+INDEX(Tables!$N$5:$Q$8,MATCH(MOD($S320+$R320,4),Tables!$M$5:$M$8,0),MATCH($R321,Tables!$N$4:$Q$4,0))</f>
        <v>1100</v>
      </c>
      <c r="T321" s="2" t="str">
        <f t="shared" si="78"/>
        <v>044C</v>
      </c>
      <c r="U321" s="2">
        <f t="shared" si="84"/>
        <v>275</v>
      </c>
      <c r="V321" s="2" t="str">
        <f t="shared" si="79"/>
        <v>113</v>
      </c>
      <c r="W321" s="2" t="str">
        <f t="shared" si="80"/>
        <v>X</v>
      </c>
      <c r="X321" s="2" t="str">
        <f t="shared" si="83"/>
        <v>X</v>
      </c>
      <c r="Y321" s="2" t="str">
        <f t="shared" si="81"/>
        <v>X</v>
      </c>
      <c r="Z321" s="2" t="str">
        <f t="shared" si="82"/>
        <v>X</v>
      </c>
      <c r="AA321" s="2" t="str">
        <f t="shared" si="85"/>
        <v>(31 downto 24)</v>
      </c>
      <c r="AB321" s="2" t="str">
        <f t="shared" si="86"/>
        <v>(23 downto 16)</v>
      </c>
      <c r="AC321" s="2" t="str">
        <f t="shared" si="87"/>
        <v>(15 downto 8)</v>
      </c>
      <c r="AD321" s="2" t="str">
        <f t="shared" si="88"/>
        <v>(7 downto 0)</v>
      </c>
      <c r="AE321" s="2" t="str">
        <f t="shared" si="89"/>
        <v>(31 downto 24)</v>
      </c>
      <c r="AF321" s="2" t="str">
        <f t="shared" si="90"/>
        <v>(23 downto 16)</v>
      </c>
      <c r="AG321" s="2" t="str">
        <f t="shared" si="91"/>
        <v>(15 downto 8)</v>
      </c>
      <c r="AH321" s="2" t="str">
        <f t="shared" si="92"/>
        <v>(7 downto 0)</v>
      </c>
    </row>
    <row r="322" spans="2:34" x14ac:dyDescent="0.25">
      <c r="B322" s="2" t="s">
        <v>781</v>
      </c>
      <c r="C322" s="2" t="s">
        <v>141</v>
      </c>
      <c r="D322" s="2" t="s">
        <v>0</v>
      </c>
      <c r="E322" s="2" t="s">
        <v>130</v>
      </c>
      <c r="F322" s="2" t="s">
        <v>782</v>
      </c>
      <c r="G322" s="2" t="s">
        <v>783</v>
      </c>
      <c r="H322" s="2" t="s">
        <v>142</v>
      </c>
      <c r="I322" s="2" t="s">
        <v>41</v>
      </c>
      <c r="J322" s="2">
        <v>32</v>
      </c>
      <c r="K322" s="2" t="s">
        <v>132</v>
      </c>
      <c r="L322" s="2" t="s">
        <v>40</v>
      </c>
      <c r="P322" s="2" t="s">
        <v>48</v>
      </c>
      <c r="Q322" s="2">
        <f>INDEX(Tables!$C$4:$C$28,MATCH($P322,Tables!$B$4:$B$28,0))</f>
        <v>32</v>
      </c>
      <c r="R322" s="2">
        <f>INDEX(Tables!$D$4:$D$28,MATCH($P322,Tables!$B$4:$B$28,0))</f>
        <v>4</v>
      </c>
      <c r="S322" s="2">
        <f>$S321+$R321+INDEX(Tables!$N$5:$Q$8,MATCH(MOD($S321+$R321,4),Tables!$M$5:$M$8,0),MATCH($R322,Tables!$N$4:$Q$4,0))</f>
        <v>1104</v>
      </c>
      <c r="T322" s="2" t="str">
        <f t="shared" si="78"/>
        <v>0450</v>
      </c>
      <c r="U322" s="2">
        <f t="shared" si="84"/>
        <v>276</v>
      </c>
      <c r="V322" s="2" t="str">
        <f t="shared" si="79"/>
        <v>114</v>
      </c>
      <c r="W322" s="2" t="str">
        <f t="shared" si="80"/>
        <v>X</v>
      </c>
      <c r="X322" s="2" t="str">
        <f t="shared" si="83"/>
        <v>X</v>
      </c>
      <c r="Y322" s="2" t="str">
        <f t="shared" si="81"/>
        <v>X</v>
      </c>
      <c r="Z322" s="2" t="str">
        <f t="shared" si="82"/>
        <v>X</v>
      </c>
      <c r="AA322" s="2" t="str">
        <f t="shared" si="85"/>
        <v>(31 downto 24)</v>
      </c>
      <c r="AB322" s="2" t="str">
        <f t="shared" si="86"/>
        <v>(23 downto 16)</v>
      </c>
      <c r="AC322" s="2" t="str">
        <f t="shared" si="87"/>
        <v>(15 downto 8)</v>
      </c>
      <c r="AD322" s="2" t="str">
        <f t="shared" si="88"/>
        <v>(7 downto 0)</v>
      </c>
      <c r="AE322" s="2" t="str">
        <f t="shared" si="89"/>
        <v>(31 downto 24)</v>
      </c>
      <c r="AF322" s="2" t="str">
        <f t="shared" si="90"/>
        <v>(23 downto 16)</v>
      </c>
      <c r="AG322" s="2" t="str">
        <f t="shared" si="91"/>
        <v>(15 downto 8)</v>
      </c>
      <c r="AH322" s="2" t="str">
        <f t="shared" si="92"/>
        <v>(7 downto 0)</v>
      </c>
    </row>
    <row r="323" spans="2:34" x14ac:dyDescent="0.25">
      <c r="B323" s="2" t="s">
        <v>784</v>
      </c>
      <c r="C323" s="2" t="s">
        <v>141</v>
      </c>
      <c r="D323" s="2" t="s">
        <v>0</v>
      </c>
      <c r="E323" s="2" t="s">
        <v>130</v>
      </c>
      <c r="F323" s="2" t="s">
        <v>785</v>
      </c>
      <c r="G323" s="2" t="s">
        <v>786</v>
      </c>
      <c r="H323" s="2" t="s">
        <v>142</v>
      </c>
      <c r="I323" s="2" t="s">
        <v>41</v>
      </c>
      <c r="J323" s="2">
        <v>32</v>
      </c>
      <c r="K323" s="2" t="s">
        <v>132</v>
      </c>
      <c r="L323" s="2" t="s">
        <v>40</v>
      </c>
      <c r="P323" s="2" t="s">
        <v>48</v>
      </c>
      <c r="Q323" s="2">
        <f>INDEX(Tables!$C$4:$C$28,MATCH($P323,Tables!$B$4:$B$28,0))</f>
        <v>32</v>
      </c>
      <c r="R323" s="2">
        <f>INDEX(Tables!$D$4:$D$28,MATCH($P323,Tables!$B$4:$B$28,0))</f>
        <v>4</v>
      </c>
      <c r="S323" s="2">
        <f>$S322+$R322+INDEX(Tables!$N$5:$Q$8,MATCH(MOD($S322+$R322,4),Tables!$M$5:$M$8,0),MATCH($R323,Tables!$N$4:$Q$4,0))</f>
        <v>1108</v>
      </c>
      <c r="T323" s="2" t="str">
        <f t="shared" si="78"/>
        <v>0454</v>
      </c>
      <c r="U323" s="2">
        <f t="shared" si="84"/>
        <v>277</v>
      </c>
      <c r="V323" s="2" t="str">
        <f t="shared" si="79"/>
        <v>115</v>
      </c>
      <c r="W323" s="2" t="str">
        <f t="shared" si="80"/>
        <v>X</v>
      </c>
      <c r="X323" s="2" t="str">
        <f t="shared" si="83"/>
        <v>X</v>
      </c>
      <c r="Y323" s="2" t="str">
        <f t="shared" si="81"/>
        <v>X</v>
      </c>
      <c r="Z323" s="2" t="str">
        <f t="shared" si="82"/>
        <v>X</v>
      </c>
      <c r="AA323" s="2" t="str">
        <f t="shared" si="85"/>
        <v>(31 downto 24)</v>
      </c>
      <c r="AB323" s="2" t="str">
        <f t="shared" si="86"/>
        <v>(23 downto 16)</v>
      </c>
      <c r="AC323" s="2" t="str">
        <f t="shared" si="87"/>
        <v>(15 downto 8)</v>
      </c>
      <c r="AD323" s="2" t="str">
        <f t="shared" si="88"/>
        <v>(7 downto 0)</v>
      </c>
      <c r="AE323" s="2" t="str">
        <f t="shared" si="89"/>
        <v>(31 downto 24)</v>
      </c>
      <c r="AF323" s="2" t="str">
        <f t="shared" si="90"/>
        <v>(23 downto 16)</v>
      </c>
      <c r="AG323" s="2" t="str">
        <f t="shared" si="91"/>
        <v>(15 downto 8)</v>
      </c>
      <c r="AH323" s="2" t="str">
        <f t="shared" si="92"/>
        <v>(7 downto 0)</v>
      </c>
    </row>
    <row r="324" spans="2:34" x14ac:dyDescent="0.25">
      <c r="B324" s="2" t="s">
        <v>787</v>
      </c>
      <c r="C324" s="2" t="s">
        <v>141</v>
      </c>
      <c r="D324" s="2" t="s">
        <v>0</v>
      </c>
      <c r="E324" s="2" t="s">
        <v>130</v>
      </c>
      <c r="F324" s="2" t="s">
        <v>788</v>
      </c>
      <c r="G324" s="2" t="s">
        <v>789</v>
      </c>
      <c r="H324" s="2" t="s">
        <v>142</v>
      </c>
      <c r="I324" s="2" t="s">
        <v>41</v>
      </c>
      <c r="J324" s="2">
        <v>32</v>
      </c>
      <c r="K324" s="2" t="s">
        <v>132</v>
      </c>
      <c r="L324" s="2" t="s">
        <v>40</v>
      </c>
      <c r="P324" s="2" t="s">
        <v>48</v>
      </c>
      <c r="Q324" s="2">
        <f>INDEX(Tables!$C$4:$C$28,MATCH($P324,Tables!$B$4:$B$28,0))</f>
        <v>32</v>
      </c>
      <c r="R324" s="2">
        <f>INDEX(Tables!$D$4:$D$28,MATCH($P324,Tables!$B$4:$B$28,0))</f>
        <v>4</v>
      </c>
      <c r="S324" s="2">
        <f>$S323+$R323+INDEX(Tables!$N$5:$Q$8,MATCH(MOD($S323+$R323,4),Tables!$M$5:$M$8,0),MATCH($R324,Tables!$N$4:$Q$4,0))</f>
        <v>1112</v>
      </c>
      <c r="T324" s="2" t="str">
        <f t="shared" si="78"/>
        <v>0458</v>
      </c>
      <c r="U324" s="2">
        <f t="shared" si="84"/>
        <v>278</v>
      </c>
      <c r="V324" s="2" t="str">
        <f t="shared" si="79"/>
        <v>116</v>
      </c>
      <c r="W324" s="2" t="str">
        <f t="shared" si="80"/>
        <v>X</v>
      </c>
      <c r="X324" s="2" t="str">
        <f t="shared" si="83"/>
        <v>X</v>
      </c>
      <c r="Y324" s="2" t="str">
        <f t="shared" si="81"/>
        <v>X</v>
      </c>
      <c r="Z324" s="2" t="str">
        <f t="shared" si="82"/>
        <v>X</v>
      </c>
      <c r="AA324" s="2" t="str">
        <f t="shared" si="85"/>
        <v>(31 downto 24)</v>
      </c>
      <c r="AB324" s="2" t="str">
        <f t="shared" si="86"/>
        <v>(23 downto 16)</v>
      </c>
      <c r="AC324" s="2" t="str">
        <f t="shared" si="87"/>
        <v>(15 downto 8)</v>
      </c>
      <c r="AD324" s="2" t="str">
        <f t="shared" si="88"/>
        <v>(7 downto 0)</v>
      </c>
      <c r="AE324" s="2" t="str">
        <f t="shared" si="89"/>
        <v>(31 downto 24)</v>
      </c>
      <c r="AF324" s="2" t="str">
        <f t="shared" si="90"/>
        <v>(23 downto 16)</v>
      </c>
      <c r="AG324" s="2" t="str">
        <f t="shared" si="91"/>
        <v>(15 downto 8)</v>
      </c>
      <c r="AH324" s="2" t="str">
        <f t="shared" si="92"/>
        <v>(7 downto 0)</v>
      </c>
    </row>
    <row r="325" spans="2:34" x14ac:dyDescent="0.25">
      <c r="B325" s="2" t="s">
        <v>790</v>
      </c>
      <c r="C325" s="2" t="s">
        <v>141</v>
      </c>
      <c r="D325" s="2" t="s">
        <v>0</v>
      </c>
      <c r="E325" s="2" t="s">
        <v>130</v>
      </c>
      <c r="F325" s="2" t="s">
        <v>791</v>
      </c>
      <c r="G325" s="2" t="s">
        <v>792</v>
      </c>
      <c r="H325" s="2" t="s">
        <v>142</v>
      </c>
      <c r="I325" s="2" t="s">
        <v>41</v>
      </c>
      <c r="J325" s="2">
        <v>32</v>
      </c>
      <c r="K325" s="2" t="s">
        <v>132</v>
      </c>
      <c r="L325" s="2" t="s">
        <v>40</v>
      </c>
      <c r="P325" s="2" t="s">
        <v>48</v>
      </c>
      <c r="Q325" s="2">
        <f>INDEX(Tables!$C$4:$C$28,MATCH($P325,Tables!$B$4:$B$28,0))</f>
        <v>32</v>
      </c>
      <c r="R325" s="2">
        <f>INDEX(Tables!$D$4:$D$28,MATCH($P325,Tables!$B$4:$B$28,0))</f>
        <v>4</v>
      </c>
      <c r="S325" s="2">
        <f>$S324+$R324+INDEX(Tables!$N$5:$Q$8,MATCH(MOD($S324+$R324,4),Tables!$M$5:$M$8,0),MATCH($R325,Tables!$N$4:$Q$4,0))</f>
        <v>1116</v>
      </c>
      <c r="T325" s="2" t="str">
        <f t="shared" ref="T325:T388" si="93">DEC2HEX($S325,4)</f>
        <v>045C</v>
      </c>
      <c r="U325" s="2">
        <f t="shared" si="84"/>
        <v>279</v>
      </c>
      <c r="V325" s="2" t="str">
        <f t="shared" ref="V325:V388" si="94">DEC2HEX($U325,3)</f>
        <v>117</v>
      </c>
      <c r="W325" s="2" t="str">
        <f t="shared" ref="W325:W388" si="95">IF(MOD($S325,4)=3,"X",IF(AND(MOD($S325,4)=2,$J325&gt;8),"X",IF(AND(MOD($S325,4)=1,$J325&gt;16),"X",IF(AND(MOD($S325,4)=0,$J325&gt;24),"X",""))))</f>
        <v>X</v>
      </c>
      <c r="X325" s="2" t="str">
        <f t="shared" si="83"/>
        <v>X</v>
      </c>
      <c r="Y325" s="2" t="str">
        <f t="shared" ref="Y325:Y388" si="96">IF(MOD($S325,4)=1,"X",IF(AND(MOD($S325,4)=0,$J325&gt;8),"X",""))</f>
        <v>X</v>
      </c>
      <c r="Z325" s="2" t="str">
        <f t="shared" ref="Z325:Z388" si="97">IF(MOD($S325,4)=0,"X","")</f>
        <v>X</v>
      </c>
      <c r="AA325" s="2" t="str">
        <f t="shared" si="85"/>
        <v>(31 downto 24)</v>
      </c>
      <c r="AB325" s="2" t="str">
        <f t="shared" si="86"/>
        <v>(23 downto 16)</v>
      </c>
      <c r="AC325" s="2" t="str">
        <f t="shared" si="87"/>
        <v>(15 downto 8)</v>
      </c>
      <c r="AD325" s="2" t="str">
        <f t="shared" si="88"/>
        <v>(7 downto 0)</v>
      </c>
      <c r="AE325" s="2" t="str">
        <f t="shared" si="89"/>
        <v>(31 downto 24)</v>
      </c>
      <c r="AF325" s="2" t="str">
        <f t="shared" si="90"/>
        <v>(23 downto 16)</v>
      </c>
      <c r="AG325" s="2" t="str">
        <f t="shared" si="91"/>
        <v>(15 downto 8)</v>
      </c>
      <c r="AH325" s="2" t="str">
        <f t="shared" si="92"/>
        <v>(7 downto 0)</v>
      </c>
    </row>
    <row r="326" spans="2:34" x14ac:dyDescent="0.25">
      <c r="B326" s="2" t="s">
        <v>793</v>
      </c>
      <c r="C326" s="2" t="s">
        <v>141</v>
      </c>
      <c r="D326" s="2" t="s">
        <v>0</v>
      </c>
      <c r="E326" s="2" t="s">
        <v>130</v>
      </c>
      <c r="F326" s="2" t="s">
        <v>794</v>
      </c>
      <c r="G326" s="2" t="s">
        <v>795</v>
      </c>
      <c r="H326" s="2" t="s">
        <v>142</v>
      </c>
      <c r="I326" s="2" t="s">
        <v>41</v>
      </c>
      <c r="J326" s="2">
        <v>32</v>
      </c>
      <c r="K326" s="2" t="s">
        <v>132</v>
      </c>
      <c r="L326" s="2" t="s">
        <v>40</v>
      </c>
      <c r="P326" s="2" t="s">
        <v>48</v>
      </c>
      <c r="Q326" s="2">
        <f>INDEX(Tables!$C$4:$C$28,MATCH($P326,Tables!$B$4:$B$28,0))</f>
        <v>32</v>
      </c>
      <c r="R326" s="2">
        <f>INDEX(Tables!$D$4:$D$28,MATCH($P326,Tables!$B$4:$B$28,0))</f>
        <v>4</v>
      </c>
      <c r="S326" s="2">
        <f>$S325+$R325+INDEX(Tables!$N$5:$Q$8,MATCH(MOD($S325+$R325,4),Tables!$M$5:$M$8,0),MATCH($R326,Tables!$N$4:$Q$4,0))</f>
        <v>1120</v>
      </c>
      <c r="T326" s="2" t="str">
        <f t="shared" si="93"/>
        <v>0460</v>
      </c>
      <c r="U326" s="2">
        <f t="shared" si="84"/>
        <v>280</v>
      </c>
      <c r="V326" s="2" t="str">
        <f t="shared" si="94"/>
        <v>118</v>
      </c>
      <c r="W326" s="2" t="str">
        <f t="shared" si="95"/>
        <v>X</v>
      </c>
      <c r="X326" s="2" t="str">
        <f t="shared" ref="X326:X389" si="98">IF(MOD($S326,4)=2,"X",IF(AND(MOD($S326,4)=1,$J326&gt;8),"X",IF(AND(MOD($S326,4)=0,$J326&gt;16),"X","")))</f>
        <v>X</v>
      </c>
      <c r="Y326" s="2" t="str">
        <f t="shared" si="96"/>
        <v>X</v>
      </c>
      <c r="Z326" s="2" t="str">
        <f t="shared" si="97"/>
        <v>X</v>
      </c>
      <c r="AA326" s="2" t="str">
        <f t="shared" si="85"/>
        <v>(31 downto 24)</v>
      </c>
      <c r="AB326" s="2" t="str">
        <f t="shared" si="86"/>
        <v>(23 downto 16)</v>
      </c>
      <c r="AC326" s="2" t="str">
        <f t="shared" si="87"/>
        <v>(15 downto 8)</v>
      </c>
      <c r="AD326" s="2" t="str">
        <f t="shared" si="88"/>
        <v>(7 downto 0)</v>
      </c>
      <c r="AE326" s="2" t="str">
        <f t="shared" si="89"/>
        <v>(31 downto 24)</v>
      </c>
      <c r="AF326" s="2" t="str">
        <f t="shared" si="90"/>
        <v>(23 downto 16)</v>
      </c>
      <c r="AG326" s="2" t="str">
        <f t="shared" si="91"/>
        <v>(15 downto 8)</v>
      </c>
      <c r="AH326" s="2" t="str">
        <f t="shared" si="92"/>
        <v>(7 downto 0)</v>
      </c>
    </row>
    <row r="327" spans="2:34" x14ac:dyDescent="0.25">
      <c r="B327" s="2" t="s">
        <v>796</v>
      </c>
      <c r="C327" s="2" t="s">
        <v>141</v>
      </c>
      <c r="D327" s="2" t="s">
        <v>0</v>
      </c>
      <c r="E327" s="2" t="s">
        <v>130</v>
      </c>
      <c r="F327" s="2" t="s">
        <v>797</v>
      </c>
      <c r="G327" s="2" t="s">
        <v>798</v>
      </c>
      <c r="H327" s="2" t="s">
        <v>142</v>
      </c>
      <c r="I327" s="2" t="s">
        <v>41</v>
      </c>
      <c r="J327" s="2">
        <v>32</v>
      </c>
      <c r="K327" s="2" t="s">
        <v>132</v>
      </c>
      <c r="L327" s="2" t="s">
        <v>40</v>
      </c>
      <c r="P327" s="2" t="s">
        <v>48</v>
      </c>
      <c r="Q327" s="2">
        <f>INDEX(Tables!$C$4:$C$28,MATCH($P327,Tables!$B$4:$B$28,0))</f>
        <v>32</v>
      </c>
      <c r="R327" s="2">
        <f>INDEX(Tables!$D$4:$D$28,MATCH($P327,Tables!$B$4:$B$28,0))</f>
        <v>4</v>
      </c>
      <c r="S327" s="2">
        <f>$S326+$R326+INDEX(Tables!$N$5:$Q$8,MATCH(MOD($S326+$R326,4),Tables!$M$5:$M$8,0),MATCH($R327,Tables!$N$4:$Q$4,0))</f>
        <v>1124</v>
      </c>
      <c r="T327" s="2" t="str">
        <f t="shared" si="93"/>
        <v>0464</v>
      </c>
      <c r="U327" s="2">
        <f t="shared" si="84"/>
        <v>281</v>
      </c>
      <c r="V327" s="2" t="str">
        <f t="shared" si="94"/>
        <v>119</v>
      </c>
      <c r="W327" s="2" t="str">
        <f t="shared" si="95"/>
        <v>X</v>
      </c>
      <c r="X327" s="2" t="str">
        <f t="shared" si="98"/>
        <v>X</v>
      </c>
      <c r="Y327" s="2" t="str">
        <f t="shared" si="96"/>
        <v>X</v>
      </c>
      <c r="Z327" s="2" t="str">
        <f t="shared" si="97"/>
        <v>X</v>
      </c>
      <c r="AA327" s="2" t="str">
        <f t="shared" si="85"/>
        <v>(31 downto 24)</v>
      </c>
      <c r="AB327" s="2" t="str">
        <f t="shared" si="86"/>
        <v>(23 downto 16)</v>
      </c>
      <c r="AC327" s="2" t="str">
        <f t="shared" si="87"/>
        <v>(15 downto 8)</v>
      </c>
      <c r="AD327" s="2" t="str">
        <f t="shared" si="88"/>
        <v>(7 downto 0)</v>
      </c>
      <c r="AE327" s="2" t="str">
        <f t="shared" si="89"/>
        <v>(31 downto 24)</v>
      </c>
      <c r="AF327" s="2" t="str">
        <f t="shared" si="90"/>
        <v>(23 downto 16)</v>
      </c>
      <c r="AG327" s="2" t="str">
        <f t="shared" si="91"/>
        <v>(15 downto 8)</v>
      </c>
      <c r="AH327" s="2" t="str">
        <f t="shared" si="92"/>
        <v>(7 downto 0)</v>
      </c>
    </row>
    <row r="328" spans="2:34" x14ac:dyDescent="0.25">
      <c r="B328" s="2" t="s">
        <v>799</v>
      </c>
      <c r="C328" s="2" t="s">
        <v>141</v>
      </c>
      <c r="D328" s="2" t="s">
        <v>0</v>
      </c>
      <c r="E328" s="2" t="s">
        <v>130</v>
      </c>
      <c r="F328" s="2" t="s">
        <v>800</v>
      </c>
      <c r="G328" s="2" t="s">
        <v>801</v>
      </c>
      <c r="H328" s="2" t="s">
        <v>142</v>
      </c>
      <c r="I328" s="2" t="s">
        <v>41</v>
      </c>
      <c r="J328" s="2">
        <v>32</v>
      </c>
      <c r="K328" s="2" t="s">
        <v>132</v>
      </c>
      <c r="L328" s="2" t="s">
        <v>40</v>
      </c>
      <c r="P328" s="2" t="s">
        <v>48</v>
      </c>
      <c r="Q328" s="2">
        <f>INDEX(Tables!$C$4:$C$28,MATCH($P328,Tables!$B$4:$B$28,0))</f>
        <v>32</v>
      </c>
      <c r="R328" s="2">
        <f>INDEX(Tables!$D$4:$D$28,MATCH($P328,Tables!$B$4:$B$28,0))</f>
        <v>4</v>
      </c>
      <c r="S328" s="2">
        <f>$S327+$R327+INDEX(Tables!$N$5:$Q$8,MATCH(MOD($S327+$R327,4),Tables!$M$5:$M$8,0),MATCH($R328,Tables!$N$4:$Q$4,0))</f>
        <v>1128</v>
      </c>
      <c r="T328" s="2" t="str">
        <f t="shared" si="93"/>
        <v>0468</v>
      </c>
      <c r="U328" s="2">
        <f t="shared" si="84"/>
        <v>282</v>
      </c>
      <c r="V328" s="2" t="str">
        <f t="shared" si="94"/>
        <v>11A</v>
      </c>
      <c r="W328" s="2" t="str">
        <f t="shared" si="95"/>
        <v>X</v>
      </c>
      <c r="X328" s="2" t="str">
        <f t="shared" si="98"/>
        <v>X</v>
      </c>
      <c r="Y328" s="2" t="str">
        <f t="shared" si="96"/>
        <v>X</v>
      </c>
      <c r="Z328" s="2" t="str">
        <f t="shared" si="97"/>
        <v>X</v>
      </c>
      <c r="AA328" s="2" t="str">
        <f t="shared" si="85"/>
        <v>(31 downto 24)</v>
      </c>
      <c r="AB328" s="2" t="str">
        <f t="shared" si="86"/>
        <v>(23 downto 16)</v>
      </c>
      <c r="AC328" s="2" t="str">
        <f t="shared" si="87"/>
        <v>(15 downto 8)</v>
      </c>
      <c r="AD328" s="2" t="str">
        <f t="shared" si="88"/>
        <v>(7 downto 0)</v>
      </c>
      <c r="AE328" s="2" t="str">
        <f t="shared" si="89"/>
        <v>(31 downto 24)</v>
      </c>
      <c r="AF328" s="2" t="str">
        <f t="shared" si="90"/>
        <v>(23 downto 16)</v>
      </c>
      <c r="AG328" s="2" t="str">
        <f t="shared" si="91"/>
        <v>(15 downto 8)</v>
      </c>
      <c r="AH328" s="2" t="str">
        <f t="shared" si="92"/>
        <v>(7 downto 0)</v>
      </c>
    </row>
    <row r="329" spans="2:34" x14ac:dyDescent="0.25">
      <c r="B329" s="2" t="s">
        <v>802</v>
      </c>
      <c r="C329" s="2" t="s">
        <v>141</v>
      </c>
      <c r="D329" s="2" t="s">
        <v>0</v>
      </c>
      <c r="E329" s="2" t="s">
        <v>130</v>
      </c>
      <c r="F329" s="2" t="s">
        <v>803</v>
      </c>
      <c r="G329" s="2" t="s">
        <v>804</v>
      </c>
      <c r="H329" s="2" t="s">
        <v>142</v>
      </c>
      <c r="I329" s="2" t="s">
        <v>41</v>
      </c>
      <c r="J329" s="2">
        <v>32</v>
      </c>
      <c r="K329" s="2" t="s">
        <v>132</v>
      </c>
      <c r="L329" s="2" t="s">
        <v>40</v>
      </c>
      <c r="P329" s="2" t="s">
        <v>48</v>
      </c>
      <c r="Q329" s="2">
        <f>INDEX(Tables!$C$4:$C$28,MATCH($P329,Tables!$B$4:$B$28,0))</f>
        <v>32</v>
      </c>
      <c r="R329" s="2">
        <f>INDEX(Tables!$D$4:$D$28,MATCH($P329,Tables!$B$4:$B$28,0))</f>
        <v>4</v>
      </c>
      <c r="S329" s="2">
        <f>$S328+$R328+INDEX(Tables!$N$5:$Q$8,MATCH(MOD($S328+$R328,4),Tables!$M$5:$M$8,0),MATCH($R329,Tables!$N$4:$Q$4,0))</f>
        <v>1132</v>
      </c>
      <c r="T329" s="2" t="str">
        <f t="shared" si="93"/>
        <v>046C</v>
      </c>
      <c r="U329" s="2">
        <f t="shared" ref="U329:U392" si="99">ROUNDDOWN(S329/4,0)</f>
        <v>283</v>
      </c>
      <c r="V329" s="2" t="str">
        <f t="shared" si="94"/>
        <v>11B</v>
      </c>
      <c r="W329" s="2" t="str">
        <f t="shared" si="95"/>
        <v>X</v>
      </c>
      <c r="X329" s="2" t="str">
        <f t="shared" si="98"/>
        <v>X</v>
      </c>
      <c r="Y329" s="2" t="str">
        <f t="shared" si="96"/>
        <v>X</v>
      </c>
      <c r="Z329" s="2" t="str">
        <f t="shared" si="97"/>
        <v>X</v>
      </c>
      <c r="AA329" s="2" t="str">
        <f t="shared" ref="AA329:AA392" si="100">IF(W329="","",CONCATENATE("(",IF(($J329-COUNTIF($X329:$Z329,"X")*8)=1,"24)",CONCATENATE(IF(($J329-COUNTIF($X329:$Z329,"X")*8)&gt;=8,32,($J329-COUNTIF($X329:$Z329,"X")*8)+24)-1," downto 24)"))))</f>
        <v>(31 downto 24)</v>
      </c>
      <c r="AB329" s="2" t="str">
        <f t="shared" ref="AB329:AB392" si="101">IF(X329="","",CONCATENATE("(",IF(($J329-COUNTIF($Y329:$Z329,"X")*8)=1,"16)",CONCATENATE(IF(($J329-COUNTIF($Y329:$Z329,"X")*8)&gt;=8,24,($J329-COUNTIF($Y329:$Z329,"X")*8)+16)-1," downto 16)"))))</f>
        <v>(23 downto 16)</v>
      </c>
      <c r="AC329" s="2" t="str">
        <f t="shared" ref="AC329:AC392" si="102">IF(Y329="","",CONCATENATE("(",IF(($J329-COUNTIF($Z329,"X")*8)=1,"8)",CONCATENATE(IF(($J329-COUNTIF($Z329,"X")*8)&gt;=8,16,($J329-COUNTIF($Z329,"X")*8)+8)-1," downto 8)"))))</f>
        <v>(15 downto 8)</v>
      </c>
      <c r="AD329" s="2" t="str">
        <f t="shared" ref="AD329:AD392" si="103">IF(Z329="","",CONCATENATE("(",IF($J329=1,"0)",CONCATENATE(IF($J329&gt;=8,8,$J329)-1," downto 0)"))))</f>
        <v>(7 downto 0)</v>
      </c>
      <c r="AE329" s="2" t="str">
        <f t="shared" ref="AE329:AE392" si="104">IF(W329="","",IF($J329&lt;=8,"",IF(($J329-COUNTIF($X329:$Z329,"X")*8)=1,CONCATENATE("(",($J329-1),")"),CONCATENATE("(",IF(($J329-COUNTIF($X329:$Z329,"X")*8)&gt;=8,COUNTIF($X329:$Z329,"X")*8+7,$J329-COUNTIF($X329:$Z329,"X")*8-1+COUNTIF($X329:$Z329,"X")*8)," downto ",COUNTIF($X329:$Z329,"X")*8,")"))))</f>
        <v>(31 downto 24)</v>
      </c>
      <c r="AF329" s="2" t="str">
        <f t="shared" ref="AF329:AF392" si="105">IF(X329="","",IF($J329&lt;=8,"",IF(($J329-COUNTIF($Y329:$Z329,"X")*8)=1,CONCATENATE("(",($J329-1),")"),CONCATENATE("(",IF(($J329-COUNTIF($Y329:$Z329,"X")*8)&gt;=8,COUNTIF($Y329:$Z329,"X")*8+7,$J329-COUNTIF($Y329:$Z329,"X")*8-1+COUNTIF($Y329:$Z329,"X")*8)," downto ",COUNTIF($Y329:$Z329,"X")*8,")"))))</f>
        <v>(23 downto 16)</v>
      </c>
      <c r="AG329" s="2" t="str">
        <f t="shared" ref="AG329:AG392" si="106">IF(Y329="","",IF($J329&lt;=8,"",IF(($J329-COUNTIF($Z329,"X")*8)=1,CONCATENATE("(",($J329-1),")"),CONCATENATE("(",IF(($J329-COUNTIF($Z329,"X")*8)&gt;=8,COUNTIF($Z329,"X")*8+7,$J329-COUNTIF($Z329,"X")*8-1+COUNTIF($Z329,"X")*8)," downto ",COUNTIF($Z329,"X")*8,")"))))</f>
        <v>(15 downto 8)</v>
      </c>
      <c r="AH329" s="2" t="str">
        <f t="shared" ref="AH329:AH392" si="107">IF(Z329="","",IF($J329&lt;=8,"",CONCATENATE("(",IF($J329&gt;=8,7,$J329-1)," downto ",0,")")))</f>
        <v>(7 downto 0)</v>
      </c>
    </row>
    <row r="330" spans="2:34" x14ac:dyDescent="0.25">
      <c r="B330" s="2" t="s">
        <v>805</v>
      </c>
      <c r="C330" s="2" t="s">
        <v>141</v>
      </c>
      <c r="D330" s="2" t="s">
        <v>0</v>
      </c>
      <c r="E330" s="2" t="s">
        <v>130</v>
      </c>
      <c r="F330" s="2" t="s">
        <v>806</v>
      </c>
      <c r="G330" s="2" t="s">
        <v>807</v>
      </c>
      <c r="H330" s="2" t="s">
        <v>142</v>
      </c>
      <c r="I330" s="2" t="s">
        <v>41</v>
      </c>
      <c r="J330" s="2">
        <v>32</v>
      </c>
      <c r="K330" s="2" t="s">
        <v>132</v>
      </c>
      <c r="L330" s="2" t="s">
        <v>40</v>
      </c>
      <c r="P330" s="2" t="s">
        <v>48</v>
      </c>
      <c r="Q330" s="2">
        <f>INDEX(Tables!$C$4:$C$28,MATCH($P330,Tables!$B$4:$B$28,0))</f>
        <v>32</v>
      </c>
      <c r="R330" s="2">
        <f>INDEX(Tables!$D$4:$D$28,MATCH($P330,Tables!$B$4:$B$28,0))</f>
        <v>4</v>
      </c>
      <c r="S330" s="2">
        <f>$S329+$R329+INDEX(Tables!$N$5:$Q$8,MATCH(MOD($S329+$R329,4),Tables!$M$5:$M$8,0),MATCH($R330,Tables!$N$4:$Q$4,0))</f>
        <v>1136</v>
      </c>
      <c r="T330" s="2" t="str">
        <f t="shared" si="93"/>
        <v>0470</v>
      </c>
      <c r="U330" s="2">
        <f t="shared" si="99"/>
        <v>284</v>
      </c>
      <c r="V330" s="2" t="str">
        <f t="shared" si="94"/>
        <v>11C</v>
      </c>
      <c r="W330" s="2" t="str">
        <f t="shared" si="95"/>
        <v>X</v>
      </c>
      <c r="X330" s="2" t="str">
        <f t="shared" si="98"/>
        <v>X</v>
      </c>
      <c r="Y330" s="2" t="str">
        <f t="shared" si="96"/>
        <v>X</v>
      </c>
      <c r="Z330" s="2" t="str">
        <f t="shared" si="97"/>
        <v>X</v>
      </c>
      <c r="AA330" s="2" t="str">
        <f t="shared" si="100"/>
        <v>(31 downto 24)</v>
      </c>
      <c r="AB330" s="2" t="str">
        <f t="shared" si="101"/>
        <v>(23 downto 16)</v>
      </c>
      <c r="AC330" s="2" t="str">
        <f t="shared" si="102"/>
        <v>(15 downto 8)</v>
      </c>
      <c r="AD330" s="2" t="str">
        <f t="shared" si="103"/>
        <v>(7 downto 0)</v>
      </c>
      <c r="AE330" s="2" t="str">
        <f t="shared" si="104"/>
        <v>(31 downto 24)</v>
      </c>
      <c r="AF330" s="2" t="str">
        <f t="shared" si="105"/>
        <v>(23 downto 16)</v>
      </c>
      <c r="AG330" s="2" t="str">
        <f t="shared" si="106"/>
        <v>(15 downto 8)</v>
      </c>
      <c r="AH330" s="2" t="str">
        <f t="shared" si="107"/>
        <v>(7 downto 0)</v>
      </c>
    </row>
    <row r="331" spans="2:34" x14ac:dyDescent="0.25">
      <c r="B331" s="2" t="s">
        <v>808</v>
      </c>
      <c r="C331" s="2" t="s">
        <v>141</v>
      </c>
      <c r="D331" s="2" t="s">
        <v>0</v>
      </c>
      <c r="E331" s="2" t="s">
        <v>130</v>
      </c>
      <c r="F331" s="2" t="s">
        <v>809</v>
      </c>
      <c r="G331" s="2" t="s">
        <v>810</v>
      </c>
      <c r="H331" s="2" t="s">
        <v>142</v>
      </c>
      <c r="I331" s="2" t="s">
        <v>41</v>
      </c>
      <c r="J331" s="2">
        <v>32</v>
      </c>
      <c r="K331" s="2" t="s">
        <v>132</v>
      </c>
      <c r="L331" s="2" t="s">
        <v>40</v>
      </c>
      <c r="P331" s="2" t="s">
        <v>48</v>
      </c>
      <c r="Q331" s="2">
        <f>INDEX(Tables!$C$4:$C$28,MATCH($P331,Tables!$B$4:$B$28,0))</f>
        <v>32</v>
      </c>
      <c r="R331" s="2">
        <f>INDEX(Tables!$D$4:$D$28,MATCH($P331,Tables!$B$4:$B$28,0))</f>
        <v>4</v>
      </c>
      <c r="S331" s="2">
        <f>$S330+$R330+INDEX(Tables!$N$5:$Q$8,MATCH(MOD($S330+$R330,4),Tables!$M$5:$M$8,0),MATCH($R331,Tables!$N$4:$Q$4,0))</f>
        <v>1140</v>
      </c>
      <c r="T331" s="2" t="str">
        <f t="shared" si="93"/>
        <v>0474</v>
      </c>
      <c r="U331" s="2">
        <f t="shared" si="99"/>
        <v>285</v>
      </c>
      <c r="V331" s="2" t="str">
        <f t="shared" si="94"/>
        <v>11D</v>
      </c>
      <c r="W331" s="2" t="str">
        <f t="shared" si="95"/>
        <v>X</v>
      </c>
      <c r="X331" s="2" t="str">
        <f t="shared" si="98"/>
        <v>X</v>
      </c>
      <c r="Y331" s="2" t="str">
        <f t="shared" si="96"/>
        <v>X</v>
      </c>
      <c r="Z331" s="2" t="str">
        <f t="shared" si="97"/>
        <v>X</v>
      </c>
      <c r="AA331" s="2" t="str">
        <f t="shared" si="100"/>
        <v>(31 downto 24)</v>
      </c>
      <c r="AB331" s="2" t="str">
        <f t="shared" si="101"/>
        <v>(23 downto 16)</v>
      </c>
      <c r="AC331" s="2" t="str">
        <f t="shared" si="102"/>
        <v>(15 downto 8)</v>
      </c>
      <c r="AD331" s="2" t="str">
        <f t="shared" si="103"/>
        <v>(7 downto 0)</v>
      </c>
      <c r="AE331" s="2" t="str">
        <f t="shared" si="104"/>
        <v>(31 downto 24)</v>
      </c>
      <c r="AF331" s="2" t="str">
        <f t="shared" si="105"/>
        <v>(23 downto 16)</v>
      </c>
      <c r="AG331" s="2" t="str">
        <f t="shared" si="106"/>
        <v>(15 downto 8)</v>
      </c>
      <c r="AH331" s="2" t="str">
        <f t="shared" si="107"/>
        <v>(7 downto 0)</v>
      </c>
    </row>
    <row r="332" spans="2:34" x14ac:dyDescent="0.25">
      <c r="B332" s="2" t="s">
        <v>811</v>
      </c>
      <c r="C332" s="2" t="s">
        <v>141</v>
      </c>
      <c r="D332" s="2" t="s">
        <v>0</v>
      </c>
      <c r="E332" s="2" t="s">
        <v>130</v>
      </c>
      <c r="F332" s="2" t="s">
        <v>812</v>
      </c>
      <c r="G332" s="2" t="s">
        <v>813</v>
      </c>
      <c r="H332" s="2" t="s">
        <v>142</v>
      </c>
      <c r="I332" s="2" t="s">
        <v>41</v>
      </c>
      <c r="J332" s="2">
        <v>32</v>
      </c>
      <c r="K332" s="2" t="s">
        <v>132</v>
      </c>
      <c r="L332" s="2" t="s">
        <v>40</v>
      </c>
      <c r="P332" s="2" t="s">
        <v>48</v>
      </c>
      <c r="Q332" s="2">
        <f>INDEX(Tables!$C$4:$C$28,MATCH($P332,Tables!$B$4:$B$28,0))</f>
        <v>32</v>
      </c>
      <c r="R332" s="2">
        <f>INDEX(Tables!$D$4:$D$28,MATCH($P332,Tables!$B$4:$B$28,0))</f>
        <v>4</v>
      </c>
      <c r="S332" s="2">
        <f>$S331+$R331+INDEX(Tables!$N$5:$Q$8,MATCH(MOD($S331+$R331,4),Tables!$M$5:$M$8,0),MATCH($R332,Tables!$N$4:$Q$4,0))</f>
        <v>1144</v>
      </c>
      <c r="T332" s="2" t="str">
        <f t="shared" si="93"/>
        <v>0478</v>
      </c>
      <c r="U332" s="2">
        <f t="shared" si="99"/>
        <v>286</v>
      </c>
      <c r="V332" s="2" t="str">
        <f t="shared" si="94"/>
        <v>11E</v>
      </c>
      <c r="W332" s="2" t="str">
        <f t="shared" si="95"/>
        <v>X</v>
      </c>
      <c r="X332" s="2" t="str">
        <f t="shared" si="98"/>
        <v>X</v>
      </c>
      <c r="Y332" s="2" t="str">
        <f t="shared" si="96"/>
        <v>X</v>
      </c>
      <c r="Z332" s="2" t="str">
        <f t="shared" si="97"/>
        <v>X</v>
      </c>
      <c r="AA332" s="2" t="str">
        <f t="shared" si="100"/>
        <v>(31 downto 24)</v>
      </c>
      <c r="AB332" s="2" t="str">
        <f t="shared" si="101"/>
        <v>(23 downto 16)</v>
      </c>
      <c r="AC332" s="2" t="str">
        <f t="shared" si="102"/>
        <v>(15 downto 8)</v>
      </c>
      <c r="AD332" s="2" t="str">
        <f t="shared" si="103"/>
        <v>(7 downto 0)</v>
      </c>
      <c r="AE332" s="2" t="str">
        <f t="shared" si="104"/>
        <v>(31 downto 24)</v>
      </c>
      <c r="AF332" s="2" t="str">
        <f t="shared" si="105"/>
        <v>(23 downto 16)</v>
      </c>
      <c r="AG332" s="2" t="str">
        <f t="shared" si="106"/>
        <v>(15 downto 8)</v>
      </c>
      <c r="AH332" s="2" t="str">
        <f t="shared" si="107"/>
        <v>(7 downto 0)</v>
      </c>
    </row>
    <row r="333" spans="2:34" x14ac:dyDescent="0.25">
      <c r="B333" s="2" t="s">
        <v>814</v>
      </c>
      <c r="C333" s="2" t="s">
        <v>141</v>
      </c>
      <c r="D333" s="2" t="s">
        <v>0</v>
      </c>
      <c r="E333" s="2" t="s">
        <v>130</v>
      </c>
      <c r="F333" s="2" t="s">
        <v>815</v>
      </c>
      <c r="G333" s="2" t="s">
        <v>816</v>
      </c>
      <c r="H333" s="2" t="s">
        <v>142</v>
      </c>
      <c r="I333" s="2" t="s">
        <v>41</v>
      </c>
      <c r="J333" s="2">
        <v>32</v>
      </c>
      <c r="K333" s="2" t="s">
        <v>132</v>
      </c>
      <c r="L333" s="2" t="s">
        <v>40</v>
      </c>
      <c r="P333" s="2" t="s">
        <v>48</v>
      </c>
      <c r="Q333" s="2">
        <f>INDEX(Tables!$C$4:$C$28,MATCH($P333,Tables!$B$4:$B$28,0))</f>
        <v>32</v>
      </c>
      <c r="R333" s="2">
        <f>INDEX(Tables!$D$4:$D$28,MATCH($P333,Tables!$B$4:$B$28,0))</f>
        <v>4</v>
      </c>
      <c r="S333" s="2">
        <f>$S332+$R332+INDEX(Tables!$N$5:$Q$8,MATCH(MOD($S332+$R332,4),Tables!$M$5:$M$8,0),MATCH($R333,Tables!$N$4:$Q$4,0))</f>
        <v>1148</v>
      </c>
      <c r="T333" s="2" t="str">
        <f t="shared" si="93"/>
        <v>047C</v>
      </c>
      <c r="U333" s="2">
        <f t="shared" si="99"/>
        <v>287</v>
      </c>
      <c r="V333" s="2" t="str">
        <f t="shared" si="94"/>
        <v>11F</v>
      </c>
      <c r="W333" s="2" t="str">
        <f t="shared" si="95"/>
        <v>X</v>
      </c>
      <c r="X333" s="2" t="str">
        <f t="shared" si="98"/>
        <v>X</v>
      </c>
      <c r="Y333" s="2" t="str">
        <f t="shared" si="96"/>
        <v>X</v>
      </c>
      <c r="Z333" s="2" t="str">
        <f t="shared" si="97"/>
        <v>X</v>
      </c>
      <c r="AA333" s="2" t="str">
        <f t="shared" si="100"/>
        <v>(31 downto 24)</v>
      </c>
      <c r="AB333" s="2" t="str">
        <f t="shared" si="101"/>
        <v>(23 downto 16)</v>
      </c>
      <c r="AC333" s="2" t="str">
        <f t="shared" si="102"/>
        <v>(15 downto 8)</v>
      </c>
      <c r="AD333" s="2" t="str">
        <f t="shared" si="103"/>
        <v>(7 downto 0)</v>
      </c>
      <c r="AE333" s="2" t="str">
        <f t="shared" si="104"/>
        <v>(31 downto 24)</v>
      </c>
      <c r="AF333" s="2" t="str">
        <f t="shared" si="105"/>
        <v>(23 downto 16)</v>
      </c>
      <c r="AG333" s="2" t="str">
        <f t="shared" si="106"/>
        <v>(15 downto 8)</v>
      </c>
      <c r="AH333" s="2" t="str">
        <f t="shared" si="107"/>
        <v>(7 downto 0)</v>
      </c>
    </row>
    <row r="334" spans="2:34" x14ac:dyDescent="0.25">
      <c r="B334" s="2" t="s">
        <v>817</v>
      </c>
      <c r="C334" s="2" t="s">
        <v>141</v>
      </c>
      <c r="D334" s="2" t="s">
        <v>0</v>
      </c>
      <c r="E334" s="2" t="s">
        <v>130</v>
      </c>
      <c r="F334" s="2" t="s">
        <v>818</v>
      </c>
      <c r="G334" s="2" t="s">
        <v>819</v>
      </c>
      <c r="H334" s="2" t="s">
        <v>142</v>
      </c>
      <c r="I334" s="2" t="s">
        <v>41</v>
      </c>
      <c r="J334" s="2">
        <v>32</v>
      </c>
      <c r="K334" s="2" t="s">
        <v>132</v>
      </c>
      <c r="L334" s="2" t="s">
        <v>40</v>
      </c>
      <c r="P334" s="2" t="s">
        <v>48</v>
      </c>
      <c r="Q334" s="2">
        <f>INDEX(Tables!$C$4:$C$28,MATCH($P334,Tables!$B$4:$B$28,0))</f>
        <v>32</v>
      </c>
      <c r="R334" s="2">
        <f>INDEX(Tables!$D$4:$D$28,MATCH($P334,Tables!$B$4:$B$28,0))</f>
        <v>4</v>
      </c>
      <c r="S334" s="2">
        <f>$S333+$R333+INDEX(Tables!$N$5:$Q$8,MATCH(MOD($S333+$R333,4),Tables!$M$5:$M$8,0),MATCH($R334,Tables!$N$4:$Q$4,0))</f>
        <v>1152</v>
      </c>
      <c r="T334" s="2" t="str">
        <f t="shared" si="93"/>
        <v>0480</v>
      </c>
      <c r="U334" s="2">
        <f t="shared" si="99"/>
        <v>288</v>
      </c>
      <c r="V334" s="2" t="str">
        <f t="shared" si="94"/>
        <v>120</v>
      </c>
      <c r="W334" s="2" t="str">
        <f t="shared" si="95"/>
        <v>X</v>
      </c>
      <c r="X334" s="2" t="str">
        <f t="shared" si="98"/>
        <v>X</v>
      </c>
      <c r="Y334" s="2" t="str">
        <f t="shared" si="96"/>
        <v>X</v>
      </c>
      <c r="Z334" s="2" t="str">
        <f t="shared" si="97"/>
        <v>X</v>
      </c>
      <c r="AA334" s="2" t="str">
        <f t="shared" si="100"/>
        <v>(31 downto 24)</v>
      </c>
      <c r="AB334" s="2" t="str">
        <f t="shared" si="101"/>
        <v>(23 downto 16)</v>
      </c>
      <c r="AC334" s="2" t="str">
        <f t="shared" si="102"/>
        <v>(15 downto 8)</v>
      </c>
      <c r="AD334" s="2" t="str">
        <f t="shared" si="103"/>
        <v>(7 downto 0)</v>
      </c>
      <c r="AE334" s="2" t="str">
        <f t="shared" si="104"/>
        <v>(31 downto 24)</v>
      </c>
      <c r="AF334" s="2" t="str">
        <f t="shared" si="105"/>
        <v>(23 downto 16)</v>
      </c>
      <c r="AG334" s="2" t="str">
        <f t="shared" si="106"/>
        <v>(15 downto 8)</v>
      </c>
      <c r="AH334" s="2" t="str">
        <f t="shared" si="107"/>
        <v>(7 downto 0)</v>
      </c>
    </row>
    <row r="335" spans="2:34" x14ac:dyDescent="0.25">
      <c r="B335" s="2" t="s">
        <v>820</v>
      </c>
      <c r="C335" s="2" t="s">
        <v>141</v>
      </c>
      <c r="D335" s="2" t="s">
        <v>0</v>
      </c>
      <c r="E335" s="2" t="s">
        <v>130</v>
      </c>
      <c r="F335" s="2" t="s">
        <v>821</v>
      </c>
      <c r="G335" s="2" t="s">
        <v>822</v>
      </c>
      <c r="H335" s="2" t="s">
        <v>142</v>
      </c>
      <c r="I335" s="2" t="s">
        <v>41</v>
      </c>
      <c r="J335" s="2">
        <v>32</v>
      </c>
      <c r="K335" s="2" t="s">
        <v>132</v>
      </c>
      <c r="L335" s="2" t="s">
        <v>40</v>
      </c>
      <c r="P335" s="2" t="s">
        <v>48</v>
      </c>
      <c r="Q335" s="2">
        <f>INDEX(Tables!$C$4:$C$28,MATCH($P335,Tables!$B$4:$B$28,0))</f>
        <v>32</v>
      </c>
      <c r="R335" s="2">
        <f>INDEX(Tables!$D$4:$D$28,MATCH($P335,Tables!$B$4:$B$28,0))</f>
        <v>4</v>
      </c>
      <c r="S335" s="2">
        <f>$S334+$R334+INDEX(Tables!$N$5:$Q$8,MATCH(MOD($S334+$R334,4),Tables!$M$5:$M$8,0),MATCH($R335,Tables!$N$4:$Q$4,0))</f>
        <v>1156</v>
      </c>
      <c r="T335" s="2" t="str">
        <f t="shared" si="93"/>
        <v>0484</v>
      </c>
      <c r="U335" s="2">
        <f t="shared" si="99"/>
        <v>289</v>
      </c>
      <c r="V335" s="2" t="str">
        <f t="shared" si="94"/>
        <v>121</v>
      </c>
      <c r="W335" s="2" t="str">
        <f t="shared" si="95"/>
        <v>X</v>
      </c>
      <c r="X335" s="2" t="str">
        <f t="shared" si="98"/>
        <v>X</v>
      </c>
      <c r="Y335" s="2" t="str">
        <f t="shared" si="96"/>
        <v>X</v>
      </c>
      <c r="Z335" s="2" t="str">
        <f t="shared" si="97"/>
        <v>X</v>
      </c>
      <c r="AA335" s="2" t="str">
        <f t="shared" si="100"/>
        <v>(31 downto 24)</v>
      </c>
      <c r="AB335" s="2" t="str">
        <f t="shared" si="101"/>
        <v>(23 downto 16)</v>
      </c>
      <c r="AC335" s="2" t="str">
        <f t="shared" si="102"/>
        <v>(15 downto 8)</v>
      </c>
      <c r="AD335" s="2" t="str">
        <f t="shared" si="103"/>
        <v>(7 downto 0)</v>
      </c>
      <c r="AE335" s="2" t="str">
        <f t="shared" si="104"/>
        <v>(31 downto 24)</v>
      </c>
      <c r="AF335" s="2" t="str">
        <f t="shared" si="105"/>
        <v>(23 downto 16)</v>
      </c>
      <c r="AG335" s="2" t="str">
        <f t="shared" si="106"/>
        <v>(15 downto 8)</v>
      </c>
      <c r="AH335" s="2" t="str">
        <f t="shared" si="107"/>
        <v>(7 downto 0)</v>
      </c>
    </row>
    <row r="336" spans="2:34" x14ac:dyDescent="0.25">
      <c r="B336" s="2" t="s">
        <v>823</v>
      </c>
      <c r="C336" s="2" t="s">
        <v>141</v>
      </c>
      <c r="D336" s="2" t="s">
        <v>0</v>
      </c>
      <c r="E336" s="2" t="s">
        <v>130</v>
      </c>
      <c r="F336" s="2" t="s">
        <v>824</v>
      </c>
      <c r="G336" s="2" t="s">
        <v>825</v>
      </c>
      <c r="H336" s="2" t="s">
        <v>142</v>
      </c>
      <c r="I336" s="2" t="s">
        <v>41</v>
      </c>
      <c r="J336" s="2">
        <v>32</v>
      </c>
      <c r="K336" s="2" t="s">
        <v>132</v>
      </c>
      <c r="L336" s="2" t="s">
        <v>40</v>
      </c>
      <c r="P336" s="2" t="s">
        <v>48</v>
      </c>
      <c r="Q336" s="2">
        <f>INDEX(Tables!$C$4:$C$28,MATCH($P336,Tables!$B$4:$B$28,0))</f>
        <v>32</v>
      </c>
      <c r="R336" s="2">
        <f>INDEX(Tables!$D$4:$D$28,MATCH($P336,Tables!$B$4:$B$28,0))</f>
        <v>4</v>
      </c>
      <c r="S336" s="2">
        <f>$S335+$R335+INDEX(Tables!$N$5:$Q$8,MATCH(MOD($S335+$R335,4),Tables!$M$5:$M$8,0),MATCH($R336,Tables!$N$4:$Q$4,0))</f>
        <v>1160</v>
      </c>
      <c r="T336" s="2" t="str">
        <f t="shared" si="93"/>
        <v>0488</v>
      </c>
      <c r="U336" s="2">
        <f t="shared" si="99"/>
        <v>290</v>
      </c>
      <c r="V336" s="2" t="str">
        <f t="shared" si="94"/>
        <v>122</v>
      </c>
      <c r="W336" s="2" t="str">
        <f t="shared" si="95"/>
        <v>X</v>
      </c>
      <c r="X336" s="2" t="str">
        <f t="shared" si="98"/>
        <v>X</v>
      </c>
      <c r="Y336" s="2" t="str">
        <f t="shared" si="96"/>
        <v>X</v>
      </c>
      <c r="Z336" s="2" t="str">
        <f t="shared" si="97"/>
        <v>X</v>
      </c>
      <c r="AA336" s="2" t="str">
        <f t="shared" si="100"/>
        <v>(31 downto 24)</v>
      </c>
      <c r="AB336" s="2" t="str">
        <f t="shared" si="101"/>
        <v>(23 downto 16)</v>
      </c>
      <c r="AC336" s="2" t="str">
        <f t="shared" si="102"/>
        <v>(15 downto 8)</v>
      </c>
      <c r="AD336" s="2" t="str">
        <f t="shared" si="103"/>
        <v>(7 downto 0)</v>
      </c>
      <c r="AE336" s="2" t="str">
        <f t="shared" si="104"/>
        <v>(31 downto 24)</v>
      </c>
      <c r="AF336" s="2" t="str">
        <f t="shared" si="105"/>
        <v>(23 downto 16)</v>
      </c>
      <c r="AG336" s="2" t="str">
        <f t="shared" si="106"/>
        <v>(15 downto 8)</v>
      </c>
      <c r="AH336" s="2" t="str">
        <f t="shared" si="107"/>
        <v>(7 downto 0)</v>
      </c>
    </row>
    <row r="337" spans="2:34" x14ac:dyDescent="0.25">
      <c r="B337" s="2" t="s">
        <v>826</v>
      </c>
      <c r="C337" s="2" t="s">
        <v>141</v>
      </c>
      <c r="D337" s="2" t="s">
        <v>0</v>
      </c>
      <c r="E337" s="2" t="s">
        <v>130</v>
      </c>
      <c r="F337" s="2" t="s">
        <v>827</v>
      </c>
      <c r="G337" s="2" t="s">
        <v>828</v>
      </c>
      <c r="H337" s="2" t="s">
        <v>142</v>
      </c>
      <c r="I337" s="2" t="s">
        <v>41</v>
      </c>
      <c r="J337" s="2">
        <v>32</v>
      </c>
      <c r="K337" s="2" t="s">
        <v>132</v>
      </c>
      <c r="L337" s="2" t="s">
        <v>40</v>
      </c>
      <c r="P337" s="2" t="s">
        <v>48</v>
      </c>
      <c r="Q337" s="2">
        <f>INDEX(Tables!$C$4:$C$28,MATCH($P337,Tables!$B$4:$B$28,0))</f>
        <v>32</v>
      </c>
      <c r="R337" s="2">
        <f>INDEX(Tables!$D$4:$D$28,MATCH($P337,Tables!$B$4:$B$28,0))</f>
        <v>4</v>
      </c>
      <c r="S337" s="2">
        <f>$S336+$R336+INDEX(Tables!$N$5:$Q$8,MATCH(MOD($S336+$R336,4),Tables!$M$5:$M$8,0),MATCH($R337,Tables!$N$4:$Q$4,0))</f>
        <v>1164</v>
      </c>
      <c r="T337" s="2" t="str">
        <f t="shared" si="93"/>
        <v>048C</v>
      </c>
      <c r="U337" s="2">
        <f t="shared" si="99"/>
        <v>291</v>
      </c>
      <c r="V337" s="2" t="str">
        <f t="shared" si="94"/>
        <v>123</v>
      </c>
      <c r="W337" s="2" t="str">
        <f t="shared" si="95"/>
        <v>X</v>
      </c>
      <c r="X337" s="2" t="str">
        <f t="shared" si="98"/>
        <v>X</v>
      </c>
      <c r="Y337" s="2" t="str">
        <f t="shared" si="96"/>
        <v>X</v>
      </c>
      <c r="Z337" s="2" t="str">
        <f t="shared" si="97"/>
        <v>X</v>
      </c>
      <c r="AA337" s="2" t="str">
        <f t="shared" si="100"/>
        <v>(31 downto 24)</v>
      </c>
      <c r="AB337" s="2" t="str">
        <f t="shared" si="101"/>
        <v>(23 downto 16)</v>
      </c>
      <c r="AC337" s="2" t="str">
        <f t="shared" si="102"/>
        <v>(15 downto 8)</v>
      </c>
      <c r="AD337" s="2" t="str">
        <f t="shared" si="103"/>
        <v>(7 downto 0)</v>
      </c>
      <c r="AE337" s="2" t="str">
        <f t="shared" si="104"/>
        <v>(31 downto 24)</v>
      </c>
      <c r="AF337" s="2" t="str">
        <f t="shared" si="105"/>
        <v>(23 downto 16)</v>
      </c>
      <c r="AG337" s="2" t="str">
        <f t="shared" si="106"/>
        <v>(15 downto 8)</v>
      </c>
      <c r="AH337" s="2" t="str">
        <f t="shared" si="107"/>
        <v>(7 downto 0)</v>
      </c>
    </row>
    <row r="338" spans="2:34" x14ac:dyDescent="0.25">
      <c r="B338" s="2" t="s">
        <v>829</v>
      </c>
      <c r="C338" s="2" t="s">
        <v>141</v>
      </c>
      <c r="D338" s="2" t="s">
        <v>0</v>
      </c>
      <c r="E338" s="2" t="s">
        <v>130</v>
      </c>
      <c r="F338" s="2" t="s">
        <v>830</v>
      </c>
      <c r="G338" s="2" t="s">
        <v>831</v>
      </c>
      <c r="H338" s="2" t="s">
        <v>142</v>
      </c>
      <c r="I338" s="2" t="s">
        <v>41</v>
      </c>
      <c r="J338" s="2">
        <v>32</v>
      </c>
      <c r="K338" s="2" t="s">
        <v>132</v>
      </c>
      <c r="L338" s="2" t="s">
        <v>40</v>
      </c>
      <c r="P338" s="2" t="s">
        <v>48</v>
      </c>
      <c r="Q338" s="2">
        <f>INDEX(Tables!$C$4:$C$28,MATCH($P338,Tables!$B$4:$B$28,0))</f>
        <v>32</v>
      </c>
      <c r="R338" s="2">
        <f>INDEX(Tables!$D$4:$D$28,MATCH($P338,Tables!$B$4:$B$28,0))</f>
        <v>4</v>
      </c>
      <c r="S338" s="2">
        <f>$S337+$R337+INDEX(Tables!$N$5:$Q$8,MATCH(MOD($S337+$R337,4),Tables!$M$5:$M$8,0),MATCH($R338,Tables!$N$4:$Q$4,0))</f>
        <v>1168</v>
      </c>
      <c r="T338" s="2" t="str">
        <f t="shared" si="93"/>
        <v>0490</v>
      </c>
      <c r="U338" s="2">
        <f t="shared" si="99"/>
        <v>292</v>
      </c>
      <c r="V338" s="2" t="str">
        <f t="shared" si="94"/>
        <v>124</v>
      </c>
      <c r="W338" s="2" t="str">
        <f t="shared" si="95"/>
        <v>X</v>
      </c>
      <c r="X338" s="2" t="str">
        <f t="shared" si="98"/>
        <v>X</v>
      </c>
      <c r="Y338" s="2" t="str">
        <f t="shared" si="96"/>
        <v>X</v>
      </c>
      <c r="Z338" s="2" t="str">
        <f t="shared" si="97"/>
        <v>X</v>
      </c>
      <c r="AA338" s="2" t="str">
        <f t="shared" si="100"/>
        <v>(31 downto 24)</v>
      </c>
      <c r="AB338" s="2" t="str">
        <f t="shared" si="101"/>
        <v>(23 downto 16)</v>
      </c>
      <c r="AC338" s="2" t="str">
        <f t="shared" si="102"/>
        <v>(15 downto 8)</v>
      </c>
      <c r="AD338" s="2" t="str">
        <f t="shared" si="103"/>
        <v>(7 downto 0)</v>
      </c>
      <c r="AE338" s="2" t="str">
        <f t="shared" si="104"/>
        <v>(31 downto 24)</v>
      </c>
      <c r="AF338" s="2" t="str">
        <f t="shared" si="105"/>
        <v>(23 downto 16)</v>
      </c>
      <c r="AG338" s="2" t="str">
        <f t="shared" si="106"/>
        <v>(15 downto 8)</v>
      </c>
      <c r="AH338" s="2" t="str">
        <f t="shared" si="107"/>
        <v>(7 downto 0)</v>
      </c>
    </row>
    <row r="339" spans="2:34" x14ac:dyDescent="0.25">
      <c r="B339" s="2" t="s">
        <v>832</v>
      </c>
      <c r="C339" s="2" t="s">
        <v>141</v>
      </c>
      <c r="D339" s="2" t="s">
        <v>0</v>
      </c>
      <c r="E339" s="2" t="s">
        <v>130</v>
      </c>
      <c r="F339" s="2" t="s">
        <v>833</v>
      </c>
      <c r="G339" s="2" t="s">
        <v>834</v>
      </c>
      <c r="H339" s="2" t="s">
        <v>142</v>
      </c>
      <c r="I339" s="2" t="s">
        <v>41</v>
      </c>
      <c r="J339" s="2">
        <v>32</v>
      </c>
      <c r="K339" s="2" t="s">
        <v>132</v>
      </c>
      <c r="L339" s="2" t="s">
        <v>40</v>
      </c>
      <c r="P339" s="2" t="s">
        <v>48</v>
      </c>
      <c r="Q339" s="2">
        <f>INDEX(Tables!$C$4:$C$28,MATCH($P339,Tables!$B$4:$B$28,0))</f>
        <v>32</v>
      </c>
      <c r="R339" s="2">
        <f>INDEX(Tables!$D$4:$D$28,MATCH($P339,Tables!$B$4:$B$28,0))</f>
        <v>4</v>
      </c>
      <c r="S339" s="2">
        <f>$S338+$R338+INDEX(Tables!$N$5:$Q$8,MATCH(MOD($S338+$R338,4),Tables!$M$5:$M$8,0),MATCH($R339,Tables!$N$4:$Q$4,0))</f>
        <v>1172</v>
      </c>
      <c r="T339" s="2" t="str">
        <f t="shared" si="93"/>
        <v>0494</v>
      </c>
      <c r="U339" s="2">
        <f t="shared" si="99"/>
        <v>293</v>
      </c>
      <c r="V339" s="2" t="str">
        <f t="shared" si="94"/>
        <v>125</v>
      </c>
      <c r="W339" s="2" t="str">
        <f t="shared" si="95"/>
        <v>X</v>
      </c>
      <c r="X339" s="2" t="str">
        <f t="shared" si="98"/>
        <v>X</v>
      </c>
      <c r="Y339" s="2" t="str">
        <f t="shared" si="96"/>
        <v>X</v>
      </c>
      <c r="Z339" s="2" t="str">
        <f t="shared" si="97"/>
        <v>X</v>
      </c>
      <c r="AA339" s="2" t="str">
        <f t="shared" si="100"/>
        <v>(31 downto 24)</v>
      </c>
      <c r="AB339" s="2" t="str">
        <f t="shared" si="101"/>
        <v>(23 downto 16)</v>
      </c>
      <c r="AC339" s="2" t="str">
        <f t="shared" si="102"/>
        <v>(15 downto 8)</v>
      </c>
      <c r="AD339" s="2" t="str">
        <f t="shared" si="103"/>
        <v>(7 downto 0)</v>
      </c>
      <c r="AE339" s="2" t="str">
        <f t="shared" si="104"/>
        <v>(31 downto 24)</v>
      </c>
      <c r="AF339" s="2" t="str">
        <f t="shared" si="105"/>
        <v>(23 downto 16)</v>
      </c>
      <c r="AG339" s="2" t="str">
        <f t="shared" si="106"/>
        <v>(15 downto 8)</v>
      </c>
      <c r="AH339" s="2" t="str">
        <f t="shared" si="107"/>
        <v>(7 downto 0)</v>
      </c>
    </row>
    <row r="340" spans="2:34" x14ac:dyDescent="0.25">
      <c r="B340" s="2" t="s">
        <v>835</v>
      </c>
      <c r="C340" s="2" t="s">
        <v>141</v>
      </c>
      <c r="D340" s="2" t="s">
        <v>0</v>
      </c>
      <c r="E340" s="2" t="s">
        <v>130</v>
      </c>
      <c r="F340" s="2" t="s">
        <v>836</v>
      </c>
      <c r="G340" s="2" t="s">
        <v>837</v>
      </c>
      <c r="H340" s="2" t="s">
        <v>142</v>
      </c>
      <c r="I340" s="2" t="s">
        <v>41</v>
      </c>
      <c r="J340" s="2">
        <v>32</v>
      </c>
      <c r="K340" s="2" t="s">
        <v>132</v>
      </c>
      <c r="L340" s="2" t="s">
        <v>40</v>
      </c>
      <c r="P340" s="2" t="s">
        <v>48</v>
      </c>
      <c r="Q340" s="2">
        <f>INDEX(Tables!$C$4:$C$28,MATCH($P340,Tables!$B$4:$B$28,0))</f>
        <v>32</v>
      </c>
      <c r="R340" s="2">
        <f>INDEX(Tables!$D$4:$D$28,MATCH($P340,Tables!$B$4:$B$28,0))</f>
        <v>4</v>
      </c>
      <c r="S340" s="2">
        <f>$S339+$R339+INDEX(Tables!$N$5:$Q$8,MATCH(MOD($S339+$R339,4),Tables!$M$5:$M$8,0),MATCH($R340,Tables!$N$4:$Q$4,0))</f>
        <v>1176</v>
      </c>
      <c r="T340" s="2" t="str">
        <f t="shared" si="93"/>
        <v>0498</v>
      </c>
      <c r="U340" s="2">
        <f t="shared" si="99"/>
        <v>294</v>
      </c>
      <c r="V340" s="2" t="str">
        <f t="shared" si="94"/>
        <v>126</v>
      </c>
      <c r="W340" s="2" t="str">
        <f t="shared" si="95"/>
        <v>X</v>
      </c>
      <c r="X340" s="2" t="str">
        <f t="shared" si="98"/>
        <v>X</v>
      </c>
      <c r="Y340" s="2" t="str">
        <f t="shared" si="96"/>
        <v>X</v>
      </c>
      <c r="Z340" s="2" t="str">
        <f t="shared" si="97"/>
        <v>X</v>
      </c>
      <c r="AA340" s="2" t="str">
        <f t="shared" si="100"/>
        <v>(31 downto 24)</v>
      </c>
      <c r="AB340" s="2" t="str">
        <f t="shared" si="101"/>
        <v>(23 downto 16)</v>
      </c>
      <c r="AC340" s="2" t="str">
        <f t="shared" si="102"/>
        <v>(15 downto 8)</v>
      </c>
      <c r="AD340" s="2" t="str">
        <f t="shared" si="103"/>
        <v>(7 downto 0)</v>
      </c>
      <c r="AE340" s="2" t="str">
        <f t="shared" si="104"/>
        <v>(31 downto 24)</v>
      </c>
      <c r="AF340" s="2" t="str">
        <f t="shared" si="105"/>
        <v>(23 downto 16)</v>
      </c>
      <c r="AG340" s="2" t="str">
        <f t="shared" si="106"/>
        <v>(15 downto 8)</v>
      </c>
      <c r="AH340" s="2" t="str">
        <f t="shared" si="107"/>
        <v>(7 downto 0)</v>
      </c>
    </row>
    <row r="341" spans="2:34" x14ac:dyDescent="0.25">
      <c r="B341" s="2" t="s">
        <v>838</v>
      </c>
      <c r="C341" s="2" t="s">
        <v>141</v>
      </c>
      <c r="D341" s="2" t="s">
        <v>0</v>
      </c>
      <c r="E341" s="2" t="s">
        <v>130</v>
      </c>
      <c r="F341" s="2" t="s">
        <v>839</v>
      </c>
      <c r="G341" s="2" t="s">
        <v>840</v>
      </c>
      <c r="H341" s="2" t="s">
        <v>142</v>
      </c>
      <c r="I341" s="2" t="s">
        <v>41</v>
      </c>
      <c r="J341" s="2">
        <v>32</v>
      </c>
      <c r="K341" s="2" t="s">
        <v>132</v>
      </c>
      <c r="L341" s="2" t="s">
        <v>40</v>
      </c>
      <c r="P341" s="2" t="s">
        <v>48</v>
      </c>
      <c r="Q341" s="2">
        <f>INDEX(Tables!$C$4:$C$28,MATCH($P341,Tables!$B$4:$B$28,0))</f>
        <v>32</v>
      </c>
      <c r="R341" s="2">
        <f>INDEX(Tables!$D$4:$D$28,MATCH($P341,Tables!$B$4:$B$28,0))</f>
        <v>4</v>
      </c>
      <c r="S341" s="2">
        <f>$S340+$R340+INDEX(Tables!$N$5:$Q$8,MATCH(MOD($S340+$R340,4),Tables!$M$5:$M$8,0),MATCH($R341,Tables!$N$4:$Q$4,0))</f>
        <v>1180</v>
      </c>
      <c r="T341" s="2" t="str">
        <f t="shared" si="93"/>
        <v>049C</v>
      </c>
      <c r="U341" s="2">
        <f t="shared" si="99"/>
        <v>295</v>
      </c>
      <c r="V341" s="2" t="str">
        <f t="shared" si="94"/>
        <v>127</v>
      </c>
      <c r="W341" s="2" t="str">
        <f t="shared" si="95"/>
        <v>X</v>
      </c>
      <c r="X341" s="2" t="str">
        <f t="shared" si="98"/>
        <v>X</v>
      </c>
      <c r="Y341" s="2" t="str">
        <f t="shared" si="96"/>
        <v>X</v>
      </c>
      <c r="Z341" s="2" t="str">
        <f t="shared" si="97"/>
        <v>X</v>
      </c>
      <c r="AA341" s="2" t="str">
        <f t="shared" si="100"/>
        <v>(31 downto 24)</v>
      </c>
      <c r="AB341" s="2" t="str">
        <f t="shared" si="101"/>
        <v>(23 downto 16)</v>
      </c>
      <c r="AC341" s="2" t="str">
        <f t="shared" si="102"/>
        <v>(15 downto 8)</v>
      </c>
      <c r="AD341" s="2" t="str">
        <f t="shared" si="103"/>
        <v>(7 downto 0)</v>
      </c>
      <c r="AE341" s="2" t="str">
        <f t="shared" si="104"/>
        <v>(31 downto 24)</v>
      </c>
      <c r="AF341" s="2" t="str">
        <f t="shared" si="105"/>
        <v>(23 downto 16)</v>
      </c>
      <c r="AG341" s="2" t="str">
        <f t="shared" si="106"/>
        <v>(15 downto 8)</v>
      </c>
      <c r="AH341" s="2" t="str">
        <f t="shared" si="107"/>
        <v>(7 downto 0)</v>
      </c>
    </row>
    <row r="342" spans="2:34" x14ac:dyDescent="0.25">
      <c r="B342" s="2" t="s">
        <v>841</v>
      </c>
      <c r="C342" s="2" t="s">
        <v>141</v>
      </c>
      <c r="D342" s="2" t="s">
        <v>0</v>
      </c>
      <c r="E342" s="2" t="s">
        <v>130</v>
      </c>
      <c r="F342" s="2" t="s">
        <v>842</v>
      </c>
      <c r="G342" s="2" t="s">
        <v>843</v>
      </c>
      <c r="H342" s="2" t="s">
        <v>142</v>
      </c>
      <c r="I342" s="2" t="s">
        <v>41</v>
      </c>
      <c r="J342" s="2">
        <v>32</v>
      </c>
      <c r="K342" s="2" t="s">
        <v>132</v>
      </c>
      <c r="L342" s="2" t="s">
        <v>40</v>
      </c>
      <c r="P342" s="2" t="s">
        <v>48</v>
      </c>
      <c r="Q342" s="2">
        <f>INDEX(Tables!$C$4:$C$28,MATCH($P342,Tables!$B$4:$B$28,0))</f>
        <v>32</v>
      </c>
      <c r="R342" s="2">
        <f>INDEX(Tables!$D$4:$D$28,MATCH($P342,Tables!$B$4:$B$28,0))</f>
        <v>4</v>
      </c>
      <c r="S342" s="2">
        <f>$S341+$R341+INDEX(Tables!$N$5:$Q$8,MATCH(MOD($S341+$R341,4),Tables!$M$5:$M$8,0),MATCH($R342,Tables!$N$4:$Q$4,0))</f>
        <v>1184</v>
      </c>
      <c r="T342" s="2" t="str">
        <f t="shared" si="93"/>
        <v>04A0</v>
      </c>
      <c r="U342" s="2">
        <f t="shared" si="99"/>
        <v>296</v>
      </c>
      <c r="V342" s="2" t="str">
        <f t="shared" si="94"/>
        <v>128</v>
      </c>
      <c r="W342" s="2" t="str">
        <f t="shared" si="95"/>
        <v>X</v>
      </c>
      <c r="X342" s="2" t="str">
        <f t="shared" si="98"/>
        <v>X</v>
      </c>
      <c r="Y342" s="2" t="str">
        <f t="shared" si="96"/>
        <v>X</v>
      </c>
      <c r="Z342" s="2" t="str">
        <f t="shared" si="97"/>
        <v>X</v>
      </c>
      <c r="AA342" s="2" t="str">
        <f t="shared" si="100"/>
        <v>(31 downto 24)</v>
      </c>
      <c r="AB342" s="2" t="str">
        <f t="shared" si="101"/>
        <v>(23 downto 16)</v>
      </c>
      <c r="AC342" s="2" t="str">
        <f t="shared" si="102"/>
        <v>(15 downto 8)</v>
      </c>
      <c r="AD342" s="2" t="str">
        <f t="shared" si="103"/>
        <v>(7 downto 0)</v>
      </c>
      <c r="AE342" s="2" t="str">
        <f t="shared" si="104"/>
        <v>(31 downto 24)</v>
      </c>
      <c r="AF342" s="2" t="str">
        <f t="shared" si="105"/>
        <v>(23 downto 16)</v>
      </c>
      <c r="AG342" s="2" t="str">
        <f t="shared" si="106"/>
        <v>(15 downto 8)</v>
      </c>
      <c r="AH342" s="2" t="str">
        <f t="shared" si="107"/>
        <v>(7 downto 0)</v>
      </c>
    </row>
    <row r="343" spans="2:34" x14ac:dyDescent="0.25">
      <c r="B343" s="2" t="s">
        <v>844</v>
      </c>
      <c r="C343" s="2" t="s">
        <v>141</v>
      </c>
      <c r="D343" s="2" t="s">
        <v>0</v>
      </c>
      <c r="E343" s="2" t="s">
        <v>130</v>
      </c>
      <c r="F343" s="2" t="s">
        <v>845</v>
      </c>
      <c r="G343" s="2" t="s">
        <v>846</v>
      </c>
      <c r="H343" s="2" t="s">
        <v>142</v>
      </c>
      <c r="I343" s="2" t="s">
        <v>41</v>
      </c>
      <c r="J343" s="2">
        <v>32</v>
      </c>
      <c r="K343" s="2" t="s">
        <v>132</v>
      </c>
      <c r="L343" s="2" t="s">
        <v>40</v>
      </c>
      <c r="P343" s="2" t="s">
        <v>48</v>
      </c>
      <c r="Q343" s="2">
        <f>INDEX(Tables!$C$4:$C$28,MATCH($P343,Tables!$B$4:$B$28,0))</f>
        <v>32</v>
      </c>
      <c r="R343" s="2">
        <f>INDEX(Tables!$D$4:$D$28,MATCH($P343,Tables!$B$4:$B$28,0))</f>
        <v>4</v>
      </c>
      <c r="S343" s="2">
        <f>$S342+$R342+INDEX(Tables!$N$5:$Q$8,MATCH(MOD($S342+$R342,4),Tables!$M$5:$M$8,0),MATCH($R343,Tables!$N$4:$Q$4,0))</f>
        <v>1188</v>
      </c>
      <c r="T343" s="2" t="str">
        <f t="shared" si="93"/>
        <v>04A4</v>
      </c>
      <c r="U343" s="2">
        <f t="shared" si="99"/>
        <v>297</v>
      </c>
      <c r="V343" s="2" t="str">
        <f t="shared" si="94"/>
        <v>129</v>
      </c>
      <c r="W343" s="2" t="str">
        <f t="shared" si="95"/>
        <v>X</v>
      </c>
      <c r="X343" s="2" t="str">
        <f t="shared" si="98"/>
        <v>X</v>
      </c>
      <c r="Y343" s="2" t="str">
        <f t="shared" si="96"/>
        <v>X</v>
      </c>
      <c r="Z343" s="2" t="str">
        <f t="shared" si="97"/>
        <v>X</v>
      </c>
      <c r="AA343" s="2" t="str">
        <f t="shared" si="100"/>
        <v>(31 downto 24)</v>
      </c>
      <c r="AB343" s="2" t="str">
        <f t="shared" si="101"/>
        <v>(23 downto 16)</v>
      </c>
      <c r="AC343" s="2" t="str">
        <f t="shared" si="102"/>
        <v>(15 downto 8)</v>
      </c>
      <c r="AD343" s="2" t="str">
        <f t="shared" si="103"/>
        <v>(7 downto 0)</v>
      </c>
      <c r="AE343" s="2" t="str">
        <f t="shared" si="104"/>
        <v>(31 downto 24)</v>
      </c>
      <c r="AF343" s="2" t="str">
        <f t="shared" si="105"/>
        <v>(23 downto 16)</v>
      </c>
      <c r="AG343" s="2" t="str">
        <f t="shared" si="106"/>
        <v>(15 downto 8)</v>
      </c>
      <c r="AH343" s="2" t="str">
        <f t="shared" si="107"/>
        <v>(7 downto 0)</v>
      </c>
    </row>
    <row r="344" spans="2:34" x14ac:dyDescent="0.25">
      <c r="B344" s="2" t="s">
        <v>847</v>
      </c>
      <c r="C344" s="2" t="s">
        <v>141</v>
      </c>
      <c r="D344" s="2" t="s">
        <v>0</v>
      </c>
      <c r="E344" s="2" t="s">
        <v>130</v>
      </c>
      <c r="F344" s="2" t="s">
        <v>848</v>
      </c>
      <c r="G344" s="2" t="s">
        <v>849</v>
      </c>
      <c r="H344" s="2" t="s">
        <v>142</v>
      </c>
      <c r="I344" s="2" t="s">
        <v>41</v>
      </c>
      <c r="J344" s="2">
        <v>32</v>
      </c>
      <c r="K344" s="2" t="s">
        <v>132</v>
      </c>
      <c r="L344" s="2" t="s">
        <v>40</v>
      </c>
      <c r="P344" s="2" t="s">
        <v>48</v>
      </c>
      <c r="Q344" s="2">
        <f>INDEX(Tables!$C$4:$C$28,MATCH($P344,Tables!$B$4:$B$28,0))</f>
        <v>32</v>
      </c>
      <c r="R344" s="2">
        <f>INDEX(Tables!$D$4:$D$28,MATCH($P344,Tables!$B$4:$B$28,0))</f>
        <v>4</v>
      </c>
      <c r="S344" s="2">
        <f>$S343+$R343+INDEX(Tables!$N$5:$Q$8,MATCH(MOD($S343+$R343,4),Tables!$M$5:$M$8,0),MATCH($R344,Tables!$N$4:$Q$4,0))</f>
        <v>1192</v>
      </c>
      <c r="T344" s="2" t="str">
        <f t="shared" si="93"/>
        <v>04A8</v>
      </c>
      <c r="U344" s="2">
        <f t="shared" si="99"/>
        <v>298</v>
      </c>
      <c r="V344" s="2" t="str">
        <f t="shared" si="94"/>
        <v>12A</v>
      </c>
      <c r="W344" s="2" t="str">
        <f t="shared" si="95"/>
        <v>X</v>
      </c>
      <c r="X344" s="2" t="str">
        <f t="shared" si="98"/>
        <v>X</v>
      </c>
      <c r="Y344" s="2" t="str">
        <f t="shared" si="96"/>
        <v>X</v>
      </c>
      <c r="Z344" s="2" t="str">
        <f t="shared" si="97"/>
        <v>X</v>
      </c>
      <c r="AA344" s="2" t="str">
        <f t="shared" si="100"/>
        <v>(31 downto 24)</v>
      </c>
      <c r="AB344" s="2" t="str">
        <f t="shared" si="101"/>
        <v>(23 downto 16)</v>
      </c>
      <c r="AC344" s="2" t="str">
        <f t="shared" si="102"/>
        <v>(15 downto 8)</v>
      </c>
      <c r="AD344" s="2" t="str">
        <f t="shared" si="103"/>
        <v>(7 downto 0)</v>
      </c>
      <c r="AE344" s="2" t="str">
        <f t="shared" si="104"/>
        <v>(31 downto 24)</v>
      </c>
      <c r="AF344" s="2" t="str">
        <f t="shared" si="105"/>
        <v>(23 downto 16)</v>
      </c>
      <c r="AG344" s="2" t="str">
        <f t="shared" si="106"/>
        <v>(15 downto 8)</v>
      </c>
      <c r="AH344" s="2" t="str">
        <f t="shared" si="107"/>
        <v>(7 downto 0)</v>
      </c>
    </row>
    <row r="345" spans="2:34" x14ac:dyDescent="0.25">
      <c r="B345" s="2" t="s">
        <v>850</v>
      </c>
      <c r="C345" s="2" t="s">
        <v>141</v>
      </c>
      <c r="D345" s="2" t="s">
        <v>0</v>
      </c>
      <c r="E345" s="2" t="s">
        <v>130</v>
      </c>
      <c r="F345" s="2" t="s">
        <v>851</v>
      </c>
      <c r="G345" s="2" t="s">
        <v>852</v>
      </c>
      <c r="H345" s="2" t="s">
        <v>142</v>
      </c>
      <c r="I345" s="2" t="s">
        <v>41</v>
      </c>
      <c r="J345" s="2">
        <v>32</v>
      </c>
      <c r="K345" s="2" t="s">
        <v>132</v>
      </c>
      <c r="L345" s="2" t="s">
        <v>40</v>
      </c>
      <c r="P345" s="2" t="s">
        <v>48</v>
      </c>
      <c r="Q345" s="2">
        <f>INDEX(Tables!$C$4:$C$28,MATCH($P345,Tables!$B$4:$B$28,0))</f>
        <v>32</v>
      </c>
      <c r="R345" s="2">
        <f>INDEX(Tables!$D$4:$D$28,MATCH($P345,Tables!$B$4:$B$28,0))</f>
        <v>4</v>
      </c>
      <c r="S345" s="2">
        <f>$S344+$R344+INDEX(Tables!$N$5:$Q$8,MATCH(MOD($S344+$R344,4),Tables!$M$5:$M$8,0),MATCH($R345,Tables!$N$4:$Q$4,0))</f>
        <v>1196</v>
      </c>
      <c r="T345" s="2" t="str">
        <f t="shared" si="93"/>
        <v>04AC</v>
      </c>
      <c r="U345" s="2">
        <f t="shared" si="99"/>
        <v>299</v>
      </c>
      <c r="V345" s="2" t="str">
        <f t="shared" si="94"/>
        <v>12B</v>
      </c>
      <c r="W345" s="2" t="str">
        <f t="shared" si="95"/>
        <v>X</v>
      </c>
      <c r="X345" s="2" t="str">
        <f t="shared" si="98"/>
        <v>X</v>
      </c>
      <c r="Y345" s="2" t="str">
        <f t="shared" si="96"/>
        <v>X</v>
      </c>
      <c r="Z345" s="2" t="str">
        <f t="shared" si="97"/>
        <v>X</v>
      </c>
      <c r="AA345" s="2" t="str">
        <f t="shared" si="100"/>
        <v>(31 downto 24)</v>
      </c>
      <c r="AB345" s="2" t="str">
        <f t="shared" si="101"/>
        <v>(23 downto 16)</v>
      </c>
      <c r="AC345" s="2" t="str">
        <f t="shared" si="102"/>
        <v>(15 downto 8)</v>
      </c>
      <c r="AD345" s="2" t="str">
        <f t="shared" si="103"/>
        <v>(7 downto 0)</v>
      </c>
      <c r="AE345" s="2" t="str">
        <f t="shared" si="104"/>
        <v>(31 downto 24)</v>
      </c>
      <c r="AF345" s="2" t="str">
        <f t="shared" si="105"/>
        <v>(23 downto 16)</v>
      </c>
      <c r="AG345" s="2" t="str">
        <f t="shared" si="106"/>
        <v>(15 downto 8)</v>
      </c>
      <c r="AH345" s="2" t="str">
        <f t="shared" si="107"/>
        <v>(7 downto 0)</v>
      </c>
    </row>
    <row r="346" spans="2:34" x14ac:dyDescent="0.25">
      <c r="B346" s="2" t="s">
        <v>853</v>
      </c>
      <c r="C346" s="2" t="s">
        <v>141</v>
      </c>
      <c r="D346" s="2" t="s">
        <v>0</v>
      </c>
      <c r="E346" s="2" t="s">
        <v>130</v>
      </c>
      <c r="F346" s="2" t="s">
        <v>854</v>
      </c>
      <c r="G346" s="2" t="s">
        <v>855</v>
      </c>
      <c r="H346" s="2" t="s">
        <v>142</v>
      </c>
      <c r="I346" s="2" t="s">
        <v>41</v>
      </c>
      <c r="J346" s="2">
        <v>32</v>
      </c>
      <c r="K346" s="2" t="s">
        <v>132</v>
      </c>
      <c r="L346" s="2" t="s">
        <v>40</v>
      </c>
      <c r="P346" s="2" t="s">
        <v>48</v>
      </c>
      <c r="Q346" s="2">
        <f>INDEX(Tables!$C$4:$C$28,MATCH($P346,Tables!$B$4:$B$28,0))</f>
        <v>32</v>
      </c>
      <c r="R346" s="2">
        <f>INDEX(Tables!$D$4:$D$28,MATCH($P346,Tables!$B$4:$B$28,0))</f>
        <v>4</v>
      </c>
      <c r="S346" s="2">
        <f>$S345+$R345+INDEX(Tables!$N$5:$Q$8,MATCH(MOD($S345+$R345,4),Tables!$M$5:$M$8,0),MATCH($R346,Tables!$N$4:$Q$4,0))</f>
        <v>1200</v>
      </c>
      <c r="T346" s="2" t="str">
        <f t="shared" si="93"/>
        <v>04B0</v>
      </c>
      <c r="U346" s="2">
        <f t="shared" si="99"/>
        <v>300</v>
      </c>
      <c r="V346" s="2" t="str">
        <f t="shared" si="94"/>
        <v>12C</v>
      </c>
      <c r="W346" s="2" t="str">
        <f t="shared" si="95"/>
        <v>X</v>
      </c>
      <c r="X346" s="2" t="str">
        <f t="shared" si="98"/>
        <v>X</v>
      </c>
      <c r="Y346" s="2" t="str">
        <f t="shared" si="96"/>
        <v>X</v>
      </c>
      <c r="Z346" s="2" t="str">
        <f t="shared" si="97"/>
        <v>X</v>
      </c>
      <c r="AA346" s="2" t="str">
        <f t="shared" si="100"/>
        <v>(31 downto 24)</v>
      </c>
      <c r="AB346" s="2" t="str">
        <f t="shared" si="101"/>
        <v>(23 downto 16)</v>
      </c>
      <c r="AC346" s="2" t="str">
        <f t="shared" si="102"/>
        <v>(15 downto 8)</v>
      </c>
      <c r="AD346" s="2" t="str">
        <f t="shared" si="103"/>
        <v>(7 downto 0)</v>
      </c>
      <c r="AE346" s="2" t="str">
        <f t="shared" si="104"/>
        <v>(31 downto 24)</v>
      </c>
      <c r="AF346" s="2" t="str">
        <f t="shared" si="105"/>
        <v>(23 downto 16)</v>
      </c>
      <c r="AG346" s="2" t="str">
        <f t="shared" si="106"/>
        <v>(15 downto 8)</v>
      </c>
      <c r="AH346" s="2" t="str">
        <f t="shared" si="107"/>
        <v>(7 downto 0)</v>
      </c>
    </row>
    <row r="347" spans="2:34" x14ac:dyDescent="0.25">
      <c r="B347" s="2" t="s">
        <v>856</v>
      </c>
      <c r="C347" s="2" t="s">
        <v>141</v>
      </c>
      <c r="D347" s="2" t="s">
        <v>0</v>
      </c>
      <c r="E347" s="2" t="s">
        <v>130</v>
      </c>
      <c r="F347" s="2" t="s">
        <v>857</v>
      </c>
      <c r="G347" s="2" t="s">
        <v>858</v>
      </c>
      <c r="H347" s="2" t="s">
        <v>142</v>
      </c>
      <c r="I347" s="2" t="s">
        <v>41</v>
      </c>
      <c r="J347" s="2">
        <v>32</v>
      </c>
      <c r="K347" s="2" t="s">
        <v>132</v>
      </c>
      <c r="L347" s="2" t="s">
        <v>40</v>
      </c>
      <c r="P347" s="2" t="s">
        <v>48</v>
      </c>
      <c r="Q347" s="2">
        <f>INDEX(Tables!$C$4:$C$28,MATCH($P347,Tables!$B$4:$B$28,0))</f>
        <v>32</v>
      </c>
      <c r="R347" s="2">
        <f>INDEX(Tables!$D$4:$D$28,MATCH($P347,Tables!$B$4:$B$28,0))</f>
        <v>4</v>
      </c>
      <c r="S347" s="2">
        <f>$S346+$R346+INDEX(Tables!$N$5:$Q$8,MATCH(MOD($S346+$R346,4),Tables!$M$5:$M$8,0),MATCH($R347,Tables!$N$4:$Q$4,0))</f>
        <v>1204</v>
      </c>
      <c r="T347" s="2" t="str">
        <f t="shared" si="93"/>
        <v>04B4</v>
      </c>
      <c r="U347" s="2">
        <f t="shared" si="99"/>
        <v>301</v>
      </c>
      <c r="V347" s="2" t="str">
        <f t="shared" si="94"/>
        <v>12D</v>
      </c>
      <c r="W347" s="2" t="str">
        <f t="shared" si="95"/>
        <v>X</v>
      </c>
      <c r="X347" s="2" t="str">
        <f t="shared" si="98"/>
        <v>X</v>
      </c>
      <c r="Y347" s="2" t="str">
        <f t="shared" si="96"/>
        <v>X</v>
      </c>
      <c r="Z347" s="2" t="str">
        <f t="shared" si="97"/>
        <v>X</v>
      </c>
      <c r="AA347" s="2" t="str">
        <f t="shared" si="100"/>
        <v>(31 downto 24)</v>
      </c>
      <c r="AB347" s="2" t="str">
        <f t="shared" si="101"/>
        <v>(23 downto 16)</v>
      </c>
      <c r="AC347" s="2" t="str">
        <f t="shared" si="102"/>
        <v>(15 downto 8)</v>
      </c>
      <c r="AD347" s="2" t="str">
        <f t="shared" si="103"/>
        <v>(7 downto 0)</v>
      </c>
      <c r="AE347" s="2" t="str">
        <f t="shared" si="104"/>
        <v>(31 downto 24)</v>
      </c>
      <c r="AF347" s="2" t="str">
        <f t="shared" si="105"/>
        <v>(23 downto 16)</v>
      </c>
      <c r="AG347" s="2" t="str">
        <f t="shared" si="106"/>
        <v>(15 downto 8)</v>
      </c>
      <c r="AH347" s="2" t="str">
        <f t="shared" si="107"/>
        <v>(7 downto 0)</v>
      </c>
    </row>
    <row r="348" spans="2:34" x14ac:dyDescent="0.25">
      <c r="B348" s="2" t="s">
        <v>859</v>
      </c>
      <c r="C348" s="2" t="s">
        <v>141</v>
      </c>
      <c r="D348" s="2" t="s">
        <v>0</v>
      </c>
      <c r="E348" s="2" t="s">
        <v>130</v>
      </c>
      <c r="F348" s="2" t="s">
        <v>860</v>
      </c>
      <c r="G348" s="2" t="s">
        <v>861</v>
      </c>
      <c r="H348" s="2" t="s">
        <v>142</v>
      </c>
      <c r="I348" s="2" t="s">
        <v>41</v>
      </c>
      <c r="J348" s="2">
        <v>32</v>
      </c>
      <c r="K348" s="2" t="s">
        <v>132</v>
      </c>
      <c r="L348" s="2" t="s">
        <v>40</v>
      </c>
      <c r="P348" s="2" t="s">
        <v>48</v>
      </c>
      <c r="Q348" s="2">
        <f>INDEX(Tables!$C$4:$C$28,MATCH($P348,Tables!$B$4:$B$28,0))</f>
        <v>32</v>
      </c>
      <c r="R348" s="2">
        <f>INDEX(Tables!$D$4:$D$28,MATCH($P348,Tables!$B$4:$B$28,0))</f>
        <v>4</v>
      </c>
      <c r="S348" s="2">
        <f>$S347+$R347+INDEX(Tables!$N$5:$Q$8,MATCH(MOD($S347+$R347,4),Tables!$M$5:$M$8,0),MATCH($R348,Tables!$N$4:$Q$4,0))</f>
        <v>1208</v>
      </c>
      <c r="T348" s="2" t="str">
        <f t="shared" si="93"/>
        <v>04B8</v>
      </c>
      <c r="U348" s="2">
        <f t="shared" si="99"/>
        <v>302</v>
      </c>
      <c r="V348" s="2" t="str">
        <f t="shared" si="94"/>
        <v>12E</v>
      </c>
      <c r="W348" s="2" t="str">
        <f t="shared" si="95"/>
        <v>X</v>
      </c>
      <c r="X348" s="2" t="str">
        <f t="shared" si="98"/>
        <v>X</v>
      </c>
      <c r="Y348" s="2" t="str">
        <f t="shared" si="96"/>
        <v>X</v>
      </c>
      <c r="Z348" s="2" t="str">
        <f t="shared" si="97"/>
        <v>X</v>
      </c>
      <c r="AA348" s="2" t="str">
        <f t="shared" si="100"/>
        <v>(31 downto 24)</v>
      </c>
      <c r="AB348" s="2" t="str">
        <f t="shared" si="101"/>
        <v>(23 downto 16)</v>
      </c>
      <c r="AC348" s="2" t="str">
        <f t="shared" si="102"/>
        <v>(15 downto 8)</v>
      </c>
      <c r="AD348" s="2" t="str">
        <f t="shared" si="103"/>
        <v>(7 downto 0)</v>
      </c>
      <c r="AE348" s="2" t="str">
        <f t="shared" si="104"/>
        <v>(31 downto 24)</v>
      </c>
      <c r="AF348" s="2" t="str">
        <f t="shared" si="105"/>
        <v>(23 downto 16)</v>
      </c>
      <c r="AG348" s="2" t="str">
        <f t="shared" si="106"/>
        <v>(15 downto 8)</v>
      </c>
      <c r="AH348" s="2" t="str">
        <f t="shared" si="107"/>
        <v>(7 downto 0)</v>
      </c>
    </row>
    <row r="349" spans="2:34" x14ac:dyDescent="0.25">
      <c r="B349" s="2" t="s">
        <v>862</v>
      </c>
      <c r="C349" s="2" t="s">
        <v>141</v>
      </c>
      <c r="D349" s="2" t="s">
        <v>0</v>
      </c>
      <c r="E349" s="2" t="s">
        <v>130</v>
      </c>
      <c r="F349" s="2" t="s">
        <v>863</v>
      </c>
      <c r="G349" s="2" t="s">
        <v>864</v>
      </c>
      <c r="H349" s="2" t="s">
        <v>142</v>
      </c>
      <c r="I349" s="2" t="s">
        <v>41</v>
      </c>
      <c r="J349" s="2">
        <v>32</v>
      </c>
      <c r="K349" s="2" t="s">
        <v>132</v>
      </c>
      <c r="L349" s="2" t="s">
        <v>40</v>
      </c>
      <c r="P349" s="2" t="s">
        <v>48</v>
      </c>
      <c r="Q349" s="2">
        <f>INDEX(Tables!$C$4:$C$28,MATCH($P349,Tables!$B$4:$B$28,0))</f>
        <v>32</v>
      </c>
      <c r="R349" s="2">
        <f>INDEX(Tables!$D$4:$D$28,MATCH($P349,Tables!$B$4:$B$28,0))</f>
        <v>4</v>
      </c>
      <c r="S349" s="2">
        <f>$S348+$R348+INDEX(Tables!$N$5:$Q$8,MATCH(MOD($S348+$R348,4),Tables!$M$5:$M$8,0),MATCH($R349,Tables!$N$4:$Q$4,0))</f>
        <v>1212</v>
      </c>
      <c r="T349" s="2" t="str">
        <f t="shared" si="93"/>
        <v>04BC</v>
      </c>
      <c r="U349" s="2">
        <f t="shared" si="99"/>
        <v>303</v>
      </c>
      <c r="V349" s="2" t="str">
        <f t="shared" si="94"/>
        <v>12F</v>
      </c>
      <c r="W349" s="2" t="str">
        <f t="shared" si="95"/>
        <v>X</v>
      </c>
      <c r="X349" s="2" t="str">
        <f t="shared" si="98"/>
        <v>X</v>
      </c>
      <c r="Y349" s="2" t="str">
        <f t="shared" si="96"/>
        <v>X</v>
      </c>
      <c r="Z349" s="2" t="str">
        <f t="shared" si="97"/>
        <v>X</v>
      </c>
      <c r="AA349" s="2" t="str">
        <f t="shared" si="100"/>
        <v>(31 downto 24)</v>
      </c>
      <c r="AB349" s="2" t="str">
        <f t="shared" si="101"/>
        <v>(23 downto 16)</v>
      </c>
      <c r="AC349" s="2" t="str">
        <f t="shared" si="102"/>
        <v>(15 downto 8)</v>
      </c>
      <c r="AD349" s="2" t="str">
        <f t="shared" si="103"/>
        <v>(7 downto 0)</v>
      </c>
      <c r="AE349" s="2" t="str">
        <f t="shared" si="104"/>
        <v>(31 downto 24)</v>
      </c>
      <c r="AF349" s="2" t="str">
        <f t="shared" si="105"/>
        <v>(23 downto 16)</v>
      </c>
      <c r="AG349" s="2" t="str">
        <f t="shared" si="106"/>
        <v>(15 downto 8)</v>
      </c>
      <c r="AH349" s="2" t="str">
        <f t="shared" si="107"/>
        <v>(7 downto 0)</v>
      </c>
    </row>
    <row r="350" spans="2:34" x14ac:dyDescent="0.25">
      <c r="B350" s="2" t="s">
        <v>865</v>
      </c>
      <c r="C350" s="2" t="s">
        <v>141</v>
      </c>
      <c r="D350" s="2" t="s">
        <v>0</v>
      </c>
      <c r="E350" s="2" t="s">
        <v>130</v>
      </c>
      <c r="F350" s="2" t="s">
        <v>866</v>
      </c>
      <c r="G350" s="2" t="s">
        <v>867</v>
      </c>
      <c r="H350" s="2" t="s">
        <v>142</v>
      </c>
      <c r="I350" s="2" t="s">
        <v>41</v>
      </c>
      <c r="J350" s="2">
        <v>32</v>
      </c>
      <c r="K350" s="2" t="s">
        <v>132</v>
      </c>
      <c r="L350" s="2" t="s">
        <v>40</v>
      </c>
      <c r="P350" s="2" t="s">
        <v>48</v>
      </c>
      <c r="Q350" s="2">
        <f>INDEX(Tables!$C$4:$C$28,MATCH($P350,Tables!$B$4:$B$28,0))</f>
        <v>32</v>
      </c>
      <c r="R350" s="2">
        <f>INDEX(Tables!$D$4:$D$28,MATCH($P350,Tables!$B$4:$B$28,0))</f>
        <v>4</v>
      </c>
      <c r="S350" s="2">
        <f>$S349+$R349+INDEX(Tables!$N$5:$Q$8,MATCH(MOD($S349+$R349,4),Tables!$M$5:$M$8,0),MATCH($R350,Tables!$N$4:$Q$4,0))</f>
        <v>1216</v>
      </c>
      <c r="T350" s="2" t="str">
        <f t="shared" si="93"/>
        <v>04C0</v>
      </c>
      <c r="U350" s="2">
        <f t="shared" si="99"/>
        <v>304</v>
      </c>
      <c r="V350" s="2" t="str">
        <f t="shared" si="94"/>
        <v>130</v>
      </c>
      <c r="W350" s="2" t="str">
        <f t="shared" si="95"/>
        <v>X</v>
      </c>
      <c r="X350" s="2" t="str">
        <f t="shared" si="98"/>
        <v>X</v>
      </c>
      <c r="Y350" s="2" t="str">
        <f t="shared" si="96"/>
        <v>X</v>
      </c>
      <c r="Z350" s="2" t="str">
        <f t="shared" si="97"/>
        <v>X</v>
      </c>
      <c r="AA350" s="2" t="str">
        <f t="shared" si="100"/>
        <v>(31 downto 24)</v>
      </c>
      <c r="AB350" s="2" t="str">
        <f t="shared" si="101"/>
        <v>(23 downto 16)</v>
      </c>
      <c r="AC350" s="2" t="str">
        <f t="shared" si="102"/>
        <v>(15 downto 8)</v>
      </c>
      <c r="AD350" s="2" t="str">
        <f t="shared" si="103"/>
        <v>(7 downto 0)</v>
      </c>
      <c r="AE350" s="2" t="str">
        <f t="shared" si="104"/>
        <v>(31 downto 24)</v>
      </c>
      <c r="AF350" s="2" t="str">
        <f t="shared" si="105"/>
        <v>(23 downto 16)</v>
      </c>
      <c r="AG350" s="2" t="str">
        <f t="shared" si="106"/>
        <v>(15 downto 8)</v>
      </c>
      <c r="AH350" s="2" t="str">
        <f t="shared" si="107"/>
        <v>(7 downto 0)</v>
      </c>
    </row>
    <row r="351" spans="2:34" x14ac:dyDescent="0.25">
      <c r="B351" s="2" t="s">
        <v>868</v>
      </c>
      <c r="C351" s="2" t="s">
        <v>141</v>
      </c>
      <c r="D351" s="2" t="s">
        <v>0</v>
      </c>
      <c r="E351" s="2" t="s">
        <v>130</v>
      </c>
      <c r="F351" s="2" t="s">
        <v>869</v>
      </c>
      <c r="G351" s="2" t="s">
        <v>870</v>
      </c>
      <c r="H351" s="2" t="s">
        <v>142</v>
      </c>
      <c r="I351" s="2" t="s">
        <v>41</v>
      </c>
      <c r="J351" s="2">
        <v>32</v>
      </c>
      <c r="K351" s="2" t="s">
        <v>132</v>
      </c>
      <c r="L351" s="2" t="s">
        <v>40</v>
      </c>
      <c r="P351" s="2" t="s">
        <v>48</v>
      </c>
      <c r="Q351" s="2">
        <f>INDEX(Tables!$C$4:$C$28,MATCH($P351,Tables!$B$4:$B$28,0))</f>
        <v>32</v>
      </c>
      <c r="R351" s="2">
        <f>INDEX(Tables!$D$4:$D$28,MATCH($P351,Tables!$B$4:$B$28,0))</f>
        <v>4</v>
      </c>
      <c r="S351" s="2">
        <f>$S350+$R350+INDEX(Tables!$N$5:$Q$8,MATCH(MOD($S350+$R350,4),Tables!$M$5:$M$8,0),MATCH($R351,Tables!$N$4:$Q$4,0))</f>
        <v>1220</v>
      </c>
      <c r="T351" s="2" t="str">
        <f t="shared" si="93"/>
        <v>04C4</v>
      </c>
      <c r="U351" s="2">
        <f t="shared" si="99"/>
        <v>305</v>
      </c>
      <c r="V351" s="2" t="str">
        <f t="shared" si="94"/>
        <v>131</v>
      </c>
      <c r="W351" s="2" t="str">
        <f t="shared" si="95"/>
        <v>X</v>
      </c>
      <c r="X351" s="2" t="str">
        <f t="shared" si="98"/>
        <v>X</v>
      </c>
      <c r="Y351" s="2" t="str">
        <f t="shared" si="96"/>
        <v>X</v>
      </c>
      <c r="Z351" s="2" t="str">
        <f t="shared" si="97"/>
        <v>X</v>
      </c>
      <c r="AA351" s="2" t="str">
        <f t="shared" si="100"/>
        <v>(31 downto 24)</v>
      </c>
      <c r="AB351" s="2" t="str">
        <f t="shared" si="101"/>
        <v>(23 downto 16)</v>
      </c>
      <c r="AC351" s="2" t="str">
        <f t="shared" si="102"/>
        <v>(15 downto 8)</v>
      </c>
      <c r="AD351" s="2" t="str">
        <f t="shared" si="103"/>
        <v>(7 downto 0)</v>
      </c>
      <c r="AE351" s="2" t="str">
        <f t="shared" si="104"/>
        <v>(31 downto 24)</v>
      </c>
      <c r="AF351" s="2" t="str">
        <f t="shared" si="105"/>
        <v>(23 downto 16)</v>
      </c>
      <c r="AG351" s="2" t="str">
        <f t="shared" si="106"/>
        <v>(15 downto 8)</v>
      </c>
      <c r="AH351" s="2" t="str">
        <f t="shared" si="107"/>
        <v>(7 downto 0)</v>
      </c>
    </row>
    <row r="352" spans="2:34" x14ac:dyDescent="0.25">
      <c r="B352" s="2" t="s">
        <v>871</v>
      </c>
      <c r="C352" s="2" t="s">
        <v>141</v>
      </c>
      <c r="D352" s="2" t="s">
        <v>0</v>
      </c>
      <c r="E352" s="2" t="s">
        <v>130</v>
      </c>
      <c r="F352" s="2" t="s">
        <v>872</v>
      </c>
      <c r="G352" s="2" t="s">
        <v>873</v>
      </c>
      <c r="H352" s="2" t="s">
        <v>142</v>
      </c>
      <c r="I352" s="2" t="s">
        <v>41</v>
      </c>
      <c r="J352" s="2">
        <v>32</v>
      </c>
      <c r="K352" s="2" t="s">
        <v>132</v>
      </c>
      <c r="L352" s="2" t="s">
        <v>40</v>
      </c>
      <c r="P352" s="2" t="s">
        <v>48</v>
      </c>
      <c r="Q352" s="2">
        <f>INDEX(Tables!$C$4:$C$28,MATCH($P352,Tables!$B$4:$B$28,0))</f>
        <v>32</v>
      </c>
      <c r="R352" s="2">
        <f>INDEX(Tables!$D$4:$D$28,MATCH($P352,Tables!$B$4:$B$28,0))</f>
        <v>4</v>
      </c>
      <c r="S352" s="2">
        <f>$S351+$R351+INDEX(Tables!$N$5:$Q$8,MATCH(MOD($S351+$R351,4),Tables!$M$5:$M$8,0),MATCH($R352,Tables!$N$4:$Q$4,0))</f>
        <v>1224</v>
      </c>
      <c r="T352" s="2" t="str">
        <f t="shared" si="93"/>
        <v>04C8</v>
      </c>
      <c r="U352" s="2">
        <f t="shared" si="99"/>
        <v>306</v>
      </c>
      <c r="V352" s="2" t="str">
        <f t="shared" si="94"/>
        <v>132</v>
      </c>
      <c r="W352" s="2" t="str">
        <f t="shared" si="95"/>
        <v>X</v>
      </c>
      <c r="X352" s="2" t="str">
        <f t="shared" si="98"/>
        <v>X</v>
      </c>
      <c r="Y352" s="2" t="str">
        <f t="shared" si="96"/>
        <v>X</v>
      </c>
      <c r="Z352" s="2" t="str">
        <f t="shared" si="97"/>
        <v>X</v>
      </c>
      <c r="AA352" s="2" t="str">
        <f t="shared" si="100"/>
        <v>(31 downto 24)</v>
      </c>
      <c r="AB352" s="2" t="str">
        <f t="shared" si="101"/>
        <v>(23 downto 16)</v>
      </c>
      <c r="AC352" s="2" t="str">
        <f t="shared" si="102"/>
        <v>(15 downto 8)</v>
      </c>
      <c r="AD352" s="2" t="str">
        <f t="shared" si="103"/>
        <v>(7 downto 0)</v>
      </c>
      <c r="AE352" s="2" t="str">
        <f t="shared" si="104"/>
        <v>(31 downto 24)</v>
      </c>
      <c r="AF352" s="2" t="str">
        <f t="shared" si="105"/>
        <v>(23 downto 16)</v>
      </c>
      <c r="AG352" s="2" t="str">
        <f t="shared" si="106"/>
        <v>(15 downto 8)</v>
      </c>
      <c r="AH352" s="2" t="str">
        <f t="shared" si="107"/>
        <v>(7 downto 0)</v>
      </c>
    </row>
    <row r="353" spans="2:34" x14ac:dyDescent="0.25">
      <c r="B353" s="2" t="s">
        <v>874</v>
      </c>
      <c r="C353" s="2" t="s">
        <v>141</v>
      </c>
      <c r="D353" s="2" t="s">
        <v>0</v>
      </c>
      <c r="E353" s="2" t="s">
        <v>130</v>
      </c>
      <c r="F353" s="2" t="s">
        <v>875</v>
      </c>
      <c r="G353" s="2" t="s">
        <v>876</v>
      </c>
      <c r="H353" s="2" t="s">
        <v>142</v>
      </c>
      <c r="I353" s="2" t="s">
        <v>41</v>
      </c>
      <c r="J353" s="2">
        <v>32</v>
      </c>
      <c r="K353" s="2" t="s">
        <v>132</v>
      </c>
      <c r="L353" s="2" t="s">
        <v>40</v>
      </c>
      <c r="P353" s="2" t="s">
        <v>48</v>
      </c>
      <c r="Q353" s="2">
        <f>INDEX(Tables!$C$4:$C$28,MATCH($P353,Tables!$B$4:$B$28,0))</f>
        <v>32</v>
      </c>
      <c r="R353" s="2">
        <f>INDEX(Tables!$D$4:$D$28,MATCH($P353,Tables!$B$4:$B$28,0))</f>
        <v>4</v>
      </c>
      <c r="S353" s="2">
        <f>$S352+$R352+INDEX(Tables!$N$5:$Q$8,MATCH(MOD($S352+$R352,4),Tables!$M$5:$M$8,0),MATCH($R353,Tables!$N$4:$Q$4,0))</f>
        <v>1228</v>
      </c>
      <c r="T353" s="2" t="str">
        <f t="shared" si="93"/>
        <v>04CC</v>
      </c>
      <c r="U353" s="2">
        <f t="shared" si="99"/>
        <v>307</v>
      </c>
      <c r="V353" s="2" t="str">
        <f t="shared" si="94"/>
        <v>133</v>
      </c>
      <c r="W353" s="2" t="str">
        <f t="shared" si="95"/>
        <v>X</v>
      </c>
      <c r="X353" s="2" t="str">
        <f t="shared" si="98"/>
        <v>X</v>
      </c>
      <c r="Y353" s="2" t="str">
        <f t="shared" si="96"/>
        <v>X</v>
      </c>
      <c r="Z353" s="2" t="str">
        <f t="shared" si="97"/>
        <v>X</v>
      </c>
      <c r="AA353" s="2" t="str">
        <f t="shared" si="100"/>
        <v>(31 downto 24)</v>
      </c>
      <c r="AB353" s="2" t="str">
        <f t="shared" si="101"/>
        <v>(23 downto 16)</v>
      </c>
      <c r="AC353" s="2" t="str">
        <f t="shared" si="102"/>
        <v>(15 downto 8)</v>
      </c>
      <c r="AD353" s="2" t="str">
        <f t="shared" si="103"/>
        <v>(7 downto 0)</v>
      </c>
      <c r="AE353" s="2" t="str">
        <f t="shared" si="104"/>
        <v>(31 downto 24)</v>
      </c>
      <c r="AF353" s="2" t="str">
        <f t="shared" si="105"/>
        <v>(23 downto 16)</v>
      </c>
      <c r="AG353" s="2" t="str">
        <f t="shared" si="106"/>
        <v>(15 downto 8)</v>
      </c>
      <c r="AH353" s="2" t="str">
        <f t="shared" si="107"/>
        <v>(7 downto 0)</v>
      </c>
    </row>
    <row r="354" spans="2:34" x14ac:dyDescent="0.25">
      <c r="B354" s="2" t="s">
        <v>877</v>
      </c>
      <c r="C354" s="2" t="s">
        <v>141</v>
      </c>
      <c r="D354" s="2" t="s">
        <v>0</v>
      </c>
      <c r="E354" s="2" t="s">
        <v>130</v>
      </c>
      <c r="F354" s="2" t="s">
        <v>878</v>
      </c>
      <c r="G354" s="2" t="s">
        <v>879</v>
      </c>
      <c r="H354" s="2" t="s">
        <v>142</v>
      </c>
      <c r="I354" s="2" t="s">
        <v>41</v>
      </c>
      <c r="J354" s="2">
        <v>32</v>
      </c>
      <c r="K354" s="2" t="s">
        <v>132</v>
      </c>
      <c r="L354" s="2" t="s">
        <v>40</v>
      </c>
      <c r="P354" s="2" t="s">
        <v>48</v>
      </c>
      <c r="Q354" s="2">
        <f>INDEX(Tables!$C$4:$C$28,MATCH($P354,Tables!$B$4:$B$28,0))</f>
        <v>32</v>
      </c>
      <c r="R354" s="2">
        <f>INDEX(Tables!$D$4:$D$28,MATCH($P354,Tables!$B$4:$B$28,0))</f>
        <v>4</v>
      </c>
      <c r="S354" s="2">
        <f>$S353+$R353+INDEX(Tables!$N$5:$Q$8,MATCH(MOD($S353+$R353,4),Tables!$M$5:$M$8,0),MATCH($R354,Tables!$N$4:$Q$4,0))</f>
        <v>1232</v>
      </c>
      <c r="T354" s="2" t="str">
        <f t="shared" si="93"/>
        <v>04D0</v>
      </c>
      <c r="U354" s="2">
        <f t="shared" si="99"/>
        <v>308</v>
      </c>
      <c r="V354" s="2" t="str">
        <f t="shared" si="94"/>
        <v>134</v>
      </c>
      <c r="W354" s="2" t="str">
        <f t="shared" si="95"/>
        <v>X</v>
      </c>
      <c r="X354" s="2" t="str">
        <f t="shared" si="98"/>
        <v>X</v>
      </c>
      <c r="Y354" s="2" t="str">
        <f t="shared" si="96"/>
        <v>X</v>
      </c>
      <c r="Z354" s="2" t="str">
        <f t="shared" si="97"/>
        <v>X</v>
      </c>
      <c r="AA354" s="2" t="str">
        <f t="shared" si="100"/>
        <v>(31 downto 24)</v>
      </c>
      <c r="AB354" s="2" t="str">
        <f t="shared" si="101"/>
        <v>(23 downto 16)</v>
      </c>
      <c r="AC354" s="2" t="str">
        <f t="shared" si="102"/>
        <v>(15 downto 8)</v>
      </c>
      <c r="AD354" s="2" t="str">
        <f t="shared" si="103"/>
        <v>(7 downto 0)</v>
      </c>
      <c r="AE354" s="2" t="str">
        <f t="shared" si="104"/>
        <v>(31 downto 24)</v>
      </c>
      <c r="AF354" s="2" t="str">
        <f t="shared" si="105"/>
        <v>(23 downto 16)</v>
      </c>
      <c r="AG354" s="2" t="str">
        <f t="shared" si="106"/>
        <v>(15 downto 8)</v>
      </c>
      <c r="AH354" s="2" t="str">
        <f t="shared" si="107"/>
        <v>(7 downto 0)</v>
      </c>
    </row>
    <row r="355" spans="2:34" x14ac:dyDescent="0.25">
      <c r="B355" s="2" t="s">
        <v>880</v>
      </c>
      <c r="C355" s="2" t="s">
        <v>141</v>
      </c>
      <c r="D355" s="2" t="s">
        <v>0</v>
      </c>
      <c r="E355" s="2" t="s">
        <v>130</v>
      </c>
      <c r="F355" s="2" t="s">
        <v>881</v>
      </c>
      <c r="G355" s="2" t="s">
        <v>882</v>
      </c>
      <c r="H355" s="2" t="s">
        <v>142</v>
      </c>
      <c r="I355" s="2" t="s">
        <v>41</v>
      </c>
      <c r="J355" s="2">
        <v>32</v>
      </c>
      <c r="K355" s="2" t="s">
        <v>132</v>
      </c>
      <c r="L355" s="2" t="s">
        <v>40</v>
      </c>
      <c r="P355" s="2" t="s">
        <v>48</v>
      </c>
      <c r="Q355" s="2">
        <f>INDEX(Tables!$C$4:$C$28,MATCH($P355,Tables!$B$4:$B$28,0))</f>
        <v>32</v>
      </c>
      <c r="R355" s="2">
        <f>INDEX(Tables!$D$4:$D$28,MATCH($P355,Tables!$B$4:$B$28,0))</f>
        <v>4</v>
      </c>
      <c r="S355" s="2">
        <f>$S354+$R354+INDEX(Tables!$N$5:$Q$8,MATCH(MOD($S354+$R354,4),Tables!$M$5:$M$8,0),MATCH($R355,Tables!$N$4:$Q$4,0))</f>
        <v>1236</v>
      </c>
      <c r="T355" s="2" t="str">
        <f t="shared" si="93"/>
        <v>04D4</v>
      </c>
      <c r="U355" s="2">
        <f t="shared" si="99"/>
        <v>309</v>
      </c>
      <c r="V355" s="2" t="str">
        <f t="shared" si="94"/>
        <v>135</v>
      </c>
      <c r="W355" s="2" t="str">
        <f t="shared" si="95"/>
        <v>X</v>
      </c>
      <c r="X355" s="2" t="str">
        <f t="shared" si="98"/>
        <v>X</v>
      </c>
      <c r="Y355" s="2" t="str">
        <f t="shared" si="96"/>
        <v>X</v>
      </c>
      <c r="Z355" s="2" t="str">
        <f t="shared" si="97"/>
        <v>X</v>
      </c>
      <c r="AA355" s="2" t="str">
        <f t="shared" si="100"/>
        <v>(31 downto 24)</v>
      </c>
      <c r="AB355" s="2" t="str">
        <f t="shared" si="101"/>
        <v>(23 downto 16)</v>
      </c>
      <c r="AC355" s="2" t="str">
        <f t="shared" si="102"/>
        <v>(15 downto 8)</v>
      </c>
      <c r="AD355" s="2" t="str">
        <f t="shared" si="103"/>
        <v>(7 downto 0)</v>
      </c>
      <c r="AE355" s="2" t="str">
        <f t="shared" si="104"/>
        <v>(31 downto 24)</v>
      </c>
      <c r="AF355" s="2" t="str">
        <f t="shared" si="105"/>
        <v>(23 downto 16)</v>
      </c>
      <c r="AG355" s="2" t="str">
        <f t="shared" si="106"/>
        <v>(15 downto 8)</v>
      </c>
      <c r="AH355" s="2" t="str">
        <f t="shared" si="107"/>
        <v>(7 downto 0)</v>
      </c>
    </row>
    <row r="356" spans="2:34" x14ac:dyDescent="0.25">
      <c r="B356" s="2" t="s">
        <v>883</v>
      </c>
      <c r="C356" s="2" t="s">
        <v>141</v>
      </c>
      <c r="D356" s="2" t="s">
        <v>0</v>
      </c>
      <c r="E356" s="2" t="s">
        <v>130</v>
      </c>
      <c r="F356" s="2" t="s">
        <v>884</v>
      </c>
      <c r="G356" s="2" t="s">
        <v>885</v>
      </c>
      <c r="H356" s="2" t="s">
        <v>142</v>
      </c>
      <c r="I356" s="2" t="s">
        <v>41</v>
      </c>
      <c r="J356" s="2">
        <v>32</v>
      </c>
      <c r="K356" s="2" t="s">
        <v>132</v>
      </c>
      <c r="L356" s="2" t="s">
        <v>40</v>
      </c>
      <c r="P356" s="2" t="s">
        <v>48</v>
      </c>
      <c r="Q356" s="2">
        <f>INDEX(Tables!$C$4:$C$28,MATCH($P356,Tables!$B$4:$B$28,0))</f>
        <v>32</v>
      </c>
      <c r="R356" s="2">
        <f>INDEX(Tables!$D$4:$D$28,MATCH($P356,Tables!$B$4:$B$28,0))</f>
        <v>4</v>
      </c>
      <c r="S356" s="2">
        <f>$S355+$R355+INDEX(Tables!$N$5:$Q$8,MATCH(MOD($S355+$R355,4),Tables!$M$5:$M$8,0),MATCH($R356,Tables!$N$4:$Q$4,0))</f>
        <v>1240</v>
      </c>
      <c r="T356" s="2" t="str">
        <f t="shared" si="93"/>
        <v>04D8</v>
      </c>
      <c r="U356" s="2">
        <f t="shared" si="99"/>
        <v>310</v>
      </c>
      <c r="V356" s="2" t="str">
        <f t="shared" si="94"/>
        <v>136</v>
      </c>
      <c r="W356" s="2" t="str">
        <f t="shared" si="95"/>
        <v>X</v>
      </c>
      <c r="X356" s="2" t="str">
        <f t="shared" si="98"/>
        <v>X</v>
      </c>
      <c r="Y356" s="2" t="str">
        <f t="shared" si="96"/>
        <v>X</v>
      </c>
      <c r="Z356" s="2" t="str">
        <f t="shared" si="97"/>
        <v>X</v>
      </c>
      <c r="AA356" s="2" t="str">
        <f t="shared" si="100"/>
        <v>(31 downto 24)</v>
      </c>
      <c r="AB356" s="2" t="str">
        <f t="shared" si="101"/>
        <v>(23 downto 16)</v>
      </c>
      <c r="AC356" s="2" t="str">
        <f t="shared" si="102"/>
        <v>(15 downto 8)</v>
      </c>
      <c r="AD356" s="2" t="str">
        <f t="shared" si="103"/>
        <v>(7 downto 0)</v>
      </c>
      <c r="AE356" s="2" t="str">
        <f t="shared" si="104"/>
        <v>(31 downto 24)</v>
      </c>
      <c r="AF356" s="2" t="str">
        <f t="shared" si="105"/>
        <v>(23 downto 16)</v>
      </c>
      <c r="AG356" s="2" t="str">
        <f t="shared" si="106"/>
        <v>(15 downto 8)</v>
      </c>
      <c r="AH356" s="2" t="str">
        <f t="shared" si="107"/>
        <v>(7 downto 0)</v>
      </c>
    </row>
    <row r="357" spans="2:34" x14ac:dyDescent="0.25">
      <c r="B357" s="2" t="s">
        <v>886</v>
      </c>
      <c r="C357" s="2" t="s">
        <v>141</v>
      </c>
      <c r="D357" s="2" t="s">
        <v>0</v>
      </c>
      <c r="E357" s="2" t="s">
        <v>130</v>
      </c>
      <c r="F357" s="2" t="s">
        <v>887</v>
      </c>
      <c r="G357" s="2" t="s">
        <v>888</v>
      </c>
      <c r="H357" s="2" t="s">
        <v>142</v>
      </c>
      <c r="I357" s="2" t="s">
        <v>41</v>
      </c>
      <c r="J357" s="2">
        <v>32</v>
      </c>
      <c r="K357" s="2" t="s">
        <v>132</v>
      </c>
      <c r="L357" s="2" t="s">
        <v>40</v>
      </c>
      <c r="P357" s="2" t="s">
        <v>48</v>
      </c>
      <c r="Q357" s="2">
        <f>INDEX(Tables!$C$4:$C$28,MATCH($P357,Tables!$B$4:$B$28,0))</f>
        <v>32</v>
      </c>
      <c r="R357" s="2">
        <f>INDEX(Tables!$D$4:$D$28,MATCH($P357,Tables!$B$4:$B$28,0))</f>
        <v>4</v>
      </c>
      <c r="S357" s="2">
        <f>$S356+$R356+INDEX(Tables!$N$5:$Q$8,MATCH(MOD($S356+$R356,4),Tables!$M$5:$M$8,0),MATCH($R357,Tables!$N$4:$Q$4,0))</f>
        <v>1244</v>
      </c>
      <c r="T357" s="2" t="str">
        <f t="shared" si="93"/>
        <v>04DC</v>
      </c>
      <c r="U357" s="2">
        <f t="shared" si="99"/>
        <v>311</v>
      </c>
      <c r="V357" s="2" t="str">
        <f t="shared" si="94"/>
        <v>137</v>
      </c>
      <c r="W357" s="2" t="str">
        <f t="shared" si="95"/>
        <v>X</v>
      </c>
      <c r="X357" s="2" t="str">
        <f t="shared" si="98"/>
        <v>X</v>
      </c>
      <c r="Y357" s="2" t="str">
        <f t="shared" si="96"/>
        <v>X</v>
      </c>
      <c r="Z357" s="2" t="str">
        <f t="shared" si="97"/>
        <v>X</v>
      </c>
      <c r="AA357" s="2" t="str">
        <f t="shared" si="100"/>
        <v>(31 downto 24)</v>
      </c>
      <c r="AB357" s="2" t="str">
        <f t="shared" si="101"/>
        <v>(23 downto 16)</v>
      </c>
      <c r="AC357" s="2" t="str">
        <f t="shared" si="102"/>
        <v>(15 downto 8)</v>
      </c>
      <c r="AD357" s="2" t="str">
        <f t="shared" si="103"/>
        <v>(7 downto 0)</v>
      </c>
      <c r="AE357" s="2" t="str">
        <f t="shared" si="104"/>
        <v>(31 downto 24)</v>
      </c>
      <c r="AF357" s="2" t="str">
        <f t="shared" si="105"/>
        <v>(23 downto 16)</v>
      </c>
      <c r="AG357" s="2" t="str">
        <f t="shared" si="106"/>
        <v>(15 downto 8)</v>
      </c>
      <c r="AH357" s="2" t="str">
        <f t="shared" si="107"/>
        <v>(7 downto 0)</v>
      </c>
    </row>
    <row r="358" spans="2:34" x14ac:dyDescent="0.25">
      <c r="B358" s="2" t="s">
        <v>889</v>
      </c>
      <c r="C358" s="2" t="s">
        <v>141</v>
      </c>
      <c r="D358" s="2" t="s">
        <v>0</v>
      </c>
      <c r="E358" s="2" t="s">
        <v>130</v>
      </c>
      <c r="F358" s="2" t="s">
        <v>890</v>
      </c>
      <c r="G358" s="2" t="s">
        <v>891</v>
      </c>
      <c r="H358" s="2" t="s">
        <v>142</v>
      </c>
      <c r="I358" s="2" t="s">
        <v>41</v>
      </c>
      <c r="J358" s="2">
        <v>32</v>
      </c>
      <c r="K358" s="2" t="s">
        <v>132</v>
      </c>
      <c r="L358" s="2" t="s">
        <v>40</v>
      </c>
      <c r="P358" s="2" t="s">
        <v>48</v>
      </c>
      <c r="Q358" s="2">
        <f>INDEX(Tables!$C$4:$C$28,MATCH($P358,Tables!$B$4:$B$28,0))</f>
        <v>32</v>
      </c>
      <c r="R358" s="2">
        <f>INDEX(Tables!$D$4:$D$28,MATCH($P358,Tables!$B$4:$B$28,0))</f>
        <v>4</v>
      </c>
      <c r="S358" s="2">
        <f>$S357+$R357+INDEX(Tables!$N$5:$Q$8,MATCH(MOD($S357+$R357,4),Tables!$M$5:$M$8,0),MATCH($R358,Tables!$N$4:$Q$4,0))</f>
        <v>1248</v>
      </c>
      <c r="T358" s="2" t="str">
        <f t="shared" si="93"/>
        <v>04E0</v>
      </c>
      <c r="U358" s="2">
        <f t="shared" si="99"/>
        <v>312</v>
      </c>
      <c r="V358" s="2" t="str">
        <f t="shared" si="94"/>
        <v>138</v>
      </c>
      <c r="W358" s="2" t="str">
        <f t="shared" si="95"/>
        <v>X</v>
      </c>
      <c r="X358" s="2" t="str">
        <f t="shared" si="98"/>
        <v>X</v>
      </c>
      <c r="Y358" s="2" t="str">
        <f t="shared" si="96"/>
        <v>X</v>
      </c>
      <c r="Z358" s="2" t="str">
        <f t="shared" si="97"/>
        <v>X</v>
      </c>
      <c r="AA358" s="2" t="str">
        <f t="shared" si="100"/>
        <v>(31 downto 24)</v>
      </c>
      <c r="AB358" s="2" t="str">
        <f t="shared" si="101"/>
        <v>(23 downto 16)</v>
      </c>
      <c r="AC358" s="2" t="str">
        <f t="shared" si="102"/>
        <v>(15 downto 8)</v>
      </c>
      <c r="AD358" s="2" t="str">
        <f t="shared" si="103"/>
        <v>(7 downto 0)</v>
      </c>
      <c r="AE358" s="2" t="str">
        <f t="shared" si="104"/>
        <v>(31 downto 24)</v>
      </c>
      <c r="AF358" s="2" t="str">
        <f t="shared" si="105"/>
        <v>(23 downto 16)</v>
      </c>
      <c r="AG358" s="2" t="str">
        <f t="shared" si="106"/>
        <v>(15 downto 8)</v>
      </c>
      <c r="AH358" s="2" t="str">
        <f t="shared" si="107"/>
        <v>(7 downto 0)</v>
      </c>
    </row>
    <row r="359" spans="2:34" x14ac:dyDescent="0.25">
      <c r="B359" s="2" t="s">
        <v>892</v>
      </c>
      <c r="C359" s="2" t="s">
        <v>141</v>
      </c>
      <c r="D359" s="2" t="s">
        <v>0</v>
      </c>
      <c r="E359" s="2" t="s">
        <v>130</v>
      </c>
      <c r="F359" s="2" t="s">
        <v>893</v>
      </c>
      <c r="G359" s="2" t="s">
        <v>894</v>
      </c>
      <c r="H359" s="2" t="s">
        <v>142</v>
      </c>
      <c r="I359" s="2" t="s">
        <v>41</v>
      </c>
      <c r="J359" s="2">
        <v>32</v>
      </c>
      <c r="K359" s="2" t="s">
        <v>132</v>
      </c>
      <c r="L359" s="2" t="s">
        <v>40</v>
      </c>
      <c r="P359" s="2" t="s">
        <v>48</v>
      </c>
      <c r="Q359" s="2">
        <f>INDEX(Tables!$C$4:$C$28,MATCH($P359,Tables!$B$4:$B$28,0))</f>
        <v>32</v>
      </c>
      <c r="R359" s="2">
        <f>INDEX(Tables!$D$4:$D$28,MATCH($P359,Tables!$B$4:$B$28,0))</f>
        <v>4</v>
      </c>
      <c r="S359" s="2">
        <f>$S358+$R358+INDEX(Tables!$N$5:$Q$8,MATCH(MOD($S358+$R358,4),Tables!$M$5:$M$8,0),MATCH($R359,Tables!$N$4:$Q$4,0))</f>
        <v>1252</v>
      </c>
      <c r="T359" s="2" t="str">
        <f t="shared" si="93"/>
        <v>04E4</v>
      </c>
      <c r="U359" s="2">
        <f t="shared" si="99"/>
        <v>313</v>
      </c>
      <c r="V359" s="2" t="str">
        <f t="shared" si="94"/>
        <v>139</v>
      </c>
      <c r="W359" s="2" t="str">
        <f t="shared" si="95"/>
        <v>X</v>
      </c>
      <c r="X359" s="2" t="str">
        <f t="shared" si="98"/>
        <v>X</v>
      </c>
      <c r="Y359" s="2" t="str">
        <f t="shared" si="96"/>
        <v>X</v>
      </c>
      <c r="Z359" s="2" t="str">
        <f t="shared" si="97"/>
        <v>X</v>
      </c>
      <c r="AA359" s="2" t="str">
        <f t="shared" si="100"/>
        <v>(31 downto 24)</v>
      </c>
      <c r="AB359" s="2" t="str">
        <f t="shared" si="101"/>
        <v>(23 downto 16)</v>
      </c>
      <c r="AC359" s="2" t="str">
        <f t="shared" si="102"/>
        <v>(15 downto 8)</v>
      </c>
      <c r="AD359" s="2" t="str">
        <f t="shared" si="103"/>
        <v>(7 downto 0)</v>
      </c>
      <c r="AE359" s="2" t="str">
        <f t="shared" si="104"/>
        <v>(31 downto 24)</v>
      </c>
      <c r="AF359" s="2" t="str">
        <f t="shared" si="105"/>
        <v>(23 downto 16)</v>
      </c>
      <c r="AG359" s="2" t="str">
        <f t="shared" si="106"/>
        <v>(15 downto 8)</v>
      </c>
      <c r="AH359" s="2" t="str">
        <f t="shared" si="107"/>
        <v>(7 downto 0)</v>
      </c>
    </row>
    <row r="360" spans="2:34" x14ac:dyDescent="0.25">
      <c r="B360" s="2" t="s">
        <v>895</v>
      </c>
      <c r="C360" s="2" t="s">
        <v>141</v>
      </c>
      <c r="D360" s="2" t="s">
        <v>0</v>
      </c>
      <c r="E360" s="2" t="s">
        <v>130</v>
      </c>
      <c r="F360" s="2" t="s">
        <v>896</v>
      </c>
      <c r="G360" s="2" t="s">
        <v>897</v>
      </c>
      <c r="H360" s="2" t="s">
        <v>142</v>
      </c>
      <c r="I360" s="2" t="s">
        <v>41</v>
      </c>
      <c r="J360" s="2">
        <v>32</v>
      </c>
      <c r="K360" s="2" t="s">
        <v>132</v>
      </c>
      <c r="L360" s="2" t="s">
        <v>40</v>
      </c>
      <c r="P360" s="2" t="s">
        <v>48</v>
      </c>
      <c r="Q360" s="2">
        <f>INDEX(Tables!$C$4:$C$28,MATCH($P360,Tables!$B$4:$B$28,0))</f>
        <v>32</v>
      </c>
      <c r="R360" s="2">
        <f>INDEX(Tables!$D$4:$D$28,MATCH($P360,Tables!$B$4:$B$28,0))</f>
        <v>4</v>
      </c>
      <c r="S360" s="2">
        <f>$S359+$R359+INDEX(Tables!$N$5:$Q$8,MATCH(MOD($S359+$R359,4),Tables!$M$5:$M$8,0),MATCH($R360,Tables!$N$4:$Q$4,0))</f>
        <v>1256</v>
      </c>
      <c r="T360" s="2" t="str">
        <f t="shared" si="93"/>
        <v>04E8</v>
      </c>
      <c r="U360" s="2">
        <f t="shared" si="99"/>
        <v>314</v>
      </c>
      <c r="V360" s="2" t="str">
        <f t="shared" si="94"/>
        <v>13A</v>
      </c>
      <c r="W360" s="2" t="str">
        <f t="shared" si="95"/>
        <v>X</v>
      </c>
      <c r="X360" s="2" t="str">
        <f t="shared" si="98"/>
        <v>X</v>
      </c>
      <c r="Y360" s="2" t="str">
        <f t="shared" si="96"/>
        <v>X</v>
      </c>
      <c r="Z360" s="2" t="str">
        <f t="shared" si="97"/>
        <v>X</v>
      </c>
      <c r="AA360" s="2" t="str">
        <f t="shared" si="100"/>
        <v>(31 downto 24)</v>
      </c>
      <c r="AB360" s="2" t="str">
        <f t="shared" si="101"/>
        <v>(23 downto 16)</v>
      </c>
      <c r="AC360" s="2" t="str">
        <f t="shared" si="102"/>
        <v>(15 downto 8)</v>
      </c>
      <c r="AD360" s="2" t="str">
        <f t="shared" si="103"/>
        <v>(7 downto 0)</v>
      </c>
      <c r="AE360" s="2" t="str">
        <f t="shared" si="104"/>
        <v>(31 downto 24)</v>
      </c>
      <c r="AF360" s="2" t="str">
        <f t="shared" si="105"/>
        <v>(23 downto 16)</v>
      </c>
      <c r="AG360" s="2" t="str">
        <f t="shared" si="106"/>
        <v>(15 downto 8)</v>
      </c>
      <c r="AH360" s="2" t="str">
        <f t="shared" si="107"/>
        <v>(7 downto 0)</v>
      </c>
    </row>
    <row r="361" spans="2:34" x14ac:dyDescent="0.25">
      <c r="B361" s="2" t="s">
        <v>898</v>
      </c>
      <c r="C361" s="2" t="s">
        <v>141</v>
      </c>
      <c r="D361" s="2" t="s">
        <v>0</v>
      </c>
      <c r="E361" s="2" t="s">
        <v>130</v>
      </c>
      <c r="F361" s="2" t="s">
        <v>899</v>
      </c>
      <c r="G361" s="2" t="s">
        <v>900</v>
      </c>
      <c r="H361" s="2" t="s">
        <v>142</v>
      </c>
      <c r="I361" s="2" t="s">
        <v>41</v>
      </c>
      <c r="J361" s="2">
        <v>32</v>
      </c>
      <c r="K361" s="2" t="s">
        <v>132</v>
      </c>
      <c r="L361" s="2" t="s">
        <v>40</v>
      </c>
      <c r="P361" s="2" t="s">
        <v>48</v>
      </c>
      <c r="Q361" s="2">
        <f>INDEX(Tables!$C$4:$C$28,MATCH($P361,Tables!$B$4:$B$28,0))</f>
        <v>32</v>
      </c>
      <c r="R361" s="2">
        <f>INDEX(Tables!$D$4:$D$28,MATCH($P361,Tables!$B$4:$B$28,0))</f>
        <v>4</v>
      </c>
      <c r="S361" s="2">
        <f>$S360+$R360+INDEX(Tables!$N$5:$Q$8,MATCH(MOD($S360+$R360,4),Tables!$M$5:$M$8,0),MATCH($R361,Tables!$N$4:$Q$4,0))</f>
        <v>1260</v>
      </c>
      <c r="T361" s="2" t="str">
        <f t="shared" si="93"/>
        <v>04EC</v>
      </c>
      <c r="U361" s="2">
        <f t="shared" si="99"/>
        <v>315</v>
      </c>
      <c r="V361" s="2" t="str">
        <f t="shared" si="94"/>
        <v>13B</v>
      </c>
      <c r="W361" s="2" t="str">
        <f t="shared" si="95"/>
        <v>X</v>
      </c>
      <c r="X361" s="2" t="str">
        <f t="shared" si="98"/>
        <v>X</v>
      </c>
      <c r="Y361" s="2" t="str">
        <f t="shared" si="96"/>
        <v>X</v>
      </c>
      <c r="Z361" s="2" t="str">
        <f t="shared" si="97"/>
        <v>X</v>
      </c>
      <c r="AA361" s="2" t="str">
        <f t="shared" si="100"/>
        <v>(31 downto 24)</v>
      </c>
      <c r="AB361" s="2" t="str">
        <f t="shared" si="101"/>
        <v>(23 downto 16)</v>
      </c>
      <c r="AC361" s="2" t="str">
        <f t="shared" si="102"/>
        <v>(15 downto 8)</v>
      </c>
      <c r="AD361" s="2" t="str">
        <f t="shared" si="103"/>
        <v>(7 downto 0)</v>
      </c>
      <c r="AE361" s="2" t="str">
        <f t="shared" si="104"/>
        <v>(31 downto 24)</v>
      </c>
      <c r="AF361" s="2" t="str">
        <f t="shared" si="105"/>
        <v>(23 downto 16)</v>
      </c>
      <c r="AG361" s="2" t="str">
        <f t="shared" si="106"/>
        <v>(15 downto 8)</v>
      </c>
      <c r="AH361" s="2" t="str">
        <f t="shared" si="107"/>
        <v>(7 downto 0)</v>
      </c>
    </row>
    <row r="362" spans="2:34" x14ac:dyDescent="0.25">
      <c r="B362" s="2" t="s">
        <v>901</v>
      </c>
      <c r="C362" s="2" t="s">
        <v>141</v>
      </c>
      <c r="D362" s="2" t="s">
        <v>0</v>
      </c>
      <c r="E362" s="2" t="s">
        <v>130</v>
      </c>
      <c r="F362" s="2" t="s">
        <v>902</v>
      </c>
      <c r="G362" s="2" t="s">
        <v>903</v>
      </c>
      <c r="H362" s="2" t="s">
        <v>142</v>
      </c>
      <c r="I362" s="2" t="s">
        <v>41</v>
      </c>
      <c r="J362" s="2">
        <v>32</v>
      </c>
      <c r="K362" s="2" t="s">
        <v>132</v>
      </c>
      <c r="L362" s="2" t="s">
        <v>40</v>
      </c>
      <c r="P362" s="2" t="s">
        <v>48</v>
      </c>
      <c r="Q362" s="2">
        <f>INDEX(Tables!$C$4:$C$28,MATCH($P362,Tables!$B$4:$B$28,0))</f>
        <v>32</v>
      </c>
      <c r="R362" s="2">
        <f>INDEX(Tables!$D$4:$D$28,MATCH($P362,Tables!$B$4:$B$28,0))</f>
        <v>4</v>
      </c>
      <c r="S362" s="2">
        <f>$S361+$R361+INDEX(Tables!$N$5:$Q$8,MATCH(MOD($S361+$R361,4),Tables!$M$5:$M$8,0),MATCH($R362,Tables!$N$4:$Q$4,0))</f>
        <v>1264</v>
      </c>
      <c r="T362" s="2" t="str">
        <f t="shared" si="93"/>
        <v>04F0</v>
      </c>
      <c r="U362" s="2">
        <f t="shared" si="99"/>
        <v>316</v>
      </c>
      <c r="V362" s="2" t="str">
        <f t="shared" si="94"/>
        <v>13C</v>
      </c>
      <c r="W362" s="2" t="str">
        <f t="shared" si="95"/>
        <v>X</v>
      </c>
      <c r="X362" s="2" t="str">
        <f t="shared" si="98"/>
        <v>X</v>
      </c>
      <c r="Y362" s="2" t="str">
        <f t="shared" si="96"/>
        <v>X</v>
      </c>
      <c r="Z362" s="2" t="str">
        <f t="shared" si="97"/>
        <v>X</v>
      </c>
      <c r="AA362" s="2" t="str">
        <f t="shared" si="100"/>
        <v>(31 downto 24)</v>
      </c>
      <c r="AB362" s="2" t="str">
        <f t="shared" si="101"/>
        <v>(23 downto 16)</v>
      </c>
      <c r="AC362" s="2" t="str">
        <f t="shared" si="102"/>
        <v>(15 downto 8)</v>
      </c>
      <c r="AD362" s="2" t="str">
        <f t="shared" si="103"/>
        <v>(7 downto 0)</v>
      </c>
      <c r="AE362" s="2" t="str">
        <f t="shared" si="104"/>
        <v>(31 downto 24)</v>
      </c>
      <c r="AF362" s="2" t="str">
        <f t="shared" si="105"/>
        <v>(23 downto 16)</v>
      </c>
      <c r="AG362" s="2" t="str">
        <f t="shared" si="106"/>
        <v>(15 downto 8)</v>
      </c>
      <c r="AH362" s="2" t="str">
        <f t="shared" si="107"/>
        <v>(7 downto 0)</v>
      </c>
    </row>
    <row r="363" spans="2:34" x14ac:dyDescent="0.25">
      <c r="B363" s="2" t="s">
        <v>904</v>
      </c>
      <c r="C363" s="2" t="s">
        <v>141</v>
      </c>
      <c r="D363" s="2" t="s">
        <v>0</v>
      </c>
      <c r="E363" s="2" t="s">
        <v>130</v>
      </c>
      <c r="F363" s="2" t="s">
        <v>905</v>
      </c>
      <c r="G363" s="2" t="s">
        <v>906</v>
      </c>
      <c r="H363" s="2" t="s">
        <v>142</v>
      </c>
      <c r="I363" s="2" t="s">
        <v>41</v>
      </c>
      <c r="J363" s="2">
        <v>32</v>
      </c>
      <c r="K363" s="2" t="s">
        <v>132</v>
      </c>
      <c r="L363" s="2" t="s">
        <v>40</v>
      </c>
      <c r="P363" s="2" t="s">
        <v>48</v>
      </c>
      <c r="Q363" s="2">
        <f>INDEX(Tables!$C$4:$C$28,MATCH($P363,Tables!$B$4:$B$28,0))</f>
        <v>32</v>
      </c>
      <c r="R363" s="2">
        <f>INDEX(Tables!$D$4:$D$28,MATCH($P363,Tables!$B$4:$B$28,0))</f>
        <v>4</v>
      </c>
      <c r="S363" s="2">
        <f>$S362+$R362+INDEX(Tables!$N$5:$Q$8,MATCH(MOD($S362+$R362,4),Tables!$M$5:$M$8,0),MATCH($R363,Tables!$N$4:$Q$4,0))</f>
        <v>1268</v>
      </c>
      <c r="T363" s="2" t="str">
        <f t="shared" si="93"/>
        <v>04F4</v>
      </c>
      <c r="U363" s="2">
        <f t="shared" si="99"/>
        <v>317</v>
      </c>
      <c r="V363" s="2" t="str">
        <f t="shared" si="94"/>
        <v>13D</v>
      </c>
      <c r="W363" s="2" t="str">
        <f t="shared" si="95"/>
        <v>X</v>
      </c>
      <c r="X363" s="2" t="str">
        <f t="shared" si="98"/>
        <v>X</v>
      </c>
      <c r="Y363" s="2" t="str">
        <f t="shared" si="96"/>
        <v>X</v>
      </c>
      <c r="Z363" s="2" t="str">
        <f t="shared" si="97"/>
        <v>X</v>
      </c>
      <c r="AA363" s="2" t="str">
        <f t="shared" si="100"/>
        <v>(31 downto 24)</v>
      </c>
      <c r="AB363" s="2" t="str">
        <f t="shared" si="101"/>
        <v>(23 downto 16)</v>
      </c>
      <c r="AC363" s="2" t="str">
        <f t="shared" si="102"/>
        <v>(15 downto 8)</v>
      </c>
      <c r="AD363" s="2" t="str">
        <f t="shared" si="103"/>
        <v>(7 downto 0)</v>
      </c>
      <c r="AE363" s="2" t="str">
        <f t="shared" si="104"/>
        <v>(31 downto 24)</v>
      </c>
      <c r="AF363" s="2" t="str">
        <f t="shared" si="105"/>
        <v>(23 downto 16)</v>
      </c>
      <c r="AG363" s="2" t="str">
        <f t="shared" si="106"/>
        <v>(15 downto 8)</v>
      </c>
      <c r="AH363" s="2" t="str">
        <f t="shared" si="107"/>
        <v>(7 downto 0)</v>
      </c>
    </row>
    <row r="364" spans="2:34" x14ac:dyDescent="0.25">
      <c r="B364" s="2" t="s">
        <v>907</v>
      </c>
      <c r="C364" s="2" t="s">
        <v>141</v>
      </c>
      <c r="D364" s="2" t="s">
        <v>0</v>
      </c>
      <c r="E364" s="2" t="s">
        <v>130</v>
      </c>
      <c r="F364" s="2" t="s">
        <v>908</v>
      </c>
      <c r="G364" s="2" t="s">
        <v>909</v>
      </c>
      <c r="H364" s="2" t="s">
        <v>142</v>
      </c>
      <c r="I364" s="2" t="s">
        <v>41</v>
      </c>
      <c r="J364" s="2">
        <v>32</v>
      </c>
      <c r="K364" s="2" t="s">
        <v>132</v>
      </c>
      <c r="L364" s="2" t="s">
        <v>40</v>
      </c>
      <c r="P364" s="2" t="s">
        <v>48</v>
      </c>
      <c r="Q364" s="2">
        <f>INDEX(Tables!$C$4:$C$28,MATCH($P364,Tables!$B$4:$B$28,0))</f>
        <v>32</v>
      </c>
      <c r="R364" s="2">
        <f>INDEX(Tables!$D$4:$D$28,MATCH($P364,Tables!$B$4:$B$28,0))</f>
        <v>4</v>
      </c>
      <c r="S364" s="2">
        <f>$S363+$R363+INDEX(Tables!$N$5:$Q$8,MATCH(MOD($S363+$R363,4),Tables!$M$5:$M$8,0),MATCH($R364,Tables!$N$4:$Q$4,0))</f>
        <v>1272</v>
      </c>
      <c r="T364" s="2" t="str">
        <f t="shared" si="93"/>
        <v>04F8</v>
      </c>
      <c r="U364" s="2">
        <f t="shared" si="99"/>
        <v>318</v>
      </c>
      <c r="V364" s="2" t="str">
        <f t="shared" si="94"/>
        <v>13E</v>
      </c>
      <c r="W364" s="2" t="str">
        <f t="shared" si="95"/>
        <v>X</v>
      </c>
      <c r="X364" s="2" t="str">
        <f t="shared" si="98"/>
        <v>X</v>
      </c>
      <c r="Y364" s="2" t="str">
        <f t="shared" si="96"/>
        <v>X</v>
      </c>
      <c r="Z364" s="2" t="str">
        <f t="shared" si="97"/>
        <v>X</v>
      </c>
      <c r="AA364" s="2" t="str">
        <f t="shared" si="100"/>
        <v>(31 downto 24)</v>
      </c>
      <c r="AB364" s="2" t="str">
        <f t="shared" si="101"/>
        <v>(23 downto 16)</v>
      </c>
      <c r="AC364" s="2" t="str">
        <f t="shared" si="102"/>
        <v>(15 downto 8)</v>
      </c>
      <c r="AD364" s="2" t="str">
        <f t="shared" si="103"/>
        <v>(7 downto 0)</v>
      </c>
      <c r="AE364" s="2" t="str">
        <f t="shared" si="104"/>
        <v>(31 downto 24)</v>
      </c>
      <c r="AF364" s="2" t="str">
        <f t="shared" si="105"/>
        <v>(23 downto 16)</v>
      </c>
      <c r="AG364" s="2" t="str">
        <f t="shared" si="106"/>
        <v>(15 downto 8)</v>
      </c>
      <c r="AH364" s="2" t="str">
        <f t="shared" si="107"/>
        <v>(7 downto 0)</v>
      </c>
    </row>
    <row r="365" spans="2:34" x14ac:dyDescent="0.25">
      <c r="B365" s="2" t="s">
        <v>910</v>
      </c>
      <c r="C365" s="2" t="s">
        <v>141</v>
      </c>
      <c r="D365" s="2" t="s">
        <v>0</v>
      </c>
      <c r="E365" s="2" t="s">
        <v>130</v>
      </c>
      <c r="F365" s="2" t="s">
        <v>911</v>
      </c>
      <c r="G365" s="2" t="s">
        <v>912</v>
      </c>
      <c r="H365" s="2" t="s">
        <v>142</v>
      </c>
      <c r="I365" s="2" t="s">
        <v>41</v>
      </c>
      <c r="J365" s="2">
        <v>32</v>
      </c>
      <c r="K365" s="2" t="s">
        <v>132</v>
      </c>
      <c r="L365" s="2" t="s">
        <v>40</v>
      </c>
      <c r="P365" s="2" t="s">
        <v>48</v>
      </c>
      <c r="Q365" s="2">
        <f>INDEX(Tables!$C$4:$C$28,MATCH($P365,Tables!$B$4:$B$28,0))</f>
        <v>32</v>
      </c>
      <c r="R365" s="2">
        <f>INDEX(Tables!$D$4:$D$28,MATCH($P365,Tables!$B$4:$B$28,0))</f>
        <v>4</v>
      </c>
      <c r="S365" s="2">
        <f>$S364+$R364+INDEX(Tables!$N$5:$Q$8,MATCH(MOD($S364+$R364,4),Tables!$M$5:$M$8,0),MATCH($R365,Tables!$N$4:$Q$4,0))</f>
        <v>1276</v>
      </c>
      <c r="T365" s="2" t="str">
        <f t="shared" si="93"/>
        <v>04FC</v>
      </c>
      <c r="U365" s="2">
        <f t="shared" si="99"/>
        <v>319</v>
      </c>
      <c r="V365" s="2" t="str">
        <f t="shared" si="94"/>
        <v>13F</v>
      </c>
      <c r="W365" s="2" t="str">
        <f t="shared" si="95"/>
        <v>X</v>
      </c>
      <c r="X365" s="2" t="str">
        <f t="shared" si="98"/>
        <v>X</v>
      </c>
      <c r="Y365" s="2" t="str">
        <f t="shared" si="96"/>
        <v>X</v>
      </c>
      <c r="Z365" s="2" t="str">
        <f t="shared" si="97"/>
        <v>X</v>
      </c>
      <c r="AA365" s="2" t="str">
        <f t="shared" si="100"/>
        <v>(31 downto 24)</v>
      </c>
      <c r="AB365" s="2" t="str">
        <f t="shared" si="101"/>
        <v>(23 downto 16)</v>
      </c>
      <c r="AC365" s="2" t="str">
        <f t="shared" si="102"/>
        <v>(15 downto 8)</v>
      </c>
      <c r="AD365" s="2" t="str">
        <f t="shared" si="103"/>
        <v>(7 downto 0)</v>
      </c>
      <c r="AE365" s="2" t="str">
        <f t="shared" si="104"/>
        <v>(31 downto 24)</v>
      </c>
      <c r="AF365" s="2" t="str">
        <f t="shared" si="105"/>
        <v>(23 downto 16)</v>
      </c>
      <c r="AG365" s="2" t="str">
        <f t="shared" si="106"/>
        <v>(15 downto 8)</v>
      </c>
      <c r="AH365" s="2" t="str">
        <f t="shared" si="107"/>
        <v>(7 downto 0)</v>
      </c>
    </row>
    <row r="366" spans="2:34" x14ac:dyDescent="0.25">
      <c r="B366" s="2" t="s">
        <v>913</v>
      </c>
      <c r="C366" s="2" t="s">
        <v>141</v>
      </c>
      <c r="D366" s="2" t="s">
        <v>0</v>
      </c>
      <c r="E366" s="2" t="s">
        <v>130</v>
      </c>
      <c r="F366" s="2" t="s">
        <v>914</v>
      </c>
      <c r="G366" s="2" t="s">
        <v>915</v>
      </c>
      <c r="H366" s="2" t="s">
        <v>142</v>
      </c>
      <c r="I366" s="2" t="s">
        <v>41</v>
      </c>
      <c r="J366" s="2">
        <v>32</v>
      </c>
      <c r="K366" s="2" t="s">
        <v>132</v>
      </c>
      <c r="L366" s="2" t="s">
        <v>40</v>
      </c>
      <c r="P366" s="2" t="s">
        <v>48</v>
      </c>
      <c r="Q366" s="2">
        <f>INDEX(Tables!$C$4:$C$28,MATCH($P366,Tables!$B$4:$B$28,0))</f>
        <v>32</v>
      </c>
      <c r="R366" s="2">
        <f>INDEX(Tables!$D$4:$D$28,MATCH($P366,Tables!$B$4:$B$28,0))</f>
        <v>4</v>
      </c>
      <c r="S366" s="2">
        <f>$S365+$R365+INDEX(Tables!$N$5:$Q$8,MATCH(MOD($S365+$R365,4),Tables!$M$5:$M$8,0),MATCH($R366,Tables!$N$4:$Q$4,0))</f>
        <v>1280</v>
      </c>
      <c r="T366" s="2" t="str">
        <f t="shared" si="93"/>
        <v>0500</v>
      </c>
      <c r="U366" s="2">
        <f t="shared" si="99"/>
        <v>320</v>
      </c>
      <c r="V366" s="2" t="str">
        <f t="shared" si="94"/>
        <v>140</v>
      </c>
      <c r="W366" s="2" t="str">
        <f t="shared" si="95"/>
        <v>X</v>
      </c>
      <c r="X366" s="2" t="str">
        <f t="shared" si="98"/>
        <v>X</v>
      </c>
      <c r="Y366" s="2" t="str">
        <f t="shared" si="96"/>
        <v>X</v>
      </c>
      <c r="Z366" s="2" t="str">
        <f t="shared" si="97"/>
        <v>X</v>
      </c>
      <c r="AA366" s="2" t="str">
        <f t="shared" si="100"/>
        <v>(31 downto 24)</v>
      </c>
      <c r="AB366" s="2" t="str">
        <f t="shared" si="101"/>
        <v>(23 downto 16)</v>
      </c>
      <c r="AC366" s="2" t="str">
        <f t="shared" si="102"/>
        <v>(15 downto 8)</v>
      </c>
      <c r="AD366" s="2" t="str">
        <f t="shared" si="103"/>
        <v>(7 downto 0)</v>
      </c>
      <c r="AE366" s="2" t="str">
        <f t="shared" si="104"/>
        <v>(31 downto 24)</v>
      </c>
      <c r="AF366" s="2" t="str">
        <f t="shared" si="105"/>
        <v>(23 downto 16)</v>
      </c>
      <c r="AG366" s="2" t="str">
        <f t="shared" si="106"/>
        <v>(15 downto 8)</v>
      </c>
      <c r="AH366" s="2" t="str">
        <f t="shared" si="107"/>
        <v>(7 downto 0)</v>
      </c>
    </row>
    <row r="367" spans="2:34" x14ac:dyDescent="0.25">
      <c r="B367" s="2" t="s">
        <v>916</v>
      </c>
      <c r="C367" s="2" t="s">
        <v>141</v>
      </c>
      <c r="D367" s="2" t="s">
        <v>0</v>
      </c>
      <c r="E367" s="2" t="s">
        <v>130</v>
      </c>
      <c r="F367" s="2" t="s">
        <v>917</v>
      </c>
      <c r="G367" s="2" t="s">
        <v>918</v>
      </c>
      <c r="H367" s="2" t="s">
        <v>142</v>
      </c>
      <c r="I367" s="2" t="s">
        <v>41</v>
      </c>
      <c r="J367" s="2">
        <v>32</v>
      </c>
      <c r="K367" s="2" t="s">
        <v>132</v>
      </c>
      <c r="L367" s="2" t="s">
        <v>40</v>
      </c>
      <c r="P367" s="2" t="s">
        <v>48</v>
      </c>
      <c r="Q367" s="2">
        <f>INDEX(Tables!$C$4:$C$28,MATCH($P367,Tables!$B$4:$B$28,0))</f>
        <v>32</v>
      </c>
      <c r="R367" s="2">
        <f>INDEX(Tables!$D$4:$D$28,MATCH($P367,Tables!$B$4:$B$28,0))</f>
        <v>4</v>
      </c>
      <c r="S367" s="2">
        <f>$S366+$R366+INDEX(Tables!$N$5:$Q$8,MATCH(MOD($S366+$R366,4),Tables!$M$5:$M$8,0),MATCH($R367,Tables!$N$4:$Q$4,0))</f>
        <v>1284</v>
      </c>
      <c r="T367" s="2" t="str">
        <f t="shared" si="93"/>
        <v>0504</v>
      </c>
      <c r="U367" s="2">
        <f t="shared" si="99"/>
        <v>321</v>
      </c>
      <c r="V367" s="2" t="str">
        <f t="shared" si="94"/>
        <v>141</v>
      </c>
      <c r="W367" s="2" t="str">
        <f t="shared" si="95"/>
        <v>X</v>
      </c>
      <c r="X367" s="2" t="str">
        <f t="shared" si="98"/>
        <v>X</v>
      </c>
      <c r="Y367" s="2" t="str">
        <f t="shared" si="96"/>
        <v>X</v>
      </c>
      <c r="Z367" s="2" t="str">
        <f t="shared" si="97"/>
        <v>X</v>
      </c>
      <c r="AA367" s="2" t="str">
        <f t="shared" si="100"/>
        <v>(31 downto 24)</v>
      </c>
      <c r="AB367" s="2" t="str">
        <f t="shared" si="101"/>
        <v>(23 downto 16)</v>
      </c>
      <c r="AC367" s="2" t="str">
        <f t="shared" si="102"/>
        <v>(15 downto 8)</v>
      </c>
      <c r="AD367" s="2" t="str">
        <f t="shared" si="103"/>
        <v>(7 downto 0)</v>
      </c>
      <c r="AE367" s="2" t="str">
        <f t="shared" si="104"/>
        <v>(31 downto 24)</v>
      </c>
      <c r="AF367" s="2" t="str">
        <f t="shared" si="105"/>
        <v>(23 downto 16)</v>
      </c>
      <c r="AG367" s="2" t="str">
        <f t="shared" si="106"/>
        <v>(15 downto 8)</v>
      </c>
      <c r="AH367" s="2" t="str">
        <f t="shared" si="107"/>
        <v>(7 downto 0)</v>
      </c>
    </row>
    <row r="368" spans="2:34" x14ac:dyDescent="0.25">
      <c r="B368" s="2" t="s">
        <v>919</v>
      </c>
      <c r="C368" s="2" t="s">
        <v>141</v>
      </c>
      <c r="D368" s="2" t="s">
        <v>0</v>
      </c>
      <c r="E368" s="2" t="s">
        <v>130</v>
      </c>
      <c r="F368" s="2" t="s">
        <v>920</v>
      </c>
      <c r="G368" s="2" t="s">
        <v>921</v>
      </c>
      <c r="H368" s="2" t="s">
        <v>142</v>
      </c>
      <c r="I368" s="2" t="s">
        <v>41</v>
      </c>
      <c r="J368" s="2">
        <v>32</v>
      </c>
      <c r="K368" s="2" t="s">
        <v>132</v>
      </c>
      <c r="L368" s="2" t="s">
        <v>40</v>
      </c>
      <c r="P368" s="2" t="s">
        <v>48</v>
      </c>
      <c r="Q368" s="2">
        <f>INDEX(Tables!$C$4:$C$28,MATCH($P368,Tables!$B$4:$B$28,0))</f>
        <v>32</v>
      </c>
      <c r="R368" s="2">
        <f>INDEX(Tables!$D$4:$D$28,MATCH($P368,Tables!$B$4:$B$28,0))</f>
        <v>4</v>
      </c>
      <c r="S368" s="2">
        <f>$S367+$R367+INDEX(Tables!$N$5:$Q$8,MATCH(MOD($S367+$R367,4),Tables!$M$5:$M$8,0),MATCH($R368,Tables!$N$4:$Q$4,0))</f>
        <v>1288</v>
      </c>
      <c r="T368" s="2" t="str">
        <f t="shared" si="93"/>
        <v>0508</v>
      </c>
      <c r="U368" s="2">
        <f t="shared" si="99"/>
        <v>322</v>
      </c>
      <c r="V368" s="2" t="str">
        <f t="shared" si="94"/>
        <v>142</v>
      </c>
      <c r="W368" s="2" t="str">
        <f t="shared" si="95"/>
        <v>X</v>
      </c>
      <c r="X368" s="2" t="str">
        <f t="shared" si="98"/>
        <v>X</v>
      </c>
      <c r="Y368" s="2" t="str">
        <f t="shared" si="96"/>
        <v>X</v>
      </c>
      <c r="Z368" s="2" t="str">
        <f t="shared" si="97"/>
        <v>X</v>
      </c>
      <c r="AA368" s="2" t="str">
        <f t="shared" si="100"/>
        <v>(31 downto 24)</v>
      </c>
      <c r="AB368" s="2" t="str">
        <f t="shared" si="101"/>
        <v>(23 downto 16)</v>
      </c>
      <c r="AC368" s="2" t="str">
        <f t="shared" si="102"/>
        <v>(15 downto 8)</v>
      </c>
      <c r="AD368" s="2" t="str">
        <f t="shared" si="103"/>
        <v>(7 downto 0)</v>
      </c>
      <c r="AE368" s="2" t="str">
        <f t="shared" si="104"/>
        <v>(31 downto 24)</v>
      </c>
      <c r="AF368" s="2" t="str">
        <f t="shared" si="105"/>
        <v>(23 downto 16)</v>
      </c>
      <c r="AG368" s="2" t="str">
        <f t="shared" si="106"/>
        <v>(15 downto 8)</v>
      </c>
      <c r="AH368" s="2" t="str">
        <f t="shared" si="107"/>
        <v>(7 downto 0)</v>
      </c>
    </row>
    <row r="369" spans="2:34" x14ac:dyDescent="0.25">
      <c r="B369" s="2" t="s">
        <v>922</v>
      </c>
      <c r="C369" s="2" t="s">
        <v>141</v>
      </c>
      <c r="D369" s="2" t="s">
        <v>0</v>
      </c>
      <c r="E369" s="2" t="s">
        <v>130</v>
      </c>
      <c r="F369" s="2" t="s">
        <v>923</v>
      </c>
      <c r="G369" s="2" t="s">
        <v>924</v>
      </c>
      <c r="H369" s="2" t="s">
        <v>142</v>
      </c>
      <c r="I369" s="2" t="s">
        <v>41</v>
      </c>
      <c r="J369" s="2">
        <v>32</v>
      </c>
      <c r="K369" s="2" t="s">
        <v>132</v>
      </c>
      <c r="L369" s="2" t="s">
        <v>40</v>
      </c>
      <c r="P369" s="2" t="s">
        <v>48</v>
      </c>
      <c r="Q369" s="2">
        <f>INDEX(Tables!$C$4:$C$28,MATCH($P369,Tables!$B$4:$B$28,0))</f>
        <v>32</v>
      </c>
      <c r="R369" s="2">
        <f>INDEX(Tables!$D$4:$D$28,MATCH($P369,Tables!$B$4:$B$28,0))</f>
        <v>4</v>
      </c>
      <c r="S369" s="2">
        <f>$S368+$R368+INDEX(Tables!$N$5:$Q$8,MATCH(MOD($S368+$R368,4),Tables!$M$5:$M$8,0),MATCH($R369,Tables!$N$4:$Q$4,0))</f>
        <v>1292</v>
      </c>
      <c r="T369" s="2" t="str">
        <f t="shared" si="93"/>
        <v>050C</v>
      </c>
      <c r="U369" s="2">
        <f t="shared" si="99"/>
        <v>323</v>
      </c>
      <c r="V369" s="2" t="str">
        <f t="shared" si="94"/>
        <v>143</v>
      </c>
      <c r="W369" s="2" t="str">
        <f t="shared" si="95"/>
        <v>X</v>
      </c>
      <c r="X369" s="2" t="str">
        <f t="shared" si="98"/>
        <v>X</v>
      </c>
      <c r="Y369" s="2" t="str">
        <f t="shared" si="96"/>
        <v>X</v>
      </c>
      <c r="Z369" s="2" t="str">
        <f t="shared" si="97"/>
        <v>X</v>
      </c>
      <c r="AA369" s="2" t="str">
        <f t="shared" si="100"/>
        <v>(31 downto 24)</v>
      </c>
      <c r="AB369" s="2" t="str">
        <f t="shared" si="101"/>
        <v>(23 downto 16)</v>
      </c>
      <c r="AC369" s="2" t="str">
        <f t="shared" si="102"/>
        <v>(15 downto 8)</v>
      </c>
      <c r="AD369" s="2" t="str">
        <f t="shared" si="103"/>
        <v>(7 downto 0)</v>
      </c>
      <c r="AE369" s="2" t="str">
        <f t="shared" si="104"/>
        <v>(31 downto 24)</v>
      </c>
      <c r="AF369" s="2" t="str">
        <f t="shared" si="105"/>
        <v>(23 downto 16)</v>
      </c>
      <c r="AG369" s="2" t="str">
        <f t="shared" si="106"/>
        <v>(15 downto 8)</v>
      </c>
      <c r="AH369" s="2" t="str">
        <f t="shared" si="107"/>
        <v>(7 downto 0)</v>
      </c>
    </row>
    <row r="370" spans="2:34" x14ac:dyDescent="0.25">
      <c r="B370" s="2" t="s">
        <v>925</v>
      </c>
      <c r="C370" s="2" t="s">
        <v>141</v>
      </c>
      <c r="D370" s="2" t="s">
        <v>0</v>
      </c>
      <c r="E370" s="2" t="s">
        <v>130</v>
      </c>
      <c r="F370" s="2" t="s">
        <v>926</v>
      </c>
      <c r="G370" s="2" t="s">
        <v>927</v>
      </c>
      <c r="H370" s="2" t="s">
        <v>142</v>
      </c>
      <c r="I370" s="2" t="s">
        <v>41</v>
      </c>
      <c r="J370" s="2">
        <v>32</v>
      </c>
      <c r="K370" s="2" t="s">
        <v>132</v>
      </c>
      <c r="L370" s="2" t="s">
        <v>40</v>
      </c>
      <c r="P370" s="2" t="s">
        <v>48</v>
      </c>
      <c r="Q370" s="2">
        <f>INDEX(Tables!$C$4:$C$28,MATCH($P370,Tables!$B$4:$B$28,0))</f>
        <v>32</v>
      </c>
      <c r="R370" s="2">
        <f>INDEX(Tables!$D$4:$D$28,MATCH($P370,Tables!$B$4:$B$28,0))</f>
        <v>4</v>
      </c>
      <c r="S370" s="2">
        <f>$S369+$R369+INDEX(Tables!$N$5:$Q$8,MATCH(MOD($S369+$R369,4),Tables!$M$5:$M$8,0),MATCH($R370,Tables!$N$4:$Q$4,0))</f>
        <v>1296</v>
      </c>
      <c r="T370" s="2" t="str">
        <f t="shared" si="93"/>
        <v>0510</v>
      </c>
      <c r="U370" s="2">
        <f t="shared" si="99"/>
        <v>324</v>
      </c>
      <c r="V370" s="2" t="str">
        <f t="shared" si="94"/>
        <v>144</v>
      </c>
      <c r="W370" s="2" t="str">
        <f t="shared" si="95"/>
        <v>X</v>
      </c>
      <c r="X370" s="2" t="str">
        <f t="shared" si="98"/>
        <v>X</v>
      </c>
      <c r="Y370" s="2" t="str">
        <f t="shared" si="96"/>
        <v>X</v>
      </c>
      <c r="Z370" s="2" t="str">
        <f t="shared" si="97"/>
        <v>X</v>
      </c>
      <c r="AA370" s="2" t="str">
        <f t="shared" si="100"/>
        <v>(31 downto 24)</v>
      </c>
      <c r="AB370" s="2" t="str">
        <f t="shared" si="101"/>
        <v>(23 downto 16)</v>
      </c>
      <c r="AC370" s="2" t="str">
        <f t="shared" si="102"/>
        <v>(15 downto 8)</v>
      </c>
      <c r="AD370" s="2" t="str">
        <f t="shared" si="103"/>
        <v>(7 downto 0)</v>
      </c>
      <c r="AE370" s="2" t="str">
        <f t="shared" si="104"/>
        <v>(31 downto 24)</v>
      </c>
      <c r="AF370" s="2" t="str">
        <f t="shared" si="105"/>
        <v>(23 downto 16)</v>
      </c>
      <c r="AG370" s="2" t="str">
        <f t="shared" si="106"/>
        <v>(15 downto 8)</v>
      </c>
      <c r="AH370" s="2" t="str">
        <f t="shared" si="107"/>
        <v>(7 downto 0)</v>
      </c>
    </row>
    <row r="371" spans="2:34" x14ac:dyDescent="0.25">
      <c r="B371" s="2" t="s">
        <v>928</v>
      </c>
      <c r="C371" s="2" t="s">
        <v>141</v>
      </c>
      <c r="D371" s="2" t="s">
        <v>0</v>
      </c>
      <c r="E371" s="2" t="s">
        <v>130</v>
      </c>
      <c r="F371" s="2" t="s">
        <v>929</v>
      </c>
      <c r="G371" s="2" t="s">
        <v>930</v>
      </c>
      <c r="H371" s="2" t="s">
        <v>142</v>
      </c>
      <c r="I371" s="2" t="s">
        <v>41</v>
      </c>
      <c r="J371" s="2">
        <v>32</v>
      </c>
      <c r="K371" s="2" t="s">
        <v>132</v>
      </c>
      <c r="L371" s="2" t="s">
        <v>40</v>
      </c>
      <c r="P371" s="2" t="s">
        <v>48</v>
      </c>
      <c r="Q371" s="2">
        <f>INDEX(Tables!$C$4:$C$28,MATCH($P371,Tables!$B$4:$B$28,0))</f>
        <v>32</v>
      </c>
      <c r="R371" s="2">
        <f>INDEX(Tables!$D$4:$D$28,MATCH($P371,Tables!$B$4:$B$28,0))</f>
        <v>4</v>
      </c>
      <c r="S371" s="2">
        <f>$S370+$R370+INDEX(Tables!$N$5:$Q$8,MATCH(MOD($S370+$R370,4),Tables!$M$5:$M$8,0),MATCH($R371,Tables!$N$4:$Q$4,0))</f>
        <v>1300</v>
      </c>
      <c r="T371" s="2" t="str">
        <f t="shared" si="93"/>
        <v>0514</v>
      </c>
      <c r="U371" s="2">
        <f t="shared" si="99"/>
        <v>325</v>
      </c>
      <c r="V371" s="2" t="str">
        <f t="shared" si="94"/>
        <v>145</v>
      </c>
      <c r="W371" s="2" t="str">
        <f t="shared" si="95"/>
        <v>X</v>
      </c>
      <c r="X371" s="2" t="str">
        <f t="shared" si="98"/>
        <v>X</v>
      </c>
      <c r="Y371" s="2" t="str">
        <f t="shared" si="96"/>
        <v>X</v>
      </c>
      <c r="Z371" s="2" t="str">
        <f t="shared" si="97"/>
        <v>X</v>
      </c>
      <c r="AA371" s="2" t="str">
        <f t="shared" si="100"/>
        <v>(31 downto 24)</v>
      </c>
      <c r="AB371" s="2" t="str">
        <f t="shared" si="101"/>
        <v>(23 downto 16)</v>
      </c>
      <c r="AC371" s="2" t="str">
        <f t="shared" si="102"/>
        <v>(15 downto 8)</v>
      </c>
      <c r="AD371" s="2" t="str">
        <f t="shared" si="103"/>
        <v>(7 downto 0)</v>
      </c>
      <c r="AE371" s="2" t="str">
        <f t="shared" si="104"/>
        <v>(31 downto 24)</v>
      </c>
      <c r="AF371" s="2" t="str">
        <f t="shared" si="105"/>
        <v>(23 downto 16)</v>
      </c>
      <c r="AG371" s="2" t="str">
        <f t="shared" si="106"/>
        <v>(15 downto 8)</v>
      </c>
      <c r="AH371" s="2" t="str">
        <f t="shared" si="107"/>
        <v>(7 downto 0)</v>
      </c>
    </row>
    <row r="372" spans="2:34" x14ac:dyDescent="0.25">
      <c r="B372" s="2" t="s">
        <v>931</v>
      </c>
      <c r="C372" s="2" t="s">
        <v>141</v>
      </c>
      <c r="D372" s="2" t="s">
        <v>0</v>
      </c>
      <c r="E372" s="2" t="s">
        <v>130</v>
      </c>
      <c r="F372" s="2" t="s">
        <v>932</v>
      </c>
      <c r="G372" s="2" t="s">
        <v>933</v>
      </c>
      <c r="H372" s="2" t="s">
        <v>142</v>
      </c>
      <c r="I372" s="2" t="s">
        <v>41</v>
      </c>
      <c r="J372" s="2">
        <v>32</v>
      </c>
      <c r="K372" s="2" t="s">
        <v>132</v>
      </c>
      <c r="L372" s="2" t="s">
        <v>40</v>
      </c>
      <c r="P372" s="2" t="s">
        <v>48</v>
      </c>
      <c r="Q372" s="2">
        <f>INDEX(Tables!$C$4:$C$28,MATCH($P372,Tables!$B$4:$B$28,0))</f>
        <v>32</v>
      </c>
      <c r="R372" s="2">
        <f>INDEX(Tables!$D$4:$D$28,MATCH($P372,Tables!$B$4:$B$28,0))</f>
        <v>4</v>
      </c>
      <c r="S372" s="2">
        <f>$S371+$R371+INDEX(Tables!$N$5:$Q$8,MATCH(MOD($S371+$R371,4),Tables!$M$5:$M$8,0),MATCH($R372,Tables!$N$4:$Q$4,0))</f>
        <v>1304</v>
      </c>
      <c r="T372" s="2" t="str">
        <f t="shared" si="93"/>
        <v>0518</v>
      </c>
      <c r="U372" s="2">
        <f t="shared" si="99"/>
        <v>326</v>
      </c>
      <c r="V372" s="2" t="str">
        <f t="shared" si="94"/>
        <v>146</v>
      </c>
      <c r="W372" s="2" t="str">
        <f t="shared" si="95"/>
        <v>X</v>
      </c>
      <c r="X372" s="2" t="str">
        <f t="shared" si="98"/>
        <v>X</v>
      </c>
      <c r="Y372" s="2" t="str">
        <f t="shared" si="96"/>
        <v>X</v>
      </c>
      <c r="Z372" s="2" t="str">
        <f t="shared" si="97"/>
        <v>X</v>
      </c>
      <c r="AA372" s="2" t="str">
        <f t="shared" si="100"/>
        <v>(31 downto 24)</v>
      </c>
      <c r="AB372" s="2" t="str">
        <f t="shared" si="101"/>
        <v>(23 downto 16)</v>
      </c>
      <c r="AC372" s="2" t="str">
        <f t="shared" si="102"/>
        <v>(15 downto 8)</v>
      </c>
      <c r="AD372" s="2" t="str">
        <f t="shared" si="103"/>
        <v>(7 downto 0)</v>
      </c>
      <c r="AE372" s="2" t="str">
        <f t="shared" si="104"/>
        <v>(31 downto 24)</v>
      </c>
      <c r="AF372" s="2" t="str">
        <f t="shared" si="105"/>
        <v>(23 downto 16)</v>
      </c>
      <c r="AG372" s="2" t="str">
        <f t="shared" si="106"/>
        <v>(15 downto 8)</v>
      </c>
      <c r="AH372" s="2" t="str">
        <f t="shared" si="107"/>
        <v>(7 downto 0)</v>
      </c>
    </row>
    <row r="373" spans="2:34" x14ac:dyDescent="0.25">
      <c r="B373" s="2" t="s">
        <v>934</v>
      </c>
      <c r="C373" s="2" t="s">
        <v>141</v>
      </c>
      <c r="D373" s="2" t="s">
        <v>0</v>
      </c>
      <c r="E373" s="2" t="s">
        <v>130</v>
      </c>
      <c r="F373" s="2" t="s">
        <v>935</v>
      </c>
      <c r="G373" s="2" t="s">
        <v>936</v>
      </c>
      <c r="H373" s="2" t="s">
        <v>142</v>
      </c>
      <c r="I373" s="2" t="s">
        <v>41</v>
      </c>
      <c r="J373" s="2">
        <v>32</v>
      </c>
      <c r="K373" s="2" t="s">
        <v>132</v>
      </c>
      <c r="L373" s="2" t="s">
        <v>40</v>
      </c>
      <c r="P373" s="2" t="s">
        <v>48</v>
      </c>
      <c r="Q373" s="2">
        <f>INDEX(Tables!$C$4:$C$28,MATCH($P373,Tables!$B$4:$B$28,0))</f>
        <v>32</v>
      </c>
      <c r="R373" s="2">
        <f>INDEX(Tables!$D$4:$D$28,MATCH($P373,Tables!$B$4:$B$28,0))</f>
        <v>4</v>
      </c>
      <c r="S373" s="2">
        <f>$S372+$R372+INDEX(Tables!$N$5:$Q$8,MATCH(MOD($S372+$R372,4),Tables!$M$5:$M$8,0),MATCH($R373,Tables!$N$4:$Q$4,0))</f>
        <v>1308</v>
      </c>
      <c r="T373" s="2" t="str">
        <f t="shared" si="93"/>
        <v>051C</v>
      </c>
      <c r="U373" s="2">
        <f t="shared" si="99"/>
        <v>327</v>
      </c>
      <c r="V373" s="2" t="str">
        <f t="shared" si="94"/>
        <v>147</v>
      </c>
      <c r="W373" s="2" t="str">
        <f t="shared" si="95"/>
        <v>X</v>
      </c>
      <c r="X373" s="2" t="str">
        <f t="shared" si="98"/>
        <v>X</v>
      </c>
      <c r="Y373" s="2" t="str">
        <f t="shared" si="96"/>
        <v>X</v>
      </c>
      <c r="Z373" s="2" t="str">
        <f t="shared" si="97"/>
        <v>X</v>
      </c>
      <c r="AA373" s="2" t="str">
        <f t="shared" si="100"/>
        <v>(31 downto 24)</v>
      </c>
      <c r="AB373" s="2" t="str">
        <f t="shared" si="101"/>
        <v>(23 downto 16)</v>
      </c>
      <c r="AC373" s="2" t="str">
        <f t="shared" si="102"/>
        <v>(15 downto 8)</v>
      </c>
      <c r="AD373" s="2" t="str">
        <f t="shared" si="103"/>
        <v>(7 downto 0)</v>
      </c>
      <c r="AE373" s="2" t="str">
        <f t="shared" si="104"/>
        <v>(31 downto 24)</v>
      </c>
      <c r="AF373" s="2" t="str">
        <f t="shared" si="105"/>
        <v>(23 downto 16)</v>
      </c>
      <c r="AG373" s="2" t="str">
        <f t="shared" si="106"/>
        <v>(15 downto 8)</v>
      </c>
      <c r="AH373" s="2" t="str">
        <f t="shared" si="107"/>
        <v>(7 downto 0)</v>
      </c>
    </row>
    <row r="374" spans="2:34" x14ac:dyDescent="0.25">
      <c r="B374" s="2" t="s">
        <v>937</v>
      </c>
      <c r="C374" s="2" t="s">
        <v>141</v>
      </c>
      <c r="D374" s="2" t="s">
        <v>0</v>
      </c>
      <c r="E374" s="2" t="s">
        <v>130</v>
      </c>
      <c r="F374" s="2" t="s">
        <v>938</v>
      </c>
      <c r="G374" s="2" t="s">
        <v>939</v>
      </c>
      <c r="H374" s="2" t="s">
        <v>142</v>
      </c>
      <c r="I374" s="2" t="s">
        <v>41</v>
      </c>
      <c r="J374" s="2">
        <v>32</v>
      </c>
      <c r="K374" s="2" t="s">
        <v>132</v>
      </c>
      <c r="L374" s="2" t="s">
        <v>40</v>
      </c>
      <c r="P374" s="2" t="s">
        <v>48</v>
      </c>
      <c r="Q374" s="2">
        <f>INDEX(Tables!$C$4:$C$28,MATCH($P374,Tables!$B$4:$B$28,0))</f>
        <v>32</v>
      </c>
      <c r="R374" s="2">
        <f>INDEX(Tables!$D$4:$D$28,MATCH($P374,Tables!$B$4:$B$28,0))</f>
        <v>4</v>
      </c>
      <c r="S374" s="2">
        <f>$S373+$R373+INDEX(Tables!$N$5:$Q$8,MATCH(MOD($S373+$R373,4),Tables!$M$5:$M$8,0),MATCH($R374,Tables!$N$4:$Q$4,0))</f>
        <v>1312</v>
      </c>
      <c r="T374" s="2" t="str">
        <f t="shared" si="93"/>
        <v>0520</v>
      </c>
      <c r="U374" s="2">
        <f t="shared" si="99"/>
        <v>328</v>
      </c>
      <c r="V374" s="2" t="str">
        <f t="shared" si="94"/>
        <v>148</v>
      </c>
      <c r="W374" s="2" t="str">
        <f t="shared" si="95"/>
        <v>X</v>
      </c>
      <c r="X374" s="2" t="str">
        <f t="shared" si="98"/>
        <v>X</v>
      </c>
      <c r="Y374" s="2" t="str">
        <f t="shared" si="96"/>
        <v>X</v>
      </c>
      <c r="Z374" s="2" t="str">
        <f t="shared" si="97"/>
        <v>X</v>
      </c>
      <c r="AA374" s="2" t="str">
        <f t="shared" si="100"/>
        <v>(31 downto 24)</v>
      </c>
      <c r="AB374" s="2" t="str">
        <f t="shared" si="101"/>
        <v>(23 downto 16)</v>
      </c>
      <c r="AC374" s="2" t="str">
        <f t="shared" si="102"/>
        <v>(15 downto 8)</v>
      </c>
      <c r="AD374" s="2" t="str">
        <f t="shared" si="103"/>
        <v>(7 downto 0)</v>
      </c>
      <c r="AE374" s="2" t="str">
        <f t="shared" si="104"/>
        <v>(31 downto 24)</v>
      </c>
      <c r="AF374" s="2" t="str">
        <f t="shared" si="105"/>
        <v>(23 downto 16)</v>
      </c>
      <c r="AG374" s="2" t="str">
        <f t="shared" si="106"/>
        <v>(15 downto 8)</v>
      </c>
      <c r="AH374" s="2" t="str">
        <f t="shared" si="107"/>
        <v>(7 downto 0)</v>
      </c>
    </row>
    <row r="375" spans="2:34" x14ac:dyDescent="0.25">
      <c r="B375" s="2" t="s">
        <v>940</v>
      </c>
      <c r="C375" s="2" t="s">
        <v>141</v>
      </c>
      <c r="D375" s="2" t="s">
        <v>0</v>
      </c>
      <c r="E375" s="2" t="s">
        <v>130</v>
      </c>
      <c r="F375" s="2" t="s">
        <v>941</v>
      </c>
      <c r="G375" s="2" t="s">
        <v>942</v>
      </c>
      <c r="H375" s="2" t="s">
        <v>142</v>
      </c>
      <c r="I375" s="2" t="s">
        <v>41</v>
      </c>
      <c r="J375" s="2">
        <v>32</v>
      </c>
      <c r="K375" s="2" t="s">
        <v>132</v>
      </c>
      <c r="L375" s="2" t="s">
        <v>40</v>
      </c>
      <c r="P375" s="2" t="s">
        <v>48</v>
      </c>
      <c r="Q375" s="2">
        <f>INDEX(Tables!$C$4:$C$28,MATCH($P375,Tables!$B$4:$B$28,0))</f>
        <v>32</v>
      </c>
      <c r="R375" s="2">
        <f>INDEX(Tables!$D$4:$D$28,MATCH($P375,Tables!$B$4:$B$28,0))</f>
        <v>4</v>
      </c>
      <c r="S375" s="2">
        <f>$S374+$R374+INDEX(Tables!$N$5:$Q$8,MATCH(MOD($S374+$R374,4),Tables!$M$5:$M$8,0),MATCH($R375,Tables!$N$4:$Q$4,0))</f>
        <v>1316</v>
      </c>
      <c r="T375" s="2" t="str">
        <f t="shared" si="93"/>
        <v>0524</v>
      </c>
      <c r="U375" s="2">
        <f t="shared" si="99"/>
        <v>329</v>
      </c>
      <c r="V375" s="2" t="str">
        <f t="shared" si="94"/>
        <v>149</v>
      </c>
      <c r="W375" s="2" t="str">
        <f t="shared" si="95"/>
        <v>X</v>
      </c>
      <c r="X375" s="2" t="str">
        <f t="shared" si="98"/>
        <v>X</v>
      </c>
      <c r="Y375" s="2" t="str">
        <f t="shared" si="96"/>
        <v>X</v>
      </c>
      <c r="Z375" s="2" t="str">
        <f t="shared" si="97"/>
        <v>X</v>
      </c>
      <c r="AA375" s="2" t="str">
        <f t="shared" si="100"/>
        <v>(31 downto 24)</v>
      </c>
      <c r="AB375" s="2" t="str">
        <f t="shared" si="101"/>
        <v>(23 downto 16)</v>
      </c>
      <c r="AC375" s="2" t="str">
        <f t="shared" si="102"/>
        <v>(15 downto 8)</v>
      </c>
      <c r="AD375" s="2" t="str">
        <f t="shared" si="103"/>
        <v>(7 downto 0)</v>
      </c>
      <c r="AE375" s="2" t="str">
        <f t="shared" si="104"/>
        <v>(31 downto 24)</v>
      </c>
      <c r="AF375" s="2" t="str">
        <f t="shared" si="105"/>
        <v>(23 downto 16)</v>
      </c>
      <c r="AG375" s="2" t="str">
        <f t="shared" si="106"/>
        <v>(15 downto 8)</v>
      </c>
      <c r="AH375" s="2" t="str">
        <f t="shared" si="107"/>
        <v>(7 downto 0)</v>
      </c>
    </row>
    <row r="376" spans="2:34" x14ac:dyDescent="0.25">
      <c r="B376" s="2" t="s">
        <v>943</v>
      </c>
      <c r="C376" s="2" t="s">
        <v>141</v>
      </c>
      <c r="D376" s="2" t="s">
        <v>0</v>
      </c>
      <c r="E376" s="2" t="s">
        <v>130</v>
      </c>
      <c r="F376" s="2" t="s">
        <v>944</v>
      </c>
      <c r="G376" s="2" t="s">
        <v>945</v>
      </c>
      <c r="H376" s="2" t="s">
        <v>142</v>
      </c>
      <c r="I376" s="2" t="s">
        <v>41</v>
      </c>
      <c r="J376" s="2">
        <v>32</v>
      </c>
      <c r="K376" s="2" t="s">
        <v>132</v>
      </c>
      <c r="L376" s="2" t="s">
        <v>40</v>
      </c>
      <c r="P376" s="2" t="s">
        <v>48</v>
      </c>
      <c r="Q376" s="2">
        <f>INDEX(Tables!$C$4:$C$28,MATCH($P376,Tables!$B$4:$B$28,0))</f>
        <v>32</v>
      </c>
      <c r="R376" s="2">
        <f>INDEX(Tables!$D$4:$D$28,MATCH($P376,Tables!$B$4:$B$28,0))</f>
        <v>4</v>
      </c>
      <c r="S376" s="2">
        <f>$S375+$R375+INDEX(Tables!$N$5:$Q$8,MATCH(MOD($S375+$R375,4),Tables!$M$5:$M$8,0),MATCH($R376,Tables!$N$4:$Q$4,0))</f>
        <v>1320</v>
      </c>
      <c r="T376" s="2" t="str">
        <f t="shared" si="93"/>
        <v>0528</v>
      </c>
      <c r="U376" s="2">
        <f t="shared" si="99"/>
        <v>330</v>
      </c>
      <c r="V376" s="2" t="str">
        <f t="shared" si="94"/>
        <v>14A</v>
      </c>
      <c r="W376" s="2" t="str">
        <f t="shared" si="95"/>
        <v>X</v>
      </c>
      <c r="X376" s="2" t="str">
        <f t="shared" si="98"/>
        <v>X</v>
      </c>
      <c r="Y376" s="2" t="str">
        <f t="shared" si="96"/>
        <v>X</v>
      </c>
      <c r="Z376" s="2" t="str">
        <f t="shared" si="97"/>
        <v>X</v>
      </c>
      <c r="AA376" s="2" t="str">
        <f t="shared" si="100"/>
        <v>(31 downto 24)</v>
      </c>
      <c r="AB376" s="2" t="str">
        <f t="shared" si="101"/>
        <v>(23 downto 16)</v>
      </c>
      <c r="AC376" s="2" t="str">
        <f t="shared" si="102"/>
        <v>(15 downto 8)</v>
      </c>
      <c r="AD376" s="2" t="str">
        <f t="shared" si="103"/>
        <v>(7 downto 0)</v>
      </c>
      <c r="AE376" s="2" t="str">
        <f t="shared" si="104"/>
        <v>(31 downto 24)</v>
      </c>
      <c r="AF376" s="2" t="str">
        <f t="shared" si="105"/>
        <v>(23 downto 16)</v>
      </c>
      <c r="AG376" s="2" t="str">
        <f t="shared" si="106"/>
        <v>(15 downto 8)</v>
      </c>
      <c r="AH376" s="2" t="str">
        <f t="shared" si="107"/>
        <v>(7 downto 0)</v>
      </c>
    </row>
    <row r="377" spans="2:34" x14ac:dyDescent="0.25">
      <c r="B377" s="2" t="s">
        <v>946</v>
      </c>
      <c r="C377" s="2" t="s">
        <v>141</v>
      </c>
      <c r="D377" s="2" t="s">
        <v>0</v>
      </c>
      <c r="E377" s="2" t="s">
        <v>130</v>
      </c>
      <c r="F377" s="2" t="s">
        <v>947</v>
      </c>
      <c r="G377" s="2" t="s">
        <v>948</v>
      </c>
      <c r="H377" s="2" t="s">
        <v>142</v>
      </c>
      <c r="I377" s="2" t="s">
        <v>41</v>
      </c>
      <c r="J377" s="2">
        <v>32</v>
      </c>
      <c r="K377" s="2" t="s">
        <v>132</v>
      </c>
      <c r="L377" s="2" t="s">
        <v>40</v>
      </c>
      <c r="P377" s="2" t="s">
        <v>48</v>
      </c>
      <c r="Q377" s="2">
        <f>INDEX(Tables!$C$4:$C$28,MATCH($P377,Tables!$B$4:$B$28,0))</f>
        <v>32</v>
      </c>
      <c r="R377" s="2">
        <f>INDEX(Tables!$D$4:$D$28,MATCH($P377,Tables!$B$4:$B$28,0))</f>
        <v>4</v>
      </c>
      <c r="S377" s="2">
        <f>$S376+$R376+INDEX(Tables!$N$5:$Q$8,MATCH(MOD($S376+$R376,4),Tables!$M$5:$M$8,0),MATCH($R377,Tables!$N$4:$Q$4,0))</f>
        <v>1324</v>
      </c>
      <c r="T377" s="2" t="str">
        <f t="shared" si="93"/>
        <v>052C</v>
      </c>
      <c r="U377" s="2">
        <f t="shared" si="99"/>
        <v>331</v>
      </c>
      <c r="V377" s="2" t="str">
        <f t="shared" si="94"/>
        <v>14B</v>
      </c>
      <c r="W377" s="2" t="str">
        <f t="shared" si="95"/>
        <v>X</v>
      </c>
      <c r="X377" s="2" t="str">
        <f t="shared" si="98"/>
        <v>X</v>
      </c>
      <c r="Y377" s="2" t="str">
        <f t="shared" si="96"/>
        <v>X</v>
      </c>
      <c r="Z377" s="2" t="str">
        <f t="shared" si="97"/>
        <v>X</v>
      </c>
      <c r="AA377" s="2" t="str">
        <f t="shared" si="100"/>
        <v>(31 downto 24)</v>
      </c>
      <c r="AB377" s="2" t="str">
        <f t="shared" si="101"/>
        <v>(23 downto 16)</v>
      </c>
      <c r="AC377" s="2" t="str">
        <f t="shared" si="102"/>
        <v>(15 downto 8)</v>
      </c>
      <c r="AD377" s="2" t="str">
        <f t="shared" si="103"/>
        <v>(7 downto 0)</v>
      </c>
      <c r="AE377" s="2" t="str">
        <f t="shared" si="104"/>
        <v>(31 downto 24)</v>
      </c>
      <c r="AF377" s="2" t="str">
        <f t="shared" si="105"/>
        <v>(23 downto 16)</v>
      </c>
      <c r="AG377" s="2" t="str">
        <f t="shared" si="106"/>
        <v>(15 downto 8)</v>
      </c>
      <c r="AH377" s="2" t="str">
        <f t="shared" si="107"/>
        <v>(7 downto 0)</v>
      </c>
    </row>
    <row r="378" spans="2:34" x14ac:dyDescent="0.25">
      <c r="B378" s="2" t="s">
        <v>949</v>
      </c>
      <c r="C378" s="2" t="s">
        <v>141</v>
      </c>
      <c r="D378" s="2" t="s">
        <v>0</v>
      </c>
      <c r="E378" s="2" t="s">
        <v>130</v>
      </c>
      <c r="F378" s="2" t="s">
        <v>950</v>
      </c>
      <c r="G378" s="2" t="s">
        <v>951</v>
      </c>
      <c r="H378" s="2" t="s">
        <v>142</v>
      </c>
      <c r="I378" s="2" t="s">
        <v>41</v>
      </c>
      <c r="J378" s="2">
        <v>32</v>
      </c>
      <c r="K378" s="2" t="s">
        <v>132</v>
      </c>
      <c r="L378" s="2" t="s">
        <v>40</v>
      </c>
      <c r="P378" s="2" t="s">
        <v>48</v>
      </c>
      <c r="Q378" s="2">
        <f>INDEX(Tables!$C$4:$C$28,MATCH($P378,Tables!$B$4:$B$28,0))</f>
        <v>32</v>
      </c>
      <c r="R378" s="2">
        <f>INDEX(Tables!$D$4:$D$28,MATCH($P378,Tables!$B$4:$B$28,0))</f>
        <v>4</v>
      </c>
      <c r="S378" s="2">
        <f>$S377+$R377+INDEX(Tables!$N$5:$Q$8,MATCH(MOD($S377+$R377,4),Tables!$M$5:$M$8,0),MATCH($R378,Tables!$N$4:$Q$4,0))</f>
        <v>1328</v>
      </c>
      <c r="T378" s="2" t="str">
        <f t="shared" si="93"/>
        <v>0530</v>
      </c>
      <c r="U378" s="2">
        <f t="shared" si="99"/>
        <v>332</v>
      </c>
      <c r="V378" s="2" t="str">
        <f t="shared" si="94"/>
        <v>14C</v>
      </c>
      <c r="W378" s="2" t="str">
        <f t="shared" si="95"/>
        <v>X</v>
      </c>
      <c r="X378" s="2" t="str">
        <f t="shared" si="98"/>
        <v>X</v>
      </c>
      <c r="Y378" s="2" t="str">
        <f t="shared" si="96"/>
        <v>X</v>
      </c>
      <c r="Z378" s="2" t="str">
        <f t="shared" si="97"/>
        <v>X</v>
      </c>
      <c r="AA378" s="2" t="str">
        <f t="shared" si="100"/>
        <v>(31 downto 24)</v>
      </c>
      <c r="AB378" s="2" t="str">
        <f t="shared" si="101"/>
        <v>(23 downto 16)</v>
      </c>
      <c r="AC378" s="2" t="str">
        <f t="shared" si="102"/>
        <v>(15 downto 8)</v>
      </c>
      <c r="AD378" s="2" t="str">
        <f t="shared" si="103"/>
        <v>(7 downto 0)</v>
      </c>
      <c r="AE378" s="2" t="str">
        <f t="shared" si="104"/>
        <v>(31 downto 24)</v>
      </c>
      <c r="AF378" s="2" t="str">
        <f t="shared" si="105"/>
        <v>(23 downto 16)</v>
      </c>
      <c r="AG378" s="2" t="str">
        <f t="shared" si="106"/>
        <v>(15 downto 8)</v>
      </c>
      <c r="AH378" s="2" t="str">
        <f t="shared" si="107"/>
        <v>(7 downto 0)</v>
      </c>
    </row>
    <row r="379" spans="2:34" x14ac:dyDescent="0.25">
      <c r="B379" s="2" t="s">
        <v>952</v>
      </c>
      <c r="C379" s="2" t="s">
        <v>141</v>
      </c>
      <c r="D379" s="2" t="s">
        <v>0</v>
      </c>
      <c r="E379" s="2" t="s">
        <v>130</v>
      </c>
      <c r="F379" s="2" t="s">
        <v>953</v>
      </c>
      <c r="G379" s="2" t="s">
        <v>954</v>
      </c>
      <c r="H379" s="2" t="s">
        <v>142</v>
      </c>
      <c r="I379" s="2" t="s">
        <v>41</v>
      </c>
      <c r="J379" s="2">
        <v>32</v>
      </c>
      <c r="K379" s="2" t="s">
        <v>132</v>
      </c>
      <c r="L379" s="2" t="s">
        <v>40</v>
      </c>
      <c r="P379" s="2" t="s">
        <v>48</v>
      </c>
      <c r="Q379" s="2">
        <f>INDEX(Tables!$C$4:$C$28,MATCH($P379,Tables!$B$4:$B$28,0))</f>
        <v>32</v>
      </c>
      <c r="R379" s="2">
        <f>INDEX(Tables!$D$4:$D$28,MATCH($P379,Tables!$B$4:$B$28,0))</f>
        <v>4</v>
      </c>
      <c r="S379" s="2">
        <f>$S378+$R378+INDEX(Tables!$N$5:$Q$8,MATCH(MOD($S378+$R378,4),Tables!$M$5:$M$8,0),MATCH($R379,Tables!$N$4:$Q$4,0))</f>
        <v>1332</v>
      </c>
      <c r="T379" s="2" t="str">
        <f t="shared" si="93"/>
        <v>0534</v>
      </c>
      <c r="U379" s="2">
        <f t="shared" si="99"/>
        <v>333</v>
      </c>
      <c r="V379" s="2" t="str">
        <f t="shared" si="94"/>
        <v>14D</v>
      </c>
      <c r="W379" s="2" t="str">
        <f t="shared" si="95"/>
        <v>X</v>
      </c>
      <c r="X379" s="2" t="str">
        <f t="shared" si="98"/>
        <v>X</v>
      </c>
      <c r="Y379" s="2" t="str">
        <f t="shared" si="96"/>
        <v>X</v>
      </c>
      <c r="Z379" s="2" t="str">
        <f t="shared" si="97"/>
        <v>X</v>
      </c>
      <c r="AA379" s="2" t="str">
        <f t="shared" si="100"/>
        <v>(31 downto 24)</v>
      </c>
      <c r="AB379" s="2" t="str">
        <f t="shared" si="101"/>
        <v>(23 downto 16)</v>
      </c>
      <c r="AC379" s="2" t="str">
        <f t="shared" si="102"/>
        <v>(15 downto 8)</v>
      </c>
      <c r="AD379" s="2" t="str">
        <f t="shared" si="103"/>
        <v>(7 downto 0)</v>
      </c>
      <c r="AE379" s="2" t="str">
        <f t="shared" si="104"/>
        <v>(31 downto 24)</v>
      </c>
      <c r="AF379" s="2" t="str">
        <f t="shared" si="105"/>
        <v>(23 downto 16)</v>
      </c>
      <c r="AG379" s="2" t="str">
        <f t="shared" si="106"/>
        <v>(15 downto 8)</v>
      </c>
      <c r="AH379" s="2" t="str">
        <f t="shared" si="107"/>
        <v>(7 downto 0)</v>
      </c>
    </row>
    <row r="380" spans="2:34" x14ac:dyDescent="0.25">
      <c r="B380" s="2" t="s">
        <v>955</v>
      </c>
      <c r="C380" s="2" t="s">
        <v>141</v>
      </c>
      <c r="D380" s="2" t="s">
        <v>0</v>
      </c>
      <c r="E380" s="2" t="s">
        <v>130</v>
      </c>
      <c r="F380" s="2" t="s">
        <v>956</v>
      </c>
      <c r="G380" s="2" t="s">
        <v>957</v>
      </c>
      <c r="H380" s="2" t="s">
        <v>142</v>
      </c>
      <c r="I380" s="2" t="s">
        <v>41</v>
      </c>
      <c r="J380" s="2">
        <v>32</v>
      </c>
      <c r="K380" s="2" t="s">
        <v>132</v>
      </c>
      <c r="L380" s="2" t="s">
        <v>40</v>
      </c>
      <c r="P380" s="2" t="s">
        <v>48</v>
      </c>
      <c r="Q380" s="2">
        <f>INDEX(Tables!$C$4:$C$28,MATCH($P380,Tables!$B$4:$B$28,0))</f>
        <v>32</v>
      </c>
      <c r="R380" s="2">
        <f>INDEX(Tables!$D$4:$D$28,MATCH($P380,Tables!$B$4:$B$28,0))</f>
        <v>4</v>
      </c>
      <c r="S380" s="2">
        <f>$S379+$R379+INDEX(Tables!$N$5:$Q$8,MATCH(MOD($S379+$R379,4),Tables!$M$5:$M$8,0),MATCH($R380,Tables!$N$4:$Q$4,0))</f>
        <v>1336</v>
      </c>
      <c r="T380" s="2" t="str">
        <f t="shared" si="93"/>
        <v>0538</v>
      </c>
      <c r="U380" s="2">
        <f t="shared" si="99"/>
        <v>334</v>
      </c>
      <c r="V380" s="2" t="str">
        <f t="shared" si="94"/>
        <v>14E</v>
      </c>
      <c r="W380" s="2" t="str">
        <f t="shared" si="95"/>
        <v>X</v>
      </c>
      <c r="X380" s="2" t="str">
        <f t="shared" si="98"/>
        <v>X</v>
      </c>
      <c r="Y380" s="2" t="str">
        <f t="shared" si="96"/>
        <v>X</v>
      </c>
      <c r="Z380" s="2" t="str">
        <f t="shared" si="97"/>
        <v>X</v>
      </c>
      <c r="AA380" s="2" t="str">
        <f t="shared" si="100"/>
        <v>(31 downto 24)</v>
      </c>
      <c r="AB380" s="2" t="str">
        <f t="shared" si="101"/>
        <v>(23 downto 16)</v>
      </c>
      <c r="AC380" s="2" t="str">
        <f t="shared" si="102"/>
        <v>(15 downto 8)</v>
      </c>
      <c r="AD380" s="2" t="str">
        <f t="shared" si="103"/>
        <v>(7 downto 0)</v>
      </c>
      <c r="AE380" s="2" t="str">
        <f t="shared" si="104"/>
        <v>(31 downto 24)</v>
      </c>
      <c r="AF380" s="2" t="str">
        <f t="shared" si="105"/>
        <v>(23 downto 16)</v>
      </c>
      <c r="AG380" s="2" t="str">
        <f t="shared" si="106"/>
        <v>(15 downto 8)</v>
      </c>
      <c r="AH380" s="2" t="str">
        <f t="shared" si="107"/>
        <v>(7 downto 0)</v>
      </c>
    </row>
    <row r="381" spans="2:34" x14ac:dyDescent="0.25">
      <c r="B381" s="2" t="s">
        <v>958</v>
      </c>
      <c r="C381" s="2" t="s">
        <v>141</v>
      </c>
      <c r="D381" s="2" t="s">
        <v>0</v>
      </c>
      <c r="E381" s="2" t="s">
        <v>130</v>
      </c>
      <c r="F381" s="2" t="s">
        <v>959</v>
      </c>
      <c r="G381" s="2" t="s">
        <v>960</v>
      </c>
      <c r="H381" s="2" t="s">
        <v>142</v>
      </c>
      <c r="I381" s="2" t="s">
        <v>41</v>
      </c>
      <c r="J381" s="2">
        <v>32</v>
      </c>
      <c r="K381" s="2" t="s">
        <v>132</v>
      </c>
      <c r="L381" s="2" t="s">
        <v>40</v>
      </c>
      <c r="P381" s="2" t="s">
        <v>48</v>
      </c>
      <c r="Q381" s="2">
        <f>INDEX(Tables!$C$4:$C$28,MATCH($P381,Tables!$B$4:$B$28,0))</f>
        <v>32</v>
      </c>
      <c r="R381" s="2">
        <f>INDEX(Tables!$D$4:$D$28,MATCH($P381,Tables!$B$4:$B$28,0))</f>
        <v>4</v>
      </c>
      <c r="S381" s="2">
        <f>$S380+$R380+INDEX(Tables!$N$5:$Q$8,MATCH(MOD($S380+$R380,4),Tables!$M$5:$M$8,0),MATCH($R381,Tables!$N$4:$Q$4,0))</f>
        <v>1340</v>
      </c>
      <c r="T381" s="2" t="str">
        <f t="shared" si="93"/>
        <v>053C</v>
      </c>
      <c r="U381" s="2">
        <f t="shared" si="99"/>
        <v>335</v>
      </c>
      <c r="V381" s="2" t="str">
        <f t="shared" si="94"/>
        <v>14F</v>
      </c>
      <c r="W381" s="2" t="str">
        <f t="shared" si="95"/>
        <v>X</v>
      </c>
      <c r="X381" s="2" t="str">
        <f t="shared" si="98"/>
        <v>X</v>
      </c>
      <c r="Y381" s="2" t="str">
        <f t="shared" si="96"/>
        <v>X</v>
      </c>
      <c r="Z381" s="2" t="str">
        <f t="shared" si="97"/>
        <v>X</v>
      </c>
      <c r="AA381" s="2" t="str">
        <f t="shared" si="100"/>
        <v>(31 downto 24)</v>
      </c>
      <c r="AB381" s="2" t="str">
        <f t="shared" si="101"/>
        <v>(23 downto 16)</v>
      </c>
      <c r="AC381" s="2" t="str">
        <f t="shared" si="102"/>
        <v>(15 downto 8)</v>
      </c>
      <c r="AD381" s="2" t="str">
        <f t="shared" si="103"/>
        <v>(7 downto 0)</v>
      </c>
      <c r="AE381" s="2" t="str">
        <f t="shared" si="104"/>
        <v>(31 downto 24)</v>
      </c>
      <c r="AF381" s="2" t="str">
        <f t="shared" si="105"/>
        <v>(23 downto 16)</v>
      </c>
      <c r="AG381" s="2" t="str">
        <f t="shared" si="106"/>
        <v>(15 downto 8)</v>
      </c>
      <c r="AH381" s="2" t="str">
        <f t="shared" si="107"/>
        <v>(7 downto 0)</v>
      </c>
    </row>
    <row r="382" spans="2:34" x14ac:dyDescent="0.25">
      <c r="B382" s="2" t="s">
        <v>961</v>
      </c>
      <c r="C382" s="2" t="s">
        <v>141</v>
      </c>
      <c r="D382" s="2" t="s">
        <v>0</v>
      </c>
      <c r="E382" s="2" t="s">
        <v>130</v>
      </c>
      <c r="F382" s="2" t="s">
        <v>962</v>
      </c>
      <c r="G382" s="2" t="s">
        <v>963</v>
      </c>
      <c r="H382" s="2" t="s">
        <v>142</v>
      </c>
      <c r="I382" s="2" t="s">
        <v>41</v>
      </c>
      <c r="J382" s="2">
        <v>32</v>
      </c>
      <c r="K382" s="2" t="s">
        <v>132</v>
      </c>
      <c r="L382" s="2" t="s">
        <v>40</v>
      </c>
      <c r="P382" s="2" t="s">
        <v>48</v>
      </c>
      <c r="Q382" s="2">
        <f>INDEX(Tables!$C$4:$C$28,MATCH($P382,Tables!$B$4:$B$28,0))</f>
        <v>32</v>
      </c>
      <c r="R382" s="2">
        <f>INDEX(Tables!$D$4:$D$28,MATCH($P382,Tables!$B$4:$B$28,0))</f>
        <v>4</v>
      </c>
      <c r="S382" s="2">
        <f>$S381+$R381+INDEX(Tables!$N$5:$Q$8,MATCH(MOD($S381+$R381,4),Tables!$M$5:$M$8,0),MATCH($R382,Tables!$N$4:$Q$4,0))</f>
        <v>1344</v>
      </c>
      <c r="T382" s="2" t="str">
        <f t="shared" si="93"/>
        <v>0540</v>
      </c>
      <c r="U382" s="2">
        <f t="shared" si="99"/>
        <v>336</v>
      </c>
      <c r="V382" s="2" t="str">
        <f t="shared" si="94"/>
        <v>150</v>
      </c>
      <c r="W382" s="2" t="str">
        <f t="shared" si="95"/>
        <v>X</v>
      </c>
      <c r="X382" s="2" t="str">
        <f t="shared" si="98"/>
        <v>X</v>
      </c>
      <c r="Y382" s="2" t="str">
        <f t="shared" si="96"/>
        <v>X</v>
      </c>
      <c r="Z382" s="2" t="str">
        <f t="shared" si="97"/>
        <v>X</v>
      </c>
      <c r="AA382" s="2" t="str">
        <f t="shared" si="100"/>
        <v>(31 downto 24)</v>
      </c>
      <c r="AB382" s="2" t="str">
        <f t="shared" si="101"/>
        <v>(23 downto 16)</v>
      </c>
      <c r="AC382" s="2" t="str">
        <f t="shared" si="102"/>
        <v>(15 downto 8)</v>
      </c>
      <c r="AD382" s="2" t="str">
        <f t="shared" si="103"/>
        <v>(7 downto 0)</v>
      </c>
      <c r="AE382" s="2" t="str">
        <f t="shared" si="104"/>
        <v>(31 downto 24)</v>
      </c>
      <c r="AF382" s="2" t="str">
        <f t="shared" si="105"/>
        <v>(23 downto 16)</v>
      </c>
      <c r="AG382" s="2" t="str">
        <f t="shared" si="106"/>
        <v>(15 downto 8)</v>
      </c>
      <c r="AH382" s="2" t="str">
        <f t="shared" si="107"/>
        <v>(7 downto 0)</v>
      </c>
    </row>
    <row r="383" spans="2:34" x14ac:dyDescent="0.25">
      <c r="B383" s="2" t="s">
        <v>964</v>
      </c>
      <c r="C383" s="2" t="s">
        <v>141</v>
      </c>
      <c r="D383" s="2" t="s">
        <v>0</v>
      </c>
      <c r="E383" s="2" t="s">
        <v>130</v>
      </c>
      <c r="F383" s="2" t="s">
        <v>965</v>
      </c>
      <c r="G383" s="2" t="s">
        <v>966</v>
      </c>
      <c r="H383" s="2" t="s">
        <v>142</v>
      </c>
      <c r="I383" s="2" t="s">
        <v>41</v>
      </c>
      <c r="J383" s="2">
        <v>32</v>
      </c>
      <c r="K383" s="2" t="s">
        <v>132</v>
      </c>
      <c r="L383" s="2" t="s">
        <v>40</v>
      </c>
      <c r="P383" s="2" t="s">
        <v>48</v>
      </c>
      <c r="Q383" s="2">
        <f>INDEX(Tables!$C$4:$C$28,MATCH($P383,Tables!$B$4:$B$28,0))</f>
        <v>32</v>
      </c>
      <c r="R383" s="2">
        <f>INDEX(Tables!$D$4:$D$28,MATCH($P383,Tables!$B$4:$B$28,0))</f>
        <v>4</v>
      </c>
      <c r="S383" s="2">
        <f>$S382+$R382+INDEX(Tables!$N$5:$Q$8,MATCH(MOD($S382+$R382,4),Tables!$M$5:$M$8,0),MATCH($R383,Tables!$N$4:$Q$4,0))</f>
        <v>1348</v>
      </c>
      <c r="T383" s="2" t="str">
        <f t="shared" si="93"/>
        <v>0544</v>
      </c>
      <c r="U383" s="2">
        <f t="shared" si="99"/>
        <v>337</v>
      </c>
      <c r="V383" s="2" t="str">
        <f t="shared" si="94"/>
        <v>151</v>
      </c>
      <c r="W383" s="2" t="str">
        <f t="shared" si="95"/>
        <v>X</v>
      </c>
      <c r="X383" s="2" t="str">
        <f t="shared" si="98"/>
        <v>X</v>
      </c>
      <c r="Y383" s="2" t="str">
        <f t="shared" si="96"/>
        <v>X</v>
      </c>
      <c r="Z383" s="2" t="str">
        <f t="shared" si="97"/>
        <v>X</v>
      </c>
      <c r="AA383" s="2" t="str">
        <f t="shared" si="100"/>
        <v>(31 downto 24)</v>
      </c>
      <c r="AB383" s="2" t="str">
        <f t="shared" si="101"/>
        <v>(23 downto 16)</v>
      </c>
      <c r="AC383" s="2" t="str">
        <f t="shared" si="102"/>
        <v>(15 downto 8)</v>
      </c>
      <c r="AD383" s="2" t="str">
        <f t="shared" si="103"/>
        <v>(7 downto 0)</v>
      </c>
      <c r="AE383" s="2" t="str">
        <f t="shared" si="104"/>
        <v>(31 downto 24)</v>
      </c>
      <c r="AF383" s="2" t="str">
        <f t="shared" si="105"/>
        <v>(23 downto 16)</v>
      </c>
      <c r="AG383" s="2" t="str">
        <f t="shared" si="106"/>
        <v>(15 downto 8)</v>
      </c>
      <c r="AH383" s="2" t="str">
        <f t="shared" si="107"/>
        <v>(7 downto 0)</v>
      </c>
    </row>
    <row r="384" spans="2:34" x14ac:dyDescent="0.25">
      <c r="B384" s="2" t="s">
        <v>967</v>
      </c>
      <c r="C384" s="2" t="s">
        <v>141</v>
      </c>
      <c r="D384" s="2" t="s">
        <v>0</v>
      </c>
      <c r="E384" s="2" t="s">
        <v>130</v>
      </c>
      <c r="F384" s="2" t="s">
        <v>968</v>
      </c>
      <c r="G384" s="2" t="s">
        <v>969</v>
      </c>
      <c r="H384" s="2" t="s">
        <v>142</v>
      </c>
      <c r="I384" s="2" t="s">
        <v>41</v>
      </c>
      <c r="J384" s="2">
        <v>32</v>
      </c>
      <c r="K384" s="2" t="s">
        <v>132</v>
      </c>
      <c r="L384" s="2" t="s">
        <v>40</v>
      </c>
      <c r="P384" s="2" t="s">
        <v>48</v>
      </c>
      <c r="Q384" s="2">
        <f>INDEX(Tables!$C$4:$C$28,MATCH($P384,Tables!$B$4:$B$28,0))</f>
        <v>32</v>
      </c>
      <c r="R384" s="2">
        <f>INDEX(Tables!$D$4:$D$28,MATCH($P384,Tables!$B$4:$B$28,0))</f>
        <v>4</v>
      </c>
      <c r="S384" s="2">
        <f>$S383+$R383+INDEX(Tables!$N$5:$Q$8,MATCH(MOD($S383+$R383,4),Tables!$M$5:$M$8,0),MATCH($R384,Tables!$N$4:$Q$4,0))</f>
        <v>1352</v>
      </c>
      <c r="T384" s="2" t="str">
        <f t="shared" si="93"/>
        <v>0548</v>
      </c>
      <c r="U384" s="2">
        <f t="shared" si="99"/>
        <v>338</v>
      </c>
      <c r="V384" s="2" t="str">
        <f t="shared" si="94"/>
        <v>152</v>
      </c>
      <c r="W384" s="2" t="str">
        <f t="shared" si="95"/>
        <v>X</v>
      </c>
      <c r="X384" s="2" t="str">
        <f t="shared" si="98"/>
        <v>X</v>
      </c>
      <c r="Y384" s="2" t="str">
        <f t="shared" si="96"/>
        <v>X</v>
      </c>
      <c r="Z384" s="2" t="str">
        <f t="shared" si="97"/>
        <v>X</v>
      </c>
      <c r="AA384" s="2" t="str">
        <f t="shared" si="100"/>
        <v>(31 downto 24)</v>
      </c>
      <c r="AB384" s="2" t="str">
        <f t="shared" si="101"/>
        <v>(23 downto 16)</v>
      </c>
      <c r="AC384" s="2" t="str">
        <f t="shared" si="102"/>
        <v>(15 downto 8)</v>
      </c>
      <c r="AD384" s="2" t="str">
        <f t="shared" si="103"/>
        <v>(7 downto 0)</v>
      </c>
      <c r="AE384" s="2" t="str">
        <f t="shared" si="104"/>
        <v>(31 downto 24)</v>
      </c>
      <c r="AF384" s="2" t="str">
        <f t="shared" si="105"/>
        <v>(23 downto 16)</v>
      </c>
      <c r="AG384" s="2" t="str">
        <f t="shared" si="106"/>
        <v>(15 downto 8)</v>
      </c>
      <c r="AH384" s="2" t="str">
        <f t="shared" si="107"/>
        <v>(7 downto 0)</v>
      </c>
    </row>
    <row r="385" spans="2:34" x14ac:dyDescent="0.25">
      <c r="B385" s="2" t="s">
        <v>970</v>
      </c>
      <c r="C385" s="2" t="s">
        <v>141</v>
      </c>
      <c r="D385" s="2" t="s">
        <v>0</v>
      </c>
      <c r="E385" s="2" t="s">
        <v>130</v>
      </c>
      <c r="F385" s="2" t="s">
        <v>971</v>
      </c>
      <c r="G385" s="2" t="s">
        <v>972</v>
      </c>
      <c r="H385" s="2" t="s">
        <v>142</v>
      </c>
      <c r="I385" s="2" t="s">
        <v>41</v>
      </c>
      <c r="J385" s="2">
        <v>32</v>
      </c>
      <c r="K385" s="2" t="s">
        <v>132</v>
      </c>
      <c r="L385" s="2" t="s">
        <v>40</v>
      </c>
      <c r="P385" s="2" t="s">
        <v>48</v>
      </c>
      <c r="Q385" s="2">
        <f>INDEX(Tables!$C$4:$C$28,MATCH($P385,Tables!$B$4:$B$28,0))</f>
        <v>32</v>
      </c>
      <c r="R385" s="2">
        <f>INDEX(Tables!$D$4:$D$28,MATCH($P385,Tables!$B$4:$B$28,0))</f>
        <v>4</v>
      </c>
      <c r="S385" s="2">
        <f>$S384+$R384+INDEX(Tables!$N$5:$Q$8,MATCH(MOD($S384+$R384,4),Tables!$M$5:$M$8,0),MATCH($R385,Tables!$N$4:$Q$4,0))</f>
        <v>1356</v>
      </c>
      <c r="T385" s="2" t="str">
        <f t="shared" si="93"/>
        <v>054C</v>
      </c>
      <c r="U385" s="2">
        <f t="shared" si="99"/>
        <v>339</v>
      </c>
      <c r="V385" s="2" t="str">
        <f t="shared" si="94"/>
        <v>153</v>
      </c>
      <c r="W385" s="2" t="str">
        <f t="shared" si="95"/>
        <v>X</v>
      </c>
      <c r="X385" s="2" t="str">
        <f t="shared" si="98"/>
        <v>X</v>
      </c>
      <c r="Y385" s="2" t="str">
        <f t="shared" si="96"/>
        <v>X</v>
      </c>
      <c r="Z385" s="2" t="str">
        <f t="shared" si="97"/>
        <v>X</v>
      </c>
      <c r="AA385" s="2" t="str">
        <f t="shared" si="100"/>
        <v>(31 downto 24)</v>
      </c>
      <c r="AB385" s="2" t="str">
        <f t="shared" si="101"/>
        <v>(23 downto 16)</v>
      </c>
      <c r="AC385" s="2" t="str">
        <f t="shared" si="102"/>
        <v>(15 downto 8)</v>
      </c>
      <c r="AD385" s="2" t="str">
        <f t="shared" si="103"/>
        <v>(7 downto 0)</v>
      </c>
      <c r="AE385" s="2" t="str">
        <f t="shared" si="104"/>
        <v>(31 downto 24)</v>
      </c>
      <c r="AF385" s="2" t="str">
        <f t="shared" si="105"/>
        <v>(23 downto 16)</v>
      </c>
      <c r="AG385" s="2" t="str">
        <f t="shared" si="106"/>
        <v>(15 downto 8)</v>
      </c>
      <c r="AH385" s="2" t="str">
        <f t="shared" si="107"/>
        <v>(7 downto 0)</v>
      </c>
    </row>
    <row r="386" spans="2:34" x14ac:dyDescent="0.25">
      <c r="B386" s="2" t="s">
        <v>973</v>
      </c>
      <c r="C386" s="2" t="s">
        <v>141</v>
      </c>
      <c r="D386" s="2" t="s">
        <v>0</v>
      </c>
      <c r="E386" s="2" t="s">
        <v>130</v>
      </c>
      <c r="F386" s="2" t="s">
        <v>974</v>
      </c>
      <c r="G386" s="2" t="s">
        <v>975</v>
      </c>
      <c r="H386" s="2" t="s">
        <v>142</v>
      </c>
      <c r="I386" s="2" t="s">
        <v>41</v>
      </c>
      <c r="J386" s="2">
        <v>32</v>
      </c>
      <c r="K386" s="2" t="s">
        <v>132</v>
      </c>
      <c r="L386" s="2" t="s">
        <v>40</v>
      </c>
      <c r="P386" s="2" t="s">
        <v>48</v>
      </c>
      <c r="Q386" s="2">
        <f>INDEX(Tables!$C$4:$C$28,MATCH($P386,Tables!$B$4:$B$28,0))</f>
        <v>32</v>
      </c>
      <c r="R386" s="2">
        <f>INDEX(Tables!$D$4:$D$28,MATCH($P386,Tables!$B$4:$B$28,0))</f>
        <v>4</v>
      </c>
      <c r="S386" s="2">
        <f>$S385+$R385+INDEX(Tables!$N$5:$Q$8,MATCH(MOD($S385+$R385,4),Tables!$M$5:$M$8,0),MATCH($R386,Tables!$N$4:$Q$4,0))</f>
        <v>1360</v>
      </c>
      <c r="T386" s="2" t="str">
        <f t="shared" si="93"/>
        <v>0550</v>
      </c>
      <c r="U386" s="2">
        <f t="shared" si="99"/>
        <v>340</v>
      </c>
      <c r="V386" s="2" t="str">
        <f t="shared" si="94"/>
        <v>154</v>
      </c>
      <c r="W386" s="2" t="str">
        <f t="shared" si="95"/>
        <v>X</v>
      </c>
      <c r="X386" s="2" t="str">
        <f t="shared" si="98"/>
        <v>X</v>
      </c>
      <c r="Y386" s="2" t="str">
        <f t="shared" si="96"/>
        <v>X</v>
      </c>
      <c r="Z386" s="2" t="str">
        <f t="shared" si="97"/>
        <v>X</v>
      </c>
      <c r="AA386" s="2" t="str">
        <f t="shared" si="100"/>
        <v>(31 downto 24)</v>
      </c>
      <c r="AB386" s="2" t="str">
        <f t="shared" si="101"/>
        <v>(23 downto 16)</v>
      </c>
      <c r="AC386" s="2" t="str">
        <f t="shared" si="102"/>
        <v>(15 downto 8)</v>
      </c>
      <c r="AD386" s="2" t="str">
        <f t="shared" si="103"/>
        <v>(7 downto 0)</v>
      </c>
      <c r="AE386" s="2" t="str">
        <f t="shared" si="104"/>
        <v>(31 downto 24)</v>
      </c>
      <c r="AF386" s="2" t="str">
        <f t="shared" si="105"/>
        <v>(23 downto 16)</v>
      </c>
      <c r="AG386" s="2" t="str">
        <f t="shared" si="106"/>
        <v>(15 downto 8)</v>
      </c>
      <c r="AH386" s="2" t="str">
        <f t="shared" si="107"/>
        <v>(7 downto 0)</v>
      </c>
    </row>
    <row r="387" spans="2:34" x14ac:dyDescent="0.25">
      <c r="B387" s="2" t="s">
        <v>976</v>
      </c>
      <c r="C387" s="2" t="s">
        <v>141</v>
      </c>
      <c r="D387" s="2" t="s">
        <v>0</v>
      </c>
      <c r="E387" s="2" t="s">
        <v>130</v>
      </c>
      <c r="F387" s="2" t="s">
        <v>977</v>
      </c>
      <c r="G387" s="2" t="s">
        <v>978</v>
      </c>
      <c r="H387" s="2" t="s">
        <v>142</v>
      </c>
      <c r="I387" s="2" t="s">
        <v>41</v>
      </c>
      <c r="J387" s="2">
        <v>32</v>
      </c>
      <c r="K387" s="2" t="s">
        <v>132</v>
      </c>
      <c r="L387" s="2" t="s">
        <v>40</v>
      </c>
      <c r="P387" s="2" t="s">
        <v>48</v>
      </c>
      <c r="Q387" s="2">
        <f>INDEX(Tables!$C$4:$C$28,MATCH($P387,Tables!$B$4:$B$28,0))</f>
        <v>32</v>
      </c>
      <c r="R387" s="2">
        <f>INDEX(Tables!$D$4:$D$28,MATCH($P387,Tables!$B$4:$B$28,0))</f>
        <v>4</v>
      </c>
      <c r="S387" s="2">
        <f>$S386+$R386+INDEX(Tables!$N$5:$Q$8,MATCH(MOD($S386+$R386,4),Tables!$M$5:$M$8,0),MATCH($R387,Tables!$N$4:$Q$4,0))</f>
        <v>1364</v>
      </c>
      <c r="T387" s="2" t="str">
        <f t="shared" si="93"/>
        <v>0554</v>
      </c>
      <c r="U387" s="2">
        <f t="shared" si="99"/>
        <v>341</v>
      </c>
      <c r="V387" s="2" t="str">
        <f t="shared" si="94"/>
        <v>155</v>
      </c>
      <c r="W387" s="2" t="str">
        <f t="shared" si="95"/>
        <v>X</v>
      </c>
      <c r="X387" s="2" t="str">
        <f t="shared" si="98"/>
        <v>X</v>
      </c>
      <c r="Y387" s="2" t="str">
        <f t="shared" si="96"/>
        <v>X</v>
      </c>
      <c r="Z387" s="2" t="str">
        <f t="shared" si="97"/>
        <v>X</v>
      </c>
      <c r="AA387" s="2" t="str">
        <f t="shared" si="100"/>
        <v>(31 downto 24)</v>
      </c>
      <c r="AB387" s="2" t="str">
        <f t="shared" si="101"/>
        <v>(23 downto 16)</v>
      </c>
      <c r="AC387" s="2" t="str">
        <f t="shared" si="102"/>
        <v>(15 downto 8)</v>
      </c>
      <c r="AD387" s="2" t="str">
        <f t="shared" si="103"/>
        <v>(7 downto 0)</v>
      </c>
      <c r="AE387" s="2" t="str">
        <f t="shared" si="104"/>
        <v>(31 downto 24)</v>
      </c>
      <c r="AF387" s="2" t="str">
        <f t="shared" si="105"/>
        <v>(23 downto 16)</v>
      </c>
      <c r="AG387" s="2" t="str">
        <f t="shared" si="106"/>
        <v>(15 downto 8)</v>
      </c>
      <c r="AH387" s="2" t="str">
        <f t="shared" si="107"/>
        <v>(7 downto 0)</v>
      </c>
    </row>
    <row r="388" spans="2:34" x14ac:dyDescent="0.25">
      <c r="B388" s="2" t="s">
        <v>979</v>
      </c>
      <c r="C388" s="2" t="s">
        <v>141</v>
      </c>
      <c r="D388" s="2" t="s">
        <v>0</v>
      </c>
      <c r="E388" s="2" t="s">
        <v>130</v>
      </c>
      <c r="F388" s="2" t="s">
        <v>980</v>
      </c>
      <c r="G388" s="2" t="s">
        <v>981</v>
      </c>
      <c r="H388" s="2" t="s">
        <v>142</v>
      </c>
      <c r="I388" s="2" t="s">
        <v>41</v>
      </c>
      <c r="J388" s="2">
        <v>32</v>
      </c>
      <c r="K388" s="2" t="s">
        <v>132</v>
      </c>
      <c r="L388" s="2" t="s">
        <v>40</v>
      </c>
      <c r="P388" s="2" t="s">
        <v>48</v>
      </c>
      <c r="Q388" s="2">
        <f>INDEX(Tables!$C$4:$C$28,MATCH($P388,Tables!$B$4:$B$28,0))</f>
        <v>32</v>
      </c>
      <c r="R388" s="2">
        <f>INDEX(Tables!$D$4:$D$28,MATCH($P388,Tables!$B$4:$B$28,0))</f>
        <v>4</v>
      </c>
      <c r="S388" s="2">
        <f>$S387+$R387+INDEX(Tables!$N$5:$Q$8,MATCH(MOD($S387+$R387,4),Tables!$M$5:$M$8,0),MATCH($R388,Tables!$N$4:$Q$4,0))</f>
        <v>1368</v>
      </c>
      <c r="T388" s="2" t="str">
        <f t="shared" si="93"/>
        <v>0558</v>
      </c>
      <c r="U388" s="2">
        <f t="shared" si="99"/>
        <v>342</v>
      </c>
      <c r="V388" s="2" t="str">
        <f t="shared" si="94"/>
        <v>156</v>
      </c>
      <c r="W388" s="2" t="str">
        <f t="shared" si="95"/>
        <v>X</v>
      </c>
      <c r="X388" s="2" t="str">
        <f t="shared" si="98"/>
        <v>X</v>
      </c>
      <c r="Y388" s="2" t="str">
        <f t="shared" si="96"/>
        <v>X</v>
      </c>
      <c r="Z388" s="2" t="str">
        <f t="shared" si="97"/>
        <v>X</v>
      </c>
      <c r="AA388" s="2" t="str">
        <f t="shared" si="100"/>
        <v>(31 downto 24)</v>
      </c>
      <c r="AB388" s="2" t="str">
        <f t="shared" si="101"/>
        <v>(23 downto 16)</v>
      </c>
      <c r="AC388" s="2" t="str">
        <f t="shared" si="102"/>
        <v>(15 downto 8)</v>
      </c>
      <c r="AD388" s="2" t="str">
        <f t="shared" si="103"/>
        <v>(7 downto 0)</v>
      </c>
      <c r="AE388" s="2" t="str">
        <f t="shared" si="104"/>
        <v>(31 downto 24)</v>
      </c>
      <c r="AF388" s="2" t="str">
        <f t="shared" si="105"/>
        <v>(23 downto 16)</v>
      </c>
      <c r="AG388" s="2" t="str">
        <f t="shared" si="106"/>
        <v>(15 downto 8)</v>
      </c>
      <c r="AH388" s="2" t="str">
        <f t="shared" si="107"/>
        <v>(7 downto 0)</v>
      </c>
    </row>
    <row r="389" spans="2:34" x14ac:dyDescent="0.25">
      <c r="B389" s="2" t="s">
        <v>982</v>
      </c>
      <c r="C389" s="2" t="s">
        <v>141</v>
      </c>
      <c r="D389" s="2" t="s">
        <v>0</v>
      </c>
      <c r="E389" s="2" t="s">
        <v>130</v>
      </c>
      <c r="F389" s="2" t="s">
        <v>983</v>
      </c>
      <c r="G389" s="2" t="s">
        <v>984</v>
      </c>
      <c r="H389" s="2" t="s">
        <v>142</v>
      </c>
      <c r="I389" s="2" t="s">
        <v>41</v>
      </c>
      <c r="J389" s="2">
        <v>32</v>
      </c>
      <c r="K389" s="2" t="s">
        <v>132</v>
      </c>
      <c r="L389" s="2" t="s">
        <v>40</v>
      </c>
      <c r="P389" s="2" t="s">
        <v>48</v>
      </c>
      <c r="Q389" s="2">
        <f>INDEX(Tables!$C$4:$C$28,MATCH($P389,Tables!$B$4:$B$28,0))</f>
        <v>32</v>
      </c>
      <c r="R389" s="2">
        <f>INDEX(Tables!$D$4:$D$28,MATCH($P389,Tables!$B$4:$B$28,0))</f>
        <v>4</v>
      </c>
      <c r="S389" s="2">
        <f>$S388+$R388+INDEX(Tables!$N$5:$Q$8,MATCH(MOD($S388+$R388,4),Tables!$M$5:$M$8,0),MATCH($R389,Tables!$N$4:$Q$4,0))</f>
        <v>1372</v>
      </c>
      <c r="T389" s="2" t="str">
        <f t="shared" ref="T389:T452" si="108">DEC2HEX($S389,4)</f>
        <v>055C</v>
      </c>
      <c r="U389" s="2">
        <f t="shared" si="99"/>
        <v>343</v>
      </c>
      <c r="V389" s="2" t="str">
        <f t="shared" ref="V389:V452" si="109">DEC2HEX($U389,3)</f>
        <v>157</v>
      </c>
      <c r="W389" s="2" t="str">
        <f t="shared" ref="W389:W452" si="110">IF(MOD($S389,4)=3,"X",IF(AND(MOD($S389,4)=2,$J389&gt;8),"X",IF(AND(MOD($S389,4)=1,$J389&gt;16),"X",IF(AND(MOD($S389,4)=0,$J389&gt;24),"X",""))))</f>
        <v>X</v>
      </c>
      <c r="X389" s="2" t="str">
        <f t="shared" si="98"/>
        <v>X</v>
      </c>
      <c r="Y389" s="2" t="str">
        <f t="shared" ref="Y389:Y452" si="111">IF(MOD($S389,4)=1,"X",IF(AND(MOD($S389,4)=0,$J389&gt;8),"X",""))</f>
        <v>X</v>
      </c>
      <c r="Z389" s="2" t="str">
        <f t="shared" ref="Z389:Z452" si="112">IF(MOD($S389,4)=0,"X","")</f>
        <v>X</v>
      </c>
      <c r="AA389" s="2" t="str">
        <f t="shared" si="100"/>
        <v>(31 downto 24)</v>
      </c>
      <c r="AB389" s="2" t="str">
        <f t="shared" si="101"/>
        <v>(23 downto 16)</v>
      </c>
      <c r="AC389" s="2" t="str">
        <f t="shared" si="102"/>
        <v>(15 downto 8)</v>
      </c>
      <c r="AD389" s="2" t="str">
        <f t="shared" si="103"/>
        <v>(7 downto 0)</v>
      </c>
      <c r="AE389" s="2" t="str">
        <f t="shared" si="104"/>
        <v>(31 downto 24)</v>
      </c>
      <c r="AF389" s="2" t="str">
        <f t="shared" si="105"/>
        <v>(23 downto 16)</v>
      </c>
      <c r="AG389" s="2" t="str">
        <f t="shared" si="106"/>
        <v>(15 downto 8)</v>
      </c>
      <c r="AH389" s="2" t="str">
        <f t="shared" si="107"/>
        <v>(7 downto 0)</v>
      </c>
    </row>
    <row r="390" spans="2:34" x14ac:dyDescent="0.25">
      <c r="B390" s="2" t="s">
        <v>985</v>
      </c>
      <c r="C390" s="2" t="s">
        <v>141</v>
      </c>
      <c r="D390" s="2" t="s">
        <v>0</v>
      </c>
      <c r="E390" s="2" t="s">
        <v>130</v>
      </c>
      <c r="F390" s="2" t="s">
        <v>986</v>
      </c>
      <c r="G390" s="2" t="s">
        <v>987</v>
      </c>
      <c r="H390" s="2" t="s">
        <v>142</v>
      </c>
      <c r="I390" s="2" t="s">
        <v>41</v>
      </c>
      <c r="J390" s="2">
        <v>32</v>
      </c>
      <c r="K390" s="2" t="s">
        <v>132</v>
      </c>
      <c r="L390" s="2" t="s">
        <v>40</v>
      </c>
      <c r="P390" s="2" t="s">
        <v>48</v>
      </c>
      <c r="Q390" s="2">
        <f>INDEX(Tables!$C$4:$C$28,MATCH($P390,Tables!$B$4:$B$28,0))</f>
        <v>32</v>
      </c>
      <c r="R390" s="2">
        <f>INDEX(Tables!$D$4:$D$28,MATCH($P390,Tables!$B$4:$B$28,0))</f>
        <v>4</v>
      </c>
      <c r="S390" s="2">
        <f>$S389+$R389+INDEX(Tables!$N$5:$Q$8,MATCH(MOD($S389+$R389,4),Tables!$M$5:$M$8,0),MATCH($R390,Tables!$N$4:$Q$4,0))</f>
        <v>1376</v>
      </c>
      <c r="T390" s="2" t="str">
        <f t="shared" si="108"/>
        <v>0560</v>
      </c>
      <c r="U390" s="2">
        <f t="shared" si="99"/>
        <v>344</v>
      </c>
      <c r="V390" s="2" t="str">
        <f t="shared" si="109"/>
        <v>158</v>
      </c>
      <c r="W390" s="2" t="str">
        <f t="shared" si="110"/>
        <v>X</v>
      </c>
      <c r="X390" s="2" t="str">
        <f t="shared" ref="X390:X453" si="113">IF(MOD($S390,4)=2,"X",IF(AND(MOD($S390,4)=1,$J390&gt;8),"X",IF(AND(MOD($S390,4)=0,$J390&gt;16),"X","")))</f>
        <v>X</v>
      </c>
      <c r="Y390" s="2" t="str">
        <f t="shared" si="111"/>
        <v>X</v>
      </c>
      <c r="Z390" s="2" t="str">
        <f t="shared" si="112"/>
        <v>X</v>
      </c>
      <c r="AA390" s="2" t="str">
        <f t="shared" si="100"/>
        <v>(31 downto 24)</v>
      </c>
      <c r="AB390" s="2" t="str">
        <f t="shared" si="101"/>
        <v>(23 downto 16)</v>
      </c>
      <c r="AC390" s="2" t="str">
        <f t="shared" si="102"/>
        <v>(15 downto 8)</v>
      </c>
      <c r="AD390" s="2" t="str">
        <f t="shared" si="103"/>
        <v>(7 downto 0)</v>
      </c>
      <c r="AE390" s="2" t="str">
        <f t="shared" si="104"/>
        <v>(31 downto 24)</v>
      </c>
      <c r="AF390" s="2" t="str">
        <f t="shared" si="105"/>
        <v>(23 downto 16)</v>
      </c>
      <c r="AG390" s="2" t="str">
        <f t="shared" si="106"/>
        <v>(15 downto 8)</v>
      </c>
      <c r="AH390" s="2" t="str">
        <f t="shared" si="107"/>
        <v>(7 downto 0)</v>
      </c>
    </row>
    <row r="391" spans="2:34" x14ac:dyDescent="0.25">
      <c r="B391" s="2" t="s">
        <v>988</v>
      </c>
      <c r="C391" s="2" t="s">
        <v>141</v>
      </c>
      <c r="D391" s="2" t="s">
        <v>0</v>
      </c>
      <c r="E391" s="2" t="s">
        <v>130</v>
      </c>
      <c r="F391" s="2" t="s">
        <v>989</v>
      </c>
      <c r="G391" s="2" t="s">
        <v>990</v>
      </c>
      <c r="H391" s="2" t="s">
        <v>142</v>
      </c>
      <c r="I391" s="2" t="s">
        <v>41</v>
      </c>
      <c r="J391" s="2">
        <v>32</v>
      </c>
      <c r="K391" s="2" t="s">
        <v>132</v>
      </c>
      <c r="L391" s="2" t="s">
        <v>40</v>
      </c>
      <c r="P391" s="2" t="s">
        <v>48</v>
      </c>
      <c r="Q391" s="2">
        <f>INDEX(Tables!$C$4:$C$28,MATCH($P391,Tables!$B$4:$B$28,0))</f>
        <v>32</v>
      </c>
      <c r="R391" s="2">
        <f>INDEX(Tables!$D$4:$D$28,MATCH($P391,Tables!$B$4:$B$28,0))</f>
        <v>4</v>
      </c>
      <c r="S391" s="2">
        <f>$S390+$R390+INDEX(Tables!$N$5:$Q$8,MATCH(MOD($S390+$R390,4),Tables!$M$5:$M$8,0),MATCH($R391,Tables!$N$4:$Q$4,0))</f>
        <v>1380</v>
      </c>
      <c r="T391" s="2" t="str">
        <f t="shared" si="108"/>
        <v>0564</v>
      </c>
      <c r="U391" s="2">
        <f t="shared" si="99"/>
        <v>345</v>
      </c>
      <c r="V391" s="2" t="str">
        <f t="shared" si="109"/>
        <v>159</v>
      </c>
      <c r="W391" s="2" t="str">
        <f t="shared" si="110"/>
        <v>X</v>
      </c>
      <c r="X391" s="2" t="str">
        <f t="shared" si="113"/>
        <v>X</v>
      </c>
      <c r="Y391" s="2" t="str">
        <f t="shared" si="111"/>
        <v>X</v>
      </c>
      <c r="Z391" s="2" t="str">
        <f t="shared" si="112"/>
        <v>X</v>
      </c>
      <c r="AA391" s="2" t="str">
        <f t="shared" si="100"/>
        <v>(31 downto 24)</v>
      </c>
      <c r="AB391" s="2" t="str">
        <f t="shared" si="101"/>
        <v>(23 downto 16)</v>
      </c>
      <c r="AC391" s="2" t="str">
        <f t="shared" si="102"/>
        <v>(15 downto 8)</v>
      </c>
      <c r="AD391" s="2" t="str">
        <f t="shared" si="103"/>
        <v>(7 downto 0)</v>
      </c>
      <c r="AE391" s="2" t="str">
        <f t="shared" si="104"/>
        <v>(31 downto 24)</v>
      </c>
      <c r="AF391" s="2" t="str">
        <f t="shared" si="105"/>
        <v>(23 downto 16)</v>
      </c>
      <c r="AG391" s="2" t="str">
        <f t="shared" si="106"/>
        <v>(15 downto 8)</v>
      </c>
      <c r="AH391" s="2" t="str">
        <f t="shared" si="107"/>
        <v>(7 downto 0)</v>
      </c>
    </row>
    <row r="392" spans="2:34" x14ac:dyDescent="0.25">
      <c r="B392" s="2" t="s">
        <v>991</v>
      </c>
      <c r="C392" s="2" t="s">
        <v>141</v>
      </c>
      <c r="D392" s="2" t="s">
        <v>0</v>
      </c>
      <c r="E392" s="2" t="s">
        <v>130</v>
      </c>
      <c r="F392" s="2" t="s">
        <v>992</v>
      </c>
      <c r="G392" s="2" t="s">
        <v>993</v>
      </c>
      <c r="H392" s="2" t="s">
        <v>142</v>
      </c>
      <c r="I392" s="2" t="s">
        <v>41</v>
      </c>
      <c r="J392" s="2">
        <v>32</v>
      </c>
      <c r="K392" s="2" t="s">
        <v>132</v>
      </c>
      <c r="L392" s="2" t="s">
        <v>40</v>
      </c>
      <c r="P392" s="2" t="s">
        <v>48</v>
      </c>
      <c r="Q392" s="2">
        <f>INDEX(Tables!$C$4:$C$28,MATCH($P392,Tables!$B$4:$B$28,0))</f>
        <v>32</v>
      </c>
      <c r="R392" s="2">
        <f>INDEX(Tables!$D$4:$D$28,MATCH($P392,Tables!$B$4:$B$28,0))</f>
        <v>4</v>
      </c>
      <c r="S392" s="2">
        <f>$S391+$R391+INDEX(Tables!$N$5:$Q$8,MATCH(MOD($S391+$R391,4),Tables!$M$5:$M$8,0),MATCH($R392,Tables!$N$4:$Q$4,0))</f>
        <v>1384</v>
      </c>
      <c r="T392" s="2" t="str">
        <f t="shared" si="108"/>
        <v>0568</v>
      </c>
      <c r="U392" s="2">
        <f t="shared" si="99"/>
        <v>346</v>
      </c>
      <c r="V392" s="2" t="str">
        <f t="shared" si="109"/>
        <v>15A</v>
      </c>
      <c r="W392" s="2" t="str">
        <f t="shared" si="110"/>
        <v>X</v>
      </c>
      <c r="X392" s="2" t="str">
        <f t="shared" si="113"/>
        <v>X</v>
      </c>
      <c r="Y392" s="2" t="str">
        <f t="shared" si="111"/>
        <v>X</v>
      </c>
      <c r="Z392" s="2" t="str">
        <f t="shared" si="112"/>
        <v>X</v>
      </c>
      <c r="AA392" s="2" t="str">
        <f t="shared" si="100"/>
        <v>(31 downto 24)</v>
      </c>
      <c r="AB392" s="2" t="str">
        <f t="shared" si="101"/>
        <v>(23 downto 16)</v>
      </c>
      <c r="AC392" s="2" t="str">
        <f t="shared" si="102"/>
        <v>(15 downto 8)</v>
      </c>
      <c r="AD392" s="2" t="str">
        <f t="shared" si="103"/>
        <v>(7 downto 0)</v>
      </c>
      <c r="AE392" s="2" t="str">
        <f t="shared" si="104"/>
        <v>(31 downto 24)</v>
      </c>
      <c r="AF392" s="2" t="str">
        <f t="shared" si="105"/>
        <v>(23 downto 16)</v>
      </c>
      <c r="AG392" s="2" t="str">
        <f t="shared" si="106"/>
        <v>(15 downto 8)</v>
      </c>
      <c r="AH392" s="2" t="str">
        <f t="shared" si="107"/>
        <v>(7 downto 0)</v>
      </c>
    </row>
    <row r="393" spans="2:34" x14ac:dyDescent="0.25">
      <c r="B393" s="2" t="s">
        <v>994</v>
      </c>
      <c r="C393" s="2" t="s">
        <v>141</v>
      </c>
      <c r="D393" s="2" t="s">
        <v>0</v>
      </c>
      <c r="E393" s="2" t="s">
        <v>130</v>
      </c>
      <c r="F393" s="2" t="s">
        <v>995</v>
      </c>
      <c r="G393" s="2" t="s">
        <v>996</v>
      </c>
      <c r="H393" s="2" t="s">
        <v>142</v>
      </c>
      <c r="I393" s="2" t="s">
        <v>41</v>
      </c>
      <c r="J393" s="2">
        <v>32</v>
      </c>
      <c r="K393" s="2" t="s">
        <v>132</v>
      </c>
      <c r="L393" s="2" t="s">
        <v>40</v>
      </c>
      <c r="P393" s="2" t="s">
        <v>48</v>
      </c>
      <c r="Q393" s="2">
        <f>INDEX(Tables!$C$4:$C$28,MATCH($P393,Tables!$B$4:$B$28,0))</f>
        <v>32</v>
      </c>
      <c r="R393" s="2">
        <f>INDEX(Tables!$D$4:$D$28,MATCH($P393,Tables!$B$4:$B$28,0))</f>
        <v>4</v>
      </c>
      <c r="S393" s="2">
        <f>$S392+$R392+INDEX(Tables!$N$5:$Q$8,MATCH(MOD($S392+$R392,4),Tables!$M$5:$M$8,0),MATCH($R393,Tables!$N$4:$Q$4,0))</f>
        <v>1388</v>
      </c>
      <c r="T393" s="2" t="str">
        <f t="shared" si="108"/>
        <v>056C</v>
      </c>
      <c r="U393" s="2">
        <f t="shared" ref="U393:U456" si="114">ROUNDDOWN(S393/4,0)</f>
        <v>347</v>
      </c>
      <c r="V393" s="2" t="str">
        <f t="shared" si="109"/>
        <v>15B</v>
      </c>
      <c r="W393" s="2" t="str">
        <f t="shared" si="110"/>
        <v>X</v>
      </c>
      <c r="X393" s="2" t="str">
        <f t="shared" si="113"/>
        <v>X</v>
      </c>
      <c r="Y393" s="2" t="str">
        <f t="shared" si="111"/>
        <v>X</v>
      </c>
      <c r="Z393" s="2" t="str">
        <f t="shared" si="112"/>
        <v>X</v>
      </c>
      <c r="AA393" s="2" t="str">
        <f t="shared" ref="AA393:AA456" si="115">IF(W393="","",CONCATENATE("(",IF(($J393-COUNTIF($X393:$Z393,"X")*8)=1,"24)",CONCATENATE(IF(($J393-COUNTIF($X393:$Z393,"X")*8)&gt;=8,32,($J393-COUNTIF($X393:$Z393,"X")*8)+24)-1," downto 24)"))))</f>
        <v>(31 downto 24)</v>
      </c>
      <c r="AB393" s="2" t="str">
        <f t="shared" ref="AB393:AB456" si="116">IF(X393="","",CONCATENATE("(",IF(($J393-COUNTIF($Y393:$Z393,"X")*8)=1,"16)",CONCATENATE(IF(($J393-COUNTIF($Y393:$Z393,"X")*8)&gt;=8,24,($J393-COUNTIF($Y393:$Z393,"X")*8)+16)-1," downto 16)"))))</f>
        <v>(23 downto 16)</v>
      </c>
      <c r="AC393" s="2" t="str">
        <f t="shared" ref="AC393:AC456" si="117">IF(Y393="","",CONCATENATE("(",IF(($J393-COUNTIF($Z393,"X")*8)=1,"8)",CONCATENATE(IF(($J393-COUNTIF($Z393,"X")*8)&gt;=8,16,($J393-COUNTIF($Z393,"X")*8)+8)-1," downto 8)"))))</f>
        <v>(15 downto 8)</v>
      </c>
      <c r="AD393" s="2" t="str">
        <f t="shared" ref="AD393:AD456" si="118">IF(Z393="","",CONCATENATE("(",IF($J393=1,"0)",CONCATENATE(IF($J393&gt;=8,8,$J393)-1," downto 0)"))))</f>
        <v>(7 downto 0)</v>
      </c>
      <c r="AE393" s="2" t="str">
        <f t="shared" ref="AE393:AE456" si="119">IF(W393="","",IF($J393&lt;=8,"",IF(($J393-COUNTIF($X393:$Z393,"X")*8)=1,CONCATENATE("(",($J393-1),")"),CONCATENATE("(",IF(($J393-COUNTIF($X393:$Z393,"X")*8)&gt;=8,COUNTIF($X393:$Z393,"X")*8+7,$J393-COUNTIF($X393:$Z393,"X")*8-1+COUNTIF($X393:$Z393,"X")*8)," downto ",COUNTIF($X393:$Z393,"X")*8,")"))))</f>
        <v>(31 downto 24)</v>
      </c>
      <c r="AF393" s="2" t="str">
        <f t="shared" ref="AF393:AF456" si="120">IF(X393="","",IF($J393&lt;=8,"",IF(($J393-COUNTIF($Y393:$Z393,"X")*8)=1,CONCATENATE("(",($J393-1),")"),CONCATENATE("(",IF(($J393-COUNTIF($Y393:$Z393,"X")*8)&gt;=8,COUNTIF($Y393:$Z393,"X")*8+7,$J393-COUNTIF($Y393:$Z393,"X")*8-1+COUNTIF($Y393:$Z393,"X")*8)," downto ",COUNTIF($Y393:$Z393,"X")*8,")"))))</f>
        <v>(23 downto 16)</v>
      </c>
      <c r="AG393" s="2" t="str">
        <f t="shared" ref="AG393:AG456" si="121">IF(Y393="","",IF($J393&lt;=8,"",IF(($J393-COUNTIF($Z393,"X")*8)=1,CONCATENATE("(",($J393-1),")"),CONCATENATE("(",IF(($J393-COUNTIF($Z393,"X")*8)&gt;=8,COUNTIF($Z393,"X")*8+7,$J393-COUNTIF($Z393,"X")*8-1+COUNTIF($Z393,"X")*8)," downto ",COUNTIF($Z393,"X")*8,")"))))</f>
        <v>(15 downto 8)</v>
      </c>
      <c r="AH393" s="2" t="str">
        <f t="shared" ref="AH393:AH456" si="122">IF(Z393="","",IF($J393&lt;=8,"",CONCATENATE("(",IF($J393&gt;=8,7,$J393-1)," downto ",0,")")))</f>
        <v>(7 downto 0)</v>
      </c>
    </row>
    <row r="394" spans="2:34" x14ac:dyDescent="0.25">
      <c r="B394" s="2" t="s">
        <v>997</v>
      </c>
      <c r="C394" s="2" t="s">
        <v>141</v>
      </c>
      <c r="D394" s="2" t="s">
        <v>0</v>
      </c>
      <c r="E394" s="2" t="s">
        <v>130</v>
      </c>
      <c r="F394" s="2" t="s">
        <v>998</v>
      </c>
      <c r="G394" s="2" t="s">
        <v>999</v>
      </c>
      <c r="H394" s="2" t="s">
        <v>142</v>
      </c>
      <c r="I394" s="2" t="s">
        <v>41</v>
      </c>
      <c r="J394" s="2">
        <v>32</v>
      </c>
      <c r="K394" s="2" t="s">
        <v>132</v>
      </c>
      <c r="L394" s="2" t="s">
        <v>40</v>
      </c>
      <c r="P394" s="2" t="s">
        <v>48</v>
      </c>
      <c r="Q394" s="2">
        <f>INDEX(Tables!$C$4:$C$28,MATCH($P394,Tables!$B$4:$B$28,0))</f>
        <v>32</v>
      </c>
      <c r="R394" s="2">
        <f>INDEX(Tables!$D$4:$D$28,MATCH($P394,Tables!$B$4:$B$28,0))</f>
        <v>4</v>
      </c>
      <c r="S394" s="2">
        <f>$S393+$R393+INDEX(Tables!$N$5:$Q$8,MATCH(MOD($S393+$R393,4),Tables!$M$5:$M$8,0),MATCH($R394,Tables!$N$4:$Q$4,0))</f>
        <v>1392</v>
      </c>
      <c r="T394" s="2" t="str">
        <f t="shared" si="108"/>
        <v>0570</v>
      </c>
      <c r="U394" s="2">
        <f t="shared" si="114"/>
        <v>348</v>
      </c>
      <c r="V394" s="2" t="str">
        <f t="shared" si="109"/>
        <v>15C</v>
      </c>
      <c r="W394" s="2" t="str">
        <f t="shared" si="110"/>
        <v>X</v>
      </c>
      <c r="X394" s="2" t="str">
        <f t="shared" si="113"/>
        <v>X</v>
      </c>
      <c r="Y394" s="2" t="str">
        <f t="shared" si="111"/>
        <v>X</v>
      </c>
      <c r="Z394" s="2" t="str">
        <f t="shared" si="112"/>
        <v>X</v>
      </c>
      <c r="AA394" s="2" t="str">
        <f t="shared" si="115"/>
        <v>(31 downto 24)</v>
      </c>
      <c r="AB394" s="2" t="str">
        <f t="shared" si="116"/>
        <v>(23 downto 16)</v>
      </c>
      <c r="AC394" s="2" t="str">
        <f t="shared" si="117"/>
        <v>(15 downto 8)</v>
      </c>
      <c r="AD394" s="2" t="str">
        <f t="shared" si="118"/>
        <v>(7 downto 0)</v>
      </c>
      <c r="AE394" s="2" t="str">
        <f t="shared" si="119"/>
        <v>(31 downto 24)</v>
      </c>
      <c r="AF394" s="2" t="str">
        <f t="shared" si="120"/>
        <v>(23 downto 16)</v>
      </c>
      <c r="AG394" s="2" t="str">
        <f t="shared" si="121"/>
        <v>(15 downto 8)</v>
      </c>
      <c r="AH394" s="2" t="str">
        <f t="shared" si="122"/>
        <v>(7 downto 0)</v>
      </c>
    </row>
    <row r="395" spans="2:34" x14ac:dyDescent="0.25">
      <c r="B395" s="2" t="s">
        <v>1000</v>
      </c>
      <c r="C395" s="2" t="s">
        <v>141</v>
      </c>
      <c r="D395" s="2" t="s">
        <v>0</v>
      </c>
      <c r="E395" s="2" t="s">
        <v>130</v>
      </c>
      <c r="F395" s="2" t="s">
        <v>1001</v>
      </c>
      <c r="G395" s="2" t="s">
        <v>1002</v>
      </c>
      <c r="H395" s="2" t="s">
        <v>142</v>
      </c>
      <c r="I395" s="2" t="s">
        <v>41</v>
      </c>
      <c r="J395" s="2">
        <v>32</v>
      </c>
      <c r="K395" s="2" t="s">
        <v>132</v>
      </c>
      <c r="L395" s="2" t="s">
        <v>40</v>
      </c>
      <c r="P395" s="2" t="s">
        <v>48</v>
      </c>
      <c r="Q395" s="2">
        <f>INDEX(Tables!$C$4:$C$28,MATCH($P395,Tables!$B$4:$B$28,0))</f>
        <v>32</v>
      </c>
      <c r="R395" s="2">
        <f>INDEX(Tables!$D$4:$D$28,MATCH($P395,Tables!$B$4:$B$28,0))</f>
        <v>4</v>
      </c>
      <c r="S395" s="2">
        <f>$S394+$R394+INDEX(Tables!$N$5:$Q$8,MATCH(MOD($S394+$R394,4),Tables!$M$5:$M$8,0),MATCH($R395,Tables!$N$4:$Q$4,0))</f>
        <v>1396</v>
      </c>
      <c r="T395" s="2" t="str">
        <f t="shared" si="108"/>
        <v>0574</v>
      </c>
      <c r="U395" s="2">
        <f t="shared" si="114"/>
        <v>349</v>
      </c>
      <c r="V395" s="2" t="str">
        <f t="shared" si="109"/>
        <v>15D</v>
      </c>
      <c r="W395" s="2" t="str">
        <f t="shared" si="110"/>
        <v>X</v>
      </c>
      <c r="X395" s="2" t="str">
        <f t="shared" si="113"/>
        <v>X</v>
      </c>
      <c r="Y395" s="2" t="str">
        <f t="shared" si="111"/>
        <v>X</v>
      </c>
      <c r="Z395" s="2" t="str">
        <f t="shared" si="112"/>
        <v>X</v>
      </c>
      <c r="AA395" s="2" t="str">
        <f t="shared" si="115"/>
        <v>(31 downto 24)</v>
      </c>
      <c r="AB395" s="2" t="str">
        <f t="shared" si="116"/>
        <v>(23 downto 16)</v>
      </c>
      <c r="AC395" s="2" t="str">
        <f t="shared" si="117"/>
        <v>(15 downto 8)</v>
      </c>
      <c r="AD395" s="2" t="str">
        <f t="shared" si="118"/>
        <v>(7 downto 0)</v>
      </c>
      <c r="AE395" s="2" t="str">
        <f t="shared" si="119"/>
        <v>(31 downto 24)</v>
      </c>
      <c r="AF395" s="2" t="str">
        <f t="shared" si="120"/>
        <v>(23 downto 16)</v>
      </c>
      <c r="AG395" s="2" t="str">
        <f t="shared" si="121"/>
        <v>(15 downto 8)</v>
      </c>
      <c r="AH395" s="2" t="str">
        <f t="shared" si="122"/>
        <v>(7 downto 0)</v>
      </c>
    </row>
    <row r="396" spans="2:34" x14ac:dyDescent="0.25">
      <c r="B396" s="2" t="s">
        <v>1003</v>
      </c>
      <c r="C396" s="2" t="s">
        <v>141</v>
      </c>
      <c r="D396" s="2" t="s">
        <v>0</v>
      </c>
      <c r="E396" s="2" t="s">
        <v>130</v>
      </c>
      <c r="F396" s="2" t="s">
        <v>1004</v>
      </c>
      <c r="G396" s="2" t="s">
        <v>1005</v>
      </c>
      <c r="H396" s="2" t="s">
        <v>142</v>
      </c>
      <c r="I396" s="2" t="s">
        <v>41</v>
      </c>
      <c r="J396" s="2">
        <v>32</v>
      </c>
      <c r="K396" s="2" t="s">
        <v>132</v>
      </c>
      <c r="L396" s="2" t="s">
        <v>40</v>
      </c>
      <c r="P396" s="2" t="s">
        <v>48</v>
      </c>
      <c r="Q396" s="2">
        <f>INDEX(Tables!$C$4:$C$28,MATCH($P396,Tables!$B$4:$B$28,0))</f>
        <v>32</v>
      </c>
      <c r="R396" s="2">
        <f>INDEX(Tables!$D$4:$D$28,MATCH($P396,Tables!$B$4:$B$28,0))</f>
        <v>4</v>
      </c>
      <c r="S396" s="2">
        <f>$S395+$R395+INDEX(Tables!$N$5:$Q$8,MATCH(MOD($S395+$R395,4),Tables!$M$5:$M$8,0),MATCH($R396,Tables!$N$4:$Q$4,0))</f>
        <v>1400</v>
      </c>
      <c r="T396" s="2" t="str">
        <f t="shared" si="108"/>
        <v>0578</v>
      </c>
      <c r="U396" s="2">
        <f t="shared" si="114"/>
        <v>350</v>
      </c>
      <c r="V396" s="2" t="str">
        <f t="shared" si="109"/>
        <v>15E</v>
      </c>
      <c r="W396" s="2" t="str">
        <f t="shared" si="110"/>
        <v>X</v>
      </c>
      <c r="X396" s="2" t="str">
        <f t="shared" si="113"/>
        <v>X</v>
      </c>
      <c r="Y396" s="2" t="str">
        <f t="shared" si="111"/>
        <v>X</v>
      </c>
      <c r="Z396" s="2" t="str">
        <f t="shared" si="112"/>
        <v>X</v>
      </c>
      <c r="AA396" s="2" t="str">
        <f t="shared" si="115"/>
        <v>(31 downto 24)</v>
      </c>
      <c r="AB396" s="2" t="str">
        <f t="shared" si="116"/>
        <v>(23 downto 16)</v>
      </c>
      <c r="AC396" s="2" t="str">
        <f t="shared" si="117"/>
        <v>(15 downto 8)</v>
      </c>
      <c r="AD396" s="2" t="str">
        <f t="shared" si="118"/>
        <v>(7 downto 0)</v>
      </c>
      <c r="AE396" s="2" t="str">
        <f t="shared" si="119"/>
        <v>(31 downto 24)</v>
      </c>
      <c r="AF396" s="2" t="str">
        <f t="shared" si="120"/>
        <v>(23 downto 16)</v>
      </c>
      <c r="AG396" s="2" t="str">
        <f t="shared" si="121"/>
        <v>(15 downto 8)</v>
      </c>
      <c r="AH396" s="2" t="str">
        <f t="shared" si="122"/>
        <v>(7 downto 0)</v>
      </c>
    </row>
    <row r="397" spans="2:34" x14ac:dyDescent="0.25">
      <c r="B397" s="2" t="s">
        <v>1006</v>
      </c>
      <c r="C397" s="2" t="s">
        <v>141</v>
      </c>
      <c r="D397" s="2" t="s">
        <v>0</v>
      </c>
      <c r="E397" s="2" t="s">
        <v>130</v>
      </c>
      <c r="F397" s="2" t="s">
        <v>1007</v>
      </c>
      <c r="G397" s="2" t="s">
        <v>1008</v>
      </c>
      <c r="H397" s="2" t="s">
        <v>142</v>
      </c>
      <c r="I397" s="2" t="s">
        <v>41</v>
      </c>
      <c r="J397" s="2">
        <v>32</v>
      </c>
      <c r="K397" s="2" t="s">
        <v>132</v>
      </c>
      <c r="L397" s="2" t="s">
        <v>40</v>
      </c>
      <c r="P397" s="2" t="s">
        <v>48</v>
      </c>
      <c r="Q397" s="2">
        <f>INDEX(Tables!$C$4:$C$28,MATCH($P397,Tables!$B$4:$B$28,0))</f>
        <v>32</v>
      </c>
      <c r="R397" s="2">
        <f>INDEX(Tables!$D$4:$D$28,MATCH($P397,Tables!$B$4:$B$28,0))</f>
        <v>4</v>
      </c>
      <c r="S397" s="2">
        <f>$S396+$R396+INDEX(Tables!$N$5:$Q$8,MATCH(MOD($S396+$R396,4),Tables!$M$5:$M$8,0),MATCH($R397,Tables!$N$4:$Q$4,0))</f>
        <v>1404</v>
      </c>
      <c r="T397" s="2" t="str">
        <f t="shared" si="108"/>
        <v>057C</v>
      </c>
      <c r="U397" s="2">
        <f t="shared" si="114"/>
        <v>351</v>
      </c>
      <c r="V397" s="2" t="str">
        <f t="shared" si="109"/>
        <v>15F</v>
      </c>
      <c r="W397" s="2" t="str">
        <f t="shared" si="110"/>
        <v>X</v>
      </c>
      <c r="X397" s="2" t="str">
        <f t="shared" si="113"/>
        <v>X</v>
      </c>
      <c r="Y397" s="2" t="str">
        <f t="shared" si="111"/>
        <v>X</v>
      </c>
      <c r="Z397" s="2" t="str">
        <f t="shared" si="112"/>
        <v>X</v>
      </c>
      <c r="AA397" s="2" t="str">
        <f t="shared" si="115"/>
        <v>(31 downto 24)</v>
      </c>
      <c r="AB397" s="2" t="str">
        <f t="shared" si="116"/>
        <v>(23 downto 16)</v>
      </c>
      <c r="AC397" s="2" t="str">
        <f t="shared" si="117"/>
        <v>(15 downto 8)</v>
      </c>
      <c r="AD397" s="2" t="str">
        <f t="shared" si="118"/>
        <v>(7 downto 0)</v>
      </c>
      <c r="AE397" s="2" t="str">
        <f t="shared" si="119"/>
        <v>(31 downto 24)</v>
      </c>
      <c r="AF397" s="2" t="str">
        <f t="shared" si="120"/>
        <v>(23 downto 16)</v>
      </c>
      <c r="AG397" s="2" t="str">
        <f t="shared" si="121"/>
        <v>(15 downto 8)</v>
      </c>
      <c r="AH397" s="2" t="str">
        <f t="shared" si="122"/>
        <v>(7 downto 0)</v>
      </c>
    </row>
    <row r="398" spans="2:34" x14ac:dyDescent="0.25">
      <c r="B398" s="2" t="s">
        <v>1009</v>
      </c>
      <c r="C398" s="2" t="s">
        <v>141</v>
      </c>
      <c r="D398" s="2" t="s">
        <v>0</v>
      </c>
      <c r="E398" s="2" t="s">
        <v>130</v>
      </c>
      <c r="F398" s="2" t="s">
        <v>1010</v>
      </c>
      <c r="G398" s="2" t="s">
        <v>1011</v>
      </c>
      <c r="H398" s="2" t="s">
        <v>142</v>
      </c>
      <c r="I398" s="2" t="s">
        <v>41</v>
      </c>
      <c r="J398" s="2">
        <v>32</v>
      </c>
      <c r="K398" s="2" t="s">
        <v>132</v>
      </c>
      <c r="L398" s="2" t="s">
        <v>40</v>
      </c>
      <c r="P398" s="2" t="s">
        <v>48</v>
      </c>
      <c r="Q398" s="2">
        <f>INDEX(Tables!$C$4:$C$28,MATCH($P398,Tables!$B$4:$B$28,0))</f>
        <v>32</v>
      </c>
      <c r="R398" s="2">
        <f>INDEX(Tables!$D$4:$D$28,MATCH($P398,Tables!$B$4:$B$28,0))</f>
        <v>4</v>
      </c>
      <c r="S398" s="2">
        <f>$S397+$R397+INDEX(Tables!$N$5:$Q$8,MATCH(MOD($S397+$R397,4),Tables!$M$5:$M$8,0),MATCH($R398,Tables!$N$4:$Q$4,0))</f>
        <v>1408</v>
      </c>
      <c r="T398" s="2" t="str">
        <f t="shared" si="108"/>
        <v>0580</v>
      </c>
      <c r="U398" s="2">
        <f t="shared" si="114"/>
        <v>352</v>
      </c>
      <c r="V398" s="2" t="str">
        <f t="shared" si="109"/>
        <v>160</v>
      </c>
      <c r="W398" s="2" t="str">
        <f t="shared" si="110"/>
        <v>X</v>
      </c>
      <c r="X398" s="2" t="str">
        <f t="shared" si="113"/>
        <v>X</v>
      </c>
      <c r="Y398" s="2" t="str">
        <f t="shared" si="111"/>
        <v>X</v>
      </c>
      <c r="Z398" s="2" t="str">
        <f t="shared" si="112"/>
        <v>X</v>
      </c>
      <c r="AA398" s="2" t="str">
        <f t="shared" si="115"/>
        <v>(31 downto 24)</v>
      </c>
      <c r="AB398" s="2" t="str">
        <f t="shared" si="116"/>
        <v>(23 downto 16)</v>
      </c>
      <c r="AC398" s="2" t="str">
        <f t="shared" si="117"/>
        <v>(15 downto 8)</v>
      </c>
      <c r="AD398" s="2" t="str">
        <f t="shared" si="118"/>
        <v>(7 downto 0)</v>
      </c>
      <c r="AE398" s="2" t="str">
        <f t="shared" si="119"/>
        <v>(31 downto 24)</v>
      </c>
      <c r="AF398" s="2" t="str">
        <f t="shared" si="120"/>
        <v>(23 downto 16)</v>
      </c>
      <c r="AG398" s="2" t="str">
        <f t="shared" si="121"/>
        <v>(15 downto 8)</v>
      </c>
      <c r="AH398" s="2" t="str">
        <f t="shared" si="122"/>
        <v>(7 downto 0)</v>
      </c>
    </row>
    <row r="399" spans="2:34" x14ac:dyDescent="0.25">
      <c r="B399" s="2" t="s">
        <v>1012</v>
      </c>
      <c r="C399" s="2" t="s">
        <v>141</v>
      </c>
      <c r="D399" s="2" t="s">
        <v>0</v>
      </c>
      <c r="E399" s="2" t="s">
        <v>130</v>
      </c>
      <c r="F399" s="2" t="s">
        <v>1013</v>
      </c>
      <c r="G399" s="2" t="s">
        <v>1014</v>
      </c>
      <c r="H399" s="2" t="s">
        <v>142</v>
      </c>
      <c r="I399" s="2" t="s">
        <v>41</v>
      </c>
      <c r="J399" s="2">
        <v>32</v>
      </c>
      <c r="K399" s="2" t="s">
        <v>132</v>
      </c>
      <c r="L399" s="2" t="s">
        <v>40</v>
      </c>
      <c r="P399" s="2" t="s">
        <v>48</v>
      </c>
      <c r="Q399" s="2">
        <f>INDEX(Tables!$C$4:$C$28,MATCH($P399,Tables!$B$4:$B$28,0))</f>
        <v>32</v>
      </c>
      <c r="R399" s="2">
        <f>INDEX(Tables!$D$4:$D$28,MATCH($P399,Tables!$B$4:$B$28,0))</f>
        <v>4</v>
      </c>
      <c r="S399" s="2">
        <f>$S398+$R398+INDEX(Tables!$N$5:$Q$8,MATCH(MOD($S398+$R398,4),Tables!$M$5:$M$8,0),MATCH($R399,Tables!$N$4:$Q$4,0))</f>
        <v>1412</v>
      </c>
      <c r="T399" s="2" t="str">
        <f t="shared" si="108"/>
        <v>0584</v>
      </c>
      <c r="U399" s="2">
        <f t="shared" si="114"/>
        <v>353</v>
      </c>
      <c r="V399" s="2" t="str">
        <f t="shared" si="109"/>
        <v>161</v>
      </c>
      <c r="W399" s="2" t="str">
        <f t="shared" si="110"/>
        <v>X</v>
      </c>
      <c r="X399" s="2" t="str">
        <f t="shared" si="113"/>
        <v>X</v>
      </c>
      <c r="Y399" s="2" t="str">
        <f t="shared" si="111"/>
        <v>X</v>
      </c>
      <c r="Z399" s="2" t="str">
        <f t="shared" si="112"/>
        <v>X</v>
      </c>
      <c r="AA399" s="2" t="str">
        <f t="shared" si="115"/>
        <v>(31 downto 24)</v>
      </c>
      <c r="AB399" s="2" t="str">
        <f t="shared" si="116"/>
        <v>(23 downto 16)</v>
      </c>
      <c r="AC399" s="2" t="str">
        <f t="shared" si="117"/>
        <v>(15 downto 8)</v>
      </c>
      <c r="AD399" s="2" t="str">
        <f t="shared" si="118"/>
        <v>(7 downto 0)</v>
      </c>
      <c r="AE399" s="2" t="str">
        <f t="shared" si="119"/>
        <v>(31 downto 24)</v>
      </c>
      <c r="AF399" s="2" t="str">
        <f t="shared" si="120"/>
        <v>(23 downto 16)</v>
      </c>
      <c r="AG399" s="2" t="str">
        <f t="shared" si="121"/>
        <v>(15 downto 8)</v>
      </c>
      <c r="AH399" s="2" t="str">
        <f t="shared" si="122"/>
        <v>(7 downto 0)</v>
      </c>
    </row>
    <row r="400" spans="2:34" x14ac:dyDescent="0.25">
      <c r="B400" s="2" t="s">
        <v>1015</v>
      </c>
      <c r="C400" s="2" t="s">
        <v>141</v>
      </c>
      <c r="D400" s="2" t="s">
        <v>0</v>
      </c>
      <c r="E400" s="2" t="s">
        <v>130</v>
      </c>
      <c r="F400" s="2" t="s">
        <v>1016</v>
      </c>
      <c r="G400" s="2" t="s">
        <v>1017</v>
      </c>
      <c r="H400" s="2" t="s">
        <v>142</v>
      </c>
      <c r="I400" s="2" t="s">
        <v>41</v>
      </c>
      <c r="J400" s="2">
        <v>32</v>
      </c>
      <c r="K400" s="2" t="s">
        <v>132</v>
      </c>
      <c r="L400" s="2" t="s">
        <v>40</v>
      </c>
      <c r="P400" s="2" t="s">
        <v>48</v>
      </c>
      <c r="Q400" s="2">
        <f>INDEX(Tables!$C$4:$C$28,MATCH($P400,Tables!$B$4:$B$28,0))</f>
        <v>32</v>
      </c>
      <c r="R400" s="2">
        <f>INDEX(Tables!$D$4:$D$28,MATCH($P400,Tables!$B$4:$B$28,0))</f>
        <v>4</v>
      </c>
      <c r="S400" s="2">
        <f>$S399+$R399+INDEX(Tables!$N$5:$Q$8,MATCH(MOD($S399+$R399,4),Tables!$M$5:$M$8,0),MATCH($R400,Tables!$N$4:$Q$4,0))</f>
        <v>1416</v>
      </c>
      <c r="T400" s="2" t="str">
        <f t="shared" si="108"/>
        <v>0588</v>
      </c>
      <c r="U400" s="2">
        <f t="shared" si="114"/>
        <v>354</v>
      </c>
      <c r="V400" s="2" t="str">
        <f t="shared" si="109"/>
        <v>162</v>
      </c>
      <c r="W400" s="2" t="str">
        <f t="shared" si="110"/>
        <v>X</v>
      </c>
      <c r="X400" s="2" t="str">
        <f t="shared" si="113"/>
        <v>X</v>
      </c>
      <c r="Y400" s="2" t="str">
        <f t="shared" si="111"/>
        <v>X</v>
      </c>
      <c r="Z400" s="2" t="str">
        <f t="shared" si="112"/>
        <v>X</v>
      </c>
      <c r="AA400" s="2" t="str">
        <f t="shared" si="115"/>
        <v>(31 downto 24)</v>
      </c>
      <c r="AB400" s="2" t="str">
        <f t="shared" si="116"/>
        <v>(23 downto 16)</v>
      </c>
      <c r="AC400" s="2" t="str">
        <f t="shared" si="117"/>
        <v>(15 downto 8)</v>
      </c>
      <c r="AD400" s="2" t="str">
        <f t="shared" si="118"/>
        <v>(7 downto 0)</v>
      </c>
      <c r="AE400" s="2" t="str">
        <f t="shared" si="119"/>
        <v>(31 downto 24)</v>
      </c>
      <c r="AF400" s="2" t="str">
        <f t="shared" si="120"/>
        <v>(23 downto 16)</v>
      </c>
      <c r="AG400" s="2" t="str">
        <f t="shared" si="121"/>
        <v>(15 downto 8)</v>
      </c>
      <c r="AH400" s="2" t="str">
        <f t="shared" si="122"/>
        <v>(7 downto 0)</v>
      </c>
    </row>
    <row r="401" spans="2:34" x14ac:dyDescent="0.25">
      <c r="B401" s="2" t="s">
        <v>1018</v>
      </c>
      <c r="C401" s="2" t="s">
        <v>141</v>
      </c>
      <c r="D401" s="2" t="s">
        <v>0</v>
      </c>
      <c r="E401" s="2" t="s">
        <v>130</v>
      </c>
      <c r="F401" s="2" t="s">
        <v>1019</v>
      </c>
      <c r="G401" s="2" t="s">
        <v>1020</v>
      </c>
      <c r="H401" s="2" t="s">
        <v>142</v>
      </c>
      <c r="I401" s="2" t="s">
        <v>41</v>
      </c>
      <c r="J401" s="2">
        <v>32</v>
      </c>
      <c r="K401" s="2" t="s">
        <v>132</v>
      </c>
      <c r="L401" s="2" t="s">
        <v>40</v>
      </c>
      <c r="P401" s="2" t="s">
        <v>48</v>
      </c>
      <c r="Q401" s="2">
        <f>INDEX(Tables!$C$4:$C$28,MATCH($P401,Tables!$B$4:$B$28,0))</f>
        <v>32</v>
      </c>
      <c r="R401" s="2">
        <f>INDEX(Tables!$D$4:$D$28,MATCH($P401,Tables!$B$4:$B$28,0))</f>
        <v>4</v>
      </c>
      <c r="S401" s="2">
        <f>$S400+$R400+INDEX(Tables!$N$5:$Q$8,MATCH(MOD($S400+$R400,4),Tables!$M$5:$M$8,0),MATCH($R401,Tables!$N$4:$Q$4,0))</f>
        <v>1420</v>
      </c>
      <c r="T401" s="2" t="str">
        <f t="shared" si="108"/>
        <v>058C</v>
      </c>
      <c r="U401" s="2">
        <f t="shared" si="114"/>
        <v>355</v>
      </c>
      <c r="V401" s="2" t="str">
        <f t="shared" si="109"/>
        <v>163</v>
      </c>
      <c r="W401" s="2" t="str">
        <f t="shared" si="110"/>
        <v>X</v>
      </c>
      <c r="X401" s="2" t="str">
        <f t="shared" si="113"/>
        <v>X</v>
      </c>
      <c r="Y401" s="2" t="str">
        <f t="shared" si="111"/>
        <v>X</v>
      </c>
      <c r="Z401" s="2" t="str">
        <f t="shared" si="112"/>
        <v>X</v>
      </c>
      <c r="AA401" s="2" t="str">
        <f t="shared" si="115"/>
        <v>(31 downto 24)</v>
      </c>
      <c r="AB401" s="2" t="str">
        <f t="shared" si="116"/>
        <v>(23 downto 16)</v>
      </c>
      <c r="AC401" s="2" t="str">
        <f t="shared" si="117"/>
        <v>(15 downto 8)</v>
      </c>
      <c r="AD401" s="2" t="str">
        <f t="shared" si="118"/>
        <v>(7 downto 0)</v>
      </c>
      <c r="AE401" s="2" t="str">
        <f t="shared" si="119"/>
        <v>(31 downto 24)</v>
      </c>
      <c r="AF401" s="2" t="str">
        <f t="shared" si="120"/>
        <v>(23 downto 16)</v>
      </c>
      <c r="AG401" s="2" t="str">
        <f t="shared" si="121"/>
        <v>(15 downto 8)</v>
      </c>
      <c r="AH401" s="2" t="str">
        <f t="shared" si="122"/>
        <v>(7 downto 0)</v>
      </c>
    </row>
    <row r="402" spans="2:34" x14ac:dyDescent="0.25">
      <c r="B402" s="2" t="s">
        <v>1021</v>
      </c>
      <c r="C402" s="2" t="s">
        <v>141</v>
      </c>
      <c r="D402" s="2" t="s">
        <v>0</v>
      </c>
      <c r="E402" s="2" t="s">
        <v>130</v>
      </c>
      <c r="F402" s="2" t="s">
        <v>1022</v>
      </c>
      <c r="G402" s="2" t="s">
        <v>1023</v>
      </c>
      <c r="H402" s="2" t="s">
        <v>142</v>
      </c>
      <c r="I402" s="2" t="s">
        <v>41</v>
      </c>
      <c r="J402" s="2">
        <v>32</v>
      </c>
      <c r="K402" s="2" t="s">
        <v>132</v>
      </c>
      <c r="L402" s="2" t="s">
        <v>40</v>
      </c>
      <c r="P402" s="2" t="s">
        <v>48</v>
      </c>
      <c r="Q402" s="2">
        <f>INDEX(Tables!$C$4:$C$28,MATCH($P402,Tables!$B$4:$B$28,0))</f>
        <v>32</v>
      </c>
      <c r="R402" s="2">
        <f>INDEX(Tables!$D$4:$D$28,MATCH($P402,Tables!$B$4:$B$28,0))</f>
        <v>4</v>
      </c>
      <c r="S402" s="2">
        <f>$S401+$R401+INDEX(Tables!$N$5:$Q$8,MATCH(MOD($S401+$R401,4),Tables!$M$5:$M$8,0),MATCH($R402,Tables!$N$4:$Q$4,0))</f>
        <v>1424</v>
      </c>
      <c r="T402" s="2" t="str">
        <f t="shared" si="108"/>
        <v>0590</v>
      </c>
      <c r="U402" s="2">
        <f t="shared" si="114"/>
        <v>356</v>
      </c>
      <c r="V402" s="2" t="str">
        <f t="shared" si="109"/>
        <v>164</v>
      </c>
      <c r="W402" s="2" t="str">
        <f t="shared" si="110"/>
        <v>X</v>
      </c>
      <c r="X402" s="2" t="str">
        <f t="shared" si="113"/>
        <v>X</v>
      </c>
      <c r="Y402" s="2" t="str">
        <f t="shared" si="111"/>
        <v>X</v>
      </c>
      <c r="Z402" s="2" t="str">
        <f t="shared" si="112"/>
        <v>X</v>
      </c>
      <c r="AA402" s="2" t="str">
        <f t="shared" si="115"/>
        <v>(31 downto 24)</v>
      </c>
      <c r="AB402" s="2" t="str">
        <f t="shared" si="116"/>
        <v>(23 downto 16)</v>
      </c>
      <c r="AC402" s="2" t="str">
        <f t="shared" si="117"/>
        <v>(15 downto 8)</v>
      </c>
      <c r="AD402" s="2" t="str">
        <f t="shared" si="118"/>
        <v>(7 downto 0)</v>
      </c>
      <c r="AE402" s="2" t="str">
        <f t="shared" si="119"/>
        <v>(31 downto 24)</v>
      </c>
      <c r="AF402" s="2" t="str">
        <f t="shared" si="120"/>
        <v>(23 downto 16)</v>
      </c>
      <c r="AG402" s="2" t="str">
        <f t="shared" si="121"/>
        <v>(15 downto 8)</v>
      </c>
      <c r="AH402" s="2" t="str">
        <f t="shared" si="122"/>
        <v>(7 downto 0)</v>
      </c>
    </row>
    <row r="403" spans="2:34" x14ac:dyDescent="0.25">
      <c r="B403" s="2" t="s">
        <v>1024</v>
      </c>
      <c r="C403" s="2" t="s">
        <v>141</v>
      </c>
      <c r="D403" s="2" t="s">
        <v>0</v>
      </c>
      <c r="E403" s="2" t="s">
        <v>130</v>
      </c>
      <c r="F403" s="2" t="s">
        <v>1025</v>
      </c>
      <c r="G403" s="2" t="s">
        <v>1026</v>
      </c>
      <c r="H403" s="2" t="s">
        <v>142</v>
      </c>
      <c r="I403" s="2" t="s">
        <v>41</v>
      </c>
      <c r="J403" s="2">
        <v>32</v>
      </c>
      <c r="K403" s="2" t="s">
        <v>132</v>
      </c>
      <c r="L403" s="2" t="s">
        <v>40</v>
      </c>
      <c r="P403" s="2" t="s">
        <v>48</v>
      </c>
      <c r="Q403" s="2">
        <f>INDEX(Tables!$C$4:$C$28,MATCH($P403,Tables!$B$4:$B$28,0))</f>
        <v>32</v>
      </c>
      <c r="R403" s="2">
        <f>INDEX(Tables!$D$4:$D$28,MATCH($P403,Tables!$B$4:$B$28,0))</f>
        <v>4</v>
      </c>
      <c r="S403" s="2">
        <f>$S402+$R402+INDEX(Tables!$N$5:$Q$8,MATCH(MOD($S402+$R402,4),Tables!$M$5:$M$8,0),MATCH($R403,Tables!$N$4:$Q$4,0))</f>
        <v>1428</v>
      </c>
      <c r="T403" s="2" t="str">
        <f t="shared" si="108"/>
        <v>0594</v>
      </c>
      <c r="U403" s="2">
        <f t="shared" si="114"/>
        <v>357</v>
      </c>
      <c r="V403" s="2" t="str">
        <f t="shared" si="109"/>
        <v>165</v>
      </c>
      <c r="W403" s="2" t="str">
        <f t="shared" si="110"/>
        <v>X</v>
      </c>
      <c r="X403" s="2" t="str">
        <f t="shared" si="113"/>
        <v>X</v>
      </c>
      <c r="Y403" s="2" t="str">
        <f t="shared" si="111"/>
        <v>X</v>
      </c>
      <c r="Z403" s="2" t="str">
        <f t="shared" si="112"/>
        <v>X</v>
      </c>
      <c r="AA403" s="2" t="str">
        <f t="shared" si="115"/>
        <v>(31 downto 24)</v>
      </c>
      <c r="AB403" s="2" t="str">
        <f t="shared" si="116"/>
        <v>(23 downto 16)</v>
      </c>
      <c r="AC403" s="2" t="str">
        <f t="shared" si="117"/>
        <v>(15 downto 8)</v>
      </c>
      <c r="AD403" s="2" t="str">
        <f t="shared" si="118"/>
        <v>(7 downto 0)</v>
      </c>
      <c r="AE403" s="2" t="str">
        <f t="shared" si="119"/>
        <v>(31 downto 24)</v>
      </c>
      <c r="AF403" s="2" t="str">
        <f t="shared" si="120"/>
        <v>(23 downto 16)</v>
      </c>
      <c r="AG403" s="2" t="str">
        <f t="shared" si="121"/>
        <v>(15 downto 8)</v>
      </c>
      <c r="AH403" s="2" t="str">
        <f t="shared" si="122"/>
        <v>(7 downto 0)</v>
      </c>
    </row>
    <row r="404" spans="2:34" x14ac:dyDescent="0.25">
      <c r="B404" s="2" t="s">
        <v>1027</v>
      </c>
      <c r="C404" s="2" t="s">
        <v>141</v>
      </c>
      <c r="D404" s="2" t="s">
        <v>0</v>
      </c>
      <c r="E404" s="2" t="s">
        <v>130</v>
      </c>
      <c r="F404" s="2" t="s">
        <v>1028</v>
      </c>
      <c r="G404" s="2" t="s">
        <v>1029</v>
      </c>
      <c r="H404" s="2" t="s">
        <v>142</v>
      </c>
      <c r="I404" s="2" t="s">
        <v>41</v>
      </c>
      <c r="J404" s="2">
        <v>32</v>
      </c>
      <c r="K404" s="2" t="s">
        <v>132</v>
      </c>
      <c r="L404" s="2" t="s">
        <v>40</v>
      </c>
      <c r="P404" s="2" t="s">
        <v>48</v>
      </c>
      <c r="Q404" s="2">
        <f>INDEX(Tables!$C$4:$C$28,MATCH($P404,Tables!$B$4:$B$28,0))</f>
        <v>32</v>
      </c>
      <c r="R404" s="2">
        <f>INDEX(Tables!$D$4:$D$28,MATCH($P404,Tables!$B$4:$B$28,0))</f>
        <v>4</v>
      </c>
      <c r="S404" s="2">
        <f>$S403+$R403+INDEX(Tables!$N$5:$Q$8,MATCH(MOD($S403+$R403,4),Tables!$M$5:$M$8,0),MATCH($R404,Tables!$N$4:$Q$4,0))</f>
        <v>1432</v>
      </c>
      <c r="T404" s="2" t="str">
        <f t="shared" si="108"/>
        <v>0598</v>
      </c>
      <c r="U404" s="2">
        <f t="shared" si="114"/>
        <v>358</v>
      </c>
      <c r="V404" s="2" t="str">
        <f t="shared" si="109"/>
        <v>166</v>
      </c>
      <c r="W404" s="2" t="str">
        <f t="shared" si="110"/>
        <v>X</v>
      </c>
      <c r="X404" s="2" t="str">
        <f t="shared" si="113"/>
        <v>X</v>
      </c>
      <c r="Y404" s="2" t="str">
        <f t="shared" si="111"/>
        <v>X</v>
      </c>
      <c r="Z404" s="2" t="str">
        <f t="shared" si="112"/>
        <v>X</v>
      </c>
      <c r="AA404" s="2" t="str">
        <f t="shared" si="115"/>
        <v>(31 downto 24)</v>
      </c>
      <c r="AB404" s="2" t="str">
        <f t="shared" si="116"/>
        <v>(23 downto 16)</v>
      </c>
      <c r="AC404" s="2" t="str">
        <f t="shared" si="117"/>
        <v>(15 downto 8)</v>
      </c>
      <c r="AD404" s="2" t="str">
        <f t="shared" si="118"/>
        <v>(7 downto 0)</v>
      </c>
      <c r="AE404" s="2" t="str">
        <f t="shared" si="119"/>
        <v>(31 downto 24)</v>
      </c>
      <c r="AF404" s="2" t="str">
        <f t="shared" si="120"/>
        <v>(23 downto 16)</v>
      </c>
      <c r="AG404" s="2" t="str">
        <f t="shared" si="121"/>
        <v>(15 downto 8)</v>
      </c>
      <c r="AH404" s="2" t="str">
        <f t="shared" si="122"/>
        <v>(7 downto 0)</v>
      </c>
    </row>
    <row r="405" spans="2:34" x14ac:dyDescent="0.25">
      <c r="B405" s="2" t="s">
        <v>1030</v>
      </c>
      <c r="C405" s="2" t="s">
        <v>141</v>
      </c>
      <c r="D405" s="2" t="s">
        <v>0</v>
      </c>
      <c r="E405" s="2" t="s">
        <v>130</v>
      </c>
      <c r="F405" s="2" t="s">
        <v>1031</v>
      </c>
      <c r="G405" s="2" t="s">
        <v>1032</v>
      </c>
      <c r="H405" s="2" t="s">
        <v>142</v>
      </c>
      <c r="I405" s="2" t="s">
        <v>41</v>
      </c>
      <c r="J405" s="2">
        <v>32</v>
      </c>
      <c r="K405" s="2" t="s">
        <v>132</v>
      </c>
      <c r="L405" s="2" t="s">
        <v>40</v>
      </c>
      <c r="P405" s="2" t="s">
        <v>48</v>
      </c>
      <c r="Q405" s="2">
        <f>INDEX(Tables!$C$4:$C$28,MATCH($P405,Tables!$B$4:$B$28,0))</f>
        <v>32</v>
      </c>
      <c r="R405" s="2">
        <f>INDEX(Tables!$D$4:$D$28,MATCH($P405,Tables!$B$4:$B$28,0))</f>
        <v>4</v>
      </c>
      <c r="S405" s="2">
        <f>$S404+$R404+INDEX(Tables!$N$5:$Q$8,MATCH(MOD($S404+$R404,4),Tables!$M$5:$M$8,0),MATCH($R405,Tables!$N$4:$Q$4,0))</f>
        <v>1436</v>
      </c>
      <c r="T405" s="2" t="str">
        <f t="shared" si="108"/>
        <v>059C</v>
      </c>
      <c r="U405" s="2">
        <f t="shared" si="114"/>
        <v>359</v>
      </c>
      <c r="V405" s="2" t="str">
        <f t="shared" si="109"/>
        <v>167</v>
      </c>
      <c r="W405" s="2" t="str">
        <f t="shared" si="110"/>
        <v>X</v>
      </c>
      <c r="X405" s="2" t="str">
        <f t="shared" si="113"/>
        <v>X</v>
      </c>
      <c r="Y405" s="2" t="str">
        <f t="shared" si="111"/>
        <v>X</v>
      </c>
      <c r="Z405" s="2" t="str">
        <f t="shared" si="112"/>
        <v>X</v>
      </c>
      <c r="AA405" s="2" t="str">
        <f t="shared" si="115"/>
        <v>(31 downto 24)</v>
      </c>
      <c r="AB405" s="2" t="str">
        <f t="shared" si="116"/>
        <v>(23 downto 16)</v>
      </c>
      <c r="AC405" s="2" t="str">
        <f t="shared" si="117"/>
        <v>(15 downto 8)</v>
      </c>
      <c r="AD405" s="2" t="str">
        <f t="shared" si="118"/>
        <v>(7 downto 0)</v>
      </c>
      <c r="AE405" s="2" t="str">
        <f t="shared" si="119"/>
        <v>(31 downto 24)</v>
      </c>
      <c r="AF405" s="2" t="str">
        <f t="shared" si="120"/>
        <v>(23 downto 16)</v>
      </c>
      <c r="AG405" s="2" t="str">
        <f t="shared" si="121"/>
        <v>(15 downto 8)</v>
      </c>
      <c r="AH405" s="2" t="str">
        <f t="shared" si="122"/>
        <v>(7 downto 0)</v>
      </c>
    </row>
    <row r="406" spans="2:34" x14ac:dyDescent="0.25">
      <c r="B406" s="2" t="s">
        <v>1033</v>
      </c>
      <c r="C406" s="2" t="s">
        <v>141</v>
      </c>
      <c r="D406" s="2" t="s">
        <v>0</v>
      </c>
      <c r="E406" s="2" t="s">
        <v>130</v>
      </c>
      <c r="F406" s="2" t="s">
        <v>1034</v>
      </c>
      <c r="G406" s="2" t="s">
        <v>1035</v>
      </c>
      <c r="H406" s="2" t="s">
        <v>142</v>
      </c>
      <c r="I406" s="2" t="s">
        <v>41</v>
      </c>
      <c r="J406" s="2">
        <v>32</v>
      </c>
      <c r="K406" s="2" t="s">
        <v>132</v>
      </c>
      <c r="L406" s="2" t="s">
        <v>40</v>
      </c>
      <c r="P406" s="2" t="s">
        <v>48</v>
      </c>
      <c r="Q406" s="2">
        <f>INDEX(Tables!$C$4:$C$28,MATCH($P406,Tables!$B$4:$B$28,0))</f>
        <v>32</v>
      </c>
      <c r="R406" s="2">
        <f>INDEX(Tables!$D$4:$D$28,MATCH($P406,Tables!$B$4:$B$28,0))</f>
        <v>4</v>
      </c>
      <c r="S406" s="2">
        <f>$S405+$R405+INDEX(Tables!$N$5:$Q$8,MATCH(MOD($S405+$R405,4),Tables!$M$5:$M$8,0),MATCH($R406,Tables!$N$4:$Q$4,0))</f>
        <v>1440</v>
      </c>
      <c r="T406" s="2" t="str">
        <f t="shared" si="108"/>
        <v>05A0</v>
      </c>
      <c r="U406" s="2">
        <f t="shared" si="114"/>
        <v>360</v>
      </c>
      <c r="V406" s="2" t="str">
        <f t="shared" si="109"/>
        <v>168</v>
      </c>
      <c r="W406" s="2" t="str">
        <f t="shared" si="110"/>
        <v>X</v>
      </c>
      <c r="X406" s="2" t="str">
        <f t="shared" si="113"/>
        <v>X</v>
      </c>
      <c r="Y406" s="2" t="str">
        <f t="shared" si="111"/>
        <v>X</v>
      </c>
      <c r="Z406" s="2" t="str">
        <f t="shared" si="112"/>
        <v>X</v>
      </c>
      <c r="AA406" s="2" t="str">
        <f t="shared" si="115"/>
        <v>(31 downto 24)</v>
      </c>
      <c r="AB406" s="2" t="str">
        <f t="shared" si="116"/>
        <v>(23 downto 16)</v>
      </c>
      <c r="AC406" s="2" t="str">
        <f t="shared" si="117"/>
        <v>(15 downto 8)</v>
      </c>
      <c r="AD406" s="2" t="str">
        <f t="shared" si="118"/>
        <v>(7 downto 0)</v>
      </c>
      <c r="AE406" s="2" t="str">
        <f t="shared" si="119"/>
        <v>(31 downto 24)</v>
      </c>
      <c r="AF406" s="2" t="str">
        <f t="shared" si="120"/>
        <v>(23 downto 16)</v>
      </c>
      <c r="AG406" s="2" t="str">
        <f t="shared" si="121"/>
        <v>(15 downto 8)</v>
      </c>
      <c r="AH406" s="2" t="str">
        <f t="shared" si="122"/>
        <v>(7 downto 0)</v>
      </c>
    </row>
    <row r="407" spans="2:34" x14ac:dyDescent="0.25">
      <c r="B407" s="2" t="s">
        <v>1036</v>
      </c>
      <c r="C407" s="2" t="s">
        <v>141</v>
      </c>
      <c r="D407" s="2" t="s">
        <v>0</v>
      </c>
      <c r="E407" s="2" t="s">
        <v>130</v>
      </c>
      <c r="F407" s="2" t="s">
        <v>1037</v>
      </c>
      <c r="G407" s="2" t="s">
        <v>1038</v>
      </c>
      <c r="H407" s="2" t="s">
        <v>142</v>
      </c>
      <c r="I407" s="2" t="s">
        <v>41</v>
      </c>
      <c r="J407" s="2">
        <v>32</v>
      </c>
      <c r="K407" s="2" t="s">
        <v>132</v>
      </c>
      <c r="L407" s="2" t="s">
        <v>40</v>
      </c>
      <c r="P407" s="2" t="s">
        <v>48</v>
      </c>
      <c r="Q407" s="2">
        <f>INDEX(Tables!$C$4:$C$28,MATCH($P407,Tables!$B$4:$B$28,0))</f>
        <v>32</v>
      </c>
      <c r="R407" s="2">
        <f>INDEX(Tables!$D$4:$D$28,MATCH($P407,Tables!$B$4:$B$28,0))</f>
        <v>4</v>
      </c>
      <c r="S407" s="2">
        <f>$S406+$R406+INDEX(Tables!$N$5:$Q$8,MATCH(MOD($S406+$R406,4),Tables!$M$5:$M$8,0),MATCH($R407,Tables!$N$4:$Q$4,0))</f>
        <v>1444</v>
      </c>
      <c r="T407" s="2" t="str">
        <f t="shared" si="108"/>
        <v>05A4</v>
      </c>
      <c r="U407" s="2">
        <f t="shared" si="114"/>
        <v>361</v>
      </c>
      <c r="V407" s="2" t="str">
        <f t="shared" si="109"/>
        <v>169</v>
      </c>
      <c r="W407" s="2" t="str">
        <f t="shared" si="110"/>
        <v>X</v>
      </c>
      <c r="X407" s="2" t="str">
        <f t="shared" si="113"/>
        <v>X</v>
      </c>
      <c r="Y407" s="2" t="str">
        <f t="shared" si="111"/>
        <v>X</v>
      </c>
      <c r="Z407" s="2" t="str">
        <f t="shared" si="112"/>
        <v>X</v>
      </c>
      <c r="AA407" s="2" t="str">
        <f t="shared" si="115"/>
        <v>(31 downto 24)</v>
      </c>
      <c r="AB407" s="2" t="str">
        <f t="shared" si="116"/>
        <v>(23 downto 16)</v>
      </c>
      <c r="AC407" s="2" t="str">
        <f t="shared" si="117"/>
        <v>(15 downto 8)</v>
      </c>
      <c r="AD407" s="2" t="str">
        <f t="shared" si="118"/>
        <v>(7 downto 0)</v>
      </c>
      <c r="AE407" s="2" t="str">
        <f t="shared" si="119"/>
        <v>(31 downto 24)</v>
      </c>
      <c r="AF407" s="2" t="str">
        <f t="shared" si="120"/>
        <v>(23 downto 16)</v>
      </c>
      <c r="AG407" s="2" t="str">
        <f t="shared" si="121"/>
        <v>(15 downto 8)</v>
      </c>
      <c r="AH407" s="2" t="str">
        <f t="shared" si="122"/>
        <v>(7 downto 0)</v>
      </c>
    </row>
    <row r="408" spans="2:34" x14ac:dyDescent="0.25">
      <c r="B408" s="2" t="s">
        <v>1039</v>
      </c>
      <c r="C408" s="2" t="s">
        <v>141</v>
      </c>
      <c r="D408" s="2" t="s">
        <v>0</v>
      </c>
      <c r="E408" s="2" t="s">
        <v>130</v>
      </c>
      <c r="F408" s="2" t="s">
        <v>1040</v>
      </c>
      <c r="G408" s="2" t="s">
        <v>1041</v>
      </c>
      <c r="H408" s="2" t="s">
        <v>142</v>
      </c>
      <c r="I408" s="2" t="s">
        <v>41</v>
      </c>
      <c r="J408" s="2">
        <v>32</v>
      </c>
      <c r="K408" s="2" t="s">
        <v>132</v>
      </c>
      <c r="L408" s="2" t="s">
        <v>40</v>
      </c>
      <c r="P408" s="2" t="s">
        <v>48</v>
      </c>
      <c r="Q408" s="2">
        <f>INDEX(Tables!$C$4:$C$28,MATCH($P408,Tables!$B$4:$B$28,0))</f>
        <v>32</v>
      </c>
      <c r="R408" s="2">
        <f>INDEX(Tables!$D$4:$D$28,MATCH($P408,Tables!$B$4:$B$28,0))</f>
        <v>4</v>
      </c>
      <c r="S408" s="2">
        <f>$S407+$R407+INDEX(Tables!$N$5:$Q$8,MATCH(MOD($S407+$R407,4),Tables!$M$5:$M$8,0),MATCH($R408,Tables!$N$4:$Q$4,0))</f>
        <v>1448</v>
      </c>
      <c r="T408" s="2" t="str">
        <f t="shared" si="108"/>
        <v>05A8</v>
      </c>
      <c r="U408" s="2">
        <f t="shared" si="114"/>
        <v>362</v>
      </c>
      <c r="V408" s="2" t="str">
        <f t="shared" si="109"/>
        <v>16A</v>
      </c>
      <c r="W408" s="2" t="str">
        <f t="shared" si="110"/>
        <v>X</v>
      </c>
      <c r="X408" s="2" t="str">
        <f t="shared" si="113"/>
        <v>X</v>
      </c>
      <c r="Y408" s="2" t="str">
        <f t="shared" si="111"/>
        <v>X</v>
      </c>
      <c r="Z408" s="2" t="str">
        <f t="shared" si="112"/>
        <v>X</v>
      </c>
      <c r="AA408" s="2" t="str">
        <f t="shared" si="115"/>
        <v>(31 downto 24)</v>
      </c>
      <c r="AB408" s="2" t="str">
        <f t="shared" si="116"/>
        <v>(23 downto 16)</v>
      </c>
      <c r="AC408" s="2" t="str">
        <f t="shared" si="117"/>
        <v>(15 downto 8)</v>
      </c>
      <c r="AD408" s="2" t="str">
        <f t="shared" si="118"/>
        <v>(7 downto 0)</v>
      </c>
      <c r="AE408" s="2" t="str">
        <f t="shared" si="119"/>
        <v>(31 downto 24)</v>
      </c>
      <c r="AF408" s="2" t="str">
        <f t="shared" si="120"/>
        <v>(23 downto 16)</v>
      </c>
      <c r="AG408" s="2" t="str">
        <f t="shared" si="121"/>
        <v>(15 downto 8)</v>
      </c>
      <c r="AH408" s="2" t="str">
        <f t="shared" si="122"/>
        <v>(7 downto 0)</v>
      </c>
    </row>
    <row r="409" spans="2:34" x14ac:dyDescent="0.25">
      <c r="B409" s="2" t="s">
        <v>1042</v>
      </c>
      <c r="C409" s="2" t="s">
        <v>141</v>
      </c>
      <c r="D409" s="2" t="s">
        <v>0</v>
      </c>
      <c r="E409" s="2" t="s">
        <v>130</v>
      </c>
      <c r="F409" s="2" t="s">
        <v>1043</v>
      </c>
      <c r="G409" s="2" t="s">
        <v>1044</v>
      </c>
      <c r="H409" s="2" t="s">
        <v>142</v>
      </c>
      <c r="I409" s="2" t="s">
        <v>41</v>
      </c>
      <c r="J409" s="2">
        <v>32</v>
      </c>
      <c r="K409" s="2" t="s">
        <v>132</v>
      </c>
      <c r="L409" s="2" t="s">
        <v>40</v>
      </c>
      <c r="P409" s="2" t="s">
        <v>48</v>
      </c>
      <c r="Q409" s="2">
        <f>INDEX(Tables!$C$4:$C$28,MATCH($P409,Tables!$B$4:$B$28,0))</f>
        <v>32</v>
      </c>
      <c r="R409" s="2">
        <f>INDEX(Tables!$D$4:$D$28,MATCH($P409,Tables!$B$4:$B$28,0))</f>
        <v>4</v>
      </c>
      <c r="S409" s="2">
        <f>$S408+$R408+INDEX(Tables!$N$5:$Q$8,MATCH(MOD($S408+$R408,4),Tables!$M$5:$M$8,0),MATCH($R409,Tables!$N$4:$Q$4,0))</f>
        <v>1452</v>
      </c>
      <c r="T409" s="2" t="str">
        <f t="shared" si="108"/>
        <v>05AC</v>
      </c>
      <c r="U409" s="2">
        <f t="shared" si="114"/>
        <v>363</v>
      </c>
      <c r="V409" s="2" t="str">
        <f t="shared" si="109"/>
        <v>16B</v>
      </c>
      <c r="W409" s="2" t="str">
        <f t="shared" si="110"/>
        <v>X</v>
      </c>
      <c r="X409" s="2" t="str">
        <f t="shared" si="113"/>
        <v>X</v>
      </c>
      <c r="Y409" s="2" t="str">
        <f t="shared" si="111"/>
        <v>X</v>
      </c>
      <c r="Z409" s="2" t="str">
        <f t="shared" si="112"/>
        <v>X</v>
      </c>
      <c r="AA409" s="2" t="str">
        <f t="shared" si="115"/>
        <v>(31 downto 24)</v>
      </c>
      <c r="AB409" s="2" t="str">
        <f t="shared" si="116"/>
        <v>(23 downto 16)</v>
      </c>
      <c r="AC409" s="2" t="str">
        <f t="shared" si="117"/>
        <v>(15 downto 8)</v>
      </c>
      <c r="AD409" s="2" t="str">
        <f t="shared" si="118"/>
        <v>(7 downto 0)</v>
      </c>
      <c r="AE409" s="2" t="str">
        <f t="shared" si="119"/>
        <v>(31 downto 24)</v>
      </c>
      <c r="AF409" s="2" t="str">
        <f t="shared" si="120"/>
        <v>(23 downto 16)</v>
      </c>
      <c r="AG409" s="2" t="str">
        <f t="shared" si="121"/>
        <v>(15 downto 8)</v>
      </c>
      <c r="AH409" s="2" t="str">
        <f t="shared" si="122"/>
        <v>(7 downto 0)</v>
      </c>
    </row>
    <row r="410" spans="2:34" x14ac:dyDescent="0.25">
      <c r="B410" s="2" t="s">
        <v>1045</v>
      </c>
      <c r="C410" s="2" t="s">
        <v>141</v>
      </c>
      <c r="D410" s="2" t="s">
        <v>0</v>
      </c>
      <c r="E410" s="2" t="s">
        <v>130</v>
      </c>
      <c r="F410" s="2" t="s">
        <v>1046</v>
      </c>
      <c r="G410" s="2" t="s">
        <v>1047</v>
      </c>
      <c r="H410" s="2" t="s">
        <v>142</v>
      </c>
      <c r="I410" s="2" t="s">
        <v>41</v>
      </c>
      <c r="J410" s="2">
        <v>32</v>
      </c>
      <c r="K410" s="2" t="s">
        <v>132</v>
      </c>
      <c r="L410" s="2" t="s">
        <v>40</v>
      </c>
      <c r="P410" s="2" t="s">
        <v>48</v>
      </c>
      <c r="Q410" s="2">
        <f>INDEX(Tables!$C$4:$C$28,MATCH($P410,Tables!$B$4:$B$28,0))</f>
        <v>32</v>
      </c>
      <c r="R410" s="2">
        <f>INDEX(Tables!$D$4:$D$28,MATCH($P410,Tables!$B$4:$B$28,0))</f>
        <v>4</v>
      </c>
      <c r="S410" s="2">
        <f>$S409+$R409+INDEX(Tables!$N$5:$Q$8,MATCH(MOD($S409+$R409,4),Tables!$M$5:$M$8,0),MATCH($R410,Tables!$N$4:$Q$4,0))</f>
        <v>1456</v>
      </c>
      <c r="T410" s="2" t="str">
        <f t="shared" si="108"/>
        <v>05B0</v>
      </c>
      <c r="U410" s="2">
        <f t="shared" si="114"/>
        <v>364</v>
      </c>
      <c r="V410" s="2" t="str">
        <f t="shared" si="109"/>
        <v>16C</v>
      </c>
      <c r="W410" s="2" t="str">
        <f t="shared" si="110"/>
        <v>X</v>
      </c>
      <c r="X410" s="2" t="str">
        <f t="shared" si="113"/>
        <v>X</v>
      </c>
      <c r="Y410" s="2" t="str">
        <f t="shared" si="111"/>
        <v>X</v>
      </c>
      <c r="Z410" s="2" t="str">
        <f t="shared" si="112"/>
        <v>X</v>
      </c>
      <c r="AA410" s="2" t="str">
        <f t="shared" si="115"/>
        <v>(31 downto 24)</v>
      </c>
      <c r="AB410" s="2" t="str">
        <f t="shared" si="116"/>
        <v>(23 downto 16)</v>
      </c>
      <c r="AC410" s="2" t="str">
        <f t="shared" si="117"/>
        <v>(15 downto 8)</v>
      </c>
      <c r="AD410" s="2" t="str">
        <f t="shared" si="118"/>
        <v>(7 downto 0)</v>
      </c>
      <c r="AE410" s="2" t="str">
        <f t="shared" si="119"/>
        <v>(31 downto 24)</v>
      </c>
      <c r="AF410" s="2" t="str">
        <f t="shared" si="120"/>
        <v>(23 downto 16)</v>
      </c>
      <c r="AG410" s="2" t="str">
        <f t="shared" si="121"/>
        <v>(15 downto 8)</v>
      </c>
      <c r="AH410" s="2" t="str">
        <f t="shared" si="122"/>
        <v>(7 downto 0)</v>
      </c>
    </row>
    <row r="411" spans="2:34" x14ac:dyDescent="0.25">
      <c r="B411" s="2" t="s">
        <v>1048</v>
      </c>
      <c r="C411" s="2" t="s">
        <v>141</v>
      </c>
      <c r="D411" s="2" t="s">
        <v>0</v>
      </c>
      <c r="E411" s="2" t="s">
        <v>130</v>
      </c>
      <c r="F411" s="2" t="s">
        <v>1049</v>
      </c>
      <c r="G411" s="2" t="s">
        <v>1050</v>
      </c>
      <c r="H411" s="2" t="s">
        <v>142</v>
      </c>
      <c r="I411" s="2" t="s">
        <v>41</v>
      </c>
      <c r="J411" s="2">
        <v>32</v>
      </c>
      <c r="K411" s="2" t="s">
        <v>132</v>
      </c>
      <c r="L411" s="2" t="s">
        <v>40</v>
      </c>
      <c r="P411" s="2" t="s">
        <v>48</v>
      </c>
      <c r="Q411" s="2">
        <f>INDEX(Tables!$C$4:$C$28,MATCH($P411,Tables!$B$4:$B$28,0))</f>
        <v>32</v>
      </c>
      <c r="R411" s="2">
        <f>INDEX(Tables!$D$4:$D$28,MATCH($P411,Tables!$B$4:$B$28,0))</f>
        <v>4</v>
      </c>
      <c r="S411" s="2">
        <f>$S410+$R410+INDEX(Tables!$N$5:$Q$8,MATCH(MOD($S410+$R410,4),Tables!$M$5:$M$8,0),MATCH($R411,Tables!$N$4:$Q$4,0))</f>
        <v>1460</v>
      </c>
      <c r="T411" s="2" t="str">
        <f t="shared" si="108"/>
        <v>05B4</v>
      </c>
      <c r="U411" s="2">
        <f t="shared" si="114"/>
        <v>365</v>
      </c>
      <c r="V411" s="2" t="str">
        <f t="shared" si="109"/>
        <v>16D</v>
      </c>
      <c r="W411" s="2" t="str">
        <f t="shared" si="110"/>
        <v>X</v>
      </c>
      <c r="X411" s="2" t="str">
        <f t="shared" si="113"/>
        <v>X</v>
      </c>
      <c r="Y411" s="2" t="str">
        <f t="shared" si="111"/>
        <v>X</v>
      </c>
      <c r="Z411" s="2" t="str">
        <f t="shared" si="112"/>
        <v>X</v>
      </c>
      <c r="AA411" s="2" t="str">
        <f t="shared" si="115"/>
        <v>(31 downto 24)</v>
      </c>
      <c r="AB411" s="2" t="str">
        <f t="shared" si="116"/>
        <v>(23 downto 16)</v>
      </c>
      <c r="AC411" s="2" t="str">
        <f t="shared" si="117"/>
        <v>(15 downto 8)</v>
      </c>
      <c r="AD411" s="2" t="str">
        <f t="shared" si="118"/>
        <v>(7 downto 0)</v>
      </c>
      <c r="AE411" s="2" t="str">
        <f t="shared" si="119"/>
        <v>(31 downto 24)</v>
      </c>
      <c r="AF411" s="2" t="str">
        <f t="shared" si="120"/>
        <v>(23 downto 16)</v>
      </c>
      <c r="AG411" s="2" t="str">
        <f t="shared" si="121"/>
        <v>(15 downto 8)</v>
      </c>
      <c r="AH411" s="2" t="str">
        <f t="shared" si="122"/>
        <v>(7 downto 0)</v>
      </c>
    </row>
    <row r="412" spans="2:34" x14ac:dyDescent="0.25">
      <c r="B412" s="2" t="s">
        <v>1051</v>
      </c>
      <c r="C412" s="2" t="s">
        <v>141</v>
      </c>
      <c r="D412" s="2" t="s">
        <v>0</v>
      </c>
      <c r="E412" s="2" t="s">
        <v>130</v>
      </c>
      <c r="F412" s="2" t="s">
        <v>1052</v>
      </c>
      <c r="G412" s="2" t="s">
        <v>1053</v>
      </c>
      <c r="H412" s="2" t="s">
        <v>142</v>
      </c>
      <c r="I412" s="2" t="s">
        <v>41</v>
      </c>
      <c r="J412" s="2">
        <v>32</v>
      </c>
      <c r="K412" s="2" t="s">
        <v>132</v>
      </c>
      <c r="L412" s="2" t="s">
        <v>40</v>
      </c>
      <c r="P412" s="2" t="s">
        <v>48</v>
      </c>
      <c r="Q412" s="2">
        <f>INDEX(Tables!$C$4:$C$28,MATCH($P412,Tables!$B$4:$B$28,0))</f>
        <v>32</v>
      </c>
      <c r="R412" s="2">
        <f>INDEX(Tables!$D$4:$D$28,MATCH($P412,Tables!$B$4:$B$28,0))</f>
        <v>4</v>
      </c>
      <c r="S412" s="2">
        <f>$S411+$R411+INDEX(Tables!$N$5:$Q$8,MATCH(MOD($S411+$R411,4),Tables!$M$5:$M$8,0),MATCH($R412,Tables!$N$4:$Q$4,0))</f>
        <v>1464</v>
      </c>
      <c r="T412" s="2" t="str">
        <f t="shared" si="108"/>
        <v>05B8</v>
      </c>
      <c r="U412" s="2">
        <f t="shared" si="114"/>
        <v>366</v>
      </c>
      <c r="V412" s="2" t="str">
        <f t="shared" si="109"/>
        <v>16E</v>
      </c>
      <c r="W412" s="2" t="str">
        <f t="shared" si="110"/>
        <v>X</v>
      </c>
      <c r="X412" s="2" t="str">
        <f t="shared" si="113"/>
        <v>X</v>
      </c>
      <c r="Y412" s="2" t="str">
        <f t="shared" si="111"/>
        <v>X</v>
      </c>
      <c r="Z412" s="2" t="str">
        <f t="shared" si="112"/>
        <v>X</v>
      </c>
      <c r="AA412" s="2" t="str">
        <f t="shared" si="115"/>
        <v>(31 downto 24)</v>
      </c>
      <c r="AB412" s="2" t="str">
        <f t="shared" si="116"/>
        <v>(23 downto 16)</v>
      </c>
      <c r="AC412" s="2" t="str">
        <f t="shared" si="117"/>
        <v>(15 downto 8)</v>
      </c>
      <c r="AD412" s="2" t="str">
        <f t="shared" si="118"/>
        <v>(7 downto 0)</v>
      </c>
      <c r="AE412" s="2" t="str">
        <f t="shared" si="119"/>
        <v>(31 downto 24)</v>
      </c>
      <c r="AF412" s="2" t="str">
        <f t="shared" si="120"/>
        <v>(23 downto 16)</v>
      </c>
      <c r="AG412" s="2" t="str">
        <f t="shared" si="121"/>
        <v>(15 downto 8)</v>
      </c>
      <c r="AH412" s="2" t="str">
        <f t="shared" si="122"/>
        <v>(7 downto 0)</v>
      </c>
    </row>
    <row r="413" spans="2:34" x14ac:dyDescent="0.25">
      <c r="B413" s="2" t="s">
        <v>1054</v>
      </c>
      <c r="C413" s="2" t="s">
        <v>141</v>
      </c>
      <c r="D413" s="2" t="s">
        <v>0</v>
      </c>
      <c r="E413" s="2" t="s">
        <v>130</v>
      </c>
      <c r="F413" s="2" t="s">
        <v>1055</v>
      </c>
      <c r="G413" s="2" t="s">
        <v>1056</v>
      </c>
      <c r="H413" s="2" t="s">
        <v>142</v>
      </c>
      <c r="I413" s="2" t="s">
        <v>41</v>
      </c>
      <c r="J413" s="2">
        <v>32</v>
      </c>
      <c r="K413" s="2" t="s">
        <v>132</v>
      </c>
      <c r="L413" s="2" t="s">
        <v>40</v>
      </c>
      <c r="P413" s="2" t="s">
        <v>48</v>
      </c>
      <c r="Q413" s="2">
        <f>INDEX(Tables!$C$4:$C$28,MATCH($P413,Tables!$B$4:$B$28,0))</f>
        <v>32</v>
      </c>
      <c r="R413" s="2">
        <f>INDEX(Tables!$D$4:$D$28,MATCH($P413,Tables!$B$4:$B$28,0))</f>
        <v>4</v>
      </c>
      <c r="S413" s="2">
        <f>$S412+$R412+INDEX(Tables!$N$5:$Q$8,MATCH(MOD($S412+$R412,4),Tables!$M$5:$M$8,0),MATCH($R413,Tables!$N$4:$Q$4,0))</f>
        <v>1468</v>
      </c>
      <c r="T413" s="2" t="str">
        <f t="shared" si="108"/>
        <v>05BC</v>
      </c>
      <c r="U413" s="2">
        <f t="shared" si="114"/>
        <v>367</v>
      </c>
      <c r="V413" s="2" t="str">
        <f t="shared" si="109"/>
        <v>16F</v>
      </c>
      <c r="W413" s="2" t="str">
        <f t="shared" si="110"/>
        <v>X</v>
      </c>
      <c r="X413" s="2" t="str">
        <f t="shared" si="113"/>
        <v>X</v>
      </c>
      <c r="Y413" s="2" t="str">
        <f t="shared" si="111"/>
        <v>X</v>
      </c>
      <c r="Z413" s="2" t="str">
        <f t="shared" si="112"/>
        <v>X</v>
      </c>
      <c r="AA413" s="2" t="str">
        <f t="shared" si="115"/>
        <v>(31 downto 24)</v>
      </c>
      <c r="AB413" s="2" t="str">
        <f t="shared" si="116"/>
        <v>(23 downto 16)</v>
      </c>
      <c r="AC413" s="2" t="str">
        <f t="shared" si="117"/>
        <v>(15 downto 8)</v>
      </c>
      <c r="AD413" s="2" t="str">
        <f t="shared" si="118"/>
        <v>(7 downto 0)</v>
      </c>
      <c r="AE413" s="2" t="str">
        <f t="shared" si="119"/>
        <v>(31 downto 24)</v>
      </c>
      <c r="AF413" s="2" t="str">
        <f t="shared" si="120"/>
        <v>(23 downto 16)</v>
      </c>
      <c r="AG413" s="2" t="str">
        <f t="shared" si="121"/>
        <v>(15 downto 8)</v>
      </c>
      <c r="AH413" s="2" t="str">
        <f t="shared" si="122"/>
        <v>(7 downto 0)</v>
      </c>
    </row>
    <row r="414" spans="2:34" x14ac:dyDescent="0.25">
      <c r="B414" s="2" t="s">
        <v>1057</v>
      </c>
      <c r="C414" s="2" t="s">
        <v>141</v>
      </c>
      <c r="D414" s="2" t="s">
        <v>0</v>
      </c>
      <c r="E414" s="2" t="s">
        <v>130</v>
      </c>
      <c r="F414" s="2" t="s">
        <v>1058</v>
      </c>
      <c r="G414" s="2" t="s">
        <v>1059</v>
      </c>
      <c r="H414" s="2" t="s">
        <v>142</v>
      </c>
      <c r="I414" s="2" t="s">
        <v>41</v>
      </c>
      <c r="J414" s="2">
        <v>32</v>
      </c>
      <c r="K414" s="2" t="s">
        <v>132</v>
      </c>
      <c r="L414" s="2" t="s">
        <v>40</v>
      </c>
      <c r="P414" s="2" t="s">
        <v>48</v>
      </c>
      <c r="Q414" s="2">
        <f>INDEX(Tables!$C$4:$C$28,MATCH($P414,Tables!$B$4:$B$28,0))</f>
        <v>32</v>
      </c>
      <c r="R414" s="2">
        <f>INDEX(Tables!$D$4:$D$28,MATCH($P414,Tables!$B$4:$B$28,0))</f>
        <v>4</v>
      </c>
      <c r="S414" s="2">
        <f>$S413+$R413+INDEX(Tables!$N$5:$Q$8,MATCH(MOD($S413+$R413,4),Tables!$M$5:$M$8,0),MATCH($R414,Tables!$N$4:$Q$4,0))</f>
        <v>1472</v>
      </c>
      <c r="T414" s="2" t="str">
        <f t="shared" si="108"/>
        <v>05C0</v>
      </c>
      <c r="U414" s="2">
        <f t="shared" si="114"/>
        <v>368</v>
      </c>
      <c r="V414" s="2" t="str">
        <f t="shared" si="109"/>
        <v>170</v>
      </c>
      <c r="W414" s="2" t="str">
        <f t="shared" si="110"/>
        <v>X</v>
      </c>
      <c r="X414" s="2" t="str">
        <f t="shared" si="113"/>
        <v>X</v>
      </c>
      <c r="Y414" s="2" t="str">
        <f t="shared" si="111"/>
        <v>X</v>
      </c>
      <c r="Z414" s="2" t="str">
        <f t="shared" si="112"/>
        <v>X</v>
      </c>
      <c r="AA414" s="2" t="str">
        <f t="shared" si="115"/>
        <v>(31 downto 24)</v>
      </c>
      <c r="AB414" s="2" t="str">
        <f t="shared" si="116"/>
        <v>(23 downto 16)</v>
      </c>
      <c r="AC414" s="2" t="str">
        <f t="shared" si="117"/>
        <v>(15 downto 8)</v>
      </c>
      <c r="AD414" s="2" t="str">
        <f t="shared" si="118"/>
        <v>(7 downto 0)</v>
      </c>
      <c r="AE414" s="2" t="str">
        <f t="shared" si="119"/>
        <v>(31 downto 24)</v>
      </c>
      <c r="AF414" s="2" t="str">
        <f t="shared" si="120"/>
        <v>(23 downto 16)</v>
      </c>
      <c r="AG414" s="2" t="str">
        <f t="shared" si="121"/>
        <v>(15 downto 8)</v>
      </c>
      <c r="AH414" s="2" t="str">
        <f t="shared" si="122"/>
        <v>(7 downto 0)</v>
      </c>
    </row>
    <row r="415" spans="2:34" x14ac:dyDescent="0.25">
      <c r="B415" s="2" t="s">
        <v>1060</v>
      </c>
      <c r="C415" s="2" t="s">
        <v>141</v>
      </c>
      <c r="D415" s="2" t="s">
        <v>0</v>
      </c>
      <c r="E415" s="2" t="s">
        <v>130</v>
      </c>
      <c r="F415" s="2" t="s">
        <v>1061</v>
      </c>
      <c r="G415" s="2" t="s">
        <v>1062</v>
      </c>
      <c r="H415" s="2" t="s">
        <v>142</v>
      </c>
      <c r="I415" s="2" t="s">
        <v>41</v>
      </c>
      <c r="J415" s="2">
        <v>32</v>
      </c>
      <c r="K415" s="2" t="s">
        <v>132</v>
      </c>
      <c r="L415" s="2" t="s">
        <v>40</v>
      </c>
      <c r="P415" s="2" t="s">
        <v>48</v>
      </c>
      <c r="Q415" s="2">
        <f>INDEX(Tables!$C$4:$C$28,MATCH($P415,Tables!$B$4:$B$28,0))</f>
        <v>32</v>
      </c>
      <c r="R415" s="2">
        <f>INDEX(Tables!$D$4:$D$28,MATCH($P415,Tables!$B$4:$B$28,0))</f>
        <v>4</v>
      </c>
      <c r="S415" s="2">
        <f>$S414+$R414+INDEX(Tables!$N$5:$Q$8,MATCH(MOD($S414+$R414,4),Tables!$M$5:$M$8,0),MATCH($R415,Tables!$N$4:$Q$4,0))</f>
        <v>1476</v>
      </c>
      <c r="T415" s="2" t="str">
        <f t="shared" si="108"/>
        <v>05C4</v>
      </c>
      <c r="U415" s="2">
        <f t="shared" si="114"/>
        <v>369</v>
      </c>
      <c r="V415" s="2" t="str">
        <f t="shared" si="109"/>
        <v>171</v>
      </c>
      <c r="W415" s="2" t="str">
        <f t="shared" si="110"/>
        <v>X</v>
      </c>
      <c r="X415" s="2" t="str">
        <f t="shared" si="113"/>
        <v>X</v>
      </c>
      <c r="Y415" s="2" t="str">
        <f t="shared" si="111"/>
        <v>X</v>
      </c>
      <c r="Z415" s="2" t="str">
        <f t="shared" si="112"/>
        <v>X</v>
      </c>
      <c r="AA415" s="2" t="str">
        <f t="shared" si="115"/>
        <v>(31 downto 24)</v>
      </c>
      <c r="AB415" s="2" t="str">
        <f t="shared" si="116"/>
        <v>(23 downto 16)</v>
      </c>
      <c r="AC415" s="2" t="str">
        <f t="shared" si="117"/>
        <v>(15 downto 8)</v>
      </c>
      <c r="AD415" s="2" t="str">
        <f t="shared" si="118"/>
        <v>(7 downto 0)</v>
      </c>
      <c r="AE415" s="2" t="str">
        <f t="shared" si="119"/>
        <v>(31 downto 24)</v>
      </c>
      <c r="AF415" s="2" t="str">
        <f t="shared" si="120"/>
        <v>(23 downto 16)</v>
      </c>
      <c r="AG415" s="2" t="str">
        <f t="shared" si="121"/>
        <v>(15 downto 8)</v>
      </c>
      <c r="AH415" s="2" t="str">
        <f t="shared" si="122"/>
        <v>(7 downto 0)</v>
      </c>
    </row>
    <row r="416" spans="2:34" x14ac:dyDescent="0.25">
      <c r="B416" s="2" t="s">
        <v>1063</v>
      </c>
      <c r="C416" s="2" t="s">
        <v>141</v>
      </c>
      <c r="D416" s="2" t="s">
        <v>0</v>
      </c>
      <c r="E416" s="2" t="s">
        <v>130</v>
      </c>
      <c r="F416" s="2" t="s">
        <v>1064</v>
      </c>
      <c r="G416" s="2" t="s">
        <v>1065</v>
      </c>
      <c r="H416" s="2" t="s">
        <v>142</v>
      </c>
      <c r="I416" s="2" t="s">
        <v>41</v>
      </c>
      <c r="J416" s="2">
        <v>32</v>
      </c>
      <c r="K416" s="2" t="s">
        <v>132</v>
      </c>
      <c r="L416" s="2" t="s">
        <v>40</v>
      </c>
      <c r="P416" s="2" t="s">
        <v>48</v>
      </c>
      <c r="Q416" s="2">
        <f>INDEX(Tables!$C$4:$C$28,MATCH($P416,Tables!$B$4:$B$28,0))</f>
        <v>32</v>
      </c>
      <c r="R416" s="2">
        <f>INDEX(Tables!$D$4:$D$28,MATCH($P416,Tables!$B$4:$B$28,0))</f>
        <v>4</v>
      </c>
      <c r="S416" s="2">
        <f>$S415+$R415+INDEX(Tables!$N$5:$Q$8,MATCH(MOD($S415+$R415,4),Tables!$M$5:$M$8,0),MATCH($R416,Tables!$N$4:$Q$4,0))</f>
        <v>1480</v>
      </c>
      <c r="T416" s="2" t="str">
        <f t="shared" si="108"/>
        <v>05C8</v>
      </c>
      <c r="U416" s="2">
        <f t="shared" si="114"/>
        <v>370</v>
      </c>
      <c r="V416" s="2" t="str">
        <f t="shared" si="109"/>
        <v>172</v>
      </c>
      <c r="W416" s="2" t="str">
        <f t="shared" si="110"/>
        <v>X</v>
      </c>
      <c r="X416" s="2" t="str">
        <f t="shared" si="113"/>
        <v>X</v>
      </c>
      <c r="Y416" s="2" t="str">
        <f t="shared" si="111"/>
        <v>X</v>
      </c>
      <c r="Z416" s="2" t="str">
        <f t="shared" si="112"/>
        <v>X</v>
      </c>
      <c r="AA416" s="2" t="str">
        <f t="shared" si="115"/>
        <v>(31 downto 24)</v>
      </c>
      <c r="AB416" s="2" t="str">
        <f t="shared" si="116"/>
        <v>(23 downto 16)</v>
      </c>
      <c r="AC416" s="2" t="str">
        <f t="shared" si="117"/>
        <v>(15 downto 8)</v>
      </c>
      <c r="AD416" s="2" t="str">
        <f t="shared" si="118"/>
        <v>(7 downto 0)</v>
      </c>
      <c r="AE416" s="2" t="str">
        <f t="shared" si="119"/>
        <v>(31 downto 24)</v>
      </c>
      <c r="AF416" s="2" t="str">
        <f t="shared" si="120"/>
        <v>(23 downto 16)</v>
      </c>
      <c r="AG416" s="2" t="str">
        <f t="shared" si="121"/>
        <v>(15 downto 8)</v>
      </c>
      <c r="AH416" s="2" t="str">
        <f t="shared" si="122"/>
        <v>(7 downto 0)</v>
      </c>
    </row>
    <row r="417" spans="2:34" x14ac:dyDescent="0.25">
      <c r="B417" s="2" t="s">
        <v>1066</v>
      </c>
      <c r="C417" s="2" t="s">
        <v>141</v>
      </c>
      <c r="D417" s="2" t="s">
        <v>0</v>
      </c>
      <c r="E417" s="2" t="s">
        <v>130</v>
      </c>
      <c r="F417" s="2" t="s">
        <v>1067</v>
      </c>
      <c r="G417" s="2" t="s">
        <v>1068</v>
      </c>
      <c r="H417" s="2" t="s">
        <v>142</v>
      </c>
      <c r="I417" s="2" t="s">
        <v>41</v>
      </c>
      <c r="J417" s="2">
        <v>32</v>
      </c>
      <c r="K417" s="2" t="s">
        <v>132</v>
      </c>
      <c r="L417" s="2" t="s">
        <v>40</v>
      </c>
      <c r="P417" s="2" t="s">
        <v>48</v>
      </c>
      <c r="Q417" s="2">
        <f>INDEX(Tables!$C$4:$C$28,MATCH($P417,Tables!$B$4:$B$28,0))</f>
        <v>32</v>
      </c>
      <c r="R417" s="2">
        <f>INDEX(Tables!$D$4:$D$28,MATCH($P417,Tables!$B$4:$B$28,0))</f>
        <v>4</v>
      </c>
      <c r="S417" s="2">
        <f>$S416+$R416+INDEX(Tables!$N$5:$Q$8,MATCH(MOD($S416+$R416,4),Tables!$M$5:$M$8,0),MATCH($R417,Tables!$N$4:$Q$4,0))</f>
        <v>1484</v>
      </c>
      <c r="T417" s="2" t="str">
        <f t="shared" si="108"/>
        <v>05CC</v>
      </c>
      <c r="U417" s="2">
        <f t="shared" si="114"/>
        <v>371</v>
      </c>
      <c r="V417" s="2" t="str">
        <f t="shared" si="109"/>
        <v>173</v>
      </c>
      <c r="W417" s="2" t="str">
        <f t="shared" si="110"/>
        <v>X</v>
      </c>
      <c r="X417" s="2" t="str">
        <f t="shared" si="113"/>
        <v>X</v>
      </c>
      <c r="Y417" s="2" t="str">
        <f t="shared" si="111"/>
        <v>X</v>
      </c>
      <c r="Z417" s="2" t="str">
        <f t="shared" si="112"/>
        <v>X</v>
      </c>
      <c r="AA417" s="2" t="str">
        <f t="shared" si="115"/>
        <v>(31 downto 24)</v>
      </c>
      <c r="AB417" s="2" t="str">
        <f t="shared" si="116"/>
        <v>(23 downto 16)</v>
      </c>
      <c r="AC417" s="2" t="str">
        <f t="shared" si="117"/>
        <v>(15 downto 8)</v>
      </c>
      <c r="AD417" s="2" t="str">
        <f t="shared" si="118"/>
        <v>(7 downto 0)</v>
      </c>
      <c r="AE417" s="2" t="str">
        <f t="shared" si="119"/>
        <v>(31 downto 24)</v>
      </c>
      <c r="AF417" s="2" t="str">
        <f t="shared" si="120"/>
        <v>(23 downto 16)</v>
      </c>
      <c r="AG417" s="2" t="str">
        <f t="shared" si="121"/>
        <v>(15 downto 8)</v>
      </c>
      <c r="AH417" s="2" t="str">
        <f t="shared" si="122"/>
        <v>(7 downto 0)</v>
      </c>
    </row>
    <row r="418" spans="2:34" x14ac:dyDescent="0.25">
      <c r="B418" s="2" t="s">
        <v>1069</v>
      </c>
      <c r="C418" s="2" t="s">
        <v>141</v>
      </c>
      <c r="D418" s="2" t="s">
        <v>0</v>
      </c>
      <c r="E418" s="2" t="s">
        <v>130</v>
      </c>
      <c r="F418" s="2" t="s">
        <v>1070</v>
      </c>
      <c r="G418" s="2" t="s">
        <v>1071</v>
      </c>
      <c r="H418" s="2" t="s">
        <v>142</v>
      </c>
      <c r="I418" s="2" t="s">
        <v>41</v>
      </c>
      <c r="J418" s="2">
        <v>32</v>
      </c>
      <c r="K418" s="2" t="s">
        <v>132</v>
      </c>
      <c r="L418" s="2" t="s">
        <v>40</v>
      </c>
      <c r="P418" s="2" t="s">
        <v>48</v>
      </c>
      <c r="Q418" s="2">
        <f>INDEX(Tables!$C$4:$C$28,MATCH($P418,Tables!$B$4:$B$28,0))</f>
        <v>32</v>
      </c>
      <c r="R418" s="2">
        <f>INDEX(Tables!$D$4:$D$28,MATCH($P418,Tables!$B$4:$B$28,0))</f>
        <v>4</v>
      </c>
      <c r="S418" s="2">
        <f>$S417+$R417+INDEX(Tables!$N$5:$Q$8,MATCH(MOD($S417+$R417,4),Tables!$M$5:$M$8,0),MATCH($R418,Tables!$N$4:$Q$4,0))</f>
        <v>1488</v>
      </c>
      <c r="T418" s="2" t="str">
        <f t="shared" si="108"/>
        <v>05D0</v>
      </c>
      <c r="U418" s="2">
        <f t="shared" si="114"/>
        <v>372</v>
      </c>
      <c r="V418" s="2" t="str">
        <f t="shared" si="109"/>
        <v>174</v>
      </c>
      <c r="W418" s="2" t="str">
        <f t="shared" si="110"/>
        <v>X</v>
      </c>
      <c r="X418" s="2" t="str">
        <f t="shared" si="113"/>
        <v>X</v>
      </c>
      <c r="Y418" s="2" t="str">
        <f t="shared" si="111"/>
        <v>X</v>
      </c>
      <c r="Z418" s="2" t="str">
        <f t="shared" si="112"/>
        <v>X</v>
      </c>
      <c r="AA418" s="2" t="str">
        <f t="shared" si="115"/>
        <v>(31 downto 24)</v>
      </c>
      <c r="AB418" s="2" t="str">
        <f t="shared" si="116"/>
        <v>(23 downto 16)</v>
      </c>
      <c r="AC418" s="2" t="str">
        <f t="shared" si="117"/>
        <v>(15 downto 8)</v>
      </c>
      <c r="AD418" s="2" t="str">
        <f t="shared" si="118"/>
        <v>(7 downto 0)</v>
      </c>
      <c r="AE418" s="2" t="str">
        <f t="shared" si="119"/>
        <v>(31 downto 24)</v>
      </c>
      <c r="AF418" s="2" t="str">
        <f t="shared" si="120"/>
        <v>(23 downto 16)</v>
      </c>
      <c r="AG418" s="2" t="str">
        <f t="shared" si="121"/>
        <v>(15 downto 8)</v>
      </c>
      <c r="AH418" s="2" t="str">
        <f t="shared" si="122"/>
        <v>(7 downto 0)</v>
      </c>
    </row>
    <row r="419" spans="2:34" x14ac:dyDescent="0.25">
      <c r="B419" s="2" t="s">
        <v>1072</v>
      </c>
      <c r="C419" s="2" t="s">
        <v>141</v>
      </c>
      <c r="D419" s="2" t="s">
        <v>0</v>
      </c>
      <c r="E419" s="2" t="s">
        <v>130</v>
      </c>
      <c r="F419" s="2" t="s">
        <v>1073</v>
      </c>
      <c r="G419" s="2" t="s">
        <v>1074</v>
      </c>
      <c r="H419" s="2" t="s">
        <v>142</v>
      </c>
      <c r="I419" s="2" t="s">
        <v>41</v>
      </c>
      <c r="J419" s="2">
        <v>32</v>
      </c>
      <c r="K419" s="2" t="s">
        <v>132</v>
      </c>
      <c r="L419" s="2" t="s">
        <v>40</v>
      </c>
      <c r="P419" s="2" t="s">
        <v>48</v>
      </c>
      <c r="Q419" s="2">
        <f>INDEX(Tables!$C$4:$C$28,MATCH($P419,Tables!$B$4:$B$28,0))</f>
        <v>32</v>
      </c>
      <c r="R419" s="2">
        <f>INDEX(Tables!$D$4:$D$28,MATCH($P419,Tables!$B$4:$B$28,0))</f>
        <v>4</v>
      </c>
      <c r="S419" s="2">
        <f>$S418+$R418+INDEX(Tables!$N$5:$Q$8,MATCH(MOD($S418+$R418,4),Tables!$M$5:$M$8,0),MATCH($R419,Tables!$N$4:$Q$4,0))</f>
        <v>1492</v>
      </c>
      <c r="T419" s="2" t="str">
        <f t="shared" si="108"/>
        <v>05D4</v>
      </c>
      <c r="U419" s="2">
        <f t="shared" si="114"/>
        <v>373</v>
      </c>
      <c r="V419" s="2" t="str">
        <f t="shared" si="109"/>
        <v>175</v>
      </c>
      <c r="W419" s="2" t="str">
        <f t="shared" si="110"/>
        <v>X</v>
      </c>
      <c r="X419" s="2" t="str">
        <f t="shared" si="113"/>
        <v>X</v>
      </c>
      <c r="Y419" s="2" t="str">
        <f t="shared" si="111"/>
        <v>X</v>
      </c>
      <c r="Z419" s="2" t="str">
        <f t="shared" si="112"/>
        <v>X</v>
      </c>
      <c r="AA419" s="2" t="str">
        <f t="shared" si="115"/>
        <v>(31 downto 24)</v>
      </c>
      <c r="AB419" s="2" t="str">
        <f t="shared" si="116"/>
        <v>(23 downto 16)</v>
      </c>
      <c r="AC419" s="2" t="str">
        <f t="shared" si="117"/>
        <v>(15 downto 8)</v>
      </c>
      <c r="AD419" s="2" t="str">
        <f t="shared" si="118"/>
        <v>(7 downto 0)</v>
      </c>
      <c r="AE419" s="2" t="str">
        <f t="shared" si="119"/>
        <v>(31 downto 24)</v>
      </c>
      <c r="AF419" s="2" t="str">
        <f t="shared" si="120"/>
        <v>(23 downto 16)</v>
      </c>
      <c r="AG419" s="2" t="str">
        <f t="shared" si="121"/>
        <v>(15 downto 8)</v>
      </c>
      <c r="AH419" s="2" t="str">
        <f t="shared" si="122"/>
        <v>(7 downto 0)</v>
      </c>
    </row>
    <row r="420" spans="2:34" x14ac:dyDescent="0.25">
      <c r="B420" s="2" t="s">
        <v>1075</v>
      </c>
      <c r="C420" s="2" t="s">
        <v>141</v>
      </c>
      <c r="D420" s="2" t="s">
        <v>0</v>
      </c>
      <c r="E420" s="2" t="s">
        <v>130</v>
      </c>
      <c r="F420" s="2" t="s">
        <v>1076</v>
      </c>
      <c r="G420" s="2" t="s">
        <v>1077</v>
      </c>
      <c r="H420" s="2" t="s">
        <v>142</v>
      </c>
      <c r="I420" s="2" t="s">
        <v>41</v>
      </c>
      <c r="J420" s="2">
        <v>32</v>
      </c>
      <c r="K420" s="2" t="s">
        <v>132</v>
      </c>
      <c r="L420" s="2" t="s">
        <v>40</v>
      </c>
      <c r="P420" s="2" t="s">
        <v>48</v>
      </c>
      <c r="Q420" s="2">
        <f>INDEX(Tables!$C$4:$C$28,MATCH($P420,Tables!$B$4:$B$28,0))</f>
        <v>32</v>
      </c>
      <c r="R420" s="2">
        <f>INDEX(Tables!$D$4:$D$28,MATCH($P420,Tables!$B$4:$B$28,0))</f>
        <v>4</v>
      </c>
      <c r="S420" s="2">
        <f>$S419+$R419+INDEX(Tables!$N$5:$Q$8,MATCH(MOD($S419+$R419,4),Tables!$M$5:$M$8,0),MATCH($R420,Tables!$N$4:$Q$4,0))</f>
        <v>1496</v>
      </c>
      <c r="T420" s="2" t="str">
        <f t="shared" si="108"/>
        <v>05D8</v>
      </c>
      <c r="U420" s="2">
        <f t="shared" si="114"/>
        <v>374</v>
      </c>
      <c r="V420" s="2" t="str">
        <f t="shared" si="109"/>
        <v>176</v>
      </c>
      <c r="W420" s="2" t="str">
        <f t="shared" si="110"/>
        <v>X</v>
      </c>
      <c r="X420" s="2" t="str">
        <f t="shared" si="113"/>
        <v>X</v>
      </c>
      <c r="Y420" s="2" t="str">
        <f t="shared" si="111"/>
        <v>X</v>
      </c>
      <c r="Z420" s="2" t="str">
        <f t="shared" si="112"/>
        <v>X</v>
      </c>
      <c r="AA420" s="2" t="str">
        <f t="shared" si="115"/>
        <v>(31 downto 24)</v>
      </c>
      <c r="AB420" s="2" t="str">
        <f t="shared" si="116"/>
        <v>(23 downto 16)</v>
      </c>
      <c r="AC420" s="2" t="str">
        <f t="shared" si="117"/>
        <v>(15 downto 8)</v>
      </c>
      <c r="AD420" s="2" t="str">
        <f t="shared" si="118"/>
        <v>(7 downto 0)</v>
      </c>
      <c r="AE420" s="2" t="str">
        <f t="shared" si="119"/>
        <v>(31 downto 24)</v>
      </c>
      <c r="AF420" s="2" t="str">
        <f t="shared" si="120"/>
        <v>(23 downto 16)</v>
      </c>
      <c r="AG420" s="2" t="str">
        <f t="shared" si="121"/>
        <v>(15 downto 8)</v>
      </c>
      <c r="AH420" s="2" t="str">
        <f t="shared" si="122"/>
        <v>(7 downto 0)</v>
      </c>
    </row>
    <row r="421" spans="2:34" x14ac:dyDescent="0.25">
      <c r="B421" s="2" t="s">
        <v>1078</v>
      </c>
      <c r="C421" s="2" t="s">
        <v>141</v>
      </c>
      <c r="D421" s="2" t="s">
        <v>0</v>
      </c>
      <c r="E421" s="2" t="s">
        <v>130</v>
      </c>
      <c r="F421" s="2" t="s">
        <v>1079</v>
      </c>
      <c r="G421" s="2" t="s">
        <v>1080</v>
      </c>
      <c r="H421" s="2" t="s">
        <v>142</v>
      </c>
      <c r="I421" s="2" t="s">
        <v>41</v>
      </c>
      <c r="J421" s="2">
        <v>32</v>
      </c>
      <c r="K421" s="2" t="s">
        <v>132</v>
      </c>
      <c r="L421" s="2" t="s">
        <v>40</v>
      </c>
      <c r="P421" s="2" t="s">
        <v>48</v>
      </c>
      <c r="Q421" s="2">
        <f>INDEX(Tables!$C$4:$C$28,MATCH($P421,Tables!$B$4:$B$28,0))</f>
        <v>32</v>
      </c>
      <c r="R421" s="2">
        <f>INDEX(Tables!$D$4:$D$28,MATCH($P421,Tables!$B$4:$B$28,0))</f>
        <v>4</v>
      </c>
      <c r="S421" s="2">
        <f>$S420+$R420+INDEX(Tables!$N$5:$Q$8,MATCH(MOD($S420+$R420,4),Tables!$M$5:$M$8,0),MATCH($R421,Tables!$N$4:$Q$4,0))</f>
        <v>1500</v>
      </c>
      <c r="T421" s="2" t="str">
        <f t="shared" si="108"/>
        <v>05DC</v>
      </c>
      <c r="U421" s="2">
        <f t="shared" si="114"/>
        <v>375</v>
      </c>
      <c r="V421" s="2" t="str">
        <f t="shared" si="109"/>
        <v>177</v>
      </c>
      <c r="W421" s="2" t="str">
        <f t="shared" si="110"/>
        <v>X</v>
      </c>
      <c r="X421" s="2" t="str">
        <f t="shared" si="113"/>
        <v>X</v>
      </c>
      <c r="Y421" s="2" t="str">
        <f t="shared" si="111"/>
        <v>X</v>
      </c>
      <c r="Z421" s="2" t="str">
        <f t="shared" si="112"/>
        <v>X</v>
      </c>
      <c r="AA421" s="2" t="str">
        <f t="shared" si="115"/>
        <v>(31 downto 24)</v>
      </c>
      <c r="AB421" s="2" t="str">
        <f t="shared" si="116"/>
        <v>(23 downto 16)</v>
      </c>
      <c r="AC421" s="2" t="str">
        <f t="shared" si="117"/>
        <v>(15 downto 8)</v>
      </c>
      <c r="AD421" s="2" t="str">
        <f t="shared" si="118"/>
        <v>(7 downto 0)</v>
      </c>
      <c r="AE421" s="2" t="str">
        <f t="shared" si="119"/>
        <v>(31 downto 24)</v>
      </c>
      <c r="AF421" s="2" t="str">
        <f t="shared" si="120"/>
        <v>(23 downto 16)</v>
      </c>
      <c r="AG421" s="2" t="str">
        <f t="shared" si="121"/>
        <v>(15 downto 8)</v>
      </c>
      <c r="AH421" s="2" t="str">
        <f t="shared" si="122"/>
        <v>(7 downto 0)</v>
      </c>
    </row>
    <row r="422" spans="2:34" x14ac:dyDescent="0.25">
      <c r="B422" s="2" t="s">
        <v>1081</v>
      </c>
      <c r="C422" s="2" t="s">
        <v>141</v>
      </c>
      <c r="D422" s="2" t="s">
        <v>0</v>
      </c>
      <c r="E422" s="2" t="s">
        <v>130</v>
      </c>
      <c r="F422" s="2" t="s">
        <v>1082</v>
      </c>
      <c r="G422" s="2" t="s">
        <v>1083</v>
      </c>
      <c r="H422" s="2" t="s">
        <v>142</v>
      </c>
      <c r="I422" s="2" t="s">
        <v>41</v>
      </c>
      <c r="J422" s="2">
        <v>32</v>
      </c>
      <c r="K422" s="2" t="s">
        <v>132</v>
      </c>
      <c r="L422" s="2" t="s">
        <v>40</v>
      </c>
      <c r="P422" s="2" t="s">
        <v>48</v>
      </c>
      <c r="Q422" s="2">
        <f>INDEX(Tables!$C$4:$C$28,MATCH($P422,Tables!$B$4:$B$28,0))</f>
        <v>32</v>
      </c>
      <c r="R422" s="2">
        <f>INDEX(Tables!$D$4:$D$28,MATCH($P422,Tables!$B$4:$B$28,0))</f>
        <v>4</v>
      </c>
      <c r="S422" s="2">
        <f>$S421+$R421+INDEX(Tables!$N$5:$Q$8,MATCH(MOD($S421+$R421,4),Tables!$M$5:$M$8,0),MATCH($R422,Tables!$N$4:$Q$4,0))</f>
        <v>1504</v>
      </c>
      <c r="T422" s="2" t="str">
        <f t="shared" si="108"/>
        <v>05E0</v>
      </c>
      <c r="U422" s="2">
        <f t="shared" si="114"/>
        <v>376</v>
      </c>
      <c r="V422" s="2" t="str">
        <f t="shared" si="109"/>
        <v>178</v>
      </c>
      <c r="W422" s="2" t="str">
        <f t="shared" si="110"/>
        <v>X</v>
      </c>
      <c r="X422" s="2" t="str">
        <f t="shared" si="113"/>
        <v>X</v>
      </c>
      <c r="Y422" s="2" t="str">
        <f t="shared" si="111"/>
        <v>X</v>
      </c>
      <c r="Z422" s="2" t="str">
        <f t="shared" si="112"/>
        <v>X</v>
      </c>
      <c r="AA422" s="2" t="str">
        <f t="shared" si="115"/>
        <v>(31 downto 24)</v>
      </c>
      <c r="AB422" s="2" t="str">
        <f t="shared" si="116"/>
        <v>(23 downto 16)</v>
      </c>
      <c r="AC422" s="2" t="str">
        <f t="shared" si="117"/>
        <v>(15 downto 8)</v>
      </c>
      <c r="AD422" s="2" t="str">
        <f t="shared" si="118"/>
        <v>(7 downto 0)</v>
      </c>
      <c r="AE422" s="2" t="str">
        <f t="shared" si="119"/>
        <v>(31 downto 24)</v>
      </c>
      <c r="AF422" s="2" t="str">
        <f t="shared" si="120"/>
        <v>(23 downto 16)</v>
      </c>
      <c r="AG422" s="2" t="str">
        <f t="shared" si="121"/>
        <v>(15 downto 8)</v>
      </c>
      <c r="AH422" s="2" t="str">
        <f t="shared" si="122"/>
        <v>(7 downto 0)</v>
      </c>
    </row>
    <row r="423" spans="2:34" x14ac:dyDescent="0.25">
      <c r="B423" s="2" t="s">
        <v>1084</v>
      </c>
      <c r="C423" s="2" t="s">
        <v>141</v>
      </c>
      <c r="D423" s="2" t="s">
        <v>0</v>
      </c>
      <c r="E423" s="2" t="s">
        <v>130</v>
      </c>
      <c r="F423" s="2" t="s">
        <v>1085</v>
      </c>
      <c r="G423" s="2" t="s">
        <v>1086</v>
      </c>
      <c r="H423" s="2" t="s">
        <v>142</v>
      </c>
      <c r="I423" s="2" t="s">
        <v>41</v>
      </c>
      <c r="J423" s="2">
        <v>32</v>
      </c>
      <c r="K423" s="2" t="s">
        <v>132</v>
      </c>
      <c r="L423" s="2" t="s">
        <v>40</v>
      </c>
      <c r="P423" s="2" t="s">
        <v>48</v>
      </c>
      <c r="Q423" s="2">
        <f>INDEX(Tables!$C$4:$C$28,MATCH($P423,Tables!$B$4:$B$28,0))</f>
        <v>32</v>
      </c>
      <c r="R423" s="2">
        <f>INDEX(Tables!$D$4:$D$28,MATCH($P423,Tables!$B$4:$B$28,0))</f>
        <v>4</v>
      </c>
      <c r="S423" s="2">
        <f>$S422+$R422+INDEX(Tables!$N$5:$Q$8,MATCH(MOD($S422+$R422,4),Tables!$M$5:$M$8,0),MATCH($R423,Tables!$N$4:$Q$4,0))</f>
        <v>1508</v>
      </c>
      <c r="T423" s="2" t="str">
        <f t="shared" si="108"/>
        <v>05E4</v>
      </c>
      <c r="U423" s="2">
        <f t="shared" si="114"/>
        <v>377</v>
      </c>
      <c r="V423" s="2" t="str">
        <f t="shared" si="109"/>
        <v>179</v>
      </c>
      <c r="W423" s="2" t="str">
        <f t="shared" si="110"/>
        <v>X</v>
      </c>
      <c r="X423" s="2" t="str">
        <f t="shared" si="113"/>
        <v>X</v>
      </c>
      <c r="Y423" s="2" t="str">
        <f t="shared" si="111"/>
        <v>X</v>
      </c>
      <c r="Z423" s="2" t="str">
        <f t="shared" si="112"/>
        <v>X</v>
      </c>
      <c r="AA423" s="2" t="str">
        <f t="shared" si="115"/>
        <v>(31 downto 24)</v>
      </c>
      <c r="AB423" s="2" t="str">
        <f t="shared" si="116"/>
        <v>(23 downto 16)</v>
      </c>
      <c r="AC423" s="2" t="str">
        <f t="shared" si="117"/>
        <v>(15 downto 8)</v>
      </c>
      <c r="AD423" s="2" t="str">
        <f t="shared" si="118"/>
        <v>(7 downto 0)</v>
      </c>
      <c r="AE423" s="2" t="str">
        <f t="shared" si="119"/>
        <v>(31 downto 24)</v>
      </c>
      <c r="AF423" s="2" t="str">
        <f t="shared" si="120"/>
        <v>(23 downto 16)</v>
      </c>
      <c r="AG423" s="2" t="str">
        <f t="shared" si="121"/>
        <v>(15 downto 8)</v>
      </c>
      <c r="AH423" s="2" t="str">
        <f t="shared" si="122"/>
        <v>(7 downto 0)</v>
      </c>
    </row>
    <row r="424" spans="2:34" x14ac:dyDescent="0.25">
      <c r="B424" s="2" t="s">
        <v>1087</v>
      </c>
      <c r="C424" s="2" t="s">
        <v>141</v>
      </c>
      <c r="D424" s="2" t="s">
        <v>0</v>
      </c>
      <c r="E424" s="2" t="s">
        <v>130</v>
      </c>
      <c r="F424" s="2" t="s">
        <v>1088</v>
      </c>
      <c r="G424" s="2" t="s">
        <v>1089</v>
      </c>
      <c r="H424" s="2" t="s">
        <v>142</v>
      </c>
      <c r="I424" s="2" t="s">
        <v>41</v>
      </c>
      <c r="J424" s="2">
        <v>32</v>
      </c>
      <c r="K424" s="2" t="s">
        <v>132</v>
      </c>
      <c r="L424" s="2" t="s">
        <v>40</v>
      </c>
      <c r="P424" s="2" t="s">
        <v>48</v>
      </c>
      <c r="Q424" s="2">
        <f>INDEX(Tables!$C$4:$C$28,MATCH($P424,Tables!$B$4:$B$28,0))</f>
        <v>32</v>
      </c>
      <c r="R424" s="2">
        <f>INDEX(Tables!$D$4:$D$28,MATCH($P424,Tables!$B$4:$B$28,0))</f>
        <v>4</v>
      </c>
      <c r="S424" s="2">
        <f>$S423+$R423+INDEX(Tables!$N$5:$Q$8,MATCH(MOD($S423+$R423,4),Tables!$M$5:$M$8,0),MATCH($R424,Tables!$N$4:$Q$4,0))</f>
        <v>1512</v>
      </c>
      <c r="T424" s="2" t="str">
        <f t="shared" si="108"/>
        <v>05E8</v>
      </c>
      <c r="U424" s="2">
        <f t="shared" si="114"/>
        <v>378</v>
      </c>
      <c r="V424" s="2" t="str">
        <f t="shared" si="109"/>
        <v>17A</v>
      </c>
      <c r="W424" s="2" t="str">
        <f t="shared" si="110"/>
        <v>X</v>
      </c>
      <c r="X424" s="2" t="str">
        <f t="shared" si="113"/>
        <v>X</v>
      </c>
      <c r="Y424" s="2" t="str">
        <f t="shared" si="111"/>
        <v>X</v>
      </c>
      <c r="Z424" s="2" t="str">
        <f t="shared" si="112"/>
        <v>X</v>
      </c>
      <c r="AA424" s="2" t="str">
        <f t="shared" si="115"/>
        <v>(31 downto 24)</v>
      </c>
      <c r="AB424" s="2" t="str">
        <f t="shared" si="116"/>
        <v>(23 downto 16)</v>
      </c>
      <c r="AC424" s="2" t="str">
        <f t="shared" si="117"/>
        <v>(15 downto 8)</v>
      </c>
      <c r="AD424" s="2" t="str">
        <f t="shared" si="118"/>
        <v>(7 downto 0)</v>
      </c>
      <c r="AE424" s="2" t="str">
        <f t="shared" si="119"/>
        <v>(31 downto 24)</v>
      </c>
      <c r="AF424" s="2" t="str">
        <f t="shared" si="120"/>
        <v>(23 downto 16)</v>
      </c>
      <c r="AG424" s="2" t="str">
        <f t="shared" si="121"/>
        <v>(15 downto 8)</v>
      </c>
      <c r="AH424" s="2" t="str">
        <f t="shared" si="122"/>
        <v>(7 downto 0)</v>
      </c>
    </row>
    <row r="425" spans="2:34" x14ac:dyDescent="0.25">
      <c r="B425" s="2" t="s">
        <v>1090</v>
      </c>
      <c r="C425" s="2" t="s">
        <v>141</v>
      </c>
      <c r="D425" s="2" t="s">
        <v>0</v>
      </c>
      <c r="E425" s="2" t="s">
        <v>130</v>
      </c>
      <c r="F425" s="2" t="s">
        <v>1091</v>
      </c>
      <c r="G425" s="2" t="s">
        <v>1092</v>
      </c>
      <c r="H425" s="2" t="s">
        <v>142</v>
      </c>
      <c r="I425" s="2" t="s">
        <v>41</v>
      </c>
      <c r="J425" s="2">
        <v>32</v>
      </c>
      <c r="K425" s="2" t="s">
        <v>132</v>
      </c>
      <c r="L425" s="2" t="s">
        <v>40</v>
      </c>
      <c r="P425" s="2" t="s">
        <v>48</v>
      </c>
      <c r="Q425" s="2">
        <f>INDEX(Tables!$C$4:$C$28,MATCH($P425,Tables!$B$4:$B$28,0))</f>
        <v>32</v>
      </c>
      <c r="R425" s="2">
        <f>INDEX(Tables!$D$4:$D$28,MATCH($P425,Tables!$B$4:$B$28,0))</f>
        <v>4</v>
      </c>
      <c r="S425" s="2">
        <f>$S424+$R424+INDEX(Tables!$N$5:$Q$8,MATCH(MOD($S424+$R424,4),Tables!$M$5:$M$8,0),MATCH($R425,Tables!$N$4:$Q$4,0))</f>
        <v>1516</v>
      </c>
      <c r="T425" s="2" t="str">
        <f t="shared" si="108"/>
        <v>05EC</v>
      </c>
      <c r="U425" s="2">
        <f t="shared" si="114"/>
        <v>379</v>
      </c>
      <c r="V425" s="2" t="str">
        <f t="shared" si="109"/>
        <v>17B</v>
      </c>
      <c r="W425" s="2" t="str">
        <f t="shared" si="110"/>
        <v>X</v>
      </c>
      <c r="X425" s="2" t="str">
        <f t="shared" si="113"/>
        <v>X</v>
      </c>
      <c r="Y425" s="2" t="str">
        <f t="shared" si="111"/>
        <v>X</v>
      </c>
      <c r="Z425" s="2" t="str">
        <f t="shared" si="112"/>
        <v>X</v>
      </c>
      <c r="AA425" s="2" t="str">
        <f t="shared" si="115"/>
        <v>(31 downto 24)</v>
      </c>
      <c r="AB425" s="2" t="str">
        <f t="shared" si="116"/>
        <v>(23 downto 16)</v>
      </c>
      <c r="AC425" s="2" t="str">
        <f t="shared" si="117"/>
        <v>(15 downto 8)</v>
      </c>
      <c r="AD425" s="2" t="str">
        <f t="shared" si="118"/>
        <v>(7 downto 0)</v>
      </c>
      <c r="AE425" s="2" t="str">
        <f t="shared" si="119"/>
        <v>(31 downto 24)</v>
      </c>
      <c r="AF425" s="2" t="str">
        <f t="shared" si="120"/>
        <v>(23 downto 16)</v>
      </c>
      <c r="AG425" s="2" t="str">
        <f t="shared" si="121"/>
        <v>(15 downto 8)</v>
      </c>
      <c r="AH425" s="2" t="str">
        <f t="shared" si="122"/>
        <v>(7 downto 0)</v>
      </c>
    </row>
    <row r="426" spans="2:34" x14ac:dyDescent="0.25">
      <c r="B426" s="2" t="s">
        <v>1093</v>
      </c>
      <c r="C426" s="2" t="s">
        <v>141</v>
      </c>
      <c r="D426" s="2" t="s">
        <v>0</v>
      </c>
      <c r="E426" s="2" t="s">
        <v>130</v>
      </c>
      <c r="F426" s="2" t="s">
        <v>1094</v>
      </c>
      <c r="G426" s="2" t="s">
        <v>1095</v>
      </c>
      <c r="H426" s="2" t="s">
        <v>142</v>
      </c>
      <c r="I426" s="2" t="s">
        <v>41</v>
      </c>
      <c r="J426" s="2">
        <v>32</v>
      </c>
      <c r="K426" s="2" t="s">
        <v>132</v>
      </c>
      <c r="L426" s="2" t="s">
        <v>40</v>
      </c>
      <c r="P426" s="2" t="s">
        <v>48</v>
      </c>
      <c r="Q426" s="2">
        <f>INDEX(Tables!$C$4:$C$28,MATCH($P426,Tables!$B$4:$B$28,0))</f>
        <v>32</v>
      </c>
      <c r="R426" s="2">
        <f>INDEX(Tables!$D$4:$D$28,MATCH($P426,Tables!$B$4:$B$28,0))</f>
        <v>4</v>
      </c>
      <c r="S426" s="2">
        <f>$S425+$R425+INDEX(Tables!$N$5:$Q$8,MATCH(MOD($S425+$R425,4),Tables!$M$5:$M$8,0),MATCH($R426,Tables!$N$4:$Q$4,0))</f>
        <v>1520</v>
      </c>
      <c r="T426" s="2" t="str">
        <f t="shared" si="108"/>
        <v>05F0</v>
      </c>
      <c r="U426" s="2">
        <f t="shared" si="114"/>
        <v>380</v>
      </c>
      <c r="V426" s="2" t="str">
        <f t="shared" si="109"/>
        <v>17C</v>
      </c>
      <c r="W426" s="2" t="str">
        <f t="shared" si="110"/>
        <v>X</v>
      </c>
      <c r="X426" s="2" t="str">
        <f t="shared" si="113"/>
        <v>X</v>
      </c>
      <c r="Y426" s="2" t="str">
        <f t="shared" si="111"/>
        <v>X</v>
      </c>
      <c r="Z426" s="2" t="str">
        <f t="shared" si="112"/>
        <v>X</v>
      </c>
      <c r="AA426" s="2" t="str">
        <f t="shared" si="115"/>
        <v>(31 downto 24)</v>
      </c>
      <c r="AB426" s="2" t="str">
        <f t="shared" si="116"/>
        <v>(23 downto 16)</v>
      </c>
      <c r="AC426" s="2" t="str">
        <f t="shared" si="117"/>
        <v>(15 downto 8)</v>
      </c>
      <c r="AD426" s="2" t="str">
        <f t="shared" si="118"/>
        <v>(7 downto 0)</v>
      </c>
      <c r="AE426" s="2" t="str">
        <f t="shared" si="119"/>
        <v>(31 downto 24)</v>
      </c>
      <c r="AF426" s="2" t="str">
        <f t="shared" si="120"/>
        <v>(23 downto 16)</v>
      </c>
      <c r="AG426" s="2" t="str">
        <f t="shared" si="121"/>
        <v>(15 downto 8)</v>
      </c>
      <c r="AH426" s="2" t="str">
        <f t="shared" si="122"/>
        <v>(7 downto 0)</v>
      </c>
    </row>
    <row r="427" spans="2:34" x14ac:dyDescent="0.25">
      <c r="B427" s="2" t="s">
        <v>1096</v>
      </c>
      <c r="C427" s="2" t="s">
        <v>141</v>
      </c>
      <c r="D427" s="2" t="s">
        <v>0</v>
      </c>
      <c r="E427" s="2" t="s">
        <v>130</v>
      </c>
      <c r="F427" s="2" t="s">
        <v>1097</v>
      </c>
      <c r="G427" s="2" t="s">
        <v>1098</v>
      </c>
      <c r="H427" s="2" t="s">
        <v>142</v>
      </c>
      <c r="I427" s="2" t="s">
        <v>41</v>
      </c>
      <c r="J427" s="2">
        <v>32</v>
      </c>
      <c r="K427" s="2" t="s">
        <v>132</v>
      </c>
      <c r="L427" s="2" t="s">
        <v>40</v>
      </c>
      <c r="P427" s="2" t="s">
        <v>48</v>
      </c>
      <c r="Q427" s="2">
        <f>INDEX(Tables!$C$4:$C$28,MATCH($P427,Tables!$B$4:$B$28,0))</f>
        <v>32</v>
      </c>
      <c r="R427" s="2">
        <f>INDEX(Tables!$D$4:$D$28,MATCH($P427,Tables!$B$4:$B$28,0))</f>
        <v>4</v>
      </c>
      <c r="S427" s="2">
        <f>$S426+$R426+INDEX(Tables!$N$5:$Q$8,MATCH(MOD($S426+$R426,4),Tables!$M$5:$M$8,0),MATCH($R427,Tables!$N$4:$Q$4,0))</f>
        <v>1524</v>
      </c>
      <c r="T427" s="2" t="str">
        <f t="shared" si="108"/>
        <v>05F4</v>
      </c>
      <c r="U427" s="2">
        <f t="shared" si="114"/>
        <v>381</v>
      </c>
      <c r="V427" s="2" t="str">
        <f t="shared" si="109"/>
        <v>17D</v>
      </c>
      <c r="W427" s="2" t="str">
        <f t="shared" si="110"/>
        <v>X</v>
      </c>
      <c r="X427" s="2" t="str">
        <f t="shared" si="113"/>
        <v>X</v>
      </c>
      <c r="Y427" s="2" t="str">
        <f t="shared" si="111"/>
        <v>X</v>
      </c>
      <c r="Z427" s="2" t="str">
        <f t="shared" si="112"/>
        <v>X</v>
      </c>
      <c r="AA427" s="2" t="str">
        <f t="shared" si="115"/>
        <v>(31 downto 24)</v>
      </c>
      <c r="AB427" s="2" t="str">
        <f t="shared" si="116"/>
        <v>(23 downto 16)</v>
      </c>
      <c r="AC427" s="2" t="str">
        <f t="shared" si="117"/>
        <v>(15 downto 8)</v>
      </c>
      <c r="AD427" s="2" t="str">
        <f t="shared" si="118"/>
        <v>(7 downto 0)</v>
      </c>
      <c r="AE427" s="2" t="str">
        <f t="shared" si="119"/>
        <v>(31 downto 24)</v>
      </c>
      <c r="AF427" s="2" t="str">
        <f t="shared" si="120"/>
        <v>(23 downto 16)</v>
      </c>
      <c r="AG427" s="2" t="str">
        <f t="shared" si="121"/>
        <v>(15 downto 8)</v>
      </c>
      <c r="AH427" s="2" t="str">
        <f t="shared" si="122"/>
        <v>(7 downto 0)</v>
      </c>
    </row>
    <row r="428" spans="2:34" x14ac:dyDescent="0.25">
      <c r="B428" s="2" t="s">
        <v>1099</v>
      </c>
      <c r="C428" s="2" t="s">
        <v>141</v>
      </c>
      <c r="D428" s="2" t="s">
        <v>0</v>
      </c>
      <c r="E428" s="2" t="s">
        <v>130</v>
      </c>
      <c r="F428" s="2" t="s">
        <v>1100</v>
      </c>
      <c r="G428" s="2" t="s">
        <v>1101</v>
      </c>
      <c r="H428" s="2" t="s">
        <v>142</v>
      </c>
      <c r="I428" s="2" t="s">
        <v>41</v>
      </c>
      <c r="J428" s="2">
        <v>32</v>
      </c>
      <c r="K428" s="2" t="s">
        <v>132</v>
      </c>
      <c r="L428" s="2" t="s">
        <v>40</v>
      </c>
      <c r="P428" s="2" t="s">
        <v>48</v>
      </c>
      <c r="Q428" s="2">
        <f>INDEX(Tables!$C$4:$C$28,MATCH($P428,Tables!$B$4:$B$28,0))</f>
        <v>32</v>
      </c>
      <c r="R428" s="2">
        <f>INDEX(Tables!$D$4:$D$28,MATCH($P428,Tables!$B$4:$B$28,0))</f>
        <v>4</v>
      </c>
      <c r="S428" s="2">
        <f>$S427+$R427+INDEX(Tables!$N$5:$Q$8,MATCH(MOD($S427+$R427,4),Tables!$M$5:$M$8,0),MATCH($R428,Tables!$N$4:$Q$4,0))</f>
        <v>1528</v>
      </c>
      <c r="T428" s="2" t="str">
        <f t="shared" si="108"/>
        <v>05F8</v>
      </c>
      <c r="U428" s="2">
        <f t="shared" si="114"/>
        <v>382</v>
      </c>
      <c r="V428" s="2" t="str">
        <f t="shared" si="109"/>
        <v>17E</v>
      </c>
      <c r="W428" s="2" t="str">
        <f t="shared" si="110"/>
        <v>X</v>
      </c>
      <c r="X428" s="2" t="str">
        <f t="shared" si="113"/>
        <v>X</v>
      </c>
      <c r="Y428" s="2" t="str">
        <f t="shared" si="111"/>
        <v>X</v>
      </c>
      <c r="Z428" s="2" t="str">
        <f t="shared" si="112"/>
        <v>X</v>
      </c>
      <c r="AA428" s="2" t="str">
        <f t="shared" si="115"/>
        <v>(31 downto 24)</v>
      </c>
      <c r="AB428" s="2" t="str">
        <f t="shared" si="116"/>
        <v>(23 downto 16)</v>
      </c>
      <c r="AC428" s="2" t="str">
        <f t="shared" si="117"/>
        <v>(15 downto 8)</v>
      </c>
      <c r="AD428" s="2" t="str">
        <f t="shared" si="118"/>
        <v>(7 downto 0)</v>
      </c>
      <c r="AE428" s="2" t="str">
        <f t="shared" si="119"/>
        <v>(31 downto 24)</v>
      </c>
      <c r="AF428" s="2" t="str">
        <f t="shared" si="120"/>
        <v>(23 downto 16)</v>
      </c>
      <c r="AG428" s="2" t="str">
        <f t="shared" si="121"/>
        <v>(15 downto 8)</v>
      </c>
      <c r="AH428" s="2" t="str">
        <f t="shared" si="122"/>
        <v>(7 downto 0)</v>
      </c>
    </row>
    <row r="429" spans="2:34" x14ac:dyDescent="0.25">
      <c r="B429" s="2" t="s">
        <v>1102</v>
      </c>
      <c r="C429" s="2" t="s">
        <v>141</v>
      </c>
      <c r="D429" s="2" t="s">
        <v>0</v>
      </c>
      <c r="E429" s="2" t="s">
        <v>130</v>
      </c>
      <c r="F429" s="2" t="s">
        <v>1103</v>
      </c>
      <c r="G429" s="2" t="s">
        <v>1104</v>
      </c>
      <c r="H429" s="2" t="s">
        <v>142</v>
      </c>
      <c r="I429" s="2" t="s">
        <v>41</v>
      </c>
      <c r="J429" s="2">
        <v>32</v>
      </c>
      <c r="K429" s="2" t="s">
        <v>132</v>
      </c>
      <c r="L429" s="2" t="s">
        <v>40</v>
      </c>
      <c r="P429" s="2" t="s">
        <v>48</v>
      </c>
      <c r="Q429" s="2">
        <f>INDEX(Tables!$C$4:$C$28,MATCH($P429,Tables!$B$4:$B$28,0))</f>
        <v>32</v>
      </c>
      <c r="R429" s="2">
        <f>INDEX(Tables!$D$4:$D$28,MATCH($P429,Tables!$B$4:$B$28,0))</f>
        <v>4</v>
      </c>
      <c r="S429" s="2">
        <f>$S428+$R428+INDEX(Tables!$N$5:$Q$8,MATCH(MOD($S428+$R428,4),Tables!$M$5:$M$8,0),MATCH($R429,Tables!$N$4:$Q$4,0))</f>
        <v>1532</v>
      </c>
      <c r="T429" s="2" t="str">
        <f t="shared" si="108"/>
        <v>05FC</v>
      </c>
      <c r="U429" s="2">
        <f t="shared" si="114"/>
        <v>383</v>
      </c>
      <c r="V429" s="2" t="str">
        <f t="shared" si="109"/>
        <v>17F</v>
      </c>
      <c r="W429" s="2" t="str">
        <f t="shared" si="110"/>
        <v>X</v>
      </c>
      <c r="X429" s="2" t="str">
        <f t="shared" si="113"/>
        <v>X</v>
      </c>
      <c r="Y429" s="2" t="str">
        <f t="shared" si="111"/>
        <v>X</v>
      </c>
      <c r="Z429" s="2" t="str">
        <f t="shared" si="112"/>
        <v>X</v>
      </c>
      <c r="AA429" s="2" t="str">
        <f t="shared" si="115"/>
        <v>(31 downto 24)</v>
      </c>
      <c r="AB429" s="2" t="str">
        <f t="shared" si="116"/>
        <v>(23 downto 16)</v>
      </c>
      <c r="AC429" s="2" t="str">
        <f t="shared" si="117"/>
        <v>(15 downto 8)</v>
      </c>
      <c r="AD429" s="2" t="str">
        <f t="shared" si="118"/>
        <v>(7 downto 0)</v>
      </c>
      <c r="AE429" s="2" t="str">
        <f t="shared" si="119"/>
        <v>(31 downto 24)</v>
      </c>
      <c r="AF429" s="2" t="str">
        <f t="shared" si="120"/>
        <v>(23 downto 16)</v>
      </c>
      <c r="AG429" s="2" t="str">
        <f t="shared" si="121"/>
        <v>(15 downto 8)</v>
      </c>
      <c r="AH429" s="2" t="str">
        <f t="shared" si="122"/>
        <v>(7 downto 0)</v>
      </c>
    </row>
    <row r="430" spans="2:34" x14ac:dyDescent="0.25">
      <c r="B430" s="2" t="s">
        <v>1105</v>
      </c>
      <c r="C430" s="2" t="s">
        <v>141</v>
      </c>
      <c r="D430" s="2" t="s">
        <v>0</v>
      </c>
      <c r="E430" s="2" t="s">
        <v>130</v>
      </c>
      <c r="F430" s="2" t="s">
        <v>1106</v>
      </c>
      <c r="G430" s="2" t="s">
        <v>1107</v>
      </c>
      <c r="H430" s="2" t="s">
        <v>142</v>
      </c>
      <c r="I430" s="2" t="s">
        <v>41</v>
      </c>
      <c r="J430" s="2">
        <v>32</v>
      </c>
      <c r="K430" s="2" t="s">
        <v>132</v>
      </c>
      <c r="L430" s="2" t="s">
        <v>40</v>
      </c>
      <c r="P430" s="2" t="s">
        <v>48</v>
      </c>
      <c r="Q430" s="2">
        <f>INDEX(Tables!$C$4:$C$28,MATCH($P430,Tables!$B$4:$B$28,0))</f>
        <v>32</v>
      </c>
      <c r="R430" s="2">
        <f>INDEX(Tables!$D$4:$D$28,MATCH($P430,Tables!$B$4:$B$28,0))</f>
        <v>4</v>
      </c>
      <c r="S430" s="2">
        <f>$S429+$R429+INDEX(Tables!$N$5:$Q$8,MATCH(MOD($S429+$R429,4),Tables!$M$5:$M$8,0),MATCH($R430,Tables!$N$4:$Q$4,0))</f>
        <v>1536</v>
      </c>
      <c r="T430" s="2" t="str">
        <f t="shared" si="108"/>
        <v>0600</v>
      </c>
      <c r="U430" s="2">
        <f t="shared" si="114"/>
        <v>384</v>
      </c>
      <c r="V430" s="2" t="str">
        <f t="shared" si="109"/>
        <v>180</v>
      </c>
      <c r="W430" s="2" t="str">
        <f t="shared" si="110"/>
        <v>X</v>
      </c>
      <c r="X430" s="2" t="str">
        <f t="shared" si="113"/>
        <v>X</v>
      </c>
      <c r="Y430" s="2" t="str">
        <f t="shared" si="111"/>
        <v>X</v>
      </c>
      <c r="Z430" s="2" t="str">
        <f t="shared" si="112"/>
        <v>X</v>
      </c>
      <c r="AA430" s="2" t="str">
        <f t="shared" si="115"/>
        <v>(31 downto 24)</v>
      </c>
      <c r="AB430" s="2" t="str">
        <f t="shared" si="116"/>
        <v>(23 downto 16)</v>
      </c>
      <c r="AC430" s="2" t="str">
        <f t="shared" si="117"/>
        <v>(15 downto 8)</v>
      </c>
      <c r="AD430" s="2" t="str">
        <f t="shared" si="118"/>
        <v>(7 downto 0)</v>
      </c>
      <c r="AE430" s="2" t="str">
        <f t="shared" si="119"/>
        <v>(31 downto 24)</v>
      </c>
      <c r="AF430" s="2" t="str">
        <f t="shared" si="120"/>
        <v>(23 downto 16)</v>
      </c>
      <c r="AG430" s="2" t="str">
        <f t="shared" si="121"/>
        <v>(15 downto 8)</v>
      </c>
      <c r="AH430" s="2" t="str">
        <f t="shared" si="122"/>
        <v>(7 downto 0)</v>
      </c>
    </row>
    <row r="431" spans="2:34" x14ac:dyDescent="0.25">
      <c r="B431" s="2" t="s">
        <v>1108</v>
      </c>
      <c r="C431" s="2" t="s">
        <v>141</v>
      </c>
      <c r="D431" s="2" t="s">
        <v>0</v>
      </c>
      <c r="E431" s="2" t="s">
        <v>130</v>
      </c>
      <c r="F431" s="2" t="s">
        <v>1109</v>
      </c>
      <c r="G431" s="2" t="s">
        <v>1110</v>
      </c>
      <c r="H431" s="2" t="s">
        <v>142</v>
      </c>
      <c r="I431" s="2" t="s">
        <v>41</v>
      </c>
      <c r="J431" s="2">
        <v>32</v>
      </c>
      <c r="K431" s="2" t="s">
        <v>132</v>
      </c>
      <c r="L431" s="2" t="s">
        <v>40</v>
      </c>
      <c r="P431" s="2" t="s">
        <v>48</v>
      </c>
      <c r="Q431" s="2">
        <f>INDEX(Tables!$C$4:$C$28,MATCH($P431,Tables!$B$4:$B$28,0))</f>
        <v>32</v>
      </c>
      <c r="R431" s="2">
        <f>INDEX(Tables!$D$4:$D$28,MATCH($P431,Tables!$B$4:$B$28,0))</f>
        <v>4</v>
      </c>
      <c r="S431" s="2">
        <f>$S430+$R430+INDEX(Tables!$N$5:$Q$8,MATCH(MOD($S430+$R430,4),Tables!$M$5:$M$8,0),MATCH($R431,Tables!$N$4:$Q$4,0))</f>
        <v>1540</v>
      </c>
      <c r="T431" s="2" t="str">
        <f t="shared" si="108"/>
        <v>0604</v>
      </c>
      <c r="U431" s="2">
        <f t="shared" si="114"/>
        <v>385</v>
      </c>
      <c r="V431" s="2" t="str">
        <f t="shared" si="109"/>
        <v>181</v>
      </c>
      <c r="W431" s="2" t="str">
        <f t="shared" si="110"/>
        <v>X</v>
      </c>
      <c r="X431" s="2" t="str">
        <f t="shared" si="113"/>
        <v>X</v>
      </c>
      <c r="Y431" s="2" t="str">
        <f t="shared" si="111"/>
        <v>X</v>
      </c>
      <c r="Z431" s="2" t="str">
        <f t="shared" si="112"/>
        <v>X</v>
      </c>
      <c r="AA431" s="2" t="str">
        <f t="shared" si="115"/>
        <v>(31 downto 24)</v>
      </c>
      <c r="AB431" s="2" t="str">
        <f t="shared" si="116"/>
        <v>(23 downto 16)</v>
      </c>
      <c r="AC431" s="2" t="str">
        <f t="shared" si="117"/>
        <v>(15 downto 8)</v>
      </c>
      <c r="AD431" s="2" t="str">
        <f t="shared" si="118"/>
        <v>(7 downto 0)</v>
      </c>
      <c r="AE431" s="2" t="str">
        <f t="shared" si="119"/>
        <v>(31 downto 24)</v>
      </c>
      <c r="AF431" s="2" t="str">
        <f t="shared" si="120"/>
        <v>(23 downto 16)</v>
      </c>
      <c r="AG431" s="2" t="str">
        <f t="shared" si="121"/>
        <v>(15 downto 8)</v>
      </c>
      <c r="AH431" s="2" t="str">
        <f t="shared" si="122"/>
        <v>(7 downto 0)</v>
      </c>
    </row>
    <row r="432" spans="2:34" x14ac:dyDescent="0.25">
      <c r="B432" s="2" t="s">
        <v>1111</v>
      </c>
      <c r="C432" s="2" t="s">
        <v>141</v>
      </c>
      <c r="D432" s="2" t="s">
        <v>0</v>
      </c>
      <c r="E432" s="2" t="s">
        <v>130</v>
      </c>
      <c r="F432" s="2" t="s">
        <v>1112</v>
      </c>
      <c r="G432" s="2" t="s">
        <v>1113</v>
      </c>
      <c r="H432" s="2" t="s">
        <v>142</v>
      </c>
      <c r="I432" s="2" t="s">
        <v>41</v>
      </c>
      <c r="J432" s="2">
        <v>32</v>
      </c>
      <c r="K432" s="2" t="s">
        <v>132</v>
      </c>
      <c r="L432" s="2" t="s">
        <v>40</v>
      </c>
      <c r="P432" s="2" t="s">
        <v>48</v>
      </c>
      <c r="Q432" s="2">
        <f>INDEX(Tables!$C$4:$C$28,MATCH($P432,Tables!$B$4:$B$28,0))</f>
        <v>32</v>
      </c>
      <c r="R432" s="2">
        <f>INDEX(Tables!$D$4:$D$28,MATCH($P432,Tables!$B$4:$B$28,0))</f>
        <v>4</v>
      </c>
      <c r="S432" s="2">
        <f>$S431+$R431+INDEX(Tables!$N$5:$Q$8,MATCH(MOD($S431+$R431,4),Tables!$M$5:$M$8,0),MATCH($R432,Tables!$N$4:$Q$4,0))</f>
        <v>1544</v>
      </c>
      <c r="T432" s="2" t="str">
        <f t="shared" si="108"/>
        <v>0608</v>
      </c>
      <c r="U432" s="2">
        <f t="shared" si="114"/>
        <v>386</v>
      </c>
      <c r="V432" s="2" t="str">
        <f t="shared" si="109"/>
        <v>182</v>
      </c>
      <c r="W432" s="2" t="str">
        <f t="shared" si="110"/>
        <v>X</v>
      </c>
      <c r="X432" s="2" t="str">
        <f t="shared" si="113"/>
        <v>X</v>
      </c>
      <c r="Y432" s="2" t="str">
        <f t="shared" si="111"/>
        <v>X</v>
      </c>
      <c r="Z432" s="2" t="str">
        <f t="shared" si="112"/>
        <v>X</v>
      </c>
      <c r="AA432" s="2" t="str">
        <f t="shared" si="115"/>
        <v>(31 downto 24)</v>
      </c>
      <c r="AB432" s="2" t="str">
        <f t="shared" si="116"/>
        <v>(23 downto 16)</v>
      </c>
      <c r="AC432" s="2" t="str">
        <f t="shared" si="117"/>
        <v>(15 downto 8)</v>
      </c>
      <c r="AD432" s="2" t="str">
        <f t="shared" si="118"/>
        <v>(7 downto 0)</v>
      </c>
      <c r="AE432" s="2" t="str">
        <f t="shared" si="119"/>
        <v>(31 downto 24)</v>
      </c>
      <c r="AF432" s="2" t="str">
        <f t="shared" si="120"/>
        <v>(23 downto 16)</v>
      </c>
      <c r="AG432" s="2" t="str">
        <f t="shared" si="121"/>
        <v>(15 downto 8)</v>
      </c>
      <c r="AH432" s="2" t="str">
        <f t="shared" si="122"/>
        <v>(7 downto 0)</v>
      </c>
    </row>
    <row r="433" spans="2:34" x14ac:dyDescent="0.25">
      <c r="B433" s="2" t="s">
        <v>1114</v>
      </c>
      <c r="C433" s="2" t="s">
        <v>141</v>
      </c>
      <c r="D433" s="2" t="s">
        <v>0</v>
      </c>
      <c r="E433" s="2" t="s">
        <v>130</v>
      </c>
      <c r="F433" s="2" t="s">
        <v>1115</v>
      </c>
      <c r="G433" s="2" t="s">
        <v>1116</v>
      </c>
      <c r="H433" s="2" t="s">
        <v>142</v>
      </c>
      <c r="I433" s="2" t="s">
        <v>41</v>
      </c>
      <c r="J433" s="2">
        <v>32</v>
      </c>
      <c r="K433" s="2" t="s">
        <v>132</v>
      </c>
      <c r="L433" s="2" t="s">
        <v>40</v>
      </c>
      <c r="P433" s="2" t="s">
        <v>48</v>
      </c>
      <c r="Q433" s="2">
        <f>INDEX(Tables!$C$4:$C$28,MATCH($P433,Tables!$B$4:$B$28,0))</f>
        <v>32</v>
      </c>
      <c r="R433" s="2">
        <f>INDEX(Tables!$D$4:$D$28,MATCH($P433,Tables!$B$4:$B$28,0))</f>
        <v>4</v>
      </c>
      <c r="S433" s="2">
        <f>$S432+$R432+INDEX(Tables!$N$5:$Q$8,MATCH(MOD($S432+$R432,4),Tables!$M$5:$M$8,0),MATCH($R433,Tables!$N$4:$Q$4,0))</f>
        <v>1548</v>
      </c>
      <c r="T433" s="2" t="str">
        <f t="shared" si="108"/>
        <v>060C</v>
      </c>
      <c r="U433" s="2">
        <f t="shared" si="114"/>
        <v>387</v>
      </c>
      <c r="V433" s="2" t="str">
        <f t="shared" si="109"/>
        <v>183</v>
      </c>
      <c r="W433" s="2" t="str">
        <f t="shared" si="110"/>
        <v>X</v>
      </c>
      <c r="X433" s="2" t="str">
        <f t="shared" si="113"/>
        <v>X</v>
      </c>
      <c r="Y433" s="2" t="str">
        <f t="shared" si="111"/>
        <v>X</v>
      </c>
      <c r="Z433" s="2" t="str">
        <f t="shared" si="112"/>
        <v>X</v>
      </c>
      <c r="AA433" s="2" t="str">
        <f t="shared" si="115"/>
        <v>(31 downto 24)</v>
      </c>
      <c r="AB433" s="2" t="str">
        <f t="shared" si="116"/>
        <v>(23 downto 16)</v>
      </c>
      <c r="AC433" s="2" t="str">
        <f t="shared" si="117"/>
        <v>(15 downto 8)</v>
      </c>
      <c r="AD433" s="2" t="str">
        <f t="shared" si="118"/>
        <v>(7 downto 0)</v>
      </c>
      <c r="AE433" s="2" t="str">
        <f t="shared" si="119"/>
        <v>(31 downto 24)</v>
      </c>
      <c r="AF433" s="2" t="str">
        <f t="shared" si="120"/>
        <v>(23 downto 16)</v>
      </c>
      <c r="AG433" s="2" t="str">
        <f t="shared" si="121"/>
        <v>(15 downto 8)</v>
      </c>
      <c r="AH433" s="2" t="str">
        <f t="shared" si="122"/>
        <v>(7 downto 0)</v>
      </c>
    </row>
    <row r="434" spans="2:34" x14ac:dyDescent="0.25">
      <c r="B434" s="2" t="s">
        <v>1117</v>
      </c>
      <c r="C434" s="2" t="s">
        <v>141</v>
      </c>
      <c r="D434" s="2" t="s">
        <v>0</v>
      </c>
      <c r="E434" s="2" t="s">
        <v>130</v>
      </c>
      <c r="F434" s="2" t="s">
        <v>1118</v>
      </c>
      <c r="G434" s="2" t="s">
        <v>1119</v>
      </c>
      <c r="H434" s="2" t="s">
        <v>142</v>
      </c>
      <c r="I434" s="2" t="s">
        <v>41</v>
      </c>
      <c r="J434" s="2">
        <v>32</v>
      </c>
      <c r="K434" s="2" t="s">
        <v>132</v>
      </c>
      <c r="L434" s="2" t="s">
        <v>40</v>
      </c>
      <c r="P434" s="2" t="s">
        <v>48</v>
      </c>
      <c r="Q434" s="2">
        <f>INDEX(Tables!$C$4:$C$28,MATCH($P434,Tables!$B$4:$B$28,0))</f>
        <v>32</v>
      </c>
      <c r="R434" s="2">
        <f>INDEX(Tables!$D$4:$D$28,MATCH($P434,Tables!$B$4:$B$28,0))</f>
        <v>4</v>
      </c>
      <c r="S434" s="2">
        <f>$S433+$R433+INDEX(Tables!$N$5:$Q$8,MATCH(MOD($S433+$R433,4),Tables!$M$5:$M$8,0),MATCH($R434,Tables!$N$4:$Q$4,0))</f>
        <v>1552</v>
      </c>
      <c r="T434" s="2" t="str">
        <f t="shared" si="108"/>
        <v>0610</v>
      </c>
      <c r="U434" s="2">
        <f t="shared" si="114"/>
        <v>388</v>
      </c>
      <c r="V434" s="2" t="str">
        <f t="shared" si="109"/>
        <v>184</v>
      </c>
      <c r="W434" s="2" t="str">
        <f t="shared" si="110"/>
        <v>X</v>
      </c>
      <c r="X434" s="2" t="str">
        <f t="shared" si="113"/>
        <v>X</v>
      </c>
      <c r="Y434" s="2" t="str">
        <f t="shared" si="111"/>
        <v>X</v>
      </c>
      <c r="Z434" s="2" t="str">
        <f t="shared" si="112"/>
        <v>X</v>
      </c>
      <c r="AA434" s="2" t="str">
        <f t="shared" si="115"/>
        <v>(31 downto 24)</v>
      </c>
      <c r="AB434" s="2" t="str">
        <f t="shared" si="116"/>
        <v>(23 downto 16)</v>
      </c>
      <c r="AC434" s="2" t="str">
        <f t="shared" si="117"/>
        <v>(15 downto 8)</v>
      </c>
      <c r="AD434" s="2" t="str">
        <f t="shared" si="118"/>
        <v>(7 downto 0)</v>
      </c>
      <c r="AE434" s="2" t="str">
        <f t="shared" si="119"/>
        <v>(31 downto 24)</v>
      </c>
      <c r="AF434" s="2" t="str">
        <f t="shared" si="120"/>
        <v>(23 downto 16)</v>
      </c>
      <c r="AG434" s="2" t="str">
        <f t="shared" si="121"/>
        <v>(15 downto 8)</v>
      </c>
      <c r="AH434" s="2" t="str">
        <f t="shared" si="122"/>
        <v>(7 downto 0)</v>
      </c>
    </row>
    <row r="435" spans="2:34" x14ac:dyDescent="0.25">
      <c r="B435" s="2" t="s">
        <v>1120</v>
      </c>
      <c r="C435" s="2" t="s">
        <v>141</v>
      </c>
      <c r="D435" s="2" t="s">
        <v>0</v>
      </c>
      <c r="E435" s="2" t="s">
        <v>130</v>
      </c>
      <c r="F435" s="2" t="s">
        <v>1121</v>
      </c>
      <c r="G435" s="2" t="s">
        <v>1122</v>
      </c>
      <c r="H435" s="2" t="s">
        <v>142</v>
      </c>
      <c r="I435" s="2" t="s">
        <v>41</v>
      </c>
      <c r="J435" s="2">
        <v>32</v>
      </c>
      <c r="K435" s="2" t="s">
        <v>132</v>
      </c>
      <c r="L435" s="2" t="s">
        <v>40</v>
      </c>
      <c r="P435" s="2" t="s">
        <v>48</v>
      </c>
      <c r="Q435" s="2">
        <f>INDEX(Tables!$C$4:$C$28,MATCH($P435,Tables!$B$4:$B$28,0))</f>
        <v>32</v>
      </c>
      <c r="R435" s="2">
        <f>INDEX(Tables!$D$4:$D$28,MATCH($P435,Tables!$B$4:$B$28,0))</f>
        <v>4</v>
      </c>
      <c r="S435" s="2">
        <f>$S434+$R434+INDEX(Tables!$N$5:$Q$8,MATCH(MOD($S434+$R434,4),Tables!$M$5:$M$8,0),MATCH($R435,Tables!$N$4:$Q$4,0))</f>
        <v>1556</v>
      </c>
      <c r="T435" s="2" t="str">
        <f t="shared" si="108"/>
        <v>0614</v>
      </c>
      <c r="U435" s="2">
        <f t="shared" si="114"/>
        <v>389</v>
      </c>
      <c r="V435" s="2" t="str">
        <f t="shared" si="109"/>
        <v>185</v>
      </c>
      <c r="W435" s="2" t="str">
        <f t="shared" si="110"/>
        <v>X</v>
      </c>
      <c r="X435" s="2" t="str">
        <f t="shared" si="113"/>
        <v>X</v>
      </c>
      <c r="Y435" s="2" t="str">
        <f t="shared" si="111"/>
        <v>X</v>
      </c>
      <c r="Z435" s="2" t="str">
        <f t="shared" si="112"/>
        <v>X</v>
      </c>
      <c r="AA435" s="2" t="str">
        <f t="shared" si="115"/>
        <v>(31 downto 24)</v>
      </c>
      <c r="AB435" s="2" t="str">
        <f t="shared" si="116"/>
        <v>(23 downto 16)</v>
      </c>
      <c r="AC435" s="2" t="str">
        <f t="shared" si="117"/>
        <v>(15 downto 8)</v>
      </c>
      <c r="AD435" s="2" t="str">
        <f t="shared" si="118"/>
        <v>(7 downto 0)</v>
      </c>
      <c r="AE435" s="2" t="str">
        <f t="shared" si="119"/>
        <v>(31 downto 24)</v>
      </c>
      <c r="AF435" s="2" t="str">
        <f t="shared" si="120"/>
        <v>(23 downto 16)</v>
      </c>
      <c r="AG435" s="2" t="str">
        <f t="shared" si="121"/>
        <v>(15 downto 8)</v>
      </c>
      <c r="AH435" s="2" t="str">
        <f t="shared" si="122"/>
        <v>(7 downto 0)</v>
      </c>
    </row>
    <row r="436" spans="2:34" x14ac:dyDescent="0.25">
      <c r="B436" s="2" t="s">
        <v>1123</v>
      </c>
      <c r="C436" s="2" t="s">
        <v>141</v>
      </c>
      <c r="D436" s="2" t="s">
        <v>0</v>
      </c>
      <c r="E436" s="2" t="s">
        <v>130</v>
      </c>
      <c r="F436" s="2" t="s">
        <v>1124</v>
      </c>
      <c r="G436" s="2" t="s">
        <v>1125</v>
      </c>
      <c r="H436" s="2" t="s">
        <v>142</v>
      </c>
      <c r="I436" s="2" t="s">
        <v>41</v>
      </c>
      <c r="J436" s="2">
        <v>32</v>
      </c>
      <c r="K436" s="2" t="s">
        <v>132</v>
      </c>
      <c r="L436" s="2" t="s">
        <v>40</v>
      </c>
      <c r="P436" s="2" t="s">
        <v>48</v>
      </c>
      <c r="Q436" s="2">
        <f>INDEX(Tables!$C$4:$C$28,MATCH($P436,Tables!$B$4:$B$28,0))</f>
        <v>32</v>
      </c>
      <c r="R436" s="2">
        <f>INDEX(Tables!$D$4:$D$28,MATCH($P436,Tables!$B$4:$B$28,0))</f>
        <v>4</v>
      </c>
      <c r="S436" s="2">
        <f>$S435+$R435+INDEX(Tables!$N$5:$Q$8,MATCH(MOD($S435+$R435,4),Tables!$M$5:$M$8,0),MATCH($R436,Tables!$N$4:$Q$4,0))</f>
        <v>1560</v>
      </c>
      <c r="T436" s="2" t="str">
        <f t="shared" si="108"/>
        <v>0618</v>
      </c>
      <c r="U436" s="2">
        <f t="shared" si="114"/>
        <v>390</v>
      </c>
      <c r="V436" s="2" t="str">
        <f t="shared" si="109"/>
        <v>186</v>
      </c>
      <c r="W436" s="2" t="str">
        <f t="shared" si="110"/>
        <v>X</v>
      </c>
      <c r="X436" s="2" t="str">
        <f t="shared" si="113"/>
        <v>X</v>
      </c>
      <c r="Y436" s="2" t="str">
        <f t="shared" si="111"/>
        <v>X</v>
      </c>
      <c r="Z436" s="2" t="str">
        <f t="shared" si="112"/>
        <v>X</v>
      </c>
      <c r="AA436" s="2" t="str">
        <f t="shared" si="115"/>
        <v>(31 downto 24)</v>
      </c>
      <c r="AB436" s="2" t="str">
        <f t="shared" si="116"/>
        <v>(23 downto 16)</v>
      </c>
      <c r="AC436" s="2" t="str">
        <f t="shared" si="117"/>
        <v>(15 downto 8)</v>
      </c>
      <c r="AD436" s="2" t="str">
        <f t="shared" si="118"/>
        <v>(7 downto 0)</v>
      </c>
      <c r="AE436" s="2" t="str">
        <f t="shared" si="119"/>
        <v>(31 downto 24)</v>
      </c>
      <c r="AF436" s="2" t="str">
        <f t="shared" si="120"/>
        <v>(23 downto 16)</v>
      </c>
      <c r="AG436" s="2" t="str">
        <f t="shared" si="121"/>
        <v>(15 downto 8)</v>
      </c>
      <c r="AH436" s="2" t="str">
        <f t="shared" si="122"/>
        <v>(7 downto 0)</v>
      </c>
    </row>
    <row r="437" spans="2:34" x14ac:dyDescent="0.25">
      <c r="B437" s="2" t="s">
        <v>1126</v>
      </c>
      <c r="C437" s="2" t="s">
        <v>141</v>
      </c>
      <c r="D437" s="2" t="s">
        <v>0</v>
      </c>
      <c r="E437" s="2" t="s">
        <v>130</v>
      </c>
      <c r="F437" s="2" t="s">
        <v>1127</v>
      </c>
      <c r="G437" s="2" t="s">
        <v>1128</v>
      </c>
      <c r="H437" s="2" t="s">
        <v>142</v>
      </c>
      <c r="I437" s="2" t="s">
        <v>41</v>
      </c>
      <c r="J437" s="2">
        <v>32</v>
      </c>
      <c r="K437" s="2" t="s">
        <v>132</v>
      </c>
      <c r="L437" s="2" t="s">
        <v>40</v>
      </c>
      <c r="P437" s="2" t="s">
        <v>48</v>
      </c>
      <c r="Q437" s="2">
        <f>INDEX(Tables!$C$4:$C$28,MATCH($P437,Tables!$B$4:$B$28,0))</f>
        <v>32</v>
      </c>
      <c r="R437" s="2">
        <f>INDEX(Tables!$D$4:$D$28,MATCH($P437,Tables!$B$4:$B$28,0))</f>
        <v>4</v>
      </c>
      <c r="S437" s="2">
        <f>$S436+$R436+INDEX(Tables!$N$5:$Q$8,MATCH(MOD($S436+$R436,4),Tables!$M$5:$M$8,0),MATCH($R437,Tables!$N$4:$Q$4,0))</f>
        <v>1564</v>
      </c>
      <c r="T437" s="2" t="str">
        <f t="shared" si="108"/>
        <v>061C</v>
      </c>
      <c r="U437" s="2">
        <f t="shared" si="114"/>
        <v>391</v>
      </c>
      <c r="V437" s="2" t="str">
        <f t="shared" si="109"/>
        <v>187</v>
      </c>
      <c r="W437" s="2" t="str">
        <f t="shared" si="110"/>
        <v>X</v>
      </c>
      <c r="X437" s="2" t="str">
        <f t="shared" si="113"/>
        <v>X</v>
      </c>
      <c r="Y437" s="2" t="str">
        <f t="shared" si="111"/>
        <v>X</v>
      </c>
      <c r="Z437" s="2" t="str">
        <f t="shared" si="112"/>
        <v>X</v>
      </c>
      <c r="AA437" s="2" t="str">
        <f t="shared" si="115"/>
        <v>(31 downto 24)</v>
      </c>
      <c r="AB437" s="2" t="str">
        <f t="shared" si="116"/>
        <v>(23 downto 16)</v>
      </c>
      <c r="AC437" s="2" t="str">
        <f t="shared" si="117"/>
        <v>(15 downto 8)</v>
      </c>
      <c r="AD437" s="2" t="str">
        <f t="shared" si="118"/>
        <v>(7 downto 0)</v>
      </c>
      <c r="AE437" s="2" t="str">
        <f t="shared" si="119"/>
        <v>(31 downto 24)</v>
      </c>
      <c r="AF437" s="2" t="str">
        <f t="shared" si="120"/>
        <v>(23 downto 16)</v>
      </c>
      <c r="AG437" s="2" t="str">
        <f t="shared" si="121"/>
        <v>(15 downto 8)</v>
      </c>
      <c r="AH437" s="2" t="str">
        <f t="shared" si="122"/>
        <v>(7 downto 0)</v>
      </c>
    </row>
    <row r="438" spans="2:34" x14ac:dyDescent="0.25">
      <c r="B438" s="2" t="s">
        <v>1129</v>
      </c>
      <c r="C438" s="2" t="s">
        <v>141</v>
      </c>
      <c r="D438" s="2" t="s">
        <v>0</v>
      </c>
      <c r="E438" s="2" t="s">
        <v>130</v>
      </c>
      <c r="F438" s="2" t="s">
        <v>1130</v>
      </c>
      <c r="G438" s="2" t="s">
        <v>1131</v>
      </c>
      <c r="H438" s="2" t="s">
        <v>142</v>
      </c>
      <c r="I438" s="2" t="s">
        <v>41</v>
      </c>
      <c r="J438" s="2">
        <v>32</v>
      </c>
      <c r="K438" s="2" t="s">
        <v>132</v>
      </c>
      <c r="L438" s="2" t="s">
        <v>40</v>
      </c>
      <c r="P438" s="2" t="s">
        <v>48</v>
      </c>
      <c r="Q438" s="2">
        <f>INDEX(Tables!$C$4:$C$28,MATCH($P438,Tables!$B$4:$B$28,0))</f>
        <v>32</v>
      </c>
      <c r="R438" s="2">
        <f>INDEX(Tables!$D$4:$D$28,MATCH($P438,Tables!$B$4:$B$28,0))</f>
        <v>4</v>
      </c>
      <c r="S438" s="2">
        <f>$S437+$R437+INDEX(Tables!$N$5:$Q$8,MATCH(MOD($S437+$R437,4),Tables!$M$5:$M$8,0),MATCH($R438,Tables!$N$4:$Q$4,0))</f>
        <v>1568</v>
      </c>
      <c r="T438" s="2" t="str">
        <f t="shared" si="108"/>
        <v>0620</v>
      </c>
      <c r="U438" s="2">
        <f t="shared" si="114"/>
        <v>392</v>
      </c>
      <c r="V438" s="2" t="str">
        <f t="shared" si="109"/>
        <v>188</v>
      </c>
      <c r="W438" s="2" t="str">
        <f t="shared" si="110"/>
        <v>X</v>
      </c>
      <c r="X438" s="2" t="str">
        <f t="shared" si="113"/>
        <v>X</v>
      </c>
      <c r="Y438" s="2" t="str">
        <f t="shared" si="111"/>
        <v>X</v>
      </c>
      <c r="Z438" s="2" t="str">
        <f t="shared" si="112"/>
        <v>X</v>
      </c>
      <c r="AA438" s="2" t="str">
        <f t="shared" si="115"/>
        <v>(31 downto 24)</v>
      </c>
      <c r="AB438" s="2" t="str">
        <f t="shared" si="116"/>
        <v>(23 downto 16)</v>
      </c>
      <c r="AC438" s="2" t="str">
        <f t="shared" si="117"/>
        <v>(15 downto 8)</v>
      </c>
      <c r="AD438" s="2" t="str">
        <f t="shared" si="118"/>
        <v>(7 downto 0)</v>
      </c>
      <c r="AE438" s="2" t="str">
        <f t="shared" si="119"/>
        <v>(31 downto 24)</v>
      </c>
      <c r="AF438" s="2" t="str">
        <f t="shared" si="120"/>
        <v>(23 downto 16)</v>
      </c>
      <c r="AG438" s="2" t="str">
        <f t="shared" si="121"/>
        <v>(15 downto 8)</v>
      </c>
      <c r="AH438" s="2" t="str">
        <f t="shared" si="122"/>
        <v>(7 downto 0)</v>
      </c>
    </row>
    <row r="439" spans="2:34" x14ac:dyDescent="0.25">
      <c r="B439" s="2" t="s">
        <v>1132</v>
      </c>
      <c r="C439" s="2" t="s">
        <v>141</v>
      </c>
      <c r="D439" s="2" t="s">
        <v>0</v>
      </c>
      <c r="E439" s="2" t="s">
        <v>130</v>
      </c>
      <c r="F439" s="2" t="s">
        <v>1133</v>
      </c>
      <c r="G439" s="2" t="s">
        <v>1134</v>
      </c>
      <c r="H439" s="2" t="s">
        <v>142</v>
      </c>
      <c r="I439" s="2" t="s">
        <v>41</v>
      </c>
      <c r="J439" s="2">
        <v>32</v>
      </c>
      <c r="K439" s="2" t="s">
        <v>132</v>
      </c>
      <c r="L439" s="2" t="s">
        <v>40</v>
      </c>
      <c r="P439" s="2" t="s">
        <v>48</v>
      </c>
      <c r="Q439" s="2">
        <f>INDEX(Tables!$C$4:$C$28,MATCH($P439,Tables!$B$4:$B$28,0))</f>
        <v>32</v>
      </c>
      <c r="R439" s="2">
        <f>INDEX(Tables!$D$4:$D$28,MATCH($P439,Tables!$B$4:$B$28,0))</f>
        <v>4</v>
      </c>
      <c r="S439" s="2">
        <f>$S438+$R438+INDEX(Tables!$N$5:$Q$8,MATCH(MOD($S438+$R438,4),Tables!$M$5:$M$8,0),MATCH($R439,Tables!$N$4:$Q$4,0))</f>
        <v>1572</v>
      </c>
      <c r="T439" s="2" t="str">
        <f t="shared" si="108"/>
        <v>0624</v>
      </c>
      <c r="U439" s="2">
        <f t="shared" si="114"/>
        <v>393</v>
      </c>
      <c r="V439" s="2" t="str">
        <f t="shared" si="109"/>
        <v>189</v>
      </c>
      <c r="W439" s="2" t="str">
        <f t="shared" si="110"/>
        <v>X</v>
      </c>
      <c r="X439" s="2" t="str">
        <f t="shared" si="113"/>
        <v>X</v>
      </c>
      <c r="Y439" s="2" t="str">
        <f t="shared" si="111"/>
        <v>X</v>
      </c>
      <c r="Z439" s="2" t="str">
        <f t="shared" si="112"/>
        <v>X</v>
      </c>
      <c r="AA439" s="2" t="str">
        <f t="shared" si="115"/>
        <v>(31 downto 24)</v>
      </c>
      <c r="AB439" s="2" t="str">
        <f t="shared" si="116"/>
        <v>(23 downto 16)</v>
      </c>
      <c r="AC439" s="2" t="str">
        <f t="shared" si="117"/>
        <v>(15 downto 8)</v>
      </c>
      <c r="AD439" s="2" t="str">
        <f t="shared" si="118"/>
        <v>(7 downto 0)</v>
      </c>
      <c r="AE439" s="2" t="str">
        <f t="shared" si="119"/>
        <v>(31 downto 24)</v>
      </c>
      <c r="AF439" s="2" t="str">
        <f t="shared" si="120"/>
        <v>(23 downto 16)</v>
      </c>
      <c r="AG439" s="2" t="str">
        <f t="shared" si="121"/>
        <v>(15 downto 8)</v>
      </c>
      <c r="AH439" s="2" t="str">
        <f t="shared" si="122"/>
        <v>(7 downto 0)</v>
      </c>
    </row>
    <row r="440" spans="2:34" x14ac:dyDescent="0.25">
      <c r="B440" s="2" t="s">
        <v>1135</v>
      </c>
      <c r="C440" s="2" t="s">
        <v>141</v>
      </c>
      <c r="D440" s="2" t="s">
        <v>0</v>
      </c>
      <c r="E440" s="2" t="s">
        <v>130</v>
      </c>
      <c r="F440" s="2" t="s">
        <v>1136</v>
      </c>
      <c r="G440" s="2" t="s">
        <v>1137</v>
      </c>
      <c r="H440" s="2" t="s">
        <v>142</v>
      </c>
      <c r="I440" s="2" t="s">
        <v>41</v>
      </c>
      <c r="J440" s="2">
        <v>32</v>
      </c>
      <c r="K440" s="2" t="s">
        <v>132</v>
      </c>
      <c r="L440" s="2" t="s">
        <v>40</v>
      </c>
      <c r="P440" s="2" t="s">
        <v>48</v>
      </c>
      <c r="Q440" s="2">
        <f>INDEX(Tables!$C$4:$C$28,MATCH($P440,Tables!$B$4:$B$28,0))</f>
        <v>32</v>
      </c>
      <c r="R440" s="2">
        <f>INDEX(Tables!$D$4:$D$28,MATCH($P440,Tables!$B$4:$B$28,0))</f>
        <v>4</v>
      </c>
      <c r="S440" s="2">
        <f>$S439+$R439+INDEX(Tables!$N$5:$Q$8,MATCH(MOD($S439+$R439,4),Tables!$M$5:$M$8,0),MATCH($R440,Tables!$N$4:$Q$4,0))</f>
        <v>1576</v>
      </c>
      <c r="T440" s="2" t="str">
        <f t="shared" si="108"/>
        <v>0628</v>
      </c>
      <c r="U440" s="2">
        <f t="shared" si="114"/>
        <v>394</v>
      </c>
      <c r="V440" s="2" t="str">
        <f t="shared" si="109"/>
        <v>18A</v>
      </c>
      <c r="W440" s="2" t="str">
        <f t="shared" si="110"/>
        <v>X</v>
      </c>
      <c r="X440" s="2" t="str">
        <f t="shared" si="113"/>
        <v>X</v>
      </c>
      <c r="Y440" s="2" t="str">
        <f t="shared" si="111"/>
        <v>X</v>
      </c>
      <c r="Z440" s="2" t="str">
        <f t="shared" si="112"/>
        <v>X</v>
      </c>
      <c r="AA440" s="2" t="str">
        <f t="shared" si="115"/>
        <v>(31 downto 24)</v>
      </c>
      <c r="AB440" s="2" t="str">
        <f t="shared" si="116"/>
        <v>(23 downto 16)</v>
      </c>
      <c r="AC440" s="2" t="str">
        <f t="shared" si="117"/>
        <v>(15 downto 8)</v>
      </c>
      <c r="AD440" s="2" t="str">
        <f t="shared" si="118"/>
        <v>(7 downto 0)</v>
      </c>
      <c r="AE440" s="2" t="str">
        <f t="shared" si="119"/>
        <v>(31 downto 24)</v>
      </c>
      <c r="AF440" s="2" t="str">
        <f t="shared" si="120"/>
        <v>(23 downto 16)</v>
      </c>
      <c r="AG440" s="2" t="str">
        <f t="shared" si="121"/>
        <v>(15 downto 8)</v>
      </c>
      <c r="AH440" s="2" t="str">
        <f t="shared" si="122"/>
        <v>(7 downto 0)</v>
      </c>
    </row>
    <row r="441" spans="2:34" x14ac:dyDescent="0.25">
      <c r="B441" s="2" t="s">
        <v>1138</v>
      </c>
      <c r="C441" s="2" t="s">
        <v>141</v>
      </c>
      <c r="D441" s="2" t="s">
        <v>0</v>
      </c>
      <c r="E441" s="2" t="s">
        <v>130</v>
      </c>
      <c r="F441" s="2" t="s">
        <v>1139</v>
      </c>
      <c r="G441" s="2" t="s">
        <v>1140</v>
      </c>
      <c r="H441" s="2" t="s">
        <v>142</v>
      </c>
      <c r="I441" s="2" t="s">
        <v>41</v>
      </c>
      <c r="J441" s="2">
        <v>32</v>
      </c>
      <c r="K441" s="2" t="s">
        <v>132</v>
      </c>
      <c r="L441" s="2" t="s">
        <v>40</v>
      </c>
      <c r="P441" s="2" t="s">
        <v>48</v>
      </c>
      <c r="Q441" s="2">
        <f>INDEX(Tables!$C$4:$C$28,MATCH($P441,Tables!$B$4:$B$28,0))</f>
        <v>32</v>
      </c>
      <c r="R441" s="2">
        <f>INDEX(Tables!$D$4:$D$28,MATCH($P441,Tables!$B$4:$B$28,0))</f>
        <v>4</v>
      </c>
      <c r="S441" s="2">
        <f>$S440+$R440+INDEX(Tables!$N$5:$Q$8,MATCH(MOD($S440+$R440,4),Tables!$M$5:$M$8,0),MATCH($R441,Tables!$N$4:$Q$4,0))</f>
        <v>1580</v>
      </c>
      <c r="T441" s="2" t="str">
        <f t="shared" si="108"/>
        <v>062C</v>
      </c>
      <c r="U441" s="2">
        <f t="shared" si="114"/>
        <v>395</v>
      </c>
      <c r="V441" s="2" t="str">
        <f t="shared" si="109"/>
        <v>18B</v>
      </c>
      <c r="W441" s="2" t="str">
        <f t="shared" si="110"/>
        <v>X</v>
      </c>
      <c r="X441" s="2" t="str">
        <f t="shared" si="113"/>
        <v>X</v>
      </c>
      <c r="Y441" s="2" t="str">
        <f t="shared" si="111"/>
        <v>X</v>
      </c>
      <c r="Z441" s="2" t="str">
        <f t="shared" si="112"/>
        <v>X</v>
      </c>
      <c r="AA441" s="2" t="str">
        <f t="shared" si="115"/>
        <v>(31 downto 24)</v>
      </c>
      <c r="AB441" s="2" t="str">
        <f t="shared" si="116"/>
        <v>(23 downto 16)</v>
      </c>
      <c r="AC441" s="2" t="str">
        <f t="shared" si="117"/>
        <v>(15 downto 8)</v>
      </c>
      <c r="AD441" s="2" t="str">
        <f t="shared" si="118"/>
        <v>(7 downto 0)</v>
      </c>
      <c r="AE441" s="2" t="str">
        <f t="shared" si="119"/>
        <v>(31 downto 24)</v>
      </c>
      <c r="AF441" s="2" t="str">
        <f t="shared" si="120"/>
        <v>(23 downto 16)</v>
      </c>
      <c r="AG441" s="2" t="str">
        <f t="shared" si="121"/>
        <v>(15 downto 8)</v>
      </c>
      <c r="AH441" s="2" t="str">
        <f t="shared" si="122"/>
        <v>(7 downto 0)</v>
      </c>
    </row>
    <row r="442" spans="2:34" x14ac:dyDescent="0.25">
      <c r="B442" s="2" t="s">
        <v>1141</v>
      </c>
      <c r="C442" s="2" t="s">
        <v>141</v>
      </c>
      <c r="D442" s="2" t="s">
        <v>0</v>
      </c>
      <c r="E442" s="2" t="s">
        <v>130</v>
      </c>
      <c r="F442" s="2" t="s">
        <v>1142</v>
      </c>
      <c r="G442" s="2" t="s">
        <v>1143</v>
      </c>
      <c r="H442" s="2" t="s">
        <v>142</v>
      </c>
      <c r="I442" s="2" t="s">
        <v>41</v>
      </c>
      <c r="J442" s="2">
        <v>32</v>
      </c>
      <c r="K442" s="2" t="s">
        <v>132</v>
      </c>
      <c r="L442" s="2" t="s">
        <v>40</v>
      </c>
      <c r="P442" s="2" t="s">
        <v>48</v>
      </c>
      <c r="Q442" s="2">
        <f>INDEX(Tables!$C$4:$C$28,MATCH($P442,Tables!$B$4:$B$28,0))</f>
        <v>32</v>
      </c>
      <c r="R442" s="2">
        <f>INDEX(Tables!$D$4:$D$28,MATCH($P442,Tables!$B$4:$B$28,0))</f>
        <v>4</v>
      </c>
      <c r="S442" s="2">
        <f>$S441+$R441+INDEX(Tables!$N$5:$Q$8,MATCH(MOD($S441+$R441,4),Tables!$M$5:$M$8,0),MATCH($R442,Tables!$N$4:$Q$4,0))</f>
        <v>1584</v>
      </c>
      <c r="T442" s="2" t="str">
        <f t="shared" si="108"/>
        <v>0630</v>
      </c>
      <c r="U442" s="2">
        <f t="shared" si="114"/>
        <v>396</v>
      </c>
      <c r="V442" s="2" t="str">
        <f t="shared" si="109"/>
        <v>18C</v>
      </c>
      <c r="W442" s="2" t="str">
        <f t="shared" si="110"/>
        <v>X</v>
      </c>
      <c r="X442" s="2" t="str">
        <f t="shared" si="113"/>
        <v>X</v>
      </c>
      <c r="Y442" s="2" t="str">
        <f t="shared" si="111"/>
        <v>X</v>
      </c>
      <c r="Z442" s="2" t="str">
        <f t="shared" si="112"/>
        <v>X</v>
      </c>
      <c r="AA442" s="2" t="str">
        <f t="shared" si="115"/>
        <v>(31 downto 24)</v>
      </c>
      <c r="AB442" s="2" t="str">
        <f t="shared" si="116"/>
        <v>(23 downto 16)</v>
      </c>
      <c r="AC442" s="2" t="str">
        <f t="shared" si="117"/>
        <v>(15 downto 8)</v>
      </c>
      <c r="AD442" s="2" t="str">
        <f t="shared" si="118"/>
        <v>(7 downto 0)</v>
      </c>
      <c r="AE442" s="2" t="str">
        <f t="shared" si="119"/>
        <v>(31 downto 24)</v>
      </c>
      <c r="AF442" s="2" t="str">
        <f t="shared" si="120"/>
        <v>(23 downto 16)</v>
      </c>
      <c r="AG442" s="2" t="str">
        <f t="shared" si="121"/>
        <v>(15 downto 8)</v>
      </c>
      <c r="AH442" s="2" t="str">
        <f t="shared" si="122"/>
        <v>(7 downto 0)</v>
      </c>
    </row>
    <row r="443" spans="2:34" x14ac:dyDescent="0.25">
      <c r="B443" s="2" t="s">
        <v>1144</v>
      </c>
      <c r="C443" s="2" t="s">
        <v>141</v>
      </c>
      <c r="D443" s="2" t="s">
        <v>0</v>
      </c>
      <c r="E443" s="2" t="s">
        <v>130</v>
      </c>
      <c r="F443" s="2" t="s">
        <v>1145</v>
      </c>
      <c r="G443" s="2" t="s">
        <v>1146</v>
      </c>
      <c r="H443" s="2" t="s">
        <v>142</v>
      </c>
      <c r="I443" s="2" t="s">
        <v>41</v>
      </c>
      <c r="J443" s="2">
        <v>32</v>
      </c>
      <c r="K443" s="2" t="s">
        <v>132</v>
      </c>
      <c r="L443" s="2" t="s">
        <v>40</v>
      </c>
      <c r="P443" s="2" t="s">
        <v>48</v>
      </c>
      <c r="Q443" s="2">
        <f>INDEX(Tables!$C$4:$C$28,MATCH($P443,Tables!$B$4:$B$28,0))</f>
        <v>32</v>
      </c>
      <c r="R443" s="2">
        <f>INDEX(Tables!$D$4:$D$28,MATCH($P443,Tables!$B$4:$B$28,0))</f>
        <v>4</v>
      </c>
      <c r="S443" s="2">
        <f>$S442+$R442+INDEX(Tables!$N$5:$Q$8,MATCH(MOD($S442+$R442,4),Tables!$M$5:$M$8,0),MATCH($R443,Tables!$N$4:$Q$4,0))</f>
        <v>1588</v>
      </c>
      <c r="T443" s="2" t="str">
        <f t="shared" si="108"/>
        <v>0634</v>
      </c>
      <c r="U443" s="2">
        <f t="shared" si="114"/>
        <v>397</v>
      </c>
      <c r="V443" s="2" t="str">
        <f t="shared" si="109"/>
        <v>18D</v>
      </c>
      <c r="W443" s="2" t="str">
        <f t="shared" si="110"/>
        <v>X</v>
      </c>
      <c r="X443" s="2" t="str">
        <f t="shared" si="113"/>
        <v>X</v>
      </c>
      <c r="Y443" s="2" t="str">
        <f t="shared" si="111"/>
        <v>X</v>
      </c>
      <c r="Z443" s="2" t="str">
        <f t="shared" si="112"/>
        <v>X</v>
      </c>
      <c r="AA443" s="2" t="str">
        <f t="shared" si="115"/>
        <v>(31 downto 24)</v>
      </c>
      <c r="AB443" s="2" t="str">
        <f t="shared" si="116"/>
        <v>(23 downto 16)</v>
      </c>
      <c r="AC443" s="2" t="str">
        <f t="shared" si="117"/>
        <v>(15 downto 8)</v>
      </c>
      <c r="AD443" s="2" t="str">
        <f t="shared" si="118"/>
        <v>(7 downto 0)</v>
      </c>
      <c r="AE443" s="2" t="str">
        <f t="shared" si="119"/>
        <v>(31 downto 24)</v>
      </c>
      <c r="AF443" s="2" t="str">
        <f t="shared" si="120"/>
        <v>(23 downto 16)</v>
      </c>
      <c r="AG443" s="2" t="str">
        <f t="shared" si="121"/>
        <v>(15 downto 8)</v>
      </c>
      <c r="AH443" s="2" t="str">
        <f t="shared" si="122"/>
        <v>(7 downto 0)</v>
      </c>
    </row>
    <row r="444" spans="2:34" x14ac:dyDescent="0.25">
      <c r="B444" s="2" t="s">
        <v>1147</v>
      </c>
      <c r="C444" s="2" t="s">
        <v>141</v>
      </c>
      <c r="D444" s="2" t="s">
        <v>0</v>
      </c>
      <c r="E444" s="2" t="s">
        <v>130</v>
      </c>
      <c r="F444" s="2" t="s">
        <v>1148</v>
      </c>
      <c r="G444" s="2" t="s">
        <v>1149</v>
      </c>
      <c r="H444" s="2" t="s">
        <v>142</v>
      </c>
      <c r="I444" s="2" t="s">
        <v>41</v>
      </c>
      <c r="J444" s="2">
        <v>32</v>
      </c>
      <c r="K444" s="2" t="s">
        <v>132</v>
      </c>
      <c r="L444" s="2" t="s">
        <v>40</v>
      </c>
      <c r="P444" s="2" t="s">
        <v>48</v>
      </c>
      <c r="Q444" s="2">
        <f>INDEX(Tables!$C$4:$C$28,MATCH($P444,Tables!$B$4:$B$28,0))</f>
        <v>32</v>
      </c>
      <c r="R444" s="2">
        <f>INDEX(Tables!$D$4:$D$28,MATCH($P444,Tables!$B$4:$B$28,0))</f>
        <v>4</v>
      </c>
      <c r="S444" s="2">
        <f>$S443+$R443+INDEX(Tables!$N$5:$Q$8,MATCH(MOD($S443+$R443,4),Tables!$M$5:$M$8,0),MATCH($R444,Tables!$N$4:$Q$4,0))</f>
        <v>1592</v>
      </c>
      <c r="T444" s="2" t="str">
        <f t="shared" si="108"/>
        <v>0638</v>
      </c>
      <c r="U444" s="2">
        <f t="shared" si="114"/>
        <v>398</v>
      </c>
      <c r="V444" s="2" t="str">
        <f t="shared" si="109"/>
        <v>18E</v>
      </c>
      <c r="W444" s="2" t="str">
        <f t="shared" si="110"/>
        <v>X</v>
      </c>
      <c r="X444" s="2" t="str">
        <f t="shared" si="113"/>
        <v>X</v>
      </c>
      <c r="Y444" s="2" t="str">
        <f t="shared" si="111"/>
        <v>X</v>
      </c>
      <c r="Z444" s="2" t="str">
        <f t="shared" si="112"/>
        <v>X</v>
      </c>
      <c r="AA444" s="2" t="str">
        <f t="shared" si="115"/>
        <v>(31 downto 24)</v>
      </c>
      <c r="AB444" s="2" t="str">
        <f t="shared" si="116"/>
        <v>(23 downto 16)</v>
      </c>
      <c r="AC444" s="2" t="str">
        <f t="shared" si="117"/>
        <v>(15 downto 8)</v>
      </c>
      <c r="AD444" s="2" t="str">
        <f t="shared" si="118"/>
        <v>(7 downto 0)</v>
      </c>
      <c r="AE444" s="2" t="str">
        <f t="shared" si="119"/>
        <v>(31 downto 24)</v>
      </c>
      <c r="AF444" s="2" t="str">
        <f t="shared" si="120"/>
        <v>(23 downto 16)</v>
      </c>
      <c r="AG444" s="2" t="str">
        <f t="shared" si="121"/>
        <v>(15 downto 8)</v>
      </c>
      <c r="AH444" s="2" t="str">
        <f t="shared" si="122"/>
        <v>(7 downto 0)</v>
      </c>
    </row>
    <row r="445" spans="2:34" x14ac:dyDescent="0.25">
      <c r="B445" s="2" t="s">
        <v>1150</v>
      </c>
      <c r="C445" s="2" t="s">
        <v>141</v>
      </c>
      <c r="D445" s="2" t="s">
        <v>0</v>
      </c>
      <c r="E445" s="2" t="s">
        <v>130</v>
      </c>
      <c r="F445" s="2" t="s">
        <v>1151</v>
      </c>
      <c r="G445" s="2" t="s">
        <v>1152</v>
      </c>
      <c r="H445" s="2" t="s">
        <v>142</v>
      </c>
      <c r="I445" s="2" t="s">
        <v>41</v>
      </c>
      <c r="J445" s="2">
        <v>32</v>
      </c>
      <c r="K445" s="2" t="s">
        <v>132</v>
      </c>
      <c r="L445" s="2" t="s">
        <v>40</v>
      </c>
      <c r="P445" s="2" t="s">
        <v>48</v>
      </c>
      <c r="Q445" s="2">
        <f>INDEX(Tables!$C$4:$C$28,MATCH($P445,Tables!$B$4:$B$28,0))</f>
        <v>32</v>
      </c>
      <c r="R445" s="2">
        <f>INDEX(Tables!$D$4:$D$28,MATCH($P445,Tables!$B$4:$B$28,0))</f>
        <v>4</v>
      </c>
      <c r="S445" s="2">
        <f>$S444+$R444+INDEX(Tables!$N$5:$Q$8,MATCH(MOD($S444+$R444,4),Tables!$M$5:$M$8,0),MATCH($R445,Tables!$N$4:$Q$4,0))</f>
        <v>1596</v>
      </c>
      <c r="T445" s="2" t="str">
        <f t="shared" si="108"/>
        <v>063C</v>
      </c>
      <c r="U445" s="2">
        <f t="shared" si="114"/>
        <v>399</v>
      </c>
      <c r="V445" s="2" t="str">
        <f t="shared" si="109"/>
        <v>18F</v>
      </c>
      <c r="W445" s="2" t="str">
        <f t="shared" si="110"/>
        <v>X</v>
      </c>
      <c r="X445" s="2" t="str">
        <f t="shared" si="113"/>
        <v>X</v>
      </c>
      <c r="Y445" s="2" t="str">
        <f t="shared" si="111"/>
        <v>X</v>
      </c>
      <c r="Z445" s="2" t="str">
        <f t="shared" si="112"/>
        <v>X</v>
      </c>
      <c r="AA445" s="2" t="str">
        <f t="shared" si="115"/>
        <v>(31 downto 24)</v>
      </c>
      <c r="AB445" s="2" t="str">
        <f t="shared" si="116"/>
        <v>(23 downto 16)</v>
      </c>
      <c r="AC445" s="2" t="str">
        <f t="shared" si="117"/>
        <v>(15 downto 8)</v>
      </c>
      <c r="AD445" s="2" t="str">
        <f t="shared" si="118"/>
        <v>(7 downto 0)</v>
      </c>
      <c r="AE445" s="2" t="str">
        <f t="shared" si="119"/>
        <v>(31 downto 24)</v>
      </c>
      <c r="AF445" s="2" t="str">
        <f t="shared" si="120"/>
        <v>(23 downto 16)</v>
      </c>
      <c r="AG445" s="2" t="str">
        <f t="shared" si="121"/>
        <v>(15 downto 8)</v>
      </c>
      <c r="AH445" s="2" t="str">
        <f t="shared" si="122"/>
        <v>(7 downto 0)</v>
      </c>
    </row>
    <row r="446" spans="2:34" x14ac:dyDescent="0.25">
      <c r="B446" s="2" t="s">
        <v>1153</v>
      </c>
      <c r="C446" s="2" t="s">
        <v>141</v>
      </c>
      <c r="D446" s="2" t="s">
        <v>0</v>
      </c>
      <c r="E446" s="2" t="s">
        <v>130</v>
      </c>
      <c r="F446" s="2" t="s">
        <v>1154</v>
      </c>
      <c r="G446" s="2" t="s">
        <v>1155</v>
      </c>
      <c r="H446" s="2" t="s">
        <v>142</v>
      </c>
      <c r="I446" s="2" t="s">
        <v>41</v>
      </c>
      <c r="J446" s="2">
        <v>32</v>
      </c>
      <c r="K446" s="2" t="s">
        <v>132</v>
      </c>
      <c r="L446" s="2" t="s">
        <v>40</v>
      </c>
      <c r="P446" s="2" t="s">
        <v>48</v>
      </c>
      <c r="Q446" s="2">
        <f>INDEX(Tables!$C$4:$C$28,MATCH($P446,Tables!$B$4:$B$28,0))</f>
        <v>32</v>
      </c>
      <c r="R446" s="2">
        <f>INDEX(Tables!$D$4:$D$28,MATCH($P446,Tables!$B$4:$B$28,0))</f>
        <v>4</v>
      </c>
      <c r="S446" s="2">
        <f>$S445+$R445+INDEX(Tables!$N$5:$Q$8,MATCH(MOD($S445+$R445,4),Tables!$M$5:$M$8,0),MATCH($R446,Tables!$N$4:$Q$4,0))</f>
        <v>1600</v>
      </c>
      <c r="T446" s="2" t="str">
        <f t="shared" si="108"/>
        <v>0640</v>
      </c>
      <c r="U446" s="2">
        <f t="shared" si="114"/>
        <v>400</v>
      </c>
      <c r="V446" s="2" t="str">
        <f t="shared" si="109"/>
        <v>190</v>
      </c>
      <c r="W446" s="2" t="str">
        <f t="shared" si="110"/>
        <v>X</v>
      </c>
      <c r="X446" s="2" t="str">
        <f t="shared" si="113"/>
        <v>X</v>
      </c>
      <c r="Y446" s="2" t="str">
        <f t="shared" si="111"/>
        <v>X</v>
      </c>
      <c r="Z446" s="2" t="str">
        <f t="shared" si="112"/>
        <v>X</v>
      </c>
      <c r="AA446" s="2" t="str">
        <f t="shared" si="115"/>
        <v>(31 downto 24)</v>
      </c>
      <c r="AB446" s="2" t="str">
        <f t="shared" si="116"/>
        <v>(23 downto 16)</v>
      </c>
      <c r="AC446" s="2" t="str">
        <f t="shared" si="117"/>
        <v>(15 downto 8)</v>
      </c>
      <c r="AD446" s="2" t="str">
        <f t="shared" si="118"/>
        <v>(7 downto 0)</v>
      </c>
      <c r="AE446" s="2" t="str">
        <f t="shared" si="119"/>
        <v>(31 downto 24)</v>
      </c>
      <c r="AF446" s="2" t="str">
        <f t="shared" si="120"/>
        <v>(23 downto 16)</v>
      </c>
      <c r="AG446" s="2" t="str">
        <f t="shared" si="121"/>
        <v>(15 downto 8)</v>
      </c>
      <c r="AH446" s="2" t="str">
        <f t="shared" si="122"/>
        <v>(7 downto 0)</v>
      </c>
    </row>
    <row r="447" spans="2:34" x14ac:dyDescent="0.25">
      <c r="B447" s="2" t="s">
        <v>1156</v>
      </c>
      <c r="C447" s="2" t="s">
        <v>141</v>
      </c>
      <c r="D447" s="2" t="s">
        <v>0</v>
      </c>
      <c r="E447" s="2" t="s">
        <v>130</v>
      </c>
      <c r="F447" s="2" t="s">
        <v>1157</v>
      </c>
      <c r="G447" s="2" t="s">
        <v>1158</v>
      </c>
      <c r="H447" s="2" t="s">
        <v>142</v>
      </c>
      <c r="I447" s="2" t="s">
        <v>41</v>
      </c>
      <c r="J447" s="2">
        <v>32</v>
      </c>
      <c r="K447" s="2" t="s">
        <v>132</v>
      </c>
      <c r="L447" s="2" t="s">
        <v>40</v>
      </c>
      <c r="P447" s="2" t="s">
        <v>48</v>
      </c>
      <c r="Q447" s="2">
        <f>INDEX(Tables!$C$4:$C$28,MATCH($P447,Tables!$B$4:$B$28,0))</f>
        <v>32</v>
      </c>
      <c r="R447" s="2">
        <f>INDEX(Tables!$D$4:$D$28,MATCH($P447,Tables!$B$4:$B$28,0))</f>
        <v>4</v>
      </c>
      <c r="S447" s="2">
        <f>$S446+$R446+INDEX(Tables!$N$5:$Q$8,MATCH(MOD($S446+$R446,4),Tables!$M$5:$M$8,0),MATCH($R447,Tables!$N$4:$Q$4,0))</f>
        <v>1604</v>
      </c>
      <c r="T447" s="2" t="str">
        <f t="shared" si="108"/>
        <v>0644</v>
      </c>
      <c r="U447" s="2">
        <f t="shared" si="114"/>
        <v>401</v>
      </c>
      <c r="V447" s="2" t="str">
        <f t="shared" si="109"/>
        <v>191</v>
      </c>
      <c r="W447" s="2" t="str">
        <f t="shared" si="110"/>
        <v>X</v>
      </c>
      <c r="X447" s="2" t="str">
        <f t="shared" si="113"/>
        <v>X</v>
      </c>
      <c r="Y447" s="2" t="str">
        <f t="shared" si="111"/>
        <v>X</v>
      </c>
      <c r="Z447" s="2" t="str">
        <f t="shared" si="112"/>
        <v>X</v>
      </c>
      <c r="AA447" s="2" t="str">
        <f t="shared" si="115"/>
        <v>(31 downto 24)</v>
      </c>
      <c r="AB447" s="2" t="str">
        <f t="shared" si="116"/>
        <v>(23 downto 16)</v>
      </c>
      <c r="AC447" s="2" t="str">
        <f t="shared" si="117"/>
        <v>(15 downto 8)</v>
      </c>
      <c r="AD447" s="2" t="str">
        <f t="shared" si="118"/>
        <v>(7 downto 0)</v>
      </c>
      <c r="AE447" s="2" t="str">
        <f t="shared" si="119"/>
        <v>(31 downto 24)</v>
      </c>
      <c r="AF447" s="2" t="str">
        <f t="shared" si="120"/>
        <v>(23 downto 16)</v>
      </c>
      <c r="AG447" s="2" t="str">
        <f t="shared" si="121"/>
        <v>(15 downto 8)</v>
      </c>
      <c r="AH447" s="2" t="str">
        <f t="shared" si="122"/>
        <v>(7 downto 0)</v>
      </c>
    </row>
    <row r="448" spans="2:34" x14ac:dyDescent="0.25">
      <c r="B448" s="2" t="s">
        <v>1159</v>
      </c>
      <c r="C448" s="2" t="s">
        <v>141</v>
      </c>
      <c r="D448" s="2" t="s">
        <v>0</v>
      </c>
      <c r="E448" s="2" t="s">
        <v>130</v>
      </c>
      <c r="F448" s="2" t="s">
        <v>1160</v>
      </c>
      <c r="G448" s="2" t="s">
        <v>1161</v>
      </c>
      <c r="H448" s="2" t="s">
        <v>142</v>
      </c>
      <c r="I448" s="2" t="s">
        <v>41</v>
      </c>
      <c r="J448" s="2">
        <v>32</v>
      </c>
      <c r="K448" s="2" t="s">
        <v>132</v>
      </c>
      <c r="L448" s="2" t="s">
        <v>40</v>
      </c>
      <c r="P448" s="2" t="s">
        <v>48</v>
      </c>
      <c r="Q448" s="2">
        <f>INDEX(Tables!$C$4:$C$28,MATCH($P448,Tables!$B$4:$B$28,0))</f>
        <v>32</v>
      </c>
      <c r="R448" s="2">
        <f>INDEX(Tables!$D$4:$D$28,MATCH($P448,Tables!$B$4:$B$28,0))</f>
        <v>4</v>
      </c>
      <c r="S448" s="2">
        <f>$S447+$R447+INDEX(Tables!$N$5:$Q$8,MATCH(MOD($S447+$R447,4),Tables!$M$5:$M$8,0),MATCH($R448,Tables!$N$4:$Q$4,0))</f>
        <v>1608</v>
      </c>
      <c r="T448" s="2" t="str">
        <f t="shared" si="108"/>
        <v>0648</v>
      </c>
      <c r="U448" s="2">
        <f t="shared" si="114"/>
        <v>402</v>
      </c>
      <c r="V448" s="2" t="str">
        <f t="shared" si="109"/>
        <v>192</v>
      </c>
      <c r="W448" s="2" t="str">
        <f t="shared" si="110"/>
        <v>X</v>
      </c>
      <c r="X448" s="2" t="str">
        <f t="shared" si="113"/>
        <v>X</v>
      </c>
      <c r="Y448" s="2" t="str">
        <f t="shared" si="111"/>
        <v>X</v>
      </c>
      <c r="Z448" s="2" t="str">
        <f t="shared" si="112"/>
        <v>X</v>
      </c>
      <c r="AA448" s="2" t="str">
        <f t="shared" si="115"/>
        <v>(31 downto 24)</v>
      </c>
      <c r="AB448" s="2" t="str">
        <f t="shared" si="116"/>
        <v>(23 downto 16)</v>
      </c>
      <c r="AC448" s="2" t="str">
        <f t="shared" si="117"/>
        <v>(15 downto 8)</v>
      </c>
      <c r="AD448" s="2" t="str">
        <f t="shared" si="118"/>
        <v>(7 downto 0)</v>
      </c>
      <c r="AE448" s="2" t="str">
        <f t="shared" si="119"/>
        <v>(31 downto 24)</v>
      </c>
      <c r="AF448" s="2" t="str">
        <f t="shared" si="120"/>
        <v>(23 downto 16)</v>
      </c>
      <c r="AG448" s="2" t="str">
        <f t="shared" si="121"/>
        <v>(15 downto 8)</v>
      </c>
      <c r="AH448" s="2" t="str">
        <f t="shared" si="122"/>
        <v>(7 downto 0)</v>
      </c>
    </row>
    <row r="449" spans="2:34" x14ac:dyDescent="0.25">
      <c r="B449" s="2" t="s">
        <v>1162</v>
      </c>
      <c r="C449" s="2" t="s">
        <v>141</v>
      </c>
      <c r="D449" s="2" t="s">
        <v>0</v>
      </c>
      <c r="E449" s="2" t="s">
        <v>130</v>
      </c>
      <c r="F449" s="2" t="s">
        <v>1163</v>
      </c>
      <c r="G449" s="2" t="s">
        <v>1164</v>
      </c>
      <c r="H449" s="2" t="s">
        <v>142</v>
      </c>
      <c r="I449" s="2" t="s">
        <v>41</v>
      </c>
      <c r="J449" s="2">
        <v>32</v>
      </c>
      <c r="K449" s="2" t="s">
        <v>132</v>
      </c>
      <c r="L449" s="2" t="s">
        <v>40</v>
      </c>
      <c r="P449" s="2" t="s">
        <v>48</v>
      </c>
      <c r="Q449" s="2">
        <f>INDEX(Tables!$C$4:$C$28,MATCH($P449,Tables!$B$4:$B$28,0))</f>
        <v>32</v>
      </c>
      <c r="R449" s="2">
        <f>INDEX(Tables!$D$4:$D$28,MATCH($P449,Tables!$B$4:$B$28,0))</f>
        <v>4</v>
      </c>
      <c r="S449" s="2">
        <f>$S448+$R448+INDEX(Tables!$N$5:$Q$8,MATCH(MOD($S448+$R448,4),Tables!$M$5:$M$8,0),MATCH($R449,Tables!$N$4:$Q$4,0))</f>
        <v>1612</v>
      </c>
      <c r="T449" s="2" t="str">
        <f t="shared" si="108"/>
        <v>064C</v>
      </c>
      <c r="U449" s="2">
        <f t="shared" si="114"/>
        <v>403</v>
      </c>
      <c r="V449" s="2" t="str">
        <f t="shared" si="109"/>
        <v>193</v>
      </c>
      <c r="W449" s="2" t="str">
        <f t="shared" si="110"/>
        <v>X</v>
      </c>
      <c r="X449" s="2" t="str">
        <f t="shared" si="113"/>
        <v>X</v>
      </c>
      <c r="Y449" s="2" t="str">
        <f t="shared" si="111"/>
        <v>X</v>
      </c>
      <c r="Z449" s="2" t="str">
        <f t="shared" si="112"/>
        <v>X</v>
      </c>
      <c r="AA449" s="2" t="str">
        <f t="shared" si="115"/>
        <v>(31 downto 24)</v>
      </c>
      <c r="AB449" s="2" t="str">
        <f t="shared" si="116"/>
        <v>(23 downto 16)</v>
      </c>
      <c r="AC449" s="2" t="str">
        <f t="shared" si="117"/>
        <v>(15 downto 8)</v>
      </c>
      <c r="AD449" s="2" t="str">
        <f t="shared" si="118"/>
        <v>(7 downto 0)</v>
      </c>
      <c r="AE449" s="2" t="str">
        <f t="shared" si="119"/>
        <v>(31 downto 24)</v>
      </c>
      <c r="AF449" s="2" t="str">
        <f t="shared" si="120"/>
        <v>(23 downto 16)</v>
      </c>
      <c r="AG449" s="2" t="str">
        <f t="shared" si="121"/>
        <v>(15 downto 8)</v>
      </c>
      <c r="AH449" s="2" t="str">
        <f t="shared" si="122"/>
        <v>(7 downto 0)</v>
      </c>
    </row>
    <row r="450" spans="2:34" x14ac:dyDescent="0.25">
      <c r="B450" s="2" t="s">
        <v>1165</v>
      </c>
      <c r="C450" s="2" t="s">
        <v>141</v>
      </c>
      <c r="D450" s="2" t="s">
        <v>0</v>
      </c>
      <c r="E450" s="2" t="s">
        <v>130</v>
      </c>
      <c r="F450" s="2" t="s">
        <v>1166</v>
      </c>
      <c r="G450" s="2" t="s">
        <v>1167</v>
      </c>
      <c r="H450" s="2" t="s">
        <v>142</v>
      </c>
      <c r="I450" s="2" t="s">
        <v>41</v>
      </c>
      <c r="J450" s="2">
        <v>32</v>
      </c>
      <c r="K450" s="2" t="s">
        <v>132</v>
      </c>
      <c r="L450" s="2" t="s">
        <v>40</v>
      </c>
      <c r="P450" s="2" t="s">
        <v>48</v>
      </c>
      <c r="Q450" s="2">
        <f>INDEX(Tables!$C$4:$C$28,MATCH($P450,Tables!$B$4:$B$28,0))</f>
        <v>32</v>
      </c>
      <c r="R450" s="2">
        <f>INDEX(Tables!$D$4:$D$28,MATCH($P450,Tables!$B$4:$B$28,0))</f>
        <v>4</v>
      </c>
      <c r="S450" s="2">
        <f>$S449+$R449+INDEX(Tables!$N$5:$Q$8,MATCH(MOD($S449+$R449,4),Tables!$M$5:$M$8,0),MATCH($R450,Tables!$N$4:$Q$4,0))</f>
        <v>1616</v>
      </c>
      <c r="T450" s="2" t="str">
        <f t="shared" si="108"/>
        <v>0650</v>
      </c>
      <c r="U450" s="2">
        <f t="shared" si="114"/>
        <v>404</v>
      </c>
      <c r="V450" s="2" t="str">
        <f t="shared" si="109"/>
        <v>194</v>
      </c>
      <c r="W450" s="2" t="str">
        <f t="shared" si="110"/>
        <v>X</v>
      </c>
      <c r="X450" s="2" t="str">
        <f t="shared" si="113"/>
        <v>X</v>
      </c>
      <c r="Y450" s="2" t="str">
        <f t="shared" si="111"/>
        <v>X</v>
      </c>
      <c r="Z450" s="2" t="str">
        <f t="shared" si="112"/>
        <v>X</v>
      </c>
      <c r="AA450" s="2" t="str">
        <f t="shared" si="115"/>
        <v>(31 downto 24)</v>
      </c>
      <c r="AB450" s="2" t="str">
        <f t="shared" si="116"/>
        <v>(23 downto 16)</v>
      </c>
      <c r="AC450" s="2" t="str">
        <f t="shared" si="117"/>
        <v>(15 downto 8)</v>
      </c>
      <c r="AD450" s="2" t="str">
        <f t="shared" si="118"/>
        <v>(7 downto 0)</v>
      </c>
      <c r="AE450" s="2" t="str">
        <f t="shared" si="119"/>
        <v>(31 downto 24)</v>
      </c>
      <c r="AF450" s="2" t="str">
        <f t="shared" si="120"/>
        <v>(23 downto 16)</v>
      </c>
      <c r="AG450" s="2" t="str">
        <f t="shared" si="121"/>
        <v>(15 downto 8)</v>
      </c>
      <c r="AH450" s="2" t="str">
        <f t="shared" si="122"/>
        <v>(7 downto 0)</v>
      </c>
    </row>
    <row r="451" spans="2:34" x14ac:dyDescent="0.25">
      <c r="B451" s="2" t="s">
        <v>1168</v>
      </c>
      <c r="C451" s="2" t="s">
        <v>141</v>
      </c>
      <c r="D451" s="2" t="s">
        <v>0</v>
      </c>
      <c r="E451" s="2" t="s">
        <v>130</v>
      </c>
      <c r="F451" s="2" t="s">
        <v>1169</v>
      </c>
      <c r="G451" s="2" t="s">
        <v>1170</v>
      </c>
      <c r="H451" s="2" t="s">
        <v>142</v>
      </c>
      <c r="I451" s="2" t="s">
        <v>41</v>
      </c>
      <c r="J451" s="2">
        <v>32</v>
      </c>
      <c r="K451" s="2" t="s">
        <v>132</v>
      </c>
      <c r="L451" s="2" t="s">
        <v>40</v>
      </c>
      <c r="P451" s="2" t="s">
        <v>48</v>
      </c>
      <c r="Q451" s="2">
        <f>INDEX(Tables!$C$4:$C$28,MATCH($P451,Tables!$B$4:$B$28,0))</f>
        <v>32</v>
      </c>
      <c r="R451" s="2">
        <f>INDEX(Tables!$D$4:$D$28,MATCH($P451,Tables!$B$4:$B$28,0))</f>
        <v>4</v>
      </c>
      <c r="S451" s="2">
        <f>$S450+$R450+INDEX(Tables!$N$5:$Q$8,MATCH(MOD($S450+$R450,4),Tables!$M$5:$M$8,0),MATCH($R451,Tables!$N$4:$Q$4,0))</f>
        <v>1620</v>
      </c>
      <c r="T451" s="2" t="str">
        <f t="shared" si="108"/>
        <v>0654</v>
      </c>
      <c r="U451" s="2">
        <f t="shared" si="114"/>
        <v>405</v>
      </c>
      <c r="V451" s="2" t="str">
        <f t="shared" si="109"/>
        <v>195</v>
      </c>
      <c r="W451" s="2" t="str">
        <f t="shared" si="110"/>
        <v>X</v>
      </c>
      <c r="X451" s="2" t="str">
        <f t="shared" si="113"/>
        <v>X</v>
      </c>
      <c r="Y451" s="2" t="str">
        <f t="shared" si="111"/>
        <v>X</v>
      </c>
      <c r="Z451" s="2" t="str">
        <f t="shared" si="112"/>
        <v>X</v>
      </c>
      <c r="AA451" s="2" t="str">
        <f t="shared" si="115"/>
        <v>(31 downto 24)</v>
      </c>
      <c r="AB451" s="2" t="str">
        <f t="shared" si="116"/>
        <v>(23 downto 16)</v>
      </c>
      <c r="AC451" s="2" t="str">
        <f t="shared" si="117"/>
        <v>(15 downto 8)</v>
      </c>
      <c r="AD451" s="2" t="str">
        <f t="shared" si="118"/>
        <v>(7 downto 0)</v>
      </c>
      <c r="AE451" s="2" t="str">
        <f t="shared" si="119"/>
        <v>(31 downto 24)</v>
      </c>
      <c r="AF451" s="2" t="str">
        <f t="shared" si="120"/>
        <v>(23 downto 16)</v>
      </c>
      <c r="AG451" s="2" t="str">
        <f t="shared" si="121"/>
        <v>(15 downto 8)</v>
      </c>
      <c r="AH451" s="2" t="str">
        <f t="shared" si="122"/>
        <v>(7 downto 0)</v>
      </c>
    </row>
    <row r="452" spans="2:34" x14ac:dyDescent="0.25">
      <c r="B452" s="2" t="s">
        <v>1171</v>
      </c>
      <c r="C452" s="2" t="s">
        <v>141</v>
      </c>
      <c r="D452" s="2" t="s">
        <v>0</v>
      </c>
      <c r="E452" s="2" t="s">
        <v>130</v>
      </c>
      <c r="F452" s="2" t="s">
        <v>1172</v>
      </c>
      <c r="G452" s="2" t="s">
        <v>1173</v>
      </c>
      <c r="H452" s="2" t="s">
        <v>142</v>
      </c>
      <c r="I452" s="2" t="s">
        <v>41</v>
      </c>
      <c r="J452" s="2">
        <v>32</v>
      </c>
      <c r="K452" s="2" t="s">
        <v>132</v>
      </c>
      <c r="L452" s="2" t="s">
        <v>40</v>
      </c>
      <c r="P452" s="2" t="s">
        <v>48</v>
      </c>
      <c r="Q452" s="2">
        <f>INDEX(Tables!$C$4:$C$28,MATCH($P452,Tables!$B$4:$B$28,0))</f>
        <v>32</v>
      </c>
      <c r="R452" s="2">
        <f>INDEX(Tables!$D$4:$D$28,MATCH($P452,Tables!$B$4:$B$28,0))</f>
        <v>4</v>
      </c>
      <c r="S452" s="2">
        <f>$S451+$R451+INDEX(Tables!$N$5:$Q$8,MATCH(MOD($S451+$R451,4),Tables!$M$5:$M$8,0),MATCH($R452,Tables!$N$4:$Q$4,0))</f>
        <v>1624</v>
      </c>
      <c r="T452" s="2" t="str">
        <f t="shared" si="108"/>
        <v>0658</v>
      </c>
      <c r="U452" s="2">
        <f t="shared" si="114"/>
        <v>406</v>
      </c>
      <c r="V452" s="2" t="str">
        <f t="shared" si="109"/>
        <v>196</v>
      </c>
      <c r="W452" s="2" t="str">
        <f t="shared" si="110"/>
        <v>X</v>
      </c>
      <c r="X452" s="2" t="str">
        <f t="shared" si="113"/>
        <v>X</v>
      </c>
      <c r="Y452" s="2" t="str">
        <f t="shared" si="111"/>
        <v>X</v>
      </c>
      <c r="Z452" s="2" t="str">
        <f t="shared" si="112"/>
        <v>X</v>
      </c>
      <c r="AA452" s="2" t="str">
        <f t="shared" si="115"/>
        <v>(31 downto 24)</v>
      </c>
      <c r="AB452" s="2" t="str">
        <f t="shared" si="116"/>
        <v>(23 downto 16)</v>
      </c>
      <c r="AC452" s="2" t="str">
        <f t="shared" si="117"/>
        <v>(15 downto 8)</v>
      </c>
      <c r="AD452" s="2" t="str">
        <f t="shared" si="118"/>
        <v>(7 downto 0)</v>
      </c>
      <c r="AE452" s="2" t="str">
        <f t="shared" si="119"/>
        <v>(31 downto 24)</v>
      </c>
      <c r="AF452" s="2" t="str">
        <f t="shared" si="120"/>
        <v>(23 downto 16)</v>
      </c>
      <c r="AG452" s="2" t="str">
        <f t="shared" si="121"/>
        <v>(15 downto 8)</v>
      </c>
      <c r="AH452" s="2" t="str">
        <f t="shared" si="122"/>
        <v>(7 downto 0)</v>
      </c>
    </row>
    <row r="453" spans="2:34" x14ac:dyDescent="0.25">
      <c r="B453" s="2" t="s">
        <v>1174</v>
      </c>
      <c r="C453" s="2" t="s">
        <v>141</v>
      </c>
      <c r="D453" s="2" t="s">
        <v>0</v>
      </c>
      <c r="E453" s="2" t="s">
        <v>130</v>
      </c>
      <c r="F453" s="2" t="s">
        <v>1175</v>
      </c>
      <c r="G453" s="2" t="s">
        <v>1176</v>
      </c>
      <c r="H453" s="2" t="s">
        <v>142</v>
      </c>
      <c r="I453" s="2" t="s">
        <v>41</v>
      </c>
      <c r="J453" s="2">
        <v>32</v>
      </c>
      <c r="K453" s="2" t="s">
        <v>132</v>
      </c>
      <c r="L453" s="2" t="s">
        <v>40</v>
      </c>
      <c r="P453" s="2" t="s">
        <v>48</v>
      </c>
      <c r="Q453" s="2">
        <f>INDEX(Tables!$C$4:$C$28,MATCH($P453,Tables!$B$4:$B$28,0))</f>
        <v>32</v>
      </c>
      <c r="R453" s="2">
        <f>INDEX(Tables!$D$4:$D$28,MATCH($P453,Tables!$B$4:$B$28,0))</f>
        <v>4</v>
      </c>
      <c r="S453" s="2">
        <f>$S452+$R452+INDEX(Tables!$N$5:$Q$8,MATCH(MOD($S452+$R452,4),Tables!$M$5:$M$8,0),MATCH($R453,Tables!$N$4:$Q$4,0))</f>
        <v>1628</v>
      </c>
      <c r="T453" s="2" t="str">
        <f t="shared" ref="T453:T516" si="123">DEC2HEX($S453,4)</f>
        <v>065C</v>
      </c>
      <c r="U453" s="2">
        <f t="shared" si="114"/>
        <v>407</v>
      </c>
      <c r="V453" s="2" t="str">
        <f t="shared" ref="V453:V516" si="124">DEC2HEX($U453,3)</f>
        <v>197</v>
      </c>
      <c r="W453" s="2" t="str">
        <f t="shared" ref="W453:W516" si="125">IF(MOD($S453,4)=3,"X",IF(AND(MOD($S453,4)=2,$J453&gt;8),"X",IF(AND(MOD($S453,4)=1,$J453&gt;16),"X",IF(AND(MOD($S453,4)=0,$J453&gt;24),"X",""))))</f>
        <v>X</v>
      </c>
      <c r="X453" s="2" t="str">
        <f t="shared" si="113"/>
        <v>X</v>
      </c>
      <c r="Y453" s="2" t="str">
        <f t="shared" ref="Y453:Y516" si="126">IF(MOD($S453,4)=1,"X",IF(AND(MOD($S453,4)=0,$J453&gt;8),"X",""))</f>
        <v>X</v>
      </c>
      <c r="Z453" s="2" t="str">
        <f t="shared" ref="Z453:Z516" si="127">IF(MOD($S453,4)=0,"X","")</f>
        <v>X</v>
      </c>
      <c r="AA453" s="2" t="str">
        <f t="shared" si="115"/>
        <v>(31 downto 24)</v>
      </c>
      <c r="AB453" s="2" t="str">
        <f t="shared" si="116"/>
        <v>(23 downto 16)</v>
      </c>
      <c r="AC453" s="2" t="str">
        <f t="shared" si="117"/>
        <v>(15 downto 8)</v>
      </c>
      <c r="AD453" s="2" t="str">
        <f t="shared" si="118"/>
        <v>(7 downto 0)</v>
      </c>
      <c r="AE453" s="2" t="str">
        <f t="shared" si="119"/>
        <v>(31 downto 24)</v>
      </c>
      <c r="AF453" s="2" t="str">
        <f t="shared" si="120"/>
        <v>(23 downto 16)</v>
      </c>
      <c r="AG453" s="2" t="str">
        <f t="shared" si="121"/>
        <v>(15 downto 8)</v>
      </c>
      <c r="AH453" s="2" t="str">
        <f t="shared" si="122"/>
        <v>(7 downto 0)</v>
      </c>
    </row>
    <row r="454" spans="2:34" x14ac:dyDescent="0.25">
      <c r="B454" s="2" t="s">
        <v>1177</v>
      </c>
      <c r="C454" s="2" t="s">
        <v>141</v>
      </c>
      <c r="D454" s="2" t="s">
        <v>0</v>
      </c>
      <c r="E454" s="2" t="s">
        <v>130</v>
      </c>
      <c r="F454" s="2" t="s">
        <v>1178</v>
      </c>
      <c r="G454" s="2" t="s">
        <v>1179</v>
      </c>
      <c r="H454" s="2" t="s">
        <v>142</v>
      </c>
      <c r="I454" s="2" t="s">
        <v>41</v>
      </c>
      <c r="J454" s="2">
        <v>32</v>
      </c>
      <c r="K454" s="2" t="s">
        <v>132</v>
      </c>
      <c r="L454" s="2" t="s">
        <v>40</v>
      </c>
      <c r="P454" s="2" t="s">
        <v>48</v>
      </c>
      <c r="Q454" s="2">
        <f>INDEX(Tables!$C$4:$C$28,MATCH($P454,Tables!$B$4:$B$28,0))</f>
        <v>32</v>
      </c>
      <c r="R454" s="2">
        <f>INDEX(Tables!$D$4:$D$28,MATCH($P454,Tables!$B$4:$B$28,0))</f>
        <v>4</v>
      </c>
      <c r="S454" s="2">
        <f>$S453+$R453+INDEX(Tables!$N$5:$Q$8,MATCH(MOD($S453+$R453,4),Tables!$M$5:$M$8,0),MATCH($R454,Tables!$N$4:$Q$4,0))</f>
        <v>1632</v>
      </c>
      <c r="T454" s="2" t="str">
        <f t="shared" si="123"/>
        <v>0660</v>
      </c>
      <c r="U454" s="2">
        <f t="shared" si="114"/>
        <v>408</v>
      </c>
      <c r="V454" s="2" t="str">
        <f t="shared" si="124"/>
        <v>198</v>
      </c>
      <c r="W454" s="2" t="str">
        <f t="shared" si="125"/>
        <v>X</v>
      </c>
      <c r="X454" s="2" t="str">
        <f t="shared" ref="X454:X517" si="128">IF(MOD($S454,4)=2,"X",IF(AND(MOD($S454,4)=1,$J454&gt;8),"X",IF(AND(MOD($S454,4)=0,$J454&gt;16),"X","")))</f>
        <v>X</v>
      </c>
      <c r="Y454" s="2" t="str">
        <f t="shared" si="126"/>
        <v>X</v>
      </c>
      <c r="Z454" s="2" t="str">
        <f t="shared" si="127"/>
        <v>X</v>
      </c>
      <c r="AA454" s="2" t="str">
        <f t="shared" si="115"/>
        <v>(31 downto 24)</v>
      </c>
      <c r="AB454" s="2" t="str">
        <f t="shared" si="116"/>
        <v>(23 downto 16)</v>
      </c>
      <c r="AC454" s="2" t="str">
        <f t="shared" si="117"/>
        <v>(15 downto 8)</v>
      </c>
      <c r="AD454" s="2" t="str">
        <f t="shared" si="118"/>
        <v>(7 downto 0)</v>
      </c>
      <c r="AE454" s="2" t="str">
        <f t="shared" si="119"/>
        <v>(31 downto 24)</v>
      </c>
      <c r="AF454" s="2" t="str">
        <f t="shared" si="120"/>
        <v>(23 downto 16)</v>
      </c>
      <c r="AG454" s="2" t="str">
        <f t="shared" si="121"/>
        <v>(15 downto 8)</v>
      </c>
      <c r="AH454" s="2" t="str">
        <f t="shared" si="122"/>
        <v>(7 downto 0)</v>
      </c>
    </row>
    <row r="455" spans="2:34" x14ac:dyDescent="0.25">
      <c r="B455" s="2" t="s">
        <v>1180</v>
      </c>
      <c r="C455" s="2" t="s">
        <v>141</v>
      </c>
      <c r="D455" s="2" t="s">
        <v>0</v>
      </c>
      <c r="E455" s="2" t="s">
        <v>130</v>
      </c>
      <c r="F455" s="2" t="s">
        <v>1181</v>
      </c>
      <c r="G455" s="2" t="s">
        <v>1182</v>
      </c>
      <c r="H455" s="2" t="s">
        <v>142</v>
      </c>
      <c r="I455" s="2" t="s">
        <v>41</v>
      </c>
      <c r="J455" s="2">
        <v>32</v>
      </c>
      <c r="K455" s="2" t="s">
        <v>132</v>
      </c>
      <c r="L455" s="2" t="s">
        <v>40</v>
      </c>
      <c r="P455" s="2" t="s">
        <v>48</v>
      </c>
      <c r="Q455" s="2">
        <f>INDEX(Tables!$C$4:$C$28,MATCH($P455,Tables!$B$4:$B$28,0))</f>
        <v>32</v>
      </c>
      <c r="R455" s="2">
        <f>INDEX(Tables!$D$4:$D$28,MATCH($P455,Tables!$B$4:$B$28,0))</f>
        <v>4</v>
      </c>
      <c r="S455" s="2">
        <f>$S454+$R454+INDEX(Tables!$N$5:$Q$8,MATCH(MOD($S454+$R454,4),Tables!$M$5:$M$8,0),MATCH($R455,Tables!$N$4:$Q$4,0))</f>
        <v>1636</v>
      </c>
      <c r="T455" s="2" t="str">
        <f t="shared" si="123"/>
        <v>0664</v>
      </c>
      <c r="U455" s="2">
        <f t="shared" si="114"/>
        <v>409</v>
      </c>
      <c r="V455" s="2" t="str">
        <f t="shared" si="124"/>
        <v>199</v>
      </c>
      <c r="W455" s="2" t="str">
        <f t="shared" si="125"/>
        <v>X</v>
      </c>
      <c r="X455" s="2" t="str">
        <f t="shared" si="128"/>
        <v>X</v>
      </c>
      <c r="Y455" s="2" t="str">
        <f t="shared" si="126"/>
        <v>X</v>
      </c>
      <c r="Z455" s="2" t="str">
        <f t="shared" si="127"/>
        <v>X</v>
      </c>
      <c r="AA455" s="2" t="str">
        <f t="shared" si="115"/>
        <v>(31 downto 24)</v>
      </c>
      <c r="AB455" s="2" t="str">
        <f t="shared" si="116"/>
        <v>(23 downto 16)</v>
      </c>
      <c r="AC455" s="2" t="str">
        <f t="shared" si="117"/>
        <v>(15 downto 8)</v>
      </c>
      <c r="AD455" s="2" t="str">
        <f t="shared" si="118"/>
        <v>(7 downto 0)</v>
      </c>
      <c r="AE455" s="2" t="str">
        <f t="shared" si="119"/>
        <v>(31 downto 24)</v>
      </c>
      <c r="AF455" s="2" t="str">
        <f t="shared" si="120"/>
        <v>(23 downto 16)</v>
      </c>
      <c r="AG455" s="2" t="str">
        <f t="shared" si="121"/>
        <v>(15 downto 8)</v>
      </c>
      <c r="AH455" s="2" t="str">
        <f t="shared" si="122"/>
        <v>(7 downto 0)</v>
      </c>
    </row>
    <row r="456" spans="2:34" x14ac:dyDescent="0.25">
      <c r="B456" s="2" t="s">
        <v>1183</v>
      </c>
      <c r="C456" s="2" t="s">
        <v>141</v>
      </c>
      <c r="D456" s="2" t="s">
        <v>0</v>
      </c>
      <c r="E456" s="2" t="s">
        <v>130</v>
      </c>
      <c r="F456" s="2" t="s">
        <v>1184</v>
      </c>
      <c r="G456" s="2" t="s">
        <v>1185</v>
      </c>
      <c r="H456" s="2" t="s">
        <v>142</v>
      </c>
      <c r="I456" s="2" t="s">
        <v>41</v>
      </c>
      <c r="J456" s="2">
        <v>32</v>
      </c>
      <c r="K456" s="2" t="s">
        <v>132</v>
      </c>
      <c r="L456" s="2" t="s">
        <v>40</v>
      </c>
      <c r="P456" s="2" t="s">
        <v>48</v>
      </c>
      <c r="Q456" s="2">
        <f>INDEX(Tables!$C$4:$C$28,MATCH($P456,Tables!$B$4:$B$28,0))</f>
        <v>32</v>
      </c>
      <c r="R456" s="2">
        <f>INDEX(Tables!$D$4:$D$28,MATCH($P456,Tables!$B$4:$B$28,0))</f>
        <v>4</v>
      </c>
      <c r="S456" s="2">
        <f>$S455+$R455+INDEX(Tables!$N$5:$Q$8,MATCH(MOD($S455+$R455,4),Tables!$M$5:$M$8,0),MATCH($R456,Tables!$N$4:$Q$4,0))</f>
        <v>1640</v>
      </c>
      <c r="T456" s="2" t="str">
        <f t="shared" si="123"/>
        <v>0668</v>
      </c>
      <c r="U456" s="2">
        <f t="shared" si="114"/>
        <v>410</v>
      </c>
      <c r="V456" s="2" t="str">
        <f t="shared" si="124"/>
        <v>19A</v>
      </c>
      <c r="W456" s="2" t="str">
        <f t="shared" si="125"/>
        <v>X</v>
      </c>
      <c r="X456" s="2" t="str">
        <f t="shared" si="128"/>
        <v>X</v>
      </c>
      <c r="Y456" s="2" t="str">
        <f t="shared" si="126"/>
        <v>X</v>
      </c>
      <c r="Z456" s="2" t="str">
        <f t="shared" si="127"/>
        <v>X</v>
      </c>
      <c r="AA456" s="2" t="str">
        <f t="shared" si="115"/>
        <v>(31 downto 24)</v>
      </c>
      <c r="AB456" s="2" t="str">
        <f t="shared" si="116"/>
        <v>(23 downto 16)</v>
      </c>
      <c r="AC456" s="2" t="str">
        <f t="shared" si="117"/>
        <v>(15 downto 8)</v>
      </c>
      <c r="AD456" s="2" t="str">
        <f t="shared" si="118"/>
        <v>(7 downto 0)</v>
      </c>
      <c r="AE456" s="2" t="str">
        <f t="shared" si="119"/>
        <v>(31 downto 24)</v>
      </c>
      <c r="AF456" s="2" t="str">
        <f t="shared" si="120"/>
        <v>(23 downto 16)</v>
      </c>
      <c r="AG456" s="2" t="str">
        <f t="shared" si="121"/>
        <v>(15 downto 8)</v>
      </c>
      <c r="AH456" s="2" t="str">
        <f t="shared" si="122"/>
        <v>(7 downto 0)</v>
      </c>
    </row>
    <row r="457" spans="2:34" x14ac:dyDescent="0.25">
      <c r="B457" s="2" t="s">
        <v>1186</v>
      </c>
      <c r="C457" s="2" t="s">
        <v>141</v>
      </c>
      <c r="D457" s="2" t="s">
        <v>0</v>
      </c>
      <c r="E457" s="2" t="s">
        <v>130</v>
      </c>
      <c r="F457" s="2" t="s">
        <v>1187</v>
      </c>
      <c r="G457" s="2" t="s">
        <v>1188</v>
      </c>
      <c r="H457" s="2" t="s">
        <v>142</v>
      </c>
      <c r="I457" s="2" t="s">
        <v>41</v>
      </c>
      <c r="J457" s="2">
        <v>32</v>
      </c>
      <c r="K457" s="2" t="s">
        <v>132</v>
      </c>
      <c r="L457" s="2" t="s">
        <v>40</v>
      </c>
      <c r="P457" s="2" t="s">
        <v>48</v>
      </c>
      <c r="Q457" s="2">
        <f>INDEX(Tables!$C$4:$C$28,MATCH($P457,Tables!$B$4:$B$28,0))</f>
        <v>32</v>
      </c>
      <c r="R457" s="2">
        <f>INDEX(Tables!$D$4:$D$28,MATCH($P457,Tables!$B$4:$B$28,0))</f>
        <v>4</v>
      </c>
      <c r="S457" s="2">
        <f>$S456+$R456+INDEX(Tables!$N$5:$Q$8,MATCH(MOD($S456+$R456,4),Tables!$M$5:$M$8,0),MATCH($R457,Tables!$N$4:$Q$4,0))</f>
        <v>1644</v>
      </c>
      <c r="T457" s="2" t="str">
        <f t="shared" si="123"/>
        <v>066C</v>
      </c>
      <c r="U457" s="2">
        <f t="shared" ref="U457:U520" si="129">ROUNDDOWN(S457/4,0)</f>
        <v>411</v>
      </c>
      <c r="V457" s="2" t="str">
        <f t="shared" si="124"/>
        <v>19B</v>
      </c>
      <c r="W457" s="2" t="str">
        <f t="shared" si="125"/>
        <v>X</v>
      </c>
      <c r="X457" s="2" t="str">
        <f t="shared" si="128"/>
        <v>X</v>
      </c>
      <c r="Y457" s="2" t="str">
        <f t="shared" si="126"/>
        <v>X</v>
      </c>
      <c r="Z457" s="2" t="str">
        <f t="shared" si="127"/>
        <v>X</v>
      </c>
      <c r="AA457" s="2" t="str">
        <f t="shared" ref="AA457:AA520" si="130">IF(W457="","",CONCATENATE("(",IF(($J457-COUNTIF($X457:$Z457,"X")*8)=1,"24)",CONCATENATE(IF(($J457-COUNTIF($X457:$Z457,"X")*8)&gt;=8,32,($J457-COUNTIF($X457:$Z457,"X")*8)+24)-1," downto 24)"))))</f>
        <v>(31 downto 24)</v>
      </c>
      <c r="AB457" s="2" t="str">
        <f t="shared" ref="AB457:AB520" si="131">IF(X457="","",CONCATENATE("(",IF(($J457-COUNTIF($Y457:$Z457,"X")*8)=1,"16)",CONCATENATE(IF(($J457-COUNTIF($Y457:$Z457,"X")*8)&gt;=8,24,($J457-COUNTIF($Y457:$Z457,"X")*8)+16)-1," downto 16)"))))</f>
        <v>(23 downto 16)</v>
      </c>
      <c r="AC457" s="2" t="str">
        <f t="shared" ref="AC457:AC520" si="132">IF(Y457="","",CONCATENATE("(",IF(($J457-COUNTIF($Z457,"X")*8)=1,"8)",CONCATENATE(IF(($J457-COUNTIF($Z457,"X")*8)&gt;=8,16,($J457-COUNTIF($Z457,"X")*8)+8)-1," downto 8)"))))</f>
        <v>(15 downto 8)</v>
      </c>
      <c r="AD457" s="2" t="str">
        <f t="shared" ref="AD457:AD520" si="133">IF(Z457="","",CONCATENATE("(",IF($J457=1,"0)",CONCATENATE(IF($J457&gt;=8,8,$J457)-1," downto 0)"))))</f>
        <v>(7 downto 0)</v>
      </c>
      <c r="AE457" s="2" t="str">
        <f t="shared" ref="AE457:AE520" si="134">IF(W457="","",IF($J457&lt;=8,"",IF(($J457-COUNTIF($X457:$Z457,"X")*8)=1,CONCATENATE("(",($J457-1),")"),CONCATENATE("(",IF(($J457-COUNTIF($X457:$Z457,"X")*8)&gt;=8,COUNTIF($X457:$Z457,"X")*8+7,$J457-COUNTIF($X457:$Z457,"X")*8-1+COUNTIF($X457:$Z457,"X")*8)," downto ",COUNTIF($X457:$Z457,"X")*8,")"))))</f>
        <v>(31 downto 24)</v>
      </c>
      <c r="AF457" s="2" t="str">
        <f t="shared" ref="AF457:AF520" si="135">IF(X457="","",IF($J457&lt;=8,"",IF(($J457-COUNTIF($Y457:$Z457,"X")*8)=1,CONCATENATE("(",($J457-1),")"),CONCATENATE("(",IF(($J457-COUNTIF($Y457:$Z457,"X")*8)&gt;=8,COUNTIF($Y457:$Z457,"X")*8+7,$J457-COUNTIF($Y457:$Z457,"X")*8-1+COUNTIF($Y457:$Z457,"X")*8)," downto ",COUNTIF($Y457:$Z457,"X")*8,")"))))</f>
        <v>(23 downto 16)</v>
      </c>
      <c r="AG457" s="2" t="str">
        <f t="shared" ref="AG457:AG520" si="136">IF(Y457="","",IF($J457&lt;=8,"",IF(($J457-COUNTIF($Z457,"X")*8)=1,CONCATENATE("(",($J457-1),")"),CONCATENATE("(",IF(($J457-COUNTIF($Z457,"X")*8)&gt;=8,COUNTIF($Z457,"X")*8+7,$J457-COUNTIF($Z457,"X")*8-1+COUNTIF($Z457,"X")*8)," downto ",COUNTIF($Z457,"X")*8,")"))))</f>
        <v>(15 downto 8)</v>
      </c>
      <c r="AH457" s="2" t="str">
        <f t="shared" ref="AH457:AH520" si="137">IF(Z457="","",IF($J457&lt;=8,"",CONCATENATE("(",IF($J457&gt;=8,7,$J457-1)," downto ",0,")")))</f>
        <v>(7 downto 0)</v>
      </c>
    </row>
    <row r="458" spans="2:34" x14ac:dyDescent="0.25">
      <c r="B458" s="2" t="s">
        <v>1189</v>
      </c>
      <c r="C458" s="2" t="s">
        <v>141</v>
      </c>
      <c r="D458" s="2" t="s">
        <v>0</v>
      </c>
      <c r="E458" s="2" t="s">
        <v>130</v>
      </c>
      <c r="F458" s="2" t="s">
        <v>1190</v>
      </c>
      <c r="G458" s="2" t="s">
        <v>1191</v>
      </c>
      <c r="H458" s="2" t="s">
        <v>142</v>
      </c>
      <c r="I458" s="2" t="s">
        <v>41</v>
      </c>
      <c r="J458" s="2">
        <v>32</v>
      </c>
      <c r="K458" s="2" t="s">
        <v>132</v>
      </c>
      <c r="L458" s="2" t="s">
        <v>40</v>
      </c>
      <c r="P458" s="2" t="s">
        <v>48</v>
      </c>
      <c r="Q458" s="2">
        <f>INDEX(Tables!$C$4:$C$28,MATCH($P458,Tables!$B$4:$B$28,0))</f>
        <v>32</v>
      </c>
      <c r="R458" s="2">
        <f>INDEX(Tables!$D$4:$D$28,MATCH($P458,Tables!$B$4:$B$28,0))</f>
        <v>4</v>
      </c>
      <c r="S458" s="2">
        <f>$S457+$R457+INDEX(Tables!$N$5:$Q$8,MATCH(MOD($S457+$R457,4),Tables!$M$5:$M$8,0),MATCH($R458,Tables!$N$4:$Q$4,0))</f>
        <v>1648</v>
      </c>
      <c r="T458" s="2" t="str">
        <f t="shared" si="123"/>
        <v>0670</v>
      </c>
      <c r="U458" s="2">
        <f t="shared" si="129"/>
        <v>412</v>
      </c>
      <c r="V458" s="2" t="str">
        <f t="shared" si="124"/>
        <v>19C</v>
      </c>
      <c r="W458" s="2" t="str">
        <f t="shared" si="125"/>
        <v>X</v>
      </c>
      <c r="X458" s="2" t="str">
        <f t="shared" si="128"/>
        <v>X</v>
      </c>
      <c r="Y458" s="2" t="str">
        <f t="shared" si="126"/>
        <v>X</v>
      </c>
      <c r="Z458" s="2" t="str">
        <f t="shared" si="127"/>
        <v>X</v>
      </c>
      <c r="AA458" s="2" t="str">
        <f t="shared" si="130"/>
        <v>(31 downto 24)</v>
      </c>
      <c r="AB458" s="2" t="str">
        <f t="shared" si="131"/>
        <v>(23 downto 16)</v>
      </c>
      <c r="AC458" s="2" t="str">
        <f t="shared" si="132"/>
        <v>(15 downto 8)</v>
      </c>
      <c r="AD458" s="2" t="str">
        <f t="shared" si="133"/>
        <v>(7 downto 0)</v>
      </c>
      <c r="AE458" s="2" t="str">
        <f t="shared" si="134"/>
        <v>(31 downto 24)</v>
      </c>
      <c r="AF458" s="2" t="str">
        <f t="shared" si="135"/>
        <v>(23 downto 16)</v>
      </c>
      <c r="AG458" s="2" t="str">
        <f t="shared" si="136"/>
        <v>(15 downto 8)</v>
      </c>
      <c r="AH458" s="2" t="str">
        <f t="shared" si="137"/>
        <v>(7 downto 0)</v>
      </c>
    </row>
    <row r="459" spans="2:34" x14ac:dyDescent="0.25">
      <c r="B459" s="2" t="s">
        <v>1192</v>
      </c>
      <c r="C459" s="2" t="s">
        <v>141</v>
      </c>
      <c r="D459" s="2" t="s">
        <v>0</v>
      </c>
      <c r="E459" s="2" t="s">
        <v>130</v>
      </c>
      <c r="F459" s="2" t="s">
        <v>1193</v>
      </c>
      <c r="G459" s="2" t="s">
        <v>1194</v>
      </c>
      <c r="H459" s="2" t="s">
        <v>142</v>
      </c>
      <c r="I459" s="2" t="s">
        <v>41</v>
      </c>
      <c r="J459" s="2">
        <v>32</v>
      </c>
      <c r="K459" s="2" t="s">
        <v>132</v>
      </c>
      <c r="L459" s="2" t="s">
        <v>40</v>
      </c>
      <c r="P459" s="2" t="s">
        <v>48</v>
      </c>
      <c r="Q459" s="2">
        <f>INDEX(Tables!$C$4:$C$28,MATCH($P459,Tables!$B$4:$B$28,0))</f>
        <v>32</v>
      </c>
      <c r="R459" s="2">
        <f>INDEX(Tables!$D$4:$D$28,MATCH($P459,Tables!$B$4:$B$28,0))</f>
        <v>4</v>
      </c>
      <c r="S459" s="2">
        <f>$S458+$R458+INDEX(Tables!$N$5:$Q$8,MATCH(MOD($S458+$R458,4),Tables!$M$5:$M$8,0),MATCH($R459,Tables!$N$4:$Q$4,0))</f>
        <v>1652</v>
      </c>
      <c r="T459" s="2" t="str">
        <f t="shared" si="123"/>
        <v>0674</v>
      </c>
      <c r="U459" s="2">
        <f t="shared" si="129"/>
        <v>413</v>
      </c>
      <c r="V459" s="2" t="str">
        <f t="shared" si="124"/>
        <v>19D</v>
      </c>
      <c r="W459" s="2" t="str">
        <f t="shared" si="125"/>
        <v>X</v>
      </c>
      <c r="X459" s="2" t="str">
        <f t="shared" si="128"/>
        <v>X</v>
      </c>
      <c r="Y459" s="2" t="str">
        <f t="shared" si="126"/>
        <v>X</v>
      </c>
      <c r="Z459" s="2" t="str">
        <f t="shared" si="127"/>
        <v>X</v>
      </c>
      <c r="AA459" s="2" t="str">
        <f t="shared" si="130"/>
        <v>(31 downto 24)</v>
      </c>
      <c r="AB459" s="2" t="str">
        <f t="shared" si="131"/>
        <v>(23 downto 16)</v>
      </c>
      <c r="AC459" s="2" t="str">
        <f t="shared" si="132"/>
        <v>(15 downto 8)</v>
      </c>
      <c r="AD459" s="2" t="str">
        <f t="shared" si="133"/>
        <v>(7 downto 0)</v>
      </c>
      <c r="AE459" s="2" t="str">
        <f t="shared" si="134"/>
        <v>(31 downto 24)</v>
      </c>
      <c r="AF459" s="2" t="str">
        <f t="shared" si="135"/>
        <v>(23 downto 16)</v>
      </c>
      <c r="AG459" s="2" t="str">
        <f t="shared" si="136"/>
        <v>(15 downto 8)</v>
      </c>
      <c r="AH459" s="2" t="str">
        <f t="shared" si="137"/>
        <v>(7 downto 0)</v>
      </c>
    </row>
    <row r="460" spans="2:34" x14ac:dyDescent="0.25">
      <c r="B460" s="2" t="s">
        <v>1195</v>
      </c>
      <c r="C460" s="2" t="s">
        <v>141</v>
      </c>
      <c r="D460" s="2" t="s">
        <v>0</v>
      </c>
      <c r="E460" s="2" t="s">
        <v>130</v>
      </c>
      <c r="F460" s="2" t="s">
        <v>1196</v>
      </c>
      <c r="G460" s="2" t="s">
        <v>1197</v>
      </c>
      <c r="H460" s="2" t="s">
        <v>142</v>
      </c>
      <c r="I460" s="2" t="s">
        <v>41</v>
      </c>
      <c r="J460" s="2">
        <v>32</v>
      </c>
      <c r="K460" s="2" t="s">
        <v>132</v>
      </c>
      <c r="L460" s="2" t="s">
        <v>40</v>
      </c>
      <c r="P460" s="2" t="s">
        <v>48</v>
      </c>
      <c r="Q460" s="2">
        <f>INDEX(Tables!$C$4:$C$28,MATCH($P460,Tables!$B$4:$B$28,0))</f>
        <v>32</v>
      </c>
      <c r="R460" s="2">
        <f>INDEX(Tables!$D$4:$D$28,MATCH($P460,Tables!$B$4:$B$28,0))</f>
        <v>4</v>
      </c>
      <c r="S460" s="2">
        <f>$S459+$R459+INDEX(Tables!$N$5:$Q$8,MATCH(MOD($S459+$R459,4),Tables!$M$5:$M$8,0),MATCH($R460,Tables!$N$4:$Q$4,0))</f>
        <v>1656</v>
      </c>
      <c r="T460" s="2" t="str">
        <f t="shared" si="123"/>
        <v>0678</v>
      </c>
      <c r="U460" s="2">
        <f t="shared" si="129"/>
        <v>414</v>
      </c>
      <c r="V460" s="2" t="str">
        <f t="shared" si="124"/>
        <v>19E</v>
      </c>
      <c r="W460" s="2" t="str">
        <f t="shared" si="125"/>
        <v>X</v>
      </c>
      <c r="X460" s="2" t="str">
        <f t="shared" si="128"/>
        <v>X</v>
      </c>
      <c r="Y460" s="2" t="str">
        <f t="shared" si="126"/>
        <v>X</v>
      </c>
      <c r="Z460" s="2" t="str">
        <f t="shared" si="127"/>
        <v>X</v>
      </c>
      <c r="AA460" s="2" t="str">
        <f t="shared" si="130"/>
        <v>(31 downto 24)</v>
      </c>
      <c r="AB460" s="2" t="str">
        <f t="shared" si="131"/>
        <v>(23 downto 16)</v>
      </c>
      <c r="AC460" s="2" t="str">
        <f t="shared" si="132"/>
        <v>(15 downto 8)</v>
      </c>
      <c r="AD460" s="2" t="str">
        <f t="shared" si="133"/>
        <v>(7 downto 0)</v>
      </c>
      <c r="AE460" s="2" t="str">
        <f t="shared" si="134"/>
        <v>(31 downto 24)</v>
      </c>
      <c r="AF460" s="2" t="str">
        <f t="shared" si="135"/>
        <v>(23 downto 16)</v>
      </c>
      <c r="AG460" s="2" t="str">
        <f t="shared" si="136"/>
        <v>(15 downto 8)</v>
      </c>
      <c r="AH460" s="2" t="str">
        <f t="shared" si="137"/>
        <v>(7 downto 0)</v>
      </c>
    </row>
    <row r="461" spans="2:34" x14ac:dyDescent="0.25">
      <c r="B461" s="2" t="s">
        <v>1198</v>
      </c>
      <c r="C461" s="2" t="s">
        <v>141</v>
      </c>
      <c r="D461" s="2" t="s">
        <v>0</v>
      </c>
      <c r="E461" s="2" t="s">
        <v>130</v>
      </c>
      <c r="F461" s="2" t="s">
        <v>1199</v>
      </c>
      <c r="G461" s="2" t="s">
        <v>1200</v>
      </c>
      <c r="H461" s="2" t="s">
        <v>142</v>
      </c>
      <c r="I461" s="2" t="s">
        <v>41</v>
      </c>
      <c r="J461" s="2">
        <v>32</v>
      </c>
      <c r="K461" s="2" t="s">
        <v>132</v>
      </c>
      <c r="L461" s="2" t="s">
        <v>40</v>
      </c>
      <c r="P461" s="2" t="s">
        <v>48</v>
      </c>
      <c r="Q461" s="2">
        <f>INDEX(Tables!$C$4:$C$28,MATCH($P461,Tables!$B$4:$B$28,0))</f>
        <v>32</v>
      </c>
      <c r="R461" s="2">
        <f>INDEX(Tables!$D$4:$D$28,MATCH($P461,Tables!$B$4:$B$28,0))</f>
        <v>4</v>
      </c>
      <c r="S461" s="2">
        <f>$S460+$R460+INDEX(Tables!$N$5:$Q$8,MATCH(MOD($S460+$R460,4),Tables!$M$5:$M$8,0),MATCH($R461,Tables!$N$4:$Q$4,0))</f>
        <v>1660</v>
      </c>
      <c r="T461" s="2" t="str">
        <f t="shared" si="123"/>
        <v>067C</v>
      </c>
      <c r="U461" s="2">
        <f t="shared" si="129"/>
        <v>415</v>
      </c>
      <c r="V461" s="2" t="str">
        <f t="shared" si="124"/>
        <v>19F</v>
      </c>
      <c r="W461" s="2" t="str">
        <f t="shared" si="125"/>
        <v>X</v>
      </c>
      <c r="X461" s="2" t="str">
        <f t="shared" si="128"/>
        <v>X</v>
      </c>
      <c r="Y461" s="2" t="str">
        <f t="shared" si="126"/>
        <v>X</v>
      </c>
      <c r="Z461" s="2" t="str">
        <f t="shared" si="127"/>
        <v>X</v>
      </c>
      <c r="AA461" s="2" t="str">
        <f t="shared" si="130"/>
        <v>(31 downto 24)</v>
      </c>
      <c r="AB461" s="2" t="str">
        <f t="shared" si="131"/>
        <v>(23 downto 16)</v>
      </c>
      <c r="AC461" s="2" t="str">
        <f t="shared" si="132"/>
        <v>(15 downto 8)</v>
      </c>
      <c r="AD461" s="2" t="str">
        <f t="shared" si="133"/>
        <v>(7 downto 0)</v>
      </c>
      <c r="AE461" s="2" t="str">
        <f t="shared" si="134"/>
        <v>(31 downto 24)</v>
      </c>
      <c r="AF461" s="2" t="str">
        <f t="shared" si="135"/>
        <v>(23 downto 16)</v>
      </c>
      <c r="AG461" s="2" t="str">
        <f t="shared" si="136"/>
        <v>(15 downto 8)</v>
      </c>
      <c r="AH461" s="2" t="str">
        <f t="shared" si="137"/>
        <v>(7 downto 0)</v>
      </c>
    </row>
    <row r="462" spans="2:34" x14ac:dyDescent="0.25">
      <c r="B462" s="2" t="s">
        <v>1201</v>
      </c>
      <c r="C462" s="2" t="s">
        <v>141</v>
      </c>
      <c r="D462" s="2" t="s">
        <v>0</v>
      </c>
      <c r="E462" s="2" t="s">
        <v>130</v>
      </c>
      <c r="F462" s="2" t="s">
        <v>1202</v>
      </c>
      <c r="G462" s="2" t="s">
        <v>1203</v>
      </c>
      <c r="H462" s="2" t="s">
        <v>142</v>
      </c>
      <c r="I462" s="2" t="s">
        <v>41</v>
      </c>
      <c r="J462" s="2">
        <v>32</v>
      </c>
      <c r="K462" s="2" t="s">
        <v>132</v>
      </c>
      <c r="L462" s="2" t="s">
        <v>40</v>
      </c>
      <c r="P462" s="2" t="s">
        <v>48</v>
      </c>
      <c r="Q462" s="2">
        <f>INDEX(Tables!$C$4:$C$28,MATCH($P462,Tables!$B$4:$B$28,0))</f>
        <v>32</v>
      </c>
      <c r="R462" s="2">
        <f>INDEX(Tables!$D$4:$D$28,MATCH($P462,Tables!$B$4:$B$28,0))</f>
        <v>4</v>
      </c>
      <c r="S462" s="2">
        <f>$S461+$R461+INDEX(Tables!$N$5:$Q$8,MATCH(MOD($S461+$R461,4),Tables!$M$5:$M$8,0),MATCH($R462,Tables!$N$4:$Q$4,0))</f>
        <v>1664</v>
      </c>
      <c r="T462" s="2" t="str">
        <f t="shared" si="123"/>
        <v>0680</v>
      </c>
      <c r="U462" s="2">
        <f t="shared" si="129"/>
        <v>416</v>
      </c>
      <c r="V462" s="2" t="str">
        <f t="shared" si="124"/>
        <v>1A0</v>
      </c>
      <c r="W462" s="2" t="str">
        <f t="shared" si="125"/>
        <v>X</v>
      </c>
      <c r="X462" s="2" t="str">
        <f t="shared" si="128"/>
        <v>X</v>
      </c>
      <c r="Y462" s="2" t="str">
        <f t="shared" si="126"/>
        <v>X</v>
      </c>
      <c r="Z462" s="2" t="str">
        <f t="shared" si="127"/>
        <v>X</v>
      </c>
      <c r="AA462" s="2" t="str">
        <f t="shared" si="130"/>
        <v>(31 downto 24)</v>
      </c>
      <c r="AB462" s="2" t="str">
        <f t="shared" si="131"/>
        <v>(23 downto 16)</v>
      </c>
      <c r="AC462" s="2" t="str">
        <f t="shared" si="132"/>
        <v>(15 downto 8)</v>
      </c>
      <c r="AD462" s="2" t="str">
        <f t="shared" si="133"/>
        <v>(7 downto 0)</v>
      </c>
      <c r="AE462" s="2" t="str">
        <f t="shared" si="134"/>
        <v>(31 downto 24)</v>
      </c>
      <c r="AF462" s="2" t="str">
        <f t="shared" si="135"/>
        <v>(23 downto 16)</v>
      </c>
      <c r="AG462" s="2" t="str">
        <f t="shared" si="136"/>
        <v>(15 downto 8)</v>
      </c>
      <c r="AH462" s="2" t="str">
        <f t="shared" si="137"/>
        <v>(7 downto 0)</v>
      </c>
    </row>
    <row r="463" spans="2:34" x14ac:dyDescent="0.25">
      <c r="B463" s="2" t="s">
        <v>1204</v>
      </c>
      <c r="C463" s="2" t="s">
        <v>141</v>
      </c>
      <c r="D463" s="2" t="s">
        <v>0</v>
      </c>
      <c r="E463" s="2" t="s">
        <v>130</v>
      </c>
      <c r="F463" s="2" t="s">
        <v>1205</v>
      </c>
      <c r="G463" s="2" t="s">
        <v>1206</v>
      </c>
      <c r="H463" s="2" t="s">
        <v>142</v>
      </c>
      <c r="I463" s="2" t="s">
        <v>41</v>
      </c>
      <c r="J463" s="2">
        <v>32</v>
      </c>
      <c r="K463" s="2" t="s">
        <v>132</v>
      </c>
      <c r="L463" s="2" t="s">
        <v>40</v>
      </c>
      <c r="P463" s="2" t="s">
        <v>48</v>
      </c>
      <c r="Q463" s="2">
        <f>INDEX(Tables!$C$4:$C$28,MATCH($P463,Tables!$B$4:$B$28,0))</f>
        <v>32</v>
      </c>
      <c r="R463" s="2">
        <f>INDEX(Tables!$D$4:$D$28,MATCH($P463,Tables!$B$4:$B$28,0))</f>
        <v>4</v>
      </c>
      <c r="S463" s="2">
        <f>$S462+$R462+INDEX(Tables!$N$5:$Q$8,MATCH(MOD($S462+$R462,4),Tables!$M$5:$M$8,0),MATCH($R463,Tables!$N$4:$Q$4,0))</f>
        <v>1668</v>
      </c>
      <c r="T463" s="2" t="str">
        <f t="shared" si="123"/>
        <v>0684</v>
      </c>
      <c r="U463" s="2">
        <f t="shared" si="129"/>
        <v>417</v>
      </c>
      <c r="V463" s="2" t="str">
        <f t="shared" si="124"/>
        <v>1A1</v>
      </c>
      <c r="W463" s="2" t="str">
        <f t="shared" si="125"/>
        <v>X</v>
      </c>
      <c r="X463" s="2" t="str">
        <f t="shared" si="128"/>
        <v>X</v>
      </c>
      <c r="Y463" s="2" t="str">
        <f t="shared" si="126"/>
        <v>X</v>
      </c>
      <c r="Z463" s="2" t="str">
        <f t="shared" si="127"/>
        <v>X</v>
      </c>
      <c r="AA463" s="2" t="str">
        <f t="shared" si="130"/>
        <v>(31 downto 24)</v>
      </c>
      <c r="AB463" s="2" t="str">
        <f t="shared" si="131"/>
        <v>(23 downto 16)</v>
      </c>
      <c r="AC463" s="2" t="str">
        <f t="shared" si="132"/>
        <v>(15 downto 8)</v>
      </c>
      <c r="AD463" s="2" t="str">
        <f t="shared" si="133"/>
        <v>(7 downto 0)</v>
      </c>
      <c r="AE463" s="2" t="str">
        <f t="shared" si="134"/>
        <v>(31 downto 24)</v>
      </c>
      <c r="AF463" s="2" t="str">
        <f t="shared" si="135"/>
        <v>(23 downto 16)</v>
      </c>
      <c r="AG463" s="2" t="str">
        <f t="shared" si="136"/>
        <v>(15 downto 8)</v>
      </c>
      <c r="AH463" s="2" t="str">
        <f t="shared" si="137"/>
        <v>(7 downto 0)</v>
      </c>
    </row>
    <row r="464" spans="2:34" x14ac:dyDescent="0.25">
      <c r="B464" s="2" t="s">
        <v>1207</v>
      </c>
      <c r="C464" s="2" t="s">
        <v>141</v>
      </c>
      <c r="D464" s="2" t="s">
        <v>0</v>
      </c>
      <c r="E464" s="2" t="s">
        <v>130</v>
      </c>
      <c r="F464" s="2" t="s">
        <v>1208</v>
      </c>
      <c r="G464" s="2" t="s">
        <v>1209</v>
      </c>
      <c r="H464" s="2" t="s">
        <v>142</v>
      </c>
      <c r="I464" s="2" t="s">
        <v>41</v>
      </c>
      <c r="J464" s="2">
        <v>32</v>
      </c>
      <c r="K464" s="2" t="s">
        <v>132</v>
      </c>
      <c r="L464" s="2" t="s">
        <v>40</v>
      </c>
      <c r="P464" s="2" t="s">
        <v>48</v>
      </c>
      <c r="Q464" s="2">
        <f>INDEX(Tables!$C$4:$C$28,MATCH($P464,Tables!$B$4:$B$28,0))</f>
        <v>32</v>
      </c>
      <c r="R464" s="2">
        <f>INDEX(Tables!$D$4:$D$28,MATCH($P464,Tables!$B$4:$B$28,0))</f>
        <v>4</v>
      </c>
      <c r="S464" s="2">
        <f>$S463+$R463+INDEX(Tables!$N$5:$Q$8,MATCH(MOD($S463+$R463,4),Tables!$M$5:$M$8,0),MATCH($R464,Tables!$N$4:$Q$4,0))</f>
        <v>1672</v>
      </c>
      <c r="T464" s="2" t="str">
        <f t="shared" si="123"/>
        <v>0688</v>
      </c>
      <c r="U464" s="2">
        <f t="shared" si="129"/>
        <v>418</v>
      </c>
      <c r="V464" s="2" t="str">
        <f t="shared" si="124"/>
        <v>1A2</v>
      </c>
      <c r="W464" s="2" t="str">
        <f t="shared" si="125"/>
        <v>X</v>
      </c>
      <c r="X464" s="2" t="str">
        <f t="shared" si="128"/>
        <v>X</v>
      </c>
      <c r="Y464" s="2" t="str">
        <f t="shared" si="126"/>
        <v>X</v>
      </c>
      <c r="Z464" s="2" t="str">
        <f t="shared" si="127"/>
        <v>X</v>
      </c>
      <c r="AA464" s="2" t="str">
        <f t="shared" si="130"/>
        <v>(31 downto 24)</v>
      </c>
      <c r="AB464" s="2" t="str">
        <f t="shared" si="131"/>
        <v>(23 downto 16)</v>
      </c>
      <c r="AC464" s="2" t="str">
        <f t="shared" si="132"/>
        <v>(15 downto 8)</v>
      </c>
      <c r="AD464" s="2" t="str">
        <f t="shared" si="133"/>
        <v>(7 downto 0)</v>
      </c>
      <c r="AE464" s="2" t="str">
        <f t="shared" si="134"/>
        <v>(31 downto 24)</v>
      </c>
      <c r="AF464" s="2" t="str">
        <f t="shared" si="135"/>
        <v>(23 downto 16)</v>
      </c>
      <c r="AG464" s="2" t="str">
        <f t="shared" si="136"/>
        <v>(15 downto 8)</v>
      </c>
      <c r="AH464" s="2" t="str">
        <f t="shared" si="137"/>
        <v>(7 downto 0)</v>
      </c>
    </row>
    <row r="465" spans="2:34" x14ac:dyDescent="0.25">
      <c r="B465" s="2" t="s">
        <v>1210</v>
      </c>
      <c r="C465" s="2" t="s">
        <v>141</v>
      </c>
      <c r="D465" s="2" t="s">
        <v>0</v>
      </c>
      <c r="E465" s="2" t="s">
        <v>130</v>
      </c>
      <c r="F465" s="2" t="s">
        <v>1211</v>
      </c>
      <c r="G465" s="2" t="s">
        <v>1212</v>
      </c>
      <c r="H465" s="2" t="s">
        <v>142</v>
      </c>
      <c r="I465" s="2" t="s">
        <v>41</v>
      </c>
      <c r="J465" s="2">
        <v>32</v>
      </c>
      <c r="K465" s="2" t="s">
        <v>132</v>
      </c>
      <c r="L465" s="2" t="s">
        <v>40</v>
      </c>
      <c r="P465" s="2" t="s">
        <v>48</v>
      </c>
      <c r="Q465" s="2">
        <f>INDEX(Tables!$C$4:$C$28,MATCH($P465,Tables!$B$4:$B$28,0))</f>
        <v>32</v>
      </c>
      <c r="R465" s="2">
        <f>INDEX(Tables!$D$4:$D$28,MATCH($P465,Tables!$B$4:$B$28,0))</f>
        <v>4</v>
      </c>
      <c r="S465" s="2">
        <f>$S464+$R464+INDEX(Tables!$N$5:$Q$8,MATCH(MOD($S464+$R464,4),Tables!$M$5:$M$8,0),MATCH($R465,Tables!$N$4:$Q$4,0))</f>
        <v>1676</v>
      </c>
      <c r="T465" s="2" t="str">
        <f t="shared" si="123"/>
        <v>068C</v>
      </c>
      <c r="U465" s="2">
        <f t="shared" si="129"/>
        <v>419</v>
      </c>
      <c r="V465" s="2" t="str">
        <f t="shared" si="124"/>
        <v>1A3</v>
      </c>
      <c r="W465" s="2" t="str">
        <f t="shared" si="125"/>
        <v>X</v>
      </c>
      <c r="X465" s="2" t="str">
        <f t="shared" si="128"/>
        <v>X</v>
      </c>
      <c r="Y465" s="2" t="str">
        <f t="shared" si="126"/>
        <v>X</v>
      </c>
      <c r="Z465" s="2" t="str">
        <f t="shared" si="127"/>
        <v>X</v>
      </c>
      <c r="AA465" s="2" t="str">
        <f t="shared" si="130"/>
        <v>(31 downto 24)</v>
      </c>
      <c r="AB465" s="2" t="str">
        <f t="shared" si="131"/>
        <v>(23 downto 16)</v>
      </c>
      <c r="AC465" s="2" t="str">
        <f t="shared" si="132"/>
        <v>(15 downto 8)</v>
      </c>
      <c r="AD465" s="2" t="str">
        <f t="shared" si="133"/>
        <v>(7 downto 0)</v>
      </c>
      <c r="AE465" s="2" t="str">
        <f t="shared" si="134"/>
        <v>(31 downto 24)</v>
      </c>
      <c r="AF465" s="2" t="str">
        <f t="shared" si="135"/>
        <v>(23 downto 16)</v>
      </c>
      <c r="AG465" s="2" t="str">
        <f t="shared" si="136"/>
        <v>(15 downto 8)</v>
      </c>
      <c r="AH465" s="2" t="str">
        <f t="shared" si="137"/>
        <v>(7 downto 0)</v>
      </c>
    </row>
    <row r="466" spans="2:34" x14ac:dyDescent="0.25">
      <c r="B466" s="2" t="s">
        <v>1213</v>
      </c>
      <c r="C466" s="2" t="s">
        <v>141</v>
      </c>
      <c r="D466" s="2" t="s">
        <v>0</v>
      </c>
      <c r="E466" s="2" t="s">
        <v>130</v>
      </c>
      <c r="F466" s="2" t="s">
        <v>1214</v>
      </c>
      <c r="G466" s="2" t="s">
        <v>1215</v>
      </c>
      <c r="H466" s="2" t="s">
        <v>142</v>
      </c>
      <c r="I466" s="2" t="s">
        <v>41</v>
      </c>
      <c r="J466" s="2">
        <v>32</v>
      </c>
      <c r="K466" s="2" t="s">
        <v>132</v>
      </c>
      <c r="L466" s="2" t="s">
        <v>40</v>
      </c>
      <c r="P466" s="2" t="s">
        <v>48</v>
      </c>
      <c r="Q466" s="2">
        <f>INDEX(Tables!$C$4:$C$28,MATCH($P466,Tables!$B$4:$B$28,0))</f>
        <v>32</v>
      </c>
      <c r="R466" s="2">
        <f>INDEX(Tables!$D$4:$D$28,MATCH($P466,Tables!$B$4:$B$28,0))</f>
        <v>4</v>
      </c>
      <c r="S466" s="2">
        <f>$S465+$R465+INDEX(Tables!$N$5:$Q$8,MATCH(MOD($S465+$R465,4),Tables!$M$5:$M$8,0),MATCH($R466,Tables!$N$4:$Q$4,0))</f>
        <v>1680</v>
      </c>
      <c r="T466" s="2" t="str">
        <f t="shared" si="123"/>
        <v>0690</v>
      </c>
      <c r="U466" s="2">
        <f t="shared" si="129"/>
        <v>420</v>
      </c>
      <c r="V466" s="2" t="str">
        <f t="shared" si="124"/>
        <v>1A4</v>
      </c>
      <c r="W466" s="2" t="str">
        <f t="shared" si="125"/>
        <v>X</v>
      </c>
      <c r="X466" s="2" t="str">
        <f t="shared" si="128"/>
        <v>X</v>
      </c>
      <c r="Y466" s="2" t="str">
        <f t="shared" si="126"/>
        <v>X</v>
      </c>
      <c r="Z466" s="2" t="str">
        <f t="shared" si="127"/>
        <v>X</v>
      </c>
      <c r="AA466" s="2" t="str">
        <f t="shared" si="130"/>
        <v>(31 downto 24)</v>
      </c>
      <c r="AB466" s="2" t="str">
        <f t="shared" si="131"/>
        <v>(23 downto 16)</v>
      </c>
      <c r="AC466" s="2" t="str">
        <f t="shared" si="132"/>
        <v>(15 downto 8)</v>
      </c>
      <c r="AD466" s="2" t="str">
        <f t="shared" si="133"/>
        <v>(7 downto 0)</v>
      </c>
      <c r="AE466" s="2" t="str">
        <f t="shared" si="134"/>
        <v>(31 downto 24)</v>
      </c>
      <c r="AF466" s="2" t="str">
        <f t="shared" si="135"/>
        <v>(23 downto 16)</v>
      </c>
      <c r="AG466" s="2" t="str">
        <f t="shared" si="136"/>
        <v>(15 downto 8)</v>
      </c>
      <c r="AH466" s="2" t="str">
        <f t="shared" si="137"/>
        <v>(7 downto 0)</v>
      </c>
    </row>
    <row r="467" spans="2:34" x14ac:dyDescent="0.25">
      <c r="B467" s="2" t="s">
        <v>1216</v>
      </c>
      <c r="C467" s="2" t="s">
        <v>141</v>
      </c>
      <c r="D467" s="2" t="s">
        <v>0</v>
      </c>
      <c r="E467" s="2" t="s">
        <v>130</v>
      </c>
      <c r="F467" s="2" t="s">
        <v>1217</v>
      </c>
      <c r="G467" s="2" t="s">
        <v>1218</v>
      </c>
      <c r="H467" s="2" t="s">
        <v>142</v>
      </c>
      <c r="I467" s="2" t="s">
        <v>41</v>
      </c>
      <c r="J467" s="2">
        <v>32</v>
      </c>
      <c r="K467" s="2" t="s">
        <v>132</v>
      </c>
      <c r="L467" s="2" t="s">
        <v>40</v>
      </c>
      <c r="P467" s="2" t="s">
        <v>48</v>
      </c>
      <c r="Q467" s="2">
        <f>INDEX(Tables!$C$4:$C$28,MATCH($P467,Tables!$B$4:$B$28,0))</f>
        <v>32</v>
      </c>
      <c r="R467" s="2">
        <f>INDEX(Tables!$D$4:$D$28,MATCH($P467,Tables!$B$4:$B$28,0))</f>
        <v>4</v>
      </c>
      <c r="S467" s="2">
        <f>$S466+$R466+INDEX(Tables!$N$5:$Q$8,MATCH(MOD($S466+$R466,4),Tables!$M$5:$M$8,0),MATCH($R467,Tables!$N$4:$Q$4,0))</f>
        <v>1684</v>
      </c>
      <c r="T467" s="2" t="str">
        <f t="shared" si="123"/>
        <v>0694</v>
      </c>
      <c r="U467" s="2">
        <f t="shared" si="129"/>
        <v>421</v>
      </c>
      <c r="V467" s="2" t="str">
        <f t="shared" si="124"/>
        <v>1A5</v>
      </c>
      <c r="W467" s="2" t="str">
        <f t="shared" si="125"/>
        <v>X</v>
      </c>
      <c r="X467" s="2" t="str">
        <f t="shared" si="128"/>
        <v>X</v>
      </c>
      <c r="Y467" s="2" t="str">
        <f t="shared" si="126"/>
        <v>X</v>
      </c>
      <c r="Z467" s="2" t="str">
        <f t="shared" si="127"/>
        <v>X</v>
      </c>
      <c r="AA467" s="2" t="str">
        <f t="shared" si="130"/>
        <v>(31 downto 24)</v>
      </c>
      <c r="AB467" s="2" t="str">
        <f t="shared" si="131"/>
        <v>(23 downto 16)</v>
      </c>
      <c r="AC467" s="2" t="str">
        <f t="shared" si="132"/>
        <v>(15 downto 8)</v>
      </c>
      <c r="AD467" s="2" t="str">
        <f t="shared" si="133"/>
        <v>(7 downto 0)</v>
      </c>
      <c r="AE467" s="2" t="str">
        <f t="shared" si="134"/>
        <v>(31 downto 24)</v>
      </c>
      <c r="AF467" s="2" t="str">
        <f t="shared" si="135"/>
        <v>(23 downto 16)</v>
      </c>
      <c r="AG467" s="2" t="str">
        <f t="shared" si="136"/>
        <v>(15 downto 8)</v>
      </c>
      <c r="AH467" s="2" t="str">
        <f t="shared" si="137"/>
        <v>(7 downto 0)</v>
      </c>
    </row>
    <row r="468" spans="2:34" x14ac:dyDescent="0.25">
      <c r="B468" s="2" t="s">
        <v>1219</v>
      </c>
      <c r="C468" s="2" t="s">
        <v>141</v>
      </c>
      <c r="D468" s="2" t="s">
        <v>0</v>
      </c>
      <c r="E468" s="2" t="s">
        <v>130</v>
      </c>
      <c r="F468" s="2" t="s">
        <v>1220</v>
      </c>
      <c r="G468" s="2" t="s">
        <v>1221</v>
      </c>
      <c r="H468" s="2" t="s">
        <v>142</v>
      </c>
      <c r="I468" s="2" t="s">
        <v>41</v>
      </c>
      <c r="J468" s="2">
        <v>32</v>
      </c>
      <c r="K468" s="2" t="s">
        <v>132</v>
      </c>
      <c r="L468" s="2" t="s">
        <v>40</v>
      </c>
      <c r="P468" s="2" t="s">
        <v>48</v>
      </c>
      <c r="Q468" s="2">
        <f>INDEX(Tables!$C$4:$C$28,MATCH($P468,Tables!$B$4:$B$28,0))</f>
        <v>32</v>
      </c>
      <c r="R468" s="2">
        <f>INDEX(Tables!$D$4:$D$28,MATCH($P468,Tables!$B$4:$B$28,0))</f>
        <v>4</v>
      </c>
      <c r="S468" s="2">
        <f>$S467+$R467+INDEX(Tables!$N$5:$Q$8,MATCH(MOD($S467+$R467,4),Tables!$M$5:$M$8,0),MATCH($R468,Tables!$N$4:$Q$4,0))</f>
        <v>1688</v>
      </c>
      <c r="T468" s="2" t="str">
        <f t="shared" si="123"/>
        <v>0698</v>
      </c>
      <c r="U468" s="2">
        <f t="shared" si="129"/>
        <v>422</v>
      </c>
      <c r="V468" s="2" t="str">
        <f t="shared" si="124"/>
        <v>1A6</v>
      </c>
      <c r="W468" s="2" t="str">
        <f t="shared" si="125"/>
        <v>X</v>
      </c>
      <c r="X468" s="2" t="str">
        <f t="shared" si="128"/>
        <v>X</v>
      </c>
      <c r="Y468" s="2" t="str">
        <f t="shared" si="126"/>
        <v>X</v>
      </c>
      <c r="Z468" s="2" t="str">
        <f t="shared" si="127"/>
        <v>X</v>
      </c>
      <c r="AA468" s="2" t="str">
        <f t="shared" si="130"/>
        <v>(31 downto 24)</v>
      </c>
      <c r="AB468" s="2" t="str">
        <f t="shared" si="131"/>
        <v>(23 downto 16)</v>
      </c>
      <c r="AC468" s="2" t="str">
        <f t="shared" si="132"/>
        <v>(15 downto 8)</v>
      </c>
      <c r="AD468" s="2" t="str">
        <f t="shared" si="133"/>
        <v>(7 downto 0)</v>
      </c>
      <c r="AE468" s="2" t="str">
        <f t="shared" si="134"/>
        <v>(31 downto 24)</v>
      </c>
      <c r="AF468" s="2" t="str">
        <f t="shared" si="135"/>
        <v>(23 downto 16)</v>
      </c>
      <c r="AG468" s="2" t="str">
        <f t="shared" si="136"/>
        <v>(15 downto 8)</v>
      </c>
      <c r="AH468" s="2" t="str">
        <f t="shared" si="137"/>
        <v>(7 downto 0)</v>
      </c>
    </row>
    <row r="469" spans="2:34" x14ac:dyDescent="0.25">
      <c r="B469" s="2" t="s">
        <v>1222</v>
      </c>
      <c r="C469" s="2" t="s">
        <v>141</v>
      </c>
      <c r="D469" s="2" t="s">
        <v>0</v>
      </c>
      <c r="E469" s="2" t="s">
        <v>130</v>
      </c>
      <c r="F469" s="2" t="s">
        <v>1223</v>
      </c>
      <c r="G469" s="2" t="s">
        <v>1224</v>
      </c>
      <c r="H469" s="2" t="s">
        <v>142</v>
      </c>
      <c r="I469" s="2" t="s">
        <v>41</v>
      </c>
      <c r="J469" s="2">
        <v>32</v>
      </c>
      <c r="K469" s="2" t="s">
        <v>132</v>
      </c>
      <c r="L469" s="2" t="s">
        <v>40</v>
      </c>
      <c r="P469" s="2" t="s">
        <v>48</v>
      </c>
      <c r="Q469" s="2">
        <f>INDEX(Tables!$C$4:$C$28,MATCH($P469,Tables!$B$4:$B$28,0))</f>
        <v>32</v>
      </c>
      <c r="R469" s="2">
        <f>INDEX(Tables!$D$4:$D$28,MATCH($P469,Tables!$B$4:$B$28,0))</f>
        <v>4</v>
      </c>
      <c r="S469" s="2">
        <f>$S468+$R468+INDEX(Tables!$N$5:$Q$8,MATCH(MOD($S468+$R468,4),Tables!$M$5:$M$8,0),MATCH($R469,Tables!$N$4:$Q$4,0))</f>
        <v>1692</v>
      </c>
      <c r="T469" s="2" t="str">
        <f t="shared" si="123"/>
        <v>069C</v>
      </c>
      <c r="U469" s="2">
        <f t="shared" si="129"/>
        <v>423</v>
      </c>
      <c r="V469" s="2" t="str">
        <f t="shared" si="124"/>
        <v>1A7</v>
      </c>
      <c r="W469" s="2" t="str">
        <f t="shared" si="125"/>
        <v>X</v>
      </c>
      <c r="X469" s="2" t="str">
        <f t="shared" si="128"/>
        <v>X</v>
      </c>
      <c r="Y469" s="2" t="str">
        <f t="shared" si="126"/>
        <v>X</v>
      </c>
      <c r="Z469" s="2" t="str">
        <f t="shared" si="127"/>
        <v>X</v>
      </c>
      <c r="AA469" s="2" t="str">
        <f t="shared" si="130"/>
        <v>(31 downto 24)</v>
      </c>
      <c r="AB469" s="2" t="str">
        <f t="shared" si="131"/>
        <v>(23 downto 16)</v>
      </c>
      <c r="AC469" s="2" t="str">
        <f t="shared" si="132"/>
        <v>(15 downto 8)</v>
      </c>
      <c r="AD469" s="2" t="str">
        <f t="shared" si="133"/>
        <v>(7 downto 0)</v>
      </c>
      <c r="AE469" s="2" t="str">
        <f t="shared" si="134"/>
        <v>(31 downto 24)</v>
      </c>
      <c r="AF469" s="2" t="str">
        <f t="shared" si="135"/>
        <v>(23 downto 16)</v>
      </c>
      <c r="AG469" s="2" t="str">
        <f t="shared" si="136"/>
        <v>(15 downto 8)</v>
      </c>
      <c r="AH469" s="2" t="str">
        <f t="shared" si="137"/>
        <v>(7 downto 0)</v>
      </c>
    </row>
    <row r="470" spans="2:34" x14ac:dyDescent="0.25">
      <c r="B470" s="2" t="s">
        <v>1225</v>
      </c>
      <c r="C470" s="2" t="s">
        <v>141</v>
      </c>
      <c r="D470" s="2" t="s">
        <v>0</v>
      </c>
      <c r="E470" s="2" t="s">
        <v>130</v>
      </c>
      <c r="F470" s="2" t="s">
        <v>1226</v>
      </c>
      <c r="G470" s="2" t="s">
        <v>1227</v>
      </c>
      <c r="H470" s="2" t="s">
        <v>142</v>
      </c>
      <c r="I470" s="2" t="s">
        <v>41</v>
      </c>
      <c r="J470" s="2">
        <v>32</v>
      </c>
      <c r="K470" s="2" t="s">
        <v>132</v>
      </c>
      <c r="L470" s="2" t="s">
        <v>40</v>
      </c>
      <c r="P470" s="2" t="s">
        <v>48</v>
      </c>
      <c r="Q470" s="2">
        <f>INDEX(Tables!$C$4:$C$28,MATCH($P470,Tables!$B$4:$B$28,0))</f>
        <v>32</v>
      </c>
      <c r="R470" s="2">
        <f>INDEX(Tables!$D$4:$D$28,MATCH($P470,Tables!$B$4:$B$28,0))</f>
        <v>4</v>
      </c>
      <c r="S470" s="2">
        <f>$S469+$R469+INDEX(Tables!$N$5:$Q$8,MATCH(MOD($S469+$R469,4),Tables!$M$5:$M$8,0),MATCH($R470,Tables!$N$4:$Q$4,0))</f>
        <v>1696</v>
      </c>
      <c r="T470" s="2" t="str">
        <f t="shared" si="123"/>
        <v>06A0</v>
      </c>
      <c r="U470" s="2">
        <f t="shared" si="129"/>
        <v>424</v>
      </c>
      <c r="V470" s="2" t="str">
        <f t="shared" si="124"/>
        <v>1A8</v>
      </c>
      <c r="W470" s="2" t="str">
        <f t="shared" si="125"/>
        <v>X</v>
      </c>
      <c r="X470" s="2" t="str">
        <f t="shared" si="128"/>
        <v>X</v>
      </c>
      <c r="Y470" s="2" t="str">
        <f t="shared" si="126"/>
        <v>X</v>
      </c>
      <c r="Z470" s="2" t="str">
        <f t="shared" si="127"/>
        <v>X</v>
      </c>
      <c r="AA470" s="2" t="str">
        <f t="shared" si="130"/>
        <v>(31 downto 24)</v>
      </c>
      <c r="AB470" s="2" t="str">
        <f t="shared" si="131"/>
        <v>(23 downto 16)</v>
      </c>
      <c r="AC470" s="2" t="str">
        <f t="shared" si="132"/>
        <v>(15 downto 8)</v>
      </c>
      <c r="AD470" s="2" t="str">
        <f t="shared" si="133"/>
        <v>(7 downto 0)</v>
      </c>
      <c r="AE470" s="2" t="str">
        <f t="shared" si="134"/>
        <v>(31 downto 24)</v>
      </c>
      <c r="AF470" s="2" t="str">
        <f t="shared" si="135"/>
        <v>(23 downto 16)</v>
      </c>
      <c r="AG470" s="2" t="str">
        <f t="shared" si="136"/>
        <v>(15 downto 8)</v>
      </c>
      <c r="AH470" s="2" t="str">
        <f t="shared" si="137"/>
        <v>(7 downto 0)</v>
      </c>
    </row>
    <row r="471" spans="2:34" x14ac:dyDescent="0.25">
      <c r="B471" s="2" t="s">
        <v>1228</v>
      </c>
      <c r="C471" s="2" t="s">
        <v>141</v>
      </c>
      <c r="D471" s="2" t="s">
        <v>0</v>
      </c>
      <c r="E471" s="2" t="s">
        <v>130</v>
      </c>
      <c r="F471" s="2" t="s">
        <v>1229</v>
      </c>
      <c r="G471" s="2" t="s">
        <v>1230</v>
      </c>
      <c r="H471" s="2" t="s">
        <v>142</v>
      </c>
      <c r="I471" s="2" t="s">
        <v>41</v>
      </c>
      <c r="J471" s="2">
        <v>32</v>
      </c>
      <c r="K471" s="2" t="s">
        <v>132</v>
      </c>
      <c r="L471" s="2" t="s">
        <v>40</v>
      </c>
      <c r="P471" s="2" t="s">
        <v>48</v>
      </c>
      <c r="Q471" s="2">
        <f>INDEX(Tables!$C$4:$C$28,MATCH($P471,Tables!$B$4:$B$28,0))</f>
        <v>32</v>
      </c>
      <c r="R471" s="2">
        <f>INDEX(Tables!$D$4:$D$28,MATCH($P471,Tables!$B$4:$B$28,0))</f>
        <v>4</v>
      </c>
      <c r="S471" s="2">
        <f>$S470+$R470+INDEX(Tables!$N$5:$Q$8,MATCH(MOD($S470+$R470,4),Tables!$M$5:$M$8,0),MATCH($R471,Tables!$N$4:$Q$4,0))</f>
        <v>1700</v>
      </c>
      <c r="T471" s="2" t="str">
        <f t="shared" si="123"/>
        <v>06A4</v>
      </c>
      <c r="U471" s="2">
        <f t="shared" si="129"/>
        <v>425</v>
      </c>
      <c r="V471" s="2" t="str">
        <f t="shared" si="124"/>
        <v>1A9</v>
      </c>
      <c r="W471" s="2" t="str">
        <f t="shared" si="125"/>
        <v>X</v>
      </c>
      <c r="X471" s="2" t="str">
        <f t="shared" si="128"/>
        <v>X</v>
      </c>
      <c r="Y471" s="2" t="str">
        <f t="shared" si="126"/>
        <v>X</v>
      </c>
      <c r="Z471" s="2" t="str">
        <f t="shared" si="127"/>
        <v>X</v>
      </c>
      <c r="AA471" s="2" t="str">
        <f t="shared" si="130"/>
        <v>(31 downto 24)</v>
      </c>
      <c r="AB471" s="2" t="str">
        <f t="shared" si="131"/>
        <v>(23 downto 16)</v>
      </c>
      <c r="AC471" s="2" t="str">
        <f t="shared" si="132"/>
        <v>(15 downto 8)</v>
      </c>
      <c r="AD471" s="2" t="str">
        <f t="shared" si="133"/>
        <v>(7 downto 0)</v>
      </c>
      <c r="AE471" s="2" t="str">
        <f t="shared" si="134"/>
        <v>(31 downto 24)</v>
      </c>
      <c r="AF471" s="2" t="str">
        <f t="shared" si="135"/>
        <v>(23 downto 16)</v>
      </c>
      <c r="AG471" s="2" t="str">
        <f t="shared" si="136"/>
        <v>(15 downto 8)</v>
      </c>
      <c r="AH471" s="2" t="str">
        <f t="shared" si="137"/>
        <v>(7 downto 0)</v>
      </c>
    </row>
    <row r="472" spans="2:34" x14ac:dyDescent="0.25">
      <c r="B472" s="2" t="s">
        <v>1231</v>
      </c>
      <c r="C472" s="2" t="s">
        <v>141</v>
      </c>
      <c r="D472" s="2" t="s">
        <v>0</v>
      </c>
      <c r="E472" s="2" t="s">
        <v>130</v>
      </c>
      <c r="F472" s="2" t="s">
        <v>1232</v>
      </c>
      <c r="G472" s="2" t="s">
        <v>1233</v>
      </c>
      <c r="H472" s="2" t="s">
        <v>142</v>
      </c>
      <c r="I472" s="2" t="s">
        <v>41</v>
      </c>
      <c r="J472" s="2">
        <v>32</v>
      </c>
      <c r="K472" s="2" t="s">
        <v>132</v>
      </c>
      <c r="L472" s="2" t="s">
        <v>40</v>
      </c>
      <c r="P472" s="2" t="s">
        <v>48</v>
      </c>
      <c r="Q472" s="2">
        <f>INDEX(Tables!$C$4:$C$28,MATCH($P472,Tables!$B$4:$B$28,0))</f>
        <v>32</v>
      </c>
      <c r="R472" s="2">
        <f>INDEX(Tables!$D$4:$D$28,MATCH($P472,Tables!$B$4:$B$28,0))</f>
        <v>4</v>
      </c>
      <c r="S472" s="2">
        <f>$S471+$R471+INDEX(Tables!$N$5:$Q$8,MATCH(MOD($S471+$R471,4),Tables!$M$5:$M$8,0),MATCH($R472,Tables!$N$4:$Q$4,0))</f>
        <v>1704</v>
      </c>
      <c r="T472" s="2" t="str">
        <f t="shared" si="123"/>
        <v>06A8</v>
      </c>
      <c r="U472" s="2">
        <f t="shared" si="129"/>
        <v>426</v>
      </c>
      <c r="V472" s="2" t="str">
        <f t="shared" si="124"/>
        <v>1AA</v>
      </c>
      <c r="W472" s="2" t="str">
        <f t="shared" si="125"/>
        <v>X</v>
      </c>
      <c r="X472" s="2" t="str">
        <f t="shared" si="128"/>
        <v>X</v>
      </c>
      <c r="Y472" s="2" t="str">
        <f t="shared" si="126"/>
        <v>X</v>
      </c>
      <c r="Z472" s="2" t="str">
        <f t="shared" si="127"/>
        <v>X</v>
      </c>
      <c r="AA472" s="2" t="str">
        <f t="shared" si="130"/>
        <v>(31 downto 24)</v>
      </c>
      <c r="AB472" s="2" t="str">
        <f t="shared" si="131"/>
        <v>(23 downto 16)</v>
      </c>
      <c r="AC472" s="2" t="str">
        <f t="shared" si="132"/>
        <v>(15 downto 8)</v>
      </c>
      <c r="AD472" s="2" t="str">
        <f t="shared" si="133"/>
        <v>(7 downto 0)</v>
      </c>
      <c r="AE472" s="2" t="str">
        <f t="shared" si="134"/>
        <v>(31 downto 24)</v>
      </c>
      <c r="AF472" s="2" t="str">
        <f t="shared" si="135"/>
        <v>(23 downto 16)</v>
      </c>
      <c r="AG472" s="2" t="str">
        <f t="shared" si="136"/>
        <v>(15 downto 8)</v>
      </c>
      <c r="AH472" s="2" t="str">
        <f t="shared" si="137"/>
        <v>(7 downto 0)</v>
      </c>
    </row>
    <row r="473" spans="2:34" x14ac:dyDescent="0.25">
      <c r="B473" s="2" t="s">
        <v>1234</v>
      </c>
      <c r="C473" s="2" t="s">
        <v>141</v>
      </c>
      <c r="D473" s="2" t="s">
        <v>0</v>
      </c>
      <c r="E473" s="2" t="s">
        <v>130</v>
      </c>
      <c r="F473" s="2" t="s">
        <v>1235</v>
      </c>
      <c r="G473" s="2" t="s">
        <v>1236</v>
      </c>
      <c r="H473" s="2" t="s">
        <v>142</v>
      </c>
      <c r="I473" s="2" t="s">
        <v>41</v>
      </c>
      <c r="J473" s="2">
        <v>32</v>
      </c>
      <c r="K473" s="2" t="s">
        <v>132</v>
      </c>
      <c r="L473" s="2" t="s">
        <v>40</v>
      </c>
      <c r="P473" s="2" t="s">
        <v>48</v>
      </c>
      <c r="Q473" s="2">
        <f>INDEX(Tables!$C$4:$C$28,MATCH($P473,Tables!$B$4:$B$28,0))</f>
        <v>32</v>
      </c>
      <c r="R473" s="2">
        <f>INDEX(Tables!$D$4:$D$28,MATCH($P473,Tables!$B$4:$B$28,0))</f>
        <v>4</v>
      </c>
      <c r="S473" s="2">
        <f>$S472+$R472+INDEX(Tables!$N$5:$Q$8,MATCH(MOD($S472+$R472,4),Tables!$M$5:$M$8,0),MATCH($R473,Tables!$N$4:$Q$4,0))</f>
        <v>1708</v>
      </c>
      <c r="T473" s="2" t="str">
        <f t="shared" si="123"/>
        <v>06AC</v>
      </c>
      <c r="U473" s="2">
        <f t="shared" si="129"/>
        <v>427</v>
      </c>
      <c r="V473" s="2" t="str">
        <f t="shared" si="124"/>
        <v>1AB</v>
      </c>
      <c r="W473" s="2" t="str">
        <f t="shared" si="125"/>
        <v>X</v>
      </c>
      <c r="X473" s="2" t="str">
        <f t="shared" si="128"/>
        <v>X</v>
      </c>
      <c r="Y473" s="2" t="str">
        <f t="shared" si="126"/>
        <v>X</v>
      </c>
      <c r="Z473" s="2" t="str">
        <f t="shared" si="127"/>
        <v>X</v>
      </c>
      <c r="AA473" s="2" t="str">
        <f t="shared" si="130"/>
        <v>(31 downto 24)</v>
      </c>
      <c r="AB473" s="2" t="str">
        <f t="shared" si="131"/>
        <v>(23 downto 16)</v>
      </c>
      <c r="AC473" s="2" t="str">
        <f t="shared" si="132"/>
        <v>(15 downto 8)</v>
      </c>
      <c r="AD473" s="2" t="str">
        <f t="shared" si="133"/>
        <v>(7 downto 0)</v>
      </c>
      <c r="AE473" s="2" t="str">
        <f t="shared" si="134"/>
        <v>(31 downto 24)</v>
      </c>
      <c r="AF473" s="2" t="str">
        <f t="shared" si="135"/>
        <v>(23 downto 16)</v>
      </c>
      <c r="AG473" s="2" t="str">
        <f t="shared" si="136"/>
        <v>(15 downto 8)</v>
      </c>
      <c r="AH473" s="2" t="str">
        <f t="shared" si="137"/>
        <v>(7 downto 0)</v>
      </c>
    </row>
    <row r="474" spans="2:34" x14ac:dyDescent="0.25">
      <c r="B474" s="2" t="s">
        <v>1237</v>
      </c>
      <c r="C474" s="2" t="s">
        <v>141</v>
      </c>
      <c r="D474" s="2" t="s">
        <v>0</v>
      </c>
      <c r="E474" s="2" t="s">
        <v>130</v>
      </c>
      <c r="F474" s="2" t="s">
        <v>1238</v>
      </c>
      <c r="G474" s="2" t="s">
        <v>1239</v>
      </c>
      <c r="H474" s="2" t="s">
        <v>142</v>
      </c>
      <c r="I474" s="2" t="s">
        <v>41</v>
      </c>
      <c r="J474" s="2">
        <v>32</v>
      </c>
      <c r="K474" s="2" t="s">
        <v>132</v>
      </c>
      <c r="L474" s="2" t="s">
        <v>40</v>
      </c>
      <c r="P474" s="2" t="s">
        <v>48</v>
      </c>
      <c r="Q474" s="2">
        <f>INDEX(Tables!$C$4:$C$28,MATCH($P474,Tables!$B$4:$B$28,0))</f>
        <v>32</v>
      </c>
      <c r="R474" s="2">
        <f>INDEX(Tables!$D$4:$D$28,MATCH($P474,Tables!$B$4:$B$28,0))</f>
        <v>4</v>
      </c>
      <c r="S474" s="2">
        <f>$S473+$R473+INDEX(Tables!$N$5:$Q$8,MATCH(MOD($S473+$R473,4),Tables!$M$5:$M$8,0),MATCH($R474,Tables!$N$4:$Q$4,0))</f>
        <v>1712</v>
      </c>
      <c r="T474" s="2" t="str">
        <f t="shared" si="123"/>
        <v>06B0</v>
      </c>
      <c r="U474" s="2">
        <f t="shared" si="129"/>
        <v>428</v>
      </c>
      <c r="V474" s="2" t="str">
        <f t="shared" si="124"/>
        <v>1AC</v>
      </c>
      <c r="W474" s="2" t="str">
        <f t="shared" si="125"/>
        <v>X</v>
      </c>
      <c r="X474" s="2" t="str">
        <f t="shared" si="128"/>
        <v>X</v>
      </c>
      <c r="Y474" s="2" t="str">
        <f t="shared" si="126"/>
        <v>X</v>
      </c>
      <c r="Z474" s="2" t="str">
        <f t="shared" si="127"/>
        <v>X</v>
      </c>
      <c r="AA474" s="2" t="str">
        <f t="shared" si="130"/>
        <v>(31 downto 24)</v>
      </c>
      <c r="AB474" s="2" t="str">
        <f t="shared" si="131"/>
        <v>(23 downto 16)</v>
      </c>
      <c r="AC474" s="2" t="str">
        <f t="shared" si="132"/>
        <v>(15 downto 8)</v>
      </c>
      <c r="AD474" s="2" t="str">
        <f t="shared" si="133"/>
        <v>(7 downto 0)</v>
      </c>
      <c r="AE474" s="2" t="str">
        <f t="shared" si="134"/>
        <v>(31 downto 24)</v>
      </c>
      <c r="AF474" s="2" t="str">
        <f t="shared" si="135"/>
        <v>(23 downto 16)</v>
      </c>
      <c r="AG474" s="2" t="str">
        <f t="shared" si="136"/>
        <v>(15 downto 8)</v>
      </c>
      <c r="AH474" s="2" t="str">
        <f t="shared" si="137"/>
        <v>(7 downto 0)</v>
      </c>
    </row>
    <row r="475" spans="2:34" x14ac:dyDescent="0.25">
      <c r="B475" s="2" t="s">
        <v>1240</v>
      </c>
      <c r="C475" s="2" t="s">
        <v>141</v>
      </c>
      <c r="D475" s="2" t="s">
        <v>0</v>
      </c>
      <c r="E475" s="2" t="s">
        <v>130</v>
      </c>
      <c r="F475" s="2" t="s">
        <v>1241</v>
      </c>
      <c r="G475" s="2" t="s">
        <v>1242</v>
      </c>
      <c r="H475" s="2" t="s">
        <v>142</v>
      </c>
      <c r="I475" s="2" t="s">
        <v>41</v>
      </c>
      <c r="J475" s="2">
        <v>32</v>
      </c>
      <c r="K475" s="2" t="s">
        <v>132</v>
      </c>
      <c r="L475" s="2" t="s">
        <v>40</v>
      </c>
      <c r="P475" s="2" t="s">
        <v>48</v>
      </c>
      <c r="Q475" s="2">
        <f>INDEX(Tables!$C$4:$C$28,MATCH($P475,Tables!$B$4:$B$28,0))</f>
        <v>32</v>
      </c>
      <c r="R475" s="2">
        <f>INDEX(Tables!$D$4:$D$28,MATCH($P475,Tables!$B$4:$B$28,0))</f>
        <v>4</v>
      </c>
      <c r="S475" s="2">
        <f>$S474+$R474+INDEX(Tables!$N$5:$Q$8,MATCH(MOD($S474+$R474,4),Tables!$M$5:$M$8,0),MATCH($R475,Tables!$N$4:$Q$4,0))</f>
        <v>1716</v>
      </c>
      <c r="T475" s="2" t="str">
        <f t="shared" si="123"/>
        <v>06B4</v>
      </c>
      <c r="U475" s="2">
        <f t="shared" si="129"/>
        <v>429</v>
      </c>
      <c r="V475" s="2" t="str">
        <f t="shared" si="124"/>
        <v>1AD</v>
      </c>
      <c r="W475" s="2" t="str">
        <f t="shared" si="125"/>
        <v>X</v>
      </c>
      <c r="X475" s="2" t="str">
        <f t="shared" si="128"/>
        <v>X</v>
      </c>
      <c r="Y475" s="2" t="str">
        <f t="shared" si="126"/>
        <v>X</v>
      </c>
      <c r="Z475" s="2" t="str">
        <f t="shared" si="127"/>
        <v>X</v>
      </c>
      <c r="AA475" s="2" t="str">
        <f t="shared" si="130"/>
        <v>(31 downto 24)</v>
      </c>
      <c r="AB475" s="2" t="str">
        <f t="shared" si="131"/>
        <v>(23 downto 16)</v>
      </c>
      <c r="AC475" s="2" t="str">
        <f t="shared" si="132"/>
        <v>(15 downto 8)</v>
      </c>
      <c r="AD475" s="2" t="str">
        <f t="shared" si="133"/>
        <v>(7 downto 0)</v>
      </c>
      <c r="AE475" s="2" t="str">
        <f t="shared" si="134"/>
        <v>(31 downto 24)</v>
      </c>
      <c r="AF475" s="2" t="str">
        <f t="shared" si="135"/>
        <v>(23 downto 16)</v>
      </c>
      <c r="AG475" s="2" t="str">
        <f t="shared" si="136"/>
        <v>(15 downto 8)</v>
      </c>
      <c r="AH475" s="2" t="str">
        <f t="shared" si="137"/>
        <v>(7 downto 0)</v>
      </c>
    </row>
    <row r="476" spans="2:34" x14ac:dyDescent="0.25">
      <c r="B476" s="2" t="s">
        <v>1243</v>
      </c>
      <c r="C476" s="2" t="s">
        <v>141</v>
      </c>
      <c r="D476" s="2" t="s">
        <v>0</v>
      </c>
      <c r="E476" s="2" t="s">
        <v>130</v>
      </c>
      <c r="F476" s="2" t="s">
        <v>1244</v>
      </c>
      <c r="G476" s="2" t="s">
        <v>1245</v>
      </c>
      <c r="H476" s="2" t="s">
        <v>142</v>
      </c>
      <c r="I476" s="2" t="s">
        <v>41</v>
      </c>
      <c r="J476" s="2">
        <v>32</v>
      </c>
      <c r="K476" s="2" t="s">
        <v>132</v>
      </c>
      <c r="L476" s="2" t="s">
        <v>40</v>
      </c>
      <c r="P476" s="2" t="s">
        <v>48</v>
      </c>
      <c r="Q476" s="2">
        <f>INDEX(Tables!$C$4:$C$28,MATCH($P476,Tables!$B$4:$B$28,0))</f>
        <v>32</v>
      </c>
      <c r="R476" s="2">
        <f>INDEX(Tables!$D$4:$D$28,MATCH($P476,Tables!$B$4:$B$28,0))</f>
        <v>4</v>
      </c>
      <c r="S476" s="2">
        <f>$S475+$R475+INDEX(Tables!$N$5:$Q$8,MATCH(MOD($S475+$R475,4),Tables!$M$5:$M$8,0),MATCH($R476,Tables!$N$4:$Q$4,0))</f>
        <v>1720</v>
      </c>
      <c r="T476" s="2" t="str">
        <f t="shared" si="123"/>
        <v>06B8</v>
      </c>
      <c r="U476" s="2">
        <f t="shared" si="129"/>
        <v>430</v>
      </c>
      <c r="V476" s="2" t="str">
        <f t="shared" si="124"/>
        <v>1AE</v>
      </c>
      <c r="W476" s="2" t="str">
        <f t="shared" si="125"/>
        <v>X</v>
      </c>
      <c r="X476" s="2" t="str">
        <f t="shared" si="128"/>
        <v>X</v>
      </c>
      <c r="Y476" s="2" t="str">
        <f t="shared" si="126"/>
        <v>X</v>
      </c>
      <c r="Z476" s="2" t="str">
        <f t="shared" si="127"/>
        <v>X</v>
      </c>
      <c r="AA476" s="2" t="str">
        <f t="shared" si="130"/>
        <v>(31 downto 24)</v>
      </c>
      <c r="AB476" s="2" t="str">
        <f t="shared" si="131"/>
        <v>(23 downto 16)</v>
      </c>
      <c r="AC476" s="2" t="str">
        <f t="shared" si="132"/>
        <v>(15 downto 8)</v>
      </c>
      <c r="AD476" s="2" t="str">
        <f t="shared" si="133"/>
        <v>(7 downto 0)</v>
      </c>
      <c r="AE476" s="2" t="str">
        <f t="shared" si="134"/>
        <v>(31 downto 24)</v>
      </c>
      <c r="AF476" s="2" t="str">
        <f t="shared" si="135"/>
        <v>(23 downto 16)</v>
      </c>
      <c r="AG476" s="2" t="str">
        <f t="shared" si="136"/>
        <v>(15 downto 8)</v>
      </c>
      <c r="AH476" s="2" t="str">
        <f t="shared" si="137"/>
        <v>(7 downto 0)</v>
      </c>
    </row>
    <row r="477" spans="2:34" x14ac:dyDescent="0.25">
      <c r="B477" s="2" t="s">
        <v>1246</v>
      </c>
      <c r="C477" s="2" t="s">
        <v>141</v>
      </c>
      <c r="D477" s="2" t="s">
        <v>0</v>
      </c>
      <c r="E477" s="2" t="s">
        <v>130</v>
      </c>
      <c r="F477" s="2" t="s">
        <v>1247</v>
      </c>
      <c r="G477" s="2" t="s">
        <v>1248</v>
      </c>
      <c r="H477" s="2" t="s">
        <v>142</v>
      </c>
      <c r="I477" s="2" t="s">
        <v>41</v>
      </c>
      <c r="J477" s="2">
        <v>32</v>
      </c>
      <c r="K477" s="2" t="s">
        <v>132</v>
      </c>
      <c r="L477" s="2" t="s">
        <v>40</v>
      </c>
      <c r="P477" s="2" t="s">
        <v>48</v>
      </c>
      <c r="Q477" s="2">
        <f>INDEX(Tables!$C$4:$C$28,MATCH($P477,Tables!$B$4:$B$28,0))</f>
        <v>32</v>
      </c>
      <c r="R477" s="2">
        <f>INDEX(Tables!$D$4:$D$28,MATCH($P477,Tables!$B$4:$B$28,0))</f>
        <v>4</v>
      </c>
      <c r="S477" s="2">
        <f>$S476+$R476+INDEX(Tables!$N$5:$Q$8,MATCH(MOD($S476+$R476,4),Tables!$M$5:$M$8,0),MATCH($R477,Tables!$N$4:$Q$4,0))</f>
        <v>1724</v>
      </c>
      <c r="T477" s="2" t="str">
        <f t="shared" si="123"/>
        <v>06BC</v>
      </c>
      <c r="U477" s="2">
        <f t="shared" si="129"/>
        <v>431</v>
      </c>
      <c r="V477" s="2" t="str">
        <f t="shared" si="124"/>
        <v>1AF</v>
      </c>
      <c r="W477" s="2" t="str">
        <f t="shared" si="125"/>
        <v>X</v>
      </c>
      <c r="X477" s="2" t="str">
        <f t="shared" si="128"/>
        <v>X</v>
      </c>
      <c r="Y477" s="2" t="str">
        <f t="shared" si="126"/>
        <v>X</v>
      </c>
      <c r="Z477" s="2" t="str">
        <f t="shared" si="127"/>
        <v>X</v>
      </c>
      <c r="AA477" s="2" t="str">
        <f t="shared" si="130"/>
        <v>(31 downto 24)</v>
      </c>
      <c r="AB477" s="2" t="str">
        <f t="shared" si="131"/>
        <v>(23 downto 16)</v>
      </c>
      <c r="AC477" s="2" t="str">
        <f t="shared" si="132"/>
        <v>(15 downto 8)</v>
      </c>
      <c r="AD477" s="2" t="str">
        <f t="shared" si="133"/>
        <v>(7 downto 0)</v>
      </c>
      <c r="AE477" s="2" t="str">
        <f t="shared" si="134"/>
        <v>(31 downto 24)</v>
      </c>
      <c r="AF477" s="2" t="str">
        <f t="shared" si="135"/>
        <v>(23 downto 16)</v>
      </c>
      <c r="AG477" s="2" t="str">
        <f t="shared" si="136"/>
        <v>(15 downto 8)</v>
      </c>
      <c r="AH477" s="2" t="str">
        <f t="shared" si="137"/>
        <v>(7 downto 0)</v>
      </c>
    </row>
    <row r="478" spans="2:34" x14ac:dyDescent="0.25">
      <c r="B478" s="2" t="s">
        <v>1249</v>
      </c>
      <c r="C478" s="2" t="s">
        <v>141</v>
      </c>
      <c r="D478" s="2" t="s">
        <v>0</v>
      </c>
      <c r="E478" s="2" t="s">
        <v>130</v>
      </c>
      <c r="F478" s="2" t="s">
        <v>1250</v>
      </c>
      <c r="G478" s="2" t="s">
        <v>1251</v>
      </c>
      <c r="H478" s="2" t="s">
        <v>142</v>
      </c>
      <c r="I478" s="2" t="s">
        <v>41</v>
      </c>
      <c r="J478" s="2">
        <v>32</v>
      </c>
      <c r="K478" s="2" t="s">
        <v>132</v>
      </c>
      <c r="L478" s="2" t="s">
        <v>40</v>
      </c>
      <c r="P478" s="2" t="s">
        <v>48</v>
      </c>
      <c r="Q478" s="2">
        <f>INDEX(Tables!$C$4:$C$28,MATCH($P478,Tables!$B$4:$B$28,0))</f>
        <v>32</v>
      </c>
      <c r="R478" s="2">
        <f>INDEX(Tables!$D$4:$D$28,MATCH($P478,Tables!$B$4:$B$28,0))</f>
        <v>4</v>
      </c>
      <c r="S478" s="2">
        <f>$S477+$R477+INDEX(Tables!$N$5:$Q$8,MATCH(MOD($S477+$R477,4),Tables!$M$5:$M$8,0),MATCH($R478,Tables!$N$4:$Q$4,0))</f>
        <v>1728</v>
      </c>
      <c r="T478" s="2" t="str">
        <f t="shared" si="123"/>
        <v>06C0</v>
      </c>
      <c r="U478" s="2">
        <f t="shared" si="129"/>
        <v>432</v>
      </c>
      <c r="V478" s="2" t="str">
        <f t="shared" si="124"/>
        <v>1B0</v>
      </c>
      <c r="W478" s="2" t="str">
        <f t="shared" si="125"/>
        <v>X</v>
      </c>
      <c r="X478" s="2" t="str">
        <f t="shared" si="128"/>
        <v>X</v>
      </c>
      <c r="Y478" s="2" t="str">
        <f t="shared" si="126"/>
        <v>X</v>
      </c>
      <c r="Z478" s="2" t="str">
        <f t="shared" si="127"/>
        <v>X</v>
      </c>
      <c r="AA478" s="2" t="str">
        <f t="shared" si="130"/>
        <v>(31 downto 24)</v>
      </c>
      <c r="AB478" s="2" t="str">
        <f t="shared" si="131"/>
        <v>(23 downto 16)</v>
      </c>
      <c r="AC478" s="2" t="str">
        <f t="shared" si="132"/>
        <v>(15 downto 8)</v>
      </c>
      <c r="AD478" s="2" t="str">
        <f t="shared" si="133"/>
        <v>(7 downto 0)</v>
      </c>
      <c r="AE478" s="2" t="str">
        <f t="shared" si="134"/>
        <v>(31 downto 24)</v>
      </c>
      <c r="AF478" s="2" t="str">
        <f t="shared" si="135"/>
        <v>(23 downto 16)</v>
      </c>
      <c r="AG478" s="2" t="str">
        <f t="shared" si="136"/>
        <v>(15 downto 8)</v>
      </c>
      <c r="AH478" s="2" t="str">
        <f t="shared" si="137"/>
        <v>(7 downto 0)</v>
      </c>
    </row>
    <row r="479" spans="2:34" x14ac:dyDescent="0.25">
      <c r="B479" s="2" t="s">
        <v>1252</v>
      </c>
      <c r="C479" s="2" t="s">
        <v>141</v>
      </c>
      <c r="D479" s="2" t="s">
        <v>0</v>
      </c>
      <c r="E479" s="2" t="s">
        <v>130</v>
      </c>
      <c r="F479" s="2" t="s">
        <v>1253</v>
      </c>
      <c r="G479" s="2" t="s">
        <v>1254</v>
      </c>
      <c r="H479" s="2" t="s">
        <v>142</v>
      </c>
      <c r="I479" s="2" t="s">
        <v>41</v>
      </c>
      <c r="J479" s="2">
        <v>32</v>
      </c>
      <c r="K479" s="2" t="s">
        <v>132</v>
      </c>
      <c r="L479" s="2" t="s">
        <v>40</v>
      </c>
      <c r="P479" s="2" t="s">
        <v>48</v>
      </c>
      <c r="Q479" s="2">
        <f>INDEX(Tables!$C$4:$C$28,MATCH($P479,Tables!$B$4:$B$28,0))</f>
        <v>32</v>
      </c>
      <c r="R479" s="2">
        <f>INDEX(Tables!$D$4:$D$28,MATCH($P479,Tables!$B$4:$B$28,0))</f>
        <v>4</v>
      </c>
      <c r="S479" s="2">
        <f>$S478+$R478+INDEX(Tables!$N$5:$Q$8,MATCH(MOD($S478+$R478,4),Tables!$M$5:$M$8,0),MATCH($R479,Tables!$N$4:$Q$4,0))</f>
        <v>1732</v>
      </c>
      <c r="T479" s="2" t="str">
        <f t="shared" si="123"/>
        <v>06C4</v>
      </c>
      <c r="U479" s="2">
        <f t="shared" si="129"/>
        <v>433</v>
      </c>
      <c r="V479" s="2" t="str">
        <f t="shared" si="124"/>
        <v>1B1</v>
      </c>
      <c r="W479" s="2" t="str">
        <f t="shared" si="125"/>
        <v>X</v>
      </c>
      <c r="X479" s="2" t="str">
        <f t="shared" si="128"/>
        <v>X</v>
      </c>
      <c r="Y479" s="2" t="str">
        <f t="shared" si="126"/>
        <v>X</v>
      </c>
      <c r="Z479" s="2" t="str">
        <f t="shared" si="127"/>
        <v>X</v>
      </c>
      <c r="AA479" s="2" t="str">
        <f t="shared" si="130"/>
        <v>(31 downto 24)</v>
      </c>
      <c r="AB479" s="2" t="str">
        <f t="shared" si="131"/>
        <v>(23 downto 16)</v>
      </c>
      <c r="AC479" s="2" t="str">
        <f t="shared" si="132"/>
        <v>(15 downto 8)</v>
      </c>
      <c r="AD479" s="2" t="str">
        <f t="shared" si="133"/>
        <v>(7 downto 0)</v>
      </c>
      <c r="AE479" s="2" t="str">
        <f t="shared" si="134"/>
        <v>(31 downto 24)</v>
      </c>
      <c r="AF479" s="2" t="str">
        <f t="shared" si="135"/>
        <v>(23 downto 16)</v>
      </c>
      <c r="AG479" s="2" t="str">
        <f t="shared" si="136"/>
        <v>(15 downto 8)</v>
      </c>
      <c r="AH479" s="2" t="str">
        <f t="shared" si="137"/>
        <v>(7 downto 0)</v>
      </c>
    </row>
    <row r="480" spans="2:34" x14ac:dyDescent="0.25">
      <c r="B480" s="2" t="s">
        <v>1255</v>
      </c>
      <c r="C480" s="2" t="s">
        <v>141</v>
      </c>
      <c r="D480" s="2" t="s">
        <v>0</v>
      </c>
      <c r="E480" s="2" t="s">
        <v>130</v>
      </c>
      <c r="F480" s="2" t="s">
        <v>1256</v>
      </c>
      <c r="G480" s="2" t="s">
        <v>1257</v>
      </c>
      <c r="H480" s="2" t="s">
        <v>142</v>
      </c>
      <c r="I480" s="2" t="s">
        <v>41</v>
      </c>
      <c r="J480" s="2">
        <v>32</v>
      </c>
      <c r="K480" s="2" t="s">
        <v>132</v>
      </c>
      <c r="L480" s="2" t="s">
        <v>40</v>
      </c>
      <c r="P480" s="2" t="s">
        <v>48</v>
      </c>
      <c r="Q480" s="2">
        <f>INDEX(Tables!$C$4:$C$28,MATCH($P480,Tables!$B$4:$B$28,0))</f>
        <v>32</v>
      </c>
      <c r="R480" s="2">
        <f>INDEX(Tables!$D$4:$D$28,MATCH($P480,Tables!$B$4:$B$28,0))</f>
        <v>4</v>
      </c>
      <c r="S480" s="2">
        <f>$S479+$R479+INDEX(Tables!$N$5:$Q$8,MATCH(MOD($S479+$R479,4),Tables!$M$5:$M$8,0),MATCH($R480,Tables!$N$4:$Q$4,0))</f>
        <v>1736</v>
      </c>
      <c r="T480" s="2" t="str">
        <f t="shared" si="123"/>
        <v>06C8</v>
      </c>
      <c r="U480" s="2">
        <f t="shared" si="129"/>
        <v>434</v>
      </c>
      <c r="V480" s="2" t="str">
        <f t="shared" si="124"/>
        <v>1B2</v>
      </c>
      <c r="W480" s="2" t="str">
        <f t="shared" si="125"/>
        <v>X</v>
      </c>
      <c r="X480" s="2" t="str">
        <f t="shared" si="128"/>
        <v>X</v>
      </c>
      <c r="Y480" s="2" t="str">
        <f t="shared" si="126"/>
        <v>X</v>
      </c>
      <c r="Z480" s="2" t="str">
        <f t="shared" si="127"/>
        <v>X</v>
      </c>
      <c r="AA480" s="2" t="str">
        <f t="shared" si="130"/>
        <v>(31 downto 24)</v>
      </c>
      <c r="AB480" s="2" t="str">
        <f t="shared" si="131"/>
        <v>(23 downto 16)</v>
      </c>
      <c r="AC480" s="2" t="str">
        <f t="shared" si="132"/>
        <v>(15 downto 8)</v>
      </c>
      <c r="AD480" s="2" t="str">
        <f t="shared" si="133"/>
        <v>(7 downto 0)</v>
      </c>
      <c r="AE480" s="2" t="str">
        <f t="shared" si="134"/>
        <v>(31 downto 24)</v>
      </c>
      <c r="AF480" s="2" t="str">
        <f t="shared" si="135"/>
        <v>(23 downto 16)</v>
      </c>
      <c r="AG480" s="2" t="str">
        <f t="shared" si="136"/>
        <v>(15 downto 8)</v>
      </c>
      <c r="AH480" s="2" t="str">
        <f t="shared" si="137"/>
        <v>(7 downto 0)</v>
      </c>
    </row>
    <row r="481" spans="2:34" x14ac:dyDescent="0.25">
      <c r="B481" s="2" t="s">
        <v>1258</v>
      </c>
      <c r="C481" s="2" t="s">
        <v>141</v>
      </c>
      <c r="D481" s="2" t="s">
        <v>0</v>
      </c>
      <c r="E481" s="2" t="s">
        <v>130</v>
      </c>
      <c r="F481" s="2" t="s">
        <v>1259</v>
      </c>
      <c r="G481" s="2" t="s">
        <v>1260</v>
      </c>
      <c r="H481" s="2" t="s">
        <v>142</v>
      </c>
      <c r="I481" s="2" t="s">
        <v>41</v>
      </c>
      <c r="J481" s="2">
        <v>32</v>
      </c>
      <c r="K481" s="2" t="s">
        <v>132</v>
      </c>
      <c r="L481" s="2" t="s">
        <v>40</v>
      </c>
      <c r="P481" s="2" t="s">
        <v>48</v>
      </c>
      <c r="Q481" s="2">
        <f>INDEX(Tables!$C$4:$C$28,MATCH($P481,Tables!$B$4:$B$28,0))</f>
        <v>32</v>
      </c>
      <c r="R481" s="2">
        <f>INDEX(Tables!$D$4:$D$28,MATCH($P481,Tables!$B$4:$B$28,0))</f>
        <v>4</v>
      </c>
      <c r="S481" s="2">
        <f>$S480+$R480+INDEX(Tables!$N$5:$Q$8,MATCH(MOD($S480+$R480,4),Tables!$M$5:$M$8,0),MATCH($R481,Tables!$N$4:$Q$4,0))</f>
        <v>1740</v>
      </c>
      <c r="T481" s="2" t="str">
        <f t="shared" si="123"/>
        <v>06CC</v>
      </c>
      <c r="U481" s="2">
        <f t="shared" si="129"/>
        <v>435</v>
      </c>
      <c r="V481" s="2" t="str">
        <f t="shared" si="124"/>
        <v>1B3</v>
      </c>
      <c r="W481" s="2" t="str">
        <f t="shared" si="125"/>
        <v>X</v>
      </c>
      <c r="X481" s="2" t="str">
        <f t="shared" si="128"/>
        <v>X</v>
      </c>
      <c r="Y481" s="2" t="str">
        <f t="shared" si="126"/>
        <v>X</v>
      </c>
      <c r="Z481" s="2" t="str">
        <f t="shared" si="127"/>
        <v>X</v>
      </c>
      <c r="AA481" s="2" t="str">
        <f t="shared" si="130"/>
        <v>(31 downto 24)</v>
      </c>
      <c r="AB481" s="2" t="str">
        <f t="shared" si="131"/>
        <v>(23 downto 16)</v>
      </c>
      <c r="AC481" s="2" t="str">
        <f t="shared" si="132"/>
        <v>(15 downto 8)</v>
      </c>
      <c r="AD481" s="2" t="str">
        <f t="shared" si="133"/>
        <v>(7 downto 0)</v>
      </c>
      <c r="AE481" s="2" t="str">
        <f t="shared" si="134"/>
        <v>(31 downto 24)</v>
      </c>
      <c r="AF481" s="2" t="str">
        <f t="shared" si="135"/>
        <v>(23 downto 16)</v>
      </c>
      <c r="AG481" s="2" t="str">
        <f t="shared" si="136"/>
        <v>(15 downto 8)</v>
      </c>
      <c r="AH481" s="2" t="str">
        <f t="shared" si="137"/>
        <v>(7 downto 0)</v>
      </c>
    </row>
    <row r="482" spans="2:34" x14ac:dyDescent="0.25">
      <c r="B482" s="2" t="s">
        <v>1261</v>
      </c>
      <c r="C482" s="2" t="s">
        <v>141</v>
      </c>
      <c r="D482" s="2" t="s">
        <v>0</v>
      </c>
      <c r="E482" s="2" t="s">
        <v>130</v>
      </c>
      <c r="F482" s="2" t="s">
        <v>1262</v>
      </c>
      <c r="G482" s="2" t="s">
        <v>1263</v>
      </c>
      <c r="H482" s="2" t="s">
        <v>142</v>
      </c>
      <c r="I482" s="2" t="s">
        <v>41</v>
      </c>
      <c r="J482" s="2">
        <v>32</v>
      </c>
      <c r="K482" s="2" t="s">
        <v>132</v>
      </c>
      <c r="L482" s="2" t="s">
        <v>40</v>
      </c>
      <c r="P482" s="2" t="s">
        <v>48</v>
      </c>
      <c r="Q482" s="2">
        <f>INDEX(Tables!$C$4:$C$28,MATCH($P482,Tables!$B$4:$B$28,0))</f>
        <v>32</v>
      </c>
      <c r="R482" s="2">
        <f>INDEX(Tables!$D$4:$D$28,MATCH($P482,Tables!$B$4:$B$28,0))</f>
        <v>4</v>
      </c>
      <c r="S482" s="2">
        <f>$S481+$R481+INDEX(Tables!$N$5:$Q$8,MATCH(MOD($S481+$R481,4),Tables!$M$5:$M$8,0),MATCH($R482,Tables!$N$4:$Q$4,0))</f>
        <v>1744</v>
      </c>
      <c r="T482" s="2" t="str">
        <f t="shared" si="123"/>
        <v>06D0</v>
      </c>
      <c r="U482" s="2">
        <f t="shared" si="129"/>
        <v>436</v>
      </c>
      <c r="V482" s="2" t="str">
        <f t="shared" si="124"/>
        <v>1B4</v>
      </c>
      <c r="W482" s="2" t="str">
        <f t="shared" si="125"/>
        <v>X</v>
      </c>
      <c r="X482" s="2" t="str">
        <f t="shared" si="128"/>
        <v>X</v>
      </c>
      <c r="Y482" s="2" t="str">
        <f t="shared" si="126"/>
        <v>X</v>
      </c>
      <c r="Z482" s="2" t="str">
        <f t="shared" si="127"/>
        <v>X</v>
      </c>
      <c r="AA482" s="2" t="str">
        <f t="shared" si="130"/>
        <v>(31 downto 24)</v>
      </c>
      <c r="AB482" s="2" t="str">
        <f t="shared" si="131"/>
        <v>(23 downto 16)</v>
      </c>
      <c r="AC482" s="2" t="str">
        <f t="shared" si="132"/>
        <v>(15 downto 8)</v>
      </c>
      <c r="AD482" s="2" t="str">
        <f t="shared" si="133"/>
        <v>(7 downto 0)</v>
      </c>
      <c r="AE482" s="2" t="str">
        <f t="shared" si="134"/>
        <v>(31 downto 24)</v>
      </c>
      <c r="AF482" s="2" t="str">
        <f t="shared" si="135"/>
        <v>(23 downto 16)</v>
      </c>
      <c r="AG482" s="2" t="str">
        <f t="shared" si="136"/>
        <v>(15 downto 8)</v>
      </c>
      <c r="AH482" s="2" t="str">
        <f t="shared" si="137"/>
        <v>(7 downto 0)</v>
      </c>
    </row>
    <row r="483" spans="2:34" x14ac:dyDescent="0.25">
      <c r="B483" s="2" t="s">
        <v>1264</v>
      </c>
      <c r="C483" s="2" t="s">
        <v>141</v>
      </c>
      <c r="D483" s="2" t="s">
        <v>0</v>
      </c>
      <c r="E483" s="2" t="s">
        <v>130</v>
      </c>
      <c r="F483" s="2" t="s">
        <v>1265</v>
      </c>
      <c r="G483" s="2" t="s">
        <v>1266</v>
      </c>
      <c r="H483" s="2" t="s">
        <v>142</v>
      </c>
      <c r="I483" s="2" t="s">
        <v>41</v>
      </c>
      <c r="J483" s="2">
        <v>32</v>
      </c>
      <c r="K483" s="2" t="s">
        <v>132</v>
      </c>
      <c r="L483" s="2" t="s">
        <v>40</v>
      </c>
      <c r="P483" s="2" t="s">
        <v>48</v>
      </c>
      <c r="Q483" s="2">
        <f>INDEX(Tables!$C$4:$C$28,MATCH($P483,Tables!$B$4:$B$28,0))</f>
        <v>32</v>
      </c>
      <c r="R483" s="2">
        <f>INDEX(Tables!$D$4:$D$28,MATCH($P483,Tables!$B$4:$B$28,0))</f>
        <v>4</v>
      </c>
      <c r="S483" s="2">
        <f>$S482+$R482+INDEX(Tables!$N$5:$Q$8,MATCH(MOD($S482+$R482,4),Tables!$M$5:$M$8,0),MATCH($R483,Tables!$N$4:$Q$4,0))</f>
        <v>1748</v>
      </c>
      <c r="T483" s="2" t="str">
        <f t="shared" si="123"/>
        <v>06D4</v>
      </c>
      <c r="U483" s="2">
        <f t="shared" si="129"/>
        <v>437</v>
      </c>
      <c r="V483" s="2" t="str">
        <f t="shared" si="124"/>
        <v>1B5</v>
      </c>
      <c r="W483" s="2" t="str">
        <f t="shared" si="125"/>
        <v>X</v>
      </c>
      <c r="X483" s="2" t="str">
        <f t="shared" si="128"/>
        <v>X</v>
      </c>
      <c r="Y483" s="2" t="str">
        <f t="shared" si="126"/>
        <v>X</v>
      </c>
      <c r="Z483" s="2" t="str">
        <f t="shared" si="127"/>
        <v>X</v>
      </c>
      <c r="AA483" s="2" t="str">
        <f t="shared" si="130"/>
        <v>(31 downto 24)</v>
      </c>
      <c r="AB483" s="2" t="str">
        <f t="shared" si="131"/>
        <v>(23 downto 16)</v>
      </c>
      <c r="AC483" s="2" t="str">
        <f t="shared" si="132"/>
        <v>(15 downto 8)</v>
      </c>
      <c r="AD483" s="2" t="str">
        <f t="shared" si="133"/>
        <v>(7 downto 0)</v>
      </c>
      <c r="AE483" s="2" t="str">
        <f t="shared" si="134"/>
        <v>(31 downto 24)</v>
      </c>
      <c r="AF483" s="2" t="str">
        <f t="shared" si="135"/>
        <v>(23 downto 16)</v>
      </c>
      <c r="AG483" s="2" t="str">
        <f t="shared" si="136"/>
        <v>(15 downto 8)</v>
      </c>
      <c r="AH483" s="2" t="str">
        <f t="shared" si="137"/>
        <v>(7 downto 0)</v>
      </c>
    </row>
    <row r="484" spans="2:34" x14ac:dyDescent="0.25">
      <c r="B484" s="2" t="s">
        <v>1267</v>
      </c>
      <c r="C484" s="2" t="s">
        <v>141</v>
      </c>
      <c r="D484" s="2" t="s">
        <v>0</v>
      </c>
      <c r="E484" s="2" t="s">
        <v>130</v>
      </c>
      <c r="F484" s="2" t="s">
        <v>1268</v>
      </c>
      <c r="G484" s="2" t="s">
        <v>1269</v>
      </c>
      <c r="H484" s="2" t="s">
        <v>142</v>
      </c>
      <c r="I484" s="2" t="s">
        <v>41</v>
      </c>
      <c r="J484" s="2">
        <v>32</v>
      </c>
      <c r="K484" s="2" t="s">
        <v>132</v>
      </c>
      <c r="L484" s="2" t="s">
        <v>40</v>
      </c>
      <c r="P484" s="2" t="s">
        <v>48</v>
      </c>
      <c r="Q484" s="2">
        <f>INDEX(Tables!$C$4:$C$28,MATCH($P484,Tables!$B$4:$B$28,0))</f>
        <v>32</v>
      </c>
      <c r="R484" s="2">
        <f>INDEX(Tables!$D$4:$D$28,MATCH($P484,Tables!$B$4:$B$28,0))</f>
        <v>4</v>
      </c>
      <c r="S484" s="2">
        <f>$S483+$R483+INDEX(Tables!$N$5:$Q$8,MATCH(MOD($S483+$R483,4),Tables!$M$5:$M$8,0),MATCH($R484,Tables!$N$4:$Q$4,0))</f>
        <v>1752</v>
      </c>
      <c r="T484" s="2" t="str">
        <f t="shared" si="123"/>
        <v>06D8</v>
      </c>
      <c r="U484" s="2">
        <f t="shared" si="129"/>
        <v>438</v>
      </c>
      <c r="V484" s="2" t="str">
        <f t="shared" si="124"/>
        <v>1B6</v>
      </c>
      <c r="W484" s="2" t="str">
        <f t="shared" si="125"/>
        <v>X</v>
      </c>
      <c r="X484" s="2" t="str">
        <f t="shared" si="128"/>
        <v>X</v>
      </c>
      <c r="Y484" s="2" t="str">
        <f t="shared" si="126"/>
        <v>X</v>
      </c>
      <c r="Z484" s="2" t="str">
        <f t="shared" si="127"/>
        <v>X</v>
      </c>
      <c r="AA484" s="2" t="str">
        <f t="shared" si="130"/>
        <v>(31 downto 24)</v>
      </c>
      <c r="AB484" s="2" t="str">
        <f t="shared" si="131"/>
        <v>(23 downto 16)</v>
      </c>
      <c r="AC484" s="2" t="str">
        <f t="shared" si="132"/>
        <v>(15 downto 8)</v>
      </c>
      <c r="AD484" s="2" t="str">
        <f t="shared" si="133"/>
        <v>(7 downto 0)</v>
      </c>
      <c r="AE484" s="2" t="str">
        <f t="shared" si="134"/>
        <v>(31 downto 24)</v>
      </c>
      <c r="AF484" s="2" t="str">
        <f t="shared" si="135"/>
        <v>(23 downto 16)</v>
      </c>
      <c r="AG484" s="2" t="str">
        <f t="shared" si="136"/>
        <v>(15 downto 8)</v>
      </c>
      <c r="AH484" s="2" t="str">
        <f t="shared" si="137"/>
        <v>(7 downto 0)</v>
      </c>
    </row>
    <row r="485" spans="2:34" x14ac:dyDescent="0.25">
      <c r="B485" s="2" t="s">
        <v>1270</v>
      </c>
      <c r="C485" s="2" t="s">
        <v>141</v>
      </c>
      <c r="D485" s="2" t="s">
        <v>0</v>
      </c>
      <c r="E485" s="2" t="s">
        <v>130</v>
      </c>
      <c r="F485" s="2" t="s">
        <v>1271</v>
      </c>
      <c r="G485" s="2" t="s">
        <v>1272</v>
      </c>
      <c r="H485" s="2" t="s">
        <v>142</v>
      </c>
      <c r="I485" s="2" t="s">
        <v>41</v>
      </c>
      <c r="J485" s="2">
        <v>32</v>
      </c>
      <c r="K485" s="2" t="s">
        <v>132</v>
      </c>
      <c r="L485" s="2" t="s">
        <v>40</v>
      </c>
      <c r="P485" s="2" t="s">
        <v>48</v>
      </c>
      <c r="Q485" s="2">
        <f>INDEX(Tables!$C$4:$C$28,MATCH($P485,Tables!$B$4:$B$28,0))</f>
        <v>32</v>
      </c>
      <c r="R485" s="2">
        <f>INDEX(Tables!$D$4:$D$28,MATCH($P485,Tables!$B$4:$B$28,0))</f>
        <v>4</v>
      </c>
      <c r="S485" s="2">
        <f>$S484+$R484+INDEX(Tables!$N$5:$Q$8,MATCH(MOD($S484+$R484,4),Tables!$M$5:$M$8,0),MATCH($R485,Tables!$N$4:$Q$4,0))</f>
        <v>1756</v>
      </c>
      <c r="T485" s="2" t="str">
        <f t="shared" si="123"/>
        <v>06DC</v>
      </c>
      <c r="U485" s="2">
        <f t="shared" si="129"/>
        <v>439</v>
      </c>
      <c r="V485" s="2" t="str">
        <f t="shared" si="124"/>
        <v>1B7</v>
      </c>
      <c r="W485" s="2" t="str">
        <f t="shared" si="125"/>
        <v>X</v>
      </c>
      <c r="X485" s="2" t="str">
        <f t="shared" si="128"/>
        <v>X</v>
      </c>
      <c r="Y485" s="2" t="str">
        <f t="shared" si="126"/>
        <v>X</v>
      </c>
      <c r="Z485" s="2" t="str">
        <f t="shared" si="127"/>
        <v>X</v>
      </c>
      <c r="AA485" s="2" t="str">
        <f t="shared" si="130"/>
        <v>(31 downto 24)</v>
      </c>
      <c r="AB485" s="2" t="str">
        <f t="shared" si="131"/>
        <v>(23 downto 16)</v>
      </c>
      <c r="AC485" s="2" t="str">
        <f t="shared" si="132"/>
        <v>(15 downto 8)</v>
      </c>
      <c r="AD485" s="2" t="str">
        <f t="shared" si="133"/>
        <v>(7 downto 0)</v>
      </c>
      <c r="AE485" s="2" t="str">
        <f t="shared" si="134"/>
        <v>(31 downto 24)</v>
      </c>
      <c r="AF485" s="2" t="str">
        <f t="shared" si="135"/>
        <v>(23 downto 16)</v>
      </c>
      <c r="AG485" s="2" t="str">
        <f t="shared" si="136"/>
        <v>(15 downto 8)</v>
      </c>
      <c r="AH485" s="2" t="str">
        <f t="shared" si="137"/>
        <v>(7 downto 0)</v>
      </c>
    </row>
    <row r="486" spans="2:34" x14ac:dyDescent="0.25">
      <c r="B486" s="2" t="s">
        <v>1273</v>
      </c>
      <c r="C486" s="2" t="s">
        <v>141</v>
      </c>
      <c r="D486" s="2" t="s">
        <v>0</v>
      </c>
      <c r="E486" s="2" t="s">
        <v>130</v>
      </c>
      <c r="F486" s="2" t="s">
        <v>1274</v>
      </c>
      <c r="G486" s="2" t="s">
        <v>1275</v>
      </c>
      <c r="H486" s="2" t="s">
        <v>142</v>
      </c>
      <c r="I486" s="2" t="s">
        <v>41</v>
      </c>
      <c r="J486" s="2">
        <v>32</v>
      </c>
      <c r="K486" s="2" t="s">
        <v>132</v>
      </c>
      <c r="L486" s="2" t="s">
        <v>40</v>
      </c>
      <c r="P486" s="2" t="s">
        <v>48</v>
      </c>
      <c r="Q486" s="2">
        <f>INDEX(Tables!$C$4:$C$28,MATCH($P486,Tables!$B$4:$B$28,0))</f>
        <v>32</v>
      </c>
      <c r="R486" s="2">
        <f>INDEX(Tables!$D$4:$D$28,MATCH($P486,Tables!$B$4:$B$28,0))</f>
        <v>4</v>
      </c>
      <c r="S486" s="2">
        <f>$S485+$R485+INDEX(Tables!$N$5:$Q$8,MATCH(MOD($S485+$R485,4),Tables!$M$5:$M$8,0),MATCH($R486,Tables!$N$4:$Q$4,0))</f>
        <v>1760</v>
      </c>
      <c r="T486" s="2" t="str">
        <f t="shared" si="123"/>
        <v>06E0</v>
      </c>
      <c r="U486" s="2">
        <f t="shared" si="129"/>
        <v>440</v>
      </c>
      <c r="V486" s="2" t="str">
        <f t="shared" si="124"/>
        <v>1B8</v>
      </c>
      <c r="W486" s="2" t="str">
        <f t="shared" si="125"/>
        <v>X</v>
      </c>
      <c r="X486" s="2" t="str">
        <f t="shared" si="128"/>
        <v>X</v>
      </c>
      <c r="Y486" s="2" t="str">
        <f t="shared" si="126"/>
        <v>X</v>
      </c>
      <c r="Z486" s="2" t="str">
        <f t="shared" si="127"/>
        <v>X</v>
      </c>
      <c r="AA486" s="2" t="str">
        <f t="shared" si="130"/>
        <v>(31 downto 24)</v>
      </c>
      <c r="AB486" s="2" t="str">
        <f t="shared" si="131"/>
        <v>(23 downto 16)</v>
      </c>
      <c r="AC486" s="2" t="str">
        <f t="shared" si="132"/>
        <v>(15 downto 8)</v>
      </c>
      <c r="AD486" s="2" t="str">
        <f t="shared" si="133"/>
        <v>(7 downto 0)</v>
      </c>
      <c r="AE486" s="2" t="str">
        <f t="shared" si="134"/>
        <v>(31 downto 24)</v>
      </c>
      <c r="AF486" s="2" t="str">
        <f t="shared" si="135"/>
        <v>(23 downto 16)</v>
      </c>
      <c r="AG486" s="2" t="str">
        <f t="shared" si="136"/>
        <v>(15 downto 8)</v>
      </c>
      <c r="AH486" s="2" t="str">
        <f t="shared" si="137"/>
        <v>(7 downto 0)</v>
      </c>
    </row>
    <row r="487" spans="2:34" x14ac:dyDescent="0.25">
      <c r="B487" s="2" t="s">
        <v>1276</v>
      </c>
      <c r="C487" s="2" t="s">
        <v>141</v>
      </c>
      <c r="D487" s="2" t="s">
        <v>0</v>
      </c>
      <c r="E487" s="2" t="s">
        <v>130</v>
      </c>
      <c r="F487" s="2" t="s">
        <v>1277</v>
      </c>
      <c r="G487" s="2" t="s">
        <v>1278</v>
      </c>
      <c r="H487" s="2" t="s">
        <v>142</v>
      </c>
      <c r="I487" s="2" t="s">
        <v>41</v>
      </c>
      <c r="J487" s="2">
        <v>32</v>
      </c>
      <c r="K487" s="2" t="s">
        <v>132</v>
      </c>
      <c r="L487" s="2" t="s">
        <v>40</v>
      </c>
      <c r="P487" s="2" t="s">
        <v>48</v>
      </c>
      <c r="Q487" s="2">
        <f>INDEX(Tables!$C$4:$C$28,MATCH($P487,Tables!$B$4:$B$28,0))</f>
        <v>32</v>
      </c>
      <c r="R487" s="2">
        <f>INDEX(Tables!$D$4:$D$28,MATCH($P487,Tables!$B$4:$B$28,0))</f>
        <v>4</v>
      </c>
      <c r="S487" s="2">
        <f>$S486+$R486+INDEX(Tables!$N$5:$Q$8,MATCH(MOD($S486+$R486,4),Tables!$M$5:$M$8,0),MATCH($R487,Tables!$N$4:$Q$4,0))</f>
        <v>1764</v>
      </c>
      <c r="T487" s="2" t="str">
        <f t="shared" si="123"/>
        <v>06E4</v>
      </c>
      <c r="U487" s="2">
        <f t="shared" si="129"/>
        <v>441</v>
      </c>
      <c r="V487" s="2" t="str">
        <f t="shared" si="124"/>
        <v>1B9</v>
      </c>
      <c r="W487" s="2" t="str">
        <f t="shared" si="125"/>
        <v>X</v>
      </c>
      <c r="X487" s="2" t="str">
        <f t="shared" si="128"/>
        <v>X</v>
      </c>
      <c r="Y487" s="2" t="str">
        <f t="shared" si="126"/>
        <v>X</v>
      </c>
      <c r="Z487" s="2" t="str">
        <f t="shared" si="127"/>
        <v>X</v>
      </c>
      <c r="AA487" s="2" t="str">
        <f t="shared" si="130"/>
        <v>(31 downto 24)</v>
      </c>
      <c r="AB487" s="2" t="str">
        <f t="shared" si="131"/>
        <v>(23 downto 16)</v>
      </c>
      <c r="AC487" s="2" t="str">
        <f t="shared" si="132"/>
        <v>(15 downto 8)</v>
      </c>
      <c r="AD487" s="2" t="str">
        <f t="shared" si="133"/>
        <v>(7 downto 0)</v>
      </c>
      <c r="AE487" s="2" t="str">
        <f t="shared" si="134"/>
        <v>(31 downto 24)</v>
      </c>
      <c r="AF487" s="2" t="str">
        <f t="shared" si="135"/>
        <v>(23 downto 16)</v>
      </c>
      <c r="AG487" s="2" t="str">
        <f t="shared" si="136"/>
        <v>(15 downto 8)</v>
      </c>
      <c r="AH487" s="2" t="str">
        <f t="shared" si="137"/>
        <v>(7 downto 0)</v>
      </c>
    </row>
    <row r="488" spans="2:34" x14ac:dyDescent="0.25">
      <c r="B488" s="2" t="s">
        <v>1279</v>
      </c>
      <c r="C488" s="2" t="s">
        <v>141</v>
      </c>
      <c r="D488" s="2" t="s">
        <v>0</v>
      </c>
      <c r="E488" s="2" t="s">
        <v>130</v>
      </c>
      <c r="F488" s="2" t="s">
        <v>1280</v>
      </c>
      <c r="G488" s="2" t="s">
        <v>1281</v>
      </c>
      <c r="H488" s="2" t="s">
        <v>142</v>
      </c>
      <c r="I488" s="2" t="s">
        <v>41</v>
      </c>
      <c r="J488" s="2">
        <v>32</v>
      </c>
      <c r="K488" s="2" t="s">
        <v>132</v>
      </c>
      <c r="L488" s="2" t="s">
        <v>40</v>
      </c>
      <c r="P488" s="2" t="s">
        <v>48</v>
      </c>
      <c r="Q488" s="2">
        <f>INDEX(Tables!$C$4:$C$28,MATCH($P488,Tables!$B$4:$B$28,0))</f>
        <v>32</v>
      </c>
      <c r="R488" s="2">
        <f>INDEX(Tables!$D$4:$D$28,MATCH($P488,Tables!$B$4:$B$28,0))</f>
        <v>4</v>
      </c>
      <c r="S488" s="2">
        <f>$S487+$R487+INDEX(Tables!$N$5:$Q$8,MATCH(MOD($S487+$R487,4),Tables!$M$5:$M$8,0),MATCH($R488,Tables!$N$4:$Q$4,0))</f>
        <v>1768</v>
      </c>
      <c r="T488" s="2" t="str">
        <f t="shared" si="123"/>
        <v>06E8</v>
      </c>
      <c r="U488" s="2">
        <f t="shared" si="129"/>
        <v>442</v>
      </c>
      <c r="V488" s="2" t="str">
        <f t="shared" si="124"/>
        <v>1BA</v>
      </c>
      <c r="W488" s="2" t="str">
        <f t="shared" si="125"/>
        <v>X</v>
      </c>
      <c r="X488" s="2" t="str">
        <f t="shared" si="128"/>
        <v>X</v>
      </c>
      <c r="Y488" s="2" t="str">
        <f t="shared" si="126"/>
        <v>X</v>
      </c>
      <c r="Z488" s="2" t="str">
        <f t="shared" si="127"/>
        <v>X</v>
      </c>
      <c r="AA488" s="2" t="str">
        <f t="shared" si="130"/>
        <v>(31 downto 24)</v>
      </c>
      <c r="AB488" s="2" t="str">
        <f t="shared" si="131"/>
        <v>(23 downto 16)</v>
      </c>
      <c r="AC488" s="2" t="str">
        <f t="shared" si="132"/>
        <v>(15 downto 8)</v>
      </c>
      <c r="AD488" s="2" t="str">
        <f t="shared" si="133"/>
        <v>(7 downto 0)</v>
      </c>
      <c r="AE488" s="2" t="str">
        <f t="shared" si="134"/>
        <v>(31 downto 24)</v>
      </c>
      <c r="AF488" s="2" t="str">
        <f t="shared" si="135"/>
        <v>(23 downto 16)</v>
      </c>
      <c r="AG488" s="2" t="str">
        <f t="shared" si="136"/>
        <v>(15 downto 8)</v>
      </c>
      <c r="AH488" s="2" t="str">
        <f t="shared" si="137"/>
        <v>(7 downto 0)</v>
      </c>
    </row>
    <row r="489" spans="2:34" x14ac:dyDescent="0.25">
      <c r="B489" s="2" t="s">
        <v>1282</v>
      </c>
      <c r="C489" s="2" t="s">
        <v>141</v>
      </c>
      <c r="D489" s="2" t="s">
        <v>0</v>
      </c>
      <c r="E489" s="2" t="s">
        <v>130</v>
      </c>
      <c r="F489" s="2" t="s">
        <v>1283</v>
      </c>
      <c r="G489" s="2" t="s">
        <v>1284</v>
      </c>
      <c r="H489" s="2" t="s">
        <v>142</v>
      </c>
      <c r="I489" s="2" t="s">
        <v>41</v>
      </c>
      <c r="J489" s="2">
        <v>32</v>
      </c>
      <c r="K489" s="2" t="s">
        <v>132</v>
      </c>
      <c r="L489" s="2" t="s">
        <v>40</v>
      </c>
      <c r="P489" s="2" t="s">
        <v>48</v>
      </c>
      <c r="Q489" s="2">
        <f>INDEX(Tables!$C$4:$C$28,MATCH($P489,Tables!$B$4:$B$28,0))</f>
        <v>32</v>
      </c>
      <c r="R489" s="2">
        <f>INDEX(Tables!$D$4:$D$28,MATCH($P489,Tables!$B$4:$B$28,0))</f>
        <v>4</v>
      </c>
      <c r="S489" s="2">
        <f>$S488+$R488+INDEX(Tables!$N$5:$Q$8,MATCH(MOD($S488+$R488,4),Tables!$M$5:$M$8,0),MATCH($R489,Tables!$N$4:$Q$4,0))</f>
        <v>1772</v>
      </c>
      <c r="T489" s="2" t="str">
        <f t="shared" si="123"/>
        <v>06EC</v>
      </c>
      <c r="U489" s="2">
        <f t="shared" si="129"/>
        <v>443</v>
      </c>
      <c r="V489" s="2" t="str">
        <f t="shared" si="124"/>
        <v>1BB</v>
      </c>
      <c r="W489" s="2" t="str">
        <f t="shared" si="125"/>
        <v>X</v>
      </c>
      <c r="X489" s="2" t="str">
        <f t="shared" si="128"/>
        <v>X</v>
      </c>
      <c r="Y489" s="2" t="str">
        <f t="shared" si="126"/>
        <v>X</v>
      </c>
      <c r="Z489" s="2" t="str">
        <f t="shared" si="127"/>
        <v>X</v>
      </c>
      <c r="AA489" s="2" t="str">
        <f t="shared" si="130"/>
        <v>(31 downto 24)</v>
      </c>
      <c r="AB489" s="2" t="str">
        <f t="shared" si="131"/>
        <v>(23 downto 16)</v>
      </c>
      <c r="AC489" s="2" t="str">
        <f t="shared" si="132"/>
        <v>(15 downto 8)</v>
      </c>
      <c r="AD489" s="2" t="str">
        <f t="shared" si="133"/>
        <v>(7 downto 0)</v>
      </c>
      <c r="AE489" s="2" t="str">
        <f t="shared" si="134"/>
        <v>(31 downto 24)</v>
      </c>
      <c r="AF489" s="2" t="str">
        <f t="shared" si="135"/>
        <v>(23 downto 16)</v>
      </c>
      <c r="AG489" s="2" t="str">
        <f t="shared" si="136"/>
        <v>(15 downto 8)</v>
      </c>
      <c r="AH489" s="2" t="str">
        <f t="shared" si="137"/>
        <v>(7 downto 0)</v>
      </c>
    </row>
    <row r="490" spans="2:34" x14ac:dyDescent="0.25">
      <c r="B490" s="2" t="s">
        <v>1285</v>
      </c>
      <c r="C490" s="2" t="s">
        <v>141</v>
      </c>
      <c r="D490" s="2" t="s">
        <v>0</v>
      </c>
      <c r="E490" s="2" t="s">
        <v>130</v>
      </c>
      <c r="F490" s="2" t="s">
        <v>1286</v>
      </c>
      <c r="G490" s="2" t="s">
        <v>1287</v>
      </c>
      <c r="H490" s="2" t="s">
        <v>142</v>
      </c>
      <c r="I490" s="2" t="s">
        <v>41</v>
      </c>
      <c r="J490" s="2">
        <v>32</v>
      </c>
      <c r="K490" s="2" t="s">
        <v>132</v>
      </c>
      <c r="L490" s="2" t="s">
        <v>40</v>
      </c>
      <c r="P490" s="2" t="s">
        <v>48</v>
      </c>
      <c r="Q490" s="2">
        <f>INDEX(Tables!$C$4:$C$28,MATCH($P490,Tables!$B$4:$B$28,0))</f>
        <v>32</v>
      </c>
      <c r="R490" s="2">
        <f>INDEX(Tables!$D$4:$D$28,MATCH($P490,Tables!$B$4:$B$28,0))</f>
        <v>4</v>
      </c>
      <c r="S490" s="2">
        <f>$S489+$R489+INDEX(Tables!$N$5:$Q$8,MATCH(MOD($S489+$R489,4),Tables!$M$5:$M$8,0),MATCH($R490,Tables!$N$4:$Q$4,0))</f>
        <v>1776</v>
      </c>
      <c r="T490" s="2" t="str">
        <f t="shared" si="123"/>
        <v>06F0</v>
      </c>
      <c r="U490" s="2">
        <f t="shared" si="129"/>
        <v>444</v>
      </c>
      <c r="V490" s="2" t="str">
        <f t="shared" si="124"/>
        <v>1BC</v>
      </c>
      <c r="W490" s="2" t="str">
        <f t="shared" si="125"/>
        <v>X</v>
      </c>
      <c r="X490" s="2" t="str">
        <f t="shared" si="128"/>
        <v>X</v>
      </c>
      <c r="Y490" s="2" t="str">
        <f t="shared" si="126"/>
        <v>X</v>
      </c>
      <c r="Z490" s="2" t="str">
        <f t="shared" si="127"/>
        <v>X</v>
      </c>
      <c r="AA490" s="2" t="str">
        <f t="shared" si="130"/>
        <v>(31 downto 24)</v>
      </c>
      <c r="AB490" s="2" t="str">
        <f t="shared" si="131"/>
        <v>(23 downto 16)</v>
      </c>
      <c r="AC490" s="2" t="str">
        <f t="shared" si="132"/>
        <v>(15 downto 8)</v>
      </c>
      <c r="AD490" s="2" t="str">
        <f t="shared" si="133"/>
        <v>(7 downto 0)</v>
      </c>
      <c r="AE490" s="2" t="str">
        <f t="shared" si="134"/>
        <v>(31 downto 24)</v>
      </c>
      <c r="AF490" s="2" t="str">
        <f t="shared" si="135"/>
        <v>(23 downto 16)</v>
      </c>
      <c r="AG490" s="2" t="str">
        <f t="shared" si="136"/>
        <v>(15 downto 8)</v>
      </c>
      <c r="AH490" s="2" t="str">
        <f t="shared" si="137"/>
        <v>(7 downto 0)</v>
      </c>
    </row>
    <row r="491" spans="2:34" x14ac:dyDescent="0.25">
      <c r="B491" s="2" t="s">
        <v>1288</v>
      </c>
      <c r="C491" s="2" t="s">
        <v>141</v>
      </c>
      <c r="D491" s="2" t="s">
        <v>0</v>
      </c>
      <c r="E491" s="2" t="s">
        <v>130</v>
      </c>
      <c r="F491" s="2" t="s">
        <v>1289</v>
      </c>
      <c r="G491" s="2" t="s">
        <v>1290</v>
      </c>
      <c r="H491" s="2" t="s">
        <v>142</v>
      </c>
      <c r="I491" s="2" t="s">
        <v>41</v>
      </c>
      <c r="J491" s="2">
        <v>32</v>
      </c>
      <c r="K491" s="2" t="s">
        <v>132</v>
      </c>
      <c r="L491" s="2" t="s">
        <v>40</v>
      </c>
      <c r="P491" s="2" t="s">
        <v>48</v>
      </c>
      <c r="Q491" s="2">
        <f>INDEX(Tables!$C$4:$C$28,MATCH($P491,Tables!$B$4:$B$28,0))</f>
        <v>32</v>
      </c>
      <c r="R491" s="2">
        <f>INDEX(Tables!$D$4:$D$28,MATCH($P491,Tables!$B$4:$B$28,0))</f>
        <v>4</v>
      </c>
      <c r="S491" s="2">
        <f>$S490+$R490+INDEX(Tables!$N$5:$Q$8,MATCH(MOD($S490+$R490,4),Tables!$M$5:$M$8,0),MATCH($R491,Tables!$N$4:$Q$4,0))</f>
        <v>1780</v>
      </c>
      <c r="T491" s="2" t="str">
        <f t="shared" si="123"/>
        <v>06F4</v>
      </c>
      <c r="U491" s="2">
        <f t="shared" si="129"/>
        <v>445</v>
      </c>
      <c r="V491" s="2" t="str">
        <f t="shared" si="124"/>
        <v>1BD</v>
      </c>
      <c r="W491" s="2" t="str">
        <f t="shared" si="125"/>
        <v>X</v>
      </c>
      <c r="X491" s="2" t="str">
        <f t="shared" si="128"/>
        <v>X</v>
      </c>
      <c r="Y491" s="2" t="str">
        <f t="shared" si="126"/>
        <v>X</v>
      </c>
      <c r="Z491" s="2" t="str">
        <f t="shared" si="127"/>
        <v>X</v>
      </c>
      <c r="AA491" s="2" t="str">
        <f t="shared" si="130"/>
        <v>(31 downto 24)</v>
      </c>
      <c r="AB491" s="2" t="str">
        <f t="shared" si="131"/>
        <v>(23 downto 16)</v>
      </c>
      <c r="AC491" s="2" t="str">
        <f t="shared" si="132"/>
        <v>(15 downto 8)</v>
      </c>
      <c r="AD491" s="2" t="str">
        <f t="shared" si="133"/>
        <v>(7 downto 0)</v>
      </c>
      <c r="AE491" s="2" t="str">
        <f t="shared" si="134"/>
        <v>(31 downto 24)</v>
      </c>
      <c r="AF491" s="2" t="str">
        <f t="shared" si="135"/>
        <v>(23 downto 16)</v>
      </c>
      <c r="AG491" s="2" t="str">
        <f t="shared" si="136"/>
        <v>(15 downto 8)</v>
      </c>
      <c r="AH491" s="2" t="str">
        <f t="shared" si="137"/>
        <v>(7 downto 0)</v>
      </c>
    </row>
    <row r="492" spans="2:34" x14ac:dyDescent="0.25">
      <c r="B492" s="2" t="s">
        <v>1291</v>
      </c>
      <c r="C492" s="2" t="s">
        <v>141</v>
      </c>
      <c r="D492" s="2" t="s">
        <v>0</v>
      </c>
      <c r="E492" s="2" t="s">
        <v>130</v>
      </c>
      <c r="F492" s="2" t="s">
        <v>1292</v>
      </c>
      <c r="G492" s="2" t="s">
        <v>1293</v>
      </c>
      <c r="H492" s="2" t="s">
        <v>142</v>
      </c>
      <c r="I492" s="2" t="s">
        <v>41</v>
      </c>
      <c r="J492" s="2">
        <v>32</v>
      </c>
      <c r="K492" s="2" t="s">
        <v>132</v>
      </c>
      <c r="L492" s="2" t="s">
        <v>40</v>
      </c>
      <c r="P492" s="2" t="s">
        <v>48</v>
      </c>
      <c r="Q492" s="2">
        <f>INDEX(Tables!$C$4:$C$28,MATCH($P492,Tables!$B$4:$B$28,0))</f>
        <v>32</v>
      </c>
      <c r="R492" s="2">
        <f>INDEX(Tables!$D$4:$D$28,MATCH($P492,Tables!$B$4:$B$28,0))</f>
        <v>4</v>
      </c>
      <c r="S492" s="2">
        <f>$S491+$R491+INDEX(Tables!$N$5:$Q$8,MATCH(MOD($S491+$R491,4),Tables!$M$5:$M$8,0),MATCH($R492,Tables!$N$4:$Q$4,0))</f>
        <v>1784</v>
      </c>
      <c r="T492" s="2" t="str">
        <f t="shared" si="123"/>
        <v>06F8</v>
      </c>
      <c r="U492" s="2">
        <f t="shared" si="129"/>
        <v>446</v>
      </c>
      <c r="V492" s="2" t="str">
        <f t="shared" si="124"/>
        <v>1BE</v>
      </c>
      <c r="W492" s="2" t="str">
        <f t="shared" si="125"/>
        <v>X</v>
      </c>
      <c r="X492" s="2" t="str">
        <f t="shared" si="128"/>
        <v>X</v>
      </c>
      <c r="Y492" s="2" t="str">
        <f t="shared" si="126"/>
        <v>X</v>
      </c>
      <c r="Z492" s="2" t="str">
        <f t="shared" si="127"/>
        <v>X</v>
      </c>
      <c r="AA492" s="2" t="str">
        <f t="shared" si="130"/>
        <v>(31 downto 24)</v>
      </c>
      <c r="AB492" s="2" t="str">
        <f t="shared" si="131"/>
        <v>(23 downto 16)</v>
      </c>
      <c r="AC492" s="2" t="str">
        <f t="shared" si="132"/>
        <v>(15 downto 8)</v>
      </c>
      <c r="AD492" s="2" t="str">
        <f t="shared" si="133"/>
        <v>(7 downto 0)</v>
      </c>
      <c r="AE492" s="2" t="str">
        <f t="shared" si="134"/>
        <v>(31 downto 24)</v>
      </c>
      <c r="AF492" s="2" t="str">
        <f t="shared" si="135"/>
        <v>(23 downto 16)</v>
      </c>
      <c r="AG492" s="2" t="str">
        <f t="shared" si="136"/>
        <v>(15 downto 8)</v>
      </c>
      <c r="AH492" s="2" t="str">
        <f t="shared" si="137"/>
        <v>(7 downto 0)</v>
      </c>
    </row>
    <row r="493" spans="2:34" x14ac:dyDescent="0.25">
      <c r="B493" s="2" t="s">
        <v>1294</v>
      </c>
      <c r="C493" s="2" t="s">
        <v>141</v>
      </c>
      <c r="D493" s="2" t="s">
        <v>0</v>
      </c>
      <c r="E493" s="2" t="s">
        <v>130</v>
      </c>
      <c r="F493" s="2" t="s">
        <v>1295</v>
      </c>
      <c r="G493" s="2" t="s">
        <v>1296</v>
      </c>
      <c r="H493" s="2" t="s">
        <v>142</v>
      </c>
      <c r="I493" s="2" t="s">
        <v>41</v>
      </c>
      <c r="J493" s="2">
        <v>32</v>
      </c>
      <c r="K493" s="2" t="s">
        <v>132</v>
      </c>
      <c r="L493" s="2" t="s">
        <v>40</v>
      </c>
      <c r="P493" s="2" t="s">
        <v>48</v>
      </c>
      <c r="Q493" s="2">
        <f>INDEX(Tables!$C$4:$C$28,MATCH($P493,Tables!$B$4:$B$28,0))</f>
        <v>32</v>
      </c>
      <c r="R493" s="2">
        <f>INDEX(Tables!$D$4:$D$28,MATCH($P493,Tables!$B$4:$B$28,0))</f>
        <v>4</v>
      </c>
      <c r="S493" s="2">
        <f>$S492+$R492+INDEX(Tables!$N$5:$Q$8,MATCH(MOD($S492+$R492,4),Tables!$M$5:$M$8,0),MATCH($R493,Tables!$N$4:$Q$4,0))</f>
        <v>1788</v>
      </c>
      <c r="T493" s="2" t="str">
        <f t="shared" si="123"/>
        <v>06FC</v>
      </c>
      <c r="U493" s="2">
        <f t="shared" si="129"/>
        <v>447</v>
      </c>
      <c r="V493" s="2" t="str">
        <f t="shared" si="124"/>
        <v>1BF</v>
      </c>
      <c r="W493" s="2" t="str">
        <f t="shared" si="125"/>
        <v>X</v>
      </c>
      <c r="X493" s="2" t="str">
        <f t="shared" si="128"/>
        <v>X</v>
      </c>
      <c r="Y493" s="2" t="str">
        <f t="shared" si="126"/>
        <v>X</v>
      </c>
      <c r="Z493" s="2" t="str">
        <f t="shared" si="127"/>
        <v>X</v>
      </c>
      <c r="AA493" s="2" t="str">
        <f t="shared" si="130"/>
        <v>(31 downto 24)</v>
      </c>
      <c r="AB493" s="2" t="str">
        <f t="shared" si="131"/>
        <v>(23 downto 16)</v>
      </c>
      <c r="AC493" s="2" t="str">
        <f t="shared" si="132"/>
        <v>(15 downto 8)</v>
      </c>
      <c r="AD493" s="2" t="str">
        <f t="shared" si="133"/>
        <v>(7 downto 0)</v>
      </c>
      <c r="AE493" s="2" t="str">
        <f t="shared" si="134"/>
        <v>(31 downto 24)</v>
      </c>
      <c r="AF493" s="2" t="str">
        <f t="shared" si="135"/>
        <v>(23 downto 16)</v>
      </c>
      <c r="AG493" s="2" t="str">
        <f t="shared" si="136"/>
        <v>(15 downto 8)</v>
      </c>
      <c r="AH493" s="2" t="str">
        <f t="shared" si="137"/>
        <v>(7 downto 0)</v>
      </c>
    </row>
    <row r="494" spans="2:34" x14ac:dyDescent="0.25">
      <c r="B494" s="2" t="s">
        <v>1297</v>
      </c>
      <c r="C494" s="2" t="s">
        <v>141</v>
      </c>
      <c r="D494" s="2" t="s">
        <v>0</v>
      </c>
      <c r="E494" s="2" t="s">
        <v>130</v>
      </c>
      <c r="F494" s="2" t="s">
        <v>1298</v>
      </c>
      <c r="G494" s="2" t="s">
        <v>1299</v>
      </c>
      <c r="H494" s="2" t="s">
        <v>142</v>
      </c>
      <c r="I494" s="2" t="s">
        <v>41</v>
      </c>
      <c r="J494" s="2">
        <v>32</v>
      </c>
      <c r="K494" s="2" t="s">
        <v>132</v>
      </c>
      <c r="L494" s="2" t="s">
        <v>40</v>
      </c>
      <c r="P494" s="2" t="s">
        <v>48</v>
      </c>
      <c r="Q494" s="2">
        <f>INDEX(Tables!$C$4:$C$28,MATCH($P494,Tables!$B$4:$B$28,0))</f>
        <v>32</v>
      </c>
      <c r="R494" s="2">
        <f>INDEX(Tables!$D$4:$D$28,MATCH($P494,Tables!$B$4:$B$28,0))</f>
        <v>4</v>
      </c>
      <c r="S494" s="2">
        <f>$S493+$R493+INDEX(Tables!$N$5:$Q$8,MATCH(MOD($S493+$R493,4),Tables!$M$5:$M$8,0),MATCH($R494,Tables!$N$4:$Q$4,0))</f>
        <v>1792</v>
      </c>
      <c r="T494" s="2" t="str">
        <f t="shared" si="123"/>
        <v>0700</v>
      </c>
      <c r="U494" s="2">
        <f t="shared" si="129"/>
        <v>448</v>
      </c>
      <c r="V494" s="2" t="str">
        <f t="shared" si="124"/>
        <v>1C0</v>
      </c>
      <c r="W494" s="2" t="str">
        <f t="shared" si="125"/>
        <v>X</v>
      </c>
      <c r="X494" s="2" t="str">
        <f t="shared" si="128"/>
        <v>X</v>
      </c>
      <c r="Y494" s="2" t="str">
        <f t="shared" si="126"/>
        <v>X</v>
      </c>
      <c r="Z494" s="2" t="str">
        <f t="shared" si="127"/>
        <v>X</v>
      </c>
      <c r="AA494" s="2" t="str">
        <f t="shared" si="130"/>
        <v>(31 downto 24)</v>
      </c>
      <c r="AB494" s="2" t="str">
        <f t="shared" si="131"/>
        <v>(23 downto 16)</v>
      </c>
      <c r="AC494" s="2" t="str">
        <f t="shared" si="132"/>
        <v>(15 downto 8)</v>
      </c>
      <c r="AD494" s="2" t="str">
        <f t="shared" si="133"/>
        <v>(7 downto 0)</v>
      </c>
      <c r="AE494" s="2" t="str">
        <f t="shared" si="134"/>
        <v>(31 downto 24)</v>
      </c>
      <c r="AF494" s="2" t="str">
        <f t="shared" si="135"/>
        <v>(23 downto 16)</v>
      </c>
      <c r="AG494" s="2" t="str">
        <f t="shared" si="136"/>
        <v>(15 downto 8)</v>
      </c>
      <c r="AH494" s="2" t="str">
        <f t="shared" si="137"/>
        <v>(7 downto 0)</v>
      </c>
    </row>
    <row r="495" spans="2:34" x14ac:dyDescent="0.25">
      <c r="B495" s="2" t="s">
        <v>1300</v>
      </c>
      <c r="C495" s="2" t="s">
        <v>141</v>
      </c>
      <c r="D495" s="2" t="s">
        <v>0</v>
      </c>
      <c r="E495" s="2" t="s">
        <v>130</v>
      </c>
      <c r="F495" s="2" t="s">
        <v>1301</v>
      </c>
      <c r="G495" s="2" t="s">
        <v>1302</v>
      </c>
      <c r="H495" s="2" t="s">
        <v>142</v>
      </c>
      <c r="I495" s="2" t="s">
        <v>41</v>
      </c>
      <c r="J495" s="2">
        <v>32</v>
      </c>
      <c r="K495" s="2" t="s">
        <v>132</v>
      </c>
      <c r="L495" s="2" t="s">
        <v>40</v>
      </c>
      <c r="P495" s="2" t="s">
        <v>48</v>
      </c>
      <c r="Q495" s="2">
        <f>INDEX(Tables!$C$4:$C$28,MATCH($P495,Tables!$B$4:$B$28,0))</f>
        <v>32</v>
      </c>
      <c r="R495" s="2">
        <f>INDEX(Tables!$D$4:$D$28,MATCH($P495,Tables!$B$4:$B$28,0))</f>
        <v>4</v>
      </c>
      <c r="S495" s="2">
        <f>$S494+$R494+INDEX(Tables!$N$5:$Q$8,MATCH(MOD($S494+$R494,4),Tables!$M$5:$M$8,0),MATCH($R495,Tables!$N$4:$Q$4,0))</f>
        <v>1796</v>
      </c>
      <c r="T495" s="2" t="str">
        <f t="shared" si="123"/>
        <v>0704</v>
      </c>
      <c r="U495" s="2">
        <f t="shared" si="129"/>
        <v>449</v>
      </c>
      <c r="V495" s="2" t="str">
        <f t="shared" si="124"/>
        <v>1C1</v>
      </c>
      <c r="W495" s="2" t="str">
        <f t="shared" si="125"/>
        <v>X</v>
      </c>
      <c r="X495" s="2" t="str">
        <f t="shared" si="128"/>
        <v>X</v>
      </c>
      <c r="Y495" s="2" t="str">
        <f t="shared" si="126"/>
        <v>X</v>
      </c>
      <c r="Z495" s="2" t="str">
        <f t="shared" si="127"/>
        <v>X</v>
      </c>
      <c r="AA495" s="2" t="str">
        <f t="shared" si="130"/>
        <v>(31 downto 24)</v>
      </c>
      <c r="AB495" s="2" t="str">
        <f t="shared" si="131"/>
        <v>(23 downto 16)</v>
      </c>
      <c r="AC495" s="2" t="str">
        <f t="shared" si="132"/>
        <v>(15 downto 8)</v>
      </c>
      <c r="AD495" s="2" t="str">
        <f t="shared" si="133"/>
        <v>(7 downto 0)</v>
      </c>
      <c r="AE495" s="2" t="str">
        <f t="shared" si="134"/>
        <v>(31 downto 24)</v>
      </c>
      <c r="AF495" s="2" t="str">
        <f t="shared" si="135"/>
        <v>(23 downto 16)</v>
      </c>
      <c r="AG495" s="2" t="str">
        <f t="shared" si="136"/>
        <v>(15 downto 8)</v>
      </c>
      <c r="AH495" s="2" t="str">
        <f t="shared" si="137"/>
        <v>(7 downto 0)</v>
      </c>
    </row>
    <row r="496" spans="2:34" x14ac:dyDescent="0.25">
      <c r="B496" s="2" t="s">
        <v>1303</v>
      </c>
      <c r="C496" s="2" t="s">
        <v>141</v>
      </c>
      <c r="D496" s="2" t="s">
        <v>0</v>
      </c>
      <c r="E496" s="2" t="s">
        <v>130</v>
      </c>
      <c r="F496" s="2" t="s">
        <v>1304</v>
      </c>
      <c r="G496" s="2" t="s">
        <v>1305</v>
      </c>
      <c r="H496" s="2" t="s">
        <v>142</v>
      </c>
      <c r="I496" s="2" t="s">
        <v>41</v>
      </c>
      <c r="J496" s="2">
        <v>32</v>
      </c>
      <c r="K496" s="2" t="s">
        <v>132</v>
      </c>
      <c r="L496" s="2" t="s">
        <v>40</v>
      </c>
      <c r="P496" s="2" t="s">
        <v>48</v>
      </c>
      <c r="Q496" s="2">
        <f>INDEX(Tables!$C$4:$C$28,MATCH($P496,Tables!$B$4:$B$28,0))</f>
        <v>32</v>
      </c>
      <c r="R496" s="2">
        <f>INDEX(Tables!$D$4:$D$28,MATCH($P496,Tables!$B$4:$B$28,0))</f>
        <v>4</v>
      </c>
      <c r="S496" s="2">
        <f>$S495+$R495+INDEX(Tables!$N$5:$Q$8,MATCH(MOD($S495+$R495,4),Tables!$M$5:$M$8,0),MATCH($R496,Tables!$N$4:$Q$4,0))</f>
        <v>1800</v>
      </c>
      <c r="T496" s="2" t="str">
        <f t="shared" si="123"/>
        <v>0708</v>
      </c>
      <c r="U496" s="2">
        <f t="shared" si="129"/>
        <v>450</v>
      </c>
      <c r="V496" s="2" t="str">
        <f t="shared" si="124"/>
        <v>1C2</v>
      </c>
      <c r="W496" s="2" t="str">
        <f t="shared" si="125"/>
        <v>X</v>
      </c>
      <c r="X496" s="2" t="str">
        <f t="shared" si="128"/>
        <v>X</v>
      </c>
      <c r="Y496" s="2" t="str">
        <f t="shared" si="126"/>
        <v>X</v>
      </c>
      <c r="Z496" s="2" t="str">
        <f t="shared" si="127"/>
        <v>X</v>
      </c>
      <c r="AA496" s="2" t="str">
        <f t="shared" si="130"/>
        <v>(31 downto 24)</v>
      </c>
      <c r="AB496" s="2" t="str">
        <f t="shared" si="131"/>
        <v>(23 downto 16)</v>
      </c>
      <c r="AC496" s="2" t="str">
        <f t="shared" si="132"/>
        <v>(15 downto 8)</v>
      </c>
      <c r="AD496" s="2" t="str">
        <f t="shared" si="133"/>
        <v>(7 downto 0)</v>
      </c>
      <c r="AE496" s="2" t="str">
        <f t="shared" si="134"/>
        <v>(31 downto 24)</v>
      </c>
      <c r="AF496" s="2" t="str">
        <f t="shared" si="135"/>
        <v>(23 downto 16)</v>
      </c>
      <c r="AG496" s="2" t="str">
        <f t="shared" si="136"/>
        <v>(15 downto 8)</v>
      </c>
      <c r="AH496" s="2" t="str">
        <f t="shared" si="137"/>
        <v>(7 downto 0)</v>
      </c>
    </row>
    <row r="497" spans="2:34" x14ac:dyDescent="0.25">
      <c r="B497" s="2" t="s">
        <v>1306</v>
      </c>
      <c r="C497" s="2" t="s">
        <v>141</v>
      </c>
      <c r="D497" s="2" t="s">
        <v>0</v>
      </c>
      <c r="E497" s="2" t="s">
        <v>130</v>
      </c>
      <c r="F497" s="2" t="s">
        <v>1307</v>
      </c>
      <c r="G497" s="2" t="s">
        <v>1308</v>
      </c>
      <c r="H497" s="2" t="s">
        <v>142</v>
      </c>
      <c r="I497" s="2" t="s">
        <v>41</v>
      </c>
      <c r="J497" s="2">
        <v>32</v>
      </c>
      <c r="K497" s="2" t="s">
        <v>132</v>
      </c>
      <c r="L497" s="2" t="s">
        <v>40</v>
      </c>
      <c r="P497" s="2" t="s">
        <v>48</v>
      </c>
      <c r="Q497" s="2">
        <f>INDEX(Tables!$C$4:$C$28,MATCH($P497,Tables!$B$4:$B$28,0))</f>
        <v>32</v>
      </c>
      <c r="R497" s="2">
        <f>INDEX(Tables!$D$4:$D$28,MATCH($P497,Tables!$B$4:$B$28,0))</f>
        <v>4</v>
      </c>
      <c r="S497" s="2">
        <f>$S496+$R496+INDEX(Tables!$N$5:$Q$8,MATCH(MOD($S496+$R496,4),Tables!$M$5:$M$8,0),MATCH($R497,Tables!$N$4:$Q$4,0))</f>
        <v>1804</v>
      </c>
      <c r="T497" s="2" t="str">
        <f t="shared" si="123"/>
        <v>070C</v>
      </c>
      <c r="U497" s="2">
        <f t="shared" si="129"/>
        <v>451</v>
      </c>
      <c r="V497" s="2" t="str">
        <f t="shared" si="124"/>
        <v>1C3</v>
      </c>
      <c r="W497" s="2" t="str">
        <f t="shared" si="125"/>
        <v>X</v>
      </c>
      <c r="X497" s="2" t="str">
        <f t="shared" si="128"/>
        <v>X</v>
      </c>
      <c r="Y497" s="2" t="str">
        <f t="shared" si="126"/>
        <v>X</v>
      </c>
      <c r="Z497" s="2" t="str">
        <f t="shared" si="127"/>
        <v>X</v>
      </c>
      <c r="AA497" s="2" t="str">
        <f t="shared" si="130"/>
        <v>(31 downto 24)</v>
      </c>
      <c r="AB497" s="2" t="str">
        <f t="shared" si="131"/>
        <v>(23 downto 16)</v>
      </c>
      <c r="AC497" s="2" t="str">
        <f t="shared" si="132"/>
        <v>(15 downto 8)</v>
      </c>
      <c r="AD497" s="2" t="str">
        <f t="shared" si="133"/>
        <v>(7 downto 0)</v>
      </c>
      <c r="AE497" s="2" t="str">
        <f t="shared" si="134"/>
        <v>(31 downto 24)</v>
      </c>
      <c r="AF497" s="2" t="str">
        <f t="shared" si="135"/>
        <v>(23 downto 16)</v>
      </c>
      <c r="AG497" s="2" t="str">
        <f t="shared" si="136"/>
        <v>(15 downto 8)</v>
      </c>
      <c r="AH497" s="2" t="str">
        <f t="shared" si="137"/>
        <v>(7 downto 0)</v>
      </c>
    </row>
    <row r="498" spans="2:34" x14ac:dyDescent="0.25">
      <c r="B498" s="2" t="s">
        <v>1309</v>
      </c>
      <c r="C498" s="2" t="s">
        <v>141</v>
      </c>
      <c r="D498" s="2" t="s">
        <v>0</v>
      </c>
      <c r="E498" s="2" t="s">
        <v>130</v>
      </c>
      <c r="F498" s="2" t="s">
        <v>1310</v>
      </c>
      <c r="G498" s="2" t="s">
        <v>1311</v>
      </c>
      <c r="H498" s="2" t="s">
        <v>142</v>
      </c>
      <c r="I498" s="2" t="s">
        <v>41</v>
      </c>
      <c r="J498" s="2">
        <v>32</v>
      </c>
      <c r="K498" s="2" t="s">
        <v>132</v>
      </c>
      <c r="L498" s="2" t="s">
        <v>40</v>
      </c>
      <c r="P498" s="2" t="s">
        <v>48</v>
      </c>
      <c r="Q498" s="2">
        <f>INDEX(Tables!$C$4:$C$28,MATCH($P498,Tables!$B$4:$B$28,0))</f>
        <v>32</v>
      </c>
      <c r="R498" s="2">
        <f>INDEX(Tables!$D$4:$D$28,MATCH($P498,Tables!$B$4:$B$28,0))</f>
        <v>4</v>
      </c>
      <c r="S498" s="2">
        <f>$S497+$R497+INDEX(Tables!$N$5:$Q$8,MATCH(MOD($S497+$R497,4),Tables!$M$5:$M$8,0),MATCH($R498,Tables!$N$4:$Q$4,0))</f>
        <v>1808</v>
      </c>
      <c r="T498" s="2" t="str">
        <f t="shared" si="123"/>
        <v>0710</v>
      </c>
      <c r="U498" s="2">
        <f t="shared" si="129"/>
        <v>452</v>
      </c>
      <c r="V498" s="2" t="str">
        <f t="shared" si="124"/>
        <v>1C4</v>
      </c>
      <c r="W498" s="2" t="str">
        <f t="shared" si="125"/>
        <v>X</v>
      </c>
      <c r="X498" s="2" t="str">
        <f t="shared" si="128"/>
        <v>X</v>
      </c>
      <c r="Y498" s="2" t="str">
        <f t="shared" si="126"/>
        <v>X</v>
      </c>
      <c r="Z498" s="2" t="str">
        <f t="shared" si="127"/>
        <v>X</v>
      </c>
      <c r="AA498" s="2" t="str">
        <f t="shared" si="130"/>
        <v>(31 downto 24)</v>
      </c>
      <c r="AB498" s="2" t="str">
        <f t="shared" si="131"/>
        <v>(23 downto 16)</v>
      </c>
      <c r="AC498" s="2" t="str">
        <f t="shared" si="132"/>
        <v>(15 downto 8)</v>
      </c>
      <c r="AD498" s="2" t="str">
        <f t="shared" si="133"/>
        <v>(7 downto 0)</v>
      </c>
      <c r="AE498" s="2" t="str">
        <f t="shared" si="134"/>
        <v>(31 downto 24)</v>
      </c>
      <c r="AF498" s="2" t="str">
        <f t="shared" si="135"/>
        <v>(23 downto 16)</v>
      </c>
      <c r="AG498" s="2" t="str">
        <f t="shared" si="136"/>
        <v>(15 downto 8)</v>
      </c>
      <c r="AH498" s="2" t="str">
        <f t="shared" si="137"/>
        <v>(7 downto 0)</v>
      </c>
    </row>
    <row r="499" spans="2:34" x14ac:dyDescent="0.25">
      <c r="B499" s="2" t="s">
        <v>1312</v>
      </c>
      <c r="C499" s="2" t="s">
        <v>141</v>
      </c>
      <c r="D499" s="2" t="s">
        <v>0</v>
      </c>
      <c r="E499" s="2" t="s">
        <v>130</v>
      </c>
      <c r="F499" s="2" t="s">
        <v>1313</v>
      </c>
      <c r="G499" s="2" t="s">
        <v>1314</v>
      </c>
      <c r="H499" s="2" t="s">
        <v>142</v>
      </c>
      <c r="I499" s="2" t="s">
        <v>41</v>
      </c>
      <c r="J499" s="2">
        <v>32</v>
      </c>
      <c r="K499" s="2" t="s">
        <v>132</v>
      </c>
      <c r="L499" s="2" t="s">
        <v>40</v>
      </c>
      <c r="P499" s="2" t="s">
        <v>48</v>
      </c>
      <c r="Q499" s="2">
        <f>INDEX(Tables!$C$4:$C$28,MATCH($P499,Tables!$B$4:$B$28,0))</f>
        <v>32</v>
      </c>
      <c r="R499" s="2">
        <f>INDEX(Tables!$D$4:$D$28,MATCH($P499,Tables!$B$4:$B$28,0))</f>
        <v>4</v>
      </c>
      <c r="S499" s="2">
        <f>$S498+$R498+INDEX(Tables!$N$5:$Q$8,MATCH(MOD($S498+$R498,4),Tables!$M$5:$M$8,0),MATCH($R499,Tables!$N$4:$Q$4,0))</f>
        <v>1812</v>
      </c>
      <c r="T499" s="2" t="str">
        <f t="shared" si="123"/>
        <v>0714</v>
      </c>
      <c r="U499" s="2">
        <f t="shared" si="129"/>
        <v>453</v>
      </c>
      <c r="V499" s="2" t="str">
        <f t="shared" si="124"/>
        <v>1C5</v>
      </c>
      <c r="W499" s="2" t="str">
        <f t="shared" si="125"/>
        <v>X</v>
      </c>
      <c r="X499" s="2" t="str">
        <f t="shared" si="128"/>
        <v>X</v>
      </c>
      <c r="Y499" s="2" t="str">
        <f t="shared" si="126"/>
        <v>X</v>
      </c>
      <c r="Z499" s="2" t="str">
        <f t="shared" si="127"/>
        <v>X</v>
      </c>
      <c r="AA499" s="2" t="str">
        <f t="shared" si="130"/>
        <v>(31 downto 24)</v>
      </c>
      <c r="AB499" s="2" t="str">
        <f t="shared" si="131"/>
        <v>(23 downto 16)</v>
      </c>
      <c r="AC499" s="2" t="str">
        <f t="shared" si="132"/>
        <v>(15 downto 8)</v>
      </c>
      <c r="AD499" s="2" t="str">
        <f t="shared" si="133"/>
        <v>(7 downto 0)</v>
      </c>
      <c r="AE499" s="2" t="str">
        <f t="shared" si="134"/>
        <v>(31 downto 24)</v>
      </c>
      <c r="AF499" s="2" t="str">
        <f t="shared" si="135"/>
        <v>(23 downto 16)</v>
      </c>
      <c r="AG499" s="2" t="str">
        <f t="shared" si="136"/>
        <v>(15 downto 8)</v>
      </c>
      <c r="AH499" s="2" t="str">
        <f t="shared" si="137"/>
        <v>(7 downto 0)</v>
      </c>
    </row>
    <row r="500" spans="2:34" x14ac:dyDescent="0.25">
      <c r="B500" s="2" t="s">
        <v>1315</v>
      </c>
      <c r="C500" s="2" t="s">
        <v>141</v>
      </c>
      <c r="D500" s="2" t="s">
        <v>0</v>
      </c>
      <c r="E500" s="2" t="s">
        <v>130</v>
      </c>
      <c r="F500" s="2" t="s">
        <v>1316</v>
      </c>
      <c r="G500" s="2" t="s">
        <v>1317</v>
      </c>
      <c r="H500" s="2" t="s">
        <v>142</v>
      </c>
      <c r="I500" s="2" t="s">
        <v>41</v>
      </c>
      <c r="J500" s="2">
        <v>32</v>
      </c>
      <c r="K500" s="2" t="s">
        <v>132</v>
      </c>
      <c r="L500" s="2" t="s">
        <v>40</v>
      </c>
      <c r="P500" s="2" t="s">
        <v>48</v>
      </c>
      <c r="Q500" s="2">
        <f>INDEX(Tables!$C$4:$C$28,MATCH($P500,Tables!$B$4:$B$28,0))</f>
        <v>32</v>
      </c>
      <c r="R500" s="2">
        <f>INDEX(Tables!$D$4:$D$28,MATCH($P500,Tables!$B$4:$B$28,0))</f>
        <v>4</v>
      </c>
      <c r="S500" s="2">
        <f>$S499+$R499+INDEX(Tables!$N$5:$Q$8,MATCH(MOD($S499+$R499,4),Tables!$M$5:$M$8,0),MATCH($R500,Tables!$N$4:$Q$4,0))</f>
        <v>1816</v>
      </c>
      <c r="T500" s="2" t="str">
        <f t="shared" si="123"/>
        <v>0718</v>
      </c>
      <c r="U500" s="2">
        <f t="shared" si="129"/>
        <v>454</v>
      </c>
      <c r="V500" s="2" t="str">
        <f t="shared" si="124"/>
        <v>1C6</v>
      </c>
      <c r="W500" s="2" t="str">
        <f t="shared" si="125"/>
        <v>X</v>
      </c>
      <c r="X500" s="2" t="str">
        <f t="shared" si="128"/>
        <v>X</v>
      </c>
      <c r="Y500" s="2" t="str">
        <f t="shared" si="126"/>
        <v>X</v>
      </c>
      <c r="Z500" s="2" t="str">
        <f t="shared" si="127"/>
        <v>X</v>
      </c>
      <c r="AA500" s="2" t="str">
        <f t="shared" si="130"/>
        <v>(31 downto 24)</v>
      </c>
      <c r="AB500" s="2" t="str">
        <f t="shared" si="131"/>
        <v>(23 downto 16)</v>
      </c>
      <c r="AC500" s="2" t="str">
        <f t="shared" si="132"/>
        <v>(15 downto 8)</v>
      </c>
      <c r="AD500" s="2" t="str">
        <f t="shared" si="133"/>
        <v>(7 downto 0)</v>
      </c>
      <c r="AE500" s="2" t="str">
        <f t="shared" si="134"/>
        <v>(31 downto 24)</v>
      </c>
      <c r="AF500" s="2" t="str">
        <f t="shared" si="135"/>
        <v>(23 downto 16)</v>
      </c>
      <c r="AG500" s="2" t="str">
        <f t="shared" si="136"/>
        <v>(15 downto 8)</v>
      </c>
      <c r="AH500" s="2" t="str">
        <f t="shared" si="137"/>
        <v>(7 downto 0)</v>
      </c>
    </row>
    <row r="501" spans="2:34" x14ac:dyDescent="0.25">
      <c r="B501" s="2" t="s">
        <v>1318</v>
      </c>
      <c r="C501" s="2" t="s">
        <v>141</v>
      </c>
      <c r="D501" s="2" t="s">
        <v>0</v>
      </c>
      <c r="E501" s="2" t="s">
        <v>130</v>
      </c>
      <c r="F501" s="2" t="s">
        <v>1319</v>
      </c>
      <c r="G501" s="2" t="s">
        <v>1320</v>
      </c>
      <c r="H501" s="2" t="s">
        <v>142</v>
      </c>
      <c r="I501" s="2" t="s">
        <v>41</v>
      </c>
      <c r="J501" s="2">
        <v>32</v>
      </c>
      <c r="K501" s="2" t="s">
        <v>132</v>
      </c>
      <c r="L501" s="2" t="s">
        <v>40</v>
      </c>
      <c r="P501" s="2" t="s">
        <v>48</v>
      </c>
      <c r="Q501" s="2">
        <f>INDEX(Tables!$C$4:$C$28,MATCH($P501,Tables!$B$4:$B$28,0))</f>
        <v>32</v>
      </c>
      <c r="R501" s="2">
        <f>INDEX(Tables!$D$4:$D$28,MATCH($P501,Tables!$B$4:$B$28,0))</f>
        <v>4</v>
      </c>
      <c r="S501" s="2">
        <f>$S500+$R500+INDEX(Tables!$N$5:$Q$8,MATCH(MOD($S500+$R500,4),Tables!$M$5:$M$8,0),MATCH($R501,Tables!$N$4:$Q$4,0))</f>
        <v>1820</v>
      </c>
      <c r="T501" s="2" t="str">
        <f t="shared" si="123"/>
        <v>071C</v>
      </c>
      <c r="U501" s="2">
        <f t="shared" si="129"/>
        <v>455</v>
      </c>
      <c r="V501" s="2" t="str">
        <f t="shared" si="124"/>
        <v>1C7</v>
      </c>
      <c r="W501" s="2" t="str">
        <f t="shared" si="125"/>
        <v>X</v>
      </c>
      <c r="X501" s="2" t="str">
        <f t="shared" si="128"/>
        <v>X</v>
      </c>
      <c r="Y501" s="2" t="str">
        <f t="shared" si="126"/>
        <v>X</v>
      </c>
      <c r="Z501" s="2" t="str">
        <f t="shared" si="127"/>
        <v>X</v>
      </c>
      <c r="AA501" s="2" t="str">
        <f t="shared" si="130"/>
        <v>(31 downto 24)</v>
      </c>
      <c r="AB501" s="2" t="str">
        <f t="shared" si="131"/>
        <v>(23 downto 16)</v>
      </c>
      <c r="AC501" s="2" t="str">
        <f t="shared" si="132"/>
        <v>(15 downto 8)</v>
      </c>
      <c r="AD501" s="2" t="str">
        <f t="shared" si="133"/>
        <v>(7 downto 0)</v>
      </c>
      <c r="AE501" s="2" t="str">
        <f t="shared" si="134"/>
        <v>(31 downto 24)</v>
      </c>
      <c r="AF501" s="2" t="str">
        <f t="shared" si="135"/>
        <v>(23 downto 16)</v>
      </c>
      <c r="AG501" s="2" t="str">
        <f t="shared" si="136"/>
        <v>(15 downto 8)</v>
      </c>
      <c r="AH501" s="2" t="str">
        <f t="shared" si="137"/>
        <v>(7 downto 0)</v>
      </c>
    </row>
    <row r="502" spans="2:34" x14ac:dyDescent="0.25">
      <c r="B502" s="2" t="s">
        <v>1321</v>
      </c>
      <c r="C502" s="2" t="s">
        <v>141</v>
      </c>
      <c r="D502" s="2" t="s">
        <v>0</v>
      </c>
      <c r="E502" s="2" t="s">
        <v>130</v>
      </c>
      <c r="F502" s="2" t="s">
        <v>1322</v>
      </c>
      <c r="G502" s="2" t="s">
        <v>1323</v>
      </c>
      <c r="H502" s="2" t="s">
        <v>142</v>
      </c>
      <c r="I502" s="2" t="s">
        <v>41</v>
      </c>
      <c r="J502" s="2">
        <v>32</v>
      </c>
      <c r="K502" s="2" t="s">
        <v>132</v>
      </c>
      <c r="L502" s="2" t="s">
        <v>40</v>
      </c>
      <c r="P502" s="2" t="s">
        <v>48</v>
      </c>
      <c r="Q502" s="2">
        <f>INDEX(Tables!$C$4:$C$28,MATCH($P502,Tables!$B$4:$B$28,0))</f>
        <v>32</v>
      </c>
      <c r="R502" s="2">
        <f>INDEX(Tables!$D$4:$D$28,MATCH($P502,Tables!$B$4:$B$28,0))</f>
        <v>4</v>
      </c>
      <c r="S502" s="2">
        <f>$S501+$R501+INDEX(Tables!$N$5:$Q$8,MATCH(MOD($S501+$R501,4),Tables!$M$5:$M$8,0),MATCH($R502,Tables!$N$4:$Q$4,0))</f>
        <v>1824</v>
      </c>
      <c r="T502" s="2" t="str">
        <f t="shared" si="123"/>
        <v>0720</v>
      </c>
      <c r="U502" s="2">
        <f t="shared" si="129"/>
        <v>456</v>
      </c>
      <c r="V502" s="2" t="str">
        <f t="shared" si="124"/>
        <v>1C8</v>
      </c>
      <c r="W502" s="2" t="str">
        <f t="shared" si="125"/>
        <v>X</v>
      </c>
      <c r="X502" s="2" t="str">
        <f t="shared" si="128"/>
        <v>X</v>
      </c>
      <c r="Y502" s="2" t="str">
        <f t="shared" si="126"/>
        <v>X</v>
      </c>
      <c r="Z502" s="2" t="str">
        <f t="shared" si="127"/>
        <v>X</v>
      </c>
      <c r="AA502" s="2" t="str">
        <f t="shared" si="130"/>
        <v>(31 downto 24)</v>
      </c>
      <c r="AB502" s="2" t="str">
        <f t="shared" si="131"/>
        <v>(23 downto 16)</v>
      </c>
      <c r="AC502" s="2" t="str">
        <f t="shared" si="132"/>
        <v>(15 downto 8)</v>
      </c>
      <c r="AD502" s="2" t="str">
        <f t="shared" si="133"/>
        <v>(7 downto 0)</v>
      </c>
      <c r="AE502" s="2" t="str">
        <f t="shared" si="134"/>
        <v>(31 downto 24)</v>
      </c>
      <c r="AF502" s="2" t="str">
        <f t="shared" si="135"/>
        <v>(23 downto 16)</v>
      </c>
      <c r="AG502" s="2" t="str">
        <f t="shared" si="136"/>
        <v>(15 downto 8)</v>
      </c>
      <c r="AH502" s="2" t="str">
        <f t="shared" si="137"/>
        <v>(7 downto 0)</v>
      </c>
    </row>
    <row r="503" spans="2:34" x14ac:dyDescent="0.25">
      <c r="B503" s="2" t="s">
        <v>1324</v>
      </c>
      <c r="C503" s="2" t="s">
        <v>141</v>
      </c>
      <c r="D503" s="2" t="s">
        <v>0</v>
      </c>
      <c r="E503" s="2" t="s">
        <v>130</v>
      </c>
      <c r="F503" s="2" t="s">
        <v>1325</v>
      </c>
      <c r="G503" s="2" t="s">
        <v>1326</v>
      </c>
      <c r="H503" s="2" t="s">
        <v>142</v>
      </c>
      <c r="I503" s="2" t="s">
        <v>41</v>
      </c>
      <c r="J503" s="2">
        <v>32</v>
      </c>
      <c r="K503" s="2" t="s">
        <v>132</v>
      </c>
      <c r="L503" s="2" t="s">
        <v>40</v>
      </c>
      <c r="P503" s="2" t="s">
        <v>48</v>
      </c>
      <c r="Q503" s="2">
        <f>INDEX(Tables!$C$4:$C$28,MATCH($P503,Tables!$B$4:$B$28,0))</f>
        <v>32</v>
      </c>
      <c r="R503" s="2">
        <f>INDEX(Tables!$D$4:$D$28,MATCH($P503,Tables!$B$4:$B$28,0))</f>
        <v>4</v>
      </c>
      <c r="S503" s="2">
        <f>$S502+$R502+INDEX(Tables!$N$5:$Q$8,MATCH(MOD($S502+$R502,4),Tables!$M$5:$M$8,0),MATCH($R503,Tables!$N$4:$Q$4,0))</f>
        <v>1828</v>
      </c>
      <c r="T503" s="2" t="str">
        <f t="shared" si="123"/>
        <v>0724</v>
      </c>
      <c r="U503" s="2">
        <f t="shared" si="129"/>
        <v>457</v>
      </c>
      <c r="V503" s="2" t="str">
        <f t="shared" si="124"/>
        <v>1C9</v>
      </c>
      <c r="W503" s="2" t="str">
        <f t="shared" si="125"/>
        <v>X</v>
      </c>
      <c r="X503" s="2" t="str">
        <f t="shared" si="128"/>
        <v>X</v>
      </c>
      <c r="Y503" s="2" t="str">
        <f t="shared" si="126"/>
        <v>X</v>
      </c>
      <c r="Z503" s="2" t="str">
        <f t="shared" si="127"/>
        <v>X</v>
      </c>
      <c r="AA503" s="2" t="str">
        <f t="shared" si="130"/>
        <v>(31 downto 24)</v>
      </c>
      <c r="AB503" s="2" t="str">
        <f t="shared" si="131"/>
        <v>(23 downto 16)</v>
      </c>
      <c r="AC503" s="2" t="str">
        <f t="shared" si="132"/>
        <v>(15 downto 8)</v>
      </c>
      <c r="AD503" s="2" t="str">
        <f t="shared" si="133"/>
        <v>(7 downto 0)</v>
      </c>
      <c r="AE503" s="2" t="str">
        <f t="shared" si="134"/>
        <v>(31 downto 24)</v>
      </c>
      <c r="AF503" s="2" t="str">
        <f t="shared" si="135"/>
        <v>(23 downto 16)</v>
      </c>
      <c r="AG503" s="2" t="str">
        <f t="shared" si="136"/>
        <v>(15 downto 8)</v>
      </c>
      <c r="AH503" s="2" t="str">
        <f t="shared" si="137"/>
        <v>(7 downto 0)</v>
      </c>
    </row>
    <row r="504" spans="2:34" x14ac:dyDescent="0.25">
      <c r="B504" s="2" t="s">
        <v>1327</v>
      </c>
      <c r="C504" s="2" t="s">
        <v>141</v>
      </c>
      <c r="D504" s="2" t="s">
        <v>0</v>
      </c>
      <c r="E504" s="2" t="s">
        <v>130</v>
      </c>
      <c r="F504" s="2" t="s">
        <v>1328</v>
      </c>
      <c r="G504" s="2" t="s">
        <v>1329</v>
      </c>
      <c r="H504" s="2" t="s">
        <v>142</v>
      </c>
      <c r="I504" s="2" t="s">
        <v>41</v>
      </c>
      <c r="J504" s="2">
        <v>32</v>
      </c>
      <c r="K504" s="2" t="s">
        <v>132</v>
      </c>
      <c r="L504" s="2" t="s">
        <v>40</v>
      </c>
      <c r="P504" s="2" t="s">
        <v>48</v>
      </c>
      <c r="Q504" s="2">
        <f>INDEX(Tables!$C$4:$C$28,MATCH($P504,Tables!$B$4:$B$28,0))</f>
        <v>32</v>
      </c>
      <c r="R504" s="2">
        <f>INDEX(Tables!$D$4:$D$28,MATCH($P504,Tables!$B$4:$B$28,0))</f>
        <v>4</v>
      </c>
      <c r="S504" s="2">
        <f>$S503+$R503+INDEX(Tables!$N$5:$Q$8,MATCH(MOD($S503+$R503,4),Tables!$M$5:$M$8,0),MATCH($R504,Tables!$N$4:$Q$4,0))</f>
        <v>1832</v>
      </c>
      <c r="T504" s="2" t="str">
        <f t="shared" si="123"/>
        <v>0728</v>
      </c>
      <c r="U504" s="2">
        <f t="shared" si="129"/>
        <v>458</v>
      </c>
      <c r="V504" s="2" t="str">
        <f t="shared" si="124"/>
        <v>1CA</v>
      </c>
      <c r="W504" s="2" t="str">
        <f t="shared" si="125"/>
        <v>X</v>
      </c>
      <c r="X504" s="2" t="str">
        <f t="shared" si="128"/>
        <v>X</v>
      </c>
      <c r="Y504" s="2" t="str">
        <f t="shared" si="126"/>
        <v>X</v>
      </c>
      <c r="Z504" s="2" t="str">
        <f t="shared" si="127"/>
        <v>X</v>
      </c>
      <c r="AA504" s="2" t="str">
        <f t="shared" si="130"/>
        <v>(31 downto 24)</v>
      </c>
      <c r="AB504" s="2" t="str">
        <f t="shared" si="131"/>
        <v>(23 downto 16)</v>
      </c>
      <c r="AC504" s="2" t="str">
        <f t="shared" si="132"/>
        <v>(15 downto 8)</v>
      </c>
      <c r="AD504" s="2" t="str">
        <f t="shared" si="133"/>
        <v>(7 downto 0)</v>
      </c>
      <c r="AE504" s="2" t="str">
        <f t="shared" si="134"/>
        <v>(31 downto 24)</v>
      </c>
      <c r="AF504" s="2" t="str">
        <f t="shared" si="135"/>
        <v>(23 downto 16)</v>
      </c>
      <c r="AG504" s="2" t="str">
        <f t="shared" si="136"/>
        <v>(15 downto 8)</v>
      </c>
      <c r="AH504" s="2" t="str">
        <f t="shared" si="137"/>
        <v>(7 downto 0)</v>
      </c>
    </row>
    <row r="505" spans="2:34" x14ac:dyDescent="0.25">
      <c r="B505" s="2" t="s">
        <v>1330</v>
      </c>
      <c r="C505" s="2" t="s">
        <v>141</v>
      </c>
      <c r="D505" s="2" t="s">
        <v>0</v>
      </c>
      <c r="E505" s="2" t="s">
        <v>130</v>
      </c>
      <c r="F505" s="2" t="s">
        <v>1331</v>
      </c>
      <c r="G505" s="2" t="s">
        <v>1332</v>
      </c>
      <c r="H505" s="2" t="s">
        <v>142</v>
      </c>
      <c r="I505" s="2" t="s">
        <v>41</v>
      </c>
      <c r="J505" s="2">
        <v>32</v>
      </c>
      <c r="K505" s="2" t="s">
        <v>132</v>
      </c>
      <c r="L505" s="2" t="s">
        <v>40</v>
      </c>
      <c r="P505" s="2" t="s">
        <v>48</v>
      </c>
      <c r="Q505" s="2">
        <f>INDEX(Tables!$C$4:$C$28,MATCH($P505,Tables!$B$4:$B$28,0))</f>
        <v>32</v>
      </c>
      <c r="R505" s="2">
        <f>INDEX(Tables!$D$4:$D$28,MATCH($P505,Tables!$B$4:$B$28,0))</f>
        <v>4</v>
      </c>
      <c r="S505" s="2">
        <f>$S504+$R504+INDEX(Tables!$N$5:$Q$8,MATCH(MOD($S504+$R504,4),Tables!$M$5:$M$8,0),MATCH($R505,Tables!$N$4:$Q$4,0))</f>
        <v>1836</v>
      </c>
      <c r="T505" s="2" t="str">
        <f t="shared" si="123"/>
        <v>072C</v>
      </c>
      <c r="U505" s="2">
        <f t="shared" si="129"/>
        <v>459</v>
      </c>
      <c r="V505" s="2" t="str">
        <f t="shared" si="124"/>
        <v>1CB</v>
      </c>
      <c r="W505" s="2" t="str">
        <f t="shared" si="125"/>
        <v>X</v>
      </c>
      <c r="X505" s="2" t="str">
        <f t="shared" si="128"/>
        <v>X</v>
      </c>
      <c r="Y505" s="2" t="str">
        <f t="shared" si="126"/>
        <v>X</v>
      </c>
      <c r="Z505" s="2" t="str">
        <f t="shared" si="127"/>
        <v>X</v>
      </c>
      <c r="AA505" s="2" t="str">
        <f t="shared" si="130"/>
        <v>(31 downto 24)</v>
      </c>
      <c r="AB505" s="2" t="str">
        <f t="shared" si="131"/>
        <v>(23 downto 16)</v>
      </c>
      <c r="AC505" s="2" t="str">
        <f t="shared" si="132"/>
        <v>(15 downto 8)</v>
      </c>
      <c r="AD505" s="2" t="str">
        <f t="shared" si="133"/>
        <v>(7 downto 0)</v>
      </c>
      <c r="AE505" s="2" t="str">
        <f t="shared" si="134"/>
        <v>(31 downto 24)</v>
      </c>
      <c r="AF505" s="2" t="str">
        <f t="shared" si="135"/>
        <v>(23 downto 16)</v>
      </c>
      <c r="AG505" s="2" t="str">
        <f t="shared" si="136"/>
        <v>(15 downto 8)</v>
      </c>
      <c r="AH505" s="2" t="str">
        <f t="shared" si="137"/>
        <v>(7 downto 0)</v>
      </c>
    </row>
    <row r="506" spans="2:34" x14ac:dyDescent="0.25">
      <c r="B506" s="2" t="s">
        <v>1333</v>
      </c>
      <c r="C506" s="2" t="s">
        <v>141</v>
      </c>
      <c r="D506" s="2" t="s">
        <v>0</v>
      </c>
      <c r="E506" s="2" t="s">
        <v>130</v>
      </c>
      <c r="F506" s="2" t="s">
        <v>1334</v>
      </c>
      <c r="G506" s="2" t="s">
        <v>1335</v>
      </c>
      <c r="H506" s="2" t="s">
        <v>142</v>
      </c>
      <c r="I506" s="2" t="s">
        <v>41</v>
      </c>
      <c r="J506" s="2">
        <v>32</v>
      </c>
      <c r="K506" s="2" t="s">
        <v>132</v>
      </c>
      <c r="L506" s="2" t="s">
        <v>40</v>
      </c>
      <c r="P506" s="2" t="s">
        <v>48</v>
      </c>
      <c r="Q506" s="2">
        <f>INDEX(Tables!$C$4:$C$28,MATCH($P506,Tables!$B$4:$B$28,0))</f>
        <v>32</v>
      </c>
      <c r="R506" s="2">
        <f>INDEX(Tables!$D$4:$D$28,MATCH($P506,Tables!$B$4:$B$28,0))</f>
        <v>4</v>
      </c>
      <c r="S506" s="2">
        <f>$S505+$R505+INDEX(Tables!$N$5:$Q$8,MATCH(MOD($S505+$R505,4),Tables!$M$5:$M$8,0),MATCH($R506,Tables!$N$4:$Q$4,0))</f>
        <v>1840</v>
      </c>
      <c r="T506" s="2" t="str">
        <f t="shared" si="123"/>
        <v>0730</v>
      </c>
      <c r="U506" s="2">
        <f t="shared" si="129"/>
        <v>460</v>
      </c>
      <c r="V506" s="2" t="str">
        <f t="shared" si="124"/>
        <v>1CC</v>
      </c>
      <c r="W506" s="2" t="str">
        <f t="shared" si="125"/>
        <v>X</v>
      </c>
      <c r="X506" s="2" t="str">
        <f t="shared" si="128"/>
        <v>X</v>
      </c>
      <c r="Y506" s="2" t="str">
        <f t="shared" si="126"/>
        <v>X</v>
      </c>
      <c r="Z506" s="2" t="str">
        <f t="shared" si="127"/>
        <v>X</v>
      </c>
      <c r="AA506" s="2" t="str">
        <f t="shared" si="130"/>
        <v>(31 downto 24)</v>
      </c>
      <c r="AB506" s="2" t="str">
        <f t="shared" si="131"/>
        <v>(23 downto 16)</v>
      </c>
      <c r="AC506" s="2" t="str">
        <f t="shared" si="132"/>
        <v>(15 downto 8)</v>
      </c>
      <c r="AD506" s="2" t="str">
        <f t="shared" si="133"/>
        <v>(7 downto 0)</v>
      </c>
      <c r="AE506" s="2" t="str">
        <f t="shared" si="134"/>
        <v>(31 downto 24)</v>
      </c>
      <c r="AF506" s="2" t="str">
        <f t="shared" si="135"/>
        <v>(23 downto 16)</v>
      </c>
      <c r="AG506" s="2" t="str">
        <f t="shared" si="136"/>
        <v>(15 downto 8)</v>
      </c>
      <c r="AH506" s="2" t="str">
        <f t="shared" si="137"/>
        <v>(7 downto 0)</v>
      </c>
    </row>
    <row r="507" spans="2:34" x14ac:dyDescent="0.25">
      <c r="B507" s="2" t="s">
        <v>1336</v>
      </c>
      <c r="C507" s="2" t="s">
        <v>141</v>
      </c>
      <c r="D507" s="2" t="s">
        <v>0</v>
      </c>
      <c r="E507" s="2" t="s">
        <v>130</v>
      </c>
      <c r="F507" s="2" t="s">
        <v>1337</v>
      </c>
      <c r="G507" s="2" t="s">
        <v>1338</v>
      </c>
      <c r="H507" s="2" t="s">
        <v>142</v>
      </c>
      <c r="I507" s="2" t="s">
        <v>41</v>
      </c>
      <c r="J507" s="2">
        <v>32</v>
      </c>
      <c r="K507" s="2" t="s">
        <v>132</v>
      </c>
      <c r="L507" s="2" t="s">
        <v>40</v>
      </c>
      <c r="P507" s="2" t="s">
        <v>48</v>
      </c>
      <c r="Q507" s="2">
        <f>INDEX(Tables!$C$4:$C$28,MATCH($P507,Tables!$B$4:$B$28,0))</f>
        <v>32</v>
      </c>
      <c r="R507" s="2">
        <f>INDEX(Tables!$D$4:$D$28,MATCH($P507,Tables!$B$4:$B$28,0))</f>
        <v>4</v>
      </c>
      <c r="S507" s="2">
        <f>$S506+$R506+INDEX(Tables!$N$5:$Q$8,MATCH(MOD($S506+$R506,4),Tables!$M$5:$M$8,0),MATCH($R507,Tables!$N$4:$Q$4,0))</f>
        <v>1844</v>
      </c>
      <c r="T507" s="2" t="str">
        <f t="shared" si="123"/>
        <v>0734</v>
      </c>
      <c r="U507" s="2">
        <f t="shared" si="129"/>
        <v>461</v>
      </c>
      <c r="V507" s="2" t="str">
        <f t="shared" si="124"/>
        <v>1CD</v>
      </c>
      <c r="W507" s="2" t="str">
        <f t="shared" si="125"/>
        <v>X</v>
      </c>
      <c r="X507" s="2" t="str">
        <f t="shared" si="128"/>
        <v>X</v>
      </c>
      <c r="Y507" s="2" t="str">
        <f t="shared" si="126"/>
        <v>X</v>
      </c>
      <c r="Z507" s="2" t="str">
        <f t="shared" si="127"/>
        <v>X</v>
      </c>
      <c r="AA507" s="2" t="str">
        <f t="shared" si="130"/>
        <v>(31 downto 24)</v>
      </c>
      <c r="AB507" s="2" t="str">
        <f t="shared" si="131"/>
        <v>(23 downto 16)</v>
      </c>
      <c r="AC507" s="2" t="str">
        <f t="shared" si="132"/>
        <v>(15 downto 8)</v>
      </c>
      <c r="AD507" s="2" t="str">
        <f t="shared" si="133"/>
        <v>(7 downto 0)</v>
      </c>
      <c r="AE507" s="2" t="str">
        <f t="shared" si="134"/>
        <v>(31 downto 24)</v>
      </c>
      <c r="AF507" s="2" t="str">
        <f t="shared" si="135"/>
        <v>(23 downto 16)</v>
      </c>
      <c r="AG507" s="2" t="str">
        <f t="shared" si="136"/>
        <v>(15 downto 8)</v>
      </c>
      <c r="AH507" s="2" t="str">
        <f t="shared" si="137"/>
        <v>(7 downto 0)</v>
      </c>
    </row>
    <row r="508" spans="2:34" x14ac:dyDescent="0.25">
      <c r="B508" s="2" t="s">
        <v>1339</v>
      </c>
      <c r="C508" s="2" t="s">
        <v>141</v>
      </c>
      <c r="D508" s="2" t="s">
        <v>0</v>
      </c>
      <c r="E508" s="2" t="s">
        <v>130</v>
      </c>
      <c r="F508" s="2" t="s">
        <v>1340</v>
      </c>
      <c r="G508" s="2" t="s">
        <v>1341</v>
      </c>
      <c r="H508" s="2" t="s">
        <v>142</v>
      </c>
      <c r="I508" s="2" t="s">
        <v>41</v>
      </c>
      <c r="J508" s="2">
        <v>32</v>
      </c>
      <c r="K508" s="2" t="s">
        <v>132</v>
      </c>
      <c r="L508" s="2" t="s">
        <v>40</v>
      </c>
      <c r="P508" s="2" t="s">
        <v>48</v>
      </c>
      <c r="Q508" s="2">
        <f>INDEX(Tables!$C$4:$C$28,MATCH($P508,Tables!$B$4:$B$28,0))</f>
        <v>32</v>
      </c>
      <c r="R508" s="2">
        <f>INDEX(Tables!$D$4:$D$28,MATCH($P508,Tables!$B$4:$B$28,0))</f>
        <v>4</v>
      </c>
      <c r="S508" s="2">
        <f>$S507+$R507+INDEX(Tables!$N$5:$Q$8,MATCH(MOD($S507+$R507,4),Tables!$M$5:$M$8,0),MATCH($R508,Tables!$N$4:$Q$4,0))</f>
        <v>1848</v>
      </c>
      <c r="T508" s="2" t="str">
        <f t="shared" si="123"/>
        <v>0738</v>
      </c>
      <c r="U508" s="2">
        <f t="shared" si="129"/>
        <v>462</v>
      </c>
      <c r="V508" s="2" t="str">
        <f t="shared" si="124"/>
        <v>1CE</v>
      </c>
      <c r="W508" s="2" t="str">
        <f t="shared" si="125"/>
        <v>X</v>
      </c>
      <c r="X508" s="2" t="str">
        <f t="shared" si="128"/>
        <v>X</v>
      </c>
      <c r="Y508" s="2" t="str">
        <f t="shared" si="126"/>
        <v>X</v>
      </c>
      <c r="Z508" s="2" t="str">
        <f t="shared" si="127"/>
        <v>X</v>
      </c>
      <c r="AA508" s="2" t="str">
        <f t="shared" si="130"/>
        <v>(31 downto 24)</v>
      </c>
      <c r="AB508" s="2" t="str">
        <f t="shared" si="131"/>
        <v>(23 downto 16)</v>
      </c>
      <c r="AC508" s="2" t="str">
        <f t="shared" si="132"/>
        <v>(15 downto 8)</v>
      </c>
      <c r="AD508" s="2" t="str">
        <f t="shared" si="133"/>
        <v>(7 downto 0)</v>
      </c>
      <c r="AE508" s="2" t="str">
        <f t="shared" si="134"/>
        <v>(31 downto 24)</v>
      </c>
      <c r="AF508" s="2" t="str">
        <f t="shared" si="135"/>
        <v>(23 downto 16)</v>
      </c>
      <c r="AG508" s="2" t="str">
        <f t="shared" si="136"/>
        <v>(15 downto 8)</v>
      </c>
      <c r="AH508" s="2" t="str">
        <f t="shared" si="137"/>
        <v>(7 downto 0)</v>
      </c>
    </row>
    <row r="509" spans="2:34" x14ac:dyDescent="0.25">
      <c r="B509" s="2" t="s">
        <v>1342</v>
      </c>
      <c r="C509" s="2" t="s">
        <v>141</v>
      </c>
      <c r="D509" s="2" t="s">
        <v>0</v>
      </c>
      <c r="E509" s="2" t="s">
        <v>130</v>
      </c>
      <c r="F509" s="2" t="s">
        <v>1343</v>
      </c>
      <c r="G509" s="2" t="s">
        <v>1344</v>
      </c>
      <c r="H509" s="2" t="s">
        <v>142</v>
      </c>
      <c r="I509" s="2" t="s">
        <v>41</v>
      </c>
      <c r="J509" s="2">
        <v>32</v>
      </c>
      <c r="K509" s="2" t="s">
        <v>132</v>
      </c>
      <c r="L509" s="2" t="s">
        <v>40</v>
      </c>
      <c r="P509" s="2" t="s">
        <v>48</v>
      </c>
      <c r="Q509" s="2">
        <f>INDEX(Tables!$C$4:$C$28,MATCH($P509,Tables!$B$4:$B$28,0))</f>
        <v>32</v>
      </c>
      <c r="R509" s="2">
        <f>INDEX(Tables!$D$4:$D$28,MATCH($P509,Tables!$B$4:$B$28,0))</f>
        <v>4</v>
      </c>
      <c r="S509" s="2">
        <f>$S508+$R508+INDEX(Tables!$N$5:$Q$8,MATCH(MOD($S508+$R508,4),Tables!$M$5:$M$8,0),MATCH($R509,Tables!$N$4:$Q$4,0))</f>
        <v>1852</v>
      </c>
      <c r="T509" s="2" t="str">
        <f t="shared" si="123"/>
        <v>073C</v>
      </c>
      <c r="U509" s="2">
        <f t="shared" si="129"/>
        <v>463</v>
      </c>
      <c r="V509" s="2" t="str">
        <f t="shared" si="124"/>
        <v>1CF</v>
      </c>
      <c r="W509" s="2" t="str">
        <f t="shared" si="125"/>
        <v>X</v>
      </c>
      <c r="X509" s="2" t="str">
        <f t="shared" si="128"/>
        <v>X</v>
      </c>
      <c r="Y509" s="2" t="str">
        <f t="shared" si="126"/>
        <v>X</v>
      </c>
      <c r="Z509" s="2" t="str">
        <f t="shared" si="127"/>
        <v>X</v>
      </c>
      <c r="AA509" s="2" t="str">
        <f t="shared" si="130"/>
        <v>(31 downto 24)</v>
      </c>
      <c r="AB509" s="2" t="str">
        <f t="shared" si="131"/>
        <v>(23 downto 16)</v>
      </c>
      <c r="AC509" s="2" t="str">
        <f t="shared" si="132"/>
        <v>(15 downto 8)</v>
      </c>
      <c r="AD509" s="2" t="str">
        <f t="shared" si="133"/>
        <v>(7 downto 0)</v>
      </c>
      <c r="AE509" s="2" t="str">
        <f t="shared" si="134"/>
        <v>(31 downto 24)</v>
      </c>
      <c r="AF509" s="2" t="str">
        <f t="shared" si="135"/>
        <v>(23 downto 16)</v>
      </c>
      <c r="AG509" s="2" t="str">
        <f t="shared" si="136"/>
        <v>(15 downto 8)</v>
      </c>
      <c r="AH509" s="2" t="str">
        <f t="shared" si="137"/>
        <v>(7 downto 0)</v>
      </c>
    </row>
    <row r="510" spans="2:34" x14ac:dyDescent="0.25">
      <c r="B510" s="2" t="s">
        <v>1345</v>
      </c>
      <c r="C510" s="2" t="s">
        <v>141</v>
      </c>
      <c r="D510" s="2" t="s">
        <v>0</v>
      </c>
      <c r="E510" s="2" t="s">
        <v>130</v>
      </c>
      <c r="F510" s="2" t="s">
        <v>1346</v>
      </c>
      <c r="G510" s="2" t="s">
        <v>1347</v>
      </c>
      <c r="H510" s="2" t="s">
        <v>142</v>
      </c>
      <c r="I510" s="2" t="s">
        <v>41</v>
      </c>
      <c r="J510" s="2">
        <v>32</v>
      </c>
      <c r="K510" s="2" t="s">
        <v>132</v>
      </c>
      <c r="L510" s="2" t="s">
        <v>40</v>
      </c>
      <c r="P510" s="2" t="s">
        <v>48</v>
      </c>
      <c r="Q510" s="2">
        <f>INDEX(Tables!$C$4:$C$28,MATCH($P510,Tables!$B$4:$B$28,0))</f>
        <v>32</v>
      </c>
      <c r="R510" s="2">
        <f>INDEX(Tables!$D$4:$D$28,MATCH($P510,Tables!$B$4:$B$28,0))</f>
        <v>4</v>
      </c>
      <c r="S510" s="2">
        <f>$S509+$R509+INDEX(Tables!$N$5:$Q$8,MATCH(MOD($S509+$R509,4),Tables!$M$5:$M$8,0),MATCH($R510,Tables!$N$4:$Q$4,0))</f>
        <v>1856</v>
      </c>
      <c r="T510" s="2" t="str">
        <f t="shared" si="123"/>
        <v>0740</v>
      </c>
      <c r="U510" s="2">
        <f t="shared" si="129"/>
        <v>464</v>
      </c>
      <c r="V510" s="2" t="str">
        <f t="shared" si="124"/>
        <v>1D0</v>
      </c>
      <c r="W510" s="2" t="str">
        <f t="shared" si="125"/>
        <v>X</v>
      </c>
      <c r="X510" s="2" t="str">
        <f t="shared" si="128"/>
        <v>X</v>
      </c>
      <c r="Y510" s="2" t="str">
        <f t="shared" si="126"/>
        <v>X</v>
      </c>
      <c r="Z510" s="2" t="str">
        <f t="shared" si="127"/>
        <v>X</v>
      </c>
      <c r="AA510" s="2" t="str">
        <f t="shared" si="130"/>
        <v>(31 downto 24)</v>
      </c>
      <c r="AB510" s="2" t="str">
        <f t="shared" si="131"/>
        <v>(23 downto 16)</v>
      </c>
      <c r="AC510" s="2" t="str">
        <f t="shared" si="132"/>
        <v>(15 downto 8)</v>
      </c>
      <c r="AD510" s="2" t="str">
        <f t="shared" si="133"/>
        <v>(7 downto 0)</v>
      </c>
      <c r="AE510" s="2" t="str">
        <f t="shared" si="134"/>
        <v>(31 downto 24)</v>
      </c>
      <c r="AF510" s="2" t="str">
        <f t="shared" si="135"/>
        <v>(23 downto 16)</v>
      </c>
      <c r="AG510" s="2" t="str">
        <f t="shared" si="136"/>
        <v>(15 downto 8)</v>
      </c>
      <c r="AH510" s="2" t="str">
        <f t="shared" si="137"/>
        <v>(7 downto 0)</v>
      </c>
    </row>
    <row r="511" spans="2:34" x14ac:dyDescent="0.25">
      <c r="B511" s="2" t="s">
        <v>1348</v>
      </c>
      <c r="C511" s="2" t="s">
        <v>141</v>
      </c>
      <c r="D511" s="2" t="s">
        <v>0</v>
      </c>
      <c r="E511" s="2" t="s">
        <v>130</v>
      </c>
      <c r="F511" s="2" t="s">
        <v>1349</v>
      </c>
      <c r="G511" s="2" t="s">
        <v>1350</v>
      </c>
      <c r="H511" s="2" t="s">
        <v>142</v>
      </c>
      <c r="I511" s="2" t="s">
        <v>41</v>
      </c>
      <c r="J511" s="2">
        <v>32</v>
      </c>
      <c r="K511" s="2" t="s">
        <v>132</v>
      </c>
      <c r="L511" s="2" t="s">
        <v>40</v>
      </c>
      <c r="P511" s="2" t="s">
        <v>48</v>
      </c>
      <c r="Q511" s="2">
        <f>INDEX(Tables!$C$4:$C$28,MATCH($P511,Tables!$B$4:$B$28,0))</f>
        <v>32</v>
      </c>
      <c r="R511" s="2">
        <f>INDEX(Tables!$D$4:$D$28,MATCH($P511,Tables!$B$4:$B$28,0))</f>
        <v>4</v>
      </c>
      <c r="S511" s="2">
        <f>$S510+$R510+INDEX(Tables!$N$5:$Q$8,MATCH(MOD($S510+$R510,4),Tables!$M$5:$M$8,0),MATCH($R511,Tables!$N$4:$Q$4,0))</f>
        <v>1860</v>
      </c>
      <c r="T511" s="2" t="str">
        <f t="shared" si="123"/>
        <v>0744</v>
      </c>
      <c r="U511" s="2">
        <f t="shared" si="129"/>
        <v>465</v>
      </c>
      <c r="V511" s="2" t="str">
        <f t="shared" si="124"/>
        <v>1D1</v>
      </c>
      <c r="W511" s="2" t="str">
        <f t="shared" si="125"/>
        <v>X</v>
      </c>
      <c r="X511" s="2" t="str">
        <f t="shared" si="128"/>
        <v>X</v>
      </c>
      <c r="Y511" s="2" t="str">
        <f t="shared" si="126"/>
        <v>X</v>
      </c>
      <c r="Z511" s="2" t="str">
        <f t="shared" si="127"/>
        <v>X</v>
      </c>
      <c r="AA511" s="2" t="str">
        <f t="shared" si="130"/>
        <v>(31 downto 24)</v>
      </c>
      <c r="AB511" s="2" t="str">
        <f t="shared" si="131"/>
        <v>(23 downto 16)</v>
      </c>
      <c r="AC511" s="2" t="str">
        <f t="shared" si="132"/>
        <v>(15 downto 8)</v>
      </c>
      <c r="AD511" s="2" t="str">
        <f t="shared" si="133"/>
        <v>(7 downto 0)</v>
      </c>
      <c r="AE511" s="2" t="str">
        <f t="shared" si="134"/>
        <v>(31 downto 24)</v>
      </c>
      <c r="AF511" s="2" t="str">
        <f t="shared" si="135"/>
        <v>(23 downto 16)</v>
      </c>
      <c r="AG511" s="2" t="str">
        <f t="shared" si="136"/>
        <v>(15 downto 8)</v>
      </c>
      <c r="AH511" s="2" t="str">
        <f t="shared" si="137"/>
        <v>(7 downto 0)</v>
      </c>
    </row>
    <row r="512" spans="2:34" x14ac:dyDescent="0.25">
      <c r="B512" s="2" t="s">
        <v>1351</v>
      </c>
      <c r="C512" s="2" t="s">
        <v>141</v>
      </c>
      <c r="D512" s="2" t="s">
        <v>0</v>
      </c>
      <c r="E512" s="2" t="s">
        <v>130</v>
      </c>
      <c r="F512" s="2" t="s">
        <v>1352</v>
      </c>
      <c r="G512" s="2" t="s">
        <v>1353</v>
      </c>
      <c r="H512" s="2" t="s">
        <v>142</v>
      </c>
      <c r="I512" s="2" t="s">
        <v>41</v>
      </c>
      <c r="J512" s="2">
        <v>32</v>
      </c>
      <c r="K512" s="2" t="s">
        <v>132</v>
      </c>
      <c r="L512" s="2" t="s">
        <v>40</v>
      </c>
      <c r="P512" s="2" t="s">
        <v>48</v>
      </c>
      <c r="Q512" s="2">
        <f>INDEX(Tables!$C$4:$C$28,MATCH($P512,Tables!$B$4:$B$28,0))</f>
        <v>32</v>
      </c>
      <c r="R512" s="2">
        <f>INDEX(Tables!$D$4:$D$28,MATCH($P512,Tables!$B$4:$B$28,0))</f>
        <v>4</v>
      </c>
      <c r="S512" s="2">
        <f>$S511+$R511+INDEX(Tables!$N$5:$Q$8,MATCH(MOD($S511+$R511,4),Tables!$M$5:$M$8,0),MATCH($R512,Tables!$N$4:$Q$4,0))</f>
        <v>1864</v>
      </c>
      <c r="T512" s="2" t="str">
        <f t="shared" si="123"/>
        <v>0748</v>
      </c>
      <c r="U512" s="2">
        <f t="shared" si="129"/>
        <v>466</v>
      </c>
      <c r="V512" s="2" t="str">
        <f t="shared" si="124"/>
        <v>1D2</v>
      </c>
      <c r="W512" s="2" t="str">
        <f t="shared" si="125"/>
        <v>X</v>
      </c>
      <c r="X512" s="2" t="str">
        <f t="shared" si="128"/>
        <v>X</v>
      </c>
      <c r="Y512" s="2" t="str">
        <f t="shared" si="126"/>
        <v>X</v>
      </c>
      <c r="Z512" s="2" t="str">
        <f t="shared" si="127"/>
        <v>X</v>
      </c>
      <c r="AA512" s="2" t="str">
        <f t="shared" si="130"/>
        <v>(31 downto 24)</v>
      </c>
      <c r="AB512" s="2" t="str">
        <f t="shared" si="131"/>
        <v>(23 downto 16)</v>
      </c>
      <c r="AC512" s="2" t="str">
        <f t="shared" si="132"/>
        <v>(15 downto 8)</v>
      </c>
      <c r="AD512" s="2" t="str">
        <f t="shared" si="133"/>
        <v>(7 downto 0)</v>
      </c>
      <c r="AE512" s="2" t="str">
        <f t="shared" si="134"/>
        <v>(31 downto 24)</v>
      </c>
      <c r="AF512" s="2" t="str">
        <f t="shared" si="135"/>
        <v>(23 downto 16)</v>
      </c>
      <c r="AG512" s="2" t="str">
        <f t="shared" si="136"/>
        <v>(15 downto 8)</v>
      </c>
      <c r="AH512" s="2" t="str">
        <f t="shared" si="137"/>
        <v>(7 downto 0)</v>
      </c>
    </row>
    <row r="513" spans="2:34" x14ac:dyDescent="0.25">
      <c r="B513" s="2" t="s">
        <v>1354</v>
      </c>
      <c r="C513" s="2" t="s">
        <v>141</v>
      </c>
      <c r="D513" s="2" t="s">
        <v>0</v>
      </c>
      <c r="E513" s="2" t="s">
        <v>130</v>
      </c>
      <c r="F513" s="2" t="s">
        <v>1355</v>
      </c>
      <c r="G513" s="2" t="s">
        <v>1356</v>
      </c>
      <c r="H513" s="2" t="s">
        <v>142</v>
      </c>
      <c r="I513" s="2" t="s">
        <v>41</v>
      </c>
      <c r="J513" s="2">
        <v>32</v>
      </c>
      <c r="K513" s="2" t="s">
        <v>132</v>
      </c>
      <c r="L513" s="2" t="s">
        <v>40</v>
      </c>
      <c r="P513" s="2" t="s">
        <v>48</v>
      </c>
      <c r="Q513" s="2">
        <f>INDEX(Tables!$C$4:$C$28,MATCH($P513,Tables!$B$4:$B$28,0))</f>
        <v>32</v>
      </c>
      <c r="R513" s="2">
        <f>INDEX(Tables!$D$4:$D$28,MATCH($P513,Tables!$B$4:$B$28,0))</f>
        <v>4</v>
      </c>
      <c r="S513" s="2">
        <f>$S512+$R512+INDEX(Tables!$N$5:$Q$8,MATCH(MOD($S512+$R512,4),Tables!$M$5:$M$8,0),MATCH($R513,Tables!$N$4:$Q$4,0))</f>
        <v>1868</v>
      </c>
      <c r="T513" s="2" t="str">
        <f t="shared" si="123"/>
        <v>074C</v>
      </c>
      <c r="U513" s="2">
        <f t="shared" si="129"/>
        <v>467</v>
      </c>
      <c r="V513" s="2" t="str">
        <f t="shared" si="124"/>
        <v>1D3</v>
      </c>
      <c r="W513" s="2" t="str">
        <f t="shared" si="125"/>
        <v>X</v>
      </c>
      <c r="X513" s="2" t="str">
        <f t="shared" si="128"/>
        <v>X</v>
      </c>
      <c r="Y513" s="2" t="str">
        <f t="shared" si="126"/>
        <v>X</v>
      </c>
      <c r="Z513" s="2" t="str">
        <f t="shared" si="127"/>
        <v>X</v>
      </c>
      <c r="AA513" s="2" t="str">
        <f t="shared" si="130"/>
        <v>(31 downto 24)</v>
      </c>
      <c r="AB513" s="2" t="str">
        <f t="shared" si="131"/>
        <v>(23 downto 16)</v>
      </c>
      <c r="AC513" s="2" t="str">
        <f t="shared" si="132"/>
        <v>(15 downto 8)</v>
      </c>
      <c r="AD513" s="2" t="str">
        <f t="shared" si="133"/>
        <v>(7 downto 0)</v>
      </c>
      <c r="AE513" s="2" t="str">
        <f t="shared" si="134"/>
        <v>(31 downto 24)</v>
      </c>
      <c r="AF513" s="2" t="str">
        <f t="shared" si="135"/>
        <v>(23 downto 16)</v>
      </c>
      <c r="AG513" s="2" t="str">
        <f t="shared" si="136"/>
        <v>(15 downto 8)</v>
      </c>
      <c r="AH513" s="2" t="str">
        <f t="shared" si="137"/>
        <v>(7 downto 0)</v>
      </c>
    </row>
    <row r="514" spans="2:34" x14ac:dyDescent="0.25">
      <c r="B514" s="2" t="s">
        <v>1357</v>
      </c>
      <c r="C514" s="2" t="s">
        <v>141</v>
      </c>
      <c r="D514" s="2" t="s">
        <v>0</v>
      </c>
      <c r="E514" s="2" t="s">
        <v>130</v>
      </c>
      <c r="F514" s="2" t="s">
        <v>1358</v>
      </c>
      <c r="G514" s="2" t="s">
        <v>1359</v>
      </c>
      <c r="H514" s="2" t="s">
        <v>142</v>
      </c>
      <c r="I514" s="2" t="s">
        <v>41</v>
      </c>
      <c r="J514" s="2">
        <v>32</v>
      </c>
      <c r="K514" s="2" t="s">
        <v>132</v>
      </c>
      <c r="L514" s="2" t="s">
        <v>40</v>
      </c>
      <c r="P514" s="2" t="s">
        <v>48</v>
      </c>
      <c r="Q514" s="2">
        <f>INDEX(Tables!$C$4:$C$28,MATCH($P514,Tables!$B$4:$B$28,0))</f>
        <v>32</v>
      </c>
      <c r="R514" s="2">
        <f>INDEX(Tables!$D$4:$D$28,MATCH($P514,Tables!$B$4:$B$28,0))</f>
        <v>4</v>
      </c>
      <c r="S514" s="2">
        <f>$S513+$R513+INDEX(Tables!$N$5:$Q$8,MATCH(MOD($S513+$R513,4),Tables!$M$5:$M$8,0),MATCH($R514,Tables!$N$4:$Q$4,0))</f>
        <v>1872</v>
      </c>
      <c r="T514" s="2" t="str">
        <f t="shared" si="123"/>
        <v>0750</v>
      </c>
      <c r="U514" s="2">
        <f t="shared" si="129"/>
        <v>468</v>
      </c>
      <c r="V514" s="2" t="str">
        <f t="shared" si="124"/>
        <v>1D4</v>
      </c>
      <c r="W514" s="2" t="str">
        <f t="shared" si="125"/>
        <v>X</v>
      </c>
      <c r="X514" s="2" t="str">
        <f t="shared" si="128"/>
        <v>X</v>
      </c>
      <c r="Y514" s="2" t="str">
        <f t="shared" si="126"/>
        <v>X</v>
      </c>
      <c r="Z514" s="2" t="str">
        <f t="shared" si="127"/>
        <v>X</v>
      </c>
      <c r="AA514" s="2" t="str">
        <f t="shared" si="130"/>
        <v>(31 downto 24)</v>
      </c>
      <c r="AB514" s="2" t="str">
        <f t="shared" si="131"/>
        <v>(23 downto 16)</v>
      </c>
      <c r="AC514" s="2" t="str">
        <f t="shared" si="132"/>
        <v>(15 downto 8)</v>
      </c>
      <c r="AD514" s="2" t="str">
        <f t="shared" si="133"/>
        <v>(7 downto 0)</v>
      </c>
      <c r="AE514" s="2" t="str">
        <f t="shared" si="134"/>
        <v>(31 downto 24)</v>
      </c>
      <c r="AF514" s="2" t="str">
        <f t="shared" si="135"/>
        <v>(23 downto 16)</v>
      </c>
      <c r="AG514" s="2" t="str">
        <f t="shared" si="136"/>
        <v>(15 downto 8)</v>
      </c>
      <c r="AH514" s="2" t="str">
        <f t="shared" si="137"/>
        <v>(7 downto 0)</v>
      </c>
    </row>
    <row r="515" spans="2:34" x14ac:dyDescent="0.25">
      <c r="B515" s="2" t="s">
        <v>1360</v>
      </c>
      <c r="C515" s="2" t="s">
        <v>141</v>
      </c>
      <c r="D515" s="2" t="s">
        <v>0</v>
      </c>
      <c r="E515" s="2" t="s">
        <v>130</v>
      </c>
      <c r="F515" s="2" t="s">
        <v>1361</v>
      </c>
      <c r="G515" s="2" t="s">
        <v>1362</v>
      </c>
      <c r="H515" s="2" t="s">
        <v>142</v>
      </c>
      <c r="I515" s="2" t="s">
        <v>41</v>
      </c>
      <c r="J515" s="2">
        <v>32</v>
      </c>
      <c r="K515" s="2" t="s">
        <v>132</v>
      </c>
      <c r="L515" s="2" t="s">
        <v>40</v>
      </c>
      <c r="P515" s="2" t="s">
        <v>48</v>
      </c>
      <c r="Q515" s="2">
        <f>INDEX(Tables!$C$4:$C$28,MATCH($P515,Tables!$B$4:$B$28,0))</f>
        <v>32</v>
      </c>
      <c r="R515" s="2">
        <f>INDEX(Tables!$D$4:$D$28,MATCH($P515,Tables!$B$4:$B$28,0))</f>
        <v>4</v>
      </c>
      <c r="S515" s="2">
        <f>$S514+$R514+INDEX(Tables!$N$5:$Q$8,MATCH(MOD($S514+$R514,4),Tables!$M$5:$M$8,0),MATCH($R515,Tables!$N$4:$Q$4,0))</f>
        <v>1876</v>
      </c>
      <c r="T515" s="2" t="str">
        <f t="shared" si="123"/>
        <v>0754</v>
      </c>
      <c r="U515" s="2">
        <f t="shared" si="129"/>
        <v>469</v>
      </c>
      <c r="V515" s="2" t="str">
        <f t="shared" si="124"/>
        <v>1D5</v>
      </c>
      <c r="W515" s="2" t="str">
        <f t="shared" si="125"/>
        <v>X</v>
      </c>
      <c r="X515" s="2" t="str">
        <f t="shared" si="128"/>
        <v>X</v>
      </c>
      <c r="Y515" s="2" t="str">
        <f t="shared" si="126"/>
        <v>X</v>
      </c>
      <c r="Z515" s="2" t="str">
        <f t="shared" si="127"/>
        <v>X</v>
      </c>
      <c r="AA515" s="2" t="str">
        <f t="shared" si="130"/>
        <v>(31 downto 24)</v>
      </c>
      <c r="AB515" s="2" t="str">
        <f t="shared" si="131"/>
        <v>(23 downto 16)</v>
      </c>
      <c r="AC515" s="2" t="str">
        <f t="shared" si="132"/>
        <v>(15 downto 8)</v>
      </c>
      <c r="AD515" s="2" t="str">
        <f t="shared" si="133"/>
        <v>(7 downto 0)</v>
      </c>
      <c r="AE515" s="2" t="str">
        <f t="shared" si="134"/>
        <v>(31 downto 24)</v>
      </c>
      <c r="AF515" s="2" t="str">
        <f t="shared" si="135"/>
        <v>(23 downto 16)</v>
      </c>
      <c r="AG515" s="2" t="str">
        <f t="shared" si="136"/>
        <v>(15 downto 8)</v>
      </c>
      <c r="AH515" s="2" t="str">
        <f t="shared" si="137"/>
        <v>(7 downto 0)</v>
      </c>
    </row>
    <row r="516" spans="2:34" x14ac:dyDescent="0.25">
      <c r="B516" s="2" t="s">
        <v>1363</v>
      </c>
      <c r="C516" s="2" t="s">
        <v>141</v>
      </c>
      <c r="D516" s="2" t="s">
        <v>0</v>
      </c>
      <c r="E516" s="2" t="s">
        <v>130</v>
      </c>
      <c r="F516" s="2" t="s">
        <v>1364</v>
      </c>
      <c r="G516" s="2" t="s">
        <v>1365</v>
      </c>
      <c r="H516" s="2" t="s">
        <v>142</v>
      </c>
      <c r="I516" s="2" t="s">
        <v>41</v>
      </c>
      <c r="J516" s="2">
        <v>32</v>
      </c>
      <c r="K516" s="2" t="s">
        <v>132</v>
      </c>
      <c r="L516" s="2" t="s">
        <v>40</v>
      </c>
      <c r="P516" s="2" t="s">
        <v>48</v>
      </c>
      <c r="Q516" s="2">
        <f>INDEX(Tables!$C$4:$C$28,MATCH($P516,Tables!$B$4:$B$28,0))</f>
        <v>32</v>
      </c>
      <c r="R516" s="2">
        <f>INDEX(Tables!$D$4:$D$28,MATCH($P516,Tables!$B$4:$B$28,0))</f>
        <v>4</v>
      </c>
      <c r="S516" s="2">
        <f>$S515+$R515+INDEX(Tables!$N$5:$Q$8,MATCH(MOD($S515+$R515,4),Tables!$M$5:$M$8,0),MATCH($R516,Tables!$N$4:$Q$4,0))</f>
        <v>1880</v>
      </c>
      <c r="T516" s="2" t="str">
        <f t="shared" si="123"/>
        <v>0758</v>
      </c>
      <c r="U516" s="2">
        <f t="shared" si="129"/>
        <v>470</v>
      </c>
      <c r="V516" s="2" t="str">
        <f t="shared" si="124"/>
        <v>1D6</v>
      </c>
      <c r="W516" s="2" t="str">
        <f t="shared" si="125"/>
        <v>X</v>
      </c>
      <c r="X516" s="2" t="str">
        <f t="shared" si="128"/>
        <v>X</v>
      </c>
      <c r="Y516" s="2" t="str">
        <f t="shared" si="126"/>
        <v>X</v>
      </c>
      <c r="Z516" s="2" t="str">
        <f t="shared" si="127"/>
        <v>X</v>
      </c>
      <c r="AA516" s="2" t="str">
        <f t="shared" si="130"/>
        <v>(31 downto 24)</v>
      </c>
      <c r="AB516" s="2" t="str">
        <f t="shared" si="131"/>
        <v>(23 downto 16)</v>
      </c>
      <c r="AC516" s="2" t="str">
        <f t="shared" si="132"/>
        <v>(15 downto 8)</v>
      </c>
      <c r="AD516" s="2" t="str">
        <f t="shared" si="133"/>
        <v>(7 downto 0)</v>
      </c>
      <c r="AE516" s="2" t="str">
        <f t="shared" si="134"/>
        <v>(31 downto 24)</v>
      </c>
      <c r="AF516" s="2" t="str">
        <f t="shared" si="135"/>
        <v>(23 downto 16)</v>
      </c>
      <c r="AG516" s="2" t="str">
        <f t="shared" si="136"/>
        <v>(15 downto 8)</v>
      </c>
      <c r="AH516" s="2" t="str">
        <f t="shared" si="137"/>
        <v>(7 downto 0)</v>
      </c>
    </row>
    <row r="517" spans="2:34" x14ac:dyDescent="0.25">
      <c r="B517" s="2" t="s">
        <v>1366</v>
      </c>
      <c r="C517" s="2" t="s">
        <v>141</v>
      </c>
      <c r="D517" s="2" t="s">
        <v>0</v>
      </c>
      <c r="E517" s="2" t="s">
        <v>130</v>
      </c>
      <c r="F517" s="2" t="s">
        <v>1367</v>
      </c>
      <c r="G517" s="2" t="s">
        <v>1368</v>
      </c>
      <c r="H517" s="2" t="s">
        <v>142</v>
      </c>
      <c r="I517" s="2" t="s">
        <v>41</v>
      </c>
      <c r="J517" s="2">
        <v>32</v>
      </c>
      <c r="K517" s="2" t="s">
        <v>132</v>
      </c>
      <c r="L517" s="2" t="s">
        <v>40</v>
      </c>
      <c r="P517" s="2" t="s">
        <v>48</v>
      </c>
      <c r="Q517" s="2">
        <f>INDEX(Tables!$C$4:$C$28,MATCH($P517,Tables!$B$4:$B$28,0))</f>
        <v>32</v>
      </c>
      <c r="R517" s="2">
        <f>INDEX(Tables!$D$4:$D$28,MATCH($P517,Tables!$B$4:$B$28,0))</f>
        <v>4</v>
      </c>
      <c r="S517" s="2">
        <f>$S516+$R516+INDEX(Tables!$N$5:$Q$8,MATCH(MOD($S516+$R516,4),Tables!$M$5:$M$8,0),MATCH($R517,Tables!$N$4:$Q$4,0))</f>
        <v>1884</v>
      </c>
      <c r="T517" s="2" t="str">
        <f t="shared" ref="T517:T580" si="138">DEC2HEX($S517,4)</f>
        <v>075C</v>
      </c>
      <c r="U517" s="2">
        <f t="shared" si="129"/>
        <v>471</v>
      </c>
      <c r="V517" s="2" t="str">
        <f t="shared" ref="V517:V580" si="139">DEC2HEX($U517,3)</f>
        <v>1D7</v>
      </c>
      <c r="W517" s="2" t="str">
        <f t="shared" ref="W517:W580" si="140">IF(MOD($S517,4)=3,"X",IF(AND(MOD($S517,4)=2,$J517&gt;8),"X",IF(AND(MOD($S517,4)=1,$J517&gt;16),"X",IF(AND(MOD($S517,4)=0,$J517&gt;24),"X",""))))</f>
        <v>X</v>
      </c>
      <c r="X517" s="2" t="str">
        <f t="shared" si="128"/>
        <v>X</v>
      </c>
      <c r="Y517" s="2" t="str">
        <f t="shared" ref="Y517:Y580" si="141">IF(MOD($S517,4)=1,"X",IF(AND(MOD($S517,4)=0,$J517&gt;8),"X",""))</f>
        <v>X</v>
      </c>
      <c r="Z517" s="2" t="str">
        <f t="shared" ref="Z517:Z580" si="142">IF(MOD($S517,4)=0,"X","")</f>
        <v>X</v>
      </c>
      <c r="AA517" s="2" t="str">
        <f t="shared" si="130"/>
        <v>(31 downto 24)</v>
      </c>
      <c r="AB517" s="2" t="str">
        <f t="shared" si="131"/>
        <v>(23 downto 16)</v>
      </c>
      <c r="AC517" s="2" t="str">
        <f t="shared" si="132"/>
        <v>(15 downto 8)</v>
      </c>
      <c r="AD517" s="2" t="str">
        <f t="shared" si="133"/>
        <v>(7 downto 0)</v>
      </c>
      <c r="AE517" s="2" t="str">
        <f t="shared" si="134"/>
        <v>(31 downto 24)</v>
      </c>
      <c r="AF517" s="2" t="str">
        <f t="shared" si="135"/>
        <v>(23 downto 16)</v>
      </c>
      <c r="AG517" s="2" t="str">
        <f t="shared" si="136"/>
        <v>(15 downto 8)</v>
      </c>
      <c r="AH517" s="2" t="str">
        <f t="shared" si="137"/>
        <v>(7 downto 0)</v>
      </c>
    </row>
    <row r="518" spans="2:34" x14ac:dyDescent="0.25">
      <c r="B518" s="2" t="s">
        <v>1369</v>
      </c>
      <c r="C518" s="2" t="s">
        <v>141</v>
      </c>
      <c r="D518" s="2" t="s">
        <v>0</v>
      </c>
      <c r="E518" s="2" t="s">
        <v>130</v>
      </c>
      <c r="F518" s="2" t="s">
        <v>1370</v>
      </c>
      <c r="G518" s="2" t="s">
        <v>1371</v>
      </c>
      <c r="H518" s="2" t="s">
        <v>142</v>
      </c>
      <c r="I518" s="2" t="s">
        <v>41</v>
      </c>
      <c r="J518" s="2">
        <v>32</v>
      </c>
      <c r="K518" s="2" t="s">
        <v>132</v>
      </c>
      <c r="L518" s="2" t="s">
        <v>40</v>
      </c>
      <c r="P518" s="2" t="s">
        <v>48</v>
      </c>
      <c r="Q518" s="2">
        <f>INDEX(Tables!$C$4:$C$28,MATCH($P518,Tables!$B$4:$B$28,0))</f>
        <v>32</v>
      </c>
      <c r="R518" s="2">
        <f>INDEX(Tables!$D$4:$D$28,MATCH($P518,Tables!$B$4:$B$28,0))</f>
        <v>4</v>
      </c>
      <c r="S518" s="2">
        <f>$S517+$R517+INDEX(Tables!$N$5:$Q$8,MATCH(MOD($S517+$R517,4),Tables!$M$5:$M$8,0),MATCH($R518,Tables!$N$4:$Q$4,0))</f>
        <v>1888</v>
      </c>
      <c r="T518" s="2" t="str">
        <f t="shared" si="138"/>
        <v>0760</v>
      </c>
      <c r="U518" s="2">
        <f t="shared" si="129"/>
        <v>472</v>
      </c>
      <c r="V518" s="2" t="str">
        <f t="shared" si="139"/>
        <v>1D8</v>
      </c>
      <c r="W518" s="2" t="str">
        <f t="shared" si="140"/>
        <v>X</v>
      </c>
      <c r="X518" s="2" t="str">
        <f t="shared" ref="X518:X581" si="143">IF(MOD($S518,4)=2,"X",IF(AND(MOD($S518,4)=1,$J518&gt;8),"X",IF(AND(MOD($S518,4)=0,$J518&gt;16),"X","")))</f>
        <v>X</v>
      </c>
      <c r="Y518" s="2" t="str">
        <f t="shared" si="141"/>
        <v>X</v>
      </c>
      <c r="Z518" s="2" t="str">
        <f t="shared" si="142"/>
        <v>X</v>
      </c>
      <c r="AA518" s="2" t="str">
        <f t="shared" si="130"/>
        <v>(31 downto 24)</v>
      </c>
      <c r="AB518" s="2" t="str">
        <f t="shared" si="131"/>
        <v>(23 downto 16)</v>
      </c>
      <c r="AC518" s="2" t="str">
        <f t="shared" si="132"/>
        <v>(15 downto 8)</v>
      </c>
      <c r="AD518" s="2" t="str">
        <f t="shared" si="133"/>
        <v>(7 downto 0)</v>
      </c>
      <c r="AE518" s="2" t="str">
        <f t="shared" si="134"/>
        <v>(31 downto 24)</v>
      </c>
      <c r="AF518" s="2" t="str">
        <f t="shared" si="135"/>
        <v>(23 downto 16)</v>
      </c>
      <c r="AG518" s="2" t="str">
        <f t="shared" si="136"/>
        <v>(15 downto 8)</v>
      </c>
      <c r="AH518" s="2" t="str">
        <f t="shared" si="137"/>
        <v>(7 downto 0)</v>
      </c>
    </row>
    <row r="519" spans="2:34" x14ac:dyDescent="0.25">
      <c r="B519" s="2" t="s">
        <v>1372</v>
      </c>
      <c r="C519" s="2" t="s">
        <v>141</v>
      </c>
      <c r="D519" s="2" t="s">
        <v>0</v>
      </c>
      <c r="E519" s="2" t="s">
        <v>130</v>
      </c>
      <c r="F519" s="2" t="s">
        <v>1373</v>
      </c>
      <c r="G519" s="2" t="s">
        <v>1374</v>
      </c>
      <c r="H519" s="2" t="s">
        <v>142</v>
      </c>
      <c r="I519" s="2" t="s">
        <v>41</v>
      </c>
      <c r="J519" s="2">
        <v>32</v>
      </c>
      <c r="K519" s="2" t="s">
        <v>132</v>
      </c>
      <c r="L519" s="2" t="s">
        <v>40</v>
      </c>
      <c r="P519" s="2" t="s">
        <v>48</v>
      </c>
      <c r="Q519" s="2">
        <f>INDEX(Tables!$C$4:$C$28,MATCH($P519,Tables!$B$4:$B$28,0))</f>
        <v>32</v>
      </c>
      <c r="R519" s="2">
        <f>INDEX(Tables!$D$4:$D$28,MATCH($P519,Tables!$B$4:$B$28,0))</f>
        <v>4</v>
      </c>
      <c r="S519" s="2">
        <f>$S518+$R518+INDEX(Tables!$N$5:$Q$8,MATCH(MOD($S518+$R518,4),Tables!$M$5:$M$8,0),MATCH($R519,Tables!$N$4:$Q$4,0))</f>
        <v>1892</v>
      </c>
      <c r="T519" s="2" t="str">
        <f t="shared" si="138"/>
        <v>0764</v>
      </c>
      <c r="U519" s="2">
        <f t="shared" si="129"/>
        <v>473</v>
      </c>
      <c r="V519" s="2" t="str">
        <f t="shared" si="139"/>
        <v>1D9</v>
      </c>
      <c r="W519" s="2" t="str">
        <f t="shared" si="140"/>
        <v>X</v>
      </c>
      <c r="X519" s="2" t="str">
        <f t="shared" si="143"/>
        <v>X</v>
      </c>
      <c r="Y519" s="2" t="str">
        <f t="shared" si="141"/>
        <v>X</v>
      </c>
      <c r="Z519" s="2" t="str">
        <f t="shared" si="142"/>
        <v>X</v>
      </c>
      <c r="AA519" s="2" t="str">
        <f t="shared" si="130"/>
        <v>(31 downto 24)</v>
      </c>
      <c r="AB519" s="2" t="str">
        <f t="shared" si="131"/>
        <v>(23 downto 16)</v>
      </c>
      <c r="AC519" s="2" t="str">
        <f t="shared" si="132"/>
        <v>(15 downto 8)</v>
      </c>
      <c r="AD519" s="2" t="str">
        <f t="shared" si="133"/>
        <v>(7 downto 0)</v>
      </c>
      <c r="AE519" s="2" t="str">
        <f t="shared" si="134"/>
        <v>(31 downto 24)</v>
      </c>
      <c r="AF519" s="2" t="str">
        <f t="shared" si="135"/>
        <v>(23 downto 16)</v>
      </c>
      <c r="AG519" s="2" t="str">
        <f t="shared" si="136"/>
        <v>(15 downto 8)</v>
      </c>
      <c r="AH519" s="2" t="str">
        <f t="shared" si="137"/>
        <v>(7 downto 0)</v>
      </c>
    </row>
    <row r="520" spans="2:34" x14ac:dyDescent="0.25">
      <c r="B520" s="2" t="s">
        <v>1375</v>
      </c>
      <c r="C520" s="2" t="s">
        <v>141</v>
      </c>
      <c r="D520" s="2" t="s">
        <v>0</v>
      </c>
      <c r="E520" s="2" t="s">
        <v>130</v>
      </c>
      <c r="F520" s="2" t="s">
        <v>1376</v>
      </c>
      <c r="G520" s="2" t="s">
        <v>1377</v>
      </c>
      <c r="H520" s="2" t="s">
        <v>142</v>
      </c>
      <c r="I520" s="2" t="s">
        <v>41</v>
      </c>
      <c r="J520" s="2">
        <v>32</v>
      </c>
      <c r="K520" s="2" t="s">
        <v>132</v>
      </c>
      <c r="L520" s="2" t="s">
        <v>40</v>
      </c>
      <c r="P520" s="2" t="s">
        <v>48</v>
      </c>
      <c r="Q520" s="2">
        <f>INDEX(Tables!$C$4:$C$28,MATCH($P520,Tables!$B$4:$B$28,0))</f>
        <v>32</v>
      </c>
      <c r="R520" s="2">
        <f>INDEX(Tables!$D$4:$D$28,MATCH($P520,Tables!$B$4:$B$28,0))</f>
        <v>4</v>
      </c>
      <c r="S520" s="2">
        <f>$S519+$R519+INDEX(Tables!$N$5:$Q$8,MATCH(MOD($S519+$R519,4),Tables!$M$5:$M$8,0),MATCH($R520,Tables!$N$4:$Q$4,0))</f>
        <v>1896</v>
      </c>
      <c r="T520" s="2" t="str">
        <f t="shared" si="138"/>
        <v>0768</v>
      </c>
      <c r="U520" s="2">
        <f t="shared" si="129"/>
        <v>474</v>
      </c>
      <c r="V520" s="2" t="str">
        <f t="shared" si="139"/>
        <v>1DA</v>
      </c>
      <c r="W520" s="2" t="str">
        <f t="shared" si="140"/>
        <v>X</v>
      </c>
      <c r="X520" s="2" t="str">
        <f t="shared" si="143"/>
        <v>X</v>
      </c>
      <c r="Y520" s="2" t="str">
        <f t="shared" si="141"/>
        <v>X</v>
      </c>
      <c r="Z520" s="2" t="str">
        <f t="shared" si="142"/>
        <v>X</v>
      </c>
      <c r="AA520" s="2" t="str">
        <f t="shared" si="130"/>
        <v>(31 downto 24)</v>
      </c>
      <c r="AB520" s="2" t="str">
        <f t="shared" si="131"/>
        <v>(23 downto 16)</v>
      </c>
      <c r="AC520" s="2" t="str">
        <f t="shared" si="132"/>
        <v>(15 downto 8)</v>
      </c>
      <c r="AD520" s="2" t="str">
        <f t="shared" si="133"/>
        <v>(7 downto 0)</v>
      </c>
      <c r="AE520" s="2" t="str">
        <f t="shared" si="134"/>
        <v>(31 downto 24)</v>
      </c>
      <c r="AF520" s="2" t="str">
        <f t="shared" si="135"/>
        <v>(23 downto 16)</v>
      </c>
      <c r="AG520" s="2" t="str">
        <f t="shared" si="136"/>
        <v>(15 downto 8)</v>
      </c>
      <c r="AH520" s="2" t="str">
        <f t="shared" si="137"/>
        <v>(7 downto 0)</v>
      </c>
    </row>
    <row r="521" spans="2:34" x14ac:dyDescent="0.25">
      <c r="B521" s="2" t="s">
        <v>1378</v>
      </c>
      <c r="C521" s="2" t="s">
        <v>141</v>
      </c>
      <c r="D521" s="2" t="s">
        <v>0</v>
      </c>
      <c r="E521" s="2" t="s">
        <v>130</v>
      </c>
      <c r="F521" s="2" t="s">
        <v>1379</v>
      </c>
      <c r="G521" s="2" t="s">
        <v>1380</v>
      </c>
      <c r="H521" s="2" t="s">
        <v>142</v>
      </c>
      <c r="I521" s="2" t="s">
        <v>41</v>
      </c>
      <c r="J521" s="2">
        <v>32</v>
      </c>
      <c r="K521" s="2" t="s">
        <v>132</v>
      </c>
      <c r="L521" s="2" t="s">
        <v>40</v>
      </c>
      <c r="P521" s="2" t="s">
        <v>48</v>
      </c>
      <c r="Q521" s="2">
        <f>INDEX(Tables!$C$4:$C$28,MATCH($P521,Tables!$B$4:$B$28,0))</f>
        <v>32</v>
      </c>
      <c r="R521" s="2">
        <f>INDEX(Tables!$D$4:$D$28,MATCH($P521,Tables!$B$4:$B$28,0))</f>
        <v>4</v>
      </c>
      <c r="S521" s="2">
        <f>$S520+$R520+INDEX(Tables!$N$5:$Q$8,MATCH(MOD($S520+$R520,4),Tables!$M$5:$M$8,0),MATCH($R521,Tables!$N$4:$Q$4,0))</f>
        <v>1900</v>
      </c>
      <c r="T521" s="2" t="str">
        <f t="shared" si="138"/>
        <v>076C</v>
      </c>
      <c r="U521" s="2">
        <f t="shared" ref="U521:U584" si="144">ROUNDDOWN(S521/4,0)</f>
        <v>475</v>
      </c>
      <c r="V521" s="2" t="str">
        <f t="shared" si="139"/>
        <v>1DB</v>
      </c>
      <c r="W521" s="2" t="str">
        <f t="shared" si="140"/>
        <v>X</v>
      </c>
      <c r="X521" s="2" t="str">
        <f t="shared" si="143"/>
        <v>X</v>
      </c>
      <c r="Y521" s="2" t="str">
        <f t="shared" si="141"/>
        <v>X</v>
      </c>
      <c r="Z521" s="2" t="str">
        <f t="shared" si="142"/>
        <v>X</v>
      </c>
      <c r="AA521" s="2" t="str">
        <f t="shared" ref="AA521:AA584" si="145">IF(W521="","",CONCATENATE("(",IF(($J521-COUNTIF($X521:$Z521,"X")*8)=1,"24)",CONCATENATE(IF(($J521-COUNTIF($X521:$Z521,"X")*8)&gt;=8,32,($J521-COUNTIF($X521:$Z521,"X")*8)+24)-1," downto 24)"))))</f>
        <v>(31 downto 24)</v>
      </c>
      <c r="AB521" s="2" t="str">
        <f t="shared" ref="AB521:AB584" si="146">IF(X521="","",CONCATENATE("(",IF(($J521-COUNTIF($Y521:$Z521,"X")*8)=1,"16)",CONCATENATE(IF(($J521-COUNTIF($Y521:$Z521,"X")*8)&gt;=8,24,($J521-COUNTIF($Y521:$Z521,"X")*8)+16)-1," downto 16)"))))</f>
        <v>(23 downto 16)</v>
      </c>
      <c r="AC521" s="2" t="str">
        <f t="shared" ref="AC521:AC584" si="147">IF(Y521="","",CONCATENATE("(",IF(($J521-COUNTIF($Z521,"X")*8)=1,"8)",CONCATENATE(IF(($J521-COUNTIF($Z521,"X")*8)&gt;=8,16,($J521-COUNTIF($Z521,"X")*8)+8)-1," downto 8)"))))</f>
        <v>(15 downto 8)</v>
      </c>
      <c r="AD521" s="2" t="str">
        <f t="shared" ref="AD521:AD584" si="148">IF(Z521="","",CONCATENATE("(",IF($J521=1,"0)",CONCATENATE(IF($J521&gt;=8,8,$J521)-1," downto 0)"))))</f>
        <v>(7 downto 0)</v>
      </c>
      <c r="AE521" s="2" t="str">
        <f t="shared" ref="AE521:AE584" si="149">IF(W521="","",IF($J521&lt;=8,"",IF(($J521-COUNTIF($X521:$Z521,"X")*8)=1,CONCATENATE("(",($J521-1),")"),CONCATENATE("(",IF(($J521-COUNTIF($X521:$Z521,"X")*8)&gt;=8,COUNTIF($X521:$Z521,"X")*8+7,$J521-COUNTIF($X521:$Z521,"X")*8-1+COUNTIF($X521:$Z521,"X")*8)," downto ",COUNTIF($X521:$Z521,"X")*8,")"))))</f>
        <v>(31 downto 24)</v>
      </c>
      <c r="AF521" s="2" t="str">
        <f t="shared" ref="AF521:AF584" si="150">IF(X521="","",IF($J521&lt;=8,"",IF(($J521-COUNTIF($Y521:$Z521,"X")*8)=1,CONCATENATE("(",($J521-1),")"),CONCATENATE("(",IF(($J521-COUNTIF($Y521:$Z521,"X")*8)&gt;=8,COUNTIF($Y521:$Z521,"X")*8+7,$J521-COUNTIF($Y521:$Z521,"X")*8-1+COUNTIF($Y521:$Z521,"X")*8)," downto ",COUNTIF($Y521:$Z521,"X")*8,")"))))</f>
        <v>(23 downto 16)</v>
      </c>
      <c r="AG521" s="2" t="str">
        <f t="shared" ref="AG521:AG584" si="151">IF(Y521="","",IF($J521&lt;=8,"",IF(($J521-COUNTIF($Z521,"X")*8)=1,CONCATENATE("(",($J521-1),")"),CONCATENATE("(",IF(($J521-COUNTIF($Z521,"X")*8)&gt;=8,COUNTIF($Z521,"X")*8+7,$J521-COUNTIF($Z521,"X")*8-1+COUNTIF($Z521,"X")*8)," downto ",COUNTIF($Z521,"X")*8,")"))))</f>
        <v>(15 downto 8)</v>
      </c>
      <c r="AH521" s="2" t="str">
        <f t="shared" ref="AH521:AH584" si="152">IF(Z521="","",IF($J521&lt;=8,"",CONCATENATE("(",IF($J521&gt;=8,7,$J521-1)," downto ",0,")")))</f>
        <v>(7 downto 0)</v>
      </c>
    </row>
    <row r="522" spans="2:34" x14ac:dyDescent="0.25">
      <c r="B522" s="2" t="s">
        <v>1381</v>
      </c>
      <c r="C522" s="2" t="s">
        <v>141</v>
      </c>
      <c r="D522" s="2" t="s">
        <v>0</v>
      </c>
      <c r="E522" s="2" t="s">
        <v>130</v>
      </c>
      <c r="F522" s="2" t="s">
        <v>1382</v>
      </c>
      <c r="G522" s="2" t="s">
        <v>1383</v>
      </c>
      <c r="H522" s="2" t="s">
        <v>142</v>
      </c>
      <c r="I522" s="2" t="s">
        <v>41</v>
      </c>
      <c r="J522" s="2">
        <v>32</v>
      </c>
      <c r="K522" s="2" t="s">
        <v>132</v>
      </c>
      <c r="L522" s="2" t="s">
        <v>40</v>
      </c>
      <c r="P522" s="2" t="s">
        <v>48</v>
      </c>
      <c r="Q522" s="2">
        <f>INDEX(Tables!$C$4:$C$28,MATCH($P522,Tables!$B$4:$B$28,0))</f>
        <v>32</v>
      </c>
      <c r="R522" s="2">
        <f>INDEX(Tables!$D$4:$D$28,MATCH($P522,Tables!$B$4:$B$28,0))</f>
        <v>4</v>
      </c>
      <c r="S522" s="2">
        <f>$S521+$R521+INDEX(Tables!$N$5:$Q$8,MATCH(MOD($S521+$R521,4),Tables!$M$5:$M$8,0),MATCH($R522,Tables!$N$4:$Q$4,0))</f>
        <v>1904</v>
      </c>
      <c r="T522" s="2" t="str">
        <f t="shared" si="138"/>
        <v>0770</v>
      </c>
      <c r="U522" s="2">
        <f t="shared" si="144"/>
        <v>476</v>
      </c>
      <c r="V522" s="2" t="str">
        <f t="shared" si="139"/>
        <v>1DC</v>
      </c>
      <c r="W522" s="2" t="str">
        <f t="shared" si="140"/>
        <v>X</v>
      </c>
      <c r="X522" s="2" t="str">
        <f t="shared" si="143"/>
        <v>X</v>
      </c>
      <c r="Y522" s="2" t="str">
        <f t="shared" si="141"/>
        <v>X</v>
      </c>
      <c r="Z522" s="2" t="str">
        <f t="shared" si="142"/>
        <v>X</v>
      </c>
      <c r="AA522" s="2" t="str">
        <f t="shared" si="145"/>
        <v>(31 downto 24)</v>
      </c>
      <c r="AB522" s="2" t="str">
        <f t="shared" si="146"/>
        <v>(23 downto 16)</v>
      </c>
      <c r="AC522" s="2" t="str">
        <f t="shared" si="147"/>
        <v>(15 downto 8)</v>
      </c>
      <c r="AD522" s="2" t="str">
        <f t="shared" si="148"/>
        <v>(7 downto 0)</v>
      </c>
      <c r="AE522" s="2" t="str">
        <f t="shared" si="149"/>
        <v>(31 downto 24)</v>
      </c>
      <c r="AF522" s="2" t="str">
        <f t="shared" si="150"/>
        <v>(23 downto 16)</v>
      </c>
      <c r="AG522" s="2" t="str">
        <f t="shared" si="151"/>
        <v>(15 downto 8)</v>
      </c>
      <c r="AH522" s="2" t="str">
        <f t="shared" si="152"/>
        <v>(7 downto 0)</v>
      </c>
    </row>
    <row r="523" spans="2:34" x14ac:dyDescent="0.25">
      <c r="B523" s="2" t="s">
        <v>1384</v>
      </c>
      <c r="C523" s="2" t="s">
        <v>141</v>
      </c>
      <c r="D523" s="2" t="s">
        <v>0</v>
      </c>
      <c r="E523" s="2" t="s">
        <v>130</v>
      </c>
      <c r="F523" s="2" t="s">
        <v>1385</v>
      </c>
      <c r="G523" s="2" t="s">
        <v>1386</v>
      </c>
      <c r="H523" s="2" t="s">
        <v>142</v>
      </c>
      <c r="I523" s="2" t="s">
        <v>41</v>
      </c>
      <c r="J523" s="2">
        <v>32</v>
      </c>
      <c r="K523" s="2" t="s">
        <v>132</v>
      </c>
      <c r="L523" s="2" t="s">
        <v>40</v>
      </c>
      <c r="P523" s="2" t="s">
        <v>48</v>
      </c>
      <c r="Q523" s="2">
        <f>INDEX(Tables!$C$4:$C$28,MATCH($P523,Tables!$B$4:$B$28,0))</f>
        <v>32</v>
      </c>
      <c r="R523" s="2">
        <f>INDEX(Tables!$D$4:$D$28,MATCH($P523,Tables!$B$4:$B$28,0))</f>
        <v>4</v>
      </c>
      <c r="S523" s="2">
        <f>$S522+$R522+INDEX(Tables!$N$5:$Q$8,MATCH(MOD($S522+$R522,4),Tables!$M$5:$M$8,0),MATCH($R523,Tables!$N$4:$Q$4,0))</f>
        <v>1908</v>
      </c>
      <c r="T523" s="2" t="str">
        <f t="shared" si="138"/>
        <v>0774</v>
      </c>
      <c r="U523" s="2">
        <f t="shared" si="144"/>
        <v>477</v>
      </c>
      <c r="V523" s="2" t="str">
        <f t="shared" si="139"/>
        <v>1DD</v>
      </c>
      <c r="W523" s="2" t="str">
        <f t="shared" si="140"/>
        <v>X</v>
      </c>
      <c r="X523" s="2" t="str">
        <f t="shared" si="143"/>
        <v>X</v>
      </c>
      <c r="Y523" s="2" t="str">
        <f t="shared" si="141"/>
        <v>X</v>
      </c>
      <c r="Z523" s="2" t="str">
        <f t="shared" si="142"/>
        <v>X</v>
      </c>
      <c r="AA523" s="2" t="str">
        <f t="shared" si="145"/>
        <v>(31 downto 24)</v>
      </c>
      <c r="AB523" s="2" t="str">
        <f t="shared" si="146"/>
        <v>(23 downto 16)</v>
      </c>
      <c r="AC523" s="2" t="str">
        <f t="shared" si="147"/>
        <v>(15 downto 8)</v>
      </c>
      <c r="AD523" s="2" t="str">
        <f t="shared" si="148"/>
        <v>(7 downto 0)</v>
      </c>
      <c r="AE523" s="2" t="str">
        <f t="shared" si="149"/>
        <v>(31 downto 24)</v>
      </c>
      <c r="AF523" s="2" t="str">
        <f t="shared" si="150"/>
        <v>(23 downto 16)</v>
      </c>
      <c r="AG523" s="2" t="str">
        <f t="shared" si="151"/>
        <v>(15 downto 8)</v>
      </c>
      <c r="AH523" s="2" t="str">
        <f t="shared" si="152"/>
        <v>(7 downto 0)</v>
      </c>
    </row>
    <row r="524" spans="2:34" x14ac:dyDescent="0.25">
      <c r="B524" s="2" t="s">
        <v>1387</v>
      </c>
      <c r="C524" s="2" t="s">
        <v>141</v>
      </c>
      <c r="D524" s="2" t="s">
        <v>0</v>
      </c>
      <c r="E524" s="2" t="s">
        <v>130</v>
      </c>
      <c r="F524" s="2" t="s">
        <v>1388</v>
      </c>
      <c r="G524" s="2" t="s">
        <v>1389</v>
      </c>
      <c r="H524" s="2" t="s">
        <v>142</v>
      </c>
      <c r="I524" s="2" t="s">
        <v>41</v>
      </c>
      <c r="J524" s="2">
        <v>32</v>
      </c>
      <c r="K524" s="2" t="s">
        <v>132</v>
      </c>
      <c r="L524" s="2" t="s">
        <v>40</v>
      </c>
      <c r="P524" s="2" t="s">
        <v>48</v>
      </c>
      <c r="Q524" s="2">
        <f>INDEX(Tables!$C$4:$C$28,MATCH($P524,Tables!$B$4:$B$28,0))</f>
        <v>32</v>
      </c>
      <c r="R524" s="2">
        <f>INDEX(Tables!$D$4:$D$28,MATCH($P524,Tables!$B$4:$B$28,0))</f>
        <v>4</v>
      </c>
      <c r="S524" s="2">
        <f>$S523+$R523+INDEX(Tables!$N$5:$Q$8,MATCH(MOD($S523+$R523,4),Tables!$M$5:$M$8,0),MATCH($R524,Tables!$N$4:$Q$4,0))</f>
        <v>1912</v>
      </c>
      <c r="T524" s="2" t="str">
        <f t="shared" si="138"/>
        <v>0778</v>
      </c>
      <c r="U524" s="2">
        <f t="shared" si="144"/>
        <v>478</v>
      </c>
      <c r="V524" s="2" t="str">
        <f t="shared" si="139"/>
        <v>1DE</v>
      </c>
      <c r="W524" s="2" t="str">
        <f t="shared" si="140"/>
        <v>X</v>
      </c>
      <c r="X524" s="2" t="str">
        <f t="shared" si="143"/>
        <v>X</v>
      </c>
      <c r="Y524" s="2" t="str">
        <f t="shared" si="141"/>
        <v>X</v>
      </c>
      <c r="Z524" s="2" t="str">
        <f t="shared" si="142"/>
        <v>X</v>
      </c>
      <c r="AA524" s="2" t="str">
        <f t="shared" si="145"/>
        <v>(31 downto 24)</v>
      </c>
      <c r="AB524" s="2" t="str">
        <f t="shared" si="146"/>
        <v>(23 downto 16)</v>
      </c>
      <c r="AC524" s="2" t="str">
        <f t="shared" si="147"/>
        <v>(15 downto 8)</v>
      </c>
      <c r="AD524" s="2" t="str">
        <f t="shared" si="148"/>
        <v>(7 downto 0)</v>
      </c>
      <c r="AE524" s="2" t="str">
        <f t="shared" si="149"/>
        <v>(31 downto 24)</v>
      </c>
      <c r="AF524" s="2" t="str">
        <f t="shared" si="150"/>
        <v>(23 downto 16)</v>
      </c>
      <c r="AG524" s="2" t="str">
        <f t="shared" si="151"/>
        <v>(15 downto 8)</v>
      </c>
      <c r="AH524" s="2" t="str">
        <f t="shared" si="152"/>
        <v>(7 downto 0)</v>
      </c>
    </row>
    <row r="525" spans="2:34" x14ac:dyDescent="0.25">
      <c r="B525" s="2" t="s">
        <v>1390</v>
      </c>
      <c r="C525" s="2" t="s">
        <v>141</v>
      </c>
      <c r="D525" s="2" t="s">
        <v>0</v>
      </c>
      <c r="E525" s="2" t="s">
        <v>130</v>
      </c>
      <c r="F525" s="2" t="s">
        <v>1391</v>
      </c>
      <c r="G525" s="2" t="s">
        <v>1392</v>
      </c>
      <c r="H525" s="2" t="s">
        <v>142</v>
      </c>
      <c r="I525" s="2" t="s">
        <v>41</v>
      </c>
      <c r="J525" s="2">
        <v>32</v>
      </c>
      <c r="K525" s="2" t="s">
        <v>132</v>
      </c>
      <c r="L525" s="2" t="s">
        <v>40</v>
      </c>
      <c r="P525" s="2" t="s">
        <v>48</v>
      </c>
      <c r="Q525" s="2">
        <f>INDEX(Tables!$C$4:$C$28,MATCH($P525,Tables!$B$4:$B$28,0))</f>
        <v>32</v>
      </c>
      <c r="R525" s="2">
        <f>INDEX(Tables!$D$4:$D$28,MATCH($P525,Tables!$B$4:$B$28,0))</f>
        <v>4</v>
      </c>
      <c r="S525" s="2">
        <f>$S524+$R524+INDEX(Tables!$N$5:$Q$8,MATCH(MOD($S524+$R524,4),Tables!$M$5:$M$8,0),MATCH($R525,Tables!$N$4:$Q$4,0))</f>
        <v>1916</v>
      </c>
      <c r="T525" s="2" t="str">
        <f t="shared" si="138"/>
        <v>077C</v>
      </c>
      <c r="U525" s="2">
        <f t="shared" si="144"/>
        <v>479</v>
      </c>
      <c r="V525" s="2" t="str">
        <f t="shared" si="139"/>
        <v>1DF</v>
      </c>
      <c r="W525" s="2" t="str">
        <f t="shared" si="140"/>
        <v>X</v>
      </c>
      <c r="X525" s="2" t="str">
        <f t="shared" si="143"/>
        <v>X</v>
      </c>
      <c r="Y525" s="2" t="str">
        <f t="shared" si="141"/>
        <v>X</v>
      </c>
      <c r="Z525" s="2" t="str">
        <f t="shared" si="142"/>
        <v>X</v>
      </c>
      <c r="AA525" s="2" t="str">
        <f t="shared" si="145"/>
        <v>(31 downto 24)</v>
      </c>
      <c r="AB525" s="2" t="str">
        <f t="shared" si="146"/>
        <v>(23 downto 16)</v>
      </c>
      <c r="AC525" s="2" t="str">
        <f t="shared" si="147"/>
        <v>(15 downto 8)</v>
      </c>
      <c r="AD525" s="2" t="str">
        <f t="shared" si="148"/>
        <v>(7 downto 0)</v>
      </c>
      <c r="AE525" s="2" t="str">
        <f t="shared" si="149"/>
        <v>(31 downto 24)</v>
      </c>
      <c r="AF525" s="2" t="str">
        <f t="shared" si="150"/>
        <v>(23 downto 16)</v>
      </c>
      <c r="AG525" s="2" t="str">
        <f t="shared" si="151"/>
        <v>(15 downto 8)</v>
      </c>
      <c r="AH525" s="2" t="str">
        <f t="shared" si="152"/>
        <v>(7 downto 0)</v>
      </c>
    </row>
    <row r="526" spans="2:34" x14ac:dyDescent="0.25">
      <c r="B526" s="2" t="s">
        <v>1393</v>
      </c>
      <c r="C526" s="2" t="s">
        <v>141</v>
      </c>
      <c r="D526" s="2" t="s">
        <v>0</v>
      </c>
      <c r="E526" s="2" t="s">
        <v>130</v>
      </c>
      <c r="F526" s="2" t="s">
        <v>1394</v>
      </c>
      <c r="G526" s="2" t="s">
        <v>1395</v>
      </c>
      <c r="H526" s="2" t="s">
        <v>142</v>
      </c>
      <c r="I526" s="2" t="s">
        <v>41</v>
      </c>
      <c r="J526" s="2">
        <v>32</v>
      </c>
      <c r="K526" s="2" t="s">
        <v>132</v>
      </c>
      <c r="L526" s="2" t="s">
        <v>40</v>
      </c>
      <c r="P526" s="2" t="s">
        <v>48</v>
      </c>
      <c r="Q526" s="2">
        <f>INDEX(Tables!$C$4:$C$28,MATCH($P526,Tables!$B$4:$B$28,0))</f>
        <v>32</v>
      </c>
      <c r="R526" s="2">
        <f>INDEX(Tables!$D$4:$D$28,MATCH($P526,Tables!$B$4:$B$28,0))</f>
        <v>4</v>
      </c>
      <c r="S526" s="2">
        <f>$S525+$R525+INDEX(Tables!$N$5:$Q$8,MATCH(MOD($S525+$R525,4),Tables!$M$5:$M$8,0),MATCH($R526,Tables!$N$4:$Q$4,0))</f>
        <v>1920</v>
      </c>
      <c r="T526" s="2" t="str">
        <f t="shared" si="138"/>
        <v>0780</v>
      </c>
      <c r="U526" s="2">
        <f t="shared" si="144"/>
        <v>480</v>
      </c>
      <c r="V526" s="2" t="str">
        <f t="shared" si="139"/>
        <v>1E0</v>
      </c>
      <c r="W526" s="2" t="str">
        <f t="shared" si="140"/>
        <v>X</v>
      </c>
      <c r="X526" s="2" t="str">
        <f t="shared" si="143"/>
        <v>X</v>
      </c>
      <c r="Y526" s="2" t="str">
        <f t="shared" si="141"/>
        <v>X</v>
      </c>
      <c r="Z526" s="2" t="str">
        <f t="shared" si="142"/>
        <v>X</v>
      </c>
      <c r="AA526" s="2" t="str">
        <f t="shared" si="145"/>
        <v>(31 downto 24)</v>
      </c>
      <c r="AB526" s="2" t="str">
        <f t="shared" si="146"/>
        <v>(23 downto 16)</v>
      </c>
      <c r="AC526" s="2" t="str">
        <f t="shared" si="147"/>
        <v>(15 downto 8)</v>
      </c>
      <c r="AD526" s="2" t="str">
        <f t="shared" si="148"/>
        <v>(7 downto 0)</v>
      </c>
      <c r="AE526" s="2" t="str">
        <f t="shared" si="149"/>
        <v>(31 downto 24)</v>
      </c>
      <c r="AF526" s="2" t="str">
        <f t="shared" si="150"/>
        <v>(23 downto 16)</v>
      </c>
      <c r="AG526" s="2" t="str">
        <f t="shared" si="151"/>
        <v>(15 downto 8)</v>
      </c>
      <c r="AH526" s="2" t="str">
        <f t="shared" si="152"/>
        <v>(7 downto 0)</v>
      </c>
    </row>
    <row r="527" spans="2:34" x14ac:dyDescent="0.25">
      <c r="B527" s="2" t="s">
        <v>1396</v>
      </c>
      <c r="C527" s="2" t="s">
        <v>141</v>
      </c>
      <c r="D527" s="2" t="s">
        <v>0</v>
      </c>
      <c r="E527" s="2" t="s">
        <v>130</v>
      </c>
      <c r="F527" s="2" t="s">
        <v>1397</v>
      </c>
      <c r="G527" s="2" t="s">
        <v>1398</v>
      </c>
      <c r="H527" s="2" t="s">
        <v>142</v>
      </c>
      <c r="I527" s="2" t="s">
        <v>41</v>
      </c>
      <c r="J527" s="2">
        <v>32</v>
      </c>
      <c r="K527" s="2" t="s">
        <v>132</v>
      </c>
      <c r="L527" s="2" t="s">
        <v>40</v>
      </c>
      <c r="P527" s="2" t="s">
        <v>48</v>
      </c>
      <c r="Q527" s="2">
        <f>INDEX(Tables!$C$4:$C$28,MATCH($P527,Tables!$B$4:$B$28,0))</f>
        <v>32</v>
      </c>
      <c r="R527" s="2">
        <f>INDEX(Tables!$D$4:$D$28,MATCH($P527,Tables!$B$4:$B$28,0))</f>
        <v>4</v>
      </c>
      <c r="S527" s="2">
        <f>$S526+$R526+INDEX(Tables!$N$5:$Q$8,MATCH(MOD($S526+$R526,4),Tables!$M$5:$M$8,0),MATCH($R527,Tables!$N$4:$Q$4,0))</f>
        <v>1924</v>
      </c>
      <c r="T527" s="2" t="str">
        <f t="shared" si="138"/>
        <v>0784</v>
      </c>
      <c r="U527" s="2">
        <f t="shared" si="144"/>
        <v>481</v>
      </c>
      <c r="V527" s="2" t="str">
        <f t="shared" si="139"/>
        <v>1E1</v>
      </c>
      <c r="W527" s="2" t="str">
        <f t="shared" si="140"/>
        <v>X</v>
      </c>
      <c r="X527" s="2" t="str">
        <f t="shared" si="143"/>
        <v>X</v>
      </c>
      <c r="Y527" s="2" t="str">
        <f t="shared" si="141"/>
        <v>X</v>
      </c>
      <c r="Z527" s="2" t="str">
        <f t="shared" si="142"/>
        <v>X</v>
      </c>
      <c r="AA527" s="2" t="str">
        <f t="shared" si="145"/>
        <v>(31 downto 24)</v>
      </c>
      <c r="AB527" s="2" t="str">
        <f t="shared" si="146"/>
        <v>(23 downto 16)</v>
      </c>
      <c r="AC527" s="2" t="str">
        <f t="shared" si="147"/>
        <v>(15 downto 8)</v>
      </c>
      <c r="AD527" s="2" t="str">
        <f t="shared" si="148"/>
        <v>(7 downto 0)</v>
      </c>
      <c r="AE527" s="2" t="str">
        <f t="shared" si="149"/>
        <v>(31 downto 24)</v>
      </c>
      <c r="AF527" s="2" t="str">
        <f t="shared" si="150"/>
        <v>(23 downto 16)</v>
      </c>
      <c r="AG527" s="2" t="str">
        <f t="shared" si="151"/>
        <v>(15 downto 8)</v>
      </c>
      <c r="AH527" s="2" t="str">
        <f t="shared" si="152"/>
        <v>(7 downto 0)</v>
      </c>
    </row>
    <row r="528" spans="2:34" x14ac:dyDescent="0.25">
      <c r="B528" s="2" t="s">
        <v>1399</v>
      </c>
      <c r="C528" s="2" t="s">
        <v>141</v>
      </c>
      <c r="D528" s="2" t="s">
        <v>0</v>
      </c>
      <c r="E528" s="2" t="s">
        <v>130</v>
      </c>
      <c r="F528" s="2" t="s">
        <v>1400</v>
      </c>
      <c r="G528" s="2" t="s">
        <v>1401</v>
      </c>
      <c r="H528" s="2" t="s">
        <v>142</v>
      </c>
      <c r="I528" s="2" t="s">
        <v>41</v>
      </c>
      <c r="J528" s="2">
        <v>32</v>
      </c>
      <c r="K528" s="2" t="s">
        <v>132</v>
      </c>
      <c r="L528" s="2" t="s">
        <v>40</v>
      </c>
      <c r="P528" s="2" t="s">
        <v>48</v>
      </c>
      <c r="Q528" s="2">
        <f>INDEX(Tables!$C$4:$C$28,MATCH($P528,Tables!$B$4:$B$28,0))</f>
        <v>32</v>
      </c>
      <c r="R528" s="2">
        <f>INDEX(Tables!$D$4:$D$28,MATCH($P528,Tables!$B$4:$B$28,0))</f>
        <v>4</v>
      </c>
      <c r="S528" s="2">
        <f>$S527+$R527+INDEX(Tables!$N$5:$Q$8,MATCH(MOD($S527+$R527,4),Tables!$M$5:$M$8,0),MATCH($R528,Tables!$N$4:$Q$4,0))</f>
        <v>1928</v>
      </c>
      <c r="T528" s="2" t="str">
        <f t="shared" si="138"/>
        <v>0788</v>
      </c>
      <c r="U528" s="2">
        <f t="shared" si="144"/>
        <v>482</v>
      </c>
      <c r="V528" s="2" t="str">
        <f t="shared" si="139"/>
        <v>1E2</v>
      </c>
      <c r="W528" s="2" t="str">
        <f t="shared" si="140"/>
        <v>X</v>
      </c>
      <c r="X528" s="2" t="str">
        <f t="shared" si="143"/>
        <v>X</v>
      </c>
      <c r="Y528" s="2" t="str">
        <f t="shared" si="141"/>
        <v>X</v>
      </c>
      <c r="Z528" s="2" t="str">
        <f t="shared" si="142"/>
        <v>X</v>
      </c>
      <c r="AA528" s="2" t="str">
        <f t="shared" si="145"/>
        <v>(31 downto 24)</v>
      </c>
      <c r="AB528" s="2" t="str">
        <f t="shared" si="146"/>
        <v>(23 downto 16)</v>
      </c>
      <c r="AC528" s="2" t="str">
        <f t="shared" si="147"/>
        <v>(15 downto 8)</v>
      </c>
      <c r="AD528" s="2" t="str">
        <f t="shared" si="148"/>
        <v>(7 downto 0)</v>
      </c>
      <c r="AE528" s="2" t="str">
        <f t="shared" si="149"/>
        <v>(31 downto 24)</v>
      </c>
      <c r="AF528" s="2" t="str">
        <f t="shared" si="150"/>
        <v>(23 downto 16)</v>
      </c>
      <c r="AG528" s="2" t="str">
        <f t="shared" si="151"/>
        <v>(15 downto 8)</v>
      </c>
      <c r="AH528" s="2" t="str">
        <f t="shared" si="152"/>
        <v>(7 downto 0)</v>
      </c>
    </row>
    <row r="529" spans="2:34" x14ac:dyDescent="0.25">
      <c r="B529" s="2" t="s">
        <v>1402</v>
      </c>
      <c r="C529" s="2" t="s">
        <v>141</v>
      </c>
      <c r="D529" s="2" t="s">
        <v>0</v>
      </c>
      <c r="E529" s="2" t="s">
        <v>130</v>
      </c>
      <c r="F529" s="2" t="s">
        <v>1403</v>
      </c>
      <c r="G529" s="2" t="s">
        <v>1404</v>
      </c>
      <c r="H529" s="2" t="s">
        <v>142</v>
      </c>
      <c r="I529" s="2" t="s">
        <v>41</v>
      </c>
      <c r="J529" s="2">
        <v>32</v>
      </c>
      <c r="K529" s="2" t="s">
        <v>132</v>
      </c>
      <c r="L529" s="2" t="s">
        <v>40</v>
      </c>
      <c r="P529" s="2" t="s">
        <v>48</v>
      </c>
      <c r="Q529" s="2">
        <f>INDEX(Tables!$C$4:$C$28,MATCH($P529,Tables!$B$4:$B$28,0))</f>
        <v>32</v>
      </c>
      <c r="R529" s="2">
        <f>INDEX(Tables!$D$4:$D$28,MATCH($P529,Tables!$B$4:$B$28,0))</f>
        <v>4</v>
      </c>
      <c r="S529" s="2">
        <f>$S528+$R528+INDEX(Tables!$N$5:$Q$8,MATCH(MOD($S528+$R528,4),Tables!$M$5:$M$8,0),MATCH($R529,Tables!$N$4:$Q$4,0))</f>
        <v>1932</v>
      </c>
      <c r="T529" s="2" t="str">
        <f t="shared" si="138"/>
        <v>078C</v>
      </c>
      <c r="U529" s="2">
        <f t="shared" si="144"/>
        <v>483</v>
      </c>
      <c r="V529" s="2" t="str">
        <f t="shared" si="139"/>
        <v>1E3</v>
      </c>
      <c r="W529" s="2" t="str">
        <f t="shared" si="140"/>
        <v>X</v>
      </c>
      <c r="X529" s="2" t="str">
        <f t="shared" si="143"/>
        <v>X</v>
      </c>
      <c r="Y529" s="2" t="str">
        <f t="shared" si="141"/>
        <v>X</v>
      </c>
      <c r="Z529" s="2" t="str">
        <f t="shared" si="142"/>
        <v>X</v>
      </c>
      <c r="AA529" s="2" t="str">
        <f t="shared" si="145"/>
        <v>(31 downto 24)</v>
      </c>
      <c r="AB529" s="2" t="str">
        <f t="shared" si="146"/>
        <v>(23 downto 16)</v>
      </c>
      <c r="AC529" s="2" t="str">
        <f t="shared" si="147"/>
        <v>(15 downto 8)</v>
      </c>
      <c r="AD529" s="2" t="str">
        <f t="shared" si="148"/>
        <v>(7 downto 0)</v>
      </c>
      <c r="AE529" s="2" t="str">
        <f t="shared" si="149"/>
        <v>(31 downto 24)</v>
      </c>
      <c r="AF529" s="2" t="str">
        <f t="shared" si="150"/>
        <v>(23 downto 16)</v>
      </c>
      <c r="AG529" s="2" t="str">
        <f t="shared" si="151"/>
        <v>(15 downto 8)</v>
      </c>
      <c r="AH529" s="2" t="str">
        <f t="shared" si="152"/>
        <v>(7 downto 0)</v>
      </c>
    </row>
    <row r="530" spans="2:34" x14ac:dyDescent="0.25">
      <c r="B530" s="2" t="s">
        <v>1405</v>
      </c>
      <c r="C530" s="2" t="s">
        <v>141</v>
      </c>
      <c r="D530" s="2" t="s">
        <v>0</v>
      </c>
      <c r="E530" s="2" t="s">
        <v>130</v>
      </c>
      <c r="F530" s="2" t="s">
        <v>1406</v>
      </c>
      <c r="G530" s="2" t="s">
        <v>1407</v>
      </c>
      <c r="H530" s="2" t="s">
        <v>142</v>
      </c>
      <c r="I530" s="2" t="s">
        <v>41</v>
      </c>
      <c r="J530" s="2">
        <v>32</v>
      </c>
      <c r="K530" s="2" t="s">
        <v>132</v>
      </c>
      <c r="L530" s="2" t="s">
        <v>40</v>
      </c>
      <c r="P530" s="2" t="s">
        <v>48</v>
      </c>
      <c r="Q530" s="2">
        <f>INDEX(Tables!$C$4:$C$28,MATCH($P530,Tables!$B$4:$B$28,0))</f>
        <v>32</v>
      </c>
      <c r="R530" s="2">
        <f>INDEX(Tables!$D$4:$D$28,MATCH($P530,Tables!$B$4:$B$28,0))</f>
        <v>4</v>
      </c>
      <c r="S530" s="2">
        <f>$S529+$R529+INDEX(Tables!$N$5:$Q$8,MATCH(MOD($S529+$R529,4),Tables!$M$5:$M$8,0),MATCH($R530,Tables!$N$4:$Q$4,0))</f>
        <v>1936</v>
      </c>
      <c r="T530" s="2" t="str">
        <f t="shared" si="138"/>
        <v>0790</v>
      </c>
      <c r="U530" s="2">
        <f t="shared" si="144"/>
        <v>484</v>
      </c>
      <c r="V530" s="2" t="str">
        <f t="shared" si="139"/>
        <v>1E4</v>
      </c>
      <c r="W530" s="2" t="str">
        <f t="shared" si="140"/>
        <v>X</v>
      </c>
      <c r="X530" s="2" t="str">
        <f t="shared" si="143"/>
        <v>X</v>
      </c>
      <c r="Y530" s="2" t="str">
        <f t="shared" si="141"/>
        <v>X</v>
      </c>
      <c r="Z530" s="2" t="str">
        <f t="shared" si="142"/>
        <v>X</v>
      </c>
      <c r="AA530" s="2" t="str">
        <f t="shared" si="145"/>
        <v>(31 downto 24)</v>
      </c>
      <c r="AB530" s="2" t="str">
        <f t="shared" si="146"/>
        <v>(23 downto 16)</v>
      </c>
      <c r="AC530" s="2" t="str">
        <f t="shared" si="147"/>
        <v>(15 downto 8)</v>
      </c>
      <c r="AD530" s="2" t="str">
        <f t="shared" si="148"/>
        <v>(7 downto 0)</v>
      </c>
      <c r="AE530" s="2" t="str">
        <f t="shared" si="149"/>
        <v>(31 downto 24)</v>
      </c>
      <c r="AF530" s="2" t="str">
        <f t="shared" si="150"/>
        <v>(23 downto 16)</v>
      </c>
      <c r="AG530" s="2" t="str">
        <f t="shared" si="151"/>
        <v>(15 downto 8)</v>
      </c>
      <c r="AH530" s="2" t="str">
        <f t="shared" si="152"/>
        <v>(7 downto 0)</v>
      </c>
    </row>
    <row r="531" spans="2:34" x14ac:dyDescent="0.25">
      <c r="B531" s="2" t="s">
        <v>1408</v>
      </c>
      <c r="C531" s="2" t="s">
        <v>141</v>
      </c>
      <c r="D531" s="2" t="s">
        <v>0</v>
      </c>
      <c r="E531" s="2" t="s">
        <v>130</v>
      </c>
      <c r="F531" s="2" t="s">
        <v>1409</v>
      </c>
      <c r="G531" s="2" t="s">
        <v>1410</v>
      </c>
      <c r="H531" s="2" t="s">
        <v>142</v>
      </c>
      <c r="I531" s="2" t="s">
        <v>41</v>
      </c>
      <c r="J531" s="2">
        <v>32</v>
      </c>
      <c r="K531" s="2" t="s">
        <v>132</v>
      </c>
      <c r="L531" s="2" t="s">
        <v>40</v>
      </c>
      <c r="P531" s="2" t="s">
        <v>48</v>
      </c>
      <c r="Q531" s="2">
        <f>INDEX(Tables!$C$4:$C$28,MATCH($P531,Tables!$B$4:$B$28,0))</f>
        <v>32</v>
      </c>
      <c r="R531" s="2">
        <f>INDEX(Tables!$D$4:$D$28,MATCH($P531,Tables!$B$4:$B$28,0))</f>
        <v>4</v>
      </c>
      <c r="S531" s="2">
        <f>$S530+$R530+INDEX(Tables!$N$5:$Q$8,MATCH(MOD($S530+$R530,4),Tables!$M$5:$M$8,0),MATCH($R531,Tables!$N$4:$Q$4,0))</f>
        <v>1940</v>
      </c>
      <c r="T531" s="2" t="str">
        <f t="shared" si="138"/>
        <v>0794</v>
      </c>
      <c r="U531" s="2">
        <f t="shared" si="144"/>
        <v>485</v>
      </c>
      <c r="V531" s="2" t="str">
        <f t="shared" si="139"/>
        <v>1E5</v>
      </c>
      <c r="W531" s="2" t="str">
        <f t="shared" si="140"/>
        <v>X</v>
      </c>
      <c r="X531" s="2" t="str">
        <f t="shared" si="143"/>
        <v>X</v>
      </c>
      <c r="Y531" s="2" t="str">
        <f t="shared" si="141"/>
        <v>X</v>
      </c>
      <c r="Z531" s="2" t="str">
        <f t="shared" si="142"/>
        <v>X</v>
      </c>
      <c r="AA531" s="2" t="str">
        <f t="shared" si="145"/>
        <v>(31 downto 24)</v>
      </c>
      <c r="AB531" s="2" t="str">
        <f t="shared" si="146"/>
        <v>(23 downto 16)</v>
      </c>
      <c r="AC531" s="2" t="str">
        <f t="shared" si="147"/>
        <v>(15 downto 8)</v>
      </c>
      <c r="AD531" s="2" t="str">
        <f t="shared" si="148"/>
        <v>(7 downto 0)</v>
      </c>
      <c r="AE531" s="2" t="str">
        <f t="shared" si="149"/>
        <v>(31 downto 24)</v>
      </c>
      <c r="AF531" s="2" t="str">
        <f t="shared" si="150"/>
        <v>(23 downto 16)</v>
      </c>
      <c r="AG531" s="2" t="str">
        <f t="shared" si="151"/>
        <v>(15 downto 8)</v>
      </c>
      <c r="AH531" s="2" t="str">
        <f t="shared" si="152"/>
        <v>(7 downto 0)</v>
      </c>
    </row>
    <row r="532" spans="2:34" x14ac:dyDescent="0.25">
      <c r="B532" s="2" t="s">
        <v>1411</v>
      </c>
      <c r="C532" s="2" t="s">
        <v>141</v>
      </c>
      <c r="D532" s="2" t="s">
        <v>0</v>
      </c>
      <c r="E532" s="2" t="s">
        <v>130</v>
      </c>
      <c r="F532" s="2" t="s">
        <v>1412</v>
      </c>
      <c r="G532" s="2" t="s">
        <v>1413</v>
      </c>
      <c r="H532" s="2" t="s">
        <v>142</v>
      </c>
      <c r="I532" s="2" t="s">
        <v>41</v>
      </c>
      <c r="J532" s="2">
        <v>32</v>
      </c>
      <c r="K532" s="2" t="s">
        <v>132</v>
      </c>
      <c r="L532" s="2" t="s">
        <v>40</v>
      </c>
      <c r="P532" s="2" t="s">
        <v>48</v>
      </c>
      <c r="Q532" s="2">
        <f>INDEX(Tables!$C$4:$C$28,MATCH($P532,Tables!$B$4:$B$28,0))</f>
        <v>32</v>
      </c>
      <c r="R532" s="2">
        <f>INDEX(Tables!$D$4:$D$28,MATCH($P532,Tables!$B$4:$B$28,0))</f>
        <v>4</v>
      </c>
      <c r="S532" s="2">
        <f>$S531+$R531+INDEX(Tables!$N$5:$Q$8,MATCH(MOD($S531+$R531,4),Tables!$M$5:$M$8,0),MATCH($R532,Tables!$N$4:$Q$4,0))</f>
        <v>1944</v>
      </c>
      <c r="T532" s="2" t="str">
        <f t="shared" si="138"/>
        <v>0798</v>
      </c>
      <c r="U532" s="2">
        <f t="shared" si="144"/>
        <v>486</v>
      </c>
      <c r="V532" s="2" t="str">
        <f t="shared" si="139"/>
        <v>1E6</v>
      </c>
      <c r="W532" s="2" t="str">
        <f t="shared" si="140"/>
        <v>X</v>
      </c>
      <c r="X532" s="2" t="str">
        <f t="shared" si="143"/>
        <v>X</v>
      </c>
      <c r="Y532" s="2" t="str">
        <f t="shared" si="141"/>
        <v>X</v>
      </c>
      <c r="Z532" s="2" t="str">
        <f t="shared" si="142"/>
        <v>X</v>
      </c>
      <c r="AA532" s="2" t="str">
        <f t="shared" si="145"/>
        <v>(31 downto 24)</v>
      </c>
      <c r="AB532" s="2" t="str">
        <f t="shared" si="146"/>
        <v>(23 downto 16)</v>
      </c>
      <c r="AC532" s="2" t="str">
        <f t="shared" si="147"/>
        <v>(15 downto 8)</v>
      </c>
      <c r="AD532" s="2" t="str">
        <f t="shared" si="148"/>
        <v>(7 downto 0)</v>
      </c>
      <c r="AE532" s="2" t="str">
        <f t="shared" si="149"/>
        <v>(31 downto 24)</v>
      </c>
      <c r="AF532" s="2" t="str">
        <f t="shared" si="150"/>
        <v>(23 downto 16)</v>
      </c>
      <c r="AG532" s="2" t="str">
        <f t="shared" si="151"/>
        <v>(15 downto 8)</v>
      </c>
      <c r="AH532" s="2" t="str">
        <f t="shared" si="152"/>
        <v>(7 downto 0)</v>
      </c>
    </row>
    <row r="533" spans="2:34" x14ac:dyDescent="0.25">
      <c r="B533" s="2" t="s">
        <v>1414</v>
      </c>
      <c r="C533" s="2" t="s">
        <v>141</v>
      </c>
      <c r="D533" s="2" t="s">
        <v>0</v>
      </c>
      <c r="E533" s="2" t="s">
        <v>130</v>
      </c>
      <c r="F533" s="2" t="s">
        <v>1415</v>
      </c>
      <c r="G533" s="2" t="s">
        <v>1416</v>
      </c>
      <c r="H533" s="2" t="s">
        <v>142</v>
      </c>
      <c r="I533" s="2" t="s">
        <v>41</v>
      </c>
      <c r="J533" s="2">
        <v>32</v>
      </c>
      <c r="K533" s="2" t="s">
        <v>132</v>
      </c>
      <c r="L533" s="2" t="s">
        <v>40</v>
      </c>
      <c r="P533" s="2" t="s">
        <v>48</v>
      </c>
      <c r="Q533" s="2">
        <f>INDEX(Tables!$C$4:$C$28,MATCH($P533,Tables!$B$4:$B$28,0))</f>
        <v>32</v>
      </c>
      <c r="R533" s="2">
        <f>INDEX(Tables!$D$4:$D$28,MATCH($P533,Tables!$B$4:$B$28,0))</f>
        <v>4</v>
      </c>
      <c r="S533" s="2">
        <f>$S532+$R532+INDEX(Tables!$N$5:$Q$8,MATCH(MOD($S532+$R532,4),Tables!$M$5:$M$8,0),MATCH($R533,Tables!$N$4:$Q$4,0))</f>
        <v>1948</v>
      </c>
      <c r="T533" s="2" t="str">
        <f t="shared" si="138"/>
        <v>079C</v>
      </c>
      <c r="U533" s="2">
        <f t="shared" si="144"/>
        <v>487</v>
      </c>
      <c r="V533" s="2" t="str">
        <f t="shared" si="139"/>
        <v>1E7</v>
      </c>
      <c r="W533" s="2" t="str">
        <f t="shared" si="140"/>
        <v>X</v>
      </c>
      <c r="X533" s="2" t="str">
        <f t="shared" si="143"/>
        <v>X</v>
      </c>
      <c r="Y533" s="2" t="str">
        <f t="shared" si="141"/>
        <v>X</v>
      </c>
      <c r="Z533" s="2" t="str">
        <f t="shared" si="142"/>
        <v>X</v>
      </c>
      <c r="AA533" s="2" t="str">
        <f t="shared" si="145"/>
        <v>(31 downto 24)</v>
      </c>
      <c r="AB533" s="2" t="str">
        <f t="shared" si="146"/>
        <v>(23 downto 16)</v>
      </c>
      <c r="AC533" s="2" t="str">
        <f t="shared" si="147"/>
        <v>(15 downto 8)</v>
      </c>
      <c r="AD533" s="2" t="str">
        <f t="shared" si="148"/>
        <v>(7 downto 0)</v>
      </c>
      <c r="AE533" s="2" t="str">
        <f t="shared" si="149"/>
        <v>(31 downto 24)</v>
      </c>
      <c r="AF533" s="2" t="str">
        <f t="shared" si="150"/>
        <v>(23 downto 16)</v>
      </c>
      <c r="AG533" s="2" t="str">
        <f t="shared" si="151"/>
        <v>(15 downto 8)</v>
      </c>
      <c r="AH533" s="2" t="str">
        <f t="shared" si="152"/>
        <v>(7 downto 0)</v>
      </c>
    </row>
    <row r="534" spans="2:34" x14ac:dyDescent="0.25">
      <c r="B534" s="2" t="s">
        <v>1417</v>
      </c>
      <c r="C534" s="2" t="s">
        <v>141</v>
      </c>
      <c r="D534" s="2" t="s">
        <v>0</v>
      </c>
      <c r="E534" s="2" t="s">
        <v>130</v>
      </c>
      <c r="F534" s="2" t="s">
        <v>1418</v>
      </c>
      <c r="G534" s="2" t="s">
        <v>1419</v>
      </c>
      <c r="H534" s="2" t="s">
        <v>142</v>
      </c>
      <c r="I534" s="2" t="s">
        <v>41</v>
      </c>
      <c r="J534" s="2">
        <v>32</v>
      </c>
      <c r="K534" s="2" t="s">
        <v>132</v>
      </c>
      <c r="L534" s="2" t="s">
        <v>40</v>
      </c>
      <c r="P534" s="2" t="s">
        <v>48</v>
      </c>
      <c r="Q534" s="2">
        <f>INDEX(Tables!$C$4:$C$28,MATCH($P534,Tables!$B$4:$B$28,0))</f>
        <v>32</v>
      </c>
      <c r="R534" s="2">
        <f>INDEX(Tables!$D$4:$D$28,MATCH($P534,Tables!$B$4:$B$28,0))</f>
        <v>4</v>
      </c>
      <c r="S534" s="2">
        <f>$S533+$R533+INDEX(Tables!$N$5:$Q$8,MATCH(MOD($S533+$R533,4),Tables!$M$5:$M$8,0),MATCH($R534,Tables!$N$4:$Q$4,0))</f>
        <v>1952</v>
      </c>
      <c r="T534" s="2" t="str">
        <f t="shared" si="138"/>
        <v>07A0</v>
      </c>
      <c r="U534" s="2">
        <f t="shared" si="144"/>
        <v>488</v>
      </c>
      <c r="V534" s="2" t="str">
        <f t="shared" si="139"/>
        <v>1E8</v>
      </c>
      <c r="W534" s="2" t="str">
        <f t="shared" si="140"/>
        <v>X</v>
      </c>
      <c r="X534" s="2" t="str">
        <f t="shared" si="143"/>
        <v>X</v>
      </c>
      <c r="Y534" s="2" t="str">
        <f t="shared" si="141"/>
        <v>X</v>
      </c>
      <c r="Z534" s="2" t="str">
        <f t="shared" si="142"/>
        <v>X</v>
      </c>
      <c r="AA534" s="2" t="str">
        <f t="shared" si="145"/>
        <v>(31 downto 24)</v>
      </c>
      <c r="AB534" s="2" t="str">
        <f t="shared" si="146"/>
        <v>(23 downto 16)</v>
      </c>
      <c r="AC534" s="2" t="str">
        <f t="shared" si="147"/>
        <v>(15 downto 8)</v>
      </c>
      <c r="AD534" s="2" t="str">
        <f t="shared" si="148"/>
        <v>(7 downto 0)</v>
      </c>
      <c r="AE534" s="2" t="str">
        <f t="shared" si="149"/>
        <v>(31 downto 24)</v>
      </c>
      <c r="AF534" s="2" t="str">
        <f t="shared" si="150"/>
        <v>(23 downto 16)</v>
      </c>
      <c r="AG534" s="2" t="str">
        <f t="shared" si="151"/>
        <v>(15 downto 8)</v>
      </c>
      <c r="AH534" s="2" t="str">
        <f t="shared" si="152"/>
        <v>(7 downto 0)</v>
      </c>
    </row>
    <row r="535" spans="2:34" x14ac:dyDescent="0.25">
      <c r="B535" s="2" t="s">
        <v>1420</v>
      </c>
      <c r="C535" s="2" t="s">
        <v>141</v>
      </c>
      <c r="D535" s="2" t="s">
        <v>0</v>
      </c>
      <c r="E535" s="2" t="s">
        <v>130</v>
      </c>
      <c r="F535" s="2" t="s">
        <v>1421</v>
      </c>
      <c r="G535" s="2" t="s">
        <v>1422</v>
      </c>
      <c r="H535" s="2" t="s">
        <v>142</v>
      </c>
      <c r="I535" s="2" t="s">
        <v>41</v>
      </c>
      <c r="J535" s="2">
        <v>32</v>
      </c>
      <c r="K535" s="2" t="s">
        <v>132</v>
      </c>
      <c r="L535" s="2" t="s">
        <v>40</v>
      </c>
      <c r="P535" s="2" t="s">
        <v>48</v>
      </c>
      <c r="Q535" s="2">
        <f>INDEX(Tables!$C$4:$C$28,MATCH($P535,Tables!$B$4:$B$28,0))</f>
        <v>32</v>
      </c>
      <c r="R535" s="2">
        <f>INDEX(Tables!$D$4:$D$28,MATCH($P535,Tables!$B$4:$B$28,0))</f>
        <v>4</v>
      </c>
      <c r="S535" s="2">
        <f>$S534+$R534+INDEX(Tables!$N$5:$Q$8,MATCH(MOD($S534+$R534,4),Tables!$M$5:$M$8,0),MATCH($R535,Tables!$N$4:$Q$4,0))</f>
        <v>1956</v>
      </c>
      <c r="T535" s="2" t="str">
        <f t="shared" si="138"/>
        <v>07A4</v>
      </c>
      <c r="U535" s="2">
        <f t="shared" si="144"/>
        <v>489</v>
      </c>
      <c r="V535" s="2" t="str">
        <f t="shared" si="139"/>
        <v>1E9</v>
      </c>
      <c r="W535" s="2" t="str">
        <f t="shared" si="140"/>
        <v>X</v>
      </c>
      <c r="X535" s="2" t="str">
        <f t="shared" si="143"/>
        <v>X</v>
      </c>
      <c r="Y535" s="2" t="str">
        <f t="shared" si="141"/>
        <v>X</v>
      </c>
      <c r="Z535" s="2" t="str">
        <f t="shared" si="142"/>
        <v>X</v>
      </c>
      <c r="AA535" s="2" t="str">
        <f t="shared" si="145"/>
        <v>(31 downto 24)</v>
      </c>
      <c r="AB535" s="2" t="str">
        <f t="shared" si="146"/>
        <v>(23 downto 16)</v>
      </c>
      <c r="AC535" s="2" t="str">
        <f t="shared" si="147"/>
        <v>(15 downto 8)</v>
      </c>
      <c r="AD535" s="2" t="str">
        <f t="shared" si="148"/>
        <v>(7 downto 0)</v>
      </c>
      <c r="AE535" s="2" t="str">
        <f t="shared" si="149"/>
        <v>(31 downto 24)</v>
      </c>
      <c r="AF535" s="2" t="str">
        <f t="shared" si="150"/>
        <v>(23 downto 16)</v>
      </c>
      <c r="AG535" s="2" t="str">
        <f t="shared" si="151"/>
        <v>(15 downto 8)</v>
      </c>
      <c r="AH535" s="2" t="str">
        <f t="shared" si="152"/>
        <v>(7 downto 0)</v>
      </c>
    </row>
    <row r="536" spans="2:34" x14ac:dyDescent="0.25">
      <c r="B536" s="2" t="s">
        <v>1423</v>
      </c>
      <c r="C536" s="2" t="s">
        <v>141</v>
      </c>
      <c r="D536" s="2" t="s">
        <v>0</v>
      </c>
      <c r="E536" s="2" t="s">
        <v>130</v>
      </c>
      <c r="F536" s="2" t="s">
        <v>1424</v>
      </c>
      <c r="G536" s="2" t="s">
        <v>1425</v>
      </c>
      <c r="H536" s="2" t="s">
        <v>142</v>
      </c>
      <c r="I536" s="2" t="s">
        <v>41</v>
      </c>
      <c r="J536" s="2">
        <v>32</v>
      </c>
      <c r="K536" s="2" t="s">
        <v>132</v>
      </c>
      <c r="L536" s="2" t="s">
        <v>40</v>
      </c>
      <c r="P536" s="2" t="s">
        <v>48</v>
      </c>
      <c r="Q536" s="2">
        <f>INDEX(Tables!$C$4:$C$28,MATCH($P536,Tables!$B$4:$B$28,0))</f>
        <v>32</v>
      </c>
      <c r="R536" s="2">
        <f>INDEX(Tables!$D$4:$D$28,MATCH($P536,Tables!$B$4:$B$28,0))</f>
        <v>4</v>
      </c>
      <c r="S536" s="2">
        <f>$S535+$R535+INDEX(Tables!$N$5:$Q$8,MATCH(MOD($S535+$R535,4),Tables!$M$5:$M$8,0),MATCH($R536,Tables!$N$4:$Q$4,0))</f>
        <v>1960</v>
      </c>
      <c r="T536" s="2" t="str">
        <f t="shared" si="138"/>
        <v>07A8</v>
      </c>
      <c r="U536" s="2">
        <f t="shared" si="144"/>
        <v>490</v>
      </c>
      <c r="V536" s="2" t="str">
        <f t="shared" si="139"/>
        <v>1EA</v>
      </c>
      <c r="W536" s="2" t="str">
        <f t="shared" si="140"/>
        <v>X</v>
      </c>
      <c r="X536" s="2" t="str">
        <f t="shared" si="143"/>
        <v>X</v>
      </c>
      <c r="Y536" s="2" t="str">
        <f t="shared" si="141"/>
        <v>X</v>
      </c>
      <c r="Z536" s="2" t="str">
        <f t="shared" si="142"/>
        <v>X</v>
      </c>
      <c r="AA536" s="2" t="str">
        <f t="shared" si="145"/>
        <v>(31 downto 24)</v>
      </c>
      <c r="AB536" s="2" t="str">
        <f t="shared" si="146"/>
        <v>(23 downto 16)</v>
      </c>
      <c r="AC536" s="2" t="str">
        <f t="shared" si="147"/>
        <v>(15 downto 8)</v>
      </c>
      <c r="AD536" s="2" t="str">
        <f t="shared" si="148"/>
        <v>(7 downto 0)</v>
      </c>
      <c r="AE536" s="2" t="str">
        <f t="shared" si="149"/>
        <v>(31 downto 24)</v>
      </c>
      <c r="AF536" s="2" t="str">
        <f t="shared" si="150"/>
        <v>(23 downto 16)</v>
      </c>
      <c r="AG536" s="2" t="str">
        <f t="shared" si="151"/>
        <v>(15 downto 8)</v>
      </c>
      <c r="AH536" s="2" t="str">
        <f t="shared" si="152"/>
        <v>(7 downto 0)</v>
      </c>
    </row>
    <row r="537" spans="2:34" x14ac:dyDescent="0.25">
      <c r="B537" s="2" t="s">
        <v>1426</v>
      </c>
      <c r="C537" s="2" t="s">
        <v>141</v>
      </c>
      <c r="D537" s="2" t="s">
        <v>0</v>
      </c>
      <c r="E537" s="2" t="s">
        <v>130</v>
      </c>
      <c r="F537" s="2" t="s">
        <v>1427</v>
      </c>
      <c r="G537" s="2" t="s">
        <v>1428</v>
      </c>
      <c r="H537" s="2" t="s">
        <v>142</v>
      </c>
      <c r="I537" s="2" t="s">
        <v>41</v>
      </c>
      <c r="J537" s="2">
        <v>32</v>
      </c>
      <c r="K537" s="2" t="s">
        <v>132</v>
      </c>
      <c r="L537" s="2" t="s">
        <v>40</v>
      </c>
      <c r="P537" s="2" t="s">
        <v>48</v>
      </c>
      <c r="Q537" s="2">
        <f>INDEX(Tables!$C$4:$C$28,MATCH($P537,Tables!$B$4:$B$28,0))</f>
        <v>32</v>
      </c>
      <c r="R537" s="2">
        <f>INDEX(Tables!$D$4:$D$28,MATCH($P537,Tables!$B$4:$B$28,0))</f>
        <v>4</v>
      </c>
      <c r="S537" s="2">
        <f>$S536+$R536+INDEX(Tables!$N$5:$Q$8,MATCH(MOD($S536+$R536,4),Tables!$M$5:$M$8,0),MATCH($R537,Tables!$N$4:$Q$4,0))</f>
        <v>1964</v>
      </c>
      <c r="T537" s="2" t="str">
        <f t="shared" si="138"/>
        <v>07AC</v>
      </c>
      <c r="U537" s="2">
        <f t="shared" si="144"/>
        <v>491</v>
      </c>
      <c r="V537" s="2" t="str">
        <f t="shared" si="139"/>
        <v>1EB</v>
      </c>
      <c r="W537" s="2" t="str">
        <f t="shared" si="140"/>
        <v>X</v>
      </c>
      <c r="X537" s="2" t="str">
        <f t="shared" si="143"/>
        <v>X</v>
      </c>
      <c r="Y537" s="2" t="str">
        <f t="shared" si="141"/>
        <v>X</v>
      </c>
      <c r="Z537" s="2" t="str">
        <f t="shared" si="142"/>
        <v>X</v>
      </c>
      <c r="AA537" s="2" t="str">
        <f t="shared" si="145"/>
        <v>(31 downto 24)</v>
      </c>
      <c r="AB537" s="2" t="str">
        <f t="shared" si="146"/>
        <v>(23 downto 16)</v>
      </c>
      <c r="AC537" s="2" t="str">
        <f t="shared" si="147"/>
        <v>(15 downto 8)</v>
      </c>
      <c r="AD537" s="2" t="str">
        <f t="shared" si="148"/>
        <v>(7 downto 0)</v>
      </c>
      <c r="AE537" s="2" t="str">
        <f t="shared" si="149"/>
        <v>(31 downto 24)</v>
      </c>
      <c r="AF537" s="2" t="str">
        <f t="shared" si="150"/>
        <v>(23 downto 16)</v>
      </c>
      <c r="AG537" s="2" t="str">
        <f t="shared" si="151"/>
        <v>(15 downto 8)</v>
      </c>
      <c r="AH537" s="2" t="str">
        <f t="shared" si="152"/>
        <v>(7 downto 0)</v>
      </c>
    </row>
    <row r="538" spans="2:34" x14ac:dyDescent="0.25">
      <c r="B538" s="2" t="s">
        <v>1429</v>
      </c>
      <c r="C538" s="2" t="s">
        <v>141</v>
      </c>
      <c r="D538" s="2" t="s">
        <v>0</v>
      </c>
      <c r="E538" s="2" t="s">
        <v>130</v>
      </c>
      <c r="F538" s="2" t="s">
        <v>1430</v>
      </c>
      <c r="G538" s="2" t="s">
        <v>1431</v>
      </c>
      <c r="H538" s="2" t="s">
        <v>142</v>
      </c>
      <c r="I538" s="2" t="s">
        <v>41</v>
      </c>
      <c r="J538" s="2">
        <v>32</v>
      </c>
      <c r="K538" s="2" t="s">
        <v>132</v>
      </c>
      <c r="L538" s="2" t="s">
        <v>40</v>
      </c>
      <c r="P538" s="2" t="s">
        <v>48</v>
      </c>
      <c r="Q538" s="2">
        <f>INDEX(Tables!$C$4:$C$28,MATCH($P538,Tables!$B$4:$B$28,0))</f>
        <v>32</v>
      </c>
      <c r="R538" s="2">
        <f>INDEX(Tables!$D$4:$D$28,MATCH($P538,Tables!$B$4:$B$28,0))</f>
        <v>4</v>
      </c>
      <c r="S538" s="2">
        <f>$S537+$R537+INDEX(Tables!$N$5:$Q$8,MATCH(MOD($S537+$R537,4),Tables!$M$5:$M$8,0),MATCH($R538,Tables!$N$4:$Q$4,0))</f>
        <v>1968</v>
      </c>
      <c r="T538" s="2" t="str">
        <f t="shared" si="138"/>
        <v>07B0</v>
      </c>
      <c r="U538" s="2">
        <f t="shared" si="144"/>
        <v>492</v>
      </c>
      <c r="V538" s="2" t="str">
        <f t="shared" si="139"/>
        <v>1EC</v>
      </c>
      <c r="W538" s="2" t="str">
        <f t="shared" si="140"/>
        <v>X</v>
      </c>
      <c r="X538" s="2" t="str">
        <f t="shared" si="143"/>
        <v>X</v>
      </c>
      <c r="Y538" s="2" t="str">
        <f t="shared" si="141"/>
        <v>X</v>
      </c>
      <c r="Z538" s="2" t="str">
        <f t="shared" si="142"/>
        <v>X</v>
      </c>
      <c r="AA538" s="2" t="str">
        <f t="shared" si="145"/>
        <v>(31 downto 24)</v>
      </c>
      <c r="AB538" s="2" t="str">
        <f t="shared" si="146"/>
        <v>(23 downto 16)</v>
      </c>
      <c r="AC538" s="2" t="str">
        <f t="shared" si="147"/>
        <v>(15 downto 8)</v>
      </c>
      <c r="AD538" s="2" t="str">
        <f t="shared" si="148"/>
        <v>(7 downto 0)</v>
      </c>
      <c r="AE538" s="2" t="str">
        <f t="shared" si="149"/>
        <v>(31 downto 24)</v>
      </c>
      <c r="AF538" s="2" t="str">
        <f t="shared" si="150"/>
        <v>(23 downto 16)</v>
      </c>
      <c r="AG538" s="2" t="str">
        <f t="shared" si="151"/>
        <v>(15 downto 8)</v>
      </c>
      <c r="AH538" s="2" t="str">
        <f t="shared" si="152"/>
        <v>(7 downto 0)</v>
      </c>
    </row>
    <row r="539" spans="2:34" x14ac:dyDescent="0.25">
      <c r="B539" s="2" t="s">
        <v>1432</v>
      </c>
      <c r="C539" s="2" t="s">
        <v>141</v>
      </c>
      <c r="D539" s="2" t="s">
        <v>0</v>
      </c>
      <c r="E539" s="2" t="s">
        <v>130</v>
      </c>
      <c r="F539" s="2" t="s">
        <v>1433</v>
      </c>
      <c r="G539" s="2" t="s">
        <v>1434</v>
      </c>
      <c r="H539" s="2" t="s">
        <v>142</v>
      </c>
      <c r="I539" s="2" t="s">
        <v>41</v>
      </c>
      <c r="J539" s="2">
        <v>32</v>
      </c>
      <c r="K539" s="2" t="s">
        <v>132</v>
      </c>
      <c r="L539" s="2" t="s">
        <v>40</v>
      </c>
      <c r="P539" s="2" t="s">
        <v>48</v>
      </c>
      <c r="Q539" s="2">
        <f>INDEX(Tables!$C$4:$C$28,MATCH($P539,Tables!$B$4:$B$28,0))</f>
        <v>32</v>
      </c>
      <c r="R539" s="2">
        <f>INDEX(Tables!$D$4:$D$28,MATCH($P539,Tables!$B$4:$B$28,0))</f>
        <v>4</v>
      </c>
      <c r="S539" s="2">
        <f>$S538+$R538+INDEX(Tables!$N$5:$Q$8,MATCH(MOD($S538+$R538,4),Tables!$M$5:$M$8,0),MATCH($R539,Tables!$N$4:$Q$4,0))</f>
        <v>1972</v>
      </c>
      <c r="T539" s="2" t="str">
        <f t="shared" si="138"/>
        <v>07B4</v>
      </c>
      <c r="U539" s="2">
        <f t="shared" si="144"/>
        <v>493</v>
      </c>
      <c r="V539" s="2" t="str">
        <f t="shared" si="139"/>
        <v>1ED</v>
      </c>
      <c r="W539" s="2" t="str">
        <f t="shared" si="140"/>
        <v>X</v>
      </c>
      <c r="X539" s="2" t="str">
        <f t="shared" si="143"/>
        <v>X</v>
      </c>
      <c r="Y539" s="2" t="str">
        <f t="shared" si="141"/>
        <v>X</v>
      </c>
      <c r="Z539" s="2" t="str">
        <f t="shared" si="142"/>
        <v>X</v>
      </c>
      <c r="AA539" s="2" t="str">
        <f t="shared" si="145"/>
        <v>(31 downto 24)</v>
      </c>
      <c r="AB539" s="2" t="str">
        <f t="shared" si="146"/>
        <v>(23 downto 16)</v>
      </c>
      <c r="AC539" s="2" t="str">
        <f t="shared" si="147"/>
        <v>(15 downto 8)</v>
      </c>
      <c r="AD539" s="2" t="str">
        <f t="shared" si="148"/>
        <v>(7 downto 0)</v>
      </c>
      <c r="AE539" s="2" t="str">
        <f t="shared" si="149"/>
        <v>(31 downto 24)</v>
      </c>
      <c r="AF539" s="2" t="str">
        <f t="shared" si="150"/>
        <v>(23 downto 16)</v>
      </c>
      <c r="AG539" s="2" t="str">
        <f t="shared" si="151"/>
        <v>(15 downto 8)</v>
      </c>
      <c r="AH539" s="2" t="str">
        <f t="shared" si="152"/>
        <v>(7 downto 0)</v>
      </c>
    </row>
    <row r="540" spans="2:34" x14ac:dyDescent="0.25">
      <c r="B540" s="2" t="s">
        <v>1435</v>
      </c>
      <c r="C540" s="2" t="s">
        <v>141</v>
      </c>
      <c r="D540" s="2" t="s">
        <v>0</v>
      </c>
      <c r="E540" s="2" t="s">
        <v>130</v>
      </c>
      <c r="F540" s="2" t="s">
        <v>1436</v>
      </c>
      <c r="G540" s="2" t="s">
        <v>1437</v>
      </c>
      <c r="H540" s="2" t="s">
        <v>142</v>
      </c>
      <c r="I540" s="2" t="s">
        <v>41</v>
      </c>
      <c r="J540" s="2">
        <v>32</v>
      </c>
      <c r="K540" s="2" t="s">
        <v>132</v>
      </c>
      <c r="L540" s="2" t="s">
        <v>40</v>
      </c>
      <c r="P540" s="2" t="s">
        <v>48</v>
      </c>
      <c r="Q540" s="2">
        <f>INDEX(Tables!$C$4:$C$28,MATCH($P540,Tables!$B$4:$B$28,0))</f>
        <v>32</v>
      </c>
      <c r="R540" s="2">
        <f>INDEX(Tables!$D$4:$D$28,MATCH($P540,Tables!$B$4:$B$28,0))</f>
        <v>4</v>
      </c>
      <c r="S540" s="2">
        <f>$S539+$R539+INDEX(Tables!$N$5:$Q$8,MATCH(MOD($S539+$R539,4),Tables!$M$5:$M$8,0),MATCH($R540,Tables!$N$4:$Q$4,0))</f>
        <v>1976</v>
      </c>
      <c r="T540" s="2" t="str">
        <f t="shared" si="138"/>
        <v>07B8</v>
      </c>
      <c r="U540" s="2">
        <f t="shared" si="144"/>
        <v>494</v>
      </c>
      <c r="V540" s="2" t="str">
        <f t="shared" si="139"/>
        <v>1EE</v>
      </c>
      <c r="W540" s="2" t="str">
        <f t="shared" si="140"/>
        <v>X</v>
      </c>
      <c r="X540" s="2" t="str">
        <f t="shared" si="143"/>
        <v>X</v>
      </c>
      <c r="Y540" s="2" t="str">
        <f t="shared" si="141"/>
        <v>X</v>
      </c>
      <c r="Z540" s="2" t="str">
        <f t="shared" si="142"/>
        <v>X</v>
      </c>
      <c r="AA540" s="2" t="str">
        <f t="shared" si="145"/>
        <v>(31 downto 24)</v>
      </c>
      <c r="AB540" s="2" t="str">
        <f t="shared" si="146"/>
        <v>(23 downto 16)</v>
      </c>
      <c r="AC540" s="2" t="str">
        <f t="shared" si="147"/>
        <v>(15 downto 8)</v>
      </c>
      <c r="AD540" s="2" t="str">
        <f t="shared" si="148"/>
        <v>(7 downto 0)</v>
      </c>
      <c r="AE540" s="2" t="str">
        <f t="shared" si="149"/>
        <v>(31 downto 24)</v>
      </c>
      <c r="AF540" s="2" t="str">
        <f t="shared" si="150"/>
        <v>(23 downto 16)</v>
      </c>
      <c r="AG540" s="2" t="str">
        <f t="shared" si="151"/>
        <v>(15 downto 8)</v>
      </c>
      <c r="AH540" s="2" t="str">
        <f t="shared" si="152"/>
        <v>(7 downto 0)</v>
      </c>
    </row>
    <row r="541" spans="2:34" x14ac:dyDescent="0.25">
      <c r="B541" s="2" t="s">
        <v>1438</v>
      </c>
      <c r="C541" s="2" t="s">
        <v>141</v>
      </c>
      <c r="D541" s="2" t="s">
        <v>0</v>
      </c>
      <c r="E541" s="2" t="s">
        <v>130</v>
      </c>
      <c r="F541" s="2" t="s">
        <v>1439</v>
      </c>
      <c r="G541" s="2" t="s">
        <v>1440</v>
      </c>
      <c r="H541" s="2" t="s">
        <v>142</v>
      </c>
      <c r="I541" s="2" t="s">
        <v>41</v>
      </c>
      <c r="J541" s="2">
        <v>32</v>
      </c>
      <c r="K541" s="2" t="s">
        <v>132</v>
      </c>
      <c r="L541" s="2" t="s">
        <v>40</v>
      </c>
      <c r="P541" s="2" t="s">
        <v>48</v>
      </c>
      <c r="Q541" s="2">
        <f>INDEX(Tables!$C$4:$C$28,MATCH($P541,Tables!$B$4:$B$28,0))</f>
        <v>32</v>
      </c>
      <c r="R541" s="2">
        <f>INDEX(Tables!$D$4:$D$28,MATCH($P541,Tables!$B$4:$B$28,0))</f>
        <v>4</v>
      </c>
      <c r="S541" s="2">
        <f>$S540+$R540+INDEX(Tables!$N$5:$Q$8,MATCH(MOD($S540+$R540,4),Tables!$M$5:$M$8,0),MATCH($R541,Tables!$N$4:$Q$4,0))</f>
        <v>1980</v>
      </c>
      <c r="T541" s="2" t="str">
        <f t="shared" si="138"/>
        <v>07BC</v>
      </c>
      <c r="U541" s="2">
        <f t="shared" si="144"/>
        <v>495</v>
      </c>
      <c r="V541" s="2" t="str">
        <f t="shared" si="139"/>
        <v>1EF</v>
      </c>
      <c r="W541" s="2" t="str">
        <f t="shared" si="140"/>
        <v>X</v>
      </c>
      <c r="X541" s="2" t="str">
        <f t="shared" si="143"/>
        <v>X</v>
      </c>
      <c r="Y541" s="2" t="str">
        <f t="shared" si="141"/>
        <v>X</v>
      </c>
      <c r="Z541" s="2" t="str">
        <f t="shared" si="142"/>
        <v>X</v>
      </c>
      <c r="AA541" s="2" t="str">
        <f t="shared" si="145"/>
        <v>(31 downto 24)</v>
      </c>
      <c r="AB541" s="2" t="str">
        <f t="shared" si="146"/>
        <v>(23 downto 16)</v>
      </c>
      <c r="AC541" s="2" t="str">
        <f t="shared" si="147"/>
        <v>(15 downto 8)</v>
      </c>
      <c r="AD541" s="2" t="str">
        <f t="shared" si="148"/>
        <v>(7 downto 0)</v>
      </c>
      <c r="AE541" s="2" t="str">
        <f t="shared" si="149"/>
        <v>(31 downto 24)</v>
      </c>
      <c r="AF541" s="2" t="str">
        <f t="shared" si="150"/>
        <v>(23 downto 16)</v>
      </c>
      <c r="AG541" s="2" t="str">
        <f t="shared" si="151"/>
        <v>(15 downto 8)</v>
      </c>
      <c r="AH541" s="2" t="str">
        <f t="shared" si="152"/>
        <v>(7 downto 0)</v>
      </c>
    </row>
    <row r="542" spans="2:34" x14ac:dyDescent="0.25">
      <c r="B542" s="2" t="s">
        <v>1441</v>
      </c>
      <c r="C542" s="2" t="s">
        <v>141</v>
      </c>
      <c r="D542" s="2" t="s">
        <v>0</v>
      </c>
      <c r="E542" s="2" t="s">
        <v>130</v>
      </c>
      <c r="F542" s="2" t="s">
        <v>1442</v>
      </c>
      <c r="G542" s="2" t="s">
        <v>1443</v>
      </c>
      <c r="H542" s="2" t="s">
        <v>142</v>
      </c>
      <c r="I542" s="2" t="s">
        <v>41</v>
      </c>
      <c r="J542" s="2">
        <v>32</v>
      </c>
      <c r="K542" s="2" t="s">
        <v>132</v>
      </c>
      <c r="L542" s="2" t="s">
        <v>40</v>
      </c>
      <c r="P542" s="2" t="s">
        <v>48</v>
      </c>
      <c r="Q542" s="2">
        <f>INDEX(Tables!$C$4:$C$28,MATCH($P542,Tables!$B$4:$B$28,0))</f>
        <v>32</v>
      </c>
      <c r="R542" s="2">
        <f>INDEX(Tables!$D$4:$D$28,MATCH($P542,Tables!$B$4:$B$28,0))</f>
        <v>4</v>
      </c>
      <c r="S542" s="2">
        <f>$S541+$R541+INDEX(Tables!$N$5:$Q$8,MATCH(MOD($S541+$R541,4),Tables!$M$5:$M$8,0),MATCH($R542,Tables!$N$4:$Q$4,0))</f>
        <v>1984</v>
      </c>
      <c r="T542" s="2" t="str">
        <f t="shared" si="138"/>
        <v>07C0</v>
      </c>
      <c r="U542" s="2">
        <f t="shared" si="144"/>
        <v>496</v>
      </c>
      <c r="V542" s="2" t="str">
        <f t="shared" si="139"/>
        <v>1F0</v>
      </c>
      <c r="W542" s="2" t="str">
        <f t="shared" si="140"/>
        <v>X</v>
      </c>
      <c r="X542" s="2" t="str">
        <f t="shared" si="143"/>
        <v>X</v>
      </c>
      <c r="Y542" s="2" t="str">
        <f t="shared" si="141"/>
        <v>X</v>
      </c>
      <c r="Z542" s="2" t="str">
        <f t="shared" si="142"/>
        <v>X</v>
      </c>
      <c r="AA542" s="2" t="str">
        <f t="shared" si="145"/>
        <v>(31 downto 24)</v>
      </c>
      <c r="AB542" s="2" t="str">
        <f t="shared" si="146"/>
        <v>(23 downto 16)</v>
      </c>
      <c r="AC542" s="2" t="str">
        <f t="shared" si="147"/>
        <v>(15 downto 8)</v>
      </c>
      <c r="AD542" s="2" t="str">
        <f t="shared" si="148"/>
        <v>(7 downto 0)</v>
      </c>
      <c r="AE542" s="2" t="str">
        <f t="shared" si="149"/>
        <v>(31 downto 24)</v>
      </c>
      <c r="AF542" s="2" t="str">
        <f t="shared" si="150"/>
        <v>(23 downto 16)</v>
      </c>
      <c r="AG542" s="2" t="str">
        <f t="shared" si="151"/>
        <v>(15 downto 8)</v>
      </c>
      <c r="AH542" s="2" t="str">
        <f t="shared" si="152"/>
        <v>(7 downto 0)</v>
      </c>
    </row>
    <row r="543" spans="2:34" x14ac:dyDescent="0.25">
      <c r="B543" s="2" t="s">
        <v>1444</v>
      </c>
      <c r="C543" s="2" t="s">
        <v>141</v>
      </c>
      <c r="D543" s="2" t="s">
        <v>0</v>
      </c>
      <c r="E543" s="2" t="s">
        <v>130</v>
      </c>
      <c r="F543" s="2" t="s">
        <v>1445</v>
      </c>
      <c r="G543" s="2" t="s">
        <v>1446</v>
      </c>
      <c r="H543" s="2" t="s">
        <v>142</v>
      </c>
      <c r="I543" s="2" t="s">
        <v>41</v>
      </c>
      <c r="J543" s="2">
        <v>32</v>
      </c>
      <c r="K543" s="2" t="s">
        <v>132</v>
      </c>
      <c r="L543" s="2" t="s">
        <v>40</v>
      </c>
      <c r="P543" s="2" t="s">
        <v>48</v>
      </c>
      <c r="Q543" s="2">
        <f>INDEX(Tables!$C$4:$C$28,MATCH($P543,Tables!$B$4:$B$28,0))</f>
        <v>32</v>
      </c>
      <c r="R543" s="2">
        <f>INDEX(Tables!$D$4:$D$28,MATCH($P543,Tables!$B$4:$B$28,0))</f>
        <v>4</v>
      </c>
      <c r="S543" s="2">
        <f>$S542+$R542+INDEX(Tables!$N$5:$Q$8,MATCH(MOD($S542+$R542,4),Tables!$M$5:$M$8,0),MATCH($R543,Tables!$N$4:$Q$4,0))</f>
        <v>1988</v>
      </c>
      <c r="T543" s="2" t="str">
        <f t="shared" si="138"/>
        <v>07C4</v>
      </c>
      <c r="U543" s="2">
        <f t="shared" si="144"/>
        <v>497</v>
      </c>
      <c r="V543" s="2" t="str">
        <f t="shared" si="139"/>
        <v>1F1</v>
      </c>
      <c r="W543" s="2" t="str">
        <f t="shared" si="140"/>
        <v>X</v>
      </c>
      <c r="X543" s="2" t="str">
        <f t="shared" si="143"/>
        <v>X</v>
      </c>
      <c r="Y543" s="2" t="str">
        <f t="shared" si="141"/>
        <v>X</v>
      </c>
      <c r="Z543" s="2" t="str">
        <f t="shared" si="142"/>
        <v>X</v>
      </c>
      <c r="AA543" s="2" t="str">
        <f t="shared" si="145"/>
        <v>(31 downto 24)</v>
      </c>
      <c r="AB543" s="2" t="str">
        <f t="shared" si="146"/>
        <v>(23 downto 16)</v>
      </c>
      <c r="AC543" s="2" t="str">
        <f t="shared" si="147"/>
        <v>(15 downto 8)</v>
      </c>
      <c r="AD543" s="2" t="str">
        <f t="shared" si="148"/>
        <v>(7 downto 0)</v>
      </c>
      <c r="AE543" s="2" t="str">
        <f t="shared" si="149"/>
        <v>(31 downto 24)</v>
      </c>
      <c r="AF543" s="2" t="str">
        <f t="shared" si="150"/>
        <v>(23 downto 16)</v>
      </c>
      <c r="AG543" s="2" t="str">
        <f t="shared" si="151"/>
        <v>(15 downto 8)</v>
      </c>
      <c r="AH543" s="2" t="str">
        <f t="shared" si="152"/>
        <v>(7 downto 0)</v>
      </c>
    </row>
    <row r="544" spans="2:34" x14ac:dyDescent="0.25">
      <c r="B544" s="2" t="s">
        <v>1447</v>
      </c>
      <c r="C544" s="2" t="s">
        <v>141</v>
      </c>
      <c r="D544" s="2" t="s">
        <v>0</v>
      </c>
      <c r="E544" s="2" t="s">
        <v>130</v>
      </c>
      <c r="F544" s="2" t="s">
        <v>1448</v>
      </c>
      <c r="G544" s="2" t="s">
        <v>1449</v>
      </c>
      <c r="H544" s="2" t="s">
        <v>142</v>
      </c>
      <c r="I544" s="2" t="s">
        <v>41</v>
      </c>
      <c r="J544" s="2">
        <v>32</v>
      </c>
      <c r="K544" s="2" t="s">
        <v>132</v>
      </c>
      <c r="L544" s="2" t="s">
        <v>40</v>
      </c>
      <c r="P544" s="2" t="s">
        <v>48</v>
      </c>
      <c r="Q544" s="2">
        <f>INDEX(Tables!$C$4:$C$28,MATCH($P544,Tables!$B$4:$B$28,0))</f>
        <v>32</v>
      </c>
      <c r="R544" s="2">
        <f>INDEX(Tables!$D$4:$D$28,MATCH($P544,Tables!$B$4:$B$28,0))</f>
        <v>4</v>
      </c>
      <c r="S544" s="2">
        <f>$S543+$R543+INDEX(Tables!$N$5:$Q$8,MATCH(MOD($S543+$R543,4),Tables!$M$5:$M$8,0),MATCH($R544,Tables!$N$4:$Q$4,0))</f>
        <v>1992</v>
      </c>
      <c r="T544" s="2" t="str">
        <f t="shared" si="138"/>
        <v>07C8</v>
      </c>
      <c r="U544" s="2">
        <f t="shared" si="144"/>
        <v>498</v>
      </c>
      <c r="V544" s="2" t="str">
        <f t="shared" si="139"/>
        <v>1F2</v>
      </c>
      <c r="W544" s="2" t="str">
        <f t="shared" si="140"/>
        <v>X</v>
      </c>
      <c r="X544" s="2" t="str">
        <f t="shared" si="143"/>
        <v>X</v>
      </c>
      <c r="Y544" s="2" t="str">
        <f t="shared" si="141"/>
        <v>X</v>
      </c>
      <c r="Z544" s="2" t="str">
        <f t="shared" si="142"/>
        <v>X</v>
      </c>
      <c r="AA544" s="2" t="str">
        <f t="shared" si="145"/>
        <v>(31 downto 24)</v>
      </c>
      <c r="AB544" s="2" t="str">
        <f t="shared" si="146"/>
        <v>(23 downto 16)</v>
      </c>
      <c r="AC544" s="2" t="str">
        <f t="shared" si="147"/>
        <v>(15 downto 8)</v>
      </c>
      <c r="AD544" s="2" t="str">
        <f t="shared" si="148"/>
        <v>(7 downto 0)</v>
      </c>
      <c r="AE544" s="2" t="str">
        <f t="shared" si="149"/>
        <v>(31 downto 24)</v>
      </c>
      <c r="AF544" s="2" t="str">
        <f t="shared" si="150"/>
        <v>(23 downto 16)</v>
      </c>
      <c r="AG544" s="2" t="str">
        <f t="shared" si="151"/>
        <v>(15 downto 8)</v>
      </c>
      <c r="AH544" s="2" t="str">
        <f t="shared" si="152"/>
        <v>(7 downto 0)</v>
      </c>
    </row>
    <row r="545" spans="2:34" x14ac:dyDescent="0.25">
      <c r="B545" s="2" t="s">
        <v>1450</v>
      </c>
      <c r="C545" s="2" t="s">
        <v>141</v>
      </c>
      <c r="D545" s="2" t="s">
        <v>0</v>
      </c>
      <c r="E545" s="2" t="s">
        <v>130</v>
      </c>
      <c r="F545" s="2" t="s">
        <v>1451</v>
      </c>
      <c r="G545" s="2" t="s">
        <v>1452</v>
      </c>
      <c r="H545" s="2" t="s">
        <v>142</v>
      </c>
      <c r="I545" s="2" t="s">
        <v>41</v>
      </c>
      <c r="J545" s="2">
        <v>32</v>
      </c>
      <c r="K545" s="2" t="s">
        <v>132</v>
      </c>
      <c r="L545" s="2" t="s">
        <v>40</v>
      </c>
      <c r="P545" s="2" t="s">
        <v>48</v>
      </c>
      <c r="Q545" s="2">
        <f>INDEX(Tables!$C$4:$C$28,MATCH($P545,Tables!$B$4:$B$28,0))</f>
        <v>32</v>
      </c>
      <c r="R545" s="2">
        <f>INDEX(Tables!$D$4:$D$28,MATCH($P545,Tables!$B$4:$B$28,0))</f>
        <v>4</v>
      </c>
      <c r="S545" s="2">
        <f>$S544+$R544+INDEX(Tables!$N$5:$Q$8,MATCH(MOD($S544+$R544,4),Tables!$M$5:$M$8,0),MATCH($R545,Tables!$N$4:$Q$4,0))</f>
        <v>1996</v>
      </c>
      <c r="T545" s="2" t="str">
        <f t="shared" si="138"/>
        <v>07CC</v>
      </c>
      <c r="U545" s="2">
        <f t="shared" si="144"/>
        <v>499</v>
      </c>
      <c r="V545" s="2" t="str">
        <f t="shared" si="139"/>
        <v>1F3</v>
      </c>
      <c r="W545" s="2" t="str">
        <f t="shared" si="140"/>
        <v>X</v>
      </c>
      <c r="X545" s="2" t="str">
        <f t="shared" si="143"/>
        <v>X</v>
      </c>
      <c r="Y545" s="2" t="str">
        <f t="shared" si="141"/>
        <v>X</v>
      </c>
      <c r="Z545" s="2" t="str">
        <f t="shared" si="142"/>
        <v>X</v>
      </c>
      <c r="AA545" s="2" t="str">
        <f t="shared" si="145"/>
        <v>(31 downto 24)</v>
      </c>
      <c r="AB545" s="2" t="str">
        <f t="shared" si="146"/>
        <v>(23 downto 16)</v>
      </c>
      <c r="AC545" s="2" t="str">
        <f t="shared" si="147"/>
        <v>(15 downto 8)</v>
      </c>
      <c r="AD545" s="2" t="str">
        <f t="shared" si="148"/>
        <v>(7 downto 0)</v>
      </c>
      <c r="AE545" s="2" t="str">
        <f t="shared" si="149"/>
        <v>(31 downto 24)</v>
      </c>
      <c r="AF545" s="2" t="str">
        <f t="shared" si="150"/>
        <v>(23 downto 16)</v>
      </c>
      <c r="AG545" s="2" t="str">
        <f t="shared" si="151"/>
        <v>(15 downto 8)</v>
      </c>
      <c r="AH545" s="2" t="str">
        <f t="shared" si="152"/>
        <v>(7 downto 0)</v>
      </c>
    </row>
    <row r="546" spans="2:34" x14ac:dyDescent="0.25">
      <c r="B546" s="2" t="s">
        <v>1453</v>
      </c>
      <c r="C546" s="2" t="s">
        <v>141</v>
      </c>
      <c r="D546" s="2" t="s">
        <v>0</v>
      </c>
      <c r="E546" s="2" t="s">
        <v>130</v>
      </c>
      <c r="F546" s="2" t="s">
        <v>1454</v>
      </c>
      <c r="G546" s="2" t="s">
        <v>1455</v>
      </c>
      <c r="H546" s="2" t="s">
        <v>142</v>
      </c>
      <c r="I546" s="2" t="s">
        <v>41</v>
      </c>
      <c r="J546" s="2">
        <v>32</v>
      </c>
      <c r="K546" s="2" t="s">
        <v>132</v>
      </c>
      <c r="L546" s="2" t="s">
        <v>40</v>
      </c>
      <c r="P546" s="2" t="s">
        <v>48</v>
      </c>
      <c r="Q546" s="2">
        <f>INDEX(Tables!$C$4:$C$28,MATCH($P546,Tables!$B$4:$B$28,0))</f>
        <v>32</v>
      </c>
      <c r="R546" s="2">
        <f>INDEX(Tables!$D$4:$D$28,MATCH($P546,Tables!$B$4:$B$28,0))</f>
        <v>4</v>
      </c>
      <c r="S546" s="2">
        <f>$S545+$R545+INDEX(Tables!$N$5:$Q$8,MATCH(MOD($S545+$R545,4),Tables!$M$5:$M$8,0),MATCH($R546,Tables!$N$4:$Q$4,0))</f>
        <v>2000</v>
      </c>
      <c r="T546" s="2" t="str">
        <f t="shared" si="138"/>
        <v>07D0</v>
      </c>
      <c r="U546" s="2">
        <f t="shared" si="144"/>
        <v>500</v>
      </c>
      <c r="V546" s="2" t="str">
        <f t="shared" si="139"/>
        <v>1F4</v>
      </c>
      <c r="W546" s="2" t="str">
        <f t="shared" si="140"/>
        <v>X</v>
      </c>
      <c r="X546" s="2" t="str">
        <f t="shared" si="143"/>
        <v>X</v>
      </c>
      <c r="Y546" s="2" t="str">
        <f t="shared" si="141"/>
        <v>X</v>
      </c>
      <c r="Z546" s="2" t="str">
        <f t="shared" si="142"/>
        <v>X</v>
      </c>
      <c r="AA546" s="2" t="str">
        <f t="shared" si="145"/>
        <v>(31 downto 24)</v>
      </c>
      <c r="AB546" s="2" t="str">
        <f t="shared" si="146"/>
        <v>(23 downto 16)</v>
      </c>
      <c r="AC546" s="2" t="str">
        <f t="shared" si="147"/>
        <v>(15 downto 8)</v>
      </c>
      <c r="AD546" s="2" t="str">
        <f t="shared" si="148"/>
        <v>(7 downto 0)</v>
      </c>
      <c r="AE546" s="2" t="str">
        <f t="shared" si="149"/>
        <v>(31 downto 24)</v>
      </c>
      <c r="AF546" s="2" t="str">
        <f t="shared" si="150"/>
        <v>(23 downto 16)</v>
      </c>
      <c r="AG546" s="2" t="str">
        <f t="shared" si="151"/>
        <v>(15 downto 8)</v>
      </c>
      <c r="AH546" s="2" t="str">
        <f t="shared" si="152"/>
        <v>(7 downto 0)</v>
      </c>
    </row>
    <row r="547" spans="2:34" x14ac:dyDescent="0.25">
      <c r="B547" s="2" t="s">
        <v>1456</v>
      </c>
      <c r="C547" s="2" t="s">
        <v>141</v>
      </c>
      <c r="D547" s="2" t="s">
        <v>0</v>
      </c>
      <c r="E547" s="2" t="s">
        <v>130</v>
      </c>
      <c r="F547" s="2" t="s">
        <v>1457</v>
      </c>
      <c r="G547" s="2" t="s">
        <v>1458</v>
      </c>
      <c r="H547" s="2" t="s">
        <v>142</v>
      </c>
      <c r="I547" s="2" t="s">
        <v>41</v>
      </c>
      <c r="J547" s="2">
        <v>32</v>
      </c>
      <c r="K547" s="2" t="s">
        <v>132</v>
      </c>
      <c r="L547" s="2" t="s">
        <v>40</v>
      </c>
      <c r="P547" s="2" t="s">
        <v>48</v>
      </c>
      <c r="Q547" s="2">
        <f>INDEX(Tables!$C$4:$C$28,MATCH($P547,Tables!$B$4:$B$28,0))</f>
        <v>32</v>
      </c>
      <c r="R547" s="2">
        <f>INDEX(Tables!$D$4:$D$28,MATCH($P547,Tables!$B$4:$B$28,0))</f>
        <v>4</v>
      </c>
      <c r="S547" s="2">
        <f>$S546+$R546+INDEX(Tables!$N$5:$Q$8,MATCH(MOD($S546+$R546,4),Tables!$M$5:$M$8,0),MATCH($R547,Tables!$N$4:$Q$4,0))</f>
        <v>2004</v>
      </c>
      <c r="T547" s="2" t="str">
        <f t="shared" si="138"/>
        <v>07D4</v>
      </c>
      <c r="U547" s="2">
        <f t="shared" si="144"/>
        <v>501</v>
      </c>
      <c r="V547" s="2" t="str">
        <f t="shared" si="139"/>
        <v>1F5</v>
      </c>
      <c r="W547" s="2" t="str">
        <f t="shared" si="140"/>
        <v>X</v>
      </c>
      <c r="X547" s="2" t="str">
        <f t="shared" si="143"/>
        <v>X</v>
      </c>
      <c r="Y547" s="2" t="str">
        <f t="shared" si="141"/>
        <v>X</v>
      </c>
      <c r="Z547" s="2" t="str">
        <f t="shared" si="142"/>
        <v>X</v>
      </c>
      <c r="AA547" s="2" t="str">
        <f t="shared" si="145"/>
        <v>(31 downto 24)</v>
      </c>
      <c r="AB547" s="2" t="str">
        <f t="shared" si="146"/>
        <v>(23 downto 16)</v>
      </c>
      <c r="AC547" s="2" t="str">
        <f t="shared" si="147"/>
        <v>(15 downto 8)</v>
      </c>
      <c r="AD547" s="2" t="str">
        <f t="shared" si="148"/>
        <v>(7 downto 0)</v>
      </c>
      <c r="AE547" s="2" t="str">
        <f t="shared" si="149"/>
        <v>(31 downto 24)</v>
      </c>
      <c r="AF547" s="2" t="str">
        <f t="shared" si="150"/>
        <v>(23 downto 16)</v>
      </c>
      <c r="AG547" s="2" t="str">
        <f t="shared" si="151"/>
        <v>(15 downto 8)</v>
      </c>
      <c r="AH547" s="2" t="str">
        <f t="shared" si="152"/>
        <v>(7 downto 0)</v>
      </c>
    </row>
    <row r="548" spans="2:34" x14ac:dyDescent="0.25">
      <c r="B548" s="2" t="s">
        <v>1459</v>
      </c>
      <c r="C548" s="2" t="s">
        <v>141</v>
      </c>
      <c r="D548" s="2" t="s">
        <v>0</v>
      </c>
      <c r="E548" s="2" t="s">
        <v>130</v>
      </c>
      <c r="F548" s="2" t="s">
        <v>1460</v>
      </c>
      <c r="G548" s="2" t="s">
        <v>1461</v>
      </c>
      <c r="H548" s="2" t="s">
        <v>142</v>
      </c>
      <c r="I548" s="2" t="s">
        <v>41</v>
      </c>
      <c r="J548" s="2">
        <v>32</v>
      </c>
      <c r="K548" s="2" t="s">
        <v>132</v>
      </c>
      <c r="L548" s="2" t="s">
        <v>40</v>
      </c>
      <c r="P548" s="2" t="s">
        <v>48</v>
      </c>
      <c r="Q548" s="2">
        <f>INDEX(Tables!$C$4:$C$28,MATCH($P548,Tables!$B$4:$B$28,0))</f>
        <v>32</v>
      </c>
      <c r="R548" s="2">
        <f>INDEX(Tables!$D$4:$D$28,MATCH($P548,Tables!$B$4:$B$28,0))</f>
        <v>4</v>
      </c>
      <c r="S548" s="2">
        <f>$S547+$R547+INDEX(Tables!$N$5:$Q$8,MATCH(MOD($S547+$R547,4),Tables!$M$5:$M$8,0),MATCH($R548,Tables!$N$4:$Q$4,0))</f>
        <v>2008</v>
      </c>
      <c r="T548" s="2" t="str">
        <f t="shared" si="138"/>
        <v>07D8</v>
      </c>
      <c r="U548" s="2">
        <f t="shared" si="144"/>
        <v>502</v>
      </c>
      <c r="V548" s="2" t="str">
        <f t="shared" si="139"/>
        <v>1F6</v>
      </c>
      <c r="W548" s="2" t="str">
        <f t="shared" si="140"/>
        <v>X</v>
      </c>
      <c r="X548" s="2" t="str">
        <f t="shared" si="143"/>
        <v>X</v>
      </c>
      <c r="Y548" s="2" t="str">
        <f t="shared" si="141"/>
        <v>X</v>
      </c>
      <c r="Z548" s="2" t="str">
        <f t="shared" si="142"/>
        <v>X</v>
      </c>
      <c r="AA548" s="2" t="str">
        <f t="shared" si="145"/>
        <v>(31 downto 24)</v>
      </c>
      <c r="AB548" s="2" t="str">
        <f t="shared" si="146"/>
        <v>(23 downto 16)</v>
      </c>
      <c r="AC548" s="2" t="str">
        <f t="shared" si="147"/>
        <v>(15 downto 8)</v>
      </c>
      <c r="AD548" s="2" t="str">
        <f t="shared" si="148"/>
        <v>(7 downto 0)</v>
      </c>
      <c r="AE548" s="2" t="str">
        <f t="shared" si="149"/>
        <v>(31 downto 24)</v>
      </c>
      <c r="AF548" s="2" t="str">
        <f t="shared" si="150"/>
        <v>(23 downto 16)</v>
      </c>
      <c r="AG548" s="2" t="str">
        <f t="shared" si="151"/>
        <v>(15 downto 8)</v>
      </c>
      <c r="AH548" s="2" t="str">
        <f t="shared" si="152"/>
        <v>(7 downto 0)</v>
      </c>
    </row>
    <row r="549" spans="2:34" x14ac:dyDescent="0.25">
      <c r="B549" s="2" t="s">
        <v>1462</v>
      </c>
      <c r="C549" s="2" t="s">
        <v>141</v>
      </c>
      <c r="D549" s="2" t="s">
        <v>0</v>
      </c>
      <c r="E549" s="2" t="s">
        <v>130</v>
      </c>
      <c r="F549" s="2" t="s">
        <v>1463</v>
      </c>
      <c r="G549" s="2" t="s">
        <v>1464</v>
      </c>
      <c r="H549" s="2" t="s">
        <v>142</v>
      </c>
      <c r="I549" s="2" t="s">
        <v>41</v>
      </c>
      <c r="J549" s="2">
        <v>32</v>
      </c>
      <c r="K549" s="2" t="s">
        <v>132</v>
      </c>
      <c r="L549" s="2" t="s">
        <v>40</v>
      </c>
      <c r="P549" s="2" t="s">
        <v>48</v>
      </c>
      <c r="Q549" s="2">
        <f>INDEX(Tables!$C$4:$C$28,MATCH($P549,Tables!$B$4:$B$28,0))</f>
        <v>32</v>
      </c>
      <c r="R549" s="2">
        <f>INDEX(Tables!$D$4:$D$28,MATCH($P549,Tables!$B$4:$B$28,0))</f>
        <v>4</v>
      </c>
      <c r="S549" s="2">
        <f>$S548+$R548+INDEX(Tables!$N$5:$Q$8,MATCH(MOD($S548+$R548,4),Tables!$M$5:$M$8,0),MATCH($R549,Tables!$N$4:$Q$4,0))</f>
        <v>2012</v>
      </c>
      <c r="T549" s="2" t="str">
        <f t="shared" si="138"/>
        <v>07DC</v>
      </c>
      <c r="U549" s="2">
        <f t="shared" si="144"/>
        <v>503</v>
      </c>
      <c r="V549" s="2" t="str">
        <f t="shared" si="139"/>
        <v>1F7</v>
      </c>
      <c r="W549" s="2" t="str">
        <f t="shared" si="140"/>
        <v>X</v>
      </c>
      <c r="X549" s="2" t="str">
        <f t="shared" si="143"/>
        <v>X</v>
      </c>
      <c r="Y549" s="2" t="str">
        <f t="shared" si="141"/>
        <v>X</v>
      </c>
      <c r="Z549" s="2" t="str">
        <f t="shared" si="142"/>
        <v>X</v>
      </c>
      <c r="AA549" s="2" t="str">
        <f t="shared" si="145"/>
        <v>(31 downto 24)</v>
      </c>
      <c r="AB549" s="2" t="str">
        <f t="shared" si="146"/>
        <v>(23 downto 16)</v>
      </c>
      <c r="AC549" s="2" t="str">
        <f t="shared" si="147"/>
        <v>(15 downto 8)</v>
      </c>
      <c r="AD549" s="2" t="str">
        <f t="shared" si="148"/>
        <v>(7 downto 0)</v>
      </c>
      <c r="AE549" s="2" t="str">
        <f t="shared" si="149"/>
        <v>(31 downto 24)</v>
      </c>
      <c r="AF549" s="2" t="str">
        <f t="shared" si="150"/>
        <v>(23 downto 16)</v>
      </c>
      <c r="AG549" s="2" t="str">
        <f t="shared" si="151"/>
        <v>(15 downto 8)</v>
      </c>
      <c r="AH549" s="2" t="str">
        <f t="shared" si="152"/>
        <v>(7 downto 0)</v>
      </c>
    </row>
    <row r="550" spans="2:34" x14ac:dyDescent="0.25">
      <c r="B550" s="2" t="s">
        <v>1465</v>
      </c>
      <c r="C550" s="2" t="s">
        <v>141</v>
      </c>
      <c r="D550" s="2" t="s">
        <v>0</v>
      </c>
      <c r="E550" s="2" t="s">
        <v>130</v>
      </c>
      <c r="F550" s="2" t="s">
        <v>1466</v>
      </c>
      <c r="G550" s="2" t="s">
        <v>1467</v>
      </c>
      <c r="H550" s="2" t="s">
        <v>142</v>
      </c>
      <c r="I550" s="2" t="s">
        <v>41</v>
      </c>
      <c r="J550" s="2">
        <v>32</v>
      </c>
      <c r="K550" s="2" t="s">
        <v>132</v>
      </c>
      <c r="L550" s="2" t="s">
        <v>40</v>
      </c>
      <c r="P550" s="2" t="s">
        <v>48</v>
      </c>
      <c r="Q550" s="2">
        <f>INDEX(Tables!$C$4:$C$28,MATCH($P550,Tables!$B$4:$B$28,0))</f>
        <v>32</v>
      </c>
      <c r="R550" s="2">
        <f>INDEX(Tables!$D$4:$D$28,MATCH($P550,Tables!$B$4:$B$28,0))</f>
        <v>4</v>
      </c>
      <c r="S550" s="2">
        <f>$S549+$R549+INDEX(Tables!$N$5:$Q$8,MATCH(MOD($S549+$R549,4),Tables!$M$5:$M$8,0),MATCH($R550,Tables!$N$4:$Q$4,0))</f>
        <v>2016</v>
      </c>
      <c r="T550" s="2" t="str">
        <f t="shared" si="138"/>
        <v>07E0</v>
      </c>
      <c r="U550" s="2">
        <f t="shared" si="144"/>
        <v>504</v>
      </c>
      <c r="V550" s="2" t="str">
        <f t="shared" si="139"/>
        <v>1F8</v>
      </c>
      <c r="W550" s="2" t="str">
        <f t="shared" si="140"/>
        <v>X</v>
      </c>
      <c r="X550" s="2" t="str">
        <f t="shared" si="143"/>
        <v>X</v>
      </c>
      <c r="Y550" s="2" t="str">
        <f t="shared" si="141"/>
        <v>X</v>
      </c>
      <c r="Z550" s="2" t="str">
        <f t="shared" si="142"/>
        <v>X</v>
      </c>
      <c r="AA550" s="2" t="str">
        <f t="shared" si="145"/>
        <v>(31 downto 24)</v>
      </c>
      <c r="AB550" s="2" t="str">
        <f t="shared" si="146"/>
        <v>(23 downto 16)</v>
      </c>
      <c r="AC550" s="2" t="str">
        <f t="shared" si="147"/>
        <v>(15 downto 8)</v>
      </c>
      <c r="AD550" s="2" t="str">
        <f t="shared" si="148"/>
        <v>(7 downto 0)</v>
      </c>
      <c r="AE550" s="2" t="str">
        <f t="shared" si="149"/>
        <v>(31 downto 24)</v>
      </c>
      <c r="AF550" s="2" t="str">
        <f t="shared" si="150"/>
        <v>(23 downto 16)</v>
      </c>
      <c r="AG550" s="2" t="str">
        <f t="shared" si="151"/>
        <v>(15 downto 8)</v>
      </c>
      <c r="AH550" s="2" t="str">
        <f t="shared" si="152"/>
        <v>(7 downto 0)</v>
      </c>
    </row>
    <row r="551" spans="2:34" x14ac:dyDescent="0.25">
      <c r="B551" s="2" t="s">
        <v>1468</v>
      </c>
      <c r="C551" s="2" t="s">
        <v>141</v>
      </c>
      <c r="D551" s="2" t="s">
        <v>0</v>
      </c>
      <c r="E551" s="2" t="s">
        <v>130</v>
      </c>
      <c r="F551" s="2" t="s">
        <v>1469</v>
      </c>
      <c r="G551" s="2" t="s">
        <v>1470</v>
      </c>
      <c r="H551" s="2" t="s">
        <v>142</v>
      </c>
      <c r="I551" s="2" t="s">
        <v>41</v>
      </c>
      <c r="J551" s="2">
        <v>32</v>
      </c>
      <c r="K551" s="2" t="s">
        <v>132</v>
      </c>
      <c r="L551" s="2" t="s">
        <v>40</v>
      </c>
      <c r="P551" s="2" t="s">
        <v>48</v>
      </c>
      <c r="Q551" s="2">
        <f>INDEX(Tables!$C$4:$C$28,MATCH($P551,Tables!$B$4:$B$28,0))</f>
        <v>32</v>
      </c>
      <c r="R551" s="2">
        <f>INDEX(Tables!$D$4:$D$28,MATCH($P551,Tables!$B$4:$B$28,0))</f>
        <v>4</v>
      </c>
      <c r="S551" s="2">
        <f>$S550+$R550+INDEX(Tables!$N$5:$Q$8,MATCH(MOD($S550+$R550,4),Tables!$M$5:$M$8,0),MATCH($R551,Tables!$N$4:$Q$4,0))</f>
        <v>2020</v>
      </c>
      <c r="T551" s="2" t="str">
        <f t="shared" si="138"/>
        <v>07E4</v>
      </c>
      <c r="U551" s="2">
        <f t="shared" si="144"/>
        <v>505</v>
      </c>
      <c r="V551" s="2" t="str">
        <f t="shared" si="139"/>
        <v>1F9</v>
      </c>
      <c r="W551" s="2" t="str">
        <f t="shared" si="140"/>
        <v>X</v>
      </c>
      <c r="X551" s="2" t="str">
        <f t="shared" si="143"/>
        <v>X</v>
      </c>
      <c r="Y551" s="2" t="str">
        <f t="shared" si="141"/>
        <v>X</v>
      </c>
      <c r="Z551" s="2" t="str">
        <f t="shared" si="142"/>
        <v>X</v>
      </c>
      <c r="AA551" s="2" t="str">
        <f t="shared" si="145"/>
        <v>(31 downto 24)</v>
      </c>
      <c r="AB551" s="2" t="str">
        <f t="shared" si="146"/>
        <v>(23 downto 16)</v>
      </c>
      <c r="AC551" s="2" t="str">
        <f t="shared" si="147"/>
        <v>(15 downto 8)</v>
      </c>
      <c r="AD551" s="2" t="str">
        <f t="shared" si="148"/>
        <v>(7 downto 0)</v>
      </c>
      <c r="AE551" s="2" t="str">
        <f t="shared" si="149"/>
        <v>(31 downto 24)</v>
      </c>
      <c r="AF551" s="2" t="str">
        <f t="shared" si="150"/>
        <v>(23 downto 16)</v>
      </c>
      <c r="AG551" s="2" t="str">
        <f t="shared" si="151"/>
        <v>(15 downto 8)</v>
      </c>
      <c r="AH551" s="2" t="str">
        <f t="shared" si="152"/>
        <v>(7 downto 0)</v>
      </c>
    </row>
    <row r="552" spans="2:34" x14ac:dyDescent="0.25">
      <c r="B552" s="2" t="s">
        <v>1471</v>
      </c>
      <c r="C552" s="2" t="s">
        <v>141</v>
      </c>
      <c r="D552" s="2" t="s">
        <v>0</v>
      </c>
      <c r="E552" s="2" t="s">
        <v>130</v>
      </c>
      <c r="F552" s="2" t="s">
        <v>1472</v>
      </c>
      <c r="G552" s="2" t="s">
        <v>1473</v>
      </c>
      <c r="H552" s="2" t="s">
        <v>142</v>
      </c>
      <c r="I552" s="2" t="s">
        <v>41</v>
      </c>
      <c r="J552" s="2">
        <v>32</v>
      </c>
      <c r="K552" s="2" t="s">
        <v>132</v>
      </c>
      <c r="L552" s="2" t="s">
        <v>40</v>
      </c>
      <c r="P552" s="2" t="s">
        <v>48</v>
      </c>
      <c r="Q552" s="2">
        <f>INDEX(Tables!$C$4:$C$28,MATCH($P552,Tables!$B$4:$B$28,0))</f>
        <v>32</v>
      </c>
      <c r="R552" s="2">
        <f>INDEX(Tables!$D$4:$D$28,MATCH($P552,Tables!$B$4:$B$28,0))</f>
        <v>4</v>
      </c>
      <c r="S552" s="2">
        <f>$S551+$R551+INDEX(Tables!$N$5:$Q$8,MATCH(MOD($S551+$R551,4),Tables!$M$5:$M$8,0),MATCH($R552,Tables!$N$4:$Q$4,0))</f>
        <v>2024</v>
      </c>
      <c r="T552" s="2" t="str">
        <f t="shared" si="138"/>
        <v>07E8</v>
      </c>
      <c r="U552" s="2">
        <f t="shared" si="144"/>
        <v>506</v>
      </c>
      <c r="V552" s="2" t="str">
        <f t="shared" si="139"/>
        <v>1FA</v>
      </c>
      <c r="W552" s="2" t="str">
        <f t="shared" si="140"/>
        <v>X</v>
      </c>
      <c r="X552" s="2" t="str">
        <f t="shared" si="143"/>
        <v>X</v>
      </c>
      <c r="Y552" s="2" t="str">
        <f t="shared" si="141"/>
        <v>X</v>
      </c>
      <c r="Z552" s="2" t="str">
        <f t="shared" si="142"/>
        <v>X</v>
      </c>
      <c r="AA552" s="2" t="str">
        <f t="shared" si="145"/>
        <v>(31 downto 24)</v>
      </c>
      <c r="AB552" s="2" t="str">
        <f t="shared" si="146"/>
        <v>(23 downto 16)</v>
      </c>
      <c r="AC552" s="2" t="str">
        <f t="shared" si="147"/>
        <v>(15 downto 8)</v>
      </c>
      <c r="AD552" s="2" t="str">
        <f t="shared" si="148"/>
        <v>(7 downto 0)</v>
      </c>
      <c r="AE552" s="2" t="str">
        <f t="shared" si="149"/>
        <v>(31 downto 24)</v>
      </c>
      <c r="AF552" s="2" t="str">
        <f t="shared" si="150"/>
        <v>(23 downto 16)</v>
      </c>
      <c r="AG552" s="2" t="str">
        <f t="shared" si="151"/>
        <v>(15 downto 8)</v>
      </c>
      <c r="AH552" s="2" t="str">
        <f t="shared" si="152"/>
        <v>(7 downto 0)</v>
      </c>
    </row>
    <row r="553" spans="2:34" x14ac:dyDescent="0.25">
      <c r="B553" s="2" t="s">
        <v>1474</v>
      </c>
      <c r="C553" s="2" t="s">
        <v>141</v>
      </c>
      <c r="D553" s="2" t="s">
        <v>0</v>
      </c>
      <c r="E553" s="2" t="s">
        <v>130</v>
      </c>
      <c r="F553" s="2" t="s">
        <v>1475</v>
      </c>
      <c r="G553" s="2" t="s">
        <v>1476</v>
      </c>
      <c r="H553" s="2" t="s">
        <v>142</v>
      </c>
      <c r="I553" s="2" t="s">
        <v>41</v>
      </c>
      <c r="J553" s="2">
        <v>32</v>
      </c>
      <c r="K553" s="2" t="s">
        <v>132</v>
      </c>
      <c r="L553" s="2" t="s">
        <v>40</v>
      </c>
      <c r="P553" s="2" t="s">
        <v>48</v>
      </c>
      <c r="Q553" s="2">
        <f>INDEX(Tables!$C$4:$C$28,MATCH($P553,Tables!$B$4:$B$28,0))</f>
        <v>32</v>
      </c>
      <c r="R553" s="2">
        <f>INDEX(Tables!$D$4:$D$28,MATCH($P553,Tables!$B$4:$B$28,0))</f>
        <v>4</v>
      </c>
      <c r="S553" s="2">
        <f>$S552+$R552+INDEX(Tables!$N$5:$Q$8,MATCH(MOD($S552+$R552,4),Tables!$M$5:$M$8,0),MATCH($R553,Tables!$N$4:$Q$4,0))</f>
        <v>2028</v>
      </c>
      <c r="T553" s="2" t="str">
        <f t="shared" si="138"/>
        <v>07EC</v>
      </c>
      <c r="U553" s="2">
        <f t="shared" si="144"/>
        <v>507</v>
      </c>
      <c r="V553" s="2" t="str">
        <f t="shared" si="139"/>
        <v>1FB</v>
      </c>
      <c r="W553" s="2" t="str">
        <f t="shared" si="140"/>
        <v>X</v>
      </c>
      <c r="X553" s="2" t="str">
        <f t="shared" si="143"/>
        <v>X</v>
      </c>
      <c r="Y553" s="2" t="str">
        <f t="shared" si="141"/>
        <v>X</v>
      </c>
      <c r="Z553" s="2" t="str">
        <f t="shared" si="142"/>
        <v>X</v>
      </c>
      <c r="AA553" s="2" t="str">
        <f t="shared" si="145"/>
        <v>(31 downto 24)</v>
      </c>
      <c r="AB553" s="2" t="str">
        <f t="shared" si="146"/>
        <v>(23 downto 16)</v>
      </c>
      <c r="AC553" s="2" t="str">
        <f t="shared" si="147"/>
        <v>(15 downto 8)</v>
      </c>
      <c r="AD553" s="2" t="str">
        <f t="shared" si="148"/>
        <v>(7 downto 0)</v>
      </c>
      <c r="AE553" s="2" t="str">
        <f t="shared" si="149"/>
        <v>(31 downto 24)</v>
      </c>
      <c r="AF553" s="2" t="str">
        <f t="shared" si="150"/>
        <v>(23 downto 16)</v>
      </c>
      <c r="AG553" s="2" t="str">
        <f t="shared" si="151"/>
        <v>(15 downto 8)</v>
      </c>
      <c r="AH553" s="2" t="str">
        <f t="shared" si="152"/>
        <v>(7 downto 0)</v>
      </c>
    </row>
    <row r="554" spans="2:34" x14ac:dyDescent="0.25">
      <c r="B554" s="2" t="s">
        <v>1477</v>
      </c>
      <c r="C554" s="2" t="s">
        <v>141</v>
      </c>
      <c r="D554" s="2" t="s">
        <v>0</v>
      </c>
      <c r="E554" s="2" t="s">
        <v>130</v>
      </c>
      <c r="F554" s="2" t="s">
        <v>1478</v>
      </c>
      <c r="G554" s="2" t="s">
        <v>1479</v>
      </c>
      <c r="H554" s="2" t="s">
        <v>142</v>
      </c>
      <c r="I554" s="2" t="s">
        <v>41</v>
      </c>
      <c r="J554" s="2">
        <v>32</v>
      </c>
      <c r="K554" s="2" t="s">
        <v>132</v>
      </c>
      <c r="L554" s="2" t="s">
        <v>40</v>
      </c>
      <c r="P554" s="2" t="s">
        <v>48</v>
      </c>
      <c r="Q554" s="2">
        <f>INDEX(Tables!$C$4:$C$28,MATCH($P554,Tables!$B$4:$B$28,0))</f>
        <v>32</v>
      </c>
      <c r="R554" s="2">
        <f>INDEX(Tables!$D$4:$D$28,MATCH($P554,Tables!$B$4:$B$28,0))</f>
        <v>4</v>
      </c>
      <c r="S554" s="2">
        <f>$S553+$R553+INDEX(Tables!$N$5:$Q$8,MATCH(MOD($S553+$R553,4),Tables!$M$5:$M$8,0),MATCH($R554,Tables!$N$4:$Q$4,0))</f>
        <v>2032</v>
      </c>
      <c r="T554" s="2" t="str">
        <f t="shared" si="138"/>
        <v>07F0</v>
      </c>
      <c r="U554" s="2">
        <f t="shared" si="144"/>
        <v>508</v>
      </c>
      <c r="V554" s="2" t="str">
        <f t="shared" si="139"/>
        <v>1FC</v>
      </c>
      <c r="W554" s="2" t="str">
        <f t="shared" si="140"/>
        <v>X</v>
      </c>
      <c r="X554" s="2" t="str">
        <f t="shared" si="143"/>
        <v>X</v>
      </c>
      <c r="Y554" s="2" t="str">
        <f t="shared" si="141"/>
        <v>X</v>
      </c>
      <c r="Z554" s="2" t="str">
        <f t="shared" si="142"/>
        <v>X</v>
      </c>
      <c r="AA554" s="2" t="str">
        <f t="shared" si="145"/>
        <v>(31 downto 24)</v>
      </c>
      <c r="AB554" s="2" t="str">
        <f t="shared" si="146"/>
        <v>(23 downto 16)</v>
      </c>
      <c r="AC554" s="2" t="str">
        <f t="shared" si="147"/>
        <v>(15 downto 8)</v>
      </c>
      <c r="AD554" s="2" t="str">
        <f t="shared" si="148"/>
        <v>(7 downto 0)</v>
      </c>
      <c r="AE554" s="2" t="str">
        <f t="shared" si="149"/>
        <v>(31 downto 24)</v>
      </c>
      <c r="AF554" s="2" t="str">
        <f t="shared" si="150"/>
        <v>(23 downto 16)</v>
      </c>
      <c r="AG554" s="2" t="str">
        <f t="shared" si="151"/>
        <v>(15 downto 8)</v>
      </c>
      <c r="AH554" s="2" t="str">
        <f t="shared" si="152"/>
        <v>(7 downto 0)</v>
      </c>
    </row>
    <row r="555" spans="2:34" x14ac:dyDescent="0.25">
      <c r="B555" s="2" t="s">
        <v>1480</v>
      </c>
      <c r="C555" s="2" t="s">
        <v>141</v>
      </c>
      <c r="D555" s="2" t="s">
        <v>0</v>
      </c>
      <c r="E555" s="2" t="s">
        <v>130</v>
      </c>
      <c r="F555" s="2" t="s">
        <v>1481</v>
      </c>
      <c r="G555" s="2" t="s">
        <v>1482</v>
      </c>
      <c r="H555" s="2" t="s">
        <v>142</v>
      </c>
      <c r="I555" s="2" t="s">
        <v>41</v>
      </c>
      <c r="J555" s="2">
        <v>32</v>
      </c>
      <c r="K555" s="2" t="s">
        <v>132</v>
      </c>
      <c r="L555" s="2" t="s">
        <v>40</v>
      </c>
      <c r="P555" s="2" t="s">
        <v>48</v>
      </c>
      <c r="Q555" s="2">
        <f>INDEX(Tables!$C$4:$C$28,MATCH($P555,Tables!$B$4:$B$28,0))</f>
        <v>32</v>
      </c>
      <c r="R555" s="2">
        <f>INDEX(Tables!$D$4:$D$28,MATCH($P555,Tables!$B$4:$B$28,0))</f>
        <v>4</v>
      </c>
      <c r="S555" s="2">
        <f>$S554+$R554+INDEX(Tables!$N$5:$Q$8,MATCH(MOD($S554+$R554,4),Tables!$M$5:$M$8,0),MATCH($R555,Tables!$N$4:$Q$4,0))</f>
        <v>2036</v>
      </c>
      <c r="T555" s="2" t="str">
        <f t="shared" si="138"/>
        <v>07F4</v>
      </c>
      <c r="U555" s="2">
        <f t="shared" si="144"/>
        <v>509</v>
      </c>
      <c r="V555" s="2" t="str">
        <f t="shared" si="139"/>
        <v>1FD</v>
      </c>
      <c r="W555" s="2" t="str">
        <f t="shared" si="140"/>
        <v>X</v>
      </c>
      <c r="X555" s="2" t="str">
        <f t="shared" si="143"/>
        <v>X</v>
      </c>
      <c r="Y555" s="2" t="str">
        <f t="shared" si="141"/>
        <v>X</v>
      </c>
      <c r="Z555" s="2" t="str">
        <f t="shared" si="142"/>
        <v>X</v>
      </c>
      <c r="AA555" s="2" t="str">
        <f t="shared" si="145"/>
        <v>(31 downto 24)</v>
      </c>
      <c r="AB555" s="2" t="str">
        <f t="shared" si="146"/>
        <v>(23 downto 16)</v>
      </c>
      <c r="AC555" s="2" t="str">
        <f t="shared" si="147"/>
        <v>(15 downto 8)</v>
      </c>
      <c r="AD555" s="2" t="str">
        <f t="shared" si="148"/>
        <v>(7 downto 0)</v>
      </c>
      <c r="AE555" s="2" t="str">
        <f t="shared" si="149"/>
        <v>(31 downto 24)</v>
      </c>
      <c r="AF555" s="2" t="str">
        <f t="shared" si="150"/>
        <v>(23 downto 16)</v>
      </c>
      <c r="AG555" s="2" t="str">
        <f t="shared" si="151"/>
        <v>(15 downto 8)</v>
      </c>
      <c r="AH555" s="2" t="str">
        <f t="shared" si="152"/>
        <v>(7 downto 0)</v>
      </c>
    </row>
    <row r="556" spans="2:34" x14ac:dyDescent="0.25">
      <c r="B556" s="2" t="s">
        <v>1483</v>
      </c>
      <c r="C556" s="2" t="s">
        <v>141</v>
      </c>
      <c r="D556" s="2" t="s">
        <v>0</v>
      </c>
      <c r="E556" s="2" t="s">
        <v>130</v>
      </c>
      <c r="F556" s="2" t="s">
        <v>1484</v>
      </c>
      <c r="G556" s="2" t="s">
        <v>1485</v>
      </c>
      <c r="H556" s="2" t="s">
        <v>142</v>
      </c>
      <c r="I556" s="2" t="s">
        <v>41</v>
      </c>
      <c r="J556" s="2">
        <v>32</v>
      </c>
      <c r="K556" s="2" t="s">
        <v>132</v>
      </c>
      <c r="L556" s="2" t="s">
        <v>40</v>
      </c>
      <c r="P556" s="2" t="s">
        <v>48</v>
      </c>
      <c r="Q556" s="2">
        <f>INDEX(Tables!$C$4:$C$28,MATCH($P556,Tables!$B$4:$B$28,0))</f>
        <v>32</v>
      </c>
      <c r="R556" s="2">
        <f>INDEX(Tables!$D$4:$D$28,MATCH($P556,Tables!$B$4:$B$28,0))</f>
        <v>4</v>
      </c>
      <c r="S556" s="2">
        <f>$S555+$R555+INDEX(Tables!$N$5:$Q$8,MATCH(MOD($S555+$R555,4),Tables!$M$5:$M$8,0),MATCH($R556,Tables!$N$4:$Q$4,0))</f>
        <v>2040</v>
      </c>
      <c r="T556" s="2" t="str">
        <f t="shared" si="138"/>
        <v>07F8</v>
      </c>
      <c r="U556" s="2">
        <f t="shared" si="144"/>
        <v>510</v>
      </c>
      <c r="V556" s="2" t="str">
        <f t="shared" si="139"/>
        <v>1FE</v>
      </c>
      <c r="W556" s="2" t="str">
        <f t="shared" si="140"/>
        <v>X</v>
      </c>
      <c r="X556" s="2" t="str">
        <f t="shared" si="143"/>
        <v>X</v>
      </c>
      <c r="Y556" s="2" t="str">
        <f t="shared" si="141"/>
        <v>X</v>
      </c>
      <c r="Z556" s="2" t="str">
        <f t="shared" si="142"/>
        <v>X</v>
      </c>
      <c r="AA556" s="2" t="str">
        <f t="shared" si="145"/>
        <v>(31 downto 24)</v>
      </c>
      <c r="AB556" s="2" t="str">
        <f t="shared" si="146"/>
        <v>(23 downto 16)</v>
      </c>
      <c r="AC556" s="2" t="str">
        <f t="shared" si="147"/>
        <v>(15 downto 8)</v>
      </c>
      <c r="AD556" s="2" t="str">
        <f t="shared" si="148"/>
        <v>(7 downto 0)</v>
      </c>
      <c r="AE556" s="2" t="str">
        <f t="shared" si="149"/>
        <v>(31 downto 24)</v>
      </c>
      <c r="AF556" s="2" t="str">
        <f t="shared" si="150"/>
        <v>(23 downto 16)</v>
      </c>
      <c r="AG556" s="2" t="str">
        <f t="shared" si="151"/>
        <v>(15 downto 8)</v>
      </c>
      <c r="AH556" s="2" t="str">
        <f t="shared" si="152"/>
        <v>(7 downto 0)</v>
      </c>
    </row>
    <row r="557" spans="2:34" x14ac:dyDescent="0.25">
      <c r="B557" s="2" t="s">
        <v>1486</v>
      </c>
      <c r="C557" s="2" t="s">
        <v>141</v>
      </c>
      <c r="D557" s="2" t="s">
        <v>0</v>
      </c>
      <c r="E557" s="2" t="s">
        <v>130</v>
      </c>
      <c r="F557" s="2" t="s">
        <v>1487</v>
      </c>
      <c r="G557" s="2" t="s">
        <v>1488</v>
      </c>
      <c r="H557" s="2" t="s">
        <v>142</v>
      </c>
      <c r="I557" s="2" t="s">
        <v>41</v>
      </c>
      <c r="J557" s="2">
        <v>32</v>
      </c>
      <c r="K557" s="2" t="s">
        <v>132</v>
      </c>
      <c r="L557" s="2" t="s">
        <v>40</v>
      </c>
      <c r="P557" s="2" t="s">
        <v>48</v>
      </c>
      <c r="Q557" s="2">
        <f>INDEX(Tables!$C$4:$C$28,MATCH($P557,Tables!$B$4:$B$28,0))</f>
        <v>32</v>
      </c>
      <c r="R557" s="2">
        <f>INDEX(Tables!$D$4:$D$28,MATCH($P557,Tables!$B$4:$B$28,0))</f>
        <v>4</v>
      </c>
      <c r="S557" s="2">
        <f>$S556+$R556+INDEX(Tables!$N$5:$Q$8,MATCH(MOD($S556+$R556,4),Tables!$M$5:$M$8,0),MATCH($R557,Tables!$N$4:$Q$4,0))</f>
        <v>2044</v>
      </c>
      <c r="T557" s="2" t="str">
        <f t="shared" si="138"/>
        <v>07FC</v>
      </c>
      <c r="U557" s="2">
        <f t="shared" si="144"/>
        <v>511</v>
      </c>
      <c r="V557" s="2" t="str">
        <f t="shared" si="139"/>
        <v>1FF</v>
      </c>
      <c r="W557" s="2" t="str">
        <f t="shared" si="140"/>
        <v>X</v>
      </c>
      <c r="X557" s="2" t="str">
        <f t="shared" si="143"/>
        <v>X</v>
      </c>
      <c r="Y557" s="2" t="str">
        <f t="shared" si="141"/>
        <v>X</v>
      </c>
      <c r="Z557" s="2" t="str">
        <f t="shared" si="142"/>
        <v>X</v>
      </c>
      <c r="AA557" s="2" t="str">
        <f t="shared" si="145"/>
        <v>(31 downto 24)</v>
      </c>
      <c r="AB557" s="2" t="str">
        <f t="shared" si="146"/>
        <v>(23 downto 16)</v>
      </c>
      <c r="AC557" s="2" t="str">
        <f t="shared" si="147"/>
        <v>(15 downto 8)</v>
      </c>
      <c r="AD557" s="2" t="str">
        <f t="shared" si="148"/>
        <v>(7 downto 0)</v>
      </c>
      <c r="AE557" s="2" t="str">
        <f t="shared" si="149"/>
        <v>(31 downto 24)</v>
      </c>
      <c r="AF557" s="2" t="str">
        <f t="shared" si="150"/>
        <v>(23 downto 16)</v>
      </c>
      <c r="AG557" s="2" t="str">
        <f t="shared" si="151"/>
        <v>(15 downto 8)</v>
      </c>
      <c r="AH557" s="2" t="str">
        <f t="shared" si="152"/>
        <v>(7 downto 0)</v>
      </c>
    </row>
    <row r="558" spans="2:34" x14ac:dyDescent="0.25">
      <c r="B558" s="2" t="s">
        <v>1489</v>
      </c>
      <c r="C558" s="2" t="s">
        <v>141</v>
      </c>
      <c r="D558" s="2" t="s">
        <v>0</v>
      </c>
      <c r="E558" s="2" t="s">
        <v>130</v>
      </c>
      <c r="F558" s="2" t="s">
        <v>1490</v>
      </c>
      <c r="G558" s="2" t="s">
        <v>1491</v>
      </c>
      <c r="H558" s="2" t="s">
        <v>142</v>
      </c>
      <c r="I558" s="2" t="s">
        <v>41</v>
      </c>
      <c r="J558" s="2">
        <v>32</v>
      </c>
      <c r="K558" s="2" t="s">
        <v>132</v>
      </c>
      <c r="L558" s="2" t="s">
        <v>40</v>
      </c>
      <c r="P558" s="2" t="s">
        <v>48</v>
      </c>
      <c r="Q558" s="2">
        <f>INDEX(Tables!$C$4:$C$28,MATCH($P558,Tables!$B$4:$B$28,0))</f>
        <v>32</v>
      </c>
      <c r="R558" s="2">
        <f>INDEX(Tables!$D$4:$D$28,MATCH($P558,Tables!$B$4:$B$28,0))</f>
        <v>4</v>
      </c>
      <c r="S558" s="2">
        <f>$S557+$R557+INDEX(Tables!$N$5:$Q$8,MATCH(MOD($S557+$R557,4),Tables!$M$5:$M$8,0),MATCH($R558,Tables!$N$4:$Q$4,0))</f>
        <v>2048</v>
      </c>
      <c r="T558" s="2" t="str">
        <f t="shared" si="138"/>
        <v>0800</v>
      </c>
      <c r="U558" s="2">
        <f t="shared" si="144"/>
        <v>512</v>
      </c>
      <c r="V558" s="2" t="str">
        <f t="shared" si="139"/>
        <v>200</v>
      </c>
      <c r="W558" s="2" t="str">
        <f t="shared" si="140"/>
        <v>X</v>
      </c>
      <c r="X558" s="2" t="str">
        <f t="shared" si="143"/>
        <v>X</v>
      </c>
      <c r="Y558" s="2" t="str">
        <f t="shared" si="141"/>
        <v>X</v>
      </c>
      <c r="Z558" s="2" t="str">
        <f t="shared" si="142"/>
        <v>X</v>
      </c>
      <c r="AA558" s="2" t="str">
        <f t="shared" si="145"/>
        <v>(31 downto 24)</v>
      </c>
      <c r="AB558" s="2" t="str">
        <f t="shared" si="146"/>
        <v>(23 downto 16)</v>
      </c>
      <c r="AC558" s="2" t="str">
        <f t="shared" si="147"/>
        <v>(15 downto 8)</v>
      </c>
      <c r="AD558" s="2" t="str">
        <f t="shared" si="148"/>
        <v>(7 downto 0)</v>
      </c>
      <c r="AE558" s="2" t="str">
        <f t="shared" si="149"/>
        <v>(31 downto 24)</v>
      </c>
      <c r="AF558" s="2" t="str">
        <f t="shared" si="150"/>
        <v>(23 downto 16)</v>
      </c>
      <c r="AG558" s="2" t="str">
        <f t="shared" si="151"/>
        <v>(15 downto 8)</v>
      </c>
      <c r="AH558" s="2" t="str">
        <f t="shared" si="152"/>
        <v>(7 downto 0)</v>
      </c>
    </row>
    <row r="559" spans="2:34" x14ac:dyDescent="0.25">
      <c r="B559" s="2" t="s">
        <v>1492</v>
      </c>
      <c r="C559" s="2" t="s">
        <v>141</v>
      </c>
      <c r="D559" s="2" t="s">
        <v>0</v>
      </c>
      <c r="E559" s="2" t="s">
        <v>130</v>
      </c>
      <c r="F559" s="2" t="s">
        <v>1493</v>
      </c>
      <c r="G559" s="2" t="s">
        <v>1494</v>
      </c>
      <c r="H559" s="2" t="s">
        <v>142</v>
      </c>
      <c r="I559" s="2" t="s">
        <v>41</v>
      </c>
      <c r="J559" s="2">
        <v>32</v>
      </c>
      <c r="K559" s="2" t="s">
        <v>132</v>
      </c>
      <c r="L559" s="2" t="s">
        <v>40</v>
      </c>
      <c r="P559" s="2" t="s">
        <v>48</v>
      </c>
      <c r="Q559" s="2">
        <f>INDEX(Tables!$C$4:$C$28,MATCH($P559,Tables!$B$4:$B$28,0))</f>
        <v>32</v>
      </c>
      <c r="R559" s="2">
        <f>INDEX(Tables!$D$4:$D$28,MATCH($P559,Tables!$B$4:$B$28,0))</f>
        <v>4</v>
      </c>
      <c r="S559" s="2">
        <f>$S558+$R558+INDEX(Tables!$N$5:$Q$8,MATCH(MOD($S558+$R558,4),Tables!$M$5:$M$8,0),MATCH($R559,Tables!$N$4:$Q$4,0))</f>
        <v>2052</v>
      </c>
      <c r="T559" s="2" t="str">
        <f t="shared" si="138"/>
        <v>0804</v>
      </c>
      <c r="U559" s="2">
        <f t="shared" si="144"/>
        <v>513</v>
      </c>
      <c r="V559" s="2" t="str">
        <f t="shared" si="139"/>
        <v>201</v>
      </c>
      <c r="W559" s="2" t="str">
        <f t="shared" si="140"/>
        <v>X</v>
      </c>
      <c r="X559" s="2" t="str">
        <f t="shared" si="143"/>
        <v>X</v>
      </c>
      <c r="Y559" s="2" t="str">
        <f t="shared" si="141"/>
        <v>X</v>
      </c>
      <c r="Z559" s="2" t="str">
        <f t="shared" si="142"/>
        <v>X</v>
      </c>
      <c r="AA559" s="2" t="str">
        <f t="shared" si="145"/>
        <v>(31 downto 24)</v>
      </c>
      <c r="AB559" s="2" t="str">
        <f t="shared" si="146"/>
        <v>(23 downto 16)</v>
      </c>
      <c r="AC559" s="2" t="str">
        <f t="shared" si="147"/>
        <v>(15 downto 8)</v>
      </c>
      <c r="AD559" s="2" t="str">
        <f t="shared" si="148"/>
        <v>(7 downto 0)</v>
      </c>
      <c r="AE559" s="2" t="str">
        <f t="shared" si="149"/>
        <v>(31 downto 24)</v>
      </c>
      <c r="AF559" s="2" t="str">
        <f t="shared" si="150"/>
        <v>(23 downto 16)</v>
      </c>
      <c r="AG559" s="2" t="str">
        <f t="shared" si="151"/>
        <v>(15 downto 8)</v>
      </c>
      <c r="AH559" s="2" t="str">
        <f t="shared" si="152"/>
        <v>(7 downto 0)</v>
      </c>
    </row>
    <row r="560" spans="2:34" x14ac:dyDescent="0.25">
      <c r="B560" s="2" t="s">
        <v>1495</v>
      </c>
      <c r="C560" s="2" t="s">
        <v>141</v>
      </c>
      <c r="D560" s="2" t="s">
        <v>0</v>
      </c>
      <c r="E560" s="2" t="s">
        <v>130</v>
      </c>
      <c r="F560" s="2" t="s">
        <v>1496</v>
      </c>
      <c r="G560" s="2" t="s">
        <v>1497</v>
      </c>
      <c r="H560" s="2" t="s">
        <v>142</v>
      </c>
      <c r="I560" s="2" t="s">
        <v>41</v>
      </c>
      <c r="J560" s="2">
        <v>32</v>
      </c>
      <c r="K560" s="2" t="s">
        <v>132</v>
      </c>
      <c r="L560" s="2" t="s">
        <v>40</v>
      </c>
      <c r="P560" s="2" t="s">
        <v>48</v>
      </c>
      <c r="Q560" s="2">
        <f>INDEX(Tables!$C$4:$C$28,MATCH($P560,Tables!$B$4:$B$28,0))</f>
        <v>32</v>
      </c>
      <c r="R560" s="2">
        <f>INDEX(Tables!$D$4:$D$28,MATCH($P560,Tables!$B$4:$B$28,0))</f>
        <v>4</v>
      </c>
      <c r="S560" s="2">
        <f>$S559+$R559+INDEX(Tables!$N$5:$Q$8,MATCH(MOD($S559+$R559,4),Tables!$M$5:$M$8,0),MATCH($R560,Tables!$N$4:$Q$4,0))</f>
        <v>2056</v>
      </c>
      <c r="T560" s="2" t="str">
        <f t="shared" si="138"/>
        <v>0808</v>
      </c>
      <c r="U560" s="2">
        <f t="shared" si="144"/>
        <v>514</v>
      </c>
      <c r="V560" s="2" t="str">
        <f t="shared" si="139"/>
        <v>202</v>
      </c>
      <c r="W560" s="2" t="str">
        <f t="shared" si="140"/>
        <v>X</v>
      </c>
      <c r="X560" s="2" t="str">
        <f t="shared" si="143"/>
        <v>X</v>
      </c>
      <c r="Y560" s="2" t="str">
        <f t="shared" si="141"/>
        <v>X</v>
      </c>
      <c r="Z560" s="2" t="str">
        <f t="shared" si="142"/>
        <v>X</v>
      </c>
      <c r="AA560" s="2" t="str">
        <f t="shared" si="145"/>
        <v>(31 downto 24)</v>
      </c>
      <c r="AB560" s="2" t="str">
        <f t="shared" si="146"/>
        <v>(23 downto 16)</v>
      </c>
      <c r="AC560" s="2" t="str">
        <f t="shared" si="147"/>
        <v>(15 downto 8)</v>
      </c>
      <c r="AD560" s="2" t="str">
        <f t="shared" si="148"/>
        <v>(7 downto 0)</v>
      </c>
      <c r="AE560" s="2" t="str">
        <f t="shared" si="149"/>
        <v>(31 downto 24)</v>
      </c>
      <c r="AF560" s="2" t="str">
        <f t="shared" si="150"/>
        <v>(23 downto 16)</v>
      </c>
      <c r="AG560" s="2" t="str">
        <f t="shared" si="151"/>
        <v>(15 downto 8)</v>
      </c>
      <c r="AH560" s="2" t="str">
        <f t="shared" si="152"/>
        <v>(7 downto 0)</v>
      </c>
    </row>
    <row r="561" spans="2:34" x14ac:dyDescent="0.25">
      <c r="B561" s="2" t="s">
        <v>1498</v>
      </c>
      <c r="C561" s="2" t="s">
        <v>141</v>
      </c>
      <c r="D561" s="2" t="s">
        <v>0</v>
      </c>
      <c r="E561" s="2" t="s">
        <v>130</v>
      </c>
      <c r="F561" s="2" t="s">
        <v>1499</v>
      </c>
      <c r="G561" s="2" t="s">
        <v>1500</v>
      </c>
      <c r="H561" s="2" t="s">
        <v>142</v>
      </c>
      <c r="I561" s="2" t="s">
        <v>41</v>
      </c>
      <c r="J561" s="2">
        <v>32</v>
      </c>
      <c r="K561" s="2" t="s">
        <v>132</v>
      </c>
      <c r="L561" s="2" t="s">
        <v>40</v>
      </c>
      <c r="P561" s="2" t="s">
        <v>48</v>
      </c>
      <c r="Q561" s="2">
        <f>INDEX(Tables!$C$4:$C$28,MATCH($P561,Tables!$B$4:$B$28,0))</f>
        <v>32</v>
      </c>
      <c r="R561" s="2">
        <f>INDEX(Tables!$D$4:$D$28,MATCH($P561,Tables!$B$4:$B$28,0))</f>
        <v>4</v>
      </c>
      <c r="S561" s="2">
        <f>$S560+$R560+INDEX(Tables!$N$5:$Q$8,MATCH(MOD($S560+$R560,4),Tables!$M$5:$M$8,0),MATCH($R561,Tables!$N$4:$Q$4,0))</f>
        <v>2060</v>
      </c>
      <c r="T561" s="2" t="str">
        <f t="shared" si="138"/>
        <v>080C</v>
      </c>
      <c r="U561" s="2">
        <f t="shared" si="144"/>
        <v>515</v>
      </c>
      <c r="V561" s="2" t="str">
        <f t="shared" si="139"/>
        <v>203</v>
      </c>
      <c r="W561" s="2" t="str">
        <f t="shared" si="140"/>
        <v>X</v>
      </c>
      <c r="X561" s="2" t="str">
        <f t="shared" si="143"/>
        <v>X</v>
      </c>
      <c r="Y561" s="2" t="str">
        <f t="shared" si="141"/>
        <v>X</v>
      </c>
      <c r="Z561" s="2" t="str">
        <f t="shared" si="142"/>
        <v>X</v>
      </c>
      <c r="AA561" s="2" t="str">
        <f t="shared" si="145"/>
        <v>(31 downto 24)</v>
      </c>
      <c r="AB561" s="2" t="str">
        <f t="shared" si="146"/>
        <v>(23 downto 16)</v>
      </c>
      <c r="AC561" s="2" t="str">
        <f t="shared" si="147"/>
        <v>(15 downto 8)</v>
      </c>
      <c r="AD561" s="2" t="str">
        <f t="shared" si="148"/>
        <v>(7 downto 0)</v>
      </c>
      <c r="AE561" s="2" t="str">
        <f t="shared" si="149"/>
        <v>(31 downto 24)</v>
      </c>
      <c r="AF561" s="2" t="str">
        <f t="shared" si="150"/>
        <v>(23 downto 16)</v>
      </c>
      <c r="AG561" s="2" t="str">
        <f t="shared" si="151"/>
        <v>(15 downto 8)</v>
      </c>
      <c r="AH561" s="2" t="str">
        <f t="shared" si="152"/>
        <v>(7 downto 0)</v>
      </c>
    </row>
    <row r="562" spans="2:34" x14ac:dyDescent="0.25">
      <c r="B562" s="2" t="s">
        <v>1501</v>
      </c>
      <c r="C562" s="2" t="s">
        <v>141</v>
      </c>
      <c r="D562" s="2" t="s">
        <v>0</v>
      </c>
      <c r="E562" s="2" t="s">
        <v>130</v>
      </c>
      <c r="F562" s="2" t="s">
        <v>1502</v>
      </c>
      <c r="G562" s="2" t="s">
        <v>1503</v>
      </c>
      <c r="H562" s="2" t="s">
        <v>142</v>
      </c>
      <c r="I562" s="2" t="s">
        <v>41</v>
      </c>
      <c r="J562" s="2">
        <v>32</v>
      </c>
      <c r="K562" s="2" t="s">
        <v>132</v>
      </c>
      <c r="L562" s="2" t="s">
        <v>40</v>
      </c>
      <c r="P562" s="2" t="s">
        <v>48</v>
      </c>
      <c r="Q562" s="2">
        <f>INDEX(Tables!$C$4:$C$28,MATCH($P562,Tables!$B$4:$B$28,0))</f>
        <v>32</v>
      </c>
      <c r="R562" s="2">
        <f>INDEX(Tables!$D$4:$D$28,MATCH($P562,Tables!$B$4:$B$28,0))</f>
        <v>4</v>
      </c>
      <c r="S562" s="2">
        <f>$S561+$R561+INDEX(Tables!$N$5:$Q$8,MATCH(MOD($S561+$R561,4),Tables!$M$5:$M$8,0),MATCH($R562,Tables!$N$4:$Q$4,0))</f>
        <v>2064</v>
      </c>
      <c r="T562" s="2" t="str">
        <f t="shared" si="138"/>
        <v>0810</v>
      </c>
      <c r="U562" s="2">
        <f t="shared" si="144"/>
        <v>516</v>
      </c>
      <c r="V562" s="2" t="str">
        <f t="shared" si="139"/>
        <v>204</v>
      </c>
      <c r="W562" s="2" t="str">
        <f t="shared" si="140"/>
        <v>X</v>
      </c>
      <c r="X562" s="2" t="str">
        <f t="shared" si="143"/>
        <v>X</v>
      </c>
      <c r="Y562" s="2" t="str">
        <f t="shared" si="141"/>
        <v>X</v>
      </c>
      <c r="Z562" s="2" t="str">
        <f t="shared" si="142"/>
        <v>X</v>
      </c>
      <c r="AA562" s="2" t="str">
        <f t="shared" si="145"/>
        <v>(31 downto 24)</v>
      </c>
      <c r="AB562" s="2" t="str">
        <f t="shared" si="146"/>
        <v>(23 downto 16)</v>
      </c>
      <c r="AC562" s="2" t="str">
        <f t="shared" si="147"/>
        <v>(15 downto 8)</v>
      </c>
      <c r="AD562" s="2" t="str">
        <f t="shared" si="148"/>
        <v>(7 downto 0)</v>
      </c>
      <c r="AE562" s="2" t="str">
        <f t="shared" si="149"/>
        <v>(31 downto 24)</v>
      </c>
      <c r="AF562" s="2" t="str">
        <f t="shared" si="150"/>
        <v>(23 downto 16)</v>
      </c>
      <c r="AG562" s="2" t="str">
        <f t="shared" si="151"/>
        <v>(15 downto 8)</v>
      </c>
      <c r="AH562" s="2" t="str">
        <f t="shared" si="152"/>
        <v>(7 downto 0)</v>
      </c>
    </row>
    <row r="563" spans="2:34" x14ac:dyDescent="0.25">
      <c r="B563" s="2" t="s">
        <v>1504</v>
      </c>
      <c r="C563" s="2" t="s">
        <v>141</v>
      </c>
      <c r="D563" s="2" t="s">
        <v>0</v>
      </c>
      <c r="E563" s="2" t="s">
        <v>130</v>
      </c>
      <c r="F563" s="2" t="s">
        <v>1505</v>
      </c>
      <c r="G563" s="2" t="s">
        <v>1506</v>
      </c>
      <c r="H563" s="2" t="s">
        <v>142</v>
      </c>
      <c r="I563" s="2" t="s">
        <v>41</v>
      </c>
      <c r="J563" s="2">
        <v>32</v>
      </c>
      <c r="K563" s="2" t="s">
        <v>132</v>
      </c>
      <c r="L563" s="2" t="s">
        <v>40</v>
      </c>
      <c r="P563" s="2" t="s">
        <v>48</v>
      </c>
      <c r="Q563" s="2">
        <f>INDEX(Tables!$C$4:$C$28,MATCH($P563,Tables!$B$4:$B$28,0))</f>
        <v>32</v>
      </c>
      <c r="R563" s="2">
        <f>INDEX(Tables!$D$4:$D$28,MATCH($P563,Tables!$B$4:$B$28,0))</f>
        <v>4</v>
      </c>
      <c r="S563" s="2">
        <f>$S562+$R562+INDEX(Tables!$N$5:$Q$8,MATCH(MOD($S562+$R562,4),Tables!$M$5:$M$8,0),MATCH($R563,Tables!$N$4:$Q$4,0))</f>
        <v>2068</v>
      </c>
      <c r="T563" s="2" t="str">
        <f t="shared" si="138"/>
        <v>0814</v>
      </c>
      <c r="U563" s="2">
        <f t="shared" si="144"/>
        <v>517</v>
      </c>
      <c r="V563" s="2" t="str">
        <f t="shared" si="139"/>
        <v>205</v>
      </c>
      <c r="W563" s="2" t="str">
        <f t="shared" si="140"/>
        <v>X</v>
      </c>
      <c r="X563" s="2" t="str">
        <f t="shared" si="143"/>
        <v>X</v>
      </c>
      <c r="Y563" s="2" t="str">
        <f t="shared" si="141"/>
        <v>X</v>
      </c>
      <c r="Z563" s="2" t="str">
        <f t="shared" si="142"/>
        <v>X</v>
      </c>
      <c r="AA563" s="2" t="str">
        <f t="shared" si="145"/>
        <v>(31 downto 24)</v>
      </c>
      <c r="AB563" s="2" t="str">
        <f t="shared" si="146"/>
        <v>(23 downto 16)</v>
      </c>
      <c r="AC563" s="2" t="str">
        <f t="shared" si="147"/>
        <v>(15 downto 8)</v>
      </c>
      <c r="AD563" s="2" t="str">
        <f t="shared" si="148"/>
        <v>(7 downto 0)</v>
      </c>
      <c r="AE563" s="2" t="str">
        <f t="shared" si="149"/>
        <v>(31 downto 24)</v>
      </c>
      <c r="AF563" s="2" t="str">
        <f t="shared" si="150"/>
        <v>(23 downto 16)</v>
      </c>
      <c r="AG563" s="2" t="str">
        <f t="shared" si="151"/>
        <v>(15 downto 8)</v>
      </c>
      <c r="AH563" s="2" t="str">
        <f t="shared" si="152"/>
        <v>(7 downto 0)</v>
      </c>
    </row>
    <row r="564" spans="2:34" x14ac:dyDescent="0.25">
      <c r="B564" s="2" t="s">
        <v>1507</v>
      </c>
      <c r="C564" s="2" t="s">
        <v>141</v>
      </c>
      <c r="D564" s="2" t="s">
        <v>0</v>
      </c>
      <c r="E564" s="2" t="s">
        <v>130</v>
      </c>
      <c r="F564" s="2" t="s">
        <v>1508</v>
      </c>
      <c r="G564" s="2" t="s">
        <v>1509</v>
      </c>
      <c r="H564" s="2" t="s">
        <v>142</v>
      </c>
      <c r="I564" s="2" t="s">
        <v>41</v>
      </c>
      <c r="J564" s="2">
        <v>32</v>
      </c>
      <c r="K564" s="2" t="s">
        <v>132</v>
      </c>
      <c r="L564" s="2" t="s">
        <v>40</v>
      </c>
      <c r="P564" s="2" t="s">
        <v>48</v>
      </c>
      <c r="Q564" s="2">
        <f>INDEX(Tables!$C$4:$C$28,MATCH($P564,Tables!$B$4:$B$28,0))</f>
        <v>32</v>
      </c>
      <c r="R564" s="2">
        <f>INDEX(Tables!$D$4:$D$28,MATCH($P564,Tables!$B$4:$B$28,0))</f>
        <v>4</v>
      </c>
      <c r="S564" s="2">
        <f>$S563+$R563+INDEX(Tables!$N$5:$Q$8,MATCH(MOD($S563+$R563,4),Tables!$M$5:$M$8,0),MATCH($R564,Tables!$N$4:$Q$4,0))</f>
        <v>2072</v>
      </c>
      <c r="T564" s="2" t="str">
        <f t="shared" si="138"/>
        <v>0818</v>
      </c>
      <c r="U564" s="2">
        <f t="shared" si="144"/>
        <v>518</v>
      </c>
      <c r="V564" s="2" t="str">
        <f t="shared" si="139"/>
        <v>206</v>
      </c>
      <c r="W564" s="2" t="str">
        <f t="shared" si="140"/>
        <v>X</v>
      </c>
      <c r="X564" s="2" t="str">
        <f t="shared" si="143"/>
        <v>X</v>
      </c>
      <c r="Y564" s="2" t="str">
        <f t="shared" si="141"/>
        <v>X</v>
      </c>
      <c r="Z564" s="2" t="str">
        <f t="shared" si="142"/>
        <v>X</v>
      </c>
      <c r="AA564" s="2" t="str">
        <f t="shared" si="145"/>
        <v>(31 downto 24)</v>
      </c>
      <c r="AB564" s="2" t="str">
        <f t="shared" si="146"/>
        <v>(23 downto 16)</v>
      </c>
      <c r="AC564" s="2" t="str">
        <f t="shared" si="147"/>
        <v>(15 downto 8)</v>
      </c>
      <c r="AD564" s="2" t="str">
        <f t="shared" si="148"/>
        <v>(7 downto 0)</v>
      </c>
      <c r="AE564" s="2" t="str">
        <f t="shared" si="149"/>
        <v>(31 downto 24)</v>
      </c>
      <c r="AF564" s="2" t="str">
        <f t="shared" si="150"/>
        <v>(23 downto 16)</v>
      </c>
      <c r="AG564" s="2" t="str">
        <f t="shared" si="151"/>
        <v>(15 downto 8)</v>
      </c>
      <c r="AH564" s="2" t="str">
        <f t="shared" si="152"/>
        <v>(7 downto 0)</v>
      </c>
    </row>
    <row r="565" spans="2:34" x14ac:dyDescent="0.25">
      <c r="B565" s="2" t="s">
        <v>1510</v>
      </c>
      <c r="C565" s="2" t="s">
        <v>141</v>
      </c>
      <c r="D565" s="2" t="s">
        <v>0</v>
      </c>
      <c r="E565" s="2" t="s">
        <v>130</v>
      </c>
      <c r="F565" s="2" t="s">
        <v>1511</v>
      </c>
      <c r="G565" s="2" t="s">
        <v>1512</v>
      </c>
      <c r="H565" s="2" t="s">
        <v>142</v>
      </c>
      <c r="I565" s="2" t="s">
        <v>41</v>
      </c>
      <c r="J565" s="2">
        <v>32</v>
      </c>
      <c r="K565" s="2" t="s">
        <v>132</v>
      </c>
      <c r="L565" s="2" t="s">
        <v>40</v>
      </c>
      <c r="P565" s="2" t="s">
        <v>48</v>
      </c>
      <c r="Q565" s="2">
        <f>INDEX(Tables!$C$4:$C$28,MATCH($P565,Tables!$B$4:$B$28,0))</f>
        <v>32</v>
      </c>
      <c r="R565" s="2">
        <f>INDEX(Tables!$D$4:$D$28,MATCH($P565,Tables!$B$4:$B$28,0))</f>
        <v>4</v>
      </c>
      <c r="S565" s="2">
        <f>$S564+$R564+INDEX(Tables!$N$5:$Q$8,MATCH(MOD($S564+$R564,4),Tables!$M$5:$M$8,0),MATCH($R565,Tables!$N$4:$Q$4,0))</f>
        <v>2076</v>
      </c>
      <c r="T565" s="2" t="str">
        <f t="shared" si="138"/>
        <v>081C</v>
      </c>
      <c r="U565" s="2">
        <f t="shared" si="144"/>
        <v>519</v>
      </c>
      <c r="V565" s="2" t="str">
        <f t="shared" si="139"/>
        <v>207</v>
      </c>
      <c r="W565" s="2" t="str">
        <f t="shared" si="140"/>
        <v>X</v>
      </c>
      <c r="X565" s="2" t="str">
        <f t="shared" si="143"/>
        <v>X</v>
      </c>
      <c r="Y565" s="2" t="str">
        <f t="shared" si="141"/>
        <v>X</v>
      </c>
      <c r="Z565" s="2" t="str">
        <f t="shared" si="142"/>
        <v>X</v>
      </c>
      <c r="AA565" s="2" t="str">
        <f t="shared" si="145"/>
        <v>(31 downto 24)</v>
      </c>
      <c r="AB565" s="2" t="str">
        <f t="shared" si="146"/>
        <v>(23 downto 16)</v>
      </c>
      <c r="AC565" s="2" t="str">
        <f t="shared" si="147"/>
        <v>(15 downto 8)</v>
      </c>
      <c r="AD565" s="2" t="str">
        <f t="shared" si="148"/>
        <v>(7 downto 0)</v>
      </c>
      <c r="AE565" s="2" t="str">
        <f t="shared" si="149"/>
        <v>(31 downto 24)</v>
      </c>
      <c r="AF565" s="2" t="str">
        <f t="shared" si="150"/>
        <v>(23 downto 16)</v>
      </c>
      <c r="AG565" s="2" t="str">
        <f t="shared" si="151"/>
        <v>(15 downto 8)</v>
      </c>
      <c r="AH565" s="2" t="str">
        <f t="shared" si="152"/>
        <v>(7 downto 0)</v>
      </c>
    </row>
    <row r="566" spans="2:34" x14ac:dyDescent="0.25">
      <c r="B566" s="2" t="s">
        <v>1513</v>
      </c>
      <c r="C566" s="2" t="s">
        <v>141</v>
      </c>
      <c r="D566" s="2" t="s">
        <v>0</v>
      </c>
      <c r="E566" s="2" t="s">
        <v>130</v>
      </c>
      <c r="F566" s="2" t="s">
        <v>1514</v>
      </c>
      <c r="G566" s="2" t="s">
        <v>1515</v>
      </c>
      <c r="H566" s="2" t="s">
        <v>142</v>
      </c>
      <c r="I566" s="2" t="s">
        <v>41</v>
      </c>
      <c r="J566" s="2">
        <v>32</v>
      </c>
      <c r="K566" s="2" t="s">
        <v>132</v>
      </c>
      <c r="L566" s="2" t="s">
        <v>40</v>
      </c>
      <c r="P566" s="2" t="s">
        <v>48</v>
      </c>
      <c r="Q566" s="2">
        <f>INDEX(Tables!$C$4:$C$28,MATCH($P566,Tables!$B$4:$B$28,0))</f>
        <v>32</v>
      </c>
      <c r="R566" s="2">
        <f>INDEX(Tables!$D$4:$D$28,MATCH($P566,Tables!$B$4:$B$28,0))</f>
        <v>4</v>
      </c>
      <c r="S566" s="2">
        <f>$S565+$R565+INDEX(Tables!$N$5:$Q$8,MATCH(MOD($S565+$R565,4),Tables!$M$5:$M$8,0),MATCH($R566,Tables!$N$4:$Q$4,0))</f>
        <v>2080</v>
      </c>
      <c r="T566" s="2" t="str">
        <f t="shared" si="138"/>
        <v>0820</v>
      </c>
      <c r="U566" s="2">
        <f t="shared" si="144"/>
        <v>520</v>
      </c>
      <c r="V566" s="2" t="str">
        <f t="shared" si="139"/>
        <v>208</v>
      </c>
      <c r="W566" s="2" t="str">
        <f t="shared" si="140"/>
        <v>X</v>
      </c>
      <c r="X566" s="2" t="str">
        <f t="shared" si="143"/>
        <v>X</v>
      </c>
      <c r="Y566" s="2" t="str">
        <f t="shared" si="141"/>
        <v>X</v>
      </c>
      <c r="Z566" s="2" t="str">
        <f t="shared" si="142"/>
        <v>X</v>
      </c>
      <c r="AA566" s="2" t="str">
        <f t="shared" si="145"/>
        <v>(31 downto 24)</v>
      </c>
      <c r="AB566" s="2" t="str">
        <f t="shared" si="146"/>
        <v>(23 downto 16)</v>
      </c>
      <c r="AC566" s="2" t="str">
        <f t="shared" si="147"/>
        <v>(15 downto 8)</v>
      </c>
      <c r="AD566" s="2" t="str">
        <f t="shared" si="148"/>
        <v>(7 downto 0)</v>
      </c>
      <c r="AE566" s="2" t="str">
        <f t="shared" si="149"/>
        <v>(31 downto 24)</v>
      </c>
      <c r="AF566" s="2" t="str">
        <f t="shared" si="150"/>
        <v>(23 downto 16)</v>
      </c>
      <c r="AG566" s="2" t="str">
        <f t="shared" si="151"/>
        <v>(15 downto 8)</v>
      </c>
      <c r="AH566" s="2" t="str">
        <f t="shared" si="152"/>
        <v>(7 downto 0)</v>
      </c>
    </row>
    <row r="567" spans="2:34" x14ac:dyDescent="0.25">
      <c r="B567" s="2" t="s">
        <v>1516</v>
      </c>
      <c r="C567" s="2" t="s">
        <v>141</v>
      </c>
      <c r="D567" s="2" t="s">
        <v>0</v>
      </c>
      <c r="E567" s="2" t="s">
        <v>130</v>
      </c>
      <c r="F567" s="2" t="s">
        <v>1517</v>
      </c>
      <c r="G567" s="2" t="s">
        <v>1518</v>
      </c>
      <c r="H567" s="2" t="s">
        <v>142</v>
      </c>
      <c r="I567" s="2" t="s">
        <v>41</v>
      </c>
      <c r="J567" s="2">
        <v>32</v>
      </c>
      <c r="K567" s="2" t="s">
        <v>132</v>
      </c>
      <c r="L567" s="2" t="s">
        <v>40</v>
      </c>
      <c r="P567" s="2" t="s">
        <v>48</v>
      </c>
      <c r="Q567" s="2">
        <f>INDEX(Tables!$C$4:$C$28,MATCH($P567,Tables!$B$4:$B$28,0))</f>
        <v>32</v>
      </c>
      <c r="R567" s="2">
        <f>INDEX(Tables!$D$4:$D$28,MATCH($P567,Tables!$B$4:$B$28,0))</f>
        <v>4</v>
      </c>
      <c r="S567" s="2">
        <f>$S566+$R566+INDEX(Tables!$N$5:$Q$8,MATCH(MOD($S566+$R566,4),Tables!$M$5:$M$8,0),MATCH($R567,Tables!$N$4:$Q$4,0))</f>
        <v>2084</v>
      </c>
      <c r="T567" s="2" t="str">
        <f t="shared" si="138"/>
        <v>0824</v>
      </c>
      <c r="U567" s="2">
        <f t="shared" si="144"/>
        <v>521</v>
      </c>
      <c r="V567" s="2" t="str">
        <f t="shared" si="139"/>
        <v>209</v>
      </c>
      <c r="W567" s="2" t="str">
        <f t="shared" si="140"/>
        <v>X</v>
      </c>
      <c r="X567" s="2" t="str">
        <f t="shared" si="143"/>
        <v>X</v>
      </c>
      <c r="Y567" s="2" t="str">
        <f t="shared" si="141"/>
        <v>X</v>
      </c>
      <c r="Z567" s="2" t="str">
        <f t="shared" si="142"/>
        <v>X</v>
      </c>
      <c r="AA567" s="2" t="str">
        <f t="shared" si="145"/>
        <v>(31 downto 24)</v>
      </c>
      <c r="AB567" s="2" t="str">
        <f t="shared" si="146"/>
        <v>(23 downto 16)</v>
      </c>
      <c r="AC567" s="2" t="str">
        <f t="shared" si="147"/>
        <v>(15 downto 8)</v>
      </c>
      <c r="AD567" s="2" t="str">
        <f t="shared" si="148"/>
        <v>(7 downto 0)</v>
      </c>
      <c r="AE567" s="2" t="str">
        <f t="shared" si="149"/>
        <v>(31 downto 24)</v>
      </c>
      <c r="AF567" s="2" t="str">
        <f t="shared" si="150"/>
        <v>(23 downto 16)</v>
      </c>
      <c r="AG567" s="2" t="str">
        <f t="shared" si="151"/>
        <v>(15 downto 8)</v>
      </c>
      <c r="AH567" s="2" t="str">
        <f t="shared" si="152"/>
        <v>(7 downto 0)</v>
      </c>
    </row>
    <row r="568" spans="2:34" x14ac:dyDescent="0.25">
      <c r="B568" s="2" t="s">
        <v>1519</v>
      </c>
      <c r="C568" s="2" t="s">
        <v>141</v>
      </c>
      <c r="D568" s="2" t="s">
        <v>0</v>
      </c>
      <c r="E568" s="2" t="s">
        <v>130</v>
      </c>
      <c r="F568" s="2" t="s">
        <v>1520</v>
      </c>
      <c r="G568" s="2" t="s">
        <v>1521</v>
      </c>
      <c r="H568" s="2" t="s">
        <v>142</v>
      </c>
      <c r="I568" s="2" t="s">
        <v>41</v>
      </c>
      <c r="J568" s="2">
        <v>32</v>
      </c>
      <c r="K568" s="2" t="s">
        <v>132</v>
      </c>
      <c r="L568" s="2" t="s">
        <v>40</v>
      </c>
      <c r="P568" s="2" t="s">
        <v>48</v>
      </c>
      <c r="Q568" s="2">
        <f>INDEX(Tables!$C$4:$C$28,MATCH($P568,Tables!$B$4:$B$28,0))</f>
        <v>32</v>
      </c>
      <c r="R568" s="2">
        <f>INDEX(Tables!$D$4:$D$28,MATCH($P568,Tables!$B$4:$B$28,0))</f>
        <v>4</v>
      </c>
      <c r="S568" s="2">
        <f>$S567+$R567+INDEX(Tables!$N$5:$Q$8,MATCH(MOD($S567+$R567,4),Tables!$M$5:$M$8,0),MATCH($R568,Tables!$N$4:$Q$4,0))</f>
        <v>2088</v>
      </c>
      <c r="T568" s="2" t="str">
        <f t="shared" si="138"/>
        <v>0828</v>
      </c>
      <c r="U568" s="2">
        <f t="shared" si="144"/>
        <v>522</v>
      </c>
      <c r="V568" s="2" t="str">
        <f t="shared" si="139"/>
        <v>20A</v>
      </c>
      <c r="W568" s="2" t="str">
        <f t="shared" si="140"/>
        <v>X</v>
      </c>
      <c r="X568" s="2" t="str">
        <f t="shared" si="143"/>
        <v>X</v>
      </c>
      <c r="Y568" s="2" t="str">
        <f t="shared" si="141"/>
        <v>X</v>
      </c>
      <c r="Z568" s="2" t="str">
        <f t="shared" si="142"/>
        <v>X</v>
      </c>
      <c r="AA568" s="2" t="str">
        <f t="shared" si="145"/>
        <v>(31 downto 24)</v>
      </c>
      <c r="AB568" s="2" t="str">
        <f t="shared" si="146"/>
        <v>(23 downto 16)</v>
      </c>
      <c r="AC568" s="2" t="str">
        <f t="shared" si="147"/>
        <v>(15 downto 8)</v>
      </c>
      <c r="AD568" s="2" t="str">
        <f t="shared" si="148"/>
        <v>(7 downto 0)</v>
      </c>
      <c r="AE568" s="2" t="str">
        <f t="shared" si="149"/>
        <v>(31 downto 24)</v>
      </c>
      <c r="AF568" s="2" t="str">
        <f t="shared" si="150"/>
        <v>(23 downto 16)</v>
      </c>
      <c r="AG568" s="2" t="str">
        <f t="shared" si="151"/>
        <v>(15 downto 8)</v>
      </c>
      <c r="AH568" s="2" t="str">
        <f t="shared" si="152"/>
        <v>(7 downto 0)</v>
      </c>
    </row>
    <row r="569" spans="2:34" x14ac:dyDescent="0.25">
      <c r="B569" s="2" t="s">
        <v>1522</v>
      </c>
      <c r="C569" s="2" t="s">
        <v>141</v>
      </c>
      <c r="D569" s="2" t="s">
        <v>0</v>
      </c>
      <c r="E569" s="2" t="s">
        <v>130</v>
      </c>
      <c r="F569" s="2" t="s">
        <v>1523</v>
      </c>
      <c r="G569" s="2" t="s">
        <v>1524</v>
      </c>
      <c r="H569" s="2" t="s">
        <v>142</v>
      </c>
      <c r="I569" s="2" t="s">
        <v>41</v>
      </c>
      <c r="J569" s="2">
        <v>32</v>
      </c>
      <c r="K569" s="2" t="s">
        <v>132</v>
      </c>
      <c r="L569" s="2" t="s">
        <v>40</v>
      </c>
      <c r="P569" s="2" t="s">
        <v>48</v>
      </c>
      <c r="Q569" s="2">
        <f>INDEX(Tables!$C$4:$C$28,MATCH($P569,Tables!$B$4:$B$28,0))</f>
        <v>32</v>
      </c>
      <c r="R569" s="2">
        <f>INDEX(Tables!$D$4:$D$28,MATCH($P569,Tables!$B$4:$B$28,0))</f>
        <v>4</v>
      </c>
      <c r="S569" s="2">
        <f>$S568+$R568+INDEX(Tables!$N$5:$Q$8,MATCH(MOD($S568+$R568,4),Tables!$M$5:$M$8,0),MATCH($R569,Tables!$N$4:$Q$4,0))</f>
        <v>2092</v>
      </c>
      <c r="T569" s="2" t="str">
        <f t="shared" si="138"/>
        <v>082C</v>
      </c>
      <c r="U569" s="2">
        <f t="shared" si="144"/>
        <v>523</v>
      </c>
      <c r="V569" s="2" t="str">
        <f t="shared" si="139"/>
        <v>20B</v>
      </c>
      <c r="W569" s="2" t="str">
        <f t="shared" si="140"/>
        <v>X</v>
      </c>
      <c r="X569" s="2" t="str">
        <f t="shared" si="143"/>
        <v>X</v>
      </c>
      <c r="Y569" s="2" t="str">
        <f t="shared" si="141"/>
        <v>X</v>
      </c>
      <c r="Z569" s="2" t="str">
        <f t="shared" si="142"/>
        <v>X</v>
      </c>
      <c r="AA569" s="2" t="str">
        <f t="shared" si="145"/>
        <v>(31 downto 24)</v>
      </c>
      <c r="AB569" s="2" t="str">
        <f t="shared" si="146"/>
        <v>(23 downto 16)</v>
      </c>
      <c r="AC569" s="2" t="str">
        <f t="shared" si="147"/>
        <v>(15 downto 8)</v>
      </c>
      <c r="AD569" s="2" t="str">
        <f t="shared" si="148"/>
        <v>(7 downto 0)</v>
      </c>
      <c r="AE569" s="2" t="str">
        <f t="shared" si="149"/>
        <v>(31 downto 24)</v>
      </c>
      <c r="AF569" s="2" t="str">
        <f t="shared" si="150"/>
        <v>(23 downto 16)</v>
      </c>
      <c r="AG569" s="2" t="str">
        <f t="shared" si="151"/>
        <v>(15 downto 8)</v>
      </c>
      <c r="AH569" s="2" t="str">
        <f t="shared" si="152"/>
        <v>(7 downto 0)</v>
      </c>
    </row>
    <row r="570" spans="2:34" x14ac:dyDescent="0.25">
      <c r="B570" s="2" t="s">
        <v>1525</v>
      </c>
      <c r="C570" s="2" t="s">
        <v>141</v>
      </c>
      <c r="D570" s="2" t="s">
        <v>0</v>
      </c>
      <c r="E570" s="2" t="s">
        <v>130</v>
      </c>
      <c r="F570" s="2" t="s">
        <v>1526</v>
      </c>
      <c r="G570" s="2" t="s">
        <v>1527</v>
      </c>
      <c r="H570" s="2" t="s">
        <v>142</v>
      </c>
      <c r="I570" s="2" t="s">
        <v>41</v>
      </c>
      <c r="J570" s="2">
        <v>32</v>
      </c>
      <c r="K570" s="2" t="s">
        <v>132</v>
      </c>
      <c r="L570" s="2" t="s">
        <v>40</v>
      </c>
      <c r="P570" s="2" t="s">
        <v>48</v>
      </c>
      <c r="Q570" s="2">
        <f>INDEX(Tables!$C$4:$C$28,MATCH($P570,Tables!$B$4:$B$28,0))</f>
        <v>32</v>
      </c>
      <c r="R570" s="2">
        <f>INDEX(Tables!$D$4:$D$28,MATCH($P570,Tables!$B$4:$B$28,0))</f>
        <v>4</v>
      </c>
      <c r="S570" s="2">
        <f>$S569+$R569+INDEX(Tables!$N$5:$Q$8,MATCH(MOD($S569+$R569,4),Tables!$M$5:$M$8,0),MATCH($R570,Tables!$N$4:$Q$4,0))</f>
        <v>2096</v>
      </c>
      <c r="T570" s="2" t="str">
        <f t="shared" si="138"/>
        <v>0830</v>
      </c>
      <c r="U570" s="2">
        <f t="shared" si="144"/>
        <v>524</v>
      </c>
      <c r="V570" s="2" t="str">
        <f t="shared" si="139"/>
        <v>20C</v>
      </c>
      <c r="W570" s="2" t="str">
        <f t="shared" si="140"/>
        <v>X</v>
      </c>
      <c r="X570" s="2" t="str">
        <f t="shared" si="143"/>
        <v>X</v>
      </c>
      <c r="Y570" s="2" t="str">
        <f t="shared" si="141"/>
        <v>X</v>
      </c>
      <c r="Z570" s="2" t="str">
        <f t="shared" si="142"/>
        <v>X</v>
      </c>
      <c r="AA570" s="2" t="str">
        <f t="shared" si="145"/>
        <v>(31 downto 24)</v>
      </c>
      <c r="AB570" s="2" t="str">
        <f t="shared" si="146"/>
        <v>(23 downto 16)</v>
      </c>
      <c r="AC570" s="2" t="str">
        <f t="shared" si="147"/>
        <v>(15 downto 8)</v>
      </c>
      <c r="AD570" s="2" t="str">
        <f t="shared" si="148"/>
        <v>(7 downto 0)</v>
      </c>
      <c r="AE570" s="2" t="str">
        <f t="shared" si="149"/>
        <v>(31 downto 24)</v>
      </c>
      <c r="AF570" s="2" t="str">
        <f t="shared" si="150"/>
        <v>(23 downto 16)</v>
      </c>
      <c r="AG570" s="2" t="str">
        <f t="shared" si="151"/>
        <v>(15 downto 8)</v>
      </c>
      <c r="AH570" s="2" t="str">
        <f t="shared" si="152"/>
        <v>(7 downto 0)</v>
      </c>
    </row>
    <row r="571" spans="2:34" x14ac:dyDescent="0.25">
      <c r="B571" s="2" t="s">
        <v>1528</v>
      </c>
      <c r="C571" s="2" t="s">
        <v>141</v>
      </c>
      <c r="D571" s="2" t="s">
        <v>0</v>
      </c>
      <c r="E571" s="2" t="s">
        <v>130</v>
      </c>
      <c r="F571" s="2" t="s">
        <v>1529</v>
      </c>
      <c r="G571" s="2" t="s">
        <v>1530</v>
      </c>
      <c r="H571" s="2" t="s">
        <v>142</v>
      </c>
      <c r="I571" s="2" t="s">
        <v>41</v>
      </c>
      <c r="J571" s="2">
        <v>32</v>
      </c>
      <c r="K571" s="2" t="s">
        <v>132</v>
      </c>
      <c r="L571" s="2" t="s">
        <v>40</v>
      </c>
      <c r="P571" s="2" t="s">
        <v>48</v>
      </c>
      <c r="Q571" s="2">
        <f>INDEX(Tables!$C$4:$C$28,MATCH($P571,Tables!$B$4:$B$28,0))</f>
        <v>32</v>
      </c>
      <c r="R571" s="2">
        <f>INDEX(Tables!$D$4:$D$28,MATCH($P571,Tables!$B$4:$B$28,0))</f>
        <v>4</v>
      </c>
      <c r="S571" s="2">
        <f>$S570+$R570+INDEX(Tables!$N$5:$Q$8,MATCH(MOD($S570+$R570,4),Tables!$M$5:$M$8,0),MATCH($R571,Tables!$N$4:$Q$4,0))</f>
        <v>2100</v>
      </c>
      <c r="T571" s="2" t="str">
        <f t="shared" si="138"/>
        <v>0834</v>
      </c>
      <c r="U571" s="2">
        <f t="shared" si="144"/>
        <v>525</v>
      </c>
      <c r="V571" s="2" t="str">
        <f t="shared" si="139"/>
        <v>20D</v>
      </c>
      <c r="W571" s="2" t="str">
        <f t="shared" si="140"/>
        <v>X</v>
      </c>
      <c r="X571" s="2" t="str">
        <f t="shared" si="143"/>
        <v>X</v>
      </c>
      <c r="Y571" s="2" t="str">
        <f t="shared" si="141"/>
        <v>X</v>
      </c>
      <c r="Z571" s="2" t="str">
        <f t="shared" si="142"/>
        <v>X</v>
      </c>
      <c r="AA571" s="2" t="str">
        <f t="shared" si="145"/>
        <v>(31 downto 24)</v>
      </c>
      <c r="AB571" s="2" t="str">
        <f t="shared" si="146"/>
        <v>(23 downto 16)</v>
      </c>
      <c r="AC571" s="2" t="str">
        <f t="shared" si="147"/>
        <v>(15 downto 8)</v>
      </c>
      <c r="AD571" s="2" t="str">
        <f t="shared" si="148"/>
        <v>(7 downto 0)</v>
      </c>
      <c r="AE571" s="2" t="str">
        <f t="shared" si="149"/>
        <v>(31 downto 24)</v>
      </c>
      <c r="AF571" s="2" t="str">
        <f t="shared" si="150"/>
        <v>(23 downto 16)</v>
      </c>
      <c r="AG571" s="2" t="str">
        <f t="shared" si="151"/>
        <v>(15 downto 8)</v>
      </c>
      <c r="AH571" s="2" t="str">
        <f t="shared" si="152"/>
        <v>(7 downto 0)</v>
      </c>
    </row>
    <row r="572" spans="2:34" x14ac:dyDescent="0.25">
      <c r="B572" s="2" t="s">
        <v>1531</v>
      </c>
      <c r="C572" s="2" t="s">
        <v>141</v>
      </c>
      <c r="D572" s="2" t="s">
        <v>0</v>
      </c>
      <c r="E572" s="2" t="s">
        <v>130</v>
      </c>
      <c r="F572" s="2" t="s">
        <v>1532</v>
      </c>
      <c r="G572" s="2" t="s">
        <v>1533</v>
      </c>
      <c r="H572" s="2" t="s">
        <v>142</v>
      </c>
      <c r="I572" s="2" t="s">
        <v>41</v>
      </c>
      <c r="J572" s="2">
        <v>32</v>
      </c>
      <c r="K572" s="2" t="s">
        <v>132</v>
      </c>
      <c r="L572" s="2" t="s">
        <v>40</v>
      </c>
      <c r="P572" s="2" t="s">
        <v>48</v>
      </c>
      <c r="Q572" s="2">
        <f>INDEX(Tables!$C$4:$C$28,MATCH($P572,Tables!$B$4:$B$28,0))</f>
        <v>32</v>
      </c>
      <c r="R572" s="2">
        <f>INDEX(Tables!$D$4:$D$28,MATCH($P572,Tables!$B$4:$B$28,0))</f>
        <v>4</v>
      </c>
      <c r="S572" s="2">
        <f>$S571+$R571+INDEX(Tables!$N$5:$Q$8,MATCH(MOD($S571+$R571,4),Tables!$M$5:$M$8,0),MATCH($R572,Tables!$N$4:$Q$4,0))</f>
        <v>2104</v>
      </c>
      <c r="T572" s="2" t="str">
        <f t="shared" si="138"/>
        <v>0838</v>
      </c>
      <c r="U572" s="2">
        <f t="shared" si="144"/>
        <v>526</v>
      </c>
      <c r="V572" s="2" t="str">
        <f t="shared" si="139"/>
        <v>20E</v>
      </c>
      <c r="W572" s="2" t="str">
        <f t="shared" si="140"/>
        <v>X</v>
      </c>
      <c r="X572" s="2" t="str">
        <f t="shared" si="143"/>
        <v>X</v>
      </c>
      <c r="Y572" s="2" t="str">
        <f t="shared" si="141"/>
        <v>X</v>
      </c>
      <c r="Z572" s="2" t="str">
        <f t="shared" si="142"/>
        <v>X</v>
      </c>
      <c r="AA572" s="2" t="str">
        <f t="shared" si="145"/>
        <v>(31 downto 24)</v>
      </c>
      <c r="AB572" s="2" t="str">
        <f t="shared" si="146"/>
        <v>(23 downto 16)</v>
      </c>
      <c r="AC572" s="2" t="str">
        <f t="shared" si="147"/>
        <v>(15 downto 8)</v>
      </c>
      <c r="AD572" s="2" t="str">
        <f t="shared" si="148"/>
        <v>(7 downto 0)</v>
      </c>
      <c r="AE572" s="2" t="str">
        <f t="shared" si="149"/>
        <v>(31 downto 24)</v>
      </c>
      <c r="AF572" s="2" t="str">
        <f t="shared" si="150"/>
        <v>(23 downto 16)</v>
      </c>
      <c r="AG572" s="2" t="str">
        <f t="shared" si="151"/>
        <v>(15 downto 8)</v>
      </c>
      <c r="AH572" s="2" t="str">
        <f t="shared" si="152"/>
        <v>(7 downto 0)</v>
      </c>
    </row>
    <row r="573" spans="2:34" x14ac:dyDescent="0.25">
      <c r="B573" s="2" t="s">
        <v>1534</v>
      </c>
      <c r="C573" s="2" t="s">
        <v>141</v>
      </c>
      <c r="D573" s="2" t="s">
        <v>0</v>
      </c>
      <c r="E573" s="2" t="s">
        <v>130</v>
      </c>
      <c r="F573" s="2" t="s">
        <v>1535</v>
      </c>
      <c r="G573" s="2" t="s">
        <v>1536</v>
      </c>
      <c r="H573" s="2" t="s">
        <v>142</v>
      </c>
      <c r="I573" s="2" t="s">
        <v>41</v>
      </c>
      <c r="J573" s="2">
        <v>32</v>
      </c>
      <c r="K573" s="2" t="s">
        <v>132</v>
      </c>
      <c r="L573" s="2" t="s">
        <v>40</v>
      </c>
      <c r="P573" s="2" t="s">
        <v>48</v>
      </c>
      <c r="Q573" s="2">
        <f>INDEX(Tables!$C$4:$C$28,MATCH($P573,Tables!$B$4:$B$28,0))</f>
        <v>32</v>
      </c>
      <c r="R573" s="2">
        <f>INDEX(Tables!$D$4:$D$28,MATCH($P573,Tables!$B$4:$B$28,0))</f>
        <v>4</v>
      </c>
      <c r="S573" s="2">
        <f>$S572+$R572+INDEX(Tables!$N$5:$Q$8,MATCH(MOD($S572+$R572,4),Tables!$M$5:$M$8,0),MATCH($R573,Tables!$N$4:$Q$4,0))</f>
        <v>2108</v>
      </c>
      <c r="T573" s="2" t="str">
        <f t="shared" si="138"/>
        <v>083C</v>
      </c>
      <c r="U573" s="2">
        <f t="shared" si="144"/>
        <v>527</v>
      </c>
      <c r="V573" s="2" t="str">
        <f t="shared" si="139"/>
        <v>20F</v>
      </c>
      <c r="W573" s="2" t="str">
        <f t="shared" si="140"/>
        <v>X</v>
      </c>
      <c r="X573" s="2" t="str">
        <f t="shared" si="143"/>
        <v>X</v>
      </c>
      <c r="Y573" s="2" t="str">
        <f t="shared" si="141"/>
        <v>X</v>
      </c>
      <c r="Z573" s="2" t="str">
        <f t="shared" si="142"/>
        <v>X</v>
      </c>
      <c r="AA573" s="2" t="str">
        <f t="shared" si="145"/>
        <v>(31 downto 24)</v>
      </c>
      <c r="AB573" s="2" t="str">
        <f t="shared" si="146"/>
        <v>(23 downto 16)</v>
      </c>
      <c r="AC573" s="2" t="str">
        <f t="shared" si="147"/>
        <v>(15 downto 8)</v>
      </c>
      <c r="AD573" s="2" t="str">
        <f t="shared" si="148"/>
        <v>(7 downto 0)</v>
      </c>
      <c r="AE573" s="2" t="str">
        <f t="shared" si="149"/>
        <v>(31 downto 24)</v>
      </c>
      <c r="AF573" s="2" t="str">
        <f t="shared" si="150"/>
        <v>(23 downto 16)</v>
      </c>
      <c r="AG573" s="2" t="str">
        <f t="shared" si="151"/>
        <v>(15 downto 8)</v>
      </c>
      <c r="AH573" s="2" t="str">
        <f t="shared" si="152"/>
        <v>(7 downto 0)</v>
      </c>
    </row>
    <row r="574" spans="2:34" x14ac:dyDescent="0.25">
      <c r="B574" s="2" t="s">
        <v>1537</v>
      </c>
      <c r="C574" s="2" t="s">
        <v>141</v>
      </c>
      <c r="D574" s="2" t="s">
        <v>0</v>
      </c>
      <c r="E574" s="2" t="s">
        <v>130</v>
      </c>
      <c r="F574" s="2" t="s">
        <v>1538</v>
      </c>
      <c r="G574" s="2" t="s">
        <v>1539</v>
      </c>
      <c r="H574" s="2" t="s">
        <v>142</v>
      </c>
      <c r="I574" s="2" t="s">
        <v>41</v>
      </c>
      <c r="J574" s="2">
        <v>32</v>
      </c>
      <c r="K574" s="2" t="s">
        <v>132</v>
      </c>
      <c r="L574" s="2" t="s">
        <v>40</v>
      </c>
      <c r="P574" s="2" t="s">
        <v>48</v>
      </c>
      <c r="Q574" s="2">
        <f>INDEX(Tables!$C$4:$C$28,MATCH($P574,Tables!$B$4:$B$28,0))</f>
        <v>32</v>
      </c>
      <c r="R574" s="2">
        <f>INDEX(Tables!$D$4:$D$28,MATCH($P574,Tables!$B$4:$B$28,0))</f>
        <v>4</v>
      </c>
      <c r="S574" s="2">
        <f>$S573+$R573+INDEX(Tables!$N$5:$Q$8,MATCH(MOD($S573+$R573,4),Tables!$M$5:$M$8,0),MATCH($R574,Tables!$N$4:$Q$4,0))</f>
        <v>2112</v>
      </c>
      <c r="T574" s="2" t="str">
        <f t="shared" si="138"/>
        <v>0840</v>
      </c>
      <c r="U574" s="2">
        <f t="shared" si="144"/>
        <v>528</v>
      </c>
      <c r="V574" s="2" t="str">
        <f t="shared" si="139"/>
        <v>210</v>
      </c>
      <c r="W574" s="2" t="str">
        <f t="shared" si="140"/>
        <v>X</v>
      </c>
      <c r="X574" s="2" t="str">
        <f t="shared" si="143"/>
        <v>X</v>
      </c>
      <c r="Y574" s="2" t="str">
        <f t="shared" si="141"/>
        <v>X</v>
      </c>
      <c r="Z574" s="2" t="str">
        <f t="shared" si="142"/>
        <v>X</v>
      </c>
      <c r="AA574" s="2" t="str">
        <f t="shared" si="145"/>
        <v>(31 downto 24)</v>
      </c>
      <c r="AB574" s="2" t="str">
        <f t="shared" si="146"/>
        <v>(23 downto 16)</v>
      </c>
      <c r="AC574" s="2" t="str">
        <f t="shared" si="147"/>
        <v>(15 downto 8)</v>
      </c>
      <c r="AD574" s="2" t="str">
        <f t="shared" si="148"/>
        <v>(7 downto 0)</v>
      </c>
      <c r="AE574" s="2" t="str">
        <f t="shared" si="149"/>
        <v>(31 downto 24)</v>
      </c>
      <c r="AF574" s="2" t="str">
        <f t="shared" si="150"/>
        <v>(23 downto 16)</v>
      </c>
      <c r="AG574" s="2" t="str">
        <f t="shared" si="151"/>
        <v>(15 downto 8)</v>
      </c>
      <c r="AH574" s="2" t="str">
        <f t="shared" si="152"/>
        <v>(7 downto 0)</v>
      </c>
    </row>
    <row r="575" spans="2:34" x14ac:dyDescent="0.25">
      <c r="B575" s="2" t="s">
        <v>1540</v>
      </c>
      <c r="C575" s="2" t="s">
        <v>141</v>
      </c>
      <c r="D575" s="2" t="s">
        <v>0</v>
      </c>
      <c r="E575" s="2" t="s">
        <v>130</v>
      </c>
      <c r="F575" s="2" t="s">
        <v>1541</v>
      </c>
      <c r="G575" s="2" t="s">
        <v>1542</v>
      </c>
      <c r="H575" s="2" t="s">
        <v>142</v>
      </c>
      <c r="I575" s="2" t="s">
        <v>41</v>
      </c>
      <c r="J575" s="2">
        <v>32</v>
      </c>
      <c r="K575" s="2" t="s">
        <v>132</v>
      </c>
      <c r="L575" s="2" t="s">
        <v>40</v>
      </c>
      <c r="P575" s="2" t="s">
        <v>48</v>
      </c>
      <c r="Q575" s="2">
        <f>INDEX(Tables!$C$4:$C$28,MATCH($P575,Tables!$B$4:$B$28,0))</f>
        <v>32</v>
      </c>
      <c r="R575" s="2">
        <f>INDEX(Tables!$D$4:$D$28,MATCH($P575,Tables!$B$4:$B$28,0))</f>
        <v>4</v>
      </c>
      <c r="S575" s="2">
        <f>$S574+$R574+INDEX(Tables!$N$5:$Q$8,MATCH(MOD($S574+$R574,4),Tables!$M$5:$M$8,0),MATCH($R575,Tables!$N$4:$Q$4,0))</f>
        <v>2116</v>
      </c>
      <c r="T575" s="2" t="str">
        <f t="shared" si="138"/>
        <v>0844</v>
      </c>
      <c r="U575" s="2">
        <f t="shared" si="144"/>
        <v>529</v>
      </c>
      <c r="V575" s="2" t="str">
        <f t="shared" si="139"/>
        <v>211</v>
      </c>
      <c r="W575" s="2" t="str">
        <f t="shared" si="140"/>
        <v>X</v>
      </c>
      <c r="X575" s="2" t="str">
        <f t="shared" si="143"/>
        <v>X</v>
      </c>
      <c r="Y575" s="2" t="str">
        <f t="shared" si="141"/>
        <v>X</v>
      </c>
      <c r="Z575" s="2" t="str">
        <f t="shared" si="142"/>
        <v>X</v>
      </c>
      <c r="AA575" s="2" t="str">
        <f t="shared" si="145"/>
        <v>(31 downto 24)</v>
      </c>
      <c r="AB575" s="2" t="str">
        <f t="shared" si="146"/>
        <v>(23 downto 16)</v>
      </c>
      <c r="AC575" s="2" t="str">
        <f t="shared" si="147"/>
        <v>(15 downto 8)</v>
      </c>
      <c r="AD575" s="2" t="str">
        <f t="shared" si="148"/>
        <v>(7 downto 0)</v>
      </c>
      <c r="AE575" s="2" t="str">
        <f t="shared" si="149"/>
        <v>(31 downto 24)</v>
      </c>
      <c r="AF575" s="2" t="str">
        <f t="shared" si="150"/>
        <v>(23 downto 16)</v>
      </c>
      <c r="AG575" s="2" t="str">
        <f t="shared" si="151"/>
        <v>(15 downto 8)</v>
      </c>
      <c r="AH575" s="2" t="str">
        <f t="shared" si="152"/>
        <v>(7 downto 0)</v>
      </c>
    </row>
    <row r="576" spans="2:34" x14ac:dyDescent="0.25">
      <c r="B576" s="2" t="s">
        <v>1543</v>
      </c>
      <c r="C576" s="2" t="s">
        <v>141</v>
      </c>
      <c r="D576" s="2" t="s">
        <v>0</v>
      </c>
      <c r="E576" s="2" t="s">
        <v>130</v>
      </c>
      <c r="F576" s="2" t="s">
        <v>1544</v>
      </c>
      <c r="G576" s="2" t="s">
        <v>1545</v>
      </c>
      <c r="H576" s="2" t="s">
        <v>142</v>
      </c>
      <c r="I576" s="2" t="s">
        <v>41</v>
      </c>
      <c r="J576" s="2">
        <v>32</v>
      </c>
      <c r="K576" s="2" t="s">
        <v>132</v>
      </c>
      <c r="L576" s="2" t="s">
        <v>40</v>
      </c>
      <c r="P576" s="2" t="s">
        <v>48</v>
      </c>
      <c r="Q576" s="2">
        <f>INDEX(Tables!$C$4:$C$28,MATCH($P576,Tables!$B$4:$B$28,0))</f>
        <v>32</v>
      </c>
      <c r="R576" s="2">
        <f>INDEX(Tables!$D$4:$D$28,MATCH($P576,Tables!$B$4:$B$28,0))</f>
        <v>4</v>
      </c>
      <c r="S576" s="2">
        <f>$S575+$R575+INDEX(Tables!$N$5:$Q$8,MATCH(MOD($S575+$R575,4),Tables!$M$5:$M$8,0),MATCH($R576,Tables!$N$4:$Q$4,0))</f>
        <v>2120</v>
      </c>
      <c r="T576" s="2" t="str">
        <f t="shared" si="138"/>
        <v>0848</v>
      </c>
      <c r="U576" s="2">
        <f t="shared" si="144"/>
        <v>530</v>
      </c>
      <c r="V576" s="2" t="str">
        <f t="shared" si="139"/>
        <v>212</v>
      </c>
      <c r="W576" s="2" t="str">
        <f t="shared" si="140"/>
        <v>X</v>
      </c>
      <c r="X576" s="2" t="str">
        <f t="shared" si="143"/>
        <v>X</v>
      </c>
      <c r="Y576" s="2" t="str">
        <f t="shared" si="141"/>
        <v>X</v>
      </c>
      <c r="Z576" s="2" t="str">
        <f t="shared" si="142"/>
        <v>X</v>
      </c>
      <c r="AA576" s="2" t="str">
        <f t="shared" si="145"/>
        <v>(31 downto 24)</v>
      </c>
      <c r="AB576" s="2" t="str">
        <f t="shared" si="146"/>
        <v>(23 downto 16)</v>
      </c>
      <c r="AC576" s="2" t="str">
        <f t="shared" si="147"/>
        <v>(15 downto 8)</v>
      </c>
      <c r="AD576" s="2" t="str">
        <f t="shared" si="148"/>
        <v>(7 downto 0)</v>
      </c>
      <c r="AE576" s="2" t="str">
        <f t="shared" si="149"/>
        <v>(31 downto 24)</v>
      </c>
      <c r="AF576" s="2" t="str">
        <f t="shared" si="150"/>
        <v>(23 downto 16)</v>
      </c>
      <c r="AG576" s="2" t="str">
        <f t="shared" si="151"/>
        <v>(15 downto 8)</v>
      </c>
      <c r="AH576" s="2" t="str">
        <f t="shared" si="152"/>
        <v>(7 downto 0)</v>
      </c>
    </row>
    <row r="577" spans="2:34" x14ac:dyDescent="0.25">
      <c r="B577" s="2" t="s">
        <v>1546</v>
      </c>
      <c r="C577" s="2" t="s">
        <v>141</v>
      </c>
      <c r="D577" s="2" t="s">
        <v>0</v>
      </c>
      <c r="E577" s="2" t="s">
        <v>130</v>
      </c>
      <c r="F577" s="2" t="s">
        <v>1547</v>
      </c>
      <c r="G577" s="2" t="s">
        <v>1548</v>
      </c>
      <c r="H577" s="2" t="s">
        <v>142</v>
      </c>
      <c r="I577" s="2" t="s">
        <v>41</v>
      </c>
      <c r="J577" s="2">
        <v>32</v>
      </c>
      <c r="K577" s="2" t="s">
        <v>132</v>
      </c>
      <c r="L577" s="2" t="s">
        <v>40</v>
      </c>
      <c r="P577" s="2" t="s">
        <v>48</v>
      </c>
      <c r="Q577" s="2">
        <f>INDEX(Tables!$C$4:$C$28,MATCH($P577,Tables!$B$4:$B$28,0))</f>
        <v>32</v>
      </c>
      <c r="R577" s="2">
        <f>INDEX(Tables!$D$4:$D$28,MATCH($P577,Tables!$B$4:$B$28,0))</f>
        <v>4</v>
      </c>
      <c r="S577" s="2">
        <f>$S576+$R576+INDEX(Tables!$N$5:$Q$8,MATCH(MOD($S576+$R576,4),Tables!$M$5:$M$8,0),MATCH($R577,Tables!$N$4:$Q$4,0))</f>
        <v>2124</v>
      </c>
      <c r="T577" s="2" t="str">
        <f t="shared" si="138"/>
        <v>084C</v>
      </c>
      <c r="U577" s="2">
        <f t="shared" si="144"/>
        <v>531</v>
      </c>
      <c r="V577" s="2" t="str">
        <f t="shared" si="139"/>
        <v>213</v>
      </c>
      <c r="W577" s="2" t="str">
        <f t="shared" si="140"/>
        <v>X</v>
      </c>
      <c r="X577" s="2" t="str">
        <f t="shared" si="143"/>
        <v>X</v>
      </c>
      <c r="Y577" s="2" t="str">
        <f t="shared" si="141"/>
        <v>X</v>
      </c>
      <c r="Z577" s="2" t="str">
        <f t="shared" si="142"/>
        <v>X</v>
      </c>
      <c r="AA577" s="2" t="str">
        <f t="shared" si="145"/>
        <v>(31 downto 24)</v>
      </c>
      <c r="AB577" s="2" t="str">
        <f t="shared" si="146"/>
        <v>(23 downto 16)</v>
      </c>
      <c r="AC577" s="2" t="str">
        <f t="shared" si="147"/>
        <v>(15 downto 8)</v>
      </c>
      <c r="AD577" s="2" t="str">
        <f t="shared" si="148"/>
        <v>(7 downto 0)</v>
      </c>
      <c r="AE577" s="2" t="str">
        <f t="shared" si="149"/>
        <v>(31 downto 24)</v>
      </c>
      <c r="AF577" s="2" t="str">
        <f t="shared" si="150"/>
        <v>(23 downto 16)</v>
      </c>
      <c r="AG577" s="2" t="str">
        <f t="shared" si="151"/>
        <v>(15 downto 8)</v>
      </c>
      <c r="AH577" s="2" t="str">
        <f t="shared" si="152"/>
        <v>(7 downto 0)</v>
      </c>
    </row>
    <row r="578" spans="2:34" x14ac:dyDescent="0.25">
      <c r="B578" s="2" t="s">
        <v>1549</v>
      </c>
      <c r="C578" s="2" t="s">
        <v>141</v>
      </c>
      <c r="D578" s="2" t="s">
        <v>0</v>
      </c>
      <c r="E578" s="2" t="s">
        <v>130</v>
      </c>
      <c r="F578" s="2" t="s">
        <v>1550</v>
      </c>
      <c r="G578" s="2" t="s">
        <v>1551</v>
      </c>
      <c r="H578" s="2" t="s">
        <v>142</v>
      </c>
      <c r="I578" s="2" t="s">
        <v>41</v>
      </c>
      <c r="J578" s="2">
        <v>32</v>
      </c>
      <c r="K578" s="2" t="s">
        <v>132</v>
      </c>
      <c r="L578" s="2" t="s">
        <v>40</v>
      </c>
      <c r="P578" s="2" t="s">
        <v>48</v>
      </c>
      <c r="Q578" s="2">
        <f>INDEX(Tables!$C$4:$C$28,MATCH($P578,Tables!$B$4:$B$28,0))</f>
        <v>32</v>
      </c>
      <c r="R578" s="2">
        <f>INDEX(Tables!$D$4:$D$28,MATCH($P578,Tables!$B$4:$B$28,0))</f>
        <v>4</v>
      </c>
      <c r="S578" s="2">
        <f>$S577+$R577+INDEX(Tables!$N$5:$Q$8,MATCH(MOD($S577+$R577,4),Tables!$M$5:$M$8,0),MATCH($R578,Tables!$N$4:$Q$4,0))</f>
        <v>2128</v>
      </c>
      <c r="T578" s="2" t="str">
        <f t="shared" si="138"/>
        <v>0850</v>
      </c>
      <c r="U578" s="2">
        <f t="shared" si="144"/>
        <v>532</v>
      </c>
      <c r="V578" s="2" t="str">
        <f t="shared" si="139"/>
        <v>214</v>
      </c>
      <c r="W578" s="2" t="str">
        <f t="shared" si="140"/>
        <v>X</v>
      </c>
      <c r="X578" s="2" t="str">
        <f t="shared" si="143"/>
        <v>X</v>
      </c>
      <c r="Y578" s="2" t="str">
        <f t="shared" si="141"/>
        <v>X</v>
      </c>
      <c r="Z578" s="2" t="str">
        <f t="shared" si="142"/>
        <v>X</v>
      </c>
      <c r="AA578" s="2" t="str">
        <f t="shared" si="145"/>
        <v>(31 downto 24)</v>
      </c>
      <c r="AB578" s="2" t="str">
        <f t="shared" si="146"/>
        <v>(23 downto 16)</v>
      </c>
      <c r="AC578" s="2" t="str">
        <f t="shared" si="147"/>
        <v>(15 downto 8)</v>
      </c>
      <c r="AD578" s="2" t="str">
        <f t="shared" si="148"/>
        <v>(7 downto 0)</v>
      </c>
      <c r="AE578" s="2" t="str">
        <f t="shared" si="149"/>
        <v>(31 downto 24)</v>
      </c>
      <c r="AF578" s="2" t="str">
        <f t="shared" si="150"/>
        <v>(23 downto 16)</v>
      </c>
      <c r="AG578" s="2" t="str">
        <f t="shared" si="151"/>
        <v>(15 downto 8)</v>
      </c>
      <c r="AH578" s="2" t="str">
        <f t="shared" si="152"/>
        <v>(7 downto 0)</v>
      </c>
    </row>
    <row r="579" spans="2:34" x14ac:dyDescent="0.25">
      <c r="B579" s="2" t="s">
        <v>1552</v>
      </c>
      <c r="C579" s="2" t="s">
        <v>141</v>
      </c>
      <c r="D579" s="2" t="s">
        <v>0</v>
      </c>
      <c r="E579" s="2" t="s">
        <v>130</v>
      </c>
      <c r="F579" s="2" t="s">
        <v>1553</v>
      </c>
      <c r="G579" s="2" t="s">
        <v>1554</v>
      </c>
      <c r="H579" s="2" t="s">
        <v>142</v>
      </c>
      <c r="I579" s="2" t="s">
        <v>41</v>
      </c>
      <c r="J579" s="2">
        <v>32</v>
      </c>
      <c r="K579" s="2" t="s">
        <v>132</v>
      </c>
      <c r="L579" s="2" t="s">
        <v>40</v>
      </c>
      <c r="P579" s="2" t="s">
        <v>48</v>
      </c>
      <c r="Q579" s="2">
        <f>INDEX(Tables!$C$4:$C$28,MATCH($P579,Tables!$B$4:$B$28,0))</f>
        <v>32</v>
      </c>
      <c r="R579" s="2">
        <f>INDEX(Tables!$D$4:$D$28,MATCH($P579,Tables!$B$4:$B$28,0))</f>
        <v>4</v>
      </c>
      <c r="S579" s="2">
        <f>$S578+$R578+INDEX(Tables!$N$5:$Q$8,MATCH(MOD($S578+$R578,4),Tables!$M$5:$M$8,0),MATCH($R579,Tables!$N$4:$Q$4,0))</f>
        <v>2132</v>
      </c>
      <c r="T579" s="2" t="str">
        <f t="shared" si="138"/>
        <v>0854</v>
      </c>
      <c r="U579" s="2">
        <f t="shared" si="144"/>
        <v>533</v>
      </c>
      <c r="V579" s="2" t="str">
        <f t="shared" si="139"/>
        <v>215</v>
      </c>
      <c r="W579" s="2" t="str">
        <f t="shared" si="140"/>
        <v>X</v>
      </c>
      <c r="X579" s="2" t="str">
        <f t="shared" si="143"/>
        <v>X</v>
      </c>
      <c r="Y579" s="2" t="str">
        <f t="shared" si="141"/>
        <v>X</v>
      </c>
      <c r="Z579" s="2" t="str">
        <f t="shared" si="142"/>
        <v>X</v>
      </c>
      <c r="AA579" s="2" t="str">
        <f t="shared" si="145"/>
        <v>(31 downto 24)</v>
      </c>
      <c r="AB579" s="2" t="str">
        <f t="shared" si="146"/>
        <v>(23 downto 16)</v>
      </c>
      <c r="AC579" s="2" t="str">
        <f t="shared" si="147"/>
        <v>(15 downto 8)</v>
      </c>
      <c r="AD579" s="2" t="str">
        <f t="shared" si="148"/>
        <v>(7 downto 0)</v>
      </c>
      <c r="AE579" s="2" t="str">
        <f t="shared" si="149"/>
        <v>(31 downto 24)</v>
      </c>
      <c r="AF579" s="2" t="str">
        <f t="shared" si="150"/>
        <v>(23 downto 16)</v>
      </c>
      <c r="AG579" s="2" t="str">
        <f t="shared" si="151"/>
        <v>(15 downto 8)</v>
      </c>
      <c r="AH579" s="2" t="str">
        <f t="shared" si="152"/>
        <v>(7 downto 0)</v>
      </c>
    </row>
    <row r="580" spans="2:34" x14ac:dyDescent="0.25">
      <c r="B580" s="2" t="s">
        <v>1555</v>
      </c>
      <c r="C580" s="2" t="s">
        <v>141</v>
      </c>
      <c r="D580" s="2" t="s">
        <v>0</v>
      </c>
      <c r="E580" s="2" t="s">
        <v>130</v>
      </c>
      <c r="F580" s="2" t="s">
        <v>1556</v>
      </c>
      <c r="G580" s="2" t="s">
        <v>1557</v>
      </c>
      <c r="H580" s="2" t="s">
        <v>142</v>
      </c>
      <c r="I580" s="2" t="s">
        <v>41</v>
      </c>
      <c r="J580" s="2">
        <v>32</v>
      </c>
      <c r="K580" s="2" t="s">
        <v>132</v>
      </c>
      <c r="L580" s="2" t="s">
        <v>40</v>
      </c>
      <c r="P580" s="2" t="s">
        <v>48</v>
      </c>
      <c r="Q580" s="2">
        <f>INDEX(Tables!$C$4:$C$28,MATCH($P580,Tables!$B$4:$B$28,0))</f>
        <v>32</v>
      </c>
      <c r="R580" s="2">
        <f>INDEX(Tables!$D$4:$D$28,MATCH($P580,Tables!$B$4:$B$28,0))</f>
        <v>4</v>
      </c>
      <c r="S580" s="2">
        <f>$S579+$R579+INDEX(Tables!$N$5:$Q$8,MATCH(MOD($S579+$R579,4),Tables!$M$5:$M$8,0),MATCH($R580,Tables!$N$4:$Q$4,0))</f>
        <v>2136</v>
      </c>
      <c r="T580" s="2" t="str">
        <f t="shared" si="138"/>
        <v>0858</v>
      </c>
      <c r="U580" s="2">
        <f t="shared" si="144"/>
        <v>534</v>
      </c>
      <c r="V580" s="2" t="str">
        <f t="shared" si="139"/>
        <v>216</v>
      </c>
      <c r="W580" s="2" t="str">
        <f t="shared" si="140"/>
        <v>X</v>
      </c>
      <c r="X580" s="2" t="str">
        <f t="shared" si="143"/>
        <v>X</v>
      </c>
      <c r="Y580" s="2" t="str">
        <f t="shared" si="141"/>
        <v>X</v>
      </c>
      <c r="Z580" s="2" t="str">
        <f t="shared" si="142"/>
        <v>X</v>
      </c>
      <c r="AA580" s="2" t="str">
        <f t="shared" si="145"/>
        <v>(31 downto 24)</v>
      </c>
      <c r="AB580" s="2" t="str">
        <f t="shared" si="146"/>
        <v>(23 downto 16)</v>
      </c>
      <c r="AC580" s="2" t="str">
        <f t="shared" si="147"/>
        <v>(15 downto 8)</v>
      </c>
      <c r="AD580" s="2" t="str">
        <f t="shared" si="148"/>
        <v>(7 downto 0)</v>
      </c>
      <c r="AE580" s="2" t="str">
        <f t="shared" si="149"/>
        <v>(31 downto 24)</v>
      </c>
      <c r="AF580" s="2" t="str">
        <f t="shared" si="150"/>
        <v>(23 downto 16)</v>
      </c>
      <c r="AG580" s="2" t="str">
        <f t="shared" si="151"/>
        <v>(15 downto 8)</v>
      </c>
      <c r="AH580" s="2" t="str">
        <f t="shared" si="152"/>
        <v>(7 downto 0)</v>
      </c>
    </row>
    <row r="581" spans="2:34" x14ac:dyDescent="0.25">
      <c r="B581" s="2" t="s">
        <v>1558</v>
      </c>
      <c r="C581" s="2" t="s">
        <v>141</v>
      </c>
      <c r="D581" s="2" t="s">
        <v>0</v>
      </c>
      <c r="E581" s="2" t="s">
        <v>130</v>
      </c>
      <c r="F581" s="2" t="s">
        <v>1559</v>
      </c>
      <c r="G581" s="2" t="s">
        <v>1560</v>
      </c>
      <c r="H581" s="2" t="s">
        <v>142</v>
      </c>
      <c r="I581" s="2" t="s">
        <v>41</v>
      </c>
      <c r="J581" s="2">
        <v>32</v>
      </c>
      <c r="K581" s="2" t="s">
        <v>132</v>
      </c>
      <c r="L581" s="2" t="s">
        <v>40</v>
      </c>
      <c r="P581" s="2" t="s">
        <v>48</v>
      </c>
      <c r="Q581" s="2">
        <f>INDEX(Tables!$C$4:$C$28,MATCH($P581,Tables!$B$4:$B$28,0))</f>
        <v>32</v>
      </c>
      <c r="R581" s="2">
        <f>INDEX(Tables!$D$4:$D$28,MATCH($P581,Tables!$B$4:$B$28,0))</f>
        <v>4</v>
      </c>
      <c r="S581" s="2">
        <f>$S580+$R580+INDEX(Tables!$N$5:$Q$8,MATCH(MOD($S580+$R580,4),Tables!$M$5:$M$8,0),MATCH($R581,Tables!$N$4:$Q$4,0))</f>
        <v>2140</v>
      </c>
      <c r="T581" s="2" t="str">
        <f t="shared" ref="T581:T644" si="153">DEC2HEX($S581,4)</f>
        <v>085C</v>
      </c>
      <c r="U581" s="2">
        <f t="shared" si="144"/>
        <v>535</v>
      </c>
      <c r="V581" s="2" t="str">
        <f t="shared" ref="V581:V644" si="154">DEC2HEX($U581,3)</f>
        <v>217</v>
      </c>
      <c r="W581" s="2" t="str">
        <f t="shared" ref="W581:W644" si="155">IF(MOD($S581,4)=3,"X",IF(AND(MOD($S581,4)=2,$J581&gt;8),"X",IF(AND(MOD($S581,4)=1,$J581&gt;16),"X",IF(AND(MOD($S581,4)=0,$J581&gt;24),"X",""))))</f>
        <v>X</v>
      </c>
      <c r="X581" s="2" t="str">
        <f t="shared" si="143"/>
        <v>X</v>
      </c>
      <c r="Y581" s="2" t="str">
        <f t="shared" ref="Y581:Y644" si="156">IF(MOD($S581,4)=1,"X",IF(AND(MOD($S581,4)=0,$J581&gt;8),"X",""))</f>
        <v>X</v>
      </c>
      <c r="Z581" s="2" t="str">
        <f t="shared" ref="Z581:Z644" si="157">IF(MOD($S581,4)=0,"X","")</f>
        <v>X</v>
      </c>
      <c r="AA581" s="2" t="str">
        <f t="shared" si="145"/>
        <v>(31 downto 24)</v>
      </c>
      <c r="AB581" s="2" t="str">
        <f t="shared" si="146"/>
        <v>(23 downto 16)</v>
      </c>
      <c r="AC581" s="2" t="str">
        <f t="shared" si="147"/>
        <v>(15 downto 8)</v>
      </c>
      <c r="AD581" s="2" t="str">
        <f t="shared" si="148"/>
        <v>(7 downto 0)</v>
      </c>
      <c r="AE581" s="2" t="str">
        <f t="shared" si="149"/>
        <v>(31 downto 24)</v>
      </c>
      <c r="AF581" s="2" t="str">
        <f t="shared" si="150"/>
        <v>(23 downto 16)</v>
      </c>
      <c r="AG581" s="2" t="str">
        <f t="shared" si="151"/>
        <v>(15 downto 8)</v>
      </c>
      <c r="AH581" s="2" t="str">
        <f t="shared" si="152"/>
        <v>(7 downto 0)</v>
      </c>
    </row>
    <row r="582" spans="2:34" x14ac:dyDescent="0.25">
      <c r="B582" s="2" t="s">
        <v>1561</v>
      </c>
      <c r="C582" s="2" t="s">
        <v>141</v>
      </c>
      <c r="D582" s="2" t="s">
        <v>0</v>
      </c>
      <c r="E582" s="2" t="s">
        <v>130</v>
      </c>
      <c r="F582" s="2" t="s">
        <v>1562</v>
      </c>
      <c r="G582" s="2" t="s">
        <v>1563</v>
      </c>
      <c r="H582" s="2" t="s">
        <v>142</v>
      </c>
      <c r="I582" s="2" t="s">
        <v>41</v>
      </c>
      <c r="J582" s="2">
        <v>32</v>
      </c>
      <c r="K582" s="2" t="s">
        <v>132</v>
      </c>
      <c r="L582" s="2" t="s">
        <v>40</v>
      </c>
      <c r="P582" s="2" t="s">
        <v>48</v>
      </c>
      <c r="Q582" s="2">
        <f>INDEX(Tables!$C$4:$C$28,MATCH($P582,Tables!$B$4:$B$28,0))</f>
        <v>32</v>
      </c>
      <c r="R582" s="2">
        <f>INDEX(Tables!$D$4:$D$28,MATCH($P582,Tables!$B$4:$B$28,0))</f>
        <v>4</v>
      </c>
      <c r="S582" s="2">
        <f>$S581+$R581+INDEX(Tables!$N$5:$Q$8,MATCH(MOD($S581+$R581,4),Tables!$M$5:$M$8,0),MATCH($R582,Tables!$N$4:$Q$4,0))</f>
        <v>2144</v>
      </c>
      <c r="T582" s="2" t="str">
        <f t="shared" si="153"/>
        <v>0860</v>
      </c>
      <c r="U582" s="2">
        <f t="shared" si="144"/>
        <v>536</v>
      </c>
      <c r="V582" s="2" t="str">
        <f t="shared" si="154"/>
        <v>218</v>
      </c>
      <c r="W582" s="2" t="str">
        <f t="shared" si="155"/>
        <v>X</v>
      </c>
      <c r="X582" s="2" t="str">
        <f t="shared" ref="X582:X645" si="158">IF(MOD($S582,4)=2,"X",IF(AND(MOD($S582,4)=1,$J582&gt;8),"X",IF(AND(MOD($S582,4)=0,$J582&gt;16),"X","")))</f>
        <v>X</v>
      </c>
      <c r="Y582" s="2" t="str">
        <f t="shared" si="156"/>
        <v>X</v>
      </c>
      <c r="Z582" s="2" t="str">
        <f t="shared" si="157"/>
        <v>X</v>
      </c>
      <c r="AA582" s="2" t="str">
        <f t="shared" si="145"/>
        <v>(31 downto 24)</v>
      </c>
      <c r="AB582" s="2" t="str">
        <f t="shared" si="146"/>
        <v>(23 downto 16)</v>
      </c>
      <c r="AC582" s="2" t="str">
        <f t="shared" si="147"/>
        <v>(15 downto 8)</v>
      </c>
      <c r="AD582" s="2" t="str">
        <f t="shared" si="148"/>
        <v>(7 downto 0)</v>
      </c>
      <c r="AE582" s="2" t="str">
        <f t="shared" si="149"/>
        <v>(31 downto 24)</v>
      </c>
      <c r="AF582" s="2" t="str">
        <f t="shared" si="150"/>
        <v>(23 downto 16)</v>
      </c>
      <c r="AG582" s="2" t="str">
        <f t="shared" si="151"/>
        <v>(15 downto 8)</v>
      </c>
      <c r="AH582" s="2" t="str">
        <f t="shared" si="152"/>
        <v>(7 downto 0)</v>
      </c>
    </row>
    <row r="583" spans="2:34" x14ac:dyDescent="0.25">
      <c r="B583" s="2" t="s">
        <v>1564</v>
      </c>
      <c r="C583" s="2" t="s">
        <v>141</v>
      </c>
      <c r="D583" s="2" t="s">
        <v>0</v>
      </c>
      <c r="E583" s="2" t="s">
        <v>130</v>
      </c>
      <c r="F583" s="2" t="s">
        <v>1565</v>
      </c>
      <c r="G583" s="2" t="s">
        <v>1566</v>
      </c>
      <c r="H583" s="2" t="s">
        <v>142</v>
      </c>
      <c r="I583" s="2" t="s">
        <v>41</v>
      </c>
      <c r="J583" s="2">
        <v>32</v>
      </c>
      <c r="K583" s="2" t="s">
        <v>132</v>
      </c>
      <c r="L583" s="2" t="s">
        <v>40</v>
      </c>
      <c r="P583" s="2" t="s">
        <v>48</v>
      </c>
      <c r="Q583" s="2">
        <f>INDEX(Tables!$C$4:$C$28,MATCH($P583,Tables!$B$4:$B$28,0))</f>
        <v>32</v>
      </c>
      <c r="R583" s="2">
        <f>INDEX(Tables!$D$4:$D$28,MATCH($P583,Tables!$B$4:$B$28,0))</f>
        <v>4</v>
      </c>
      <c r="S583" s="2">
        <f>$S582+$R582+INDEX(Tables!$N$5:$Q$8,MATCH(MOD($S582+$R582,4),Tables!$M$5:$M$8,0),MATCH($R583,Tables!$N$4:$Q$4,0))</f>
        <v>2148</v>
      </c>
      <c r="T583" s="2" t="str">
        <f t="shared" si="153"/>
        <v>0864</v>
      </c>
      <c r="U583" s="2">
        <f t="shared" si="144"/>
        <v>537</v>
      </c>
      <c r="V583" s="2" t="str">
        <f t="shared" si="154"/>
        <v>219</v>
      </c>
      <c r="W583" s="2" t="str">
        <f t="shared" si="155"/>
        <v>X</v>
      </c>
      <c r="X583" s="2" t="str">
        <f t="shared" si="158"/>
        <v>X</v>
      </c>
      <c r="Y583" s="2" t="str">
        <f t="shared" si="156"/>
        <v>X</v>
      </c>
      <c r="Z583" s="2" t="str">
        <f t="shared" si="157"/>
        <v>X</v>
      </c>
      <c r="AA583" s="2" t="str">
        <f t="shared" si="145"/>
        <v>(31 downto 24)</v>
      </c>
      <c r="AB583" s="2" t="str">
        <f t="shared" si="146"/>
        <v>(23 downto 16)</v>
      </c>
      <c r="AC583" s="2" t="str">
        <f t="shared" si="147"/>
        <v>(15 downto 8)</v>
      </c>
      <c r="AD583" s="2" t="str">
        <f t="shared" si="148"/>
        <v>(7 downto 0)</v>
      </c>
      <c r="AE583" s="2" t="str">
        <f t="shared" si="149"/>
        <v>(31 downto 24)</v>
      </c>
      <c r="AF583" s="2" t="str">
        <f t="shared" si="150"/>
        <v>(23 downto 16)</v>
      </c>
      <c r="AG583" s="2" t="str">
        <f t="shared" si="151"/>
        <v>(15 downto 8)</v>
      </c>
      <c r="AH583" s="2" t="str">
        <f t="shared" si="152"/>
        <v>(7 downto 0)</v>
      </c>
    </row>
    <row r="584" spans="2:34" x14ac:dyDescent="0.25">
      <c r="B584" s="2" t="s">
        <v>1567</v>
      </c>
      <c r="C584" s="2" t="s">
        <v>141</v>
      </c>
      <c r="D584" s="2" t="s">
        <v>0</v>
      </c>
      <c r="E584" s="2" t="s">
        <v>130</v>
      </c>
      <c r="F584" s="2" t="s">
        <v>1568</v>
      </c>
      <c r="G584" s="2" t="s">
        <v>1569</v>
      </c>
      <c r="H584" s="2" t="s">
        <v>142</v>
      </c>
      <c r="I584" s="2" t="s">
        <v>41</v>
      </c>
      <c r="J584" s="2">
        <v>32</v>
      </c>
      <c r="K584" s="2" t="s">
        <v>132</v>
      </c>
      <c r="L584" s="2" t="s">
        <v>40</v>
      </c>
      <c r="P584" s="2" t="s">
        <v>48</v>
      </c>
      <c r="Q584" s="2">
        <f>INDEX(Tables!$C$4:$C$28,MATCH($P584,Tables!$B$4:$B$28,0))</f>
        <v>32</v>
      </c>
      <c r="R584" s="2">
        <f>INDEX(Tables!$D$4:$D$28,MATCH($P584,Tables!$B$4:$B$28,0))</f>
        <v>4</v>
      </c>
      <c r="S584" s="2">
        <f>$S583+$R583+INDEX(Tables!$N$5:$Q$8,MATCH(MOD($S583+$R583,4),Tables!$M$5:$M$8,0),MATCH($R584,Tables!$N$4:$Q$4,0))</f>
        <v>2152</v>
      </c>
      <c r="T584" s="2" t="str">
        <f t="shared" si="153"/>
        <v>0868</v>
      </c>
      <c r="U584" s="2">
        <f t="shared" si="144"/>
        <v>538</v>
      </c>
      <c r="V584" s="2" t="str">
        <f t="shared" si="154"/>
        <v>21A</v>
      </c>
      <c r="W584" s="2" t="str">
        <f t="shared" si="155"/>
        <v>X</v>
      </c>
      <c r="X584" s="2" t="str">
        <f t="shared" si="158"/>
        <v>X</v>
      </c>
      <c r="Y584" s="2" t="str">
        <f t="shared" si="156"/>
        <v>X</v>
      </c>
      <c r="Z584" s="2" t="str">
        <f t="shared" si="157"/>
        <v>X</v>
      </c>
      <c r="AA584" s="2" t="str">
        <f t="shared" si="145"/>
        <v>(31 downto 24)</v>
      </c>
      <c r="AB584" s="2" t="str">
        <f t="shared" si="146"/>
        <v>(23 downto 16)</v>
      </c>
      <c r="AC584" s="2" t="str">
        <f t="shared" si="147"/>
        <v>(15 downto 8)</v>
      </c>
      <c r="AD584" s="2" t="str">
        <f t="shared" si="148"/>
        <v>(7 downto 0)</v>
      </c>
      <c r="AE584" s="2" t="str">
        <f t="shared" si="149"/>
        <v>(31 downto 24)</v>
      </c>
      <c r="AF584" s="2" t="str">
        <f t="shared" si="150"/>
        <v>(23 downto 16)</v>
      </c>
      <c r="AG584" s="2" t="str">
        <f t="shared" si="151"/>
        <v>(15 downto 8)</v>
      </c>
      <c r="AH584" s="2" t="str">
        <f t="shared" si="152"/>
        <v>(7 downto 0)</v>
      </c>
    </row>
    <row r="585" spans="2:34" x14ac:dyDescent="0.25">
      <c r="B585" s="2" t="s">
        <v>1570</v>
      </c>
      <c r="C585" s="2" t="s">
        <v>141</v>
      </c>
      <c r="D585" s="2" t="s">
        <v>0</v>
      </c>
      <c r="E585" s="2" t="s">
        <v>130</v>
      </c>
      <c r="F585" s="2" t="s">
        <v>1571</v>
      </c>
      <c r="G585" s="2" t="s">
        <v>1572</v>
      </c>
      <c r="H585" s="2" t="s">
        <v>142</v>
      </c>
      <c r="I585" s="2" t="s">
        <v>41</v>
      </c>
      <c r="J585" s="2">
        <v>32</v>
      </c>
      <c r="K585" s="2" t="s">
        <v>132</v>
      </c>
      <c r="L585" s="2" t="s">
        <v>40</v>
      </c>
      <c r="P585" s="2" t="s">
        <v>48</v>
      </c>
      <c r="Q585" s="2">
        <f>INDEX(Tables!$C$4:$C$28,MATCH($P585,Tables!$B$4:$B$28,0))</f>
        <v>32</v>
      </c>
      <c r="R585" s="2">
        <f>INDEX(Tables!$D$4:$D$28,MATCH($P585,Tables!$B$4:$B$28,0))</f>
        <v>4</v>
      </c>
      <c r="S585" s="2">
        <f>$S584+$R584+INDEX(Tables!$N$5:$Q$8,MATCH(MOD($S584+$R584,4),Tables!$M$5:$M$8,0),MATCH($R585,Tables!$N$4:$Q$4,0))</f>
        <v>2156</v>
      </c>
      <c r="T585" s="2" t="str">
        <f t="shared" si="153"/>
        <v>086C</v>
      </c>
      <c r="U585" s="2">
        <f t="shared" ref="U585:U648" si="159">ROUNDDOWN(S585/4,0)</f>
        <v>539</v>
      </c>
      <c r="V585" s="2" t="str">
        <f t="shared" si="154"/>
        <v>21B</v>
      </c>
      <c r="W585" s="2" t="str">
        <f t="shared" si="155"/>
        <v>X</v>
      </c>
      <c r="X585" s="2" t="str">
        <f t="shared" si="158"/>
        <v>X</v>
      </c>
      <c r="Y585" s="2" t="str">
        <f t="shared" si="156"/>
        <v>X</v>
      </c>
      <c r="Z585" s="2" t="str">
        <f t="shared" si="157"/>
        <v>X</v>
      </c>
      <c r="AA585" s="2" t="str">
        <f t="shared" ref="AA585:AA648" si="160">IF(W585="","",CONCATENATE("(",IF(($J585-COUNTIF($X585:$Z585,"X")*8)=1,"24)",CONCATENATE(IF(($J585-COUNTIF($X585:$Z585,"X")*8)&gt;=8,32,($J585-COUNTIF($X585:$Z585,"X")*8)+24)-1," downto 24)"))))</f>
        <v>(31 downto 24)</v>
      </c>
      <c r="AB585" s="2" t="str">
        <f t="shared" ref="AB585:AB648" si="161">IF(X585="","",CONCATENATE("(",IF(($J585-COUNTIF($Y585:$Z585,"X")*8)=1,"16)",CONCATENATE(IF(($J585-COUNTIF($Y585:$Z585,"X")*8)&gt;=8,24,($J585-COUNTIF($Y585:$Z585,"X")*8)+16)-1," downto 16)"))))</f>
        <v>(23 downto 16)</v>
      </c>
      <c r="AC585" s="2" t="str">
        <f t="shared" ref="AC585:AC648" si="162">IF(Y585="","",CONCATENATE("(",IF(($J585-COUNTIF($Z585,"X")*8)=1,"8)",CONCATENATE(IF(($J585-COUNTIF($Z585,"X")*8)&gt;=8,16,($J585-COUNTIF($Z585,"X")*8)+8)-1," downto 8)"))))</f>
        <v>(15 downto 8)</v>
      </c>
      <c r="AD585" s="2" t="str">
        <f t="shared" ref="AD585:AD648" si="163">IF(Z585="","",CONCATENATE("(",IF($J585=1,"0)",CONCATENATE(IF($J585&gt;=8,8,$J585)-1," downto 0)"))))</f>
        <v>(7 downto 0)</v>
      </c>
      <c r="AE585" s="2" t="str">
        <f t="shared" ref="AE585:AE648" si="164">IF(W585="","",IF($J585&lt;=8,"",IF(($J585-COUNTIF($X585:$Z585,"X")*8)=1,CONCATENATE("(",($J585-1),")"),CONCATENATE("(",IF(($J585-COUNTIF($X585:$Z585,"X")*8)&gt;=8,COUNTIF($X585:$Z585,"X")*8+7,$J585-COUNTIF($X585:$Z585,"X")*8-1+COUNTIF($X585:$Z585,"X")*8)," downto ",COUNTIF($X585:$Z585,"X")*8,")"))))</f>
        <v>(31 downto 24)</v>
      </c>
      <c r="AF585" s="2" t="str">
        <f t="shared" ref="AF585:AF648" si="165">IF(X585="","",IF($J585&lt;=8,"",IF(($J585-COUNTIF($Y585:$Z585,"X")*8)=1,CONCATENATE("(",($J585-1),")"),CONCATENATE("(",IF(($J585-COUNTIF($Y585:$Z585,"X")*8)&gt;=8,COUNTIF($Y585:$Z585,"X")*8+7,$J585-COUNTIF($Y585:$Z585,"X")*8-1+COUNTIF($Y585:$Z585,"X")*8)," downto ",COUNTIF($Y585:$Z585,"X")*8,")"))))</f>
        <v>(23 downto 16)</v>
      </c>
      <c r="AG585" s="2" t="str">
        <f t="shared" ref="AG585:AG648" si="166">IF(Y585="","",IF($J585&lt;=8,"",IF(($J585-COUNTIF($Z585,"X")*8)=1,CONCATENATE("(",($J585-1),")"),CONCATENATE("(",IF(($J585-COUNTIF($Z585,"X")*8)&gt;=8,COUNTIF($Z585,"X")*8+7,$J585-COUNTIF($Z585,"X")*8-1+COUNTIF($Z585,"X")*8)," downto ",COUNTIF($Z585,"X")*8,")"))))</f>
        <v>(15 downto 8)</v>
      </c>
      <c r="AH585" s="2" t="str">
        <f t="shared" ref="AH585:AH648" si="167">IF(Z585="","",IF($J585&lt;=8,"",CONCATENATE("(",IF($J585&gt;=8,7,$J585-1)," downto ",0,")")))</f>
        <v>(7 downto 0)</v>
      </c>
    </row>
    <row r="586" spans="2:34" x14ac:dyDescent="0.25">
      <c r="B586" s="2" t="s">
        <v>1573</v>
      </c>
      <c r="C586" s="2" t="s">
        <v>141</v>
      </c>
      <c r="D586" s="2" t="s">
        <v>0</v>
      </c>
      <c r="E586" s="2" t="s">
        <v>130</v>
      </c>
      <c r="F586" s="2" t="s">
        <v>1574</v>
      </c>
      <c r="G586" s="2" t="s">
        <v>1575</v>
      </c>
      <c r="H586" s="2" t="s">
        <v>142</v>
      </c>
      <c r="I586" s="2" t="s">
        <v>41</v>
      </c>
      <c r="J586" s="2">
        <v>32</v>
      </c>
      <c r="K586" s="2" t="s">
        <v>132</v>
      </c>
      <c r="L586" s="2" t="s">
        <v>40</v>
      </c>
      <c r="P586" s="2" t="s">
        <v>48</v>
      </c>
      <c r="Q586" s="2">
        <f>INDEX(Tables!$C$4:$C$28,MATCH($P586,Tables!$B$4:$B$28,0))</f>
        <v>32</v>
      </c>
      <c r="R586" s="2">
        <f>INDEX(Tables!$D$4:$D$28,MATCH($P586,Tables!$B$4:$B$28,0))</f>
        <v>4</v>
      </c>
      <c r="S586" s="2">
        <f>$S585+$R585+INDEX(Tables!$N$5:$Q$8,MATCH(MOD($S585+$R585,4),Tables!$M$5:$M$8,0),MATCH($R586,Tables!$N$4:$Q$4,0))</f>
        <v>2160</v>
      </c>
      <c r="T586" s="2" t="str">
        <f t="shared" si="153"/>
        <v>0870</v>
      </c>
      <c r="U586" s="2">
        <f t="shared" si="159"/>
        <v>540</v>
      </c>
      <c r="V586" s="2" t="str">
        <f t="shared" si="154"/>
        <v>21C</v>
      </c>
      <c r="W586" s="2" t="str">
        <f t="shared" si="155"/>
        <v>X</v>
      </c>
      <c r="X586" s="2" t="str">
        <f t="shared" si="158"/>
        <v>X</v>
      </c>
      <c r="Y586" s="2" t="str">
        <f t="shared" si="156"/>
        <v>X</v>
      </c>
      <c r="Z586" s="2" t="str">
        <f t="shared" si="157"/>
        <v>X</v>
      </c>
      <c r="AA586" s="2" t="str">
        <f t="shared" si="160"/>
        <v>(31 downto 24)</v>
      </c>
      <c r="AB586" s="2" t="str">
        <f t="shared" si="161"/>
        <v>(23 downto 16)</v>
      </c>
      <c r="AC586" s="2" t="str">
        <f t="shared" si="162"/>
        <v>(15 downto 8)</v>
      </c>
      <c r="AD586" s="2" t="str">
        <f t="shared" si="163"/>
        <v>(7 downto 0)</v>
      </c>
      <c r="AE586" s="2" t="str">
        <f t="shared" si="164"/>
        <v>(31 downto 24)</v>
      </c>
      <c r="AF586" s="2" t="str">
        <f t="shared" si="165"/>
        <v>(23 downto 16)</v>
      </c>
      <c r="AG586" s="2" t="str">
        <f t="shared" si="166"/>
        <v>(15 downto 8)</v>
      </c>
      <c r="AH586" s="2" t="str">
        <f t="shared" si="167"/>
        <v>(7 downto 0)</v>
      </c>
    </row>
    <row r="587" spans="2:34" x14ac:dyDescent="0.25">
      <c r="B587" s="2" t="s">
        <v>1576</v>
      </c>
      <c r="C587" s="2" t="s">
        <v>141</v>
      </c>
      <c r="D587" s="2" t="s">
        <v>0</v>
      </c>
      <c r="E587" s="2" t="s">
        <v>130</v>
      </c>
      <c r="F587" s="2" t="s">
        <v>1577</v>
      </c>
      <c r="G587" s="2" t="s">
        <v>1578</v>
      </c>
      <c r="H587" s="2" t="s">
        <v>142</v>
      </c>
      <c r="I587" s="2" t="s">
        <v>41</v>
      </c>
      <c r="J587" s="2">
        <v>32</v>
      </c>
      <c r="K587" s="2" t="s">
        <v>132</v>
      </c>
      <c r="L587" s="2" t="s">
        <v>40</v>
      </c>
      <c r="P587" s="2" t="s">
        <v>48</v>
      </c>
      <c r="Q587" s="2">
        <f>INDEX(Tables!$C$4:$C$28,MATCH($P587,Tables!$B$4:$B$28,0))</f>
        <v>32</v>
      </c>
      <c r="R587" s="2">
        <f>INDEX(Tables!$D$4:$D$28,MATCH($P587,Tables!$B$4:$B$28,0))</f>
        <v>4</v>
      </c>
      <c r="S587" s="2">
        <f>$S586+$R586+INDEX(Tables!$N$5:$Q$8,MATCH(MOD($S586+$R586,4),Tables!$M$5:$M$8,0),MATCH($R587,Tables!$N$4:$Q$4,0))</f>
        <v>2164</v>
      </c>
      <c r="T587" s="2" t="str">
        <f t="shared" si="153"/>
        <v>0874</v>
      </c>
      <c r="U587" s="2">
        <f t="shared" si="159"/>
        <v>541</v>
      </c>
      <c r="V587" s="2" t="str">
        <f t="shared" si="154"/>
        <v>21D</v>
      </c>
      <c r="W587" s="2" t="str">
        <f t="shared" si="155"/>
        <v>X</v>
      </c>
      <c r="X587" s="2" t="str">
        <f t="shared" si="158"/>
        <v>X</v>
      </c>
      <c r="Y587" s="2" t="str">
        <f t="shared" si="156"/>
        <v>X</v>
      </c>
      <c r="Z587" s="2" t="str">
        <f t="shared" si="157"/>
        <v>X</v>
      </c>
      <c r="AA587" s="2" t="str">
        <f t="shared" si="160"/>
        <v>(31 downto 24)</v>
      </c>
      <c r="AB587" s="2" t="str">
        <f t="shared" si="161"/>
        <v>(23 downto 16)</v>
      </c>
      <c r="AC587" s="2" t="str">
        <f t="shared" si="162"/>
        <v>(15 downto 8)</v>
      </c>
      <c r="AD587" s="2" t="str">
        <f t="shared" si="163"/>
        <v>(7 downto 0)</v>
      </c>
      <c r="AE587" s="2" t="str">
        <f t="shared" si="164"/>
        <v>(31 downto 24)</v>
      </c>
      <c r="AF587" s="2" t="str">
        <f t="shared" si="165"/>
        <v>(23 downto 16)</v>
      </c>
      <c r="AG587" s="2" t="str">
        <f t="shared" si="166"/>
        <v>(15 downto 8)</v>
      </c>
      <c r="AH587" s="2" t="str">
        <f t="shared" si="167"/>
        <v>(7 downto 0)</v>
      </c>
    </row>
    <row r="588" spans="2:34" x14ac:dyDescent="0.25">
      <c r="B588" s="2" t="s">
        <v>1579</v>
      </c>
      <c r="C588" s="2" t="s">
        <v>141</v>
      </c>
      <c r="D588" s="2" t="s">
        <v>0</v>
      </c>
      <c r="E588" s="2" t="s">
        <v>130</v>
      </c>
      <c r="F588" s="2" t="s">
        <v>1580</v>
      </c>
      <c r="G588" s="2" t="s">
        <v>1581</v>
      </c>
      <c r="H588" s="2" t="s">
        <v>142</v>
      </c>
      <c r="I588" s="2" t="s">
        <v>41</v>
      </c>
      <c r="J588" s="2">
        <v>32</v>
      </c>
      <c r="K588" s="2" t="s">
        <v>132</v>
      </c>
      <c r="L588" s="2" t="s">
        <v>40</v>
      </c>
      <c r="P588" s="2" t="s">
        <v>48</v>
      </c>
      <c r="Q588" s="2">
        <f>INDEX(Tables!$C$4:$C$28,MATCH($P588,Tables!$B$4:$B$28,0))</f>
        <v>32</v>
      </c>
      <c r="R588" s="2">
        <f>INDEX(Tables!$D$4:$D$28,MATCH($P588,Tables!$B$4:$B$28,0))</f>
        <v>4</v>
      </c>
      <c r="S588" s="2">
        <f>$S587+$R587+INDEX(Tables!$N$5:$Q$8,MATCH(MOD($S587+$R587,4),Tables!$M$5:$M$8,0),MATCH($R588,Tables!$N$4:$Q$4,0))</f>
        <v>2168</v>
      </c>
      <c r="T588" s="2" t="str">
        <f t="shared" si="153"/>
        <v>0878</v>
      </c>
      <c r="U588" s="2">
        <f t="shared" si="159"/>
        <v>542</v>
      </c>
      <c r="V588" s="2" t="str">
        <f t="shared" si="154"/>
        <v>21E</v>
      </c>
      <c r="W588" s="2" t="str">
        <f t="shared" si="155"/>
        <v>X</v>
      </c>
      <c r="X588" s="2" t="str">
        <f t="shared" si="158"/>
        <v>X</v>
      </c>
      <c r="Y588" s="2" t="str">
        <f t="shared" si="156"/>
        <v>X</v>
      </c>
      <c r="Z588" s="2" t="str">
        <f t="shared" si="157"/>
        <v>X</v>
      </c>
      <c r="AA588" s="2" t="str">
        <f t="shared" si="160"/>
        <v>(31 downto 24)</v>
      </c>
      <c r="AB588" s="2" t="str">
        <f t="shared" si="161"/>
        <v>(23 downto 16)</v>
      </c>
      <c r="AC588" s="2" t="str">
        <f t="shared" si="162"/>
        <v>(15 downto 8)</v>
      </c>
      <c r="AD588" s="2" t="str">
        <f t="shared" si="163"/>
        <v>(7 downto 0)</v>
      </c>
      <c r="AE588" s="2" t="str">
        <f t="shared" si="164"/>
        <v>(31 downto 24)</v>
      </c>
      <c r="AF588" s="2" t="str">
        <f t="shared" si="165"/>
        <v>(23 downto 16)</v>
      </c>
      <c r="AG588" s="2" t="str">
        <f t="shared" si="166"/>
        <v>(15 downto 8)</v>
      </c>
      <c r="AH588" s="2" t="str">
        <f t="shared" si="167"/>
        <v>(7 downto 0)</v>
      </c>
    </row>
    <row r="589" spans="2:34" x14ac:dyDescent="0.25">
      <c r="B589" s="2" t="s">
        <v>1582</v>
      </c>
      <c r="C589" s="2" t="s">
        <v>141</v>
      </c>
      <c r="D589" s="2" t="s">
        <v>0</v>
      </c>
      <c r="E589" s="2" t="s">
        <v>130</v>
      </c>
      <c r="F589" s="2" t="s">
        <v>1583</v>
      </c>
      <c r="G589" s="2" t="s">
        <v>1584</v>
      </c>
      <c r="H589" s="2" t="s">
        <v>142</v>
      </c>
      <c r="I589" s="2" t="s">
        <v>41</v>
      </c>
      <c r="J589" s="2">
        <v>32</v>
      </c>
      <c r="K589" s="2" t="s">
        <v>132</v>
      </c>
      <c r="L589" s="2" t="s">
        <v>40</v>
      </c>
      <c r="P589" s="2" t="s">
        <v>48</v>
      </c>
      <c r="Q589" s="2">
        <f>INDEX(Tables!$C$4:$C$28,MATCH($P589,Tables!$B$4:$B$28,0))</f>
        <v>32</v>
      </c>
      <c r="R589" s="2">
        <f>INDEX(Tables!$D$4:$D$28,MATCH($P589,Tables!$B$4:$B$28,0))</f>
        <v>4</v>
      </c>
      <c r="S589" s="2">
        <f>$S588+$R588+INDEX(Tables!$N$5:$Q$8,MATCH(MOD($S588+$R588,4),Tables!$M$5:$M$8,0),MATCH($R589,Tables!$N$4:$Q$4,0))</f>
        <v>2172</v>
      </c>
      <c r="T589" s="2" t="str">
        <f t="shared" si="153"/>
        <v>087C</v>
      </c>
      <c r="U589" s="2">
        <f t="shared" si="159"/>
        <v>543</v>
      </c>
      <c r="V589" s="2" t="str">
        <f t="shared" si="154"/>
        <v>21F</v>
      </c>
      <c r="W589" s="2" t="str">
        <f t="shared" si="155"/>
        <v>X</v>
      </c>
      <c r="X589" s="2" t="str">
        <f t="shared" si="158"/>
        <v>X</v>
      </c>
      <c r="Y589" s="2" t="str">
        <f t="shared" si="156"/>
        <v>X</v>
      </c>
      <c r="Z589" s="2" t="str">
        <f t="shared" si="157"/>
        <v>X</v>
      </c>
      <c r="AA589" s="2" t="str">
        <f t="shared" si="160"/>
        <v>(31 downto 24)</v>
      </c>
      <c r="AB589" s="2" t="str">
        <f t="shared" si="161"/>
        <v>(23 downto 16)</v>
      </c>
      <c r="AC589" s="2" t="str">
        <f t="shared" si="162"/>
        <v>(15 downto 8)</v>
      </c>
      <c r="AD589" s="2" t="str">
        <f t="shared" si="163"/>
        <v>(7 downto 0)</v>
      </c>
      <c r="AE589" s="2" t="str">
        <f t="shared" si="164"/>
        <v>(31 downto 24)</v>
      </c>
      <c r="AF589" s="2" t="str">
        <f t="shared" si="165"/>
        <v>(23 downto 16)</v>
      </c>
      <c r="AG589" s="2" t="str">
        <f t="shared" si="166"/>
        <v>(15 downto 8)</v>
      </c>
      <c r="AH589" s="2" t="str">
        <f t="shared" si="167"/>
        <v>(7 downto 0)</v>
      </c>
    </row>
    <row r="590" spans="2:34" x14ac:dyDescent="0.25">
      <c r="B590" s="2" t="s">
        <v>1585</v>
      </c>
      <c r="C590" s="2" t="s">
        <v>141</v>
      </c>
      <c r="D590" s="2" t="s">
        <v>0</v>
      </c>
      <c r="E590" s="2" t="s">
        <v>130</v>
      </c>
      <c r="F590" s="2" t="s">
        <v>1586</v>
      </c>
      <c r="G590" s="2" t="s">
        <v>1587</v>
      </c>
      <c r="H590" s="2" t="s">
        <v>142</v>
      </c>
      <c r="I590" s="2" t="s">
        <v>41</v>
      </c>
      <c r="J590" s="2">
        <v>32</v>
      </c>
      <c r="K590" s="2" t="s">
        <v>132</v>
      </c>
      <c r="L590" s="2" t="s">
        <v>40</v>
      </c>
      <c r="P590" s="2" t="s">
        <v>48</v>
      </c>
      <c r="Q590" s="2">
        <f>INDEX(Tables!$C$4:$C$28,MATCH($P590,Tables!$B$4:$B$28,0))</f>
        <v>32</v>
      </c>
      <c r="R590" s="2">
        <f>INDEX(Tables!$D$4:$D$28,MATCH($P590,Tables!$B$4:$B$28,0))</f>
        <v>4</v>
      </c>
      <c r="S590" s="2">
        <f>$S589+$R589+INDEX(Tables!$N$5:$Q$8,MATCH(MOD($S589+$R589,4),Tables!$M$5:$M$8,0),MATCH($R590,Tables!$N$4:$Q$4,0))</f>
        <v>2176</v>
      </c>
      <c r="T590" s="2" t="str">
        <f t="shared" si="153"/>
        <v>0880</v>
      </c>
      <c r="U590" s="2">
        <f t="shared" si="159"/>
        <v>544</v>
      </c>
      <c r="V590" s="2" t="str">
        <f t="shared" si="154"/>
        <v>220</v>
      </c>
      <c r="W590" s="2" t="str">
        <f t="shared" si="155"/>
        <v>X</v>
      </c>
      <c r="X590" s="2" t="str">
        <f t="shared" si="158"/>
        <v>X</v>
      </c>
      <c r="Y590" s="2" t="str">
        <f t="shared" si="156"/>
        <v>X</v>
      </c>
      <c r="Z590" s="2" t="str">
        <f t="shared" si="157"/>
        <v>X</v>
      </c>
      <c r="AA590" s="2" t="str">
        <f t="shared" si="160"/>
        <v>(31 downto 24)</v>
      </c>
      <c r="AB590" s="2" t="str">
        <f t="shared" si="161"/>
        <v>(23 downto 16)</v>
      </c>
      <c r="AC590" s="2" t="str">
        <f t="shared" si="162"/>
        <v>(15 downto 8)</v>
      </c>
      <c r="AD590" s="2" t="str">
        <f t="shared" si="163"/>
        <v>(7 downto 0)</v>
      </c>
      <c r="AE590" s="2" t="str">
        <f t="shared" si="164"/>
        <v>(31 downto 24)</v>
      </c>
      <c r="AF590" s="2" t="str">
        <f t="shared" si="165"/>
        <v>(23 downto 16)</v>
      </c>
      <c r="AG590" s="2" t="str">
        <f t="shared" si="166"/>
        <v>(15 downto 8)</v>
      </c>
      <c r="AH590" s="2" t="str">
        <f t="shared" si="167"/>
        <v>(7 downto 0)</v>
      </c>
    </row>
    <row r="591" spans="2:34" x14ac:dyDescent="0.25">
      <c r="B591" s="2" t="s">
        <v>1588</v>
      </c>
      <c r="C591" s="2" t="s">
        <v>141</v>
      </c>
      <c r="D591" s="2" t="s">
        <v>0</v>
      </c>
      <c r="E591" s="2" t="s">
        <v>130</v>
      </c>
      <c r="F591" s="2" t="s">
        <v>1589</v>
      </c>
      <c r="G591" s="2" t="s">
        <v>1590</v>
      </c>
      <c r="H591" s="2" t="s">
        <v>142</v>
      </c>
      <c r="I591" s="2" t="s">
        <v>41</v>
      </c>
      <c r="J591" s="2">
        <v>32</v>
      </c>
      <c r="K591" s="2" t="s">
        <v>132</v>
      </c>
      <c r="L591" s="2" t="s">
        <v>40</v>
      </c>
      <c r="P591" s="2" t="s">
        <v>48</v>
      </c>
      <c r="Q591" s="2">
        <f>INDEX(Tables!$C$4:$C$28,MATCH($P591,Tables!$B$4:$B$28,0))</f>
        <v>32</v>
      </c>
      <c r="R591" s="2">
        <f>INDEX(Tables!$D$4:$D$28,MATCH($P591,Tables!$B$4:$B$28,0))</f>
        <v>4</v>
      </c>
      <c r="S591" s="2">
        <f>$S590+$R590+INDEX(Tables!$N$5:$Q$8,MATCH(MOD($S590+$R590,4),Tables!$M$5:$M$8,0),MATCH($R591,Tables!$N$4:$Q$4,0))</f>
        <v>2180</v>
      </c>
      <c r="T591" s="2" t="str">
        <f t="shared" si="153"/>
        <v>0884</v>
      </c>
      <c r="U591" s="2">
        <f t="shared" si="159"/>
        <v>545</v>
      </c>
      <c r="V591" s="2" t="str">
        <f t="shared" si="154"/>
        <v>221</v>
      </c>
      <c r="W591" s="2" t="str">
        <f t="shared" si="155"/>
        <v>X</v>
      </c>
      <c r="X591" s="2" t="str">
        <f t="shared" si="158"/>
        <v>X</v>
      </c>
      <c r="Y591" s="2" t="str">
        <f t="shared" si="156"/>
        <v>X</v>
      </c>
      <c r="Z591" s="2" t="str">
        <f t="shared" si="157"/>
        <v>X</v>
      </c>
      <c r="AA591" s="2" t="str">
        <f t="shared" si="160"/>
        <v>(31 downto 24)</v>
      </c>
      <c r="AB591" s="2" t="str">
        <f t="shared" si="161"/>
        <v>(23 downto 16)</v>
      </c>
      <c r="AC591" s="2" t="str">
        <f t="shared" si="162"/>
        <v>(15 downto 8)</v>
      </c>
      <c r="AD591" s="2" t="str">
        <f t="shared" si="163"/>
        <v>(7 downto 0)</v>
      </c>
      <c r="AE591" s="2" t="str">
        <f t="shared" si="164"/>
        <v>(31 downto 24)</v>
      </c>
      <c r="AF591" s="2" t="str">
        <f t="shared" si="165"/>
        <v>(23 downto 16)</v>
      </c>
      <c r="AG591" s="2" t="str">
        <f t="shared" si="166"/>
        <v>(15 downto 8)</v>
      </c>
      <c r="AH591" s="2" t="str">
        <f t="shared" si="167"/>
        <v>(7 downto 0)</v>
      </c>
    </row>
    <row r="592" spans="2:34" x14ac:dyDescent="0.25">
      <c r="B592" s="2" t="s">
        <v>1591</v>
      </c>
      <c r="C592" s="2" t="s">
        <v>141</v>
      </c>
      <c r="D592" s="2" t="s">
        <v>0</v>
      </c>
      <c r="E592" s="2" t="s">
        <v>130</v>
      </c>
      <c r="F592" s="2" t="s">
        <v>1592</v>
      </c>
      <c r="G592" s="2" t="s">
        <v>1593</v>
      </c>
      <c r="H592" s="2" t="s">
        <v>142</v>
      </c>
      <c r="I592" s="2" t="s">
        <v>41</v>
      </c>
      <c r="J592" s="2">
        <v>32</v>
      </c>
      <c r="K592" s="2" t="s">
        <v>132</v>
      </c>
      <c r="L592" s="2" t="s">
        <v>40</v>
      </c>
      <c r="P592" s="2" t="s">
        <v>48</v>
      </c>
      <c r="Q592" s="2">
        <f>INDEX(Tables!$C$4:$C$28,MATCH($P592,Tables!$B$4:$B$28,0))</f>
        <v>32</v>
      </c>
      <c r="R592" s="2">
        <f>INDEX(Tables!$D$4:$D$28,MATCH($P592,Tables!$B$4:$B$28,0))</f>
        <v>4</v>
      </c>
      <c r="S592" s="2">
        <f>$S591+$R591+INDEX(Tables!$N$5:$Q$8,MATCH(MOD($S591+$R591,4),Tables!$M$5:$M$8,0),MATCH($R592,Tables!$N$4:$Q$4,0))</f>
        <v>2184</v>
      </c>
      <c r="T592" s="2" t="str">
        <f t="shared" si="153"/>
        <v>0888</v>
      </c>
      <c r="U592" s="2">
        <f t="shared" si="159"/>
        <v>546</v>
      </c>
      <c r="V592" s="2" t="str">
        <f t="shared" si="154"/>
        <v>222</v>
      </c>
      <c r="W592" s="2" t="str">
        <f t="shared" si="155"/>
        <v>X</v>
      </c>
      <c r="X592" s="2" t="str">
        <f t="shared" si="158"/>
        <v>X</v>
      </c>
      <c r="Y592" s="2" t="str">
        <f t="shared" si="156"/>
        <v>X</v>
      </c>
      <c r="Z592" s="2" t="str">
        <f t="shared" si="157"/>
        <v>X</v>
      </c>
      <c r="AA592" s="2" t="str">
        <f t="shared" si="160"/>
        <v>(31 downto 24)</v>
      </c>
      <c r="AB592" s="2" t="str">
        <f t="shared" si="161"/>
        <v>(23 downto 16)</v>
      </c>
      <c r="AC592" s="2" t="str">
        <f t="shared" si="162"/>
        <v>(15 downto 8)</v>
      </c>
      <c r="AD592" s="2" t="str">
        <f t="shared" si="163"/>
        <v>(7 downto 0)</v>
      </c>
      <c r="AE592" s="2" t="str">
        <f t="shared" si="164"/>
        <v>(31 downto 24)</v>
      </c>
      <c r="AF592" s="2" t="str">
        <f t="shared" si="165"/>
        <v>(23 downto 16)</v>
      </c>
      <c r="AG592" s="2" t="str">
        <f t="shared" si="166"/>
        <v>(15 downto 8)</v>
      </c>
      <c r="AH592" s="2" t="str">
        <f t="shared" si="167"/>
        <v>(7 downto 0)</v>
      </c>
    </row>
    <row r="593" spans="2:34" x14ac:dyDescent="0.25">
      <c r="B593" s="2" t="s">
        <v>1594</v>
      </c>
      <c r="C593" s="2" t="s">
        <v>141</v>
      </c>
      <c r="D593" s="2" t="s">
        <v>0</v>
      </c>
      <c r="E593" s="2" t="s">
        <v>130</v>
      </c>
      <c r="F593" s="2" t="s">
        <v>1595</v>
      </c>
      <c r="G593" s="2" t="s">
        <v>1596</v>
      </c>
      <c r="H593" s="2" t="s">
        <v>142</v>
      </c>
      <c r="I593" s="2" t="s">
        <v>41</v>
      </c>
      <c r="J593" s="2">
        <v>32</v>
      </c>
      <c r="K593" s="2" t="s">
        <v>132</v>
      </c>
      <c r="L593" s="2" t="s">
        <v>40</v>
      </c>
      <c r="P593" s="2" t="s">
        <v>48</v>
      </c>
      <c r="Q593" s="2">
        <f>INDEX(Tables!$C$4:$C$28,MATCH($P593,Tables!$B$4:$B$28,0))</f>
        <v>32</v>
      </c>
      <c r="R593" s="2">
        <f>INDEX(Tables!$D$4:$D$28,MATCH($P593,Tables!$B$4:$B$28,0))</f>
        <v>4</v>
      </c>
      <c r="S593" s="2">
        <f>$S592+$R592+INDEX(Tables!$N$5:$Q$8,MATCH(MOD($S592+$R592,4),Tables!$M$5:$M$8,0),MATCH($R593,Tables!$N$4:$Q$4,0))</f>
        <v>2188</v>
      </c>
      <c r="T593" s="2" t="str">
        <f t="shared" si="153"/>
        <v>088C</v>
      </c>
      <c r="U593" s="2">
        <f t="shared" si="159"/>
        <v>547</v>
      </c>
      <c r="V593" s="2" t="str">
        <f t="shared" si="154"/>
        <v>223</v>
      </c>
      <c r="W593" s="2" t="str">
        <f t="shared" si="155"/>
        <v>X</v>
      </c>
      <c r="X593" s="2" t="str">
        <f t="shared" si="158"/>
        <v>X</v>
      </c>
      <c r="Y593" s="2" t="str">
        <f t="shared" si="156"/>
        <v>X</v>
      </c>
      <c r="Z593" s="2" t="str">
        <f t="shared" si="157"/>
        <v>X</v>
      </c>
      <c r="AA593" s="2" t="str">
        <f t="shared" si="160"/>
        <v>(31 downto 24)</v>
      </c>
      <c r="AB593" s="2" t="str">
        <f t="shared" si="161"/>
        <v>(23 downto 16)</v>
      </c>
      <c r="AC593" s="2" t="str">
        <f t="shared" si="162"/>
        <v>(15 downto 8)</v>
      </c>
      <c r="AD593" s="2" t="str">
        <f t="shared" si="163"/>
        <v>(7 downto 0)</v>
      </c>
      <c r="AE593" s="2" t="str">
        <f t="shared" si="164"/>
        <v>(31 downto 24)</v>
      </c>
      <c r="AF593" s="2" t="str">
        <f t="shared" si="165"/>
        <v>(23 downto 16)</v>
      </c>
      <c r="AG593" s="2" t="str">
        <f t="shared" si="166"/>
        <v>(15 downto 8)</v>
      </c>
      <c r="AH593" s="2" t="str">
        <f t="shared" si="167"/>
        <v>(7 downto 0)</v>
      </c>
    </row>
    <row r="594" spans="2:34" x14ac:dyDescent="0.25">
      <c r="B594" s="2" t="s">
        <v>1597</v>
      </c>
      <c r="C594" s="2" t="s">
        <v>141</v>
      </c>
      <c r="D594" s="2" t="s">
        <v>0</v>
      </c>
      <c r="E594" s="2" t="s">
        <v>130</v>
      </c>
      <c r="F594" s="2" t="s">
        <v>1598</v>
      </c>
      <c r="G594" s="2" t="s">
        <v>1599</v>
      </c>
      <c r="H594" s="2" t="s">
        <v>142</v>
      </c>
      <c r="I594" s="2" t="s">
        <v>41</v>
      </c>
      <c r="J594" s="2">
        <v>32</v>
      </c>
      <c r="K594" s="2" t="s">
        <v>132</v>
      </c>
      <c r="L594" s="2" t="s">
        <v>40</v>
      </c>
      <c r="P594" s="2" t="s">
        <v>48</v>
      </c>
      <c r="Q594" s="2">
        <f>INDEX(Tables!$C$4:$C$28,MATCH($P594,Tables!$B$4:$B$28,0))</f>
        <v>32</v>
      </c>
      <c r="R594" s="2">
        <f>INDEX(Tables!$D$4:$D$28,MATCH($P594,Tables!$B$4:$B$28,0))</f>
        <v>4</v>
      </c>
      <c r="S594" s="2">
        <f>$S593+$R593+INDEX(Tables!$N$5:$Q$8,MATCH(MOD($S593+$R593,4),Tables!$M$5:$M$8,0),MATCH($R594,Tables!$N$4:$Q$4,0))</f>
        <v>2192</v>
      </c>
      <c r="T594" s="2" t="str">
        <f t="shared" si="153"/>
        <v>0890</v>
      </c>
      <c r="U594" s="2">
        <f t="shared" si="159"/>
        <v>548</v>
      </c>
      <c r="V594" s="2" t="str">
        <f t="shared" si="154"/>
        <v>224</v>
      </c>
      <c r="W594" s="2" t="str">
        <f t="shared" si="155"/>
        <v>X</v>
      </c>
      <c r="X594" s="2" t="str">
        <f t="shared" si="158"/>
        <v>X</v>
      </c>
      <c r="Y594" s="2" t="str">
        <f t="shared" si="156"/>
        <v>X</v>
      </c>
      <c r="Z594" s="2" t="str">
        <f t="shared" si="157"/>
        <v>X</v>
      </c>
      <c r="AA594" s="2" t="str">
        <f t="shared" si="160"/>
        <v>(31 downto 24)</v>
      </c>
      <c r="AB594" s="2" t="str">
        <f t="shared" si="161"/>
        <v>(23 downto 16)</v>
      </c>
      <c r="AC594" s="2" t="str">
        <f t="shared" si="162"/>
        <v>(15 downto 8)</v>
      </c>
      <c r="AD594" s="2" t="str">
        <f t="shared" si="163"/>
        <v>(7 downto 0)</v>
      </c>
      <c r="AE594" s="2" t="str">
        <f t="shared" si="164"/>
        <v>(31 downto 24)</v>
      </c>
      <c r="AF594" s="2" t="str">
        <f t="shared" si="165"/>
        <v>(23 downto 16)</v>
      </c>
      <c r="AG594" s="2" t="str">
        <f t="shared" si="166"/>
        <v>(15 downto 8)</v>
      </c>
      <c r="AH594" s="2" t="str">
        <f t="shared" si="167"/>
        <v>(7 downto 0)</v>
      </c>
    </row>
    <row r="595" spans="2:34" x14ac:dyDescent="0.25">
      <c r="B595" s="2" t="s">
        <v>1600</v>
      </c>
      <c r="C595" s="2" t="s">
        <v>141</v>
      </c>
      <c r="D595" s="2" t="s">
        <v>0</v>
      </c>
      <c r="E595" s="2" t="s">
        <v>130</v>
      </c>
      <c r="F595" s="2" t="s">
        <v>1601</v>
      </c>
      <c r="G595" s="2" t="s">
        <v>1602</v>
      </c>
      <c r="H595" s="2" t="s">
        <v>142</v>
      </c>
      <c r="I595" s="2" t="s">
        <v>41</v>
      </c>
      <c r="J595" s="2">
        <v>32</v>
      </c>
      <c r="K595" s="2" t="s">
        <v>132</v>
      </c>
      <c r="L595" s="2" t="s">
        <v>40</v>
      </c>
      <c r="P595" s="2" t="s">
        <v>48</v>
      </c>
      <c r="Q595" s="2">
        <f>INDEX(Tables!$C$4:$C$28,MATCH($P595,Tables!$B$4:$B$28,0))</f>
        <v>32</v>
      </c>
      <c r="R595" s="2">
        <f>INDEX(Tables!$D$4:$D$28,MATCH($P595,Tables!$B$4:$B$28,0))</f>
        <v>4</v>
      </c>
      <c r="S595" s="2">
        <f>$S594+$R594+INDEX(Tables!$N$5:$Q$8,MATCH(MOD($S594+$R594,4),Tables!$M$5:$M$8,0),MATCH($R595,Tables!$N$4:$Q$4,0))</f>
        <v>2196</v>
      </c>
      <c r="T595" s="2" t="str">
        <f t="shared" si="153"/>
        <v>0894</v>
      </c>
      <c r="U595" s="2">
        <f t="shared" si="159"/>
        <v>549</v>
      </c>
      <c r="V595" s="2" t="str">
        <f t="shared" si="154"/>
        <v>225</v>
      </c>
      <c r="W595" s="2" t="str">
        <f t="shared" si="155"/>
        <v>X</v>
      </c>
      <c r="X595" s="2" t="str">
        <f t="shared" si="158"/>
        <v>X</v>
      </c>
      <c r="Y595" s="2" t="str">
        <f t="shared" si="156"/>
        <v>X</v>
      </c>
      <c r="Z595" s="2" t="str">
        <f t="shared" si="157"/>
        <v>X</v>
      </c>
      <c r="AA595" s="2" t="str">
        <f t="shared" si="160"/>
        <v>(31 downto 24)</v>
      </c>
      <c r="AB595" s="2" t="str">
        <f t="shared" si="161"/>
        <v>(23 downto 16)</v>
      </c>
      <c r="AC595" s="2" t="str">
        <f t="shared" si="162"/>
        <v>(15 downto 8)</v>
      </c>
      <c r="AD595" s="2" t="str">
        <f t="shared" si="163"/>
        <v>(7 downto 0)</v>
      </c>
      <c r="AE595" s="2" t="str">
        <f t="shared" si="164"/>
        <v>(31 downto 24)</v>
      </c>
      <c r="AF595" s="2" t="str">
        <f t="shared" si="165"/>
        <v>(23 downto 16)</v>
      </c>
      <c r="AG595" s="2" t="str">
        <f t="shared" si="166"/>
        <v>(15 downto 8)</v>
      </c>
      <c r="AH595" s="2" t="str">
        <f t="shared" si="167"/>
        <v>(7 downto 0)</v>
      </c>
    </row>
    <row r="596" spans="2:34" x14ac:dyDescent="0.25">
      <c r="B596" s="2" t="s">
        <v>1603</v>
      </c>
      <c r="C596" s="2" t="s">
        <v>141</v>
      </c>
      <c r="D596" s="2" t="s">
        <v>0</v>
      </c>
      <c r="E596" s="2" t="s">
        <v>130</v>
      </c>
      <c r="F596" s="2" t="s">
        <v>1604</v>
      </c>
      <c r="G596" s="2" t="s">
        <v>1605</v>
      </c>
      <c r="H596" s="2" t="s">
        <v>142</v>
      </c>
      <c r="I596" s="2" t="s">
        <v>41</v>
      </c>
      <c r="J596" s="2">
        <v>32</v>
      </c>
      <c r="K596" s="2" t="s">
        <v>132</v>
      </c>
      <c r="L596" s="2" t="s">
        <v>40</v>
      </c>
      <c r="P596" s="2" t="s">
        <v>48</v>
      </c>
      <c r="Q596" s="2">
        <f>INDEX(Tables!$C$4:$C$28,MATCH($P596,Tables!$B$4:$B$28,0))</f>
        <v>32</v>
      </c>
      <c r="R596" s="2">
        <f>INDEX(Tables!$D$4:$D$28,MATCH($P596,Tables!$B$4:$B$28,0))</f>
        <v>4</v>
      </c>
      <c r="S596" s="2">
        <f>$S595+$R595+INDEX(Tables!$N$5:$Q$8,MATCH(MOD($S595+$R595,4),Tables!$M$5:$M$8,0),MATCH($R596,Tables!$N$4:$Q$4,0))</f>
        <v>2200</v>
      </c>
      <c r="T596" s="2" t="str">
        <f t="shared" si="153"/>
        <v>0898</v>
      </c>
      <c r="U596" s="2">
        <f t="shared" si="159"/>
        <v>550</v>
      </c>
      <c r="V596" s="2" t="str">
        <f t="shared" si="154"/>
        <v>226</v>
      </c>
      <c r="W596" s="2" t="str">
        <f t="shared" si="155"/>
        <v>X</v>
      </c>
      <c r="X596" s="2" t="str">
        <f t="shared" si="158"/>
        <v>X</v>
      </c>
      <c r="Y596" s="2" t="str">
        <f t="shared" si="156"/>
        <v>X</v>
      </c>
      <c r="Z596" s="2" t="str">
        <f t="shared" si="157"/>
        <v>X</v>
      </c>
      <c r="AA596" s="2" t="str">
        <f t="shared" si="160"/>
        <v>(31 downto 24)</v>
      </c>
      <c r="AB596" s="2" t="str">
        <f t="shared" si="161"/>
        <v>(23 downto 16)</v>
      </c>
      <c r="AC596" s="2" t="str">
        <f t="shared" si="162"/>
        <v>(15 downto 8)</v>
      </c>
      <c r="AD596" s="2" t="str">
        <f t="shared" si="163"/>
        <v>(7 downto 0)</v>
      </c>
      <c r="AE596" s="2" t="str">
        <f t="shared" si="164"/>
        <v>(31 downto 24)</v>
      </c>
      <c r="AF596" s="2" t="str">
        <f t="shared" si="165"/>
        <v>(23 downto 16)</v>
      </c>
      <c r="AG596" s="2" t="str">
        <f t="shared" si="166"/>
        <v>(15 downto 8)</v>
      </c>
      <c r="AH596" s="2" t="str">
        <f t="shared" si="167"/>
        <v>(7 downto 0)</v>
      </c>
    </row>
    <row r="597" spans="2:34" x14ac:dyDescent="0.25">
      <c r="B597" s="2" t="s">
        <v>1606</v>
      </c>
      <c r="C597" s="2" t="s">
        <v>141</v>
      </c>
      <c r="D597" s="2" t="s">
        <v>0</v>
      </c>
      <c r="E597" s="2" t="s">
        <v>130</v>
      </c>
      <c r="F597" s="2" t="s">
        <v>1607</v>
      </c>
      <c r="G597" s="2" t="s">
        <v>1608</v>
      </c>
      <c r="H597" s="2" t="s">
        <v>142</v>
      </c>
      <c r="I597" s="2" t="s">
        <v>41</v>
      </c>
      <c r="J597" s="2">
        <v>32</v>
      </c>
      <c r="K597" s="2" t="s">
        <v>132</v>
      </c>
      <c r="L597" s="2" t="s">
        <v>40</v>
      </c>
      <c r="P597" s="2" t="s">
        <v>48</v>
      </c>
      <c r="Q597" s="2">
        <f>INDEX(Tables!$C$4:$C$28,MATCH($P597,Tables!$B$4:$B$28,0))</f>
        <v>32</v>
      </c>
      <c r="R597" s="2">
        <f>INDEX(Tables!$D$4:$D$28,MATCH($P597,Tables!$B$4:$B$28,0))</f>
        <v>4</v>
      </c>
      <c r="S597" s="2">
        <f>$S596+$R596+INDEX(Tables!$N$5:$Q$8,MATCH(MOD($S596+$R596,4),Tables!$M$5:$M$8,0),MATCH($R597,Tables!$N$4:$Q$4,0))</f>
        <v>2204</v>
      </c>
      <c r="T597" s="2" t="str">
        <f t="shared" si="153"/>
        <v>089C</v>
      </c>
      <c r="U597" s="2">
        <f t="shared" si="159"/>
        <v>551</v>
      </c>
      <c r="V597" s="2" t="str">
        <f t="shared" si="154"/>
        <v>227</v>
      </c>
      <c r="W597" s="2" t="str">
        <f t="shared" si="155"/>
        <v>X</v>
      </c>
      <c r="X597" s="2" t="str">
        <f t="shared" si="158"/>
        <v>X</v>
      </c>
      <c r="Y597" s="2" t="str">
        <f t="shared" si="156"/>
        <v>X</v>
      </c>
      <c r="Z597" s="2" t="str">
        <f t="shared" si="157"/>
        <v>X</v>
      </c>
      <c r="AA597" s="2" t="str">
        <f t="shared" si="160"/>
        <v>(31 downto 24)</v>
      </c>
      <c r="AB597" s="2" t="str">
        <f t="shared" si="161"/>
        <v>(23 downto 16)</v>
      </c>
      <c r="AC597" s="2" t="str">
        <f t="shared" si="162"/>
        <v>(15 downto 8)</v>
      </c>
      <c r="AD597" s="2" t="str">
        <f t="shared" si="163"/>
        <v>(7 downto 0)</v>
      </c>
      <c r="AE597" s="2" t="str">
        <f t="shared" si="164"/>
        <v>(31 downto 24)</v>
      </c>
      <c r="AF597" s="2" t="str">
        <f t="shared" si="165"/>
        <v>(23 downto 16)</v>
      </c>
      <c r="AG597" s="2" t="str">
        <f t="shared" si="166"/>
        <v>(15 downto 8)</v>
      </c>
      <c r="AH597" s="2" t="str">
        <f t="shared" si="167"/>
        <v>(7 downto 0)</v>
      </c>
    </row>
    <row r="598" spans="2:34" x14ac:dyDescent="0.25">
      <c r="B598" s="2" t="s">
        <v>1609</v>
      </c>
      <c r="C598" s="2" t="s">
        <v>141</v>
      </c>
      <c r="D598" s="2" t="s">
        <v>0</v>
      </c>
      <c r="E598" s="2" t="s">
        <v>130</v>
      </c>
      <c r="F598" s="2" t="s">
        <v>1610</v>
      </c>
      <c r="G598" s="2" t="s">
        <v>1611</v>
      </c>
      <c r="H598" s="2" t="s">
        <v>142</v>
      </c>
      <c r="I598" s="2" t="s">
        <v>41</v>
      </c>
      <c r="J598" s="2">
        <v>32</v>
      </c>
      <c r="K598" s="2" t="s">
        <v>132</v>
      </c>
      <c r="L598" s="2" t="s">
        <v>40</v>
      </c>
      <c r="P598" s="2" t="s">
        <v>48</v>
      </c>
      <c r="Q598" s="2">
        <f>INDEX(Tables!$C$4:$C$28,MATCH($P598,Tables!$B$4:$B$28,0))</f>
        <v>32</v>
      </c>
      <c r="R598" s="2">
        <f>INDEX(Tables!$D$4:$D$28,MATCH($P598,Tables!$B$4:$B$28,0))</f>
        <v>4</v>
      </c>
      <c r="S598" s="2">
        <f>$S597+$R597+INDEX(Tables!$N$5:$Q$8,MATCH(MOD($S597+$R597,4),Tables!$M$5:$M$8,0),MATCH($R598,Tables!$N$4:$Q$4,0))</f>
        <v>2208</v>
      </c>
      <c r="T598" s="2" t="str">
        <f t="shared" si="153"/>
        <v>08A0</v>
      </c>
      <c r="U598" s="2">
        <f t="shared" si="159"/>
        <v>552</v>
      </c>
      <c r="V598" s="2" t="str">
        <f t="shared" si="154"/>
        <v>228</v>
      </c>
      <c r="W598" s="2" t="str">
        <f t="shared" si="155"/>
        <v>X</v>
      </c>
      <c r="X598" s="2" t="str">
        <f t="shared" si="158"/>
        <v>X</v>
      </c>
      <c r="Y598" s="2" t="str">
        <f t="shared" si="156"/>
        <v>X</v>
      </c>
      <c r="Z598" s="2" t="str">
        <f t="shared" si="157"/>
        <v>X</v>
      </c>
      <c r="AA598" s="2" t="str">
        <f t="shared" si="160"/>
        <v>(31 downto 24)</v>
      </c>
      <c r="AB598" s="2" t="str">
        <f t="shared" si="161"/>
        <v>(23 downto 16)</v>
      </c>
      <c r="AC598" s="2" t="str">
        <f t="shared" si="162"/>
        <v>(15 downto 8)</v>
      </c>
      <c r="AD598" s="2" t="str">
        <f t="shared" si="163"/>
        <v>(7 downto 0)</v>
      </c>
      <c r="AE598" s="2" t="str">
        <f t="shared" si="164"/>
        <v>(31 downto 24)</v>
      </c>
      <c r="AF598" s="2" t="str">
        <f t="shared" si="165"/>
        <v>(23 downto 16)</v>
      </c>
      <c r="AG598" s="2" t="str">
        <f t="shared" si="166"/>
        <v>(15 downto 8)</v>
      </c>
      <c r="AH598" s="2" t="str">
        <f t="shared" si="167"/>
        <v>(7 downto 0)</v>
      </c>
    </row>
    <row r="599" spans="2:34" x14ac:dyDescent="0.25">
      <c r="B599" s="2" t="s">
        <v>1612</v>
      </c>
      <c r="C599" s="2" t="s">
        <v>141</v>
      </c>
      <c r="D599" s="2" t="s">
        <v>0</v>
      </c>
      <c r="E599" s="2" t="s">
        <v>130</v>
      </c>
      <c r="F599" s="2" t="s">
        <v>1613</v>
      </c>
      <c r="G599" s="2" t="s">
        <v>1614</v>
      </c>
      <c r="H599" s="2" t="s">
        <v>142</v>
      </c>
      <c r="I599" s="2" t="s">
        <v>41</v>
      </c>
      <c r="J599" s="2">
        <v>32</v>
      </c>
      <c r="K599" s="2" t="s">
        <v>132</v>
      </c>
      <c r="L599" s="2" t="s">
        <v>40</v>
      </c>
      <c r="P599" s="2" t="s">
        <v>48</v>
      </c>
      <c r="Q599" s="2">
        <f>INDEX(Tables!$C$4:$C$28,MATCH($P599,Tables!$B$4:$B$28,0))</f>
        <v>32</v>
      </c>
      <c r="R599" s="2">
        <f>INDEX(Tables!$D$4:$D$28,MATCH($P599,Tables!$B$4:$B$28,0))</f>
        <v>4</v>
      </c>
      <c r="S599" s="2">
        <f>$S598+$R598+INDEX(Tables!$N$5:$Q$8,MATCH(MOD($S598+$R598,4),Tables!$M$5:$M$8,0),MATCH($R599,Tables!$N$4:$Q$4,0))</f>
        <v>2212</v>
      </c>
      <c r="T599" s="2" t="str">
        <f t="shared" si="153"/>
        <v>08A4</v>
      </c>
      <c r="U599" s="2">
        <f t="shared" si="159"/>
        <v>553</v>
      </c>
      <c r="V599" s="2" t="str">
        <f t="shared" si="154"/>
        <v>229</v>
      </c>
      <c r="W599" s="2" t="str">
        <f t="shared" si="155"/>
        <v>X</v>
      </c>
      <c r="X599" s="2" t="str">
        <f t="shared" si="158"/>
        <v>X</v>
      </c>
      <c r="Y599" s="2" t="str">
        <f t="shared" si="156"/>
        <v>X</v>
      </c>
      <c r="Z599" s="2" t="str">
        <f t="shared" si="157"/>
        <v>X</v>
      </c>
      <c r="AA599" s="2" t="str">
        <f t="shared" si="160"/>
        <v>(31 downto 24)</v>
      </c>
      <c r="AB599" s="2" t="str">
        <f t="shared" si="161"/>
        <v>(23 downto 16)</v>
      </c>
      <c r="AC599" s="2" t="str">
        <f t="shared" si="162"/>
        <v>(15 downto 8)</v>
      </c>
      <c r="AD599" s="2" t="str">
        <f t="shared" si="163"/>
        <v>(7 downto 0)</v>
      </c>
      <c r="AE599" s="2" t="str">
        <f t="shared" si="164"/>
        <v>(31 downto 24)</v>
      </c>
      <c r="AF599" s="2" t="str">
        <f t="shared" si="165"/>
        <v>(23 downto 16)</v>
      </c>
      <c r="AG599" s="2" t="str">
        <f t="shared" si="166"/>
        <v>(15 downto 8)</v>
      </c>
      <c r="AH599" s="2" t="str">
        <f t="shared" si="167"/>
        <v>(7 downto 0)</v>
      </c>
    </row>
    <row r="600" spans="2:34" x14ac:dyDescent="0.25">
      <c r="B600" s="2" t="s">
        <v>1615</v>
      </c>
      <c r="C600" s="2" t="s">
        <v>141</v>
      </c>
      <c r="D600" s="2" t="s">
        <v>0</v>
      </c>
      <c r="E600" s="2" t="s">
        <v>130</v>
      </c>
      <c r="F600" s="2" t="s">
        <v>1616</v>
      </c>
      <c r="G600" s="2" t="s">
        <v>1617</v>
      </c>
      <c r="H600" s="2" t="s">
        <v>142</v>
      </c>
      <c r="I600" s="2" t="s">
        <v>41</v>
      </c>
      <c r="J600" s="2">
        <v>32</v>
      </c>
      <c r="K600" s="2" t="s">
        <v>132</v>
      </c>
      <c r="L600" s="2" t="s">
        <v>40</v>
      </c>
      <c r="P600" s="2" t="s">
        <v>48</v>
      </c>
      <c r="Q600" s="2">
        <f>INDEX(Tables!$C$4:$C$28,MATCH($P600,Tables!$B$4:$B$28,0))</f>
        <v>32</v>
      </c>
      <c r="R600" s="2">
        <f>INDEX(Tables!$D$4:$D$28,MATCH($P600,Tables!$B$4:$B$28,0))</f>
        <v>4</v>
      </c>
      <c r="S600" s="2">
        <f>$S599+$R599+INDEX(Tables!$N$5:$Q$8,MATCH(MOD($S599+$R599,4),Tables!$M$5:$M$8,0),MATCH($R600,Tables!$N$4:$Q$4,0))</f>
        <v>2216</v>
      </c>
      <c r="T600" s="2" t="str">
        <f t="shared" si="153"/>
        <v>08A8</v>
      </c>
      <c r="U600" s="2">
        <f t="shared" si="159"/>
        <v>554</v>
      </c>
      <c r="V600" s="2" t="str">
        <f t="shared" si="154"/>
        <v>22A</v>
      </c>
      <c r="W600" s="2" t="str">
        <f t="shared" si="155"/>
        <v>X</v>
      </c>
      <c r="X600" s="2" t="str">
        <f t="shared" si="158"/>
        <v>X</v>
      </c>
      <c r="Y600" s="2" t="str">
        <f t="shared" si="156"/>
        <v>X</v>
      </c>
      <c r="Z600" s="2" t="str">
        <f t="shared" si="157"/>
        <v>X</v>
      </c>
      <c r="AA600" s="2" t="str">
        <f t="shared" si="160"/>
        <v>(31 downto 24)</v>
      </c>
      <c r="AB600" s="2" t="str">
        <f t="shared" si="161"/>
        <v>(23 downto 16)</v>
      </c>
      <c r="AC600" s="2" t="str">
        <f t="shared" si="162"/>
        <v>(15 downto 8)</v>
      </c>
      <c r="AD600" s="2" t="str">
        <f t="shared" si="163"/>
        <v>(7 downto 0)</v>
      </c>
      <c r="AE600" s="2" t="str">
        <f t="shared" si="164"/>
        <v>(31 downto 24)</v>
      </c>
      <c r="AF600" s="2" t="str">
        <f t="shared" si="165"/>
        <v>(23 downto 16)</v>
      </c>
      <c r="AG600" s="2" t="str">
        <f t="shared" si="166"/>
        <v>(15 downto 8)</v>
      </c>
      <c r="AH600" s="2" t="str">
        <f t="shared" si="167"/>
        <v>(7 downto 0)</v>
      </c>
    </row>
    <row r="601" spans="2:34" x14ac:dyDescent="0.25">
      <c r="B601" s="2" t="s">
        <v>1618</v>
      </c>
      <c r="C601" s="2" t="s">
        <v>141</v>
      </c>
      <c r="D601" s="2" t="s">
        <v>0</v>
      </c>
      <c r="E601" s="2" t="s">
        <v>130</v>
      </c>
      <c r="F601" s="2" t="s">
        <v>1619</v>
      </c>
      <c r="G601" s="2" t="s">
        <v>1620</v>
      </c>
      <c r="H601" s="2" t="s">
        <v>142</v>
      </c>
      <c r="I601" s="2" t="s">
        <v>41</v>
      </c>
      <c r="J601" s="2">
        <v>32</v>
      </c>
      <c r="K601" s="2" t="s">
        <v>132</v>
      </c>
      <c r="L601" s="2" t="s">
        <v>40</v>
      </c>
      <c r="P601" s="2" t="s">
        <v>48</v>
      </c>
      <c r="Q601" s="2">
        <f>INDEX(Tables!$C$4:$C$28,MATCH($P601,Tables!$B$4:$B$28,0))</f>
        <v>32</v>
      </c>
      <c r="R601" s="2">
        <f>INDEX(Tables!$D$4:$D$28,MATCH($P601,Tables!$B$4:$B$28,0))</f>
        <v>4</v>
      </c>
      <c r="S601" s="2">
        <f>$S600+$R600+INDEX(Tables!$N$5:$Q$8,MATCH(MOD($S600+$R600,4),Tables!$M$5:$M$8,0),MATCH($R601,Tables!$N$4:$Q$4,0))</f>
        <v>2220</v>
      </c>
      <c r="T601" s="2" t="str">
        <f t="shared" si="153"/>
        <v>08AC</v>
      </c>
      <c r="U601" s="2">
        <f t="shared" si="159"/>
        <v>555</v>
      </c>
      <c r="V601" s="2" t="str">
        <f t="shared" si="154"/>
        <v>22B</v>
      </c>
      <c r="W601" s="2" t="str">
        <f t="shared" si="155"/>
        <v>X</v>
      </c>
      <c r="X601" s="2" t="str">
        <f t="shared" si="158"/>
        <v>X</v>
      </c>
      <c r="Y601" s="2" t="str">
        <f t="shared" si="156"/>
        <v>X</v>
      </c>
      <c r="Z601" s="2" t="str">
        <f t="shared" si="157"/>
        <v>X</v>
      </c>
      <c r="AA601" s="2" t="str">
        <f t="shared" si="160"/>
        <v>(31 downto 24)</v>
      </c>
      <c r="AB601" s="2" t="str">
        <f t="shared" si="161"/>
        <v>(23 downto 16)</v>
      </c>
      <c r="AC601" s="2" t="str">
        <f t="shared" si="162"/>
        <v>(15 downto 8)</v>
      </c>
      <c r="AD601" s="2" t="str">
        <f t="shared" si="163"/>
        <v>(7 downto 0)</v>
      </c>
      <c r="AE601" s="2" t="str">
        <f t="shared" si="164"/>
        <v>(31 downto 24)</v>
      </c>
      <c r="AF601" s="2" t="str">
        <f t="shared" si="165"/>
        <v>(23 downto 16)</v>
      </c>
      <c r="AG601" s="2" t="str">
        <f t="shared" si="166"/>
        <v>(15 downto 8)</v>
      </c>
      <c r="AH601" s="2" t="str">
        <f t="shared" si="167"/>
        <v>(7 downto 0)</v>
      </c>
    </row>
    <row r="602" spans="2:34" x14ac:dyDescent="0.25">
      <c r="B602" s="2" t="s">
        <v>1621</v>
      </c>
      <c r="C602" s="2" t="s">
        <v>141</v>
      </c>
      <c r="D602" s="2" t="s">
        <v>0</v>
      </c>
      <c r="E602" s="2" t="s">
        <v>130</v>
      </c>
      <c r="F602" s="2" t="s">
        <v>1622</v>
      </c>
      <c r="G602" s="2" t="s">
        <v>1623</v>
      </c>
      <c r="H602" s="2" t="s">
        <v>142</v>
      </c>
      <c r="I602" s="2" t="s">
        <v>41</v>
      </c>
      <c r="J602" s="2">
        <v>32</v>
      </c>
      <c r="K602" s="2" t="s">
        <v>132</v>
      </c>
      <c r="L602" s="2" t="s">
        <v>40</v>
      </c>
      <c r="P602" s="2" t="s">
        <v>48</v>
      </c>
      <c r="Q602" s="2">
        <f>INDEX(Tables!$C$4:$C$28,MATCH($P602,Tables!$B$4:$B$28,0))</f>
        <v>32</v>
      </c>
      <c r="R602" s="2">
        <f>INDEX(Tables!$D$4:$D$28,MATCH($P602,Tables!$B$4:$B$28,0))</f>
        <v>4</v>
      </c>
      <c r="S602" s="2">
        <f>$S601+$R601+INDEX(Tables!$N$5:$Q$8,MATCH(MOD($S601+$R601,4),Tables!$M$5:$M$8,0),MATCH($R602,Tables!$N$4:$Q$4,0))</f>
        <v>2224</v>
      </c>
      <c r="T602" s="2" t="str">
        <f t="shared" si="153"/>
        <v>08B0</v>
      </c>
      <c r="U602" s="2">
        <f t="shared" si="159"/>
        <v>556</v>
      </c>
      <c r="V602" s="2" t="str">
        <f t="shared" si="154"/>
        <v>22C</v>
      </c>
      <c r="W602" s="2" t="str">
        <f t="shared" si="155"/>
        <v>X</v>
      </c>
      <c r="X602" s="2" t="str">
        <f t="shared" si="158"/>
        <v>X</v>
      </c>
      <c r="Y602" s="2" t="str">
        <f t="shared" si="156"/>
        <v>X</v>
      </c>
      <c r="Z602" s="2" t="str">
        <f t="shared" si="157"/>
        <v>X</v>
      </c>
      <c r="AA602" s="2" t="str">
        <f t="shared" si="160"/>
        <v>(31 downto 24)</v>
      </c>
      <c r="AB602" s="2" t="str">
        <f t="shared" si="161"/>
        <v>(23 downto 16)</v>
      </c>
      <c r="AC602" s="2" t="str">
        <f t="shared" si="162"/>
        <v>(15 downto 8)</v>
      </c>
      <c r="AD602" s="2" t="str">
        <f t="shared" si="163"/>
        <v>(7 downto 0)</v>
      </c>
      <c r="AE602" s="2" t="str">
        <f t="shared" si="164"/>
        <v>(31 downto 24)</v>
      </c>
      <c r="AF602" s="2" t="str">
        <f t="shared" si="165"/>
        <v>(23 downto 16)</v>
      </c>
      <c r="AG602" s="2" t="str">
        <f t="shared" si="166"/>
        <v>(15 downto 8)</v>
      </c>
      <c r="AH602" s="2" t="str">
        <f t="shared" si="167"/>
        <v>(7 downto 0)</v>
      </c>
    </row>
    <row r="603" spans="2:34" x14ac:dyDescent="0.25">
      <c r="B603" s="2" t="s">
        <v>1624</v>
      </c>
      <c r="C603" s="2" t="s">
        <v>141</v>
      </c>
      <c r="D603" s="2" t="s">
        <v>0</v>
      </c>
      <c r="E603" s="2" t="s">
        <v>130</v>
      </c>
      <c r="F603" s="2" t="s">
        <v>1625</v>
      </c>
      <c r="G603" s="2" t="s">
        <v>1626</v>
      </c>
      <c r="H603" s="2" t="s">
        <v>142</v>
      </c>
      <c r="I603" s="2" t="s">
        <v>41</v>
      </c>
      <c r="J603" s="2">
        <v>32</v>
      </c>
      <c r="K603" s="2" t="s">
        <v>132</v>
      </c>
      <c r="L603" s="2" t="s">
        <v>40</v>
      </c>
      <c r="P603" s="2" t="s">
        <v>48</v>
      </c>
      <c r="Q603" s="2">
        <f>INDEX(Tables!$C$4:$C$28,MATCH($P603,Tables!$B$4:$B$28,0))</f>
        <v>32</v>
      </c>
      <c r="R603" s="2">
        <f>INDEX(Tables!$D$4:$D$28,MATCH($P603,Tables!$B$4:$B$28,0))</f>
        <v>4</v>
      </c>
      <c r="S603" s="2">
        <f>$S602+$R602+INDEX(Tables!$N$5:$Q$8,MATCH(MOD($S602+$R602,4),Tables!$M$5:$M$8,0),MATCH($R603,Tables!$N$4:$Q$4,0))</f>
        <v>2228</v>
      </c>
      <c r="T603" s="2" t="str">
        <f t="shared" si="153"/>
        <v>08B4</v>
      </c>
      <c r="U603" s="2">
        <f t="shared" si="159"/>
        <v>557</v>
      </c>
      <c r="V603" s="2" t="str">
        <f t="shared" si="154"/>
        <v>22D</v>
      </c>
      <c r="W603" s="2" t="str">
        <f t="shared" si="155"/>
        <v>X</v>
      </c>
      <c r="X603" s="2" t="str">
        <f t="shared" si="158"/>
        <v>X</v>
      </c>
      <c r="Y603" s="2" t="str">
        <f t="shared" si="156"/>
        <v>X</v>
      </c>
      <c r="Z603" s="2" t="str">
        <f t="shared" si="157"/>
        <v>X</v>
      </c>
      <c r="AA603" s="2" t="str">
        <f t="shared" si="160"/>
        <v>(31 downto 24)</v>
      </c>
      <c r="AB603" s="2" t="str">
        <f t="shared" si="161"/>
        <v>(23 downto 16)</v>
      </c>
      <c r="AC603" s="2" t="str">
        <f t="shared" si="162"/>
        <v>(15 downto 8)</v>
      </c>
      <c r="AD603" s="2" t="str">
        <f t="shared" si="163"/>
        <v>(7 downto 0)</v>
      </c>
      <c r="AE603" s="2" t="str">
        <f t="shared" si="164"/>
        <v>(31 downto 24)</v>
      </c>
      <c r="AF603" s="2" t="str">
        <f t="shared" si="165"/>
        <v>(23 downto 16)</v>
      </c>
      <c r="AG603" s="2" t="str">
        <f t="shared" si="166"/>
        <v>(15 downto 8)</v>
      </c>
      <c r="AH603" s="2" t="str">
        <f t="shared" si="167"/>
        <v>(7 downto 0)</v>
      </c>
    </row>
    <row r="604" spans="2:34" x14ac:dyDescent="0.25">
      <c r="B604" s="2" t="s">
        <v>1627</v>
      </c>
      <c r="C604" s="2" t="s">
        <v>141</v>
      </c>
      <c r="D604" s="2" t="s">
        <v>0</v>
      </c>
      <c r="E604" s="2" t="s">
        <v>130</v>
      </c>
      <c r="F604" s="2" t="s">
        <v>1628</v>
      </c>
      <c r="G604" s="2" t="s">
        <v>1629</v>
      </c>
      <c r="H604" s="2" t="s">
        <v>142</v>
      </c>
      <c r="I604" s="2" t="s">
        <v>41</v>
      </c>
      <c r="J604" s="2">
        <v>32</v>
      </c>
      <c r="K604" s="2" t="s">
        <v>132</v>
      </c>
      <c r="L604" s="2" t="s">
        <v>40</v>
      </c>
      <c r="P604" s="2" t="s">
        <v>48</v>
      </c>
      <c r="Q604" s="2">
        <f>INDEX(Tables!$C$4:$C$28,MATCH($P604,Tables!$B$4:$B$28,0))</f>
        <v>32</v>
      </c>
      <c r="R604" s="2">
        <f>INDEX(Tables!$D$4:$D$28,MATCH($P604,Tables!$B$4:$B$28,0))</f>
        <v>4</v>
      </c>
      <c r="S604" s="2">
        <f>$S603+$R603+INDEX(Tables!$N$5:$Q$8,MATCH(MOD($S603+$R603,4),Tables!$M$5:$M$8,0),MATCH($R604,Tables!$N$4:$Q$4,0))</f>
        <v>2232</v>
      </c>
      <c r="T604" s="2" t="str">
        <f t="shared" si="153"/>
        <v>08B8</v>
      </c>
      <c r="U604" s="2">
        <f t="shared" si="159"/>
        <v>558</v>
      </c>
      <c r="V604" s="2" t="str">
        <f t="shared" si="154"/>
        <v>22E</v>
      </c>
      <c r="W604" s="2" t="str">
        <f t="shared" si="155"/>
        <v>X</v>
      </c>
      <c r="X604" s="2" t="str">
        <f t="shared" si="158"/>
        <v>X</v>
      </c>
      <c r="Y604" s="2" t="str">
        <f t="shared" si="156"/>
        <v>X</v>
      </c>
      <c r="Z604" s="2" t="str">
        <f t="shared" si="157"/>
        <v>X</v>
      </c>
      <c r="AA604" s="2" t="str">
        <f t="shared" si="160"/>
        <v>(31 downto 24)</v>
      </c>
      <c r="AB604" s="2" t="str">
        <f t="shared" si="161"/>
        <v>(23 downto 16)</v>
      </c>
      <c r="AC604" s="2" t="str">
        <f t="shared" si="162"/>
        <v>(15 downto 8)</v>
      </c>
      <c r="AD604" s="2" t="str">
        <f t="shared" si="163"/>
        <v>(7 downto 0)</v>
      </c>
      <c r="AE604" s="2" t="str">
        <f t="shared" si="164"/>
        <v>(31 downto 24)</v>
      </c>
      <c r="AF604" s="2" t="str">
        <f t="shared" si="165"/>
        <v>(23 downto 16)</v>
      </c>
      <c r="AG604" s="2" t="str">
        <f t="shared" si="166"/>
        <v>(15 downto 8)</v>
      </c>
      <c r="AH604" s="2" t="str">
        <f t="shared" si="167"/>
        <v>(7 downto 0)</v>
      </c>
    </row>
    <row r="605" spans="2:34" x14ac:dyDescent="0.25">
      <c r="B605" s="2" t="s">
        <v>1630</v>
      </c>
      <c r="C605" s="2" t="s">
        <v>141</v>
      </c>
      <c r="D605" s="2" t="s">
        <v>0</v>
      </c>
      <c r="E605" s="2" t="s">
        <v>130</v>
      </c>
      <c r="F605" s="2" t="s">
        <v>1631</v>
      </c>
      <c r="G605" s="2" t="s">
        <v>1632</v>
      </c>
      <c r="H605" s="2" t="s">
        <v>142</v>
      </c>
      <c r="I605" s="2" t="s">
        <v>41</v>
      </c>
      <c r="J605" s="2">
        <v>32</v>
      </c>
      <c r="K605" s="2" t="s">
        <v>132</v>
      </c>
      <c r="L605" s="2" t="s">
        <v>40</v>
      </c>
      <c r="P605" s="2" t="s">
        <v>48</v>
      </c>
      <c r="Q605" s="2">
        <f>INDEX(Tables!$C$4:$C$28,MATCH($P605,Tables!$B$4:$B$28,0))</f>
        <v>32</v>
      </c>
      <c r="R605" s="2">
        <f>INDEX(Tables!$D$4:$D$28,MATCH($P605,Tables!$B$4:$B$28,0))</f>
        <v>4</v>
      </c>
      <c r="S605" s="2">
        <f>$S604+$R604+INDEX(Tables!$N$5:$Q$8,MATCH(MOD($S604+$R604,4),Tables!$M$5:$M$8,0),MATCH($R605,Tables!$N$4:$Q$4,0))</f>
        <v>2236</v>
      </c>
      <c r="T605" s="2" t="str">
        <f t="shared" si="153"/>
        <v>08BC</v>
      </c>
      <c r="U605" s="2">
        <f t="shared" si="159"/>
        <v>559</v>
      </c>
      <c r="V605" s="2" t="str">
        <f t="shared" si="154"/>
        <v>22F</v>
      </c>
      <c r="W605" s="2" t="str">
        <f t="shared" si="155"/>
        <v>X</v>
      </c>
      <c r="X605" s="2" t="str">
        <f t="shared" si="158"/>
        <v>X</v>
      </c>
      <c r="Y605" s="2" t="str">
        <f t="shared" si="156"/>
        <v>X</v>
      </c>
      <c r="Z605" s="2" t="str">
        <f t="shared" si="157"/>
        <v>X</v>
      </c>
      <c r="AA605" s="2" t="str">
        <f t="shared" si="160"/>
        <v>(31 downto 24)</v>
      </c>
      <c r="AB605" s="2" t="str">
        <f t="shared" si="161"/>
        <v>(23 downto 16)</v>
      </c>
      <c r="AC605" s="2" t="str">
        <f t="shared" si="162"/>
        <v>(15 downto 8)</v>
      </c>
      <c r="AD605" s="2" t="str">
        <f t="shared" si="163"/>
        <v>(7 downto 0)</v>
      </c>
      <c r="AE605" s="2" t="str">
        <f t="shared" si="164"/>
        <v>(31 downto 24)</v>
      </c>
      <c r="AF605" s="2" t="str">
        <f t="shared" si="165"/>
        <v>(23 downto 16)</v>
      </c>
      <c r="AG605" s="2" t="str">
        <f t="shared" si="166"/>
        <v>(15 downto 8)</v>
      </c>
      <c r="AH605" s="2" t="str">
        <f t="shared" si="167"/>
        <v>(7 downto 0)</v>
      </c>
    </row>
    <row r="606" spans="2:34" x14ac:dyDescent="0.25">
      <c r="B606" s="2" t="s">
        <v>1633</v>
      </c>
      <c r="C606" s="2" t="s">
        <v>141</v>
      </c>
      <c r="D606" s="2" t="s">
        <v>0</v>
      </c>
      <c r="E606" s="2" t="s">
        <v>130</v>
      </c>
      <c r="F606" s="2" t="s">
        <v>1634</v>
      </c>
      <c r="G606" s="2" t="s">
        <v>1635</v>
      </c>
      <c r="H606" s="2" t="s">
        <v>142</v>
      </c>
      <c r="I606" s="2" t="s">
        <v>41</v>
      </c>
      <c r="J606" s="2">
        <v>32</v>
      </c>
      <c r="K606" s="2" t="s">
        <v>132</v>
      </c>
      <c r="L606" s="2" t="s">
        <v>40</v>
      </c>
      <c r="P606" s="2" t="s">
        <v>48</v>
      </c>
      <c r="Q606" s="2">
        <f>INDEX(Tables!$C$4:$C$28,MATCH($P606,Tables!$B$4:$B$28,0))</f>
        <v>32</v>
      </c>
      <c r="R606" s="2">
        <f>INDEX(Tables!$D$4:$D$28,MATCH($P606,Tables!$B$4:$B$28,0))</f>
        <v>4</v>
      </c>
      <c r="S606" s="2">
        <f>$S605+$R605+INDEX(Tables!$N$5:$Q$8,MATCH(MOD($S605+$R605,4),Tables!$M$5:$M$8,0),MATCH($R606,Tables!$N$4:$Q$4,0))</f>
        <v>2240</v>
      </c>
      <c r="T606" s="2" t="str">
        <f t="shared" si="153"/>
        <v>08C0</v>
      </c>
      <c r="U606" s="2">
        <f t="shared" si="159"/>
        <v>560</v>
      </c>
      <c r="V606" s="2" t="str">
        <f t="shared" si="154"/>
        <v>230</v>
      </c>
      <c r="W606" s="2" t="str">
        <f t="shared" si="155"/>
        <v>X</v>
      </c>
      <c r="X606" s="2" t="str">
        <f t="shared" si="158"/>
        <v>X</v>
      </c>
      <c r="Y606" s="2" t="str">
        <f t="shared" si="156"/>
        <v>X</v>
      </c>
      <c r="Z606" s="2" t="str">
        <f t="shared" si="157"/>
        <v>X</v>
      </c>
      <c r="AA606" s="2" t="str">
        <f t="shared" si="160"/>
        <v>(31 downto 24)</v>
      </c>
      <c r="AB606" s="2" t="str">
        <f t="shared" si="161"/>
        <v>(23 downto 16)</v>
      </c>
      <c r="AC606" s="2" t="str">
        <f t="shared" si="162"/>
        <v>(15 downto 8)</v>
      </c>
      <c r="AD606" s="2" t="str">
        <f t="shared" si="163"/>
        <v>(7 downto 0)</v>
      </c>
      <c r="AE606" s="2" t="str">
        <f t="shared" si="164"/>
        <v>(31 downto 24)</v>
      </c>
      <c r="AF606" s="2" t="str">
        <f t="shared" si="165"/>
        <v>(23 downto 16)</v>
      </c>
      <c r="AG606" s="2" t="str">
        <f t="shared" si="166"/>
        <v>(15 downto 8)</v>
      </c>
      <c r="AH606" s="2" t="str">
        <f t="shared" si="167"/>
        <v>(7 downto 0)</v>
      </c>
    </row>
    <row r="607" spans="2:34" x14ac:dyDescent="0.25">
      <c r="B607" s="2" t="s">
        <v>1636</v>
      </c>
      <c r="C607" s="2" t="s">
        <v>141</v>
      </c>
      <c r="D607" s="2" t="s">
        <v>0</v>
      </c>
      <c r="E607" s="2" t="s">
        <v>130</v>
      </c>
      <c r="F607" s="2" t="s">
        <v>1637</v>
      </c>
      <c r="G607" s="2" t="s">
        <v>1638</v>
      </c>
      <c r="H607" s="2" t="s">
        <v>142</v>
      </c>
      <c r="I607" s="2" t="s">
        <v>41</v>
      </c>
      <c r="J607" s="2">
        <v>32</v>
      </c>
      <c r="K607" s="2" t="s">
        <v>132</v>
      </c>
      <c r="L607" s="2" t="s">
        <v>40</v>
      </c>
      <c r="P607" s="2" t="s">
        <v>48</v>
      </c>
      <c r="Q607" s="2">
        <f>INDEX(Tables!$C$4:$C$28,MATCH($P607,Tables!$B$4:$B$28,0))</f>
        <v>32</v>
      </c>
      <c r="R607" s="2">
        <f>INDEX(Tables!$D$4:$D$28,MATCH($P607,Tables!$B$4:$B$28,0))</f>
        <v>4</v>
      </c>
      <c r="S607" s="2">
        <f>$S606+$R606+INDEX(Tables!$N$5:$Q$8,MATCH(MOD($S606+$R606,4),Tables!$M$5:$M$8,0),MATCH($R607,Tables!$N$4:$Q$4,0))</f>
        <v>2244</v>
      </c>
      <c r="T607" s="2" t="str">
        <f t="shared" si="153"/>
        <v>08C4</v>
      </c>
      <c r="U607" s="2">
        <f t="shared" si="159"/>
        <v>561</v>
      </c>
      <c r="V607" s="2" t="str">
        <f t="shared" si="154"/>
        <v>231</v>
      </c>
      <c r="W607" s="2" t="str">
        <f t="shared" si="155"/>
        <v>X</v>
      </c>
      <c r="X607" s="2" t="str">
        <f t="shared" si="158"/>
        <v>X</v>
      </c>
      <c r="Y607" s="2" t="str">
        <f t="shared" si="156"/>
        <v>X</v>
      </c>
      <c r="Z607" s="2" t="str">
        <f t="shared" si="157"/>
        <v>X</v>
      </c>
      <c r="AA607" s="2" t="str">
        <f t="shared" si="160"/>
        <v>(31 downto 24)</v>
      </c>
      <c r="AB607" s="2" t="str">
        <f t="shared" si="161"/>
        <v>(23 downto 16)</v>
      </c>
      <c r="AC607" s="2" t="str">
        <f t="shared" si="162"/>
        <v>(15 downto 8)</v>
      </c>
      <c r="AD607" s="2" t="str">
        <f t="shared" si="163"/>
        <v>(7 downto 0)</v>
      </c>
      <c r="AE607" s="2" t="str">
        <f t="shared" si="164"/>
        <v>(31 downto 24)</v>
      </c>
      <c r="AF607" s="2" t="str">
        <f t="shared" si="165"/>
        <v>(23 downto 16)</v>
      </c>
      <c r="AG607" s="2" t="str">
        <f t="shared" si="166"/>
        <v>(15 downto 8)</v>
      </c>
      <c r="AH607" s="2" t="str">
        <f t="shared" si="167"/>
        <v>(7 downto 0)</v>
      </c>
    </row>
    <row r="608" spans="2:34" x14ac:dyDescent="0.25">
      <c r="B608" s="2" t="s">
        <v>1639</v>
      </c>
      <c r="C608" s="2" t="s">
        <v>141</v>
      </c>
      <c r="D608" s="2" t="s">
        <v>0</v>
      </c>
      <c r="E608" s="2" t="s">
        <v>130</v>
      </c>
      <c r="F608" s="2" t="s">
        <v>1640</v>
      </c>
      <c r="G608" s="2" t="s">
        <v>1641</v>
      </c>
      <c r="H608" s="2" t="s">
        <v>142</v>
      </c>
      <c r="I608" s="2" t="s">
        <v>41</v>
      </c>
      <c r="J608" s="2">
        <v>32</v>
      </c>
      <c r="K608" s="2" t="s">
        <v>132</v>
      </c>
      <c r="L608" s="2" t="s">
        <v>40</v>
      </c>
      <c r="P608" s="2" t="s">
        <v>48</v>
      </c>
      <c r="Q608" s="2">
        <f>INDEX(Tables!$C$4:$C$28,MATCH($P608,Tables!$B$4:$B$28,0))</f>
        <v>32</v>
      </c>
      <c r="R608" s="2">
        <f>INDEX(Tables!$D$4:$D$28,MATCH($P608,Tables!$B$4:$B$28,0))</f>
        <v>4</v>
      </c>
      <c r="S608" s="2">
        <f>$S607+$R607+INDEX(Tables!$N$5:$Q$8,MATCH(MOD($S607+$R607,4),Tables!$M$5:$M$8,0),MATCH($R608,Tables!$N$4:$Q$4,0))</f>
        <v>2248</v>
      </c>
      <c r="T608" s="2" t="str">
        <f t="shared" si="153"/>
        <v>08C8</v>
      </c>
      <c r="U608" s="2">
        <f t="shared" si="159"/>
        <v>562</v>
      </c>
      <c r="V608" s="2" t="str">
        <f t="shared" si="154"/>
        <v>232</v>
      </c>
      <c r="W608" s="2" t="str">
        <f t="shared" si="155"/>
        <v>X</v>
      </c>
      <c r="X608" s="2" t="str">
        <f t="shared" si="158"/>
        <v>X</v>
      </c>
      <c r="Y608" s="2" t="str">
        <f t="shared" si="156"/>
        <v>X</v>
      </c>
      <c r="Z608" s="2" t="str">
        <f t="shared" si="157"/>
        <v>X</v>
      </c>
      <c r="AA608" s="2" t="str">
        <f t="shared" si="160"/>
        <v>(31 downto 24)</v>
      </c>
      <c r="AB608" s="2" t="str">
        <f t="shared" si="161"/>
        <v>(23 downto 16)</v>
      </c>
      <c r="AC608" s="2" t="str">
        <f t="shared" si="162"/>
        <v>(15 downto 8)</v>
      </c>
      <c r="AD608" s="2" t="str">
        <f t="shared" si="163"/>
        <v>(7 downto 0)</v>
      </c>
      <c r="AE608" s="2" t="str">
        <f t="shared" si="164"/>
        <v>(31 downto 24)</v>
      </c>
      <c r="AF608" s="2" t="str">
        <f t="shared" si="165"/>
        <v>(23 downto 16)</v>
      </c>
      <c r="AG608" s="2" t="str">
        <f t="shared" si="166"/>
        <v>(15 downto 8)</v>
      </c>
      <c r="AH608" s="2" t="str">
        <f t="shared" si="167"/>
        <v>(7 downto 0)</v>
      </c>
    </row>
    <row r="609" spans="2:34" x14ac:dyDescent="0.25">
      <c r="B609" s="2" t="s">
        <v>1642</v>
      </c>
      <c r="C609" s="2" t="s">
        <v>141</v>
      </c>
      <c r="D609" s="2" t="s">
        <v>0</v>
      </c>
      <c r="E609" s="2" t="s">
        <v>130</v>
      </c>
      <c r="F609" s="2" t="s">
        <v>1643</v>
      </c>
      <c r="G609" s="2" t="s">
        <v>1644</v>
      </c>
      <c r="H609" s="2" t="s">
        <v>142</v>
      </c>
      <c r="I609" s="2" t="s">
        <v>41</v>
      </c>
      <c r="J609" s="2">
        <v>32</v>
      </c>
      <c r="K609" s="2" t="s">
        <v>132</v>
      </c>
      <c r="L609" s="2" t="s">
        <v>40</v>
      </c>
      <c r="P609" s="2" t="s">
        <v>48</v>
      </c>
      <c r="Q609" s="2">
        <f>INDEX(Tables!$C$4:$C$28,MATCH($P609,Tables!$B$4:$B$28,0))</f>
        <v>32</v>
      </c>
      <c r="R609" s="2">
        <f>INDEX(Tables!$D$4:$D$28,MATCH($P609,Tables!$B$4:$B$28,0))</f>
        <v>4</v>
      </c>
      <c r="S609" s="2">
        <f>$S608+$R608+INDEX(Tables!$N$5:$Q$8,MATCH(MOD($S608+$R608,4),Tables!$M$5:$M$8,0),MATCH($R609,Tables!$N$4:$Q$4,0))</f>
        <v>2252</v>
      </c>
      <c r="T609" s="2" t="str">
        <f t="shared" si="153"/>
        <v>08CC</v>
      </c>
      <c r="U609" s="2">
        <f t="shared" si="159"/>
        <v>563</v>
      </c>
      <c r="V609" s="2" t="str">
        <f t="shared" si="154"/>
        <v>233</v>
      </c>
      <c r="W609" s="2" t="str">
        <f t="shared" si="155"/>
        <v>X</v>
      </c>
      <c r="X609" s="2" t="str">
        <f t="shared" si="158"/>
        <v>X</v>
      </c>
      <c r="Y609" s="2" t="str">
        <f t="shared" si="156"/>
        <v>X</v>
      </c>
      <c r="Z609" s="2" t="str">
        <f t="shared" si="157"/>
        <v>X</v>
      </c>
      <c r="AA609" s="2" t="str">
        <f t="shared" si="160"/>
        <v>(31 downto 24)</v>
      </c>
      <c r="AB609" s="2" t="str">
        <f t="shared" si="161"/>
        <v>(23 downto 16)</v>
      </c>
      <c r="AC609" s="2" t="str">
        <f t="shared" si="162"/>
        <v>(15 downto 8)</v>
      </c>
      <c r="AD609" s="2" t="str">
        <f t="shared" si="163"/>
        <v>(7 downto 0)</v>
      </c>
      <c r="AE609" s="2" t="str">
        <f t="shared" si="164"/>
        <v>(31 downto 24)</v>
      </c>
      <c r="AF609" s="2" t="str">
        <f t="shared" si="165"/>
        <v>(23 downto 16)</v>
      </c>
      <c r="AG609" s="2" t="str">
        <f t="shared" si="166"/>
        <v>(15 downto 8)</v>
      </c>
      <c r="AH609" s="2" t="str">
        <f t="shared" si="167"/>
        <v>(7 downto 0)</v>
      </c>
    </row>
    <row r="610" spans="2:34" x14ac:dyDescent="0.25">
      <c r="B610" s="2" t="s">
        <v>1645</v>
      </c>
      <c r="C610" s="2" t="s">
        <v>141</v>
      </c>
      <c r="D610" s="2" t="s">
        <v>0</v>
      </c>
      <c r="E610" s="2" t="s">
        <v>130</v>
      </c>
      <c r="F610" s="2" t="s">
        <v>1646</v>
      </c>
      <c r="G610" s="2" t="s">
        <v>1647</v>
      </c>
      <c r="H610" s="2" t="s">
        <v>142</v>
      </c>
      <c r="I610" s="2" t="s">
        <v>41</v>
      </c>
      <c r="J610" s="2">
        <v>32</v>
      </c>
      <c r="K610" s="2" t="s">
        <v>132</v>
      </c>
      <c r="L610" s="2" t="s">
        <v>40</v>
      </c>
      <c r="P610" s="2" t="s">
        <v>48</v>
      </c>
      <c r="Q610" s="2">
        <f>INDEX(Tables!$C$4:$C$28,MATCH($P610,Tables!$B$4:$B$28,0))</f>
        <v>32</v>
      </c>
      <c r="R610" s="2">
        <f>INDEX(Tables!$D$4:$D$28,MATCH($P610,Tables!$B$4:$B$28,0))</f>
        <v>4</v>
      </c>
      <c r="S610" s="2">
        <f>$S609+$R609+INDEX(Tables!$N$5:$Q$8,MATCH(MOD($S609+$R609,4),Tables!$M$5:$M$8,0),MATCH($R610,Tables!$N$4:$Q$4,0))</f>
        <v>2256</v>
      </c>
      <c r="T610" s="2" t="str">
        <f t="shared" si="153"/>
        <v>08D0</v>
      </c>
      <c r="U610" s="2">
        <f t="shared" si="159"/>
        <v>564</v>
      </c>
      <c r="V610" s="2" t="str">
        <f t="shared" si="154"/>
        <v>234</v>
      </c>
      <c r="W610" s="2" t="str">
        <f t="shared" si="155"/>
        <v>X</v>
      </c>
      <c r="X610" s="2" t="str">
        <f t="shared" si="158"/>
        <v>X</v>
      </c>
      <c r="Y610" s="2" t="str">
        <f t="shared" si="156"/>
        <v>X</v>
      </c>
      <c r="Z610" s="2" t="str">
        <f t="shared" si="157"/>
        <v>X</v>
      </c>
      <c r="AA610" s="2" t="str">
        <f t="shared" si="160"/>
        <v>(31 downto 24)</v>
      </c>
      <c r="AB610" s="2" t="str">
        <f t="shared" si="161"/>
        <v>(23 downto 16)</v>
      </c>
      <c r="AC610" s="2" t="str">
        <f t="shared" si="162"/>
        <v>(15 downto 8)</v>
      </c>
      <c r="AD610" s="2" t="str">
        <f t="shared" si="163"/>
        <v>(7 downto 0)</v>
      </c>
      <c r="AE610" s="2" t="str">
        <f t="shared" si="164"/>
        <v>(31 downto 24)</v>
      </c>
      <c r="AF610" s="2" t="str">
        <f t="shared" si="165"/>
        <v>(23 downto 16)</v>
      </c>
      <c r="AG610" s="2" t="str">
        <f t="shared" si="166"/>
        <v>(15 downto 8)</v>
      </c>
      <c r="AH610" s="2" t="str">
        <f t="shared" si="167"/>
        <v>(7 downto 0)</v>
      </c>
    </row>
    <row r="611" spans="2:34" x14ac:dyDescent="0.25">
      <c r="B611" s="2" t="s">
        <v>1648</v>
      </c>
      <c r="C611" s="2" t="s">
        <v>141</v>
      </c>
      <c r="D611" s="2" t="s">
        <v>0</v>
      </c>
      <c r="E611" s="2" t="s">
        <v>130</v>
      </c>
      <c r="F611" s="2" t="s">
        <v>1649</v>
      </c>
      <c r="G611" s="2" t="s">
        <v>1650</v>
      </c>
      <c r="H611" s="2" t="s">
        <v>142</v>
      </c>
      <c r="I611" s="2" t="s">
        <v>41</v>
      </c>
      <c r="J611" s="2">
        <v>32</v>
      </c>
      <c r="K611" s="2" t="s">
        <v>132</v>
      </c>
      <c r="L611" s="2" t="s">
        <v>40</v>
      </c>
      <c r="P611" s="2" t="s">
        <v>48</v>
      </c>
      <c r="Q611" s="2">
        <f>INDEX(Tables!$C$4:$C$28,MATCH($P611,Tables!$B$4:$B$28,0))</f>
        <v>32</v>
      </c>
      <c r="R611" s="2">
        <f>INDEX(Tables!$D$4:$D$28,MATCH($P611,Tables!$B$4:$B$28,0))</f>
        <v>4</v>
      </c>
      <c r="S611" s="2">
        <f>$S610+$R610+INDEX(Tables!$N$5:$Q$8,MATCH(MOD($S610+$R610,4),Tables!$M$5:$M$8,0),MATCH($R611,Tables!$N$4:$Q$4,0))</f>
        <v>2260</v>
      </c>
      <c r="T611" s="2" t="str">
        <f t="shared" si="153"/>
        <v>08D4</v>
      </c>
      <c r="U611" s="2">
        <f t="shared" si="159"/>
        <v>565</v>
      </c>
      <c r="V611" s="2" t="str">
        <f t="shared" si="154"/>
        <v>235</v>
      </c>
      <c r="W611" s="2" t="str">
        <f t="shared" si="155"/>
        <v>X</v>
      </c>
      <c r="X611" s="2" t="str">
        <f t="shared" si="158"/>
        <v>X</v>
      </c>
      <c r="Y611" s="2" t="str">
        <f t="shared" si="156"/>
        <v>X</v>
      </c>
      <c r="Z611" s="2" t="str">
        <f t="shared" si="157"/>
        <v>X</v>
      </c>
      <c r="AA611" s="2" t="str">
        <f t="shared" si="160"/>
        <v>(31 downto 24)</v>
      </c>
      <c r="AB611" s="2" t="str">
        <f t="shared" si="161"/>
        <v>(23 downto 16)</v>
      </c>
      <c r="AC611" s="2" t="str">
        <f t="shared" si="162"/>
        <v>(15 downto 8)</v>
      </c>
      <c r="AD611" s="2" t="str">
        <f t="shared" si="163"/>
        <v>(7 downto 0)</v>
      </c>
      <c r="AE611" s="2" t="str">
        <f t="shared" si="164"/>
        <v>(31 downto 24)</v>
      </c>
      <c r="AF611" s="2" t="str">
        <f t="shared" si="165"/>
        <v>(23 downto 16)</v>
      </c>
      <c r="AG611" s="2" t="str">
        <f t="shared" si="166"/>
        <v>(15 downto 8)</v>
      </c>
      <c r="AH611" s="2" t="str">
        <f t="shared" si="167"/>
        <v>(7 downto 0)</v>
      </c>
    </row>
    <row r="612" spans="2:34" x14ac:dyDescent="0.25">
      <c r="B612" s="2" t="s">
        <v>1651</v>
      </c>
      <c r="C612" s="2" t="s">
        <v>141</v>
      </c>
      <c r="D612" s="2" t="s">
        <v>0</v>
      </c>
      <c r="E612" s="2" t="s">
        <v>130</v>
      </c>
      <c r="F612" s="2" t="s">
        <v>1652</v>
      </c>
      <c r="G612" s="2" t="s">
        <v>1653</v>
      </c>
      <c r="H612" s="2" t="s">
        <v>142</v>
      </c>
      <c r="I612" s="2" t="s">
        <v>41</v>
      </c>
      <c r="J612" s="2">
        <v>32</v>
      </c>
      <c r="K612" s="2" t="s">
        <v>132</v>
      </c>
      <c r="L612" s="2" t="s">
        <v>40</v>
      </c>
      <c r="P612" s="2" t="s">
        <v>48</v>
      </c>
      <c r="Q612" s="2">
        <f>INDEX(Tables!$C$4:$C$28,MATCH($P612,Tables!$B$4:$B$28,0))</f>
        <v>32</v>
      </c>
      <c r="R612" s="2">
        <f>INDEX(Tables!$D$4:$D$28,MATCH($P612,Tables!$B$4:$B$28,0))</f>
        <v>4</v>
      </c>
      <c r="S612" s="2">
        <f>$S611+$R611+INDEX(Tables!$N$5:$Q$8,MATCH(MOD($S611+$R611,4),Tables!$M$5:$M$8,0),MATCH($R612,Tables!$N$4:$Q$4,0))</f>
        <v>2264</v>
      </c>
      <c r="T612" s="2" t="str">
        <f t="shared" si="153"/>
        <v>08D8</v>
      </c>
      <c r="U612" s="2">
        <f t="shared" si="159"/>
        <v>566</v>
      </c>
      <c r="V612" s="2" t="str">
        <f t="shared" si="154"/>
        <v>236</v>
      </c>
      <c r="W612" s="2" t="str">
        <f t="shared" si="155"/>
        <v>X</v>
      </c>
      <c r="X612" s="2" t="str">
        <f t="shared" si="158"/>
        <v>X</v>
      </c>
      <c r="Y612" s="2" t="str">
        <f t="shared" si="156"/>
        <v>X</v>
      </c>
      <c r="Z612" s="2" t="str">
        <f t="shared" si="157"/>
        <v>X</v>
      </c>
      <c r="AA612" s="2" t="str">
        <f t="shared" si="160"/>
        <v>(31 downto 24)</v>
      </c>
      <c r="AB612" s="2" t="str">
        <f t="shared" si="161"/>
        <v>(23 downto 16)</v>
      </c>
      <c r="AC612" s="2" t="str">
        <f t="shared" si="162"/>
        <v>(15 downto 8)</v>
      </c>
      <c r="AD612" s="2" t="str">
        <f t="shared" si="163"/>
        <v>(7 downto 0)</v>
      </c>
      <c r="AE612" s="2" t="str">
        <f t="shared" si="164"/>
        <v>(31 downto 24)</v>
      </c>
      <c r="AF612" s="2" t="str">
        <f t="shared" si="165"/>
        <v>(23 downto 16)</v>
      </c>
      <c r="AG612" s="2" t="str">
        <f t="shared" si="166"/>
        <v>(15 downto 8)</v>
      </c>
      <c r="AH612" s="2" t="str">
        <f t="shared" si="167"/>
        <v>(7 downto 0)</v>
      </c>
    </row>
    <row r="613" spans="2:34" x14ac:dyDescent="0.25">
      <c r="B613" s="2" t="s">
        <v>1654</v>
      </c>
      <c r="C613" s="2" t="s">
        <v>141</v>
      </c>
      <c r="D613" s="2" t="s">
        <v>0</v>
      </c>
      <c r="E613" s="2" t="s">
        <v>130</v>
      </c>
      <c r="F613" s="2" t="s">
        <v>1655</v>
      </c>
      <c r="G613" s="2" t="s">
        <v>1656</v>
      </c>
      <c r="H613" s="2" t="s">
        <v>142</v>
      </c>
      <c r="I613" s="2" t="s">
        <v>41</v>
      </c>
      <c r="J613" s="2">
        <v>32</v>
      </c>
      <c r="K613" s="2" t="s">
        <v>132</v>
      </c>
      <c r="L613" s="2" t="s">
        <v>40</v>
      </c>
      <c r="P613" s="2" t="s">
        <v>48</v>
      </c>
      <c r="Q613" s="2">
        <f>INDEX(Tables!$C$4:$C$28,MATCH($P613,Tables!$B$4:$B$28,0))</f>
        <v>32</v>
      </c>
      <c r="R613" s="2">
        <f>INDEX(Tables!$D$4:$D$28,MATCH($P613,Tables!$B$4:$B$28,0))</f>
        <v>4</v>
      </c>
      <c r="S613" s="2">
        <f>$S612+$R612+INDEX(Tables!$N$5:$Q$8,MATCH(MOD($S612+$R612,4),Tables!$M$5:$M$8,0),MATCH($R613,Tables!$N$4:$Q$4,0))</f>
        <v>2268</v>
      </c>
      <c r="T613" s="2" t="str">
        <f t="shared" si="153"/>
        <v>08DC</v>
      </c>
      <c r="U613" s="2">
        <f t="shared" si="159"/>
        <v>567</v>
      </c>
      <c r="V613" s="2" t="str">
        <f t="shared" si="154"/>
        <v>237</v>
      </c>
      <c r="W613" s="2" t="str">
        <f t="shared" si="155"/>
        <v>X</v>
      </c>
      <c r="X613" s="2" t="str">
        <f t="shared" si="158"/>
        <v>X</v>
      </c>
      <c r="Y613" s="2" t="str">
        <f t="shared" si="156"/>
        <v>X</v>
      </c>
      <c r="Z613" s="2" t="str">
        <f t="shared" si="157"/>
        <v>X</v>
      </c>
      <c r="AA613" s="2" t="str">
        <f t="shared" si="160"/>
        <v>(31 downto 24)</v>
      </c>
      <c r="AB613" s="2" t="str">
        <f t="shared" si="161"/>
        <v>(23 downto 16)</v>
      </c>
      <c r="AC613" s="2" t="str">
        <f t="shared" si="162"/>
        <v>(15 downto 8)</v>
      </c>
      <c r="AD613" s="2" t="str">
        <f t="shared" si="163"/>
        <v>(7 downto 0)</v>
      </c>
      <c r="AE613" s="2" t="str">
        <f t="shared" si="164"/>
        <v>(31 downto 24)</v>
      </c>
      <c r="AF613" s="2" t="str">
        <f t="shared" si="165"/>
        <v>(23 downto 16)</v>
      </c>
      <c r="AG613" s="2" t="str">
        <f t="shared" si="166"/>
        <v>(15 downto 8)</v>
      </c>
      <c r="AH613" s="2" t="str">
        <f t="shared" si="167"/>
        <v>(7 downto 0)</v>
      </c>
    </row>
    <row r="614" spans="2:34" x14ac:dyDescent="0.25">
      <c r="B614" s="2" t="s">
        <v>1657</v>
      </c>
      <c r="C614" s="2" t="s">
        <v>141</v>
      </c>
      <c r="D614" s="2" t="s">
        <v>0</v>
      </c>
      <c r="E614" s="2" t="s">
        <v>130</v>
      </c>
      <c r="F614" s="2" t="s">
        <v>1658</v>
      </c>
      <c r="G614" s="2" t="s">
        <v>1659</v>
      </c>
      <c r="H614" s="2" t="s">
        <v>142</v>
      </c>
      <c r="I614" s="2" t="s">
        <v>41</v>
      </c>
      <c r="J614" s="2">
        <v>32</v>
      </c>
      <c r="K614" s="2" t="s">
        <v>132</v>
      </c>
      <c r="L614" s="2" t="s">
        <v>40</v>
      </c>
      <c r="P614" s="2" t="s">
        <v>48</v>
      </c>
      <c r="Q614" s="2">
        <f>INDEX(Tables!$C$4:$C$28,MATCH($P614,Tables!$B$4:$B$28,0))</f>
        <v>32</v>
      </c>
      <c r="R614" s="2">
        <f>INDEX(Tables!$D$4:$D$28,MATCH($P614,Tables!$B$4:$B$28,0))</f>
        <v>4</v>
      </c>
      <c r="S614" s="2">
        <f>$S613+$R613+INDEX(Tables!$N$5:$Q$8,MATCH(MOD($S613+$R613,4),Tables!$M$5:$M$8,0),MATCH($R614,Tables!$N$4:$Q$4,0))</f>
        <v>2272</v>
      </c>
      <c r="T614" s="2" t="str">
        <f t="shared" si="153"/>
        <v>08E0</v>
      </c>
      <c r="U614" s="2">
        <f t="shared" si="159"/>
        <v>568</v>
      </c>
      <c r="V614" s="2" t="str">
        <f t="shared" si="154"/>
        <v>238</v>
      </c>
      <c r="W614" s="2" t="str">
        <f t="shared" si="155"/>
        <v>X</v>
      </c>
      <c r="X614" s="2" t="str">
        <f t="shared" si="158"/>
        <v>X</v>
      </c>
      <c r="Y614" s="2" t="str">
        <f t="shared" si="156"/>
        <v>X</v>
      </c>
      <c r="Z614" s="2" t="str">
        <f t="shared" si="157"/>
        <v>X</v>
      </c>
      <c r="AA614" s="2" t="str">
        <f t="shared" si="160"/>
        <v>(31 downto 24)</v>
      </c>
      <c r="AB614" s="2" t="str">
        <f t="shared" si="161"/>
        <v>(23 downto 16)</v>
      </c>
      <c r="AC614" s="2" t="str">
        <f t="shared" si="162"/>
        <v>(15 downto 8)</v>
      </c>
      <c r="AD614" s="2" t="str">
        <f t="shared" si="163"/>
        <v>(7 downto 0)</v>
      </c>
      <c r="AE614" s="2" t="str">
        <f t="shared" si="164"/>
        <v>(31 downto 24)</v>
      </c>
      <c r="AF614" s="2" t="str">
        <f t="shared" si="165"/>
        <v>(23 downto 16)</v>
      </c>
      <c r="AG614" s="2" t="str">
        <f t="shared" si="166"/>
        <v>(15 downto 8)</v>
      </c>
      <c r="AH614" s="2" t="str">
        <f t="shared" si="167"/>
        <v>(7 downto 0)</v>
      </c>
    </row>
    <row r="615" spans="2:34" x14ac:dyDescent="0.25">
      <c r="B615" s="2" t="s">
        <v>1660</v>
      </c>
      <c r="C615" s="2" t="s">
        <v>141</v>
      </c>
      <c r="D615" s="2" t="s">
        <v>0</v>
      </c>
      <c r="E615" s="2" t="s">
        <v>130</v>
      </c>
      <c r="F615" s="2" t="s">
        <v>1661</v>
      </c>
      <c r="G615" s="2" t="s">
        <v>1662</v>
      </c>
      <c r="H615" s="2" t="s">
        <v>142</v>
      </c>
      <c r="I615" s="2" t="s">
        <v>41</v>
      </c>
      <c r="J615" s="2">
        <v>32</v>
      </c>
      <c r="K615" s="2" t="s">
        <v>132</v>
      </c>
      <c r="L615" s="2" t="s">
        <v>40</v>
      </c>
      <c r="P615" s="2" t="s">
        <v>48</v>
      </c>
      <c r="Q615" s="2">
        <f>INDEX(Tables!$C$4:$C$28,MATCH($P615,Tables!$B$4:$B$28,0))</f>
        <v>32</v>
      </c>
      <c r="R615" s="2">
        <f>INDEX(Tables!$D$4:$D$28,MATCH($P615,Tables!$B$4:$B$28,0))</f>
        <v>4</v>
      </c>
      <c r="S615" s="2">
        <f>$S614+$R614+INDEX(Tables!$N$5:$Q$8,MATCH(MOD($S614+$R614,4),Tables!$M$5:$M$8,0),MATCH($R615,Tables!$N$4:$Q$4,0))</f>
        <v>2276</v>
      </c>
      <c r="T615" s="2" t="str">
        <f t="shared" si="153"/>
        <v>08E4</v>
      </c>
      <c r="U615" s="2">
        <f t="shared" si="159"/>
        <v>569</v>
      </c>
      <c r="V615" s="2" t="str">
        <f t="shared" si="154"/>
        <v>239</v>
      </c>
      <c r="W615" s="2" t="str">
        <f t="shared" si="155"/>
        <v>X</v>
      </c>
      <c r="X615" s="2" t="str">
        <f t="shared" si="158"/>
        <v>X</v>
      </c>
      <c r="Y615" s="2" t="str">
        <f t="shared" si="156"/>
        <v>X</v>
      </c>
      <c r="Z615" s="2" t="str">
        <f t="shared" si="157"/>
        <v>X</v>
      </c>
      <c r="AA615" s="2" t="str">
        <f t="shared" si="160"/>
        <v>(31 downto 24)</v>
      </c>
      <c r="AB615" s="2" t="str">
        <f t="shared" si="161"/>
        <v>(23 downto 16)</v>
      </c>
      <c r="AC615" s="2" t="str">
        <f t="shared" si="162"/>
        <v>(15 downto 8)</v>
      </c>
      <c r="AD615" s="2" t="str">
        <f t="shared" si="163"/>
        <v>(7 downto 0)</v>
      </c>
      <c r="AE615" s="2" t="str">
        <f t="shared" si="164"/>
        <v>(31 downto 24)</v>
      </c>
      <c r="AF615" s="2" t="str">
        <f t="shared" si="165"/>
        <v>(23 downto 16)</v>
      </c>
      <c r="AG615" s="2" t="str">
        <f t="shared" si="166"/>
        <v>(15 downto 8)</v>
      </c>
      <c r="AH615" s="2" t="str">
        <f t="shared" si="167"/>
        <v>(7 downto 0)</v>
      </c>
    </row>
    <row r="616" spans="2:34" x14ac:dyDescent="0.25">
      <c r="B616" s="2" t="s">
        <v>1663</v>
      </c>
      <c r="C616" s="2" t="s">
        <v>141</v>
      </c>
      <c r="D616" s="2" t="s">
        <v>0</v>
      </c>
      <c r="E616" s="2" t="s">
        <v>130</v>
      </c>
      <c r="F616" s="2" t="s">
        <v>1664</v>
      </c>
      <c r="G616" s="2" t="s">
        <v>1665</v>
      </c>
      <c r="H616" s="2" t="s">
        <v>142</v>
      </c>
      <c r="I616" s="2" t="s">
        <v>41</v>
      </c>
      <c r="J616" s="2">
        <v>32</v>
      </c>
      <c r="K616" s="2" t="s">
        <v>132</v>
      </c>
      <c r="L616" s="2" t="s">
        <v>40</v>
      </c>
      <c r="P616" s="2" t="s">
        <v>48</v>
      </c>
      <c r="Q616" s="2">
        <f>INDEX(Tables!$C$4:$C$28,MATCH($P616,Tables!$B$4:$B$28,0))</f>
        <v>32</v>
      </c>
      <c r="R616" s="2">
        <f>INDEX(Tables!$D$4:$D$28,MATCH($P616,Tables!$B$4:$B$28,0))</f>
        <v>4</v>
      </c>
      <c r="S616" s="2">
        <f>$S615+$R615+INDEX(Tables!$N$5:$Q$8,MATCH(MOD($S615+$R615,4),Tables!$M$5:$M$8,0),MATCH($R616,Tables!$N$4:$Q$4,0))</f>
        <v>2280</v>
      </c>
      <c r="T616" s="2" t="str">
        <f t="shared" si="153"/>
        <v>08E8</v>
      </c>
      <c r="U616" s="2">
        <f t="shared" si="159"/>
        <v>570</v>
      </c>
      <c r="V616" s="2" t="str">
        <f t="shared" si="154"/>
        <v>23A</v>
      </c>
      <c r="W616" s="2" t="str">
        <f t="shared" si="155"/>
        <v>X</v>
      </c>
      <c r="X616" s="2" t="str">
        <f t="shared" si="158"/>
        <v>X</v>
      </c>
      <c r="Y616" s="2" t="str">
        <f t="shared" si="156"/>
        <v>X</v>
      </c>
      <c r="Z616" s="2" t="str">
        <f t="shared" si="157"/>
        <v>X</v>
      </c>
      <c r="AA616" s="2" t="str">
        <f t="shared" si="160"/>
        <v>(31 downto 24)</v>
      </c>
      <c r="AB616" s="2" t="str">
        <f t="shared" si="161"/>
        <v>(23 downto 16)</v>
      </c>
      <c r="AC616" s="2" t="str">
        <f t="shared" si="162"/>
        <v>(15 downto 8)</v>
      </c>
      <c r="AD616" s="2" t="str">
        <f t="shared" si="163"/>
        <v>(7 downto 0)</v>
      </c>
      <c r="AE616" s="2" t="str">
        <f t="shared" si="164"/>
        <v>(31 downto 24)</v>
      </c>
      <c r="AF616" s="2" t="str">
        <f t="shared" si="165"/>
        <v>(23 downto 16)</v>
      </c>
      <c r="AG616" s="2" t="str">
        <f t="shared" si="166"/>
        <v>(15 downto 8)</v>
      </c>
      <c r="AH616" s="2" t="str">
        <f t="shared" si="167"/>
        <v>(7 downto 0)</v>
      </c>
    </row>
    <row r="617" spans="2:34" x14ac:dyDescent="0.25">
      <c r="B617" s="2" t="s">
        <v>1666</v>
      </c>
      <c r="C617" s="2" t="s">
        <v>141</v>
      </c>
      <c r="D617" s="2" t="s">
        <v>0</v>
      </c>
      <c r="E617" s="2" t="s">
        <v>130</v>
      </c>
      <c r="F617" s="2" t="s">
        <v>1667</v>
      </c>
      <c r="G617" s="2" t="s">
        <v>1668</v>
      </c>
      <c r="H617" s="2" t="s">
        <v>142</v>
      </c>
      <c r="I617" s="2" t="s">
        <v>41</v>
      </c>
      <c r="J617" s="2">
        <v>32</v>
      </c>
      <c r="K617" s="2" t="s">
        <v>132</v>
      </c>
      <c r="L617" s="2" t="s">
        <v>40</v>
      </c>
      <c r="P617" s="2" t="s">
        <v>48</v>
      </c>
      <c r="Q617" s="2">
        <f>INDEX(Tables!$C$4:$C$28,MATCH($P617,Tables!$B$4:$B$28,0))</f>
        <v>32</v>
      </c>
      <c r="R617" s="2">
        <f>INDEX(Tables!$D$4:$D$28,MATCH($P617,Tables!$B$4:$B$28,0))</f>
        <v>4</v>
      </c>
      <c r="S617" s="2">
        <f>$S616+$R616+INDEX(Tables!$N$5:$Q$8,MATCH(MOD($S616+$R616,4),Tables!$M$5:$M$8,0),MATCH($R617,Tables!$N$4:$Q$4,0))</f>
        <v>2284</v>
      </c>
      <c r="T617" s="2" t="str">
        <f t="shared" si="153"/>
        <v>08EC</v>
      </c>
      <c r="U617" s="2">
        <f t="shared" si="159"/>
        <v>571</v>
      </c>
      <c r="V617" s="2" t="str">
        <f t="shared" si="154"/>
        <v>23B</v>
      </c>
      <c r="W617" s="2" t="str">
        <f t="shared" si="155"/>
        <v>X</v>
      </c>
      <c r="X617" s="2" t="str">
        <f t="shared" si="158"/>
        <v>X</v>
      </c>
      <c r="Y617" s="2" t="str">
        <f t="shared" si="156"/>
        <v>X</v>
      </c>
      <c r="Z617" s="2" t="str">
        <f t="shared" si="157"/>
        <v>X</v>
      </c>
      <c r="AA617" s="2" t="str">
        <f t="shared" si="160"/>
        <v>(31 downto 24)</v>
      </c>
      <c r="AB617" s="2" t="str">
        <f t="shared" si="161"/>
        <v>(23 downto 16)</v>
      </c>
      <c r="AC617" s="2" t="str">
        <f t="shared" si="162"/>
        <v>(15 downto 8)</v>
      </c>
      <c r="AD617" s="2" t="str">
        <f t="shared" si="163"/>
        <v>(7 downto 0)</v>
      </c>
      <c r="AE617" s="2" t="str">
        <f t="shared" si="164"/>
        <v>(31 downto 24)</v>
      </c>
      <c r="AF617" s="2" t="str">
        <f t="shared" si="165"/>
        <v>(23 downto 16)</v>
      </c>
      <c r="AG617" s="2" t="str">
        <f t="shared" si="166"/>
        <v>(15 downto 8)</v>
      </c>
      <c r="AH617" s="2" t="str">
        <f t="shared" si="167"/>
        <v>(7 downto 0)</v>
      </c>
    </row>
    <row r="618" spans="2:34" x14ac:dyDescent="0.25">
      <c r="B618" s="2" t="s">
        <v>1669</v>
      </c>
      <c r="C618" s="2" t="s">
        <v>141</v>
      </c>
      <c r="D618" s="2" t="s">
        <v>0</v>
      </c>
      <c r="E618" s="2" t="s">
        <v>130</v>
      </c>
      <c r="F618" s="2" t="s">
        <v>1670</v>
      </c>
      <c r="G618" s="2" t="s">
        <v>1671</v>
      </c>
      <c r="H618" s="2" t="s">
        <v>142</v>
      </c>
      <c r="I618" s="2" t="s">
        <v>41</v>
      </c>
      <c r="J618" s="2">
        <v>32</v>
      </c>
      <c r="K618" s="2" t="s">
        <v>132</v>
      </c>
      <c r="L618" s="2" t="s">
        <v>40</v>
      </c>
      <c r="P618" s="2" t="s">
        <v>48</v>
      </c>
      <c r="Q618" s="2">
        <f>INDEX(Tables!$C$4:$C$28,MATCH($P618,Tables!$B$4:$B$28,0))</f>
        <v>32</v>
      </c>
      <c r="R618" s="2">
        <f>INDEX(Tables!$D$4:$D$28,MATCH($P618,Tables!$B$4:$B$28,0))</f>
        <v>4</v>
      </c>
      <c r="S618" s="2">
        <f>$S617+$R617+INDEX(Tables!$N$5:$Q$8,MATCH(MOD($S617+$R617,4),Tables!$M$5:$M$8,0),MATCH($R618,Tables!$N$4:$Q$4,0))</f>
        <v>2288</v>
      </c>
      <c r="T618" s="2" t="str">
        <f t="shared" si="153"/>
        <v>08F0</v>
      </c>
      <c r="U618" s="2">
        <f t="shared" si="159"/>
        <v>572</v>
      </c>
      <c r="V618" s="2" t="str">
        <f t="shared" si="154"/>
        <v>23C</v>
      </c>
      <c r="W618" s="2" t="str">
        <f t="shared" si="155"/>
        <v>X</v>
      </c>
      <c r="X618" s="2" t="str">
        <f t="shared" si="158"/>
        <v>X</v>
      </c>
      <c r="Y618" s="2" t="str">
        <f t="shared" si="156"/>
        <v>X</v>
      </c>
      <c r="Z618" s="2" t="str">
        <f t="shared" si="157"/>
        <v>X</v>
      </c>
      <c r="AA618" s="2" t="str">
        <f t="shared" si="160"/>
        <v>(31 downto 24)</v>
      </c>
      <c r="AB618" s="2" t="str">
        <f t="shared" si="161"/>
        <v>(23 downto 16)</v>
      </c>
      <c r="AC618" s="2" t="str">
        <f t="shared" si="162"/>
        <v>(15 downto 8)</v>
      </c>
      <c r="AD618" s="2" t="str">
        <f t="shared" si="163"/>
        <v>(7 downto 0)</v>
      </c>
      <c r="AE618" s="2" t="str">
        <f t="shared" si="164"/>
        <v>(31 downto 24)</v>
      </c>
      <c r="AF618" s="2" t="str">
        <f t="shared" si="165"/>
        <v>(23 downto 16)</v>
      </c>
      <c r="AG618" s="2" t="str">
        <f t="shared" si="166"/>
        <v>(15 downto 8)</v>
      </c>
      <c r="AH618" s="2" t="str">
        <f t="shared" si="167"/>
        <v>(7 downto 0)</v>
      </c>
    </row>
    <row r="619" spans="2:34" x14ac:dyDescent="0.25">
      <c r="B619" s="2" t="s">
        <v>1672</v>
      </c>
      <c r="C619" s="2" t="s">
        <v>141</v>
      </c>
      <c r="D619" s="2" t="s">
        <v>0</v>
      </c>
      <c r="E619" s="2" t="s">
        <v>130</v>
      </c>
      <c r="F619" s="2" t="s">
        <v>1673</v>
      </c>
      <c r="G619" s="2" t="s">
        <v>1674</v>
      </c>
      <c r="H619" s="2" t="s">
        <v>142</v>
      </c>
      <c r="I619" s="2" t="s">
        <v>41</v>
      </c>
      <c r="J619" s="2">
        <v>32</v>
      </c>
      <c r="K619" s="2" t="s">
        <v>132</v>
      </c>
      <c r="L619" s="2" t="s">
        <v>40</v>
      </c>
      <c r="P619" s="2" t="s">
        <v>48</v>
      </c>
      <c r="Q619" s="2">
        <f>INDEX(Tables!$C$4:$C$28,MATCH($P619,Tables!$B$4:$B$28,0))</f>
        <v>32</v>
      </c>
      <c r="R619" s="2">
        <f>INDEX(Tables!$D$4:$D$28,MATCH($P619,Tables!$B$4:$B$28,0))</f>
        <v>4</v>
      </c>
      <c r="S619" s="2">
        <f>$S618+$R618+INDEX(Tables!$N$5:$Q$8,MATCH(MOD($S618+$R618,4),Tables!$M$5:$M$8,0),MATCH($R619,Tables!$N$4:$Q$4,0))</f>
        <v>2292</v>
      </c>
      <c r="T619" s="2" t="str">
        <f t="shared" si="153"/>
        <v>08F4</v>
      </c>
      <c r="U619" s="2">
        <f t="shared" si="159"/>
        <v>573</v>
      </c>
      <c r="V619" s="2" t="str">
        <f t="shared" si="154"/>
        <v>23D</v>
      </c>
      <c r="W619" s="2" t="str">
        <f t="shared" si="155"/>
        <v>X</v>
      </c>
      <c r="X619" s="2" t="str">
        <f t="shared" si="158"/>
        <v>X</v>
      </c>
      <c r="Y619" s="2" t="str">
        <f t="shared" si="156"/>
        <v>X</v>
      </c>
      <c r="Z619" s="2" t="str">
        <f t="shared" si="157"/>
        <v>X</v>
      </c>
      <c r="AA619" s="2" t="str">
        <f t="shared" si="160"/>
        <v>(31 downto 24)</v>
      </c>
      <c r="AB619" s="2" t="str">
        <f t="shared" si="161"/>
        <v>(23 downto 16)</v>
      </c>
      <c r="AC619" s="2" t="str">
        <f t="shared" si="162"/>
        <v>(15 downto 8)</v>
      </c>
      <c r="AD619" s="2" t="str">
        <f t="shared" si="163"/>
        <v>(7 downto 0)</v>
      </c>
      <c r="AE619" s="2" t="str">
        <f t="shared" si="164"/>
        <v>(31 downto 24)</v>
      </c>
      <c r="AF619" s="2" t="str">
        <f t="shared" si="165"/>
        <v>(23 downto 16)</v>
      </c>
      <c r="AG619" s="2" t="str">
        <f t="shared" si="166"/>
        <v>(15 downto 8)</v>
      </c>
      <c r="AH619" s="2" t="str">
        <f t="shared" si="167"/>
        <v>(7 downto 0)</v>
      </c>
    </row>
    <row r="620" spans="2:34" x14ac:dyDescent="0.25">
      <c r="B620" s="2" t="s">
        <v>1675</v>
      </c>
      <c r="C620" s="2" t="s">
        <v>141</v>
      </c>
      <c r="D620" s="2" t="s">
        <v>0</v>
      </c>
      <c r="E620" s="2" t="s">
        <v>130</v>
      </c>
      <c r="F620" s="2" t="s">
        <v>1676</v>
      </c>
      <c r="G620" s="2" t="s">
        <v>1677</v>
      </c>
      <c r="H620" s="2" t="s">
        <v>142</v>
      </c>
      <c r="I620" s="2" t="s">
        <v>41</v>
      </c>
      <c r="J620" s="2">
        <v>32</v>
      </c>
      <c r="K620" s="2" t="s">
        <v>132</v>
      </c>
      <c r="L620" s="2" t="s">
        <v>40</v>
      </c>
      <c r="P620" s="2" t="s">
        <v>48</v>
      </c>
      <c r="Q620" s="2">
        <f>INDEX(Tables!$C$4:$C$28,MATCH($P620,Tables!$B$4:$B$28,0))</f>
        <v>32</v>
      </c>
      <c r="R620" s="2">
        <f>INDEX(Tables!$D$4:$D$28,MATCH($P620,Tables!$B$4:$B$28,0))</f>
        <v>4</v>
      </c>
      <c r="S620" s="2">
        <f>$S619+$R619+INDEX(Tables!$N$5:$Q$8,MATCH(MOD($S619+$R619,4),Tables!$M$5:$M$8,0),MATCH($R620,Tables!$N$4:$Q$4,0))</f>
        <v>2296</v>
      </c>
      <c r="T620" s="2" t="str">
        <f t="shared" si="153"/>
        <v>08F8</v>
      </c>
      <c r="U620" s="2">
        <f t="shared" si="159"/>
        <v>574</v>
      </c>
      <c r="V620" s="2" t="str">
        <f t="shared" si="154"/>
        <v>23E</v>
      </c>
      <c r="W620" s="2" t="str">
        <f t="shared" si="155"/>
        <v>X</v>
      </c>
      <c r="X620" s="2" t="str">
        <f t="shared" si="158"/>
        <v>X</v>
      </c>
      <c r="Y620" s="2" t="str">
        <f t="shared" si="156"/>
        <v>X</v>
      </c>
      <c r="Z620" s="2" t="str">
        <f t="shared" si="157"/>
        <v>X</v>
      </c>
      <c r="AA620" s="2" t="str">
        <f t="shared" si="160"/>
        <v>(31 downto 24)</v>
      </c>
      <c r="AB620" s="2" t="str">
        <f t="shared" si="161"/>
        <v>(23 downto 16)</v>
      </c>
      <c r="AC620" s="2" t="str">
        <f t="shared" si="162"/>
        <v>(15 downto 8)</v>
      </c>
      <c r="AD620" s="2" t="str">
        <f t="shared" si="163"/>
        <v>(7 downto 0)</v>
      </c>
      <c r="AE620" s="2" t="str">
        <f t="shared" si="164"/>
        <v>(31 downto 24)</v>
      </c>
      <c r="AF620" s="2" t="str">
        <f t="shared" si="165"/>
        <v>(23 downto 16)</v>
      </c>
      <c r="AG620" s="2" t="str">
        <f t="shared" si="166"/>
        <v>(15 downto 8)</v>
      </c>
      <c r="AH620" s="2" t="str">
        <f t="shared" si="167"/>
        <v>(7 downto 0)</v>
      </c>
    </row>
    <row r="621" spans="2:34" x14ac:dyDescent="0.25">
      <c r="B621" s="2" t="s">
        <v>1678</v>
      </c>
      <c r="C621" s="2" t="s">
        <v>141</v>
      </c>
      <c r="D621" s="2" t="s">
        <v>0</v>
      </c>
      <c r="E621" s="2" t="s">
        <v>130</v>
      </c>
      <c r="F621" s="2" t="s">
        <v>1679</v>
      </c>
      <c r="G621" s="2" t="s">
        <v>1680</v>
      </c>
      <c r="H621" s="2" t="s">
        <v>142</v>
      </c>
      <c r="I621" s="2" t="s">
        <v>41</v>
      </c>
      <c r="J621" s="2">
        <v>32</v>
      </c>
      <c r="K621" s="2" t="s">
        <v>132</v>
      </c>
      <c r="L621" s="2" t="s">
        <v>40</v>
      </c>
      <c r="P621" s="2" t="s">
        <v>48</v>
      </c>
      <c r="Q621" s="2">
        <f>INDEX(Tables!$C$4:$C$28,MATCH($P621,Tables!$B$4:$B$28,0))</f>
        <v>32</v>
      </c>
      <c r="R621" s="2">
        <f>INDEX(Tables!$D$4:$D$28,MATCH($P621,Tables!$B$4:$B$28,0))</f>
        <v>4</v>
      </c>
      <c r="S621" s="2">
        <f>$S620+$R620+INDEX(Tables!$N$5:$Q$8,MATCH(MOD($S620+$R620,4),Tables!$M$5:$M$8,0),MATCH($R621,Tables!$N$4:$Q$4,0))</f>
        <v>2300</v>
      </c>
      <c r="T621" s="2" t="str">
        <f t="shared" si="153"/>
        <v>08FC</v>
      </c>
      <c r="U621" s="2">
        <f t="shared" si="159"/>
        <v>575</v>
      </c>
      <c r="V621" s="2" t="str">
        <f t="shared" si="154"/>
        <v>23F</v>
      </c>
      <c r="W621" s="2" t="str">
        <f t="shared" si="155"/>
        <v>X</v>
      </c>
      <c r="X621" s="2" t="str">
        <f t="shared" si="158"/>
        <v>X</v>
      </c>
      <c r="Y621" s="2" t="str">
        <f t="shared" si="156"/>
        <v>X</v>
      </c>
      <c r="Z621" s="2" t="str">
        <f t="shared" si="157"/>
        <v>X</v>
      </c>
      <c r="AA621" s="2" t="str">
        <f t="shared" si="160"/>
        <v>(31 downto 24)</v>
      </c>
      <c r="AB621" s="2" t="str">
        <f t="shared" si="161"/>
        <v>(23 downto 16)</v>
      </c>
      <c r="AC621" s="2" t="str">
        <f t="shared" si="162"/>
        <v>(15 downto 8)</v>
      </c>
      <c r="AD621" s="2" t="str">
        <f t="shared" si="163"/>
        <v>(7 downto 0)</v>
      </c>
      <c r="AE621" s="2" t="str">
        <f t="shared" si="164"/>
        <v>(31 downto 24)</v>
      </c>
      <c r="AF621" s="2" t="str">
        <f t="shared" si="165"/>
        <v>(23 downto 16)</v>
      </c>
      <c r="AG621" s="2" t="str">
        <f t="shared" si="166"/>
        <v>(15 downto 8)</v>
      </c>
      <c r="AH621" s="2" t="str">
        <f t="shared" si="167"/>
        <v>(7 downto 0)</v>
      </c>
    </row>
    <row r="622" spans="2:34" x14ac:dyDescent="0.25">
      <c r="B622" s="2" t="s">
        <v>1681</v>
      </c>
      <c r="C622" s="2" t="s">
        <v>141</v>
      </c>
      <c r="D622" s="2" t="s">
        <v>0</v>
      </c>
      <c r="E622" s="2" t="s">
        <v>130</v>
      </c>
      <c r="F622" s="2" t="s">
        <v>1682</v>
      </c>
      <c r="G622" s="2" t="s">
        <v>1683</v>
      </c>
      <c r="H622" s="2" t="s">
        <v>142</v>
      </c>
      <c r="I622" s="2" t="s">
        <v>41</v>
      </c>
      <c r="J622" s="2">
        <v>32</v>
      </c>
      <c r="K622" s="2" t="s">
        <v>132</v>
      </c>
      <c r="L622" s="2" t="s">
        <v>40</v>
      </c>
      <c r="P622" s="2" t="s">
        <v>48</v>
      </c>
      <c r="Q622" s="2">
        <f>INDEX(Tables!$C$4:$C$28,MATCH($P622,Tables!$B$4:$B$28,0))</f>
        <v>32</v>
      </c>
      <c r="R622" s="2">
        <f>INDEX(Tables!$D$4:$D$28,MATCH($P622,Tables!$B$4:$B$28,0))</f>
        <v>4</v>
      </c>
      <c r="S622" s="2">
        <f>$S621+$R621+INDEX(Tables!$N$5:$Q$8,MATCH(MOD($S621+$R621,4),Tables!$M$5:$M$8,0),MATCH($R622,Tables!$N$4:$Q$4,0))</f>
        <v>2304</v>
      </c>
      <c r="T622" s="2" t="str">
        <f t="shared" si="153"/>
        <v>0900</v>
      </c>
      <c r="U622" s="2">
        <f t="shared" si="159"/>
        <v>576</v>
      </c>
      <c r="V622" s="2" t="str">
        <f t="shared" si="154"/>
        <v>240</v>
      </c>
      <c r="W622" s="2" t="str">
        <f t="shared" si="155"/>
        <v>X</v>
      </c>
      <c r="X622" s="2" t="str">
        <f t="shared" si="158"/>
        <v>X</v>
      </c>
      <c r="Y622" s="2" t="str">
        <f t="shared" si="156"/>
        <v>X</v>
      </c>
      <c r="Z622" s="2" t="str">
        <f t="shared" si="157"/>
        <v>X</v>
      </c>
      <c r="AA622" s="2" t="str">
        <f t="shared" si="160"/>
        <v>(31 downto 24)</v>
      </c>
      <c r="AB622" s="2" t="str">
        <f t="shared" si="161"/>
        <v>(23 downto 16)</v>
      </c>
      <c r="AC622" s="2" t="str">
        <f t="shared" si="162"/>
        <v>(15 downto 8)</v>
      </c>
      <c r="AD622" s="2" t="str">
        <f t="shared" si="163"/>
        <v>(7 downto 0)</v>
      </c>
      <c r="AE622" s="2" t="str">
        <f t="shared" si="164"/>
        <v>(31 downto 24)</v>
      </c>
      <c r="AF622" s="2" t="str">
        <f t="shared" si="165"/>
        <v>(23 downto 16)</v>
      </c>
      <c r="AG622" s="2" t="str">
        <f t="shared" si="166"/>
        <v>(15 downto 8)</v>
      </c>
      <c r="AH622" s="2" t="str">
        <f t="shared" si="167"/>
        <v>(7 downto 0)</v>
      </c>
    </row>
    <row r="623" spans="2:34" x14ac:dyDescent="0.25">
      <c r="B623" s="2" t="s">
        <v>1684</v>
      </c>
      <c r="C623" s="2" t="s">
        <v>141</v>
      </c>
      <c r="D623" s="2" t="s">
        <v>0</v>
      </c>
      <c r="E623" s="2" t="s">
        <v>130</v>
      </c>
      <c r="F623" s="2" t="s">
        <v>1685</v>
      </c>
      <c r="G623" s="2" t="s">
        <v>1686</v>
      </c>
      <c r="H623" s="2" t="s">
        <v>142</v>
      </c>
      <c r="I623" s="2" t="s">
        <v>41</v>
      </c>
      <c r="J623" s="2">
        <v>32</v>
      </c>
      <c r="K623" s="2" t="s">
        <v>132</v>
      </c>
      <c r="L623" s="2" t="s">
        <v>40</v>
      </c>
      <c r="P623" s="2" t="s">
        <v>48</v>
      </c>
      <c r="Q623" s="2">
        <f>INDEX(Tables!$C$4:$C$28,MATCH($P623,Tables!$B$4:$B$28,0))</f>
        <v>32</v>
      </c>
      <c r="R623" s="2">
        <f>INDEX(Tables!$D$4:$D$28,MATCH($P623,Tables!$B$4:$B$28,0))</f>
        <v>4</v>
      </c>
      <c r="S623" s="2">
        <f>$S622+$R622+INDEX(Tables!$N$5:$Q$8,MATCH(MOD($S622+$R622,4),Tables!$M$5:$M$8,0),MATCH($R623,Tables!$N$4:$Q$4,0))</f>
        <v>2308</v>
      </c>
      <c r="T623" s="2" t="str">
        <f t="shared" si="153"/>
        <v>0904</v>
      </c>
      <c r="U623" s="2">
        <f t="shared" si="159"/>
        <v>577</v>
      </c>
      <c r="V623" s="2" t="str">
        <f t="shared" si="154"/>
        <v>241</v>
      </c>
      <c r="W623" s="2" t="str">
        <f t="shared" si="155"/>
        <v>X</v>
      </c>
      <c r="X623" s="2" t="str">
        <f t="shared" si="158"/>
        <v>X</v>
      </c>
      <c r="Y623" s="2" t="str">
        <f t="shared" si="156"/>
        <v>X</v>
      </c>
      <c r="Z623" s="2" t="str">
        <f t="shared" si="157"/>
        <v>X</v>
      </c>
      <c r="AA623" s="2" t="str">
        <f t="shared" si="160"/>
        <v>(31 downto 24)</v>
      </c>
      <c r="AB623" s="2" t="str">
        <f t="shared" si="161"/>
        <v>(23 downto 16)</v>
      </c>
      <c r="AC623" s="2" t="str">
        <f t="shared" si="162"/>
        <v>(15 downto 8)</v>
      </c>
      <c r="AD623" s="2" t="str">
        <f t="shared" si="163"/>
        <v>(7 downto 0)</v>
      </c>
      <c r="AE623" s="2" t="str">
        <f t="shared" si="164"/>
        <v>(31 downto 24)</v>
      </c>
      <c r="AF623" s="2" t="str">
        <f t="shared" si="165"/>
        <v>(23 downto 16)</v>
      </c>
      <c r="AG623" s="2" t="str">
        <f t="shared" si="166"/>
        <v>(15 downto 8)</v>
      </c>
      <c r="AH623" s="2" t="str">
        <f t="shared" si="167"/>
        <v>(7 downto 0)</v>
      </c>
    </row>
    <row r="624" spans="2:34" x14ac:dyDescent="0.25">
      <c r="B624" s="2" t="s">
        <v>1687</v>
      </c>
      <c r="C624" s="2" t="s">
        <v>141</v>
      </c>
      <c r="D624" s="2" t="s">
        <v>0</v>
      </c>
      <c r="E624" s="2" t="s">
        <v>130</v>
      </c>
      <c r="F624" s="2" t="s">
        <v>1688</v>
      </c>
      <c r="G624" s="2" t="s">
        <v>1689</v>
      </c>
      <c r="H624" s="2" t="s">
        <v>142</v>
      </c>
      <c r="I624" s="2" t="s">
        <v>41</v>
      </c>
      <c r="J624" s="2">
        <v>32</v>
      </c>
      <c r="K624" s="2" t="s">
        <v>132</v>
      </c>
      <c r="L624" s="2" t="s">
        <v>40</v>
      </c>
      <c r="P624" s="2" t="s">
        <v>48</v>
      </c>
      <c r="Q624" s="2">
        <f>INDEX(Tables!$C$4:$C$28,MATCH($P624,Tables!$B$4:$B$28,0))</f>
        <v>32</v>
      </c>
      <c r="R624" s="2">
        <f>INDEX(Tables!$D$4:$D$28,MATCH($P624,Tables!$B$4:$B$28,0))</f>
        <v>4</v>
      </c>
      <c r="S624" s="2">
        <f>$S623+$R623+INDEX(Tables!$N$5:$Q$8,MATCH(MOD($S623+$R623,4),Tables!$M$5:$M$8,0),MATCH($R624,Tables!$N$4:$Q$4,0))</f>
        <v>2312</v>
      </c>
      <c r="T624" s="2" t="str">
        <f t="shared" si="153"/>
        <v>0908</v>
      </c>
      <c r="U624" s="2">
        <f t="shared" si="159"/>
        <v>578</v>
      </c>
      <c r="V624" s="2" t="str">
        <f t="shared" si="154"/>
        <v>242</v>
      </c>
      <c r="W624" s="2" t="str">
        <f t="shared" si="155"/>
        <v>X</v>
      </c>
      <c r="X624" s="2" t="str">
        <f t="shared" si="158"/>
        <v>X</v>
      </c>
      <c r="Y624" s="2" t="str">
        <f t="shared" si="156"/>
        <v>X</v>
      </c>
      <c r="Z624" s="2" t="str">
        <f t="shared" si="157"/>
        <v>X</v>
      </c>
      <c r="AA624" s="2" t="str">
        <f t="shared" si="160"/>
        <v>(31 downto 24)</v>
      </c>
      <c r="AB624" s="2" t="str">
        <f t="shared" si="161"/>
        <v>(23 downto 16)</v>
      </c>
      <c r="AC624" s="2" t="str">
        <f t="shared" si="162"/>
        <v>(15 downto 8)</v>
      </c>
      <c r="AD624" s="2" t="str">
        <f t="shared" si="163"/>
        <v>(7 downto 0)</v>
      </c>
      <c r="AE624" s="2" t="str">
        <f t="shared" si="164"/>
        <v>(31 downto 24)</v>
      </c>
      <c r="AF624" s="2" t="str">
        <f t="shared" si="165"/>
        <v>(23 downto 16)</v>
      </c>
      <c r="AG624" s="2" t="str">
        <f t="shared" si="166"/>
        <v>(15 downto 8)</v>
      </c>
      <c r="AH624" s="2" t="str">
        <f t="shared" si="167"/>
        <v>(7 downto 0)</v>
      </c>
    </row>
    <row r="625" spans="2:34" x14ac:dyDescent="0.25">
      <c r="B625" s="2" t="s">
        <v>1690</v>
      </c>
      <c r="C625" s="2" t="s">
        <v>141</v>
      </c>
      <c r="D625" s="2" t="s">
        <v>0</v>
      </c>
      <c r="E625" s="2" t="s">
        <v>130</v>
      </c>
      <c r="F625" s="2" t="s">
        <v>1691</v>
      </c>
      <c r="G625" s="2" t="s">
        <v>1692</v>
      </c>
      <c r="H625" s="2" t="s">
        <v>142</v>
      </c>
      <c r="I625" s="2" t="s">
        <v>41</v>
      </c>
      <c r="J625" s="2">
        <v>32</v>
      </c>
      <c r="K625" s="2" t="s">
        <v>132</v>
      </c>
      <c r="L625" s="2" t="s">
        <v>40</v>
      </c>
      <c r="P625" s="2" t="s">
        <v>48</v>
      </c>
      <c r="Q625" s="2">
        <f>INDEX(Tables!$C$4:$C$28,MATCH($P625,Tables!$B$4:$B$28,0))</f>
        <v>32</v>
      </c>
      <c r="R625" s="2">
        <f>INDEX(Tables!$D$4:$D$28,MATCH($P625,Tables!$B$4:$B$28,0))</f>
        <v>4</v>
      </c>
      <c r="S625" s="2">
        <f>$S624+$R624+INDEX(Tables!$N$5:$Q$8,MATCH(MOD($S624+$R624,4),Tables!$M$5:$M$8,0),MATCH($R625,Tables!$N$4:$Q$4,0))</f>
        <v>2316</v>
      </c>
      <c r="T625" s="2" t="str">
        <f t="shared" si="153"/>
        <v>090C</v>
      </c>
      <c r="U625" s="2">
        <f t="shared" si="159"/>
        <v>579</v>
      </c>
      <c r="V625" s="2" t="str">
        <f t="shared" si="154"/>
        <v>243</v>
      </c>
      <c r="W625" s="2" t="str">
        <f t="shared" si="155"/>
        <v>X</v>
      </c>
      <c r="X625" s="2" t="str">
        <f t="shared" si="158"/>
        <v>X</v>
      </c>
      <c r="Y625" s="2" t="str">
        <f t="shared" si="156"/>
        <v>X</v>
      </c>
      <c r="Z625" s="2" t="str">
        <f t="shared" si="157"/>
        <v>X</v>
      </c>
      <c r="AA625" s="2" t="str">
        <f t="shared" si="160"/>
        <v>(31 downto 24)</v>
      </c>
      <c r="AB625" s="2" t="str">
        <f t="shared" si="161"/>
        <v>(23 downto 16)</v>
      </c>
      <c r="AC625" s="2" t="str">
        <f t="shared" si="162"/>
        <v>(15 downto 8)</v>
      </c>
      <c r="AD625" s="2" t="str">
        <f t="shared" si="163"/>
        <v>(7 downto 0)</v>
      </c>
      <c r="AE625" s="2" t="str">
        <f t="shared" si="164"/>
        <v>(31 downto 24)</v>
      </c>
      <c r="AF625" s="2" t="str">
        <f t="shared" si="165"/>
        <v>(23 downto 16)</v>
      </c>
      <c r="AG625" s="2" t="str">
        <f t="shared" si="166"/>
        <v>(15 downto 8)</v>
      </c>
      <c r="AH625" s="2" t="str">
        <f t="shared" si="167"/>
        <v>(7 downto 0)</v>
      </c>
    </row>
    <row r="626" spans="2:34" x14ac:dyDescent="0.25">
      <c r="B626" s="2" t="s">
        <v>1693</v>
      </c>
      <c r="C626" s="2" t="s">
        <v>141</v>
      </c>
      <c r="D626" s="2" t="s">
        <v>0</v>
      </c>
      <c r="E626" s="2" t="s">
        <v>130</v>
      </c>
      <c r="F626" s="2" t="s">
        <v>1694</v>
      </c>
      <c r="G626" s="2" t="s">
        <v>1695</v>
      </c>
      <c r="H626" s="2" t="s">
        <v>142</v>
      </c>
      <c r="I626" s="2" t="s">
        <v>41</v>
      </c>
      <c r="J626" s="2">
        <v>32</v>
      </c>
      <c r="K626" s="2" t="s">
        <v>132</v>
      </c>
      <c r="L626" s="2" t="s">
        <v>40</v>
      </c>
      <c r="P626" s="2" t="s">
        <v>48</v>
      </c>
      <c r="Q626" s="2">
        <f>INDEX(Tables!$C$4:$C$28,MATCH($P626,Tables!$B$4:$B$28,0))</f>
        <v>32</v>
      </c>
      <c r="R626" s="2">
        <f>INDEX(Tables!$D$4:$D$28,MATCH($P626,Tables!$B$4:$B$28,0))</f>
        <v>4</v>
      </c>
      <c r="S626" s="2">
        <f>$S625+$R625+INDEX(Tables!$N$5:$Q$8,MATCH(MOD($S625+$R625,4),Tables!$M$5:$M$8,0),MATCH($R626,Tables!$N$4:$Q$4,0))</f>
        <v>2320</v>
      </c>
      <c r="T626" s="2" t="str">
        <f t="shared" si="153"/>
        <v>0910</v>
      </c>
      <c r="U626" s="2">
        <f t="shared" si="159"/>
        <v>580</v>
      </c>
      <c r="V626" s="2" t="str">
        <f t="shared" si="154"/>
        <v>244</v>
      </c>
      <c r="W626" s="2" t="str">
        <f t="shared" si="155"/>
        <v>X</v>
      </c>
      <c r="X626" s="2" t="str">
        <f t="shared" si="158"/>
        <v>X</v>
      </c>
      <c r="Y626" s="2" t="str">
        <f t="shared" si="156"/>
        <v>X</v>
      </c>
      <c r="Z626" s="2" t="str">
        <f t="shared" si="157"/>
        <v>X</v>
      </c>
      <c r="AA626" s="2" t="str">
        <f t="shared" si="160"/>
        <v>(31 downto 24)</v>
      </c>
      <c r="AB626" s="2" t="str">
        <f t="shared" si="161"/>
        <v>(23 downto 16)</v>
      </c>
      <c r="AC626" s="2" t="str">
        <f t="shared" si="162"/>
        <v>(15 downto 8)</v>
      </c>
      <c r="AD626" s="2" t="str">
        <f t="shared" si="163"/>
        <v>(7 downto 0)</v>
      </c>
      <c r="AE626" s="2" t="str">
        <f t="shared" si="164"/>
        <v>(31 downto 24)</v>
      </c>
      <c r="AF626" s="2" t="str">
        <f t="shared" si="165"/>
        <v>(23 downto 16)</v>
      </c>
      <c r="AG626" s="2" t="str">
        <f t="shared" si="166"/>
        <v>(15 downto 8)</v>
      </c>
      <c r="AH626" s="2" t="str">
        <f t="shared" si="167"/>
        <v>(7 downto 0)</v>
      </c>
    </row>
    <row r="627" spans="2:34" x14ac:dyDescent="0.25">
      <c r="B627" s="2" t="s">
        <v>1696</v>
      </c>
      <c r="C627" s="2" t="s">
        <v>141</v>
      </c>
      <c r="D627" s="2" t="s">
        <v>0</v>
      </c>
      <c r="E627" s="2" t="s">
        <v>130</v>
      </c>
      <c r="F627" s="2" t="s">
        <v>1697</v>
      </c>
      <c r="G627" s="2" t="s">
        <v>1698</v>
      </c>
      <c r="H627" s="2" t="s">
        <v>142</v>
      </c>
      <c r="I627" s="2" t="s">
        <v>41</v>
      </c>
      <c r="J627" s="2">
        <v>32</v>
      </c>
      <c r="K627" s="2" t="s">
        <v>132</v>
      </c>
      <c r="L627" s="2" t="s">
        <v>40</v>
      </c>
      <c r="P627" s="2" t="s">
        <v>48</v>
      </c>
      <c r="Q627" s="2">
        <f>INDEX(Tables!$C$4:$C$28,MATCH($P627,Tables!$B$4:$B$28,0))</f>
        <v>32</v>
      </c>
      <c r="R627" s="2">
        <f>INDEX(Tables!$D$4:$D$28,MATCH($P627,Tables!$B$4:$B$28,0))</f>
        <v>4</v>
      </c>
      <c r="S627" s="2">
        <f>$S626+$R626+INDEX(Tables!$N$5:$Q$8,MATCH(MOD($S626+$R626,4),Tables!$M$5:$M$8,0),MATCH($R627,Tables!$N$4:$Q$4,0))</f>
        <v>2324</v>
      </c>
      <c r="T627" s="2" t="str">
        <f t="shared" si="153"/>
        <v>0914</v>
      </c>
      <c r="U627" s="2">
        <f t="shared" si="159"/>
        <v>581</v>
      </c>
      <c r="V627" s="2" t="str">
        <f t="shared" si="154"/>
        <v>245</v>
      </c>
      <c r="W627" s="2" t="str">
        <f t="shared" si="155"/>
        <v>X</v>
      </c>
      <c r="X627" s="2" t="str">
        <f t="shared" si="158"/>
        <v>X</v>
      </c>
      <c r="Y627" s="2" t="str">
        <f t="shared" si="156"/>
        <v>X</v>
      </c>
      <c r="Z627" s="2" t="str">
        <f t="shared" si="157"/>
        <v>X</v>
      </c>
      <c r="AA627" s="2" t="str">
        <f t="shared" si="160"/>
        <v>(31 downto 24)</v>
      </c>
      <c r="AB627" s="2" t="str">
        <f t="shared" si="161"/>
        <v>(23 downto 16)</v>
      </c>
      <c r="AC627" s="2" t="str">
        <f t="shared" si="162"/>
        <v>(15 downto 8)</v>
      </c>
      <c r="AD627" s="2" t="str">
        <f t="shared" si="163"/>
        <v>(7 downto 0)</v>
      </c>
      <c r="AE627" s="2" t="str">
        <f t="shared" si="164"/>
        <v>(31 downto 24)</v>
      </c>
      <c r="AF627" s="2" t="str">
        <f t="shared" si="165"/>
        <v>(23 downto 16)</v>
      </c>
      <c r="AG627" s="2" t="str">
        <f t="shared" si="166"/>
        <v>(15 downto 8)</v>
      </c>
      <c r="AH627" s="2" t="str">
        <f t="shared" si="167"/>
        <v>(7 downto 0)</v>
      </c>
    </row>
    <row r="628" spans="2:34" x14ac:dyDescent="0.25">
      <c r="B628" s="2" t="s">
        <v>1699</v>
      </c>
      <c r="C628" s="2" t="s">
        <v>141</v>
      </c>
      <c r="D628" s="2" t="s">
        <v>0</v>
      </c>
      <c r="E628" s="2" t="s">
        <v>130</v>
      </c>
      <c r="F628" s="2" t="s">
        <v>1700</v>
      </c>
      <c r="G628" s="2" t="s">
        <v>1701</v>
      </c>
      <c r="H628" s="2" t="s">
        <v>142</v>
      </c>
      <c r="I628" s="2" t="s">
        <v>41</v>
      </c>
      <c r="J628" s="2">
        <v>32</v>
      </c>
      <c r="K628" s="2" t="s">
        <v>132</v>
      </c>
      <c r="L628" s="2" t="s">
        <v>40</v>
      </c>
      <c r="P628" s="2" t="s">
        <v>48</v>
      </c>
      <c r="Q628" s="2">
        <f>INDEX(Tables!$C$4:$C$28,MATCH($P628,Tables!$B$4:$B$28,0))</f>
        <v>32</v>
      </c>
      <c r="R628" s="2">
        <f>INDEX(Tables!$D$4:$D$28,MATCH($P628,Tables!$B$4:$B$28,0))</f>
        <v>4</v>
      </c>
      <c r="S628" s="2">
        <f>$S627+$R627+INDEX(Tables!$N$5:$Q$8,MATCH(MOD($S627+$R627,4),Tables!$M$5:$M$8,0),MATCH($R628,Tables!$N$4:$Q$4,0))</f>
        <v>2328</v>
      </c>
      <c r="T628" s="2" t="str">
        <f t="shared" si="153"/>
        <v>0918</v>
      </c>
      <c r="U628" s="2">
        <f t="shared" si="159"/>
        <v>582</v>
      </c>
      <c r="V628" s="2" t="str">
        <f t="shared" si="154"/>
        <v>246</v>
      </c>
      <c r="W628" s="2" t="str">
        <f t="shared" si="155"/>
        <v>X</v>
      </c>
      <c r="X628" s="2" t="str">
        <f t="shared" si="158"/>
        <v>X</v>
      </c>
      <c r="Y628" s="2" t="str">
        <f t="shared" si="156"/>
        <v>X</v>
      </c>
      <c r="Z628" s="2" t="str">
        <f t="shared" si="157"/>
        <v>X</v>
      </c>
      <c r="AA628" s="2" t="str">
        <f t="shared" si="160"/>
        <v>(31 downto 24)</v>
      </c>
      <c r="AB628" s="2" t="str">
        <f t="shared" si="161"/>
        <v>(23 downto 16)</v>
      </c>
      <c r="AC628" s="2" t="str">
        <f t="shared" si="162"/>
        <v>(15 downto 8)</v>
      </c>
      <c r="AD628" s="2" t="str">
        <f t="shared" si="163"/>
        <v>(7 downto 0)</v>
      </c>
      <c r="AE628" s="2" t="str">
        <f t="shared" si="164"/>
        <v>(31 downto 24)</v>
      </c>
      <c r="AF628" s="2" t="str">
        <f t="shared" si="165"/>
        <v>(23 downto 16)</v>
      </c>
      <c r="AG628" s="2" t="str">
        <f t="shared" si="166"/>
        <v>(15 downto 8)</v>
      </c>
      <c r="AH628" s="2" t="str">
        <f t="shared" si="167"/>
        <v>(7 downto 0)</v>
      </c>
    </row>
    <row r="629" spans="2:34" x14ac:dyDescent="0.25">
      <c r="B629" s="2" t="s">
        <v>1702</v>
      </c>
      <c r="C629" s="2" t="s">
        <v>141</v>
      </c>
      <c r="D629" s="2" t="s">
        <v>0</v>
      </c>
      <c r="E629" s="2" t="s">
        <v>130</v>
      </c>
      <c r="F629" s="2" t="s">
        <v>1703</v>
      </c>
      <c r="G629" s="2" t="s">
        <v>1704</v>
      </c>
      <c r="H629" s="2" t="s">
        <v>142</v>
      </c>
      <c r="I629" s="2" t="s">
        <v>41</v>
      </c>
      <c r="J629" s="2">
        <v>32</v>
      </c>
      <c r="K629" s="2" t="s">
        <v>132</v>
      </c>
      <c r="L629" s="2" t="s">
        <v>40</v>
      </c>
      <c r="P629" s="2" t="s">
        <v>48</v>
      </c>
      <c r="Q629" s="2">
        <f>INDEX(Tables!$C$4:$C$28,MATCH($P629,Tables!$B$4:$B$28,0))</f>
        <v>32</v>
      </c>
      <c r="R629" s="2">
        <f>INDEX(Tables!$D$4:$D$28,MATCH($P629,Tables!$B$4:$B$28,0))</f>
        <v>4</v>
      </c>
      <c r="S629" s="2">
        <f>$S628+$R628+INDEX(Tables!$N$5:$Q$8,MATCH(MOD($S628+$R628,4),Tables!$M$5:$M$8,0),MATCH($R629,Tables!$N$4:$Q$4,0))</f>
        <v>2332</v>
      </c>
      <c r="T629" s="2" t="str">
        <f t="shared" si="153"/>
        <v>091C</v>
      </c>
      <c r="U629" s="2">
        <f t="shared" si="159"/>
        <v>583</v>
      </c>
      <c r="V629" s="2" t="str">
        <f t="shared" si="154"/>
        <v>247</v>
      </c>
      <c r="W629" s="2" t="str">
        <f t="shared" si="155"/>
        <v>X</v>
      </c>
      <c r="X629" s="2" t="str">
        <f t="shared" si="158"/>
        <v>X</v>
      </c>
      <c r="Y629" s="2" t="str">
        <f t="shared" si="156"/>
        <v>X</v>
      </c>
      <c r="Z629" s="2" t="str">
        <f t="shared" si="157"/>
        <v>X</v>
      </c>
      <c r="AA629" s="2" t="str">
        <f t="shared" si="160"/>
        <v>(31 downto 24)</v>
      </c>
      <c r="AB629" s="2" t="str">
        <f t="shared" si="161"/>
        <v>(23 downto 16)</v>
      </c>
      <c r="AC629" s="2" t="str">
        <f t="shared" si="162"/>
        <v>(15 downto 8)</v>
      </c>
      <c r="AD629" s="2" t="str">
        <f t="shared" si="163"/>
        <v>(7 downto 0)</v>
      </c>
      <c r="AE629" s="2" t="str">
        <f t="shared" si="164"/>
        <v>(31 downto 24)</v>
      </c>
      <c r="AF629" s="2" t="str">
        <f t="shared" si="165"/>
        <v>(23 downto 16)</v>
      </c>
      <c r="AG629" s="2" t="str">
        <f t="shared" si="166"/>
        <v>(15 downto 8)</v>
      </c>
      <c r="AH629" s="2" t="str">
        <f t="shared" si="167"/>
        <v>(7 downto 0)</v>
      </c>
    </row>
    <row r="630" spans="2:34" x14ac:dyDescent="0.25">
      <c r="B630" s="2" t="s">
        <v>1705</v>
      </c>
      <c r="C630" s="2" t="s">
        <v>141</v>
      </c>
      <c r="D630" s="2" t="s">
        <v>0</v>
      </c>
      <c r="E630" s="2" t="s">
        <v>130</v>
      </c>
      <c r="F630" s="2" t="s">
        <v>1706</v>
      </c>
      <c r="G630" s="2" t="s">
        <v>1707</v>
      </c>
      <c r="H630" s="2" t="s">
        <v>142</v>
      </c>
      <c r="I630" s="2" t="s">
        <v>41</v>
      </c>
      <c r="J630" s="2">
        <v>32</v>
      </c>
      <c r="K630" s="2" t="s">
        <v>132</v>
      </c>
      <c r="L630" s="2" t="s">
        <v>40</v>
      </c>
      <c r="P630" s="2" t="s">
        <v>48</v>
      </c>
      <c r="Q630" s="2">
        <f>INDEX(Tables!$C$4:$C$28,MATCH($P630,Tables!$B$4:$B$28,0))</f>
        <v>32</v>
      </c>
      <c r="R630" s="2">
        <f>INDEX(Tables!$D$4:$D$28,MATCH($P630,Tables!$B$4:$B$28,0))</f>
        <v>4</v>
      </c>
      <c r="S630" s="2">
        <f>$S629+$R629+INDEX(Tables!$N$5:$Q$8,MATCH(MOD($S629+$R629,4),Tables!$M$5:$M$8,0),MATCH($R630,Tables!$N$4:$Q$4,0))</f>
        <v>2336</v>
      </c>
      <c r="T630" s="2" t="str">
        <f t="shared" si="153"/>
        <v>0920</v>
      </c>
      <c r="U630" s="2">
        <f t="shared" si="159"/>
        <v>584</v>
      </c>
      <c r="V630" s="2" t="str">
        <f t="shared" si="154"/>
        <v>248</v>
      </c>
      <c r="W630" s="2" t="str">
        <f t="shared" si="155"/>
        <v>X</v>
      </c>
      <c r="X630" s="2" t="str">
        <f t="shared" si="158"/>
        <v>X</v>
      </c>
      <c r="Y630" s="2" t="str">
        <f t="shared" si="156"/>
        <v>X</v>
      </c>
      <c r="Z630" s="2" t="str">
        <f t="shared" si="157"/>
        <v>X</v>
      </c>
      <c r="AA630" s="2" t="str">
        <f t="shared" si="160"/>
        <v>(31 downto 24)</v>
      </c>
      <c r="AB630" s="2" t="str">
        <f t="shared" si="161"/>
        <v>(23 downto 16)</v>
      </c>
      <c r="AC630" s="2" t="str">
        <f t="shared" si="162"/>
        <v>(15 downto 8)</v>
      </c>
      <c r="AD630" s="2" t="str">
        <f t="shared" si="163"/>
        <v>(7 downto 0)</v>
      </c>
      <c r="AE630" s="2" t="str">
        <f t="shared" si="164"/>
        <v>(31 downto 24)</v>
      </c>
      <c r="AF630" s="2" t="str">
        <f t="shared" si="165"/>
        <v>(23 downto 16)</v>
      </c>
      <c r="AG630" s="2" t="str">
        <f t="shared" si="166"/>
        <v>(15 downto 8)</v>
      </c>
      <c r="AH630" s="2" t="str">
        <f t="shared" si="167"/>
        <v>(7 downto 0)</v>
      </c>
    </row>
    <row r="631" spans="2:34" x14ac:dyDescent="0.25">
      <c r="B631" s="2" t="s">
        <v>1708</v>
      </c>
      <c r="C631" s="2" t="s">
        <v>141</v>
      </c>
      <c r="D631" s="2" t="s">
        <v>0</v>
      </c>
      <c r="E631" s="2" t="s">
        <v>130</v>
      </c>
      <c r="F631" s="2" t="s">
        <v>1709</v>
      </c>
      <c r="G631" s="2" t="s">
        <v>1710</v>
      </c>
      <c r="H631" s="2" t="s">
        <v>142</v>
      </c>
      <c r="I631" s="2" t="s">
        <v>41</v>
      </c>
      <c r="J631" s="2">
        <v>32</v>
      </c>
      <c r="K631" s="2" t="s">
        <v>132</v>
      </c>
      <c r="L631" s="2" t="s">
        <v>40</v>
      </c>
      <c r="P631" s="2" t="s">
        <v>48</v>
      </c>
      <c r="Q631" s="2">
        <f>INDEX(Tables!$C$4:$C$28,MATCH($P631,Tables!$B$4:$B$28,0))</f>
        <v>32</v>
      </c>
      <c r="R631" s="2">
        <f>INDEX(Tables!$D$4:$D$28,MATCH($P631,Tables!$B$4:$B$28,0))</f>
        <v>4</v>
      </c>
      <c r="S631" s="2">
        <f>$S630+$R630+INDEX(Tables!$N$5:$Q$8,MATCH(MOD($S630+$R630,4),Tables!$M$5:$M$8,0),MATCH($R631,Tables!$N$4:$Q$4,0))</f>
        <v>2340</v>
      </c>
      <c r="T631" s="2" t="str">
        <f t="shared" si="153"/>
        <v>0924</v>
      </c>
      <c r="U631" s="2">
        <f t="shared" si="159"/>
        <v>585</v>
      </c>
      <c r="V631" s="2" t="str">
        <f t="shared" si="154"/>
        <v>249</v>
      </c>
      <c r="W631" s="2" t="str">
        <f t="shared" si="155"/>
        <v>X</v>
      </c>
      <c r="X631" s="2" t="str">
        <f t="shared" si="158"/>
        <v>X</v>
      </c>
      <c r="Y631" s="2" t="str">
        <f t="shared" si="156"/>
        <v>X</v>
      </c>
      <c r="Z631" s="2" t="str">
        <f t="shared" si="157"/>
        <v>X</v>
      </c>
      <c r="AA631" s="2" t="str">
        <f t="shared" si="160"/>
        <v>(31 downto 24)</v>
      </c>
      <c r="AB631" s="2" t="str">
        <f t="shared" si="161"/>
        <v>(23 downto 16)</v>
      </c>
      <c r="AC631" s="2" t="str">
        <f t="shared" si="162"/>
        <v>(15 downto 8)</v>
      </c>
      <c r="AD631" s="2" t="str">
        <f t="shared" si="163"/>
        <v>(7 downto 0)</v>
      </c>
      <c r="AE631" s="2" t="str">
        <f t="shared" si="164"/>
        <v>(31 downto 24)</v>
      </c>
      <c r="AF631" s="2" t="str">
        <f t="shared" si="165"/>
        <v>(23 downto 16)</v>
      </c>
      <c r="AG631" s="2" t="str">
        <f t="shared" si="166"/>
        <v>(15 downto 8)</v>
      </c>
      <c r="AH631" s="2" t="str">
        <f t="shared" si="167"/>
        <v>(7 downto 0)</v>
      </c>
    </row>
    <row r="632" spans="2:34" x14ac:dyDescent="0.25">
      <c r="B632" s="2" t="s">
        <v>1711</v>
      </c>
      <c r="C632" s="2" t="s">
        <v>141</v>
      </c>
      <c r="D632" s="2" t="s">
        <v>0</v>
      </c>
      <c r="E632" s="2" t="s">
        <v>130</v>
      </c>
      <c r="F632" s="2" t="s">
        <v>1712</v>
      </c>
      <c r="G632" s="2" t="s">
        <v>1713</v>
      </c>
      <c r="H632" s="2" t="s">
        <v>142</v>
      </c>
      <c r="I632" s="2" t="s">
        <v>41</v>
      </c>
      <c r="J632" s="2">
        <v>32</v>
      </c>
      <c r="K632" s="2" t="s">
        <v>132</v>
      </c>
      <c r="L632" s="2" t="s">
        <v>40</v>
      </c>
      <c r="P632" s="2" t="s">
        <v>48</v>
      </c>
      <c r="Q632" s="2">
        <f>INDEX(Tables!$C$4:$C$28,MATCH($P632,Tables!$B$4:$B$28,0))</f>
        <v>32</v>
      </c>
      <c r="R632" s="2">
        <f>INDEX(Tables!$D$4:$D$28,MATCH($P632,Tables!$B$4:$B$28,0))</f>
        <v>4</v>
      </c>
      <c r="S632" s="2">
        <f>$S631+$R631+INDEX(Tables!$N$5:$Q$8,MATCH(MOD($S631+$R631,4),Tables!$M$5:$M$8,0),MATCH($R632,Tables!$N$4:$Q$4,0))</f>
        <v>2344</v>
      </c>
      <c r="T632" s="2" t="str">
        <f t="shared" si="153"/>
        <v>0928</v>
      </c>
      <c r="U632" s="2">
        <f t="shared" si="159"/>
        <v>586</v>
      </c>
      <c r="V632" s="2" t="str">
        <f t="shared" si="154"/>
        <v>24A</v>
      </c>
      <c r="W632" s="2" t="str">
        <f t="shared" si="155"/>
        <v>X</v>
      </c>
      <c r="X632" s="2" t="str">
        <f t="shared" si="158"/>
        <v>X</v>
      </c>
      <c r="Y632" s="2" t="str">
        <f t="shared" si="156"/>
        <v>X</v>
      </c>
      <c r="Z632" s="2" t="str">
        <f t="shared" si="157"/>
        <v>X</v>
      </c>
      <c r="AA632" s="2" t="str">
        <f t="shared" si="160"/>
        <v>(31 downto 24)</v>
      </c>
      <c r="AB632" s="2" t="str">
        <f t="shared" si="161"/>
        <v>(23 downto 16)</v>
      </c>
      <c r="AC632" s="2" t="str">
        <f t="shared" si="162"/>
        <v>(15 downto 8)</v>
      </c>
      <c r="AD632" s="2" t="str">
        <f t="shared" si="163"/>
        <v>(7 downto 0)</v>
      </c>
      <c r="AE632" s="2" t="str">
        <f t="shared" si="164"/>
        <v>(31 downto 24)</v>
      </c>
      <c r="AF632" s="2" t="str">
        <f t="shared" si="165"/>
        <v>(23 downto 16)</v>
      </c>
      <c r="AG632" s="2" t="str">
        <f t="shared" si="166"/>
        <v>(15 downto 8)</v>
      </c>
      <c r="AH632" s="2" t="str">
        <f t="shared" si="167"/>
        <v>(7 downto 0)</v>
      </c>
    </row>
    <row r="633" spans="2:34" x14ac:dyDescent="0.25">
      <c r="B633" s="2" t="s">
        <v>1714</v>
      </c>
      <c r="C633" s="2" t="s">
        <v>141</v>
      </c>
      <c r="D633" s="2" t="s">
        <v>0</v>
      </c>
      <c r="E633" s="2" t="s">
        <v>130</v>
      </c>
      <c r="F633" s="2" t="s">
        <v>1715</v>
      </c>
      <c r="G633" s="2" t="s">
        <v>1716</v>
      </c>
      <c r="H633" s="2" t="s">
        <v>142</v>
      </c>
      <c r="I633" s="2" t="s">
        <v>41</v>
      </c>
      <c r="J633" s="2">
        <v>32</v>
      </c>
      <c r="K633" s="2" t="s">
        <v>132</v>
      </c>
      <c r="L633" s="2" t="s">
        <v>40</v>
      </c>
      <c r="P633" s="2" t="s">
        <v>48</v>
      </c>
      <c r="Q633" s="2">
        <f>INDEX(Tables!$C$4:$C$28,MATCH($P633,Tables!$B$4:$B$28,0))</f>
        <v>32</v>
      </c>
      <c r="R633" s="2">
        <f>INDEX(Tables!$D$4:$D$28,MATCH($P633,Tables!$B$4:$B$28,0))</f>
        <v>4</v>
      </c>
      <c r="S633" s="2">
        <f>$S632+$R632+INDEX(Tables!$N$5:$Q$8,MATCH(MOD($S632+$R632,4),Tables!$M$5:$M$8,0),MATCH($R633,Tables!$N$4:$Q$4,0))</f>
        <v>2348</v>
      </c>
      <c r="T633" s="2" t="str">
        <f t="shared" si="153"/>
        <v>092C</v>
      </c>
      <c r="U633" s="2">
        <f t="shared" si="159"/>
        <v>587</v>
      </c>
      <c r="V633" s="2" t="str">
        <f t="shared" si="154"/>
        <v>24B</v>
      </c>
      <c r="W633" s="2" t="str">
        <f t="shared" si="155"/>
        <v>X</v>
      </c>
      <c r="X633" s="2" t="str">
        <f t="shared" si="158"/>
        <v>X</v>
      </c>
      <c r="Y633" s="2" t="str">
        <f t="shared" si="156"/>
        <v>X</v>
      </c>
      <c r="Z633" s="2" t="str">
        <f t="shared" si="157"/>
        <v>X</v>
      </c>
      <c r="AA633" s="2" t="str">
        <f t="shared" si="160"/>
        <v>(31 downto 24)</v>
      </c>
      <c r="AB633" s="2" t="str">
        <f t="shared" si="161"/>
        <v>(23 downto 16)</v>
      </c>
      <c r="AC633" s="2" t="str">
        <f t="shared" si="162"/>
        <v>(15 downto 8)</v>
      </c>
      <c r="AD633" s="2" t="str">
        <f t="shared" si="163"/>
        <v>(7 downto 0)</v>
      </c>
      <c r="AE633" s="2" t="str">
        <f t="shared" si="164"/>
        <v>(31 downto 24)</v>
      </c>
      <c r="AF633" s="2" t="str">
        <f t="shared" si="165"/>
        <v>(23 downto 16)</v>
      </c>
      <c r="AG633" s="2" t="str">
        <f t="shared" si="166"/>
        <v>(15 downto 8)</v>
      </c>
      <c r="AH633" s="2" t="str">
        <f t="shared" si="167"/>
        <v>(7 downto 0)</v>
      </c>
    </row>
    <row r="634" spans="2:34" x14ac:dyDescent="0.25">
      <c r="B634" s="2" t="s">
        <v>1717</v>
      </c>
      <c r="C634" s="2" t="s">
        <v>141</v>
      </c>
      <c r="D634" s="2" t="s">
        <v>0</v>
      </c>
      <c r="E634" s="2" t="s">
        <v>130</v>
      </c>
      <c r="F634" s="2" t="s">
        <v>1718</v>
      </c>
      <c r="G634" s="2" t="s">
        <v>1719</v>
      </c>
      <c r="H634" s="2" t="s">
        <v>142</v>
      </c>
      <c r="I634" s="2" t="s">
        <v>41</v>
      </c>
      <c r="J634" s="2">
        <v>32</v>
      </c>
      <c r="K634" s="2" t="s">
        <v>132</v>
      </c>
      <c r="L634" s="2" t="s">
        <v>40</v>
      </c>
      <c r="P634" s="2" t="s">
        <v>48</v>
      </c>
      <c r="Q634" s="2">
        <f>INDEX(Tables!$C$4:$C$28,MATCH($P634,Tables!$B$4:$B$28,0))</f>
        <v>32</v>
      </c>
      <c r="R634" s="2">
        <f>INDEX(Tables!$D$4:$D$28,MATCH($P634,Tables!$B$4:$B$28,0))</f>
        <v>4</v>
      </c>
      <c r="S634" s="2">
        <f>$S633+$R633+INDEX(Tables!$N$5:$Q$8,MATCH(MOD($S633+$R633,4),Tables!$M$5:$M$8,0),MATCH($R634,Tables!$N$4:$Q$4,0))</f>
        <v>2352</v>
      </c>
      <c r="T634" s="2" t="str">
        <f t="shared" si="153"/>
        <v>0930</v>
      </c>
      <c r="U634" s="2">
        <f t="shared" si="159"/>
        <v>588</v>
      </c>
      <c r="V634" s="2" t="str">
        <f t="shared" si="154"/>
        <v>24C</v>
      </c>
      <c r="W634" s="2" t="str">
        <f t="shared" si="155"/>
        <v>X</v>
      </c>
      <c r="X634" s="2" t="str">
        <f t="shared" si="158"/>
        <v>X</v>
      </c>
      <c r="Y634" s="2" t="str">
        <f t="shared" si="156"/>
        <v>X</v>
      </c>
      <c r="Z634" s="2" t="str">
        <f t="shared" si="157"/>
        <v>X</v>
      </c>
      <c r="AA634" s="2" t="str">
        <f t="shared" si="160"/>
        <v>(31 downto 24)</v>
      </c>
      <c r="AB634" s="2" t="str">
        <f t="shared" si="161"/>
        <v>(23 downto 16)</v>
      </c>
      <c r="AC634" s="2" t="str">
        <f t="shared" si="162"/>
        <v>(15 downto 8)</v>
      </c>
      <c r="AD634" s="2" t="str">
        <f t="shared" si="163"/>
        <v>(7 downto 0)</v>
      </c>
      <c r="AE634" s="2" t="str">
        <f t="shared" si="164"/>
        <v>(31 downto 24)</v>
      </c>
      <c r="AF634" s="2" t="str">
        <f t="shared" si="165"/>
        <v>(23 downto 16)</v>
      </c>
      <c r="AG634" s="2" t="str">
        <f t="shared" si="166"/>
        <v>(15 downto 8)</v>
      </c>
      <c r="AH634" s="2" t="str">
        <f t="shared" si="167"/>
        <v>(7 downto 0)</v>
      </c>
    </row>
    <row r="635" spans="2:34" x14ac:dyDescent="0.25">
      <c r="B635" s="2" t="s">
        <v>1720</v>
      </c>
      <c r="C635" s="2" t="s">
        <v>141</v>
      </c>
      <c r="D635" s="2" t="s">
        <v>0</v>
      </c>
      <c r="E635" s="2" t="s">
        <v>130</v>
      </c>
      <c r="F635" s="2" t="s">
        <v>1721</v>
      </c>
      <c r="G635" s="2" t="s">
        <v>1722</v>
      </c>
      <c r="H635" s="2" t="s">
        <v>142</v>
      </c>
      <c r="I635" s="2" t="s">
        <v>41</v>
      </c>
      <c r="J635" s="2">
        <v>32</v>
      </c>
      <c r="K635" s="2" t="s">
        <v>132</v>
      </c>
      <c r="L635" s="2" t="s">
        <v>40</v>
      </c>
      <c r="P635" s="2" t="s">
        <v>48</v>
      </c>
      <c r="Q635" s="2">
        <f>INDEX(Tables!$C$4:$C$28,MATCH($P635,Tables!$B$4:$B$28,0))</f>
        <v>32</v>
      </c>
      <c r="R635" s="2">
        <f>INDEX(Tables!$D$4:$D$28,MATCH($P635,Tables!$B$4:$B$28,0))</f>
        <v>4</v>
      </c>
      <c r="S635" s="2">
        <f>$S634+$R634+INDEX(Tables!$N$5:$Q$8,MATCH(MOD($S634+$R634,4),Tables!$M$5:$M$8,0),MATCH($R635,Tables!$N$4:$Q$4,0))</f>
        <v>2356</v>
      </c>
      <c r="T635" s="2" t="str">
        <f t="shared" si="153"/>
        <v>0934</v>
      </c>
      <c r="U635" s="2">
        <f t="shared" si="159"/>
        <v>589</v>
      </c>
      <c r="V635" s="2" t="str">
        <f t="shared" si="154"/>
        <v>24D</v>
      </c>
      <c r="W635" s="2" t="str">
        <f t="shared" si="155"/>
        <v>X</v>
      </c>
      <c r="X635" s="2" t="str">
        <f t="shared" si="158"/>
        <v>X</v>
      </c>
      <c r="Y635" s="2" t="str">
        <f t="shared" si="156"/>
        <v>X</v>
      </c>
      <c r="Z635" s="2" t="str">
        <f t="shared" si="157"/>
        <v>X</v>
      </c>
      <c r="AA635" s="2" t="str">
        <f t="shared" si="160"/>
        <v>(31 downto 24)</v>
      </c>
      <c r="AB635" s="2" t="str">
        <f t="shared" si="161"/>
        <v>(23 downto 16)</v>
      </c>
      <c r="AC635" s="2" t="str">
        <f t="shared" si="162"/>
        <v>(15 downto 8)</v>
      </c>
      <c r="AD635" s="2" t="str">
        <f t="shared" si="163"/>
        <v>(7 downto 0)</v>
      </c>
      <c r="AE635" s="2" t="str">
        <f t="shared" si="164"/>
        <v>(31 downto 24)</v>
      </c>
      <c r="AF635" s="2" t="str">
        <f t="shared" si="165"/>
        <v>(23 downto 16)</v>
      </c>
      <c r="AG635" s="2" t="str">
        <f t="shared" si="166"/>
        <v>(15 downto 8)</v>
      </c>
      <c r="AH635" s="2" t="str">
        <f t="shared" si="167"/>
        <v>(7 downto 0)</v>
      </c>
    </row>
    <row r="636" spans="2:34" x14ac:dyDescent="0.25">
      <c r="B636" s="2" t="s">
        <v>1723</v>
      </c>
      <c r="C636" s="2" t="s">
        <v>141</v>
      </c>
      <c r="D636" s="2" t="s">
        <v>0</v>
      </c>
      <c r="E636" s="2" t="s">
        <v>130</v>
      </c>
      <c r="F636" s="2" t="s">
        <v>1724</v>
      </c>
      <c r="G636" s="2" t="s">
        <v>1725</v>
      </c>
      <c r="H636" s="2" t="s">
        <v>142</v>
      </c>
      <c r="I636" s="2" t="s">
        <v>41</v>
      </c>
      <c r="J636" s="2">
        <v>32</v>
      </c>
      <c r="K636" s="2" t="s">
        <v>132</v>
      </c>
      <c r="L636" s="2" t="s">
        <v>40</v>
      </c>
      <c r="P636" s="2" t="s">
        <v>48</v>
      </c>
      <c r="Q636" s="2">
        <f>INDEX(Tables!$C$4:$C$28,MATCH($P636,Tables!$B$4:$B$28,0))</f>
        <v>32</v>
      </c>
      <c r="R636" s="2">
        <f>INDEX(Tables!$D$4:$D$28,MATCH($P636,Tables!$B$4:$B$28,0))</f>
        <v>4</v>
      </c>
      <c r="S636" s="2">
        <f>$S635+$R635+INDEX(Tables!$N$5:$Q$8,MATCH(MOD($S635+$R635,4),Tables!$M$5:$M$8,0),MATCH($R636,Tables!$N$4:$Q$4,0))</f>
        <v>2360</v>
      </c>
      <c r="T636" s="2" t="str">
        <f t="shared" si="153"/>
        <v>0938</v>
      </c>
      <c r="U636" s="2">
        <f t="shared" si="159"/>
        <v>590</v>
      </c>
      <c r="V636" s="2" t="str">
        <f t="shared" si="154"/>
        <v>24E</v>
      </c>
      <c r="W636" s="2" t="str">
        <f t="shared" si="155"/>
        <v>X</v>
      </c>
      <c r="X636" s="2" t="str">
        <f t="shared" si="158"/>
        <v>X</v>
      </c>
      <c r="Y636" s="2" t="str">
        <f t="shared" si="156"/>
        <v>X</v>
      </c>
      <c r="Z636" s="2" t="str">
        <f t="shared" si="157"/>
        <v>X</v>
      </c>
      <c r="AA636" s="2" t="str">
        <f t="shared" si="160"/>
        <v>(31 downto 24)</v>
      </c>
      <c r="AB636" s="2" t="str">
        <f t="shared" si="161"/>
        <v>(23 downto 16)</v>
      </c>
      <c r="AC636" s="2" t="str">
        <f t="shared" si="162"/>
        <v>(15 downto 8)</v>
      </c>
      <c r="AD636" s="2" t="str">
        <f t="shared" si="163"/>
        <v>(7 downto 0)</v>
      </c>
      <c r="AE636" s="2" t="str">
        <f t="shared" si="164"/>
        <v>(31 downto 24)</v>
      </c>
      <c r="AF636" s="2" t="str">
        <f t="shared" si="165"/>
        <v>(23 downto 16)</v>
      </c>
      <c r="AG636" s="2" t="str">
        <f t="shared" si="166"/>
        <v>(15 downto 8)</v>
      </c>
      <c r="AH636" s="2" t="str">
        <f t="shared" si="167"/>
        <v>(7 downto 0)</v>
      </c>
    </row>
    <row r="637" spans="2:34" x14ac:dyDescent="0.25">
      <c r="B637" s="2" t="s">
        <v>1726</v>
      </c>
      <c r="C637" s="2" t="s">
        <v>141</v>
      </c>
      <c r="D637" s="2" t="s">
        <v>0</v>
      </c>
      <c r="E637" s="2" t="s">
        <v>130</v>
      </c>
      <c r="F637" s="2" t="s">
        <v>1727</v>
      </c>
      <c r="G637" s="2" t="s">
        <v>1728</v>
      </c>
      <c r="H637" s="2" t="s">
        <v>142</v>
      </c>
      <c r="I637" s="2" t="s">
        <v>41</v>
      </c>
      <c r="J637" s="2">
        <v>32</v>
      </c>
      <c r="K637" s="2" t="s">
        <v>132</v>
      </c>
      <c r="L637" s="2" t="s">
        <v>40</v>
      </c>
      <c r="P637" s="2" t="s">
        <v>48</v>
      </c>
      <c r="Q637" s="2">
        <f>INDEX(Tables!$C$4:$C$28,MATCH($P637,Tables!$B$4:$B$28,0))</f>
        <v>32</v>
      </c>
      <c r="R637" s="2">
        <f>INDEX(Tables!$D$4:$D$28,MATCH($P637,Tables!$B$4:$B$28,0))</f>
        <v>4</v>
      </c>
      <c r="S637" s="2">
        <f>$S636+$R636+INDEX(Tables!$N$5:$Q$8,MATCH(MOD($S636+$R636,4),Tables!$M$5:$M$8,0),MATCH($R637,Tables!$N$4:$Q$4,0))</f>
        <v>2364</v>
      </c>
      <c r="T637" s="2" t="str">
        <f t="shared" si="153"/>
        <v>093C</v>
      </c>
      <c r="U637" s="2">
        <f t="shared" si="159"/>
        <v>591</v>
      </c>
      <c r="V637" s="2" t="str">
        <f t="shared" si="154"/>
        <v>24F</v>
      </c>
      <c r="W637" s="2" t="str">
        <f t="shared" si="155"/>
        <v>X</v>
      </c>
      <c r="X637" s="2" t="str">
        <f t="shared" si="158"/>
        <v>X</v>
      </c>
      <c r="Y637" s="2" t="str">
        <f t="shared" si="156"/>
        <v>X</v>
      </c>
      <c r="Z637" s="2" t="str">
        <f t="shared" si="157"/>
        <v>X</v>
      </c>
      <c r="AA637" s="2" t="str">
        <f t="shared" si="160"/>
        <v>(31 downto 24)</v>
      </c>
      <c r="AB637" s="2" t="str">
        <f t="shared" si="161"/>
        <v>(23 downto 16)</v>
      </c>
      <c r="AC637" s="2" t="str">
        <f t="shared" si="162"/>
        <v>(15 downto 8)</v>
      </c>
      <c r="AD637" s="2" t="str">
        <f t="shared" si="163"/>
        <v>(7 downto 0)</v>
      </c>
      <c r="AE637" s="2" t="str">
        <f t="shared" si="164"/>
        <v>(31 downto 24)</v>
      </c>
      <c r="AF637" s="2" t="str">
        <f t="shared" si="165"/>
        <v>(23 downto 16)</v>
      </c>
      <c r="AG637" s="2" t="str">
        <f t="shared" si="166"/>
        <v>(15 downto 8)</v>
      </c>
      <c r="AH637" s="2" t="str">
        <f t="shared" si="167"/>
        <v>(7 downto 0)</v>
      </c>
    </row>
    <row r="638" spans="2:34" x14ac:dyDescent="0.25">
      <c r="B638" s="2" t="s">
        <v>1729</v>
      </c>
      <c r="C638" s="2" t="s">
        <v>141</v>
      </c>
      <c r="D638" s="2" t="s">
        <v>0</v>
      </c>
      <c r="E638" s="2" t="s">
        <v>130</v>
      </c>
      <c r="F638" s="2" t="s">
        <v>1730</v>
      </c>
      <c r="G638" s="2" t="s">
        <v>1731</v>
      </c>
      <c r="H638" s="2" t="s">
        <v>142</v>
      </c>
      <c r="I638" s="2" t="s">
        <v>41</v>
      </c>
      <c r="J638" s="2">
        <v>32</v>
      </c>
      <c r="K638" s="2" t="s">
        <v>132</v>
      </c>
      <c r="L638" s="2" t="s">
        <v>40</v>
      </c>
      <c r="P638" s="2" t="s">
        <v>48</v>
      </c>
      <c r="Q638" s="2">
        <f>INDEX(Tables!$C$4:$C$28,MATCH($P638,Tables!$B$4:$B$28,0))</f>
        <v>32</v>
      </c>
      <c r="R638" s="2">
        <f>INDEX(Tables!$D$4:$D$28,MATCH($P638,Tables!$B$4:$B$28,0))</f>
        <v>4</v>
      </c>
      <c r="S638" s="2">
        <f>$S637+$R637+INDEX(Tables!$N$5:$Q$8,MATCH(MOD($S637+$R637,4),Tables!$M$5:$M$8,0),MATCH($R638,Tables!$N$4:$Q$4,0))</f>
        <v>2368</v>
      </c>
      <c r="T638" s="2" t="str">
        <f t="shared" si="153"/>
        <v>0940</v>
      </c>
      <c r="U638" s="2">
        <f t="shared" si="159"/>
        <v>592</v>
      </c>
      <c r="V638" s="2" t="str">
        <f t="shared" si="154"/>
        <v>250</v>
      </c>
      <c r="W638" s="2" t="str">
        <f t="shared" si="155"/>
        <v>X</v>
      </c>
      <c r="X638" s="2" t="str">
        <f t="shared" si="158"/>
        <v>X</v>
      </c>
      <c r="Y638" s="2" t="str">
        <f t="shared" si="156"/>
        <v>X</v>
      </c>
      <c r="Z638" s="2" t="str">
        <f t="shared" si="157"/>
        <v>X</v>
      </c>
      <c r="AA638" s="2" t="str">
        <f t="shared" si="160"/>
        <v>(31 downto 24)</v>
      </c>
      <c r="AB638" s="2" t="str">
        <f t="shared" si="161"/>
        <v>(23 downto 16)</v>
      </c>
      <c r="AC638" s="2" t="str">
        <f t="shared" si="162"/>
        <v>(15 downto 8)</v>
      </c>
      <c r="AD638" s="2" t="str">
        <f t="shared" si="163"/>
        <v>(7 downto 0)</v>
      </c>
      <c r="AE638" s="2" t="str">
        <f t="shared" si="164"/>
        <v>(31 downto 24)</v>
      </c>
      <c r="AF638" s="2" t="str">
        <f t="shared" si="165"/>
        <v>(23 downto 16)</v>
      </c>
      <c r="AG638" s="2" t="str">
        <f t="shared" si="166"/>
        <v>(15 downto 8)</v>
      </c>
      <c r="AH638" s="2" t="str">
        <f t="shared" si="167"/>
        <v>(7 downto 0)</v>
      </c>
    </row>
    <row r="639" spans="2:34" x14ac:dyDescent="0.25">
      <c r="B639" s="2" t="s">
        <v>1732</v>
      </c>
      <c r="C639" s="2" t="s">
        <v>141</v>
      </c>
      <c r="D639" s="2" t="s">
        <v>0</v>
      </c>
      <c r="E639" s="2" t="s">
        <v>130</v>
      </c>
      <c r="F639" s="2" t="s">
        <v>1733</v>
      </c>
      <c r="G639" s="2" t="s">
        <v>1734</v>
      </c>
      <c r="H639" s="2" t="s">
        <v>142</v>
      </c>
      <c r="I639" s="2" t="s">
        <v>41</v>
      </c>
      <c r="J639" s="2">
        <v>32</v>
      </c>
      <c r="K639" s="2" t="s">
        <v>132</v>
      </c>
      <c r="L639" s="2" t="s">
        <v>40</v>
      </c>
      <c r="P639" s="2" t="s">
        <v>48</v>
      </c>
      <c r="Q639" s="2">
        <f>INDEX(Tables!$C$4:$C$28,MATCH($P639,Tables!$B$4:$B$28,0))</f>
        <v>32</v>
      </c>
      <c r="R639" s="2">
        <f>INDEX(Tables!$D$4:$D$28,MATCH($P639,Tables!$B$4:$B$28,0))</f>
        <v>4</v>
      </c>
      <c r="S639" s="2">
        <f>$S638+$R638+INDEX(Tables!$N$5:$Q$8,MATCH(MOD($S638+$R638,4),Tables!$M$5:$M$8,0),MATCH($R639,Tables!$N$4:$Q$4,0))</f>
        <v>2372</v>
      </c>
      <c r="T639" s="2" t="str">
        <f t="shared" si="153"/>
        <v>0944</v>
      </c>
      <c r="U639" s="2">
        <f t="shared" si="159"/>
        <v>593</v>
      </c>
      <c r="V639" s="2" t="str">
        <f t="shared" si="154"/>
        <v>251</v>
      </c>
      <c r="W639" s="2" t="str">
        <f t="shared" si="155"/>
        <v>X</v>
      </c>
      <c r="X639" s="2" t="str">
        <f t="shared" si="158"/>
        <v>X</v>
      </c>
      <c r="Y639" s="2" t="str">
        <f t="shared" si="156"/>
        <v>X</v>
      </c>
      <c r="Z639" s="2" t="str">
        <f t="shared" si="157"/>
        <v>X</v>
      </c>
      <c r="AA639" s="2" t="str">
        <f t="shared" si="160"/>
        <v>(31 downto 24)</v>
      </c>
      <c r="AB639" s="2" t="str">
        <f t="shared" si="161"/>
        <v>(23 downto 16)</v>
      </c>
      <c r="AC639" s="2" t="str">
        <f t="shared" si="162"/>
        <v>(15 downto 8)</v>
      </c>
      <c r="AD639" s="2" t="str">
        <f t="shared" si="163"/>
        <v>(7 downto 0)</v>
      </c>
      <c r="AE639" s="2" t="str">
        <f t="shared" si="164"/>
        <v>(31 downto 24)</v>
      </c>
      <c r="AF639" s="2" t="str">
        <f t="shared" si="165"/>
        <v>(23 downto 16)</v>
      </c>
      <c r="AG639" s="2" t="str">
        <f t="shared" si="166"/>
        <v>(15 downto 8)</v>
      </c>
      <c r="AH639" s="2" t="str">
        <f t="shared" si="167"/>
        <v>(7 downto 0)</v>
      </c>
    </row>
    <row r="640" spans="2:34" x14ac:dyDescent="0.25">
      <c r="B640" s="2" t="s">
        <v>1735</v>
      </c>
      <c r="C640" s="2" t="s">
        <v>141</v>
      </c>
      <c r="D640" s="2" t="s">
        <v>0</v>
      </c>
      <c r="E640" s="2" t="s">
        <v>130</v>
      </c>
      <c r="F640" s="2" t="s">
        <v>1736</v>
      </c>
      <c r="G640" s="2" t="s">
        <v>1737</v>
      </c>
      <c r="H640" s="2" t="s">
        <v>142</v>
      </c>
      <c r="I640" s="2" t="s">
        <v>41</v>
      </c>
      <c r="J640" s="2">
        <v>32</v>
      </c>
      <c r="K640" s="2" t="s">
        <v>132</v>
      </c>
      <c r="L640" s="2" t="s">
        <v>40</v>
      </c>
      <c r="P640" s="2" t="s">
        <v>48</v>
      </c>
      <c r="Q640" s="2">
        <f>INDEX(Tables!$C$4:$C$28,MATCH($P640,Tables!$B$4:$B$28,0))</f>
        <v>32</v>
      </c>
      <c r="R640" s="2">
        <f>INDEX(Tables!$D$4:$D$28,MATCH($P640,Tables!$B$4:$B$28,0))</f>
        <v>4</v>
      </c>
      <c r="S640" s="2">
        <f>$S639+$R639+INDEX(Tables!$N$5:$Q$8,MATCH(MOD($S639+$R639,4),Tables!$M$5:$M$8,0),MATCH($R640,Tables!$N$4:$Q$4,0))</f>
        <v>2376</v>
      </c>
      <c r="T640" s="2" t="str">
        <f t="shared" si="153"/>
        <v>0948</v>
      </c>
      <c r="U640" s="2">
        <f t="shared" si="159"/>
        <v>594</v>
      </c>
      <c r="V640" s="2" t="str">
        <f t="shared" si="154"/>
        <v>252</v>
      </c>
      <c r="W640" s="2" t="str">
        <f t="shared" si="155"/>
        <v>X</v>
      </c>
      <c r="X640" s="2" t="str">
        <f t="shared" si="158"/>
        <v>X</v>
      </c>
      <c r="Y640" s="2" t="str">
        <f t="shared" si="156"/>
        <v>X</v>
      </c>
      <c r="Z640" s="2" t="str">
        <f t="shared" si="157"/>
        <v>X</v>
      </c>
      <c r="AA640" s="2" t="str">
        <f t="shared" si="160"/>
        <v>(31 downto 24)</v>
      </c>
      <c r="AB640" s="2" t="str">
        <f t="shared" si="161"/>
        <v>(23 downto 16)</v>
      </c>
      <c r="AC640" s="2" t="str">
        <f t="shared" si="162"/>
        <v>(15 downto 8)</v>
      </c>
      <c r="AD640" s="2" t="str">
        <f t="shared" si="163"/>
        <v>(7 downto 0)</v>
      </c>
      <c r="AE640" s="2" t="str">
        <f t="shared" si="164"/>
        <v>(31 downto 24)</v>
      </c>
      <c r="AF640" s="2" t="str">
        <f t="shared" si="165"/>
        <v>(23 downto 16)</v>
      </c>
      <c r="AG640" s="2" t="str">
        <f t="shared" si="166"/>
        <v>(15 downto 8)</v>
      </c>
      <c r="AH640" s="2" t="str">
        <f t="shared" si="167"/>
        <v>(7 downto 0)</v>
      </c>
    </row>
    <row r="641" spans="2:34" x14ac:dyDescent="0.25">
      <c r="B641" s="2" t="s">
        <v>1738</v>
      </c>
      <c r="C641" s="2" t="s">
        <v>141</v>
      </c>
      <c r="D641" s="2" t="s">
        <v>0</v>
      </c>
      <c r="E641" s="2" t="s">
        <v>130</v>
      </c>
      <c r="F641" s="2" t="s">
        <v>1739</v>
      </c>
      <c r="G641" s="2" t="s">
        <v>1740</v>
      </c>
      <c r="H641" s="2" t="s">
        <v>142</v>
      </c>
      <c r="I641" s="2" t="s">
        <v>41</v>
      </c>
      <c r="J641" s="2">
        <v>32</v>
      </c>
      <c r="K641" s="2" t="s">
        <v>132</v>
      </c>
      <c r="L641" s="2" t="s">
        <v>40</v>
      </c>
      <c r="P641" s="2" t="s">
        <v>48</v>
      </c>
      <c r="Q641" s="2">
        <f>INDEX(Tables!$C$4:$C$28,MATCH($P641,Tables!$B$4:$B$28,0))</f>
        <v>32</v>
      </c>
      <c r="R641" s="2">
        <f>INDEX(Tables!$D$4:$D$28,MATCH($P641,Tables!$B$4:$B$28,0))</f>
        <v>4</v>
      </c>
      <c r="S641" s="2">
        <f>$S640+$R640+INDEX(Tables!$N$5:$Q$8,MATCH(MOD($S640+$R640,4),Tables!$M$5:$M$8,0),MATCH($R641,Tables!$N$4:$Q$4,0))</f>
        <v>2380</v>
      </c>
      <c r="T641" s="2" t="str">
        <f t="shared" si="153"/>
        <v>094C</v>
      </c>
      <c r="U641" s="2">
        <f t="shared" si="159"/>
        <v>595</v>
      </c>
      <c r="V641" s="2" t="str">
        <f t="shared" si="154"/>
        <v>253</v>
      </c>
      <c r="W641" s="2" t="str">
        <f t="shared" si="155"/>
        <v>X</v>
      </c>
      <c r="X641" s="2" t="str">
        <f t="shared" si="158"/>
        <v>X</v>
      </c>
      <c r="Y641" s="2" t="str">
        <f t="shared" si="156"/>
        <v>X</v>
      </c>
      <c r="Z641" s="2" t="str">
        <f t="shared" si="157"/>
        <v>X</v>
      </c>
      <c r="AA641" s="2" t="str">
        <f t="shared" si="160"/>
        <v>(31 downto 24)</v>
      </c>
      <c r="AB641" s="2" t="str">
        <f t="shared" si="161"/>
        <v>(23 downto 16)</v>
      </c>
      <c r="AC641" s="2" t="str">
        <f t="shared" si="162"/>
        <v>(15 downto 8)</v>
      </c>
      <c r="AD641" s="2" t="str">
        <f t="shared" si="163"/>
        <v>(7 downto 0)</v>
      </c>
      <c r="AE641" s="2" t="str">
        <f t="shared" si="164"/>
        <v>(31 downto 24)</v>
      </c>
      <c r="AF641" s="2" t="str">
        <f t="shared" si="165"/>
        <v>(23 downto 16)</v>
      </c>
      <c r="AG641" s="2" t="str">
        <f t="shared" si="166"/>
        <v>(15 downto 8)</v>
      </c>
      <c r="AH641" s="2" t="str">
        <f t="shared" si="167"/>
        <v>(7 downto 0)</v>
      </c>
    </row>
    <row r="642" spans="2:34" x14ac:dyDescent="0.25">
      <c r="B642" s="2" t="s">
        <v>1741</v>
      </c>
      <c r="C642" s="2" t="s">
        <v>141</v>
      </c>
      <c r="D642" s="2" t="s">
        <v>0</v>
      </c>
      <c r="E642" s="2" t="s">
        <v>130</v>
      </c>
      <c r="F642" s="2" t="s">
        <v>1742</v>
      </c>
      <c r="G642" s="2" t="s">
        <v>1743</v>
      </c>
      <c r="H642" s="2" t="s">
        <v>142</v>
      </c>
      <c r="I642" s="2" t="s">
        <v>41</v>
      </c>
      <c r="J642" s="2">
        <v>32</v>
      </c>
      <c r="K642" s="2" t="s">
        <v>132</v>
      </c>
      <c r="L642" s="2" t="s">
        <v>40</v>
      </c>
      <c r="P642" s="2" t="s">
        <v>48</v>
      </c>
      <c r="Q642" s="2">
        <f>INDEX(Tables!$C$4:$C$28,MATCH($P642,Tables!$B$4:$B$28,0))</f>
        <v>32</v>
      </c>
      <c r="R642" s="2">
        <f>INDEX(Tables!$D$4:$D$28,MATCH($P642,Tables!$B$4:$B$28,0))</f>
        <v>4</v>
      </c>
      <c r="S642" s="2">
        <f>$S641+$R641+INDEX(Tables!$N$5:$Q$8,MATCH(MOD($S641+$R641,4),Tables!$M$5:$M$8,0),MATCH($R642,Tables!$N$4:$Q$4,0))</f>
        <v>2384</v>
      </c>
      <c r="T642" s="2" t="str">
        <f t="shared" si="153"/>
        <v>0950</v>
      </c>
      <c r="U642" s="2">
        <f t="shared" si="159"/>
        <v>596</v>
      </c>
      <c r="V642" s="2" t="str">
        <f t="shared" si="154"/>
        <v>254</v>
      </c>
      <c r="W642" s="2" t="str">
        <f t="shared" si="155"/>
        <v>X</v>
      </c>
      <c r="X642" s="2" t="str">
        <f t="shared" si="158"/>
        <v>X</v>
      </c>
      <c r="Y642" s="2" t="str">
        <f t="shared" si="156"/>
        <v>X</v>
      </c>
      <c r="Z642" s="2" t="str">
        <f t="shared" si="157"/>
        <v>X</v>
      </c>
      <c r="AA642" s="2" t="str">
        <f t="shared" si="160"/>
        <v>(31 downto 24)</v>
      </c>
      <c r="AB642" s="2" t="str">
        <f t="shared" si="161"/>
        <v>(23 downto 16)</v>
      </c>
      <c r="AC642" s="2" t="str">
        <f t="shared" si="162"/>
        <v>(15 downto 8)</v>
      </c>
      <c r="AD642" s="2" t="str">
        <f t="shared" si="163"/>
        <v>(7 downto 0)</v>
      </c>
      <c r="AE642" s="2" t="str">
        <f t="shared" si="164"/>
        <v>(31 downto 24)</v>
      </c>
      <c r="AF642" s="2" t="str">
        <f t="shared" si="165"/>
        <v>(23 downto 16)</v>
      </c>
      <c r="AG642" s="2" t="str">
        <f t="shared" si="166"/>
        <v>(15 downto 8)</v>
      </c>
      <c r="AH642" s="2" t="str">
        <f t="shared" si="167"/>
        <v>(7 downto 0)</v>
      </c>
    </row>
    <row r="643" spans="2:34" x14ac:dyDescent="0.25">
      <c r="B643" s="2" t="s">
        <v>1744</v>
      </c>
      <c r="C643" s="2" t="s">
        <v>141</v>
      </c>
      <c r="D643" s="2" t="s">
        <v>0</v>
      </c>
      <c r="E643" s="2" t="s">
        <v>130</v>
      </c>
      <c r="F643" s="2" t="s">
        <v>1745</v>
      </c>
      <c r="G643" s="2" t="s">
        <v>1746</v>
      </c>
      <c r="H643" s="2" t="s">
        <v>142</v>
      </c>
      <c r="I643" s="2" t="s">
        <v>41</v>
      </c>
      <c r="J643" s="2">
        <v>32</v>
      </c>
      <c r="K643" s="2" t="s">
        <v>132</v>
      </c>
      <c r="L643" s="2" t="s">
        <v>40</v>
      </c>
      <c r="P643" s="2" t="s">
        <v>48</v>
      </c>
      <c r="Q643" s="2">
        <f>INDEX(Tables!$C$4:$C$28,MATCH($P643,Tables!$B$4:$B$28,0))</f>
        <v>32</v>
      </c>
      <c r="R643" s="2">
        <f>INDEX(Tables!$D$4:$D$28,MATCH($P643,Tables!$B$4:$B$28,0))</f>
        <v>4</v>
      </c>
      <c r="S643" s="2">
        <f>$S642+$R642+INDEX(Tables!$N$5:$Q$8,MATCH(MOD($S642+$R642,4),Tables!$M$5:$M$8,0),MATCH($R643,Tables!$N$4:$Q$4,0))</f>
        <v>2388</v>
      </c>
      <c r="T643" s="2" t="str">
        <f t="shared" si="153"/>
        <v>0954</v>
      </c>
      <c r="U643" s="2">
        <f t="shared" si="159"/>
        <v>597</v>
      </c>
      <c r="V643" s="2" t="str">
        <f t="shared" si="154"/>
        <v>255</v>
      </c>
      <c r="W643" s="2" t="str">
        <f t="shared" si="155"/>
        <v>X</v>
      </c>
      <c r="X643" s="2" t="str">
        <f t="shared" si="158"/>
        <v>X</v>
      </c>
      <c r="Y643" s="2" t="str">
        <f t="shared" si="156"/>
        <v>X</v>
      </c>
      <c r="Z643" s="2" t="str">
        <f t="shared" si="157"/>
        <v>X</v>
      </c>
      <c r="AA643" s="2" t="str">
        <f t="shared" si="160"/>
        <v>(31 downto 24)</v>
      </c>
      <c r="AB643" s="2" t="str">
        <f t="shared" si="161"/>
        <v>(23 downto 16)</v>
      </c>
      <c r="AC643" s="2" t="str">
        <f t="shared" si="162"/>
        <v>(15 downto 8)</v>
      </c>
      <c r="AD643" s="2" t="str">
        <f t="shared" si="163"/>
        <v>(7 downto 0)</v>
      </c>
      <c r="AE643" s="2" t="str">
        <f t="shared" si="164"/>
        <v>(31 downto 24)</v>
      </c>
      <c r="AF643" s="2" t="str">
        <f t="shared" si="165"/>
        <v>(23 downto 16)</v>
      </c>
      <c r="AG643" s="2" t="str">
        <f t="shared" si="166"/>
        <v>(15 downto 8)</v>
      </c>
      <c r="AH643" s="2" t="str">
        <f t="shared" si="167"/>
        <v>(7 downto 0)</v>
      </c>
    </row>
    <row r="644" spans="2:34" x14ac:dyDescent="0.25">
      <c r="B644" s="2" t="s">
        <v>1747</v>
      </c>
      <c r="C644" s="2" t="s">
        <v>141</v>
      </c>
      <c r="D644" s="2" t="s">
        <v>0</v>
      </c>
      <c r="E644" s="2" t="s">
        <v>130</v>
      </c>
      <c r="F644" s="2" t="s">
        <v>1748</v>
      </c>
      <c r="G644" s="2" t="s">
        <v>1749</v>
      </c>
      <c r="H644" s="2" t="s">
        <v>142</v>
      </c>
      <c r="I644" s="2" t="s">
        <v>41</v>
      </c>
      <c r="J644" s="2">
        <v>32</v>
      </c>
      <c r="K644" s="2" t="s">
        <v>132</v>
      </c>
      <c r="L644" s="2" t="s">
        <v>40</v>
      </c>
      <c r="P644" s="2" t="s">
        <v>48</v>
      </c>
      <c r="Q644" s="2">
        <f>INDEX(Tables!$C$4:$C$28,MATCH($P644,Tables!$B$4:$B$28,0))</f>
        <v>32</v>
      </c>
      <c r="R644" s="2">
        <f>INDEX(Tables!$D$4:$D$28,MATCH($P644,Tables!$B$4:$B$28,0))</f>
        <v>4</v>
      </c>
      <c r="S644" s="2">
        <f>$S643+$R643+INDEX(Tables!$N$5:$Q$8,MATCH(MOD($S643+$R643,4),Tables!$M$5:$M$8,0),MATCH($R644,Tables!$N$4:$Q$4,0))</f>
        <v>2392</v>
      </c>
      <c r="T644" s="2" t="str">
        <f t="shared" si="153"/>
        <v>0958</v>
      </c>
      <c r="U644" s="2">
        <f t="shared" si="159"/>
        <v>598</v>
      </c>
      <c r="V644" s="2" t="str">
        <f t="shared" si="154"/>
        <v>256</v>
      </c>
      <c r="W644" s="2" t="str">
        <f t="shared" si="155"/>
        <v>X</v>
      </c>
      <c r="X644" s="2" t="str">
        <f t="shared" si="158"/>
        <v>X</v>
      </c>
      <c r="Y644" s="2" t="str">
        <f t="shared" si="156"/>
        <v>X</v>
      </c>
      <c r="Z644" s="2" t="str">
        <f t="shared" si="157"/>
        <v>X</v>
      </c>
      <c r="AA644" s="2" t="str">
        <f t="shared" si="160"/>
        <v>(31 downto 24)</v>
      </c>
      <c r="AB644" s="2" t="str">
        <f t="shared" si="161"/>
        <v>(23 downto 16)</v>
      </c>
      <c r="AC644" s="2" t="str">
        <f t="shared" si="162"/>
        <v>(15 downto 8)</v>
      </c>
      <c r="AD644" s="2" t="str">
        <f t="shared" si="163"/>
        <v>(7 downto 0)</v>
      </c>
      <c r="AE644" s="2" t="str">
        <f t="shared" si="164"/>
        <v>(31 downto 24)</v>
      </c>
      <c r="AF644" s="2" t="str">
        <f t="shared" si="165"/>
        <v>(23 downto 16)</v>
      </c>
      <c r="AG644" s="2" t="str">
        <f t="shared" si="166"/>
        <v>(15 downto 8)</v>
      </c>
      <c r="AH644" s="2" t="str">
        <f t="shared" si="167"/>
        <v>(7 downto 0)</v>
      </c>
    </row>
    <row r="645" spans="2:34" x14ac:dyDescent="0.25">
      <c r="B645" s="2" t="s">
        <v>1750</v>
      </c>
      <c r="C645" s="2" t="s">
        <v>141</v>
      </c>
      <c r="D645" s="2" t="s">
        <v>0</v>
      </c>
      <c r="E645" s="2" t="s">
        <v>130</v>
      </c>
      <c r="F645" s="2" t="s">
        <v>1751</v>
      </c>
      <c r="G645" s="2" t="s">
        <v>1752</v>
      </c>
      <c r="H645" s="2" t="s">
        <v>142</v>
      </c>
      <c r="I645" s="2" t="s">
        <v>41</v>
      </c>
      <c r="J645" s="2">
        <v>32</v>
      </c>
      <c r="K645" s="2" t="s">
        <v>132</v>
      </c>
      <c r="L645" s="2" t="s">
        <v>40</v>
      </c>
      <c r="P645" s="2" t="s">
        <v>48</v>
      </c>
      <c r="Q645" s="2">
        <f>INDEX(Tables!$C$4:$C$28,MATCH($P645,Tables!$B$4:$B$28,0))</f>
        <v>32</v>
      </c>
      <c r="R645" s="2">
        <f>INDEX(Tables!$D$4:$D$28,MATCH($P645,Tables!$B$4:$B$28,0))</f>
        <v>4</v>
      </c>
      <c r="S645" s="2">
        <f>$S644+$R644+INDEX(Tables!$N$5:$Q$8,MATCH(MOD($S644+$R644,4),Tables!$M$5:$M$8,0),MATCH($R645,Tables!$N$4:$Q$4,0))</f>
        <v>2396</v>
      </c>
      <c r="T645" s="2" t="str">
        <f t="shared" ref="T645:T708" si="168">DEC2HEX($S645,4)</f>
        <v>095C</v>
      </c>
      <c r="U645" s="2">
        <f t="shared" si="159"/>
        <v>599</v>
      </c>
      <c r="V645" s="2" t="str">
        <f t="shared" ref="V645:V708" si="169">DEC2HEX($U645,3)</f>
        <v>257</v>
      </c>
      <c r="W645" s="2" t="str">
        <f t="shared" ref="W645:W708" si="170">IF(MOD($S645,4)=3,"X",IF(AND(MOD($S645,4)=2,$J645&gt;8),"X",IF(AND(MOD($S645,4)=1,$J645&gt;16),"X",IF(AND(MOD($S645,4)=0,$J645&gt;24),"X",""))))</f>
        <v>X</v>
      </c>
      <c r="X645" s="2" t="str">
        <f t="shared" si="158"/>
        <v>X</v>
      </c>
      <c r="Y645" s="2" t="str">
        <f t="shared" ref="Y645:Y708" si="171">IF(MOD($S645,4)=1,"X",IF(AND(MOD($S645,4)=0,$J645&gt;8),"X",""))</f>
        <v>X</v>
      </c>
      <c r="Z645" s="2" t="str">
        <f t="shared" ref="Z645:Z708" si="172">IF(MOD($S645,4)=0,"X","")</f>
        <v>X</v>
      </c>
      <c r="AA645" s="2" t="str">
        <f t="shared" si="160"/>
        <v>(31 downto 24)</v>
      </c>
      <c r="AB645" s="2" t="str">
        <f t="shared" si="161"/>
        <v>(23 downto 16)</v>
      </c>
      <c r="AC645" s="2" t="str">
        <f t="shared" si="162"/>
        <v>(15 downto 8)</v>
      </c>
      <c r="AD645" s="2" t="str">
        <f t="shared" si="163"/>
        <v>(7 downto 0)</v>
      </c>
      <c r="AE645" s="2" t="str">
        <f t="shared" si="164"/>
        <v>(31 downto 24)</v>
      </c>
      <c r="AF645" s="2" t="str">
        <f t="shared" si="165"/>
        <v>(23 downto 16)</v>
      </c>
      <c r="AG645" s="2" t="str">
        <f t="shared" si="166"/>
        <v>(15 downto 8)</v>
      </c>
      <c r="AH645" s="2" t="str">
        <f t="shared" si="167"/>
        <v>(7 downto 0)</v>
      </c>
    </row>
    <row r="646" spans="2:34" x14ac:dyDescent="0.25">
      <c r="B646" s="2" t="s">
        <v>1753</v>
      </c>
      <c r="C646" s="2" t="s">
        <v>141</v>
      </c>
      <c r="D646" s="2" t="s">
        <v>0</v>
      </c>
      <c r="E646" s="2" t="s">
        <v>130</v>
      </c>
      <c r="F646" s="2" t="s">
        <v>1754</v>
      </c>
      <c r="G646" s="2" t="s">
        <v>1755</v>
      </c>
      <c r="H646" s="2" t="s">
        <v>142</v>
      </c>
      <c r="I646" s="2" t="s">
        <v>41</v>
      </c>
      <c r="J646" s="2">
        <v>32</v>
      </c>
      <c r="K646" s="2" t="s">
        <v>132</v>
      </c>
      <c r="L646" s="2" t="s">
        <v>40</v>
      </c>
      <c r="P646" s="2" t="s">
        <v>48</v>
      </c>
      <c r="Q646" s="2">
        <f>INDEX(Tables!$C$4:$C$28,MATCH($P646,Tables!$B$4:$B$28,0))</f>
        <v>32</v>
      </c>
      <c r="R646" s="2">
        <f>INDEX(Tables!$D$4:$D$28,MATCH($P646,Tables!$B$4:$B$28,0))</f>
        <v>4</v>
      </c>
      <c r="S646" s="2">
        <f>$S645+$R645+INDEX(Tables!$N$5:$Q$8,MATCH(MOD($S645+$R645,4),Tables!$M$5:$M$8,0),MATCH($R646,Tables!$N$4:$Q$4,0))</f>
        <v>2400</v>
      </c>
      <c r="T646" s="2" t="str">
        <f t="shared" si="168"/>
        <v>0960</v>
      </c>
      <c r="U646" s="2">
        <f t="shared" si="159"/>
        <v>600</v>
      </c>
      <c r="V646" s="2" t="str">
        <f t="shared" si="169"/>
        <v>258</v>
      </c>
      <c r="W646" s="2" t="str">
        <f t="shared" si="170"/>
        <v>X</v>
      </c>
      <c r="X646" s="2" t="str">
        <f t="shared" ref="X646:X709" si="173">IF(MOD($S646,4)=2,"X",IF(AND(MOD($S646,4)=1,$J646&gt;8),"X",IF(AND(MOD($S646,4)=0,$J646&gt;16),"X","")))</f>
        <v>X</v>
      </c>
      <c r="Y646" s="2" t="str">
        <f t="shared" si="171"/>
        <v>X</v>
      </c>
      <c r="Z646" s="2" t="str">
        <f t="shared" si="172"/>
        <v>X</v>
      </c>
      <c r="AA646" s="2" t="str">
        <f t="shared" si="160"/>
        <v>(31 downto 24)</v>
      </c>
      <c r="AB646" s="2" t="str">
        <f t="shared" si="161"/>
        <v>(23 downto 16)</v>
      </c>
      <c r="AC646" s="2" t="str">
        <f t="shared" si="162"/>
        <v>(15 downto 8)</v>
      </c>
      <c r="AD646" s="2" t="str">
        <f t="shared" si="163"/>
        <v>(7 downto 0)</v>
      </c>
      <c r="AE646" s="2" t="str">
        <f t="shared" si="164"/>
        <v>(31 downto 24)</v>
      </c>
      <c r="AF646" s="2" t="str">
        <f t="shared" si="165"/>
        <v>(23 downto 16)</v>
      </c>
      <c r="AG646" s="2" t="str">
        <f t="shared" si="166"/>
        <v>(15 downto 8)</v>
      </c>
      <c r="AH646" s="2" t="str">
        <f t="shared" si="167"/>
        <v>(7 downto 0)</v>
      </c>
    </row>
    <row r="647" spans="2:34" x14ac:dyDescent="0.25">
      <c r="B647" s="2" t="s">
        <v>1756</v>
      </c>
      <c r="C647" s="2" t="s">
        <v>141</v>
      </c>
      <c r="D647" s="2" t="s">
        <v>0</v>
      </c>
      <c r="E647" s="2" t="s">
        <v>130</v>
      </c>
      <c r="F647" s="2" t="s">
        <v>1757</v>
      </c>
      <c r="G647" s="2" t="s">
        <v>1758</v>
      </c>
      <c r="H647" s="2" t="s">
        <v>142</v>
      </c>
      <c r="I647" s="2" t="s">
        <v>41</v>
      </c>
      <c r="J647" s="2">
        <v>32</v>
      </c>
      <c r="K647" s="2" t="s">
        <v>132</v>
      </c>
      <c r="L647" s="2" t="s">
        <v>40</v>
      </c>
      <c r="P647" s="2" t="s">
        <v>48</v>
      </c>
      <c r="Q647" s="2">
        <f>INDEX(Tables!$C$4:$C$28,MATCH($P647,Tables!$B$4:$B$28,0))</f>
        <v>32</v>
      </c>
      <c r="R647" s="2">
        <f>INDEX(Tables!$D$4:$D$28,MATCH($P647,Tables!$B$4:$B$28,0))</f>
        <v>4</v>
      </c>
      <c r="S647" s="2">
        <f>$S646+$R646+INDEX(Tables!$N$5:$Q$8,MATCH(MOD($S646+$R646,4),Tables!$M$5:$M$8,0),MATCH($R647,Tables!$N$4:$Q$4,0))</f>
        <v>2404</v>
      </c>
      <c r="T647" s="2" t="str">
        <f t="shared" si="168"/>
        <v>0964</v>
      </c>
      <c r="U647" s="2">
        <f t="shared" si="159"/>
        <v>601</v>
      </c>
      <c r="V647" s="2" t="str">
        <f t="shared" si="169"/>
        <v>259</v>
      </c>
      <c r="W647" s="2" t="str">
        <f t="shared" si="170"/>
        <v>X</v>
      </c>
      <c r="X647" s="2" t="str">
        <f t="shared" si="173"/>
        <v>X</v>
      </c>
      <c r="Y647" s="2" t="str">
        <f t="shared" si="171"/>
        <v>X</v>
      </c>
      <c r="Z647" s="2" t="str">
        <f t="shared" si="172"/>
        <v>X</v>
      </c>
      <c r="AA647" s="2" t="str">
        <f t="shared" si="160"/>
        <v>(31 downto 24)</v>
      </c>
      <c r="AB647" s="2" t="str">
        <f t="shared" si="161"/>
        <v>(23 downto 16)</v>
      </c>
      <c r="AC647" s="2" t="str">
        <f t="shared" si="162"/>
        <v>(15 downto 8)</v>
      </c>
      <c r="AD647" s="2" t="str">
        <f t="shared" si="163"/>
        <v>(7 downto 0)</v>
      </c>
      <c r="AE647" s="2" t="str">
        <f t="shared" si="164"/>
        <v>(31 downto 24)</v>
      </c>
      <c r="AF647" s="2" t="str">
        <f t="shared" si="165"/>
        <v>(23 downto 16)</v>
      </c>
      <c r="AG647" s="2" t="str">
        <f t="shared" si="166"/>
        <v>(15 downto 8)</v>
      </c>
      <c r="AH647" s="2" t="str">
        <f t="shared" si="167"/>
        <v>(7 downto 0)</v>
      </c>
    </row>
    <row r="648" spans="2:34" x14ac:dyDescent="0.25">
      <c r="B648" s="2" t="s">
        <v>1759</v>
      </c>
      <c r="C648" s="2" t="s">
        <v>141</v>
      </c>
      <c r="D648" s="2" t="s">
        <v>0</v>
      </c>
      <c r="E648" s="2" t="s">
        <v>130</v>
      </c>
      <c r="F648" s="2" t="s">
        <v>1760</v>
      </c>
      <c r="G648" s="2" t="s">
        <v>1761</v>
      </c>
      <c r="H648" s="2" t="s">
        <v>142</v>
      </c>
      <c r="I648" s="2" t="s">
        <v>41</v>
      </c>
      <c r="J648" s="2">
        <v>32</v>
      </c>
      <c r="K648" s="2" t="s">
        <v>132</v>
      </c>
      <c r="L648" s="2" t="s">
        <v>40</v>
      </c>
      <c r="P648" s="2" t="s">
        <v>48</v>
      </c>
      <c r="Q648" s="2">
        <f>INDEX(Tables!$C$4:$C$28,MATCH($P648,Tables!$B$4:$B$28,0))</f>
        <v>32</v>
      </c>
      <c r="R648" s="2">
        <f>INDEX(Tables!$D$4:$D$28,MATCH($P648,Tables!$B$4:$B$28,0))</f>
        <v>4</v>
      </c>
      <c r="S648" s="2">
        <f>$S647+$R647+INDEX(Tables!$N$5:$Q$8,MATCH(MOD($S647+$R647,4),Tables!$M$5:$M$8,0),MATCH($R648,Tables!$N$4:$Q$4,0))</f>
        <v>2408</v>
      </c>
      <c r="T648" s="2" t="str">
        <f t="shared" si="168"/>
        <v>0968</v>
      </c>
      <c r="U648" s="2">
        <f t="shared" si="159"/>
        <v>602</v>
      </c>
      <c r="V648" s="2" t="str">
        <f t="shared" si="169"/>
        <v>25A</v>
      </c>
      <c r="W648" s="2" t="str">
        <f t="shared" si="170"/>
        <v>X</v>
      </c>
      <c r="X648" s="2" t="str">
        <f t="shared" si="173"/>
        <v>X</v>
      </c>
      <c r="Y648" s="2" t="str">
        <f t="shared" si="171"/>
        <v>X</v>
      </c>
      <c r="Z648" s="2" t="str">
        <f t="shared" si="172"/>
        <v>X</v>
      </c>
      <c r="AA648" s="2" t="str">
        <f t="shared" si="160"/>
        <v>(31 downto 24)</v>
      </c>
      <c r="AB648" s="2" t="str">
        <f t="shared" si="161"/>
        <v>(23 downto 16)</v>
      </c>
      <c r="AC648" s="2" t="str">
        <f t="shared" si="162"/>
        <v>(15 downto 8)</v>
      </c>
      <c r="AD648" s="2" t="str">
        <f t="shared" si="163"/>
        <v>(7 downto 0)</v>
      </c>
      <c r="AE648" s="2" t="str">
        <f t="shared" si="164"/>
        <v>(31 downto 24)</v>
      </c>
      <c r="AF648" s="2" t="str">
        <f t="shared" si="165"/>
        <v>(23 downto 16)</v>
      </c>
      <c r="AG648" s="2" t="str">
        <f t="shared" si="166"/>
        <v>(15 downto 8)</v>
      </c>
      <c r="AH648" s="2" t="str">
        <f t="shared" si="167"/>
        <v>(7 downto 0)</v>
      </c>
    </row>
    <row r="649" spans="2:34" x14ac:dyDescent="0.25">
      <c r="B649" s="2" t="s">
        <v>1762</v>
      </c>
      <c r="C649" s="2" t="s">
        <v>141</v>
      </c>
      <c r="D649" s="2" t="s">
        <v>0</v>
      </c>
      <c r="E649" s="2" t="s">
        <v>130</v>
      </c>
      <c r="F649" s="2" t="s">
        <v>1763</v>
      </c>
      <c r="G649" s="2" t="s">
        <v>1764</v>
      </c>
      <c r="H649" s="2" t="s">
        <v>142</v>
      </c>
      <c r="I649" s="2" t="s">
        <v>41</v>
      </c>
      <c r="J649" s="2">
        <v>32</v>
      </c>
      <c r="K649" s="2" t="s">
        <v>132</v>
      </c>
      <c r="L649" s="2" t="s">
        <v>40</v>
      </c>
      <c r="P649" s="2" t="s">
        <v>48</v>
      </c>
      <c r="Q649" s="2">
        <f>INDEX(Tables!$C$4:$C$28,MATCH($P649,Tables!$B$4:$B$28,0))</f>
        <v>32</v>
      </c>
      <c r="R649" s="2">
        <f>INDEX(Tables!$D$4:$D$28,MATCH($P649,Tables!$B$4:$B$28,0))</f>
        <v>4</v>
      </c>
      <c r="S649" s="2">
        <f>$S648+$R648+INDEX(Tables!$N$5:$Q$8,MATCH(MOD($S648+$R648,4),Tables!$M$5:$M$8,0),MATCH($R649,Tables!$N$4:$Q$4,0))</f>
        <v>2412</v>
      </c>
      <c r="T649" s="2" t="str">
        <f t="shared" si="168"/>
        <v>096C</v>
      </c>
      <c r="U649" s="2">
        <f t="shared" ref="U649:U712" si="174">ROUNDDOWN(S649/4,0)</f>
        <v>603</v>
      </c>
      <c r="V649" s="2" t="str">
        <f t="shared" si="169"/>
        <v>25B</v>
      </c>
      <c r="W649" s="2" t="str">
        <f t="shared" si="170"/>
        <v>X</v>
      </c>
      <c r="X649" s="2" t="str">
        <f t="shared" si="173"/>
        <v>X</v>
      </c>
      <c r="Y649" s="2" t="str">
        <f t="shared" si="171"/>
        <v>X</v>
      </c>
      <c r="Z649" s="2" t="str">
        <f t="shared" si="172"/>
        <v>X</v>
      </c>
      <c r="AA649" s="2" t="str">
        <f t="shared" ref="AA649:AA712" si="175">IF(W649="","",CONCATENATE("(",IF(($J649-COUNTIF($X649:$Z649,"X")*8)=1,"24)",CONCATENATE(IF(($J649-COUNTIF($X649:$Z649,"X")*8)&gt;=8,32,($J649-COUNTIF($X649:$Z649,"X")*8)+24)-1," downto 24)"))))</f>
        <v>(31 downto 24)</v>
      </c>
      <c r="AB649" s="2" t="str">
        <f t="shared" ref="AB649:AB712" si="176">IF(X649="","",CONCATENATE("(",IF(($J649-COUNTIF($Y649:$Z649,"X")*8)=1,"16)",CONCATENATE(IF(($J649-COUNTIF($Y649:$Z649,"X")*8)&gt;=8,24,($J649-COUNTIF($Y649:$Z649,"X")*8)+16)-1," downto 16)"))))</f>
        <v>(23 downto 16)</v>
      </c>
      <c r="AC649" s="2" t="str">
        <f t="shared" ref="AC649:AC712" si="177">IF(Y649="","",CONCATENATE("(",IF(($J649-COUNTIF($Z649,"X")*8)=1,"8)",CONCATENATE(IF(($J649-COUNTIF($Z649,"X")*8)&gt;=8,16,($J649-COUNTIF($Z649,"X")*8)+8)-1," downto 8)"))))</f>
        <v>(15 downto 8)</v>
      </c>
      <c r="AD649" s="2" t="str">
        <f t="shared" ref="AD649:AD712" si="178">IF(Z649="","",CONCATENATE("(",IF($J649=1,"0)",CONCATENATE(IF($J649&gt;=8,8,$J649)-1," downto 0)"))))</f>
        <v>(7 downto 0)</v>
      </c>
      <c r="AE649" s="2" t="str">
        <f t="shared" ref="AE649:AE712" si="179">IF(W649="","",IF($J649&lt;=8,"",IF(($J649-COUNTIF($X649:$Z649,"X")*8)=1,CONCATENATE("(",($J649-1),")"),CONCATENATE("(",IF(($J649-COUNTIF($X649:$Z649,"X")*8)&gt;=8,COUNTIF($X649:$Z649,"X")*8+7,$J649-COUNTIF($X649:$Z649,"X")*8-1+COUNTIF($X649:$Z649,"X")*8)," downto ",COUNTIF($X649:$Z649,"X")*8,")"))))</f>
        <v>(31 downto 24)</v>
      </c>
      <c r="AF649" s="2" t="str">
        <f t="shared" ref="AF649:AF712" si="180">IF(X649="","",IF($J649&lt;=8,"",IF(($J649-COUNTIF($Y649:$Z649,"X")*8)=1,CONCATENATE("(",($J649-1),")"),CONCATENATE("(",IF(($J649-COUNTIF($Y649:$Z649,"X")*8)&gt;=8,COUNTIF($Y649:$Z649,"X")*8+7,$J649-COUNTIF($Y649:$Z649,"X")*8-1+COUNTIF($Y649:$Z649,"X")*8)," downto ",COUNTIF($Y649:$Z649,"X")*8,")"))))</f>
        <v>(23 downto 16)</v>
      </c>
      <c r="AG649" s="2" t="str">
        <f t="shared" ref="AG649:AG712" si="181">IF(Y649="","",IF($J649&lt;=8,"",IF(($J649-COUNTIF($Z649,"X")*8)=1,CONCATENATE("(",($J649-1),")"),CONCATENATE("(",IF(($J649-COUNTIF($Z649,"X")*8)&gt;=8,COUNTIF($Z649,"X")*8+7,$J649-COUNTIF($Z649,"X")*8-1+COUNTIF($Z649,"X")*8)," downto ",COUNTIF($Z649,"X")*8,")"))))</f>
        <v>(15 downto 8)</v>
      </c>
      <c r="AH649" s="2" t="str">
        <f t="shared" ref="AH649:AH712" si="182">IF(Z649="","",IF($J649&lt;=8,"",CONCATENATE("(",IF($J649&gt;=8,7,$J649-1)," downto ",0,")")))</f>
        <v>(7 downto 0)</v>
      </c>
    </row>
    <row r="650" spans="2:34" x14ac:dyDescent="0.25">
      <c r="B650" s="2" t="s">
        <v>1765</v>
      </c>
      <c r="C650" s="2" t="s">
        <v>141</v>
      </c>
      <c r="D650" s="2" t="s">
        <v>0</v>
      </c>
      <c r="E650" s="2" t="s">
        <v>130</v>
      </c>
      <c r="F650" s="2" t="s">
        <v>1766</v>
      </c>
      <c r="G650" s="2" t="s">
        <v>1767</v>
      </c>
      <c r="H650" s="2" t="s">
        <v>142</v>
      </c>
      <c r="I650" s="2" t="s">
        <v>41</v>
      </c>
      <c r="J650" s="2">
        <v>32</v>
      </c>
      <c r="K650" s="2" t="s">
        <v>132</v>
      </c>
      <c r="L650" s="2" t="s">
        <v>40</v>
      </c>
      <c r="P650" s="2" t="s">
        <v>48</v>
      </c>
      <c r="Q650" s="2">
        <f>INDEX(Tables!$C$4:$C$28,MATCH($P650,Tables!$B$4:$B$28,0))</f>
        <v>32</v>
      </c>
      <c r="R650" s="2">
        <f>INDEX(Tables!$D$4:$D$28,MATCH($P650,Tables!$B$4:$B$28,0))</f>
        <v>4</v>
      </c>
      <c r="S650" s="2">
        <f>$S649+$R649+INDEX(Tables!$N$5:$Q$8,MATCH(MOD($S649+$R649,4),Tables!$M$5:$M$8,0),MATCH($R650,Tables!$N$4:$Q$4,0))</f>
        <v>2416</v>
      </c>
      <c r="T650" s="2" t="str">
        <f t="shared" si="168"/>
        <v>0970</v>
      </c>
      <c r="U650" s="2">
        <f t="shared" si="174"/>
        <v>604</v>
      </c>
      <c r="V650" s="2" t="str">
        <f t="shared" si="169"/>
        <v>25C</v>
      </c>
      <c r="W650" s="2" t="str">
        <f t="shared" si="170"/>
        <v>X</v>
      </c>
      <c r="X650" s="2" t="str">
        <f t="shared" si="173"/>
        <v>X</v>
      </c>
      <c r="Y650" s="2" t="str">
        <f t="shared" si="171"/>
        <v>X</v>
      </c>
      <c r="Z650" s="2" t="str">
        <f t="shared" si="172"/>
        <v>X</v>
      </c>
      <c r="AA650" s="2" t="str">
        <f t="shared" si="175"/>
        <v>(31 downto 24)</v>
      </c>
      <c r="AB650" s="2" t="str">
        <f t="shared" si="176"/>
        <v>(23 downto 16)</v>
      </c>
      <c r="AC650" s="2" t="str">
        <f t="shared" si="177"/>
        <v>(15 downto 8)</v>
      </c>
      <c r="AD650" s="2" t="str">
        <f t="shared" si="178"/>
        <v>(7 downto 0)</v>
      </c>
      <c r="AE650" s="2" t="str">
        <f t="shared" si="179"/>
        <v>(31 downto 24)</v>
      </c>
      <c r="AF650" s="2" t="str">
        <f t="shared" si="180"/>
        <v>(23 downto 16)</v>
      </c>
      <c r="AG650" s="2" t="str">
        <f t="shared" si="181"/>
        <v>(15 downto 8)</v>
      </c>
      <c r="AH650" s="2" t="str">
        <f t="shared" si="182"/>
        <v>(7 downto 0)</v>
      </c>
    </row>
    <row r="651" spans="2:34" x14ac:dyDescent="0.25">
      <c r="B651" s="2" t="s">
        <v>1768</v>
      </c>
      <c r="C651" s="2" t="s">
        <v>141</v>
      </c>
      <c r="D651" s="2" t="s">
        <v>0</v>
      </c>
      <c r="E651" s="2" t="s">
        <v>130</v>
      </c>
      <c r="F651" s="2" t="s">
        <v>1769</v>
      </c>
      <c r="G651" s="2" t="s">
        <v>1770</v>
      </c>
      <c r="H651" s="2" t="s">
        <v>142</v>
      </c>
      <c r="I651" s="2" t="s">
        <v>41</v>
      </c>
      <c r="J651" s="2">
        <v>32</v>
      </c>
      <c r="K651" s="2" t="s">
        <v>132</v>
      </c>
      <c r="L651" s="2" t="s">
        <v>40</v>
      </c>
      <c r="P651" s="2" t="s">
        <v>48</v>
      </c>
      <c r="Q651" s="2">
        <f>INDEX(Tables!$C$4:$C$28,MATCH($P651,Tables!$B$4:$B$28,0))</f>
        <v>32</v>
      </c>
      <c r="R651" s="2">
        <f>INDEX(Tables!$D$4:$D$28,MATCH($P651,Tables!$B$4:$B$28,0))</f>
        <v>4</v>
      </c>
      <c r="S651" s="2">
        <f>$S650+$R650+INDEX(Tables!$N$5:$Q$8,MATCH(MOD($S650+$R650,4),Tables!$M$5:$M$8,0),MATCH($R651,Tables!$N$4:$Q$4,0))</f>
        <v>2420</v>
      </c>
      <c r="T651" s="2" t="str">
        <f t="shared" si="168"/>
        <v>0974</v>
      </c>
      <c r="U651" s="2">
        <f t="shared" si="174"/>
        <v>605</v>
      </c>
      <c r="V651" s="2" t="str">
        <f t="shared" si="169"/>
        <v>25D</v>
      </c>
      <c r="W651" s="2" t="str">
        <f t="shared" si="170"/>
        <v>X</v>
      </c>
      <c r="X651" s="2" t="str">
        <f t="shared" si="173"/>
        <v>X</v>
      </c>
      <c r="Y651" s="2" t="str">
        <f t="shared" si="171"/>
        <v>X</v>
      </c>
      <c r="Z651" s="2" t="str">
        <f t="shared" si="172"/>
        <v>X</v>
      </c>
      <c r="AA651" s="2" t="str">
        <f t="shared" si="175"/>
        <v>(31 downto 24)</v>
      </c>
      <c r="AB651" s="2" t="str">
        <f t="shared" si="176"/>
        <v>(23 downto 16)</v>
      </c>
      <c r="AC651" s="2" t="str">
        <f t="shared" si="177"/>
        <v>(15 downto 8)</v>
      </c>
      <c r="AD651" s="2" t="str">
        <f t="shared" si="178"/>
        <v>(7 downto 0)</v>
      </c>
      <c r="AE651" s="2" t="str">
        <f t="shared" si="179"/>
        <v>(31 downto 24)</v>
      </c>
      <c r="AF651" s="2" t="str">
        <f t="shared" si="180"/>
        <v>(23 downto 16)</v>
      </c>
      <c r="AG651" s="2" t="str">
        <f t="shared" si="181"/>
        <v>(15 downto 8)</v>
      </c>
      <c r="AH651" s="2" t="str">
        <f t="shared" si="182"/>
        <v>(7 downto 0)</v>
      </c>
    </row>
    <row r="652" spans="2:34" x14ac:dyDescent="0.25">
      <c r="B652" s="2" t="s">
        <v>1771</v>
      </c>
      <c r="C652" s="2" t="s">
        <v>141</v>
      </c>
      <c r="D652" s="2" t="s">
        <v>0</v>
      </c>
      <c r="E652" s="2" t="s">
        <v>130</v>
      </c>
      <c r="F652" s="2" t="s">
        <v>1772</v>
      </c>
      <c r="G652" s="2" t="s">
        <v>1773</v>
      </c>
      <c r="H652" s="2" t="s">
        <v>142</v>
      </c>
      <c r="I652" s="2" t="s">
        <v>41</v>
      </c>
      <c r="J652" s="2">
        <v>32</v>
      </c>
      <c r="K652" s="2" t="s">
        <v>132</v>
      </c>
      <c r="L652" s="2" t="s">
        <v>40</v>
      </c>
      <c r="P652" s="2" t="s">
        <v>48</v>
      </c>
      <c r="Q652" s="2">
        <f>INDEX(Tables!$C$4:$C$28,MATCH($P652,Tables!$B$4:$B$28,0))</f>
        <v>32</v>
      </c>
      <c r="R652" s="2">
        <f>INDEX(Tables!$D$4:$D$28,MATCH($P652,Tables!$B$4:$B$28,0))</f>
        <v>4</v>
      </c>
      <c r="S652" s="2">
        <f>$S651+$R651+INDEX(Tables!$N$5:$Q$8,MATCH(MOD($S651+$R651,4),Tables!$M$5:$M$8,0),MATCH($R652,Tables!$N$4:$Q$4,0))</f>
        <v>2424</v>
      </c>
      <c r="T652" s="2" t="str">
        <f t="shared" si="168"/>
        <v>0978</v>
      </c>
      <c r="U652" s="2">
        <f t="shared" si="174"/>
        <v>606</v>
      </c>
      <c r="V652" s="2" t="str">
        <f t="shared" si="169"/>
        <v>25E</v>
      </c>
      <c r="W652" s="2" t="str">
        <f t="shared" si="170"/>
        <v>X</v>
      </c>
      <c r="X652" s="2" t="str">
        <f t="shared" si="173"/>
        <v>X</v>
      </c>
      <c r="Y652" s="2" t="str">
        <f t="shared" si="171"/>
        <v>X</v>
      </c>
      <c r="Z652" s="2" t="str">
        <f t="shared" si="172"/>
        <v>X</v>
      </c>
      <c r="AA652" s="2" t="str">
        <f t="shared" si="175"/>
        <v>(31 downto 24)</v>
      </c>
      <c r="AB652" s="2" t="str">
        <f t="shared" si="176"/>
        <v>(23 downto 16)</v>
      </c>
      <c r="AC652" s="2" t="str">
        <f t="shared" si="177"/>
        <v>(15 downto 8)</v>
      </c>
      <c r="AD652" s="2" t="str">
        <f t="shared" si="178"/>
        <v>(7 downto 0)</v>
      </c>
      <c r="AE652" s="2" t="str">
        <f t="shared" si="179"/>
        <v>(31 downto 24)</v>
      </c>
      <c r="AF652" s="2" t="str">
        <f t="shared" si="180"/>
        <v>(23 downto 16)</v>
      </c>
      <c r="AG652" s="2" t="str">
        <f t="shared" si="181"/>
        <v>(15 downto 8)</v>
      </c>
      <c r="AH652" s="2" t="str">
        <f t="shared" si="182"/>
        <v>(7 downto 0)</v>
      </c>
    </row>
    <row r="653" spans="2:34" x14ac:dyDescent="0.25">
      <c r="B653" s="2" t="s">
        <v>1774</v>
      </c>
      <c r="C653" s="2" t="s">
        <v>141</v>
      </c>
      <c r="D653" s="2" t="s">
        <v>0</v>
      </c>
      <c r="E653" s="2" t="s">
        <v>130</v>
      </c>
      <c r="F653" s="2" t="s">
        <v>1775</v>
      </c>
      <c r="G653" s="2" t="s">
        <v>1776</v>
      </c>
      <c r="H653" s="2" t="s">
        <v>142</v>
      </c>
      <c r="I653" s="2" t="s">
        <v>41</v>
      </c>
      <c r="J653" s="2">
        <v>32</v>
      </c>
      <c r="K653" s="2" t="s">
        <v>132</v>
      </c>
      <c r="L653" s="2" t="s">
        <v>40</v>
      </c>
      <c r="P653" s="2" t="s">
        <v>48</v>
      </c>
      <c r="Q653" s="2">
        <f>INDEX(Tables!$C$4:$C$28,MATCH($P653,Tables!$B$4:$B$28,0))</f>
        <v>32</v>
      </c>
      <c r="R653" s="2">
        <f>INDEX(Tables!$D$4:$D$28,MATCH($P653,Tables!$B$4:$B$28,0))</f>
        <v>4</v>
      </c>
      <c r="S653" s="2">
        <f>$S652+$R652+INDEX(Tables!$N$5:$Q$8,MATCH(MOD($S652+$R652,4),Tables!$M$5:$M$8,0),MATCH($R653,Tables!$N$4:$Q$4,0))</f>
        <v>2428</v>
      </c>
      <c r="T653" s="2" t="str">
        <f t="shared" si="168"/>
        <v>097C</v>
      </c>
      <c r="U653" s="2">
        <f t="shared" si="174"/>
        <v>607</v>
      </c>
      <c r="V653" s="2" t="str">
        <f t="shared" si="169"/>
        <v>25F</v>
      </c>
      <c r="W653" s="2" t="str">
        <f t="shared" si="170"/>
        <v>X</v>
      </c>
      <c r="X653" s="2" t="str">
        <f t="shared" si="173"/>
        <v>X</v>
      </c>
      <c r="Y653" s="2" t="str">
        <f t="shared" si="171"/>
        <v>X</v>
      </c>
      <c r="Z653" s="2" t="str">
        <f t="shared" si="172"/>
        <v>X</v>
      </c>
      <c r="AA653" s="2" t="str">
        <f t="shared" si="175"/>
        <v>(31 downto 24)</v>
      </c>
      <c r="AB653" s="2" t="str">
        <f t="shared" si="176"/>
        <v>(23 downto 16)</v>
      </c>
      <c r="AC653" s="2" t="str">
        <f t="shared" si="177"/>
        <v>(15 downto 8)</v>
      </c>
      <c r="AD653" s="2" t="str">
        <f t="shared" si="178"/>
        <v>(7 downto 0)</v>
      </c>
      <c r="AE653" s="2" t="str">
        <f t="shared" si="179"/>
        <v>(31 downto 24)</v>
      </c>
      <c r="AF653" s="2" t="str">
        <f t="shared" si="180"/>
        <v>(23 downto 16)</v>
      </c>
      <c r="AG653" s="2" t="str">
        <f t="shared" si="181"/>
        <v>(15 downto 8)</v>
      </c>
      <c r="AH653" s="2" t="str">
        <f t="shared" si="182"/>
        <v>(7 downto 0)</v>
      </c>
    </row>
    <row r="654" spans="2:34" x14ac:dyDescent="0.25">
      <c r="B654" s="2" t="s">
        <v>1777</v>
      </c>
      <c r="C654" s="2" t="s">
        <v>141</v>
      </c>
      <c r="D654" s="2" t="s">
        <v>0</v>
      </c>
      <c r="E654" s="2" t="s">
        <v>130</v>
      </c>
      <c r="F654" s="2" t="s">
        <v>1778</v>
      </c>
      <c r="G654" s="2" t="s">
        <v>1779</v>
      </c>
      <c r="H654" s="2" t="s">
        <v>142</v>
      </c>
      <c r="I654" s="2" t="s">
        <v>41</v>
      </c>
      <c r="J654" s="2">
        <v>32</v>
      </c>
      <c r="K654" s="2" t="s">
        <v>132</v>
      </c>
      <c r="L654" s="2" t="s">
        <v>40</v>
      </c>
      <c r="P654" s="2" t="s">
        <v>48</v>
      </c>
      <c r="Q654" s="2">
        <f>INDEX(Tables!$C$4:$C$28,MATCH($P654,Tables!$B$4:$B$28,0))</f>
        <v>32</v>
      </c>
      <c r="R654" s="2">
        <f>INDEX(Tables!$D$4:$D$28,MATCH($P654,Tables!$B$4:$B$28,0))</f>
        <v>4</v>
      </c>
      <c r="S654" s="2">
        <f>$S653+$R653+INDEX(Tables!$N$5:$Q$8,MATCH(MOD($S653+$R653,4),Tables!$M$5:$M$8,0),MATCH($R654,Tables!$N$4:$Q$4,0))</f>
        <v>2432</v>
      </c>
      <c r="T654" s="2" t="str">
        <f t="shared" si="168"/>
        <v>0980</v>
      </c>
      <c r="U654" s="2">
        <f t="shared" si="174"/>
        <v>608</v>
      </c>
      <c r="V654" s="2" t="str">
        <f t="shared" si="169"/>
        <v>260</v>
      </c>
      <c r="W654" s="2" t="str">
        <f t="shared" si="170"/>
        <v>X</v>
      </c>
      <c r="X654" s="2" t="str">
        <f t="shared" si="173"/>
        <v>X</v>
      </c>
      <c r="Y654" s="2" t="str">
        <f t="shared" si="171"/>
        <v>X</v>
      </c>
      <c r="Z654" s="2" t="str">
        <f t="shared" si="172"/>
        <v>X</v>
      </c>
      <c r="AA654" s="2" t="str">
        <f t="shared" si="175"/>
        <v>(31 downto 24)</v>
      </c>
      <c r="AB654" s="2" t="str">
        <f t="shared" si="176"/>
        <v>(23 downto 16)</v>
      </c>
      <c r="AC654" s="2" t="str">
        <f t="shared" si="177"/>
        <v>(15 downto 8)</v>
      </c>
      <c r="AD654" s="2" t="str">
        <f t="shared" si="178"/>
        <v>(7 downto 0)</v>
      </c>
      <c r="AE654" s="2" t="str">
        <f t="shared" si="179"/>
        <v>(31 downto 24)</v>
      </c>
      <c r="AF654" s="2" t="str">
        <f t="shared" si="180"/>
        <v>(23 downto 16)</v>
      </c>
      <c r="AG654" s="2" t="str">
        <f t="shared" si="181"/>
        <v>(15 downto 8)</v>
      </c>
      <c r="AH654" s="2" t="str">
        <f t="shared" si="182"/>
        <v>(7 downto 0)</v>
      </c>
    </row>
    <row r="655" spans="2:34" x14ac:dyDescent="0.25">
      <c r="B655" s="2" t="s">
        <v>1780</v>
      </c>
      <c r="C655" s="2" t="s">
        <v>141</v>
      </c>
      <c r="D655" s="2" t="s">
        <v>0</v>
      </c>
      <c r="E655" s="2" t="s">
        <v>130</v>
      </c>
      <c r="F655" s="2" t="s">
        <v>1781</v>
      </c>
      <c r="G655" s="2" t="s">
        <v>1782</v>
      </c>
      <c r="H655" s="2" t="s">
        <v>142</v>
      </c>
      <c r="I655" s="2" t="s">
        <v>41</v>
      </c>
      <c r="J655" s="2">
        <v>32</v>
      </c>
      <c r="K655" s="2" t="s">
        <v>132</v>
      </c>
      <c r="L655" s="2" t="s">
        <v>40</v>
      </c>
      <c r="P655" s="2" t="s">
        <v>48</v>
      </c>
      <c r="Q655" s="2">
        <f>INDEX(Tables!$C$4:$C$28,MATCH($P655,Tables!$B$4:$B$28,0))</f>
        <v>32</v>
      </c>
      <c r="R655" s="2">
        <f>INDEX(Tables!$D$4:$D$28,MATCH($P655,Tables!$B$4:$B$28,0))</f>
        <v>4</v>
      </c>
      <c r="S655" s="2">
        <f>$S654+$R654+INDEX(Tables!$N$5:$Q$8,MATCH(MOD($S654+$R654,4),Tables!$M$5:$M$8,0),MATCH($R655,Tables!$N$4:$Q$4,0))</f>
        <v>2436</v>
      </c>
      <c r="T655" s="2" t="str">
        <f t="shared" si="168"/>
        <v>0984</v>
      </c>
      <c r="U655" s="2">
        <f t="shared" si="174"/>
        <v>609</v>
      </c>
      <c r="V655" s="2" t="str">
        <f t="shared" si="169"/>
        <v>261</v>
      </c>
      <c r="W655" s="2" t="str">
        <f t="shared" si="170"/>
        <v>X</v>
      </c>
      <c r="X655" s="2" t="str">
        <f t="shared" si="173"/>
        <v>X</v>
      </c>
      <c r="Y655" s="2" t="str">
        <f t="shared" si="171"/>
        <v>X</v>
      </c>
      <c r="Z655" s="2" t="str">
        <f t="shared" si="172"/>
        <v>X</v>
      </c>
      <c r="AA655" s="2" t="str">
        <f t="shared" si="175"/>
        <v>(31 downto 24)</v>
      </c>
      <c r="AB655" s="2" t="str">
        <f t="shared" si="176"/>
        <v>(23 downto 16)</v>
      </c>
      <c r="AC655" s="2" t="str">
        <f t="shared" si="177"/>
        <v>(15 downto 8)</v>
      </c>
      <c r="AD655" s="2" t="str">
        <f t="shared" si="178"/>
        <v>(7 downto 0)</v>
      </c>
      <c r="AE655" s="2" t="str">
        <f t="shared" si="179"/>
        <v>(31 downto 24)</v>
      </c>
      <c r="AF655" s="2" t="str">
        <f t="shared" si="180"/>
        <v>(23 downto 16)</v>
      </c>
      <c r="AG655" s="2" t="str">
        <f t="shared" si="181"/>
        <v>(15 downto 8)</v>
      </c>
      <c r="AH655" s="2" t="str">
        <f t="shared" si="182"/>
        <v>(7 downto 0)</v>
      </c>
    </row>
    <row r="656" spans="2:34" x14ac:dyDescent="0.25">
      <c r="B656" s="2" t="s">
        <v>1783</v>
      </c>
      <c r="C656" s="2" t="s">
        <v>141</v>
      </c>
      <c r="D656" s="2" t="s">
        <v>0</v>
      </c>
      <c r="E656" s="2" t="s">
        <v>130</v>
      </c>
      <c r="F656" s="2" t="s">
        <v>1784</v>
      </c>
      <c r="G656" s="2" t="s">
        <v>1785</v>
      </c>
      <c r="H656" s="2" t="s">
        <v>142</v>
      </c>
      <c r="I656" s="2" t="s">
        <v>41</v>
      </c>
      <c r="J656" s="2">
        <v>32</v>
      </c>
      <c r="K656" s="2" t="s">
        <v>132</v>
      </c>
      <c r="L656" s="2" t="s">
        <v>40</v>
      </c>
      <c r="P656" s="2" t="s">
        <v>48</v>
      </c>
      <c r="Q656" s="2">
        <f>INDEX(Tables!$C$4:$C$28,MATCH($P656,Tables!$B$4:$B$28,0))</f>
        <v>32</v>
      </c>
      <c r="R656" s="2">
        <f>INDEX(Tables!$D$4:$D$28,MATCH($P656,Tables!$B$4:$B$28,0))</f>
        <v>4</v>
      </c>
      <c r="S656" s="2">
        <f>$S655+$R655+INDEX(Tables!$N$5:$Q$8,MATCH(MOD($S655+$R655,4),Tables!$M$5:$M$8,0),MATCH($R656,Tables!$N$4:$Q$4,0))</f>
        <v>2440</v>
      </c>
      <c r="T656" s="2" t="str">
        <f t="shared" si="168"/>
        <v>0988</v>
      </c>
      <c r="U656" s="2">
        <f t="shared" si="174"/>
        <v>610</v>
      </c>
      <c r="V656" s="2" t="str">
        <f t="shared" si="169"/>
        <v>262</v>
      </c>
      <c r="W656" s="2" t="str">
        <f t="shared" si="170"/>
        <v>X</v>
      </c>
      <c r="X656" s="2" t="str">
        <f t="shared" si="173"/>
        <v>X</v>
      </c>
      <c r="Y656" s="2" t="str">
        <f t="shared" si="171"/>
        <v>X</v>
      </c>
      <c r="Z656" s="2" t="str">
        <f t="shared" si="172"/>
        <v>X</v>
      </c>
      <c r="AA656" s="2" t="str">
        <f t="shared" si="175"/>
        <v>(31 downto 24)</v>
      </c>
      <c r="AB656" s="2" t="str">
        <f t="shared" si="176"/>
        <v>(23 downto 16)</v>
      </c>
      <c r="AC656" s="2" t="str">
        <f t="shared" si="177"/>
        <v>(15 downto 8)</v>
      </c>
      <c r="AD656" s="2" t="str">
        <f t="shared" si="178"/>
        <v>(7 downto 0)</v>
      </c>
      <c r="AE656" s="2" t="str">
        <f t="shared" si="179"/>
        <v>(31 downto 24)</v>
      </c>
      <c r="AF656" s="2" t="str">
        <f t="shared" si="180"/>
        <v>(23 downto 16)</v>
      </c>
      <c r="AG656" s="2" t="str">
        <f t="shared" si="181"/>
        <v>(15 downto 8)</v>
      </c>
      <c r="AH656" s="2" t="str">
        <f t="shared" si="182"/>
        <v>(7 downto 0)</v>
      </c>
    </row>
    <row r="657" spans="2:34" x14ac:dyDescent="0.25">
      <c r="B657" s="2" t="s">
        <v>1786</v>
      </c>
      <c r="C657" s="2" t="s">
        <v>141</v>
      </c>
      <c r="D657" s="2" t="s">
        <v>0</v>
      </c>
      <c r="E657" s="2" t="s">
        <v>130</v>
      </c>
      <c r="F657" s="2" t="s">
        <v>1787</v>
      </c>
      <c r="G657" s="2" t="s">
        <v>1788</v>
      </c>
      <c r="H657" s="2" t="s">
        <v>142</v>
      </c>
      <c r="I657" s="2" t="s">
        <v>41</v>
      </c>
      <c r="J657" s="2">
        <v>32</v>
      </c>
      <c r="K657" s="2" t="s">
        <v>132</v>
      </c>
      <c r="L657" s="2" t="s">
        <v>40</v>
      </c>
      <c r="P657" s="2" t="s">
        <v>48</v>
      </c>
      <c r="Q657" s="2">
        <f>INDEX(Tables!$C$4:$C$28,MATCH($P657,Tables!$B$4:$B$28,0))</f>
        <v>32</v>
      </c>
      <c r="R657" s="2">
        <f>INDEX(Tables!$D$4:$D$28,MATCH($P657,Tables!$B$4:$B$28,0))</f>
        <v>4</v>
      </c>
      <c r="S657" s="2">
        <f>$S656+$R656+INDEX(Tables!$N$5:$Q$8,MATCH(MOD($S656+$R656,4),Tables!$M$5:$M$8,0),MATCH($R657,Tables!$N$4:$Q$4,0))</f>
        <v>2444</v>
      </c>
      <c r="T657" s="2" t="str">
        <f t="shared" si="168"/>
        <v>098C</v>
      </c>
      <c r="U657" s="2">
        <f t="shared" si="174"/>
        <v>611</v>
      </c>
      <c r="V657" s="2" t="str">
        <f t="shared" si="169"/>
        <v>263</v>
      </c>
      <c r="W657" s="2" t="str">
        <f t="shared" si="170"/>
        <v>X</v>
      </c>
      <c r="X657" s="2" t="str">
        <f t="shared" si="173"/>
        <v>X</v>
      </c>
      <c r="Y657" s="2" t="str">
        <f t="shared" si="171"/>
        <v>X</v>
      </c>
      <c r="Z657" s="2" t="str">
        <f t="shared" si="172"/>
        <v>X</v>
      </c>
      <c r="AA657" s="2" t="str">
        <f t="shared" si="175"/>
        <v>(31 downto 24)</v>
      </c>
      <c r="AB657" s="2" t="str">
        <f t="shared" si="176"/>
        <v>(23 downto 16)</v>
      </c>
      <c r="AC657" s="2" t="str">
        <f t="shared" si="177"/>
        <v>(15 downto 8)</v>
      </c>
      <c r="AD657" s="2" t="str">
        <f t="shared" si="178"/>
        <v>(7 downto 0)</v>
      </c>
      <c r="AE657" s="2" t="str">
        <f t="shared" si="179"/>
        <v>(31 downto 24)</v>
      </c>
      <c r="AF657" s="2" t="str">
        <f t="shared" si="180"/>
        <v>(23 downto 16)</v>
      </c>
      <c r="AG657" s="2" t="str">
        <f t="shared" si="181"/>
        <v>(15 downto 8)</v>
      </c>
      <c r="AH657" s="2" t="str">
        <f t="shared" si="182"/>
        <v>(7 downto 0)</v>
      </c>
    </row>
    <row r="658" spans="2:34" x14ac:dyDescent="0.25">
      <c r="B658" s="2" t="s">
        <v>1789</v>
      </c>
      <c r="C658" s="2" t="s">
        <v>141</v>
      </c>
      <c r="D658" s="2" t="s">
        <v>0</v>
      </c>
      <c r="E658" s="2" t="s">
        <v>130</v>
      </c>
      <c r="F658" s="2" t="s">
        <v>1790</v>
      </c>
      <c r="G658" s="2" t="s">
        <v>1791</v>
      </c>
      <c r="H658" s="2" t="s">
        <v>142</v>
      </c>
      <c r="I658" s="2" t="s">
        <v>41</v>
      </c>
      <c r="J658" s="2">
        <v>32</v>
      </c>
      <c r="K658" s="2" t="s">
        <v>132</v>
      </c>
      <c r="L658" s="2" t="s">
        <v>40</v>
      </c>
      <c r="P658" s="2" t="s">
        <v>48</v>
      </c>
      <c r="Q658" s="2">
        <f>INDEX(Tables!$C$4:$C$28,MATCH($P658,Tables!$B$4:$B$28,0))</f>
        <v>32</v>
      </c>
      <c r="R658" s="2">
        <f>INDEX(Tables!$D$4:$D$28,MATCH($P658,Tables!$B$4:$B$28,0))</f>
        <v>4</v>
      </c>
      <c r="S658" s="2">
        <f>$S657+$R657+INDEX(Tables!$N$5:$Q$8,MATCH(MOD($S657+$R657,4),Tables!$M$5:$M$8,0),MATCH($R658,Tables!$N$4:$Q$4,0))</f>
        <v>2448</v>
      </c>
      <c r="T658" s="2" t="str">
        <f t="shared" si="168"/>
        <v>0990</v>
      </c>
      <c r="U658" s="2">
        <f t="shared" si="174"/>
        <v>612</v>
      </c>
      <c r="V658" s="2" t="str">
        <f t="shared" si="169"/>
        <v>264</v>
      </c>
      <c r="W658" s="2" t="str">
        <f t="shared" si="170"/>
        <v>X</v>
      </c>
      <c r="X658" s="2" t="str">
        <f t="shared" si="173"/>
        <v>X</v>
      </c>
      <c r="Y658" s="2" t="str">
        <f t="shared" si="171"/>
        <v>X</v>
      </c>
      <c r="Z658" s="2" t="str">
        <f t="shared" si="172"/>
        <v>X</v>
      </c>
      <c r="AA658" s="2" t="str">
        <f t="shared" si="175"/>
        <v>(31 downto 24)</v>
      </c>
      <c r="AB658" s="2" t="str">
        <f t="shared" si="176"/>
        <v>(23 downto 16)</v>
      </c>
      <c r="AC658" s="2" t="str">
        <f t="shared" si="177"/>
        <v>(15 downto 8)</v>
      </c>
      <c r="AD658" s="2" t="str">
        <f t="shared" si="178"/>
        <v>(7 downto 0)</v>
      </c>
      <c r="AE658" s="2" t="str">
        <f t="shared" si="179"/>
        <v>(31 downto 24)</v>
      </c>
      <c r="AF658" s="2" t="str">
        <f t="shared" si="180"/>
        <v>(23 downto 16)</v>
      </c>
      <c r="AG658" s="2" t="str">
        <f t="shared" si="181"/>
        <v>(15 downto 8)</v>
      </c>
      <c r="AH658" s="2" t="str">
        <f t="shared" si="182"/>
        <v>(7 downto 0)</v>
      </c>
    </row>
    <row r="659" spans="2:34" x14ac:dyDescent="0.25">
      <c r="B659" s="2" t="s">
        <v>1792</v>
      </c>
      <c r="C659" s="2" t="s">
        <v>141</v>
      </c>
      <c r="D659" s="2" t="s">
        <v>0</v>
      </c>
      <c r="E659" s="2" t="s">
        <v>130</v>
      </c>
      <c r="F659" s="2" t="s">
        <v>1793</v>
      </c>
      <c r="G659" s="2" t="s">
        <v>1794</v>
      </c>
      <c r="H659" s="2" t="s">
        <v>142</v>
      </c>
      <c r="I659" s="2" t="s">
        <v>41</v>
      </c>
      <c r="J659" s="2">
        <v>32</v>
      </c>
      <c r="K659" s="2" t="s">
        <v>132</v>
      </c>
      <c r="L659" s="2" t="s">
        <v>40</v>
      </c>
      <c r="P659" s="2" t="s">
        <v>48</v>
      </c>
      <c r="Q659" s="2">
        <f>INDEX(Tables!$C$4:$C$28,MATCH($P659,Tables!$B$4:$B$28,0))</f>
        <v>32</v>
      </c>
      <c r="R659" s="2">
        <f>INDEX(Tables!$D$4:$D$28,MATCH($P659,Tables!$B$4:$B$28,0))</f>
        <v>4</v>
      </c>
      <c r="S659" s="2">
        <f>$S658+$R658+INDEX(Tables!$N$5:$Q$8,MATCH(MOD($S658+$R658,4),Tables!$M$5:$M$8,0),MATCH($R659,Tables!$N$4:$Q$4,0))</f>
        <v>2452</v>
      </c>
      <c r="T659" s="2" t="str">
        <f t="shared" si="168"/>
        <v>0994</v>
      </c>
      <c r="U659" s="2">
        <f t="shared" si="174"/>
        <v>613</v>
      </c>
      <c r="V659" s="2" t="str">
        <f t="shared" si="169"/>
        <v>265</v>
      </c>
      <c r="W659" s="2" t="str">
        <f t="shared" si="170"/>
        <v>X</v>
      </c>
      <c r="X659" s="2" t="str">
        <f t="shared" si="173"/>
        <v>X</v>
      </c>
      <c r="Y659" s="2" t="str">
        <f t="shared" si="171"/>
        <v>X</v>
      </c>
      <c r="Z659" s="2" t="str">
        <f t="shared" si="172"/>
        <v>X</v>
      </c>
      <c r="AA659" s="2" t="str">
        <f t="shared" si="175"/>
        <v>(31 downto 24)</v>
      </c>
      <c r="AB659" s="2" t="str">
        <f t="shared" si="176"/>
        <v>(23 downto 16)</v>
      </c>
      <c r="AC659" s="2" t="str">
        <f t="shared" si="177"/>
        <v>(15 downto 8)</v>
      </c>
      <c r="AD659" s="2" t="str">
        <f t="shared" si="178"/>
        <v>(7 downto 0)</v>
      </c>
      <c r="AE659" s="2" t="str">
        <f t="shared" si="179"/>
        <v>(31 downto 24)</v>
      </c>
      <c r="AF659" s="2" t="str">
        <f t="shared" si="180"/>
        <v>(23 downto 16)</v>
      </c>
      <c r="AG659" s="2" t="str">
        <f t="shared" si="181"/>
        <v>(15 downto 8)</v>
      </c>
      <c r="AH659" s="2" t="str">
        <f t="shared" si="182"/>
        <v>(7 downto 0)</v>
      </c>
    </row>
    <row r="660" spans="2:34" x14ac:dyDescent="0.25">
      <c r="B660" s="2" t="s">
        <v>1795</v>
      </c>
      <c r="C660" s="2" t="s">
        <v>141</v>
      </c>
      <c r="D660" s="2" t="s">
        <v>0</v>
      </c>
      <c r="E660" s="2" t="s">
        <v>130</v>
      </c>
      <c r="F660" s="2" t="s">
        <v>1796</v>
      </c>
      <c r="G660" s="2" t="s">
        <v>1797</v>
      </c>
      <c r="H660" s="2" t="s">
        <v>142</v>
      </c>
      <c r="I660" s="2" t="s">
        <v>41</v>
      </c>
      <c r="J660" s="2">
        <v>32</v>
      </c>
      <c r="K660" s="2" t="s">
        <v>132</v>
      </c>
      <c r="L660" s="2" t="s">
        <v>40</v>
      </c>
      <c r="P660" s="2" t="s">
        <v>48</v>
      </c>
      <c r="Q660" s="2">
        <f>INDEX(Tables!$C$4:$C$28,MATCH($P660,Tables!$B$4:$B$28,0))</f>
        <v>32</v>
      </c>
      <c r="R660" s="2">
        <f>INDEX(Tables!$D$4:$D$28,MATCH($P660,Tables!$B$4:$B$28,0))</f>
        <v>4</v>
      </c>
      <c r="S660" s="2">
        <f>$S659+$R659+INDEX(Tables!$N$5:$Q$8,MATCH(MOD($S659+$R659,4),Tables!$M$5:$M$8,0),MATCH($R660,Tables!$N$4:$Q$4,0))</f>
        <v>2456</v>
      </c>
      <c r="T660" s="2" t="str">
        <f t="shared" si="168"/>
        <v>0998</v>
      </c>
      <c r="U660" s="2">
        <f t="shared" si="174"/>
        <v>614</v>
      </c>
      <c r="V660" s="2" t="str">
        <f t="shared" si="169"/>
        <v>266</v>
      </c>
      <c r="W660" s="2" t="str">
        <f t="shared" si="170"/>
        <v>X</v>
      </c>
      <c r="X660" s="2" t="str">
        <f t="shared" si="173"/>
        <v>X</v>
      </c>
      <c r="Y660" s="2" t="str">
        <f t="shared" si="171"/>
        <v>X</v>
      </c>
      <c r="Z660" s="2" t="str">
        <f t="shared" si="172"/>
        <v>X</v>
      </c>
      <c r="AA660" s="2" t="str">
        <f t="shared" si="175"/>
        <v>(31 downto 24)</v>
      </c>
      <c r="AB660" s="2" t="str">
        <f t="shared" si="176"/>
        <v>(23 downto 16)</v>
      </c>
      <c r="AC660" s="2" t="str">
        <f t="shared" si="177"/>
        <v>(15 downto 8)</v>
      </c>
      <c r="AD660" s="2" t="str">
        <f t="shared" si="178"/>
        <v>(7 downto 0)</v>
      </c>
      <c r="AE660" s="2" t="str">
        <f t="shared" si="179"/>
        <v>(31 downto 24)</v>
      </c>
      <c r="AF660" s="2" t="str">
        <f t="shared" si="180"/>
        <v>(23 downto 16)</v>
      </c>
      <c r="AG660" s="2" t="str">
        <f t="shared" si="181"/>
        <v>(15 downto 8)</v>
      </c>
      <c r="AH660" s="2" t="str">
        <f t="shared" si="182"/>
        <v>(7 downto 0)</v>
      </c>
    </row>
    <row r="661" spans="2:34" x14ac:dyDescent="0.25">
      <c r="B661" s="2" t="s">
        <v>1798</v>
      </c>
      <c r="C661" s="2" t="s">
        <v>141</v>
      </c>
      <c r="D661" s="2" t="s">
        <v>0</v>
      </c>
      <c r="E661" s="2" t="s">
        <v>130</v>
      </c>
      <c r="F661" s="2" t="s">
        <v>1799</v>
      </c>
      <c r="G661" s="2" t="s">
        <v>1800</v>
      </c>
      <c r="H661" s="2" t="s">
        <v>142</v>
      </c>
      <c r="I661" s="2" t="s">
        <v>41</v>
      </c>
      <c r="J661" s="2">
        <v>32</v>
      </c>
      <c r="K661" s="2" t="s">
        <v>132</v>
      </c>
      <c r="L661" s="2" t="s">
        <v>40</v>
      </c>
      <c r="P661" s="2" t="s">
        <v>48</v>
      </c>
      <c r="Q661" s="2">
        <f>INDEX(Tables!$C$4:$C$28,MATCH($P661,Tables!$B$4:$B$28,0))</f>
        <v>32</v>
      </c>
      <c r="R661" s="2">
        <f>INDEX(Tables!$D$4:$D$28,MATCH($P661,Tables!$B$4:$B$28,0))</f>
        <v>4</v>
      </c>
      <c r="S661" s="2">
        <f>$S660+$R660+INDEX(Tables!$N$5:$Q$8,MATCH(MOD($S660+$R660,4),Tables!$M$5:$M$8,0),MATCH($R661,Tables!$N$4:$Q$4,0))</f>
        <v>2460</v>
      </c>
      <c r="T661" s="2" t="str">
        <f t="shared" si="168"/>
        <v>099C</v>
      </c>
      <c r="U661" s="2">
        <f t="shared" si="174"/>
        <v>615</v>
      </c>
      <c r="V661" s="2" t="str">
        <f t="shared" si="169"/>
        <v>267</v>
      </c>
      <c r="W661" s="2" t="str">
        <f t="shared" si="170"/>
        <v>X</v>
      </c>
      <c r="X661" s="2" t="str">
        <f t="shared" si="173"/>
        <v>X</v>
      </c>
      <c r="Y661" s="2" t="str">
        <f t="shared" si="171"/>
        <v>X</v>
      </c>
      <c r="Z661" s="2" t="str">
        <f t="shared" si="172"/>
        <v>X</v>
      </c>
      <c r="AA661" s="2" t="str">
        <f t="shared" si="175"/>
        <v>(31 downto 24)</v>
      </c>
      <c r="AB661" s="2" t="str">
        <f t="shared" si="176"/>
        <v>(23 downto 16)</v>
      </c>
      <c r="AC661" s="2" t="str">
        <f t="shared" si="177"/>
        <v>(15 downto 8)</v>
      </c>
      <c r="AD661" s="2" t="str">
        <f t="shared" si="178"/>
        <v>(7 downto 0)</v>
      </c>
      <c r="AE661" s="2" t="str">
        <f t="shared" si="179"/>
        <v>(31 downto 24)</v>
      </c>
      <c r="AF661" s="2" t="str">
        <f t="shared" si="180"/>
        <v>(23 downto 16)</v>
      </c>
      <c r="AG661" s="2" t="str">
        <f t="shared" si="181"/>
        <v>(15 downto 8)</v>
      </c>
      <c r="AH661" s="2" t="str">
        <f t="shared" si="182"/>
        <v>(7 downto 0)</v>
      </c>
    </row>
    <row r="662" spans="2:34" x14ac:dyDescent="0.25">
      <c r="B662" s="2" t="s">
        <v>1801</v>
      </c>
      <c r="C662" s="2" t="s">
        <v>141</v>
      </c>
      <c r="D662" s="2" t="s">
        <v>0</v>
      </c>
      <c r="E662" s="2" t="s">
        <v>130</v>
      </c>
      <c r="F662" s="2" t="s">
        <v>1802</v>
      </c>
      <c r="G662" s="2" t="s">
        <v>1803</v>
      </c>
      <c r="H662" s="2" t="s">
        <v>142</v>
      </c>
      <c r="I662" s="2" t="s">
        <v>41</v>
      </c>
      <c r="J662" s="2">
        <v>32</v>
      </c>
      <c r="K662" s="2" t="s">
        <v>132</v>
      </c>
      <c r="L662" s="2" t="s">
        <v>40</v>
      </c>
      <c r="P662" s="2" t="s">
        <v>48</v>
      </c>
      <c r="Q662" s="2">
        <f>INDEX(Tables!$C$4:$C$28,MATCH($P662,Tables!$B$4:$B$28,0))</f>
        <v>32</v>
      </c>
      <c r="R662" s="2">
        <f>INDEX(Tables!$D$4:$D$28,MATCH($P662,Tables!$B$4:$B$28,0))</f>
        <v>4</v>
      </c>
      <c r="S662" s="2">
        <f>$S661+$R661+INDEX(Tables!$N$5:$Q$8,MATCH(MOD($S661+$R661,4),Tables!$M$5:$M$8,0),MATCH($R662,Tables!$N$4:$Q$4,0))</f>
        <v>2464</v>
      </c>
      <c r="T662" s="2" t="str">
        <f t="shared" si="168"/>
        <v>09A0</v>
      </c>
      <c r="U662" s="2">
        <f t="shared" si="174"/>
        <v>616</v>
      </c>
      <c r="V662" s="2" t="str">
        <f t="shared" si="169"/>
        <v>268</v>
      </c>
      <c r="W662" s="2" t="str">
        <f t="shared" si="170"/>
        <v>X</v>
      </c>
      <c r="X662" s="2" t="str">
        <f t="shared" si="173"/>
        <v>X</v>
      </c>
      <c r="Y662" s="2" t="str">
        <f t="shared" si="171"/>
        <v>X</v>
      </c>
      <c r="Z662" s="2" t="str">
        <f t="shared" si="172"/>
        <v>X</v>
      </c>
      <c r="AA662" s="2" t="str">
        <f t="shared" si="175"/>
        <v>(31 downto 24)</v>
      </c>
      <c r="AB662" s="2" t="str">
        <f t="shared" si="176"/>
        <v>(23 downto 16)</v>
      </c>
      <c r="AC662" s="2" t="str">
        <f t="shared" si="177"/>
        <v>(15 downto 8)</v>
      </c>
      <c r="AD662" s="2" t="str">
        <f t="shared" si="178"/>
        <v>(7 downto 0)</v>
      </c>
      <c r="AE662" s="2" t="str">
        <f t="shared" si="179"/>
        <v>(31 downto 24)</v>
      </c>
      <c r="AF662" s="2" t="str">
        <f t="shared" si="180"/>
        <v>(23 downto 16)</v>
      </c>
      <c r="AG662" s="2" t="str">
        <f t="shared" si="181"/>
        <v>(15 downto 8)</v>
      </c>
      <c r="AH662" s="2" t="str">
        <f t="shared" si="182"/>
        <v>(7 downto 0)</v>
      </c>
    </row>
    <row r="663" spans="2:34" x14ac:dyDescent="0.25">
      <c r="B663" s="2" t="s">
        <v>1804</v>
      </c>
      <c r="C663" s="2" t="s">
        <v>141</v>
      </c>
      <c r="D663" s="2" t="s">
        <v>0</v>
      </c>
      <c r="E663" s="2" t="s">
        <v>130</v>
      </c>
      <c r="F663" s="2" t="s">
        <v>1805</v>
      </c>
      <c r="G663" s="2" t="s">
        <v>1806</v>
      </c>
      <c r="H663" s="2" t="s">
        <v>142</v>
      </c>
      <c r="I663" s="2" t="s">
        <v>41</v>
      </c>
      <c r="J663" s="2">
        <v>32</v>
      </c>
      <c r="K663" s="2" t="s">
        <v>132</v>
      </c>
      <c r="L663" s="2" t="s">
        <v>40</v>
      </c>
      <c r="P663" s="2" t="s">
        <v>48</v>
      </c>
      <c r="Q663" s="2">
        <f>INDEX(Tables!$C$4:$C$28,MATCH($P663,Tables!$B$4:$B$28,0))</f>
        <v>32</v>
      </c>
      <c r="R663" s="2">
        <f>INDEX(Tables!$D$4:$D$28,MATCH($P663,Tables!$B$4:$B$28,0))</f>
        <v>4</v>
      </c>
      <c r="S663" s="2">
        <f>$S662+$R662+INDEX(Tables!$N$5:$Q$8,MATCH(MOD($S662+$R662,4),Tables!$M$5:$M$8,0),MATCH($R663,Tables!$N$4:$Q$4,0))</f>
        <v>2468</v>
      </c>
      <c r="T663" s="2" t="str">
        <f t="shared" si="168"/>
        <v>09A4</v>
      </c>
      <c r="U663" s="2">
        <f t="shared" si="174"/>
        <v>617</v>
      </c>
      <c r="V663" s="2" t="str">
        <f t="shared" si="169"/>
        <v>269</v>
      </c>
      <c r="W663" s="2" t="str">
        <f t="shared" si="170"/>
        <v>X</v>
      </c>
      <c r="X663" s="2" t="str">
        <f t="shared" si="173"/>
        <v>X</v>
      </c>
      <c r="Y663" s="2" t="str">
        <f t="shared" si="171"/>
        <v>X</v>
      </c>
      <c r="Z663" s="2" t="str">
        <f t="shared" si="172"/>
        <v>X</v>
      </c>
      <c r="AA663" s="2" t="str">
        <f t="shared" si="175"/>
        <v>(31 downto 24)</v>
      </c>
      <c r="AB663" s="2" t="str">
        <f t="shared" si="176"/>
        <v>(23 downto 16)</v>
      </c>
      <c r="AC663" s="2" t="str">
        <f t="shared" si="177"/>
        <v>(15 downto 8)</v>
      </c>
      <c r="AD663" s="2" t="str">
        <f t="shared" si="178"/>
        <v>(7 downto 0)</v>
      </c>
      <c r="AE663" s="2" t="str">
        <f t="shared" si="179"/>
        <v>(31 downto 24)</v>
      </c>
      <c r="AF663" s="2" t="str">
        <f t="shared" si="180"/>
        <v>(23 downto 16)</v>
      </c>
      <c r="AG663" s="2" t="str">
        <f t="shared" si="181"/>
        <v>(15 downto 8)</v>
      </c>
      <c r="AH663" s="2" t="str">
        <f t="shared" si="182"/>
        <v>(7 downto 0)</v>
      </c>
    </row>
    <row r="664" spans="2:34" x14ac:dyDescent="0.25">
      <c r="B664" s="2" t="s">
        <v>1807</v>
      </c>
      <c r="C664" s="2" t="s">
        <v>141</v>
      </c>
      <c r="D664" s="2" t="s">
        <v>0</v>
      </c>
      <c r="E664" s="2" t="s">
        <v>130</v>
      </c>
      <c r="F664" s="2" t="s">
        <v>1808</v>
      </c>
      <c r="G664" s="2" t="s">
        <v>1809</v>
      </c>
      <c r="H664" s="2" t="s">
        <v>142</v>
      </c>
      <c r="I664" s="2" t="s">
        <v>41</v>
      </c>
      <c r="J664" s="2">
        <v>32</v>
      </c>
      <c r="K664" s="2" t="s">
        <v>132</v>
      </c>
      <c r="L664" s="2" t="s">
        <v>40</v>
      </c>
      <c r="P664" s="2" t="s">
        <v>48</v>
      </c>
      <c r="Q664" s="2">
        <f>INDEX(Tables!$C$4:$C$28,MATCH($P664,Tables!$B$4:$B$28,0))</f>
        <v>32</v>
      </c>
      <c r="R664" s="2">
        <f>INDEX(Tables!$D$4:$D$28,MATCH($P664,Tables!$B$4:$B$28,0))</f>
        <v>4</v>
      </c>
      <c r="S664" s="2">
        <f>$S663+$R663+INDEX(Tables!$N$5:$Q$8,MATCH(MOD($S663+$R663,4),Tables!$M$5:$M$8,0),MATCH($R664,Tables!$N$4:$Q$4,0))</f>
        <v>2472</v>
      </c>
      <c r="T664" s="2" t="str">
        <f t="shared" si="168"/>
        <v>09A8</v>
      </c>
      <c r="U664" s="2">
        <f t="shared" si="174"/>
        <v>618</v>
      </c>
      <c r="V664" s="2" t="str">
        <f t="shared" si="169"/>
        <v>26A</v>
      </c>
      <c r="W664" s="2" t="str">
        <f t="shared" si="170"/>
        <v>X</v>
      </c>
      <c r="X664" s="2" t="str">
        <f t="shared" si="173"/>
        <v>X</v>
      </c>
      <c r="Y664" s="2" t="str">
        <f t="shared" si="171"/>
        <v>X</v>
      </c>
      <c r="Z664" s="2" t="str">
        <f t="shared" si="172"/>
        <v>X</v>
      </c>
      <c r="AA664" s="2" t="str">
        <f t="shared" si="175"/>
        <v>(31 downto 24)</v>
      </c>
      <c r="AB664" s="2" t="str">
        <f t="shared" si="176"/>
        <v>(23 downto 16)</v>
      </c>
      <c r="AC664" s="2" t="str">
        <f t="shared" si="177"/>
        <v>(15 downto 8)</v>
      </c>
      <c r="AD664" s="2" t="str">
        <f t="shared" si="178"/>
        <v>(7 downto 0)</v>
      </c>
      <c r="AE664" s="2" t="str">
        <f t="shared" si="179"/>
        <v>(31 downto 24)</v>
      </c>
      <c r="AF664" s="2" t="str">
        <f t="shared" si="180"/>
        <v>(23 downto 16)</v>
      </c>
      <c r="AG664" s="2" t="str">
        <f t="shared" si="181"/>
        <v>(15 downto 8)</v>
      </c>
      <c r="AH664" s="2" t="str">
        <f t="shared" si="182"/>
        <v>(7 downto 0)</v>
      </c>
    </row>
    <row r="665" spans="2:34" x14ac:dyDescent="0.25">
      <c r="B665" s="2" t="s">
        <v>1810</v>
      </c>
      <c r="C665" s="2" t="s">
        <v>141</v>
      </c>
      <c r="D665" s="2" t="s">
        <v>0</v>
      </c>
      <c r="E665" s="2" t="s">
        <v>130</v>
      </c>
      <c r="F665" s="2" t="s">
        <v>1811</v>
      </c>
      <c r="G665" s="2" t="s">
        <v>1812</v>
      </c>
      <c r="H665" s="2" t="s">
        <v>142</v>
      </c>
      <c r="I665" s="2" t="s">
        <v>41</v>
      </c>
      <c r="J665" s="2">
        <v>32</v>
      </c>
      <c r="K665" s="2" t="s">
        <v>132</v>
      </c>
      <c r="L665" s="2" t="s">
        <v>40</v>
      </c>
      <c r="P665" s="2" t="s">
        <v>48</v>
      </c>
      <c r="Q665" s="2">
        <f>INDEX(Tables!$C$4:$C$28,MATCH($P665,Tables!$B$4:$B$28,0))</f>
        <v>32</v>
      </c>
      <c r="R665" s="2">
        <f>INDEX(Tables!$D$4:$D$28,MATCH($P665,Tables!$B$4:$B$28,0))</f>
        <v>4</v>
      </c>
      <c r="S665" s="2">
        <f>$S664+$R664+INDEX(Tables!$N$5:$Q$8,MATCH(MOD($S664+$R664,4),Tables!$M$5:$M$8,0),MATCH($R665,Tables!$N$4:$Q$4,0))</f>
        <v>2476</v>
      </c>
      <c r="T665" s="2" t="str">
        <f t="shared" si="168"/>
        <v>09AC</v>
      </c>
      <c r="U665" s="2">
        <f t="shared" si="174"/>
        <v>619</v>
      </c>
      <c r="V665" s="2" t="str">
        <f t="shared" si="169"/>
        <v>26B</v>
      </c>
      <c r="W665" s="2" t="str">
        <f t="shared" si="170"/>
        <v>X</v>
      </c>
      <c r="X665" s="2" t="str">
        <f t="shared" si="173"/>
        <v>X</v>
      </c>
      <c r="Y665" s="2" t="str">
        <f t="shared" si="171"/>
        <v>X</v>
      </c>
      <c r="Z665" s="2" t="str">
        <f t="shared" si="172"/>
        <v>X</v>
      </c>
      <c r="AA665" s="2" t="str">
        <f t="shared" si="175"/>
        <v>(31 downto 24)</v>
      </c>
      <c r="AB665" s="2" t="str">
        <f t="shared" si="176"/>
        <v>(23 downto 16)</v>
      </c>
      <c r="AC665" s="2" t="str">
        <f t="shared" si="177"/>
        <v>(15 downto 8)</v>
      </c>
      <c r="AD665" s="2" t="str">
        <f t="shared" si="178"/>
        <v>(7 downto 0)</v>
      </c>
      <c r="AE665" s="2" t="str">
        <f t="shared" si="179"/>
        <v>(31 downto 24)</v>
      </c>
      <c r="AF665" s="2" t="str">
        <f t="shared" si="180"/>
        <v>(23 downto 16)</v>
      </c>
      <c r="AG665" s="2" t="str">
        <f t="shared" si="181"/>
        <v>(15 downto 8)</v>
      </c>
      <c r="AH665" s="2" t="str">
        <f t="shared" si="182"/>
        <v>(7 downto 0)</v>
      </c>
    </row>
    <row r="666" spans="2:34" x14ac:dyDescent="0.25">
      <c r="B666" s="2" t="s">
        <v>1813</v>
      </c>
      <c r="C666" s="2" t="s">
        <v>141</v>
      </c>
      <c r="D666" s="2" t="s">
        <v>0</v>
      </c>
      <c r="E666" s="2" t="s">
        <v>130</v>
      </c>
      <c r="F666" s="2" t="s">
        <v>1814</v>
      </c>
      <c r="G666" s="2" t="s">
        <v>1815</v>
      </c>
      <c r="H666" s="2" t="s">
        <v>142</v>
      </c>
      <c r="I666" s="2" t="s">
        <v>41</v>
      </c>
      <c r="J666" s="2">
        <v>32</v>
      </c>
      <c r="K666" s="2" t="s">
        <v>132</v>
      </c>
      <c r="L666" s="2" t="s">
        <v>40</v>
      </c>
      <c r="P666" s="2" t="s">
        <v>48</v>
      </c>
      <c r="Q666" s="2">
        <f>INDEX(Tables!$C$4:$C$28,MATCH($P666,Tables!$B$4:$B$28,0))</f>
        <v>32</v>
      </c>
      <c r="R666" s="2">
        <f>INDEX(Tables!$D$4:$D$28,MATCH($P666,Tables!$B$4:$B$28,0))</f>
        <v>4</v>
      </c>
      <c r="S666" s="2">
        <f>$S665+$R665+INDEX(Tables!$N$5:$Q$8,MATCH(MOD($S665+$R665,4),Tables!$M$5:$M$8,0),MATCH($R666,Tables!$N$4:$Q$4,0))</f>
        <v>2480</v>
      </c>
      <c r="T666" s="2" t="str">
        <f t="shared" si="168"/>
        <v>09B0</v>
      </c>
      <c r="U666" s="2">
        <f t="shared" si="174"/>
        <v>620</v>
      </c>
      <c r="V666" s="2" t="str">
        <f t="shared" si="169"/>
        <v>26C</v>
      </c>
      <c r="W666" s="2" t="str">
        <f t="shared" si="170"/>
        <v>X</v>
      </c>
      <c r="X666" s="2" t="str">
        <f t="shared" si="173"/>
        <v>X</v>
      </c>
      <c r="Y666" s="2" t="str">
        <f t="shared" si="171"/>
        <v>X</v>
      </c>
      <c r="Z666" s="2" t="str">
        <f t="shared" si="172"/>
        <v>X</v>
      </c>
      <c r="AA666" s="2" t="str">
        <f t="shared" si="175"/>
        <v>(31 downto 24)</v>
      </c>
      <c r="AB666" s="2" t="str">
        <f t="shared" si="176"/>
        <v>(23 downto 16)</v>
      </c>
      <c r="AC666" s="2" t="str">
        <f t="shared" si="177"/>
        <v>(15 downto 8)</v>
      </c>
      <c r="AD666" s="2" t="str">
        <f t="shared" si="178"/>
        <v>(7 downto 0)</v>
      </c>
      <c r="AE666" s="2" t="str">
        <f t="shared" si="179"/>
        <v>(31 downto 24)</v>
      </c>
      <c r="AF666" s="2" t="str">
        <f t="shared" si="180"/>
        <v>(23 downto 16)</v>
      </c>
      <c r="AG666" s="2" t="str">
        <f t="shared" si="181"/>
        <v>(15 downto 8)</v>
      </c>
      <c r="AH666" s="2" t="str">
        <f t="shared" si="182"/>
        <v>(7 downto 0)</v>
      </c>
    </row>
    <row r="667" spans="2:34" x14ac:dyDescent="0.25">
      <c r="B667" s="2" t="s">
        <v>1816</v>
      </c>
      <c r="C667" s="2" t="s">
        <v>141</v>
      </c>
      <c r="D667" s="2" t="s">
        <v>0</v>
      </c>
      <c r="E667" s="2" t="s">
        <v>130</v>
      </c>
      <c r="F667" s="2" t="s">
        <v>1817</v>
      </c>
      <c r="G667" s="2" t="s">
        <v>1818</v>
      </c>
      <c r="H667" s="2" t="s">
        <v>142</v>
      </c>
      <c r="I667" s="2" t="s">
        <v>41</v>
      </c>
      <c r="J667" s="2">
        <v>32</v>
      </c>
      <c r="K667" s="2" t="s">
        <v>132</v>
      </c>
      <c r="L667" s="2" t="s">
        <v>40</v>
      </c>
      <c r="P667" s="2" t="s">
        <v>48</v>
      </c>
      <c r="Q667" s="2">
        <f>INDEX(Tables!$C$4:$C$28,MATCH($P667,Tables!$B$4:$B$28,0))</f>
        <v>32</v>
      </c>
      <c r="R667" s="2">
        <f>INDEX(Tables!$D$4:$D$28,MATCH($P667,Tables!$B$4:$B$28,0))</f>
        <v>4</v>
      </c>
      <c r="S667" s="2">
        <f>$S666+$R666+INDEX(Tables!$N$5:$Q$8,MATCH(MOD($S666+$R666,4),Tables!$M$5:$M$8,0),MATCH($R667,Tables!$N$4:$Q$4,0))</f>
        <v>2484</v>
      </c>
      <c r="T667" s="2" t="str">
        <f t="shared" si="168"/>
        <v>09B4</v>
      </c>
      <c r="U667" s="2">
        <f t="shared" si="174"/>
        <v>621</v>
      </c>
      <c r="V667" s="2" t="str">
        <f t="shared" si="169"/>
        <v>26D</v>
      </c>
      <c r="W667" s="2" t="str">
        <f t="shared" si="170"/>
        <v>X</v>
      </c>
      <c r="X667" s="2" t="str">
        <f t="shared" si="173"/>
        <v>X</v>
      </c>
      <c r="Y667" s="2" t="str">
        <f t="shared" si="171"/>
        <v>X</v>
      </c>
      <c r="Z667" s="2" t="str">
        <f t="shared" si="172"/>
        <v>X</v>
      </c>
      <c r="AA667" s="2" t="str">
        <f t="shared" si="175"/>
        <v>(31 downto 24)</v>
      </c>
      <c r="AB667" s="2" t="str">
        <f t="shared" si="176"/>
        <v>(23 downto 16)</v>
      </c>
      <c r="AC667" s="2" t="str">
        <f t="shared" si="177"/>
        <v>(15 downto 8)</v>
      </c>
      <c r="AD667" s="2" t="str">
        <f t="shared" si="178"/>
        <v>(7 downto 0)</v>
      </c>
      <c r="AE667" s="2" t="str">
        <f t="shared" si="179"/>
        <v>(31 downto 24)</v>
      </c>
      <c r="AF667" s="2" t="str">
        <f t="shared" si="180"/>
        <v>(23 downto 16)</v>
      </c>
      <c r="AG667" s="2" t="str">
        <f t="shared" si="181"/>
        <v>(15 downto 8)</v>
      </c>
      <c r="AH667" s="2" t="str">
        <f t="shared" si="182"/>
        <v>(7 downto 0)</v>
      </c>
    </row>
    <row r="668" spans="2:34" x14ac:dyDescent="0.25">
      <c r="B668" s="2" t="s">
        <v>1819</v>
      </c>
      <c r="C668" s="2" t="s">
        <v>141</v>
      </c>
      <c r="D668" s="2" t="s">
        <v>0</v>
      </c>
      <c r="E668" s="2" t="s">
        <v>130</v>
      </c>
      <c r="F668" s="2" t="s">
        <v>1820</v>
      </c>
      <c r="G668" s="2" t="s">
        <v>1821</v>
      </c>
      <c r="H668" s="2" t="s">
        <v>142</v>
      </c>
      <c r="I668" s="2" t="s">
        <v>41</v>
      </c>
      <c r="J668" s="2">
        <v>32</v>
      </c>
      <c r="K668" s="2" t="s">
        <v>132</v>
      </c>
      <c r="L668" s="2" t="s">
        <v>40</v>
      </c>
      <c r="P668" s="2" t="s">
        <v>48</v>
      </c>
      <c r="Q668" s="2">
        <f>INDEX(Tables!$C$4:$C$28,MATCH($P668,Tables!$B$4:$B$28,0))</f>
        <v>32</v>
      </c>
      <c r="R668" s="2">
        <f>INDEX(Tables!$D$4:$D$28,MATCH($P668,Tables!$B$4:$B$28,0))</f>
        <v>4</v>
      </c>
      <c r="S668" s="2">
        <f>$S667+$R667+INDEX(Tables!$N$5:$Q$8,MATCH(MOD($S667+$R667,4),Tables!$M$5:$M$8,0),MATCH($R668,Tables!$N$4:$Q$4,0))</f>
        <v>2488</v>
      </c>
      <c r="T668" s="2" t="str">
        <f t="shared" si="168"/>
        <v>09B8</v>
      </c>
      <c r="U668" s="2">
        <f t="shared" si="174"/>
        <v>622</v>
      </c>
      <c r="V668" s="2" t="str">
        <f t="shared" si="169"/>
        <v>26E</v>
      </c>
      <c r="W668" s="2" t="str">
        <f t="shared" si="170"/>
        <v>X</v>
      </c>
      <c r="X668" s="2" t="str">
        <f t="shared" si="173"/>
        <v>X</v>
      </c>
      <c r="Y668" s="2" t="str">
        <f t="shared" si="171"/>
        <v>X</v>
      </c>
      <c r="Z668" s="2" t="str">
        <f t="shared" si="172"/>
        <v>X</v>
      </c>
      <c r="AA668" s="2" t="str">
        <f t="shared" si="175"/>
        <v>(31 downto 24)</v>
      </c>
      <c r="AB668" s="2" t="str">
        <f t="shared" si="176"/>
        <v>(23 downto 16)</v>
      </c>
      <c r="AC668" s="2" t="str">
        <f t="shared" si="177"/>
        <v>(15 downto 8)</v>
      </c>
      <c r="AD668" s="2" t="str">
        <f t="shared" si="178"/>
        <v>(7 downto 0)</v>
      </c>
      <c r="AE668" s="2" t="str">
        <f t="shared" si="179"/>
        <v>(31 downto 24)</v>
      </c>
      <c r="AF668" s="2" t="str">
        <f t="shared" si="180"/>
        <v>(23 downto 16)</v>
      </c>
      <c r="AG668" s="2" t="str">
        <f t="shared" si="181"/>
        <v>(15 downto 8)</v>
      </c>
      <c r="AH668" s="2" t="str">
        <f t="shared" si="182"/>
        <v>(7 downto 0)</v>
      </c>
    </row>
    <row r="669" spans="2:34" x14ac:dyDescent="0.25">
      <c r="B669" s="2" t="s">
        <v>1822</v>
      </c>
      <c r="C669" s="2" t="s">
        <v>141</v>
      </c>
      <c r="D669" s="2" t="s">
        <v>0</v>
      </c>
      <c r="E669" s="2" t="s">
        <v>130</v>
      </c>
      <c r="F669" s="2" t="s">
        <v>1823</v>
      </c>
      <c r="G669" s="2" t="s">
        <v>1824</v>
      </c>
      <c r="H669" s="2" t="s">
        <v>142</v>
      </c>
      <c r="I669" s="2" t="s">
        <v>41</v>
      </c>
      <c r="J669" s="2">
        <v>32</v>
      </c>
      <c r="K669" s="2" t="s">
        <v>132</v>
      </c>
      <c r="L669" s="2" t="s">
        <v>40</v>
      </c>
      <c r="P669" s="2" t="s">
        <v>48</v>
      </c>
      <c r="Q669" s="2">
        <f>INDEX(Tables!$C$4:$C$28,MATCH($P669,Tables!$B$4:$B$28,0))</f>
        <v>32</v>
      </c>
      <c r="R669" s="2">
        <f>INDEX(Tables!$D$4:$D$28,MATCH($P669,Tables!$B$4:$B$28,0))</f>
        <v>4</v>
      </c>
      <c r="S669" s="2">
        <f>$S668+$R668+INDEX(Tables!$N$5:$Q$8,MATCH(MOD($S668+$R668,4),Tables!$M$5:$M$8,0),MATCH($R669,Tables!$N$4:$Q$4,0))</f>
        <v>2492</v>
      </c>
      <c r="T669" s="2" t="str">
        <f t="shared" si="168"/>
        <v>09BC</v>
      </c>
      <c r="U669" s="2">
        <f t="shared" si="174"/>
        <v>623</v>
      </c>
      <c r="V669" s="2" t="str">
        <f t="shared" si="169"/>
        <v>26F</v>
      </c>
      <c r="W669" s="2" t="str">
        <f t="shared" si="170"/>
        <v>X</v>
      </c>
      <c r="X669" s="2" t="str">
        <f t="shared" si="173"/>
        <v>X</v>
      </c>
      <c r="Y669" s="2" t="str">
        <f t="shared" si="171"/>
        <v>X</v>
      </c>
      <c r="Z669" s="2" t="str">
        <f t="shared" si="172"/>
        <v>X</v>
      </c>
      <c r="AA669" s="2" t="str">
        <f t="shared" si="175"/>
        <v>(31 downto 24)</v>
      </c>
      <c r="AB669" s="2" t="str">
        <f t="shared" si="176"/>
        <v>(23 downto 16)</v>
      </c>
      <c r="AC669" s="2" t="str">
        <f t="shared" si="177"/>
        <v>(15 downto 8)</v>
      </c>
      <c r="AD669" s="2" t="str">
        <f t="shared" si="178"/>
        <v>(7 downto 0)</v>
      </c>
      <c r="AE669" s="2" t="str">
        <f t="shared" si="179"/>
        <v>(31 downto 24)</v>
      </c>
      <c r="AF669" s="2" t="str">
        <f t="shared" si="180"/>
        <v>(23 downto 16)</v>
      </c>
      <c r="AG669" s="2" t="str">
        <f t="shared" si="181"/>
        <v>(15 downto 8)</v>
      </c>
      <c r="AH669" s="2" t="str">
        <f t="shared" si="182"/>
        <v>(7 downto 0)</v>
      </c>
    </row>
    <row r="670" spans="2:34" x14ac:dyDescent="0.25">
      <c r="B670" s="2" t="s">
        <v>1825</v>
      </c>
      <c r="C670" s="2" t="s">
        <v>141</v>
      </c>
      <c r="D670" s="2" t="s">
        <v>0</v>
      </c>
      <c r="E670" s="2" t="s">
        <v>130</v>
      </c>
      <c r="F670" s="2" t="s">
        <v>1826</v>
      </c>
      <c r="G670" s="2" t="s">
        <v>1827</v>
      </c>
      <c r="H670" s="2" t="s">
        <v>142</v>
      </c>
      <c r="I670" s="2" t="s">
        <v>41</v>
      </c>
      <c r="J670" s="2">
        <v>32</v>
      </c>
      <c r="K670" s="2" t="s">
        <v>132</v>
      </c>
      <c r="L670" s="2" t="s">
        <v>40</v>
      </c>
      <c r="P670" s="2" t="s">
        <v>48</v>
      </c>
      <c r="Q670" s="2">
        <f>INDEX(Tables!$C$4:$C$28,MATCH($P670,Tables!$B$4:$B$28,0))</f>
        <v>32</v>
      </c>
      <c r="R670" s="2">
        <f>INDEX(Tables!$D$4:$D$28,MATCH($P670,Tables!$B$4:$B$28,0))</f>
        <v>4</v>
      </c>
      <c r="S670" s="2">
        <f>$S669+$R669+INDEX(Tables!$N$5:$Q$8,MATCH(MOD($S669+$R669,4),Tables!$M$5:$M$8,0),MATCH($R670,Tables!$N$4:$Q$4,0))</f>
        <v>2496</v>
      </c>
      <c r="T670" s="2" t="str">
        <f t="shared" si="168"/>
        <v>09C0</v>
      </c>
      <c r="U670" s="2">
        <f t="shared" si="174"/>
        <v>624</v>
      </c>
      <c r="V670" s="2" t="str">
        <f t="shared" si="169"/>
        <v>270</v>
      </c>
      <c r="W670" s="2" t="str">
        <f t="shared" si="170"/>
        <v>X</v>
      </c>
      <c r="X670" s="2" t="str">
        <f t="shared" si="173"/>
        <v>X</v>
      </c>
      <c r="Y670" s="2" t="str">
        <f t="shared" si="171"/>
        <v>X</v>
      </c>
      <c r="Z670" s="2" t="str">
        <f t="shared" si="172"/>
        <v>X</v>
      </c>
      <c r="AA670" s="2" t="str">
        <f t="shared" si="175"/>
        <v>(31 downto 24)</v>
      </c>
      <c r="AB670" s="2" t="str">
        <f t="shared" si="176"/>
        <v>(23 downto 16)</v>
      </c>
      <c r="AC670" s="2" t="str">
        <f t="shared" si="177"/>
        <v>(15 downto 8)</v>
      </c>
      <c r="AD670" s="2" t="str">
        <f t="shared" si="178"/>
        <v>(7 downto 0)</v>
      </c>
      <c r="AE670" s="2" t="str">
        <f t="shared" si="179"/>
        <v>(31 downto 24)</v>
      </c>
      <c r="AF670" s="2" t="str">
        <f t="shared" si="180"/>
        <v>(23 downto 16)</v>
      </c>
      <c r="AG670" s="2" t="str">
        <f t="shared" si="181"/>
        <v>(15 downto 8)</v>
      </c>
      <c r="AH670" s="2" t="str">
        <f t="shared" si="182"/>
        <v>(7 downto 0)</v>
      </c>
    </row>
    <row r="671" spans="2:34" x14ac:dyDescent="0.25">
      <c r="B671" s="2" t="s">
        <v>1828</v>
      </c>
      <c r="C671" s="2" t="s">
        <v>141</v>
      </c>
      <c r="D671" s="2" t="s">
        <v>0</v>
      </c>
      <c r="E671" s="2" t="s">
        <v>130</v>
      </c>
      <c r="F671" s="2" t="s">
        <v>1829</v>
      </c>
      <c r="G671" s="2" t="s">
        <v>1830</v>
      </c>
      <c r="H671" s="2" t="s">
        <v>142</v>
      </c>
      <c r="I671" s="2" t="s">
        <v>41</v>
      </c>
      <c r="J671" s="2">
        <v>32</v>
      </c>
      <c r="K671" s="2" t="s">
        <v>132</v>
      </c>
      <c r="L671" s="2" t="s">
        <v>40</v>
      </c>
      <c r="P671" s="2" t="s">
        <v>48</v>
      </c>
      <c r="Q671" s="2">
        <f>INDEX(Tables!$C$4:$C$28,MATCH($P671,Tables!$B$4:$B$28,0))</f>
        <v>32</v>
      </c>
      <c r="R671" s="2">
        <f>INDEX(Tables!$D$4:$D$28,MATCH($P671,Tables!$B$4:$B$28,0))</f>
        <v>4</v>
      </c>
      <c r="S671" s="2">
        <f>$S670+$R670+INDEX(Tables!$N$5:$Q$8,MATCH(MOD($S670+$R670,4),Tables!$M$5:$M$8,0),MATCH($R671,Tables!$N$4:$Q$4,0))</f>
        <v>2500</v>
      </c>
      <c r="T671" s="2" t="str">
        <f t="shared" si="168"/>
        <v>09C4</v>
      </c>
      <c r="U671" s="2">
        <f t="shared" si="174"/>
        <v>625</v>
      </c>
      <c r="V671" s="2" t="str">
        <f t="shared" si="169"/>
        <v>271</v>
      </c>
      <c r="W671" s="2" t="str">
        <f t="shared" si="170"/>
        <v>X</v>
      </c>
      <c r="X671" s="2" t="str">
        <f t="shared" si="173"/>
        <v>X</v>
      </c>
      <c r="Y671" s="2" t="str">
        <f t="shared" si="171"/>
        <v>X</v>
      </c>
      <c r="Z671" s="2" t="str">
        <f t="shared" si="172"/>
        <v>X</v>
      </c>
      <c r="AA671" s="2" t="str">
        <f t="shared" si="175"/>
        <v>(31 downto 24)</v>
      </c>
      <c r="AB671" s="2" t="str">
        <f t="shared" si="176"/>
        <v>(23 downto 16)</v>
      </c>
      <c r="AC671" s="2" t="str">
        <f t="shared" si="177"/>
        <v>(15 downto 8)</v>
      </c>
      <c r="AD671" s="2" t="str">
        <f t="shared" si="178"/>
        <v>(7 downto 0)</v>
      </c>
      <c r="AE671" s="2" t="str">
        <f t="shared" si="179"/>
        <v>(31 downto 24)</v>
      </c>
      <c r="AF671" s="2" t="str">
        <f t="shared" si="180"/>
        <v>(23 downto 16)</v>
      </c>
      <c r="AG671" s="2" t="str">
        <f t="shared" si="181"/>
        <v>(15 downto 8)</v>
      </c>
      <c r="AH671" s="2" t="str">
        <f t="shared" si="182"/>
        <v>(7 downto 0)</v>
      </c>
    </row>
    <row r="672" spans="2:34" x14ac:dyDescent="0.25">
      <c r="B672" s="2" t="s">
        <v>1831</v>
      </c>
      <c r="C672" s="2" t="s">
        <v>141</v>
      </c>
      <c r="D672" s="2" t="s">
        <v>0</v>
      </c>
      <c r="E672" s="2" t="s">
        <v>130</v>
      </c>
      <c r="F672" s="2" t="s">
        <v>1832</v>
      </c>
      <c r="G672" s="2" t="s">
        <v>1833</v>
      </c>
      <c r="H672" s="2" t="s">
        <v>142</v>
      </c>
      <c r="I672" s="2" t="s">
        <v>41</v>
      </c>
      <c r="J672" s="2">
        <v>32</v>
      </c>
      <c r="K672" s="2" t="s">
        <v>132</v>
      </c>
      <c r="L672" s="2" t="s">
        <v>40</v>
      </c>
      <c r="P672" s="2" t="s">
        <v>48</v>
      </c>
      <c r="Q672" s="2">
        <f>INDEX(Tables!$C$4:$C$28,MATCH($P672,Tables!$B$4:$B$28,0))</f>
        <v>32</v>
      </c>
      <c r="R672" s="2">
        <f>INDEX(Tables!$D$4:$D$28,MATCH($P672,Tables!$B$4:$B$28,0))</f>
        <v>4</v>
      </c>
      <c r="S672" s="2">
        <f>$S671+$R671+INDEX(Tables!$N$5:$Q$8,MATCH(MOD($S671+$R671,4),Tables!$M$5:$M$8,0),MATCH($R672,Tables!$N$4:$Q$4,0))</f>
        <v>2504</v>
      </c>
      <c r="T672" s="2" t="str">
        <f t="shared" si="168"/>
        <v>09C8</v>
      </c>
      <c r="U672" s="2">
        <f t="shared" si="174"/>
        <v>626</v>
      </c>
      <c r="V672" s="2" t="str">
        <f t="shared" si="169"/>
        <v>272</v>
      </c>
      <c r="W672" s="2" t="str">
        <f t="shared" si="170"/>
        <v>X</v>
      </c>
      <c r="X672" s="2" t="str">
        <f t="shared" si="173"/>
        <v>X</v>
      </c>
      <c r="Y672" s="2" t="str">
        <f t="shared" si="171"/>
        <v>X</v>
      </c>
      <c r="Z672" s="2" t="str">
        <f t="shared" si="172"/>
        <v>X</v>
      </c>
      <c r="AA672" s="2" t="str">
        <f t="shared" si="175"/>
        <v>(31 downto 24)</v>
      </c>
      <c r="AB672" s="2" t="str">
        <f t="shared" si="176"/>
        <v>(23 downto 16)</v>
      </c>
      <c r="AC672" s="2" t="str">
        <f t="shared" si="177"/>
        <v>(15 downto 8)</v>
      </c>
      <c r="AD672" s="2" t="str">
        <f t="shared" si="178"/>
        <v>(7 downto 0)</v>
      </c>
      <c r="AE672" s="2" t="str">
        <f t="shared" si="179"/>
        <v>(31 downto 24)</v>
      </c>
      <c r="AF672" s="2" t="str">
        <f t="shared" si="180"/>
        <v>(23 downto 16)</v>
      </c>
      <c r="AG672" s="2" t="str">
        <f t="shared" si="181"/>
        <v>(15 downto 8)</v>
      </c>
      <c r="AH672" s="2" t="str">
        <f t="shared" si="182"/>
        <v>(7 downto 0)</v>
      </c>
    </row>
    <row r="673" spans="2:34" x14ac:dyDescent="0.25">
      <c r="B673" s="2" t="s">
        <v>1834</v>
      </c>
      <c r="C673" s="2" t="s">
        <v>141</v>
      </c>
      <c r="D673" s="2" t="s">
        <v>0</v>
      </c>
      <c r="E673" s="2" t="s">
        <v>130</v>
      </c>
      <c r="F673" s="2" t="s">
        <v>1835</v>
      </c>
      <c r="G673" s="2" t="s">
        <v>1836</v>
      </c>
      <c r="H673" s="2" t="s">
        <v>142</v>
      </c>
      <c r="I673" s="2" t="s">
        <v>41</v>
      </c>
      <c r="J673" s="2">
        <v>32</v>
      </c>
      <c r="K673" s="2" t="s">
        <v>132</v>
      </c>
      <c r="L673" s="2" t="s">
        <v>40</v>
      </c>
      <c r="P673" s="2" t="s">
        <v>48</v>
      </c>
      <c r="Q673" s="2">
        <f>INDEX(Tables!$C$4:$C$28,MATCH($P673,Tables!$B$4:$B$28,0))</f>
        <v>32</v>
      </c>
      <c r="R673" s="2">
        <f>INDEX(Tables!$D$4:$D$28,MATCH($P673,Tables!$B$4:$B$28,0))</f>
        <v>4</v>
      </c>
      <c r="S673" s="2">
        <f>$S672+$R672+INDEX(Tables!$N$5:$Q$8,MATCH(MOD($S672+$R672,4),Tables!$M$5:$M$8,0),MATCH($R673,Tables!$N$4:$Q$4,0))</f>
        <v>2508</v>
      </c>
      <c r="T673" s="2" t="str">
        <f t="shared" si="168"/>
        <v>09CC</v>
      </c>
      <c r="U673" s="2">
        <f t="shared" si="174"/>
        <v>627</v>
      </c>
      <c r="V673" s="2" t="str">
        <f t="shared" si="169"/>
        <v>273</v>
      </c>
      <c r="W673" s="2" t="str">
        <f t="shared" si="170"/>
        <v>X</v>
      </c>
      <c r="X673" s="2" t="str">
        <f t="shared" si="173"/>
        <v>X</v>
      </c>
      <c r="Y673" s="2" t="str">
        <f t="shared" si="171"/>
        <v>X</v>
      </c>
      <c r="Z673" s="2" t="str">
        <f t="shared" si="172"/>
        <v>X</v>
      </c>
      <c r="AA673" s="2" t="str">
        <f t="shared" si="175"/>
        <v>(31 downto 24)</v>
      </c>
      <c r="AB673" s="2" t="str">
        <f t="shared" si="176"/>
        <v>(23 downto 16)</v>
      </c>
      <c r="AC673" s="2" t="str">
        <f t="shared" si="177"/>
        <v>(15 downto 8)</v>
      </c>
      <c r="AD673" s="2" t="str">
        <f t="shared" si="178"/>
        <v>(7 downto 0)</v>
      </c>
      <c r="AE673" s="2" t="str">
        <f t="shared" si="179"/>
        <v>(31 downto 24)</v>
      </c>
      <c r="AF673" s="2" t="str">
        <f t="shared" si="180"/>
        <v>(23 downto 16)</v>
      </c>
      <c r="AG673" s="2" t="str">
        <f t="shared" si="181"/>
        <v>(15 downto 8)</v>
      </c>
      <c r="AH673" s="2" t="str">
        <f t="shared" si="182"/>
        <v>(7 downto 0)</v>
      </c>
    </row>
    <row r="674" spans="2:34" x14ac:dyDescent="0.25">
      <c r="B674" s="2" t="s">
        <v>1837</v>
      </c>
      <c r="C674" s="2" t="s">
        <v>141</v>
      </c>
      <c r="D674" s="2" t="s">
        <v>0</v>
      </c>
      <c r="E674" s="2" t="s">
        <v>130</v>
      </c>
      <c r="F674" s="2" t="s">
        <v>1838</v>
      </c>
      <c r="G674" s="2" t="s">
        <v>1839</v>
      </c>
      <c r="H674" s="2" t="s">
        <v>142</v>
      </c>
      <c r="I674" s="2" t="s">
        <v>41</v>
      </c>
      <c r="J674" s="2">
        <v>32</v>
      </c>
      <c r="K674" s="2" t="s">
        <v>132</v>
      </c>
      <c r="L674" s="2" t="s">
        <v>40</v>
      </c>
      <c r="P674" s="2" t="s">
        <v>48</v>
      </c>
      <c r="Q674" s="2">
        <f>INDEX(Tables!$C$4:$C$28,MATCH($P674,Tables!$B$4:$B$28,0))</f>
        <v>32</v>
      </c>
      <c r="R674" s="2">
        <f>INDEX(Tables!$D$4:$D$28,MATCH($P674,Tables!$B$4:$B$28,0))</f>
        <v>4</v>
      </c>
      <c r="S674" s="2">
        <f>$S673+$R673+INDEX(Tables!$N$5:$Q$8,MATCH(MOD($S673+$R673,4),Tables!$M$5:$M$8,0),MATCH($R674,Tables!$N$4:$Q$4,0))</f>
        <v>2512</v>
      </c>
      <c r="T674" s="2" t="str">
        <f t="shared" si="168"/>
        <v>09D0</v>
      </c>
      <c r="U674" s="2">
        <f t="shared" si="174"/>
        <v>628</v>
      </c>
      <c r="V674" s="2" t="str">
        <f t="shared" si="169"/>
        <v>274</v>
      </c>
      <c r="W674" s="2" t="str">
        <f t="shared" si="170"/>
        <v>X</v>
      </c>
      <c r="X674" s="2" t="str">
        <f t="shared" si="173"/>
        <v>X</v>
      </c>
      <c r="Y674" s="2" t="str">
        <f t="shared" si="171"/>
        <v>X</v>
      </c>
      <c r="Z674" s="2" t="str">
        <f t="shared" si="172"/>
        <v>X</v>
      </c>
      <c r="AA674" s="2" t="str">
        <f t="shared" si="175"/>
        <v>(31 downto 24)</v>
      </c>
      <c r="AB674" s="2" t="str">
        <f t="shared" si="176"/>
        <v>(23 downto 16)</v>
      </c>
      <c r="AC674" s="2" t="str">
        <f t="shared" si="177"/>
        <v>(15 downto 8)</v>
      </c>
      <c r="AD674" s="2" t="str">
        <f t="shared" si="178"/>
        <v>(7 downto 0)</v>
      </c>
      <c r="AE674" s="2" t="str">
        <f t="shared" si="179"/>
        <v>(31 downto 24)</v>
      </c>
      <c r="AF674" s="2" t="str">
        <f t="shared" si="180"/>
        <v>(23 downto 16)</v>
      </c>
      <c r="AG674" s="2" t="str">
        <f t="shared" si="181"/>
        <v>(15 downto 8)</v>
      </c>
      <c r="AH674" s="2" t="str">
        <f t="shared" si="182"/>
        <v>(7 downto 0)</v>
      </c>
    </row>
    <row r="675" spans="2:34" x14ac:dyDescent="0.25">
      <c r="B675" s="2" t="s">
        <v>1840</v>
      </c>
      <c r="C675" s="2" t="s">
        <v>141</v>
      </c>
      <c r="D675" s="2" t="s">
        <v>0</v>
      </c>
      <c r="E675" s="2" t="s">
        <v>130</v>
      </c>
      <c r="F675" s="2" t="s">
        <v>1841</v>
      </c>
      <c r="G675" s="2" t="s">
        <v>1842</v>
      </c>
      <c r="H675" s="2" t="s">
        <v>142</v>
      </c>
      <c r="I675" s="2" t="s">
        <v>41</v>
      </c>
      <c r="J675" s="2">
        <v>32</v>
      </c>
      <c r="K675" s="2" t="s">
        <v>132</v>
      </c>
      <c r="L675" s="2" t="s">
        <v>40</v>
      </c>
      <c r="P675" s="2" t="s">
        <v>48</v>
      </c>
      <c r="Q675" s="2">
        <f>INDEX(Tables!$C$4:$C$28,MATCH($P675,Tables!$B$4:$B$28,0))</f>
        <v>32</v>
      </c>
      <c r="R675" s="2">
        <f>INDEX(Tables!$D$4:$D$28,MATCH($P675,Tables!$B$4:$B$28,0))</f>
        <v>4</v>
      </c>
      <c r="S675" s="2">
        <f>$S674+$R674+INDEX(Tables!$N$5:$Q$8,MATCH(MOD($S674+$R674,4),Tables!$M$5:$M$8,0),MATCH($R675,Tables!$N$4:$Q$4,0))</f>
        <v>2516</v>
      </c>
      <c r="T675" s="2" t="str">
        <f t="shared" si="168"/>
        <v>09D4</v>
      </c>
      <c r="U675" s="2">
        <f t="shared" si="174"/>
        <v>629</v>
      </c>
      <c r="V675" s="2" t="str">
        <f t="shared" si="169"/>
        <v>275</v>
      </c>
      <c r="W675" s="2" t="str">
        <f t="shared" si="170"/>
        <v>X</v>
      </c>
      <c r="X675" s="2" t="str">
        <f t="shared" si="173"/>
        <v>X</v>
      </c>
      <c r="Y675" s="2" t="str">
        <f t="shared" si="171"/>
        <v>X</v>
      </c>
      <c r="Z675" s="2" t="str">
        <f t="shared" si="172"/>
        <v>X</v>
      </c>
      <c r="AA675" s="2" t="str">
        <f t="shared" si="175"/>
        <v>(31 downto 24)</v>
      </c>
      <c r="AB675" s="2" t="str">
        <f t="shared" si="176"/>
        <v>(23 downto 16)</v>
      </c>
      <c r="AC675" s="2" t="str">
        <f t="shared" si="177"/>
        <v>(15 downto 8)</v>
      </c>
      <c r="AD675" s="2" t="str">
        <f t="shared" si="178"/>
        <v>(7 downto 0)</v>
      </c>
      <c r="AE675" s="2" t="str">
        <f t="shared" si="179"/>
        <v>(31 downto 24)</v>
      </c>
      <c r="AF675" s="2" t="str">
        <f t="shared" si="180"/>
        <v>(23 downto 16)</v>
      </c>
      <c r="AG675" s="2" t="str">
        <f t="shared" si="181"/>
        <v>(15 downto 8)</v>
      </c>
      <c r="AH675" s="2" t="str">
        <f t="shared" si="182"/>
        <v>(7 downto 0)</v>
      </c>
    </row>
    <row r="676" spans="2:34" x14ac:dyDescent="0.25">
      <c r="B676" s="2" t="s">
        <v>1843</v>
      </c>
      <c r="C676" s="2" t="s">
        <v>141</v>
      </c>
      <c r="D676" s="2" t="s">
        <v>0</v>
      </c>
      <c r="E676" s="2" t="s">
        <v>130</v>
      </c>
      <c r="F676" s="2" t="s">
        <v>1844</v>
      </c>
      <c r="G676" s="2" t="s">
        <v>1845</v>
      </c>
      <c r="H676" s="2" t="s">
        <v>142</v>
      </c>
      <c r="I676" s="2" t="s">
        <v>41</v>
      </c>
      <c r="J676" s="2">
        <v>32</v>
      </c>
      <c r="K676" s="2" t="s">
        <v>132</v>
      </c>
      <c r="L676" s="2" t="s">
        <v>40</v>
      </c>
      <c r="P676" s="2" t="s">
        <v>48</v>
      </c>
      <c r="Q676" s="2">
        <f>INDEX(Tables!$C$4:$C$28,MATCH($P676,Tables!$B$4:$B$28,0))</f>
        <v>32</v>
      </c>
      <c r="R676" s="2">
        <f>INDEX(Tables!$D$4:$D$28,MATCH($P676,Tables!$B$4:$B$28,0))</f>
        <v>4</v>
      </c>
      <c r="S676" s="2">
        <f>$S675+$R675+INDEX(Tables!$N$5:$Q$8,MATCH(MOD($S675+$R675,4),Tables!$M$5:$M$8,0),MATCH($R676,Tables!$N$4:$Q$4,0))</f>
        <v>2520</v>
      </c>
      <c r="T676" s="2" t="str">
        <f t="shared" si="168"/>
        <v>09D8</v>
      </c>
      <c r="U676" s="2">
        <f t="shared" si="174"/>
        <v>630</v>
      </c>
      <c r="V676" s="2" t="str">
        <f t="shared" si="169"/>
        <v>276</v>
      </c>
      <c r="W676" s="2" t="str">
        <f t="shared" si="170"/>
        <v>X</v>
      </c>
      <c r="X676" s="2" t="str">
        <f t="shared" si="173"/>
        <v>X</v>
      </c>
      <c r="Y676" s="2" t="str">
        <f t="shared" si="171"/>
        <v>X</v>
      </c>
      <c r="Z676" s="2" t="str">
        <f t="shared" si="172"/>
        <v>X</v>
      </c>
      <c r="AA676" s="2" t="str">
        <f t="shared" si="175"/>
        <v>(31 downto 24)</v>
      </c>
      <c r="AB676" s="2" t="str">
        <f t="shared" si="176"/>
        <v>(23 downto 16)</v>
      </c>
      <c r="AC676" s="2" t="str">
        <f t="shared" si="177"/>
        <v>(15 downto 8)</v>
      </c>
      <c r="AD676" s="2" t="str">
        <f t="shared" si="178"/>
        <v>(7 downto 0)</v>
      </c>
      <c r="AE676" s="2" t="str">
        <f t="shared" si="179"/>
        <v>(31 downto 24)</v>
      </c>
      <c r="AF676" s="2" t="str">
        <f t="shared" si="180"/>
        <v>(23 downto 16)</v>
      </c>
      <c r="AG676" s="2" t="str">
        <f t="shared" si="181"/>
        <v>(15 downto 8)</v>
      </c>
      <c r="AH676" s="2" t="str">
        <f t="shared" si="182"/>
        <v>(7 downto 0)</v>
      </c>
    </row>
    <row r="677" spans="2:34" x14ac:dyDescent="0.25">
      <c r="B677" s="2" t="s">
        <v>1846</v>
      </c>
      <c r="C677" s="2" t="s">
        <v>141</v>
      </c>
      <c r="D677" s="2" t="s">
        <v>0</v>
      </c>
      <c r="E677" s="2" t="s">
        <v>130</v>
      </c>
      <c r="F677" s="2" t="s">
        <v>1847</v>
      </c>
      <c r="G677" s="2" t="s">
        <v>1848</v>
      </c>
      <c r="H677" s="2" t="s">
        <v>142</v>
      </c>
      <c r="I677" s="2" t="s">
        <v>41</v>
      </c>
      <c r="J677" s="2">
        <v>32</v>
      </c>
      <c r="K677" s="2" t="s">
        <v>132</v>
      </c>
      <c r="L677" s="2" t="s">
        <v>40</v>
      </c>
      <c r="P677" s="2" t="s">
        <v>48</v>
      </c>
      <c r="Q677" s="2">
        <f>INDEX(Tables!$C$4:$C$28,MATCH($P677,Tables!$B$4:$B$28,0))</f>
        <v>32</v>
      </c>
      <c r="R677" s="2">
        <f>INDEX(Tables!$D$4:$D$28,MATCH($P677,Tables!$B$4:$B$28,0))</f>
        <v>4</v>
      </c>
      <c r="S677" s="2">
        <f>$S676+$R676+INDEX(Tables!$N$5:$Q$8,MATCH(MOD($S676+$R676,4),Tables!$M$5:$M$8,0),MATCH($R677,Tables!$N$4:$Q$4,0))</f>
        <v>2524</v>
      </c>
      <c r="T677" s="2" t="str">
        <f t="shared" si="168"/>
        <v>09DC</v>
      </c>
      <c r="U677" s="2">
        <f t="shared" si="174"/>
        <v>631</v>
      </c>
      <c r="V677" s="2" t="str">
        <f t="shared" si="169"/>
        <v>277</v>
      </c>
      <c r="W677" s="2" t="str">
        <f t="shared" si="170"/>
        <v>X</v>
      </c>
      <c r="X677" s="2" t="str">
        <f t="shared" si="173"/>
        <v>X</v>
      </c>
      <c r="Y677" s="2" t="str">
        <f t="shared" si="171"/>
        <v>X</v>
      </c>
      <c r="Z677" s="2" t="str">
        <f t="shared" si="172"/>
        <v>X</v>
      </c>
      <c r="AA677" s="2" t="str">
        <f t="shared" si="175"/>
        <v>(31 downto 24)</v>
      </c>
      <c r="AB677" s="2" t="str">
        <f t="shared" si="176"/>
        <v>(23 downto 16)</v>
      </c>
      <c r="AC677" s="2" t="str">
        <f t="shared" si="177"/>
        <v>(15 downto 8)</v>
      </c>
      <c r="AD677" s="2" t="str">
        <f t="shared" si="178"/>
        <v>(7 downto 0)</v>
      </c>
      <c r="AE677" s="2" t="str">
        <f t="shared" si="179"/>
        <v>(31 downto 24)</v>
      </c>
      <c r="AF677" s="2" t="str">
        <f t="shared" si="180"/>
        <v>(23 downto 16)</v>
      </c>
      <c r="AG677" s="2" t="str">
        <f t="shared" si="181"/>
        <v>(15 downto 8)</v>
      </c>
      <c r="AH677" s="2" t="str">
        <f t="shared" si="182"/>
        <v>(7 downto 0)</v>
      </c>
    </row>
    <row r="678" spans="2:34" x14ac:dyDescent="0.25">
      <c r="B678" s="2" t="s">
        <v>1849</v>
      </c>
      <c r="C678" s="2" t="s">
        <v>141</v>
      </c>
      <c r="D678" s="2" t="s">
        <v>0</v>
      </c>
      <c r="E678" s="2" t="s">
        <v>130</v>
      </c>
      <c r="F678" s="2" t="s">
        <v>1850</v>
      </c>
      <c r="G678" s="2" t="s">
        <v>1851</v>
      </c>
      <c r="H678" s="2" t="s">
        <v>142</v>
      </c>
      <c r="I678" s="2" t="s">
        <v>41</v>
      </c>
      <c r="J678" s="2">
        <v>32</v>
      </c>
      <c r="K678" s="2" t="s">
        <v>132</v>
      </c>
      <c r="L678" s="2" t="s">
        <v>40</v>
      </c>
      <c r="P678" s="2" t="s">
        <v>48</v>
      </c>
      <c r="Q678" s="2">
        <f>INDEX(Tables!$C$4:$C$28,MATCH($P678,Tables!$B$4:$B$28,0))</f>
        <v>32</v>
      </c>
      <c r="R678" s="2">
        <f>INDEX(Tables!$D$4:$D$28,MATCH($P678,Tables!$B$4:$B$28,0))</f>
        <v>4</v>
      </c>
      <c r="S678" s="2">
        <f>$S677+$R677+INDEX(Tables!$N$5:$Q$8,MATCH(MOD($S677+$R677,4),Tables!$M$5:$M$8,0),MATCH($R678,Tables!$N$4:$Q$4,0))</f>
        <v>2528</v>
      </c>
      <c r="T678" s="2" t="str">
        <f t="shared" si="168"/>
        <v>09E0</v>
      </c>
      <c r="U678" s="2">
        <f t="shared" si="174"/>
        <v>632</v>
      </c>
      <c r="V678" s="2" t="str">
        <f t="shared" si="169"/>
        <v>278</v>
      </c>
      <c r="W678" s="2" t="str">
        <f t="shared" si="170"/>
        <v>X</v>
      </c>
      <c r="X678" s="2" t="str">
        <f t="shared" si="173"/>
        <v>X</v>
      </c>
      <c r="Y678" s="2" t="str">
        <f t="shared" si="171"/>
        <v>X</v>
      </c>
      <c r="Z678" s="2" t="str">
        <f t="shared" si="172"/>
        <v>X</v>
      </c>
      <c r="AA678" s="2" t="str">
        <f t="shared" si="175"/>
        <v>(31 downto 24)</v>
      </c>
      <c r="AB678" s="2" t="str">
        <f t="shared" si="176"/>
        <v>(23 downto 16)</v>
      </c>
      <c r="AC678" s="2" t="str">
        <f t="shared" si="177"/>
        <v>(15 downto 8)</v>
      </c>
      <c r="AD678" s="2" t="str">
        <f t="shared" si="178"/>
        <v>(7 downto 0)</v>
      </c>
      <c r="AE678" s="2" t="str">
        <f t="shared" si="179"/>
        <v>(31 downto 24)</v>
      </c>
      <c r="AF678" s="2" t="str">
        <f t="shared" si="180"/>
        <v>(23 downto 16)</v>
      </c>
      <c r="AG678" s="2" t="str">
        <f t="shared" si="181"/>
        <v>(15 downto 8)</v>
      </c>
      <c r="AH678" s="2" t="str">
        <f t="shared" si="182"/>
        <v>(7 downto 0)</v>
      </c>
    </row>
    <row r="679" spans="2:34" x14ac:dyDescent="0.25">
      <c r="B679" s="2" t="s">
        <v>1852</v>
      </c>
      <c r="C679" s="2" t="s">
        <v>141</v>
      </c>
      <c r="D679" s="2" t="s">
        <v>0</v>
      </c>
      <c r="E679" s="2" t="s">
        <v>130</v>
      </c>
      <c r="F679" s="2" t="s">
        <v>1853</v>
      </c>
      <c r="G679" s="2" t="s">
        <v>1854</v>
      </c>
      <c r="H679" s="2" t="s">
        <v>142</v>
      </c>
      <c r="I679" s="2" t="s">
        <v>41</v>
      </c>
      <c r="J679" s="2">
        <v>32</v>
      </c>
      <c r="K679" s="2" t="s">
        <v>132</v>
      </c>
      <c r="L679" s="2" t="s">
        <v>40</v>
      </c>
      <c r="P679" s="2" t="s">
        <v>48</v>
      </c>
      <c r="Q679" s="2">
        <f>INDEX(Tables!$C$4:$C$28,MATCH($P679,Tables!$B$4:$B$28,0))</f>
        <v>32</v>
      </c>
      <c r="R679" s="2">
        <f>INDEX(Tables!$D$4:$D$28,MATCH($P679,Tables!$B$4:$B$28,0))</f>
        <v>4</v>
      </c>
      <c r="S679" s="2">
        <f>$S678+$R678+INDEX(Tables!$N$5:$Q$8,MATCH(MOD($S678+$R678,4),Tables!$M$5:$M$8,0),MATCH($R679,Tables!$N$4:$Q$4,0))</f>
        <v>2532</v>
      </c>
      <c r="T679" s="2" t="str">
        <f t="shared" si="168"/>
        <v>09E4</v>
      </c>
      <c r="U679" s="2">
        <f t="shared" si="174"/>
        <v>633</v>
      </c>
      <c r="V679" s="2" t="str">
        <f t="shared" si="169"/>
        <v>279</v>
      </c>
      <c r="W679" s="2" t="str">
        <f t="shared" si="170"/>
        <v>X</v>
      </c>
      <c r="X679" s="2" t="str">
        <f t="shared" si="173"/>
        <v>X</v>
      </c>
      <c r="Y679" s="2" t="str">
        <f t="shared" si="171"/>
        <v>X</v>
      </c>
      <c r="Z679" s="2" t="str">
        <f t="shared" si="172"/>
        <v>X</v>
      </c>
      <c r="AA679" s="2" t="str">
        <f t="shared" si="175"/>
        <v>(31 downto 24)</v>
      </c>
      <c r="AB679" s="2" t="str">
        <f t="shared" si="176"/>
        <v>(23 downto 16)</v>
      </c>
      <c r="AC679" s="2" t="str">
        <f t="shared" si="177"/>
        <v>(15 downto 8)</v>
      </c>
      <c r="AD679" s="2" t="str">
        <f t="shared" si="178"/>
        <v>(7 downto 0)</v>
      </c>
      <c r="AE679" s="2" t="str">
        <f t="shared" si="179"/>
        <v>(31 downto 24)</v>
      </c>
      <c r="AF679" s="2" t="str">
        <f t="shared" si="180"/>
        <v>(23 downto 16)</v>
      </c>
      <c r="AG679" s="2" t="str">
        <f t="shared" si="181"/>
        <v>(15 downto 8)</v>
      </c>
      <c r="AH679" s="2" t="str">
        <f t="shared" si="182"/>
        <v>(7 downto 0)</v>
      </c>
    </row>
    <row r="680" spans="2:34" x14ac:dyDescent="0.25">
      <c r="B680" s="2" t="s">
        <v>1855</v>
      </c>
      <c r="C680" s="2" t="s">
        <v>141</v>
      </c>
      <c r="D680" s="2" t="s">
        <v>0</v>
      </c>
      <c r="E680" s="2" t="s">
        <v>130</v>
      </c>
      <c r="F680" s="2" t="s">
        <v>1856</v>
      </c>
      <c r="G680" s="2" t="s">
        <v>1857</v>
      </c>
      <c r="H680" s="2" t="s">
        <v>142</v>
      </c>
      <c r="I680" s="2" t="s">
        <v>41</v>
      </c>
      <c r="J680" s="2">
        <v>32</v>
      </c>
      <c r="K680" s="2" t="s">
        <v>132</v>
      </c>
      <c r="L680" s="2" t="s">
        <v>40</v>
      </c>
      <c r="P680" s="2" t="s">
        <v>48</v>
      </c>
      <c r="Q680" s="2">
        <f>INDEX(Tables!$C$4:$C$28,MATCH($P680,Tables!$B$4:$B$28,0))</f>
        <v>32</v>
      </c>
      <c r="R680" s="2">
        <f>INDEX(Tables!$D$4:$D$28,MATCH($P680,Tables!$B$4:$B$28,0))</f>
        <v>4</v>
      </c>
      <c r="S680" s="2">
        <f>$S679+$R679+INDEX(Tables!$N$5:$Q$8,MATCH(MOD($S679+$R679,4),Tables!$M$5:$M$8,0),MATCH($R680,Tables!$N$4:$Q$4,0))</f>
        <v>2536</v>
      </c>
      <c r="T680" s="2" t="str">
        <f t="shared" si="168"/>
        <v>09E8</v>
      </c>
      <c r="U680" s="2">
        <f t="shared" si="174"/>
        <v>634</v>
      </c>
      <c r="V680" s="2" t="str">
        <f t="shared" si="169"/>
        <v>27A</v>
      </c>
      <c r="W680" s="2" t="str">
        <f t="shared" si="170"/>
        <v>X</v>
      </c>
      <c r="X680" s="2" t="str">
        <f t="shared" si="173"/>
        <v>X</v>
      </c>
      <c r="Y680" s="2" t="str">
        <f t="shared" si="171"/>
        <v>X</v>
      </c>
      <c r="Z680" s="2" t="str">
        <f t="shared" si="172"/>
        <v>X</v>
      </c>
      <c r="AA680" s="2" t="str">
        <f t="shared" si="175"/>
        <v>(31 downto 24)</v>
      </c>
      <c r="AB680" s="2" t="str">
        <f t="shared" si="176"/>
        <v>(23 downto 16)</v>
      </c>
      <c r="AC680" s="2" t="str">
        <f t="shared" si="177"/>
        <v>(15 downto 8)</v>
      </c>
      <c r="AD680" s="2" t="str">
        <f t="shared" si="178"/>
        <v>(7 downto 0)</v>
      </c>
      <c r="AE680" s="2" t="str">
        <f t="shared" si="179"/>
        <v>(31 downto 24)</v>
      </c>
      <c r="AF680" s="2" t="str">
        <f t="shared" si="180"/>
        <v>(23 downto 16)</v>
      </c>
      <c r="AG680" s="2" t="str">
        <f t="shared" si="181"/>
        <v>(15 downto 8)</v>
      </c>
      <c r="AH680" s="2" t="str">
        <f t="shared" si="182"/>
        <v>(7 downto 0)</v>
      </c>
    </row>
    <row r="681" spans="2:34" x14ac:dyDescent="0.25">
      <c r="B681" s="2" t="s">
        <v>1858</v>
      </c>
      <c r="C681" s="2" t="s">
        <v>141</v>
      </c>
      <c r="D681" s="2" t="s">
        <v>0</v>
      </c>
      <c r="E681" s="2" t="s">
        <v>130</v>
      </c>
      <c r="F681" s="2" t="s">
        <v>1859</v>
      </c>
      <c r="G681" s="2" t="s">
        <v>1860</v>
      </c>
      <c r="H681" s="2" t="s">
        <v>142</v>
      </c>
      <c r="I681" s="2" t="s">
        <v>41</v>
      </c>
      <c r="J681" s="2">
        <v>32</v>
      </c>
      <c r="K681" s="2" t="s">
        <v>132</v>
      </c>
      <c r="L681" s="2" t="s">
        <v>40</v>
      </c>
      <c r="P681" s="2" t="s">
        <v>48</v>
      </c>
      <c r="Q681" s="2">
        <f>INDEX(Tables!$C$4:$C$28,MATCH($P681,Tables!$B$4:$B$28,0))</f>
        <v>32</v>
      </c>
      <c r="R681" s="2">
        <f>INDEX(Tables!$D$4:$D$28,MATCH($P681,Tables!$B$4:$B$28,0))</f>
        <v>4</v>
      </c>
      <c r="S681" s="2">
        <f>$S680+$R680+INDEX(Tables!$N$5:$Q$8,MATCH(MOD($S680+$R680,4),Tables!$M$5:$M$8,0),MATCH($R681,Tables!$N$4:$Q$4,0))</f>
        <v>2540</v>
      </c>
      <c r="T681" s="2" t="str">
        <f t="shared" si="168"/>
        <v>09EC</v>
      </c>
      <c r="U681" s="2">
        <f t="shared" si="174"/>
        <v>635</v>
      </c>
      <c r="V681" s="2" t="str">
        <f t="shared" si="169"/>
        <v>27B</v>
      </c>
      <c r="W681" s="2" t="str">
        <f t="shared" si="170"/>
        <v>X</v>
      </c>
      <c r="X681" s="2" t="str">
        <f t="shared" si="173"/>
        <v>X</v>
      </c>
      <c r="Y681" s="2" t="str">
        <f t="shared" si="171"/>
        <v>X</v>
      </c>
      <c r="Z681" s="2" t="str">
        <f t="shared" si="172"/>
        <v>X</v>
      </c>
      <c r="AA681" s="2" t="str">
        <f t="shared" si="175"/>
        <v>(31 downto 24)</v>
      </c>
      <c r="AB681" s="2" t="str">
        <f t="shared" si="176"/>
        <v>(23 downto 16)</v>
      </c>
      <c r="AC681" s="2" t="str">
        <f t="shared" si="177"/>
        <v>(15 downto 8)</v>
      </c>
      <c r="AD681" s="2" t="str">
        <f t="shared" si="178"/>
        <v>(7 downto 0)</v>
      </c>
      <c r="AE681" s="2" t="str">
        <f t="shared" si="179"/>
        <v>(31 downto 24)</v>
      </c>
      <c r="AF681" s="2" t="str">
        <f t="shared" si="180"/>
        <v>(23 downto 16)</v>
      </c>
      <c r="AG681" s="2" t="str">
        <f t="shared" si="181"/>
        <v>(15 downto 8)</v>
      </c>
      <c r="AH681" s="2" t="str">
        <f t="shared" si="182"/>
        <v>(7 downto 0)</v>
      </c>
    </row>
    <row r="682" spans="2:34" x14ac:dyDescent="0.25">
      <c r="B682" s="2" t="s">
        <v>1861</v>
      </c>
      <c r="C682" s="2" t="s">
        <v>141</v>
      </c>
      <c r="D682" s="2" t="s">
        <v>0</v>
      </c>
      <c r="E682" s="2" t="s">
        <v>130</v>
      </c>
      <c r="F682" s="2" t="s">
        <v>1862</v>
      </c>
      <c r="G682" s="2" t="s">
        <v>1863</v>
      </c>
      <c r="H682" s="2" t="s">
        <v>142</v>
      </c>
      <c r="I682" s="2" t="s">
        <v>41</v>
      </c>
      <c r="J682" s="2">
        <v>32</v>
      </c>
      <c r="K682" s="2" t="s">
        <v>132</v>
      </c>
      <c r="L682" s="2" t="s">
        <v>40</v>
      </c>
      <c r="P682" s="2" t="s">
        <v>48</v>
      </c>
      <c r="Q682" s="2">
        <f>INDEX(Tables!$C$4:$C$28,MATCH($P682,Tables!$B$4:$B$28,0))</f>
        <v>32</v>
      </c>
      <c r="R682" s="2">
        <f>INDEX(Tables!$D$4:$D$28,MATCH($P682,Tables!$B$4:$B$28,0))</f>
        <v>4</v>
      </c>
      <c r="S682" s="2">
        <f>$S681+$R681+INDEX(Tables!$N$5:$Q$8,MATCH(MOD($S681+$R681,4),Tables!$M$5:$M$8,0),MATCH($R682,Tables!$N$4:$Q$4,0))</f>
        <v>2544</v>
      </c>
      <c r="T682" s="2" t="str">
        <f t="shared" si="168"/>
        <v>09F0</v>
      </c>
      <c r="U682" s="2">
        <f t="shared" si="174"/>
        <v>636</v>
      </c>
      <c r="V682" s="2" t="str">
        <f t="shared" si="169"/>
        <v>27C</v>
      </c>
      <c r="W682" s="2" t="str">
        <f t="shared" si="170"/>
        <v>X</v>
      </c>
      <c r="X682" s="2" t="str">
        <f t="shared" si="173"/>
        <v>X</v>
      </c>
      <c r="Y682" s="2" t="str">
        <f t="shared" si="171"/>
        <v>X</v>
      </c>
      <c r="Z682" s="2" t="str">
        <f t="shared" si="172"/>
        <v>X</v>
      </c>
      <c r="AA682" s="2" t="str">
        <f t="shared" si="175"/>
        <v>(31 downto 24)</v>
      </c>
      <c r="AB682" s="2" t="str">
        <f t="shared" si="176"/>
        <v>(23 downto 16)</v>
      </c>
      <c r="AC682" s="2" t="str">
        <f t="shared" si="177"/>
        <v>(15 downto 8)</v>
      </c>
      <c r="AD682" s="2" t="str">
        <f t="shared" si="178"/>
        <v>(7 downto 0)</v>
      </c>
      <c r="AE682" s="2" t="str">
        <f t="shared" si="179"/>
        <v>(31 downto 24)</v>
      </c>
      <c r="AF682" s="2" t="str">
        <f t="shared" si="180"/>
        <v>(23 downto 16)</v>
      </c>
      <c r="AG682" s="2" t="str">
        <f t="shared" si="181"/>
        <v>(15 downto 8)</v>
      </c>
      <c r="AH682" s="2" t="str">
        <f t="shared" si="182"/>
        <v>(7 downto 0)</v>
      </c>
    </row>
    <row r="683" spans="2:34" x14ac:dyDescent="0.25">
      <c r="B683" s="2" t="s">
        <v>1864</v>
      </c>
      <c r="C683" s="2" t="s">
        <v>141</v>
      </c>
      <c r="D683" s="2" t="s">
        <v>0</v>
      </c>
      <c r="E683" s="2" t="s">
        <v>130</v>
      </c>
      <c r="F683" s="2" t="s">
        <v>1865</v>
      </c>
      <c r="G683" s="2" t="s">
        <v>1866</v>
      </c>
      <c r="H683" s="2" t="s">
        <v>142</v>
      </c>
      <c r="I683" s="2" t="s">
        <v>41</v>
      </c>
      <c r="J683" s="2">
        <v>32</v>
      </c>
      <c r="K683" s="2" t="s">
        <v>132</v>
      </c>
      <c r="L683" s="2" t="s">
        <v>40</v>
      </c>
      <c r="P683" s="2" t="s">
        <v>48</v>
      </c>
      <c r="Q683" s="2">
        <f>INDEX(Tables!$C$4:$C$28,MATCH($P683,Tables!$B$4:$B$28,0))</f>
        <v>32</v>
      </c>
      <c r="R683" s="2">
        <f>INDEX(Tables!$D$4:$D$28,MATCH($P683,Tables!$B$4:$B$28,0))</f>
        <v>4</v>
      </c>
      <c r="S683" s="2">
        <f>$S682+$R682+INDEX(Tables!$N$5:$Q$8,MATCH(MOD($S682+$R682,4),Tables!$M$5:$M$8,0),MATCH($R683,Tables!$N$4:$Q$4,0))</f>
        <v>2548</v>
      </c>
      <c r="T683" s="2" t="str">
        <f t="shared" si="168"/>
        <v>09F4</v>
      </c>
      <c r="U683" s="2">
        <f t="shared" si="174"/>
        <v>637</v>
      </c>
      <c r="V683" s="2" t="str">
        <f t="shared" si="169"/>
        <v>27D</v>
      </c>
      <c r="W683" s="2" t="str">
        <f t="shared" si="170"/>
        <v>X</v>
      </c>
      <c r="X683" s="2" t="str">
        <f t="shared" si="173"/>
        <v>X</v>
      </c>
      <c r="Y683" s="2" t="str">
        <f t="shared" si="171"/>
        <v>X</v>
      </c>
      <c r="Z683" s="2" t="str">
        <f t="shared" si="172"/>
        <v>X</v>
      </c>
      <c r="AA683" s="2" t="str">
        <f t="shared" si="175"/>
        <v>(31 downto 24)</v>
      </c>
      <c r="AB683" s="2" t="str">
        <f t="shared" si="176"/>
        <v>(23 downto 16)</v>
      </c>
      <c r="AC683" s="2" t="str">
        <f t="shared" si="177"/>
        <v>(15 downto 8)</v>
      </c>
      <c r="AD683" s="2" t="str">
        <f t="shared" si="178"/>
        <v>(7 downto 0)</v>
      </c>
      <c r="AE683" s="2" t="str">
        <f t="shared" si="179"/>
        <v>(31 downto 24)</v>
      </c>
      <c r="AF683" s="2" t="str">
        <f t="shared" si="180"/>
        <v>(23 downto 16)</v>
      </c>
      <c r="AG683" s="2" t="str">
        <f t="shared" si="181"/>
        <v>(15 downto 8)</v>
      </c>
      <c r="AH683" s="2" t="str">
        <f t="shared" si="182"/>
        <v>(7 downto 0)</v>
      </c>
    </row>
    <row r="684" spans="2:34" x14ac:dyDescent="0.25">
      <c r="B684" s="2" t="s">
        <v>1867</v>
      </c>
      <c r="C684" s="2" t="s">
        <v>141</v>
      </c>
      <c r="D684" s="2" t="s">
        <v>0</v>
      </c>
      <c r="E684" s="2" t="s">
        <v>130</v>
      </c>
      <c r="F684" s="2" t="s">
        <v>1868</v>
      </c>
      <c r="G684" s="2" t="s">
        <v>1869</v>
      </c>
      <c r="H684" s="2" t="s">
        <v>142</v>
      </c>
      <c r="I684" s="2" t="s">
        <v>41</v>
      </c>
      <c r="J684" s="2">
        <v>32</v>
      </c>
      <c r="K684" s="2" t="s">
        <v>132</v>
      </c>
      <c r="L684" s="2" t="s">
        <v>40</v>
      </c>
      <c r="P684" s="2" t="s">
        <v>48</v>
      </c>
      <c r="Q684" s="2">
        <f>INDEX(Tables!$C$4:$C$28,MATCH($P684,Tables!$B$4:$B$28,0))</f>
        <v>32</v>
      </c>
      <c r="R684" s="2">
        <f>INDEX(Tables!$D$4:$D$28,MATCH($P684,Tables!$B$4:$B$28,0))</f>
        <v>4</v>
      </c>
      <c r="S684" s="2">
        <f>$S683+$R683+INDEX(Tables!$N$5:$Q$8,MATCH(MOD($S683+$R683,4),Tables!$M$5:$M$8,0),MATCH($R684,Tables!$N$4:$Q$4,0))</f>
        <v>2552</v>
      </c>
      <c r="T684" s="2" t="str">
        <f t="shared" si="168"/>
        <v>09F8</v>
      </c>
      <c r="U684" s="2">
        <f t="shared" si="174"/>
        <v>638</v>
      </c>
      <c r="V684" s="2" t="str">
        <f t="shared" si="169"/>
        <v>27E</v>
      </c>
      <c r="W684" s="2" t="str">
        <f t="shared" si="170"/>
        <v>X</v>
      </c>
      <c r="X684" s="2" t="str">
        <f t="shared" si="173"/>
        <v>X</v>
      </c>
      <c r="Y684" s="2" t="str">
        <f t="shared" si="171"/>
        <v>X</v>
      </c>
      <c r="Z684" s="2" t="str">
        <f t="shared" si="172"/>
        <v>X</v>
      </c>
      <c r="AA684" s="2" t="str">
        <f t="shared" si="175"/>
        <v>(31 downto 24)</v>
      </c>
      <c r="AB684" s="2" t="str">
        <f t="shared" si="176"/>
        <v>(23 downto 16)</v>
      </c>
      <c r="AC684" s="2" t="str">
        <f t="shared" si="177"/>
        <v>(15 downto 8)</v>
      </c>
      <c r="AD684" s="2" t="str">
        <f t="shared" si="178"/>
        <v>(7 downto 0)</v>
      </c>
      <c r="AE684" s="2" t="str">
        <f t="shared" si="179"/>
        <v>(31 downto 24)</v>
      </c>
      <c r="AF684" s="2" t="str">
        <f t="shared" si="180"/>
        <v>(23 downto 16)</v>
      </c>
      <c r="AG684" s="2" t="str">
        <f t="shared" si="181"/>
        <v>(15 downto 8)</v>
      </c>
      <c r="AH684" s="2" t="str">
        <f t="shared" si="182"/>
        <v>(7 downto 0)</v>
      </c>
    </row>
    <row r="685" spans="2:34" x14ac:dyDescent="0.25">
      <c r="B685" s="2" t="s">
        <v>1870</v>
      </c>
      <c r="C685" s="2" t="s">
        <v>141</v>
      </c>
      <c r="D685" s="2" t="s">
        <v>0</v>
      </c>
      <c r="E685" s="2" t="s">
        <v>130</v>
      </c>
      <c r="F685" s="2" t="s">
        <v>1871</v>
      </c>
      <c r="G685" s="2" t="s">
        <v>1872</v>
      </c>
      <c r="H685" s="2" t="s">
        <v>142</v>
      </c>
      <c r="I685" s="2" t="s">
        <v>41</v>
      </c>
      <c r="J685" s="2">
        <v>32</v>
      </c>
      <c r="K685" s="2" t="s">
        <v>132</v>
      </c>
      <c r="L685" s="2" t="s">
        <v>40</v>
      </c>
      <c r="P685" s="2" t="s">
        <v>48</v>
      </c>
      <c r="Q685" s="2">
        <f>INDEX(Tables!$C$4:$C$28,MATCH($P685,Tables!$B$4:$B$28,0))</f>
        <v>32</v>
      </c>
      <c r="R685" s="2">
        <f>INDEX(Tables!$D$4:$D$28,MATCH($P685,Tables!$B$4:$B$28,0))</f>
        <v>4</v>
      </c>
      <c r="S685" s="2">
        <f>$S684+$R684+INDEX(Tables!$N$5:$Q$8,MATCH(MOD($S684+$R684,4),Tables!$M$5:$M$8,0),MATCH($R685,Tables!$N$4:$Q$4,0))</f>
        <v>2556</v>
      </c>
      <c r="T685" s="2" t="str">
        <f t="shared" si="168"/>
        <v>09FC</v>
      </c>
      <c r="U685" s="2">
        <f t="shared" si="174"/>
        <v>639</v>
      </c>
      <c r="V685" s="2" t="str">
        <f t="shared" si="169"/>
        <v>27F</v>
      </c>
      <c r="W685" s="2" t="str">
        <f t="shared" si="170"/>
        <v>X</v>
      </c>
      <c r="X685" s="2" t="str">
        <f t="shared" si="173"/>
        <v>X</v>
      </c>
      <c r="Y685" s="2" t="str">
        <f t="shared" si="171"/>
        <v>X</v>
      </c>
      <c r="Z685" s="2" t="str">
        <f t="shared" si="172"/>
        <v>X</v>
      </c>
      <c r="AA685" s="2" t="str">
        <f t="shared" si="175"/>
        <v>(31 downto 24)</v>
      </c>
      <c r="AB685" s="2" t="str">
        <f t="shared" si="176"/>
        <v>(23 downto 16)</v>
      </c>
      <c r="AC685" s="2" t="str">
        <f t="shared" si="177"/>
        <v>(15 downto 8)</v>
      </c>
      <c r="AD685" s="2" t="str">
        <f t="shared" si="178"/>
        <v>(7 downto 0)</v>
      </c>
      <c r="AE685" s="2" t="str">
        <f t="shared" si="179"/>
        <v>(31 downto 24)</v>
      </c>
      <c r="AF685" s="2" t="str">
        <f t="shared" si="180"/>
        <v>(23 downto 16)</v>
      </c>
      <c r="AG685" s="2" t="str">
        <f t="shared" si="181"/>
        <v>(15 downto 8)</v>
      </c>
      <c r="AH685" s="2" t="str">
        <f t="shared" si="182"/>
        <v>(7 downto 0)</v>
      </c>
    </row>
    <row r="686" spans="2:34" x14ac:dyDescent="0.25">
      <c r="B686" s="2" t="s">
        <v>1873</v>
      </c>
      <c r="C686" s="2" t="s">
        <v>141</v>
      </c>
      <c r="D686" s="2" t="s">
        <v>0</v>
      </c>
      <c r="E686" s="2" t="s">
        <v>130</v>
      </c>
      <c r="F686" s="2" t="s">
        <v>1874</v>
      </c>
      <c r="G686" s="2" t="s">
        <v>1875</v>
      </c>
      <c r="H686" s="2" t="s">
        <v>142</v>
      </c>
      <c r="I686" s="2" t="s">
        <v>41</v>
      </c>
      <c r="J686" s="2">
        <v>32</v>
      </c>
      <c r="K686" s="2" t="s">
        <v>132</v>
      </c>
      <c r="L686" s="2" t="s">
        <v>40</v>
      </c>
      <c r="P686" s="2" t="s">
        <v>48</v>
      </c>
      <c r="Q686" s="2">
        <f>INDEX(Tables!$C$4:$C$28,MATCH($P686,Tables!$B$4:$B$28,0))</f>
        <v>32</v>
      </c>
      <c r="R686" s="2">
        <f>INDEX(Tables!$D$4:$D$28,MATCH($P686,Tables!$B$4:$B$28,0))</f>
        <v>4</v>
      </c>
      <c r="S686" s="2">
        <f>$S685+$R685+INDEX(Tables!$N$5:$Q$8,MATCH(MOD($S685+$R685,4),Tables!$M$5:$M$8,0),MATCH($R686,Tables!$N$4:$Q$4,0))</f>
        <v>2560</v>
      </c>
      <c r="T686" s="2" t="str">
        <f t="shared" si="168"/>
        <v>0A00</v>
      </c>
      <c r="U686" s="2">
        <f t="shared" si="174"/>
        <v>640</v>
      </c>
      <c r="V686" s="2" t="str">
        <f t="shared" si="169"/>
        <v>280</v>
      </c>
      <c r="W686" s="2" t="str">
        <f t="shared" si="170"/>
        <v>X</v>
      </c>
      <c r="X686" s="2" t="str">
        <f t="shared" si="173"/>
        <v>X</v>
      </c>
      <c r="Y686" s="2" t="str">
        <f t="shared" si="171"/>
        <v>X</v>
      </c>
      <c r="Z686" s="2" t="str">
        <f t="shared" si="172"/>
        <v>X</v>
      </c>
      <c r="AA686" s="2" t="str">
        <f t="shared" si="175"/>
        <v>(31 downto 24)</v>
      </c>
      <c r="AB686" s="2" t="str">
        <f t="shared" si="176"/>
        <v>(23 downto 16)</v>
      </c>
      <c r="AC686" s="2" t="str">
        <f t="shared" si="177"/>
        <v>(15 downto 8)</v>
      </c>
      <c r="AD686" s="2" t="str">
        <f t="shared" si="178"/>
        <v>(7 downto 0)</v>
      </c>
      <c r="AE686" s="2" t="str">
        <f t="shared" si="179"/>
        <v>(31 downto 24)</v>
      </c>
      <c r="AF686" s="2" t="str">
        <f t="shared" si="180"/>
        <v>(23 downto 16)</v>
      </c>
      <c r="AG686" s="2" t="str">
        <f t="shared" si="181"/>
        <v>(15 downto 8)</v>
      </c>
      <c r="AH686" s="2" t="str">
        <f t="shared" si="182"/>
        <v>(7 downto 0)</v>
      </c>
    </row>
    <row r="687" spans="2:34" x14ac:dyDescent="0.25">
      <c r="B687" s="2" t="s">
        <v>1876</v>
      </c>
      <c r="C687" s="2" t="s">
        <v>141</v>
      </c>
      <c r="D687" s="2" t="s">
        <v>0</v>
      </c>
      <c r="E687" s="2" t="s">
        <v>130</v>
      </c>
      <c r="F687" s="2" t="s">
        <v>1877</v>
      </c>
      <c r="G687" s="2" t="s">
        <v>1878</v>
      </c>
      <c r="H687" s="2" t="s">
        <v>142</v>
      </c>
      <c r="I687" s="2" t="s">
        <v>41</v>
      </c>
      <c r="J687" s="2">
        <v>32</v>
      </c>
      <c r="K687" s="2" t="s">
        <v>132</v>
      </c>
      <c r="L687" s="2" t="s">
        <v>40</v>
      </c>
      <c r="P687" s="2" t="s">
        <v>48</v>
      </c>
      <c r="Q687" s="2">
        <f>INDEX(Tables!$C$4:$C$28,MATCH($P687,Tables!$B$4:$B$28,0))</f>
        <v>32</v>
      </c>
      <c r="R687" s="2">
        <f>INDEX(Tables!$D$4:$D$28,MATCH($P687,Tables!$B$4:$B$28,0))</f>
        <v>4</v>
      </c>
      <c r="S687" s="2">
        <f>$S686+$R686+INDEX(Tables!$N$5:$Q$8,MATCH(MOD($S686+$R686,4),Tables!$M$5:$M$8,0),MATCH($R687,Tables!$N$4:$Q$4,0))</f>
        <v>2564</v>
      </c>
      <c r="T687" s="2" t="str">
        <f t="shared" si="168"/>
        <v>0A04</v>
      </c>
      <c r="U687" s="2">
        <f t="shared" si="174"/>
        <v>641</v>
      </c>
      <c r="V687" s="2" t="str">
        <f t="shared" si="169"/>
        <v>281</v>
      </c>
      <c r="W687" s="2" t="str">
        <f t="shared" si="170"/>
        <v>X</v>
      </c>
      <c r="X687" s="2" t="str">
        <f t="shared" si="173"/>
        <v>X</v>
      </c>
      <c r="Y687" s="2" t="str">
        <f t="shared" si="171"/>
        <v>X</v>
      </c>
      <c r="Z687" s="2" t="str">
        <f t="shared" si="172"/>
        <v>X</v>
      </c>
      <c r="AA687" s="2" t="str">
        <f t="shared" si="175"/>
        <v>(31 downto 24)</v>
      </c>
      <c r="AB687" s="2" t="str">
        <f t="shared" si="176"/>
        <v>(23 downto 16)</v>
      </c>
      <c r="AC687" s="2" t="str">
        <f t="shared" si="177"/>
        <v>(15 downto 8)</v>
      </c>
      <c r="AD687" s="2" t="str">
        <f t="shared" si="178"/>
        <v>(7 downto 0)</v>
      </c>
      <c r="AE687" s="2" t="str">
        <f t="shared" si="179"/>
        <v>(31 downto 24)</v>
      </c>
      <c r="AF687" s="2" t="str">
        <f t="shared" si="180"/>
        <v>(23 downto 16)</v>
      </c>
      <c r="AG687" s="2" t="str">
        <f t="shared" si="181"/>
        <v>(15 downto 8)</v>
      </c>
      <c r="AH687" s="2" t="str">
        <f t="shared" si="182"/>
        <v>(7 downto 0)</v>
      </c>
    </row>
    <row r="688" spans="2:34" x14ac:dyDescent="0.25">
      <c r="B688" s="2" t="s">
        <v>1879</v>
      </c>
      <c r="C688" s="2" t="s">
        <v>141</v>
      </c>
      <c r="D688" s="2" t="s">
        <v>0</v>
      </c>
      <c r="E688" s="2" t="s">
        <v>130</v>
      </c>
      <c r="F688" s="2" t="s">
        <v>1880</v>
      </c>
      <c r="G688" s="2" t="s">
        <v>1881</v>
      </c>
      <c r="H688" s="2" t="s">
        <v>142</v>
      </c>
      <c r="I688" s="2" t="s">
        <v>41</v>
      </c>
      <c r="J688" s="2">
        <v>32</v>
      </c>
      <c r="K688" s="2" t="s">
        <v>132</v>
      </c>
      <c r="L688" s="2" t="s">
        <v>40</v>
      </c>
      <c r="P688" s="2" t="s">
        <v>48</v>
      </c>
      <c r="Q688" s="2">
        <f>INDEX(Tables!$C$4:$C$28,MATCH($P688,Tables!$B$4:$B$28,0))</f>
        <v>32</v>
      </c>
      <c r="R688" s="2">
        <f>INDEX(Tables!$D$4:$D$28,MATCH($P688,Tables!$B$4:$B$28,0))</f>
        <v>4</v>
      </c>
      <c r="S688" s="2">
        <f>$S687+$R687+INDEX(Tables!$N$5:$Q$8,MATCH(MOD($S687+$R687,4),Tables!$M$5:$M$8,0),MATCH($R688,Tables!$N$4:$Q$4,0))</f>
        <v>2568</v>
      </c>
      <c r="T688" s="2" t="str">
        <f t="shared" si="168"/>
        <v>0A08</v>
      </c>
      <c r="U688" s="2">
        <f t="shared" si="174"/>
        <v>642</v>
      </c>
      <c r="V688" s="2" t="str">
        <f t="shared" si="169"/>
        <v>282</v>
      </c>
      <c r="W688" s="2" t="str">
        <f t="shared" si="170"/>
        <v>X</v>
      </c>
      <c r="X688" s="2" t="str">
        <f t="shared" si="173"/>
        <v>X</v>
      </c>
      <c r="Y688" s="2" t="str">
        <f t="shared" si="171"/>
        <v>X</v>
      </c>
      <c r="Z688" s="2" t="str">
        <f t="shared" si="172"/>
        <v>X</v>
      </c>
      <c r="AA688" s="2" t="str">
        <f t="shared" si="175"/>
        <v>(31 downto 24)</v>
      </c>
      <c r="AB688" s="2" t="str">
        <f t="shared" si="176"/>
        <v>(23 downto 16)</v>
      </c>
      <c r="AC688" s="2" t="str">
        <f t="shared" si="177"/>
        <v>(15 downto 8)</v>
      </c>
      <c r="AD688" s="2" t="str">
        <f t="shared" si="178"/>
        <v>(7 downto 0)</v>
      </c>
      <c r="AE688" s="2" t="str">
        <f t="shared" si="179"/>
        <v>(31 downto 24)</v>
      </c>
      <c r="AF688" s="2" t="str">
        <f t="shared" si="180"/>
        <v>(23 downto 16)</v>
      </c>
      <c r="AG688" s="2" t="str">
        <f t="shared" si="181"/>
        <v>(15 downto 8)</v>
      </c>
      <c r="AH688" s="2" t="str">
        <f t="shared" si="182"/>
        <v>(7 downto 0)</v>
      </c>
    </row>
    <row r="689" spans="2:34" x14ac:dyDescent="0.25">
      <c r="B689" s="2" t="s">
        <v>1882</v>
      </c>
      <c r="C689" s="2" t="s">
        <v>141</v>
      </c>
      <c r="D689" s="2" t="s">
        <v>0</v>
      </c>
      <c r="E689" s="2" t="s">
        <v>130</v>
      </c>
      <c r="F689" s="2" t="s">
        <v>1883</v>
      </c>
      <c r="G689" s="2" t="s">
        <v>1884</v>
      </c>
      <c r="H689" s="2" t="s">
        <v>142</v>
      </c>
      <c r="I689" s="2" t="s">
        <v>41</v>
      </c>
      <c r="J689" s="2">
        <v>32</v>
      </c>
      <c r="K689" s="2" t="s">
        <v>132</v>
      </c>
      <c r="L689" s="2" t="s">
        <v>40</v>
      </c>
      <c r="P689" s="2" t="s">
        <v>48</v>
      </c>
      <c r="Q689" s="2">
        <f>INDEX(Tables!$C$4:$C$28,MATCH($P689,Tables!$B$4:$B$28,0))</f>
        <v>32</v>
      </c>
      <c r="R689" s="2">
        <f>INDEX(Tables!$D$4:$D$28,MATCH($P689,Tables!$B$4:$B$28,0))</f>
        <v>4</v>
      </c>
      <c r="S689" s="2">
        <f>$S688+$R688+INDEX(Tables!$N$5:$Q$8,MATCH(MOD($S688+$R688,4),Tables!$M$5:$M$8,0),MATCH($R689,Tables!$N$4:$Q$4,0))</f>
        <v>2572</v>
      </c>
      <c r="T689" s="2" t="str">
        <f t="shared" si="168"/>
        <v>0A0C</v>
      </c>
      <c r="U689" s="2">
        <f t="shared" si="174"/>
        <v>643</v>
      </c>
      <c r="V689" s="2" t="str">
        <f t="shared" si="169"/>
        <v>283</v>
      </c>
      <c r="W689" s="2" t="str">
        <f t="shared" si="170"/>
        <v>X</v>
      </c>
      <c r="X689" s="2" t="str">
        <f t="shared" si="173"/>
        <v>X</v>
      </c>
      <c r="Y689" s="2" t="str">
        <f t="shared" si="171"/>
        <v>X</v>
      </c>
      <c r="Z689" s="2" t="str">
        <f t="shared" si="172"/>
        <v>X</v>
      </c>
      <c r="AA689" s="2" t="str">
        <f t="shared" si="175"/>
        <v>(31 downto 24)</v>
      </c>
      <c r="AB689" s="2" t="str">
        <f t="shared" si="176"/>
        <v>(23 downto 16)</v>
      </c>
      <c r="AC689" s="2" t="str">
        <f t="shared" si="177"/>
        <v>(15 downto 8)</v>
      </c>
      <c r="AD689" s="2" t="str">
        <f t="shared" si="178"/>
        <v>(7 downto 0)</v>
      </c>
      <c r="AE689" s="2" t="str">
        <f t="shared" si="179"/>
        <v>(31 downto 24)</v>
      </c>
      <c r="AF689" s="2" t="str">
        <f t="shared" si="180"/>
        <v>(23 downto 16)</v>
      </c>
      <c r="AG689" s="2" t="str">
        <f t="shared" si="181"/>
        <v>(15 downto 8)</v>
      </c>
      <c r="AH689" s="2" t="str">
        <f t="shared" si="182"/>
        <v>(7 downto 0)</v>
      </c>
    </row>
    <row r="690" spans="2:34" x14ac:dyDescent="0.25">
      <c r="B690" s="2" t="s">
        <v>1885</v>
      </c>
      <c r="C690" s="2" t="s">
        <v>141</v>
      </c>
      <c r="D690" s="2" t="s">
        <v>0</v>
      </c>
      <c r="E690" s="2" t="s">
        <v>130</v>
      </c>
      <c r="F690" s="2" t="s">
        <v>1886</v>
      </c>
      <c r="G690" s="2" t="s">
        <v>1887</v>
      </c>
      <c r="H690" s="2" t="s">
        <v>142</v>
      </c>
      <c r="I690" s="2" t="s">
        <v>41</v>
      </c>
      <c r="J690" s="2">
        <v>32</v>
      </c>
      <c r="K690" s="2" t="s">
        <v>132</v>
      </c>
      <c r="L690" s="2" t="s">
        <v>40</v>
      </c>
      <c r="P690" s="2" t="s">
        <v>48</v>
      </c>
      <c r="Q690" s="2">
        <f>INDEX(Tables!$C$4:$C$28,MATCH($P690,Tables!$B$4:$B$28,0))</f>
        <v>32</v>
      </c>
      <c r="R690" s="2">
        <f>INDEX(Tables!$D$4:$D$28,MATCH($P690,Tables!$B$4:$B$28,0))</f>
        <v>4</v>
      </c>
      <c r="S690" s="2">
        <f>$S689+$R689+INDEX(Tables!$N$5:$Q$8,MATCH(MOD($S689+$R689,4),Tables!$M$5:$M$8,0),MATCH($R690,Tables!$N$4:$Q$4,0))</f>
        <v>2576</v>
      </c>
      <c r="T690" s="2" t="str">
        <f t="shared" si="168"/>
        <v>0A10</v>
      </c>
      <c r="U690" s="2">
        <f t="shared" si="174"/>
        <v>644</v>
      </c>
      <c r="V690" s="2" t="str">
        <f t="shared" si="169"/>
        <v>284</v>
      </c>
      <c r="W690" s="2" t="str">
        <f t="shared" si="170"/>
        <v>X</v>
      </c>
      <c r="X690" s="2" t="str">
        <f t="shared" si="173"/>
        <v>X</v>
      </c>
      <c r="Y690" s="2" t="str">
        <f t="shared" si="171"/>
        <v>X</v>
      </c>
      <c r="Z690" s="2" t="str">
        <f t="shared" si="172"/>
        <v>X</v>
      </c>
      <c r="AA690" s="2" t="str">
        <f t="shared" si="175"/>
        <v>(31 downto 24)</v>
      </c>
      <c r="AB690" s="2" t="str">
        <f t="shared" si="176"/>
        <v>(23 downto 16)</v>
      </c>
      <c r="AC690" s="2" t="str">
        <f t="shared" si="177"/>
        <v>(15 downto 8)</v>
      </c>
      <c r="AD690" s="2" t="str">
        <f t="shared" si="178"/>
        <v>(7 downto 0)</v>
      </c>
      <c r="AE690" s="2" t="str">
        <f t="shared" si="179"/>
        <v>(31 downto 24)</v>
      </c>
      <c r="AF690" s="2" t="str">
        <f t="shared" si="180"/>
        <v>(23 downto 16)</v>
      </c>
      <c r="AG690" s="2" t="str">
        <f t="shared" si="181"/>
        <v>(15 downto 8)</v>
      </c>
      <c r="AH690" s="2" t="str">
        <f t="shared" si="182"/>
        <v>(7 downto 0)</v>
      </c>
    </row>
    <row r="691" spans="2:34" x14ac:dyDescent="0.25">
      <c r="B691" s="2" t="s">
        <v>1888</v>
      </c>
      <c r="C691" s="2" t="s">
        <v>141</v>
      </c>
      <c r="D691" s="2" t="s">
        <v>0</v>
      </c>
      <c r="E691" s="2" t="s">
        <v>130</v>
      </c>
      <c r="F691" s="2" t="s">
        <v>1889</v>
      </c>
      <c r="G691" s="2" t="s">
        <v>1890</v>
      </c>
      <c r="H691" s="2" t="s">
        <v>142</v>
      </c>
      <c r="I691" s="2" t="s">
        <v>41</v>
      </c>
      <c r="J691" s="2">
        <v>32</v>
      </c>
      <c r="K691" s="2" t="s">
        <v>132</v>
      </c>
      <c r="L691" s="2" t="s">
        <v>40</v>
      </c>
      <c r="P691" s="2" t="s">
        <v>48</v>
      </c>
      <c r="Q691" s="2">
        <f>INDEX(Tables!$C$4:$C$28,MATCH($P691,Tables!$B$4:$B$28,0))</f>
        <v>32</v>
      </c>
      <c r="R691" s="2">
        <f>INDEX(Tables!$D$4:$D$28,MATCH($P691,Tables!$B$4:$B$28,0))</f>
        <v>4</v>
      </c>
      <c r="S691" s="2">
        <f>$S690+$R690+INDEX(Tables!$N$5:$Q$8,MATCH(MOD($S690+$R690,4),Tables!$M$5:$M$8,0),MATCH($R691,Tables!$N$4:$Q$4,0))</f>
        <v>2580</v>
      </c>
      <c r="T691" s="2" t="str">
        <f t="shared" si="168"/>
        <v>0A14</v>
      </c>
      <c r="U691" s="2">
        <f t="shared" si="174"/>
        <v>645</v>
      </c>
      <c r="V691" s="2" t="str">
        <f t="shared" si="169"/>
        <v>285</v>
      </c>
      <c r="W691" s="2" t="str">
        <f t="shared" si="170"/>
        <v>X</v>
      </c>
      <c r="X691" s="2" t="str">
        <f t="shared" si="173"/>
        <v>X</v>
      </c>
      <c r="Y691" s="2" t="str">
        <f t="shared" si="171"/>
        <v>X</v>
      </c>
      <c r="Z691" s="2" t="str">
        <f t="shared" si="172"/>
        <v>X</v>
      </c>
      <c r="AA691" s="2" t="str">
        <f t="shared" si="175"/>
        <v>(31 downto 24)</v>
      </c>
      <c r="AB691" s="2" t="str">
        <f t="shared" si="176"/>
        <v>(23 downto 16)</v>
      </c>
      <c r="AC691" s="2" t="str">
        <f t="shared" si="177"/>
        <v>(15 downto 8)</v>
      </c>
      <c r="AD691" s="2" t="str">
        <f t="shared" si="178"/>
        <v>(7 downto 0)</v>
      </c>
      <c r="AE691" s="2" t="str">
        <f t="shared" si="179"/>
        <v>(31 downto 24)</v>
      </c>
      <c r="AF691" s="2" t="str">
        <f t="shared" si="180"/>
        <v>(23 downto 16)</v>
      </c>
      <c r="AG691" s="2" t="str">
        <f t="shared" si="181"/>
        <v>(15 downto 8)</v>
      </c>
      <c r="AH691" s="2" t="str">
        <f t="shared" si="182"/>
        <v>(7 downto 0)</v>
      </c>
    </row>
    <row r="692" spans="2:34" x14ac:dyDescent="0.25">
      <c r="B692" s="2" t="s">
        <v>1891</v>
      </c>
      <c r="C692" s="2" t="s">
        <v>141</v>
      </c>
      <c r="D692" s="2" t="s">
        <v>0</v>
      </c>
      <c r="E692" s="2" t="s">
        <v>130</v>
      </c>
      <c r="F692" s="2" t="s">
        <v>1892</v>
      </c>
      <c r="G692" s="2" t="s">
        <v>1893</v>
      </c>
      <c r="H692" s="2" t="s">
        <v>142</v>
      </c>
      <c r="I692" s="2" t="s">
        <v>41</v>
      </c>
      <c r="J692" s="2">
        <v>32</v>
      </c>
      <c r="K692" s="2" t="s">
        <v>132</v>
      </c>
      <c r="L692" s="2" t="s">
        <v>40</v>
      </c>
      <c r="P692" s="2" t="s">
        <v>48</v>
      </c>
      <c r="Q692" s="2">
        <f>INDEX(Tables!$C$4:$C$28,MATCH($P692,Tables!$B$4:$B$28,0))</f>
        <v>32</v>
      </c>
      <c r="R692" s="2">
        <f>INDEX(Tables!$D$4:$D$28,MATCH($P692,Tables!$B$4:$B$28,0))</f>
        <v>4</v>
      </c>
      <c r="S692" s="2">
        <f>$S691+$R691+INDEX(Tables!$N$5:$Q$8,MATCH(MOD($S691+$R691,4),Tables!$M$5:$M$8,0),MATCH($R692,Tables!$N$4:$Q$4,0))</f>
        <v>2584</v>
      </c>
      <c r="T692" s="2" t="str">
        <f t="shared" si="168"/>
        <v>0A18</v>
      </c>
      <c r="U692" s="2">
        <f t="shared" si="174"/>
        <v>646</v>
      </c>
      <c r="V692" s="2" t="str">
        <f t="shared" si="169"/>
        <v>286</v>
      </c>
      <c r="W692" s="2" t="str">
        <f t="shared" si="170"/>
        <v>X</v>
      </c>
      <c r="X692" s="2" t="str">
        <f t="shared" si="173"/>
        <v>X</v>
      </c>
      <c r="Y692" s="2" t="str">
        <f t="shared" si="171"/>
        <v>X</v>
      </c>
      <c r="Z692" s="2" t="str">
        <f t="shared" si="172"/>
        <v>X</v>
      </c>
      <c r="AA692" s="2" t="str">
        <f t="shared" si="175"/>
        <v>(31 downto 24)</v>
      </c>
      <c r="AB692" s="2" t="str">
        <f t="shared" si="176"/>
        <v>(23 downto 16)</v>
      </c>
      <c r="AC692" s="2" t="str">
        <f t="shared" si="177"/>
        <v>(15 downto 8)</v>
      </c>
      <c r="AD692" s="2" t="str">
        <f t="shared" si="178"/>
        <v>(7 downto 0)</v>
      </c>
      <c r="AE692" s="2" t="str">
        <f t="shared" si="179"/>
        <v>(31 downto 24)</v>
      </c>
      <c r="AF692" s="2" t="str">
        <f t="shared" si="180"/>
        <v>(23 downto 16)</v>
      </c>
      <c r="AG692" s="2" t="str">
        <f t="shared" si="181"/>
        <v>(15 downto 8)</v>
      </c>
      <c r="AH692" s="2" t="str">
        <f t="shared" si="182"/>
        <v>(7 downto 0)</v>
      </c>
    </row>
    <row r="693" spans="2:34" x14ac:dyDescent="0.25">
      <c r="B693" s="2" t="s">
        <v>1894</v>
      </c>
      <c r="C693" s="2" t="s">
        <v>141</v>
      </c>
      <c r="D693" s="2" t="s">
        <v>0</v>
      </c>
      <c r="E693" s="2" t="s">
        <v>130</v>
      </c>
      <c r="F693" s="2" t="s">
        <v>1895</v>
      </c>
      <c r="G693" s="2" t="s">
        <v>1896</v>
      </c>
      <c r="H693" s="2" t="s">
        <v>142</v>
      </c>
      <c r="I693" s="2" t="s">
        <v>41</v>
      </c>
      <c r="J693" s="2">
        <v>32</v>
      </c>
      <c r="K693" s="2" t="s">
        <v>132</v>
      </c>
      <c r="L693" s="2" t="s">
        <v>40</v>
      </c>
      <c r="P693" s="2" t="s">
        <v>48</v>
      </c>
      <c r="Q693" s="2">
        <f>INDEX(Tables!$C$4:$C$28,MATCH($P693,Tables!$B$4:$B$28,0))</f>
        <v>32</v>
      </c>
      <c r="R693" s="2">
        <f>INDEX(Tables!$D$4:$D$28,MATCH($P693,Tables!$B$4:$B$28,0))</f>
        <v>4</v>
      </c>
      <c r="S693" s="2">
        <f>$S692+$R692+INDEX(Tables!$N$5:$Q$8,MATCH(MOD($S692+$R692,4),Tables!$M$5:$M$8,0),MATCH($R693,Tables!$N$4:$Q$4,0))</f>
        <v>2588</v>
      </c>
      <c r="T693" s="2" t="str">
        <f t="shared" si="168"/>
        <v>0A1C</v>
      </c>
      <c r="U693" s="2">
        <f t="shared" si="174"/>
        <v>647</v>
      </c>
      <c r="V693" s="2" t="str">
        <f t="shared" si="169"/>
        <v>287</v>
      </c>
      <c r="W693" s="2" t="str">
        <f t="shared" si="170"/>
        <v>X</v>
      </c>
      <c r="X693" s="2" t="str">
        <f t="shared" si="173"/>
        <v>X</v>
      </c>
      <c r="Y693" s="2" t="str">
        <f t="shared" si="171"/>
        <v>X</v>
      </c>
      <c r="Z693" s="2" t="str">
        <f t="shared" si="172"/>
        <v>X</v>
      </c>
      <c r="AA693" s="2" t="str">
        <f t="shared" si="175"/>
        <v>(31 downto 24)</v>
      </c>
      <c r="AB693" s="2" t="str">
        <f t="shared" si="176"/>
        <v>(23 downto 16)</v>
      </c>
      <c r="AC693" s="2" t="str">
        <f t="shared" si="177"/>
        <v>(15 downto 8)</v>
      </c>
      <c r="AD693" s="2" t="str">
        <f t="shared" si="178"/>
        <v>(7 downto 0)</v>
      </c>
      <c r="AE693" s="2" t="str">
        <f t="shared" si="179"/>
        <v>(31 downto 24)</v>
      </c>
      <c r="AF693" s="2" t="str">
        <f t="shared" si="180"/>
        <v>(23 downto 16)</v>
      </c>
      <c r="AG693" s="2" t="str">
        <f t="shared" si="181"/>
        <v>(15 downto 8)</v>
      </c>
      <c r="AH693" s="2" t="str">
        <f t="shared" si="182"/>
        <v>(7 downto 0)</v>
      </c>
    </row>
    <row r="694" spans="2:34" x14ac:dyDescent="0.25">
      <c r="B694" s="2" t="s">
        <v>1897</v>
      </c>
      <c r="C694" s="2" t="s">
        <v>141</v>
      </c>
      <c r="D694" s="2" t="s">
        <v>0</v>
      </c>
      <c r="E694" s="2" t="s">
        <v>130</v>
      </c>
      <c r="F694" s="2" t="s">
        <v>1898</v>
      </c>
      <c r="G694" s="2" t="s">
        <v>1899</v>
      </c>
      <c r="H694" s="2" t="s">
        <v>142</v>
      </c>
      <c r="I694" s="2" t="s">
        <v>41</v>
      </c>
      <c r="J694" s="2">
        <v>32</v>
      </c>
      <c r="K694" s="2" t="s">
        <v>132</v>
      </c>
      <c r="L694" s="2" t="s">
        <v>40</v>
      </c>
      <c r="P694" s="2" t="s">
        <v>48</v>
      </c>
      <c r="Q694" s="2">
        <f>INDEX(Tables!$C$4:$C$28,MATCH($P694,Tables!$B$4:$B$28,0))</f>
        <v>32</v>
      </c>
      <c r="R694" s="2">
        <f>INDEX(Tables!$D$4:$D$28,MATCH($P694,Tables!$B$4:$B$28,0))</f>
        <v>4</v>
      </c>
      <c r="S694" s="2">
        <f>$S693+$R693+INDEX(Tables!$N$5:$Q$8,MATCH(MOD($S693+$R693,4),Tables!$M$5:$M$8,0),MATCH($R694,Tables!$N$4:$Q$4,0))</f>
        <v>2592</v>
      </c>
      <c r="T694" s="2" t="str">
        <f t="shared" si="168"/>
        <v>0A20</v>
      </c>
      <c r="U694" s="2">
        <f t="shared" si="174"/>
        <v>648</v>
      </c>
      <c r="V694" s="2" t="str">
        <f t="shared" si="169"/>
        <v>288</v>
      </c>
      <c r="W694" s="2" t="str">
        <f t="shared" si="170"/>
        <v>X</v>
      </c>
      <c r="X694" s="2" t="str">
        <f t="shared" si="173"/>
        <v>X</v>
      </c>
      <c r="Y694" s="2" t="str">
        <f t="shared" si="171"/>
        <v>X</v>
      </c>
      <c r="Z694" s="2" t="str">
        <f t="shared" si="172"/>
        <v>X</v>
      </c>
      <c r="AA694" s="2" t="str">
        <f t="shared" si="175"/>
        <v>(31 downto 24)</v>
      </c>
      <c r="AB694" s="2" t="str">
        <f t="shared" si="176"/>
        <v>(23 downto 16)</v>
      </c>
      <c r="AC694" s="2" t="str">
        <f t="shared" si="177"/>
        <v>(15 downto 8)</v>
      </c>
      <c r="AD694" s="2" t="str">
        <f t="shared" si="178"/>
        <v>(7 downto 0)</v>
      </c>
      <c r="AE694" s="2" t="str">
        <f t="shared" si="179"/>
        <v>(31 downto 24)</v>
      </c>
      <c r="AF694" s="2" t="str">
        <f t="shared" si="180"/>
        <v>(23 downto 16)</v>
      </c>
      <c r="AG694" s="2" t="str">
        <f t="shared" si="181"/>
        <v>(15 downto 8)</v>
      </c>
      <c r="AH694" s="2" t="str">
        <f t="shared" si="182"/>
        <v>(7 downto 0)</v>
      </c>
    </row>
    <row r="695" spans="2:34" x14ac:dyDescent="0.25">
      <c r="B695" s="2" t="s">
        <v>1900</v>
      </c>
      <c r="C695" s="2" t="s">
        <v>141</v>
      </c>
      <c r="D695" s="2" t="s">
        <v>0</v>
      </c>
      <c r="E695" s="2" t="s">
        <v>130</v>
      </c>
      <c r="F695" s="2" t="s">
        <v>1901</v>
      </c>
      <c r="G695" s="2" t="s">
        <v>1902</v>
      </c>
      <c r="H695" s="2" t="s">
        <v>142</v>
      </c>
      <c r="I695" s="2" t="s">
        <v>41</v>
      </c>
      <c r="J695" s="2">
        <v>32</v>
      </c>
      <c r="K695" s="2" t="s">
        <v>132</v>
      </c>
      <c r="L695" s="2" t="s">
        <v>40</v>
      </c>
      <c r="P695" s="2" t="s">
        <v>48</v>
      </c>
      <c r="Q695" s="2">
        <f>INDEX(Tables!$C$4:$C$28,MATCH($P695,Tables!$B$4:$B$28,0))</f>
        <v>32</v>
      </c>
      <c r="R695" s="2">
        <f>INDEX(Tables!$D$4:$D$28,MATCH($P695,Tables!$B$4:$B$28,0))</f>
        <v>4</v>
      </c>
      <c r="S695" s="2">
        <f>$S694+$R694+INDEX(Tables!$N$5:$Q$8,MATCH(MOD($S694+$R694,4),Tables!$M$5:$M$8,0),MATCH($R695,Tables!$N$4:$Q$4,0))</f>
        <v>2596</v>
      </c>
      <c r="T695" s="2" t="str">
        <f t="shared" si="168"/>
        <v>0A24</v>
      </c>
      <c r="U695" s="2">
        <f t="shared" si="174"/>
        <v>649</v>
      </c>
      <c r="V695" s="2" t="str">
        <f t="shared" si="169"/>
        <v>289</v>
      </c>
      <c r="W695" s="2" t="str">
        <f t="shared" si="170"/>
        <v>X</v>
      </c>
      <c r="X695" s="2" t="str">
        <f t="shared" si="173"/>
        <v>X</v>
      </c>
      <c r="Y695" s="2" t="str">
        <f t="shared" si="171"/>
        <v>X</v>
      </c>
      <c r="Z695" s="2" t="str">
        <f t="shared" si="172"/>
        <v>X</v>
      </c>
      <c r="AA695" s="2" t="str">
        <f t="shared" si="175"/>
        <v>(31 downto 24)</v>
      </c>
      <c r="AB695" s="2" t="str">
        <f t="shared" si="176"/>
        <v>(23 downto 16)</v>
      </c>
      <c r="AC695" s="2" t="str">
        <f t="shared" si="177"/>
        <v>(15 downto 8)</v>
      </c>
      <c r="AD695" s="2" t="str">
        <f t="shared" si="178"/>
        <v>(7 downto 0)</v>
      </c>
      <c r="AE695" s="2" t="str">
        <f t="shared" si="179"/>
        <v>(31 downto 24)</v>
      </c>
      <c r="AF695" s="2" t="str">
        <f t="shared" si="180"/>
        <v>(23 downto 16)</v>
      </c>
      <c r="AG695" s="2" t="str">
        <f t="shared" si="181"/>
        <v>(15 downto 8)</v>
      </c>
      <c r="AH695" s="2" t="str">
        <f t="shared" si="182"/>
        <v>(7 downto 0)</v>
      </c>
    </row>
    <row r="696" spans="2:34" x14ac:dyDescent="0.25">
      <c r="B696" s="2" t="s">
        <v>1903</v>
      </c>
      <c r="C696" s="2" t="s">
        <v>141</v>
      </c>
      <c r="D696" s="2" t="s">
        <v>0</v>
      </c>
      <c r="E696" s="2" t="s">
        <v>130</v>
      </c>
      <c r="F696" s="2" t="s">
        <v>1904</v>
      </c>
      <c r="G696" s="2" t="s">
        <v>1905</v>
      </c>
      <c r="H696" s="2" t="s">
        <v>142</v>
      </c>
      <c r="I696" s="2" t="s">
        <v>41</v>
      </c>
      <c r="J696" s="2">
        <v>32</v>
      </c>
      <c r="K696" s="2" t="s">
        <v>132</v>
      </c>
      <c r="L696" s="2" t="s">
        <v>40</v>
      </c>
      <c r="P696" s="2" t="s">
        <v>48</v>
      </c>
      <c r="Q696" s="2">
        <f>INDEX(Tables!$C$4:$C$28,MATCH($P696,Tables!$B$4:$B$28,0))</f>
        <v>32</v>
      </c>
      <c r="R696" s="2">
        <f>INDEX(Tables!$D$4:$D$28,MATCH($P696,Tables!$B$4:$B$28,0))</f>
        <v>4</v>
      </c>
      <c r="S696" s="2">
        <f>$S695+$R695+INDEX(Tables!$N$5:$Q$8,MATCH(MOD($S695+$R695,4),Tables!$M$5:$M$8,0),MATCH($R696,Tables!$N$4:$Q$4,0))</f>
        <v>2600</v>
      </c>
      <c r="T696" s="2" t="str">
        <f t="shared" si="168"/>
        <v>0A28</v>
      </c>
      <c r="U696" s="2">
        <f t="shared" si="174"/>
        <v>650</v>
      </c>
      <c r="V696" s="2" t="str">
        <f t="shared" si="169"/>
        <v>28A</v>
      </c>
      <c r="W696" s="2" t="str">
        <f t="shared" si="170"/>
        <v>X</v>
      </c>
      <c r="X696" s="2" t="str">
        <f t="shared" si="173"/>
        <v>X</v>
      </c>
      <c r="Y696" s="2" t="str">
        <f t="shared" si="171"/>
        <v>X</v>
      </c>
      <c r="Z696" s="2" t="str">
        <f t="shared" si="172"/>
        <v>X</v>
      </c>
      <c r="AA696" s="2" t="str">
        <f t="shared" si="175"/>
        <v>(31 downto 24)</v>
      </c>
      <c r="AB696" s="2" t="str">
        <f t="shared" si="176"/>
        <v>(23 downto 16)</v>
      </c>
      <c r="AC696" s="2" t="str">
        <f t="shared" si="177"/>
        <v>(15 downto 8)</v>
      </c>
      <c r="AD696" s="2" t="str">
        <f t="shared" si="178"/>
        <v>(7 downto 0)</v>
      </c>
      <c r="AE696" s="2" t="str">
        <f t="shared" si="179"/>
        <v>(31 downto 24)</v>
      </c>
      <c r="AF696" s="2" t="str">
        <f t="shared" si="180"/>
        <v>(23 downto 16)</v>
      </c>
      <c r="AG696" s="2" t="str">
        <f t="shared" si="181"/>
        <v>(15 downto 8)</v>
      </c>
      <c r="AH696" s="2" t="str">
        <f t="shared" si="182"/>
        <v>(7 downto 0)</v>
      </c>
    </row>
    <row r="697" spans="2:34" x14ac:dyDescent="0.25">
      <c r="B697" s="2" t="s">
        <v>1906</v>
      </c>
      <c r="C697" s="2" t="s">
        <v>141</v>
      </c>
      <c r="D697" s="2" t="s">
        <v>0</v>
      </c>
      <c r="E697" s="2" t="s">
        <v>130</v>
      </c>
      <c r="F697" s="2" t="s">
        <v>1907</v>
      </c>
      <c r="G697" s="2" t="s">
        <v>1908</v>
      </c>
      <c r="H697" s="2" t="s">
        <v>142</v>
      </c>
      <c r="I697" s="2" t="s">
        <v>41</v>
      </c>
      <c r="J697" s="2">
        <v>32</v>
      </c>
      <c r="K697" s="2" t="s">
        <v>132</v>
      </c>
      <c r="L697" s="2" t="s">
        <v>40</v>
      </c>
      <c r="P697" s="2" t="s">
        <v>48</v>
      </c>
      <c r="Q697" s="2">
        <f>INDEX(Tables!$C$4:$C$28,MATCH($P697,Tables!$B$4:$B$28,0))</f>
        <v>32</v>
      </c>
      <c r="R697" s="2">
        <f>INDEX(Tables!$D$4:$D$28,MATCH($P697,Tables!$B$4:$B$28,0))</f>
        <v>4</v>
      </c>
      <c r="S697" s="2">
        <f>$S696+$R696+INDEX(Tables!$N$5:$Q$8,MATCH(MOD($S696+$R696,4),Tables!$M$5:$M$8,0),MATCH($R697,Tables!$N$4:$Q$4,0))</f>
        <v>2604</v>
      </c>
      <c r="T697" s="2" t="str">
        <f t="shared" si="168"/>
        <v>0A2C</v>
      </c>
      <c r="U697" s="2">
        <f t="shared" si="174"/>
        <v>651</v>
      </c>
      <c r="V697" s="2" t="str">
        <f t="shared" si="169"/>
        <v>28B</v>
      </c>
      <c r="W697" s="2" t="str">
        <f t="shared" si="170"/>
        <v>X</v>
      </c>
      <c r="X697" s="2" t="str">
        <f t="shared" si="173"/>
        <v>X</v>
      </c>
      <c r="Y697" s="2" t="str">
        <f t="shared" si="171"/>
        <v>X</v>
      </c>
      <c r="Z697" s="2" t="str">
        <f t="shared" si="172"/>
        <v>X</v>
      </c>
      <c r="AA697" s="2" t="str">
        <f t="shared" si="175"/>
        <v>(31 downto 24)</v>
      </c>
      <c r="AB697" s="2" t="str">
        <f t="shared" si="176"/>
        <v>(23 downto 16)</v>
      </c>
      <c r="AC697" s="2" t="str">
        <f t="shared" si="177"/>
        <v>(15 downto 8)</v>
      </c>
      <c r="AD697" s="2" t="str">
        <f t="shared" si="178"/>
        <v>(7 downto 0)</v>
      </c>
      <c r="AE697" s="2" t="str">
        <f t="shared" si="179"/>
        <v>(31 downto 24)</v>
      </c>
      <c r="AF697" s="2" t="str">
        <f t="shared" si="180"/>
        <v>(23 downto 16)</v>
      </c>
      <c r="AG697" s="2" t="str">
        <f t="shared" si="181"/>
        <v>(15 downto 8)</v>
      </c>
      <c r="AH697" s="2" t="str">
        <f t="shared" si="182"/>
        <v>(7 downto 0)</v>
      </c>
    </row>
    <row r="698" spans="2:34" x14ac:dyDescent="0.25">
      <c r="B698" s="2" t="s">
        <v>1909</v>
      </c>
      <c r="C698" s="2" t="s">
        <v>141</v>
      </c>
      <c r="D698" s="2" t="s">
        <v>0</v>
      </c>
      <c r="E698" s="2" t="s">
        <v>130</v>
      </c>
      <c r="F698" s="2" t="s">
        <v>1910</v>
      </c>
      <c r="G698" s="2" t="s">
        <v>1911</v>
      </c>
      <c r="H698" s="2" t="s">
        <v>142</v>
      </c>
      <c r="I698" s="2" t="s">
        <v>41</v>
      </c>
      <c r="J698" s="2">
        <v>32</v>
      </c>
      <c r="K698" s="2" t="s">
        <v>132</v>
      </c>
      <c r="L698" s="2" t="s">
        <v>40</v>
      </c>
      <c r="P698" s="2" t="s">
        <v>48</v>
      </c>
      <c r="Q698" s="2">
        <f>INDEX(Tables!$C$4:$C$28,MATCH($P698,Tables!$B$4:$B$28,0))</f>
        <v>32</v>
      </c>
      <c r="R698" s="2">
        <f>INDEX(Tables!$D$4:$D$28,MATCH($P698,Tables!$B$4:$B$28,0))</f>
        <v>4</v>
      </c>
      <c r="S698" s="2">
        <f>$S697+$R697+INDEX(Tables!$N$5:$Q$8,MATCH(MOD($S697+$R697,4),Tables!$M$5:$M$8,0),MATCH($R698,Tables!$N$4:$Q$4,0))</f>
        <v>2608</v>
      </c>
      <c r="T698" s="2" t="str">
        <f t="shared" si="168"/>
        <v>0A30</v>
      </c>
      <c r="U698" s="2">
        <f t="shared" si="174"/>
        <v>652</v>
      </c>
      <c r="V698" s="2" t="str">
        <f t="shared" si="169"/>
        <v>28C</v>
      </c>
      <c r="W698" s="2" t="str">
        <f t="shared" si="170"/>
        <v>X</v>
      </c>
      <c r="X698" s="2" t="str">
        <f t="shared" si="173"/>
        <v>X</v>
      </c>
      <c r="Y698" s="2" t="str">
        <f t="shared" si="171"/>
        <v>X</v>
      </c>
      <c r="Z698" s="2" t="str">
        <f t="shared" si="172"/>
        <v>X</v>
      </c>
      <c r="AA698" s="2" t="str">
        <f t="shared" si="175"/>
        <v>(31 downto 24)</v>
      </c>
      <c r="AB698" s="2" t="str">
        <f t="shared" si="176"/>
        <v>(23 downto 16)</v>
      </c>
      <c r="AC698" s="2" t="str">
        <f t="shared" si="177"/>
        <v>(15 downto 8)</v>
      </c>
      <c r="AD698" s="2" t="str">
        <f t="shared" si="178"/>
        <v>(7 downto 0)</v>
      </c>
      <c r="AE698" s="2" t="str">
        <f t="shared" si="179"/>
        <v>(31 downto 24)</v>
      </c>
      <c r="AF698" s="2" t="str">
        <f t="shared" si="180"/>
        <v>(23 downto 16)</v>
      </c>
      <c r="AG698" s="2" t="str">
        <f t="shared" si="181"/>
        <v>(15 downto 8)</v>
      </c>
      <c r="AH698" s="2" t="str">
        <f t="shared" si="182"/>
        <v>(7 downto 0)</v>
      </c>
    </row>
    <row r="699" spans="2:34" x14ac:dyDescent="0.25">
      <c r="B699" s="2" t="s">
        <v>1912</v>
      </c>
      <c r="C699" s="2" t="s">
        <v>141</v>
      </c>
      <c r="D699" s="2" t="s">
        <v>0</v>
      </c>
      <c r="E699" s="2" t="s">
        <v>130</v>
      </c>
      <c r="F699" s="2" t="s">
        <v>1913</v>
      </c>
      <c r="G699" s="2" t="s">
        <v>1914</v>
      </c>
      <c r="H699" s="2" t="s">
        <v>142</v>
      </c>
      <c r="I699" s="2" t="s">
        <v>41</v>
      </c>
      <c r="J699" s="2">
        <v>32</v>
      </c>
      <c r="K699" s="2" t="s">
        <v>132</v>
      </c>
      <c r="L699" s="2" t="s">
        <v>40</v>
      </c>
      <c r="P699" s="2" t="s">
        <v>48</v>
      </c>
      <c r="Q699" s="2">
        <f>INDEX(Tables!$C$4:$C$28,MATCH($P699,Tables!$B$4:$B$28,0))</f>
        <v>32</v>
      </c>
      <c r="R699" s="2">
        <f>INDEX(Tables!$D$4:$D$28,MATCH($P699,Tables!$B$4:$B$28,0))</f>
        <v>4</v>
      </c>
      <c r="S699" s="2">
        <f>$S698+$R698+INDEX(Tables!$N$5:$Q$8,MATCH(MOD($S698+$R698,4),Tables!$M$5:$M$8,0),MATCH($R699,Tables!$N$4:$Q$4,0))</f>
        <v>2612</v>
      </c>
      <c r="T699" s="2" t="str">
        <f t="shared" si="168"/>
        <v>0A34</v>
      </c>
      <c r="U699" s="2">
        <f t="shared" si="174"/>
        <v>653</v>
      </c>
      <c r="V699" s="2" t="str">
        <f t="shared" si="169"/>
        <v>28D</v>
      </c>
      <c r="W699" s="2" t="str">
        <f t="shared" si="170"/>
        <v>X</v>
      </c>
      <c r="X699" s="2" t="str">
        <f t="shared" si="173"/>
        <v>X</v>
      </c>
      <c r="Y699" s="2" t="str">
        <f t="shared" si="171"/>
        <v>X</v>
      </c>
      <c r="Z699" s="2" t="str">
        <f t="shared" si="172"/>
        <v>X</v>
      </c>
      <c r="AA699" s="2" t="str">
        <f t="shared" si="175"/>
        <v>(31 downto 24)</v>
      </c>
      <c r="AB699" s="2" t="str">
        <f t="shared" si="176"/>
        <v>(23 downto 16)</v>
      </c>
      <c r="AC699" s="2" t="str">
        <f t="shared" si="177"/>
        <v>(15 downto 8)</v>
      </c>
      <c r="AD699" s="2" t="str">
        <f t="shared" si="178"/>
        <v>(7 downto 0)</v>
      </c>
      <c r="AE699" s="2" t="str">
        <f t="shared" si="179"/>
        <v>(31 downto 24)</v>
      </c>
      <c r="AF699" s="2" t="str">
        <f t="shared" si="180"/>
        <v>(23 downto 16)</v>
      </c>
      <c r="AG699" s="2" t="str">
        <f t="shared" si="181"/>
        <v>(15 downto 8)</v>
      </c>
      <c r="AH699" s="2" t="str">
        <f t="shared" si="182"/>
        <v>(7 downto 0)</v>
      </c>
    </row>
    <row r="700" spans="2:34" x14ac:dyDescent="0.25">
      <c r="B700" s="2" t="s">
        <v>1915</v>
      </c>
      <c r="C700" s="2" t="s">
        <v>141</v>
      </c>
      <c r="D700" s="2" t="s">
        <v>0</v>
      </c>
      <c r="E700" s="2" t="s">
        <v>130</v>
      </c>
      <c r="F700" s="2" t="s">
        <v>1916</v>
      </c>
      <c r="G700" s="2" t="s">
        <v>1917</v>
      </c>
      <c r="H700" s="2" t="s">
        <v>142</v>
      </c>
      <c r="I700" s="2" t="s">
        <v>41</v>
      </c>
      <c r="J700" s="2">
        <v>32</v>
      </c>
      <c r="K700" s="2" t="s">
        <v>132</v>
      </c>
      <c r="L700" s="2" t="s">
        <v>40</v>
      </c>
      <c r="P700" s="2" t="s">
        <v>48</v>
      </c>
      <c r="Q700" s="2">
        <f>INDEX(Tables!$C$4:$C$28,MATCH($P700,Tables!$B$4:$B$28,0))</f>
        <v>32</v>
      </c>
      <c r="R700" s="2">
        <f>INDEX(Tables!$D$4:$D$28,MATCH($P700,Tables!$B$4:$B$28,0))</f>
        <v>4</v>
      </c>
      <c r="S700" s="2">
        <f>$S699+$R699+INDEX(Tables!$N$5:$Q$8,MATCH(MOD($S699+$R699,4),Tables!$M$5:$M$8,0),MATCH($R700,Tables!$N$4:$Q$4,0))</f>
        <v>2616</v>
      </c>
      <c r="T700" s="2" t="str">
        <f t="shared" si="168"/>
        <v>0A38</v>
      </c>
      <c r="U700" s="2">
        <f t="shared" si="174"/>
        <v>654</v>
      </c>
      <c r="V700" s="2" t="str">
        <f t="shared" si="169"/>
        <v>28E</v>
      </c>
      <c r="W700" s="2" t="str">
        <f t="shared" si="170"/>
        <v>X</v>
      </c>
      <c r="X700" s="2" t="str">
        <f t="shared" si="173"/>
        <v>X</v>
      </c>
      <c r="Y700" s="2" t="str">
        <f t="shared" si="171"/>
        <v>X</v>
      </c>
      <c r="Z700" s="2" t="str">
        <f t="shared" si="172"/>
        <v>X</v>
      </c>
      <c r="AA700" s="2" t="str">
        <f t="shared" si="175"/>
        <v>(31 downto 24)</v>
      </c>
      <c r="AB700" s="2" t="str">
        <f t="shared" si="176"/>
        <v>(23 downto 16)</v>
      </c>
      <c r="AC700" s="2" t="str">
        <f t="shared" si="177"/>
        <v>(15 downto 8)</v>
      </c>
      <c r="AD700" s="2" t="str">
        <f t="shared" si="178"/>
        <v>(7 downto 0)</v>
      </c>
      <c r="AE700" s="2" t="str">
        <f t="shared" si="179"/>
        <v>(31 downto 24)</v>
      </c>
      <c r="AF700" s="2" t="str">
        <f t="shared" si="180"/>
        <v>(23 downto 16)</v>
      </c>
      <c r="AG700" s="2" t="str">
        <f t="shared" si="181"/>
        <v>(15 downto 8)</v>
      </c>
      <c r="AH700" s="2" t="str">
        <f t="shared" si="182"/>
        <v>(7 downto 0)</v>
      </c>
    </row>
    <row r="701" spans="2:34" x14ac:dyDescent="0.25">
      <c r="B701" s="2" t="s">
        <v>1918</v>
      </c>
      <c r="C701" s="2" t="s">
        <v>141</v>
      </c>
      <c r="D701" s="2" t="s">
        <v>0</v>
      </c>
      <c r="E701" s="2" t="s">
        <v>130</v>
      </c>
      <c r="F701" s="2" t="s">
        <v>1919</v>
      </c>
      <c r="G701" s="2" t="s">
        <v>1920</v>
      </c>
      <c r="H701" s="2" t="s">
        <v>142</v>
      </c>
      <c r="I701" s="2" t="s">
        <v>41</v>
      </c>
      <c r="J701" s="2">
        <v>32</v>
      </c>
      <c r="K701" s="2" t="s">
        <v>132</v>
      </c>
      <c r="L701" s="2" t="s">
        <v>40</v>
      </c>
      <c r="P701" s="2" t="s">
        <v>48</v>
      </c>
      <c r="Q701" s="2">
        <f>INDEX(Tables!$C$4:$C$28,MATCH($P701,Tables!$B$4:$B$28,0))</f>
        <v>32</v>
      </c>
      <c r="R701" s="2">
        <f>INDEX(Tables!$D$4:$D$28,MATCH($P701,Tables!$B$4:$B$28,0))</f>
        <v>4</v>
      </c>
      <c r="S701" s="2">
        <f>$S700+$R700+INDEX(Tables!$N$5:$Q$8,MATCH(MOD($S700+$R700,4),Tables!$M$5:$M$8,0),MATCH($R701,Tables!$N$4:$Q$4,0))</f>
        <v>2620</v>
      </c>
      <c r="T701" s="2" t="str">
        <f t="shared" si="168"/>
        <v>0A3C</v>
      </c>
      <c r="U701" s="2">
        <f t="shared" si="174"/>
        <v>655</v>
      </c>
      <c r="V701" s="2" t="str">
        <f t="shared" si="169"/>
        <v>28F</v>
      </c>
      <c r="W701" s="2" t="str">
        <f t="shared" si="170"/>
        <v>X</v>
      </c>
      <c r="X701" s="2" t="str">
        <f t="shared" si="173"/>
        <v>X</v>
      </c>
      <c r="Y701" s="2" t="str">
        <f t="shared" si="171"/>
        <v>X</v>
      </c>
      <c r="Z701" s="2" t="str">
        <f t="shared" si="172"/>
        <v>X</v>
      </c>
      <c r="AA701" s="2" t="str">
        <f t="shared" si="175"/>
        <v>(31 downto 24)</v>
      </c>
      <c r="AB701" s="2" t="str">
        <f t="shared" si="176"/>
        <v>(23 downto 16)</v>
      </c>
      <c r="AC701" s="2" t="str">
        <f t="shared" si="177"/>
        <v>(15 downto 8)</v>
      </c>
      <c r="AD701" s="2" t="str">
        <f t="shared" si="178"/>
        <v>(7 downto 0)</v>
      </c>
      <c r="AE701" s="2" t="str">
        <f t="shared" si="179"/>
        <v>(31 downto 24)</v>
      </c>
      <c r="AF701" s="2" t="str">
        <f t="shared" si="180"/>
        <v>(23 downto 16)</v>
      </c>
      <c r="AG701" s="2" t="str">
        <f t="shared" si="181"/>
        <v>(15 downto 8)</v>
      </c>
      <c r="AH701" s="2" t="str">
        <f t="shared" si="182"/>
        <v>(7 downto 0)</v>
      </c>
    </row>
    <row r="702" spans="2:34" x14ac:dyDescent="0.25">
      <c r="B702" s="2" t="s">
        <v>1921</v>
      </c>
      <c r="C702" s="2" t="s">
        <v>141</v>
      </c>
      <c r="D702" s="2" t="s">
        <v>0</v>
      </c>
      <c r="E702" s="2" t="s">
        <v>130</v>
      </c>
      <c r="F702" s="2" t="s">
        <v>1922</v>
      </c>
      <c r="G702" s="2" t="s">
        <v>1923</v>
      </c>
      <c r="H702" s="2" t="s">
        <v>142</v>
      </c>
      <c r="I702" s="2" t="s">
        <v>41</v>
      </c>
      <c r="J702" s="2">
        <v>32</v>
      </c>
      <c r="K702" s="2" t="s">
        <v>132</v>
      </c>
      <c r="L702" s="2" t="s">
        <v>40</v>
      </c>
      <c r="P702" s="2" t="s">
        <v>48</v>
      </c>
      <c r="Q702" s="2">
        <f>INDEX(Tables!$C$4:$C$28,MATCH($P702,Tables!$B$4:$B$28,0))</f>
        <v>32</v>
      </c>
      <c r="R702" s="2">
        <f>INDEX(Tables!$D$4:$D$28,MATCH($P702,Tables!$B$4:$B$28,0))</f>
        <v>4</v>
      </c>
      <c r="S702" s="2">
        <f>$S701+$R701+INDEX(Tables!$N$5:$Q$8,MATCH(MOD($S701+$R701,4),Tables!$M$5:$M$8,0),MATCH($R702,Tables!$N$4:$Q$4,0))</f>
        <v>2624</v>
      </c>
      <c r="T702" s="2" t="str">
        <f t="shared" si="168"/>
        <v>0A40</v>
      </c>
      <c r="U702" s="2">
        <f t="shared" si="174"/>
        <v>656</v>
      </c>
      <c r="V702" s="2" t="str">
        <f t="shared" si="169"/>
        <v>290</v>
      </c>
      <c r="W702" s="2" t="str">
        <f t="shared" si="170"/>
        <v>X</v>
      </c>
      <c r="X702" s="2" t="str">
        <f t="shared" si="173"/>
        <v>X</v>
      </c>
      <c r="Y702" s="2" t="str">
        <f t="shared" si="171"/>
        <v>X</v>
      </c>
      <c r="Z702" s="2" t="str">
        <f t="shared" si="172"/>
        <v>X</v>
      </c>
      <c r="AA702" s="2" t="str">
        <f t="shared" si="175"/>
        <v>(31 downto 24)</v>
      </c>
      <c r="AB702" s="2" t="str">
        <f t="shared" si="176"/>
        <v>(23 downto 16)</v>
      </c>
      <c r="AC702" s="2" t="str">
        <f t="shared" si="177"/>
        <v>(15 downto 8)</v>
      </c>
      <c r="AD702" s="2" t="str">
        <f t="shared" si="178"/>
        <v>(7 downto 0)</v>
      </c>
      <c r="AE702" s="2" t="str">
        <f t="shared" si="179"/>
        <v>(31 downto 24)</v>
      </c>
      <c r="AF702" s="2" t="str">
        <f t="shared" si="180"/>
        <v>(23 downto 16)</v>
      </c>
      <c r="AG702" s="2" t="str">
        <f t="shared" si="181"/>
        <v>(15 downto 8)</v>
      </c>
      <c r="AH702" s="2" t="str">
        <f t="shared" si="182"/>
        <v>(7 downto 0)</v>
      </c>
    </row>
    <row r="703" spans="2:34" x14ac:dyDescent="0.25">
      <c r="B703" s="2" t="s">
        <v>1924</v>
      </c>
      <c r="C703" s="2" t="s">
        <v>141</v>
      </c>
      <c r="D703" s="2" t="s">
        <v>0</v>
      </c>
      <c r="E703" s="2" t="s">
        <v>130</v>
      </c>
      <c r="F703" s="2" t="s">
        <v>1925</v>
      </c>
      <c r="G703" s="2" t="s">
        <v>1926</v>
      </c>
      <c r="H703" s="2" t="s">
        <v>142</v>
      </c>
      <c r="I703" s="2" t="s">
        <v>41</v>
      </c>
      <c r="J703" s="2">
        <v>32</v>
      </c>
      <c r="K703" s="2" t="s">
        <v>132</v>
      </c>
      <c r="L703" s="2" t="s">
        <v>40</v>
      </c>
      <c r="P703" s="2" t="s">
        <v>48</v>
      </c>
      <c r="Q703" s="2">
        <f>INDEX(Tables!$C$4:$C$28,MATCH($P703,Tables!$B$4:$B$28,0))</f>
        <v>32</v>
      </c>
      <c r="R703" s="2">
        <f>INDEX(Tables!$D$4:$D$28,MATCH($P703,Tables!$B$4:$B$28,0))</f>
        <v>4</v>
      </c>
      <c r="S703" s="2">
        <f>$S702+$R702+INDEX(Tables!$N$5:$Q$8,MATCH(MOD($S702+$R702,4),Tables!$M$5:$M$8,0),MATCH($R703,Tables!$N$4:$Q$4,0))</f>
        <v>2628</v>
      </c>
      <c r="T703" s="2" t="str">
        <f t="shared" si="168"/>
        <v>0A44</v>
      </c>
      <c r="U703" s="2">
        <f t="shared" si="174"/>
        <v>657</v>
      </c>
      <c r="V703" s="2" t="str">
        <f t="shared" si="169"/>
        <v>291</v>
      </c>
      <c r="W703" s="2" t="str">
        <f t="shared" si="170"/>
        <v>X</v>
      </c>
      <c r="X703" s="2" t="str">
        <f t="shared" si="173"/>
        <v>X</v>
      </c>
      <c r="Y703" s="2" t="str">
        <f t="shared" si="171"/>
        <v>X</v>
      </c>
      <c r="Z703" s="2" t="str">
        <f t="shared" si="172"/>
        <v>X</v>
      </c>
      <c r="AA703" s="2" t="str">
        <f t="shared" si="175"/>
        <v>(31 downto 24)</v>
      </c>
      <c r="AB703" s="2" t="str">
        <f t="shared" si="176"/>
        <v>(23 downto 16)</v>
      </c>
      <c r="AC703" s="2" t="str">
        <f t="shared" si="177"/>
        <v>(15 downto 8)</v>
      </c>
      <c r="AD703" s="2" t="str">
        <f t="shared" si="178"/>
        <v>(7 downto 0)</v>
      </c>
      <c r="AE703" s="2" t="str">
        <f t="shared" si="179"/>
        <v>(31 downto 24)</v>
      </c>
      <c r="AF703" s="2" t="str">
        <f t="shared" si="180"/>
        <v>(23 downto 16)</v>
      </c>
      <c r="AG703" s="2" t="str">
        <f t="shared" si="181"/>
        <v>(15 downto 8)</v>
      </c>
      <c r="AH703" s="2" t="str">
        <f t="shared" si="182"/>
        <v>(7 downto 0)</v>
      </c>
    </row>
    <row r="704" spans="2:34" x14ac:dyDescent="0.25">
      <c r="B704" s="2" t="s">
        <v>1927</v>
      </c>
      <c r="C704" s="2" t="s">
        <v>141</v>
      </c>
      <c r="D704" s="2" t="s">
        <v>0</v>
      </c>
      <c r="E704" s="2" t="s">
        <v>130</v>
      </c>
      <c r="F704" s="2" t="s">
        <v>1928</v>
      </c>
      <c r="G704" s="2" t="s">
        <v>1929</v>
      </c>
      <c r="H704" s="2" t="s">
        <v>142</v>
      </c>
      <c r="I704" s="2" t="s">
        <v>41</v>
      </c>
      <c r="J704" s="2">
        <v>32</v>
      </c>
      <c r="K704" s="2" t="s">
        <v>132</v>
      </c>
      <c r="L704" s="2" t="s">
        <v>40</v>
      </c>
      <c r="P704" s="2" t="s">
        <v>48</v>
      </c>
      <c r="Q704" s="2">
        <f>INDEX(Tables!$C$4:$C$28,MATCH($P704,Tables!$B$4:$B$28,0))</f>
        <v>32</v>
      </c>
      <c r="R704" s="2">
        <f>INDEX(Tables!$D$4:$D$28,MATCH($P704,Tables!$B$4:$B$28,0))</f>
        <v>4</v>
      </c>
      <c r="S704" s="2">
        <f>$S703+$R703+INDEX(Tables!$N$5:$Q$8,MATCH(MOD($S703+$R703,4),Tables!$M$5:$M$8,0),MATCH($R704,Tables!$N$4:$Q$4,0))</f>
        <v>2632</v>
      </c>
      <c r="T704" s="2" t="str">
        <f t="shared" si="168"/>
        <v>0A48</v>
      </c>
      <c r="U704" s="2">
        <f t="shared" si="174"/>
        <v>658</v>
      </c>
      <c r="V704" s="2" t="str">
        <f t="shared" si="169"/>
        <v>292</v>
      </c>
      <c r="W704" s="2" t="str">
        <f t="shared" si="170"/>
        <v>X</v>
      </c>
      <c r="X704" s="2" t="str">
        <f t="shared" si="173"/>
        <v>X</v>
      </c>
      <c r="Y704" s="2" t="str">
        <f t="shared" si="171"/>
        <v>X</v>
      </c>
      <c r="Z704" s="2" t="str">
        <f t="shared" si="172"/>
        <v>X</v>
      </c>
      <c r="AA704" s="2" t="str">
        <f t="shared" si="175"/>
        <v>(31 downto 24)</v>
      </c>
      <c r="AB704" s="2" t="str">
        <f t="shared" si="176"/>
        <v>(23 downto 16)</v>
      </c>
      <c r="AC704" s="2" t="str">
        <f t="shared" si="177"/>
        <v>(15 downto 8)</v>
      </c>
      <c r="AD704" s="2" t="str">
        <f t="shared" si="178"/>
        <v>(7 downto 0)</v>
      </c>
      <c r="AE704" s="2" t="str">
        <f t="shared" si="179"/>
        <v>(31 downto 24)</v>
      </c>
      <c r="AF704" s="2" t="str">
        <f t="shared" si="180"/>
        <v>(23 downto 16)</v>
      </c>
      <c r="AG704" s="2" t="str">
        <f t="shared" si="181"/>
        <v>(15 downto 8)</v>
      </c>
      <c r="AH704" s="2" t="str">
        <f t="shared" si="182"/>
        <v>(7 downto 0)</v>
      </c>
    </row>
    <row r="705" spans="2:34" x14ac:dyDescent="0.25">
      <c r="B705" s="2" t="s">
        <v>1930</v>
      </c>
      <c r="C705" s="2" t="s">
        <v>141</v>
      </c>
      <c r="D705" s="2" t="s">
        <v>0</v>
      </c>
      <c r="E705" s="2" t="s">
        <v>130</v>
      </c>
      <c r="F705" s="2" t="s">
        <v>1931</v>
      </c>
      <c r="G705" s="2" t="s">
        <v>1932</v>
      </c>
      <c r="H705" s="2" t="s">
        <v>142</v>
      </c>
      <c r="I705" s="2" t="s">
        <v>41</v>
      </c>
      <c r="J705" s="2">
        <v>32</v>
      </c>
      <c r="K705" s="2" t="s">
        <v>132</v>
      </c>
      <c r="L705" s="2" t="s">
        <v>40</v>
      </c>
      <c r="P705" s="2" t="s">
        <v>48</v>
      </c>
      <c r="Q705" s="2">
        <f>INDEX(Tables!$C$4:$C$28,MATCH($P705,Tables!$B$4:$B$28,0))</f>
        <v>32</v>
      </c>
      <c r="R705" s="2">
        <f>INDEX(Tables!$D$4:$D$28,MATCH($P705,Tables!$B$4:$B$28,0))</f>
        <v>4</v>
      </c>
      <c r="S705" s="2">
        <f>$S704+$R704+INDEX(Tables!$N$5:$Q$8,MATCH(MOD($S704+$R704,4),Tables!$M$5:$M$8,0),MATCH($R705,Tables!$N$4:$Q$4,0))</f>
        <v>2636</v>
      </c>
      <c r="T705" s="2" t="str">
        <f t="shared" si="168"/>
        <v>0A4C</v>
      </c>
      <c r="U705" s="2">
        <f t="shared" si="174"/>
        <v>659</v>
      </c>
      <c r="V705" s="2" t="str">
        <f t="shared" si="169"/>
        <v>293</v>
      </c>
      <c r="W705" s="2" t="str">
        <f t="shared" si="170"/>
        <v>X</v>
      </c>
      <c r="X705" s="2" t="str">
        <f t="shared" si="173"/>
        <v>X</v>
      </c>
      <c r="Y705" s="2" t="str">
        <f t="shared" si="171"/>
        <v>X</v>
      </c>
      <c r="Z705" s="2" t="str">
        <f t="shared" si="172"/>
        <v>X</v>
      </c>
      <c r="AA705" s="2" t="str">
        <f t="shared" si="175"/>
        <v>(31 downto 24)</v>
      </c>
      <c r="AB705" s="2" t="str">
        <f t="shared" si="176"/>
        <v>(23 downto 16)</v>
      </c>
      <c r="AC705" s="2" t="str">
        <f t="shared" si="177"/>
        <v>(15 downto 8)</v>
      </c>
      <c r="AD705" s="2" t="str">
        <f t="shared" si="178"/>
        <v>(7 downto 0)</v>
      </c>
      <c r="AE705" s="2" t="str">
        <f t="shared" si="179"/>
        <v>(31 downto 24)</v>
      </c>
      <c r="AF705" s="2" t="str">
        <f t="shared" si="180"/>
        <v>(23 downto 16)</v>
      </c>
      <c r="AG705" s="2" t="str">
        <f t="shared" si="181"/>
        <v>(15 downto 8)</v>
      </c>
      <c r="AH705" s="2" t="str">
        <f t="shared" si="182"/>
        <v>(7 downto 0)</v>
      </c>
    </row>
    <row r="706" spans="2:34" x14ac:dyDescent="0.25">
      <c r="B706" s="2" t="s">
        <v>1933</v>
      </c>
      <c r="C706" s="2" t="s">
        <v>141</v>
      </c>
      <c r="D706" s="2" t="s">
        <v>0</v>
      </c>
      <c r="E706" s="2" t="s">
        <v>130</v>
      </c>
      <c r="F706" s="2" t="s">
        <v>1934</v>
      </c>
      <c r="G706" s="2" t="s">
        <v>1935</v>
      </c>
      <c r="H706" s="2" t="s">
        <v>142</v>
      </c>
      <c r="I706" s="2" t="s">
        <v>41</v>
      </c>
      <c r="J706" s="2">
        <v>32</v>
      </c>
      <c r="K706" s="2" t="s">
        <v>132</v>
      </c>
      <c r="L706" s="2" t="s">
        <v>40</v>
      </c>
      <c r="P706" s="2" t="s">
        <v>48</v>
      </c>
      <c r="Q706" s="2">
        <f>INDEX(Tables!$C$4:$C$28,MATCH($P706,Tables!$B$4:$B$28,0))</f>
        <v>32</v>
      </c>
      <c r="R706" s="2">
        <f>INDEX(Tables!$D$4:$D$28,MATCH($P706,Tables!$B$4:$B$28,0))</f>
        <v>4</v>
      </c>
      <c r="S706" s="2">
        <f>$S705+$R705+INDEX(Tables!$N$5:$Q$8,MATCH(MOD($S705+$R705,4),Tables!$M$5:$M$8,0),MATCH($R706,Tables!$N$4:$Q$4,0))</f>
        <v>2640</v>
      </c>
      <c r="T706" s="2" t="str">
        <f t="shared" si="168"/>
        <v>0A50</v>
      </c>
      <c r="U706" s="2">
        <f t="shared" si="174"/>
        <v>660</v>
      </c>
      <c r="V706" s="2" t="str">
        <f t="shared" si="169"/>
        <v>294</v>
      </c>
      <c r="W706" s="2" t="str">
        <f t="shared" si="170"/>
        <v>X</v>
      </c>
      <c r="X706" s="2" t="str">
        <f t="shared" si="173"/>
        <v>X</v>
      </c>
      <c r="Y706" s="2" t="str">
        <f t="shared" si="171"/>
        <v>X</v>
      </c>
      <c r="Z706" s="2" t="str">
        <f t="shared" si="172"/>
        <v>X</v>
      </c>
      <c r="AA706" s="2" t="str">
        <f t="shared" si="175"/>
        <v>(31 downto 24)</v>
      </c>
      <c r="AB706" s="2" t="str">
        <f t="shared" si="176"/>
        <v>(23 downto 16)</v>
      </c>
      <c r="AC706" s="2" t="str">
        <f t="shared" si="177"/>
        <v>(15 downto 8)</v>
      </c>
      <c r="AD706" s="2" t="str">
        <f t="shared" si="178"/>
        <v>(7 downto 0)</v>
      </c>
      <c r="AE706" s="2" t="str">
        <f t="shared" si="179"/>
        <v>(31 downto 24)</v>
      </c>
      <c r="AF706" s="2" t="str">
        <f t="shared" si="180"/>
        <v>(23 downto 16)</v>
      </c>
      <c r="AG706" s="2" t="str">
        <f t="shared" si="181"/>
        <v>(15 downto 8)</v>
      </c>
      <c r="AH706" s="2" t="str">
        <f t="shared" si="182"/>
        <v>(7 downto 0)</v>
      </c>
    </row>
    <row r="707" spans="2:34" x14ac:dyDescent="0.25">
      <c r="B707" s="2" t="s">
        <v>1936</v>
      </c>
      <c r="C707" s="2" t="s">
        <v>141</v>
      </c>
      <c r="D707" s="2" t="s">
        <v>0</v>
      </c>
      <c r="E707" s="2" t="s">
        <v>130</v>
      </c>
      <c r="F707" s="2" t="s">
        <v>1937</v>
      </c>
      <c r="G707" s="2" t="s">
        <v>1938</v>
      </c>
      <c r="H707" s="2" t="s">
        <v>142</v>
      </c>
      <c r="I707" s="2" t="s">
        <v>41</v>
      </c>
      <c r="J707" s="2">
        <v>32</v>
      </c>
      <c r="K707" s="2" t="s">
        <v>132</v>
      </c>
      <c r="L707" s="2" t="s">
        <v>40</v>
      </c>
      <c r="P707" s="2" t="s">
        <v>48</v>
      </c>
      <c r="Q707" s="2">
        <f>INDEX(Tables!$C$4:$C$28,MATCH($P707,Tables!$B$4:$B$28,0))</f>
        <v>32</v>
      </c>
      <c r="R707" s="2">
        <f>INDEX(Tables!$D$4:$D$28,MATCH($P707,Tables!$B$4:$B$28,0))</f>
        <v>4</v>
      </c>
      <c r="S707" s="2">
        <f>$S706+$R706+INDEX(Tables!$N$5:$Q$8,MATCH(MOD($S706+$R706,4),Tables!$M$5:$M$8,0),MATCH($R707,Tables!$N$4:$Q$4,0))</f>
        <v>2644</v>
      </c>
      <c r="T707" s="2" t="str">
        <f t="shared" si="168"/>
        <v>0A54</v>
      </c>
      <c r="U707" s="2">
        <f t="shared" si="174"/>
        <v>661</v>
      </c>
      <c r="V707" s="2" t="str">
        <f t="shared" si="169"/>
        <v>295</v>
      </c>
      <c r="W707" s="2" t="str">
        <f t="shared" si="170"/>
        <v>X</v>
      </c>
      <c r="X707" s="2" t="str">
        <f t="shared" si="173"/>
        <v>X</v>
      </c>
      <c r="Y707" s="2" t="str">
        <f t="shared" si="171"/>
        <v>X</v>
      </c>
      <c r="Z707" s="2" t="str">
        <f t="shared" si="172"/>
        <v>X</v>
      </c>
      <c r="AA707" s="2" t="str">
        <f t="shared" si="175"/>
        <v>(31 downto 24)</v>
      </c>
      <c r="AB707" s="2" t="str">
        <f t="shared" si="176"/>
        <v>(23 downto 16)</v>
      </c>
      <c r="AC707" s="2" t="str">
        <f t="shared" si="177"/>
        <v>(15 downto 8)</v>
      </c>
      <c r="AD707" s="2" t="str">
        <f t="shared" si="178"/>
        <v>(7 downto 0)</v>
      </c>
      <c r="AE707" s="2" t="str">
        <f t="shared" si="179"/>
        <v>(31 downto 24)</v>
      </c>
      <c r="AF707" s="2" t="str">
        <f t="shared" si="180"/>
        <v>(23 downto 16)</v>
      </c>
      <c r="AG707" s="2" t="str">
        <f t="shared" si="181"/>
        <v>(15 downto 8)</v>
      </c>
      <c r="AH707" s="2" t="str">
        <f t="shared" si="182"/>
        <v>(7 downto 0)</v>
      </c>
    </row>
    <row r="708" spans="2:34" x14ac:dyDescent="0.25">
      <c r="B708" s="2" t="s">
        <v>1939</v>
      </c>
      <c r="C708" s="2" t="s">
        <v>141</v>
      </c>
      <c r="D708" s="2" t="s">
        <v>0</v>
      </c>
      <c r="E708" s="2" t="s">
        <v>130</v>
      </c>
      <c r="F708" s="2" t="s">
        <v>1940</v>
      </c>
      <c r="G708" s="2" t="s">
        <v>1941</v>
      </c>
      <c r="H708" s="2" t="s">
        <v>142</v>
      </c>
      <c r="I708" s="2" t="s">
        <v>41</v>
      </c>
      <c r="J708" s="2">
        <v>32</v>
      </c>
      <c r="K708" s="2" t="s">
        <v>132</v>
      </c>
      <c r="L708" s="2" t="s">
        <v>40</v>
      </c>
      <c r="P708" s="2" t="s">
        <v>48</v>
      </c>
      <c r="Q708" s="2">
        <f>INDEX(Tables!$C$4:$C$28,MATCH($P708,Tables!$B$4:$B$28,0))</f>
        <v>32</v>
      </c>
      <c r="R708" s="2">
        <f>INDEX(Tables!$D$4:$D$28,MATCH($P708,Tables!$B$4:$B$28,0))</f>
        <v>4</v>
      </c>
      <c r="S708" s="2">
        <f>$S707+$R707+INDEX(Tables!$N$5:$Q$8,MATCH(MOD($S707+$R707,4),Tables!$M$5:$M$8,0),MATCH($R708,Tables!$N$4:$Q$4,0))</f>
        <v>2648</v>
      </c>
      <c r="T708" s="2" t="str">
        <f t="shared" si="168"/>
        <v>0A58</v>
      </c>
      <c r="U708" s="2">
        <f t="shared" si="174"/>
        <v>662</v>
      </c>
      <c r="V708" s="2" t="str">
        <f t="shared" si="169"/>
        <v>296</v>
      </c>
      <c r="W708" s="2" t="str">
        <f t="shared" si="170"/>
        <v>X</v>
      </c>
      <c r="X708" s="2" t="str">
        <f t="shared" si="173"/>
        <v>X</v>
      </c>
      <c r="Y708" s="2" t="str">
        <f t="shared" si="171"/>
        <v>X</v>
      </c>
      <c r="Z708" s="2" t="str">
        <f t="shared" si="172"/>
        <v>X</v>
      </c>
      <c r="AA708" s="2" t="str">
        <f t="shared" si="175"/>
        <v>(31 downto 24)</v>
      </c>
      <c r="AB708" s="2" t="str">
        <f t="shared" si="176"/>
        <v>(23 downto 16)</v>
      </c>
      <c r="AC708" s="2" t="str">
        <f t="shared" si="177"/>
        <v>(15 downto 8)</v>
      </c>
      <c r="AD708" s="2" t="str">
        <f t="shared" si="178"/>
        <v>(7 downto 0)</v>
      </c>
      <c r="AE708" s="2" t="str">
        <f t="shared" si="179"/>
        <v>(31 downto 24)</v>
      </c>
      <c r="AF708" s="2" t="str">
        <f t="shared" si="180"/>
        <v>(23 downto 16)</v>
      </c>
      <c r="AG708" s="2" t="str">
        <f t="shared" si="181"/>
        <v>(15 downto 8)</v>
      </c>
      <c r="AH708" s="2" t="str">
        <f t="shared" si="182"/>
        <v>(7 downto 0)</v>
      </c>
    </row>
    <row r="709" spans="2:34" x14ac:dyDescent="0.25">
      <c r="B709" s="2" t="s">
        <v>1942</v>
      </c>
      <c r="C709" s="2" t="s">
        <v>141</v>
      </c>
      <c r="D709" s="2" t="s">
        <v>0</v>
      </c>
      <c r="E709" s="2" t="s">
        <v>130</v>
      </c>
      <c r="F709" s="2" t="s">
        <v>1943</v>
      </c>
      <c r="G709" s="2" t="s">
        <v>1944</v>
      </c>
      <c r="H709" s="2" t="s">
        <v>142</v>
      </c>
      <c r="I709" s="2" t="s">
        <v>41</v>
      </c>
      <c r="J709" s="2">
        <v>32</v>
      </c>
      <c r="K709" s="2" t="s">
        <v>132</v>
      </c>
      <c r="L709" s="2" t="s">
        <v>40</v>
      </c>
      <c r="P709" s="2" t="s">
        <v>48</v>
      </c>
      <c r="Q709" s="2">
        <f>INDEX(Tables!$C$4:$C$28,MATCH($P709,Tables!$B$4:$B$28,0))</f>
        <v>32</v>
      </c>
      <c r="R709" s="2">
        <f>INDEX(Tables!$D$4:$D$28,MATCH($P709,Tables!$B$4:$B$28,0))</f>
        <v>4</v>
      </c>
      <c r="S709" s="2">
        <f>$S708+$R708+INDEX(Tables!$N$5:$Q$8,MATCH(MOD($S708+$R708,4),Tables!$M$5:$M$8,0),MATCH($R709,Tables!$N$4:$Q$4,0))</f>
        <v>2652</v>
      </c>
      <c r="T709" s="2" t="str">
        <f t="shared" ref="T709:T772" si="183">DEC2HEX($S709,4)</f>
        <v>0A5C</v>
      </c>
      <c r="U709" s="2">
        <f t="shared" si="174"/>
        <v>663</v>
      </c>
      <c r="V709" s="2" t="str">
        <f t="shared" ref="V709:V772" si="184">DEC2HEX($U709,3)</f>
        <v>297</v>
      </c>
      <c r="W709" s="2" t="str">
        <f t="shared" ref="W709:W772" si="185">IF(MOD($S709,4)=3,"X",IF(AND(MOD($S709,4)=2,$J709&gt;8),"X",IF(AND(MOD($S709,4)=1,$J709&gt;16),"X",IF(AND(MOD($S709,4)=0,$J709&gt;24),"X",""))))</f>
        <v>X</v>
      </c>
      <c r="X709" s="2" t="str">
        <f t="shared" si="173"/>
        <v>X</v>
      </c>
      <c r="Y709" s="2" t="str">
        <f t="shared" ref="Y709:Y772" si="186">IF(MOD($S709,4)=1,"X",IF(AND(MOD($S709,4)=0,$J709&gt;8),"X",""))</f>
        <v>X</v>
      </c>
      <c r="Z709" s="2" t="str">
        <f t="shared" ref="Z709:Z772" si="187">IF(MOD($S709,4)=0,"X","")</f>
        <v>X</v>
      </c>
      <c r="AA709" s="2" t="str">
        <f t="shared" si="175"/>
        <v>(31 downto 24)</v>
      </c>
      <c r="AB709" s="2" t="str">
        <f t="shared" si="176"/>
        <v>(23 downto 16)</v>
      </c>
      <c r="AC709" s="2" t="str">
        <f t="shared" si="177"/>
        <v>(15 downto 8)</v>
      </c>
      <c r="AD709" s="2" t="str">
        <f t="shared" si="178"/>
        <v>(7 downto 0)</v>
      </c>
      <c r="AE709" s="2" t="str">
        <f t="shared" si="179"/>
        <v>(31 downto 24)</v>
      </c>
      <c r="AF709" s="2" t="str">
        <f t="shared" si="180"/>
        <v>(23 downto 16)</v>
      </c>
      <c r="AG709" s="2" t="str">
        <f t="shared" si="181"/>
        <v>(15 downto 8)</v>
      </c>
      <c r="AH709" s="2" t="str">
        <f t="shared" si="182"/>
        <v>(7 downto 0)</v>
      </c>
    </row>
    <row r="710" spans="2:34" x14ac:dyDescent="0.25">
      <c r="B710" s="2" t="s">
        <v>1945</v>
      </c>
      <c r="C710" s="2" t="s">
        <v>141</v>
      </c>
      <c r="D710" s="2" t="s">
        <v>0</v>
      </c>
      <c r="E710" s="2" t="s">
        <v>130</v>
      </c>
      <c r="F710" s="2" t="s">
        <v>1946</v>
      </c>
      <c r="G710" s="2" t="s">
        <v>1947</v>
      </c>
      <c r="H710" s="2" t="s">
        <v>142</v>
      </c>
      <c r="I710" s="2" t="s">
        <v>41</v>
      </c>
      <c r="J710" s="2">
        <v>32</v>
      </c>
      <c r="K710" s="2" t="s">
        <v>132</v>
      </c>
      <c r="L710" s="2" t="s">
        <v>40</v>
      </c>
      <c r="P710" s="2" t="s">
        <v>48</v>
      </c>
      <c r="Q710" s="2">
        <f>INDEX(Tables!$C$4:$C$28,MATCH($P710,Tables!$B$4:$B$28,0))</f>
        <v>32</v>
      </c>
      <c r="R710" s="2">
        <f>INDEX(Tables!$D$4:$D$28,MATCH($P710,Tables!$B$4:$B$28,0))</f>
        <v>4</v>
      </c>
      <c r="S710" s="2">
        <f>$S709+$R709+INDEX(Tables!$N$5:$Q$8,MATCH(MOD($S709+$R709,4),Tables!$M$5:$M$8,0),MATCH($R710,Tables!$N$4:$Q$4,0))</f>
        <v>2656</v>
      </c>
      <c r="T710" s="2" t="str">
        <f t="shared" si="183"/>
        <v>0A60</v>
      </c>
      <c r="U710" s="2">
        <f t="shared" si="174"/>
        <v>664</v>
      </c>
      <c r="V710" s="2" t="str">
        <f t="shared" si="184"/>
        <v>298</v>
      </c>
      <c r="W710" s="2" t="str">
        <f t="shared" si="185"/>
        <v>X</v>
      </c>
      <c r="X710" s="2" t="str">
        <f t="shared" ref="X710:X773" si="188">IF(MOD($S710,4)=2,"X",IF(AND(MOD($S710,4)=1,$J710&gt;8),"X",IF(AND(MOD($S710,4)=0,$J710&gt;16),"X","")))</f>
        <v>X</v>
      </c>
      <c r="Y710" s="2" t="str">
        <f t="shared" si="186"/>
        <v>X</v>
      </c>
      <c r="Z710" s="2" t="str">
        <f t="shared" si="187"/>
        <v>X</v>
      </c>
      <c r="AA710" s="2" t="str">
        <f t="shared" si="175"/>
        <v>(31 downto 24)</v>
      </c>
      <c r="AB710" s="2" t="str">
        <f t="shared" si="176"/>
        <v>(23 downto 16)</v>
      </c>
      <c r="AC710" s="2" t="str">
        <f t="shared" si="177"/>
        <v>(15 downto 8)</v>
      </c>
      <c r="AD710" s="2" t="str">
        <f t="shared" si="178"/>
        <v>(7 downto 0)</v>
      </c>
      <c r="AE710" s="2" t="str">
        <f t="shared" si="179"/>
        <v>(31 downto 24)</v>
      </c>
      <c r="AF710" s="2" t="str">
        <f t="shared" si="180"/>
        <v>(23 downto 16)</v>
      </c>
      <c r="AG710" s="2" t="str">
        <f t="shared" si="181"/>
        <v>(15 downto 8)</v>
      </c>
      <c r="AH710" s="2" t="str">
        <f t="shared" si="182"/>
        <v>(7 downto 0)</v>
      </c>
    </row>
    <row r="711" spans="2:34" x14ac:dyDescent="0.25">
      <c r="B711" s="2" t="s">
        <v>1948</v>
      </c>
      <c r="C711" s="2" t="s">
        <v>141</v>
      </c>
      <c r="D711" s="2" t="s">
        <v>0</v>
      </c>
      <c r="E711" s="2" t="s">
        <v>130</v>
      </c>
      <c r="F711" s="2" t="s">
        <v>1949</v>
      </c>
      <c r="G711" s="2" t="s">
        <v>1950</v>
      </c>
      <c r="H711" s="2" t="s">
        <v>142</v>
      </c>
      <c r="I711" s="2" t="s">
        <v>41</v>
      </c>
      <c r="J711" s="2">
        <v>32</v>
      </c>
      <c r="K711" s="2" t="s">
        <v>132</v>
      </c>
      <c r="L711" s="2" t="s">
        <v>40</v>
      </c>
      <c r="P711" s="2" t="s">
        <v>48</v>
      </c>
      <c r="Q711" s="2">
        <f>INDEX(Tables!$C$4:$C$28,MATCH($P711,Tables!$B$4:$B$28,0))</f>
        <v>32</v>
      </c>
      <c r="R711" s="2">
        <f>INDEX(Tables!$D$4:$D$28,MATCH($P711,Tables!$B$4:$B$28,0))</f>
        <v>4</v>
      </c>
      <c r="S711" s="2">
        <f>$S710+$R710+INDEX(Tables!$N$5:$Q$8,MATCH(MOD($S710+$R710,4),Tables!$M$5:$M$8,0),MATCH($R711,Tables!$N$4:$Q$4,0))</f>
        <v>2660</v>
      </c>
      <c r="T711" s="2" t="str">
        <f t="shared" si="183"/>
        <v>0A64</v>
      </c>
      <c r="U711" s="2">
        <f t="shared" si="174"/>
        <v>665</v>
      </c>
      <c r="V711" s="2" t="str">
        <f t="shared" si="184"/>
        <v>299</v>
      </c>
      <c r="W711" s="2" t="str">
        <f t="shared" si="185"/>
        <v>X</v>
      </c>
      <c r="X711" s="2" t="str">
        <f t="shared" si="188"/>
        <v>X</v>
      </c>
      <c r="Y711" s="2" t="str">
        <f t="shared" si="186"/>
        <v>X</v>
      </c>
      <c r="Z711" s="2" t="str">
        <f t="shared" si="187"/>
        <v>X</v>
      </c>
      <c r="AA711" s="2" t="str">
        <f t="shared" si="175"/>
        <v>(31 downto 24)</v>
      </c>
      <c r="AB711" s="2" t="str">
        <f t="shared" si="176"/>
        <v>(23 downto 16)</v>
      </c>
      <c r="AC711" s="2" t="str">
        <f t="shared" si="177"/>
        <v>(15 downto 8)</v>
      </c>
      <c r="AD711" s="2" t="str">
        <f t="shared" si="178"/>
        <v>(7 downto 0)</v>
      </c>
      <c r="AE711" s="2" t="str">
        <f t="shared" si="179"/>
        <v>(31 downto 24)</v>
      </c>
      <c r="AF711" s="2" t="str">
        <f t="shared" si="180"/>
        <v>(23 downto 16)</v>
      </c>
      <c r="AG711" s="2" t="str">
        <f t="shared" si="181"/>
        <v>(15 downto 8)</v>
      </c>
      <c r="AH711" s="2" t="str">
        <f t="shared" si="182"/>
        <v>(7 downto 0)</v>
      </c>
    </row>
    <row r="712" spans="2:34" x14ac:dyDescent="0.25">
      <c r="B712" s="2" t="s">
        <v>1951</v>
      </c>
      <c r="C712" s="2" t="s">
        <v>141</v>
      </c>
      <c r="D712" s="2" t="s">
        <v>0</v>
      </c>
      <c r="E712" s="2" t="s">
        <v>130</v>
      </c>
      <c r="F712" s="2" t="s">
        <v>1952</v>
      </c>
      <c r="G712" s="2" t="s">
        <v>1953</v>
      </c>
      <c r="H712" s="2" t="s">
        <v>142</v>
      </c>
      <c r="I712" s="2" t="s">
        <v>41</v>
      </c>
      <c r="J712" s="2">
        <v>32</v>
      </c>
      <c r="K712" s="2" t="s">
        <v>132</v>
      </c>
      <c r="L712" s="2" t="s">
        <v>40</v>
      </c>
      <c r="P712" s="2" t="s">
        <v>48</v>
      </c>
      <c r="Q712" s="2">
        <f>INDEX(Tables!$C$4:$C$28,MATCH($P712,Tables!$B$4:$B$28,0))</f>
        <v>32</v>
      </c>
      <c r="R712" s="2">
        <f>INDEX(Tables!$D$4:$D$28,MATCH($P712,Tables!$B$4:$B$28,0))</f>
        <v>4</v>
      </c>
      <c r="S712" s="2">
        <f>$S711+$R711+INDEX(Tables!$N$5:$Q$8,MATCH(MOD($S711+$R711,4),Tables!$M$5:$M$8,0),MATCH($R712,Tables!$N$4:$Q$4,0))</f>
        <v>2664</v>
      </c>
      <c r="T712" s="2" t="str">
        <f t="shared" si="183"/>
        <v>0A68</v>
      </c>
      <c r="U712" s="2">
        <f t="shared" si="174"/>
        <v>666</v>
      </c>
      <c r="V712" s="2" t="str">
        <f t="shared" si="184"/>
        <v>29A</v>
      </c>
      <c r="W712" s="2" t="str">
        <f t="shared" si="185"/>
        <v>X</v>
      </c>
      <c r="X712" s="2" t="str">
        <f t="shared" si="188"/>
        <v>X</v>
      </c>
      <c r="Y712" s="2" t="str">
        <f t="shared" si="186"/>
        <v>X</v>
      </c>
      <c r="Z712" s="2" t="str">
        <f t="shared" si="187"/>
        <v>X</v>
      </c>
      <c r="AA712" s="2" t="str">
        <f t="shared" si="175"/>
        <v>(31 downto 24)</v>
      </c>
      <c r="AB712" s="2" t="str">
        <f t="shared" si="176"/>
        <v>(23 downto 16)</v>
      </c>
      <c r="AC712" s="2" t="str">
        <f t="shared" si="177"/>
        <v>(15 downto 8)</v>
      </c>
      <c r="AD712" s="2" t="str">
        <f t="shared" si="178"/>
        <v>(7 downto 0)</v>
      </c>
      <c r="AE712" s="2" t="str">
        <f t="shared" si="179"/>
        <v>(31 downto 24)</v>
      </c>
      <c r="AF712" s="2" t="str">
        <f t="shared" si="180"/>
        <v>(23 downto 16)</v>
      </c>
      <c r="AG712" s="2" t="str">
        <f t="shared" si="181"/>
        <v>(15 downto 8)</v>
      </c>
      <c r="AH712" s="2" t="str">
        <f t="shared" si="182"/>
        <v>(7 downto 0)</v>
      </c>
    </row>
    <row r="713" spans="2:34" x14ac:dyDescent="0.25">
      <c r="B713" s="2" t="s">
        <v>1954</v>
      </c>
      <c r="C713" s="2" t="s">
        <v>141</v>
      </c>
      <c r="D713" s="2" t="s">
        <v>0</v>
      </c>
      <c r="E713" s="2" t="s">
        <v>130</v>
      </c>
      <c r="F713" s="2" t="s">
        <v>1955</v>
      </c>
      <c r="G713" s="2" t="s">
        <v>1956</v>
      </c>
      <c r="H713" s="2" t="s">
        <v>142</v>
      </c>
      <c r="I713" s="2" t="s">
        <v>41</v>
      </c>
      <c r="J713" s="2">
        <v>32</v>
      </c>
      <c r="K713" s="2" t="s">
        <v>132</v>
      </c>
      <c r="L713" s="2" t="s">
        <v>40</v>
      </c>
      <c r="P713" s="2" t="s">
        <v>48</v>
      </c>
      <c r="Q713" s="2">
        <f>INDEX(Tables!$C$4:$C$28,MATCH($P713,Tables!$B$4:$B$28,0))</f>
        <v>32</v>
      </c>
      <c r="R713" s="2">
        <f>INDEX(Tables!$D$4:$D$28,MATCH($P713,Tables!$B$4:$B$28,0))</f>
        <v>4</v>
      </c>
      <c r="S713" s="2">
        <f>$S712+$R712+INDEX(Tables!$N$5:$Q$8,MATCH(MOD($S712+$R712,4),Tables!$M$5:$M$8,0),MATCH($R713,Tables!$N$4:$Q$4,0))</f>
        <v>2668</v>
      </c>
      <c r="T713" s="2" t="str">
        <f t="shared" si="183"/>
        <v>0A6C</v>
      </c>
      <c r="U713" s="2">
        <f t="shared" ref="U713:U776" si="189">ROUNDDOWN(S713/4,0)</f>
        <v>667</v>
      </c>
      <c r="V713" s="2" t="str">
        <f t="shared" si="184"/>
        <v>29B</v>
      </c>
      <c r="W713" s="2" t="str">
        <f t="shared" si="185"/>
        <v>X</v>
      </c>
      <c r="X713" s="2" t="str">
        <f t="shared" si="188"/>
        <v>X</v>
      </c>
      <c r="Y713" s="2" t="str">
        <f t="shared" si="186"/>
        <v>X</v>
      </c>
      <c r="Z713" s="2" t="str">
        <f t="shared" si="187"/>
        <v>X</v>
      </c>
      <c r="AA713" s="2" t="str">
        <f t="shared" ref="AA713:AA776" si="190">IF(W713="","",CONCATENATE("(",IF(($J713-COUNTIF($X713:$Z713,"X")*8)=1,"24)",CONCATENATE(IF(($J713-COUNTIF($X713:$Z713,"X")*8)&gt;=8,32,($J713-COUNTIF($X713:$Z713,"X")*8)+24)-1," downto 24)"))))</f>
        <v>(31 downto 24)</v>
      </c>
      <c r="AB713" s="2" t="str">
        <f t="shared" ref="AB713:AB776" si="191">IF(X713="","",CONCATENATE("(",IF(($J713-COUNTIF($Y713:$Z713,"X")*8)=1,"16)",CONCATENATE(IF(($J713-COUNTIF($Y713:$Z713,"X")*8)&gt;=8,24,($J713-COUNTIF($Y713:$Z713,"X")*8)+16)-1," downto 16)"))))</f>
        <v>(23 downto 16)</v>
      </c>
      <c r="AC713" s="2" t="str">
        <f t="shared" ref="AC713:AC776" si="192">IF(Y713="","",CONCATENATE("(",IF(($J713-COUNTIF($Z713,"X")*8)=1,"8)",CONCATENATE(IF(($J713-COUNTIF($Z713,"X")*8)&gt;=8,16,($J713-COUNTIF($Z713,"X")*8)+8)-1," downto 8)"))))</f>
        <v>(15 downto 8)</v>
      </c>
      <c r="AD713" s="2" t="str">
        <f t="shared" ref="AD713:AD776" si="193">IF(Z713="","",CONCATENATE("(",IF($J713=1,"0)",CONCATENATE(IF($J713&gt;=8,8,$J713)-1," downto 0)"))))</f>
        <v>(7 downto 0)</v>
      </c>
      <c r="AE713" s="2" t="str">
        <f t="shared" ref="AE713:AE776" si="194">IF(W713="","",IF($J713&lt;=8,"",IF(($J713-COUNTIF($X713:$Z713,"X")*8)=1,CONCATENATE("(",($J713-1),")"),CONCATENATE("(",IF(($J713-COUNTIF($X713:$Z713,"X")*8)&gt;=8,COUNTIF($X713:$Z713,"X")*8+7,$J713-COUNTIF($X713:$Z713,"X")*8-1+COUNTIF($X713:$Z713,"X")*8)," downto ",COUNTIF($X713:$Z713,"X")*8,")"))))</f>
        <v>(31 downto 24)</v>
      </c>
      <c r="AF713" s="2" t="str">
        <f t="shared" ref="AF713:AF776" si="195">IF(X713="","",IF($J713&lt;=8,"",IF(($J713-COUNTIF($Y713:$Z713,"X")*8)=1,CONCATENATE("(",($J713-1),")"),CONCATENATE("(",IF(($J713-COUNTIF($Y713:$Z713,"X")*8)&gt;=8,COUNTIF($Y713:$Z713,"X")*8+7,$J713-COUNTIF($Y713:$Z713,"X")*8-1+COUNTIF($Y713:$Z713,"X")*8)," downto ",COUNTIF($Y713:$Z713,"X")*8,")"))))</f>
        <v>(23 downto 16)</v>
      </c>
      <c r="AG713" s="2" t="str">
        <f t="shared" ref="AG713:AG776" si="196">IF(Y713="","",IF($J713&lt;=8,"",IF(($J713-COUNTIF($Z713,"X")*8)=1,CONCATENATE("(",($J713-1),")"),CONCATENATE("(",IF(($J713-COUNTIF($Z713,"X")*8)&gt;=8,COUNTIF($Z713,"X")*8+7,$J713-COUNTIF($Z713,"X")*8-1+COUNTIF($Z713,"X")*8)," downto ",COUNTIF($Z713,"X")*8,")"))))</f>
        <v>(15 downto 8)</v>
      </c>
      <c r="AH713" s="2" t="str">
        <f t="shared" ref="AH713:AH776" si="197">IF(Z713="","",IF($J713&lt;=8,"",CONCATENATE("(",IF($J713&gt;=8,7,$J713-1)," downto ",0,")")))</f>
        <v>(7 downto 0)</v>
      </c>
    </row>
    <row r="714" spans="2:34" x14ac:dyDescent="0.25">
      <c r="B714" s="2" t="s">
        <v>1957</v>
      </c>
      <c r="C714" s="2" t="s">
        <v>141</v>
      </c>
      <c r="D714" s="2" t="s">
        <v>0</v>
      </c>
      <c r="E714" s="2" t="s">
        <v>130</v>
      </c>
      <c r="F714" s="2" t="s">
        <v>1958</v>
      </c>
      <c r="G714" s="2" t="s">
        <v>1959</v>
      </c>
      <c r="H714" s="2" t="s">
        <v>142</v>
      </c>
      <c r="I714" s="2" t="s">
        <v>41</v>
      </c>
      <c r="J714" s="2">
        <v>32</v>
      </c>
      <c r="K714" s="2" t="s">
        <v>132</v>
      </c>
      <c r="L714" s="2" t="s">
        <v>40</v>
      </c>
      <c r="P714" s="2" t="s">
        <v>48</v>
      </c>
      <c r="Q714" s="2">
        <f>INDEX(Tables!$C$4:$C$28,MATCH($P714,Tables!$B$4:$B$28,0))</f>
        <v>32</v>
      </c>
      <c r="R714" s="2">
        <f>INDEX(Tables!$D$4:$D$28,MATCH($P714,Tables!$B$4:$B$28,0))</f>
        <v>4</v>
      </c>
      <c r="S714" s="2">
        <f>$S713+$R713+INDEX(Tables!$N$5:$Q$8,MATCH(MOD($S713+$R713,4),Tables!$M$5:$M$8,0),MATCH($R714,Tables!$N$4:$Q$4,0))</f>
        <v>2672</v>
      </c>
      <c r="T714" s="2" t="str">
        <f t="shared" si="183"/>
        <v>0A70</v>
      </c>
      <c r="U714" s="2">
        <f t="shared" si="189"/>
        <v>668</v>
      </c>
      <c r="V714" s="2" t="str">
        <f t="shared" si="184"/>
        <v>29C</v>
      </c>
      <c r="W714" s="2" t="str">
        <f t="shared" si="185"/>
        <v>X</v>
      </c>
      <c r="X714" s="2" t="str">
        <f t="shared" si="188"/>
        <v>X</v>
      </c>
      <c r="Y714" s="2" t="str">
        <f t="shared" si="186"/>
        <v>X</v>
      </c>
      <c r="Z714" s="2" t="str">
        <f t="shared" si="187"/>
        <v>X</v>
      </c>
      <c r="AA714" s="2" t="str">
        <f t="shared" si="190"/>
        <v>(31 downto 24)</v>
      </c>
      <c r="AB714" s="2" t="str">
        <f t="shared" si="191"/>
        <v>(23 downto 16)</v>
      </c>
      <c r="AC714" s="2" t="str">
        <f t="shared" si="192"/>
        <v>(15 downto 8)</v>
      </c>
      <c r="AD714" s="2" t="str">
        <f t="shared" si="193"/>
        <v>(7 downto 0)</v>
      </c>
      <c r="AE714" s="2" t="str">
        <f t="shared" si="194"/>
        <v>(31 downto 24)</v>
      </c>
      <c r="AF714" s="2" t="str">
        <f t="shared" si="195"/>
        <v>(23 downto 16)</v>
      </c>
      <c r="AG714" s="2" t="str">
        <f t="shared" si="196"/>
        <v>(15 downto 8)</v>
      </c>
      <c r="AH714" s="2" t="str">
        <f t="shared" si="197"/>
        <v>(7 downto 0)</v>
      </c>
    </row>
    <row r="715" spans="2:34" x14ac:dyDescent="0.25">
      <c r="B715" s="2" t="s">
        <v>1960</v>
      </c>
      <c r="C715" s="2" t="s">
        <v>141</v>
      </c>
      <c r="D715" s="2" t="s">
        <v>0</v>
      </c>
      <c r="E715" s="2" t="s">
        <v>130</v>
      </c>
      <c r="F715" s="2" t="s">
        <v>1961</v>
      </c>
      <c r="G715" s="2" t="s">
        <v>1962</v>
      </c>
      <c r="H715" s="2" t="s">
        <v>142</v>
      </c>
      <c r="I715" s="2" t="s">
        <v>41</v>
      </c>
      <c r="J715" s="2">
        <v>32</v>
      </c>
      <c r="K715" s="2" t="s">
        <v>132</v>
      </c>
      <c r="L715" s="2" t="s">
        <v>40</v>
      </c>
      <c r="P715" s="2" t="s">
        <v>48</v>
      </c>
      <c r="Q715" s="2">
        <f>INDEX(Tables!$C$4:$C$28,MATCH($P715,Tables!$B$4:$B$28,0))</f>
        <v>32</v>
      </c>
      <c r="R715" s="2">
        <f>INDEX(Tables!$D$4:$D$28,MATCH($P715,Tables!$B$4:$B$28,0))</f>
        <v>4</v>
      </c>
      <c r="S715" s="2">
        <f>$S714+$R714+INDEX(Tables!$N$5:$Q$8,MATCH(MOD($S714+$R714,4),Tables!$M$5:$M$8,0),MATCH($R715,Tables!$N$4:$Q$4,0))</f>
        <v>2676</v>
      </c>
      <c r="T715" s="2" t="str">
        <f t="shared" si="183"/>
        <v>0A74</v>
      </c>
      <c r="U715" s="2">
        <f t="shared" si="189"/>
        <v>669</v>
      </c>
      <c r="V715" s="2" t="str">
        <f t="shared" si="184"/>
        <v>29D</v>
      </c>
      <c r="W715" s="2" t="str">
        <f t="shared" si="185"/>
        <v>X</v>
      </c>
      <c r="X715" s="2" t="str">
        <f t="shared" si="188"/>
        <v>X</v>
      </c>
      <c r="Y715" s="2" t="str">
        <f t="shared" si="186"/>
        <v>X</v>
      </c>
      <c r="Z715" s="2" t="str">
        <f t="shared" si="187"/>
        <v>X</v>
      </c>
      <c r="AA715" s="2" t="str">
        <f t="shared" si="190"/>
        <v>(31 downto 24)</v>
      </c>
      <c r="AB715" s="2" t="str">
        <f t="shared" si="191"/>
        <v>(23 downto 16)</v>
      </c>
      <c r="AC715" s="2" t="str">
        <f t="shared" si="192"/>
        <v>(15 downto 8)</v>
      </c>
      <c r="AD715" s="2" t="str">
        <f t="shared" si="193"/>
        <v>(7 downto 0)</v>
      </c>
      <c r="AE715" s="2" t="str">
        <f t="shared" si="194"/>
        <v>(31 downto 24)</v>
      </c>
      <c r="AF715" s="2" t="str">
        <f t="shared" si="195"/>
        <v>(23 downto 16)</v>
      </c>
      <c r="AG715" s="2" t="str">
        <f t="shared" si="196"/>
        <v>(15 downto 8)</v>
      </c>
      <c r="AH715" s="2" t="str">
        <f t="shared" si="197"/>
        <v>(7 downto 0)</v>
      </c>
    </row>
    <row r="716" spans="2:34" x14ac:dyDescent="0.25">
      <c r="B716" s="2" t="s">
        <v>1963</v>
      </c>
      <c r="C716" s="2" t="s">
        <v>141</v>
      </c>
      <c r="D716" s="2" t="s">
        <v>0</v>
      </c>
      <c r="E716" s="2" t="s">
        <v>130</v>
      </c>
      <c r="F716" s="2" t="s">
        <v>1964</v>
      </c>
      <c r="G716" s="2" t="s">
        <v>1965</v>
      </c>
      <c r="H716" s="2" t="s">
        <v>142</v>
      </c>
      <c r="I716" s="2" t="s">
        <v>41</v>
      </c>
      <c r="J716" s="2">
        <v>32</v>
      </c>
      <c r="K716" s="2" t="s">
        <v>132</v>
      </c>
      <c r="L716" s="2" t="s">
        <v>40</v>
      </c>
      <c r="P716" s="2" t="s">
        <v>48</v>
      </c>
      <c r="Q716" s="2">
        <f>INDEX(Tables!$C$4:$C$28,MATCH($P716,Tables!$B$4:$B$28,0))</f>
        <v>32</v>
      </c>
      <c r="R716" s="2">
        <f>INDEX(Tables!$D$4:$D$28,MATCH($P716,Tables!$B$4:$B$28,0))</f>
        <v>4</v>
      </c>
      <c r="S716" s="2">
        <f>$S715+$R715+INDEX(Tables!$N$5:$Q$8,MATCH(MOD($S715+$R715,4),Tables!$M$5:$M$8,0),MATCH($R716,Tables!$N$4:$Q$4,0))</f>
        <v>2680</v>
      </c>
      <c r="T716" s="2" t="str">
        <f t="shared" si="183"/>
        <v>0A78</v>
      </c>
      <c r="U716" s="2">
        <f t="shared" si="189"/>
        <v>670</v>
      </c>
      <c r="V716" s="2" t="str">
        <f t="shared" si="184"/>
        <v>29E</v>
      </c>
      <c r="W716" s="2" t="str">
        <f t="shared" si="185"/>
        <v>X</v>
      </c>
      <c r="X716" s="2" t="str">
        <f t="shared" si="188"/>
        <v>X</v>
      </c>
      <c r="Y716" s="2" t="str">
        <f t="shared" si="186"/>
        <v>X</v>
      </c>
      <c r="Z716" s="2" t="str">
        <f t="shared" si="187"/>
        <v>X</v>
      </c>
      <c r="AA716" s="2" t="str">
        <f t="shared" si="190"/>
        <v>(31 downto 24)</v>
      </c>
      <c r="AB716" s="2" t="str">
        <f t="shared" si="191"/>
        <v>(23 downto 16)</v>
      </c>
      <c r="AC716" s="2" t="str">
        <f t="shared" si="192"/>
        <v>(15 downto 8)</v>
      </c>
      <c r="AD716" s="2" t="str">
        <f t="shared" si="193"/>
        <v>(7 downto 0)</v>
      </c>
      <c r="AE716" s="2" t="str">
        <f t="shared" si="194"/>
        <v>(31 downto 24)</v>
      </c>
      <c r="AF716" s="2" t="str">
        <f t="shared" si="195"/>
        <v>(23 downto 16)</v>
      </c>
      <c r="AG716" s="2" t="str">
        <f t="shared" si="196"/>
        <v>(15 downto 8)</v>
      </c>
      <c r="AH716" s="2" t="str">
        <f t="shared" si="197"/>
        <v>(7 downto 0)</v>
      </c>
    </row>
    <row r="717" spans="2:34" x14ac:dyDescent="0.25">
      <c r="B717" s="2" t="s">
        <v>1966</v>
      </c>
      <c r="C717" s="2" t="s">
        <v>141</v>
      </c>
      <c r="D717" s="2" t="s">
        <v>0</v>
      </c>
      <c r="E717" s="2" t="s">
        <v>130</v>
      </c>
      <c r="F717" s="2" t="s">
        <v>1967</v>
      </c>
      <c r="G717" s="2" t="s">
        <v>1968</v>
      </c>
      <c r="H717" s="2" t="s">
        <v>142</v>
      </c>
      <c r="I717" s="2" t="s">
        <v>41</v>
      </c>
      <c r="J717" s="2">
        <v>32</v>
      </c>
      <c r="K717" s="2" t="s">
        <v>132</v>
      </c>
      <c r="L717" s="2" t="s">
        <v>40</v>
      </c>
      <c r="P717" s="2" t="s">
        <v>48</v>
      </c>
      <c r="Q717" s="2">
        <f>INDEX(Tables!$C$4:$C$28,MATCH($P717,Tables!$B$4:$B$28,0))</f>
        <v>32</v>
      </c>
      <c r="R717" s="2">
        <f>INDEX(Tables!$D$4:$D$28,MATCH($P717,Tables!$B$4:$B$28,0))</f>
        <v>4</v>
      </c>
      <c r="S717" s="2">
        <f>$S716+$R716+INDEX(Tables!$N$5:$Q$8,MATCH(MOD($S716+$R716,4),Tables!$M$5:$M$8,0),MATCH($R717,Tables!$N$4:$Q$4,0))</f>
        <v>2684</v>
      </c>
      <c r="T717" s="2" t="str">
        <f t="shared" si="183"/>
        <v>0A7C</v>
      </c>
      <c r="U717" s="2">
        <f t="shared" si="189"/>
        <v>671</v>
      </c>
      <c r="V717" s="2" t="str">
        <f t="shared" si="184"/>
        <v>29F</v>
      </c>
      <c r="W717" s="2" t="str">
        <f t="shared" si="185"/>
        <v>X</v>
      </c>
      <c r="X717" s="2" t="str">
        <f t="shared" si="188"/>
        <v>X</v>
      </c>
      <c r="Y717" s="2" t="str">
        <f t="shared" si="186"/>
        <v>X</v>
      </c>
      <c r="Z717" s="2" t="str">
        <f t="shared" si="187"/>
        <v>X</v>
      </c>
      <c r="AA717" s="2" t="str">
        <f t="shared" si="190"/>
        <v>(31 downto 24)</v>
      </c>
      <c r="AB717" s="2" t="str">
        <f t="shared" si="191"/>
        <v>(23 downto 16)</v>
      </c>
      <c r="AC717" s="2" t="str">
        <f t="shared" si="192"/>
        <v>(15 downto 8)</v>
      </c>
      <c r="AD717" s="2" t="str">
        <f t="shared" si="193"/>
        <v>(7 downto 0)</v>
      </c>
      <c r="AE717" s="2" t="str">
        <f t="shared" si="194"/>
        <v>(31 downto 24)</v>
      </c>
      <c r="AF717" s="2" t="str">
        <f t="shared" si="195"/>
        <v>(23 downto 16)</v>
      </c>
      <c r="AG717" s="2" t="str">
        <f t="shared" si="196"/>
        <v>(15 downto 8)</v>
      </c>
      <c r="AH717" s="2" t="str">
        <f t="shared" si="197"/>
        <v>(7 downto 0)</v>
      </c>
    </row>
    <row r="718" spans="2:34" x14ac:dyDescent="0.25">
      <c r="B718" s="2" t="s">
        <v>1969</v>
      </c>
      <c r="C718" s="2" t="s">
        <v>141</v>
      </c>
      <c r="D718" s="2" t="s">
        <v>0</v>
      </c>
      <c r="E718" s="2" t="s">
        <v>130</v>
      </c>
      <c r="F718" s="2" t="s">
        <v>1970</v>
      </c>
      <c r="G718" s="2" t="s">
        <v>1971</v>
      </c>
      <c r="H718" s="2" t="s">
        <v>142</v>
      </c>
      <c r="I718" s="2" t="s">
        <v>41</v>
      </c>
      <c r="J718" s="2">
        <v>32</v>
      </c>
      <c r="K718" s="2" t="s">
        <v>132</v>
      </c>
      <c r="L718" s="2" t="s">
        <v>40</v>
      </c>
      <c r="P718" s="2" t="s">
        <v>48</v>
      </c>
      <c r="Q718" s="2">
        <f>INDEX(Tables!$C$4:$C$28,MATCH($P718,Tables!$B$4:$B$28,0))</f>
        <v>32</v>
      </c>
      <c r="R718" s="2">
        <f>INDEX(Tables!$D$4:$D$28,MATCH($P718,Tables!$B$4:$B$28,0))</f>
        <v>4</v>
      </c>
      <c r="S718" s="2">
        <f>$S717+$R717+INDEX(Tables!$N$5:$Q$8,MATCH(MOD($S717+$R717,4),Tables!$M$5:$M$8,0),MATCH($R718,Tables!$N$4:$Q$4,0))</f>
        <v>2688</v>
      </c>
      <c r="T718" s="2" t="str">
        <f t="shared" si="183"/>
        <v>0A80</v>
      </c>
      <c r="U718" s="2">
        <f t="shared" si="189"/>
        <v>672</v>
      </c>
      <c r="V718" s="2" t="str">
        <f t="shared" si="184"/>
        <v>2A0</v>
      </c>
      <c r="W718" s="2" t="str">
        <f t="shared" si="185"/>
        <v>X</v>
      </c>
      <c r="X718" s="2" t="str">
        <f t="shared" si="188"/>
        <v>X</v>
      </c>
      <c r="Y718" s="2" t="str">
        <f t="shared" si="186"/>
        <v>X</v>
      </c>
      <c r="Z718" s="2" t="str">
        <f t="shared" si="187"/>
        <v>X</v>
      </c>
      <c r="AA718" s="2" t="str">
        <f t="shared" si="190"/>
        <v>(31 downto 24)</v>
      </c>
      <c r="AB718" s="2" t="str">
        <f t="shared" si="191"/>
        <v>(23 downto 16)</v>
      </c>
      <c r="AC718" s="2" t="str">
        <f t="shared" si="192"/>
        <v>(15 downto 8)</v>
      </c>
      <c r="AD718" s="2" t="str">
        <f t="shared" si="193"/>
        <v>(7 downto 0)</v>
      </c>
      <c r="AE718" s="2" t="str">
        <f t="shared" si="194"/>
        <v>(31 downto 24)</v>
      </c>
      <c r="AF718" s="2" t="str">
        <f t="shared" si="195"/>
        <v>(23 downto 16)</v>
      </c>
      <c r="AG718" s="2" t="str">
        <f t="shared" si="196"/>
        <v>(15 downto 8)</v>
      </c>
      <c r="AH718" s="2" t="str">
        <f t="shared" si="197"/>
        <v>(7 downto 0)</v>
      </c>
    </row>
    <row r="719" spans="2:34" x14ac:dyDescent="0.25">
      <c r="B719" s="2" t="s">
        <v>1972</v>
      </c>
      <c r="C719" s="2" t="s">
        <v>141</v>
      </c>
      <c r="D719" s="2" t="s">
        <v>0</v>
      </c>
      <c r="E719" s="2" t="s">
        <v>130</v>
      </c>
      <c r="F719" s="2" t="s">
        <v>1973</v>
      </c>
      <c r="G719" s="2" t="s">
        <v>1974</v>
      </c>
      <c r="H719" s="2" t="s">
        <v>142</v>
      </c>
      <c r="I719" s="2" t="s">
        <v>41</v>
      </c>
      <c r="J719" s="2">
        <v>32</v>
      </c>
      <c r="K719" s="2" t="s">
        <v>132</v>
      </c>
      <c r="L719" s="2" t="s">
        <v>40</v>
      </c>
      <c r="P719" s="2" t="s">
        <v>48</v>
      </c>
      <c r="Q719" s="2">
        <f>INDEX(Tables!$C$4:$C$28,MATCH($P719,Tables!$B$4:$B$28,0))</f>
        <v>32</v>
      </c>
      <c r="R719" s="2">
        <f>INDEX(Tables!$D$4:$D$28,MATCH($P719,Tables!$B$4:$B$28,0))</f>
        <v>4</v>
      </c>
      <c r="S719" s="2">
        <f>$S718+$R718+INDEX(Tables!$N$5:$Q$8,MATCH(MOD($S718+$R718,4),Tables!$M$5:$M$8,0),MATCH($R719,Tables!$N$4:$Q$4,0))</f>
        <v>2692</v>
      </c>
      <c r="T719" s="2" t="str">
        <f t="shared" si="183"/>
        <v>0A84</v>
      </c>
      <c r="U719" s="2">
        <f t="shared" si="189"/>
        <v>673</v>
      </c>
      <c r="V719" s="2" t="str">
        <f t="shared" si="184"/>
        <v>2A1</v>
      </c>
      <c r="W719" s="2" t="str">
        <f t="shared" si="185"/>
        <v>X</v>
      </c>
      <c r="X719" s="2" t="str">
        <f t="shared" si="188"/>
        <v>X</v>
      </c>
      <c r="Y719" s="2" t="str">
        <f t="shared" si="186"/>
        <v>X</v>
      </c>
      <c r="Z719" s="2" t="str">
        <f t="shared" si="187"/>
        <v>X</v>
      </c>
      <c r="AA719" s="2" t="str">
        <f t="shared" si="190"/>
        <v>(31 downto 24)</v>
      </c>
      <c r="AB719" s="2" t="str">
        <f t="shared" si="191"/>
        <v>(23 downto 16)</v>
      </c>
      <c r="AC719" s="2" t="str">
        <f t="shared" si="192"/>
        <v>(15 downto 8)</v>
      </c>
      <c r="AD719" s="2" t="str">
        <f t="shared" si="193"/>
        <v>(7 downto 0)</v>
      </c>
      <c r="AE719" s="2" t="str">
        <f t="shared" si="194"/>
        <v>(31 downto 24)</v>
      </c>
      <c r="AF719" s="2" t="str">
        <f t="shared" si="195"/>
        <v>(23 downto 16)</v>
      </c>
      <c r="AG719" s="2" t="str">
        <f t="shared" si="196"/>
        <v>(15 downto 8)</v>
      </c>
      <c r="AH719" s="2" t="str">
        <f t="shared" si="197"/>
        <v>(7 downto 0)</v>
      </c>
    </row>
    <row r="720" spans="2:34" x14ac:dyDescent="0.25">
      <c r="B720" s="2" t="s">
        <v>1975</v>
      </c>
      <c r="C720" s="2" t="s">
        <v>141</v>
      </c>
      <c r="D720" s="2" t="s">
        <v>0</v>
      </c>
      <c r="E720" s="2" t="s">
        <v>130</v>
      </c>
      <c r="F720" s="2" t="s">
        <v>1976</v>
      </c>
      <c r="G720" s="2" t="s">
        <v>1977</v>
      </c>
      <c r="H720" s="2" t="s">
        <v>142</v>
      </c>
      <c r="I720" s="2" t="s">
        <v>41</v>
      </c>
      <c r="J720" s="2">
        <v>32</v>
      </c>
      <c r="K720" s="2" t="s">
        <v>132</v>
      </c>
      <c r="L720" s="2" t="s">
        <v>40</v>
      </c>
      <c r="P720" s="2" t="s">
        <v>48</v>
      </c>
      <c r="Q720" s="2">
        <f>INDEX(Tables!$C$4:$C$28,MATCH($P720,Tables!$B$4:$B$28,0))</f>
        <v>32</v>
      </c>
      <c r="R720" s="2">
        <f>INDEX(Tables!$D$4:$D$28,MATCH($P720,Tables!$B$4:$B$28,0))</f>
        <v>4</v>
      </c>
      <c r="S720" s="2">
        <f>$S719+$R719+INDEX(Tables!$N$5:$Q$8,MATCH(MOD($S719+$R719,4),Tables!$M$5:$M$8,0),MATCH($R720,Tables!$N$4:$Q$4,0))</f>
        <v>2696</v>
      </c>
      <c r="T720" s="2" t="str">
        <f t="shared" si="183"/>
        <v>0A88</v>
      </c>
      <c r="U720" s="2">
        <f t="shared" si="189"/>
        <v>674</v>
      </c>
      <c r="V720" s="2" t="str">
        <f t="shared" si="184"/>
        <v>2A2</v>
      </c>
      <c r="W720" s="2" t="str">
        <f t="shared" si="185"/>
        <v>X</v>
      </c>
      <c r="X720" s="2" t="str">
        <f t="shared" si="188"/>
        <v>X</v>
      </c>
      <c r="Y720" s="2" t="str">
        <f t="shared" si="186"/>
        <v>X</v>
      </c>
      <c r="Z720" s="2" t="str">
        <f t="shared" si="187"/>
        <v>X</v>
      </c>
      <c r="AA720" s="2" t="str">
        <f t="shared" si="190"/>
        <v>(31 downto 24)</v>
      </c>
      <c r="AB720" s="2" t="str">
        <f t="shared" si="191"/>
        <v>(23 downto 16)</v>
      </c>
      <c r="AC720" s="2" t="str">
        <f t="shared" si="192"/>
        <v>(15 downto 8)</v>
      </c>
      <c r="AD720" s="2" t="str">
        <f t="shared" si="193"/>
        <v>(7 downto 0)</v>
      </c>
      <c r="AE720" s="2" t="str">
        <f t="shared" si="194"/>
        <v>(31 downto 24)</v>
      </c>
      <c r="AF720" s="2" t="str">
        <f t="shared" si="195"/>
        <v>(23 downto 16)</v>
      </c>
      <c r="AG720" s="2" t="str">
        <f t="shared" si="196"/>
        <v>(15 downto 8)</v>
      </c>
      <c r="AH720" s="2" t="str">
        <f t="shared" si="197"/>
        <v>(7 downto 0)</v>
      </c>
    </row>
    <row r="721" spans="2:34" x14ac:dyDescent="0.25">
      <c r="B721" s="2" t="s">
        <v>1978</v>
      </c>
      <c r="C721" s="2" t="s">
        <v>141</v>
      </c>
      <c r="D721" s="2" t="s">
        <v>0</v>
      </c>
      <c r="E721" s="2" t="s">
        <v>130</v>
      </c>
      <c r="F721" s="2" t="s">
        <v>1979</v>
      </c>
      <c r="G721" s="2" t="s">
        <v>1980</v>
      </c>
      <c r="H721" s="2" t="s">
        <v>142</v>
      </c>
      <c r="I721" s="2" t="s">
        <v>41</v>
      </c>
      <c r="J721" s="2">
        <v>32</v>
      </c>
      <c r="K721" s="2" t="s">
        <v>132</v>
      </c>
      <c r="L721" s="2" t="s">
        <v>40</v>
      </c>
      <c r="P721" s="2" t="s">
        <v>48</v>
      </c>
      <c r="Q721" s="2">
        <f>INDEX(Tables!$C$4:$C$28,MATCH($P721,Tables!$B$4:$B$28,0))</f>
        <v>32</v>
      </c>
      <c r="R721" s="2">
        <f>INDEX(Tables!$D$4:$D$28,MATCH($P721,Tables!$B$4:$B$28,0))</f>
        <v>4</v>
      </c>
      <c r="S721" s="2">
        <f>$S720+$R720+INDEX(Tables!$N$5:$Q$8,MATCH(MOD($S720+$R720,4),Tables!$M$5:$M$8,0),MATCH($R721,Tables!$N$4:$Q$4,0))</f>
        <v>2700</v>
      </c>
      <c r="T721" s="2" t="str">
        <f t="shared" si="183"/>
        <v>0A8C</v>
      </c>
      <c r="U721" s="2">
        <f t="shared" si="189"/>
        <v>675</v>
      </c>
      <c r="V721" s="2" t="str">
        <f t="shared" si="184"/>
        <v>2A3</v>
      </c>
      <c r="W721" s="2" t="str">
        <f t="shared" si="185"/>
        <v>X</v>
      </c>
      <c r="X721" s="2" t="str">
        <f t="shared" si="188"/>
        <v>X</v>
      </c>
      <c r="Y721" s="2" t="str">
        <f t="shared" si="186"/>
        <v>X</v>
      </c>
      <c r="Z721" s="2" t="str">
        <f t="shared" si="187"/>
        <v>X</v>
      </c>
      <c r="AA721" s="2" t="str">
        <f t="shared" si="190"/>
        <v>(31 downto 24)</v>
      </c>
      <c r="AB721" s="2" t="str">
        <f t="shared" si="191"/>
        <v>(23 downto 16)</v>
      </c>
      <c r="AC721" s="2" t="str">
        <f t="shared" si="192"/>
        <v>(15 downto 8)</v>
      </c>
      <c r="AD721" s="2" t="str">
        <f t="shared" si="193"/>
        <v>(7 downto 0)</v>
      </c>
      <c r="AE721" s="2" t="str">
        <f t="shared" si="194"/>
        <v>(31 downto 24)</v>
      </c>
      <c r="AF721" s="2" t="str">
        <f t="shared" si="195"/>
        <v>(23 downto 16)</v>
      </c>
      <c r="AG721" s="2" t="str">
        <f t="shared" si="196"/>
        <v>(15 downto 8)</v>
      </c>
      <c r="AH721" s="2" t="str">
        <f t="shared" si="197"/>
        <v>(7 downto 0)</v>
      </c>
    </row>
    <row r="722" spans="2:34" x14ac:dyDescent="0.25">
      <c r="B722" s="2" t="s">
        <v>1981</v>
      </c>
      <c r="C722" s="2" t="s">
        <v>141</v>
      </c>
      <c r="D722" s="2" t="s">
        <v>0</v>
      </c>
      <c r="E722" s="2" t="s">
        <v>130</v>
      </c>
      <c r="F722" s="2" t="s">
        <v>1982</v>
      </c>
      <c r="G722" s="2" t="s">
        <v>1983</v>
      </c>
      <c r="H722" s="2" t="s">
        <v>142</v>
      </c>
      <c r="I722" s="2" t="s">
        <v>41</v>
      </c>
      <c r="J722" s="2">
        <v>32</v>
      </c>
      <c r="K722" s="2" t="s">
        <v>132</v>
      </c>
      <c r="L722" s="2" t="s">
        <v>40</v>
      </c>
      <c r="P722" s="2" t="s">
        <v>48</v>
      </c>
      <c r="Q722" s="2">
        <f>INDEX(Tables!$C$4:$C$28,MATCH($P722,Tables!$B$4:$B$28,0))</f>
        <v>32</v>
      </c>
      <c r="R722" s="2">
        <f>INDEX(Tables!$D$4:$D$28,MATCH($P722,Tables!$B$4:$B$28,0))</f>
        <v>4</v>
      </c>
      <c r="S722" s="2">
        <f>$S721+$R721+INDEX(Tables!$N$5:$Q$8,MATCH(MOD($S721+$R721,4),Tables!$M$5:$M$8,0),MATCH($R722,Tables!$N$4:$Q$4,0))</f>
        <v>2704</v>
      </c>
      <c r="T722" s="2" t="str">
        <f t="shared" si="183"/>
        <v>0A90</v>
      </c>
      <c r="U722" s="2">
        <f t="shared" si="189"/>
        <v>676</v>
      </c>
      <c r="V722" s="2" t="str">
        <f t="shared" si="184"/>
        <v>2A4</v>
      </c>
      <c r="W722" s="2" t="str">
        <f t="shared" si="185"/>
        <v>X</v>
      </c>
      <c r="X722" s="2" t="str">
        <f t="shared" si="188"/>
        <v>X</v>
      </c>
      <c r="Y722" s="2" t="str">
        <f t="shared" si="186"/>
        <v>X</v>
      </c>
      <c r="Z722" s="2" t="str">
        <f t="shared" si="187"/>
        <v>X</v>
      </c>
      <c r="AA722" s="2" t="str">
        <f t="shared" si="190"/>
        <v>(31 downto 24)</v>
      </c>
      <c r="AB722" s="2" t="str">
        <f t="shared" si="191"/>
        <v>(23 downto 16)</v>
      </c>
      <c r="AC722" s="2" t="str">
        <f t="shared" si="192"/>
        <v>(15 downto 8)</v>
      </c>
      <c r="AD722" s="2" t="str">
        <f t="shared" si="193"/>
        <v>(7 downto 0)</v>
      </c>
      <c r="AE722" s="2" t="str">
        <f t="shared" si="194"/>
        <v>(31 downto 24)</v>
      </c>
      <c r="AF722" s="2" t="str">
        <f t="shared" si="195"/>
        <v>(23 downto 16)</v>
      </c>
      <c r="AG722" s="2" t="str">
        <f t="shared" si="196"/>
        <v>(15 downto 8)</v>
      </c>
      <c r="AH722" s="2" t="str">
        <f t="shared" si="197"/>
        <v>(7 downto 0)</v>
      </c>
    </row>
    <row r="723" spans="2:34" x14ac:dyDescent="0.25">
      <c r="B723" s="2" t="s">
        <v>1984</v>
      </c>
      <c r="C723" s="2" t="s">
        <v>141</v>
      </c>
      <c r="D723" s="2" t="s">
        <v>0</v>
      </c>
      <c r="E723" s="2" t="s">
        <v>130</v>
      </c>
      <c r="F723" s="2" t="s">
        <v>1985</v>
      </c>
      <c r="G723" s="2" t="s">
        <v>1986</v>
      </c>
      <c r="H723" s="2" t="s">
        <v>142</v>
      </c>
      <c r="I723" s="2" t="s">
        <v>41</v>
      </c>
      <c r="J723" s="2">
        <v>32</v>
      </c>
      <c r="K723" s="2" t="s">
        <v>132</v>
      </c>
      <c r="L723" s="2" t="s">
        <v>40</v>
      </c>
      <c r="P723" s="2" t="s">
        <v>48</v>
      </c>
      <c r="Q723" s="2">
        <f>INDEX(Tables!$C$4:$C$28,MATCH($P723,Tables!$B$4:$B$28,0))</f>
        <v>32</v>
      </c>
      <c r="R723" s="2">
        <f>INDEX(Tables!$D$4:$D$28,MATCH($P723,Tables!$B$4:$B$28,0))</f>
        <v>4</v>
      </c>
      <c r="S723" s="2">
        <f>$S722+$R722+INDEX(Tables!$N$5:$Q$8,MATCH(MOD($S722+$R722,4),Tables!$M$5:$M$8,0),MATCH($R723,Tables!$N$4:$Q$4,0))</f>
        <v>2708</v>
      </c>
      <c r="T723" s="2" t="str">
        <f t="shared" si="183"/>
        <v>0A94</v>
      </c>
      <c r="U723" s="2">
        <f t="shared" si="189"/>
        <v>677</v>
      </c>
      <c r="V723" s="2" t="str">
        <f t="shared" si="184"/>
        <v>2A5</v>
      </c>
      <c r="W723" s="2" t="str">
        <f t="shared" si="185"/>
        <v>X</v>
      </c>
      <c r="X723" s="2" t="str">
        <f t="shared" si="188"/>
        <v>X</v>
      </c>
      <c r="Y723" s="2" t="str">
        <f t="shared" si="186"/>
        <v>X</v>
      </c>
      <c r="Z723" s="2" t="str">
        <f t="shared" si="187"/>
        <v>X</v>
      </c>
      <c r="AA723" s="2" t="str">
        <f t="shared" si="190"/>
        <v>(31 downto 24)</v>
      </c>
      <c r="AB723" s="2" t="str">
        <f t="shared" si="191"/>
        <v>(23 downto 16)</v>
      </c>
      <c r="AC723" s="2" t="str">
        <f t="shared" si="192"/>
        <v>(15 downto 8)</v>
      </c>
      <c r="AD723" s="2" t="str">
        <f t="shared" si="193"/>
        <v>(7 downto 0)</v>
      </c>
      <c r="AE723" s="2" t="str">
        <f t="shared" si="194"/>
        <v>(31 downto 24)</v>
      </c>
      <c r="AF723" s="2" t="str">
        <f t="shared" si="195"/>
        <v>(23 downto 16)</v>
      </c>
      <c r="AG723" s="2" t="str">
        <f t="shared" si="196"/>
        <v>(15 downto 8)</v>
      </c>
      <c r="AH723" s="2" t="str">
        <f t="shared" si="197"/>
        <v>(7 downto 0)</v>
      </c>
    </row>
    <row r="724" spans="2:34" x14ac:dyDescent="0.25">
      <c r="B724" s="2" t="s">
        <v>1987</v>
      </c>
      <c r="C724" s="2" t="s">
        <v>141</v>
      </c>
      <c r="D724" s="2" t="s">
        <v>0</v>
      </c>
      <c r="E724" s="2" t="s">
        <v>130</v>
      </c>
      <c r="F724" s="2" t="s">
        <v>1988</v>
      </c>
      <c r="G724" s="2" t="s">
        <v>1989</v>
      </c>
      <c r="H724" s="2" t="s">
        <v>142</v>
      </c>
      <c r="I724" s="2" t="s">
        <v>41</v>
      </c>
      <c r="J724" s="2">
        <v>32</v>
      </c>
      <c r="K724" s="2" t="s">
        <v>132</v>
      </c>
      <c r="L724" s="2" t="s">
        <v>40</v>
      </c>
      <c r="P724" s="2" t="s">
        <v>48</v>
      </c>
      <c r="Q724" s="2">
        <f>INDEX(Tables!$C$4:$C$28,MATCH($P724,Tables!$B$4:$B$28,0))</f>
        <v>32</v>
      </c>
      <c r="R724" s="2">
        <f>INDEX(Tables!$D$4:$D$28,MATCH($P724,Tables!$B$4:$B$28,0))</f>
        <v>4</v>
      </c>
      <c r="S724" s="2">
        <f>$S723+$R723+INDEX(Tables!$N$5:$Q$8,MATCH(MOD($S723+$R723,4),Tables!$M$5:$M$8,0),MATCH($R724,Tables!$N$4:$Q$4,0))</f>
        <v>2712</v>
      </c>
      <c r="T724" s="2" t="str">
        <f t="shared" si="183"/>
        <v>0A98</v>
      </c>
      <c r="U724" s="2">
        <f t="shared" si="189"/>
        <v>678</v>
      </c>
      <c r="V724" s="2" t="str">
        <f t="shared" si="184"/>
        <v>2A6</v>
      </c>
      <c r="W724" s="2" t="str">
        <f t="shared" si="185"/>
        <v>X</v>
      </c>
      <c r="X724" s="2" t="str">
        <f t="shared" si="188"/>
        <v>X</v>
      </c>
      <c r="Y724" s="2" t="str">
        <f t="shared" si="186"/>
        <v>X</v>
      </c>
      <c r="Z724" s="2" t="str">
        <f t="shared" si="187"/>
        <v>X</v>
      </c>
      <c r="AA724" s="2" t="str">
        <f t="shared" si="190"/>
        <v>(31 downto 24)</v>
      </c>
      <c r="AB724" s="2" t="str">
        <f t="shared" si="191"/>
        <v>(23 downto 16)</v>
      </c>
      <c r="AC724" s="2" t="str">
        <f t="shared" si="192"/>
        <v>(15 downto 8)</v>
      </c>
      <c r="AD724" s="2" t="str">
        <f t="shared" si="193"/>
        <v>(7 downto 0)</v>
      </c>
      <c r="AE724" s="2" t="str">
        <f t="shared" si="194"/>
        <v>(31 downto 24)</v>
      </c>
      <c r="AF724" s="2" t="str">
        <f t="shared" si="195"/>
        <v>(23 downto 16)</v>
      </c>
      <c r="AG724" s="2" t="str">
        <f t="shared" si="196"/>
        <v>(15 downto 8)</v>
      </c>
      <c r="AH724" s="2" t="str">
        <f t="shared" si="197"/>
        <v>(7 downto 0)</v>
      </c>
    </row>
    <row r="725" spans="2:34" x14ac:dyDescent="0.25">
      <c r="B725" s="2" t="s">
        <v>1990</v>
      </c>
      <c r="C725" s="2" t="s">
        <v>141</v>
      </c>
      <c r="D725" s="2" t="s">
        <v>0</v>
      </c>
      <c r="E725" s="2" t="s">
        <v>130</v>
      </c>
      <c r="F725" s="2" t="s">
        <v>1991</v>
      </c>
      <c r="G725" s="2" t="s">
        <v>1992</v>
      </c>
      <c r="H725" s="2" t="s">
        <v>142</v>
      </c>
      <c r="I725" s="2" t="s">
        <v>41</v>
      </c>
      <c r="J725" s="2">
        <v>32</v>
      </c>
      <c r="K725" s="2" t="s">
        <v>132</v>
      </c>
      <c r="L725" s="2" t="s">
        <v>40</v>
      </c>
      <c r="P725" s="2" t="s">
        <v>48</v>
      </c>
      <c r="Q725" s="2">
        <f>INDEX(Tables!$C$4:$C$28,MATCH($P725,Tables!$B$4:$B$28,0))</f>
        <v>32</v>
      </c>
      <c r="R725" s="2">
        <f>INDEX(Tables!$D$4:$D$28,MATCH($P725,Tables!$B$4:$B$28,0))</f>
        <v>4</v>
      </c>
      <c r="S725" s="2">
        <f>$S724+$R724+INDEX(Tables!$N$5:$Q$8,MATCH(MOD($S724+$R724,4),Tables!$M$5:$M$8,0),MATCH($R725,Tables!$N$4:$Q$4,0))</f>
        <v>2716</v>
      </c>
      <c r="T725" s="2" t="str">
        <f t="shared" si="183"/>
        <v>0A9C</v>
      </c>
      <c r="U725" s="2">
        <f t="shared" si="189"/>
        <v>679</v>
      </c>
      <c r="V725" s="2" t="str">
        <f t="shared" si="184"/>
        <v>2A7</v>
      </c>
      <c r="W725" s="2" t="str">
        <f t="shared" si="185"/>
        <v>X</v>
      </c>
      <c r="X725" s="2" t="str">
        <f t="shared" si="188"/>
        <v>X</v>
      </c>
      <c r="Y725" s="2" t="str">
        <f t="shared" si="186"/>
        <v>X</v>
      </c>
      <c r="Z725" s="2" t="str">
        <f t="shared" si="187"/>
        <v>X</v>
      </c>
      <c r="AA725" s="2" t="str">
        <f t="shared" si="190"/>
        <v>(31 downto 24)</v>
      </c>
      <c r="AB725" s="2" t="str">
        <f t="shared" si="191"/>
        <v>(23 downto 16)</v>
      </c>
      <c r="AC725" s="2" t="str">
        <f t="shared" si="192"/>
        <v>(15 downto 8)</v>
      </c>
      <c r="AD725" s="2" t="str">
        <f t="shared" si="193"/>
        <v>(7 downto 0)</v>
      </c>
      <c r="AE725" s="2" t="str">
        <f t="shared" si="194"/>
        <v>(31 downto 24)</v>
      </c>
      <c r="AF725" s="2" t="str">
        <f t="shared" si="195"/>
        <v>(23 downto 16)</v>
      </c>
      <c r="AG725" s="2" t="str">
        <f t="shared" si="196"/>
        <v>(15 downto 8)</v>
      </c>
      <c r="AH725" s="2" t="str">
        <f t="shared" si="197"/>
        <v>(7 downto 0)</v>
      </c>
    </row>
    <row r="726" spans="2:34" x14ac:dyDescent="0.25">
      <c r="B726" s="2" t="s">
        <v>1993</v>
      </c>
      <c r="C726" s="2" t="s">
        <v>141</v>
      </c>
      <c r="D726" s="2" t="s">
        <v>0</v>
      </c>
      <c r="E726" s="2" t="s">
        <v>130</v>
      </c>
      <c r="F726" s="2" t="s">
        <v>1994</v>
      </c>
      <c r="G726" s="2" t="s">
        <v>1995</v>
      </c>
      <c r="H726" s="2" t="s">
        <v>142</v>
      </c>
      <c r="I726" s="2" t="s">
        <v>41</v>
      </c>
      <c r="J726" s="2">
        <v>32</v>
      </c>
      <c r="K726" s="2" t="s">
        <v>132</v>
      </c>
      <c r="L726" s="2" t="s">
        <v>40</v>
      </c>
      <c r="P726" s="2" t="s">
        <v>48</v>
      </c>
      <c r="Q726" s="2">
        <f>INDEX(Tables!$C$4:$C$28,MATCH($P726,Tables!$B$4:$B$28,0))</f>
        <v>32</v>
      </c>
      <c r="R726" s="2">
        <f>INDEX(Tables!$D$4:$D$28,MATCH($P726,Tables!$B$4:$B$28,0))</f>
        <v>4</v>
      </c>
      <c r="S726" s="2">
        <f>$S725+$R725+INDEX(Tables!$N$5:$Q$8,MATCH(MOD($S725+$R725,4),Tables!$M$5:$M$8,0),MATCH($R726,Tables!$N$4:$Q$4,0))</f>
        <v>2720</v>
      </c>
      <c r="T726" s="2" t="str">
        <f t="shared" si="183"/>
        <v>0AA0</v>
      </c>
      <c r="U726" s="2">
        <f t="shared" si="189"/>
        <v>680</v>
      </c>
      <c r="V726" s="2" t="str">
        <f t="shared" si="184"/>
        <v>2A8</v>
      </c>
      <c r="W726" s="2" t="str">
        <f t="shared" si="185"/>
        <v>X</v>
      </c>
      <c r="X726" s="2" t="str">
        <f t="shared" si="188"/>
        <v>X</v>
      </c>
      <c r="Y726" s="2" t="str">
        <f t="shared" si="186"/>
        <v>X</v>
      </c>
      <c r="Z726" s="2" t="str">
        <f t="shared" si="187"/>
        <v>X</v>
      </c>
      <c r="AA726" s="2" t="str">
        <f t="shared" si="190"/>
        <v>(31 downto 24)</v>
      </c>
      <c r="AB726" s="2" t="str">
        <f t="shared" si="191"/>
        <v>(23 downto 16)</v>
      </c>
      <c r="AC726" s="2" t="str">
        <f t="shared" si="192"/>
        <v>(15 downto 8)</v>
      </c>
      <c r="AD726" s="2" t="str">
        <f t="shared" si="193"/>
        <v>(7 downto 0)</v>
      </c>
      <c r="AE726" s="2" t="str">
        <f t="shared" si="194"/>
        <v>(31 downto 24)</v>
      </c>
      <c r="AF726" s="2" t="str">
        <f t="shared" si="195"/>
        <v>(23 downto 16)</v>
      </c>
      <c r="AG726" s="2" t="str">
        <f t="shared" si="196"/>
        <v>(15 downto 8)</v>
      </c>
      <c r="AH726" s="2" t="str">
        <f t="shared" si="197"/>
        <v>(7 downto 0)</v>
      </c>
    </row>
    <row r="727" spans="2:34" x14ac:dyDescent="0.25">
      <c r="B727" s="2" t="s">
        <v>1996</v>
      </c>
      <c r="C727" s="2" t="s">
        <v>141</v>
      </c>
      <c r="D727" s="2" t="s">
        <v>0</v>
      </c>
      <c r="E727" s="2" t="s">
        <v>130</v>
      </c>
      <c r="F727" s="2" t="s">
        <v>1997</v>
      </c>
      <c r="G727" s="2" t="s">
        <v>1998</v>
      </c>
      <c r="H727" s="2" t="s">
        <v>142</v>
      </c>
      <c r="I727" s="2" t="s">
        <v>41</v>
      </c>
      <c r="J727" s="2">
        <v>32</v>
      </c>
      <c r="K727" s="2" t="s">
        <v>132</v>
      </c>
      <c r="L727" s="2" t="s">
        <v>40</v>
      </c>
      <c r="P727" s="2" t="s">
        <v>48</v>
      </c>
      <c r="Q727" s="2">
        <f>INDEX(Tables!$C$4:$C$28,MATCH($P727,Tables!$B$4:$B$28,0))</f>
        <v>32</v>
      </c>
      <c r="R727" s="2">
        <f>INDEX(Tables!$D$4:$D$28,MATCH($P727,Tables!$B$4:$B$28,0))</f>
        <v>4</v>
      </c>
      <c r="S727" s="2">
        <f>$S726+$R726+INDEX(Tables!$N$5:$Q$8,MATCH(MOD($S726+$R726,4),Tables!$M$5:$M$8,0),MATCH($R727,Tables!$N$4:$Q$4,0))</f>
        <v>2724</v>
      </c>
      <c r="T727" s="2" t="str">
        <f t="shared" si="183"/>
        <v>0AA4</v>
      </c>
      <c r="U727" s="2">
        <f t="shared" si="189"/>
        <v>681</v>
      </c>
      <c r="V727" s="2" t="str">
        <f t="shared" si="184"/>
        <v>2A9</v>
      </c>
      <c r="W727" s="2" t="str">
        <f t="shared" si="185"/>
        <v>X</v>
      </c>
      <c r="X727" s="2" t="str">
        <f t="shared" si="188"/>
        <v>X</v>
      </c>
      <c r="Y727" s="2" t="str">
        <f t="shared" si="186"/>
        <v>X</v>
      </c>
      <c r="Z727" s="2" t="str">
        <f t="shared" si="187"/>
        <v>X</v>
      </c>
      <c r="AA727" s="2" t="str">
        <f t="shared" si="190"/>
        <v>(31 downto 24)</v>
      </c>
      <c r="AB727" s="2" t="str">
        <f t="shared" si="191"/>
        <v>(23 downto 16)</v>
      </c>
      <c r="AC727" s="2" t="str">
        <f t="shared" si="192"/>
        <v>(15 downto 8)</v>
      </c>
      <c r="AD727" s="2" t="str">
        <f t="shared" si="193"/>
        <v>(7 downto 0)</v>
      </c>
      <c r="AE727" s="2" t="str">
        <f t="shared" si="194"/>
        <v>(31 downto 24)</v>
      </c>
      <c r="AF727" s="2" t="str">
        <f t="shared" si="195"/>
        <v>(23 downto 16)</v>
      </c>
      <c r="AG727" s="2" t="str">
        <f t="shared" si="196"/>
        <v>(15 downto 8)</v>
      </c>
      <c r="AH727" s="2" t="str">
        <f t="shared" si="197"/>
        <v>(7 downto 0)</v>
      </c>
    </row>
    <row r="728" spans="2:34" x14ac:dyDescent="0.25">
      <c r="B728" s="2" t="s">
        <v>1999</v>
      </c>
      <c r="C728" s="2" t="s">
        <v>141</v>
      </c>
      <c r="D728" s="2" t="s">
        <v>0</v>
      </c>
      <c r="E728" s="2" t="s">
        <v>130</v>
      </c>
      <c r="F728" s="2" t="s">
        <v>2000</v>
      </c>
      <c r="G728" s="2" t="s">
        <v>2001</v>
      </c>
      <c r="H728" s="2" t="s">
        <v>142</v>
      </c>
      <c r="I728" s="2" t="s">
        <v>41</v>
      </c>
      <c r="J728" s="2">
        <v>32</v>
      </c>
      <c r="K728" s="2" t="s">
        <v>132</v>
      </c>
      <c r="L728" s="2" t="s">
        <v>40</v>
      </c>
      <c r="P728" s="2" t="s">
        <v>48</v>
      </c>
      <c r="Q728" s="2">
        <f>INDEX(Tables!$C$4:$C$28,MATCH($P728,Tables!$B$4:$B$28,0))</f>
        <v>32</v>
      </c>
      <c r="R728" s="2">
        <f>INDEX(Tables!$D$4:$D$28,MATCH($P728,Tables!$B$4:$B$28,0))</f>
        <v>4</v>
      </c>
      <c r="S728" s="2">
        <f>$S727+$R727+INDEX(Tables!$N$5:$Q$8,MATCH(MOD($S727+$R727,4),Tables!$M$5:$M$8,0),MATCH($R728,Tables!$N$4:$Q$4,0))</f>
        <v>2728</v>
      </c>
      <c r="T728" s="2" t="str">
        <f t="shared" si="183"/>
        <v>0AA8</v>
      </c>
      <c r="U728" s="2">
        <f t="shared" si="189"/>
        <v>682</v>
      </c>
      <c r="V728" s="2" t="str">
        <f t="shared" si="184"/>
        <v>2AA</v>
      </c>
      <c r="W728" s="2" t="str">
        <f t="shared" si="185"/>
        <v>X</v>
      </c>
      <c r="X728" s="2" t="str">
        <f t="shared" si="188"/>
        <v>X</v>
      </c>
      <c r="Y728" s="2" t="str">
        <f t="shared" si="186"/>
        <v>X</v>
      </c>
      <c r="Z728" s="2" t="str">
        <f t="shared" si="187"/>
        <v>X</v>
      </c>
      <c r="AA728" s="2" t="str">
        <f t="shared" si="190"/>
        <v>(31 downto 24)</v>
      </c>
      <c r="AB728" s="2" t="str">
        <f t="shared" si="191"/>
        <v>(23 downto 16)</v>
      </c>
      <c r="AC728" s="2" t="str">
        <f t="shared" si="192"/>
        <v>(15 downto 8)</v>
      </c>
      <c r="AD728" s="2" t="str">
        <f t="shared" si="193"/>
        <v>(7 downto 0)</v>
      </c>
      <c r="AE728" s="2" t="str">
        <f t="shared" si="194"/>
        <v>(31 downto 24)</v>
      </c>
      <c r="AF728" s="2" t="str">
        <f t="shared" si="195"/>
        <v>(23 downto 16)</v>
      </c>
      <c r="AG728" s="2" t="str">
        <f t="shared" si="196"/>
        <v>(15 downto 8)</v>
      </c>
      <c r="AH728" s="2" t="str">
        <f t="shared" si="197"/>
        <v>(7 downto 0)</v>
      </c>
    </row>
    <row r="729" spans="2:34" x14ac:dyDescent="0.25">
      <c r="B729" s="2" t="s">
        <v>2002</v>
      </c>
      <c r="C729" s="2" t="s">
        <v>141</v>
      </c>
      <c r="D729" s="2" t="s">
        <v>0</v>
      </c>
      <c r="E729" s="2" t="s">
        <v>130</v>
      </c>
      <c r="F729" s="2" t="s">
        <v>2003</v>
      </c>
      <c r="G729" s="2" t="s">
        <v>2004</v>
      </c>
      <c r="H729" s="2" t="s">
        <v>142</v>
      </c>
      <c r="I729" s="2" t="s">
        <v>41</v>
      </c>
      <c r="J729" s="2">
        <v>32</v>
      </c>
      <c r="K729" s="2" t="s">
        <v>132</v>
      </c>
      <c r="L729" s="2" t="s">
        <v>40</v>
      </c>
      <c r="P729" s="2" t="s">
        <v>48</v>
      </c>
      <c r="Q729" s="2">
        <f>INDEX(Tables!$C$4:$C$28,MATCH($P729,Tables!$B$4:$B$28,0))</f>
        <v>32</v>
      </c>
      <c r="R729" s="2">
        <f>INDEX(Tables!$D$4:$D$28,MATCH($P729,Tables!$B$4:$B$28,0))</f>
        <v>4</v>
      </c>
      <c r="S729" s="2">
        <f>$S728+$R728+INDEX(Tables!$N$5:$Q$8,MATCH(MOD($S728+$R728,4),Tables!$M$5:$M$8,0),MATCH($R729,Tables!$N$4:$Q$4,0))</f>
        <v>2732</v>
      </c>
      <c r="T729" s="2" t="str">
        <f t="shared" si="183"/>
        <v>0AAC</v>
      </c>
      <c r="U729" s="2">
        <f t="shared" si="189"/>
        <v>683</v>
      </c>
      <c r="V729" s="2" t="str">
        <f t="shared" si="184"/>
        <v>2AB</v>
      </c>
      <c r="W729" s="2" t="str">
        <f t="shared" si="185"/>
        <v>X</v>
      </c>
      <c r="X729" s="2" t="str">
        <f t="shared" si="188"/>
        <v>X</v>
      </c>
      <c r="Y729" s="2" t="str">
        <f t="shared" si="186"/>
        <v>X</v>
      </c>
      <c r="Z729" s="2" t="str">
        <f t="shared" si="187"/>
        <v>X</v>
      </c>
      <c r="AA729" s="2" t="str">
        <f t="shared" si="190"/>
        <v>(31 downto 24)</v>
      </c>
      <c r="AB729" s="2" t="str">
        <f t="shared" si="191"/>
        <v>(23 downto 16)</v>
      </c>
      <c r="AC729" s="2" t="str">
        <f t="shared" si="192"/>
        <v>(15 downto 8)</v>
      </c>
      <c r="AD729" s="2" t="str">
        <f t="shared" si="193"/>
        <v>(7 downto 0)</v>
      </c>
      <c r="AE729" s="2" t="str">
        <f t="shared" si="194"/>
        <v>(31 downto 24)</v>
      </c>
      <c r="AF729" s="2" t="str">
        <f t="shared" si="195"/>
        <v>(23 downto 16)</v>
      </c>
      <c r="AG729" s="2" t="str">
        <f t="shared" si="196"/>
        <v>(15 downto 8)</v>
      </c>
      <c r="AH729" s="2" t="str">
        <f t="shared" si="197"/>
        <v>(7 downto 0)</v>
      </c>
    </row>
    <row r="730" spans="2:34" x14ac:dyDescent="0.25">
      <c r="B730" s="2" t="s">
        <v>2005</v>
      </c>
      <c r="C730" s="2" t="s">
        <v>141</v>
      </c>
      <c r="D730" s="2" t="s">
        <v>0</v>
      </c>
      <c r="E730" s="2" t="s">
        <v>130</v>
      </c>
      <c r="F730" s="2" t="s">
        <v>2006</v>
      </c>
      <c r="G730" s="2" t="s">
        <v>2007</v>
      </c>
      <c r="H730" s="2" t="s">
        <v>142</v>
      </c>
      <c r="I730" s="2" t="s">
        <v>41</v>
      </c>
      <c r="J730" s="2">
        <v>32</v>
      </c>
      <c r="K730" s="2" t="s">
        <v>132</v>
      </c>
      <c r="L730" s="2" t="s">
        <v>40</v>
      </c>
      <c r="P730" s="2" t="s">
        <v>48</v>
      </c>
      <c r="Q730" s="2">
        <f>INDEX(Tables!$C$4:$C$28,MATCH($P730,Tables!$B$4:$B$28,0))</f>
        <v>32</v>
      </c>
      <c r="R730" s="2">
        <f>INDEX(Tables!$D$4:$D$28,MATCH($P730,Tables!$B$4:$B$28,0))</f>
        <v>4</v>
      </c>
      <c r="S730" s="2">
        <f>$S729+$R729+INDEX(Tables!$N$5:$Q$8,MATCH(MOD($S729+$R729,4),Tables!$M$5:$M$8,0),MATCH($R730,Tables!$N$4:$Q$4,0))</f>
        <v>2736</v>
      </c>
      <c r="T730" s="2" t="str">
        <f t="shared" si="183"/>
        <v>0AB0</v>
      </c>
      <c r="U730" s="2">
        <f t="shared" si="189"/>
        <v>684</v>
      </c>
      <c r="V730" s="2" t="str">
        <f t="shared" si="184"/>
        <v>2AC</v>
      </c>
      <c r="W730" s="2" t="str">
        <f t="shared" si="185"/>
        <v>X</v>
      </c>
      <c r="X730" s="2" t="str">
        <f t="shared" si="188"/>
        <v>X</v>
      </c>
      <c r="Y730" s="2" t="str">
        <f t="shared" si="186"/>
        <v>X</v>
      </c>
      <c r="Z730" s="2" t="str">
        <f t="shared" si="187"/>
        <v>X</v>
      </c>
      <c r="AA730" s="2" t="str">
        <f t="shared" si="190"/>
        <v>(31 downto 24)</v>
      </c>
      <c r="AB730" s="2" t="str">
        <f t="shared" si="191"/>
        <v>(23 downto 16)</v>
      </c>
      <c r="AC730" s="2" t="str">
        <f t="shared" si="192"/>
        <v>(15 downto 8)</v>
      </c>
      <c r="AD730" s="2" t="str">
        <f t="shared" si="193"/>
        <v>(7 downto 0)</v>
      </c>
      <c r="AE730" s="2" t="str">
        <f t="shared" si="194"/>
        <v>(31 downto 24)</v>
      </c>
      <c r="AF730" s="2" t="str">
        <f t="shared" si="195"/>
        <v>(23 downto 16)</v>
      </c>
      <c r="AG730" s="2" t="str">
        <f t="shared" si="196"/>
        <v>(15 downto 8)</v>
      </c>
      <c r="AH730" s="2" t="str">
        <f t="shared" si="197"/>
        <v>(7 downto 0)</v>
      </c>
    </row>
    <row r="731" spans="2:34" x14ac:dyDescent="0.25">
      <c r="B731" s="2" t="s">
        <v>2008</v>
      </c>
      <c r="C731" s="2" t="s">
        <v>141</v>
      </c>
      <c r="D731" s="2" t="s">
        <v>0</v>
      </c>
      <c r="E731" s="2" t="s">
        <v>130</v>
      </c>
      <c r="F731" s="2" t="s">
        <v>2009</v>
      </c>
      <c r="G731" s="2" t="s">
        <v>2010</v>
      </c>
      <c r="H731" s="2" t="s">
        <v>142</v>
      </c>
      <c r="I731" s="2" t="s">
        <v>41</v>
      </c>
      <c r="J731" s="2">
        <v>32</v>
      </c>
      <c r="K731" s="2" t="s">
        <v>132</v>
      </c>
      <c r="L731" s="2" t="s">
        <v>40</v>
      </c>
      <c r="P731" s="2" t="s">
        <v>48</v>
      </c>
      <c r="Q731" s="2">
        <f>INDEX(Tables!$C$4:$C$28,MATCH($P731,Tables!$B$4:$B$28,0))</f>
        <v>32</v>
      </c>
      <c r="R731" s="2">
        <f>INDEX(Tables!$D$4:$D$28,MATCH($P731,Tables!$B$4:$B$28,0))</f>
        <v>4</v>
      </c>
      <c r="S731" s="2">
        <f>$S730+$R730+INDEX(Tables!$N$5:$Q$8,MATCH(MOD($S730+$R730,4),Tables!$M$5:$M$8,0),MATCH($R731,Tables!$N$4:$Q$4,0))</f>
        <v>2740</v>
      </c>
      <c r="T731" s="2" t="str">
        <f t="shared" si="183"/>
        <v>0AB4</v>
      </c>
      <c r="U731" s="2">
        <f t="shared" si="189"/>
        <v>685</v>
      </c>
      <c r="V731" s="2" t="str">
        <f t="shared" si="184"/>
        <v>2AD</v>
      </c>
      <c r="W731" s="2" t="str">
        <f t="shared" si="185"/>
        <v>X</v>
      </c>
      <c r="X731" s="2" t="str">
        <f t="shared" si="188"/>
        <v>X</v>
      </c>
      <c r="Y731" s="2" t="str">
        <f t="shared" si="186"/>
        <v>X</v>
      </c>
      <c r="Z731" s="2" t="str">
        <f t="shared" si="187"/>
        <v>X</v>
      </c>
      <c r="AA731" s="2" t="str">
        <f t="shared" si="190"/>
        <v>(31 downto 24)</v>
      </c>
      <c r="AB731" s="2" t="str">
        <f t="shared" si="191"/>
        <v>(23 downto 16)</v>
      </c>
      <c r="AC731" s="2" t="str">
        <f t="shared" si="192"/>
        <v>(15 downto 8)</v>
      </c>
      <c r="AD731" s="2" t="str">
        <f t="shared" si="193"/>
        <v>(7 downto 0)</v>
      </c>
      <c r="AE731" s="2" t="str">
        <f t="shared" si="194"/>
        <v>(31 downto 24)</v>
      </c>
      <c r="AF731" s="2" t="str">
        <f t="shared" si="195"/>
        <v>(23 downto 16)</v>
      </c>
      <c r="AG731" s="2" t="str">
        <f t="shared" si="196"/>
        <v>(15 downto 8)</v>
      </c>
      <c r="AH731" s="2" t="str">
        <f t="shared" si="197"/>
        <v>(7 downto 0)</v>
      </c>
    </row>
    <row r="732" spans="2:34" x14ac:dyDescent="0.25">
      <c r="B732" s="2" t="s">
        <v>2011</v>
      </c>
      <c r="C732" s="2" t="s">
        <v>141</v>
      </c>
      <c r="D732" s="2" t="s">
        <v>0</v>
      </c>
      <c r="E732" s="2" t="s">
        <v>130</v>
      </c>
      <c r="F732" s="2" t="s">
        <v>2012</v>
      </c>
      <c r="G732" s="2" t="s">
        <v>2013</v>
      </c>
      <c r="H732" s="2" t="s">
        <v>142</v>
      </c>
      <c r="I732" s="2" t="s">
        <v>41</v>
      </c>
      <c r="J732" s="2">
        <v>32</v>
      </c>
      <c r="K732" s="2" t="s">
        <v>132</v>
      </c>
      <c r="L732" s="2" t="s">
        <v>40</v>
      </c>
      <c r="P732" s="2" t="s">
        <v>48</v>
      </c>
      <c r="Q732" s="2">
        <f>INDEX(Tables!$C$4:$C$28,MATCH($P732,Tables!$B$4:$B$28,0))</f>
        <v>32</v>
      </c>
      <c r="R732" s="2">
        <f>INDEX(Tables!$D$4:$D$28,MATCH($P732,Tables!$B$4:$B$28,0))</f>
        <v>4</v>
      </c>
      <c r="S732" s="2">
        <f>$S731+$R731+INDEX(Tables!$N$5:$Q$8,MATCH(MOD($S731+$R731,4),Tables!$M$5:$M$8,0),MATCH($R732,Tables!$N$4:$Q$4,0))</f>
        <v>2744</v>
      </c>
      <c r="T732" s="2" t="str">
        <f t="shared" si="183"/>
        <v>0AB8</v>
      </c>
      <c r="U732" s="2">
        <f t="shared" si="189"/>
        <v>686</v>
      </c>
      <c r="V732" s="2" t="str">
        <f t="shared" si="184"/>
        <v>2AE</v>
      </c>
      <c r="W732" s="2" t="str">
        <f t="shared" si="185"/>
        <v>X</v>
      </c>
      <c r="X732" s="2" t="str">
        <f t="shared" si="188"/>
        <v>X</v>
      </c>
      <c r="Y732" s="2" t="str">
        <f t="shared" si="186"/>
        <v>X</v>
      </c>
      <c r="Z732" s="2" t="str">
        <f t="shared" si="187"/>
        <v>X</v>
      </c>
      <c r="AA732" s="2" t="str">
        <f t="shared" si="190"/>
        <v>(31 downto 24)</v>
      </c>
      <c r="AB732" s="2" t="str">
        <f t="shared" si="191"/>
        <v>(23 downto 16)</v>
      </c>
      <c r="AC732" s="2" t="str">
        <f t="shared" si="192"/>
        <v>(15 downto 8)</v>
      </c>
      <c r="AD732" s="2" t="str">
        <f t="shared" si="193"/>
        <v>(7 downto 0)</v>
      </c>
      <c r="AE732" s="2" t="str">
        <f t="shared" si="194"/>
        <v>(31 downto 24)</v>
      </c>
      <c r="AF732" s="2" t="str">
        <f t="shared" si="195"/>
        <v>(23 downto 16)</v>
      </c>
      <c r="AG732" s="2" t="str">
        <f t="shared" si="196"/>
        <v>(15 downto 8)</v>
      </c>
      <c r="AH732" s="2" t="str">
        <f t="shared" si="197"/>
        <v>(7 downto 0)</v>
      </c>
    </row>
    <row r="733" spans="2:34" x14ac:dyDescent="0.25">
      <c r="B733" s="2" t="s">
        <v>2014</v>
      </c>
      <c r="C733" s="2" t="s">
        <v>141</v>
      </c>
      <c r="D733" s="2" t="s">
        <v>0</v>
      </c>
      <c r="E733" s="2" t="s">
        <v>130</v>
      </c>
      <c r="F733" s="2" t="s">
        <v>2015</v>
      </c>
      <c r="G733" s="2" t="s">
        <v>2016</v>
      </c>
      <c r="H733" s="2" t="s">
        <v>142</v>
      </c>
      <c r="I733" s="2" t="s">
        <v>41</v>
      </c>
      <c r="J733" s="2">
        <v>32</v>
      </c>
      <c r="K733" s="2" t="s">
        <v>132</v>
      </c>
      <c r="L733" s="2" t="s">
        <v>40</v>
      </c>
      <c r="P733" s="2" t="s">
        <v>48</v>
      </c>
      <c r="Q733" s="2">
        <f>INDEX(Tables!$C$4:$C$28,MATCH($P733,Tables!$B$4:$B$28,0))</f>
        <v>32</v>
      </c>
      <c r="R733" s="2">
        <f>INDEX(Tables!$D$4:$D$28,MATCH($P733,Tables!$B$4:$B$28,0))</f>
        <v>4</v>
      </c>
      <c r="S733" s="2">
        <f>$S732+$R732+INDEX(Tables!$N$5:$Q$8,MATCH(MOD($S732+$R732,4),Tables!$M$5:$M$8,0),MATCH($R733,Tables!$N$4:$Q$4,0))</f>
        <v>2748</v>
      </c>
      <c r="T733" s="2" t="str">
        <f t="shared" si="183"/>
        <v>0ABC</v>
      </c>
      <c r="U733" s="2">
        <f t="shared" si="189"/>
        <v>687</v>
      </c>
      <c r="V733" s="2" t="str">
        <f t="shared" si="184"/>
        <v>2AF</v>
      </c>
      <c r="W733" s="2" t="str">
        <f t="shared" si="185"/>
        <v>X</v>
      </c>
      <c r="X733" s="2" t="str">
        <f t="shared" si="188"/>
        <v>X</v>
      </c>
      <c r="Y733" s="2" t="str">
        <f t="shared" si="186"/>
        <v>X</v>
      </c>
      <c r="Z733" s="2" t="str">
        <f t="shared" si="187"/>
        <v>X</v>
      </c>
      <c r="AA733" s="2" t="str">
        <f t="shared" si="190"/>
        <v>(31 downto 24)</v>
      </c>
      <c r="AB733" s="2" t="str">
        <f t="shared" si="191"/>
        <v>(23 downto 16)</v>
      </c>
      <c r="AC733" s="2" t="str">
        <f t="shared" si="192"/>
        <v>(15 downto 8)</v>
      </c>
      <c r="AD733" s="2" t="str">
        <f t="shared" si="193"/>
        <v>(7 downto 0)</v>
      </c>
      <c r="AE733" s="2" t="str">
        <f t="shared" si="194"/>
        <v>(31 downto 24)</v>
      </c>
      <c r="AF733" s="2" t="str">
        <f t="shared" si="195"/>
        <v>(23 downto 16)</v>
      </c>
      <c r="AG733" s="2" t="str">
        <f t="shared" si="196"/>
        <v>(15 downto 8)</v>
      </c>
      <c r="AH733" s="2" t="str">
        <f t="shared" si="197"/>
        <v>(7 downto 0)</v>
      </c>
    </row>
    <row r="734" spans="2:34" x14ac:dyDescent="0.25">
      <c r="B734" s="2" t="s">
        <v>2017</v>
      </c>
      <c r="C734" s="2" t="s">
        <v>141</v>
      </c>
      <c r="D734" s="2" t="s">
        <v>0</v>
      </c>
      <c r="E734" s="2" t="s">
        <v>130</v>
      </c>
      <c r="F734" s="2" t="s">
        <v>2018</v>
      </c>
      <c r="G734" s="2" t="s">
        <v>2019</v>
      </c>
      <c r="H734" s="2" t="s">
        <v>142</v>
      </c>
      <c r="I734" s="2" t="s">
        <v>41</v>
      </c>
      <c r="J734" s="2">
        <v>32</v>
      </c>
      <c r="K734" s="2" t="s">
        <v>132</v>
      </c>
      <c r="L734" s="2" t="s">
        <v>40</v>
      </c>
      <c r="P734" s="2" t="s">
        <v>48</v>
      </c>
      <c r="Q734" s="2">
        <f>INDEX(Tables!$C$4:$C$28,MATCH($P734,Tables!$B$4:$B$28,0))</f>
        <v>32</v>
      </c>
      <c r="R734" s="2">
        <f>INDEX(Tables!$D$4:$D$28,MATCH($P734,Tables!$B$4:$B$28,0))</f>
        <v>4</v>
      </c>
      <c r="S734" s="2">
        <f>$S733+$R733+INDEX(Tables!$N$5:$Q$8,MATCH(MOD($S733+$R733,4),Tables!$M$5:$M$8,0),MATCH($R734,Tables!$N$4:$Q$4,0))</f>
        <v>2752</v>
      </c>
      <c r="T734" s="2" t="str">
        <f t="shared" si="183"/>
        <v>0AC0</v>
      </c>
      <c r="U734" s="2">
        <f t="shared" si="189"/>
        <v>688</v>
      </c>
      <c r="V734" s="2" t="str">
        <f t="shared" si="184"/>
        <v>2B0</v>
      </c>
      <c r="W734" s="2" t="str">
        <f t="shared" si="185"/>
        <v>X</v>
      </c>
      <c r="X734" s="2" t="str">
        <f t="shared" si="188"/>
        <v>X</v>
      </c>
      <c r="Y734" s="2" t="str">
        <f t="shared" si="186"/>
        <v>X</v>
      </c>
      <c r="Z734" s="2" t="str">
        <f t="shared" si="187"/>
        <v>X</v>
      </c>
      <c r="AA734" s="2" t="str">
        <f t="shared" si="190"/>
        <v>(31 downto 24)</v>
      </c>
      <c r="AB734" s="2" t="str">
        <f t="shared" si="191"/>
        <v>(23 downto 16)</v>
      </c>
      <c r="AC734" s="2" t="str">
        <f t="shared" si="192"/>
        <v>(15 downto 8)</v>
      </c>
      <c r="AD734" s="2" t="str">
        <f t="shared" si="193"/>
        <v>(7 downto 0)</v>
      </c>
      <c r="AE734" s="2" t="str">
        <f t="shared" si="194"/>
        <v>(31 downto 24)</v>
      </c>
      <c r="AF734" s="2" t="str">
        <f t="shared" si="195"/>
        <v>(23 downto 16)</v>
      </c>
      <c r="AG734" s="2" t="str">
        <f t="shared" si="196"/>
        <v>(15 downto 8)</v>
      </c>
      <c r="AH734" s="2" t="str">
        <f t="shared" si="197"/>
        <v>(7 downto 0)</v>
      </c>
    </row>
    <row r="735" spans="2:34" x14ac:dyDescent="0.25">
      <c r="B735" s="2" t="s">
        <v>2020</v>
      </c>
      <c r="C735" s="2" t="s">
        <v>141</v>
      </c>
      <c r="D735" s="2" t="s">
        <v>0</v>
      </c>
      <c r="E735" s="2" t="s">
        <v>130</v>
      </c>
      <c r="F735" s="2" t="s">
        <v>2021</v>
      </c>
      <c r="G735" s="2" t="s">
        <v>2022</v>
      </c>
      <c r="H735" s="2" t="s">
        <v>142</v>
      </c>
      <c r="I735" s="2" t="s">
        <v>41</v>
      </c>
      <c r="J735" s="2">
        <v>32</v>
      </c>
      <c r="K735" s="2" t="s">
        <v>132</v>
      </c>
      <c r="L735" s="2" t="s">
        <v>40</v>
      </c>
      <c r="P735" s="2" t="s">
        <v>48</v>
      </c>
      <c r="Q735" s="2">
        <f>INDEX(Tables!$C$4:$C$28,MATCH($P735,Tables!$B$4:$B$28,0))</f>
        <v>32</v>
      </c>
      <c r="R735" s="2">
        <f>INDEX(Tables!$D$4:$D$28,MATCH($P735,Tables!$B$4:$B$28,0))</f>
        <v>4</v>
      </c>
      <c r="S735" s="2">
        <f>$S734+$R734+INDEX(Tables!$N$5:$Q$8,MATCH(MOD($S734+$R734,4),Tables!$M$5:$M$8,0),MATCH($R735,Tables!$N$4:$Q$4,0))</f>
        <v>2756</v>
      </c>
      <c r="T735" s="2" t="str">
        <f t="shared" si="183"/>
        <v>0AC4</v>
      </c>
      <c r="U735" s="2">
        <f t="shared" si="189"/>
        <v>689</v>
      </c>
      <c r="V735" s="2" t="str">
        <f t="shared" si="184"/>
        <v>2B1</v>
      </c>
      <c r="W735" s="2" t="str">
        <f t="shared" si="185"/>
        <v>X</v>
      </c>
      <c r="X735" s="2" t="str">
        <f t="shared" si="188"/>
        <v>X</v>
      </c>
      <c r="Y735" s="2" t="str">
        <f t="shared" si="186"/>
        <v>X</v>
      </c>
      <c r="Z735" s="2" t="str">
        <f t="shared" si="187"/>
        <v>X</v>
      </c>
      <c r="AA735" s="2" t="str">
        <f t="shared" si="190"/>
        <v>(31 downto 24)</v>
      </c>
      <c r="AB735" s="2" t="str">
        <f t="shared" si="191"/>
        <v>(23 downto 16)</v>
      </c>
      <c r="AC735" s="2" t="str">
        <f t="shared" si="192"/>
        <v>(15 downto 8)</v>
      </c>
      <c r="AD735" s="2" t="str">
        <f t="shared" si="193"/>
        <v>(7 downto 0)</v>
      </c>
      <c r="AE735" s="2" t="str">
        <f t="shared" si="194"/>
        <v>(31 downto 24)</v>
      </c>
      <c r="AF735" s="2" t="str">
        <f t="shared" si="195"/>
        <v>(23 downto 16)</v>
      </c>
      <c r="AG735" s="2" t="str">
        <f t="shared" si="196"/>
        <v>(15 downto 8)</v>
      </c>
      <c r="AH735" s="2" t="str">
        <f t="shared" si="197"/>
        <v>(7 downto 0)</v>
      </c>
    </row>
    <row r="736" spans="2:34" x14ac:dyDescent="0.25">
      <c r="B736" s="2" t="s">
        <v>2023</v>
      </c>
      <c r="C736" s="2" t="s">
        <v>141</v>
      </c>
      <c r="D736" s="2" t="s">
        <v>0</v>
      </c>
      <c r="E736" s="2" t="s">
        <v>130</v>
      </c>
      <c r="F736" s="2" t="s">
        <v>2024</v>
      </c>
      <c r="G736" s="2" t="s">
        <v>2025</v>
      </c>
      <c r="H736" s="2" t="s">
        <v>142</v>
      </c>
      <c r="I736" s="2" t="s">
        <v>41</v>
      </c>
      <c r="J736" s="2">
        <v>32</v>
      </c>
      <c r="K736" s="2" t="s">
        <v>132</v>
      </c>
      <c r="L736" s="2" t="s">
        <v>40</v>
      </c>
      <c r="P736" s="2" t="s">
        <v>48</v>
      </c>
      <c r="Q736" s="2">
        <f>INDEX(Tables!$C$4:$C$28,MATCH($P736,Tables!$B$4:$B$28,0))</f>
        <v>32</v>
      </c>
      <c r="R736" s="2">
        <f>INDEX(Tables!$D$4:$D$28,MATCH($P736,Tables!$B$4:$B$28,0))</f>
        <v>4</v>
      </c>
      <c r="S736" s="2">
        <f>$S735+$R735+INDEX(Tables!$N$5:$Q$8,MATCH(MOD($S735+$R735,4),Tables!$M$5:$M$8,0),MATCH($R736,Tables!$N$4:$Q$4,0))</f>
        <v>2760</v>
      </c>
      <c r="T736" s="2" t="str">
        <f t="shared" si="183"/>
        <v>0AC8</v>
      </c>
      <c r="U736" s="2">
        <f t="shared" si="189"/>
        <v>690</v>
      </c>
      <c r="V736" s="2" t="str">
        <f t="shared" si="184"/>
        <v>2B2</v>
      </c>
      <c r="W736" s="2" t="str">
        <f t="shared" si="185"/>
        <v>X</v>
      </c>
      <c r="X736" s="2" t="str">
        <f t="shared" si="188"/>
        <v>X</v>
      </c>
      <c r="Y736" s="2" t="str">
        <f t="shared" si="186"/>
        <v>X</v>
      </c>
      <c r="Z736" s="2" t="str">
        <f t="shared" si="187"/>
        <v>X</v>
      </c>
      <c r="AA736" s="2" t="str">
        <f t="shared" si="190"/>
        <v>(31 downto 24)</v>
      </c>
      <c r="AB736" s="2" t="str">
        <f t="shared" si="191"/>
        <v>(23 downto 16)</v>
      </c>
      <c r="AC736" s="2" t="str">
        <f t="shared" si="192"/>
        <v>(15 downto 8)</v>
      </c>
      <c r="AD736" s="2" t="str">
        <f t="shared" si="193"/>
        <v>(7 downto 0)</v>
      </c>
      <c r="AE736" s="2" t="str">
        <f t="shared" si="194"/>
        <v>(31 downto 24)</v>
      </c>
      <c r="AF736" s="2" t="str">
        <f t="shared" si="195"/>
        <v>(23 downto 16)</v>
      </c>
      <c r="AG736" s="2" t="str">
        <f t="shared" si="196"/>
        <v>(15 downto 8)</v>
      </c>
      <c r="AH736" s="2" t="str">
        <f t="shared" si="197"/>
        <v>(7 downto 0)</v>
      </c>
    </row>
    <row r="737" spans="2:34" x14ac:dyDescent="0.25">
      <c r="B737" s="2" t="s">
        <v>2026</v>
      </c>
      <c r="C737" s="2" t="s">
        <v>141</v>
      </c>
      <c r="D737" s="2" t="s">
        <v>0</v>
      </c>
      <c r="E737" s="2" t="s">
        <v>130</v>
      </c>
      <c r="F737" s="2" t="s">
        <v>2027</v>
      </c>
      <c r="G737" s="2" t="s">
        <v>2028</v>
      </c>
      <c r="H737" s="2" t="s">
        <v>142</v>
      </c>
      <c r="I737" s="2" t="s">
        <v>41</v>
      </c>
      <c r="J737" s="2">
        <v>32</v>
      </c>
      <c r="K737" s="2" t="s">
        <v>132</v>
      </c>
      <c r="L737" s="2" t="s">
        <v>40</v>
      </c>
      <c r="P737" s="2" t="s">
        <v>48</v>
      </c>
      <c r="Q737" s="2">
        <f>INDEX(Tables!$C$4:$C$28,MATCH($P737,Tables!$B$4:$B$28,0))</f>
        <v>32</v>
      </c>
      <c r="R737" s="2">
        <f>INDEX(Tables!$D$4:$D$28,MATCH($P737,Tables!$B$4:$B$28,0))</f>
        <v>4</v>
      </c>
      <c r="S737" s="2">
        <f>$S736+$R736+INDEX(Tables!$N$5:$Q$8,MATCH(MOD($S736+$R736,4),Tables!$M$5:$M$8,0),MATCH($R737,Tables!$N$4:$Q$4,0))</f>
        <v>2764</v>
      </c>
      <c r="T737" s="2" t="str">
        <f t="shared" si="183"/>
        <v>0ACC</v>
      </c>
      <c r="U737" s="2">
        <f t="shared" si="189"/>
        <v>691</v>
      </c>
      <c r="V737" s="2" t="str">
        <f t="shared" si="184"/>
        <v>2B3</v>
      </c>
      <c r="W737" s="2" t="str">
        <f t="shared" si="185"/>
        <v>X</v>
      </c>
      <c r="X737" s="2" t="str">
        <f t="shared" si="188"/>
        <v>X</v>
      </c>
      <c r="Y737" s="2" t="str">
        <f t="shared" si="186"/>
        <v>X</v>
      </c>
      <c r="Z737" s="2" t="str">
        <f t="shared" si="187"/>
        <v>X</v>
      </c>
      <c r="AA737" s="2" t="str">
        <f t="shared" si="190"/>
        <v>(31 downto 24)</v>
      </c>
      <c r="AB737" s="2" t="str">
        <f t="shared" si="191"/>
        <v>(23 downto 16)</v>
      </c>
      <c r="AC737" s="2" t="str">
        <f t="shared" si="192"/>
        <v>(15 downto 8)</v>
      </c>
      <c r="AD737" s="2" t="str">
        <f t="shared" si="193"/>
        <v>(7 downto 0)</v>
      </c>
      <c r="AE737" s="2" t="str">
        <f t="shared" si="194"/>
        <v>(31 downto 24)</v>
      </c>
      <c r="AF737" s="2" t="str">
        <f t="shared" si="195"/>
        <v>(23 downto 16)</v>
      </c>
      <c r="AG737" s="2" t="str">
        <f t="shared" si="196"/>
        <v>(15 downto 8)</v>
      </c>
      <c r="AH737" s="2" t="str">
        <f t="shared" si="197"/>
        <v>(7 downto 0)</v>
      </c>
    </row>
    <row r="738" spans="2:34" x14ac:dyDescent="0.25">
      <c r="B738" s="2" t="s">
        <v>2029</v>
      </c>
      <c r="C738" s="2" t="s">
        <v>141</v>
      </c>
      <c r="D738" s="2" t="s">
        <v>0</v>
      </c>
      <c r="E738" s="2" t="s">
        <v>130</v>
      </c>
      <c r="F738" s="2" t="s">
        <v>2030</v>
      </c>
      <c r="G738" s="2" t="s">
        <v>2031</v>
      </c>
      <c r="H738" s="2" t="s">
        <v>142</v>
      </c>
      <c r="I738" s="2" t="s">
        <v>41</v>
      </c>
      <c r="J738" s="2">
        <v>32</v>
      </c>
      <c r="K738" s="2" t="s">
        <v>132</v>
      </c>
      <c r="L738" s="2" t="s">
        <v>40</v>
      </c>
      <c r="P738" s="2" t="s">
        <v>48</v>
      </c>
      <c r="Q738" s="2">
        <f>INDEX(Tables!$C$4:$C$28,MATCH($P738,Tables!$B$4:$B$28,0))</f>
        <v>32</v>
      </c>
      <c r="R738" s="2">
        <f>INDEX(Tables!$D$4:$D$28,MATCH($P738,Tables!$B$4:$B$28,0))</f>
        <v>4</v>
      </c>
      <c r="S738" s="2">
        <f>$S737+$R737+INDEX(Tables!$N$5:$Q$8,MATCH(MOD($S737+$R737,4),Tables!$M$5:$M$8,0),MATCH($R738,Tables!$N$4:$Q$4,0))</f>
        <v>2768</v>
      </c>
      <c r="T738" s="2" t="str">
        <f t="shared" si="183"/>
        <v>0AD0</v>
      </c>
      <c r="U738" s="2">
        <f t="shared" si="189"/>
        <v>692</v>
      </c>
      <c r="V738" s="2" t="str">
        <f t="shared" si="184"/>
        <v>2B4</v>
      </c>
      <c r="W738" s="2" t="str">
        <f t="shared" si="185"/>
        <v>X</v>
      </c>
      <c r="X738" s="2" t="str">
        <f t="shared" si="188"/>
        <v>X</v>
      </c>
      <c r="Y738" s="2" t="str">
        <f t="shared" si="186"/>
        <v>X</v>
      </c>
      <c r="Z738" s="2" t="str">
        <f t="shared" si="187"/>
        <v>X</v>
      </c>
      <c r="AA738" s="2" t="str">
        <f t="shared" si="190"/>
        <v>(31 downto 24)</v>
      </c>
      <c r="AB738" s="2" t="str">
        <f t="shared" si="191"/>
        <v>(23 downto 16)</v>
      </c>
      <c r="AC738" s="2" t="str">
        <f t="shared" si="192"/>
        <v>(15 downto 8)</v>
      </c>
      <c r="AD738" s="2" t="str">
        <f t="shared" si="193"/>
        <v>(7 downto 0)</v>
      </c>
      <c r="AE738" s="2" t="str">
        <f t="shared" si="194"/>
        <v>(31 downto 24)</v>
      </c>
      <c r="AF738" s="2" t="str">
        <f t="shared" si="195"/>
        <v>(23 downto 16)</v>
      </c>
      <c r="AG738" s="2" t="str">
        <f t="shared" si="196"/>
        <v>(15 downto 8)</v>
      </c>
      <c r="AH738" s="2" t="str">
        <f t="shared" si="197"/>
        <v>(7 downto 0)</v>
      </c>
    </row>
    <row r="739" spans="2:34" x14ac:dyDescent="0.25">
      <c r="B739" s="2" t="s">
        <v>2032</v>
      </c>
      <c r="C739" s="2" t="s">
        <v>141</v>
      </c>
      <c r="D739" s="2" t="s">
        <v>0</v>
      </c>
      <c r="E739" s="2" t="s">
        <v>130</v>
      </c>
      <c r="F739" s="2" t="s">
        <v>2033</v>
      </c>
      <c r="G739" s="2" t="s">
        <v>2034</v>
      </c>
      <c r="H739" s="2" t="s">
        <v>142</v>
      </c>
      <c r="I739" s="2" t="s">
        <v>41</v>
      </c>
      <c r="J739" s="2">
        <v>32</v>
      </c>
      <c r="K739" s="2" t="s">
        <v>132</v>
      </c>
      <c r="L739" s="2" t="s">
        <v>40</v>
      </c>
      <c r="P739" s="2" t="s">
        <v>48</v>
      </c>
      <c r="Q739" s="2">
        <f>INDEX(Tables!$C$4:$C$28,MATCH($P739,Tables!$B$4:$B$28,0))</f>
        <v>32</v>
      </c>
      <c r="R739" s="2">
        <f>INDEX(Tables!$D$4:$D$28,MATCH($P739,Tables!$B$4:$B$28,0))</f>
        <v>4</v>
      </c>
      <c r="S739" s="2">
        <f>$S738+$R738+INDEX(Tables!$N$5:$Q$8,MATCH(MOD($S738+$R738,4),Tables!$M$5:$M$8,0),MATCH($R739,Tables!$N$4:$Q$4,0))</f>
        <v>2772</v>
      </c>
      <c r="T739" s="2" t="str">
        <f t="shared" si="183"/>
        <v>0AD4</v>
      </c>
      <c r="U739" s="2">
        <f t="shared" si="189"/>
        <v>693</v>
      </c>
      <c r="V739" s="2" t="str">
        <f t="shared" si="184"/>
        <v>2B5</v>
      </c>
      <c r="W739" s="2" t="str">
        <f t="shared" si="185"/>
        <v>X</v>
      </c>
      <c r="X739" s="2" t="str">
        <f t="shared" si="188"/>
        <v>X</v>
      </c>
      <c r="Y739" s="2" t="str">
        <f t="shared" si="186"/>
        <v>X</v>
      </c>
      <c r="Z739" s="2" t="str">
        <f t="shared" si="187"/>
        <v>X</v>
      </c>
      <c r="AA739" s="2" t="str">
        <f t="shared" si="190"/>
        <v>(31 downto 24)</v>
      </c>
      <c r="AB739" s="2" t="str">
        <f t="shared" si="191"/>
        <v>(23 downto 16)</v>
      </c>
      <c r="AC739" s="2" t="str">
        <f t="shared" si="192"/>
        <v>(15 downto 8)</v>
      </c>
      <c r="AD739" s="2" t="str">
        <f t="shared" si="193"/>
        <v>(7 downto 0)</v>
      </c>
      <c r="AE739" s="2" t="str">
        <f t="shared" si="194"/>
        <v>(31 downto 24)</v>
      </c>
      <c r="AF739" s="2" t="str">
        <f t="shared" si="195"/>
        <v>(23 downto 16)</v>
      </c>
      <c r="AG739" s="2" t="str">
        <f t="shared" si="196"/>
        <v>(15 downto 8)</v>
      </c>
      <c r="AH739" s="2" t="str">
        <f t="shared" si="197"/>
        <v>(7 downto 0)</v>
      </c>
    </row>
    <row r="740" spans="2:34" x14ac:dyDescent="0.25">
      <c r="B740" s="2" t="s">
        <v>2035</v>
      </c>
      <c r="C740" s="2" t="s">
        <v>141</v>
      </c>
      <c r="D740" s="2" t="s">
        <v>0</v>
      </c>
      <c r="E740" s="2" t="s">
        <v>130</v>
      </c>
      <c r="F740" s="2" t="s">
        <v>2036</v>
      </c>
      <c r="G740" s="2" t="s">
        <v>2037</v>
      </c>
      <c r="H740" s="2" t="s">
        <v>142</v>
      </c>
      <c r="I740" s="2" t="s">
        <v>41</v>
      </c>
      <c r="J740" s="2">
        <v>32</v>
      </c>
      <c r="K740" s="2" t="s">
        <v>132</v>
      </c>
      <c r="L740" s="2" t="s">
        <v>40</v>
      </c>
      <c r="P740" s="2" t="s">
        <v>48</v>
      </c>
      <c r="Q740" s="2">
        <f>INDEX(Tables!$C$4:$C$28,MATCH($P740,Tables!$B$4:$B$28,0))</f>
        <v>32</v>
      </c>
      <c r="R740" s="2">
        <f>INDEX(Tables!$D$4:$D$28,MATCH($P740,Tables!$B$4:$B$28,0))</f>
        <v>4</v>
      </c>
      <c r="S740" s="2">
        <f>$S739+$R739+INDEX(Tables!$N$5:$Q$8,MATCH(MOD($S739+$R739,4),Tables!$M$5:$M$8,0),MATCH($R740,Tables!$N$4:$Q$4,0))</f>
        <v>2776</v>
      </c>
      <c r="T740" s="2" t="str">
        <f t="shared" si="183"/>
        <v>0AD8</v>
      </c>
      <c r="U740" s="2">
        <f t="shared" si="189"/>
        <v>694</v>
      </c>
      <c r="V740" s="2" t="str">
        <f t="shared" si="184"/>
        <v>2B6</v>
      </c>
      <c r="W740" s="2" t="str">
        <f t="shared" si="185"/>
        <v>X</v>
      </c>
      <c r="X740" s="2" t="str">
        <f t="shared" si="188"/>
        <v>X</v>
      </c>
      <c r="Y740" s="2" t="str">
        <f t="shared" si="186"/>
        <v>X</v>
      </c>
      <c r="Z740" s="2" t="str">
        <f t="shared" si="187"/>
        <v>X</v>
      </c>
      <c r="AA740" s="2" t="str">
        <f t="shared" si="190"/>
        <v>(31 downto 24)</v>
      </c>
      <c r="AB740" s="2" t="str">
        <f t="shared" si="191"/>
        <v>(23 downto 16)</v>
      </c>
      <c r="AC740" s="2" t="str">
        <f t="shared" si="192"/>
        <v>(15 downto 8)</v>
      </c>
      <c r="AD740" s="2" t="str">
        <f t="shared" si="193"/>
        <v>(7 downto 0)</v>
      </c>
      <c r="AE740" s="2" t="str">
        <f t="shared" si="194"/>
        <v>(31 downto 24)</v>
      </c>
      <c r="AF740" s="2" t="str">
        <f t="shared" si="195"/>
        <v>(23 downto 16)</v>
      </c>
      <c r="AG740" s="2" t="str">
        <f t="shared" si="196"/>
        <v>(15 downto 8)</v>
      </c>
      <c r="AH740" s="2" t="str">
        <f t="shared" si="197"/>
        <v>(7 downto 0)</v>
      </c>
    </row>
    <row r="741" spans="2:34" x14ac:dyDescent="0.25">
      <c r="B741" s="2" t="s">
        <v>2038</v>
      </c>
      <c r="C741" s="2" t="s">
        <v>141</v>
      </c>
      <c r="D741" s="2" t="s">
        <v>0</v>
      </c>
      <c r="E741" s="2" t="s">
        <v>130</v>
      </c>
      <c r="F741" s="2" t="s">
        <v>2039</v>
      </c>
      <c r="G741" s="2" t="s">
        <v>2040</v>
      </c>
      <c r="H741" s="2" t="s">
        <v>142</v>
      </c>
      <c r="I741" s="2" t="s">
        <v>41</v>
      </c>
      <c r="J741" s="2">
        <v>32</v>
      </c>
      <c r="K741" s="2" t="s">
        <v>132</v>
      </c>
      <c r="L741" s="2" t="s">
        <v>40</v>
      </c>
      <c r="P741" s="2" t="s">
        <v>48</v>
      </c>
      <c r="Q741" s="2">
        <f>INDEX(Tables!$C$4:$C$28,MATCH($P741,Tables!$B$4:$B$28,0))</f>
        <v>32</v>
      </c>
      <c r="R741" s="2">
        <f>INDEX(Tables!$D$4:$D$28,MATCH($P741,Tables!$B$4:$B$28,0))</f>
        <v>4</v>
      </c>
      <c r="S741" s="2">
        <f>$S740+$R740+INDEX(Tables!$N$5:$Q$8,MATCH(MOD($S740+$R740,4),Tables!$M$5:$M$8,0),MATCH($R741,Tables!$N$4:$Q$4,0))</f>
        <v>2780</v>
      </c>
      <c r="T741" s="2" t="str">
        <f t="shared" si="183"/>
        <v>0ADC</v>
      </c>
      <c r="U741" s="2">
        <f t="shared" si="189"/>
        <v>695</v>
      </c>
      <c r="V741" s="2" t="str">
        <f t="shared" si="184"/>
        <v>2B7</v>
      </c>
      <c r="W741" s="2" t="str">
        <f t="shared" si="185"/>
        <v>X</v>
      </c>
      <c r="X741" s="2" t="str">
        <f t="shared" si="188"/>
        <v>X</v>
      </c>
      <c r="Y741" s="2" t="str">
        <f t="shared" si="186"/>
        <v>X</v>
      </c>
      <c r="Z741" s="2" t="str">
        <f t="shared" si="187"/>
        <v>X</v>
      </c>
      <c r="AA741" s="2" t="str">
        <f t="shared" si="190"/>
        <v>(31 downto 24)</v>
      </c>
      <c r="AB741" s="2" t="str">
        <f t="shared" si="191"/>
        <v>(23 downto 16)</v>
      </c>
      <c r="AC741" s="2" t="str">
        <f t="shared" si="192"/>
        <v>(15 downto 8)</v>
      </c>
      <c r="AD741" s="2" t="str">
        <f t="shared" si="193"/>
        <v>(7 downto 0)</v>
      </c>
      <c r="AE741" s="2" t="str">
        <f t="shared" si="194"/>
        <v>(31 downto 24)</v>
      </c>
      <c r="AF741" s="2" t="str">
        <f t="shared" si="195"/>
        <v>(23 downto 16)</v>
      </c>
      <c r="AG741" s="2" t="str">
        <f t="shared" si="196"/>
        <v>(15 downto 8)</v>
      </c>
      <c r="AH741" s="2" t="str">
        <f t="shared" si="197"/>
        <v>(7 downto 0)</v>
      </c>
    </row>
    <row r="742" spans="2:34" x14ac:dyDescent="0.25">
      <c r="B742" s="2" t="s">
        <v>2041</v>
      </c>
      <c r="C742" s="2" t="s">
        <v>141</v>
      </c>
      <c r="D742" s="2" t="s">
        <v>0</v>
      </c>
      <c r="E742" s="2" t="s">
        <v>130</v>
      </c>
      <c r="F742" s="2" t="s">
        <v>2042</v>
      </c>
      <c r="G742" s="2" t="s">
        <v>2043</v>
      </c>
      <c r="H742" s="2" t="s">
        <v>142</v>
      </c>
      <c r="I742" s="2" t="s">
        <v>41</v>
      </c>
      <c r="J742" s="2">
        <v>32</v>
      </c>
      <c r="K742" s="2" t="s">
        <v>132</v>
      </c>
      <c r="L742" s="2" t="s">
        <v>40</v>
      </c>
      <c r="P742" s="2" t="s">
        <v>48</v>
      </c>
      <c r="Q742" s="2">
        <f>INDEX(Tables!$C$4:$C$28,MATCH($P742,Tables!$B$4:$B$28,0))</f>
        <v>32</v>
      </c>
      <c r="R742" s="2">
        <f>INDEX(Tables!$D$4:$D$28,MATCH($P742,Tables!$B$4:$B$28,0))</f>
        <v>4</v>
      </c>
      <c r="S742" s="2">
        <f>$S741+$R741+INDEX(Tables!$N$5:$Q$8,MATCH(MOD($S741+$R741,4),Tables!$M$5:$M$8,0),MATCH($R742,Tables!$N$4:$Q$4,0))</f>
        <v>2784</v>
      </c>
      <c r="T742" s="2" t="str">
        <f t="shared" si="183"/>
        <v>0AE0</v>
      </c>
      <c r="U742" s="2">
        <f t="shared" si="189"/>
        <v>696</v>
      </c>
      <c r="V742" s="2" t="str">
        <f t="shared" si="184"/>
        <v>2B8</v>
      </c>
      <c r="W742" s="2" t="str">
        <f t="shared" si="185"/>
        <v>X</v>
      </c>
      <c r="X742" s="2" t="str">
        <f t="shared" si="188"/>
        <v>X</v>
      </c>
      <c r="Y742" s="2" t="str">
        <f t="shared" si="186"/>
        <v>X</v>
      </c>
      <c r="Z742" s="2" t="str">
        <f t="shared" si="187"/>
        <v>X</v>
      </c>
      <c r="AA742" s="2" t="str">
        <f t="shared" si="190"/>
        <v>(31 downto 24)</v>
      </c>
      <c r="AB742" s="2" t="str">
        <f t="shared" si="191"/>
        <v>(23 downto 16)</v>
      </c>
      <c r="AC742" s="2" t="str">
        <f t="shared" si="192"/>
        <v>(15 downto 8)</v>
      </c>
      <c r="AD742" s="2" t="str">
        <f t="shared" si="193"/>
        <v>(7 downto 0)</v>
      </c>
      <c r="AE742" s="2" t="str">
        <f t="shared" si="194"/>
        <v>(31 downto 24)</v>
      </c>
      <c r="AF742" s="2" t="str">
        <f t="shared" si="195"/>
        <v>(23 downto 16)</v>
      </c>
      <c r="AG742" s="2" t="str">
        <f t="shared" si="196"/>
        <v>(15 downto 8)</v>
      </c>
      <c r="AH742" s="2" t="str">
        <f t="shared" si="197"/>
        <v>(7 downto 0)</v>
      </c>
    </row>
    <row r="743" spans="2:34" x14ac:dyDescent="0.25">
      <c r="B743" s="2" t="s">
        <v>2044</v>
      </c>
      <c r="C743" s="2" t="s">
        <v>141</v>
      </c>
      <c r="D743" s="2" t="s">
        <v>0</v>
      </c>
      <c r="E743" s="2" t="s">
        <v>130</v>
      </c>
      <c r="F743" s="2" t="s">
        <v>2045</v>
      </c>
      <c r="G743" s="2" t="s">
        <v>2046</v>
      </c>
      <c r="H743" s="2" t="s">
        <v>142</v>
      </c>
      <c r="I743" s="2" t="s">
        <v>41</v>
      </c>
      <c r="J743" s="2">
        <v>32</v>
      </c>
      <c r="K743" s="2" t="s">
        <v>132</v>
      </c>
      <c r="L743" s="2" t="s">
        <v>40</v>
      </c>
      <c r="P743" s="2" t="s">
        <v>48</v>
      </c>
      <c r="Q743" s="2">
        <f>INDEX(Tables!$C$4:$C$28,MATCH($P743,Tables!$B$4:$B$28,0))</f>
        <v>32</v>
      </c>
      <c r="R743" s="2">
        <f>INDEX(Tables!$D$4:$D$28,MATCH($P743,Tables!$B$4:$B$28,0))</f>
        <v>4</v>
      </c>
      <c r="S743" s="2">
        <f>$S742+$R742+INDEX(Tables!$N$5:$Q$8,MATCH(MOD($S742+$R742,4),Tables!$M$5:$M$8,0),MATCH($R743,Tables!$N$4:$Q$4,0))</f>
        <v>2788</v>
      </c>
      <c r="T743" s="2" t="str">
        <f t="shared" si="183"/>
        <v>0AE4</v>
      </c>
      <c r="U743" s="2">
        <f t="shared" si="189"/>
        <v>697</v>
      </c>
      <c r="V743" s="2" t="str">
        <f t="shared" si="184"/>
        <v>2B9</v>
      </c>
      <c r="W743" s="2" t="str">
        <f t="shared" si="185"/>
        <v>X</v>
      </c>
      <c r="X743" s="2" t="str">
        <f t="shared" si="188"/>
        <v>X</v>
      </c>
      <c r="Y743" s="2" t="str">
        <f t="shared" si="186"/>
        <v>X</v>
      </c>
      <c r="Z743" s="2" t="str">
        <f t="shared" si="187"/>
        <v>X</v>
      </c>
      <c r="AA743" s="2" t="str">
        <f t="shared" si="190"/>
        <v>(31 downto 24)</v>
      </c>
      <c r="AB743" s="2" t="str">
        <f t="shared" si="191"/>
        <v>(23 downto 16)</v>
      </c>
      <c r="AC743" s="2" t="str">
        <f t="shared" si="192"/>
        <v>(15 downto 8)</v>
      </c>
      <c r="AD743" s="2" t="str">
        <f t="shared" si="193"/>
        <v>(7 downto 0)</v>
      </c>
      <c r="AE743" s="2" t="str">
        <f t="shared" si="194"/>
        <v>(31 downto 24)</v>
      </c>
      <c r="AF743" s="2" t="str">
        <f t="shared" si="195"/>
        <v>(23 downto 16)</v>
      </c>
      <c r="AG743" s="2" t="str">
        <f t="shared" si="196"/>
        <v>(15 downto 8)</v>
      </c>
      <c r="AH743" s="2" t="str">
        <f t="shared" si="197"/>
        <v>(7 downto 0)</v>
      </c>
    </row>
    <row r="744" spans="2:34" x14ac:dyDescent="0.25">
      <c r="B744" s="2" t="s">
        <v>2047</v>
      </c>
      <c r="C744" s="2" t="s">
        <v>141</v>
      </c>
      <c r="D744" s="2" t="s">
        <v>0</v>
      </c>
      <c r="E744" s="2" t="s">
        <v>130</v>
      </c>
      <c r="F744" s="2" t="s">
        <v>2048</v>
      </c>
      <c r="G744" s="2" t="s">
        <v>2049</v>
      </c>
      <c r="H744" s="2" t="s">
        <v>142</v>
      </c>
      <c r="I744" s="2" t="s">
        <v>41</v>
      </c>
      <c r="J744" s="2">
        <v>32</v>
      </c>
      <c r="K744" s="2" t="s">
        <v>132</v>
      </c>
      <c r="L744" s="2" t="s">
        <v>40</v>
      </c>
      <c r="P744" s="2" t="s">
        <v>48</v>
      </c>
      <c r="Q744" s="2">
        <f>INDEX(Tables!$C$4:$C$28,MATCH($P744,Tables!$B$4:$B$28,0))</f>
        <v>32</v>
      </c>
      <c r="R744" s="2">
        <f>INDEX(Tables!$D$4:$D$28,MATCH($P744,Tables!$B$4:$B$28,0))</f>
        <v>4</v>
      </c>
      <c r="S744" s="2">
        <f>$S743+$R743+INDEX(Tables!$N$5:$Q$8,MATCH(MOD($S743+$R743,4),Tables!$M$5:$M$8,0),MATCH($R744,Tables!$N$4:$Q$4,0))</f>
        <v>2792</v>
      </c>
      <c r="T744" s="2" t="str">
        <f t="shared" si="183"/>
        <v>0AE8</v>
      </c>
      <c r="U744" s="2">
        <f t="shared" si="189"/>
        <v>698</v>
      </c>
      <c r="V744" s="2" t="str">
        <f t="shared" si="184"/>
        <v>2BA</v>
      </c>
      <c r="W744" s="2" t="str">
        <f t="shared" si="185"/>
        <v>X</v>
      </c>
      <c r="X744" s="2" t="str">
        <f t="shared" si="188"/>
        <v>X</v>
      </c>
      <c r="Y744" s="2" t="str">
        <f t="shared" si="186"/>
        <v>X</v>
      </c>
      <c r="Z744" s="2" t="str">
        <f t="shared" si="187"/>
        <v>X</v>
      </c>
      <c r="AA744" s="2" t="str">
        <f t="shared" si="190"/>
        <v>(31 downto 24)</v>
      </c>
      <c r="AB744" s="2" t="str">
        <f t="shared" si="191"/>
        <v>(23 downto 16)</v>
      </c>
      <c r="AC744" s="2" t="str">
        <f t="shared" si="192"/>
        <v>(15 downto 8)</v>
      </c>
      <c r="AD744" s="2" t="str">
        <f t="shared" si="193"/>
        <v>(7 downto 0)</v>
      </c>
      <c r="AE744" s="2" t="str">
        <f t="shared" si="194"/>
        <v>(31 downto 24)</v>
      </c>
      <c r="AF744" s="2" t="str">
        <f t="shared" si="195"/>
        <v>(23 downto 16)</v>
      </c>
      <c r="AG744" s="2" t="str">
        <f t="shared" si="196"/>
        <v>(15 downto 8)</v>
      </c>
      <c r="AH744" s="2" t="str">
        <f t="shared" si="197"/>
        <v>(7 downto 0)</v>
      </c>
    </row>
    <row r="745" spans="2:34" x14ac:dyDescent="0.25">
      <c r="B745" s="2" t="s">
        <v>2050</v>
      </c>
      <c r="C745" s="2" t="s">
        <v>141</v>
      </c>
      <c r="D745" s="2" t="s">
        <v>0</v>
      </c>
      <c r="E745" s="2" t="s">
        <v>130</v>
      </c>
      <c r="F745" s="2" t="s">
        <v>2051</v>
      </c>
      <c r="G745" s="2" t="s">
        <v>2052</v>
      </c>
      <c r="H745" s="2" t="s">
        <v>142</v>
      </c>
      <c r="I745" s="2" t="s">
        <v>41</v>
      </c>
      <c r="J745" s="2">
        <v>32</v>
      </c>
      <c r="K745" s="2" t="s">
        <v>132</v>
      </c>
      <c r="L745" s="2" t="s">
        <v>40</v>
      </c>
      <c r="P745" s="2" t="s">
        <v>48</v>
      </c>
      <c r="Q745" s="2">
        <f>INDEX(Tables!$C$4:$C$28,MATCH($P745,Tables!$B$4:$B$28,0))</f>
        <v>32</v>
      </c>
      <c r="R745" s="2">
        <f>INDEX(Tables!$D$4:$D$28,MATCH($P745,Tables!$B$4:$B$28,0))</f>
        <v>4</v>
      </c>
      <c r="S745" s="2">
        <f>$S744+$R744+INDEX(Tables!$N$5:$Q$8,MATCH(MOD($S744+$R744,4),Tables!$M$5:$M$8,0),MATCH($R745,Tables!$N$4:$Q$4,0))</f>
        <v>2796</v>
      </c>
      <c r="T745" s="2" t="str">
        <f t="shared" si="183"/>
        <v>0AEC</v>
      </c>
      <c r="U745" s="2">
        <f t="shared" si="189"/>
        <v>699</v>
      </c>
      <c r="V745" s="2" t="str">
        <f t="shared" si="184"/>
        <v>2BB</v>
      </c>
      <c r="W745" s="2" t="str">
        <f t="shared" si="185"/>
        <v>X</v>
      </c>
      <c r="X745" s="2" t="str">
        <f t="shared" si="188"/>
        <v>X</v>
      </c>
      <c r="Y745" s="2" t="str">
        <f t="shared" si="186"/>
        <v>X</v>
      </c>
      <c r="Z745" s="2" t="str">
        <f t="shared" si="187"/>
        <v>X</v>
      </c>
      <c r="AA745" s="2" t="str">
        <f t="shared" si="190"/>
        <v>(31 downto 24)</v>
      </c>
      <c r="AB745" s="2" t="str">
        <f t="shared" si="191"/>
        <v>(23 downto 16)</v>
      </c>
      <c r="AC745" s="2" t="str">
        <f t="shared" si="192"/>
        <v>(15 downto 8)</v>
      </c>
      <c r="AD745" s="2" t="str">
        <f t="shared" si="193"/>
        <v>(7 downto 0)</v>
      </c>
      <c r="AE745" s="2" t="str">
        <f t="shared" si="194"/>
        <v>(31 downto 24)</v>
      </c>
      <c r="AF745" s="2" t="str">
        <f t="shared" si="195"/>
        <v>(23 downto 16)</v>
      </c>
      <c r="AG745" s="2" t="str">
        <f t="shared" si="196"/>
        <v>(15 downto 8)</v>
      </c>
      <c r="AH745" s="2" t="str">
        <f t="shared" si="197"/>
        <v>(7 downto 0)</v>
      </c>
    </row>
    <row r="746" spans="2:34" x14ac:dyDescent="0.25">
      <c r="B746" s="2" t="s">
        <v>2053</v>
      </c>
      <c r="C746" s="2" t="s">
        <v>141</v>
      </c>
      <c r="D746" s="2" t="s">
        <v>0</v>
      </c>
      <c r="E746" s="2" t="s">
        <v>130</v>
      </c>
      <c r="F746" s="2" t="s">
        <v>2054</v>
      </c>
      <c r="G746" s="2" t="s">
        <v>2055</v>
      </c>
      <c r="H746" s="2" t="s">
        <v>142</v>
      </c>
      <c r="I746" s="2" t="s">
        <v>41</v>
      </c>
      <c r="J746" s="2">
        <v>32</v>
      </c>
      <c r="K746" s="2" t="s">
        <v>132</v>
      </c>
      <c r="L746" s="2" t="s">
        <v>40</v>
      </c>
      <c r="P746" s="2" t="s">
        <v>48</v>
      </c>
      <c r="Q746" s="2">
        <f>INDEX(Tables!$C$4:$C$28,MATCH($P746,Tables!$B$4:$B$28,0))</f>
        <v>32</v>
      </c>
      <c r="R746" s="2">
        <f>INDEX(Tables!$D$4:$D$28,MATCH($P746,Tables!$B$4:$B$28,0))</f>
        <v>4</v>
      </c>
      <c r="S746" s="2">
        <f>$S745+$R745+INDEX(Tables!$N$5:$Q$8,MATCH(MOD($S745+$R745,4),Tables!$M$5:$M$8,0),MATCH($R746,Tables!$N$4:$Q$4,0))</f>
        <v>2800</v>
      </c>
      <c r="T746" s="2" t="str">
        <f t="shared" si="183"/>
        <v>0AF0</v>
      </c>
      <c r="U746" s="2">
        <f t="shared" si="189"/>
        <v>700</v>
      </c>
      <c r="V746" s="2" t="str">
        <f t="shared" si="184"/>
        <v>2BC</v>
      </c>
      <c r="W746" s="2" t="str">
        <f t="shared" si="185"/>
        <v>X</v>
      </c>
      <c r="X746" s="2" t="str">
        <f t="shared" si="188"/>
        <v>X</v>
      </c>
      <c r="Y746" s="2" t="str">
        <f t="shared" si="186"/>
        <v>X</v>
      </c>
      <c r="Z746" s="2" t="str">
        <f t="shared" si="187"/>
        <v>X</v>
      </c>
      <c r="AA746" s="2" t="str">
        <f t="shared" si="190"/>
        <v>(31 downto 24)</v>
      </c>
      <c r="AB746" s="2" t="str">
        <f t="shared" si="191"/>
        <v>(23 downto 16)</v>
      </c>
      <c r="AC746" s="2" t="str">
        <f t="shared" si="192"/>
        <v>(15 downto 8)</v>
      </c>
      <c r="AD746" s="2" t="str">
        <f t="shared" si="193"/>
        <v>(7 downto 0)</v>
      </c>
      <c r="AE746" s="2" t="str">
        <f t="shared" si="194"/>
        <v>(31 downto 24)</v>
      </c>
      <c r="AF746" s="2" t="str">
        <f t="shared" si="195"/>
        <v>(23 downto 16)</v>
      </c>
      <c r="AG746" s="2" t="str">
        <f t="shared" si="196"/>
        <v>(15 downto 8)</v>
      </c>
      <c r="AH746" s="2" t="str">
        <f t="shared" si="197"/>
        <v>(7 downto 0)</v>
      </c>
    </row>
    <row r="747" spans="2:34" x14ac:dyDescent="0.25">
      <c r="B747" s="2" t="s">
        <v>2056</v>
      </c>
      <c r="C747" s="2" t="s">
        <v>141</v>
      </c>
      <c r="D747" s="2" t="s">
        <v>0</v>
      </c>
      <c r="E747" s="2" t="s">
        <v>130</v>
      </c>
      <c r="F747" s="2" t="s">
        <v>2057</v>
      </c>
      <c r="G747" s="2" t="s">
        <v>2058</v>
      </c>
      <c r="H747" s="2" t="s">
        <v>142</v>
      </c>
      <c r="I747" s="2" t="s">
        <v>41</v>
      </c>
      <c r="J747" s="2">
        <v>32</v>
      </c>
      <c r="K747" s="2" t="s">
        <v>132</v>
      </c>
      <c r="L747" s="2" t="s">
        <v>40</v>
      </c>
      <c r="P747" s="2" t="s">
        <v>48</v>
      </c>
      <c r="Q747" s="2">
        <f>INDEX(Tables!$C$4:$C$28,MATCH($P747,Tables!$B$4:$B$28,0))</f>
        <v>32</v>
      </c>
      <c r="R747" s="2">
        <f>INDEX(Tables!$D$4:$D$28,MATCH($P747,Tables!$B$4:$B$28,0))</f>
        <v>4</v>
      </c>
      <c r="S747" s="2">
        <f>$S746+$R746+INDEX(Tables!$N$5:$Q$8,MATCH(MOD($S746+$R746,4),Tables!$M$5:$M$8,0),MATCH($R747,Tables!$N$4:$Q$4,0))</f>
        <v>2804</v>
      </c>
      <c r="T747" s="2" t="str">
        <f t="shared" si="183"/>
        <v>0AF4</v>
      </c>
      <c r="U747" s="2">
        <f t="shared" si="189"/>
        <v>701</v>
      </c>
      <c r="V747" s="2" t="str">
        <f t="shared" si="184"/>
        <v>2BD</v>
      </c>
      <c r="W747" s="2" t="str">
        <f t="shared" si="185"/>
        <v>X</v>
      </c>
      <c r="X747" s="2" t="str">
        <f t="shared" si="188"/>
        <v>X</v>
      </c>
      <c r="Y747" s="2" t="str">
        <f t="shared" si="186"/>
        <v>X</v>
      </c>
      <c r="Z747" s="2" t="str">
        <f t="shared" si="187"/>
        <v>X</v>
      </c>
      <c r="AA747" s="2" t="str">
        <f t="shared" si="190"/>
        <v>(31 downto 24)</v>
      </c>
      <c r="AB747" s="2" t="str">
        <f t="shared" si="191"/>
        <v>(23 downto 16)</v>
      </c>
      <c r="AC747" s="2" t="str">
        <f t="shared" si="192"/>
        <v>(15 downto 8)</v>
      </c>
      <c r="AD747" s="2" t="str">
        <f t="shared" si="193"/>
        <v>(7 downto 0)</v>
      </c>
      <c r="AE747" s="2" t="str">
        <f t="shared" si="194"/>
        <v>(31 downto 24)</v>
      </c>
      <c r="AF747" s="2" t="str">
        <f t="shared" si="195"/>
        <v>(23 downto 16)</v>
      </c>
      <c r="AG747" s="2" t="str">
        <f t="shared" si="196"/>
        <v>(15 downto 8)</v>
      </c>
      <c r="AH747" s="2" t="str">
        <f t="shared" si="197"/>
        <v>(7 downto 0)</v>
      </c>
    </row>
    <row r="748" spans="2:34" x14ac:dyDescent="0.25">
      <c r="B748" s="2" t="s">
        <v>2059</v>
      </c>
      <c r="C748" s="2" t="s">
        <v>141</v>
      </c>
      <c r="D748" s="2" t="s">
        <v>0</v>
      </c>
      <c r="E748" s="2" t="s">
        <v>130</v>
      </c>
      <c r="F748" s="2" t="s">
        <v>2060</v>
      </c>
      <c r="G748" s="2" t="s">
        <v>2061</v>
      </c>
      <c r="H748" s="2" t="s">
        <v>142</v>
      </c>
      <c r="I748" s="2" t="s">
        <v>41</v>
      </c>
      <c r="J748" s="2">
        <v>32</v>
      </c>
      <c r="K748" s="2" t="s">
        <v>132</v>
      </c>
      <c r="L748" s="2" t="s">
        <v>40</v>
      </c>
      <c r="P748" s="2" t="s">
        <v>48</v>
      </c>
      <c r="Q748" s="2">
        <f>INDEX(Tables!$C$4:$C$28,MATCH($P748,Tables!$B$4:$B$28,0))</f>
        <v>32</v>
      </c>
      <c r="R748" s="2">
        <f>INDEX(Tables!$D$4:$D$28,MATCH($P748,Tables!$B$4:$B$28,0))</f>
        <v>4</v>
      </c>
      <c r="S748" s="2">
        <f>$S747+$R747+INDEX(Tables!$N$5:$Q$8,MATCH(MOD($S747+$R747,4),Tables!$M$5:$M$8,0),MATCH($R748,Tables!$N$4:$Q$4,0))</f>
        <v>2808</v>
      </c>
      <c r="T748" s="2" t="str">
        <f t="shared" si="183"/>
        <v>0AF8</v>
      </c>
      <c r="U748" s="2">
        <f t="shared" si="189"/>
        <v>702</v>
      </c>
      <c r="V748" s="2" t="str">
        <f t="shared" si="184"/>
        <v>2BE</v>
      </c>
      <c r="W748" s="2" t="str">
        <f t="shared" si="185"/>
        <v>X</v>
      </c>
      <c r="X748" s="2" t="str">
        <f t="shared" si="188"/>
        <v>X</v>
      </c>
      <c r="Y748" s="2" t="str">
        <f t="shared" si="186"/>
        <v>X</v>
      </c>
      <c r="Z748" s="2" t="str">
        <f t="shared" si="187"/>
        <v>X</v>
      </c>
      <c r="AA748" s="2" t="str">
        <f t="shared" si="190"/>
        <v>(31 downto 24)</v>
      </c>
      <c r="AB748" s="2" t="str">
        <f t="shared" si="191"/>
        <v>(23 downto 16)</v>
      </c>
      <c r="AC748" s="2" t="str">
        <f t="shared" si="192"/>
        <v>(15 downto 8)</v>
      </c>
      <c r="AD748" s="2" t="str">
        <f t="shared" si="193"/>
        <v>(7 downto 0)</v>
      </c>
      <c r="AE748" s="2" t="str">
        <f t="shared" si="194"/>
        <v>(31 downto 24)</v>
      </c>
      <c r="AF748" s="2" t="str">
        <f t="shared" si="195"/>
        <v>(23 downto 16)</v>
      </c>
      <c r="AG748" s="2" t="str">
        <f t="shared" si="196"/>
        <v>(15 downto 8)</v>
      </c>
      <c r="AH748" s="2" t="str">
        <f t="shared" si="197"/>
        <v>(7 downto 0)</v>
      </c>
    </row>
    <row r="749" spans="2:34" x14ac:dyDescent="0.25">
      <c r="B749" s="2" t="s">
        <v>2062</v>
      </c>
      <c r="C749" s="2" t="s">
        <v>141</v>
      </c>
      <c r="D749" s="2" t="s">
        <v>0</v>
      </c>
      <c r="E749" s="2" t="s">
        <v>130</v>
      </c>
      <c r="F749" s="2" t="s">
        <v>2063</v>
      </c>
      <c r="G749" s="2" t="s">
        <v>2064</v>
      </c>
      <c r="H749" s="2" t="s">
        <v>142</v>
      </c>
      <c r="I749" s="2" t="s">
        <v>41</v>
      </c>
      <c r="J749" s="2">
        <v>32</v>
      </c>
      <c r="K749" s="2" t="s">
        <v>132</v>
      </c>
      <c r="L749" s="2" t="s">
        <v>40</v>
      </c>
      <c r="P749" s="2" t="s">
        <v>48</v>
      </c>
      <c r="Q749" s="2">
        <f>INDEX(Tables!$C$4:$C$28,MATCH($P749,Tables!$B$4:$B$28,0))</f>
        <v>32</v>
      </c>
      <c r="R749" s="2">
        <f>INDEX(Tables!$D$4:$D$28,MATCH($P749,Tables!$B$4:$B$28,0))</f>
        <v>4</v>
      </c>
      <c r="S749" s="2">
        <f>$S748+$R748+INDEX(Tables!$N$5:$Q$8,MATCH(MOD($S748+$R748,4),Tables!$M$5:$M$8,0),MATCH($R749,Tables!$N$4:$Q$4,0))</f>
        <v>2812</v>
      </c>
      <c r="T749" s="2" t="str">
        <f t="shared" si="183"/>
        <v>0AFC</v>
      </c>
      <c r="U749" s="2">
        <f t="shared" si="189"/>
        <v>703</v>
      </c>
      <c r="V749" s="2" t="str">
        <f t="shared" si="184"/>
        <v>2BF</v>
      </c>
      <c r="W749" s="2" t="str">
        <f t="shared" si="185"/>
        <v>X</v>
      </c>
      <c r="X749" s="2" t="str">
        <f t="shared" si="188"/>
        <v>X</v>
      </c>
      <c r="Y749" s="2" t="str">
        <f t="shared" si="186"/>
        <v>X</v>
      </c>
      <c r="Z749" s="2" t="str">
        <f t="shared" si="187"/>
        <v>X</v>
      </c>
      <c r="AA749" s="2" t="str">
        <f t="shared" si="190"/>
        <v>(31 downto 24)</v>
      </c>
      <c r="AB749" s="2" t="str">
        <f t="shared" si="191"/>
        <v>(23 downto 16)</v>
      </c>
      <c r="AC749" s="2" t="str">
        <f t="shared" si="192"/>
        <v>(15 downto 8)</v>
      </c>
      <c r="AD749" s="2" t="str">
        <f t="shared" si="193"/>
        <v>(7 downto 0)</v>
      </c>
      <c r="AE749" s="2" t="str">
        <f t="shared" si="194"/>
        <v>(31 downto 24)</v>
      </c>
      <c r="AF749" s="2" t="str">
        <f t="shared" si="195"/>
        <v>(23 downto 16)</v>
      </c>
      <c r="AG749" s="2" t="str">
        <f t="shared" si="196"/>
        <v>(15 downto 8)</v>
      </c>
      <c r="AH749" s="2" t="str">
        <f t="shared" si="197"/>
        <v>(7 downto 0)</v>
      </c>
    </row>
    <row r="750" spans="2:34" x14ac:dyDescent="0.25">
      <c r="B750" s="2" t="s">
        <v>2065</v>
      </c>
      <c r="C750" s="2" t="s">
        <v>141</v>
      </c>
      <c r="D750" s="2" t="s">
        <v>0</v>
      </c>
      <c r="E750" s="2" t="s">
        <v>130</v>
      </c>
      <c r="F750" s="2" t="s">
        <v>2066</v>
      </c>
      <c r="G750" s="2" t="s">
        <v>2067</v>
      </c>
      <c r="H750" s="2" t="s">
        <v>142</v>
      </c>
      <c r="I750" s="2" t="s">
        <v>41</v>
      </c>
      <c r="J750" s="2">
        <v>32</v>
      </c>
      <c r="K750" s="2" t="s">
        <v>132</v>
      </c>
      <c r="L750" s="2" t="s">
        <v>40</v>
      </c>
      <c r="P750" s="2" t="s">
        <v>48</v>
      </c>
      <c r="Q750" s="2">
        <f>INDEX(Tables!$C$4:$C$28,MATCH($P750,Tables!$B$4:$B$28,0))</f>
        <v>32</v>
      </c>
      <c r="R750" s="2">
        <f>INDEX(Tables!$D$4:$D$28,MATCH($P750,Tables!$B$4:$B$28,0))</f>
        <v>4</v>
      </c>
      <c r="S750" s="2">
        <f>$S749+$R749+INDEX(Tables!$N$5:$Q$8,MATCH(MOD($S749+$R749,4),Tables!$M$5:$M$8,0),MATCH($R750,Tables!$N$4:$Q$4,0))</f>
        <v>2816</v>
      </c>
      <c r="T750" s="2" t="str">
        <f t="shared" si="183"/>
        <v>0B00</v>
      </c>
      <c r="U750" s="2">
        <f t="shared" si="189"/>
        <v>704</v>
      </c>
      <c r="V750" s="2" t="str">
        <f t="shared" si="184"/>
        <v>2C0</v>
      </c>
      <c r="W750" s="2" t="str">
        <f t="shared" si="185"/>
        <v>X</v>
      </c>
      <c r="X750" s="2" t="str">
        <f t="shared" si="188"/>
        <v>X</v>
      </c>
      <c r="Y750" s="2" t="str">
        <f t="shared" si="186"/>
        <v>X</v>
      </c>
      <c r="Z750" s="2" t="str">
        <f t="shared" si="187"/>
        <v>X</v>
      </c>
      <c r="AA750" s="2" t="str">
        <f t="shared" si="190"/>
        <v>(31 downto 24)</v>
      </c>
      <c r="AB750" s="2" t="str">
        <f t="shared" si="191"/>
        <v>(23 downto 16)</v>
      </c>
      <c r="AC750" s="2" t="str">
        <f t="shared" si="192"/>
        <v>(15 downto 8)</v>
      </c>
      <c r="AD750" s="2" t="str">
        <f t="shared" si="193"/>
        <v>(7 downto 0)</v>
      </c>
      <c r="AE750" s="2" t="str">
        <f t="shared" si="194"/>
        <v>(31 downto 24)</v>
      </c>
      <c r="AF750" s="2" t="str">
        <f t="shared" si="195"/>
        <v>(23 downto 16)</v>
      </c>
      <c r="AG750" s="2" t="str">
        <f t="shared" si="196"/>
        <v>(15 downto 8)</v>
      </c>
      <c r="AH750" s="2" t="str">
        <f t="shared" si="197"/>
        <v>(7 downto 0)</v>
      </c>
    </row>
    <row r="751" spans="2:34" x14ac:dyDescent="0.25">
      <c r="B751" s="2" t="s">
        <v>2068</v>
      </c>
      <c r="C751" s="2" t="s">
        <v>141</v>
      </c>
      <c r="D751" s="2" t="s">
        <v>0</v>
      </c>
      <c r="E751" s="2" t="s">
        <v>130</v>
      </c>
      <c r="F751" s="2" t="s">
        <v>2069</v>
      </c>
      <c r="G751" s="2" t="s">
        <v>2070</v>
      </c>
      <c r="H751" s="2" t="s">
        <v>142</v>
      </c>
      <c r="I751" s="2" t="s">
        <v>41</v>
      </c>
      <c r="J751" s="2">
        <v>32</v>
      </c>
      <c r="K751" s="2" t="s">
        <v>132</v>
      </c>
      <c r="L751" s="2" t="s">
        <v>40</v>
      </c>
      <c r="P751" s="2" t="s">
        <v>48</v>
      </c>
      <c r="Q751" s="2">
        <f>INDEX(Tables!$C$4:$C$28,MATCH($P751,Tables!$B$4:$B$28,0))</f>
        <v>32</v>
      </c>
      <c r="R751" s="2">
        <f>INDEX(Tables!$D$4:$D$28,MATCH($P751,Tables!$B$4:$B$28,0))</f>
        <v>4</v>
      </c>
      <c r="S751" s="2">
        <f>$S750+$R750+INDEX(Tables!$N$5:$Q$8,MATCH(MOD($S750+$R750,4),Tables!$M$5:$M$8,0),MATCH($R751,Tables!$N$4:$Q$4,0))</f>
        <v>2820</v>
      </c>
      <c r="T751" s="2" t="str">
        <f t="shared" si="183"/>
        <v>0B04</v>
      </c>
      <c r="U751" s="2">
        <f t="shared" si="189"/>
        <v>705</v>
      </c>
      <c r="V751" s="2" t="str">
        <f t="shared" si="184"/>
        <v>2C1</v>
      </c>
      <c r="W751" s="2" t="str">
        <f t="shared" si="185"/>
        <v>X</v>
      </c>
      <c r="X751" s="2" t="str">
        <f t="shared" si="188"/>
        <v>X</v>
      </c>
      <c r="Y751" s="2" t="str">
        <f t="shared" si="186"/>
        <v>X</v>
      </c>
      <c r="Z751" s="2" t="str">
        <f t="shared" si="187"/>
        <v>X</v>
      </c>
      <c r="AA751" s="2" t="str">
        <f t="shared" si="190"/>
        <v>(31 downto 24)</v>
      </c>
      <c r="AB751" s="2" t="str">
        <f t="shared" si="191"/>
        <v>(23 downto 16)</v>
      </c>
      <c r="AC751" s="2" t="str">
        <f t="shared" si="192"/>
        <v>(15 downto 8)</v>
      </c>
      <c r="AD751" s="2" t="str">
        <f t="shared" si="193"/>
        <v>(7 downto 0)</v>
      </c>
      <c r="AE751" s="2" t="str">
        <f t="shared" si="194"/>
        <v>(31 downto 24)</v>
      </c>
      <c r="AF751" s="2" t="str">
        <f t="shared" si="195"/>
        <v>(23 downto 16)</v>
      </c>
      <c r="AG751" s="2" t="str">
        <f t="shared" si="196"/>
        <v>(15 downto 8)</v>
      </c>
      <c r="AH751" s="2" t="str">
        <f t="shared" si="197"/>
        <v>(7 downto 0)</v>
      </c>
    </row>
    <row r="752" spans="2:34" x14ac:dyDescent="0.25">
      <c r="B752" s="2" t="s">
        <v>2071</v>
      </c>
      <c r="C752" s="2" t="s">
        <v>141</v>
      </c>
      <c r="D752" s="2" t="s">
        <v>0</v>
      </c>
      <c r="E752" s="2" t="s">
        <v>130</v>
      </c>
      <c r="F752" s="2" t="s">
        <v>2072</v>
      </c>
      <c r="G752" s="2" t="s">
        <v>2073</v>
      </c>
      <c r="H752" s="2" t="s">
        <v>142</v>
      </c>
      <c r="I752" s="2" t="s">
        <v>41</v>
      </c>
      <c r="J752" s="2">
        <v>32</v>
      </c>
      <c r="K752" s="2" t="s">
        <v>132</v>
      </c>
      <c r="L752" s="2" t="s">
        <v>40</v>
      </c>
      <c r="P752" s="2" t="s">
        <v>48</v>
      </c>
      <c r="Q752" s="2">
        <f>INDEX(Tables!$C$4:$C$28,MATCH($P752,Tables!$B$4:$B$28,0))</f>
        <v>32</v>
      </c>
      <c r="R752" s="2">
        <f>INDEX(Tables!$D$4:$D$28,MATCH($P752,Tables!$B$4:$B$28,0))</f>
        <v>4</v>
      </c>
      <c r="S752" s="2">
        <f>$S751+$R751+INDEX(Tables!$N$5:$Q$8,MATCH(MOD($S751+$R751,4),Tables!$M$5:$M$8,0),MATCH($R752,Tables!$N$4:$Q$4,0))</f>
        <v>2824</v>
      </c>
      <c r="T752" s="2" t="str">
        <f t="shared" si="183"/>
        <v>0B08</v>
      </c>
      <c r="U752" s="2">
        <f t="shared" si="189"/>
        <v>706</v>
      </c>
      <c r="V752" s="2" t="str">
        <f t="shared" si="184"/>
        <v>2C2</v>
      </c>
      <c r="W752" s="2" t="str">
        <f t="shared" si="185"/>
        <v>X</v>
      </c>
      <c r="X752" s="2" t="str">
        <f t="shared" si="188"/>
        <v>X</v>
      </c>
      <c r="Y752" s="2" t="str">
        <f t="shared" si="186"/>
        <v>X</v>
      </c>
      <c r="Z752" s="2" t="str">
        <f t="shared" si="187"/>
        <v>X</v>
      </c>
      <c r="AA752" s="2" t="str">
        <f t="shared" si="190"/>
        <v>(31 downto 24)</v>
      </c>
      <c r="AB752" s="2" t="str">
        <f t="shared" si="191"/>
        <v>(23 downto 16)</v>
      </c>
      <c r="AC752" s="2" t="str">
        <f t="shared" si="192"/>
        <v>(15 downto 8)</v>
      </c>
      <c r="AD752" s="2" t="str">
        <f t="shared" si="193"/>
        <v>(7 downto 0)</v>
      </c>
      <c r="AE752" s="2" t="str">
        <f t="shared" si="194"/>
        <v>(31 downto 24)</v>
      </c>
      <c r="AF752" s="2" t="str">
        <f t="shared" si="195"/>
        <v>(23 downto 16)</v>
      </c>
      <c r="AG752" s="2" t="str">
        <f t="shared" si="196"/>
        <v>(15 downto 8)</v>
      </c>
      <c r="AH752" s="2" t="str">
        <f t="shared" si="197"/>
        <v>(7 downto 0)</v>
      </c>
    </row>
    <row r="753" spans="2:34" x14ac:dyDescent="0.25">
      <c r="B753" s="2" t="s">
        <v>2074</v>
      </c>
      <c r="C753" s="2" t="s">
        <v>141</v>
      </c>
      <c r="D753" s="2" t="s">
        <v>0</v>
      </c>
      <c r="E753" s="2" t="s">
        <v>130</v>
      </c>
      <c r="F753" s="2" t="s">
        <v>2075</v>
      </c>
      <c r="G753" s="2" t="s">
        <v>2076</v>
      </c>
      <c r="H753" s="2" t="s">
        <v>142</v>
      </c>
      <c r="I753" s="2" t="s">
        <v>41</v>
      </c>
      <c r="J753" s="2">
        <v>32</v>
      </c>
      <c r="K753" s="2" t="s">
        <v>132</v>
      </c>
      <c r="L753" s="2" t="s">
        <v>40</v>
      </c>
      <c r="P753" s="2" t="s">
        <v>48</v>
      </c>
      <c r="Q753" s="2">
        <f>INDEX(Tables!$C$4:$C$28,MATCH($P753,Tables!$B$4:$B$28,0))</f>
        <v>32</v>
      </c>
      <c r="R753" s="2">
        <f>INDEX(Tables!$D$4:$D$28,MATCH($P753,Tables!$B$4:$B$28,0))</f>
        <v>4</v>
      </c>
      <c r="S753" s="2">
        <f>$S752+$R752+INDEX(Tables!$N$5:$Q$8,MATCH(MOD($S752+$R752,4),Tables!$M$5:$M$8,0),MATCH($R753,Tables!$N$4:$Q$4,0))</f>
        <v>2828</v>
      </c>
      <c r="T753" s="2" t="str">
        <f t="shared" si="183"/>
        <v>0B0C</v>
      </c>
      <c r="U753" s="2">
        <f t="shared" si="189"/>
        <v>707</v>
      </c>
      <c r="V753" s="2" t="str">
        <f t="shared" si="184"/>
        <v>2C3</v>
      </c>
      <c r="W753" s="2" t="str">
        <f t="shared" si="185"/>
        <v>X</v>
      </c>
      <c r="X753" s="2" t="str">
        <f t="shared" si="188"/>
        <v>X</v>
      </c>
      <c r="Y753" s="2" t="str">
        <f t="shared" si="186"/>
        <v>X</v>
      </c>
      <c r="Z753" s="2" t="str">
        <f t="shared" si="187"/>
        <v>X</v>
      </c>
      <c r="AA753" s="2" t="str">
        <f t="shared" si="190"/>
        <v>(31 downto 24)</v>
      </c>
      <c r="AB753" s="2" t="str">
        <f t="shared" si="191"/>
        <v>(23 downto 16)</v>
      </c>
      <c r="AC753" s="2" t="str">
        <f t="shared" si="192"/>
        <v>(15 downto 8)</v>
      </c>
      <c r="AD753" s="2" t="str">
        <f t="shared" si="193"/>
        <v>(7 downto 0)</v>
      </c>
      <c r="AE753" s="2" t="str">
        <f t="shared" si="194"/>
        <v>(31 downto 24)</v>
      </c>
      <c r="AF753" s="2" t="str">
        <f t="shared" si="195"/>
        <v>(23 downto 16)</v>
      </c>
      <c r="AG753" s="2" t="str">
        <f t="shared" si="196"/>
        <v>(15 downto 8)</v>
      </c>
      <c r="AH753" s="2" t="str">
        <f t="shared" si="197"/>
        <v>(7 downto 0)</v>
      </c>
    </row>
    <row r="754" spans="2:34" x14ac:dyDescent="0.25">
      <c r="B754" s="2" t="s">
        <v>2077</v>
      </c>
      <c r="C754" s="2" t="s">
        <v>141</v>
      </c>
      <c r="D754" s="2" t="s">
        <v>0</v>
      </c>
      <c r="E754" s="2" t="s">
        <v>130</v>
      </c>
      <c r="F754" s="2" t="s">
        <v>2078</v>
      </c>
      <c r="G754" s="2" t="s">
        <v>2079</v>
      </c>
      <c r="H754" s="2" t="s">
        <v>142</v>
      </c>
      <c r="I754" s="2" t="s">
        <v>41</v>
      </c>
      <c r="J754" s="2">
        <v>32</v>
      </c>
      <c r="K754" s="2" t="s">
        <v>132</v>
      </c>
      <c r="L754" s="2" t="s">
        <v>40</v>
      </c>
      <c r="P754" s="2" t="s">
        <v>48</v>
      </c>
      <c r="Q754" s="2">
        <f>INDEX(Tables!$C$4:$C$28,MATCH($P754,Tables!$B$4:$B$28,0))</f>
        <v>32</v>
      </c>
      <c r="R754" s="2">
        <f>INDEX(Tables!$D$4:$D$28,MATCH($P754,Tables!$B$4:$B$28,0))</f>
        <v>4</v>
      </c>
      <c r="S754" s="2">
        <f>$S753+$R753+INDEX(Tables!$N$5:$Q$8,MATCH(MOD($S753+$R753,4),Tables!$M$5:$M$8,0),MATCH($R754,Tables!$N$4:$Q$4,0))</f>
        <v>2832</v>
      </c>
      <c r="T754" s="2" t="str">
        <f t="shared" si="183"/>
        <v>0B10</v>
      </c>
      <c r="U754" s="2">
        <f t="shared" si="189"/>
        <v>708</v>
      </c>
      <c r="V754" s="2" t="str">
        <f t="shared" si="184"/>
        <v>2C4</v>
      </c>
      <c r="W754" s="2" t="str">
        <f t="shared" si="185"/>
        <v>X</v>
      </c>
      <c r="X754" s="2" t="str">
        <f t="shared" si="188"/>
        <v>X</v>
      </c>
      <c r="Y754" s="2" t="str">
        <f t="shared" si="186"/>
        <v>X</v>
      </c>
      <c r="Z754" s="2" t="str">
        <f t="shared" si="187"/>
        <v>X</v>
      </c>
      <c r="AA754" s="2" t="str">
        <f t="shared" si="190"/>
        <v>(31 downto 24)</v>
      </c>
      <c r="AB754" s="2" t="str">
        <f t="shared" si="191"/>
        <v>(23 downto 16)</v>
      </c>
      <c r="AC754" s="2" t="str">
        <f t="shared" si="192"/>
        <v>(15 downto 8)</v>
      </c>
      <c r="AD754" s="2" t="str">
        <f t="shared" si="193"/>
        <v>(7 downto 0)</v>
      </c>
      <c r="AE754" s="2" t="str">
        <f t="shared" si="194"/>
        <v>(31 downto 24)</v>
      </c>
      <c r="AF754" s="2" t="str">
        <f t="shared" si="195"/>
        <v>(23 downto 16)</v>
      </c>
      <c r="AG754" s="2" t="str">
        <f t="shared" si="196"/>
        <v>(15 downto 8)</v>
      </c>
      <c r="AH754" s="2" t="str">
        <f t="shared" si="197"/>
        <v>(7 downto 0)</v>
      </c>
    </row>
    <row r="755" spans="2:34" x14ac:dyDescent="0.25">
      <c r="B755" s="2" t="s">
        <v>2080</v>
      </c>
      <c r="C755" s="2" t="s">
        <v>141</v>
      </c>
      <c r="D755" s="2" t="s">
        <v>0</v>
      </c>
      <c r="E755" s="2" t="s">
        <v>130</v>
      </c>
      <c r="F755" s="2" t="s">
        <v>2081</v>
      </c>
      <c r="G755" s="2" t="s">
        <v>2082</v>
      </c>
      <c r="H755" s="2" t="s">
        <v>142</v>
      </c>
      <c r="I755" s="2" t="s">
        <v>41</v>
      </c>
      <c r="J755" s="2">
        <v>32</v>
      </c>
      <c r="K755" s="2" t="s">
        <v>132</v>
      </c>
      <c r="L755" s="2" t="s">
        <v>40</v>
      </c>
      <c r="P755" s="2" t="s">
        <v>48</v>
      </c>
      <c r="Q755" s="2">
        <f>INDEX(Tables!$C$4:$C$28,MATCH($P755,Tables!$B$4:$B$28,0))</f>
        <v>32</v>
      </c>
      <c r="R755" s="2">
        <f>INDEX(Tables!$D$4:$D$28,MATCH($P755,Tables!$B$4:$B$28,0))</f>
        <v>4</v>
      </c>
      <c r="S755" s="2">
        <f>$S754+$R754+INDEX(Tables!$N$5:$Q$8,MATCH(MOD($S754+$R754,4),Tables!$M$5:$M$8,0),MATCH($R755,Tables!$N$4:$Q$4,0))</f>
        <v>2836</v>
      </c>
      <c r="T755" s="2" t="str">
        <f t="shared" si="183"/>
        <v>0B14</v>
      </c>
      <c r="U755" s="2">
        <f t="shared" si="189"/>
        <v>709</v>
      </c>
      <c r="V755" s="2" t="str">
        <f t="shared" si="184"/>
        <v>2C5</v>
      </c>
      <c r="W755" s="2" t="str">
        <f t="shared" si="185"/>
        <v>X</v>
      </c>
      <c r="X755" s="2" t="str">
        <f t="shared" si="188"/>
        <v>X</v>
      </c>
      <c r="Y755" s="2" t="str">
        <f t="shared" si="186"/>
        <v>X</v>
      </c>
      <c r="Z755" s="2" t="str">
        <f t="shared" si="187"/>
        <v>X</v>
      </c>
      <c r="AA755" s="2" t="str">
        <f t="shared" si="190"/>
        <v>(31 downto 24)</v>
      </c>
      <c r="AB755" s="2" t="str">
        <f t="shared" si="191"/>
        <v>(23 downto 16)</v>
      </c>
      <c r="AC755" s="2" t="str">
        <f t="shared" si="192"/>
        <v>(15 downto 8)</v>
      </c>
      <c r="AD755" s="2" t="str">
        <f t="shared" si="193"/>
        <v>(7 downto 0)</v>
      </c>
      <c r="AE755" s="2" t="str">
        <f t="shared" si="194"/>
        <v>(31 downto 24)</v>
      </c>
      <c r="AF755" s="2" t="str">
        <f t="shared" si="195"/>
        <v>(23 downto 16)</v>
      </c>
      <c r="AG755" s="2" t="str">
        <f t="shared" si="196"/>
        <v>(15 downto 8)</v>
      </c>
      <c r="AH755" s="2" t="str">
        <f t="shared" si="197"/>
        <v>(7 downto 0)</v>
      </c>
    </row>
    <row r="756" spans="2:34" x14ac:dyDescent="0.25">
      <c r="B756" s="2" t="s">
        <v>2083</v>
      </c>
      <c r="C756" s="2" t="s">
        <v>141</v>
      </c>
      <c r="D756" s="2" t="s">
        <v>0</v>
      </c>
      <c r="E756" s="2" t="s">
        <v>130</v>
      </c>
      <c r="F756" s="2" t="s">
        <v>2084</v>
      </c>
      <c r="G756" s="2" t="s">
        <v>2085</v>
      </c>
      <c r="H756" s="2" t="s">
        <v>142</v>
      </c>
      <c r="I756" s="2" t="s">
        <v>41</v>
      </c>
      <c r="J756" s="2">
        <v>32</v>
      </c>
      <c r="K756" s="2" t="s">
        <v>132</v>
      </c>
      <c r="L756" s="2" t="s">
        <v>40</v>
      </c>
      <c r="P756" s="2" t="s">
        <v>48</v>
      </c>
      <c r="Q756" s="2">
        <f>INDEX(Tables!$C$4:$C$28,MATCH($P756,Tables!$B$4:$B$28,0))</f>
        <v>32</v>
      </c>
      <c r="R756" s="2">
        <f>INDEX(Tables!$D$4:$D$28,MATCH($P756,Tables!$B$4:$B$28,0))</f>
        <v>4</v>
      </c>
      <c r="S756" s="2">
        <f>$S755+$R755+INDEX(Tables!$N$5:$Q$8,MATCH(MOD($S755+$R755,4),Tables!$M$5:$M$8,0),MATCH($R756,Tables!$N$4:$Q$4,0))</f>
        <v>2840</v>
      </c>
      <c r="T756" s="2" t="str">
        <f t="shared" si="183"/>
        <v>0B18</v>
      </c>
      <c r="U756" s="2">
        <f t="shared" si="189"/>
        <v>710</v>
      </c>
      <c r="V756" s="2" t="str">
        <f t="shared" si="184"/>
        <v>2C6</v>
      </c>
      <c r="W756" s="2" t="str">
        <f t="shared" si="185"/>
        <v>X</v>
      </c>
      <c r="X756" s="2" t="str">
        <f t="shared" si="188"/>
        <v>X</v>
      </c>
      <c r="Y756" s="2" t="str">
        <f t="shared" si="186"/>
        <v>X</v>
      </c>
      <c r="Z756" s="2" t="str">
        <f t="shared" si="187"/>
        <v>X</v>
      </c>
      <c r="AA756" s="2" t="str">
        <f t="shared" si="190"/>
        <v>(31 downto 24)</v>
      </c>
      <c r="AB756" s="2" t="str">
        <f t="shared" si="191"/>
        <v>(23 downto 16)</v>
      </c>
      <c r="AC756" s="2" t="str">
        <f t="shared" si="192"/>
        <v>(15 downto 8)</v>
      </c>
      <c r="AD756" s="2" t="str">
        <f t="shared" si="193"/>
        <v>(7 downto 0)</v>
      </c>
      <c r="AE756" s="2" t="str">
        <f t="shared" si="194"/>
        <v>(31 downto 24)</v>
      </c>
      <c r="AF756" s="2" t="str">
        <f t="shared" si="195"/>
        <v>(23 downto 16)</v>
      </c>
      <c r="AG756" s="2" t="str">
        <f t="shared" si="196"/>
        <v>(15 downto 8)</v>
      </c>
      <c r="AH756" s="2" t="str">
        <f t="shared" si="197"/>
        <v>(7 downto 0)</v>
      </c>
    </row>
    <row r="757" spans="2:34" x14ac:dyDescent="0.25">
      <c r="B757" s="2" t="s">
        <v>2086</v>
      </c>
      <c r="C757" s="2" t="s">
        <v>141</v>
      </c>
      <c r="D757" s="2" t="s">
        <v>0</v>
      </c>
      <c r="E757" s="2" t="s">
        <v>130</v>
      </c>
      <c r="F757" s="2" t="s">
        <v>2087</v>
      </c>
      <c r="G757" s="2" t="s">
        <v>2088</v>
      </c>
      <c r="H757" s="2" t="s">
        <v>142</v>
      </c>
      <c r="I757" s="2" t="s">
        <v>41</v>
      </c>
      <c r="J757" s="2">
        <v>32</v>
      </c>
      <c r="K757" s="2" t="s">
        <v>132</v>
      </c>
      <c r="L757" s="2" t="s">
        <v>40</v>
      </c>
      <c r="P757" s="2" t="s">
        <v>48</v>
      </c>
      <c r="Q757" s="2">
        <f>INDEX(Tables!$C$4:$C$28,MATCH($P757,Tables!$B$4:$B$28,0))</f>
        <v>32</v>
      </c>
      <c r="R757" s="2">
        <f>INDEX(Tables!$D$4:$D$28,MATCH($P757,Tables!$B$4:$B$28,0))</f>
        <v>4</v>
      </c>
      <c r="S757" s="2">
        <f>$S756+$R756+INDEX(Tables!$N$5:$Q$8,MATCH(MOD($S756+$R756,4),Tables!$M$5:$M$8,0),MATCH($R757,Tables!$N$4:$Q$4,0))</f>
        <v>2844</v>
      </c>
      <c r="T757" s="2" t="str">
        <f t="shared" si="183"/>
        <v>0B1C</v>
      </c>
      <c r="U757" s="2">
        <f t="shared" si="189"/>
        <v>711</v>
      </c>
      <c r="V757" s="2" t="str">
        <f t="shared" si="184"/>
        <v>2C7</v>
      </c>
      <c r="W757" s="2" t="str">
        <f t="shared" si="185"/>
        <v>X</v>
      </c>
      <c r="X757" s="2" t="str">
        <f t="shared" si="188"/>
        <v>X</v>
      </c>
      <c r="Y757" s="2" t="str">
        <f t="shared" si="186"/>
        <v>X</v>
      </c>
      <c r="Z757" s="2" t="str">
        <f t="shared" si="187"/>
        <v>X</v>
      </c>
      <c r="AA757" s="2" t="str">
        <f t="shared" si="190"/>
        <v>(31 downto 24)</v>
      </c>
      <c r="AB757" s="2" t="str">
        <f t="shared" si="191"/>
        <v>(23 downto 16)</v>
      </c>
      <c r="AC757" s="2" t="str">
        <f t="shared" si="192"/>
        <v>(15 downto 8)</v>
      </c>
      <c r="AD757" s="2" t="str">
        <f t="shared" si="193"/>
        <v>(7 downto 0)</v>
      </c>
      <c r="AE757" s="2" t="str">
        <f t="shared" si="194"/>
        <v>(31 downto 24)</v>
      </c>
      <c r="AF757" s="2" t="str">
        <f t="shared" si="195"/>
        <v>(23 downto 16)</v>
      </c>
      <c r="AG757" s="2" t="str">
        <f t="shared" si="196"/>
        <v>(15 downto 8)</v>
      </c>
      <c r="AH757" s="2" t="str">
        <f t="shared" si="197"/>
        <v>(7 downto 0)</v>
      </c>
    </row>
    <row r="758" spans="2:34" x14ac:dyDescent="0.25">
      <c r="B758" s="2" t="s">
        <v>2089</v>
      </c>
      <c r="C758" s="2" t="s">
        <v>141</v>
      </c>
      <c r="D758" s="2" t="s">
        <v>0</v>
      </c>
      <c r="E758" s="2" t="s">
        <v>130</v>
      </c>
      <c r="F758" s="2" t="s">
        <v>2090</v>
      </c>
      <c r="G758" s="2" t="s">
        <v>2091</v>
      </c>
      <c r="H758" s="2" t="s">
        <v>142</v>
      </c>
      <c r="I758" s="2" t="s">
        <v>41</v>
      </c>
      <c r="J758" s="2">
        <v>32</v>
      </c>
      <c r="K758" s="2" t="s">
        <v>132</v>
      </c>
      <c r="L758" s="2" t="s">
        <v>40</v>
      </c>
      <c r="P758" s="2" t="s">
        <v>48</v>
      </c>
      <c r="Q758" s="2">
        <f>INDEX(Tables!$C$4:$C$28,MATCH($P758,Tables!$B$4:$B$28,0))</f>
        <v>32</v>
      </c>
      <c r="R758" s="2">
        <f>INDEX(Tables!$D$4:$D$28,MATCH($P758,Tables!$B$4:$B$28,0))</f>
        <v>4</v>
      </c>
      <c r="S758" s="2">
        <f>$S757+$R757+INDEX(Tables!$N$5:$Q$8,MATCH(MOD($S757+$R757,4),Tables!$M$5:$M$8,0),MATCH($R758,Tables!$N$4:$Q$4,0))</f>
        <v>2848</v>
      </c>
      <c r="T758" s="2" t="str">
        <f t="shared" si="183"/>
        <v>0B20</v>
      </c>
      <c r="U758" s="2">
        <f t="shared" si="189"/>
        <v>712</v>
      </c>
      <c r="V758" s="2" t="str">
        <f t="shared" si="184"/>
        <v>2C8</v>
      </c>
      <c r="W758" s="2" t="str">
        <f t="shared" si="185"/>
        <v>X</v>
      </c>
      <c r="X758" s="2" t="str">
        <f t="shared" si="188"/>
        <v>X</v>
      </c>
      <c r="Y758" s="2" t="str">
        <f t="shared" si="186"/>
        <v>X</v>
      </c>
      <c r="Z758" s="2" t="str">
        <f t="shared" si="187"/>
        <v>X</v>
      </c>
      <c r="AA758" s="2" t="str">
        <f t="shared" si="190"/>
        <v>(31 downto 24)</v>
      </c>
      <c r="AB758" s="2" t="str">
        <f t="shared" si="191"/>
        <v>(23 downto 16)</v>
      </c>
      <c r="AC758" s="2" t="str">
        <f t="shared" si="192"/>
        <v>(15 downto 8)</v>
      </c>
      <c r="AD758" s="2" t="str">
        <f t="shared" si="193"/>
        <v>(7 downto 0)</v>
      </c>
      <c r="AE758" s="2" t="str">
        <f t="shared" si="194"/>
        <v>(31 downto 24)</v>
      </c>
      <c r="AF758" s="2" t="str">
        <f t="shared" si="195"/>
        <v>(23 downto 16)</v>
      </c>
      <c r="AG758" s="2" t="str">
        <f t="shared" si="196"/>
        <v>(15 downto 8)</v>
      </c>
      <c r="AH758" s="2" t="str">
        <f t="shared" si="197"/>
        <v>(7 downto 0)</v>
      </c>
    </row>
    <row r="759" spans="2:34" x14ac:dyDescent="0.25">
      <c r="B759" s="2" t="s">
        <v>2092</v>
      </c>
      <c r="C759" s="2" t="s">
        <v>141</v>
      </c>
      <c r="D759" s="2" t="s">
        <v>0</v>
      </c>
      <c r="E759" s="2" t="s">
        <v>130</v>
      </c>
      <c r="F759" s="2" t="s">
        <v>2093</v>
      </c>
      <c r="G759" s="2" t="s">
        <v>2094</v>
      </c>
      <c r="H759" s="2" t="s">
        <v>142</v>
      </c>
      <c r="I759" s="2" t="s">
        <v>41</v>
      </c>
      <c r="J759" s="2">
        <v>32</v>
      </c>
      <c r="K759" s="2" t="s">
        <v>132</v>
      </c>
      <c r="L759" s="2" t="s">
        <v>40</v>
      </c>
      <c r="P759" s="2" t="s">
        <v>48</v>
      </c>
      <c r="Q759" s="2">
        <f>INDEX(Tables!$C$4:$C$28,MATCH($P759,Tables!$B$4:$B$28,0))</f>
        <v>32</v>
      </c>
      <c r="R759" s="2">
        <f>INDEX(Tables!$D$4:$D$28,MATCH($P759,Tables!$B$4:$B$28,0))</f>
        <v>4</v>
      </c>
      <c r="S759" s="2">
        <f>$S758+$R758+INDEX(Tables!$N$5:$Q$8,MATCH(MOD($S758+$R758,4),Tables!$M$5:$M$8,0),MATCH($R759,Tables!$N$4:$Q$4,0))</f>
        <v>2852</v>
      </c>
      <c r="T759" s="2" t="str">
        <f t="shared" si="183"/>
        <v>0B24</v>
      </c>
      <c r="U759" s="2">
        <f t="shared" si="189"/>
        <v>713</v>
      </c>
      <c r="V759" s="2" t="str">
        <f t="shared" si="184"/>
        <v>2C9</v>
      </c>
      <c r="W759" s="2" t="str">
        <f t="shared" si="185"/>
        <v>X</v>
      </c>
      <c r="X759" s="2" t="str">
        <f t="shared" si="188"/>
        <v>X</v>
      </c>
      <c r="Y759" s="2" t="str">
        <f t="shared" si="186"/>
        <v>X</v>
      </c>
      <c r="Z759" s="2" t="str">
        <f t="shared" si="187"/>
        <v>X</v>
      </c>
      <c r="AA759" s="2" t="str">
        <f t="shared" si="190"/>
        <v>(31 downto 24)</v>
      </c>
      <c r="AB759" s="2" t="str">
        <f t="shared" si="191"/>
        <v>(23 downto 16)</v>
      </c>
      <c r="AC759" s="2" t="str">
        <f t="shared" si="192"/>
        <v>(15 downto 8)</v>
      </c>
      <c r="AD759" s="2" t="str">
        <f t="shared" si="193"/>
        <v>(7 downto 0)</v>
      </c>
      <c r="AE759" s="2" t="str">
        <f t="shared" si="194"/>
        <v>(31 downto 24)</v>
      </c>
      <c r="AF759" s="2" t="str">
        <f t="shared" si="195"/>
        <v>(23 downto 16)</v>
      </c>
      <c r="AG759" s="2" t="str">
        <f t="shared" si="196"/>
        <v>(15 downto 8)</v>
      </c>
      <c r="AH759" s="2" t="str">
        <f t="shared" si="197"/>
        <v>(7 downto 0)</v>
      </c>
    </row>
    <row r="760" spans="2:34" x14ac:dyDescent="0.25">
      <c r="B760" s="2" t="s">
        <v>2095</v>
      </c>
      <c r="C760" s="2" t="s">
        <v>141</v>
      </c>
      <c r="D760" s="2" t="s">
        <v>0</v>
      </c>
      <c r="E760" s="2" t="s">
        <v>130</v>
      </c>
      <c r="F760" s="2" t="s">
        <v>2096</v>
      </c>
      <c r="G760" s="2" t="s">
        <v>2097</v>
      </c>
      <c r="H760" s="2" t="s">
        <v>142</v>
      </c>
      <c r="I760" s="2" t="s">
        <v>41</v>
      </c>
      <c r="J760" s="2">
        <v>32</v>
      </c>
      <c r="K760" s="2" t="s">
        <v>132</v>
      </c>
      <c r="L760" s="2" t="s">
        <v>40</v>
      </c>
      <c r="P760" s="2" t="s">
        <v>48</v>
      </c>
      <c r="Q760" s="2">
        <f>INDEX(Tables!$C$4:$C$28,MATCH($P760,Tables!$B$4:$B$28,0))</f>
        <v>32</v>
      </c>
      <c r="R760" s="2">
        <f>INDEX(Tables!$D$4:$D$28,MATCH($P760,Tables!$B$4:$B$28,0))</f>
        <v>4</v>
      </c>
      <c r="S760" s="2">
        <f>$S759+$R759+INDEX(Tables!$N$5:$Q$8,MATCH(MOD($S759+$R759,4),Tables!$M$5:$M$8,0),MATCH($R760,Tables!$N$4:$Q$4,0))</f>
        <v>2856</v>
      </c>
      <c r="T760" s="2" t="str">
        <f t="shared" si="183"/>
        <v>0B28</v>
      </c>
      <c r="U760" s="2">
        <f t="shared" si="189"/>
        <v>714</v>
      </c>
      <c r="V760" s="2" t="str">
        <f t="shared" si="184"/>
        <v>2CA</v>
      </c>
      <c r="W760" s="2" t="str">
        <f t="shared" si="185"/>
        <v>X</v>
      </c>
      <c r="X760" s="2" t="str">
        <f t="shared" si="188"/>
        <v>X</v>
      </c>
      <c r="Y760" s="2" t="str">
        <f t="shared" si="186"/>
        <v>X</v>
      </c>
      <c r="Z760" s="2" t="str">
        <f t="shared" si="187"/>
        <v>X</v>
      </c>
      <c r="AA760" s="2" t="str">
        <f t="shared" si="190"/>
        <v>(31 downto 24)</v>
      </c>
      <c r="AB760" s="2" t="str">
        <f t="shared" si="191"/>
        <v>(23 downto 16)</v>
      </c>
      <c r="AC760" s="2" t="str">
        <f t="shared" si="192"/>
        <v>(15 downto 8)</v>
      </c>
      <c r="AD760" s="2" t="str">
        <f t="shared" si="193"/>
        <v>(7 downto 0)</v>
      </c>
      <c r="AE760" s="2" t="str">
        <f t="shared" si="194"/>
        <v>(31 downto 24)</v>
      </c>
      <c r="AF760" s="2" t="str">
        <f t="shared" si="195"/>
        <v>(23 downto 16)</v>
      </c>
      <c r="AG760" s="2" t="str">
        <f t="shared" si="196"/>
        <v>(15 downto 8)</v>
      </c>
      <c r="AH760" s="2" t="str">
        <f t="shared" si="197"/>
        <v>(7 downto 0)</v>
      </c>
    </row>
    <row r="761" spans="2:34" x14ac:dyDescent="0.25">
      <c r="B761" s="2" t="s">
        <v>2098</v>
      </c>
      <c r="C761" s="2" t="s">
        <v>141</v>
      </c>
      <c r="D761" s="2" t="s">
        <v>0</v>
      </c>
      <c r="E761" s="2" t="s">
        <v>130</v>
      </c>
      <c r="F761" s="2" t="s">
        <v>2099</v>
      </c>
      <c r="G761" s="2" t="s">
        <v>2100</v>
      </c>
      <c r="H761" s="2" t="s">
        <v>142</v>
      </c>
      <c r="I761" s="2" t="s">
        <v>41</v>
      </c>
      <c r="J761" s="2">
        <v>32</v>
      </c>
      <c r="K761" s="2" t="s">
        <v>132</v>
      </c>
      <c r="L761" s="2" t="s">
        <v>40</v>
      </c>
      <c r="P761" s="2" t="s">
        <v>48</v>
      </c>
      <c r="Q761" s="2">
        <f>INDEX(Tables!$C$4:$C$28,MATCH($P761,Tables!$B$4:$B$28,0))</f>
        <v>32</v>
      </c>
      <c r="R761" s="2">
        <f>INDEX(Tables!$D$4:$D$28,MATCH($P761,Tables!$B$4:$B$28,0))</f>
        <v>4</v>
      </c>
      <c r="S761" s="2">
        <f>$S760+$R760+INDEX(Tables!$N$5:$Q$8,MATCH(MOD($S760+$R760,4),Tables!$M$5:$M$8,0),MATCH($R761,Tables!$N$4:$Q$4,0))</f>
        <v>2860</v>
      </c>
      <c r="T761" s="2" t="str">
        <f t="shared" si="183"/>
        <v>0B2C</v>
      </c>
      <c r="U761" s="2">
        <f t="shared" si="189"/>
        <v>715</v>
      </c>
      <c r="V761" s="2" t="str">
        <f t="shared" si="184"/>
        <v>2CB</v>
      </c>
      <c r="W761" s="2" t="str">
        <f t="shared" si="185"/>
        <v>X</v>
      </c>
      <c r="X761" s="2" t="str">
        <f t="shared" si="188"/>
        <v>X</v>
      </c>
      <c r="Y761" s="2" t="str">
        <f t="shared" si="186"/>
        <v>X</v>
      </c>
      <c r="Z761" s="2" t="str">
        <f t="shared" si="187"/>
        <v>X</v>
      </c>
      <c r="AA761" s="2" t="str">
        <f t="shared" si="190"/>
        <v>(31 downto 24)</v>
      </c>
      <c r="AB761" s="2" t="str">
        <f t="shared" si="191"/>
        <v>(23 downto 16)</v>
      </c>
      <c r="AC761" s="2" t="str">
        <f t="shared" si="192"/>
        <v>(15 downto 8)</v>
      </c>
      <c r="AD761" s="2" t="str">
        <f t="shared" si="193"/>
        <v>(7 downto 0)</v>
      </c>
      <c r="AE761" s="2" t="str">
        <f t="shared" si="194"/>
        <v>(31 downto 24)</v>
      </c>
      <c r="AF761" s="2" t="str">
        <f t="shared" si="195"/>
        <v>(23 downto 16)</v>
      </c>
      <c r="AG761" s="2" t="str">
        <f t="shared" si="196"/>
        <v>(15 downto 8)</v>
      </c>
      <c r="AH761" s="2" t="str">
        <f t="shared" si="197"/>
        <v>(7 downto 0)</v>
      </c>
    </row>
    <row r="762" spans="2:34" x14ac:dyDescent="0.25">
      <c r="B762" s="2" t="s">
        <v>2101</v>
      </c>
      <c r="C762" s="2" t="s">
        <v>141</v>
      </c>
      <c r="D762" s="2" t="s">
        <v>0</v>
      </c>
      <c r="E762" s="2" t="s">
        <v>130</v>
      </c>
      <c r="F762" s="2" t="s">
        <v>2102</v>
      </c>
      <c r="G762" s="2" t="s">
        <v>2103</v>
      </c>
      <c r="H762" s="2" t="s">
        <v>142</v>
      </c>
      <c r="I762" s="2" t="s">
        <v>41</v>
      </c>
      <c r="J762" s="2">
        <v>32</v>
      </c>
      <c r="K762" s="2" t="s">
        <v>132</v>
      </c>
      <c r="L762" s="2" t="s">
        <v>40</v>
      </c>
      <c r="P762" s="2" t="s">
        <v>48</v>
      </c>
      <c r="Q762" s="2">
        <f>INDEX(Tables!$C$4:$C$28,MATCH($P762,Tables!$B$4:$B$28,0))</f>
        <v>32</v>
      </c>
      <c r="R762" s="2">
        <f>INDEX(Tables!$D$4:$D$28,MATCH($P762,Tables!$B$4:$B$28,0))</f>
        <v>4</v>
      </c>
      <c r="S762" s="2">
        <f>$S761+$R761+INDEX(Tables!$N$5:$Q$8,MATCH(MOD($S761+$R761,4),Tables!$M$5:$M$8,0),MATCH($R762,Tables!$N$4:$Q$4,0))</f>
        <v>2864</v>
      </c>
      <c r="T762" s="2" t="str">
        <f t="shared" si="183"/>
        <v>0B30</v>
      </c>
      <c r="U762" s="2">
        <f t="shared" si="189"/>
        <v>716</v>
      </c>
      <c r="V762" s="2" t="str">
        <f t="shared" si="184"/>
        <v>2CC</v>
      </c>
      <c r="W762" s="2" t="str">
        <f t="shared" si="185"/>
        <v>X</v>
      </c>
      <c r="X762" s="2" t="str">
        <f t="shared" si="188"/>
        <v>X</v>
      </c>
      <c r="Y762" s="2" t="str">
        <f t="shared" si="186"/>
        <v>X</v>
      </c>
      <c r="Z762" s="2" t="str">
        <f t="shared" si="187"/>
        <v>X</v>
      </c>
      <c r="AA762" s="2" t="str">
        <f t="shared" si="190"/>
        <v>(31 downto 24)</v>
      </c>
      <c r="AB762" s="2" t="str">
        <f t="shared" si="191"/>
        <v>(23 downto 16)</v>
      </c>
      <c r="AC762" s="2" t="str">
        <f t="shared" si="192"/>
        <v>(15 downto 8)</v>
      </c>
      <c r="AD762" s="2" t="str">
        <f t="shared" si="193"/>
        <v>(7 downto 0)</v>
      </c>
      <c r="AE762" s="2" t="str">
        <f t="shared" si="194"/>
        <v>(31 downto 24)</v>
      </c>
      <c r="AF762" s="2" t="str">
        <f t="shared" si="195"/>
        <v>(23 downto 16)</v>
      </c>
      <c r="AG762" s="2" t="str">
        <f t="shared" si="196"/>
        <v>(15 downto 8)</v>
      </c>
      <c r="AH762" s="2" t="str">
        <f t="shared" si="197"/>
        <v>(7 downto 0)</v>
      </c>
    </row>
    <row r="763" spans="2:34" x14ac:dyDescent="0.25">
      <c r="B763" s="2" t="s">
        <v>2104</v>
      </c>
      <c r="C763" s="2" t="s">
        <v>141</v>
      </c>
      <c r="D763" s="2" t="s">
        <v>0</v>
      </c>
      <c r="E763" s="2" t="s">
        <v>130</v>
      </c>
      <c r="F763" s="2" t="s">
        <v>2105</v>
      </c>
      <c r="G763" s="2" t="s">
        <v>2106</v>
      </c>
      <c r="H763" s="2" t="s">
        <v>142</v>
      </c>
      <c r="I763" s="2" t="s">
        <v>41</v>
      </c>
      <c r="J763" s="2">
        <v>32</v>
      </c>
      <c r="K763" s="2" t="s">
        <v>132</v>
      </c>
      <c r="L763" s="2" t="s">
        <v>40</v>
      </c>
      <c r="P763" s="2" t="s">
        <v>48</v>
      </c>
      <c r="Q763" s="2">
        <f>INDEX(Tables!$C$4:$C$28,MATCH($P763,Tables!$B$4:$B$28,0))</f>
        <v>32</v>
      </c>
      <c r="R763" s="2">
        <f>INDEX(Tables!$D$4:$D$28,MATCH($P763,Tables!$B$4:$B$28,0))</f>
        <v>4</v>
      </c>
      <c r="S763" s="2">
        <f>$S762+$R762+INDEX(Tables!$N$5:$Q$8,MATCH(MOD($S762+$R762,4),Tables!$M$5:$M$8,0),MATCH($R763,Tables!$N$4:$Q$4,0))</f>
        <v>2868</v>
      </c>
      <c r="T763" s="2" t="str">
        <f t="shared" si="183"/>
        <v>0B34</v>
      </c>
      <c r="U763" s="2">
        <f t="shared" si="189"/>
        <v>717</v>
      </c>
      <c r="V763" s="2" t="str">
        <f t="shared" si="184"/>
        <v>2CD</v>
      </c>
      <c r="W763" s="2" t="str">
        <f t="shared" si="185"/>
        <v>X</v>
      </c>
      <c r="X763" s="2" t="str">
        <f t="shared" si="188"/>
        <v>X</v>
      </c>
      <c r="Y763" s="2" t="str">
        <f t="shared" si="186"/>
        <v>X</v>
      </c>
      <c r="Z763" s="2" t="str">
        <f t="shared" si="187"/>
        <v>X</v>
      </c>
      <c r="AA763" s="2" t="str">
        <f t="shared" si="190"/>
        <v>(31 downto 24)</v>
      </c>
      <c r="AB763" s="2" t="str">
        <f t="shared" si="191"/>
        <v>(23 downto 16)</v>
      </c>
      <c r="AC763" s="2" t="str">
        <f t="shared" si="192"/>
        <v>(15 downto 8)</v>
      </c>
      <c r="AD763" s="2" t="str">
        <f t="shared" si="193"/>
        <v>(7 downto 0)</v>
      </c>
      <c r="AE763" s="2" t="str">
        <f t="shared" si="194"/>
        <v>(31 downto 24)</v>
      </c>
      <c r="AF763" s="2" t="str">
        <f t="shared" si="195"/>
        <v>(23 downto 16)</v>
      </c>
      <c r="AG763" s="2" t="str">
        <f t="shared" si="196"/>
        <v>(15 downto 8)</v>
      </c>
      <c r="AH763" s="2" t="str">
        <f t="shared" si="197"/>
        <v>(7 downto 0)</v>
      </c>
    </row>
    <row r="764" spans="2:34" x14ac:dyDescent="0.25">
      <c r="B764" s="2" t="s">
        <v>2107</v>
      </c>
      <c r="C764" s="2" t="s">
        <v>141</v>
      </c>
      <c r="D764" s="2" t="s">
        <v>0</v>
      </c>
      <c r="E764" s="2" t="s">
        <v>130</v>
      </c>
      <c r="F764" s="2" t="s">
        <v>2108</v>
      </c>
      <c r="G764" s="2" t="s">
        <v>2109</v>
      </c>
      <c r="H764" s="2" t="s">
        <v>142</v>
      </c>
      <c r="I764" s="2" t="s">
        <v>41</v>
      </c>
      <c r="J764" s="2">
        <v>32</v>
      </c>
      <c r="K764" s="2" t="s">
        <v>132</v>
      </c>
      <c r="L764" s="2" t="s">
        <v>40</v>
      </c>
      <c r="P764" s="2" t="s">
        <v>48</v>
      </c>
      <c r="Q764" s="2">
        <f>INDEX(Tables!$C$4:$C$28,MATCH($P764,Tables!$B$4:$B$28,0))</f>
        <v>32</v>
      </c>
      <c r="R764" s="2">
        <f>INDEX(Tables!$D$4:$D$28,MATCH($P764,Tables!$B$4:$B$28,0))</f>
        <v>4</v>
      </c>
      <c r="S764" s="2">
        <f>$S763+$R763+INDEX(Tables!$N$5:$Q$8,MATCH(MOD($S763+$R763,4),Tables!$M$5:$M$8,0),MATCH($R764,Tables!$N$4:$Q$4,0))</f>
        <v>2872</v>
      </c>
      <c r="T764" s="2" t="str">
        <f t="shared" si="183"/>
        <v>0B38</v>
      </c>
      <c r="U764" s="2">
        <f t="shared" si="189"/>
        <v>718</v>
      </c>
      <c r="V764" s="2" t="str">
        <f t="shared" si="184"/>
        <v>2CE</v>
      </c>
      <c r="W764" s="2" t="str">
        <f t="shared" si="185"/>
        <v>X</v>
      </c>
      <c r="X764" s="2" t="str">
        <f t="shared" si="188"/>
        <v>X</v>
      </c>
      <c r="Y764" s="2" t="str">
        <f t="shared" si="186"/>
        <v>X</v>
      </c>
      <c r="Z764" s="2" t="str">
        <f t="shared" si="187"/>
        <v>X</v>
      </c>
      <c r="AA764" s="2" t="str">
        <f t="shared" si="190"/>
        <v>(31 downto 24)</v>
      </c>
      <c r="AB764" s="2" t="str">
        <f t="shared" si="191"/>
        <v>(23 downto 16)</v>
      </c>
      <c r="AC764" s="2" t="str">
        <f t="shared" si="192"/>
        <v>(15 downto 8)</v>
      </c>
      <c r="AD764" s="2" t="str">
        <f t="shared" si="193"/>
        <v>(7 downto 0)</v>
      </c>
      <c r="AE764" s="2" t="str">
        <f t="shared" si="194"/>
        <v>(31 downto 24)</v>
      </c>
      <c r="AF764" s="2" t="str">
        <f t="shared" si="195"/>
        <v>(23 downto 16)</v>
      </c>
      <c r="AG764" s="2" t="str">
        <f t="shared" si="196"/>
        <v>(15 downto 8)</v>
      </c>
      <c r="AH764" s="2" t="str">
        <f t="shared" si="197"/>
        <v>(7 downto 0)</v>
      </c>
    </row>
    <row r="765" spans="2:34" x14ac:dyDescent="0.25">
      <c r="B765" s="2" t="s">
        <v>2110</v>
      </c>
      <c r="C765" s="2" t="s">
        <v>141</v>
      </c>
      <c r="D765" s="2" t="s">
        <v>0</v>
      </c>
      <c r="E765" s="2" t="s">
        <v>130</v>
      </c>
      <c r="F765" s="2" t="s">
        <v>2111</v>
      </c>
      <c r="G765" s="2" t="s">
        <v>2112</v>
      </c>
      <c r="H765" s="2" t="s">
        <v>142</v>
      </c>
      <c r="I765" s="2" t="s">
        <v>41</v>
      </c>
      <c r="J765" s="2">
        <v>32</v>
      </c>
      <c r="K765" s="2" t="s">
        <v>132</v>
      </c>
      <c r="L765" s="2" t="s">
        <v>40</v>
      </c>
      <c r="P765" s="2" t="s">
        <v>48</v>
      </c>
      <c r="Q765" s="2">
        <f>INDEX(Tables!$C$4:$C$28,MATCH($P765,Tables!$B$4:$B$28,0))</f>
        <v>32</v>
      </c>
      <c r="R765" s="2">
        <f>INDEX(Tables!$D$4:$D$28,MATCH($P765,Tables!$B$4:$B$28,0))</f>
        <v>4</v>
      </c>
      <c r="S765" s="2">
        <f>$S764+$R764+INDEX(Tables!$N$5:$Q$8,MATCH(MOD($S764+$R764,4),Tables!$M$5:$M$8,0),MATCH($R765,Tables!$N$4:$Q$4,0))</f>
        <v>2876</v>
      </c>
      <c r="T765" s="2" t="str">
        <f t="shared" si="183"/>
        <v>0B3C</v>
      </c>
      <c r="U765" s="2">
        <f t="shared" si="189"/>
        <v>719</v>
      </c>
      <c r="V765" s="2" t="str">
        <f t="shared" si="184"/>
        <v>2CF</v>
      </c>
      <c r="W765" s="2" t="str">
        <f t="shared" si="185"/>
        <v>X</v>
      </c>
      <c r="X765" s="2" t="str">
        <f t="shared" si="188"/>
        <v>X</v>
      </c>
      <c r="Y765" s="2" t="str">
        <f t="shared" si="186"/>
        <v>X</v>
      </c>
      <c r="Z765" s="2" t="str">
        <f t="shared" si="187"/>
        <v>X</v>
      </c>
      <c r="AA765" s="2" t="str">
        <f t="shared" si="190"/>
        <v>(31 downto 24)</v>
      </c>
      <c r="AB765" s="2" t="str">
        <f t="shared" si="191"/>
        <v>(23 downto 16)</v>
      </c>
      <c r="AC765" s="2" t="str">
        <f t="shared" si="192"/>
        <v>(15 downto 8)</v>
      </c>
      <c r="AD765" s="2" t="str">
        <f t="shared" si="193"/>
        <v>(7 downto 0)</v>
      </c>
      <c r="AE765" s="2" t="str">
        <f t="shared" si="194"/>
        <v>(31 downto 24)</v>
      </c>
      <c r="AF765" s="2" t="str">
        <f t="shared" si="195"/>
        <v>(23 downto 16)</v>
      </c>
      <c r="AG765" s="2" t="str">
        <f t="shared" si="196"/>
        <v>(15 downto 8)</v>
      </c>
      <c r="AH765" s="2" t="str">
        <f t="shared" si="197"/>
        <v>(7 downto 0)</v>
      </c>
    </row>
    <row r="766" spans="2:34" x14ac:dyDescent="0.25">
      <c r="B766" s="2" t="s">
        <v>2113</v>
      </c>
      <c r="C766" s="2" t="s">
        <v>141</v>
      </c>
      <c r="D766" s="2" t="s">
        <v>0</v>
      </c>
      <c r="E766" s="2" t="s">
        <v>130</v>
      </c>
      <c r="F766" s="2" t="s">
        <v>2114</v>
      </c>
      <c r="G766" s="2" t="s">
        <v>2115</v>
      </c>
      <c r="H766" s="2" t="s">
        <v>142</v>
      </c>
      <c r="I766" s="2" t="s">
        <v>41</v>
      </c>
      <c r="J766" s="2">
        <v>32</v>
      </c>
      <c r="K766" s="2" t="s">
        <v>132</v>
      </c>
      <c r="L766" s="2" t="s">
        <v>40</v>
      </c>
      <c r="P766" s="2" t="s">
        <v>48</v>
      </c>
      <c r="Q766" s="2">
        <f>INDEX(Tables!$C$4:$C$28,MATCH($P766,Tables!$B$4:$B$28,0))</f>
        <v>32</v>
      </c>
      <c r="R766" s="2">
        <f>INDEX(Tables!$D$4:$D$28,MATCH($P766,Tables!$B$4:$B$28,0))</f>
        <v>4</v>
      </c>
      <c r="S766" s="2">
        <f>$S765+$R765+INDEX(Tables!$N$5:$Q$8,MATCH(MOD($S765+$R765,4),Tables!$M$5:$M$8,0),MATCH($R766,Tables!$N$4:$Q$4,0))</f>
        <v>2880</v>
      </c>
      <c r="T766" s="2" t="str">
        <f t="shared" si="183"/>
        <v>0B40</v>
      </c>
      <c r="U766" s="2">
        <f t="shared" si="189"/>
        <v>720</v>
      </c>
      <c r="V766" s="2" t="str">
        <f t="shared" si="184"/>
        <v>2D0</v>
      </c>
      <c r="W766" s="2" t="str">
        <f t="shared" si="185"/>
        <v>X</v>
      </c>
      <c r="X766" s="2" t="str">
        <f t="shared" si="188"/>
        <v>X</v>
      </c>
      <c r="Y766" s="2" t="str">
        <f t="shared" si="186"/>
        <v>X</v>
      </c>
      <c r="Z766" s="2" t="str">
        <f t="shared" si="187"/>
        <v>X</v>
      </c>
      <c r="AA766" s="2" t="str">
        <f t="shared" si="190"/>
        <v>(31 downto 24)</v>
      </c>
      <c r="AB766" s="2" t="str">
        <f t="shared" si="191"/>
        <v>(23 downto 16)</v>
      </c>
      <c r="AC766" s="2" t="str">
        <f t="shared" si="192"/>
        <v>(15 downto 8)</v>
      </c>
      <c r="AD766" s="2" t="str">
        <f t="shared" si="193"/>
        <v>(7 downto 0)</v>
      </c>
      <c r="AE766" s="2" t="str">
        <f t="shared" si="194"/>
        <v>(31 downto 24)</v>
      </c>
      <c r="AF766" s="2" t="str">
        <f t="shared" si="195"/>
        <v>(23 downto 16)</v>
      </c>
      <c r="AG766" s="2" t="str">
        <f t="shared" si="196"/>
        <v>(15 downto 8)</v>
      </c>
      <c r="AH766" s="2" t="str">
        <f t="shared" si="197"/>
        <v>(7 downto 0)</v>
      </c>
    </row>
    <row r="767" spans="2:34" x14ac:dyDescent="0.25">
      <c r="B767" s="2" t="s">
        <v>2116</v>
      </c>
      <c r="C767" s="2" t="s">
        <v>141</v>
      </c>
      <c r="D767" s="2" t="s">
        <v>0</v>
      </c>
      <c r="E767" s="2" t="s">
        <v>130</v>
      </c>
      <c r="F767" s="2" t="s">
        <v>2117</v>
      </c>
      <c r="G767" s="2" t="s">
        <v>2118</v>
      </c>
      <c r="H767" s="2" t="s">
        <v>142</v>
      </c>
      <c r="I767" s="2" t="s">
        <v>41</v>
      </c>
      <c r="J767" s="2">
        <v>32</v>
      </c>
      <c r="K767" s="2" t="s">
        <v>132</v>
      </c>
      <c r="L767" s="2" t="s">
        <v>40</v>
      </c>
      <c r="P767" s="2" t="s">
        <v>48</v>
      </c>
      <c r="Q767" s="2">
        <f>INDEX(Tables!$C$4:$C$28,MATCH($P767,Tables!$B$4:$B$28,0))</f>
        <v>32</v>
      </c>
      <c r="R767" s="2">
        <f>INDEX(Tables!$D$4:$D$28,MATCH($P767,Tables!$B$4:$B$28,0))</f>
        <v>4</v>
      </c>
      <c r="S767" s="2">
        <f>$S766+$R766+INDEX(Tables!$N$5:$Q$8,MATCH(MOD($S766+$R766,4),Tables!$M$5:$M$8,0),MATCH($R767,Tables!$N$4:$Q$4,0))</f>
        <v>2884</v>
      </c>
      <c r="T767" s="2" t="str">
        <f t="shared" si="183"/>
        <v>0B44</v>
      </c>
      <c r="U767" s="2">
        <f t="shared" si="189"/>
        <v>721</v>
      </c>
      <c r="V767" s="2" t="str">
        <f t="shared" si="184"/>
        <v>2D1</v>
      </c>
      <c r="W767" s="2" t="str">
        <f t="shared" si="185"/>
        <v>X</v>
      </c>
      <c r="X767" s="2" t="str">
        <f t="shared" si="188"/>
        <v>X</v>
      </c>
      <c r="Y767" s="2" t="str">
        <f t="shared" si="186"/>
        <v>X</v>
      </c>
      <c r="Z767" s="2" t="str">
        <f t="shared" si="187"/>
        <v>X</v>
      </c>
      <c r="AA767" s="2" t="str">
        <f t="shared" si="190"/>
        <v>(31 downto 24)</v>
      </c>
      <c r="AB767" s="2" t="str">
        <f t="shared" si="191"/>
        <v>(23 downto 16)</v>
      </c>
      <c r="AC767" s="2" t="str">
        <f t="shared" si="192"/>
        <v>(15 downto 8)</v>
      </c>
      <c r="AD767" s="2" t="str">
        <f t="shared" si="193"/>
        <v>(7 downto 0)</v>
      </c>
      <c r="AE767" s="2" t="str">
        <f t="shared" si="194"/>
        <v>(31 downto 24)</v>
      </c>
      <c r="AF767" s="2" t="str">
        <f t="shared" si="195"/>
        <v>(23 downto 16)</v>
      </c>
      <c r="AG767" s="2" t="str">
        <f t="shared" si="196"/>
        <v>(15 downto 8)</v>
      </c>
      <c r="AH767" s="2" t="str">
        <f t="shared" si="197"/>
        <v>(7 downto 0)</v>
      </c>
    </row>
    <row r="768" spans="2:34" x14ac:dyDescent="0.25">
      <c r="B768" s="2" t="s">
        <v>2119</v>
      </c>
      <c r="C768" s="2" t="s">
        <v>141</v>
      </c>
      <c r="D768" s="2" t="s">
        <v>0</v>
      </c>
      <c r="E768" s="2" t="s">
        <v>130</v>
      </c>
      <c r="F768" s="2" t="s">
        <v>2120</v>
      </c>
      <c r="G768" s="2" t="s">
        <v>2121</v>
      </c>
      <c r="H768" s="2" t="s">
        <v>142</v>
      </c>
      <c r="I768" s="2" t="s">
        <v>41</v>
      </c>
      <c r="J768" s="2">
        <v>32</v>
      </c>
      <c r="K768" s="2" t="s">
        <v>132</v>
      </c>
      <c r="L768" s="2" t="s">
        <v>40</v>
      </c>
      <c r="P768" s="2" t="s">
        <v>48</v>
      </c>
      <c r="Q768" s="2">
        <f>INDEX(Tables!$C$4:$C$28,MATCH($P768,Tables!$B$4:$B$28,0))</f>
        <v>32</v>
      </c>
      <c r="R768" s="2">
        <f>INDEX(Tables!$D$4:$D$28,MATCH($P768,Tables!$B$4:$B$28,0))</f>
        <v>4</v>
      </c>
      <c r="S768" s="2">
        <f>$S767+$R767+INDEX(Tables!$N$5:$Q$8,MATCH(MOD($S767+$R767,4),Tables!$M$5:$M$8,0),MATCH($R768,Tables!$N$4:$Q$4,0))</f>
        <v>2888</v>
      </c>
      <c r="T768" s="2" t="str">
        <f t="shared" si="183"/>
        <v>0B48</v>
      </c>
      <c r="U768" s="2">
        <f t="shared" si="189"/>
        <v>722</v>
      </c>
      <c r="V768" s="2" t="str">
        <f t="shared" si="184"/>
        <v>2D2</v>
      </c>
      <c r="W768" s="2" t="str">
        <f t="shared" si="185"/>
        <v>X</v>
      </c>
      <c r="X768" s="2" t="str">
        <f t="shared" si="188"/>
        <v>X</v>
      </c>
      <c r="Y768" s="2" t="str">
        <f t="shared" si="186"/>
        <v>X</v>
      </c>
      <c r="Z768" s="2" t="str">
        <f t="shared" si="187"/>
        <v>X</v>
      </c>
      <c r="AA768" s="2" t="str">
        <f t="shared" si="190"/>
        <v>(31 downto 24)</v>
      </c>
      <c r="AB768" s="2" t="str">
        <f t="shared" si="191"/>
        <v>(23 downto 16)</v>
      </c>
      <c r="AC768" s="2" t="str">
        <f t="shared" si="192"/>
        <v>(15 downto 8)</v>
      </c>
      <c r="AD768" s="2" t="str">
        <f t="shared" si="193"/>
        <v>(7 downto 0)</v>
      </c>
      <c r="AE768" s="2" t="str">
        <f t="shared" si="194"/>
        <v>(31 downto 24)</v>
      </c>
      <c r="AF768" s="2" t="str">
        <f t="shared" si="195"/>
        <v>(23 downto 16)</v>
      </c>
      <c r="AG768" s="2" t="str">
        <f t="shared" si="196"/>
        <v>(15 downto 8)</v>
      </c>
      <c r="AH768" s="2" t="str">
        <f t="shared" si="197"/>
        <v>(7 downto 0)</v>
      </c>
    </row>
    <row r="769" spans="2:34" x14ac:dyDescent="0.25">
      <c r="B769" s="2" t="s">
        <v>2122</v>
      </c>
      <c r="C769" s="2" t="s">
        <v>141</v>
      </c>
      <c r="D769" s="2" t="s">
        <v>0</v>
      </c>
      <c r="E769" s="2" t="s">
        <v>130</v>
      </c>
      <c r="F769" s="2" t="s">
        <v>2123</v>
      </c>
      <c r="G769" s="2" t="s">
        <v>2124</v>
      </c>
      <c r="H769" s="2" t="s">
        <v>142</v>
      </c>
      <c r="I769" s="2" t="s">
        <v>41</v>
      </c>
      <c r="J769" s="2">
        <v>32</v>
      </c>
      <c r="K769" s="2" t="s">
        <v>132</v>
      </c>
      <c r="L769" s="2" t="s">
        <v>40</v>
      </c>
      <c r="P769" s="2" t="s">
        <v>48</v>
      </c>
      <c r="Q769" s="2">
        <f>INDEX(Tables!$C$4:$C$28,MATCH($P769,Tables!$B$4:$B$28,0))</f>
        <v>32</v>
      </c>
      <c r="R769" s="2">
        <f>INDEX(Tables!$D$4:$D$28,MATCH($P769,Tables!$B$4:$B$28,0))</f>
        <v>4</v>
      </c>
      <c r="S769" s="2">
        <f>$S768+$R768+INDEX(Tables!$N$5:$Q$8,MATCH(MOD($S768+$R768,4),Tables!$M$5:$M$8,0),MATCH($R769,Tables!$N$4:$Q$4,0))</f>
        <v>2892</v>
      </c>
      <c r="T769" s="2" t="str">
        <f t="shared" si="183"/>
        <v>0B4C</v>
      </c>
      <c r="U769" s="2">
        <f t="shared" si="189"/>
        <v>723</v>
      </c>
      <c r="V769" s="2" t="str">
        <f t="shared" si="184"/>
        <v>2D3</v>
      </c>
      <c r="W769" s="2" t="str">
        <f t="shared" si="185"/>
        <v>X</v>
      </c>
      <c r="X769" s="2" t="str">
        <f t="shared" si="188"/>
        <v>X</v>
      </c>
      <c r="Y769" s="2" t="str">
        <f t="shared" si="186"/>
        <v>X</v>
      </c>
      <c r="Z769" s="2" t="str">
        <f t="shared" si="187"/>
        <v>X</v>
      </c>
      <c r="AA769" s="2" t="str">
        <f t="shared" si="190"/>
        <v>(31 downto 24)</v>
      </c>
      <c r="AB769" s="2" t="str">
        <f t="shared" si="191"/>
        <v>(23 downto 16)</v>
      </c>
      <c r="AC769" s="2" t="str">
        <f t="shared" si="192"/>
        <v>(15 downto 8)</v>
      </c>
      <c r="AD769" s="2" t="str">
        <f t="shared" si="193"/>
        <v>(7 downto 0)</v>
      </c>
      <c r="AE769" s="2" t="str">
        <f t="shared" si="194"/>
        <v>(31 downto 24)</v>
      </c>
      <c r="AF769" s="2" t="str">
        <f t="shared" si="195"/>
        <v>(23 downto 16)</v>
      </c>
      <c r="AG769" s="2" t="str">
        <f t="shared" si="196"/>
        <v>(15 downto 8)</v>
      </c>
      <c r="AH769" s="2" t="str">
        <f t="shared" si="197"/>
        <v>(7 downto 0)</v>
      </c>
    </row>
    <row r="770" spans="2:34" x14ac:dyDescent="0.25">
      <c r="B770" s="2" t="s">
        <v>2125</v>
      </c>
      <c r="C770" s="2" t="s">
        <v>141</v>
      </c>
      <c r="D770" s="2" t="s">
        <v>0</v>
      </c>
      <c r="E770" s="2" t="s">
        <v>130</v>
      </c>
      <c r="F770" s="2" t="s">
        <v>2126</v>
      </c>
      <c r="G770" s="2" t="s">
        <v>2127</v>
      </c>
      <c r="H770" s="2" t="s">
        <v>142</v>
      </c>
      <c r="I770" s="2" t="s">
        <v>41</v>
      </c>
      <c r="J770" s="2">
        <v>32</v>
      </c>
      <c r="K770" s="2" t="s">
        <v>132</v>
      </c>
      <c r="L770" s="2" t="s">
        <v>40</v>
      </c>
      <c r="P770" s="2" t="s">
        <v>48</v>
      </c>
      <c r="Q770" s="2">
        <f>INDEX(Tables!$C$4:$C$28,MATCH($P770,Tables!$B$4:$B$28,0))</f>
        <v>32</v>
      </c>
      <c r="R770" s="2">
        <f>INDEX(Tables!$D$4:$D$28,MATCH($P770,Tables!$B$4:$B$28,0))</f>
        <v>4</v>
      </c>
      <c r="S770" s="2">
        <f>$S769+$R769+INDEX(Tables!$N$5:$Q$8,MATCH(MOD($S769+$R769,4),Tables!$M$5:$M$8,0),MATCH($R770,Tables!$N$4:$Q$4,0))</f>
        <v>2896</v>
      </c>
      <c r="T770" s="2" t="str">
        <f t="shared" si="183"/>
        <v>0B50</v>
      </c>
      <c r="U770" s="2">
        <f t="shared" si="189"/>
        <v>724</v>
      </c>
      <c r="V770" s="2" t="str">
        <f t="shared" si="184"/>
        <v>2D4</v>
      </c>
      <c r="W770" s="2" t="str">
        <f t="shared" si="185"/>
        <v>X</v>
      </c>
      <c r="X770" s="2" t="str">
        <f t="shared" si="188"/>
        <v>X</v>
      </c>
      <c r="Y770" s="2" t="str">
        <f t="shared" si="186"/>
        <v>X</v>
      </c>
      <c r="Z770" s="2" t="str">
        <f t="shared" si="187"/>
        <v>X</v>
      </c>
      <c r="AA770" s="2" t="str">
        <f t="shared" si="190"/>
        <v>(31 downto 24)</v>
      </c>
      <c r="AB770" s="2" t="str">
        <f t="shared" si="191"/>
        <v>(23 downto 16)</v>
      </c>
      <c r="AC770" s="2" t="str">
        <f t="shared" si="192"/>
        <v>(15 downto 8)</v>
      </c>
      <c r="AD770" s="2" t="str">
        <f t="shared" si="193"/>
        <v>(7 downto 0)</v>
      </c>
      <c r="AE770" s="2" t="str">
        <f t="shared" si="194"/>
        <v>(31 downto 24)</v>
      </c>
      <c r="AF770" s="2" t="str">
        <f t="shared" si="195"/>
        <v>(23 downto 16)</v>
      </c>
      <c r="AG770" s="2" t="str">
        <f t="shared" si="196"/>
        <v>(15 downto 8)</v>
      </c>
      <c r="AH770" s="2" t="str">
        <f t="shared" si="197"/>
        <v>(7 downto 0)</v>
      </c>
    </row>
    <row r="771" spans="2:34" x14ac:dyDescent="0.25">
      <c r="B771" s="2" t="s">
        <v>2128</v>
      </c>
      <c r="C771" s="2" t="s">
        <v>141</v>
      </c>
      <c r="D771" s="2" t="s">
        <v>0</v>
      </c>
      <c r="E771" s="2" t="s">
        <v>130</v>
      </c>
      <c r="F771" s="2" t="s">
        <v>2129</v>
      </c>
      <c r="G771" s="2" t="s">
        <v>2130</v>
      </c>
      <c r="H771" s="2" t="s">
        <v>142</v>
      </c>
      <c r="I771" s="2" t="s">
        <v>41</v>
      </c>
      <c r="J771" s="2">
        <v>32</v>
      </c>
      <c r="K771" s="2" t="s">
        <v>132</v>
      </c>
      <c r="L771" s="2" t="s">
        <v>40</v>
      </c>
      <c r="P771" s="2" t="s">
        <v>48</v>
      </c>
      <c r="Q771" s="2">
        <f>INDEX(Tables!$C$4:$C$28,MATCH($P771,Tables!$B$4:$B$28,0))</f>
        <v>32</v>
      </c>
      <c r="R771" s="2">
        <f>INDEX(Tables!$D$4:$D$28,MATCH($P771,Tables!$B$4:$B$28,0))</f>
        <v>4</v>
      </c>
      <c r="S771" s="2">
        <f>$S770+$R770+INDEX(Tables!$N$5:$Q$8,MATCH(MOD($S770+$R770,4),Tables!$M$5:$M$8,0),MATCH($R771,Tables!$N$4:$Q$4,0))</f>
        <v>2900</v>
      </c>
      <c r="T771" s="2" t="str">
        <f t="shared" si="183"/>
        <v>0B54</v>
      </c>
      <c r="U771" s="2">
        <f t="shared" si="189"/>
        <v>725</v>
      </c>
      <c r="V771" s="2" t="str">
        <f t="shared" si="184"/>
        <v>2D5</v>
      </c>
      <c r="W771" s="2" t="str">
        <f t="shared" si="185"/>
        <v>X</v>
      </c>
      <c r="X771" s="2" t="str">
        <f t="shared" si="188"/>
        <v>X</v>
      </c>
      <c r="Y771" s="2" t="str">
        <f t="shared" si="186"/>
        <v>X</v>
      </c>
      <c r="Z771" s="2" t="str">
        <f t="shared" si="187"/>
        <v>X</v>
      </c>
      <c r="AA771" s="2" t="str">
        <f t="shared" si="190"/>
        <v>(31 downto 24)</v>
      </c>
      <c r="AB771" s="2" t="str">
        <f t="shared" si="191"/>
        <v>(23 downto 16)</v>
      </c>
      <c r="AC771" s="2" t="str">
        <f t="shared" si="192"/>
        <v>(15 downto 8)</v>
      </c>
      <c r="AD771" s="2" t="str">
        <f t="shared" si="193"/>
        <v>(7 downto 0)</v>
      </c>
      <c r="AE771" s="2" t="str">
        <f t="shared" si="194"/>
        <v>(31 downto 24)</v>
      </c>
      <c r="AF771" s="2" t="str">
        <f t="shared" si="195"/>
        <v>(23 downto 16)</v>
      </c>
      <c r="AG771" s="2" t="str">
        <f t="shared" si="196"/>
        <v>(15 downto 8)</v>
      </c>
      <c r="AH771" s="2" t="str">
        <f t="shared" si="197"/>
        <v>(7 downto 0)</v>
      </c>
    </row>
    <row r="772" spans="2:34" x14ac:dyDescent="0.25">
      <c r="B772" s="2" t="s">
        <v>2131</v>
      </c>
      <c r="C772" s="2" t="s">
        <v>141</v>
      </c>
      <c r="D772" s="2" t="s">
        <v>0</v>
      </c>
      <c r="E772" s="2" t="s">
        <v>130</v>
      </c>
      <c r="F772" s="2" t="s">
        <v>2132</v>
      </c>
      <c r="G772" s="2" t="s">
        <v>2133</v>
      </c>
      <c r="H772" s="2" t="s">
        <v>142</v>
      </c>
      <c r="I772" s="2" t="s">
        <v>41</v>
      </c>
      <c r="J772" s="2">
        <v>32</v>
      </c>
      <c r="K772" s="2" t="s">
        <v>132</v>
      </c>
      <c r="L772" s="2" t="s">
        <v>40</v>
      </c>
      <c r="P772" s="2" t="s">
        <v>48</v>
      </c>
      <c r="Q772" s="2">
        <f>INDEX(Tables!$C$4:$C$28,MATCH($P772,Tables!$B$4:$B$28,0))</f>
        <v>32</v>
      </c>
      <c r="R772" s="2">
        <f>INDEX(Tables!$D$4:$D$28,MATCH($P772,Tables!$B$4:$B$28,0))</f>
        <v>4</v>
      </c>
      <c r="S772" s="2">
        <f>$S771+$R771+INDEX(Tables!$N$5:$Q$8,MATCH(MOD($S771+$R771,4),Tables!$M$5:$M$8,0),MATCH($R772,Tables!$N$4:$Q$4,0))</f>
        <v>2904</v>
      </c>
      <c r="T772" s="2" t="str">
        <f t="shared" si="183"/>
        <v>0B58</v>
      </c>
      <c r="U772" s="2">
        <f t="shared" si="189"/>
        <v>726</v>
      </c>
      <c r="V772" s="2" t="str">
        <f t="shared" si="184"/>
        <v>2D6</v>
      </c>
      <c r="W772" s="2" t="str">
        <f t="shared" si="185"/>
        <v>X</v>
      </c>
      <c r="X772" s="2" t="str">
        <f t="shared" si="188"/>
        <v>X</v>
      </c>
      <c r="Y772" s="2" t="str">
        <f t="shared" si="186"/>
        <v>X</v>
      </c>
      <c r="Z772" s="2" t="str">
        <f t="shared" si="187"/>
        <v>X</v>
      </c>
      <c r="AA772" s="2" t="str">
        <f t="shared" si="190"/>
        <v>(31 downto 24)</v>
      </c>
      <c r="AB772" s="2" t="str">
        <f t="shared" si="191"/>
        <v>(23 downto 16)</v>
      </c>
      <c r="AC772" s="2" t="str">
        <f t="shared" si="192"/>
        <v>(15 downto 8)</v>
      </c>
      <c r="AD772" s="2" t="str">
        <f t="shared" si="193"/>
        <v>(7 downto 0)</v>
      </c>
      <c r="AE772" s="2" t="str">
        <f t="shared" si="194"/>
        <v>(31 downto 24)</v>
      </c>
      <c r="AF772" s="2" t="str">
        <f t="shared" si="195"/>
        <v>(23 downto 16)</v>
      </c>
      <c r="AG772" s="2" t="str">
        <f t="shared" si="196"/>
        <v>(15 downto 8)</v>
      </c>
      <c r="AH772" s="2" t="str">
        <f t="shared" si="197"/>
        <v>(7 downto 0)</v>
      </c>
    </row>
    <row r="773" spans="2:34" x14ac:dyDescent="0.25">
      <c r="B773" s="2" t="s">
        <v>2134</v>
      </c>
      <c r="C773" s="2" t="s">
        <v>141</v>
      </c>
      <c r="D773" s="2" t="s">
        <v>0</v>
      </c>
      <c r="E773" s="2" t="s">
        <v>130</v>
      </c>
      <c r="F773" s="2" t="s">
        <v>2135</v>
      </c>
      <c r="G773" s="2" t="s">
        <v>2136</v>
      </c>
      <c r="H773" s="2" t="s">
        <v>142</v>
      </c>
      <c r="I773" s="2" t="s">
        <v>41</v>
      </c>
      <c r="J773" s="2">
        <v>32</v>
      </c>
      <c r="K773" s="2" t="s">
        <v>132</v>
      </c>
      <c r="L773" s="2" t="s">
        <v>40</v>
      </c>
      <c r="P773" s="2" t="s">
        <v>48</v>
      </c>
      <c r="Q773" s="2">
        <f>INDEX(Tables!$C$4:$C$28,MATCH($P773,Tables!$B$4:$B$28,0))</f>
        <v>32</v>
      </c>
      <c r="R773" s="2">
        <f>INDEX(Tables!$D$4:$D$28,MATCH($P773,Tables!$B$4:$B$28,0))</f>
        <v>4</v>
      </c>
      <c r="S773" s="2">
        <f>$S772+$R772+INDEX(Tables!$N$5:$Q$8,MATCH(MOD($S772+$R772,4),Tables!$M$5:$M$8,0),MATCH($R773,Tables!$N$4:$Q$4,0))</f>
        <v>2908</v>
      </c>
      <c r="T773" s="2" t="str">
        <f t="shared" ref="T773:T836" si="198">DEC2HEX($S773,4)</f>
        <v>0B5C</v>
      </c>
      <c r="U773" s="2">
        <f t="shared" si="189"/>
        <v>727</v>
      </c>
      <c r="V773" s="2" t="str">
        <f t="shared" ref="V773:V836" si="199">DEC2HEX($U773,3)</f>
        <v>2D7</v>
      </c>
      <c r="W773" s="2" t="str">
        <f t="shared" ref="W773:W836" si="200">IF(MOD($S773,4)=3,"X",IF(AND(MOD($S773,4)=2,$J773&gt;8),"X",IF(AND(MOD($S773,4)=1,$J773&gt;16),"X",IF(AND(MOD($S773,4)=0,$J773&gt;24),"X",""))))</f>
        <v>X</v>
      </c>
      <c r="X773" s="2" t="str">
        <f t="shared" si="188"/>
        <v>X</v>
      </c>
      <c r="Y773" s="2" t="str">
        <f t="shared" ref="Y773:Y836" si="201">IF(MOD($S773,4)=1,"X",IF(AND(MOD($S773,4)=0,$J773&gt;8),"X",""))</f>
        <v>X</v>
      </c>
      <c r="Z773" s="2" t="str">
        <f t="shared" ref="Z773:Z836" si="202">IF(MOD($S773,4)=0,"X","")</f>
        <v>X</v>
      </c>
      <c r="AA773" s="2" t="str">
        <f t="shared" si="190"/>
        <v>(31 downto 24)</v>
      </c>
      <c r="AB773" s="2" t="str">
        <f t="shared" si="191"/>
        <v>(23 downto 16)</v>
      </c>
      <c r="AC773" s="2" t="str">
        <f t="shared" si="192"/>
        <v>(15 downto 8)</v>
      </c>
      <c r="AD773" s="2" t="str">
        <f t="shared" si="193"/>
        <v>(7 downto 0)</v>
      </c>
      <c r="AE773" s="2" t="str">
        <f t="shared" si="194"/>
        <v>(31 downto 24)</v>
      </c>
      <c r="AF773" s="2" t="str">
        <f t="shared" si="195"/>
        <v>(23 downto 16)</v>
      </c>
      <c r="AG773" s="2" t="str">
        <f t="shared" si="196"/>
        <v>(15 downto 8)</v>
      </c>
      <c r="AH773" s="2" t="str">
        <f t="shared" si="197"/>
        <v>(7 downto 0)</v>
      </c>
    </row>
    <row r="774" spans="2:34" x14ac:dyDescent="0.25">
      <c r="B774" s="2" t="s">
        <v>2137</v>
      </c>
      <c r="C774" s="2" t="s">
        <v>141</v>
      </c>
      <c r="D774" s="2" t="s">
        <v>0</v>
      </c>
      <c r="E774" s="2" t="s">
        <v>130</v>
      </c>
      <c r="F774" s="2" t="s">
        <v>2138</v>
      </c>
      <c r="G774" s="2" t="s">
        <v>2139</v>
      </c>
      <c r="H774" s="2" t="s">
        <v>142</v>
      </c>
      <c r="I774" s="2" t="s">
        <v>41</v>
      </c>
      <c r="J774" s="2">
        <v>32</v>
      </c>
      <c r="K774" s="2" t="s">
        <v>132</v>
      </c>
      <c r="L774" s="2" t="s">
        <v>40</v>
      </c>
      <c r="P774" s="2" t="s">
        <v>48</v>
      </c>
      <c r="Q774" s="2">
        <f>INDEX(Tables!$C$4:$C$28,MATCH($P774,Tables!$B$4:$B$28,0))</f>
        <v>32</v>
      </c>
      <c r="R774" s="2">
        <f>INDEX(Tables!$D$4:$D$28,MATCH($P774,Tables!$B$4:$B$28,0))</f>
        <v>4</v>
      </c>
      <c r="S774" s="2">
        <f>$S773+$R773+INDEX(Tables!$N$5:$Q$8,MATCH(MOD($S773+$R773,4),Tables!$M$5:$M$8,0),MATCH($R774,Tables!$N$4:$Q$4,0))</f>
        <v>2912</v>
      </c>
      <c r="T774" s="2" t="str">
        <f t="shared" si="198"/>
        <v>0B60</v>
      </c>
      <c r="U774" s="2">
        <f t="shared" si="189"/>
        <v>728</v>
      </c>
      <c r="V774" s="2" t="str">
        <f t="shared" si="199"/>
        <v>2D8</v>
      </c>
      <c r="W774" s="2" t="str">
        <f t="shared" si="200"/>
        <v>X</v>
      </c>
      <c r="X774" s="2" t="str">
        <f t="shared" ref="X774:X837" si="203">IF(MOD($S774,4)=2,"X",IF(AND(MOD($S774,4)=1,$J774&gt;8),"X",IF(AND(MOD($S774,4)=0,$J774&gt;16),"X","")))</f>
        <v>X</v>
      </c>
      <c r="Y774" s="2" t="str">
        <f t="shared" si="201"/>
        <v>X</v>
      </c>
      <c r="Z774" s="2" t="str">
        <f t="shared" si="202"/>
        <v>X</v>
      </c>
      <c r="AA774" s="2" t="str">
        <f t="shared" si="190"/>
        <v>(31 downto 24)</v>
      </c>
      <c r="AB774" s="2" t="str">
        <f t="shared" si="191"/>
        <v>(23 downto 16)</v>
      </c>
      <c r="AC774" s="2" t="str">
        <f t="shared" si="192"/>
        <v>(15 downto 8)</v>
      </c>
      <c r="AD774" s="2" t="str">
        <f t="shared" si="193"/>
        <v>(7 downto 0)</v>
      </c>
      <c r="AE774" s="2" t="str">
        <f t="shared" si="194"/>
        <v>(31 downto 24)</v>
      </c>
      <c r="AF774" s="2" t="str">
        <f t="shared" si="195"/>
        <v>(23 downto 16)</v>
      </c>
      <c r="AG774" s="2" t="str">
        <f t="shared" si="196"/>
        <v>(15 downto 8)</v>
      </c>
      <c r="AH774" s="2" t="str">
        <f t="shared" si="197"/>
        <v>(7 downto 0)</v>
      </c>
    </row>
    <row r="775" spans="2:34" x14ac:dyDescent="0.25">
      <c r="B775" s="2" t="s">
        <v>2140</v>
      </c>
      <c r="C775" s="2" t="s">
        <v>141</v>
      </c>
      <c r="D775" s="2" t="s">
        <v>0</v>
      </c>
      <c r="E775" s="2" t="s">
        <v>130</v>
      </c>
      <c r="F775" s="2" t="s">
        <v>2141</v>
      </c>
      <c r="G775" s="2" t="s">
        <v>2142</v>
      </c>
      <c r="H775" s="2" t="s">
        <v>142</v>
      </c>
      <c r="I775" s="2" t="s">
        <v>41</v>
      </c>
      <c r="J775" s="2">
        <v>32</v>
      </c>
      <c r="K775" s="2" t="s">
        <v>132</v>
      </c>
      <c r="L775" s="2" t="s">
        <v>40</v>
      </c>
      <c r="P775" s="2" t="s">
        <v>48</v>
      </c>
      <c r="Q775" s="2">
        <f>INDEX(Tables!$C$4:$C$28,MATCH($P775,Tables!$B$4:$B$28,0))</f>
        <v>32</v>
      </c>
      <c r="R775" s="2">
        <f>INDEX(Tables!$D$4:$D$28,MATCH($P775,Tables!$B$4:$B$28,0))</f>
        <v>4</v>
      </c>
      <c r="S775" s="2">
        <f>$S774+$R774+INDEX(Tables!$N$5:$Q$8,MATCH(MOD($S774+$R774,4),Tables!$M$5:$M$8,0),MATCH($R775,Tables!$N$4:$Q$4,0))</f>
        <v>2916</v>
      </c>
      <c r="T775" s="2" t="str">
        <f t="shared" si="198"/>
        <v>0B64</v>
      </c>
      <c r="U775" s="2">
        <f t="shared" si="189"/>
        <v>729</v>
      </c>
      <c r="V775" s="2" t="str">
        <f t="shared" si="199"/>
        <v>2D9</v>
      </c>
      <c r="W775" s="2" t="str">
        <f t="shared" si="200"/>
        <v>X</v>
      </c>
      <c r="X775" s="2" t="str">
        <f t="shared" si="203"/>
        <v>X</v>
      </c>
      <c r="Y775" s="2" t="str">
        <f t="shared" si="201"/>
        <v>X</v>
      </c>
      <c r="Z775" s="2" t="str">
        <f t="shared" si="202"/>
        <v>X</v>
      </c>
      <c r="AA775" s="2" t="str">
        <f t="shared" si="190"/>
        <v>(31 downto 24)</v>
      </c>
      <c r="AB775" s="2" t="str">
        <f t="shared" si="191"/>
        <v>(23 downto 16)</v>
      </c>
      <c r="AC775" s="2" t="str">
        <f t="shared" si="192"/>
        <v>(15 downto 8)</v>
      </c>
      <c r="AD775" s="2" t="str">
        <f t="shared" si="193"/>
        <v>(7 downto 0)</v>
      </c>
      <c r="AE775" s="2" t="str">
        <f t="shared" si="194"/>
        <v>(31 downto 24)</v>
      </c>
      <c r="AF775" s="2" t="str">
        <f t="shared" si="195"/>
        <v>(23 downto 16)</v>
      </c>
      <c r="AG775" s="2" t="str">
        <f t="shared" si="196"/>
        <v>(15 downto 8)</v>
      </c>
      <c r="AH775" s="2" t="str">
        <f t="shared" si="197"/>
        <v>(7 downto 0)</v>
      </c>
    </row>
    <row r="776" spans="2:34" x14ac:dyDescent="0.25">
      <c r="B776" s="2" t="s">
        <v>2143</v>
      </c>
      <c r="C776" s="2" t="s">
        <v>141</v>
      </c>
      <c r="D776" s="2" t="s">
        <v>0</v>
      </c>
      <c r="E776" s="2" t="s">
        <v>130</v>
      </c>
      <c r="F776" s="2" t="s">
        <v>2144</v>
      </c>
      <c r="G776" s="2" t="s">
        <v>2145</v>
      </c>
      <c r="H776" s="2" t="s">
        <v>142</v>
      </c>
      <c r="I776" s="2" t="s">
        <v>41</v>
      </c>
      <c r="J776" s="2">
        <v>32</v>
      </c>
      <c r="K776" s="2" t="s">
        <v>132</v>
      </c>
      <c r="L776" s="2" t="s">
        <v>40</v>
      </c>
      <c r="P776" s="2" t="s">
        <v>48</v>
      </c>
      <c r="Q776" s="2">
        <f>INDEX(Tables!$C$4:$C$28,MATCH($P776,Tables!$B$4:$B$28,0))</f>
        <v>32</v>
      </c>
      <c r="R776" s="2">
        <f>INDEX(Tables!$D$4:$D$28,MATCH($P776,Tables!$B$4:$B$28,0))</f>
        <v>4</v>
      </c>
      <c r="S776" s="2">
        <f>$S775+$R775+INDEX(Tables!$N$5:$Q$8,MATCH(MOD($S775+$R775,4),Tables!$M$5:$M$8,0),MATCH($R776,Tables!$N$4:$Q$4,0))</f>
        <v>2920</v>
      </c>
      <c r="T776" s="2" t="str">
        <f t="shared" si="198"/>
        <v>0B68</v>
      </c>
      <c r="U776" s="2">
        <f t="shared" si="189"/>
        <v>730</v>
      </c>
      <c r="V776" s="2" t="str">
        <f t="shared" si="199"/>
        <v>2DA</v>
      </c>
      <c r="W776" s="2" t="str">
        <f t="shared" si="200"/>
        <v>X</v>
      </c>
      <c r="X776" s="2" t="str">
        <f t="shared" si="203"/>
        <v>X</v>
      </c>
      <c r="Y776" s="2" t="str">
        <f t="shared" si="201"/>
        <v>X</v>
      </c>
      <c r="Z776" s="2" t="str">
        <f t="shared" si="202"/>
        <v>X</v>
      </c>
      <c r="AA776" s="2" t="str">
        <f t="shared" si="190"/>
        <v>(31 downto 24)</v>
      </c>
      <c r="AB776" s="2" t="str">
        <f t="shared" si="191"/>
        <v>(23 downto 16)</v>
      </c>
      <c r="AC776" s="2" t="str">
        <f t="shared" si="192"/>
        <v>(15 downto 8)</v>
      </c>
      <c r="AD776" s="2" t="str">
        <f t="shared" si="193"/>
        <v>(7 downto 0)</v>
      </c>
      <c r="AE776" s="2" t="str">
        <f t="shared" si="194"/>
        <v>(31 downto 24)</v>
      </c>
      <c r="AF776" s="2" t="str">
        <f t="shared" si="195"/>
        <v>(23 downto 16)</v>
      </c>
      <c r="AG776" s="2" t="str">
        <f t="shared" si="196"/>
        <v>(15 downto 8)</v>
      </c>
      <c r="AH776" s="2" t="str">
        <f t="shared" si="197"/>
        <v>(7 downto 0)</v>
      </c>
    </row>
    <row r="777" spans="2:34" x14ac:dyDescent="0.25">
      <c r="B777" s="2" t="s">
        <v>2146</v>
      </c>
      <c r="C777" s="2" t="s">
        <v>141</v>
      </c>
      <c r="D777" s="2" t="s">
        <v>0</v>
      </c>
      <c r="E777" s="2" t="s">
        <v>130</v>
      </c>
      <c r="F777" s="2" t="s">
        <v>2147</v>
      </c>
      <c r="G777" s="2" t="s">
        <v>2148</v>
      </c>
      <c r="H777" s="2" t="s">
        <v>142</v>
      </c>
      <c r="I777" s="2" t="s">
        <v>41</v>
      </c>
      <c r="J777" s="2">
        <v>32</v>
      </c>
      <c r="K777" s="2" t="s">
        <v>132</v>
      </c>
      <c r="L777" s="2" t="s">
        <v>40</v>
      </c>
      <c r="P777" s="2" t="s">
        <v>48</v>
      </c>
      <c r="Q777" s="2">
        <f>INDEX(Tables!$C$4:$C$28,MATCH($P777,Tables!$B$4:$B$28,0))</f>
        <v>32</v>
      </c>
      <c r="R777" s="2">
        <f>INDEX(Tables!$D$4:$D$28,MATCH($P777,Tables!$B$4:$B$28,0))</f>
        <v>4</v>
      </c>
      <c r="S777" s="2">
        <f>$S776+$R776+INDEX(Tables!$N$5:$Q$8,MATCH(MOD($S776+$R776,4),Tables!$M$5:$M$8,0),MATCH($R777,Tables!$N$4:$Q$4,0))</f>
        <v>2924</v>
      </c>
      <c r="T777" s="2" t="str">
        <f t="shared" si="198"/>
        <v>0B6C</v>
      </c>
      <c r="U777" s="2">
        <f t="shared" ref="U777:U840" si="204">ROUNDDOWN(S777/4,0)</f>
        <v>731</v>
      </c>
      <c r="V777" s="2" t="str">
        <f t="shared" si="199"/>
        <v>2DB</v>
      </c>
      <c r="W777" s="2" t="str">
        <f t="shared" si="200"/>
        <v>X</v>
      </c>
      <c r="X777" s="2" t="str">
        <f t="shared" si="203"/>
        <v>X</v>
      </c>
      <c r="Y777" s="2" t="str">
        <f t="shared" si="201"/>
        <v>X</v>
      </c>
      <c r="Z777" s="2" t="str">
        <f t="shared" si="202"/>
        <v>X</v>
      </c>
      <c r="AA777" s="2" t="str">
        <f t="shared" ref="AA777:AA840" si="205">IF(W777="","",CONCATENATE("(",IF(($J777-COUNTIF($X777:$Z777,"X")*8)=1,"24)",CONCATENATE(IF(($J777-COUNTIF($X777:$Z777,"X")*8)&gt;=8,32,($J777-COUNTIF($X777:$Z777,"X")*8)+24)-1," downto 24)"))))</f>
        <v>(31 downto 24)</v>
      </c>
      <c r="AB777" s="2" t="str">
        <f t="shared" ref="AB777:AB840" si="206">IF(X777="","",CONCATENATE("(",IF(($J777-COUNTIF($Y777:$Z777,"X")*8)=1,"16)",CONCATENATE(IF(($J777-COUNTIF($Y777:$Z777,"X")*8)&gt;=8,24,($J777-COUNTIF($Y777:$Z777,"X")*8)+16)-1," downto 16)"))))</f>
        <v>(23 downto 16)</v>
      </c>
      <c r="AC777" s="2" t="str">
        <f t="shared" ref="AC777:AC840" si="207">IF(Y777="","",CONCATENATE("(",IF(($J777-COUNTIF($Z777,"X")*8)=1,"8)",CONCATENATE(IF(($J777-COUNTIF($Z777,"X")*8)&gt;=8,16,($J777-COUNTIF($Z777,"X")*8)+8)-1," downto 8)"))))</f>
        <v>(15 downto 8)</v>
      </c>
      <c r="AD777" s="2" t="str">
        <f t="shared" ref="AD777:AD840" si="208">IF(Z777="","",CONCATENATE("(",IF($J777=1,"0)",CONCATENATE(IF($J777&gt;=8,8,$J777)-1," downto 0)"))))</f>
        <v>(7 downto 0)</v>
      </c>
      <c r="AE777" s="2" t="str">
        <f t="shared" ref="AE777:AE840" si="209">IF(W777="","",IF($J777&lt;=8,"",IF(($J777-COUNTIF($X777:$Z777,"X")*8)=1,CONCATENATE("(",($J777-1),")"),CONCATENATE("(",IF(($J777-COUNTIF($X777:$Z777,"X")*8)&gt;=8,COUNTIF($X777:$Z777,"X")*8+7,$J777-COUNTIF($X777:$Z777,"X")*8-1+COUNTIF($X777:$Z777,"X")*8)," downto ",COUNTIF($X777:$Z777,"X")*8,")"))))</f>
        <v>(31 downto 24)</v>
      </c>
      <c r="AF777" s="2" t="str">
        <f t="shared" ref="AF777:AF840" si="210">IF(X777="","",IF($J777&lt;=8,"",IF(($J777-COUNTIF($Y777:$Z777,"X")*8)=1,CONCATENATE("(",($J777-1),")"),CONCATENATE("(",IF(($J777-COUNTIF($Y777:$Z777,"X")*8)&gt;=8,COUNTIF($Y777:$Z777,"X")*8+7,$J777-COUNTIF($Y777:$Z777,"X")*8-1+COUNTIF($Y777:$Z777,"X")*8)," downto ",COUNTIF($Y777:$Z777,"X")*8,")"))))</f>
        <v>(23 downto 16)</v>
      </c>
      <c r="AG777" s="2" t="str">
        <f t="shared" ref="AG777:AG840" si="211">IF(Y777="","",IF($J777&lt;=8,"",IF(($J777-COUNTIF($Z777,"X")*8)=1,CONCATENATE("(",($J777-1),")"),CONCATENATE("(",IF(($J777-COUNTIF($Z777,"X")*8)&gt;=8,COUNTIF($Z777,"X")*8+7,$J777-COUNTIF($Z777,"X")*8-1+COUNTIF($Z777,"X")*8)," downto ",COUNTIF($Z777,"X")*8,")"))))</f>
        <v>(15 downto 8)</v>
      </c>
      <c r="AH777" s="2" t="str">
        <f t="shared" ref="AH777:AH840" si="212">IF(Z777="","",IF($J777&lt;=8,"",CONCATENATE("(",IF($J777&gt;=8,7,$J777-1)," downto ",0,")")))</f>
        <v>(7 downto 0)</v>
      </c>
    </row>
    <row r="778" spans="2:34" x14ac:dyDescent="0.25">
      <c r="B778" s="2" t="s">
        <v>2149</v>
      </c>
      <c r="C778" s="2" t="s">
        <v>141</v>
      </c>
      <c r="D778" s="2" t="s">
        <v>0</v>
      </c>
      <c r="E778" s="2" t="s">
        <v>130</v>
      </c>
      <c r="F778" s="2" t="s">
        <v>2150</v>
      </c>
      <c r="G778" s="2" t="s">
        <v>2151</v>
      </c>
      <c r="H778" s="2" t="s">
        <v>142</v>
      </c>
      <c r="I778" s="2" t="s">
        <v>41</v>
      </c>
      <c r="J778" s="2">
        <v>32</v>
      </c>
      <c r="K778" s="2" t="s">
        <v>132</v>
      </c>
      <c r="L778" s="2" t="s">
        <v>40</v>
      </c>
      <c r="P778" s="2" t="s">
        <v>48</v>
      </c>
      <c r="Q778" s="2">
        <f>INDEX(Tables!$C$4:$C$28,MATCH($P778,Tables!$B$4:$B$28,0))</f>
        <v>32</v>
      </c>
      <c r="R778" s="2">
        <f>INDEX(Tables!$D$4:$D$28,MATCH($P778,Tables!$B$4:$B$28,0))</f>
        <v>4</v>
      </c>
      <c r="S778" s="2">
        <f>$S777+$R777+INDEX(Tables!$N$5:$Q$8,MATCH(MOD($S777+$R777,4),Tables!$M$5:$M$8,0),MATCH($R778,Tables!$N$4:$Q$4,0))</f>
        <v>2928</v>
      </c>
      <c r="T778" s="2" t="str">
        <f t="shared" si="198"/>
        <v>0B70</v>
      </c>
      <c r="U778" s="2">
        <f t="shared" si="204"/>
        <v>732</v>
      </c>
      <c r="V778" s="2" t="str">
        <f t="shared" si="199"/>
        <v>2DC</v>
      </c>
      <c r="W778" s="2" t="str">
        <f t="shared" si="200"/>
        <v>X</v>
      </c>
      <c r="X778" s="2" t="str">
        <f t="shared" si="203"/>
        <v>X</v>
      </c>
      <c r="Y778" s="2" t="str">
        <f t="shared" si="201"/>
        <v>X</v>
      </c>
      <c r="Z778" s="2" t="str">
        <f t="shared" si="202"/>
        <v>X</v>
      </c>
      <c r="AA778" s="2" t="str">
        <f t="shared" si="205"/>
        <v>(31 downto 24)</v>
      </c>
      <c r="AB778" s="2" t="str">
        <f t="shared" si="206"/>
        <v>(23 downto 16)</v>
      </c>
      <c r="AC778" s="2" t="str">
        <f t="shared" si="207"/>
        <v>(15 downto 8)</v>
      </c>
      <c r="AD778" s="2" t="str">
        <f t="shared" si="208"/>
        <v>(7 downto 0)</v>
      </c>
      <c r="AE778" s="2" t="str">
        <f t="shared" si="209"/>
        <v>(31 downto 24)</v>
      </c>
      <c r="AF778" s="2" t="str">
        <f t="shared" si="210"/>
        <v>(23 downto 16)</v>
      </c>
      <c r="AG778" s="2" t="str">
        <f t="shared" si="211"/>
        <v>(15 downto 8)</v>
      </c>
      <c r="AH778" s="2" t="str">
        <f t="shared" si="212"/>
        <v>(7 downto 0)</v>
      </c>
    </row>
    <row r="779" spans="2:34" x14ac:dyDescent="0.25">
      <c r="B779" s="2" t="s">
        <v>2152</v>
      </c>
      <c r="C779" s="2" t="s">
        <v>141</v>
      </c>
      <c r="D779" s="2" t="s">
        <v>0</v>
      </c>
      <c r="E779" s="2" t="s">
        <v>130</v>
      </c>
      <c r="F779" s="2" t="s">
        <v>2153</v>
      </c>
      <c r="G779" s="2" t="s">
        <v>2154</v>
      </c>
      <c r="H779" s="2" t="s">
        <v>142</v>
      </c>
      <c r="I779" s="2" t="s">
        <v>41</v>
      </c>
      <c r="J779" s="2">
        <v>32</v>
      </c>
      <c r="K779" s="2" t="s">
        <v>132</v>
      </c>
      <c r="L779" s="2" t="s">
        <v>40</v>
      </c>
      <c r="P779" s="2" t="s">
        <v>48</v>
      </c>
      <c r="Q779" s="2">
        <f>INDEX(Tables!$C$4:$C$28,MATCH($P779,Tables!$B$4:$B$28,0))</f>
        <v>32</v>
      </c>
      <c r="R779" s="2">
        <f>INDEX(Tables!$D$4:$D$28,MATCH($P779,Tables!$B$4:$B$28,0))</f>
        <v>4</v>
      </c>
      <c r="S779" s="2">
        <f>$S778+$R778+INDEX(Tables!$N$5:$Q$8,MATCH(MOD($S778+$R778,4),Tables!$M$5:$M$8,0),MATCH($R779,Tables!$N$4:$Q$4,0))</f>
        <v>2932</v>
      </c>
      <c r="T779" s="2" t="str">
        <f t="shared" si="198"/>
        <v>0B74</v>
      </c>
      <c r="U779" s="2">
        <f t="shared" si="204"/>
        <v>733</v>
      </c>
      <c r="V779" s="2" t="str">
        <f t="shared" si="199"/>
        <v>2DD</v>
      </c>
      <c r="W779" s="2" t="str">
        <f t="shared" si="200"/>
        <v>X</v>
      </c>
      <c r="X779" s="2" t="str">
        <f t="shared" si="203"/>
        <v>X</v>
      </c>
      <c r="Y779" s="2" t="str">
        <f t="shared" si="201"/>
        <v>X</v>
      </c>
      <c r="Z779" s="2" t="str">
        <f t="shared" si="202"/>
        <v>X</v>
      </c>
      <c r="AA779" s="2" t="str">
        <f t="shared" si="205"/>
        <v>(31 downto 24)</v>
      </c>
      <c r="AB779" s="2" t="str">
        <f t="shared" si="206"/>
        <v>(23 downto 16)</v>
      </c>
      <c r="AC779" s="2" t="str">
        <f t="shared" si="207"/>
        <v>(15 downto 8)</v>
      </c>
      <c r="AD779" s="2" t="str">
        <f t="shared" si="208"/>
        <v>(7 downto 0)</v>
      </c>
      <c r="AE779" s="2" t="str">
        <f t="shared" si="209"/>
        <v>(31 downto 24)</v>
      </c>
      <c r="AF779" s="2" t="str">
        <f t="shared" si="210"/>
        <v>(23 downto 16)</v>
      </c>
      <c r="AG779" s="2" t="str">
        <f t="shared" si="211"/>
        <v>(15 downto 8)</v>
      </c>
      <c r="AH779" s="2" t="str">
        <f t="shared" si="212"/>
        <v>(7 downto 0)</v>
      </c>
    </row>
    <row r="780" spans="2:34" x14ac:dyDescent="0.25">
      <c r="B780" s="2" t="s">
        <v>2155</v>
      </c>
      <c r="C780" s="2" t="s">
        <v>141</v>
      </c>
      <c r="D780" s="2" t="s">
        <v>0</v>
      </c>
      <c r="E780" s="2" t="s">
        <v>130</v>
      </c>
      <c r="F780" s="2" t="s">
        <v>2156</v>
      </c>
      <c r="G780" s="2" t="s">
        <v>2157</v>
      </c>
      <c r="H780" s="2" t="s">
        <v>142</v>
      </c>
      <c r="I780" s="2" t="s">
        <v>41</v>
      </c>
      <c r="J780" s="2">
        <v>32</v>
      </c>
      <c r="K780" s="2" t="s">
        <v>132</v>
      </c>
      <c r="L780" s="2" t="s">
        <v>40</v>
      </c>
      <c r="P780" s="2" t="s">
        <v>48</v>
      </c>
      <c r="Q780" s="2">
        <f>INDEX(Tables!$C$4:$C$28,MATCH($P780,Tables!$B$4:$B$28,0))</f>
        <v>32</v>
      </c>
      <c r="R780" s="2">
        <f>INDEX(Tables!$D$4:$D$28,MATCH($P780,Tables!$B$4:$B$28,0))</f>
        <v>4</v>
      </c>
      <c r="S780" s="2">
        <f>$S779+$R779+INDEX(Tables!$N$5:$Q$8,MATCH(MOD($S779+$R779,4),Tables!$M$5:$M$8,0),MATCH($R780,Tables!$N$4:$Q$4,0))</f>
        <v>2936</v>
      </c>
      <c r="T780" s="2" t="str">
        <f t="shared" si="198"/>
        <v>0B78</v>
      </c>
      <c r="U780" s="2">
        <f t="shared" si="204"/>
        <v>734</v>
      </c>
      <c r="V780" s="2" t="str">
        <f t="shared" si="199"/>
        <v>2DE</v>
      </c>
      <c r="W780" s="2" t="str">
        <f t="shared" si="200"/>
        <v>X</v>
      </c>
      <c r="X780" s="2" t="str">
        <f t="shared" si="203"/>
        <v>X</v>
      </c>
      <c r="Y780" s="2" t="str">
        <f t="shared" si="201"/>
        <v>X</v>
      </c>
      <c r="Z780" s="2" t="str">
        <f t="shared" si="202"/>
        <v>X</v>
      </c>
      <c r="AA780" s="2" t="str">
        <f t="shared" si="205"/>
        <v>(31 downto 24)</v>
      </c>
      <c r="AB780" s="2" t="str">
        <f t="shared" si="206"/>
        <v>(23 downto 16)</v>
      </c>
      <c r="AC780" s="2" t="str">
        <f t="shared" si="207"/>
        <v>(15 downto 8)</v>
      </c>
      <c r="AD780" s="2" t="str">
        <f t="shared" si="208"/>
        <v>(7 downto 0)</v>
      </c>
      <c r="AE780" s="2" t="str">
        <f t="shared" si="209"/>
        <v>(31 downto 24)</v>
      </c>
      <c r="AF780" s="2" t="str">
        <f t="shared" si="210"/>
        <v>(23 downto 16)</v>
      </c>
      <c r="AG780" s="2" t="str">
        <f t="shared" si="211"/>
        <v>(15 downto 8)</v>
      </c>
      <c r="AH780" s="2" t="str">
        <f t="shared" si="212"/>
        <v>(7 downto 0)</v>
      </c>
    </row>
    <row r="781" spans="2:34" x14ac:dyDescent="0.25">
      <c r="B781" s="2" t="s">
        <v>2158</v>
      </c>
      <c r="C781" s="2" t="s">
        <v>141</v>
      </c>
      <c r="D781" s="2" t="s">
        <v>0</v>
      </c>
      <c r="E781" s="2" t="s">
        <v>130</v>
      </c>
      <c r="F781" s="2" t="s">
        <v>2159</v>
      </c>
      <c r="G781" s="2" t="s">
        <v>2160</v>
      </c>
      <c r="H781" s="2" t="s">
        <v>142</v>
      </c>
      <c r="I781" s="2" t="s">
        <v>41</v>
      </c>
      <c r="J781" s="2">
        <v>32</v>
      </c>
      <c r="K781" s="2" t="s">
        <v>132</v>
      </c>
      <c r="L781" s="2" t="s">
        <v>40</v>
      </c>
      <c r="P781" s="2" t="s">
        <v>48</v>
      </c>
      <c r="Q781" s="2">
        <f>INDEX(Tables!$C$4:$C$28,MATCH($P781,Tables!$B$4:$B$28,0))</f>
        <v>32</v>
      </c>
      <c r="R781" s="2">
        <f>INDEX(Tables!$D$4:$D$28,MATCH($P781,Tables!$B$4:$B$28,0))</f>
        <v>4</v>
      </c>
      <c r="S781" s="2">
        <f>$S780+$R780+INDEX(Tables!$N$5:$Q$8,MATCH(MOD($S780+$R780,4),Tables!$M$5:$M$8,0),MATCH($R781,Tables!$N$4:$Q$4,0))</f>
        <v>2940</v>
      </c>
      <c r="T781" s="2" t="str">
        <f t="shared" si="198"/>
        <v>0B7C</v>
      </c>
      <c r="U781" s="2">
        <f t="shared" si="204"/>
        <v>735</v>
      </c>
      <c r="V781" s="2" t="str">
        <f t="shared" si="199"/>
        <v>2DF</v>
      </c>
      <c r="W781" s="2" t="str">
        <f t="shared" si="200"/>
        <v>X</v>
      </c>
      <c r="X781" s="2" t="str">
        <f t="shared" si="203"/>
        <v>X</v>
      </c>
      <c r="Y781" s="2" t="str">
        <f t="shared" si="201"/>
        <v>X</v>
      </c>
      <c r="Z781" s="2" t="str">
        <f t="shared" si="202"/>
        <v>X</v>
      </c>
      <c r="AA781" s="2" t="str">
        <f t="shared" si="205"/>
        <v>(31 downto 24)</v>
      </c>
      <c r="AB781" s="2" t="str">
        <f t="shared" si="206"/>
        <v>(23 downto 16)</v>
      </c>
      <c r="AC781" s="2" t="str">
        <f t="shared" si="207"/>
        <v>(15 downto 8)</v>
      </c>
      <c r="AD781" s="2" t="str">
        <f t="shared" si="208"/>
        <v>(7 downto 0)</v>
      </c>
      <c r="AE781" s="2" t="str">
        <f t="shared" si="209"/>
        <v>(31 downto 24)</v>
      </c>
      <c r="AF781" s="2" t="str">
        <f t="shared" si="210"/>
        <v>(23 downto 16)</v>
      </c>
      <c r="AG781" s="2" t="str">
        <f t="shared" si="211"/>
        <v>(15 downto 8)</v>
      </c>
      <c r="AH781" s="2" t="str">
        <f t="shared" si="212"/>
        <v>(7 downto 0)</v>
      </c>
    </row>
    <row r="782" spans="2:34" x14ac:dyDescent="0.25">
      <c r="B782" s="2" t="s">
        <v>2161</v>
      </c>
      <c r="C782" s="2" t="s">
        <v>141</v>
      </c>
      <c r="D782" s="2" t="s">
        <v>0</v>
      </c>
      <c r="E782" s="2" t="s">
        <v>130</v>
      </c>
      <c r="F782" s="2" t="s">
        <v>2162</v>
      </c>
      <c r="G782" s="2" t="s">
        <v>2163</v>
      </c>
      <c r="H782" s="2" t="s">
        <v>142</v>
      </c>
      <c r="I782" s="2" t="s">
        <v>41</v>
      </c>
      <c r="J782" s="2">
        <v>32</v>
      </c>
      <c r="K782" s="2" t="s">
        <v>132</v>
      </c>
      <c r="L782" s="2" t="s">
        <v>40</v>
      </c>
      <c r="P782" s="2" t="s">
        <v>48</v>
      </c>
      <c r="Q782" s="2">
        <f>INDEX(Tables!$C$4:$C$28,MATCH($P782,Tables!$B$4:$B$28,0))</f>
        <v>32</v>
      </c>
      <c r="R782" s="2">
        <f>INDEX(Tables!$D$4:$D$28,MATCH($P782,Tables!$B$4:$B$28,0))</f>
        <v>4</v>
      </c>
      <c r="S782" s="2">
        <f>$S781+$R781+INDEX(Tables!$N$5:$Q$8,MATCH(MOD($S781+$R781,4),Tables!$M$5:$M$8,0),MATCH($R782,Tables!$N$4:$Q$4,0))</f>
        <v>2944</v>
      </c>
      <c r="T782" s="2" t="str">
        <f t="shared" si="198"/>
        <v>0B80</v>
      </c>
      <c r="U782" s="2">
        <f t="shared" si="204"/>
        <v>736</v>
      </c>
      <c r="V782" s="2" t="str">
        <f t="shared" si="199"/>
        <v>2E0</v>
      </c>
      <c r="W782" s="2" t="str">
        <f t="shared" si="200"/>
        <v>X</v>
      </c>
      <c r="X782" s="2" t="str">
        <f t="shared" si="203"/>
        <v>X</v>
      </c>
      <c r="Y782" s="2" t="str">
        <f t="shared" si="201"/>
        <v>X</v>
      </c>
      <c r="Z782" s="2" t="str">
        <f t="shared" si="202"/>
        <v>X</v>
      </c>
      <c r="AA782" s="2" t="str">
        <f t="shared" si="205"/>
        <v>(31 downto 24)</v>
      </c>
      <c r="AB782" s="2" t="str">
        <f t="shared" si="206"/>
        <v>(23 downto 16)</v>
      </c>
      <c r="AC782" s="2" t="str">
        <f t="shared" si="207"/>
        <v>(15 downto 8)</v>
      </c>
      <c r="AD782" s="2" t="str">
        <f t="shared" si="208"/>
        <v>(7 downto 0)</v>
      </c>
      <c r="AE782" s="2" t="str">
        <f t="shared" si="209"/>
        <v>(31 downto 24)</v>
      </c>
      <c r="AF782" s="2" t="str">
        <f t="shared" si="210"/>
        <v>(23 downto 16)</v>
      </c>
      <c r="AG782" s="2" t="str">
        <f t="shared" si="211"/>
        <v>(15 downto 8)</v>
      </c>
      <c r="AH782" s="2" t="str">
        <f t="shared" si="212"/>
        <v>(7 downto 0)</v>
      </c>
    </row>
    <row r="783" spans="2:34" x14ac:dyDescent="0.25">
      <c r="B783" s="2" t="s">
        <v>2164</v>
      </c>
      <c r="C783" s="2" t="s">
        <v>141</v>
      </c>
      <c r="D783" s="2" t="s">
        <v>0</v>
      </c>
      <c r="E783" s="2" t="s">
        <v>130</v>
      </c>
      <c r="F783" s="2" t="s">
        <v>2165</v>
      </c>
      <c r="G783" s="2" t="s">
        <v>2166</v>
      </c>
      <c r="H783" s="2" t="s">
        <v>142</v>
      </c>
      <c r="I783" s="2" t="s">
        <v>41</v>
      </c>
      <c r="J783" s="2">
        <v>32</v>
      </c>
      <c r="K783" s="2" t="s">
        <v>132</v>
      </c>
      <c r="L783" s="2" t="s">
        <v>40</v>
      </c>
      <c r="P783" s="2" t="s">
        <v>48</v>
      </c>
      <c r="Q783" s="2">
        <f>INDEX(Tables!$C$4:$C$28,MATCH($P783,Tables!$B$4:$B$28,0))</f>
        <v>32</v>
      </c>
      <c r="R783" s="2">
        <f>INDEX(Tables!$D$4:$D$28,MATCH($P783,Tables!$B$4:$B$28,0))</f>
        <v>4</v>
      </c>
      <c r="S783" s="2">
        <f>$S782+$R782+INDEX(Tables!$N$5:$Q$8,MATCH(MOD($S782+$R782,4),Tables!$M$5:$M$8,0),MATCH($R783,Tables!$N$4:$Q$4,0))</f>
        <v>2948</v>
      </c>
      <c r="T783" s="2" t="str">
        <f t="shared" si="198"/>
        <v>0B84</v>
      </c>
      <c r="U783" s="2">
        <f t="shared" si="204"/>
        <v>737</v>
      </c>
      <c r="V783" s="2" t="str">
        <f t="shared" si="199"/>
        <v>2E1</v>
      </c>
      <c r="W783" s="2" t="str">
        <f t="shared" si="200"/>
        <v>X</v>
      </c>
      <c r="X783" s="2" t="str">
        <f t="shared" si="203"/>
        <v>X</v>
      </c>
      <c r="Y783" s="2" t="str">
        <f t="shared" si="201"/>
        <v>X</v>
      </c>
      <c r="Z783" s="2" t="str">
        <f t="shared" si="202"/>
        <v>X</v>
      </c>
      <c r="AA783" s="2" t="str">
        <f t="shared" si="205"/>
        <v>(31 downto 24)</v>
      </c>
      <c r="AB783" s="2" t="str">
        <f t="shared" si="206"/>
        <v>(23 downto 16)</v>
      </c>
      <c r="AC783" s="2" t="str">
        <f t="shared" si="207"/>
        <v>(15 downto 8)</v>
      </c>
      <c r="AD783" s="2" t="str">
        <f t="shared" si="208"/>
        <v>(7 downto 0)</v>
      </c>
      <c r="AE783" s="2" t="str">
        <f t="shared" si="209"/>
        <v>(31 downto 24)</v>
      </c>
      <c r="AF783" s="2" t="str">
        <f t="shared" si="210"/>
        <v>(23 downto 16)</v>
      </c>
      <c r="AG783" s="2" t="str">
        <f t="shared" si="211"/>
        <v>(15 downto 8)</v>
      </c>
      <c r="AH783" s="2" t="str">
        <f t="shared" si="212"/>
        <v>(7 downto 0)</v>
      </c>
    </row>
    <row r="784" spans="2:34" x14ac:dyDescent="0.25">
      <c r="B784" s="2" t="s">
        <v>2167</v>
      </c>
      <c r="C784" s="2" t="s">
        <v>141</v>
      </c>
      <c r="D784" s="2" t="s">
        <v>0</v>
      </c>
      <c r="E784" s="2" t="s">
        <v>130</v>
      </c>
      <c r="F784" s="2" t="s">
        <v>2168</v>
      </c>
      <c r="G784" s="2" t="s">
        <v>2169</v>
      </c>
      <c r="H784" s="2" t="s">
        <v>142</v>
      </c>
      <c r="I784" s="2" t="s">
        <v>41</v>
      </c>
      <c r="J784" s="2">
        <v>32</v>
      </c>
      <c r="K784" s="2" t="s">
        <v>132</v>
      </c>
      <c r="L784" s="2" t="s">
        <v>40</v>
      </c>
      <c r="P784" s="2" t="s">
        <v>48</v>
      </c>
      <c r="Q784" s="2">
        <f>INDEX(Tables!$C$4:$C$28,MATCH($P784,Tables!$B$4:$B$28,0))</f>
        <v>32</v>
      </c>
      <c r="R784" s="2">
        <f>INDEX(Tables!$D$4:$D$28,MATCH($P784,Tables!$B$4:$B$28,0))</f>
        <v>4</v>
      </c>
      <c r="S784" s="2">
        <f>$S783+$R783+INDEX(Tables!$N$5:$Q$8,MATCH(MOD($S783+$R783,4),Tables!$M$5:$M$8,0),MATCH($R784,Tables!$N$4:$Q$4,0))</f>
        <v>2952</v>
      </c>
      <c r="T784" s="2" t="str">
        <f t="shared" si="198"/>
        <v>0B88</v>
      </c>
      <c r="U784" s="2">
        <f t="shared" si="204"/>
        <v>738</v>
      </c>
      <c r="V784" s="2" t="str">
        <f t="shared" si="199"/>
        <v>2E2</v>
      </c>
      <c r="W784" s="2" t="str">
        <f t="shared" si="200"/>
        <v>X</v>
      </c>
      <c r="X784" s="2" t="str">
        <f t="shared" si="203"/>
        <v>X</v>
      </c>
      <c r="Y784" s="2" t="str">
        <f t="shared" si="201"/>
        <v>X</v>
      </c>
      <c r="Z784" s="2" t="str">
        <f t="shared" si="202"/>
        <v>X</v>
      </c>
      <c r="AA784" s="2" t="str">
        <f t="shared" si="205"/>
        <v>(31 downto 24)</v>
      </c>
      <c r="AB784" s="2" t="str">
        <f t="shared" si="206"/>
        <v>(23 downto 16)</v>
      </c>
      <c r="AC784" s="2" t="str">
        <f t="shared" si="207"/>
        <v>(15 downto 8)</v>
      </c>
      <c r="AD784" s="2" t="str">
        <f t="shared" si="208"/>
        <v>(7 downto 0)</v>
      </c>
      <c r="AE784" s="2" t="str">
        <f t="shared" si="209"/>
        <v>(31 downto 24)</v>
      </c>
      <c r="AF784" s="2" t="str">
        <f t="shared" si="210"/>
        <v>(23 downto 16)</v>
      </c>
      <c r="AG784" s="2" t="str">
        <f t="shared" si="211"/>
        <v>(15 downto 8)</v>
      </c>
      <c r="AH784" s="2" t="str">
        <f t="shared" si="212"/>
        <v>(7 downto 0)</v>
      </c>
    </row>
    <row r="785" spans="2:34" x14ac:dyDescent="0.25">
      <c r="B785" s="2" t="s">
        <v>2170</v>
      </c>
      <c r="C785" s="2" t="s">
        <v>141</v>
      </c>
      <c r="D785" s="2" t="s">
        <v>0</v>
      </c>
      <c r="E785" s="2" t="s">
        <v>130</v>
      </c>
      <c r="F785" s="2" t="s">
        <v>2171</v>
      </c>
      <c r="G785" s="2" t="s">
        <v>2172</v>
      </c>
      <c r="H785" s="2" t="s">
        <v>142</v>
      </c>
      <c r="I785" s="2" t="s">
        <v>41</v>
      </c>
      <c r="J785" s="2">
        <v>32</v>
      </c>
      <c r="K785" s="2" t="s">
        <v>132</v>
      </c>
      <c r="L785" s="2" t="s">
        <v>40</v>
      </c>
      <c r="P785" s="2" t="s">
        <v>48</v>
      </c>
      <c r="Q785" s="2">
        <f>INDEX(Tables!$C$4:$C$28,MATCH($P785,Tables!$B$4:$B$28,0))</f>
        <v>32</v>
      </c>
      <c r="R785" s="2">
        <f>INDEX(Tables!$D$4:$D$28,MATCH($P785,Tables!$B$4:$B$28,0))</f>
        <v>4</v>
      </c>
      <c r="S785" s="2">
        <f>$S784+$R784+INDEX(Tables!$N$5:$Q$8,MATCH(MOD($S784+$R784,4),Tables!$M$5:$M$8,0),MATCH($R785,Tables!$N$4:$Q$4,0))</f>
        <v>2956</v>
      </c>
      <c r="T785" s="2" t="str">
        <f t="shared" si="198"/>
        <v>0B8C</v>
      </c>
      <c r="U785" s="2">
        <f t="shared" si="204"/>
        <v>739</v>
      </c>
      <c r="V785" s="2" t="str">
        <f t="shared" si="199"/>
        <v>2E3</v>
      </c>
      <c r="W785" s="2" t="str">
        <f t="shared" si="200"/>
        <v>X</v>
      </c>
      <c r="X785" s="2" t="str">
        <f t="shared" si="203"/>
        <v>X</v>
      </c>
      <c r="Y785" s="2" t="str">
        <f t="shared" si="201"/>
        <v>X</v>
      </c>
      <c r="Z785" s="2" t="str">
        <f t="shared" si="202"/>
        <v>X</v>
      </c>
      <c r="AA785" s="2" t="str">
        <f t="shared" si="205"/>
        <v>(31 downto 24)</v>
      </c>
      <c r="AB785" s="2" t="str">
        <f t="shared" si="206"/>
        <v>(23 downto 16)</v>
      </c>
      <c r="AC785" s="2" t="str">
        <f t="shared" si="207"/>
        <v>(15 downto 8)</v>
      </c>
      <c r="AD785" s="2" t="str">
        <f t="shared" si="208"/>
        <v>(7 downto 0)</v>
      </c>
      <c r="AE785" s="2" t="str">
        <f t="shared" si="209"/>
        <v>(31 downto 24)</v>
      </c>
      <c r="AF785" s="2" t="str">
        <f t="shared" si="210"/>
        <v>(23 downto 16)</v>
      </c>
      <c r="AG785" s="2" t="str">
        <f t="shared" si="211"/>
        <v>(15 downto 8)</v>
      </c>
      <c r="AH785" s="2" t="str">
        <f t="shared" si="212"/>
        <v>(7 downto 0)</v>
      </c>
    </row>
    <row r="786" spans="2:34" x14ac:dyDescent="0.25">
      <c r="B786" s="2" t="s">
        <v>2173</v>
      </c>
      <c r="C786" s="2" t="s">
        <v>141</v>
      </c>
      <c r="D786" s="2" t="s">
        <v>0</v>
      </c>
      <c r="E786" s="2" t="s">
        <v>130</v>
      </c>
      <c r="F786" s="2" t="s">
        <v>2174</v>
      </c>
      <c r="G786" s="2" t="s">
        <v>2175</v>
      </c>
      <c r="H786" s="2" t="s">
        <v>142</v>
      </c>
      <c r="I786" s="2" t="s">
        <v>41</v>
      </c>
      <c r="J786" s="2">
        <v>32</v>
      </c>
      <c r="K786" s="2" t="s">
        <v>132</v>
      </c>
      <c r="L786" s="2" t="s">
        <v>40</v>
      </c>
      <c r="P786" s="2" t="s">
        <v>48</v>
      </c>
      <c r="Q786" s="2">
        <f>INDEX(Tables!$C$4:$C$28,MATCH($P786,Tables!$B$4:$B$28,0))</f>
        <v>32</v>
      </c>
      <c r="R786" s="2">
        <f>INDEX(Tables!$D$4:$D$28,MATCH($P786,Tables!$B$4:$B$28,0))</f>
        <v>4</v>
      </c>
      <c r="S786" s="2">
        <f>$S785+$R785+INDEX(Tables!$N$5:$Q$8,MATCH(MOD($S785+$R785,4),Tables!$M$5:$M$8,0),MATCH($R786,Tables!$N$4:$Q$4,0))</f>
        <v>2960</v>
      </c>
      <c r="T786" s="2" t="str">
        <f t="shared" si="198"/>
        <v>0B90</v>
      </c>
      <c r="U786" s="2">
        <f t="shared" si="204"/>
        <v>740</v>
      </c>
      <c r="V786" s="2" t="str">
        <f t="shared" si="199"/>
        <v>2E4</v>
      </c>
      <c r="W786" s="2" t="str">
        <f t="shared" si="200"/>
        <v>X</v>
      </c>
      <c r="X786" s="2" t="str">
        <f t="shared" si="203"/>
        <v>X</v>
      </c>
      <c r="Y786" s="2" t="str">
        <f t="shared" si="201"/>
        <v>X</v>
      </c>
      <c r="Z786" s="2" t="str">
        <f t="shared" si="202"/>
        <v>X</v>
      </c>
      <c r="AA786" s="2" t="str">
        <f t="shared" si="205"/>
        <v>(31 downto 24)</v>
      </c>
      <c r="AB786" s="2" t="str">
        <f t="shared" si="206"/>
        <v>(23 downto 16)</v>
      </c>
      <c r="AC786" s="2" t="str">
        <f t="shared" si="207"/>
        <v>(15 downto 8)</v>
      </c>
      <c r="AD786" s="2" t="str">
        <f t="shared" si="208"/>
        <v>(7 downto 0)</v>
      </c>
      <c r="AE786" s="2" t="str">
        <f t="shared" si="209"/>
        <v>(31 downto 24)</v>
      </c>
      <c r="AF786" s="2" t="str">
        <f t="shared" si="210"/>
        <v>(23 downto 16)</v>
      </c>
      <c r="AG786" s="2" t="str">
        <f t="shared" si="211"/>
        <v>(15 downto 8)</v>
      </c>
      <c r="AH786" s="2" t="str">
        <f t="shared" si="212"/>
        <v>(7 downto 0)</v>
      </c>
    </row>
    <row r="787" spans="2:34" x14ac:dyDescent="0.25">
      <c r="B787" s="2" t="s">
        <v>2176</v>
      </c>
      <c r="C787" s="2" t="s">
        <v>141</v>
      </c>
      <c r="D787" s="2" t="s">
        <v>0</v>
      </c>
      <c r="E787" s="2" t="s">
        <v>130</v>
      </c>
      <c r="F787" s="2" t="s">
        <v>2177</v>
      </c>
      <c r="G787" s="2" t="s">
        <v>2178</v>
      </c>
      <c r="H787" s="2" t="s">
        <v>142</v>
      </c>
      <c r="I787" s="2" t="s">
        <v>41</v>
      </c>
      <c r="J787" s="2">
        <v>32</v>
      </c>
      <c r="K787" s="2" t="s">
        <v>132</v>
      </c>
      <c r="L787" s="2" t="s">
        <v>40</v>
      </c>
      <c r="P787" s="2" t="s">
        <v>48</v>
      </c>
      <c r="Q787" s="2">
        <f>INDEX(Tables!$C$4:$C$28,MATCH($P787,Tables!$B$4:$B$28,0))</f>
        <v>32</v>
      </c>
      <c r="R787" s="2">
        <f>INDEX(Tables!$D$4:$D$28,MATCH($P787,Tables!$B$4:$B$28,0))</f>
        <v>4</v>
      </c>
      <c r="S787" s="2">
        <f>$S786+$R786+INDEX(Tables!$N$5:$Q$8,MATCH(MOD($S786+$R786,4),Tables!$M$5:$M$8,0),MATCH($R787,Tables!$N$4:$Q$4,0))</f>
        <v>2964</v>
      </c>
      <c r="T787" s="2" t="str">
        <f t="shared" si="198"/>
        <v>0B94</v>
      </c>
      <c r="U787" s="2">
        <f t="shared" si="204"/>
        <v>741</v>
      </c>
      <c r="V787" s="2" t="str">
        <f t="shared" si="199"/>
        <v>2E5</v>
      </c>
      <c r="W787" s="2" t="str">
        <f t="shared" si="200"/>
        <v>X</v>
      </c>
      <c r="X787" s="2" t="str">
        <f t="shared" si="203"/>
        <v>X</v>
      </c>
      <c r="Y787" s="2" t="str">
        <f t="shared" si="201"/>
        <v>X</v>
      </c>
      <c r="Z787" s="2" t="str">
        <f t="shared" si="202"/>
        <v>X</v>
      </c>
      <c r="AA787" s="2" t="str">
        <f t="shared" si="205"/>
        <v>(31 downto 24)</v>
      </c>
      <c r="AB787" s="2" t="str">
        <f t="shared" si="206"/>
        <v>(23 downto 16)</v>
      </c>
      <c r="AC787" s="2" t="str">
        <f t="shared" si="207"/>
        <v>(15 downto 8)</v>
      </c>
      <c r="AD787" s="2" t="str">
        <f t="shared" si="208"/>
        <v>(7 downto 0)</v>
      </c>
      <c r="AE787" s="2" t="str">
        <f t="shared" si="209"/>
        <v>(31 downto 24)</v>
      </c>
      <c r="AF787" s="2" t="str">
        <f t="shared" si="210"/>
        <v>(23 downto 16)</v>
      </c>
      <c r="AG787" s="2" t="str">
        <f t="shared" si="211"/>
        <v>(15 downto 8)</v>
      </c>
      <c r="AH787" s="2" t="str">
        <f t="shared" si="212"/>
        <v>(7 downto 0)</v>
      </c>
    </row>
    <row r="788" spans="2:34" x14ac:dyDescent="0.25">
      <c r="B788" s="2" t="s">
        <v>2179</v>
      </c>
      <c r="C788" s="2" t="s">
        <v>141</v>
      </c>
      <c r="D788" s="2" t="s">
        <v>0</v>
      </c>
      <c r="E788" s="2" t="s">
        <v>130</v>
      </c>
      <c r="F788" s="2" t="s">
        <v>2180</v>
      </c>
      <c r="G788" s="2" t="s">
        <v>2181</v>
      </c>
      <c r="H788" s="2" t="s">
        <v>142</v>
      </c>
      <c r="I788" s="2" t="s">
        <v>41</v>
      </c>
      <c r="J788" s="2">
        <v>32</v>
      </c>
      <c r="K788" s="2" t="s">
        <v>132</v>
      </c>
      <c r="L788" s="2" t="s">
        <v>40</v>
      </c>
      <c r="P788" s="2" t="s">
        <v>48</v>
      </c>
      <c r="Q788" s="2">
        <f>INDEX(Tables!$C$4:$C$28,MATCH($P788,Tables!$B$4:$B$28,0))</f>
        <v>32</v>
      </c>
      <c r="R788" s="2">
        <f>INDEX(Tables!$D$4:$D$28,MATCH($P788,Tables!$B$4:$B$28,0))</f>
        <v>4</v>
      </c>
      <c r="S788" s="2">
        <f>$S787+$R787+INDEX(Tables!$N$5:$Q$8,MATCH(MOD($S787+$R787,4),Tables!$M$5:$M$8,0),MATCH($R788,Tables!$N$4:$Q$4,0))</f>
        <v>2968</v>
      </c>
      <c r="T788" s="2" t="str">
        <f t="shared" si="198"/>
        <v>0B98</v>
      </c>
      <c r="U788" s="2">
        <f t="shared" si="204"/>
        <v>742</v>
      </c>
      <c r="V788" s="2" t="str">
        <f t="shared" si="199"/>
        <v>2E6</v>
      </c>
      <c r="W788" s="2" t="str">
        <f t="shared" si="200"/>
        <v>X</v>
      </c>
      <c r="X788" s="2" t="str">
        <f t="shared" si="203"/>
        <v>X</v>
      </c>
      <c r="Y788" s="2" t="str">
        <f t="shared" si="201"/>
        <v>X</v>
      </c>
      <c r="Z788" s="2" t="str">
        <f t="shared" si="202"/>
        <v>X</v>
      </c>
      <c r="AA788" s="2" t="str">
        <f t="shared" si="205"/>
        <v>(31 downto 24)</v>
      </c>
      <c r="AB788" s="2" t="str">
        <f t="shared" si="206"/>
        <v>(23 downto 16)</v>
      </c>
      <c r="AC788" s="2" t="str">
        <f t="shared" si="207"/>
        <v>(15 downto 8)</v>
      </c>
      <c r="AD788" s="2" t="str">
        <f t="shared" si="208"/>
        <v>(7 downto 0)</v>
      </c>
      <c r="AE788" s="2" t="str">
        <f t="shared" si="209"/>
        <v>(31 downto 24)</v>
      </c>
      <c r="AF788" s="2" t="str">
        <f t="shared" si="210"/>
        <v>(23 downto 16)</v>
      </c>
      <c r="AG788" s="2" t="str">
        <f t="shared" si="211"/>
        <v>(15 downto 8)</v>
      </c>
      <c r="AH788" s="2" t="str">
        <f t="shared" si="212"/>
        <v>(7 downto 0)</v>
      </c>
    </row>
    <row r="789" spans="2:34" x14ac:dyDescent="0.25">
      <c r="B789" s="2" t="s">
        <v>2182</v>
      </c>
      <c r="C789" s="2" t="s">
        <v>141</v>
      </c>
      <c r="D789" s="2" t="s">
        <v>0</v>
      </c>
      <c r="E789" s="2" t="s">
        <v>130</v>
      </c>
      <c r="F789" s="2" t="s">
        <v>2183</v>
      </c>
      <c r="G789" s="2" t="s">
        <v>2184</v>
      </c>
      <c r="H789" s="2" t="s">
        <v>142</v>
      </c>
      <c r="I789" s="2" t="s">
        <v>41</v>
      </c>
      <c r="J789" s="2">
        <v>32</v>
      </c>
      <c r="K789" s="2" t="s">
        <v>132</v>
      </c>
      <c r="L789" s="2" t="s">
        <v>40</v>
      </c>
      <c r="P789" s="2" t="s">
        <v>48</v>
      </c>
      <c r="Q789" s="2">
        <f>INDEX(Tables!$C$4:$C$28,MATCH($P789,Tables!$B$4:$B$28,0))</f>
        <v>32</v>
      </c>
      <c r="R789" s="2">
        <f>INDEX(Tables!$D$4:$D$28,MATCH($P789,Tables!$B$4:$B$28,0))</f>
        <v>4</v>
      </c>
      <c r="S789" s="2">
        <f>$S788+$R788+INDEX(Tables!$N$5:$Q$8,MATCH(MOD($S788+$R788,4),Tables!$M$5:$M$8,0),MATCH($R789,Tables!$N$4:$Q$4,0))</f>
        <v>2972</v>
      </c>
      <c r="T789" s="2" t="str">
        <f t="shared" si="198"/>
        <v>0B9C</v>
      </c>
      <c r="U789" s="2">
        <f t="shared" si="204"/>
        <v>743</v>
      </c>
      <c r="V789" s="2" t="str">
        <f t="shared" si="199"/>
        <v>2E7</v>
      </c>
      <c r="W789" s="2" t="str">
        <f t="shared" si="200"/>
        <v>X</v>
      </c>
      <c r="X789" s="2" t="str">
        <f t="shared" si="203"/>
        <v>X</v>
      </c>
      <c r="Y789" s="2" t="str">
        <f t="shared" si="201"/>
        <v>X</v>
      </c>
      <c r="Z789" s="2" t="str">
        <f t="shared" si="202"/>
        <v>X</v>
      </c>
      <c r="AA789" s="2" t="str">
        <f t="shared" si="205"/>
        <v>(31 downto 24)</v>
      </c>
      <c r="AB789" s="2" t="str">
        <f t="shared" si="206"/>
        <v>(23 downto 16)</v>
      </c>
      <c r="AC789" s="2" t="str">
        <f t="shared" si="207"/>
        <v>(15 downto 8)</v>
      </c>
      <c r="AD789" s="2" t="str">
        <f t="shared" si="208"/>
        <v>(7 downto 0)</v>
      </c>
      <c r="AE789" s="2" t="str">
        <f t="shared" si="209"/>
        <v>(31 downto 24)</v>
      </c>
      <c r="AF789" s="2" t="str">
        <f t="shared" si="210"/>
        <v>(23 downto 16)</v>
      </c>
      <c r="AG789" s="2" t="str">
        <f t="shared" si="211"/>
        <v>(15 downto 8)</v>
      </c>
      <c r="AH789" s="2" t="str">
        <f t="shared" si="212"/>
        <v>(7 downto 0)</v>
      </c>
    </row>
    <row r="790" spans="2:34" x14ac:dyDescent="0.25">
      <c r="B790" s="2" t="s">
        <v>2185</v>
      </c>
      <c r="C790" s="2" t="s">
        <v>141</v>
      </c>
      <c r="D790" s="2" t="s">
        <v>0</v>
      </c>
      <c r="E790" s="2" t="s">
        <v>130</v>
      </c>
      <c r="F790" s="2" t="s">
        <v>2186</v>
      </c>
      <c r="G790" s="2" t="s">
        <v>2187</v>
      </c>
      <c r="H790" s="2" t="s">
        <v>142</v>
      </c>
      <c r="I790" s="2" t="s">
        <v>41</v>
      </c>
      <c r="J790" s="2">
        <v>32</v>
      </c>
      <c r="K790" s="2" t="s">
        <v>132</v>
      </c>
      <c r="L790" s="2" t="s">
        <v>40</v>
      </c>
      <c r="P790" s="2" t="s">
        <v>48</v>
      </c>
      <c r="Q790" s="2">
        <f>INDEX(Tables!$C$4:$C$28,MATCH($P790,Tables!$B$4:$B$28,0))</f>
        <v>32</v>
      </c>
      <c r="R790" s="2">
        <f>INDEX(Tables!$D$4:$D$28,MATCH($P790,Tables!$B$4:$B$28,0))</f>
        <v>4</v>
      </c>
      <c r="S790" s="2">
        <f>$S789+$R789+INDEX(Tables!$N$5:$Q$8,MATCH(MOD($S789+$R789,4),Tables!$M$5:$M$8,0),MATCH($R790,Tables!$N$4:$Q$4,0))</f>
        <v>2976</v>
      </c>
      <c r="T790" s="2" t="str">
        <f t="shared" si="198"/>
        <v>0BA0</v>
      </c>
      <c r="U790" s="2">
        <f t="shared" si="204"/>
        <v>744</v>
      </c>
      <c r="V790" s="2" t="str">
        <f t="shared" si="199"/>
        <v>2E8</v>
      </c>
      <c r="W790" s="2" t="str">
        <f t="shared" si="200"/>
        <v>X</v>
      </c>
      <c r="X790" s="2" t="str">
        <f t="shared" si="203"/>
        <v>X</v>
      </c>
      <c r="Y790" s="2" t="str">
        <f t="shared" si="201"/>
        <v>X</v>
      </c>
      <c r="Z790" s="2" t="str">
        <f t="shared" si="202"/>
        <v>X</v>
      </c>
      <c r="AA790" s="2" t="str">
        <f t="shared" si="205"/>
        <v>(31 downto 24)</v>
      </c>
      <c r="AB790" s="2" t="str">
        <f t="shared" si="206"/>
        <v>(23 downto 16)</v>
      </c>
      <c r="AC790" s="2" t="str">
        <f t="shared" si="207"/>
        <v>(15 downto 8)</v>
      </c>
      <c r="AD790" s="2" t="str">
        <f t="shared" si="208"/>
        <v>(7 downto 0)</v>
      </c>
      <c r="AE790" s="2" t="str">
        <f t="shared" si="209"/>
        <v>(31 downto 24)</v>
      </c>
      <c r="AF790" s="2" t="str">
        <f t="shared" si="210"/>
        <v>(23 downto 16)</v>
      </c>
      <c r="AG790" s="2" t="str">
        <f t="shared" si="211"/>
        <v>(15 downto 8)</v>
      </c>
      <c r="AH790" s="2" t="str">
        <f t="shared" si="212"/>
        <v>(7 downto 0)</v>
      </c>
    </row>
    <row r="791" spans="2:34" x14ac:dyDescent="0.25">
      <c r="B791" s="2" t="s">
        <v>2188</v>
      </c>
      <c r="C791" s="2" t="s">
        <v>141</v>
      </c>
      <c r="D791" s="2" t="s">
        <v>0</v>
      </c>
      <c r="E791" s="2" t="s">
        <v>130</v>
      </c>
      <c r="F791" s="2" t="s">
        <v>2189</v>
      </c>
      <c r="G791" s="2" t="s">
        <v>2190</v>
      </c>
      <c r="H791" s="2" t="s">
        <v>142</v>
      </c>
      <c r="I791" s="2" t="s">
        <v>41</v>
      </c>
      <c r="J791" s="2">
        <v>32</v>
      </c>
      <c r="K791" s="2" t="s">
        <v>132</v>
      </c>
      <c r="L791" s="2" t="s">
        <v>40</v>
      </c>
      <c r="P791" s="2" t="s">
        <v>48</v>
      </c>
      <c r="Q791" s="2">
        <f>INDEX(Tables!$C$4:$C$28,MATCH($P791,Tables!$B$4:$B$28,0))</f>
        <v>32</v>
      </c>
      <c r="R791" s="2">
        <f>INDEX(Tables!$D$4:$D$28,MATCH($P791,Tables!$B$4:$B$28,0))</f>
        <v>4</v>
      </c>
      <c r="S791" s="2">
        <f>$S790+$R790+INDEX(Tables!$N$5:$Q$8,MATCH(MOD($S790+$R790,4),Tables!$M$5:$M$8,0),MATCH($R791,Tables!$N$4:$Q$4,0))</f>
        <v>2980</v>
      </c>
      <c r="T791" s="2" t="str">
        <f t="shared" si="198"/>
        <v>0BA4</v>
      </c>
      <c r="U791" s="2">
        <f t="shared" si="204"/>
        <v>745</v>
      </c>
      <c r="V791" s="2" t="str">
        <f t="shared" si="199"/>
        <v>2E9</v>
      </c>
      <c r="W791" s="2" t="str">
        <f t="shared" si="200"/>
        <v>X</v>
      </c>
      <c r="X791" s="2" t="str">
        <f t="shared" si="203"/>
        <v>X</v>
      </c>
      <c r="Y791" s="2" t="str">
        <f t="shared" si="201"/>
        <v>X</v>
      </c>
      <c r="Z791" s="2" t="str">
        <f t="shared" si="202"/>
        <v>X</v>
      </c>
      <c r="AA791" s="2" t="str">
        <f t="shared" si="205"/>
        <v>(31 downto 24)</v>
      </c>
      <c r="AB791" s="2" t="str">
        <f t="shared" si="206"/>
        <v>(23 downto 16)</v>
      </c>
      <c r="AC791" s="2" t="str">
        <f t="shared" si="207"/>
        <v>(15 downto 8)</v>
      </c>
      <c r="AD791" s="2" t="str">
        <f t="shared" si="208"/>
        <v>(7 downto 0)</v>
      </c>
      <c r="AE791" s="2" t="str">
        <f t="shared" si="209"/>
        <v>(31 downto 24)</v>
      </c>
      <c r="AF791" s="2" t="str">
        <f t="shared" si="210"/>
        <v>(23 downto 16)</v>
      </c>
      <c r="AG791" s="2" t="str">
        <f t="shared" si="211"/>
        <v>(15 downto 8)</v>
      </c>
      <c r="AH791" s="2" t="str">
        <f t="shared" si="212"/>
        <v>(7 downto 0)</v>
      </c>
    </row>
    <row r="792" spans="2:34" x14ac:dyDescent="0.25">
      <c r="B792" s="2" t="s">
        <v>2191</v>
      </c>
      <c r="C792" s="2" t="s">
        <v>141</v>
      </c>
      <c r="D792" s="2" t="s">
        <v>0</v>
      </c>
      <c r="E792" s="2" t="s">
        <v>130</v>
      </c>
      <c r="F792" s="2" t="s">
        <v>2192</v>
      </c>
      <c r="G792" s="2" t="s">
        <v>2193</v>
      </c>
      <c r="H792" s="2" t="s">
        <v>142</v>
      </c>
      <c r="I792" s="2" t="s">
        <v>41</v>
      </c>
      <c r="J792" s="2">
        <v>32</v>
      </c>
      <c r="K792" s="2" t="s">
        <v>132</v>
      </c>
      <c r="L792" s="2" t="s">
        <v>40</v>
      </c>
      <c r="P792" s="2" t="s">
        <v>48</v>
      </c>
      <c r="Q792" s="2">
        <f>INDEX(Tables!$C$4:$C$28,MATCH($P792,Tables!$B$4:$B$28,0))</f>
        <v>32</v>
      </c>
      <c r="R792" s="2">
        <f>INDEX(Tables!$D$4:$D$28,MATCH($P792,Tables!$B$4:$B$28,0))</f>
        <v>4</v>
      </c>
      <c r="S792" s="2">
        <f>$S791+$R791+INDEX(Tables!$N$5:$Q$8,MATCH(MOD($S791+$R791,4),Tables!$M$5:$M$8,0),MATCH($R792,Tables!$N$4:$Q$4,0))</f>
        <v>2984</v>
      </c>
      <c r="T792" s="2" t="str">
        <f t="shared" si="198"/>
        <v>0BA8</v>
      </c>
      <c r="U792" s="2">
        <f t="shared" si="204"/>
        <v>746</v>
      </c>
      <c r="V792" s="2" t="str">
        <f t="shared" si="199"/>
        <v>2EA</v>
      </c>
      <c r="W792" s="2" t="str">
        <f t="shared" si="200"/>
        <v>X</v>
      </c>
      <c r="X792" s="2" t="str">
        <f t="shared" si="203"/>
        <v>X</v>
      </c>
      <c r="Y792" s="2" t="str">
        <f t="shared" si="201"/>
        <v>X</v>
      </c>
      <c r="Z792" s="2" t="str">
        <f t="shared" si="202"/>
        <v>X</v>
      </c>
      <c r="AA792" s="2" t="str">
        <f t="shared" si="205"/>
        <v>(31 downto 24)</v>
      </c>
      <c r="AB792" s="2" t="str">
        <f t="shared" si="206"/>
        <v>(23 downto 16)</v>
      </c>
      <c r="AC792" s="2" t="str">
        <f t="shared" si="207"/>
        <v>(15 downto 8)</v>
      </c>
      <c r="AD792" s="2" t="str">
        <f t="shared" si="208"/>
        <v>(7 downto 0)</v>
      </c>
      <c r="AE792" s="2" t="str">
        <f t="shared" si="209"/>
        <v>(31 downto 24)</v>
      </c>
      <c r="AF792" s="2" t="str">
        <f t="shared" si="210"/>
        <v>(23 downto 16)</v>
      </c>
      <c r="AG792" s="2" t="str">
        <f t="shared" si="211"/>
        <v>(15 downto 8)</v>
      </c>
      <c r="AH792" s="2" t="str">
        <f t="shared" si="212"/>
        <v>(7 downto 0)</v>
      </c>
    </row>
    <row r="793" spans="2:34" x14ac:dyDescent="0.25">
      <c r="B793" s="2" t="s">
        <v>2194</v>
      </c>
      <c r="C793" s="2" t="s">
        <v>141</v>
      </c>
      <c r="D793" s="2" t="s">
        <v>0</v>
      </c>
      <c r="E793" s="2" t="s">
        <v>130</v>
      </c>
      <c r="F793" s="2" t="s">
        <v>2195</v>
      </c>
      <c r="G793" s="2" t="s">
        <v>2196</v>
      </c>
      <c r="H793" s="2" t="s">
        <v>142</v>
      </c>
      <c r="I793" s="2" t="s">
        <v>41</v>
      </c>
      <c r="J793" s="2">
        <v>32</v>
      </c>
      <c r="K793" s="2" t="s">
        <v>132</v>
      </c>
      <c r="L793" s="2" t="s">
        <v>40</v>
      </c>
      <c r="P793" s="2" t="s">
        <v>48</v>
      </c>
      <c r="Q793" s="2">
        <f>INDEX(Tables!$C$4:$C$28,MATCH($P793,Tables!$B$4:$B$28,0))</f>
        <v>32</v>
      </c>
      <c r="R793" s="2">
        <f>INDEX(Tables!$D$4:$D$28,MATCH($P793,Tables!$B$4:$B$28,0))</f>
        <v>4</v>
      </c>
      <c r="S793" s="2">
        <f>$S792+$R792+INDEX(Tables!$N$5:$Q$8,MATCH(MOD($S792+$R792,4),Tables!$M$5:$M$8,0),MATCH($R793,Tables!$N$4:$Q$4,0))</f>
        <v>2988</v>
      </c>
      <c r="T793" s="2" t="str">
        <f t="shared" si="198"/>
        <v>0BAC</v>
      </c>
      <c r="U793" s="2">
        <f t="shared" si="204"/>
        <v>747</v>
      </c>
      <c r="V793" s="2" t="str">
        <f t="shared" si="199"/>
        <v>2EB</v>
      </c>
      <c r="W793" s="2" t="str">
        <f t="shared" si="200"/>
        <v>X</v>
      </c>
      <c r="X793" s="2" t="str">
        <f t="shared" si="203"/>
        <v>X</v>
      </c>
      <c r="Y793" s="2" t="str">
        <f t="shared" si="201"/>
        <v>X</v>
      </c>
      <c r="Z793" s="2" t="str">
        <f t="shared" si="202"/>
        <v>X</v>
      </c>
      <c r="AA793" s="2" t="str">
        <f t="shared" si="205"/>
        <v>(31 downto 24)</v>
      </c>
      <c r="AB793" s="2" t="str">
        <f t="shared" si="206"/>
        <v>(23 downto 16)</v>
      </c>
      <c r="AC793" s="2" t="str">
        <f t="shared" si="207"/>
        <v>(15 downto 8)</v>
      </c>
      <c r="AD793" s="2" t="str">
        <f t="shared" si="208"/>
        <v>(7 downto 0)</v>
      </c>
      <c r="AE793" s="2" t="str">
        <f t="shared" si="209"/>
        <v>(31 downto 24)</v>
      </c>
      <c r="AF793" s="2" t="str">
        <f t="shared" si="210"/>
        <v>(23 downto 16)</v>
      </c>
      <c r="AG793" s="2" t="str">
        <f t="shared" si="211"/>
        <v>(15 downto 8)</v>
      </c>
      <c r="AH793" s="2" t="str">
        <f t="shared" si="212"/>
        <v>(7 downto 0)</v>
      </c>
    </row>
    <row r="794" spans="2:34" x14ac:dyDescent="0.25">
      <c r="B794" s="2" t="s">
        <v>2197</v>
      </c>
      <c r="C794" s="2" t="s">
        <v>141</v>
      </c>
      <c r="D794" s="2" t="s">
        <v>0</v>
      </c>
      <c r="E794" s="2" t="s">
        <v>130</v>
      </c>
      <c r="F794" s="2" t="s">
        <v>2198</v>
      </c>
      <c r="G794" s="2" t="s">
        <v>2199</v>
      </c>
      <c r="H794" s="2" t="s">
        <v>142</v>
      </c>
      <c r="I794" s="2" t="s">
        <v>41</v>
      </c>
      <c r="J794" s="2">
        <v>32</v>
      </c>
      <c r="K794" s="2" t="s">
        <v>132</v>
      </c>
      <c r="L794" s="2" t="s">
        <v>40</v>
      </c>
      <c r="P794" s="2" t="s">
        <v>48</v>
      </c>
      <c r="Q794" s="2">
        <f>INDEX(Tables!$C$4:$C$28,MATCH($P794,Tables!$B$4:$B$28,0))</f>
        <v>32</v>
      </c>
      <c r="R794" s="2">
        <f>INDEX(Tables!$D$4:$D$28,MATCH($P794,Tables!$B$4:$B$28,0))</f>
        <v>4</v>
      </c>
      <c r="S794" s="2">
        <f>$S793+$R793+INDEX(Tables!$N$5:$Q$8,MATCH(MOD($S793+$R793,4),Tables!$M$5:$M$8,0),MATCH($R794,Tables!$N$4:$Q$4,0))</f>
        <v>2992</v>
      </c>
      <c r="T794" s="2" t="str">
        <f t="shared" si="198"/>
        <v>0BB0</v>
      </c>
      <c r="U794" s="2">
        <f t="shared" si="204"/>
        <v>748</v>
      </c>
      <c r="V794" s="2" t="str">
        <f t="shared" si="199"/>
        <v>2EC</v>
      </c>
      <c r="W794" s="2" t="str">
        <f t="shared" si="200"/>
        <v>X</v>
      </c>
      <c r="X794" s="2" t="str">
        <f t="shared" si="203"/>
        <v>X</v>
      </c>
      <c r="Y794" s="2" t="str">
        <f t="shared" si="201"/>
        <v>X</v>
      </c>
      <c r="Z794" s="2" t="str">
        <f t="shared" si="202"/>
        <v>X</v>
      </c>
      <c r="AA794" s="2" t="str">
        <f t="shared" si="205"/>
        <v>(31 downto 24)</v>
      </c>
      <c r="AB794" s="2" t="str">
        <f t="shared" si="206"/>
        <v>(23 downto 16)</v>
      </c>
      <c r="AC794" s="2" t="str">
        <f t="shared" si="207"/>
        <v>(15 downto 8)</v>
      </c>
      <c r="AD794" s="2" t="str">
        <f t="shared" si="208"/>
        <v>(7 downto 0)</v>
      </c>
      <c r="AE794" s="2" t="str">
        <f t="shared" si="209"/>
        <v>(31 downto 24)</v>
      </c>
      <c r="AF794" s="2" t="str">
        <f t="shared" si="210"/>
        <v>(23 downto 16)</v>
      </c>
      <c r="AG794" s="2" t="str">
        <f t="shared" si="211"/>
        <v>(15 downto 8)</v>
      </c>
      <c r="AH794" s="2" t="str">
        <f t="shared" si="212"/>
        <v>(7 downto 0)</v>
      </c>
    </row>
    <row r="795" spans="2:34" x14ac:dyDescent="0.25">
      <c r="B795" s="2" t="s">
        <v>2200</v>
      </c>
      <c r="C795" s="2" t="s">
        <v>141</v>
      </c>
      <c r="D795" s="2" t="s">
        <v>0</v>
      </c>
      <c r="E795" s="2" t="s">
        <v>130</v>
      </c>
      <c r="F795" s="2" t="s">
        <v>2201</v>
      </c>
      <c r="G795" s="2" t="s">
        <v>2202</v>
      </c>
      <c r="H795" s="2" t="s">
        <v>142</v>
      </c>
      <c r="I795" s="2" t="s">
        <v>41</v>
      </c>
      <c r="J795" s="2">
        <v>32</v>
      </c>
      <c r="K795" s="2" t="s">
        <v>132</v>
      </c>
      <c r="L795" s="2" t="s">
        <v>40</v>
      </c>
      <c r="P795" s="2" t="s">
        <v>48</v>
      </c>
      <c r="Q795" s="2">
        <f>INDEX(Tables!$C$4:$C$28,MATCH($P795,Tables!$B$4:$B$28,0))</f>
        <v>32</v>
      </c>
      <c r="R795" s="2">
        <f>INDEX(Tables!$D$4:$D$28,MATCH($P795,Tables!$B$4:$B$28,0))</f>
        <v>4</v>
      </c>
      <c r="S795" s="2">
        <f>$S794+$R794+INDEX(Tables!$N$5:$Q$8,MATCH(MOD($S794+$R794,4),Tables!$M$5:$M$8,0),MATCH($R795,Tables!$N$4:$Q$4,0))</f>
        <v>2996</v>
      </c>
      <c r="T795" s="2" t="str">
        <f t="shared" si="198"/>
        <v>0BB4</v>
      </c>
      <c r="U795" s="2">
        <f t="shared" si="204"/>
        <v>749</v>
      </c>
      <c r="V795" s="2" t="str">
        <f t="shared" si="199"/>
        <v>2ED</v>
      </c>
      <c r="W795" s="2" t="str">
        <f t="shared" si="200"/>
        <v>X</v>
      </c>
      <c r="X795" s="2" t="str">
        <f t="shared" si="203"/>
        <v>X</v>
      </c>
      <c r="Y795" s="2" t="str">
        <f t="shared" si="201"/>
        <v>X</v>
      </c>
      <c r="Z795" s="2" t="str">
        <f t="shared" si="202"/>
        <v>X</v>
      </c>
      <c r="AA795" s="2" t="str">
        <f t="shared" si="205"/>
        <v>(31 downto 24)</v>
      </c>
      <c r="AB795" s="2" t="str">
        <f t="shared" si="206"/>
        <v>(23 downto 16)</v>
      </c>
      <c r="AC795" s="2" t="str">
        <f t="shared" si="207"/>
        <v>(15 downto 8)</v>
      </c>
      <c r="AD795" s="2" t="str">
        <f t="shared" si="208"/>
        <v>(7 downto 0)</v>
      </c>
      <c r="AE795" s="2" t="str">
        <f t="shared" si="209"/>
        <v>(31 downto 24)</v>
      </c>
      <c r="AF795" s="2" t="str">
        <f t="shared" si="210"/>
        <v>(23 downto 16)</v>
      </c>
      <c r="AG795" s="2" t="str">
        <f t="shared" si="211"/>
        <v>(15 downto 8)</v>
      </c>
      <c r="AH795" s="2" t="str">
        <f t="shared" si="212"/>
        <v>(7 downto 0)</v>
      </c>
    </row>
    <row r="796" spans="2:34" x14ac:dyDescent="0.25">
      <c r="B796" s="2" t="s">
        <v>2203</v>
      </c>
      <c r="C796" s="2" t="s">
        <v>141</v>
      </c>
      <c r="D796" s="2" t="s">
        <v>0</v>
      </c>
      <c r="E796" s="2" t="s">
        <v>130</v>
      </c>
      <c r="F796" s="2" t="s">
        <v>2204</v>
      </c>
      <c r="G796" s="2" t="s">
        <v>2205</v>
      </c>
      <c r="H796" s="2" t="s">
        <v>142</v>
      </c>
      <c r="I796" s="2" t="s">
        <v>41</v>
      </c>
      <c r="J796" s="2">
        <v>32</v>
      </c>
      <c r="K796" s="2" t="s">
        <v>132</v>
      </c>
      <c r="L796" s="2" t="s">
        <v>40</v>
      </c>
      <c r="P796" s="2" t="s">
        <v>48</v>
      </c>
      <c r="Q796" s="2">
        <f>INDEX(Tables!$C$4:$C$28,MATCH($P796,Tables!$B$4:$B$28,0))</f>
        <v>32</v>
      </c>
      <c r="R796" s="2">
        <f>INDEX(Tables!$D$4:$D$28,MATCH($P796,Tables!$B$4:$B$28,0))</f>
        <v>4</v>
      </c>
      <c r="S796" s="2">
        <f>$S795+$R795+INDEX(Tables!$N$5:$Q$8,MATCH(MOD($S795+$R795,4),Tables!$M$5:$M$8,0),MATCH($R796,Tables!$N$4:$Q$4,0))</f>
        <v>3000</v>
      </c>
      <c r="T796" s="2" t="str">
        <f t="shared" si="198"/>
        <v>0BB8</v>
      </c>
      <c r="U796" s="2">
        <f t="shared" si="204"/>
        <v>750</v>
      </c>
      <c r="V796" s="2" t="str">
        <f t="shared" si="199"/>
        <v>2EE</v>
      </c>
      <c r="W796" s="2" t="str">
        <f t="shared" si="200"/>
        <v>X</v>
      </c>
      <c r="X796" s="2" t="str">
        <f t="shared" si="203"/>
        <v>X</v>
      </c>
      <c r="Y796" s="2" t="str">
        <f t="shared" si="201"/>
        <v>X</v>
      </c>
      <c r="Z796" s="2" t="str">
        <f t="shared" si="202"/>
        <v>X</v>
      </c>
      <c r="AA796" s="2" t="str">
        <f t="shared" si="205"/>
        <v>(31 downto 24)</v>
      </c>
      <c r="AB796" s="2" t="str">
        <f t="shared" si="206"/>
        <v>(23 downto 16)</v>
      </c>
      <c r="AC796" s="2" t="str">
        <f t="shared" si="207"/>
        <v>(15 downto 8)</v>
      </c>
      <c r="AD796" s="2" t="str">
        <f t="shared" si="208"/>
        <v>(7 downto 0)</v>
      </c>
      <c r="AE796" s="2" t="str">
        <f t="shared" si="209"/>
        <v>(31 downto 24)</v>
      </c>
      <c r="AF796" s="2" t="str">
        <f t="shared" si="210"/>
        <v>(23 downto 16)</v>
      </c>
      <c r="AG796" s="2" t="str">
        <f t="shared" si="211"/>
        <v>(15 downto 8)</v>
      </c>
      <c r="AH796" s="2" t="str">
        <f t="shared" si="212"/>
        <v>(7 downto 0)</v>
      </c>
    </row>
    <row r="797" spans="2:34" x14ac:dyDescent="0.25">
      <c r="B797" s="2" t="s">
        <v>2206</v>
      </c>
      <c r="C797" s="2" t="s">
        <v>141</v>
      </c>
      <c r="D797" s="2" t="s">
        <v>0</v>
      </c>
      <c r="E797" s="2" t="s">
        <v>130</v>
      </c>
      <c r="F797" s="2" t="s">
        <v>2207</v>
      </c>
      <c r="G797" s="2" t="s">
        <v>2208</v>
      </c>
      <c r="H797" s="2" t="s">
        <v>142</v>
      </c>
      <c r="I797" s="2" t="s">
        <v>41</v>
      </c>
      <c r="J797" s="2">
        <v>32</v>
      </c>
      <c r="K797" s="2" t="s">
        <v>132</v>
      </c>
      <c r="L797" s="2" t="s">
        <v>40</v>
      </c>
      <c r="P797" s="2" t="s">
        <v>48</v>
      </c>
      <c r="Q797" s="2">
        <f>INDEX(Tables!$C$4:$C$28,MATCH($P797,Tables!$B$4:$B$28,0))</f>
        <v>32</v>
      </c>
      <c r="R797" s="2">
        <f>INDEX(Tables!$D$4:$D$28,MATCH($P797,Tables!$B$4:$B$28,0))</f>
        <v>4</v>
      </c>
      <c r="S797" s="2">
        <f>$S796+$R796+INDEX(Tables!$N$5:$Q$8,MATCH(MOD($S796+$R796,4),Tables!$M$5:$M$8,0),MATCH($R797,Tables!$N$4:$Q$4,0))</f>
        <v>3004</v>
      </c>
      <c r="T797" s="2" t="str">
        <f t="shared" si="198"/>
        <v>0BBC</v>
      </c>
      <c r="U797" s="2">
        <f t="shared" si="204"/>
        <v>751</v>
      </c>
      <c r="V797" s="2" t="str">
        <f t="shared" si="199"/>
        <v>2EF</v>
      </c>
      <c r="W797" s="2" t="str">
        <f t="shared" si="200"/>
        <v>X</v>
      </c>
      <c r="X797" s="2" t="str">
        <f t="shared" si="203"/>
        <v>X</v>
      </c>
      <c r="Y797" s="2" t="str">
        <f t="shared" si="201"/>
        <v>X</v>
      </c>
      <c r="Z797" s="2" t="str">
        <f t="shared" si="202"/>
        <v>X</v>
      </c>
      <c r="AA797" s="2" t="str">
        <f t="shared" si="205"/>
        <v>(31 downto 24)</v>
      </c>
      <c r="AB797" s="2" t="str">
        <f t="shared" si="206"/>
        <v>(23 downto 16)</v>
      </c>
      <c r="AC797" s="2" t="str">
        <f t="shared" si="207"/>
        <v>(15 downto 8)</v>
      </c>
      <c r="AD797" s="2" t="str">
        <f t="shared" si="208"/>
        <v>(7 downto 0)</v>
      </c>
      <c r="AE797" s="2" t="str">
        <f t="shared" si="209"/>
        <v>(31 downto 24)</v>
      </c>
      <c r="AF797" s="2" t="str">
        <f t="shared" si="210"/>
        <v>(23 downto 16)</v>
      </c>
      <c r="AG797" s="2" t="str">
        <f t="shared" si="211"/>
        <v>(15 downto 8)</v>
      </c>
      <c r="AH797" s="2" t="str">
        <f t="shared" si="212"/>
        <v>(7 downto 0)</v>
      </c>
    </row>
    <row r="798" spans="2:34" x14ac:dyDescent="0.25">
      <c r="B798" s="2" t="s">
        <v>2209</v>
      </c>
      <c r="C798" s="2" t="s">
        <v>141</v>
      </c>
      <c r="D798" s="2" t="s">
        <v>0</v>
      </c>
      <c r="E798" s="2" t="s">
        <v>130</v>
      </c>
      <c r="F798" s="2" t="s">
        <v>2210</v>
      </c>
      <c r="G798" s="2" t="s">
        <v>2211</v>
      </c>
      <c r="H798" s="2" t="s">
        <v>142</v>
      </c>
      <c r="I798" s="2" t="s">
        <v>41</v>
      </c>
      <c r="J798" s="2">
        <v>32</v>
      </c>
      <c r="K798" s="2" t="s">
        <v>132</v>
      </c>
      <c r="L798" s="2" t="s">
        <v>40</v>
      </c>
      <c r="P798" s="2" t="s">
        <v>48</v>
      </c>
      <c r="Q798" s="2">
        <f>INDEX(Tables!$C$4:$C$28,MATCH($P798,Tables!$B$4:$B$28,0))</f>
        <v>32</v>
      </c>
      <c r="R798" s="2">
        <f>INDEX(Tables!$D$4:$D$28,MATCH($P798,Tables!$B$4:$B$28,0))</f>
        <v>4</v>
      </c>
      <c r="S798" s="2">
        <f>$S797+$R797+INDEX(Tables!$N$5:$Q$8,MATCH(MOD($S797+$R797,4),Tables!$M$5:$M$8,0),MATCH($R798,Tables!$N$4:$Q$4,0))</f>
        <v>3008</v>
      </c>
      <c r="T798" s="2" t="str">
        <f t="shared" si="198"/>
        <v>0BC0</v>
      </c>
      <c r="U798" s="2">
        <f t="shared" si="204"/>
        <v>752</v>
      </c>
      <c r="V798" s="2" t="str">
        <f t="shared" si="199"/>
        <v>2F0</v>
      </c>
      <c r="W798" s="2" t="str">
        <f t="shared" si="200"/>
        <v>X</v>
      </c>
      <c r="X798" s="2" t="str">
        <f t="shared" si="203"/>
        <v>X</v>
      </c>
      <c r="Y798" s="2" t="str">
        <f t="shared" si="201"/>
        <v>X</v>
      </c>
      <c r="Z798" s="2" t="str">
        <f t="shared" si="202"/>
        <v>X</v>
      </c>
      <c r="AA798" s="2" t="str">
        <f t="shared" si="205"/>
        <v>(31 downto 24)</v>
      </c>
      <c r="AB798" s="2" t="str">
        <f t="shared" si="206"/>
        <v>(23 downto 16)</v>
      </c>
      <c r="AC798" s="2" t="str">
        <f t="shared" si="207"/>
        <v>(15 downto 8)</v>
      </c>
      <c r="AD798" s="2" t="str">
        <f t="shared" si="208"/>
        <v>(7 downto 0)</v>
      </c>
      <c r="AE798" s="2" t="str">
        <f t="shared" si="209"/>
        <v>(31 downto 24)</v>
      </c>
      <c r="AF798" s="2" t="str">
        <f t="shared" si="210"/>
        <v>(23 downto 16)</v>
      </c>
      <c r="AG798" s="2" t="str">
        <f t="shared" si="211"/>
        <v>(15 downto 8)</v>
      </c>
      <c r="AH798" s="2" t="str">
        <f t="shared" si="212"/>
        <v>(7 downto 0)</v>
      </c>
    </row>
    <row r="799" spans="2:34" x14ac:dyDescent="0.25">
      <c r="B799" s="2" t="s">
        <v>2212</v>
      </c>
      <c r="C799" s="2" t="s">
        <v>141</v>
      </c>
      <c r="D799" s="2" t="s">
        <v>0</v>
      </c>
      <c r="E799" s="2" t="s">
        <v>130</v>
      </c>
      <c r="F799" s="2" t="s">
        <v>2213</v>
      </c>
      <c r="G799" s="2" t="s">
        <v>2214</v>
      </c>
      <c r="H799" s="2" t="s">
        <v>142</v>
      </c>
      <c r="I799" s="2" t="s">
        <v>41</v>
      </c>
      <c r="J799" s="2">
        <v>32</v>
      </c>
      <c r="K799" s="2" t="s">
        <v>132</v>
      </c>
      <c r="L799" s="2" t="s">
        <v>40</v>
      </c>
      <c r="P799" s="2" t="s">
        <v>48</v>
      </c>
      <c r="Q799" s="2">
        <f>INDEX(Tables!$C$4:$C$28,MATCH($P799,Tables!$B$4:$B$28,0))</f>
        <v>32</v>
      </c>
      <c r="R799" s="2">
        <f>INDEX(Tables!$D$4:$D$28,MATCH($P799,Tables!$B$4:$B$28,0))</f>
        <v>4</v>
      </c>
      <c r="S799" s="2">
        <f>$S798+$R798+INDEX(Tables!$N$5:$Q$8,MATCH(MOD($S798+$R798,4),Tables!$M$5:$M$8,0),MATCH($R799,Tables!$N$4:$Q$4,0))</f>
        <v>3012</v>
      </c>
      <c r="T799" s="2" t="str">
        <f t="shared" si="198"/>
        <v>0BC4</v>
      </c>
      <c r="U799" s="2">
        <f t="shared" si="204"/>
        <v>753</v>
      </c>
      <c r="V799" s="2" t="str">
        <f t="shared" si="199"/>
        <v>2F1</v>
      </c>
      <c r="W799" s="2" t="str">
        <f t="shared" si="200"/>
        <v>X</v>
      </c>
      <c r="X799" s="2" t="str">
        <f t="shared" si="203"/>
        <v>X</v>
      </c>
      <c r="Y799" s="2" t="str">
        <f t="shared" si="201"/>
        <v>X</v>
      </c>
      <c r="Z799" s="2" t="str">
        <f t="shared" si="202"/>
        <v>X</v>
      </c>
      <c r="AA799" s="2" t="str">
        <f t="shared" si="205"/>
        <v>(31 downto 24)</v>
      </c>
      <c r="AB799" s="2" t="str">
        <f t="shared" si="206"/>
        <v>(23 downto 16)</v>
      </c>
      <c r="AC799" s="2" t="str">
        <f t="shared" si="207"/>
        <v>(15 downto 8)</v>
      </c>
      <c r="AD799" s="2" t="str">
        <f t="shared" si="208"/>
        <v>(7 downto 0)</v>
      </c>
      <c r="AE799" s="2" t="str">
        <f t="shared" si="209"/>
        <v>(31 downto 24)</v>
      </c>
      <c r="AF799" s="2" t="str">
        <f t="shared" si="210"/>
        <v>(23 downto 16)</v>
      </c>
      <c r="AG799" s="2" t="str">
        <f t="shared" si="211"/>
        <v>(15 downto 8)</v>
      </c>
      <c r="AH799" s="2" t="str">
        <f t="shared" si="212"/>
        <v>(7 downto 0)</v>
      </c>
    </row>
    <row r="800" spans="2:34" x14ac:dyDescent="0.25">
      <c r="B800" s="2" t="s">
        <v>2215</v>
      </c>
      <c r="C800" s="2" t="s">
        <v>141</v>
      </c>
      <c r="D800" s="2" t="s">
        <v>0</v>
      </c>
      <c r="E800" s="2" t="s">
        <v>130</v>
      </c>
      <c r="F800" s="2" t="s">
        <v>2216</v>
      </c>
      <c r="G800" s="2" t="s">
        <v>2217</v>
      </c>
      <c r="H800" s="2" t="s">
        <v>142</v>
      </c>
      <c r="I800" s="2" t="s">
        <v>41</v>
      </c>
      <c r="J800" s="2">
        <v>32</v>
      </c>
      <c r="K800" s="2" t="s">
        <v>132</v>
      </c>
      <c r="L800" s="2" t="s">
        <v>40</v>
      </c>
      <c r="P800" s="2" t="s">
        <v>48</v>
      </c>
      <c r="Q800" s="2">
        <f>INDEX(Tables!$C$4:$C$28,MATCH($P800,Tables!$B$4:$B$28,0))</f>
        <v>32</v>
      </c>
      <c r="R800" s="2">
        <f>INDEX(Tables!$D$4:$D$28,MATCH($P800,Tables!$B$4:$B$28,0))</f>
        <v>4</v>
      </c>
      <c r="S800" s="2">
        <f>$S799+$R799+INDEX(Tables!$N$5:$Q$8,MATCH(MOD($S799+$R799,4),Tables!$M$5:$M$8,0),MATCH($R800,Tables!$N$4:$Q$4,0))</f>
        <v>3016</v>
      </c>
      <c r="T800" s="2" t="str">
        <f t="shared" si="198"/>
        <v>0BC8</v>
      </c>
      <c r="U800" s="2">
        <f t="shared" si="204"/>
        <v>754</v>
      </c>
      <c r="V800" s="2" t="str">
        <f t="shared" si="199"/>
        <v>2F2</v>
      </c>
      <c r="W800" s="2" t="str">
        <f t="shared" si="200"/>
        <v>X</v>
      </c>
      <c r="X800" s="2" t="str">
        <f t="shared" si="203"/>
        <v>X</v>
      </c>
      <c r="Y800" s="2" t="str">
        <f t="shared" si="201"/>
        <v>X</v>
      </c>
      <c r="Z800" s="2" t="str">
        <f t="shared" si="202"/>
        <v>X</v>
      </c>
      <c r="AA800" s="2" t="str">
        <f t="shared" si="205"/>
        <v>(31 downto 24)</v>
      </c>
      <c r="AB800" s="2" t="str">
        <f t="shared" si="206"/>
        <v>(23 downto 16)</v>
      </c>
      <c r="AC800" s="2" t="str">
        <f t="shared" si="207"/>
        <v>(15 downto 8)</v>
      </c>
      <c r="AD800" s="2" t="str">
        <f t="shared" si="208"/>
        <v>(7 downto 0)</v>
      </c>
      <c r="AE800" s="2" t="str">
        <f t="shared" si="209"/>
        <v>(31 downto 24)</v>
      </c>
      <c r="AF800" s="2" t="str">
        <f t="shared" si="210"/>
        <v>(23 downto 16)</v>
      </c>
      <c r="AG800" s="2" t="str">
        <f t="shared" si="211"/>
        <v>(15 downto 8)</v>
      </c>
      <c r="AH800" s="2" t="str">
        <f t="shared" si="212"/>
        <v>(7 downto 0)</v>
      </c>
    </row>
    <row r="801" spans="2:34" x14ac:dyDescent="0.25">
      <c r="B801" s="2" t="s">
        <v>2218</v>
      </c>
      <c r="C801" s="2" t="s">
        <v>141</v>
      </c>
      <c r="D801" s="2" t="s">
        <v>0</v>
      </c>
      <c r="E801" s="2" t="s">
        <v>130</v>
      </c>
      <c r="F801" s="2" t="s">
        <v>2219</v>
      </c>
      <c r="G801" s="2" t="s">
        <v>2220</v>
      </c>
      <c r="H801" s="2" t="s">
        <v>142</v>
      </c>
      <c r="I801" s="2" t="s">
        <v>41</v>
      </c>
      <c r="J801" s="2">
        <v>32</v>
      </c>
      <c r="K801" s="2" t="s">
        <v>132</v>
      </c>
      <c r="L801" s="2" t="s">
        <v>40</v>
      </c>
      <c r="P801" s="2" t="s">
        <v>48</v>
      </c>
      <c r="Q801" s="2">
        <f>INDEX(Tables!$C$4:$C$28,MATCH($P801,Tables!$B$4:$B$28,0))</f>
        <v>32</v>
      </c>
      <c r="R801" s="2">
        <f>INDEX(Tables!$D$4:$D$28,MATCH($P801,Tables!$B$4:$B$28,0))</f>
        <v>4</v>
      </c>
      <c r="S801" s="2">
        <f>$S800+$R800+INDEX(Tables!$N$5:$Q$8,MATCH(MOD($S800+$R800,4),Tables!$M$5:$M$8,0),MATCH($R801,Tables!$N$4:$Q$4,0))</f>
        <v>3020</v>
      </c>
      <c r="T801" s="2" t="str">
        <f t="shared" si="198"/>
        <v>0BCC</v>
      </c>
      <c r="U801" s="2">
        <f t="shared" si="204"/>
        <v>755</v>
      </c>
      <c r="V801" s="2" t="str">
        <f t="shared" si="199"/>
        <v>2F3</v>
      </c>
      <c r="W801" s="2" t="str">
        <f t="shared" si="200"/>
        <v>X</v>
      </c>
      <c r="X801" s="2" t="str">
        <f t="shared" si="203"/>
        <v>X</v>
      </c>
      <c r="Y801" s="2" t="str">
        <f t="shared" si="201"/>
        <v>X</v>
      </c>
      <c r="Z801" s="2" t="str">
        <f t="shared" si="202"/>
        <v>X</v>
      </c>
      <c r="AA801" s="2" t="str">
        <f t="shared" si="205"/>
        <v>(31 downto 24)</v>
      </c>
      <c r="AB801" s="2" t="str">
        <f t="shared" si="206"/>
        <v>(23 downto 16)</v>
      </c>
      <c r="AC801" s="2" t="str">
        <f t="shared" si="207"/>
        <v>(15 downto 8)</v>
      </c>
      <c r="AD801" s="2" t="str">
        <f t="shared" si="208"/>
        <v>(7 downto 0)</v>
      </c>
      <c r="AE801" s="2" t="str">
        <f t="shared" si="209"/>
        <v>(31 downto 24)</v>
      </c>
      <c r="AF801" s="2" t="str">
        <f t="shared" si="210"/>
        <v>(23 downto 16)</v>
      </c>
      <c r="AG801" s="2" t="str">
        <f t="shared" si="211"/>
        <v>(15 downto 8)</v>
      </c>
      <c r="AH801" s="2" t="str">
        <f t="shared" si="212"/>
        <v>(7 downto 0)</v>
      </c>
    </row>
    <row r="802" spans="2:34" x14ac:dyDescent="0.25">
      <c r="B802" s="2" t="s">
        <v>2221</v>
      </c>
      <c r="C802" s="2" t="s">
        <v>141</v>
      </c>
      <c r="D802" s="2" t="s">
        <v>0</v>
      </c>
      <c r="E802" s="2" t="s">
        <v>130</v>
      </c>
      <c r="F802" s="2" t="s">
        <v>2222</v>
      </c>
      <c r="G802" s="2" t="s">
        <v>2223</v>
      </c>
      <c r="H802" s="2" t="s">
        <v>142</v>
      </c>
      <c r="I802" s="2" t="s">
        <v>41</v>
      </c>
      <c r="J802" s="2">
        <v>32</v>
      </c>
      <c r="K802" s="2" t="s">
        <v>132</v>
      </c>
      <c r="L802" s="2" t="s">
        <v>40</v>
      </c>
      <c r="P802" s="2" t="s">
        <v>48</v>
      </c>
      <c r="Q802" s="2">
        <f>INDEX(Tables!$C$4:$C$28,MATCH($P802,Tables!$B$4:$B$28,0))</f>
        <v>32</v>
      </c>
      <c r="R802" s="2">
        <f>INDEX(Tables!$D$4:$D$28,MATCH($P802,Tables!$B$4:$B$28,0))</f>
        <v>4</v>
      </c>
      <c r="S802" s="2">
        <f>$S801+$R801+INDEX(Tables!$N$5:$Q$8,MATCH(MOD($S801+$R801,4),Tables!$M$5:$M$8,0),MATCH($R802,Tables!$N$4:$Q$4,0))</f>
        <v>3024</v>
      </c>
      <c r="T802" s="2" t="str">
        <f t="shared" si="198"/>
        <v>0BD0</v>
      </c>
      <c r="U802" s="2">
        <f t="shared" si="204"/>
        <v>756</v>
      </c>
      <c r="V802" s="2" t="str">
        <f t="shared" si="199"/>
        <v>2F4</v>
      </c>
      <c r="W802" s="2" t="str">
        <f t="shared" si="200"/>
        <v>X</v>
      </c>
      <c r="X802" s="2" t="str">
        <f t="shared" si="203"/>
        <v>X</v>
      </c>
      <c r="Y802" s="2" t="str">
        <f t="shared" si="201"/>
        <v>X</v>
      </c>
      <c r="Z802" s="2" t="str">
        <f t="shared" si="202"/>
        <v>X</v>
      </c>
      <c r="AA802" s="2" t="str">
        <f t="shared" si="205"/>
        <v>(31 downto 24)</v>
      </c>
      <c r="AB802" s="2" t="str">
        <f t="shared" si="206"/>
        <v>(23 downto 16)</v>
      </c>
      <c r="AC802" s="2" t="str">
        <f t="shared" si="207"/>
        <v>(15 downto 8)</v>
      </c>
      <c r="AD802" s="2" t="str">
        <f t="shared" si="208"/>
        <v>(7 downto 0)</v>
      </c>
      <c r="AE802" s="2" t="str">
        <f t="shared" si="209"/>
        <v>(31 downto 24)</v>
      </c>
      <c r="AF802" s="2" t="str">
        <f t="shared" si="210"/>
        <v>(23 downto 16)</v>
      </c>
      <c r="AG802" s="2" t="str">
        <f t="shared" si="211"/>
        <v>(15 downto 8)</v>
      </c>
      <c r="AH802" s="2" t="str">
        <f t="shared" si="212"/>
        <v>(7 downto 0)</v>
      </c>
    </row>
    <row r="803" spans="2:34" x14ac:dyDescent="0.25">
      <c r="B803" s="2" t="s">
        <v>2224</v>
      </c>
      <c r="C803" s="2" t="s">
        <v>141</v>
      </c>
      <c r="D803" s="2" t="s">
        <v>0</v>
      </c>
      <c r="E803" s="2" t="s">
        <v>130</v>
      </c>
      <c r="F803" s="2" t="s">
        <v>2225</v>
      </c>
      <c r="G803" s="2" t="s">
        <v>2226</v>
      </c>
      <c r="H803" s="2" t="s">
        <v>142</v>
      </c>
      <c r="I803" s="2" t="s">
        <v>41</v>
      </c>
      <c r="J803" s="2">
        <v>32</v>
      </c>
      <c r="K803" s="2" t="s">
        <v>132</v>
      </c>
      <c r="L803" s="2" t="s">
        <v>40</v>
      </c>
      <c r="P803" s="2" t="s">
        <v>48</v>
      </c>
      <c r="Q803" s="2">
        <f>INDEX(Tables!$C$4:$C$28,MATCH($P803,Tables!$B$4:$B$28,0))</f>
        <v>32</v>
      </c>
      <c r="R803" s="2">
        <f>INDEX(Tables!$D$4:$D$28,MATCH($P803,Tables!$B$4:$B$28,0))</f>
        <v>4</v>
      </c>
      <c r="S803" s="2">
        <f>$S802+$R802+INDEX(Tables!$N$5:$Q$8,MATCH(MOD($S802+$R802,4),Tables!$M$5:$M$8,0),MATCH($R803,Tables!$N$4:$Q$4,0))</f>
        <v>3028</v>
      </c>
      <c r="T803" s="2" t="str">
        <f t="shared" si="198"/>
        <v>0BD4</v>
      </c>
      <c r="U803" s="2">
        <f t="shared" si="204"/>
        <v>757</v>
      </c>
      <c r="V803" s="2" t="str">
        <f t="shared" si="199"/>
        <v>2F5</v>
      </c>
      <c r="W803" s="2" t="str">
        <f t="shared" si="200"/>
        <v>X</v>
      </c>
      <c r="X803" s="2" t="str">
        <f t="shared" si="203"/>
        <v>X</v>
      </c>
      <c r="Y803" s="2" t="str">
        <f t="shared" si="201"/>
        <v>X</v>
      </c>
      <c r="Z803" s="2" t="str">
        <f t="shared" si="202"/>
        <v>X</v>
      </c>
      <c r="AA803" s="2" t="str">
        <f t="shared" si="205"/>
        <v>(31 downto 24)</v>
      </c>
      <c r="AB803" s="2" t="str">
        <f t="shared" si="206"/>
        <v>(23 downto 16)</v>
      </c>
      <c r="AC803" s="2" t="str">
        <f t="shared" si="207"/>
        <v>(15 downto 8)</v>
      </c>
      <c r="AD803" s="2" t="str">
        <f t="shared" si="208"/>
        <v>(7 downto 0)</v>
      </c>
      <c r="AE803" s="2" t="str">
        <f t="shared" si="209"/>
        <v>(31 downto 24)</v>
      </c>
      <c r="AF803" s="2" t="str">
        <f t="shared" si="210"/>
        <v>(23 downto 16)</v>
      </c>
      <c r="AG803" s="2" t="str">
        <f t="shared" si="211"/>
        <v>(15 downto 8)</v>
      </c>
      <c r="AH803" s="2" t="str">
        <f t="shared" si="212"/>
        <v>(7 downto 0)</v>
      </c>
    </row>
    <row r="804" spans="2:34" x14ac:dyDescent="0.25">
      <c r="B804" s="2" t="s">
        <v>2227</v>
      </c>
      <c r="C804" s="2" t="s">
        <v>141</v>
      </c>
      <c r="D804" s="2" t="s">
        <v>0</v>
      </c>
      <c r="E804" s="2" t="s">
        <v>130</v>
      </c>
      <c r="F804" s="2" t="s">
        <v>2228</v>
      </c>
      <c r="G804" s="2" t="s">
        <v>2229</v>
      </c>
      <c r="H804" s="2" t="s">
        <v>142</v>
      </c>
      <c r="I804" s="2" t="s">
        <v>41</v>
      </c>
      <c r="J804" s="2">
        <v>32</v>
      </c>
      <c r="K804" s="2" t="s">
        <v>132</v>
      </c>
      <c r="L804" s="2" t="s">
        <v>40</v>
      </c>
      <c r="P804" s="2" t="s">
        <v>48</v>
      </c>
      <c r="Q804" s="2">
        <f>INDEX(Tables!$C$4:$C$28,MATCH($P804,Tables!$B$4:$B$28,0))</f>
        <v>32</v>
      </c>
      <c r="R804" s="2">
        <f>INDEX(Tables!$D$4:$D$28,MATCH($P804,Tables!$B$4:$B$28,0))</f>
        <v>4</v>
      </c>
      <c r="S804" s="2">
        <f>$S803+$R803+INDEX(Tables!$N$5:$Q$8,MATCH(MOD($S803+$R803,4),Tables!$M$5:$M$8,0),MATCH($R804,Tables!$N$4:$Q$4,0))</f>
        <v>3032</v>
      </c>
      <c r="T804" s="2" t="str">
        <f t="shared" si="198"/>
        <v>0BD8</v>
      </c>
      <c r="U804" s="2">
        <f t="shared" si="204"/>
        <v>758</v>
      </c>
      <c r="V804" s="2" t="str">
        <f t="shared" si="199"/>
        <v>2F6</v>
      </c>
      <c r="W804" s="2" t="str">
        <f t="shared" si="200"/>
        <v>X</v>
      </c>
      <c r="X804" s="2" t="str">
        <f t="shared" si="203"/>
        <v>X</v>
      </c>
      <c r="Y804" s="2" t="str">
        <f t="shared" si="201"/>
        <v>X</v>
      </c>
      <c r="Z804" s="2" t="str">
        <f t="shared" si="202"/>
        <v>X</v>
      </c>
      <c r="AA804" s="2" t="str">
        <f t="shared" si="205"/>
        <v>(31 downto 24)</v>
      </c>
      <c r="AB804" s="2" t="str">
        <f t="shared" si="206"/>
        <v>(23 downto 16)</v>
      </c>
      <c r="AC804" s="2" t="str">
        <f t="shared" si="207"/>
        <v>(15 downto 8)</v>
      </c>
      <c r="AD804" s="2" t="str">
        <f t="shared" si="208"/>
        <v>(7 downto 0)</v>
      </c>
      <c r="AE804" s="2" t="str">
        <f t="shared" si="209"/>
        <v>(31 downto 24)</v>
      </c>
      <c r="AF804" s="2" t="str">
        <f t="shared" si="210"/>
        <v>(23 downto 16)</v>
      </c>
      <c r="AG804" s="2" t="str">
        <f t="shared" si="211"/>
        <v>(15 downto 8)</v>
      </c>
      <c r="AH804" s="2" t="str">
        <f t="shared" si="212"/>
        <v>(7 downto 0)</v>
      </c>
    </row>
    <row r="805" spans="2:34" x14ac:dyDescent="0.25">
      <c r="B805" s="2" t="s">
        <v>2230</v>
      </c>
      <c r="C805" s="2" t="s">
        <v>141</v>
      </c>
      <c r="D805" s="2" t="s">
        <v>0</v>
      </c>
      <c r="E805" s="2" t="s">
        <v>130</v>
      </c>
      <c r="F805" s="2" t="s">
        <v>2231</v>
      </c>
      <c r="G805" s="2" t="s">
        <v>2232</v>
      </c>
      <c r="H805" s="2" t="s">
        <v>142</v>
      </c>
      <c r="I805" s="2" t="s">
        <v>41</v>
      </c>
      <c r="J805" s="2">
        <v>32</v>
      </c>
      <c r="K805" s="2" t="s">
        <v>132</v>
      </c>
      <c r="L805" s="2" t="s">
        <v>40</v>
      </c>
      <c r="P805" s="2" t="s">
        <v>48</v>
      </c>
      <c r="Q805" s="2">
        <f>INDEX(Tables!$C$4:$C$28,MATCH($P805,Tables!$B$4:$B$28,0))</f>
        <v>32</v>
      </c>
      <c r="R805" s="2">
        <f>INDEX(Tables!$D$4:$D$28,MATCH($P805,Tables!$B$4:$B$28,0))</f>
        <v>4</v>
      </c>
      <c r="S805" s="2">
        <f>$S804+$R804+INDEX(Tables!$N$5:$Q$8,MATCH(MOD($S804+$R804,4),Tables!$M$5:$M$8,0),MATCH($R805,Tables!$N$4:$Q$4,0))</f>
        <v>3036</v>
      </c>
      <c r="T805" s="2" t="str">
        <f t="shared" si="198"/>
        <v>0BDC</v>
      </c>
      <c r="U805" s="2">
        <f t="shared" si="204"/>
        <v>759</v>
      </c>
      <c r="V805" s="2" t="str">
        <f t="shared" si="199"/>
        <v>2F7</v>
      </c>
      <c r="W805" s="2" t="str">
        <f t="shared" si="200"/>
        <v>X</v>
      </c>
      <c r="X805" s="2" t="str">
        <f t="shared" si="203"/>
        <v>X</v>
      </c>
      <c r="Y805" s="2" t="str">
        <f t="shared" si="201"/>
        <v>X</v>
      </c>
      <c r="Z805" s="2" t="str">
        <f t="shared" si="202"/>
        <v>X</v>
      </c>
      <c r="AA805" s="2" t="str">
        <f t="shared" si="205"/>
        <v>(31 downto 24)</v>
      </c>
      <c r="AB805" s="2" t="str">
        <f t="shared" si="206"/>
        <v>(23 downto 16)</v>
      </c>
      <c r="AC805" s="2" t="str">
        <f t="shared" si="207"/>
        <v>(15 downto 8)</v>
      </c>
      <c r="AD805" s="2" t="str">
        <f t="shared" si="208"/>
        <v>(7 downto 0)</v>
      </c>
      <c r="AE805" s="2" t="str">
        <f t="shared" si="209"/>
        <v>(31 downto 24)</v>
      </c>
      <c r="AF805" s="2" t="str">
        <f t="shared" si="210"/>
        <v>(23 downto 16)</v>
      </c>
      <c r="AG805" s="2" t="str">
        <f t="shared" si="211"/>
        <v>(15 downto 8)</v>
      </c>
      <c r="AH805" s="2" t="str">
        <f t="shared" si="212"/>
        <v>(7 downto 0)</v>
      </c>
    </row>
    <row r="806" spans="2:34" x14ac:dyDescent="0.25">
      <c r="B806" s="2" t="s">
        <v>2233</v>
      </c>
      <c r="C806" s="2" t="s">
        <v>141</v>
      </c>
      <c r="D806" s="2" t="s">
        <v>0</v>
      </c>
      <c r="E806" s="2" t="s">
        <v>130</v>
      </c>
      <c r="F806" s="2" t="s">
        <v>2234</v>
      </c>
      <c r="G806" s="2" t="s">
        <v>2235</v>
      </c>
      <c r="H806" s="2" t="s">
        <v>142</v>
      </c>
      <c r="I806" s="2" t="s">
        <v>41</v>
      </c>
      <c r="J806" s="2">
        <v>32</v>
      </c>
      <c r="K806" s="2" t="s">
        <v>132</v>
      </c>
      <c r="L806" s="2" t="s">
        <v>40</v>
      </c>
      <c r="P806" s="2" t="s">
        <v>48</v>
      </c>
      <c r="Q806" s="2">
        <f>INDEX(Tables!$C$4:$C$28,MATCH($P806,Tables!$B$4:$B$28,0))</f>
        <v>32</v>
      </c>
      <c r="R806" s="2">
        <f>INDEX(Tables!$D$4:$D$28,MATCH($P806,Tables!$B$4:$B$28,0))</f>
        <v>4</v>
      </c>
      <c r="S806" s="2">
        <f>$S805+$R805+INDEX(Tables!$N$5:$Q$8,MATCH(MOD($S805+$R805,4),Tables!$M$5:$M$8,0),MATCH($R806,Tables!$N$4:$Q$4,0))</f>
        <v>3040</v>
      </c>
      <c r="T806" s="2" t="str">
        <f t="shared" si="198"/>
        <v>0BE0</v>
      </c>
      <c r="U806" s="2">
        <f t="shared" si="204"/>
        <v>760</v>
      </c>
      <c r="V806" s="2" t="str">
        <f t="shared" si="199"/>
        <v>2F8</v>
      </c>
      <c r="W806" s="2" t="str">
        <f t="shared" si="200"/>
        <v>X</v>
      </c>
      <c r="X806" s="2" t="str">
        <f t="shared" si="203"/>
        <v>X</v>
      </c>
      <c r="Y806" s="2" t="str">
        <f t="shared" si="201"/>
        <v>X</v>
      </c>
      <c r="Z806" s="2" t="str">
        <f t="shared" si="202"/>
        <v>X</v>
      </c>
      <c r="AA806" s="2" t="str">
        <f t="shared" si="205"/>
        <v>(31 downto 24)</v>
      </c>
      <c r="AB806" s="2" t="str">
        <f t="shared" si="206"/>
        <v>(23 downto 16)</v>
      </c>
      <c r="AC806" s="2" t="str">
        <f t="shared" si="207"/>
        <v>(15 downto 8)</v>
      </c>
      <c r="AD806" s="2" t="str">
        <f t="shared" si="208"/>
        <v>(7 downto 0)</v>
      </c>
      <c r="AE806" s="2" t="str">
        <f t="shared" si="209"/>
        <v>(31 downto 24)</v>
      </c>
      <c r="AF806" s="2" t="str">
        <f t="shared" si="210"/>
        <v>(23 downto 16)</v>
      </c>
      <c r="AG806" s="2" t="str">
        <f t="shared" si="211"/>
        <v>(15 downto 8)</v>
      </c>
      <c r="AH806" s="2" t="str">
        <f t="shared" si="212"/>
        <v>(7 downto 0)</v>
      </c>
    </row>
    <row r="807" spans="2:34" x14ac:dyDescent="0.25">
      <c r="B807" s="2" t="s">
        <v>2236</v>
      </c>
      <c r="C807" s="2" t="s">
        <v>141</v>
      </c>
      <c r="D807" s="2" t="s">
        <v>0</v>
      </c>
      <c r="E807" s="2" t="s">
        <v>130</v>
      </c>
      <c r="F807" s="2" t="s">
        <v>2237</v>
      </c>
      <c r="G807" s="2" t="s">
        <v>2238</v>
      </c>
      <c r="H807" s="2" t="s">
        <v>142</v>
      </c>
      <c r="I807" s="2" t="s">
        <v>41</v>
      </c>
      <c r="J807" s="2">
        <v>32</v>
      </c>
      <c r="K807" s="2" t="s">
        <v>132</v>
      </c>
      <c r="L807" s="2" t="s">
        <v>40</v>
      </c>
      <c r="P807" s="2" t="s">
        <v>48</v>
      </c>
      <c r="Q807" s="2">
        <f>INDEX(Tables!$C$4:$C$28,MATCH($P807,Tables!$B$4:$B$28,0))</f>
        <v>32</v>
      </c>
      <c r="R807" s="2">
        <f>INDEX(Tables!$D$4:$D$28,MATCH($P807,Tables!$B$4:$B$28,0))</f>
        <v>4</v>
      </c>
      <c r="S807" s="2">
        <f>$S806+$R806+INDEX(Tables!$N$5:$Q$8,MATCH(MOD($S806+$R806,4),Tables!$M$5:$M$8,0),MATCH($R807,Tables!$N$4:$Q$4,0))</f>
        <v>3044</v>
      </c>
      <c r="T807" s="2" t="str">
        <f t="shared" si="198"/>
        <v>0BE4</v>
      </c>
      <c r="U807" s="2">
        <f t="shared" si="204"/>
        <v>761</v>
      </c>
      <c r="V807" s="2" t="str">
        <f t="shared" si="199"/>
        <v>2F9</v>
      </c>
      <c r="W807" s="2" t="str">
        <f t="shared" si="200"/>
        <v>X</v>
      </c>
      <c r="X807" s="2" t="str">
        <f t="shared" si="203"/>
        <v>X</v>
      </c>
      <c r="Y807" s="2" t="str">
        <f t="shared" si="201"/>
        <v>X</v>
      </c>
      <c r="Z807" s="2" t="str">
        <f t="shared" si="202"/>
        <v>X</v>
      </c>
      <c r="AA807" s="2" t="str">
        <f t="shared" si="205"/>
        <v>(31 downto 24)</v>
      </c>
      <c r="AB807" s="2" t="str">
        <f t="shared" si="206"/>
        <v>(23 downto 16)</v>
      </c>
      <c r="AC807" s="2" t="str">
        <f t="shared" si="207"/>
        <v>(15 downto 8)</v>
      </c>
      <c r="AD807" s="2" t="str">
        <f t="shared" si="208"/>
        <v>(7 downto 0)</v>
      </c>
      <c r="AE807" s="2" t="str">
        <f t="shared" si="209"/>
        <v>(31 downto 24)</v>
      </c>
      <c r="AF807" s="2" t="str">
        <f t="shared" si="210"/>
        <v>(23 downto 16)</v>
      </c>
      <c r="AG807" s="2" t="str">
        <f t="shared" si="211"/>
        <v>(15 downto 8)</v>
      </c>
      <c r="AH807" s="2" t="str">
        <f t="shared" si="212"/>
        <v>(7 downto 0)</v>
      </c>
    </row>
    <row r="808" spans="2:34" x14ac:dyDescent="0.25">
      <c r="B808" s="2" t="s">
        <v>2239</v>
      </c>
      <c r="C808" s="2" t="s">
        <v>141</v>
      </c>
      <c r="D808" s="2" t="s">
        <v>0</v>
      </c>
      <c r="E808" s="2" t="s">
        <v>130</v>
      </c>
      <c r="F808" s="2" t="s">
        <v>2240</v>
      </c>
      <c r="G808" s="2" t="s">
        <v>2241</v>
      </c>
      <c r="H808" s="2" t="s">
        <v>142</v>
      </c>
      <c r="I808" s="2" t="s">
        <v>41</v>
      </c>
      <c r="J808" s="2">
        <v>32</v>
      </c>
      <c r="K808" s="2" t="s">
        <v>132</v>
      </c>
      <c r="L808" s="2" t="s">
        <v>40</v>
      </c>
      <c r="P808" s="2" t="s">
        <v>48</v>
      </c>
      <c r="Q808" s="2">
        <f>INDEX(Tables!$C$4:$C$28,MATCH($P808,Tables!$B$4:$B$28,0))</f>
        <v>32</v>
      </c>
      <c r="R808" s="2">
        <f>INDEX(Tables!$D$4:$D$28,MATCH($P808,Tables!$B$4:$B$28,0))</f>
        <v>4</v>
      </c>
      <c r="S808" s="2">
        <f>$S807+$R807+INDEX(Tables!$N$5:$Q$8,MATCH(MOD($S807+$R807,4),Tables!$M$5:$M$8,0),MATCH($R808,Tables!$N$4:$Q$4,0))</f>
        <v>3048</v>
      </c>
      <c r="T808" s="2" t="str">
        <f t="shared" si="198"/>
        <v>0BE8</v>
      </c>
      <c r="U808" s="2">
        <f t="shared" si="204"/>
        <v>762</v>
      </c>
      <c r="V808" s="2" t="str">
        <f t="shared" si="199"/>
        <v>2FA</v>
      </c>
      <c r="W808" s="2" t="str">
        <f t="shared" si="200"/>
        <v>X</v>
      </c>
      <c r="X808" s="2" t="str">
        <f t="shared" si="203"/>
        <v>X</v>
      </c>
      <c r="Y808" s="2" t="str">
        <f t="shared" si="201"/>
        <v>X</v>
      </c>
      <c r="Z808" s="2" t="str">
        <f t="shared" si="202"/>
        <v>X</v>
      </c>
      <c r="AA808" s="2" t="str">
        <f t="shared" si="205"/>
        <v>(31 downto 24)</v>
      </c>
      <c r="AB808" s="2" t="str">
        <f t="shared" si="206"/>
        <v>(23 downto 16)</v>
      </c>
      <c r="AC808" s="2" t="str">
        <f t="shared" si="207"/>
        <v>(15 downto 8)</v>
      </c>
      <c r="AD808" s="2" t="str">
        <f t="shared" si="208"/>
        <v>(7 downto 0)</v>
      </c>
      <c r="AE808" s="2" t="str">
        <f t="shared" si="209"/>
        <v>(31 downto 24)</v>
      </c>
      <c r="AF808" s="2" t="str">
        <f t="shared" si="210"/>
        <v>(23 downto 16)</v>
      </c>
      <c r="AG808" s="2" t="str">
        <f t="shared" si="211"/>
        <v>(15 downto 8)</v>
      </c>
      <c r="AH808" s="2" t="str">
        <f t="shared" si="212"/>
        <v>(7 downto 0)</v>
      </c>
    </row>
    <row r="809" spans="2:34" x14ac:dyDescent="0.25">
      <c r="B809" s="2" t="s">
        <v>2242</v>
      </c>
      <c r="C809" s="2" t="s">
        <v>141</v>
      </c>
      <c r="D809" s="2" t="s">
        <v>0</v>
      </c>
      <c r="E809" s="2" t="s">
        <v>130</v>
      </c>
      <c r="F809" s="2" t="s">
        <v>2243</v>
      </c>
      <c r="G809" s="2" t="s">
        <v>2244</v>
      </c>
      <c r="H809" s="2" t="s">
        <v>142</v>
      </c>
      <c r="I809" s="2" t="s">
        <v>41</v>
      </c>
      <c r="J809" s="2">
        <v>32</v>
      </c>
      <c r="K809" s="2" t="s">
        <v>132</v>
      </c>
      <c r="L809" s="2" t="s">
        <v>40</v>
      </c>
      <c r="P809" s="2" t="s">
        <v>48</v>
      </c>
      <c r="Q809" s="2">
        <f>INDEX(Tables!$C$4:$C$28,MATCH($P809,Tables!$B$4:$B$28,0))</f>
        <v>32</v>
      </c>
      <c r="R809" s="2">
        <f>INDEX(Tables!$D$4:$D$28,MATCH($P809,Tables!$B$4:$B$28,0))</f>
        <v>4</v>
      </c>
      <c r="S809" s="2">
        <f>$S808+$R808+INDEX(Tables!$N$5:$Q$8,MATCH(MOD($S808+$R808,4),Tables!$M$5:$M$8,0),MATCH($R809,Tables!$N$4:$Q$4,0))</f>
        <v>3052</v>
      </c>
      <c r="T809" s="2" t="str">
        <f t="shared" si="198"/>
        <v>0BEC</v>
      </c>
      <c r="U809" s="2">
        <f t="shared" si="204"/>
        <v>763</v>
      </c>
      <c r="V809" s="2" t="str">
        <f t="shared" si="199"/>
        <v>2FB</v>
      </c>
      <c r="W809" s="2" t="str">
        <f t="shared" si="200"/>
        <v>X</v>
      </c>
      <c r="X809" s="2" t="str">
        <f t="shared" si="203"/>
        <v>X</v>
      </c>
      <c r="Y809" s="2" t="str">
        <f t="shared" si="201"/>
        <v>X</v>
      </c>
      <c r="Z809" s="2" t="str">
        <f t="shared" si="202"/>
        <v>X</v>
      </c>
      <c r="AA809" s="2" t="str">
        <f t="shared" si="205"/>
        <v>(31 downto 24)</v>
      </c>
      <c r="AB809" s="2" t="str">
        <f t="shared" si="206"/>
        <v>(23 downto 16)</v>
      </c>
      <c r="AC809" s="2" t="str">
        <f t="shared" si="207"/>
        <v>(15 downto 8)</v>
      </c>
      <c r="AD809" s="2" t="str">
        <f t="shared" si="208"/>
        <v>(7 downto 0)</v>
      </c>
      <c r="AE809" s="2" t="str">
        <f t="shared" si="209"/>
        <v>(31 downto 24)</v>
      </c>
      <c r="AF809" s="2" t="str">
        <f t="shared" si="210"/>
        <v>(23 downto 16)</v>
      </c>
      <c r="AG809" s="2" t="str">
        <f t="shared" si="211"/>
        <v>(15 downto 8)</v>
      </c>
      <c r="AH809" s="2" t="str">
        <f t="shared" si="212"/>
        <v>(7 downto 0)</v>
      </c>
    </row>
    <row r="810" spans="2:34" x14ac:dyDescent="0.25">
      <c r="B810" s="2" t="s">
        <v>2245</v>
      </c>
      <c r="C810" s="2" t="s">
        <v>141</v>
      </c>
      <c r="D810" s="2" t="s">
        <v>0</v>
      </c>
      <c r="E810" s="2" t="s">
        <v>130</v>
      </c>
      <c r="F810" s="2" t="s">
        <v>2246</v>
      </c>
      <c r="G810" s="2" t="s">
        <v>2247</v>
      </c>
      <c r="H810" s="2" t="s">
        <v>142</v>
      </c>
      <c r="I810" s="2" t="s">
        <v>41</v>
      </c>
      <c r="J810" s="2">
        <v>32</v>
      </c>
      <c r="K810" s="2" t="s">
        <v>132</v>
      </c>
      <c r="L810" s="2" t="s">
        <v>40</v>
      </c>
      <c r="P810" s="2" t="s">
        <v>48</v>
      </c>
      <c r="Q810" s="2">
        <f>INDEX(Tables!$C$4:$C$28,MATCH($P810,Tables!$B$4:$B$28,0))</f>
        <v>32</v>
      </c>
      <c r="R810" s="2">
        <f>INDEX(Tables!$D$4:$D$28,MATCH($P810,Tables!$B$4:$B$28,0))</f>
        <v>4</v>
      </c>
      <c r="S810" s="2">
        <f>$S809+$R809+INDEX(Tables!$N$5:$Q$8,MATCH(MOD($S809+$R809,4),Tables!$M$5:$M$8,0),MATCH($R810,Tables!$N$4:$Q$4,0))</f>
        <v>3056</v>
      </c>
      <c r="T810" s="2" t="str">
        <f t="shared" si="198"/>
        <v>0BF0</v>
      </c>
      <c r="U810" s="2">
        <f t="shared" si="204"/>
        <v>764</v>
      </c>
      <c r="V810" s="2" t="str">
        <f t="shared" si="199"/>
        <v>2FC</v>
      </c>
      <c r="W810" s="2" t="str">
        <f t="shared" si="200"/>
        <v>X</v>
      </c>
      <c r="X810" s="2" t="str">
        <f t="shared" si="203"/>
        <v>X</v>
      </c>
      <c r="Y810" s="2" t="str">
        <f t="shared" si="201"/>
        <v>X</v>
      </c>
      <c r="Z810" s="2" t="str">
        <f t="shared" si="202"/>
        <v>X</v>
      </c>
      <c r="AA810" s="2" t="str">
        <f t="shared" si="205"/>
        <v>(31 downto 24)</v>
      </c>
      <c r="AB810" s="2" t="str">
        <f t="shared" si="206"/>
        <v>(23 downto 16)</v>
      </c>
      <c r="AC810" s="2" t="str">
        <f t="shared" si="207"/>
        <v>(15 downto 8)</v>
      </c>
      <c r="AD810" s="2" t="str">
        <f t="shared" si="208"/>
        <v>(7 downto 0)</v>
      </c>
      <c r="AE810" s="2" t="str">
        <f t="shared" si="209"/>
        <v>(31 downto 24)</v>
      </c>
      <c r="AF810" s="2" t="str">
        <f t="shared" si="210"/>
        <v>(23 downto 16)</v>
      </c>
      <c r="AG810" s="2" t="str">
        <f t="shared" si="211"/>
        <v>(15 downto 8)</v>
      </c>
      <c r="AH810" s="2" t="str">
        <f t="shared" si="212"/>
        <v>(7 downto 0)</v>
      </c>
    </row>
    <row r="811" spans="2:34" x14ac:dyDescent="0.25">
      <c r="B811" s="2" t="s">
        <v>2248</v>
      </c>
      <c r="C811" s="2" t="s">
        <v>141</v>
      </c>
      <c r="D811" s="2" t="s">
        <v>0</v>
      </c>
      <c r="E811" s="2" t="s">
        <v>130</v>
      </c>
      <c r="F811" s="2" t="s">
        <v>2249</v>
      </c>
      <c r="G811" s="2" t="s">
        <v>2250</v>
      </c>
      <c r="H811" s="2" t="s">
        <v>142</v>
      </c>
      <c r="I811" s="2" t="s">
        <v>41</v>
      </c>
      <c r="J811" s="2">
        <v>32</v>
      </c>
      <c r="K811" s="2" t="s">
        <v>132</v>
      </c>
      <c r="L811" s="2" t="s">
        <v>40</v>
      </c>
      <c r="P811" s="2" t="s">
        <v>48</v>
      </c>
      <c r="Q811" s="2">
        <f>INDEX(Tables!$C$4:$C$28,MATCH($P811,Tables!$B$4:$B$28,0))</f>
        <v>32</v>
      </c>
      <c r="R811" s="2">
        <f>INDEX(Tables!$D$4:$D$28,MATCH($P811,Tables!$B$4:$B$28,0))</f>
        <v>4</v>
      </c>
      <c r="S811" s="2">
        <f>$S810+$R810+INDEX(Tables!$N$5:$Q$8,MATCH(MOD($S810+$R810,4),Tables!$M$5:$M$8,0),MATCH($R811,Tables!$N$4:$Q$4,0))</f>
        <v>3060</v>
      </c>
      <c r="T811" s="2" t="str">
        <f t="shared" si="198"/>
        <v>0BF4</v>
      </c>
      <c r="U811" s="2">
        <f t="shared" si="204"/>
        <v>765</v>
      </c>
      <c r="V811" s="2" t="str">
        <f t="shared" si="199"/>
        <v>2FD</v>
      </c>
      <c r="W811" s="2" t="str">
        <f t="shared" si="200"/>
        <v>X</v>
      </c>
      <c r="X811" s="2" t="str">
        <f t="shared" si="203"/>
        <v>X</v>
      </c>
      <c r="Y811" s="2" t="str">
        <f t="shared" si="201"/>
        <v>X</v>
      </c>
      <c r="Z811" s="2" t="str">
        <f t="shared" si="202"/>
        <v>X</v>
      </c>
      <c r="AA811" s="2" t="str">
        <f t="shared" si="205"/>
        <v>(31 downto 24)</v>
      </c>
      <c r="AB811" s="2" t="str">
        <f t="shared" si="206"/>
        <v>(23 downto 16)</v>
      </c>
      <c r="AC811" s="2" t="str">
        <f t="shared" si="207"/>
        <v>(15 downto 8)</v>
      </c>
      <c r="AD811" s="2" t="str">
        <f t="shared" si="208"/>
        <v>(7 downto 0)</v>
      </c>
      <c r="AE811" s="2" t="str">
        <f t="shared" si="209"/>
        <v>(31 downto 24)</v>
      </c>
      <c r="AF811" s="2" t="str">
        <f t="shared" si="210"/>
        <v>(23 downto 16)</v>
      </c>
      <c r="AG811" s="2" t="str">
        <f t="shared" si="211"/>
        <v>(15 downto 8)</v>
      </c>
      <c r="AH811" s="2" t="str">
        <f t="shared" si="212"/>
        <v>(7 downto 0)</v>
      </c>
    </row>
    <row r="812" spans="2:34" x14ac:dyDescent="0.25">
      <c r="B812" s="2" t="s">
        <v>2251</v>
      </c>
      <c r="C812" s="2" t="s">
        <v>141</v>
      </c>
      <c r="D812" s="2" t="s">
        <v>0</v>
      </c>
      <c r="E812" s="2" t="s">
        <v>130</v>
      </c>
      <c r="F812" s="2" t="s">
        <v>2252</v>
      </c>
      <c r="G812" s="2" t="s">
        <v>2253</v>
      </c>
      <c r="H812" s="2" t="s">
        <v>142</v>
      </c>
      <c r="I812" s="2" t="s">
        <v>41</v>
      </c>
      <c r="J812" s="2">
        <v>32</v>
      </c>
      <c r="K812" s="2" t="s">
        <v>132</v>
      </c>
      <c r="L812" s="2" t="s">
        <v>40</v>
      </c>
      <c r="P812" s="2" t="s">
        <v>48</v>
      </c>
      <c r="Q812" s="2">
        <f>INDEX(Tables!$C$4:$C$28,MATCH($P812,Tables!$B$4:$B$28,0))</f>
        <v>32</v>
      </c>
      <c r="R812" s="2">
        <f>INDEX(Tables!$D$4:$D$28,MATCH($P812,Tables!$B$4:$B$28,0))</f>
        <v>4</v>
      </c>
      <c r="S812" s="2">
        <f>$S811+$R811+INDEX(Tables!$N$5:$Q$8,MATCH(MOD($S811+$R811,4),Tables!$M$5:$M$8,0),MATCH($R812,Tables!$N$4:$Q$4,0))</f>
        <v>3064</v>
      </c>
      <c r="T812" s="2" t="str">
        <f t="shared" si="198"/>
        <v>0BF8</v>
      </c>
      <c r="U812" s="2">
        <f t="shared" si="204"/>
        <v>766</v>
      </c>
      <c r="V812" s="2" t="str">
        <f t="shared" si="199"/>
        <v>2FE</v>
      </c>
      <c r="W812" s="2" t="str">
        <f t="shared" si="200"/>
        <v>X</v>
      </c>
      <c r="X812" s="2" t="str">
        <f t="shared" si="203"/>
        <v>X</v>
      </c>
      <c r="Y812" s="2" t="str">
        <f t="shared" si="201"/>
        <v>X</v>
      </c>
      <c r="Z812" s="2" t="str">
        <f t="shared" si="202"/>
        <v>X</v>
      </c>
      <c r="AA812" s="2" t="str">
        <f t="shared" si="205"/>
        <v>(31 downto 24)</v>
      </c>
      <c r="AB812" s="2" t="str">
        <f t="shared" si="206"/>
        <v>(23 downto 16)</v>
      </c>
      <c r="AC812" s="2" t="str">
        <f t="shared" si="207"/>
        <v>(15 downto 8)</v>
      </c>
      <c r="AD812" s="2" t="str">
        <f t="shared" si="208"/>
        <v>(7 downto 0)</v>
      </c>
      <c r="AE812" s="2" t="str">
        <f t="shared" si="209"/>
        <v>(31 downto 24)</v>
      </c>
      <c r="AF812" s="2" t="str">
        <f t="shared" si="210"/>
        <v>(23 downto 16)</v>
      </c>
      <c r="AG812" s="2" t="str">
        <f t="shared" si="211"/>
        <v>(15 downto 8)</v>
      </c>
      <c r="AH812" s="2" t="str">
        <f t="shared" si="212"/>
        <v>(7 downto 0)</v>
      </c>
    </row>
    <row r="813" spans="2:34" x14ac:dyDescent="0.25">
      <c r="B813" s="2" t="s">
        <v>2254</v>
      </c>
      <c r="C813" s="2" t="s">
        <v>141</v>
      </c>
      <c r="D813" s="2" t="s">
        <v>0</v>
      </c>
      <c r="E813" s="2" t="s">
        <v>130</v>
      </c>
      <c r="F813" s="2" t="s">
        <v>2255</v>
      </c>
      <c r="G813" s="2" t="s">
        <v>2256</v>
      </c>
      <c r="H813" s="2" t="s">
        <v>142</v>
      </c>
      <c r="I813" s="2" t="s">
        <v>41</v>
      </c>
      <c r="J813" s="2">
        <v>32</v>
      </c>
      <c r="K813" s="2" t="s">
        <v>132</v>
      </c>
      <c r="L813" s="2" t="s">
        <v>40</v>
      </c>
      <c r="P813" s="2" t="s">
        <v>48</v>
      </c>
      <c r="Q813" s="2">
        <f>INDEX(Tables!$C$4:$C$28,MATCH($P813,Tables!$B$4:$B$28,0))</f>
        <v>32</v>
      </c>
      <c r="R813" s="2">
        <f>INDEX(Tables!$D$4:$D$28,MATCH($P813,Tables!$B$4:$B$28,0))</f>
        <v>4</v>
      </c>
      <c r="S813" s="2">
        <f>$S812+$R812+INDEX(Tables!$N$5:$Q$8,MATCH(MOD($S812+$R812,4),Tables!$M$5:$M$8,0),MATCH($R813,Tables!$N$4:$Q$4,0))</f>
        <v>3068</v>
      </c>
      <c r="T813" s="2" t="str">
        <f t="shared" si="198"/>
        <v>0BFC</v>
      </c>
      <c r="U813" s="2">
        <f t="shared" si="204"/>
        <v>767</v>
      </c>
      <c r="V813" s="2" t="str">
        <f t="shared" si="199"/>
        <v>2FF</v>
      </c>
      <c r="W813" s="2" t="str">
        <f t="shared" si="200"/>
        <v>X</v>
      </c>
      <c r="X813" s="2" t="str">
        <f t="shared" si="203"/>
        <v>X</v>
      </c>
      <c r="Y813" s="2" t="str">
        <f t="shared" si="201"/>
        <v>X</v>
      </c>
      <c r="Z813" s="2" t="str">
        <f t="shared" si="202"/>
        <v>X</v>
      </c>
      <c r="AA813" s="2" t="str">
        <f t="shared" si="205"/>
        <v>(31 downto 24)</v>
      </c>
      <c r="AB813" s="2" t="str">
        <f t="shared" si="206"/>
        <v>(23 downto 16)</v>
      </c>
      <c r="AC813" s="2" t="str">
        <f t="shared" si="207"/>
        <v>(15 downto 8)</v>
      </c>
      <c r="AD813" s="2" t="str">
        <f t="shared" si="208"/>
        <v>(7 downto 0)</v>
      </c>
      <c r="AE813" s="2" t="str">
        <f t="shared" si="209"/>
        <v>(31 downto 24)</v>
      </c>
      <c r="AF813" s="2" t="str">
        <f t="shared" si="210"/>
        <v>(23 downto 16)</v>
      </c>
      <c r="AG813" s="2" t="str">
        <f t="shared" si="211"/>
        <v>(15 downto 8)</v>
      </c>
      <c r="AH813" s="2" t="str">
        <f t="shared" si="212"/>
        <v>(7 downto 0)</v>
      </c>
    </row>
    <row r="814" spans="2:34" x14ac:dyDescent="0.25">
      <c r="B814" s="2" t="s">
        <v>2257</v>
      </c>
      <c r="C814" s="2" t="s">
        <v>141</v>
      </c>
      <c r="D814" s="2" t="s">
        <v>0</v>
      </c>
      <c r="E814" s="2" t="s">
        <v>130</v>
      </c>
      <c r="F814" s="2" t="s">
        <v>2258</v>
      </c>
      <c r="G814" s="2" t="s">
        <v>2259</v>
      </c>
      <c r="H814" s="2" t="s">
        <v>142</v>
      </c>
      <c r="I814" s="2" t="s">
        <v>41</v>
      </c>
      <c r="J814" s="2">
        <v>32</v>
      </c>
      <c r="K814" s="2" t="s">
        <v>132</v>
      </c>
      <c r="L814" s="2" t="s">
        <v>40</v>
      </c>
      <c r="P814" s="2" t="s">
        <v>48</v>
      </c>
      <c r="Q814" s="2">
        <f>INDEX(Tables!$C$4:$C$28,MATCH($P814,Tables!$B$4:$B$28,0))</f>
        <v>32</v>
      </c>
      <c r="R814" s="2">
        <f>INDEX(Tables!$D$4:$D$28,MATCH($P814,Tables!$B$4:$B$28,0))</f>
        <v>4</v>
      </c>
      <c r="S814" s="2">
        <f>$S813+$R813+INDEX(Tables!$N$5:$Q$8,MATCH(MOD($S813+$R813,4),Tables!$M$5:$M$8,0),MATCH($R814,Tables!$N$4:$Q$4,0))</f>
        <v>3072</v>
      </c>
      <c r="T814" s="2" t="str">
        <f t="shared" si="198"/>
        <v>0C00</v>
      </c>
      <c r="U814" s="2">
        <f t="shared" si="204"/>
        <v>768</v>
      </c>
      <c r="V814" s="2" t="str">
        <f t="shared" si="199"/>
        <v>300</v>
      </c>
      <c r="W814" s="2" t="str">
        <f t="shared" si="200"/>
        <v>X</v>
      </c>
      <c r="X814" s="2" t="str">
        <f t="shared" si="203"/>
        <v>X</v>
      </c>
      <c r="Y814" s="2" t="str">
        <f t="shared" si="201"/>
        <v>X</v>
      </c>
      <c r="Z814" s="2" t="str">
        <f t="shared" si="202"/>
        <v>X</v>
      </c>
      <c r="AA814" s="2" t="str">
        <f t="shared" si="205"/>
        <v>(31 downto 24)</v>
      </c>
      <c r="AB814" s="2" t="str">
        <f t="shared" si="206"/>
        <v>(23 downto 16)</v>
      </c>
      <c r="AC814" s="2" t="str">
        <f t="shared" si="207"/>
        <v>(15 downto 8)</v>
      </c>
      <c r="AD814" s="2" t="str">
        <f t="shared" si="208"/>
        <v>(7 downto 0)</v>
      </c>
      <c r="AE814" s="2" t="str">
        <f t="shared" si="209"/>
        <v>(31 downto 24)</v>
      </c>
      <c r="AF814" s="2" t="str">
        <f t="shared" si="210"/>
        <v>(23 downto 16)</v>
      </c>
      <c r="AG814" s="2" t="str">
        <f t="shared" si="211"/>
        <v>(15 downto 8)</v>
      </c>
      <c r="AH814" s="2" t="str">
        <f t="shared" si="212"/>
        <v>(7 downto 0)</v>
      </c>
    </row>
    <row r="815" spans="2:34" x14ac:dyDescent="0.25">
      <c r="B815" s="2" t="s">
        <v>2260</v>
      </c>
      <c r="C815" s="2" t="s">
        <v>141</v>
      </c>
      <c r="D815" s="2" t="s">
        <v>0</v>
      </c>
      <c r="E815" s="2" t="s">
        <v>130</v>
      </c>
      <c r="F815" s="2" t="s">
        <v>2261</v>
      </c>
      <c r="G815" s="2" t="s">
        <v>2262</v>
      </c>
      <c r="H815" s="2" t="s">
        <v>142</v>
      </c>
      <c r="I815" s="2" t="s">
        <v>41</v>
      </c>
      <c r="J815" s="2">
        <v>32</v>
      </c>
      <c r="K815" s="2" t="s">
        <v>132</v>
      </c>
      <c r="L815" s="2" t="s">
        <v>40</v>
      </c>
      <c r="P815" s="2" t="s">
        <v>48</v>
      </c>
      <c r="Q815" s="2">
        <f>INDEX(Tables!$C$4:$C$28,MATCH($P815,Tables!$B$4:$B$28,0))</f>
        <v>32</v>
      </c>
      <c r="R815" s="2">
        <f>INDEX(Tables!$D$4:$D$28,MATCH($P815,Tables!$B$4:$B$28,0))</f>
        <v>4</v>
      </c>
      <c r="S815" s="2">
        <f>$S814+$R814+INDEX(Tables!$N$5:$Q$8,MATCH(MOD($S814+$R814,4),Tables!$M$5:$M$8,0),MATCH($R815,Tables!$N$4:$Q$4,0))</f>
        <v>3076</v>
      </c>
      <c r="T815" s="2" t="str">
        <f t="shared" si="198"/>
        <v>0C04</v>
      </c>
      <c r="U815" s="2">
        <f t="shared" si="204"/>
        <v>769</v>
      </c>
      <c r="V815" s="2" t="str">
        <f t="shared" si="199"/>
        <v>301</v>
      </c>
      <c r="W815" s="2" t="str">
        <f t="shared" si="200"/>
        <v>X</v>
      </c>
      <c r="X815" s="2" t="str">
        <f t="shared" si="203"/>
        <v>X</v>
      </c>
      <c r="Y815" s="2" t="str">
        <f t="shared" si="201"/>
        <v>X</v>
      </c>
      <c r="Z815" s="2" t="str">
        <f t="shared" si="202"/>
        <v>X</v>
      </c>
      <c r="AA815" s="2" t="str">
        <f t="shared" si="205"/>
        <v>(31 downto 24)</v>
      </c>
      <c r="AB815" s="2" t="str">
        <f t="shared" si="206"/>
        <v>(23 downto 16)</v>
      </c>
      <c r="AC815" s="2" t="str">
        <f t="shared" si="207"/>
        <v>(15 downto 8)</v>
      </c>
      <c r="AD815" s="2" t="str">
        <f t="shared" si="208"/>
        <v>(7 downto 0)</v>
      </c>
      <c r="AE815" s="2" t="str">
        <f t="shared" si="209"/>
        <v>(31 downto 24)</v>
      </c>
      <c r="AF815" s="2" t="str">
        <f t="shared" si="210"/>
        <v>(23 downto 16)</v>
      </c>
      <c r="AG815" s="2" t="str">
        <f t="shared" si="211"/>
        <v>(15 downto 8)</v>
      </c>
      <c r="AH815" s="2" t="str">
        <f t="shared" si="212"/>
        <v>(7 downto 0)</v>
      </c>
    </row>
    <row r="816" spans="2:34" x14ac:dyDescent="0.25">
      <c r="B816" s="2" t="s">
        <v>2263</v>
      </c>
      <c r="C816" s="2" t="s">
        <v>141</v>
      </c>
      <c r="D816" s="2" t="s">
        <v>0</v>
      </c>
      <c r="E816" s="2" t="s">
        <v>130</v>
      </c>
      <c r="F816" s="2" t="s">
        <v>2264</v>
      </c>
      <c r="G816" s="2" t="s">
        <v>2265</v>
      </c>
      <c r="H816" s="2" t="s">
        <v>142</v>
      </c>
      <c r="I816" s="2" t="s">
        <v>41</v>
      </c>
      <c r="J816" s="2">
        <v>32</v>
      </c>
      <c r="K816" s="2" t="s">
        <v>132</v>
      </c>
      <c r="L816" s="2" t="s">
        <v>40</v>
      </c>
      <c r="P816" s="2" t="s">
        <v>48</v>
      </c>
      <c r="Q816" s="2">
        <f>INDEX(Tables!$C$4:$C$28,MATCH($P816,Tables!$B$4:$B$28,0))</f>
        <v>32</v>
      </c>
      <c r="R816" s="2">
        <f>INDEX(Tables!$D$4:$D$28,MATCH($P816,Tables!$B$4:$B$28,0))</f>
        <v>4</v>
      </c>
      <c r="S816" s="2">
        <f>$S815+$R815+INDEX(Tables!$N$5:$Q$8,MATCH(MOD($S815+$R815,4),Tables!$M$5:$M$8,0),MATCH($R816,Tables!$N$4:$Q$4,0))</f>
        <v>3080</v>
      </c>
      <c r="T816" s="2" t="str">
        <f t="shared" si="198"/>
        <v>0C08</v>
      </c>
      <c r="U816" s="2">
        <f t="shared" si="204"/>
        <v>770</v>
      </c>
      <c r="V816" s="2" t="str">
        <f t="shared" si="199"/>
        <v>302</v>
      </c>
      <c r="W816" s="2" t="str">
        <f t="shared" si="200"/>
        <v>X</v>
      </c>
      <c r="X816" s="2" t="str">
        <f t="shared" si="203"/>
        <v>X</v>
      </c>
      <c r="Y816" s="2" t="str">
        <f t="shared" si="201"/>
        <v>X</v>
      </c>
      <c r="Z816" s="2" t="str">
        <f t="shared" si="202"/>
        <v>X</v>
      </c>
      <c r="AA816" s="2" t="str">
        <f t="shared" si="205"/>
        <v>(31 downto 24)</v>
      </c>
      <c r="AB816" s="2" t="str">
        <f t="shared" si="206"/>
        <v>(23 downto 16)</v>
      </c>
      <c r="AC816" s="2" t="str">
        <f t="shared" si="207"/>
        <v>(15 downto 8)</v>
      </c>
      <c r="AD816" s="2" t="str">
        <f t="shared" si="208"/>
        <v>(7 downto 0)</v>
      </c>
      <c r="AE816" s="2" t="str">
        <f t="shared" si="209"/>
        <v>(31 downto 24)</v>
      </c>
      <c r="AF816" s="2" t="str">
        <f t="shared" si="210"/>
        <v>(23 downto 16)</v>
      </c>
      <c r="AG816" s="2" t="str">
        <f t="shared" si="211"/>
        <v>(15 downto 8)</v>
      </c>
      <c r="AH816" s="2" t="str">
        <f t="shared" si="212"/>
        <v>(7 downto 0)</v>
      </c>
    </row>
    <row r="817" spans="2:34" x14ac:dyDescent="0.25">
      <c r="B817" s="2" t="s">
        <v>2266</v>
      </c>
      <c r="C817" s="2" t="s">
        <v>141</v>
      </c>
      <c r="D817" s="2" t="s">
        <v>0</v>
      </c>
      <c r="E817" s="2" t="s">
        <v>130</v>
      </c>
      <c r="F817" s="2" t="s">
        <v>2267</v>
      </c>
      <c r="G817" s="2" t="s">
        <v>2268</v>
      </c>
      <c r="H817" s="2" t="s">
        <v>142</v>
      </c>
      <c r="I817" s="2" t="s">
        <v>41</v>
      </c>
      <c r="J817" s="2">
        <v>32</v>
      </c>
      <c r="K817" s="2" t="s">
        <v>132</v>
      </c>
      <c r="L817" s="2" t="s">
        <v>40</v>
      </c>
      <c r="P817" s="2" t="s">
        <v>48</v>
      </c>
      <c r="Q817" s="2">
        <f>INDEX(Tables!$C$4:$C$28,MATCH($P817,Tables!$B$4:$B$28,0))</f>
        <v>32</v>
      </c>
      <c r="R817" s="2">
        <f>INDEX(Tables!$D$4:$D$28,MATCH($P817,Tables!$B$4:$B$28,0))</f>
        <v>4</v>
      </c>
      <c r="S817" s="2">
        <f>$S816+$R816+INDEX(Tables!$N$5:$Q$8,MATCH(MOD($S816+$R816,4),Tables!$M$5:$M$8,0),MATCH($R817,Tables!$N$4:$Q$4,0))</f>
        <v>3084</v>
      </c>
      <c r="T817" s="2" t="str">
        <f t="shared" si="198"/>
        <v>0C0C</v>
      </c>
      <c r="U817" s="2">
        <f t="shared" si="204"/>
        <v>771</v>
      </c>
      <c r="V817" s="2" t="str">
        <f t="shared" si="199"/>
        <v>303</v>
      </c>
      <c r="W817" s="2" t="str">
        <f t="shared" si="200"/>
        <v>X</v>
      </c>
      <c r="X817" s="2" t="str">
        <f t="shared" si="203"/>
        <v>X</v>
      </c>
      <c r="Y817" s="2" t="str">
        <f t="shared" si="201"/>
        <v>X</v>
      </c>
      <c r="Z817" s="2" t="str">
        <f t="shared" si="202"/>
        <v>X</v>
      </c>
      <c r="AA817" s="2" t="str">
        <f t="shared" si="205"/>
        <v>(31 downto 24)</v>
      </c>
      <c r="AB817" s="2" t="str">
        <f t="shared" si="206"/>
        <v>(23 downto 16)</v>
      </c>
      <c r="AC817" s="2" t="str">
        <f t="shared" si="207"/>
        <v>(15 downto 8)</v>
      </c>
      <c r="AD817" s="2" t="str">
        <f t="shared" si="208"/>
        <v>(7 downto 0)</v>
      </c>
      <c r="AE817" s="2" t="str">
        <f t="shared" si="209"/>
        <v>(31 downto 24)</v>
      </c>
      <c r="AF817" s="2" t="str">
        <f t="shared" si="210"/>
        <v>(23 downto 16)</v>
      </c>
      <c r="AG817" s="2" t="str">
        <f t="shared" si="211"/>
        <v>(15 downto 8)</v>
      </c>
      <c r="AH817" s="2" t="str">
        <f t="shared" si="212"/>
        <v>(7 downto 0)</v>
      </c>
    </row>
    <row r="818" spans="2:34" x14ac:dyDescent="0.25">
      <c r="B818" s="2" t="s">
        <v>2269</v>
      </c>
      <c r="C818" s="2" t="s">
        <v>141</v>
      </c>
      <c r="D818" s="2" t="s">
        <v>0</v>
      </c>
      <c r="E818" s="2" t="s">
        <v>130</v>
      </c>
      <c r="F818" s="2" t="s">
        <v>2270</v>
      </c>
      <c r="G818" s="2" t="s">
        <v>2271</v>
      </c>
      <c r="H818" s="2" t="s">
        <v>142</v>
      </c>
      <c r="I818" s="2" t="s">
        <v>41</v>
      </c>
      <c r="J818" s="2">
        <v>32</v>
      </c>
      <c r="K818" s="2" t="s">
        <v>132</v>
      </c>
      <c r="L818" s="2" t="s">
        <v>40</v>
      </c>
      <c r="P818" s="2" t="s">
        <v>48</v>
      </c>
      <c r="Q818" s="2">
        <f>INDEX(Tables!$C$4:$C$28,MATCH($P818,Tables!$B$4:$B$28,0))</f>
        <v>32</v>
      </c>
      <c r="R818" s="2">
        <f>INDEX(Tables!$D$4:$D$28,MATCH($P818,Tables!$B$4:$B$28,0))</f>
        <v>4</v>
      </c>
      <c r="S818" s="2">
        <f>$S817+$R817+INDEX(Tables!$N$5:$Q$8,MATCH(MOD($S817+$R817,4),Tables!$M$5:$M$8,0),MATCH($R818,Tables!$N$4:$Q$4,0))</f>
        <v>3088</v>
      </c>
      <c r="T818" s="2" t="str">
        <f t="shared" si="198"/>
        <v>0C10</v>
      </c>
      <c r="U818" s="2">
        <f t="shared" si="204"/>
        <v>772</v>
      </c>
      <c r="V818" s="2" t="str">
        <f t="shared" si="199"/>
        <v>304</v>
      </c>
      <c r="W818" s="2" t="str">
        <f t="shared" si="200"/>
        <v>X</v>
      </c>
      <c r="X818" s="2" t="str">
        <f t="shared" si="203"/>
        <v>X</v>
      </c>
      <c r="Y818" s="2" t="str">
        <f t="shared" si="201"/>
        <v>X</v>
      </c>
      <c r="Z818" s="2" t="str">
        <f t="shared" si="202"/>
        <v>X</v>
      </c>
      <c r="AA818" s="2" t="str">
        <f t="shared" si="205"/>
        <v>(31 downto 24)</v>
      </c>
      <c r="AB818" s="2" t="str">
        <f t="shared" si="206"/>
        <v>(23 downto 16)</v>
      </c>
      <c r="AC818" s="2" t="str">
        <f t="shared" si="207"/>
        <v>(15 downto 8)</v>
      </c>
      <c r="AD818" s="2" t="str">
        <f t="shared" si="208"/>
        <v>(7 downto 0)</v>
      </c>
      <c r="AE818" s="2" t="str">
        <f t="shared" si="209"/>
        <v>(31 downto 24)</v>
      </c>
      <c r="AF818" s="2" t="str">
        <f t="shared" si="210"/>
        <v>(23 downto 16)</v>
      </c>
      <c r="AG818" s="2" t="str">
        <f t="shared" si="211"/>
        <v>(15 downto 8)</v>
      </c>
      <c r="AH818" s="2" t="str">
        <f t="shared" si="212"/>
        <v>(7 downto 0)</v>
      </c>
    </row>
    <row r="819" spans="2:34" x14ac:dyDescent="0.25">
      <c r="B819" s="2" t="s">
        <v>2272</v>
      </c>
      <c r="C819" s="2" t="s">
        <v>141</v>
      </c>
      <c r="D819" s="2" t="s">
        <v>0</v>
      </c>
      <c r="E819" s="2" t="s">
        <v>130</v>
      </c>
      <c r="F819" s="2" t="s">
        <v>2273</v>
      </c>
      <c r="G819" s="2" t="s">
        <v>2274</v>
      </c>
      <c r="H819" s="2" t="s">
        <v>142</v>
      </c>
      <c r="I819" s="2" t="s">
        <v>41</v>
      </c>
      <c r="J819" s="2">
        <v>32</v>
      </c>
      <c r="K819" s="2" t="s">
        <v>132</v>
      </c>
      <c r="L819" s="2" t="s">
        <v>40</v>
      </c>
      <c r="P819" s="2" t="s">
        <v>48</v>
      </c>
      <c r="Q819" s="2">
        <f>INDEX(Tables!$C$4:$C$28,MATCH($P819,Tables!$B$4:$B$28,0))</f>
        <v>32</v>
      </c>
      <c r="R819" s="2">
        <f>INDEX(Tables!$D$4:$D$28,MATCH($P819,Tables!$B$4:$B$28,0))</f>
        <v>4</v>
      </c>
      <c r="S819" s="2">
        <f>$S818+$R818+INDEX(Tables!$N$5:$Q$8,MATCH(MOD($S818+$R818,4),Tables!$M$5:$M$8,0),MATCH($R819,Tables!$N$4:$Q$4,0))</f>
        <v>3092</v>
      </c>
      <c r="T819" s="2" t="str">
        <f t="shared" si="198"/>
        <v>0C14</v>
      </c>
      <c r="U819" s="2">
        <f t="shared" si="204"/>
        <v>773</v>
      </c>
      <c r="V819" s="2" t="str">
        <f t="shared" si="199"/>
        <v>305</v>
      </c>
      <c r="W819" s="2" t="str">
        <f t="shared" si="200"/>
        <v>X</v>
      </c>
      <c r="X819" s="2" t="str">
        <f t="shared" si="203"/>
        <v>X</v>
      </c>
      <c r="Y819" s="2" t="str">
        <f t="shared" si="201"/>
        <v>X</v>
      </c>
      <c r="Z819" s="2" t="str">
        <f t="shared" si="202"/>
        <v>X</v>
      </c>
      <c r="AA819" s="2" t="str">
        <f t="shared" si="205"/>
        <v>(31 downto 24)</v>
      </c>
      <c r="AB819" s="2" t="str">
        <f t="shared" si="206"/>
        <v>(23 downto 16)</v>
      </c>
      <c r="AC819" s="2" t="str">
        <f t="shared" si="207"/>
        <v>(15 downto 8)</v>
      </c>
      <c r="AD819" s="2" t="str">
        <f t="shared" si="208"/>
        <v>(7 downto 0)</v>
      </c>
      <c r="AE819" s="2" t="str">
        <f t="shared" si="209"/>
        <v>(31 downto 24)</v>
      </c>
      <c r="AF819" s="2" t="str">
        <f t="shared" si="210"/>
        <v>(23 downto 16)</v>
      </c>
      <c r="AG819" s="2" t="str">
        <f t="shared" si="211"/>
        <v>(15 downto 8)</v>
      </c>
      <c r="AH819" s="2" t="str">
        <f t="shared" si="212"/>
        <v>(7 downto 0)</v>
      </c>
    </row>
    <row r="820" spans="2:34" x14ac:dyDescent="0.25">
      <c r="B820" s="2" t="s">
        <v>2275</v>
      </c>
      <c r="C820" s="2" t="s">
        <v>141</v>
      </c>
      <c r="D820" s="2" t="s">
        <v>0</v>
      </c>
      <c r="E820" s="2" t="s">
        <v>130</v>
      </c>
      <c r="F820" s="2" t="s">
        <v>2276</v>
      </c>
      <c r="G820" s="2" t="s">
        <v>2277</v>
      </c>
      <c r="H820" s="2" t="s">
        <v>142</v>
      </c>
      <c r="I820" s="2" t="s">
        <v>41</v>
      </c>
      <c r="J820" s="2">
        <v>32</v>
      </c>
      <c r="K820" s="2" t="s">
        <v>132</v>
      </c>
      <c r="L820" s="2" t="s">
        <v>40</v>
      </c>
      <c r="P820" s="2" t="s">
        <v>48</v>
      </c>
      <c r="Q820" s="2">
        <f>INDEX(Tables!$C$4:$C$28,MATCH($P820,Tables!$B$4:$B$28,0))</f>
        <v>32</v>
      </c>
      <c r="R820" s="2">
        <f>INDEX(Tables!$D$4:$D$28,MATCH($P820,Tables!$B$4:$B$28,0))</f>
        <v>4</v>
      </c>
      <c r="S820" s="2">
        <f>$S819+$R819+INDEX(Tables!$N$5:$Q$8,MATCH(MOD($S819+$R819,4),Tables!$M$5:$M$8,0),MATCH($R820,Tables!$N$4:$Q$4,0))</f>
        <v>3096</v>
      </c>
      <c r="T820" s="2" t="str">
        <f t="shared" si="198"/>
        <v>0C18</v>
      </c>
      <c r="U820" s="2">
        <f t="shared" si="204"/>
        <v>774</v>
      </c>
      <c r="V820" s="2" t="str">
        <f t="shared" si="199"/>
        <v>306</v>
      </c>
      <c r="W820" s="2" t="str">
        <f t="shared" si="200"/>
        <v>X</v>
      </c>
      <c r="X820" s="2" t="str">
        <f t="shared" si="203"/>
        <v>X</v>
      </c>
      <c r="Y820" s="2" t="str">
        <f t="shared" si="201"/>
        <v>X</v>
      </c>
      <c r="Z820" s="2" t="str">
        <f t="shared" si="202"/>
        <v>X</v>
      </c>
      <c r="AA820" s="2" t="str">
        <f t="shared" si="205"/>
        <v>(31 downto 24)</v>
      </c>
      <c r="AB820" s="2" t="str">
        <f t="shared" si="206"/>
        <v>(23 downto 16)</v>
      </c>
      <c r="AC820" s="2" t="str">
        <f t="shared" si="207"/>
        <v>(15 downto 8)</v>
      </c>
      <c r="AD820" s="2" t="str">
        <f t="shared" si="208"/>
        <v>(7 downto 0)</v>
      </c>
      <c r="AE820" s="2" t="str">
        <f t="shared" si="209"/>
        <v>(31 downto 24)</v>
      </c>
      <c r="AF820" s="2" t="str">
        <f t="shared" si="210"/>
        <v>(23 downto 16)</v>
      </c>
      <c r="AG820" s="2" t="str">
        <f t="shared" si="211"/>
        <v>(15 downto 8)</v>
      </c>
      <c r="AH820" s="2" t="str">
        <f t="shared" si="212"/>
        <v>(7 downto 0)</v>
      </c>
    </row>
    <row r="821" spans="2:34" x14ac:dyDescent="0.25">
      <c r="B821" s="2" t="s">
        <v>2278</v>
      </c>
      <c r="C821" s="2" t="s">
        <v>141</v>
      </c>
      <c r="D821" s="2" t="s">
        <v>0</v>
      </c>
      <c r="E821" s="2" t="s">
        <v>130</v>
      </c>
      <c r="F821" s="2" t="s">
        <v>2279</v>
      </c>
      <c r="G821" s="2" t="s">
        <v>2280</v>
      </c>
      <c r="H821" s="2" t="s">
        <v>142</v>
      </c>
      <c r="I821" s="2" t="s">
        <v>41</v>
      </c>
      <c r="J821" s="2">
        <v>32</v>
      </c>
      <c r="K821" s="2" t="s">
        <v>132</v>
      </c>
      <c r="L821" s="2" t="s">
        <v>40</v>
      </c>
      <c r="P821" s="2" t="s">
        <v>48</v>
      </c>
      <c r="Q821" s="2">
        <f>INDEX(Tables!$C$4:$C$28,MATCH($P821,Tables!$B$4:$B$28,0))</f>
        <v>32</v>
      </c>
      <c r="R821" s="2">
        <f>INDEX(Tables!$D$4:$D$28,MATCH($P821,Tables!$B$4:$B$28,0))</f>
        <v>4</v>
      </c>
      <c r="S821" s="2">
        <f>$S820+$R820+INDEX(Tables!$N$5:$Q$8,MATCH(MOD($S820+$R820,4),Tables!$M$5:$M$8,0),MATCH($R821,Tables!$N$4:$Q$4,0))</f>
        <v>3100</v>
      </c>
      <c r="T821" s="2" t="str">
        <f t="shared" si="198"/>
        <v>0C1C</v>
      </c>
      <c r="U821" s="2">
        <f t="shared" si="204"/>
        <v>775</v>
      </c>
      <c r="V821" s="2" t="str">
        <f t="shared" si="199"/>
        <v>307</v>
      </c>
      <c r="W821" s="2" t="str">
        <f t="shared" si="200"/>
        <v>X</v>
      </c>
      <c r="X821" s="2" t="str">
        <f t="shared" si="203"/>
        <v>X</v>
      </c>
      <c r="Y821" s="2" t="str">
        <f t="shared" si="201"/>
        <v>X</v>
      </c>
      <c r="Z821" s="2" t="str">
        <f t="shared" si="202"/>
        <v>X</v>
      </c>
      <c r="AA821" s="2" t="str">
        <f t="shared" si="205"/>
        <v>(31 downto 24)</v>
      </c>
      <c r="AB821" s="2" t="str">
        <f t="shared" si="206"/>
        <v>(23 downto 16)</v>
      </c>
      <c r="AC821" s="2" t="str">
        <f t="shared" si="207"/>
        <v>(15 downto 8)</v>
      </c>
      <c r="AD821" s="2" t="str">
        <f t="shared" si="208"/>
        <v>(7 downto 0)</v>
      </c>
      <c r="AE821" s="2" t="str">
        <f t="shared" si="209"/>
        <v>(31 downto 24)</v>
      </c>
      <c r="AF821" s="2" t="str">
        <f t="shared" si="210"/>
        <v>(23 downto 16)</v>
      </c>
      <c r="AG821" s="2" t="str">
        <f t="shared" si="211"/>
        <v>(15 downto 8)</v>
      </c>
      <c r="AH821" s="2" t="str">
        <f t="shared" si="212"/>
        <v>(7 downto 0)</v>
      </c>
    </row>
    <row r="822" spans="2:34" x14ac:dyDescent="0.25">
      <c r="B822" s="2" t="s">
        <v>2281</v>
      </c>
      <c r="C822" s="2" t="s">
        <v>141</v>
      </c>
      <c r="D822" s="2" t="s">
        <v>0</v>
      </c>
      <c r="E822" s="2" t="s">
        <v>130</v>
      </c>
      <c r="F822" s="2" t="s">
        <v>2282</v>
      </c>
      <c r="G822" s="2" t="s">
        <v>2283</v>
      </c>
      <c r="H822" s="2" t="s">
        <v>142</v>
      </c>
      <c r="I822" s="2" t="s">
        <v>41</v>
      </c>
      <c r="J822" s="2">
        <v>32</v>
      </c>
      <c r="K822" s="2" t="s">
        <v>132</v>
      </c>
      <c r="L822" s="2" t="s">
        <v>40</v>
      </c>
      <c r="P822" s="2" t="s">
        <v>48</v>
      </c>
      <c r="Q822" s="2">
        <f>INDEX(Tables!$C$4:$C$28,MATCH($P822,Tables!$B$4:$B$28,0))</f>
        <v>32</v>
      </c>
      <c r="R822" s="2">
        <f>INDEX(Tables!$D$4:$D$28,MATCH($P822,Tables!$B$4:$B$28,0))</f>
        <v>4</v>
      </c>
      <c r="S822" s="2">
        <f>$S821+$R821+INDEX(Tables!$N$5:$Q$8,MATCH(MOD($S821+$R821,4),Tables!$M$5:$M$8,0),MATCH($R822,Tables!$N$4:$Q$4,0))</f>
        <v>3104</v>
      </c>
      <c r="T822" s="2" t="str">
        <f t="shared" si="198"/>
        <v>0C20</v>
      </c>
      <c r="U822" s="2">
        <f t="shared" si="204"/>
        <v>776</v>
      </c>
      <c r="V822" s="2" t="str">
        <f t="shared" si="199"/>
        <v>308</v>
      </c>
      <c r="W822" s="2" t="str">
        <f t="shared" si="200"/>
        <v>X</v>
      </c>
      <c r="X822" s="2" t="str">
        <f t="shared" si="203"/>
        <v>X</v>
      </c>
      <c r="Y822" s="2" t="str">
        <f t="shared" si="201"/>
        <v>X</v>
      </c>
      <c r="Z822" s="2" t="str">
        <f t="shared" si="202"/>
        <v>X</v>
      </c>
      <c r="AA822" s="2" t="str">
        <f t="shared" si="205"/>
        <v>(31 downto 24)</v>
      </c>
      <c r="AB822" s="2" t="str">
        <f t="shared" si="206"/>
        <v>(23 downto 16)</v>
      </c>
      <c r="AC822" s="2" t="str">
        <f t="shared" si="207"/>
        <v>(15 downto 8)</v>
      </c>
      <c r="AD822" s="2" t="str">
        <f t="shared" si="208"/>
        <v>(7 downto 0)</v>
      </c>
      <c r="AE822" s="2" t="str">
        <f t="shared" si="209"/>
        <v>(31 downto 24)</v>
      </c>
      <c r="AF822" s="2" t="str">
        <f t="shared" si="210"/>
        <v>(23 downto 16)</v>
      </c>
      <c r="AG822" s="2" t="str">
        <f t="shared" si="211"/>
        <v>(15 downto 8)</v>
      </c>
      <c r="AH822" s="2" t="str">
        <f t="shared" si="212"/>
        <v>(7 downto 0)</v>
      </c>
    </row>
    <row r="823" spans="2:34" x14ac:dyDescent="0.25">
      <c r="B823" s="2" t="s">
        <v>2284</v>
      </c>
      <c r="C823" s="2" t="s">
        <v>141</v>
      </c>
      <c r="D823" s="2" t="s">
        <v>0</v>
      </c>
      <c r="E823" s="2" t="s">
        <v>130</v>
      </c>
      <c r="F823" s="2" t="s">
        <v>2285</v>
      </c>
      <c r="G823" s="2" t="s">
        <v>2286</v>
      </c>
      <c r="H823" s="2" t="s">
        <v>142</v>
      </c>
      <c r="I823" s="2" t="s">
        <v>41</v>
      </c>
      <c r="J823" s="2">
        <v>32</v>
      </c>
      <c r="K823" s="2" t="s">
        <v>132</v>
      </c>
      <c r="L823" s="2" t="s">
        <v>40</v>
      </c>
      <c r="P823" s="2" t="s">
        <v>48</v>
      </c>
      <c r="Q823" s="2">
        <f>INDEX(Tables!$C$4:$C$28,MATCH($P823,Tables!$B$4:$B$28,0))</f>
        <v>32</v>
      </c>
      <c r="R823" s="2">
        <f>INDEX(Tables!$D$4:$D$28,MATCH($P823,Tables!$B$4:$B$28,0))</f>
        <v>4</v>
      </c>
      <c r="S823" s="2">
        <f>$S822+$R822+INDEX(Tables!$N$5:$Q$8,MATCH(MOD($S822+$R822,4),Tables!$M$5:$M$8,0),MATCH($R823,Tables!$N$4:$Q$4,0))</f>
        <v>3108</v>
      </c>
      <c r="T823" s="2" t="str">
        <f t="shared" si="198"/>
        <v>0C24</v>
      </c>
      <c r="U823" s="2">
        <f t="shared" si="204"/>
        <v>777</v>
      </c>
      <c r="V823" s="2" t="str">
        <f t="shared" si="199"/>
        <v>309</v>
      </c>
      <c r="W823" s="2" t="str">
        <f t="shared" si="200"/>
        <v>X</v>
      </c>
      <c r="X823" s="2" t="str">
        <f t="shared" si="203"/>
        <v>X</v>
      </c>
      <c r="Y823" s="2" t="str">
        <f t="shared" si="201"/>
        <v>X</v>
      </c>
      <c r="Z823" s="2" t="str">
        <f t="shared" si="202"/>
        <v>X</v>
      </c>
      <c r="AA823" s="2" t="str">
        <f t="shared" si="205"/>
        <v>(31 downto 24)</v>
      </c>
      <c r="AB823" s="2" t="str">
        <f t="shared" si="206"/>
        <v>(23 downto 16)</v>
      </c>
      <c r="AC823" s="2" t="str">
        <f t="shared" si="207"/>
        <v>(15 downto 8)</v>
      </c>
      <c r="AD823" s="2" t="str">
        <f t="shared" si="208"/>
        <v>(7 downto 0)</v>
      </c>
      <c r="AE823" s="2" t="str">
        <f t="shared" si="209"/>
        <v>(31 downto 24)</v>
      </c>
      <c r="AF823" s="2" t="str">
        <f t="shared" si="210"/>
        <v>(23 downto 16)</v>
      </c>
      <c r="AG823" s="2" t="str">
        <f t="shared" si="211"/>
        <v>(15 downto 8)</v>
      </c>
      <c r="AH823" s="2" t="str">
        <f t="shared" si="212"/>
        <v>(7 downto 0)</v>
      </c>
    </row>
    <row r="824" spans="2:34" x14ac:dyDescent="0.25">
      <c r="B824" s="2" t="s">
        <v>2287</v>
      </c>
      <c r="C824" s="2" t="s">
        <v>141</v>
      </c>
      <c r="D824" s="2" t="s">
        <v>0</v>
      </c>
      <c r="E824" s="2" t="s">
        <v>130</v>
      </c>
      <c r="F824" s="2" t="s">
        <v>2288</v>
      </c>
      <c r="G824" s="2" t="s">
        <v>2289</v>
      </c>
      <c r="H824" s="2" t="s">
        <v>142</v>
      </c>
      <c r="I824" s="2" t="s">
        <v>41</v>
      </c>
      <c r="J824" s="2">
        <v>32</v>
      </c>
      <c r="K824" s="2" t="s">
        <v>132</v>
      </c>
      <c r="L824" s="2" t="s">
        <v>40</v>
      </c>
      <c r="P824" s="2" t="s">
        <v>48</v>
      </c>
      <c r="Q824" s="2">
        <f>INDEX(Tables!$C$4:$C$28,MATCH($P824,Tables!$B$4:$B$28,0))</f>
        <v>32</v>
      </c>
      <c r="R824" s="2">
        <f>INDEX(Tables!$D$4:$D$28,MATCH($P824,Tables!$B$4:$B$28,0))</f>
        <v>4</v>
      </c>
      <c r="S824" s="2">
        <f>$S823+$R823+INDEX(Tables!$N$5:$Q$8,MATCH(MOD($S823+$R823,4),Tables!$M$5:$M$8,0),MATCH($R824,Tables!$N$4:$Q$4,0))</f>
        <v>3112</v>
      </c>
      <c r="T824" s="2" t="str">
        <f t="shared" si="198"/>
        <v>0C28</v>
      </c>
      <c r="U824" s="2">
        <f t="shared" si="204"/>
        <v>778</v>
      </c>
      <c r="V824" s="2" t="str">
        <f t="shared" si="199"/>
        <v>30A</v>
      </c>
      <c r="W824" s="2" t="str">
        <f t="shared" si="200"/>
        <v>X</v>
      </c>
      <c r="X824" s="2" t="str">
        <f t="shared" si="203"/>
        <v>X</v>
      </c>
      <c r="Y824" s="2" t="str">
        <f t="shared" si="201"/>
        <v>X</v>
      </c>
      <c r="Z824" s="2" t="str">
        <f t="shared" si="202"/>
        <v>X</v>
      </c>
      <c r="AA824" s="2" t="str">
        <f t="shared" si="205"/>
        <v>(31 downto 24)</v>
      </c>
      <c r="AB824" s="2" t="str">
        <f t="shared" si="206"/>
        <v>(23 downto 16)</v>
      </c>
      <c r="AC824" s="2" t="str">
        <f t="shared" si="207"/>
        <v>(15 downto 8)</v>
      </c>
      <c r="AD824" s="2" t="str">
        <f t="shared" si="208"/>
        <v>(7 downto 0)</v>
      </c>
      <c r="AE824" s="2" t="str">
        <f t="shared" si="209"/>
        <v>(31 downto 24)</v>
      </c>
      <c r="AF824" s="2" t="str">
        <f t="shared" si="210"/>
        <v>(23 downto 16)</v>
      </c>
      <c r="AG824" s="2" t="str">
        <f t="shared" si="211"/>
        <v>(15 downto 8)</v>
      </c>
      <c r="AH824" s="2" t="str">
        <f t="shared" si="212"/>
        <v>(7 downto 0)</v>
      </c>
    </row>
    <row r="825" spans="2:34" x14ac:dyDescent="0.25">
      <c r="B825" s="2" t="s">
        <v>2290</v>
      </c>
      <c r="C825" s="2" t="s">
        <v>141</v>
      </c>
      <c r="D825" s="2" t="s">
        <v>0</v>
      </c>
      <c r="E825" s="2" t="s">
        <v>130</v>
      </c>
      <c r="F825" s="2" t="s">
        <v>2291</v>
      </c>
      <c r="G825" s="2" t="s">
        <v>2292</v>
      </c>
      <c r="H825" s="2" t="s">
        <v>142</v>
      </c>
      <c r="I825" s="2" t="s">
        <v>41</v>
      </c>
      <c r="J825" s="2">
        <v>32</v>
      </c>
      <c r="K825" s="2" t="s">
        <v>132</v>
      </c>
      <c r="L825" s="2" t="s">
        <v>40</v>
      </c>
      <c r="P825" s="2" t="s">
        <v>48</v>
      </c>
      <c r="Q825" s="2">
        <f>INDEX(Tables!$C$4:$C$28,MATCH($P825,Tables!$B$4:$B$28,0))</f>
        <v>32</v>
      </c>
      <c r="R825" s="2">
        <f>INDEX(Tables!$D$4:$D$28,MATCH($P825,Tables!$B$4:$B$28,0))</f>
        <v>4</v>
      </c>
      <c r="S825" s="2">
        <f>$S824+$R824+INDEX(Tables!$N$5:$Q$8,MATCH(MOD($S824+$R824,4),Tables!$M$5:$M$8,0),MATCH($R825,Tables!$N$4:$Q$4,0))</f>
        <v>3116</v>
      </c>
      <c r="T825" s="2" t="str">
        <f t="shared" si="198"/>
        <v>0C2C</v>
      </c>
      <c r="U825" s="2">
        <f t="shared" si="204"/>
        <v>779</v>
      </c>
      <c r="V825" s="2" t="str">
        <f t="shared" si="199"/>
        <v>30B</v>
      </c>
      <c r="W825" s="2" t="str">
        <f t="shared" si="200"/>
        <v>X</v>
      </c>
      <c r="X825" s="2" t="str">
        <f t="shared" si="203"/>
        <v>X</v>
      </c>
      <c r="Y825" s="2" t="str">
        <f t="shared" si="201"/>
        <v>X</v>
      </c>
      <c r="Z825" s="2" t="str">
        <f t="shared" si="202"/>
        <v>X</v>
      </c>
      <c r="AA825" s="2" t="str">
        <f t="shared" si="205"/>
        <v>(31 downto 24)</v>
      </c>
      <c r="AB825" s="2" t="str">
        <f t="shared" si="206"/>
        <v>(23 downto 16)</v>
      </c>
      <c r="AC825" s="2" t="str">
        <f t="shared" si="207"/>
        <v>(15 downto 8)</v>
      </c>
      <c r="AD825" s="2" t="str">
        <f t="shared" si="208"/>
        <v>(7 downto 0)</v>
      </c>
      <c r="AE825" s="2" t="str">
        <f t="shared" si="209"/>
        <v>(31 downto 24)</v>
      </c>
      <c r="AF825" s="2" t="str">
        <f t="shared" si="210"/>
        <v>(23 downto 16)</v>
      </c>
      <c r="AG825" s="2" t="str">
        <f t="shared" si="211"/>
        <v>(15 downto 8)</v>
      </c>
      <c r="AH825" s="2" t="str">
        <f t="shared" si="212"/>
        <v>(7 downto 0)</v>
      </c>
    </row>
    <row r="826" spans="2:34" x14ac:dyDescent="0.25">
      <c r="B826" s="2" t="s">
        <v>2293</v>
      </c>
      <c r="C826" s="2" t="s">
        <v>141</v>
      </c>
      <c r="D826" s="2" t="s">
        <v>0</v>
      </c>
      <c r="E826" s="2" t="s">
        <v>130</v>
      </c>
      <c r="F826" s="2" t="s">
        <v>2294</v>
      </c>
      <c r="G826" s="2" t="s">
        <v>2295</v>
      </c>
      <c r="H826" s="2" t="s">
        <v>142</v>
      </c>
      <c r="I826" s="2" t="s">
        <v>41</v>
      </c>
      <c r="J826" s="2">
        <v>32</v>
      </c>
      <c r="K826" s="2" t="s">
        <v>132</v>
      </c>
      <c r="L826" s="2" t="s">
        <v>40</v>
      </c>
      <c r="P826" s="2" t="s">
        <v>48</v>
      </c>
      <c r="Q826" s="2">
        <f>INDEX(Tables!$C$4:$C$28,MATCH($P826,Tables!$B$4:$B$28,0))</f>
        <v>32</v>
      </c>
      <c r="R826" s="2">
        <f>INDEX(Tables!$D$4:$D$28,MATCH($P826,Tables!$B$4:$B$28,0))</f>
        <v>4</v>
      </c>
      <c r="S826" s="2">
        <f>$S825+$R825+INDEX(Tables!$N$5:$Q$8,MATCH(MOD($S825+$R825,4),Tables!$M$5:$M$8,0),MATCH($R826,Tables!$N$4:$Q$4,0))</f>
        <v>3120</v>
      </c>
      <c r="T826" s="2" t="str">
        <f t="shared" si="198"/>
        <v>0C30</v>
      </c>
      <c r="U826" s="2">
        <f t="shared" si="204"/>
        <v>780</v>
      </c>
      <c r="V826" s="2" t="str">
        <f t="shared" si="199"/>
        <v>30C</v>
      </c>
      <c r="W826" s="2" t="str">
        <f t="shared" si="200"/>
        <v>X</v>
      </c>
      <c r="X826" s="2" t="str">
        <f t="shared" si="203"/>
        <v>X</v>
      </c>
      <c r="Y826" s="2" t="str">
        <f t="shared" si="201"/>
        <v>X</v>
      </c>
      <c r="Z826" s="2" t="str">
        <f t="shared" si="202"/>
        <v>X</v>
      </c>
      <c r="AA826" s="2" t="str">
        <f t="shared" si="205"/>
        <v>(31 downto 24)</v>
      </c>
      <c r="AB826" s="2" t="str">
        <f t="shared" si="206"/>
        <v>(23 downto 16)</v>
      </c>
      <c r="AC826" s="2" t="str">
        <f t="shared" si="207"/>
        <v>(15 downto 8)</v>
      </c>
      <c r="AD826" s="2" t="str">
        <f t="shared" si="208"/>
        <v>(7 downto 0)</v>
      </c>
      <c r="AE826" s="2" t="str">
        <f t="shared" si="209"/>
        <v>(31 downto 24)</v>
      </c>
      <c r="AF826" s="2" t="str">
        <f t="shared" si="210"/>
        <v>(23 downto 16)</v>
      </c>
      <c r="AG826" s="2" t="str">
        <f t="shared" si="211"/>
        <v>(15 downto 8)</v>
      </c>
      <c r="AH826" s="2" t="str">
        <f t="shared" si="212"/>
        <v>(7 downto 0)</v>
      </c>
    </row>
    <row r="827" spans="2:34" x14ac:dyDescent="0.25">
      <c r="B827" s="2" t="s">
        <v>2296</v>
      </c>
      <c r="C827" s="2" t="s">
        <v>141</v>
      </c>
      <c r="D827" s="2" t="s">
        <v>0</v>
      </c>
      <c r="E827" s="2" t="s">
        <v>130</v>
      </c>
      <c r="F827" s="2" t="s">
        <v>2297</v>
      </c>
      <c r="G827" s="2" t="s">
        <v>2298</v>
      </c>
      <c r="H827" s="2" t="s">
        <v>142</v>
      </c>
      <c r="I827" s="2" t="s">
        <v>41</v>
      </c>
      <c r="J827" s="2">
        <v>32</v>
      </c>
      <c r="K827" s="2" t="s">
        <v>132</v>
      </c>
      <c r="L827" s="2" t="s">
        <v>40</v>
      </c>
      <c r="P827" s="2" t="s">
        <v>48</v>
      </c>
      <c r="Q827" s="2">
        <f>INDEX(Tables!$C$4:$C$28,MATCH($P827,Tables!$B$4:$B$28,0))</f>
        <v>32</v>
      </c>
      <c r="R827" s="2">
        <f>INDEX(Tables!$D$4:$D$28,MATCH($P827,Tables!$B$4:$B$28,0))</f>
        <v>4</v>
      </c>
      <c r="S827" s="2">
        <f>$S826+$R826+INDEX(Tables!$N$5:$Q$8,MATCH(MOD($S826+$R826,4),Tables!$M$5:$M$8,0),MATCH($R827,Tables!$N$4:$Q$4,0))</f>
        <v>3124</v>
      </c>
      <c r="T827" s="2" t="str">
        <f t="shared" si="198"/>
        <v>0C34</v>
      </c>
      <c r="U827" s="2">
        <f t="shared" si="204"/>
        <v>781</v>
      </c>
      <c r="V827" s="2" t="str">
        <f t="shared" si="199"/>
        <v>30D</v>
      </c>
      <c r="W827" s="2" t="str">
        <f t="shared" si="200"/>
        <v>X</v>
      </c>
      <c r="X827" s="2" t="str">
        <f t="shared" si="203"/>
        <v>X</v>
      </c>
      <c r="Y827" s="2" t="str">
        <f t="shared" si="201"/>
        <v>X</v>
      </c>
      <c r="Z827" s="2" t="str">
        <f t="shared" si="202"/>
        <v>X</v>
      </c>
      <c r="AA827" s="2" t="str">
        <f t="shared" si="205"/>
        <v>(31 downto 24)</v>
      </c>
      <c r="AB827" s="2" t="str">
        <f t="shared" si="206"/>
        <v>(23 downto 16)</v>
      </c>
      <c r="AC827" s="2" t="str">
        <f t="shared" si="207"/>
        <v>(15 downto 8)</v>
      </c>
      <c r="AD827" s="2" t="str">
        <f t="shared" si="208"/>
        <v>(7 downto 0)</v>
      </c>
      <c r="AE827" s="2" t="str">
        <f t="shared" si="209"/>
        <v>(31 downto 24)</v>
      </c>
      <c r="AF827" s="2" t="str">
        <f t="shared" si="210"/>
        <v>(23 downto 16)</v>
      </c>
      <c r="AG827" s="2" t="str">
        <f t="shared" si="211"/>
        <v>(15 downto 8)</v>
      </c>
      <c r="AH827" s="2" t="str">
        <f t="shared" si="212"/>
        <v>(7 downto 0)</v>
      </c>
    </row>
    <row r="828" spans="2:34" x14ac:dyDescent="0.25">
      <c r="B828" s="2" t="s">
        <v>2299</v>
      </c>
      <c r="C828" s="2" t="s">
        <v>141</v>
      </c>
      <c r="D828" s="2" t="s">
        <v>0</v>
      </c>
      <c r="E828" s="2" t="s">
        <v>130</v>
      </c>
      <c r="F828" s="2" t="s">
        <v>2300</v>
      </c>
      <c r="G828" s="2" t="s">
        <v>2301</v>
      </c>
      <c r="H828" s="2" t="s">
        <v>142</v>
      </c>
      <c r="I828" s="2" t="s">
        <v>41</v>
      </c>
      <c r="J828" s="2">
        <v>32</v>
      </c>
      <c r="K828" s="2" t="s">
        <v>132</v>
      </c>
      <c r="L828" s="2" t="s">
        <v>40</v>
      </c>
      <c r="P828" s="2" t="s">
        <v>48</v>
      </c>
      <c r="Q828" s="2">
        <f>INDEX(Tables!$C$4:$C$28,MATCH($P828,Tables!$B$4:$B$28,0))</f>
        <v>32</v>
      </c>
      <c r="R828" s="2">
        <f>INDEX(Tables!$D$4:$D$28,MATCH($P828,Tables!$B$4:$B$28,0))</f>
        <v>4</v>
      </c>
      <c r="S828" s="2">
        <f>$S827+$R827+INDEX(Tables!$N$5:$Q$8,MATCH(MOD($S827+$R827,4),Tables!$M$5:$M$8,0),MATCH($R828,Tables!$N$4:$Q$4,0))</f>
        <v>3128</v>
      </c>
      <c r="T828" s="2" t="str">
        <f t="shared" si="198"/>
        <v>0C38</v>
      </c>
      <c r="U828" s="2">
        <f t="shared" si="204"/>
        <v>782</v>
      </c>
      <c r="V828" s="2" t="str">
        <f t="shared" si="199"/>
        <v>30E</v>
      </c>
      <c r="W828" s="2" t="str">
        <f t="shared" si="200"/>
        <v>X</v>
      </c>
      <c r="X828" s="2" t="str">
        <f t="shared" si="203"/>
        <v>X</v>
      </c>
      <c r="Y828" s="2" t="str">
        <f t="shared" si="201"/>
        <v>X</v>
      </c>
      <c r="Z828" s="2" t="str">
        <f t="shared" si="202"/>
        <v>X</v>
      </c>
      <c r="AA828" s="2" t="str">
        <f t="shared" si="205"/>
        <v>(31 downto 24)</v>
      </c>
      <c r="AB828" s="2" t="str">
        <f t="shared" si="206"/>
        <v>(23 downto 16)</v>
      </c>
      <c r="AC828" s="2" t="str">
        <f t="shared" si="207"/>
        <v>(15 downto 8)</v>
      </c>
      <c r="AD828" s="2" t="str">
        <f t="shared" si="208"/>
        <v>(7 downto 0)</v>
      </c>
      <c r="AE828" s="2" t="str">
        <f t="shared" si="209"/>
        <v>(31 downto 24)</v>
      </c>
      <c r="AF828" s="2" t="str">
        <f t="shared" si="210"/>
        <v>(23 downto 16)</v>
      </c>
      <c r="AG828" s="2" t="str">
        <f t="shared" si="211"/>
        <v>(15 downto 8)</v>
      </c>
      <c r="AH828" s="2" t="str">
        <f t="shared" si="212"/>
        <v>(7 downto 0)</v>
      </c>
    </row>
    <row r="829" spans="2:34" x14ac:dyDescent="0.25">
      <c r="B829" s="2" t="s">
        <v>2302</v>
      </c>
      <c r="C829" s="2" t="s">
        <v>141</v>
      </c>
      <c r="D829" s="2" t="s">
        <v>0</v>
      </c>
      <c r="E829" s="2" t="s">
        <v>130</v>
      </c>
      <c r="F829" s="2" t="s">
        <v>2303</v>
      </c>
      <c r="G829" s="2" t="s">
        <v>2304</v>
      </c>
      <c r="H829" s="2" t="s">
        <v>142</v>
      </c>
      <c r="I829" s="2" t="s">
        <v>41</v>
      </c>
      <c r="J829" s="2">
        <v>32</v>
      </c>
      <c r="K829" s="2" t="s">
        <v>132</v>
      </c>
      <c r="L829" s="2" t="s">
        <v>40</v>
      </c>
      <c r="P829" s="2" t="s">
        <v>48</v>
      </c>
      <c r="Q829" s="2">
        <f>INDEX(Tables!$C$4:$C$28,MATCH($P829,Tables!$B$4:$B$28,0))</f>
        <v>32</v>
      </c>
      <c r="R829" s="2">
        <f>INDEX(Tables!$D$4:$D$28,MATCH($P829,Tables!$B$4:$B$28,0))</f>
        <v>4</v>
      </c>
      <c r="S829" s="2">
        <f>$S828+$R828+INDEX(Tables!$N$5:$Q$8,MATCH(MOD($S828+$R828,4),Tables!$M$5:$M$8,0),MATCH($R829,Tables!$N$4:$Q$4,0))</f>
        <v>3132</v>
      </c>
      <c r="T829" s="2" t="str">
        <f t="shared" si="198"/>
        <v>0C3C</v>
      </c>
      <c r="U829" s="2">
        <f t="shared" si="204"/>
        <v>783</v>
      </c>
      <c r="V829" s="2" t="str">
        <f t="shared" si="199"/>
        <v>30F</v>
      </c>
      <c r="W829" s="2" t="str">
        <f t="shared" si="200"/>
        <v>X</v>
      </c>
      <c r="X829" s="2" t="str">
        <f t="shared" si="203"/>
        <v>X</v>
      </c>
      <c r="Y829" s="2" t="str">
        <f t="shared" si="201"/>
        <v>X</v>
      </c>
      <c r="Z829" s="2" t="str">
        <f t="shared" si="202"/>
        <v>X</v>
      </c>
      <c r="AA829" s="2" t="str">
        <f t="shared" si="205"/>
        <v>(31 downto 24)</v>
      </c>
      <c r="AB829" s="2" t="str">
        <f t="shared" si="206"/>
        <v>(23 downto 16)</v>
      </c>
      <c r="AC829" s="2" t="str">
        <f t="shared" si="207"/>
        <v>(15 downto 8)</v>
      </c>
      <c r="AD829" s="2" t="str">
        <f t="shared" si="208"/>
        <v>(7 downto 0)</v>
      </c>
      <c r="AE829" s="2" t="str">
        <f t="shared" si="209"/>
        <v>(31 downto 24)</v>
      </c>
      <c r="AF829" s="2" t="str">
        <f t="shared" si="210"/>
        <v>(23 downto 16)</v>
      </c>
      <c r="AG829" s="2" t="str">
        <f t="shared" si="211"/>
        <v>(15 downto 8)</v>
      </c>
      <c r="AH829" s="2" t="str">
        <f t="shared" si="212"/>
        <v>(7 downto 0)</v>
      </c>
    </row>
    <row r="830" spans="2:34" x14ac:dyDescent="0.25">
      <c r="B830" s="2" t="s">
        <v>2305</v>
      </c>
      <c r="C830" s="2" t="s">
        <v>141</v>
      </c>
      <c r="D830" s="2" t="s">
        <v>0</v>
      </c>
      <c r="E830" s="2" t="s">
        <v>130</v>
      </c>
      <c r="F830" s="2" t="s">
        <v>2306</v>
      </c>
      <c r="G830" s="2" t="s">
        <v>2307</v>
      </c>
      <c r="H830" s="2" t="s">
        <v>142</v>
      </c>
      <c r="I830" s="2" t="s">
        <v>41</v>
      </c>
      <c r="J830" s="2">
        <v>32</v>
      </c>
      <c r="K830" s="2" t="s">
        <v>132</v>
      </c>
      <c r="L830" s="2" t="s">
        <v>40</v>
      </c>
      <c r="P830" s="2" t="s">
        <v>48</v>
      </c>
      <c r="Q830" s="2">
        <f>INDEX(Tables!$C$4:$C$28,MATCH($P830,Tables!$B$4:$B$28,0))</f>
        <v>32</v>
      </c>
      <c r="R830" s="2">
        <f>INDEX(Tables!$D$4:$D$28,MATCH($P830,Tables!$B$4:$B$28,0))</f>
        <v>4</v>
      </c>
      <c r="S830" s="2">
        <f>$S829+$R829+INDEX(Tables!$N$5:$Q$8,MATCH(MOD($S829+$R829,4),Tables!$M$5:$M$8,0),MATCH($R830,Tables!$N$4:$Q$4,0))</f>
        <v>3136</v>
      </c>
      <c r="T830" s="2" t="str">
        <f t="shared" si="198"/>
        <v>0C40</v>
      </c>
      <c r="U830" s="2">
        <f t="shared" si="204"/>
        <v>784</v>
      </c>
      <c r="V830" s="2" t="str">
        <f t="shared" si="199"/>
        <v>310</v>
      </c>
      <c r="W830" s="2" t="str">
        <f t="shared" si="200"/>
        <v>X</v>
      </c>
      <c r="X830" s="2" t="str">
        <f t="shared" si="203"/>
        <v>X</v>
      </c>
      <c r="Y830" s="2" t="str">
        <f t="shared" si="201"/>
        <v>X</v>
      </c>
      <c r="Z830" s="2" t="str">
        <f t="shared" si="202"/>
        <v>X</v>
      </c>
      <c r="AA830" s="2" t="str">
        <f t="shared" si="205"/>
        <v>(31 downto 24)</v>
      </c>
      <c r="AB830" s="2" t="str">
        <f t="shared" si="206"/>
        <v>(23 downto 16)</v>
      </c>
      <c r="AC830" s="2" t="str">
        <f t="shared" si="207"/>
        <v>(15 downto 8)</v>
      </c>
      <c r="AD830" s="2" t="str">
        <f t="shared" si="208"/>
        <v>(7 downto 0)</v>
      </c>
      <c r="AE830" s="2" t="str">
        <f t="shared" si="209"/>
        <v>(31 downto 24)</v>
      </c>
      <c r="AF830" s="2" t="str">
        <f t="shared" si="210"/>
        <v>(23 downto 16)</v>
      </c>
      <c r="AG830" s="2" t="str">
        <f t="shared" si="211"/>
        <v>(15 downto 8)</v>
      </c>
      <c r="AH830" s="2" t="str">
        <f t="shared" si="212"/>
        <v>(7 downto 0)</v>
      </c>
    </row>
    <row r="831" spans="2:34" x14ac:dyDescent="0.25">
      <c r="B831" s="2" t="s">
        <v>2308</v>
      </c>
      <c r="C831" s="2" t="s">
        <v>141</v>
      </c>
      <c r="D831" s="2" t="s">
        <v>0</v>
      </c>
      <c r="E831" s="2" t="s">
        <v>130</v>
      </c>
      <c r="F831" s="2" t="s">
        <v>2309</v>
      </c>
      <c r="G831" s="2" t="s">
        <v>2310</v>
      </c>
      <c r="H831" s="2" t="s">
        <v>142</v>
      </c>
      <c r="I831" s="2" t="s">
        <v>41</v>
      </c>
      <c r="J831" s="2">
        <v>32</v>
      </c>
      <c r="K831" s="2" t="s">
        <v>132</v>
      </c>
      <c r="L831" s="2" t="s">
        <v>40</v>
      </c>
      <c r="P831" s="2" t="s">
        <v>48</v>
      </c>
      <c r="Q831" s="2">
        <f>INDEX(Tables!$C$4:$C$28,MATCH($P831,Tables!$B$4:$B$28,0))</f>
        <v>32</v>
      </c>
      <c r="R831" s="2">
        <f>INDEX(Tables!$D$4:$D$28,MATCH($P831,Tables!$B$4:$B$28,0))</f>
        <v>4</v>
      </c>
      <c r="S831" s="2">
        <f>$S830+$R830+INDEX(Tables!$N$5:$Q$8,MATCH(MOD($S830+$R830,4),Tables!$M$5:$M$8,0),MATCH($R831,Tables!$N$4:$Q$4,0))</f>
        <v>3140</v>
      </c>
      <c r="T831" s="2" t="str">
        <f t="shared" si="198"/>
        <v>0C44</v>
      </c>
      <c r="U831" s="2">
        <f t="shared" si="204"/>
        <v>785</v>
      </c>
      <c r="V831" s="2" t="str">
        <f t="shared" si="199"/>
        <v>311</v>
      </c>
      <c r="W831" s="2" t="str">
        <f t="shared" si="200"/>
        <v>X</v>
      </c>
      <c r="X831" s="2" t="str">
        <f t="shared" si="203"/>
        <v>X</v>
      </c>
      <c r="Y831" s="2" t="str">
        <f t="shared" si="201"/>
        <v>X</v>
      </c>
      <c r="Z831" s="2" t="str">
        <f t="shared" si="202"/>
        <v>X</v>
      </c>
      <c r="AA831" s="2" t="str">
        <f t="shared" si="205"/>
        <v>(31 downto 24)</v>
      </c>
      <c r="AB831" s="2" t="str">
        <f t="shared" si="206"/>
        <v>(23 downto 16)</v>
      </c>
      <c r="AC831" s="2" t="str">
        <f t="shared" si="207"/>
        <v>(15 downto 8)</v>
      </c>
      <c r="AD831" s="2" t="str">
        <f t="shared" si="208"/>
        <v>(7 downto 0)</v>
      </c>
      <c r="AE831" s="2" t="str">
        <f t="shared" si="209"/>
        <v>(31 downto 24)</v>
      </c>
      <c r="AF831" s="2" t="str">
        <f t="shared" si="210"/>
        <v>(23 downto 16)</v>
      </c>
      <c r="AG831" s="2" t="str">
        <f t="shared" si="211"/>
        <v>(15 downto 8)</v>
      </c>
      <c r="AH831" s="2" t="str">
        <f t="shared" si="212"/>
        <v>(7 downto 0)</v>
      </c>
    </row>
    <row r="832" spans="2:34" x14ac:dyDescent="0.25">
      <c r="B832" s="2" t="s">
        <v>2311</v>
      </c>
      <c r="C832" s="2" t="s">
        <v>141</v>
      </c>
      <c r="D832" s="2" t="s">
        <v>0</v>
      </c>
      <c r="E832" s="2" t="s">
        <v>130</v>
      </c>
      <c r="F832" s="2" t="s">
        <v>2312</v>
      </c>
      <c r="G832" s="2" t="s">
        <v>2313</v>
      </c>
      <c r="H832" s="2" t="s">
        <v>142</v>
      </c>
      <c r="I832" s="2" t="s">
        <v>41</v>
      </c>
      <c r="J832" s="2">
        <v>32</v>
      </c>
      <c r="K832" s="2" t="s">
        <v>132</v>
      </c>
      <c r="L832" s="2" t="s">
        <v>40</v>
      </c>
      <c r="P832" s="2" t="s">
        <v>48</v>
      </c>
      <c r="Q832" s="2">
        <f>INDEX(Tables!$C$4:$C$28,MATCH($P832,Tables!$B$4:$B$28,0))</f>
        <v>32</v>
      </c>
      <c r="R832" s="2">
        <f>INDEX(Tables!$D$4:$D$28,MATCH($P832,Tables!$B$4:$B$28,0))</f>
        <v>4</v>
      </c>
      <c r="S832" s="2">
        <f>$S831+$R831+INDEX(Tables!$N$5:$Q$8,MATCH(MOD($S831+$R831,4),Tables!$M$5:$M$8,0),MATCH($R832,Tables!$N$4:$Q$4,0))</f>
        <v>3144</v>
      </c>
      <c r="T832" s="2" t="str">
        <f t="shared" si="198"/>
        <v>0C48</v>
      </c>
      <c r="U832" s="2">
        <f t="shared" si="204"/>
        <v>786</v>
      </c>
      <c r="V832" s="2" t="str">
        <f t="shared" si="199"/>
        <v>312</v>
      </c>
      <c r="W832" s="2" t="str">
        <f t="shared" si="200"/>
        <v>X</v>
      </c>
      <c r="X832" s="2" t="str">
        <f t="shared" si="203"/>
        <v>X</v>
      </c>
      <c r="Y832" s="2" t="str">
        <f t="shared" si="201"/>
        <v>X</v>
      </c>
      <c r="Z832" s="2" t="str">
        <f t="shared" si="202"/>
        <v>X</v>
      </c>
      <c r="AA832" s="2" t="str">
        <f t="shared" si="205"/>
        <v>(31 downto 24)</v>
      </c>
      <c r="AB832" s="2" t="str">
        <f t="shared" si="206"/>
        <v>(23 downto 16)</v>
      </c>
      <c r="AC832" s="2" t="str">
        <f t="shared" si="207"/>
        <v>(15 downto 8)</v>
      </c>
      <c r="AD832" s="2" t="str">
        <f t="shared" si="208"/>
        <v>(7 downto 0)</v>
      </c>
      <c r="AE832" s="2" t="str">
        <f t="shared" si="209"/>
        <v>(31 downto 24)</v>
      </c>
      <c r="AF832" s="2" t="str">
        <f t="shared" si="210"/>
        <v>(23 downto 16)</v>
      </c>
      <c r="AG832" s="2" t="str">
        <f t="shared" si="211"/>
        <v>(15 downto 8)</v>
      </c>
      <c r="AH832" s="2" t="str">
        <f t="shared" si="212"/>
        <v>(7 downto 0)</v>
      </c>
    </row>
    <row r="833" spans="2:34" x14ac:dyDescent="0.25">
      <c r="B833" s="2" t="s">
        <v>2314</v>
      </c>
      <c r="C833" s="2" t="s">
        <v>141</v>
      </c>
      <c r="D833" s="2" t="s">
        <v>0</v>
      </c>
      <c r="E833" s="2" t="s">
        <v>130</v>
      </c>
      <c r="F833" s="2" t="s">
        <v>2315</v>
      </c>
      <c r="G833" s="2" t="s">
        <v>2316</v>
      </c>
      <c r="H833" s="2" t="s">
        <v>142</v>
      </c>
      <c r="I833" s="2" t="s">
        <v>41</v>
      </c>
      <c r="J833" s="2">
        <v>32</v>
      </c>
      <c r="K833" s="2" t="s">
        <v>132</v>
      </c>
      <c r="L833" s="2" t="s">
        <v>40</v>
      </c>
      <c r="P833" s="2" t="s">
        <v>48</v>
      </c>
      <c r="Q833" s="2">
        <f>INDEX(Tables!$C$4:$C$28,MATCH($P833,Tables!$B$4:$B$28,0))</f>
        <v>32</v>
      </c>
      <c r="R833" s="2">
        <f>INDEX(Tables!$D$4:$D$28,MATCH($P833,Tables!$B$4:$B$28,0))</f>
        <v>4</v>
      </c>
      <c r="S833" s="2">
        <f>$S832+$R832+INDEX(Tables!$N$5:$Q$8,MATCH(MOD($S832+$R832,4),Tables!$M$5:$M$8,0),MATCH($R833,Tables!$N$4:$Q$4,0))</f>
        <v>3148</v>
      </c>
      <c r="T833" s="2" t="str">
        <f t="shared" si="198"/>
        <v>0C4C</v>
      </c>
      <c r="U833" s="2">
        <f t="shared" si="204"/>
        <v>787</v>
      </c>
      <c r="V833" s="2" t="str">
        <f t="shared" si="199"/>
        <v>313</v>
      </c>
      <c r="W833" s="2" t="str">
        <f t="shared" si="200"/>
        <v>X</v>
      </c>
      <c r="X833" s="2" t="str">
        <f t="shared" si="203"/>
        <v>X</v>
      </c>
      <c r="Y833" s="2" t="str">
        <f t="shared" si="201"/>
        <v>X</v>
      </c>
      <c r="Z833" s="2" t="str">
        <f t="shared" si="202"/>
        <v>X</v>
      </c>
      <c r="AA833" s="2" t="str">
        <f t="shared" si="205"/>
        <v>(31 downto 24)</v>
      </c>
      <c r="AB833" s="2" t="str">
        <f t="shared" si="206"/>
        <v>(23 downto 16)</v>
      </c>
      <c r="AC833" s="2" t="str">
        <f t="shared" si="207"/>
        <v>(15 downto 8)</v>
      </c>
      <c r="AD833" s="2" t="str">
        <f t="shared" si="208"/>
        <v>(7 downto 0)</v>
      </c>
      <c r="AE833" s="2" t="str">
        <f t="shared" si="209"/>
        <v>(31 downto 24)</v>
      </c>
      <c r="AF833" s="2" t="str">
        <f t="shared" si="210"/>
        <v>(23 downto 16)</v>
      </c>
      <c r="AG833" s="2" t="str">
        <f t="shared" si="211"/>
        <v>(15 downto 8)</v>
      </c>
      <c r="AH833" s="2" t="str">
        <f t="shared" si="212"/>
        <v>(7 downto 0)</v>
      </c>
    </row>
    <row r="834" spans="2:34" x14ac:dyDescent="0.25">
      <c r="B834" s="2" t="s">
        <v>2317</v>
      </c>
      <c r="C834" s="2" t="s">
        <v>141</v>
      </c>
      <c r="D834" s="2" t="s">
        <v>0</v>
      </c>
      <c r="E834" s="2" t="s">
        <v>130</v>
      </c>
      <c r="F834" s="2" t="s">
        <v>2318</v>
      </c>
      <c r="G834" s="2" t="s">
        <v>2319</v>
      </c>
      <c r="H834" s="2" t="s">
        <v>142</v>
      </c>
      <c r="I834" s="2" t="s">
        <v>41</v>
      </c>
      <c r="J834" s="2">
        <v>32</v>
      </c>
      <c r="K834" s="2" t="s">
        <v>132</v>
      </c>
      <c r="L834" s="2" t="s">
        <v>40</v>
      </c>
      <c r="P834" s="2" t="s">
        <v>48</v>
      </c>
      <c r="Q834" s="2">
        <f>INDEX(Tables!$C$4:$C$28,MATCH($P834,Tables!$B$4:$B$28,0))</f>
        <v>32</v>
      </c>
      <c r="R834" s="2">
        <f>INDEX(Tables!$D$4:$D$28,MATCH($P834,Tables!$B$4:$B$28,0))</f>
        <v>4</v>
      </c>
      <c r="S834" s="2">
        <f>$S833+$R833+INDEX(Tables!$N$5:$Q$8,MATCH(MOD($S833+$R833,4),Tables!$M$5:$M$8,0),MATCH($R834,Tables!$N$4:$Q$4,0))</f>
        <v>3152</v>
      </c>
      <c r="T834" s="2" t="str">
        <f t="shared" si="198"/>
        <v>0C50</v>
      </c>
      <c r="U834" s="2">
        <f t="shared" si="204"/>
        <v>788</v>
      </c>
      <c r="V834" s="2" t="str">
        <f t="shared" si="199"/>
        <v>314</v>
      </c>
      <c r="W834" s="2" t="str">
        <f t="shared" si="200"/>
        <v>X</v>
      </c>
      <c r="X834" s="2" t="str">
        <f t="shared" si="203"/>
        <v>X</v>
      </c>
      <c r="Y834" s="2" t="str">
        <f t="shared" si="201"/>
        <v>X</v>
      </c>
      <c r="Z834" s="2" t="str">
        <f t="shared" si="202"/>
        <v>X</v>
      </c>
      <c r="AA834" s="2" t="str">
        <f t="shared" si="205"/>
        <v>(31 downto 24)</v>
      </c>
      <c r="AB834" s="2" t="str">
        <f t="shared" si="206"/>
        <v>(23 downto 16)</v>
      </c>
      <c r="AC834" s="2" t="str">
        <f t="shared" si="207"/>
        <v>(15 downto 8)</v>
      </c>
      <c r="AD834" s="2" t="str">
        <f t="shared" si="208"/>
        <v>(7 downto 0)</v>
      </c>
      <c r="AE834" s="2" t="str">
        <f t="shared" si="209"/>
        <v>(31 downto 24)</v>
      </c>
      <c r="AF834" s="2" t="str">
        <f t="shared" si="210"/>
        <v>(23 downto 16)</v>
      </c>
      <c r="AG834" s="2" t="str">
        <f t="shared" si="211"/>
        <v>(15 downto 8)</v>
      </c>
      <c r="AH834" s="2" t="str">
        <f t="shared" si="212"/>
        <v>(7 downto 0)</v>
      </c>
    </row>
    <row r="835" spans="2:34" x14ac:dyDescent="0.25">
      <c r="B835" s="2" t="s">
        <v>2320</v>
      </c>
      <c r="C835" s="2" t="s">
        <v>141</v>
      </c>
      <c r="D835" s="2" t="s">
        <v>0</v>
      </c>
      <c r="E835" s="2" t="s">
        <v>130</v>
      </c>
      <c r="F835" s="2" t="s">
        <v>2321</v>
      </c>
      <c r="G835" s="2" t="s">
        <v>2322</v>
      </c>
      <c r="H835" s="2" t="s">
        <v>142</v>
      </c>
      <c r="I835" s="2" t="s">
        <v>41</v>
      </c>
      <c r="J835" s="2">
        <v>32</v>
      </c>
      <c r="K835" s="2" t="s">
        <v>132</v>
      </c>
      <c r="L835" s="2" t="s">
        <v>40</v>
      </c>
      <c r="P835" s="2" t="s">
        <v>48</v>
      </c>
      <c r="Q835" s="2">
        <f>INDEX(Tables!$C$4:$C$28,MATCH($P835,Tables!$B$4:$B$28,0))</f>
        <v>32</v>
      </c>
      <c r="R835" s="2">
        <f>INDEX(Tables!$D$4:$D$28,MATCH($P835,Tables!$B$4:$B$28,0))</f>
        <v>4</v>
      </c>
      <c r="S835" s="2">
        <f>$S834+$R834+INDEX(Tables!$N$5:$Q$8,MATCH(MOD($S834+$R834,4),Tables!$M$5:$M$8,0),MATCH($R835,Tables!$N$4:$Q$4,0))</f>
        <v>3156</v>
      </c>
      <c r="T835" s="2" t="str">
        <f t="shared" si="198"/>
        <v>0C54</v>
      </c>
      <c r="U835" s="2">
        <f t="shared" si="204"/>
        <v>789</v>
      </c>
      <c r="V835" s="2" t="str">
        <f t="shared" si="199"/>
        <v>315</v>
      </c>
      <c r="W835" s="2" t="str">
        <f t="shared" si="200"/>
        <v>X</v>
      </c>
      <c r="X835" s="2" t="str">
        <f t="shared" si="203"/>
        <v>X</v>
      </c>
      <c r="Y835" s="2" t="str">
        <f t="shared" si="201"/>
        <v>X</v>
      </c>
      <c r="Z835" s="2" t="str">
        <f t="shared" si="202"/>
        <v>X</v>
      </c>
      <c r="AA835" s="2" t="str">
        <f t="shared" si="205"/>
        <v>(31 downto 24)</v>
      </c>
      <c r="AB835" s="2" t="str">
        <f t="shared" si="206"/>
        <v>(23 downto 16)</v>
      </c>
      <c r="AC835" s="2" t="str">
        <f t="shared" si="207"/>
        <v>(15 downto 8)</v>
      </c>
      <c r="AD835" s="2" t="str">
        <f t="shared" si="208"/>
        <v>(7 downto 0)</v>
      </c>
      <c r="AE835" s="2" t="str">
        <f t="shared" si="209"/>
        <v>(31 downto 24)</v>
      </c>
      <c r="AF835" s="2" t="str">
        <f t="shared" si="210"/>
        <v>(23 downto 16)</v>
      </c>
      <c r="AG835" s="2" t="str">
        <f t="shared" si="211"/>
        <v>(15 downto 8)</v>
      </c>
      <c r="AH835" s="2" t="str">
        <f t="shared" si="212"/>
        <v>(7 downto 0)</v>
      </c>
    </row>
    <row r="836" spans="2:34" x14ac:dyDescent="0.25">
      <c r="B836" s="2" t="s">
        <v>2323</v>
      </c>
      <c r="C836" s="2" t="s">
        <v>141</v>
      </c>
      <c r="D836" s="2" t="s">
        <v>0</v>
      </c>
      <c r="E836" s="2" t="s">
        <v>130</v>
      </c>
      <c r="F836" s="2" t="s">
        <v>2324</v>
      </c>
      <c r="G836" s="2" t="s">
        <v>2325</v>
      </c>
      <c r="H836" s="2" t="s">
        <v>142</v>
      </c>
      <c r="I836" s="2" t="s">
        <v>41</v>
      </c>
      <c r="J836" s="2">
        <v>32</v>
      </c>
      <c r="K836" s="2" t="s">
        <v>132</v>
      </c>
      <c r="L836" s="2" t="s">
        <v>40</v>
      </c>
      <c r="P836" s="2" t="s">
        <v>48</v>
      </c>
      <c r="Q836" s="2">
        <f>INDEX(Tables!$C$4:$C$28,MATCH($P836,Tables!$B$4:$B$28,0))</f>
        <v>32</v>
      </c>
      <c r="R836" s="2">
        <f>INDEX(Tables!$D$4:$D$28,MATCH($P836,Tables!$B$4:$B$28,0))</f>
        <v>4</v>
      </c>
      <c r="S836" s="2">
        <f>$S835+$R835+INDEX(Tables!$N$5:$Q$8,MATCH(MOD($S835+$R835,4),Tables!$M$5:$M$8,0),MATCH($R836,Tables!$N$4:$Q$4,0))</f>
        <v>3160</v>
      </c>
      <c r="T836" s="2" t="str">
        <f t="shared" si="198"/>
        <v>0C58</v>
      </c>
      <c r="U836" s="2">
        <f t="shared" si="204"/>
        <v>790</v>
      </c>
      <c r="V836" s="2" t="str">
        <f t="shared" si="199"/>
        <v>316</v>
      </c>
      <c r="W836" s="2" t="str">
        <f t="shared" si="200"/>
        <v>X</v>
      </c>
      <c r="X836" s="2" t="str">
        <f t="shared" si="203"/>
        <v>X</v>
      </c>
      <c r="Y836" s="2" t="str">
        <f t="shared" si="201"/>
        <v>X</v>
      </c>
      <c r="Z836" s="2" t="str">
        <f t="shared" si="202"/>
        <v>X</v>
      </c>
      <c r="AA836" s="2" t="str">
        <f t="shared" si="205"/>
        <v>(31 downto 24)</v>
      </c>
      <c r="AB836" s="2" t="str">
        <f t="shared" si="206"/>
        <v>(23 downto 16)</v>
      </c>
      <c r="AC836" s="2" t="str">
        <f t="shared" si="207"/>
        <v>(15 downto 8)</v>
      </c>
      <c r="AD836" s="2" t="str">
        <f t="shared" si="208"/>
        <v>(7 downto 0)</v>
      </c>
      <c r="AE836" s="2" t="str">
        <f t="shared" si="209"/>
        <v>(31 downto 24)</v>
      </c>
      <c r="AF836" s="2" t="str">
        <f t="shared" si="210"/>
        <v>(23 downto 16)</v>
      </c>
      <c r="AG836" s="2" t="str">
        <f t="shared" si="211"/>
        <v>(15 downto 8)</v>
      </c>
      <c r="AH836" s="2" t="str">
        <f t="shared" si="212"/>
        <v>(7 downto 0)</v>
      </c>
    </row>
    <row r="837" spans="2:34" x14ac:dyDescent="0.25">
      <c r="B837" s="2" t="s">
        <v>2326</v>
      </c>
      <c r="C837" s="2" t="s">
        <v>141</v>
      </c>
      <c r="D837" s="2" t="s">
        <v>0</v>
      </c>
      <c r="E837" s="2" t="s">
        <v>130</v>
      </c>
      <c r="F837" s="2" t="s">
        <v>2327</v>
      </c>
      <c r="G837" s="2" t="s">
        <v>2328</v>
      </c>
      <c r="H837" s="2" t="s">
        <v>142</v>
      </c>
      <c r="I837" s="2" t="s">
        <v>41</v>
      </c>
      <c r="J837" s="2">
        <v>32</v>
      </c>
      <c r="K837" s="2" t="s">
        <v>132</v>
      </c>
      <c r="L837" s="2" t="s">
        <v>40</v>
      </c>
      <c r="P837" s="2" t="s">
        <v>48</v>
      </c>
      <c r="Q837" s="2">
        <f>INDEX(Tables!$C$4:$C$28,MATCH($P837,Tables!$B$4:$B$28,0))</f>
        <v>32</v>
      </c>
      <c r="R837" s="2">
        <f>INDEX(Tables!$D$4:$D$28,MATCH($P837,Tables!$B$4:$B$28,0))</f>
        <v>4</v>
      </c>
      <c r="S837" s="2">
        <f>$S836+$R836+INDEX(Tables!$N$5:$Q$8,MATCH(MOD($S836+$R836,4),Tables!$M$5:$M$8,0),MATCH($R837,Tables!$N$4:$Q$4,0))</f>
        <v>3164</v>
      </c>
      <c r="T837" s="2" t="str">
        <f t="shared" ref="T837:T900" si="213">DEC2HEX($S837,4)</f>
        <v>0C5C</v>
      </c>
      <c r="U837" s="2">
        <f t="shared" si="204"/>
        <v>791</v>
      </c>
      <c r="V837" s="2" t="str">
        <f t="shared" ref="V837:V900" si="214">DEC2HEX($U837,3)</f>
        <v>317</v>
      </c>
      <c r="W837" s="2" t="str">
        <f t="shared" ref="W837:W900" si="215">IF(MOD($S837,4)=3,"X",IF(AND(MOD($S837,4)=2,$J837&gt;8),"X",IF(AND(MOD($S837,4)=1,$J837&gt;16),"X",IF(AND(MOD($S837,4)=0,$J837&gt;24),"X",""))))</f>
        <v>X</v>
      </c>
      <c r="X837" s="2" t="str">
        <f t="shared" si="203"/>
        <v>X</v>
      </c>
      <c r="Y837" s="2" t="str">
        <f t="shared" ref="Y837:Y900" si="216">IF(MOD($S837,4)=1,"X",IF(AND(MOD($S837,4)=0,$J837&gt;8),"X",""))</f>
        <v>X</v>
      </c>
      <c r="Z837" s="2" t="str">
        <f t="shared" ref="Z837:Z900" si="217">IF(MOD($S837,4)=0,"X","")</f>
        <v>X</v>
      </c>
      <c r="AA837" s="2" t="str">
        <f t="shared" si="205"/>
        <v>(31 downto 24)</v>
      </c>
      <c r="AB837" s="2" t="str">
        <f t="shared" si="206"/>
        <v>(23 downto 16)</v>
      </c>
      <c r="AC837" s="2" t="str">
        <f t="shared" si="207"/>
        <v>(15 downto 8)</v>
      </c>
      <c r="AD837" s="2" t="str">
        <f t="shared" si="208"/>
        <v>(7 downto 0)</v>
      </c>
      <c r="AE837" s="2" t="str">
        <f t="shared" si="209"/>
        <v>(31 downto 24)</v>
      </c>
      <c r="AF837" s="2" t="str">
        <f t="shared" si="210"/>
        <v>(23 downto 16)</v>
      </c>
      <c r="AG837" s="2" t="str">
        <f t="shared" si="211"/>
        <v>(15 downto 8)</v>
      </c>
      <c r="AH837" s="2" t="str">
        <f t="shared" si="212"/>
        <v>(7 downto 0)</v>
      </c>
    </row>
    <row r="838" spans="2:34" x14ac:dyDescent="0.25">
      <c r="B838" s="2" t="s">
        <v>2329</v>
      </c>
      <c r="C838" s="2" t="s">
        <v>141</v>
      </c>
      <c r="D838" s="2" t="s">
        <v>0</v>
      </c>
      <c r="E838" s="2" t="s">
        <v>130</v>
      </c>
      <c r="F838" s="2" t="s">
        <v>2330</v>
      </c>
      <c r="G838" s="2" t="s">
        <v>2331</v>
      </c>
      <c r="H838" s="2" t="s">
        <v>142</v>
      </c>
      <c r="I838" s="2" t="s">
        <v>41</v>
      </c>
      <c r="J838" s="2">
        <v>32</v>
      </c>
      <c r="K838" s="2" t="s">
        <v>132</v>
      </c>
      <c r="L838" s="2" t="s">
        <v>40</v>
      </c>
      <c r="P838" s="2" t="s">
        <v>48</v>
      </c>
      <c r="Q838" s="2">
        <f>INDEX(Tables!$C$4:$C$28,MATCH($P838,Tables!$B$4:$B$28,0))</f>
        <v>32</v>
      </c>
      <c r="R838" s="2">
        <f>INDEX(Tables!$D$4:$D$28,MATCH($P838,Tables!$B$4:$B$28,0))</f>
        <v>4</v>
      </c>
      <c r="S838" s="2">
        <f>$S837+$R837+INDEX(Tables!$N$5:$Q$8,MATCH(MOD($S837+$R837,4),Tables!$M$5:$M$8,0),MATCH($R838,Tables!$N$4:$Q$4,0))</f>
        <v>3168</v>
      </c>
      <c r="T838" s="2" t="str">
        <f t="shared" si="213"/>
        <v>0C60</v>
      </c>
      <c r="U838" s="2">
        <f t="shared" si="204"/>
        <v>792</v>
      </c>
      <c r="V838" s="2" t="str">
        <f t="shared" si="214"/>
        <v>318</v>
      </c>
      <c r="W838" s="2" t="str">
        <f t="shared" si="215"/>
        <v>X</v>
      </c>
      <c r="X838" s="2" t="str">
        <f t="shared" ref="X838:X901" si="218">IF(MOD($S838,4)=2,"X",IF(AND(MOD($S838,4)=1,$J838&gt;8),"X",IF(AND(MOD($S838,4)=0,$J838&gt;16),"X","")))</f>
        <v>X</v>
      </c>
      <c r="Y838" s="2" t="str">
        <f t="shared" si="216"/>
        <v>X</v>
      </c>
      <c r="Z838" s="2" t="str">
        <f t="shared" si="217"/>
        <v>X</v>
      </c>
      <c r="AA838" s="2" t="str">
        <f t="shared" si="205"/>
        <v>(31 downto 24)</v>
      </c>
      <c r="AB838" s="2" t="str">
        <f t="shared" si="206"/>
        <v>(23 downto 16)</v>
      </c>
      <c r="AC838" s="2" t="str">
        <f t="shared" si="207"/>
        <v>(15 downto 8)</v>
      </c>
      <c r="AD838" s="2" t="str">
        <f t="shared" si="208"/>
        <v>(7 downto 0)</v>
      </c>
      <c r="AE838" s="2" t="str">
        <f t="shared" si="209"/>
        <v>(31 downto 24)</v>
      </c>
      <c r="AF838" s="2" t="str">
        <f t="shared" si="210"/>
        <v>(23 downto 16)</v>
      </c>
      <c r="AG838" s="2" t="str">
        <f t="shared" si="211"/>
        <v>(15 downto 8)</v>
      </c>
      <c r="AH838" s="2" t="str">
        <f t="shared" si="212"/>
        <v>(7 downto 0)</v>
      </c>
    </row>
    <row r="839" spans="2:34" x14ac:dyDescent="0.25">
      <c r="B839" s="2" t="s">
        <v>2332</v>
      </c>
      <c r="C839" s="2" t="s">
        <v>141</v>
      </c>
      <c r="D839" s="2" t="s">
        <v>0</v>
      </c>
      <c r="E839" s="2" t="s">
        <v>130</v>
      </c>
      <c r="F839" s="2" t="s">
        <v>2333</v>
      </c>
      <c r="G839" s="2" t="s">
        <v>2334</v>
      </c>
      <c r="H839" s="2" t="s">
        <v>142</v>
      </c>
      <c r="I839" s="2" t="s">
        <v>41</v>
      </c>
      <c r="J839" s="2">
        <v>32</v>
      </c>
      <c r="K839" s="2" t="s">
        <v>132</v>
      </c>
      <c r="L839" s="2" t="s">
        <v>40</v>
      </c>
      <c r="P839" s="2" t="s">
        <v>48</v>
      </c>
      <c r="Q839" s="2">
        <f>INDEX(Tables!$C$4:$C$28,MATCH($P839,Tables!$B$4:$B$28,0))</f>
        <v>32</v>
      </c>
      <c r="R839" s="2">
        <f>INDEX(Tables!$D$4:$D$28,MATCH($P839,Tables!$B$4:$B$28,0))</f>
        <v>4</v>
      </c>
      <c r="S839" s="2">
        <f>$S838+$R838+INDEX(Tables!$N$5:$Q$8,MATCH(MOD($S838+$R838,4),Tables!$M$5:$M$8,0),MATCH($R839,Tables!$N$4:$Q$4,0))</f>
        <v>3172</v>
      </c>
      <c r="T839" s="2" t="str">
        <f t="shared" si="213"/>
        <v>0C64</v>
      </c>
      <c r="U839" s="2">
        <f t="shared" si="204"/>
        <v>793</v>
      </c>
      <c r="V839" s="2" t="str">
        <f t="shared" si="214"/>
        <v>319</v>
      </c>
      <c r="W839" s="2" t="str">
        <f t="shared" si="215"/>
        <v>X</v>
      </c>
      <c r="X839" s="2" t="str">
        <f t="shared" si="218"/>
        <v>X</v>
      </c>
      <c r="Y839" s="2" t="str">
        <f t="shared" si="216"/>
        <v>X</v>
      </c>
      <c r="Z839" s="2" t="str">
        <f t="shared" si="217"/>
        <v>X</v>
      </c>
      <c r="AA839" s="2" t="str">
        <f t="shared" si="205"/>
        <v>(31 downto 24)</v>
      </c>
      <c r="AB839" s="2" t="str">
        <f t="shared" si="206"/>
        <v>(23 downto 16)</v>
      </c>
      <c r="AC839" s="2" t="str">
        <f t="shared" si="207"/>
        <v>(15 downto 8)</v>
      </c>
      <c r="AD839" s="2" t="str">
        <f t="shared" si="208"/>
        <v>(7 downto 0)</v>
      </c>
      <c r="AE839" s="2" t="str">
        <f t="shared" si="209"/>
        <v>(31 downto 24)</v>
      </c>
      <c r="AF839" s="2" t="str">
        <f t="shared" si="210"/>
        <v>(23 downto 16)</v>
      </c>
      <c r="AG839" s="2" t="str">
        <f t="shared" si="211"/>
        <v>(15 downto 8)</v>
      </c>
      <c r="AH839" s="2" t="str">
        <f t="shared" si="212"/>
        <v>(7 downto 0)</v>
      </c>
    </row>
    <row r="840" spans="2:34" x14ac:dyDescent="0.25">
      <c r="B840" s="2" t="s">
        <v>2335</v>
      </c>
      <c r="C840" s="2" t="s">
        <v>141</v>
      </c>
      <c r="D840" s="2" t="s">
        <v>0</v>
      </c>
      <c r="E840" s="2" t="s">
        <v>130</v>
      </c>
      <c r="F840" s="2" t="s">
        <v>2336</v>
      </c>
      <c r="G840" s="2" t="s">
        <v>2337</v>
      </c>
      <c r="H840" s="2" t="s">
        <v>142</v>
      </c>
      <c r="I840" s="2" t="s">
        <v>41</v>
      </c>
      <c r="J840" s="2">
        <v>32</v>
      </c>
      <c r="K840" s="2" t="s">
        <v>132</v>
      </c>
      <c r="L840" s="2" t="s">
        <v>40</v>
      </c>
      <c r="P840" s="2" t="s">
        <v>48</v>
      </c>
      <c r="Q840" s="2">
        <f>INDEX(Tables!$C$4:$C$28,MATCH($P840,Tables!$B$4:$B$28,0))</f>
        <v>32</v>
      </c>
      <c r="R840" s="2">
        <f>INDEX(Tables!$D$4:$D$28,MATCH($P840,Tables!$B$4:$B$28,0))</f>
        <v>4</v>
      </c>
      <c r="S840" s="2">
        <f>$S839+$R839+INDEX(Tables!$N$5:$Q$8,MATCH(MOD($S839+$R839,4),Tables!$M$5:$M$8,0),MATCH($R840,Tables!$N$4:$Q$4,0))</f>
        <v>3176</v>
      </c>
      <c r="T840" s="2" t="str">
        <f t="shared" si="213"/>
        <v>0C68</v>
      </c>
      <c r="U840" s="2">
        <f t="shared" si="204"/>
        <v>794</v>
      </c>
      <c r="V840" s="2" t="str">
        <f t="shared" si="214"/>
        <v>31A</v>
      </c>
      <c r="W840" s="2" t="str">
        <f t="shared" si="215"/>
        <v>X</v>
      </c>
      <c r="X840" s="2" t="str">
        <f t="shared" si="218"/>
        <v>X</v>
      </c>
      <c r="Y840" s="2" t="str">
        <f t="shared" si="216"/>
        <v>X</v>
      </c>
      <c r="Z840" s="2" t="str">
        <f t="shared" si="217"/>
        <v>X</v>
      </c>
      <c r="AA840" s="2" t="str">
        <f t="shared" si="205"/>
        <v>(31 downto 24)</v>
      </c>
      <c r="AB840" s="2" t="str">
        <f t="shared" si="206"/>
        <v>(23 downto 16)</v>
      </c>
      <c r="AC840" s="2" t="str">
        <f t="shared" si="207"/>
        <v>(15 downto 8)</v>
      </c>
      <c r="AD840" s="2" t="str">
        <f t="shared" si="208"/>
        <v>(7 downto 0)</v>
      </c>
      <c r="AE840" s="2" t="str">
        <f t="shared" si="209"/>
        <v>(31 downto 24)</v>
      </c>
      <c r="AF840" s="2" t="str">
        <f t="shared" si="210"/>
        <v>(23 downto 16)</v>
      </c>
      <c r="AG840" s="2" t="str">
        <f t="shared" si="211"/>
        <v>(15 downto 8)</v>
      </c>
      <c r="AH840" s="2" t="str">
        <f t="shared" si="212"/>
        <v>(7 downto 0)</v>
      </c>
    </row>
    <row r="841" spans="2:34" x14ac:dyDescent="0.25">
      <c r="B841" s="2" t="s">
        <v>2338</v>
      </c>
      <c r="C841" s="2" t="s">
        <v>141</v>
      </c>
      <c r="D841" s="2" t="s">
        <v>0</v>
      </c>
      <c r="E841" s="2" t="s">
        <v>130</v>
      </c>
      <c r="F841" s="2" t="s">
        <v>2339</v>
      </c>
      <c r="G841" s="2" t="s">
        <v>2340</v>
      </c>
      <c r="H841" s="2" t="s">
        <v>142</v>
      </c>
      <c r="I841" s="2" t="s">
        <v>41</v>
      </c>
      <c r="J841" s="2">
        <v>32</v>
      </c>
      <c r="K841" s="2" t="s">
        <v>132</v>
      </c>
      <c r="L841" s="2" t="s">
        <v>40</v>
      </c>
      <c r="P841" s="2" t="s">
        <v>48</v>
      </c>
      <c r="Q841" s="2">
        <f>INDEX(Tables!$C$4:$C$28,MATCH($P841,Tables!$B$4:$B$28,0))</f>
        <v>32</v>
      </c>
      <c r="R841" s="2">
        <f>INDEX(Tables!$D$4:$D$28,MATCH($P841,Tables!$B$4:$B$28,0))</f>
        <v>4</v>
      </c>
      <c r="S841" s="2">
        <f>$S840+$R840+INDEX(Tables!$N$5:$Q$8,MATCH(MOD($S840+$R840,4),Tables!$M$5:$M$8,0),MATCH($R841,Tables!$N$4:$Q$4,0))</f>
        <v>3180</v>
      </c>
      <c r="T841" s="2" t="str">
        <f t="shared" si="213"/>
        <v>0C6C</v>
      </c>
      <c r="U841" s="2">
        <f t="shared" ref="U841:U904" si="219">ROUNDDOWN(S841/4,0)</f>
        <v>795</v>
      </c>
      <c r="V841" s="2" t="str">
        <f t="shared" si="214"/>
        <v>31B</v>
      </c>
      <c r="W841" s="2" t="str">
        <f t="shared" si="215"/>
        <v>X</v>
      </c>
      <c r="X841" s="2" t="str">
        <f t="shared" si="218"/>
        <v>X</v>
      </c>
      <c r="Y841" s="2" t="str">
        <f t="shared" si="216"/>
        <v>X</v>
      </c>
      <c r="Z841" s="2" t="str">
        <f t="shared" si="217"/>
        <v>X</v>
      </c>
      <c r="AA841" s="2" t="str">
        <f t="shared" ref="AA841:AA904" si="220">IF(W841="","",CONCATENATE("(",IF(($J841-COUNTIF($X841:$Z841,"X")*8)=1,"24)",CONCATENATE(IF(($J841-COUNTIF($X841:$Z841,"X")*8)&gt;=8,32,($J841-COUNTIF($X841:$Z841,"X")*8)+24)-1," downto 24)"))))</f>
        <v>(31 downto 24)</v>
      </c>
      <c r="AB841" s="2" t="str">
        <f t="shared" ref="AB841:AB904" si="221">IF(X841="","",CONCATENATE("(",IF(($J841-COUNTIF($Y841:$Z841,"X")*8)=1,"16)",CONCATENATE(IF(($J841-COUNTIF($Y841:$Z841,"X")*8)&gt;=8,24,($J841-COUNTIF($Y841:$Z841,"X")*8)+16)-1," downto 16)"))))</f>
        <v>(23 downto 16)</v>
      </c>
      <c r="AC841" s="2" t="str">
        <f t="shared" ref="AC841:AC904" si="222">IF(Y841="","",CONCATENATE("(",IF(($J841-COUNTIF($Z841,"X")*8)=1,"8)",CONCATENATE(IF(($J841-COUNTIF($Z841,"X")*8)&gt;=8,16,($J841-COUNTIF($Z841,"X")*8)+8)-1," downto 8)"))))</f>
        <v>(15 downto 8)</v>
      </c>
      <c r="AD841" s="2" t="str">
        <f t="shared" ref="AD841:AD904" si="223">IF(Z841="","",CONCATENATE("(",IF($J841=1,"0)",CONCATENATE(IF($J841&gt;=8,8,$J841)-1," downto 0)"))))</f>
        <v>(7 downto 0)</v>
      </c>
      <c r="AE841" s="2" t="str">
        <f t="shared" ref="AE841:AE904" si="224">IF(W841="","",IF($J841&lt;=8,"",IF(($J841-COUNTIF($X841:$Z841,"X")*8)=1,CONCATENATE("(",($J841-1),")"),CONCATENATE("(",IF(($J841-COUNTIF($X841:$Z841,"X")*8)&gt;=8,COUNTIF($X841:$Z841,"X")*8+7,$J841-COUNTIF($X841:$Z841,"X")*8-1+COUNTIF($X841:$Z841,"X")*8)," downto ",COUNTIF($X841:$Z841,"X")*8,")"))))</f>
        <v>(31 downto 24)</v>
      </c>
      <c r="AF841" s="2" t="str">
        <f t="shared" ref="AF841:AF904" si="225">IF(X841="","",IF($J841&lt;=8,"",IF(($J841-COUNTIF($Y841:$Z841,"X")*8)=1,CONCATENATE("(",($J841-1),")"),CONCATENATE("(",IF(($J841-COUNTIF($Y841:$Z841,"X")*8)&gt;=8,COUNTIF($Y841:$Z841,"X")*8+7,$J841-COUNTIF($Y841:$Z841,"X")*8-1+COUNTIF($Y841:$Z841,"X")*8)," downto ",COUNTIF($Y841:$Z841,"X")*8,")"))))</f>
        <v>(23 downto 16)</v>
      </c>
      <c r="AG841" s="2" t="str">
        <f t="shared" ref="AG841:AG904" si="226">IF(Y841="","",IF($J841&lt;=8,"",IF(($J841-COUNTIF($Z841,"X")*8)=1,CONCATENATE("(",($J841-1),")"),CONCATENATE("(",IF(($J841-COUNTIF($Z841,"X")*8)&gt;=8,COUNTIF($Z841,"X")*8+7,$J841-COUNTIF($Z841,"X")*8-1+COUNTIF($Z841,"X")*8)," downto ",COUNTIF($Z841,"X")*8,")"))))</f>
        <v>(15 downto 8)</v>
      </c>
      <c r="AH841" s="2" t="str">
        <f t="shared" ref="AH841:AH904" si="227">IF(Z841="","",IF($J841&lt;=8,"",CONCATENATE("(",IF($J841&gt;=8,7,$J841-1)," downto ",0,")")))</f>
        <v>(7 downto 0)</v>
      </c>
    </row>
    <row r="842" spans="2:34" x14ac:dyDescent="0.25">
      <c r="B842" s="2" t="s">
        <v>2341</v>
      </c>
      <c r="C842" s="2" t="s">
        <v>141</v>
      </c>
      <c r="D842" s="2" t="s">
        <v>0</v>
      </c>
      <c r="E842" s="2" t="s">
        <v>130</v>
      </c>
      <c r="F842" s="2" t="s">
        <v>2342</v>
      </c>
      <c r="G842" s="2" t="s">
        <v>2343</v>
      </c>
      <c r="H842" s="2" t="s">
        <v>142</v>
      </c>
      <c r="I842" s="2" t="s">
        <v>41</v>
      </c>
      <c r="J842" s="2">
        <v>32</v>
      </c>
      <c r="K842" s="2" t="s">
        <v>132</v>
      </c>
      <c r="L842" s="2" t="s">
        <v>40</v>
      </c>
      <c r="P842" s="2" t="s">
        <v>48</v>
      </c>
      <c r="Q842" s="2">
        <f>INDEX(Tables!$C$4:$C$28,MATCH($P842,Tables!$B$4:$B$28,0))</f>
        <v>32</v>
      </c>
      <c r="R842" s="2">
        <f>INDEX(Tables!$D$4:$D$28,MATCH($P842,Tables!$B$4:$B$28,0))</f>
        <v>4</v>
      </c>
      <c r="S842" s="2">
        <f>$S841+$R841+INDEX(Tables!$N$5:$Q$8,MATCH(MOD($S841+$R841,4),Tables!$M$5:$M$8,0),MATCH($R842,Tables!$N$4:$Q$4,0))</f>
        <v>3184</v>
      </c>
      <c r="T842" s="2" t="str">
        <f t="shared" si="213"/>
        <v>0C70</v>
      </c>
      <c r="U842" s="2">
        <f t="shared" si="219"/>
        <v>796</v>
      </c>
      <c r="V842" s="2" t="str">
        <f t="shared" si="214"/>
        <v>31C</v>
      </c>
      <c r="W842" s="2" t="str">
        <f t="shared" si="215"/>
        <v>X</v>
      </c>
      <c r="X842" s="2" t="str">
        <f t="shared" si="218"/>
        <v>X</v>
      </c>
      <c r="Y842" s="2" t="str">
        <f t="shared" si="216"/>
        <v>X</v>
      </c>
      <c r="Z842" s="2" t="str">
        <f t="shared" si="217"/>
        <v>X</v>
      </c>
      <c r="AA842" s="2" t="str">
        <f t="shared" si="220"/>
        <v>(31 downto 24)</v>
      </c>
      <c r="AB842" s="2" t="str">
        <f t="shared" si="221"/>
        <v>(23 downto 16)</v>
      </c>
      <c r="AC842" s="2" t="str">
        <f t="shared" si="222"/>
        <v>(15 downto 8)</v>
      </c>
      <c r="AD842" s="2" t="str">
        <f t="shared" si="223"/>
        <v>(7 downto 0)</v>
      </c>
      <c r="AE842" s="2" t="str">
        <f t="shared" si="224"/>
        <v>(31 downto 24)</v>
      </c>
      <c r="AF842" s="2" t="str">
        <f t="shared" si="225"/>
        <v>(23 downto 16)</v>
      </c>
      <c r="AG842" s="2" t="str">
        <f t="shared" si="226"/>
        <v>(15 downto 8)</v>
      </c>
      <c r="AH842" s="2" t="str">
        <f t="shared" si="227"/>
        <v>(7 downto 0)</v>
      </c>
    </row>
    <row r="843" spans="2:34" x14ac:dyDescent="0.25">
      <c r="B843" s="2" t="s">
        <v>2344</v>
      </c>
      <c r="C843" s="2" t="s">
        <v>141</v>
      </c>
      <c r="D843" s="2" t="s">
        <v>0</v>
      </c>
      <c r="E843" s="2" t="s">
        <v>130</v>
      </c>
      <c r="F843" s="2" t="s">
        <v>2345</v>
      </c>
      <c r="G843" s="2" t="s">
        <v>2346</v>
      </c>
      <c r="H843" s="2" t="s">
        <v>142</v>
      </c>
      <c r="I843" s="2" t="s">
        <v>41</v>
      </c>
      <c r="J843" s="2">
        <v>32</v>
      </c>
      <c r="K843" s="2" t="s">
        <v>132</v>
      </c>
      <c r="L843" s="2" t="s">
        <v>40</v>
      </c>
      <c r="P843" s="2" t="s">
        <v>48</v>
      </c>
      <c r="Q843" s="2">
        <f>INDEX(Tables!$C$4:$C$28,MATCH($P843,Tables!$B$4:$B$28,0))</f>
        <v>32</v>
      </c>
      <c r="R843" s="2">
        <f>INDEX(Tables!$D$4:$D$28,MATCH($P843,Tables!$B$4:$B$28,0))</f>
        <v>4</v>
      </c>
      <c r="S843" s="2">
        <f>$S842+$R842+INDEX(Tables!$N$5:$Q$8,MATCH(MOD($S842+$R842,4),Tables!$M$5:$M$8,0),MATCH($R843,Tables!$N$4:$Q$4,0))</f>
        <v>3188</v>
      </c>
      <c r="T843" s="2" t="str">
        <f t="shared" si="213"/>
        <v>0C74</v>
      </c>
      <c r="U843" s="2">
        <f t="shared" si="219"/>
        <v>797</v>
      </c>
      <c r="V843" s="2" t="str">
        <f t="shared" si="214"/>
        <v>31D</v>
      </c>
      <c r="W843" s="2" t="str">
        <f t="shared" si="215"/>
        <v>X</v>
      </c>
      <c r="X843" s="2" t="str">
        <f t="shared" si="218"/>
        <v>X</v>
      </c>
      <c r="Y843" s="2" t="str">
        <f t="shared" si="216"/>
        <v>X</v>
      </c>
      <c r="Z843" s="2" t="str">
        <f t="shared" si="217"/>
        <v>X</v>
      </c>
      <c r="AA843" s="2" t="str">
        <f t="shared" si="220"/>
        <v>(31 downto 24)</v>
      </c>
      <c r="AB843" s="2" t="str">
        <f t="shared" si="221"/>
        <v>(23 downto 16)</v>
      </c>
      <c r="AC843" s="2" t="str">
        <f t="shared" si="222"/>
        <v>(15 downto 8)</v>
      </c>
      <c r="AD843" s="2" t="str">
        <f t="shared" si="223"/>
        <v>(7 downto 0)</v>
      </c>
      <c r="AE843" s="2" t="str">
        <f t="shared" si="224"/>
        <v>(31 downto 24)</v>
      </c>
      <c r="AF843" s="2" t="str">
        <f t="shared" si="225"/>
        <v>(23 downto 16)</v>
      </c>
      <c r="AG843" s="2" t="str">
        <f t="shared" si="226"/>
        <v>(15 downto 8)</v>
      </c>
      <c r="AH843" s="2" t="str">
        <f t="shared" si="227"/>
        <v>(7 downto 0)</v>
      </c>
    </row>
    <row r="844" spans="2:34" x14ac:dyDescent="0.25">
      <c r="B844" s="2" t="s">
        <v>2347</v>
      </c>
      <c r="C844" s="2" t="s">
        <v>141</v>
      </c>
      <c r="D844" s="2" t="s">
        <v>0</v>
      </c>
      <c r="E844" s="2" t="s">
        <v>130</v>
      </c>
      <c r="F844" s="2" t="s">
        <v>2348</v>
      </c>
      <c r="G844" s="2" t="s">
        <v>2349</v>
      </c>
      <c r="H844" s="2" t="s">
        <v>142</v>
      </c>
      <c r="I844" s="2" t="s">
        <v>41</v>
      </c>
      <c r="J844" s="2">
        <v>32</v>
      </c>
      <c r="K844" s="2" t="s">
        <v>132</v>
      </c>
      <c r="L844" s="2" t="s">
        <v>40</v>
      </c>
      <c r="P844" s="2" t="s">
        <v>48</v>
      </c>
      <c r="Q844" s="2">
        <f>INDEX(Tables!$C$4:$C$28,MATCH($P844,Tables!$B$4:$B$28,0))</f>
        <v>32</v>
      </c>
      <c r="R844" s="2">
        <f>INDEX(Tables!$D$4:$D$28,MATCH($P844,Tables!$B$4:$B$28,0))</f>
        <v>4</v>
      </c>
      <c r="S844" s="2">
        <f>$S843+$R843+INDEX(Tables!$N$5:$Q$8,MATCH(MOD($S843+$R843,4),Tables!$M$5:$M$8,0),MATCH($R844,Tables!$N$4:$Q$4,0))</f>
        <v>3192</v>
      </c>
      <c r="T844" s="2" t="str">
        <f t="shared" si="213"/>
        <v>0C78</v>
      </c>
      <c r="U844" s="2">
        <f t="shared" si="219"/>
        <v>798</v>
      </c>
      <c r="V844" s="2" t="str">
        <f t="shared" si="214"/>
        <v>31E</v>
      </c>
      <c r="W844" s="2" t="str">
        <f t="shared" si="215"/>
        <v>X</v>
      </c>
      <c r="X844" s="2" t="str">
        <f t="shared" si="218"/>
        <v>X</v>
      </c>
      <c r="Y844" s="2" t="str">
        <f t="shared" si="216"/>
        <v>X</v>
      </c>
      <c r="Z844" s="2" t="str">
        <f t="shared" si="217"/>
        <v>X</v>
      </c>
      <c r="AA844" s="2" t="str">
        <f t="shared" si="220"/>
        <v>(31 downto 24)</v>
      </c>
      <c r="AB844" s="2" t="str">
        <f t="shared" si="221"/>
        <v>(23 downto 16)</v>
      </c>
      <c r="AC844" s="2" t="str">
        <f t="shared" si="222"/>
        <v>(15 downto 8)</v>
      </c>
      <c r="AD844" s="2" t="str">
        <f t="shared" si="223"/>
        <v>(7 downto 0)</v>
      </c>
      <c r="AE844" s="2" t="str">
        <f t="shared" si="224"/>
        <v>(31 downto 24)</v>
      </c>
      <c r="AF844" s="2" t="str">
        <f t="shared" si="225"/>
        <v>(23 downto 16)</v>
      </c>
      <c r="AG844" s="2" t="str">
        <f t="shared" si="226"/>
        <v>(15 downto 8)</v>
      </c>
      <c r="AH844" s="2" t="str">
        <f t="shared" si="227"/>
        <v>(7 downto 0)</v>
      </c>
    </row>
    <row r="845" spans="2:34" x14ac:dyDescent="0.25">
      <c r="B845" s="2" t="s">
        <v>2350</v>
      </c>
      <c r="C845" s="2" t="s">
        <v>141</v>
      </c>
      <c r="D845" s="2" t="s">
        <v>0</v>
      </c>
      <c r="E845" s="2" t="s">
        <v>130</v>
      </c>
      <c r="F845" s="2" t="s">
        <v>2351</v>
      </c>
      <c r="G845" s="2" t="s">
        <v>2352</v>
      </c>
      <c r="H845" s="2" t="s">
        <v>142</v>
      </c>
      <c r="I845" s="2" t="s">
        <v>41</v>
      </c>
      <c r="J845" s="2">
        <v>32</v>
      </c>
      <c r="K845" s="2" t="s">
        <v>132</v>
      </c>
      <c r="L845" s="2" t="s">
        <v>40</v>
      </c>
      <c r="P845" s="2" t="s">
        <v>48</v>
      </c>
      <c r="Q845" s="2">
        <f>INDEX(Tables!$C$4:$C$28,MATCH($P845,Tables!$B$4:$B$28,0))</f>
        <v>32</v>
      </c>
      <c r="R845" s="2">
        <f>INDEX(Tables!$D$4:$D$28,MATCH($P845,Tables!$B$4:$B$28,0))</f>
        <v>4</v>
      </c>
      <c r="S845" s="2">
        <f>$S844+$R844+INDEX(Tables!$N$5:$Q$8,MATCH(MOD($S844+$R844,4),Tables!$M$5:$M$8,0),MATCH($R845,Tables!$N$4:$Q$4,0))</f>
        <v>3196</v>
      </c>
      <c r="T845" s="2" t="str">
        <f t="shared" si="213"/>
        <v>0C7C</v>
      </c>
      <c r="U845" s="2">
        <f t="shared" si="219"/>
        <v>799</v>
      </c>
      <c r="V845" s="2" t="str">
        <f t="shared" si="214"/>
        <v>31F</v>
      </c>
      <c r="W845" s="2" t="str">
        <f t="shared" si="215"/>
        <v>X</v>
      </c>
      <c r="X845" s="2" t="str">
        <f t="shared" si="218"/>
        <v>X</v>
      </c>
      <c r="Y845" s="2" t="str">
        <f t="shared" si="216"/>
        <v>X</v>
      </c>
      <c r="Z845" s="2" t="str">
        <f t="shared" si="217"/>
        <v>X</v>
      </c>
      <c r="AA845" s="2" t="str">
        <f t="shared" si="220"/>
        <v>(31 downto 24)</v>
      </c>
      <c r="AB845" s="2" t="str">
        <f t="shared" si="221"/>
        <v>(23 downto 16)</v>
      </c>
      <c r="AC845" s="2" t="str">
        <f t="shared" si="222"/>
        <v>(15 downto 8)</v>
      </c>
      <c r="AD845" s="2" t="str">
        <f t="shared" si="223"/>
        <v>(7 downto 0)</v>
      </c>
      <c r="AE845" s="2" t="str">
        <f t="shared" si="224"/>
        <v>(31 downto 24)</v>
      </c>
      <c r="AF845" s="2" t="str">
        <f t="shared" si="225"/>
        <v>(23 downto 16)</v>
      </c>
      <c r="AG845" s="2" t="str">
        <f t="shared" si="226"/>
        <v>(15 downto 8)</v>
      </c>
      <c r="AH845" s="2" t="str">
        <f t="shared" si="227"/>
        <v>(7 downto 0)</v>
      </c>
    </row>
    <row r="846" spans="2:34" x14ac:dyDescent="0.25">
      <c r="B846" s="2" t="s">
        <v>2353</v>
      </c>
      <c r="C846" s="2" t="s">
        <v>141</v>
      </c>
      <c r="D846" s="2" t="s">
        <v>0</v>
      </c>
      <c r="E846" s="2" t="s">
        <v>130</v>
      </c>
      <c r="F846" s="2" t="s">
        <v>2354</v>
      </c>
      <c r="G846" s="2" t="s">
        <v>2355</v>
      </c>
      <c r="H846" s="2" t="s">
        <v>142</v>
      </c>
      <c r="I846" s="2" t="s">
        <v>41</v>
      </c>
      <c r="J846" s="2">
        <v>32</v>
      </c>
      <c r="K846" s="2" t="s">
        <v>132</v>
      </c>
      <c r="L846" s="2" t="s">
        <v>40</v>
      </c>
      <c r="P846" s="2" t="s">
        <v>48</v>
      </c>
      <c r="Q846" s="2">
        <f>INDEX(Tables!$C$4:$C$28,MATCH($P846,Tables!$B$4:$B$28,0))</f>
        <v>32</v>
      </c>
      <c r="R846" s="2">
        <f>INDEX(Tables!$D$4:$D$28,MATCH($P846,Tables!$B$4:$B$28,0))</f>
        <v>4</v>
      </c>
      <c r="S846" s="2">
        <f>$S845+$R845+INDEX(Tables!$N$5:$Q$8,MATCH(MOD($S845+$R845,4),Tables!$M$5:$M$8,0),MATCH($R846,Tables!$N$4:$Q$4,0))</f>
        <v>3200</v>
      </c>
      <c r="T846" s="2" t="str">
        <f t="shared" si="213"/>
        <v>0C80</v>
      </c>
      <c r="U846" s="2">
        <f t="shared" si="219"/>
        <v>800</v>
      </c>
      <c r="V846" s="2" t="str">
        <f t="shared" si="214"/>
        <v>320</v>
      </c>
      <c r="W846" s="2" t="str">
        <f t="shared" si="215"/>
        <v>X</v>
      </c>
      <c r="X846" s="2" t="str">
        <f t="shared" si="218"/>
        <v>X</v>
      </c>
      <c r="Y846" s="2" t="str">
        <f t="shared" si="216"/>
        <v>X</v>
      </c>
      <c r="Z846" s="2" t="str">
        <f t="shared" si="217"/>
        <v>X</v>
      </c>
      <c r="AA846" s="2" t="str">
        <f t="shared" si="220"/>
        <v>(31 downto 24)</v>
      </c>
      <c r="AB846" s="2" t="str">
        <f t="shared" si="221"/>
        <v>(23 downto 16)</v>
      </c>
      <c r="AC846" s="2" t="str">
        <f t="shared" si="222"/>
        <v>(15 downto 8)</v>
      </c>
      <c r="AD846" s="2" t="str">
        <f t="shared" si="223"/>
        <v>(7 downto 0)</v>
      </c>
      <c r="AE846" s="2" t="str">
        <f t="shared" si="224"/>
        <v>(31 downto 24)</v>
      </c>
      <c r="AF846" s="2" t="str">
        <f t="shared" si="225"/>
        <v>(23 downto 16)</v>
      </c>
      <c r="AG846" s="2" t="str">
        <f t="shared" si="226"/>
        <v>(15 downto 8)</v>
      </c>
      <c r="AH846" s="2" t="str">
        <f t="shared" si="227"/>
        <v>(7 downto 0)</v>
      </c>
    </row>
    <row r="847" spans="2:34" x14ac:dyDescent="0.25">
      <c r="B847" s="2" t="s">
        <v>2356</v>
      </c>
      <c r="C847" s="2" t="s">
        <v>141</v>
      </c>
      <c r="D847" s="2" t="s">
        <v>0</v>
      </c>
      <c r="E847" s="2" t="s">
        <v>130</v>
      </c>
      <c r="F847" s="2" t="s">
        <v>2357</v>
      </c>
      <c r="G847" s="2" t="s">
        <v>2358</v>
      </c>
      <c r="H847" s="2" t="s">
        <v>142</v>
      </c>
      <c r="I847" s="2" t="s">
        <v>41</v>
      </c>
      <c r="J847" s="2">
        <v>32</v>
      </c>
      <c r="K847" s="2" t="s">
        <v>132</v>
      </c>
      <c r="L847" s="2" t="s">
        <v>40</v>
      </c>
      <c r="P847" s="2" t="s">
        <v>48</v>
      </c>
      <c r="Q847" s="2">
        <f>INDEX(Tables!$C$4:$C$28,MATCH($P847,Tables!$B$4:$B$28,0))</f>
        <v>32</v>
      </c>
      <c r="R847" s="2">
        <f>INDEX(Tables!$D$4:$D$28,MATCH($P847,Tables!$B$4:$B$28,0))</f>
        <v>4</v>
      </c>
      <c r="S847" s="2">
        <f>$S846+$R846+INDEX(Tables!$N$5:$Q$8,MATCH(MOD($S846+$R846,4),Tables!$M$5:$M$8,0),MATCH($R847,Tables!$N$4:$Q$4,0))</f>
        <v>3204</v>
      </c>
      <c r="T847" s="2" t="str">
        <f t="shared" si="213"/>
        <v>0C84</v>
      </c>
      <c r="U847" s="2">
        <f t="shared" si="219"/>
        <v>801</v>
      </c>
      <c r="V847" s="2" t="str">
        <f t="shared" si="214"/>
        <v>321</v>
      </c>
      <c r="W847" s="2" t="str">
        <f t="shared" si="215"/>
        <v>X</v>
      </c>
      <c r="X847" s="2" t="str">
        <f t="shared" si="218"/>
        <v>X</v>
      </c>
      <c r="Y847" s="2" t="str">
        <f t="shared" si="216"/>
        <v>X</v>
      </c>
      <c r="Z847" s="2" t="str">
        <f t="shared" si="217"/>
        <v>X</v>
      </c>
      <c r="AA847" s="2" t="str">
        <f t="shared" si="220"/>
        <v>(31 downto 24)</v>
      </c>
      <c r="AB847" s="2" t="str">
        <f t="shared" si="221"/>
        <v>(23 downto 16)</v>
      </c>
      <c r="AC847" s="2" t="str">
        <f t="shared" si="222"/>
        <v>(15 downto 8)</v>
      </c>
      <c r="AD847" s="2" t="str">
        <f t="shared" si="223"/>
        <v>(7 downto 0)</v>
      </c>
      <c r="AE847" s="2" t="str">
        <f t="shared" si="224"/>
        <v>(31 downto 24)</v>
      </c>
      <c r="AF847" s="2" t="str">
        <f t="shared" si="225"/>
        <v>(23 downto 16)</v>
      </c>
      <c r="AG847" s="2" t="str">
        <f t="shared" si="226"/>
        <v>(15 downto 8)</v>
      </c>
      <c r="AH847" s="2" t="str">
        <f t="shared" si="227"/>
        <v>(7 downto 0)</v>
      </c>
    </row>
    <row r="848" spans="2:34" x14ac:dyDescent="0.25">
      <c r="B848" s="2" t="s">
        <v>2359</v>
      </c>
      <c r="C848" s="2" t="s">
        <v>141</v>
      </c>
      <c r="D848" s="2" t="s">
        <v>0</v>
      </c>
      <c r="E848" s="2" t="s">
        <v>130</v>
      </c>
      <c r="F848" s="2" t="s">
        <v>2360</v>
      </c>
      <c r="G848" s="2" t="s">
        <v>2361</v>
      </c>
      <c r="H848" s="2" t="s">
        <v>142</v>
      </c>
      <c r="I848" s="2" t="s">
        <v>41</v>
      </c>
      <c r="J848" s="2">
        <v>32</v>
      </c>
      <c r="K848" s="2" t="s">
        <v>132</v>
      </c>
      <c r="L848" s="2" t="s">
        <v>40</v>
      </c>
      <c r="P848" s="2" t="s">
        <v>48</v>
      </c>
      <c r="Q848" s="2">
        <f>INDEX(Tables!$C$4:$C$28,MATCH($P848,Tables!$B$4:$B$28,0))</f>
        <v>32</v>
      </c>
      <c r="R848" s="2">
        <f>INDEX(Tables!$D$4:$D$28,MATCH($P848,Tables!$B$4:$B$28,0))</f>
        <v>4</v>
      </c>
      <c r="S848" s="2">
        <f>$S847+$R847+INDEX(Tables!$N$5:$Q$8,MATCH(MOD($S847+$R847,4),Tables!$M$5:$M$8,0),MATCH($R848,Tables!$N$4:$Q$4,0))</f>
        <v>3208</v>
      </c>
      <c r="T848" s="2" t="str">
        <f t="shared" si="213"/>
        <v>0C88</v>
      </c>
      <c r="U848" s="2">
        <f t="shared" si="219"/>
        <v>802</v>
      </c>
      <c r="V848" s="2" t="str">
        <f t="shared" si="214"/>
        <v>322</v>
      </c>
      <c r="W848" s="2" t="str">
        <f t="shared" si="215"/>
        <v>X</v>
      </c>
      <c r="X848" s="2" t="str">
        <f t="shared" si="218"/>
        <v>X</v>
      </c>
      <c r="Y848" s="2" t="str">
        <f t="shared" si="216"/>
        <v>X</v>
      </c>
      <c r="Z848" s="2" t="str">
        <f t="shared" si="217"/>
        <v>X</v>
      </c>
      <c r="AA848" s="2" t="str">
        <f t="shared" si="220"/>
        <v>(31 downto 24)</v>
      </c>
      <c r="AB848" s="2" t="str">
        <f t="shared" si="221"/>
        <v>(23 downto 16)</v>
      </c>
      <c r="AC848" s="2" t="str">
        <f t="shared" si="222"/>
        <v>(15 downto 8)</v>
      </c>
      <c r="AD848" s="2" t="str">
        <f t="shared" si="223"/>
        <v>(7 downto 0)</v>
      </c>
      <c r="AE848" s="2" t="str">
        <f t="shared" si="224"/>
        <v>(31 downto 24)</v>
      </c>
      <c r="AF848" s="2" t="str">
        <f t="shared" si="225"/>
        <v>(23 downto 16)</v>
      </c>
      <c r="AG848" s="2" t="str">
        <f t="shared" si="226"/>
        <v>(15 downto 8)</v>
      </c>
      <c r="AH848" s="2" t="str">
        <f t="shared" si="227"/>
        <v>(7 downto 0)</v>
      </c>
    </row>
    <row r="849" spans="2:34" x14ac:dyDescent="0.25">
      <c r="B849" s="2" t="s">
        <v>2362</v>
      </c>
      <c r="C849" s="2" t="s">
        <v>141</v>
      </c>
      <c r="D849" s="2" t="s">
        <v>0</v>
      </c>
      <c r="E849" s="2" t="s">
        <v>130</v>
      </c>
      <c r="F849" s="2" t="s">
        <v>2363</v>
      </c>
      <c r="G849" s="2" t="s">
        <v>2364</v>
      </c>
      <c r="H849" s="2" t="s">
        <v>142</v>
      </c>
      <c r="I849" s="2" t="s">
        <v>41</v>
      </c>
      <c r="J849" s="2">
        <v>32</v>
      </c>
      <c r="K849" s="2" t="s">
        <v>132</v>
      </c>
      <c r="L849" s="2" t="s">
        <v>40</v>
      </c>
      <c r="P849" s="2" t="s">
        <v>48</v>
      </c>
      <c r="Q849" s="2">
        <f>INDEX(Tables!$C$4:$C$28,MATCH($P849,Tables!$B$4:$B$28,0))</f>
        <v>32</v>
      </c>
      <c r="R849" s="2">
        <f>INDEX(Tables!$D$4:$D$28,MATCH($P849,Tables!$B$4:$B$28,0))</f>
        <v>4</v>
      </c>
      <c r="S849" s="2">
        <f>$S848+$R848+INDEX(Tables!$N$5:$Q$8,MATCH(MOD($S848+$R848,4),Tables!$M$5:$M$8,0),MATCH($R849,Tables!$N$4:$Q$4,0))</f>
        <v>3212</v>
      </c>
      <c r="T849" s="2" t="str">
        <f t="shared" si="213"/>
        <v>0C8C</v>
      </c>
      <c r="U849" s="2">
        <f t="shared" si="219"/>
        <v>803</v>
      </c>
      <c r="V849" s="2" t="str">
        <f t="shared" si="214"/>
        <v>323</v>
      </c>
      <c r="W849" s="2" t="str">
        <f t="shared" si="215"/>
        <v>X</v>
      </c>
      <c r="X849" s="2" t="str">
        <f t="shared" si="218"/>
        <v>X</v>
      </c>
      <c r="Y849" s="2" t="str">
        <f t="shared" si="216"/>
        <v>X</v>
      </c>
      <c r="Z849" s="2" t="str">
        <f t="shared" si="217"/>
        <v>X</v>
      </c>
      <c r="AA849" s="2" t="str">
        <f t="shared" si="220"/>
        <v>(31 downto 24)</v>
      </c>
      <c r="AB849" s="2" t="str">
        <f t="shared" si="221"/>
        <v>(23 downto 16)</v>
      </c>
      <c r="AC849" s="2" t="str">
        <f t="shared" si="222"/>
        <v>(15 downto 8)</v>
      </c>
      <c r="AD849" s="2" t="str">
        <f t="shared" si="223"/>
        <v>(7 downto 0)</v>
      </c>
      <c r="AE849" s="2" t="str">
        <f t="shared" si="224"/>
        <v>(31 downto 24)</v>
      </c>
      <c r="AF849" s="2" t="str">
        <f t="shared" si="225"/>
        <v>(23 downto 16)</v>
      </c>
      <c r="AG849" s="2" t="str">
        <f t="shared" si="226"/>
        <v>(15 downto 8)</v>
      </c>
      <c r="AH849" s="2" t="str">
        <f t="shared" si="227"/>
        <v>(7 downto 0)</v>
      </c>
    </row>
    <row r="850" spans="2:34" x14ac:dyDescent="0.25">
      <c r="B850" s="2" t="s">
        <v>2365</v>
      </c>
      <c r="C850" s="2" t="s">
        <v>141</v>
      </c>
      <c r="D850" s="2" t="s">
        <v>0</v>
      </c>
      <c r="E850" s="2" t="s">
        <v>130</v>
      </c>
      <c r="F850" s="2" t="s">
        <v>2366</v>
      </c>
      <c r="G850" s="2" t="s">
        <v>2367</v>
      </c>
      <c r="H850" s="2" t="s">
        <v>142</v>
      </c>
      <c r="I850" s="2" t="s">
        <v>41</v>
      </c>
      <c r="J850" s="2">
        <v>32</v>
      </c>
      <c r="K850" s="2" t="s">
        <v>132</v>
      </c>
      <c r="L850" s="2" t="s">
        <v>40</v>
      </c>
      <c r="P850" s="2" t="s">
        <v>48</v>
      </c>
      <c r="Q850" s="2">
        <f>INDEX(Tables!$C$4:$C$28,MATCH($P850,Tables!$B$4:$B$28,0))</f>
        <v>32</v>
      </c>
      <c r="R850" s="2">
        <f>INDEX(Tables!$D$4:$D$28,MATCH($P850,Tables!$B$4:$B$28,0))</f>
        <v>4</v>
      </c>
      <c r="S850" s="2">
        <f>$S849+$R849+INDEX(Tables!$N$5:$Q$8,MATCH(MOD($S849+$R849,4),Tables!$M$5:$M$8,0),MATCH($R850,Tables!$N$4:$Q$4,0))</f>
        <v>3216</v>
      </c>
      <c r="T850" s="2" t="str">
        <f t="shared" si="213"/>
        <v>0C90</v>
      </c>
      <c r="U850" s="2">
        <f t="shared" si="219"/>
        <v>804</v>
      </c>
      <c r="V850" s="2" t="str">
        <f t="shared" si="214"/>
        <v>324</v>
      </c>
      <c r="W850" s="2" t="str">
        <f t="shared" si="215"/>
        <v>X</v>
      </c>
      <c r="X850" s="2" t="str">
        <f t="shared" si="218"/>
        <v>X</v>
      </c>
      <c r="Y850" s="2" t="str">
        <f t="shared" si="216"/>
        <v>X</v>
      </c>
      <c r="Z850" s="2" t="str">
        <f t="shared" si="217"/>
        <v>X</v>
      </c>
      <c r="AA850" s="2" t="str">
        <f t="shared" si="220"/>
        <v>(31 downto 24)</v>
      </c>
      <c r="AB850" s="2" t="str">
        <f t="shared" si="221"/>
        <v>(23 downto 16)</v>
      </c>
      <c r="AC850" s="2" t="str">
        <f t="shared" si="222"/>
        <v>(15 downto 8)</v>
      </c>
      <c r="AD850" s="2" t="str">
        <f t="shared" si="223"/>
        <v>(7 downto 0)</v>
      </c>
      <c r="AE850" s="2" t="str">
        <f t="shared" si="224"/>
        <v>(31 downto 24)</v>
      </c>
      <c r="AF850" s="2" t="str">
        <f t="shared" si="225"/>
        <v>(23 downto 16)</v>
      </c>
      <c r="AG850" s="2" t="str">
        <f t="shared" si="226"/>
        <v>(15 downto 8)</v>
      </c>
      <c r="AH850" s="2" t="str">
        <f t="shared" si="227"/>
        <v>(7 downto 0)</v>
      </c>
    </row>
    <row r="851" spans="2:34" x14ac:dyDescent="0.25">
      <c r="B851" s="2" t="s">
        <v>2368</v>
      </c>
      <c r="C851" s="2" t="s">
        <v>141</v>
      </c>
      <c r="D851" s="2" t="s">
        <v>0</v>
      </c>
      <c r="E851" s="2" t="s">
        <v>130</v>
      </c>
      <c r="F851" s="2" t="s">
        <v>2369</v>
      </c>
      <c r="G851" s="2" t="s">
        <v>2370</v>
      </c>
      <c r="H851" s="2" t="s">
        <v>142</v>
      </c>
      <c r="I851" s="2" t="s">
        <v>41</v>
      </c>
      <c r="J851" s="2">
        <v>32</v>
      </c>
      <c r="K851" s="2" t="s">
        <v>132</v>
      </c>
      <c r="L851" s="2" t="s">
        <v>40</v>
      </c>
      <c r="P851" s="2" t="s">
        <v>48</v>
      </c>
      <c r="Q851" s="2">
        <f>INDEX(Tables!$C$4:$C$28,MATCH($P851,Tables!$B$4:$B$28,0))</f>
        <v>32</v>
      </c>
      <c r="R851" s="2">
        <f>INDEX(Tables!$D$4:$D$28,MATCH($P851,Tables!$B$4:$B$28,0))</f>
        <v>4</v>
      </c>
      <c r="S851" s="2">
        <f>$S850+$R850+INDEX(Tables!$N$5:$Q$8,MATCH(MOD($S850+$R850,4),Tables!$M$5:$M$8,0),MATCH($R851,Tables!$N$4:$Q$4,0))</f>
        <v>3220</v>
      </c>
      <c r="T851" s="2" t="str">
        <f t="shared" si="213"/>
        <v>0C94</v>
      </c>
      <c r="U851" s="2">
        <f t="shared" si="219"/>
        <v>805</v>
      </c>
      <c r="V851" s="2" t="str">
        <f t="shared" si="214"/>
        <v>325</v>
      </c>
      <c r="W851" s="2" t="str">
        <f t="shared" si="215"/>
        <v>X</v>
      </c>
      <c r="X851" s="2" t="str">
        <f t="shared" si="218"/>
        <v>X</v>
      </c>
      <c r="Y851" s="2" t="str">
        <f t="shared" si="216"/>
        <v>X</v>
      </c>
      <c r="Z851" s="2" t="str">
        <f t="shared" si="217"/>
        <v>X</v>
      </c>
      <c r="AA851" s="2" t="str">
        <f t="shared" si="220"/>
        <v>(31 downto 24)</v>
      </c>
      <c r="AB851" s="2" t="str">
        <f t="shared" si="221"/>
        <v>(23 downto 16)</v>
      </c>
      <c r="AC851" s="2" t="str">
        <f t="shared" si="222"/>
        <v>(15 downto 8)</v>
      </c>
      <c r="AD851" s="2" t="str">
        <f t="shared" si="223"/>
        <v>(7 downto 0)</v>
      </c>
      <c r="AE851" s="2" t="str">
        <f t="shared" si="224"/>
        <v>(31 downto 24)</v>
      </c>
      <c r="AF851" s="2" t="str">
        <f t="shared" si="225"/>
        <v>(23 downto 16)</v>
      </c>
      <c r="AG851" s="2" t="str">
        <f t="shared" si="226"/>
        <v>(15 downto 8)</v>
      </c>
      <c r="AH851" s="2" t="str">
        <f t="shared" si="227"/>
        <v>(7 downto 0)</v>
      </c>
    </row>
    <row r="852" spans="2:34" x14ac:dyDescent="0.25">
      <c r="B852" s="2" t="s">
        <v>2371</v>
      </c>
      <c r="C852" s="2" t="s">
        <v>141</v>
      </c>
      <c r="D852" s="2" t="s">
        <v>0</v>
      </c>
      <c r="E852" s="2" t="s">
        <v>130</v>
      </c>
      <c r="F852" s="2" t="s">
        <v>2372</v>
      </c>
      <c r="G852" s="2" t="s">
        <v>2373</v>
      </c>
      <c r="H852" s="2" t="s">
        <v>142</v>
      </c>
      <c r="I852" s="2" t="s">
        <v>41</v>
      </c>
      <c r="J852" s="2">
        <v>32</v>
      </c>
      <c r="K852" s="2" t="s">
        <v>132</v>
      </c>
      <c r="L852" s="2" t="s">
        <v>40</v>
      </c>
      <c r="P852" s="2" t="s">
        <v>48</v>
      </c>
      <c r="Q852" s="2">
        <f>INDEX(Tables!$C$4:$C$28,MATCH($P852,Tables!$B$4:$B$28,0))</f>
        <v>32</v>
      </c>
      <c r="R852" s="2">
        <f>INDEX(Tables!$D$4:$D$28,MATCH($P852,Tables!$B$4:$B$28,0))</f>
        <v>4</v>
      </c>
      <c r="S852" s="2">
        <f>$S851+$R851+INDEX(Tables!$N$5:$Q$8,MATCH(MOD($S851+$R851,4),Tables!$M$5:$M$8,0),MATCH($R852,Tables!$N$4:$Q$4,0))</f>
        <v>3224</v>
      </c>
      <c r="T852" s="2" t="str">
        <f t="shared" si="213"/>
        <v>0C98</v>
      </c>
      <c r="U852" s="2">
        <f t="shared" si="219"/>
        <v>806</v>
      </c>
      <c r="V852" s="2" t="str">
        <f t="shared" si="214"/>
        <v>326</v>
      </c>
      <c r="W852" s="2" t="str">
        <f t="shared" si="215"/>
        <v>X</v>
      </c>
      <c r="X852" s="2" t="str">
        <f t="shared" si="218"/>
        <v>X</v>
      </c>
      <c r="Y852" s="2" t="str">
        <f t="shared" si="216"/>
        <v>X</v>
      </c>
      <c r="Z852" s="2" t="str">
        <f t="shared" si="217"/>
        <v>X</v>
      </c>
      <c r="AA852" s="2" t="str">
        <f t="shared" si="220"/>
        <v>(31 downto 24)</v>
      </c>
      <c r="AB852" s="2" t="str">
        <f t="shared" si="221"/>
        <v>(23 downto 16)</v>
      </c>
      <c r="AC852" s="2" t="str">
        <f t="shared" si="222"/>
        <v>(15 downto 8)</v>
      </c>
      <c r="AD852" s="2" t="str">
        <f t="shared" si="223"/>
        <v>(7 downto 0)</v>
      </c>
      <c r="AE852" s="2" t="str">
        <f t="shared" si="224"/>
        <v>(31 downto 24)</v>
      </c>
      <c r="AF852" s="2" t="str">
        <f t="shared" si="225"/>
        <v>(23 downto 16)</v>
      </c>
      <c r="AG852" s="2" t="str">
        <f t="shared" si="226"/>
        <v>(15 downto 8)</v>
      </c>
      <c r="AH852" s="2" t="str">
        <f t="shared" si="227"/>
        <v>(7 downto 0)</v>
      </c>
    </row>
    <row r="853" spans="2:34" x14ac:dyDescent="0.25">
      <c r="B853" s="2" t="s">
        <v>2374</v>
      </c>
      <c r="C853" s="2" t="s">
        <v>141</v>
      </c>
      <c r="D853" s="2" t="s">
        <v>0</v>
      </c>
      <c r="E853" s="2" t="s">
        <v>130</v>
      </c>
      <c r="F853" s="2" t="s">
        <v>2375</v>
      </c>
      <c r="G853" s="2" t="s">
        <v>2376</v>
      </c>
      <c r="H853" s="2" t="s">
        <v>142</v>
      </c>
      <c r="I853" s="2" t="s">
        <v>41</v>
      </c>
      <c r="J853" s="2">
        <v>32</v>
      </c>
      <c r="K853" s="2" t="s">
        <v>132</v>
      </c>
      <c r="L853" s="2" t="s">
        <v>40</v>
      </c>
      <c r="P853" s="2" t="s">
        <v>48</v>
      </c>
      <c r="Q853" s="2">
        <f>INDEX(Tables!$C$4:$C$28,MATCH($P853,Tables!$B$4:$B$28,0))</f>
        <v>32</v>
      </c>
      <c r="R853" s="2">
        <f>INDEX(Tables!$D$4:$D$28,MATCH($P853,Tables!$B$4:$B$28,0))</f>
        <v>4</v>
      </c>
      <c r="S853" s="2">
        <f>$S852+$R852+INDEX(Tables!$N$5:$Q$8,MATCH(MOD($S852+$R852,4),Tables!$M$5:$M$8,0),MATCH($R853,Tables!$N$4:$Q$4,0))</f>
        <v>3228</v>
      </c>
      <c r="T853" s="2" t="str">
        <f t="shared" si="213"/>
        <v>0C9C</v>
      </c>
      <c r="U853" s="2">
        <f t="shared" si="219"/>
        <v>807</v>
      </c>
      <c r="V853" s="2" t="str">
        <f t="shared" si="214"/>
        <v>327</v>
      </c>
      <c r="W853" s="2" t="str">
        <f t="shared" si="215"/>
        <v>X</v>
      </c>
      <c r="X853" s="2" t="str">
        <f t="shared" si="218"/>
        <v>X</v>
      </c>
      <c r="Y853" s="2" t="str">
        <f t="shared" si="216"/>
        <v>X</v>
      </c>
      <c r="Z853" s="2" t="str">
        <f t="shared" si="217"/>
        <v>X</v>
      </c>
      <c r="AA853" s="2" t="str">
        <f t="shared" si="220"/>
        <v>(31 downto 24)</v>
      </c>
      <c r="AB853" s="2" t="str">
        <f t="shared" si="221"/>
        <v>(23 downto 16)</v>
      </c>
      <c r="AC853" s="2" t="str">
        <f t="shared" si="222"/>
        <v>(15 downto 8)</v>
      </c>
      <c r="AD853" s="2" t="str">
        <f t="shared" si="223"/>
        <v>(7 downto 0)</v>
      </c>
      <c r="AE853" s="2" t="str">
        <f t="shared" si="224"/>
        <v>(31 downto 24)</v>
      </c>
      <c r="AF853" s="2" t="str">
        <f t="shared" si="225"/>
        <v>(23 downto 16)</v>
      </c>
      <c r="AG853" s="2" t="str">
        <f t="shared" si="226"/>
        <v>(15 downto 8)</v>
      </c>
      <c r="AH853" s="2" t="str">
        <f t="shared" si="227"/>
        <v>(7 downto 0)</v>
      </c>
    </row>
    <row r="854" spans="2:34" x14ac:dyDescent="0.25">
      <c r="B854" s="2" t="s">
        <v>2377</v>
      </c>
      <c r="C854" s="2" t="s">
        <v>141</v>
      </c>
      <c r="D854" s="2" t="s">
        <v>0</v>
      </c>
      <c r="E854" s="2" t="s">
        <v>130</v>
      </c>
      <c r="F854" s="2" t="s">
        <v>2378</v>
      </c>
      <c r="G854" s="2" t="s">
        <v>2379</v>
      </c>
      <c r="H854" s="2" t="s">
        <v>142</v>
      </c>
      <c r="I854" s="2" t="s">
        <v>41</v>
      </c>
      <c r="J854" s="2">
        <v>32</v>
      </c>
      <c r="K854" s="2" t="s">
        <v>132</v>
      </c>
      <c r="L854" s="2" t="s">
        <v>40</v>
      </c>
      <c r="P854" s="2" t="s">
        <v>48</v>
      </c>
      <c r="Q854" s="2">
        <f>INDEX(Tables!$C$4:$C$28,MATCH($P854,Tables!$B$4:$B$28,0))</f>
        <v>32</v>
      </c>
      <c r="R854" s="2">
        <f>INDEX(Tables!$D$4:$D$28,MATCH($P854,Tables!$B$4:$B$28,0))</f>
        <v>4</v>
      </c>
      <c r="S854" s="2">
        <f>$S853+$R853+INDEX(Tables!$N$5:$Q$8,MATCH(MOD($S853+$R853,4),Tables!$M$5:$M$8,0),MATCH($R854,Tables!$N$4:$Q$4,0))</f>
        <v>3232</v>
      </c>
      <c r="T854" s="2" t="str">
        <f t="shared" si="213"/>
        <v>0CA0</v>
      </c>
      <c r="U854" s="2">
        <f t="shared" si="219"/>
        <v>808</v>
      </c>
      <c r="V854" s="2" t="str">
        <f t="shared" si="214"/>
        <v>328</v>
      </c>
      <c r="W854" s="2" t="str">
        <f t="shared" si="215"/>
        <v>X</v>
      </c>
      <c r="X854" s="2" t="str">
        <f t="shared" si="218"/>
        <v>X</v>
      </c>
      <c r="Y854" s="2" t="str">
        <f t="shared" si="216"/>
        <v>X</v>
      </c>
      <c r="Z854" s="2" t="str">
        <f t="shared" si="217"/>
        <v>X</v>
      </c>
      <c r="AA854" s="2" t="str">
        <f t="shared" si="220"/>
        <v>(31 downto 24)</v>
      </c>
      <c r="AB854" s="2" t="str">
        <f t="shared" si="221"/>
        <v>(23 downto 16)</v>
      </c>
      <c r="AC854" s="2" t="str">
        <f t="shared" si="222"/>
        <v>(15 downto 8)</v>
      </c>
      <c r="AD854" s="2" t="str">
        <f t="shared" si="223"/>
        <v>(7 downto 0)</v>
      </c>
      <c r="AE854" s="2" t="str">
        <f t="shared" si="224"/>
        <v>(31 downto 24)</v>
      </c>
      <c r="AF854" s="2" t="str">
        <f t="shared" si="225"/>
        <v>(23 downto 16)</v>
      </c>
      <c r="AG854" s="2" t="str">
        <f t="shared" si="226"/>
        <v>(15 downto 8)</v>
      </c>
      <c r="AH854" s="2" t="str">
        <f t="shared" si="227"/>
        <v>(7 downto 0)</v>
      </c>
    </row>
    <row r="855" spans="2:34" x14ac:dyDescent="0.25">
      <c r="B855" s="2" t="s">
        <v>2380</v>
      </c>
      <c r="C855" s="2" t="s">
        <v>141</v>
      </c>
      <c r="D855" s="2" t="s">
        <v>0</v>
      </c>
      <c r="E855" s="2" t="s">
        <v>130</v>
      </c>
      <c r="F855" s="2" t="s">
        <v>2381</v>
      </c>
      <c r="G855" s="2" t="s">
        <v>2382</v>
      </c>
      <c r="H855" s="2" t="s">
        <v>142</v>
      </c>
      <c r="I855" s="2" t="s">
        <v>41</v>
      </c>
      <c r="J855" s="2">
        <v>32</v>
      </c>
      <c r="K855" s="2" t="s">
        <v>132</v>
      </c>
      <c r="L855" s="2" t="s">
        <v>40</v>
      </c>
      <c r="P855" s="2" t="s">
        <v>48</v>
      </c>
      <c r="Q855" s="2">
        <f>INDEX(Tables!$C$4:$C$28,MATCH($P855,Tables!$B$4:$B$28,0))</f>
        <v>32</v>
      </c>
      <c r="R855" s="2">
        <f>INDEX(Tables!$D$4:$D$28,MATCH($P855,Tables!$B$4:$B$28,0))</f>
        <v>4</v>
      </c>
      <c r="S855" s="2">
        <f>$S854+$R854+INDEX(Tables!$N$5:$Q$8,MATCH(MOD($S854+$R854,4),Tables!$M$5:$M$8,0),MATCH($R855,Tables!$N$4:$Q$4,0))</f>
        <v>3236</v>
      </c>
      <c r="T855" s="2" t="str">
        <f t="shared" si="213"/>
        <v>0CA4</v>
      </c>
      <c r="U855" s="2">
        <f t="shared" si="219"/>
        <v>809</v>
      </c>
      <c r="V855" s="2" t="str">
        <f t="shared" si="214"/>
        <v>329</v>
      </c>
      <c r="W855" s="2" t="str">
        <f t="shared" si="215"/>
        <v>X</v>
      </c>
      <c r="X855" s="2" t="str">
        <f t="shared" si="218"/>
        <v>X</v>
      </c>
      <c r="Y855" s="2" t="str">
        <f t="shared" si="216"/>
        <v>X</v>
      </c>
      <c r="Z855" s="2" t="str">
        <f t="shared" si="217"/>
        <v>X</v>
      </c>
      <c r="AA855" s="2" t="str">
        <f t="shared" si="220"/>
        <v>(31 downto 24)</v>
      </c>
      <c r="AB855" s="2" t="str">
        <f t="shared" si="221"/>
        <v>(23 downto 16)</v>
      </c>
      <c r="AC855" s="2" t="str">
        <f t="shared" si="222"/>
        <v>(15 downto 8)</v>
      </c>
      <c r="AD855" s="2" t="str">
        <f t="shared" si="223"/>
        <v>(7 downto 0)</v>
      </c>
      <c r="AE855" s="2" t="str">
        <f t="shared" si="224"/>
        <v>(31 downto 24)</v>
      </c>
      <c r="AF855" s="2" t="str">
        <f t="shared" si="225"/>
        <v>(23 downto 16)</v>
      </c>
      <c r="AG855" s="2" t="str">
        <f t="shared" si="226"/>
        <v>(15 downto 8)</v>
      </c>
      <c r="AH855" s="2" t="str">
        <f t="shared" si="227"/>
        <v>(7 downto 0)</v>
      </c>
    </row>
    <row r="856" spans="2:34" x14ac:dyDescent="0.25">
      <c r="B856" s="2" t="s">
        <v>2383</v>
      </c>
      <c r="C856" s="2" t="s">
        <v>141</v>
      </c>
      <c r="D856" s="2" t="s">
        <v>0</v>
      </c>
      <c r="E856" s="2" t="s">
        <v>130</v>
      </c>
      <c r="F856" s="2" t="s">
        <v>2384</v>
      </c>
      <c r="G856" s="2" t="s">
        <v>2385</v>
      </c>
      <c r="H856" s="2" t="s">
        <v>142</v>
      </c>
      <c r="I856" s="2" t="s">
        <v>41</v>
      </c>
      <c r="J856" s="2">
        <v>32</v>
      </c>
      <c r="K856" s="2" t="s">
        <v>132</v>
      </c>
      <c r="L856" s="2" t="s">
        <v>40</v>
      </c>
      <c r="P856" s="2" t="s">
        <v>48</v>
      </c>
      <c r="Q856" s="2">
        <f>INDEX(Tables!$C$4:$C$28,MATCH($P856,Tables!$B$4:$B$28,0))</f>
        <v>32</v>
      </c>
      <c r="R856" s="2">
        <f>INDEX(Tables!$D$4:$D$28,MATCH($P856,Tables!$B$4:$B$28,0))</f>
        <v>4</v>
      </c>
      <c r="S856" s="2">
        <f>$S855+$R855+INDEX(Tables!$N$5:$Q$8,MATCH(MOD($S855+$R855,4),Tables!$M$5:$M$8,0),MATCH($R856,Tables!$N$4:$Q$4,0))</f>
        <v>3240</v>
      </c>
      <c r="T856" s="2" t="str">
        <f t="shared" si="213"/>
        <v>0CA8</v>
      </c>
      <c r="U856" s="2">
        <f t="shared" si="219"/>
        <v>810</v>
      </c>
      <c r="V856" s="2" t="str">
        <f t="shared" si="214"/>
        <v>32A</v>
      </c>
      <c r="W856" s="2" t="str">
        <f t="shared" si="215"/>
        <v>X</v>
      </c>
      <c r="X856" s="2" t="str">
        <f t="shared" si="218"/>
        <v>X</v>
      </c>
      <c r="Y856" s="2" t="str">
        <f t="shared" si="216"/>
        <v>X</v>
      </c>
      <c r="Z856" s="2" t="str">
        <f t="shared" si="217"/>
        <v>X</v>
      </c>
      <c r="AA856" s="2" t="str">
        <f t="shared" si="220"/>
        <v>(31 downto 24)</v>
      </c>
      <c r="AB856" s="2" t="str">
        <f t="shared" si="221"/>
        <v>(23 downto 16)</v>
      </c>
      <c r="AC856" s="2" t="str">
        <f t="shared" si="222"/>
        <v>(15 downto 8)</v>
      </c>
      <c r="AD856" s="2" t="str">
        <f t="shared" si="223"/>
        <v>(7 downto 0)</v>
      </c>
      <c r="AE856" s="2" t="str">
        <f t="shared" si="224"/>
        <v>(31 downto 24)</v>
      </c>
      <c r="AF856" s="2" t="str">
        <f t="shared" si="225"/>
        <v>(23 downto 16)</v>
      </c>
      <c r="AG856" s="2" t="str">
        <f t="shared" si="226"/>
        <v>(15 downto 8)</v>
      </c>
      <c r="AH856" s="2" t="str">
        <f t="shared" si="227"/>
        <v>(7 downto 0)</v>
      </c>
    </row>
    <row r="857" spans="2:34" x14ac:dyDescent="0.25">
      <c r="B857" s="2" t="s">
        <v>2386</v>
      </c>
      <c r="C857" s="2" t="s">
        <v>141</v>
      </c>
      <c r="D857" s="2" t="s">
        <v>0</v>
      </c>
      <c r="E857" s="2" t="s">
        <v>130</v>
      </c>
      <c r="F857" s="2" t="s">
        <v>2387</v>
      </c>
      <c r="G857" s="2" t="s">
        <v>2388</v>
      </c>
      <c r="H857" s="2" t="s">
        <v>142</v>
      </c>
      <c r="I857" s="2" t="s">
        <v>41</v>
      </c>
      <c r="J857" s="2">
        <v>32</v>
      </c>
      <c r="K857" s="2" t="s">
        <v>132</v>
      </c>
      <c r="L857" s="2" t="s">
        <v>40</v>
      </c>
      <c r="P857" s="2" t="s">
        <v>48</v>
      </c>
      <c r="Q857" s="2">
        <f>INDEX(Tables!$C$4:$C$28,MATCH($P857,Tables!$B$4:$B$28,0))</f>
        <v>32</v>
      </c>
      <c r="R857" s="2">
        <f>INDEX(Tables!$D$4:$D$28,MATCH($P857,Tables!$B$4:$B$28,0))</f>
        <v>4</v>
      </c>
      <c r="S857" s="2">
        <f>$S856+$R856+INDEX(Tables!$N$5:$Q$8,MATCH(MOD($S856+$R856,4),Tables!$M$5:$M$8,0),MATCH($R857,Tables!$N$4:$Q$4,0))</f>
        <v>3244</v>
      </c>
      <c r="T857" s="2" t="str">
        <f t="shared" si="213"/>
        <v>0CAC</v>
      </c>
      <c r="U857" s="2">
        <f t="shared" si="219"/>
        <v>811</v>
      </c>
      <c r="V857" s="2" t="str">
        <f t="shared" si="214"/>
        <v>32B</v>
      </c>
      <c r="W857" s="2" t="str">
        <f t="shared" si="215"/>
        <v>X</v>
      </c>
      <c r="X857" s="2" t="str">
        <f t="shared" si="218"/>
        <v>X</v>
      </c>
      <c r="Y857" s="2" t="str">
        <f t="shared" si="216"/>
        <v>X</v>
      </c>
      <c r="Z857" s="2" t="str">
        <f t="shared" si="217"/>
        <v>X</v>
      </c>
      <c r="AA857" s="2" t="str">
        <f t="shared" si="220"/>
        <v>(31 downto 24)</v>
      </c>
      <c r="AB857" s="2" t="str">
        <f t="shared" si="221"/>
        <v>(23 downto 16)</v>
      </c>
      <c r="AC857" s="2" t="str">
        <f t="shared" si="222"/>
        <v>(15 downto 8)</v>
      </c>
      <c r="AD857" s="2" t="str">
        <f t="shared" si="223"/>
        <v>(7 downto 0)</v>
      </c>
      <c r="AE857" s="2" t="str">
        <f t="shared" si="224"/>
        <v>(31 downto 24)</v>
      </c>
      <c r="AF857" s="2" t="str">
        <f t="shared" si="225"/>
        <v>(23 downto 16)</v>
      </c>
      <c r="AG857" s="2" t="str">
        <f t="shared" si="226"/>
        <v>(15 downto 8)</v>
      </c>
      <c r="AH857" s="2" t="str">
        <f t="shared" si="227"/>
        <v>(7 downto 0)</v>
      </c>
    </row>
    <row r="858" spans="2:34" x14ac:dyDescent="0.25">
      <c r="B858" s="2" t="s">
        <v>2389</v>
      </c>
      <c r="C858" s="2" t="s">
        <v>141</v>
      </c>
      <c r="D858" s="2" t="s">
        <v>0</v>
      </c>
      <c r="E858" s="2" t="s">
        <v>130</v>
      </c>
      <c r="F858" s="2" t="s">
        <v>2390</v>
      </c>
      <c r="G858" s="2" t="s">
        <v>2391</v>
      </c>
      <c r="H858" s="2" t="s">
        <v>142</v>
      </c>
      <c r="I858" s="2" t="s">
        <v>41</v>
      </c>
      <c r="J858" s="2">
        <v>32</v>
      </c>
      <c r="K858" s="2" t="s">
        <v>132</v>
      </c>
      <c r="L858" s="2" t="s">
        <v>40</v>
      </c>
      <c r="P858" s="2" t="s">
        <v>48</v>
      </c>
      <c r="Q858" s="2">
        <f>INDEX(Tables!$C$4:$C$28,MATCH($P858,Tables!$B$4:$B$28,0))</f>
        <v>32</v>
      </c>
      <c r="R858" s="2">
        <f>INDEX(Tables!$D$4:$D$28,MATCH($P858,Tables!$B$4:$B$28,0))</f>
        <v>4</v>
      </c>
      <c r="S858" s="2">
        <f>$S857+$R857+INDEX(Tables!$N$5:$Q$8,MATCH(MOD($S857+$R857,4),Tables!$M$5:$M$8,0),MATCH($R858,Tables!$N$4:$Q$4,0))</f>
        <v>3248</v>
      </c>
      <c r="T858" s="2" t="str">
        <f t="shared" si="213"/>
        <v>0CB0</v>
      </c>
      <c r="U858" s="2">
        <f t="shared" si="219"/>
        <v>812</v>
      </c>
      <c r="V858" s="2" t="str">
        <f t="shared" si="214"/>
        <v>32C</v>
      </c>
      <c r="W858" s="2" t="str">
        <f t="shared" si="215"/>
        <v>X</v>
      </c>
      <c r="X858" s="2" t="str">
        <f t="shared" si="218"/>
        <v>X</v>
      </c>
      <c r="Y858" s="2" t="str">
        <f t="shared" si="216"/>
        <v>X</v>
      </c>
      <c r="Z858" s="2" t="str">
        <f t="shared" si="217"/>
        <v>X</v>
      </c>
      <c r="AA858" s="2" t="str">
        <f t="shared" si="220"/>
        <v>(31 downto 24)</v>
      </c>
      <c r="AB858" s="2" t="str">
        <f t="shared" si="221"/>
        <v>(23 downto 16)</v>
      </c>
      <c r="AC858" s="2" t="str">
        <f t="shared" si="222"/>
        <v>(15 downto 8)</v>
      </c>
      <c r="AD858" s="2" t="str">
        <f t="shared" si="223"/>
        <v>(7 downto 0)</v>
      </c>
      <c r="AE858" s="2" t="str">
        <f t="shared" si="224"/>
        <v>(31 downto 24)</v>
      </c>
      <c r="AF858" s="2" t="str">
        <f t="shared" si="225"/>
        <v>(23 downto 16)</v>
      </c>
      <c r="AG858" s="2" t="str">
        <f t="shared" si="226"/>
        <v>(15 downto 8)</v>
      </c>
      <c r="AH858" s="2" t="str">
        <f t="shared" si="227"/>
        <v>(7 downto 0)</v>
      </c>
    </row>
    <row r="859" spans="2:34" x14ac:dyDescent="0.25">
      <c r="B859" s="2" t="s">
        <v>2392</v>
      </c>
      <c r="C859" s="2" t="s">
        <v>141</v>
      </c>
      <c r="D859" s="2" t="s">
        <v>0</v>
      </c>
      <c r="E859" s="2" t="s">
        <v>130</v>
      </c>
      <c r="F859" s="2" t="s">
        <v>2393</v>
      </c>
      <c r="G859" s="2" t="s">
        <v>2394</v>
      </c>
      <c r="H859" s="2" t="s">
        <v>142</v>
      </c>
      <c r="I859" s="2" t="s">
        <v>41</v>
      </c>
      <c r="J859" s="2">
        <v>32</v>
      </c>
      <c r="K859" s="2" t="s">
        <v>132</v>
      </c>
      <c r="L859" s="2" t="s">
        <v>40</v>
      </c>
      <c r="P859" s="2" t="s">
        <v>48</v>
      </c>
      <c r="Q859" s="2">
        <f>INDEX(Tables!$C$4:$C$28,MATCH($P859,Tables!$B$4:$B$28,0))</f>
        <v>32</v>
      </c>
      <c r="R859" s="2">
        <f>INDEX(Tables!$D$4:$D$28,MATCH($P859,Tables!$B$4:$B$28,0))</f>
        <v>4</v>
      </c>
      <c r="S859" s="2">
        <f>$S858+$R858+INDEX(Tables!$N$5:$Q$8,MATCH(MOD($S858+$R858,4),Tables!$M$5:$M$8,0),MATCH($R859,Tables!$N$4:$Q$4,0))</f>
        <v>3252</v>
      </c>
      <c r="T859" s="2" t="str">
        <f t="shared" si="213"/>
        <v>0CB4</v>
      </c>
      <c r="U859" s="2">
        <f t="shared" si="219"/>
        <v>813</v>
      </c>
      <c r="V859" s="2" t="str">
        <f t="shared" si="214"/>
        <v>32D</v>
      </c>
      <c r="W859" s="2" t="str">
        <f t="shared" si="215"/>
        <v>X</v>
      </c>
      <c r="X859" s="2" t="str">
        <f t="shared" si="218"/>
        <v>X</v>
      </c>
      <c r="Y859" s="2" t="str">
        <f t="shared" si="216"/>
        <v>X</v>
      </c>
      <c r="Z859" s="2" t="str">
        <f t="shared" si="217"/>
        <v>X</v>
      </c>
      <c r="AA859" s="2" t="str">
        <f t="shared" si="220"/>
        <v>(31 downto 24)</v>
      </c>
      <c r="AB859" s="2" t="str">
        <f t="shared" si="221"/>
        <v>(23 downto 16)</v>
      </c>
      <c r="AC859" s="2" t="str">
        <f t="shared" si="222"/>
        <v>(15 downto 8)</v>
      </c>
      <c r="AD859" s="2" t="str">
        <f t="shared" si="223"/>
        <v>(7 downto 0)</v>
      </c>
      <c r="AE859" s="2" t="str">
        <f t="shared" si="224"/>
        <v>(31 downto 24)</v>
      </c>
      <c r="AF859" s="2" t="str">
        <f t="shared" si="225"/>
        <v>(23 downto 16)</v>
      </c>
      <c r="AG859" s="2" t="str">
        <f t="shared" si="226"/>
        <v>(15 downto 8)</v>
      </c>
      <c r="AH859" s="2" t="str">
        <f t="shared" si="227"/>
        <v>(7 downto 0)</v>
      </c>
    </row>
    <row r="860" spans="2:34" x14ac:dyDescent="0.25">
      <c r="B860" s="2" t="s">
        <v>2395</v>
      </c>
      <c r="C860" s="2" t="s">
        <v>141</v>
      </c>
      <c r="D860" s="2" t="s">
        <v>0</v>
      </c>
      <c r="E860" s="2" t="s">
        <v>130</v>
      </c>
      <c r="F860" s="2" t="s">
        <v>2396</v>
      </c>
      <c r="G860" s="2" t="s">
        <v>2397</v>
      </c>
      <c r="H860" s="2" t="s">
        <v>142</v>
      </c>
      <c r="I860" s="2" t="s">
        <v>41</v>
      </c>
      <c r="J860" s="2">
        <v>32</v>
      </c>
      <c r="K860" s="2" t="s">
        <v>132</v>
      </c>
      <c r="L860" s="2" t="s">
        <v>40</v>
      </c>
      <c r="P860" s="2" t="s">
        <v>48</v>
      </c>
      <c r="Q860" s="2">
        <f>INDEX(Tables!$C$4:$C$28,MATCH($P860,Tables!$B$4:$B$28,0))</f>
        <v>32</v>
      </c>
      <c r="R860" s="2">
        <f>INDEX(Tables!$D$4:$D$28,MATCH($P860,Tables!$B$4:$B$28,0))</f>
        <v>4</v>
      </c>
      <c r="S860" s="2">
        <f>$S859+$R859+INDEX(Tables!$N$5:$Q$8,MATCH(MOD($S859+$R859,4),Tables!$M$5:$M$8,0),MATCH($R860,Tables!$N$4:$Q$4,0))</f>
        <v>3256</v>
      </c>
      <c r="T860" s="2" t="str">
        <f t="shared" si="213"/>
        <v>0CB8</v>
      </c>
      <c r="U860" s="2">
        <f t="shared" si="219"/>
        <v>814</v>
      </c>
      <c r="V860" s="2" t="str">
        <f t="shared" si="214"/>
        <v>32E</v>
      </c>
      <c r="W860" s="2" t="str">
        <f t="shared" si="215"/>
        <v>X</v>
      </c>
      <c r="X860" s="2" t="str">
        <f t="shared" si="218"/>
        <v>X</v>
      </c>
      <c r="Y860" s="2" t="str">
        <f t="shared" si="216"/>
        <v>X</v>
      </c>
      <c r="Z860" s="2" t="str">
        <f t="shared" si="217"/>
        <v>X</v>
      </c>
      <c r="AA860" s="2" t="str">
        <f t="shared" si="220"/>
        <v>(31 downto 24)</v>
      </c>
      <c r="AB860" s="2" t="str">
        <f t="shared" si="221"/>
        <v>(23 downto 16)</v>
      </c>
      <c r="AC860" s="2" t="str">
        <f t="shared" si="222"/>
        <v>(15 downto 8)</v>
      </c>
      <c r="AD860" s="2" t="str">
        <f t="shared" si="223"/>
        <v>(7 downto 0)</v>
      </c>
      <c r="AE860" s="2" t="str">
        <f t="shared" si="224"/>
        <v>(31 downto 24)</v>
      </c>
      <c r="AF860" s="2" t="str">
        <f t="shared" si="225"/>
        <v>(23 downto 16)</v>
      </c>
      <c r="AG860" s="2" t="str">
        <f t="shared" si="226"/>
        <v>(15 downto 8)</v>
      </c>
      <c r="AH860" s="2" t="str">
        <f t="shared" si="227"/>
        <v>(7 downto 0)</v>
      </c>
    </row>
    <row r="861" spans="2:34" x14ac:dyDescent="0.25">
      <c r="B861" s="2" t="s">
        <v>2398</v>
      </c>
      <c r="C861" s="2" t="s">
        <v>141</v>
      </c>
      <c r="D861" s="2" t="s">
        <v>0</v>
      </c>
      <c r="E861" s="2" t="s">
        <v>130</v>
      </c>
      <c r="F861" s="2" t="s">
        <v>2399</v>
      </c>
      <c r="G861" s="2" t="s">
        <v>2400</v>
      </c>
      <c r="H861" s="2" t="s">
        <v>142</v>
      </c>
      <c r="I861" s="2" t="s">
        <v>41</v>
      </c>
      <c r="J861" s="2">
        <v>32</v>
      </c>
      <c r="K861" s="2" t="s">
        <v>132</v>
      </c>
      <c r="L861" s="2" t="s">
        <v>40</v>
      </c>
      <c r="P861" s="2" t="s">
        <v>48</v>
      </c>
      <c r="Q861" s="2">
        <f>INDEX(Tables!$C$4:$C$28,MATCH($P861,Tables!$B$4:$B$28,0))</f>
        <v>32</v>
      </c>
      <c r="R861" s="2">
        <f>INDEX(Tables!$D$4:$D$28,MATCH($P861,Tables!$B$4:$B$28,0))</f>
        <v>4</v>
      </c>
      <c r="S861" s="2">
        <f>$S860+$R860+INDEX(Tables!$N$5:$Q$8,MATCH(MOD($S860+$R860,4),Tables!$M$5:$M$8,0),MATCH($R861,Tables!$N$4:$Q$4,0))</f>
        <v>3260</v>
      </c>
      <c r="T861" s="2" t="str">
        <f t="shared" si="213"/>
        <v>0CBC</v>
      </c>
      <c r="U861" s="2">
        <f t="shared" si="219"/>
        <v>815</v>
      </c>
      <c r="V861" s="2" t="str">
        <f t="shared" si="214"/>
        <v>32F</v>
      </c>
      <c r="W861" s="2" t="str">
        <f t="shared" si="215"/>
        <v>X</v>
      </c>
      <c r="X861" s="2" t="str">
        <f t="shared" si="218"/>
        <v>X</v>
      </c>
      <c r="Y861" s="2" t="str">
        <f t="shared" si="216"/>
        <v>X</v>
      </c>
      <c r="Z861" s="2" t="str">
        <f t="shared" si="217"/>
        <v>X</v>
      </c>
      <c r="AA861" s="2" t="str">
        <f t="shared" si="220"/>
        <v>(31 downto 24)</v>
      </c>
      <c r="AB861" s="2" t="str">
        <f t="shared" si="221"/>
        <v>(23 downto 16)</v>
      </c>
      <c r="AC861" s="2" t="str">
        <f t="shared" si="222"/>
        <v>(15 downto 8)</v>
      </c>
      <c r="AD861" s="2" t="str">
        <f t="shared" si="223"/>
        <v>(7 downto 0)</v>
      </c>
      <c r="AE861" s="2" t="str">
        <f t="shared" si="224"/>
        <v>(31 downto 24)</v>
      </c>
      <c r="AF861" s="2" t="str">
        <f t="shared" si="225"/>
        <v>(23 downto 16)</v>
      </c>
      <c r="AG861" s="2" t="str">
        <f t="shared" si="226"/>
        <v>(15 downto 8)</v>
      </c>
      <c r="AH861" s="2" t="str">
        <f t="shared" si="227"/>
        <v>(7 downto 0)</v>
      </c>
    </row>
    <row r="862" spans="2:34" x14ac:dyDescent="0.25">
      <c r="B862" s="2" t="s">
        <v>2401</v>
      </c>
      <c r="C862" s="2" t="s">
        <v>141</v>
      </c>
      <c r="D862" s="2" t="s">
        <v>0</v>
      </c>
      <c r="E862" s="2" t="s">
        <v>130</v>
      </c>
      <c r="F862" s="2" t="s">
        <v>2402</v>
      </c>
      <c r="G862" s="2" t="s">
        <v>2403</v>
      </c>
      <c r="H862" s="2" t="s">
        <v>142</v>
      </c>
      <c r="I862" s="2" t="s">
        <v>41</v>
      </c>
      <c r="J862" s="2">
        <v>32</v>
      </c>
      <c r="K862" s="2" t="s">
        <v>132</v>
      </c>
      <c r="L862" s="2" t="s">
        <v>40</v>
      </c>
      <c r="P862" s="2" t="s">
        <v>48</v>
      </c>
      <c r="Q862" s="2">
        <f>INDEX(Tables!$C$4:$C$28,MATCH($P862,Tables!$B$4:$B$28,0))</f>
        <v>32</v>
      </c>
      <c r="R862" s="2">
        <f>INDEX(Tables!$D$4:$D$28,MATCH($P862,Tables!$B$4:$B$28,0))</f>
        <v>4</v>
      </c>
      <c r="S862" s="2">
        <f>$S861+$R861+INDEX(Tables!$N$5:$Q$8,MATCH(MOD($S861+$R861,4),Tables!$M$5:$M$8,0),MATCH($R862,Tables!$N$4:$Q$4,0))</f>
        <v>3264</v>
      </c>
      <c r="T862" s="2" t="str">
        <f t="shared" si="213"/>
        <v>0CC0</v>
      </c>
      <c r="U862" s="2">
        <f t="shared" si="219"/>
        <v>816</v>
      </c>
      <c r="V862" s="2" t="str">
        <f t="shared" si="214"/>
        <v>330</v>
      </c>
      <c r="W862" s="2" t="str">
        <f t="shared" si="215"/>
        <v>X</v>
      </c>
      <c r="X862" s="2" t="str">
        <f t="shared" si="218"/>
        <v>X</v>
      </c>
      <c r="Y862" s="2" t="str">
        <f t="shared" si="216"/>
        <v>X</v>
      </c>
      <c r="Z862" s="2" t="str">
        <f t="shared" si="217"/>
        <v>X</v>
      </c>
      <c r="AA862" s="2" t="str">
        <f t="shared" si="220"/>
        <v>(31 downto 24)</v>
      </c>
      <c r="AB862" s="2" t="str">
        <f t="shared" si="221"/>
        <v>(23 downto 16)</v>
      </c>
      <c r="AC862" s="2" t="str">
        <f t="shared" si="222"/>
        <v>(15 downto 8)</v>
      </c>
      <c r="AD862" s="2" t="str">
        <f t="shared" si="223"/>
        <v>(7 downto 0)</v>
      </c>
      <c r="AE862" s="2" t="str">
        <f t="shared" si="224"/>
        <v>(31 downto 24)</v>
      </c>
      <c r="AF862" s="2" t="str">
        <f t="shared" si="225"/>
        <v>(23 downto 16)</v>
      </c>
      <c r="AG862" s="2" t="str">
        <f t="shared" si="226"/>
        <v>(15 downto 8)</v>
      </c>
      <c r="AH862" s="2" t="str">
        <f t="shared" si="227"/>
        <v>(7 downto 0)</v>
      </c>
    </row>
    <row r="863" spans="2:34" x14ac:dyDescent="0.25">
      <c r="B863" s="2" t="s">
        <v>2404</v>
      </c>
      <c r="C863" s="2" t="s">
        <v>141</v>
      </c>
      <c r="D863" s="2" t="s">
        <v>0</v>
      </c>
      <c r="E863" s="2" t="s">
        <v>130</v>
      </c>
      <c r="F863" s="2" t="s">
        <v>2405</v>
      </c>
      <c r="G863" s="2" t="s">
        <v>2406</v>
      </c>
      <c r="H863" s="2" t="s">
        <v>142</v>
      </c>
      <c r="I863" s="2" t="s">
        <v>41</v>
      </c>
      <c r="J863" s="2">
        <v>32</v>
      </c>
      <c r="K863" s="2" t="s">
        <v>132</v>
      </c>
      <c r="L863" s="2" t="s">
        <v>40</v>
      </c>
      <c r="P863" s="2" t="s">
        <v>48</v>
      </c>
      <c r="Q863" s="2">
        <f>INDEX(Tables!$C$4:$C$28,MATCH($P863,Tables!$B$4:$B$28,0))</f>
        <v>32</v>
      </c>
      <c r="R863" s="2">
        <f>INDEX(Tables!$D$4:$D$28,MATCH($P863,Tables!$B$4:$B$28,0))</f>
        <v>4</v>
      </c>
      <c r="S863" s="2">
        <f>$S862+$R862+INDEX(Tables!$N$5:$Q$8,MATCH(MOD($S862+$R862,4),Tables!$M$5:$M$8,0),MATCH($R863,Tables!$N$4:$Q$4,0))</f>
        <v>3268</v>
      </c>
      <c r="T863" s="2" t="str">
        <f t="shared" si="213"/>
        <v>0CC4</v>
      </c>
      <c r="U863" s="2">
        <f t="shared" si="219"/>
        <v>817</v>
      </c>
      <c r="V863" s="2" t="str">
        <f t="shared" si="214"/>
        <v>331</v>
      </c>
      <c r="W863" s="2" t="str">
        <f t="shared" si="215"/>
        <v>X</v>
      </c>
      <c r="X863" s="2" t="str">
        <f t="shared" si="218"/>
        <v>X</v>
      </c>
      <c r="Y863" s="2" t="str">
        <f t="shared" si="216"/>
        <v>X</v>
      </c>
      <c r="Z863" s="2" t="str">
        <f t="shared" si="217"/>
        <v>X</v>
      </c>
      <c r="AA863" s="2" t="str">
        <f t="shared" si="220"/>
        <v>(31 downto 24)</v>
      </c>
      <c r="AB863" s="2" t="str">
        <f t="shared" si="221"/>
        <v>(23 downto 16)</v>
      </c>
      <c r="AC863" s="2" t="str">
        <f t="shared" si="222"/>
        <v>(15 downto 8)</v>
      </c>
      <c r="AD863" s="2" t="str">
        <f t="shared" si="223"/>
        <v>(7 downto 0)</v>
      </c>
      <c r="AE863" s="2" t="str">
        <f t="shared" si="224"/>
        <v>(31 downto 24)</v>
      </c>
      <c r="AF863" s="2" t="str">
        <f t="shared" si="225"/>
        <v>(23 downto 16)</v>
      </c>
      <c r="AG863" s="2" t="str">
        <f t="shared" si="226"/>
        <v>(15 downto 8)</v>
      </c>
      <c r="AH863" s="2" t="str">
        <f t="shared" si="227"/>
        <v>(7 downto 0)</v>
      </c>
    </row>
    <row r="864" spans="2:34" x14ac:dyDescent="0.25">
      <c r="B864" s="2" t="s">
        <v>2407</v>
      </c>
      <c r="C864" s="2" t="s">
        <v>141</v>
      </c>
      <c r="D864" s="2" t="s">
        <v>0</v>
      </c>
      <c r="E864" s="2" t="s">
        <v>130</v>
      </c>
      <c r="F864" s="2" t="s">
        <v>2408</v>
      </c>
      <c r="G864" s="2" t="s">
        <v>2409</v>
      </c>
      <c r="H864" s="2" t="s">
        <v>142</v>
      </c>
      <c r="I864" s="2" t="s">
        <v>41</v>
      </c>
      <c r="J864" s="2">
        <v>32</v>
      </c>
      <c r="K864" s="2" t="s">
        <v>132</v>
      </c>
      <c r="L864" s="2" t="s">
        <v>40</v>
      </c>
      <c r="P864" s="2" t="s">
        <v>48</v>
      </c>
      <c r="Q864" s="2">
        <f>INDEX(Tables!$C$4:$C$28,MATCH($P864,Tables!$B$4:$B$28,0))</f>
        <v>32</v>
      </c>
      <c r="R864" s="2">
        <f>INDEX(Tables!$D$4:$D$28,MATCH($P864,Tables!$B$4:$B$28,0))</f>
        <v>4</v>
      </c>
      <c r="S864" s="2">
        <f>$S863+$R863+INDEX(Tables!$N$5:$Q$8,MATCH(MOD($S863+$R863,4),Tables!$M$5:$M$8,0),MATCH($R864,Tables!$N$4:$Q$4,0))</f>
        <v>3272</v>
      </c>
      <c r="T864" s="2" t="str">
        <f t="shared" si="213"/>
        <v>0CC8</v>
      </c>
      <c r="U864" s="2">
        <f t="shared" si="219"/>
        <v>818</v>
      </c>
      <c r="V864" s="2" t="str">
        <f t="shared" si="214"/>
        <v>332</v>
      </c>
      <c r="W864" s="2" t="str">
        <f t="shared" si="215"/>
        <v>X</v>
      </c>
      <c r="X864" s="2" t="str">
        <f t="shared" si="218"/>
        <v>X</v>
      </c>
      <c r="Y864" s="2" t="str">
        <f t="shared" si="216"/>
        <v>X</v>
      </c>
      <c r="Z864" s="2" t="str">
        <f t="shared" si="217"/>
        <v>X</v>
      </c>
      <c r="AA864" s="2" t="str">
        <f t="shared" si="220"/>
        <v>(31 downto 24)</v>
      </c>
      <c r="AB864" s="2" t="str">
        <f t="shared" si="221"/>
        <v>(23 downto 16)</v>
      </c>
      <c r="AC864" s="2" t="str">
        <f t="shared" si="222"/>
        <v>(15 downto 8)</v>
      </c>
      <c r="AD864" s="2" t="str">
        <f t="shared" si="223"/>
        <v>(7 downto 0)</v>
      </c>
      <c r="AE864" s="2" t="str">
        <f t="shared" si="224"/>
        <v>(31 downto 24)</v>
      </c>
      <c r="AF864" s="2" t="str">
        <f t="shared" si="225"/>
        <v>(23 downto 16)</v>
      </c>
      <c r="AG864" s="2" t="str">
        <f t="shared" si="226"/>
        <v>(15 downto 8)</v>
      </c>
      <c r="AH864" s="2" t="str">
        <f t="shared" si="227"/>
        <v>(7 downto 0)</v>
      </c>
    </row>
    <row r="865" spans="2:34" x14ac:dyDescent="0.25">
      <c r="B865" s="2" t="s">
        <v>2410</v>
      </c>
      <c r="C865" s="2" t="s">
        <v>141</v>
      </c>
      <c r="D865" s="2" t="s">
        <v>0</v>
      </c>
      <c r="E865" s="2" t="s">
        <v>130</v>
      </c>
      <c r="F865" s="2" t="s">
        <v>2411</v>
      </c>
      <c r="G865" s="2" t="s">
        <v>2412</v>
      </c>
      <c r="H865" s="2" t="s">
        <v>142</v>
      </c>
      <c r="I865" s="2" t="s">
        <v>41</v>
      </c>
      <c r="J865" s="2">
        <v>32</v>
      </c>
      <c r="K865" s="2" t="s">
        <v>132</v>
      </c>
      <c r="L865" s="2" t="s">
        <v>40</v>
      </c>
      <c r="P865" s="2" t="s">
        <v>48</v>
      </c>
      <c r="Q865" s="2">
        <f>INDEX(Tables!$C$4:$C$28,MATCH($P865,Tables!$B$4:$B$28,0))</f>
        <v>32</v>
      </c>
      <c r="R865" s="2">
        <f>INDEX(Tables!$D$4:$D$28,MATCH($P865,Tables!$B$4:$B$28,0))</f>
        <v>4</v>
      </c>
      <c r="S865" s="2">
        <f>$S864+$R864+INDEX(Tables!$N$5:$Q$8,MATCH(MOD($S864+$R864,4),Tables!$M$5:$M$8,0),MATCH($R865,Tables!$N$4:$Q$4,0))</f>
        <v>3276</v>
      </c>
      <c r="T865" s="2" t="str">
        <f t="shared" si="213"/>
        <v>0CCC</v>
      </c>
      <c r="U865" s="2">
        <f t="shared" si="219"/>
        <v>819</v>
      </c>
      <c r="V865" s="2" t="str">
        <f t="shared" si="214"/>
        <v>333</v>
      </c>
      <c r="W865" s="2" t="str">
        <f t="shared" si="215"/>
        <v>X</v>
      </c>
      <c r="X865" s="2" t="str">
        <f t="shared" si="218"/>
        <v>X</v>
      </c>
      <c r="Y865" s="2" t="str">
        <f t="shared" si="216"/>
        <v>X</v>
      </c>
      <c r="Z865" s="2" t="str">
        <f t="shared" si="217"/>
        <v>X</v>
      </c>
      <c r="AA865" s="2" t="str">
        <f t="shared" si="220"/>
        <v>(31 downto 24)</v>
      </c>
      <c r="AB865" s="2" t="str">
        <f t="shared" si="221"/>
        <v>(23 downto 16)</v>
      </c>
      <c r="AC865" s="2" t="str">
        <f t="shared" si="222"/>
        <v>(15 downto 8)</v>
      </c>
      <c r="AD865" s="2" t="str">
        <f t="shared" si="223"/>
        <v>(7 downto 0)</v>
      </c>
      <c r="AE865" s="2" t="str">
        <f t="shared" si="224"/>
        <v>(31 downto 24)</v>
      </c>
      <c r="AF865" s="2" t="str">
        <f t="shared" si="225"/>
        <v>(23 downto 16)</v>
      </c>
      <c r="AG865" s="2" t="str">
        <f t="shared" si="226"/>
        <v>(15 downto 8)</v>
      </c>
      <c r="AH865" s="2" t="str">
        <f t="shared" si="227"/>
        <v>(7 downto 0)</v>
      </c>
    </row>
    <row r="866" spans="2:34" x14ac:dyDescent="0.25">
      <c r="B866" s="2" t="s">
        <v>2413</v>
      </c>
      <c r="C866" s="2" t="s">
        <v>141</v>
      </c>
      <c r="D866" s="2" t="s">
        <v>0</v>
      </c>
      <c r="E866" s="2" t="s">
        <v>130</v>
      </c>
      <c r="F866" s="2" t="s">
        <v>2414</v>
      </c>
      <c r="G866" s="2" t="s">
        <v>2415</v>
      </c>
      <c r="H866" s="2" t="s">
        <v>142</v>
      </c>
      <c r="I866" s="2" t="s">
        <v>41</v>
      </c>
      <c r="J866" s="2">
        <v>32</v>
      </c>
      <c r="K866" s="2" t="s">
        <v>132</v>
      </c>
      <c r="L866" s="2" t="s">
        <v>40</v>
      </c>
      <c r="P866" s="2" t="s">
        <v>48</v>
      </c>
      <c r="Q866" s="2">
        <f>INDEX(Tables!$C$4:$C$28,MATCH($P866,Tables!$B$4:$B$28,0))</f>
        <v>32</v>
      </c>
      <c r="R866" s="2">
        <f>INDEX(Tables!$D$4:$D$28,MATCH($P866,Tables!$B$4:$B$28,0))</f>
        <v>4</v>
      </c>
      <c r="S866" s="2">
        <f>$S865+$R865+INDEX(Tables!$N$5:$Q$8,MATCH(MOD($S865+$R865,4),Tables!$M$5:$M$8,0),MATCH($R866,Tables!$N$4:$Q$4,0))</f>
        <v>3280</v>
      </c>
      <c r="T866" s="2" t="str">
        <f t="shared" si="213"/>
        <v>0CD0</v>
      </c>
      <c r="U866" s="2">
        <f t="shared" si="219"/>
        <v>820</v>
      </c>
      <c r="V866" s="2" t="str">
        <f t="shared" si="214"/>
        <v>334</v>
      </c>
      <c r="W866" s="2" t="str">
        <f t="shared" si="215"/>
        <v>X</v>
      </c>
      <c r="X866" s="2" t="str">
        <f t="shared" si="218"/>
        <v>X</v>
      </c>
      <c r="Y866" s="2" t="str">
        <f t="shared" si="216"/>
        <v>X</v>
      </c>
      <c r="Z866" s="2" t="str">
        <f t="shared" si="217"/>
        <v>X</v>
      </c>
      <c r="AA866" s="2" t="str">
        <f t="shared" si="220"/>
        <v>(31 downto 24)</v>
      </c>
      <c r="AB866" s="2" t="str">
        <f t="shared" si="221"/>
        <v>(23 downto 16)</v>
      </c>
      <c r="AC866" s="2" t="str">
        <f t="shared" si="222"/>
        <v>(15 downto 8)</v>
      </c>
      <c r="AD866" s="2" t="str">
        <f t="shared" si="223"/>
        <v>(7 downto 0)</v>
      </c>
      <c r="AE866" s="2" t="str">
        <f t="shared" si="224"/>
        <v>(31 downto 24)</v>
      </c>
      <c r="AF866" s="2" t="str">
        <f t="shared" si="225"/>
        <v>(23 downto 16)</v>
      </c>
      <c r="AG866" s="2" t="str">
        <f t="shared" si="226"/>
        <v>(15 downto 8)</v>
      </c>
      <c r="AH866" s="2" t="str">
        <f t="shared" si="227"/>
        <v>(7 downto 0)</v>
      </c>
    </row>
    <row r="867" spans="2:34" x14ac:dyDescent="0.25">
      <c r="B867" s="2" t="s">
        <v>2416</v>
      </c>
      <c r="C867" s="2" t="s">
        <v>141</v>
      </c>
      <c r="D867" s="2" t="s">
        <v>0</v>
      </c>
      <c r="E867" s="2" t="s">
        <v>130</v>
      </c>
      <c r="F867" s="2" t="s">
        <v>2417</v>
      </c>
      <c r="G867" s="2" t="s">
        <v>2418</v>
      </c>
      <c r="H867" s="2" t="s">
        <v>142</v>
      </c>
      <c r="I867" s="2" t="s">
        <v>41</v>
      </c>
      <c r="J867" s="2">
        <v>32</v>
      </c>
      <c r="K867" s="2" t="s">
        <v>132</v>
      </c>
      <c r="L867" s="2" t="s">
        <v>40</v>
      </c>
      <c r="P867" s="2" t="s">
        <v>48</v>
      </c>
      <c r="Q867" s="2">
        <f>INDEX(Tables!$C$4:$C$28,MATCH($P867,Tables!$B$4:$B$28,0))</f>
        <v>32</v>
      </c>
      <c r="R867" s="2">
        <f>INDEX(Tables!$D$4:$D$28,MATCH($P867,Tables!$B$4:$B$28,0))</f>
        <v>4</v>
      </c>
      <c r="S867" s="2">
        <f>$S866+$R866+INDEX(Tables!$N$5:$Q$8,MATCH(MOD($S866+$R866,4),Tables!$M$5:$M$8,0),MATCH($R867,Tables!$N$4:$Q$4,0))</f>
        <v>3284</v>
      </c>
      <c r="T867" s="2" t="str">
        <f t="shared" si="213"/>
        <v>0CD4</v>
      </c>
      <c r="U867" s="2">
        <f t="shared" si="219"/>
        <v>821</v>
      </c>
      <c r="V867" s="2" t="str">
        <f t="shared" si="214"/>
        <v>335</v>
      </c>
      <c r="W867" s="2" t="str">
        <f t="shared" si="215"/>
        <v>X</v>
      </c>
      <c r="X867" s="2" t="str">
        <f t="shared" si="218"/>
        <v>X</v>
      </c>
      <c r="Y867" s="2" t="str">
        <f t="shared" si="216"/>
        <v>X</v>
      </c>
      <c r="Z867" s="2" t="str">
        <f t="shared" si="217"/>
        <v>X</v>
      </c>
      <c r="AA867" s="2" t="str">
        <f t="shared" si="220"/>
        <v>(31 downto 24)</v>
      </c>
      <c r="AB867" s="2" t="str">
        <f t="shared" si="221"/>
        <v>(23 downto 16)</v>
      </c>
      <c r="AC867" s="2" t="str">
        <f t="shared" si="222"/>
        <v>(15 downto 8)</v>
      </c>
      <c r="AD867" s="2" t="str">
        <f t="shared" si="223"/>
        <v>(7 downto 0)</v>
      </c>
      <c r="AE867" s="2" t="str">
        <f t="shared" si="224"/>
        <v>(31 downto 24)</v>
      </c>
      <c r="AF867" s="2" t="str">
        <f t="shared" si="225"/>
        <v>(23 downto 16)</v>
      </c>
      <c r="AG867" s="2" t="str">
        <f t="shared" si="226"/>
        <v>(15 downto 8)</v>
      </c>
      <c r="AH867" s="2" t="str">
        <f t="shared" si="227"/>
        <v>(7 downto 0)</v>
      </c>
    </row>
    <row r="868" spans="2:34" x14ac:dyDescent="0.25">
      <c r="B868" s="2" t="s">
        <v>2419</v>
      </c>
      <c r="C868" s="2" t="s">
        <v>141</v>
      </c>
      <c r="D868" s="2" t="s">
        <v>0</v>
      </c>
      <c r="E868" s="2" t="s">
        <v>130</v>
      </c>
      <c r="F868" s="2" t="s">
        <v>2420</v>
      </c>
      <c r="G868" s="2" t="s">
        <v>2421</v>
      </c>
      <c r="H868" s="2" t="s">
        <v>142</v>
      </c>
      <c r="I868" s="2" t="s">
        <v>41</v>
      </c>
      <c r="J868" s="2">
        <v>32</v>
      </c>
      <c r="K868" s="2" t="s">
        <v>132</v>
      </c>
      <c r="L868" s="2" t="s">
        <v>40</v>
      </c>
      <c r="P868" s="2" t="s">
        <v>48</v>
      </c>
      <c r="Q868" s="2">
        <f>INDEX(Tables!$C$4:$C$28,MATCH($P868,Tables!$B$4:$B$28,0))</f>
        <v>32</v>
      </c>
      <c r="R868" s="2">
        <f>INDEX(Tables!$D$4:$D$28,MATCH($P868,Tables!$B$4:$B$28,0))</f>
        <v>4</v>
      </c>
      <c r="S868" s="2">
        <f>$S867+$R867+INDEX(Tables!$N$5:$Q$8,MATCH(MOD($S867+$R867,4),Tables!$M$5:$M$8,0),MATCH($R868,Tables!$N$4:$Q$4,0))</f>
        <v>3288</v>
      </c>
      <c r="T868" s="2" t="str">
        <f t="shared" si="213"/>
        <v>0CD8</v>
      </c>
      <c r="U868" s="2">
        <f t="shared" si="219"/>
        <v>822</v>
      </c>
      <c r="V868" s="2" t="str">
        <f t="shared" si="214"/>
        <v>336</v>
      </c>
      <c r="W868" s="2" t="str">
        <f t="shared" si="215"/>
        <v>X</v>
      </c>
      <c r="X868" s="2" t="str">
        <f t="shared" si="218"/>
        <v>X</v>
      </c>
      <c r="Y868" s="2" t="str">
        <f t="shared" si="216"/>
        <v>X</v>
      </c>
      <c r="Z868" s="2" t="str">
        <f t="shared" si="217"/>
        <v>X</v>
      </c>
      <c r="AA868" s="2" t="str">
        <f t="shared" si="220"/>
        <v>(31 downto 24)</v>
      </c>
      <c r="AB868" s="2" t="str">
        <f t="shared" si="221"/>
        <v>(23 downto 16)</v>
      </c>
      <c r="AC868" s="2" t="str">
        <f t="shared" si="222"/>
        <v>(15 downto 8)</v>
      </c>
      <c r="AD868" s="2" t="str">
        <f t="shared" si="223"/>
        <v>(7 downto 0)</v>
      </c>
      <c r="AE868" s="2" t="str">
        <f t="shared" si="224"/>
        <v>(31 downto 24)</v>
      </c>
      <c r="AF868" s="2" t="str">
        <f t="shared" si="225"/>
        <v>(23 downto 16)</v>
      </c>
      <c r="AG868" s="2" t="str">
        <f t="shared" si="226"/>
        <v>(15 downto 8)</v>
      </c>
      <c r="AH868" s="2" t="str">
        <f t="shared" si="227"/>
        <v>(7 downto 0)</v>
      </c>
    </row>
    <row r="869" spans="2:34" x14ac:dyDescent="0.25">
      <c r="B869" s="2" t="s">
        <v>2422</v>
      </c>
      <c r="C869" s="2" t="s">
        <v>141</v>
      </c>
      <c r="D869" s="2" t="s">
        <v>0</v>
      </c>
      <c r="E869" s="2" t="s">
        <v>130</v>
      </c>
      <c r="F869" s="2" t="s">
        <v>2423</v>
      </c>
      <c r="G869" s="2" t="s">
        <v>2424</v>
      </c>
      <c r="H869" s="2" t="s">
        <v>142</v>
      </c>
      <c r="I869" s="2" t="s">
        <v>41</v>
      </c>
      <c r="J869" s="2">
        <v>32</v>
      </c>
      <c r="K869" s="2" t="s">
        <v>132</v>
      </c>
      <c r="L869" s="2" t="s">
        <v>40</v>
      </c>
      <c r="P869" s="2" t="s">
        <v>48</v>
      </c>
      <c r="Q869" s="2">
        <f>INDEX(Tables!$C$4:$C$28,MATCH($P869,Tables!$B$4:$B$28,0))</f>
        <v>32</v>
      </c>
      <c r="R869" s="2">
        <f>INDEX(Tables!$D$4:$D$28,MATCH($P869,Tables!$B$4:$B$28,0))</f>
        <v>4</v>
      </c>
      <c r="S869" s="2">
        <f>$S868+$R868+INDEX(Tables!$N$5:$Q$8,MATCH(MOD($S868+$R868,4),Tables!$M$5:$M$8,0),MATCH($R869,Tables!$N$4:$Q$4,0))</f>
        <v>3292</v>
      </c>
      <c r="T869" s="2" t="str">
        <f t="shared" si="213"/>
        <v>0CDC</v>
      </c>
      <c r="U869" s="2">
        <f t="shared" si="219"/>
        <v>823</v>
      </c>
      <c r="V869" s="2" t="str">
        <f t="shared" si="214"/>
        <v>337</v>
      </c>
      <c r="W869" s="2" t="str">
        <f t="shared" si="215"/>
        <v>X</v>
      </c>
      <c r="X869" s="2" t="str">
        <f t="shared" si="218"/>
        <v>X</v>
      </c>
      <c r="Y869" s="2" t="str">
        <f t="shared" si="216"/>
        <v>X</v>
      </c>
      <c r="Z869" s="2" t="str">
        <f t="shared" si="217"/>
        <v>X</v>
      </c>
      <c r="AA869" s="2" t="str">
        <f t="shared" si="220"/>
        <v>(31 downto 24)</v>
      </c>
      <c r="AB869" s="2" t="str">
        <f t="shared" si="221"/>
        <v>(23 downto 16)</v>
      </c>
      <c r="AC869" s="2" t="str">
        <f t="shared" si="222"/>
        <v>(15 downto 8)</v>
      </c>
      <c r="AD869" s="2" t="str">
        <f t="shared" si="223"/>
        <v>(7 downto 0)</v>
      </c>
      <c r="AE869" s="2" t="str">
        <f t="shared" si="224"/>
        <v>(31 downto 24)</v>
      </c>
      <c r="AF869" s="2" t="str">
        <f t="shared" si="225"/>
        <v>(23 downto 16)</v>
      </c>
      <c r="AG869" s="2" t="str">
        <f t="shared" si="226"/>
        <v>(15 downto 8)</v>
      </c>
      <c r="AH869" s="2" t="str">
        <f t="shared" si="227"/>
        <v>(7 downto 0)</v>
      </c>
    </row>
    <row r="870" spans="2:34" x14ac:dyDescent="0.25">
      <c r="B870" s="2" t="s">
        <v>2425</v>
      </c>
      <c r="C870" s="2" t="s">
        <v>141</v>
      </c>
      <c r="D870" s="2" t="s">
        <v>0</v>
      </c>
      <c r="E870" s="2" t="s">
        <v>130</v>
      </c>
      <c r="F870" s="2" t="s">
        <v>2426</v>
      </c>
      <c r="G870" s="2" t="s">
        <v>2427</v>
      </c>
      <c r="H870" s="2" t="s">
        <v>142</v>
      </c>
      <c r="I870" s="2" t="s">
        <v>41</v>
      </c>
      <c r="J870" s="2">
        <v>32</v>
      </c>
      <c r="K870" s="2" t="s">
        <v>132</v>
      </c>
      <c r="L870" s="2" t="s">
        <v>40</v>
      </c>
      <c r="P870" s="2" t="s">
        <v>48</v>
      </c>
      <c r="Q870" s="2">
        <f>INDEX(Tables!$C$4:$C$28,MATCH($P870,Tables!$B$4:$B$28,0))</f>
        <v>32</v>
      </c>
      <c r="R870" s="2">
        <f>INDEX(Tables!$D$4:$D$28,MATCH($P870,Tables!$B$4:$B$28,0))</f>
        <v>4</v>
      </c>
      <c r="S870" s="2">
        <f>$S869+$R869+INDEX(Tables!$N$5:$Q$8,MATCH(MOD($S869+$R869,4),Tables!$M$5:$M$8,0),MATCH($R870,Tables!$N$4:$Q$4,0))</f>
        <v>3296</v>
      </c>
      <c r="T870" s="2" t="str">
        <f t="shared" si="213"/>
        <v>0CE0</v>
      </c>
      <c r="U870" s="2">
        <f t="shared" si="219"/>
        <v>824</v>
      </c>
      <c r="V870" s="2" t="str">
        <f t="shared" si="214"/>
        <v>338</v>
      </c>
      <c r="W870" s="2" t="str">
        <f t="shared" si="215"/>
        <v>X</v>
      </c>
      <c r="X870" s="2" t="str">
        <f t="shared" si="218"/>
        <v>X</v>
      </c>
      <c r="Y870" s="2" t="str">
        <f t="shared" si="216"/>
        <v>X</v>
      </c>
      <c r="Z870" s="2" t="str">
        <f t="shared" si="217"/>
        <v>X</v>
      </c>
      <c r="AA870" s="2" t="str">
        <f t="shared" si="220"/>
        <v>(31 downto 24)</v>
      </c>
      <c r="AB870" s="2" t="str">
        <f t="shared" si="221"/>
        <v>(23 downto 16)</v>
      </c>
      <c r="AC870" s="2" t="str">
        <f t="shared" si="222"/>
        <v>(15 downto 8)</v>
      </c>
      <c r="AD870" s="2" t="str">
        <f t="shared" si="223"/>
        <v>(7 downto 0)</v>
      </c>
      <c r="AE870" s="2" t="str">
        <f t="shared" si="224"/>
        <v>(31 downto 24)</v>
      </c>
      <c r="AF870" s="2" t="str">
        <f t="shared" si="225"/>
        <v>(23 downto 16)</v>
      </c>
      <c r="AG870" s="2" t="str">
        <f t="shared" si="226"/>
        <v>(15 downto 8)</v>
      </c>
      <c r="AH870" s="2" t="str">
        <f t="shared" si="227"/>
        <v>(7 downto 0)</v>
      </c>
    </row>
    <row r="871" spans="2:34" x14ac:dyDescent="0.25">
      <c r="B871" s="2" t="s">
        <v>2428</v>
      </c>
      <c r="C871" s="2" t="s">
        <v>141</v>
      </c>
      <c r="D871" s="2" t="s">
        <v>0</v>
      </c>
      <c r="E871" s="2" t="s">
        <v>130</v>
      </c>
      <c r="F871" s="2" t="s">
        <v>2429</v>
      </c>
      <c r="G871" s="2" t="s">
        <v>2430</v>
      </c>
      <c r="H871" s="2" t="s">
        <v>142</v>
      </c>
      <c r="I871" s="2" t="s">
        <v>41</v>
      </c>
      <c r="J871" s="2">
        <v>32</v>
      </c>
      <c r="K871" s="2" t="s">
        <v>132</v>
      </c>
      <c r="L871" s="2" t="s">
        <v>40</v>
      </c>
      <c r="P871" s="2" t="s">
        <v>48</v>
      </c>
      <c r="Q871" s="2">
        <f>INDEX(Tables!$C$4:$C$28,MATCH($P871,Tables!$B$4:$B$28,0))</f>
        <v>32</v>
      </c>
      <c r="R871" s="2">
        <f>INDEX(Tables!$D$4:$D$28,MATCH($P871,Tables!$B$4:$B$28,0))</f>
        <v>4</v>
      </c>
      <c r="S871" s="2">
        <f>$S870+$R870+INDEX(Tables!$N$5:$Q$8,MATCH(MOD($S870+$R870,4),Tables!$M$5:$M$8,0),MATCH($R871,Tables!$N$4:$Q$4,0))</f>
        <v>3300</v>
      </c>
      <c r="T871" s="2" t="str">
        <f t="shared" si="213"/>
        <v>0CE4</v>
      </c>
      <c r="U871" s="2">
        <f t="shared" si="219"/>
        <v>825</v>
      </c>
      <c r="V871" s="2" t="str">
        <f t="shared" si="214"/>
        <v>339</v>
      </c>
      <c r="W871" s="2" t="str">
        <f t="shared" si="215"/>
        <v>X</v>
      </c>
      <c r="X871" s="2" t="str">
        <f t="shared" si="218"/>
        <v>X</v>
      </c>
      <c r="Y871" s="2" t="str">
        <f t="shared" si="216"/>
        <v>X</v>
      </c>
      <c r="Z871" s="2" t="str">
        <f t="shared" si="217"/>
        <v>X</v>
      </c>
      <c r="AA871" s="2" t="str">
        <f t="shared" si="220"/>
        <v>(31 downto 24)</v>
      </c>
      <c r="AB871" s="2" t="str">
        <f t="shared" si="221"/>
        <v>(23 downto 16)</v>
      </c>
      <c r="AC871" s="2" t="str">
        <f t="shared" si="222"/>
        <v>(15 downto 8)</v>
      </c>
      <c r="AD871" s="2" t="str">
        <f t="shared" si="223"/>
        <v>(7 downto 0)</v>
      </c>
      <c r="AE871" s="2" t="str">
        <f t="shared" si="224"/>
        <v>(31 downto 24)</v>
      </c>
      <c r="AF871" s="2" t="str">
        <f t="shared" si="225"/>
        <v>(23 downto 16)</v>
      </c>
      <c r="AG871" s="2" t="str">
        <f t="shared" si="226"/>
        <v>(15 downto 8)</v>
      </c>
      <c r="AH871" s="2" t="str">
        <f t="shared" si="227"/>
        <v>(7 downto 0)</v>
      </c>
    </row>
    <row r="872" spans="2:34" x14ac:dyDescent="0.25">
      <c r="B872" s="2" t="s">
        <v>2431</v>
      </c>
      <c r="C872" s="2" t="s">
        <v>141</v>
      </c>
      <c r="D872" s="2" t="s">
        <v>0</v>
      </c>
      <c r="E872" s="2" t="s">
        <v>130</v>
      </c>
      <c r="F872" s="2" t="s">
        <v>2432</v>
      </c>
      <c r="G872" s="2" t="s">
        <v>2433</v>
      </c>
      <c r="H872" s="2" t="s">
        <v>142</v>
      </c>
      <c r="I872" s="2" t="s">
        <v>41</v>
      </c>
      <c r="J872" s="2">
        <v>32</v>
      </c>
      <c r="K872" s="2" t="s">
        <v>132</v>
      </c>
      <c r="L872" s="2" t="s">
        <v>40</v>
      </c>
      <c r="P872" s="2" t="s">
        <v>48</v>
      </c>
      <c r="Q872" s="2">
        <f>INDEX(Tables!$C$4:$C$28,MATCH($P872,Tables!$B$4:$B$28,0))</f>
        <v>32</v>
      </c>
      <c r="R872" s="2">
        <f>INDEX(Tables!$D$4:$D$28,MATCH($P872,Tables!$B$4:$B$28,0))</f>
        <v>4</v>
      </c>
      <c r="S872" s="2">
        <f>$S871+$R871+INDEX(Tables!$N$5:$Q$8,MATCH(MOD($S871+$R871,4),Tables!$M$5:$M$8,0),MATCH($R872,Tables!$N$4:$Q$4,0))</f>
        <v>3304</v>
      </c>
      <c r="T872" s="2" t="str">
        <f t="shared" si="213"/>
        <v>0CE8</v>
      </c>
      <c r="U872" s="2">
        <f t="shared" si="219"/>
        <v>826</v>
      </c>
      <c r="V872" s="2" t="str">
        <f t="shared" si="214"/>
        <v>33A</v>
      </c>
      <c r="W872" s="2" t="str">
        <f t="shared" si="215"/>
        <v>X</v>
      </c>
      <c r="X872" s="2" t="str">
        <f t="shared" si="218"/>
        <v>X</v>
      </c>
      <c r="Y872" s="2" t="str">
        <f t="shared" si="216"/>
        <v>X</v>
      </c>
      <c r="Z872" s="2" t="str">
        <f t="shared" si="217"/>
        <v>X</v>
      </c>
      <c r="AA872" s="2" t="str">
        <f t="shared" si="220"/>
        <v>(31 downto 24)</v>
      </c>
      <c r="AB872" s="2" t="str">
        <f t="shared" si="221"/>
        <v>(23 downto 16)</v>
      </c>
      <c r="AC872" s="2" t="str">
        <f t="shared" si="222"/>
        <v>(15 downto 8)</v>
      </c>
      <c r="AD872" s="2" t="str">
        <f t="shared" si="223"/>
        <v>(7 downto 0)</v>
      </c>
      <c r="AE872" s="2" t="str">
        <f t="shared" si="224"/>
        <v>(31 downto 24)</v>
      </c>
      <c r="AF872" s="2" t="str">
        <f t="shared" si="225"/>
        <v>(23 downto 16)</v>
      </c>
      <c r="AG872" s="2" t="str">
        <f t="shared" si="226"/>
        <v>(15 downto 8)</v>
      </c>
      <c r="AH872" s="2" t="str">
        <f t="shared" si="227"/>
        <v>(7 downto 0)</v>
      </c>
    </row>
    <row r="873" spans="2:34" x14ac:dyDescent="0.25">
      <c r="B873" s="2" t="s">
        <v>2434</v>
      </c>
      <c r="C873" s="2" t="s">
        <v>141</v>
      </c>
      <c r="D873" s="2" t="s">
        <v>0</v>
      </c>
      <c r="E873" s="2" t="s">
        <v>130</v>
      </c>
      <c r="F873" s="2" t="s">
        <v>2435</v>
      </c>
      <c r="G873" s="2" t="s">
        <v>2436</v>
      </c>
      <c r="H873" s="2" t="s">
        <v>142</v>
      </c>
      <c r="I873" s="2" t="s">
        <v>41</v>
      </c>
      <c r="J873" s="2">
        <v>32</v>
      </c>
      <c r="K873" s="2" t="s">
        <v>132</v>
      </c>
      <c r="L873" s="2" t="s">
        <v>40</v>
      </c>
      <c r="P873" s="2" t="s">
        <v>48</v>
      </c>
      <c r="Q873" s="2">
        <f>INDEX(Tables!$C$4:$C$28,MATCH($P873,Tables!$B$4:$B$28,0))</f>
        <v>32</v>
      </c>
      <c r="R873" s="2">
        <f>INDEX(Tables!$D$4:$D$28,MATCH($P873,Tables!$B$4:$B$28,0))</f>
        <v>4</v>
      </c>
      <c r="S873" s="2">
        <f>$S872+$R872+INDEX(Tables!$N$5:$Q$8,MATCH(MOD($S872+$R872,4),Tables!$M$5:$M$8,0),MATCH($R873,Tables!$N$4:$Q$4,0))</f>
        <v>3308</v>
      </c>
      <c r="T873" s="2" t="str">
        <f t="shared" si="213"/>
        <v>0CEC</v>
      </c>
      <c r="U873" s="2">
        <f t="shared" si="219"/>
        <v>827</v>
      </c>
      <c r="V873" s="2" t="str">
        <f t="shared" si="214"/>
        <v>33B</v>
      </c>
      <c r="W873" s="2" t="str">
        <f t="shared" si="215"/>
        <v>X</v>
      </c>
      <c r="X873" s="2" t="str">
        <f t="shared" si="218"/>
        <v>X</v>
      </c>
      <c r="Y873" s="2" t="str">
        <f t="shared" si="216"/>
        <v>X</v>
      </c>
      <c r="Z873" s="2" t="str">
        <f t="shared" si="217"/>
        <v>X</v>
      </c>
      <c r="AA873" s="2" t="str">
        <f t="shared" si="220"/>
        <v>(31 downto 24)</v>
      </c>
      <c r="AB873" s="2" t="str">
        <f t="shared" si="221"/>
        <v>(23 downto 16)</v>
      </c>
      <c r="AC873" s="2" t="str">
        <f t="shared" si="222"/>
        <v>(15 downto 8)</v>
      </c>
      <c r="AD873" s="2" t="str">
        <f t="shared" si="223"/>
        <v>(7 downto 0)</v>
      </c>
      <c r="AE873" s="2" t="str">
        <f t="shared" si="224"/>
        <v>(31 downto 24)</v>
      </c>
      <c r="AF873" s="2" t="str">
        <f t="shared" si="225"/>
        <v>(23 downto 16)</v>
      </c>
      <c r="AG873" s="2" t="str">
        <f t="shared" si="226"/>
        <v>(15 downto 8)</v>
      </c>
      <c r="AH873" s="2" t="str">
        <f t="shared" si="227"/>
        <v>(7 downto 0)</v>
      </c>
    </row>
    <row r="874" spans="2:34" x14ac:dyDescent="0.25">
      <c r="B874" s="2" t="s">
        <v>2437</v>
      </c>
      <c r="C874" s="2" t="s">
        <v>141</v>
      </c>
      <c r="D874" s="2" t="s">
        <v>0</v>
      </c>
      <c r="E874" s="2" t="s">
        <v>130</v>
      </c>
      <c r="F874" s="2" t="s">
        <v>2438</v>
      </c>
      <c r="G874" s="2" t="s">
        <v>2439</v>
      </c>
      <c r="H874" s="2" t="s">
        <v>142</v>
      </c>
      <c r="I874" s="2" t="s">
        <v>41</v>
      </c>
      <c r="J874" s="2">
        <v>32</v>
      </c>
      <c r="K874" s="2" t="s">
        <v>132</v>
      </c>
      <c r="L874" s="2" t="s">
        <v>40</v>
      </c>
      <c r="P874" s="2" t="s">
        <v>48</v>
      </c>
      <c r="Q874" s="2">
        <f>INDEX(Tables!$C$4:$C$28,MATCH($P874,Tables!$B$4:$B$28,0))</f>
        <v>32</v>
      </c>
      <c r="R874" s="2">
        <f>INDEX(Tables!$D$4:$D$28,MATCH($P874,Tables!$B$4:$B$28,0))</f>
        <v>4</v>
      </c>
      <c r="S874" s="2">
        <f>$S873+$R873+INDEX(Tables!$N$5:$Q$8,MATCH(MOD($S873+$R873,4),Tables!$M$5:$M$8,0),MATCH($R874,Tables!$N$4:$Q$4,0))</f>
        <v>3312</v>
      </c>
      <c r="T874" s="2" t="str">
        <f t="shared" si="213"/>
        <v>0CF0</v>
      </c>
      <c r="U874" s="2">
        <f t="shared" si="219"/>
        <v>828</v>
      </c>
      <c r="V874" s="2" t="str">
        <f t="shared" si="214"/>
        <v>33C</v>
      </c>
      <c r="W874" s="2" t="str">
        <f t="shared" si="215"/>
        <v>X</v>
      </c>
      <c r="X874" s="2" t="str">
        <f t="shared" si="218"/>
        <v>X</v>
      </c>
      <c r="Y874" s="2" t="str">
        <f t="shared" si="216"/>
        <v>X</v>
      </c>
      <c r="Z874" s="2" t="str">
        <f t="shared" si="217"/>
        <v>X</v>
      </c>
      <c r="AA874" s="2" t="str">
        <f t="shared" si="220"/>
        <v>(31 downto 24)</v>
      </c>
      <c r="AB874" s="2" t="str">
        <f t="shared" si="221"/>
        <v>(23 downto 16)</v>
      </c>
      <c r="AC874" s="2" t="str">
        <f t="shared" si="222"/>
        <v>(15 downto 8)</v>
      </c>
      <c r="AD874" s="2" t="str">
        <f t="shared" si="223"/>
        <v>(7 downto 0)</v>
      </c>
      <c r="AE874" s="2" t="str">
        <f t="shared" si="224"/>
        <v>(31 downto 24)</v>
      </c>
      <c r="AF874" s="2" t="str">
        <f t="shared" si="225"/>
        <v>(23 downto 16)</v>
      </c>
      <c r="AG874" s="2" t="str">
        <f t="shared" si="226"/>
        <v>(15 downto 8)</v>
      </c>
      <c r="AH874" s="2" t="str">
        <f t="shared" si="227"/>
        <v>(7 downto 0)</v>
      </c>
    </row>
    <row r="875" spans="2:34" x14ac:dyDescent="0.25">
      <c r="B875" s="2" t="s">
        <v>2440</v>
      </c>
      <c r="C875" s="2" t="s">
        <v>141</v>
      </c>
      <c r="D875" s="2" t="s">
        <v>0</v>
      </c>
      <c r="E875" s="2" t="s">
        <v>130</v>
      </c>
      <c r="F875" s="2" t="s">
        <v>2441</v>
      </c>
      <c r="G875" s="2" t="s">
        <v>2442</v>
      </c>
      <c r="H875" s="2" t="s">
        <v>142</v>
      </c>
      <c r="I875" s="2" t="s">
        <v>41</v>
      </c>
      <c r="J875" s="2">
        <v>32</v>
      </c>
      <c r="K875" s="2" t="s">
        <v>132</v>
      </c>
      <c r="L875" s="2" t="s">
        <v>40</v>
      </c>
      <c r="P875" s="2" t="s">
        <v>48</v>
      </c>
      <c r="Q875" s="2">
        <f>INDEX(Tables!$C$4:$C$28,MATCH($P875,Tables!$B$4:$B$28,0))</f>
        <v>32</v>
      </c>
      <c r="R875" s="2">
        <f>INDEX(Tables!$D$4:$D$28,MATCH($P875,Tables!$B$4:$B$28,0))</f>
        <v>4</v>
      </c>
      <c r="S875" s="2">
        <f>$S874+$R874+INDEX(Tables!$N$5:$Q$8,MATCH(MOD($S874+$R874,4),Tables!$M$5:$M$8,0),MATCH($R875,Tables!$N$4:$Q$4,0))</f>
        <v>3316</v>
      </c>
      <c r="T875" s="2" t="str">
        <f t="shared" si="213"/>
        <v>0CF4</v>
      </c>
      <c r="U875" s="2">
        <f t="shared" si="219"/>
        <v>829</v>
      </c>
      <c r="V875" s="2" t="str">
        <f t="shared" si="214"/>
        <v>33D</v>
      </c>
      <c r="W875" s="2" t="str">
        <f t="shared" si="215"/>
        <v>X</v>
      </c>
      <c r="X875" s="2" t="str">
        <f t="shared" si="218"/>
        <v>X</v>
      </c>
      <c r="Y875" s="2" t="str">
        <f t="shared" si="216"/>
        <v>X</v>
      </c>
      <c r="Z875" s="2" t="str">
        <f t="shared" si="217"/>
        <v>X</v>
      </c>
      <c r="AA875" s="2" t="str">
        <f t="shared" si="220"/>
        <v>(31 downto 24)</v>
      </c>
      <c r="AB875" s="2" t="str">
        <f t="shared" si="221"/>
        <v>(23 downto 16)</v>
      </c>
      <c r="AC875" s="2" t="str">
        <f t="shared" si="222"/>
        <v>(15 downto 8)</v>
      </c>
      <c r="AD875" s="2" t="str">
        <f t="shared" si="223"/>
        <v>(7 downto 0)</v>
      </c>
      <c r="AE875" s="2" t="str">
        <f t="shared" si="224"/>
        <v>(31 downto 24)</v>
      </c>
      <c r="AF875" s="2" t="str">
        <f t="shared" si="225"/>
        <v>(23 downto 16)</v>
      </c>
      <c r="AG875" s="2" t="str">
        <f t="shared" si="226"/>
        <v>(15 downto 8)</v>
      </c>
      <c r="AH875" s="2" t="str">
        <f t="shared" si="227"/>
        <v>(7 downto 0)</v>
      </c>
    </row>
    <row r="876" spans="2:34" x14ac:dyDescent="0.25">
      <c r="B876" s="2" t="s">
        <v>2443</v>
      </c>
      <c r="C876" s="2" t="s">
        <v>141</v>
      </c>
      <c r="D876" s="2" t="s">
        <v>0</v>
      </c>
      <c r="E876" s="2" t="s">
        <v>130</v>
      </c>
      <c r="F876" s="2" t="s">
        <v>2444</v>
      </c>
      <c r="G876" s="2" t="s">
        <v>2445</v>
      </c>
      <c r="H876" s="2" t="s">
        <v>142</v>
      </c>
      <c r="I876" s="2" t="s">
        <v>41</v>
      </c>
      <c r="J876" s="2">
        <v>32</v>
      </c>
      <c r="K876" s="2" t="s">
        <v>132</v>
      </c>
      <c r="L876" s="2" t="s">
        <v>40</v>
      </c>
      <c r="P876" s="2" t="s">
        <v>48</v>
      </c>
      <c r="Q876" s="2">
        <f>INDEX(Tables!$C$4:$C$28,MATCH($P876,Tables!$B$4:$B$28,0))</f>
        <v>32</v>
      </c>
      <c r="R876" s="2">
        <f>INDEX(Tables!$D$4:$D$28,MATCH($P876,Tables!$B$4:$B$28,0))</f>
        <v>4</v>
      </c>
      <c r="S876" s="2">
        <f>$S875+$R875+INDEX(Tables!$N$5:$Q$8,MATCH(MOD($S875+$R875,4),Tables!$M$5:$M$8,0),MATCH($R876,Tables!$N$4:$Q$4,0))</f>
        <v>3320</v>
      </c>
      <c r="T876" s="2" t="str">
        <f t="shared" si="213"/>
        <v>0CF8</v>
      </c>
      <c r="U876" s="2">
        <f t="shared" si="219"/>
        <v>830</v>
      </c>
      <c r="V876" s="2" t="str">
        <f t="shared" si="214"/>
        <v>33E</v>
      </c>
      <c r="W876" s="2" t="str">
        <f t="shared" si="215"/>
        <v>X</v>
      </c>
      <c r="X876" s="2" t="str">
        <f t="shared" si="218"/>
        <v>X</v>
      </c>
      <c r="Y876" s="2" t="str">
        <f t="shared" si="216"/>
        <v>X</v>
      </c>
      <c r="Z876" s="2" t="str">
        <f t="shared" si="217"/>
        <v>X</v>
      </c>
      <c r="AA876" s="2" t="str">
        <f t="shared" si="220"/>
        <v>(31 downto 24)</v>
      </c>
      <c r="AB876" s="2" t="str">
        <f t="shared" si="221"/>
        <v>(23 downto 16)</v>
      </c>
      <c r="AC876" s="2" t="str">
        <f t="shared" si="222"/>
        <v>(15 downto 8)</v>
      </c>
      <c r="AD876" s="2" t="str">
        <f t="shared" si="223"/>
        <v>(7 downto 0)</v>
      </c>
      <c r="AE876" s="2" t="str">
        <f t="shared" si="224"/>
        <v>(31 downto 24)</v>
      </c>
      <c r="AF876" s="2" t="str">
        <f t="shared" si="225"/>
        <v>(23 downto 16)</v>
      </c>
      <c r="AG876" s="2" t="str">
        <f t="shared" si="226"/>
        <v>(15 downto 8)</v>
      </c>
      <c r="AH876" s="2" t="str">
        <f t="shared" si="227"/>
        <v>(7 downto 0)</v>
      </c>
    </row>
    <row r="877" spans="2:34" x14ac:dyDescent="0.25">
      <c r="B877" s="2" t="s">
        <v>2446</v>
      </c>
      <c r="C877" s="2" t="s">
        <v>141</v>
      </c>
      <c r="D877" s="2" t="s">
        <v>0</v>
      </c>
      <c r="E877" s="2" t="s">
        <v>130</v>
      </c>
      <c r="F877" s="2" t="s">
        <v>2447</v>
      </c>
      <c r="G877" s="2" t="s">
        <v>2448</v>
      </c>
      <c r="H877" s="2" t="s">
        <v>142</v>
      </c>
      <c r="I877" s="2" t="s">
        <v>41</v>
      </c>
      <c r="J877" s="2">
        <v>32</v>
      </c>
      <c r="K877" s="2" t="s">
        <v>132</v>
      </c>
      <c r="L877" s="2" t="s">
        <v>40</v>
      </c>
      <c r="P877" s="2" t="s">
        <v>48</v>
      </c>
      <c r="Q877" s="2">
        <f>INDEX(Tables!$C$4:$C$28,MATCH($P877,Tables!$B$4:$B$28,0))</f>
        <v>32</v>
      </c>
      <c r="R877" s="2">
        <f>INDEX(Tables!$D$4:$D$28,MATCH($P877,Tables!$B$4:$B$28,0))</f>
        <v>4</v>
      </c>
      <c r="S877" s="2">
        <f>$S876+$R876+INDEX(Tables!$N$5:$Q$8,MATCH(MOD($S876+$R876,4),Tables!$M$5:$M$8,0),MATCH($R877,Tables!$N$4:$Q$4,0))</f>
        <v>3324</v>
      </c>
      <c r="T877" s="2" t="str">
        <f t="shared" si="213"/>
        <v>0CFC</v>
      </c>
      <c r="U877" s="2">
        <f t="shared" si="219"/>
        <v>831</v>
      </c>
      <c r="V877" s="2" t="str">
        <f t="shared" si="214"/>
        <v>33F</v>
      </c>
      <c r="W877" s="2" t="str">
        <f t="shared" si="215"/>
        <v>X</v>
      </c>
      <c r="X877" s="2" t="str">
        <f t="shared" si="218"/>
        <v>X</v>
      </c>
      <c r="Y877" s="2" t="str">
        <f t="shared" si="216"/>
        <v>X</v>
      </c>
      <c r="Z877" s="2" t="str">
        <f t="shared" si="217"/>
        <v>X</v>
      </c>
      <c r="AA877" s="2" t="str">
        <f t="shared" si="220"/>
        <v>(31 downto 24)</v>
      </c>
      <c r="AB877" s="2" t="str">
        <f t="shared" si="221"/>
        <v>(23 downto 16)</v>
      </c>
      <c r="AC877" s="2" t="str">
        <f t="shared" si="222"/>
        <v>(15 downto 8)</v>
      </c>
      <c r="AD877" s="2" t="str">
        <f t="shared" si="223"/>
        <v>(7 downto 0)</v>
      </c>
      <c r="AE877" s="2" t="str">
        <f t="shared" si="224"/>
        <v>(31 downto 24)</v>
      </c>
      <c r="AF877" s="2" t="str">
        <f t="shared" si="225"/>
        <v>(23 downto 16)</v>
      </c>
      <c r="AG877" s="2" t="str">
        <f t="shared" si="226"/>
        <v>(15 downto 8)</v>
      </c>
      <c r="AH877" s="2" t="str">
        <f t="shared" si="227"/>
        <v>(7 downto 0)</v>
      </c>
    </row>
    <row r="878" spans="2:34" x14ac:dyDescent="0.25">
      <c r="B878" s="2" t="s">
        <v>2449</v>
      </c>
      <c r="C878" s="2" t="s">
        <v>141</v>
      </c>
      <c r="D878" s="2" t="s">
        <v>0</v>
      </c>
      <c r="E878" s="2" t="s">
        <v>130</v>
      </c>
      <c r="F878" s="2" t="s">
        <v>2450</v>
      </c>
      <c r="G878" s="2" t="s">
        <v>2451</v>
      </c>
      <c r="H878" s="2" t="s">
        <v>142</v>
      </c>
      <c r="I878" s="2" t="s">
        <v>41</v>
      </c>
      <c r="J878" s="2">
        <v>32</v>
      </c>
      <c r="K878" s="2" t="s">
        <v>132</v>
      </c>
      <c r="L878" s="2" t="s">
        <v>40</v>
      </c>
      <c r="P878" s="2" t="s">
        <v>48</v>
      </c>
      <c r="Q878" s="2">
        <f>INDEX(Tables!$C$4:$C$28,MATCH($P878,Tables!$B$4:$B$28,0))</f>
        <v>32</v>
      </c>
      <c r="R878" s="2">
        <f>INDEX(Tables!$D$4:$D$28,MATCH($P878,Tables!$B$4:$B$28,0))</f>
        <v>4</v>
      </c>
      <c r="S878" s="2">
        <f>$S877+$R877+INDEX(Tables!$N$5:$Q$8,MATCH(MOD($S877+$R877,4),Tables!$M$5:$M$8,0),MATCH($R878,Tables!$N$4:$Q$4,0))</f>
        <v>3328</v>
      </c>
      <c r="T878" s="2" t="str">
        <f t="shared" si="213"/>
        <v>0D00</v>
      </c>
      <c r="U878" s="2">
        <f t="shared" si="219"/>
        <v>832</v>
      </c>
      <c r="V878" s="2" t="str">
        <f t="shared" si="214"/>
        <v>340</v>
      </c>
      <c r="W878" s="2" t="str">
        <f t="shared" si="215"/>
        <v>X</v>
      </c>
      <c r="X878" s="2" t="str">
        <f t="shared" si="218"/>
        <v>X</v>
      </c>
      <c r="Y878" s="2" t="str">
        <f t="shared" si="216"/>
        <v>X</v>
      </c>
      <c r="Z878" s="2" t="str">
        <f t="shared" si="217"/>
        <v>X</v>
      </c>
      <c r="AA878" s="2" t="str">
        <f t="shared" si="220"/>
        <v>(31 downto 24)</v>
      </c>
      <c r="AB878" s="2" t="str">
        <f t="shared" si="221"/>
        <v>(23 downto 16)</v>
      </c>
      <c r="AC878" s="2" t="str">
        <f t="shared" si="222"/>
        <v>(15 downto 8)</v>
      </c>
      <c r="AD878" s="2" t="str">
        <f t="shared" si="223"/>
        <v>(7 downto 0)</v>
      </c>
      <c r="AE878" s="2" t="str">
        <f t="shared" si="224"/>
        <v>(31 downto 24)</v>
      </c>
      <c r="AF878" s="2" t="str">
        <f t="shared" si="225"/>
        <v>(23 downto 16)</v>
      </c>
      <c r="AG878" s="2" t="str">
        <f t="shared" si="226"/>
        <v>(15 downto 8)</v>
      </c>
      <c r="AH878" s="2" t="str">
        <f t="shared" si="227"/>
        <v>(7 downto 0)</v>
      </c>
    </row>
    <row r="879" spans="2:34" x14ac:dyDescent="0.25">
      <c r="B879" s="2" t="s">
        <v>2452</v>
      </c>
      <c r="C879" s="2" t="s">
        <v>141</v>
      </c>
      <c r="D879" s="2" t="s">
        <v>0</v>
      </c>
      <c r="E879" s="2" t="s">
        <v>130</v>
      </c>
      <c r="F879" s="2" t="s">
        <v>2453</v>
      </c>
      <c r="G879" s="2" t="s">
        <v>2454</v>
      </c>
      <c r="H879" s="2" t="s">
        <v>142</v>
      </c>
      <c r="I879" s="2" t="s">
        <v>41</v>
      </c>
      <c r="J879" s="2">
        <v>32</v>
      </c>
      <c r="K879" s="2" t="s">
        <v>132</v>
      </c>
      <c r="L879" s="2" t="s">
        <v>40</v>
      </c>
      <c r="P879" s="2" t="s">
        <v>48</v>
      </c>
      <c r="Q879" s="2">
        <f>INDEX(Tables!$C$4:$C$28,MATCH($P879,Tables!$B$4:$B$28,0))</f>
        <v>32</v>
      </c>
      <c r="R879" s="2">
        <f>INDEX(Tables!$D$4:$D$28,MATCH($P879,Tables!$B$4:$B$28,0))</f>
        <v>4</v>
      </c>
      <c r="S879" s="2">
        <f>$S878+$R878+INDEX(Tables!$N$5:$Q$8,MATCH(MOD($S878+$R878,4),Tables!$M$5:$M$8,0),MATCH($R879,Tables!$N$4:$Q$4,0))</f>
        <v>3332</v>
      </c>
      <c r="T879" s="2" t="str">
        <f t="shared" si="213"/>
        <v>0D04</v>
      </c>
      <c r="U879" s="2">
        <f t="shared" si="219"/>
        <v>833</v>
      </c>
      <c r="V879" s="2" t="str">
        <f t="shared" si="214"/>
        <v>341</v>
      </c>
      <c r="W879" s="2" t="str">
        <f t="shared" si="215"/>
        <v>X</v>
      </c>
      <c r="X879" s="2" t="str">
        <f t="shared" si="218"/>
        <v>X</v>
      </c>
      <c r="Y879" s="2" t="str">
        <f t="shared" si="216"/>
        <v>X</v>
      </c>
      <c r="Z879" s="2" t="str">
        <f t="shared" si="217"/>
        <v>X</v>
      </c>
      <c r="AA879" s="2" t="str">
        <f t="shared" si="220"/>
        <v>(31 downto 24)</v>
      </c>
      <c r="AB879" s="2" t="str">
        <f t="shared" si="221"/>
        <v>(23 downto 16)</v>
      </c>
      <c r="AC879" s="2" t="str">
        <f t="shared" si="222"/>
        <v>(15 downto 8)</v>
      </c>
      <c r="AD879" s="2" t="str">
        <f t="shared" si="223"/>
        <v>(7 downto 0)</v>
      </c>
      <c r="AE879" s="2" t="str">
        <f t="shared" si="224"/>
        <v>(31 downto 24)</v>
      </c>
      <c r="AF879" s="2" t="str">
        <f t="shared" si="225"/>
        <v>(23 downto 16)</v>
      </c>
      <c r="AG879" s="2" t="str">
        <f t="shared" si="226"/>
        <v>(15 downto 8)</v>
      </c>
      <c r="AH879" s="2" t="str">
        <f t="shared" si="227"/>
        <v>(7 downto 0)</v>
      </c>
    </row>
    <row r="880" spans="2:34" x14ac:dyDescent="0.25">
      <c r="B880" s="2" t="s">
        <v>2455</v>
      </c>
      <c r="C880" s="2" t="s">
        <v>141</v>
      </c>
      <c r="D880" s="2" t="s">
        <v>0</v>
      </c>
      <c r="E880" s="2" t="s">
        <v>130</v>
      </c>
      <c r="F880" s="2" t="s">
        <v>2456</v>
      </c>
      <c r="G880" s="2" t="s">
        <v>2457</v>
      </c>
      <c r="H880" s="2" t="s">
        <v>142</v>
      </c>
      <c r="I880" s="2" t="s">
        <v>41</v>
      </c>
      <c r="J880" s="2">
        <v>32</v>
      </c>
      <c r="K880" s="2" t="s">
        <v>132</v>
      </c>
      <c r="L880" s="2" t="s">
        <v>40</v>
      </c>
      <c r="P880" s="2" t="s">
        <v>48</v>
      </c>
      <c r="Q880" s="2">
        <f>INDEX(Tables!$C$4:$C$28,MATCH($P880,Tables!$B$4:$B$28,0))</f>
        <v>32</v>
      </c>
      <c r="R880" s="2">
        <f>INDEX(Tables!$D$4:$D$28,MATCH($P880,Tables!$B$4:$B$28,0))</f>
        <v>4</v>
      </c>
      <c r="S880" s="2">
        <f>$S879+$R879+INDEX(Tables!$N$5:$Q$8,MATCH(MOD($S879+$R879,4),Tables!$M$5:$M$8,0),MATCH($R880,Tables!$N$4:$Q$4,0))</f>
        <v>3336</v>
      </c>
      <c r="T880" s="2" t="str">
        <f t="shared" si="213"/>
        <v>0D08</v>
      </c>
      <c r="U880" s="2">
        <f t="shared" si="219"/>
        <v>834</v>
      </c>
      <c r="V880" s="2" t="str">
        <f t="shared" si="214"/>
        <v>342</v>
      </c>
      <c r="W880" s="2" t="str">
        <f t="shared" si="215"/>
        <v>X</v>
      </c>
      <c r="X880" s="2" t="str">
        <f t="shared" si="218"/>
        <v>X</v>
      </c>
      <c r="Y880" s="2" t="str">
        <f t="shared" si="216"/>
        <v>X</v>
      </c>
      <c r="Z880" s="2" t="str">
        <f t="shared" si="217"/>
        <v>X</v>
      </c>
      <c r="AA880" s="2" t="str">
        <f t="shared" si="220"/>
        <v>(31 downto 24)</v>
      </c>
      <c r="AB880" s="2" t="str">
        <f t="shared" si="221"/>
        <v>(23 downto 16)</v>
      </c>
      <c r="AC880" s="2" t="str">
        <f t="shared" si="222"/>
        <v>(15 downto 8)</v>
      </c>
      <c r="AD880" s="2" t="str">
        <f t="shared" si="223"/>
        <v>(7 downto 0)</v>
      </c>
      <c r="AE880" s="2" t="str">
        <f t="shared" si="224"/>
        <v>(31 downto 24)</v>
      </c>
      <c r="AF880" s="2" t="str">
        <f t="shared" si="225"/>
        <v>(23 downto 16)</v>
      </c>
      <c r="AG880" s="2" t="str">
        <f t="shared" si="226"/>
        <v>(15 downto 8)</v>
      </c>
      <c r="AH880" s="2" t="str">
        <f t="shared" si="227"/>
        <v>(7 downto 0)</v>
      </c>
    </row>
    <row r="881" spans="2:34" x14ac:dyDescent="0.25">
      <c r="B881" s="2" t="s">
        <v>2458</v>
      </c>
      <c r="C881" s="2" t="s">
        <v>141</v>
      </c>
      <c r="D881" s="2" t="s">
        <v>0</v>
      </c>
      <c r="E881" s="2" t="s">
        <v>130</v>
      </c>
      <c r="F881" s="2" t="s">
        <v>2459</v>
      </c>
      <c r="G881" s="2" t="s">
        <v>2460</v>
      </c>
      <c r="H881" s="2" t="s">
        <v>142</v>
      </c>
      <c r="I881" s="2" t="s">
        <v>41</v>
      </c>
      <c r="J881" s="2">
        <v>32</v>
      </c>
      <c r="K881" s="2" t="s">
        <v>132</v>
      </c>
      <c r="L881" s="2" t="s">
        <v>40</v>
      </c>
      <c r="P881" s="2" t="s">
        <v>48</v>
      </c>
      <c r="Q881" s="2">
        <f>INDEX(Tables!$C$4:$C$28,MATCH($P881,Tables!$B$4:$B$28,0))</f>
        <v>32</v>
      </c>
      <c r="R881" s="2">
        <f>INDEX(Tables!$D$4:$D$28,MATCH($P881,Tables!$B$4:$B$28,0))</f>
        <v>4</v>
      </c>
      <c r="S881" s="2">
        <f>$S880+$R880+INDEX(Tables!$N$5:$Q$8,MATCH(MOD($S880+$R880,4),Tables!$M$5:$M$8,0),MATCH($R881,Tables!$N$4:$Q$4,0))</f>
        <v>3340</v>
      </c>
      <c r="T881" s="2" t="str">
        <f t="shared" si="213"/>
        <v>0D0C</v>
      </c>
      <c r="U881" s="2">
        <f t="shared" si="219"/>
        <v>835</v>
      </c>
      <c r="V881" s="2" t="str">
        <f t="shared" si="214"/>
        <v>343</v>
      </c>
      <c r="W881" s="2" t="str">
        <f t="shared" si="215"/>
        <v>X</v>
      </c>
      <c r="X881" s="2" t="str">
        <f t="shared" si="218"/>
        <v>X</v>
      </c>
      <c r="Y881" s="2" t="str">
        <f t="shared" si="216"/>
        <v>X</v>
      </c>
      <c r="Z881" s="2" t="str">
        <f t="shared" si="217"/>
        <v>X</v>
      </c>
      <c r="AA881" s="2" t="str">
        <f t="shared" si="220"/>
        <v>(31 downto 24)</v>
      </c>
      <c r="AB881" s="2" t="str">
        <f t="shared" si="221"/>
        <v>(23 downto 16)</v>
      </c>
      <c r="AC881" s="2" t="str">
        <f t="shared" si="222"/>
        <v>(15 downto 8)</v>
      </c>
      <c r="AD881" s="2" t="str">
        <f t="shared" si="223"/>
        <v>(7 downto 0)</v>
      </c>
      <c r="AE881" s="2" t="str">
        <f t="shared" si="224"/>
        <v>(31 downto 24)</v>
      </c>
      <c r="AF881" s="2" t="str">
        <f t="shared" si="225"/>
        <v>(23 downto 16)</v>
      </c>
      <c r="AG881" s="2" t="str">
        <f t="shared" si="226"/>
        <v>(15 downto 8)</v>
      </c>
      <c r="AH881" s="2" t="str">
        <f t="shared" si="227"/>
        <v>(7 downto 0)</v>
      </c>
    </row>
    <row r="882" spans="2:34" x14ac:dyDescent="0.25">
      <c r="B882" s="2" t="s">
        <v>2461</v>
      </c>
      <c r="C882" s="2" t="s">
        <v>141</v>
      </c>
      <c r="D882" s="2" t="s">
        <v>0</v>
      </c>
      <c r="E882" s="2" t="s">
        <v>130</v>
      </c>
      <c r="F882" s="2" t="s">
        <v>2462</v>
      </c>
      <c r="G882" s="2" t="s">
        <v>2463</v>
      </c>
      <c r="H882" s="2" t="s">
        <v>142</v>
      </c>
      <c r="I882" s="2" t="s">
        <v>41</v>
      </c>
      <c r="J882" s="2">
        <v>32</v>
      </c>
      <c r="K882" s="2" t="s">
        <v>132</v>
      </c>
      <c r="L882" s="2" t="s">
        <v>40</v>
      </c>
      <c r="P882" s="2" t="s">
        <v>48</v>
      </c>
      <c r="Q882" s="2">
        <f>INDEX(Tables!$C$4:$C$28,MATCH($P882,Tables!$B$4:$B$28,0))</f>
        <v>32</v>
      </c>
      <c r="R882" s="2">
        <f>INDEX(Tables!$D$4:$D$28,MATCH($P882,Tables!$B$4:$B$28,0))</f>
        <v>4</v>
      </c>
      <c r="S882" s="2">
        <f>$S881+$R881+INDEX(Tables!$N$5:$Q$8,MATCH(MOD($S881+$R881,4),Tables!$M$5:$M$8,0),MATCH($R882,Tables!$N$4:$Q$4,0))</f>
        <v>3344</v>
      </c>
      <c r="T882" s="2" t="str">
        <f t="shared" si="213"/>
        <v>0D10</v>
      </c>
      <c r="U882" s="2">
        <f t="shared" si="219"/>
        <v>836</v>
      </c>
      <c r="V882" s="2" t="str">
        <f t="shared" si="214"/>
        <v>344</v>
      </c>
      <c r="W882" s="2" t="str">
        <f t="shared" si="215"/>
        <v>X</v>
      </c>
      <c r="X882" s="2" t="str">
        <f t="shared" si="218"/>
        <v>X</v>
      </c>
      <c r="Y882" s="2" t="str">
        <f t="shared" si="216"/>
        <v>X</v>
      </c>
      <c r="Z882" s="2" t="str">
        <f t="shared" si="217"/>
        <v>X</v>
      </c>
      <c r="AA882" s="2" t="str">
        <f t="shared" si="220"/>
        <v>(31 downto 24)</v>
      </c>
      <c r="AB882" s="2" t="str">
        <f t="shared" si="221"/>
        <v>(23 downto 16)</v>
      </c>
      <c r="AC882" s="2" t="str">
        <f t="shared" si="222"/>
        <v>(15 downto 8)</v>
      </c>
      <c r="AD882" s="2" t="str">
        <f t="shared" si="223"/>
        <v>(7 downto 0)</v>
      </c>
      <c r="AE882" s="2" t="str">
        <f t="shared" si="224"/>
        <v>(31 downto 24)</v>
      </c>
      <c r="AF882" s="2" t="str">
        <f t="shared" si="225"/>
        <v>(23 downto 16)</v>
      </c>
      <c r="AG882" s="2" t="str">
        <f t="shared" si="226"/>
        <v>(15 downto 8)</v>
      </c>
      <c r="AH882" s="2" t="str">
        <f t="shared" si="227"/>
        <v>(7 downto 0)</v>
      </c>
    </row>
    <row r="883" spans="2:34" x14ac:dyDescent="0.25">
      <c r="B883" s="2" t="s">
        <v>2464</v>
      </c>
      <c r="C883" s="2" t="s">
        <v>141</v>
      </c>
      <c r="D883" s="2" t="s">
        <v>0</v>
      </c>
      <c r="E883" s="2" t="s">
        <v>130</v>
      </c>
      <c r="F883" s="2" t="s">
        <v>2465</v>
      </c>
      <c r="G883" s="2" t="s">
        <v>2466</v>
      </c>
      <c r="H883" s="2" t="s">
        <v>142</v>
      </c>
      <c r="I883" s="2" t="s">
        <v>41</v>
      </c>
      <c r="J883" s="2">
        <v>32</v>
      </c>
      <c r="K883" s="2" t="s">
        <v>132</v>
      </c>
      <c r="L883" s="2" t="s">
        <v>40</v>
      </c>
      <c r="P883" s="2" t="s">
        <v>48</v>
      </c>
      <c r="Q883" s="2">
        <f>INDEX(Tables!$C$4:$C$28,MATCH($P883,Tables!$B$4:$B$28,0))</f>
        <v>32</v>
      </c>
      <c r="R883" s="2">
        <f>INDEX(Tables!$D$4:$D$28,MATCH($P883,Tables!$B$4:$B$28,0))</f>
        <v>4</v>
      </c>
      <c r="S883" s="2">
        <f>$S882+$R882+INDEX(Tables!$N$5:$Q$8,MATCH(MOD($S882+$R882,4),Tables!$M$5:$M$8,0),MATCH($R883,Tables!$N$4:$Q$4,0))</f>
        <v>3348</v>
      </c>
      <c r="T883" s="2" t="str">
        <f t="shared" si="213"/>
        <v>0D14</v>
      </c>
      <c r="U883" s="2">
        <f t="shared" si="219"/>
        <v>837</v>
      </c>
      <c r="V883" s="2" t="str">
        <f t="shared" si="214"/>
        <v>345</v>
      </c>
      <c r="W883" s="2" t="str">
        <f t="shared" si="215"/>
        <v>X</v>
      </c>
      <c r="X883" s="2" t="str">
        <f t="shared" si="218"/>
        <v>X</v>
      </c>
      <c r="Y883" s="2" t="str">
        <f t="shared" si="216"/>
        <v>X</v>
      </c>
      <c r="Z883" s="2" t="str">
        <f t="shared" si="217"/>
        <v>X</v>
      </c>
      <c r="AA883" s="2" t="str">
        <f t="shared" si="220"/>
        <v>(31 downto 24)</v>
      </c>
      <c r="AB883" s="2" t="str">
        <f t="shared" si="221"/>
        <v>(23 downto 16)</v>
      </c>
      <c r="AC883" s="2" t="str">
        <f t="shared" si="222"/>
        <v>(15 downto 8)</v>
      </c>
      <c r="AD883" s="2" t="str">
        <f t="shared" si="223"/>
        <v>(7 downto 0)</v>
      </c>
      <c r="AE883" s="2" t="str">
        <f t="shared" si="224"/>
        <v>(31 downto 24)</v>
      </c>
      <c r="AF883" s="2" t="str">
        <f t="shared" si="225"/>
        <v>(23 downto 16)</v>
      </c>
      <c r="AG883" s="2" t="str">
        <f t="shared" si="226"/>
        <v>(15 downto 8)</v>
      </c>
      <c r="AH883" s="2" t="str">
        <f t="shared" si="227"/>
        <v>(7 downto 0)</v>
      </c>
    </row>
    <row r="884" spans="2:34" x14ac:dyDescent="0.25">
      <c r="B884" s="2" t="s">
        <v>2467</v>
      </c>
      <c r="C884" s="2" t="s">
        <v>141</v>
      </c>
      <c r="D884" s="2" t="s">
        <v>0</v>
      </c>
      <c r="E884" s="2" t="s">
        <v>130</v>
      </c>
      <c r="F884" s="2" t="s">
        <v>2468</v>
      </c>
      <c r="G884" s="2" t="s">
        <v>2469</v>
      </c>
      <c r="H884" s="2" t="s">
        <v>142</v>
      </c>
      <c r="I884" s="2" t="s">
        <v>41</v>
      </c>
      <c r="J884" s="2">
        <v>32</v>
      </c>
      <c r="K884" s="2" t="s">
        <v>132</v>
      </c>
      <c r="L884" s="2" t="s">
        <v>40</v>
      </c>
      <c r="P884" s="2" t="s">
        <v>48</v>
      </c>
      <c r="Q884" s="2">
        <f>INDEX(Tables!$C$4:$C$28,MATCH($P884,Tables!$B$4:$B$28,0))</f>
        <v>32</v>
      </c>
      <c r="R884" s="2">
        <f>INDEX(Tables!$D$4:$D$28,MATCH($P884,Tables!$B$4:$B$28,0))</f>
        <v>4</v>
      </c>
      <c r="S884" s="2">
        <f>$S883+$R883+INDEX(Tables!$N$5:$Q$8,MATCH(MOD($S883+$R883,4),Tables!$M$5:$M$8,0),MATCH($R884,Tables!$N$4:$Q$4,0))</f>
        <v>3352</v>
      </c>
      <c r="T884" s="2" t="str">
        <f t="shared" si="213"/>
        <v>0D18</v>
      </c>
      <c r="U884" s="2">
        <f t="shared" si="219"/>
        <v>838</v>
      </c>
      <c r="V884" s="2" t="str">
        <f t="shared" si="214"/>
        <v>346</v>
      </c>
      <c r="W884" s="2" t="str">
        <f t="shared" si="215"/>
        <v>X</v>
      </c>
      <c r="X884" s="2" t="str">
        <f t="shared" si="218"/>
        <v>X</v>
      </c>
      <c r="Y884" s="2" t="str">
        <f t="shared" si="216"/>
        <v>X</v>
      </c>
      <c r="Z884" s="2" t="str">
        <f t="shared" si="217"/>
        <v>X</v>
      </c>
      <c r="AA884" s="2" t="str">
        <f t="shared" si="220"/>
        <v>(31 downto 24)</v>
      </c>
      <c r="AB884" s="2" t="str">
        <f t="shared" si="221"/>
        <v>(23 downto 16)</v>
      </c>
      <c r="AC884" s="2" t="str">
        <f t="shared" si="222"/>
        <v>(15 downto 8)</v>
      </c>
      <c r="AD884" s="2" t="str">
        <f t="shared" si="223"/>
        <v>(7 downto 0)</v>
      </c>
      <c r="AE884" s="2" t="str">
        <f t="shared" si="224"/>
        <v>(31 downto 24)</v>
      </c>
      <c r="AF884" s="2" t="str">
        <f t="shared" si="225"/>
        <v>(23 downto 16)</v>
      </c>
      <c r="AG884" s="2" t="str">
        <f t="shared" si="226"/>
        <v>(15 downto 8)</v>
      </c>
      <c r="AH884" s="2" t="str">
        <f t="shared" si="227"/>
        <v>(7 downto 0)</v>
      </c>
    </row>
    <row r="885" spans="2:34" x14ac:dyDescent="0.25">
      <c r="B885" s="2" t="s">
        <v>2470</v>
      </c>
      <c r="C885" s="2" t="s">
        <v>141</v>
      </c>
      <c r="D885" s="2" t="s">
        <v>0</v>
      </c>
      <c r="E885" s="2" t="s">
        <v>130</v>
      </c>
      <c r="F885" s="2" t="s">
        <v>2471</v>
      </c>
      <c r="G885" s="2" t="s">
        <v>2472</v>
      </c>
      <c r="H885" s="2" t="s">
        <v>142</v>
      </c>
      <c r="I885" s="2" t="s">
        <v>41</v>
      </c>
      <c r="J885" s="2">
        <v>32</v>
      </c>
      <c r="K885" s="2" t="s">
        <v>132</v>
      </c>
      <c r="L885" s="2" t="s">
        <v>40</v>
      </c>
      <c r="P885" s="2" t="s">
        <v>48</v>
      </c>
      <c r="Q885" s="2">
        <f>INDEX(Tables!$C$4:$C$28,MATCH($P885,Tables!$B$4:$B$28,0))</f>
        <v>32</v>
      </c>
      <c r="R885" s="2">
        <f>INDEX(Tables!$D$4:$D$28,MATCH($P885,Tables!$B$4:$B$28,0))</f>
        <v>4</v>
      </c>
      <c r="S885" s="2">
        <f>$S884+$R884+INDEX(Tables!$N$5:$Q$8,MATCH(MOD($S884+$R884,4),Tables!$M$5:$M$8,0),MATCH($R885,Tables!$N$4:$Q$4,0))</f>
        <v>3356</v>
      </c>
      <c r="T885" s="2" t="str">
        <f t="shared" si="213"/>
        <v>0D1C</v>
      </c>
      <c r="U885" s="2">
        <f t="shared" si="219"/>
        <v>839</v>
      </c>
      <c r="V885" s="2" t="str">
        <f t="shared" si="214"/>
        <v>347</v>
      </c>
      <c r="W885" s="2" t="str">
        <f t="shared" si="215"/>
        <v>X</v>
      </c>
      <c r="X885" s="2" t="str">
        <f t="shared" si="218"/>
        <v>X</v>
      </c>
      <c r="Y885" s="2" t="str">
        <f t="shared" si="216"/>
        <v>X</v>
      </c>
      <c r="Z885" s="2" t="str">
        <f t="shared" si="217"/>
        <v>X</v>
      </c>
      <c r="AA885" s="2" t="str">
        <f t="shared" si="220"/>
        <v>(31 downto 24)</v>
      </c>
      <c r="AB885" s="2" t="str">
        <f t="shared" si="221"/>
        <v>(23 downto 16)</v>
      </c>
      <c r="AC885" s="2" t="str">
        <f t="shared" si="222"/>
        <v>(15 downto 8)</v>
      </c>
      <c r="AD885" s="2" t="str">
        <f t="shared" si="223"/>
        <v>(7 downto 0)</v>
      </c>
      <c r="AE885" s="2" t="str">
        <f t="shared" si="224"/>
        <v>(31 downto 24)</v>
      </c>
      <c r="AF885" s="2" t="str">
        <f t="shared" si="225"/>
        <v>(23 downto 16)</v>
      </c>
      <c r="AG885" s="2" t="str">
        <f t="shared" si="226"/>
        <v>(15 downto 8)</v>
      </c>
      <c r="AH885" s="2" t="str">
        <f t="shared" si="227"/>
        <v>(7 downto 0)</v>
      </c>
    </row>
    <row r="886" spans="2:34" x14ac:dyDescent="0.25">
      <c r="B886" s="2" t="s">
        <v>2473</v>
      </c>
      <c r="C886" s="2" t="s">
        <v>141</v>
      </c>
      <c r="D886" s="2" t="s">
        <v>0</v>
      </c>
      <c r="E886" s="2" t="s">
        <v>130</v>
      </c>
      <c r="F886" s="2" t="s">
        <v>2474</v>
      </c>
      <c r="G886" s="2" t="s">
        <v>2475</v>
      </c>
      <c r="H886" s="2" t="s">
        <v>142</v>
      </c>
      <c r="I886" s="2" t="s">
        <v>41</v>
      </c>
      <c r="J886" s="2">
        <v>32</v>
      </c>
      <c r="K886" s="2" t="s">
        <v>132</v>
      </c>
      <c r="L886" s="2" t="s">
        <v>40</v>
      </c>
      <c r="P886" s="2" t="s">
        <v>48</v>
      </c>
      <c r="Q886" s="2">
        <f>INDEX(Tables!$C$4:$C$28,MATCH($P886,Tables!$B$4:$B$28,0))</f>
        <v>32</v>
      </c>
      <c r="R886" s="2">
        <f>INDEX(Tables!$D$4:$D$28,MATCH($P886,Tables!$B$4:$B$28,0))</f>
        <v>4</v>
      </c>
      <c r="S886" s="2">
        <f>$S885+$R885+INDEX(Tables!$N$5:$Q$8,MATCH(MOD($S885+$R885,4),Tables!$M$5:$M$8,0),MATCH($R886,Tables!$N$4:$Q$4,0))</f>
        <v>3360</v>
      </c>
      <c r="T886" s="2" t="str">
        <f t="shared" si="213"/>
        <v>0D20</v>
      </c>
      <c r="U886" s="2">
        <f t="shared" si="219"/>
        <v>840</v>
      </c>
      <c r="V886" s="2" t="str">
        <f t="shared" si="214"/>
        <v>348</v>
      </c>
      <c r="W886" s="2" t="str">
        <f t="shared" si="215"/>
        <v>X</v>
      </c>
      <c r="X886" s="2" t="str">
        <f t="shared" si="218"/>
        <v>X</v>
      </c>
      <c r="Y886" s="2" t="str">
        <f t="shared" si="216"/>
        <v>X</v>
      </c>
      <c r="Z886" s="2" t="str">
        <f t="shared" si="217"/>
        <v>X</v>
      </c>
      <c r="AA886" s="2" t="str">
        <f t="shared" si="220"/>
        <v>(31 downto 24)</v>
      </c>
      <c r="AB886" s="2" t="str">
        <f t="shared" si="221"/>
        <v>(23 downto 16)</v>
      </c>
      <c r="AC886" s="2" t="str">
        <f t="shared" si="222"/>
        <v>(15 downto 8)</v>
      </c>
      <c r="AD886" s="2" t="str">
        <f t="shared" si="223"/>
        <v>(7 downto 0)</v>
      </c>
      <c r="AE886" s="2" t="str">
        <f t="shared" si="224"/>
        <v>(31 downto 24)</v>
      </c>
      <c r="AF886" s="2" t="str">
        <f t="shared" si="225"/>
        <v>(23 downto 16)</v>
      </c>
      <c r="AG886" s="2" t="str">
        <f t="shared" si="226"/>
        <v>(15 downto 8)</v>
      </c>
      <c r="AH886" s="2" t="str">
        <f t="shared" si="227"/>
        <v>(7 downto 0)</v>
      </c>
    </row>
    <row r="887" spans="2:34" x14ac:dyDescent="0.25">
      <c r="B887" s="2" t="s">
        <v>2476</v>
      </c>
      <c r="C887" s="2" t="s">
        <v>141</v>
      </c>
      <c r="D887" s="2" t="s">
        <v>0</v>
      </c>
      <c r="E887" s="2" t="s">
        <v>130</v>
      </c>
      <c r="F887" s="2" t="s">
        <v>2477</v>
      </c>
      <c r="G887" s="2" t="s">
        <v>2478</v>
      </c>
      <c r="H887" s="2" t="s">
        <v>142</v>
      </c>
      <c r="I887" s="2" t="s">
        <v>41</v>
      </c>
      <c r="J887" s="2">
        <v>32</v>
      </c>
      <c r="K887" s="2" t="s">
        <v>132</v>
      </c>
      <c r="L887" s="2" t="s">
        <v>40</v>
      </c>
      <c r="P887" s="2" t="s">
        <v>48</v>
      </c>
      <c r="Q887" s="2">
        <f>INDEX(Tables!$C$4:$C$28,MATCH($P887,Tables!$B$4:$B$28,0))</f>
        <v>32</v>
      </c>
      <c r="R887" s="2">
        <f>INDEX(Tables!$D$4:$D$28,MATCH($P887,Tables!$B$4:$B$28,0))</f>
        <v>4</v>
      </c>
      <c r="S887" s="2">
        <f>$S886+$R886+INDEX(Tables!$N$5:$Q$8,MATCH(MOD($S886+$R886,4),Tables!$M$5:$M$8,0),MATCH($R887,Tables!$N$4:$Q$4,0))</f>
        <v>3364</v>
      </c>
      <c r="T887" s="2" t="str">
        <f t="shared" si="213"/>
        <v>0D24</v>
      </c>
      <c r="U887" s="2">
        <f t="shared" si="219"/>
        <v>841</v>
      </c>
      <c r="V887" s="2" t="str">
        <f t="shared" si="214"/>
        <v>349</v>
      </c>
      <c r="W887" s="2" t="str">
        <f t="shared" si="215"/>
        <v>X</v>
      </c>
      <c r="X887" s="2" t="str">
        <f t="shared" si="218"/>
        <v>X</v>
      </c>
      <c r="Y887" s="2" t="str">
        <f t="shared" si="216"/>
        <v>X</v>
      </c>
      <c r="Z887" s="2" t="str">
        <f t="shared" si="217"/>
        <v>X</v>
      </c>
      <c r="AA887" s="2" t="str">
        <f t="shared" si="220"/>
        <v>(31 downto 24)</v>
      </c>
      <c r="AB887" s="2" t="str">
        <f t="shared" si="221"/>
        <v>(23 downto 16)</v>
      </c>
      <c r="AC887" s="2" t="str">
        <f t="shared" si="222"/>
        <v>(15 downto 8)</v>
      </c>
      <c r="AD887" s="2" t="str">
        <f t="shared" si="223"/>
        <v>(7 downto 0)</v>
      </c>
      <c r="AE887" s="2" t="str">
        <f t="shared" si="224"/>
        <v>(31 downto 24)</v>
      </c>
      <c r="AF887" s="2" t="str">
        <f t="shared" si="225"/>
        <v>(23 downto 16)</v>
      </c>
      <c r="AG887" s="2" t="str">
        <f t="shared" si="226"/>
        <v>(15 downto 8)</v>
      </c>
      <c r="AH887" s="2" t="str">
        <f t="shared" si="227"/>
        <v>(7 downto 0)</v>
      </c>
    </row>
    <row r="888" spans="2:34" x14ac:dyDescent="0.25">
      <c r="B888" s="2" t="s">
        <v>2479</v>
      </c>
      <c r="C888" s="2" t="s">
        <v>141</v>
      </c>
      <c r="D888" s="2" t="s">
        <v>0</v>
      </c>
      <c r="E888" s="2" t="s">
        <v>130</v>
      </c>
      <c r="F888" s="2" t="s">
        <v>2480</v>
      </c>
      <c r="G888" s="2" t="s">
        <v>2481</v>
      </c>
      <c r="H888" s="2" t="s">
        <v>142</v>
      </c>
      <c r="I888" s="2" t="s">
        <v>41</v>
      </c>
      <c r="J888" s="2">
        <v>32</v>
      </c>
      <c r="K888" s="2" t="s">
        <v>132</v>
      </c>
      <c r="L888" s="2" t="s">
        <v>40</v>
      </c>
      <c r="P888" s="2" t="s">
        <v>48</v>
      </c>
      <c r="Q888" s="2">
        <f>INDEX(Tables!$C$4:$C$28,MATCH($P888,Tables!$B$4:$B$28,0))</f>
        <v>32</v>
      </c>
      <c r="R888" s="2">
        <f>INDEX(Tables!$D$4:$D$28,MATCH($P888,Tables!$B$4:$B$28,0))</f>
        <v>4</v>
      </c>
      <c r="S888" s="2">
        <f>$S887+$R887+INDEX(Tables!$N$5:$Q$8,MATCH(MOD($S887+$R887,4),Tables!$M$5:$M$8,0),MATCH($R888,Tables!$N$4:$Q$4,0))</f>
        <v>3368</v>
      </c>
      <c r="T888" s="2" t="str">
        <f t="shared" si="213"/>
        <v>0D28</v>
      </c>
      <c r="U888" s="2">
        <f t="shared" si="219"/>
        <v>842</v>
      </c>
      <c r="V888" s="2" t="str">
        <f t="shared" si="214"/>
        <v>34A</v>
      </c>
      <c r="W888" s="2" t="str">
        <f t="shared" si="215"/>
        <v>X</v>
      </c>
      <c r="X888" s="2" t="str">
        <f t="shared" si="218"/>
        <v>X</v>
      </c>
      <c r="Y888" s="2" t="str">
        <f t="shared" si="216"/>
        <v>X</v>
      </c>
      <c r="Z888" s="2" t="str">
        <f t="shared" si="217"/>
        <v>X</v>
      </c>
      <c r="AA888" s="2" t="str">
        <f t="shared" si="220"/>
        <v>(31 downto 24)</v>
      </c>
      <c r="AB888" s="2" t="str">
        <f t="shared" si="221"/>
        <v>(23 downto 16)</v>
      </c>
      <c r="AC888" s="2" t="str">
        <f t="shared" si="222"/>
        <v>(15 downto 8)</v>
      </c>
      <c r="AD888" s="2" t="str">
        <f t="shared" si="223"/>
        <v>(7 downto 0)</v>
      </c>
      <c r="AE888" s="2" t="str">
        <f t="shared" si="224"/>
        <v>(31 downto 24)</v>
      </c>
      <c r="AF888" s="2" t="str">
        <f t="shared" si="225"/>
        <v>(23 downto 16)</v>
      </c>
      <c r="AG888" s="2" t="str">
        <f t="shared" si="226"/>
        <v>(15 downto 8)</v>
      </c>
      <c r="AH888" s="2" t="str">
        <f t="shared" si="227"/>
        <v>(7 downto 0)</v>
      </c>
    </row>
    <row r="889" spans="2:34" x14ac:dyDescent="0.25">
      <c r="B889" s="2" t="s">
        <v>2482</v>
      </c>
      <c r="C889" s="2" t="s">
        <v>141</v>
      </c>
      <c r="D889" s="2" t="s">
        <v>0</v>
      </c>
      <c r="E889" s="2" t="s">
        <v>130</v>
      </c>
      <c r="F889" s="2" t="s">
        <v>2483</v>
      </c>
      <c r="G889" s="2" t="s">
        <v>2484</v>
      </c>
      <c r="H889" s="2" t="s">
        <v>142</v>
      </c>
      <c r="I889" s="2" t="s">
        <v>41</v>
      </c>
      <c r="J889" s="2">
        <v>32</v>
      </c>
      <c r="K889" s="2" t="s">
        <v>132</v>
      </c>
      <c r="L889" s="2" t="s">
        <v>40</v>
      </c>
      <c r="P889" s="2" t="s">
        <v>48</v>
      </c>
      <c r="Q889" s="2">
        <f>INDEX(Tables!$C$4:$C$28,MATCH($P889,Tables!$B$4:$B$28,0))</f>
        <v>32</v>
      </c>
      <c r="R889" s="2">
        <f>INDEX(Tables!$D$4:$D$28,MATCH($P889,Tables!$B$4:$B$28,0))</f>
        <v>4</v>
      </c>
      <c r="S889" s="2">
        <f>$S888+$R888+INDEX(Tables!$N$5:$Q$8,MATCH(MOD($S888+$R888,4),Tables!$M$5:$M$8,0),MATCH($R889,Tables!$N$4:$Q$4,0))</f>
        <v>3372</v>
      </c>
      <c r="T889" s="2" t="str">
        <f t="shared" si="213"/>
        <v>0D2C</v>
      </c>
      <c r="U889" s="2">
        <f t="shared" si="219"/>
        <v>843</v>
      </c>
      <c r="V889" s="2" t="str">
        <f t="shared" si="214"/>
        <v>34B</v>
      </c>
      <c r="W889" s="2" t="str">
        <f t="shared" si="215"/>
        <v>X</v>
      </c>
      <c r="X889" s="2" t="str">
        <f t="shared" si="218"/>
        <v>X</v>
      </c>
      <c r="Y889" s="2" t="str">
        <f t="shared" si="216"/>
        <v>X</v>
      </c>
      <c r="Z889" s="2" t="str">
        <f t="shared" si="217"/>
        <v>X</v>
      </c>
      <c r="AA889" s="2" t="str">
        <f t="shared" si="220"/>
        <v>(31 downto 24)</v>
      </c>
      <c r="AB889" s="2" t="str">
        <f t="shared" si="221"/>
        <v>(23 downto 16)</v>
      </c>
      <c r="AC889" s="2" t="str">
        <f t="shared" si="222"/>
        <v>(15 downto 8)</v>
      </c>
      <c r="AD889" s="2" t="str">
        <f t="shared" si="223"/>
        <v>(7 downto 0)</v>
      </c>
      <c r="AE889" s="2" t="str">
        <f t="shared" si="224"/>
        <v>(31 downto 24)</v>
      </c>
      <c r="AF889" s="2" t="str">
        <f t="shared" si="225"/>
        <v>(23 downto 16)</v>
      </c>
      <c r="AG889" s="2" t="str">
        <f t="shared" si="226"/>
        <v>(15 downto 8)</v>
      </c>
      <c r="AH889" s="2" t="str">
        <f t="shared" si="227"/>
        <v>(7 downto 0)</v>
      </c>
    </row>
    <row r="890" spans="2:34" x14ac:dyDescent="0.25">
      <c r="B890" s="2" t="s">
        <v>2485</v>
      </c>
      <c r="C890" s="2" t="s">
        <v>141</v>
      </c>
      <c r="D890" s="2" t="s">
        <v>0</v>
      </c>
      <c r="E890" s="2" t="s">
        <v>130</v>
      </c>
      <c r="F890" s="2" t="s">
        <v>2486</v>
      </c>
      <c r="G890" s="2" t="s">
        <v>2487</v>
      </c>
      <c r="H890" s="2" t="s">
        <v>142</v>
      </c>
      <c r="I890" s="2" t="s">
        <v>41</v>
      </c>
      <c r="J890" s="2">
        <v>32</v>
      </c>
      <c r="K890" s="2" t="s">
        <v>132</v>
      </c>
      <c r="L890" s="2" t="s">
        <v>40</v>
      </c>
      <c r="P890" s="2" t="s">
        <v>48</v>
      </c>
      <c r="Q890" s="2">
        <f>INDEX(Tables!$C$4:$C$28,MATCH($P890,Tables!$B$4:$B$28,0))</f>
        <v>32</v>
      </c>
      <c r="R890" s="2">
        <f>INDEX(Tables!$D$4:$D$28,MATCH($P890,Tables!$B$4:$B$28,0))</f>
        <v>4</v>
      </c>
      <c r="S890" s="2">
        <f>$S889+$R889+INDEX(Tables!$N$5:$Q$8,MATCH(MOD($S889+$R889,4),Tables!$M$5:$M$8,0),MATCH($R890,Tables!$N$4:$Q$4,0))</f>
        <v>3376</v>
      </c>
      <c r="T890" s="2" t="str">
        <f t="shared" si="213"/>
        <v>0D30</v>
      </c>
      <c r="U890" s="2">
        <f t="shared" si="219"/>
        <v>844</v>
      </c>
      <c r="V890" s="2" t="str">
        <f t="shared" si="214"/>
        <v>34C</v>
      </c>
      <c r="W890" s="2" t="str">
        <f t="shared" si="215"/>
        <v>X</v>
      </c>
      <c r="X890" s="2" t="str">
        <f t="shared" si="218"/>
        <v>X</v>
      </c>
      <c r="Y890" s="2" t="str">
        <f t="shared" si="216"/>
        <v>X</v>
      </c>
      <c r="Z890" s="2" t="str">
        <f t="shared" si="217"/>
        <v>X</v>
      </c>
      <c r="AA890" s="2" t="str">
        <f t="shared" si="220"/>
        <v>(31 downto 24)</v>
      </c>
      <c r="AB890" s="2" t="str">
        <f t="shared" si="221"/>
        <v>(23 downto 16)</v>
      </c>
      <c r="AC890" s="2" t="str">
        <f t="shared" si="222"/>
        <v>(15 downto 8)</v>
      </c>
      <c r="AD890" s="2" t="str">
        <f t="shared" si="223"/>
        <v>(7 downto 0)</v>
      </c>
      <c r="AE890" s="2" t="str">
        <f t="shared" si="224"/>
        <v>(31 downto 24)</v>
      </c>
      <c r="AF890" s="2" t="str">
        <f t="shared" si="225"/>
        <v>(23 downto 16)</v>
      </c>
      <c r="AG890" s="2" t="str">
        <f t="shared" si="226"/>
        <v>(15 downto 8)</v>
      </c>
      <c r="AH890" s="2" t="str">
        <f t="shared" si="227"/>
        <v>(7 downto 0)</v>
      </c>
    </row>
    <row r="891" spans="2:34" x14ac:dyDescent="0.25">
      <c r="B891" s="2" t="s">
        <v>2488</v>
      </c>
      <c r="C891" s="2" t="s">
        <v>141</v>
      </c>
      <c r="D891" s="2" t="s">
        <v>0</v>
      </c>
      <c r="E891" s="2" t="s">
        <v>130</v>
      </c>
      <c r="F891" s="2" t="s">
        <v>2489</v>
      </c>
      <c r="G891" s="2" t="s">
        <v>2490</v>
      </c>
      <c r="H891" s="2" t="s">
        <v>142</v>
      </c>
      <c r="I891" s="2" t="s">
        <v>41</v>
      </c>
      <c r="J891" s="2">
        <v>32</v>
      </c>
      <c r="K891" s="2" t="s">
        <v>132</v>
      </c>
      <c r="L891" s="2" t="s">
        <v>40</v>
      </c>
      <c r="P891" s="2" t="s">
        <v>48</v>
      </c>
      <c r="Q891" s="2">
        <f>INDEX(Tables!$C$4:$C$28,MATCH($P891,Tables!$B$4:$B$28,0))</f>
        <v>32</v>
      </c>
      <c r="R891" s="2">
        <f>INDEX(Tables!$D$4:$D$28,MATCH($P891,Tables!$B$4:$B$28,0))</f>
        <v>4</v>
      </c>
      <c r="S891" s="2">
        <f>$S890+$R890+INDEX(Tables!$N$5:$Q$8,MATCH(MOD($S890+$R890,4),Tables!$M$5:$M$8,0),MATCH($R891,Tables!$N$4:$Q$4,0))</f>
        <v>3380</v>
      </c>
      <c r="T891" s="2" t="str">
        <f t="shared" si="213"/>
        <v>0D34</v>
      </c>
      <c r="U891" s="2">
        <f t="shared" si="219"/>
        <v>845</v>
      </c>
      <c r="V891" s="2" t="str">
        <f t="shared" si="214"/>
        <v>34D</v>
      </c>
      <c r="W891" s="2" t="str">
        <f t="shared" si="215"/>
        <v>X</v>
      </c>
      <c r="X891" s="2" t="str">
        <f t="shared" si="218"/>
        <v>X</v>
      </c>
      <c r="Y891" s="2" t="str">
        <f t="shared" si="216"/>
        <v>X</v>
      </c>
      <c r="Z891" s="2" t="str">
        <f t="shared" si="217"/>
        <v>X</v>
      </c>
      <c r="AA891" s="2" t="str">
        <f t="shared" si="220"/>
        <v>(31 downto 24)</v>
      </c>
      <c r="AB891" s="2" t="str">
        <f t="shared" si="221"/>
        <v>(23 downto 16)</v>
      </c>
      <c r="AC891" s="2" t="str">
        <f t="shared" si="222"/>
        <v>(15 downto 8)</v>
      </c>
      <c r="AD891" s="2" t="str">
        <f t="shared" si="223"/>
        <v>(7 downto 0)</v>
      </c>
      <c r="AE891" s="2" t="str">
        <f t="shared" si="224"/>
        <v>(31 downto 24)</v>
      </c>
      <c r="AF891" s="2" t="str">
        <f t="shared" si="225"/>
        <v>(23 downto 16)</v>
      </c>
      <c r="AG891" s="2" t="str">
        <f t="shared" si="226"/>
        <v>(15 downto 8)</v>
      </c>
      <c r="AH891" s="2" t="str">
        <f t="shared" si="227"/>
        <v>(7 downto 0)</v>
      </c>
    </row>
    <row r="892" spans="2:34" x14ac:dyDescent="0.25">
      <c r="B892" s="2" t="s">
        <v>2491</v>
      </c>
      <c r="C892" s="2" t="s">
        <v>141</v>
      </c>
      <c r="D892" s="2" t="s">
        <v>0</v>
      </c>
      <c r="E892" s="2" t="s">
        <v>130</v>
      </c>
      <c r="F892" s="2" t="s">
        <v>2492</v>
      </c>
      <c r="G892" s="2" t="s">
        <v>2493</v>
      </c>
      <c r="H892" s="2" t="s">
        <v>142</v>
      </c>
      <c r="I892" s="2" t="s">
        <v>41</v>
      </c>
      <c r="J892" s="2">
        <v>32</v>
      </c>
      <c r="K892" s="2" t="s">
        <v>132</v>
      </c>
      <c r="L892" s="2" t="s">
        <v>40</v>
      </c>
      <c r="P892" s="2" t="s">
        <v>48</v>
      </c>
      <c r="Q892" s="2">
        <f>INDEX(Tables!$C$4:$C$28,MATCH($P892,Tables!$B$4:$B$28,0))</f>
        <v>32</v>
      </c>
      <c r="R892" s="2">
        <f>INDEX(Tables!$D$4:$D$28,MATCH($P892,Tables!$B$4:$B$28,0))</f>
        <v>4</v>
      </c>
      <c r="S892" s="2">
        <f>$S891+$R891+INDEX(Tables!$N$5:$Q$8,MATCH(MOD($S891+$R891,4),Tables!$M$5:$M$8,0),MATCH($R892,Tables!$N$4:$Q$4,0))</f>
        <v>3384</v>
      </c>
      <c r="T892" s="2" t="str">
        <f t="shared" si="213"/>
        <v>0D38</v>
      </c>
      <c r="U892" s="2">
        <f t="shared" si="219"/>
        <v>846</v>
      </c>
      <c r="V892" s="2" t="str">
        <f t="shared" si="214"/>
        <v>34E</v>
      </c>
      <c r="W892" s="2" t="str">
        <f t="shared" si="215"/>
        <v>X</v>
      </c>
      <c r="X892" s="2" t="str">
        <f t="shared" si="218"/>
        <v>X</v>
      </c>
      <c r="Y892" s="2" t="str">
        <f t="shared" si="216"/>
        <v>X</v>
      </c>
      <c r="Z892" s="2" t="str">
        <f t="shared" si="217"/>
        <v>X</v>
      </c>
      <c r="AA892" s="2" t="str">
        <f t="shared" si="220"/>
        <v>(31 downto 24)</v>
      </c>
      <c r="AB892" s="2" t="str">
        <f t="shared" si="221"/>
        <v>(23 downto 16)</v>
      </c>
      <c r="AC892" s="2" t="str">
        <f t="shared" si="222"/>
        <v>(15 downto 8)</v>
      </c>
      <c r="AD892" s="2" t="str">
        <f t="shared" si="223"/>
        <v>(7 downto 0)</v>
      </c>
      <c r="AE892" s="2" t="str">
        <f t="shared" si="224"/>
        <v>(31 downto 24)</v>
      </c>
      <c r="AF892" s="2" t="str">
        <f t="shared" si="225"/>
        <v>(23 downto 16)</v>
      </c>
      <c r="AG892" s="2" t="str">
        <f t="shared" si="226"/>
        <v>(15 downto 8)</v>
      </c>
      <c r="AH892" s="2" t="str">
        <f t="shared" si="227"/>
        <v>(7 downto 0)</v>
      </c>
    </row>
    <row r="893" spans="2:34" x14ac:dyDescent="0.25">
      <c r="B893" s="2" t="s">
        <v>2494</v>
      </c>
      <c r="C893" s="2" t="s">
        <v>141</v>
      </c>
      <c r="D893" s="2" t="s">
        <v>0</v>
      </c>
      <c r="E893" s="2" t="s">
        <v>130</v>
      </c>
      <c r="F893" s="2" t="s">
        <v>2495</v>
      </c>
      <c r="G893" s="2" t="s">
        <v>2496</v>
      </c>
      <c r="H893" s="2" t="s">
        <v>142</v>
      </c>
      <c r="I893" s="2" t="s">
        <v>41</v>
      </c>
      <c r="J893" s="2">
        <v>32</v>
      </c>
      <c r="K893" s="2" t="s">
        <v>132</v>
      </c>
      <c r="L893" s="2" t="s">
        <v>40</v>
      </c>
      <c r="P893" s="2" t="s">
        <v>48</v>
      </c>
      <c r="Q893" s="2">
        <f>INDEX(Tables!$C$4:$C$28,MATCH($P893,Tables!$B$4:$B$28,0))</f>
        <v>32</v>
      </c>
      <c r="R893" s="2">
        <f>INDEX(Tables!$D$4:$D$28,MATCH($P893,Tables!$B$4:$B$28,0))</f>
        <v>4</v>
      </c>
      <c r="S893" s="2">
        <f>$S892+$R892+INDEX(Tables!$N$5:$Q$8,MATCH(MOD($S892+$R892,4),Tables!$M$5:$M$8,0),MATCH($R893,Tables!$N$4:$Q$4,0))</f>
        <v>3388</v>
      </c>
      <c r="T893" s="2" t="str">
        <f t="shared" si="213"/>
        <v>0D3C</v>
      </c>
      <c r="U893" s="2">
        <f t="shared" si="219"/>
        <v>847</v>
      </c>
      <c r="V893" s="2" t="str">
        <f t="shared" si="214"/>
        <v>34F</v>
      </c>
      <c r="W893" s="2" t="str">
        <f t="shared" si="215"/>
        <v>X</v>
      </c>
      <c r="X893" s="2" t="str">
        <f t="shared" si="218"/>
        <v>X</v>
      </c>
      <c r="Y893" s="2" t="str">
        <f t="shared" si="216"/>
        <v>X</v>
      </c>
      <c r="Z893" s="2" t="str">
        <f t="shared" si="217"/>
        <v>X</v>
      </c>
      <c r="AA893" s="2" t="str">
        <f t="shared" si="220"/>
        <v>(31 downto 24)</v>
      </c>
      <c r="AB893" s="2" t="str">
        <f t="shared" si="221"/>
        <v>(23 downto 16)</v>
      </c>
      <c r="AC893" s="2" t="str">
        <f t="shared" si="222"/>
        <v>(15 downto 8)</v>
      </c>
      <c r="AD893" s="2" t="str">
        <f t="shared" si="223"/>
        <v>(7 downto 0)</v>
      </c>
      <c r="AE893" s="2" t="str">
        <f t="shared" si="224"/>
        <v>(31 downto 24)</v>
      </c>
      <c r="AF893" s="2" t="str">
        <f t="shared" si="225"/>
        <v>(23 downto 16)</v>
      </c>
      <c r="AG893" s="2" t="str">
        <f t="shared" si="226"/>
        <v>(15 downto 8)</v>
      </c>
      <c r="AH893" s="2" t="str">
        <f t="shared" si="227"/>
        <v>(7 downto 0)</v>
      </c>
    </row>
    <row r="894" spans="2:34" x14ac:dyDescent="0.25">
      <c r="B894" s="2" t="s">
        <v>2497</v>
      </c>
      <c r="C894" s="2" t="s">
        <v>141</v>
      </c>
      <c r="D894" s="2" t="s">
        <v>0</v>
      </c>
      <c r="E894" s="2" t="s">
        <v>130</v>
      </c>
      <c r="F894" s="2" t="s">
        <v>2498</v>
      </c>
      <c r="G894" s="2" t="s">
        <v>2499</v>
      </c>
      <c r="H894" s="2" t="s">
        <v>142</v>
      </c>
      <c r="I894" s="2" t="s">
        <v>41</v>
      </c>
      <c r="J894" s="2">
        <v>32</v>
      </c>
      <c r="K894" s="2" t="s">
        <v>132</v>
      </c>
      <c r="L894" s="2" t="s">
        <v>40</v>
      </c>
      <c r="P894" s="2" t="s">
        <v>48</v>
      </c>
      <c r="Q894" s="2">
        <f>INDEX(Tables!$C$4:$C$28,MATCH($P894,Tables!$B$4:$B$28,0))</f>
        <v>32</v>
      </c>
      <c r="R894" s="2">
        <f>INDEX(Tables!$D$4:$D$28,MATCH($P894,Tables!$B$4:$B$28,0))</f>
        <v>4</v>
      </c>
      <c r="S894" s="2">
        <f>$S893+$R893+INDEX(Tables!$N$5:$Q$8,MATCH(MOD($S893+$R893,4),Tables!$M$5:$M$8,0),MATCH($R894,Tables!$N$4:$Q$4,0))</f>
        <v>3392</v>
      </c>
      <c r="T894" s="2" t="str">
        <f t="shared" si="213"/>
        <v>0D40</v>
      </c>
      <c r="U894" s="2">
        <f t="shared" si="219"/>
        <v>848</v>
      </c>
      <c r="V894" s="2" t="str">
        <f t="shared" si="214"/>
        <v>350</v>
      </c>
      <c r="W894" s="2" t="str">
        <f t="shared" si="215"/>
        <v>X</v>
      </c>
      <c r="X894" s="2" t="str">
        <f t="shared" si="218"/>
        <v>X</v>
      </c>
      <c r="Y894" s="2" t="str">
        <f t="shared" si="216"/>
        <v>X</v>
      </c>
      <c r="Z894" s="2" t="str">
        <f t="shared" si="217"/>
        <v>X</v>
      </c>
      <c r="AA894" s="2" t="str">
        <f t="shared" si="220"/>
        <v>(31 downto 24)</v>
      </c>
      <c r="AB894" s="2" t="str">
        <f t="shared" si="221"/>
        <v>(23 downto 16)</v>
      </c>
      <c r="AC894" s="2" t="str">
        <f t="shared" si="222"/>
        <v>(15 downto 8)</v>
      </c>
      <c r="AD894" s="2" t="str">
        <f t="shared" si="223"/>
        <v>(7 downto 0)</v>
      </c>
      <c r="AE894" s="2" t="str">
        <f t="shared" si="224"/>
        <v>(31 downto 24)</v>
      </c>
      <c r="AF894" s="2" t="str">
        <f t="shared" si="225"/>
        <v>(23 downto 16)</v>
      </c>
      <c r="AG894" s="2" t="str">
        <f t="shared" si="226"/>
        <v>(15 downto 8)</v>
      </c>
      <c r="AH894" s="2" t="str">
        <f t="shared" si="227"/>
        <v>(7 downto 0)</v>
      </c>
    </row>
    <row r="895" spans="2:34" x14ac:dyDescent="0.25">
      <c r="B895" s="2" t="s">
        <v>2500</v>
      </c>
      <c r="C895" s="2" t="s">
        <v>141</v>
      </c>
      <c r="D895" s="2" t="s">
        <v>0</v>
      </c>
      <c r="E895" s="2" t="s">
        <v>130</v>
      </c>
      <c r="F895" s="2" t="s">
        <v>2501</v>
      </c>
      <c r="G895" s="2" t="s">
        <v>2502</v>
      </c>
      <c r="H895" s="2" t="s">
        <v>142</v>
      </c>
      <c r="I895" s="2" t="s">
        <v>41</v>
      </c>
      <c r="J895" s="2">
        <v>32</v>
      </c>
      <c r="K895" s="2" t="s">
        <v>132</v>
      </c>
      <c r="L895" s="2" t="s">
        <v>40</v>
      </c>
      <c r="P895" s="2" t="s">
        <v>48</v>
      </c>
      <c r="Q895" s="2">
        <f>INDEX(Tables!$C$4:$C$28,MATCH($P895,Tables!$B$4:$B$28,0))</f>
        <v>32</v>
      </c>
      <c r="R895" s="2">
        <f>INDEX(Tables!$D$4:$D$28,MATCH($P895,Tables!$B$4:$B$28,0))</f>
        <v>4</v>
      </c>
      <c r="S895" s="2">
        <f>$S894+$R894+INDEX(Tables!$N$5:$Q$8,MATCH(MOD($S894+$R894,4),Tables!$M$5:$M$8,0),MATCH($R895,Tables!$N$4:$Q$4,0))</f>
        <v>3396</v>
      </c>
      <c r="T895" s="2" t="str">
        <f t="shared" si="213"/>
        <v>0D44</v>
      </c>
      <c r="U895" s="2">
        <f t="shared" si="219"/>
        <v>849</v>
      </c>
      <c r="V895" s="2" t="str">
        <f t="shared" si="214"/>
        <v>351</v>
      </c>
      <c r="W895" s="2" t="str">
        <f t="shared" si="215"/>
        <v>X</v>
      </c>
      <c r="X895" s="2" t="str">
        <f t="shared" si="218"/>
        <v>X</v>
      </c>
      <c r="Y895" s="2" t="str">
        <f t="shared" si="216"/>
        <v>X</v>
      </c>
      <c r="Z895" s="2" t="str">
        <f t="shared" si="217"/>
        <v>X</v>
      </c>
      <c r="AA895" s="2" t="str">
        <f t="shared" si="220"/>
        <v>(31 downto 24)</v>
      </c>
      <c r="AB895" s="2" t="str">
        <f t="shared" si="221"/>
        <v>(23 downto 16)</v>
      </c>
      <c r="AC895" s="2" t="str">
        <f t="shared" si="222"/>
        <v>(15 downto 8)</v>
      </c>
      <c r="AD895" s="2" t="str">
        <f t="shared" si="223"/>
        <v>(7 downto 0)</v>
      </c>
      <c r="AE895" s="2" t="str">
        <f t="shared" si="224"/>
        <v>(31 downto 24)</v>
      </c>
      <c r="AF895" s="2" t="str">
        <f t="shared" si="225"/>
        <v>(23 downto 16)</v>
      </c>
      <c r="AG895" s="2" t="str">
        <f t="shared" si="226"/>
        <v>(15 downto 8)</v>
      </c>
      <c r="AH895" s="2" t="str">
        <f t="shared" si="227"/>
        <v>(7 downto 0)</v>
      </c>
    </row>
    <row r="896" spans="2:34" x14ac:dyDescent="0.25">
      <c r="B896" s="2" t="s">
        <v>2503</v>
      </c>
      <c r="C896" s="2" t="s">
        <v>141</v>
      </c>
      <c r="D896" s="2" t="s">
        <v>0</v>
      </c>
      <c r="E896" s="2" t="s">
        <v>130</v>
      </c>
      <c r="F896" s="2" t="s">
        <v>2504</v>
      </c>
      <c r="G896" s="2" t="s">
        <v>2505</v>
      </c>
      <c r="H896" s="2" t="s">
        <v>142</v>
      </c>
      <c r="I896" s="2" t="s">
        <v>41</v>
      </c>
      <c r="J896" s="2">
        <v>32</v>
      </c>
      <c r="K896" s="2" t="s">
        <v>132</v>
      </c>
      <c r="L896" s="2" t="s">
        <v>40</v>
      </c>
      <c r="P896" s="2" t="s">
        <v>48</v>
      </c>
      <c r="Q896" s="2">
        <f>INDEX(Tables!$C$4:$C$28,MATCH($P896,Tables!$B$4:$B$28,0))</f>
        <v>32</v>
      </c>
      <c r="R896" s="2">
        <f>INDEX(Tables!$D$4:$D$28,MATCH($P896,Tables!$B$4:$B$28,0))</f>
        <v>4</v>
      </c>
      <c r="S896" s="2">
        <f>$S895+$R895+INDEX(Tables!$N$5:$Q$8,MATCH(MOD($S895+$R895,4),Tables!$M$5:$M$8,0),MATCH($R896,Tables!$N$4:$Q$4,0))</f>
        <v>3400</v>
      </c>
      <c r="T896" s="2" t="str">
        <f t="shared" si="213"/>
        <v>0D48</v>
      </c>
      <c r="U896" s="2">
        <f t="shared" si="219"/>
        <v>850</v>
      </c>
      <c r="V896" s="2" t="str">
        <f t="shared" si="214"/>
        <v>352</v>
      </c>
      <c r="W896" s="2" t="str">
        <f t="shared" si="215"/>
        <v>X</v>
      </c>
      <c r="X896" s="2" t="str">
        <f t="shared" si="218"/>
        <v>X</v>
      </c>
      <c r="Y896" s="2" t="str">
        <f t="shared" si="216"/>
        <v>X</v>
      </c>
      <c r="Z896" s="2" t="str">
        <f t="shared" si="217"/>
        <v>X</v>
      </c>
      <c r="AA896" s="2" t="str">
        <f t="shared" si="220"/>
        <v>(31 downto 24)</v>
      </c>
      <c r="AB896" s="2" t="str">
        <f t="shared" si="221"/>
        <v>(23 downto 16)</v>
      </c>
      <c r="AC896" s="2" t="str">
        <f t="shared" si="222"/>
        <v>(15 downto 8)</v>
      </c>
      <c r="AD896" s="2" t="str">
        <f t="shared" si="223"/>
        <v>(7 downto 0)</v>
      </c>
      <c r="AE896" s="2" t="str">
        <f t="shared" si="224"/>
        <v>(31 downto 24)</v>
      </c>
      <c r="AF896" s="2" t="str">
        <f t="shared" si="225"/>
        <v>(23 downto 16)</v>
      </c>
      <c r="AG896" s="2" t="str">
        <f t="shared" si="226"/>
        <v>(15 downto 8)</v>
      </c>
      <c r="AH896" s="2" t="str">
        <f t="shared" si="227"/>
        <v>(7 downto 0)</v>
      </c>
    </row>
    <row r="897" spans="2:34" x14ac:dyDescent="0.25">
      <c r="B897" s="2" t="s">
        <v>2506</v>
      </c>
      <c r="C897" s="2" t="s">
        <v>141</v>
      </c>
      <c r="D897" s="2" t="s">
        <v>0</v>
      </c>
      <c r="E897" s="2" t="s">
        <v>130</v>
      </c>
      <c r="F897" s="2" t="s">
        <v>2507</v>
      </c>
      <c r="G897" s="2" t="s">
        <v>2508</v>
      </c>
      <c r="H897" s="2" t="s">
        <v>142</v>
      </c>
      <c r="I897" s="2" t="s">
        <v>41</v>
      </c>
      <c r="J897" s="2">
        <v>32</v>
      </c>
      <c r="K897" s="2" t="s">
        <v>132</v>
      </c>
      <c r="L897" s="2" t="s">
        <v>40</v>
      </c>
      <c r="P897" s="2" t="s">
        <v>48</v>
      </c>
      <c r="Q897" s="2">
        <f>INDEX(Tables!$C$4:$C$28,MATCH($P897,Tables!$B$4:$B$28,0))</f>
        <v>32</v>
      </c>
      <c r="R897" s="2">
        <f>INDEX(Tables!$D$4:$D$28,MATCH($P897,Tables!$B$4:$B$28,0))</f>
        <v>4</v>
      </c>
      <c r="S897" s="2">
        <f>$S896+$R896+INDEX(Tables!$N$5:$Q$8,MATCH(MOD($S896+$R896,4),Tables!$M$5:$M$8,0),MATCH($R897,Tables!$N$4:$Q$4,0))</f>
        <v>3404</v>
      </c>
      <c r="T897" s="2" t="str">
        <f t="shared" si="213"/>
        <v>0D4C</v>
      </c>
      <c r="U897" s="2">
        <f t="shared" si="219"/>
        <v>851</v>
      </c>
      <c r="V897" s="2" t="str">
        <f t="shared" si="214"/>
        <v>353</v>
      </c>
      <c r="W897" s="2" t="str">
        <f t="shared" si="215"/>
        <v>X</v>
      </c>
      <c r="X897" s="2" t="str">
        <f t="shared" si="218"/>
        <v>X</v>
      </c>
      <c r="Y897" s="2" t="str">
        <f t="shared" si="216"/>
        <v>X</v>
      </c>
      <c r="Z897" s="2" t="str">
        <f t="shared" si="217"/>
        <v>X</v>
      </c>
      <c r="AA897" s="2" t="str">
        <f t="shared" si="220"/>
        <v>(31 downto 24)</v>
      </c>
      <c r="AB897" s="2" t="str">
        <f t="shared" si="221"/>
        <v>(23 downto 16)</v>
      </c>
      <c r="AC897" s="2" t="str">
        <f t="shared" si="222"/>
        <v>(15 downto 8)</v>
      </c>
      <c r="AD897" s="2" t="str">
        <f t="shared" si="223"/>
        <v>(7 downto 0)</v>
      </c>
      <c r="AE897" s="2" t="str">
        <f t="shared" si="224"/>
        <v>(31 downto 24)</v>
      </c>
      <c r="AF897" s="2" t="str">
        <f t="shared" si="225"/>
        <v>(23 downto 16)</v>
      </c>
      <c r="AG897" s="2" t="str">
        <f t="shared" si="226"/>
        <v>(15 downto 8)</v>
      </c>
      <c r="AH897" s="2" t="str">
        <f t="shared" si="227"/>
        <v>(7 downto 0)</v>
      </c>
    </row>
    <row r="898" spans="2:34" x14ac:dyDescent="0.25">
      <c r="B898" s="2" t="s">
        <v>2509</v>
      </c>
      <c r="C898" s="2" t="s">
        <v>141</v>
      </c>
      <c r="D898" s="2" t="s">
        <v>0</v>
      </c>
      <c r="E898" s="2" t="s">
        <v>130</v>
      </c>
      <c r="F898" s="2" t="s">
        <v>2510</v>
      </c>
      <c r="G898" s="2" t="s">
        <v>2511</v>
      </c>
      <c r="H898" s="2" t="s">
        <v>142</v>
      </c>
      <c r="I898" s="2" t="s">
        <v>41</v>
      </c>
      <c r="J898" s="2">
        <v>32</v>
      </c>
      <c r="K898" s="2" t="s">
        <v>132</v>
      </c>
      <c r="L898" s="2" t="s">
        <v>40</v>
      </c>
      <c r="P898" s="2" t="s">
        <v>48</v>
      </c>
      <c r="Q898" s="2">
        <f>INDEX(Tables!$C$4:$C$28,MATCH($P898,Tables!$B$4:$B$28,0))</f>
        <v>32</v>
      </c>
      <c r="R898" s="2">
        <f>INDEX(Tables!$D$4:$D$28,MATCH($P898,Tables!$B$4:$B$28,0))</f>
        <v>4</v>
      </c>
      <c r="S898" s="2">
        <f>$S897+$R897+INDEX(Tables!$N$5:$Q$8,MATCH(MOD($S897+$R897,4),Tables!$M$5:$M$8,0),MATCH($R898,Tables!$N$4:$Q$4,0))</f>
        <v>3408</v>
      </c>
      <c r="T898" s="2" t="str">
        <f t="shared" si="213"/>
        <v>0D50</v>
      </c>
      <c r="U898" s="2">
        <f t="shared" si="219"/>
        <v>852</v>
      </c>
      <c r="V898" s="2" t="str">
        <f t="shared" si="214"/>
        <v>354</v>
      </c>
      <c r="W898" s="2" t="str">
        <f t="shared" si="215"/>
        <v>X</v>
      </c>
      <c r="X898" s="2" t="str">
        <f t="shared" si="218"/>
        <v>X</v>
      </c>
      <c r="Y898" s="2" t="str">
        <f t="shared" si="216"/>
        <v>X</v>
      </c>
      <c r="Z898" s="2" t="str">
        <f t="shared" si="217"/>
        <v>X</v>
      </c>
      <c r="AA898" s="2" t="str">
        <f t="shared" si="220"/>
        <v>(31 downto 24)</v>
      </c>
      <c r="AB898" s="2" t="str">
        <f t="shared" si="221"/>
        <v>(23 downto 16)</v>
      </c>
      <c r="AC898" s="2" t="str">
        <f t="shared" si="222"/>
        <v>(15 downto 8)</v>
      </c>
      <c r="AD898" s="2" t="str">
        <f t="shared" si="223"/>
        <v>(7 downto 0)</v>
      </c>
      <c r="AE898" s="2" t="str">
        <f t="shared" si="224"/>
        <v>(31 downto 24)</v>
      </c>
      <c r="AF898" s="2" t="str">
        <f t="shared" si="225"/>
        <v>(23 downto 16)</v>
      </c>
      <c r="AG898" s="2" t="str">
        <f t="shared" si="226"/>
        <v>(15 downto 8)</v>
      </c>
      <c r="AH898" s="2" t="str">
        <f t="shared" si="227"/>
        <v>(7 downto 0)</v>
      </c>
    </row>
    <row r="899" spans="2:34" x14ac:dyDescent="0.25">
      <c r="B899" s="2" t="s">
        <v>2512</v>
      </c>
      <c r="C899" s="2" t="s">
        <v>141</v>
      </c>
      <c r="D899" s="2" t="s">
        <v>0</v>
      </c>
      <c r="E899" s="2" t="s">
        <v>130</v>
      </c>
      <c r="F899" s="2" t="s">
        <v>2513</v>
      </c>
      <c r="G899" s="2" t="s">
        <v>2514</v>
      </c>
      <c r="H899" s="2" t="s">
        <v>142</v>
      </c>
      <c r="I899" s="2" t="s">
        <v>41</v>
      </c>
      <c r="J899" s="2">
        <v>32</v>
      </c>
      <c r="K899" s="2" t="s">
        <v>132</v>
      </c>
      <c r="L899" s="2" t="s">
        <v>40</v>
      </c>
      <c r="P899" s="2" t="s">
        <v>48</v>
      </c>
      <c r="Q899" s="2">
        <f>INDEX(Tables!$C$4:$C$28,MATCH($P899,Tables!$B$4:$B$28,0))</f>
        <v>32</v>
      </c>
      <c r="R899" s="2">
        <f>INDEX(Tables!$D$4:$D$28,MATCH($P899,Tables!$B$4:$B$28,0))</f>
        <v>4</v>
      </c>
      <c r="S899" s="2">
        <f>$S898+$R898+INDEX(Tables!$N$5:$Q$8,MATCH(MOD($S898+$R898,4),Tables!$M$5:$M$8,0),MATCH($R899,Tables!$N$4:$Q$4,0))</f>
        <v>3412</v>
      </c>
      <c r="T899" s="2" t="str">
        <f t="shared" si="213"/>
        <v>0D54</v>
      </c>
      <c r="U899" s="2">
        <f t="shared" si="219"/>
        <v>853</v>
      </c>
      <c r="V899" s="2" t="str">
        <f t="shared" si="214"/>
        <v>355</v>
      </c>
      <c r="W899" s="2" t="str">
        <f t="shared" si="215"/>
        <v>X</v>
      </c>
      <c r="X899" s="2" t="str">
        <f t="shared" si="218"/>
        <v>X</v>
      </c>
      <c r="Y899" s="2" t="str">
        <f t="shared" si="216"/>
        <v>X</v>
      </c>
      <c r="Z899" s="2" t="str">
        <f t="shared" si="217"/>
        <v>X</v>
      </c>
      <c r="AA899" s="2" t="str">
        <f t="shared" si="220"/>
        <v>(31 downto 24)</v>
      </c>
      <c r="AB899" s="2" t="str">
        <f t="shared" si="221"/>
        <v>(23 downto 16)</v>
      </c>
      <c r="AC899" s="2" t="str">
        <f t="shared" si="222"/>
        <v>(15 downto 8)</v>
      </c>
      <c r="AD899" s="2" t="str">
        <f t="shared" si="223"/>
        <v>(7 downto 0)</v>
      </c>
      <c r="AE899" s="2" t="str">
        <f t="shared" si="224"/>
        <v>(31 downto 24)</v>
      </c>
      <c r="AF899" s="2" t="str">
        <f t="shared" si="225"/>
        <v>(23 downto 16)</v>
      </c>
      <c r="AG899" s="2" t="str">
        <f t="shared" si="226"/>
        <v>(15 downto 8)</v>
      </c>
      <c r="AH899" s="2" t="str">
        <f t="shared" si="227"/>
        <v>(7 downto 0)</v>
      </c>
    </row>
    <row r="900" spans="2:34" x14ac:dyDescent="0.25">
      <c r="B900" s="2" t="s">
        <v>2515</v>
      </c>
      <c r="C900" s="2" t="s">
        <v>141</v>
      </c>
      <c r="D900" s="2" t="s">
        <v>0</v>
      </c>
      <c r="E900" s="2" t="s">
        <v>130</v>
      </c>
      <c r="F900" s="2" t="s">
        <v>2516</v>
      </c>
      <c r="G900" s="2" t="s">
        <v>2517</v>
      </c>
      <c r="H900" s="2" t="s">
        <v>142</v>
      </c>
      <c r="I900" s="2" t="s">
        <v>41</v>
      </c>
      <c r="J900" s="2">
        <v>32</v>
      </c>
      <c r="K900" s="2" t="s">
        <v>132</v>
      </c>
      <c r="L900" s="2" t="s">
        <v>40</v>
      </c>
      <c r="P900" s="2" t="s">
        <v>48</v>
      </c>
      <c r="Q900" s="2">
        <f>INDEX(Tables!$C$4:$C$28,MATCH($P900,Tables!$B$4:$B$28,0))</f>
        <v>32</v>
      </c>
      <c r="R900" s="2">
        <f>INDEX(Tables!$D$4:$D$28,MATCH($P900,Tables!$B$4:$B$28,0))</f>
        <v>4</v>
      </c>
      <c r="S900" s="2">
        <f>$S899+$R899+INDEX(Tables!$N$5:$Q$8,MATCH(MOD($S899+$R899,4),Tables!$M$5:$M$8,0),MATCH($R900,Tables!$N$4:$Q$4,0))</f>
        <v>3416</v>
      </c>
      <c r="T900" s="2" t="str">
        <f t="shared" si="213"/>
        <v>0D58</v>
      </c>
      <c r="U900" s="2">
        <f t="shared" si="219"/>
        <v>854</v>
      </c>
      <c r="V900" s="2" t="str">
        <f t="shared" si="214"/>
        <v>356</v>
      </c>
      <c r="W900" s="2" t="str">
        <f t="shared" si="215"/>
        <v>X</v>
      </c>
      <c r="X900" s="2" t="str">
        <f t="shared" si="218"/>
        <v>X</v>
      </c>
      <c r="Y900" s="2" t="str">
        <f t="shared" si="216"/>
        <v>X</v>
      </c>
      <c r="Z900" s="2" t="str">
        <f t="shared" si="217"/>
        <v>X</v>
      </c>
      <c r="AA900" s="2" t="str">
        <f t="shared" si="220"/>
        <v>(31 downto 24)</v>
      </c>
      <c r="AB900" s="2" t="str">
        <f t="shared" si="221"/>
        <v>(23 downto 16)</v>
      </c>
      <c r="AC900" s="2" t="str">
        <f t="shared" si="222"/>
        <v>(15 downto 8)</v>
      </c>
      <c r="AD900" s="2" t="str">
        <f t="shared" si="223"/>
        <v>(7 downto 0)</v>
      </c>
      <c r="AE900" s="2" t="str">
        <f t="shared" si="224"/>
        <v>(31 downto 24)</v>
      </c>
      <c r="AF900" s="2" t="str">
        <f t="shared" si="225"/>
        <v>(23 downto 16)</v>
      </c>
      <c r="AG900" s="2" t="str">
        <f t="shared" si="226"/>
        <v>(15 downto 8)</v>
      </c>
      <c r="AH900" s="2" t="str">
        <f t="shared" si="227"/>
        <v>(7 downto 0)</v>
      </c>
    </row>
    <row r="901" spans="2:34" x14ac:dyDescent="0.25">
      <c r="B901" s="2" t="s">
        <v>2518</v>
      </c>
      <c r="C901" s="2" t="s">
        <v>141</v>
      </c>
      <c r="D901" s="2" t="s">
        <v>0</v>
      </c>
      <c r="E901" s="2" t="s">
        <v>130</v>
      </c>
      <c r="F901" s="2" t="s">
        <v>2519</v>
      </c>
      <c r="G901" s="2" t="s">
        <v>2520</v>
      </c>
      <c r="H901" s="2" t="s">
        <v>142</v>
      </c>
      <c r="I901" s="2" t="s">
        <v>41</v>
      </c>
      <c r="J901" s="2">
        <v>32</v>
      </c>
      <c r="K901" s="2" t="s">
        <v>132</v>
      </c>
      <c r="L901" s="2" t="s">
        <v>40</v>
      </c>
      <c r="P901" s="2" t="s">
        <v>48</v>
      </c>
      <c r="Q901" s="2">
        <f>INDEX(Tables!$C$4:$C$28,MATCH($P901,Tables!$B$4:$B$28,0))</f>
        <v>32</v>
      </c>
      <c r="R901" s="2">
        <f>INDEX(Tables!$D$4:$D$28,MATCH($P901,Tables!$B$4:$B$28,0))</f>
        <v>4</v>
      </c>
      <c r="S901" s="2">
        <f>$S900+$R900+INDEX(Tables!$N$5:$Q$8,MATCH(MOD($S900+$R900,4),Tables!$M$5:$M$8,0),MATCH($R901,Tables!$N$4:$Q$4,0))</f>
        <v>3420</v>
      </c>
      <c r="T901" s="2" t="str">
        <f t="shared" ref="T901:T964" si="228">DEC2HEX($S901,4)</f>
        <v>0D5C</v>
      </c>
      <c r="U901" s="2">
        <f t="shared" si="219"/>
        <v>855</v>
      </c>
      <c r="V901" s="2" t="str">
        <f t="shared" ref="V901:V964" si="229">DEC2HEX($U901,3)</f>
        <v>357</v>
      </c>
      <c r="W901" s="2" t="str">
        <f t="shared" ref="W901:W964" si="230">IF(MOD($S901,4)=3,"X",IF(AND(MOD($S901,4)=2,$J901&gt;8),"X",IF(AND(MOD($S901,4)=1,$J901&gt;16),"X",IF(AND(MOD($S901,4)=0,$J901&gt;24),"X",""))))</f>
        <v>X</v>
      </c>
      <c r="X901" s="2" t="str">
        <f t="shared" si="218"/>
        <v>X</v>
      </c>
      <c r="Y901" s="2" t="str">
        <f t="shared" ref="Y901:Y964" si="231">IF(MOD($S901,4)=1,"X",IF(AND(MOD($S901,4)=0,$J901&gt;8),"X",""))</f>
        <v>X</v>
      </c>
      <c r="Z901" s="2" t="str">
        <f t="shared" ref="Z901:Z964" si="232">IF(MOD($S901,4)=0,"X","")</f>
        <v>X</v>
      </c>
      <c r="AA901" s="2" t="str">
        <f t="shared" si="220"/>
        <v>(31 downto 24)</v>
      </c>
      <c r="AB901" s="2" t="str">
        <f t="shared" si="221"/>
        <v>(23 downto 16)</v>
      </c>
      <c r="AC901" s="2" t="str">
        <f t="shared" si="222"/>
        <v>(15 downto 8)</v>
      </c>
      <c r="AD901" s="2" t="str">
        <f t="shared" si="223"/>
        <v>(7 downto 0)</v>
      </c>
      <c r="AE901" s="2" t="str">
        <f t="shared" si="224"/>
        <v>(31 downto 24)</v>
      </c>
      <c r="AF901" s="2" t="str">
        <f t="shared" si="225"/>
        <v>(23 downto 16)</v>
      </c>
      <c r="AG901" s="2" t="str">
        <f t="shared" si="226"/>
        <v>(15 downto 8)</v>
      </c>
      <c r="AH901" s="2" t="str">
        <f t="shared" si="227"/>
        <v>(7 downto 0)</v>
      </c>
    </row>
    <row r="902" spans="2:34" x14ac:dyDescent="0.25">
      <c r="B902" s="2" t="s">
        <v>2521</v>
      </c>
      <c r="C902" s="2" t="s">
        <v>141</v>
      </c>
      <c r="D902" s="2" t="s">
        <v>0</v>
      </c>
      <c r="E902" s="2" t="s">
        <v>130</v>
      </c>
      <c r="F902" s="2" t="s">
        <v>2522</v>
      </c>
      <c r="G902" s="2" t="s">
        <v>2523</v>
      </c>
      <c r="H902" s="2" t="s">
        <v>142</v>
      </c>
      <c r="I902" s="2" t="s">
        <v>41</v>
      </c>
      <c r="J902" s="2">
        <v>32</v>
      </c>
      <c r="K902" s="2" t="s">
        <v>132</v>
      </c>
      <c r="L902" s="2" t="s">
        <v>40</v>
      </c>
      <c r="P902" s="2" t="s">
        <v>48</v>
      </c>
      <c r="Q902" s="2">
        <f>INDEX(Tables!$C$4:$C$28,MATCH($P902,Tables!$B$4:$B$28,0))</f>
        <v>32</v>
      </c>
      <c r="R902" s="2">
        <f>INDEX(Tables!$D$4:$D$28,MATCH($P902,Tables!$B$4:$B$28,0))</f>
        <v>4</v>
      </c>
      <c r="S902" s="2">
        <f>$S901+$R901+INDEX(Tables!$N$5:$Q$8,MATCH(MOD($S901+$R901,4),Tables!$M$5:$M$8,0),MATCH($R902,Tables!$N$4:$Q$4,0))</f>
        <v>3424</v>
      </c>
      <c r="T902" s="2" t="str">
        <f t="shared" si="228"/>
        <v>0D60</v>
      </c>
      <c r="U902" s="2">
        <f t="shared" si="219"/>
        <v>856</v>
      </c>
      <c r="V902" s="2" t="str">
        <f t="shared" si="229"/>
        <v>358</v>
      </c>
      <c r="W902" s="2" t="str">
        <f t="shared" si="230"/>
        <v>X</v>
      </c>
      <c r="X902" s="2" t="str">
        <f t="shared" ref="X902:X965" si="233">IF(MOD($S902,4)=2,"X",IF(AND(MOD($S902,4)=1,$J902&gt;8),"X",IF(AND(MOD($S902,4)=0,$J902&gt;16),"X","")))</f>
        <v>X</v>
      </c>
      <c r="Y902" s="2" t="str">
        <f t="shared" si="231"/>
        <v>X</v>
      </c>
      <c r="Z902" s="2" t="str">
        <f t="shared" si="232"/>
        <v>X</v>
      </c>
      <c r="AA902" s="2" t="str">
        <f t="shared" si="220"/>
        <v>(31 downto 24)</v>
      </c>
      <c r="AB902" s="2" t="str">
        <f t="shared" si="221"/>
        <v>(23 downto 16)</v>
      </c>
      <c r="AC902" s="2" t="str">
        <f t="shared" si="222"/>
        <v>(15 downto 8)</v>
      </c>
      <c r="AD902" s="2" t="str">
        <f t="shared" si="223"/>
        <v>(7 downto 0)</v>
      </c>
      <c r="AE902" s="2" t="str">
        <f t="shared" si="224"/>
        <v>(31 downto 24)</v>
      </c>
      <c r="AF902" s="2" t="str">
        <f t="shared" si="225"/>
        <v>(23 downto 16)</v>
      </c>
      <c r="AG902" s="2" t="str">
        <f t="shared" si="226"/>
        <v>(15 downto 8)</v>
      </c>
      <c r="AH902" s="2" t="str">
        <f t="shared" si="227"/>
        <v>(7 downto 0)</v>
      </c>
    </row>
    <row r="903" spans="2:34" x14ac:dyDescent="0.25">
      <c r="B903" s="2" t="s">
        <v>2524</v>
      </c>
      <c r="C903" s="2" t="s">
        <v>141</v>
      </c>
      <c r="D903" s="2" t="s">
        <v>0</v>
      </c>
      <c r="E903" s="2" t="s">
        <v>130</v>
      </c>
      <c r="F903" s="2" t="s">
        <v>2525</v>
      </c>
      <c r="G903" s="2" t="s">
        <v>2526</v>
      </c>
      <c r="H903" s="2" t="s">
        <v>142</v>
      </c>
      <c r="I903" s="2" t="s">
        <v>41</v>
      </c>
      <c r="J903" s="2">
        <v>32</v>
      </c>
      <c r="K903" s="2" t="s">
        <v>132</v>
      </c>
      <c r="L903" s="2" t="s">
        <v>40</v>
      </c>
      <c r="P903" s="2" t="s">
        <v>48</v>
      </c>
      <c r="Q903" s="2">
        <f>INDEX(Tables!$C$4:$C$28,MATCH($P903,Tables!$B$4:$B$28,0))</f>
        <v>32</v>
      </c>
      <c r="R903" s="2">
        <f>INDEX(Tables!$D$4:$D$28,MATCH($P903,Tables!$B$4:$B$28,0))</f>
        <v>4</v>
      </c>
      <c r="S903" s="2">
        <f>$S902+$R902+INDEX(Tables!$N$5:$Q$8,MATCH(MOD($S902+$R902,4),Tables!$M$5:$M$8,0),MATCH($R903,Tables!$N$4:$Q$4,0))</f>
        <v>3428</v>
      </c>
      <c r="T903" s="2" t="str">
        <f t="shared" si="228"/>
        <v>0D64</v>
      </c>
      <c r="U903" s="2">
        <f t="shared" si="219"/>
        <v>857</v>
      </c>
      <c r="V903" s="2" t="str">
        <f t="shared" si="229"/>
        <v>359</v>
      </c>
      <c r="W903" s="2" t="str">
        <f t="shared" si="230"/>
        <v>X</v>
      </c>
      <c r="X903" s="2" t="str">
        <f t="shared" si="233"/>
        <v>X</v>
      </c>
      <c r="Y903" s="2" t="str">
        <f t="shared" si="231"/>
        <v>X</v>
      </c>
      <c r="Z903" s="2" t="str">
        <f t="shared" si="232"/>
        <v>X</v>
      </c>
      <c r="AA903" s="2" t="str">
        <f t="shared" si="220"/>
        <v>(31 downto 24)</v>
      </c>
      <c r="AB903" s="2" t="str">
        <f t="shared" si="221"/>
        <v>(23 downto 16)</v>
      </c>
      <c r="AC903" s="2" t="str">
        <f t="shared" si="222"/>
        <v>(15 downto 8)</v>
      </c>
      <c r="AD903" s="2" t="str">
        <f t="shared" si="223"/>
        <v>(7 downto 0)</v>
      </c>
      <c r="AE903" s="2" t="str">
        <f t="shared" si="224"/>
        <v>(31 downto 24)</v>
      </c>
      <c r="AF903" s="2" t="str">
        <f t="shared" si="225"/>
        <v>(23 downto 16)</v>
      </c>
      <c r="AG903" s="2" t="str">
        <f t="shared" si="226"/>
        <v>(15 downto 8)</v>
      </c>
      <c r="AH903" s="2" t="str">
        <f t="shared" si="227"/>
        <v>(7 downto 0)</v>
      </c>
    </row>
    <row r="904" spans="2:34" x14ac:dyDescent="0.25">
      <c r="B904" s="2" t="s">
        <v>2527</v>
      </c>
      <c r="C904" s="2" t="s">
        <v>141</v>
      </c>
      <c r="D904" s="2" t="s">
        <v>0</v>
      </c>
      <c r="E904" s="2" t="s">
        <v>130</v>
      </c>
      <c r="F904" s="2" t="s">
        <v>2528</v>
      </c>
      <c r="G904" s="2" t="s">
        <v>2529</v>
      </c>
      <c r="H904" s="2" t="s">
        <v>142</v>
      </c>
      <c r="I904" s="2" t="s">
        <v>41</v>
      </c>
      <c r="J904" s="2">
        <v>32</v>
      </c>
      <c r="K904" s="2" t="s">
        <v>132</v>
      </c>
      <c r="L904" s="2" t="s">
        <v>40</v>
      </c>
      <c r="P904" s="2" t="s">
        <v>48</v>
      </c>
      <c r="Q904" s="2">
        <f>INDEX(Tables!$C$4:$C$28,MATCH($P904,Tables!$B$4:$B$28,0))</f>
        <v>32</v>
      </c>
      <c r="R904" s="2">
        <f>INDEX(Tables!$D$4:$D$28,MATCH($P904,Tables!$B$4:$B$28,0))</f>
        <v>4</v>
      </c>
      <c r="S904" s="2">
        <f>$S903+$R903+INDEX(Tables!$N$5:$Q$8,MATCH(MOD($S903+$R903,4),Tables!$M$5:$M$8,0),MATCH($R904,Tables!$N$4:$Q$4,0))</f>
        <v>3432</v>
      </c>
      <c r="T904" s="2" t="str">
        <f t="shared" si="228"/>
        <v>0D68</v>
      </c>
      <c r="U904" s="2">
        <f t="shared" si="219"/>
        <v>858</v>
      </c>
      <c r="V904" s="2" t="str">
        <f t="shared" si="229"/>
        <v>35A</v>
      </c>
      <c r="W904" s="2" t="str">
        <f t="shared" si="230"/>
        <v>X</v>
      </c>
      <c r="X904" s="2" t="str">
        <f t="shared" si="233"/>
        <v>X</v>
      </c>
      <c r="Y904" s="2" t="str">
        <f t="shared" si="231"/>
        <v>X</v>
      </c>
      <c r="Z904" s="2" t="str">
        <f t="shared" si="232"/>
        <v>X</v>
      </c>
      <c r="AA904" s="2" t="str">
        <f t="shared" si="220"/>
        <v>(31 downto 24)</v>
      </c>
      <c r="AB904" s="2" t="str">
        <f t="shared" si="221"/>
        <v>(23 downto 16)</v>
      </c>
      <c r="AC904" s="2" t="str">
        <f t="shared" si="222"/>
        <v>(15 downto 8)</v>
      </c>
      <c r="AD904" s="2" t="str">
        <f t="shared" si="223"/>
        <v>(7 downto 0)</v>
      </c>
      <c r="AE904" s="2" t="str">
        <f t="shared" si="224"/>
        <v>(31 downto 24)</v>
      </c>
      <c r="AF904" s="2" t="str">
        <f t="shared" si="225"/>
        <v>(23 downto 16)</v>
      </c>
      <c r="AG904" s="2" t="str">
        <f t="shared" si="226"/>
        <v>(15 downto 8)</v>
      </c>
      <c r="AH904" s="2" t="str">
        <f t="shared" si="227"/>
        <v>(7 downto 0)</v>
      </c>
    </row>
    <row r="905" spans="2:34" x14ac:dyDescent="0.25">
      <c r="B905" s="2" t="s">
        <v>2530</v>
      </c>
      <c r="C905" s="2" t="s">
        <v>141</v>
      </c>
      <c r="D905" s="2" t="s">
        <v>0</v>
      </c>
      <c r="E905" s="2" t="s">
        <v>130</v>
      </c>
      <c r="F905" s="2" t="s">
        <v>2531</v>
      </c>
      <c r="G905" s="2" t="s">
        <v>2532</v>
      </c>
      <c r="H905" s="2" t="s">
        <v>142</v>
      </c>
      <c r="I905" s="2" t="s">
        <v>41</v>
      </c>
      <c r="J905" s="2">
        <v>32</v>
      </c>
      <c r="K905" s="2" t="s">
        <v>132</v>
      </c>
      <c r="L905" s="2" t="s">
        <v>40</v>
      </c>
      <c r="P905" s="2" t="s">
        <v>48</v>
      </c>
      <c r="Q905" s="2">
        <f>INDEX(Tables!$C$4:$C$28,MATCH($P905,Tables!$B$4:$B$28,0))</f>
        <v>32</v>
      </c>
      <c r="R905" s="2">
        <f>INDEX(Tables!$D$4:$D$28,MATCH($P905,Tables!$B$4:$B$28,0))</f>
        <v>4</v>
      </c>
      <c r="S905" s="2">
        <f>$S904+$R904+INDEX(Tables!$N$5:$Q$8,MATCH(MOD($S904+$R904,4),Tables!$M$5:$M$8,0),MATCH($R905,Tables!$N$4:$Q$4,0))</f>
        <v>3436</v>
      </c>
      <c r="T905" s="2" t="str">
        <f t="shared" si="228"/>
        <v>0D6C</v>
      </c>
      <c r="U905" s="2">
        <f t="shared" ref="U905:U968" si="234">ROUNDDOWN(S905/4,0)</f>
        <v>859</v>
      </c>
      <c r="V905" s="2" t="str">
        <f t="shared" si="229"/>
        <v>35B</v>
      </c>
      <c r="W905" s="2" t="str">
        <f t="shared" si="230"/>
        <v>X</v>
      </c>
      <c r="X905" s="2" t="str">
        <f t="shared" si="233"/>
        <v>X</v>
      </c>
      <c r="Y905" s="2" t="str">
        <f t="shared" si="231"/>
        <v>X</v>
      </c>
      <c r="Z905" s="2" t="str">
        <f t="shared" si="232"/>
        <v>X</v>
      </c>
      <c r="AA905" s="2" t="str">
        <f t="shared" ref="AA905:AA968" si="235">IF(W905="","",CONCATENATE("(",IF(($J905-COUNTIF($X905:$Z905,"X")*8)=1,"24)",CONCATENATE(IF(($J905-COUNTIF($X905:$Z905,"X")*8)&gt;=8,32,($J905-COUNTIF($X905:$Z905,"X")*8)+24)-1," downto 24)"))))</f>
        <v>(31 downto 24)</v>
      </c>
      <c r="AB905" s="2" t="str">
        <f t="shared" ref="AB905:AB968" si="236">IF(X905="","",CONCATENATE("(",IF(($J905-COUNTIF($Y905:$Z905,"X")*8)=1,"16)",CONCATENATE(IF(($J905-COUNTIF($Y905:$Z905,"X")*8)&gt;=8,24,($J905-COUNTIF($Y905:$Z905,"X")*8)+16)-1," downto 16)"))))</f>
        <v>(23 downto 16)</v>
      </c>
      <c r="AC905" s="2" t="str">
        <f t="shared" ref="AC905:AC968" si="237">IF(Y905="","",CONCATENATE("(",IF(($J905-COUNTIF($Z905,"X")*8)=1,"8)",CONCATENATE(IF(($J905-COUNTIF($Z905,"X")*8)&gt;=8,16,($J905-COUNTIF($Z905,"X")*8)+8)-1," downto 8)"))))</f>
        <v>(15 downto 8)</v>
      </c>
      <c r="AD905" s="2" t="str">
        <f t="shared" ref="AD905:AD968" si="238">IF(Z905="","",CONCATENATE("(",IF($J905=1,"0)",CONCATENATE(IF($J905&gt;=8,8,$J905)-1," downto 0)"))))</f>
        <v>(7 downto 0)</v>
      </c>
      <c r="AE905" s="2" t="str">
        <f t="shared" ref="AE905:AE968" si="239">IF(W905="","",IF($J905&lt;=8,"",IF(($J905-COUNTIF($X905:$Z905,"X")*8)=1,CONCATENATE("(",($J905-1),")"),CONCATENATE("(",IF(($J905-COUNTIF($X905:$Z905,"X")*8)&gt;=8,COUNTIF($X905:$Z905,"X")*8+7,$J905-COUNTIF($X905:$Z905,"X")*8-1+COUNTIF($X905:$Z905,"X")*8)," downto ",COUNTIF($X905:$Z905,"X")*8,")"))))</f>
        <v>(31 downto 24)</v>
      </c>
      <c r="AF905" s="2" t="str">
        <f t="shared" ref="AF905:AF968" si="240">IF(X905="","",IF($J905&lt;=8,"",IF(($J905-COUNTIF($Y905:$Z905,"X")*8)=1,CONCATENATE("(",($J905-1),")"),CONCATENATE("(",IF(($J905-COUNTIF($Y905:$Z905,"X")*8)&gt;=8,COUNTIF($Y905:$Z905,"X")*8+7,$J905-COUNTIF($Y905:$Z905,"X")*8-1+COUNTIF($Y905:$Z905,"X")*8)," downto ",COUNTIF($Y905:$Z905,"X")*8,")"))))</f>
        <v>(23 downto 16)</v>
      </c>
      <c r="AG905" s="2" t="str">
        <f t="shared" ref="AG905:AG968" si="241">IF(Y905="","",IF($J905&lt;=8,"",IF(($J905-COUNTIF($Z905,"X")*8)=1,CONCATENATE("(",($J905-1),")"),CONCATENATE("(",IF(($J905-COUNTIF($Z905,"X")*8)&gt;=8,COUNTIF($Z905,"X")*8+7,$J905-COUNTIF($Z905,"X")*8-1+COUNTIF($Z905,"X")*8)," downto ",COUNTIF($Z905,"X")*8,")"))))</f>
        <v>(15 downto 8)</v>
      </c>
      <c r="AH905" s="2" t="str">
        <f t="shared" ref="AH905:AH968" si="242">IF(Z905="","",IF($J905&lt;=8,"",CONCATENATE("(",IF($J905&gt;=8,7,$J905-1)," downto ",0,")")))</f>
        <v>(7 downto 0)</v>
      </c>
    </row>
    <row r="906" spans="2:34" x14ac:dyDescent="0.25">
      <c r="B906" s="2" t="s">
        <v>2533</v>
      </c>
      <c r="C906" s="2" t="s">
        <v>141</v>
      </c>
      <c r="D906" s="2" t="s">
        <v>0</v>
      </c>
      <c r="E906" s="2" t="s">
        <v>130</v>
      </c>
      <c r="F906" s="2" t="s">
        <v>2534</v>
      </c>
      <c r="G906" s="2" t="s">
        <v>2535</v>
      </c>
      <c r="H906" s="2" t="s">
        <v>142</v>
      </c>
      <c r="I906" s="2" t="s">
        <v>41</v>
      </c>
      <c r="J906" s="2">
        <v>32</v>
      </c>
      <c r="K906" s="2" t="s">
        <v>132</v>
      </c>
      <c r="L906" s="2" t="s">
        <v>40</v>
      </c>
      <c r="P906" s="2" t="s">
        <v>48</v>
      </c>
      <c r="Q906" s="2">
        <f>INDEX(Tables!$C$4:$C$28,MATCH($P906,Tables!$B$4:$B$28,0))</f>
        <v>32</v>
      </c>
      <c r="R906" s="2">
        <f>INDEX(Tables!$D$4:$D$28,MATCH($P906,Tables!$B$4:$B$28,0))</f>
        <v>4</v>
      </c>
      <c r="S906" s="2">
        <f>$S905+$R905+INDEX(Tables!$N$5:$Q$8,MATCH(MOD($S905+$R905,4),Tables!$M$5:$M$8,0),MATCH($R906,Tables!$N$4:$Q$4,0))</f>
        <v>3440</v>
      </c>
      <c r="T906" s="2" t="str">
        <f t="shared" si="228"/>
        <v>0D70</v>
      </c>
      <c r="U906" s="2">
        <f t="shared" si="234"/>
        <v>860</v>
      </c>
      <c r="V906" s="2" t="str">
        <f t="shared" si="229"/>
        <v>35C</v>
      </c>
      <c r="W906" s="2" t="str">
        <f t="shared" si="230"/>
        <v>X</v>
      </c>
      <c r="X906" s="2" t="str">
        <f t="shared" si="233"/>
        <v>X</v>
      </c>
      <c r="Y906" s="2" t="str">
        <f t="shared" si="231"/>
        <v>X</v>
      </c>
      <c r="Z906" s="2" t="str">
        <f t="shared" si="232"/>
        <v>X</v>
      </c>
      <c r="AA906" s="2" t="str">
        <f t="shared" si="235"/>
        <v>(31 downto 24)</v>
      </c>
      <c r="AB906" s="2" t="str">
        <f t="shared" si="236"/>
        <v>(23 downto 16)</v>
      </c>
      <c r="AC906" s="2" t="str">
        <f t="shared" si="237"/>
        <v>(15 downto 8)</v>
      </c>
      <c r="AD906" s="2" t="str">
        <f t="shared" si="238"/>
        <v>(7 downto 0)</v>
      </c>
      <c r="AE906" s="2" t="str">
        <f t="shared" si="239"/>
        <v>(31 downto 24)</v>
      </c>
      <c r="AF906" s="2" t="str">
        <f t="shared" si="240"/>
        <v>(23 downto 16)</v>
      </c>
      <c r="AG906" s="2" t="str">
        <f t="shared" si="241"/>
        <v>(15 downto 8)</v>
      </c>
      <c r="AH906" s="2" t="str">
        <f t="shared" si="242"/>
        <v>(7 downto 0)</v>
      </c>
    </row>
    <row r="907" spans="2:34" x14ac:dyDescent="0.25">
      <c r="B907" s="2" t="s">
        <v>2536</v>
      </c>
      <c r="C907" s="2" t="s">
        <v>141</v>
      </c>
      <c r="D907" s="2" t="s">
        <v>0</v>
      </c>
      <c r="E907" s="2" t="s">
        <v>130</v>
      </c>
      <c r="F907" s="2" t="s">
        <v>2537</v>
      </c>
      <c r="G907" s="2" t="s">
        <v>2538</v>
      </c>
      <c r="H907" s="2" t="s">
        <v>142</v>
      </c>
      <c r="I907" s="2" t="s">
        <v>41</v>
      </c>
      <c r="J907" s="2">
        <v>32</v>
      </c>
      <c r="K907" s="2" t="s">
        <v>132</v>
      </c>
      <c r="L907" s="2" t="s">
        <v>40</v>
      </c>
      <c r="P907" s="2" t="s">
        <v>48</v>
      </c>
      <c r="Q907" s="2">
        <f>INDEX(Tables!$C$4:$C$28,MATCH($P907,Tables!$B$4:$B$28,0))</f>
        <v>32</v>
      </c>
      <c r="R907" s="2">
        <f>INDEX(Tables!$D$4:$D$28,MATCH($P907,Tables!$B$4:$B$28,0))</f>
        <v>4</v>
      </c>
      <c r="S907" s="2">
        <f>$S906+$R906+INDEX(Tables!$N$5:$Q$8,MATCH(MOD($S906+$R906,4),Tables!$M$5:$M$8,0),MATCH($R907,Tables!$N$4:$Q$4,0))</f>
        <v>3444</v>
      </c>
      <c r="T907" s="2" t="str">
        <f t="shared" si="228"/>
        <v>0D74</v>
      </c>
      <c r="U907" s="2">
        <f t="shared" si="234"/>
        <v>861</v>
      </c>
      <c r="V907" s="2" t="str">
        <f t="shared" si="229"/>
        <v>35D</v>
      </c>
      <c r="W907" s="2" t="str">
        <f t="shared" si="230"/>
        <v>X</v>
      </c>
      <c r="X907" s="2" t="str">
        <f t="shared" si="233"/>
        <v>X</v>
      </c>
      <c r="Y907" s="2" t="str">
        <f t="shared" si="231"/>
        <v>X</v>
      </c>
      <c r="Z907" s="2" t="str">
        <f t="shared" si="232"/>
        <v>X</v>
      </c>
      <c r="AA907" s="2" t="str">
        <f t="shared" si="235"/>
        <v>(31 downto 24)</v>
      </c>
      <c r="AB907" s="2" t="str">
        <f t="shared" si="236"/>
        <v>(23 downto 16)</v>
      </c>
      <c r="AC907" s="2" t="str">
        <f t="shared" si="237"/>
        <v>(15 downto 8)</v>
      </c>
      <c r="AD907" s="2" t="str">
        <f t="shared" si="238"/>
        <v>(7 downto 0)</v>
      </c>
      <c r="AE907" s="2" t="str">
        <f t="shared" si="239"/>
        <v>(31 downto 24)</v>
      </c>
      <c r="AF907" s="2" t="str">
        <f t="shared" si="240"/>
        <v>(23 downto 16)</v>
      </c>
      <c r="AG907" s="2" t="str">
        <f t="shared" si="241"/>
        <v>(15 downto 8)</v>
      </c>
      <c r="AH907" s="2" t="str">
        <f t="shared" si="242"/>
        <v>(7 downto 0)</v>
      </c>
    </row>
    <row r="908" spans="2:34" x14ac:dyDescent="0.25">
      <c r="B908" s="2" t="s">
        <v>2539</v>
      </c>
      <c r="C908" s="2" t="s">
        <v>141</v>
      </c>
      <c r="D908" s="2" t="s">
        <v>0</v>
      </c>
      <c r="E908" s="2" t="s">
        <v>130</v>
      </c>
      <c r="F908" s="2" t="s">
        <v>2540</v>
      </c>
      <c r="G908" s="2" t="s">
        <v>2541</v>
      </c>
      <c r="H908" s="2" t="s">
        <v>142</v>
      </c>
      <c r="I908" s="2" t="s">
        <v>41</v>
      </c>
      <c r="J908" s="2">
        <v>32</v>
      </c>
      <c r="K908" s="2" t="s">
        <v>132</v>
      </c>
      <c r="L908" s="2" t="s">
        <v>40</v>
      </c>
      <c r="P908" s="2" t="s">
        <v>48</v>
      </c>
      <c r="Q908" s="2">
        <f>INDEX(Tables!$C$4:$C$28,MATCH($P908,Tables!$B$4:$B$28,0))</f>
        <v>32</v>
      </c>
      <c r="R908" s="2">
        <f>INDEX(Tables!$D$4:$D$28,MATCH($P908,Tables!$B$4:$B$28,0))</f>
        <v>4</v>
      </c>
      <c r="S908" s="2">
        <f>$S907+$R907+INDEX(Tables!$N$5:$Q$8,MATCH(MOD($S907+$R907,4),Tables!$M$5:$M$8,0),MATCH($R908,Tables!$N$4:$Q$4,0))</f>
        <v>3448</v>
      </c>
      <c r="T908" s="2" t="str">
        <f t="shared" si="228"/>
        <v>0D78</v>
      </c>
      <c r="U908" s="2">
        <f t="shared" si="234"/>
        <v>862</v>
      </c>
      <c r="V908" s="2" t="str">
        <f t="shared" si="229"/>
        <v>35E</v>
      </c>
      <c r="W908" s="2" t="str">
        <f t="shared" si="230"/>
        <v>X</v>
      </c>
      <c r="X908" s="2" t="str">
        <f t="shared" si="233"/>
        <v>X</v>
      </c>
      <c r="Y908" s="2" t="str">
        <f t="shared" si="231"/>
        <v>X</v>
      </c>
      <c r="Z908" s="2" t="str">
        <f t="shared" si="232"/>
        <v>X</v>
      </c>
      <c r="AA908" s="2" t="str">
        <f t="shared" si="235"/>
        <v>(31 downto 24)</v>
      </c>
      <c r="AB908" s="2" t="str">
        <f t="shared" si="236"/>
        <v>(23 downto 16)</v>
      </c>
      <c r="AC908" s="2" t="str">
        <f t="shared" si="237"/>
        <v>(15 downto 8)</v>
      </c>
      <c r="AD908" s="2" t="str">
        <f t="shared" si="238"/>
        <v>(7 downto 0)</v>
      </c>
      <c r="AE908" s="2" t="str">
        <f t="shared" si="239"/>
        <v>(31 downto 24)</v>
      </c>
      <c r="AF908" s="2" t="str">
        <f t="shared" si="240"/>
        <v>(23 downto 16)</v>
      </c>
      <c r="AG908" s="2" t="str">
        <f t="shared" si="241"/>
        <v>(15 downto 8)</v>
      </c>
      <c r="AH908" s="2" t="str">
        <f t="shared" si="242"/>
        <v>(7 downto 0)</v>
      </c>
    </row>
    <row r="909" spans="2:34" x14ac:dyDescent="0.25">
      <c r="B909" s="2" t="s">
        <v>2542</v>
      </c>
      <c r="C909" s="2" t="s">
        <v>141</v>
      </c>
      <c r="D909" s="2" t="s">
        <v>0</v>
      </c>
      <c r="E909" s="2" t="s">
        <v>130</v>
      </c>
      <c r="F909" s="2" t="s">
        <v>2543</v>
      </c>
      <c r="G909" s="2" t="s">
        <v>2544</v>
      </c>
      <c r="H909" s="2" t="s">
        <v>142</v>
      </c>
      <c r="I909" s="2" t="s">
        <v>41</v>
      </c>
      <c r="J909" s="2">
        <v>32</v>
      </c>
      <c r="K909" s="2" t="s">
        <v>132</v>
      </c>
      <c r="L909" s="2" t="s">
        <v>40</v>
      </c>
      <c r="P909" s="2" t="s">
        <v>48</v>
      </c>
      <c r="Q909" s="2">
        <f>INDEX(Tables!$C$4:$C$28,MATCH($P909,Tables!$B$4:$B$28,0))</f>
        <v>32</v>
      </c>
      <c r="R909" s="2">
        <f>INDEX(Tables!$D$4:$D$28,MATCH($P909,Tables!$B$4:$B$28,0))</f>
        <v>4</v>
      </c>
      <c r="S909" s="2">
        <f>$S908+$R908+INDEX(Tables!$N$5:$Q$8,MATCH(MOD($S908+$R908,4),Tables!$M$5:$M$8,0),MATCH($R909,Tables!$N$4:$Q$4,0))</f>
        <v>3452</v>
      </c>
      <c r="T909" s="2" t="str">
        <f t="shared" si="228"/>
        <v>0D7C</v>
      </c>
      <c r="U909" s="2">
        <f t="shared" si="234"/>
        <v>863</v>
      </c>
      <c r="V909" s="2" t="str">
        <f t="shared" si="229"/>
        <v>35F</v>
      </c>
      <c r="W909" s="2" t="str">
        <f t="shared" si="230"/>
        <v>X</v>
      </c>
      <c r="X909" s="2" t="str">
        <f t="shared" si="233"/>
        <v>X</v>
      </c>
      <c r="Y909" s="2" t="str">
        <f t="shared" si="231"/>
        <v>X</v>
      </c>
      <c r="Z909" s="2" t="str">
        <f t="shared" si="232"/>
        <v>X</v>
      </c>
      <c r="AA909" s="2" t="str">
        <f t="shared" si="235"/>
        <v>(31 downto 24)</v>
      </c>
      <c r="AB909" s="2" t="str">
        <f t="shared" si="236"/>
        <v>(23 downto 16)</v>
      </c>
      <c r="AC909" s="2" t="str">
        <f t="shared" si="237"/>
        <v>(15 downto 8)</v>
      </c>
      <c r="AD909" s="2" t="str">
        <f t="shared" si="238"/>
        <v>(7 downto 0)</v>
      </c>
      <c r="AE909" s="2" t="str">
        <f t="shared" si="239"/>
        <v>(31 downto 24)</v>
      </c>
      <c r="AF909" s="2" t="str">
        <f t="shared" si="240"/>
        <v>(23 downto 16)</v>
      </c>
      <c r="AG909" s="2" t="str">
        <f t="shared" si="241"/>
        <v>(15 downto 8)</v>
      </c>
      <c r="AH909" s="2" t="str">
        <f t="shared" si="242"/>
        <v>(7 downto 0)</v>
      </c>
    </row>
    <row r="910" spans="2:34" x14ac:dyDescent="0.25">
      <c r="B910" s="2" t="s">
        <v>2545</v>
      </c>
      <c r="C910" s="2" t="s">
        <v>141</v>
      </c>
      <c r="D910" s="2" t="s">
        <v>0</v>
      </c>
      <c r="E910" s="2" t="s">
        <v>130</v>
      </c>
      <c r="F910" s="2" t="s">
        <v>2546</v>
      </c>
      <c r="G910" s="2" t="s">
        <v>2547</v>
      </c>
      <c r="H910" s="2" t="s">
        <v>142</v>
      </c>
      <c r="I910" s="2" t="s">
        <v>41</v>
      </c>
      <c r="J910" s="2">
        <v>32</v>
      </c>
      <c r="K910" s="2" t="s">
        <v>132</v>
      </c>
      <c r="L910" s="2" t="s">
        <v>40</v>
      </c>
      <c r="P910" s="2" t="s">
        <v>48</v>
      </c>
      <c r="Q910" s="2">
        <f>INDEX(Tables!$C$4:$C$28,MATCH($P910,Tables!$B$4:$B$28,0))</f>
        <v>32</v>
      </c>
      <c r="R910" s="2">
        <f>INDEX(Tables!$D$4:$D$28,MATCH($P910,Tables!$B$4:$B$28,0))</f>
        <v>4</v>
      </c>
      <c r="S910" s="2">
        <f>$S909+$R909+INDEX(Tables!$N$5:$Q$8,MATCH(MOD($S909+$R909,4),Tables!$M$5:$M$8,0),MATCH($R910,Tables!$N$4:$Q$4,0))</f>
        <v>3456</v>
      </c>
      <c r="T910" s="2" t="str">
        <f t="shared" si="228"/>
        <v>0D80</v>
      </c>
      <c r="U910" s="2">
        <f t="shared" si="234"/>
        <v>864</v>
      </c>
      <c r="V910" s="2" t="str">
        <f t="shared" si="229"/>
        <v>360</v>
      </c>
      <c r="W910" s="2" t="str">
        <f t="shared" si="230"/>
        <v>X</v>
      </c>
      <c r="X910" s="2" t="str">
        <f t="shared" si="233"/>
        <v>X</v>
      </c>
      <c r="Y910" s="2" t="str">
        <f t="shared" si="231"/>
        <v>X</v>
      </c>
      <c r="Z910" s="2" t="str">
        <f t="shared" si="232"/>
        <v>X</v>
      </c>
      <c r="AA910" s="2" t="str">
        <f t="shared" si="235"/>
        <v>(31 downto 24)</v>
      </c>
      <c r="AB910" s="2" t="str">
        <f t="shared" si="236"/>
        <v>(23 downto 16)</v>
      </c>
      <c r="AC910" s="2" t="str">
        <f t="shared" si="237"/>
        <v>(15 downto 8)</v>
      </c>
      <c r="AD910" s="2" t="str">
        <f t="shared" si="238"/>
        <v>(7 downto 0)</v>
      </c>
      <c r="AE910" s="2" t="str">
        <f t="shared" si="239"/>
        <v>(31 downto 24)</v>
      </c>
      <c r="AF910" s="2" t="str">
        <f t="shared" si="240"/>
        <v>(23 downto 16)</v>
      </c>
      <c r="AG910" s="2" t="str">
        <f t="shared" si="241"/>
        <v>(15 downto 8)</v>
      </c>
      <c r="AH910" s="2" t="str">
        <f t="shared" si="242"/>
        <v>(7 downto 0)</v>
      </c>
    </row>
    <row r="911" spans="2:34" x14ac:dyDescent="0.25">
      <c r="B911" s="2" t="s">
        <v>2548</v>
      </c>
      <c r="C911" s="2" t="s">
        <v>141</v>
      </c>
      <c r="D911" s="2" t="s">
        <v>0</v>
      </c>
      <c r="E911" s="2" t="s">
        <v>130</v>
      </c>
      <c r="F911" s="2" t="s">
        <v>2549</v>
      </c>
      <c r="G911" s="2" t="s">
        <v>2550</v>
      </c>
      <c r="H911" s="2" t="s">
        <v>142</v>
      </c>
      <c r="I911" s="2" t="s">
        <v>41</v>
      </c>
      <c r="J911" s="2">
        <v>32</v>
      </c>
      <c r="K911" s="2" t="s">
        <v>132</v>
      </c>
      <c r="L911" s="2" t="s">
        <v>40</v>
      </c>
      <c r="P911" s="2" t="s">
        <v>48</v>
      </c>
      <c r="Q911" s="2">
        <f>INDEX(Tables!$C$4:$C$28,MATCH($P911,Tables!$B$4:$B$28,0))</f>
        <v>32</v>
      </c>
      <c r="R911" s="2">
        <f>INDEX(Tables!$D$4:$D$28,MATCH($P911,Tables!$B$4:$B$28,0))</f>
        <v>4</v>
      </c>
      <c r="S911" s="2">
        <f>$S910+$R910+INDEX(Tables!$N$5:$Q$8,MATCH(MOD($S910+$R910,4),Tables!$M$5:$M$8,0),MATCH($R911,Tables!$N$4:$Q$4,0))</f>
        <v>3460</v>
      </c>
      <c r="T911" s="2" t="str">
        <f t="shared" si="228"/>
        <v>0D84</v>
      </c>
      <c r="U911" s="2">
        <f t="shared" si="234"/>
        <v>865</v>
      </c>
      <c r="V911" s="2" t="str">
        <f t="shared" si="229"/>
        <v>361</v>
      </c>
      <c r="W911" s="2" t="str">
        <f t="shared" si="230"/>
        <v>X</v>
      </c>
      <c r="X911" s="2" t="str">
        <f t="shared" si="233"/>
        <v>X</v>
      </c>
      <c r="Y911" s="2" t="str">
        <f t="shared" si="231"/>
        <v>X</v>
      </c>
      <c r="Z911" s="2" t="str">
        <f t="shared" si="232"/>
        <v>X</v>
      </c>
      <c r="AA911" s="2" t="str">
        <f t="shared" si="235"/>
        <v>(31 downto 24)</v>
      </c>
      <c r="AB911" s="2" t="str">
        <f t="shared" si="236"/>
        <v>(23 downto 16)</v>
      </c>
      <c r="AC911" s="2" t="str">
        <f t="shared" si="237"/>
        <v>(15 downto 8)</v>
      </c>
      <c r="AD911" s="2" t="str">
        <f t="shared" si="238"/>
        <v>(7 downto 0)</v>
      </c>
      <c r="AE911" s="2" t="str">
        <f t="shared" si="239"/>
        <v>(31 downto 24)</v>
      </c>
      <c r="AF911" s="2" t="str">
        <f t="shared" si="240"/>
        <v>(23 downto 16)</v>
      </c>
      <c r="AG911" s="2" t="str">
        <f t="shared" si="241"/>
        <v>(15 downto 8)</v>
      </c>
      <c r="AH911" s="2" t="str">
        <f t="shared" si="242"/>
        <v>(7 downto 0)</v>
      </c>
    </row>
    <row r="912" spans="2:34" x14ac:dyDescent="0.25">
      <c r="B912" s="2" t="s">
        <v>2551</v>
      </c>
      <c r="C912" s="2" t="s">
        <v>141</v>
      </c>
      <c r="D912" s="2" t="s">
        <v>0</v>
      </c>
      <c r="E912" s="2" t="s">
        <v>130</v>
      </c>
      <c r="F912" s="2" t="s">
        <v>2552</v>
      </c>
      <c r="G912" s="2" t="s">
        <v>2553</v>
      </c>
      <c r="H912" s="2" t="s">
        <v>142</v>
      </c>
      <c r="I912" s="2" t="s">
        <v>41</v>
      </c>
      <c r="J912" s="2">
        <v>32</v>
      </c>
      <c r="K912" s="2" t="s">
        <v>132</v>
      </c>
      <c r="L912" s="2" t="s">
        <v>40</v>
      </c>
      <c r="P912" s="2" t="s">
        <v>48</v>
      </c>
      <c r="Q912" s="2">
        <f>INDEX(Tables!$C$4:$C$28,MATCH($P912,Tables!$B$4:$B$28,0))</f>
        <v>32</v>
      </c>
      <c r="R912" s="2">
        <f>INDEX(Tables!$D$4:$D$28,MATCH($P912,Tables!$B$4:$B$28,0))</f>
        <v>4</v>
      </c>
      <c r="S912" s="2">
        <f>$S911+$R911+INDEX(Tables!$N$5:$Q$8,MATCH(MOD($S911+$R911,4),Tables!$M$5:$M$8,0),MATCH($R912,Tables!$N$4:$Q$4,0))</f>
        <v>3464</v>
      </c>
      <c r="T912" s="2" t="str">
        <f t="shared" si="228"/>
        <v>0D88</v>
      </c>
      <c r="U912" s="2">
        <f t="shared" si="234"/>
        <v>866</v>
      </c>
      <c r="V912" s="2" t="str">
        <f t="shared" si="229"/>
        <v>362</v>
      </c>
      <c r="W912" s="2" t="str">
        <f t="shared" si="230"/>
        <v>X</v>
      </c>
      <c r="X912" s="2" t="str">
        <f t="shared" si="233"/>
        <v>X</v>
      </c>
      <c r="Y912" s="2" t="str">
        <f t="shared" si="231"/>
        <v>X</v>
      </c>
      <c r="Z912" s="2" t="str">
        <f t="shared" si="232"/>
        <v>X</v>
      </c>
      <c r="AA912" s="2" t="str">
        <f t="shared" si="235"/>
        <v>(31 downto 24)</v>
      </c>
      <c r="AB912" s="2" t="str">
        <f t="shared" si="236"/>
        <v>(23 downto 16)</v>
      </c>
      <c r="AC912" s="2" t="str">
        <f t="shared" si="237"/>
        <v>(15 downto 8)</v>
      </c>
      <c r="AD912" s="2" t="str">
        <f t="shared" si="238"/>
        <v>(7 downto 0)</v>
      </c>
      <c r="AE912" s="2" t="str">
        <f t="shared" si="239"/>
        <v>(31 downto 24)</v>
      </c>
      <c r="AF912" s="2" t="str">
        <f t="shared" si="240"/>
        <v>(23 downto 16)</v>
      </c>
      <c r="AG912" s="2" t="str">
        <f t="shared" si="241"/>
        <v>(15 downto 8)</v>
      </c>
      <c r="AH912" s="2" t="str">
        <f t="shared" si="242"/>
        <v>(7 downto 0)</v>
      </c>
    </row>
    <row r="913" spans="2:34" x14ac:dyDescent="0.25">
      <c r="B913" s="2" t="s">
        <v>2554</v>
      </c>
      <c r="C913" s="2" t="s">
        <v>141</v>
      </c>
      <c r="D913" s="2" t="s">
        <v>0</v>
      </c>
      <c r="E913" s="2" t="s">
        <v>130</v>
      </c>
      <c r="F913" s="2" t="s">
        <v>2555</v>
      </c>
      <c r="G913" s="2" t="s">
        <v>2556</v>
      </c>
      <c r="H913" s="2" t="s">
        <v>142</v>
      </c>
      <c r="I913" s="2" t="s">
        <v>41</v>
      </c>
      <c r="J913" s="2">
        <v>32</v>
      </c>
      <c r="K913" s="2" t="s">
        <v>132</v>
      </c>
      <c r="L913" s="2" t="s">
        <v>40</v>
      </c>
      <c r="P913" s="2" t="s">
        <v>48</v>
      </c>
      <c r="Q913" s="2">
        <f>INDEX(Tables!$C$4:$C$28,MATCH($P913,Tables!$B$4:$B$28,0))</f>
        <v>32</v>
      </c>
      <c r="R913" s="2">
        <f>INDEX(Tables!$D$4:$D$28,MATCH($P913,Tables!$B$4:$B$28,0))</f>
        <v>4</v>
      </c>
      <c r="S913" s="2">
        <f>$S912+$R912+INDEX(Tables!$N$5:$Q$8,MATCH(MOD($S912+$R912,4),Tables!$M$5:$M$8,0),MATCH($R913,Tables!$N$4:$Q$4,0))</f>
        <v>3468</v>
      </c>
      <c r="T913" s="2" t="str">
        <f t="shared" si="228"/>
        <v>0D8C</v>
      </c>
      <c r="U913" s="2">
        <f t="shared" si="234"/>
        <v>867</v>
      </c>
      <c r="V913" s="2" t="str">
        <f t="shared" si="229"/>
        <v>363</v>
      </c>
      <c r="W913" s="2" t="str">
        <f t="shared" si="230"/>
        <v>X</v>
      </c>
      <c r="X913" s="2" t="str">
        <f t="shared" si="233"/>
        <v>X</v>
      </c>
      <c r="Y913" s="2" t="str">
        <f t="shared" si="231"/>
        <v>X</v>
      </c>
      <c r="Z913" s="2" t="str">
        <f t="shared" si="232"/>
        <v>X</v>
      </c>
      <c r="AA913" s="2" t="str">
        <f t="shared" si="235"/>
        <v>(31 downto 24)</v>
      </c>
      <c r="AB913" s="2" t="str">
        <f t="shared" si="236"/>
        <v>(23 downto 16)</v>
      </c>
      <c r="AC913" s="2" t="str">
        <f t="shared" si="237"/>
        <v>(15 downto 8)</v>
      </c>
      <c r="AD913" s="2" t="str">
        <f t="shared" si="238"/>
        <v>(7 downto 0)</v>
      </c>
      <c r="AE913" s="2" t="str">
        <f t="shared" si="239"/>
        <v>(31 downto 24)</v>
      </c>
      <c r="AF913" s="2" t="str">
        <f t="shared" si="240"/>
        <v>(23 downto 16)</v>
      </c>
      <c r="AG913" s="2" t="str">
        <f t="shared" si="241"/>
        <v>(15 downto 8)</v>
      </c>
      <c r="AH913" s="2" t="str">
        <f t="shared" si="242"/>
        <v>(7 downto 0)</v>
      </c>
    </row>
    <row r="914" spans="2:34" x14ac:dyDescent="0.25">
      <c r="B914" s="2" t="s">
        <v>2557</v>
      </c>
      <c r="C914" s="2" t="s">
        <v>141</v>
      </c>
      <c r="D914" s="2" t="s">
        <v>0</v>
      </c>
      <c r="E914" s="2" t="s">
        <v>130</v>
      </c>
      <c r="F914" s="2" t="s">
        <v>2558</v>
      </c>
      <c r="G914" s="2" t="s">
        <v>2559</v>
      </c>
      <c r="H914" s="2" t="s">
        <v>142</v>
      </c>
      <c r="I914" s="2" t="s">
        <v>41</v>
      </c>
      <c r="J914" s="2">
        <v>32</v>
      </c>
      <c r="K914" s="2" t="s">
        <v>132</v>
      </c>
      <c r="L914" s="2" t="s">
        <v>40</v>
      </c>
      <c r="P914" s="2" t="s">
        <v>48</v>
      </c>
      <c r="Q914" s="2">
        <f>INDEX(Tables!$C$4:$C$28,MATCH($P914,Tables!$B$4:$B$28,0))</f>
        <v>32</v>
      </c>
      <c r="R914" s="2">
        <f>INDEX(Tables!$D$4:$D$28,MATCH($P914,Tables!$B$4:$B$28,0))</f>
        <v>4</v>
      </c>
      <c r="S914" s="2">
        <f>$S913+$R913+INDEX(Tables!$N$5:$Q$8,MATCH(MOD($S913+$R913,4),Tables!$M$5:$M$8,0),MATCH($R914,Tables!$N$4:$Q$4,0))</f>
        <v>3472</v>
      </c>
      <c r="T914" s="2" t="str">
        <f t="shared" si="228"/>
        <v>0D90</v>
      </c>
      <c r="U914" s="2">
        <f t="shared" si="234"/>
        <v>868</v>
      </c>
      <c r="V914" s="2" t="str">
        <f t="shared" si="229"/>
        <v>364</v>
      </c>
      <c r="W914" s="2" t="str">
        <f t="shared" si="230"/>
        <v>X</v>
      </c>
      <c r="X914" s="2" t="str">
        <f t="shared" si="233"/>
        <v>X</v>
      </c>
      <c r="Y914" s="2" t="str">
        <f t="shared" si="231"/>
        <v>X</v>
      </c>
      <c r="Z914" s="2" t="str">
        <f t="shared" si="232"/>
        <v>X</v>
      </c>
      <c r="AA914" s="2" t="str">
        <f t="shared" si="235"/>
        <v>(31 downto 24)</v>
      </c>
      <c r="AB914" s="2" t="str">
        <f t="shared" si="236"/>
        <v>(23 downto 16)</v>
      </c>
      <c r="AC914" s="2" t="str">
        <f t="shared" si="237"/>
        <v>(15 downto 8)</v>
      </c>
      <c r="AD914" s="2" t="str">
        <f t="shared" si="238"/>
        <v>(7 downto 0)</v>
      </c>
      <c r="AE914" s="2" t="str">
        <f t="shared" si="239"/>
        <v>(31 downto 24)</v>
      </c>
      <c r="AF914" s="2" t="str">
        <f t="shared" si="240"/>
        <v>(23 downto 16)</v>
      </c>
      <c r="AG914" s="2" t="str">
        <f t="shared" si="241"/>
        <v>(15 downto 8)</v>
      </c>
      <c r="AH914" s="2" t="str">
        <f t="shared" si="242"/>
        <v>(7 downto 0)</v>
      </c>
    </row>
    <row r="915" spans="2:34" x14ac:dyDescent="0.25">
      <c r="B915" s="2" t="s">
        <v>2560</v>
      </c>
      <c r="C915" s="2" t="s">
        <v>141</v>
      </c>
      <c r="D915" s="2" t="s">
        <v>0</v>
      </c>
      <c r="E915" s="2" t="s">
        <v>130</v>
      </c>
      <c r="F915" s="2" t="s">
        <v>2561</v>
      </c>
      <c r="G915" s="2" t="s">
        <v>2562</v>
      </c>
      <c r="H915" s="2" t="s">
        <v>142</v>
      </c>
      <c r="I915" s="2" t="s">
        <v>41</v>
      </c>
      <c r="J915" s="2">
        <v>32</v>
      </c>
      <c r="K915" s="2" t="s">
        <v>132</v>
      </c>
      <c r="L915" s="2" t="s">
        <v>40</v>
      </c>
      <c r="P915" s="2" t="s">
        <v>48</v>
      </c>
      <c r="Q915" s="2">
        <f>INDEX(Tables!$C$4:$C$28,MATCH($P915,Tables!$B$4:$B$28,0))</f>
        <v>32</v>
      </c>
      <c r="R915" s="2">
        <f>INDEX(Tables!$D$4:$D$28,MATCH($P915,Tables!$B$4:$B$28,0))</f>
        <v>4</v>
      </c>
      <c r="S915" s="2">
        <f>$S914+$R914+INDEX(Tables!$N$5:$Q$8,MATCH(MOD($S914+$R914,4),Tables!$M$5:$M$8,0),MATCH($R915,Tables!$N$4:$Q$4,0))</f>
        <v>3476</v>
      </c>
      <c r="T915" s="2" t="str">
        <f t="shared" si="228"/>
        <v>0D94</v>
      </c>
      <c r="U915" s="2">
        <f t="shared" si="234"/>
        <v>869</v>
      </c>
      <c r="V915" s="2" t="str">
        <f t="shared" si="229"/>
        <v>365</v>
      </c>
      <c r="W915" s="2" t="str">
        <f t="shared" si="230"/>
        <v>X</v>
      </c>
      <c r="X915" s="2" t="str">
        <f t="shared" si="233"/>
        <v>X</v>
      </c>
      <c r="Y915" s="2" t="str">
        <f t="shared" si="231"/>
        <v>X</v>
      </c>
      <c r="Z915" s="2" t="str">
        <f t="shared" si="232"/>
        <v>X</v>
      </c>
      <c r="AA915" s="2" t="str">
        <f t="shared" si="235"/>
        <v>(31 downto 24)</v>
      </c>
      <c r="AB915" s="2" t="str">
        <f t="shared" si="236"/>
        <v>(23 downto 16)</v>
      </c>
      <c r="AC915" s="2" t="str">
        <f t="shared" si="237"/>
        <v>(15 downto 8)</v>
      </c>
      <c r="AD915" s="2" t="str">
        <f t="shared" si="238"/>
        <v>(7 downto 0)</v>
      </c>
      <c r="AE915" s="2" t="str">
        <f t="shared" si="239"/>
        <v>(31 downto 24)</v>
      </c>
      <c r="AF915" s="2" t="str">
        <f t="shared" si="240"/>
        <v>(23 downto 16)</v>
      </c>
      <c r="AG915" s="2" t="str">
        <f t="shared" si="241"/>
        <v>(15 downto 8)</v>
      </c>
      <c r="AH915" s="2" t="str">
        <f t="shared" si="242"/>
        <v>(7 downto 0)</v>
      </c>
    </row>
    <row r="916" spans="2:34" x14ac:dyDescent="0.25">
      <c r="B916" s="2" t="s">
        <v>2563</v>
      </c>
      <c r="C916" s="2" t="s">
        <v>141</v>
      </c>
      <c r="D916" s="2" t="s">
        <v>0</v>
      </c>
      <c r="E916" s="2" t="s">
        <v>130</v>
      </c>
      <c r="F916" s="2" t="s">
        <v>2564</v>
      </c>
      <c r="G916" s="2" t="s">
        <v>2565</v>
      </c>
      <c r="H916" s="2" t="s">
        <v>142</v>
      </c>
      <c r="I916" s="2" t="s">
        <v>41</v>
      </c>
      <c r="J916" s="2">
        <v>32</v>
      </c>
      <c r="K916" s="2" t="s">
        <v>132</v>
      </c>
      <c r="L916" s="2" t="s">
        <v>40</v>
      </c>
      <c r="P916" s="2" t="s">
        <v>48</v>
      </c>
      <c r="Q916" s="2">
        <f>INDEX(Tables!$C$4:$C$28,MATCH($P916,Tables!$B$4:$B$28,0))</f>
        <v>32</v>
      </c>
      <c r="R916" s="2">
        <f>INDEX(Tables!$D$4:$D$28,MATCH($P916,Tables!$B$4:$B$28,0))</f>
        <v>4</v>
      </c>
      <c r="S916" s="2">
        <f>$S915+$R915+INDEX(Tables!$N$5:$Q$8,MATCH(MOD($S915+$R915,4),Tables!$M$5:$M$8,0),MATCH($R916,Tables!$N$4:$Q$4,0))</f>
        <v>3480</v>
      </c>
      <c r="T916" s="2" t="str">
        <f t="shared" si="228"/>
        <v>0D98</v>
      </c>
      <c r="U916" s="2">
        <f t="shared" si="234"/>
        <v>870</v>
      </c>
      <c r="V916" s="2" t="str">
        <f t="shared" si="229"/>
        <v>366</v>
      </c>
      <c r="W916" s="2" t="str">
        <f t="shared" si="230"/>
        <v>X</v>
      </c>
      <c r="X916" s="2" t="str">
        <f t="shared" si="233"/>
        <v>X</v>
      </c>
      <c r="Y916" s="2" t="str">
        <f t="shared" si="231"/>
        <v>X</v>
      </c>
      <c r="Z916" s="2" t="str">
        <f t="shared" si="232"/>
        <v>X</v>
      </c>
      <c r="AA916" s="2" t="str">
        <f t="shared" si="235"/>
        <v>(31 downto 24)</v>
      </c>
      <c r="AB916" s="2" t="str">
        <f t="shared" si="236"/>
        <v>(23 downto 16)</v>
      </c>
      <c r="AC916" s="2" t="str">
        <f t="shared" si="237"/>
        <v>(15 downto 8)</v>
      </c>
      <c r="AD916" s="2" t="str">
        <f t="shared" si="238"/>
        <v>(7 downto 0)</v>
      </c>
      <c r="AE916" s="2" t="str">
        <f t="shared" si="239"/>
        <v>(31 downto 24)</v>
      </c>
      <c r="AF916" s="2" t="str">
        <f t="shared" si="240"/>
        <v>(23 downto 16)</v>
      </c>
      <c r="AG916" s="2" t="str">
        <f t="shared" si="241"/>
        <v>(15 downto 8)</v>
      </c>
      <c r="AH916" s="2" t="str">
        <f t="shared" si="242"/>
        <v>(7 downto 0)</v>
      </c>
    </row>
    <row r="917" spans="2:34" x14ac:dyDescent="0.25">
      <c r="B917" s="2" t="s">
        <v>2566</v>
      </c>
      <c r="C917" s="2" t="s">
        <v>141</v>
      </c>
      <c r="D917" s="2" t="s">
        <v>0</v>
      </c>
      <c r="E917" s="2" t="s">
        <v>130</v>
      </c>
      <c r="F917" s="2" t="s">
        <v>2567</v>
      </c>
      <c r="G917" s="2" t="s">
        <v>2568</v>
      </c>
      <c r="H917" s="2" t="s">
        <v>142</v>
      </c>
      <c r="I917" s="2" t="s">
        <v>41</v>
      </c>
      <c r="J917" s="2">
        <v>32</v>
      </c>
      <c r="K917" s="2" t="s">
        <v>132</v>
      </c>
      <c r="L917" s="2" t="s">
        <v>40</v>
      </c>
      <c r="P917" s="2" t="s">
        <v>48</v>
      </c>
      <c r="Q917" s="2">
        <f>INDEX(Tables!$C$4:$C$28,MATCH($P917,Tables!$B$4:$B$28,0))</f>
        <v>32</v>
      </c>
      <c r="R917" s="2">
        <f>INDEX(Tables!$D$4:$D$28,MATCH($P917,Tables!$B$4:$B$28,0))</f>
        <v>4</v>
      </c>
      <c r="S917" s="2">
        <f>$S916+$R916+INDEX(Tables!$N$5:$Q$8,MATCH(MOD($S916+$R916,4),Tables!$M$5:$M$8,0),MATCH($R917,Tables!$N$4:$Q$4,0))</f>
        <v>3484</v>
      </c>
      <c r="T917" s="2" t="str">
        <f t="shared" si="228"/>
        <v>0D9C</v>
      </c>
      <c r="U917" s="2">
        <f t="shared" si="234"/>
        <v>871</v>
      </c>
      <c r="V917" s="2" t="str">
        <f t="shared" si="229"/>
        <v>367</v>
      </c>
      <c r="W917" s="2" t="str">
        <f t="shared" si="230"/>
        <v>X</v>
      </c>
      <c r="X917" s="2" t="str">
        <f t="shared" si="233"/>
        <v>X</v>
      </c>
      <c r="Y917" s="2" t="str">
        <f t="shared" si="231"/>
        <v>X</v>
      </c>
      <c r="Z917" s="2" t="str">
        <f t="shared" si="232"/>
        <v>X</v>
      </c>
      <c r="AA917" s="2" t="str">
        <f t="shared" si="235"/>
        <v>(31 downto 24)</v>
      </c>
      <c r="AB917" s="2" t="str">
        <f t="shared" si="236"/>
        <v>(23 downto 16)</v>
      </c>
      <c r="AC917" s="2" t="str">
        <f t="shared" si="237"/>
        <v>(15 downto 8)</v>
      </c>
      <c r="AD917" s="2" t="str">
        <f t="shared" si="238"/>
        <v>(7 downto 0)</v>
      </c>
      <c r="AE917" s="2" t="str">
        <f t="shared" si="239"/>
        <v>(31 downto 24)</v>
      </c>
      <c r="AF917" s="2" t="str">
        <f t="shared" si="240"/>
        <v>(23 downto 16)</v>
      </c>
      <c r="AG917" s="2" t="str">
        <f t="shared" si="241"/>
        <v>(15 downto 8)</v>
      </c>
      <c r="AH917" s="2" t="str">
        <f t="shared" si="242"/>
        <v>(7 downto 0)</v>
      </c>
    </row>
    <row r="918" spans="2:34" x14ac:dyDescent="0.25">
      <c r="B918" s="2" t="s">
        <v>2569</v>
      </c>
      <c r="C918" s="2" t="s">
        <v>141</v>
      </c>
      <c r="D918" s="2" t="s">
        <v>0</v>
      </c>
      <c r="E918" s="2" t="s">
        <v>130</v>
      </c>
      <c r="F918" s="2" t="s">
        <v>2570</v>
      </c>
      <c r="G918" s="2" t="s">
        <v>2571</v>
      </c>
      <c r="H918" s="2" t="s">
        <v>142</v>
      </c>
      <c r="I918" s="2" t="s">
        <v>41</v>
      </c>
      <c r="J918" s="2">
        <v>32</v>
      </c>
      <c r="K918" s="2" t="s">
        <v>132</v>
      </c>
      <c r="L918" s="2" t="s">
        <v>40</v>
      </c>
      <c r="P918" s="2" t="s">
        <v>48</v>
      </c>
      <c r="Q918" s="2">
        <f>INDEX(Tables!$C$4:$C$28,MATCH($P918,Tables!$B$4:$B$28,0))</f>
        <v>32</v>
      </c>
      <c r="R918" s="2">
        <f>INDEX(Tables!$D$4:$D$28,MATCH($P918,Tables!$B$4:$B$28,0))</f>
        <v>4</v>
      </c>
      <c r="S918" s="2">
        <f>$S917+$R917+INDEX(Tables!$N$5:$Q$8,MATCH(MOD($S917+$R917,4),Tables!$M$5:$M$8,0),MATCH($R918,Tables!$N$4:$Q$4,0))</f>
        <v>3488</v>
      </c>
      <c r="T918" s="2" t="str">
        <f t="shared" si="228"/>
        <v>0DA0</v>
      </c>
      <c r="U918" s="2">
        <f t="shared" si="234"/>
        <v>872</v>
      </c>
      <c r="V918" s="2" t="str">
        <f t="shared" si="229"/>
        <v>368</v>
      </c>
      <c r="W918" s="2" t="str">
        <f t="shared" si="230"/>
        <v>X</v>
      </c>
      <c r="X918" s="2" t="str">
        <f t="shared" si="233"/>
        <v>X</v>
      </c>
      <c r="Y918" s="2" t="str">
        <f t="shared" si="231"/>
        <v>X</v>
      </c>
      <c r="Z918" s="2" t="str">
        <f t="shared" si="232"/>
        <v>X</v>
      </c>
      <c r="AA918" s="2" t="str">
        <f t="shared" si="235"/>
        <v>(31 downto 24)</v>
      </c>
      <c r="AB918" s="2" t="str">
        <f t="shared" si="236"/>
        <v>(23 downto 16)</v>
      </c>
      <c r="AC918" s="2" t="str">
        <f t="shared" si="237"/>
        <v>(15 downto 8)</v>
      </c>
      <c r="AD918" s="2" t="str">
        <f t="shared" si="238"/>
        <v>(7 downto 0)</v>
      </c>
      <c r="AE918" s="2" t="str">
        <f t="shared" si="239"/>
        <v>(31 downto 24)</v>
      </c>
      <c r="AF918" s="2" t="str">
        <f t="shared" si="240"/>
        <v>(23 downto 16)</v>
      </c>
      <c r="AG918" s="2" t="str">
        <f t="shared" si="241"/>
        <v>(15 downto 8)</v>
      </c>
      <c r="AH918" s="2" t="str">
        <f t="shared" si="242"/>
        <v>(7 downto 0)</v>
      </c>
    </row>
    <row r="919" spans="2:34" x14ac:dyDescent="0.25">
      <c r="B919" s="2" t="s">
        <v>2572</v>
      </c>
      <c r="C919" s="2" t="s">
        <v>141</v>
      </c>
      <c r="D919" s="2" t="s">
        <v>0</v>
      </c>
      <c r="E919" s="2" t="s">
        <v>130</v>
      </c>
      <c r="F919" s="2" t="s">
        <v>2573</v>
      </c>
      <c r="G919" s="2" t="s">
        <v>2574</v>
      </c>
      <c r="H919" s="2" t="s">
        <v>142</v>
      </c>
      <c r="I919" s="2" t="s">
        <v>41</v>
      </c>
      <c r="J919" s="2">
        <v>32</v>
      </c>
      <c r="K919" s="2" t="s">
        <v>132</v>
      </c>
      <c r="L919" s="2" t="s">
        <v>40</v>
      </c>
      <c r="P919" s="2" t="s">
        <v>48</v>
      </c>
      <c r="Q919" s="2">
        <f>INDEX(Tables!$C$4:$C$28,MATCH($P919,Tables!$B$4:$B$28,0))</f>
        <v>32</v>
      </c>
      <c r="R919" s="2">
        <f>INDEX(Tables!$D$4:$D$28,MATCH($P919,Tables!$B$4:$B$28,0))</f>
        <v>4</v>
      </c>
      <c r="S919" s="2">
        <f>$S918+$R918+INDEX(Tables!$N$5:$Q$8,MATCH(MOD($S918+$R918,4),Tables!$M$5:$M$8,0),MATCH($R919,Tables!$N$4:$Q$4,0))</f>
        <v>3492</v>
      </c>
      <c r="T919" s="2" t="str">
        <f t="shared" si="228"/>
        <v>0DA4</v>
      </c>
      <c r="U919" s="2">
        <f t="shared" si="234"/>
        <v>873</v>
      </c>
      <c r="V919" s="2" t="str">
        <f t="shared" si="229"/>
        <v>369</v>
      </c>
      <c r="W919" s="2" t="str">
        <f t="shared" si="230"/>
        <v>X</v>
      </c>
      <c r="X919" s="2" t="str">
        <f t="shared" si="233"/>
        <v>X</v>
      </c>
      <c r="Y919" s="2" t="str">
        <f t="shared" si="231"/>
        <v>X</v>
      </c>
      <c r="Z919" s="2" t="str">
        <f t="shared" si="232"/>
        <v>X</v>
      </c>
      <c r="AA919" s="2" t="str">
        <f t="shared" si="235"/>
        <v>(31 downto 24)</v>
      </c>
      <c r="AB919" s="2" t="str">
        <f t="shared" si="236"/>
        <v>(23 downto 16)</v>
      </c>
      <c r="AC919" s="2" t="str">
        <f t="shared" si="237"/>
        <v>(15 downto 8)</v>
      </c>
      <c r="AD919" s="2" t="str">
        <f t="shared" si="238"/>
        <v>(7 downto 0)</v>
      </c>
      <c r="AE919" s="2" t="str">
        <f t="shared" si="239"/>
        <v>(31 downto 24)</v>
      </c>
      <c r="AF919" s="2" t="str">
        <f t="shared" si="240"/>
        <v>(23 downto 16)</v>
      </c>
      <c r="AG919" s="2" t="str">
        <f t="shared" si="241"/>
        <v>(15 downto 8)</v>
      </c>
      <c r="AH919" s="2" t="str">
        <f t="shared" si="242"/>
        <v>(7 downto 0)</v>
      </c>
    </row>
    <row r="920" spans="2:34" x14ac:dyDescent="0.25">
      <c r="B920" s="2" t="s">
        <v>2575</v>
      </c>
      <c r="C920" s="2" t="s">
        <v>141</v>
      </c>
      <c r="D920" s="2" t="s">
        <v>0</v>
      </c>
      <c r="E920" s="2" t="s">
        <v>130</v>
      </c>
      <c r="F920" s="2" t="s">
        <v>2576</v>
      </c>
      <c r="G920" s="2" t="s">
        <v>2577</v>
      </c>
      <c r="H920" s="2" t="s">
        <v>142</v>
      </c>
      <c r="I920" s="2" t="s">
        <v>41</v>
      </c>
      <c r="J920" s="2">
        <v>32</v>
      </c>
      <c r="K920" s="2" t="s">
        <v>132</v>
      </c>
      <c r="L920" s="2" t="s">
        <v>40</v>
      </c>
      <c r="P920" s="2" t="s">
        <v>48</v>
      </c>
      <c r="Q920" s="2">
        <f>INDEX(Tables!$C$4:$C$28,MATCH($P920,Tables!$B$4:$B$28,0))</f>
        <v>32</v>
      </c>
      <c r="R920" s="2">
        <f>INDEX(Tables!$D$4:$D$28,MATCH($P920,Tables!$B$4:$B$28,0))</f>
        <v>4</v>
      </c>
      <c r="S920" s="2">
        <f>$S919+$R919+INDEX(Tables!$N$5:$Q$8,MATCH(MOD($S919+$R919,4),Tables!$M$5:$M$8,0),MATCH($R920,Tables!$N$4:$Q$4,0))</f>
        <v>3496</v>
      </c>
      <c r="T920" s="2" t="str">
        <f t="shared" si="228"/>
        <v>0DA8</v>
      </c>
      <c r="U920" s="2">
        <f t="shared" si="234"/>
        <v>874</v>
      </c>
      <c r="V920" s="2" t="str">
        <f t="shared" si="229"/>
        <v>36A</v>
      </c>
      <c r="W920" s="2" t="str">
        <f t="shared" si="230"/>
        <v>X</v>
      </c>
      <c r="X920" s="2" t="str">
        <f t="shared" si="233"/>
        <v>X</v>
      </c>
      <c r="Y920" s="2" t="str">
        <f t="shared" si="231"/>
        <v>X</v>
      </c>
      <c r="Z920" s="2" t="str">
        <f t="shared" si="232"/>
        <v>X</v>
      </c>
      <c r="AA920" s="2" t="str">
        <f t="shared" si="235"/>
        <v>(31 downto 24)</v>
      </c>
      <c r="AB920" s="2" t="str">
        <f t="shared" si="236"/>
        <v>(23 downto 16)</v>
      </c>
      <c r="AC920" s="2" t="str">
        <f t="shared" si="237"/>
        <v>(15 downto 8)</v>
      </c>
      <c r="AD920" s="2" t="str">
        <f t="shared" si="238"/>
        <v>(7 downto 0)</v>
      </c>
      <c r="AE920" s="2" t="str">
        <f t="shared" si="239"/>
        <v>(31 downto 24)</v>
      </c>
      <c r="AF920" s="2" t="str">
        <f t="shared" si="240"/>
        <v>(23 downto 16)</v>
      </c>
      <c r="AG920" s="2" t="str">
        <f t="shared" si="241"/>
        <v>(15 downto 8)</v>
      </c>
      <c r="AH920" s="2" t="str">
        <f t="shared" si="242"/>
        <v>(7 downto 0)</v>
      </c>
    </row>
    <row r="921" spans="2:34" x14ac:dyDescent="0.25">
      <c r="B921" s="2" t="s">
        <v>2578</v>
      </c>
      <c r="C921" s="2" t="s">
        <v>141</v>
      </c>
      <c r="D921" s="2" t="s">
        <v>0</v>
      </c>
      <c r="E921" s="2" t="s">
        <v>130</v>
      </c>
      <c r="F921" s="2" t="s">
        <v>2579</v>
      </c>
      <c r="G921" s="2" t="s">
        <v>2580</v>
      </c>
      <c r="H921" s="2" t="s">
        <v>142</v>
      </c>
      <c r="I921" s="2" t="s">
        <v>41</v>
      </c>
      <c r="J921" s="2">
        <v>32</v>
      </c>
      <c r="K921" s="2" t="s">
        <v>132</v>
      </c>
      <c r="L921" s="2" t="s">
        <v>40</v>
      </c>
      <c r="P921" s="2" t="s">
        <v>48</v>
      </c>
      <c r="Q921" s="2">
        <f>INDEX(Tables!$C$4:$C$28,MATCH($P921,Tables!$B$4:$B$28,0))</f>
        <v>32</v>
      </c>
      <c r="R921" s="2">
        <f>INDEX(Tables!$D$4:$D$28,MATCH($P921,Tables!$B$4:$B$28,0))</f>
        <v>4</v>
      </c>
      <c r="S921" s="2">
        <f>$S920+$R920+INDEX(Tables!$N$5:$Q$8,MATCH(MOD($S920+$R920,4),Tables!$M$5:$M$8,0),MATCH($R921,Tables!$N$4:$Q$4,0))</f>
        <v>3500</v>
      </c>
      <c r="T921" s="2" t="str">
        <f t="shared" si="228"/>
        <v>0DAC</v>
      </c>
      <c r="U921" s="2">
        <f t="shared" si="234"/>
        <v>875</v>
      </c>
      <c r="V921" s="2" t="str">
        <f t="shared" si="229"/>
        <v>36B</v>
      </c>
      <c r="W921" s="2" t="str">
        <f t="shared" si="230"/>
        <v>X</v>
      </c>
      <c r="X921" s="2" t="str">
        <f t="shared" si="233"/>
        <v>X</v>
      </c>
      <c r="Y921" s="2" t="str">
        <f t="shared" si="231"/>
        <v>X</v>
      </c>
      <c r="Z921" s="2" t="str">
        <f t="shared" si="232"/>
        <v>X</v>
      </c>
      <c r="AA921" s="2" t="str">
        <f t="shared" si="235"/>
        <v>(31 downto 24)</v>
      </c>
      <c r="AB921" s="2" t="str">
        <f t="shared" si="236"/>
        <v>(23 downto 16)</v>
      </c>
      <c r="AC921" s="2" t="str">
        <f t="shared" si="237"/>
        <v>(15 downto 8)</v>
      </c>
      <c r="AD921" s="2" t="str">
        <f t="shared" si="238"/>
        <v>(7 downto 0)</v>
      </c>
      <c r="AE921" s="2" t="str">
        <f t="shared" si="239"/>
        <v>(31 downto 24)</v>
      </c>
      <c r="AF921" s="2" t="str">
        <f t="shared" si="240"/>
        <v>(23 downto 16)</v>
      </c>
      <c r="AG921" s="2" t="str">
        <f t="shared" si="241"/>
        <v>(15 downto 8)</v>
      </c>
      <c r="AH921" s="2" t="str">
        <f t="shared" si="242"/>
        <v>(7 downto 0)</v>
      </c>
    </row>
    <row r="922" spans="2:34" x14ac:dyDescent="0.25">
      <c r="B922" s="2" t="s">
        <v>2581</v>
      </c>
      <c r="C922" s="2" t="s">
        <v>141</v>
      </c>
      <c r="D922" s="2" t="s">
        <v>0</v>
      </c>
      <c r="E922" s="2" t="s">
        <v>130</v>
      </c>
      <c r="F922" s="2" t="s">
        <v>2582</v>
      </c>
      <c r="G922" s="2" t="s">
        <v>2583</v>
      </c>
      <c r="H922" s="2" t="s">
        <v>142</v>
      </c>
      <c r="I922" s="2" t="s">
        <v>41</v>
      </c>
      <c r="J922" s="2">
        <v>32</v>
      </c>
      <c r="K922" s="2" t="s">
        <v>132</v>
      </c>
      <c r="L922" s="2" t="s">
        <v>40</v>
      </c>
      <c r="P922" s="2" t="s">
        <v>48</v>
      </c>
      <c r="Q922" s="2">
        <f>INDEX(Tables!$C$4:$C$28,MATCH($P922,Tables!$B$4:$B$28,0))</f>
        <v>32</v>
      </c>
      <c r="R922" s="2">
        <f>INDEX(Tables!$D$4:$D$28,MATCH($P922,Tables!$B$4:$B$28,0))</f>
        <v>4</v>
      </c>
      <c r="S922" s="2">
        <f>$S921+$R921+INDEX(Tables!$N$5:$Q$8,MATCH(MOD($S921+$R921,4),Tables!$M$5:$M$8,0),MATCH($R922,Tables!$N$4:$Q$4,0))</f>
        <v>3504</v>
      </c>
      <c r="T922" s="2" t="str">
        <f t="shared" si="228"/>
        <v>0DB0</v>
      </c>
      <c r="U922" s="2">
        <f t="shared" si="234"/>
        <v>876</v>
      </c>
      <c r="V922" s="2" t="str">
        <f t="shared" si="229"/>
        <v>36C</v>
      </c>
      <c r="W922" s="2" t="str">
        <f t="shared" si="230"/>
        <v>X</v>
      </c>
      <c r="X922" s="2" t="str">
        <f t="shared" si="233"/>
        <v>X</v>
      </c>
      <c r="Y922" s="2" t="str">
        <f t="shared" si="231"/>
        <v>X</v>
      </c>
      <c r="Z922" s="2" t="str">
        <f t="shared" si="232"/>
        <v>X</v>
      </c>
      <c r="AA922" s="2" t="str">
        <f t="shared" si="235"/>
        <v>(31 downto 24)</v>
      </c>
      <c r="AB922" s="2" t="str">
        <f t="shared" si="236"/>
        <v>(23 downto 16)</v>
      </c>
      <c r="AC922" s="2" t="str">
        <f t="shared" si="237"/>
        <v>(15 downto 8)</v>
      </c>
      <c r="AD922" s="2" t="str">
        <f t="shared" si="238"/>
        <v>(7 downto 0)</v>
      </c>
      <c r="AE922" s="2" t="str">
        <f t="shared" si="239"/>
        <v>(31 downto 24)</v>
      </c>
      <c r="AF922" s="2" t="str">
        <f t="shared" si="240"/>
        <v>(23 downto 16)</v>
      </c>
      <c r="AG922" s="2" t="str">
        <f t="shared" si="241"/>
        <v>(15 downto 8)</v>
      </c>
      <c r="AH922" s="2" t="str">
        <f t="shared" si="242"/>
        <v>(7 downto 0)</v>
      </c>
    </row>
    <row r="923" spans="2:34" x14ac:dyDescent="0.25">
      <c r="B923" s="2" t="s">
        <v>2584</v>
      </c>
      <c r="C923" s="2" t="s">
        <v>141</v>
      </c>
      <c r="D923" s="2" t="s">
        <v>0</v>
      </c>
      <c r="E923" s="2" t="s">
        <v>130</v>
      </c>
      <c r="F923" s="2" t="s">
        <v>2585</v>
      </c>
      <c r="G923" s="2" t="s">
        <v>2586</v>
      </c>
      <c r="H923" s="2" t="s">
        <v>142</v>
      </c>
      <c r="I923" s="2" t="s">
        <v>41</v>
      </c>
      <c r="J923" s="2">
        <v>32</v>
      </c>
      <c r="K923" s="2" t="s">
        <v>132</v>
      </c>
      <c r="L923" s="2" t="s">
        <v>40</v>
      </c>
      <c r="P923" s="2" t="s">
        <v>48</v>
      </c>
      <c r="Q923" s="2">
        <f>INDEX(Tables!$C$4:$C$28,MATCH($P923,Tables!$B$4:$B$28,0))</f>
        <v>32</v>
      </c>
      <c r="R923" s="2">
        <f>INDEX(Tables!$D$4:$D$28,MATCH($P923,Tables!$B$4:$B$28,0))</f>
        <v>4</v>
      </c>
      <c r="S923" s="2">
        <f>$S922+$R922+INDEX(Tables!$N$5:$Q$8,MATCH(MOD($S922+$R922,4),Tables!$M$5:$M$8,0),MATCH($R923,Tables!$N$4:$Q$4,0))</f>
        <v>3508</v>
      </c>
      <c r="T923" s="2" t="str">
        <f t="shared" si="228"/>
        <v>0DB4</v>
      </c>
      <c r="U923" s="2">
        <f t="shared" si="234"/>
        <v>877</v>
      </c>
      <c r="V923" s="2" t="str">
        <f t="shared" si="229"/>
        <v>36D</v>
      </c>
      <c r="W923" s="2" t="str">
        <f t="shared" si="230"/>
        <v>X</v>
      </c>
      <c r="X923" s="2" t="str">
        <f t="shared" si="233"/>
        <v>X</v>
      </c>
      <c r="Y923" s="2" t="str">
        <f t="shared" si="231"/>
        <v>X</v>
      </c>
      <c r="Z923" s="2" t="str">
        <f t="shared" si="232"/>
        <v>X</v>
      </c>
      <c r="AA923" s="2" t="str">
        <f t="shared" si="235"/>
        <v>(31 downto 24)</v>
      </c>
      <c r="AB923" s="2" t="str">
        <f t="shared" si="236"/>
        <v>(23 downto 16)</v>
      </c>
      <c r="AC923" s="2" t="str">
        <f t="shared" si="237"/>
        <v>(15 downto 8)</v>
      </c>
      <c r="AD923" s="2" t="str">
        <f t="shared" si="238"/>
        <v>(7 downto 0)</v>
      </c>
      <c r="AE923" s="2" t="str">
        <f t="shared" si="239"/>
        <v>(31 downto 24)</v>
      </c>
      <c r="AF923" s="2" t="str">
        <f t="shared" si="240"/>
        <v>(23 downto 16)</v>
      </c>
      <c r="AG923" s="2" t="str">
        <f t="shared" si="241"/>
        <v>(15 downto 8)</v>
      </c>
      <c r="AH923" s="2" t="str">
        <f t="shared" si="242"/>
        <v>(7 downto 0)</v>
      </c>
    </row>
    <row r="924" spans="2:34" x14ac:dyDescent="0.25">
      <c r="B924" s="2" t="s">
        <v>2587</v>
      </c>
      <c r="C924" s="2" t="s">
        <v>141</v>
      </c>
      <c r="D924" s="2" t="s">
        <v>0</v>
      </c>
      <c r="E924" s="2" t="s">
        <v>130</v>
      </c>
      <c r="F924" s="2" t="s">
        <v>2588</v>
      </c>
      <c r="G924" s="2" t="s">
        <v>2589</v>
      </c>
      <c r="H924" s="2" t="s">
        <v>142</v>
      </c>
      <c r="I924" s="2" t="s">
        <v>41</v>
      </c>
      <c r="J924" s="2">
        <v>32</v>
      </c>
      <c r="K924" s="2" t="s">
        <v>132</v>
      </c>
      <c r="L924" s="2" t="s">
        <v>40</v>
      </c>
      <c r="P924" s="2" t="s">
        <v>48</v>
      </c>
      <c r="Q924" s="2">
        <f>INDEX(Tables!$C$4:$C$28,MATCH($P924,Tables!$B$4:$B$28,0))</f>
        <v>32</v>
      </c>
      <c r="R924" s="2">
        <f>INDEX(Tables!$D$4:$D$28,MATCH($P924,Tables!$B$4:$B$28,0))</f>
        <v>4</v>
      </c>
      <c r="S924" s="2">
        <f>$S923+$R923+INDEX(Tables!$N$5:$Q$8,MATCH(MOD($S923+$R923,4),Tables!$M$5:$M$8,0),MATCH($R924,Tables!$N$4:$Q$4,0))</f>
        <v>3512</v>
      </c>
      <c r="T924" s="2" t="str">
        <f t="shared" si="228"/>
        <v>0DB8</v>
      </c>
      <c r="U924" s="2">
        <f t="shared" si="234"/>
        <v>878</v>
      </c>
      <c r="V924" s="2" t="str">
        <f t="shared" si="229"/>
        <v>36E</v>
      </c>
      <c r="W924" s="2" t="str">
        <f t="shared" si="230"/>
        <v>X</v>
      </c>
      <c r="X924" s="2" t="str">
        <f t="shared" si="233"/>
        <v>X</v>
      </c>
      <c r="Y924" s="2" t="str">
        <f t="shared" si="231"/>
        <v>X</v>
      </c>
      <c r="Z924" s="2" t="str">
        <f t="shared" si="232"/>
        <v>X</v>
      </c>
      <c r="AA924" s="2" t="str">
        <f t="shared" si="235"/>
        <v>(31 downto 24)</v>
      </c>
      <c r="AB924" s="2" t="str">
        <f t="shared" si="236"/>
        <v>(23 downto 16)</v>
      </c>
      <c r="AC924" s="2" t="str">
        <f t="shared" si="237"/>
        <v>(15 downto 8)</v>
      </c>
      <c r="AD924" s="2" t="str">
        <f t="shared" si="238"/>
        <v>(7 downto 0)</v>
      </c>
      <c r="AE924" s="2" t="str">
        <f t="shared" si="239"/>
        <v>(31 downto 24)</v>
      </c>
      <c r="AF924" s="2" t="str">
        <f t="shared" si="240"/>
        <v>(23 downto 16)</v>
      </c>
      <c r="AG924" s="2" t="str">
        <f t="shared" si="241"/>
        <v>(15 downto 8)</v>
      </c>
      <c r="AH924" s="2" t="str">
        <f t="shared" si="242"/>
        <v>(7 downto 0)</v>
      </c>
    </row>
    <row r="925" spans="2:34" x14ac:dyDescent="0.25">
      <c r="B925" s="2" t="s">
        <v>2590</v>
      </c>
      <c r="C925" s="2" t="s">
        <v>141</v>
      </c>
      <c r="D925" s="2" t="s">
        <v>0</v>
      </c>
      <c r="E925" s="2" t="s">
        <v>130</v>
      </c>
      <c r="F925" s="2" t="s">
        <v>2591</v>
      </c>
      <c r="G925" s="2" t="s">
        <v>2592</v>
      </c>
      <c r="H925" s="2" t="s">
        <v>142</v>
      </c>
      <c r="I925" s="2" t="s">
        <v>41</v>
      </c>
      <c r="J925" s="2">
        <v>32</v>
      </c>
      <c r="K925" s="2" t="s">
        <v>132</v>
      </c>
      <c r="L925" s="2" t="s">
        <v>40</v>
      </c>
      <c r="P925" s="2" t="s">
        <v>48</v>
      </c>
      <c r="Q925" s="2">
        <f>INDEX(Tables!$C$4:$C$28,MATCH($P925,Tables!$B$4:$B$28,0))</f>
        <v>32</v>
      </c>
      <c r="R925" s="2">
        <f>INDEX(Tables!$D$4:$D$28,MATCH($P925,Tables!$B$4:$B$28,0))</f>
        <v>4</v>
      </c>
      <c r="S925" s="2">
        <f>$S924+$R924+INDEX(Tables!$N$5:$Q$8,MATCH(MOD($S924+$R924,4),Tables!$M$5:$M$8,0),MATCH($R925,Tables!$N$4:$Q$4,0))</f>
        <v>3516</v>
      </c>
      <c r="T925" s="2" t="str">
        <f t="shared" si="228"/>
        <v>0DBC</v>
      </c>
      <c r="U925" s="2">
        <f t="shared" si="234"/>
        <v>879</v>
      </c>
      <c r="V925" s="2" t="str">
        <f t="shared" si="229"/>
        <v>36F</v>
      </c>
      <c r="W925" s="2" t="str">
        <f t="shared" si="230"/>
        <v>X</v>
      </c>
      <c r="X925" s="2" t="str">
        <f t="shared" si="233"/>
        <v>X</v>
      </c>
      <c r="Y925" s="2" t="str">
        <f t="shared" si="231"/>
        <v>X</v>
      </c>
      <c r="Z925" s="2" t="str">
        <f t="shared" si="232"/>
        <v>X</v>
      </c>
      <c r="AA925" s="2" t="str">
        <f t="shared" si="235"/>
        <v>(31 downto 24)</v>
      </c>
      <c r="AB925" s="2" t="str">
        <f t="shared" si="236"/>
        <v>(23 downto 16)</v>
      </c>
      <c r="AC925" s="2" t="str">
        <f t="shared" si="237"/>
        <v>(15 downto 8)</v>
      </c>
      <c r="AD925" s="2" t="str">
        <f t="shared" si="238"/>
        <v>(7 downto 0)</v>
      </c>
      <c r="AE925" s="2" t="str">
        <f t="shared" si="239"/>
        <v>(31 downto 24)</v>
      </c>
      <c r="AF925" s="2" t="str">
        <f t="shared" si="240"/>
        <v>(23 downto 16)</v>
      </c>
      <c r="AG925" s="2" t="str">
        <f t="shared" si="241"/>
        <v>(15 downto 8)</v>
      </c>
      <c r="AH925" s="2" t="str">
        <f t="shared" si="242"/>
        <v>(7 downto 0)</v>
      </c>
    </row>
    <row r="926" spans="2:34" x14ac:dyDescent="0.25">
      <c r="B926" s="2" t="s">
        <v>2593</v>
      </c>
      <c r="C926" s="2" t="s">
        <v>141</v>
      </c>
      <c r="D926" s="2" t="s">
        <v>0</v>
      </c>
      <c r="E926" s="2" t="s">
        <v>130</v>
      </c>
      <c r="F926" s="2" t="s">
        <v>2594</v>
      </c>
      <c r="G926" s="2" t="s">
        <v>2595</v>
      </c>
      <c r="H926" s="2" t="s">
        <v>142</v>
      </c>
      <c r="I926" s="2" t="s">
        <v>41</v>
      </c>
      <c r="J926" s="2">
        <v>32</v>
      </c>
      <c r="K926" s="2" t="s">
        <v>132</v>
      </c>
      <c r="L926" s="2" t="s">
        <v>40</v>
      </c>
      <c r="P926" s="2" t="s">
        <v>48</v>
      </c>
      <c r="Q926" s="2">
        <f>INDEX(Tables!$C$4:$C$28,MATCH($P926,Tables!$B$4:$B$28,0))</f>
        <v>32</v>
      </c>
      <c r="R926" s="2">
        <f>INDEX(Tables!$D$4:$D$28,MATCH($P926,Tables!$B$4:$B$28,0))</f>
        <v>4</v>
      </c>
      <c r="S926" s="2">
        <f>$S925+$R925+INDEX(Tables!$N$5:$Q$8,MATCH(MOD($S925+$R925,4),Tables!$M$5:$M$8,0),MATCH($R926,Tables!$N$4:$Q$4,0))</f>
        <v>3520</v>
      </c>
      <c r="T926" s="2" t="str">
        <f t="shared" si="228"/>
        <v>0DC0</v>
      </c>
      <c r="U926" s="2">
        <f t="shared" si="234"/>
        <v>880</v>
      </c>
      <c r="V926" s="2" t="str">
        <f t="shared" si="229"/>
        <v>370</v>
      </c>
      <c r="W926" s="2" t="str">
        <f t="shared" si="230"/>
        <v>X</v>
      </c>
      <c r="X926" s="2" t="str">
        <f t="shared" si="233"/>
        <v>X</v>
      </c>
      <c r="Y926" s="2" t="str">
        <f t="shared" si="231"/>
        <v>X</v>
      </c>
      <c r="Z926" s="2" t="str">
        <f t="shared" si="232"/>
        <v>X</v>
      </c>
      <c r="AA926" s="2" t="str">
        <f t="shared" si="235"/>
        <v>(31 downto 24)</v>
      </c>
      <c r="AB926" s="2" t="str">
        <f t="shared" si="236"/>
        <v>(23 downto 16)</v>
      </c>
      <c r="AC926" s="2" t="str">
        <f t="shared" si="237"/>
        <v>(15 downto 8)</v>
      </c>
      <c r="AD926" s="2" t="str">
        <f t="shared" si="238"/>
        <v>(7 downto 0)</v>
      </c>
      <c r="AE926" s="2" t="str">
        <f t="shared" si="239"/>
        <v>(31 downto 24)</v>
      </c>
      <c r="AF926" s="2" t="str">
        <f t="shared" si="240"/>
        <v>(23 downto 16)</v>
      </c>
      <c r="AG926" s="2" t="str">
        <f t="shared" si="241"/>
        <v>(15 downto 8)</v>
      </c>
      <c r="AH926" s="2" t="str">
        <f t="shared" si="242"/>
        <v>(7 downto 0)</v>
      </c>
    </row>
    <row r="927" spans="2:34" x14ac:dyDescent="0.25">
      <c r="B927" s="2" t="s">
        <v>2596</v>
      </c>
      <c r="C927" s="2" t="s">
        <v>141</v>
      </c>
      <c r="D927" s="2" t="s">
        <v>0</v>
      </c>
      <c r="E927" s="2" t="s">
        <v>130</v>
      </c>
      <c r="F927" s="2" t="s">
        <v>2597</v>
      </c>
      <c r="G927" s="2" t="s">
        <v>2598</v>
      </c>
      <c r="H927" s="2" t="s">
        <v>142</v>
      </c>
      <c r="I927" s="2" t="s">
        <v>41</v>
      </c>
      <c r="J927" s="2">
        <v>32</v>
      </c>
      <c r="K927" s="2" t="s">
        <v>132</v>
      </c>
      <c r="L927" s="2" t="s">
        <v>40</v>
      </c>
      <c r="P927" s="2" t="s">
        <v>48</v>
      </c>
      <c r="Q927" s="2">
        <f>INDEX(Tables!$C$4:$C$28,MATCH($P927,Tables!$B$4:$B$28,0))</f>
        <v>32</v>
      </c>
      <c r="R927" s="2">
        <f>INDEX(Tables!$D$4:$D$28,MATCH($P927,Tables!$B$4:$B$28,0))</f>
        <v>4</v>
      </c>
      <c r="S927" s="2">
        <f>$S926+$R926+INDEX(Tables!$N$5:$Q$8,MATCH(MOD($S926+$R926,4),Tables!$M$5:$M$8,0),MATCH($R927,Tables!$N$4:$Q$4,0))</f>
        <v>3524</v>
      </c>
      <c r="T927" s="2" t="str">
        <f t="shared" si="228"/>
        <v>0DC4</v>
      </c>
      <c r="U927" s="2">
        <f t="shared" si="234"/>
        <v>881</v>
      </c>
      <c r="V927" s="2" t="str">
        <f t="shared" si="229"/>
        <v>371</v>
      </c>
      <c r="W927" s="2" t="str">
        <f t="shared" si="230"/>
        <v>X</v>
      </c>
      <c r="X927" s="2" t="str">
        <f t="shared" si="233"/>
        <v>X</v>
      </c>
      <c r="Y927" s="2" t="str">
        <f t="shared" si="231"/>
        <v>X</v>
      </c>
      <c r="Z927" s="2" t="str">
        <f t="shared" si="232"/>
        <v>X</v>
      </c>
      <c r="AA927" s="2" t="str">
        <f t="shared" si="235"/>
        <v>(31 downto 24)</v>
      </c>
      <c r="AB927" s="2" t="str">
        <f t="shared" si="236"/>
        <v>(23 downto 16)</v>
      </c>
      <c r="AC927" s="2" t="str">
        <f t="shared" si="237"/>
        <v>(15 downto 8)</v>
      </c>
      <c r="AD927" s="2" t="str">
        <f t="shared" si="238"/>
        <v>(7 downto 0)</v>
      </c>
      <c r="AE927" s="2" t="str">
        <f t="shared" si="239"/>
        <v>(31 downto 24)</v>
      </c>
      <c r="AF927" s="2" t="str">
        <f t="shared" si="240"/>
        <v>(23 downto 16)</v>
      </c>
      <c r="AG927" s="2" t="str">
        <f t="shared" si="241"/>
        <v>(15 downto 8)</v>
      </c>
      <c r="AH927" s="2" t="str">
        <f t="shared" si="242"/>
        <v>(7 downto 0)</v>
      </c>
    </row>
    <row r="928" spans="2:34" x14ac:dyDescent="0.25">
      <c r="B928" s="2" t="s">
        <v>2599</v>
      </c>
      <c r="C928" s="2" t="s">
        <v>141</v>
      </c>
      <c r="D928" s="2" t="s">
        <v>0</v>
      </c>
      <c r="E928" s="2" t="s">
        <v>130</v>
      </c>
      <c r="F928" s="2" t="s">
        <v>2600</v>
      </c>
      <c r="G928" s="2" t="s">
        <v>2601</v>
      </c>
      <c r="H928" s="2" t="s">
        <v>142</v>
      </c>
      <c r="I928" s="2" t="s">
        <v>41</v>
      </c>
      <c r="J928" s="2">
        <v>32</v>
      </c>
      <c r="K928" s="2" t="s">
        <v>132</v>
      </c>
      <c r="L928" s="2" t="s">
        <v>40</v>
      </c>
      <c r="P928" s="2" t="s">
        <v>48</v>
      </c>
      <c r="Q928" s="2">
        <f>INDEX(Tables!$C$4:$C$28,MATCH($P928,Tables!$B$4:$B$28,0))</f>
        <v>32</v>
      </c>
      <c r="R928" s="2">
        <f>INDEX(Tables!$D$4:$D$28,MATCH($P928,Tables!$B$4:$B$28,0))</f>
        <v>4</v>
      </c>
      <c r="S928" s="2">
        <f>$S927+$R927+INDEX(Tables!$N$5:$Q$8,MATCH(MOD($S927+$R927,4),Tables!$M$5:$M$8,0),MATCH($R928,Tables!$N$4:$Q$4,0))</f>
        <v>3528</v>
      </c>
      <c r="T928" s="2" t="str">
        <f t="shared" si="228"/>
        <v>0DC8</v>
      </c>
      <c r="U928" s="2">
        <f t="shared" si="234"/>
        <v>882</v>
      </c>
      <c r="V928" s="2" t="str">
        <f t="shared" si="229"/>
        <v>372</v>
      </c>
      <c r="W928" s="2" t="str">
        <f t="shared" si="230"/>
        <v>X</v>
      </c>
      <c r="X928" s="2" t="str">
        <f t="shared" si="233"/>
        <v>X</v>
      </c>
      <c r="Y928" s="2" t="str">
        <f t="shared" si="231"/>
        <v>X</v>
      </c>
      <c r="Z928" s="2" t="str">
        <f t="shared" si="232"/>
        <v>X</v>
      </c>
      <c r="AA928" s="2" t="str">
        <f t="shared" si="235"/>
        <v>(31 downto 24)</v>
      </c>
      <c r="AB928" s="2" t="str">
        <f t="shared" si="236"/>
        <v>(23 downto 16)</v>
      </c>
      <c r="AC928" s="2" t="str">
        <f t="shared" si="237"/>
        <v>(15 downto 8)</v>
      </c>
      <c r="AD928" s="2" t="str">
        <f t="shared" si="238"/>
        <v>(7 downto 0)</v>
      </c>
      <c r="AE928" s="2" t="str">
        <f t="shared" si="239"/>
        <v>(31 downto 24)</v>
      </c>
      <c r="AF928" s="2" t="str">
        <f t="shared" si="240"/>
        <v>(23 downto 16)</v>
      </c>
      <c r="AG928" s="2" t="str">
        <f t="shared" si="241"/>
        <v>(15 downto 8)</v>
      </c>
      <c r="AH928" s="2" t="str">
        <f t="shared" si="242"/>
        <v>(7 downto 0)</v>
      </c>
    </row>
    <row r="929" spans="2:34" x14ac:dyDescent="0.25">
      <c r="B929" s="2" t="s">
        <v>2602</v>
      </c>
      <c r="C929" s="2" t="s">
        <v>141</v>
      </c>
      <c r="D929" s="2" t="s">
        <v>0</v>
      </c>
      <c r="E929" s="2" t="s">
        <v>130</v>
      </c>
      <c r="F929" s="2" t="s">
        <v>2603</v>
      </c>
      <c r="G929" s="2" t="s">
        <v>2604</v>
      </c>
      <c r="H929" s="2" t="s">
        <v>142</v>
      </c>
      <c r="I929" s="2" t="s">
        <v>41</v>
      </c>
      <c r="J929" s="2">
        <v>32</v>
      </c>
      <c r="K929" s="2" t="s">
        <v>132</v>
      </c>
      <c r="L929" s="2" t="s">
        <v>40</v>
      </c>
      <c r="P929" s="2" t="s">
        <v>48</v>
      </c>
      <c r="Q929" s="2">
        <f>INDEX(Tables!$C$4:$C$28,MATCH($P929,Tables!$B$4:$B$28,0))</f>
        <v>32</v>
      </c>
      <c r="R929" s="2">
        <f>INDEX(Tables!$D$4:$D$28,MATCH($P929,Tables!$B$4:$B$28,0))</f>
        <v>4</v>
      </c>
      <c r="S929" s="2">
        <f>$S928+$R928+INDEX(Tables!$N$5:$Q$8,MATCH(MOD($S928+$R928,4),Tables!$M$5:$M$8,0),MATCH($R929,Tables!$N$4:$Q$4,0))</f>
        <v>3532</v>
      </c>
      <c r="T929" s="2" t="str">
        <f t="shared" si="228"/>
        <v>0DCC</v>
      </c>
      <c r="U929" s="2">
        <f t="shared" si="234"/>
        <v>883</v>
      </c>
      <c r="V929" s="2" t="str">
        <f t="shared" si="229"/>
        <v>373</v>
      </c>
      <c r="W929" s="2" t="str">
        <f t="shared" si="230"/>
        <v>X</v>
      </c>
      <c r="X929" s="2" t="str">
        <f t="shared" si="233"/>
        <v>X</v>
      </c>
      <c r="Y929" s="2" t="str">
        <f t="shared" si="231"/>
        <v>X</v>
      </c>
      <c r="Z929" s="2" t="str">
        <f t="shared" si="232"/>
        <v>X</v>
      </c>
      <c r="AA929" s="2" t="str">
        <f t="shared" si="235"/>
        <v>(31 downto 24)</v>
      </c>
      <c r="AB929" s="2" t="str">
        <f t="shared" si="236"/>
        <v>(23 downto 16)</v>
      </c>
      <c r="AC929" s="2" t="str">
        <f t="shared" si="237"/>
        <v>(15 downto 8)</v>
      </c>
      <c r="AD929" s="2" t="str">
        <f t="shared" si="238"/>
        <v>(7 downto 0)</v>
      </c>
      <c r="AE929" s="2" t="str">
        <f t="shared" si="239"/>
        <v>(31 downto 24)</v>
      </c>
      <c r="AF929" s="2" t="str">
        <f t="shared" si="240"/>
        <v>(23 downto 16)</v>
      </c>
      <c r="AG929" s="2" t="str">
        <f t="shared" si="241"/>
        <v>(15 downto 8)</v>
      </c>
      <c r="AH929" s="2" t="str">
        <f t="shared" si="242"/>
        <v>(7 downto 0)</v>
      </c>
    </row>
    <row r="930" spans="2:34" x14ac:dyDescent="0.25">
      <c r="B930" s="2" t="s">
        <v>2605</v>
      </c>
      <c r="C930" s="2" t="s">
        <v>141</v>
      </c>
      <c r="D930" s="2" t="s">
        <v>0</v>
      </c>
      <c r="E930" s="2" t="s">
        <v>130</v>
      </c>
      <c r="F930" s="2" t="s">
        <v>2606</v>
      </c>
      <c r="G930" s="2" t="s">
        <v>2607</v>
      </c>
      <c r="H930" s="2" t="s">
        <v>142</v>
      </c>
      <c r="I930" s="2" t="s">
        <v>41</v>
      </c>
      <c r="J930" s="2">
        <v>32</v>
      </c>
      <c r="K930" s="2" t="s">
        <v>132</v>
      </c>
      <c r="L930" s="2" t="s">
        <v>40</v>
      </c>
      <c r="P930" s="2" t="s">
        <v>48</v>
      </c>
      <c r="Q930" s="2">
        <f>INDEX(Tables!$C$4:$C$28,MATCH($P930,Tables!$B$4:$B$28,0))</f>
        <v>32</v>
      </c>
      <c r="R930" s="2">
        <f>INDEX(Tables!$D$4:$D$28,MATCH($P930,Tables!$B$4:$B$28,0))</f>
        <v>4</v>
      </c>
      <c r="S930" s="2">
        <f>$S929+$R929+INDEX(Tables!$N$5:$Q$8,MATCH(MOD($S929+$R929,4),Tables!$M$5:$M$8,0),MATCH($R930,Tables!$N$4:$Q$4,0))</f>
        <v>3536</v>
      </c>
      <c r="T930" s="2" t="str">
        <f t="shared" si="228"/>
        <v>0DD0</v>
      </c>
      <c r="U930" s="2">
        <f t="shared" si="234"/>
        <v>884</v>
      </c>
      <c r="V930" s="2" t="str">
        <f t="shared" si="229"/>
        <v>374</v>
      </c>
      <c r="W930" s="2" t="str">
        <f t="shared" si="230"/>
        <v>X</v>
      </c>
      <c r="X930" s="2" t="str">
        <f t="shared" si="233"/>
        <v>X</v>
      </c>
      <c r="Y930" s="2" t="str">
        <f t="shared" si="231"/>
        <v>X</v>
      </c>
      <c r="Z930" s="2" t="str">
        <f t="shared" si="232"/>
        <v>X</v>
      </c>
      <c r="AA930" s="2" t="str">
        <f t="shared" si="235"/>
        <v>(31 downto 24)</v>
      </c>
      <c r="AB930" s="2" t="str">
        <f t="shared" si="236"/>
        <v>(23 downto 16)</v>
      </c>
      <c r="AC930" s="2" t="str">
        <f t="shared" si="237"/>
        <v>(15 downto 8)</v>
      </c>
      <c r="AD930" s="2" t="str">
        <f t="shared" si="238"/>
        <v>(7 downto 0)</v>
      </c>
      <c r="AE930" s="2" t="str">
        <f t="shared" si="239"/>
        <v>(31 downto 24)</v>
      </c>
      <c r="AF930" s="2" t="str">
        <f t="shared" si="240"/>
        <v>(23 downto 16)</v>
      </c>
      <c r="AG930" s="2" t="str">
        <f t="shared" si="241"/>
        <v>(15 downto 8)</v>
      </c>
      <c r="AH930" s="2" t="str">
        <f t="shared" si="242"/>
        <v>(7 downto 0)</v>
      </c>
    </row>
    <row r="931" spans="2:34" x14ac:dyDescent="0.25">
      <c r="B931" s="2" t="s">
        <v>2608</v>
      </c>
      <c r="C931" s="2" t="s">
        <v>141</v>
      </c>
      <c r="D931" s="2" t="s">
        <v>0</v>
      </c>
      <c r="E931" s="2" t="s">
        <v>130</v>
      </c>
      <c r="F931" s="2" t="s">
        <v>2609</v>
      </c>
      <c r="G931" s="2" t="s">
        <v>2610</v>
      </c>
      <c r="H931" s="2" t="s">
        <v>142</v>
      </c>
      <c r="I931" s="2" t="s">
        <v>41</v>
      </c>
      <c r="J931" s="2">
        <v>32</v>
      </c>
      <c r="K931" s="2" t="s">
        <v>132</v>
      </c>
      <c r="L931" s="2" t="s">
        <v>40</v>
      </c>
      <c r="P931" s="2" t="s">
        <v>48</v>
      </c>
      <c r="Q931" s="2">
        <f>INDEX(Tables!$C$4:$C$28,MATCH($P931,Tables!$B$4:$B$28,0))</f>
        <v>32</v>
      </c>
      <c r="R931" s="2">
        <f>INDEX(Tables!$D$4:$D$28,MATCH($P931,Tables!$B$4:$B$28,0))</f>
        <v>4</v>
      </c>
      <c r="S931" s="2">
        <f>$S930+$R930+INDEX(Tables!$N$5:$Q$8,MATCH(MOD($S930+$R930,4),Tables!$M$5:$M$8,0),MATCH($R931,Tables!$N$4:$Q$4,0))</f>
        <v>3540</v>
      </c>
      <c r="T931" s="2" t="str">
        <f t="shared" si="228"/>
        <v>0DD4</v>
      </c>
      <c r="U931" s="2">
        <f t="shared" si="234"/>
        <v>885</v>
      </c>
      <c r="V931" s="2" t="str">
        <f t="shared" si="229"/>
        <v>375</v>
      </c>
      <c r="W931" s="2" t="str">
        <f t="shared" si="230"/>
        <v>X</v>
      </c>
      <c r="X931" s="2" t="str">
        <f t="shared" si="233"/>
        <v>X</v>
      </c>
      <c r="Y931" s="2" t="str">
        <f t="shared" si="231"/>
        <v>X</v>
      </c>
      <c r="Z931" s="2" t="str">
        <f t="shared" si="232"/>
        <v>X</v>
      </c>
      <c r="AA931" s="2" t="str">
        <f t="shared" si="235"/>
        <v>(31 downto 24)</v>
      </c>
      <c r="AB931" s="2" t="str">
        <f t="shared" si="236"/>
        <v>(23 downto 16)</v>
      </c>
      <c r="AC931" s="2" t="str">
        <f t="shared" si="237"/>
        <v>(15 downto 8)</v>
      </c>
      <c r="AD931" s="2" t="str">
        <f t="shared" si="238"/>
        <v>(7 downto 0)</v>
      </c>
      <c r="AE931" s="2" t="str">
        <f t="shared" si="239"/>
        <v>(31 downto 24)</v>
      </c>
      <c r="AF931" s="2" t="str">
        <f t="shared" si="240"/>
        <v>(23 downto 16)</v>
      </c>
      <c r="AG931" s="2" t="str">
        <f t="shared" si="241"/>
        <v>(15 downto 8)</v>
      </c>
      <c r="AH931" s="2" t="str">
        <f t="shared" si="242"/>
        <v>(7 downto 0)</v>
      </c>
    </row>
    <row r="932" spans="2:34" x14ac:dyDescent="0.25">
      <c r="B932" s="2" t="s">
        <v>2611</v>
      </c>
      <c r="C932" s="2" t="s">
        <v>141</v>
      </c>
      <c r="D932" s="2" t="s">
        <v>0</v>
      </c>
      <c r="E932" s="2" t="s">
        <v>130</v>
      </c>
      <c r="F932" s="2" t="s">
        <v>2612</v>
      </c>
      <c r="G932" s="2" t="s">
        <v>2613</v>
      </c>
      <c r="H932" s="2" t="s">
        <v>142</v>
      </c>
      <c r="I932" s="2" t="s">
        <v>41</v>
      </c>
      <c r="J932" s="2">
        <v>32</v>
      </c>
      <c r="K932" s="2" t="s">
        <v>132</v>
      </c>
      <c r="L932" s="2" t="s">
        <v>40</v>
      </c>
      <c r="P932" s="2" t="s">
        <v>48</v>
      </c>
      <c r="Q932" s="2">
        <f>INDEX(Tables!$C$4:$C$28,MATCH($P932,Tables!$B$4:$B$28,0))</f>
        <v>32</v>
      </c>
      <c r="R932" s="2">
        <f>INDEX(Tables!$D$4:$D$28,MATCH($P932,Tables!$B$4:$B$28,0))</f>
        <v>4</v>
      </c>
      <c r="S932" s="2">
        <f>$S931+$R931+INDEX(Tables!$N$5:$Q$8,MATCH(MOD($S931+$R931,4),Tables!$M$5:$M$8,0),MATCH($R932,Tables!$N$4:$Q$4,0))</f>
        <v>3544</v>
      </c>
      <c r="T932" s="2" t="str">
        <f t="shared" si="228"/>
        <v>0DD8</v>
      </c>
      <c r="U932" s="2">
        <f t="shared" si="234"/>
        <v>886</v>
      </c>
      <c r="V932" s="2" t="str">
        <f t="shared" si="229"/>
        <v>376</v>
      </c>
      <c r="W932" s="2" t="str">
        <f t="shared" si="230"/>
        <v>X</v>
      </c>
      <c r="X932" s="2" t="str">
        <f t="shared" si="233"/>
        <v>X</v>
      </c>
      <c r="Y932" s="2" t="str">
        <f t="shared" si="231"/>
        <v>X</v>
      </c>
      <c r="Z932" s="2" t="str">
        <f t="shared" si="232"/>
        <v>X</v>
      </c>
      <c r="AA932" s="2" t="str">
        <f t="shared" si="235"/>
        <v>(31 downto 24)</v>
      </c>
      <c r="AB932" s="2" t="str">
        <f t="shared" si="236"/>
        <v>(23 downto 16)</v>
      </c>
      <c r="AC932" s="2" t="str">
        <f t="shared" si="237"/>
        <v>(15 downto 8)</v>
      </c>
      <c r="AD932" s="2" t="str">
        <f t="shared" si="238"/>
        <v>(7 downto 0)</v>
      </c>
      <c r="AE932" s="2" t="str">
        <f t="shared" si="239"/>
        <v>(31 downto 24)</v>
      </c>
      <c r="AF932" s="2" t="str">
        <f t="shared" si="240"/>
        <v>(23 downto 16)</v>
      </c>
      <c r="AG932" s="2" t="str">
        <f t="shared" si="241"/>
        <v>(15 downto 8)</v>
      </c>
      <c r="AH932" s="2" t="str">
        <f t="shared" si="242"/>
        <v>(7 downto 0)</v>
      </c>
    </row>
    <row r="933" spans="2:34" x14ac:dyDescent="0.25">
      <c r="B933" s="2" t="s">
        <v>2614</v>
      </c>
      <c r="C933" s="2" t="s">
        <v>141</v>
      </c>
      <c r="D933" s="2" t="s">
        <v>0</v>
      </c>
      <c r="E933" s="2" t="s">
        <v>130</v>
      </c>
      <c r="F933" s="2" t="s">
        <v>2615</v>
      </c>
      <c r="G933" s="2" t="s">
        <v>2616</v>
      </c>
      <c r="H933" s="2" t="s">
        <v>142</v>
      </c>
      <c r="I933" s="2" t="s">
        <v>41</v>
      </c>
      <c r="J933" s="2">
        <v>32</v>
      </c>
      <c r="K933" s="2" t="s">
        <v>132</v>
      </c>
      <c r="L933" s="2" t="s">
        <v>40</v>
      </c>
      <c r="P933" s="2" t="s">
        <v>48</v>
      </c>
      <c r="Q933" s="2">
        <f>INDEX(Tables!$C$4:$C$28,MATCH($P933,Tables!$B$4:$B$28,0))</f>
        <v>32</v>
      </c>
      <c r="R933" s="2">
        <f>INDEX(Tables!$D$4:$D$28,MATCH($P933,Tables!$B$4:$B$28,0))</f>
        <v>4</v>
      </c>
      <c r="S933" s="2">
        <f>$S932+$R932+INDEX(Tables!$N$5:$Q$8,MATCH(MOD($S932+$R932,4),Tables!$M$5:$M$8,0),MATCH($R933,Tables!$N$4:$Q$4,0))</f>
        <v>3548</v>
      </c>
      <c r="T933" s="2" t="str">
        <f t="shared" si="228"/>
        <v>0DDC</v>
      </c>
      <c r="U933" s="2">
        <f t="shared" si="234"/>
        <v>887</v>
      </c>
      <c r="V933" s="2" t="str">
        <f t="shared" si="229"/>
        <v>377</v>
      </c>
      <c r="W933" s="2" t="str">
        <f t="shared" si="230"/>
        <v>X</v>
      </c>
      <c r="X933" s="2" t="str">
        <f t="shared" si="233"/>
        <v>X</v>
      </c>
      <c r="Y933" s="2" t="str">
        <f t="shared" si="231"/>
        <v>X</v>
      </c>
      <c r="Z933" s="2" t="str">
        <f t="shared" si="232"/>
        <v>X</v>
      </c>
      <c r="AA933" s="2" t="str">
        <f t="shared" si="235"/>
        <v>(31 downto 24)</v>
      </c>
      <c r="AB933" s="2" t="str">
        <f t="shared" si="236"/>
        <v>(23 downto 16)</v>
      </c>
      <c r="AC933" s="2" t="str">
        <f t="shared" si="237"/>
        <v>(15 downto 8)</v>
      </c>
      <c r="AD933" s="2" t="str">
        <f t="shared" si="238"/>
        <v>(7 downto 0)</v>
      </c>
      <c r="AE933" s="2" t="str">
        <f t="shared" si="239"/>
        <v>(31 downto 24)</v>
      </c>
      <c r="AF933" s="2" t="str">
        <f t="shared" si="240"/>
        <v>(23 downto 16)</v>
      </c>
      <c r="AG933" s="2" t="str">
        <f t="shared" si="241"/>
        <v>(15 downto 8)</v>
      </c>
      <c r="AH933" s="2" t="str">
        <f t="shared" si="242"/>
        <v>(7 downto 0)</v>
      </c>
    </row>
    <row r="934" spans="2:34" x14ac:dyDescent="0.25">
      <c r="B934" s="2" t="s">
        <v>2617</v>
      </c>
      <c r="C934" s="2" t="s">
        <v>141</v>
      </c>
      <c r="D934" s="2" t="s">
        <v>0</v>
      </c>
      <c r="E934" s="2" t="s">
        <v>130</v>
      </c>
      <c r="F934" s="2" t="s">
        <v>2618</v>
      </c>
      <c r="G934" s="2" t="s">
        <v>2619</v>
      </c>
      <c r="H934" s="2" t="s">
        <v>142</v>
      </c>
      <c r="I934" s="2" t="s">
        <v>41</v>
      </c>
      <c r="J934" s="2">
        <v>32</v>
      </c>
      <c r="K934" s="2" t="s">
        <v>132</v>
      </c>
      <c r="L934" s="2" t="s">
        <v>40</v>
      </c>
      <c r="P934" s="2" t="s">
        <v>48</v>
      </c>
      <c r="Q934" s="2">
        <f>INDEX(Tables!$C$4:$C$28,MATCH($P934,Tables!$B$4:$B$28,0))</f>
        <v>32</v>
      </c>
      <c r="R934" s="2">
        <f>INDEX(Tables!$D$4:$D$28,MATCH($P934,Tables!$B$4:$B$28,0))</f>
        <v>4</v>
      </c>
      <c r="S934" s="2">
        <f>$S933+$R933+INDEX(Tables!$N$5:$Q$8,MATCH(MOD($S933+$R933,4),Tables!$M$5:$M$8,0),MATCH($R934,Tables!$N$4:$Q$4,0))</f>
        <v>3552</v>
      </c>
      <c r="T934" s="2" t="str">
        <f t="shared" si="228"/>
        <v>0DE0</v>
      </c>
      <c r="U934" s="2">
        <f t="shared" si="234"/>
        <v>888</v>
      </c>
      <c r="V934" s="2" t="str">
        <f t="shared" si="229"/>
        <v>378</v>
      </c>
      <c r="W934" s="2" t="str">
        <f t="shared" si="230"/>
        <v>X</v>
      </c>
      <c r="X934" s="2" t="str">
        <f t="shared" si="233"/>
        <v>X</v>
      </c>
      <c r="Y934" s="2" t="str">
        <f t="shared" si="231"/>
        <v>X</v>
      </c>
      <c r="Z934" s="2" t="str">
        <f t="shared" si="232"/>
        <v>X</v>
      </c>
      <c r="AA934" s="2" t="str">
        <f t="shared" si="235"/>
        <v>(31 downto 24)</v>
      </c>
      <c r="AB934" s="2" t="str">
        <f t="shared" si="236"/>
        <v>(23 downto 16)</v>
      </c>
      <c r="AC934" s="2" t="str">
        <f t="shared" si="237"/>
        <v>(15 downto 8)</v>
      </c>
      <c r="AD934" s="2" t="str">
        <f t="shared" si="238"/>
        <v>(7 downto 0)</v>
      </c>
      <c r="AE934" s="2" t="str">
        <f t="shared" si="239"/>
        <v>(31 downto 24)</v>
      </c>
      <c r="AF934" s="2" t="str">
        <f t="shared" si="240"/>
        <v>(23 downto 16)</v>
      </c>
      <c r="AG934" s="2" t="str">
        <f t="shared" si="241"/>
        <v>(15 downto 8)</v>
      </c>
      <c r="AH934" s="2" t="str">
        <f t="shared" si="242"/>
        <v>(7 downto 0)</v>
      </c>
    </row>
    <row r="935" spans="2:34" x14ac:dyDescent="0.25">
      <c r="B935" s="2" t="s">
        <v>2620</v>
      </c>
      <c r="C935" s="2" t="s">
        <v>141</v>
      </c>
      <c r="D935" s="2" t="s">
        <v>0</v>
      </c>
      <c r="E935" s="2" t="s">
        <v>130</v>
      </c>
      <c r="F935" s="2" t="s">
        <v>2621</v>
      </c>
      <c r="G935" s="2" t="s">
        <v>2622</v>
      </c>
      <c r="H935" s="2" t="s">
        <v>142</v>
      </c>
      <c r="I935" s="2" t="s">
        <v>41</v>
      </c>
      <c r="J935" s="2">
        <v>32</v>
      </c>
      <c r="K935" s="2" t="s">
        <v>132</v>
      </c>
      <c r="L935" s="2" t="s">
        <v>40</v>
      </c>
      <c r="P935" s="2" t="s">
        <v>48</v>
      </c>
      <c r="Q935" s="2">
        <f>INDEX(Tables!$C$4:$C$28,MATCH($P935,Tables!$B$4:$B$28,0))</f>
        <v>32</v>
      </c>
      <c r="R935" s="2">
        <f>INDEX(Tables!$D$4:$D$28,MATCH($P935,Tables!$B$4:$B$28,0))</f>
        <v>4</v>
      </c>
      <c r="S935" s="2">
        <f>$S934+$R934+INDEX(Tables!$N$5:$Q$8,MATCH(MOD($S934+$R934,4),Tables!$M$5:$M$8,0),MATCH($R935,Tables!$N$4:$Q$4,0))</f>
        <v>3556</v>
      </c>
      <c r="T935" s="2" t="str">
        <f t="shared" si="228"/>
        <v>0DE4</v>
      </c>
      <c r="U935" s="2">
        <f t="shared" si="234"/>
        <v>889</v>
      </c>
      <c r="V935" s="2" t="str">
        <f t="shared" si="229"/>
        <v>379</v>
      </c>
      <c r="W935" s="2" t="str">
        <f t="shared" si="230"/>
        <v>X</v>
      </c>
      <c r="X935" s="2" t="str">
        <f t="shared" si="233"/>
        <v>X</v>
      </c>
      <c r="Y935" s="2" t="str">
        <f t="shared" si="231"/>
        <v>X</v>
      </c>
      <c r="Z935" s="2" t="str">
        <f t="shared" si="232"/>
        <v>X</v>
      </c>
      <c r="AA935" s="2" t="str">
        <f t="shared" si="235"/>
        <v>(31 downto 24)</v>
      </c>
      <c r="AB935" s="2" t="str">
        <f t="shared" si="236"/>
        <v>(23 downto 16)</v>
      </c>
      <c r="AC935" s="2" t="str">
        <f t="shared" si="237"/>
        <v>(15 downto 8)</v>
      </c>
      <c r="AD935" s="2" t="str">
        <f t="shared" si="238"/>
        <v>(7 downto 0)</v>
      </c>
      <c r="AE935" s="2" t="str">
        <f t="shared" si="239"/>
        <v>(31 downto 24)</v>
      </c>
      <c r="AF935" s="2" t="str">
        <f t="shared" si="240"/>
        <v>(23 downto 16)</v>
      </c>
      <c r="AG935" s="2" t="str">
        <f t="shared" si="241"/>
        <v>(15 downto 8)</v>
      </c>
      <c r="AH935" s="2" t="str">
        <f t="shared" si="242"/>
        <v>(7 downto 0)</v>
      </c>
    </row>
    <row r="936" spans="2:34" x14ac:dyDescent="0.25">
      <c r="B936" s="2" t="s">
        <v>2623</v>
      </c>
      <c r="C936" s="2" t="s">
        <v>141</v>
      </c>
      <c r="D936" s="2" t="s">
        <v>0</v>
      </c>
      <c r="E936" s="2" t="s">
        <v>130</v>
      </c>
      <c r="F936" s="2" t="s">
        <v>2624</v>
      </c>
      <c r="G936" s="2" t="s">
        <v>2625</v>
      </c>
      <c r="H936" s="2" t="s">
        <v>142</v>
      </c>
      <c r="I936" s="2" t="s">
        <v>41</v>
      </c>
      <c r="J936" s="2">
        <v>32</v>
      </c>
      <c r="K936" s="2" t="s">
        <v>132</v>
      </c>
      <c r="L936" s="2" t="s">
        <v>40</v>
      </c>
      <c r="P936" s="2" t="s">
        <v>48</v>
      </c>
      <c r="Q936" s="2">
        <f>INDEX(Tables!$C$4:$C$28,MATCH($P936,Tables!$B$4:$B$28,0))</f>
        <v>32</v>
      </c>
      <c r="R936" s="2">
        <f>INDEX(Tables!$D$4:$D$28,MATCH($P936,Tables!$B$4:$B$28,0))</f>
        <v>4</v>
      </c>
      <c r="S936" s="2">
        <f>$S935+$R935+INDEX(Tables!$N$5:$Q$8,MATCH(MOD($S935+$R935,4),Tables!$M$5:$M$8,0),MATCH($R936,Tables!$N$4:$Q$4,0))</f>
        <v>3560</v>
      </c>
      <c r="T936" s="2" t="str">
        <f t="shared" si="228"/>
        <v>0DE8</v>
      </c>
      <c r="U936" s="2">
        <f t="shared" si="234"/>
        <v>890</v>
      </c>
      <c r="V936" s="2" t="str">
        <f t="shared" si="229"/>
        <v>37A</v>
      </c>
      <c r="W936" s="2" t="str">
        <f t="shared" si="230"/>
        <v>X</v>
      </c>
      <c r="X936" s="2" t="str">
        <f t="shared" si="233"/>
        <v>X</v>
      </c>
      <c r="Y936" s="2" t="str">
        <f t="shared" si="231"/>
        <v>X</v>
      </c>
      <c r="Z936" s="2" t="str">
        <f t="shared" si="232"/>
        <v>X</v>
      </c>
      <c r="AA936" s="2" t="str">
        <f t="shared" si="235"/>
        <v>(31 downto 24)</v>
      </c>
      <c r="AB936" s="2" t="str">
        <f t="shared" si="236"/>
        <v>(23 downto 16)</v>
      </c>
      <c r="AC936" s="2" t="str">
        <f t="shared" si="237"/>
        <v>(15 downto 8)</v>
      </c>
      <c r="AD936" s="2" t="str">
        <f t="shared" si="238"/>
        <v>(7 downto 0)</v>
      </c>
      <c r="AE936" s="2" t="str">
        <f t="shared" si="239"/>
        <v>(31 downto 24)</v>
      </c>
      <c r="AF936" s="2" t="str">
        <f t="shared" si="240"/>
        <v>(23 downto 16)</v>
      </c>
      <c r="AG936" s="2" t="str">
        <f t="shared" si="241"/>
        <v>(15 downto 8)</v>
      </c>
      <c r="AH936" s="2" t="str">
        <f t="shared" si="242"/>
        <v>(7 downto 0)</v>
      </c>
    </row>
    <row r="937" spans="2:34" x14ac:dyDescent="0.25">
      <c r="B937" s="2" t="s">
        <v>2626</v>
      </c>
      <c r="C937" s="2" t="s">
        <v>141</v>
      </c>
      <c r="D937" s="2" t="s">
        <v>0</v>
      </c>
      <c r="E937" s="2" t="s">
        <v>130</v>
      </c>
      <c r="F937" s="2" t="s">
        <v>2627</v>
      </c>
      <c r="G937" s="2" t="s">
        <v>2628</v>
      </c>
      <c r="H937" s="2" t="s">
        <v>142</v>
      </c>
      <c r="I937" s="2" t="s">
        <v>41</v>
      </c>
      <c r="J937" s="2">
        <v>32</v>
      </c>
      <c r="K937" s="2" t="s">
        <v>132</v>
      </c>
      <c r="L937" s="2" t="s">
        <v>40</v>
      </c>
      <c r="P937" s="2" t="s">
        <v>48</v>
      </c>
      <c r="Q937" s="2">
        <f>INDEX(Tables!$C$4:$C$28,MATCH($P937,Tables!$B$4:$B$28,0))</f>
        <v>32</v>
      </c>
      <c r="R937" s="2">
        <f>INDEX(Tables!$D$4:$D$28,MATCH($P937,Tables!$B$4:$B$28,0))</f>
        <v>4</v>
      </c>
      <c r="S937" s="2">
        <f>$S936+$R936+INDEX(Tables!$N$5:$Q$8,MATCH(MOD($S936+$R936,4),Tables!$M$5:$M$8,0),MATCH($R937,Tables!$N$4:$Q$4,0))</f>
        <v>3564</v>
      </c>
      <c r="T937" s="2" t="str">
        <f t="shared" si="228"/>
        <v>0DEC</v>
      </c>
      <c r="U937" s="2">
        <f t="shared" si="234"/>
        <v>891</v>
      </c>
      <c r="V937" s="2" t="str">
        <f t="shared" si="229"/>
        <v>37B</v>
      </c>
      <c r="W937" s="2" t="str">
        <f t="shared" si="230"/>
        <v>X</v>
      </c>
      <c r="X937" s="2" t="str">
        <f t="shared" si="233"/>
        <v>X</v>
      </c>
      <c r="Y937" s="2" t="str">
        <f t="shared" si="231"/>
        <v>X</v>
      </c>
      <c r="Z937" s="2" t="str">
        <f t="shared" si="232"/>
        <v>X</v>
      </c>
      <c r="AA937" s="2" t="str">
        <f t="shared" si="235"/>
        <v>(31 downto 24)</v>
      </c>
      <c r="AB937" s="2" t="str">
        <f t="shared" si="236"/>
        <v>(23 downto 16)</v>
      </c>
      <c r="AC937" s="2" t="str">
        <f t="shared" si="237"/>
        <v>(15 downto 8)</v>
      </c>
      <c r="AD937" s="2" t="str">
        <f t="shared" si="238"/>
        <v>(7 downto 0)</v>
      </c>
      <c r="AE937" s="2" t="str">
        <f t="shared" si="239"/>
        <v>(31 downto 24)</v>
      </c>
      <c r="AF937" s="2" t="str">
        <f t="shared" si="240"/>
        <v>(23 downto 16)</v>
      </c>
      <c r="AG937" s="2" t="str">
        <f t="shared" si="241"/>
        <v>(15 downto 8)</v>
      </c>
      <c r="AH937" s="2" t="str">
        <f t="shared" si="242"/>
        <v>(7 downto 0)</v>
      </c>
    </row>
    <row r="938" spans="2:34" x14ac:dyDescent="0.25">
      <c r="B938" s="2" t="s">
        <v>2629</v>
      </c>
      <c r="C938" s="2" t="s">
        <v>141</v>
      </c>
      <c r="D938" s="2" t="s">
        <v>0</v>
      </c>
      <c r="E938" s="2" t="s">
        <v>130</v>
      </c>
      <c r="F938" s="2" t="s">
        <v>2630</v>
      </c>
      <c r="G938" s="2" t="s">
        <v>2631</v>
      </c>
      <c r="H938" s="2" t="s">
        <v>142</v>
      </c>
      <c r="I938" s="2" t="s">
        <v>41</v>
      </c>
      <c r="J938" s="2">
        <v>32</v>
      </c>
      <c r="K938" s="2" t="s">
        <v>132</v>
      </c>
      <c r="L938" s="2" t="s">
        <v>40</v>
      </c>
      <c r="P938" s="2" t="s">
        <v>48</v>
      </c>
      <c r="Q938" s="2">
        <f>INDEX(Tables!$C$4:$C$28,MATCH($P938,Tables!$B$4:$B$28,0))</f>
        <v>32</v>
      </c>
      <c r="R938" s="2">
        <f>INDEX(Tables!$D$4:$D$28,MATCH($P938,Tables!$B$4:$B$28,0))</f>
        <v>4</v>
      </c>
      <c r="S938" s="2">
        <f>$S937+$R937+INDEX(Tables!$N$5:$Q$8,MATCH(MOD($S937+$R937,4),Tables!$M$5:$M$8,0),MATCH($R938,Tables!$N$4:$Q$4,0))</f>
        <v>3568</v>
      </c>
      <c r="T938" s="2" t="str">
        <f t="shared" si="228"/>
        <v>0DF0</v>
      </c>
      <c r="U938" s="2">
        <f t="shared" si="234"/>
        <v>892</v>
      </c>
      <c r="V938" s="2" t="str">
        <f t="shared" si="229"/>
        <v>37C</v>
      </c>
      <c r="W938" s="2" t="str">
        <f t="shared" si="230"/>
        <v>X</v>
      </c>
      <c r="X938" s="2" t="str">
        <f t="shared" si="233"/>
        <v>X</v>
      </c>
      <c r="Y938" s="2" t="str">
        <f t="shared" si="231"/>
        <v>X</v>
      </c>
      <c r="Z938" s="2" t="str">
        <f t="shared" si="232"/>
        <v>X</v>
      </c>
      <c r="AA938" s="2" t="str">
        <f t="shared" si="235"/>
        <v>(31 downto 24)</v>
      </c>
      <c r="AB938" s="2" t="str">
        <f t="shared" si="236"/>
        <v>(23 downto 16)</v>
      </c>
      <c r="AC938" s="2" t="str">
        <f t="shared" si="237"/>
        <v>(15 downto 8)</v>
      </c>
      <c r="AD938" s="2" t="str">
        <f t="shared" si="238"/>
        <v>(7 downto 0)</v>
      </c>
      <c r="AE938" s="2" t="str">
        <f t="shared" si="239"/>
        <v>(31 downto 24)</v>
      </c>
      <c r="AF938" s="2" t="str">
        <f t="shared" si="240"/>
        <v>(23 downto 16)</v>
      </c>
      <c r="AG938" s="2" t="str">
        <f t="shared" si="241"/>
        <v>(15 downto 8)</v>
      </c>
      <c r="AH938" s="2" t="str">
        <f t="shared" si="242"/>
        <v>(7 downto 0)</v>
      </c>
    </row>
    <row r="939" spans="2:34" x14ac:dyDescent="0.25">
      <c r="B939" s="2" t="s">
        <v>2632</v>
      </c>
      <c r="C939" s="2" t="s">
        <v>141</v>
      </c>
      <c r="D939" s="2" t="s">
        <v>0</v>
      </c>
      <c r="E939" s="2" t="s">
        <v>130</v>
      </c>
      <c r="F939" s="2" t="s">
        <v>2633</v>
      </c>
      <c r="G939" s="2" t="s">
        <v>2634</v>
      </c>
      <c r="H939" s="2" t="s">
        <v>142</v>
      </c>
      <c r="I939" s="2" t="s">
        <v>41</v>
      </c>
      <c r="J939" s="2">
        <v>32</v>
      </c>
      <c r="K939" s="2" t="s">
        <v>132</v>
      </c>
      <c r="L939" s="2" t="s">
        <v>40</v>
      </c>
      <c r="P939" s="2" t="s">
        <v>48</v>
      </c>
      <c r="Q939" s="2">
        <f>INDEX(Tables!$C$4:$C$28,MATCH($P939,Tables!$B$4:$B$28,0))</f>
        <v>32</v>
      </c>
      <c r="R939" s="2">
        <f>INDEX(Tables!$D$4:$D$28,MATCH($P939,Tables!$B$4:$B$28,0))</f>
        <v>4</v>
      </c>
      <c r="S939" s="2">
        <f>$S938+$R938+INDEX(Tables!$N$5:$Q$8,MATCH(MOD($S938+$R938,4),Tables!$M$5:$M$8,0),MATCH($R939,Tables!$N$4:$Q$4,0))</f>
        <v>3572</v>
      </c>
      <c r="T939" s="2" t="str">
        <f t="shared" si="228"/>
        <v>0DF4</v>
      </c>
      <c r="U939" s="2">
        <f t="shared" si="234"/>
        <v>893</v>
      </c>
      <c r="V939" s="2" t="str">
        <f t="shared" si="229"/>
        <v>37D</v>
      </c>
      <c r="W939" s="2" t="str">
        <f t="shared" si="230"/>
        <v>X</v>
      </c>
      <c r="X939" s="2" t="str">
        <f t="shared" si="233"/>
        <v>X</v>
      </c>
      <c r="Y939" s="2" t="str">
        <f t="shared" si="231"/>
        <v>X</v>
      </c>
      <c r="Z939" s="2" t="str">
        <f t="shared" si="232"/>
        <v>X</v>
      </c>
      <c r="AA939" s="2" t="str">
        <f t="shared" si="235"/>
        <v>(31 downto 24)</v>
      </c>
      <c r="AB939" s="2" t="str">
        <f t="shared" si="236"/>
        <v>(23 downto 16)</v>
      </c>
      <c r="AC939" s="2" t="str">
        <f t="shared" si="237"/>
        <v>(15 downto 8)</v>
      </c>
      <c r="AD939" s="2" t="str">
        <f t="shared" si="238"/>
        <v>(7 downto 0)</v>
      </c>
      <c r="AE939" s="2" t="str">
        <f t="shared" si="239"/>
        <v>(31 downto 24)</v>
      </c>
      <c r="AF939" s="2" t="str">
        <f t="shared" si="240"/>
        <v>(23 downto 16)</v>
      </c>
      <c r="AG939" s="2" t="str">
        <f t="shared" si="241"/>
        <v>(15 downto 8)</v>
      </c>
      <c r="AH939" s="2" t="str">
        <f t="shared" si="242"/>
        <v>(7 downto 0)</v>
      </c>
    </row>
    <row r="940" spans="2:34" x14ac:dyDescent="0.25">
      <c r="B940" s="2" t="s">
        <v>2635</v>
      </c>
      <c r="C940" s="2" t="s">
        <v>141</v>
      </c>
      <c r="D940" s="2" t="s">
        <v>0</v>
      </c>
      <c r="E940" s="2" t="s">
        <v>130</v>
      </c>
      <c r="F940" s="2" t="s">
        <v>2636</v>
      </c>
      <c r="G940" s="2" t="s">
        <v>2637</v>
      </c>
      <c r="H940" s="2" t="s">
        <v>142</v>
      </c>
      <c r="I940" s="2" t="s">
        <v>41</v>
      </c>
      <c r="J940" s="2">
        <v>32</v>
      </c>
      <c r="K940" s="2" t="s">
        <v>132</v>
      </c>
      <c r="L940" s="2" t="s">
        <v>40</v>
      </c>
      <c r="P940" s="2" t="s">
        <v>48</v>
      </c>
      <c r="Q940" s="2">
        <f>INDEX(Tables!$C$4:$C$28,MATCH($P940,Tables!$B$4:$B$28,0))</f>
        <v>32</v>
      </c>
      <c r="R940" s="2">
        <f>INDEX(Tables!$D$4:$D$28,MATCH($P940,Tables!$B$4:$B$28,0))</f>
        <v>4</v>
      </c>
      <c r="S940" s="2">
        <f>$S939+$R939+INDEX(Tables!$N$5:$Q$8,MATCH(MOD($S939+$R939,4),Tables!$M$5:$M$8,0),MATCH($R940,Tables!$N$4:$Q$4,0))</f>
        <v>3576</v>
      </c>
      <c r="T940" s="2" t="str">
        <f t="shared" si="228"/>
        <v>0DF8</v>
      </c>
      <c r="U940" s="2">
        <f t="shared" si="234"/>
        <v>894</v>
      </c>
      <c r="V940" s="2" t="str">
        <f t="shared" si="229"/>
        <v>37E</v>
      </c>
      <c r="W940" s="2" t="str">
        <f t="shared" si="230"/>
        <v>X</v>
      </c>
      <c r="X940" s="2" t="str">
        <f t="shared" si="233"/>
        <v>X</v>
      </c>
      <c r="Y940" s="2" t="str">
        <f t="shared" si="231"/>
        <v>X</v>
      </c>
      <c r="Z940" s="2" t="str">
        <f t="shared" si="232"/>
        <v>X</v>
      </c>
      <c r="AA940" s="2" t="str">
        <f t="shared" si="235"/>
        <v>(31 downto 24)</v>
      </c>
      <c r="AB940" s="2" t="str">
        <f t="shared" si="236"/>
        <v>(23 downto 16)</v>
      </c>
      <c r="AC940" s="2" t="str">
        <f t="shared" si="237"/>
        <v>(15 downto 8)</v>
      </c>
      <c r="AD940" s="2" t="str">
        <f t="shared" si="238"/>
        <v>(7 downto 0)</v>
      </c>
      <c r="AE940" s="2" t="str">
        <f t="shared" si="239"/>
        <v>(31 downto 24)</v>
      </c>
      <c r="AF940" s="2" t="str">
        <f t="shared" si="240"/>
        <v>(23 downto 16)</v>
      </c>
      <c r="AG940" s="2" t="str">
        <f t="shared" si="241"/>
        <v>(15 downto 8)</v>
      </c>
      <c r="AH940" s="2" t="str">
        <f t="shared" si="242"/>
        <v>(7 downto 0)</v>
      </c>
    </row>
    <row r="941" spans="2:34" x14ac:dyDescent="0.25">
      <c r="B941" s="2" t="s">
        <v>2638</v>
      </c>
      <c r="C941" s="2" t="s">
        <v>141</v>
      </c>
      <c r="D941" s="2" t="s">
        <v>0</v>
      </c>
      <c r="E941" s="2" t="s">
        <v>130</v>
      </c>
      <c r="F941" s="2" t="s">
        <v>2639</v>
      </c>
      <c r="G941" s="2" t="s">
        <v>2640</v>
      </c>
      <c r="H941" s="2" t="s">
        <v>142</v>
      </c>
      <c r="I941" s="2" t="s">
        <v>41</v>
      </c>
      <c r="J941" s="2">
        <v>32</v>
      </c>
      <c r="K941" s="2" t="s">
        <v>132</v>
      </c>
      <c r="L941" s="2" t="s">
        <v>40</v>
      </c>
      <c r="P941" s="2" t="s">
        <v>48</v>
      </c>
      <c r="Q941" s="2">
        <f>INDEX(Tables!$C$4:$C$28,MATCH($P941,Tables!$B$4:$B$28,0))</f>
        <v>32</v>
      </c>
      <c r="R941" s="2">
        <f>INDEX(Tables!$D$4:$D$28,MATCH($P941,Tables!$B$4:$B$28,0))</f>
        <v>4</v>
      </c>
      <c r="S941" s="2">
        <f>$S940+$R940+INDEX(Tables!$N$5:$Q$8,MATCH(MOD($S940+$R940,4),Tables!$M$5:$M$8,0),MATCH($R941,Tables!$N$4:$Q$4,0))</f>
        <v>3580</v>
      </c>
      <c r="T941" s="2" t="str">
        <f t="shared" si="228"/>
        <v>0DFC</v>
      </c>
      <c r="U941" s="2">
        <f t="shared" si="234"/>
        <v>895</v>
      </c>
      <c r="V941" s="2" t="str">
        <f t="shared" si="229"/>
        <v>37F</v>
      </c>
      <c r="W941" s="2" t="str">
        <f t="shared" si="230"/>
        <v>X</v>
      </c>
      <c r="X941" s="2" t="str">
        <f t="shared" si="233"/>
        <v>X</v>
      </c>
      <c r="Y941" s="2" t="str">
        <f t="shared" si="231"/>
        <v>X</v>
      </c>
      <c r="Z941" s="2" t="str">
        <f t="shared" si="232"/>
        <v>X</v>
      </c>
      <c r="AA941" s="2" t="str">
        <f t="shared" si="235"/>
        <v>(31 downto 24)</v>
      </c>
      <c r="AB941" s="2" t="str">
        <f t="shared" si="236"/>
        <v>(23 downto 16)</v>
      </c>
      <c r="AC941" s="2" t="str">
        <f t="shared" si="237"/>
        <v>(15 downto 8)</v>
      </c>
      <c r="AD941" s="2" t="str">
        <f t="shared" si="238"/>
        <v>(7 downto 0)</v>
      </c>
      <c r="AE941" s="2" t="str">
        <f t="shared" si="239"/>
        <v>(31 downto 24)</v>
      </c>
      <c r="AF941" s="2" t="str">
        <f t="shared" si="240"/>
        <v>(23 downto 16)</v>
      </c>
      <c r="AG941" s="2" t="str">
        <f t="shared" si="241"/>
        <v>(15 downto 8)</v>
      </c>
      <c r="AH941" s="2" t="str">
        <f t="shared" si="242"/>
        <v>(7 downto 0)</v>
      </c>
    </row>
    <row r="942" spans="2:34" x14ac:dyDescent="0.25">
      <c r="B942" s="2" t="s">
        <v>2641</v>
      </c>
      <c r="C942" s="2" t="s">
        <v>141</v>
      </c>
      <c r="D942" s="2" t="s">
        <v>0</v>
      </c>
      <c r="E942" s="2" t="s">
        <v>130</v>
      </c>
      <c r="F942" s="2" t="s">
        <v>2642</v>
      </c>
      <c r="G942" s="2" t="s">
        <v>2643</v>
      </c>
      <c r="H942" s="2" t="s">
        <v>142</v>
      </c>
      <c r="I942" s="2" t="s">
        <v>41</v>
      </c>
      <c r="J942" s="2">
        <v>32</v>
      </c>
      <c r="K942" s="2" t="s">
        <v>132</v>
      </c>
      <c r="L942" s="2" t="s">
        <v>40</v>
      </c>
      <c r="P942" s="2" t="s">
        <v>48</v>
      </c>
      <c r="Q942" s="2">
        <f>INDEX(Tables!$C$4:$C$28,MATCH($P942,Tables!$B$4:$B$28,0))</f>
        <v>32</v>
      </c>
      <c r="R942" s="2">
        <f>INDEX(Tables!$D$4:$D$28,MATCH($P942,Tables!$B$4:$B$28,0))</f>
        <v>4</v>
      </c>
      <c r="S942" s="2">
        <f>$S941+$R941+INDEX(Tables!$N$5:$Q$8,MATCH(MOD($S941+$R941,4),Tables!$M$5:$M$8,0),MATCH($R942,Tables!$N$4:$Q$4,0))</f>
        <v>3584</v>
      </c>
      <c r="T942" s="2" t="str">
        <f t="shared" si="228"/>
        <v>0E00</v>
      </c>
      <c r="U942" s="2">
        <f t="shared" si="234"/>
        <v>896</v>
      </c>
      <c r="V942" s="2" t="str">
        <f t="shared" si="229"/>
        <v>380</v>
      </c>
      <c r="W942" s="2" t="str">
        <f t="shared" si="230"/>
        <v>X</v>
      </c>
      <c r="X942" s="2" t="str">
        <f t="shared" si="233"/>
        <v>X</v>
      </c>
      <c r="Y942" s="2" t="str">
        <f t="shared" si="231"/>
        <v>X</v>
      </c>
      <c r="Z942" s="2" t="str">
        <f t="shared" si="232"/>
        <v>X</v>
      </c>
      <c r="AA942" s="2" t="str">
        <f t="shared" si="235"/>
        <v>(31 downto 24)</v>
      </c>
      <c r="AB942" s="2" t="str">
        <f t="shared" si="236"/>
        <v>(23 downto 16)</v>
      </c>
      <c r="AC942" s="2" t="str">
        <f t="shared" si="237"/>
        <v>(15 downto 8)</v>
      </c>
      <c r="AD942" s="2" t="str">
        <f t="shared" si="238"/>
        <v>(7 downto 0)</v>
      </c>
      <c r="AE942" s="2" t="str">
        <f t="shared" si="239"/>
        <v>(31 downto 24)</v>
      </c>
      <c r="AF942" s="2" t="str">
        <f t="shared" si="240"/>
        <v>(23 downto 16)</v>
      </c>
      <c r="AG942" s="2" t="str">
        <f t="shared" si="241"/>
        <v>(15 downto 8)</v>
      </c>
      <c r="AH942" s="2" t="str">
        <f t="shared" si="242"/>
        <v>(7 downto 0)</v>
      </c>
    </row>
    <row r="943" spans="2:34" x14ac:dyDescent="0.25">
      <c r="B943" s="2" t="s">
        <v>2644</v>
      </c>
      <c r="C943" s="2" t="s">
        <v>141</v>
      </c>
      <c r="D943" s="2" t="s">
        <v>0</v>
      </c>
      <c r="E943" s="2" t="s">
        <v>130</v>
      </c>
      <c r="F943" s="2" t="s">
        <v>2645</v>
      </c>
      <c r="G943" s="2" t="s">
        <v>2646</v>
      </c>
      <c r="H943" s="2" t="s">
        <v>142</v>
      </c>
      <c r="I943" s="2" t="s">
        <v>41</v>
      </c>
      <c r="J943" s="2">
        <v>32</v>
      </c>
      <c r="K943" s="2" t="s">
        <v>132</v>
      </c>
      <c r="L943" s="2" t="s">
        <v>40</v>
      </c>
      <c r="P943" s="2" t="s">
        <v>48</v>
      </c>
      <c r="Q943" s="2">
        <f>INDEX(Tables!$C$4:$C$28,MATCH($P943,Tables!$B$4:$B$28,0))</f>
        <v>32</v>
      </c>
      <c r="R943" s="2">
        <f>INDEX(Tables!$D$4:$D$28,MATCH($P943,Tables!$B$4:$B$28,0))</f>
        <v>4</v>
      </c>
      <c r="S943" s="2">
        <f>$S942+$R942+INDEX(Tables!$N$5:$Q$8,MATCH(MOD($S942+$R942,4),Tables!$M$5:$M$8,0),MATCH($R943,Tables!$N$4:$Q$4,0))</f>
        <v>3588</v>
      </c>
      <c r="T943" s="2" t="str">
        <f t="shared" si="228"/>
        <v>0E04</v>
      </c>
      <c r="U943" s="2">
        <f t="shared" si="234"/>
        <v>897</v>
      </c>
      <c r="V943" s="2" t="str">
        <f t="shared" si="229"/>
        <v>381</v>
      </c>
      <c r="W943" s="2" t="str">
        <f t="shared" si="230"/>
        <v>X</v>
      </c>
      <c r="X943" s="2" t="str">
        <f t="shared" si="233"/>
        <v>X</v>
      </c>
      <c r="Y943" s="2" t="str">
        <f t="shared" si="231"/>
        <v>X</v>
      </c>
      <c r="Z943" s="2" t="str">
        <f t="shared" si="232"/>
        <v>X</v>
      </c>
      <c r="AA943" s="2" t="str">
        <f t="shared" si="235"/>
        <v>(31 downto 24)</v>
      </c>
      <c r="AB943" s="2" t="str">
        <f t="shared" si="236"/>
        <v>(23 downto 16)</v>
      </c>
      <c r="AC943" s="2" t="str">
        <f t="shared" si="237"/>
        <v>(15 downto 8)</v>
      </c>
      <c r="AD943" s="2" t="str">
        <f t="shared" si="238"/>
        <v>(7 downto 0)</v>
      </c>
      <c r="AE943" s="2" t="str">
        <f t="shared" si="239"/>
        <v>(31 downto 24)</v>
      </c>
      <c r="AF943" s="2" t="str">
        <f t="shared" si="240"/>
        <v>(23 downto 16)</v>
      </c>
      <c r="AG943" s="2" t="str">
        <f t="shared" si="241"/>
        <v>(15 downto 8)</v>
      </c>
      <c r="AH943" s="2" t="str">
        <f t="shared" si="242"/>
        <v>(7 downto 0)</v>
      </c>
    </row>
    <row r="944" spans="2:34" x14ac:dyDescent="0.25">
      <c r="B944" s="2" t="s">
        <v>2647</v>
      </c>
      <c r="C944" s="2" t="s">
        <v>141</v>
      </c>
      <c r="D944" s="2" t="s">
        <v>0</v>
      </c>
      <c r="E944" s="2" t="s">
        <v>130</v>
      </c>
      <c r="F944" s="2" t="s">
        <v>2648</v>
      </c>
      <c r="G944" s="2" t="s">
        <v>2649</v>
      </c>
      <c r="H944" s="2" t="s">
        <v>142</v>
      </c>
      <c r="I944" s="2" t="s">
        <v>41</v>
      </c>
      <c r="J944" s="2">
        <v>32</v>
      </c>
      <c r="K944" s="2" t="s">
        <v>132</v>
      </c>
      <c r="L944" s="2" t="s">
        <v>40</v>
      </c>
      <c r="P944" s="2" t="s">
        <v>48</v>
      </c>
      <c r="Q944" s="2">
        <f>INDEX(Tables!$C$4:$C$28,MATCH($P944,Tables!$B$4:$B$28,0))</f>
        <v>32</v>
      </c>
      <c r="R944" s="2">
        <f>INDEX(Tables!$D$4:$D$28,MATCH($P944,Tables!$B$4:$B$28,0))</f>
        <v>4</v>
      </c>
      <c r="S944" s="2">
        <f>$S943+$R943+INDEX(Tables!$N$5:$Q$8,MATCH(MOD($S943+$R943,4),Tables!$M$5:$M$8,0),MATCH($R944,Tables!$N$4:$Q$4,0))</f>
        <v>3592</v>
      </c>
      <c r="T944" s="2" t="str">
        <f t="shared" si="228"/>
        <v>0E08</v>
      </c>
      <c r="U944" s="2">
        <f t="shared" si="234"/>
        <v>898</v>
      </c>
      <c r="V944" s="2" t="str">
        <f t="shared" si="229"/>
        <v>382</v>
      </c>
      <c r="W944" s="2" t="str">
        <f t="shared" si="230"/>
        <v>X</v>
      </c>
      <c r="X944" s="2" t="str">
        <f t="shared" si="233"/>
        <v>X</v>
      </c>
      <c r="Y944" s="2" t="str">
        <f t="shared" si="231"/>
        <v>X</v>
      </c>
      <c r="Z944" s="2" t="str">
        <f t="shared" si="232"/>
        <v>X</v>
      </c>
      <c r="AA944" s="2" t="str">
        <f t="shared" si="235"/>
        <v>(31 downto 24)</v>
      </c>
      <c r="AB944" s="2" t="str">
        <f t="shared" si="236"/>
        <v>(23 downto 16)</v>
      </c>
      <c r="AC944" s="2" t="str">
        <f t="shared" si="237"/>
        <v>(15 downto 8)</v>
      </c>
      <c r="AD944" s="2" t="str">
        <f t="shared" si="238"/>
        <v>(7 downto 0)</v>
      </c>
      <c r="AE944" s="2" t="str">
        <f t="shared" si="239"/>
        <v>(31 downto 24)</v>
      </c>
      <c r="AF944" s="2" t="str">
        <f t="shared" si="240"/>
        <v>(23 downto 16)</v>
      </c>
      <c r="AG944" s="2" t="str">
        <f t="shared" si="241"/>
        <v>(15 downto 8)</v>
      </c>
      <c r="AH944" s="2" t="str">
        <f t="shared" si="242"/>
        <v>(7 downto 0)</v>
      </c>
    </row>
    <row r="945" spans="2:34" x14ac:dyDescent="0.25">
      <c r="B945" s="2" t="s">
        <v>2650</v>
      </c>
      <c r="C945" s="2" t="s">
        <v>141</v>
      </c>
      <c r="D945" s="2" t="s">
        <v>0</v>
      </c>
      <c r="E945" s="2" t="s">
        <v>130</v>
      </c>
      <c r="F945" s="2" t="s">
        <v>2651</v>
      </c>
      <c r="G945" s="2" t="s">
        <v>2652</v>
      </c>
      <c r="H945" s="2" t="s">
        <v>142</v>
      </c>
      <c r="I945" s="2" t="s">
        <v>41</v>
      </c>
      <c r="J945" s="2">
        <v>32</v>
      </c>
      <c r="K945" s="2" t="s">
        <v>132</v>
      </c>
      <c r="L945" s="2" t="s">
        <v>40</v>
      </c>
      <c r="P945" s="2" t="s">
        <v>48</v>
      </c>
      <c r="Q945" s="2">
        <f>INDEX(Tables!$C$4:$C$28,MATCH($P945,Tables!$B$4:$B$28,0))</f>
        <v>32</v>
      </c>
      <c r="R945" s="2">
        <f>INDEX(Tables!$D$4:$D$28,MATCH($P945,Tables!$B$4:$B$28,0))</f>
        <v>4</v>
      </c>
      <c r="S945" s="2">
        <f>$S944+$R944+INDEX(Tables!$N$5:$Q$8,MATCH(MOD($S944+$R944,4),Tables!$M$5:$M$8,0),MATCH($R945,Tables!$N$4:$Q$4,0))</f>
        <v>3596</v>
      </c>
      <c r="T945" s="2" t="str">
        <f t="shared" si="228"/>
        <v>0E0C</v>
      </c>
      <c r="U945" s="2">
        <f t="shared" si="234"/>
        <v>899</v>
      </c>
      <c r="V945" s="2" t="str">
        <f t="shared" si="229"/>
        <v>383</v>
      </c>
      <c r="W945" s="2" t="str">
        <f t="shared" si="230"/>
        <v>X</v>
      </c>
      <c r="X945" s="2" t="str">
        <f t="shared" si="233"/>
        <v>X</v>
      </c>
      <c r="Y945" s="2" t="str">
        <f t="shared" si="231"/>
        <v>X</v>
      </c>
      <c r="Z945" s="2" t="str">
        <f t="shared" si="232"/>
        <v>X</v>
      </c>
      <c r="AA945" s="2" t="str">
        <f t="shared" si="235"/>
        <v>(31 downto 24)</v>
      </c>
      <c r="AB945" s="2" t="str">
        <f t="shared" si="236"/>
        <v>(23 downto 16)</v>
      </c>
      <c r="AC945" s="2" t="str">
        <f t="shared" si="237"/>
        <v>(15 downto 8)</v>
      </c>
      <c r="AD945" s="2" t="str">
        <f t="shared" si="238"/>
        <v>(7 downto 0)</v>
      </c>
      <c r="AE945" s="2" t="str">
        <f t="shared" si="239"/>
        <v>(31 downto 24)</v>
      </c>
      <c r="AF945" s="2" t="str">
        <f t="shared" si="240"/>
        <v>(23 downto 16)</v>
      </c>
      <c r="AG945" s="2" t="str">
        <f t="shared" si="241"/>
        <v>(15 downto 8)</v>
      </c>
      <c r="AH945" s="2" t="str">
        <f t="shared" si="242"/>
        <v>(7 downto 0)</v>
      </c>
    </row>
    <row r="946" spans="2:34" x14ac:dyDescent="0.25">
      <c r="B946" s="2" t="s">
        <v>2653</v>
      </c>
      <c r="C946" s="2" t="s">
        <v>141</v>
      </c>
      <c r="D946" s="2" t="s">
        <v>0</v>
      </c>
      <c r="E946" s="2" t="s">
        <v>130</v>
      </c>
      <c r="F946" s="2" t="s">
        <v>2654</v>
      </c>
      <c r="G946" s="2" t="s">
        <v>2655</v>
      </c>
      <c r="H946" s="2" t="s">
        <v>142</v>
      </c>
      <c r="I946" s="2" t="s">
        <v>41</v>
      </c>
      <c r="J946" s="2">
        <v>32</v>
      </c>
      <c r="K946" s="2" t="s">
        <v>132</v>
      </c>
      <c r="L946" s="2" t="s">
        <v>40</v>
      </c>
      <c r="P946" s="2" t="s">
        <v>48</v>
      </c>
      <c r="Q946" s="2">
        <f>INDEX(Tables!$C$4:$C$28,MATCH($P946,Tables!$B$4:$B$28,0))</f>
        <v>32</v>
      </c>
      <c r="R946" s="2">
        <f>INDEX(Tables!$D$4:$D$28,MATCH($P946,Tables!$B$4:$B$28,0))</f>
        <v>4</v>
      </c>
      <c r="S946" s="2">
        <f>$S945+$R945+INDEX(Tables!$N$5:$Q$8,MATCH(MOD($S945+$R945,4),Tables!$M$5:$M$8,0),MATCH($R946,Tables!$N$4:$Q$4,0))</f>
        <v>3600</v>
      </c>
      <c r="T946" s="2" t="str">
        <f t="shared" si="228"/>
        <v>0E10</v>
      </c>
      <c r="U946" s="2">
        <f t="shared" si="234"/>
        <v>900</v>
      </c>
      <c r="V946" s="2" t="str">
        <f t="shared" si="229"/>
        <v>384</v>
      </c>
      <c r="W946" s="2" t="str">
        <f t="shared" si="230"/>
        <v>X</v>
      </c>
      <c r="X946" s="2" t="str">
        <f t="shared" si="233"/>
        <v>X</v>
      </c>
      <c r="Y946" s="2" t="str">
        <f t="shared" si="231"/>
        <v>X</v>
      </c>
      <c r="Z946" s="2" t="str">
        <f t="shared" si="232"/>
        <v>X</v>
      </c>
      <c r="AA946" s="2" t="str">
        <f t="shared" si="235"/>
        <v>(31 downto 24)</v>
      </c>
      <c r="AB946" s="2" t="str">
        <f t="shared" si="236"/>
        <v>(23 downto 16)</v>
      </c>
      <c r="AC946" s="2" t="str">
        <f t="shared" si="237"/>
        <v>(15 downto 8)</v>
      </c>
      <c r="AD946" s="2" t="str">
        <f t="shared" si="238"/>
        <v>(7 downto 0)</v>
      </c>
      <c r="AE946" s="2" t="str">
        <f t="shared" si="239"/>
        <v>(31 downto 24)</v>
      </c>
      <c r="AF946" s="2" t="str">
        <f t="shared" si="240"/>
        <v>(23 downto 16)</v>
      </c>
      <c r="AG946" s="2" t="str">
        <f t="shared" si="241"/>
        <v>(15 downto 8)</v>
      </c>
      <c r="AH946" s="2" t="str">
        <f t="shared" si="242"/>
        <v>(7 downto 0)</v>
      </c>
    </row>
    <row r="947" spans="2:34" x14ac:dyDescent="0.25">
      <c r="B947" s="2" t="s">
        <v>2656</v>
      </c>
      <c r="C947" s="2" t="s">
        <v>141</v>
      </c>
      <c r="D947" s="2" t="s">
        <v>0</v>
      </c>
      <c r="E947" s="2" t="s">
        <v>130</v>
      </c>
      <c r="F947" s="2" t="s">
        <v>2657</v>
      </c>
      <c r="G947" s="2" t="s">
        <v>2658</v>
      </c>
      <c r="H947" s="2" t="s">
        <v>142</v>
      </c>
      <c r="I947" s="2" t="s">
        <v>41</v>
      </c>
      <c r="J947" s="2">
        <v>32</v>
      </c>
      <c r="K947" s="2" t="s">
        <v>132</v>
      </c>
      <c r="L947" s="2" t="s">
        <v>40</v>
      </c>
      <c r="P947" s="2" t="s">
        <v>48</v>
      </c>
      <c r="Q947" s="2">
        <f>INDEX(Tables!$C$4:$C$28,MATCH($P947,Tables!$B$4:$B$28,0))</f>
        <v>32</v>
      </c>
      <c r="R947" s="2">
        <f>INDEX(Tables!$D$4:$D$28,MATCH($P947,Tables!$B$4:$B$28,0))</f>
        <v>4</v>
      </c>
      <c r="S947" s="2">
        <f>$S946+$R946+INDEX(Tables!$N$5:$Q$8,MATCH(MOD($S946+$R946,4),Tables!$M$5:$M$8,0),MATCH($R947,Tables!$N$4:$Q$4,0))</f>
        <v>3604</v>
      </c>
      <c r="T947" s="2" t="str">
        <f t="shared" si="228"/>
        <v>0E14</v>
      </c>
      <c r="U947" s="2">
        <f t="shared" si="234"/>
        <v>901</v>
      </c>
      <c r="V947" s="2" t="str">
        <f t="shared" si="229"/>
        <v>385</v>
      </c>
      <c r="W947" s="2" t="str">
        <f t="shared" si="230"/>
        <v>X</v>
      </c>
      <c r="X947" s="2" t="str">
        <f t="shared" si="233"/>
        <v>X</v>
      </c>
      <c r="Y947" s="2" t="str">
        <f t="shared" si="231"/>
        <v>X</v>
      </c>
      <c r="Z947" s="2" t="str">
        <f t="shared" si="232"/>
        <v>X</v>
      </c>
      <c r="AA947" s="2" t="str">
        <f t="shared" si="235"/>
        <v>(31 downto 24)</v>
      </c>
      <c r="AB947" s="2" t="str">
        <f t="shared" si="236"/>
        <v>(23 downto 16)</v>
      </c>
      <c r="AC947" s="2" t="str">
        <f t="shared" si="237"/>
        <v>(15 downto 8)</v>
      </c>
      <c r="AD947" s="2" t="str">
        <f t="shared" si="238"/>
        <v>(7 downto 0)</v>
      </c>
      <c r="AE947" s="2" t="str">
        <f t="shared" si="239"/>
        <v>(31 downto 24)</v>
      </c>
      <c r="AF947" s="2" t="str">
        <f t="shared" si="240"/>
        <v>(23 downto 16)</v>
      </c>
      <c r="AG947" s="2" t="str">
        <f t="shared" si="241"/>
        <v>(15 downto 8)</v>
      </c>
      <c r="AH947" s="2" t="str">
        <f t="shared" si="242"/>
        <v>(7 downto 0)</v>
      </c>
    </row>
    <row r="948" spans="2:34" x14ac:dyDescent="0.25">
      <c r="B948" s="2" t="s">
        <v>2659</v>
      </c>
      <c r="C948" s="2" t="s">
        <v>141</v>
      </c>
      <c r="D948" s="2" t="s">
        <v>0</v>
      </c>
      <c r="E948" s="2" t="s">
        <v>130</v>
      </c>
      <c r="F948" s="2" t="s">
        <v>2660</v>
      </c>
      <c r="G948" s="2" t="s">
        <v>2661</v>
      </c>
      <c r="H948" s="2" t="s">
        <v>142</v>
      </c>
      <c r="I948" s="2" t="s">
        <v>41</v>
      </c>
      <c r="J948" s="2">
        <v>32</v>
      </c>
      <c r="K948" s="2" t="s">
        <v>132</v>
      </c>
      <c r="L948" s="2" t="s">
        <v>40</v>
      </c>
      <c r="P948" s="2" t="s">
        <v>48</v>
      </c>
      <c r="Q948" s="2">
        <f>INDEX(Tables!$C$4:$C$28,MATCH($P948,Tables!$B$4:$B$28,0))</f>
        <v>32</v>
      </c>
      <c r="R948" s="2">
        <f>INDEX(Tables!$D$4:$D$28,MATCH($P948,Tables!$B$4:$B$28,0))</f>
        <v>4</v>
      </c>
      <c r="S948" s="2">
        <f>$S947+$R947+INDEX(Tables!$N$5:$Q$8,MATCH(MOD($S947+$R947,4),Tables!$M$5:$M$8,0),MATCH($R948,Tables!$N$4:$Q$4,0))</f>
        <v>3608</v>
      </c>
      <c r="T948" s="2" t="str">
        <f t="shared" si="228"/>
        <v>0E18</v>
      </c>
      <c r="U948" s="2">
        <f t="shared" si="234"/>
        <v>902</v>
      </c>
      <c r="V948" s="2" t="str">
        <f t="shared" si="229"/>
        <v>386</v>
      </c>
      <c r="W948" s="2" t="str">
        <f t="shared" si="230"/>
        <v>X</v>
      </c>
      <c r="X948" s="2" t="str">
        <f t="shared" si="233"/>
        <v>X</v>
      </c>
      <c r="Y948" s="2" t="str">
        <f t="shared" si="231"/>
        <v>X</v>
      </c>
      <c r="Z948" s="2" t="str">
        <f t="shared" si="232"/>
        <v>X</v>
      </c>
      <c r="AA948" s="2" t="str">
        <f t="shared" si="235"/>
        <v>(31 downto 24)</v>
      </c>
      <c r="AB948" s="2" t="str">
        <f t="shared" si="236"/>
        <v>(23 downto 16)</v>
      </c>
      <c r="AC948" s="2" t="str">
        <f t="shared" si="237"/>
        <v>(15 downto 8)</v>
      </c>
      <c r="AD948" s="2" t="str">
        <f t="shared" si="238"/>
        <v>(7 downto 0)</v>
      </c>
      <c r="AE948" s="2" t="str">
        <f t="shared" si="239"/>
        <v>(31 downto 24)</v>
      </c>
      <c r="AF948" s="2" t="str">
        <f t="shared" si="240"/>
        <v>(23 downto 16)</v>
      </c>
      <c r="AG948" s="2" t="str">
        <f t="shared" si="241"/>
        <v>(15 downto 8)</v>
      </c>
      <c r="AH948" s="2" t="str">
        <f t="shared" si="242"/>
        <v>(7 downto 0)</v>
      </c>
    </row>
    <row r="949" spans="2:34" x14ac:dyDescent="0.25">
      <c r="B949" s="2" t="s">
        <v>2662</v>
      </c>
      <c r="C949" s="2" t="s">
        <v>141</v>
      </c>
      <c r="D949" s="2" t="s">
        <v>0</v>
      </c>
      <c r="E949" s="2" t="s">
        <v>130</v>
      </c>
      <c r="F949" s="2" t="s">
        <v>2663</v>
      </c>
      <c r="G949" s="2" t="s">
        <v>2664</v>
      </c>
      <c r="H949" s="2" t="s">
        <v>142</v>
      </c>
      <c r="I949" s="2" t="s">
        <v>41</v>
      </c>
      <c r="J949" s="2">
        <v>32</v>
      </c>
      <c r="K949" s="2" t="s">
        <v>132</v>
      </c>
      <c r="L949" s="2" t="s">
        <v>40</v>
      </c>
      <c r="P949" s="2" t="s">
        <v>48</v>
      </c>
      <c r="Q949" s="2">
        <f>INDEX(Tables!$C$4:$C$28,MATCH($P949,Tables!$B$4:$B$28,0))</f>
        <v>32</v>
      </c>
      <c r="R949" s="2">
        <f>INDEX(Tables!$D$4:$D$28,MATCH($P949,Tables!$B$4:$B$28,0))</f>
        <v>4</v>
      </c>
      <c r="S949" s="2">
        <f>$S948+$R948+INDEX(Tables!$N$5:$Q$8,MATCH(MOD($S948+$R948,4),Tables!$M$5:$M$8,0),MATCH($R949,Tables!$N$4:$Q$4,0))</f>
        <v>3612</v>
      </c>
      <c r="T949" s="2" t="str">
        <f t="shared" si="228"/>
        <v>0E1C</v>
      </c>
      <c r="U949" s="2">
        <f t="shared" si="234"/>
        <v>903</v>
      </c>
      <c r="V949" s="2" t="str">
        <f t="shared" si="229"/>
        <v>387</v>
      </c>
      <c r="W949" s="2" t="str">
        <f t="shared" si="230"/>
        <v>X</v>
      </c>
      <c r="X949" s="2" t="str">
        <f t="shared" si="233"/>
        <v>X</v>
      </c>
      <c r="Y949" s="2" t="str">
        <f t="shared" si="231"/>
        <v>X</v>
      </c>
      <c r="Z949" s="2" t="str">
        <f t="shared" si="232"/>
        <v>X</v>
      </c>
      <c r="AA949" s="2" t="str">
        <f t="shared" si="235"/>
        <v>(31 downto 24)</v>
      </c>
      <c r="AB949" s="2" t="str">
        <f t="shared" si="236"/>
        <v>(23 downto 16)</v>
      </c>
      <c r="AC949" s="2" t="str">
        <f t="shared" si="237"/>
        <v>(15 downto 8)</v>
      </c>
      <c r="AD949" s="2" t="str">
        <f t="shared" si="238"/>
        <v>(7 downto 0)</v>
      </c>
      <c r="AE949" s="2" t="str">
        <f t="shared" si="239"/>
        <v>(31 downto 24)</v>
      </c>
      <c r="AF949" s="2" t="str">
        <f t="shared" si="240"/>
        <v>(23 downto 16)</v>
      </c>
      <c r="AG949" s="2" t="str">
        <f t="shared" si="241"/>
        <v>(15 downto 8)</v>
      </c>
      <c r="AH949" s="2" t="str">
        <f t="shared" si="242"/>
        <v>(7 downto 0)</v>
      </c>
    </row>
    <row r="950" spans="2:34" x14ac:dyDescent="0.25">
      <c r="B950" s="2" t="s">
        <v>2665</v>
      </c>
      <c r="C950" s="2" t="s">
        <v>141</v>
      </c>
      <c r="D950" s="2" t="s">
        <v>0</v>
      </c>
      <c r="E950" s="2" t="s">
        <v>130</v>
      </c>
      <c r="F950" s="2" t="s">
        <v>2666</v>
      </c>
      <c r="G950" s="2" t="s">
        <v>2667</v>
      </c>
      <c r="H950" s="2" t="s">
        <v>142</v>
      </c>
      <c r="I950" s="2" t="s">
        <v>41</v>
      </c>
      <c r="J950" s="2">
        <v>32</v>
      </c>
      <c r="K950" s="2" t="s">
        <v>132</v>
      </c>
      <c r="L950" s="2" t="s">
        <v>40</v>
      </c>
      <c r="P950" s="2" t="s">
        <v>48</v>
      </c>
      <c r="Q950" s="2">
        <f>INDEX(Tables!$C$4:$C$28,MATCH($P950,Tables!$B$4:$B$28,0))</f>
        <v>32</v>
      </c>
      <c r="R950" s="2">
        <f>INDEX(Tables!$D$4:$D$28,MATCH($P950,Tables!$B$4:$B$28,0))</f>
        <v>4</v>
      </c>
      <c r="S950" s="2">
        <f>$S949+$R949+INDEX(Tables!$N$5:$Q$8,MATCH(MOD($S949+$R949,4),Tables!$M$5:$M$8,0),MATCH($R950,Tables!$N$4:$Q$4,0))</f>
        <v>3616</v>
      </c>
      <c r="T950" s="2" t="str">
        <f t="shared" si="228"/>
        <v>0E20</v>
      </c>
      <c r="U950" s="2">
        <f t="shared" si="234"/>
        <v>904</v>
      </c>
      <c r="V950" s="2" t="str">
        <f t="shared" si="229"/>
        <v>388</v>
      </c>
      <c r="W950" s="2" t="str">
        <f t="shared" si="230"/>
        <v>X</v>
      </c>
      <c r="X950" s="2" t="str">
        <f t="shared" si="233"/>
        <v>X</v>
      </c>
      <c r="Y950" s="2" t="str">
        <f t="shared" si="231"/>
        <v>X</v>
      </c>
      <c r="Z950" s="2" t="str">
        <f t="shared" si="232"/>
        <v>X</v>
      </c>
      <c r="AA950" s="2" t="str">
        <f t="shared" si="235"/>
        <v>(31 downto 24)</v>
      </c>
      <c r="AB950" s="2" t="str">
        <f t="shared" si="236"/>
        <v>(23 downto 16)</v>
      </c>
      <c r="AC950" s="2" t="str">
        <f t="shared" si="237"/>
        <v>(15 downto 8)</v>
      </c>
      <c r="AD950" s="2" t="str">
        <f t="shared" si="238"/>
        <v>(7 downto 0)</v>
      </c>
      <c r="AE950" s="2" t="str">
        <f t="shared" si="239"/>
        <v>(31 downto 24)</v>
      </c>
      <c r="AF950" s="2" t="str">
        <f t="shared" si="240"/>
        <v>(23 downto 16)</v>
      </c>
      <c r="AG950" s="2" t="str">
        <f t="shared" si="241"/>
        <v>(15 downto 8)</v>
      </c>
      <c r="AH950" s="2" t="str">
        <f t="shared" si="242"/>
        <v>(7 downto 0)</v>
      </c>
    </row>
    <row r="951" spans="2:34" x14ac:dyDescent="0.25">
      <c r="B951" s="2" t="s">
        <v>2668</v>
      </c>
      <c r="C951" s="2" t="s">
        <v>141</v>
      </c>
      <c r="D951" s="2" t="s">
        <v>0</v>
      </c>
      <c r="E951" s="2" t="s">
        <v>130</v>
      </c>
      <c r="F951" s="2" t="s">
        <v>2669</v>
      </c>
      <c r="G951" s="2" t="s">
        <v>2670</v>
      </c>
      <c r="H951" s="2" t="s">
        <v>142</v>
      </c>
      <c r="I951" s="2" t="s">
        <v>41</v>
      </c>
      <c r="J951" s="2">
        <v>32</v>
      </c>
      <c r="K951" s="2" t="s">
        <v>132</v>
      </c>
      <c r="L951" s="2" t="s">
        <v>40</v>
      </c>
      <c r="P951" s="2" t="s">
        <v>48</v>
      </c>
      <c r="Q951" s="2">
        <f>INDEX(Tables!$C$4:$C$28,MATCH($P951,Tables!$B$4:$B$28,0))</f>
        <v>32</v>
      </c>
      <c r="R951" s="2">
        <f>INDEX(Tables!$D$4:$D$28,MATCH($P951,Tables!$B$4:$B$28,0))</f>
        <v>4</v>
      </c>
      <c r="S951" s="2">
        <f>$S950+$R950+INDEX(Tables!$N$5:$Q$8,MATCH(MOD($S950+$R950,4),Tables!$M$5:$M$8,0),MATCH($R951,Tables!$N$4:$Q$4,0))</f>
        <v>3620</v>
      </c>
      <c r="T951" s="2" t="str">
        <f t="shared" si="228"/>
        <v>0E24</v>
      </c>
      <c r="U951" s="2">
        <f t="shared" si="234"/>
        <v>905</v>
      </c>
      <c r="V951" s="2" t="str">
        <f t="shared" si="229"/>
        <v>389</v>
      </c>
      <c r="W951" s="2" t="str">
        <f t="shared" si="230"/>
        <v>X</v>
      </c>
      <c r="X951" s="2" t="str">
        <f t="shared" si="233"/>
        <v>X</v>
      </c>
      <c r="Y951" s="2" t="str">
        <f t="shared" si="231"/>
        <v>X</v>
      </c>
      <c r="Z951" s="2" t="str">
        <f t="shared" si="232"/>
        <v>X</v>
      </c>
      <c r="AA951" s="2" t="str">
        <f t="shared" si="235"/>
        <v>(31 downto 24)</v>
      </c>
      <c r="AB951" s="2" t="str">
        <f t="shared" si="236"/>
        <v>(23 downto 16)</v>
      </c>
      <c r="AC951" s="2" t="str">
        <f t="shared" si="237"/>
        <v>(15 downto 8)</v>
      </c>
      <c r="AD951" s="2" t="str">
        <f t="shared" si="238"/>
        <v>(7 downto 0)</v>
      </c>
      <c r="AE951" s="2" t="str">
        <f t="shared" si="239"/>
        <v>(31 downto 24)</v>
      </c>
      <c r="AF951" s="2" t="str">
        <f t="shared" si="240"/>
        <v>(23 downto 16)</v>
      </c>
      <c r="AG951" s="2" t="str">
        <f t="shared" si="241"/>
        <v>(15 downto 8)</v>
      </c>
      <c r="AH951" s="2" t="str">
        <f t="shared" si="242"/>
        <v>(7 downto 0)</v>
      </c>
    </row>
    <row r="952" spans="2:34" x14ac:dyDescent="0.25">
      <c r="B952" s="2" t="s">
        <v>2671</v>
      </c>
      <c r="C952" s="2" t="s">
        <v>141</v>
      </c>
      <c r="D952" s="2" t="s">
        <v>0</v>
      </c>
      <c r="E952" s="2" t="s">
        <v>130</v>
      </c>
      <c r="F952" s="2" t="s">
        <v>2672</v>
      </c>
      <c r="G952" s="2" t="s">
        <v>2673</v>
      </c>
      <c r="H952" s="2" t="s">
        <v>142</v>
      </c>
      <c r="I952" s="2" t="s">
        <v>41</v>
      </c>
      <c r="J952" s="2">
        <v>32</v>
      </c>
      <c r="K952" s="2" t="s">
        <v>132</v>
      </c>
      <c r="L952" s="2" t="s">
        <v>40</v>
      </c>
      <c r="P952" s="2" t="s">
        <v>48</v>
      </c>
      <c r="Q952" s="2">
        <f>INDEX(Tables!$C$4:$C$28,MATCH($P952,Tables!$B$4:$B$28,0))</f>
        <v>32</v>
      </c>
      <c r="R952" s="2">
        <f>INDEX(Tables!$D$4:$D$28,MATCH($P952,Tables!$B$4:$B$28,0))</f>
        <v>4</v>
      </c>
      <c r="S952" s="2">
        <f>$S951+$R951+INDEX(Tables!$N$5:$Q$8,MATCH(MOD($S951+$R951,4),Tables!$M$5:$M$8,0),MATCH($R952,Tables!$N$4:$Q$4,0))</f>
        <v>3624</v>
      </c>
      <c r="T952" s="2" t="str">
        <f t="shared" si="228"/>
        <v>0E28</v>
      </c>
      <c r="U952" s="2">
        <f t="shared" si="234"/>
        <v>906</v>
      </c>
      <c r="V952" s="2" t="str">
        <f t="shared" si="229"/>
        <v>38A</v>
      </c>
      <c r="W952" s="2" t="str">
        <f t="shared" si="230"/>
        <v>X</v>
      </c>
      <c r="X952" s="2" t="str">
        <f t="shared" si="233"/>
        <v>X</v>
      </c>
      <c r="Y952" s="2" t="str">
        <f t="shared" si="231"/>
        <v>X</v>
      </c>
      <c r="Z952" s="2" t="str">
        <f t="shared" si="232"/>
        <v>X</v>
      </c>
      <c r="AA952" s="2" t="str">
        <f t="shared" si="235"/>
        <v>(31 downto 24)</v>
      </c>
      <c r="AB952" s="2" t="str">
        <f t="shared" si="236"/>
        <v>(23 downto 16)</v>
      </c>
      <c r="AC952" s="2" t="str">
        <f t="shared" si="237"/>
        <v>(15 downto 8)</v>
      </c>
      <c r="AD952" s="2" t="str">
        <f t="shared" si="238"/>
        <v>(7 downto 0)</v>
      </c>
      <c r="AE952" s="2" t="str">
        <f t="shared" si="239"/>
        <v>(31 downto 24)</v>
      </c>
      <c r="AF952" s="2" t="str">
        <f t="shared" si="240"/>
        <v>(23 downto 16)</v>
      </c>
      <c r="AG952" s="2" t="str">
        <f t="shared" si="241"/>
        <v>(15 downto 8)</v>
      </c>
      <c r="AH952" s="2" t="str">
        <f t="shared" si="242"/>
        <v>(7 downto 0)</v>
      </c>
    </row>
    <row r="953" spans="2:34" x14ac:dyDescent="0.25">
      <c r="B953" s="2" t="s">
        <v>2674</v>
      </c>
      <c r="C953" s="2" t="s">
        <v>141</v>
      </c>
      <c r="D953" s="2" t="s">
        <v>0</v>
      </c>
      <c r="E953" s="2" t="s">
        <v>130</v>
      </c>
      <c r="F953" s="2" t="s">
        <v>2675</v>
      </c>
      <c r="G953" s="2" t="s">
        <v>2676</v>
      </c>
      <c r="H953" s="2" t="s">
        <v>142</v>
      </c>
      <c r="I953" s="2" t="s">
        <v>41</v>
      </c>
      <c r="J953" s="2">
        <v>32</v>
      </c>
      <c r="K953" s="2" t="s">
        <v>132</v>
      </c>
      <c r="L953" s="2" t="s">
        <v>40</v>
      </c>
      <c r="P953" s="2" t="s">
        <v>48</v>
      </c>
      <c r="Q953" s="2">
        <f>INDEX(Tables!$C$4:$C$28,MATCH($P953,Tables!$B$4:$B$28,0))</f>
        <v>32</v>
      </c>
      <c r="R953" s="2">
        <f>INDEX(Tables!$D$4:$D$28,MATCH($P953,Tables!$B$4:$B$28,0))</f>
        <v>4</v>
      </c>
      <c r="S953" s="2">
        <f>$S952+$R952+INDEX(Tables!$N$5:$Q$8,MATCH(MOD($S952+$R952,4),Tables!$M$5:$M$8,0),MATCH($R953,Tables!$N$4:$Q$4,0))</f>
        <v>3628</v>
      </c>
      <c r="T953" s="2" t="str">
        <f t="shared" si="228"/>
        <v>0E2C</v>
      </c>
      <c r="U953" s="2">
        <f t="shared" si="234"/>
        <v>907</v>
      </c>
      <c r="V953" s="2" t="str">
        <f t="shared" si="229"/>
        <v>38B</v>
      </c>
      <c r="W953" s="2" t="str">
        <f t="shared" si="230"/>
        <v>X</v>
      </c>
      <c r="X953" s="2" t="str">
        <f t="shared" si="233"/>
        <v>X</v>
      </c>
      <c r="Y953" s="2" t="str">
        <f t="shared" si="231"/>
        <v>X</v>
      </c>
      <c r="Z953" s="2" t="str">
        <f t="shared" si="232"/>
        <v>X</v>
      </c>
      <c r="AA953" s="2" t="str">
        <f t="shared" si="235"/>
        <v>(31 downto 24)</v>
      </c>
      <c r="AB953" s="2" t="str">
        <f t="shared" si="236"/>
        <v>(23 downto 16)</v>
      </c>
      <c r="AC953" s="2" t="str">
        <f t="shared" si="237"/>
        <v>(15 downto 8)</v>
      </c>
      <c r="AD953" s="2" t="str">
        <f t="shared" si="238"/>
        <v>(7 downto 0)</v>
      </c>
      <c r="AE953" s="2" t="str">
        <f t="shared" si="239"/>
        <v>(31 downto 24)</v>
      </c>
      <c r="AF953" s="2" t="str">
        <f t="shared" si="240"/>
        <v>(23 downto 16)</v>
      </c>
      <c r="AG953" s="2" t="str">
        <f t="shared" si="241"/>
        <v>(15 downto 8)</v>
      </c>
      <c r="AH953" s="2" t="str">
        <f t="shared" si="242"/>
        <v>(7 downto 0)</v>
      </c>
    </row>
    <row r="954" spans="2:34" x14ac:dyDescent="0.25">
      <c r="B954" s="2" t="s">
        <v>2677</v>
      </c>
      <c r="C954" s="2" t="s">
        <v>141</v>
      </c>
      <c r="D954" s="2" t="s">
        <v>0</v>
      </c>
      <c r="E954" s="2" t="s">
        <v>130</v>
      </c>
      <c r="F954" s="2" t="s">
        <v>2678</v>
      </c>
      <c r="G954" s="2" t="s">
        <v>2679</v>
      </c>
      <c r="H954" s="2" t="s">
        <v>142</v>
      </c>
      <c r="I954" s="2" t="s">
        <v>41</v>
      </c>
      <c r="J954" s="2">
        <v>32</v>
      </c>
      <c r="K954" s="2" t="s">
        <v>132</v>
      </c>
      <c r="L954" s="2" t="s">
        <v>40</v>
      </c>
      <c r="P954" s="2" t="s">
        <v>48</v>
      </c>
      <c r="Q954" s="2">
        <f>INDEX(Tables!$C$4:$C$28,MATCH($P954,Tables!$B$4:$B$28,0))</f>
        <v>32</v>
      </c>
      <c r="R954" s="2">
        <f>INDEX(Tables!$D$4:$D$28,MATCH($P954,Tables!$B$4:$B$28,0))</f>
        <v>4</v>
      </c>
      <c r="S954" s="2">
        <f>$S953+$R953+INDEX(Tables!$N$5:$Q$8,MATCH(MOD($S953+$R953,4),Tables!$M$5:$M$8,0),MATCH($R954,Tables!$N$4:$Q$4,0))</f>
        <v>3632</v>
      </c>
      <c r="T954" s="2" t="str">
        <f t="shared" si="228"/>
        <v>0E30</v>
      </c>
      <c r="U954" s="2">
        <f t="shared" si="234"/>
        <v>908</v>
      </c>
      <c r="V954" s="2" t="str">
        <f t="shared" si="229"/>
        <v>38C</v>
      </c>
      <c r="W954" s="2" t="str">
        <f t="shared" si="230"/>
        <v>X</v>
      </c>
      <c r="X954" s="2" t="str">
        <f t="shared" si="233"/>
        <v>X</v>
      </c>
      <c r="Y954" s="2" t="str">
        <f t="shared" si="231"/>
        <v>X</v>
      </c>
      <c r="Z954" s="2" t="str">
        <f t="shared" si="232"/>
        <v>X</v>
      </c>
      <c r="AA954" s="2" t="str">
        <f t="shared" si="235"/>
        <v>(31 downto 24)</v>
      </c>
      <c r="AB954" s="2" t="str">
        <f t="shared" si="236"/>
        <v>(23 downto 16)</v>
      </c>
      <c r="AC954" s="2" t="str">
        <f t="shared" si="237"/>
        <v>(15 downto 8)</v>
      </c>
      <c r="AD954" s="2" t="str">
        <f t="shared" si="238"/>
        <v>(7 downto 0)</v>
      </c>
      <c r="AE954" s="2" t="str">
        <f t="shared" si="239"/>
        <v>(31 downto 24)</v>
      </c>
      <c r="AF954" s="2" t="str">
        <f t="shared" si="240"/>
        <v>(23 downto 16)</v>
      </c>
      <c r="AG954" s="2" t="str">
        <f t="shared" si="241"/>
        <v>(15 downto 8)</v>
      </c>
      <c r="AH954" s="2" t="str">
        <f t="shared" si="242"/>
        <v>(7 downto 0)</v>
      </c>
    </row>
    <row r="955" spans="2:34" x14ac:dyDescent="0.25">
      <c r="B955" s="2" t="s">
        <v>2680</v>
      </c>
      <c r="C955" s="2" t="s">
        <v>141</v>
      </c>
      <c r="D955" s="2" t="s">
        <v>0</v>
      </c>
      <c r="E955" s="2" t="s">
        <v>130</v>
      </c>
      <c r="F955" s="2" t="s">
        <v>2681</v>
      </c>
      <c r="G955" s="2" t="s">
        <v>2682</v>
      </c>
      <c r="H955" s="2" t="s">
        <v>142</v>
      </c>
      <c r="I955" s="2" t="s">
        <v>41</v>
      </c>
      <c r="J955" s="2">
        <v>32</v>
      </c>
      <c r="K955" s="2" t="s">
        <v>132</v>
      </c>
      <c r="L955" s="2" t="s">
        <v>40</v>
      </c>
      <c r="P955" s="2" t="s">
        <v>48</v>
      </c>
      <c r="Q955" s="2">
        <f>INDEX(Tables!$C$4:$C$28,MATCH($P955,Tables!$B$4:$B$28,0))</f>
        <v>32</v>
      </c>
      <c r="R955" s="2">
        <f>INDEX(Tables!$D$4:$D$28,MATCH($P955,Tables!$B$4:$B$28,0))</f>
        <v>4</v>
      </c>
      <c r="S955" s="2">
        <f>$S954+$R954+INDEX(Tables!$N$5:$Q$8,MATCH(MOD($S954+$R954,4),Tables!$M$5:$M$8,0),MATCH($R955,Tables!$N$4:$Q$4,0))</f>
        <v>3636</v>
      </c>
      <c r="T955" s="2" t="str">
        <f t="shared" si="228"/>
        <v>0E34</v>
      </c>
      <c r="U955" s="2">
        <f t="shared" si="234"/>
        <v>909</v>
      </c>
      <c r="V955" s="2" t="str">
        <f t="shared" si="229"/>
        <v>38D</v>
      </c>
      <c r="W955" s="2" t="str">
        <f t="shared" si="230"/>
        <v>X</v>
      </c>
      <c r="X955" s="2" t="str">
        <f t="shared" si="233"/>
        <v>X</v>
      </c>
      <c r="Y955" s="2" t="str">
        <f t="shared" si="231"/>
        <v>X</v>
      </c>
      <c r="Z955" s="2" t="str">
        <f t="shared" si="232"/>
        <v>X</v>
      </c>
      <c r="AA955" s="2" t="str">
        <f t="shared" si="235"/>
        <v>(31 downto 24)</v>
      </c>
      <c r="AB955" s="2" t="str">
        <f t="shared" si="236"/>
        <v>(23 downto 16)</v>
      </c>
      <c r="AC955" s="2" t="str">
        <f t="shared" si="237"/>
        <v>(15 downto 8)</v>
      </c>
      <c r="AD955" s="2" t="str">
        <f t="shared" si="238"/>
        <v>(7 downto 0)</v>
      </c>
      <c r="AE955" s="2" t="str">
        <f t="shared" si="239"/>
        <v>(31 downto 24)</v>
      </c>
      <c r="AF955" s="2" t="str">
        <f t="shared" si="240"/>
        <v>(23 downto 16)</v>
      </c>
      <c r="AG955" s="2" t="str">
        <f t="shared" si="241"/>
        <v>(15 downto 8)</v>
      </c>
      <c r="AH955" s="2" t="str">
        <f t="shared" si="242"/>
        <v>(7 downto 0)</v>
      </c>
    </row>
    <row r="956" spans="2:34" x14ac:dyDescent="0.25">
      <c r="B956" s="2" t="s">
        <v>2683</v>
      </c>
      <c r="C956" s="2" t="s">
        <v>141</v>
      </c>
      <c r="D956" s="2" t="s">
        <v>0</v>
      </c>
      <c r="E956" s="2" t="s">
        <v>130</v>
      </c>
      <c r="F956" s="2" t="s">
        <v>2684</v>
      </c>
      <c r="G956" s="2" t="s">
        <v>2685</v>
      </c>
      <c r="H956" s="2" t="s">
        <v>142</v>
      </c>
      <c r="I956" s="2" t="s">
        <v>41</v>
      </c>
      <c r="J956" s="2">
        <v>32</v>
      </c>
      <c r="K956" s="2" t="s">
        <v>132</v>
      </c>
      <c r="L956" s="2" t="s">
        <v>40</v>
      </c>
      <c r="P956" s="2" t="s">
        <v>48</v>
      </c>
      <c r="Q956" s="2">
        <f>INDEX(Tables!$C$4:$C$28,MATCH($P956,Tables!$B$4:$B$28,0))</f>
        <v>32</v>
      </c>
      <c r="R956" s="2">
        <f>INDEX(Tables!$D$4:$D$28,MATCH($P956,Tables!$B$4:$B$28,0))</f>
        <v>4</v>
      </c>
      <c r="S956" s="2">
        <f>$S955+$R955+INDEX(Tables!$N$5:$Q$8,MATCH(MOD($S955+$R955,4),Tables!$M$5:$M$8,0),MATCH($R956,Tables!$N$4:$Q$4,0))</f>
        <v>3640</v>
      </c>
      <c r="T956" s="2" t="str">
        <f t="shared" si="228"/>
        <v>0E38</v>
      </c>
      <c r="U956" s="2">
        <f t="shared" si="234"/>
        <v>910</v>
      </c>
      <c r="V956" s="2" t="str">
        <f t="shared" si="229"/>
        <v>38E</v>
      </c>
      <c r="W956" s="2" t="str">
        <f t="shared" si="230"/>
        <v>X</v>
      </c>
      <c r="X956" s="2" t="str">
        <f t="shared" si="233"/>
        <v>X</v>
      </c>
      <c r="Y956" s="2" t="str">
        <f t="shared" si="231"/>
        <v>X</v>
      </c>
      <c r="Z956" s="2" t="str">
        <f t="shared" si="232"/>
        <v>X</v>
      </c>
      <c r="AA956" s="2" t="str">
        <f t="shared" si="235"/>
        <v>(31 downto 24)</v>
      </c>
      <c r="AB956" s="2" t="str">
        <f t="shared" si="236"/>
        <v>(23 downto 16)</v>
      </c>
      <c r="AC956" s="2" t="str">
        <f t="shared" si="237"/>
        <v>(15 downto 8)</v>
      </c>
      <c r="AD956" s="2" t="str">
        <f t="shared" si="238"/>
        <v>(7 downto 0)</v>
      </c>
      <c r="AE956" s="2" t="str">
        <f t="shared" si="239"/>
        <v>(31 downto 24)</v>
      </c>
      <c r="AF956" s="2" t="str">
        <f t="shared" si="240"/>
        <v>(23 downto 16)</v>
      </c>
      <c r="AG956" s="2" t="str">
        <f t="shared" si="241"/>
        <v>(15 downto 8)</v>
      </c>
      <c r="AH956" s="2" t="str">
        <f t="shared" si="242"/>
        <v>(7 downto 0)</v>
      </c>
    </row>
    <row r="957" spans="2:34" x14ac:dyDescent="0.25">
      <c r="B957" s="2" t="s">
        <v>2686</v>
      </c>
      <c r="C957" s="2" t="s">
        <v>141</v>
      </c>
      <c r="D957" s="2" t="s">
        <v>0</v>
      </c>
      <c r="E957" s="2" t="s">
        <v>130</v>
      </c>
      <c r="F957" s="2" t="s">
        <v>2687</v>
      </c>
      <c r="G957" s="2" t="s">
        <v>2688</v>
      </c>
      <c r="H957" s="2" t="s">
        <v>142</v>
      </c>
      <c r="I957" s="2" t="s">
        <v>41</v>
      </c>
      <c r="J957" s="2">
        <v>32</v>
      </c>
      <c r="K957" s="2" t="s">
        <v>132</v>
      </c>
      <c r="L957" s="2" t="s">
        <v>40</v>
      </c>
      <c r="P957" s="2" t="s">
        <v>48</v>
      </c>
      <c r="Q957" s="2">
        <f>INDEX(Tables!$C$4:$C$28,MATCH($P957,Tables!$B$4:$B$28,0))</f>
        <v>32</v>
      </c>
      <c r="R957" s="2">
        <f>INDEX(Tables!$D$4:$D$28,MATCH($P957,Tables!$B$4:$B$28,0))</f>
        <v>4</v>
      </c>
      <c r="S957" s="2">
        <f>$S956+$R956+INDEX(Tables!$N$5:$Q$8,MATCH(MOD($S956+$R956,4),Tables!$M$5:$M$8,0),MATCH($R957,Tables!$N$4:$Q$4,0))</f>
        <v>3644</v>
      </c>
      <c r="T957" s="2" t="str">
        <f t="shared" si="228"/>
        <v>0E3C</v>
      </c>
      <c r="U957" s="2">
        <f t="shared" si="234"/>
        <v>911</v>
      </c>
      <c r="V957" s="2" t="str">
        <f t="shared" si="229"/>
        <v>38F</v>
      </c>
      <c r="W957" s="2" t="str">
        <f t="shared" si="230"/>
        <v>X</v>
      </c>
      <c r="X957" s="2" t="str">
        <f t="shared" si="233"/>
        <v>X</v>
      </c>
      <c r="Y957" s="2" t="str">
        <f t="shared" si="231"/>
        <v>X</v>
      </c>
      <c r="Z957" s="2" t="str">
        <f t="shared" si="232"/>
        <v>X</v>
      </c>
      <c r="AA957" s="2" t="str">
        <f t="shared" si="235"/>
        <v>(31 downto 24)</v>
      </c>
      <c r="AB957" s="2" t="str">
        <f t="shared" si="236"/>
        <v>(23 downto 16)</v>
      </c>
      <c r="AC957" s="2" t="str">
        <f t="shared" si="237"/>
        <v>(15 downto 8)</v>
      </c>
      <c r="AD957" s="2" t="str">
        <f t="shared" si="238"/>
        <v>(7 downto 0)</v>
      </c>
      <c r="AE957" s="2" t="str">
        <f t="shared" si="239"/>
        <v>(31 downto 24)</v>
      </c>
      <c r="AF957" s="2" t="str">
        <f t="shared" si="240"/>
        <v>(23 downto 16)</v>
      </c>
      <c r="AG957" s="2" t="str">
        <f t="shared" si="241"/>
        <v>(15 downto 8)</v>
      </c>
      <c r="AH957" s="2" t="str">
        <f t="shared" si="242"/>
        <v>(7 downto 0)</v>
      </c>
    </row>
    <row r="958" spans="2:34" x14ac:dyDescent="0.25">
      <c r="B958" s="2" t="s">
        <v>2689</v>
      </c>
      <c r="C958" s="2" t="s">
        <v>141</v>
      </c>
      <c r="D958" s="2" t="s">
        <v>0</v>
      </c>
      <c r="E958" s="2" t="s">
        <v>130</v>
      </c>
      <c r="F958" s="2" t="s">
        <v>2690</v>
      </c>
      <c r="G958" s="2" t="s">
        <v>2691</v>
      </c>
      <c r="H958" s="2" t="s">
        <v>142</v>
      </c>
      <c r="I958" s="2" t="s">
        <v>41</v>
      </c>
      <c r="J958" s="2">
        <v>32</v>
      </c>
      <c r="K958" s="2" t="s">
        <v>132</v>
      </c>
      <c r="L958" s="2" t="s">
        <v>40</v>
      </c>
      <c r="P958" s="2" t="s">
        <v>48</v>
      </c>
      <c r="Q958" s="2">
        <f>INDEX(Tables!$C$4:$C$28,MATCH($P958,Tables!$B$4:$B$28,0))</f>
        <v>32</v>
      </c>
      <c r="R958" s="2">
        <f>INDEX(Tables!$D$4:$D$28,MATCH($P958,Tables!$B$4:$B$28,0))</f>
        <v>4</v>
      </c>
      <c r="S958" s="2">
        <f>$S957+$R957+INDEX(Tables!$N$5:$Q$8,MATCH(MOD($S957+$R957,4),Tables!$M$5:$M$8,0),MATCH($R958,Tables!$N$4:$Q$4,0))</f>
        <v>3648</v>
      </c>
      <c r="T958" s="2" t="str">
        <f t="shared" si="228"/>
        <v>0E40</v>
      </c>
      <c r="U958" s="2">
        <f t="shared" si="234"/>
        <v>912</v>
      </c>
      <c r="V958" s="2" t="str">
        <f t="shared" si="229"/>
        <v>390</v>
      </c>
      <c r="W958" s="2" t="str">
        <f t="shared" si="230"/>
        <v>X</v>
      </c>
      <c r="X958" s="2" t="str">
        <f t="shared" si="233"/>
        <v>X</v>
      </c>
      <c r="Y958" s="2" t="str">
        <f t="shared" si="231"/>
        <v>X</v>
      </c>
      <c r="Z958" s="2" t="str">
        <f t="shared" si="232"/>
        <v>X</v>
      </c>
      <c r="AA958" s="2" t="str">
        <f t="shared" si="235"/>
        <v>(31 downto 24)</v>
      </c>
      <c r="AB958" s="2" t="str">
        <f t="shared" si="236"/>
        <v>(23 downto 16)</v>
      </c>
      <c r="AC958" s="2" t="str">
        <f t="shared" si="237"/>
        <v>(15 downto 8)</v>
      </c>
      <c r="AD958" s="2" t="str">
        <f t="shared" si="238"/>
        <v>(7 downto 0)</v>
      </c>
      <c r="AE958" s="2" t="str">
        <f t="shared" si="239"/>
        <v>(31 downto 24)</v>
      </c>
      <c r="AF958" s="2" t="str">
        <f t="shared" si="240"/>
        <v>(23 downto 16)</v>
      </c>
      <c r="AG958" s="2" t="str">
        <f t="shared" si="241"/>
        <v>(15 downto 8)</v>
      </c>
      <c r="AH958" s="2" t="str">
        <f t="shared" si="242"/>
        <v>(7 downto 0)</v>
      </c>
    </row>
    <row r="959" spans="2:34" x14ac:dyDescent="0.25">
      <c r="B959" s="2" t="s">
        <v>2692</v>
      </c>
      <c r="C959" s="2" t="s">
        <v>141</v>
      </c>
      <c r="D959" s="2" t="s">
        <v>0</v>
      </c>
      <c r="E959" s="2" t="s">
        <v>130</v>
      </c>
      <c r="F959" s="2" t="s">
        <v>2693</v>
      </c>
      <c r="G959" s="2" t="s">
        <v>2694</v>
      </c>
      <c r="H959" s="2" t="s">
        <v>142</v>
      </c>
      <c r="I959" s="2" t="s">
        <v>41</v>
      </c>
      <c r="J959" s="2">
        <v>32</v>
      </c>
      <c r="K959" s="2" t="s">
        <v>132</v>
      </c>
      <c r="L959" s="2" t="s">
        <v>40</v>
      </c>
      <c r="P959" s="2" t="s">
        <v>48</v>
      </c>
      <c r="Q959" s="2">
        <f>INDEX(Tables!$C$4:$C$28,MATCH($P959,Tables!$B$4:$B$28,0))</f>
        <v>32</v>
      </c>
      <c r="R959" s="2">
        <f>INDEX(Tables!$D$4:$D$28,MATCH($P959,Tables!$B$4:$B$28,0))</f>
        <v>4</v>
      </c>
      <c r="S959" s="2">
        <f>$S958+$R958+INDEX(Tables!$N$5:$Q$8,MATCH(MOD($S958+$R958,4),Tables!$M$5:$M$8,0),MATCH($R959,Tables!$N$4:$Q$4,0))</f>
        <v>3652</v>
      </c>
      <c r="T959" s="2" t="str">
        <f t="shared" si="228"/>
        <v>0E44</v>
      </c>
      <c r="U959" s="2">
        <f t="shared" si="234"/>
        <v>913</v>
      </c>
      <c r="V959" s="2" t="str">
        <f t="shared" si="229"/>
        <v>391</v>
      </c>
      <c r="W959" s="2" t="str">
        <f t="shared" si="230"/>
        <v>X</v>
      </c>
      <c r="X959" s="2" t="str">
        <f t="shared" si="233"/>
        <v>X</v>
      </c>
      <c r="Y959" s="2" t="str">
        <f t="shared" si="231"/>
        <v>X</v>
      </c>
      <c r="Z959" s="2" t="str">
        <f t="shared" si="232"/>
        <v>X</v>
      </c>
      <c r="AA959" s="2" t="str">
        <f t="shared" si="235"/>
        <v>(31 downto 24)</v>
      </c>
      <c r="AB959" s="2" t="str">
        <f t="shared" si="236"/>
        <v>(23 downto 16)</v>
      </c>
      <c r="AC959" s="2" t="str">
        <f t="shared" si="237"/>
        <v>(15 downto 8)</v>
      </c>
      <c r="AD959" s="2" t="str">
        <f t="shared" si="238"/>
        <v>(7 downto 0)</v>
      </c>
      <c r="AE959" s="2" t="str">
        <f t="shared" si="239"/>
        <v>(31 downto 24)</v>
      </c>
      <c r="AF959" s="2" t="str">
        <f t="shared" si="240"/>
        <v>(23 downto 16)</v>
      </c>
      <c r="AG959" s="2" t="str">
        <f t="shared" si="241"/>
        <v>(15 downto 8)</v>
      </c>
      <c r="AH959" s="2" t="str">
        <f t="shared" si="242"/>
        <v>(7 downto 0)</v>
      </c>
    </row>
    <row r="960" spans="2:34" x14ac:dyDescent="0.25">
      <c r="B960" s="2" t="s">
        <v>2695</v>
      </c>
      <c r="C960" s="2" t="s">
        <v>141</v>
      </c>
      <c r="D960" s="2" t="s">
        <v>0</v>
      </c>
      <c r="E960" s="2" t="s">
        <v>130</v>
      </c>
      <c r="F960" s="2" t="s">
        <v>2696</v>
      </c>
      <c r="G960" s="2" t="s">
        <v>2697</v>
      </c>
      <c r="H960" s="2" t="s">
        <v>142</v>
      </c>
      <c r="I960" s="2" t="s">
        <v>41</v>
      </c>
      <c r="J960" s="2">
        <v>32</v>
      </c>
      <c r="K960" s="2" t="s">
        <v>132</v>
      </c>
      <c r="L960" s="2" t="s">
        <v>40</v>
      </c>
      <c r="P960" s="2" t="s">
        <v>48</v>
      </c>
      <c r="Q960" s="2">
        <f>INDEX(Tables!$C$4:$C$28,MATCH($P960,Tables!$B$4:$B$28,0))</f>
        <v>32</v>
      </c>
      <c r="R960" s="2">
        <f>INDEX(Tables!$D$4:$D$28,MATCH($P960,Tables!$B$4:$B$28,0))</f>
        <v>4</v>
      </c>
      <c r="S960" s="2">
        <f>$S959+$R959+INDEX(Tables!$N$5:$Q$8,MATCH(MOD($S959+$R959,4),Tables!$M$5:$M$8,0),MATCH($R960,Tables!$N$4:$Q$4,0))</f>
        <v>3656</v>
      </c>
      <c r="T960" s="2" t="str">
        <f t="shared" si="228"/>
        <v>0E48</v>
      </c>
      <c r="U960" s="2">
        <f t="shared" si="234"/>
        <v>914</v>
      </c>
      <c r="V960" s="2" t="str">
        <f t="shared" si="229"/>
        <v>392</v>
      </c>
      <c r="W960" s="2" t="str">
        <f t="shared" si="230"/>
        <v>X</v>
      </c>
      <c r="X960" s="2" t="str">
        <f t="shared" si="233"/>
        <v>X</v>
      </c>
      <c r="Y960" s="2" t="str">
        <f t="shared" si="231"/>
        <v>X</v>
      </c>
      <c r="Z960" s="2" t="str">
        <f t="shared" si="232"/>
        <v>X</v>
      </c>
      <c r="AA960" s="2" t="str">
        <f t="shared" si="235"/>
        <v>(31 downto 24)</v>
      </c>
      <c r="AB960" s="2" t="str">
        <f t="shared" si="236"/>
        <v>(23 downto 16)</v>
      </c>
      <c r="AC960" s="2" t="str">
        <f t="shared" si="237"/>
        <v>(15 downto 8)</v>
      </c>
      <c r="AD960" s="2" t="str">
        <f t="shared" si="238"/>
        <v>(7 downto 0)</v>
      </c>
      <c r="AE960" s="2" t="str">
        <f t="shared" si="239"/>
        <v>(31 downto 24)</v>
      </c>
      <c r="AF960" s="2" t="str">
        <f t="shared" si="240"/>
        <v>(23 downto 16)</v>
      </c>
      <c r="AG960" s="2" t="str">
        <f t="shared" si="241"/>
        <v>(15 downto 8)</v>
      </c>
      <c r="AH960" s="2" t="str">
        <f t="shared" si="242"/>
        <v>(7 downto 0)</v>
      </c>
    </row>
    <row r="961" spans="2:34" x14ac:dyDescent="0.25">
      <c r="B961" s="2" t="s">
        <v>2698</v>
      </c>
      <c r="C961" s="2" t="s">
        <v>141</v>
      </c>
      <c r="D961" s="2" t="s">
        <v>0</v>
      </c>
      <c r="E961" s="2" t="s">
        <v>130</v>
      </c>
      <c r="F961" s="2" t="s">
        <v>2699</v>
      </c>
      <c r="G961" s="2" t="s">
        <v>2700</v>
      </c>
      <c r="H961" s="2" t="s">
        <v>142</v>
      </c>
      <c r="I961" s="2" t="s">
        <v>41</v>
      </c>
      <c r="J961" s="2">
        <v>32</v>
      </c>
      <c r="K961" s="2" t="s">
        <v>132</v>
      </c>
      <c r="L961" s="2" t="s">
        <v>40</v>
      </c>
      <c r="P961" s="2" t="s">
        <v>48</v>
      </c>
      <c r="Q961" s="2">
        <f>INDEX(Tables!$C$4:$C$28,MATCH($P961,Tables!$B$4:$B$28,0))</f>
        <v>32</v>
      </c>
      <c r="R961" s="2">
        <f>INDEX(Tables!$D$4:$D$28,MATCH($P961,Tables!$B$4:$B$28,0))</f>
        <v>4</v>
      </c>
      <c r="S961" s="2">
        <f>$S960+$R960+INDEX(Tables!$N$5:$Q$8,MATCH(MOD($S960+$R960,4),Tables!$M$5:$M$8,0),MATCH($R961,Tables!$N$4:$Q$4,0))</f>
        <v>3660</v>
      </c>
      <c r="T961" s="2" t="str">
        <f t="shared" si="228"/>
        <v>0E4C</v>
      </c>
      <c r="U961" s="2">
        <f t="shared" si="234"/>
        <v>915</v>
      </c>
      <c r="V961" s="2" t="str">
        <f t="shared" si="229"/>
        <v>393</v>
      </c>
      <c r="W961" s="2" t="str">
        <f t="shared" si="230"/>
        <v>X</v>
      </c>
      <c r="X961" s="2" t="str">
        <f t="shared" si="233"/>
        <v>X</v>
      </c>
      <c r="Y961" s="2" t="str">
        <f t="shared" si="231"/>
        <v>X</v>
      </c>
      <c r="Z961" s="2" t="str">
        <f t="shared" si="232"/>
        <v>X</v>
      </c>
      <c r="AA961" s="2" t="str">
        <f t="shared" si="235"/>
        <v>(31 downto 24)</v>
      </c>
      <c r="AB961" s="2" t="str">
        <f t="shared" si="236"/>
        <v>(23 downto 16)</v>
      </c>
      <c r="AC961" s="2" t="str">
        <f t="shared" si="237"/>
        <v>(15 downto 8)</v>
      </c>
      <c r="AD961" s="2" t="str">
        <f t="shared" si="238"/>
        <v>(7 downto 0)</v>
      </c>
      <c r="AE961" s="2" t="str">
        <f t="shared" si="239"/>
        <v>(31 downto 24)</v>
      </c>
      <c r="AF961" s="2" t="str">
        <f t="shared" si="240"/>
        <v>(23 downto 16)</v>
      </c>
      <c r="AG961" s="2" t="str">
        <f t="shared" si="241"/>
        <v>(15 downto 8)</v>
      </c>
      <c r="AH961" s="2" t="str">
        <f t="shared" si="242"/>
        <v>(7 downto 0)</v>
      </c>
    </row>
    <row r="962" spans="2:34" x14ac:dyDescent="0.25">
      <c r="B962" s="2" t="s">
        <v>2701</v>
      </c>
      <c r="C962" s="2" t="s">
        <v>141</v>
      </c>
      <c r="D962" s="2" t="s">
        <v>0</v>
      </c>
      <c r="E962" s="2" t="s">
        <v>130</v>
      </c>
      <c r="F962" s="2" t="s">
        <v>2702</v>
      </c>
      <c r="G962" s="2" t="s">
        <v>2703</v>
      </c>
      <c r="H962" s="2" t="s">
        <v>142</v>
      </c>
      <c r="I962" s="2" t="s">
        <v>41</v>
      </c>
      <c r="J962" s="2">
        <v>32</v>
      </c>
      <c r="K962" s="2" t="s">
        <v>132</v>
      </c>
      <c r="L962" s="2" t="s">
        <v>40</v>
      </c>
      <c r="P962" s="2" t="s">
        <v>48</v>
      </c>
      <c r="Q962" s="2">
        <f>INDEX(Tables!$C$4:$C$28,MATCH($P962,Tables!$B$4:$B$28,0))</f>
        <v>32</v>
      </c>
      <c r="R962" s="2">
        <f>INDEX(Tables!$D$4:$D$28,MATCH($P962,Tables!$B$4:$B$28,0))</f>
        <v>4</v>
      </c>
      <c r="S962" s="2">
        <f>$S961+$R961+INDEX(Tables!$N$5:$Q$8,MATCH(MOD($S961+$R961,4),Tables!$M$5:$M$8,0),MATCH($R962,Tables!$N$4:$Q$4,0))</f>
        <v>3664</v>
      </c>
      <c r="T962" s="2" t="str">
        <f t="shared" si="228"/>
        <v>0E50</v>
      </c>
      <c r="U962" s="2">
        <f t="shared" si="234"/>
        <v>916</v>
      </c>
      <c r="V962" s="2" t="str">
        <f t="shared" si="229"/>
        <v>394</v>
      </c>
      <c r="W962" s="2" t="str">
        <f t="shared" si="230"/>
        <v>X</v>
      </c>
      <c r="X962" s="2" t="str">
        <f t="shared" si="233"/>
        <v>X</v>
      </c>
      <c r="Y962" s="2" t="str">
        <f t="shared" si="231"/>
        <v>X</v>
      </c>
      <c r="Z962" s="2" t="str">
        <f t="shared" si="232"/>
        <v>X</v>
      </c>
      <c r="AA962" s="2" t="str">
        <f t="shared" si="235"/>
        <v>(31 downto 24)</v>
      </c>
      <c r="AB962" s="2" t="str">
        <f t="shared" si="236"/>
        <v>(23 downto 16)</v>
      </c>
      <c r="AC962" s="2" t="str">
        <f t="shared" si="237"/>
        <v>(15 downto 8)</v>
      </c>
      <c r="AD962" s="2" t="str">
        <f t="shared" si="238"/>
        <v>(7 downto 0)</v>
      </c>
      <c r="AE962" s="2" t="str">
        <f t="shared" si="239"/>
        <v>(31 downto 24)</v>
      </c>
      <c r="AF962" s="2" t="str">
        <f t="shared" si="240"/>
        <v>(23 downto 16)</v>
      </c>
      <c r="AG962" s="2" t="str">
        <f t="shared" si="241"/>
        <v>(15 downto 8)</v>
      </c>
      <c r="AH962" s="2" t="str">
        <f t="shared" si="242"/>
        <v>(7 downto 0)</v>
      </c>
    </row>
    <row r="963" spans="2:34" x14ac:dyDescent="0.25">
      <c r="B963" s="2" t="s">
        <v>2704</v>
      </c>
      <c r="C963" s="2" t="s">
        <v>141</v>
      </c>
      <c r="D963" s="2" t="s">
        <v>0</v>
      </c>
      <c r="E963" s="2" t="s">
        <v>130</v>
      </c>
      <c r="F963" s="2" t="s">
        <v>2705</v>
      </c>
      <c r="G963" s="2" t="s">
        <v>2706</v>
      </c>
      <c r="H963" s="2" t="s">
        <v>142</v>
      </c>
      <c r="I963" s="2" t="s">
        <v>41</v>
      </c>
      <c r="J963" s="2">
        <v>32</v>
      </c>
      <c r="K963" s="2" t="s">
        <v>132</v>
      </c>
      <c r="L963" s="2" t="s">
        <v>40</v>
      </c>
      <c r="P963" s="2" t="s">
        <v>48</v>
      </c>
      <c r="Q963" s="2">
        <f>INDEX(Tables!$C$4:$C$28,MATCH($P963,Tables!$B$4:$B$28,0))</f>
        <v>32</v>
      </c>
      <c r="R963" s="2">
        <f>INDEX(Tables!$D$4:$D$28,MATCH($P963,Tables!$B$4:$B$28,0))</f>
        <v>4</v>
      </c>
      <c r="S963" s="2">
        <f>$S962+$R962+INDEX(Tables!$N$5:$Q$8,MATCH(MOD($S962+$R962,4),Tables!$M$5:$M$8,0),MATCH($R963,Tables!$N$4:$Q$4,0))</f>
        <v>3668</v>
      </c>
      <c r="T963" s="2" t="str">
        <f t="shared" si="228"/>
        <v>0E54</v>
      </c>
      <c r="U963" s="2">
        <f t="shared" si="234"/>
        <v>917</v>
      </c>
      <c r="V963" s="2" t="str">
        <f t="shared" si="229"/>
        <v>395</v>
      </c>
      <c r="W963" s="2" t="str">
        <f t="shared" si="230"/>
        <v>X</v>
      </c>
      <c r="X963" s="2" t="str">
        <f t="shared" si="233"/>
        <v>X</v>
      </c>
      <c r="Y963" s="2" t="str">
        <f t="shared" si="231"/>
        <v>X</v>
      </c>
      <c r="Z963" s="2" t="str">
        <f t="shared" si="232"/>
        <v>X</v>
      </c>
      <c r="AA963" s="2" t="str">
        <f t="shared" si="235"/>
        <v>(31 downto 24)</v>
      </c>
      <c r="AB963" s="2" t="str">
        <f t="shared" si="236"/>
        <v>(23 downto 16)</v>
      </c>
      <c r="AC963" s="2" t="str">
        <f t="shared" si="237"/>
        <v>(15 downto 8)</v>
      </c>
      <c r="AD963" s="2" t="str">
        <f t="shared" si="238"/>
        <v>(7 downto 0)</v>
      </c>
      <c r="AE963" s="2" t="str">
        <f t="shared" si="239"/>
        <v>(31 downto 24)</v>
      </c>
      <c r="AF963" s="2" t="str">
        <f t="shared" si="240"/>
        <v>(23 downto 16)</v>
      </c>
      <c r="AG963" s="2" t="str">
        <f t="shared" si="241"/>
        <v>(15 downto 8)</v>
      </c>
      <c r="AH963" s="2" t="str">
        <f t="shared" si="242"/>
        <v>(7 downto 0)</v>
      </c>
    </row>
    <row r="964" spans="2:34" x14ac:dyDescent="0.25">
      <c r="B964" s="2" t="s">
        <v>2707</v>
      </c>
      <c r="C964" s="2" t="s">
        <v>141</v>
      </c>
      <c r="D964" s="2" t="s">
        <v>0</v>
      </c>
      <c r="E964" s="2" t="s">
        <v>130</v>
      </c>
      <c r="F964" s="2" t="s">
        <v>2708</v>
      </c>
      <c r="G964" s="2" t="s">
        <v>2709</v>
      </c>
      <c r="H964" s="2" t="s">
        <v>142</v>
      </c>
      <c r="I964" s="2" t="s">
        <v>41</v>
      </c>
      <c r="J964" s="2">
        <v>32</v>
      </c>
      <c r="K964" s="2" t="s">
        <v>132</v>
      </c>
      <c r="L964" s="2" t="s">
        <v>40</v>
      </c>
      <c r="P964" s="2" t="s">
        <v>48</v>
      </c>
      <c r="Q964" s="2">
        <f>INDEX(Tables!$C$4:$C$28,MATCH($P964,Tables!$B$4:$B$28,0))</f>
        <v>32</v>
      </c>
      <c r="R964" s="2">
        <f>INDEX(Tables!$D$4:$D$28,MATCH($P964,Tables!$B$4:$B$28,0))</f>
        <v>4</v>
      </c>
      <c r="S964" s="2">
        <f>$S963+$R963+INDEX(Tables!$N$5:$Q$8,MATCH(MOD($S963+$R963,4),Tables!$M$5:$M$8,0),MATCH($R964,Tables!$N$4:$Q$4,0))</f>
        <v>3672</v>
      </c>
      <c r="T964" s="2" t="str">
        <f t="shared" si="228"/>
        <v>0E58</v>
      </c>
      <c r="U964" s="2">
        <f t="shared" si="234"/>
        <v>918</v>
      </c>
      <c r="V964" s="2" t="str">
        <f t="shared" si="229"/>
        <v>396</v>
      </c>
      <c r="W964" s="2" t="str">
        <f t="shared" si="230"/>
        <v>X</v>
      </c>
      <c r="X964" s="2" t="str">
        <f t="shared" si="233"/>
        <v>X</v>
      </c>
      <c r="Y964" s="2" t="str">
        <f t="shared" si="231"/>
        <v>X</v>
      </c>
      <c r="Z964" s="2" t="str">
        <f t="shared" si="232"/>
        <v>X</v>
      </c>
      <c r="AA964" s="2" t="str">
        <f t="shared" si="235"/>
        <v>(31 downto 24)</v>
      </c>
      <c r="AB964" s="2" t="str">
        <f t="shared" si="236"/>
        <v>(23 downto 16)</v>
      </c>
      <c r="AC964" s="2" t="str">
        <f t="shared" si="237"/>
        <v>(15 downto 8)</v>
      </c>
      <c r="AD964" s="2" t="str">
        <f t="shared" si="238"/>
        <v>(7 downto 0)</v>
      </c>
      <c r="AE964" s="2" t="str">
        <f t="shared" si="239"/>
        <v>(31 downto 24)</v>
      </c>
      <c r="AF964" s="2" t="str">
        <f t="shared" si="240"/>
        <v>(23 downto 16)</v>
      </c>
      <c r="AG964" s="2" t="str">
        <f t="shared" si="241"/>
        <v>(15 downto 8)</v>
      </c>
      <c r="AH964" s="2" t="str">
        <f t="shared" si="242"/>
        <v>(7 downto 0)</v>
      </c>
    </row>
    <row r="965" spans="2:34" x14ac:dyDescent="0.25">
      <c r="B965" s="2" t="s">
        <v>2710</v>
      </c>
      <c r="C965" s="2" t="s">
        <v>141</v>
      </c>
      <c r="D965" s="2" t="s">
        <v>0</v>
      </c>
      <c r="E965" s="2" t="s">
        <v>130</v>
      </c>
      <c r="F965" s="2" t="s">
        <v>2711</v>
      </c>
      <c r="G965" s="2" t="s">
        <v>2712</v>
      </c>
      <c r="H965" s="2" t="s">
        <v>142</v>
      </c>
      <c r="I965" s="2" t="s">
        <v>41</v>
      </c>
      <c r="J965" s="2">
        <v>32</v>
      </c>
      <c r="K965" s="2" t="s">
        <v>132</v>
      </c>
      <c r="L965" s="2" t="s">
        <v>40</v>
      </c>
      <c r="P965" s="2" t="s">
        <v>48</v>
      </c>
      <c r="Q965" s="2">
        <f>INDEX(Tables!$C$4:$C$28,MATCH($P965,Tables!$B$4:$B$28,0))</f>
        <v>32</v>
      </c>
      <c r="R965" s="2">
        <f>INDEX(Tables!$D$4:$D$28,MATCH($P965,Tables!$B$4:$B$28,0))</f>
        <v>4</v>
      </c>
      <c r="S965" s="2">
        <f>$S964+$R964+INDEX(Tables!$N$5:$Q$8,MATCH(MOD($S964+$R964,4),Tables!$M$5:$M$8,0),MATCH($R965,Tables!$N$4:$Q$4,0))</f>
        <v>3676</v>
      </c>
      <c r="T965" s="2" t="str">
        <f t="shared" ref="T965:T1028" si="243">DEC2HEX($S965,4)</f>
        <v>0E5C</v>
      </c>
      <c r="U965" s="2">
        <f t="shared" si="234"/>
        <v>919</v>
      </c>
      <c r="V965" s="2" t="str">
        <f t="shared" ref="V965:V1028" si="244">DEC2HEX($U965,3)</f>
        <v>397</v>
      </c>
      <c r="W965" s="2" t="str">
        <f t="shared" ref="W965:W1028" si="245">IF(MOD($S965,4)=3,"X",IF(AND(MOD($S965,4)=2,$J965&gt;8),"X",IF(AND(MOD($S965,4)=1,$J965&gt;16),"X",IF(AND(MOD($S965,4)=0,$J965&gt;24),"X",""))))</f>
        <v>X</v>
      </c>
      <c r="X965" s="2" t="str">
        <f t="shared" si="233"/>
        <v>X</v>
      </c>
      <c r="Y965" s="2" t="str">
        <f t="shared" ref="Y965:Y1028" si="246">IF(MOD($S965,4)=1,"X",IF(AND(MOD($S965,4)=0,$J965&gt;8),"X",""))</f>
        <v>X</v>
      </c>
      <c r="Z965" s="2" t="str">
        <f t="shared" ref="Z965:Z1028" si="247">IF(MOD($S965,4)=0,"X","")</f>
        <v>X</v>
      </c>
      <c r="AA965" s="2" t="str">
        <f t="shared" si="235"/>
        <v>(31 downto 24)</v>
      </c>
      <c r="AB965" s="2" t="str">
        <f t="shared" si="236"/>
        <v>(23 downto 16)</v>
      </c>
      <c r="AC965" s="2" t="str">
        <f t="shared" si="237"/>
        <v>(15 downto 8)</v>
      </c>
      <c r="AD965" s="2" t="str">
        <f t="shared" si="238"/>
        <v>(7 downto 0)</v>
      </c>
      <c r="AE965" s="2" t="str">
        <f t="shared" si="239"/>
        <v>(31 downto 24)</v>
      </c>
      <c r="AF965" s="2" t="str">
        <f t="shared" si="240"/>
        <v>(23 downto 16)</v>
      </c>
      <c r="AG965" s="2" t="str">
        <f t="shared" si="241"/>
        <v>(15 downto 8)</v>
      </c>
      <c r="AH965" s="2" t="str">
        <f t="shared" si="242"/>
        <v>(7 downto 0)</v>
      </c>
    </row>
    <row r="966" spans="2:34" x14ac:dyDescent="0.25">
      <c r="B966" s="2" t="s">
        <v>2713</v>
      </c>
      <c r="C966" s="2" t="s">
        <v>141</v>
      </c>
      <c r="D966" s="2" t="s">
        <v>0</v>
      </c>
      <c r="E966" s="2" t="s">
        <v>130</v>
      </c>
      <c r="F966" s="2" t="s">
        <v>2714</v>
      </c>
      <c r="G966" s="2" t="s">
        <v>2715</v>
      </c>
      <c r="H966" s="2" t="s">
        <v>142</v>
      </c>
      <c r="I966" s="2" t="s">
        <v>41</v>
      </c>
      <c r="J966" s="2">
        <v>32</v>
      </c>
      <c r="K966" s="2" t="s">
        <v>132</v>
      </c>
      <c r="L966" s="2" t="s">
        <v>40</v>
      </c>
      <c r="P966" s="2" t="s">
        <v>48</v>
      </c>
      <c r="Q966" s="2">
        <f>INDEX(Tables!$C$4:$C$28,MATCH($P966,Tables!$B$4:$B$28,0))</f>
        <v>32</v>
      </c>
      <c r="R966" s="2">
        <f>INDEX(Tables!$D$4:$D$28,MATCH($P966,Tables!$B$4:$B$28,0))</f>
        <v>4</v>
      </c>
      <c r="S966" s="2">
        <f>$S965+$R965+INDEX(Tables!$N$5:$Q$8,MATCH(MOD($S965+$R965,4),Tables!$M$5:$M$8,0),MATCH($R966,Tables!$N$4:$Q$4,0))</f>
        <v>3680</v>
      </c>
      <c r="T966" s="2" t="str">
        <f t="shared" si="243"/>
        <v>0E60</v>
      </c>
      <c r="U966" s="2">
        <f t="shared" si="234"/>
        <v>920</v>
      </c>
      <c r="V966" s="2" t="str">
        <f t="shared" si="244"/>
        <v>398</v>
      </c>
      <c r="W966" s="2" t="str">
        <f t="shared" si="245"/>
        <v>X</v>
      </c>
      <c r="X966" s="2" t="str">
        <f t="shared" ref="X966:X1029" si="248">IF(MOD($S966,4)=2,"X",IF(AND(MOD($S966,4)=1,$J966&gt;8),"X",IF(AND(MOD($S966,4)=0,$J966&gt;16),"X","")))</f>
        <v>X</v>
      </c>
      <c r="Y966" s="2" t="str">
        <f t="shared" si="246"/>
        <v>X</v>
      </c>
      <c r="Z966" s="2" t="str">
        <f t="shared" si="247"/>
        <v>X</v>
      </c>
      <c r="AA966" s="2" t="str">
        <f t="shared" si="235"/>
        <v>(31 downto 24)</v>
      </c>
      <c r="AB966" s="2" t="str">
        <f t="shared" si="236"/>
        <v>(23 downto 16)</v>
      </c>
      <c r="AC966" s="2" t="str">
        <f t="shared" si="237"/>
        <v>(15 downto 8)</v>
      </c>
      <c r="AD966" s="2" t="str">
        <f t="shared" si="238"/>
        <v>(7 downto 0)</v>
      </c>
      <c r="AE966" s="2" t="str">
        <f t="shared" si="239"/>
        <v>(31 downto 24)</v>
      </c>
      <c r="AF966" s="2" t="str">
        <f t="shared" si="240"/>
        <v>(23 downto 16)</v>
      </c>
      <c r="AG966" s="2" t="str">
        <f t="shared" si="241"/>
        <v>(15 downto 8)</v>
      </c>
      <c r="AH966" s="2" t="str">
        <f t="shared" si="242"/>
        <v>(7 downto 0)</v>
      </c>
    </row>
    <row r="967" spans="2:34" x14ac:dyDescent="0.25">
      <c r="B967" s="2" t="s">
        <v>2716</v>
      </c>
      <c r="C967" s="2" t="s">
        <v>141</v>
      </c>
      <c r="D967" s="2" t="s">
        <v>0</v>
      </c>
      <c r="E967" s="2" t="s">
        <v>130</v>
      </c>
      <c r="F967" s="2" t="s">
        <v>2717</v>
      </c>
      <c r="G967" s="2" t="s">
        <v>2718</v>
      </c>
      <c r="H967" s="2" t="s">
        <v>142</v>
      </c>
      <c r="I967" s="2" t="s">
        <v>41</v>
      </c>
      <c r="J967" s="2">
        <v>32</v>
      </c>
      <c r="K967" s="2" t="s">
        <v>132</v>
      </c>
      <c r="L967" s="2" t="s">
        <v>40</v>
      </c>
      <c r="P967" s="2" t="s">
        <v>48</v>
      </c>
      <c r="Q967" s="2">
        <f>INDEX(Tables!$C$4:$C$28,MATCH($P967,Tables!$B$4:$B$28,0))</f>
        <v>32</v>
      </c>
      <c r="R967" s="2">
        <f>INDEX(Tables!$D$4:$D$28,MATCH($P967,Tables!$B$4:$B$28,0))</f>
        <v>4</v>
      </c>
      <c r="S967" s="2">
        <f>$S966+$R966+INDEX(Tables!$N$5:$Q$8,MATCH(MOD($S966+$R966,4),Tables!$M$5:$M$8,0),MATCH($R967,Tables!$N$4:$Q$4,0))</f>
        <v>3684</v>
      </c>
      <c r="T967" s="2" t="str">
        <f t="shared" si="243"/>
        <v>0E64</v>
      </c>
      <c r="U967" s="2">
        <f t="shared" si="234"/>
        <v>921</v>
      </c>
      <c r="V967" s="2" t="str">
        <f t="shared" si="244"/>
        <v>399</v>
      </c>
      <c r="W967" s="2" t="str">
        <f t="shared" si="245"/>
        <v>X</v>
      </c>
      <c r="X967" s="2" t="str">
        <f t="shared" si="248"/>
        <v>X</v>
      </c>
      <c r="Y967" s="2" t="str">
        <f t="shared" si="246"/>
        <v>X</v>
      </c>
      <c r="Z967" s="2" t="str">
        <f t="shared" si="247"/>
        <v>X</v>
      </c>
      <c r="AA967" s="2" t="str">
        <f t="shared" si="235"/>
        <v>(31 downto 24)</v>
      </c>
      <c r="AB967" s="2" t="str">
        <f t="shared" si="236"/>
        <v>(23 downto 16)</v>
      </c>
      <c r="AC967" s="2" t="str">
        <f t="shared" si="237"/>
        <v>(15 downto 8)</v>
      </c>
      <c r="AD967" s="2" t="str">
        <f t="shared" si="238"/>
        <v>(7 downto 0)</v>
      </c>
      <c r="AE967" s="2" t="str">
        <f t="shared" si="239"/>
        <v>(31 downto 24)</v>
      </c>
      <c r="AF967" s="2" t="str">
        <f t="shared" si="240"/>
        <v>(23 downto 16)</v>
      </c>
      <c r="AG967" s="2" t="str">
        <f t="shared" si="241"/>
        <v>(15 downto 8)</v>
      </c>
      <c r="AH967" s="2" t="str">
        <f t="shared" si="242"/>
        <v>(7 downto 0)</v>
      </c>
    </row>
    <row r="968" spans="2:34" x14ac:dyDescent="0.25">
      <c r="B968" s="2" t="s">
        <v>2719</v>
      </c>
      <c r="C968" s="2" t="s">
        <v>141</v>
      </c>
      <c r="D968" s="2" t="s">
        <v>0</v>
      </c>
      <c r="E968" s="2" t="s">
        <v>130</v>
      </c>
      <c r="F968" s="2" t="s">
        <v>2720</v>
      </c>
      <c r="G968" s="2" t="s">
        <v>2721</v>
      </c>
      <c r="H968" s="2" t="s">
        <v>142</v>
      </c>
      <c r="I968" s="2" t="s">
        <v>41</v>
      </c>
      <c r="J968" s="2">
        <v>32</v>
      </c>
      <c r="K968" s="2" t="s">
        <v>132</v>
      </c>
      <c r="L968" s="2" t="s">
        <v>40</v>
      </c>
      <c r="P968" s="2" t="s">
        <v>48</v>
      </c>
      <c r="Q968" s="2">
        <f>INDEX(Tables!$C$4:$C$28,MATCH($P968,Tables!$B$4:$B$28,0))</f>
        <v>32</v>
      </c>
      <c r="R968" s="2">
        <f>INDEX(Tables!$D$4:$D$28,MATCH($P968,Tables!$B$4:$B$28,0))</f>
        <v>4</v>
      </c>
      <c r="S968" s="2">
        <f>$S967+$R967+INDEX(Tables!$N$5:$Q$8,MATCH(MOD($S967+$R967,4),Tables!$M$5:$M$8,0),MATCH($R968,Tables!$N$4:$Q$4,0))</f>
        <v>3688</v>
      </c>
      <c r="T968" s="2" t="str">
        <f t="shared" si="243"/>
        <v>0E68</v>
      </c>
      <c r="U968" s="2">
        <f t="shared" si="234"/>
        <v>922</v>
      </c>
      <c r="V968" s="2" t="str">
        <f t="shared" si="244"/>
        <v>39A</v>
      </c>
      <c r="W968" s="2" t="str">
        <f t="shared" si="245"/>
        <v>X</v>
      </c>
      <c r="X968" s="2" t="str">
        <f t="shared" si="248"/>
        <v>X</v>
      </c>
      <c r="Y968" s="2" t="str">
        <f t="shared" si="246"/>
        <v>X</v>
      </c>
      <c r="Z968" s="2" t="str">
        <f t="shared" si="247"/>
        <v>X</v>
      </c>
      <c r="AA968" s="2" t="str">
        <f t="shared" si="235"/>
        <v>(31 downto 24)</v>
      </c>
      <c r="AB968" s="2" t="str">
        <f t="shared" si="236"/>
        <v>(23 downto 16)</v>
      </c>
      <c r="AC968" s="2" t="str">
        <f t="shared" si="237"/>
        <v>(15 downto 8)</v>
      </c>
      <c r="AD968" s="2" t="str">
        <f t="shared" si="238"/>
        <v>(7 downto 0)</v>
      </c>
      <c r="AE968" s="2" t="str">
        <f t="shared" si="239"/>
        <v>(31 downto 24)</v>
      </c>
      <c r="AF968" s="2" t="str">
        <f t="shared" si="240"/>
        <v>(23 downto 16)</v>
      </c>
      <c r="AG968" s="2" t="str">
        <f t="shared" si="241"/>
        <v>(15 downto 8)</v>
      </c>
      <c r="AH968" s="2" t="str">
        <f t="shared" si="242"/>
        <v>(7 downto 0)</v>
      </c>
    </row>
    <row r="969" spans="2:34" x14ac:dyDescent="0.25">
      <c r="B969" s="2" t="s">
        <v>2722</v>
      </c>
      <c r="C969" s="2" t="s">
        <v>141</v>
      </c>
      <c r="D969" s="2" t="s">
        <v>0</v>
      </c>
      <c r="E969" s="2" t="s">
        <v>130</v>
      </c>
      <c r="F969" s="2" t="s">
        <v>2723</v>
      </c>
      <c r="G969" s="2" t="s">
        <v>2724</v>
      </c>
      <c r="H969" s="2" t="s">
        <v>142</v>
      </c>
      <c r="I969" s="2" t="s">
        <v>41</v>
      </c>
      <c r="J969" s="2">
        <v>32</v>
      </c>
      <c r="K969" s="2" t="s">
        <v>132</v>
      </c>
      <c r="L969" s="2" t="s">
        <v>40</v>
      </c>
      <c r="P969" s="2" t="s">
        <v>48</v>
      </c>
      <c r="Q969" s="2">
        <f>INDEX(Tables!$C$4:$C$28,MATCH($P969,Tables!$B$4:$B$28,0))</f>
        <v>32</v>
      </c>
      <c r="R969" s="2">
        <f>INDEX(Tables!$D$4:$D$28,MATCH($P969,Tables!$B$4:$B$28,0))</f>
        <v>4</v>
      </c>
      <c r="S969" s="2">
        <f>$S968+$R968+INDEX(Tables!$N$5:$Q$8,MATCH(MOD($S968+$R968,4),Tables!$M$5:$M$8,0),MATCH($R969,Tables!$N$4:$Q$4,0))</f>
        <v>3692</v>
      </c>
      <c r="T969" s="2" t="str">
        <f t="shared" si="243"/>
        <v>0E6C</v>
      </c>
      <c r="U969" s="2">
        <f t="shared" ref="U969:U1032" si="249">ROUNDDOWN(S969/4,0)</f>
        <v>923</v>
      </c>
      <c r="V969" s="2" t="str">
        <f t="shared" si="244"/>
        <v>39B</v>
      </c>
      <c r="W969" s="2" t="str">
        <f t="shared" si="245"/>
        <v>X</v>
      </c>
      <c r="X969" s="2" t="str">
        <f t="shared" si="248"/>
        <v>X</v>
      </c>
      <c r="Y969" s="2" t="str">
        <f t="shared" si="246"/>
        <v>X</v>
      </c>
      <c r="Z969" s="2" t="str">
        <f t="shared" si="247"/>
        <v>X</v>
      </c>
      <c r="AA969" s="2" t="str">
        <f t="shared" ref="AA969:AA1032" si="250">IF(W969="","",CONCATENATE("(",IF(($J969-COUNTIF($X969:$Z969,"X")*8)=1,"24)",CONCATENATE(IF(($J969-COUNTIF($X969:$Z969,"X")*8)&gt;=8,32,($J969-COUNTIF($X969:$Z969,"X")*8)+24)-1," downto 24)"))))</f>
        <v>(31 downto 24)</v>
      </c>
      <c r="AB969" s="2" t="str">
        <f t="shared" ref="AB969:AB1032" si="251">IF(X969="","",CONCATENATE("(",IF(($J969-COUNTIF($Y969:$Z969,"X")*8)=1,"16)",CONCATENATE(IF(($J969-COUNTIF($Y969:$Z969,"X")*8)&gt;=8,24,($J969-COUNTIF($Y969:$Z969,"X")*8)+16)-1," downto 16)"))))</f>
        <v>(23 downto 16)</v>
      </c>
      <c r="AC969" s="2" t="str">
        <f t="shared" ref="AC969:AC1032" si="252">IF(Y969="","",CONCATENATE("(",IF(($J969-COUNTIF($Z969,"X")*8)=1,"8)",CONCATENATE(IF(($J969-COUNTIF($Z969,"X")*8)&gt;=8,16,($J969-COUNTIF($Z969,"X")*8)+8)-1," downto 8)"))))</f>
        <v>(15 downto 8)</v>
      </c>
      <c r="AD969" s="2" t="str">
        <f t="shared" ref="AD969:AD1032" si="253">IF(Z969="","",CONCATENATE("(",IF($J969=1,"0)",CONCATENATE(IF($J969&gt;=8,8,$J969)-1," downto 0)"))))</f>
        <v>(7 downto 0)</v>
      </c>
      <c r="AE969" s="2" t="str">
        <f t="shared" ref="AE969:AE1032" si="254">IF(W969="","",IF($J969&lt;=8,"",IF(($J969-COUNTIF($X969:$Z969,"X")*8)=1,CONCATENATE("(",($J969-1),")"),CONCATENATE("(",IF(($J969-COUNTIF($X969:$Z969,"X")*8)&gt;=8,COUNTIF($X969:$Z969,"X")*8+7,$J969-COUNTIF($X969:$Z969,"X")*8-1+COUNTIF($X969:$Z969,"X")*8)," downto ",COUNTIF($X969:$Z969,"X")*8,")"))))</f>
        <v>(31 downto 24)</v>
      </c>
      <c r="AF969" s="2" t="str">
        <f t="shared" ref="AF969:AF1032" si="255">IF(X969="","",IF($J969&lt;=8,"",IF(($J969-COUNTIF($Y969:$Z969,"X")*8)=1,CONCATENATE("(",($J969-1),")"),CONCATENATE("(",IF(($J969-COUNTIF($Y969:$Z969,"X")*8)&gt;=8,COUNTIF($Y969:$Z969,"X")*8+7,$J969-COUNTIF($Y969:$Z969,"X")*8-1+COUNTIF($Y969:$Z969,"X")*8)," downto ",COUNTIF($Y969:$Z969,"X")*8,")"))))</f>
        <v>(23 downto 16)</v>
      </c>
      <c r="AG969" s="2" t="str">
        <f t="shared" ref="AG969:AG1032" si="256">IF(Y969="","",IF($J969&lt;=8,"",IF(($J969-COUNTIF($Z969,"X")*8)=1,CONCATENATE("(",($J969-1),")"),CONCATENATE("(",IF(($J969-COUNTIF($Z969,"X")*8)&gt;=8,COUNTIF($Z969,"X")*8+7,$J969-COUNTIF($Z969,"X")*8-1+COUNTIF($Z969,"X")*8)," downto ",COUNTIF($Z969,"X")*8,")"))))</f>
        <v>(15 downto 8)</v>
      </c>
      <c r="AH969" s="2" t="str">
        <f t="shared" ref="AH969:AH1032" si="257">IF(Z969="","",IF($J969&lt;=8,"",CONCATENATE("(",IF($J969&gt;=8,7,$J969-1)," downto ",0,")")))</f>
        <v>(7 downto 0)</v>
      </c>
    </row>
    <row r="970" spans="2:34" x14ac:dyDescent="0.25">
      <c r="B970" s="2" t="s">
        <v>2725</v>
      </c>
      <c r="C970" s="2" t="s">
        <v>141</v>
      </c>
      <c r="D970" s="2" t="s">
        <v>0</v>
      </c>
      <c r="E970" s="2" t="s">
        <v>130</v>
      </c>
      <c r="F970" s="2" t="s">
        <v>2726</v>
      </c>
      <c r="G970" s="2" t="s">
        <v>2727</v>
      </c>
      <c r="H970" s="2" t="s">
        <v>142</v>
      </c>
      <c r="I970" s="2" t="s">
        <v>41</v>
      </c>
      <c r="J970" s="2">
        <v>32</v>
      </c>
      <c r="K970" s="2" t="s">
        <v>132</v>
      </c>
      <c r="L970" s="2" t="s">
        <v>40</v>
      </c>
      <c r="P970" s="2" t="s">
        <v>48</v>
      </c>
      <c r="Q970" s="2">
        <f>INDEX(Tables!$C$4:$C$28,MATCH($P970,Tables!$B$4:$B$28,0))</f>
        <v>32</v>
      </c>
      <c r="R970" s="2">
        <f>INDEX(Tables!$D$4:$D$28,MATCH($P970,Tables!$B$4:$B$28,0))</f>
        <v>4</v>
      </c>
      <c r="S970" s="2">
        <f>$S969+$R969+INDEX(Tables!$N$5:$Q$8,MATCH(MOD($S969+$R969,4),Tables!$M$5:$M$8,0),MATCH($R970,Tables!$N$4:$Q$4,0))</f>
        <v>3696</v>
      </c>
      <c r="T970" s="2" t="str">
        <f t="shared" si="243"/>
        <v>0E70</v>
      </c>
      <c r="U970" s="2">
        <f t="shared" si="249"/>
        <v>924</v>
      </c>
      <c r="V970" s="2" t="str">
        <f t="shared" si="244"/>
        <v>39C</v>
      </c>
      <c r="W970" s="2" t="str">
        <f t="shared" si="245"/>
        <v>X</v>
      </c>
      <c r="X970" s="2" t="str">
        <f t="shared" si="248"/>
        <v>X</v>
      </c>
      <c r="Y970" s="2" t="str">
        <f t="shared" si="246"/>
        <v>X</v>
      </c>
      <c r="Z970" s="2" t="str">
        <f t="shared" si="247"/>
        <v>X</v>
      </c>
      <c r="AA970" s="2" t="str">
        <f t="shared" si="250"/>
        <v>(31 downto 24)</v>
      </c>
      <c r="AB970" s="2" t="str">
        <f t="shared" si="251"/>
        <v>(23 downto 16)</v>
      </c>
      <c r="AC970" s="2" t="str">
        <f t="shared" si="252"/>
        <v>(15 downto 8)</v>
      </c>
      <c r="AD970" s="2" t="str">
        <f t="shared" si="253"/>
        <v>(7 downto 0)</v>
      </c>
      <c r="AE970" s="2" t="str">
        <f t="shared" si="254"/>
        <v>(31 downto 24)</v>
      </c>
      <c r="AF970" s="2" t="str">
        <f t="shared" si="255"/>
        <v>(23 downto 16)</v>
      </c>
      <c r="AG970" s="2" t="str">
        <f t="shared" si="256"/>
        <v>(15 downto 8)</v>
      </c>
      <c r="AH970" s="2" t="str">
        <f t="shared" si="257"/>
        <v>(7 downto 0)</v>
      </c>
    </row>
    <row r="971" spans="2:34" x14ac:dyDescent="0.25">
      <c r="B971" s="2" t="s">
        <v>2728</v>
      </c>
      <c r="C971" s="2" t="s">
        <v>141</v>
      </c>
      <c r="D971" s="2" t="s">
        <v>0</v>
      </c>
      <c r="E971" s="2" t="s">
        <v>130</v>
      </c>
      <c r="F971" s="2" t="s">
        <v>2729</v>
      </c>
      <c r="G971" s="2" t="s">
        <v>2730</v>
      </c>
      <c r="H971" s="2" t="s">
        <v>142</v>
      </c>
      <c r="I971" s="2" t="s">
        <v>41</v>
      </c>
      <c r="J971" s="2">
        <v>32</v>
      </c>
      <c r="K971" s="2" t="s">
        <v>132</v>
      </c>
      <c r="L971" s="2" t="s">
        <v>40</v>
      </c>
      <c r="P971" s="2" t="s">
        <v>48</v>
      </c>
      <c r="Q971" s="2">
        <f>INDEX(Tables!$C$4:$C$28,MATCH($P971,Tables!$B$4:$B$28,0))</f>
        <v>32</v>
      </c>
      <c r="R971" s="2">
        <f>INDEX(Tables!$D$4:$D$28,MATCH($P971,Tables!$B$4:$B$28,0))</f>
        <v>4</v>
      </c>
      <c r="S971" s="2">
        <f>$S970+$R970+INDEX(Tables!$N$5:$Q$8,MATCH(MOD($S970+$R970,4),Tables!$M$5:$M$8,0),MATCH($R971,Tables!$N$4:$Q$4,0))</f>
        <v>3700</v>
      </c>
      <c r="T971" s="2" t="str">
        <f t="shared" si="243"/>
        <v>0E74</v>
      </c>
      <c r="U971" s="2">
        <f t="shared" si="249"/>
        <v>925</v>
      </c>
      <c r="V971" s="2" t="str">
        <f t="shared" si="244"/>
        <v>39D</v>
      </c>
      <c r="W971" s="2" t="str">
        <f t="shared" si="245"/>
        <v>X</v>
      </c>
      <c r="X971" s="2" t="str">
        <f t="shared" si="248"/>
        <v>X</v>
      </c>
      <c r="Y971" s="2" t="str">
        <f t="shared" si="246"/>
        <v>X</v>
      </c>
      <c r="Z971" s="2" t="str">
        <f t="shared" si="247"/>
        <v>X</v>
      </c>
      <c r="AA971" s="2" t="str">
        <f t="shared" si="250"/>
        <v>(31 downto 24)</v>
      </c>
      <c r="AB971" s="2" t="str">
        <f t="shared" si="251"/>
        <v>(23 downto 16)</v>
      </c>
      <c r="AC971" s="2" t="str">
        <f t="shared" si="252"/>
        <v>(15 downto 8)</v>
      </c>
      <c r="AD971" s="2" t="str">
        <f t="shared" si="253"/>
        <v>(7 downto 0)</v>
      </c>
      <c r="AE971" s="2" t="str">
        <f t="shared" si="254"/>
        <v>(31 downto 24)</v>
      </c>
      <c r="AF971" s="2" t="str">
        <f t="shared" si="255"/>
        <v>(23 downto 16)</v>
      </c>
      <c r="AG971" s="2" t="str">
        <f t="shared" si="256"/>
        <v>(15 downto 8)</v>
      </c>
      <c r="AH971" s="2" t="str">
        <f t="shared" si="257"/>
        <v>(7 downto 0)</v>
      </c>
    </row>
    <row r="972" spans="2:34" x14ac:dyDescent="0.25">
      <c r="B972" s="2" t="s">
        <v>2731</v>
      </c>
      <c r="C972" s="2" t="s">
        <v>141</v>
      </c>
      <c r="D972" s="2" t="s">
        <v>0</v>
      </c>
      <c r="E972" s="2" t="s">
        <v>130</v>
      </c>
      <c r="F972" s="2" t="s">
        <v>2732</v>
      </c>
      <c r="G972" s="2" t="s">
        <v>2733</v>
      </c>
      <c r="H972" s="2" t="s">
        <v>142</v>
      </c>
      <c r="I972" s="2" t="s">
        <v>41</v>
      </c>
      <c r="J972" s="2">
        <v>32</v>
      </c>
      <c r="K972" s="2" t="s">
        <v>132</v>
      </c>
      <c r="L972" s="2" t="s">
        <v>40</v>
      </c>
      <c r="P972" s="2" t="s">
        <v>48</v>
      </c>
      <c r="Q972" s="2">
        <f>INDEX(Tables!$C$4:$C$28,MATCH($P972,Tables!$B$4:$B$28,0))</f>
        <v>32</v>
      </c>
      <c r="R972" s="2">
        <f>INDEX(Tables!$D$4:$D$28,MATCH($P972,Tables!$B$4:$B$28,0))</f>
        <v>4</v>
      </c>
      <c r="S972" s="2">
        <f>$S971+$R971+INDEX(Tables!$N$5:$Q$8,MATCH(MOD($S971+$R971,4),Tables!$M$5:$M$8,0),MATCH($R972,Tables!$N$4:$Q$4,0))</f>
        <v>3704</v>
      </c>
      <c r="T972" s="2" t="str">
        <f t="shared" si="243"/>
        <v>0E78</v>
      </c>
      <c r="U972" s="2">
        <f t="shared" si="249"/>
        <v>926</v>
      </c>
      <c r="V972" s="2" t="str">
        <f t="shared" si="244"/>
        <v>39E</v>
      </c>
      <c r="W972" s="2" t="str">
        <f t="shared" si="245"/>
        <v>X</v>
      </c>
      <c r="X972" s="2" t="str">
        <f t="shared" si="248"/>
        <v>X</v>
      </c>
      <c r="Y972" s="2" t="str">
        <f t="shared" si="246"/>
        <v>X</v>
      </c>
      <c r="Z972" s="2" t="str">
        <f t="shared" si="247"/>
        <v>X</v>
      </c>
      <c r="AA972" s="2" t="str">
        <f t="shared" si="250"/>
        <v>(31 downto 24)</v>
      </c>
      <c r="AB972" s="2" t="str">
        <f t="shared" si="251"/>
        <v>(23 downto 16)</v>
      </c>
      <c r="AC972" s="2" t="str">
        <f t="shared" si="252"/>
        <v>(15 downto 8)</v>
      </c>
      <c r="AD972" s="2" t="str">
        <f t="shared" si="253"/>
        <v>(7 downto 0)</v>
      </c>
      <c r="AE972" s="2" t="str">
        <f t="shared" si="254"/>
        <v>(31 downto 24)</v>
      </c>
      <c r="AF972" s="2" t="str">
        <f t="shared" si="255"/>
        <v>(23 downto 16)</v>
      </c>
      <c r="AG972" s="2" t="str">
        <f t="shared" si="256"/>
        <v>(15 downto 8)</v>
      </c>
      <c r="AH972" s="2" t="str">
        <f t="shared" si="257"/>
        <v>(7 downto 0)</v>
      </c>
    </row>
    <row r="973" spans="2:34" x14ac:dyDescent="0.25">
      <c r="B973" s="2" t="s">
        <v>2734</v>
      </c>
      <c r="C973" s="2" t="s">
        <v>141</v>
      </c>
      <c r="D973" s="2" t="s">
        <v>0</v>
      </c>
      <c r="E973" s="2" t="s">
        <v>130</v>
      </c>
      <c r="F973" s="2" t="s">
        <v>2735</v>
      </c>
      <c r="G973" s="2" t="s">
        <v>2736</v>
      </c>
      <c r="H973" s="2" t="s">
        <v>142</v>
      </c>
      <c r="I973" s="2" t="s">
        <v>41</v>
      </c>
      <c r="J973" s="2">
        <v>32</v>
      </c>
      <c r="K973" s="2" t="s">
        <v>132</v>
      </c>
      <c r="L973" s="2" t="s">
        <v>40</v>
      </c>
      <c r="P973" s="2" t="s">
        <v>48</v>
      </c>
      <c r="Q973" s="2">
        <f>INDEX(Tables!$C$4:$C$28,MATCH($P973,Tables!$B$4:$B$28,0))</f>
        <v>32</v>
      </c>
      <c r="R973" s="2">
        <f>INDEX(Tables!$D$4:$D$28,MATCH($P973,Tables!$B$4:$B$28,0))</f>
        <v>4</v>
      </c>
      <c r="S973" s="2">
        <f>$S972+$R972+INDEX(Tables!$N$5:$Q$8,MATCH(MOD($S972+$R972,4),Tables!$M$5:$M$8,0),MATCH($R973,Tables!$N$4:$Q$4,0))</f>
        <v>3708</v>
      </c>
      <c r="T973" s="2" t="str">
        <f t="shared" si="243"/>
        <v>0E7C</v>
      </c>
      <c r="U973" s="2">
        <f t="shared" si="249"/>
        <v>927</v>
      </c>
      <c r="V973" s="2" t="str">
        <f t="shared" si="244"/>
        <v>39F</v>
      </c>
      <c r="W973" s="2" t="str">
        <f t="shared" si="245"/>
        <v>X</v>
      </c>
      <c r="X973" s="2" t="str">
        <f t="shared" si="248"/>
        <v>X</v>
      </c>
      <c r="Y973" s="2" t="str">
        <f t="shared" si="246"/>
        <v>X</v>
      </c>
      <c r="Z973" s="2" t="str">
        <f t="shared" si="247"/>
        <v>X</v>
      </c>
      <c r="AA973" s="2" t="str">
        <f t="shared" si="250"/>
        <v>(31 downto 24)</v>
      </c>
      <c r="AB973" s="2" t="str">
        <f t="shared" si="251"/>
        <v>(23 downto 16)</v>
      </c>
      <c r="AC973" s="2" t="str">
        <f t="shared" si="252"/>
        <v>(15 downto 8)</v>
      </c>
      <c r="AD973" s="2" t="str">
        <f t="shared" si="253"/>
        <v>(7 downto 0)</v>
      </c>
      <c r="AE973" s="2" t="str">
        <f t="shared" si="254"/>
        <v>(31 downto 24)</v>
      </c>
      <c r="AF973" s="2" t="str">
        <f t="shared" si="255"/>
        <v>(23 downto 16)</v>
      </c>
      <c r="AG973" s="2" t="str">
        <f t="shared" si="256"/>
        <v>(15 downto 8)</v>
      </c>
      <c r="AH973" s="2" t="str">
        <f t="shared" si="257"/>
        <v>(7 downto 0)</v>
      </c>
    </row>
    <row r="974" spans="2:34" x14ac:dyDescent="0.25">
      <c r="B974" s="2" t="s">
        <v>2737</v>
      </c>
      <c r="C974" s="2" t="s">
        <v>141</v>
      </c>
      <c r="D974" s="2" t="s">
        <v>0</v>
      </c>
      <c r="E974" s="2" t="s">
        <v>130</v>
      </c>
      <c r="F974" s="2" t="s">
        <v>2738</v>
      </c>
      <c r="G974" s="2" t="s">
        <v>2739</v>
      </c>
      <c r="H974" s="2" t="s">
        <v>142</v>
      </c>
      <c r="I974" s="2" t="s">
        <v>41</v>
      </c>
      <c r="J974" s="2">
        <v>32</v>
      </c>
      <c r="K974" s="2" t="s">
        <v>132</v>
      </c>
      <c r="L974" s="2" t="s">
        <v>40</v>
      </c>
      <c r="P974" s="2" t="s">
        <v>48</v>
      </c>
      <c r="Q974" s="2">
        <f>INDEX(Tables!$C$4:$C$28,MATCH($P974,Tables!$B$4:$B$28,0))</f>
        <v>32</v>
      </c>
      <c r="R974" s="2">
        <f>INDEX(Tables!$D$4:$D$28,MATCH($P974,Tables!$B$4:$B$28,0))</f>
        <v>4</v>
      </c>
      <c r="S974" s="2">
        <f>$S973+$R973+INDEX(Tables!$N$5:$Q$8,MATCH(MOD($S973+$R973,4),Tables!$M$5:$M$8,0),MATCH($R974,Tables!$N$4:$Q$4,0))</f>
        <v>3712</v>
      </c>
      <c r="T974" s="2" t="str">
        <f t="shared" si="243"/>
        <v>0E80</v>
      </c>
      <c r="U974" s="2">
        <f t="shared" si="249"/>
        <v>928</v>
      </c>
      <c r="V974" s="2" t="str">
        <f t="shared" si="244"/>
        <v>3A0</v>
      </c>
      <c r="W974" s="2" t="str">
        <f t="shared" si="245"/>
        <v>X</v>
      </c>
      <c r="X974" s="2" t="str">
        <f t="shared" si="248"/>
        <v>X</v>
      </c>
      <c r="Y974" s="2" t="str">
        <f t="shared" si="246"/>
        <v>X</v>
      </c>
      <c r="Z974" s="2" t="str">
        <f t="shared" si="247"/>
        <v>X</v>
      </c>
      <c r="AA974" s="2" t="str">
        <f t="shared" si="250"/>
        <v>(31 downto 24)</v>
      </c>
      <c r="AB974" s="2" t="str">
        <f t="shared" si="251"/>
        <v>(23 downto 16)</v>
      </c>
      <c r="AC974" s="2" t="str">
        <f t="shared" si="252"/>
        <v>(15 downto 8)</v>
      </c>
      <c r="AD974" s="2" t="str">
        <f t="shared" si="253"/>
        <v>(7 downto 0)</v>
      </c>
      <c r="AE974" s="2" t="str">
        <f t="shared" si="254"/>
        <v>(31 downto 24)</v>
      </c>
      <c r="AF974" s="2" t="str">
        <f t="shared" si="255"/>
        <v>(23 downto 16)</v>
      </c>
      <c r="AG974" s="2" t="str">
        <f t="shared" si="256"/>
        <v>(15 downto 8)</v>
      </c>
      <c r="AH974" s="2" t="str">
        <f t="shared" si="257"/>
        <v>(7 downto 0)</v>
      </c>
    </row>
    <row r="975" spans="2:34" x14ac:dyDescent="0.25">
      <c r="B975" s="2" t="s">
        <v>2740</v>
      </c>
      <c r="C975" s="2" t="s">
        <v>141</v>
      </c>
      <c r="D975" s="2" t="s">
        <v>0</v>
      </c>
      <c r="E975" s="2" t="s">
        <v>130</v>
      </c>
      <c r="F975" s="2" t="s">
        <v>2741</v>
      </c>
      <c r="G975" s="2" t="s">
        <v>2742</v>
      </c>
      <c r="H975" s="2" t="s">
        <v>142</v>
      </c>
      <c r="I975" s="2" t="s">
        <v>41</v>
      </c>
      <c r="J975" s="2">
        <v>32</v>
      </c>
      <c r="K975" s="2" t="s">
        <v>132</v>
      </c>
      <c r="L975" s="2" t="s">
        <v>40</v>
      </c>
      <c r="P975" s="2" t="s">
        <v>48</v>
      </c>
      <c r="Q975" s="2">
        <f>INDEX(Tables!$C$4:$C$28,MATCH($P975,Tables!$B$4:$B$28,0))</f>
        <v>32</v>
      </c>
      <c r="R975" s="2">
        <f>INDEX(Tables!$D$4:$D$28,MATCH($P975,Tables!$B$4:$B$28,0))</f>
        <v>4</v>
      </c>
      <c r="S975" s="2">
        <f>$S974+$R974+INDEX(Tables!$N$5:$Q$8,MATCH(MOD($S974+$R974,4),Tables!$M$5:$M$8,0),MATCH($R975,Tables!$N$4:$Q$4,0))</f>
        <v>3716</v>
      </c>
      <c r="T975" s="2" t="str">
        <f t="shared" si="243"/>
        <v>0E84</v>
      </c>
      <c r="U975" s="2">
        <f t="shared" si="249"/>
        <v>929</v>
      </c>
      <c r="V975" s="2" t="str">
        <f t="shared" si="244"/>
        <v>3A1</v>
      </c>
      <c r="W975" s="2" t="str">
        <f t="shared" si="245"/>
        <v>X</v>
      </c>
      <c r="X975" s="2" t="str">
        <f t="shared" si="248"/>
        <v>X</v>
      </c>
      <c r="Y975" s="2" t="str">
        <f t="shared" si="246"/>
        <v>X</v>
      </c>
      <c r="Z975" s="2" t="str">
        <f t="shared" si="247"/>
        <v>X</v>
      </c>
      <c r="AA975" s="2" t="str">
        <f t="shared" si="250"/>
        <v>(31 downto 24)</v>
      </c>
      <c r="AB975" s="2" t="str">
        <f t="shared" si="251"/>
        <v>(23 downto 16)</v>
      </c>
      <c r="AC975" s="2" t="str">
        <f t="shared" si="252"/>
        <v>(15 downto 8)</v>
      </c>
      <c r="AD975" s="2" t="str">
        <f t="shared" si="253"/>
        <v>(7 downto 0)</v>
      </c>
      <c r="AE975" s="2" t="str">
        <f t="shared" si="254"/>
        <v>(31 downto 24)</v>
      </c>
      <c r="AF975" s="2" t="str">
        <f t="shared" si="255"/>
        <v>(23 downto 16)</v>
      </c>
      <c r="AG975" s="2" t="str">
        <f t="shared" si="256"/>
        <v>(15 downto 8)</v>
      </c>
      <c r="AH975" s="2" t="str">
        <f t="shared" si="257"/>
        <v>(7 downto 0)</v>
      </c>
    </row>
    <row r="976" spans="2:34" x14ac:dyDescent="0.25">
      <c r="B976" s="2" t="s">
        <v>2743</v>
      </c>
      <c r="C976" s="2" t="s">
        <v>141</v>
      </c>
      <c r="D976" s="2" t="s">
        <v>0</v>
      </c>
      <c r="E976" s="2" t="s">
        <v>130</v>
      </c>
      <c r="F976" s="2" t="s">
        <v>2744</v>
      </c>
      <c r="G976" s="2" t="s">
        <v>2745</v>
      </c>
      <c r="H976" s="2" t="s">
        <v>142</v>
      </c>
      <c r="I976" s="2" t="s">
        <v>41</v>
      </c>
      <c r="J976" s="2">
        <v>32</v>
      </c>
      <c r="K976" s="2" t="s">
        <v>132</v>
      </c>
      <c r="L976" s="2" t="s">
        <v>40</v>
      </c>
      <c r="P976" s="2" t="s">
        <v>48</v>
      </c>
      <c r="Q976" s="2">
        <f>INDEX(Tables!$C$4:$C$28,MATCH($P976,Tables!$B$4:$B$28,0))</f>
        <v>32</v>
      </c>
      <c r="R976" s="2">
        <f>INDEX(Tables!$D$4:$D$28,MATCH($P976,Tables!$B$4:$B$28,0))</f>
        <v>4</v>
      </c>
      <c r="S976" s="2">
        <f>$S975+$R975+INDEX(Tables!$N$5:$Q$8,MATCH(MOD($S975+$R975,4),Tables!$M$5:$M$8,0),MATCH($R976,Tables!$N$4:$Q$4,0))</f>
        <v>3720</v>
      </c>
      <c r="T976" s="2" t="str">
        <f t="shared" si="243"/>
        <v>0E88</v>
      </c>
      <c r="U976" s="2">
        <f t="shared" si="249"/>
        <v>930</v>
      </c>
      <c r="V976" s="2" t="str">
        <f t="shared" si="244"/>
        <v>3A2</v>
      </c>
      <c r="W976" s="2" t="str">
        <f t="shared" si="245"/>
        <v>X</v>
      </c>
      <c r="X976" s="2" t="str">
        <f t="shared" si="248"/>
        <v>X</v>
      </c>
      <c r="Y976" s="2" t="str">
        <f t="shared" si="246"/>
        <v>X</v>
      </c>
      <c r="Z976" s="2" t="str">
        <f t="shared" si="247"/>
        <v>X</v>
      </c>
      <c r="AA976" s="2" t="str">
        <f t="shared" si="250"/>
        <v>(31 downto 24)</v>
      </c>
      <c r="AB976" s="2" t="str">
        <f t="shared" si="251"/>
        <v>(23 downto 16)</v>
      </c>
      <c r="AC976" s="2" t="str">
        <f t="shared" si="252"/>
        <v>(15 downto 8)</v>
      </c>
      <c r="AD976" s="2" t="str">
        <f t="shared" si="253"/>
        <v>(7 downto 0)</v>
      </c>
      <c r="AE976" s="2" t="str">
        <f t="shared" si="254"/>
        <v>(31 downto 24)</v>
      </c>
      <c r="AF976" s="2" t="str">
        <f t="shared" si="255"/>
        <v>(23 downto 16)</v>
      </c>
      <c r="AG976" s="2" t="str">
        <f t="shared" si="256"/>
        <v>(15 downto 8)</v>
      </c>
      <c r="AH976" s="2" t="str">
        <f t="shared" si="257"/>
        <v>(7 downto 0)</v>
      </c>
    </row>
    <row r="977" spans="2:34" x14ac:dyDescent="0.25">
      <c r="B977" s="2" t="s">
        <v>2746</v>
      </c>
      <c r="C977" s="2" t="s">
        <v>141</v>
      </c>
      <c r="D977" s="2" t="s">
        <v>0</v>
      </c>
      <c r="E977" s="2" t="s">
        <v>130</v>
      </c>
      <c r="F977" s="2" t="s">
        <v>2747</v>
      </c>
      <c r="G977" s="2" t="s">
        <v>2748</v>
      </c>
      <c r="H977" s="2" t="s">
        <v>142</v>
      </c>
      <c r="I977" s="2" t="s">
        <v>41</v>
      </c>
      <c r="J977" s="2">
        <v>32</v>
      </c>
      <c r="K977" s="2" t="s">
        <v>132</v>
      </c>
      <c r="L977" s="2" t="s">
        <v>40</v>
      </c>
      <c r="P977" s="2" t="s">
        <v>48</v>
      </c>
      <c r="Q977" s="2">
        <f>INDEX(Tables!$C$4:$C$28,MATCH($P977,Tables!$B$4:$B$28,0))</f>
        <v>32</v>
      </c>
      <c r="R977" s="2">
        <f>INDEX(Tables!$D$4:$D$28,MATCH($P977,Tables!$B$4:$B$28,0))</f>
        <v>4</v>
      </c>
      <c r="S977" s="2">
        <f>$S976+$R976+INDEX(Tables!$N$5:$Q$8,MATCH(MOD($S976+$R976,4),Tables!$M$5:$M$8,0),MATCH($R977,Tables!$N$4:$Q$4,0))</f>
        <v>3724</v>
      </c>
      <c r="T977" s="2" t="str">
        <f t="shared" si="243"/>
        <v>0E8C</v>
      </c>
      <c r="U977" s="2">
        <f t="shared" si="249"/>
        <v>931</v>
      </c>
      <c r="V977" s="2" t="str">
        <f t="shared" si="244"/>
        <v>3A3</v>
      </c>
      <c r="W977" s="2" t="str">
        <f t="shared" si="245"/>
        <v>X</v>
      </c>
      <c r="X977" s="2" t="str">
        <f t="shared" si="248"/>
        <v>X</v>
      </c>
      <c r="Y977" s="2" t="str">
        <f t="shared" si="246"/>
        <v>X</v>
      </c>
      <c r="Z977" s="2" t="str">
        <f t="shared" si="247"/>
        <v>X</v>
      </c>
      <c r="AA977" s="2" t="str">
        <f t="shared" si="250"/>
        <v>(31 downto 24)</v>
      </c>
      <c r="AB977" s="2" t="str">
        <f t="shared" si="251"/>
        <v>(23 downto 16)</v>
      </c>
      <c r="AC977" s="2" t="str">
        <f t="shared" si="252"/>
        <v>(15 downto 8)</v>
      </c>
      <c r="AD977" s="2" t="str">
        <f t="shared" si="253"/>
        <v>(7 downto 0)</v>
      </c>
      <c r="AE977" s="2" t="str">
        <f t="shared" si="254"/>
        <v>(31 downto 24)</v>
      </c>
      <c r="AF977" s="2" t="str">
        <f t="shared" si="255"/>
        <v>(23 downto 16)</v>
      </c>
      <c r="AG977" s="2" t="str">
        <f t="shared" si="256"/>
        <v>(15 downto 8)</v>
      </c>
      <c r="AH977" s="2" t="str">
        <f t="shared" si="257"/>
        <v>(7 downto 0)</v>
      </c>
    </row>
    <row r="978" spans="2:34" x14ac:dyDescent="0.25">
      <c r="B978" s="2" t="s">
        <v>2749</v>
      </c>
      <c r="C978" s="2" t="s">
        <v>141</v>
      </c>
      <c r="D978" s="2" t="s">
        <v>0</v>
      </c>
      <c r="E978" s="2" t="s">
        <v>130</v>
      </c>
      <c r="F978" s="2" t="s">
        <v>2750</v>
      </c>
      <c r="G978" s="2" t="s">
        <v>2751</v>
      </c>
      <c r="H978" s="2" t="s">
        <v>142</v>
      </c>
      <c r="I978" s="2" t="s">
        <v>41</v>
      </c>
      <c r="J978" s="2">
        <v>32</v>
      </c>
      <c r="K978" s="2" t="s">
        <v>132</v>
      </c>
      <c r="L978" s="2" t="s">
        <v>40</v>
      </c>
      <c r="P978" s="2" t="s">
        <v>48</v>
      </c>
      <c r="Q978" s="2">
        <f>INDEX(Tables!$C$4:$C$28,MATCH($P978,Tables!$B$4:$B$28,0))</f>
        <v>32</v>
      </c>
      <c r="R978" s="2">
        <f>INDEX(Tables!$D$4:$D$28,MATCH($P978,Tables!$B$4:$B$28,0))</f>
        <v>4</v>
      </c>
      <c r="S978" s="2">
        <f>$S977+$R977+INDEX(Tables!$N$5:$Q$8,MATCH(MOD($S977+$R977,4),Tables!$M$5:$M$8,0),MATCH($R978,Tables!$N$4:$Q$4,0))</f>
        <v>3728</v>
      </c>
      <c r="T978" s="2" t="str">
        <f t="shared" si="243"/>
        <v>0E90</v>
      </c>
      <c r="U978" s="2">
        <f t="shared" si="249"/>
        <v>932</v>
      </c>
      <c r="V978" s="2" t="str">
        <f t="shared" si="244"/>
        <v>3A4</v>
      </c>
      <c r="W978" s="2" t="str">
        <f t="shared" si="245"/>
        <v>X</v>
      </c>
      <c r="X978" s="2" t="str">
        <f t="shared" si="248"/>
        <v>X</v>
      </c>
      <c r="Y978" s="2" t="str">
        <f t="shared" si="246"/>
        <v>X</v>
      </c>
      <c r="Z978" s="2" t="str">
        <f t="shared" si="247"/>
        <v>X</v>
      </c>
      <c r="AA978" s="2" t="str">
        <f t="shared" si="250"/>
        <v>(31 downto 24)</v>
      </c>
      <c r="AB978" s="2" t="str">
        <f t="shared" si="251"/>
        <v>(23 downto 16)</v>
      </c>
      <c r="AC978" s="2" t="str">
        <f t="shared" si="252"/>
        <v>(15 downto 8)</v>
      </c>
      <c r="AD978" s="2" t="str">
        <f t="shared" si="253"/>
        <v>(7 downto 0)</v>
      </c>
      <c r="AE978" s="2" t="str">
        <f t="shared" si="254"/>
        <v>(31 downto 24)</v>
      </c>
      <c r="AF978" s="2" t="str">
        <f t="shared" si="255"/>
        <v>(23 downto 16)</v>
      </c>
      <c r="AG978" s="2" t="str">
        <f t="shared" si="256"/>
        <v>(15 downto 8)</v>
      </c>
      <c r="AH978" s="2" t="str">
        <f t="shared" si="257"/>
        <v>(7 downto 0)</v>
      </c>
    </row>
    <row r="979" spans="2:34" x14ac:dyDescent="0.25">
      <c r="B979" s="2" t="s">
        <v>2752</v>
      </c>
      <c r="C979" s="2" t="s">
        <v>141</v>
      </c>
      <c r="D979" s="2" t="s">
        <v>0</v>
      </c>
      <c r="E979" s="2" t="s">
        <v>130</v>
      </c>
      <c r="F979" s="2" t="s">
        <v>2753</v>
      </c>
      <c r="G979" s="2" t="s">
        <v>2754</v>
      </c>
      <c r="H979" s="2" t="s">
        <v>142</v>
      </c>
      <c r="I979" s="2" t="s">
        <v>41</v>
      </c>
      <c r="J979" s="2">
        <v>32</v>
      </c>
      <c r="K979" s="2" t="s">
        <v>132</v>
      </c>
      <c r="L979" s="2" t="s">
        <v>40</v>
      </c>
      <c r="P979" s="2" t="s">
        <v>48</v>
      </c>
      <c r="Q979" s="2">
        <f>INDEX(Tables!$C$4:$C$28,MATCH($P979,Tables!$B$4:$B$28,0))</f>
        <v>32</v>
      </c>
      <c r="R979" s="2">
        <f>INDEX(Tables!$D$4:$D$28,MATCH($P979,Tables!$B$4:$B$28,0))</f>
        <v>4</v>
      </c>
      <c r="S979" s="2">
        <f>$S978+$R978+INDEX(Tables!$N$5:$Q$8,MATCH(MOD($S978+$R978,4),Tables!$M$5:$M$8,0),MATCH($R979,Tables!$N$4:$Q$4,0))</f>
        <v>3732</v>
      </c>
      <c r="T979" s="2" t="str">
        <f t="shared" si="243"/>
        <v>0E94</v>
      </c>
      <c r="U979" s="2">
        <f t="shared" si="249"/>
        <v>933</v>
      </c>
      <c r="V979" s="2" t="str">
        <f t="shared" si="244"/>
        <v>3A5</v>
      </c>
      <c r="W979" s="2" t="str">
        <f t="shared" si="245"/>
        <v>X</v>
      </c>
      <c r="X979" s="2" t="str">
        <f t="shared" si="248"/>
        <v>X</v>
      </c>
      <c r="Y979" s="2" t="str">
        <f t="shared" si="246"/>
        <v>X</v>
      </c>
      <c r="Z979" s="2" t="str">
        <f t="shared" si="247"/>
        <v>X</v>
      </c>
      <c r="AA979" s="2" t="str">
        <f t="shared" si="250"/>
        <v>(31 downto 24)</v>
      </c>
      <c r="AB979" s="2" t="str">
        <f t="shared" si="251"/>
        <v>(23 downto 16)</v>
      </c>
      <c r="AC979" s="2" t="str">
        <f t="shared" si="252"/>
        <v>(15 downto 8)</v>
      </c>
      <c r="AD979" s="2" t="str">
        <f t="shared" si="253"/>
        <v>(7 downto 0)</v>
      </c>
      <c r="AE979" s="2" t="str">
        <f t="shared" si="254"/>
        <v>(31 downto 24)</v>
      </c>
      <c r="AF979" s="2" t="str">
        <f t="shared" si="255"/>
        <v>(23 downto 16)</v>
      </c>
      <c r="AG979" s="2" t="str">
        <f t="shared" si="256"/>
        <v>(15 downto 8)</v>
      </c>
      <c r="AH979" s="2" t="str">
        <f t="shared" si="257"/>
        <v>(7 downto 0)</v>
      </c>
    </row>
    <row r="980" spans="2:34" x14ac:dyDescent="0.25">
      <c r="B980" s="2" t="s">
        <v>2755</v>
      </c>
      <c r="C980" s="2" t="s">
        <v>141</v>
      </c>
      <c r="D980" s="2" t="s">
        <v>0</v>
      </c>
      <c r="E980" s="2" t="s">
        <v>130</v>
      </c>
      <c r="F980" s="2" t="s">
        <v>2756</v>
      </c>
      <c r="G980" s="2" t="s">
        <v>2757</v>
      </c>
      <c r="H980" s="2" t="s">
        <v>142</v>
      </c>
      <c r="I980" s="2" t="s">
        <v>41</v>
      </c>
      <c r="J980" s="2">
        <v>32</v>
      </c>
      <c r="K980" s="2" t="s">
        <v>132</v>
      </c>
      <c r="L980" s="2" t="s">
        <v>40</v>
      </c>
      <c r="P980" s="2" t="s">
        <v>48</v>
      </c>
      <c r="Q980" s="2">
        <f>INDEX(Tables!$C$4:$C$28,MATCH($P980,Tables!$B$4:$B$28,0))</f>
        <v>32</v>
      </c>
      <c r="R980" s="2">
        <f>INDEX(Tables!$D$4:$D$28,MATCH($P980,Tables!$B$4:$B$28,0))</f>
        <v>4</v>
      </c>
      <c r="S980" s="2">
        <f>$S979+$R979+INDEX(Tables!$N$5:$Q$8,MATCH(MOD($S979+$R979,4),Tables!$M$5:$M$8,0),MATCH($R980,Tables!$N$4:$Q$4,0))</f>
        <v>3736</v>
      </c>
      <c r="T980" s="2" t="str">
        <f t="shared" si="243"/>
        <v>0E98</v>
      </c>
      <c r="U980" s="2">
        <f t="shared" si="249"/>
        <v>934</v>
      </c>
      <c r="V980" s="2" t="str">
        <f t="shared" si="244"/>
        <v>3A6</v>
      </c>
      <c r="W980" s="2" t="str">
        <f t="shared" si="245"/>
        <v>X</v>
      </c>
      <c r="X980" s="2" t="str">
        <f t="shared" si="248"/>
        <v>X</v>
      </c>
      <c r="Y980" s="2" t="str">
        <f t="shared" si="246"/>
        <v>X</v>
      </c>
      <c r="Z980" s="2" t="str">
        <f t="shared" si="247"/>
        <v>X</v>
      </c>
      <c r="AA980" s="2" t="str">
        <f t="shared" si="250"/>
        <v>(31 downto 24)</v>
      </c>
      <c r="AB980" s="2" t="str">
        <f t="shared" si="251"/>
        <v>(23 downto 16)</v>
      </c>
      <c r="AC980" s="2" t="str">
        <f t="shared" si="252"/>
        <v>(15 downto 8)</v>
      </c>
      <c r="AD980" s="2" t="str">
        <f t="shared" si="253"/>
        <v>(7 downto 0)</v>
      </c>
      <c r="AE980" s="2" t="str">
        <f t="shared" si="254"/>
        <v>(31 downto 24)</v>
      </c>
      <c r="AF980" s="2" t="str">
        <f t="shared" si="255"/>
        <v>(23 downto 16)</v>
      </c>
      <c r="AG980" s="2" t="str">
        <f t="shared" si="256"/>
        <v>(15 downto 8)</v>
      </c>
      <c r="AH980" s="2" t="str">
        <f t="shared" si="257"/>
        <v>(7 downto 0)</v>
      </c>
    </row>
    <row r="981" spans="2:34" x14ac:dyDescent="0.25">
      <c r="B981" s="2" t="s">
        <v>2758</v>
      </c>
      <c r="C981" s="2" t="s">
        <v>141</v>
      </c>
      <c r="D981" s="2" t="s">
        <v>0</v>
      </c>
      <c r="E981" s="2" t="s">
        <v>130</v>
      </c>
      <c r="F981" s="2" t="s">
        <v>2759</v>
      </c>
      <c r="G981" s="2" t="s">
        <v>2760</v>
      </c>
      <c r="H981" s="2" t="s">
        <v>142</v>
      </c>
      <c r="I981" s="2" t="s">
        <v>41</v>
      </c>
      <c r="J981" s="2">
        <v>32</v>
      </c>
      <c r="K981" s="2" t="s">
        <v>132</v>
      </c>
      <c r="L981" s="2" t="s">
        <v>40</v>
      </c>
      <c r="P981" s="2" t="s">
        <v>48</v>
      </c>
      <c r="Q981" s="2">
        <f>INDEX(Tables!$C$4:$C$28,MATCH($P981,Tables!$B$4:$B$28,0))</f>
        <v>32</v>
      </c>
      <c r="R981" s="2">
        <f>INDEX(Tables!$D$4:$D$28,MATCH($P981,Tables!$B$4:$B$28,0))</f>
        <v>4</v>
      </c>
      <c r="S981" s="2">
        <f>$S980+$R980+INDEX(Tables!$N$5:$Q$8,MATCH(MOD($S980+$R980,4),Tables!$M$5:$M$8,0),MATCH($R981,Tables!$N$4:$Q$4,0))</f>
        <v>3740</v>
      </c>
      <c r="T981" s="2" t="str">
        <f t="shared" si="243"/>
        <v>0E9C</v>
      </c>
      <c r="U981" s="2">
        <f t="shared" si="249"/>
        <v>935</v>
      </c>
      <c r="V981" s="2" t="str">
        <f t="shared" si="244"/>
        <v>3A7</v>
      </c>
      <c r="W981" s="2" t="str">
        <f t="shared" si="245"/>
        <v>X</v>
      </c>
      <c r="X981" s="2" t="str">
        <f t="shared" si="248"/>
        <v>X</v>
      </c>
      <c r="Y981" s="2" t="str">
        <f t="shared" si="246"/>
        <v>X</v>
      </c>
      <c r="Z981" s="2" t="str">
        <f t="shared" si="247"/>
        <v>X</v>
      </c>
      <c r="AA981" s="2" t="str">
        <f t="shared" si="250"/>
        <v>(31 downto 24)</v>
      </c>
      <c r="AB981" s="2" t="str">
        <f t="shared" si="251"/>
        <v>(23 downto 16)</v>
      </c>
      <c r="AC981" s="2" t="str">
        <f t="shared" si="252"/>
        <v>(15 downto 8)</v>
      </c>
      <c r="AD981" s="2" t="str">
        <f t="shared" si="253"/>
        <v>(7 downto 0)</v>
      </c>
      <c r="AE981" s="2" t="str">
        <f t="shared" si="254"/>
        <v>(31 downto 24)</v>
      </c>
      <c r="AF981" s="2" t="str">
        <f t="shared" si="255"/>
        <v>(23 downto 16)</v>
      </c>
      <c r="AG981" s="2" t="str">
        <f t="shared" si="256"/>
        <v>(15 downto 8)</v>
      </c>
      <c r="AH981" s="2" t="str">
        <f t="shared" si="257"/>
        <v>(7 downto 0)</v>
      </c>
    </row>
    <row r="982" spans="2:34" x14ac:dyDescent="0.25">
      <c r="B982" s="2" t="s">
        <v>2761</v>
      </c>
      <c r="C982" s="2" t="s">
        <v>141</v>
      </c>
      <c r="D982" s="2" t="s">
        <v>0</v>
      </c>
      <c r="E982" s="2" t="s">
        <v>130</v>
      </c>
      <c r="F982" s="2" t="s">
        <v>2762</v>
      </c>
      <c r="G982" s="2" t="s">
        <v>2763</v>
      </c>
      <c r="H982" s="2" t="s">
        <v>142</v>
      </c>
      <c r="I982" s="2" t="s">
        <v>41</v>
      </c>
      <c r="J982" s="2">
        <v>32</v>
      </c>
      <c r="K982" s="2" t="s">
        <v>132</v>
      </c>
      <c r="L982" s="2" t="s">
        <v>40</v>
      </c>
      <c r="P982" s="2" t="s">
        <v>48</v>
      </c>
      <c r="Q982" s="2">
        <f>INDEX(Tables!$C$4:$C$28,MATCH($P982,Tables!$B$4:$B$28,0))</f>
        <v>32</v>
      </c>
      <c r="R982" s="2">
        <f>INDEX(Tables!$D$4:$D$28,MATCH($P982,Tables!$B$4:$B$28,0))</f>
        <v>4</v>
      </c>
      <c r="S982" s="2">
        <f>$S981+$R981+INDEX(Tables!$N$5:$Q$8,MATCH(MOD($S981+$R981,4),Tables!$M$5:$M$8,0),MATCH($R982,Tables!$N$4:$Q$4,0))</f>
        <v>3744</v>
      </c>
      <c r="T982" s="2" t="str">
        <f t="shared" si="243"/>
        <v>0EA0</v>
      </c>
      <c r="U982" s="2">
        <f t="shared" si="249"/>
        <v>936</v>
      </c>
      <c r="V982" s="2" t="str">
        <f t="shared" si="244"/>
        <v>3A8</v>
      </c>
      <c r="W982" s="2" t="str">
        <f t="shared" si="245"/>
        <v>X</v>
      </c>
      <c r="X982" s="2" t="str">
        <f t="shared" si="248"/>
        <v>X</v>
      </c>
      <c r="Y982" s="2" t="str">
        <f t="shared" si="246"/>
        <v>X</v>
      </c>
      <c r="Z982" s="2" t="str">
        <f t="shared" si="247"/>
        <v>X</v>
      </c>
      <c r="AA982" s="2" t="str">
        <f t="shared" si="250"/>
        <v>(31 downto 24)</v>
      </c>
      <c r="AB982" s="2" t="str">
        <f t="shared" si="251"/>
        <v>(23 downto 16)</v>
      </c>
      <c r="AC982" s="2" t="str">
        <f t="shared" si="252"/>
        <v>(15 downto 8)</v>
      </c>
      <c r="AD982" s="2" t="str">
        <f t="shared" si="253"/>
        <v>(7 downto 0)</v>
      </c>
      <c r="AE982" s="2" t="str">
        <f t="shared" si="254"/>
        <v>(31 downto 24)</v>
      </c>
      <c r="AF982" s="2" t="str">
        <f t="shared" si="255"/>
        <v>(23 downto 16)</v>
      </c>
      <c r="AG982" s="2" t="str">
        <f t="shared" si="256"/>
        <v>(15 downto 8)</v>
      </c>
      <c r="AH982" s="2" t="str">
        <f t="shared" si="257"/>
        <v>(7 downto 0)</v>
      </c>
    </row>
    <row r="983" spans="2:34" x14ac:dyDescent="0.25">
      <c r="B983" s="2" t="s">
        <v>2764</v>
      </c>
      <c r="C983" s="2" t="s">
        <v>141</v>
      </c>
      <c r="D983" s="2" t="s">
        <v>0</v>
      </c>
      <c r="E983" s="2" t="s">
        <v>130</v>
      </c>
      <c r="F983" s="2" t="s">
        <v>2765</v>
      </c>
      <c r="G983" s="2" t="s">
        <v>2766</v>
      </c>
      <c r="H983" s="2" t="s">
        <v>142</v>
      </c>
      <c r="I983" s="2" t="s">
        <v>41</v>
      </c>
      <c r="J983" s="2">
        <v>32</v>
      </c>
      <c r="K983" s="2" t="s">
        <v>132</v>
      </c>
      <c r="L983" s="2" t="s">
        <v>40</v>
      </c>
      <c r="P983" s="2" t="s">
        <v>48</v>
      </c>
      <c r="Q983" s="2">
        <f>INDEX(Tables!$C$4:$C$28,MATCH($P983,Tables!$B$4:$B$28,0))</f>
        <v>32</v>
      </c>
      <c r="R983" s="2">
        <f>INDEX(Tables!$D$4:$D$28,MATCH($P983,Tables!$B$4:$B$28,0))</f>
        <v>4</v>
      </c>
      <c r="S983" s="2">
        <f>$S982+$R982+INDEX(Tables!$N$5:$Q$8,MATCH(MOD($S982+$R982,4),Tables!$M$5:$M$8,0),MATCH($R983,Tables!$N$4:$Q$4,0))</f>
        <v>3748</v>
      </c>
      <c r="T983" s="2" t="str">
        <f t="shared" si="243"/>
        <v>0EA4</v>
      </c>
      <c r="U983" s="2">
        <f t="shared" si="249"/>
        <v>937</v>
      </c>
      <c r="V983" s="2" t="str">
        <f t="shared" si="244"/>
        <v>3A9</v>
      </c>
      <c r="W983" s="2" t="str">
        <f t="shared" si="245"/>
        <v>X</v>
      </c>
      <c r="X983" s="2" t="str">
        <f t="shared" si="248"/>
        <v>X</v>
      </c>
      <c r="Y983" s="2" t="str">
        <f t="shared" si="246"/>
        <v>X</v>
      </c>
      <c r="Z983" s="2" t="str">
        <f t="shared" si="247"/>
        <v>X</v>
      </c>
      <c r="AA983" s="2" t="str">
        <f t="shared" si="250"/>
        <v>(31 downto 24)</v>
      </c>
      <c r="AB983" s="2" t="str">
        <f t="shared" si="251"/>
        <v>(23 downto 16)</v>
      </c>
      <c r="AC983" s="2" t="str">
        <f t="shared" si="252"/>
        <v>(15 downto 8)</v>
      </c>
      <c r="AD983" s="2" t="str">
        <f t="shared" si="253"/>
        <v>(7 downto 0)</v>
      </c>
      <c r="AE983" s="2" t="str">
        <f t="shared" si="254"/>
        <v>(31 downto 24)</v>
      </c>
      <c r="AF983" s="2" t="str">
        <f t="shared" si="255"/>
        <v>(23 downto 16)</v>
      </c>
      <c r="AG983" s="2" t="str">
        <f t="shared" si="256"/>
        <v>(15 downto 8)</v>
      </c>
      <c r="AH983" s="2" t="str">
        <f t="shared" si="257"/>
        <v>(7 downto 0)</v>
      </c>
    </row>
    <row r="984" spans="2:34" x14ac:dyDescent="0.25">
      <c r="B984" s="2" t="s">
        <v>2767</v>
      </c>
      <c r="C984" s="2" t="s">
        <v>141</v>
      </c>
      <c r="D984" s="2" t="s">
        <v>0</v>
      </c>
      <c r="E984" s="2" t="s">
        <v>130</v>
      </c>
      <c r="F984" s="2" t="s">
        <v>2768</v>
      </c>
      <c r="G984" s="2" t="s">
        <v>2769</v>
      </c>
      <c r="H984" s="2" t="s">
        <v>142</v>
      </c>
      <c r="I984" s="2" t="s">
        <v>41</v>
      </c>
      <c r="J984" s="2">
        <v>32</v>
      </c>
      <c r="K984" s="2" t="s">
        <v>132</v>
      </c>
      <c r="L984" s="2" t="s">
        <v>40</v>
      </c>
      <c r="P984" s="2" t="s">
        <v>48</v>
      </c>
      <c r="Q984" s="2">
        <f>INDEX(Tables!$C$4:$C$28,MATCH($P984,Tables!$B$4:$B$28,0))</f>
        <v>32</v>
      </c>
      <c r="R984" s="2">
        <f>INDEX(Tables!$D$4:$D$28,MATCH($P984,Tables!$B$4:$B$28,0))</f>
        <v>4</v>
      </c>
      <c r="S984" s="2">
        <f>$S983+$R983+INDEX(Tables!$N$5:$Q$8,MATCH(MOD($S983+$R983,4),Tables!$M$5:$M$8,0),MATCH($R984,Tables!$N$4:$Q$4,0))</f>
        <v>3752</v>
      </c>
      <c r="T984" s="2" t="str">
        <f t="shared" si="243"/>
        <v>0EA8</v>
      </c>
      <c r="U984" s="2">
        <f t="shared" si="249"/>
        <v>938</v>
      </c>
      <c r="V984" s="2" t="str">
        <f t="shared" si="244"/>
        <v>3AA</v>
      </c>
      <c r="W984" s="2" t="str">
        <f t="shared" si="245"/>
        <v>X</v>
      </c>
      <c r="X984" s="2" t="str">
        <f t="shared" si="248"/>
        <v>X</v>
      </c>
      <c r="Y984" s="2" t="str">
        <f t="shared" si="246"/>
        <v>X</v>
      </c>
      <c r="Z984" s="2" t="str">
        <f t="shared" si="247"/>
        <v>X</v>
      </c>
      <c r="AA984" s="2" t="str">
        <f t="shared" si="250"/>
        <v>(31 downto 24)</v>
      </c>
      <c r="AB984" s="2" t="str">
        <f t="shared" si="251"/>
        <v>(23 downto 16)</v>
      </c>
      <c r="AC984" s="2" t="str">
        <f t="shared" si="252"/>
        <v>(15 downto 8)</v>
      </c>
      <c r="AD984" s="2" t="str">
        <f t="shared" si="253"/>
        <v>(7 downto 0)</v>
      </c>
      <c r="AE984" s="2" t="str">
        <f t="shared" si="254"/>
        <v>(31 downto 24)</v>
      </c>
      <c r="AF984" s="2" t="str">
        <f t="shared" si="255"/>
        <v>(23 downto 16)</v>
      </c>
      <c r="AG984" s="2" t="str">
        <f t="shared" si="256"/>
        <v>(15 downto 8)</v>
      </c>
      <c r="AH984" s="2" t="str">
        <f t="shared" si="257"/>
        <v>(7 downto 0)</v>
      </c>
    </row>
    <row r="985" spans="2:34" x14ac:dyDescent="0.25">
      <c r="B985" s="2" t="s">
        <v>2770</v>
      </c>
      <c r="C985" s="2" t="s">
        <v>141</v>
      </c>
      <c r="D985" s="2" t="s">
        <v>0</v>
      </c>
      <c r="E985" s="2" t="s">
        <v>130</v>
      </c>
      <c r="F985" s="2" t="s">
        <v>2771</v>
      </c>
      <c r="G985" s="2" t="s">
        <v>2772</v>
      </c>
      <c r="H985" s="2" t="s">
        <v>142</v>
      </c>
      <c r="I985" s="2" t="s">
        <v>41</v>
      </c>
      <c r="J985" s="2">
        <v>32</v>
      </c>
      <c r="K985" s="2" t="s">
        <v>132</v>
      </c>
      <c r="L985" s="2" t="s">
        <v>40</v>
      </c>
      <c r="P985" s="2" t="s">
        <v>48</v>
      </c>
      <c r="Q985" s="2">
        <f>INDEX(Tables!$C$4:$C$28,MATCH($P985,Tables!$B$4:$B$28,0))</f>
        <v>32</v>
      </c>
      <c r="R985" s="2">
        <f>INDEX(Tables!$D$4:$D$28,MATCH($P985,Tables!$B$4:$B$28,0))</f>
        <v>4</v>
      </c>
      <c r="S985" s="2">
        <f>$S984+$R984+INDEX(Tables!$N$5:$Q$8,MATCH(MOD($S984+$R984,4),Tables!$M$5:$M$8,0),MATCH($R985,Tables!$N$4:$Q$4,0))</f>
        <v>3756</v>
      </c>
      <c r="T985" s="2" t="str">
        <f t="shared" si="243"/>
        <v>0EAC</v>
      </c>
      <c r="U985" s="2">
        <f t="shared" si="249"/>
        <v>939</v>
      </c>
      <c r="V985" s="2" t="str">
        <f t="shared" si="244"/>
        <v>3AB</v>
      </c>
      <c r="W985" s="2" t="str">
        <f t="shared" si="245"/>
        <v>X</v>
      </c>
      <c r="X985" s="2" t="str">
        <f t="shared" si="248"/>
        <v>X</v>
      </c>
      <c r="Y985" s="2" t="str">
        <f t="shared" si="246"/>
        <v>X</v>
      </c>
      <c r="Z985" s="2" t="str">
        <f t="shared" si="247"/>
        <v>X</v>
      </c>
      <c r="AA985" s="2" t="str">
        <f t="shared" si="250"/>
        <v>(31 downto 24)</v>
      </c>
      <c r="AB985" s="2" t="str">
        <f t="shared" si="251"/>
        <v>(23 downto 16)</v>
      </c>
      <c r="AC985" s="2" t="str">
        <f t="shared" si="252"/>
        <v>(15 downto 8)</v>
      </c>
      <c r="AD985" s="2" t="str">
        <f t="shared" si="253"/>
        <v>(7 downto 0)</v>
      </c>
      <c r="AE985" s="2" t="str">
        <f t="shared" si="254"/>
        <v>(31 downto 24)</v>
      </c>
      <c r="AF985" s="2" t="str">
        <f t="shared" si="255"/>
        <v>(23 downto 16)</v>
      </c>
      <c r="AG985" s="2" t="str">
        <f t="shared" si="256"/>
        <v>(15 downto 8)</v>
      </c>
      <c r="AH985" s="2" t="str">
        <f t="shared" si="257"/>
        <v>(7 downto 0)</v>
      </c>
    </row>
    <row r="986" spans="2:34" x14ac:dyDescent="0.25">
      <c r="B986" s="2" t="s">
        <v>2773</v>
      </c>
      <c r="C986" s="2" t="s">
        <v>141</v>
      </c>
      <c r="D986" s="2" t="s">
        <v>0</v>
      </c>
      <c r="E986" s="2" t="s">
        <v>130</v>
      </c>
      <c r="F986" s="2" t="s">
        <v>2774</v>
      </c>
      <c r="G986" s="2" t="s">
        <v>2775</v>
      </c>
      <c r="H986" s="2" t="s">
        <v>142</v>
      </c>
      <c r="I986" s="2" t="s">
        <v>41</v>
      </c>
      <c r="J986" s="2">
        <v>32</v>
      </c>
      <c r="K986" s="2" t="s">
        <v>132</v>
      </c>
      <c r="L986" s="2" t="s">
        <v>40</v>
      </c>
      <c r="P986" s="2" t="s">
        <v>48</v>
      </c>
      <c r="Q986" s="2">
        <f>INDEX(Tables!$C$4:$C$28,MATCH($P986,Tables!$B$4:$B$28,0))</f>
        <v>32</v>
      </c>
      <c r="R986" s="2">
        <f>INDEX(Tables!$D$4:$D$28,MATCH($P986,Tables!$B$4:$B$28,0))</f>
        <v>4</v>
      </c>
      <c r="S986" s="2">
        <f>$S985+$R985+INDEX(Tables!$N$5:$Q$8,MATCH(MOD($S985+$R985,4),Tables!$M$5:$M$8,0),MATCH($R986,Tables!$N$4:$Q$4,0))</f>
        <v>3760</v>
      </c>
      <c r="T986" s="2" t="str">
        <f t="shared" si="243"/>
        <v>0EB0</v>
      </c>
      <c r="U986" s="2">
        <f t="shared" si="249"/>
        <v>940</v>
      </c>
      <c r="V986" s="2" t="str">
        <f t="shared" si="244"/>
        <v>3AC</v>
      </c>
      <c r="W986" s="2" t="str">
        <f t="shared" si="245"/>
        <v>X</v>
      </c>
      <c r="X986" s="2" t="str">
        <f t="shared" si="248"/>
        <v>X</v>
      </c>
      <c r="Y986" s="2" t="str">
        <f t="shared" si="246"/>
        <v>X</v>
      </c>
      <c r="Z986" s="2" t="str">
        <f t="shared" si="247"/>
        <v>X</v>
      </c>
      <c r="AA986" s="2" t="str">
        <f t="shared" si="250"/>
        <v>(31 downto 24)</v>
      </c>
      <c r="AB986" s="2" t="str">
        <f t="shared" si="251"/>
        <v>(23 downto 16)</v>
      </c>
      <c r="AC986" s="2" t="str">
        <f t="shared" si="252"/>
        <v>(15 downto 8)</v>
      </c>
      <c r="AD986" s="2" t="str">
        <f t="shared" si="253"/>
        <v>(7 downto 0)</v>
      </c>
      <c r="AE986" s="2" t="str">
        <f t="shared" si="254"/>
        <v>(31 downto 24)</v>
      </c>
      <c r="AF986" s="2" t="str">
        <f t="shared" si="255"/>
        <v>(23 downto 16)</v>
      </c>
      <c r="AG986" s="2" t="str">
        <f t="shared" si="256"/>
        <v>(15 downto 8)</v>
      </c>
      <c r="AH986" s="2" t="str">
        <f t="shared" si="257"/>
        <v>(7 downto 0)</v>
      </c>
    </row>
    <row r="987" spans="2:34" x14ac:dyDescent="0.25">
      <c r="B987" s="2" t="s">
        <v>2776</v>
      </c>
      <c r="C987" s="2" t="s">
        <v>141</v>
      </c>
      <c r="D987" s="2" t="s">
        <v>0</v>
      </c>
      <c r="E987" s="2" t="s">
        <v>130</v>
      </c>
      <c r="F987" s="2" t="s">
        <v>2777</v>
      </c>
      <c r="G987" s="2" t="s">
        <v>2778</v>
      </c>
      <c r="H987" s="2" t="s">
        <v>142</v>
      </c>
      <c r="I987" s="2" t="s">
        <v>41</v>
      </c>
      <c r="J987" s="2">
        <v>32</v>
      </c>
      <c r="K987" s="2" t="s">
        <v>132</v>
      </c>
      <c r="L987" s="2" t="s">
        <v>40</v>
      </c>
      <c r="P987" s="2" t="s">
        <v>48</v>
      </c>
      <c r="Q987" s="2">
        <f>INDEX(Tables!$C$4:$C$28,MATCH($P987,Tables!$B$4:$B$28,0))</f>
        <v>32</v>
      </c>
      <c r="R987" s="2">
        <f>INDEX(Tables!$D$4:$D$28,MATCH($P987,Tables!$B$4:$B$28,0))</f>
        <v>4</v>
      </c>
      <c r="S987" s="2">
        <f>$S986+$R986+INDEX(Tables!$N$5:$Q$8,MATCH(MOD($S986+$R986,4),Tables!$M$5:$M$8,0),MATCH($R987,Tables!$N$4:$Q$4,0))</f>
        <v>3764</v>
      </c>
      <c r="T987" s="2" t="str">
        <f t="shared" si="243"/>
        <v>0EB4</v>
      </c>
      <c r="U987" s="2">
        <f t="shared" si="249"/>
        <v>941</v>
      </c>
      <c r="V987" s="2" t="str">
        <f t="shared" si="244"/>
        <v>3AD</v>
      </c>
      <c r="W987" s="2" t="str">
        <f t="shared" si="245"/>
        <v>X</v>
      </c>
      <c r="X987" s="2" t="str">
        <f t="shared" si="248"/>
        <v>X</v>
      </c>
      <c r="Y987" s="2" t="str">
        <f t="shared" si="246"/>
        <v>X</v>
      </c>
      <c r="Z987" s="2" t="str">
        <f t="shared" si="247"/>
        <v>X</v>
      </c>
      <c r="AA987" s="2" t="str">
        <f t="shared" si="250"/>
        <v>(31 downto 24)</v>
      </c>
      <c r="AB987" s="2" t="str">
        <f t="shared" si="251"/>
        <v>(23 downto 16)</v>
      </c>
      <c r="AC987" s="2" t="str">
        <f t="shared" si="252"/>
        <v>(15 downto 8)</v>
      </c>
      <c r="AD987" s="2" t="str">
        <f t="shared" si="253"/>
        <v>(7 downto 0)</v>
      </c>
      <c r="AE987" s="2" t="str">
        <f t="shared" si="254"/>
        <v>(31 downto 24)</v>
      </c>
      <c r="AF987" s="2" t="str">
        <f t="shared" si="255"/>
        <v>(23 downto 16)</v>
      </c>
      <c r="AG987" s="2" t="str">
        <f t="shared" si="256"/>
        <v>(15 downto 8)</v>
      </c>
      <c r="AH987" s="2" t="str">
        <f t="shared" si="257"/>
        <v>(7 downto 0)</v>
      </c>
    </row>
    <row r="988" spans="2:34" x14ac:dyDescent="0.25">
      <c r="B988" s="2" t="s">
        <v>2779</v>
      </c>
      <c r="C988" s="2" t="s">
        <v>141</v>
      </c>
      <c r="D988" s="2" t="s">
        <v>0</v>
      </c>
      <c r="E988" s="2" t="s">
        <v>130</v>
      </c>
      <c r="F988" s="2" t="s">
        <v>2780</v>
      </c>
      <c r="G988" s="2" t="s">
        <v>2781</v>
      </c>
      <c r="H988" s="2" t="s">
        <v>142</v>
      </c>
      <c r="I988" s="2" t="s">
        <v>41</v>
      </c>
      <c r="J988" s="2">
        <v>32</v>
      </c>
      <c r="K988" s="2" t="s">
        <v>132</v>
      </c>
      <c r="L988" s="2" t="s">
        <v>40</v>
      </c>
      <c r="P988" s="2" t="s">
        <v>48</v>
      </c>
      <c r="Q988" s="2">
        <f>INDEX(Tables!$C$4:$C$28,MATCH($P988,Tables!$B$4:$B$28,0))</f>
        <v>32</v>
      </c>
      <c r="R988" s="2">
        <f>INDEX(Tables!$D$4:$D$28,MATCH($P988,Tables!$B$4:$B$28,0))</f>
        <v>4</v>
      </c>
      <c r="S988" s="2">
        <f>$S987+$R987+INDEX(Tables!$N$5:$Q$8,MATCH(MOD($S987+$R987,4),Tables!$M$5:$M$8,0),MATCH($R988,Tables!$N$4:$Q$4,0))</f>
        <v>3768</v>
      </c>
      <c r="T988" s="2" t="str">
        <f t="shared" si="243"/>
        <v>0EB8</v>
      </c>
      <c r="U988" s="2">
        <f t="shared" si="249"/>
        <v>942</v>
      </c>
      <c r="V988" s="2" t="str">
        <f t="shared" si="244"/>
        <v>3AE</v>
      </c>
      <c r="W988" s="2" t="str">
        <f t="shared" si="245"/>
        <v>X</v>
      </c>
      <c r="X988" s="2" t="str">
        <f t="shared" si="248"/>
        <v>X</v>
      </c>
      <c r="Y988" s="2" t="str">
        <f t="shared" si="246"/>
        <v>X</v>
      </c>
      <c r="Z988" s="2" t="str">
        <f t="shared" si="247"/>
        <v>X</v>
      </c>
      <c r="AA988" s="2" t="str">
        <f t="shared" si="250"/>
        <v>(31 downto 24)</v>
      </c>
      <c r="AB988" s="2" t="str">
        <f t="shared" si="251"/>
        <v>(23 downto 16)</v>
      </c>
      <c r="AC988" s="2" t="str">
        <f t="shared" si="252"/>
        <v>(15 downto 8)</v>
      </c>
      <c r="AD988" s="2" t="str">
        <f t="shared" si="253"/>
        <v>(7 downto 0)</v>
      </c>
      <c r="AE988" s="2" t="str">
        <f t="shared" si="254"/>
        <v>(31 downto 24)</v>
      </c>
      <c r="AF988" s="2" t="str">
        <f t="shared" si="255"/>
        <v>(23 downto 16)</v>
      </c>
      <c r="AG988" s="2" t="str">
        <f t="shared" si="256"/>
        <v>(15 downto 8)</v>
      </c>
      <c r="AH988" s="2" t="str">
        <f t="shared" si="257"/>
        <v>(7 downto 0)</v>
      </c>
    </row>
    <row r="989" spans="2:34" x14ac:dyDescent="0.25">
      <c r="B989" s="2" t="s">
        <v>2782</v>
      </c>
      <c r="C989" s="2" t="s">
        <v>141</v>
      </c>
      <c r="D989" s="2" t="s">
        <v>0</v>
      </c>
      <c r="E989" s="2" t="s">
        <v>130</v>
      </c>
      <c r="F989" s="2" t="s">
        <v>2783</v>
      </c>
      <c r="G989" s="2" t="s">
        <v>2784</v>
      </c>
      <c r="H989" s="2" t="s">
        <v>142</v>
      </c>
      <c r="I989" s="2" t="s">
        <v>41</v>
      </c>
      <c r="J989" s="2">
        <v>32</v>
      </c>
      <c r="K989" s="2" t="s">
        <v>132</v>
      </c>
      <c r="L989" s="2" t="s">
        <v>40</v>
      </c>
      <c r="P989" s="2" t="s">
        <v>48</v>
      </c>
      <c r="Q989" s="2">
        <f>INDEX(Tables!$C$4:$C$28,MATCH($P989,Tables!$B$4:$B$28,0))</f>
        <v>32</v>
      </c>
      <c r="R989" s="2">
        <f>INDEX(Tables!$D$4:$D$28,MATCH($P989,Tables!$B$4:$B$28,0))</f>
        <v>4</v>
      </c>
      <c r="S989" s="2">
        <f>$S988+$R988+INDEX(Tables!$N$5:$Q$8,MATCH(MOD($S988+$R988,4),Tables!$M$5:$M$8,0),MATCH($R989,Tables!$N$4:$Q$4,0))</f>
        <v>3772</v>
      </c>
      <c r="T989" s="2" t="str">
        <f t="shared" si="243"/>
        <v>0EBC</v>
      </c>
      <c r="U989" s="2">
        <f t="shared" si="249"/>
        <v>943</v>
      </c>
      <c r="V989" s="2" t="str">
        <f t="shared" si="244"/>
        <v>3AF</v>
      </c>
      <c r="W989" s="2" t="str">
        <f t="shared" si="245"/>
        <v>X</v>
      </c>
      <c r="X989" s="2" t="str">
        <f t="shared" si="248"/>
        <v>X</v>
      </c>
      <c r="Y989" s="2" t="str">
        <f t="shared" si="246"/>
        <v>X</v>
      </c>
      <c r="Z989" s="2" t="str">
        <f t="shared" si="247"/>
        <v>X</v>
      </c>
      <c r="AA989" s="2" t="str">
        <f t="shared" si="250"/>
        <v>(31 downto 24)</v>
      </c>
      <c r="AB989" s="2" t="str">
        <f t="shared" si="251"/>
        <v>(23 downto 16)</v>
      </c>
      <c r="AC989" s="2" t="str">
        <f t="shared" si="252"/>
        <v>(15 downto 8)</v>
      </c>
      <c r="AD989" s="2" t="str">
        <f t="shared" si="253"/>
        <v>(7 downto 0)</v>
      </c>
      <c r="AE989" s="2" t="str">
        <f t="shared" si="254"/>
        <v>(31 downto 24)</v>
      </c>
      <c r="AF989" s="2" t="str">
        <f t="shared" si="255"/>
        <v>(23 downto 16)</v>
      </c>
      <c r="AG989" s="2" t="str">
        <f t="shared" si="256"/>
        <v>(15 downto 8)</v>
      </c>
      <c r="AH989" s="2" t="str">
        <f t="shared" si="257"/>
        <v>(7 downto 0)</v>
      </c>
    </row>
    <row r="990" spans="2:34" x14ac:dyDescent="0.25">
      <c r="B990" s="2" t="s">
        <v>2785</v>
      </c>
      <c r="C990" s="2" t="s">
        <v>141</v>
      </c>
      <c r="D990" s="2" t="s">
        <v>0</v>
      </c>
      <c r="E990" s="2" t="s">
        <v>130</v>
      </c>
      <c r="F990" s="2" t="s">
        <v>2786</v>
      </c>
      <c r="G990" s="2" t="s">
        <v>2787</v>
      </c>
      <c r="H990" s="2" t="s">
        <v>142</v>
      </c>
      <c r="I990" s="2" t="s">
        <v>41</v>
      </c>
      <c r="J990" s="2">
        <v>32</v>
      </c>
      <c r="K990" s="2" t="s">
        <v>132</v>
      </c>
      <c r="L990" s="2" t="s">
        <v>40</v>
      </c>
      <c r="P990" s="2" t="s">
        <v>48</v>
      </c>
      <c r="Q990" s="2">
        <f>INDEX(Tables!$C$4:$C$28,MATCH($P990,Tables!$B$4:$B$28,0))</f>
        <v>32</v>
      </c>
      <c r="R990" s="2">
        <f>INDEX(Tables!$D$4:$D$28,MATCH($P990,Tables!$B$4:$B$28,0))</f>
        <v>4</v>
      </c>
      <c r="S990" s="2">
        <f>$S989+$R989+INDEX(Tables!$N$5:$Q$8,MATCH(MOD($S989+$R989,4),Tables!$M$5:$M$8,0),MATCH($R990,Tables!$N$4:$Q$4,0))</f>
        <v>3776</v>
      </c>
      <c r="T990" s="2" t="str">
        <f t="shared" si="243"/>
        <v>0EC0</v>
      </c>
      <c r="U990" s="2">
        <f t="shared" si="249"/>
        <v>944</v>
      </c>
      <c r="V990" s="2" t="str">
        <f t="shared" si="244"/>
        <v>3B0</v>
      </c>
      <c r="W990" s="2" t="str">
        <f t="shared" si="245"/>
        <v>X</v>
      </c>
      <c r="X990" s="2" t="str">
        <f t="shared" si="248"/>
        <v>X</v>
      </c>
      <c r="Y990" s="2" t="str">
        <f t="shared" si="246"/>
        <v>X</v>
      </c>
      <c r="Z990" s="2" t="str">
        <f t="shared" si="247"/>
        <v>X</v>
      </c>
      <c r="AA990" s="2" t="str">
        <f t="shared" si="250"/>
        <v>(31 downto 24)</v>
      </c>
      <c r="AB990" s="2" t="str">
        <f t="shared" si="251"/>
        <v>(23 downto 16)</v>
      </c>
      <c r="AC990" s="2" t="str">
        <f t="shared" si="252"/>
        <v>(15 downto 8)</v>
      </c>
      <c r="AD990" s="2" t="str">
        <f t="shared" si="253"/>
        <v>(7 downto 0)</v>
      </c>
      <c r="AE990" s="2" t="str">
        <f t="shared" si="254"/>
        <v>(31 downto 24)</v>
      </c>
      <c r="AF990" s="2" t="str">
        <f t="shared" si="255"/>
        <v>(23 downto 16)</v>
      </c>
      <c r="AG990" s="2" t="str">
        <f t="shared" si="256"/>
        <v>(15 downto 8)</v>
      </c>
      <c r="AH990" s="2" t="str">
        <f t="shared" si="257"/>
        <v>(7 downto 0)</v>
      </c>
    </row>
    <row r="991" spans="2:34" x14ac:dyDescent="0.25">
      <c r="B991" s="2" t="s">
        <v>2788</v>
      </c>
      <c r="C991" s="2" t="s">
        <v>141</v>
      </c>
      <c r="D991" s="2" t="s">
        <v>0</v>
      </c>
      <c r="E991" s="2" t="s">
        <v>130</v>
      </c>
      <c r="F991" s="2" t="s">
        <v>2789</v>
      </c>
      <c r="G991" s="2" t="s">
        <v>2790</v>
      </c>
      <c r="H991" s="2" t="s">
        <v>142</v>
      </c>
      <c r="I991" s="2" t="s">
        <v>41</v>
      </c>
      <c r="J991" s="2">
        <v>32</v>
      </c>
      <c r="K991" s="2" t="s">
        <v>132</v>
      </c>
      <c r="L991" s="2" t="s">
        <v>40</v>
      </c>
      <c r="P991" s="2" t="s">
        <v>48</v>
      </c>
      <c r="Q991" s="2">
        <f>INDEX(Tables!$C$4:$C$28,MATCH($P991,Tables!$B$4:$B$28,0))</f>
        <v>32</v>
      </c>
      <c r="R991" s="2">
        <f>INDEX(Tables!$D$4:$D$28,MATCH($P991,Tables!$B$4:$B$28,0))</f>
        <v>4</v>
      </c>
      <c r="S991" s="2">
        <f>$S990+$R990+INDEX(Tables!$N$5:$Q$8,MATCH(MOD($S990+$R990,4),Tables!$M$5:$M$8,0),MATCH($R991,Tables!$N$4:$Q$4,0))</f>
        <v>3780</v>
      </c>
      <c r="T991" s="2" t="str">
        <f t="shared" si="243"/>
        <v>0EC4</v>
      </c>
      <c r="U991" s="2">
        <f t="shared" si="249"/>
        <v>945</v>
      </c>
      <c r="V991" s="2" t="str">
        <f t="shared" si="244"/>
        <v>3B1</v>
      </c>
      <c r="W991" s="2" t="str">
        <f t="shared" si="245"/>
        <v>X</v>
      </c>
      <c r="X991" s="2" t="str">
        <f t="shared" si="248"/>
        <v>X</v>
      </c>
      <c r="Y991" s="2" t="str">
        <f t="shared" si="246"/>
        <v>X</v>
      </c>
      <c r="Z991" s="2" t="str">
        <f t="shared" si="247"/>
        <v>X</v>
      </c>
      <c r="AA991" s="2" t="str">
        <f t="shared" si="250"/>
        <v>(31 downto 24)</v>
      </c>
      <c r="AB991" s="2" t="str">
        <f t="shared" si="251"/>
        <v>(23 downto 16)</v>
      </c>
      <c r="AC991" s="2" t="str">
        <f t="shared" si="252"/>
        <v>(15 downto 8)</v>
      </c>
      <c r="AD991" s="2" t="str">
        <f t="shared" si="253"/>
        <v>(7 downto 0)</v>
      </c>
      <c r="AE991" s="2" t="str">
        <f t="shared" si="254"/>
        <v>(31 downto 24)</v>
      </c>
      <c r="AF991" s="2" t="str">
        <f t="shared" si="255"/>
        <v>(23 downto 16)</v>
      </c>
      <c r="AG991" s="2" t="str">
        <f t="shared" si="256"/>
        <v>(15 downto 8)</v>
      </c>
      <c r="AH991" s="2" t="str">
        <f t="shared" si="257"/>
        <v>(7 downto 0)</v>
      </c>
    </row>
    <row r="992" spans="2:34" x14ac:dyDescent="0.25">
      <c r="B992" s="2" t="s">
        <v>2791</v>
      </c>
      <c r="C992" s="2" t="s">
        <v>141</v>
      </c>
      <c r="D992" s="2" t="s">
        <v>0</v>
      </c>
      <c r="E992" s="2" t="s">
        <v>130</v>
      </c>
      <c r="F992" s="2" t="s">
        <v>2792</v>
      </c>
      <c r="G992" s="2" t="s">
        <v>2793</v>
      </c>
      <c r="H992" s="2" t="s">
        <v>142</v>
      </c>
      <c r="I992" s="2" t="s">
        <v>41</v>
      </c>
      <c r="J992" s="2">
        <v>32</v>
      </c>
      <c r="K992" s="2" t="s">
        <v>132</v>
      </c>
      <c r="L992" s="2" t="s">
        <v>40</v>
      </c>
      <c r="P992" s="2" t="s">
        <v>48</v>
      </c>
      <c r="Q992" s="2">
        <f>INDEX(Tables!$C$4:$C$28,MATCH($P992,Tables!$B$4:$B$28,0))</f>
        <v>32</v>
      </c>
      <c r="R992" s="2">
        <f>INDEX(Tables!$D$4:$D$28,MATCH($P992,Tables!$B$4:$B$28,0))</f>
        <v>4</v>
      </c>
      <c r="S992" s="2">
        <f>$S991+$R991+INDEX(Tables!$N$5:$Q$8,MATCH(MOD($S991+$R991,4),Tables!$M$5:$M$8,0),MATCH($R992,Tables!$N$4:$Q$4,0))</f>
        <v>3784</v>
      </c>
      <c r="T992" s="2" t="str">
        <f t="shared" si="243"/>
        <v>0EC8</v>
      </c>
      <c r="U992" s="2">
        <f t="shared" si="249"/>
        <v>946</v>
      </c>
      <c r="V992" s="2" t="str">
        <f t="shared" si="244"/>
        <v>3B2</v>
      </c>
      <c r="W992" s="2" t="str">
        <f t="shared" si="245"/>
        <v>X</v>
      </c>
      <c r="X992" s="2" t="str">
        <f t="shared" si="248"/>
        <v>X</v>
      </c>
      <c r="Y992" s="2" t="str">
        <f t="shared" si="246"/>
        <v>X</v>
      </c>
      <c r="Z992" s="2" t="str">
        <f t="shared" si="247"/>
        <v>X</v>
      </c>
      <c r="AA992" s="2" t="str">
        <f t="shared" si="250"/>
        <v>(31 downto 24)</v>
      </c>
      <c r="AB992" s="2" t="str">
        <f t="shared" si="251"/>
        <v>(23 downto 16)</v>
      </c>
      <c r="AC992" s="2" t="str">
        <f t="shared" si="252"/>
        <v>(15 downto 8)</v>
      </c>
      <c r="AD992" s="2" t="str">
        <f t="shared" si="253"/>
        <v>(7 downto 0)</v>
      </c>
      <c r="AE992" s="2" t="str">
        <f t="shared" si="254"/>
        <v>(31 downto 24)</v>
      </c>
      <c r="AF992" s="2" t="str">
        <f t="shared" si="255"/>
        <v>(23 downto 16)</v>
      </c>
      <c r="AG992" s="2" t="str">
        <f t="shared" si="256"/>
        <v>(15 downto 8)</v>
      </c>
      <c r="AH992" s="2" t="str">
        <f t="shared" si="257"/>
        <v>(7 downto 0)</v>
      </c>
    </row>
    <row r="993" spans="2:34" x14ac:dyDescent="0.25">
      <c r="B993" s="2" t="s">
        <v>2794</v>
      </c>
      <c r="C993" s="2" t="s">
        <v>141</v>
      </c>
      <c r="D993" s="2" t="s">
        <v>0</v>
      </c>
      <c r="E993" s="2" t="s">
        <v>130</v>
      </c>
      <c r="F993" s="2" t="s">
        <v>2795</v>
      </c>
      <c r="G993" s="2" t="s">
        <v>2796</v>
      </c>
      <c r="H993" s="2" t="s">
        <v>142</v>
      </c>
      <c r="I993" s="2" t="s">
        <v>41</v>
      </c>
      <c r="J993" s="2">
        <v>32</v>
      </c>
      <c r="K993" s="2" t="s">
        <v>132</v>
      </c>
      <c r="L993" s="2" t="s">
        <v>40</v>
      </c>
      <c r="P993" s="2" t="s">
        <v>48</v>
      </c>
      <c r="Q993" s="2">
        <f>INDEX(Tables!$C$4:$C$28,MATCH($P993,Tables!$B$4:$B$28,0))</f>
        <v>32</v>
      </c>
      <c r="R993" s="2">
        <f>INDEX(Tables!$D$4:$D$28,MATCH($P993,Tables!$B$4:$B$28,0))</f>
        <v>4</v>
      </c>
      <c r="S993" s="2">
        <f>$S992+$R992+INDEX(Tables!$N$5:$Q$8,MATCH(MOD($S992+$R992,4),Tables!$M$5:$M$8,0),MATCH($R993,Tables!$N$4:$Q$4,0))</f>
        <v>3788</v>
      </c>
      <c r="T993" s="2" t="str">
        <f t="shared" si="243"/>
        <v>0ECC</v>
      </c>
      <c r="U993" s="2">
        <f t="shared" si="249"/>
        <v>947</v>
      </c>
      <c r="V993" s="2" t="str">
        <f t="shared" si="244"/>
        <v>3B3</v>
      </c>
      <c r="W993" s="2" t="str">
        <f t="shared" si="245"/>
        <v>X</v>
      </c>
      <c r="X993" s="2" t="str">
        <f t="shared" si="248"/>
        <v>X</v>
      </c>
      <c r="Y993" s="2" t="str">
        <f t="shared" si="246"/>
        <v>X</v>
      </c>
      <c r="Z993" s="2" t="str">
        <f t="shared" si="247"/>
        <v>X</v>
      </c>
      <c r="AA993" s="2" t="str">
        <f t="shared" si="250"/>
        <v>(31 downto 24)</v>
      </c>
      <c r="AB993" s="2" t="str">
        <f t="shared" si="251"/>
        <v>(23 downto 16)</v>
      </c>
      <c r="AC993" s="2" t="str">
        <f t="shared" si="252"/>
        <v>(15 downto 8)</v>
      </c>
      <c r="AD993" s="2" t="str">
        <f t="shared" si="253"/>
        <v>(7 downto 0)</v>
      </c>
      <c r="AE993" s="2" t="str">
        <f t="shared" si="254"/>
        <v>(31 downto 24)</v>
      </c>
      <c r="AF993" s="2" t="str">
        <f t="shared" si="255"/>
        <v>(23 downto 16)</v>
      </c>
      <c r="AG993" s="2" t="str">
        <f t="shared" si="256"/>
        <v>(15 downto 8)</v>
      </c>
      <c r="AH993" s="2" t="str">
        <f t="shared" si="257"/>
        <v>(7 downto 0)</v>
      </c>
    </row>
    <row r="994" spans="2:34" x14ac:dyDescent="0.25">
      <c r="B994" s="2" t="s">
        <v>2797</v>
      </c>
      <c r="C994" s="2" t="s">
        <v>141</v>
      </c>
      <c r="D994" s="2" t="s">
        <v>0</v>
      </c>
      <c r="E994" s="2" t="s">
        <v>130</v>
      </c>
      <c r="F994" s="2" t="s">
        <v>2798</v>
      </c>
      <c r="G994" s="2" t="s">
        <v>2799</v>
      </c>
      <c r="H994" s="2" t="s">
        <v>142</v>
      </c>
      <c r="I994" s="2" t="s">
        <v>41</v>
      </c>
      <c r="J994" s="2">
        <v>32</v>
      </c>
      <c r="K994" s="2" t="s">
        <v>132</v>
      </c>
      <c r="L994" s="2" t="s">
        <v>40</v>
      </c>
      <c r="P994" s="2" t="s">
        <v>48</v>
      </c>
      <c r="Q994" s="2">
        <f>INDEX(Tables!$C$4:$C$28,MATCH($P994,Tables!$B$4:$B$28,0))</f>
        <v>32</v>
      </c>
      <c r="R994" s="2">
        <f>INDEX(Tables!$D$4:$D$28,MATCH($P994,Tables!$B$4:$B$28,0))</f>
        <v>4</v>
      </c>
      <c r="S994" s="2">
        <f>$S993+$R993+INDEX(Tables!$N$5:$Q$8,MATCH(MOD($S993+$R993,4),Tables!$M$5:$M$8,0),MATCH($R994,Tables!$N$4:$Q$4,0))</f>
        <v>3792</v>
      </c>
      <c r="T994" s="2" t="str">
        <f t="shared" si="243"/>
        <v>0ED0</v>
      </c>
      <c r="U994" s="2">
        <f t="shared" si="249"/>
        <v>948</v>
      </c>
      <c r="V994" s="2" t="str">
        <f t="shared" si="244"/>
        <v>3B4</v>
      </c>
      <c r="W994" s="2" t="str">
        <f t="shared" si="245"/>
        <v>X</v>
      </c>
      <c r="X994" s="2" t="str">
        <f t="shared" si="248"/>
        <v>X</v>
      </c>
      <c r="Y994" s="2" t="str">
        <f t="shared" si="246"/>
        <v>X</v>
      </c>
      <c r="Z994" s="2" t="str">
        <f t="shared" si="247"/>
        <v>X</v>
      </c>
      <c r="AA994" s="2" t="str">
        <f t="shared" si="250"/>
        <v>(31 downto 24)</v>
      </c>
      <c r="AB994" s="2" t="str">
        <f t="shared" si="251"/>
        <v>(23 downto 16)</v>
      </c>
      <c r="AC994" s="2" t="str">
        <f t="shared" si="252"/>
        <v>(15 downto 8)</v>
      </c>
      <c r="AD994" s="2" t="str">
        <f t="shared" si="253"/>
        <v>(7 downto 0)</v>
      </c>
      <c r="AE994" s="2" t="str">
        <f t="shared" si="254"/>
        <v>(31 downto 24)</v>
      </c>
      <c r="AF994" s="2" t="str">
        <f t="shared" si="255"/>
        <v>(23 downto 16)</v>
      </c>
      <c r="AG994" s="2" t="str">
        <f t="shared" si="256"/>
        <v>(15 downto 8)</v>
      </c>
      <c r="AH994" s="2" t="str">
        <f t="shared" si="257"/>
        <v>(7 downto 0)</v>
      </c>
    </row>
    <row r="995" spans="2:34" x14ac:dyDescent="0.25">
      <c r="B995" s="2" t="s">
        <v>2800</v>
      </c>
      <c r="C995" s="2" t="s">
        <v>141</v>
      </c>
      <c r="D995" s="2" t="s">
        <v>0</v>
      </c>
      <c r="E995" s="2" t="s">
        <v>130</v>
      </c>
      <c r="F995" s="2" t="s">
        <v>2801</v>
      </c>
      <c r="G995" s="2" t="s">
        <v>2802</v>
      </c>
      <c r="H995" s="2" t="s">
        <v>142</v>
      </c>
      <c r="I995" s="2" t="s">
        <v>41</v>
      </c>
      <c r="J995" s="2">
        <v>32</v>
      </c>
      <c r="K995" s="2" t="s">
        <v>132</v>
      </c>
      <c r="L995" s="2" t="s">
        <v>40</v>
      </c>
      <c r="P995" s="2" t="s">
        <v>48</v>
      </c>
      <c r="Q995" s="2">
        <f>INDEX(Tables!$C$4:$C$28,MATCH($P995,Tables!$B$4:$B$28,0))</f>
        <v>32</v>
      </c>
      <c r="R995" s="2">
        <f>INDEX(Tables!$D$4:$D$28,MATCH($P995,Tables!$B$4:$B$28,0))</f>
        <v>4</v>
      </c>
      <c r="S995" s="2">
        <f>$S994+$R994+INDEX(Tables!$N$5:$Q$8,MATCH(MOD($S994+$R994,4),Tables!$M$5:$M$8,0),MATCH($R995,Tables!$N$4:$Q$4,0))</f>
        <v>3796</v>
      </c>
      <c r="T995" s="2" t="str">
        <f t="shared" si="243"/>
        <v>0ED4</v>
      </c>
      <c r="U995" s="2">
        <f t="shared" si="249"/>
        <v>949</v>
      </c>
      <c r="V995" s="2" t="str">
        <f t="shared" si="244"/>
        <v>3B5</v>
      </c>
      <c r="W995" s="2" t="str">
        <f t="shared" si="245"/>
        <v>X</v>
      </c>
      <c r="X995" s="2" t="str">
        <f t="shared" si="248"/>
        <v>X</v>
      </c>
      <c r="Y995" s="2" t="str">
        <f t="shared" si="246"/>
        <v>X</v>
      </c>
      <c r="Z995" s="2" t="str">
        <f t="shared" si="247"/>
        <v>X</v>
      </c>
      <c r="AA995" s="2" t="str">
        <f t="shared" si="250"/>
        <v>(31 downto 24)</v>
      </c>
      <c r="AB995" s="2" t="str">
        <f t="shared" si="251"/>
        <v>(23 downto 16)</v>
      </c>
      <c r="AC995" s="2" t="str">
        <f t="shared" si="252"/>
        <v>(15 downto 8)</v>
      </c>
      <c r="AD995" s="2" t="str">
        <f t="shared" si="253"/>
        <v>(7 downto 0)</v>
      </c>
      <c r="AE995" s="2" t="str">
        <f t="shared" si="254"/>
        <v>(31 downto 24)</v>
      </c>
      <c r="AF995" s="2" t="str">
        <f t="shared" si="255"/>
        <v>(23 downto 16)</v>
      </c>
      <c r="AG995" s="2" t="str">
        <f t="shared" si="256"/>
        <v>(15 downto 8)</v>
      </c>
      <c r="AH995" s="2" t="str">
        <f t="shared" si="257"/>
        <v>(7 downto 0)</v>
      </c>
    </row>
    <row r="996" spans="2:34" x14ac:dyDescent="0.25">
      <c r="B996" s="2" t="s">
        <v>2803</v>
      </c>
      <c r="C996" s="2" t="s">
        <v>141</v>
      </c>
      <c r="D996" s="2" t="s">
        <v>0</v>
      </c>
      <c r="E996" s="2" t="s">
        <v>130</v>
      </c>
      <c r="F996" s="2" t="s">
        <v>2804</v>
      </c>
      <c r="G996" s="2" t="s">
        <v>2805</v>
      </c>
      <c r="H996" s="2" t="s">
        <v>142</v>
      </c>
      <c r="I996" s="2" t="s">
        <v>41</v>
      </c>
      <c r="J996" s="2">
        <v>32</v>
      </c>
      <c r="K996" s="2" t="s">
        <v>132</v>
      </c>
      <c r="L996" s="2" t="s">
        <v>40</v>
      </c>
      <c r="P996" s="2" t="s">
        <v>48</v>
      </c>
      <c r="Q996" s="2">
        <f>INDEX(Tables!$C$4:$C$28,MATCH($P996,Tables!$B$4:$B$28,0))</f>
        <v>32</v>
      </c>
      <c r="R996" s="2">
        <f>INDEX(Tables!$D$4:$D$28,MATCH($P996,Tables!$B$4:$B$28,0))</f>
        <v>4</v>
      </c>
      <c r="S996" s="2">
        <f>$S995+$R995+INDEX(Tables!$N$5:$Q$8,MATCH(MOD($S995+$R995,4),Tables!$M$5:$M$8,0),MATCH($R996,Tables!$N$4:$Q$4,0))</f>
        <v>3800</v>
      </c>
      <c r="T996" s="2" t="str">
        <f t="shared" si="243"/>
        <v>0ED8</v>
      </c>
      <c r="U996" s="2">
        <f t="shared" si="249"/>
        <v>950</v>
      </c>
      <c r="V996" s="2" t="str">
        <f t="shared" si="244"/>
        <v>3B6</v>
      </c>
      <c r="W996" s="2" t="str">
        <f t="shared" si="245"/>
        <v>X</v>
      </c>
      <c r="X996" s="2" t="str">
        <f t="shared" si="248"/>
        <v>X</v>
      </c>
      <c r="Y996" s="2" t="str">
        <f t="shared" si="246"/>
        <v>X</v>
      </c>
      <c r="Z996" s="2" t="str">
        <f t="shared" si="247"/>
        <v>X</v>
      </c>
      <c r="AA996" s="2" t="str">
        <f t="shared" si="250"/>
        <v>(31 downto 24)</v>
      </c>
      <c r="AB996" s="2" t="str">
        <f t="shared" si="251"/>
        <v>(23 downto 16)</v>
      </c>
      <c r="AC996" s="2" t="str">
        <f t="shared" si="252"/>
        <v>(15 downto 8)</v>
      </c>
      <c r="AD996" s="2" t="str">
        <f t="shared" si="253"/>
        <v>(7 downto 0)</v>
      </c>
      <c r="AE996" s="2" t="str">
        <f t="shared" si="254"/>
        <v>(31 downto 24)</v>
      </c>
      <c r="AF996" s="2" t="str">
        <f t="shared" si="255"/>
        <v>(23 downto 16)</v>
      </c>
      <c r="AG996" s="2" t="str">
        <f t="shared" si="256"/>
        <v>(15 downto 8)</v>
      </c>
      <c r="AH996" s="2" t="str">
        <f t="shared" si="257"/>
        <v>(7 downto 0)</v>
      </c>
    </row>
    <row r="997" spans="2:34" x14ac:dyDescent="0.25">
      <c r="B997" s="2" t="s">
        <v>2806</v>
      </c>
      <c r="C997" s="2" t="s">
        <v>141</v>
      </c>
      <c r="D997" s="2" t="s">
        <v>0</v>
      </c>
      <c r="E997" s="2" t="s">
        <v>130</v>
      </c>
      <c r="F997" s="2" t="s">
        <v>2807</v>
      </c>
      <c r="G997" s="2" t="s">
        <v>2808</v>
      </c>
      <c r="H997" s="2" t="s">
        <v>142</v>
      </c>
      <c r="I997" s="2" t="s">
        <v>41</v>
      </c>
      <c r="J997" s="2">
        <v>32</v>
      </c>
      <c r="K997" s="2" t="s">
        <v>132</v>
      </c>
      <c r="L997" s="2" t="s">
        <v>40</v>
      </c>
      <c r="P997" s="2" t="s">
        <v>48</v>
      </c>
      <c r="Q997" s="2">
        <f>INDEX(Tables!$C$4:$C$28,MATCH($P997,Tables!$B$4:$B$28,0))</f>
        <v>32</v>
      </c>
      <c r="R997" s="2">
        <f>INDEX(Tables!$D$4:$D$28,MATCH($P997,Tables!$B$4:$B$28,0))</f>
        <v>4</v>
      </c>
      <c r="S997" s="2">
        <f>$S996+$R996+INDEX(Tables!$N$5:$Q$8,MATCH(MOD($S996+$R996,4),Tables!$M$5:$M$8,0),MATCH($R997,Tables!$N$4:$Q$4,0))</f>
        <v>3804</v>
      </c>
      <c r="T997" s="2" t="str">
        <f t="shared" si="243"/>
        <v>0EDC</v>
      </c>
      <c r="U997" s="2">
        <f t="shared" si="249"/>
        <v>951</v>
      </c>
      <c r="V997" s="2" t="str">
        <f t="shared" si="244"/>
        <v>3B7</v>
      </c>
      <c r="W997" s="2" t="str">
        <f t="shared" si="245"/>
        <v>X</v>
      </c>
      <c r="X997" s="2" t="str">
        <f t="shared" si="248"/>
        <v>X</v>
      </c>
      <c r="Y997" s="2" t="str">
        <f t="shared" si="246"/>
        <v>X</v>
      </c>
      <c r="Z997" s="2" t="str">
        <f t="shared" si="247"/>
        <v>X</v>
      </c>
      <c r="AA997" s="2" t="str">
        <f t="shared" si="250"/>
        <v>(31 downto 24)</v>
      </c>
      <c r="AB997" s="2" t="str">
        <f t="shared" si="251"/>
        <v>(23 downto 16)</v>
      </c>
      <c r="AC997" s="2" t="str">
        <f t="shared" si="252"/>
        <v>(15 downto 8)</v>
      </c>
      <c r="AD997" s="2" t="str">
        <f t="shared" si="253"/>
        <v>(7 downto 0)</v>
      </c>
      <c r="AE997" s="2" t="str">
        <f t="shared" si="254"/>
        <v>(31 downto 24)</v>
      </c>
      <c r="AF997" s="2" t="str">
        <f t="shared" si="255"/>
        <v>(23 downto 16)</v>
      </c>
      <c r="AG997" s="2" t="str">
        <f t="shared" si="256"/>
        <v>(15 downto 8)</v>
      </c>
      <c r="AH997" s="2" t="str">
        <f t="shared" si="257"/>
        <v>(7 downto 0)</v>
      </c>
    </row>
    <row r="998" spans="2:34" x14ac:dyDescent="0.25">
      <c r="B998" s="2" t="s">
        <v>2809</v>
      </c>
      <c r="C998" s="2" t="s">
        <v>141</v>
      </c>
      <c r="D998" s="2" t="s">
        <v>0</v>
      </c>
      <c r="E998" s="2" t="s">
        <v>130</v>
      </c>
      <c r="F998" s="2" t="s">
        <v>2810</v>
      </c>
      <c r="G998" s="2" t="s">
        <v>2811</v>
      </c>
      <c r="H998" s="2" t="s">
        <v>142</v>
      </c>
      <c r="I998" s="2" t="s">
        <v>41</v>
      </c>
      <c r="J998" s="2">
        <v>32</v>
      </c>
      <c r="K998" s="2" t="s">
        <v>132</v>
      </c>
      <c r="L998" s="2" t="s">
        <v>40</v>
      </c>
      <c r="P998" s="2" t="s">
        <v>48</v>
      </c>
      <c r="Q998" s="2">
        <f>INDEX(Tables!$C$4:$C$28,MATCH($P998,Tables!$B$4:$B$28,0))</f>
        <v>32</v>
      </c>
      <c r="R998" s="2">
        <f>INDEX(Tables!$D$4:$D$28,MATCH($P998,Tables!$B$4:$B$28,0))</f>
        <v>4</v>
      </c>
      <c r="S998" s="2">
        <f>$S997+$R997+INDEX(Tables!$N$5:$Q$8,MATCH(MOD($S997+$R997,4),Tables!$M$5:$M$8,0),MATCH($R998,Tables!$N$4:$Q$4,0))</f>
        <v>3808</v>
      </c>
      <c r="T998" s="2" t="str">
        <f t="shared" si="243"/>
        <v>0EE0</v>
      </c>
      <c r="U998" s="2">
        <f t="shared" si="249"/>
        <v>952</v>
      </c>
      <c r="V998" s="2" t="str">
        <f t="shared" si="244"/>
        <v>3B8</v>
      </c>
      <c r="W998" s="2" t="str">
        <f t="shared" si="245"/>
        <v>X</v>
      </c>
      <c r="X998" s="2" t="str">
        <f t="shared" si="248"/>
        <v>X</v>
      </c>
      <c r="Y998" s="2" t="str">
        <f t="shared" si="246"/>
        <v>X</v>
      </c>
      <c r="Z998" s="2" t="str">
        <f t="shared" si="247"/>
        <v>X</v>
      </c>
      <c r="AA998" s="2" t="str">
        <f t="shared" si="250"/>
        <v>(31 downto 24)</v>
      </c>
      <c r="AB998" s="2" t="str">
        <f t="shared" si="251"/>
        <v>(23 downto 16)</v>
      </c>
      <c r="AC998" s="2" t="str">
        <f t="shared" si="252"/>
        <v>(15 downto 8)</v>
      </c>
      <c r="AD998" s="2" t="str">
        <f t="shared" si="253"/>
        <v>(7 downto 0)</v>
      </c>
      <c r="AE998" s="2" t="str">
        <f t="shared" si="254"/>
        <v>(31 downto 24)</v>
      </c>
      <c r="AF998" s="2" t="str">
        <f t="shared" si="255"/>
        <v>(23 downto 16)</v>
      </c>
      <c r="AG998" s="2" t="str">
        <f t="shared" si="256"/>
        <v>(15 downto 8)</v>
      </c>
      <c r="AH998" s="2" t="str">
        <f t="shared" si="257"/>
        <v>(7 downto 0)</v>
      </c>
    </row>
    <row r="999" spans="2:34" x14ac:dyDescent="0.25">
      <c r="B999" s="2" t="s">
        <v>2812</v>
      </c>
      <c r="C999" s="2" t="s">
        <v>141</v>
      </c>
      <c r="D999" s="2" t="s">
        <v>0</v>
      </c>
      <c r="E999" s="2" t="s">
        <v>130</v>
      </c>
      <c r="F999" s="2" t="s">
        <v>2813</v>
      </c>
      <c r="G999" s="2" t="s">
        <v>2814</v>
      </c>
      <c r="H999" s="2" t="s">
        <v>142</v>
      </c>
      <c r="I999" s="2" t="s">
        <v>41</v>
      </c>
      <c r="J999" s="2">
        <v>32</v>
      </c>
      <c r="K999" s="2" t="s">
        <v>132</v>
      </c>
      <c r="L999" s="2" t="s">
        <v>40</v>
      </c>
      <c r="P999" s="2" t="s">
        <v>48</v>
      </c>
      <c r="Q999" s="2">
        <f>INDEX(Tables!$C$4:$C$28,MATCH($P999,Tables!$B$4:$B$28,0))</f>
        <v>32</v>
      </c>
      <c r="R999" s="2">
        <f>INDEX(Tables!$D$4:$D$28,MATCH($P999,Tables!$B$4:$B$28,0))</f>
        <v>4</v>
      </c>
      <c r="S999" s="2">
        <f>$S998+$R998+INDEX(Tables!$N$5:$Q$8,MATCH(MOD($S998+$R998,4),Tables!$M$5:$M$8,0),MATCH($R999,Tables!$N$4:$Q$4,0))</f>
        <v>3812</v>
      </c>
      <c r="T999" s="2" t="str">
        <f t="shared" si="243"/>
        <v>0EE4</v>
      </c>
      <c r="U999" s="2">
        <f t="shared" si="249"/>
        <v>953</v>
      </c>
      <c r="V999" s="2" t="str">
        <f t="shared" si="244"/>
        <v>3B9</v>
      </c>
      <c r="W999" s="2" t="str">
        <f t="shared" si="245"/>
        <v>X</v>
      </c>
      <c r="X999" s="2" t="str">
        <f t="shared" si="248"/>
        <v>X</v>
      </c>
      <c r="Y999" s="2" t="str">
        <f t="shared" si="246"/>
        <v>X</v>
      </c>
      <c r="Z999" s="2" t="str">
        <f t="shared" si="247"/>
        <v>X</v>
      </c>
      <c r="AA999" s="2" t="str">
        <f t="shared" si="250"/>
        <v>(31 downto 24)</v>
      </c>
      <c r="AB999" s="2" t="str">
        <f t="shared" si="251"/>
        <v>(23 downto 16)</v>
      </c>
      <c r="AC999" s="2" t="str">
        <f t="shared" si="252"/>
        <v>(15 downto 8)</v>
      </c>
      <c r="AD999" s="2" t="str">
        <f t="shared" si="253"/>
        <v>(7 downto 0)</v>
      </c>
      <c r="AE999" s="2" t="str">
        <f t="shared" si="254"/>
        <v>(31 downto 24)</v>
      </c>
      <c r="AF999" s="2" t="str">
        <f t="shared" si="255"/>
        <v>(23 downto 16)</v>
      </c>
      <c r="AG999" s="2" t="str">
        <f t="shared" si="256"/>
        <v>(15 downto 8)</v>
      </c>
      <c r="AH999" s="2" t="str">
        <f t="shared" si="257"/>
        <v>(7 downto 0)</v>
      </c>
    </row>
    <row r="1000" spans="2:34" x14ac:dyDescent="0.25">
      <c r="B1000" s="2" t="s">
        <v>2815</v>
      </c>
      <c r="C1000" s="2" t="s">
        <v>141</v>
      </c>
      <c r="D1000" s="2" t="s">
        <v>0</v>
      </c>
      <c r="E1000" s="2" t="s">
        <v>130</v>
      </c>
      <c r="F1000" s="2" t="s">
        <v>2816</v>
      </c>
      <c r="G1000" s="2" t="s">
        <v>2817</v>
      </c>
      <c r="H1000" s="2" t="s">
        <v>142</v>
      </c>
      <c r="I1000" s="2" t="s">
        <v>41</v>
      </c>
      <c r="J1000" s="2">
        <v>32</v>
      </c>
      <c r="K1000" s="2" t="s">
        <v>132</v>
      </c>
      <c r="L1000" s="2" t="s">
        <v>40</v>
      </c>
      <c r="P1000" s="2" t="s">
        <v>48</v>
      </c>
      <c r="Q1000" s="2">
        <f>INDEX(Tables!$C$4:$C$28,MATCH($P1000,Tables!$B$4:$B$28,0))</f>
        <v>32</v>
      </c>
      <c r="R1000" s="2">
        <f>INDEX(Tables!$D$4:$D$28,MATCH($P1000,Tables!$B$4:$B$28,0))</f>
        <v>4</v>
      </c>
      <c r="S1000" s="2">
        <f>$S999+$R999+INDEX(Tables!$N$5:$Q$8,MATCH(MOD($S999+$R999,4),Tables!$M$5:$M$8,0),MATCH($R1000,Tables!$N$4:$Q$4,0))</f>
        <v>3816</v>
      </c>
      <c r="T1000" s="2" t="str">
        <f t="shared" si="243"/>
        <v>0EE8</v>
      </c>
      <c r="U1000" s="2">
        <f t="shared" si="249"/>
        <v>954</v>
      </c>
      <c r="V1000" s="2" t="str">
        <f t="shared" si="244"/>
        <v>3BA</v>
      </c>
      <c r="W1000" s="2" t="str">
        <f t="shared" si="245"/>
        <v>X</v>
      </c>
      <c r="X1000" s="2" t="str">
        <f t="shared" si="248"/>
        <v>X</v>
      </c>
      <c r="Y1000" s="2" t="str">
        <f t="shared" si="246"/>
        <v>X</v>
      </c>
      <c r="Z1000" s="2" t="str">
        <f t="shared" si="247"/>
        <v>X</v>
      </c>
      <c r="AA1000" s="2" t="str">
        <f t="shared" si="250"/>
        <v>(31 downto 24)</v>
      </c>
      <c r="AB1000" s="2" t="str">
        <f t="shared" si="251"/>
        <v>(23 downto 16)</v>
      </c>
      <c r="AC1000" s="2" t="str">
        <f t="shared" si="252"/>
        <v>(15 downto 8)</v>
      </c>
      <c r="AD1000" s="2" t="str">
        <f t="shared" si="253"/>
        <v>(7 downto 0)</v>
      </c>
      <c r="AE1000" s="2" t="str">
        <f t="shared" si="254"/>
        <v>(31 downto 24)</v>
      </c>
      <c r="AF1000" s="2" t="str">
        <f t="shared" si="255"/>
        <v>(23 downto 16)</v>
      </c>
      <c r="AG1000" s="2" t="str">
        <f t="shared" si="256"/>
        <v>(15 downto 8)</v>
      </c>
      <c r="AH1000" s="2" t="str">
        <f t="shared" si="257"/>
        <v>(7 downto 0)</v>
      </c>
    </row>
    <row r="1001" spans="2:34" x14ac:dyDescent="0.25">
      <c r="B1001" s="2" t="s">
        <v>2818</v>
      </c>
      <c r="C1001" s="2" t="s">
        <v>141</v>
      </c>
      <c r="D1001" s="2" t="s">
        <v>0</v>
      </c>
      <c r="E1001" s="2" t="s">
        <v>130</v>
      </c>
      <c r="F1001" s="2" t="s">
        <v>2819</v>
      </c>
      <c r="G1001" s="2" t="s">
        <v>2820</v>
      </c>
      <c r="H1001" s="2" t="s">
        <v>142</v>
      </c>
      <c r="I1001" s="2" t="s">
        <v>41</v>
      </c>
      <c r="J1001" s="2">
        <v>32</v>
      </c>
      <c r="K1001" s="2" t="s">
        <v>132</v>
      </c>
      <c r="L1001" s="2" t="s">
        <v>40</v>
      </c>
      <c r="P1001" s="2" t="s">
        <v>48</v>
      </c>
      <c r="Q1001" s="2">
        <f>INDEX(Tables!$C$4:$C$28,MATCH($P1001,Tables!$B$4:$B$28,0))</f>
        <v>32</v>
      </c>
      <c r="R1001" s="2">
        <f>INDEX(Tables!$D$4:$D$28,MATCH($P1001,Tables!$B$4:$B$28,0))</f>
        <v>4</v>
      </c>
      <c r="S1001" s="2">
        <f>$S1000+$R1000+INDEX(Tables!$N$5:$Q$8,MATCH(MOD($S1000+$R1000,4),Tables!$M$5:$M$8,0),MATCH($R1001,Tables!$N$4:$Q$4,0))</f>
        <v>3820</v>
      </c>
      <c r="T1001" s="2" t="str">
        <f t="shared" si="243"/>
        <v>0EEC</v>
      </c>
      <c r="U1001" s="2">
        <f t="shared" si="249"/>
        <v>955</v>
      </c>
      <c r="V1001" s="2" t="str">
        <f t="shared" si="244"/>
        <v>3BB</v>
      </c>
      <c r="W1001" s="2" t="str">
        <f t="shared" si="245"/>
        <v>X</v>
      </c>
      <c r="X1001" s="2" t="str">
        <f t="shared" si="248"/>
        <v>X</v>
      </c>
      <c r="Y1001" s="2" t="str">
        <f t="shared" si="246"/>
        <v>X</v>
      </c>
      <c r="Z1001" s="2" t="str">
        <f t="shared" si="247"/>
        <v>X</v>
      </c>
      <c r="AA1001" s="2" t="str">
        <f t="shared" si="250"/>
        <v>(31 downto 24)</v>
      </c>
      <c r="AB1001" s="2" t="str">
        <f t="shared" si="251"/>
        <v>(23 downto 16)</v>
      </c>
      <c r="AC1001" s="2" t="str">
        <f t="shared" si="252"/>
        <v>(15 downto 8)</v>
      </c>
      <c r="AD1001" s="2" t="str">
        <f t="shared" si="253"/>
        <v>(7 downto 0)</v>
      </c>
      <c r="AE1001" s="2" t="str">
        <f t="shared" si="254"/>
        <v>(31 downto 24)</v>
      </c>
      <c r="AF1001" s="2" t="str">
        <f t="shared" si="255"/>
        <v>(23 downto 16)</v>
      </c>
      <c r="AG1001" s="2" t="str">
        <f t="shared" si="256"/>
        <v>(15 downto 8)</v>
      </c>
      <c r="AH1001" s="2" t="str">
        <f t="shared" si="257"/>
        <v>(7 downto 0)</v>
      </c>
    </row>
    <row r="1002" spans="2:34" x14ac:dyDescent="0.25">
      <c r="B1002" s="2" t="s">
        <v>2821</v>
      </c>
      <c r="C1002" s="2" t="s">
        <v>141</v>
      </c>
      <c r="D1002" s="2" t="s">
        <v>0</v>
      </c>
      <c r="E1002" s="2" t="s">
        <v>130</v>
      </c>
      <c r="F1002" s="2" t="s">
        <v>2822</v>
      </c>
      <c r="G1002" s="2" t="s">
        <v>2823</v>
      </c>
      <c r="H1002" s="2" t="s">
        <v>142</v>
      </c>
      <c r="I1002" s="2" t="s">
        <v>41</v>
      </c>
      <c r="J1002" s="2">
        <v>32</v>
      </c>
      <c r="K1002" s="2" t="s">
        <v>132</v>
      </c>
      <c r="L1002" s="2" t="s">
        <v>40</v>
      </c>
      <c r="P1002" s="2" t="s">
        <v>48</v>
      </c>
      <c r="Q1002" s="2">
        <f>INDEX(Tables!$C$4:$C$28,MATCH($P1002,Tables!$B$4:$B$28,0))</f>
        <v>32</v>
      </c>
      <c r="R1002" s="2">
        <f>INDEX(Tables!$D$4:$D$28,MATCH($P1002,Tables!$B$4:$B$28,0))</f>
        <v>4</v>
      </c>
      <c r="S1002" s="2">
        <f>$S1001+$R1001+INDEX(Tables!$N$5:$Q$8,MATCH(MOD($S1001+$R1001,4),Tables!$M$5:$M$8,0),MATCH($R1002,Tables!$N$4:$Q$4,0))</f>
        <v>3824</v>
      </c>
      <c r="T1002" s="2" t="str">
        <f t="shared" si="243"/>
        <v>0EF0</v>
      </c>
      <c r="U1002" s="2">
        <f t="shared" si="249"/>
        <v>956</v>
      </c>
      <c r="V1002" s="2" t="str">
        <f t="shared" si="244"/>
        <v>3BC</v>
      </c>
      <c r="W1002" s="2" t="str">
        <f t="shared" si="245"/>
        <v>X</v>
      </c>
      <c r="X1002" s="2" t="str">
        <f t="shared" si="248"/>
        <v>X</v>
      </c>
      <c r="Y1002" s="2" t="str">
        <f t="shared" si="246"/>
        <v>X</v>
      </c>
      <c r="Z1002" s="2" t="str">
        <f t="shared" si="247"/>
        <v>X</v>
      </c>
      <c r="AA1002" s="2" t="str">
        <f t="shared" si="250"/>
        <v>(31 downto 24)</v>
      </c>
      <c r="AB1002" s="2" t="str">
        <f t="shared" si="251"/>
        <v>(23 downto 16)</v>
      </c>
      <c r="AC1002" s="2" t="str">
        <f t="shared" si="252"/>
        <v>(15 downto 8)</v>
      </c>
      <c r="AD1002" s="2" t="str">
        <f t="shared" si="253"/>
        <v>(7 downto 0)</v>
      </c>
      <c r="AE1002" s="2" t="str">
        <f t="shared" si="254"/>
        <v>(31 downto 24)</v>
      </c>
      <c r="AF1002" s="2" t="str">
        <f t="shared" si="255"/>
        <v>(23 downto 16)</v>
      </c>
      <c r="AG1002" s="2" t="str">
        <f t="shared" si="256"/>
        <v>(15 downto 8)</v>
      </c>
      <c r="AH1002" s="2" t="str">
        <f t="shared" si="257"/>
        <v>(7 downto 0)</v>
      </c>
    </row>
    <row r="1003" spans="2:34" x14ac:dyDescent="0.25">
      <c r="B1003" s="2" t="s">
        <v>2824</v>
      </c>
      <c r="C1003" s="2" t="s">
        <v>141</v>
      </c>
      <c r="D1003" s="2" t="s">
        <v>0</v>
      </c>
      <c r="E1003" s="2" t="s">
        <v>130</v>
      </c>
      <c r="F1003" s="2" t="s">
        <v>2825</v>
      </c>
      <c r="G1003" s="2" t="s">
        <v>2826</v>
      </c>
      <c r="H1003" s="2" t="s">
        <v>142</v>
      </c>
      <c r="I1003" s="2" t="s">
        <v>41</v>
      </c>
      <c r="J1003" s="2">
        <v>32</v>
      </c>
      <c r="K1003" s="2" t="s">
        <v>132</v>
      </c>
      <c r="L1003" s="2" t="s">
        <v>40</v>
      </c>
      <c r="P1003" s="2" t="s">
        <v>48</v>
      </c>
      <c r="Q1003" s="2">
        <f>INDEX(Tables!$C$4:$C$28,MATCH($P1003,Tables!$B$4:$B$28,0))</f>
        <v>32</v>
      </c>
      <c r="R1003" s="2">
        <f>INDEX(Tables!$D$4:$D$28,MATCH($P1003,Tables!$B$4:$B$28,0))</f>
        <v>4</v>
      </c>
      <c r="S1003" s="2">
        <f>$S1002+$R1002+INDEX(Tables!$N$5:$Q$8,MATCH(MOD($S1002+$R1002,4),Tables!$M$5:$M$8,0),MATCH($R1003,Tables!$N$4:$Q$4,0))</f>
        <v>3828</v>
      </c>
      <c r="T1003" s="2" t="str">
        <f t="shared" si="243"/>
        <v>0EF4</v>
      </c>
      <c r="U1003" s="2">
        <f t="shared" si="249"/>
        <v>957</v>
      </c>
      <c r="V1003" s="2" t="str">
        <f t="shared" si="244"/>
        <v>3BD</v>
      </c>
      <c r="W1003" s="2" t="str">
        <f t="shared" si="245"/>
        <v>X</v>
      </c>
      <c r="X1003" s="2" t="str">
        <f t="shared" si="248"/>
        <v>X</v>
      </c>
      <c r="Y1003" s="2" t="str">
        <f t="shared" si="246"/>
        <v>X</v>
      </c>
      <c r="Z1003" s="2" t="str">
        <f t="shared" si="247"/>
        <v>X</v>
      </c>
      <c r="AA1003" s="2" t="str">
        <f t="shared" si="250"/>
        <v>(31 downto 24)</v>
      </c>
      <c r="AB1003" s="2" t="str">
        <f t="shared" si="251"/>
        <v>(23 downto 16)</v>
      </c>
      <c r="AC1003" s="2" t="str">
        <f t="shared" si="252"/>
        <v>(15 downto 8)</v>
      </c>
      <c r="AD1003" s="2" t="str">
        <f t="shared" si="253"/>
        <v>(7 downto 0)</v>
      </c>
      <c r="AE1003" s="2" t="str">
        <f t="shared" si="254"/>
        <v>(31 downto 24)</v>
      </c>
      <c r="AF1003" s="2" t="str">
        <f t="shared" si="255"/>
        <v>(23 downto 16)</v>
      </c>
      <c r="AG1003" s="2" t="str">
        <f t="shared" si="256"/>
        <v>(15 downto 8)</v>
      </c>
      <c r="AH1003" s="2" t="str">
        <f t="shared" si="257"/>
        <v>(7 downto 0)</v>
      </c>
    </row>
    <row r="1004" spans="2:34" x14ac:dyDescent="0.25">
      <c r="B1004" s="2" t="s">
        <v>2827</v>
      </c>
      <c r="C1004" s="2" t="s">
        <v>141</v>
      </c>
      <c r="D1004" s="2" t="s">
        <v>0</v>
      </c>
      <c r="E1004" s="2" t="s">
        <v>130</v>
      </c>
      <c r="F1004" s="2" t="s">
        <v>2828</v>
      </c>
      <c r="G1004" s="2" t="s">
        <v>2829</v>
      </c>
      <c r="H1004" s="2" t="s">
        <v>142</v>
      </c>
      <c r="I1004" s="2" t="s">
        <v>41</v>
      </c>
      <c r="J1004" s="2">
        <v>32</v>
      </c>
      <c r="K1004" s="2" t="s">
        <v>132</v>
      </c>
      <c r="L1004" s="2" t="s">
        <v>40</v>
      </c>
      <c r="P1004" s="2" t="s">
        <v>48</v>
      </c>
      <c r="Q1004" s="2">
        <f>INDEX(Tables!$C$4:$C$28,MATCH($P1004,Tables!$B$4:$B$28,0))</f>
        <v>32</v>
      </c>
      <c r="R1004" s="2">
        <f>INDEX(Tables!$D$4:$D$28,MATCH($P1004,Tables!$B$4:$B$28,0))</f>
        <v>4</v>
      </c>
      <c r="S1004" s="2">
        <f>$S1003+$R1003+INDEX(Tables!$N$5:$Q$8,MATCH(MOD($S1003+$R1003,4),Tables!$M$5:$M$8,0),MATCH($R1004,Tables!$N$4:$Q$4,0))</f>
        <v>3832</v>
      </c>
      <c r="T1004" s="2" t="str">
        <f t="shared" si="243"/>
        <v>0EF8</v>
      </c>
      <c r="U1004" s="2">
        <f t="shared" si="249"/>
        <v>958</v>
      </c>
      <c r="V1004" s="2" t="str">
        <f t="shared" si="244"/>
        <v>3BE</v>
      </c>
      <c r="W1004" s="2" t="str">
        <f t="shared" si="245"/>
        <v>X</v>
      </c>
      <c r="X1004" s="2" t="str">
        <f t="shared" si="248"/>
        <v>X</v>
      </c>
      <c r="Y1004" s="2" t="str">
        <f t="shared" si="246"/>
        <v>X</v>
      </c>
      <c r="Z1004" s="2" t="str">
        <f t="shared" si="247"/>
        <v>X</v>
      </c>
      <c r="AA1004" s="2" t="str">
        <f t="shared" si="250"/>
        <v>(31 downto 24)</v>
      </c>
      <c r="AB1004" s="2" t="str">
        <f t="shared" si="251"/>
        <v>(23 downto 16)</v>
      </c>
      <c r="AC1004" s="2" t="str">
        <f t="shared" si="252"/>
        <v>(15 downto 8)</v>
      </c>
      <c r="AD1004" s="2" t="str">
        <f t="shared" si="253"/>
        <v>(7 downto 0)</v>
      </c>
      <c r="AE1004" s="2" t="str">
        <f t="shared" si="254"/>
        <v>(31 downto 24)</v>
      </c>
      <c r="AF1004" s="2" t="str">
        <f t="shared" si="255"/>
        <v>(23 downto 16)</v>
      </c>
      <c r="AG1004" s="2" t="str">
        <f t="shared" si="256"/>
        <v>(15 downto 8)</v>
      </c>
      <c r="AH1004" s="2" t="str">
        <f t="shared" si="257"/>
        <v>(7 downto 0)</v>
      </c>
    </row>
    <row r="1005" spans="2:34" x14ac:dyDescent="0.25">
      <c r="B1005" s="2" t="s">
        <v>2830</v>
      </c>
      <c r="C1005" s="2" t="s">
        <v>141</v>
      </c>
      <c r="D1005" s="2" t="s">
        <v>0</v>
      </c>
      <c r="E1005" s="2" t="s">
        <v>130</v>
      </c>
      <c r="F1005" s="2" t="s">
        <v>2831</v>
      </c>
      <c r="G1005" s="2" t="s">
        <v>2832</v>
      </c>
      <c r="H1005" s="2" t="s">
        <v>142</v>
      </c>
      <c r="I1005" s="2" t="s">
        <v>41</v>
      </c>
      <c r="J1005" s="2">
        <v>32</v>
      </c>
      <c r="K1005" s="2" t="s">
        <v>132</v>
      </c>
      <c r="L1005" s="2" t="s">
        <v>40</v>
      </c>
      <c r="P1005" s="2" t="s">
        <v>48</v>
      </c>
      <c r="Q1005" s="2">
        <f>INDEX(Tables!$C$4:$C$28,MATCH($P1005,Tables!$B$4:$B$28,0))</f>
        <v>32</v>
      </c>
      <c r="R1005" s="2">
        <f>INDEX(Tables!$D$4:$D$28,MATCH($P1005,Tables!$B$4:$B$28,0))</f>
        <v>4</v>
      </c>
      <c r="S1005" s="2">
        <f>$S1004+$R1004+INDEX(Tables!$N$5:$Q$8,MATCH(MOD($S1004+$R1004,4),Tables!$M$5:$M$8,0),MATCH($R1005,Tables!$N$4:$Q$4,0))</f>
        <v>3836</v>
      </c>
      <c r="T1005" s="2" t="str">
        <f t="shared" si="243"/>
        <v>0EFC</v>
      </c>
      <c r="U1005" s="2">
        <f t="shared" si="249"/>
        <v>959</v>
      </c>
      <c r="V1005" s="2" t="str">
        <f t="shared" si="244"/>
        <v>3BF</v>
      </c>
      <c r="W1005" s="2" t="str">
        <f t="shared" si="245"/>
        <v>X</v>
      </c>
      <c r="X1005" s="2" t="str">
        <f t="shared" si="248"/>
        <v>X</v>
      </c>
      <c r="Y1005" s="2" t="str">
        <f t="shared" si="246"/>
        <v>X</v>
      </c>
      <c r="Z1005" s="2" t="str">
        <f t="shared" si="247"/>
        <v>X</v>
      </c>
      <c r="AA1005" s="2" t="str">
        <f t="shared" si="250"/>
        <v>(31 downto 24)</v>
      </c>
      <c r="AB1005" s="2" t="str">
        <f t="shared" si="251"/>
        <v>(23 downto 16)</v>
      </c>
      <c r="AC1005" s="2" t="str">
        <f t="shared" si="252"/>
        <v>(15 downto 8)</v>
      </c>
      <c r="AD1005" s="2" t="str">
        <f t="shared" si="253"/>
        <v>(7 downto 0)</v>
      </c>
      <c r="AE1005" s="2" t="str">
        <f t="shared" si="254"/>
        <v>(31 downto 24)</v>
      </c>
      <c r="AF1005" s="2" t="str">
        <f t="shared" si="255"/>
        <v>(23 downto 16)</v>
      </c>
      <c r="AG1005" s="2" t="str">
        <f t="shared" si="256"/>
        <v>(15 downto 8)</v>
      </c>
      <c r="AH1005" s="2" t="str">
        <f t="shared" si="257"/>
        <v>(7 downto 0)</v>
      </c>
    </row>
    <row r="1006" spans="2:34" x14ac:dyDescent="0.25">
      <c r="B1006" s="2" t="s">
        <v>2833</v>
      </c>
      <c r="C1006" s="2" t="s">
        <v>141</v>
      </c>
      <c r="D1006" s="2" t="s">
        <v>0</v>
      </c>
      <c r="E1006" s="2" t="s">
        <v>130</v>
      </c>
      <c r="F1006" s="2" t="s">
        <v>2834</v>
      </c>
      <c r="G1006" s="2" t="s">
        <v>2835</v>
      </c>
      <c r="H1006" s="2" t="s">
        <v>142</v>
      </c>
      <c r="I1006" s="2" t="s">
        <v>41</v>
      </c>
      <c r="J1006" s="2">
        <v>32</v>
      </c>
      <c r="K1006" s="2" t="s">
        <v>132</v>
      </c>
      <c r="L1006" s="2" t="s">
        <v>40</v>
      </c>
      <c r="P1006" s="2" t="s">
        <v>48</v>
      </c>
      <c r="Q1006" s="2">
        <f>INDEX(Tables!$C$4:$C$28,MATCH($P1006,Tables!$B$4:$B$28,0))</f>
        <v>32</v>
      </c>
      <c r="R1006" s="2">
        <f>INDEX(Tables!$D$4:$D$28,MATCH($P1006,Tables!$B$4:$B$28,0))</f>
        <v>4</v>
      </c>
      <c r="S1006" s="2">
        <f>$S1005+$R1005+INDEX(Tables!$N$5:$Q$8,MATCH(MOD($S1005+$R1005,4),Tables!$M$5:$M$8,0),MATCH($R1006,Tables!$N$4:$Q$4,0))</f>
        <v>3840</v>
      </c>
      <c r="T1006" s="2" t="str">
        <f t="shared" si="243"/>
        <v>0F00</v>
      </c>
      <c r="U1006" s="2">
        <f t="shared" si="249"/>
        <v>960</v>
      </c>
      <c r="V1006" s="2" t="str">
        <f t="shared" si="244"/>
        <v>3C0</v>
      </c>
      <c r="W1006" s="2" t="str">
        <f t="shared" si="245"/>
        <v>X</v>
      </c>
      <c r="X1006" s="2" t="str">
        <f t="shared" si="248"/>
        <v>X</v>
      </c>
      <c r="Y1006" s="2" t="str">
        <f t="shared" si="246"/>
        <v>X</v>
      </c>
      <c r="Z1006" s="2" t="str">
        <f t="shared" si="247"/>
        <v>X</v>
      </c>
      <c r="AA1006" s="2" t="str">
        <f t="shared" si="250"/>
        <v>(31 downto 24)</v>
      </c>
      <c r="AB1006" s="2" t="str">
        <f t="shared" si="251"/>
        <v>(23 downto 16)</v>
      </c>
      <c r="AC1006" s="2" t="str">
        <f t="shared" si="252"/>
        <v>(15 downto 8)</v>
      </c>
      <c r="AD1006" s="2" t="str">
        <f t="shared" si="253"/>
        <v>(7 downto 0)</v>
      </c>
      <c r="AE1006" s="2" t="str">
        <f t="shared" si="254"/>
        <v>(31 downto 24)</v>
      </c>
      <c r="AF1006" s="2" t="str">
        <f t="shared" si="255"/>
        <v>(23 downto 16)</v>
      </c>
      <c r="AG1006" s="2" t="str">
        <f t="shared" si="256"/>
        <v>(15 downto 8)</v>
      </c>
      <c r="AH1006" s="2" t="str">
        <f t="shared" si="257"/>
        <v>(7 downto 0)</v>
      </c>
    </row>
    <row r="1007" spans="2:34" x14ac:dyDescent="0.25">
      <c r="B1007" s="2" t="s">
        <v>2836</v>
      </c>
      <c r="C1007" s="2" t="s">
        <v>141</v>
      </c>
      <c r="D1007" s="2" t="s">
        <v>0</v>
      </c>
      <c r="E1007" s="2" t="s">
        <v>130</v>
      </c>
      <c r="F1007" s="2" t="s">
        <v>2837</v>
      </c>
      <c r="G1007" s="2" t="s">
        <v>2838</v>
      </c>
      <c r="H1007" s="2" t="s">
        <v>142</v>
      </c>
      <c r="I1007" s="2" t="s">
        <v>41</v>
      </c>
      <c r="J1007" s="2">
        <v>32</v>
      </c>
      <c r="K1007" s="2" t="s">
        <v>132</v>
      </c>
      <c r="L1007" s="2" t="s">
        <v>40</v>
      </c>
      <c r="P1007" s="2" t="s">
        <v>48</v>
      </c>
      <c r="Q1007" s="2">
        <f>INDEX(Tables!$C$4:$C$28,MATCH($P1007,Tables!$B$4:$B$28,0))</f>
        <v>32</v>
      </c>
      <c r="R1007" s="2">
        <f>INDEX(Tables!$D$4:$D$28,MATCH($P1007,Tables!$B$4:$B$28,0))</f>
        <v>4</v>
      </c>
      <c r="S1007" s="2">
        <f>$S1006+$R1006+INDEX(Tables!$N$5:$Q$8,MATCH(MOD($S1006+$R1006,4),Tables!$M$5:$M$8,0),MATCH($R1007,Tables!$N$4:$Q$4,0))</f>
        <v>3844</v>
      </c>
      <c r="T1007" s="2" t="str">
        <f t="shared" si="243"/>
        <v>0F04</v>
      </c>
      <c r="U1007" s="2">
        <f t="shared" si="249"/>
        <v>961</v>
      </c>
      <c r="V1007" s="2" t="str">
        <f t="shared" si="244"/>
        <v>3C1</v>
      </c>
      <c r="W1007" s="2" t="str">
        <f t="shared" si="245"/>
        <v>X</v>
      </c>
      <c r="X1007" s="2" t="str">
        <f t="shared" si="248"/>
        <v>X</v>
      </c>
      <c r="Y1007" s="2" t="str">
        <f t="shared" si="246"/>
        <v>X</v>
      </c>
      <c r="Z1007" s="2" t="str">
        <f t="shared" si="247"/>
        <v>X</v>
      </c>
      <c r="AA1007" s="2" t="str">
        <f t="shared" si="250"/>
        <v>(31 downto 24)</v>
      </c>
      <c r="AB1007" s="2" t="str">
        <f t="shared" si="251"/>
        <v>(23 downto 16)</v>
      </c>
      <c r="AC1007" s="2" t="str">
        <f t="shared" si="252"/>
        <v>(15 downto 8)</v>
      </c>
      <c r="AD1007" s="2" t="str">
        <f t="shared" si="253"/>
        <v>(7 downto 0)</v>
      </c>
      <c r="AE1007" s="2" t="str">
        <f t="shared" si="254"/>
        <v>(31 downto 24)</v>
      </c>
      <c r="AF1007" s="2" t="str">
        <f t="shared" si="255"/>
        <v>(23 downto 16)</v>
      </c>
      <c r="AG1007" s="2" t="str">
        <f t="shared" si="256"/>
        <v>(15 downto 8)</v>
      </c>
      <c r="AH1007" s="2" t="str">
        <f t="shared" si="257"/>
        <v>(7 downto 0)</v>
      </c>
    </row>
    <row r="1008" spans="2:34" x14ac:dyDescent="0.25">
      <c r="B1008" s="2" t="s">
        <v>2839</v>
      </c>
      <c r="C1008" s="2" t="s">
        <v>141</v>
      </c>
      <c r="D1008" s="2" t="s">
        <v>0</v>
      </c>
      <c r="E1008" s="2" t="s">
        <v>130</v>
      </c>
      <c r="F1008" s="2" t="s">
        <v>2840</v>
      </c>
      <c r="G1008" s="2" t="s">
        <v>2841</v>
      </c>
      <c r="H1008" s="2" t="s">
        <v>142</v>
      </c>
      <c r="I1008" s="2" t="s">
        <v>41</v>
      </c>
      <c r="J1008" s="2">
        <v>32</v>
      </c>
      <c r="K1008" s="2" t="s">
        <v>132</v>
      </c>
      <c r="L1008" s="2" t="s">
        <v>40</v>
      </c>
      <c r="P1008" s="2" t="s">
        <v>48</v>
      </c>
      <c r="Q1008" s="2">
        <f>INDEX(Tables!$C$4:$C$28,MATCH($P1008,Tables!$B$4:$B$28,0))</f>
        <v>32</v>
      </c>
      <c r="R1008" s="2">
        <f>INDEX(Tables!$D$4:$D$28,MATCH($P1008,Tables!$B$4:$B$28,0))</f>
        <v>4</v>
      </c>
      <c r="S1008" s="2">
        <f>$S1007+$R1007+INDEX(Tables!$N$5:$Q$8,MATCH(MOD($S1007+$R1007,4),Tables!$M$5:$M$8,0),MATCH($R1008,Tables!$N$4:$Q$4,0))</f>
        <v>3848</v>
      </c>
      <c r="T1008" s="2" t="str">
        <f t="shared" si="243"/>
        <v>0F08</v>
      </c>
      <c r="U1008" s="2">
        <f t="shared" si="249"/>
        <v>962</v>
      </c>
      <c r="V1008" s="2" t="str">
        <f t="shared" si="244"/>
        <v>3C2</v>
      </c>
      <c r="W1008" s="2" t="str">
        <f t="shared" si="245"/>
        <v>X</v>
      </c>
      <c r="X1008" s="2" t="str">
        <f t="shared" si="248"/>
        <v>X</v>
      </c>
      <c r="Y1008" s="2" t="str">
        <f t="shared" si="246"/>
        <v>X</v>
      </c>
      <c r="Z1008" s="2" t="str">
        <f t="shared" si="247"/>
        <v>X</v>
      </c>
      <c r="AA1008" s="2" t="str">
        <f t="shared" si="250"/>
        <v>(31 downto 24)</v>
      </c>
      <c r="AB1008" s="2" t="str">
        <f t="shared" si="251"/>
        <v>(23 downto 16)</v>
      </c>
      <c r="AC1008" s="2" t="str">
        <f t="shared" si="252"/>
        <v>(15 downto 8)</v>
      </c>
      <c r="AD1008" s="2" t="str">
        <f t="shared" si="253"/>
        <v>(7 downto 0)</v>
      </c>
      <c r="AE1008" s="2" t="str">
        <f t="shared" si="254"/>
        <v>(31 downto 24)</v>
      </c>
      <c r="AF1008" s="2" t="str">
        <f t="shared" si="255"/>
        <v>(23 downto 16)</v>
      </c>
      <c r="AG1008" s="2" t="str">
        <f t="shared" si="256"/>
        <v>(15 downto 8)</v>
      </c>
      <c r="AH1008" s="2" t="str">
        <f t="shared" si="257"/>
        <v>(7 downto 0)</v>
      </c>
    </row>
    <row r="1009" spans="2:34" x14ac:dyDescent="0.25">
      <c r="B1009" s="2" t="s">
        <v>2842</v>
      </c>
      <c r="C1009" s="2" t="s">
        <v>141</v>
      </c>
      <c r="D1009" s="2" t="s">
        <v>0</v>
      </c>
      <c r="E1009" s="2" t="s">
        <v>130</v>
      </c>
      <c r="F1009" s="2" t="s">
        <v>2843</v>
      </c>
      <c r="G1009" s="2" t="s">
        <v>2844</v>
      </c>
      <c r="H1009" s="2" t="s">
        <v>142</v>
      </c>
      <c r="I1009" s="2" t="s">
        <v>41</v>
      </c>
      <c r="J1009" s="2">
        <v>32</v>
      </c>
      <c r="K1009" s="2" t="s">
        <v>132</v>
      </c>
      <c r="L1009" s="2" t="s">
        <v>40</v>
      </c>
      <c r="P1009" s="2" t="s">
        <v>48</v>
      </c>
      <c r="Q1009" s="2">
        <f>INDEX(Tables!$C$4:$C$28,MATCH($P1009,Tables!$B$4:$B$28,0))</f>
        <v>32</v>
      </c>
      <c r="R1009" s="2">
        <f>INDEX(Tables!$D$4:$D$28,MATCH($P1009,Tables!$B$4:$B$28,0))</f>
        <v>4</v>
      </c>
      <c r="S1009" s="2">
        <f>$S1008+$R1008+INDEX(Tables!$N$5:$Q$8,MATCH(MOD($S1008+$R1008,4),Tables!$M$5:$M$8,0),MATCH($R1009,Tables!$N$4:$Q$4,0))</f>
        <v>3852</v>
      </c>
      <c r="T1009" s="2" t="str">
        <f t="shared" si="243"/>
        <v>0F0C</v>
      </c>
      <c r="U1009" s="2">
        <f t="shared" si="249"/>
        <v>963</v>
      </c>
      <c r="V1009" s="2" t="str">
        <f t="shared" si="244"/>
        <v>3C3</v>
      </c>
      <c r="W1009" s="2" t="str">
        <f t="shared" si="245"/>
        <v>X</v>
      </c>
      <c r="X1009" s="2" t="str">
        <f t="shared" si="248"/>
        <v>X</v>
      </c>
      <c r="Y1009" s="2" t="str">
        <f t="shared" si="246"/>
        <v>X</v>
      </c>
      <c r="Z1009" s="2" t="str">
        <f t="shared" si="247"/>
        <v>X</v>
      </c>
      <c r="AA1009" s="2" t="str">
        <f t="shared" si="250"/>
        <v>(31 downto 24)</v>
      </c>
      <c r="AB1009" s="2" t="str">
        <f t="shared" si="251"/>
        <v>(23 downto 16)</v>
      </c>
      <c r="AC1009" s="2" t="str">
        <f t="shared" si="252"/>
        <v>(15 downto 8)</v>
      </c>
      <c r="AD1009" s="2" t="str">
        <f t="shared" si="253"/>
        <v>(7 downto 0)</v>
      </c>
      <c r="AE1009" s="2" t="str">
        <f t="shared" si="254"/>
        <v>(31 downto 24)</v>
      </c>
      <c r="AF1009" s="2" t="str">
        <f t="shared" si="255"/>
        <v>(23 downto 16)</v>
      </c>
      <c r="AG1009" s="2" t="str">
        <f t="shared" si="256"/>
        <v>(15 downto 8)</v>
      </c>
      <c r="AH1009" s="2" t="str">
        <f t="shared" si="257"/>
        <v>(7 downto 0)</v>
      </c>
    </row>
    <row r="1010" spans="2:34" x14ac:dyDescent="0.25">
      <c r="B1010" s="2" t="s">
        <v>2845</v>
      </c>
      <c r="C1010" s="2" t="s">
        <v>141</v>
      </c>
      <c r="D1010" s="2" t="s">
        <v>0</v>
      </c>
      <c r="E1010" s="2" t="s">
        <v>130</v>
      </c>
      <c r="F1010" s="2" t="s">
        <v>2846</v>
      </c>
      <c r="G1010" s="2" t="s">
        <v>2847</v>
      </c>
      <c r="H1010" s="2" t="s">
        <v>142</v>
      </c>
      <c r="I1010" s="2" t="s">
        <v>41</v>
      </c>
      <c r="J1010" s="2">
        <v>32</v>
      </c>
      <c r="K1010" s="2" t="s">
        <v>132</v>
      </c>
      <c r="L1010" s="2" t="s">
        <v>40</v>
      </c>
      <c r="P1010" s="2" t="s">
        <v>48</v>
      </c>
      <c r="Q1010" s="2">
        <f>INDEX(Tables!$C$4:$C$28,MATCH($P1010,Tables!$B$4:$B$28,0))</f>
        <v>32</v>
      </c>
      <c r="R1010" s="2">
        <f>INDEX(Tables!$D$4:$D$28,MATCH($P1010,Tables!$B$4:$B$28,0))</f>
        <v>4</v>
      </c>
      <c r="S1010" s="2">
        <f>$S1009+$R1009+INDEX(Tables!$N$5:$Q$8,MATCH(MOD($S1009+$R1009,4),Tables!$M$5:$M$8,0),MATCH($R1010,Tables!$N$4:$Q$4,0))</f>
        <v>3856</v>
      </c>
      <c r="T1010" s="2" t="str">
        <f t="shared" si="243"/>
        <v>0F10</v>
      </c>
      <c r="U1010" s="2">
        <f t="shared" si="249"/>
        <v>964</v>
      </c>
      <c r="V1010" s="2" t="str">
        <f t="shared" si="244"/>
        <v>3C4</v>
      </c>
      <c r="W1010" s="2" t="str">
        <f t="shared" si="245"/>
        <v>X</v>
      </c>
      <c r="X1010" s="2" t="str">
        <f t="shared" si="248"/>
        <v>X</v>
      </c>
      <c r="Y1010" s="2" t="str">
        <f t="shared" si="246"/>
        <v>X</v>
      </c>
      <c r="Z1010" s="2" t="str">
        <f t="shared" si="247"/>
        <v>X</v>
      </c>
      <c r="AA1010" s="2" t="str">
        <f t="shared" si="250"/>
        <v>(31 downto 24)</v>
      </c>
      <c r="AB1010" s="2" t="str">
        <f t="shared" si="251"/>
        <v>(23 downto 16)</v>
      </c>
      <c r="AC1010" s="2" t="str">
        <f t="shared" si="252"/>
        <v>(15 downto 8)</v>
      </c>
      <c r="AD1010" s="2" t="str">
        <f t="shared" si="253"/>
        <v>(7 downto 0)</v>
      </c>
      <c r="AE1010" s="2" t="str">
        <f t="shared" si="254"/>
        <v>(31 downto 24)</v>
      </c>
      <c r="AF1010" s="2" t="str">
        <f t="shared" si="255"/>
        <v>(23 downto 16)</v>
      </c>
      <c r="AG1010" s="2" t="str">
        <f t="shared" si="256"/>
        <v>(15 downto 8)</v>
      </c>
      <c r="AH1010" s="2" t="str">
        <f t="shared" si="257"/>
        <v>(7 downto 0)</v>
      </c>
    </row>
    <row r="1011" spans="2:34" x14ac:dyDescent="0.25">
      <c r="B1011" s="2" t="s">
        <v>2848</v>
      </c>
      <c r="C1011" s="2" t="s">
        <v>141</v>
      </c>
      <c r="D1011" s="2" t="s">
        <v>0</v>
      </c>
      <c r="E1011" s="2" t="s">
        <v>130</v>
      </c>
      <c r="F1011" s="2" t="s">
        <v>2849</v>
      </c>
      <c r="G1011" s="2" t="s">
        <v>2850</v>
      </c>
      <c r="H1011" s="2" t="s">
        <v>142</v>
      </c>
      <c r="I1011" s="2" t="s">
        <v>41</v>
      </c>
      <c r="J1011" s="2">
        <v>32</v>
      </c>
      <c r="K1011" s="2" t="s">
        <v>132</v>
      </c>
      <c r="L1011" s="2" t="s">
        <v>40</v>
      </c>
      <c r="P1011" s="2" t="s">
        <v>48</v>
      </c>
      <c r="Q1011" s="2">
        <f>INDEX(Tables!$C$4:$C$28,MATCH($P1011,Tables!$B$4:$B$28,0))</f>
        <v>32</v>
      </c>
      <c r="R1011" s="2">
        <f>INDEX(Tables!$D$4:$D$28,MATCH($P1011,Tables!$B$4:$B$28,0))</f>
        <v>4</v>
      </c>
      <c r="S1011" s="2">
        <f>$S1010+$R1010+INDEX(Tables!$N$5:$Q$8,MATCH(MOD($S1010+$R1010,4),Tables!$M$5:$M$8,0),MATCH($R1011,Tables!$N$4:$Q$4,0))</f>
        <v>3860</v>
      </c>
      <c r="T1011" s="2" t="str">
        <f t="shared" si="243"/>
        <v>0F14</v>
      </c>
      <c r="U1011" s="2">
        <f t="shared" si="249"/>
        <v>965</v>
      </c>
      <c r="V1011" s="2" t="str">
        <f t="shared" si="244"/>
        <v>3C5</v>
      </c>
      <c r="W1011" s="2" t="str">
        <f t="shared" si="245"/>
        <v>X</v>
      </c>
      <c r="X1011" s="2" t="str">
        <f t="shared" si="248"/>
        <v>X</v>
      </c>
      <c r="Y1011" s="2" t="str">
        <f t="shared" si="246"/>
        <v>X</v>
      </c>
      <c r="Z1011" s="2" t="str">
        <f t="shared" si="247"/>
        <v>X</v>
      </c>
      <c r="AA1011" s="2" t="str">
        <f t="shared" si="250"/>
        <v>(31 downto 24)</v>
      </c>
      <c r="AB1011" s="2" t="str">
        <f t="shared" si="251"/>
        <v>(23 downto 16)</v>
      </c>
      <c r="AC1011" s="2" t="str">
        <f t="shared" si="252"/>
        <v>(15 downto 8)</v>
      </c>
      <c r="AD1011" s="2" t="str">
        <f t="shared" si="253"/>
        <v>(7 downto 0)</v>
      </c>
      <c r="AE1011" s="2" t="str">
        <f t="shared" si="254"/>
        <v>(31 downto 24)</v>
      </c>
      <c r="AF1011" s="2" t="str">
        <f t="shared" si="255"/>
        <v>(23 downto 16)</v>
      </c>
      <c r="AG1011" s="2" t="str">
        <f t="shared" si="256"/>
        <v>(15 downto 8)</v>
      </c>
      <c r="AH1011" s="2" t="str">
        <f t="shared" si="257"/>
        <v>(7 downto 0)</v>
      </c>
    </row>
    <row r="1012" spans="2:34" x14ac:dyDescent="0.25">
      <c r="B1012" s="2" t="s">
        <v>2851</v>
      </c>
      <c r="C1012" s="2" t="s">
        <v>141</v>
      </c>
      <c r="D1012" s="2" t="s">
        <v>0</v>
      </c>
      <c r="E1012" s="2" t="s">
        <v>130</v>
      </c>
      <c r="F1012" s="2" t="s">
        <v>2852</v>
      </c>
      <c r="G1012" s="2" t="s">
        <v>2853</v>
      </c>
      <c r="H1012" s="2" t="s">
        <v>142</v>
      </c>
      <c r="I1012" s="2" t="s">
        <v>41</v>
      </c>
      <c r="J1012" s="2">
        <v>32</v>
      </c>
      <c r="K1012" s="2" t="s">
        <v>132</v>
      </c>
      <c r="L1012" s="2" t="s">
        <v>40</v>
      </c>
      <c r="P1012" s="2" t="s">
        <v>48</v>
      </c>
      <c r="Q1012" s="2">
        <f>INDEX(Tables!$C$4:$C$28,MATCH($P1012,Tables!$B$4:$B$28,0))</f>
        <v>32</v>
      </c>
      <c r="R1012" s="2">
        <f>INDEX(Tables!$D$4:$D$28,MATCH($P1012,Tables!$B$4:$B$28,0))</f>
        <v>4</v>
      </c>
      <c r="S1012" s="2">
        <f>$S1011+$R1011+INDEX(Tables!$N$5:$Q$8,MATCH(MOD($S1011+$R1011,4),Tables!$M$5:$M$8,0),MATCH($R1012,Tables!$N$4:$Q$4,0))</f>
        <v>3864</v>
      </c>
      <c r="T1012" s="2" t="str">
        <f t="shared" si="243"/>
        <v>0F18</v>
      </c>
      <c r="U1012" s="2">
        <f t="shared" si="249"/>
        <v>966</v>
      </c>
      <c r="V1012" s="2" t="str">
        <f t="shared" si="244"/>
        <v>3C6</v>
      </c>
      <c r="W1012" s="2" t="str">
        <f t="shared" si="245"/>
        <v>X</v>
      </c>
      <c r="X1012" s="2" t="str">
        <f t="shared" si="248"/>
        <v>X</v>
      </c>
      <c r="Y1012" s="2" t="str">
        <f t="shared" si="246"/>
        <v>X</v>
      </c>
      <c r="Z1012" s="2" t="str">
        <f t="shared" si="247"/>
        <v>X</v>
      </c>
      <c r="AA1012" s="2" t="str">
        <f t="shared" si="250"/>
        <v>(31 downto 24)</v>
      </c>
      <c r="AB1012" s="2" t="str">
        <f t="shared" si="251"/>
        <v>(23 downto 16)</v>
      </c>
      <c r="AC1012" s="2" t="str">
        <f t="shared" si="252"/>
        <v>(15 downto 8)</v>
      </c>
      <c r="AD1012" s="2" t="str">
        <f t="shared" si="253"/>
        <v>(7 downto 0)</v>
      </c>
      <c r="AE1012" s="2" t="str">
        <f t="shared" si="254"/>
        <v>(31 downto 24)</v>
      </c>
      <c r="AF1012" s="2" t="str">
        <f t="shared" si="255"/>
        <v>(23 downto 16)</v>
      </c>
      <c r="AG1012" s="2" t="str">
        <f t="shared" si="256"/>
        <v>(15 downto 8)</v>
      </c>
      <c r="AH1012" s="2" t="str">
        <f t="shared" si="257"/>
        <v>(7 downto 0)</v>
      </c>
    </row>
    <row r="1013" spans="2:34" x14ac:dyDescent="0.25">
      <c r="B1013" s="2" t="s">
        <v>2854</v>
      </c>
      <c r="C1013" s="2" t="s">
        <v>141</v>
      </c>
      <c r="D1013" s="2" t="s">
        <v>0</v>
      </c>
      <c r="E1013" s="2" t="s">
        <v>130</v>
      </c>
      <c r="F1013" s="2" t="s">
        <v>2855</v>
      </c>
      <c r="G1013" s="2" t="s">
        <v>2856</v>
      </c>
      <c r="H1013" s="2" t="s">
        <v>142</v>
      </c>
      <c r="I1013" s="2" t="s">
        <v>41</v>
      </c>
      <c r="J1013" s="2">
        <v>32</v>
      </c>
      <c r="K1013" s="2" t="s">
        <v>132</v>
      </c>
      <c r="L1013" s="2" t="s">
        <v>40</v>
      </c>
      <c r="P1013" s="2" t="s">
        <v>48</v>
      </c>
      <c r="Q1013" s="2">
        <f>INDEX(Tables!$C$4:$C$28,MATCH($P1013,Tables!$B$4:$B$28,0))</f>
        <v>32</v>
      </c>
      <c r="R1013" s="2">
        <f>INDEX(Tables!$D$4:$D$28,MATCH($P1013,Tables!$B$4:$B$28,0))</f>
        <v>4</v>
      </c>
      <c r="S1013" s="2">
        <f>$S1012+$R1012+INDEX(Tables!$N$5:$Q$8,MATCH(MOD($S1012+$R1012,4),Tables!$M$5:$M$8,0),MATCH($R1013,Tables!$N$4:$Q$4,0))</f>
        <v>3868</v>
      </c>
      <c r="T1013" s="2" t="str">
        <f t="shared" si="243"/>
        <v>0F1C</v>
      </c>
      <c r="U1013" s="2">
        <f t="shared" si="249"/>
        <v>967</v>
      </c>
      <c r="V1013" s="2" t="str">
        <f t="shared" si="244"/>
        <v>3C7</v>
      </c>
      <c r="W1013" s="2" t="str">
        <f t="shared" si="245"/>
        <v>X</v>
      </c>
      <c r="X1013" s="2" t="str">
        <f t="shared" si="248"/>
        <v>X</v>
      </c>
      <c r="Y1013" s="2" t="str">
        <f t="shared" si="246"/>
        <v>X</v>
      </c>
      <c r="Z1013" s="2" t="str">
        <f t="shared" si="247"/>
        <v>X</v>
      </c>
      <c r="AA1013" s="2" t="str">
        <f t="shared" si="250"/>
        <v>(31 downto 24)</v>
      </c>
      <c r="AB1013" s="2" t="str">
        <f t="shared" si="251"/>
        <v>(23 downto 16)</v>
      </c>
      <c r="AC1013" s="2" t="str">
        <f t="shared" si="252"/>
        <v>(15 downto 8)</v>
      </c>
      <c r="AD1013" s="2" t="str">
        <f t="shared" si="253"/>
        <v>(7 downto 0)</v>
      </c>
      <c r="AE1013" s="2" t="str">
        <f t="shared" si="254"/>
        <v>(31 downto 24)</v>
      </c>
      <c r="AF1013" s="2" t="str">
        <f t="shared" si="255"/>
        <v>(23 downto 16)</v>
      </c>
      <c r="AG1013" s="2" t="str">
        <f t="shared" si="256"/>
        <v>(15 downto 8)</v>
      </c>
      <c r="AH1013" s="2" t="str">
        <f t="shared" si="257"/>
        <v>(7 downto 0)</v>
      </c>
    </row>
    <row r="1014" spans="2:34" x14ac:dyDescent="0.25">
      <c r="B1014" s="2" t="s">
        <v>2857</v>
      </c>
      <c r="C1014" s="2" t="s">
        <v>141</v>
      </c>
      <c r="D1014" s="2" t="s">
        <v>0</v>
      </c>
      <c r="E1014" s="2" t="s">
        <v>130</v>
      </c>
      <c r="F1014" s="2" t="s">
        <v>2858</v>
      </c>
      <c r="G1014" s="2" t="s">
        <v>2859</v>
      </c>
      <c r="H1014" s="2" t="s">
        <v>142</v>
      </c>
      <c r="I1014" s="2" t="s">
        <v>41</v>
      </c>
      <c r="J1014" s="2">
        <v>32</v>
      </c>
      <c r="K1014" s="2" t="s">
        <v>132</v>
      </c>
      <c r="L1014" s="2" t="s">
        <v>40</v>
      </c>
      <c r="P1014" s="2" t="s">
        <v>48</v>
      </c>
      <c r="Q1014" s="2">
        <f>INDEX(Tables!$C$4:$C$28,MATCH($P1014,Tables!$B$4:$B$28,0))</f>
        <v>32</v>
      </c>
      <c r="R1014" s="2">
        <f>INDEX(Tables!$D$4:$D$28,MATCH($P1014,Tables!$B$4:$B$28,0))</f>
        <v>4</v>
      </c>
      <c r="S1014" s="2">
        <f>$S1013+$R1013+INDEX(Tables!$N$5:$Q$8,MATCH(MOD($S1013+$R1013,4),Tables!$M$5:$M$8,0),MATCH($R1014,Tables!$N$4:$Q$4,0))</f>
        <v>3872</v>
      </c>
      <c r="T1014" s="2" t="str">
        <f t="shared" si="243"/>
        <v>0F20</v>
      </c>
      <c r="U1014" s="2">
        <f t="shared" si="249"/>
        <v>968</v>
      </c>
      <c r="V1014" s="2" t="str">
        <f t="shared" si="244"/>
        <v>3C8</v>
      </c>
      <c r="W1014" s="2" t="str">
        <f t="shared" si="245"/>
        <v>X</v>
      </c>
      <c r="X1014" s="2" t="str">
        <f t="shared" si="248"/>
        <v>X</v>
      </c>
      <c r="Y1014" s="2" t="str">
        <f t="shared" si="246"/>
        <v>X</v>
      </c>
      <c r="Z1014" s="2" t="str">
        <f t="shared" si="247"/>
        <v>X</v>
      </c>
      <c r="AA1014" s="2" t="str">
        <f t="shared" si="250"/>
        <v>(31 downto 24)</v>
      </c>
      <c r="AB1014" s="2" t="str">
        <f t="shared" si="251"/>
        <v>(23 downto 16)</v>
      </c>
      <c r="AC1014" s="2" t="str">
        <f t="shared" si="252"/>
        <v>(15 downto 8)</v>
      </c>
      <c r="AD1014" s="2" t="str">
        <f t="shared" si="253"/>
        <v>(7 downto 0)</v>
      </c>
      <c r="AE1014" s="2" t="str">
        <f t="shared" si="254"/>
        <v>(31 downto 24)</v>
      </c>
      <c r="AF1014" s="2" t="str">
        <f t="shared" si="255"/>
        <v>(23 downto 16)</v>
      </c>
      <c r="AG1014" s="2" t="str">
        <f t="shared" si="256"/>
        <v>(15 downto 8)</v>
      </c>
      <c r="AH1014" s="2" t="str">
        <f t="shared" si="257"/>
        <v>(7 downto 0)</v>
      </c>
    </row>
    <row r="1015" spans="2:34" x14ac:dyDescent="0.25">
      <c r="B1015" s="2" t="s">
        <v>2860</v>
      </c>
      <c r="C1015" s="2" t="s">
        <v>141</v>
      </c>
      <c r="D1015" s="2" t="s">
        <v>0</v>
      </c>
      <c r="E1015" s="2" t="s">
        <v>130</v>
      </c>
      <c r="F1015" s="2" t="s">
        <v>2861</v>
      </c>
      <c r="G1015" s="2" t="s">
        <v>2862</v>
      </c>
      <c r="H1015" s="2" t="s">
        <v>142</v>
      </c>
      <c r="I1015" s="2" t="s">
        <v>41</v>
      </c>
      <c r="J1015" s="2">
        <v>32</v>
      </c>
      <c r="K1015" s="2" t="s">
        <v>132</v>
      </c>
      <c r="L1015" s="2" t="s">
        <v>40</v>
      </c>
      <c r="P1015" s="2" t="s">
        <v>48</v>
      </c>
      <c r="Q1015" s="2">
        <f>INDEX(Tables!$C$4:$C$28,MATCH($P1015,Tables!$B$4:$B$28,0))</f>
        <v>32</v>
      </c>
      <c r="R1015" s="2">
        <f>INDEX(Tables!$D$4:$D$28,MATCH($P1015,Tables!$B$4:$B$28,0))</f>
        <v>4</v>
      </c>
      <c r="S1015" s="2">
        <f>$S1014+$R1014+INDEX(Tables!$N$5:$Q$8,MATCH(MOD($S1014+$R1014,4),Tables!$M$5:$M$8,0),MATCH($R1015,Tables!$N$4:$Q$4,0))</f>
        <v>3876</v>
      </c>
      <c r="T1015" s="2" t="str">
        <f t="shared" si="243"/>
        <v>0F24</v>
      </c>
      <c r="U1015" s="2">
        <f t="shared" si="249"/>
        <v>969</v>
      </c>
      <c r="V1015" s="2" t="str">
        <f t="shared" si="244"/>
        <v>3C9</v>
      </c>
      <c r="W1015" s="2" t="str">
        <f t="shared" si="245"/>
        <v>X</v>
      </c>
      <c r="X1015" s="2" t="str">
        <f t="shared" si="248"/>
        <v>X</v>
      </c>
      <c r="Y1015" s="2" t="str">
        <f t="shared" si="246"/>
        <v>X</v>
      </c>
      <c r="Z1015" s="2" t="str">
        <f t="shared" si="247"/>
        <v>X</v>
      </c>
      <c r="AA1015" s="2" t="str">
        <f t="shared" si="250"/>
        <v>(31 downto 24)</v>
      </c>
      <c r="AB1015" s="2" t="str">
        <f t="shared" si="251"/>
        <v>(23 downto 16)</v>
      </c>
      <c r="AC1015" s="2" t="str">
        <f t="shared" si="252"/>
        <v>(15 downto 8)</v>
      </c>
      <c r="AD1015" s="2" t="str">
        <f t="shared" si="253"/>
        <v>(7 downto 0)</v>
      </c>
      <c r="AE1015" s="2" t="str">
        <f t="shared" si="254"/>
        <v>(31 downto 24)</v>
      </c>
      <c r="AF1015" s="2" t="str">
        <f t="shared" si="255"/>
        <v>(23 downto 16)</v>
      </c>
      <c r="AG1015" s="2" t="str">
        <f t="shared" si="256"/>
        <v>(15 downto 8)</v>
      </c>
      <c r="AH1015" s="2" t="str">
        <f t="shared" si="257"/>
        <v>(7 downto 0)</v>
      </c>
    </row>
    <row r="1016" spans="2:34" x14ac:dyDescent="0.25">
      <c r="B1016" s="2" t="s">
        <v>2863</v>
      </c>
      <c r="C1016" s="2" t="s">
        <v>141</v>
      </c>
      <c r="D1016" s="2" t="s">
        <v>0</v>
      </c>
      <c r="E1016" s="2" t="s">
        <v>130</v>
      </c>
      <c r="F1016" s="2" t="s">
        <v>2864</v>
      </c>
      <c r="G1016" s="2" t="s">
        <v>2865</v>
      </c>
      <c r="H1016" s="2" t="s">
        <v>142</v>
      </c>
      <c r="I1016" s="2" t="s">
        <v>41</v>
      </c>
      <c r="J1016" s="2">
        <v>32</v>
      </c>
      <c r="K1016" s="2" t="s">
        <v>132</v>
      </c>
      <c r="L1016" s="2" t="s">
        <v>40</v>
      </c>
      <c r="P1016" s="2" t="s">
        <v>48</v>
      </c>
      <c r="Q1016" s="2">
        <f>INDEX(Tables!$C$4:$C$28,MATCH($P1016,Tables!$B$4:$B$28,0))</f>
        <v>32</v>
      </c>
      <c r="R1016" s="2">
        <f>INDEX(Tables!$D$4:$D$28,MATCH($P1016,Tables!$B$4:$B$28,0))</f>
        <v>4</v>
      </c>
      <c r="S1016" s="2">
        <f>$S1015+$R1015+INDEX(Tables!$N$5:$Q$8,MATCH(MOD($S1015+$R1015,4),Tables!$M$5:$M$8,0),MATCH($R1016,Tables!$N$4:$Q$4,0))</f>
        <v>3880</v>
      </c>
      <c r="T1016" s="2" t="str">
        <f t="shared" si="243"/>
        <v>0F28</v>
      </c>
      <c r="U1016" s="2">
        <f t="shared" si="249"/>
        <v>970</v>
      </c>
      <c r="V1016" s="2" t="str">
        <f t="shared" si="244"/>
        <v>3CA</v>
      </c>
      <c r="W1016" s="2" t="str">
        <f t="shared" si="245"/>
        <v>X</v>
      </c>
      <c r="X1016" s="2" t="str">
        <f t="shared" si="248"/>
        <v>X</v>
      </c>
      <c r="Y1016" s="2" t="str">
        <f t="shared" si="246"/>
        <v>X</v>
      </c>
      <c r="Z1016" s="2" t="str">
        <f t="shared" si="247"/>
        <v>X</v>
      </c>
      <c r="AA1016" s="2" t="str">
        <f t="shared" si="250"/>
        <v>(31 downto 24)</v>
      </c>
      <c r="AB1016" s="2" t="str">
        <f t="shared" si="251"/>
        <v>(23 downto 16)</v>
      </c>
      <c r="AC1016" s="2" t="str">
        <f t="shared" si="252"/>
        <v>(15 downto 8)</v>
      </c>
      <c r="AD1016" s="2" t="str">
        <f t="shared" si="253"/>
        <v>(7 downto 0)</v>
      </c>
      <c r="AE1016" s="2" t="str">
        <f t="shared" si="254"/>
        <v>(31 downto 24)</v>
      </c>
      <c r="AF1016" s="2" t="str">
        <f t="shared" si="255"/>
        <v>(23 downto 16)</v>
      </c>
      <c r="AG1016" s="2" t="str">
        <f t="shared" si="256"/>
        <v>(15 downto 8)</v>
      </c>
      <c r="AH1016" s="2" t="str">
        <f t="shared" si="257"/>
        <v>(7 downto 0)</v>
      </c>
    </row>
    <row r="1017" spans="2:34" x14ac:dyDescent="0.25">
      <c r="B1017" s="2" t="s">
        <v>2866</v>
      </c>
      <c r="C1017" s="2" t="s">
        <v>141</v>
      </c>
      <c r="D1017" s="2" t="s">
        <v>0</v>
      </c>
      <c r="E1017" s="2" t="s">
        <v>130</v>
      </c>
      <c r="F1017" s="2" t="s">
        <v>2867</v>
      </c>
      <c r="G1017" s="2" t="s">
        <v>2868</v>
      </c>
      <c r="H1017" s="2" t="s">
        <v>142</v>
      </c>
      <c r="I1017" s="2" t="s">
        <v>41</v>
      </c>
      <c r="J1017" s="2">
        <v>32</v>
      </c>
      <c r="K1017" s="2" t="s">
        <v>132</v>
      </c>
      <c r="L1017" s="2" t="s">
        <v>40</v>
      </c>
      <c r="P1017" s="2" t="s">
        <v>48</v>
      </c>
      <c r="Q1017" s="2">
        <f>INDEX(Tables!$C$4:$C$28,MATCH($P1017,Tables!$B$4:$B$28,0))</f>
        <v>32</v>
      </c>
      <c r="R1017" s="2">
        <f>INDEX(Tables!$D$4:$D$28,MATCH($P1017,Tables!$B$4:$B$28,0))</f>
        <v>4</v>
      </c>
      <c r="S1017" s="2">
        <f>$S1016+$R1016+INDEX(Tables!$N$5:$Q$8,MATCH(MOD($S1016+$R1016,4),Tables!$M$5:$M$8,0),MATCH($R1017,Tables!$N$4:$Q$4,0))</f>
        <v>3884</v>
      </c>
      <c r="T1017" s="2" t="str">
        <f t="shared" si="243"/>
        <v>0F2C</v>
      </c>
      <c r="U1017" s="2">
        <f t="shared" si="249"/>
        <v>971</v>
      </c>
      <c r="V1017" s="2" t="str">
        <f t="shared" si="244"/>
        <v>3CB</v>
      </c>
      <c r="W1017" s="2" t="str">
        <f t="shared" si="245"/>
        <v>X</v>
      </c>
      <c r="X1017" s="2" t="str">
        <f t="shared" si="248"/>
        <v>X</v>
      </c>
      <c r="Y1017" s="2" t="str">
        <f t="shared" si="246"/>
        <v>X</v>
      </c>
      <c r="Z1017" s="2" t="str">
        <f t="shared" si="247"/>
        <v>X</v>
      </c>
      <c r="AA1017" s="2" t="str">
        <f t="shared" si="250"/>
        <v>(31 downto 24)</v>
      </c>
      <c r="AB1017" s="2" t="str">
        <f t="shared" si="251"/>
        <v>(23 downto 16)</v>
      </c>
      <c r="AC1017" s="2" t="str">
        <f t="shared" si="252"/>
        <v>(15 downto 8)</v>
      </c>
      <c r="AD1017" s="2" t="str">
        <f t="shared" si="253"/>
        <v>(7 downto 0)</v>
      </c>
      <c r="AE1017" s="2" t="str">
        <f t="shared" si="254"/>
        <v>(31 downto 24)</v>
      </c>
      <c r="AF1017" s="2" t="str">
        <f t="shared" si="255"/>
        <v>(23 downto 16)</v>
      </c>
      <c r="AG1017" s="2" t="str">
        <f t="shared" si="256"/>
        <v>(15 downto 8)</v>
      </c>
      <c r="AH1017" s="2" t="str">
        <f t="shared" si="257"/>
        <v>(7 downto 0)</v>
      </c>
    </row>
    <row r="1018" spans="2:34" x14ac:dyDescent="0.25">
      <c r="B1018" s="2" t="s">
        <v>2869</v>
      </c>
      <c r="C1018" s="2" t="s">
        <v>141</v>
      </c>
      <c r="D1018" s="2" t="s">
        <v>0</v>
      </c>
      <c r="E1018" s="2" t="s">
        <v>130</v>
      </c>
      <c r="F1018" s="2" t="s">
        <v>2870</v>
      </c>
      <c r="G1018" s="2" t="s">
        <v>2871</v>
      </c>
      <c r="H1018" s="2" t="s">
        <v>142</v>
      </c>
      <c r="I1018" s="2" t="s">
        <v>41</v>
      </c>
      <c r="J1018" s="2">
        <v>32</v>
      </c>
      <c r="K1018" s="2" t="s">
        <v>132</v>
      </c>
      <c r="L1018" s="2" t="s">
        <v>40</v>
      </c>
      <c r="P1018" s="2" t="s">
        <v>48</v>
      </c>
      <c r="Q1018" s="2">
        <f>INDEX(Tables!$C$4:$C$28,MATCH($P1018,Tables!$B$4:$B$28,0))</f>
        <v>32</v>
      </c>
      <c r="R1018" s="2">
        <f>INDEX(Tables!$D$4:$D$28,MATCH($P1018,Tables!$B$4:$B$28,0))</f>
        <v>4</v>
      </c>
      <c r="S1018" s="2">
        <f>$S1017+$R1017+INDEX(Tables!$N$5:$Q$8,MATCH(MOD($S1017+$R1017,4),Tables!$M$5:$M$8,0),MATCH($R1018,Tables!$N$4:$Q$4,0))</f>
        <v>3888</v>
      </c>
      <c r="T1018" s="2" t="str">
        <f t="shared" si="243"/>
        <v>0F30</v>
      </c>
      <c r="U1018" s="2">
        <f t="shared" si="249"/>
        <v>972</v>
      </c>
      <c r="V1018" s="2" t="str">
        <f t="shared" si="244"/>
        <v>3CC</v>
      </c>
      <c r="W1018" s="2" t="str">
        <f t="shared" si="245"/>
        <v>X</v>
      </c>
      <c r="X1018" s="2" t="str">
        <f t="shared" si="248"/>
        <v>X</v>
      </c>
      <c r="Y1018" s="2" t="str">
        <f t="shared" si="246"/>
        <v>X</v>
      </c>
      <c r="Z1018" s="2" t="str">
        <f t="shared" si="247"/>
        <v>X</v>
      </c>
      <c r="AA1018" s="2" t="str">
        <f t="shared" si="250"/>
        <v>(31 downto 24)</v>
      </c>
      <c r="AB1018" s="2" t="str">
        <f t="shared" si="251"/>
        <v>(23 downto 16)</v>
      </c>
      <c r="AC1018" s="2" t="str">
        <f t="shared" si="252"/>
        <v>(15 downto 8)</v>
      </c>
      <c r="AD1018" s="2" t="str">
        <f t="shared" si="253"/>
        <v>(7 downto 0)</v>
      </c>
      <c r="AE1018" s="2" t="str">
        <f t="shared" si="254"/>
        <v>(31 downto 24)</v>
      </c>
      <c r="AF1018" s="2" t="str">
        <f t="shared" si="255"/>
        <v>(23 downto 16)</v>
      </c>
      <c r="AG1018" s="2" t="str">
        <f t="shared" si="256"/>
        <v>(15 downto 8)</v>
      </c>
      <c r="AH1018" s="2" t="str">
        <f t="shared" si="257"/>
        <v>(7 downto 0)</v>
      </c>
    </row>
    <row r="1019" spans="2:34" x14ac:dyDescent="0.25">
      <c r="B1019" s="2" t="s">
        <v>2872</v>
      </c>
      <c r="C1019" s="2" t="s">
        <v>141</v>
      </c>
      <c r="D1019" s="2" t="s">
        <v>0</v>
      </c>
      <c r="E1019" s="2" t="s">
        <v>130</v>
      </c>
      <c r="F1019" s="2" t="s">
        <v>2873</v>
      </c>
      <c r="G1019" s="2" t="s">
        <v>2874</v>
      </c>
      <c r="H1019" s="2" t="s">
        <v>142</v>
      </c>
      <c r="I1019" s="2" t="s">
        <v>41</v>
      </c>
      <c r="J1019" s="2">
        <v>32</v>
      </c>
      <c r="K1019" s="2" t="s">
        <v>132</v>
      </c>
      <c r="L1019" s="2" t="s">
        <v>40</v>
      </c>
      <c r="P1019" s="2" t="s">
        <v>48</v>
      </c>
      <c r="Q1019" s="2">
        <f>INDEX(Tables!$C$4:$C$28,MATCH($P1019,Tables!$B$4:$B$28,0))</f>
        <v>32</v>
      </c>
      <c r="R1019" s="2">
        <f>INDEX(Tables!$D$4:$D$28,MATCH($P1019,Tables!$B$4:$B$28,0))</f>
        <v>4</v>
      </c>
      <c r="S1019" s="2">
        <f>$S1018+$R1018+INDEX(Tables!$N$5:$Q$8,MATCH(MOD($S1018+$R1018,4),Tables!$M$5:$M$8,0),MATCH($R1019,Tables!$N$4:$Q$4,0))</f>
        <v>3892</v>
      </c>
      <c r="T1019" s="2" t="str">
        <f t="shared" si="243"/>
        <v>0F34</v>
      </c>
      <c r="U1019" s="2">
        <f t="shared" si="249"/>
        <v>973</v>
      </c>
      <c r="V1019" s="2" t="str">
        <f t="shared" si="244"/>
        <v>3CD</v>
      </c>
      <c r="W1019" s="2" t="str">
        <f t="shared" si="245"/>
        <v>X</v>
      </c>
      <c r="X1019" s="2" t="str">
        <f t="shared" si="248"/>
        <v>X</v>
      </c>
      <c r="Y1019" s="2" t="str">
        <f t="shared" si="246"/>
        <v>X</v>
      </c>
      <c r="Z1019" s="2" t="str">
        <f t="shared" si="247"/>
        <v>X</v>
      </c>
      <c r="AA1019" s="2" t="str">
        <f t="shared" si="250"/>
        <v>(31 downto 24)</v>
      </c>
      <c r="AB1019" s="2" t="str">
        <f t="shared" si="251"/>
        <v>(23 downto 16)</v>
      </c>
      <c r="AC1019" s="2" t="str">
        <f t="shared" si="252"/>
        <v>(15 downto 8)</v>
      </c>
      <c r="AD1019" s="2" t="str">
        <f t="shared" si="253"/>
        <v>(7 downto 0)</v>
      </c>
      <c r="AE1019" s="2" t="str">
        <f t="shared" si="254"/>
        <v>(31 downto 24)</v>
      </c>
      <c r="AF1019" s="2" t="str">
        <f t="shared" si="255"/>
        <v>(23 downto 16)</v>
      </c>
      <c r="AG1019" s="2" t="str">
        <f t="shared" si="256"/>
        <v>(15 downto 8)</v>
      </c>
      <c r="AH1019" s="2" t="str">
        <f t="shared" si="257"/>
        <v>(7 downto 0)</v>
      </c>
    </row>
    <row r="1020" spans="2:34" x14ac:dyDescent="0.25">
      <c r="B1020" s="2" t="s">
        <v>2875</v>
      </c>
      <c r="C1020" s="2" t="s">
        <v>141</v>
      </c>
      <c r="D1020" s="2" t="s">
        <v>0</v>
      </c>
      <c r="E1020" s="2" t="s">
        <v>130</v>
      </c>
      <c r="F1020" s="2" t="s">
        <v>2876</v>
      </c>
      <c r="G1020" s="2" t="s">
        <v>2877</v>
      </c>
      <c r="H1020" s="2" t="s">
        <v>142</v>
      </c>
      <c r="I1020" s="2" t="s">
        <v>41</v>
      </c>
      <c r="J1020" s="2">
        <v>32</v>
      </c>
      <c r="K1020" s="2" t="s">
        <v>132</v>
      </c>
      <c r="L1020" s="2" t="s">
        <v>40</v>
      </c>
      <c r="P1020" s="2" t="s">
        <v>48</v>
      </c>
      <c r="Q1020" s="2">
        <f>INDEX(Tables!$C$4:$C$28,MATCH($P1020,Tables!$B$4:$B$28,0))</f>
        <v>32</v>
      </c>
      <c r="R1020" s="2">
        <f>INDEX(Tables!$D$4:$D$28,MATCH($P1020,Tables!$B$4:$B$28,0))</f>
        <v>4</v>
      </c>
      <c r="S1020" s="2">
        <f>$S1019+$R1019+INDEX(Tables!$N$5:$Q$8,MATCH(MOD($S1019+$R1019,4),Tables!$M$5:$M$8,0),MATCH($R1020,Tables!$N$4:$Q$4,0))</f>
        <v>3896</v>
      </c>
      <c r="T1020" s="2" t="str">
        <f t="shared" si="243"/>
        <v>0F38</v>
      </c>
      <c r="U1020" s="2">
        <f t="shared" si="249"/>
        <v>974</v>
      </c>
      <c r="V1020" s="2" t="str">
        <f t="shared" si="244"/>
        <v>3CE</v>
      </c>
      <c r="W1020" s="2" t="str">
        <f t="shared" si="245"/>
        <v>X</v>
      </c>
      <c r="X1020" s="2" t="str">
        <f t="shared" si="248"/>
        <v>X</v>
      </c>
      <c r="Y1020" s="2" t="str">
        <f t="shared" si="246"/>
        <v>X</v>
      </c>
      <c r="Z1020" s="2" t="str">
        <f t="shared" si="247"/>
        <v>X</v>
      </c>
      <c r="AA1020" s="2" t="str">
        <f t="shared" si="250"/>
        <v>(31 downto 24)</v>
      </c>
      <c r="AB1020" s="2" t="str">
        <f t="shared" si="251"/>
        <v>(23 downto 16)</v>
      </c>
      <c r="AC1020" s="2" t="str">
        <f t="shared" si="252"/>
        <v>(15 downto 8)</v>
      </c>
      <c r="AD1020" s="2" t="str">
        <f t="shared" si="253"/>
        <v>(7 downto 0)</v>
      </c>
      <c r="AE1020" s="2" t="str">
        <f t="shared" si="254"/>
        <v>(31 downto 24)</v>
      </c>
      <c r="AF1020" s="2" t="str">
        <f t="shared" si="255"/>
        <v>(23 downto 16)</v>
      </c>
      <c r="AG1020" s="2" t="str">
        <f t="shared" si="256"/>
        <v>(15 downto 8)</v>
      </c>
      <c r="AH1020" s="2" t="str">
        <f t="shared" si="257"/>
        <v>(7 downto 0)</v>
      </c>
    </row>
    <row r="1021" spans="2:34" x14ac:dyDescent="0.25">
      <c r="B1021" s="2" t="s">
        <v>2878</v>
      </c>
      <c r="C1021" s="2" t="s">
        <v>141</v>
      </c>
      <c r="D1021" s="2" t="s">
        <v>0</v>
      </c>
      <c r="E1021" s="2" t="s">
        <v>130</v>
      </c>
      <c r="F1021" s="2" t="s">
        <v>2879</v>
      </c>
      <c r="G1021" s="2" t="s">
        <v>2880</v>
      </c>
      <c r="H1021" s="2" t="s">
        <v>142</v>
      </c>
      <c r="I1021" s="2" t="s">
        <v>41</v>
      </c>
      <c r="J1021" s="2">
        <v>32</v>
      </c>
      <c r="K1021" s="2" t="s">
        <v>132</v>
      </c>
      <c r="L1021" s="2" t="s">
        <v>40</v>
      </c>
      <c r="P1021" s="2" t="s">
        <v>48</v>
      </c>
      <c r="Q1021" s="2">
        <f>INDEX(Tables!$C$4:$C$28,MATCH($P1021,Tables!$B$4:$B$28,0))</f>
        <v>32</v>
      </c>
      <c r="R1021" s="2">
        <f>INDEX(Tables!$D$4:$D$28,MATCH($P1021,Tables!$B$4:$B$28,0))</f>
        <v>4</v>
      </c>
      <c r="S1021" s="2">
        <f>$S1020+$R1020+INDEX(Tables!$N$5:$Q$8,MATCH(MOD($S1020+$R1020,4),Tables!$M$5:$M$8,0),MATCH($R1021,Tables!$N$4:$Q$4,0))</f>
        <v>3900</v>
      </c>
      <c r="T1021" s="2" t="str">
        <f t="shared" si="243"/>
        <v>0F3C</v>
      </c>
      <c r="U1021" s="2">
        <f t="shared" si="249"/>
        <v>975</v>
      </c>
      <c r="V1021" s="2" t="str">
        <f t="shared" si="244"/>
        <v>3CF</v>
      </c>
      <c r="W1021" s="2" t="str">
        <f t="shared" si="245"/>
        <v>X</v>
      </c>
      <c r="X1021" s="2" t="str">
        <f t="shared" si="248"/>
        <v>X</v>
      </c>
      <c r="Y1021" s="2" t="str">
        <f t="shared" si="246"/>
        <v>X</v>
      </c>
      <c r="Z1021" s="2" t="str">
        <f t="shared" si="247"/>
        <v>X</v>
      </c>
      <c r="AA1021" s="2" t="str">
        <f t="shared" si="250"/>
        <v>(31 downto 24)</v>
      </c>
      <c r="AB1021" s="2" t="str">
        <f t="shared" si="251"/>
        <v>(23 downto 16)</v>
      </c>
      <c r="AC1021" s="2" t="str">
        <f t="shared" si="252"/>
        <v>(15 downto 8)</v>
      </c>
      <c r="AD1021" s="2" t="str">
        <f t="shared" si="253"/>
        <v>(7 downto 0)</v>
      </c>
      <c r="AE1021" s="2" t="str">
        <f t="shared" si="254"/>
        <v>(31 downto 24)</v>
      </c>
      <c r="AF1021" s="2" t="str">
        <f t="shared" si="255"/>
        <v>(23 downto 16)</v>
      </c>
      <c r="AG1021" s="2" t="str">
        <f t="shared" si="256"/>
        <v>(15 downto 8)</v>
      </c>
      <c r="AH1021" s="2" t="str">
        <f t="shared" si="257"/>
        <v>(7 downto 0)</v>
      </c>
    </row>
    <row r="1022" spans="2:34" x14ac:dyDescent="0.25">
      <c r="B1022" s="2" t="s">
        <v>2881</v>
      </c>
      <c r="C1022" s="2" t="s">
        <v>141</v>
      </c>
      <c r="D1022" s="2" t="s">
        <v>0</v>
      </c>
      <c r="E1022" s="2" t="s">
        <v>130</v>
      </c>
      <c r="F1022" s="2" t="s">
        <v>2882</v>
      </c>
      <c r="G1022" s="2" t="s">
        <v>2883</v>
      </c>
      <c r="H1022" s="2" t="s">
        <v>142</v>
      </c>
      <c r="I1022" s="2" t="s">
        <v>41</v>
      </c>
      <c r="J1022" s="2">
        <v>32</v>
      </c>
      <c r="K1022" s="2" t="s">
        <v>132</v>
      </c>
      <c r="L1022" s="2" t="s">
        <v>40</v>
      </c>
      <c r="P1022" s="2" t="s">
        <v>48</v>
      </c>
      <c r="Q1022" s="2">
        <f>INDEX(Tables!$C$4:$C$28,MATCH($P1022,Tables!$B$4:$B$28,0))</f>
        <v>32</v>
      </c>
      <c r="R1022" s="2">
        <f>INDEX(Tables!$D$4:$D$28,MATCH($P1022,Tables!$B$4:$B$28,0))</f>
        <v>4</v>
      </c>
      <c r="S1022" s="2">
        <f>$S1021+$R1021+INDEX(Tables!$N$5:$Q$8,MATCH(MOD($S1021+$R1021,4),Tables!$M$5:$M$8,0),MATCH($R1022,Tables!$N$4:$Q$4,0))</f>
        <v>3904</v>
      </c>
      <c r="T1022" s="2" t="str">
        <f t="shared" si="243"/>
        <v>0F40</v>
      </c>
      <c r="U1022" s="2">
        <f t="shared" si="249"/>
        <v>976</v>
      </c>
      <c r="V1022" s="2" t="str">
        <f t="shared" si="244"/>
        <v>3D0</v>
      </c>
      <c r="W1022" s="2" t="str">
        <f t="shared" si="245"/>
        <v>X</v>
      </c>
      <c r="X1022" s="2" t="str">
        <f t="shared" si="248"/>
        <v>X</v>
      </c>
      <c r="Y1022" s="2" t="str">
        <f t="shared" si="246"/>
        <v>X</v>
      </c>
      <c r="Z1022" s="2" t="str">
        <f t="shared" si="247"/>
        <v>X</v>
      </c>
      <c r="AA1022" s="2" t="str">
        <f t="shared" si="250"/>
        <v>(31 downto 24)</v>
      </c>
      <c r="AB1022" s="2" t="str">
        <f t="shared" si="251"/>
        <v>(23 downto 16)</v>
      </c>
      <c r="AC1022" s="2" t="str">
        <f t="shared" si="252"/>
        <v>(15 downto 8)</v>
      </c>
      <c r="AD1022" s="2" t="str">
        <f t="shared" si="253"/>
        <v>(7 downto 0)</v>
      </c>
      <c r="AE1022" s="2" t="str">
        <f t="shared" si="254"/>
        <v>(31 downto 24)</v>
      </c>
      <c r="AF1022" s="2" t="str">
        <f t="shared" si="255"/>
        <v>(23 downto 16)</v>
      </c>
      <c r="AG1022" s="2" t="str">
        <f t="shared" si="256"/>
        <v>(15 downto 8)</v>
      </c>
      <c r="AH1022" s="2" t="str">
        <f t="shared" si="257"/>
        <v>(7 downto 0)</v>
      </c>
    </row>
    <row r="1023" spans="2:34" x14ac:dyDescent="0.25">
      <c r="B1023" s="2" t="s">
        <v>2884</v>
      </c>
      <c r="C1023" s="2" t="s">
        <v>141</v>
      </c>
      <c r="D1023" s="2" t="s">
        <v>0</v>
      </c>
      <c r="E1023" s="2" t="s">
        <v>130</v>
      </c>
      <c r="F1023" s="2" t="s">
        <v>2885</v>
      </c>
      <c r="G1023" s="2" t="s">
        <v>2886</v>
      </c>
      <c r="H1023" s="2" t="s">
        <v>142</v>
      </c>
      <c r="I1023" s="2" t="s">
        <v>41</v>
      </c>
      <c r="J1023" s="2">
        <v>32</v>
      </c>
      <c r="K1023" s="2" t="s">
        <v>132</v>
      </c>
      <c r="L1023" s="2" t="s">
        <v>40</v>
      </c>
      <c r="P1023" s="2" t="s">
        <v>48</v>
      </c>
      <c r="Q1023" s="2">
        <f>INDEX(Tables!$C$4:$C$28,MATCH($P1023,Tables!$B$4:$B$28,0))</f>
        <v>32</v>
      </c>
      <c r="R1023" s="2">
        <f>INDEX(Tables!$D$4:$D$28,MATCH($P1023,Tables!$B$4:$B$28,0))</f>
        <v>4</v>
      </c>
      <c r="S1023" s="2">
        <f>$S1022+$R1022+INDEX(Tables!$N$5:$Q$8,MATCH(MOD($S1022+$R1022,4),Tables!$M$5:$M$8,0),MATCH($R1023,Tables!$N$4:$Q$4,0))</f>
        <v>3908</v>
      </c>
      <c r="T1023" s="2" t="str">
        <f t="shared" si="243"/>
        <v>0F44</v>
      </c>
      <c r="U1023" s="2">
        <f t="shared" si="249"/>
        <v>977</v>
      </c>
      <c r="V1023" s="2" t="str">
        <f t="shared" si="244"/>
        <v>3D1</v>
      </c>
      <c r="W1023" s="2" t="str">
        <f t="shared" si="245"/>
        <v>X</v>
      </c>
      <c r="X1023" s="2" t="str">
        <f t="shared" si="248"/>
        <v>X</v>
      </c>
      <c r="Y1023" s="2" t="str">
        <f t="shared" si="246"/>
        <v>X</v>
      </c>
      <c r="Z1023" s="2" t="str">
        <f t="shared" si="247"/>
        <v>X</v>
      </c>
      <c r="AA1023" s="2" t="str">
        <f t="shared" si="250"/>
        <v>(31 downto 24)</v>
      </c>
      <c r="AB1023" s="2" t="str">
        <f t="shared" si="251"/>
        <v>(23 downto 16)</v>
      </c>
      <c r="AC1023" s="2" t="str">
        <f t="shared" si="252"/>
        <v>(15 downto 8)</v>
      </c>
      <c r="AD1023" s="2" t="str">
        <f t="shared" si="253"/>
        <v>(7 downto 0)</v>
      </c>
      <c r="AE1023" s="2" t="str">
        <f t="shared" si="254"/>
        <v>(31 downto 24)</v>
      </c>
      <c r="AF1023" s="2" t="str">
        <f t="shared" si="255"/>
        <v>(23 downto 16)</v>
      </c>
      <c r="AG1023" s="2" t="str">
        <f t="shared" si="256"/>
        <v>(15 downto 8)</v>
      </c>
      <c r="AH1023" s="2" t="str">
        <f t="shared" si="257"/>
        <v>(7 downto 0)</v>
      </c>
    </row>
    <row r="1024" spans="2:34" x14ac:dyDescent="0.25">
      <c r="B1024" s="2" t="s">
        <v>2887</v>
      </c>
      <c r="C1024" s="2" t="s">
        <v>141</v>
      </c>
      <c r="D1024" s="2" t="s">
        <v>0</v>
      </c>
      <c r="E1024" s="2" t="s">
        <v>130</v>
      </c>
      <c r="F1024" s="2" t="s">
        <v>2888</v>
      </c>
      <c r="G1024" s="2" t="s">
        <v>2889</v>
      </c>
      <c r="H1024" s="2" t="s">
        <v>142</v>
      </c>
      <c r="I1024" s="2" t="s">
        <v>41</v>
      </c>
      <c r="J1024" s="2">
        <v>32</v>
      </c>
      <c r="K1024" s="2" t="s">
        <v>132</v>
      </c>
      <c r="L1024" s="2" t="s">
        <v>40</v>
      </c>
      <c r="P1024" s="2" t="s">
        <v>48</v>
      </c>
      <c r="Q1024" s="2">
        <f>INDEX(Tables!$C$4:$C$28,MATCH($P1024,Tables!$B$4:$B$28,0))</f>
        <v>32</v>
      </c>
      <c r="R1024" s="2">
        <f>INDEX(Tables!$D$4:$D$28,MATCH($P1024,Tables!$B$4:$B$28,0))</f>
        <v>4</v>
      </c>
      <c r="S1024" s="2">
        <f>$S1023+$R1023+INDEX(Tables!$N$5:$Q$8,MATCH(MOD($S1023+$R1023,4),Tables!$M$5:$M$8,0),MATCH($R1024,Tables!$N$4:$Q$4,0))</f>
        <v>3912</v>
      </c>
      <c r="T1024" s="2" t="str">
        <f t="shared" si="243"/>
        <v>0F48</v>
      </c>
      <c r="U1024" s="2">
        <f t="shared" si="249"/>
        <v>978</v>
      </c>
      <c r="V1024" s="2" t="str">
        <f t="shared" si="244"/>
        <v>3D2</v>
      </c>
      <c r="W1024" s="2" t="str">
        <f t="shared" si="245"/>
        <v>X</v>
      </c>
      <c r="X1024" s="2" t="str">
        <f t="shared" si="248"/>
        <v>X</v>
      </c>
      <c r="Y1024" s="2" t="str">
        <f t="shared" si="246"/>
        <v>X</v>
      </c>
      <c r="Z1024" s="2" t="str">
        <f t="shared" si="247"/>
        <v>X</v>
      </c>
      <c r="AA1024" s="2" t="str">
        <f t="shared" si="250"/>
        <v>(31 downto 24)</v>
      </c>
      <c r="AB1024" s="2" t="str">
        <f t="shared" si="251"/>
        <v>(23 downto 16)</v>
      </c>
      <c r="AC1024" s="2" t="str">
        <f t="shared" si="252"/>
        <v>(15 downto 8)</v>
      </c>
      <c r="AD1024" s="2" t="str">
        <f t="shared" si="253"/>
        <v>(7 downto 0)</v>
      </c>
      <c r="AE1024" s="2" t="str">
        <f t="shared" si="254"/>
        <v>(31 downto 24)</v>
      </c>
      <c r="AF1024" s="2" t="str">
        <f t="shared" si="255"/>
        <v>(23 downto 16)</v>
      </c>
      <c r="AG1024" s="2" t="str">
        <f t="shared" si="256"/>
        <v>(15 downto 8)</v>
      </c>
      <c r="AH1024" s="2" t="str">
        <f t="shared" si="257"/>
        <v>(7 downto 0)</v>
      </c>
    </row>
    <row r="1025" spans="2:34" x14ac:dyDescent="0.25">
      <c r="B1025" s="2" t="s">
        <v>2890</v>
      </c>
      <c r="C1025" s="2" t="s">
        <v>141</v>
      </c>
      <c r="D1025" s="2" t="s">
        <v>0</v>
      </c>
      <c r="E1025" s="2" t="s">
        <v>130</v>
      </c>
      <c r="F1025" s="2" t="s">
        <v>2891</v>
      </c>
      <c r="G1025" s="2" t="s">
        <v>2892</v>
      </c>
      <c r="H1025" s="2" t="s">
        <v>142</v>
      </c>
      <c r="I1025" s="2" t="s">
        <v>41</v>
      </c>
      <c r="J1025" s="2">
        <v>32</v>
      </c>
      <c r="K1025" s="2" t="s">
        <v>132</v>
      </c>
      <c r="L1025" s="2" t="s">
        <v>40</v>
      </c>
      <c r="P1025" s="2" t="s">
        <v>48</v>
      </c>
      <c r="Q1025" s="2">
        <f>INDEX(Tables!$C$4:$C$28,MATCH($P1025,Tables!$B$4:$B$28,0))</f>
        <v>32</v>
      </c>
      <c r="R1025" s="2">
        <f>INDEX(Tables!$D$4:$D$28,MATCH($P1025,Tables!$B$4:$B$28,0))</f>
        <v>4</v>
      </c>
      <c r="S1025" s="2">
        <f>$S1024+$R1024+INDEX(Tables!$N$5:$Q$8,MATCH(MOD($S1024+$R1024,4),Tables!$M$5:$M$8,0),MATCH($R1025,Tables!$N$4:$Q$4,0))</f>
        <v>3916</v>
      </c>
      <c r="T1025" s="2" t="str">
        <f t="shared" si="243"/>
        <v>0F4C</v>
      </c>
      <c r="U1025" s="2">
        <f t="shared" si="249"/>
        <v>979</v>
      </c>
      <c r="V1025" s="2" t="str">
        <f t="shared" si="244"/>
        <v>3D3</v>
      </c>
      <c r="W1025" s="2" t="str">
        <f t="shared" si="245"/>
        <v>X</v>
      </c>
      <c r="X1025" s="2" t="str">
        <f t="shared" si="248"/>
        <v>X</v>
      </c>
      <c r="Y1025" s="2" t="str">
        <f t="shared" si="246"/>
        <v>X</v>
      </c>
      <c r="Z1025" s="2" t="str">
        <f t="shared" si="247"/>
        <v>X</v>
      </c>
      <c r="AA1025" s="2" t="str">
        <f t="shared" si="250"/>
        <v>(31 downto 24)</v>
      </c>
      <c r="AB1025" s="2" t="str">
        <f t="shared" si="251"/>
        <v>(23 downto 16)</v>
      </c>
      <c r="AC1025" s="2" t="str">
        <f t="shared" si="252"/>
        <v>(15 downto 8)</v>
      </c>
      <c r="AD1025" s="2" t="str">
        <f t="shared" si="253"/>
        <v>(7 downto 0)</v>
      </c>
      <c r="AE1025" s="2" t="str">
        <f t="shared" si="254"/>
        <v>(31 downto 24)</v>
      </c>
      <c r="AF1025" s="2" t="str">
        <f t="shared" si="255"/>
        <v>(23 downto 16)</v>
      </c>
      <c r="AG1025" s="2" t="str">
        <f t="shared" si="256"/>
        <v>(15 downto 8)</v>
      </c>
      <c r="AH1025" s="2" t="str">
        <f t="shared" si="257"/>
        <v>(7 downto 0)</v>
      </c>
    </row>
    <row r="1026" spans="2:34" x14ac:dyDescent="0.25">
      <c r="B1026" s="2" t="s">
        <v>2893</v>
      </c>
      <c r="C1026" s="2" t="s">
        <v>141</v>
      </c>
      <c r="D1026" s="2" t="s">
        <v>0</v>
      </c>
      <c r="E1026" s="2" t="s">
        <v>130</v>
      </c>
      <c r="F1026" s="2" t="s">
        <v>2894</v>
      </c>
      <c r="G1026" s="2" t="s">
        <v>2895</v>
      </c>
      <c r="H1026" s="2" t="s">
        <v>142</v>
      </c>
      <c r="I1026" s="2" t="s">
        <v>41</v>
      </c>
      <c r="J1026" s="2">
        <v>32</v>
      </c>
      <c r="K1026" s="2" t="s">
        <v>132</v>
      </c>
      <c r="L1026" s="2" t="s">
        <v>40</v>
      </c>
      <c r="P1026" s="2" t="s">
        <v>48</v>
      </c>
      <c r="Q1026" s="2">
        <f>INDEX(Tables!$C$4:$C$28,MATCH($P1026,Tables!$B$4:$B$28,0))</f>
        <v>32</v>
      </c>
      <c r="R1026" s="2">
        <f>INDEX(Tables!$D$4:$D$28,MATCH($P1026,Tables!$B$4:$B$28,0))</f>
        <v>4</v>
      </c>
      <c r="S1026" s="2">
        <f>$S1025+$R1025+INDEX(Tables!$N$5:$Q$8,MATCH(MOD($S1025+$R1025,4),Tables!$M$5:$M$8,0),MATCH($R1026,Tables!$N$4:$Q$4,0))</f>
        <v>3920</v>
      </c>
      <c r="T1026" s="2" t="str">
        <f t="shared" si="243"/>
        <v>0F50</v>
      </c>
      <c r="U1026" s="2">
        <f t="shared" si="249"/>
        <v>980</v>
      </c>
      <c r="V1026" s="2" t="str">
        <f t="shared" si="244"/>
        <v>3D4</v>
      </c>
      <c r="W1026" s="2" t="str">
        <f t="shared" si="245"/>
        <v>X</v>
      </c>
      <c r="X1026" s="2" t="str">
        <f t="shared" si="248"/>
        <v>X</v>
      </c>
      <c r="Y1026" s="2" t="str">
        <f t="shared" si="246"/>
        <v>X</v>
      </c>
      <c r="Z1026" s="2" t="str">
        <f t="shared" si="247"/>
        <v>X</v>
      </c>
      <c r="AA1026" s="2" t="str">
        <f t="shared" si="250"/>
        <v>(31 downto 24)</v>
      </c>
      <c r="AB1026" s="2" t="str">
        <f t="shared" si="251"/>
        <v>(23 downto 16)</v>
      </c>
      <c r="AC1026" s="2" t="str">
        <f t="shared" si="252"/>
        <v>(15 downto 8)</v>
      </c>
      <c r="AD1026" s="2" t="str">
        <f t="shared" si="253"/>
        <v>(7 downto 0)</v>
      </c>
      <c r="AE1026" s="2" t="str">
        <f t="shared" si="254"/>
        <v>(31 downto 24)</v>
      </c>
      <c r="AF1026" s="2" t="str">
        <f t="shared" si="255"/>
        <v>(23 downto 16)</v>
      </c>
      <c r="AG1026" s="2" t="str">
        <f t="shared" si="256"/>
        <v>(15 downto 8)</v>
      </c>
      <c r="AH1026" s="2" t="str">
        <f t="shared" si="257"/>
        <v>(7 downto 0)</v>
      </c>
    </row>
    <row r="1027" spans="2:34" x14ac:dyDescent="0.25">
      <c r="B1027" s="2" t="s">
        <v>2896</v>
      </c>
      <c r="C1027" s="2" t="s">
        <v>141</v>
      </c>
      <c r="D1027" s="2" t="s">
        <v>0</v>
      </c>
      <c r="E1027" s="2" t="s">
        <v>130</v>
      </c>
      <c r="F1027" s="2" t="s">
        <v>2897</v>
      </c>
      <c r="G1027" s="2" t="s">
        <v>2898</v>
      </c>
      <c r="H1027" s="2" t="s">
        <v>142</v>
      </c>
      <c r="I1027" s="2" t="s">
        <v>41</v>
      </c>
      <c r="J1027" s="2">
        <v>32</v>
      </c>
      <c r="K1027" s="2" t="s">
        <v>132</v>
      </c>
      <c r="L1027" s="2" t="s">
        <v>40</v>
      </c>
      <c r="P1027" s="2" t="s">
        <v>48</v>
      </c>
      <c r="Q1027" s="2">
        <f>INDEX(Tables!$C$4:$C$28,MATCH($P1027,Tables!$B$4:$B$28,0))</f>
        <v>32</v>
      </c>
      <c r="R1027" s="2">
        <f>INDEX(Tables!$D$4:$D$28,MATCH($P1027,Tables!$B$4:$B$28,0))</f>
        <v>4</v>
      </c>
      <c r="S1027" s="2">
        <f>$S1026+$R1026+INDEX(Tables!$N$5:$Q$8,MATCH(MOD($S1026+$R1026,4),Tables!$M$5:$M$8,0),MATCH($R1027,Tables!$N$4:$Q$4,0))</f>
        <v>3924</v>
      </c>
      <c r="T1027" s="2" t="str">
        <f t="shared" si="243"/>
        <v>0F54</v>
      </c>
      <c r="U1027" s="2">
        <f t="shared" si="249"/>
        <v>981</v>
      </c>
      <c r="V1027" s="2" t="str">
        <f t="shared" si="244"/>
        <v>3D5</v>
      </c>
      <c r="W1027" s="2" t="str">
        <f t="shared" si="245"/>
        <v>X</v>
      </c>
      <c r="X1027" s="2" t="str">
        <f t="shared" si="248"/>
        <v>X</v>
      </c>
      <c r="Y1027" s="2" t="str">
        <f t="shared" si="246"/>
        <v>X</v>
      </c>
      <c r="Z1027" s="2" t="str">
        <f t="shared" si="247"/>
        <v>X</v>
      </c>
      <c r="AA1027" s="2" t="str">
        <f t="shared" si="250"/>
        <v>(31 downto 24)</v>
      </c>
      <c r="AB1027" s="2" t="str">
        <f t="shared" si="251"/>
        <v>(23 downto 16)</v>
      </c>
      <c r="AC1027" s="2" t="str">
        <f t="shared" si="252"/>
        <v>(15 downto 8)</v>
      </c>
      <c r="AD1027" s="2" t="str">
        <f t="shared" si="253"/>
        <v>(7 downto 0)</v>
      </c>
      <c r="AE1027" s="2" t="str">
        <f t="shared" si="254"/>
        <v>(31 downto 24)</v>
      </c>
      <c r="AF1027" s="2" t="str">
        <f t="shared" si="255"/>
        <v>(23 downto 16)</v>
      </c>
      <c r="AG1027" s="2" t="str">
        <f t="shared" si="256"/>
        <v>(15 downto 8)</v>
      </c>
      <c r="AH1027" s="2" t="str">
        <f t="shared" si="257"/>
        <v>(7 downto 0)</v>
      </c>
    </row>
    <row r="1028" spans="2:34" x14ac:dyDescent="0.25">
      <c r="B1028" s="2" t="s">
        <v>2899</v>
      </c>
      <c r="C1028" s="2" t="s">
        <v>141</v>
      </c>
      <c r="D1028" s="2" t="s">
        <v>0</v>
      </c>
      <c r="E1028" s="2" t="s">
        <v>130</v>
      </c>
      <c r="F1028" s="2" t="s">
        <v>2900</v>
      </c>
      <c r="G1028" s="2" t="s">
        <v>2901</v>
      </c>
      <c r="H1028" s="2" t="s">
        <v>142</v>
      </c>
      <c r="I1028" s="2" t="s">
        <v>41</v>
      </c>
      <c r="J1028" s="2">
        <v>32</v>
      </c>
      <c r="K1028" s="2" t="s">
        <v>132</v>
      </c>
      <c r="L1028" s="2" t="s">
        <v>40</v>
      </c>
      <c r="P1028" s="2" t="s">
        <v>48</v>
      </c>
      <c r="Q1028" s="2">
        <f>INDEX(Tables!$C$4:$C$28,MATCH($P1028,Tables!$B$4:$B$28,0))</f>
        <v>32</v>
      </c>
      <c r="R1028" s="2">
        <f>INDEX(Tables!$D$4:$D$28,MATCH($P1028,Tables!$B$4:$B$28,0))</f>
        <v>4</v>
      </c>
      <c r="S1028" s="2">
        <f>$S1027+$R1027+INDEX(Tables!$N$5:$Q$8,MATCH(MOD($S1027+$R1027,4),Tables!$M$5:$M$8,0),MATCH($R1028,Tables!$N$4:$Q$4,0))</f>
        <v>3928</v>
      </c>
      <c r="T1028" s="2" t="str">
        <f t="shared" si="243"/>
        <v>0F58</v>
      </c>
      <c r="U1028" s="2">
        <f t="shared" si="249"/>
        <v>982</v>
      </c>
      <c r="V1028" s="2" t="str">
        <f t="shared" si="244"/>
        <v>3D6</v>
      </c>
      <c r="W1028" s="2" t="str">
        <f t="shared" si="245"/>
        <v>X</v>
      </c>
      <c r="X1028" s="2" t="str">
        <f t="shared" si="248"/>
        <v>X</v>
      </c>
      <c r="Y1028" s="2" t="str">
        <f t="shared" si="246"/>
        <v>X</v>
      </c>
      <c r="Z1028" s="2" t="str">
        <f t="shared" si="247"/>
        <v>X</v>
      </c>
      <c r="AA1028" s="2" t="str">
        <f t="shared" si="250"/>
        <v>(31 downto 24)</v>
      </c>
      <c r="AB1028" s="2" t="str">
        <f t="shared" si="251"/>
        <v>(23 downto 16)</v>
      </c>
      <c r="AC1028" s="2" t="str">
        <f t="shared" si="252"/>
        <v>(15 downto 8)</v>
      </c>
      <c r="AD1028" s="2" t="str">
        <f t="shared" si="253"/>
        <v>(7 downto 0)</v>
      </c>
      <c r="AE1028" s="2" t="str">
        <f t="shared" si="254"/>
        <v>(31 downto 24)</v>
      </c>
      <c r="AF1028" s="2" t="str">
        <f t="shared" si="255"/>
        <v>(23 downto 16)</v>
      </c>
      <c r="AG1028" s="2" t="str">
        <f t="shared" si="256"/>
        <v>(15 downto 8)</v>
      </c>
      <c r="AH1028" s="2" t="str">
        <f t="shared" si="257"/>
        <v>(7 downto 0)</v>
      </c>
    </row>
    <row r="1029" spans="2:34" x14ac:dyDescent="0.25">
      <c r="B1029" s="2" t="s">
        <v>2902</v>
      </c>
      <c r="C1029" s="2" t="s">
        <v>141</v>
      </c>
      <c r="D1029" s="2" t="s">
        <v>0</v>
      </c>
      <c r="E1029" s="2" t="s">
        <v>130</v>
      </c>
      <c r="F1029" s="2" t="s">
        <v>2903</v>
      </c>
      <c r="G1029" s="2" t="s">
        <v>2904</v>
      </c>
      <c r="H1029" s="2" t="s">
        <v>142</v>
      </c>
      <c r="I1029" s="2" t="s">
        <v>41</v>
      </c>
      <c r="J1029" s="2">
        <v>32</v>
      </c>
      <c r="K1029" s="2" t="s">
        <v>132</v>
      </c>
      <c r="L1029" s="2" t="s">
        <v>40</v>
      </c>
      <c r="P1029" s="2" t="s">
        <v>48</v>
      </c>
      <c r="Q1029" s="2">
        <f>INDEX(Tables!$C$4:$C$28,MATCH($P1029,Tables!$B$4:$B$28,0))</f>
        <v>32</v>
      </c>
      <c r="R1029" s="2">
        <f>INDEX(Tables!$D$4:$D$28,MATCH($P1029,Tables!$B$4:$B$28,0))</f>
        <v>4</v>
      </c>
      <c r="S1029" s="2">
        <f>$S1028+$R1028+INDEX(Tables!$N$5:$Q$8,MATCH(MOD($S1028+$R1028,4),Tables!$M$5:$M$8,0),MATCH($R1029,Tables!$N$4:$Q$4,0))</f>
        <v>3932</v>
      </c>
      <c r="T1029" s="2" t="str">
        <f t="shared" ref="T1029:T1092" si="258">DEC2HEX($S1029,4)</f>
        <v>0F5C</v>
      </c>
      <c r="U1029" s="2">
        <f t="shared" si="249"/>
        <v>983</v>
      </c>
      <c r="V1029" s="2" t="str">
        <f t="shared" ref="V1029:V1092" si="259">DEC2HEX($U1029,3)</f>
        <v>3D7</v>
      </c>
      <c r="W1029" s="2" t="str">
        <f t="shared" ref="W1029:W1092" si="260">IF(MOD($S1029,4)=3,"X",IF(AND(MOD($S1029,4)=2,$J1029&gt;8),"X",IF(AND(MOD($S1029,4)=1,$J1029&gt;16),"X",IF(AND(MOD($S1029,4)=0,$J1029&gt;24),"X",""))))</f>
        <v>X</v>
      </c>
      <c r="X1029" s="2" t="str">
        <f t="shared" si="248"/>
        <v>X</v>
      </c>
      <c r="Y1029" s="2" t="str">
        <f t="shared" ref="Y1029:Y1092" si="261">IF(MOD($S1029,4)=1,"X",IF(AND(MOD($S1029,4)=0,$J1029&gt;8),"X",""))</f>
        <v>X</v>
      </c>
      <c r="Z1029" s="2" t="str">
        <f t="shared" ref="Z1029:Z1092" si="262">IF(MOD($S1029,4)=0,"X","")</f>
        <v>X</v>
      </c>
      <c r="AA1029" s="2" t="str">
        <f t="shared" si="250"/>
        <v>(31 downto 24)</v>
      </c>
      <c r="AB1029" s="2" t="str">
        <f t="shared" si="251"/>
        <v>(23 downto 16)</v>
      </c>
      <c r="AC1029" s="2" t="str">
        <f t="shared" si="252"/>
        <v>(15 downto 8)</v>
      </c>
      <c r="AD1029" s="2" t="str">
        <f t="shared" si="253"/>
        <v>(7 downto 0)</v>
      </c>
      <c r="AE1029" s="2" t="str">
        <f t="shared" si="254"/>
        <v>(31 downto 24)</v>
      </c>
      <c r="AF1029" s="2" t="str">
        <f t="shared" si="255"/>
        <v>(23 downto 16)</v>
      </c>
      <c r="AG1029" s="2" t="str">
        <f t="shared" si="256"/>
        <v>(15 downto 8)</v>
      </c>
      <c r="AH1029" s="2" t="str">
        <f t="shared" si="257"/>
        <v>(7 downto 0)</v>
      </c>
    </row>
    <row r="1030" spans="2:34" x14ac:dyDescent="0.25">
      <c r="B1030" s="2" t="s">
        <v>2905</v>
      </c>
      <c r="C1030" s="2" t="s">
        <v>141</v>
      </c>
      <c r="D1030" s="2" t="s">
        <v>0</v>
      </c>
      <c r="E1030" s="2" t="s">
        <v>130</v>
      </c>
      <c r="F1030" s="2" t="s">
        <v>2906</v>
      </c>
      <c r="G1030" s="2" t="s">
        <v>2907</v>
      </c>
      <c r="H1030" s="2" t="s">
        <v>142</v>
      </c>
      <c r="I1030" s="2" t="s">
        <v>41</v>
      </c>
      <c r="J1030" s="2">
        <v>32</v>
      </c>
      <c r="K1030" s="2" t="s">
        <v>132</v>
      </c>
      <c r="L1030" s="2" t="s">
        <v>40</v>
      </c>
      <c r="P1030" s="2" t="s">
        <v>48</v>
      </c>
      <c r="Q1030" s="2">
        <f>INDEX(Tables!$C$4:$C$28,MATCH($P1030,Tables!$B$4:$B$28,0))</f>
        <v>32</v>
      </c>
      <c r="R1030" s="2">
        <f>INDEX(Tables!$D$4:$D$28,MATCH($P1030,Tables!$B$4:$B$28,0))</f>
        <v>4</v>
      </c>
      <c r="S1030" s="2">
        <f>$S1029+$R1029+INDEX(Tables!$N$5:$Q$8,MATCH(MOD($S1029+$R1029,4),Tables!$M$5:$M$8,0),MATCH($R1030,Tables!$N$4:$Q$4,0))</f>
        <v>3936</v>
      </c>
      <c r="T1030" s="2" t="str">
        <f t="shared" si="258"/>
        <v>0F60</v>
      </c>
      <c r="U1030" s="2">
        <f t="shared" si="249"/>
        <v>984</v>
      </c>
      <c r="V1030" s="2" t="str">
        <f t="shared" si="259"/>
        <v>3D8</v>
      </c>
      <c r="W1030" s="2" t="str">
        <f t="shared" si="260"/>
        <v>X</v>
      </c>
      <c r="X1030" s="2" t="str">
        <f t="shared" ref="X1030:X1093" si="263">IF(MOD($S1030,4)=2,"X",IF(AND(MOD($S1030,4)=1,$J1030&gt;8),"X",IF(AND(MOD($S1030,4)=0,$J1030&gt;16),"X","")))</f>
        <v>X</v>
      </c>
      <c r="Y1030" s="2" t="str">
        <f t="shared" si="261"/>
        <v>X</v>
      </c>
      <c r="Z1030" s="2" t="str">
        <f t="shared" si="262"/>
        <v>X</v>
      </c>
      <c r="AA1030" s="2" t="str">
        <f t="shared" si="250"/>
        <v>(31 downto 24)</v>
      </c>
      <c r="AB1030" s="2" t="str">
        <f t="shared" si="251"/>
        <v>(23 downto 16)</v>
      </c>
      <c r="AC1030" s="2" t="str">
        <f t="shared" si="252"/>
        <v>(15 downto 8)</v>
      </c>
      <c r="AD1030" s="2" t="str">
        <f t="shared" si="253"/>
        <v>(7 downto 0)</v>
      </c>
      <c r="AE1030" s="2" t="str">
        <f t="shared" si="254"/>
        <v>(31 downto 24)</v>
      </c>
      <c r="AF1030" s="2" t="str">
        <f t="shared" si="255"/>
        <v>(23 downto 16)</v>
      </c>
      <c r="AG1030" s="2" t="str">
        <f t="shared" si="256"/>
        <v>(15 downto 8)</v>
      </c>
      <c r="AH1030" s="2" t="str">
        <f t="shared" si="257"/>
        <v>(7 downto 0)</v>
      </c>
    </row>
    <row r="1031" spans="2:34" x14ac:dyDescent="0.25">
      <c r="B1031" s="2" t="s">
        <v>2908</v>
      </c>
      <c r="C1031" s="2" t="s">
        <v>141</v>
      </c>
      <c r="D1031" s="2" t="s">
        <v>0</v>
      </c>
      <c r="E1031" s="2" t="s">
        <v>130</v>
      </c>
      <c r="F1031" s="2" t="s">
        <v>2909</v>
      </c>
      <c r="G1031" s="2" t="s">
        <v>2910</v>
      </c>
      <c r="H1031" s="2" t="s">
        <v>142</v>
      </c>
      <c r="I1031" s="2" t="s">
        <v>41</v>
      </c>
      <c r="J1031" s="2">
        <v>32</v>
      </c>
      <c r="K1031" s="2" t="s">
        <v>132</v>
      </c>
      <c r="L1031" s="2" t="s">
        <v>40</v>
      </c>
      <c r="P1031" s="2" t="s">
        <v>48</v>
      </c>
      <c r="Q1031" s="2">
        <f>INDEX(Tables!$C$4:$C$28,MATCH($P1031,Tables!$B$4:$B$28,0))</f>
        <v>32</v>
      </c>
      <c r="R1031" s="2">
        <f>INDEX(Tables!$D$4:$D$28,MATCH($P1031,Tables!$B$4:$B$28,0))</f>
        <v>4</v>
      </c>
      <c r="S1031" s="2">
        <f>$S1030+$R1030+INDEX(Tables!$N$5:$Q$8,MATCH(MOD($S1030+$R1030,4),Tables!$M$5:$M$8,0),MATCH($R1031,Tables!$N$4:$Q$4,0))</f>
        <v>3940</v>
      </c>
      <c r="T1031" s="2" t="str">
        <f t="shared" si="258"/>
        <v>0F64</v>
      </c>
      <c r="U1031" s="2">
        <f t="shared" si="249"/>
        <v>985</v>
      </c>
      <c r="V1031" s="2" t="str">
        <f t="shared" si="259"/>
        <v>3D9</v>
      </c>
      <c r="W1031" s="2" t="str">
        <f t="shared" si="260"/>
        <v>X</v>
      </c>
      <c r="X1031" s="2" t="str">
        <f t="shared" si="263"/>
        <v>X</v>
      </c>
      <c r="Y1031" s="2" t="str">
        <f t="shared" si="261"/>
        <v>X</v>
      </c>
      <c r="Z1031" s="2" t="str">
        <f t="shared" si="262"/>
        <v>X</v>
      </c>
      <c r="AA1031" s="2" t="str">
        <f t="shared" si="250"/>
        <v>(31 downto 24)</v>
      </c>
      <c r="AB1031" s="2" t="str">
        <f t="shared" si="251"/>
        <v>(23 downto 16)</v>
      </c>
      <c r="AC1031" s="2" t="str">
        <f t="shared" si="252"/>
        <v>(15 downto 8)</v>
      </c>
      <c r="AD1031" s="2" t="str">
        <f t="shared" si="253"/>
        <v>(7 downto 0)</v>
      </c>
      <c r="AE1031" s="2" t="str">
        <f t="shared" si="254"/>
        <v>(31 downto 24)</v>
      </c>
      <c r="AF1031" s="2" t="str">
        <f t="shared" si="255"/>
        <v>(23 downto 16)</v>
      </c>
      <c r="AG1031" s="2" t="str">
        <f t="shared" si="256"/>
        <v>(15 downto 8)</v>
      </c>
      <c r="AH1031" s="2" t="str">
        <f t="shared" si="257"/>
        <v>(7 downto 0)</v>
      </c>
    </row>
    <row r="1032" spans="2:34" x14ac:dyDescent="0.25">
      <c r="B1032" s="2" t="s">
        <v>2911</v>
      </c>
      <c r="C1032" s="2" t="s">
        <v>141</v>
      </c>
      <c r="D1032" s="2" t="s">
        <v>0</v>
      </c>
      <c r="E1032" s="2" t="s">
        <v>130</v>
      </c>
      <c r="F1032" s="2" t="s">
        <v>2912</v>
      </c>
      <c r="G1032" s="2" t="s">
        <v>2913</v>
      </c>
      <c r="H1032" s="2" t="s">
        <v>142</v>
      </c>
      <c r="I1032" s="2" t="s">
        <v>41</v>
      </c>
      <c r="J1032" s="2">
        <v>32</v>
      </c>
      <c r="K1032" s="2" t="s">
        <v>132</v>
      </c>
      <c r="L1032" s="2" t="s">
        <v>40</v>
      </c>
      <c r="P1032" s="2" t="s">
        <v>48</v>
      </c>
      <c r="Q1032" s="2">
        <f>INDEX(Tables!$C$4:$C$28,MATCH($P1032,Tables!$B$4:$B$28,0))</f>
        <v>32</v>
      </c>
      <c r="R1032" s="2">
        <f>INDEX(Tables!$D$4:$D$28,MATCH($P1032,Tables!$B$4:$B$28,0))</f>
        <v>4</v>
      </c>
      <c r="S1032" s="2">
        <f>$S1031+$R1031+INDEX(Tables!$N$5:$Q$8,MATCH(MOD($S1031+$R1031,4),Tables!$M$5:$M$8,0),MATCH($R1032,Tables!$N$4:$Q$4,0))</f>
        <v>3944</v>
      </c>
      <c r="T1032" s="2" t="str">
        <f t="shared" si="258"/>
        <v>0F68</v>
      </c>
      <c r="U1032" s="2">
        <f t="shared" si="249"/>
        <v>986</v>
      </c>
      <c r="V1032" s="2" t="str">
        <f t="shared" si="259"/>
        <v>3DA</v>
      </c>
      <c r="W1032" s="2" t="str">
        <f t="shared" si="260"/>
        <v>X</v>
      </c>
      <c r="X1032" s="2" t="str">
        <f t="shared" si="263"/>
        <v>X</v>
      </c>
      <c r="Y1032" s="2" t="str">
        <f t="shared" si="261"/>
        <v>X</v>
      </c>
      <c r="Z1032" s="2" t="str">
        <f t="shared" si="262"/>
        <v>X</v>
      </c>
      <c r="AA1032" s="2" t="str">
        <f t="shared" si="250"/>
        <v>(31 downto 24)</v>
      </c>
      <c r="AB1032" s="2" t="str">
        <f t="shared" si="251"/>
        <v>(23 downto 16)</v>
      </c>
      <c r="AC1032" s="2" t="str">
        <f t="shared" si="252"/>
        <v>(15 downto 8)</v>
      </c>
      <c r="AD1032" s="2" t="str">
        <f t="shared" si="253"/>
        <v>(7 downto 0)</v>
      </c>
      <c r="AE1032" s="2" t="str">
        <f t="shared" si="254"/>
        <v>(31 downto 24)</v>
      </c>
      <c r="AF1032" s="2" t="str">
        <f t="shared" si="255"/>
        <v>(23 downto 16)</v>
      </c>
      <c r="AG1032" s="2" t="str">
        <f t="shared" si="256"/>
        <v>(15 downto 8)</v>
      </c>
      <c r="AH1032" s="2" t="str">
        <f t="shared" si="257"/>
        <v>(7 downto 0)</v>
      </c>
    </row>
    <row r="1033" spans="2:34" x14ac:dyDescent="0.25">
      <c r="B1033" s="2" t="s">
        <v>2914</v>
      </c>
      <c r="C1033" s="2" t="s">
        <v>141</v>
      </c>
      <c r="D1033" s="2" t="s">
        <v>0</v>
      </c>
      <c r="E1033" s="2" t="s">
        <v>130</v>
      </c>
      <c r="F1033" s="2" t="s">
        <v>2915</v>
      </c>
      <c r="G1033" s="2" t="s">
        <v>2916</v>
      </c>
      <c r="H1033" s="2" t="s">
        <v>142</v>
      </c>
      <c r="I1033" s="2" t="s">
        <v>41</v>
      </c>
      <c r="J1033" s="2">
        <v>32</v>
      </c>
      <c r="K1033" s="2" t="s">
        <v>132</v>
      </c>
      <c r="L1033" s="2" t="s">
        <v>40</v>
      </c>
      <c r="P1033" s="2" t="s">
        <v>48</v>
      </c>
      <c r="Q1033" s="2">
        <f>INDEX(Tables!$C$4:$C$28,MATCH($P1033,Tables!$B$4:$B$28,0))</f>
        <v>32</v>
      </c>
      <c r="R1033" s="2">
        <f>INDEX(Tables!$D$4:$D$28,MATCH($P1033,Tables!$B$4:$B$28,0))</f>
        <v>4</v>
      </c>
      <c r="S1033" s="2">
        <f>$S1032+$R1032+INDEX(Tables!$N$5:$Q$8,MATCH(MOD($S1032+$R1032,4),Tables!$M$5:$M$8,0),MATCH($R1033,Tables!$N$4:$Q$4,0))</f>
        <v>3948</v>
      </c>
      <c r="T1033" s="2" t="str">
        <f t="shared" si="258"/>
        <v>0F6C</v>
      </c>
      <c r="U1033" s="2">
        <f t="shared" ref="U1033:U1096" si="264">ROUNDDOWN(S1033/4,0)</f>
        <v>987</v>
      </c>
      <c r="V1033" s="2" t="str">
        <f t="shared" si="259"/>
        <v>3DB</v>
      </c>
      <c r="W1033" s="2" t="str">
        <f t="shared" si="260"/>
        <v>X</v>
      </c>
      <c r="X1033" s="2" t="str">
        <f t="shared" si="263"/>
        <v>X</v>
      </c>
      <c r="Y1033" s="2" t="str">
        <f t="shared" si="261"/>
        <v>X</v>
      </c>
      <c r="Z1033" s="2" t="str">
        <f t="shared" si="262"/>
        <v>X</v>
      </c>
      <c r="AA1033" s="2" t="str">
        <f t="shared" ref="AA1033:AA1096" si="265">IF(W1033="","",CONCATENATE("(",IF(($J1033-COUNTIF($X1033:$Z1033,"X")*8)=1,"24)",CONCATENATE(IF(($J1033-COUNTIF($X1033:$Z1033,"X")*8)&gt;=8,32,($J1033-COUNTIF($X1033:$Z1033,"X")*8)+24)-1," downto 24)"))))</f>
        <v>(31 downto 24)</v>
      </c>
      <c r="AB1033" s="2" t="str">
        <f t="shared" ref="AB1033:AB1096" si="266">IF(X1033="","",CONCATENATE("(",IF(($J1033-COUNTIF($Y1033:$Z1033,"X")*8)=1,"16)",CONCATENATE(IF(($J1033-COUNTIF($Y1033:$Z1033,"X")*8)&gt;=8,24,($J1033-COUNTIF($Y1033:$Z1033,"X")*8)+16)-1," downto 16)"))))</f>
        <v>(23 downto 16)</v>
      </c>
      <c r="AC1033" s="2" t="str">
        <f t="shared" ref="AC1033:AC1096" si="267">IF(Y1033="","",CONCATENATE("(",IF(($J1033-COUNTIF($Z1033,"X")*8)=1,"8)",CONCATENATE(IF(($J1033-COUNTIF($Z1033,"X")*8)&gt;=8,16,($J1033-COUNTIF($Z1033,"X")*8)+8)-1," downto 8)"))))</f>
        <v>(15 downto 8)</v>
      </c>
      <c r="AD1033" s="2" t="str">
        <f t="shared" ref="AD1033:AD1096" si="268">IF(Z1033="","",CONCATENATE("(",IF($J1033=1,"0)",CONCATENATE(IF($J1033&gt;=8,8,$J1033)-1," downto 0)"))))</f>
        <v>(7 downto 0)</v>
      </c>
      <c r="AE1033" s="2" t="str">
        <f t="shared" ref="AE1033:AE1096" si="269">IF(W1033="","",IF($J1033&lt;=8,"",IF(($J1033-COUNTIF($X1033:$Z1033,"X")*8)=1,CONCATENATE("(",($J1033-1),")"),CONCATENATE("(",IF(($J1033-COUNTIF($X1033:$Z1033,"X")*8)&gt;=8,COUNTIF($X1033:$Z1033,"X")*8+7,$J1033-COUNTIF($X1033:$Z1033,"X")*8-1+COUNTIF($X1033:$Z1033,"X")*8)," downto ",COUNTIF($X1033:$Z1033,"X")*8,")"))))</f>
        <v>(31 downto 24)</v>
      </c>
      <c r="AF1033" s="2" t="str">
        <f t="shared" ref="AF1033:AF1096" si="270">IF(X1033="","",IF($J1033&lt;=8,"",IF(($J1033-COUNTIF($Y1033:$Z1033,"X")*8)=1,CONCATENATE("(",($J1033-1),")"),CONCATENATE("(",IF(($J1033-COUNTIF($Y1033:$Z1033,"X")*8)&gt;=8,COUNTIF($Y1033:$Z1033,"X")*8+7,$J1033-COUNTIF($Y1033:$Z1033,"X")*8-1+COUNTIF($Y1033:$Z1033,"X")*8)," downto ",COUNTIF($Y1033:$Z1033,"X")*8,")"))))</f>
        <v>(23 downto 16)</v>
      </c>
      <c r="AG1033" s="2" t="str">
        <f t="shared" ref="AG1033:AG1096" si="271">IF(Y1033="","",IF($J1033&lt;=8,"",IF(($J1033-COUNTIF($Z1033,"X")*8)=1,CONCATENATE("(",($J1033-1),")"),CONCATENATE("(",IF(($J1033-COUNTIF($Z1033,"X")*8)&gt;=8,COUNTIF($Z1033,"X")*8+7,$J1033-COUNTIF($Z1033,"X")*8-1+COUNTIF($Z1033,"X")*8)," downto ",COUNTIF($Z1033,"X")*8,")"))))</f>
        <v>(15 downto 8)</v>
      </c>
      <c r="AH1033" s="2" t="str">
        <f t="shared" ref="AH1033:AH1096" si="272">IF(Z1033="","",IF($J1033&lt;=8,"",CONCATENATE("(",IF($J1033&gt;=8,7,$J1033-1)," downto ",0,")")))</f>
        <v>(7 downto 0)</v>
      </c>
    </row>
    <row r="1034" spans="2:34" x14ac:dyDescent="0.25">
      <c r="B1034" s="2" t="s">
        <v>2917</v>
      </c>
      <c r="C1034" s="2" t="s">
        <v>141</v>
      </c>
      <c r="D1034" s="2" t="s">
        <v>0</v>
      </c>
      <c r="E1034" s="2" t="s">
        <v>130</v>
      </c>
      <c r="F1034" s="2" t="s">
        <v>2918</v>
      </c>
      <c r="G1034" s="2" t="s">
        <v>2919</v>
      </c>
      <c r="H1034" s="2" t="s">
        <v>142</v>
      </c>
      <c r="I1034" s="2" t="s">
        <v>41</v>
      </c>
      <c r="J1034" s="2">
        <v>32</v>
      </c>
      <c r="K1034" s="2" t="s">
        <v>132</v>
      </c>
      <c r="L1034" s="2" t="s">
        <v>40</v>
      </c>
      <c r="P1034" s="2" t="s">
        <v>48</v>
      </c>
      <c r="Q1034" s="2">
        <f>INDEX(Tables!$C$4:$C$28,MATCH($P1034,Tables!$B$4:$B$28,0))</f>
        <v>32</v>
      </c>
      <c r="R1034" s="2">
        <f>INDEX(Tables!$D$4:$D$28,MATCH($P1034,Tables!$B$4:$B$28,0))</f>
        <v>4</v>
      </c>
      <c r="S1034" s="2">
        <f>$S1033+$R1033+INDEX(Tables!$N$5:$Q$8,MATCH(MOD($S1033+$R1033,4),Tables!$M$5:$M$8,0),MATCH($R1034,Tables!$N$4:$Q$4,0))</f>
        <v>3952</v>
      </c>
      <c r="T1034" s="2" t="str">
        <f t="shared" si="258"/>
        <v>0F70</v>
      </c>
      <c r="U1034" s="2">
        <f t="shared" si="264"/>
        <v>988</v>
      </c>
      <c r="V1034" s="2" t="str">
        <f t="shared" si="259"/>
        <v>3DC</v>
      </c>
      <c r="W1034" s="2" t="str">
        <f t="shared" si="260"/>
        <v>X</v>
      </c>
      <c r="X1034" s="2" t="str">
        <f t="shared" si="263"/>
        <v>X</v>
      </c>
      <c r="Y1034" s="2" t="str">
        <f t="shared" si="261"/>
        <v>X</v>
      </c>
      <c r="Z1034" s="2" t="str">
        <f t="shared" si="262"/>
        <v>X</v>
      </c>
      <c r="AA1034" s="2" t="str">
        <f t="shared" si="265"/>
        <v>(31 downto 24)</v>
      </c>
      <c r="AB1034" s="2" t="str">
        <f t="shared" si="266"/>
        <v>(23 downto 16)</v>
      </c>
      <c r="AC1034" s="2" t="str">
        <f t="shared" si="267"/>
        <v>(15 downto 8)</v>
      </c>
      <c r="AD1034" s="2" t="str">
        <f t="shared" si="268"/>
        <v>(7 downto 0)</v>
      </c>
      <c r="AE1034" s="2" t="str">
        <f t="shared" si="269"/>
        <v>(31 downto 24)</v>
      </c>
      <c r="AF1034" s="2" t="str">
        <f t="shared" si="270"/>
        <v>(23 downto 16)</v>
      </c>
      <c r="AG1034" s="2" t="str">
        <f t="shared" si="271"/>
        <v>(15 downto 8)</v>
      </c>
      <c r="AH1034" s="2" t="str">
        <f t="shared" si="272"/>
        <v>(7 downto 0)</v>
      </c>
    </row>
    <row r="1035" spans="2:34" x14ac:dyDescent="0.25">
      <c r="B1035" s="2" t="s">
        <v>2920</v>
      </c>
      <c r="C1035" s="2" t="s">
        <v>141</v>
      </c>
      <c r="D1035" s="2" t="s">
        <v>0</v>
      </c>
      <c r="E1035" s="2" t="s">
        <v>130</v>
      </c>
      <c r="F1035" s="2" t="s">
        <v>2921</v>
      </c>
      <c r="G1035" s="2" t="s">
        <v>2922</v>
      </c>
      <c r="H1035" s="2" t="s">
        <v>142</v>
      </c>
      <c r="I1035" s="2" t="s">
        <v>41</v>
      </c>
      <c r="J1035" s="2">
        <v>32</v>
      </c>
      <c r="K1035" s="2" t="s">
        <v>132</v>
      </c>
      <c r="L1035" s="2" t="s">
        <v>40</v>
      </c>
      <c r="P1035" s="2" t="s">
        <v>48</v>
      </c>
      <c r="Q1035" s="2">
        <f>INDEX(Tables!$C$4:$C$28,MATCH($P1035,Tables!$B$4:$B$28,0))</f>
        <v>32</v>
      </c>
      <c r="R1035" s="2">
        <f>INDEX(Tables!$D$4:$D$28,MATCH($P1035,Tables!$B$4:$B$28,0))</f>
        <v>4</v>
      </c>
      <c r="S1035" s="2">
        <f>$S1034+$R1034+INDEX(Tables!$N$5:$Q$8,MATCH(MOD($S1034+$R1034,4),Tables!$M$5:$M$8,0),MATCH($R1035,Tables!$N$4:$Q$4,0))</f>
        <v>3956</v>
      </c>
      <c r="T1035" s="2" t="str">
        <f t="shared" si="258"/>
        <v>0F74</v>
      </c>
      <c r="U1035" s="2">
        <f t="shared" si="264"/>
        <v>989</v>
      </c>
      <c r="V1035" s="2" t="str">
        <f t="shared" si="259"/>
        <v>3DD</v>
      </c>
      <c r="W1035" s="2" t="str">
        <f t="shared" si="260"/>
        <v>X</v>
      </c>
      <c r="X1035" s="2" t="str">
        <f t="shared" si="263"/>
        <v>X</v>
      </c>
      <c r="Y1035" s="2" t="str">
        <f t="shared" si="261"/>
        <v>X</v>
      </c>
      <c r="Z1035" s="2" t="str">
        <f t="shared" si="262"/>
        <v>X</v>
      </c>
      <c r="AA1035" s="2" t="str">
        <f t="shared" si="265"/>
        <v>(31 downto 24)</v>
      </c>
      <c r="AB1035" s="2" t="str">
        <f t="shared" si="266"/>
        <v>(23 downto 16)</v>
      </c>
      <c r="AC1035" s="2" t="str">
        <f t="shared" si="267"/>
        <v>(15 downto 8)</v>
      </c>
      <c r="AD1035" s="2" t="str">
        <f t="shared" si="268"/>
        <v>(7 downto 0)</v>
      </c>
      <c r="AE1035" s="2" t="str">
        <f t="shared" si="269"/>
        <v>(31 downto 24)</v>
      </c>
      <c r="AF1035" s="2" t="str">
        <f t="shared" si="270"/>
        <v>(23 downto 16)</v>
      </c>
      <c r="AG1035" s="2" t="str">
        <f t="shared" si="271"/>
        <v>(15 downto 8)</v>
      </c>
      <c r="AH1035" s="2" t="str">
        <f t="shared" si="272"/>
        <v>(7 downto 0)</v>
      </c>
    </row>
    <row r="1036" spans="2:34" x14ac:dyDescent="0.25">
      <c r="B1036" s="2" t="s">
        <v>2923</v>
      </c>
      <c r="C1036" s="2" t="s">
        <v>141</v>
      </c>
      <c r="D1036" s="2" t="s">
        <v>0</v>
      </c>
      <c r="E1036" s="2" t="s">
        <v>130</v>
      </c>
      <c r="F1036" s="2" t="s">
        <v>2924</v>
      </c>
      <c r="G1036" s="2" t="s">
        <v>2925</v>
      </c>
      <c r="H1036" s="2" t="s">
        <v>142</v>
      </c>
      <c r="I1036" s="2" t="s">
        <v>41</v>
      </c>
      <c r="J1036" s="2">
        <v>32</v>
      </c>
      <c r="K1036" s="2" t="s">
        <v>132</v>
      </c>
      <c r="L1036" s="2" t="s">
        <v>40</v>
      </c>
      <c r="P1036" s="2" t="s">
        <v>48</v>
      </c>
      <c r="Q1036" s="2">
        <f>INDEX(Tables!$C$4:$C$28,MATCH($P1036,Tables!$B$4:$B$28,0))</f>
        <v>32</v>
      </c>
      <c r="R1036" s="2">
        <f>INDEX(Tables!$D$4:$D$28,MATCH($P1036,Tables!$B$4:$B$28,0))</f>
        <v>4</v>
      </c>
      <c r="S1036" s="2">
        <f>$S1035+$R1035+INDEX(Tables!$N$5:$Q$8,MATCH(MOD($S1035+$R1035,4),Tables!$M$5:$M$8,0),MATCH($R1036,Tables!$N$4:$Q$4,0))</f>
        <v>3960</v>
      </c>
      <c r="T1036" s="2" t="str">
        <f t="shared" si="258"/>
        <v>0F78</v>
      </c>
      <c r="U1036" s="2">
        <f t="shared" si="264"/>
        <v>990</v>
      </c>
      <c r="V1036" s="2" t="str">
        <f t="shared" si="259"/>
        <v>3DE</v>
      </c>
      <c r="W1036" s="2" t="str">
        <f t="shared" si="260"/>
        <v>X</v>
      </c>
      <c r="X1036" s="2" t="str">
        <f t="shared" si="263"/>
        <v>X</v>
      </c>
      <c r="Y1036" s="2" t="str">
        <f t="shared" si="261"/>
        <v>X</v>
      </c>
      <c r="Z1036" s="2" t="str">
        <f t="shared" si="262"/>
        <v>X</v>
      </c>
      <c r="AA1036" s="2" t="str">
        <f t="shared" si="265"/>
        <v>(31 downto 24)</v>
      </c>
      <c r="AB1036" s="2" t="str">
        <f t="shared" si="266"/>
        <v>(23 downto 16)</v>
      </c>
      <c r="AC1036" s="2" t="str">
        <f t="shared" si="267"/>
        <v>(15 downto 8)</v>
      </c>
      <c r="AD1036" s="2" t="str">
        <f t="shared" si="268"/>
        <v>(7 downto 0)</v>
      </c>
      <c r="AE1036" s="2" t="str">
        <f t="shared" si="269"/>
        <v>(31 downto 24)</v>
      </c>
      <c r="AF1036" s="2" t="str">
        <f t="shared" si="270"/>
        <v>(23 downto 16)</v>
      </c>
      <c r="AG1036" s="2" t="str">
        <f t="shared" si="271"/>
        <v>(15 downto 8)</v>
      </c>
      <c r="AH1036" s="2" t="str">
        <f t="shared" si="272"/>
        <v>(7 downto 0)</v>
      </c>
    </row>
    <row r="1037" spans="2:34" x14ac:dyDescent="0.25">
      <c r="B1037" s="2" t="s">
        <v>2926</v>
      </c>
      <c r="C1037" s="2" t="s">
        <v>141</v>
      </c>
      <c r="D1037" s="2" t="s">
        <v>0</v>
      </c>
      <c r="E1037" s="2" t="s">
        <v>130</v>
      </c>
      <c r="F1037" s="2" t="s">
        <v>2927</v>
      </c>
      <c r="G1037" s="2" t="s">
        <v>2928</v>
      </c>
      <c r="H1037" s="2" t="s">
        <v>142</v>
      </c>
      <c r="I1037" s="2" t="s">
        <v>41</v>
      </c>
      <c r="J1037" s="2">
        <v>32</v>
      </c>
      <c r="K1037" s="2" t="s">
        <v>132</v>
      </c>
      <c r="L1037" s="2" t="s">
        <v>40</v>
      </c>
      <c r="P1037" s="2" t="s">
        <v>48</v>
      </c>
      <c r="Q1037" s="2">
        <f>INDEX(Tables!$C$4:$C$28,MATCH($P1037,Tables!$B$4:$B$28,0))</f>
        <v>32</v>
      </c>
      <c r="R1037" s="2">
        <f>INDEX(Tables!$D$4:$D$28,MATCH($P1037,Tables!$B$4:$B$28,0))</f>
        <v>4</v>
      </c>
      <c r="S1037" s="2">
        <f>$S1036+$R1036+INDEX(Tables!$N$5:$Q$8,MATCH(MOD($S1036+$R1036,4),Tables!$M$5:$M$8,0),MATCH($R1037,Tables!$N$4:$Q$4,0))</f>
        <v>3964</v>
      </c>
      <c r="T1037" s="2" t="str">
        <f t="shared" si="258"/>
        <v>0F7C</v>
      </c>
      <c r="U1037" s="2">
        <f t="shared" si="264"/>
        <v>991</v>
      </c>
      <c r="V1037" s="2" t="str">
        <f t="shared" si="259"/>
        <v>3DF</v>
      </c>
      <c r="W1037" s="2" t="str">
        <f t="shared" si="260"/>
        <v>X</v>
      </c>
      <c r="X1037" s="2" t="str">
        <f t="shared" si="263"/>
        <v>X</v>
      </c>
      <c r="Y1037" s="2" t="str">
        <f t="shared" si="261"/>
        <v>X</v>
      </c>
      <c r="Z1037" s="2" t="str">
        <f t="shared" si="262"/>
        <v>X</v>
      </c>
      <c r="AA1037" s="2" t="str">
        <f t="shared" si="265"/>
        <v>(31 downto 24)</v>
      </c>
      <c r="AB1037" s="2" t="str">
        <f t="shared" si="266"/>
        <v>(23 downto 16)</v>
      </c>
      <c r="AC1037" s="2" t="str">
        <f t="shared" si="267"/>
        <v>(15 downto 8)</v>
      </c>
      <c r="AD1037" s="2" t="str">
        <f t="shared" si="268"/>
        <v>(7 downto 0)</v>
      </c>
      <c r="AE1037" s="2" t="str">
        <f t="shared" si="269"/>
        <v>(31 downto 24)</v>
      </c>
      <c r="AF1037" s="2" t="str">
        <f t="shared" si="270"/>
        <v>(23 downto 16)</v>
      </c>
      <c r="AG1037" s="2" t="str">
        <f t="shared" si="271"/>
        <v>(15 downto 8)</v>
      </c>
      <c r="AH1037" s="2" t="str">
        <f t="shared" si="272"/>
        <v>(7 downto 0)</v>
      </c>
    </row>
    <row r="1038" spans="2:34" x14ac:dyDescent="0.25">
      <c r="B1038" s="2" t="s">
        <v>2929</v>
      </c>
      <c r="C1038" s="2" t="s">
        <v>141</v>
      </c>
      <c r="D1038" s="2" t="s">
        <v>0</v>
      </c>
      <c r="E1038" s="2" t="s">
        <v>130</v>
      </c>
      <c r="F1038" s="2" t="s">
        <v>2930</v>
      </c>
      <c r="G1038" s="2" t="s">
        <v>2931</v>
      </c>
      <c r="H1038" s="2" t="s">
        <v>142</v>
      </c>
      <c r="I1038" s="2" t="s">
        <v>41</v>
      </c>
      <c r="J1038" s="2">
        <v>32</v>
      </c>
      <c r="K1038" s="2" t="s">
        <v>132</v>
      </c>
      <c r="L1038" s="2" t="s">
        <v>40</v>
      </c>
      <c r="P1038" s="2" t="s">
        <v>48</v>
      </c>
      <c r="Q1038" s="2">
        <f>INDEX(Tables!$C$4:$C$28,MATCH($P1038,Tables!$B$4:$B$28,0))</f>
        <v>32</v>
      </c>
      <c r="R1038" s="2">
        <f>INDEX(Tables!$D$4:$D$28,MATCH($P1038,Tables!$B$4:$B$28,0))</f>
        <v>4</v>
      </c>
      <c r="S1038" s="2">
        <f>$S1037+$R1037+INDEX(Tables!$N$5:$Q$8,MATCH(MOD($S1037+$R1037,4),Tables!$M$5:$M$8,0),MATCH($R1038,Tables!$N$4:$Q$4,0))</f>
        <v>3968</v>
      </c>
      <c r="T1038" s="2" t="str">
        <f t="shared" si="258"/>
        <v>0F80</v>
      </c>
      <c r="U1038" s="2">
        <f t="shared" si="264"/>
        <v>992</v>
      </c>
      <c r="V1038" s="2" t="str">
        <f t="shared" si="259"/>
        <v>3E0</v>
      </c>
      <c r="W1038" s="2" t="str">
        <f t="shared" si="260"/>
        <v>X</v>
      </c>
      <c r="X1038" s="2" t="str">
        <f t="shared" si="263"/>
        <v>X</v>
      </c>
      <c r="Y1038" s="2" t="str">
        <f t="shared" si="261"/>
        <v>X</v>
      </c>
      <c r="Z1038" s="2" t="str">
        <f t="shared" si="262"/>
        <v>X</v>
      </c>
      <c r="AA1038" s="2" t="str">
        <f t="shared" si="265"/>
        <v>(31 downto 24)</v>
      </c>
      <c r="AB1038" s="2" t="str">
        <f t="shared" si="266"/>
        <v>(23 downto 16)</v>
      </c>
      <c r="AC1038" s="2" t="str">
        <f t="shared" si="267"/>
        <v>(15 downto 8)</v>
      </c>
      <c r="AD1038" s="2" t="str">
        <f t="shared" si="268"/>
        <v>(7 downto 0)</v>
      </c>
      <c r="AE1038" s="2" t="str">
        <f t="shared" si="269"/>
        <v>(31 downto 24)</v>
      </c>
      <c r="AF1038" s="2" t="str">
        <f t="shared" si="270"/>
        <v>(23 downto 16)</v>
      </c>
      <c r="AG1038" s="2" t="str">
        <f t="shared" si="271"/>
        <v>(15 downto 8)</v>
      </c>
      <c r="AH1038" s="2" t="str">
        <f t="shared" si="272"/>
        <v>(7 downto 0)</v>
      </c>
    </row>
    <row r="1039" spans="2:34" x14ac:dyDescent="0.25">
      <c r="B1039" s="2" t="s">
        <v>2932</v>
      </c>
      <c r="C1039" s="2" t="s">
        <v>141</v>
      </c>
      <c r="D1039" s="2" t="s">
        <v>0</v>
      </c>
      <c r="E1039" s="2" t="s">
        <v>130</v>
      </c>
      <c r="F1039" s="2" t="s">
        <v>2933</v>
      </c>
      <c r="G1039" s="2" t="s">
        <v>2934</v>
      </c>
      <c r="H1039" s="2" t="s">
        <v>142</v>
      </c>
      <c r="I1039" s="2" t="s">
        <v>41</v>
      </c>
      <c r="J1039" s="2">
        <v>32</v>
      </c>
      <c r="K1039" s="2" t="s">
        <v>132</v>
      </c>
      <c r="L1039" s="2" t="s">
        <v>40</v>
      </c>
      <c r="P1039" s="2" t="s">
        <v>48</v>
      </c>
      <c r="Q1039" s="2">
        <f>INDEX(Tables!$C$4:$C$28,MATCH($P1039,Tables!$B$4:$B$28,0))</f>
        <v>32</v>
      </c>
      <c r="R1039" s="2">
        <f>INDEX(Tables!$D$4:$D$28,MATCH($P1039,Tables!$B$4:$B$28,0))</f>
        <v>4</v>
      </c>
      <c r="S1039" s="2">
        <f>$S1038+$R1038+INDEX(Tables!$N$5:$Q$8,MATCH(MOD($S1038+$R1038,4),Tables!$M$5:$M$8,0),MATCH($R1039,Tables!$N$4:$Q$4,0))</f>
        <v>3972</v>
      </c>
      <c r="T1039" s="2" t="str">
        <f t="shared" si="258"/>
        <v>0F84</v>
      </c>
      <c r="U1039" s="2">
        <f t="shared" si="264"/>
        <v>993</v>
      </c>
      <c r="V1039" s="2" t="str">
        <f t="shared" si="259"/>
        <v>3E1</v>
      </c>
      <c r="W1039" s="2" t="str">
        <f t="shared" si="260"/>
        <v>X</v>
      </c>
      <c r="X1039" s="2" t="str">
        <f t="shared" si="263"/>
        <v>X</v>
      </c>
      <c r="Y1039" s="2" t="str">
        <f t="shared" si="261"/>
        <v>X</v>
      </c>
      <c r="Z1039" s="2" t="str">
        <f t="shared" si="262"/>
        <v>X</v>
      </c>
      <c r="AA1039" s="2" t="str">
        <f t="shared" si="265"/>
        <v>(31 downto 24)</v>
      </c>
      <c r="AB1039" s="2" t="str">
        <f t="shared" si="266"/>
        <v>(23 downto 16)</v>
      </c>
      <c r="AC1039" s="2" t="str">
        <f t="shared" si="267"/>
        <v>(15 downto 8)</v>
      </c>
      <c r="AD1039" s="2" t="str">
        <f t="shared" si="268"/>
        <v>(7 downto 0)</v>
      </c>
      <c r="AE1039" s="2" t="str">
        <f t="shared" si="269"/>
        <v>(31 downto 24)</v>
      </c>
      <c r="AF1039" s="2" t="str">
        <f t="shared" si="270"/>
        <v>(23 downto 16)</v>
      </c>
      <c r="AG1039" s="2" t="str">
        <f t="shared" si="271"/>
        <v>(15 downto 8)</v>
      </c>
      <c r="AH1039" s="2" t="str">
        <f t="shared" si="272"/>
        <v>(7 downto 0)</v>
      </c>
    </row>
    <row r="1040" spans="2:34" x14ac:dyDescent="0.25">
      <c r="B1040" s="2" t="s">
        <v>2935</v>
      </c>
      <c r="C1040" s="2" t="s">
        <v>141</v>
      </c>
      <c r="D1040" s="2" t="s">
        <v>0</v>
      </c>
      <c r="E1040" s="2" t="s">
        <v>130</v>
      </c>
      <c r="F1040" s="2" t="s">
        <v>2936</v>
      </c>
      <c r="G1040" s="2" t="s">
        <v>2937</v>
      </c>
      <c r="H1040" s="2" t="s">
        <v>142</v>
      </c>
      <c r="I1040" s="2" t="s">
        <v>41</v>
      </c>
      <c r="J1040" s="2">
        <v>32</v>
      </c>
      <c r="K1040" s="2" t="s">
        <v>132</v>
      </c>
      <c r="L1040" s="2" t="s">
        <v>40</v>
      </c>
      <c r="P1040" s="2" t="s">
        <v>48</v>
      </c>
      <c r="Q1040" s="2">
        <f>INDEX(Tables!$C$4:$C$28,MATCH($P1040,Tables!$B$4:$B$28,0))</f>
        <v>32</v>
      </c>
      <c r="R1040" s="2">
        <f>INDEX(Tables!$D$4:$D$28,MATCH($P1040,Tables!$B$4:$B$28,0))</f>
        <v>4</v>
      </c>
      <c r="S1040" s="2">
        <f>$S1039+$R1039+INDEX(Tables!$N$5:$Q$8,MATCH(MOD($S1039+$R1039,4),Tables!$M$5:$M$8,0),MATCH($R1040,Tables!$N$4:$Q$4,0))</f>
        <v>3976</v>
      </c>
      <c r="T1040" s="2" t="str">
        <f t="shared" si="258"/>
        <v>0F88</v>
      </c>
      <c r="U1040" s="2">
        <f t="shared" si="264"/>
        <v>994</v>
      </c>
      <c r="V1040" s="2" t="str">
        <f t="shared" si="259"/>
        <v>3E2</v>
      </c>
      <c r="W1040" s="2" t="str">
        <f t="shared" si="260"/>
        <v>X</v>
      </c>
      <c r="X1040" s="2" t="str">
        <f t="shared" si="263"/>
        <v>X</v>
      </c>
      <c r="Y1040" s="2" t="str">
        <f t="shared" si="261"/>
        <v>X</v>
      </c>
      <c r="Z1040" s="2" t="str">
        <f t="shared" si="262"/>
        <v>X</v>
      </c>
      <c r="AA1040" s="2" t="str">
        <f t="shared" si="265"/>
        <v>(31 downto 24)</v>
      </c>
      <c r="AB1040" s="2" t="str">
        <f t="shared" si="266"/>
        <v>(23 downto 16)</v>
      </c>
      <c r="AC1040" s="2" t="str">
        <f t="shared" si="267"/>
        <v>(15 downto 8)</v>
      </c>
      <c r="AD1040" s="2" t="str">
        <f t="shared" si="268"/>
        <v>(7 downto 0)</v>
      </c>
      <c r="AE1040" s="2" t="str">
        <f t="shared" si="269"/>
        <v>(31 downto 24)</v>
      </c>
      <c r="AF1040" s="2" t="str">
        <f t="shared" si="270"/>
        <v>(23 downto 16)</v>
      </c>
      <c r="AG1040" s="2" t="str">
        <f t="shared" si="271"/>
        <v>(15 downto 8)</v>
      </c>
      <c r="AH1040" s="2" t="str">
        <f t="shared" si="272"/>
        <v>(7 downto 0)</v>
      </c>
    </row>
    <row r="1041" spans="2:34" x14ac:dyDescent="0.25">
      <c r="B1041" s="2" t="s">
        <v>2938</v>
      </c>
      <c r="C1041" s="2" t="s">
        <v>141</v>
      </c>
      <c r="D1041" s="2" t="s">
        <v>0</v>
      </c>
      <c r="E1041" s="2" t="s">
        <v>130</v>
      </c>
      <c r="F1041" s="2" t="s">
        <v>2939</v>
      </c>
      <c r="G1041" s="2" t="s">
        <v>2940</v>
      </c>
      <c r="H1041" s="2" t="s">
        <v>142</v>
      </c>
      <c r="I1041" s="2" t="s">
        <v>41</v>
      </c>
      <c r="J1041" s="2">
        <v>32</v>
      </c>
      <c r="K1041" s="2" t="s">
        <v>132</v>
      </c>
      <c r="L1041" s="2" t="s">
        <v>40</v>
      </c>
      <c r="P1041" s="2" t="s">
        <v>48</v>
      </c>
      <c r="Q1041" s="2">
        <f>INDEX(Tables!$C$4:$C$28,MATCH($P1041,Tables!$B$4:$B$28,0))</f>
        <v>32</v>
      </c>
      <c r="R1041" s="2">
        <f>INDEX(Tables!$D$4:$D$28,MATCH($P1041,Tables!$B$4:$B$28,0))</f>
        <v>4</v>
      </c>
      <c r="S1041" s="2">
        <f>$S1040+$R1040+INDEX(Tables!$N$5:$Q$8,MATCH(MOD($S1040+$R1040,4),Tables!$M$5:$M$8,0),MATCH($R1041,Tables!$N$4:$Q$4,0))</f>
        <v>3980</v>
      </c>
      <c r="T1041" s="2" t="str">
        <f t="shared" si="258"/>
        <v>0F8C</v>
      </c>
      <c r="U1041" s="2">
        <f t="shared" si="264"/>
        <v>995</v>
      </c>
      <c r="V1041" s="2" t="str">
        <f t="shared" si="259"/>
        <v>3E3</v>
      </c>
      <c r="W1041" s="2" t="str">
        <f t="shared" si="260"/>
        <v>X</v>
      </c>
      <c r="X1041" s="2" t="str">
        <f t="shared" si="263"/>
        <v>X</v>
      </c>
      <c r="Y1041" s="2" t="str">
        <f t="shared" si="261"/>
        <v>X</v>
      </c>
      <c r="Z1041" s="2" t="str">
        <f t="shared" si="262"/>
        <v>X</v>
      </c>
      <c r="AA1041" s="2" t="str">
        <f t="shared" si="265"/>
        <v>(31 downto 24)</v>
      </c>
      <c r="AB1041" s="2" t="str">
        <f t="shared" si="266"/>
        <v>(23 downto 16)</v>
      </c>
      <c r="AC1041" s="2" t="str">
        <f t="shared" si="267"/>
        <v>(15 downto 8)</v>
      </c>
      <c r="AD1041" s="2" t="str">
        <f t="shared" si="268"/>
        <v>(7 downto 0)</v>
      </c>
      <c r="AE1041" s="2" t="str">
        <f t="shared" si="269"/>
        <v>(31 downto 24)</v>
      </c>
      <c r="AF1041" s="2" t="str">
        <f t="shared" si="270"/>
        <v>(23 downto 16)</v>
      </c>
      <c r="AG1041" s="2" t="str">
        <f t="shared" si="271"/>
        <v>(15 downto 8)</v>
      </c>
      <c r="AH1041" s="2" t="str">
        <f t="shared" si="272"/>
        <v>(7 downto 0)</v>
      </c>
    </row>
    <row r="1042" spans="2:34" x14ac:dyDescent="0.25">
      <c r="B1042" s="2" t="s">
        <v>2941</v>
      </c>
      <c r="C1042" s="2" t="s">
        <v>141</v>
      </c>
      <c r="D1042" s="2" t="s">
        <v>0</v>
      </c>
      <c r="E1042" s="2" t="s">
        <v>130</v>
      </c>
      <c r="F1042" s="2" t="s">
        <v>2942</v>
      </c>
      <c r="G1042" s="2" t="s">
        <v>2943</v>
      </c>
      <c r="H1042" s="2" t="s">
        <v>142</v>
      </c>
      <c r="I1042" s="2" t="s">
        <v>41</v>
      </c>
      <c r="J1042" s="2">
        <v>32</v>
      </c>
      <c r="K1042" s="2" t="s">
        <v>132</v>
      </c>
      <c r="L1042" s="2" t="s">
        <v>40</v>
      </c>
      <c r="P1042" s="2" t="s">
        <v>48</v>
      </c>
      <c r="Q1042" s="2">
        <f>INDEX(Tables!$C$4:$C$28,MATCH($P1042,Tables!$B$4:$B$28,0))</f>
        <v>32</v>
      </c>
      <c r="R1042" s="2">
        <f>INDEX(Tables!$D$4:$D$28,MATCH($P1042,Tables!$B$4:$B$28,0))</f>
        <v>4</v>
      </c>
      <c r="S1042" s="2">
        <f>$S1041+$R1041+INDEX(Tables!$N$5:$Q$8,MATCH(MOD($S1041+$R1041,4),Tables!$M$5:$M$8,0),MATCH($R1042,Tables!$N$4:$Q$4,0))</f>
        <v>3984</v>
      </c>
      <c r="T1042" s="2" t="str">
        <f t="shared" si="258"/>
        <v>0F90</v>
      </c>
      <c r="U1042" s="2">
        <f t="shared" si="264"/>
        <v>996</v>
      </c>
      <c r="V1042" s="2" t="str">
        <f t="shared" si="259"/>
        <v>3E4</v>
      </c>
      <c r="W1042" s="2" t="str">
        <f t="shared" si="260"/>
        <v>X</v>
      </c>
      <c r="X1042" s="2" t="str">
        <f t="shared" si="263"/>
        <v>X</v>
      </c>
      <c r="Y1042" s="2" t="str">
        <f t="shared" si="261"/>
        <v>X</v>
      </c>
      <c r="Z1042" s="2" t="str">
        <f t="shared" si="262"/>
        <v>X</v>
      </c>
      <c r="AA1042" s="2" t="str">
        <f t="shared" si="265"/>
        <v>(31 downto 24)</v>
      </c>
      <c r="AB1042" s="2" t="str">
        <f t="shared" si="266"/>
        <v>(23 downto 16)</v>
      </c>
      <c r="AC1042" s="2" t="str">
        <f t="shared" si="267"/>
        <v>(15 downto 8)</v>
      </c>
      <c r="AD1042" s="2" t="str">
        <f t="shared" si="268"/>
        <v>(7 downto 0)</v>
      </c>
      <c r="AE1042" s="2" t="str">
        <f t="shared" si="269"/>
        <v>(31 downto 24)</v>
      </c>
      <c r="AF1042" s="2" t="str">
        <f t="shared" si="270"/>
        <v>(23 downto 16)</v>
      </c>
      <c r="AG1042" s="2" t="str">
        <f t="shared" si="271"/>
        <v>(15 downto 8)</v>
      </c>
      <c r="AH1042" s="2" t="str">
        <f t="shared" si="272"/>
        <v>(7 downto 0)</v>
      </c>
    </row>
    <row r="1043" spans="2:34" x14ac:dyDescent="0.25">
      <c r="B1043" s="2" t="s">
        <v>2944</v>
      </c>
      <c r="C1043" s="2" t="s">
        <v>141</v>
      </c>
      <c r="D1043" s="2" t="s">
        <v>0</v>
      </c>
      <c r="E1043" s="2" t="s">
        <v>130</v>
      </c>
      <c r="F1043" s="2" t="s">
        <v>2945</v>
      </c>
      <c r="G1043" s="2" t="s">
        <v>2946</v>
      </c>
      <c r="H1043" s="2" t="s">
        <v>142</v>
      </c>
      <c r="I1043" s="2" t="s">
        <v>41</v>
      </c>
      <c r="J1043" s="2">
        <v>32</v>
      </c>
      <c r="K1043" s="2" t="s">
        <v>132</v>
      </c>
      <c r="L1043" s="2" t="s">
        <v>40</v>
      </c>
      <c r="P1043" s="2" t="s">
        <v>48</v>
      </c>
      <c r="Q1043" s="2">
        <f>INDEX(Tables!$C$4:$C$28,MATCH($P1043,Tables!$B$4:$B$28,0))</f>
        <v>32</v>
      </c>
      <c r="R1043" s="2">
        <f>INDEX(Tables!$D$4:$D$28,MATCH($P1043,Tables!$B$4:$B$28,0))</f>
        <v>4</v>
      </c>
      <c r="S1043" s="2">
        <f>$S1042+$R1042+INDEX(Tables!$N$5:$Q$8,MATCH(MOD($S1042+$R1042,4),Tables!$M$5:$M$8,0),MATCH($R1043,Tables!$N$4:$Q$4,0))</f>
        <v>3988</v>
      </c>
      <c r="T1043" s="2" t="str">
        <f t="shared" si="258"/>
        <v>0F94</v>
      </c>
      <c r="U1043" s="2">
        <f t="shared" si="264"/>
        <v>997</v>
      </c>
      <c r="V1043" s="2" t="str">
        <f t="shared" si="259"/>
        <v>3E5</v>
      </c>
      <c r="W1043" s="2" t="str">
        <f t="shared" si="260"/>
        <v>X</v>
      </c>
      <c r="X1043" s="2" t="str">
        <f t="shared" si="263"/>
        <v>X</v>
      </c>
      <c r="Y1043" s="2" t="str">
        <f t="shared" si="261"/>
        <v>X</v>
      </c>
      <c r="Z1043" s="2" t="str">
        <f t="shared" si="262"/>
        <v>X</v>
      </c>
      <c r="AA1043" s="2" t="str">
        <f t="shared" si="265"/>
        <v>(31 downto 24)</v>
      </c>
      <c r="AB1043" s="2" t="str">
        <f t="shared" si="266"/>
        <v>(23 downto 16)</v>
      </c>
      <c r="AC1043" s="2" t="str">
        <f t="shared" si="267"/>
        <v>(15 downto 8)</v>
      </c>
      <c r="AD1043" s="2" t="str">
        <f t="shared" si="268"/>
        <v>(7 downto 0)</v>
      </c>
      <c r="AE1043" s="2" t="str">
        <f t="shared" si="269"/>
        <v>(31 downto 24)</v>
      </c>
      <c r="AF1043" s="2" t="str">
        <f t="shared" si="270"/>
        <v>(23 downto 16)</v>
      </c>
      <c r="AG1043" s="2" t="str">
        <f t="shared" si="271"/>
        <v>(15 downto 8)</v>
      </c>
      <c r="AH1043" s="2" t="str">
        <f t="shared" si="272"/>
        <v>(7 downto 0)</v>
      </c>
    </row>
    <row r="1044" spans="2:34" x14ac:dyDescent="0.25">
      <c r="B1044" s="2" t="s">
        <v>2947</v>
      </c>
      <c r="C1044" s="2" t="s">
        <v>141</v>
      </c>
      <c r="D1044" s="2" t="s">
        <v>0</v>
      </c>
      <c r="E1044" s="2" t="s">
        <v>130</v>
      </c>
      <c r="F1044" s="2" t="s">
        <v>2948</v>
      </c>
      <c r="G1044" s="2" t="s">
        <v>2949</v>
      </c>
      <c r="H1044" s="2" t="s">
        <v>142</v>
      </c>
      <c r="I1044" s="2" t="s">
        <v>41</v>
      </c>
      <c r="J1044" s="2">
        <v>32</v>
      </c>
      <c r="K1044" s="2" t="s">
        <v>132</v>
      </c>
      <c r="L1044" s="2" t="s">
        <v>40</v>
      </c>
      <c r="P1044" s="2" t="s">
        <v>48</v>
      </c>
      <c r="Q1044" s="2">
        <f>INDEX(Tables!$C$4:$C$28,MATCH($P1044,Tables!$B$4:$B$28,0))</f>
        <v>32</v>
      </c>
      <c r="R1044" s="2">
        <f>INDEX(Tables!$D$4:$D$28,MATCH($P1044,Tables!$B$4:$B$28,0))</f>
        <v>4</v>
      </c>
      <c r="S1044" s="2">
        <f>$S1043+$R1043+INDEX(Tables!$N$5:$Q$8,MATCH(MOD($S1043+$R1043,4),Tables!$M$5:$M$8,0),MATCH($R1044,Tables!$N$4:$Q$4,0))</f>
        <v>3992</v>
      </c>
      <c r="T1044" s="2" t="str">
        <f t="shared" si="258"/>
        <v>0F98</v>
      </c>
      <c r="U1044" s="2">
        <f t="shared" si="264"/>
        <v>998</v>
      </c>
      <c r="V1044" s="2" t="str">
        <f t="shared" si="259"/>
        <v>3E6</v>
      </c>
      <c r="W1044" s="2" t="str">
        <f t="shared" si="260"/>
        <v>X</v>
      </c>
      <c r="X1044" s="2" t="str">
        <f t="shared" si="263"/>
        <v>X</v>
      </c>
      <c r="Y1044" s="2" t="str">
        <f t="shared" si="261"/>
        <v>X</v>
      </c>
      <c r="Z1044" s="2" t="str">
        <f t="shared" si="262"/>
        <v>X</v>
      </c>
      <c r="AA1044" s="2" t="str">
        <f t="shared" si="265"/>
        <v>(31 downto 24)</v>
      </c>
      <c r="AB1044" s="2" t="str">
        <f t="shared" si="266"/>
        <v>(23 downto 16)</v>
      </c>
      <c r="AC1044" s="2" t="str">
        <f t="shared" si="267"/>
        <v>(15 downto 8)</v>
      </c>
      <c r="AD1044" s="2" t="str">
        <f t="shared" si="268"/>
        <v>(7 downto 0)</v>
      </c>
      <c r="AE1044" s="2" t="str">
        <f t="shared" si="269"/>
        <v>(31 downto 24)</v>
      </c>
      <c r="AF1044" s="2" t="str">
        <f t="shared" si="270"/>
        <v>(23 downto 16)</v>
      </c>
      <c r="AG1044" s="2" t="str">
        <f t="shared" si="271"/>
        <v>(15 downto 8)</v>
      </c>
      <c r="AH1044" s="2" t="str">
        <f t="shared" si="272"/>
        <v>(7 downto 0)</v>
      </c>
    </row>
    <row r="1045" spans="2:34" x14ac:dyDescent="0.25">
      <c r="B1045" s="2" t="s">
        <v>2950</v>
      </c>
      <c r="C1045" s="2" t="s">
        <v>141</v>
      </c>
      <c r="D1045" s="2" t="s">
        <v>0</v>
      </c>
      <c r="E1045" s="2" t="s">
        <v>130</v>
      </c>
      <c r="F1045" s="2" t="s">
        <v>2951</v>
      </c>
      <c r="G1045" s="2" t="s">
        <v>2952</v>
      </c>
      <c r="H1045" s="2" t="s">
        <v>142</v>
      </c>
      <c r="I1045" s="2" t="s">
        <v>41</v>
      </c>
      <c r="J1045" s="2">
        <v>32</v>
      </c>
      <c r="K1045" s="2" t="s">
        <v>132</v>
      </c>
      <c r="L1045" s="2" t="s">
        <v>40</v>
      </c>
      <c r="P1045" s="2" t="s">
        <v>48</v>
      </c>
      <c r="Q1045" s="2">
        <f>INDEX(Tables!$C$4:$C$28,MATCH($P1045,Tables!$B$4:$B$28,0))</f>
        <v>32</v>
      </c>
      <c r="R1045" s="2">
        <f>INDEX(Tables!$D$4:$D$28,MATCH($P1045,Tables!$B$4:$B$28,0))</f>
        <v>4</v>
      </c>
      <c r="S1045" s="2">
        <f>$S1044+$R1044+INDEX(Tables!$N$5:$Q$8,MATCH(MOD($S1044+$R1044,4),Tables!$M$5:$M$8,0),MATCH($R1045,Tables!$N$4:$Q$4,0))</f>
        <v>3996</v>
      </c>
      <c r="T1045" s="2" t="str">
        <f t="shared" si="258"/>
        <v>0F9C</v>
      </c>
      <c r="U1045" s="2">
        <f t="shared" si="264"/>
        <v>999</v>
      </c>
      <c r="V1045" s="2" t="str">
        <f t="shared" si="259"/>
        <v>3E7</v>
      </c>
      <c r="W1045" s="2" t="str">
        <f t="shared" si="260"/>
        <v>X</v>
      </c>
      <c r="X1045" s="2" t="str">
        <f t="shared" si="263"/>
        <v>X</v>
      </c>
      <c r="Y1045" s="2" t="str">
        <f t="shared" si="261"/>
        <v>X</v>
      </c>
      <c r="Z1045" s="2" t="str">
        <f t="shared" si="262"/>
        <v>X</v>
      </c>
      <c r="AA1045" s="2" t="str">
        <f t="shared" si="265"/>
        <v>(31 downto 24)</v>
      </c>
      <c r="AB1045" s="2" t="str">
        <f t="shared" si="266"/>
        <v>(23 downto 16)</v>
      </c>
      <c r="AC1045" s="2" t="str">
        <f t="shared" si="267"/>
        <v>(15 downto 8)</v>
      </c>
      <c r="AD1045" s="2" t="str">
        <f t="shared" si="268"/>
        <v>(7 downto 0)</v>
      </c>
      <c r="AE1045" s="2" t="str">
        <f t="shared" si="269"/>
        <v>(31 downto 24)</v>
      </c>
      <c r="AF1045" s="2" t="str">
        <f t="shared" si="270"/>
        <v>(23 downto 16)</v>
      </c>
      <c r="AG1045" s="2" t="str">
        <f t="shared" si="271"/>
        <v>(15 downto 8)</v>
      </c>
      <c r="AH1045" s="2" t="str">
        <f t="shared" si="272"/>
        <v>(7 downto 0)</v>
      </c>
    </row>
    <row r="1046" spans="2:34" x14ac:dyDescent="0.25">
      <c r="B1046" s="2" t="s">
        <v>2953</v>
      </c>
      <c r="C1046" s="2" t="s">
        <v>141</v>
      </c>
      <c r="D1046" s="2" t="s">
        <v>0</v>
      </c>
      <c r="E1046" s="2" t="s">
        <v>130</v>
      </c>
      <c r="F1046" s="2" t="s">
        <v>2954</v>
      </c>
      <c r="G1046" s="2" t="s">
        <v>2955</v>
      </c>
      <c r="H1046" s="2" t="s">
        <v>142</v>
      </c>
      <c r="I1046" s="2" t="s">
        <v>41</v>
      </c>
      <c r="J1046" s="2">
        <v>32</v>
      </c>
      <c r="K1046" s="2" t="s">
        <v>132</v>
      </c>
      <c r="L1046" s="2" t="s">
        <v>40</v>
      </c>
      <c r="P1046" s="2" t="s">
        <v>48</v>
      </c>
      <c r="Q1046" s="2">
        <f>INDEX(Tables!$C$4:$C$28,MATCH($P1046,Tables!$B$4:$B$28,0))</f>
        <v>32</v>
      </c>
      <c r="R1046" s="2">
        <f>INDEX(Tables!$D$4:$D$28,MATCH($P1046,Tables!$B$4:$B$28,0))</f>
        <v>4</v>
      </c>
      <c r="S1046" s="2">
        <f>$S1045+$R1045+INDEX(Tables!$N$5:$Q$8,MATCH(MOD($S1045+$R1045,4),Tables!$M$5:$M$8,0),MATCH($R1046,Tables!$N$4:$Q$4,0))</f>
        <v>4000</v>
      </c>
      <c r="T1046" s="2" t="str">
        <f t="shared" si="258"/>
        <v>0FA0</v>
      </c>
      <c r="U1046" s="2">
        <f t="shared" si="264"/>
        <v>1000</v>
      </c>
      <c r="V1046" s="2" t="str">
        <f t="shared" si="259"/>
        <v>3E8</v>
      </c>
      <c r="W1046" s="2" t="str">
        <f t="shared" si="260"/>
        <v>X</v>
      </c>
      <c r="X1046" s="2" t="str">
        <f t="shared" si="263"/>
        <v>X</v>
      </c>
      <c r="Y1046" s="2" t="str">
        <f t="shared" si="261"/>
        <v>X</v>
      </c>
      <c r="Z1046" s="2" t="str">
        <f t="shared" si="262"/>
        <v>X</v>
      </c>
      <c r="AA1046" s="2" t="str">
        <f t="shared" si="265"/>
        <v>(31 downto 24)</v>
      </c>
      <c r="AB1046" s="2" t="str">
        <f t="shared" si="266"/>
        <v>(23 downto 16)</v>
      </c>
      <c r="AC1046" s="2" t="str">
        <f t="shared" si="267"/>
        <v>(15 downto 8)</v>
      </c>
      <c r="AD1046" s="2" t="str">
        <f t="shared" si="268"/>
        <v>(7 downto 0)</v>
      </c>
      <c r="AE1046" s="2" t="str">
        <f t="shared" si="269"/>
        <v>(31 downto 24)</v>
      </c>
      <c r="AF1046" s="2" t="str">
        <f t="shared" si="270"/>
        <v>(23 downto 16)</v>
      </c>
      <c r="AG1046" s="2" t="str">
        <f t="shared" si="271"/>
        <v>(15 downto 8)</v>
      </c>
      <c r="AH1046" s="2" t="str">
        <f t="shared" si="272"/>
        <v>(7 downto 0)</v>
      </c>
    </row>
    <row r="1047" spans="2:34" x14ac:dyDescent="0.25">
      <c r="B1047" s="2" t="s">
        <v>2956</v>
      </c>
      <c r="C1047" s="2" t="s">
        <v>141</v>
      </c>
      <c r="D1047" s="2" t="s">
        <v>0</v>
      </c>
      <c r="E1047" s="2" t="s">
        <v>130</v>
      </c>
      <c r="F1047" s="2" t="s">
        <v>2957</v>
      </c>
      <c r="G1047" s="2" t="s">
        <v>2958</v>
      </c>
      <c r="H1047" s="2" t="s">
        <v>142</v>
      </c>
      <c r="I1047" s="2" t="s">
        <v>41</v>
      </c>
      <c r="J1047" s="2">
        <v>32</v>
      </c>
      <c r="K1047" s="2" t="s">
        <v>132</v>
      </c>
      <c r="L1047" s="2" t="s">
        <v>40</v>
      </c>
      <c r="P1047" s="2" t="s">
        <v>48</v>
      </c>
      <c r="Q1047" s="2">
        <f>INDEX(Tables!$C$4:$C$28,MATCH($P1047,Tables!$B$4:$B$28,0))</f>
        <v>32</v>
      </c>
      <c r="R1047" s="2">
        <f>INDEX(Tables!$D$4:$D$28,MATCH($P1047,Tables!$B$4:$B$28,0))</f>
        <v>4</v>
      </c>
      <c r="S1047" s="2">
        <f>$S1046+$R1046+INDEX(Tables!$N$5:$Q$8,MATCH(MOD($S1046+$R1046,4),Tables!$M$5:$M$8,0),MATCH($R1047,Tables!$N$4:$Q$4,0))</f>
        <v>4004</v>
      </c>
      <c r="T1047" s="2" t="str">
        <f t="shared" si="258"/>
        <v>0FA4</v>
      </c>
      <c r="U1047" s="2">
        <f t="shared" si="264"/>
        <v>1001</v>
      </c>
      <c r="V1047" s="2" t="str">
        <f t="shared" si="259"/>
        <v>3E9</v>
      </c>
      <c r="W1047" s="2" t="str">
        <f t="shared" si="260"/>
        <v>X</v>
      </c>
      <c r="X1047" s="2" t="str">
        <f t="shared" si="263"/>
        <v>X</v>
      </c>
      <c r="Y1047" s="2" t="str">
        <f t="shared" si="261"/>
        <v>X</v>
      </c>
      <c r="Z1047" s="2" t="str">
        <f t="shared" si="262"/>
        <v>X</v>
      </c>
      <c r="AA1047" s="2" t="str">
        <f t="shared" si="265"/>
        <v>(31 downto 24)</v>
      </c>
      <c r="AB1047" s="2" t="str">
        <f t="shared" si="266"/>
        <v>(23 downto 16)</v>
      </c>
      <c r="AC1047" s="2" t="str">
        <f t="shared" si="267"/>
        <v>(15 downto 8)</v>
      </c>
      <c r="AD1047" s="2" t="str">
        <f t="shared" si="268"/>
        <v>(7 downto 0)</v>
      </c>
      <c r="AE1047" s="2" t="str">
        <f t="shared" si="269"/>
        <v>(31 downto 24)</v>
      </c>
      <c r="AF1047" s="2" t="str">
        <f t="shared" si="270"/>
        <v>(23 downto 16)</v>
      </c>
      <c r="AG1047" s="2" t="str">
        <f t="shared" si="271"/>
        <v>(15 downto 8)</v>
      </c>
      <c r="AH1047" s="2" t="str">
        <f t="shared" si="272"/>
        <v>(7 downto 0)</v>
      </c>
    </row>
    <row r="1048" spans="2:34" x14ac:dyDescent="0.25">
      <c r="B1048" s="2" t="s">
        <v>2959</v>
      </c>
      <c r="C1048" s="2" t="s">
        <v>141</v>
      </c>
      <c r="D1048" s="2" t="s">
        <v>0</v>
      </c>
      <c r="E1048" s="2" t="s">
        <v>130</v>
      </c>
      <c r="F1048" s="2" t="s">
        <v>2960</v>
      </c>
      <c r="G1048" s="2" t="s">
        <v>2961</v>
      </c>
      <c r="H1048" s="2" t="s">
        <v>142</v>
      </c>
      <c r="I1048" s="2" t="s">
        <v>41</v>
      </c>
      <c r="J1048" s="2">
        <v>32</v>
      </c>
      <c r="K1048" s="2" t="s">
        <v>132</v>
      </c>
      <c r="L1048" s="2" t="s">
        <v>40</v>
      </c>
      <c r="P1048" s="2" t="s">
        <v>48</v>
      </c>
      <c r="Q1048" s="2">
        <f>INDEX(Tables!$C$4:$C$28,MATCH($P1048,Tables!$B$4:$B$28,0))</f>
        <v>32</v>
      </c>
      <c r="R1048" s="2">
        <f>INDEX(Tables!$D$4:$D$28,MATCH($P1048,Tables!$B$4:$B$28,0))</f>
        <v>4</v>
      </c>
      <c r="S1048" s="2">
        <f>$S1047+$R1047+INDEX(Tables!$N$5:$Q$8,MATCH(MOD($S1047+$R1047,4),Tables!$M$5:$M$8,0),MATCH($R1048,Tables!$N$4:$Q$4,0))</f>
        <v>4008</v>
      </c>
      <c r="T1048" s="2" t="str">
        <f t="shared" si="258"/>
        <v>0FA8</v>
      </c>
      <c r="U1048" s="2">
        <f t="shared" si="264"/>
        <v>1002</v>
      </c>
      <c r="V1048" s="2" t="str">
        <f t="shared" si="259"/>
        <v>3EA</v>
      </c>
      <c r="W1048" s="2" t="str">
        <f t="shared" si="260"/>
        <v>X</v>
      </c>
      <c r="X1048" s="2" t="str">
        <f t="shared" si="263"/>
        <v>X</v>
      </c>
      <c r="Y1048" s="2" t="str">
        <f t="shared" si="261"/>
        <v>X</v>
      </c>
      <c r="Z1048" s="2" t="str">
        <f t="shared" si="262"/>
        <v>X</v>
      </c>
      <c r="AA1048" s="2" t="str">
        <f t="shared" si="265"/>
        <v>(31 downto 24)</v>
      </c>
      <c r="AB1048" s="2" t="str">
        <f t="shared" si="266"/>
        <v>(23 downto 16)</v>
      </c>
      <c r="AC1048" s="2" t="str">
        <f t="shared" si="267"/>
        <v>(15 downto 8)</v>
      </c>
      <c r="AD1048" s="2" t="str">
        <f t="shared" si="268"/>
        <v>(7 downto 0)</v>
      </c>
      <c r="AE1048" s="2" t="str">
        <f t="shared" si="269"/>
        <v>(31 downto 24)</v>
      </c>
      <c r="AF1048" s="2" t="str">
        <f t="shared" si="270"/>
        <v>(23 downto 16)</v>
      </c>
      <c r="AG1048" s="2" t="str">
        <f t="shared" si="271"/>
        <v>(15 downto 8)</v>
      </c>
      <c r="AH1048" s="2" t="str">
        <f t="shared" si="272"/>
        <v>(7 downto 0)</v>
      </c>
    </row>
    <row r="1049" spans="2:34" x14ac:dyDescent="0.25">
      <c r="B1049" s="2" t="s">
        <v>2962</v>
      </c>
      <c r="C1049" s="2" t="s">
        <v>141</v>
      </c>
      <c r="D1049" s="2" t="s">
        <v>0</v>
      </c>
      <c r="E1049" s="2" t="s">
        <v>130</v>
      </c>
      <c r="F1049" s="2" t="s">
        <v>2963</v>
      </c>
      <c r="G1049" s="2" t="s">
        <v>2964</v>
      </c>
      <c r="H1049" s="2" t="s">
        <v>142</v>
      </c>
      <c r="I1049" s="2" t="s">
        <v>41</v>
      </c>
      <c r="J1049" s="2">
        <v>32</v>
      </c>
      <c r="K1049" s="2" t="s">
        <v>132</v>
      </c>
      <c r="L1049" s="2" t="s">
        <v>40</v>
      </c>
      <c r="P1049" s="2" t="s">
        <v>48</v>
      </c>
      <c r="Q1049" s="2">
        <f>INDEX(Tables!$C$4:$C$28,MATCH($P1049,Tables!$B$4:$B$28,0))</f>
        <v>32</v>
      </c>
      <c r="R1049" s="2">
        <f>INDEX(Tables!$D$4:$D$28,MATCH($P1049,Tables!$B$4:$B$28,0))</f>
        <v>4</v>
      </c>
      <c r="S1049" s="2">
        <f>$S1048+$R1048+INDEX(Tables!$N$5:$Q$8,MATCH(MOD($S1048+$R1048,4),Tables!$M$5:$M$8,0),MATCH($R1049,Tables!$N$4:$Q$4,0))</f>
        <v>4012</v>
      </c>
      <c r="T1049" s="2" t="str">
        <f t="shared" si="258"/>
        <v>0FAC</v>
      </c>
      <c r="U1049" s="2">
        <f t="shared" si="264"/>
        <v>1003</v>
      </c>
      <c r="V1049" s="2" t="str">
        <f t="shared" si="259"/>
        <v>3EB</v>
      </c>
      <c r="W1049" s="2" t="str">
        <f t="shared" si="260"/>
        <v>X</v>
      </c>
      <c r="X1049" s="2" t="str">
        <f t="shared" si="263"/>
        <v>X</v>
      </c>
      <c r="Y1049" s="2" t="str">
        <f t="shared" si="261"/>
        <v>X</v>
      </c>
      <c r="Z1049" s="2" t="str">
        <f t="shared" si="262"/>
        <v>X</v>
      </c>
      <c r="AA1049" s="2" t="str">
        <f t="shared" si="265"/>
        <v>(31 downto 24)</v>
      </c>
      <c r="AB1049" s="2" t="str">
        <f t="shared" si="266"/>
        <v>(23 downto 16)</v>
      </c>
      <c r="AC1049" s="2" t="str">
        <f t="shared" si="267"/>
        <v>(15 downto 8)</v>
      </c>
      <c r="AD1049" s="2" t="str">
        <f t="shared" si="268"/>
        <v>(7 downto 0)</v>
      </c>
      <c r="AE1049" s="2" t="str">
        <f t="shared" si="269"/>
        <v>(31 downto 24)</v>
      </c>
      <c r="AF1049" s="2" t="str">
        <f t="shared" si="270"/>
        <v>(23 downto 16)</v>
      </c>
      <c r="AG1049" s="2" t="str">
        <f t="shared" si="271"/>
        <v>(15 downto 8)</v>
      </c>
      <c r="AH1049" s="2" t="str">
        <f t="shared" si="272"/>
        <v>(7 downto 0)</v>
      </c>
    </row>
    <row r="1050" spans="2:34" x14ac:dyDescent="0.25">
      <c r="B1050" s="2" t="s">
        <v>2965</v>
      </c>
      <c r="C1050" s="2" t="s">
        <v>141</v>
      </c>
      <c r="D1050" s="2" t="s">
        <v>0</v>
      </c>
      <c r="E1050" s="2" t="s">
        <v>130</v>
      </c>
      <c r="F1050" s="2" t="s">
        <v>2966</v>
      </c>
      <c r="G1050" s="2" t="s">
        <v>2967</v>
      </c>
      <c r="H1050" s="2" t="s">
        <v>142</v>
      </c>
      <c r="I1050" s="2" t="s">
        <v>41</v>
      </c>
      <c r="J1050" s="2">
        <v>32</v>
      </c>
      <c r="K1050" s="2" t="s">
        <v>132</v>
      </c>
      <c r="L1050" s="2" t="s">
        <v>40</v>
      </c>
      <c r="P1050" s="2" t="s">
        <v>48</v>
      </c>
      <c r="Q1050" s="2">
        <f>INDEX(Tables!$C$4:$C$28,MATCH($P1050,Tables!$B$4:$B$28,0))</f>
        <v>32</v>
      </c>
      <c r="R1050" s="2">
        <f>INDEX(Tables!$D$4:$D$28,MATCH($P1050,Tables!$B$4:$B$28,0))</f>
        <v>4</v>
      </c>
      <c r="S1050" s="2">
        <f>$S1049+$R1049+INDEX(Tables!$N$5:$Q$8,MATCH(MOD($S1049+$R1049,4),Tables!$M$5:$M$8,0),MATCH($R1050,Tables!$N$4:$Q$4,0))</f>
        <v>4016</v>
      </c>
      <c r="T1050" s="2" t="str">
        <f t="shared" si="258"/>
        <v>0FB0</v>
      </c>
      <c r="U1050" s="2">
        <f t="shared" si="264"/>
        <v>1004</v>
      </c>
      <c r="V1050" s="2" t="str">
        <f t="shared" si="259"/>
        <v>3EC</v>
      </c>
      <c r="W1050" s="2" t="str">
        <f t="shared" si="260"/>
        <v>X</v>
      </c>
      <c r="X1050" s="2" t="str">
        <f t="shared" si="263"/>
        <v>X</v>
      </c>
      <c r="Y1050" s="2" t="str">
        <f t="shared" si="261"/>
        <v>X</v>
      </c>
      <c r="Z1050" s="2" t="str">
        <f t="shared" si="262"/>
        <v>X</v>
      </c>
      <c r="AA1050" s="2" t="str">
        <f t="shared" si="265"/>
        <v>(31 downto 24)</v>
      </c>
      <c r="AB1050" s="2" t="str">
        <f t="shared" si="266"/>
        <v>(23 downto 16)</v>
      </c>
      <c r="AC1050" s="2" t="str">
        <f t="shared" si="267"/>
        <v>(15 downto 8)</v>
      </c>
      <c r="AD1050" s="2" t="str">
        <f t="shared" si="268"/>
        <v>(7 downto 0)</v>
      </c>
      <c r="AE1050" s="2" t="str">
        <f t="shared" si="269"/>
        <v>(31 downto 24)</v>
      </c>
      <c r="AF1050" s="2" t="str">
        <f t="shared" si="270"/>
        <v>(23 downto 16)</v>
      </c>
      <c r="AG1050" s="2" t="str">
        <f t="shared" si="271"/>
        <v>(15 downto 8)</v>
      </c>
      <c r="AH1050" s="2" t="str">
        <f t="shared" si="272"/>
        <v>(7 downto 0)</v>
      </c>
    </row>
    <row r="1051" spans="2:34" x14ac:dyDescent="0.25">
      <c r="B1051" s="2" t="s">
        <v>2968</v>
      </c>
      <c r="C1051" s="2" t="s">
        <v>141</v>
      </c>
      <c r="D1051" s="2" t="s">
        <v>0</v>
      </c>
      <c r="E1051" s="2" t="s">
        <v>130</v>
      </c>
      <c r="F1051" s="2" t="s">
        <v>2969</v>
      </c>
      <c r="G1051" s="2" t="s">
        <v>2970</v>
      </c>
      <c r="H1051" s="2" t="s">
        <v>142</v>
      </c>
      <c r="I1051" s="2" t="s">
        <v>41</v>
      </c>
      <c r="J1051" s="2">
        <v>32</v>
      </c>
      <c r="K1051" s="2" t="s">
        <v>132</v>
      </c>
      <c r="L1051" s="2" t="s">
        <v>40</v>
      </c>
      <c r="P1051" s="2" t="s">
        <v>48</v>
      </c>
      <c r="Q1051" s="2">
        <f>INDEX(Tables!$C$4:$C$28,MATCH($P1051,Tables!$B$4:$B$28,0))</f>
        <v>32</v>
      </c>
      <c r="R1051" s="2">
        <f>INDEX(Tables!$D$4:$D$28,MATCH($P1051,Tables!$B$4:$B$28,0))</f>
        <v>4</v>
      </c>
      <c r="S1051" s="2">
        <f>$S1050+$R1050+INDEX(Tables!$N$5:$Q$8,MATCH(MOD($S1050+$R1050,4),Tables!$M$5:$M$8,0),MATCH($R1051,Tables!$N$4:$Q$4,0))</f>
        <v>4020</v>
      </c>
      <c r="T1051" s="2" t="str">
        <f t="shared" si="258"/>
        <v>0FB4</v>
      </c>
      <c r="U1051" s="2">
        <f t="shared" si="264"/>
        <v>1005</v>
      </c>
      <c r="V1051" s="2" t="str">
        <f t="shared" si="259"/>
        <v>3ED</v>
      </c>
      <c r="W1051" s="2" t="str">
        <f t="shared" si="260"/>
        <v>X</v>
      </c>
      <c r="X1051" s="2" t="str">
        <f t="shared" si="263"/>
        <v>X</v>
      </c>
      <c r="Y1051" s="2" t="str">
        <f t="shared" si="261"/>
        <v>X</v>
      </c>
      <c r="Z1051" s="2" t="str">
        <f t="shared" si="262"/>
        <v>X</v>
      </c>
      <c r="AA1051" s="2" t="str">
        <f t="shared" si="265"/>
        <v>(31 downto 24)</v>
      </c>
      <c r="AB1051" s="2" t="str">
        <f t="shared" si="266"/>
        <v>(23 downto 16)</v>
      </c>
      <c r="AC1051" s="2" t="str">
        <f t="shared" si="267"/>
        <v>(15 downto 8)</v>
      </c>
      <c r="AD1051" s="2" t="str">
        <f t="shared" si="268"/>
        <v>(7 downto 0)</v>
      </c>
      <c r="AE1051" s="2" t="str">
        <f t="shared" si="269"/>
        <v>(31 downto 24)</v>
      </c>
      <c r="AF1051" s="2" t="str">
        <f t="shared" si="270"/>
        <v>(23 downto 16)</v>
      </c>
      <c r="AG1051" s="2" t="str">
        <f t="shared" si="271"/>
        <v>(15 downto 8)</v>
      </c>
      <c r="AH1051" s="2" t="str">
        <f t="shared" si="272"/>
        <v>(7 downto 0)</v>
      </c>
    </row>
    <row r="1052" spans="2:34" x14ac:dyDescent="0.25">
      <c r="B1052" s="2" t="s">
        <v>2971</v>
      </c>
      <c r="C1052" s="2" t="s">
        <v>141</v>
      </c>
      <c r="D1052" s="2" t="s">
        <v>0</v>
      </c>
      <c r="E1052" s="2" t="s">
        <v>130</v>
      </c>
      <c r="F1052" s="2" t="s">
        <v>2972</v>
      </c>
      <c r="G1052" s="2" t="s">
        <v>2973</v>
      </c>
      <c r="H1052" s="2" t="s">
        <v>142</v>
      </c>
      <c r="I1052" s="2" t="s">
        <v>41</v>
      </c>
      <c r="J1052" s="2">
        <v>32</v>
      </c>
      <c r="K1052" s="2" t="s">
        <v>132</v>
      </c>
      <c r="L1052" s="2" t="s">
        <v>40</v>
      </c>
      <c r="P1052" s="2" t="s">
        <v>48</v>
      </c>
      <c r="Q1052" s="2">
        <f>INDEX(Tables!$C$4:$C$28,MATCH($P1052,Tables!$B$4:$B$28,0))</f>
        <v>32</v>
      </c>
      <c r="R1052" s="2">
        <f>INDEX(Tables!$D$4:$D$28,MATCH($P1052,Tables!$B$4:$B$28,0))</f>
        <v>4</v>
      </c>
      <c r="S1052" s="2">
        <f>$S1051+$R1051+INDEX(Tables!$N$5:$Q$8,MATCH(MOD($S1051+$R1051,4),Tables!$M$5:$M$8,0),MATCH($R1052,Tables!$N$4:$Q$4,0))</f>
        <v>4024</v>
      </c>
      <c r="T1052" s="2" t="str">
        <f t="shared" si="258"/>
        <v>0FB8</v>
      </c>
      <c r="U1052" s="2">
        <f t="shared" si="264"/>
        <v>1006</v>
      </c>
      <c r="V1052" s="2" t="str">
        <f t="shared" si="259"/>
        <v>3EE</v>
      </c>
      <c r="W1052" s="2" t="str">
        <f t="shared" si="260"/>
        <v>X</v>
      </c>
      <c r="X1052" s="2" t="str">
        <f t="shared" si="263"/>
        <v>X</v>
      </c>
      <c r="Y1052" s="2" t="str">
        <f t="shared" si="261"/>
        <v>X</v>
      </c>
      <c r="Z1052" s="2" t="str">
        <f t="shared" si="262"/>
        <v>X</v>
      </c>
      <c r="AA1052" s="2" t="str">
        <f t="shared" si="265"/>
        <v>(31 downto 24)</v>
      </c>
      <c r="AB1052" s="2" t="str">
        <f t="shared" si="266"/>
        <v>(23 downto 16)</v>
      </c>
      <c r="AC1052" s="2" t="str">
        <f t="shared" si="267"/>
        <v>(15 downto 8)</v>
      </c>
      <c r="AD1052" s="2" t="str">
        <f t="shared" si="268"/>
        <v>(7 downto 0)</v>
      </c>
      <c r="AE1052" s="2" t="str">
        <f t="shared" si="269"/>
        <v>(31 downto 24)</v>
      </c>
      <c r="AF1052" s="2" t="str">
        <f t="shared" si="270"/>
        <v>(23 downto 16)</v>
      </c>
      <c r="AG1052" s="2" t="str">
        <f t="shared" si="271"/>
        <v>(15 downto 8)</v>
      </c>
      <c r="AH1052" s="2" t="str">
        <f t="shared" si="272"/>
        <v>(7 downto 0)</v>
      </c>
    </row>
    <row r="1053" spans="2:34" x14ac:dyDescent="0.25">
      <c r="B1053" s="2" t="s">
        <v>2974</v>
      </c>
      <c r="C1053" s="2" t="s">
        <v>141</v>
      </c>
      <c r="D1053" s="2" t="s">
        <v>0</v>
      </c>
      <c r="E1053" s="2" t="s">
        <v>130</v>
      </c>
      <c r="F1053" s="2" t="s">
        <v>2975</v>
      </c>
      <c r="G1053" s="2" t="s">
        <v>2976</v>
      </c>
      <c r="H1053" s="2" t="s">
        <v>142</v>
      </c>
      <c r="I1053" s="2" t="s">
        <v>41</v>
      </c>
      <c r="J1053" s="2">
        <v>32</v>
      </c>
      <c r="K1053" s="2" t="s">
        <v>132</v>
      </c>
      <c r="L1053" s="2" t="s">
        <v>40</v>
      </c>
      <c r="P1053" s="2" t="s">
        <v>48</v>
      </c>
      <c r="Q1053" s="2">
        <f>INDEX(Tables!$C$4:$C$28,MATCH($P1053,Tables!$B$4:$B$28,0))</f>
        <v>32</v>
      </c>
      <c r="R1053" s="2">
        <f>INDEX(Tables!$D$4:$D$28,MATCH($P1053,Tables!$B$4:$B$28,0))</f>
        <v>4</v>
      </c>
      <c r="S1053" s="2">
        <f>$S1052+$R1052+INDEX(Tables!$N$5:$Q$8,MATCH(MOD($S1052+$R1052,4),Tables!$M$5:$M$8,0),MATCH($R1053,Tables!$N$4:$Q$4,0))</f>
        <v>4028</v>
      </c>
      <c r="T1053" s="2" t="str">
        <f t="shared" si="258"/>
        <v>0FBC</v>
      </c>
      <c r="U1053" s="2">
        <f t="shared" si="264"/>
        <v>1007</v>
      </c>
      <c r="V1053" s="2" t="str">
        <f t="shared" si="259"/>
        <v>3EF</v>
      </c>
      <c r="W1053" s="2" t="str">
        <f t="shared" si="260"/>
        <v>X</v>
      </c>
      <c r="X1053" s="2" t="str">
        <f t="shared" si="263"/>
        <v>X</v>
      </c>
      <c r="Y1053" s="2" t="str">
        <f t="shared" si="261"/>
        <v>X</v>
      </c>
      <c r="Z1053" s="2" t="str">
        <f t="shared" si="262"/>
        <v>X</v>
      </c>
      <c r="AA1053" s="2" t="str">
        <f t="shared" si="265"/>
        <v>(31 downto 24)</v>
      </c>
      <c r="AB1053" s="2" t="str">
        <f t="shared" si="266"/>
        <v>(23 downto 16)</v>
      </c>
      <c r="AC1053" s="2" t="str">
        <f t="shared" si="267"/>
        <v>(15 downto 8)</v>
      </c>
      <c r="AD1053" s="2" t="str">
        <f t="shared" si="268"/>
        <v>(7 downto 0)</v>
      </c>
      <c r="AE1053" s="2" t="str">
        <f t="shared" si="269"/>
        <v>(31 downto 24)</v>
      </c>
      <c r="AF1053" s="2" t="str">
        <f t="shared" si="270"/>
        <v>(23 downto 16)</v>
      </c>
      <c r="AG1053" s="2" t="str">
        <f t="shared" si="271"/>
        <v>(15 downto 8)</v>
      </c>
      <c r="AH1053" s="2" t="str">
        <f t="shared" si="272"/>
        <v>(7 downto 0)</v>
      </c>
    </row>
    <row r="1054" spans="2:34" x14ac:dyDescent="0.25">
      <c r="B1054" s="2" t="s">
        <v>2977</v>
      </c>
      <c r="C1054" s="2" t="s">
        <v>141</v>
      </c>
      <c r="D1054" s="2" t="s">
        <v>0</v>
      </c>
      <c r="E1054" s="2" t="s">
        <v>130</v>
      </c>
      <c r="F1054" s="2" t="s">
        <v>2978</v>
      </c>
      <c r="G1054" s="2" t="s">
        <v>2979</v>
      </c>
      <c r="H1054" s="2" t="s">
        <v>142</v>
      </c>
      <c r="I1054" s="2" t="s">
        <v>41</v>
      </c>
      <c r="J1054" s="2">
        <v>32</v>
      </c>
      <c r="K1054" s="2" t="s">
        <v>132</v>
      </c>
      <c r="L1054" s="2" t="s">
        <v>40</v>
      </c>
      <c r="P1054" s="2" t="s">
        <v>48</v>
      </c>
      <c r="Q1054" s="2">
        <f>INDEX(Tables!$C$4:$C$28,MATCH($P1054,Tables!$B$4:$B$28,0))</f>
        <v>32</v>
      </c>
      <c r="R1054" s="2">
        <f>INDEX(Tables!$D$4:$D$28,MATCH($P1054,Tables!$B$4:$B$28,0))</f>
        <v>4</v>
      </c>
      <c r="S1054" s="2">
        <f>$S1053+$R1053+INDEX(Tables!$N$5:$Q$8,MATCH(MOD($S1053+$R1053,4),Tables!$M$5:$M$8,0),MATCH($R1054,Tables!$N$4:$Q$4,0))</f>
        <v>4032</v>
      </c>
      <c r="T1054" s="2" t="str">
        <f t="shared" si="258"/>
        <v>0FC0</v>
      </c>
      <c r="U1054" s="2">
        <f t="shared" si="264"/>
        <v>1008</v>
      </c>
      <c r="V1054" s="2" t="str">
        <f t="shared" si="259"/>
        <v>3F0</v>
      </c>
      <c r="W1054" s="2" t="str">
        <f t="shared" si="260"/>
        <v>X</v>
      </c>
      <c r="X1054" s="2" t="str">
        <f t="shared" si="263"/>
        <v>X</v>
      </c>
      <c r="Y1054" s="2" t="str">
        <f t="shared" si="261"/>
        <v>X</v>
      </c>
      <c r="Z1054" s="2" t="str">
        <f t="shared" si="262"/>
        <v>X</v>
      </c>
      <c r="AA1054" s="2" t="str">
        <f t="shared" si="265"/>
        <v>(31 downto 24)</v>
      </c>
      <c r="AB1054" s="2" t="str">
        <f t="shared" si="266"/>
        <v>(23 downto 16)</v>
      </c>
      <c r="AC1054" s="2" t="str">
        <f t="shared" si="267"/>
        <v>(15 downto 8)</v>
      </c>
      <c r="AD1054" s="2" t="str">
        <f t="shared" si="268"/>
        <v>(7 downto 0)</v>
      </c>
      <c r="AE1054" s="2" t="str">
        <f t="shared" si="269"/>
        <v>(31 downto 24)</v>
      </c>
      <c r="AF1054" s="2" t="str">
        <f t="shared" si="270"/>
        <v>(23 downto 16)</v>
      </c>
      <c r="AG1054" s="2" t="str">
        <f t="shared" si="271"/>
        <v>(15 downto 8)</v>
      </c>
      <c r="AH1054" s="2" t="str">
        <f t="shared" si="272"/>
        <v>(7 downto 0)</v>
      </c>
    </row>
    <row r="1055" spans="2:34" x14ac:dyDescent="0.25">
      <c r="B1055" s="2" t="s">
        <v>2980</v>
      </c>
      <c r="C1055" s="2" t="s">
        <v>141</v>
      </c>
      <c r="D1055" s="2" t="s">
        <v>0</v>
      </c>
      <c r="E1055" s="2" t="s">
        <v>130</v>
      </c>
      <c r="F1055" s="2" t="s">
        <v>2981</v>
      </c>
      <c r="G1055" s="2" t="s">
        <v>2982</v>
      </c>
      <c r="H1055" s="2" t="s">
        <v>142</v>
      </c>
      <c r="I1055" s="2" t="s">
        <v>41</v>
      </c>
      <c r="J1055" s="2">
        <v>32</v>
      </c>
      <c r="K1055" s="2" t="s">
        <v>132</v>
      </c>
      <c r="L1055" s="2" t="s">
        <v>40</v>
      </c>
      <c r="P1055" s="2" t="s">
        <v>48</v>
      </c>
      <c r="Q1055" s="2">
        <f>INDEX(Tables!$C$4:$C$28,MATCH($P1055,Tables!$B$4:$B$28,0))</f>
        <v>32</v>
      </c>
      <c r="R1055" s="2">
        <f>INDEX(Tables!$D$4:$D$28,MATCH($P1055,Tables!$B$4:$B$28,0))</f>
        <v>4</v>
      </c>
      <c r="S1055" s="2">
        <f>$S1054+$R1054+INDEX(Tables!$N$5:$Q$8,MATCH(MOD($S1054+$R1054,4),Tables!$M$5:$M$8,0),MATCH($R1055,Tables!$N$4:$Q$4,0))</f>
        <v>4036</v>
      </c>
      <c r="T1055" s="2" t="str">
        <f t="shared" si="258"/>
        <v>0FC4</v>
      </c>
      <c r="U1055" s="2">
        <f t="shared" si="264"/>
        <v>1009</v>
      </c>
      <c r="V1055" s="2" t="str">
        <f t="shared" si="259"/>
        <v>3F1</v>
      </c>
      <c r="W1055" s="2" t="str">
        <f t="shared" si="260"/>
        <v>X</v>
      </c>
      <c r="X1055" s="2" t="str">
        <f t="shared" si="263"/>
        <v>X</v>
      </c>
      <c r="Y1055" s="2" t="str">
        <f t="shared" si="261"/>
        <v>X</v>
      </c>
      <c r="Z1055" s="2" t="str">
        <f t="shared" si="262"/>
        <v>X</v>
      </c>
      <c r="AA1055" s="2" t="str">
        <f t="shared" si="265"/>
        <v>(31 downto 24)</v>
      </c>
      <c r="AB1055" s="2" t="str">
        <f t="shared" si="266"/>
        <v>(23 downto 16)</v>
      </c>
      <c r="AC1055" s="2" t="str">
        <f t="shared" si="267"/>
        <v>(15 downto 8)</v>
      </c>
      <c r="AD1055" s="2" t="str">
        <f t="shared" si="268"/>
        <v>(7 downto 0)</v>
      </c>
      <c r="AE1055" s="2" t="str">
        <f t="shared" si="269"/>
        <v>(31 downto 24)</v>
      </c>
      <c r="AF1055" s="2" t="str">
        <f t="shared" si="270"/>
        <v>(23 downto 16)</v>
      </c>
      <c r="AG1055" s="2" t="str">
        <f t="shared" si="271"/>
        <v>(15 downto 8)</v>
      </c>
      <c r="AH1055" s="2" t="str">
        <f t="shared" si="272"/>
        <v>(7 downto 0)</v>
      </c>
    </row>
    <row r="1056" spans="2:34" x14ac:dyDescent="0.25">
      <c r="B1056" s="2" t="s">
        <v>2983</v>
      </c>
      <c r="C1056" s="2" t="s">
        <v>141</v>
      </c>
      <c r="D1056" s="2" t="s">
        <v>0</v>
      </c>
      <c r="E1056" s="2" t="s">
        <v>130</v>
      </c>
      <c r="F1056" s="2" t="s">
        <v>2984</v>
      </c>
      <c r="G1056" s="2" t="s">
        <v>2985</v>
      </c>
      <c r="H1056" s="2" t="s">
        <v>142</v>
      </c>
      <c r="I1056" s="2" t="s">
        <v>41</v>
      </c>
      <c r="J1056" s="2">
        <v>32</v>
      </c>
      <c r="K1056" s="2" t="s">
        <v>132</v>
      </c>
      <c r="L1056" s="2" t="s">
        <v>40</v>
      </c>
      <c r="P1056" s="2" t="s">
        <v>48</v>
      </c>
      <c r="Q1056" s="2">
        <f>INDEX(Tables!$C$4:$C$28,MATCH($P1056,Tables!$B$4:$B$28,0))</f>
        <v>32</v>
      </c>
      <c r="R1056" s="2">
        <f>INDEX(Tables!$D$4:$D$28,MATCH($P1056,Tables!$B$4:$B$28,0))</f>
        <v>4</v>
      </c>
      <c r="S1056" s="2">
        <f>$S1055+$R1055+INDEX(Tables!$N$5:$Q$8,MATCH(MOD($S1055+$R1055,4),Tables!$M$5:$M$8,0),MATCH($R1056,Tables!$N$4:$Q$4,0))</f>
        <v>4040</v>
      </c>
      <c r="T1056" s="2" t="str">
        <f t="shared" si="258"/>
        <v>0FC8</v>
      </c>
      <c r="U1056" s="2">
        <f t="shared" si="264"/>
        <v>1010</v>
      </c>
      <c r="V1056" s="2" t="str">
        <f t="shared" si="259"/>
        <v>3F2</v>
      </c>
      <c r="W1056" s="2" t="str">
        <f t="shared" si="260"/>
        <v>X</v>
      </c>
      <c r="X1056" s="2" t="str">
        <f t="shared" si="263"/>
        <v>X</v>
      </c>
      <c r="Y1056" s="2" t="str">
        <f t="shared" si="261"/>
        <v>X</v>
      </c>
      <c r="Z1056" s="2" t="str">
        <f t="shared" si="262"/>
        <v>X</v>
      </c>
      <c r="AA1056" s="2" t="str">
        <f t="shared" si="265"/>
        <v>(31 downto 24)</v>
      </c>
      <c r="AB1056" s="2" t="str">
        <f t="shared" si="266"/>
        <v>(23 downto 16)</v>
      </c>
      <c r="AC1056" s="2" t="str">
        <f t="shared" si="267"/>
        <v>(15 downto 8)</v>
      </c>
      <c r="AD1056" s="2" t="str">
        <f t="shared" si="268"/>
        <v>(7 downto 0)</v>
      </c>
      <c r="AE1056" s="2" t="str">
        <f t="shared" si="269"/>
        <v>(31 downto 24)</v>
      </c>
      <c r="AF1056" s="2" t="str">
        <f t="shared" si="270"/>
        <v>(23 downto 16)</v>
      </c>
      <c r="AG1056" s="2" t="str">
        <f t="shared" si="271"/>
        <v>(15 downto 8)</v>
      </c>
      <c r="AH1056" s="2" t="str">
        <f t="shared" si="272"/>
        <v>(7 downto 0)</v>
      </c>
    </row>
    <row r="1057" spans="2:34" x14ac:dyDescent="0.25">
      <c r="B1057" s="2" t="s">
        <v>2986</v>
      </c>
      <c r="C1057" s="2" t="s">
        <v>141</v>
      </c>
      <c r="D1057" s="2" t="s">
        <v>0</v>
      </c>
      <c r="E1057" s="2" t="s">
        <v>130</v>
      </c>
      <c r="F1057" s="2" t="s">
        <v>2987</v>
      </c>
      <c r="G1057" s="2" t="s">
        <v>2988</v>
      </c>
      <c r="H1057" s="2" t="s">
        <v>142</v>
      </c>
      <c r="I1057" s="2" t="s">
        <v>41</v>
      </c>
      <c r="J1057" s="2">
        <v>32</v>
      </c>
      <c r="K1057" s="2" t="s">
        <v>132</v>
      </c>
      <c r="L1057" s="2" t="s">
        <v>40</v>
      </c>
      <c r="P1057" s="2" t="s">
        <v>48</v>
      </c>
      <c r="Q1057" s="2">
        <f>INDEX(Tables!$C$4:$C$28,MATCH($P1057,Tables!$B$4:$B$28,0))</f>
        <v>32</v>
      </c>
      <c r="R1057" s="2">
        <f>INDEX(Tables!$D$4:$D$28,MATCH($P1057,Tables!$B$4:$B$28,0))</f>
        <v>4</v>
      </c>
      <c r="S1057" s="2">
        <f>$S1056+$R1056+INDEX(Tables!$N$5:$Q$8,MATCH(MOD($S1056+$R1056,4),Tables!$M$5:$M$8,0),MATCH($R1057,Tables!$N$4:$Q$4,0))</f>
        <v>4044</v>
      </c>
      <c r="T1057" s="2" t="str">
        <f t="shared" si="258"/>
        <v>0FCC</v>
      </c>
      <c r="U1057" s="2">
        <f t="shared" si="264"/>
        <v>1011</v>
      </c>
      <c r="V1057" s="2" t="str">
        <f t="shared" si="259"/>
        <v>3F3</v>
      </c>
      <c r="W1057" s="2" t="str">
        <f t="shared" si="260"/>
        <v>X</v>
      </c>
      <c r="X1057" s="2" t="str">
        <f t="shared" si="263"/>
        <v>X</v>
      </c>
      <c r="Y1057" s="2" t="str">
        <f t="shared" si="261"/>
        <v>X</v>
      </c>
      <c r="Z1057" s="2" t="str">
        <f t="shared" si="262"/>
        <v>X</v>
      </c>
      <c r="AA1057" s="2" t="str">
        <f t="shared" si="265"/>
        <v>(31 downto 24)</v>
      </c>
      <c r="AB1057" s="2" t="str">
        <f t="shared" si="266"/>
        <v>(23 downto 16)</v>
      </c>
      <c r="AC1057" s="2" t="str">
        <f t="shared" si="267"/>
        <v>(15 downto 8)</v>
      </c>
      <c r="AD1057" s="2" t="str">
        <f t="shared" si="268"/>
        <v>(7 downto 0)</v>
      </c>
      <c r="AE1057" s="2" t="str">
        <f t="shared" si="269"/>
        <v>(31 downto 24)</v>
      </c>
      <c r="AF1057" s="2" t="str">
        <f t="shared" si="270"/>
        <v>(23 downto 16)</v>
      </c>
      <c r="AG1057" s="2" t="str">
        <f t="shared" si="271"/>
        <v>(15 downto 8)</v>
      </c>
      <c r="AH1057" s="2" t="str">
        <f t="shared" si="272"/>
        <v>(7 downto 0)</v>
      </c>
    </row>
    <row r="1058" spans="2:34" x14ac:dyDescent="0.25">
      <c r="B1058" s="2" t="s">
        <v>2989</v>
      </c>
      <c r="C1058" s="2" t="s">
        <v>141</v>
      </c>
      <c r="D1058" s="2" t="s">
        <v>0</v>
      </c>
      <c r="E1058" s="2" t="s">
        <v>130</v>
      </c>
      <c r="F1058" s="2" t="s">
        <v>2990</v>
      </c>
      <c r="G1058" s="2" t="s">
        <v>2991</v>
      </c>
      <c r="H1058" s="2" t="s">
        <v>142</v>
      </c>
      <c r="I1058" s="2" t="s">
        <v>41</v>
      </c>
      <c r="J1058" s="2">
        <v>32</v>
      </c>
      <c r="K1058" s="2" t="s">
        <v>132</v>
      </c>
      <c r="L1058" s="2" t="s">
        <v>40</v>
      </c>
      <c r="P1058" s="2" t="s">
        <v>48</v>
      </c>
      <c r="Q1058" s="2">
        <f>INDEX(Tables!$C$4:$C$28,MATCH($P1058,Tables!$B$4:$B$28,0))</f>
        <v>32</v>
      </c>
      <c r="R1058" s="2">
        <f>INDEX(Tables!$D$4:$D$28,MATCH($P1058,Tables!$B$4:$B$28,0))</f>
        <v>4</v>
      </c>
      <c r="S1058" s="2">
        <f>$S1057+$R1057+INDEX(Tables!$N$5:$Q$8,MATCH(MOD($S1057+$R1057,4),Tables!$M$5:$M$8,0),MATCH($R1058,Tables!$N$4:$Q$4,0))</f>
        <v>4048</v>
      </c>
      <c r="T1058" s="2" t="str">
        <f t="shared" si="258"/>
        <v>0FD0</v>
      </c>
      <c r="U1058" s="2">
        <f t="shared" si="264"/>
        <v>1012</v>
      </c>
      <c r="V1058" s="2" t="str">
        <f t="shared" si="259"/>
        <v>3F4</v>
      </c>
      <c r="W1058" s="2" t="str">
        <f t="shared" si="260"/>
        <v>X</v>
      </c>
      <c r="X1058" s="2" t="str">
        <f t="shared" si="263"/>
        <v>X</v>
      </c>
      <c r="Y1058" s="2" t="str">
        <f t="shared" si="261"/>
        <v>X</v>
      </c>
      <c r="Z1058" s="2" t="str">
        <f t="shared" si="262"/>
        <v>X</v>
      </c>
      <c r="AA1058" s="2" t="str">
        <f t="shared" si="265"/>
        <v>(31 downto 24)</v>
      </c>
      <c r="AB1058" s="2" t="str">
        <f t="shared" si="266"/>
        <v>(23 downto 16)</v>
      </c>
      <c r="AC1058" s="2" t="str">
        <f t="shared" si="267"/>
        <v>(15 downto 8)</v>
      </c>
      <c r="AD1058" s="2" t="str">
        <f t="shared" si="268"/>
        <v>(7 downto 0)</v>
      </c>
      <c r="AE1058" s="2" t="str">
        <f t="shared" si="269"/>
        <v>(31 downto 24)</v>
      </c>
      <c r="AF1058" s="2" t="str">
        <f t="shared" si="270"/>
        <v>(23 downto 16)</v>
      </c>
      <c r="AG1058" s="2" t="str">
        <f t="shared" si="271"/>
        <v>(15 downto 8)</v>
      </c>
      <c r="AH1058" s="2" t="str">
        <f t="shared" si="272"/>
        <v>(7 downto 0)</v>
      </c>
    </row>
    <row r="1059" spans="2:34" x14ac:dyDescent="0.25">
      <c r="B1059" s="2" t="s">
        <v>2992</v>
      </c>
      <c r="C1059" s="2" t="s">
        <v>141</v>
      </c>
      <c r="D1059" s="2" t="s">
        <v>0</v>
      </c>
      <c r="E1059" s="2" t="s">
        <v>130</v>
      </c>
      <c r="F1059" s="2" t="s">
        <v>2993</v>
      </c>
      <c r="G1059" s="2" t="s">
        <v>2994</v>
      </c>
      <c r="H1059" s="2" t="s">
        <v>142</v>
      </c>
      <c r="I1059" s="2" t="s">
        <v>41</v>
      </c>
      <c r="J1059" s="2">
        <v>32</v>
      </c>
      <c r="K1059" s="2" t="s">
        <v>132</v>
      </c>
      <c r="L1059" s="2" t="s">
        <v>40</v>
      </c>
      <c r="P1059" s="2" t="s">
        <v>48</v>
      </c>
      <c r="Q1059" s="2">
        <f>INDEX(Tables!$C$4:$C$28,MATCH($P1059,Tables!$B$4:$B$28,0))</f>
        <v>32</v>
      </c>
      <c r="R1059" s="2">
        <f>INDEX(Tables!$D$4:$D$28,MATCH($P1059,Tables!$B$4:$B$28,0))</f>
        <v>4</v>
      </c>
      <c r="S1059" s="2">
        <f>$S1058+$R1058+INDEX(Tables!$N$5:$Q$8,MATCH(MOD($S1058+$R1058,4),Tables!$M$5:$M$8,0),MATCH($R1059,Tables!$N$4:$Q$4,0))</f>
        <v>4052</v>
      </c>
      <c r="T1059" s="2" t="str">
        <f t="shared" si="258"/>
        <v>0FD4</v>
      </c>
      <c r="U1059" s="2">
        <f t="shared" si="264"/>
        <v>1013</v>
      </c>
      <c r="V1059" s="2" t="str">
        <f t="shared" si="259"/>
        <v>3F5</v>
      </c>
      <c r="W1059" s="2" t="str">
        <f t="shared" si="260"/>
        <v>X</v>
      </c>
      <c r="X1059" s="2" t="str">
        <f t="shared" si="263"/>
        <v>X</v>
      </c>
      <c r="Y1059" s="2" t="str">
        <f t="shared" si="261"/>
        <v>X</v>
      </c>
      <c r="Z1059" s="2" t="str">
        <f t="shared" si="262"/>
        <v>X</v>
      </c>
      <c r="AA1059" s="2" t="str">
        <f t="shared" si="265"/>
        <v>(31 downto 24)</v>
      </c>
      <c r="AB1059" s="2" t="str">
        <f t="shared" si="266"/>
        <v>(23 downto 16)</v>
      </c>
      <c r="AC1059" s="2" t="str">
        <f t="shared" si="267"/>
        <v>(15 downto 8)</v>
      </c>
      <c r="AD1059" s="2" t="str">
        <f t="shared" si="268"/>
        <v>(7 downto 0)</v>
      </c>
      <c r="AE1059" s="2" t="str">
        <f t="shared" si="269"/>
        <v>(31 downto 24)</v>
      </c>
      <c r="AF1059" s="2" t="str">
        <f t="shared" si="270"/>
        <v>(23 downto 16)</v>
      </c>
      <c r="AG1059" s="2" t="str">
        <f t="shared" si="271"/>
        <v>(15 downto 8)</v>
      </c>
      <c r="AH1059" s="2" t="str">
        <f t="shared" si="272"/>
        <v>(7 downto 0)</v>
      </c>
    </row>
    <row r="1060" spans="2:34" x14ac:dyDescent="0.25">
      <c r="B1060" s="2" t="s">
        <v>2995</v>
      </c>
      <c r="C1060" s="2" t="s">
        <v>141</v>
      </c>
      <c r="D1060" s="2" t="s">
        <v>0</v>
      </c>
      <c r="E1060" s="2" t="s">
        <v>130</v>
      </c>
      <c r="F1060" s="2" t="s">
        <v>2996</v>
      </c>
      <c r="G1060" s="2" t="s">
        <v>2997</v>
      </c>
      <c r="H1060" s="2" t="s">
        <v>142</v>
      </c>
      <c r="I1060" s="2" t="s">
        <v>41</v>
      </c>
      <c r="J1060" s="2">
        <v>32</v>
      </c>
      <c r="K1060" s="2" t="s">
        <v>132</v>
      </c>
      <c r="L1060" s="2" t="s">
        <v>40</v>
      </c>
      <c r="P1060" s="2" t="s">
        <v>48</v>
      </c>
      <c r="Q1060" s="2">
        <f>INDEX(Tables!$C$4:$C$28,MATCH($P1060,Tables!$B$4:$B$28,0))</f>
        <v>32</v>
      </c>
      <c r="R1060" s="2">
        <f>INDEX(Tables!$D$4:$D$28,MATCH($P1060,Tables!$B$4:$B$28,0))</f>
        <v>4</v>
      </c>
      <c r="S1060" s="2">
        <f>$S1059+$R1059+INDEX(Tables!$N$5:$Q$8,MATCH(MOD($S1059+$R1059,4),Tables!$M$5:$M$8,0),MATCH($R1060,Tables!$N$4:$Q$4,0))</f>
        <v>4056</v>
      </c>
      <c r="T1060" s="2" t="str">
        <f t="shared" si="258"/>
        <v>0FD8</v>
      </c>
      <c r="U1060" s="2">
        <f t="shared" si="264"/>
        <v>1014</v>
      </c>
      <c r="V1060" s="2" t="str">
        <f t="shared" si="259"/>
        <v>3F6</v>
      </c>
      <c r="W1060" s="2" t="str">
        <f t="shared" si="260"/>
        <v>X</v>
      </c>
      <c r="X1060" s="2" t="str">
        <f t="shared" si="263"/>
        <v>X</v>
      </c>
      <c r="Y1060" s="2" t="str">
        <f t="shared" si="261"/>
        <v>X</v>
      </c>
      <c r="Z1060" s="2" t="str">
        <f t="shared" si="262"/>
        <v>X</v>
      </c>
      <c r="AA1060" s="2" t="str">
        <f t="shared" si="265"/>
        <v>(31 downto 24)</v>
      </c>
      <c r="AB1060" s="2" t="str">
        <f t="shared" si="266"/>
        <v>(23 downto 16)</v>
      </c>
      <c r="AC1060" s="2" t="str">
        <f t="shared" si="267"/>
        <v>(15 downto 8)</v>
      </c>
      <c r="AD1060" s="2" t="str">
        <f t="shared" si="268"/>
        <v>(7 downto 0)</v>
      </c>
      <c r="AE1060" s="2" t="str">
        <f t="shared" si="269"/>
        <v>(31 downto 24)</v>
      </c>
      <c r="AF1060" s="2" t="str">
        <f t="shared" si="270"/>
        <v>(23 downto 16)</v>
      </c>
      <c r="AG1060" s="2" t="str">
        <f t="shared" si="271"/>
        <v>(15 downto 8)</v>
      </c>
      <c r="AH1060" s="2" t="str">
        <f t="shared" si="272"/>
        <v>(7 downto 0)</v>
      </c>
    </row>
    <row r="1061" spans="2:34" x14ac:dyDescent="0.25">
      <c r="B1061" s="2" t="s">
        <v>2998</v>
      </c>
      <c r="C1061" s="2" t="s">
        <v>141</v>
      </c>
      <c r="D1061" s="2" t="s">
        <v>0</v>
      </c>
      <c r="E1061" s="2" t="s">
        <v>130</v>
      </c>
      <c r="F1061" s="2" t="s">
        <v>2999</v>
      </c>
      <c r="G1061" s="2" t="s">
        <v>3000</v>
      </c>
      <c r="H1061" s="2" t="s">
        <v>142</v>
      </c>
      <c r="I1061" s="2" t="s">
        <v>41</v>
      </c>
      <c r="J1061" s="2">
        <v>32</v>
      </c>
      <c r="K1061" s="2" t="s">
        <v>132</v>
      </c>
      <c r="L1061" s="2" t="s">
        <v>40</v>
      </c>
      <c r="P1061" s="2" t="s">
        <v>48</v>
      </c>
      <c r="Q1061" s="2">
        <f>INDEX(Tables!$C$4:$C$28,MATCH($P1061,Tables!$B$4:$B$28,0))</f>
        <v>32</v>
      </c>
      <c r="R1061" s="2">
        <f>INDEX(Tables!$D$4:$D$28,MATCH($P1061,Tables!$B$4:$B$28,0))</f>
        <v>4</v>
      </c>
      <c r="S1061" s="2">
        <f>$S1060+$R1060+INDEX(Tables!$N$5:$Q$8,MATCH(MOD($S1060+$R1060,4),Tables!$M$5:$M$8,0),MATCH($R1061,Tables!$N$4:$Q$4,0))</f>
        <v>4060</v>
      </c>
      <c r="T1061" s="2" t="str">
        <f t="shared" si="258"/>
        <v>0FDC</v>
      </c>
      <c r="U1061" s="2">
        <f t="shared" si="264"/>
        <v>1015</v>
      </c>
      <c r="V1061" s="2" t="str">
        <f t="shared" si="259"/>
        <v>3F7</v>
      </c>
      <c r="W1061" s="2" t="str">
        <f t="shared" si="260"/>
        <v>X</v>
      </c>
      <c r="X1061" s="2" t="str">
        <f t="shared" si="263"/>
        <v>X</v>
      </c>
      <c r="Y1061" s="2" t="str">
        <f t="shared" si="261"/>
        <v>X</v>
      </c>
      <c r="Z1061" s="2" t="str">
        <f t="shared" si="262"/>
        <v>X</v>
      </c>
      <c r="AA1061" s="2" t="str">
        <f t="shared" si="265"/>
        <v>(31 downto 24)</v>
      </c>
      <c r="AB1061" s="2" t="str">
        <f t="shared" si="266"/>
        <v>(23 downto 16)</v>
      </c>
      <c r="AC1061" s="2" t="str">
        <f t="shared" si="267"/>
        <v>(15 downto 8)</v>
      </c>
      <c r="AD1061" s="2" t="str">
        <f t="shared" si="268"/>
        <v>(7 downto 0)</v>
      </c>
      <c r="AE1061" s="2" t="str">
        <f t="shared" si="269"/>
        <v>(31 downto 24)</v>
      </c>
      <c r="AF1061" s="2" t="str">
        <f t="shared" si="270"/>
        <v>(23 downto 16)</v>
      </c>
      <c r="AG1061" s="2" t="str">
        <f t="shared" si="271"/>
        <v>(15 downto 8)</v>
      </c>
      <c r="AH1061" s="2" t="str">
        <f t="shared" si="272"/>
        <v>(7 downto 0)</v>
      </c>
    </row>
    <row r="1062" spans="2:34" x14ac:dyDescent="0.25">
      <c r="B1062" s="2" t="s">
        <v>3001</v>
      </c>
      <c r="C1062" s="2" t="s">
        <v>141</v>
      </c>
      <c r="D1062" s="2" t="s">
        <v>0</v>
      </c>
      <c r="E1062" s="2" t="s">
        <v>130</v>
      </c>
      <c r="F1062" s="2" t="s">
        <v>3002</v>
      </c>
      <c r="G1062" s="2" t="s">
        <v>3003</v>
      </c>
      <c r="H1062" s="2" t="s">
        <v>142</v>
      </c>
      <c r="I1062" s="2" t="s">
        <v>41</v>
      </c>
      <c r="J1062" s="2">
        <v>32</v>
      </c>
      <c r="K1062" s="2" t="s">
        <v>132</v>
      </c>
      <c r="L1062" s="2" t="s">
        <v>40</v>
      </c>
      <c r="P1062" s="2" t="s">
        <v>48</v>
      </c>
      <c r="Q1062" s="2">
        <f>INDEX(Tables!$C$4:$C$28,MATCH($P1062,Tables!$B$4:$B$28,0))</f>
        <v>32</v>
      </c>
      <c r="R1062" s="2">
        <f>INDEX(Tables!$D$4:$D$28,MATCH($P1062,Tables!$B$4:$B$28,0))</f>
        <v>4</v>
      </c>
      <c r="S1062" s="2">
        <f>$S1061+$R1061+INDEX(Tables!$N$5:$Q$8,MATCH(MOD($S1061+$R1061,4),Tables!$M$5:$M$8,0),MATCH($R1062,Tables!$N$4:$Q$4,0))</f>
        <v>4064</v>
      </c>
      <c r="T1062" s="2" t="str">
        <f t="shared" si="258"/>
        <v>0FE0</v>
      </c>
      <c r="U1062" s="2">
        <f t="shared" si="264"/>
        <v>1016</v>
      </c>
      <c r="V1062" s="2" t="str">
        <f t="shared" si="259"/>
        <v>3F8</v>
      </c>
      <c r="W1062" s="2" t="str">
        <f t="shared" si="260"/>
        <v>X</v>
      </c>
      <c r="X1062" s="2" t="str">
        <f t="shared" si="263"/>
        <v>X</v>
      </c>
      <c r="Y1062" s="2" t="str">
        <f t="shared" si="261"/>
        <v>X</v>
      </c>
      <c r="Z1062" s="2" t="str">
        <f t="shared" si="262"/>
        <v>X</v>
      </c>
      <c r="AA1062" s="2" t="str">
        <f t="shared" si="265"/>
        <v>(31 downto 24)</v>
      </c>
      <c r="AB1062" s="2" t="str">
        <f t="shared" si="266"/>
        <v>(23 downto 16)</v>
      </c>
      <c r="AC1062" s="2" t="str">
        <f t="shared" si="267"/>
        <v>(15 downto 8)</v>
      </c>
      <c r="AD1062" s="2" t="str">
        <f t="shared" si="268"/>
        <v>(7 downto 0)</v>
      </c>
      <c r="AE1062" s="2" t="str">
        <f t="shared" si="269"/>
        <v>(31 downto 24)</v>
      </c>
      <c r="AF1062" s="2" t="str">
        <f t="shared" si="270"/>
        <v>(23 downto 16)</v>
      </c>
      <c r="AG1062" s="2" t="str">
        <f t="shared" si="271"/>
        <v>(15 downto 8)</v>
      </c>
      <c r="AH1062" s="2" t="str">
        <f t="shared" si="272"/>
        <v>(7 downto 0)</v>
      </c>
    </row>
    <row r="1063" spans="2:34" x14ac:dyDescent="0.25">
      <c r="B1063" s="2" t="s">
        <v>3004</v>
      </c>
      <c r="C1063" s="2" t="s">
        <v>141</v>
      </c>
      <c r="D1063" s="2" t="s">
        <v>0</v>
      </c>
      <c r="E1063" s="2" t="s">
        <v>130</v>
      </c>
      <c r="F1063" s="2" t="s">
        <v>3005</v>
      </c>
      <c r="G1063" s="2" t="s">
        <v>3006</v>
      </c>
      <c r="H1063" s="2" t="s">
        <v>142</v>
      </c>
      <c r="I1063" s="2" t="s">
        <v>41</v>
      </c>
      <c r="J1063" s="2">
        <v>32</v>
      </c>
      <c r="K1063" s="2" t="s">
        <v>132</v>
      </c>
      <c r="L1063" s="2" t="s">
        <v>40</v>
      </c>
      <c r="P1063" s="2" t="s">
        <v>48</v>
      </c>
      <c r="Q1063" s="2">
        <f>INDEX(Tables!$C$4:$C$28,MATCH($P1063,Tables!$B$4:$B$28,0))</f>
        <v>32</v>
      </c>
      <c r="R1063" s="2">
        <f>INDEX(Tables!$D$4:$D$28,MATCH($P1063,Tables!$B$4:$B$28,0))</f>
        <v>4</v>
      </c>
      <c r="S1063" s="2">
        <f>$S1062+$R1062+INDEX(Tables!$N$5:$Q$8,MATCH(MOD($S1062+$R1062,4),Tables!$M$5:$M$8,0),MATCH($R1063,Tables!$N$4:$Q$4,0))</f>
        <v>4068</v>
      </c>
      <c r="T1063" s="2" t="str">
        <f t="shared" si="258"/>
        <v>0FE4</v>
      </c>
      <c r="U1063" s="2">
        <f t="shared" si="264"/>
        <v>1017</v>
      </c>
      <c r="V1063" s="2" t="str">
        <f t="shared" si="259"/>
        <v>3F9</v>
      </c>
      <c r="W1063" s="2" t="str">
        <f t="shared" si="260"/>
        <v>X</v>
      </c>
      <c r="X1063" s="2" t="str">
        <f t="shared" si="263"/>
        <v>X</v>
      </c>
      <c r="Y1063" s="2" t="str">
        <f t="shared" si="261"/>
        <v>X</v>
      </c>
      <c r="Z1063" s="2" t="str">
        <f t="shared" si="262"/>
        <v>X</v>
      </c>
      <c r="AA1063" s="2" t="str">
        <f t="shared" si="265"/>
        <v>(31 downto 24)</v>
      </c>
      <c r="AB1063" s="2" t="str">
        <f t="shared" si="266"/>
        <v>(23 downto 16)</v>
      </c>
      <c r="AC1063" s="2" t="str">
        <f t="shared" si="267"/>
        <v>(15 downto 8)</v>
      </c>
      <c r="AD1063" s="2" t="str">
        <f t="shared" si="268"/>
        <v>(7 downto 0)</v>
      </c>
      <c r="AE1063" s="2" t="str">
        <f t="shared" si="269"/>
        <v>(31 downto 24)</v>
      </c>
      <c r="AF1063" s="2" t="str">
        <f t="shared" si="270"/>
        <v>(23 downto 16)</v>
      </c>
      <c r="AG1063" s="2" t="str">
        <f t="shared" si="271"/>
        <v>(15 downto 8)</v>
      </c>
      <c r="AH1063" s="2" t="str">
        <f t="shared" si="272"/>
        <v>(7 downto 0)</v>
      </c>
    </row>
    <row r="1064" spans="2:34" x14ac:dyDescent="0.25">
      <c r="B1064" s="2" t="s">
        <v>3007</v>
      </c>
      <c r="C1064" s="2" t="s">
        <v>141</v>
      </c>
      <c r="D1064" s="2" t="s">
        <v>0</v>
      </c>
      <c r="E1064" s="2" t="s">
        <v>130</v>
      </c>
      <c r="F1064" s="2" t="s">
        <v>3008</v>
      </c>
      <c r="G1064" s="2" t="s">
        <v>3009</v>
      </c>
      <c r="H1064" s="2" t="s">
        <v>142</v>
      </c>
      <c r="I1064" s="2" t="s">
        <v>41</v>
      </c>
      <c r="J1064" s="2">
        <v>32</v>
      </c>
      <c r="K1064" s="2" t="s">
        <v>132</v>
      </c>
      <c r="L1064" s="2" t="s">
        <v>40</v>
      </c>
      <c r="P1064" s="2" t="s">
        <v>48</v>
      </c>
      <c r="Q1064" s="2">
        <f>INDEX(Tables!$C$4:$C$28,MATCH($P1064,Tables!$B$4:$B$28,0))</f>
        <v>32</v>
      </c>
      <c r="R1064" s="2">
        <f>INDEX(Tables!$D$4:$D$28,MATCH($P1064,Tables!$B$4:$B$28,0))</f>
        <v>4</v>
      </c>
      <c r="S1064" s="2">
        <f>$S1063+$R1063+INDEX(Tables!$N$5:$Q$8,MATCH(MOD($S1063+$R1063,4),Tables!$M$5:$M$8,0),MATCH($R1064,Tables!$N$4:$Q$4,0))</f>
        <v>4072</v>
      </c>
      <c r="T1064" s="2" t="str">
        <f t="shared" si="258"/>
        <v>0FE8</v>
      </c>
      <c r="U1064" s="2">
        <f t="shared" si="264"/>
        <v>1018</v>
      </c>
      <c r="V1064" s="2" t="str">
        <f t="shared" si="259"/>
        <v>3FA</v>
      </c>
      <c r="W1064" s="2" t="str">
        <f t="shared" si="260"/>
        <v>X</v>
      </c>
      <c r="X1064" s="2" t="str">
        <f t="shared" si="263"/>
        <v>X</v>
      </c>
      <c r="Y1064" s="2" t="str">
        <f t="shared" si="261"/>
        <v>X</v>
      </c>
      <c r="Z1064" s="2" t="str">
        <f t="shared" si="262"/>
        <v>X</v>
      </c>
      <c r="AA1064" s="2" t="str">
        <f t="shared" si="265"/>
        <v>(31 downto 24)</v>
      </c>
      <c r="AB1064" s="2" t="str">
        <f t="shared" si="266"/>
        <v>(23 downto 16)</v>
      </c>
      <c r="AC1064" s="2" t="str">
        <f t="shared" si="267"/>
        <v>(15 downto 8)</v>
      </c>
      <c r="AD1064" s="2" t="str">
        <f t="shared" si="268"/>
        <v>(7 downto 0)</v>
      </c>
      <c r="AE1064" s="2" t="str">
        <f t="shared" si="269"/>
        <v>(31 downto 24)</v>
      </c>
      <c r="AF1064" s="2" t="str">
        <f t="shared" si="270"/>
        <v>(23 downto 16)</v>
      </c>
      <c r="AG1064" s="2" t="str">
        <f t="shared" si="271"/>
        <v>(15 downto 8)</v>
      </c>
      <c r="AH1064" s="2" t="str">
        <f t="shared" si="272"/>
        <v>(7 downto 0)</v>
      </c>
    </row>
    <row r="1065" spans="2:34" x14ac:dyDescent="0.25">
      <c r="B1065" s="2" t="s">
        <v>3010</v>
      </c>
      <c r="C1065" s="2" t="s">
        <v>141</v>
      </c>
      <c r="D1065" s="2" t="s">
        <v>0</v>
      </c>
      <c r="E1065" s="2" t="s">
        <v>130</v>
      </c>
      <c r="F1065" s="2" t="s">
        <v>3011</v>
      </c>
      <c r="G1065" s="2" t="s">
        <v>3012</v>
      </c>
      <c r="H1065" s="2" t="s">
        <v>142</v>
      </c>
      <c r="I1065" s="2" t="s">
        <v>41</v>
      </c>
      <c r="J1065" s="2">
        <v>32</v>
      </c>
      <c r="K1065" s="2" t="s">
        <v>132</v>
      </c>
      <c r="L1065" s="2" t="s">
        <v>40</v>
      </c>
      <c r="P1065" s="2" t="s">
        <v>48</v>
      </c>
      <c r="Q1065" s="2">
        <f>INDEX(Tables!$C$4:$C$28,MATCH($P1065,Tables!$B$4:$B$28,0))</f>
        <v>32</v>
      </c>
      <c r="R1065" s="2">
        <f>INDEX(Tables!$D$4:$D$28,MATCH($P1065,Tables!$B$4:$B$28,0))</f>
        <v>4</v>
      </c>
      <c r="S1065" s="2">
        <f>$S1064+$R1064+INDEX(Tables!$N$5:$Q$8,MATCH(MOD($S1064+$R1064,4),Tables!$M$5:$M$8,0),MATCH($R1065,Tables!$N$4:$Q$4,0))</f>
        <v>4076</v>
      </c>
      <c r="T1065" s="2" t="str">
        <f t="shared" si="258"/>
        <v>0FEC</v>
      </c>
      <c r="U1065" s="2">
        <f t="shared" si="264"/>
        <v>1019</v>
      </c>
      <c r="V1065" s="2" t="str">
        <f t="shared" si="259"/>
        <v>3FB</v>
      </c>
      <c r="W1065" s="2" t="str">
        <f t="shared" si="260"/>
        <v>X</v>
      </c>
      <c r="X1065" s="2" t="str">
        <f t="shared" si="263"/>
        <v>X</v>
      </c>
      <c r="Y1065" s="2" t="str">
        <f t="shared" si="261"/>
        <v>X</v>
      </c>
      <c r="Z1065" s="2" t="str">
        <f t="shared" si="262"/>
        <v>X</v>
      </c>
      <c r="AA1065" s="2" t="str">
        <f t="shared" si="265"/>
        <v>(31 downto 24)</v>
      </c>
      <c r="AB1065" s="2" t="str">
        <f t="shared" si="266"/>
        <v>(23 downto 16)</v>
      </c>
      <c r="AC1065" s="2" t="str">
        <f t="shared" si="267"/>
        <v>(15 downto 8)</v>
      </c>
      <c r="AD1065" s="2" t="str">
        <f t="shared" si="268"/>
        <v>(7 downto 0)</v>
      </c>
      <c r="AE1065" s="2" t="str">
        <f t="shared" si="269"/>
        <v>(31 downto 24)</v>
      </c>
      <c r="AF1065" s="2" t="str">
        <f t="shared" si="270"/>
        <v>(23 downto 16)</v>
      </c>
      <c r="AG1065" s="2" t="str">
        <f t="shared" si="271"/>
        <v>(15 downto 8)</v>
      </c>
      <c r="AH1065" s="2" t="str">
        <f t="shared" si="272"/>
        <v>(7 downto 0)</v>
      </c>
    </row>
    <row r="1066" spans="2:34" x14ac:dyDescent="0.25">
      <c r="B1066" s="2" t="s">
        <v>3013</v>
      </c>
      <c r="C1066" s="2" t="s">
        <v>141</v>
      </c>
      <c r="D1066" s="2" t="s">
        <v>0</v>
      </c>
      <c r="E1066" s="2" t="s">
        <v>130</v>
      </c>
      <c r="F1066" s="2" t="s">
        <v>3014</v>
      </c>
      <c r="G1066" s="2" t="s">
        <v>3015</v>
      </c>
      <c r="H1066" s="2" t="s">
        <v>142</v>
      </c>
      <c r="I1066" s="2" t="s">
        <v>41</v>
      </c>
      <c r="J1066" s="2">
        <v>32</v>
      </c>
      <c r="K1066" s="2" t="s">
        <v>132</v>
      </c>
      <c r="L1066" s="2" t="s">
        <v>40</v>
      </c>
      <c r="P1066" s="2" t="s">
        <v>48</v>
      </c>
      <c r="Q1066" s="2">
        <f>INDEX(Tables!$C$4:$C$28,MATCH($P1066,Tables!$B$4:$B$28,0))</f>
        <v>32</v>
      </c>
      <c r="R1066" s="2">
        <f>INDEX(Tables!$D$4:$D$28,MATCH($P1066,Tables!$B$4:$B$28,0))</f>
        <v>4</v>
      </c>
      <c r="S1066" s="2">
        <f>$S1065+$R1065+INDEX(Tables!$N$5:$Q$8,MATCH(MOD($S1065+$R1065,4),Tables!$M$5:$M$8,0),MATCH($R1066,Tables!$N$4:$Q$4,0))</f>
        <v>4080</v>
      </c>
      <c r="T1066" s="2" t="str">
        <f t="shared" si="258"/>
        <v>0FF0</v>
      </c>
      <c r="U1066" s="2">
        <f t="shared" si="264"/>
        <v>1020</v>
      </c>
      <c r="V1066" s="2" t="str">
        <f t="shared" si="259"/>
        <v>3FC</v>
      </c>
      <c r="W1066" s="2" t="str">
        <f t="shared" si="260"/>
        <v>X</v>
      </c>
      <c r="X1066" s="2" t="str">
        <f t="shared" si="263"/>
        <v>X</v>
      </c>
      <c r="Y1066" s="2" t="str">
        <f t="shared" si="261"/>
        <v>X</v>
      </c>
      <c r="Z1066" s="2" t="str">
        <f t="shared" si="262"/>
        <v>X</v>
      </c>
      <c r="AA1066" s="2" t="str">
        <f t="shared" si="265"/>
        <v>(31 downto 24)</v>
      </c>
      <c r="AB1066" s="2" t="str">
        <f t="shared" si="266"/>
        <v>(23 downto 16)</v>
      </c>
      <c r="AC1066" s="2" t="str">
        <f t="shared" si="267"/>
        <v>(15 downto 8)</v>
      </c>
      <c r="AD1066" s="2" t="str">
        <f t="shared" si="268"/>
        <v>(7 downto 0)</v>
      </c>
      <c r="AE1066" s="2" t="str">
        <f t="shared" si="269"/>
        <v>(31 downto 24)</v>
      </c>
      <c r="AF1066" s="2" t="str">
        <f t="shared" si="270"/>
        <v>(23 downto 16)</v>
      </c>
      <c r="AG1066" s="2" t="str">
        <f t="shared" si="271"/>
        <v>(15 downto 8)</v>
      </c>
      <c r="AH1066" s="2" t="str">
        <f t="shared" si="272"/>
        <v>(7 downto 0)</v>
      </c>
    </row>
    <row r="1067" spans="2:34" x14ac:dyDescent="0.25">
      <c r="B1067" s="2" t="s">
        <v>3016</v>
      </c>
      <c r="C1067" s="2" t="s">
        <v>141</v>
      </c>
      <c r="D1067" s="2" t="s">
        <v>0</v>
      </c>
      <c r="E1067" s="2" t="s">
        <v>130</v>
      </c>
      <c r="F1067" s="2" t="s">
        <v>3017</v>
      </c>
      <c r="G1067" s="2" t="s">
        <v>3018</v>
      </c>
      <c r="H1067" s="2" t="s">
        <v>142</v>
      </c>
      <c r="I1067" s="2" t="s">
        <v>41</v>
      </c>
      <c r="J1067" s="2">
        <v>32</v>
      </c>
      <c r="K1067" s="2" t="s">
        <v>132</v>
      </c>
      <c r="L1067" s="2" t="s">
        <v>40</v>
      </c>
      <c r="P1067" s="2" t="s">
        <v>48</v>
      </c>
      <c r="Q1067" s="2">
        <f>INDEX(Tables!$C$4:$C$28,MATCH($P1067,Tables!$B$4:$B$28,0))</f>
        <v>32</v>
      </c>
      <c r="R1067" s="2">
        <f>INDEX(Tables!$D$4:$D$28,MATCH($P1067,Tables!$B$4:$B$28,0))</f>
        <v>4</v>
      </c>
      <c r="S1067" s="2">
        <f>$S1066+$R1066+INDEX(Tables!$N$5:$Q$8,MATCH(MOD($S1066+$R1066,4),Tables!$M$5:$M$8,0),MATCH($R1067,Tables!$N$4:$Q$4,0))</f>
        <v>4084</v>
      </c>
      <c r="T1067" s="2" t="str">
        <f t="shared" si="258"/>
        <v>0FF4</v>
      </c>
      <c r="U1067" s="2">
        <f t="shared" si="264"/>
        <v>1021</v>
      </c>
      <c r="V1067" s="2" t="str">
        <f t="shared" si="259"/>
        <v>3FD</v>
      </c>
      <c r="W1067" s="2" t="str">
        <f t="shared" si="260"/>
        <v>X</v>
      </c>
      <c r="X1067" s="2" t="str">
        <f t="shared" si="263"/>
        <v>X</v>
      </c>
      <c r="Y1067" s="2" t="str">
        <f t="shared" si="261"/>
        <v>X</v>
      </c>
      <c r="Z1067" s="2" t="str">
        <f t="shared" si="262"/>
        <v>X</v>
      </c>
      <c r="AA1067" s="2" t="str">
        <f t="shared" si="265"/>
        <v>(31 downto 24)</v>
      </c>
      <c r="AB1067" s="2" t="str">
        <f t="shared" si="266"/>
        <v>(23 downto 16)</v>
      </c>
      <c r="AC1067" s="2" t="str">
        <f t="shared" si="267"/>
        <v>(15 downto 8)</v>
      </c>
      <c r="AD1067" s="2" t="str">
        <f t="shared" si="268"/>
        <v>(7 downto 0)</v>
      </c>
      <c r="AE1067" s="2" t="str">
        <f t="shared" si="269"/>
        <v>(31 downto 24)</v>
      </c>
      <c r="AF1067" s="2" t="str">
        <f t="shared" si="270"/>
        <v>(23 downto 16)</v>
      </c>
      <c r="AG1067" s="2" t="str">
        <f t="shared" si="271"/>
        <v>(15 downto 8)</v>
      </c>
      <c r="AH1067" s="2" t="str">
        <f t="shared" si="272"/>
        <v>(7 downto 0)</v>
      </c>
    </row>
    <row r="1068" spans="2:34" x14ac:dyDescent="0.25">
      <c r="B1068" s="2" t="s">
        <v>3019</v>
      </c>
      <c r="C1068" s="2" t="s">
        <v>141</v>
      </c>
      <c r="D1068" s="2" t="s">
        <v>0</v>
      </c>
      <c r="E1068" s="2" t="s">
        <v>130</v>
      </c>
      <c r="F1068" s="2" t="s">
        <v>3020</v>
      </c>
      <c r="G1068" s="2" t="s">
        <v>3021</v>
      </c>
      <c r="H1068" s="2" t="s">
        <v>142</v>
      </c>
      <c r="I1068" s="2" t="s">
        <v>41</v>
      </c>
      <c r="J1068" s="2">
        <v>32</v>
      </c>
      <c r="K1068" s="2" t="s">
        <v>132</v>
      </c>
      <c r="L1068" s="2" t="s">
        <v>40</v>
      </c>
      <c r="P1068" s="2" t="s">
        <v>48</v>
      </c>
      <c r="Q1068" s="2">
        <f>INDEX(Tables!$C$4:$C$28,MATCH($P1068,Tables!$B$4:$B$28,0))</f>
        <v>32</v>
      </c>
      <c r="R1068" s="2">
        <f>INDEX(Tables!$D$4:$D$28,MATCH($P1068,Tables!$B$4:$B$28,0))</f>
        <v>4</v>
      </c>
      <c r="S1068" s="2">
        <f>$S1067+$R1067+INDEX(Tables!$N$5:$Q$8,MATCH(MOD($S1067+$R1067,4),Tables!$M$5:$M$8,0),MATCH($R1068,Tables!$N$4:$Q$4,0))</f>
        <v>4088</v>
      </c>
      <c r="T1068" s="2" t="str">
        <f t="shared" si="258"/>
        <v>0FF8</v>
      </c>
      <c r="U1068" s="2">
        <f t="shared" si="264"/>
        <v>1022</v>
      </c>
      <c r="V1068" s="2" t="str">
        <f t="shared" si="259"/>
        <v>3FE</v>
      </c>
      <c r="W1068" s="2" t="str">
        <f t="shared" si="260"/>
        <v>X</v>
      </c>
      <c r="X1068" s="2" t="str">
        <f t="shared" si="263"/>
        <v>X</v>
      </c>
      <c r="Y1068" s="2" t="str">
        <f t="shared" si="261"/>
        <v>X</v>
      </c>
      <c r="Z1068" s="2" t="str">
        <f t="shared" si="262"/>
        <v>X</v>
      </c>
      <c r="AA1068" s="2" t="str">
        <f t="shared" si="265"/>
        <v>(31 downto 24)</v>
      </c>
      <c r="AB1068" s="2" t="str">
        <f t="shared" si="266"/>
        <v>(23 downto 16)</v>
      </c>
      <c r="AC1068" s="2" t="str">
        <f t="shared" si="267"/>
        <v>(15 downto 8)</v>
      </c>
      <c r="AD1068" s="2" t="str">
        <f t="shared" si="268"/>
        <v>(7 downto 0)</v>
      </c>
      <c r="AE1068" s="2" t="str">
        <f t="shared" si="269"/>
        <v>(31 downto 24)</v>
      </c>
      <c r="AF1068" s="2" t="str">
        <f t="shared" si="270"/>
        <v>(23 downto 16)</v>
      </c>
      <c r="AG1068" s="2" t="str">
        <f t="shared" si="271"/>
        <v>(15 downto 8)</v>
      </c>
      <c r="AH1068" s="2" t="str">
        <f t="shared" si="272"/>
        <v>(7 downto 0)</v>
      </c>
    </row>
    <row r="1069" spans="2:34" x14ac:dyDescent="0.25">
      <c r="B1069" s="2" t="s">
        <v>3022</v>
      </c>
      <c r="C1069" s="2" t="s">
        <v>141</v>
      </c>
      <c r="D1069" s="2" t="s">
        <v>0</v>
      </c>
      <c r="E1069" s="2" t="s">
        <v>130</v>
      </c>
      <c r="F1069" s="2" t="s">
        <v>3023</v>
      </c>
      <c r="G1069" s="2" t="s">
        <v>3024</v>
      </c>
      <c r="H1069" s="2" t="s">
        <v>142</v>
      </c>
      <c r="I1069" s="2" t="s">
        <v>41</v>
      </c>
      <c r="J1069" s="2">
        <v>32</v>
      </c>
      <c r="K1069" s="2" t="s">
        <v>132</v>
      </c>
      <c r="L1069" s="2" t="s">
        <v>40</v>
      </c>
      <c r="P1069" s="2" t="s">
        <v>48</v>
      </c>
      <c r="Q1069" s="2">
        <f>INDEX(Tables!$C$4:$C$28,MATCH($P1069,Tables!$B$4:$B$28,0))</f>
        <v>32</v>
      </c>
      <c r="R1069" s="2">
        <f>INDEX(Tables!$D$4:$D$28,MATCH($P1069,Tables!$B$4:$B$28,0))</f>
        <v>4</v>
      </c>
      <c r="S1069" s="2">
        <f>$S1068+$R1068+INDEX(Tables!$N$5:$Q$8,MATCH(MOD($S1068+$R1068,4),Tables!$M$5:$M$8,0),MATCH($R1069,Tables!$N$4:$Q$4,0))</f>
        <v>4092</v>
      </c>
      <c r="T1069" s="2" t="str">
        <f t="shared" si="258"/>
        <v>0FFC</v>
      </c>
      <c r="U1069" s="2">
        <f t="shared" si="264"/>
        <v>1023</v>
      </c>
      <c r="V1069" s="2" t="str">
        <f t="shared" si="259"/>
        <v>3FF</v>
      </c>
      <c r="W1069" s="2" t="str">
        <f t="shared" si="260"/>
        <v>X</v>
      </c>
      <c r="X1069" s="2" t="str">
        <f t="shared" si="263"/>
        <v>X</v>
      </c>
      <c r="Y1069" s="2" t="str">
        <f t="shared" si="261"/>
        <v>X</v>
      </c>
      <c r="Z1069" s="2" t="str">
        <f t="shared" si="262"/>
        <v>X</v>
      </c>
      <c r="AA1069" s="2" t="str">
        <f t="shared" si="265"/>
        <v>(31 downto 24)</v>
      </c>
      <c r="AB1069" s="2" t="str">
        <f t="shared" si="266"/>
        <v>(23 downto 16)</v>
      </c>
      <c r="AC1069" s="2" t="str">
        <f t="shared" si="267"/>
        <v>(15 downto 8)</v>
      </c>
      <c r="AD1069" s="2" t="str">
        <f t="shared" si="268"/>
        <v>(7 downto 0)</v>
      </c>
      <c r="AE1069" s="2" t="str">
        <f t="shared" si="269"/>
        <v>(31 downto 24)</v>
      </c>
      <c r="AF1069" s="2" t="str">
        <f t="shared" si="270"/>
        <v>(23 downto 16)</v>
      </c>
      <c r="AG1069" s="2" t="str">
        <f t="shared" si="271"/>
        <v>(15 downto 8)</v>
      </c>
      <c r="AH1069" s="2" t="str">
        <f t="shared" si="272"/>
        <v>(7 downto 0)</v>
      </c>
    </row>
    <row r="1070" spans="2:34" x14ac:dyDescent="0.25">
      <c r="B1070" s="2" t="s">
        <v>3025</v>
      </c>
      <c r="C1070" s="2" t="s">
        <v>141</v>
      </c>
      <c r="D1070" s="2" t="s">
        <v>0</v>
      </c>
      <c r="E1070" s="2" t="s">
        <v>130</v>
      </c>
      <c r="F1070" s="2" t="s">
        <v>3026</v>
      </c>
      <c r="G1070" s="2" t="s">
        <v>3027</v>
      </c>
      <c r="H1070" s="2" t="s">
        <v>142</v>
      </c>
      <c r="I1070" s="2" t="s">
        <v>41</v>
      </c>
      <c r="J1070" s="2">
        <v>32</v>
      </c>
      <c r="K1070" s="2" t="s">
        <v>132</v>
      </c>
      <c r="L1070" s="2" t="s">
        <v>40</v>
      </c>
      <c r="P1070" s="2" t="s">
        <v>48</v>
      </c>
      <c r="Q1070" s="2">
        <f>INDEX(Tables!$C$4:$C$28,MATCH($P1070,Tables!$B$4:$B$28,0))</f>
        <v>32</v>
      </c>
      <c r="R1070" s="2">
        <f>INDEX(Tables!$D$4:$D$28,MATCH($P1070,Tables!$B$4:$B$28,0))</f>
        <v>4</v>
      </c>
      <c r="S1070" s="2">
        <f>$S1069+$R1069+INDEX(Tables!$N$5:$Q$8,MATCH(MOD($S1069+$R1069,4),Tables!$M$5:$M$8,0),MATCH($R1070,Tables!$N$4:$Q$4,0))</f>
        <v>4096</v>
      </c>
      <c r="T1070" s="2" t="str">
        <f t="shared" si="258"/>
        <v>1000</v>
      </c>
      <c r="U1070" s="2">
        <f t="shared" si="264"/>
        <v>1024</v>
      </c>
      <c r="V1070" s="2" t="str">
        <f t="shared" si="259"/>
        <v>400</v>
      </c>
      <c r="W1070" s="2" t="str">
        <f t="shared" si="260"/>
        <v>X</v>
      </c>
      <c r="X1070" s="2" t="str">
        <f t="shared" si="263"/>
        <v>X</v>
      </c>
      <c r="Y1070" s="2" t="str">
        <f t="shared" si="261"/>
        <v>X</v>
      </c>
      <c r="Z1070" s="2" t="str">
        <f t="shared" si="262"/>
        <v>X</v>
      </c>
      <c r="AA1070" s="2" t="str">
        <f t="shared" si="265"/>
        <v>(31 downto 24)</v>
      </c>
      <c r="AB1070" s="2" t="str">
        <f t="shared" si="266"/>
        <v>(23 downto 16)</v>
      </c>
      <c r="AC1070" s="2" t="str">
        <f t="shared" si="267"/>
        <v>(15 downto 8)</v>
      </c>
      <c r="AD1070" s="2" t="str">
        <f t="shared" si="268"/>
        <v>(7 downto 0)</v>
      </c>
      <c r="AE1070" s="2" t="str">
        <f t="shared" si="269"/>
        <v>(31 downto 24)</v>
      </c>
      <c r="AF1070" s="2" t="str">
        <f t="shared" si="270"/>
        <v>(23 downto 16)</v>
      </c>
      <c r="AG1070" s="2" t="str">
        <f t="shared" si="271"/>
        <v>(15 downto 8)</v>
      </c>
      <c r="AH1070" s="2" t="str">
        <f t="shared" si="272"/>
        <v>(7 downto 0)</v>
      </c>
    </row>
    <row r="1071" spans="2:34" x14ac:dyDescent="0.25">
      <c r="B1071" s="2" t="s">
        <v>3028</v>
      </c>
      <c r="C1071" s="2" t="s">
        <v>141</v>
      </c>
      <c r="D1071" s="2" t="s">
        <v>0</v>
      </c>
      <c r="E1071" s="2" t="s">
        <v>130</v>
      </c>
      <c r="F1071" s="2" t="s">
        <v>3029</v>
      </c>
      <c r="G1071" s="2" t="s">
        <v>3030</v>
      </c>
      <c r="H1071" s="2" t="s">
        <v>142</v>
      </c>
      <c r="I1071" s="2" t="s">
        <v>41</v>
      </c>
      <c r="J1071" s="2">
        <v>32</v>
      </c>
      <c r="K1071" s="2" t="s">
        <v>132</v>
      </c>
      <c r="L1071" s="2" t="s">
        <v>40</v>
      </c>
      <c r="P1071" s="2" t="s">
        <v>48</v>
      </c>
      <c r="Q1071" s="2">
        <f>INDEX(Tables!$C$4:$C$28,MATCH($P1071,Tables!$B$4:$B$28,0))</f>
        <v>32</v>
      </c>
      <c r="R1071" s="2">
        <f>INDEX(Tables!$D$4:$D$28,MATCH($P1071,Tables!$B$4:$B$28,0))</f>
        <v>4</v>
      </c>
      <c r="S1071" s="2">
        <f>$S1070+$R1070+INDEX(Tables!$N$5:$Q$8,MATCH(MOD($S1070+$R1070,4),Tables!$M$5:$M$8,0),MATCH($R1071,Tables!$N$4:$Q$4,0))</f>
        <v>4100</v>
      </c>
      <c r="T1071" s="2" t="str">
        <f t="shared" si="258"/>
        <v>1004</v>
      </c>
      <c r="U1071" s="2">
        <f t="shared" si="264"/>
        <v>1025</v>
      </c>
      <c r="V1071" s="2" t="str">
        <f t="shared" si="259"/>
        <v>401</v>
      </c>
      <c r="W1071" s="2" t="str">
        <f t="shared" si="260"/>
        <v>X</v>
      </c>
      <c r="X1071" s="2" t="str">
        <f t="shared" si="263"/>
        <v>X</v>
      </c>
      <c r="Y1071" s="2" t="str">
        <f t="shared" si="261"/>
        <v>X</v>
      </c>
      <c r="Z1071" s="2" t="str">
        <f t="shared" si="262"/>
        <v>X</v>
      </c>
      <c r="AA1071" s="2" t="str">
        <f t="shared" si="265"/>
        <v>(31 downto 24)</v>
      </c>
      <c r="AB1071" s="2" t="str">
        <f t="shared" si="266"/>
        <v>(23 downto 16)</v>
      </c>
      <c r="AC1071" s="2" t="str">
        <f t="shared" si="267"/>
        <v>(15 downto 8)</v>
      </c>
      <c r="AD1071" s="2" t="str">
        <f t="shared" si="268"/>
        <v>(7 downto 0)</v>
      </c>
      <c r="AE1071" s="2" t="str">
        <f t="shared" si="269"/>
        <v>(31 downto 24)</v>
      </c>
      <c r="AF1071" s="2" t="str">
        <f t="shared" si="270"/>
        <v>(23 downto 16)</v>
      </c>
      <c r="AG1071" s="2" t="str">
        <f t="shared" si="271"/>
        <v>(15 downto 8)</v>
      </c>
      <c r="AH1071" s="2" t="str">
        <f t="shared" si="272"/>
        <v>(7 downto 0)</v>
      </c>
    </row>
    <row r="1072" spans="2:34" x14ac:dyDescent="0.25">
      <c r="B1072" s="2" t="s">
        <v>3031</v>
      </c>
      <c r="C1072" s="2" t="s">
        <v>141</v>
      </c>
      <c r="D1072" s="2" t="s">
        <v>0</v>
      </c>
      <c r="E1072" s="2" t="s">
        <v>130</v>
      </c>
      <c r="F1072" s="2" t="s">
        <v>3032</v>
      </c>
      <c r="G1072" s="2" t="s">
        <v>3033</v>
      </c>
      <c r="H1072" s="2" t="s">
        <v>142</v>
      </c>
      <c r="I1072" s="2" t="s">
        <v>41</v>
      </c>
      <c r="J1072" s="2">
        <v>32</v>
      </c>
      <c r="K1072" s="2" t="s">
        <v>132</v>
      </c>
      <c r="L1072" s="2" t="s">
        <v>40</v>
      </c>
      <c r="P1072" s="2" t="s">
        <v>48</v>
      </c>
      <c r="Q1072" s="2">
        <f>INDEX(Tables!$C$4:$C$28,MATCH($P1072,Tables!$B$4:$B$28,0))</f>
        <v>32</v>
      </c>
      <c r="R1072" s="2">
        <f>INDEX(Tables!$D$4:$D$28,MATCH($P1072,Tables!$B$4:$B$28,0))</f>
        <v>4</v>
      </c>
      <c r="S1072" s="2">
        <f>$S1071+$R1071+INDEX(Tables!$N$5:$Q$8,MATCH(MOD($S1071+$R1071,4),Tables!$M$5:$M$8,0),MATCH($R1072,Tables!$N$4:$Q$4,0))</f>
        <v>4104</v>
      </c>
      <c r="T1072" s="2" t="str">
        <f t="shared" si="258"/>
        <v>1008</v>
      </c>
      <c r="U1072" s="2">
        <f t="shared" si="264"/>
        <v>1026</v>
      </c>
      <c r="V1072" s="2" t="str">
        <f t="shared" si="259"/>
        <v>402</v>
      </c>
      <c r="W1072" s="2" t="str">
        <f t="shared" si="260"/>
        <v>X</v>
      </c>
      <c r="X1072" s="2" t="str">
        <f t="shared" si="263"/>
        <v>X</v>
      </c>
      <c r="Y1072" s="2" t="str">
        <f t="shared" si="261"/>
        <v>X</v>
      </c>
      <c r="Z1072" s="2" t="str">
        <f t="shared" si="262"/>
        <v>X</v>
      </c>
      <c r="AA1072" s="2" t="str">
        <f t="shared" si="265"/>
        <v>(31 downto 24)</v>
      </c>
      <c r="AB1072" s="2" t="str">
        <f t="shared" si="266"/>
        <v>(23 downto 16)</v>
      </c>
      <c r="AC1072" s="2" t="str">
        <f t="shared" si="267"/>
        <v>(15 downto 8)</v>
      </c>
      <c r="AD1072" s="2" t="str">
        <f t="shared" si="268"/>
        <v>(7 downto 0)</v>
      </c>
      <c r="AE1072" s="2" t="str">
        <f t="shared" si="269"/>
        <v>(31 downto 24)</v>
      </c>
      <c r="AF1072" s="2" t="str">
        <f t="shared" si="270"/>
        <v>(23 downto 16)</v>
      </c>
      <c r="AG1072" s="2" t="str">
        <f t="shared" si="271"/>
        <v>(15 downto 8)</v>
      </c>
      <c r="AH1072" s="2" t="str">
        <f t="shared" si="272"/>
        <v>(7 downto 0)</v>
      </c>
    </row>
    <row r="1073" spans="2:34" x14ac:dyDescent="0.25">
      <c r="B1073" s="2" t="s">
        <v>3034</v>
      </c>
      <c r="C1073" s="2" t="s">
        <v>141</v>
      </c>
      <c r="D1073" s="2" t="s">
        <v>0</v>
      </c>
      <c r="E1073" s="2" t="s">
        <v>130</v>
      </c>
      <c r="F1073" s="2" t="s">
        <v>3035</v>
      </c>
      <c r="G1073" s="2" t="s">
        <v>3036</v>
      </c>
      <c r="H1073" s="2" t="s">
        <v>142</v>
      </c>
      <c r="I1073" s="2" t="s">
        <v>41</v>
      </c>
      <c r="J1073" s="2">
        <v>32</v>
      </c>
      <c r="K1073" s="2" t="s">
        <v>132</v>
      </c>
      <c r="L1073" s="2" t="s">
        <v>40</v>
      </c>
      <c r="P1073" s="2" t="s">
        <v>48</v>
      </c>
      <c r="Q1073" s="2">
        <f>INDEX(Tables!$C$4:$C$28,MATCH($P1073,Tables!$B$4:$B$28,0))</f>
        <v>32</v>
      </c>
      <c r="R1073" s="2">
        <f>INDEX(Tables!$D$4:$D$28,MATCH($P1073,Tables!$B$4:$B$28,0))</f>
        <v>4</v>
      </c>
      <c r="S1073" s="2">
        <f>$S1072+$R1072+INDEX(Tables!$N$5:$Q$8,MATCH(MOD($S1072+$R1072,4),Tables!$M$5:$M$8,0),MATCH($R1073,Tables!$N$4:$Q$4,0))</f>
        <v>4108</v>
      </c>
      <c r="T1073" s="2" t="str">
        <f t="shared" si="258"/>
        <v>100C</v>
      </c>
      <c r="U1073" s="2">
        <f t="shared" si="264"/>
        <v>1027</v>
      </c>
      <c r="V1073" s="2" t="str">
        <f t="shared" si="259"/>
        <v>403</v>
      </c>
      <c r="W1073" s="2" t="str">
        <f t="shared" si="260"/>
        <v>X</v>
      </c>
      <c r="X1073" s="2" t="str">
        <f t="shared" si="263"/>
        <v>X</v>
      </c>
      <c r="Y1073" s="2" t="str">
        <f t="shared" si="261"/>
        <v>X</v>
      </c>
      <c r="Z1073" s="2" t="str">
        <f t="shared" si="262"/>
        <v>X</v>
      </c>
      <c r="AA1073" s="2" t="str">
        <f t="shared" si="265"/>
        <v>(31 downto 24)</v>
      </c>
      <c r="AB1073" s="2" t="str">
        <f t="shared" si="266"/>
        <v>(23 downto 16)</v>
      </c>
      <c r="AC1073" s="2" t="str">
        <f t="shared" si="267"/>
        <v>(15 downto 8)</v>
      </c>
      <c r="AD1073" s="2" t="str">
        <f t="shared" si="268"/>
        <v>(7 downto 0)</v>
      </c>
      <c r="AE1073" s="2" t="str">
        <f t="shared" si="269"/>
        <v>(31 downto 24)</v>
      </c>
      <c r="AF1073" s="2" t="str">
        <f t="shared" si="270"/>
        <v>(23 downto 16)</v>
      </c>
      <c r="AG1073" s="2" t="str">
        <f t="shared" si="271"/>
        <v>(15 downto 8)</v>
      </c>
      <c r="AH1073" s="2" t="str">
        <f t="shared" si="272"/>
        <v>(7 downto 0)</v>
      </c>
    </row>
    <row r="1074" spans="2:34" x14ac:dyDescent="0.25">
      <c r="B1074" s="2" t="s">
        <v>3037</v>
      </c>
      <c r="C1074" s="2" t="s">
        <v>141</v>
      </c>
      <c r="D1074" s="2" t="s">
        <v>0</v>
      </c>
      <c r="E1074" s="2" t="s">
        <v>130</v>
      </c>
      <c r="F1074" s="2" t="s">
        <v>3038</v>
      </c>
      <c r="G1074" s="2" t="s">
        <v>3039</v>
      </c>
      <c r="H1074" s="2" t="s">
        <v>142</v>
      </c>
      <c r="I1074" s="2" t="s">
        <v>41</v>
      </c>
      <c r="J1074" s="2">
        <v>32</v>
      </c>
      <c r="K1074" s="2" t="s">
        <v>132</v>
      </c>
      <c r="L1074" s="2" t="s">
        <v>40</v>
      </c>
      <c r="P1074" s="2" t="s">
        <v>48</v>
      </c>
      <c r="Q1074" s="2">
        <f>INDEX(Tables!$C$4:$C$28,MATCH($P1074,Tables!$B$4:$B$28,0))</f>
        <v>32</v>
      </c>
      <c r="R1074" s="2">
        <f>INDEX(Tables!$D$4:$D$28,MATCH($P1074,Tables!$B$4:$B$28,0))</f>
        <v>4</v>
      </c>
      <c r="S1074" s="2">
        <f>$S1073+$R1073+INDEX(Tables!$N$5:$Q$8,MATCH(MOD($S1073+$R1073,4),Tables!$M$5:$M$8,0),MATCH($R1074,Tables!$N$4:$Q$4,0))</f>
        <v>4112</v>
      </c>
      <c r="T1074" s="2" t="str">
        <f t="shared" si="258"/>
        <v>1010</v>
      </c>
      <c r="U1074" s="2">
        <f t="shared" si="264"/>
        <v>1028</v>
      </c>
      <c r="V1074" s="2" t="str">
        <f t="shared" si="259"/>
        <v>404</v>
      </c>
      <c r="W1074" s="2" t="str">
        <f t="shared" si="260"/>
        <v>X</v>
      </c>
      <c r="X1074" s="2" t="str">
        <f t="shared" si="263"/>
        <v>X</v>
      </c>
      <c r="Y1074" s="2" t="str">
        <f t="shared" si="261"/>
        <v>X</v>
      </c>
      <c r="Z1074" s="2" t="str">
        <f t="shared" si="262"/>
        <v>X</v>
      </c>
      <c r="AA1074" s="2" t="str">
        <f t="shared" si="265"/>
        <v>(31 downto 24)</v>
      </c>
      <c r="AB1074" s="2" t="str">
        <f t="shared" si="266"/>
        <v>(23 downto 16)</v>
      </c>
      <c r="AC1074" s="2" t="str">
        <f t="shared" si="267"/>
        <v>(15 downto 8)</v>
      </c>
      <c r="AD1074" s="2" t="str">
        <f t="shared" si="268"/>
        <v>(7 downto 0)</v>
      </c>
      <c r="AE1074" s="2" t="str">
        <f t="shared" si="269"/>
        <v>(31 downto 24)</v>
      </c>
      <c r="AF1074" s="2" t="str">
        <f t="shared" si="270"/>
        <v>(23 downto 16)</v>
      </c>
      <c r="AG1074" s="2" t="str">
        <f t="shared" si="271"/>
        <v>(15 downto 8)</v>
      </c>
      <c r="AH1074" s="2" t="str">
        <f t="shared" si="272"/>
        <v>(7 downto 0)</v>
      </c>
    </row>
    <row r="1075" spans="2:34" x14ac:dyDescent="0.25">
      <c r="B1075" s="2" t="s">
        <v>3040</v>
      </c>
      <c r="C1075" s="2" t="s">
        <v>141</v>
      </c>
      <c r="D1075" s="2" t="s">
        <v>0</v>
      </c>
      <c r="E1075" s="2" t="s">
        <v>130</v>
      </c>
      <c r="F1075" s="2" t="s">
        <v>3041</v>
      </c>
      <c r="G1075" s="2" t="s">
        <v>3042</v>
      </c>
      <c r="H1075" s="2" t="s">
        <v>142</v>
      </c>
      <c r="I1075" s="2" t="s">
        <v>41</v>
      </c>
      <c r="J1075" s="2">
        <v>32</v>
      </c>
      <c r="K1075" s="2" t="s">
        <v>132</v>
      </c>
      <c r="L1075" s="2" t="s">
        <v>40</v>
      </c>
      <c r="P1075" s="2" t="s">
        <v>48</v>
      </c>
      <c r="Q1075" s="2">
        <f>INDEX(Tables!$C$4:$C$28,MATCH($P1075,Tables!$B$4:$B$28,0))</f>
        <v>32</v>
      </c>
      <c r="R1075" s="2">
        <f>INDEX(Tables!$D$4:$D$28,MATCH($P1075,Tables!$B$4:$B$28,0))</f>
        <v>4</v>
      </c>
      <c r="S1075" s="2">
        <f>$S1074+$R1074+INDEX(Tables!$N$5:$Q$8,MATCH(MOD($S1074+$R1074,4),Tables!$M$5:$M$8,0),MATCH($R1075,Tables!$N$4:$Q$4,0))</f>
        <v>4116</v>
      </c>
      <c r="T1075" s="2" t="str">
        <f t="shared" si="258"/>
        <v>1014</v>
      </c>
      <c r="U1075" s="2">
        <f t="shared" si="264"/>
        <v>1029</v>
      </c>
      <c r="V1075" s="2" t="str">
        <f t="shared" si="259"/>
        <v>405</v>
      </c>
      <c r="W1075" s="2" t="str">
        <f t="shared" si="260"/>
        <v>X</v>
      </c>
      <c r="X1075" s="2" t="str">
        <f t="shared" si="263"/>
        <v>X</v>
      </c>
      <c r="Y1075" s="2" t="str">
        <f t="shared" si="261"/>
        <v>X</v>
      </c>
      <c r="Z1075" s="2" t="str">
        <f t="shared" si="262"/>
        <v>X</v>
      </c>
      <c r="AA1075" s="2" t="str">
        <f t="shared" si="265"/>
        <v>(31 downto 24)</v>
      </c>
      <c r="AB1075" s="2" t="str">
        <f t="shared" si="266"/>
        <v>(23 downto 16)</v>
      </c>
      <c r="AC1075" s="2" t="str">
        <f t="shared" si="267"/>
        <v>(15 downto 8)</v>
      </c>
      <c r="AD1075" s="2" t="str">
        <f t="shared" si="268"/>
        <v>(7 downto 0)</v>
      </c>
      <c r="AE1075" s="2" t="str">
        <f t="shared" si="269"/>
        <v>(31 downto 24)</v>
      </c>
      <c r="AF1075" s="2" t="str">
        <f t="shared" si="270"/>
        <v>(23 downto 16)</v>
      </c>
      <c r="AG1075" s="2" t="str">
        <f t="shared" si="271"/>
        <v>(15 downto 8)</v>
      </c>
      <c r="AH1075" s="2" t="str">
        <f t="shared" si="272"/>
        <v>(7 downto 0)</v>
      </c>
    </row>
    <row r="1076" spans="2:34" x14ac:dyDescent="0.25">
      <c r="B1076" s="2" t="s">
        <v>3043</v>
      </c>
      <c r="C1076" s="2" t="s">
        <v>141</v>
      </c>
      <c r="D1076" s="2" t="s">
        <v>0</v>
      </c>
      <c r="E1076" s="2" t="s">
        <v>130</v>
      </c>
      <c r="F1076" s="2" t="s">
        <v>3044</v>
      </c>
      <c r="G1076" s="2" t="s">
        <v>3045</v>
      </c>
      <c r="H1076" s="2" t="s">
        <v>142</v>
      </c>
      <c r="I1076" s="2" t="s">
        <v>41</v>
      </c>
      <c r="J1076" s="2">
        <v>32</v>
      </c>
      <c r="K1076" s="2" t="s">
        <v>132</v>
      </c>
      <c r="L1076" s="2" t="s">
        <v>40</v>
      </c>
      <c r="P1076" s="2" t="s">
        <v>48</v>
      </c>
      <c r="Q1076" s="2">
        <f>INDEX(Tables!$C$4:$C$28,MATCH($P1076,Tables!$B$4:$B$28,0))</f>
        <v>32</v>
      </c>
      <c r="R1076" s="2">
        <f>INDEX(Tables!$D$4:$D$28,MATCH($P1076,Tables!$B$4:$B$28,0))</f>
        <v>4</v>
      </c>
      <c r="S1076" s="2">
        <f>$S1075+$R1075+INDEX(Tables!$N$5:$Q$8,MATCH(MOD($S1075+$R1075,4),Tables!$M$5:$M$8,0),MATCH($R1076,Tables!$N$4:$Q$4,0))</f>
        <v>4120</v>
      </c>
      <c r="T1076" s="2" t="str">
        <f t="shared" si="258"/>
        <v>1018</v>
      </c>
      <c r="U1076" s="2">
        <f t="shared" si="264"/>
        <v>1030</v>
      </c>
      <c r="V1076" s="2" t="str">
        <f t="shared" si="259"/>
        <v>406</v>
      </c>
      <c r="W1076" s="2" t="str">
        <f t="shared" si="260"/>
        <v>X</v>
      </c>
      <c r="X1076" s="2" t="str">
        <f t="shared" si="263"/>
        <v>X</v>
      </c>
      <c r="Y1076" s="2" t="str">
        <f t="shared" si="261"/>
        <v>X</v>
      </c>
      <c r="Z1076" s="2" t="str">
        <f t="shared" si="262"/>
        <v>X</v>
      </c>
      <c r="AA1076" s="2" t="str">
        <f t="shared" si="265"/>
        <v>(31 downto 24)</v>
      </c>
      <c r="AB1076" s="2" t="str">
        <f t="shared" si="266"/>
        <v>(23 downto 16)</v>
      </c>
      <c r="AC1076" s="2" t="str">
        <f t="shared" si="267"/>
        <v>(15 downto 8)</v>
      </c>
      <c r="AD1076" s="2" t="str">
        <f t="shared" si="268"/>
        <v>(7 downto 0)</v>
      </c>
      <c r="AE1076" s="2" t="str">
        <f t="shared" si="269"/>
        <v>(31 downto 24)</v>
      </c>
      <c r="AF1076" s="2" t="str">
        <f t="shared" si="270"/>
        <v>(23 downto 16)</v>
      </c>
      <c r="AG1076" s="2" t="str">
        <f t="shared" si="271"/>
        <v>(15 downto 8)</v>
      </c>
      <c r="AH1076" s="2" t="str">
        <f t="shared" si="272"/>
        <v>(7 downto 0)</v>
      </c>
    </row>
    <row r="1077" spans="2:34" x14ac:dyDescent="0.25">
      <c r="B1077" s="2" t="s">
        <v>3046</v>
      </c>
      <c r="C1077" s="2" t="s">
        <v>141</v>
      </c>
      <c r="D1077" s="2" t="s">
        <v>0</v>
      </c>
      <c r="E1077" s="2" t="s">
        <v>130</v>
      </c>
      <c r="F1077" s="2" t="s">
        <v>3047</v>
      </c>
      <c r="G1077" s="2" t="s">
        <v>3048</v>
      </c>
      <c r="H1077" s="2" t="s">
        <v>142</v>
      </c>
      <c r="I1077" s="2" t="s">
        <v>41</v>
      </c>
      <c r="J1077" s="2">
        <v>32</v>
      </c>
      <c r="K1077" s="2" t="s">
        <v>132</v>
      </c>
      <c r="L1077" s="2" t="s">
        <v>40</v>
      </c>
      <c r="P1077" s="2" t="s">
        <v>48</v>
      </c>
      <c r="Q1077" s="2">
        <f>INDEX(Tables!$C$4:$C$28,MATCH($P1077,Tables!$B$4:$B$28,0))</f>
        <v>32</v>
      </c>
      <c r="R1077" s="2">
        <f>INDEX(Tables!$D$4:$D$28,MATCH($P1077,Tables!$B$4:$B$28,0))</f>
        <v>4</v>
      </c>
      <c r="S1077" s="2">
        <f>$S1076+$R1076+INDEX(Tables!$N$5:$Q$8,MATCH(MOD($S1076+$R1076,4),Tables!$M$5:$M$8,0),MATCH($R1077,Tables!$N$4:$Q$4,0))</f>
        <v>4124</v>
      </c>
      <c r="T1077" s="2" t="str">
        <f t="shared" si="258"/>
        <v>101C</v>
      </c>
      <c r="U1077" s="2">
        <f t="shared" si="264"/>
        <v>1031</v>
      </c>
      <c r="V1077" s="2" t="str">
        <f t="shared" si="259"/>
        <v>407</v>
      </c>
      <c r="W1077" s="2" t="str">
        <f t="shared" si="260"/>
        <v>X</v>
      </c>
      <c r="X1077" s="2" t="str">
        <f t="shared" si="263"/>
        <v>X</v>
      </c>
      <c r="Y1077" s="2" t="str">
        <f t="shared" si="261"/>
        <v>X</v>
      </c>
      <c r="Z1077" s="2" t="str">
        <f t="shared" si="262"/>
        <v>X</v>
      </c>
      <c r="AA1077" s="2" t="str">
        <f t="shared" si="265"/>
        <v>(31 downto 24)</v>
      </c>
      <c r="AB1077" s="2" t="str">
        <f t="shared" si="266"/>
        <v>(23 downto 16)</v>
      </c>
      <c r="AC1077" s="2" t="str">
        <f t="shared" si="267"/>
        <v>(15 downto 8)</v>
      </c>
      <c r="AD1077" s="2" t="str">
        <f t="shared" si="268"/>
        <v>(7 downto 0)</v>
      </c>
      <c r="AE1077" s="2" t="str">
        <f t="shared" si="269"/>
        <v>(31 downto 24)</v>
      </c>
      <c r="AF1077" s="2" t="str">
        <f t="shared" si="270"/>
        <v>(23 downto 16)</v>
      </c>
      <c r="AG1077" s="2" t="str">
        <f t="shared" si="271"/>
        <v>(15 downto 8)</v>
      </c>
      <c r="AH1077" s="2" t="str">
        <f t="shared" si="272"/>
        <v>(7 downto 0)</v>
      </c>
    </row>
    <row r="1078" spans="2:34" x14ac:dyDescent="0.25">
      <c r="B1078" s="2" t="s">
        <v>3049</v>
      </c>
      <c r="C1078" s="2" t="s">
        <v>141</v>
      </c>
      <c r="D1078" s="2" t="s">
        <v>0</v>
      </c>
      <c r="E1078" s="2" t="s">
        <v>130</v>
      </c>
      <c r="F1078" s="2" t="s">
        <v>3050</v>
      </c>
      <c r="G1078" s="2" t="s">
        <v>3051</v>
      </c>
      <c r="H1078" s="2" t="s">
        <v>142</v>
      </c>
      <c r="I1078" s="2" t="s">
        <v>41</v>
      </c>
      <c r="J1078" s="2">
        <v>32</v>
      </c>
      <c r="K1078" s="2" t="s">
        <v>132</v>
      </c>
      <c r="L1078" s="2" t="s">
        <v>40</v>
      </c>
      <c r="P1078" s="2" t="s">
        <v>48</v>
      </c>
      <c r="Q1078" s="2">
        <f>INDEX(Tables!$C$4:$C$28,MATCH($P1078,Tables!$B$4:$B$28,0))</f>
        <v>32</v>
      </c>
      <c r="R1078" s="2">
        <f>INDEX(Tables!$D$4:$D$28,MATCH($P1078,Tables!$B$4:$B$28,0))</f>
        <v>4</v>
      </c>
      <c r="S1078" s="2">
        <f>$S1077+$R1077+INDEX(Tables!$N$5:$Q$8,MATCH(MOD($S1077+$R1077,4),Tables!$M$5:$M$8,0),MATCH($R1078,Tables!$N$4:$Q$4,0))</f>
        <v>4128</v>
      </c>
      <c r="T1078" s="2" t="str">
        <f t="shared" si="258"/>
        <v>1020</v>
      </c>
      <c r="U1078" s="2">
        <f t="shared" si="264"/>
        <v>1032</v>
      </c>
      <c r="V1078" s="2" t="str">
        <f t="shared" si="259"/>
        <v>408</v>
      </c>
      <c r="W1078" s="2" t="str">
        <f t="shared" si="260"/>
        <v>X</v>
      </c>
      <c r="X1078" s="2" t="str">
        <f t="shared" si="263"/>
        <v>X</v>
      </c>
      <c r="Y1078" s="2" t="str">
        <f t="shared" si="261"/>
        <v>X</v>
      </c>
      <c r="Z1078" s="2" t="str">
        <f t="shared" si="262"/>
        <v>X</v>
      </c>
      <c r="AA1078" s="2" t="str">
        <f t="shared" si="265"/>
        <v>(31 downto 24)</v>
      </c>
      <c r="AB1078" s="2" t="str">
        <f t="shared" si="266"/>
        <v>(23 downto 16)</v>
      </c>
      <c r="AC1078" s="2" t="str">
        <f t="shared" si="267"/>
        <v>(15 downto 8)</v>
      </c>
      <c r="AD1078" s="2" t="str">
        <f t="shared" si="268"/>
        <v>(7 downto 0)</v>
      </c>
      <c r="AE1078" s="2" t="str">
        <f t="shared" si="269"/>
        <v>(31 downto 24)</v>
      </c>
      <c r="AF1078" s="2" t="str">
        <f t="shared" si="270"/>
        <v>(23 downto 16)</v>
      </c>
      <c r="AG1078" s="2" t="str">
        <f t="shared" si="271"/>
        <v>(15 downto 8)</v>
      </c>
      <c r="AH1078" s="2" t="str">
        <f t="shared" si="272"/>
        <v>(7 downto 0)</v>
      </c>
    </row>
    <row r="1079" spans="2:34" x14ac:dyDescent="0.25">
      <c r="B1079" s="2" t="s">
        <v>3052</v>
      </c>
      <c r="C1079" s="2" t="s">
        <v>141</v>
      </c>
      <c r="D1079" s="2" t="s">
        <v>0</v>
      </c>
      <c r="E1079" s="2" t="s">
        <v>130</v>
      </c>
      <c r="F1079" s="2" t="s">
        <v>3053</v>
      </c>
      <c r="G1079" s="2" t="s">
        <v>3054</v>
      </c>
      <c r="H1079" s="2" t="s">
        <v>142</v>
      </c>
      <c r="I1079" s="2" t="s">
        <v>41</v>
      </c>
      <c r="J1079" s="2">
        <v>32</v>
      </c>
      <c r="K1079" s="2" t="s">
        <v>132</v>
      </c>
      <c r="L1079" s="2" t="s">
        <v>40</v>
      </c>
      <c r="P1079" s="2" t="s">
        <v>48</v>
      </c>
      <c r="Q1079" s="2">
        <f>INDEX(Tables!$C$4:$C$28,MATCH($P1079,Tables!$B$4:$B$28,0))</f>
        <v>32</v>
      </c>
      <c r="R1079" s="2">
        <f>INDEX(Tables!$D$4:$D$28,MATCH($P1079,Tables!$B$4:$B$28,0))</f>
        <v>4</v>
      </c>
      <c r="S1079" s="2">
        <f>$S1078+$R1078+INDEX(Tables!$N$5:$Q$8,MATCH(MOD($S1078+$R1078,4),Tables!$M$5:$M$8,0),MATCH($R1079,Tables!$N$4:$Q$4,0))</f>
        <v>4132</v>
      </c>
      <c r="T1079" s="2" t="str">
        <f t="shared" si="258"/>
        <v>1024</v>
      </c>
      <c r="U1079" s="2">
        <f t="shared" si="264"/>
        <v>1033</v>
      </c>
      <c r="V1079" s="2" t="str">
        <f t="shared" si="259"/>
        <v>409</v>
      </c>
      <c r="W1079" s="2" t="str">
        <f t="shared" si="260"/>
        <v>X</v>
      </c>
      <c r="X1079" s="2" t="str">
        <f t="shared" si="263"/>
        <v>X</v>
      </c>
      <c r="Y1079" s="2" t="str">
        <f t="shared" si="261"/>
        <v>X</v>
      </c>
      <c r="Z1079" s="2" t="str">
        <f t="shared" si="262"/>
        <v>X</v>
      </c>
      <c r="AA1079" s="2" t="str">
        <f t="shared" si="265"/>
        <v>(31 downto 24)</v>
      </c>
      <c r="AB1079" s="2" t="str">
        <f t="shared" si="266"/>
        <v>(23 downto 16)</v>
      </c>
      <c r="AC1079" s="2" t="str">
        <f t="shared" si="267"/>
        <v>(15 downto 8)</v>
      </c>
      <c r="AD1079" s="2" t="str">
        <f t="shared" si="268"/>
        <v>(7 downto 0)</v>
      </c>
      <c r="AE1079" s="2" t="str">
        <f t="shared" si="269"/>
        <v>(31 downto 24)</v>
      </c>
      <c r="AF1079" s="2" t="str">
        <f t="shared" si="270"/>
        <v>(23 downto 16)</v>
      </c>
      <c r="AG1079" s="2" t="str">
        <f t="shared" si="271"/>
        <v>(15 downto 8)</v>
      </c>
      <c r="AH1079" s="2" t="str">
        <f t="shared" si="272"/>
        <v>(7 downto 0)</v>
      </c>
    </row>
    <row r="1080" spans="2:34" x14ac:dyDescent="0.25">
      <c r="B1080" s="2" t="s">
        <v>3055</v>
      </c>
      <c r="C1080" s="2" t="s">
        <v>141</v>
      </c>
      <c r="D1080" s="2" t="s">
        <v>0</v>
      </c>
      <c r="E1080" s="2" t="s">
        <v>130</v>
      </c>
      <c r="F1080" s="2" t="s">
        <v>3056</v>
      </c>
      <c r="G1080" s="2" t="s">
        <v>3057</v>
      </c>
      <c r="H1080" s="2" t="s">
        <v>142</v>
      </c>
      <c r="I1080" s="2" t="s">
        <v>41</v>
      </c>
      <c r="J1080" s="2">
        <v>32</v>
      </c>
      <c r="K1080" s="2" t="s">
        <v>132</v>
      </c>
      <c r="L1080" s="2" t="s">
        <v>40</v>
      </c>
      <c r="P1080" s="2" t="s">
        <v>48</v>
      </c>
      <c r="Q1080" s="2">
        <f>INDEX(Tables!$C$4:$C$28,MATCH($P1080,Tables!$B$4:$B$28,0))</f>
        <v>32</v>
      </c>
      <c r="R1080" s="2">
        <f>INDEX(Tables!$D$4:$D$28,MATCH($P1080,Tables!$B$4:$B$28,0))</f>
        <v>4</v>
      </c>
      <c r="S1080" s="2">
        <f>$S1079+$R1079+INDEX(Tables!$N$5:$Q$8,MATCH(MOD($S1079+$R1079,4),Tables!$M$5:$M$8,0),MATCH($R1080,Tables!$N$4:$Q$4,0))</f>
        <v>4136</v>
      </c>
      <c r="T1080" s="2" t="str">
        <f t="shared" si="258"/>
        <v>1028</v>
      </c>
      <c r="U1080" s="2">
        <f t="shared" si="264"/>
        <v>1034</v>
      </c>
      <c r="V1080" s="2" t="str">
        <f t="shared" si="259"/>
        <v>40A</v>
      </c>
      <c r="W1080" s="2" t="str">
        <f t="shared" si="260"/>
        <v>X</v>
      </c>
      <c r="X1080" s="2" t="str">
        <f t="shared" si="263"/>
        <v>X</v>
      </c>
      <c r="Y1080" s="2" t="str">
        <f t="shared" si="261"/>
        <v>X</v>
      </c>
      <c r="Z1080" s="2" t="str">
        <f t="shared" si="262"/>
        <v>X</v>
      </c>
      <c r="AA1080" s="2" t="str">
        <f t="shared" si="265"/>
        <v>(31 downto 24)</v>
      </c>
      <c r="AB1080" s="2" t="str">
        <f t="shared" si="266"/>
        <v>(23 downto 16)</v>
      </c>
      <c r="AC1080" s="2" t="str">
        <f t="shared" si="267"/>
        <v>(15 downto 8)</v>
      </c>
      <c r="AD1080" s="2" t="str">
        <f t="shared" si="268"/>
        <v>(7 downto 0)</v>
      </c>
      <c r="AE1080" s="2" t="str">
        <f t="shared" si="269"/>
        <v>(31 downto 24)</v>
      </c>
      <c r="AF1080" s="2" t="str">
        <f t="shared" si="270"/>
        <v>(23 downto 16)</v>
      </c>
      <c r="AG1080" s="2" t="str">
        <f t="shared" si="271"/>
        <v>(15 downto 8)</v>
      </c>
      <c r="AH1080" s="2" t="str">
        <f t="shared" si="272"/>
        <v>(7 downto 0)</v>
      </c>
    </row>
    <row r="1081" spans="2:34" x14ac:dyDescent="0.25">
      <c r="B1081" s="2" t="s">
        <v>3058</v>
      </c>
      <c r="C1081" s="2" t="s">
        <v>141</v>
      </c>
      <c r="D1081" s="2" t="s">
        <v>0</v>
      </c>
      <c r="E1081" s="2" t="s">
        <v>130</v>
      </c>
      <c r="F1081" s="2" t="s">
        <v>3059</v>
      </c>
      <c r="G1081" s="2" t="s">
        <v>3060</v>
      </c>
      <c r="H1081" s="2" t="s">
        <v>142</v>
      </c>
      <c r="I1081" s="2" t="s">
        <v>41</v>
      </c>
      <c r="J1081" s="2">
        <v>32</v>
      </c>
      <c r="K1081" s="2" t="s">
        <v>132</v>
      </c>
      <c r="L1081" s="2" t="s">
        <v>40</v>
      </c>
      <c r="P1081" s="2" t="s">
        <v>48</v>
      </c>
      <c r="Q1081" s="2">
        <f>INDEX(Tables!$C$4:$C$28,MATCH($P1081,Tables!$B$4:$B$28,0))</f>
        <v>32</v>
      </c>
      <c r="R1081" s="2">
        <f>INDEX(Tables!$D$4:$D$28,MATCH($P1081,Tables!$B$4:$B$28,0))</f>
        <v>4</v>
      </c>
      <c r="S1081" s="2">
        <f>$S1080+$R1080+INDEX(Tables!$N$5:$Q$8,MATCH(MOD($S1080+$R1080,4),Tables!$M$5:$M$8,0),MATCH($R1081,Tables!$N$4:$Q$4,0))</f>
        <v>4140</v>
      </c>
      <c r="T1081" s="2" t="str">
        <f t="shared" si="258"/>
        <v>102C</v>
      </c>
      <c r="U1081" s="2">
        <f t="shared" si="264"/>
        <v>1035</v>
      </c>
      <c r="V1081" s="2" t="str">
        <f t="shared" si="259"/>
        <v>40B</v>
      </c>
      <c r="W1081" s="2" t="str">
        <f t="shared" si="260"/>
        <v>X</v>
      </c>
      <c r="X1081" s="2" t="str">
        <f t="shared" si="263"/>
        <v>X</v>
      </c>
      <c r="Y1081" s="2" t="str">
        <f t="shared" si="261"/>
        <v>X</v>
      </c>
      <c r="Z1081" s="2" t="str">
        <f t="shared" si="262"/>
        <v>X</v>
      </c>
      <c r="AA1081" s="2" t="str">
        <f t="shared" si="265"/>
        <v>(31 downto 24)</v>
      </c>
      <c r="AB1081" s="2" t="str">
        <f t="shared" si="266"/>
        <v>(23 downto 16)</v>
      </c>
      <c r="AC1081" s="2" t="str">
        <f t="shared" si="267"/>
        <v>(15 downto 8)</v>
      </c>
      <c r="AD1081" s="2" t="str">
        <f t="shared" si="268"/>
        <v>(7 downto 0)</v>
      </c>
      <c r="AE1081" s="2" t="str">
        <f t="shared" si="269"/>
        <v>(31 downto 24)</v>
      </c>
      <c r="AF1081" s="2" t="str">
        <f t="shared" si="270"/>
        <v>(23 downto 16)</v>
      </c>
      <c r="AG1081" s="2" t="str">
        <f t="shared" si="271"/>
        <v>(15 downto 8)</v>
      </c>
      <c r="AH1081" s="2" t="str">
        <f t="shared" si="272"/>
        <v>(7 downto 0)</v>
      </c>
    </row>
    <row r="1082" spans="2:34" x14ac:dyDescent="0.25">
      <c r="B1082" s="2" t="s">
        <v>3061</v>
      </c>
      <c r="C1082" s="2" t="s">
        <v>141</v>
      </c>
      <c r="D1082" s="2" t="s">
        <v>0</v>
      </c>
      <c r="E1082" s="2" t="s">
        <v>130</v>
      </c>
      <c r="F1082" s="2" t="s">
        <v>3062</v>
      </c>
      <c r="G1082" s="2" t="s">
        <v>3063</v>
      </c>
      <c r="H1082" s="2" t="s">
        <v>142</v>
      </c>
      <c r="I1082" s="2" t="s">
        <v>41</v>
      </c>
      <c r="J1082" s="2">
        <v>32</v>
      </c>
      <c r="K1082" s="2" t="s">
        <v>132</v>
      </c>
      <c r="L1082" s="2" t="s">
        <v>40</v>
      </c>
      <c r="P1082" s="2" t="s">
        <v>48</v>
      </c>
      <c r="Q1082" s="2">
        <f>INDEX(Tables!$C$4:$C$28,MATCH($P1082,Tables!$B$4:$B$28,0))</f>
        <v>32</v>
      </c>
      <c r="R1082" s="2">
        <f>INDEX(Tables!$D$4:$D$28,MATCH($P1082,Tables!$B$4:$B$28,0))</f>
        <v>4</v>
      </c>
      <c r="S1082" s="2">
        <f>$S1081+$R1081+INDEX(Tables!$N$5:$Q$8,MATCH(MOD($S1081+$R1081,4),Tables!$M$5:$M$8,0),MATCH($R1082,Tables!$N$4:$Q$4,0))</f>
        <v>4144</v>
      </c>
      <c r="T1082" s="2" t="str">
        <f t="shared" si="258"/>
        <v>1030</v>
      </c>
      <c r="U1082" s="2">
        <f t="shared" si="264"/>
        <v>1036</v>
      </c>
      <c r="V1082" s="2" t="str">
        <f t="shared" si="259"/>
        <v>40C</v>
      </c>
      <c r="W1082" s="2" t="str">
        <f t="shared" si="260"/>
        <v>X</v>
      </c>
      <c r="X1082" s="2" t="str">
        <f t="shared" si="263"/>
        <v>X</v>
      </c>
      <c r="Y1082" s="2" t="str">
        <f t="shared" si="261"/>
        <v>X</v>
      </c>
      <c r="Z1082" s="2" t="str">
        <f t="shared" si="262"/>
        <v>X</v>
      </c>
      <c r="AA1082" s="2" t="str">
        <f t="shared" si="265"/>
        <v>(31 downto 24)</v>
      </c>
      <c r="AB1082" s="2" t="str">
        <f t="shared" si="266"/>
        <v>(23 downto 16)</v>
      </c>
      <c r="AC1082" s="2" t="str">
        <f t="shared" si="267"/>
        <v>(15 downto 8)</v>
      </c>
      <c r="AD1082" s="2" t="str">
        <f t="shared" si="268"/>
        <v>(7 downto 0)</v>
      </c>
      <c r="AE1082" s="2" t="str">
        <f t="shared" si="269"/>
        <v>(31 downto 24)</v>
      </c>
      <c r="AF1082" s="2" t="str">
        <f t="shared" si="270"/>
        <v>(23 downto 16)</v>
      </c>
      <c r="AG1082" s="2" t="str">
        <f t="shared" si="271"/>
        <v>(15 downto 8)</v>
      </c>
      <c r="AH1082" s="2" t="str">
        <f t="shared" si="272"/>
        <v>(7 downto 0)</v>
      </c>
    </row>
    <row r="1083" spans="2:34" x14ac:dyDescent="0.25">
      <c r="B1083" s="2" t="s">
        <v>3064</v>
      </c>
      <c r="C1083" s="2" t="s">
        <v>141</v>
      </c>
      <c r="D1083" s="2" t="s">
        <v>0</v>
      </c>
      <c r="E1083" s="2" t="s">
        <v>130</v>
      </c>
      <c r="F1083" s="2" t="s">
        <v>3065</v>
      </c>
      <c r="G1083" s="2" t="s">
        <v>3066</v>
      </c>
      <c r="H1083" s="2" t="s">
        <v>142</v>
      </c>
      <c r="I1083" s="2" t="s">
        <v>41</v>
      </c>
      <c r="J1083" s="2">
        <v>32</v>
      </c>
      <c r="K1083" s="2" t="s">
        <v>132</v>
      </c>
      <c r="L1083" s="2" t="s">
        <v>40</v>
      </c>
      <c r="P1083" s="2" t="s">
        <v>48</v>
      </c>
      <c r="Q1083" s="2">
        <f>INDEX(Tables!$C$4:$C$28,MATCH($P1083,Tables!$B$4:$B$28,0))</f>
        <v>32</v>
      </c>
      <c r="R1083" s="2">
        <f>INDEX(Tables!$D$4:$D$28,MATCH($P1083,Tables!$B$4:$B$28,0))</f>
        <v>4</v>
      </c>
      <c r="S1083" s="2">
        <f>$S1082+$R1082+INDEX(Tables!$N$5:$Q$8,MATCH(MOD($S1082+$R1082,4),Tables!$M$5:$M$8,0),MATCH($R1083,Tables!$N$4:$Q$4,0))</f>
        <v>4148</v>
      </c>
      <c r="T1083" s="2" t="str">
        <f t="shared" si="258"/>
        <v>1034</v>
      </c>
      <c r="U1083" s="2">
        <f t="shared" si="264"/>
        <v>1037</v>
      </c>
      <c r="V1083" s="2" t="str">
        <f t="shared" si="259"/>
        <v>40D</v>
      </c>
      <c r="W1083" s="2" t="str">
        <f t="shared" si="260"/>
        <v>X</v>
      </c>
      <c r="X1083" s="2" t="str">
        <f t="shared" si="263"/>
        <v>X</v>
      </c>
      <c r="Y1083" s="2" t="str">
        <f t="shared" si="261"/>
        <v>X</v>
      </c>
      <c r="Z1083" s="2" t="str">
        <f t="shared" si="262"/>
        <v>X</v>
      </c>
      <c r="AA1083" s="2" t="str">
        <f t="shared" si="265"/>
        <v>(31 downto 24)</v>
      </c>
      <c r="AB1083" s="2" t="str">
        <f t="shared" si="266"/>
        <v>(23 downto 16)</v>
      </c>
      <c r="AC1083" s="2" t="str">
        <f t="shared" si="267"/>
        <v>(15 downto 8)</v>
      </c>
      <c r="AD1083" s="2" t="str">
        <f t="shared" si="268"/>
        <v>(7 downto 0)</v>
      </c>
      <c r="AE1083" s="2" t="str">
        <f t="shared" si="269"/>
        <v>(31 downto 24)</v>
      </c>
      <c r="AF1083" s="2" t="str">
        <f t="shared" si="270"/>
        <v>(23 downto 16)</v>
      </c>
      <c r="AG1083" s="2" t="str">
        <f t="shared" si="271"/>
        <v>(15 downto 8)</v>
      </c>
      <c r="AH1083" s="2" t="str">
        <f t="shared" si="272"/>
        <v>(7 downto 0)</v>
      </c>
    </row>
    <row r="1084" spans="2:34" x14ac:dyDescent="0.25">
      <c r="B1084" s="2" t="s">
        <v>3067</v>
      </c>
      <c r="C1084" s="2" t="s">
        <v>141</v>
      </c>
      <c r="D1084" s="2" t="s">
        <v>0</v>
      </c>
      <c r="E1084" s="2" t="s">
        <v>130</v>
      </c>
      <c r="F1084" s="2" t="s">
        <v>3068</v>
      </c>
      <c r="G1084" s="2" t="s">
        <v>3069</v>
      </c>
      <c r="H1084" s="2" t="s">
        <v>142</v>
      </c>
      <c r="I1084" s="2" t="s">
        <v>41</v>
      </c>
      <c r="J1084" s="2">
        <v>32</v>
      </c>
      <c r="K1084" s="2" t="s">
        <v>132</v>
      </c>
      <c r="L1084" s="2" t="s">
        <v>40</v>
      </c>
      <c r="P1084" s="2" t="s">
        <v>48</v>
      </c>
      <c r="Q1084" s="2">
        <f>INDEX(Tables!$C$4:$C$28,MATCH($P1084,Tables!$B$4:$B$28,0))</f>
        <v>32</v>
      </c>
      <c r="R1084" s="2">
        <f>INDEX(Tables!$D$4:$D$28,MATCH($P1084,Tables!$B$4:$B$28,0))</f>
        <v>4</v>
      </c>
      <c r="S1084" s="2">
        <f>$S1083+$R1083+INDEX(Tables!$N$5:$Q$8,MATCH(MOD($S1083+$R1083,4),Tables!$M$5:$M$8,0),MATCH($R1084,Tables!$N$4:$Q$4,0))</f>
        <v>4152</v>
      </c>
      <c r="T1084" s="2" t="str">
        <f t="shared" si="258"/>
        <v>1038</v>
      </c>
      <c r="U1084" s="2">
        <f t="shared" si="264"/>
        <v>1038</v>
      </c>
      <c r="V1084" s="2" t="str">
        <f t="shared" si="259"/>
        <v>40E</v>
      </c>
      <c r="W1084" s="2" t="str">
        <f t="shared" si="260"/>
        <v>X</v>
      </c>
      <c r="X1084" s="2" t="str">
        <f t="shared" si="263"/>
        <v>X</v>
      </c>
      <c r="Y1084" s="2" t="str">
        <f t="shared" si="261"/>
        <v>X</v>
      </c>
      <c r="Z1084" s="2" t="str">
        <f t="shared" si="262"/>
        <v>X</v>
      </c>
      <c r="AA1084" s="2" t="str">
        <f t="shared" si="265"/>
        <v>(31 downto 24)</v>
      </c>
      <c r="AB1084" s="2" t="str">
        <f t="shared" si="266"/>
        <v>(23 downto 16)</v>
      </c>
      <c r="AC1084" s="2" t="str">
        <f t="shared" si="267"/>
        <v>(15 downto 8)</v>
      </c>
      <c r="AD1084" s="2" t="str">
        <f t="shared" si="268"/>
        <v>(7 downto 0)</v>
      </c>
      <c r="AE1084" s="2" t="str">
        <f t="shared" si="269"/>
        <v>(31 downto 24)</v>
      </c>
      <c r="AF1084" s="2" t="str">
        <f t="shared" si="270"/>
        <v>(23 downto 16)</v>
      </c>
      <c r="AG1084" s="2" t="str">
        <f t="shared" si="271"/>
        <v>(15 downto 8)</v>
      </c>
      <c r="AH1084" s="2" t="str">
        <f t="shared" si="272"/>
        <v>(7 downto 0)</v>
      </c>
    </row>
    <row r="1085" spans="2:34" x14ac:dyDescent="0.25">
      <c r="B1085" s="2" t="s">
        <v>3070</v>
      </c>
      <c r="C1085" s="2" t="s">
        <v>141</v>
      </c>
      <c r="D1085" s="2" t="s">
        <v>0</v>
      </c>
      <c r="E1085" s="2" t="s">
        <v>130</v>
      </c>
      <c r="F1085" s="2" t="s">
        <v>3071</v>
      </c>
      <c r="G1085" s="2" t="s">
        <v>3072</v>
      </c>
      <c r="H1085" s="2" t="s">
        <v>142</v>
      </c>
      <c r="I1085" s="2" t="s">
        <v>41</v>
      </c>
      <c r="J1085" s="2">
        <v>32</v>
      </c>
      <c r="K1085" s="2" t="s">
        <v>132</v>
      </c>
      <c r="L1085" s="2" t="s">
        <v>40</v>
      </c>
      <c r="P1085" s="2" t="s">
        <v>48</v>
      </c>
      <c r="Q1085" s="2">
        <f>INDEX(Tables!$C$4:$C$28,MATCH($P1085,Tables!$B$4:$B$28,0))</f>
        <v>32</v>
      </c>
      <c r="R1085" s="2">
        <f>INDEX(Tables!$D$4:$D$28,MATCH($P1085,Tables!$B$4:$B$28,0))</f>
        <v>4</v>
      </c>
      <c r="S1085" s="2">
        <f>$S1084+$R1084+INDEX(Tables!$N$5:$Q$8,MATCH(MOD($S1084+$R1084,4),Tables!$M$5:$M$8,0),MATCH($R1085,Tables!$N$4:$Q$4,0))</f>
        <v>4156</v>
      </c>
      <c r="T1085" s="2" t="str">
        <f t="shared" si="258"/>
        <v>103C</v>
      </c>
      <c r="U1085" s="2">
        <f t="shared" si="264"/>
        <v>1039</v>
      </c>
      <c r="V1085" s="2" t="str">
        <f t="shared" si="259"/>
        <v>40F</v>
      </c>
      <c r="W1085" s="2" t="str">
        <f t="shared" si="260"/>
        <v>X</v>
      </c>
      <c r="X1085" s="2" t="str">
        <f t="shared" si="263"/>
        <v>X</v>
      </c>
      <c r="Y1085" s="2" t="str">
        <f t="shared" si="261"/>
        <v>X</v>
      </c>
      <c r="Z1085" s="2" t="str">
        <f t="shared" si="262"/>
        <v>X</v>
      </c>
      <c r="AA1085" s="2" t="str">
        <f t="shared" si="265"/>
        <v>(31 downto 24)</v>
      </c>
      <c r="AB1085" s="2" t="str">
        <f t="shared" si="266"/>
        <v>(23 downto 16)</v>
      </c>
      <c r="AC1085" s="2" t="str">
        <f t="shared" si="267"/>
        <v>(15 downto 8)</v>
      </c>
      <c r="AD1085" s="2" t="str">
        <f t="shared" si="268"/>
        <v>(7 downto 0)</v>
      </c>
      <c r="AE1085" s="2" t="str">
        <f t="shared" si="269"/>
        <v>(31 downto 24)</v>
      </c>
      <c r="AF1085" s="2" t="str">
        <f t="shared" si="270"/>
        <v>(23 downto 16)</v>
      </c>
      <c r="AG1085" s="2" t="str">
        <f t="shared" si="271"/>
        <v>(15 downto 8)</v>
      </c>
      <c r="AH1085" s="2" t="str">
        <f t="shared" si="272"/>
        <v>(7 downto 0)</v>
      </c>
    </row>
    <row r="1086" spans="2:34" x14ac:dyDescent="0.25">
      <c r="B1086" s="2" t="s">
        <v>3073</v>
      </c>
      <c r="C1086" s="2" t="s">
        <v>141</v>
      </c>
      <c r="D1086" s="2" t="s">
        <v>0</v>
      </c>
      <c r="E1086" s="2" t="s">
        <v>130</v>
      </c>
      <c r="F1086" s="2" t="s">
        <v>3074</v>
      </c>
      <c r="G1086" s="2" t="s">
        <v>3075</v>
      </c>
      <c r="H1086" s="2" t="s">
        <v>142</v>
      </c>
      <c r="I1086" s="2" t="s">
        <v>41</v>
      </c>
      <c r="J1086" s="2">
        <v>32</v>
      </c>
      <c r="K1086" s="2" t="s">
        <v>132</v>
      </c>
      <c r="L1086" s="2" t="s">
        <v>40</v>
      </c>
      <c r="P1086" s="2" t="s">
        <v>48</v>
      </c>
      <c r="Q1086" s="2">
        <f>INDEX(Tables!$C$4:$C$28,MATCH($P1086,Tables!$B$4:$B$28,0))</f>
        <v>32</v>
      </c>
      <c r="R1086" s="2">
        <f>INDEX(Tables!$D$4:$D$28,MATCH($P1086,Tables!$B$4:$B$28,0))</f>
        <v>4</v>
      </c>
      <c r="S1086" s="2">
        <f>$S1085+$R1085+INDEX(Tables!$N$5:$Q$8,MATCH(MOD($S1085+$R1085,4),Tables!$M$5:$M$8,0),MATCH($R1086,Tables!$N$4:$Q$4,0))</f>
        <v>4160</v>
      </c>
      <c r="T1086" s="2" t="str">
        <f t="shared" si="258"/>
        <v>1040</v>
      </c>
      <c r="U1086" s="2">
        <f t="shared" si="264"/>
        <v>1040</v>
      </c>
      <c r="V1086" s="2" t="str">
        <f t="shared" si="259"/>
        <v>410</v>
      </c>
      <c r="W1086" s="2" t="str">
        <f t="shared" si="260"/>
        <v>X</v>
      </c>
      <c r="X1086" s="2" t="str">
        <f t="shared" si="263"/>
        <v>X</v>
      </c>
      <c r="Y1086" s="2" t="str">
        <f t="shared" si="261"/>
        <v>X</v>
      </c>
      <c r="Z1086" s="2" t="str">
        <f t="shared" si="262"/>
        <v>X</v>
      </c>
      <c r="AA1086" s="2" t="str">
        <f t="shared" si="265"/>
        <v>(31 downto 24)</v>
      </c>
      <c r="AB1086" s="2" t="str">
        <f t="shared" si="266"/>
        <v>(23 downto 16)</v>
      </c>
      <c r="AC1086" s="2" t="str">
        <f t="shared" si="267"/>
        <v>(15 downto 8)</v>
      </c>
      <c r="AD1086" s="2" t="str">
        <f t="shared" si="268"/>
        <v>(7 downto 0)</v>
      </c>
      <c r="AE1086" s="2" t="str">
        <f t="shared" si="269"/>
        <v>(31 downto 24)</v>
      </c>
      <c r="AF1086" s="2" t="str">
        <f t="shared" si="270"/>
        <v>(23 downto 16)</v>
      </c>
      <c r="AG1086" s="2" t="str">
        <f t="shared" si="271"/>
        <v>(15 downto 8)</v>
      </c>
      <c r="AH1086" s="2" t="str">
        <f t="shared" si="272"/>
        <v>(7 downto 0)</v>
      </c>
    </row>
    <row r="1087" spans="2:34" x14ac:dyDescent="0.25">
      <c r="B1087" s="2" t="s">
        <v>3076</v>
      </c>
      <c r="C1087" s="2" t="s">
        <v>141</v>
      </c>
      <c r="D1087" s="2" t="s">
        <v>0</v>
      </c>
      <c r="E1087" s="2" t="s">
        <v>130</v>
      </c>
      <c r="F1087" s="2" t="s">
        <v>3077</v>
      </c>
      <c r="G1087" s="2" t="s">
        <v>3078</v>
      </c>
      <c r="H1087" s="2" t="s">
        <v>142</v>
      </c>
      <c r="I1087" s="2" t="s">
        <v>41</v>
      </c>
      <c r="J1087" s="2">
        <v>32</v>
      </c>
      <c r="K1087" s="2" t="s">
        <v>132</v>
      </c>
      <c r="L1087" s="2" t="s">
        <v>40</v>
      </c>
      <c r="P1087" s="2" t="s">
        <v>48</v>
      </c>
      <c r="Q1087" s="2">
        <f>INDEX(Tables!$C$4:$C$28,MATCH($P1087,Tables!$B$4:$B$28,0))</f>
        <v>32</v>
      </c>
      <c r="R1087" s="2">
        <f>INDEX(Tables!$D$4:$D$28,MATCH($P1087,Tables!$B$4:$B$28,0))</f>
        <v>4</v>
      </c>
      <c r="S1087" s="2">
        <f>$S1086+$R1086+INDEX(Tables!$N$5:$Q$8,MATCH(MOD($S1086+$R1086,4),Tables!$M$5:$M$8,0),MATCH($R1087,Tables!$N$4:$Q$4,0))</f>
        <v>4164</v>
      </c>
      <c r="T1087" s="2" t="str">
        <f t="shared" si="258"/>
        <v>1044</v>
      </c>
      <c r="U1087" s="2">
        <f t="shared" si="264"/>
        <v>1041</v>
      </c>
      <c r="V1087" s="2" t="str">
        <f t="shared" si="259"/>
        <v>411</v>
      </c>
      <c r="W1087" s="2" t="str">
        <f t="shared" si="260"/>
        <v>X</v>
      </c>
      <c r="X1087" s="2" t="str">
        <f t="shared" si="263"/>
        <v>X</v>
      </c>
      <c r="Y1087" s="2" t="str">
        <f t="shared" si="261"/>
        <v>X</v>
      </c>
      <c r="Z1087" s="2" t="str">
        <f t="shared" si="262"/>
        <v>X</v>
      </c>
      <c r="AA1087" s="2" t="str">
        <f t="shared" si="265"/>
        <v>(31 downto 24)</v>
      </c>
      <c r="AB1087" s="2" t="str">
        <f t="shared" si="266"/>
        <v>(23 downto 16)</v>
      </c>
      <c r="AC1087" s="2" t="str">
        <f t="shared" si="267"/>
        <v>(15 downto 8)</v>
      </c>
      <c r="AD1087" s="2" t="str">
        <f t="shared" si="268"/>
        <v>(7 downto 0)</v>
      </c>
      <c r="AE1087" s="2" t="str">
        <f t="shared" si="269"/>
        <v>(31 downto 24)</v>
      </c>
      <c r="AF1087" s="2" t="str">
        <f t="shared" si="270"/>
        <v>(23 downto 16)</v>
      </c>
      <c r="AG1087" s="2" t="str">
        <f t="shared" si="271"/>
        <v>(15 downto 8)</v>
      </c>
      <c r="AH1087" s="2" t="str">
        <f t="shared" si="272"/>
        <v>(7 downto 0)</v>
      </c>
    </row>
    <row r="1088" spans="2:34" x14ac:dyDescent="0.25">
      <c r="B1088" s="2" t="s">
        <v>3079</v>
      </c>
      <c r="C1088" s="2" t="s">
        <v>141</v>
      </c>
      <c r="D1088" s="2" t="s">
        <v>0</v>
      </c>
      <c r="E1088" s="2" t="s">
        <v>130</v>
      </c>
      <c r="F1088" s="2" t="s">
        <v>3080</v>
      </c>
      <c r="G1088" s="2" t="s">
        <v>3081</v>
      </c>
      <c r="H1088" s="2" t="s">
        <v>142</v>
      </c>
      <c r="I1088" s="2" t="s">
        <v>41</v>
      </c>
      <c r="J1088" s="2">
        <v>32</v>
      </c>
      <c r="K1088" s="2" t="s">
        <v>132</v>
      </c>
      <c r="L1088" s="2" t="s">
        <v>40</v>
      </c>
      <c r="P1088" s="2" t="s">
        <v>48</v>
      </c>
      <c r="Q1088" s="2">
        <f>INDEX(Tables!$C$4:$C$28,MATCH($P1088,Tables!$B$4:$B$28,0))</f>
        <v>32</v>
      </c>
      <c r="R1088" s="2">
        <f>INDEX(Tables!$D$4:$D$28,MATCH($P1088,Tables!$B$4:$B$28,0))</f>
        <v>4</v>
      </c>
      <c r="S1088" s="2">
        <f>$S1087+$R1087+INDEX(Tables!$N$5:$Q$8,MATCH(MOD($S1087+$R1087,4),Tables!$M$5:$M$8,0),MATCH($R1088,Tables!$N$4:$Q$4,0))</f>
        <v>4168</v>
      </c>
      <c r="T1088" s="2" t="str">
        <f t="shared" si="258"/>
        <v>1048</v>
      </c>
      <c r="U1088" s="2">
        <f t="shared" si="264"/>
        <v>1042</v>
      </c>
      <c r="V1088" s="2" t="str">
        <f t="shared" si="259"/>
        <v>412</v>
      </c>
      <c r="W1088" s="2" t="str">
        <f t="shared" si="260"/>
        <v>X</v>
      </c>
      <c r="X1088" s="2" t="str">
        <f t="shared" si="263"/>
        <v>X</v>
      </c>
      <c r="Y1088" s="2" t="str">
        <f t="shared" si="261"/>
        <v>X</v>
      </c>
      <c r="Z1088" s="2" t="str">
        <f t="shared" si="262"/>
        <v>X</v>
      </c>
      <c r="AA1088" s="2" t="str">
        <f t="shared" si="265"/>
        <v>(31 downto 24)</v>
      </c>
      <c r="AB1088" s="2" t="str">
        <f t="shared" si="266"/>
        <v>(23 downto 16)</v>
      </c>
      <c r="AC1088" s="2" t="str">
        <f t="shared" si="267"/>
        <v>(15 downto 8)</v>
      </c>
      <c r="AD1088" s="2" t="str">
        <f t="shared" si="268"/>
        <v>(7 downto 0)</v>
      </c>
      <c r="AE1088" s="2" t="str">
        <f t="shared" si="269"/>
        <v>(31 downto 24)</v>
      </c>
      <c r="AF1088" s="2" t="str">
        <f t="shared" si="270"/>
        <v>(23 downto 16)</v>
      </c>
      <c r="AG1088" s="2" t="str">
        <f t="shared" si="271"/>
        <v>(15 downto 8)</v>
      </c>
      <c r="AH1088" s="2" t="str">
        <f t="shared" si="272"/>
        <v>(7 downto 0)</v>
      </c>
    </row>
    <row r="1089" spans="2:34" x14ac:dyDescent="0.25">
      <c r="B1089" s="2" t="s">
        <v>3082</v>
      </c>
      <c r="C1089" s="2" t="s">
        <v>141</v>
      </c>
      <c r="D1089" s="2" t="s">
        <v>0</v>
      </c>
      <c r="E1089" s="2" t="s">
        <v>130</v>
      </c>
      <c r="F1089" s="2" t="s">
        <v>3083</v>
      </c>
      <c r="G1089" s="2" t="s">
        <v>3084</v>
      </c>
      <c r="H1089" s="2" t="s">
        <v>142</v>
      </c>
      <c r="I1089" s="2" t="s">
        <v>41</v>
      </c>
      <c r="J1089" s="2">
        <v>32</v>
      </c>
      <c r="K1089" s="2" t="s">
        <v>132</v>
      </c>
      <c r="L1089" s="2" t="s">
        <v>40</v>
      </c>
      <c r="P1089" s="2" t="s">
        <v>48</v>
      </c>
      <c r="Q1089" s="2">
        <f>INDEX(Tables!$C$4:$C$28,MATCH($P1089,Tables!$B$4:$B$28,0))</f>
        <v>32</v>
      </c>
      <c r="R1089" s="2">
        <f>INDEX(Tables!$D$4:$D$28,MATCH($P1089,Tables!$B$4:$B$28,0))</f>
        <v>4</v>
      </c>
      <c r="S1089" s="2">
        <f>$S1088+$R1088+INDEX(Tables!$N$5:$Q$8,MATCH(MOD($S1088+$R1088,4),Tables!$M$5:$M$8,0),MATCH($R1089,Tables!$N$4:$Q$4,0))</f>
        <v>4172</v>
      </c>
      <c r="T1089" s="2" t="str">
        <f t="shared" si="258"/>
        <v>104C</v>
      </c>
      <c r="U1089" s="2">
        <f t="shared" si="264"/>
        <v>1043</v>
      </c>
      <c r="V1089" s="2" t="str">
        <f t="shared" si="259"/>
        <v>413</v>
      </c>
      <c r="W1089" s="2" t="str">
        <f t="shared" si="260"/>
        <v>X</v>
      </c>
      <c r="X1089" s="2" t="str">
        <f t="shared" si="263"/>
        <v>X</v>
      </c>
      <c r="Y1089" s="2" t="str">
        <f t="shared" si="261"/>
        <v>X</v>
      </c>
      <c r="Z1089" s="2" t="str">
        <f t="shared" si="262"/>
        <v>X</v>
      </c>
      <c r="AA1089" s="2" t="str">
        <f t="shared" si="265"/>
        <v>(31 downto 24)</v>
      </c>
      <c r="AB1089" s="2" t="str">
        <f t="shared" si="266"/>
        <v>(23 downto 16)</v>
      </c>
      <c r="AC1089" s="2" t="str">
        <f t="shared" si="267"/>
        <v>(15 downto 8)</v>
      </c>
      <c r="AD1089" s="2" t="str">
        <f t="shared" si="268"/>
        <v>(7 downto 0)</v>
      </c>
      <c r="AE1089" s="2" t="str">
        <f t="shared" si="269"/>
        <v>(31 downto 24)</v>
      </c>
      <c r="AF1089" s="2" t="str">
        <f t="shared" si="270"/>
        <v>(23 downto 16)</v>
      </c>
      <c r="AG1089" s="2" t="str">
        <f t="shared" si="271"/>
        <v>(15 downto 8)</v>
      </c>
      <c r="AH1089" s="2" t="str">
        <f t="shared" si="272"/>
        <v>(7 downto 0)</v>
      </c>
    </row>
    <row r="1090" spans="2:34" x14ac:dyDescent="0.25">
      <c r="B1090" s="2" t="s">
        <v>3085</v>
      </c>
      <c r="C1090" s="2" t="s">
        <v>141</v>
      </c>
      <c r="D1090" s="2" t="s">
        <v>0</v>
      </c>
      <c r="E1090" s="2" t="s">
        <v>130</v>
      </c>
      <c r="F1090" s="2" t="s">
        <v>3086</v>
      </c>
      <c r="G1090" s="2" t="s">
        <v>3087</v>
      </c>
      <c r="H1090" s="2" t="s">
        <v>142</v>
      </c>
      <c r="I1090" s="2" t="s">
        <v>41</v>
      </c>
      <c r="J1090" s="2">
        <v>32</v>
      </c>
      <c r="K1090" s="2" t="s">
        <v>132</v>
      </c>
      <c r="L1090" s="2" t="s">
        <v>40</v>
      </c>
      <c r="P1090" s="2" t="s">
        <v>48</v>
      </c>
      <c r="Q1090" s="2">
        <f>INDEX(Tables!$C$4:$C$28,MATCH($P1090,Tables!$B$4:$B$28,0))</f>
        <v>32</v>
      </c>
      <c r="R1090" s="2">
        <f>INDEX(Tables!$D$4:$D$28,MATCH($P1090,Tables!$B$4:$B$28,0))</f>
        <v>4</v>
      </c>
      <c r="S1090" s="2">
        <f>$S1089+$R1089+INDEX(Tables!$N$5:$Q$8,MATCH(MOD($S1089+$R1089,4),Tables!$M$5:$M$8,0),MATCH($R1090,Tables!$N$4:$Q$4,0))</f>
        <v>4176</v>
      </c>
      <c r="T1090" s="2" t="str">
        <f t="shared" si="258"/>
        <v>1050</v>
      </c>
      <c r="U1090" s="2">
        <f t="shared" si="264"/>
        <v>1044</v>
      </c>
      <c r="V1090" s="2" t="str">
        <f t="shared" si="259"/>
        <v>414</v>
      </c>
      <c r="W1090" s="2" t="str">
        <f t="shared" si="260"/>
        <v>X</v>
      </c>
      <c r="X1090" s="2" t="str">
        <f t="shared" si="263"/>
        <v>X</v>
      </c>
      <c r="Y1090" s="2" t="str">
        <f t="shared" si="261"/>
        <v>X</v>
      </c>
      <c r="Z1090" s="2" t="str">
        <f t="shared" si="262"/>
        <v>X</v>
      </c>
      <c r="AA1090" s="2" t="str">
        <f t="shared" si="265"/>
        <v>(31 downto 24)</v>
      </c>
      <c r="AB1090" s="2" t="str">
        <f t="shared" si="266"/>
        <v>(23 downto 16)</v>
      </c>
      <c r="AC1090" s="2" t="str">
        <f t="shared" si="267"/>
        <v>(15 downto 8)</v>
      </c>
      <c r="AD1090" s="2" t="str">
        <f t="shared" si="268"/>
        <v>(7 downto 0)</v>
      </c>
      <c r="AE1090" s="2" t="str">
        <f t="shared" si="269"/>
        <v>(31 downto 24)</v>
      </c>
      <c r="AF1090" s="2" t="str">
        <f t="shared" si="270"/>
        <v>(23 downto 16)</v>
      </c>
      <c r="AG1090" s="2" t="str">
        <f t="shared" si="271"/>
        <v>(15 downto 8)</v>
      </c>
      <c r="AH1090" s="2" t="str">
        <f t="shared" si="272"/>
        <v>(7 downto 0)</v>
      </c>
    </row>
    <row r="1091" spans="2:34" x14ac:dyDescent="0.25">
      <c r="B1091" s="2" t="s">
        <v>3088</v>
      </c>
      <c r="C1091" s="2" t="s">
        <v>141</v>
      </c>
      <c r="D1091" s="2" t="s">
        <v>0</v>
      </c>
      <c r="E1091" s="2" t="s">
        <v>130</v>
      </c>
      <c r="F1091" s="2" t="s">
        <v>3089</v>
      </c>
      <c r="G1091" s="2" t="s">
        <v>3090</v>
      </c>
      <c r="H1091" s="2" t="s">
        <v>142</v>
      </c>
      <c r="I1091" s="2" t="s">
        <v>41</v>
      </c>
      <c r="J1091" s="2">
        <v>32</v>
      </c>
      <c r="K1091" s="2" t="s">
        <v>132</v>
      </c>
      <c r="L1091" s="2" t="s">
        <v>40</v>
      </c>
      <c r="P1091" s="2" t="s">
        <v>48</v>
      </c>
      <c r="Q1091" s="2">
        <f>INDEX(Tables!$C$4:$C$28,MATCH($P1091,Tables!$B$4:$B$28,0))</f>
        <v>32</v>
      </c>
      <c r="R1091" s="2">
        <f>INDEX(Tables!$D$4:$D$28,MATCH($P1091,Tables!$B$4:$B$28,0))</f>
        <v>4</v>
      </c>
      <c r="S1091" s="2">
        <f>$S1090+$R1090+INDEX(Tables!$N$5:$Q$8,MATCH(MOD($S1090+$R1090,4),Tables!$M$5:$M$8,0),MATCH($R1091,Tables!$N$4:$Q$4,0))</f>
        <v>4180</v>
      </c>
      <c r="T1091" s="2" t="str">
        <f t="shared" si="258"/>
        <v>1054</v>
      </c>
      <c r="U1091" s="2">
        <f t="shared" si="264"/>
        <v>1045</v>
      </c>
      <c r="V1091" s="2" t="str">
        <f t="shared" si="259"/>
        <v>415</v>
      </c>
      <c r="W1091" s="2" t="str">
        <f t="shared" si="260"/>
        <v>X</v>
      </c>
      <c r="X1091" s="2" t="str">
        <f t="shared" si="263"/>
        <v>X</v>
      </c>
      <c r="Y1091" s="2" t="str">
        <f t="shared" si="261"/>
        <v>X</v>
      </c>
      <c r="Z1091" s="2" t="str">
        <f t="shared" si="262"/>
        <v>X</v>
      </c>
      <c r="AA1091" s="2" t="str">
        <f t="shared" si="265"/>
        <v>(31 downto 24)</v>
      </c>
      <c r="AB1091" s="2" t="str">
        <f t="shared" si="266"/>
        <v>(23 downto 16)</v>
      </c>
      <c r="AC1091" s="2" t="str">
        <f t="shared" si="267"/>
        <v>(15 downto 8)</v>
      </c>
      <c r="AD1091" s="2" t="str">
        <f t="shared" si="268"/>
        <v>(7 downto 0)</v>
      </c>
      <c r="AE1091" s="2" t="str">
        <f t="shared" si="269"/>
        <v>(31 downto 24)</v>
      </c>
      <c r="AF1091" s="2" t="str">
        <f t="shared" si="270"/>
        <v>(23 downto 16)</v>
      </c>
      <c r="AG1091" s="2" t="str">
        <f t="shared" si="271"/>
        <v>(15 downto 8)</v>
      </c>
      <c r="AH1091" s="2" t="str">
        <f t="shared" si="272"/>
        <v>(7 downto 0)</v>
      </c>
    </row>
    <row r="1092" spans="2:34" x14ac:dyDescent="0.25">
      <c r="B1092" s="2" t="s">
        <v>3091</v>
      </c>
      <c r="C1092" s="2" t="s">
        <v>141</v>
      </c>
      <c r="D1092" s="2" t="s">
        <v>0</v>
      </c>
      <c r="E1092" s="2" t="s">
        <v>130</v>
      </c>
      <c r="F1092" s="2" t="s">
        <v>3092</v>
      </c>
      <c r="G1092" s="2" t="s">
        <v>3093</v>
      </c>
      <c r="H1092" s="2" t="s">
        <v>142</v>
      </c>
      <c r="I1092" s="2" t="s">
        <v>41</v>
      </c>
      <c r="J1092" s="2">
        <v>32</v>
      </c>
      <c r="K1092" s="2" t="s">
        <v>132</v>
      </c>
      <c r="L1092" s="2" t="s">
        <v>40</v>
      </c>
      <c r="P1092" s="2" t="s">
        <v>48</v>
      </c>
      <c r="Q1092" s="2">
        <f>INDEX(Tables!$C$4:$C$28,MATCH($P1092,Tables!$B$4:$B$28,0))</f>
        <v>32</v>
      </c>
      <c r="R1092" s="2">
        <f>INDEX(Tables!$D$4:$D$28,MATCH($P1092,Tables!$B$4:$B$28,0))</f>
        <v>4</v>
      </c>
      <c r="S1092" s="2">
        <f>$S1091+$R1091+INDEX(Tables!$N$5:$Q$8,MATCH(MOD($S1091+$R1091,4),Tables!$M$5:$M$8,0),MATCH($R1092,Tables!$N$4:$Q$4,0))</f>
        <v>4184</v>
      </c>
      <c r="T1092" s="2" t="str">
        <f t="shared" si="258"/>
        <v>1058</v>
      </c>
      <c r="U1092" s="2">
        <f t="shared" si="264"/>
        <v>1046</v>
      </c>
      <c r="V1092" s="2" t="str">
        <f t="shared" si="259"/>
        <v>416</v>
      </c>
      <c r="W1092" s="2" t="str">
        <f t="shared" si="260"/>
        <v>X</v>
      </c>
      <c r="X1092" s="2" t="str">
        <f t="shared" si="263"/>
        <v>X</v>
      </c>
      <c r="Y1092" s="2" t="str">
        <f t="shared" si="261"/>
        <v>X</v>
      </c>
      <c r="Z1092" s="2" t="str">
        <f t="shared" si="262"/>
        <v>X</v>
      </c>
      <c r="AA1092" s="2" t="str">
        <f t="shared" si="265"/>
        <v>(31 downto 24)</v>
      </c>
      <c r="AB1092" s="2" t="str">
        <f t="shared" si="266"/>
        <v>(23 downto 16)</v>
      </c>
      <c r="AC1092" s="2" t="str">
        <f t="shared" si="267"/>
        <v>(15 downto 8)</v>
      </c>
      <c r="AD1092" s="2" t="str">
        <f t="shared" si="268"/>
        <v>(7 downto 0)</v>
      </c>
      <c r="AE1092" s="2" t="str">
        <f t="shared" si="269"/>
        <v>(31 downto 24)</v>
      </c>
      <c r="AF1092" s="2" t="str">
        <f t="shared" si="270"/>
        <v>(23 downto 16)</v>
      </c>
      <c r="AG1092" s="2" t="str">
        <f t="shared" si="271"/>
        <v>(15 downto 8)</v>
      </c>
      <c r="AH1092" s="2" t="str">
        <f t="shared" si="272"/>
        <v>(7 downto 0)</v>
      </c>
    </row>
    <row r="1093" spans="2:34" x14ac:dyDescent="0.25">
      <c r="B1093" s="2" t="s">
        <v>3094</v>
      </c>
      <c r="C1093" s="2" t="s">
        <v>141</v>
      </c>
      <c r="D1093" s="2" t="s">
        <v>0</v>
      </c>
      <c r="E1093" s="2" t="s">
        <v>130</v>
      </c>
      <c r="F1093" s="2" t="s">
        <v>3095</v>
      </c>
      <c r="G1093" s="2" t="s">
        <v>3096</v>
      </c>
      <c r="H1093" s="2" t="s">
        <v>142</v>
      </c>
      <c r="I1093" s="2" t="s">
        <v>41</v>
      </c>
      <c r="J1093" s="2">
        <v>32</v>
      </c>
      <c r="K1093" s="2" t="s">
        <v>132</v>
      </c>
      <c r="L1093" s="2" t="s">
        <v>40</v>
      </c>
      <c r="P1093" s="2" t="s">
        <v>48</v>
      </c>
      <c r="Q1093" s="2">
        <f>INDEX(Tables!$C$4:$C$28,MATCH($P1093,Tables!$B$4:$B$28,0))</f>
        <v>32</v>
      </c>
      <c r="R1093" s="2">
        <f>INDEX(Tables!$D$4:$D$28,MATCH($P1093,Tables!$B$4:$B$28,0))</f>
        <v>4</v>
      </c>
      <c r="S1093" s="2">
        <f>$S1092+$R1092+INDEX(Tables!$N$5:$Q$8,MATCH(MOD($S1092+$R1092,4),Tables!$M$5:$M$8,0),MATCH($R1093,Tables!$N$4:$Q$4,0))</f>
        <v>4188</v>
      </c>
      <c r="T1093" s="2" t="str">
        <f t="shared" ref="T1093:T1156" si="273">DEC2HEX($S1093,4)</f>
        <v>105C</v>
      </c>
      <c r="U1093" s="2">
        <f t="shared" si="264"/>
        <v>1047</v>
      </c>
      <c r="V1093" s="2" t="str">
        <f t="shared" ref="V1093:V1156" si="274">DEC2HEX($U1093,3)</f>
        <v>417</v>
      </c>
      <c r="W1093" s="2" t="str">
        <f t="shared" ref="W1093:W1156" si="275">IF(MOD($S1093,4)=3,"X",IF(AND(MOD($S1093,4)=2,$J1093&gt;8),"X",IF(AND(MOD($S1093,4)=1,$J1093&gt;16),"X",IF(AND(MOD($S1093,4)=0,$J1093&gt;24),"X",""))))</f>
        <v>X</v>
      </c>
      <c r="X1093" s="2" t="str">
        <f t="shared" si="263"/>
        <v>X</v>
      </c>
      <c r="Y1093" s="2" t="str">
        <f t="shared" ref="Y1093:Y1156" si="276">IF(MOD($S1093,4)=1,"X",IF(AND(MOD($S1093,4)=0,$J1093&gt;8),"X",""))</f>
        <v>X</v>
      </c>
      <c r="Z1093" s="2" t="str">
        <f t="shared" ref="Z1093:Z1156" si="277">IF(MOD($S1093,4)=0,"X","")</f>
        <v>X</v>
      </c>
      <c r="AA1093" s="2" t="str">
        <f t="shared" si="265"/>
        <v>(31 downto 24)</v>
      </c>
      <c r="AB1093" s="2" t="str">
        <f t="shared" si="266"/>
        <v>(23 downto 16)</v>
      </c>
      <c r="AC1093" s="2" t="str">
        <f t="shared" si="267"/>
        <v>(15 downto 8)</v>
      </c>
      <c r="AD1093" s="2" t="str">
        <f t="shared" si="268"/>
        <v>(7 downto 0)</v>
      </c>
      <c r="AE1093" s="2" t="str">
        <f t="shared" si="269"/>
        <v>(31 downto 24)</v>
      </c>
      <c r="AF1093" s="2" t="str">
        <f t="shared" si="270"/>
        <v>(23 downto 16)</v>
      </c>
      <c r="AG1093" s="2" t="str">
        <f t="shared" si="271"/>
        <v>(15 downto 8)</v>
      </c>
      <c r="AH1093" s="2" t="str">
        <f t="shared" si="272"/>
        <v>(7 downto 0)</v>
      </c>
    </row>
    <row r="1094" spans="2:34" x14ac:dyDescent="0.25">
      <c r="B1094" s="2" t="s">
        <v>3097</v>
      </c>
      <c r="C1094" s="2" t="s">
        <v>141</v>
      </c>
      <c r="D1094" s="2" t="s">
        <v>0</v>
      </c>
      <c r="E1094" s="2" t="s">
        <v>130</v>
      </c>
      <c r="F1094" s="2" t="s">
        <v>3098</v>
      </c>
      <c r="G1094" s="2" t="s">
        <v>3099</v>
      </c>
      <c r="H1094" s="2" t="s">
        <v>142</v>
      </c>
      <c r="I1094" s="2" t="s">
        <v>41</v>
      </c>
      <c r="J1094" s="2">
        <v>32</v>
      </c>
      <c r="K1094" s="2" t="s">
        <v>132</v>
      </c>
      <c r="L1094" s="2" t="s">
        <v>40</v>
      </c>
      <c r="P1094" s="2" t="s">
        <v>48</v>
      </c>
      <c r="Q1094" s="2">
        <f>INDEX(Tables!$C$4:$C$28,MATCH($P1094,Tables!$B$4:$B$28,0))</f>
        <v>32</v>
      </c>
      <c r="R1094" s="2">
        <f>INDEX(Tables!$D$4:$D$28,MATCH($P1094,Tables!$B$4:$B$28,0))</f>
        <v>4</v>
      </c>
      <c r="S1094" s="2">
        <f>$S1093+$R1093+INDEX(Tables!$N$5:$Q$8,MATCH(MOD($S1093+$R1093,4),Tables!$M$5:$M$8,0),MATCH($R1094,Tables!$N$4:$Q$4,0))</f>
        <v>4192</v>
      </c>
      <c r="T1094" s="2" t="str">
        <f t="shared" si="273"/>
        <v>1060</v>
      </c>
      <c r="U1094" s="2">
        <f t="shared" si="264"/>
        <v>1048</v>
      </c>
      <c r="V1094" s="2" t="str">
        <f t="shared" si="274"/>
        <v>418</v>
      </c>
      <c r="W1094" s="2" t="str">
        <f t="shared" si="275"/>
        <v>X</v>
      </c>
      <c r="X1094" s="2" t="str">
        <f t="shared" ref="X1094:X1157" si="278">IF(MOD($S1094,4)=2,"X",IF(AND(MOD($S1094,4)=1,$J1094&gt;8),"X",IF(AND(MOD($S1094,4)=0,$J1094&gt;16),"X","")))</f>
        <v>X</v>
      </c>
      <c r="Y1094" s="2" t="str">
        <f t="shared" si="276"/>
        <v>X</v>
      </c>
      <c r="Z1094" s="2" t="str">
        <f t="shared" si="277"/>
        <v>X</v>
      </c>
      <c r="AA1094" s="2" t="str">
        <f t="shared" si="265"/>
        <v>(31 downto 24)</v>
      </c>
      <c r="AB1094" s="2" t="str">
        <f t="shared" si="266"/>
        <v>(23 downto 16)</v>
      </c>
      <c r="AC1094" s="2" t="str">
        <f t="shared" si="267"/>
        <v>(15 downto 8)</v>
      </c>
      <c r="AD1094" s="2" t="str">
        <f t="shared" si="268"/>
        <v>(7 downto 0)</v>
      </c>
      <c r="AE1094" s="2" t="str">
        <f t="shared" si="269"/>
        <v>(31 downto 24)</v>
      </c>
      <c r="AF1094" s="2" t="str">
        <f t="shared" si="270"/>
        <v>(23 downto 16)</v>
      </c>
      <c r="AG1094" s="2" t="str">
        <f t="shared" si="271"/>
        <v>(15 downto 8)</v>
      </c>
      <c r="AH1094" s="2" t="str">
        <f t="shared" si="272"/>
        <v>(7 downto 0)</v>
      </c>
    </row>
    <row r="1095" spans="2:34" x14ac:dyDescent="0.25">
      <c r="B1095" s="2" t="s">
        <v>3100</v>
      </c>
      <c r="C1095" s="2" t="s">
        <v>141</v>
      </c>
      <c r="D1095" s="2" t="s">
        <v>0</v>
      </c>
      <c r="E1095" s="2" t="s">
        <v>130</v>
      </c>
      <c r="F1095" s="2" t="s">
        <v>3101</v>
      </c>
      <c r="G1095" s="2" t="s">
        <v>3102</v>
      </c>
      <c r="H1095" s="2" t="s">
        <v>142</v>
      </c>
      <c r="I1095" s="2" t="s">
        <v>41</v>
      </c>
      <c r="J1095" s="2">
        <v>32</v>
      </c>
      <c r="K1095" s="2" t="s">
        <v>132</v>
      </c>
      <c r="L1095" s="2" t="s">
        <v>40</v>
      </c>
      <c r="P1095" s="2" t="s">
        <v>48</v>
      </c>
      <c r="Q1095" s="2">
        <f>INDEX(Tables!$C$4:$C$28,MATCH($P1095,Tables!$B$4:$B$28,0))</f>
        <v>32</v>
      </c>
      <c r="R1095" s="2">
        <f>INDEX(Tables!$D$4:$D$28,MATCH($P1095,Tables!$B$4:$B$28,0))</f>
        <v>4</v>
      </c>
      <c r="S1095" s="2">
        <f>$S1094+$R1094+INDEX(Tables!$N$5:$Q$8,MATCH(MOD($S1094+$R1094,4),Tables!$M$5:$M$8,0),MATCH($R1095,Tables!$N$4:$Q$4,0))</f>
        <v>4196</v>
      </c>
      <c r="T1095" s="2" t="str">
        <f t="shared" si="273"/>
        <v>1064</v>
      </c>
      <c r="U1095" s="2">
        <f t="shared" si="264"/>
        <v>1049</v>
      </c>
      <c r="V1095" s="2" t="str">
        <f t="shared" si="274"/>
        <v>419</v>
      </c>
      <c r="W1095" s="2" t="str">
        <f t="shared" si="275"/>
        <v>X</v>
      </c>
      <c r="X1095" s="2" t="str">
        <f t="shared" si="278"/>
        <v>X</v>
      </c>
      <c r="Y1095" s="2" t="str">
        <f t="shared" si="276"/>
        <v>X</v>
      </c>
      <c r="Z1095" s="2" t="str">
        <f t="shared" si="277"/>
        <v>X</v>
      </c>
      <c r="AA1095" s="2" t="str">
        <f t="shared" si="265"/>
        <v>(31 downto 24)</v>
      </c>
      <c r="AB1095" s="2" t="str">
        <f t="shared" si="266"/>
        <v>(23 downto 16)</v>
      </c>
      <c r="AC1095" s="2" t="str">
        <f t="shared" si="267"/>
        <v>(15 downto 8)</v>
      </c>
      <c r="AD1095" s="2" t="str">
        <f t="shared" si="268"/>
        <v>(7 downto 0)</v>
      </c>
      <c r="AE1095" s="2" t="str">
        <f t="shared" si="269"/>
        <v>(31 downto 24)</v>
      </c>
      <c r="AF1095" s="2" t="str">
        <f t="shared" si="270"/>
        <v>(23 downto 16)</v>
      </c>
      <c r="AG1095" s="2" t="str">
        <f t="shared" si="271"/>
        <v>(15 downto 8)</v>
      </c>
      <c r="AH1095" s="2" t="str">
        <f t="shared" si="272"/>
        <v>(7 downto 0)</v>
      </c>
    </row>
    <row r="1096" spans="2:34" x14ac:dyDescent="0.25">
      <c r="B1096" s="2" t="s">
        <v>3103</v>
      </c>
      <c r="C1096" s="2" t="s">
        <v>141</v>
      </c>
      <c r="D1096" s="2" t="s">
        <v>0</v>
      </c>
      <c r="E1096" s="2" t="s">
        <v>130</v>
      </c>
      <c r="F1096" s="2" t="s">
        <v>3104</v>
      </c>
      <c r="G1096" s="2" t="s">
        <v>3105</v>
      </c>
      <c r="H1096" s="2" t="s">
        <v>142</v>
      </c>
      <c r="I1096" s="2" t="s">
        <v>41</v>
      </c>
      <c r="J1096" s="2">
        <v>32</v>
      </c>
      <c r="K1096" s="2" t="s">
        <v>132</v>
      </c>
      <c r="L1096" s="2" t="s">
        <v>40</v>
      </c>
      <c r="P1096" s="2" t="s">
        <v>48</v>
      </c>
      <c r="Q1096" s="2">
        <f>INDEX(Tables!$C$4:$C$28,MATCH($P1096,Tables!$B$4:$B$28,0))</f>
        <v>32</v>
      </c>
      <c r="R1096" s="2">
        <f>INDEX(Tables!$D$4:$D$28,MATCH($P1096,Tables!$B$4:$B$28,0))</f>
        <v>4</v>
      </c>
      <c r="S1096" s="2">
        <f>$S1095+$R1095+INDEX(Tables!$N$5:$Q$8,MATCH(MOD($S1095+$R1095,4),Tables!$M$5:$M$8,0),MATCH($R1096,Tables!$N$4:$Q$4,0))</f>
        <v>4200</v>
      </c>
      <c r="T1096" s="2" t="str">
        <f t="shared" si="273"/>
        <v>1068</v>
      </c>
      <c r="U1096" s="2">
        <f t="shared" si="264"/>
        <v>1050</v>
      </c>
      <c r="V1096" s="2" t="str">
        <f t="shared" si="274"/>
        <v>41A</v>
      </c>
      <c r="W1096" s="2" t="str">
        <f t="shared" si="275"/>
        <v>X</v>
      </c>
      <c r="X1096" s="2" t="str">
        <f t="shared" si="278"/>
        <v>X</v>
      </c>
      <c r="Y1096" s="2" t="str">
        <f t="shared" si="276"/>
        <v>X</v>
      </c>
      <c r="Z1096" s="2" t="str">
        <f t="shared" si="277"/>
        <v>X</v>
      </c>
      <c r="AA1096" s="2" t="str">
        <f t="shared" si="265"/>
        <v>(31 downto 24)</v>
      </c>
      <c r="AB1096" s="2" t="str">
        <f t="shared" si="266"/>
        <v>(23 downto 16)</v>
      </c>
      <c r="AC1096" s="2" t="str">
        <f t="shared" si="267"/>
        <v>(15 downto 8)</v>
      </c>
      <c r="AD1096" s="2" t="str">
        <f t="shared" si="268"/>
        <v>(7 downto 0)</v>
      </c>
      <c r="AE1096" s="2" t="str">
        <f t="shared" si="269"/>
        <v>(31 downto 24)</v>
      </c>
      <c r="AF1096" s="2" t="str">
        <f t="shared" si="270"/>
        <v>(23 downto 16)</v>
      </c>
      <c r="AG1096" s="2" t="str">
        <f t="shared" si="271"/>
        <v>(15 downto 8)</v>
      </c>
      <c r="AH1096" s="2" t="str">
        <f t="shared" si="272"/>
        <v>(7 downto 0)</v>
      </c>
    </row>
    <row r="1097" spans="2:34" x14ac:dyDescent="0.25">
      <c r="B1097" s="2" t="s">
        <v>3106</v>
      </c>
      <c r="C1097" s="2" t="s">
        <v>141</v>
      </c>
      <c r="D1097" s="2" t="s">
        <v>0</v>
      </c>
      <c r="E1097" s="2" t="s">
        <v>130</v>
      </c>
      <c r="F1097" s="2" t="s">
        <v>3107</v>
      </c>
      <c r="G1097" s="2" t="s">
        <v>3108</v>
      </c>
      <c r="H1097" s="2" t="s">
        <v>142</v>
      </c>
      <c r="I1097" s="2" t="s">
        <v>41</v>
      </c>
      <c r="J1097" s="2">
        <v>32</v>
      </c>
      <c r="K1097" s="2" t="s">
        <v>132</v>
      </c>
      <c r="L1097" s="2" t="s">
        <v>40</v>
      </c>
      <c r="P1097" s="2" t="s">
        <v>48</v>
      </c>
      <c r="Q1097" s="2">
        <f>INDEX(Tables!$C$4:$C$28,MATCH($P1097,Tables!$B$4:$B$28,0))</f>
        <v>32</v>
      </c>
      <c r="R1097" s="2">
        <f>INDEX(Tables!$D$4:$D$28,MATCH($P1097,Tables!$B$4:$B$28,0))</f>
        <v>4</v>
      </c>
      <c r="S1097" s="2">
        <f>$S1096+$R1096+INDEX(Tables!$N$5:$Q$8,MATCH(MOD($S1096+$R1096,4),Tables!$M$5:$M$8,0),MATCH($R1097,Tables!$N$4:$Q$4,0))</f>
        <v>4204</v>
      </c>
      <c r="T1097" s="2" t="str">
        <f t="shared" si="273"/>
        <v>106C</v>
      </c>
      <c r="U1097" s="2">
        <f t="shared" ref="U1097:U1160" si="279">ROUNDDOWN(S1097/4,0)</f>
        <v>1051</v>
      </c>
      <c r="V1097" s="2" t="str">
        <f t="shared" si="274"/>
        <v>41B</v>
      </c>
      <c r="W1097" s="2" t="str">
        <f t="shared" si="275"/>
        <v>X</v>
      </c>
      <c r="X1097" s="2" t="str">
        <f t="shared" si="278"/>
        <v>X</v>
      </c>
      <c r="Y1097" s="2" t="str">
        <f t="shared" si="276"/>
        <v>X</v>
      </c>
      <c r="Z1097" s="2" t="str">
        <f t="shared" si="277"/>
        <v>X</v>
      </c>
      <c r="AA1097" s="2" t="str">
        <f t="shared" ref="AA1097:AA1160" si="280">IF(W1097="","",CONCATENATE("(",IF(($J1097-COUNTIF($X1097:$Z1097,"X")*8)=1,"24)",CONCATENATE(IF(($J1097-COUNTIF($X1097:$Z1097,"X")*8)&gt;=8,32,($J1097-COUNTIF($X1097:$Z1097,"X")*8)+24)-1," downto 24)"))))</f>
        <v>(31 downto 24)</v>
      </c>
      <c r="AB1097" s="2" t="str">
        <f t="shared" ref="AB1097:AB1160" si="281">IF(X1097="","",CONCATENATE("(",IF(($J1097-COUNTIF($Y1097:$Z1097,"X")*8)=1,"16)",CONCATENATE(IF(($J1097-COUNTIF($Y1097:$Z1097,"X")*8)&gt;=8,24,($J1097-COUNTIF($Y1097:$Z1097,"X")*8)+16)-1," downto 16)"))))</f>
        <v>(23 downto 16)</v>
      </c>
      <c r="AC1097" s="2" t="str">
        <f t="shared" ref="AC1097:AC1160" si="282">IF(Y1097="","",CONCATENATE("(",IF(($J1097-COUNTIF($Z1097,"X")*8)=1,"8)",CONCATENATE(IF(($J1097-COUNTIF($Z1097,"X")*8)&gt;=8,16,($J1097-COUNTIF($Z1097,"X")*8)+8)-1," downto 8)"))))</f>
        <v>(15 downto 8)</v>
      </c>
      <c r="AD1097" s="2" t="str">
        <f t="shared" ref="AD1097:AD1160" si="283">IF(Z1097="","",CONCATENATE("(",IF($J1097=1,"0)",CONCATENATE(IF($J1097&gt;=8,8,$J1097)-1," downto 0)"))))</f>
        <v>(7 downto 0)</v>
      </c>
      <c r="AE1097" s="2" t="str">
        <f t="shared" ref="AE1097:AE1160" si="284">IF(W1097="","",IF($J1097&lt;=8,"",IF(($J1097-COUNTIF($X1097:$Z1097,"X")*8)=1,CONCATENATE("(",($J1097-1),")"),CONCATENATE("(",IF(($J1097-COUNTIF($X1097:$Z1097,"X")*8)&gt;=8,COUNTIF($X1097:$Z1097,"X")*8+7,$J1097-COUNTIF($X1097:$Z1097,"X")*8-1+COUNTIF($X1097:$Z1097,"X")*8)," downto ",COUNTIF($X1097:$Z1097,"X")*8,")"))))</f>
        <v>(31 downto 24)</v>
      </c>
      <c r="AF1097" s="2" t="str">
        <f t="shared" ref="AF1097:AF1160" si="285">IF(X1097="","",IF($J1097&lt;=8,"",IF(($J1097-COUNTIF($Y1097:$Z1097,"X")*8)=1,CONCATENATE("(",($J1097-1),")"),CONCATENATE("(",IF(($J1097-COUNTIF($Y1097:$Z1097,"X")*8)&gt;=8,COUNTIF($Y1097:$Z1097,"X")*8+7,$J1097-COUNTIF($Y1097:$Z1097,"X")*8-1+COUNTIF($Y1097:$Z1097,"X")*8)," downto ",COUNTIF($Y1097:$Z1097,"X")*8,")"))))</f>
        <v>(23 downto 16)</v>
      </c>
      <c r="AG1097" s="2" t="str">
        <f t="shared" ref="AG1097:AG1160" si="286">IF(Y1097="","",IF($J1097&lt;=8,"",IF(($J1097-COUNTIF($Z1097,"X")*8)=1,CONCATENATE("(",($J1097-1),")"),CONCATENATE("(",IF(($J1097-COUNTIF($Z1097,"X")*8)&gt;=8,COUNTIF($Z1097,"X")*8+7,$J1097-COUNTIF($Z1097,"X")*8-1+COUNTIF($Z1097,"X")*8)," downto ",COUNTIF($Z1097,"X")*8,")"))))</f>
        <v>(15 downto 8)</v>
      </c>
      <c r="AH1097" s="2" t="str">
        <f t="shared" ref="AH1097:AH1160" si="287">IF(Z1097="","",IF($J1097&lt;=8,"",CONCATENATE("(",IF($J1097&gt;=8,7,$J1097-1)," downto ",0,")")))</f>
        <v>(7 downto 0)</v>
      </c>
    </row>
    <row r="1098" spans="2:34" x14ac:dyDescent="0.25">
      <c r="B1098" s="2" t="s">
        <v>3109</v>
      </c>
      <c r="C1098" s="2" t="s">
        <v>141</v>
      </c>
      <c r="D1098" s="2" t="s">
        <v>0</v>
      </c>
      <c r="E1098" s="2" t="s">
        <v>130</v>
      </c>
      <c r="F1098" s="2" t="s">
        <v>3110</v>
      </c>
      <c r="G1098" s="2" t="s">
        <v>3111</v>
      </c>
      <c r="H1098" s="2" t="s">
        <v>142</v>
      </c>
      <c r="I1098" s="2" t="s">
        <v>41</v>
      </c>
      <c r="J1098" s="2">
        <v>32</v>
      </c>
      <c r="K1098" s="2" t="s">
        <v>132</v>
      </c>
      <c r="L1098" s="2" t="s">
        <v>40</v>
      </c>
      <c r="P1098" s="2" t="s">
        <v>48</v>
      </c>
      <c r="Q1098" s="2">
        <f>INDEX(Tables!$C$4:$C$28,MATCH($P1098,Tables!$B$4:$B$28,0))</f>
        <v>32</v>
      </c>
      <c r="R1098" s="2">
        <f>INDEX(Tables!$D$4:$D$28,MATCH($P1098,Tables!$B$4:$B$28,0))</f>
        <v>4</v>
      </c>
      <c r="S1098" s="2">
        <f>$S1097+$R1097+INDEX(Tables!$N$5:$Q$8,MATCH(MOD($S1097+$R1097,4),Tables!$M$5:$M$8,0),MATCH($R1098,Tables!$N$4:$Q$4,0))</f>
        <v>4208</v>
      </c>
      <c r="T1098" s="2" t="str">
        <f t="shared" si="273"/>
        <v>1070</v>
      </c>
      <c r="U1098" s="2">
        <f t="shared" si="279"/>
        <v>1052</v>
      </c>
      <c r="V1098" s="2" t="str">
        <f t="shared" si="274"/>
        <v>41C</v>
      </c>
      <c r="W1098" s="2" t="str">
        <f t="shared" si="275"/>
        <v>X</v>
      </c>
      <c r="X1098" s="2" t="str">
        <f t="shared" si="278"/>
        <v>X</v>
      </c>
      <c r="Y1098" s="2" t="str">
        <f t="shared" si="276"/>
        <v>X</v>
      </c>
      <c r="Z1098" s="2" t="str">
        <f t="shared" si="277"/>
        <v>X</v>
      </c>
      <c r="AA1098" s="2" t="str">
        <f t="shared" si="280"/>
        <v>(31 downto 24)</v>
      </c>
      <c r="AB1098" s="2" t="str">
        <f t="shared" si="281"/>
        <v>(23 downto 16)</v>
      </c>
      <c r="AC1098" s="2" t="str">
        <f t="shared" si="282"/>
        <v>(15 downto 8)</v>
      </c>
      <c r="AD1098" s="2" t="str">
        <f t="shared" si="283"/>
        <v>(7 downto 0)</v>
      </c>
      <c r="AE1098" s="2" t="str">
        <f t="shared" si="284"/>
        <v>(31 downto 24)</v>
      </c>
      <c r="AF1098" s="2" t="str">
        <f t="shared" si="285"/>
        <v>(23 downto 16)</v>
      </c>
      <c r="AG1098" s="2" t="str">
        <f t="shared" si="286"/>
        <v>(15 downto 8)</v>
      </c>
      <c r="AH1098" s="2" t="str">
        <f t="shared" si="287"/>
        <v>(7 downto 0)</v>
      </c>
    </row>
    <row r="1099" spans="2:34" x14ac:dyDescent="0.25">
      <c r="B1099" s="2" t="s">
        <v>3112</v>
      </c>
      <c r="C1099" s="2" t="s">
        <v>141</v>
      </c>
      <c r="D1099" s="2" t="s">
        <v>0</v>
      </c>
      <c r="E1099" s="2" t="s">
        <v>130</v>
      </c>
      <c r="F1099" s="2" t="s">
        <v>3113</v>
      </c>
      <c r="G1099" s="2" t="s">
        <v>3114</v>
      </c>
      <c r="H1099" s="2" t="s">
        <v>142</v>
      </c>
      <c r="I1099" s="2" t="s">
        <v>41</v>
      </c>
      <c r="J1099" s="2">
        <v>32</v>
      </c>
      <c r="K1099" s="2" t="s">
        <v>132</v>
      </c>
      <c r="L1099" s="2" t="s">
        <v>40</v>
      </c>
      <c r="P1099" s="2" t="s">
        <v>48</v>
      </c>
      <c r="Q1099" s="2">
        <f>INDEX(Tables!$C$4:$C$28,MATCH($P1099,Tables!$B$4:$B$28,0))</f>
        <v>32</v>
      </c>
      <c r="R1099" s="2">
        <f>INDEX(Tables!$D$4:$D$28,MATCH($P1099,Tables!$B$4:$B$28,0))</f>
        <v>4</v>
      </c>
      <c r="S1099" s="2">
        <f>$S1098+$R1098+INDEX(Tables!$N$5:$Q$8,MATCH(MOD($S1098+$R1098,4),Tables!$M$5:$M$8,0),MATCH($R1099,Tables!$N$4:$Q$4,0))</f>
        <v>4212</v>
      </c>
      <c r="T1099" s="2" t="str">
        <f t="shared" si="273"/>
        <v>1074</v>
      </c>
      <c r="U1099" s="2">
        <f t="shared" si="279"/>
        <v>1053</v>
      </c>
      <c r="V1099" s="2" t="str">
        <f t="shared" si="274"/>
        <v>41D</v>
      </c>
      <c r="W1099" s="2" t="str">
        <f t="shared" si="275"/>
        <v>X</v>
      </c>
      <c r="X1099" s="2" t="str">
        <f t="shared" si="278"/>
        <v>X</v>
      </c>
      <c r="Y1099" s="2" t="str">
        <f t="shared" si="276"/>
        <v>X</v>
      </c>
      <c r="Z1099" s="2" t="str">
        <f t="shared" si="277"/>
        <v>X</v>
      </c>
      <c r="AA1099" s="2" t="str">
        <f t="shared" si="280"/>
        <v>(31 downto 24)</v>
      </c>
      <c r="AB1099" s="2" t="str">
        <f t="shared" si="281"/>
        <v>(23 downto 16)</v>
      </c>
      <c r="AC1099" s="2" t="str">
        <f t="shared" si="282"/>
        <v>(15 downto 8)</v>
      </c>
      <c r="AD1099" s="2" t="str">
        <f t="shared" si="283"/>
        <v>(7 downto 0)</v>
      </c>
      <c r="AE1099" s="2" t="str">
        <f t="shared" si="284"/>
        <v>(31 downto 24)</v>
      </c>
      <c r="AF1099" s="2" t="str">
        <f t="shared" si="285"/>
        <v>(23 downto 16)</v>
      </c>
      <c r="AG1099" s="2" t="str">
        <f t="shared" si="286"/>
        <v>(15 downto 8)</v>
      </c>
      <c r="AH1099" s="2" t="str">
        <f t="shared" si="287"/>
        <v>(7 downto 0)</v>
      </c>
    </row>
    <row r="1100" spans="2:34" x14ac:dyDescent="0.25">
      <c r="B1100" s="2" t="s">
        <v>3115</v>
      </c>
      <c r="C1100" s="2" t="s">
        <v>141</v>
      </c>
      <c r="D1100" s="2" t="s">
        <v>0</v>
      </c>
      <c r="E1100" s="2" t="s">
        <v>130</v>
      </c>
      <c r="F1100" s="2" t="s">
        <v>3116</v>
      </c>
      <c r="G1100" s="2" t="s">
        <v>3117</v>
      </c>
      <c r="H1100" s="2" t="s">
        <v>142</v>
      </c>
      <c r="I1100" s="2" t="s">
        <v>41</v>
      </c>
      <c r="J1100" s="2">
        <v>32</v>
      </c>
      <c r="K1100" s="2" t="s">
        <v>132</v>
      </c>
      <c r="L1100" s="2" t="s">
        <v>40</v>
      </c>
      <c r="P1100" s="2" t="s">
        <v>48</v>
      </c>
      <c r="Q1100" s="2">
        <f>INDEX(Tables!$C$4:$C$28,MATCH($P1100,Tables!$B$4:$B$28,0))</f>
        <v>32</v>
      </c>
      <c r="R1100" s="2">
        <f>INDEX(Tables!$D$4:$D$28,MATCH($P1100,Tables!$B$4:$B$28,0))</f>
        <v>4</v>
      </c>
      <c r="S1100" s="2">
        <f>$S1099+$R1099+INDEX(Tables!$N$5:$Q$8,MATCH(MOD($S1099+$R1099,4),Tables!$M$5:$M$8,0),MATCH($R1100,Tables!$N$4:$Q$4,0))</f>
        <v>4216</v>
      </c>
      <c r="T1100" s="2" t="str">
        <f t="shared" si="273"/>
        <v>1078</v>
      </c>
      <c r="U1100" s="2">
        <f t="shared" si="279"/>
        <v>1054</v>
      </c>
      <c r="V1100" s="2" t="str">
        <f t="shared" si="274"/>
        <v>41E</v>
      </c>
      <c r="W1100" s="2" t="str">
        <f t="shared" si="275"/>
        <v>X</v>
      </c>
      <c r="X1100" s="2" t="str">
        <f t="shared" si="278"/>
        <v>X</v>
      </c>
      <c r="Y1100" s="2" t="str">
        <f t="shared" si="276"/>
        <v>X</v>
      </c>
      <c r="Z1100" s="2" t="str">
        <f t="shared" si="277"/>
        <v>X</v>
      </c>
      <c r="AA1100" s="2" t="str">
        <f t="shared" si="280"/>
        <v>(31 downto 24)</v>
      </c>
      <c r="AB1100" s="2" t="str">
        <f t="shared" si="281"/>
        <v>(23 downto 16)</v>
      </c>
      <c r="AC1100" s="2" t="str">
        <f t="shared" si="282"/>
        <v>(15 downto 8)</v>
      </c>
      <c r="AD1100" s="2" t="str">
        <f t="shared" si="283"/>
        <v>(7 downto 0)</v>
      </c>
      <c r="AE1100" s="2" t="str">
        <f t="shared" si="284"/>
        <v>(31 downto 24)</v>
      </c>
      <c r="AF1100" s="2" t="str">
        <f t="shared" si="285"/>
        <v>(23 downto 16)</v>
      </c>
      <c r="AG1100" s="2" t="str">
        <f t="shared" si="286"/>
        <v>(15 downto 8)</v>
      </c>
      <c r="AH1100" s="2" t="str">
        <f t="shared" si="287"/>
        <v>(7 downto 0)</v>
      </c>
    </row>
    <row r="1101" spans="2:34" x14ac:dyDescent="0.25">
      <c r="B1101" s="2" t="s">
        <v>3118</v>
      </c>
      <c r="C1101" s="2" t="s">
        <v>141</v>
      </c>
      <c r="D1101" s="2" t="s">
        <v>0</v>
      </c>
      <c r="E1101" s="2" t="s">
        <v>130</v>
      </c>
      <c r="F1101" s="2" t="s">
        <v>3119</v>
      </c>
      <c r="G1101" s="2" t="s">
        <v>3120</v>
      </c>
      <c r="H1101" s="2" t="s">
        <v>142</v>
      </c>
      <c r="I1101" s="2" t="s">
        <v>41</v>
      </c>
      <c r="J1101" s="2">
        <v>32</v>
      </c>
      <c r="K1101" s="2" t="s">
        <v>132</v>
      </c>
      <c r="L1101" s="2" t="s">
        <v>40</v>
      </c>
      <c r="P1101" s="2" t="s">
        <v>48</v>
      </c>
      <c r="Q1101" s="2">
        <f>INDEX(Tables!$C$4:$C$28,MATCH($P1101,Tables!$B$4:$B$28,0))</f>
        <v>32</v>
      </c>
      <c r="R1101" s="2">
        <f>INDEX(Tables!$D$4:$D$28,MATCH($P1101,Tables!$B$4:$B$28,0))</f>
        <v>4</v>
      </c>
      <c r="S1101" s="2">
        <f>$S1100+$R1100+INDEX(Tables!$N$5:$Q$8,MATCH(MOD($S1100+$R1100,4),Tables!$M$5:$M$8,0),MATCH($R1101,Tables!$N$4:$Q$4,0))</f>
        <v>4220</v>
      </c>
      <c r="T1101" s="2" t="str">
        <f t="shared" si="273"/>
        <v>107C</v>
      </c>
      <c r="U1101" s="2">
        <f t="shared" si="279"/>
        <v>1055</v>
      </c>
      <c r="V1101" s="2" t="str">
        <f t="shared" si="274"/>
        <v>41F</v>
      </c>
      <c r="W1101" s="2" t="str">
        <f t="shared" si="275"/>
        <v>X</v>
      </c>
      <c r="X1101" s="2" t="str">
        <f t="shared" si="278"/>
        <v>X</v>
      </c>
      <c r="Y1101" s="2" t="str">
        <f t="shared" si="276"/>
        <v>X</v>
      </c>
      <c r="Z1101" s="2" t="str">
        <f t="shared" si="277"/>
        <v>X</v>
      </c>
      <c r="AA1101" s="2" t="str">
        <f t="shared" si="280"/>
        <v>(31 downto 24)</v>
      </c>
      <c r="AB1101" s="2" t="str">
        <f t="shared" si="281"/>
        <v>(23 downto 16)</v>
      </c>
      <c r="AC1101" s="2" t="str">
        <f t="shared" si="282"/>
        <v>(15 downto 8)</v>
      </c>
      <c r="AD1101" s="2" t="str">
        <f t="shared" si="283"/>
        <v>(7 downto 0)</v>
      </c>
      <c r="AE1101" s="2" t="str">
        <f t="shared" si="284"/>
        <v>(31 downto 24)</v>
      </c>
      <c r="AF1101" s="2" t="str">
        <f t="shared" si="285"/>
        <v>(23 downto 16)</v>
      </c>
      <c r="AG1101" s="2" t="str">
        <f t="shared" si="286"/>
        <v>(15 downto 8)</v>
      </c>
      <c r="AH1101" s="2" t="str">
        <f t="shared" si="287"/>
        <v>(7 downto 0)</v>
      </c>
    </row>
    <row r="1102" spans="2:34" x14ac:dyDescent="0.25">
      <c r="B1102" s="2" t="s">
        <v>3121</v>
      </c>
      <c r="C1102" s="2" t="s">
        <v>141</v>
      </c>
      <c r="D1102" s="2" t="s">
        <v>0</v>
      </c>
      <c r="E1102" s="2" t="s">
        <v>130</v>
      </c>
      <c r="F1102" s="2" t="s">
        <v>3122</v>
      </c>
      <c r="G1102" s="2" t="s">
        <v>3123</v>
      </c>
      <c r="H1102" s="2" t="s">
        <v>142</v>
      </c>
      <c r="I1102" s="2" t="s">
        <v>41</v>
      </c>
      <c r="J1102" s="2">
        <v>32</v>
      </c>
      <c r="K1102" s="2" t="s">
        <v>132</v>
      </c>
      <c r="L1102" s="2" t="s">
        <v>40</v>
      </c>
      <c r="P1102" s="2" t="s">
        <v>48</v>
      </c>
      <c r="Q1102" s="2">
        <f>INDEX(Tables!$C$4:$C$28,MATCH($P1102,Tables!$B$4:$B$28,0))</f>
        <v>32</v>
      </c>
      <c r="R1102" s="2">
        <f>INDEX(Tables!$D$4:$D$28,MATCH($P1102,Tables!$B$4:$B$28,0))</f>
        <v>4</v>
      </c>
      <c r="S1102" s="2">
        <f>$S1101+$R1101+INDEX(Tables!$N$5:$Q$8,MATCH(MOD($S1101+$R1101,4),Tables!$M$5:$M$8,0),MATCH($R1102,Tables!$N$4:$Q$4,0))</f>
        <v>4224</v>
      </c>
      <c r="T1102" s="2" t="str">
        <f t="shared" si="273"/>
        <v>1080</v>
      </c>
      <c r="U1102" s="2">
        <f t="shared" si="279"/>
        <v>1056</v>
      </c>
      <c r="V1102" s="2" t="str">
        <f t="shared" si="274"/>
        <v>420</v>
      </c>
      <c r="W1102" s="2" t="str">
        <f t="shared" si="275"/>
        <v>X</v>
      </c>
      <c r="X1102" s="2" t="str">
        <f t="shared" si="278"/>
        <v>X</v>
      </c>
      <c r="Y1102" s="2" t="str">
        <f t="shared" si="276"/>
        <v>X</v>
      </c>
      <c r="Z1102" s="2" t="str">
        <f t="shared" si="277"/>
        <v>X</v>
      </c>
      <c r="AA1102" s="2" t="str">
        <f t="shared" si="280"/>
        <v>(31 downto 24)</v>
      </c>
      <c r="AB1102" s="2" t="str">
        <f t="shared" si="281"/>
        <v>(23 downto 16)</v>
      </c>
      <c r="AC1102" s="2" t="str">
        <f t="shared" si="282"/>
        <v>(15 downto 8)</v>
      </c>
      <c r="AD1102" s="2" t="str">
        <f t="shared" si="283"/>
        <v>(7 downto 0)</v>
      </c>
      <c r="AE1102" s="2" t="str">
        <f t="shared" si="284"/>
        <v>(31 downto 24)</v>
      </c>
      <c r="AF1102" s="2" t="str">
        <f t="shared" si="285"/>
        <v>(23 downto 16)</v>
      </c>
      <c r="AG1102" s="2" t="str">
        <f t="shared" si="286"/>
        <v>(15 downto 8)</v>
      </c>
      <c r="AH1102" s="2" t="str">
        <f t="shared" si="287"/>
        <v>(7 downto 0)</v>
      </c>
    </row>
    <row r="1103" spans="2:34" x14ac:dyDescent="0.25">
      <c r="B1103" s="2" t="s">
        <v>3124</v>
      </c>
      <c r="C1103" s="2" t="s">
        <v>141</v>
      </c>
      <c r="D1103" s="2" t="s">
        <v>0</v>
      </c>
      <c r="E1103" s="2" t="s">
        <v>130</v>
      </c>
      <c r="F1103" s="2" t="s">
        <v>3125</v>
      </c>
      <c r="G1103" s="2" t="s">
        <v>3126</v>
      </c>
      <c r="H1103" s="2" t="s">
        <v>142</v>
      </c>
      <c r="I1103" s="2" t="s">
        <v>41</v>
      </c>
      <c r="J1103" s="2">
        <v>32</v>
      </c>
      <c r="K1103" s="2" t="s">
        <v>132</v>
      </c>
      <c r="L1103" s="2" t="s">
        <v>40</v>
      </c>
      <c r="P1103" s="2" t="s">
        <v>48</v>
      </c>
      <c r="Q1103" s="2">
        <f>INDEX(Tables!$C$4:$C$28,MATCH($P1103,Tables!$B$4:$B$28,0))</f>
        <v>32</v>
      </c>
      <c r="R1103" s="2">
        <f>INDEX(Tables!$D$4:$D$28,MATCH($P1103,Tables!$B$4:$B$28,0))</f>
        <v>4</v>
      </c>
      <c r="S1103" s="2">
        <f>$S1102+$R1102+INDEX(Tables!$N$5:$Q$8,MATCH(MOD($S1102+$R1102,4),Tables!$M$5:$M$8,0),MATCH($R1103,Tables!$N$4:$Q$4,0))</f>
        <v>4228</v>
      </c>
      <c r="T1103" s="2" t="str">
        <f t="shared" si="273"/>
        <v>1084</v>
      </c>
      <c r="U1103" s="2">
        <f t="shared" si="279"/>
        <v>1057</v>
      </c>
      <c r="V1103" s="2" t="str">
        <f t="shared" si="274"/>
        <v>421</v>
      </c>
      <c r="W1103" s="2" t="str">
        <f t="shared" si="275"/>
        <v>X</v>
      </c>
      <c r="X1103" s="2" t="str">
        <f t="shared" si="278"/>
        <v>X</v>
      </c>
      <c r="Y1103" s="2" t="str">
        <f t="shared" si="276"/>
        <v>X</v>
      </c>
      <c r="Z1103" s="2" t="str">
        <f t="shared" si="277"/>
        <v>X</v>
      </c>
      <c r="AA1103" s="2" t="str">
        <f t="shared" si="280"/>
        <v>(31 downto 24)</v>
      </c>
      <c r="AB1103" s="2" t="str">
        <f t="shared" si="281"/>
        <v>(23 downto 16)</v>
      </c>
      <c r="AC1103" s="2" t="str">
        <f t="shared" si="282"/>
        <v>(15 downto 8)</v>
      </c>
      <c r="AD1103" s="2" t="str">
        <f t="shared" si="283"/>
        <v>(7 downto 0)</v>
      </c>
      <c r="AE1103" s="2" t="str">
        <f t="shared" si="284"/>
        <v>(31 downto 24)</v>
      </c>
      <c r="AF1103" s="2" t="str">
        <f t="shared" si="285"/>
        <v>(23 downto 16)</v>
      </c>
      <c r="AG1103" s="2" t="str">
        <f t="shared" si="286"/>
        <v>(15 downto 8)</v>
      </c>
      <c r="AH1103" s="2" t="str">
        <f t="shared" si="287"/>
        <v>(7 downto 0)</v>
      </c>
    </row>
    <row r="1104" spans="2:34" x14ac:dyDescent="0.25">
      <c r="B1104" s="2" t="s">
        <v>3127</v>
      </c>
      <c r="C1104" s="2" t="s">
        <v>141</v>
      </c>
      <c r="D1104" s="2" t="s">
        <v>0</v>
      </c>
      <c r="E1104" s="2" t="s">
        <v>130</v>
      </c>
      <c r="F1104" s="2" t="s">
        <v>3128</v>
      </c>
      <c r="G1104" s="2" t="s">
        <v>3129</v>
      </c>
      <c r="H1104" s="2" t="s">
        <v>142</v>
      </c>
      <c r="I1104" s="2" t="s">
        <v>41</v>
      </c>
      <c r="J1104" s="2">
        <v>32</v>
      </c>
      <c r="K1104" s="2" t="s">
        <v>132</v>
      </c>
      <c r="L1104" s="2" t="s">
        <v>40</v>
      </c>
      <c r="P1104" s="2" t="s">
        <v>48</v>
      </c>
      <c r="Q1104" s="2">
        <f>INDEX(Tables!$C$4:$C$28,MATCH($P1104,Tables!$B$4:$B$28,0))</f>
        <v>32</v>
      </c>
      <c r="R1104" s="2">
        <f>INDEX(Tables!$D$4:$D$28,MATCH($P1104,Tables!$B$4:$B$28,0))</f>
        <v>4</v>
      </c>
      <c r="S1104" s="2">
        <f>$S1103+$R1103+INDEX(Tables!$N$5:$Q$8,MATCH(MOD($S1103+$R1103,4),Tables!$M$5:$M$8,0),MATCH($R1104,Tables!$N$4:$Q$4,0))</f>
        <v>4232</v>
      </c>
      <c r="T1104" s="2" t="str">
        <f t="shared" si="273"/>
        <v>1088</v>
      </c>
      <c r="U1104" s="2">
        <f t="shared" si="279"/>
        <v>1058</v>
      </c>
      <c r="V1104" s="2" t="str">
        <f t="shared" si="274"/>
        <v>422</v>
      </c>
      <c r="W1104" s="2" t="str">
        <f t="shared" si="275"/>
        <v>X</v>
      </c>
      <c r="X1104" s="2" t="str">
        <f t="shared" si="278"/>
        <v>X</v>
      </c>
      <c r="Y1104" s="2" t="str">
        <f t="shared" si="276"/>
        <v>X</v>
      </c>
      <c r="Z1104" s="2" t="str">
        <f t="shared" si="277"/>
        <v>X</v>
      </c>
      <c r="AA1104" s="2" t="str">
        <f t="shared" si="280"/>
        <v>(31 downto 24)</v>
      </c>
      <c r="AB1104" s="2" t="str">
        <f t="shared" si="281"/>
        <v>(23 downto 16)</v>
      </c>
      <c r="AC1104" s="2" t="str">
        <f t="shared" si="282"/>
        <v>(15 downto 8)</v>
      </c>
      <c r="AD1104" s="2" t="str">
        <f t="shared" si="283"/>
        <v>(7 downto 0)</v>
      </c>
      <c r="AE1104" s="2" t="str">
        <f t="shared" si="284"/>
        <v>(31 downto 24)</v>
      </c>
      <c r="AF1104" s="2" t="str">
        <f t="shared" si="285"/>
        <v>(23 downto 16)</v>
      </c>
      <c r="AG1104" s="2" t="str">
        <f t="shared" si="286"/>
        <v>(15 downto 8)</v>
      </c>
      <c r="AH1104" s="2" t="str">
        <f t="shared" si="287"/>
        <v>(7 downto 0)</v>
      </c>
    </row>
    <row r="1105" spans="2:34" x14ac:dyDescent="0.25">
      <c r="B1105" s="2" t="s">
        <v>3130</v>
      </c>
      <c r="C1105" s="2" t="s">
        <v>141</v>
      </c>
      <c r="D1105" s="2" t="s">
        <v>0</v>
      </c>
      <c r="E1105" s="2" t="s">
        <v>130</v>
      </c>
      <c r="F1105" s="2" t="s">
        <v>3131</v>
      </c>
      <c r="G1105" s="2" t="s">
        <v>3132</v>
      </c>
      <c r="H1105" s="2" t="s">
        <v>142</v>
      </c>
      <c r="I1105" s="2" t="s">
        <v>41</v>
      </c>
      <c r="J1105" s="2">
        <v>32</v>
      </c>
      <c r="K1105" s="2" t="s">
        <v>132</v>
      </c>
      <c r="L1105" s="2" t="s">
        <v>40</v>
      </c>
      <c r="P1105" s="2" t="s">
        <v>48</v>
      </c>
      <c r="Q1105" s="2">
        <f>INDEX(Tables!$C$4:$C$28,MATCH($P1105,Tables!$B$4:$B$28,0))</f>
        <v>32</v>
      </c>
      <c r="R1105" s="2">
        <f>INDEX(Tables!$D$4:$D$28,MATCH($P1105,Tables!$B$4:$B$28,0))</f>
        <v>4</v>
      </c>
      <c r="S1105" s="2">
        <f>$S1104+$R1104+INDEX(Tables!$N$5:$Q$8,MATCH(MOD($S1104+$R1104,4),Tables!$M$5:$M$8,0),MATCH($R1105,Tables!$N$4:$Q$4,0))</f>
        <v>4236</v>
      </c>
      <c r="T1105" s="2" t="str">
        <f t="shared" si="273"/>
        <v>108C</v>
      </c>
      <c r="U1105" s="2">
        <f t="shared" si="279"/>
        <v>1059</v>
      </c>
      <c r="V1105" s="2" t="str">
        <f t="shared" si="274"/>
        <v>423</v>
      </c>
      <c r="W1105" s="2" t="str">
        <f t="shared" si="275"/>
        <v>X</v>
      </c>
      <c r="X1105" s="2" t="str">
        <f t="shared" si="278"/>
        <v>X</v>
      </c>
      <c r="Y1105" s="2" t="str">
        <f t="shared" si="276"/>
        <v>X</v>
      </c>
      <c r="Z1105" s="2" t="str">
        <f t="shared" si="277"/>
        <v>X</v>
      </c>
      <c r="AA1105" s="2" t="str">
        <f t="shared" si="280"/>
        <v>(31 downto 24)</v>
      </c>
      <c r="AB1105" s="2" t="str">
        <f t="shared" si="281"/>
        <v>(23 downto 16)</v>
      </c>
      <c r="AC1105" s="2" t="str">
        <f t="shared" si="282"/>
        <v>(15 downto 8)</v>
      </c>
      <c r="AD1105" s="2" t="str">
        <f t="shared" si="283"/>
        <v>(7 downto 0)</v>
      </c>
      <c r="AE1105" s="2" t="str">
        <f t="shared" si="284"/>
        <v>(31 downto 24)</v>
      </c>
      <c r="AF1105" s="2" t="str">
        <f t="shared" si="285"/>
        <v>(23 downto 16)</v>
      </c>
      <c r="AG1105" s="2" t="str">
        <f t="shared" si="286"/>
        <v>(15 downto 8)</v>
      </c>
      <c r="AH1105" s="2" t="str">
        <f t="shared" si="287"/>
        <v>(7 downto 0)</v>
      </c>
    </row>
    <row r="1106" spans="2:34" x14ac:dyDescent="0.25">
      <c r="B1106" s="2" t="s">
        <v>3133</v>
      </c>
      <c r="C1106" s="2" t="s">
        <v>141</v>
      </c>
      <c r="D1106" s="2" t="s">
        <v>0</v>
      </c>
      <c r="E1106" s="2" t="s">
        <v>130</v>
      </c>
      <c r="F1106" s="2" t="s">
        <v>3134</v>
      </c>
      <c r="G1106" s="2" t="s">
        <v>3135</v>
      </c>
      <c r="H1106" s="2" t="s">
        <v>142</v>
      </c>
      <c r="I1106" s="2" t="s">
        <v>41</v>
      </c>
      <c r="J1106" s="2">
        <v>32</v>
      </c>
      <c r="K1106" s="2" t="s">
        <v>132</v>
      </c>
      <c r="L1106" s="2" t="s">
        <v>40</v>
      </c>
      <c r="P1106" s="2" t="s">
        <v>48</v>
      </c>
      <c r="Q1106" s="2">
        <f>INDEX(Tables!$C$4:$C$28,MATCH($P1106,Tables!$B$4:$B$28,0))</f>
        <v>32</v>
      </c>
      <c r="R1106" s="2">
        <f>INDEX(Tables!$D$4:$D$28,MATCH($P1106,Tables!$B$4:$B$28,0))</f>
        <v>4</v>
      </c>
      <c r="S1106" s="2">
        <f>$S1105+$R1105+INDEX(Tables!$N$5:$Q$8,MATCH(MOD($S1105+$R1105,4),Tables!$M$5:$M$8,0),MATCH($R1106,Tables!$N$4:$Q$4,0))</f>
        <v>4240</v>
      </c>
      <c r="T1106" s="2" t="str">
        <f t="shared" si="273"/>
        <v>1090</v>
      </c>
      <c r="U1106" s="2">
        <f t="shared" si="279"/>
        <v>1060</v>
      </c>
      <c r="V1106" s="2" t="str">
        <f t="shared" si="274"/>
        <v>424</v>
      </c>
      <c r="W1106" s="2" t="str">
        <f t="shared" si="275"/>
        <v>X</v>
      </c>
      <c r="X1106" s="2" t="str">
        <f t="shared" si="278"/>
        <v>X</v>
      </c>
      <c r="Y1106" s="2" t="str">
        <f t="shared" si="276"/>
        <v>X</v>
      </c>
      <c r="Z1106" s="2" t="str">
        <f t="shared" si="277"/>
        <v>X</v>
      </c>
      <c r="AA1106" s="2" t="str">
        <f t="shared" si="280"/>
        <v>(31 downto 24)</v>
      </c>
      <c r="AB1106" s="2" t="str">
        <f t="shared" si="281"/>
        <v>(23 downto 16)</v>
      </c>
      <c r="AC1106" s="2" t="str">
        <f t="shared" si="282"/>
        <v>(15 downto 8)</v>
      </c>
      <c r="AD1106" s="2" t="str">
        <f t="shared" si="283"/>
        <v>(7 downto 0)</v>
      </c>
      <c r="AE1106" s="2" t="str">
        <f t="shared" si="284"/>
        <v>(31 downto 24)</v>
      </c>
      <c r="AF1106" s="2" t="str">
        <f t="shared" si="285"/>
        <v>(23 downto 16)</v>
      </c>
      <c r="AG1106" s="2" t="str">
        <f t="shared" si="286"/>
        <v>(15 downto 8)</v>
      </c>
      <c r="AH1106" s="2" t="str">
        <f t="shared" si="287"/>
        <v>(7 downto 0)</v>
      </c>
    </row>
    <row r="1107" spans="2:34" x14ac:dyDescent="0.25">
      <c r="B1107" s="2" t="s">
        <v>3136</v>
      </c>
      <c r="C1107" s="2" t="s">
        <v>141</v>
      </c>
      <c r="D1107" s="2" t="s">
        <v>0</v>
      </c>
      <c r="E1107" s="2" t="s">
        <v>130</v>
      </c>
      <c r="F1107" s="2" t="s">
        <v>3137</v>
      </c>
      <c r="G1107" s="2" t="s">
        <v>3138</v>
      </c>
      <c r="H1107" s="2" t="s">
        <v>142</v>
      </c>
      <c r="I1107" s="2" t="s">
        <v>41</v>
      </c>
      <c r="J1107" s="2">
        <v>32</v>
      </c>
      <c r="K1107" s="2" t="s">
        <v>132</v>
      </c>
      <c r="L1107" s="2" t="s">
        <v>40</v>
      </c>
      <c r="P1107" s="2" t="s">
        <v>48</v>
      </c>
      <c r="Q1107" s="2">
        <f>INDEX(Tables!$C$4:$C$28,MATCH($P1107,Tables!$B$4:$B$28,0))</f>
        <v>32</v>
      </c>
      <c r="R1107" s="2">
        <f>INDEX(Tables!$D$4:$D$28,MATCH($P1107,Tables!$B$4:$B$28,0))</f>
        <v>4</v>
      </c>
      <c r="S1107" s="2">
        <f>$S1106+$R1106+INDEX(Tables!$N$5:$Q$8,MATCH(MOD($S1106+$R1106,4),Tables!$M$5:$M$8,0),MATCH($R1107,Tables!$N$4:$Q$4,0))</f>
        <v>4244</v>
      </c>
      <c r="T1107" s="2" t="str">
        <f t="shared" si="273"/>
        <v>1094</v>
      </c>
      <c r="U1107" s="2">
        <f t="shared" si="279"/>
        <v>1061</v>
      </c>
      <c r="V1107" s="2" t="str">
        <f t="shared" si="274"/>
        <v>425</v>
      </c>
      <c r="W1107" s="2" t="str">
        <f t="shared" si="275"/>
        <v>X</v>
      </c>
      <c r="X1107" s="2" t="str">
        <f t="shared" si="278"/>
        <v>X</v>
      </c>
      <c r="Y1107" s="2" t="str">
        <f t="shared" si="276"/>
        <v>X</v>
      </c>
      <c r="Z1107" s="2" t="str">
        <f t="shared" si="277"/>
        <v>X</v>
      </c>
      <c r="AA1107" s="2" t="str">
        <f t="shared" si="280"/>
        <v>(31 downto 24)</v>
      </c>
      <c r="AB1107" s="2" t="str">
        <f t="shared" si="281"/>
        <v>(23 downto 16)</v>
      </c>
      <c r="AC1107" s="2" t="str">
        <f t="shared" si="282"/>
        <v>(15 downto 8)</v>
      </c>
      <c r="AD1107" s="2" t="str">
        <f t="shared" si="283"/>
        <v>(7 downto 0)</v>
      </c>
      <c r="AE1107" s="2" t="str">
        <f t="shared" si="284"/>
        <v>(31 downto 24)</v>
      </c>
      <c r="AF1107" s="2" t="str">
        <f t="shared" si="285"/>
        <v>(23 downto 16)</v>
      </c>
      <c r="AG1107" s="2" t="str">
        <f t="shared" si="286"/>
        <v>(15 downto 8)</v>
      </c>
      <c r="AH1107" s="2" t="str">
        <f t="shared" si="287"/>
        <v>(7 downto 0)</v>
      </c>
    </row>
    <row r="1108" spans="2:34" x14ac:dyDescent="0.25">
      <c r="B1108" s="2" t="s">
        <v>3139</v>
      </c>
      <c r="C1108" s="2" t="s">
        <v>141</v>
      </c>
      <c r="D1108" s="2" t="s">
        <v>0</v>
      </c>
      <c r="E1108" s="2" t="s">
        <v>130</v>
      </c>
      <c r="F1108" s="2" t="s">
        <v>3140</v>
      </c>
      <c r="G1108" s="2" t="s">
        <v>3141</v>
      </c>
      <c r="H1108" s="2" t="s">
        <v>142</v>
      </c>
      <c r="I1108" s="2" t="s">
        <v>41</v>
      </c>
      <c r="J1108" s="2">
        <v>32</v>
      </c>
      <c r="K1108" s="2" t="s">
        <v>132</v>
      </c>
      <c r="L1108" s="2" t="s">
        <v>40</v>
      </c>
      <c r="P1108" s="2" t="s">
        <v>48</v>
      </c>
      <c r="Q1108" s="2">
        <f>INDEX(Tables!$C$4:$C$28,MATCH($P1108,Tables!$B$4:$B$28,0))</f>
        <v>32</v>
      </c>
      <c r="R1108" s="2">
        <f>INDEX(Tables!$D$4:$D$28,MATCH($P1108,Tables!$B$4:$B$28,0))</f>
        <v>4</v>
      </c>
      <c r="S1108" s="2">
        <f>$S1107+$R1107+INDEX(Tables!$N$5:$Q$8,MATCH(MOD($S1107+$R1107,4),Tables!$M$5:$M$8,0),MATCH($R1108,Tables!$N$4:$Q$4,0))</f>
        <v>4248</v>
      </c>
      <c r="T1108" s="2" t="str">
        <f t="shared" si="273"/>
        <v>1098</v>
      </c>
      <c r="U1108" s="2">
        <f t="shared" si="279"/>
        <v>1062</v>
      </c>
      <c r="V1108" s="2" t="str">
        <f t="shared" si="274"/>
        <v>426</v>
      </c>
      <c r="W1108" s="2" t="str">
        <f t="shared" si="275"/>
        <v>X</v>
      </c>
      <c r="X1108" s="2" t="str">
        <f t="shared" si="278"/>
        <v>X</v>
      </c>
      <c r="Y1108" s="2" t="str">
        <f t="shared" si="276"/>
        <v>X</v>
      </c>
      <c r="Z1108" s="2" t="str">
        <f t="shared" si="277"/>
        <v>X</v>
      </c>
      <c r="AA1108" s="2" t="str">
        <f t="shared" si="280"/>
        <v>(31 downto 24)</v>
      </c>
      <c r="AB1108" s="2" t="str">
        <f t="shared" si="281"/>
        <v>(23 downto 16)</v>
      </c>
      <c r="AC1108" s="2" t="str">
        <f t="shared" si="282"/>
        <v>(15 downto 8)</v>
      </c>
      <c r="AD1108" s="2" t="str">
        <f t="shared" si="283"/>
        <v>(7 downto 0)</v>
      </c>
      <c r="AE1108" s="2" t="str">
        <f t="shared" si="284"/>
        <v>(31 downto 24)</v>
      </c>
      <c r="AF1108" s="2" t="str">
        <f t="shared" si="285"/>
        <v>(23 downto 16)</v>
      </c>
      <c r="AG1108" s="2" t="str">
        <f t="shared" si="286"/>
        <v>(15 downto 8)</v>
      </c>
      <c r="AH1108" s="2" t="str">
        <f t="shared" si="287"/>
        <v>(7 downto 0)</v>
      </c>
    </row>
    <row r="1109" spans="2:34" x14ac:dyDescent="0.25">
      <c r="B1109" s="2" t="s">
        <v>3142</v>
      </c>
      <c r="C1109" s="2" t="s">
        <v>141</v>
      </c>
      <c r="D1109" s="2" t="s">
        <v>0</v>
      </c>
      <c r="E1109" s="2" t="s">
        <v>130</v>
      </c>
      <c r="F1109" s="2" t="s">
        <v>3143</v>
      </c>
      <c r="G1109" s="2" t="s">
        <v>3144</v>
      </c>
      <c r="H1109" s="2" t="s">
        <v>142</v>
      </c>
      <c r="I1109" s="2" t="s">
        <v>41</v>
      </c>
      <c r="J1109" s="2">
        <v>32</v>
      </c>
      <c r="K1109" s="2" t="s">
        <v>132</v>
      </c>
      <c r="L1109" s="2" t="s">
        <v>40</v>
      </c>
      <c r="P1109" s="2" t="s">
        <v>48</v>
      </c>
      <c r="Q1109" s="2">
        <f>INDEX(Tables!$C$4:$C$28,MATCH($P1109,Tables!$B$4:$B$28,0))</f>
        <v>32</v>
      </c>
      <c r="R1109" s="2">
        <f>INDEX(Tables!$D$4:$D$28,MATCH($P1109,Tables!$B$4:$B$28,0))</f>
        <v>4</v>
      </c>
      <c r="S1109" s="2">
        <f>$S1108+$R1108+INDEX(Tables!$N$5:$Q$8,MATCH(MOD($S1108+$R1108,4),Tables!$M$5:$M$8,0),MATCH($R1109,Tables!$N$4:$Q$4,0))</f>
        <v>4252</v>
      </c>
      <c r="T1109" s="2" t="str">
        <f t="shared" si="273"/>
        <v>109C</v>
      </c>
      <c r="U1109" s="2">
        <f t="shared" si="279"/>
        <v>1063</v>
      </c>
      <c r="V1109" s="2" t="str">
        <f t="shared" si="274"/>
        <v>427</v>
      </c>
      <c r="W1109" s="2" t="str">
        <f t="shared" si="275"/>
        <v>X</v>
      </c>
      <c r="X1109" s="2" t="str">
        <f t="shared" si="278"/>
        <v>X</v>
      </c>
      <c r="Y1109" s="2" t="str">
        <f t="shared" si="276"/>
        <v>X</v>
      </c>
      <c r="Z1109" s="2" t="str">
        <f t="shared" si="277"/>
        <v>X</v>
      </c>
      <c r="AA1109" s="2" t="str">
        <f t="shared" si="280"/>
        <v>(31 downto 24)</v>
      </c>
      <c r="AB1109" s="2" t="str">
        <f t="shared" si="281"/>
        <v>(23 downto 16)</v>
      </c>
      <c r="AC1109" s="2" t="str">
        <f t="shared" si="282"/>
        <v>(15 downto 8)</v>
      </c>
      <c r="AD1109" s="2" t="str">
        <f t="shared" si="283"/>
        <v>(7 downto 0)</v>
      </c>
      <c r="AE1109" s="2" t="str">
        <f t="shared" si="284"/>
        <v>(31 downto 24)</v>
      </c>
      <c r="AF1109" s="2" t="str">
        <f t="shared" si="285"/>
        <v>(23 downto 16)</v>
      </c>
      <c r="AG1109" s="2" t="str">
        <f t="shared" si="286"/>
        <v>(15 downto 8)</v>
      </c>
      <c r="AH1109" s="2" t="str">
        <f t="shared" si="287"/>
        <v>(7 downto 0)</v>
      </c>
    </row>
    <row r="1110" spans="2:34" x14ac:dyDescent="0.25">
      <c r="B1110" s="2" t="s">
        <v>3145</v>
      </c>
      <c r="C1110" s="2" t="s">
        <v>141</v>
      </c>
      <c r="D1110" s="2" t="s">
        <v>0</v>
      </c>
      <c r="E1110" s="2" t="s">
        <v>130</v>
      </c>
      <c r="F1110" s="2" t="s">
        <v>3146</v>
      </c>
      <c r="G1110" s="2" t="s">
        <v>3147</v>
      </c>
      <c r="H1110" s="2" t="s">
        <v>142</v>
      </c>
      <c r="I1110" s="2" t="s">
        <v>41</v>
      </c>
      <c r="J1110" s="2">
        <v>32</v>
      </c>
      <c r="K1110" s="2" t="s">
        <v>132</v>
      </c>
      <c r="L1110" s="2" t="s">
        <v>40</v>
      </c>
      <c r="P1110" s="2" t="s">
        <v>48</v>
      </c>
      <c r="Q1110" s="2">
        <f>INDEX(Tables!$C$4:$C$28,MATCH($P1110,Tables!$B$4:$B$28,0))</f>
        <v>32</v>
      </c>
      <c r="R1110" s="2">
        <f>INDEX(Tables!$D$4:$D$28,MATCH($P1110,Tables!$B$4:$B$28,0))</f>
        <v>4</v>
      </c>
      <c r="S1110" s="2">
        <f>$S1109+$R1109+INDEX(Tables!$N$5:$Q$8,MATCH(MOD($S1109+$R1109,4),Tables!$M$5:$M$8,0),MATCH($R1110,Tables!$N$4:$Q$4,0))</f>
        <v>4256</v>
      </c>
      <c r="T1110" s="2" t="str">
        <f t="shared" si="273"/>
        <v>10A0</v>
      </c>
      <c r="U1110" s="2">
        <f t="shared" si="279"/>
        <v>1064</v>
      </c>
      <c r="V1110" s="2" t="str">
        <f t="shared" si="274"/>
        <v>428</v>
      </c>
      <c r="W1110" s="2" t="str">
        <f t="shared" si="275"/>
        <v>X</v>
      </c>
      <c r="X1110" s="2" t="str">
        <f t="shared" si="278"/>
        <v>X</v>
      </c>
      <c r="Y1110" s="2" t="str">
        <f t="shared" si="276"/>
        <v>X</v>
      </c>
      <c r="Z1110" s="2" t="str">
        <f t="shared" si="277"/>
        <v>X</v>
      </c>
      <c r="AA1110" s="2" t="str">
        <f t="shared" si="280"/>
        <v>(31 downto 24)</v>
      </c>
      <c r="AB1110" s="2" t="str">
        <f t="shared" si="281"/>
        <v>(23 downto 16)</v>
      </c>
      <c r="AC1110" s="2" t="str">
        <f t="shared" si="282"/>
        <v>(15 downto 8)</v>
      </c>
      <c r="AD1110" s="2" t="str">
        <f t="shared" si="283"/>
        <v>(7 downto 0)</v>
      </c>
      <c r="AE1110" s="2" t="str">
        <f t="shared" si="284"/>
        <v>(31 downto 24)</v>
      </c>
      <c r="AF1110" s="2" t="str">
        <f t="shared" si="285"/>
        <v>(23 downto 16)</v>
      </c>
      <c r="AG1110" s="2" t="str">
        <f t="shared" si="286"/>
        <v>(15 downto 8)</v>
      </c>
      <c r="AH1110" s="2" t="str">
        <f t="shared" si="287"/>
        <v>(7 downto 0)</v>
      </c>
    </row>
    <row r="1111" spans="2:34" x14ac:dyDescent="0.25">
      <c r="B1111" s="2" t="s">
        <v>3148</v>
      </c>
      <c r="C1111" s="2" t="s">
        <v>141</v>
      </c>
      <c r="D1111" s="2" t="s">
        <v>0</v>
      </c>
      <c r="E1111" s="2" t="s">
        <v>130</v>
      </c>
      <c r="F1111" s="2" t="s">
        <v>3149</v>
      </c>
      <c r="G1111" s="2" t="s">
        <v>3150</v>
      </c>
      <c r="H1111" s="2" t="s">
        <v>142</v>
      </c>
      <c r="I1111" s="2" t="s">
        <v>41</v>
      </c>
      <c r="J1111" s="2">
        <v>32</v>
      </c>
      <c r="K1111" s="2" t="s">
        <v>132</v>
      </c>
      <c r="L1111" s="2" t="s">
        <v>40</v>
      </c>
      <c r="P1111" s="2" t="s">
        <v>48</v>
      </c>
      <c r="Q1111" s="2">
        <f>INDEX(Tables!$C$4:$C$28,MATCH($P1111,Tables!$B$4:$B$28,0))</f>
        <v>32</v>
      </c>
      <c r="R1111" s="2">
        <f>INDEX(Tables!$D$4:$D$28,MATCH($P1111,Tables!$B$4:$B$28,0))</f>
        <v>4</v>
      </c>
      <c r="S1111" s="2">
        <f>$S1110+$R1110+INDEX(Tables!$N$5:$Q$8,MATCH(MOD($S1110+$R1110,4),Tables!$M$5:$M$8,0),MATCH($R1111,Tables!$N$4:$Q$4,0))</f>
        <v>4260</v>
      </c>
      <c r="T1111" s="2" t="str">
        <f t="shared" si="273"/>
        <v>10A4</v>
      </c>
      <c r="U1111" s="2">
        <f t="shared" si="279"/>
        <v>1065</v>
      </c>
      <c r="V1111" s="2" t="str">
        <f t="shared" si="274"/>
        <v>429</v>
      </c>
      <c r="W1111" s="2" t="str">
        <f t="shared" si="275"/>
        <v>X</v>
      </c>
      <c r="X1111" s="2" t="str">
        <f t="shared" si="278"/>
        <v>X</v>
      </c>
      <c r="Y1111" s="2" t="str">
        <f t="shared" si="276"/>
        <v>X</v>
      </c>
      <c r="Z1111" s="2" t="str">
        <f t="shared" si="277"/>
        <v>X</v>
      </c>
      <c r="AA1111" s="2" t="str">
        <f t="shared" si="280"/>
        <v>(31 downto 24)</v>
      </c>
      <c r="AB1111" s="2" t="str">
        <f t="shared" si="281"/>
        <v>(23 downto 16)</v>
      </c>
      <c r="AC1111" s="2" t="str">
        <f t="shared" si="282"/>
        <v>(15 downto 8)</v>
      </c>
      <c r="AD1111" s="2" t="str">
        <f t="shared" si="283"/>
        <v>(7 downto 0)</v>
      </c>
      <c r="AE1111" s="2" t="str">
        <f t="shared" si="284"/>
        <v>(31 downto 24)</v>
      </c>
      <c r="AF1111" s="2" t="str">
        <f t="shared" si="285"/>
        <v>(23 downto 16)</v>
      </c>
      <c r="AG1111" s="2" t="str">
        <f t="shared" si="286"/>
        <v>(15 downto 8)</v>
      </c>
      <c r="AH1111" s="2" t="str">
        <f t="shared" si="287"/>
        <v>(7 downto 0)</v>
      </c>
    </row>
    <row r="1112" spans="2:34" x14ac:dyDescent="0.25">
      <c r="B1112" s="2" t="s">
        <v>3151</v>
      </c>
      <c r="C1112" s="2" t="s">
        <v>141</v>
      </c>
      <c r="D1112" s="2" t="s">
        <v>0</v>
      </c>
      <c r="E1112" s="2" t="s">
        <v>130</v>
      </c>
      <c r="F1112" s="2" t="s">
        <v>3152</v>
      </c>
      <c r="G1112" s="2" t="s">
        <v>3153</v>
      </c>
      <c r="H1112" s="2" t="s">
        <v>142</v>
      </c>
      <c r="I1112" s="2" t="s">
        <v>41</v>
      </c>
      <c r="J1112" s="2">
        <v>32</v>
      </c>
      <c r="K1112" s="2" t="s">
        <v>132</v>
      </c>
      <c r="L1112" s="2" t="s">
        <v>40</v>
      </c>
      <c r="P1112" s="2" t="s">
        <v>48</v>
      </c>
      <c r="Q1112" s="2">
        <f>INDEX(Tables!$C$4:$C$28,MATCH($P1112,Tables!$B$4:$B$28,0))</f>
        <v>32</v>
      </c>
      <c r="R1112" s="2">
        <f>INDEX(Tables!$D$4:$D$28,MATCH($P1112,Tables!$B$4:$B$28,0))</f>
        <v>4</v>
      </c>
      <c r="S1112" s="2">
        <f>$S1111+$R1111+INDEX(Tables!$N$5:$Q$8,MATCH(MOD($S1111+$R1111,4),Tables!$M$5:$M$8,0),MATCH($R1112,Tables!$N$4:$Q$4,0))</f>
        <v>4264</v>
      </c>
      <c r="T1112" s="2" t="str">
        <f t="shared" si="273"/>
        <v>10A8</v>
      </c>
      <c r="U1112" s="2">
        <f t="shared" si="279"/>
        <v>1066</v>
      </c>
      <c r="V1112" s="2" t="str">
        <f t="shared" si="274"/>
        <v>42A</v>
      </c>
      <c r="W1112" s="2" t="str">
        <f t="shared" si="275"/>
        <v>X</v>
      </c>
      <c r="X1112" s="2" t="str">
        <f t="shared" si="278"/>
        <v>X</v>
      </c>
      <c r="Y1112" s="2" t="str">
        <f t="shared" si="276"/>
        <v>X</v>
      </c>
      <c r="Z1112" s="2" t="str">
        <f t="shared" si="277"/>
        <v>X</v>
      </c>
      <c r="AA1112" s="2" t="str">
        <f t="shared" si="280"/>
        <v>(31 downto 24)</v>
      </c>
      <c r="AB1112" s="2" t="str">
        <f t="shared" si="281"/>
        <v>(23 downto 16)</v>
      </c>
      <c r="AC1112" s="2" t="str">
        <f t="shared" si="282"/>
        <v>(15 downto 8)</v>
      </c>
      <c r="AD1112" s="2" t="str">
        <f t="shared" si="283"/>
        <v>(7 downto 0)</v>
      </c>
      <c r="AE1112" s="2" t="str">
        <f t="shared" si="284"/>
        <v>(31 downto 24)</v>
      </c>
      <c r="AF1112" s="2" t="str">
        <f t="shared" si="285"/>
        <v>(23 downto 16)</v>
      </c>
      <c r="AG1112" s="2" t="str">
        <f t="shared" si="286"/>
        <v>(15 downto 8)</v>
      </c>
      <c r="AH1112" s="2" t="str">
        <f t="shared" si="287"/>
        <v>(7 downto 0)</v>
      </c>
    </row>
    <row r="1113" spans="2:34" x14ac:dyDescent="0.25">
      <c r="B1113" s="2" t="s">
        <v>3154</v>
      </c>
      <c r="C1113" s="2" t="s">
        <v>141</v>
      </c>
      <c r="D1113" s="2" t="s">
        <v>0</v>
      </c>
      <c r="E1113" s="2" t="s">
        <v>130</v>
      </c>
      <c r="F1113" s="2" t="s">
        <v>3155</v>
      </c>
      <c r="G1113" s="2" t="s">
        <v>3156</v>
      </c>
      <c r="H1113" s="2" t="s">
        <v>142</v>
      </c>
      <c r="I1113" s="2" t="s">
        <v>41</v>
      </c>
      <c r="J1113" s="2">
        <v>32</v>
      </c>
      <c r="K1113" s="2" t="s">
        <v>132</v>
      </c>
      <c r="L1113" s="2" t="s">
        <v>40</v>
      </c>
      <c r="P1113" s="2" t="s">
        <v>48</v>
      </c>
      <c r="Q1113" s="2">
        <f>INDEX(Tables!$C$4:$C$28,MATCH($P1113,Tables!$B$4:$B$28,0))</f>
        <v>32</v>
      </c>
      <c r="R1113" s="2">
        <f>INDEX(Tables!$D$4:$D$28,MATCH($P1113,Tables!$B$4:$B$28,0))</f>
        <v>4</v>
      </c>
      <c r="S1113" s="2">
        <f>$S1112+$R1112+INDEX(Tables!$N$5:$Q$8,MATCH(MOD($S1112+$R1112,4),Tables!$M$5:$M$8,0),MATCH($R1113,Tables!$N$4:$Q$4,0))</f>
        <v>4268</v>
      </c>
      <c r="T1113" s="2" t="str">
        <f t="shared" si="273"/>
        <v>10AC</v>
      </c>
      <c r="U1113" s="2">
        <f t="shared" si="279"/>
        <v>1067</v>
      </c>
      <c r="V1113" s="2" t="str">
        <f t="shared" si="274"/>
        <v>42B</v>
      </c>
      <c r="W1113" s="2" t="str">
        <f t="shared" si="275"/>
        <v>X</v>
      </c>
      <c r="X1113" s="2" t="str">
        <f t="shared" si="278"/>
        <v>X</v>
      </c>
      <c r="Y1113" s="2" t="str">
        <f t="shared" si="276"/>
        <v>X</v>
      </c>
      <c r="Z1113" s="2" t="str">
        <f t="shared" si="277"/>
        <v>X</v>
      </c>
      <c r="AA1113" s="2" t="str">
        <f t="shared" si="280"/>
        <v>(31 downto 24)</v>
      </c>
      <c r="AB1113" s="2" t="str">
        <f t="shared" si="281"/>
        <v>(23 downto 16)</v>
      </c>
      <c r="AC1113" s="2" t="str">
        <f t="shared" si="282"/>
        <v>(15 downto 8)</v>
      </c>
      <c r="AD1113" s="2" t="str">
        <f t="shared" si="283"/>
        <v>(7 downto 0)</v>
      </c>
      <c r="AE1113" s="2" t="str">
        <f t="shared" si="284"/>
        <v>(31 downto 24)</v>
      </c>
      <c r="AF1113" s="2" t="str">
        <f t="shared" si="285"/>
        <v>(23 downto 16)</v>
      </c>
      <c r="AG1113" s="2" t="str">
        <f t="shared" si="286"/>
        <v>(15 downto 8)</v>
      </c>
      <c r="AH1113" s="2" t="str">
        <f t="shared" si="287"/>
        <v>(7 downto 0)</v>
      </c>
    </row>
    <row r="1114" spans="2:34" x14ac:dyDescent="0.25">
      <c r="B1114" s="2" t="s">
        <v>3157</v>
      </c>
      <c r="C1114" s="2" t="s">
        <v>141</v>
      </c>
      <c r="D1114" s="2" t="s">
        <v>0</v>
      </c>
      <c r="E1114" s="2" t="s">
        <v>130</v>
      </c>
      <c r="F1114" s="2" t="s">
        <v>3158</v>
      </c>
      <c r="G1114" s="2" t="s">
        <v>3159</v>
      </c>
      <c r="H1114" s="2" t="s">
        <v>142</v>
      </c>
      <c r="I1114" s="2" t="s">
        <v>41</v>
      </c>
      <c r="J1114" s="2">
        <v>32</v>
      </c>
      <c r="K1114" s="2" t="s">
        <v>132</v>
      </c>
      <c r="L1114" s="2" t="s">
        <v>40</v>
      </c>
      <c r="P1114" s="2" t="s">
        <v>48</v>
      </c>
      <c r="Q1114" s="2">
        <f>INDEX(Tables!$C$4:$C$28,MATCH($P1114,Tables!$B$4:$B$28,0))</f>
        <v>32</v>
      </c>
      <c r="R1114" s="2">
        <f>INDEX(Tables!$D$4:$D$28,MATCH($P1114,Tables!$B$4:$B$28,0))</f>
        <v>4</v>
      </c>
      <c r="S1114" s="2">
        <f>$S1113+$R1113+INDEX(Tables!$N$5:$Q$8,MATCH(MOD($S1113+$R1113,4),Tables!$M$5:$M$8,0),MATCH($R1114,Tables!$N$4:$Q$4,0))</f>
        <v>4272</v>
      </c>
      <c r="T1114" s="2" t="str">
        <f t="shared" si="273"/>
        <v>10B0</v>
      </c>
      <c r="U1114" s="2">
        <f t="shared" si="279"/>
        <v>1068</v>
      </c>
      <c r="V1114" s="2" t="str">
        <f t="shared" si="274"/>
        <v>42C</v>
      </c>
      <c r="W1114" s="2" t="str">
        <f t="shared" si="275"/>
        <v>X</v>
      </c>
      <c r="X1114" s="2" t="str">
        <f t="shared" si="278"/>
        <v>X</v>
      </c>
      <c r="Y1114" s="2" t="str">
        <f t="shared" si="276"/>
        <v>X</v>
      </c>
      <c r="Z1114" s="2" t="str">
        <f t="shared" si="277"/>
        <v>X</v>
      </c>
      <c r="AA1114" s="2" t="str">
        <f t="shared" si="280"/>
        <v>(31 downto 24)</v>
      </c>
      <c r="AB1114" s="2" t="str">
        <f t="shared" si="281"/>
        <v>(23 downto 16)</v>
      </c>
      <c r="AC1114" s="2" t="str">
        <f t="shared" si="282"/>
        <v>(15 downto 8)</v>
      </c>
      <c r="AD1114" s="2" t="str">
        <f t="shared" si="283"/>
        <v>(7 downto 0)</v>
      </c>
      <c r="AE1114" s="2" t="str">
        <f t="shared" si="284"/>
        <v>(31 downto 24)</v>
      </c>
      <c r="AF1114" s="2" t="str">
        <f t="shared" si="285"/>
        <v>(23 downto 16)</v>
      </c>
      <c r="AG1114" s="2" t="str">
        <f t="shared" si="286"/>
        <v>(15 downto 8)</v>
      </c>
      <c r="AH1114" s="2" t="str">
        <f t="shared" si="287"/>
        <v>(7 downto 0)</v>
      </c>
    </row>
    <row r="1115" spans="2:34" x14ac:dyDescent="0.25">
      <c r="B1115" s="2" t="s">
        <v>3160</v>
      </c>
      <c r="C1115" s="2" t="s">
        <v>141</v>
      </c>
      <c r="D1115" s="2" t="s">
        <v>0</v>
      </c>
      <c r="E1115" s="2" t="s">
        <v>130</v>
      </c>
      <c r="F1115" s="2" t="s">
        <v>3161</v>
      </c>
      <c r="G1115" s="2" t="s">
        <v>3162</v>
      </c>
      <c r="H1115" s="2" t="s">
        <v>142</v>
      </c>
      <c r="I1115" s="2" t="s">
        <v>41</v>
      </c>
      <c r="J1115" s="2">
        <v>32</v>
      </c>
      <c r="K1115" s="2" t="s">
        <v>132</v>
      </c>
      <c r="L1115" s="2" t="s">
        <v>40</v>
      </c>
      <c r="P1115" s="2" t="s">
        <v>48</v>
      </c>
      <c r="Q1115" s="2">
        <f>INDEX(Tables!$C$4:$C$28,MATCH($P1115,Tables!$B$4:$B$28,0))</f>
        <v>32</v>
      </c>
      <c r="R1115" s="2">
        <f>INDEX(Tables!$D$4:$D$28,MATCH($P1115,Tables!$B$4:$B$28,0))</f>
        <v>4</v>
      </c>
      <c r="S1115" s="2">
        <f>$S1114+$R1114+INDEX(Tables!$N$5:$Q$8,MATCH(MOD($S1114+$R1114,4),Tables!$M$5:$M$8,0),MATCH($R1115,Tables!$N$4:$Q$4,0))</f>
        <v>4276</v>
      </c>
      <c r="T1115" s="2" t="str">
        <f t="shared" si="273"/>
        <v>10B4</v>
      </c>
      <c r="U1115" s="2">
        <f t="shared" si="279"/>
        <v>1069</v>
      </c>
      <c r="V1115" s="2" t="str">
        <f t="shared" si="274"/>
        <v>42D</v>
      </c>
      <c r="W1115" s="2" t="str">
        <f t="shared" si="275"/>
        <v>X</v>
      </c>
      <c r="X1115" s="2" t="str">
        <f t="shared" si="278"/>
        <v>X</v>
      </c>
      <c r="Y1115" s="2" t="str">
        <f t="shared" si="276"/>
        <v>X</v>
      </c>
      <c r="Z1115" s="2" t="str">
        <f t="shared" si="277"/>
        <v>X</v>
      </c>
      <c r="AA1115" s="2" t="str">
        <f t="shared" si="280"/>
        <v>(31 downto 24)</v>
      </c>
      <c r="AB1115" s="2" t="str">
        <f t="shared" si="281"/>
        <v>(23 downto 16)</v>
      </c>
      <c r="AC1115" s="2" t="str">
        <f t="shared" si="282"/>
        <v>(15 downto 8)</v>
      </c>
      <c r="AD1115" s="2" t="str">
        <f t="shared" si="283"/>
        <v>(7 downto 0)</v>
      </c>
      <c r="AE1115" s="2" t="str">
        <f t="shared" si="284"/>
        <v>(31 downto 24)</v>
      </c>
      <c r="AF1115" s="2" t="str">
        <f t="shared" si="285"/>
        <v>(23 downto 16)</v>
      </c>
      <c r="AG1115" s="2" t="str">
        <f t="shared" si="286"/>
        <v>(15 downto 8)</v>
      </c>
      <c r="AH1115" s="2" t="str">
        <f t="shared" si="287"/>
        <v>(7 downto 0)</v>
      </c>
    </row>
    <row r="1116" spans="2:34" x14ac:dyDescent="0.25">
      <c r="B1116" s="2" t="s">
        <v>3163</v>
      </c>
      <c r="C1116" s="2" t="s">
        <v>141</v>
      </c>
      <c r="D1116" s="2" t="s">
        <v>0</v>
      </c>
      <c r="E1116" s="2" t="s">
        <v>130</v>
      </c>
      <c r="F1116" s="2" t="s">
        <v>3164</v>
      </c>
      <c r="G1116" s="2" t="s">
        <v>3165</v>
      </c>
      <c r="H1116" s="2" t="s">
        <v>142</v>
      </c>
      <c r="I1116" s="2" t="s">
        <v>41</v>
      </c>
      <c r="J1116" s="2">
        <v>32</v>
      </c>
      <c r="K1116" s="2" t="s">
        <v>132</v>
      </c>
      <c r="L1116" s="2" t="s">
        <v>40</v>
      </c>
      <c r="P1116" s="2" t="s">
        <v>48</v>
      </c>
      <c r="Q1116" s="2">
        <f>INDEX(Tables!$C$4:$C$28,MATCH($P1116,Tables!$B$4:$B$28,0))</f>
        <v>32</v>
      </c>
      <c r="R1116" s="2">
        <f>INDEX(Tables!$D$4:$D$28,MATCH($P1116,Tables!$B$4:$B$28,0))</f>
        <v>4</v>
      </c>
      <c r="S1116" s="2">
        <f>$S1115+$R1115+INDEX(Tables!$N$5:$Q$8,MATCH(MOD($S1115+$R1115,4),Tables!$M$5:$M$8,0),MATCH($R1116,Tables!$N$4:$Q$4,0))</f>
        <v>4280</v>
      </c>
      <c r="T1116" s="2" t="str">
        <f t="shared" si="273"/>
        <v>10B8</v>
      </c>
      <c r="U1116" s="2">
        <f t="shared" si="279"/>
        <v>1070</v>
      </c>
      <c r="V1116" s="2" t="str">
        <f t="shared" si="274"/>
        <v>42E</v>
      </c>
      <c r="W1116" s="2" t="str">
        <f t="shared" si="275"/>
        <v>X</v>
      </c>
      <c r="X1116" s="2" t="str">
        <f t="shared" si="278"/>
        <v>X</v>
      </c>
      <c r="Y1116" s="2" t="str">
        <f t="shared" si="276"/>
        <v>X</v>
      </c>
      <c r="Z1116" s="2" t="str">
        <f t="shared" si="277"/>
        <v>X</v>
      </c>
      <c r="AA1116" s="2" t="str">
        <f t="shared" si="280"/>
        <v>(31 downto 24)</v>
      </c>
      <c r="AB1116" s="2" t="str">
        <f t="shared" si="281"/>
        <v>(23 downto 16)</v>
      </c>
      <c r="AC1116" s="2" t="str">
        <f t="shared" si="282"/>
        <v>(15 downto 8)</v>
      </c>
      <c r="AD1116" s="2" t="str">
        <f t="shared" si="283"/>
        <v>(7 downto 0)</v>
      </c>
      <c r="AE1116" s="2" t="str">
        <f t="shared" si="284"/>
        <v>(31 downto 24)</v>
      </c>
      <c r="AF1116" s="2" t="str">
        <f t="shared" si="285"/>
        <v>(23 downto 16)</v>
      </c>
      <c r="AG1116" s="2" t="str">
        <f t="shared" si="286"/>
        <v>(15 downto 8)</v>
      </c>
      <c r="AH1116" s="2" t="str">
        <f t="shared" si="287"/>
        <v>(7 downto 0)</v>
      </c>
    </row>
    <row r="1117" spans="2:34" x14ac:dyDescent="0.25">
      <c r="B1117" s="2" t="s">
        <v>3166</v>
      </c>
      <c r="C1117" s="2" t="s">
        <v>141</v>
      </c>
      <c r="D1117" s="2" t="s">
        <v>0</v>
      </c>
      <c r="E1117" s="2" t="s">
        <v>130</v>
      </c>
      <c r="F1117" s="2" t="s">
        <v>3167</v>
      </c>
      <c r="G1117" s="2" t="s">
        <v>3168</v>
      </c>
      <c r="H1117" s="2" t="s">
        <v>142</v>
      </c>
      <c r="I1117" s="2" t="s">
        <v>41</v>
      </c>
      <c r="J1117" s="2">
        <v>32</v>
      </c>
      <c r="K1117" s="2" t="s">
        <v>132</v>
      </c>
      <c r="L1117" s="2" t="s">
        <v>40</v>
      </c>
      <c r="P1117" s="2" t="s">
        <v>48</v>
      </c>
      <c r="Q1117" s="2">
        <f>INDEX(Tables!$C$4:$C$28,MATCH($P1117,Tables!$B$4:$B$28,0))</f>
        <v>32</v>
      </c>
      <c r="R1117" s="2">
        <f>INDEX(Tables!$D$4:$D$28,MATCH($P1117,Tables!$B$4:$B$28,0))</f>
        <v>4</v>
      </c>
      <c r="S1117" s="2">
        <f>$S1116+$R1116+INDEX(Tables!$N$5:$Q$8,MATCH(MOD($S1116+$R1116,4),Tables!$M$5:$M$8,0),MATCH($R1117,Tables!$N$4:$Q$4,0))</f>
        <v>4284</v>
      </c>
      <c r="T1117" s="2" t="str">
        <f t="shared" si="273"/>
        <v>10BC</v>
      </c>
      <c r="U1117" s="2">
        <f t="shared" si="279"/>
        <v>1071</v>
      </c>
      <c r="V1117" s="2" t="str">
        <f t="shared" si="274"/>
        <v>42F</v>
      </c>
      <c r="W1117" s="2" t="str">
        <f t="shared" si="275"/>
        <v>X</v>
      </c>
      <c r="X1117" s="2" t="str">
        <f t="shared" si="278"/>
        <v>X</v>
      </c>
      <c r="Y1117" s="2" t="str">
        <f t="shared" si="276"/>
        <v>X</v>
      </c>
      <c r="Z1117" s="2" t="str">
        <f t="shared" si="277"/>
        <v>X</v>
      </c>
      <c r="AA1117" s="2" t="str">
        <f t="shared" si="280"/>
        <v>(31 downto 24)</v>
      </c>
      <c r="AB1117" s="2" t="str">
        <f t="shared" si="281"/>
        <v>(23 downto 16)</v>
      </c>
      <c r="AC1117" s="2" t="str">
        <f t="shared" si="282"/>
        <v>(15 downto 8)</v>
      </c>
      <c r="AD1117" s="2" t="str">
        <f t="shared" si="283"/>
        <v>(7 downto 0)</v>
      </c>
      <c r="AE1117" s="2" t="str">
        <f t="shared" si="284"/>
        <v>(31 downto 24)</v>
      </c>
      <c r="AF1117" s="2" t="str">
        <f t="shared" si="285"/>
        <v>(23 downto 16)</v>
      </c>
      <c r="AG1117" s="2" t="str">
        <f t="shared" si="286"/>
        <v>(15 downto 8)</v>
      </c>
      <c r="AH1117" s="2" t="str">
        <f t="shared" si="287"/>
        <v>(7 downto 0)</v>
      </c>
    </row>
    <row r="1118" spans="2:34" x14ac:dyDescent="0.25">
      <c r="B1118" s="2" t="s">
        <v>3169</v>
      </c>
      <c r="C1118" s="2" t="s">
        <v>141</v>
      </c>
      <c r="D1118" s="2" t="s">
        <v>0</v>
      </c>
      <c r="E1118" s="2" t="s">
        <v>130</v>
      </c>
      <c r="F1118" s="2" t="s">
        <v>3170</v>
      </c>
      <c r="G1118" s="2" t="s">
        <v>3171</v>
      </c>
      <c r="H1118" s="2" t="s">
        <v>142</v>
      </c>
      <c r="I1118" s="2" t="s">
        <v>41</v>
      </c>
      <c r="J1118" s="2">
        <v>32</v>
      </c>
      <c r="K1118" s="2" t="s">
        <v>132</v>
      </c>
      <c r="L1118" s="2" t="s">
        <v>40</v>
      </c>
      <c r="P1118" s="2" t="s">
        <v>48</v>
      </c>
      <c r="Q1118" s="2">
        <f>INDEX(Tables!$C$4:$C$28,MATCH($P1118,Tables!$B$4:$B$28,0))</f>
        <v>32</v>
      </c>
      <c r="R1118" s="2">
        <f>INDEX(Tables!$D$4:$D$28,MATCH($P1118,Tables!$B$4:$B$28,0))</f>
        <v>4</v>
      </c>
      <c r="S1118" s="2">
        <f>$S1117+$R1117+INDEX(Tables!$N$5:$Q$8,MATCH(MOD($S1117+$R1117,4),Tables!$M$5:$M$8,0),MATCH($R1118,Tables!$N$4:$Q$4,0))</f>
        <v>4288</v>
      </c>
      <c r="T1118" s="2" t="str">
        <f t="shared" si="273"/>
        <v>10C0</v>
      </c>
      <c r="U1118" s="2">
        <f t="shared" si="279"/>
        <v>1072</v>
      </c>
      <c r="V1118" s="2" t="str">
        <f t="shared" si="274"/>
        <v>430</v>
      </c>
      <c r="W1118" s="2" t="str">
        <f t="shared" si="275"/>
        <v>X</v>
      </c>
      <c r="X1118" s="2" t="str">
        <f t="shared" si="278"/>
        <v>X</v>
      </c>
      <c r="Y1118" s="2" t="str">
        <f t="shared" si="276"/>
        <v>X</v>
      </c>
      <c r="Z1118" s="2" t="str">
        <f t="shared" si="277"/>
        <v>X</v>
      </c>
      <c r="AA1118" s="2" t="str">
        <f t="shared" si="280"/>
        <v>(31 downto 24)</v>
      </c>
      <c r="AB1118" s="2" t="str">
        <f t="shared" si="281"/>
        <v>(23 downto 16)</v>
      </c>
      <c r="AC1118" s="2" t="str">
        <f t="shared" si="282"/>
        <v>(15 downto 8)</v>
      </c>
      <c r="AD1118" s="2" t="str">
        <f t="shared" si="283"/>
        <v>(7 downto 0)</v>
      </c>
      <c r="AE1118" s="2" t="str">
        <f t="shared" si="284"/>
        <v>(31 downto 24)</v>
      </c>
      <c r="AF1118" s="2" t="str">
        <f t="shared" si="285"/>
        <v>(23 downto 16)</v>
      </c>
      <c r="AG1118" s="2" t="str">
        <f t="shared" si="286"/>
        <v>(15 downto 8)</v>
      </c>
      <c r="AH1118" s="2" t="str">
        <f t="shared" si="287"/>
        <v>(7 downto 0)</v>
      </c>
    </row>
    <row r="1119" spans="2:34" x14ac:dyDescent="0.25">
      <c r="B1119" s="2" t="s">
        <v>3172</v>
      </c>
      <c r="C1119" s="2" t="s">
        <v>141</v>
      </c>
      <c r="D1119" s="2" t="s">
        <v>0</v>
      </c>
      <c r="E1119" s="2" t="s">
        <v>130</v>
      </c>
      <c r="F1119" s="2" t="s">
        <v>3173</v>
      </c>
      <c r="G1119" s="2" t="s">
        <v>3174</v>
      </c>
      <c r="H1119" s="2" t="s">
        <v>142</v>
      </c>
      <c r="I1119" s="2" t="s">
        <v>41</v>
      </c>
      <c r="J1119" s="2">
        <v>32</v>
      </c>
      <c r="K1119" s="2" t="s">
        <v>132</v>
      </c>
      <c r="L1119" s="2" t="s">
        <v>40</v>
      </c>
      <c r="P1119" s="2" t="s">
        <v>48</v>
      </c>
      <c r="Q1119" s="2">
        <f>INDEX(Tables!$C$4:$C$28,MATCH($P1119,Tables!$B$4:$B$28,0))</f>
        <v>32</v>
      </c>
      <c r="R1119" s="2">
        <f>INDEX(Tables!$D$4:$D$28,MATCH($P1119,Tables!$B$4:$B$28,0))</f>
        <v>4</v>
      </c>
      <c r="S1119" s="2">
        <f>$S1118+$R1118+INDEX(Tables!$N$5:$Q$8,MATCH(MOD($S1118+$R1118,4),Tables!$M$5:$M$8,0),MATCH($R1119,Tables!$N$4:$Q$4,0))</f>
        <v>4292</v>
      </c>
      <c r="T1119" s="2" t="str">
        <f t="shared" si="273"/>
        <v>10C4</v>
      </c>
      <c r="U1119" s="2">
        <f t="shared" si="279"/>
        <v>1073</v>
      </c>
      <c r="V1119" s="2" t="str">
        <f t="shared" si="274"/>
        <v>431</v>
      </c>
      <c r="W1119" s="2" t="str">
        <f t="shared" si="275"/>
        <v>X</v>
      </c>
      <c r="X1119" s="2" t="str">
        <f t="shared" si="278"/>
        <v>X</v>
      </c>
      <c r="Y1119" s="2" t="str">
        <f t="shared" si="276"/>
        <v>X</v>
      </c>
      <c r="Z1119" s="2" t="str">
        <f t="shared" si="277"/>
        <v>X</v>
      </c>
      <c r="AA1119" s="2" t="str">
        <f t="shared" si="280"/>
        <v>(31 downto 24)</v>
      </c>
      <c r="AB1119" s="2" t="str">
        <f t="shared" si="281"/>
        <v>(23 downto 16)</v>
      </c>
      <c r="AC1119" s="2" t="str">
        <f t="shared" si="282"/>
        <v>(15 downto 8)</v>
      </c>
      <c r="AD1119" s="2" t="str">
        <f t="shared" si="283"/>
        <v>(7 downto 0)</v>
      </c>
      <c r="AE1119" s="2" t="str">
        <f t="shared" si="284"/>
        <v>(31 downto 24)</v>
      </c>
      <c r="AF1119" s="2" t="str">
        <f t="shared" si="285"/>
        <v>(23 downto 16)</v>
      </c>
      <c r="AG1119" s="2" t="str">
        <f t="shared" si="286"/>
        <v>(15 downto 8)</v>
      </c>
      <c r="AH1119" s="2" t="str">
        <f t="shared" si="287"/>
        <v>(7 downto 0)</v>
      </c>
    </row>
    <row r="1120" spans="2:34" x14ac:dyDescent="0.25">
      <c r="B1120" s="2" t="s">
        <v>3175</v>
      </c>
      <c r="C1120" s="2" t="s">
        <v>141</v>
      </c>
      <c r="D1120" s="2" t="s">
        <v>0</v>
      </c>
      <c r="E1120" s="2" t="s">
        <v>130</v>
      </c>
      <c r="F1120" s="2" t="s">
        <v>3176</v>
      </c>
      <c r="G1120" s="2" t="s">
        <v>3177</v>
      </c>
      <c r="H1120" s="2" t="s">
        <v>142</v>
      </c>
      <c r="I1120" s="2" t="s">
        <v>41</v>
      </c>
      <c r="J1120" s="2">
        <v>32</v>
      </c>
      <c r="K1120" s="2" t="s">
        <v>132</v>
      </c>
      <c r="L1120" s="2" t="s">
        <v>40</v>
      </c>
      <c r="P1120" s="2" t="s">
        <v>48</v>
      </c>
      <c r="Q1120" s="2">
        <f>INDEX(Tables!$C$4:$C$28,MATCH($P1120,Tables!$B$4:$B$28,0))</f>
        <v>32</v>
      </c>
      <c r="R1120" s="2">
        <f>INDEX(Tables!$D$4:$D$28,MATCH($P1120,Tables!$B$4:$B$28,0))</f>
        <v>4</v>
      </c>
      <c r="S1120" s="2">
        <f>$S1119+$R1119+INDEX(Tables!$N$5:$Q$8,MATCH(MOD($S1119+$R1119,4),Tables!$M$5:$M$8,0),MATCH($R1120,Tables!$N$4:$Q$4,0))</f>
        <v>4296</v>
      </c>
      <c r="T1120" s="2" t="str">
        <f t="shared" si="273"/>
        <v>10C8</v>
      </c>
      <c r="U1120" s="2">
        <f t="shared" si="279"/>
        <v>1074</v>
      </c>
      <c r="V1120" s="2" t="str">
        <f t="shared" si="274"/>
        <v>432</v>
      </c>
      <c r="W1120" s="2" t="str">
        <f t="shared" si="275"/>
        <v>X</v>
      </c>
      <c r="X1120" s="2" t="str">
        <f t="shared" si="278"/>
        <v>X</v>
      </c>
      <c r="Y1120" s="2" t="str">
        <f t="shared" si="276"/>
        <v>X</v>
      </c>
      <c r="Z1120" s="2" t="str">
        <f t="shared" si="277"/>
        <v>X</v>
      </c>
      <c r="AA1120" s="2" t="str">
        <f t="shared" si="280"/>
        <v>(31 downto 24)</v>
      </c>
      <c r="AB1120" s="2" t="str">
        <f t="shared" si="281"/>
        <v>(23 downto 16)</v>
      </c>
      <c r="AC1120" s="2" t="str">
        <f t="shared" si="282"/>
        <v>(15 downto 8)</v>
      </c>
      <c r="AD1120" s="2" t="str">
        <f t="shared" si="283"/>
        <v>(7 downto 0)</v>
      </c>
      <c r="AE1120" s="2" t="str">
        <f t="shared" si="284"/>
        <v>(31 downto 24)</v>
      </c>
      <c r="AF1120" s="2" t="str">
        <f t="shared" si="285"/>
        <v>(23 downto 16)</v>
      </c>
      <c r="AG1120" s="2" t="str">
        <f t="shared" si="286"/>
        <v>(15 downto 8)</v>
      </c>
      <c r="AH1120" s="2" t="str">
        <f t="shared" si="287"/>
        <v>(7 downto 0)</v>
      </c>
    </row>
    <row r="1121" spans="2:34" x14ac:dyDescent="0.25">
      <c r="B1121" s="2" t="s">
        <v>3178</v>
      </c>
      <c r="C1121" s="2" t="s">
        <v>141</v>
      </c>
      <c r="D1121" s="2" t="s">
        <v>0</v>
      </c>
      <c r="E1121" s="2" t="s">
        <v>130</v>
      </c>
      <c r="F1121" s="2" t="s">
        <v>3179</v>
      </c>
      <c r="G1121" s="2" t="s">
        <v>3180</v>
      </c>
      <c r="H1121" s="2" t="s">
        <v>142</v>
      </c>
      <c r="I1121" s="2" t="s">
        <v>41</v>
      </c>
      <c r="J1121" s="2">
        <v>32</v>
      </c>
      <c r="K1121" s="2" t="s">
        <v>132</v>
      </c>
      <c r="L1121" s="2" t="s">
        <v>40</v>
      </c>
      <c r="P1121" s="2" t="s">
        <v>48</v>
      </c>
      <c r="Q1121" s="2">
        <f>INDEX(Tables!$C$4:$C$28,MATCH($P1121,Tables!$B$4:$B$28,0))</f>
        <v>32</v>
      </c>
      <c r="R1121" s="2">
        <f>INDEX(Tables!$D$4:$D$28,MATCH($P1121,Tables!$B$4:$B$28,0))</f>
        <v>4</v>
      </c>
      <c r="S1121" s="2">
        <f>$S1120+$R1120+INDEX(Tables!$N$5:$Q$8,MATCH(MOD($S1120+$R1120,4),Tables!$M$5:$M$8,0),MATCH($R1121,Tables!$N$4:$Q$4,0))</f>
        <v>4300</v>
      </c>
      <c r="T1121" s="2" t="str">
        <f t="shared" si="273"/>
        <v>10CC</v>
      </c>
      <c r="U1121" s="2">
        <f t="shared" si="279"/>
        <v>1075</v>
      </c>
      <c r="V1121" s="2" t="str">
        <f t="shared" si="274"/>
        <v>433</v>
      </c>
      <c r="W1121" s="2" t="str">
        <f t="shared" si="275"/>
        <v>X</v>
      </c>
      <c r="X1121" s="2" t="str">
        <f t="shared" si="278"/>
        <v>X</v>
      </c>
      <c r="Y1121" s="2" t="str">
        <f t="shared" si="276"/>
        <v>X</v>
      </c>
      <c r="Z1121" s="2" t="str">
        <f t="shared" si="277"/>
        <v>X</v>
      </c>
      <c r="AA1121" s="2" t="str">
        <f t="shared" si="280"/>
        <v>(31 downto 24)</v>
      </c>
      <c r="AB1121" s="2" t="str">
        <f t="shared" si="281"/>
        <v>(23 downto 16)</v>
      </c>
      <c r="AC1121" s="2" t="str">
        <f t="shared" si="282"/>
        <v>(15 downto 8)</v>
      </c>
      <c r="AD1121" s="2" t="str">
        <f t="shared" si="283"/>
        <v>(7 downto 0)</v>
      </c>
      <c r="AE1121" s="2" t="str">
        <f t="shared" si="284"/>
        <v>(31 downto 24)</v>
      </c>
      <c r="AF1121" s="2" t="str">
        <f t="shared" si="285"/>
        <v>(23 downto 16)</v>
      </c>
      <c r="AG1121" s="2" t="str">
        <f t="shared" si="286"/>
        <v>(15 downto 8)</v>
      </c>
      <c r="AH1121" s="2" t="str">
        <f t="shared" si="287"/>
        <v>(7 downto 0)</v>
      </c>
    </row>
    <row r="1122" spans="2:34" x14ac:dyDescent="0.25">
      <c r="B1122" s="2" t="s">
        <v>3181</v>
      </c>
      <c r="C1122" s="2" t="s">
        <v>141</v>
      </c>
      <c r="D1122" s="2" t="s">
        <v>0</v>
      </c>
      <c r="E1122" s="2" t="s">
        <v>130</v>
      </c>
      <c r="F1122" s="2" t="s">
        <v>3182</v>
      </c>
      <c r="G1122" s="2" t="s">
        <v>3183</v>
      </c>
      <c r="H1122" s="2" t="s">
        <v>142</v>
      </c>
      <c r="I1122" s="2" t="s">
        <v>41</v>
      </c>
      <c r="J1122" s="2">
        <v>32</v>
      </c>
      <c r="K1122" s="2" t="s">
        <v>132</v>
      </c>
      <c r="L1122" s="2" t="s">
        <v>40</v>
      </c>
      <c r="P1122" s="2" t="s">
        <v>48</v>
      </c>
      <c r="Q1122" s="2">
        <f>INDEX(Tables!$C$4:$C$28,MATCH($P1122,Tables!$B$4:$B$28,0))</f>
        <v>32</v>
      </c>
      <c r="R1122" s="2">
        <f>INDEX(Tables!$D$4:$D$28,MATCH($P1122,Tables!$B$4:$B$28,0))</f>
        <v>4</v>
      </c>
      <c r="S1122" s="2">
        <f>$S1121+$R1121+INDEX(Tables!$N$5:$Q$8,MATCH(MOD($S1121+$R1121,4),Tables!$M$5:$M$8,0),MATCH($R1122,Tables!$N$4:$Q$4,0))</f>
        <v>4304</v>
      </c>
      <c r="T1122" s="2" t="str">
        <f t="shared" si="273"/>
        <v>10D0</v>
      </c>
      <c r="U1122" s="2">
        <f t="shared" si="279"/>
        <v>1076</v>
      </c>
      <c r="V1122" s="2" t="str">
        <f t="shared" si="274"/>
        <v>434</v>
      </c>
      <c r="W1122" s="2" t="str">
        <f t="shared" si="275"/>
        <v>X</v>
      </c>
      <c r="X1122" s="2" t="str">
        <f t="shared" si="278"/>
        <v>X</v>
      </c>
      <c r="Y1122" s="2" t="str">
        <f t="shared" si="276"/>
        <v>X</v>
      </c>
      <c r="Z1122" s="2" t="str">
        <f t="shared" si="277"/>
        <v>X</v>
      </c>
      <c r="AA1122" s="2" t="str">
        <f t="shared" si="280"/>
        <v>(31 downto 24)</v>
      </c>
      <c r="AB1122" s="2" t="str">
        <f t="shared" si="281"/>
        <v>(23 downto 16)</v>
      </c>
      <c r="AC1122" s="2" t="str">
        <f t="shared" si="282"/>
        <v>(15 downto 8)</v>
      </c>
      <c r="AD1122" s="2" t="str">
        <f t="shared" si="283"/>
        <v>(7 downto 0)</v>
      </c>
      <c r="AE1122" s="2" t="str">
        <f t="shared" si="284"/>
        <v>(31 downto 24)</v>
      </c>
      <c r="AF1122" s="2" t="str">
        <f t="shared" si="285"/>
        <v>(23 downto 16)</v>
      </c>
      <c r="AG1122" s="2" t="str">
        <f t="shared" si="286"/>
        <v>(15 downto 8)</v>
      </c>
      <c r="AH1122" s="2" t="str">
        <f t="shared" si="287"/>
        <v>(7 downto 0)</v>
      </c>
    </row>
    <row r="1123" spans="2:34" x14ac:dyDescent="0.25">
      <c r="B1123" s="2" t="s">
        <v>3184</v>
      </c>
      <c r="C1123" s="2" t="s">
        <v>141</v>
      </c>
      <c r="D1123" s="2" t="s">
        <v>0</v>
      </c>
      <c r="E1123" s="2" t="s">
        <v>130</v>
      </c>
      <c r="F1123" s="2" t="s">
        <v>3185</v>
      </c>
      <c r="G1123" s="2" t="s">
        <v>3186</v>
      </c>
      <c r="H1123" s="2" t="s">
        <v>142</v>
      </c>
      <c r="I1123" s="2" t="s">
        <v>41</v>
      </c>
      <c r="J1123" s="2">
        <v>32</v>
      </c>
      <c r="K1123" s="2" t="s">
        <v>132</v>
      </c>
      <c r="L1123" s="2" t="s">
        <v>40</v>
      </c>
      <c r="P1123" s="2" t="s">
        <v>48</v>
      </c>
      <c r="Q1123" s="2">
        <f>INDEX(Tables!$C$4:$C$28,MATCH($P1123,Tables!$B$4:$B$28,0))</f>
        <v>32</v>
      </c>
      <c r="R1123" s="2">
        <f>INDEX(Tables!$D$4:$D$28,MATCH($P1123,Tables!$B$4:$B$28,0))</f>
        <v>4</v>
      </c>
      <c r="S1123" s="2">
        <f>$S1122+$R1122+INDEX(Tables!$N$5:$Q$8,MATCH(MOD($S1122+$R1122,4),Tables!$M$5:$M$8,0),MATCH($R1123,Tables!$N$4:$Q$4,0))</f>
        <v>4308</v>
      </c>
      <c r="T1123" s="2" t="str">
        <f t="shared" si="273"/>
        <v>10D4</v>
      </c>
      <c r="U1123" s="2">
        <f t="shared" si="279"/>
        <v>1077</v>
      </c>
      <c r="V1123" s="2" t="str">
        <f t="shared" si="274"/>
        <v>435</v>
      </c>
      <c r="W1123" s="2" t="str">
        <f t="shared" si="275"/>
        <v>X</v>
      </c>
      <c r="X1123" s="2" t="str">
        <f t="shared" si="278"/>
        <v>X</v>
      </c>
      <c r="Y1123" s="2" t="str">
        <f t="shared" si="276"/>
        <v>X</v>
      </c>
      <c r="Z1123" s="2" t="str">
        <f t="shared" si="277"/>
        <v>X</v>
      </c>
      <c r="AA1123" s="2" t="str">
        <f t="shared" si="280"/>
        <v>(31 downto 24)</v>
      </c>
      <c r="AB1123" s="2" t="str">
        <f t="shared" si="281"/>
        <v>(23 downto 16)</v>
      </c>
      <c r="AC1123" s="2" t="str">
        <f t="shared" si="282"/>
        <v>(15 downto 8)</v>
      </c>
      <c r="AD1123" s="2" t="str">
        <f t="shared" si="283"/>
        <v>(7 downto 0)</v>
      </c>
      <c r="AE1123" s="2" t="str">
        <f t="shared" si="284"/>
        <v>(31 downto 24)</v>
      </c>
      <c r="AF1123" s="2" t="str">
        <f t="shared" si="285"/>
        <v>(23 downto 16)</v>
      </c>
      <c r="AG1123" s="2" t="str">
        <f t="shared" si="286"/>
        <v>(15 downto 8)</v>
      </c>
      <c r="AH1123" s="2" t="str">
        <f t="shared" si="287"/>
        <v>(7 downto 0)</v>
      </c>
    </row>
    <row r="1124" spans="2:34" x14ac:dyDescent="0.25">
      <c r="B1124" s="2" t="s">
        <v>3187</v>
      </c>
      <c r="C1124" s="2" t="s">
        <v>141</v>
      </c>
      <c r="D1124" s="2" t="s">
        <v>0</v>
      </c>
      <c r="E1124" s="2" t="s">
        <v>130</v>
      </c>
      <c r="F1124" s="2" t="s">
        <v>3188</v>
      </c>
      <c r="G1124" s="2" t="s">
        <v>3189</v>
      </c>
      <c r="H1124" s="2" t="s">
        <v>142</v>
      </c>
      <c r="I1124" s="2" t="s">
        <v>41</v>
      </c>
      <c r="J1124" s="2">
        <v>32</v>
      </c>
      <c r="K1124" s="2" t="s">
        <v>132</v>
      </c>
      <c r="L1124" s="2" t="s">
        <v>40</v>
      </c>
      <c r="P1124" s="2" t="s">
        <v>48</v>
      </c>
      <c r="Q1124" s="2">
        <f>INDEX(Tables!$C$4:$C$28,MATCH($P1124,Tables!$B$4:$B$28,0))</f>
        <v>32</v>
      </c>
      <c r="R1124" s="2">
        <f>INDEX(Tables!$D$4:$D$28,MATCH($P1124,Tables!$B$4:$B$28,0))</f>
        <v>4</v>
      </c>
      <c r="S1124" s="2">
        <f>$S1123+$R1123+INDEX(Tables!$N$5:$Q$8,MATCH(MOD($S1123+$R1123,4),Tables!$M$5:$M$8,0),MATCH($R1124,Tables!$N$4:$Q$4,0))</f>
        <v>4312</v>
      </c>
      <c r="T1124" s="2" t="str">
        <f t="shared" si="273"/>
        <v>10D8</v>
      </c>
      <c r="U1124" s="2">
        <f t="shared" si="279"/>
        <v>1078</v>
      </c>
      <c r="V1124" s="2" t="str">
        <f t="shared" si="274"/>
        <v>436</v>
      </c>
      <c r="W1124" s="2" t="str">
        <f t="shared" si="275"/>
        <v>X</v>
      </c>
      <c r="X1124" s="2" t="str">
        <f t="shared" si="278"/>
        <v>X</v>
      </c>
      <c r="Y1124" s="2" t="str">
        <f t="shared" si="276"/>
        <v>X</v>
      </c>
      <c r="Z1124" s="2" t="str">
        <f t="shared" si="277"/>
        <v>X</v>
      </c>
      <c r="AA1124" s="2" t="str">
        <f t="shared" si="280"/>
        <v>(31 downto 24)</v>
      </c>
      <c r="AB1124" s="2" t="str">
        <f t="shared" si="281"/>
        <v>(23 downto 16)</v>
      </c>
      <c r="AC1124" s="2" t="str">
        <f t="shared" si="282"/>
        <v>(15 downto 8)</v>
      </c>
      <c r="AD1124" s="2" t="str">
        <f t="shared" si="283"/>
        <v>(7 downto 0)</v>
      </c>
      <c r="AE1124" s="2" t="str">
        <f t="shared" si="284"/>
        <v>(31 downto 24)</v>
      </c>
      <c r="AF1124" s="2" t="str">
        <f t="shared" si="285"/>
        <v>(23 downto 16)</v>
      </c>
      <c r="AG1124" s="2" t="str">
        <f t="shared" si="286"/>
        <v>(15 downto 8)</v>
      </c>
      <c r="AH1124" s="2" t="str">
        <f t="shared" si="287"/>
        <v>(7 downto 0)</v>
      </c>
    </row>
    <row r="1125" spans="2:34" x14ac:dyDescent="0.25">
      <c r="B1125" s="2" t="s">
        <v>3190</v>
      </c>
      <c r="C1125" s="2" t="s">
        <v>141</v>
      </c>
      <c r="D1125" s="2" t="s">
        <v>0</v>
      </c>
      <c r="E1125" s="2" t="s">
        <v>130</v>
      </c>
      <c r="F1125" s="2" t="s">
        <v>3191</v>
      </c>
      <c r="G1125" s="2" t="s">
        <v>3192</v>
      </c>
      <c r="H1125" s="2" t="s">
        <v>142</v>
      </c>
      <c r="I1125" s="2" t="s">
        <v>41</v>
      </c>
      <c r="J1125" s="2">
        <v>32</v>
      </c>
      <c r="K1125" s="2" t="s">
        <v>132</v>
      </c>
      <c r="L1125" s="2" t="s">
        <v>40</v>
      </c>
      <c r="P1125" s="2" t="s">
        <v>48</v>
      </c>
      <c r="Q1125" s="2">
        <f>INDEX(Tables!$C$4:$C$28,MATCH($P1125,Tables!$B$4:$B$28,0))</f>
        <v>32</v>
      </c>
      <c r="R1125" s="2">
        <f>INDEX(Tables!$D$4:$D$28,MATCH($P1125,Tables!$B$4:$B$28,0))</f>
        <v>4</v>
      </c>
      <c r="S1125" s="2">
        <f>$S1124+$R1124+INDEX(Tables!$N$5:$Q$8,MATCH(MOD($S1124+$R1124,4),Tables!$M$5:$M$8,0),MATCH($R1125,Tables!$N$4:$Q$4,0))</f>
        <v>4316</v>
      </c>
      <c r="T1125" s="2" t="str">
        <f t="shared" si="273"/>
        <v>10DC</v>
      </c>
      <c r="U1125" s="2">
        <f t="shared" si="279"/>
        <v>1079</v>
      </c>
      <c r="V1125" s="2" t="str">
        <f t="shared" si="274"/>
        <v>437</v>
      </c>
      <c r="W1125" s="2" t="str">
        <f t="shared" si="275"/>
        <v>X</v>
      </c>
      <c r="X1125" s="2" t="str">
        <f t="shared" si="278"/>
        <v>X</v>
      </c>
      <c r="Y1125" s="2" t="str">
        <f t="shared" si="276"/>
        <v>X</v>
      </c>
      <c r="Z1125" s="2" t="str">
        <f t="shared" si="277"/>
        <v>X</v>
      </c>
      <c r="AA1125" s="2" t="str">
        <f t="shared" si="280"/>
        <v>(31 downto 24)</v>
      </c>
      <c r="AB1125" s="2" t="str">
        <f t="shared" si="281"/>
        <v>(23 downto 16)</v>
      </c>
      <c r="AC1125" s="2" t="str">
        <f t="shared" si="282"/>
        <v>(15 downto 8)</v>
      </c>
      <c r="AD1125" s="2" t="str">
        <f t="shared" si="283"/>
        <v>(7 downto 0)</v>
      </c>
      <c r="AE1125" s="2" t="str">
        <f t="shared" si="284"/>
        <v>(31 downto 24)</v>
      </c>
      <c r="AF1125" s="2" t="str">
        <f t="shared" si="285"/>
        <v>(23 downto 16)</v>
      </c>
      <c r="AG1125" s="2" t="str">
        <f t="shared" si="286"/>
        <v>(15 downto 8)</v>
      </c>
      <c r="AH1125" s="2" t="str">
        <f t="shared" si="287"/>
        <v>(7 downto 0)</v>
      </c>
    </row>
    <row r="1126" spans="2:34" x14ac:dyDescent="0.25">
      <c r="B1126" s="2" t="s">
        <v>3193</v>
      </c>
      <c r="C1126" s="2" t="s">
        <v>141</v>
      </c>
      <c r="D1126" s="2" t="s">
        <v>0</v>
      </c>
      <c r="E1126" s="2" t="s">
        <v>130</v>
      </c>
      <c r="F1126" s="2" t="s">
        <v>3194</v>
      </c>
      <c r="G1126" s="2" t="s">
        <v>3195</v>
      </c>
      <c r="H1126" s="2" t="s">
        <v>142</v>
      </c>
      <c r="I1126" s="2" t="s">
        <v>41</v>
      </c>
      <c r="J1126" s="2">
        <v>32</v>
      </c>
      <c r="K1126" s="2" t="s">
        <v>132</v>
      </c>
      <c r="L1126" s="2" t="s">
        <v>40</v>
      </c>
      <c r="P1126" s="2" t="s">
        <v>48</v>
      </c>
      <c r="Q1126" s="2">
        <f>INDEX(Tables!$C$4:$C$28,MATCH($P1126,Tables!$B$4:$B$28,0))</f>
        <v>32</v>
      </c>
      <c r="R1126" s="2">
        <f>INDEX(Tables!$D$4:$D$28,MATCH($P1126,Tables!$B$4:$B$28,0))</f>
        <v>4</v>
      </c>
      <c r="S1126" s="2">
        <f>$S1125+$R1125+INDEX(Tables!$N$5:$Q$8,MATCH(MOD($S1125+$R1125,4),Tables!$M$5:$M$8,0),MATCH($R1126,Tables!$N$4:$Q$4,0))</f>
        <v>4320</v>
      </c>
      <c r="T1126" s="2" t="str">
        <f t="shared" si="273"/>
        <v>10E0</v>
      </c>
      <c r="U1126" s="2">
        <f t="shared" si="279"/>
        <v>1080</v>
      </c>
      <c r="V1126" s="2" t="str">
        <f t="shared" si="274"/>
        <v>438</v>
      </c>
      <c r="W1126" s="2" t="str">
        <f t="shared" si="275"/>
        <v>X</v>
      </c>
      <c r="X1126" s="2" t="str">
        <f t="shared" si="278"/>
        <v>X</v>
      </c>
      <c r="Y1126" s="2" t="str">
        <f t="shared" si="276"/>
        <v>X</v>
      </c>
      <c r="Z1126" s="2" t="str">
        <f t="shared" si="277"/>
        <v>X</v>
      </c>
      <c r="AA1126" s="2" t="str">
        <f t="shared" si="280"/>
        <v>(31 downto 24)</v>
      </c>
      <c r="AB1126" s="2" t="str">
        <f t="shared" si="281"/>
        <v>(23 downto 16)</v>
      </c>
      <c r="AC1126" s="2" t="str">
        <f t="shared" si="282"/>
        <v>(15 downto 8)</v>
      </c>
      <c r="AD1126" s="2" t="str">
        <f t="shared" si="283"/>
        <v>(7 downto 0)</v>
      </c>
      <c r="AE1126" s="2" t="str">
        <f t="shared" si="284"/>
        <v>(31 downto 24)</v>
      </c>
      <c r="AF1126" s="2" t="str">
        <f t="shared" si="285"/>
        <v>(23 downto 16)</v>
      </c>
      <c r="AG1126" s="2" t="str">
        <f t="shared" si="286"/>
        <v>(15 downto 8)</v>
      </c>
      <c r="AH1126" s="2" t="str">
        <f t="shared" si="287"/>
        <v>(7 downto 0)</v>
      </c>
    </row>
    <row r="1127" spans="2:34" x14ac:dyDescent="0.25">
      <c r="B1127" s="2" t="s">
        <v>3196</v>
      </c>
      <c r="C1127" s="2" t="s">
        <v>141</v>
      </c>
      <c r="D1127" s="2" t="s">
        <v>0</v>
      </c>
      <c r="E1127" s="2" t="s">
        <v>130</v>
      </c>
      <c r="F1127" s="2" t="s">
        <v>3197</v>
      </c>
      <c r="G1127" s="2" t="s">
        <v>3198</v>
      </c>
      <c r="H1127" s="2" t="s">
        <v>142</v>
      </c>
      <c r="I1127" s="2" t="s">
        <v>41</v>
      </c>
      <c r="J1127" s="2">
        <v>32</v>
      </c>
      <c r="K1127" s="2" t="s">
        <v>132</v>
      </c>
      <c r="L1127" s="2" t="s">
        <v>40</v>
      </c>
      <c r="P1127" s="2" t="s">
        <v>48</v>
      </c>
      <c r="Q1127" s="2">
        <f>INDEX(Tables!$C$4:$C$28,MATCH($P1127,Tables!$B$4:$B$28,0))</f>
        <v>32</v>
      </c>
      <c r="R1127" s="2">
        <f>INDEX(Tables!$D$4:$D$28,MATCH($P1127,Tables!$B$4:$B$28,0))</f>
        <v>4</v>
      </c>
      <c r="S1127" s="2">
        <f>$S1126+$R1126+INDEX(Tables!$N$5:$Q$8,MATCH(MOD($S1126+$R1126,4),Tables!$M$5:$M$8,0),MATCH($R1127,Tables!$N$4:$Q$4,0))</f>
        <v>4324</v>
      </c>
      <c r="T1127" s="2" t="str">
        <f t="shared" si="273"/>
        <v>10E4</v>
      </c>
      <c r="U1127" s="2">
        <f t="shared" si="279"/>
        <v>1081</v>
      </c>
      <c r="V1127" s="2" t="str">
        <f t="shared" si="274"/>
        <v>439</v>
      </c>
      <c r="W1127" s="2" t="str">
        <f t="shared" si="275"/>
        <v>X</v>
      </c>
      <c r="X1127" s="2" t="str">
        <f t="shared" si="278"/>
        <v>X</v>
      </c>
      <c r="Y1127" s="2" t="str">
        <f t="shared" si="276"/>
        <v>X</v>
      </c>
      <c r="Z1127" s="2" t="str">
        <f t="shared" si="277"/>
        <v>X</v>
      </c>
      <c r="AA1127" s="2" t="str">
        <f t="shared" si="280"/>
        <v>(31 downto 24)</v>
      </c>
      <c r="AB1127" s="2" t="str">
        <f t="shared" si="281"/>
        <v>(23 downto 16)</v>
      </c>
      <c r="AC1127" s="2" t="str">
        <f t="shared" si="282"/>
        <v>(15 downto 8)</v>
      </c>
      <c r="AD1127" s="2" t="str">
        <f t="shared" si="283"/>
        <v>(7 downto 0)</v>
      </c>
      <c r="AE1127" s="2" t="str">
        <f t="shared" si="284"/>
        <v>(31 downto 24)</v>
      </c>
      <c r="AF1127" s="2" t="str">
        <f t="shared" si="285"/>
        <v>(23 downto 16)</v>
      </c>
      <c r="AG1127" s="2" t="str">
        <f t="shared" si="286"/>
        <v>(15 downto 8)</v>
      </c>
      <c r="AH1127" s="2" t="str">
        <f t="shared" si="287"/>
        <v>(7 downto 0)</v>
      </c>
    </row>
    <row r="1128" spans="2:34" x14ac:dyDescent="0.25">
      <c r="B1128" s="2" t="s">
        <v>3199</v>
      </c>
      <c r="C1128" s="2" t="s">
        <v>141</v>
      </c>
      <c r="D1128" s="2" t="s">
        <v>0</v>
      </c>
      <c r="E1128" s="2" t="s">
        <v>130</v>
      </c>
      <c r="F1128" s="2" t="s">
        <v>3200</v>
      </c>
      <c r="G1128" s="2" t="s">
        <v>3201</v>
      </c>
      <c r="H1128" s="2" t="s">
        <v>142</v>
      </c>
      <c r="I1128" s="2" t="s">
        <v>41</v>
      </c>
      <c r="J1128" s="2">
        <v>32</v>
      </c>
      <c r="K1128" s="2" t="s">
        <v>132</v>
      </c>
      <c r="L1128" s="2" t="s">
        <v>40</v>
      </c>
      <c r="P1128" s="2" t="s">
        <v>48</v>
      </c>
      <c r="Q1128" s="2">
        <f>INDEX(Tables!$C$4:$C$28,MATCH($P1128,Tables!$B$4:$B$28,0))</f>
        <v>32</v>
      </c>
      <c r="R1128" s="2">
        <f>INDEX(Tables!$D$4:$D$28,MATCH($P1128,Tables!$B$4:$B$28,0))</f>
        <v>4</v>
      </c>
      <c r="S1128" s="2">
        <f>$S1127+$R1127+INDEX(Tables!$N$5:$Q$8,MATCH(MOD($S1127+$R1127,4),Tables!$M$5:$M$8,0),MATCH($R1128,Tables!$N$4:$Q$4,0))</f>
        <v>4328</v>
      </c>
      <c r="T1128" s="2" t="str">
        <f t="shared" si="273"/>
        <v>10E8</v>
      </c>
      <c r="U1128" s="2">
        <f t="shared" si="279"/>
        <v>1082</v>
      </c>
      <c r="V1128" s="2" t="str">
        <f t="shared" si="274"/>
        <v>43A</v>
      </c>
      <c r="W1128" s="2" t="str">
        <f t="shared" si="275"/>
        <v>X</v>
      </c>
      <c r="X1128" s="2" t="str">
        <f t="shared" si="278"/>
        <v>X</v>
      </c>
      <c r="Y1128" s="2" t="str">
        <f t="shared" si="276"/>
        <v>X</v>
      </c>
      <c r="Z1128" s="2" t="str">
        <f t="shared" si="277"/>
        <v>X</v>
      </c>
      <c r="AA1128" s="2" t="str">
        <f t="shared" si="280"/>
        <v>(31 downto 24)</v>
      </c>
      <c r="AB1128" s="2" t="str">
        <f t="shared" si="281"/>
        <v>(23 downto 16)</v>
      </c>
      <c r="AC1128" s="2" t="str">
        <f t="shared" si="282"/>
        <v>(15 downto 8)</v>
      </c>
      <c r="AD1128" s="2" t="str">
        <f t="shared" si="283"/>
        <v>(7 downto 0)</v>
      </c>
      <c r="AE1128" s="2" t="str">
        <f t="shared" si="284"/>
        <v>(31 downto 24)</v>
      </c>
      <c r="AF1128" s="2" t="str">
        <f t="shared" si="285"/>
        <v>(23 downto 16)</v>
      </c>
      <c r="AG1128" s="2" t="str">
        <f t="shared" si="286"/>
        <v>(15 downto 8)</v>
      </c>
      <c r="AH1128" s="2" t="str">
        <f t="shared" si="287"/>
        <v>(7 downto 0)</v>
      </c>
    </row>
    <row r="1129" spans="2:34" x14ac:dyDescent="0.25">
      <c r="B1129" s="2" t="s">
        <v>3202</v>
      </c>
      <c r="C1129" s="2" t="s">
        <v>141</v>
      </c>
      <c r="D1129" s="2" t="s">
        <v>0</v>
      </c>
      <c r="E1129" s="2" t="s">
        <v>130</v>
      </c>
      <c r="F1129" s="2" t="s">
        <v>3203</v>
      </c>
      <c r="G1129" s="2" t="s">
        <v>3204</v>
      </c>
      <c r="H1129" s="2" t="s">
        <v>142</v>
      </c>
      <c r="I1129" s="2" t="s">
        <v>41</v>
      </c>
      <c r="J1129" s="2">
        <v>32</v>
      </c>
      <c r="K1129" s="2" t="s">
        <v>132</v>
      </c>
      <c r="L1129" s="2" t="s">
        <v>40</v>
      </c>
      <c r="P1129" s="2" t="s">
        <v>48</v>
      </c>
      <c r="Q1129" s="2">
        <f>INDEX(Tables!$C$4:$C$28,MATCH($P1129,Tables!$B$4:$B$28,0))</f>
        <v>32</v>
      </c>
      <c r="R1129" s="2">
        <f>INDEX(Tables!$D$4:$D$28,MATCH($P1129,Tables!$B$4:$B$28,0))</f>
        <v>4</v>
      </c>
      <c r="S1129" s="2">
        <f>$S1128+$R1128+INDEX(Tables!$N$5:$Q$8,MATCH(MOD($S1128+$R1128,4),Tables!$M$5:$M$8,0),MATCH($R1129,Tables!$N$4:$Q$4,0))</f>
        <v>4332</v>
      </c>
      <c r="T1129" s="2" t="str">
        <f t="shared" si="273"/>
        <v>10EC</v>
      </c>
      <c r="U1129" s="2">
        <f t="shared" si="279"/>
        <v>1083</v>
      </c>
      <c r="V1129" s="2" t="str">
        <f t="shared" si="274"/>
        <v>43B</v>
      </c>
      <c r="W1129" s="2" t="str">
        <f t="shared" si="275"/>
        <v>X</v>
      </c>
      <c r="X1129" s="2" t="str">
        <f t="shared" si="278"/>
        <v>X</v>
      </c>
      <c r="Y1129" s="2" t="str">
        <f t="shared" si="276"/>
        <v>X</v>
      </c>
      <c r="Z1129" s="2" t="str">
        <f t="shared" si="277"/>
        <v>X</v>
      </c>
      <c r="AA1129" s="2" t="str">
        <f t="shared" si="280"/>
        <v>(31 downto 24)</v>
      </c>
      <c r="AB1129" s="2" t="str">
        <f t="shared" si="281"/>
        <v>(23 downto 16)</v>
      </c>
      <c r="AC1129" s="2" t="str">
        <f t="shared" si="282"/>
        <v>(15 downto 8)</v>
      </c>
      <c r="AD1129" s="2" t="str">
        <f t="shared" si="283"/>
        <v>(7 downto 0)</v>
      </c>
      <c r="AE1129" s="2" t="str">
        <f t="shared" si="284"/>
        <v>(31 downto 24)</v>
      </c>
      <c r="AF1129" s="2" t="str">
        <f t="shared" si="285"/>
        <v>(23 downto 16)</v>
      </c>
      <c r="AG1129" s="2" t="str">
        <f t="shared" si="286"/>
        <v>(15 downto 8)</v>
      </c>
      <c r="AH1129" s="2" t="str">
        <f t="shared" si="287"/>
        <v>(7 downto 0)</v>
      </c>
    </row>
    <row r="1130" spans="2:34" x14ac:dyDescent="0.25">
      <c r="B1130" s="2" t="s">
        <v>3205</v>
      </c>
      <c r="C1130" s="2" t="s">
        <v>141</v>
      </c>
      <c r="D1130" s="2" t="s">
        <v>0</v>
      </c>
      <c r="E1130" s="2" t="s">
        <v>130</v>
      </c>
      <c r="F1130" s="2" t="s">
        <v>3206</v>
      </c>
      <c r="G1130" s="2" t="s">
        <v>3207</v>
      </c>
      <c r="H1130" s="2" t="s">
        <v>142</v>
      </c>
      <c r="I1130" s="2" t="s">
        <v>41</v>
      </c>
      <c r="J1130" s="2">
        <v>32</v>
      </c>
      <c r="K1130" s="2" t="s">
        <v>132</v>
      </c>
      <c r="L1130" s="2" t="s">
        <v>40</v>
      </c>
      <c r="P1130" s="2" t="s">
        <v>48</v>
      </c>
      <c r="Q1130" s="2">
        <f>INDEX(Tables!$C$4:$C$28,MATCH($P1130,Tables!$B$4:$B$28,0))</f>
        <v>32</v>
      </c>
      <c r="R1130" s="2">
        <f>INDEX(Tables!$D$4:$D$28,MATCH($P1130,Tables!$B$4:$B$28,0))</f>
        <v>4</v>
      </c>
      <c r="S1130" s="2">
        <f>$S1129+$R1129+INDEX(Tables!$N$5:$Q$8,MATCH(MOD($S1129+$R1129,4),Tables!$M$5:$M$8,0),MATCH($R1130,Tables!$N$4:$Q$4,0))</f>
        <v>4336</v>
      </c>
      <c r="T1130" s="2" t="str">
        <f t="shared" si="273"/>
        <v>10F0</v>
      </c>
      <c r="U1130" s="2">
        <f t="shared" si="279"/>
        <v>1084</v>
      </c>
      <c r="V1130" s="2" t="str">
        <f t="shared" si="274"/>
        <v>43C</v>
      </c>
      <c r="W1130" s="2" t="str">
        <f t="shared" si="275"/>
        <v>X</v>
      </c>
      <c r="X1130" s="2" t="str">
        <f t="shared" si="278"/>
        <v>X</v>
      </c>
      <c r="Y1130" s="2" t="str">
        <f t="shared" si="276"/>
        <v>X</v>
      </c>
      <c r="Z1130" s="2" t="str">
        <f t="shared" si="277"/>
        <v>X</v>
      </c>
      <c r="AA1130" s="2" t="str">
        <f t="shared" si="280"/>
        <v>(31 downto 24)</v>
      </c>
      <c r="AB1130" s="2" t="str">
        <f t="shared" si="281"/>
        <v>(23 downto 16)</v>
      </c>
      <c r="AC1130" s="2" t="str">
        <f t="shared" si="282"/>
        <v>(15 downto 8)</v>
      </c>
      <c r="AD1130" s="2" t="str">
        <f t="shared" si="283"/>
        <v>(7 downto 0)</v>
      </c>
      <c r="AE1130" s="2" t="str">
        <f t="shared" si="284"/>
        <v>(31 downto 24)</v>
      </c>
      <c r="AF1130" s="2" t="str">
        <f t="shared" si="285"/>
        <v>(23 downto 16)</v>
      </c>
      <c r="AG1130" s="2" t="str">
        <f t="shared" si="286"/>
        <v>(15 downto 8)</v>
      </c>
      <c r="AH1130" s="2" t="str">
        <f t="shared" si="287"/>
        <v>(7 downto 0)</v>
      </c>
    </row>
    <row r="1131" spans="2:34" x14ac:dyDescent="0.25">
      <c r="B1131" s="2" t="s">
        <v>3208</v>
      </c>
      <c r="C1131" s="2" t="s">
        <v>141</v>
      </c>
      <c r="D1131" s="2" t="s">
        <v>0</v>
      </c>
      <c r="E1131" s="2" t="s">
        <v>130</v>
      </c>
      <c r="F1131" s="2" t="s">
        <v>3209</v>
      </c>
      <c r="G1131" s="2" t="s">
        <v>3210</v>
      </c>
      <c r="H1131" s="2" t="s">
        <v>142</v>
      </c>
      <c r="I1131" s="2" t="s">
        <v>41</v>
      </c>
      <c r="J1131" s="2">
        <v>32</v>
      </c>
      <c r="K1131" s="2" t="s">
        <v>132</v>
      </c>
      <c r="L1131" s="2" t="s">
        <v>40</v>
      </c>
      <c r="P1131" s="2" t="s">
        <v>48</v>
      </c>
      <c r="Q1131" s="2">
        <f>INDEX(Tables!$C$4:$C$28,MATCH($P1131,Tables!$B$4:$B$28,0))</f>
        <v>32</v>
      </c>
      <c r="R1131" s="2">
        <f>INDEX(Tables!$D$4:$D$28,MATCH($P1131,Tables!$B$4:$B$28,0))</f>
        <v>4</v>
      </c>
      <c r="S1131" s="2">
        <f>$S1130+$R1130+INDEX(Tables!$N$5:$Q$8,MATCH(MOD($S1130+$R1130,4),Tables!$M$5:$M$8,0),MATCH($R1131,Tables!$N$4:$Q$4,0))</f>
        <v>4340</v>
      </c>
      <c r="T1131" s="2" t="str">
        <f t="shared" si="273"/>
        <v>10F4</v>
      </c>
      <c r="U1131" s="2">
        <f t="shared" si="279"/>
        <v>1085</v>
      </c>
      <c r="V1131" s="2" t="str">
        <f t="shared" si="274"/>
        <v>43D</v>
      </c>
      <c r="W1131" s="2" t="str">
        <f t="shared" si="275"/>
        <v>X</v>
      </c>
      <c r="X1131" s="2" t="str">
        <f t="shared" si="278"/>
        <v>X</v>
      </c>
      <c r="Y1131" s="2" t="str">
        <f t="shared" si="276"/>
        <v>X</v>
      </c>
      <c r="Z1131" s="2" t="str">
        <f t="shared" si="277"/>
        <v>X</v>
      </c>
      <c r="AA1131" s="2" t="str">
        <f t="shared" si="280"/>
        <v>(31 downto 24)</v>
      </c>
      <c r="AB1131" s="2" t="str">
        <f t="shared" si="281"/>
        <v>(23 downto 16)</v>
      </c>
      <c r="AC1131" s="2" t="str">
        <f t="shared" si="282"/>
        <v>(15 downto 8)</v>
      </c>
      <c r="AD1131" s="2" t="str">
        <f t="shared" si="283"/>
        <v>(7 downto 0)</v>
      </c>
      <c r="AE1131" s="2" t="str">
        <f t="shared" si="284"/>
        <v>(31 downto 24)</v>
      </c>
      <c r="AF1131" s="2" t="str">
        <f t="shared" si="285"/>
        <v>(23 downto 16)</v>
      </c>
      <c r="AG1131" s="2" t="str">
        <f t="shared" si="286"/>
        <v>(15 downto 8)</v>
      </c>
      <c r="AH1131" s="2" t="str">
        <f t="shared" si="287"/>
        <v>(7 downto 0)</v>
      </c>
    </row>
    <row r="1132" spans="2:34" x14ac:dyDescent="0.25">
      <c r="B1132" s="2" t="s">
        <v>3211</v>
      </c>
      <c r="C1132" s="2" t="s">
        <v>141</v>
      </c>
      <c r="D1132" s="2" t="s">
        <v>0</v>
      </c>
      <c r="E1132" s="2" t="s">
        <v>130</v>
      </c>
      <c r="F1132" s="2" t="s">
        <v>3212</v>
      </c>
      <c r="G1132" s="2" t="s">
        <v>3213</v>
      </c>
      <c r="H1132" s="2" t="s">
        <v>142</v>
      </c>
      <c r="I1132" s="2" t="s">
        <v>41</v>
      </c>
      <c r="J1132" s="2">
        <v>32</v>
      </c>
      <c r="K1132" s="2" t="s">
        <v>132</v>
      </c>
      <c r="L1132" s="2" t="s">
        <v>40</v>
      </c>
      <c r="P1132" s="2" t="s">
        <v>48</v>
      </c>
      <c r="Q1132" s="2">
        <f>INDEX(Tables!$C$4:$C$28,MATCH($P1132,Tables!$B$4:$B$28,0))</f>
        <v>32</v>
      </c>
      <c r="R1132" s="2">
        <f>INDEX(Tables!$D$4:$D$28,MATCH($P1132,Tables!$B$4:$B$28,0))</f>
        <v>4</v>
      </c>
      <c r="S1132" s="2">
        <f>$S1131+$R1131+INDEX(Tables!$N$5:$Q$8,MATCH(MOD($S1131+$R1131,4),Tables!$M$5:$M$8,0),MATCH($R1132,Tables!$N$4:$Q$4,0))</f>
        <v>4344</v>
      </c>
      <c r="T1132" s="2" t="str">
        <f t="shared" si="273"/>
        <v>10F8</v>
      </c>
      <c r="U1132" s="2">
        <f t="shared" si="279"/>
        <v>1086</v>
      </c>
      <c r="V1132" s="2" t="str">
        <f t="shared" si="274"/>
        <v>43E</v>
      </c>
      <c r="W1132" s="2" t="str">
        <f t="shared" si="275"/>
        <v>X</v>
      </c>
      <c r="X1132" s="2" t="str">
        <f t="shared" si="278"/>
        <v>X</v>
      </c>
      <c r="Y1132" s="2" t="str">
        <f t="shared" si="276"/>
        <v>X</v>
      </c>
      <c r="Z1132" s="2" t="str">
        <f t="shared" si="277"/>
        <v>X</v>
      </c>
      <c r="AA1132" s="2" t="str">
        <f t="shared" si="280"/>
        <v>(31 downto 24)</v>
      </c>
      <c r="AB1132" s="2" t="str">
        <f t="shared" si="281"/>
        <v>(23 downto 16)</v>
      </c>
      <c r="AC1132" s="2" t="str">
        <f t="shared" si="282"/>
        <v>(15 downto 8)</v>
      </c>
      <c r="AD1132" s="2" t="str">
        <f t="shared" si="283"/>
        <v>(7 downto 0)</v>
      </c>
      <c r="AE1132" s="2" t="str">
        <f t="shared" si="284"/>
        <v>(31 downto 24)</v>
      </c>
      <c r="AF1132" s="2" t="str">
        <f t="shared" si="285"/>
        <v>(23 downto 16)</v>
      </c>
      <c r="AG1132" s="2" t="str">
        <f t="shared" si="286"/>
        <v>(15 downto 8)</v>
      </c>
      <c r="AH1132" s="2" t="str">
        <f t="shared" si="287"/>
        <v>(7 downto 0)</v>
      </c>
    </row>
    <row r="1133" spans="2:34" x14ac:dyDescent="0.25">
      <c r="B1133" s="2" t="s">
        <v>3214</v>
      </c>
      <c r="C1133" s="2" t="s">
        <v>141</v>
      </c>
      <c r="D1133" s="2" t="s">
        <v>0</v>
      </c>
      <c r="E1133" s="2" t="s">
        <v>130</v>
      </c>
      <c r="F1133" s="2" t="s">
        <v>3215</v>
      </c>
      <c r="G1133" s="2" t="s">
        <v>3216</v>
      </c>
      <c r="H1133" s="2" t="s">
        <v>142</v>
      </c>
      <c r="I1133" s="2" t="s">
        <v>41</v>
      </c>
      <c r="J1133" s="2">
        <v>32</v>
      </c>
      <c r="K1133" s="2" t="s">
        <v>132</v>
      </c>
      <c r="L1133" s="2" t="s">
        <v>40</v>
      </c>
      <c r="P1133" s="2" t="s">
        <v>48</v>
      </c>
      <c r="Q1133" s="2">
        <f>INDEX(Tables!$C$4:$C$28,MATCH($P1133,Tables!$B$4:$B$28,0))</f>
        <v>32</v>
      </c>
      <c r="R1133" s="2">
        <f>INDEX(Tables!$D$4:$D$28,MATCH($P1133,Tables!$B$4:$B$28,0))</f>
        <v>4</v>
      </c>
      <c r="S1133" s="2">
        <f>$S1132+$R1132+INDEX(Tables!$N$5:$Q$8,MATCH(MOD($S1132+$R1132,4),Tables!$M$5:$M$8,0),MATCH($R1133,Tables!$N$4:$Q$4,0))</f>
        <v>4348</v>
      </c>
      <c r="T1133" s="2" t="str">
        <f t="shared" si="273"/>
        <v>10FC</v>
      </c>
      <c r="U1133" s="2">
        <f t="shared" si="279"/>
        <v>1087</v>
      </c>
      <c r="V1133" s="2" t="str">
        <f t="shared" si="274"/>
        <v>43F</v>
      </c>
      <c r="W1133" s="2" t="str">
        <f t="shared" si="275"/>
        <v>X</v>
      </c>
      <c r="X1133" s="2" t="str">
        <f t="shared" si="278"/>
        <v>X</v>
      </c>
      <c r="Y1133" s="2" t="str">
        <f t="shared" si="276"/>
        <v>X</v>
      </c>
      <c r="Z1133" s="2" t="str">
        <f t="shared" si="277"/>
        <v>X</v>
      </c>
      <c r="AA1133" s="2" t="str">
        <f t="shared" si="280"/>
        <v>(31 downto 24)</v>
      </c>
      <c r="AB1133" s="2" t="str">
        <f t="shared" si="281"/>
        <v>(23 downto 16)</v>
      </c>
      <c r="AC1133" s="2" t="str">
        <f t="shared" si="282"/>
        <v>(15 downto 8)</v>
      </c>
      <c r="AD1133" s="2" t="str">
        <f t="shared" si="283"/>
        <v>(7 downto 0)</v>
      </c>
      <c r="AE1133" s="2" t="str">
        <f t="shared" si="284"/>
        <v>(31 downto 24)</v>
      </c>
      <c r="AF1133" s="2" t="str">
        <f t="shared" si="285"/>
        <v>(23 downto 16)</v>
      </c>
      <c r="AG1133" s="2" t="str">
        <f t="shared" si="286"/>
        <v>(15 downto 8)</v>
      </c>
      <c r="AH1133" s="2" t="str">
        <f t="shared" si="287"/>
        <v>(7 downto 0)</v>
      </c>
    </row>
    <row r="1134" spans="2:34" x14ac:dyDescent="0.25">
      <c r="B1134" s="2" t="s">
        <v>3217</v>
      </c>
      <c r="C1134" s="2" t="s">
        <v>141</v>
      </c>
      <c r="D1134" s="2" t="s">
        <v>0</v>
      </c>
      <c r="E1134" s="2" t="s">
        <v>130</v>
      </c>
      <c r="F1134" s="2" t="s">
        <v>3218</v>
      </c>
      <c r="G1134" s="2" t="s">
        <v>3219</v>
      </c>
      <c r="H1134" s="2" t="s">
        <v>142</v>
      </c>
      <c r="I1134" s="2" t="s">
        <v>41</v>
      </c>
      <c r="J1134" s="2">
        <v>32</v>
      </c>
      <c r="K1134" s="2" t="s">
        <v>132</v>
      </c>
      <c r="L1134" s="2" t="s">
        <v>40</v>
      </c>
      <c r="P1134" s="2" t="s">
        <v>48</v>
      </c>
      <c r="Q1134" s="2">
        <f>INDEX(Tables!$C$4:$C$28,MATCH($P1134,Tables!$B$4:$B$28,0))</f>
        <v>32</v>
      </c>
      <c r="R1134" s="2">
        <f>INDEX(Tables!$D$4:$D$28,MATCH($P1134,Tables!$B$4:$B$28,0))</f>
        <v>4</v>
      </c>
      <c r="S1134" s="2">
        <f>$S1133+$R1133+INDEX(Tables!$N$5:$Q$8,MATCH(MOD($S1133+$R1133,4),Tables!$M$5:$M$8,0),MATCH($R1134,Tables!$N$4:$Q$4,0))</f>
        <v>4352</v>
      </c>
      <c r="T1134" s="2" t="str">
        <f t="shared" si="273"/>
        <v>1100</v>
      </c>
      <c r="U1134" s="2">
        <f t="shared" si="279"/>
        <v>1088</v>
      </c>
      <c r="V1134" s="2" t="str">
        <f t="shared" si="274"/>
        <v>440</v>
      </c>
      <c r="W1134" s="2" t="str">
        <f t="shared" si="275"/>
        <v>X</v>
      </c>
      <c r="X1134" s="2" t="str">
        <f t="shared" si="278"/>
        <v>X</v>
      </c>
      <c r="Y1134" s="2" t="str">
        <f t="shared" si="276"/>
        <v>X</v>
      </c>
      <c r="Z1134" s="2" t="str">
        <f t="shared" si="277"/>
        <v>X</v>
      </c>
      <c r="AA1134" s="2" t="str">
        <f t="shared" si="280"/>
        <v>(31 downto 24)</v>
      </c>
      <c r="AB1134" s="2" t="str">
        <f t="shared" si="281"/>
        <v>(23 downto 16)</v>
      </c>
      <c r="AC1134" s="2" t="str">
        <f t="shared" si="282"/>
        <v>(15 downto 8)</v>
      </c>
      <c r="AD1134" s="2" t="str">
        <f t="shared" si="283"/>
        <v>(7 downto 0)</v>
      </c>
      <c r="AE1134" s="2" t="str">
        <f t="shared" si="284"/>
        <v>(31 downto 24)</v>
      </c>
      <c r="AF1134" s="2" t="str">
        <f t="shared" si="285"/>
        <v>(23 downto 16)</v>
      </c>
      <c r="AG1134" s="2" t="str">
        <f t="shared" si="286"/>
        <v>(15 downto 8)</v>
      </c>
      <c r="AH1134" s="2" t="str">
        <f t="shared" si="287"/>
        <v>(7 downto 0)</v>
      </c>
    </row>
    <row r="1135" spans="2:34" x14ac:dyDescent="0.25">
      <c r="B1135" s="2" t="s">
        <v>3220</v>
      </c>
      <c r="C1135" s="2" t="s">
        <v>141</v>
      </c>
      <c r="D1135" s="2" t="s">
        <v>0</v>
      </c>
      <c r="E1135" s="2" t="s">
        <v>130</v>
      </c>
      <c r="F1135" s="2" t="s">
        <v>3221</v>
      </c>
      <c r="G1135" s="2" t="s">
        <v>3222</v>
      </c>
      <c r="H1135" s="2" t="s">
        <v>142</v>
      </c>
      <c r="I1135" s="2" t="s">
        <v>41</v>
      </c>
      <c r="J1135" s="2">
        <v>32</v>
      </c>
      <c r="K1135" s="2" t="s">
        <v>132</v>
      </c>
      <c r="L1135" s="2" t="s">
        <v>40</v>
      </c>
      <c r="P1135" s="2" t="s">
        <v>48</v>
      </c>
      <c r="Q1135" s="2">
        <f>INDEX(Tables!$C$4:$C$28,MATCH($P1135,Tables!$B$4:$B$28,0))</f>
        <v>32</v>
      </c>
      <c r="R1135" s="2">
        <f>INDEX(Tables!$D$4:$D$28,MATCH($P1135,Tables!$B$4:$B$28,0))</f>
        <v>4</v>
      </c>
      <c r="S1135" s="2">
        <f>$S1134+$R1134+INDEX(Tables!$N$5:$Q$8,MATCH(MOD($S1134+$R1134,4),Tables!$M$5:$M$8,0),MATCH($R1135,Tables!$N$4:$Q$4,0))</f>
        <v>4356</v>
      </c>
      <c r="T1135" s="2" t="str">
        <f t="shared" si="273"/>
        <v>1104</v>
      </c>
      <c r="U1135" s="2">
        <f t="shared" si="279"/>
        <v>1089</v>
      </c>
      <c r="V1135" s="2" t="str">
        <f t="shared" si="274"/>
        <v>441</v>
      </c>
      <c r="W1135" s="2" t="str">
        <f t="shared" si="275"/>
        <v>X</v>
      </c>
      <c r="X1135" s="2" t="str">
        <f t="shared" si="278"/>
        <v>X</v>
      </c>
      <c r="Y1135" s="2" t="str">
        <f t="shared" si="276"/>
        <v>X</v>
      </c>
      <c r="Z1135" s="2" t="str">
        <f t="shared" si="277"/>
        <v>X</v>
      </c>
      <c r="AA1135" s="2" t="str">
        <f t="shared" si="280"/>
        <v>(31 downto 24)</v>
      </c>
      <c r="AB1135" s="2" t="str">
        <f t="shared" si="281"/>
        <v>(23 downto 16)</v>
      </c>
      <c r="AC1135" s="2" t="str">
        <f t="shared" si="282"/>
        <v>(15 downto 8)</v>
      </c>
      <c r="AD1135" s="2" t="str">
        <f t="shared" si="283"/>
        <v>(7 downto 0)</v>
      </c>
      <c r="AE1135" s="2" t="str">
        <f t="shared" si="284"/>
        <v>(31 downto 24)</v>
      </c>
      <c r="AF1135" s="2" t="str">
        <f t="shared" si="285"/>
        <v>(23 downto 16)</v>
      </c>
      <c r="AG1135" s="2" t="str">
        <f t="shared" si="286"/>
        <v>(15 downto 8)</v>
      </c>
      <c r="AH1135" s="2" t="str">
        <f t="shared" si="287"/>
        <v>(7 downto 0)</v>
      </c>
    </row>
    <row r="1136" spans="2:34" x14ac:dyDescent="0.25">
      <c r="B1136" s="2" t="s">
        <v>3223</v>
      </c>
      <c r="C1136" s="2" t="s">
        <v>141</v>
      </c>
      <c r="D1136" s="2" t="s">
        <v>0</v>
      </c>
      <c r="E1136" s="2" t="s">
        <v>130</v>
      </c>
      <c r="F1136" s="2" t="s">
        <v>3224</v>
      </c>
      <c r="G1136" s="2" t="s">
        <v>3225</v>
      </c>
      <c r="H1136" s="2" t="s">
        <v>142</v>
      </c>
      <c r="I1136" s="2" t="s">
        <v>41</v>
      </c>
      <c r="J1136" s="2">
        <v>32</v>
      </c>
      <c r="K1136" s="2" t="s">
        <v>132</v>
      </c>
      <c r="L1136" s="2" t="s">
        <v>40</v>
      </c>
      <c r="P1136" s="2" t="s">
        <v>48</v>
      </c>
      <c r="Q1136" s="2">
        <f>INDEX(Tables!$C$4:$C$28,MATCH($P1136,Tables!$B$4:$B$28,0))</f>
        <v>32</v>
      </c>
      <c r="R1136" s="2">
        <f>INDEX(Tables!$D$4:$D$28,MATCH($P1136,Tables!$B$4:$B$28,0))</f>
        <v>4</v>
      </c>
      <c r="S1136" s="2">
        <f>$S1135+$R1135+INDEX(Tables!$N$5:$Q$8,MATCH(MOD($S1135+$R1135,4),Tables!$M$5:$M$8,0),MATCH($R1136,Tables!$N$4:$Q$4,0))</f>
        <v>4360</v>
      </c>
      <c r="T1136" s="2" t="str">
        <f t="shared" si="273"/>
        <v>1108</v>
      </c>
      <c r="U1136" s="2">
        <f t="shared" si="279"/>
        <v>1090</v>
      </c>
      <c r="V1136" s="2" t="str">
        <f t="shared" si="274"/>
        <v>442</v>
      </c>
      <c r="W1136" s="2" t="str">
        <f t="shared" si="275"/>
        <v>X</v>
      </c>
      <c r="X1136" s="2" t="str">
        <f t="shared" si="278"/>
        <v>X</v>
      </c>
      <c r="Y1136" s="2" t="str">
        <f t="shared" si="276"/>
        <v>X</v>
      </c>
      <c r="Z1136" s="2" t="str">
        <f t="shared" si="277"/>
        <v>X</v>
      </c>
      <c r="AA1136" s="2" t="str">
        <f t="shared" si="280"/>
        <v>(31 downto 24)</v>
      </c>
      <c r="AB1136" s="2" t="str">
        <f t="shared" si="281"/>
        <v>(23 downto 16)</v>
      </c>
      <c r="AC1136" s="2" t="str">
        <f t="shared" si="282"/>
        <v>(15 downto 8)</v>
      </c>
      <c r="AD1136" s="2" t="str">
        <f t="shared" si="283"/>
        <v>(7 downto 0)</v>
      </c>
      <c r="AE1136" s="2" t="str">
        <f t="shared" si="284"/>
        <v>(31 downto 24)</v>
      </c>
      <c r="AF1136" s="2" t="str">
        <f t="shared" si="285"/>
        <v>(23 downto 16)</v>
      </c>
      <c r="AG1136" s="2" t="str">
        <f t="shared" si="286"/>
        <v>(15 downto 8)</v>
      </c>
      <c r="AH1136" s="2" t="str">
        <f t="shared" si="287"/>
        <v>(7 downto 0)</v>
      </c>
    </row>
    <row r="1137" spans="2:34" x14ac:dyDescent="0.25">
      <c r="B1137" s="2" t="s">
        <v>3226</v>
      </c>
      <c r="C1137" s="2" t="s">
        <v>141</v>
      </c>
      <c r="D1137" s="2" t="s">
        <v>0</v>
      </c>
      <c r="E1137" s="2" t="s">
        <v>130</v>
      </c>
      <c r="F1137" s="2" t="s">
        <v>3227</v>
      </c>
      <c r="G1137" s="2" t="s">
        <v>3228</v>
      </c>
      <c r="H1137" s="2" t="s">
        <v>142</v>
      </c>
      <c r="I1137" s="2" t="s">
        <v>41</v>
      </c>
      <c r="J1137" s="2">
        <v>32</v>
      </c>
      <c r="K1137" s="2" t="s">
        <v>132</v>
      </c>
      <c r="L1137" s="2" t="s">
        <v>40</v>
      </c>
      <c r="P1137" s="2" t="s">
        <v>48</v>
      </c>
      <c r="Q1137" s="2">
        <f>INDEX(Tables!$C$4:$C$28,MATCH($P1137,Tables!$B$4:$B$28,0))</f>
        <v>32</v>
      </c>
      <c r="R1137" s="2">
        <f>INDEX(Tables!$D$4:$D$28,MATCH($P1137,Tables!$B$4:$B$28,0))</f>
        <v>4</v>
      </c>
      <c r="S1137" s="2">
        <f>$S1136+$R1136+INDEX(Tables!$N$5:$Q$8,MATCH(MOD($S1136+$R1136,4),Tables!$M$5:$M$8,0),MATCH($R1137,Tables!$N$4:$Q$4,0))</f>
        <v>4364</v>
      </c>
      <c r="T1137" s="2" t="str">
        <f t="shared" si="273"/>
        <v>110C</v>
      </c>
      <c r="U1137" s="2">
        <f t="shared" si="279"/>
        <v>1091</v>
      </c>
      <c r="V1137" s="2" t="str">
        <f t="shared" si="274"/>
        <v>443</v>
      </c>
      <c r="W1137" s="2" t="str">
        <f t="shared" si="275"/>
        <v>X</v>
      </c>
      <c r="X1137" s="2" t="str">
        <f t="shared" si="278"/>
        <v>X</v>
      </c>
      <c r="Y1137" s="2" t="str">
        <f t="shared" si="276"/>
        <v>X</v>
      </c>
      <c r="Z1137" s="2" t="str">
        <f t="shared" si="277"/>
        <v>X</v>
      </c>
      <c r="AA1137" s="2" t="str">
        <f t="shared" si="280"/>
        <v>(31 downto 24)</v>
      </c>
      <c r="AB1137" s="2" t="str">
        <f t="shared" si="281"/>
        <v>(23 downto 16)</v>
      </c>
      <c r="AC1137" s="2" t="str">
        <f t="shared" si="282"/>
        <v>(15 downto 8)</v>
      </c>
      <c r="AD1137" s="2" t="str">
        <f t="shared" si="283"/>
        <v>(7 downto 0)</v>
      </c>
      <c r="AE1137" s="2" t="str">
        <f t="shared" si="284"/>
        <v>(31 downto 24)</v>
      </c>
      <c r="AF1137" s="2" t="str">
        <f t="shared" si="285"/>
        <v>(23 downto 16)</v>
      </c>
      <c r="AG1137" s="2" t="str">
        <f t="shared" si="286"/>
        <v>(15 downto 8)</v>
      </c>
      <c r="AH1137" s="2" t="str">
        <f t="shared" si="287"/>
        <v>(7 downto 0)</v>
      </c>
    </row>
    <row r="1138" spans="2:34" x14ac:dyDescent="0.25">
      <c r="B1138" s="2" t="s">
        <v>3229</v>
      </c>
      <c r="C1138" s="2" t="s">
        <v>141</v>
      </c>
      <c r="D1138" s="2" t="s">
        <v>0</v>
      </c>
      <c r="E1138" s="2" t="s">
        <v>130</v>
      </c>
      <c r="F1138" s="2" t="s">
        <v>3230</v>
      </c>
      <c r="G1138" s="2" t="s">
        <v>3231</v>
      </c>
      <c r="H1138" s="2" t="s">
        <v>142</v>
      </c>
      <c r="I1138" s="2" t="s">
        <v>41</v>
      </c>
      <c r="J1138" s="2">
        <v>32</v>
      </c>
      <c r="K1138" s="2" t="s">
        <v>132</v>
      </c>
      <c r="L1138" s="2" t="s">
        <v>40</v>
      </c>
      <c r="P1138" s="2" t="s">
        <v>48</v>
      </c>
      <c r="Q1138" s="2">
        <f>INDEX(Tables!$C$4:$C$28,MATCH($P1138,Tables!$B$4:$B$28,0))</f>
        <v>32</v>
      </c>
      <c r="R1138" s="2">
        <f>INDEX(Tables!$D$4:$D$28,MATCH($P1138,Tables!$B$4:$B$28,0))</f>
        <v>4</v>
      </c>
      <c r="S1138" s="2">
        <f>$S1137+$R1137+INDEX(Tables!$N$5:$Q$8,MATCH(MOD($S1137+$R1137,4),Tables!$M$5:$M$8,0),MATCH($R1138,Tables!$N$4:$Q$4,0))</f>
        <v>4368</v>
      </c>
      <c r="T1138" s="2" t="str">
        <f t="shared" si="273"/>
        <v>1110</v>
      </c>
      <c r="U1138" s="2">
        <f t="shared" si="279"/>
        <v>1092</v>
      </c>
      <c r="V1138" s="2" t="str">
        <f t="shared" si="274"/>
        <v>444</v>
      </c>
      <c r="W1138" s="2" t="str">
        <f t="shared" si="275"/>
        <v>X</v>
      </c>
      <c r="X1138" s="2" t="str">
        <f t="shared" si="278"/>
        <v>X</v>
      </c>
      <c r="Y1138" s="2" t="str">
        <f t="shared" si="276"/>
        <v>X</v>
      </c>
      <c r="Z1138" s="2" t="str">
        <f t="shared" si="277"/>
        <v>X</v>
      </c>
      <c r="AA1138" s="2" t="str">
        <f t="shared" si="280"/>
        <v>(31 downto 24)</v>
      </c>
      <c r="AB1138" s="2" t="str">
        <f t="shared" si="281"/>
        <v>(23 downto 16)</v>
      </c>
      <c r="AC1138" s="2" t="str">
        <f t="shared" si="282"/>
        <v>(15 downto 8)</v>
      </c>
      <c r="AD1138" s="2" t="str">
        <f t="shared" si="283"/>
        <v>(7 downto 0)</v>
      </c>
      <c r="AE1138" s="2" t="str">
        <f t="shared" si="284"/>
        <v>(31 downto 24)</v>
      </c>
      <c r="AF1138" s="2" t="str">
        <f t="shared" si="285"/>
        <v>(23 downto 16)</v>
      </c>
      <c r="AG1138" s="2" t="str">
        <f t="shared" si="286"/>
        <v>(15 downto 8)</v>
      </c>
      <c r="AH1138" s="2" t="str">
        <f t="shared" si="287"/>
        <v>(7 downto 0)</v>
      </c>
    </row>
    <row r="1139" spans="2:34" x14ac:dyDescent="0.25">
      <c r="B1139" s="2" t="s">
        <v>3232</v>
      </c>
      <c r="C1139" s="2" t="s">
        <v>141</v>
      </c>
      <c r="D1139" s="2" t="s">
        <v>0</v>
      </c>
      <c r="E1139" s="2" t="s">
        <v>130</v>
      </c>
      <c r="F1139" s="2" t="s">
        <v>3233</v>
      </c>
      <c r="G1139" s="2" t="s">
        <v>3234</v>
      </c>
      <c r="H1139" s="2" t="s">
        <v>142</v>
      </c>
      <c r="I1139" s="2" t="s">
        <v>41</v>
      </c>
      <c r="J1139" s="2">
        <v>32</v>
      </c>
      <c r="K1139" s="2" t="s">
        <v>132</v>
      </c>
      <c r="L1139" s="2" t="s">
        <v>40</v>
      </c>
      <c r="P1139" s="2" t="s">
        <v>48</v>
      </c>
      <c r="Q1139" s="2">
        <f>INDEX(Tables!$C$4:$C$28,MATCH($P1139,Tables!$B$4:$B$28,0))</f>
        <v>32</v>
      </c>
      <c r="R1139" s="2">
        <f>INDEX(Tables!$D$4:$D$28,MATCH($P1139,Tables!$B$4:$B$28,0))</f>
        <v>4</v>
      </c>
      <c r="S1139" s="2">
        <f>$S1138+$R1138+INDEX(Tables!$N$5:$Q$8,MATCH(MOD($S1138+$R1138,4),Tables!$M$5:$M$8,0),MATCH($R1139,Tables!$N$4:$Q$4,0))</f>
        <v>4372</v>
      </c>
      <c r="T1139" s="2" t="str">
        <f t="shared" si="273"/>
        <v>1114</v>
      </c>
      <c r="U1139" s="2">
        <f t="shared" si="279"/>
        <v>1093</v>
      </c>
      <c r="V1139" s="2" t="str">
        <f t="shared" si="274"/>
        <v>445</v>
      </c>
      <c r="W1139" s="2" t="str">
        <f t="shared" si="275"/>
        <v>X</v>
      </c>
      <c r="X1139" s="2" t="str">
        <f t="shared" si="278"/>
        <v>X</v>
      </c>
      <c r="Y1139" s="2" t="str">
        <f t="shared" si="276"/>
        <v>X</v>
      </c>
      <c r="Z1139" s="2" t="str">
        <f t="shared" si="277"/>
        <v>X</v>
      </c>
      <c r="AA1139" s="2" t="str">
        <f t="shared" si="280"/>
        <v>(31 downto 24)</v>
      </c>
      <c r="AB1139" s="2" t="str">
        <f t="shared" si="281"/>
        <v>(23 downto 16)</v>
      </c>
      <c r="AC1139" s="2" t="str">
        <f t="shared" si="282"/>
        <v>(15 downto 8)</v>
      </c>
      <c r="AD1139" s="2" t="str">
        <f t="shared" si="283"/>
        <v>(7 downto 0)</v>
      </c>
      <c r="AE1139" s="2" t="str">
        <f t="shared" si="284"/>
        <v>(31 downto 24)</v>
      </c>
      <c r="AF1139" s="2" t="str">
        <f t="shared" si="285"/>
        <v>(23 downto 16)</v>
      </c>
      <c r="AG1139" s="2" t="str">
        <f t="shared" si="286"/>
        <v>(15 downto 8)</v>
      </c>
      <c r="AH1139" s="2" t="str">
        <f t="shared" si="287"/>
        <v>(7 downto 0)</v>
      </c>
    </row>
    <row r="1140" spans="2:34" x14ac:dyDescent="0.25">
      <c r="B1140" s="2" t="s">
        <v>3235</v>
      </c>
      <c r="C1140" s="2" t="s">
        <v>141</v>
      </c>
      <c r="D1140" s="2" t="s">
        <v>0</v>
      </c>
      <c r="E1140" s="2" t="s">
        <v>130</v>
      </c>
      <c r="F1140" s="2" t="s">
        <v>3236</v>
      </c>
      <c r="G1140" s="2" t="s">
        <v>3237</v>
      </c>
      <c r="H1140" s="2" t="s">
        <v>142</v>
      </c>
      <c r="I1140" s="2" t="s">
        <v>41</v>
      </c>
      <c r="J1140" s="2">
        <v>32</v>
      </c>
      <c r="K1140" s="2" t="s">
        <v>132</v>
      </c>
      <c r="L1140" s="2" t="s">
        <v>40</v>
      </c>
      <c r="P1140" s="2" t="s">
        <v>48</v>
      </c>
      <c r="Q1140" s="2">
        <f>INDEX(Tables!$C$4:$C$28,MATCH($P1140,Tables!$B$4:$B$28,0))</f>
        <v>32</v>
      </c>
      <c r="R1140" s="2">
        <f>INDEX(Tables!$D$4:$D$28,MATCH($P1140,Tables!$B$4:$B$28,0))</f>
        <v>4</v>
      </c>
      <c r="S1140" s="2">
        <f>$S1139+$R1139+INDEX(Tables!$N$5:$Q$8,MATCH(MOD($S1139+$R1139,4),Tables!$M$5:$M$8,0),MATCH($R1140,Tables!$N$4:$Q$4,0))</f>
        <v>4376</v>
      </c>
      <c r="T1140" s="2" t="str">
        <f t="shared" si="273"/>
        <v>1118</v>
      </c>
      <c r="U1140" s="2">
        <f t="shared" si="279"/>
        <v>1094</v>
      </c>
      <c r="V1140" s="2" t="str">
        <f t="shared" si="274"/>
        <v>446</v>
      </c>
      <c r="W1140" s="2" t="str">
        <f t="shared" si="275"/>
        <v>X</v>
      </c>
      <c r="X1140" s="2" t="str">
        <f t="shared" si="278"/>
        <v>X</v>
      </c>
      <c r="Y1140" s="2" t="str">
        <f t="shared" si="276"/>
        <v>X</v>
      </c>
      <c r="Z1140" s="2" t="str">
        <f t="shared" si="277"/>
        <v>X</v>
      </c>
      <c r="AA1140" s="2" t="str">
        <f t="shared" si="280"/>
        <v>(31 downto 24)</v>
      </c>
      <c r="AB1140" s="2" t="str">
        <f t="shared" si="281"/>
        <v>(23 downto 16)</v>
      </c>
      <c r="AC1140" s="2" t="str">
        <f t="shared" si="282"/>
        <v>(15 downto 8)</v>
      </c>
      <c r="AD1140" s="2" t="str">
        <f t="shared" si="283"/>
        <v>(7 downto 0)</v>
      </c>
      <c r="AE1140" s="2" t="str">
        <f t="shared" si="284"/>
        <v>(31 downto 24)</v>
      </c>
      <c r="AF1140" s="2" t="str">
        <f t="shared" si="285"/>
        <v>(23 downto 16)</v>
      </c>
      <c r="AG1140" s="2" t="str">
        <f t="shared" si="286"/>
        <v>(15 downto 8)</v>
      </c>
      <c r="AH1140" s="2" t="str">
        <f t="shared" si="287"/>
        <v>(7 downto 0)</v>
      </c>
    </row>
    <row r="1141" spans="2:34" x14ac:dyDescent="0.25">
      <c r="B1141" s="2" t="s">
        <v>3238</v>
      </c>
      <c r="C1141" s="2" t="s">
        <v>141</v>
      </c>
      <c r="D1141" s="2" t="s">
        <v>0</v>
      </c>
      <c r="E1141" s="2" t="s">
        <v>130</v>
      </c>
      <c r="F1141" s="2" t="s">
        <v>3239</v>
      </c>
      <c r="G1141" s="2" t="s">
        <v>3240</v>
      </c>
      <c r="H1141" s="2" t="s">
        <v>142</v>
      </c>
      <c r="I1141" s="2" t="s">
        <v>41</v>
      </c>
      <c r="J1141" s="2">
        <v>32</v>
      </c>
      <c r="K1141" s="2" t="s">
        <v>132</v>
      </c>
      <c r="L1141" s="2" t="s">
        <v>40</v>
      </c>
      <c r="P1141" s="2" t="s">
        <v>48</v>
      </c>
      <c r="Q1141" s="2">
        <f>INDEX(Tables!$C$4:$C$28,MATCH($P1141,Tables!$B$4:$B$28,0))</f>
        <v>32</v>
      </c>
      <c r="R1141" s="2">
        <f>INDEX(Tables!$D$4:$D$28,MATCH($P1141,Tables!$B$4:$B$28,0))</f>
        <v>4</v>
      </c>
      <c r="S1141" s="2">
        <f>$S1140+$R1140+INDEX(Tables!$N$5:$Q$8,MATCH(MOD($S1140+$R1140,4),Tables!$M$5:$M$8,0),MATCH($R1141,Tables!$N$4:$Q$4,0))</f>
        <v>4380</v>
      </c>
      <c r="T1141" s="2" t="str">
        <f t="shared" si="273"/>
        <v>111C</v>
      </c>
      <c r="U1141" s="2">
        <f t="shared" si="279"/>
        <v>1095</v>
      </c>
      <c r="V1141" s="2" t="str">
        <f t="shared" si="274"/>
        <v>447</v>
      </c>
      <c r="W1141" s="2" t="str">
        <f t="shared" si="275"/>
        <v>X</v>
      </c>
      <c r="X1141" s="2" t="str">
        <f t="shared" si="278"/>
        <v>X</v>
      </c>
      <c r="Y1141" s="2" t="str">
        <f t="shared" si="276"/>
        <v>X</v>
      </c>
      <c r="Z1141" s="2" t="str">
        <f t="shared" si="277"/>
        <v>X</v>
      </c>
      <c r="AA1141" s="2" t="str">
        <f t="shared" si="280"/>
        <v>(31 downto 24)</v>
      </c>
      <c r="AB1141" s="2" t="str">
        <f t="shared" si="281"/>
        <v>(23 downto 16)</v>
      </c>
      <c r="AC1141" s="2" t="str">
        <f t="shared" si="282"/>
        <v>(15 downto 8)</v>
      </c>
      <c r="AD1141" s="2" t="str">
        <f t="shared" si="283"/>
        <v>(7 downto 0)</v>
      </c>
      <c r="AE1141" s="2" t="str">
        <f t="shared" si="284"/>
        <v>(31 downto 24)</v>
      </c>
      <c r="AF1141" s="2" t="str">
        <f t="shared" si="285"/>
        <v>(23 downto 16)</v>
      </c>
      <c r="AG1141" s="2" t="str">
        <f t="shared" si="286"/>
        <v>(15 downto 8)</v>
      </c>
      <c r="AH1141" s="2" t="str">
        <f t="shared" si="287"/>
        <v>(7 downto 0)</v>
      </c>
    </row>
    <row r="1142" spans="2:34" x14ac:dyDescent="0.25">
      <c r="B1142" s="2" t="s">
        <v>3241</v>
      </c>
      <c r="C1142" s="2" t="s">
        <v>141</v>
      </c>
      <c r="D1142" s="2" t="s">
        <v>0</v>
      </c>
      <c r="E1142" s="2" t="s">
        <v>130</v>
      </c>
      <c r="F1142" s="2" t="s">
        <v>3242</v>
      </c>
      <c r="G1142" s="2" t="s">
        <v>3243</v>
      </c>
      <c r="H1142" s="2" t="s">
        <v>142</v>
      </c>
      <c r="I1142" s="2" t="s">
        <v>41</v>
      </c>
      <c r="J1142" s="2">
        <v>32</v>
      </c>
      <c r="K1142" s="2" t="s">
        <v>132</v>
      </c>
      <c r="L1142" s="2" t="s">
        <v>40</v>
      </c>
      <c r="P1142" s="2" t="s">
        <v>48</v>
      </c>
      <c r="Q1142" s="2">
        <f>INDEX(Tables!$C$4:$C$28,MATCH($P1142,Tables!$B$4:$B$28,0))</f>
        <v>32</v>
      </c>
      <c r="R1142" s="2">
        <f>INDEX(Tables!$D$4:$D$28,MATCH($P1142,Tables!$B$4:$B$28,0))</f>
        <v>4</v>
      </c>
      <c r="S1142" s="2">
        <f>$S1141+$R1141+INDEX(Tables!$N$5:$Q$8,MATCH(MOD($S1141+$R1141,4),Tables!$M$5:$M$8,0),MATCH($R1142,Tables!$N$4:$Q$4,0))</f>
        <v>4384</v>
      </c>
      <c r="T1142" s="2" t="str">
        <f t="shared" si="273"/>
        <v>1120</v>
      </c>
      <c r="U1142" s="2">
        <f t="shared" si="279"/>
        <v>1096</v>
      </c>
      <c r="V1142" s="2" t="str">
        <f t="shared" si="274"/>
        <v>448</v>
      </c>
      <c r="W1142" s="2" t="str">
        <f t="shared" si="275"/>
        <v>X</v>
      </c>
      <c r="X1142" s="2" t="str">
        <f t="shared" si="278"/>
        <v>X</v>
      </c>
      <c r="Y1142" s="2" t="str">
        <f t="shared" si="276"/>
        <v>X</v>
      </c>
      <c r="Z1142" s="2" t="str">
        <f t="shared" si="277"/>
        <v>X</v>
      </c>
      <c r="AA1142" s="2" t="str">
        <f t="shared" si="280"/>
        <v>(31 downto 24)</v>
      </c>
      <c r="AB1142" s="2" t="str">
        <f t="shared" si="281"/>
        <v>(23 downto 16)</v>
      </c>
      <c r="AC1142" s="2" t="str">
        <f t="shared" si="282"/>
        <v>(15 downto 8)</v>
      </c>
      <c r="AD1142" s="2" t="str">
        <f t="shared" si="283"/>
        <v>(7 downto 0)</v>
      </c>
      <c r="AE1142" s="2" t="str">
        <f t="shared" si="284"/>
        <v>(31 downto 24)</v>
      </c>
      <c r="AF1142" s="2" t="str">
        <f t="shared" si="285"/>
        <v>(23 downto 16)</v>
      </c>
      <c r="AG1142" s="2" t="str">
        <f t="shared" si="286"/>
        <v>(15 downto 8)</v>
      </c>
      <c r="AH1142" s="2" t="str">
        <f t="shared" si="287"/>
        <v>(7 downto 0)</v>
      </c>
    </row>
    <row r="1143" spans="2:34" x14ac:dyDescent="0.25">
      <c r="B1143" s="2" t="s">
        <v>3244</v>
      </c>
      <c r="C1143" s="2" t="s">
        <v>141</v>
      </c>
      <c r="D1143" s="2" t="s">
        <v>0</v>
      </c>
      <c r="E1143" s="2" t="s">
        <v>130</v>
      </c>
      <c r="F1143" s="2" t="s">
        <v>3245</v>
      </c>
      <c r="G1143" s="2" t="s">
        <v>3246</v>
      </c>
      <c r="H1143" s="2" t="s">
        <v>142</v>
      </c>
      <c r="I1143" s="2" t="s">
        <v>41</v>
      </c>
      <c r="J1143" s="2">
        <v>32</v>
      </c>
      <c r="K1143" s="2" t="s">
        <v>132</v>
      </c>
      <c r="L1143" s="2" t="s">
        <v>40</v>
      </c>
      <c r="P1143" s="2" t="s">
        <v>48</v>
      </c>
      <c r="Q1143" s="2">
        <f>INDEX(Tables!$C$4:$C$28,MATCH($P1143,Tables!$B$4:$B$28,0))</f>
        <v>32</v>
      </c>
      <c r="R1143" s="2">
        <f>INDEX(Tables!$D$4:$D$28,MATCH($P1143,Tables!$B$4:$B$28,0))</f>
        <v>4</v>
      </c>
      <c r="S1143" s="2">
        <f>$S1142+$R1142+INDEX(Tables!$N$5:$Q$8,MATCH(MOD($S1142+$R1142,4),Tables!$M$5:$M$8,0),MATCH($R1143,Tables!$N$4:$Q$4,0))</f>
        <v>4388</v>
      </c>
      <c r="T1143" s="2" t="str">
        <f t="shared" si="273"/>
        <v>1124</v>
      </c>
      <c r="U1143" s="2">
        <f t="shared" si="279"/>
        <v>1097</v>
      </c>
      <c r="V1143" s="2" t="str">
        <f t="shared" si="274"/>
        <v>449</v>
      </c>
      <c r="W1143" s="2" t="str">
        <f t="shared" si="275"/>
        <v>X</v>
      </c>
      <c r="X1143" s="2" t="str">
        <f t="shared" si="278"/>
        <v>X</v>
      </c>
      <c r="Y1143" s="2" t="str">
        <f t="shared" si="276"/>
        <v>X</v>
      </c>
      <c r="Z1143" s="2" t="str">
        <f t="shared" si="277"/>
        <v>X</v>
      </c>
      <c r="AA1143" s="2" t="str">
        <f t="shared" si="280"/>
        <v>(31 downto 24)</v>
      </c>
      <c r="AB1143" s="2" t="str">
        <f t="shared" si="281"/>
        <v>(23 downto 16)</v>
      </c>
      <c r="AC1143" s="2" t="str">
        <f t="shared" si="282"/>
        <v>(15 downto 8)</v>
      </c>
      <c r="AD1143" s="2" t="str">
        <f t="shared" si="283"/>
        <v>(7 downto 0)</v>
      </c>
      <c r="AE1143" s="2" t="str">
        <f t="shared" si="284"/>
        <v>(31 downto 24)</v>
      </c>
      <c r="AF1143" s="2" t="str">
        <f t="shared" si="285"/>
        <v>(23 downto 16)</v>
      </c>
      <c r="AG1143" s="2" t="str">
        <f t="shared" si="286"/>
        <v>(15 downto 8)</v>
      </c>
      <c r="AH1143" s="2" t="str">
        <f t="shared" si="287"/>
        <v>(7 downto 0)</v>
      </c>
    </row>
    <row r="1144" spans="2:34" x14ac:dyDescent="0.25">
      <c r="B1144" s="2" t="s">
        <v>3247</v>
      </c>
      <c r="C1144" s="2" t="s">
        <v>141</v>
      </c>
      <c r="D1144" s="2" t="s">
        <v>0</v>
      </c>
      <c r="E1144" s="2" t="s">
        <v>130</v>
      </c>
      <c r="F1144" s="2" t="s">
        <v>3248</v>
      </c>
      <c r="G1144" s="2" t="s">
        <v>3249</v>
      </c>
      <c r="H1144" s="2" t="s">
        <v>142</v>
      </c>
      <c r="I1144" s="2" t="s">
        <v>41</v>
      </c>
      <c r="J1144" s="2">
        <v>32</v>
      </c>
      <c r="K1144" s="2" t="s">
        <v>132</v>
      </c>
      <c r="L1144" s="2" t="s">
        <v>40</v>
      </c>
      <c r="P1144" s="2" t="s">
        <v>48</v>
      </c>
      <c r="Q1144" s="2">
        <f>INDEX(Tables!$C$4:$C$28,MATCH($P1144,Tables!$B$4:$B$28,0))</f>
        <v>32</v>
      </c>
      <c r="R1144" s="2">
        <f>INDEX(Tables!$D$4:$D$28,MATCH($P1144,Tables!$B$4:$B$28,0))</f>
        <v>4</v>
      </c>
      <c r="S1144" s="2">
        <f>$S1143+$R1143+INDEX(Tables!$N$5:$Q$8,MATCH(MOD($S1143+$R1143,4),Tables!$M$5:$M$8,0),MATCH($R1144,Tables!$N$4:$Q$4,0))</f>
        <v>4392</v>
      </c>
      <c r="T1144" s="2" t="str">
        <f t="shared" si="273"/>
        <v>1128</v>
      </c>
      <c r="U1144" s="2">
        <f t="shared" si="279"/>
        <v>1098</v>
      </c>
      <c r="V1144" s="2" t="str">
        <f t="shared" si="274"/>
        <v>44A</v>
      </c>
      <c r="W1144" s="2" t="str">
        <f t="shared" si="275"/>
        <v>X</v>
      </c>
      <c r="X1144" s="2" t="str">
        <f t="shared" si="278"/>
        <v>X</v>
      </c>
      <c r="Y1144" s="2" t="str">
        <f t="shared" si="276"/>
        <v>X</v>
      </c>
      <c r="Z1144" s="2" t="str">
        <f t="shared" si="277"/>
        <v>X</v>
      </c>
      <c r="AA1144" s="2" t="str">
        <f t="shared" si="280"/>
        <v>(31 downto 24)</v>
      </c>
      <c r="AB1144" s="2" t="str">
        <f t="shared" si="281"/>
        <v>(23 downto 16)</v>
      </c>
      <c r="AC1144" s="2" t="str">
        <f t="shared" si="282"/>
        <v>(15 downto 8)</v>
      </c>
      <c r="AD1144" s="2" t="str">
        <f t="shared" si="283"/>
        <v>(7 downto 0)</v>
      </c>
      <c r="AE1144" s="2" t="str">
        <f t="shared" si="284"/>
        <v>(31 downto 24)</v>
      </c>
      <c r="AF1144" s="2" t="str">
        <f t="shared" si="285"/>
        <v>(23 downto 16)</v>
      </c>
      <c r="AG1144" s="2" t="str">
        <f t="shared" si="286"/>
        <v>(15 downto 8)</v>
      </c>
      <c r="AH1144" s="2" t="str">
        <f t="shared" si="287"/>
        <v>(7 downto 0)</v>
      </c>
    </row>
    <row r="1145" spans="2:34" x14ac:dyDescent="0.25">
      <c r="B1145" s="2" t="s">
        <v>3250</v>
      </c>
      <c r="C1145" s="2" t="s">
        <v>141</v>
      </c>
      <c r="D1145" s="2" t="s">
        <v>0</v>
      </c>
      <c r="E1145" s="2" t="s">
        <v>130</v>
      </c>
      <c r="F1145" s="2" t="s">
        <v>3251</v>
      </c>
      <c r="G1145" s="2" t="s">
        <v>3252</v>
      </c>
      <c r="H1145" s="2" t="s">
        <v>142</v>
      </c>
      <c r="I1145" s="2" t="s">
        <v>41</v>
      </c>
      <c r="J1145" s="2">
        <v>32</v>
      </c>
      <c r="K1145" s="2" t="s">
        <v>132</v>
      </c>
      <c r="L1145" s="2" t="s">
        <v>40</v>
      </c>
      <c r="P1145" s="2" t="s">
        <v>48</v>
      </c>
      <c r="Q1145" s="2">
        <f>INDEX(Tables!$C$4:$C$28,MATCH($P1145,Tables!$B$4:$B$28,0))</f>
        <v>32</v>
      </c>
      <c r="R1145" s="2">
        <f>INDEX(Tables!$D$4:$D$28,MATCH($P1145,Tables!$B$4:$B$28,0))</f>
        <v>4</v>
      </c>
      <c r="S1145" s="2">
        <f>$S1144+$R1144+INDEX(Tables!$N$5:$Q$8,MATCH(MOD($S1144+$R1144,4),Tables!$M$5:$M$8,0),MATCH($R1145,Tables!$N$4:$Q$4,0))</f>
        <v>4396</v>
      </c>
      <c r="T1145" s="2" t="str">
        <f t="shared" si="273"/>
        <v>112C</v>
      </c>
      <c r="U1145" s="2">
        <f t="shared" si="279"/>
        <v>1099</v>
      </c>
      <c r="V1145" s="2" t="str">
        <f t="shared" si="274"/>
        <v>44B</v>
      </c>
      <c r="W1145" s="2" t="str">
        <f t="shared" si="275"/>
        <v>X</v>
      </c>
      <c r="X1145" s="2" t="str">
        <f t="shared" si="278"/>
        <v>X</v>
      </c>
      <c r="Y1145" s="2" t="str">
        <f t="shared" si="276"/>
        <v>X</v>
      </c>
      <c r="Z1145" s="2" t="str">
        <f t="shared" si="277"/>
        <v>X</v>
      </c>
      <c r="AA1145" s="2" t="str">
        <f t="shared" si="280"/>
        <v>(31 downto 24)</v>
      </c>
      <c r="AB1145" s="2" t="str">
        <f t="shared" si="281"/>
        <v>(23 downto 16)</v>
      </c>
      <c r="AC1145" s="2" t="str">
        <f t="shared" si="282"/>
        <v>(15 downto 8)</v>
      </c>
      <c r="AD1145" s="2" t="str">
        <f t="shared" si="283"/>
        <v>(7 downto 0)</v>
      </c>
      <c r="AE1145" s="2" t="str">
        <f t="shared" si="284"/>
        <v>(31 downto 24)</v>
      </c>
      <c r="AF1145" s="2" t="str">
        <f t="shared" si="285"/>
        <v>(23 downto 16)</v>
      </c>
      <c r="AG1145" s="2" t="str">
        <f t="shared" si="286"/>
        <v>(15 downto 8)</v>
      </c>
      <c r="AH1145" s="2" t="str">
        <f t="shared" si="287"/>
        <v>(7 downto 0)</v>
      </c>
    </row>
    <row r="1146" spans="2:34" x14ac:dyDescent="0.25">
      <c r="B1146" s="2" t="s">
        <v>3253</v>
      </c>
      <c r="C1146" s="2" t="s">
        <v>141</v>
      </c>
      <c r="D1146" s="2" t="s">
        <v>0</v>
      </c>
      <c r="E1146" s="2" t="s">
        <v>130</v>
      </c>
      <c r="F1146" s="2" t="s">
        <v>3254</v>
      </c>
      <c r="G1146" s="2" t="s">
        <v>3255</v>
      </c>
      <c r="H1146" s="2" t="s">
        <v>142</v>
      </c>
      <c r="I1146" s="2" t="s">
        <v>41</v>
      </c>
      <c r="J1146" s="2">
        <v>32</v>
      </c>
      <c r="K1146" s="2" t="s">
        <v>132</v>
      </c>
      <c r="L1146" s="2" t="s">
        <v>40</v>
      </c>
      <c r="P1146" s="2" t="s">
        <v>48</v>
      </c>
      <c r="Q1146" s="2">
        <f>INDEX(Tables!$C$4:$C$28,MATCH($P1146,Tables!$B$4:$B$28,0))</f>
        <v>32</v>
      </c>
      <c r="R1146" s="2">
        <f>INDEX(Tables!$D$4:$D$28,MATCH($P1146,Tables!$B$4:$B$28,0))</f>
        <v>4</v>
      </c>
      <c r="S1146" s="2">
        <f>$S1145+$R1145+INDEX(Tables!$N$5:$Q$8,MATCH(MOD($S1145+$R1145,4),Tables!$M$5:$M$8,0),MATCH($R1146,Tables!$N$4:$Q$4,0))</f>
        <v>4400</v>
      </c>
      <c r="T1146" s="2" t="str">
        <f t="shared" si="273"/>
        <v>1130</v>
      </c>
      <c r="U1146" s="2">
        <f t="shared" si="279"/>
        <v>1100</v>
      </c>
      <c r="V1146" s="2" t="str">
        <f t="shared" si="274"/>
        <v>44C</v>
      </c>
      <c r="W1146" s="2" t="str">
        <f t="shared" si="275"/>
        <v>X</v>
      </c>
      <c r="X1146" s="2" t="str">
        <f t="shared" si="278"/>
        <v>X</v>
      </c>
      <c r="Y1146" s="2" t="str">
        <f t="shared" si="276"/>
        <v>X</v>
      </c>
      <c r="Z1146" s="2" t="str">
        <f t="shared" si="277"/>
        <v>X</v>
      </c>
      <c r="AA1146" s="2" t="str">
        <f t="shared" si="280"/>
        <v>(31 downto 24)</v>
      </c>
      <c r="AB1146" s="2" t="str">
        <f t="shared" si="281"/>
        <v>(23 downto 16)</v>
      </c>
      <c r="AC1146" s="2" t="str">
        <f t="shared" si="282"/>
        <v>(15 downto 8)</v>
      </c>
      <c r="AD1146" s="2" t="str">
        <f t="shared" si="283"/>
        <v>(7 downto 0)</v>
      </c>
      <c r="AE1146" s="2" t="str">
        <f t="shared" si="284"/>
        <v>(31 downto 24)</v>
      </c>
      <c r="AF1146" s="2" t="str">
        <f t="shared" si="285"/>
        <v>(23 downto 16)</v>
      </c>
      <c r="AG1146" s="2" t="str">
        <f t="shared" si="286"/>
        <v>(15 downto 8)</v>
      </c>
      <c r="AH1146" s="2" t="str">
        <f t="shared" si="287"/>
        <v>(7 downto 0)</v>
      </c>
    </row>
    <row r="1147" spans="2:34" x14ac:dyDescent="0.25">
      <c r="B1147" s="2" t="s">
        <v>3256</v>
      </c>
      <c r="C1147" s="2" t="s">
        <v>141</v>
      </c>
      <c r="D1147" s="2" t="s">
        <v>0</v>
      </c>
      <c r="E1147" s="2" t="s">
        <v>130</v>
      </c>
      <c r="F1147" s="2" t="s">
        <v>3257</v>
      </c>
      <c r="G1147" s="2" t="s">
        <v>3258</v>
      </c>
      <c r="H1147" s="2" t="s">
        <v>142</v>
      </c>
      <c r="I1147" s="2" t="s">
        <v>41</v>
      </c>
      <c r="J1147" s="2">
        <v>32</v>
      </c>
      <c r="K1147" s="2" t="s">
        <v>132</v>
      </c>
      <c r="L1147" s="2" t="s">
        <v>40</v>
      </c>
      <c r="P1147" s="2" t="s">
        <v>48</v>
      </c>
      <c r="Q1147" s="2">
        <f>INDEX(Tables!$C$4:$C$28,MATCH($P1147,Tables!$B$4:$B$28,0))</f>
        <v>32</v>
      </c>
      <c r="R1147" s="2">
        <f>INDEX(Tables!$D$4:$D$28,MATCH($P1147,Tables!$B$4:$B$28,0))</f>
        <v>4</v>
      </c>
      <c r="S1147" s="2">
        <f>$S1146+$R1146+INDEX(Tables!$N$5:$Q$8,MATCH(MOD($S1146+$R1146,4),Tables!$M$5:$M$8,0),MATCH($R1147,Tables!$N$4:$Q$4,0))</f>
        <v>4404</v>
      </c>
      <c r="T1147" s="2" t="str">
        <f t="shared" si="273"/>
        <v>1134</v>
      </c>
      <c r="U1147" s="2">
        <f t="shared" si="279"/>
        <v>1101</v>
      </c>
      <c r="V1147" s="2" t="str">
        <f t="shared" si="274"/>
        <v>44D</v>
      </c>
      <c r="W1147" s="2" t="str">
        <f t="shared" si="275"/>
        <v>X</v>
      </c>
      <c r="X1147" s="2" t="str">
        <f t="shared" si="278"/>
        <v>X</v>
      </c>
      <c r="Y1147" s="2" t="str">
        <f t="shared" si="276"/>
        <v>X</v>
      </c>
      <c r="Z1147" s="2" t="str">
        <f t="shared" si="277"/>
        <v>X</v>
      </c>
      <c r="AA1147" s="2" t="str">
        <f t="shared" si="280"/>
        <v>(31 downto 24)</v>
      </c>
      <c r="AB1147" s="2" t="str">
        <f t="shared" si="281"/>
        <v>(23 downto 16)</v>
      </c>
      <c r="AC1147" s="2" t="str">
        <f t="shared" si="282"/>
        <v>(15 downto 8)</v>
      </c>
      <c r="AD1147" s="2" t="str">
        <f t="shared" si="283"/>
        <v>(7 downto 0)</v>
      </c>
      <c r="AE1147" s="2" t="str">
        <f t="shared" si="284"/>
        <v>(31 downto 24)</v>
      </c>
      <c r="AF1147" s="2" t="str">
        <f t="shared" si="285"/>
        <v>(23 downto 16)</v>
      </c>
      <c r="AG1147" s="2" t="str">
        <f t="shared" si="286"/>
        <v>(15 downto 8)</v>
      </c>
      <c r="AH1147" s="2" t="str">
        <f t="shared" si="287"/>
        <v>(7 downto 0)</v>
      </c>
    </row>
    <row r="1148" spans="2:34" x14ac:dyDescent="0.25">
      <c r="B1148" s="2" t="s">
        <v>3259</v>
      </c>
      <c r="C1148" s="2" t="s">
        <v>141</v>
      </c>
      <c r="D1148" s="2" t="s">
        <v>0</v>
      </c>
      <c r="E1148" s="2" t="s">
        <v>130</v>
      </c>
      <c r="F1148" s="2" t="s">
        <v>3260</v>
      </c>
      <c r="G1148" s="2" t="s">
        <v>3261</v>
      </c>
      <c r="H1148" s="2" t="s">
        <v>142</v>
      </c>
      <c r="I1148" s="2" t="s">
        <v>41</v>
      </c>
      <c r="J1148" s="2">
        <v>32</v>
      </c>
      <c r="K1148" s="2" t="s">
        <v>132</v>
      </c>
      <c r="L1148" s="2" t="s">
        <v>40</v>
      </c>
      <c r="P1148" s="2" t="s">
        <v>48</v>
      </c>
      <c r="Q1148" s="2">
        <f>INDEX(Tables!$C$4:$C$28,MATCH($P1148,Tables!$B$4:$B$28,0))</f>
        <v>32</v>
      </c>
      <c r="R1148" s="2">
        <f>INDEX(Tables!$D$4:$D$28,MATCH($P1148,Tables!$B$4:$B$28,0))</f>
        <v>4</v>
      </c>
      <c r="S1148" s="2">
        <f>$S1147+$R1147+INDEX(Tables!$N$5:$Q$8,MATCH(MOD($S1147+$R1147,4),Tables!$M$5:$M$8,0),MATCH($R1148,Tables!$N$4:$Q$4,0))</f>
        <v>4408</v>
      </c>
      <c r="T1148" s="2" t="str">
        <f t="shared" si="273"/>
        <v>1138</v>
      </c>
      <c r="U1148" s="2">
        <f t="shared" si="279"/>
        <v>1102</v>
      </c>
      <c r="V1148" s="2" t="str">
        <f t="shared" si="274"/>
        <v>44E</v>
      </c>
      <c r="W1148" s="2" t="str">
        <f t="shared" si="275"/>
        <v>X</v>
      </c>
      <c r="X1148" s="2" t="str">
        <f t="shared" si="278"/>
        <v>X</v>
      </c>
      <c r="Y1148" s="2" t="str">
        <f t="shared" si="276"/>
        <v>X</v>
      </c>
      <c r="Z1148" s="2" t="str">
        <f t="shared" si="277"/>
        <v>X</v>
      </c>
      <c r="AA1148" s="2" t="str">
        <f t="shared" si="280"/>
        <v>(31 downto 24)</v>
      </c>
      <c r="AB1148" s="2" t="str">
        <f t="shared" si="281"/>
        <v>(23 downto 16)</v>
      </c>
      <c r="AC1148" s="2" t="str">
        <f t="shared" si="282"/>
        <v>(15 downto 8)</v>
      </c>
      <c r="AD1148" s="2" t="str">
        <f t="shared" si="283"/>
        <v>(7 downto 0)</v>
      </c>
      <c r="AE1148" s="2" t="str">
        <f t="shared" si="284"/>
        <v>(31 downto 24)</v>
      </c>
      <c r="AF1148" s="2" t="str">
        <f t="shared" si="285"/>
        <v>(23 downto 16)</v>
      </c>
      <c r="AG1148" s="2" t="str">
        <f t="shared" si="286"/>
        <v>(15 downto 8)</v>
      </c>
      <c r="AH1148" s="2" t="str">
        <f t="shared" si="287"/>
        <v>(7 downto 0)</v>
      </c>
    </row>
    <row r="1149" spans="2:34" x14ac:dyDescent="0.25">
      <c r="B1149" s="2" t="s">
        <v>3262</v>
      </c>
      <c r="C1149" s="2" t="s">
        <v>141</v>
      </c>
      <c r="D1149" s="2" t="s">
        <v>0</v>
      </c>
      <c r="E1149" s="2" t="s">
        <v>130</v>
      </c>
      <c r="F1149" s="2" t="s">
        <v>3263</v>
      </c>
      <c r="G1149" s="2" t="s">
        <v>3264</v>
      </c>
      <c r="H1149" s="2" t="s">
        <v>142</v>
      </c>
      <c r="I1149" s="2" t="s">
        <v>41</v>
      </c>
      <c r="J1149" s="2">
        <v>32</v>
      </c>
      <c r="K1149" s="2" t="s">
        <v>132</v>
      </c>
      <c r="L1149" s="2" t="s">
        <v>40</v>
      </c>
      <c r="P1149" s="2" t="s">
        <v>48</v>
      </c>
      <c r="Q1149" s="2">
        <f>INDEX(Tables!$C$4:$C$28,MATCH($P1149,Tables!$B$4:$B$28,0))</f>
        <v>32</v>
      </c>
      <c r="R1149" s="2">
        <f>INDEX(Tables!$D$4:$D$28,MATCH($P1149,Tables!$B$4:$B$28,0))</f>
        <v>4</v>
      </c>
      <c r="S1149" s="2">
        <f>$S1148+$R1148+INDEX(Tables!$N$5:$Q$8,MATCH(MOD($S1148+$R1148,4),Tables!$M$5:$M$8,0),MATCH($R1149,Tables!$N$4:$Q$4,0))</f>
        <v>4412</v>
      </c>
      <c r="T1149" s="2" t="str">
        <f t="shared" si="273"/>
        <v>113C</v>
      </c>
      <c r="U1149" s="2">
        <f t="shared" si="279"/>
        <v>1103</v>
      </c>
      <c r="V1149" s="2" t="str">
        <f t="shared" si="274"/>
        <v>44F</v>
      </c>
      <c r="W1149" s="2" t="str">
        <f t="shared" si="275"/>
        <v>X</v>
      </c>
      <c r="X1149" s="2" t="str">
        <f t="shared" si="278"/>
        <v>X</v>
      </c>
      <c r="Y1149" s="2" t="str">
        <f t="shared" si="276"/>
        <v>X</v>
      </c>
      <c r="Z1149" s="2" t="str">
        <f t="shared" si="277"/>
        <v>X</v>
      </c>
      <c r="AA1149" s="2" t="str">
        <f t="shared" si="280"/>
        <v>(31 downto 24)</v>
      </c>
      <c r="AB1149" s="2" t="str">
        <f t="shared" si="281"/>
        <v>(23 downto 16)</v>
      </c>
      <c r="AC1149" s="2" t="str">
        <f t="shared" si="282"/>
        <v>(15 downto 8)</v>
      </c>
      <c r="AD1149" s="2" t="str">
        <f t="shared" si="283"/>
        <v>(7 downto 0)</v>
      </c>
      <c r="AE1149" s="2" t="str">
        <f t="shared" si="284"/>
        <v>(31 downto 24)</v>
      </c>
      <c r="AF1149" s="2" t="str">
        <f t="shared" si="285"/>
        <v>(23 downto 16)</v>
      </c>
      <c r="AG1149" s="2" t="str">
        <f t="shared" si="286"/>
        <v>(15 downto 8)</v>
      </c>
      <c r="AH1149" s="2" t="str">
        <f t="shared" si="287"/>
        <v>(7 downto 0)</v>
      </c>
    </row>
    <row r="1150" spans="2:34" x14ac:dyDescent="0.25">
      <c r="B1150" s="2" t="s">
        <v>3265</v>
      </c>
      <c r="C1150" s="2" t="s">
        <v>141</v>
      </c>
      <c r="D1150" s="2" t="s">
        <v>0</v>
      </c>
      <c r="E1150" s="2" t="s">
        <v>130</v>
      </c>
      <c r="F1150" s="2" t="s">
        <v>3266</v>
      </c>
      <c r="G1150" s="2" t="s">
        <v>3267</v>
      </c>
      <c r="H1150" s="2" t="s">
        <v>142</v>
      </c>
      <c r="I1150" s="2" t="s">
        <v>41</v>
      </c>
      <c r="J1150" s="2">
        <v>32</v>
      </c>
      <c r="K1150" s="2" t="s">
        <v>132</v>
      </c>
      <c r="L1150" s="2" t="s">
        <v>40</v>
      </c>
      <c r="P1150" s="2" t="s">
        <v>48</v>
      </c>
      <c r="Q1150" s="2">
        <f>INDEX(Tables!$C$4:$C$28,MATCH($P1150,Tables!$B$4:$B$28,0))</f>
        <v>32</v>
      </c>
      <c r="R1150" s="2">
        <f>INDEX(Tables!$D$4:$D$28,MATCH($P1150,Tables!$B$4:$B$28,0))</f>
        <v>4</v>
      </c>
      <c r="S1150" s="2">
        <f>$S1149+$R1149+INDEX(Tables!$N$5:$Q$8,MATCH(MOD($S1149+$R1149,4),Tables!$M$5:$M$8,0),MATCH($R1150,Tables!$N$4:$Q$4,0))</f>
        <v>4416</v>
      </c>
      <c r="T1150" s="2" t="str">
        <f t="shared" si="273"/>
        <v>1140</v>
      </c>
      <c r="U1150" s="2">
        <f t="shared" si="279"/>
        <v>1104</v>
      </c>
      <c r="V1150" s="2" t="str">
        <f t="shared" si="274"/>
        <v>450</v>
      </c>
      <c r="W1150" s="2" t="str">
        <f t="shared" si="275"/>
        <v>X</v>
      </c>
      <c r="X1150" s="2" t="str">
        <f t="shared" si="278"/>
        <v>X</v>
      </c>
      <c r="Y1150" s="2" t="str">
        <f t="shared" si="276"/>
        <v>X</v>
      </c>
      <c r="Z1150" s="2" t="str">
        <f t="shared" si="277"/>
        <v>X</v>
      </c>
      <c r="AA1150" s="2" t="str">
        <f t="shared" si="280"/>
        <v>(31 downto 24)</v>
      </c>
      <c r="AB1150" s="2" t="str">
        <f t="shared" si="281"/>
        <v>(23 downto 16)</v>
      </c>
      <c r="AC1150" s="2" t="str">
        <f t="shared" si="282"/>
        <v>(15 downto 8)</v>
      </c>
      <c r="AD1150" s="2" t="str">
        <f t="shared" si="283"/>
        <v>(7 downto 0)</v>
      </c>
      <c r="AE1150" s="2" t="str">
        <f t="shared" si="284"/>
        <v>(31 downto 24)</v>
      </c>
      <c r="AF1150" s="2" t="str">
        <f t="shared" si="285"/>
        <v>(23 downto 16)</v>
      </c>
      <c r="AG1150" s="2" t="str">
        <f t="shared" si="286"/>
        <v>(15 downto 8)</v>
      </c>
      <c r="AH1150" s="2" t="str">
        <f t="shared" si="287"/>
        <v>(7 downto 0)</v>
      </c>
    </row>
    <row r="1151" spans="2:34" x14ac:dyDescent="0.25">
      <c r="B1151" s="2" t="s">
        <v>3268</v>
      </c>
      <c r="C1151" s="2" t="s">
        <v>141</v>
      </c>
      <c r="D1151" s="2" t="s">
        <v>0</v>
      </c>
      <c r="E1151" s="2" t="s">
        <v>130</v>
      </c>
      <c r="F1151" s="2" t="s">
        <v>3269</v>
      </c>
      <c r="G1151" s="2" t="s">
        <v>3270</v>
      </c>
      <c r="H1151" s="2" t="s">
        <v>142</v>
      </c>
      <c r="I1151" s="2" t="s">
        <v>41</v>
      </c>
      <c r="J1151" s="2">
        <v>32</v>
      </c>
      <c r="K1151" s="2" t="s">
        <v>132</v>
      </c>
      <c r="L1151" s="2" t="s">
        <v>40</v>
      </c>
      <c r="P1151" s="2" t="s">
        <v>48</v>
      </c>
      <c r="Q1151" s="2">
        <f>INDEX(Tables!$C$4:$C$28,MATCH($P1151,Tables!$B$4:$B$28,0))</f>
        <v>32</v>
      </c>
      <c r="R1151" s="2">
        <f>INDEX(Tables!$D$4:$D$28,MATCH($P1151,Tables!$B$4:$B$28,0))</f>
        <v>4</v>
      </c>
      <c r="S1151" s="2">
        <f>$S1150+$R1150+INDEX(Tables!$N$5:$Q$8,MATCH(MOD($S1150+$R1150,4),Tables!$M$5:$M$8,0),MATCH($R1151,Tables!$N$4:$Q$4,0))</f>
        <v>4420</v>
      </c>
      <c r="T1151" s="2" t="str">
        <f t="shared" si="273"/>
        <v>1144</v>
      </c>
      <c r="U1151" s="2">
        <f t="shared" si="279"/>
        <v>1105</v>
      </c>
      <c r="V1151" s="2" t="str">
        <f t="shared" si="274"/>
        <v>451</v>
      </c>
      <c r="W1151" s="2" t="str">
        <f t="shared" si="275"/>
        <v>X</v>
      </c>
      <c r="X1151" s="2" t="str">
        <f t="shared" si="278"/>
        <v>X</v>
      </c>
      <c r="Y1151" s="2" t="str">
        <f t="shared" si="276"/>
        <v>X</v>
      </c>
      <c r="Z1151" s="2" t="str">
        <f t="shared" si="277"/>
        <v>X</v>
      </c>
      <c r="AA1151" s="2" t="str">
        <f t="shared" si="280"/>
        <v>(31 downto 24)</v>
      </c>
      <c r="AB1151" s="2" t="str">
        <f t="shared" si="281"/>
        <v>(23 downto 16)</v>
      </c>
      <c r="AC1151" s="2" t="str">
        <f t="shared" si="282"/>
        <v>(15 downto 8)</v>
      </c>
      <c r="AD1151" s="2" t="str">
        <f t="shared" si="283"/>
        <v>(7 downto 0)</v>
      </c>
      <c r="AE1151" s="2" t="str">
        <f t="shared" si="284"/>
        <v>(31 downto 24)</v>
      </c>
      <c r="AF1151" s="2" t="str">
        <f t="shared" si="285"/>
        <v>(23 downto 16)</v>
      </c>
      <c r="AG1151" s="2" t="str">
        <f t="shared" si="286"/>
        <v>(15 downto 8)</v>
      </c>
      <c r="AH1151" s="2" t="str">
        <f t="shared" si="287"/>
        <v>(7 downto 0)</v>
      </c>
    </row>
    <row r="1152" spans="2:34" x14ac:dyDescent="0.25">
      <c r="B1152" s="2" t="s">
        <v>3271</v>
      </c>
      <c r="C1152" s="2" t="s">
        <v>141</v>
      </c>
      <c r="D1152" s="2" t="s">
        <v>0</v>
      </c>
      <c r="E1152" s="2" t="s">
        <v>130</v>
      </c>
      <c r="F1152" s="2" t="s">
        <v>3272</v>
      </c>
      <c r="G1152" s="2" t="s">
        <v>3273</v>
      </c>
      <c r="H1152" s="2" t="s">
        <v>142</v>
      </c>
      <c r="I1152" s="2" t="s">
        <v>41</v>
      </c>
      <c r="J1152" s="2">
        <v>32</v>
      </c>
      <c r="K1152" s="2" t="s">
        <v>132</v>
      </c>
      <c r="L1152" s="2" t="s">
        <v>40</v>
      </c>
      <c r="P1152" s="2" t="s">
        <v>48</v>
      </c>
      <c r="Q1152" s="2">
        <f>INDEX(Tables!$C$4:$C$28,MATCH($P1152,Tables!$B$4:$B$28,0))</f>
        <v>32</v>
      </c>
      <c r="R1152" s="2">
        <f>INDEX(Tables!$D$4:$D$28,MATCH($P1152,Tables!$B$4:$B$28,0))</f>
        <v>4</v>
      </c>
      <c r="S1152" s="2">
        <f>$S1151+$R1151+INDEX(Tables!$N$5:$Q$8,MATCH(MOD($S1151+$R1151,4),Tables!$M$5:$M$8,0),MATCH($R1152,Tables!$N$4:$Q$4,0))</f>
        <v>4424</v>
      </c>
      <c r="T1152" s="2" t="str">
        <f t="shared" si="273"/>
        <v>1148</v>
      </c>
      <c r="U1152" s="2">
        <f t="shared" si="279"/>
        <v>1106</v>
      </c>
      <c r="V1152" s="2" t="str">
        <f t="shared" si="274"/>
        <v>452</v>
      </c>
      <c r="W1152" s="2" t="str">
        <f t="shared" si="275"/>
        <v>X</v>
      </c>
      <c r="X1152" s="2" t="str">
        <f t="shared" si="278"/>
        <v>X</v>
      </c>
      <c r="Y1152" s="2" t="str">
        <f t="shared" si="276"/>
        <v>X</v>
      </c>
      <c r="Z1152" s="2" t="str">
        <f t="shared" si="277"/>
        <v>X</v>
      </c>
      <c r="AA1152" s="2" t="str">
        <f t="shared" si="280"/>
        <v>(31 downto 24)</v>
      </c>
      <c r="AB1152" s="2" t="str">
        <f t="shared" si="281"/>
        <v>(23 downto 16)</v>
      </c>
      <c r="AC1152" s="2" t="str">
        <f t="shared" si="282"/>
        <v>(15 downto 8)</v>
      </c>
      <c r="AD1152" s="2" t="str">
        <f t="shared" si="283"/>
        <v>(7 downto 0)</v>
      </c>
      <c r="AE1152" s="2" t="str">
        <f t="shared" si="284"/>
        <v>(31 downto 24)</v>
      </c>
      <c r="AF1152" s="2" t="str">
        <f t="shared" si="285"/>
        <v>(23 downto 16)</v>
      </c>
      <c r="AG1152" s="2" t="str">
        <f t="shared" si="286"/>
        <v>(15 downto 8)</v>
      </c>
      <c r="AH1152" s="2" t="str">
        <f t="shared" si="287"/>
        <v>(7 downto 0)</v>
      </c>
    </row>
    <row r="1153" spans="2:34" x14ac:dyDescent="0.25">
      <c r="B1153" s="2" t="s">
        <v>3274</v>
      </c>
      <c r="C1153" s="2" t="s">
        <v>141</v>
      </c>
      <c r="D1153" s="2" t="s">
        <v>0</v>
      </c>
      <c r="E1153" s="2" t="s">
        <v>130</v>
      </c>
      <c r="F1153" s="2" t="s">
        <v>3275</v>
      </c>
      <c r="G1153" s="2" t="s">
        <v>3276</v>
      </c>
      <c r="H1153" s="2" t="s">
        <v>142</v>
      </c>
      <c r="I1153" s="2" t="s">
        <v>41</v>
      </c>
      <c r="J1153" s="2">
        <v>32</v>
      </c>
      <c r="K1153" s="2" t="s">
        <v>132</v>
      </c>
      <c r="L1153" s="2" t="s">
        <v>40</v>
      </c>
      <c r="P1153" s="2" t="s">
        <v>48</v>
      </c>
      <c r="Q1153" s="2">
        <f>INDEX(Tables!$C$4:$C$28,MATCH($P1153,Tables!$B$4:$B$28,0))</f>
        <v>32</v>
      </c>
      <c r="R1153" s="2">
        <f>INDEX(Tables!$D$4:$D$28,MATCH($P1153,Tables!$B$4:$B$28,0))</f>
        <v>4</v>
      </c>
      <c r="S1153" s="2">
        <f>$S1152+$R1152+INDEX(Tables!$N$5:$Q$8,MATCH(MOD($S1152+$R1152,4),Tables!$M$5:$M$8,0),MATCH($R1153,Tables!$N$4:$Q$4,0))</f>
        <v>4428</v>
      </c>
      <c r="T1153" s="2" t="str">
        <f t="shared" si="273"/>
        <v>114C</v>
      </c>
      <c r="U1153" s="2">
        <f t="shared" si="279"/>
        <v>1107</v>
      </c>
      <c r="V1153" s="2" t="str">
        <f t="shared" si="274"/>
        <v>453</v>
      </c>
      <c r="W1153" s="2" t="str">
        <f t="shared" si="275"/>
        <v>X</v>
      </c>
      <c r="X1153" s="2" t="str">
        <f t="shared" si="278"/>
        <v>X</v>
      </c>
      <c r="Y1153" s="2" t="str">
        <f t="shared" si="276"/>
        <v>X</v>
      </c>
      <c r="Z1153" s="2" t="str">
        <f t="shared" si="277"/>
        <v>X</v>
      </c>
      <c r="AA1153" s="2" t="str">
        <f t="shared" si="280"/>
        <v>(31 downto 24)</v>
      </c>
      <c r="AB1153" s="2" t="str">
        <f t="shared" si="281"/>
        <v>(23 downto 16)</v>
      </c>
      <c r="AC1153" s="2" t="str">
        <f t="shared" si="282"/>
        <v>(15 downto 8)</v>
      </c>
      <c r="AD1153" s="2" t="str">
        <f t="shared" si="283"/>
        <v>(7 downto 0)</v>
      </c>
      <c r="AE1153" s="2" t="str">
        <f t="shared" si="284"/>
        <v>(31 downto 24)</v>
      </c>
      <c r="AF1153" s="2" t="str">
        <f t="shared" si="285"/>
        <v>(23 downto 16)</v>
      </c>
      <c r="AG1153" s="2" t="str">
        <f t="shared" si="286"/>
        <v>(15 downto 8)</v>
      </c>
      <c r="AH1153" s="2" t="str">
        <f t="shared" si="287"/>
        <v>(7 downto 0)</v>
      </c>
    </row>
    <row r="1154" spans="2:34" x14ac:dyDescent="0.25">
      <c r="B1154" s="2" t="s">
        <v>3277</v>
      </c>
      <c r="C1154" s="2" t="s">
        <v>141</v>
      </c>
      <c r="D1154" s="2" t="s">
        <v>0</v>
      </c>
      <c r="E1154" s="2" t="s">
        <v>130</v>
      </c>
      <c r="F1154" s="2" t="s">
        <v>3278</v>
      </c>
      <c r="G1154" s="2" t="s">
        <v>3279</v>
      </c>
      <c r="H1154" s="2" t="s">
        <v>142</v>
      </c>
      <c r="I1154" s="2" t="s">
        <v>41</v>
      </c>
      <c r="J1154" s="2">
        <v>32</v>
      </c>
      <c r="K1154" s="2" t="s">
        <v>132</v>
      </c>
      <c r="L1154" s="2" t="s">
        <v>40</v>
      </c>
      <c r="P1154" s="2" t="s">
        <v>48</v>
      </c>
      <c r="Q1154" s="2">
        <f>INDEX(Tables!$C$4:$C$28,MATCH($P1154,Tables!$B$4:$B$28,0))</f>
        <v>32</v>
      </c>
      <c r="R1154" s="2">
        <f>INDEX(Tables!$D$4:$D$28,MATCH($P1154,Tables!$B$4:$B$28,0))</f>
        <v>4</v>
      </c>
      <c r="S1154" s="2">
        <f>$S1153+$R1153+INDEX(Tables!$N$5:$Q$8,MATCH(MOD($S1153+$R1153,4),Tables!$M$5:$M$8,0),MATCH($R1154,Tables!$N$4:$Q$4,0))</f>
        <v>4432</v>
      </c>
      <c r="T1154" s="2" t="str">
        <f t="shared" si="273"/>
        <v>1150</v>
      </c>
      <c r="U1154" s="2">
        <f t="shared" si="279"/>
        <v>1108</v>
      </c>
      <c r="V1154" s="2" t="str">
        <f t="shared" si="274"/>
        <v>454</v>
      </c>
      <c r="W1154" s="2" t="str">
        <f t="shared" si="275"/>
        <v>X</v>
      </c>
      <c r="X1154" s="2" t="str">
        <f t="shared" si="278"/>
        <v>X</v>
      </c>
      <c r="Y1154" s="2" t="str">
        <f t="shared" si="276"/>
        <v>X</v>
      </c>
      <c r="Z1154" s="2" t="str">
        <f t="shared" si="277"/>
        <v>X</v>
      </c>
      <c r="AA1154" s="2" t="str">
        <f t="shared" si="280"/>
        <v>(31 downto 24)</v>
      </c>
      <c r="AB1154" s="2" t="str">
        <f t="shared" si="281"/>
        <v>(23 downto 16)</v>
      </c>
      <c r="AC1154" s="2" t="str">
        <f t="shared" si="282"/>
        <v>(15 downto 8)</v>
      </c>
      <c r="AD1154" s="2" t="str">
        <f t="shared" si="283"/>
        <v>(7 downto 0)</v>
      </c>
      <c r="AE1154" s="2" t="str">
        <f t="shared" si="284"/>
        <v>(31 downto 24)</v>
      </c>
      <c r="AF1154" s="2" t="str">
        <f t="shared" si="285"/>
        <v>(23 downto 16)</v>
      </c>
      <c r="AG1154" s="2" t="str">
        <f t="shared" si="286"/>
        <v>(15 downto 8)</v>
      </c>
      <c r="AH1154" s="2" t="str">
        <f t="shared" si="287"/>
        <v>(7 downto 0)</v>
      </c>
    </row>
    <row r="1155" spans="2:34" x14ac:dyDescent="0.25">
      <c r="B1155" s="2" t="s">
        <v>3280</v>
      </c>
      <c r="C1155" s="2" t="s">
        <v>141</v>
      </c>
      <c r="D1155" s="2" t="s">
        <v>0</v>
      </c>
      <c r="E1155" s="2" t="s">
        <v>130</v>
      </c>
      <c r="F1155" s="2" t="s">
        <v>3281</v>
      </c>
      <c r="G1155" s="2" t="s">
        <v>3282</v>
      </c>
      <c r="H1155" s="2" t="s">
        <v>142</v>
      </c>
      <c r="I1155" s="2" t="s">
        <v>41</v>
      </c>
      <c r="J1155" s="2">
        <v>32</v>
      </c>
      <c r="K1155" s="2" t="s">
        <v>132</v>
      </c>
      <c r="L1155" s="2" t="s">
        <v>40</v>
      </c>
      <c r="P1155" s="2" t="s">
        <v>48</v>
      </c>
      <c r="Q1155" s="2">
        <f>INDEX(Tables!$C$4:$C$28,MATCH($P1155,Tables!$B$4:$B$28,0))</f>
        <v>32</v>
      </c>
      <c r="R1155" s="2">
        <f>INDEX(Tables!$D$4:$D$28,MATCH($P1155,Tables!$B$4:$B$28,0))</f>
        <v>4</v>
      </c>
      <c r="S1155" s="2">
        <f>$S1154+$R1154+INDEX(Tables!$N$5:$Q$8,MATCH(MOD($S1154+$R1154,4),Tables!$M$5:$M$8,0),MATCH($R1155,Tables!$N$4:$Q$4,0))</f>
        <v>4436</v>
      </c>
      <c r="T1155" s="2" t="str">
        <f t="shared" si="273"/>
        <v>1154</v>
      </c>
      <c r="U1155" s="2">
        <f t="shared" si="279"/>
        <v>1109</v>
      </c>
      <c r="V1155" s="2" t="str">
        <f t="shared" si="274"/>
        <v>455</v>
      </c>
      <c r="W1155" s="2" t="str">
        <f t="shared" si="275"/>
        <v>X</v>
      </c>
      <c r="X1155" s="2" t="str">
        <f t="shared" si="278"/>
        <v>X</v>
      </c>
      <c r="Y1155" s="2" t="str">
        <f t="shared" si="276"/>
        <v>X</v>
      </c>
      <c r="Z1155" s="2" t="str">
        <f t="shared" si="277"/>
        <v>X</v>
      </c>
      <c r="AA1155" s="2" t="str">
        <f t="shared" si="280"/>
        <v>(31 downto 24)</v>
      </c>
      <c r="AB1155" s="2" t="str">
        <f t="shared" si="281"/>
        <v>(23 downto 16)</v>
      </c>
      <c r="AC1155" s="2" t="str">
        <f t="shared" si="282"/>
        <v>(15 downto 8)</v>
      </c>
      <c r="AD1155" s="2" t="str">
        <f t="shared" si="283"/>
        <v>(7 downto 0)</v>
      </c>
      <c r="AE1155" s="2" t="str">
        <f t="shared" si="284"/>
        <v>(31 downto 24)</v>
      </c>
      <c r="AF1155" s="2" t="str">
        <f t="shared" si="285"/>
        <v>(23 downto 16)</v>
      </c>
      <c r="AG1155" s="2" t="str">
        <f t="shared" si="286"/>
        <v>(15 downto 8)</v>
      </c>
      <c r="AH1155" s="2" t="str">
        <f t="shared" si="287"/>
        <v>(7 downto 0)</v>
      </c>
    </row>
    <row r="1156" spans="2:34" x14ac:dyDescent="0.25">
      <c r="B1156" s="2" t="s">
        <v>3283</v>
      </c>
      <c r="C1156" s="2" t="s">
        <v>141</v>
      </c>
      <c r="D1156" s="2" t="s">
        <v>0</v>
      </c>
      <c r="E1156" s="2" t="s">
        <v>130</v>
      </c>
      <c r="F1156" s="2" t="s">
        <v>3284</v>
      </c>
      <c r="G1156" s="2" t="s">
        <v>3285</v>
      </c>
      <c r="H1156" s="2" t="s">
        <v>142</v>
      </c>
      <c r="I1156" s="2" t="s">
        <v>41</v>
      </c>
      <c r="J1156" s="2">
        <v>32</v>
      </c>
      <c r="K1156" s="2" t="s">
        <v>132</v>
      </c>
      <c r="L1156" s="2" t="s">
        <v>40</v>
      </c>
      <c r="P1156" s="2" t="s">
        <v>48</v>
      </c>
      <c r="Q1156" s="2">
        <f>INDEX(Tables!$C$4:$C$28,MATCH($P1156,Tables!$B$4:$B$28,0))</f>
        <v>32</v>
      </c>
      <c r="R1156" s="2">
        <f>INDEX(Tables!$D$4:$D$28,MATCH($P1156,Tables!$B$4:$B$28,0))</f>
        <v>4</v>
      </c>
      <c r="S1156" s="2">
        <f>$S1155+$R1155+INDEX(Tables!$N$5:$Q$8,MATCH(MOD($S1155+$R1155,4),Tables!$M$5:$M$8,0),MATCH($R1156,Tables!$N$4:$Q$4,0))</f>
        <v>4440</v>
      </c>
      <c r="T1156" s="2" t="str">
        <f t="shared" si="273"/>
        <v>1158</v>
      </c>
      <c r="U1156" s="2">
        <f t="shared" si="279"/>
        <v>1110</v>
      </c>
      <c r="V1156" s="2" t="str">
        <f t="shared" si="274"/>
        <v>456</v>
      </c>
      <c r="W1156" s="2" t="str">
        <f t="shared" si="275"/>
        <v>X</v>
      </c>
      <c r="X1156" s="2" t="str">
        <f t="shared" si="278"/>
        <v>X</v>
      </c>
      <c r="Y1156" s="2" t="str">
        <f t="shared" si="276"/>
        <v>X</v>
      </c>
      <c r="Z1156" s="2" t="str">
        <f t="shared" si="277"/>
        <v>X</v>
      </c>
      <c r="AA1156" s="2" t="str">
        <f t="shared" si="280"/>
        <v>(31 downto 24)</v>
      </c>
      <c r="AB1156" s="2" t="str">
        <f t="shared" si="281"/>
        <v>(23 downto 16)</v>
      </c>
      <c r="AC1156" s="2" t="str">
        <f t="shared" si="282"/>
        <v>(15 downto 8)</v>
      </c>
      <c r="AD1156" s="2" t="str">
        <f t="shared" si="283"/>
        <v>(7 downto 0)</v>
      </c>
      <c r="AE1156" s="2" t="str">
        <f t="shared" si="284"/>
        <v>(31 downto 24)</v>
      </c>
      <c r="AF1156" s="2" t="str">
        <f t="shared" si="285"/>
        <v>(23 downto 16)</v>
      </c>
      <c r="AG1156" s="2" t="str">
        <f t="shared" si="286"/>
        <v>(15 downto 8)</v>
      </c>
      <c r="AH1156" s="2" t="str">
        <f t="shared" si="287"/>
        <v>(7 downto 0)</v>
      </c>
    </row>
    <row r="1157" spans="2:34" x14ac:dyDescent="0.25">
      <c r="B1157" s="2" t="s">
        <v>3286</v>
      </c>
      <c r="C1157" s="2" t="s">
        <v>141</v>
      </c>
      <c r="D1157" s="2" t="s">
        <v>0</v>
      </c>
      <c r="E1157" s="2" t="s">
        <v>130</v>
      </c>
      <c r="F1157" s="2" t="s">
        <v>3287</v>
      </c>
      <c r="G1157" s="2" t="s">
        <v>3288</v>
      </c>
      <c r="H1157" s="2" t="s">
        <v>142</v>
      </c>
      <c r="I1157" s="2" t="s">
        <v>41</v>
      </c>
      <c r="J1157" s="2">
        <v>32</v>
      </c>
      <c r="K1157" s="2" t="s">
        <v>132</v>
      </c>
      <c r="L1157" s="2" t="s">
        <v>40</v>
      </c>
      <c r="P1157" s="2" t="s">
        <v>48</v>
      </c>
      <c r="Q1157" s="2">
        <f>INDEX(Tables!$C$4:$C$28,MATCH($P1157,Tables!$B$4:$B$28,0))</f>
        <v>32</v>
      </c>
      <c r="R1157" s="2">
        <f>INDEX(Tables!$D$4:$D$28,MATCH($P1157,Tables!$B$4:$B$28,0))</f>
        <v>4</v>
      </c>
      <c r="S1157" s="2">
        <f>$S1156+$R1156+INDEX(Tables!$N$5:$Q$8,MATCH(MOD($S1156+$R1156,4),Tables!$M$5:$M$8,0),MATCH($R1157,Tables!$N$4:$Q$4,0))</f>
        <v>4444</v>
      </c>
      <c r="T1157" s="2" t="str">
        <f t="shared" ref="T1157:T1220" si="288">DEC2HEX($S1157,4)</f>
        <v>115C</v>
      </c>
      <c r="U1157" s="2">
        <f t="shared" si="279"/>
        <v>1111</v>
      </c>
      <c r="V1157" s="2" t="str">
        <f t="shared" ref="V1157:V1220" si="289">DEC2HEX($U1157,3)</f>
        <v>457</v>
      </c>
      <c r="W1157" s="2" t="str">
        <f t="shared" ref="W1157:W1220" si="290">IF(MOD($S1157,4)=3,"X",IF(AND(MOD($S1157,4)=2,$J1157&gt;8),"X",IF(AND(MOD($S1157,4)=1,$J1157&gt;16),"X",IF(AND(MOD($S1157,4)=0,$J1157&gt;24),"X",""))))</f>
        <v>X</v>
      </c>
      <c r="X1157" s="2" t="str">
        <f t="shared" si="278"/>
        <v>X</v>
      </c>
      <c r="Y1157" s="2" t="str">
        <f t="shared" ref="Y1157:Y1220" si="291">IF(MOD($S1157,4)=1,"X",IF(AND(MOD($S1157,4)=0,$J1157&gt;8),"X",""))</f>
        <v>X</v>
      </c>
      <c r="Z1157" s="2" t="str">
        <f t="shared" ref="Z1157:Z1220" si="292">IF(MOD($S1157,4)=0,"X","")</f>
        <v>X</v>
      </c>
      <c r="AA1157" s="2" t="str">
        <f t="shared" si="280"/>
        <v>(31 downto 24)</v>
      </c>
      <c r="AB1157" s="2" t="str">
        <f t="shared" si="281"/>
        <v>(23 downto 16)</v>
      </c>
      <c r="AC1157" s="2" t="str">
        <f t="shared" si="282"/>
        <v>(15 downto 8)</v>
      </c>
      <c r="AD1157" s="2" t="str">
        <f t="shared" si="283"/>
        <v>(7 downto 0)</v>
      </c>
      <c r="AE1157" s="2" t="str">
        <f t="shared" si="284"/>
        <v>(31 downto 24)</v>
      </c>
      <c r="AF1157" s="2" t="str">
        <f t="shared" si="285"/>
        <v>(23 downto 16)</v>
      </c>
      <c r="AG1157" s="2" t="str">
        <f t="shared" si="286"/>
        <v>(15 downto 8)</v>
      </c>
      <c r="AH1157" s="2" t="str">
        <f t="shared" si="287"/>
        <v>(7 downto 0)</v>
      </c>
    </row>
    <row r="1158" spans="2:34" x14ac:dyDescent="0.25">
      <c r="B1158" s="2" t="s">
        <v>3289</v>
      </c>
      <c r="C1158" s="2" t="s">
        <v>141</v>
      </c>
      <c r="D1158" s="2" t="s">
        <v>0</v>
      </c>
      <c r="E1158" s="2" t="s">
        <v>130</v>
      </c>
      <c r="F1158" s="2" t="s">
        <v>3290</v>
      </c>
      <c r="G1158" s="2" t="s">
        <v>3291</v>
      </c>
      <c r="H1158" s="2" t="s">
        <v>142</v>
      </c>
      <c r="I1158" s="2" t="s">
        <v>41</v>
      </c>
      <c r="J1158" s="2">
        <v>32</v>
      </c>
      <c r="K1158" s="2" t="s">
        <v>132</v>
      </c>
      <c r="L1158" s="2" t="s">
        <v>40</v>
      </c>
      <c r="P1158" s="2" t="s">
        <v>48</v>
      </c>
      <c r="Q1158" s="2">
        <f>INDEX(Tables!$C$4:$C$28,MATCH($P1158,Tables!$B$4:$B$28,0))</f>
        <v>32</v>
      </c>
      <c r="R1158" s="2">
        <f>INDEX(Tables!$D$4:$D$28,MATCH($P1158,Tables!$B$4:$B$28,0))</f>
        <v>4</v>
      </c>
      <c r="S1158" s="2">
        <f>$S1157+$R1157+INDEX(Tables!$N$5:$Q$8,MATCH(MOD($S1157+$R1157,4),Tables!$M$5:$M$8,0),MATCH($R1158,Tables!$N$4:$Q$4,0))</f>
        <v>4448</v>
      </c>
      <c r="T1158" s="2" t="str">
        <f t="shared" si="288"/>
        <v>1160</v>
      </c>
      <c r="U1158" s="2">
        <f t="shared" si="279"/>
        <v>1112</v>
      </c>
      <c r="V1158" s="2" t="str">
        <f t="shared" si="289"/>
        <v>458</v>
      </c>
      <c r="W1158" s="2" t="str">
        <f t="shared" si="290"/>
        <v>X</v>
      </c>
      <c r="X1158" s="2" t="str">
        <f t="shared" ref="X1158:X1221" si="293">IF(MOD($S1158,4)=2,"X",IF(AND(MOD($S1158,4)=1,$J1158&gt;8),"X",IF(AND(MOD($S1158,4)=0,$J1158&gt;16),"X","")))</f>
        <v>X</v>
      </c>
      <c r="Y1158" s="2" t="str">
        <f t="shared" si="291"/>
        <v>X</v>
      </c>
      <c r="Z1158" s="2" t="str">
        <f t="shared" si="292"/>
        <v>X</v>
      </c>
      <c r="AA1158" s="2" t="str">
        <f t="shared" si="280"/>
        <v>(31 downto 24)</v>
      </c>
      <c r="AB1158" s="2" t="str">
        <f t="shared" si="281"/>
        <v>(23 downto 16)</v>
      </c>
      <c r="AC1158" s="2" t="str">
        <f t="shared" si="282"/>
        <v>(15 downto 8)</v>
      </c>
      <c r="AD1158" s="2" t="str">
        <f t="shared" si="283"/>
        <v>(7 downto 0)</v>
      </c>
      <c r="AE1158" s="2" t="str">
        <f t="shared" si="284"/>
        <v>(31 downto 24)</v>
      </c>
      <c r="AF1158" s="2" t="str">
        <f t="shared" si="285"/>
        <v>(23 downto 16)</v>
      </c>
      <c r="AG1158" s="2" t="str">
        <f t="shared" si="286"/>
        <v>(15 downto 8)</v>
      </c>
      <c r="AH1158" s="2" t="str">
        <f t="shared" si="287"/>
        <v>(7 downto 0)</v>
      </c>
    </row>
    <row r="1159" spans="2:34" x14ac:dyDescent="0.25">
      <c r="B1159" s="2" t="s">
        <v>3292</v>
      </c>
      <c r="C1159" s="2" t="s">
        <v>141</v>
      </c>
      <c r="D1159" s="2" t="s">
        <v>0</v>
      </c>
      <c r="E1159" s="2" t="s">
        <v>130</v>
      </c>
      <c r="F1159" s="2" t="s">
        <v>3293</v>
      </c>
      <c r="G1159" s="2" t="s">
        <v>3294</v>
      </c>
      <c r="H1159" s="2" t="s">
        <v>142</v>
      </c>
      <c r="I1159" s="2" t="s">
        <v>41</v>
      </c>
      <c r="J1159" s="2">
        <v>32</v>
      </c>
      <c r="K1159" s="2" t="s">
        <v>132</v>
      </c>
      <c r="L1159" s="2" t="s">
        <v>40</v>
      </c>
      <c r="P1159" s="2" t="s">
        <v>48</v>
      </c>
      <c r="Q1159" s="2">
        <f>INDEX(Tables!$C$4:$C$28,MATCH($P1159,Tables!$B$4:$B$28,0))</f>
        <v>32</v>
      </c>
      <c r="R1159" s="2">
        <f>INDEX(Tables!$D$4:$D$28,MATCH($P1159,Tables!$B$4:$B$28,0))</f>
        <v>4</v>
      </c>
      <c r="S1159" s="2">
        <f>$S1158+$R1158+INDEX(Tables!$N$5:$Q$8,MATCH(MOD($S1158+$R1158,4),Tables!$M$5:$M$8,0),MATCH($R1159,Tables!$N$4:$Q$4,0))</f>
        <v>4452</v>
      </c>
      <c r="T1159" s="2" t="str">
        <f t="shared" si="288"/>
        <v>1164</v>
      </c>
      <c r="U1159" s="2">
        <f t="shared" si="279"/>
        <v>1113</v>
      </c>
      <c r="V1159" s="2" t="str">
        <f t="shared" si="289"/>
        <v>459</v>
      </c>
      <c r="W1159" s="2" t="str">
        <f t="shared" si="290"/>
        <v>X</v>
      </c>
      <c r="X1159" s="2" t="str">
        <f t="shared" si="293"/>
        <v>X</v>
      </c>
      <c r="Y1159" s="2" t="str">
        <f t="shared" si="291"/>
        <v>X</v>
      </c>
      <c r="Z1159" s="2" t="str">
        <f t="shared" si="292"/>
        <v>X</v>
      </c>
      <c r="AA1159" s="2" t="str">
        <f t="shared" si="280"/>
        <v>(31 downto 24)</v>
      </c>
      <c r="AB1159" s="2" t="str">
        <f t="shared" si="281"/>
        <v>(23 downto 16)</v>
      </c>
      <c r="AC1159" s="2" t="str">
        <f t="shared" si="282"/>
        <v>(15 downto 8)</v>
      </c>
      <c r="AD1159" s="2" t="str">
        <f t="shared" si="283"/>
        <v>(7 downto 0)</v>
      </c>
      <c r="AE1159" s="2" t="str">
        <f t="shared" si="284"/>
        <v>(31 downto 24)</v>
      </c>
      <c r="AF1159" s="2" t="str">
        <f t="shared" si="285"/>
        <v>(23 downto 16)</v>
      </c>
      <c r="AG1159" s="2" t="str">
        <f t="shared" si="286"/>
        <v>(15 downto 8)</v>
      </c>
      <c r="AH1159" s="2" t="str">
        <f t="shared" si="287"/>
        <v>(7 downto 0)</v>
      </c>
    </row>
    <row r="1160" spans="2:34" x14ac:dyDescent="0.25">
      <c r="B1160" s="2" t="s">
        <v>3295</v>
      </c>
      <c r="C1160" s="2" t="s">
        <v>141</v>
      </c>
      <c r="D1160" s="2" t="s">
        <v>0</v>
      </c>
      <c r="E1160" s="2" t="s">
        <v>130</v>
      </c>
      <c r="F1160" s="2" t="s">
        <v>3296</v>
      </c>
      <c r="G1160" s="2" t="s">
        <v>3297</v>
      </c>
      <c r="H1160" s="2" t="s">
        <v>142</v>
      </c>
      <c r="I1160" s="2" t="s">
        <v>41</v>
      </c>
      <c r="J1160" s="2">
        <v>32</v>
      </c>
      <c r="K1160" s="2" t="s">
        <v>132</v>
      </c>
      <c r="L1160" s="2" t="s">
        <v>40</v>
      </c>
      <c r="P1160" s="2" t="s">
        <v>48</v>
      </c>
      <c r="Q1160" s="2">
        <f>INDEX(Tables!$C$4:$C$28,MATCH($P1160,Tables!$B$4:$B$28,0))</f>
        <v>32</v>
      </c>
      <c r="R1160" s="2">
        <f>INDEX(Tables!$D$4:$D$28,MATCH($P1160,Tables!$B$4:$B$28,0))</f>
        <v>4</v>
      </c>
      <c r="S1160" s="2">
        <f>$S1159+$R1159+INDEX(Tables!$N$5:$Q$8,MATCH(MOD($S1159+$R1159,4),Tables!$M$5:$M$8,0),MATCH($R1160,Tables!$N$4:$Q$4,0))</f>
        <v>4456</v>
      </c>
      <c r="T1160" s="2" t="str">
        <f t="shared" si="288"/>
        <v>1168</v>
      </c>
      <c r="U1160" s="2">
        <f t="shared" si="279"/>
        <v>1114</v>
      </c>
      <c r="V1160" s="2" t="str">
        <f t="shared" si="289"/>
        <v>45A</v>
      </c>
      <c r="W1160" s="2" t="str">
        <f t="shared" si="290"/>
        <v>X</v>
      </c>
      <c r="X1160" s="2" t="str">
        <f t="shared" si="293"/>
        <v>X</v>
      </c>
      <c r="Y1160" s="2" t="str">
        <f t="shared" si="291"/>
        <v>X</v>
      </c>
      <c r="Z1160" s="2" t="str">
        <f t="shared" si="292"/>
        <v>X</v>
      </c>
      <c r="AA1160" s="2" t="str">
        <f t="shared" si="280"/>
        <v>(31 downto 24)</v>
      </c>
      <c r="AB1160" s="2" t="str">
        <f t="shared" si="281"/>
        <v>(23 downto 16)</v>
      </c>
      <c r="AC1160" s="2" t="str">
        <f t="shared" si="282"/>
        <v>(15 downto 8)</v>
      </c>
      <c r="AD1160" s="2" t="str">
        <f t="shared" si="283"/>
        <v>(7 downto 0)</v>
      </c>
      <c r="AE1160" s="2" t="str">
        <f t="shared" si="284"/>
        <v>(31 downto 24)</v>
      </c>
      <c r="AF1160" s="2" t="str">
        <f t="shared" si="285"/>
        <v>(23 downto 16)</v>
      </c>
      <c r="AG1160" s="2" t="str">
        <f t="shared" si="286"/>
        <v>(15 downto 8)</v>
      </c>
      <c r="AH1160" s="2" t="str">
        <f t="shared" si="287"/>
        <v>(7 downto 0)</v>
      </c>
    </row>
    <row r="1161" spans="2:34" x14ac:dyDescent="0.25">
      <c r="B1161" s="2" t="s">
        <v>3298</v>
      </c>
      <c r="C1161" s="2" t="s">
        <v>141</v>
      </c>
      <c r="D1161" s="2" t="s">
        <v>0</v>
      </c>
      <c r="E1161" s="2" t="s">
        <v>130</v>
      </c>
      <c r="F1161" s="2" t="s">
        <v>3299</v>
      </c>
      <c r="G1161" s="2" t="s">
        <v>3300</v>
      </c>
      <c r="H1161" s="2" t="s">
        <v>142</v>
      </c>
      <c r="I1161" s="2" t="s">
        <v>41</v>
      </c>
      <c r="J1161" s="2">
        <v>32</v>
      </c>
      <c r="K1161" s="2" t="s">
        <v>132</v>
      </c>
      <c r="L1161" s="2" t="s">
        <v>40</v>
      </c>
      <c r="P1161" s="2" t="s">
        <v>48</v>
      </c>
      <c r="Q1161" s="2">
        <f>INDEX(Tables!$C$4:$C$28,MATCH($P1161,Tables!$B$4:$B$28,0))</f>
        <v>32</v>
      </c>
      <c r="R1161" s="2">
        <f>INDEX(Tables!$D$4:$D$28,MATCH($P1161,Tables!$B$4:$B$28,0))</f>
        <v>4</v>
      </c>
      <c r="S1161" s="2">
        <f>$S1160+$R1160+INDEX(Tables!$N$5:$Q$8,MATCH(MOD($S1160+$R1160,4),Tables!$M$5:$M$8,0),MATCH($R1161,Tables!$N$4:$Q$4,0))</f>
        <v>4460</v>
      </c>
      <c r="T1161" s="2" t="str">
        <f t="shared" si="288"/>
        <v>116C</v>
      </c>
      <c r="U1161" s="2">
        <f t="shared" ref="U1161:U1224" si="294">ROUNDDOWN(S1161/4,0)</f>
        <v>1115</v>
      </c>
      <c r="V1161" s="2" t="str">
        <f t="shared" si="289"/>
        <v>45B</v>
      </c>
      <c r="W1161" s="2" t="str">
        <f t="shared" si="290"/>
        <v>X</v>
      </c>
      <c r="X1161" s="2" t="str">
        <f t="shared" si="293"/>
        <v>X</v>
      </c>
      <c r="Y1161" s="2" t="str">
        <f t="shared" si="291"/>
        <v>X</v>
      </c>
      <c r="Z1161" s="2" t="str">
        <f t="shared" si="292"/>
        <v>X</v>
      </c>
      <c r="AA1161" s="2" t="str">
        <f t="shared" ref="AA1161:AA1224" si="295">IF(W1161="","",CONCATENATE("(",IF(($J1161-COUNTIF($X1161:$Z1161,"X")*8)=1,"24)",CONCATENATE(IF(($J1161-COUNTIF($X1161:$Z1161,"X")*8)&gt;=8,32,($J1161-COUNTIF($X1161:$Z1161,"X")*8)+24)-1," downto 24)"))))</f>
        <v>(31 downto 24)</v>
      </c>
      <c r="AB1161" s="2" t="str">
        <f t="shared" ref="AB1161:AB1224" si="296">IF(X1161="","",CONCATENATE("(",IF(($J1161-COUNTIF($Y1161:$Z1161,"X")*8)=1,"16)",CONCATENATE(IF(($J1161-COUNTIF($Y1161:$Z1161,"X")*8)&gt;=8,24,($J1161-COUNTIF($Y1161:$Z1161,"X")*8)+16)-1," downto 16)"))))</f>
        <v>(23 downto 16)</v>
      </c>
      <c r="AC1161" s="2" t="str">
        <f t="shared" ref="AC1161:AC1224" si="297">IF(Y1161="","",CONCATENATE("(",IF(($J1161-COUNTIF($Z1161,"X")*8)=1,"8)",CONCATENATE(IF(($J1161-COUNTIF($Z1161,"X")*8)&gt;=8,16,($J1161-COUNTIF($Z1161,"X")*8)+8)-1," downto 8)"))))</f>
        <v>(15 downto 8)</v>
      </c>
      <c r="AD1161" s="2" t="str">
        <f t="shared" ref="AD1161:AD1224" si="298">IF(Z1161="","",CONCATENATE("(",IF($J1161=1,"0)",CONCATENATE(IF($J1161&gt;=8,8,$J1161)-1," downto 0)"))))</f>
        <v>(7 downto 0)</v>
      </c>
      <c r="AE1161" s="2" t="str">
        <f t="shared" ref="AE1161:AE1224" si="299">IF(W1161="","",IF($J1161&lt;=8,"",IF(($J1161-COUNTIF($X1161:$Z1161,"X")*8)=1,CONCATENATE("(",($J1161-1),")"),CONCATENATE("(",IF(($J1161-COUNTIF($X1161:$Z1161,"X")*8)&gt;=8,COUNTIF($X1161:$Z1161,"X")*8+7,$J1161-COUNTIF($X1161:$Z1161,"X")*8-1+COUNTIF($X1161:$Z1161,"X")*8)," downto ",COUNTIF($X1161:$Z1161,"X")*8,")"))))</f>
        <v>(31 downto 24)</v>
      </c>
      <c r="AF1161" s="2" t="str">
        <f t="shared" ref="AF1161:AF1224" si="300">IF(X1161="","",IF($J1161&lt;=8,"",IF(($J1161-COUNTIF($Y1161:$Z1161,"X")*8)=1,CONCATENATE("(",($J1161-1),")"),CONCATENATE("(",IF(($J1161-COUNTIF($Y1161:$Z1161,"X")*8)&gt;=8,COUNTIF($Y1161:$Z1161,"X")*8+7,$J1161-COUNTIF($Y1161:$Z1161,"X")*8-1+COUNTIF($Y1161:$Z1161,"X")*8)," downto ",COUNTIF($Y1161:$Z1161,"X")*8,")"))))</f>
        <v>(23 downto 16)</v>
      </c>
      <c r="AG1161" s="2" t="str">
        <f t="shared" ref="AG1161:AG1224" si="301">IF(Y1161="","",IF($J1161&lt;=8,"",IF(($J1161-COUNTIF($Z1161,"X")*8)=1,CONCATENATE("(",($J1161-1),")"),CONCATENATE("(",IF(($J1161-COUNTIF($Z1161,"X")*8)&gt;=8,COUNTIF($Z1161,"X")*8+7,$J1161-COUNTIF($Z1161,"X")*8-1+COUNTIF($Z1161,"X")*8)," downto ",COUNTIF($Z1161,"X")*8,")"))))</f>
        <v>(15 downto 8)</v>
      </c>
      <c r="AH1161" s="2" t="str">
        <f t="shared" ref="AH1161:AH1224" si="302">IF(Z1161="","",IF($J1161&lt;=8,"",CONCATENATE("(",IF($J1161&gt;=8,7,$J1161-1)," downto ",0,")")))</f>
        <v>(7 downto 0)</v>
      </c>
    </row>
    <row r="1162" spans="2:34" x14ac:dyDescent="0.25">
      <c r="B1162" s="2" t="s">
        <v>3301</v>
      </c>
      <c r="C1162" s="2" t="s">
        <v>141</v>
      </c>
      <c r="D1162" s="2" t="s">
        <v>0</v>
      </c>
      <c r="E1162" s="2" t="s">
        <v>130</v>
      </c>
      <c r="F1162" s="2" t="s">
        <v>3302</v>
      </c>
      <c r="G1162" s="2" t="s">
        <v>3303</v>
      </c>
      <c r="H1162" s="2" t="s">
        <v>142</v>
      </c>
      <c r="I1162" s="2" t="s">
        <v>41</v>
      </c>
      <c r="J1162" s="2">
        <v>32</v>
      </c>
      <c r="K1162" s="2" t="s">
        <v>132</v>
      </c>
      <c r="L1162" s="2" t="s">
        <v>40</v>
      </c>
      <c r="P1162" s="2" t="s">
        <v>48</v>
      </c>
      <c r="Q1162" s="2">
        <f>INDEX(Tables!$C$4:$C$28,MATCH($P1162,Tables!$B$4:$B$28,0))</f>
        <v>32</v>
      </c>
      <c r="R1162" s="2">
        <f>INDEX(Tables!$D$4:$D$28,MATCH($P1162,Tables!$B$4:$B$28,0))</f>
        <v>4</v>
      </c>
      <c r="S1162" s="2">
        <f>$S1161+$R1161+INDEX(Tables!$N$5:$Q$8,MATCH(MOD($S1161+$R1161,4),Tables!$M$5:$M$8,0),MATCH($R1162,Tables!$N$4:$Q$4,0))</f>
        <v>4464</v>
      </c>
      <c r="T1162" s="2" t="str">
        <f t="shared" si="288"/>
        <v>1170</v>
      </c>
      <c r="U1162" s="2">
        <f t="shared" si="294"/>
        <v>1116</v>
      </c>
      <c r="V1162" s="2" t="str">
        <f t="shared" si="289"/>
        <v>45C</v>
      </c>
      <c r="W1162" s="2" t="str">
        <f t="shared" si="290"/>
        <v>X</v>
      </c>
      <c r="X1162" s="2" t="str">
        <f t="shared" si="293"/>
        <v>X</v>
      </c>
      <c r="Y1162" s="2" t="str">
        <f t="shared" si="291"/>
        <v>X</v>
      </c>
      <c r="Z1162" s="2" t="str">
        <f t="shared" si="292"/>
        <v>X</v>
      </c>
      <c r="AA1162" s="2" t="str">
        <f t="shared" si="295"/>
        <v>(31 downto 24)</v>
      </c>
      <c r="AB1162" s="2" t="str">
        <f t="shared" si="296"/>
        <v>(23 downto 16)</v>
      </c>
      <c r="AC1162" s="2" t="str">
        <f t="shared" si="297"/>
        <v>(15 downto 8)</v>
      </c>
      <c r="AD1162" s="2" t="str">
        <f t="shared" si="298"/>
        <v>(7 downto 0)</v>
      </c>
      <c r="AE1162" s="2" t="str">
        <f t="shared" si="299"/>
        <v>(31 downto 24)</v>
      </c>
      <c r="AF1162" s="2" t="str">
        <f t="shared" si="300"/>
        <v>(23 downto 16)</v>
      </c>
      <c r="AG1162" s="2" t="str">
        <f t="shared" si="301"/>
        <v>(15 downto 8)</v>
      </c>
      <c r="AH1162" s="2" t="str">
        <f t="shared" si="302"/>
        <v>(7 downto 0)</v>
      </c>
    </row>
    <row r="1163" spans="2:34" x14ac:dyDescent="0.25">
      <c r="B1163" s="2" t="s">
        <v>3304</v>
      </c>
      <c r="C1163" s="2" t="s">
        <v>141</v>
      </c>
      <c r="D1163" s="2" t="s">
        <v>0</v>
      </c>
      <c r="E1163" s="2" t="s">
        <v>130</v>
      </c>
      <c r="F1163" s="2" t="s">
        <v>3305</v>
      </c>
      <c r="G1163" s="2" t="s">
        <v>3306</v>
      </c>
      <c r="H1163" s="2" t="s">
        <v>142</v>
      </c>
      <c r="I1163" s="2" t="s">
        <v>41</v>
      </c>
      <c r="J1163" s="2">
        <v>32</v>
      </c>
      <c r="K1163" s="2" t="s">
        <v>132</v>
      </c>
      <c r="L1163" s="2" t="s">
        <v>40</v>
      </c>
      <c r="P1163" s="2" t="s">
        <v>48</v>
      </c>
      <c r="Q1163" s="2">
        <f>INDEX(Tables!$C$4:$C$28,MATCH($P1163,Tables!$B$4:$B$28,0))</f>
        <v>32</v>
      </c>
      <c r="R1163" s="2">
        <f>INDEX(Tables!$D$4:$D$28,MATCH($P1163,Tables!$B$4:$B$28,0))</f>
        <v>4</v>
      </c>
      <c r="S1163" s="2">
        <f>$S1162+$R1162+INDEX(Tables!$N$5:$Q$8,MATCH(MOD($S1162+$R1162,4),Tables!$M$5:$M$8,0),MATCH($R1163,Tables!$N$4:$Q$4,0))</f>
        <v>4468</v>
      </c>
      <c r="T1163" s="2" t="str">
        <f t="shared" si="288"/>
        <v>1174</v>
      </c>
      <c r="U1163" s="2">
        <f t="shared" si="294"/>
        <v>1117</v>
      </c>
      <c r="V1163" s="2" t="str">
        <f t="shared" si="289"/>
        <v>45D</v>
      </c>
      <c r="W1163" s="2" t="str">
        <f t="shared" si="290"/>
        <v>X</v>
      </c>
      <c r="X1163" s="2" t="str">
        <f t="shared" si="293"/>
        <v>X</v>
      </c>
      <c r="Y1163" s="2" t="str">
        <f t="shared" si="291"/>
        <v>X</v>
      </c>
      <c r="Z1163" s="2" t="str">
        <f t="shared" si="292"/>
        <v>X</v>
      </c>
      <c r="AA1163" s="2" t="str">
        <f t="shared" si="295"/>
        <v>(31 downto 24)</v>
      </c>
      <c r="AB1163" s="2" t="str">
        <f t="shared" si="296"/>
        <v>(23 downto 16)</v>
      </c>
      <c r="AC1163" s="2" t="str">
        <f t="shared" si="297"/>
        <v>(15 downto 8)</v>
      </c>
      <c r="AD1163" s="2" t="str">
        <f t="shared" si="298"/>
        <v>(7 downto 0)</v>
      </c>
      <c r="AE1163" s="2" t="str">
        <f t="shared" si="299"/>
        <v>(31 downto 24)</v>
      </c>
      <c r="AF1163" s="2" t="str">
        <f t="shared" si="300"/>
        <v>(23 downto 16)</v>
      </c>
      <c r="AG1163" s="2" t="str">
        <f t="shared" si="301"/>
        <v>(15 downto 8)</v>
      </c>
      <c r="AH1163" s="2" t="str">
        <f t="shared" si="302"/>
        <v>(7 downto 0)</v>
      </c>
    </row>
    <row r="1164" spans="2:34" x14ac:dyDescent="0.25">
      <c r="B1164" s="2" t="s">
        <v>3307</v>
      </c>
      <c r="C1164" s="2" t="s">
        <v>141</v>
      </c>
      <c r="D1164" s="2" t="s">
        <v>0</v>
      </c>
      <c r="E1164" s="2" t="s">
        <v>130</v>
      </c>
      <c r="F1164" s="2" t="s">
        <v>3308</v>
      </c>
      <c r="G1164" s="2" t="s">
        <v>3309</v>
      </c>
      <c r="H1164" s="2" t="s">
        <v>142</v>
      </c>
      <c r="I1164" s="2" t="s">
        <v>41</v>
      </c>
      <c r="J1164" s="2">
        <v>32</v>
      </c>
      <c r="K1164" s="2" t="s">
        <v>132</v>
      </c>
      <c r="L1164" s="2" t="s">
        <v>40</v>
      </c>
      <c r="P1164" s="2" t="s">
        <v>48</v>
      </c>
      <c r="Q1164" s="2">
        <f>INDEX(Tables!$C$4:$C$28,MATCH($P1164,Tables!$B$4:$B$28,0))</f>
        <v>32</v>
      </c>
      <c r="R1164" s="2">
        <f>INDEX(Tables!$D$4:$D$28,MATCH($P1164,Tables!$B$4:$B$28,0))</f>
        <v>4</v>
      </c>
      <c r="S1164" s="2">
        <f>$S1163+$R1163+INDEX(Tables!$N$5:$Q$8,MATCH(MOD($S1163+$R1163,4),Tables!$M$5:$M$8,0),MATCH($R1164,Tables!$N$4:$Q$4,0))</f>
        <v>4472</v>
      </c>
      <c r="T1164" s="2" t="str">
        <f t="shared" si="288"/>
        <v>1178</v>
      </c>
      <c r="U1164" s="2">
        <f t="shared" si="294"/>
        <v>1118</v>
      </c>
      <c r="V1164" s="2" t="str">
        <f t="shared" si="289"/>
        <v>45E</v>
      </c>
      <c r="W1164" s="2" t="str">
        <f t="shared" si="290"/>
        <v>X</v>
      </c>
      <c r="X1164" s="2" t="str">
        <f t="shared" si="293"/>
        <v>X</v>
      </c>
      <c r="Y1164" s="2" t="str">
        <f t="shared" si="291"/>
        <v>X</v>
      </c>
      <c r="Z1164" s="2" t="str">
        <f t="shared" si="292"/>
        <v>X</v>
      </c>
      <c r="AA1164" s="2" t="str">
        <f t="shared" si="295"/>
        <v>(31 downto 24)</v>
      </c>
      <c r="AB1164" s="2" t="str">
        <f t="shared" si="296"/>
        <v>(23 downto 16)</v>
      </c>
      <c r="AC1164" s="2" t="str">
        <f t="shared" si="297"/>
        <v>(15 downto 8)</v>
      </c>
      <c r="AD1164" s="2" t="str">
        <f t="shared" si="298"/>
        <v>(7 downto 0)</v>
      </c>
      <c r="AE1164" s="2" t="str">
        <f t="shared" si="299"/>
        <v>(31 downto 24)</v>
      </c>
      <c r="AF1164" s="2" t="str">
        <f t="shared" si="300"/>
        <v>(23 downto 16)</v>
      </c>
      <c r="AG1164" s="2" t="str">
        <f t="shared" si="301"/>
        <v>(15 downto 8)</v>
      </c>
      <c r="AH1164" s="2" t="str">
        <f t="shared" si="302"/>
        <v>(7 downto 0)</v>
      </c>
    </row>
    <row r="1165" spans="2:34" x14ac:dyDescent="0.25">
      <c r="B1165" s="2" t="s">
        <v>3310</v>
      </c>
      <c r="C1165" s="2" t="s">
        <v>141</v>
      </c>
      <c r="D1165" s="2" t="s">
        <v>0</v>
      </c>
      <c r="E1165" s="2" t="s">
        <v>130</v>
      </c>
      <c r="F1165" s="2" t="s">
        <v>3311</v>
      </c>
      <c r="G1165" s="2" t="s">
        <v>3312</v>
      </c>
      <c r="H1165" s="2" t="s">
        <v>142</v>
      </c>
      <c r="I1165" s="2" t="s">
        <v>41</v>
      </c>
      <c r="J1165" s="2">
        <v>32</v>
      </c>
      <c r="K1165" s="2" t="s">
        <v>132</v>
      </c>
      <c r="L1165" s="2" t="s">
        <v>40</v>
      </c>
      <c r="P1165" s="2" t="s">
        <v>48</v>
      </c>
      <c r="Q1165" s="2">
        <f>INDEX(Tables!$C$4:$C$28,MATCH($P1165,Tables!$B$4:$B$28,0))</f>
        <v>32</v>
      </c>
      <c r="R1165" s="2">
        <f>INDEX(Tables!$D$4:$D$28,MATCH($P1165,Tables!$B$4:$B$28,0))</f>
        <v>4</v>
      </c>
      <c r="S1165" s="2">
        <f>$S1164+$R1164+INDEX(Tables!$N$5:$Q$8,MATCH(MOD($S1164+$R1164,4),Tables!$M$5:$M$8,0),MATCH($R1165,Tables!$N$4:$Q$4,0))</f>
        <v>4476</v>
      </c>
      <c r="T1165" s="2" t="str">
        <f t="shared" si="288"/>
        <v>117C</v>
      </c>
      <c r="U1165" s="2">
        <f t="shared" si="294"/>
        <v>1119</v>
      </c>
      <c r="V1165" s="2" t="str">
        <f t="shared" si="289"/>
        <v>45F</v>
      </c>
      <c r="W1165" s="2" t="str">
        <f t="shared" si="290"/>
        <v>X</v>
      </c>
      <c r="X1165" s="2" t="str">
        <f t="shared" si="293"/>
        <v>X</v>
      </c>
      <c r="Y1165" s="2" t="str">
        <f t="shared" si="291"/>
        <v>X</v>
      </c>
      <c r="Z1165" s="2" t="str">
        <f t="shared" si="292"/>
        <v>X</v>
      </c>
      <c r="AA1165" s="2" t="str">
        <f t="shared" si="295"/>
        <v>(31 downto 24)</v>
      </c>
      <c r="AB1165" s="2" t="str">
        <f t="shared" si="296"/>
        <v>(23 downto 16)</v>
      </c>
      <c r="AC1165" s="2" t="str">
        <f t="shared" si="297"/>
        <v>(15 downto 8)</v>
      </c>
      <c r="AD1165" s="2" t="str">
        <f t="shared" si="298"/>
        <v>(7 downto 0)</v>
      </c>
      <c r="AE1165" s="2" t="str">
        <f t="shared" si="299"/>
        <v>(31 downto 24)</v>
      </c>
      <c r="AF1165" s="2" t="str">
        <f t="shared" si="300"/>
        <v>(23 downto 16)</v>
      </c>
      <c r="AG1165" s="2" t="str">
        <f t="shared" si="301"/>
        <v>(15 downto 8)</v>
      </c>
      <c r="AH1165" s="2" t="str">
        <f t="shared" si="302"/>
        <v>(7 downto 0)</v>
      </c>
    </row>
    <row r="1166" spans="2:34" x14ac:dyDescent="0.25">
      <c r="B1166" s="2" t="s">
        <v>3313</v>
      </c>
      <c r="C1166" s="2" t="s">
        <v>141</v>
      </c>
      <c r="D1166" s="2" t="s">
        <v>0</v>
      </c>
      <c r="E1166" s="2" t="s">
        <v>130</v>
      </c>
      <c r="F1166" s="2" t="s">
        <v>3314</v>
      </c>
      <c r="G1166" s="2" t="s">
        <v>3315</v>
      </c>
      <c r="H1166" s="2" t="s">
        <v>142</v>
      </c>
      <c r="I1166" s="2" t="s">
        <v>41</v>
      </c>
      <c r="J1166" s="2">
        <v>32</v>
      </c>
      <c r="K1166" s="2" t="s">
        <v>132</v>
      </c>
      <c r="L1166" s="2" t="s">
        <v>40</v>
      </c>
      <c r="P1166" s="2" t="s">
        <v>48</v>
      </c>
      <c r="Q1166" s="2">
        <f>INDEX(Tables!$C$4:$C$28,MATCH($P1166,Tables!$B$4:$B$28,0))</f>
        <v>32</v>
      </c>
      <c r="R1166" s="2">
        <f>INDEX(Tables!$D$4:$D$28,MATCH($P1166,Tables!$B$4:$B$28,0))</f>
        <v>4</v>
      </c>
      <c r="S1166" s="2">
        <f>$S1165+$R1165+INDEX(Tables!$N$5:$Q$8,MATCH(MOD($S1165+$R1165,4),Tables!$M$5:$M$8,0),MATCH($R1166,Tables!$N$4:$Q$4,0))</f>
        <v>4480</v>
      </c>
      <c r="T1166" s="2" t="str">
        <f t="shared" si="288"/>
        <v>1180</v>
      </c>
      <c r="U1166" s="2">
        <f t="shared" si="294"/>
        <v>1120</v>
      </c>
      <c r="V1166" s="2" t="str">
        <f t="shared" si="289"/>
        <v>460</v>
      </c>
      <c r="W1166" s="2" t="str">
        <f t="shared" si="290"/>
        <v>X</v>
      </c>
      <c r="X1166" s="2" t="str">
        <f t="shared" si="293"/>
        <v>X</v>
      </c>
      <c r="Y1166" s="2" t="str">
        <f t="shared" si="291"/>
        <v>X</v>
      </c>
      <c r="Z1166" s="2" t="str">
        <f t="shared" si="292"/>
        <v>X</v>
      </c>
      <c r="AA1166" s="2" t="str">
        <f t="shared" si="295"/>
        <v>(31 downto 24)</v>
      </c>
      <c r="AB1166" s="2" t="str">
        <f t="shared" si="296"/>
        <v>(23 downto 16)</v>
      </c>
      <c r="AC1166" s="2" t="str">
        <f t="shared" si="297"/>
        <v>(15 downto 8)</v>
      </c>
      <c r="AD1166" s="2" t="str">
        <f t="shared" si="298"/>
        <v>(7 downto 0)</v>
      </c>
      <c r="AE1166" s="2" t="str">
        <f t="shared" si="299"/>
        <v>(31 downto 24)</v>
      </c>
      <c r="AF1166" s="2" t="str">
        <f t="shared" si="300"/>
        <v>(23 downto 16)</v>
      </c>
      <c r="AG1166" s="2" t="str">
        <f t="shared" si="301"/>
        <v>(15 downto 8)</v>
      </c>
      <c r="AH1166" s="2" t="str">
        <f t="shared" si="302"/>
        <v>(7 downto 0)</v>
      </c>
    </row>
    <row r="1167" spans="2:34" x14ac:dyDescent="0.25">
      <c r="B1167" s="2" t="s">
        <v>3316</v>
      </c>
      <c r="C1167" s="2" t="s">
        <v>141</v>
      </c>
      <c r="D1167" s="2" t="s">
        <v>0</v>
      </c>
      <c r="E1167" s="2" t="s">
        <v>130</v>
      </c>
      <c r="F1167" s="2" t="s">
        <v>3317</v>
      </c>
      <c r="G1167" s="2" t="s">
        <v>3318</v>
      </c>
      <c r="H1167" s="2" t="s">
        <v>142</v>
      </c>
      <c r="I1167" s="2" t="s">
        <v>41</v>
      </c>
      <c r="J1167" s="2">
        <v>32</v>
      </c>
      <c r="K1167" s="2" t="s">
        <v>132</v>
      </c>
      <c r="L1167" s="2" t="s">
        <v>40</v>
      </c>
      <c r="P1167" s="2" t="s">
        <v>48</v>
      </c>
      <c r="Q1167" s="2">
        <f>INDEX(Tables!$C$4:$C$28,MATCH($P1167,Tables!$B$4:$B$28,0))</f>
        <v>32</v>
      </c>
      <c r="R1167" s="2">
        <f>INDEX(Tables!$D$4:$D$28,MATCH($P1167,Tables!$B$4:$B$28,0))</f>
        <v>4</v>
      </c>
      <c r="S1167" s="2">
        <f>$S1166+$R1166+INDEX(Tables!$N$5:$Q$8,MATCH(MOD($S1166+$R1166,4),Tables!$M$5:$M$8,0),MATCH($R1167,Tables!$N$4:$Q$4,0))</f>
        <v>4484</v>
      </c>
      <c r="T1167" s="2" t="str">
        <f t="shared" si="288"/>
        <v>1184</v>
      </c>
      <c r="U1167" s="2">
        <f t="shared" si="294"/>
        <v>1121</v>
      </c>
      <c r="V1167" s="2" t="str">
        <f t="shared" si="289"/>
        <v>461</v>
      </c>
      <c r="W1167" s="2" t="str">
        <f t="shared" si="290"/>
        <v>X</v>
      </c>
      <c r="X1167" s="2" t="str">
        <f t="shared" si="293"/>
        <v>X</v>
      </c>
      <c r="Y1167" s="2" t="str">
        <f t="shared" si="291"/>
        <v>X</v>
      </c>
      <c r="Z1167" s="2" t="str">
        <f t="shared" si="292"/>
        <v>X</v>
      </c>
      <c r="AA1167" s="2" t="str">
        <f t="shared" si="295"/>
        <v>(31 downto 24)</v>
      </c>
      <c r="AB1167" s="2" t="str">
        <f t="shared" si="296"/>
        <v>(23 downto 16)</v>
      </c>
      <c r="AC1167" s="2" t="str">
        <f t="shared" si="297"/>
        <v>(15 downto 8)</v>
      </c>
      <c r="AD1167" s="2" t="str">
        <f t="shared" si="298"/>
        <v>(7 downto 0)</v>
      </c>
      <c r="AE1167" s="2" t="str">
        <f t="shared" si="299"/>
        <v>(31 downto 24)</v>
      </c>
      <c r="AF1167" s="2" t="str">
        <f t="shared" si="300"/>
        <v>(23 downto 16)</v>
      </c>
      <c r="AG1167" s="2" t="str">
        <f t="shared" si="301"/>
        <v>(15 downto 8)</v>
      </c>
      <c r="AH1167" s="2" t="str">
        <f t="shared" si="302"/>
        <v>(7 downto 0)</v>
      </c>
    </row>
    <row r="1168" spans="2:34" x14ac:dyDescent="0.25">
      <c r="B1168" s="2" t="s">
        <v>3319</v>
      </c>
      <c r="C1168" s="2" t="s">
        <v>141</v>
      </c>
      <c r="D1168" s="2" t="s">
        <v>0</v>
      </c>
      <c r="E1168" s="2" t="s">
        <v>130</v>
      </c>
      <c r="F1168" s="2" t="s">
        <v>3320</v>
      </c>
      <c r="G1168" s="2" t="s">
        <v>3321</v>
      </c>
      <c r="H1168" s="2" t="s">
        <v>142</v>
      </c>
      <c r="I1168" s="2" t="s">
        <v>41</v>
      </c>
      <c r="J1168" s="2">
        <v>32</v>
      </c>
      <c r="K1168" s="2" t="s">
        <v>132</v>
      </c>
      <c r="L1168" s="2" t="s">
        <v>40</v>
      </c>
      <c r="P1168" s="2" t="s">
        <v>48</v>
      </c>
      <c r="Q1168" s="2">
        <f>INDEX(Tables!$C$4:$C$28,MATCH($P1168,Tables!$B$4:$B$28,0))</f>
        <v>32</v>
      </c>
      <c r="R1168" s="2">
        <f>INDEX(Tables!$D$4:$D$28,MATCH($P1168,Tables!$B$4:$B$28,0))</f>
        <v>4</v>
      </c>
      <c r="S1168" s="2">
        <f>$S1167+$R1167+INDEX(Tables!$N$5:$Q$8,MATCH(MOD($S1167+$R1167,4),Tables!$M$5:$M$8,0),MATCH($R1168,Tables!$N$4:$Q$4,0))</f>
        <v>4488</v>
      </c>
      <c r="T1168" s="2" t="str">
        <f t="shared" si="288"/>
        <v>1188</v>
      </c>
      <c r="U1168" s="2">
        <f t="shared" si="294"/>
        <v>1122</v>
      </c>
      <c r="V1168" s="2" t="str">
        <f t="shared" si="289"/>
        <v>462</v>
      </c>
      <c r="W1168" s="2" t="str">
        <f t="shared" si="290"/>
        <v>X</v>
      </c>
      <c r="X1168" s="2" t="str">
        <f t="shared" si="293"/>
        <v>X</v>
      </c>
      <c r="Y1168" s="2" t="str">
        <f t="shared" si="291"/>
        <v>X</v>
      </c>
      <c r="Z1168" s="2" t="str">
        <f t="shared" si="292"/>
        <v>X</v>
      </c>
      <c r="AA1168" s="2" t="str">
        <f t="shared" si="295"/>
        <v>(31 downto 24)</v>
      </c>
      <c r="AB1168" s="2" t="str">
        <f t="shared" si="296"/>
        <v>(23 downto 16)</v>
      </c>
      <c r="AC1168" s="2" t="str">
        <f t="shared" si="297"/>
        <v>(15 downto 8)</v>
      </c>
      <c r="AD1168" s="2" t="str">
        <f t="shared" si="298"/>
        <v>(7 downto 0)</v>
      </c>
      <c r="AE1168" s="2" t="str">
        <f t="shared" si="299"/>
        <v>(31 downto 24)</v>
      </c>
      <c r="AF1168" s="2" t="str">
        <f t="shared" si="300"/>
        <v>(23 downto 16)</v>
      </c>
      <c r="AG1168" s="2" t="str">
        <f t="shared" si="301"/>
        <v>(15 downto 8)</v>
      </c>
      <c r="AH1168" s="2" t="str">
        <f t="shared" si="302"/>
        <v>(7 downto 0)</v>
      </c>
    </row>
    <row r="1169" spans="2:34" x14ac:dyDescent="0.25">
      <c r="B1169" s="2" t="s">
        <v>3322</v>
      </c>
      <c r="C1169" s="2" t="s">
        <v>141</v>
      </c>
      <c r="D1169" s="2" t="s">
        <v>0</v>
      </c>
      <c r="E1169" s="2" t="s">
        <v>130</v>
      </c>
      <c r="F1169" s="2" t="s">
        <v>3323</v>
      </c>
      <c r="G1169" s="2" t="s">
        <v>3324</v>
      </c>
      <c r="H1169" s="2" t="s">
        <v>142</v>
      </c>
      <c r="I1169" s="2" t="s">
        <v>41</v>
      </c>
      <c r="J1169" s="2">
        <v>32</v>
      </c>
      <c r="K1169" s="2" t="s">
        <v>132</v>
      </c>
      <c r="L1169" s="2" t="s">
        <v>40</v>
      </c>
      <c r="P1169" s="2" t="s">
        <v>48</v>
      </c>
      <c r="Q1169" s="2">
        <f>INDEX(Tables!$C$4:$C$28,MATCH($P1169,Tables!$B$4:$B$28,0))</f>
        <v>32</v>
      </c>
      <c r="R1169" s="2">
        <f>INDEX(Tables!$D$4:$D$28,MATCH($P1169,Tables!$B$4:$B$28,0))</f>
        <v>4</v>
      </c>
      <c r="S1169" s="2">
        <f>$S1168+$R1168+INDEX(Tables!$N$5:$Q$8,MATCH(MOD($S1168+$R1168,4),Tables!$M$5:$M$8,0),MATCH($R1169,Tables!$N$4:$Q$4,0))</f>
        <v>4492</v>
      </c>
      <c r="T1169" s="2" t="str">
        <f t="shared" si="288"/>
        <v>118C</v>
      </c>
      <c r="U1169" s="2">
        <f t="shared" si="294"/>
        <v>1123</v>
      </c>
      <c r="V1169" s="2" t="str">
        <f t="shared" si="289"/>
        <v>463</v>
      </c>
      <c r="W1169" s="2" t="str">
        <f t="shared" si="290"/>
        <v>X</v>
      </c>
      <c r="X1169" s="2" t="str">
        <f t="shared" si="293"/>
        <v>X</v>
      </c>
      <c r="Y1169" s="2" t="str">
        <f t="shared" si="291"/>
        <v>X</v>
      </c>
      <c r="Z1169" s="2" t="str">
        <f t="shared" si="292"/>
        <v>X</v>
      </c>
      <c r="AA1169" s="2" t="str">
        <f t="shared" si="295"/>
        <v>(31 downto 24)</v>
      </c>
      <c r="AB1169" s="2" t="str">
        <f t="shared" si="296"/>
        <v>(23 downto 16)</v>
      </c>
      <c r="AC1169" s="2" t="str">
        <f t="shared" si="297"/>
        <v>(15 downto 8)</v>
      </c>
      <c r="AD1169" s="2" t="str">
        <f t="shared" si="298"/>
        <v>(7 downto 0)</v>
      </c>
      <c r="AE1169" s="2" t="str">
        <f t="shared" si="299"/>
        <v>(31 downto 24)</v>
      </c>
      <c r="AF1169" s="2" t="str">
        <f t="shared" si="300"/>
        <v>(23 downto 16)</v>
      </c>
      <c r="AG1169" s="2" t="str">
        <f t="shared" si="301"/>
        <v>(15 downto 8)</v>
      </c>
      <c r="AH1169" s="2" t="str">
        <f t="shared" si="302"/>
        <v>(7 downto 0)</v>
      </c>
    </row>
    <row r="1170" spans="2:34" x14ac:dyDescent="0.25">
      <c r="B1170" s="2" t="s">
        <v>3325</v>
      </c>
      <c r="C1170" s="2" t="s">
        <v>141</v>
      </c>
      <c r="D1170" s="2" t="s">
        <v>0</v>
      </c>
      <c r="E1170" s="2" t="s">
        <v>130</v>
      </c>
      <c r="F1170" s="2" t="s">
        <v>3326</v>
      </c>
      <c r="G1170" s="2" t="s">
        <v>3327</v>
      </c>
      <c r="H1170" s="2" t="s">
        <v>142</v>
      </c>
      <c r="I1170" s="2" t="s">
        <v>41</v>
      </c>
      <c r="J1170" s="2">
        <v>32</v>
      </c>
      <c r="K1170" s="2" t="s">
        <v>132</v>
      </c>
      <c r="L1170" s="2" t="s">
        <v>40</v>
      </c>
      <c r="P1170" s="2" t="s">
        <v>48</v>
      </c>
      <c r="Q1170" s="2">
        <f>INDEX(Tables!$C$4:$C$28,MATCH($P1170,Tables!$B$4:$B$28,0))</f>
        <v>32</v>
      </c>
      <c r="R1170" s="2">
        <f>INDEX(Tables!$D$4:$D$28,MATCH($P1170,Tables!$B$4:$B$28,0))</f>
        <v>4</v>
      </c>
      <c r="S1170" s="2">
        <f>$S1169+$R1169+INDEX(Tables!$N$5:$Q$8,MATCH(MOD($S1169+$R1169,4),Tables!$M$5:$M$8,0),MATCH($R1170,Tables!$N$4:$Q$4,0))</f>
        <v>4496</v>
      </c>
      <c r="T1170" s="2" t="str">
        <f t="shared" si="288"/>
        <v>1190</v>
      </c>
      <c r="U1170" s="2">
        <f t="shared" si="294"/>
        <v>1124</v>
      </c>
      <c r="V1170" s="2" t="str">
        <f t="shared" si="289"/>
        <v>464</v>
      </c>
      <c r="W1170" s="2" t="str">
        <f t="shared" si="290"/>
        <v>X</v>
      </c>
      <c r="X1170" s="2" t="str">
        <f t="shared" si="293"/>
        <v>X</v>
      </c>
      <c r="Y1170" s="2" t="str">
        <f t="shared" si="291"/>
        <v>X</v>
      </c>
      <c r="Z1170" s="2" t="str">
        <f t="shared" si="292"/>
        <v>X</v>
      </c>
      <c r="AA1170" s="2" t="str">
        <f t="shared" si="295"/>
        <v>(31 downto 24)</v>
      </c>
      <c r="AB1170" s="2" t="str">
        <f t="shared" si="296"/>
        <v>(23 downto 16)</v>
      </c>
      <c r="AC1170" s="2" t="str">
        <f t="shared" si="297"/>
        <v>(15 downto 8)</v>
      </c>
      <c r="AD1170" s="2" t="str">
        <f t="shared" si="298"/>
        <v>(7 downto 0)</v>
      </c>
      <c r="AE1170" s="2" t="str">
        <f t="shared" si="299"/>
        <v>(31 downto 24)</v>
      </c>
      <c r="AF1170" s="2" t="str">
        <f t="shared" si="300"/>
        <v>(23 downto 16)</v>
      </c>
      <c r="AG1170" s="2" t="str">
        <f t="shared" si="301"/>
        <v>(15 downto 8)</v>
      </c>
      <c r="AH1170" s="2" t="str">
        <f t="shared" si="302"/>
        <v>(7 downto 0)</v>
      </c>
    </row>
    <row r="1171" spans="2:34" x14ac:dyDescent="0.25">
      <c r="B1171" s="2" t="s">
        <v>3328</v>
      </c>
      <c r="C1171" s="2" t="s">
        <v>141</v>
      </c>
      <c r="D1171" s="2" t="s">
        <v>0</v>
      </c>
      <c r="E1171" s="2" t="s">
        <v>130</v>
      </c>
      <c r="F1171" s="2" t="s">
        <v>3329</v>
      </c>
      <c r="G1171" s="2" t="s">
        <v>3330</v>
      </c>
      <c r="H1171" s="2" t="s">
        <v>142</v>
      </c>
      <c r="I1171" s="2" t="s">
        <v>41</v>
      </c>
      <c r="J1171" s="2">
        <v>32</v>
      </c>
      <c r="K1171" s="2" t="s">
        <v>132</v>
      </c>
      <c r="L1171" s="2" t="s">
        <v>40</v>
      </c>
      <c r="P1171" s="2" t="s">
        <v>48</v>
      </c>
      <c r="Q1171" s="2">
        <f>INDEX(Tables!$C$4:$C$28,MATCH($P1171,Tables!$B$4:$B$28,0))</f>
        <v>32</v>
      </c>
      <c r="R1171" s="2">
        <f>INDEX(Tables!$D$4:$D$28,MATCH($P1171,Tables!$B$4:$B$28,0))</f>
        <v>4</v>
      </c>
      <c r="S1171" s="2">
        <f>$S1170+$R1170+INDEX(Tables!$N$5:$Q$8,MATCH(MOD($S1170+$R1170,4),Tables!$M$5:$M$8,0),MATCH($R1171,Tables!$N$4:$Q$4,0))</f>
        <v>4500</v>
      </c>
      <c r="T1171" s="2" t="str">
        <f t="shared" si="288"/>
        <v>1194</v>
      </c>
      <c r="U1171" s="2">
        <f t="shared" si="294"/>
        <v>1125</v>
      </c>
      <c r="V1171" s="2" t="str">
        <f t="shared" si="289"/>
        <v>465</v>
      </c>
      <c r="W1171" s="2" t="str">
        <f t="shared" si="290"/>
        <v>X</v>
      </c>
      <c r="X1171" s="2" t="str">
        <f t="shared" si="293"/>
        <v>X</v>
      </c>
      <c r="Y1171" s="2" t="str">
        <f t="shared" si="291"/>
        <v>X</v>
      </c>
      <c r="Z1171" s="2" t="str">
        <f t="shared" si="292"/>
        <v>X</v>
      </c>
      <c r="AA1171" s="2" t="str">
        <f t="shared" si="295"/>
        <v>(31 downto 24)</v>
      </c>
      <c r="AB1171" s="2" t="str">
        <f t="shared" si="296"/>
        <v>(23 downto 16)</v>
      </c>
      <c r="AC1171" s="2" t="str">
        <f t="shared" si="297"/>
        <v>(15 downto 8)</v>
      </c>
      <c r="AD1171" s="2" t="str">
        <f t="shared" si="298"/>
        <v>(7 downto 0)</v>
      </c>
      <c r="AE1171" s="2" t="str">
        <f t="shared" si="299"/>
        <v>(31 downto 24)</v>
      </c>
      <c r="AF1171" s="2" t="str">
        <f t="shared" si="300"/>
        <v>(23 downto 16)</v>
      </c>
      <c r="AG1171" s="2" t="str">
        <f t="shared" si="301"/>
        <v>(15 downto 8)</v>
      </c>
      <c r="AH1171" s="2" t="str">
        <f t="shared" si="302"/>
        <v>(7 downto 0)</v>
      </c>
    </row>
    <row r="1172" spans="2:34" x14ac:dyDescent="0.25">
      <c r="B1172" s="2" t="s">
        <v>3331</v>
      </c>
      <c r="C1172" s="2" t="s">
        <v>141</v>
      </c>
      <c r="D1172" s="2" t="s">
        <v>0</v>
      </c>
      <c r="E1172" s="2" t="s">
        <v>130</v>
      </c>
      <c r="F1172" s="2" t="s">
        <v>3332</v>
      </c>
      <c r="G1172" s="2" t="s">
        <v>3333</v>
      </c>
      <c r="H1172" s="2" t="s">
        <v>142</v>
      </c>
      <c r="I1172" s="2" t="s">
        <v>41</v>
      </c>
      <c r="J1172" s="2">
        <v>32</v>
      </c>
      <c r="K1172" s="2" t="s">
        <v>132</v>
      </c>
      <c r="L1172" s="2" t="s">
        <v>40</v>
      </c>
      <c r="P1172" s="2" t="s">
        <v>48</v>
      </c>
      <c r="Q1172" s="2">
        <f>INDEX(Tables!$C$4:$C$28,MATCH($P1172,Tables!$B$4:$B$28,0))</f>
        <v>32</v>
      </c>
      <c r="R1172" s="2">
        <f>INDEX(Tables!$D$4:$D$28,MATCH($P1172,Tables!$B$4:$B$28,0))</f>
        <v>4</v>
      </c>
      <c r="S1172" s="2">
        <f>$S1171+$R1171+INDEX(Tables!$N$5:$Q$8,MATCH(MOD($S1171+$R1171,4),Tables!$M$5:$M$8,0),MATCH($R1172,Tables!$N$4:$Q$4,0))</f>
        <v>4504</v>
      </c>
      <c r="T1172" s="2" t="str">
        <f t="shared" si="288"/>
        <v>1198</v>
      </c>
      <c r="U1172" s="2">
        <f t="shared" si="294"/>
        <v>1126</v>
      </c>
      <c r="V1172" s="2" t="str">
        <f t="shared" si="289"/>
        <v>466</v>
      </c>
      <c r="W1172" s="2" t="str">
        <f t="shared" si="290"/>
        <v>X</v>
      </c>
      <c r="X1172" s="2" t="str">
        <f t="shared" si="293"/>
        <v>X</v>
      </c>
      <c r="Y1172" s="2" t="str">
        <f t="shared" si="291"/>
        <v>X</v>
      </c>
      <c r="Z1172" s="2" t="str">
        <f t="shared" si="292"/>
        <v>X</v>
      </c>
      <c r="AA1172" s="2" t="str">
        <f t="shared" si="295"/>
        <v>(31 downto 24)</v>
      </c>
      <c r="AB1172" s="2" t="str">
        <f t="shared" si="296"/>
        <v>(23 downto 16)</v>
      </c>
      <c r="AC1172" s="2" t="str">
        <f t="shared" si="297"/>
        <v>(15 downto 8)</v>
      </c>
      <c r="AD1172" s="2" t="str">
        <f t="shared" si="298"/>
        <v>(7 downto 0)</v>
      </c>
      <c r="AE1172" s="2" t="str">
        <f t="shared" si="299"/>
        <v>(31 downto 24)</v>
      </c>
      <c r="AF1172" s="2" t="str">
        <f t="shared" si="300"/>
        <v>(23 downto 16)</v>
      </c>
      <c r="AG1172" s="2" t="str">
        <f t="shared" si="301"/>
        <v>(15 downto 8)</v>
      </c>
      <c r="AH1172" s="2" t="str">
        <f t="shared" si="302"/>
        <v>(7 downto 0)</v>
      </c>
    </row>
    <row r="1173" spans="2:34" x14ac:dyDescent="0.25">
      <c r="B1173" s="2" t="s">
        <v>3334</v>
      </c>
      <c r="C1173" s="2" t="s">
        <v>141</v>
      </c>
      <c r="D1173" s="2" t="s">
        <v>0</v>
      </c>
      <c r="E1173" s="2" t="s">
        <v>130</v>
      </c>
      <c r="F1173" s="2" t="s">
        <v>3335</v>
      </c>
      <c r="G1173" s="2" t="s">
        <v>3336</v>
      </c>
      <c r="H1173" s="2" t="s">
        <v>142</v>
      </c>
      <c r="I1173" s="2" t="s">
        <v>41</v>
      </c>
      <c r="J1173" s="2">
        <v>32</v>
      </c>
      <c r="K1173" s="2" t="s">
        <v>132</v>
      </c>
      <c r="L1173" s="2" t="s">
        <v>40</v>
      </c>
      <c r="P1173" s="2" t="s">
        <v>48</v>
      </c>
      <c r="Q1173" s="2">
        <f>INDEX(Tables!$C$4:$C$28,MATCH($P1173,Tables!$B$4:$B$28,0))</f>
        <v>32</v>
      </c>
      <c r="R1173" s="2">
        <f>INDEX(Tables!$D$4:$D$28,MATCH($P1173,Tables!$B$4:$B$28,0))</f>
        <v>4</v>
      </c>
      <c r="S1173" s="2">
        <f>$S1172+$R1172+INDEX(Tables!$N$5:$Q$8,MATCH(MOD($S1172+$R1172,4),Tables!$M$5:$M$8,0),MATCH($R1173,Tables!$N$4:$Q$4,0))</f>
        <v>4508</v>
      </c>
      <c r="T1173" s="2" t="str">
        <f t="shared" si="288"/>
        <v>119C</v>
      </c>
      <c r="U1173" s="2">
        <f t="shared" si="294"/>
        <v>1127</v>
      </c>
      <c r="V1173" s="2" t="str">
        <f t="shared" si="289"/>
        <v>467</v>
      </c>
      <c r="W1173" s="2" t="str">
        <f t="shared" si="290"/>
        <v>X</v>
      </c>
      <c r="X1173" s="2" t="str">
        <f t="shared" si="293"/>
        <v>X</v>
      </c>
      <c r="Y1173" s="2" t="str">
        <f t="shared" si="291"/>
        <v>X</v>
      </c>
      <c r="Z1173" s="2" t="str">
        <f t="shared" si="292"/>
        <v>X</v>
      </c>
      <c r="AA1173" s="2" t="str">
        <f t="shared" si="295"/>
        <v>(31 downto 24)</v>
      </c>
      <c r="AB1173" s="2" t="str">
        <f t="shared" si="296"/>
        <v>(23 downto 16)</v>
      </c>
      <c r="AC1173" s="2" t="str">
        <f t="shared" si="297"/>
        <v>(15 downto 8)</v>
      </c>
      <c r="AD1173" s="2" t="str">
        <f t="shared" si="298"/>
        <v>(7 downto 0)</v>
      </c>
      <c r="AE1173" s="2" t="str">
        <f t="shared" si="299"/>
        <v>(31 downto 24)</v>
      </c>
      <c r="AF1173" s="2" t="str">
        <f t="shared" si="300"/>
        <v>(23 downto 16)</v>
      </c>
      <c r="AG1173" s="2" t="str">
        <f t="shared" si="301"/>
        <v>(15 downto 8)</v>
      </c>
      <c r="AH1173" s="2" t="str">
        <f t="shared" si="302"/>
        <v>(7 downto 0)</v>
      </c>
    </row>
    <row r="1174" spans="2:34" x14ac:dyDescent="0.25">
      <c r="B1174" s="2" t="s">
        <v>3337</v>
      </c>
      <c r="C1174" s="2" t="s">
        <v>141</v>
      </c>
      <c r="D1174" s="2" t="s">
        <v>0</v>
      </c>
      <c r="E1174" s="2" t="s">
        <v>130</v>
      </c>
      <c r="F1174" s="2" t="s">
        <v>3338</v>
      </c>
      <c r="G1174" s="2" t="s">
        <v>3339</v>
      </c>
      <c r="H1174" s="2" t="s">
        <v>142</v>
      </c>
      <c r="I1174" s="2" t="s">
        <v>41</v>
      </c>
      <c r="J1174" s="2">
        <v>32</v>
      </c>
      <c r="K1174" s="2" t="s">
        <v>132</v>
      </c>
      <c r="L1174" s="2" t="s">
        <v>40</v>
      </c>
      <c r="P1174" s="2" t="s">
        <v>48</v>
      </c>
      <c r="Q1174" s="2">
        <f>INDEX(Tables!$C$4:$C$28,MATCH($P1174,Tables!$B$4:$B$28,0))</f>
        <v>32</v>
      </c>
      <c r="R1174" s="2">
        <f>INDEX(Tables!$D$4:$D$28,MATCH($P1174,Tables!$B$4:$B$28,0))</f>
        <v>4</v>
      </c>
      <c r="S1174" s="2">
        <f>$S1173+$R1173+INDEX(Tables!$N$5:$Q$8,MATCH(MOD($S1173+$R1173,4),Tables!$M$5:$M$8,0),MATCH($R1174,Tables!$N$4:$Q$4,0))</f>
        <v>4512</v>
      </c>
      <c r="T1174" s="2" t="str">
        <f t="shared" si="288"/>
        <v>11A0</v>
      </c>
      <c r="U1174" s="2">
        <f t="shared" si="294"/>
        <v>1128</v>
      </c>
      <c r="V1174" s="2" t="str">
        <f t="shared" si="289"/>
        <v>468</v>
      </c>
      <c r="W1174" s="2" t="str">
        <f t="shared" si="290"/>
        <v>X</v>
      </c>
      <c r="X1174" s="2" t="str">
        <f t="shared" si="293"/>
        <v>X</v>
      </c>
      <c r="Y1174" s="2" t="str">
        <f t="shared" si="291"/>
        <v>X</v>
      </c>
      <c r="Z1174" s="2" t="str">
        <f t="shared" si="292"/>
        <v>X</v>
      </c>
      <c r="AA1174" s="2" t="str">
        <f t="shared" si="295"/>
        <v>(31 downto 24)</v>
      </c>
      <c r="AB1174" s="2" t="str">
        <f t="shared" si="296"/>
        <v>(23 downto 16)</v>
      </c>
      <c r="AC1174" s="2" t="str">
        <f t="shared" si="297"/>
        <v>(15 downto 8)</v>
      </c>
      <c r="AD1174" s="2" t="str">
        <f t="shared" si="298"/>
        <v>(7 downto 0)</v>
      </c>
      <c r="AE1174" s="2" t="str">
        <f t="shared" si="299"/>
        <v>(31 downto 24)</v>
      </c>
      <c r="AF1174" s="2" t="str">
        <f t="shared" si="300"/>
        <v>(23 downto 16)</v>
      </c>
      <c r="AG1174" s="2" t="str">
        <f t="shared" si="301"/>
        <v>(15 downto 8)</v>
      </c>
      <c r="AH1174" s="2" t="str">
        <f t="shared" si="302"/>
        <v>(7 downto 0)</v>
      </c>
    </row>
    <row r="1175" spans="2:34" x14ac:dyDescent="0.25">
      <c r="B1175" s="2" t="s">
        <v>3340</v>
      </c>
      <c r="C1175" s="2" t="s">
        <v>141</v>
      </c>
      <c r="D1175" s="2" t="s">
        <v>0</v>
      </c>
      <c r="E1175" s="2" t="s">
        <v>130</v>
      </c>
      <c r="F1175" s="2" t="s">
        <v>3341</v>
      </c>
      <c r="G1175" s="2" t="s">
        <v>3342</v>
      </c>
      <c r="H1175" s="2" t="s">
        <v>142</v>
      </c>
      <c r="I1175" s="2" t="s">
        <v>41</v>
      </c>
      <c r="J1175" s="2">
        <v>32</v>
      </c>
      <c r="K1175" s="2" t="s">
        <v>132</v>
      </c>
      <c r="L1175" s="2" t="s">
        <v>40</v>
      </c>
      <c r="P1175" s="2" t="s">
        <v>48</v>
      </c>
      <c r="Q1175" s="2">
        <f>INDEX(Tables!$C$4:$C$28,MATCH($P1175,Tables!$B$4:$B$28,0))</f>
        <v>32</v>
      </c>
      <c r="R1175" s="2">
        <f>INDEX(Tables!$D$4:$D$28,MATCH($P1175,Tables!$B$4:$B$28,0))</f>
        <v>4</v>
      </c>
      <c r="S1175" s="2">
        <f>$S1174+$R1174+INDEX(Tables!$N$5:$Q$8,MATCH(MOD($S1174+$R1174,4),Tables!$M$5:$M$8,0),MATCH($R1175,Tables!$N$4:$Q$4,0))</f>
        <v>4516</v>
      </c>
      <c r="T1175" s="2" t="str">
        <f t="shared" si="288"/>
        <v>11A4</v>
      </c>
      <c r="U1175" s="2">
        <f t="shared" si="294"/>
        <v>1129</v>
      </c>
      <c r="V1175" s="2" t="str">
        <f t="shared" si="289"/>
        <v>469</v>
      </c>
      <c r="W1175" s="2" t="str">
        <f t="shared" si="290"/>
        <v>X</v>
      </c>
      <c r="X1175" s="2" t="str">
        <f t="shared" si="293"/>
        <v>X</v>
      </c>
      <c r="Y1175" s="2" t="str">
        <f t="shared" si="291"/>
        <v>X</v>
      </c>
      <c r="Z1175" s="2" t="str">
        <f t="shared" si="292"/>
        <v>X</v>
      </c>
      <c r="AA1175" s="2" t="str">
        <f t="shared" si="295"/>
        <v>(31 downto 24)</v>
      </c>
      <c r="AB1175" s="2" t="str">
        <f t="shared" si="296"/>
        <v>(23 downto 16)</v>
      </c>
      <c r="AC1175" s="2" t="str">
        <f t="shared" si="297"/>
        <v>(15 downto 8)</v>
      </c>
      <c r="AD1175" s="2" t="str">
        <f t="shared" si="298"/>
        <v>(7 downto 0)</v>
      </c>
      <c r="AE1175" s="2" t="str">
        <f t="shared" si="299"/>
        <v>(31 downto 24)</v>
      </c>
      <c r="AF1175" s="2" t="str">
        <f t="shared" si="300"/>
        <v>(23 downto 16)</v>
      </c>
      <c r="AG1175" s="2" t="str">
        <f t="shared" si="301"/>
        <v>(15 downto 8)</v>
      </c>
      <c r="AH1175" s="2" t="str">
        <f t="shared" si="302"/>
        <v>(7 downto 0)</v>
      </c>
    </row>
    <row r="1176" spans="2:34" x14ac:dyDescent="0.25">
      <c r="B1176" s="2" t="s">
        <v>3343</v>
      </c>
      <c r="C1176" s="2" t="s">
        <v>141</v>
      </c>
      <c r="D1176" s="2" t="s">
        <v>0</v>
      </c>
      <c r="E1176" s="2" t="s">
        <v>130</v>
      </c>
      <c r="F1176" s="2" t="s">
        <v>3344</v>
      </c>
      <c r="G1176" s="2" t="s">
        <v>3345</v>
      </c>
      <c r="H1176" s="2" t="s">
        <v>142</v>
      </c>
      <c r="I1176" s="2" t="s">
        <v>41</v>
      </c>
      <c r="J1176" s="2">
        <v>32</v>
      </c>
      <c r="K1176" s="2" t="s">
        <v>132</v>
      </c>
      <c r="L1176" s="2" t="s">
        <v>40</v>
      </c>
      <c r="P1176" s="2" t="s">
        <v>48</v>
      </c>
      <c r="Q1176" s="2">
        <f>INDEX(Tables!$C$4:$C$28,MATCH($P1176,Tables!$B$4:$B$28,0))</f>
        <v>32</v>
      </c>
      <c r="R1176" s="2">
        <f>INDEX(Tables!$D$4:$D$28,MATCH($P1176,Tables!$B$4:$B$28,0))</f>
        <v>4</v>
      </c>
      <c r="S1176" s="2">
        <f>$S1175+$R1175+INDEX(Tables!$N$5:$Q$8,MATCH(MOD($S1175+$R1175,4),Tables!$M$5:$M$8,0),MATCH($R1176,Tables!$N$4:$Q$4,0))</f>
        <v>4520</v>
      </c>
      <c r="T1176" s="2" t="str">
        <f t="shared" si="288"/>
        <v>11A8</v>
      </c>
      <c r="U1176" s="2">
        <f t="shared" si="294"/>
        <v>1130</v>
      </c>
      <c r="V1176" s="2" t="str">
        <f t="shared" si="289"/>
        <v>46A</v>
      </c>
      <c r="W1176" s="2" t="str">
        <f t="shared" si="290"/>
        <v>X</v>
      </c>
      <c r="X1176" s="2" t="str">
        <f t="shared" si="293"/>
        <v>X</v>
      </c>
      <c r="Y1176" s="2" t="str">
        <f t="shared" si="291"/>
        <v>X</v>
      </c>
      <c r="Z1176" s="2" t="str">
        <f t="shared" si="292"/>
        <v>X</v>
      </c>
      <c r="AA1176" s="2" t="str">
        <f t="shared" si="295"/>
        <v>(31 downto 24)</v>
      </c>
      <c r="AB1176" s="2" t="str">
        <f t="shared" si="296"/>
        <v>(23 downto 16)</v>
      </c>
      <c r="AC1176" s="2" t="str">
        <f t="shared" si="297"/>
        <v>(15 downto 8)</v>
      </c>
      <c r="AD1176" s="2" t="str">
        <f t="shared" si="298"/>
        <v>(7 downto 0)</v>
      </c>
      <c r="AE1176" s="2" t="str">
        <f t="shared" si="299"/>
        <v>(31 downto 24)</v>
      </c>
      <c r="AF1176" s="2" t="str">
        <f t="shared" si="300"/>
        <v>(23 downto 16)</v>
      </c>
      <c r="AG1176" s="2" t="str">
        <f t="shared" si="301"/>
        <v>(15 downto 8)</v>
      </c>
      <c r="AH1176" s="2" t="str">
        <f t="shared" si="302"/>
        <v>(7 downto 0)</v>
      </c>
    </row>
    <row r="1177" spans="2:34" x14ac:dyDescent="0.25">
      <c r="B1177" s="2" t="s">
        <v>3346</v>
      </c>
      <c r="C1177" s="2" t="s">
        <v>141</v>
      </c>
      <c r="D1177" s="2" t="s">
        <v>0</v>
      </c>
      <c r="E1177" s="2" t="s">
        <v>130</v>
      </c>
      <c r="F1177" s="2" t="s">
        <v>3347</v>
      </c>
      <c r="G1177" s="2" t="s">
        <v>3348</v>
      </c>
      <c r="H1177" s="2" t="s">
        <v>142</v>
      </c>
      <c r="I1177" s="2" t="s">
        <v>41</v>
      </c>
      <c r="J1177" s="2">
        <v>32</v>
      </c>
      <c r="K1177" s="2" t="s">
        <v>132</v>
      </c>
      <c r="L1177" s="2" t="s">
        <v>40</v>
      </c>
      <c r="P1177" s="2" t="s">
        <v>48</v>
      </c>
      <c r="Q1177" s="2">
        <f>INDEX(Tables!$C$4:$C$28,MATCH($P1177,Tables!$B$4:$B$28,0))</f>
        <v>32</v>
      </c>
      <c r="R1177" s="2">
        <f>INDEX(Tables!$D$4:$D$28,MATCH($P1177,Tables!$B$4:$B$28,0))</f>
        <v>4</v>
      </c>
      <c r="S1177" s="2">
        <f>$S1176+$R1176+INDEX(Tables!$N$5:$Q$8,MATCH(MOD($S1176+$R1176,4),Tables!$M$5:$M$8,0),MATCH($R1177,Tables!$N$4:$Q$4,0))</f>
        <v>4524</v>
      </c>
      <c r="T1177" s="2" t="str">
        <f t="shared" si="288"/>
        <v>11AC</v>
      </c>
      <c r="U1177" s="2">
        <f t="shared" si="294"/>
        <v>1131</v>
      </c>
      <c r="V1177" s="2" t="str">
        <f t="shared" si="289"/>
        <v>46B</v>
      </c>
      <c r="W1177" s="2" t="str">
        <f t="shared" si="290"/>
        <v>X</v>
      </c>
      <c r="X1177" s="2" t="str">
        <f t="shared" si="293"/>
        <v>X</v>
      </c>
      <c r="Y1177" s="2" t="str">
        <f t="shared" si="291"/>
        <v>X</v>
      </c>
      <c r="Z1177" s="2" t="str">
        <f t="shared" si="292"/>
        <v>X</v>
      </c>
      <c r="AA1177" s="2" t="str">
        <f t="shared" si="295"/>
        <v>(31 downto 24)</v>
      </c>
      <c r="AB1177" s="2" t="str">
        <f t="shared" si="296"/>
        <v>(23 downto 16)</v>
      </c>
      <c r="AC1177" s="2" t="str">
        <f t="shared" si="297"/>
        <v>(15 downto 8)</v>
      </c>
      <c r="AD1177" s="2" t="str">
        <f t="shared" si="298"/>
        <v>(7 downto 0)</v>
      </c>
      <c r="AE1177" s="2" t="str">
        <f t="shared" si="299"/>
        <v>(31 downto 24)</v>
      </c>
      <c r="AF1177" s="2" t="str">
        <f t="shared" si="300"/>
        <v>(23 downto 16)</v>
      </c>
      <c r="AG1177" s="2" t="str">
        <f t="shared" si="301"/>
        <v>(15 downto 8)</v>
      </c>
      <c r="AH1177" s="2" t="str">
        <f t="shared" si="302"/>
        <v>(7 downto 0)</v>
      </c>
    </row>
    <row r="1178" spans="2:34" x14ac:dyDescent="0.25">
      <c r="B1178" s="2" t="s">
        <v>3349</v>
      </c>
      <c r="C1178" s="2" t="s">
        <v>141</v>
      </c>
      <c r="D1178" s="2" t="s">
        <v>0</v>
      </c>
      <c r="E1178" s="2" t="s">
        <v>130</v>
      </c>
      <c r="F1178" s="2" t="s">
        <v>3350</v>
      </c>
      <c r="G1178" s="2" t="s">
        <v>3351</v>
      </c>
      <c r="H1178" s="2" t="s">
        <v>142</v>
      </c>
      <c r="I1178" s="2" t="s">
        <v>41</v>
      </c>
      <c r="J1178" s="2">
        <v>32</v>
      </c>
      <c r="K1178" s="2" t="s">
        <v>132</v>
      </c>
      <c r="L1178" s="2" t="s">
        <v>40</v>
      </c>
      <c r="P1178" s="2" t="s">
        <v>48</v>
      </c>
      <c r="Q1178" s="2">
        <f>INDEX(Tables!$C$4:$C$28,MATCH($P1178,Tables!$B$4:$B$28,0))</f>
        <v>32</v>
      </c>
      <c r="R1178" s="2">
        <f>INDEX(Tables!$D$4:$D$28,MATCH($P1178,Tables!$B$4:$B$28,0))</f>
        <v>4</v>
      </c>
      <c r="S1178" s="2">
        <f>$S1177+$R1177+INDEX(Tables!$N$5:$Q$8,MATCH(MOD($S1177+$R1177,4),Tables!$M$5:$M$8,0),MATCH($R1178,Tables!$N$4:$Q$4,0))</f>
        <v>4528</v>
      </c>
      <c r="T1178" s="2" t="str">
        <f t="shared" si="288"/>
        <v>11B0</v>
      </c>
      <c r="U1178" s="2">
        <f t="shared" si="294"/>
        <v>1132</v>
      </c>
      <c r="V1178" s="2" t="str">
        <f t="shared" si="289"/>
        <v>46C</v>
      </c>
      <c r="W1178" s="2" t="str">
        <f t="shared" si="290"/>
        <v>X</v>
      </c>
      <c r="X1178" s="2" t="str">
        <f t="shared" si="293"/>
        <v>X</v>
      </c>
      <c r="Y1178" s="2" t="str">
        <f t="shared" si="291"/>
        <v>X</v>
      </c>
      <c r="Z1178" s="2" t="str">
        <f t="shared" si="292"/>
        <v>X</v>
      </c>
      <c r="AA1178" s="2" t="str">
        <f t="shared" si="295"/>
        <v>(31 downto 24)</v>
      </c>
      <c r="AB1178" s="2" t="str">
        <f t="shared" si="296"/>
        <v>(23 downto 16)</v>
      </c>
      <c r="AC1178" s="2" t="str">
        <f t="shared" si="297"/>
        <v>(15 downto 8)</v>
      </c>
      <c r="AD1178" s="2" t="str">
        <f t="shared" si="298"/>
        <v>(7 downto 0)</v>
      </c>
      <c r="AE1178" s="2" t="str">
        <f t="shared" si="299"/>
        <v>(31 downto 24)</v>
      </c>
      <c r="AF1178" s="2" t="str">
        <f t="shared" si="300"/>
        <v>(23 downto 16)</v>
      </c>
      <c r="AG1178" s="2" t="str">
        <f t="shared" si="301"/>
        <v>(15 downto 8)</v>
      </c>
      <c r="AH1178" s="2" t="str">
        <f t="shared" si="302"/>
        <v>(7 downto 0)</v>
      </c>
    </row>
    <row r="1179" spans="2:34" x14ac:dyDescent="0.25">
      <c r="B1179" s="2" t="s">
        <v>3352</v>
      </c>
      <c r="C1179" s="2" t="s">
        <v>141</v>
      </c>
      <c r="D1179" s="2" t="s">
        <v>0</v>
      </c>
      <c r="E1179" s="2" t="s">
        <v>130</v>
      </c>
      <c r="F1179" s="2" t="s">
        <v>3353</v>
      </c>
      <c r="G1179" s="2" t="s">
        <v>3354</v>
      </c>
      <c r="H1179" s="2" t="s">
        <v>142</v>
      </c>
      <c r="I1179" s="2" t="s">
        <v>41</v>
      </c>
      <c r="J1179" s="2">
        <v>32</v>
      </c>
      <c r="K1179" s="2" t="s">
        <v>132</v>
      </c>
      <c r="L1179" s="2" t="s">
        <v>40</v>
      </c>
      <c r="P1179" s="2" t="s">
        <v>48</v>
      </c>
      <c r="Q1179" s="2">
        <f>INDEX(Tables!$C$4:$C$28,MATCH($P1179,Tables!$B$4:$B$28,0))</f>
        <v>32</v>
      </c>
      <c r="R1179" s="2">
        <f>INDEX(Tables!$D$4:$D$28,MATCH($P1179,Tables!$B$4:$B$28,0))</f>
        <v>4</v>
      </c>
      <c r="S1179" s="2">
        <f>$S1178+$R1178+INDEX(Tables!$N$5:$Q$8,MATCH(MOD($S1178+$R1178,4),Tables!$M$5:$M$8,0),MATCH($R1179,Tables!$N$4:$Q$4,0))</f>
        <v>4532</v>
      </c>
      <c r="T1179" s="2" t="str">
        <f t="shared" si="288"/>
        <v>11B4</v>
      </c>
      <c r="U1179" s="2">
        <f t="shared" si="294"/>
        <v>1133</v>
      </c>
      <c r="V1179" s="2" t="str">
        <f t="shared" si="289"/>
        <v>46D</v>
      </c>
      <c r="W1179" s="2" t="str">
        <f t="shared" si="290"/>
        <v>X</v>
      </c>
      <c r="X1179" s="2" t="str">
        <f t="shared" si="293"/>
        <v>X</v>
      </c>
      <c r="Y1179" s="2" t="str">
        <f t="shared" si="291"/>
        <v>X</v>
      </c>
      <c r="Z1179" s="2" t="str">
        <f t="shared" si="292"/>
        <v>X</v>
      </c>
      <c r="AA1179" s="2" t="str">
        <f t="shared" si="295"/>
        <v>(31 downto 24)</v>
      </c>
      <c r="AB1179" s="2" t="str">
        <f t="shared" si="296"/>
        <v>(23 downto 16)</v>
      </c>
      <c r="AC1179" s="2" t="str">
        <f t="shared" si="297"/>
        <v>(15 downto 8)</v>
      </c>
      <c r="AD1179" s="2" t="str">
        <f t="shared" si="298"/>
        <v>(7 downto 0)</v>
      </c>
      <c r="AE1179" s="2" t="str">
        <f t="shared" si="299"/>
        <v>(31 downto 24)</v>
      </c>
      <c r="AF1179" s="2" t="str">
        <f t="shared" si="300"/>
        <v>(23 downto 16)</v>
      </c>
      <c r="AG1179" s="2" t="str">
        <f t="shared" si="301"/>
        <v>(15 downto 8)</v>
      </c>
      <c r="AH1179" s="2" t="str">
        <f t="shared" si="302"/>
        <v>(7 downto 0)</v>
      </c>
    </row>
    <row r="1180" spans="2:34" x14ac:dyDescent="0.25">
      <c r="B1180" s="2" t="s">
        <v>3355</v>
      </c>
      <c r="C1180" s="2" t="s">
        <v>141</v>
      </c>
      <c r="D1180" s="2" t="s">
        <v>0</v>
      </c>
      <c r="E1180" s="2" t="s">
        <v>130</v>
      </c>
      <c r="F1180" s="2" t="s">
        <v>3356</v>
      </c>
      <c r="G1180" s="2" t="s">
        <v>3357</v>
      </c>
      <c r="H1180" s="2" t="s">
        <v>142</v>
      </c>
      <c r="I1180" s="2" t="s">
        <v>41</v>
      </c>
      <c r="J1180" s="2">
        <v>32</v>
      </c>
      <c r="K1180" s="2" t="s">
        <v>132</v>
      </c>
      <c r="L1180" s="2" t="s">
        <v>40</v>
      </c>
      <c r="P1180" s="2" t="s">
        <v>48</v>
      </c>
      <c r="Q1180" s="2">
        <f>INDEX(Tables!$C$4:$C$28,MATCH($P1180,Tables!$B$4:$B$28,0))</f>
        <v>32</v>
      </c>
      <c r="R1180" s="2">
        <f>INDEX(Tables!$D$4:$D$28,MATCH($P1180,Tables!$B$4:$B$28,0))</f>
        <v>4</v>
      </c>
      <c r="S1180" s="2">
        <f>$S1179+$R1179+INDEX(Tables!$N$5:$Q$8,MATCH(MOD($S1179+$R1179,4),Tables!$M$5:$M$8,0),MATCH($R1180,Tables!$N$4:$Q$4,0))</f>
        <v>4536</v>
      </c>
      <c r="T1180" s="2" t="str">
        <f t="shared" si="288"/>
        <v>11B8</v>
      </c>
      <c r="U1180" s="2">
        <f t="shared" si="294"/>
        <v>1134</v>
      </c>
      <c r="V1180" s="2" t="str">
        <f t="shared" si="289"/>
        <v>46E</v>
      </c>
      <c r="W1180" s="2" t="str">
        <f t="shared" si="290"/>
        <v>X</v>
      </c>
      <c r="X1180" s="2" t="str">
        <f t="shared" si="293"/>
        <v>X</v>
      </c>
      <c r="Y1180" s="2" t="str">
        <f t="shared" si="291"/>
        <v>X</v>
      </c>
      <c r="Z1180" s="2" t="str">
        <f t="shared" si="292"/>
        <v>X</v>
      </c>
      <c r="AA1180" s="2" t="str">
        <f t="shared" si="295"/>
        <v>(31 downto 24)</v>
      </c>
      <c r="AB1180" s="2" t="str">
        <f t="shared" si="296"/>
        <v>(23 downto 16)</v>
      </c>
      <c r="AC1180" s="2" t="str">
        <f t="shared" si="297"/>
        <v>(15 downto 8)</v>
      </c>
      <c r="AD1180" s="2" t="str">
        <f t="shared" si="298"/>
        <v>(7 downto 0)</v>
      </c>
      <c r="AE1180" s="2" t="str">
        <f t="shared" si="299"/>
        <v>(31 downto 24)</v>
      </c>
      <c r="AF1180" s="2" t="str">
        <f t="shared" si="300"/>
        <v>(23 downto 16)</v>
      </c>
      <c r="AG1180" s="2" t="str">
        <f t="shared" si="301"/>
        <v>(15 downto 8)</v>
      </c>
      <c r="AH1180" s="2" t="str">
        <f t="shared" si="302"/>
        <v>(7 downto 0)</v>
      </c>
    </row>
    <row r="1181" spans="2:34" x14ac:dyDescent="0.25">
      <c r="B1181" s="2" t="s">
        <v>3358</v>
      </c>
      <c r="C1181" s="2" t="s">
        <v>141</v>
      </c>
      <c r="D1181" s="2" t="s">
        <v>0</v>
      </c>
      <c r="E1181" s="2" t="s">
        <v>130</v>
      </c>
      <c r="F1181" s="2" t="s">
        <v>3359</v>
      </c>
      <c r="G1181" s="2" t="s">
        <v>3360</v>
      </c>
      <c r="H1181" s="2" t="s">
        <v>142</v>
      </c>
      <c r="I1181" s="2" t="s">
        <v>41</v>
      </c>
      <c r="J1181" s="2">
        <v>32</v>
      </c>
      <c r="K1181" s="2" t="s">
        <v>132</v>
      </c>
      <c r="L1181" s="2" t="s">
        <v>40</v>
      </c>
      <c r="P1181" s="2" t="s">
        <v>48</v>
      </c>
      <c r="Q1181" s="2">
        <f>INDEX(Tables!$C$4:$C$28,MATCH($P1181,Tables!$B$4:$B$28,0))</f>
        <v>32</v>
      </c>
      <c r="R1181" s="2">
        <f>INDEX(Tables!$D$4:$D$28,MATCH($P1181,Tables!$B$4:$B$28,0))</f>
        <v>4</v>
      </c>
      <c r="S1181" s="2">
        <f>$S1180+$R1180+INDEX(Tables!$N$5:$Q$8,MATCH(MOD($S1180+$R1180,4),Tables!$M$5:$M$8,0),MATCH($R1181,Tables!$N$4:$Q$4,0))</f>
        <v>4540</v>
      </c>
      <c r="T1181" s="2" t="str">
        <f t="shared" si="288"/>
        <v>11BC</v>
      </c>
      <c r="U1181" s="2">
        <f t="shared" si="294"/>
        <v>1135</v>
      </c>
      <c r="V1181" s="2" t="str">
        <f t="shared" si="289"/>
        <v>46F</v>
      </c>
      <c r="W1181" s="2" t="str">
        <f t="shared" si="290"/>
        <v>X</v>
      </c>
      <c r="X1181" s="2" t="str">
        <f t="shared" si="293"/>
        <v>X</v>
      </c>
      <c r="Y1181" s="2" t="str">
        <f t="shared" si="291"/>
        <v>X</v>
      </c>
      <c r="Z1181" s="2" t="str">
        <f t="shared" si="292"/>
        <v>X</v>
      </c>
      <c r="AA1181" s="2" t="str">
        <f t="shared" si="295"/>
        <v>(31 downto 24)</v>
      </c>
      <c r="AB1181" s="2" t="str">
        <f t="shared" si="296"/>
        <v>(23 downto 16)</v>
      </c>
      <c r="AC1181" s="2" t="str">
        <f t="shared" si="297"/>
        <v>(15 downto 8)</v>
      </c>
      <c r="AD1181" s="2" t="str">
        <f t="shared" si="298"/>
        <v>(7 downto 0)</v>
      </c>
      <c r="AE1181" s="2" t="str">
        <f t="shared" si="299"/>
        <v>(31 downto 24)</v>
      </c>
      <c r="AF1181" s="2" t="str">
        <f t="shared" si="300"/>
        <v>(23 downto 16)</v>
      </c>
      <c r="AG1181" s="2" t="str">
        <f t="shared" si="301"/>
        <v>(15 downto 8)</v>
      </c>
      <c r="AH1181" s="2" t="str">
        <f t="shared" si="302"/>
        <v>(7 downto 0)</v>
      </c>
    </row>
    <row r="1182" spans="2:34" x14ac:dyDescent="0.25">
      <c r="B1182" s="2" t="s">
        <v>3361</v>
      </c>
      <c r="C1182" s="2" t="s">
        <v>141</v>
      </c>
      <c r="D1182" s="2" t="s">
        <v>0</v>
      </c>
      <c r="E1182" s="2" t="s">
        <v>130</v>
      </c>
      <c r="F1182" s="2" t="s">
        <v>3362</v>
      </c>
      <c r="G1182" s="2" t="s">
        <v>3363</v>
      </c>
      <c r="H1182" s="2" t="s">
        <v>142</v>
      </c>
      <c r="I1182" s="2" t="s">
        <v>41</v>
      </c>
      <c r="J1182" s="2">
        <v>32</v>
      </c>
      <c r="K1182" s="2" t="s">
        <v>132</v>
      </c>
      <c r="L1182" s="2" t="s">
        <v>40</v>
      </c>
      <c r="P1182" s="2" t="s">
        <v>48</v>
      </c>
      <c r="Q1182" s="2">
        <f>INDEX(Tables!$C$4:$C$28,MATCH($P1182,Tables!$B$4:$B$28,0))</f>
        <v>32</v>
      </c>
      <c r="R1182" s="2">
        <f>INDEX(Tables!$D$4:$D$28,MATCH($P1182,Tables!$B$4:$B$28,0))</f>
        <v>4</v>
      </c>
      <c r="S1182" s="2">
        <f>$S1181+$R1181+INDEX(Tables!$N$5:$Q$8,MATCH(MOD($S1181+$R1181,4),Tables!$M$5:$M$8,0),MATCH($R1182,Tables!$N$4:$Q$4,0))</f>
        <v>4544</v>
      </c>
      <c r="T1182" s="2" t="str">
        <f t="shared" si="288"/>
        <v>11C0</v>
      </c>
      <c r="U1182" s="2">
        <f t="shared" si="294"/>
        <v>1136</v>
      </c>
      <c r="V1182" s="2" t="str">
        <f t="shared" si="289"/>
        <v>470</v>
      </c>
      <c r="W1182" s="2" t="str">
        <f t="shared" si="290"/>
        <v>X</v>
      </c>
      <c r="X1182" s="2" t="str">
        <f t="shared" si="293"/>
        <v>X</v>
      </c>
      <c r="Y1182" s="2" t="str">
        <f t="shared" si="291"/>
        <v>X</v>
      </c>
      <c r="Z1182" s="2" t="str">
        <f t="shared" si="292"/>
        <v>X</v>
      </c>
      <c r="AA1182" s="2" t="str">
        <f t="shared" si="295"/>
        <v>(31 downto 24)</v>
      </c>
      <c r="AB1182" s="2" t="str">
        <f t="shared" si="296"/>
        <v>(23 downto 16)</v>
      </c>
      <c r="AC1182" s="2" t="str">
        <f t="shared" si="297"/>
        <v>(15 downto 8)</v>
      </c>
      <c r="AD1182" s="2" t="str">
        <f t="shared" si="298"/>
        <v>(7 downto 0)</v>
      </c>
      <c r="AE1182" s="2" t="str">
        <f t="shared" si="299"/>
        <v>(31 downto 24)</v>
      </c>
      <c r="AF1182" s="2" t="str">
        <f t="shared" si="300"/>
        <v>(23 downto 16)</v>
      </c>
      <c r="AG1182" s="2" t="str">
        <f t="shared" si="301"/>
        <v>(15 downto 8)</v>
      </c>
      <c r="AH1182" s="2" t="str">
        <f t="shared" si="302"/>
        <v>(7 downto 0)</v>
      </c>
    </row>
    <row r="1183" spans="2:34" x14ac:dyDescent="0.25">
      <c r="B1183" s="2" t="s">
        <v>3364</v>
      </c>
      <c r="C1183" s="2" t="s">
        <v>141</v>
      </c>
      <c r="D1183" s="2" t="s">
        <v>0</v>
      </c>
      <c r="E1183" s="2" t="s">
        <v>130</v>
      </c>
      <c r="F1183" s="2" t="s">
        <v>3365</v>
      </c>
      <c r="G1183" s="2" t="s">
        <v>3366</v>
      </c>
      <c r="H1183" s="2" t="s">
        <v>142</v>
      </c>
      <c r="I1183" s="2" t="s">
        <v>41</v>
      </c>
      <c r="J1183" s="2">
        <v>32</v>
      </c>
      <c r="K1183" s="2" t="s">
        <v>132</v>
      </c>
      <c r="L1183" s="2" t="s">
        <v>40</v>
      </c>
      <c r="P1183" s="2" t="s">
        <v>48</v>
      </c>
      <c r="Q1183" s="2">
        <f>INDEX(Tables!$C$4:$C$28,MATCH($P1183,Tables!$B$4:$B$28,0))</f>
        <v>32</v>
      </c>
      <c r="R1183" s="2">
        <f>INDEX(Tables!$D$4:$D$28,MATCH($P1183,Tables!$B$4:$B$28,0))</f>
        <v>4</v>
      </c>
      <c r="S1183" s="2">
        <f>$S1182+$R1182+INDEX(Tables!$N$5:$Q$8,MATCH(MOD($S1182+$R1182,4),Tables!$M$5:$M$8,0),MATCH($R1183,Tables!$N$4:$Q$4,0))</f>
        <v>4548</v>
      </c>
      <c r="T1183" s="2" t="str">
        <f t="shared" si="288"/>
        <v>11C4</v>
      </c>
      <c r="U1183" s="2">
        <f t="shared" si="294"/>
        <v>1137</v>
      </c>
      <c r="V1183" s="2" t="str">
        <f t="shared" si="289"/>
        <v>471</v>
      </c>
      <c r="W1183" s="2" t="str">
        <f t="shared" si="290"/>
        <v>X</v>
      </c>
      <c r="X1183" s="2" t="str">
        <f t="shared" si="293"/>
        <v>X</v>
      </c>
      <c r="Y1183" s="2" t="str">
        <f t="shared" si="291"/>
        <v>X</v>
      </c>
      <c r="Z1183" s="2" t="str">
        <f t="shared" si="292"/>
        <v>X</v>
      </c>
      <c r="AA1183" s="2" t="str">
        <f t="shared" si="295"/>
        <v>(31 downto 24)</v>
      </c>
      <c r="AB1183" s="2" t="str">
        <f t="shared" si="296"/>
        <v>(23 downto 16)</v>
      </c>
      <c r="AC1183" s="2" t="str">
        <f t="shared" si="297"/>
        <v>(15 downto 8)</v>
      </c>
      <c r="AD1183" s="2" t="str">
        <f t="shared" si="298"/>
        <v>(7 downto 0)</v>
      </c>
      <c r="AE1183" s="2" t="str">
        <f t="shared" si="299"/>
        <v>(31 downto 24)</v>
      </c>
      <c r="AF1183" s="2" t="str">
        <f t="shared" si="300"/>
        <v>(23 downto 16)</v>
      </c>
      <c r="AG1183" s="2" t="str">
        <f t="shared" si="301"/>
        <v>(15 downto 8)</v>
      </c>
      <c r="AH1183" s="2" t="str">
        <f t="shared" si="302"/>
        <v>(7 downto 0)</v>
      </c>
    </row>
    <row r="1184" spans="2:34" x14ac:dyDescent="0.25">
      <c r="B1184" s="2" t="s">
        <v>3367</v>
      </c>
      <c r="C1184" s="2" t="s">
        <v>141</v>
      </c>
      <c r="D1184" s="2" t="s">
        <v>0</v>
      </c>
      <c r="E1184" s="2" t="s">
        <v>130</v>
      </c>
      <c r="F1184" s="2" t="s">
        <v>3368</v>
      </c>
      <c r="G1184" s="2" t="s">
        <v>3369</v>
      </c>
      <c r="H1184" s="2" t="s">
        <v>142</v>
      </c>
      <c r="I1184" s="2" t="s">
        <v>41</v>
      </c>
      <c r="J1184" s="2">
        <v>32</v>
      </c>
      <c r="K1184" s="2" t="s">
        <v>132</v>
      </c>
      <c r="L1184" s="2" t="s">
        <v>40</v>
      </c>
      <c r="P1184" s="2" t="s">
        <v>48</v>
      </c>
      <c r="Q1184" s="2">
        <f>INDEX(Tables!$C$4:$C$28,MATCH($P1184,Tables!$B$4:$B$28,0))</f>
        <v>32</v>
      </c>
      <c r="R1184" s="2">
        <f>INDEX(Tables!$D$4:$D$28,MATCH($P1184,Tables!$B$4:$B$28,0))</f>
        <v>4</v>
      </c>
      <c r="S1184" s="2">
        <f>$S1183+$R1183+INDEX(Tables!$N$5:$Q$8,MATCH(MOD($S1183+$R1183,4),Tables!$M$5:$M$8,0),MATCH($R1184,Tables!$N$4:$Q$4,0))</f>
        <v>4552</v>
      </c>
      <c r="T1184" s="2" t="str">
        <f t="shared" si="288"/>
        <v>11C8</v>
      </c>
      <c r="U1184" s="2">
        <f t="shared" si="294"/>
        <v>1138</v>
      </c>
      <c r="V1184" s="2" t="str">
        <f t="shared" si="289"/>
        <v>472</v>
      </c>
      <c r="W1184" s="2" t="str">
        <f t="shared" si="290"/>
        <v>X</v>
      </c>
      <c r="X1184" s="2" t="str">
        <f t="shared" si="293"/>
        <v>X</v>
      </c>
      <c r="Y1184" s="2" t="str">
        <f t="shared" si="291"/>
        <v>X</v>
      </c>
      <c r="Z1184" s="2" t="str">
        <f t="shared" si="292"/>
        <v>X</v>
      </c>
      <c r="AA1184" s="2" t="str">
        <f t="shared" si="295"/>
        <v>(31 downto 24)</v>
      </c>
      <c r="AB1184" s="2" t="str">
        <f t="shared" si="296"/>
        <v>(23 downto 16)</v>
      </c>
      <c r="AC1184" s="2" t="str">
        <f t="shared" si="297"/>
        <v>(15 downto 8)</v>
      </c>
      <c r="AD1184" s="2" t="str">
        <f t="shared" si="298"/>
        <v>(7 downto 0)</v>
      </c>
      <c r="AE1184" s="2" t="str">
        <f t="shared" si="299"/>
        <v>(31 downto 24)</v>
      </c>
      <c r="AF1184" s="2" t="str">
        <f t="shared" si="300"/>
        <v>(23 downto 16)</v>
      </c>
      <c r="AG1184" s="2" t="str">
        <f t="shared" si="301"/>
        <v>(15 downto 8)</v>
      </c>
      <c r="AH1184" s="2" t="str">
        <f t="shared" si="302"/>
        <v>(7 downto 0)</v>
      </c>
    </row>
    <row r="1185" spans="2:34" x14ac:dyDescent="0.25">
      <c r="B1185" s="2" t="s">
        <v>3370</v>
      </c>
      <c r="C1185" s="2" t="s">
        <v>141</v>
      </c>
      <c r="D1185" s="2" t="s">
        <v>0</v>
      </c>
      <c r="E1185" s="2" t="s">
        <v>130</v>
      </c>
      <c r="F1185" s="2" t="s">
        <v>3371</v>
      </c>
      <c r="G1185" s="2" t="s">
        <v>3372</v>
      </c>
      <c r="H1185" s="2" t="s">
        <v>142</v>
      </c>
      <c r="I1185" s="2" t="s">
        <v>41</v>
      </c>
      <c r="J1185" s="2">
        <v>32</v>
      </c>
      <c r="K1185" s="2" t="s">
        <v>132</v>
      </c>
      <c r="L1185" s="2" t="s">
        <v>40</v>
      </c>
      <c r="P1185" s="2" t="s">
        <v>48</v>
      </c>
      <c r="Q1185" s="2">
        <f>INDEX(Tables!$C$4:$C$28,MATCH($P1185,Tables!$B$4:$B$28,0))</f>
        <v>32</v>
      </c>
      <c r="R1185" s="2">
        <f>INDEX(Tables!$D$4:$D$28,MATCH($P1185,Tables!$B$4:$B$28,0))</f>
        <v>4</v>
      </c>
      <c r="S1185" s="2">
        <f>$S1184+$R1184+INDEX(Tables!$N$5:$Q$8,MATCH(MOD($S1184+$R1184,4),Tables!$M$5:$M$8,0),MATCH($R1185,Tables!$N$4:$Q$4,0))</f>
        <v>4556</v>
      </c>
      <c r="T1185" s="2" t="str">
        <f t="shared" si="288"/>
        <v>11CC</v>
      </c>
      <c r="U1185" s="2">
        <f t="shared" si="294"/>
        <v>1139</v>
      </c>
      <c r="V1185" s="2" t="str">
        <f t="shared" si="289"/>
        <v>473</v>
      </c>
      <c r="W1185" s="2" t="str">
        <f t="shared" si="290"/>
        <v>X</v>
      </c>
      <c r="X1185" s="2" t="str">
        <f t="shared" si="293"/>
        <v>X</v>
      </c>
      <c r="Y1185" s="2" t="str">
        <f t="shared" si="291"/>
        <v>X</v>
      </c>
      <c r="Z1185" s="2" t="str">
        <f t="shared" si="292"/>
        <v>X</v>
      </c>
      <c r="AA1185" s="2" t="str">
        <f t="shared" si="295"/>
        <v>(31 downto 24)</v>
      </c>
      <c r="AB1185" s="2" t="str">
        <f t="shared" si="296"/>
        <v>(23 downto 16)</v>
      </c>
      <c r="AC1185" s="2" t="str">
        <f t="shared" si="297"/>
        <v>(15 downto 8)</v>
      </c>
      <c r="AD1185" s="2" t="str">
        <f t="shared" si="298"/>
        <v>(7 downto 0)</v>
      </c>
      <c r="AE1185" s="2" t="str">
        <f t="shared" si="299"/>
        <v>(31 downto 24)</v>
      </c>
      <c r="AF1185" s="2" t="str">
        <f t="shared" si="300"/>
        <v>(23 downto 16)</v>
      </c>
      <c r="AG1185" s="2" t="str">
        <f t="shared" si="301"/>
        <v>(15 downto 8)</v>
      </c>
      <c r="AH1185" s="2" t="str">
        <f t="shared" si="302"/>
        <v>(7 downto 0)</v>
      </c>
    </row>
    <row r="1186" spans="2:34" x14ac:dyDescent="0.25">
      <c r="B1186" s="2" t="s">
        <v>3373</v>
      </c>
      <c r="C1186" s="2" t="s">
        <v>141</v>
      </c>
      <c r="D1186" s="2" t="s">
        <v>0</v>
      </c>
      <c r="E1186" s="2" t="s">
        <v>130</v>
      </c>
      <c r="F1186" s="2" t="s">
        <v>3374</v>
      </c>
      <c r="G1186" s="2" t="s">
        <v>3375</v>
      </c>
      <c r="H1186" s="2" t="s">
        <v>142</v>
      </c>
      <c r="I1186" s="2" t="s">
        <v>41</v>
      </c>
      <c r="J1186" s="2">
        <v>32</v>
      </c>
      <c r="K1186" s="2" t="s">
        <v>132</v>
      </c>
      <c r="L1186" s="2" t="s">
        <v>40</v>
      </c>
      <c r="P1186" s="2" t="s">
        <v>48</v>
      </c>
      <c r="Q1186" s="2">
        <f>INDEX(Tables!$C$4:$C$28,MATCH($P1186,Tables!$B$4:$B$28,0))</f>
        <v>32</v>
      </c>
      <c r="R1186" s="2">
        <f>INDEX(Tables!$D$4:$D$28,MATCH($P1186,Tables!$B$4:$B$28,0))</f>
        <v>4</v>
      </c>
      <c r="S1186" s="2">
        <f>$S1185+$R1185+INDEX(Tables!$N$5:$Q$8,MATCH(MOD($S1185+$R1185,4),Tables!$M$5:$M$8,0),MATCH($R1186,Tables!$N$4:$Q$4,0))</f>
        <v>4560</v>
      </c>
      <c r="T1186" s="2" t="str">
        <f t="shared" si="288"/>
        <v>11D0</v>
      </c>
      <c r="U1186" s="2">
        <f t="shared" si="294"/>
        <v>1140</v>
      </c>
      <c r="V1186" s="2" t="str">
        <f t="shared" si="289"/>
        <v>474</v>
      </c>
      <c r="W1186" s="2" t="str">
        <f t="shared" si="290"/>
        <v>X</v>
      </c>
      <c r="X1186" s="2" t="str">
        <f t="shared" si="293"/>
        <v>X</v>
      </c>
      <c r="Y1186" s="2" t="str">
        <f t="shared" si="291"/>
        <v>X</v>
      </c>
      <c r="Z1186" s="2" t="str">
        <f t="shared" si="292"/>
        <v>X</v>
      </c>
      <c r="AA1186" s="2" t="str">
        <f t="shared" si="295"/>
        <v>(31 downto 24)</v>
      </c>
      <c r="AB1186" s="2" t="str">
        <f t="shared" si="296"/>
        <v>(23 downto 16)</v>
      </c>
      <c r="AC1186" s="2" t="str">
        <f t="shared" si="297"/>
        <v>(15 downto 8)</v>
      </c>
      <c r="AD1186" s="2" t="str">
        <f t="shared" si="298"/>
        <v>(7 downto 0)</v>
      </c>
      <c r="AE1186" s="2" t="str">
        <f t="shared" si="299"/>
        <v>(31 downto 24)</v>
      </c>
      <c r="AF1186" s="2" t="str">
        <f t="shared" si="300"/>
        <v>(23 downto 16)</v>
      </c>
      <c r="AG1186" s="2" t="str">
        <f t="shared" si="301"/>
        <v>(15 downto 8)</v>
      </c>
      <c r="AH1186" s="2" t="str">
        <f t="shared" si="302"/>
        <v>(7 downto 0)</v>
      </c>
    </row>
    <row r="1187" spans="2:34" x14ac:dyDescent="0.25">
      <c r="B1187" s="2" t="s">
        <v>3376</v>
      </c>
      <c r="C1187" s="2" t="s">
        <v>141</v>
      </c>
      <c r="D1187" s="2" t="s">
        <v>0</v>
      </c>
      <c r="E1187" s="2" t="s">
        <v>130</v>
      </c>
      <c r="F1187" s="2" t="s">
        <v>3377</v>
      </c>
      <c r="G1187" s="2" t="s">
        <v>3378</v>
      </c>
      <c r="H1187" s="2" t="s">
        <v>142</v>
      </c>
      <c r="I1187" s="2" t="s">
        <v>41</v>
      </c>
      <c r="J1187" s="2">
        <v>32</v>
      </c>
      <c r="K1187" s="2" t="s">
        <v>132</v>
      </c>
      <c r="L1187" s="2" t="s">
        <v>40</v>
      </c>
      <c r="P1187" s="2" t="s">
        <v>48</v>
      </c>
      <c r="Q1187" s="2">
        <f>INDEX(Tables!$C$4:$C$28,MATCH($P1187,Tables!$B$4:$B$28,0))</f>
        <v>32</v>
      </c>
      <c r="R1187" s="2">
        <f>INDEX(Tables!$D$4:$D$28,MATCH($P1187,Tables!$B$4:$B$28,0))</f>
        <v>4</v>
      </c>
      <c r="S1187" s="2">
        <f>$S1186+$R1186+INDEX(Tables!$N$5:$Q$8,MATCH(MOD($S1186+$R1186,4),Tables!$M$5:$M$8,0),MATCH($R1187,Tables!$N$4:$Q$4,0))</f>
        <v>4564</v>
      </c>
      <c r="T1187" s="2" t="str">
        <f t="shared" si="288"/>
        <v>11D4</v>
      </c>
      <c r="U1187" s="2">
        <f t="shared" si="294"/>
        <v>1141</v>
      </c>
      <c r="V1187" s="2" t="str">
        <f t="shared" si="289"/>
        <v>475</v>
      </c>
      <c r="W1187" s="2" t="str">
        <f t="shared" si="290"/>
        <v>X</v>
      </c>
      <c r="X1187" s="2" t="str">
        <f t="shared" si="293"/>
        <v>X</v>
      </c>
      <c r="Y1187" s="2" t="str">
        <f t="shared" si="291"/>
        <v>X</v>
      </c>
      <c r="Z1187" s="2" t="str">
        <f t="shared" si="292"/>
        <v>X</v>
      </c>
      <c r="AA1187" s="2" t="str">
        <f t="shared" si="295"/>
        <v>(31 downto 24)</v>
      </c>
      <c r="AB1187" s="2" t="str">
        <f t="shared" si="296"/>
        <v>(23 downto 16)</v>
      </c>
      <c r="AC1187" s="2" t="str">
        <f t="shared" si="297"/>
        <v>(15 downto 8)</v>
      </c>
      <c r="AD1187" s="2" t="str">
        <f t="shared" si="298"/>
        <v>(7 downto 0)</v>
      </c>
      <c r="AE1187" s="2" t="str">
        <f t="shared" si="299"/>
        <v>(31 downto 24)</v>
      </c>
      <c r="AF1187" s="2" t="str">
        <f t="shared" si="300"/>
        <v>(23 downto 16)</v>
      </c>
      <c r="AG1187" s="2" t="str">
        <f t="shared" si="301"/>
        <v>(15 downto 8)</v>
      </c>
      <c r="AH1187" s="2" t="str">
        <f t="shared" si="302"/>
        <v>(7 downto 0)</v>
      </c>
    </row>
    <row r="1188" spans="2:34" x14ac:dyDescent="0.25">
      <c r="B1188" s="2" t="s">
        <v>3379</v>
      </c>
      <c r="C1188" s="2" t="s">
        <v>141</v>
      </c>
      <c r="D1188" s="2" t="s">
        <v>0</v>
      </c>
      <c r="E1188" s="2" t="s">
        <v>130</v>
      </c>
      <c r="F1188" s="2" t="s">
        <v>3380</v>
      </c>
      <c r="G1188" s="2" t="s">
        <v>3381</v>
      </c>
      <c r="H1188" s="2" t="s">
        <v>142</v>
      </c>
      <c r="I1188" s="2" t="s">
        <v>41</v>
      </c>
      <c r="J1188" s="2">
        <v>32</v>
      </c>
      <c r="K1188" s="2" t="s">
        <v>132</v>
      </c>
      <c r="L1188" s="2" t="s">
        <v>40</v>
      </c>
      <c r="P1188" s="2" t="s">
        <v>48</v>
      </c>
      <c r="Q1188" s="2">
        <f>INDEX(Tables!$C$4:$C$28,MATCH($P1188,Tables!$B$4:$B$28,0))</f>
        <v>32</v>
      </c>
      <c r="R1188" s="2">
        <f>INDEX(Tables!$D$4:$D$28,MATCH($P1188,Tables!$B$4:$B$28,0))</f>
        <v>4</v>
      </c>
      <c r="S1188" s="2">
        <f>$S1187+$R1187+INDEX(Tables!$N$5:$Q$8,MATCH(MOD($S1187+$R1187,4),Tables!$M$5:$M$8,0),MATCH($R1188,Tables!$N$4:$Q$4,0))</f>
        <v>4568</v>
      </c>
      <c r="T1188" s="2" t="str">
        <f t="shared" si="288"/>
        <v>11D8</v>
      </c>
      <c r="U1188" s="2">
        <f t="shared" si="294"/>
        <v>1142</v>
      </c>
      <c r="V1188" s="2" t="str">
        <f t="shared" si="289"/>
        <v>476</v>
      </c>
      <c r="W1188" s="2" t="str">
        <f t="shared" si="290"/>
        <v>X</v>
      </c>
      <c r="X1188" s="2" t="str">
        <f t="shared" si="293"/>
        <v>X</v>
      </c>
      <c r="Y1188" s="2" t="str">
        <f t="shared" si="291"/>
        <v>X</v>
      </c>
      <c r="Z1188" s="2" t="str">
        <f t="shared" si="292"/>
        <v>X</v>
      </c>
      <c r="AA1188" s="2" t="str">
        <f t="shared" si="295"/>
        <v>(31 downto 24)</v>
      </c>
      <c r="AB1188" s="2" t="str">
        <f t="shared" si="296"/>
        <v>(23 downto 16)</v>
      </c>
      <c r="AC1188" s="2" t="str">
        <f t="shared" si="297"/>
        <v>(15 downto 8)</v>
      </c>
      <c r="AD1188" s="2" t="str">
        <f t="shared" si="298"/>
        <v>(7 downto 0)</v>
      </c>
      <c r="AE1188" s="2" t="str">
        <f t="shared" si="299"/>
        <v>(31 downto 24)</v>
      </c>
      <c r="AF1188" s="2" t="str">
        <f t="shared" si="300"/>
        <v>(23 downto 16)</v>
      </c>
      <c r="AG1188" s="2" t="str">
        <f t="shared" si="301"/>
        <v>(15 downto 8)</v>
      </c>
      <c r="AH1188" s="2" t="str">
        <f t="shared" si="302"/>
        <v>(7 downto 0)</v>
      </c>
    </row>
    <row r="1189" spans="2:34" x14ac:dyDescent="0.25">
      <c r="B1189" s="2" t="s">
        <v>3382</v>
      </c>
      <c r="C1189" s="2" t="s">
        <v>141</v>
      </c>
      <c r="D1189" s="2" t="s">
        <v>0</v>
      </c>
      <c r="E1189" s="2" t="s">
        <v>130</v>
      </c>
      <c r="F1189" s="2" t="s">
        <v>3383</v>
      </c>
      <c r="G1189" s="2" t="s">
        <v>3384</v>
      </c>
      <c r="H1189" s="2" t="s">
        <v>142</v>
      </c>
      <c r="I1189" s="2" t="s">
        <v>41</v>
      </c>
      <c r="J1189" s="2">
        <v>32</v>
      </c>
      <c r="K1189" s="2" t="s">
        <v>132</v>
      </c>
      <c r="L1189" s="2" t="s">
        <v>40</v>
      </c>
      <c r="P1189" s="2" t="s">
        <v>48</v>
      </c>
      <c r="Q1189" s="2">
        <f>INDEX(Tables!$C$4:$C$28,MATCH($P1189,Tables!$B$4:$B$28,0))</f>
        <v>32</v>
      </c>
      <c r="R1189" s="2">
        <f>INDEX(Tables!$D$4:$D$28,MATCH($P1189,Tables!$B$4:$B$28,0))</f>
        <v>4</v>
      </c>
      <c r="S1189" s="2">
        <f>$S1188+$R1188+INDEX(Tables!$N$5:$Q$8,MATCH(MOD($S1188+$R1188,4),Tables!$M$5:$M$8,0),MATCH($R1189,Tables!$N$4:$Q$4,0))</f>
        <v>4572</v>
      </c>
      <c r="T1189" s="2" t="str">
        <f t="shared" si="288"/>
        <v>11DC</v>
      </c>
      <c r="U1189" s="2">
        <f t="shared" si="294"/>
        <v>1143</v>
      </c>
      <c r="V1189" s="2" t="str">
        <f t="shared" si="289"/>
        <v>477</v>
      </c>
      <c r="W1189" s="2" t="str">
        <f t="shared" si="290"/>
        <v>X</v>
      </c>
      <c r="X1189" s="2" t="str">
        <f t="shared" si="293"/>
        <v>X</v>
      </c>
      <c r="Y1189" s="2" t="str">
        <f t="shared" si="291"/>
        <v>X</v>
      </c>
      <c r="Z1189" s="2" t="str">
        <f t="shared" si="292"/>
        <v>X</v>
      </c>
      <c r="AA1189" s="2" t="str">
        <f t="shared" si="295"/>
        <v>(31 downto 24)</v>
      </c>
      <c r="AB1189" s="2" t="str">
        <f t="shared" si="296"/>
        <v>(23 downto 16)</v>
      </c>
      <c r="AC1189" s="2" t="str">
        <f t="shared" si="297"/>
        <v>(15 downto 8)</v>
      </c>
      <c r="AD1189" s="2" t="str">
        <f t="shared" si="298"/>
        <v>(7 downto 0)</v>
      </c>
      <c r="AE1189" s="2" t="str">
        <f t="shared" si="299"/>
        <v>(31 downto 24)</v>
      </c>
      <c r="AF1189" s="2" t="str">
        <f t="shared" si="300"/>
        <v>(23 downto 16)</v>
      </c>
      <c r="AG1189" s="2" t="str">
        <f t="shared" si="301"/>
        <v>(15 downto 8)</v>
      </c>
      <c r="AH1189" s="2" t="str">
        <f t="shared" si="302"/>
        <v>(7 downto 0)</v>
      </c>
    </row>
    <row r="1190" spans="2:34" x14ac:dyDescent="0.25">
      <c r="B1190" s="2" t="s">
        <v>3385</v>
      </c>
      <c r="C1190" s="2" t="s">
        <v>141</v>
      </c>
      <c r="D1190" s="2" t="s">
        <v>0</v>
      </c>
      <c r="E1190" s="2" t="s">
        <v>130</v>
      </c>
      <c r="F1190" s="2" t="s">
        <v>3386</v>
      </c>
      <c r="G1190" s="2" t="s">
        <v>3387</v>
      </c>
      <c r="H1190" s="2" t="s">
        <v>142</v>
      </c>
      <c r="I1190" s="2" t="s">
        <v>41</v>
      </c>
      <c r="J1190" s="2">
        <v>32</v>
      </c>
      <c r="K1190" s="2" t="s">
        <v>132</v>
      </c>
      <c r="L1190" s="2" t="s">
        <v>40</v>
      </c>
      <c r="P1190" s="2" t="s">
        <v>48</v>
      </c>
      <c r="Q1190" s="2">
        <f>INDEX(Tables!$C$4:$C$28,MATCH($P1190,Tables!$B$4:$B$28,0))</f>
        <v>32</v>
      </c>
      <c r="R1190" s="2">
        <f>INDEX(Tables!$D$4:$D$28,MATCH($P1190,Tables!$B$4:$B$28,0))</f>
        <v>4</v>
      </c>
      <c r="S1190" s="2">
        <f>$S1189+$R1189+INDEX(Tables!$N$5:$Q$8,MATCH(MOD($S1189+$R1189,4),Tables!$M$5:$M$8,0),MATCH($R1190,Tables!$N$4:$Q$4,0))</f>
        <v>4576</v>
      </c>
      <c r="T1190" s="2" t="str">
        <f t="shared" si="288"/>
        <v>11E0</v>
      </c>
      <c r="U1190" s="2">
        <f t="shared" si="294"/>
        <v>1144</v>
      </c>
      <c r="V1190" s="2" t="str">
        <f t="shared" si="289"/>
        <v>478</v>
      </c>
      <c r="W1190" s="2" t="str">
        <f t="shared" si="290"/>
        <v>X</v>
      </c>
      <c r="X1190" s="2" t="str">
        <f t="shared" si="293"/>
        <v>X</v>
      </c>
      <c r="Y1190" s="2" t="str">
        <f t="shared" si="291"/>
        <v>X</v>
      </c>
      <c r="Z1190" s="2" t="str">
        <f t="shared" si="292"/>
        <v>X</v>
      </c>
      <c r="AA1190" s="2" t="str">
        <f t="shared" si="295"/>
        <v>(31 downto 24)</v>
      </c>
      <c r="AB1190" s="2" t="str">
        <f t="shared" si="296"/>
        <v>(23 downto 16)</v>
      </c>
      <c r="AC1190" s="2" t="str">
        <f t="shared" si="297"/>
        <v>(15 downto 8)</v>
      </c>
      <c r="AD1190" s="2" t="str">
        <f t="shared" si="298"/>
        <v>(7 downto 0)</v>
      </c>
      <c r="AE1190" s="2" t="str">
        <f t="shared" si="299"/>
        <v>(31 downto 24)</v>
      </c>
      <c r="AF1190" s="2" t="str">
        <f t="shared" si="300"/>
        <v>(23 downto 16)</v>
      </c>
      <c r="AG1190" s="2" t="str">
        <f t="shared" si="301"/>
        <v>(15 downto 8)</v>
      </c>
      <c r="AH1190" s="2" t="str">
        <f t="shared" si="302"/>
        <v>(7 downto 0)</v>
      </c>
    </row>
    <row r="1191" spans="2:34" x14ac:dyDescent="0.25">
      <c r="B1191" s="2" t="s">
        <v>3388</v>
      </c>
      <c r="C1191" s="2" t="s">
        <v>141</v>
      </c>
      <c r="D1191" s="2" t="s">
        <v>0</v>
      </c>
      <c r="E1191" s="2" t="s">
        <v>130</v>
      </c>
      <c r="F1191" s="2" t="s">
        <v>3389</v>
      </c>
      <c r="G1191" s="2" t="s">
        <v>3390</v>
      </c>
      <c r="H1191" s="2" t="s">
        <v>142</v>
      </c>
      <c r="I1191" s="2" t="s">
        <v>41</v>
      </c>
      <c r="J1191" s="2">
        <v>32</v>
      </c>
      <c r="K1191" s="2" t="s">
        <v>132</v>
      </c>
      <c r="L1191" s="2" t="s">
        <v>40</v>
      </c>
      <c r="P1191" s="2" t="s">
        <v>48</v>
      </c>
      <c r="Q1191" s="2">
        <f>INDEX(Tables!$C$4:$C$28,MATCH($P1191,Tables!$B$4:$B$28,0))</f>
        <v>32</v>
      </c>
      <c r="R1191" s="2">
        <f>INDEX(Tables!$D$4:$D$28,MATCH($P1191,Tables!$B$4:$B$28,0))</f>
        <v>4</v>
      </c>
      <c r="S1191" s="2">
        <f>$S1190+$R1190+INDEX(Tables!$N$5:$Q$8,MATCH(MOD($S1190+$R1190,4),Tables!$M$5:$M$8,0),MATCH($R1191,Tables!$N$4:$Q$4,0))</f>
        <v>4580</v>
      </c>
      <c r="T1191" s="2" t="str">
        <f t="shared" si="288"/>
        <v>11E4</v>
      </c>
      <c r="U1191" s="2">
        <f t="shared" si="294"/>
        <v>1145</v>
      </c>
      <c r="V1191" s="2" t="str">
        <f t="shared" si="289"/>
        <v>479</v>
      </c>
      <c r="W1191" s="2" t="str">
        <f t="shared" si="290"/>
        <v>X</v>
      </c>
      <c r="X1191" s="2" t="str">
        <f t="shared" si="293"/>
        <v>X</v>
      </c>
      <c r="Y1191" s="2" t="str">
        <f t="shared" si="291"/>
        <v>X</v>
      </c>
      <c r="Z1191" s="2" t="str">
        <f t="shared" si="292"/>
        <v>X</v>
      </c>
      <c r="AA1191" s="2" t="str">
        <f t="shared" si="295"/>
        <v>(31 downto 24)</v>
      </c>
      <c r="AB1191" s="2" t="str">
        <f t="shared" si="296"/>
        <v>(23 downto 16)</v>
      </c>
      <c r="AC1191" s="2" t="str">
        <f t="shared" si="297"/>
        <v>(15 downto 8)</v>
      </c>
      <c r="AD1191" s="2" t="str">
        <f t="shared" si="298"/>
        <v>(7 downto 0)</v>
      </c>
      <c r="AE1191" s="2" t="str">
        <f t="shared" si="299"/>
        <v>(31 downto 24)</v>
      </c>
      <c r="AF1191" s="2" t="str">
        <f t="shared" si="300"/>
        <v>(23 downto 16)</v>
      </c>
      <c r="AG1191" s="2" t="str">
        <f t="shared" si="301"/>
        <v>(15 downto 8)</v>
      </c>
      <c r="AH1191" s="2" t="str">
        <f t="shared" si="302"/>
        <v>(7 downto 0)</v>
      </c>
    </row>
    <row r="1192" spans="2:34" x14ac:dyDescent="0.25">
      <c r="B1192" s="2" t="s">
        <v>3391</v>
      </c>
      <c r="C1192" s="2" t="s">
        <v>141</v>
      </c>
      <c r="D1192" s="2" t="s">
        <v>0</v>
      </c>
      <c r="E1192" s="2" t="s">
        <v>130</v>
      </c>
      <c r="F1192" s="2" t="s">
        <v>3392</v>
      </c>
      <c r="G1192" s="2" t="s">
        <v>3393</v>
      </c>
      <c r="H1192" s="2" t="s">
        <v>142</v>
      </c>
      <c r="I1192" s="2" t="s">
        <v>41</v>
      </c>
      <c r="J1192" s="2">
        <v>32</v>
      </c>
      <c r="K1192" s="2" t="s">
        <v>132</v>
      </c>
      <c r="L1192" s="2" t="s">
        <v>40</v>
      </c>
      <c r="P1192" s="2" t="s">
        <v>48</v>
      </c>
      <c r="Q1192" s="2">
        <f>INDEX(Tables!$C$4:$C$28,MATCH($P1192,Tables!$B$4:$B$28,0))</f>
        <v>32</v>
      </c>
      <c r="R1192" s="2">
        <f>INDEX(Tables!$D$4:$D$28,MATCH($P1192,Tables!$B$4:$B$28,0))</f>
        <v>4</v>
      </c>
      <c r="S1192" s="2">
        <f>$S1191+$R1191+INDEX(Tables!$N$5:$Q$8,MATCH(MOD($S1191+$R1191,4),Tables!$M$5:$M$8,0),MATCH($R1192,Tables!$N$4:$Q$4,0))</f>
        <v>4584</v>
      </c>
      <c r="T1192" s="2" t="str">
        <f t="shared" si="288"/>
        <v>11E8</v>
      </c>
      <c r="U1192" s="2">
        <f t="shared" si="294"/>
        <v>1146</v>
      </c>
      <c r="V1192" s="2" t="str">
        <f t="shared" si="289"/>
        <v>47A</v>
      </c>
      <c r="W1192" s="2" t="str">
        <f t="shared" si="290"/>
        <v>X</v>
      </c>
      <c r="X1192" s="2" t="str">
        <f t="shared" si="293"/>
        <v>X</v>
      </c>
      <c r="Y1192" s="2" t="str">
        <f t="shared" si="291"/>
        <v>X</v>
      </c>
      <c r="Z1192" s="2" t="str">
        <f t="shared" si="292"/>
        <v>X</v>
      </c>
      <c r="AA1192" s="2" t="str">
        <f t="shared" si="295"/>
        <v>(31 downto 24)</v>
      </c>
      <c r="AB1192" s="2" t="str">
        <f t="shared" si="296"/>
        <v>(23 downto 16)</v>
      </c>
      <c r="AC1192" s="2" t="str">
        <f t="shared" si="297"/>
        <v>(15 downto 8)</v>
      </c>
      <c r="AD1192" s="2" t="str">
        <f t="shared" si="298"/>
        <v>(7 downto 0)</v>
      </c>
      <c r="AE1192" s="2" t="str">
        <f t="shared" si="299"/>
        <v>(31 downto 24)</v>
      </c>
      <c r="AF1192" s="2" t="str">
        <f t="shared" si="300"/>
        <v>(23 downto 16)</v>
      </c>
      <c r="AG1192" s="2" t="str">
        <f t="shared" si="301"/>
        <v>(15 downto 8)</v>
      </c>
      <c r="AH1192" s="2" t="str">
        <f t="shared" si="302"/>
        <v>(7 downto 0)</v>
      </c>
    </row>
    <row r="1193" spans="2:34" x14ac:dyDescent="0.25">
      <c r="B1193" s="2" t="s">
        <v>3394</v>
      </c>
      <c r="C1193" s="2" t="s">
        <v>141</v>
      </c>
      <c r="D1193" s="2" t="s">
        <v>0</v>
      </c>
      <c r="E1193" s="2" t="s">
        <v>130</v>
      </c>
      <c r="F1193" s="2" t="s">
        <v>3395</v>
      </c>
      <c r="G1193" s="2" t="s">
        <v>3396</v>
      </c>
      <c r="H1193" s="2" t="s">
        <v>142</v>
      </c>
      <c r="I1193" s="2" t="s">
        <v>41</v>
      </c>
      <c r="J1193" s="2">
        <v>32</v>
      </c>
      <c r="K1193" s="2" t="s">
        <v>132</v>
      </c>
      <c r="L1193" s="2" t="s">
        <v>40</v>
      </c>
      <c r="P1193" s="2" t="s">
        <v>48</v>
      </c>
      <c r="Q1193" s="2">
        <f>INDEX(Tables!$C$4:$C$28,MATCH($P1193,Tables!$B$4:$B$28,0))</f>
        <v>32</v>
      </c>
      <c r="R1193" s="2">
        <f>INDEX(Tables!$D$4:$D$28,MATCH($P1193,Tables!$B$4:$B$28,0))</f>
        <v>4</v>
      </c>
      <c r="S1193" s="2">
        <f>$S1192+$R1192+INDEX(Tables!$N$5:$Q$8,MATCH(MOD($S1192+$R1192,4),Tables!$M$5:$M$8,0),MATCH($R1193,Tables!$N$4:$Q$4,0))</f>
        <v>4588</v>
      </c>
      <c r="T1193" s="2" t="str">
        <f t="shared" si="288"/>
        <v>11EC</v>
      </c>
      <c r="U1193" s="2">
        <f t="shared" si="294"/>
        <v>1147</v>
      </c>
      <c r="V1193" s="2" t="str">
        <f t="shared" si="289"/>
        <v>47B</v>
      </c>
      <c r="W1193" s="2" t="str">
        <f t="shared" si="290"/>
        <v>X</v>
      </c>
      <c r="X1193" s="2" t="str">
        <f t="shared" si="293"/>
        <v>X</v>
      </c>
      <c r="Y1193" s="2" t="str">
        <f t="shared" si="291"/>
        <v>X</v>
      </c>
      <c r="Z1193" s="2" t="str">
        <f t="shared" si="292"/>
        <v>X</v>
      </c>
      <c r="AA1193" s="2" t="str">
        <f t="shared" si="295"/>
        <v>(31 downto 24)</v>
      </c>
      <c r="AB1193" s="2" t="str">
        <f t="shared" si="296"/>
        <v>(23 downto 16)</v>
      </c>
      <c r="AC1193" s="2" t="str">
        <f t="shared" si="297"/>
        <v>(15 downto 8)</v>
      </c>
      <c r="AD1193" s="2" t="str">
        <f t="shared" si="298"/>
        <v>(7 downto 0)</v>
      </c>
      <c r="AE1193" s="2" t="str">
        <f t="shared" si="299"/>
        <v>(31 downto 24)</v>
      </c>
      <c r="AF1193" s="2" t="str">
        <f t="shared" si="300"/>
        <v>(23 downto 16)</v>
      </c>
      <c r="AG1193" s="2" t="str">
        <f t="shared" si="301"/>
        <v>(15 downto 8)</v>
      </c>
      <c r="AH1193" s="2" t="str">
        <f t="shared" si="302"/>
        <v>(7 downto 0)</v>
      </c>
    </row>
    <row r="1194" spans="2:34" x14ac:dyDescent="0.25">
      <c r="B1194" s="2" t="s">
        <v>3397</v>
      </c>
      <c r="C1194" s="2" t="s">
        <v>141</v>
      </c>
      <c r="D1194" s="2" t="s">
        <v>0</v>
      </c>
      <c r="E1194" s="2" t="s">
        <v>130</v>
      </c>
      <c r="F1194" s="2" t="s">
        <v>3398</v>
      </c>
      <c r="G1194" s="2" t="s">
        <v>3399</v>
      </c>
      <c r="H1194" s="2" t="s">
        <v>142</v>
      </c>
      <c r="I1194" s="2" t="s">
        <v>41</v>
      </c>
      <c r="J1194" s="2">
        <v>32</v>
      </c>
      <c r="K1194" s="2" t="s">
        <v>132</v>
      </c>
      <c r="L1194" s="2" t="s">
        <v>40</v>
      </c>
      <c r="P1194" s="2" t="s">
        <v>48</v>
      </c>
      <c r="Q1194" s="2">
        <f>INDEX(Tables!$C$4:$C$28,MATCH($P1194,Tables!$B$4:$B$28,0))</f>
        <v>32</v>
      </c>
      <c r="R1194" s="2">
        <f>INDEX(Tables!$D$4:$D$28,MATCH($P1194,Tables!$B$4:$B$28,0))</f>
        <v>4</v>
      </c>
      <c r="S1194" s="2">
        <f>$S1193+$R1193+INDEX(Tables!$N$5:$Q$8,MATCH(MOD($S1193+$R1193,4),Tables!$M$5:$M$8,0),MATCH($R1194,Tables!$N$4:$Q$4,0))</f>
        <v>4592</v>
      </c>
      <c r="T1194" s="2" t="str">
        <f t="shared" si="288"/>
        <v>11F0</v>
      </c>
      <c r="U1194" s="2">
        <f t="shared" si="294"/>
        <v>1148</v>
      </c>
      <c r="V1194" s="2" t="str">
        <f t="shared" si="289"/>
        <v>47C</v>
      </c>
      <c r="W1194" s="2" t="str">
        <f t="shared" si="290"/>
        <v>X</v>
      </c>
      <c r="X1194" s="2" t="str">
        <f t="shared" si="293"/>
        <v>X</v>
      </c>
      <c r="Y1194" s="2" t="str">
        <f t="shared" si="291"/>
        <v>X</v>
      </c>
      <c r="Z1194" s="2" t="str">
        <f t="shared" si="292"/>
        <v>X</v>
      </c>
      <c r="AA1194" s="2" t="str">
        <f t="shared" si="295"/>
        <v>(31 downto 24)</v>
      </c>
      <c r="AB1194" s="2" t="str">
        <f t="shared" si="296"/>
        <v>(23 downto 16)</v>
      </c>
      <c r="AC1194" s="2" t="str">
        <f t="shared" si="297"/>
        <v>(15 downto 8)</v>
      </c>
      <c r="AD1194" s="2" t="str">
        <f t="shared" si="298"/>
        <v>(7 downto 0)</v>
      </c>
      <c r="AE1194" s="2" t="str">
        <f t="shared" si="299"/>
        <v>(31 downto 24)</v>
      </c>
      <c r="AF1194" s="2" t="str">
        <f t="shared" si="300"/>
        <v>(23 downto 16)</v>
      </c>
      <c r="AG1194" s="2" t="str">
        <f t="shared" si="301"/>
        <v>(15 downto 8)</v>
      </c>
      <c r="AH1194" s="2" t="str">
        <f t="shared" si="302"/>
        <v>(7 downto 0)</v>
      </c>
    </row>
    <row r="1195" spans="2:34" x14ac:dyDescent="0.25">
      <c r="B1195" s="2" t="s">
        <v>3400</v>
      </c>
      <c r="C1195" s="2" t="s">
        <v>141</v>
      </c>
      <c r="D1195" s="2" t="s">
        <v>0</v>
      </c>
      <c r="E1195" s="2" t="s">
        <v>130</v>
      </c>
      <c r="F1195" s="2" t="s">
        <v>3401</v>
      </c>
      <c r="G1195" s="2" t="s">
        <v>3402</v>
      </c>
      <c r="H1195" s="2" t="s">
        <v>142</v>
      </c>
      <c r="I1195" s="2" t="s">
        <v>41</v>
      </c>
      <c r="J1195" s="2">
        <v>32</v>
      </c>
      <c r="K1195" s="2" t="s">
        <v>132</v>
      </c>
      <c r="L1195" s="2" t="s">
        <v>40</v>
      </c>
      <c r="P1195" s="2" t="s">
        <v>48</v>
      </c>
      <c r="Q1195" s="2">
        <f>INDEX(Tables!$C$4:$C$28,MATCH($P1195,Tables!$B$4:$B$28,0))</f>
        <v>32</v>
      </c>
      <c r="R1195" s="2">
        <f>INDEX(Tables!$D$4:$D$28,MATCH($P1195,Tables!$B$4:$B$28,0))</f>
        <v>4</v>
      </c>
      <c r="S1195" s="2">
        <f>$S1194+$R1194+INDEX(Tables!$N$5:$Q$8,MATCH(MOD($S1194+$R1194,4),Tables!$M$5:$M$8,0),MATCH($R1195,Tables!$N$4:$Q$4,0))</f>
        <v>4596</v>
      </c>
      <c r="T1195" s="2" t="str">
        <f t="shared" si="288"/>
        <v>11F4</v>
      </c>
      <c r="U1195" s="2">
        <f t="shared" si="294"/>
        <v>1149</v>
      </c>
      <c r="V1195" s="2" t="str">
        <f t="shared" si="289"/>
        <v>47D</v>
      </c>
      <c r="W1195" s="2" t="str">
        <f t="shared" si="290"/>
        <v>X</v>
      </c>
      <c r="X1195" s="2" t="str">
        <f t="shared" si="293"/>
        <v>X</v>
      </c>
      <c r="Y1195" s="2" t="str">
        <f t="shared" si="291"/>
        <v>X</v>
      </c>
      <c r="Z1195" s="2" t="str">
        <f t="shared" si="292"/>
        <v>X</v>
      </c>
      <c r="AA1195" s="2" t="str">
        <f t="shared" si="295"/>
        <v>(31 downto 24)</v>
      </c>
      <c r="AB1195" s="2" t="str">
        <f t="shared" si="296"/>
        <v>(23 downto 16)</v>
      </c>
      <c r="AC1195" s="2" t="str">
        <f t="shared" si="297"/>
        <v>(15 downto 8)</v>
      </c>
      <c r="AD1195" s="2" t="str">
        <f t="shared" si="298"/>
        <v>(7 downto 0)</v>
      </c>
      <c r="AE1195" s="2" t="str">
        <f t="shared" si="299"/>
        <v>(31 downto 24)</v>
      </c>
      <c r="AF1195" s="2" t="str">
        <f t="shared" si="300"/>
        <v>(23 downto 16)</v>
      </c>
      <c r="AG1195" s="2" t="str">
        <f t="shared" si="301"/>
        <v>(15 downto 8)</v>
      </c>
      <c r="AH1195" s="2" t="str">
        <f t="shared" si="302"/>
        <v>(7 downto 0)</v>
      </c>
    </row>
    <row r="1196" spans="2:34" x14ac:dyDescent="0.25">
      <c r="B1196" s="2" t="s">
        <v>3403</v>
      </c>
      <c r="C1196" s="2" t="s">
        <v>141</v>
      </c>
      <c r="D1196" s="2" t="s">
        <v>0</v>
      </c>
      <c r="E1196" s="2" t="s">
        <v>130</v>
      </c>
      <c r="F1196" s="2" t="s">
        <v>3404</v>
      </c>
      <c r="G1196" s="2" t="s">
        <v>3405</v>
      </c>
      <c r="H1196" s="2" t="s">
        <v>142</v>
      </c>
      <c r="I1196" s="2" t="s">
        <v>41</v>
      </c>
      <c r="J1196" s="2">
        <v>32</v>
      </c>
      <c r="K1196" s="2" t="s">
        <v>132</v>
      </c>
      <c r="L1196" s="2" t="s">
        <v>40</v>
      </c>
      <c r="P1196" s="2" t="s">
        <v>48</v>
      </c>
      <c r="Q1196" s="2">
        <f>INDEX(Tables!$C$4:$C$28,MATCH($P1196,Tables!$B$4:$B$28,0))</f>
        <v>32</v>
      </c>
      <c r="R1196" s="2">
        <f>INDEX(Tables!$D$4:$D$28,MATCH($P1196,Tables!$B$4:$B$28,0))</f>
        <v>4</v>
      </c>
      <c r="S1196" s="2">
        <f>$S1195+$R1195+INDEX(Tables!$N$5:$Q$8,MATCH(MOD($S1195+$R1195,4),Tables!$M$5:$M$8,0),MATCH($R1196,Tables!$N$4:$Q$4,0))</f>
        <v>4600</v>
      </c>
      <c r="T1196" s="2" t="str">
        <f t="shared" si="288"/>
        <v>11F8</v>
      </c>
      <c r="U1196" s="2">
        <f t="shared" si="294"/>
        <v>1150</v>
      </c>
      <c r="V1196" s="2" t="str">
        <f t="shared" si="289"/>
        <v>47E</v>
      </c>
      <c r="W1196" s="2" t="str">
        <f t="shared" si="290"/>
        <v>X</v>
      </c>
      <c r="X1196" s="2" t="str">
        <f t="shared" si="293"/>
        <v>X</v>
      </c>
      <c r="Y1196" s="2" t="str">
        <f t="shared" si="291"/>
        <v>X</v>
      </c>
      <c r="Z1196" s="2" t="str">
        <f t="shared" si="292"/>
        <v>X</v>
      </c>
      <c r="AA1196" s="2" t="str">
        <f t="shared" si="295"/>
        <v>(31 downto 24)</v>
      </c>
      <c r="AB1196" s="2" t="str">
        <f t="shared" si="296"/>
        <v>(23 downto 16)</v>
      </c>
      <c r="AC1196" s="2" t="str">
        <f t="shared" si="297"/>
        <v>(15 downto 8)</v>
      </c>
      <c r="AD1196" s="2" t="str">
        <f t="shared" si="298"/>
        <v>(7 downto 0)</v>
      </c>
      <c r="AE1196" s="2" t="str">
        <f t="shared" si="299"/>
        <v>(31 downto 24)</v>
      </c>
      <c r="AF1196" s="2" t="str">
        <f t="shared" si="300"/>
        <v>(23 downto 16)</v>
      </c>
      <c r="AG1196" s="2" t="str">
        <f t="shared" si="301"/>
        <v>(15 downto 8)</v>
      </c>
      <c r="AH1196" s="2" t="str">
        <f t="shared" si="302"/>
        <v>(7 downto 0)</v>
      </c>
    </row>
    <row r="1197" spans="2:34" x14ac:dyDescent="0.25">
      <c r="B1197" s="2" t="s">
        <v>3406</v>
      </c>
      <c r="C1197" s="2" t="s">
        <v>141</v>
      </c>
      <c r="D1197" s="2" t="s">
        <v>0</v>
      </c>
      <c r="E1197" s="2" t="s">
        <v>130</v>
      </c>
      <c r="F1197" s="2" t="s">
        <v>3407</v>
      </c>
      <c r="G1197" s="2" t="s">
        <v>3408</v>
      </c>
      <c r="H1197" s="2" t="s">
        <v>142</v>
      </c>
      <c r="I1197" s="2" t="s">
        <v>41</v>
      </c>
      <c r="J1197" s="2">
        <v>32</v>
      </c>
      <c r="K1197" s="2" t="s">
        <v>132</v>
      </c>
      <c r="L1197" s="2" t="s">
        <v>40</v>
      </c>
      <c r="P1197" s="2" t="s">
        <v>48</v>
      </c>
      <c r="Q1197" s="2">
        <f>INDEX(Tables!$C$4:$C$28,MATCH($P1197,Tables!$B$4:$B$28,0))</f>
        <v>32</v>
      </c>
      <c r="R1197" s="2">
        <f>INDEX(Tables!$D$4:$D$28,MATCH($P1197,Tables!$B$4:$B$28,0))</f>
        <v>4</v>
      </c>
      <c r="S1197" s="2">
        <f>$S1196+$R1196+INDEX(Tables!$N$5:$Q$8,MATCH(MOD($S1196+$R1196,4),Tables!$M$5:$M$8,0),MATCH($R1197,Tables!$N$4:$Q$4,0))</f>
        <v>4604</v>
      </c>
      <c r="T1197" s="2" t="str">
        <f t="shared" si="288"/>
        <v>11FC</v>
      </c>
      <c r="U1197" s="2">
        <f t="shared" si="294"/>
        <v>1151</v>
      </c>
      <c r="V1197" s="2" t="str">
        <f t="shared" si="289"/>
        <v>47F</v>
      </c>
      <c r="W1197" s="2" t="str">
        <f t="shared" si="290"/>
        <v>X</v>
      </c>
      <c r="X1197" s="2" t="str">
        <f t="shared" si="293"/>
        <v>X</v>
      </c>
      <c r="Y1197" s="2" t="str">
        <f t="shared" si="291"/>
        <v>X</v>
      </c>
      <c r="Z1197" s="2" t="str">
        <f t="shared" si="292"/>
        <v>X</v>
      </c>
      <c r="AA1197" s="2" t="str">
        <f t="shared" si="295"/>
        <v>(31 downto 24)</v>
      </c>
      <c r="AB1197" s="2" t="str">
        <f t="shared" si="296"/>
        <v>(23 downto 16)</v>
      </c>
      <c r="AC1197" s="2" t="str">
        <f t="shared" si="297"/>
        <v>(15 downto 8)</v>
      </c>
      <c r="AD1197" s="2" t="str">
        <f t="shared" si="298"/>
        <v>(7 downto 0)</v>
      </c>
      <c r="AE1197" s="2" t="str">
        <f t="shared" si="299"/>
        <v>(31 downto 24)</v>
      </c>
      <c r="AF1197" s="2" t="str">
        <f t="shared" si="300"/>
        <v>(23 downto 16)</v>
      </c>
      <c r="AG1197" s="2" t="str">
        <f t="shared" si="301"/>
        <v>(15 downto 8)</v>
      </c>
      <c r="AH1197" s="2" t="str">
        <f t="shared" si="302"/>
        <v>(7 downto 0)</v>
      </c>
    </row>
    <row r="1198" spans="2:34" x14ac:dyDescent="0.25">
      <c r="B1198" s="2" t="s">
        <v>3409</v>
      </c>
      <c r="C1198" s="2" t="s">
        <v>141</v>
      </c>
      <c r="D1198" s="2" t="s">
        <v>0</v>
      </c>
      <c r="E1198" s="2" t="s">
        <v>130</v>
      </c>
      <c r="F1198" s="2" t="s">
        <v>3410</v>
      </c>
      <c r="G1198" s="2" t="s">
        <v>3411</v>
      </c>
      <c r="H1198" s="2" t="s">
        <v>142</v>
      </c>
      <c r="I1198" s="2" t="s">
        <v>41</v>
      </c>
      <c r="J1198" s="2">
        <v>32</v>
      </c>
      <c r="K1198" s="2" t="s">
        <v>132</v>
      </c>
      <c r="L1198" s="2" t="s">
        <v>40</v>
      </c>
      <c r="P1198" s="2" t="s">
        <v>48</v>
      </c>
      <c r="Q1198" s="2">
        <f>INDEX(Tables!$C$4:$C$28,MATCH($P1198,Tables!$B$4:$B$28,0))</f>
        <v>32</v>
      </c>
      <c r="R1198" s="2">
        <f>INDEX(Tables!$D$4:$D$28,MATCH($P1198,Tables!$B$4:$B$28,0))</f>
        <v>4</v>
      </c>
      <c r="S1198" s="2">
        <f>$S1197+$R1197+INDEX(Tables!$N$5:$Q$8,MATCH(MOD($S1197+$R1197,4),Tables!$M$5:$M$8,0),MATCH($R1198,Tables!$N$4:$Q$4,0))</f>
        <v>4608</v>
      </c>
      <c r="T1198" s="2" t="str">
        <f t="shared" si="288"/>
        <v>1200</v>
      </c>
      <c r="U1198" s="2">
        <f t="shared" si="294"/>
        <v>1152</v>
      </c>
      <c r="V1198" s="2" t="str">
        <f t="shared" si="289"/>
        <v>480</v>
      </c>
      <c r="W1198" s="2" t="str">
        <f t="shared" si="290"/>
        <v>X</v>
      </c>
      <c r="X1198" s="2" t="str">
        <f t="shared" si="293"/>
        <v>X</v>
      </c>
      <c r="Y1198" s="2" t="str">
        <f t="shared" si="291"/>
        <v>X</v>
      </c>
      <c r="Z1198" s="2" t="str">
        <f t="shared" si="292"/>
        <v>X</v>
      </c>
      <c r="AA1198" s="2" t="str">
        <f t="shared" si="295"/>
        <v>(31 downto 24)</v>
      </c>
      <c r="AB1198" s="2" t="str">
        <f t="shared" si="296"/>
        <v>(23 downto 16)</v>
      </c>
      <c r="AC1198" s="2" t="str">
        <f t="shared" si="297"/>
        <v>(15 downto 8)</v>
      </c>
      <c r="AD1198" s="2" t="str">
        <f t="shared" si="298"/>
        <v>(7 downto 0)</v>
      </c>
      <c r="AE1198" s="2" t="str">
        <f t="shared" si="299"/>
        <v>(31 downto 24)</v>
      </c>
      <c r="AF1198" s="2" t="str">
        <f t="shared" si="300"/>
        <v>(23 downto 16)</v>
      </c>
      <c r="AG1198" s="2" t="str">
        <f t="shared" si="301"/>
        <v>(15 downto 8)</v>
      </c>
      <c r="AH1198" s="2" t="str">
        <f t="shared" si="302"/>
        <v>(7 downto 0)</v>
      </c>
    </row>
    <row r="1199" spans="2:34" x14ac:dyDescent="0.25">
      <c r="B1199" s="2" t="s">
        <v>3412</v>
      </c>
      <c r="C1199" s="2" t="s">
        <v>141</v>
      </c>
      <c r="D1199" s="2" t="s">
        <v>0</v>
      </c>
      <c r="E1199" s="2" t="s">
        <v>130</v>
      </c>
      <c r="F1199" s="2" t="s">
        <v>3413</v>
      </c>
      <c r="G1199" s="2" t="s">
        <v>3414</v>
      </c>
      <c r="H1199" s="2" t="s">
        <v>142</v>
      </c>
      <c r="I1199" s="2" t="s">
        <v>41</v>
      </c>
      <c r="J1199" s="2">
        <v>32</v>
      </c>
      <c r="K1199" s="2" t="s">
        <v>132</v>
      </c>
      <c r="L1199" s="2" t="s">
        <v>40</v>
      </c>
      <c r="P1199" s="2" t="s">
        <v>48</v>
      </c>
      <c r="Q1199" s="2">
        <f>INDEX(Tables!$C$4:$C$28,MATCH($P1199,Tables!$B$4:$B$28,0))</f>
        <v>32</v>
      </c>
      <c r="R1199" s="2">
        <f>INDEX(Tables!$D$4:$D$28,MATCH($P1199,Tables!$B$4:$B$28,0))</f>
        <v>4</v>
      </c>
      <c r="S1199" s="2">
        <f>$S1198+$R1198+INDEX(Tables!$N$5:$Q$8,MATCH(MOD($S1198+$R1198,4),Tables!$M$5:$M$8,0),MATCH($R1199,Tables!$N$4:$Q$4,0))</f>
        <v>4612</v>
      </c>
      <c r="T1199" s="2" t="str">
        <f t="shared" si="288"/>
        <v>1204</v>
      </c>
      <c r="U1199" s="2">
        <f t="shared" si="294"/>
        <v>1153</v>
      </c>
      <c r="V1199" s="2" t="str">
        <f t="shared" si="289"/>
        <v>481</v>
      </c>
      <c r="W1199" s="2" t="str">
        <f t="shared" si="290"/>
        <v>X</v>
      </c>
      <c r="X1199" s="2" t="str">
        <f t="shared" si="293"/>
        <v>X</v>
      </c>
      <c r="Y1199" s="2" t="str">
        <f t="shared" si="291"/>
        <v>X</v>
      </c>
      <c r="Z1199" s="2" t="str">
        <f t="shared" si="292"/>
        <v>X</v>
      </c>
      <c r="AA1199" s="2" t="str">
        <f t="shared" si="295"/>
        <v>(31 downto 24)</v>
      </c>
      <c r="AB1199" s="2" t="str">
        <f t="shared" si="296"/>
        <v>(23 downto 16)</v>
      </c>
      <c r="AC1199" s="2" t="str">
        <f t="shared" si="297"/>
        <v>(15 downto 8)</v>
      </c>
      <c r="AD1199" s="2" t="str">
        <f t="shared" si="298"/>
        <v>(7 downto 0)</v>
      </c>
      <c r="AE1199" s="2" t="str">
        <f t="shared" si="299"/>
        <v>(31 downto 24)</v>
      </c>
      <c r="AF1199" s="2" t="str">
        <f t="shared" si="300"/>
        <v>(23 downto 16)</v>
      </c>
      <c r="AG1199" s="2" t="str">
        <f t="shared" si="301"/>
        <v>(15 downto 8)</v>
      </c>
      <c r="AH1199" s="2" t="str">
        <f t="shared" si="302"/>
        <v>(7 downto 0)</v>
      </c>
    </row>
    <row r="1200" spans="2:34" x14ac:dyDescent="0.25">
      <c r="B1200" s="2" t="s">
        <v>3415</v>
      </c>
      <c r="C1200" s="2" t="s">
        <v>141</v>
      </c>
      <c r="D1200" s="2" t="s">
        <v>0</v>
      </c>
      <c r="E1200" s="2" t="s">
        <v>130</v>
      </c>
      <c r="F1200" s="2" t="s">
        <v>3416</v>
      </c>
      <c r="G1200" s="2" t="s">
        <v>3417</v>
      </c>
      <c r="H1200" s="2" t="s">
        <v>142</v>
      </c>
      <c r="I1200" s="2" t="s">
        <v>41</v>
      </c>
      <c r="J1200" s="2">
        <v>32</v>
      </c>
      <c r="K1200" s="2" t="s">
        <v>132</v>
      </c>
      <c r="L1200" s="2" t="s">
        <v>40</v>
      </c>
      <c r="P1200" s="2" t="s">
        <v>48</v>
      </c>
      <c r="Q1200" s="2">
        <f>INDEX(Tables!$C$4:$C$28,MATCH($P1200,Tables!$B$4:$B$28,0))</f>
        <v>32</v>
      </c>
      <c r="R1200" s="2">
        <f>INDEX(Tables!$D$4:$D$28,MATCH($P1200,Tables!$B$4:$B$28,0))</f>
        <v>4</v>
      </c>
      <c r="S1200" s="2">
        <f>$S1199+$R1199+INDEX(Tables!$N$5:$Q$8,MATCH(MOD($S1199+$R1199,4),Tables!$M$5:$M$8,0),MATCH($R1200,Tables!$N$4:$Q$4,0))</f>
        <v>4616</v>
      </c>
      <c r="T1200" s="2" t="str">
        <f t="shared" si="288"/>
        <v>1208</v>
      </c>
      <c r="U1200" s="2">
        <f t="shared" si="294"/>
        <v>1154</v>
      </c>
      <c r="V1200" s="2" t="str">
        <f t="shared" si="289"/>
        <v>482</v>
      </c>
      <c r="W1200" s="2" t="str">
        <f t="shared" si="290"/>
        <v>X</v>
      </c>
      <c r="X1200" s="2" t="str">
        <f t="shared" si="293"/>
        <v>X</v>
      </c>
      <c r="Y1200" s="2" t="str">
        <f t="shared" si="291"/>
        <v>X</v>
      </c>
      <c r="Z1200" s="2" t="str">
        <f t="shared" si="292"/>
        <v>X</v>
      </c>
      <c r="AA1200" s="2" t="str">
        <f t="shared" si="295"/>
        <v>(31 downto 24)</v>
      </c>
      <c r="AB1200" s="2" t="str">
        <f t="shared" si="296"/>
        <v>(23 downto 16)</v>
      </c>
      <c r="AC1200" s="2" t="str">
        <f t="shared" si="297"/>
        <v>(15 downto 8)</v>
      </c>
      <c r="AD1200" s="2" t="str">
        <f t="shared" si="298"/>
        <v>(7 downto 0)</v>
      </c>
      <c r="AE1200" s="2" t="str">
        <f t="shared" si="299"/>
        <v>(31 downto 24)</v>
      </c>
      <c r="AF1200" s="2" t="str">
        <f t="shared" si="300"/>
        <v>(23 downto 16)</v>
      </c>
      <c r="AG1200" s="2" t="str">
        <f t="shared" si="301"/>
        <v>(15 downto 8)</v>
      </c>
      <c r="AH1200" s="2" t="str">
        <f t="shared" si="302"/>
        <v>(7 downto 0)</v>
      </c>
    </row>
    <row r="1201" spans="2:34" x14ac:dyDescent="0.25">
      <c r="B1201" s="2" t="s">
        <v>3418</v>
      </c>
      <c r="C1201" s="2" t="s">
        <v>141</v>
      </c>
      <c r="D1201" s="2" t="s">
        <v>0</v>
      </c>
      <c r="E1201" s="2" t="s">
        <v>130</v>
      </c>
      <c r="F1201" s="2" t="s">
        <v>3419</v>
      </c>
      <c r="G1201" s="2" t="s">
        <v>3420</v>
      </c>
      <c r="H1201" s="2" t="s">
        <v>142</v>
      </c>
      <c r="I1201" s="2" t="s">
        <v>41</v>
      </c>
      <c r="J1201" s="2">
        <v>32</v>
      </c>
      <c r="K1201" s="2" t="s">
        <v>132</v>
      </c>
      <c r="L1201" s="2" t="s">
        <v>40</v>
      </c>
      <c r="P1201" s="2" t="s">
        <v>48</v>
      </c>
      <c r="Q1201" s="2">
        <f>INDEX(Tables!$C$4:$C$28,MATCH($P1201,Tables!$B$4:$B$28,0))</f>
        <v>32</v>
      </c>
      <c r="R1201" s="2">
        <f>INDEX(Tables!$D$4:$D$28,MATCH($P1201,Tables!$B$4:$B$28,0))</f>
        <v>4</v>
      </c>
      <c r="S1201" s="2">
        <f>$S1200+$R1200+INDEX(Tables!$N$5:$Q$8,MATCH(MOD($S1200+$R1200,4),Tables!$M$5:$M$8,0),MATCH($R1201,Tables!$N$4:$Q$4,0))</f>
        <v>4620</v>
      </c>
      <c r="T1201" s="2" t="str">
        <f t="shared" si="288"/>
        <v>120C</v>
      </c>
      <c r="U1201" s="2">
        <f t="shared" si="294"/>
        <v>1155</v>
      </c>
      <c r="V1201" s="2" t="str">
        <f t="shared" si="289"/>
        <v>483</v>
      </c>
      <c r="W1201" s="2" t="str">
        <f t="shared" si="290"/>
        <v>X</v>
      </c>
      <c r="X1201" s="2" t="str">
        <f t="shared" si="293"/>
        <v>X</v>
      </c>
      <c r="Y1201" s="2" t="str">
        <f t="shared" si="291"/>
        <v>X</v>
      </c>
      <c r="Z1201" s="2" t="str">
        <f t="shared" si="292"/>
        <v>X</v>
      </c>
      <c r="AA1201" s="2" t="str">
        <f t="shared" si="295"/>
        <v>(31 downto 24)</v>
      </c>
      <c r="AB1201" s="2" t="str">
        <f t="shared" si="296"/>
        <v>(23 downto 16)</v>
      </c>
      <c r="AC1201" s="2" t="str">
        <f t="shared" si="297"/>
        <v>(15 downto 8)</v>
      </c>
      <c r="AD1201" s="2" t="str">
        <f t="shared" si="298"/>
        <v>(7 downto 0)</v>
      </c>
      <c r="AE1201" s="2" t="str">
        <f t="shared" si="299"/>
        <v>(31 downto 24)</v>
      </c>
      <c r="AF1201" s="2" t="str">
        <f t="shared" si="300"/>
        <v>(23 downto 16)</v>
      </c>
      <c r="AG1201" s="2" t="str">
        <f t="shared" si="301"/>
        <v>(15 downto 8)</v>
      </c>
      <c r="AH1201" s="2" t="str">
        <f t="shared" si="302"/>
        <v>(7 downto 0)</v>
      </c>
    </row>
    <row r="1202" spans="2:34" x14ac:dyDescent="0.25">
      <c r="B1202" s="2" t="s">
        <v>3421</v>
      </c>
      <c r="C1202" s="2" t="s">
        <v>141</v>
      </c>
      <c r="D1202" s="2" t="s">
        <v>0</v>
      </c>
      <c r="E1202" s="2" t="s">
        <v>130</v>
      </c>
      <c r="F1202" s="2" t="s">
        <v>3422</v>
      </c>
      <c r="G1202" s="2" t="s">
        <v>3423</v>
      </c>
      <c r="H1202" s="2" t="s">
        <v>142</v>
      </c>
      <c r="I1202" s="2" t="s">
        <v>41</v>
      </c>
      <c r="J1202" s="2">
        <v>32</v>
      </c>
      <c r="K1202" s="2" t="s">
        <v>132</v>
      </c>
      <c r="L1202" s="2" t="s">
        <v>40</v>
      </c>
      <c r="P1202" s="2" t="s">
        <v>48</v>
      </c>
      <c r="Q1202" s="2">
        <f>INDEX(Tables!$C$4:$C$28,MATCH($P1202,Tables!$B$4:$B$28,0))</f>
        <v>32</v>
      </c>
      <c r="R1202" s="2">
        <f>INDEX(Tables!$D$4:$D$28,MATCH($P1202,Tables!$B$4:$B$28,0))</f>
        <v>4</v>
      </c>
      <c r="S1202" s="2">
        <f>$S1201+$R1201+INDEX(Tables!$N$5:$Q$8,MATCH(MOD($S1201+$R1201,4),Tables!$M$5:$M$8,0),MATCH($R1202,Tables!$N$4:$Q$4,0))</f>
        <v>4624</v>
      </c>
      <c r="T1202" s="2" t="str">
        <f t="shared" si="288"/>
        <v>1210</v>
      </c>
      <c r="U1202" s="2">
        <f t="shared" si="294"/>
        <v>1156</v>
      </c>
      <c r="V1202" s="2" t="str">
        <f t="shared" si="289"/>
        <v>484</v>
      </c>
      <c r="W1202" s="2" t="str">
        <f t="shared" si="290"/>
        <v>X</v>
      </c>
      <c r="X1202" s="2" t="str">
        <f t="shared" si="293"/>
        <v>X</v>
      </c>
      <c r="Y1202" s="2" t="str">
        <f t="shared" si="291"/>
        <v>X</v>
      </c>
      <c r="Z1202" s="2" t="str">
        <f t="shared" si="292"/>
        <v>X</v>
      </c>
      <c r="AA1202" s="2" t="str">
        <f t="shared" si="295"/>
        <v>(31 downto 24)</v>
      </c>
      <c r="AB1202" s="2" t="str">
        <f t="shared" si="296"/>
        <v>(23 downto 16)</v>
      </c>
      <c r="AC1202" s="2" t="str">
        <f t="shared" si="297"/>
        <v>(15 downto 8)</v>
      </c>
      <c r="AD1202" s="2" t="str">
        <f t="shared" si="298"/>
        <v>(7 downto 0)</v>
      </c>
      <c r="AE1202" s="2" t="str">
        <f t="shared" si="299"/>
        <v>(31 downto 24)</v>
      </c>
      <c r="AF1202" s="2" t="str">
        <f t="shared" si="300"/>
        <v>(23 downto 16)</v>
      </c>
      <c r="AG1202" s="2" t="str">
        <f t="shared" si="301"/>
        <v>(15 downto 8)</v>
      </c>
      <c r="AH1202" s="2" t="str">
        <f t="shared" si="302"/>
        <v>(7 downto 0)</v>
      </c>
    </row>
    <row r="1203" spans="2:34" x14ac:dyDescent="0.25">
      <c r="B1203" s="2" t="s">
        <v>3424</v>
      </c>
      <c r="C1203" s="2" t="s">
        <v>141</v>
      </c>
      <c r="D1203" s="2" t="s">
        <v>0</v>
      </c>
      <c r="E1203" s="2" t="s">
        <v>130</v>
      </c>
      <c r="F1203" s="2" t="s">
        <v>3425</v>
      </c>
      <c r="G1203" s="2" t="s">
        <v>3426</v>
      </c>
      <c r="H1203" s="2" t="s">
        <v>142</v>
      </c>
      <c r="I1203" s="2" t="s">
        <v>41</v>
      </c>
      <c r="J1203" s="2">
        <v>32</v>
      </c>
      <c r="K1203" s="2" t="s">
        <v>132</v>
      </c>
      <c r="L1203" s="2" t="s">
        <v>40</v>
      </c>
      <c r="P1203" s="2" t="s">
        <v>48</v>
      </c>
      <c r="Q1203" s="2">
        <f>INDEX(Tables!$C$4:$C$28,MATCH($P1203,Tables!$B$4:$B$28,0))</f>
        <v>32</v>
      </c>
      <c r="R1203" s="2">
        <f>INDEX(Tables!$D$4:$D$28,MATCH($P1203,Tables!$B$4:$B$28,0))</f>
        <v>4</v>
      </c>
      <c r="S1203" s="2">
        <f>$S1202+$R1202+INDEX(Tables!$N$5:$Q$8,MATCH(MOD($S1202+$R1202,4),Tables!$M$5:$M$8,0),MATCH($R1203,Tables!$N$4:$Q$4,0))</f>
        <v>4628</v>
      </c>
      <c r="T1203" s="2" t="str">
        <f t="shared" si="288"/>
        <v>1214</v>
      </c>
      <c r="U1203" s="2">
        <f t="shared" si="294"/>
        <v>1157</v>
      </c>
      <c r="V1203" s="2" t="str">
        <f t="shared" si="289"/>
        <v>485</v>
      </c>
      <c r="W1203" s="2" t="str">
        <f t="shared" si="290"/>
        <v>X</v>
      </c>
      <c r="X1203" s="2" t="str">
        <f t="shared" si="293"/>
        <v>X</v>
      </c>
      <c r="Y1203" s="2" t="str">
        <f t="shared" si="291"/>
        <v>X</v>
      </c>
      <c r="Z1203" s="2" t="str">
        <f t="shared" si="292"/>
        <v>X</v>
      </c>
      <c r="AA1203" s="2" t="str">
        <f t="shared" si="295"/>
        <v>(31 downto 24)</v>
      </c>
      <c r="AB1203" s="2" t="str">
        <f t="shared" si="296"/>
        <v>(23 downto 16)</v>
      </c>
      <c r="AC1203" s="2" t="str">
        <f t="shared" si="297"/>
        <v>(15 downto 8)</v>
      </c>
      <c r="AD1203" s="2" t="str">
        <f t="shared" si="298"/>
        <v>(7 downto 0)</v>
      </c>
      <c r="AE1203" s="2" t="str">
        <f t="shared" si="299"/>
        <v>(31 downto 24)</v>
      </c>
      <c r="AF1203" s="2" t="str">
        <f t="shared" si="300"/>
        <v>(23 downto 16)</v>
      </c>
      <c r="AG1203" s="2" t="str">
        <f t="shared" si="301"/>
        <v>(15 downto 8)</v>
      </c>
      <c r="AH1203" s="2" t="str">
        <f t="shared" si="302"/>
        <v>(7 downto 0)</v>
      </c>
    </row>
    <row r="1204" spans="2:34" x14ac:dyDescent="0.25">
      <c r="B1204" s="2" t="s">
        <v>3427</v>
      </c>
      <c r="C1204" s="2" t="s">
        <v>141</v>
      </c>
      <c r="D1204" s="2" t="s">
        <v>0</v>
      </c>
      <c r="E1204" s="2" t="s">
        <v>130</v>
      </c>
      <c r="F1204" s="2" t="s">
        <v>3428</v>
      </c>
      <c r="G1204" s="2" t="s">
        <v>3429</v>
      </c>
      <c r="H1204" s="2" t="s">
        <v>142</v>
      </c>
      <c r="I1204" s="2" t="s">
        <v>41</v>
      </c>
      <c r="J1204" s="2">
        <v>32</v>
      </c>
      <c r="K1204" s="2" t="s">
        <v>132</v>
      </c>
      <c r="L1204" s="2" t="s">
        <v>40</v>
      </c>
      <c r="P1204" s="2" t="s">
        <v>48</v>
      </c>
      <c r="Q1204" s="2">
        <f>INDEX(Tables!$C$4:$C$28,MATCH($P1204,Tables!$B$4:$B$28,0))</f>
        <v>32</v>
      </c>
      <c r="R1204" s="2">
        <f>INDEX(Tables!$D$4:$D$28,MATCH($P1204,Tables!$B$4:$B$28,0))</f>
        <v>4</v>
      </c>
      <c r="S1204" s="2">
        <f>$S1203+$R1203+INDEX(Tables!$N$5:$Q$8,MATCH(MOD($S1203+$R1203,4),Tables!$M$5:$M$8,0),MATCH($R1204,Tables!$N$4:$Q$4,0))</f>
        <v>4632</v>
      </c>
      <c r="T1204" s="2" t="str">
        <f t="shared" si="288"/>
        <v>1218</v>
      </c>
      <c r="U1204" s="2">
        <f t="shared" si="294"/>
        <v>1158</v>
      </c>
      <c r="V1204" s="2" t="str">
        <f t="shared" si="289"/>
        <v>486</v>
      </c>
      <c r="W1204" s="2" t="str">
        <f t="shared" si="290"/>
        <v>X</v>
      </c>
      <c r="X1204" s="2" t="str">
        <f t="shared" si="293"/>
        <v>X</v>
      </c>
      <c r="Y1204" s="2" t="str">
        <f t="shared" si="291"/>
        <v>X</v>
      </c>
      <c r="Z1204" s="2" t="str">
        <f t="shared" si="292"/>
        <v>X</v>
      </c>
      <c r="AA1204" s="2" t="str">
        <f t="shared" si="295"/>
        <v>(31 downto 24)</v>
      </c>
      <c r="AB1204" s="2" t="str">
        <f t="shared" si="296"/>
        <v>(23 downto 16)</v>
      </c>
      <c r="AC1204" s="2" t="str">
        <f t="shared" si="297"/>
        <v>(15 downto 8)</v>
      </c>
      <c r="AD1204" s="2" t="str">
        <f t="shared" si="298"/>
        <v>(7 downto 0)</v>
      </c>
      <c r="AE1204" s="2" t="str">
        <f t="shared" si="299"/>
        <v>(31 downto 24)</v>
      </c>
      <c r="AF1204" s="2" t="str">
        <f t="shared" si="300"/>
        <v>(23 downto 16)</v>
      </c>
      <c r="AG1204" s="2" t="str">
        <f t="shared" si="301"/>
        <v>(15 downto 8)</v>
      </c>
      <c r="AH1204" s="2" t="str">
        <f t="shared" si="302"/>
        <v>(7 downto 0)</v>
      </c>
    </row>
    <row r="1205" spans="2:34" x14ac:dyDescent="0.25">
      <c r="B1205" s="2" t="s">
        <v>3430</v>
      </c>
      <c r="C1205" s="2" t="s">
        <v>141</v>
      </c>
      <c r="D1205" s="2" t="s">
        <v>0</v>
      </c>
      <c r="E1205" s="2" t="s">
        <v>130</v>
      </c>
      <c r="F1205" s="2" t="s">
        <v>3431</v>
      </c>
      <c r="G1205" s="2" t="s">
        <v>3432</v>
      </c>
      <c r="H1205" s="2" t="s">
        <v>142</v>
      </c>
      <c r="I1205" s="2" t="s">
        <v>41</v>
      </c>
      <c r="J1205" s="2">
        <v>32</v>
      </c>
      <c r="K1205" s="2" t="s">
        <v>132</v>
      </c>
      <c r="L1205" s="2" t="s">
        <v>40</v>
      </c>
      <c r="P1205" s="2" t="s">
        <v>48</v>
      </c>
      <c r="Q1205" s="2">
        <f>INDEX(Tables!$C$4:$C$28,MATCH($P1205,Tables!$B$4:$B$28,0))</f>
        <v>32</v>
      </c>
      <c r="R1205" s="2">
        <f>INDEX(Tables!$D$4:$D$28,MATCH($P1205,Tables!$B$4:$B$28,0))</f>
        <v>4</v>
      </c>
      <c r="S1205" s="2">
        <f>$S1204+$R1204+INDEX(Tables!$N$5:$Q$8,MATCH(MOD($S1204+$R1204,4),Tables!$M$5:$M$8,0),MATCH($R1205,Tables!$N$4:$Q$4,0))</f>
        <v>4636</v>
      </c>
      <c r="T1205" s="2" t="str">
        <f t="shared" si="288"/>
        <v>121C</v>
      </c>
      <c r="U1205" s="2">
        <f t="shared" si="294"/>
        <v>1159</v>
      </c>
      <c r="V1205" s="2" t="str">
        <f t="shared" si="289"/>
        <v>487</v>
      </c>
      <c r="W1205" s="2" t="str">
        <f t="shared" si="290"/>
        <v>X</v>
      </c>
      <c r="X1205" s="2" t="str">
        <f t="shared" si="293"/>
        <v>X</v>
      </c>
      <c r="Y1205" s="2" t="str">
        <f t="shared" si="291"/>
        <v>X</v>
      </c>
      <c r="Z1205" s="2" t="str">
        <f t="shared" si="292"/>
        <v>X</v>
      </c>
      <c r="AA1205" s="2" t="str">
        <f t="shared" si="295"/>
        <v>(31 downto 24)</v>
      </c>
      <c r="AB1205" s="2" t="str">
        <f t="shared" si="296"/>
        <v>(23 downto 16)</v>
      </c>
      <c r="AC1205" s="2" t="str">
        <f t="shared" si="297"/>
        <v>(15 downto 8)</v>
      </c>
      <c r="AD1205" s="2" t="str">
        <f t="shared" si="298"/>
        <v>(7 downto 0)</v>
      </c>
      <c r="AE1205" s="2" t="str">
        <f t="shared" si="299"/>
        <v>(31 downto 24)</v>
      </c>
      <c r="AF1205" s="2" t="str">
        <f t="shared" si="300"/>
        <v>(23 downto 16)</v>
      </c>
      <c r="AG1205" s="2" t="str">
        <f t="shared" si="301"/>
        <v>(15 downto 8)</v>
      </c>
      <c r="AH1205" s="2" t="str">
        <f t="shared" si="302"/>
        <v>(7 downto 0)</v>
      </c>
    </row>
    <row r="1206" spans="2:34" x14ac:dyDescent="0.25">
      <c r="B1206" s="2" t="s">
        <v>3433</v>
      </c>
      <c r="C1206" s="2" t="s">
        <v>141</v>
      </c>
      <c r="D1206" s="2" t="s">
        <v>0</v>
      </c>
      <c r="E1206" s="2" t="s">
        <v>130</v>
      </c>
      <c r="F1206" s="2" t="s">
        <v>3434</v>
      </c>
      <c r="G1206" s="2" t="s">
        <v>3435</v>
      </c>
      <c r="H1206" s="2" t="s">
        <v>142</v>
      </c>
      <c r="I1206" s="2" t="s">
        <v>41</v>
      </c>
      <c r="J1206" s="2">
        <v>32</v>
      </c>
      <c r="K1206" s="2" t="s">
        <v>132</v>
      </c>
      <c r="L1206" s="2" t="s">
        <v>40</v>
      </c>
      <c r="P1206" s="2" t="s">
        <v>48</v>
      </c>
      <c r="Q1206" s="2">
        <f>INDEX(Tables!$C$4:$C$28,MATCH($P1206,Tables!$B$4:$B$28,0))</f>
        <v>32</v>
      </c>
      <c r="R1206" s="2">
        <f>INDEX(Tables!$D$4:$D$28,MATCH($P1206,Tables!$B$4:$B$28,0))</f>
        <v>4</v>
      </c>
      <c r="S1206" s="2">
        <f>$S1205+$R1205+INDEX(Tables!$N$5:$Q$8,MATCH(MOD($S1205+$R1205,4),Tables!$M$5:$M$8,0),MATCH($R1206,Tables!$N$4:$Q$4,0))</f>
        <v>4640</v>
      </c>
      <c r="T1206" s="2" t="str">
        <f t="shared" si="288"/>
        <v>1220</v>
      </c>
      <c r="U1206" s="2">
        <f t="shared" si="294"/>
        <v>1160</v>
      </c>
      <c r="V1206" s="2" t="str">
        <f t="shared" si="289"/>
        <v>488</v>
      </c>
      <c r="W1206" s="2" t="str">
        <f t="shared" si="290"/>
        <v>X</v>
      </c>
      <c r="X1206" s="2" t="str">
        <f t="shared" si="293"/>
        <v>X</v>
      </c>
      <c r="Y1206" s="2" t="str">
        <f t="shared" si="291"/>
        <v>X</v>
      </c>
      <c r="Z1206" s="2" t="str">
        <f t="shared" si="292"/>
        <v>X</v>
      </c>
      <c r="AA1206" s="2" t="str">
        <f t="shared" si="295"/>
        <v>(31 downto 24)</v>
      </c>
      <c r="AB1206" s="2" t="str">
        <f t="shared" si="296"/>
        <v>(23 downto 16)</v>
      </c>
      <c r="AC1206" s="2" t="str">
        <f t="shared" si="297"/>
        <v>(15 downto 8)</v>
      </c>
      <c r="AD1206" s="2" t="str">
        <f t="shared" si="298"/>
        <v>(7 downto 0)</v>
      </c>
      <c r="AE1206" s="2" t="str">
        <f t="shared" si="299"/>
        <v>(31 downto 24)</v>
      </c>
      <c r="AF1206" s="2" t="str">
        <f t="shared" si="300"/>
        <v>(23 downto 16)</v>
      </c>
      <c r="AG1206" s="2" t="str">
        <f t="shared" si="301"/>
        <v>(15 downto 8)</v>
      </c>
      <c r="AH1206" s="2" t="str">
        <f t="shared" si="302"/>
        <v>(7 downto 0)</v>
      </c>
    </row>
    <row r="1207" spans="2:34" x14ac:dyDescent="0.25">
      <c r="B1207" s="2" t="s">
        <v>3436</v>
      </c>
      <c r="C1207" s="2" t="s">
        <v>141</v>
      </c>
      <c r="D1207" s="2" t="s">
        <v>0</v>
      </c>
      <c r="E1207" s="2" t="s">
        <v>130</v>
      </c>
      <c r="F1207" s="2" t="s">
        <v>3437</v>
      </c>
      <c r="G1207" s="2" t="s">
        <v>3438</v>
      </c>
      <c r="H1207" s="2" t="s">
        <v>142</v>
      </c>
      <c r="I1207" s="2" t="s">
        <v>41</v>
      </c>
      <c r="J1207" s="2">
        <v>32</v>
      </c>
      <c r="K1207" s="2" t="s">
        <v>132</v>
      </c>
      <c r="L1207" s="2" t="s">
        <v>40</v>
      </c>
      <c r="P1207" s="2" t="s">
        <v>48</v>
      </c>
      <c r="Q1207" s="2">
        <f>INDEX(Tables!$C$4:$C$28,MATCH($P1207,Tables!$B$4:$B$28,0))</f>
        <v>32</v>
      </c>
      <c r="R1207" s="2">
        <f>INDEX(Tables!$D$4:$D$28,MATCH($P1207,Tables!$B$4:$B$28,0))</f>
        <v>4</v>
      </c>
      <c r="S1207" s="2">
        <f>$S1206+$R1206+INDEX(Tables!$N$5:$Q$8,MATCH(MOD($S1206+$R1206,4),Tables!$M$5:$M$8,0),MATCH($R1207,Tables!$N$4:$Q$4,0))</f>
        <v>4644</v>
      </c>
      <c r="T1207" s="2" t="str">
        <f t="shared" si="288"/>
        <v>1224</v>
      </c>
      <c r="U1207" s="2">
        <f t="shared" si="294"/>
        <v>1161</v>
      </c>
      <c r="V1207" s="2" t="str">
        <f t="shared" si="289"/>
        <v>489</v>
      </c>
      <c r="W1207" s="2" t="str">
        <f t="shared" si="290"/>
        <v>X</v>
      </c>
      <c r="X1207" s="2" t="str">
        <f t="shared" si="293"/>
        <v>X</v>
      </c>
      <c r="Y1207" s="2" t="str">
        <f t="shared" si="291"/>
        <v>X</v>
      </c>
      <c r="Z1207" s="2" t="str">
        <f t="shared" si="292"/>
        <v>X</v>
      </c>
      <c r="AA1207" s="2" t="str">
        <f t="shared" si="295"/>
        <v>(31 downto 24)</v>
      </c>
      <c r="AB1207" s="2" t="str">
        <f t="shared" si="296"/>
        <v>(23 downto 16)</v>
      </c>
      <c r="AC1207" s="2" t="str">
        <f t="shared" si="297"/>
        <v>(15 downto 8)</v>
      </c>
      <c r="AD1207" s="2" t="str">
        <f t="shared" si="298"/>
        <v>(7 downto 0)</v>
      </c>
      <c r="AE1207" s="2" t="str">
        <f t="shared" si="299"/>
        <v>(31 downto 24)</v>
      </c>
      <c r="AF1207" s="2" t="str">
        <f t="shared" si="300"/>
        <v>(23 downto 16)</v>
      </c>
      <c r="AG1207" s="2" t="str">
        <f t="shared" si="301"/>
        <v>(15 downto 8)</v>
      </c>
      <c r="AH1207" s="2" t="str">
        <f t="shared" si="302"/>
        <v>(7 downto 0)</v>
      </c>
    </row>
    <row r="1208" spans="2:34" x14ac:dyDescent="0.25">
      <c r="B1208" s="2" t="s">
        <v>3439</v>
      </c>
      <c r="C1208" s="2" t="s">
        <v>141</v>
      </c>
      <c r="D1208" s="2" t="s">
        <v>0</v>
      </c>
      <c r="E1208" s="2" t="s">
        <v>130</v>
      </c>
      <c r="F1208" s="2" t="s">
        <v>3440</v>
      </c>
      <c r="G1208" s="2" t="s">
        <v>3441</v>
      </c>
      <c r="H1208" s="2" t="s">
        <v>142</v>
      </c>
      <c r="I1208" s="2" t="s">
        <v>41</v>
      </c>
      <c r="J1208" s="2">
        <v>32</v>
      </c>
      <c r="K1208" s="2" t="s">
        <v>132</v>
      </c>
      <c r="L1208" s="2" t="s">
        <v>40</v>
      </c>
      <c r="P1208" s="2" t="s">
        <v>48</v>
      </c>
      <c r="Q1208" s="2">
        <f>INDEX(Tables!$C$4:$C$28,MATCH($P1208,Tables!$B$4:$B$28,0))</f>
        <v>32</v>
      </c>
      <c r="R1208" s="2">
        <f>INDEX(Tables!$D$4:$D$28,MATCH($P1208,Tables!$B$4:$B$28,0))</f>
        <v>4</v>
      </c>
      <c r="S1208" s="2">
        <f>$S1207+$R1207+INDEX(Tables!$N$5:$Q$8,MATCH(MOD($S1207+$R1207,4),Tables!$M$5:$M$8,0),MATCH($R1208,Tables!$N$4:$Q$4,0))</f>
        <v>4648</v>
      </c>
      <c r="T1208" s="2" t="str">
        <f t="shared" si="288"/>
        <v>1228</v>
      </c>
      <c r="U1208" s="2">
        <f t="shared" si="294"/>
        <v>1162</v>
      </c>
      <c r="V1208" s="2" t="str">
        <f t="shared" si="289"/>
        <v>48A</v>
      </c>
      <c r="W1208" s="2" t="str">
        <f t="shared" si="290"/>
        <v>X</v>
      </c>
      <c r="X1208" s="2" t="str">
        <f t="shared" si="293"/>
        <v>X</v>
      </c>
      <c r="Y1208" s="2" t="str">
        <f t="shared" si="291"/>
        <v>X</v>
      </c>
      <c r="Z1208" s="2" t="str">
        <f t="shared" si="292"/>
        <v>X</v>
      </c>
      <c r="AA1208" s="2" t="str">
        <f t="shared" si="295"/>
        <v>(31 downto 24)</v>
      </c>
      <c r="AB1208" s="2" t="str">
        <f t="shared" si="296"/>
        <v>(23 downto 16)</v>
      </c>
      <c r="AC1208" s="2" t="str">
        <f t="shared" si="297"/>
        <v>(15 downto 8)</v>
      </c>
      <c r="AD1208" s="2" t="str">
        <f t="shared" si="298"/>
        <v>(7 downto 0)</v>
      </c>
      <c r="AE1208" s="2" t="str">
        <f t="shared" si="299"/>
        <v>(31 downto 24)</v>
      </c>
      <c r="AF1208" s="2" t="str">
        <f t="shared" si="300"/>
        <v>(23 downto 16)</v>
      </c>
      <c r="AG1208" s="2" t="str">
        <f t="shared" si="301"/>
        <v>(15 downto 8)</v>
      </c>
      <c r="AH1208" s="2" t="str">
        <f t="shared" si="302"/>
        <v>(7 downto 0)</v>
      </c>
    </row>
    <row r="1209" spans="2:34" x14ac:dyDescent="0.25">
      <c r="B1209" s="2" t="s">
        <v>3442</v>
      </c>
      <c r="C1209" s="2" t="s">
        <v>141</v>
      </c>
      <c r="D1209" s="2" t="s">
        <v>0</v>
      </c>
      <c r="E1209" s="2" t="s">
        <v>130</v>
      </c>
      <c r="F1209" s="2" t="s">
        <v>3443</v>
      </c>
      <c r="G1209" s="2" t="s">
        <v>3444</v>
      </c>
      <c r="H1209" s="2" t="s">
        <v>142</v>
      </c>
      <c r="I1209" s="2" t="s">
        <v>41</v>
      </c>
      <c r="J1209" s="2">
        <v>32</v>
      </c>
      <c r="K1209" s="2" t="s">
        <v>132</v>
      </c>
      <c r="L1209" s="2" t="s">
        <v>40</v>
      </c>
      <c r="P1209" s="2" t="s">
        <v>48</v>
      </c>
      <c r="Q1209" s="2">
        <f>INDEX(Tables!$C$4:$C$28,MATCH($P1209,Tables!$B$4:$B$28,0))</f>
        <v>32</v>
      </c>
      <c r="R1209" s="2">
        <f>INDEX(Tables!$D$4:$D$28,MATCH($P1209,Tables!$B$4:$B$28,0))</f>
        <v>4</v>
      </c>
      <c r="S1209" s="2">
        <f>$S1208+$R1208+INDEX(Tables!$N$5:$Q$8,MATCH(MOD($S1208+$R1208,4),Tables!$M$5:$M$8,0),MATCH($R1209,Tables!$N$4:$Q$4,0))</f>
        <v>4652</v>
      </c>
      <c r="T1209" s="2" t="str">
        <f t="shared" si="288"/>
        <v>122C</v>
      </c>
      <c r="U1209" s="2">
        <f t="shared" si="294"/>
        <v>1163</v>
      </c>
      <c r="V1209" s="2" t="str">
        <f t="shared" si="289"/>
        <v>48B</v>
      </c>
      <c r="W1209" s="2" t="str">
        <f t="shared" si="290"/>
        <v>X</v>
      </c>
      <c r="X1209" s="2" t="str">
        <f t="shared" si="293"/>
        <v>X</v>
      </c>
      <c r="Y1209" s="2" t="str">
        <f t="shared" si="291"/>
        <v>X</v>
      </c>
      <c r="Z1209" s="2" t="str">
        <f t="shared" si="292"/>
        <v>X</v>
      </c>
      <c r="AA1209" s="2" t="str">
        <f t="shared" si="295"/>
        <v>(31 downto 24)</v>
      </c>
      <c r="AB1209" s="2" t="str">
        <f t="shared" si="296"/>
        <v>(23 downto 16)</v>
      </c>
      <c r="AC1209" s="2" t="str">
        <f t="shared" si="297"/>
        <v>(15 downto 8)</v>
      </c>
      <c r="AD1209" s="2" t="str">
        <f t="shared" si="298"/>
        <v>(7 downto 0)</v>
      </c>
      <c r="AE1209" s="2" t="str">
        <f t="shared" si="299"/>
        <v>(31 downto 24)</v>
      </c>
      <c r="AF1209" s="2" t="str">
        <f t="shared" si="300"/>
        <v>(23 downto 16)</v>
      </c>
      <c r="AG1209" s="2" t="str">
        <f t="shared" si="301"/>
        <v>(15 downto 8)</v>
      </c>
      <c r="AH1209" s="2" t="str">
        <f t="shared" si="302"/>
        <v>(7 downto 0)</v>
      </c>
    </row>
    <row r="1210" spans="2:34" x14ac:dyDescent="0.25">
      <c r="B1210" s="2" t="s">
        <v>3445</v>
      </c>
      <c r="C1210" s="2" t="s">
        <v>141</v>
      </c>
      <c r="D1210" s="2" t="s">
        <v>0</v>
      </c>
      <c r="E1210" s="2" t="s">
        <v>130</v>
      </c>
      <c r="F1210" s="2" t="s">
        <v>3446</v>
      </c>
      <c r="G1210" s="2" t="s">
        <v>3447</v>
      </c>
      <c r="H1210" s="2" t="s">
        <v>142</v>
      </c>
      <c r="I1210" s="2" t="s">
        <v>41</v>
      </c>
      <c r="J1210" s="2">
        <v>32</v>
      </c>
      <c r="K1210" s="2" t="s">
        <v>132</v>
      </c>
      <c r="L1210" s="2" t="s">
        <v>40</v>
      </c>
      <c r="P1210" s="2" t="s">
        <v>48</v>
      </c>
      <c r="Q1210" s="2">
        <f>INDEX(Tables!$C$4:$C$28,MATCH($P1210,Tables!$B$4:$B$28,0))</f>
        <v>32</v>
      </c>
      <c r="R1210" s="2">
        <f>INDEX(Tables!$D$4:$D$28,MATCH($P1210,Tables!$B$4:$B$28,0))</f>
        <v>4</v>
      </c>
      <c r="S1210" s="2">
        <f>$S1209+$R1209+INDEX(Tables!$N$5:$Q$8,MATCH(MOD($S1209+$R1209,4),Tables!$M$5:$M$8,0),MATCH($R1210,Tables!$N$4:$Q$4,0))</f>
        <v>4656</v>
      </c>
      <c r="T1210" s="2" t="str">
        <f t="shared" si="288"/>
        <v>1230</v>
      </c>
      <c r="U1210" s="2">
        <f t="shared" si="294"/>
        <v>1164</v>
      </c>
      <c r="V1210" s="2" t="str">
        <f t="shared" si="289"/>
        <v>48C</v>
      </c>
      <c r="W1210" s="2" t="str">
        <f t="shared" si="290"/>
        <v>X</v>
      </c>
      <c r="X1210" s="2" t="str">
        <f t="shared" si="293"/>
        <v>X</v>
      </c>
      <c r="Y1210" s="2" t="str">
        <f t="shared" si="291"/>
        <v>X</v>
      </c>
      <c r="Z1210" s="2" t="str">
        <f t="shared" si="292"/>
        <v>X</v>
      </c>
      <c r="AA1210" s="2" t="str">
        <f t="shared" si="295"/>
        <v>(31 downto 24)</v>
      </c>
      <c r="AB1210" s="2" t="str">
        <f t="shared" si="296"/>
        <v>(23 downto 16)</v>
      </c>
      <c r="AC1210" s="2" t="str">
        <f t="shared" si="297"/>
        <v>(15 downto 8)</v>
      </c>
      <c r="AD1210" s="2" t="str">
        <f t="shared" si="298"/>
        <v>(7 downto 0)</v>
      </c>
      <c r="AE1210" s="2" t="str">
        <f t="shared" si="299"/>
        <v>(31 downto 24)</v>
      </c>
      <c r="AF1210" s="2" t="str">
        <f t="shared" si="300"/>
        <v>(23 downto 16)</v>
      </c>
      <c r="AG1210" s="2" t="str">
        <f t="shared" si="301"/>
        <v>(15 downto 8)</v>
      </c>
      <c r="AH1210" s="2" t="str">
        <f t="shared" si="302"/>
        <v>(7 downto 0)</v>
      </c>
    </row>
    <row r="1211" spans="2:34" x14ac:dyDescent="0.25">
      <c r="B1211" s="2" t="s">
        <v>3448</v>
      </c>
      <c r="C1211" s="2" t="s">
        <v>141</v>
      </c>
      <c r="D1211" s="2" t="s">
        <v>0</v>
      </c>
      <c r="E1211" s="2" t="s">
        <v>130</v>
      </c>
      <c r="F1211" s="2" t="s">
        <v>3449</v>
      </c>
      <c r="G1211" s="2" t="s">
        <v>3450</v>
      </c>
      <c r="H1211" s="2" t="s">
        <v>142</v>
      </c>
      <c r="I1211" s="2" t="s">
        <v>41</v>
      </c>
      <c r="J1211" s="2">
        <v>32</v>
      </c>
      <c r="K1211" s="2" t="s">
        <v>132</v>
      </c>
      <c r="L1211" s="2" t="s">
        <v>40</v>
      </c>
      <c r="P1211" s="2" t="s">
        <v>48</v>
      </c>
      <c r="Q1211" s="2">
        <f>INDEX(Tables!$C$4:$C$28,MATCH($P1211,Tables!$B$4:$B$28,0))</f>
        <v>32</v>
      </c>
      <c r="R1211" s="2">
        <f>INDEX(Tables!$D$4:$D$28,MATCH($P1211,Tables!$B$4:$B$28,0))</f>
        <v>4</v>
      </c>
      <c r="S1211" s="2">
        <f>$S1210+$R1210+INDEX(Tables!$N$5:$Q$8,MATCH(MOD($S1210+$R1210,4),Tables!$M$5:$M$8,0),MATCH($R1211,Tables!$N$4:$Q$4,0))</f>
        <v>4660</v>
      </c>
      <c r="T1211" s="2" t="str">
        <f t="shared" si="288"/>
        <v>1234</v>
      </c>
      <c r="U1211" s="2">
        <f t="shared" si="294"/>
        <v>1165</v>
      </c>
      <c r="V1211" s="2" t="str">
        <f t="shared" si="289"/>
        <v>48D</v>
      </c>
      <c r="W1211" s="2" t="str">
        <f t="shared" si="290"/>
        <v>X</v>
      </c>
      <c r="X1211" s="2" t="str">
        <f t="shared" si="293"/>
        <v>X</v>
      </c>
      <c r="Y1211" s="2" t="str">
        <f t="shared" si="291"/>
        <v>X</v>
      </c>
      <c r="Z1211" s="2" t="str">
        <f t="shared" si="292"/>
        <v>X</v>
      </c>
      <c r="AA1211" s="2" t="str">
        <f t="shared" si="295"/>
        <v>(31 downto 24)</v>
      </c>
      <c r="AB1211" s="2" t="str">
        <f t="shared" si="296"/>
        <v>(23 downto 16)</v>
      </c>
      <c r="AC1211" s="2" t="str">
        <f t="shared" si="297"/>
        <v>(15 downto 8)</v>
      </c>
      <c r="AD1211" s="2" t="str">
        <f t="shared" si="298"/>
        <v>(7 downto 0)</v>
      </c>
      <c r="AE1211" s="2" t="str">
        <f t="shared" si="299"/>
        <v>(31 downto 24)</v>
      </c>
      <c r="AF1211" s="2" t="str">
        <f t="shared" si="300"/>
        <v>(23 downto 16)</v>
      </c>
      <c r="AG1211" s="2" t="str">
        <f t="shared" si="301"/>
        <v>(15 downto 8)</v>
      </c>
      <c r="AH1211" s="2" t="str">
        <f t="shared" si="302"/>
        <v>(7 downto 0)</v>
      </c>
    </row>
    <row r="1212" spans="2:34" x14ac:dyDescent="0.25">
      <c r="B1212" s="2" t="s">
        <v>3451</v>
      </c>
      <c r="C1212" s="2" t="s">
        <v>141</v>
      </c>
      <c r="D1212" s="2" t="s">
        <v>0</v>
      </c>
      <c r="E1212" s="2" t="s">
        <v>130</v>
      </c>
      <c r="F1212" s="2" t="s">
        <v>3452</v>
      </c>
      <c r="G1212" s="2" t="s">
        <v>3453</v>
      </c>
      <c r="H1212" s="2" t="s">
        <v>142</v>
      </c>
      <c r="I1212" s="2" t="s">
        <v>41</v>
      </c>
      <c r="J1212" s="2">
        <v>32</v>
      </c>
      <c r="K1212" s="2" t="s">
        <v>132</v>
      </c>
      <c r="L1212" s="2" t="s">
        <v>40</v>
      </c>
      <c r="P1212" s="2" t="s">
        <v>48</v>
      </c>
      <c r="Q1212" s="2">
        <f>INDEX(Tables!$C$4:$C$28,MATCH($P1212,Tables!$B$4:$B$28,0))</f>
        <v>32</v>
      </c>
      <c r="R1212" s="2">
        <f>INDEX(Tables!$D$4:$D$28,MATCH($P1212,Tables!$B$4:$B$28,0))</f>
        <v>4</v>
      </c>
      <c r="S1212" s="2">
        <f>$S1211+$R1211+INDEX(Tables!$N$5:$Q$8,MATCH(MOD($S1211+$R1211,4),Tables!$M$5:$M$8,0),MATCH($R1212,Tables!$N$4:$Q$4,0))</f>
        <v>4664</v>
      </c>
      <c r="T1212" s="2" t="str">
        <f t="shared" si="288"/>
        <v>1238</v>
      </c>
      <c r="U1212" s="2">
        <f t="shared" si="294"/>
        <v>1166</v>
      </c>
      <c r="V1212" s="2" t="str">
        <f t="shared" si="289"/>
        <v>48E</v>
      </c>
      <c r="W1212" s="2" t="str">
        <f t="shared" si="290"/>
        <v>X</v>
      </c>
      <c r="X1212" s="2" t="str">
        <f t="shared" si="293"/>
        <v>X</v>
      </c>
      <c r="Y1212" s="2" t="str">
        <f t="shared" si="291"/>
        <v>X</v>
      </c>
      <c r="Z1212" s="2" t="str">
        <f t="shared" si="292"/>
        <v>X</v>
      </c>
      <c r="AA1212" s="2" t="str">
        <f t="shared" si="295"/>
        <v>(31 downto 24)</v>
      </c>
      <c r="AB1212" s="2" t="str">
        <f t="shared" si="296"/>
        <v>(23 downto 16)</v>
      </c>
      <c r="AC1212" s="2" t="str">
        <f t="shared" si="297"/>
        <v>(15 downto 8)</v>
      </c>
      <c r="AD1212" s="2" t="str">
        <f t="shared" si="298"/>
        <v>(7 downto 0)</v>
      </c>
      <c r="AE1212" s="2" t="str">
        <f t="shared" si="299"/>
        <v>(31 downto 24)</v>
      </c>
      <c r="AF1212" s="2" t="str">
        <f t="shared" si="300"/>
        <v>(23 downto 16)</v>
      </c>
      <c r="AG1212" s="2" t="str">
        <f t="shared" si="301"/>
        <v>(15 downto 8)</v>
      </c>
      <c r="AH1212" s="2" t="str">
        <f t="shared" si="302"/>
        <v>(7 downto 0)</v>
      </c>
    </row>
    <row r="1213" spans="2:34" x14ac:dyDescent="0.25">
      <c r="B1213" s="2" t="s">
        <v>3454</v>
      </c>
      <c r="C1213" s="2" t="s">
        <v>141</v>
      </c>
      <c r="D1213" s="2" t="s">
        <v>0</v>
      </c>
      <c r="E1213" s="2" t="s">
        <v>130</v>
      </c>
      <c r="F1213" s="2" t="s">
        <v>3455</v>
      </c>
      <c r="G1213" s="2" t="s">
        <v>3456</v>
      </c>
      <c r="H1213" s="2" t="s">
        <v>142</v>
      </c>
      <c r="I1213" s="2" t="s">
        <v>41</v>
      </c>
      <c r="J1213" s="2">
        <v>32</v>
      </c>
      <c r="K1213" s="2" t="s">
        <v>132</v>
      </c>
      <c r="L1213" s="2" t="s">
        <v>40</v>
      </c>
      <c r="P1213" s="2" t="s">
        <v>48</v>
      </c>
      <c r="Q1213" s="2">
        <f>INDEX(Tables!$C$4:$C$28,MATCH($P1213,Tables!$B$4:$B$28,0))</f>
        <v>32</v>
      </c>
      <c r="R1213" s="2">
        <f>INDEX(Tables!$D$4:$D$28,MATCH($P1213,Tables!$B$4:$B$28,0))</f>
        <v>4</v>
      </c>
      <c r="S1213" s="2">
        <f>$S1212+$R1212+INDEX(Tables!$N$5:$Q$8,MATCH(MOD($S1212+$R1212,4),Tables!$M$5:$M$8,0),MATCH($R1213,Tables!$N$4:$Q$4,0))</f>
        <v>4668</v>
      </c>
      <c r="T1213" s="2" t="str">
        <f t="shared" si="288"/>
        <v>123C</v>
      </c>
      <c r="U1213" s="2">
        <f t="shared" si="294"/>
        <v>1167</v>
      </c>
      <c r="V1213" s="2" t="str">
        <f t="shared" si="289"/>
        <v>48F</v>
      </c>
      <c r="W1213" s="2" t="str">
        <f t="shared" si="290"/>
        <v>X</v>
      </c>
      <c r="X1213" s="2" t="str">
        <f t="shared" si="293"/>
        <v>X</v>
      </c>
      <c r="Y1213" s="2" t="str">
        <f t="shared" si="291"/>
        <v>X</v>
      </c>
      <c r="Z1213" s="2" t="str">
        <f t="shared" si="292"/>
        <v>X</v>
      </c>
      <c r="AA1213" s="2" t="str">
        <f t="shared" si="295"/>
        <v>(31 downto 24)</v>
      </c>
      <c r="AB1213" s="2" t="str">
        <f t="shared" si="296"/>
        <v>(23 downto 16)</v>
      </c>
      <c r="AC1213" s="2" t="str">
        <f t="shared" si="297"/>
        <v>(15 downto 8)</v>
      </c>
      <c r="AD1213" s="2" t="str">
        <f t="shared" si="298"/>
        <v>(7 downto 0)</v>
      </c>
      <c r="AE1213" s="2" t="str">
        <f t="shared" si="299"/>
        <v>(31 downto 24)</v>
      </c>
      <c r="AF1213" s="2" t="str">
        <f t="shared" si="300"/>
        <v>(23 downto 16)</v>
      </c>
      <c r="AG1213" s="2" t="str">
        <f t="shared" si="301"/>
        <v>(15 downto 8)</v>
      </c>
      <c r="AH1213" s="2" t="str">
        <f t="shared" si="302"/>
        <v>(7 downto 0)</v>
      </c>
    </row>
    <row r="1214" spans="2:34" x14ac:dyDescent="0.25">
      <c r="B1214" s="2" t="s">
        <v>3457</v>
      </c>
      <c r="C1214" s="2" t="s">
        <v>141</v>
      </c>
      <c r="D1214" s="2" t="s">
        <v>0</v>
      </c>
      <c r="E1214" s="2" t="s">
        <v>130</v>
      </c>
      <c r="F1214" s="2" t="s">
        <v>3458</v>
      </c>
      <c r="G1214" s="2" t="s">
        <v>3459</v>
      </c>
      <c r="H1214" s="2" t="s">
        <v>142</v>
      </c>
      <c r="I1214" s="2" t="s">
        <v>41</v>
      </c>
      <c r="J1214" s="2">
        <v>32</v>
      </c>
      <c r="K1214" s="2" t="s">
        <v>132</v>
      </c>
      <c r="L1214" s="2" t="s">
        <v>40</v>
      </c>
      <c r="P1214" s="2" t="s">
        <v>48</v>
      </c>
      <c r="Q1214" s="2">
        <f>INDEX(Tables!$C$4:$C$28,MATCH($P1214,Tables!$B$4:$B$28,0))</f>
        <v>32</v>
      </c>
      <c r="R1214" s="2">
        <f>INDEX(Tables!$D$4:$D$28,MATCH($P1214,Tables!$B$4:$B$28,0))</f>
        <v>4</v>
      </c>
      <c r="S1214" s="2">
        <f>$S1213+$R1213+INDEX(Tables!$N$5:$Q$8,MATCH(MOD($S1213+$R1213,4),Tables!$M$5:$M$8,0),MATCH($R1214,Tables!$N$4:$Q$4,0))</f>
        <v>4672</v>
      </c>
      <c r="T1214" s="2" t="str">
        <f t="shared" si="288"/>
        <v>1240</v>
      </c>
      <c r="U1214" s="2">
        <f t="shared" si="294"/>
        <v>1168</v>
      </c>
      <c r="V1214" s="2" t="str">
        <f t="shared" si="289"/>
        <v>490</v>
      </c>
      <c r="W1214" s="2" t="str">
        <f t="shared" si="290"/>
        <v>X</v>
      </c>
      <c r="X1214" s="2" t="str">
        <f t="shared" si="293"/>
        <v>X</v>
      </c>
      <c r="Y1214" s="2" t="str">
        <f t="shared" si="291"/>
        <v>X</v>
      </c>
      <c r="Z1214" s="2" t="str">
        <f t="shared" si="292"/>
        <v>X</v>
      </c>
      <c r="AA1214" s="2" t="str">
        <f t="shared" si="295"/>
        <v>(31 downto 24)</v>
      </c>
      <c r="AB1214" s="2" t="str">
        <f t="shared" si="296"/>
        <v>(23 downto 16)</v>
      </c>
      <c r="AC1214" s="2" t="str">
        <f t="shared" si="297"/>
        <v>(15 downto 8)</v>
      </c>
      <c r="AD1214" s="2" t="str">
        <f t="shared" si="298"/>
        <v>(7 downto 0)</v>
      </c>
      <c r="AE1214" s="2" t="str">
        <f t="shared" si="299"/>
        <v>(31 downto 24)</v>
      </c>
      <c r="AF1214" s="2" t="str">
        <f t="shared" si="300"/>
        <v>(23 downto 16)</v>
      </c>
      <c r="AG1214" s="2" t="str">
        <f t="shared" si="301"/>
        <v>(15 downto 8)</v>
      </c>
      <c r="AH1214" s="2" t="str">
        <f t="shared" si="302"/>
        <v>(7 downto 0)</v>
      </c>
    </row>
    <row r="1215" spans="2:34" x14ac:dyDescent="0.25">
      <c r="B1215" s="2" t="s">
        <v>3460</v>
      </c>
      <c r="C1215" s="2" t="s">
        <v>141</v>
      </c>
      <c r="D1215" s="2" t="s">
        <v>0</v>
      </c>
      <c r="E1215" s="2" t="s">
        <v>130</v>
      </c>
      <c r="F1215" s="2" t="s">
        <v>3461</v>
      </c>
      <c r="G1215" s="2" t="s">
        <v>3462</v>
      </c>
      <c r="H1215" s="2" t="s">
        <v>142</v>
      </c>
      <c r="I1215" s="2" t="s">
        <v>41</v>
      </c>
      <c r="J1215" s="2">
        <v>32</v>
      </c>
      <c r="K1215" s="2" t="s">
        <v>132</v>
      </c>
      <c r="L1215" s="2" t="s">
        <v>40</v>
      </c>
      <c r="P1215" s="2" t="s">
        <v>48</v>
      </c>
      <c r="Q1215" s="2">
        <f>INDEX(Tables!$C$4:$C$28,MATCH($P1215,Tables!$B$4:$B$28,0))</f>
        <v>32</v>
      </c>
      <c r="R1215" s="2">
        <f>INDEX(Tables!$D$4:$D$28,MATCH($P1215,Tables!$B$4:$B$28,0))</f>
        <v>4</v>
      </c>
      <c r="S1215" s="2">
        <f>$S1214+$R1214+INDEX(Tables!$N$5:$Q$8,MATCH(MOD($S1214+$R1214,4),Tables!$M$5:$M$8,0),MATCH($R1215,Tables!$N$4:$Q$4,0))</f>
        <v>4676</v>
      </c>
      <c r="T1215" s="2" t="str">
        <f t="shared" si="288"/>
        <v>1244</v>
      </c>
      <c r="U1215" s="2">
        <f t="shared" si="294"/>
        <v>1169</v>
      </c>
      <c r="V1215" s="2" t="str">
        <f t="shared" si="289"/>
        <v>491</v>
      </c>
      <c r="W1215" s="2" t="str">
        <f t="shared" si="290"/>
        <v>X</v>
      </c>
      <c r="X1215" s="2" t="str">
        <f t="shared" si="293"/>
        <v>X</v>
      </c>
      <c r="Y1215" s="2" t="str">
        <f t="shared" si="291"/>
        <v>X</v>
      </c>
      <c r="Z1215" s="2" t="str">
        <f t="shared" si="292"/>
        <v>X</v>
      </c>
      <c r="AA1215" s="2" t="str">
        <f t="shared" si="295"/>
        <v>(31 downto 24)</v>
      </c>
      <c r="AB1215" s="2" t="str">
        <f t="shared" si="296"/>
        <v>(23 downto 16)</v>
      </c>
      <c r="AC1215" s="2" t="str">
        <f t="shared" si="297"/>
        <v>(15 downto 8)</v>
      </c>
      <c r="AD1215" s="2" t="str">
        <f t="shared" si="298"/>
        <v>(7 downto 0)</v>
      </c>
      <c r="AE1215" s="2" t="str">
        <f t="shared" si="299"/>
        <v>(31 downto 24)</v>
      </c>
      <c r="AF1215" s="2" t="str">
        <f t="shared" si="300"/>
        <v>(23 downto 16)</v>
      </c>
      <c r="AG1215" s="2" t="str">
        <f t="shared" si="301"/>
        <v>(15 downto 8)</v>
      </c>
      <c r="AH1215" s="2" t="str">
        <f t="shared" si="302"/>
        <v>(7 downto 0)</v>
      </c>
    </row>
    <row r="1216" spans="2:34" x14ac:dyDescent="0.25">
      <c r="B1216" s="2" t="s">
        <v>3463</v>
      </c>
      <c r="C1216" s="2" t="s">
        <v>141</v>
      </c>
      <c r="D1216" s="2" t="s">
        <v>0</v>
      </c>
      <c r="E1216" s="2" t="s">
        <v>130</v>
      </c>
      <c r="F1216" s="2" t="s">
        <v>3464</v>
      </c>
      <c r="G1216" s="2" t="s">
        <v>3465</v>
      </c>
      <c r="H1216" s="2" t="s">
        <v>142</v>
      </c>
      <c r="I1216" s="2" t="s">
        <v>41</v>
      </c>
      <c r="J1216" s="2">
        <v>32</v>
      </c>
      <c r="K1216" s="2" t="s">
        <v>132</v>
      </c>
      <c r="L1216" s="2" t="s">
        <v>40</v>
      </c>
      <c r="P1216" s="2" t="s">
        <v>48</v>
      </c>
      <c r="Q1216" s="2">
        <f>INDEX(Tables!$C$4:$C$28,MATCH($P1216,Tables!$B$4:$B$28,0))</f>
        <v>32</v>
      </c>
      <c r="R1216" s="2">
        <f>INDEX(Tables!$D$4:$D$28,MATCH($P1216,Tables!$B$4:$B$28,0))</f>
        <v>4</v>
      </c>
      <c r="S1216" s="2">
        <f>$S1215+$R1215+INDEX(Tables!$N$5:$Q$8,MATCH(MOD($S1215+$R1215,4),Tables!$M$5:$M$8,0),MATCH($R1216,Tables!$N$4:$Q$4,0))</f>
        <v>4680</v>
      </c>
      <c r="T1216" s="2" t="str">
        <f t="shared" si="288"/>
        <v>1248</v>
      </c>
      <c r="U1216" s="2">
        <f t="shared" si="294"/>
        <v>1170</v>
      </c>
      <c r="V1216" s="2" t="str">
        <f t="shared" si="289"/>
        <v>492</v>
      </c>
      <c r="W1216" s="2" t="str">
        <f t="shared" si="290"/>
        <v>X</v>
      </c>
      <c r="X1216" s="2" t="str">
        <f t="shared" si="293"/>
        <v>X</v>
      </c>
      <c r="Y1216" s="2" t="str">
        <f t="shared" si="291"/>
        <v>X</v>
      </c>
      <c r="Z1216" s="2" t="str">
        <f t="shared" si="292"/>
        <v>X</v>
      </c>
      <c r="AA1216" s="2" t="str">
        <f t="shared" si="295"/>
        <v>(31 downto 24)</v>
      </c>
      <c r="AB1216" s="2" t="str">
        <f t="shared" si="296"/>
        <v>(23 downto 16)</v>
      </c>
      <c r="AC1216" s="2" t="str">
        <f t="shared" si="297"/>
        <v>(15 downto 8)</v>
      </c>
      <c r="AD1216" s="2" t="str">
        <f t="shared" si="298"/>
        <v>(7 downto 0)</v>
      </c>
      <c r="AE1216" s="2" t="str">
        <f t="shared" si="299"/>
        <v>(31 downto 24)</v>
      </c>
      <c r="AF1216" s="2" t="str">
        <f t="shared" si="300"/>
        <v>(23 downto 16)</v>
      </c>
      <c r="AG1216" s="2" t="str">
        <f t="shared" si="301"/>
        <v>(15 downto 8)</v>
      </c>
      <c r="AH1216" s="2" t="str">
        <f t="shared" si="302"/>
        <v>(7 downto 0)</v>
      </c>
    </row>
    <row r="1217" spans="2:34" x14ac:dyDescent="0.25">
      <c r="B1217" s="2" t="s">
        <v>3466</v>
      </c>
      <c r="C1217" s="2" t="s">
        <v>141</v>
      </c>
      <c r="D1217" s="2" t="s">
        <v>0</v>
      </c>
      <c r="E1217" s="2" t="s">
        <v>130</v>
      </c>
      <c r="F1217" s="2" t="s">
        <v>3467</v>
      </c>
      <c r="G1217" s="2" t="s">
        <v>3468</v>
      </c>
      <c r="H1217" s="2" t="s">
        <v>142</v>
      </c>
      <c r="I1217" s="2" t="s">
        <v>41</v>
      </c>
      <c r="J1217" s="2">
        <v>32</v>
      </c>
      <c r="K1217" s="2" t="s">
        <v>132</v>
      </c>
      <c r="L1217" s="2" t="s">
        <v>40</v>
      </c>
      <c r="P1217" s="2" t="s">
        <v>48</v>
      </c>
      <c r="Q1217" s="2">
        <f>INDEX(Tables!$C$4:$C$28,MATCH($P1217,Tables!$B$4:$B$28,0))</f>
        <v>32</v>
      </c>
      <c r="R1217" s="2">
        <f>INDEX(Tables!$D$4:$D$28,MATCH($P1217,Tables!$B$4:$B$28,0))</f>
        <v>4</v>
      </c>
      <c r="S1217" s="2">
        <f>$S1216+$R1216+INDEX(Tables!$N$5:$Q$8,MATCH(MOD($S1216+$R1216,4),Tables!$M$5:$M$8,0),MATCH($R1217,Tables!$N$4:$Q$4,0))</f>
        <v>4684</v>
      </c>
      <c r="T1217" s="2" t="str">
        <f t="shared" si="288"/>
        <v>124C</v>
      </c>
      <c r="U1217" s="2">
        <f t="shared" si="294"/>
        <v>1171</v>
      </c>
      <c r="V1217" s="2" t="str">
        <f t="shared" si="289"/>
        <v>493</v>
      </c>
      <c r="W1217" s="2" t="str">
        <f t="shared" si="290"/>
        <v>X</v>
      </c>
      <c r="X1217" s="2" t="str">
        <f t="shared" si="293"/>
        <v>X</v>
      </c>
      <c r="Y1217" s="2" t="str">
        <f t="shared" si="291"/>
        <v>X</v>
      </c>
      <c r="Z1217" s="2" t="str">
        <f t="shared" si="292"/>
        <v>X</v>
      </c>
      <c r="AA1217" s="2" t="str">
        <f t="shared" si="295"/>
        <v>(31 downto 24)</v>
      </c>
      <c r="AB1217" s="2" t="str">
        <f t="shared" si="296"/>
        <v>(23 downto 16)</v>
      </c>
      <c r="AC1217" s="2" t="str">
        <f t="shared" si="297"/>
        <v>(15 downto 8)</v>
      </c>
      <c r="AD1217" s="2" t="str">
        <f t="shared" si="298"/>
        <v>(7 downto 0)</v>
      </c>
      <c r="AE1217" s="2" t="str">
        <f t="shared" si="299"/>
        <v>(31 downto 24)</v>
      </c>
      <c r="AF1217" s="2" t="str">
        <f t="shared" si="300"/>
        <v>(23 downto 16)</v>
      </c>
      <c r="AG1217" s="2" t="str">
        <f t="shared" si="301"/>
        <v>(15 downto 8)</v>
      </c>
      <c r="AH1217" s="2" t="str">
        <f t="shared" si="302"/>
        <v>(7 downto 0)</v>
      </c>
    </row>
    <row r="1218" spans="2:34" x14ac:dyDescent="0.25">
      <c r="B1218" s="2" t="s">
        <v>3469</v>
      </c>
      <c r="C1218" s="2" t="s">
        <v>141</v>
      </c>
      <c r="D1218" s="2" t="s">
        <v>0</v>
      </c>
      <c r="E1218" s="2" t="s">
        <v>130</v>
      </c>
      <c r="F1218" s="2" t="s">
        <v>3470</v>
      </c>
      <c r="G1218" s="2" t="s">
        <v>3471</v>
      </c>
      <c r="H1218" s="2" t="s">
        <v>142</v>
      </c>
      <c r="I1218" s="2" t="s">
        <v>41</v>
      </c>
      <c r="J1218" s="2">
        <v>32</v>
      </c>
      <c r="K1218" s="2" t="s">
        <v>132</v>
      </c>
      <c r="L1218" s="2" t="s">
        <v>40</v>
      </c>
      <c r="P1218" s="2" t="s">
        <v>48</v>
      </c>
      <c r="Q1218" s="2">
        <f>INDEX(Tables!$C$4:$C$28,MATCH($P1218,Tables!$B$4:$B$28,0))</f>
        <v>32</v>
      </c>
      <c r="R1218" s="2">
        <f>INDEX(Tables!$D$4:$D$28,MATCH($P1218,Tables!$B$4:$B$28,0))</f>
        <v>4</v>
      </c>
      <c r="S1218" s="2">
        <f>$S1217+$R1217+INDEX(Tables!$N$5:$Q$8,MATCH(MOD($S1217+$R1217,4),Tables!$M$5:$M$8,0),MATCH($R1218,Tables!$N$4:$Q$4,0))</f>
        <v>4688</v>
      </c>
      <c r="T1218" s="2" t="str">
        <f t="shared" si="288"/>
        <v>1250</v>
      </c>
      <c r="U1218" s="2">
        <f t="shared" si="294"/>
        <v>1172</v>
      </c>
      <c r="V1218" s="2" t="str">
        <f t="shared" si="289"/>
        <v>494</v>
      </c>
      <c r="W1218" s="2" t="str">
        <f t="shared" si="290"/>
        <v>X</v>
      </c>
      <c r="X1218" s="2" t="str">
        <f t="shared" si="293"/>
        <v>X</v>
      </c>
      <c r="Y1218" s="2" t="str">
        <f t="shared" si="291"/>
        <v>X</v>
      </c>
      <c r="Z1218" s="2" t="str">
        <f t="shared" si="292"/>
        <v>X</v>
      </c>
      <c r="AA1218" s="2" t="str">
        <f t="shared" si="295"/>
        <v>(31 downto 24)</v>
      </c>
      <c r="AB1218" s="2" t="str">
        <f t="shared" si="296"/>
        <v>(23 downto 16)</v>
      </c>
      <c r="AC1218" s="2" t="str">
        <f t="shared" si="297"/>
        <v>(15 downto 8)</v>
      </c>
      <c r="AD1218" s="2" t="str">
        <f t="shared" si="298"/>
        <v>(7 downto 0)</v>
      </c>
      <c r="AE1218" s="2" t="str">
        <f t="shared" si="299"/>
        <v>(31 downto 24)</v>
      </c>
      <c r="AF1218" s="2" t="str">
        <f t="shared" si="300"/>
        <v>(23 downto 16)</v>
      </c>
      <c r="AG1218" s="2" t="str">
        <f t="shared" si="301"/>
        <v>(15 downto 8)</v>
      </c>
      <c r="AH1218" s="2" t="str">
        <f t="shared" si="302"/>
        <v>(7 downto 0)</v>
      </c>
    </row>
    <row r="1219" spans="2:34" x14ac:dyDescent="0.25">
      <c r="B1219" s="2" t="s">
        <v>3472</v>
      </c>
      <c r="C1219" s="2" t="s">
        <v>141</v>
      </c>
      <c r="D1219" s="2" t="s">
        <v>0</v>
      </c>
      <c r="E1219" s="2" t="s">
        <v>130</v>
      </c>
      <c r="F1219" s="2" t="s">
        <v>3473</v>
      </c>
      <c r="G1219" s="2" t="s">
        <v>3474</v>
      </c>
      <c r="H1219" s="2" t="s">
        <v>142</v>
      </c>
      <c r="I1219" s="2" t="s">
        <v>41</v>
      </c>
      <c r="J1219" s="2">
        <v>32</v>
      </c>
      <c r="K1219" s="2" t="s">
        <v>132</v>
      </c>
      <c r="L1219" s="2" t="s">
        <v>40</v>
      </c>
      <c r="P1219" s="2" t="s">
        <v>48</v>
      </c>
      <c r="Q1219" s="2">
        <f>INDEX(Tables!$C$4:$C$28,MATCH($P1219,Tables!$B$4:$B$28,0))</f>
        <v>32</v>
      </c>
      <c r="R1219" s="2">
        <f>INDEX(Tables!$D$4:$D$28,MATCH($P1219,Tables!$B$4:$B$28,0))</f>
        <v>4</v>
      </c>
      <c r="S1219" s="2">
        <f>$S1218+$R1218+INDEX(Tables!$N$5:$Q$8,MATCH(MOD($S1218+$R1218,4),Tables!$M$5:$M$8,0),MATCH($R1219,Tables!$N$4:$Q$4,0))</f>
        <v>4692</v>
      </c>
      <c r="T1219" s="2" t="str">
        <f t="shared" si="288"/>
        <v>1254</v>
      </c>
      <c r="U1219" s="2">
        <f t="shared" si="294"/>
        <v>1173</v>
      </c>
      <c r="V1219" s="2" t="str">
        <f t="shared" si="289"/>
        <v>495</v>
      </c>
      <c r="W1219" s="2" t="str">
        <f t="shared" si="290"/>
        <v>X</v>
      </c>
      <c r="X1219" s="2" t="str">
        <f t="shared" si="293"/>
        <v>X</v>
      </c>
      <c r="Y1219" s="2" t="str">
        <f t="shared" si="291"/>
        <v>X</v>
      </c>
      <c r="Z1219" s="2" t="str">
        <f t="shared" si="292"/>
        <v>X</v>
      </c>
      <c r="AA1219" s="2" t="str">
        <f t="shared" si="295"/>
        <v>(31 downto 24)</v>
      </c>
      <c r="AB1219" s="2" t="str">
        <f t="shared" si="296"/>
        <v>(23 downto 16)</v>
      </c>
      <c r="AC1219" s="2" t="str">
        <f t="shared" si="297"/>
        <v>(15 downto 8)</v>
      </c>
      <c r="AD1219" s="2" t="str">
        <f t="shared" si="298"/>
        <v>(7 downto 0)</v>
      </c>
      <c r="AE1219" s="2" t="str">
        <f t="shared" si="299"/>
        <v>(31 downto 24)</v>
      </c>
      <c r="AF1219" s="2" t="str">
        <f t="shared" si="300"/>
        <v>(23 downto 16)</v>
      </c>
      <c r="AG1219" s="2" t="str">
        <f t="shared" si="301"/>
        <v>(15 downto 8)</v>
      </c>
      <c r="AH1219" s="2" t="str">
        <f t="shared" si="302"/>
        <v>(7 downto 0)</v>
      </c>
    </row>
    <row r="1220" spans="2:34" x14ac:dyDescent="0.25">
      <c r="B1220" s="2" t="s">
        <v>3475</v>
      </c>
      <c r="C1220" s="2" t="s">
        <v>141</v>
      </c>
      <c r="D1220" s="2" t="s">
        <v>0</v>
      </c>
      <c r="E1220" s="2" t="s">
        <v>130</v>
      </c>
      <c r="F1220" s="2" t="s">
        <v>3476</v>
      </c>
      <c r="G1220" s="2" t="s">
        <v>3477</v>
      </c>
      <c r="H1220" s="2" t="s">
        <v>142</v>
      </c>
      <c r="I1220" s="2" t="s">
        <v>41</v>
      </c>
      <c r="J1220" s="2">
        <v>32</v>
      </c>
      <c r="K1220" s="2" t="s">
        <v>132</v>
      </c>
      <c r="L1220" s="2" t="s">
        <v>40</v>
      </c>
      <c r="P1220" s="2" t="s">
        <v>48</v>
      </c>
      <c r="Q1220" s="2">
        <f>INDEX(Tables!$C$4:$C$28,MATCH($P1220,Tables!$B$4:$B$28,0))</f>
        <v>32</v>
      </c>
      <c r="R1220" s="2">
        <f>INDEX(Tables!$D$4:$D$28,MATCH($P1220,Tables!$B$4:$B$28,0))</f>
        <v>4</v>
      </c>
      <c r="S1220" s="2">
        <f>$S1219+$R1219+INDEX(Tables!$N$5:$Q$8,MATCH(MOD($S1219+$R1219,4),Tables!$M$5:$M$8,0),MATCH($R1220,Tables!$N$4:$Q$4,0))</f>
        <v>4696</v>
      </c>
      <c r="T1220" s="2" t="str">
        <f t="shared" si="288"/>
        <v>1258</v>
      </c>
      <c r="U1220" s="2">
        <f t="shared" si="294"/>
        <v>1174</v>
      </c>
      <c r="V1220" s="2" t="str">
        <f t="shared" si="289"/>
        <v>496</v>
      </c>
      <c r="W1220" s="2" t="str">
        <f t="shared" si="290"/>
        <v>X</v>
      </c>
      <c r="X1220" s="2" t="str">
        <f t="shared" si="293"/>
        <v>X</v>
      </c>
      <c r="Y1220" s="2" t="str">
        <f t="shared" si="291"/>
        <v>X</v>
      </c>
      <c r="Z1220" s="2" t="str">
        <f t="shared" si="292"/>
        <v>X</v>
      </c>
      <c r="AA1220" s="2" t="str">
        <f t="shared" si="295"/>
        <v>(31 downto 24)</v>
      </c>
      <c r="AB1220" s="2" t="str">
        <f t="shared" si="296"/>
        <v>(23 downto 16)</v>
      </c>
      <c r="AC1220" s="2" t="str">
        <f t="shared" si="297"/>
        <v>(15 downto 8)</v>
      </c>
      <c r="AD1220" s="2" t="str">
        <f t="shared" si="298"/>
        <v>(7 downto 0)</v>
      </c>
      <c r="AE1220" s="2" t="str">
        <f t="shared" si="299"/>
        <v>(31 downto 24)</v>
      </c>
      <c r="AF1220" s="2" t="str">
        <f t="shared" si="300"/>
        <v>(23 downto 16)</v>
      </c>
      <c r="AG1220" s="2" t="str">
        <f t="shared" si="301"/>
        <v>(15 downto 8)</v>
      </c>
      <c r="AH1220" s="2" t="str">
        <f t="shared" si="302"/>
        <v>(7 downto 0)</v>
      </c>
    </row>
    <row r="1221" spans="2:34" x14ac:dyDescent="0.25">
      <c r="B1221" s="2" t="s">
        <v>3478</v>
      </c>
      <c r="C1221" s="2" t="s">
        <v>141</v>
      </c>
      <c r="D1221" s="2" t="s">
        <v>0</v>
      </c>
      <c r="E1221" s="2" t="s">
        <v>130</v>
      </c>
      <c r="F1221" s="2" t="s">
        <v>3479</v>
      </c>
      <c r="G1221" s="2" t="s">
        <v>3480</v>
      </c>
      <c r="H1221" s="2" t="s">
        <v>142</v>
      </c>
      <c r="I1221" s="2" t="s">
        <v>41</v>
      </c>
      <c r="J1221" s="2">
        <v>32</v>
      </c>
      <c r="K1221" s="2" t="s">
        <v>132</v>
      </c>
      <c r="L1221" s="2" t="s">
        <v>40</v>
      </c>
      <c r="P1221" s="2" t="s">
        <v>48</v>
      </c>
      <c r="Q1221" s="2">
        <f>INDEX(Tables!$C$4:$C$28,MATCH($P1221,Tables!$B$4:$B$28,0))</f>
        <v>32</v>
      </c>
      <c r="R1221" s="2">
        <f>INDEX(Tables!$D$4:$D$28,MATCH($P1221,Tables!$B$4:$B$28,0))</f>
        <v>4</v>
      </c>
      <c r="S1221" s="2">
        <f>$S1220+$R1220+INDEX(Tables!$N$5:$Q$8,MATCH(MOD($S1220+$R1220,4),Tables!$M$5:$M$8,0),MATCH($R1221,Tables!$N$4:$Q$4,0))</f>
        <v>4700</v>
      </c>
      <c r="T1221" s="2" t="str">
        <f t="shared" ref="T1221:T1284" si="303">DEC2HEX($S1221,4)</f>
        <v>125C</v>
      </c>
      <c r="U1221" s="2">
        <f t="shared" si="294"/>
        <v>1175</v>
      </c>
      <c r="V1221" s="2" t="str">
        <f t="shared" ref="V1221:V1284" si="304">DEC2HEX($U1221,3)</f>
        <v>497</v>
      </c>
      <c r="W1221" s="2" t="str">
        <f t="shared" ref="W1221:W1284" si="305">IF(MOD($S1221,4)=3,"X",IF(AND(MOD($S1221,4)=2,$J1221&gt;8),"X",IF(AND(MOD($S1221,4)=1,$J1221&gt;16),"X",IF(AND(MOD($S1221,4)=0,$J1221&gt;24),"X",""))))</f>
        <v>X</v>
      </c>
      <c r="X1221" s="2" t="str">
        <f t="shared" si="293"/>
        <v>X</v>
      </c>
      <c r="Y1221" s="2" t="str">
        <f t="shared" ref="Y1221:Y1284" si="306">IF(MOD($S1221,4)=1,"X",IF(AND(MOD($S1221,4)=0,$J1221&gt;8),"X",""))</f>
        <v>X</v>
      </c>
      <c r="Z1221" s="2" t="str">
        <f t="shared" ref="Z1221:Z1284" si="307">IF(MOD($S1221,4)=0,"X","")</f>
        <v>X</v>
      </c>
      <c r="AA1221" s="2" t="str">
        <f t="shared" si="295"/>
        <v>(31 downto 24)</v>
      </c>
      <c r="AB1221" s="2" t="str">
        <f t="shared" si="296"/>
        <v>(23 downto 16)</v>
      </c>
      <c r="AC1221" s="2" t="str">
        <f t="shared" si="297"/>
        <v>(15 downto 8)</v>
      </c>
      <c r="AD1221" s="2" t="str">
        <f t="shared" si="298"/>
        <v>(7 downto 0)</v>
      </c>
      <c r="AE1221" s="2" t="str">
        <f t="shared" si="299"/>
        <v>(31 downto 24)</v>
      </c>
      <c r="AF1221" s="2" t="str">
        <f t="shared" si="300"/>
        <v>(23 downto 16)</v>
      </c>
      <c r="AG1221" s="2" t="str">
        <f t="shared" si="301"/>
        <v>(15 downto 8)</v>
      </c>
      <c r="AH1221" s="2" t="str">
        <f t="shared" si="302"/>
        <v>(7 downto 0)</v>
      </c>
    </row>
    <row r="1222" spans="2:34" x14ac:dyDescent="0.25">
      <c r="B1222" s="2" t="s">
        <v>3481</v>
      </c>
      <c r="C1222" s="2" t="s">
        <v>141</v>
      </c>
      <c r="D1222" s="2" t="s">
        <v>0</v>
      </c>
      <c r="E1222" s="2" t="s">
        <v>130</v>
      </c>
      <c r="F1222" s="2" t="s">
        <v>3482</v>
      </c>
      <c r="G1222" s="2" t="s">
        <v>3483</v>
      </c>
      <c r="H1222" s="2" t="s">
        <v>142</v>
      </c>
      <c r="I1222" s="2" t="s">
        <v>41</v>
      </c>
      <c r="J1222" s="2">
        <v>32</v>
      </c>
      <c r="K1222" s="2" t="s">
        <v>132</v>
      </c>
      <c r="L1222" s="2" t="s">
        <v>40</v>
      </c>
      <c r="P1222" s="2" t="s">
        <v>48</v>
      </c>
      <c r="Q1222" s="2">
        <f>INDEX(Tables!$C$4:$C$28,MATCH($P1222,Tables!$B$4:$B$28,0))</f>
        <v>32</v>
      </c>
      <c r="R1222" s="2">
        <f>INDEX(Tables!$D$4:$D$28,MATCH($P1222,Tables!$B$4:$B$28,0))</f>
        <v>4</v>
      </c>
      <c r="S1222" s="2">
        <f>$S1221+$R1221+INDEX(Tables!$N$5:$Q$8,MATCH(MOD($S1221+$R1221,4),Tables!$M$5:$M$8,0),MATCH($R1222,Tables!$N$4:$Q$4,0))</f>
        <v>4704</v>
      </c>
      <c r="T1222" s="2" t="str">
        <f t="shared" si="303"/>
        <v>1260</v>
      </c>
      <c r="U1222" s="2">
        <f t="shared" si="294"/>
        <v>1176</v>
      </c>
      <c r="V1222" s="2" t="str">
        <f t="shared" si="304"/>
        <v>498</v>
      </c>
      <c r="W1222" s="2" t="str">
        <f t="shared" si="305"/>
        <v>X</v>
      </c>
      <c r="X1222" s="2" t="str">
        <f t="shared" ref="X1222:X1285" si="308">IF(MOD($S1222,4)=2,"X",IF(AND(MOD($S1222,4)=1,$J1222&gt;8),"X",IF(AND(MOD($S1222,4)=0,$J1222&gt;16),"X","")))</f>
        <v>X</v>
      </c>
      <c r="Y1222" s="2" t="str">
        <f t="shared" si="306"/>
        <v>X</v>
      </c>
      <c r="Z1222" s="2" t="str">
        <f t="shared" si="307"/>
        <v>X</v>
      </c>
      <c r="AA1222" s="2" t="str">
        <f t="shared" si="295"/>
        <v>(31 downto 24)</v>
      </c>
      <c r="AB1222" s="2" t="str">
        <f t="shared" si="296"/>
        <v>(23 downto 16)</v>
      </c>
      <c r="AC1222" s="2" t="str">
        <f t="shared" si="297"/>
        <v>(15 downto 8)</v>
      </c>
      <c r="AD1222" s="2" t="str">
        <f t="shared" si="298"/>
        <v>(7 downto 0)</v>
      </c>
      <c r="AE1222" s="2" t="str">
        <f t="shared" si="299"/>
        <v>(31 downto 24)</v>
      </c>
      <c r="AF1222" s="2" t="str">
        <f t="shared" si="300"/>
        <v>(23 downto 16)</v>
      </c>
      <c r="AG1222" s="2" t="str">
        <f t="shared" si="301"/>
        <v>(15 downto 8)</v>
      </c>
      <c r="AH1222" s="2" t="str">
        <f t="shared" si="302"/>
        <v>(7 downto 0)</v>
      </c>
    </row>
    <row r="1223" spans="2:34" x14ac:dyDescent="0.25">
      <c r="B1223" s="2" t="s">
        <v>3484</v>
      </c>
      <c r="C1223" s="2" t="s">
        <v>141</v>
      </c>
      <c r="D1223" s="2" t="s">
        <v>0</v>
      </c>
      <c r="E1223" s="2" t="s">
        <v>130</v>
      </c>
      <c r="F1223" s="2" t="s">
        <v>3485</v>
      </c>
      <c r="G1223" s="2" t="s">
        <v>3486</v>
      </c>
      <c r="H1223" s="2" t="s">
        <v>142</v>
      </c>
      <c r="I1223" s="2" t="s">
        <v>41</v>
      </c>
      <c r="J1223" s="2">
        <v>32</v>
      </c>
      <c r="K1223" s="2" t="s">
        <v>132</v>
      </c>
      <c r="L1223" s="2" t="s">
        <v>40</v>
      </c>
      <c r="P1223" s="2" t="s">
        <v>48</v>
      </c>
      <c r="Q1223" s="2">
        <f>INDEX(Tables!$C$4:$C$28,MATCH($P1223,Tables!$B$4:$B$28,0))</f>
        <v>32</v>
      </c>
      <c r="R1223" s="2">
        <f>INDEX(Tables!$D$4:$D$28,MATCH($P1223,Tables!$B$4:$B$28,0))</f>
        <v>4</v>
      </c>
      <c r="S1223" s="2">
        <f>$S1222+$R1222+INDEX(Tables!$N$5:$Q$8,MATCH(MOD($S1222+$R1222,4),Tables!$M$5:$M$8,0),MATCH($R1223,Tables!$N$4:$Q$4,0))</f>
        <v>4708</v>
      </c>
      <c r="T1223" s="2" t="str">
        <f t="shared" si="303"/>
        <v>1264</v>
      </c>
      <c r="U1223" s="2">
        <f t="shared" si="294"/>
        <v>1177</v>
      </c>
      <c r="V1223" s="2" t="str">
        <f t="shared" si="304"/>
        <v>499</v>
      </c>
      <c r="W1223" s="2" t="str">
        <f t="shared" si="305"/>
        <v>X</v>
      </c>
      <c r="X1223" s="2" t="str">
        <f t="shared" si="308"/>
        <v>X</v>
      </c>
      <c r="Y1223" s="2" t="str">
        <f t="shared" si="306"/>
        <v>X</v>
      </c>
      <c r="Z1223" s="2" t="str">
        <f t="shared" si="307"/>
        <v>X</v>
      </c>
      <c r="AA1223" s="2" t="str">
        <f t="shared" si="295"/>
        <v>(31 downto 24)</v>
      </c>
      <c r="AB1223" s="2" t="str">
        <f t="shared" si="296"/>
        <v>(23 downto 16)</v>
      </c>
      <c r="AC1223" s="2" t="str">
        <f t="shared" si="297"/>
        <v>(15 downto 8)</v>
      </c>
      <c r="AD1223" s="2" t="str">
        <f t="shared" si="298"/>
        <v>(7 downto 0)</v>
      </c>
      <c r="AE1223" s="2" t="str">
        <f t="shared" si="299"/>
        <v>(31 downto 24)</v>
      </c>
      <c r="AF1223" s="2" t="str">
        <f t="shared" si="300"/>
        <v>(23 downto 16)</v>
      </c>
      <c r="AG1223" s="2" t="str">
        <f t="shared" si="301"/>
        <v>(15 downto 8)</v>
      </c>
      <c r="AH1223" s="2" t="str">
        <f t="shared" si="302"/>
        <v>(7 downto 0)</v>
      </c>
    </row>
    <row r="1224" spans="2:34" x14ac:dyDescent="0.25">
      <c r="B1224" s="2" t="s">
        <v>3487</v>
      </c>
      <c r="C1224" s="2" t="s">
        <v>141</v>
      </c>
      <c r="D1224" s="2" t="s">
        <v>0</v>
      </c>
      <c r="E1224" s="2" t="s">
        <v>130</v>
      </c>
      <c r="F1224" s="2" t="s">
        <v>3488</v>
      </c>
      <c r="G1224" s="2" t="s">
        <v>3489</v>
      </c>
      <c r="H1224" s="2" t="s">
        <v>142</v>
      </c>
      <c r="I1224" s="2" t="s">
        <v>41</v>
      </c>
      <c r="J1224" s="2">
        <v>32</v>
      </c>
      <c r="K1224" s="2" t="s">
        <v>132</v>
      </c>
      <c r="L1224" s="2" t="s">
        <v>40</v>
      </c>
      <c r="P1224" s="2" t="s">
        <v>48</v>
      </c>
      <c r="Q1224" s="2">
        <f>INDEX(Tables!$C$4:$C$28,MATCH($P1224,Tables!$B$4:$B$28,0))</f>
        <v>32</v>
      </c>
      <c r="R1224" s="2">
        <f>INDEX(Tables!$D$4:$D$28,MATCH($P1224,Tables!$B$4:$B$28,0))</f>
        <v>4</v>
      </c>
      <c r="S1224" s="2">
        <f>$S1223+$R1223+INDEX(Tables!$N$5:$Q$8,MATCH(MOD($S1223+$R1223,4),Tables!$M$5:$M$8,0),MATCH($R1224,Tables!$N$4:$Q$4,0))</f>
        <v>4712</v>
      </c>
      <c r="T1224" s="2" t="str">
        <f t="shared" si="303"/>
        <v>1268</v>
      </c>
      <c r="U1224" s="2">
        <f t="shared" si="294"/>
        <v>1178</v>
      </c>
      <c r="V1224" s="2" t="str">
        <f t="shared" si="304"/>
        <v>49A</v>
      </c>
      <c r="W1224" s="2" t="str">
        <f t="shared" si="305"/>
        <v>X</v>
      </c>
      <c r="X1224" s="2" t="str">
        <f t="shared" si="308"/>
        <v>X</v>
      </c>
      <c r="Y1224" s="2" t="str">
        <f t="shared" si="306"/>
        <v>X</v>
      </c>
      <c r="Z1224" s="2" t="str">
        <f t="shared" si="307"/>
        <v>X</v>
      </c>
      <c r="AA1224" s="2" t="str">
        <f t="shared" si="295"/>
        <v>(31 downto 24)</v>
      </c>
      <c r="AB1224" s="2" t="str">
        <f t="shared" si="296"/>
        <v>(23 downto 16)</v>
      </c>
      <c r="AC1224" s="2" t="str">
        <f t="shared" si="297"/>
        <v>(15 downto 8)</v>
      </c>
      <c r="AD1224" s="2" t="str">
        <f t="shared" si="298"/>
        <v>(7 downto 0)</v>
      </c>
      <c r="AE1224" s="2" t="str">
        <f t="shared" si="299"/>
        <v>(31 downto 24)</v>
      </c>
      <c r="AF1224" s="2" t="str">
        <f t="shared" si="300"/>
        <v>(23 downto 16)</v>
      </c>
      <c r="AG1224" s="2" t="str">
        <f t="shared" si="301"/>
        <v>(15 downto 8)</v>
      </c>
      <c r="AH1224" s="2" t="str">
        <f t="shared" si="302"/>
        <v>(7 downto 0)</v>
      </c>
    </row>
    <row r="1225" spans="2:34" x14ac:dyDescent="0.25">
      <c r="B1225" s="2" t="s">
        <v>3490</v>
      </c>
      <c r="C1225" s="2" t="s">
        <v>141</v>
      </c>
      <c r="D1225" s="2" t="s">
        <v>0</v>
      </c>
      <c r="E1225" s="2" t="s">
        <v>130</v>
      </c>
      <c r="F1225" s="2" t="s">
        <v>3491</v>
      </c>
      <c r="G1225" s="2" t="s">
        <v>3492</v>
      </c>
      <c r="H1225" s="2" t="s">
        <v>142</v>
      </c>
      <c r="I1225" s="2" t="s">
        <v>41</v>
      </c>
      <c r="J1225" s="2">
        <v>32</v>
      </c>
      <c r="K1225" s="2" t="s">
        <v>132</v>
      </c>
      <c r="L1225" s="2" t="s">
        <v>40</v>
      </c>
      <c r="P1225" s="2" t="s">
        <v>48</v>
      </c>
      <c r="Q1225" s="2">
        <f>INDEX(Tables!$C$4:$C$28,MATCH($P1225,Tables!$B$4:$B$28,0))</f>
        <v>32</v>
      </c>
      <c r="R1225" s="2">
        <f>INDEX(Tables!$D$4:$D$28,MATCH($P1225,Tables!$B$4:$B$28,0))</f>
        <v>4</v>
      </c>
      <c r="S1225" s="2">
        <f>$S1224+$R1224+INDEX(Tables!$N$5:$Q$8,MATCH(MOD($S1224+$R1224,4),Tables!$M$5:$M$8,0),MATCH($R1225,Tables!$N$4:$Q$4,0))</f>
        <v>4716</v>
      </c>
      <c r="T1225" s="2" t="str">
        <f t="shared" si="303"/>
        <v>126C</v>
      </c>
      <c r="U1225" s="2">
        <f t="shared" ref="U1225:U1288" si="309">ROUNDDOWN(S1225/4,0)</f>
        <v>1179</v>
      </c>
      <c r="V1225" s="2" t="str">
        <f t="shared" si="304"/>
        <v>49B</v>
      </c>
      <c r="W1225" s="2" t="str">
        <f t="shared" si="305"/>
        <v>X</v>
      </c>
      <c r="X1225" s="2" t="str">
        <f t="shared" si="308"/>
        <v>X</v>
      </c>
      <c r="Y1225" s="2" t="str">
        <f t="shared" si="306"/>
        <v>X</v>
      </c>
      <c r="Z1225" s="2" t="str">
        <f t="shared" si="307"/>
        <v>X</v>
      </c>
      <c r="AA1225" s="2" t="str">
        <f t="shared" ref="AA1225:AA1288" si="310">IF(W1225="","",CONCATENATE("(",IF(($J1225-COUNTIF($X1225:$Z1225,"X")*8)=1,"24)",CONCATENATE(IF(($J1225-COUNTIF($X1225:$Z1225,"X")*8)&gt;=8,32,($J1225-COUNTIF($X1225:$Z1225,"X")*8)+24)-1," downto 24)"))))</f>
        <v>(31 downto 24)</v>
      </c>
      <c r="AB1225" s="2" t="str">
        <f t="shared" ref="AB1225:AB1288" si="311">IF(X1225="","",CONCATENATE("(",IF(($J1225-COUNTIF($Y1225:$Z1225,"X")*8)=1,"16)",CONCATENATE(IF(($J1225-COUNTIF($Y1225:$Z1225,"X")*8)&gt;=8,24,($J1225-COUNTIF($Y1225:$Z1225,"X")*8)+16)-1," downto 16)"))))</f>
        <v>(23 downto 16)</v>
      </c>
      <c r="AC1225" s="2" t="str">
        <f t="shared" ref="AC1225:AC1288" si="312">IF(Y1225="","",CONCATENATE("(",IF(($J1225-COUNTIF($Z1225,"X")*8)=1,"8)",CONCATENATE(IF(($J1225-COUNTIF($Z1225,"X")*8)&gt;=8,16,($J1225-COUNTIF($Z1225,"X")*8)+8)-1," downto 8)"))))</f>
        <v>(15 downto 8)</v>
      </c>
      <c r="AD1225" s="2" t="str">
        <f t="shared" ref="AD1225:AD1288" si="313">IF(Z1225="","",CONCATENATE("(",IF($J1225=1,"0)",CONCATENATE(IF($J1225&gt;=8,8,$J1225)-1," downto 0)"))))</f>
        <v>(7 downto 0)</v>
      </c>
      <c r="AE1225" s="2" t="str">
        <f t="shared" ref="AE1225:AE1288" si="314">IF(W1225="","",IF($J1225&lt;=8,"",IF(($J1225-COUNTIF($X1225:$Z1225,"X")*8)=1,CONCATENATE("(",($J1225-1),")"),CONCATENATE("(",IF(($J1225-COUNTIF($X1225:$Z1225,"X")*8)&gt;=8,COUNTIF($X1225:$Z1225,"X")*8+7,$J1225-COUNTIF($X1225:$Z1225,"X")*8-1+COUNTIF($X1225:$Z1225,"X")*8)," downto ",COUNTIF($X1225:$Z1225,"X")*8,")"))))</f>
        <v>(31 downto 24)</v>
      </c>
      <c r="AF1225" s="2" t="str">
        <f t="shared" ref="AF1225:AF1288" si="315">IF(X1225="","",IF($J1225&lt;=8,"",IF(($J1225-COUNTIF($Y1225:$Z1225,"X")*8)=1,CONCATENATE("(",($J1225-1),")"),CONCATENATE("(",IF(($J1225-COUNTIF($Y1225:$Z1225,"X")*8)&gt;=8,COUNTIF($Y1225:$Z1225,"X")*8+7,$J1225-COUNTIF($Y1225:$Z1225,"X")*8-1+COUNTIF($Y1225:$Z1225,"X")*8)," downto ",COUNTIF($Y1225:$Z1225,"X")*8,")"))))</f>
        <v>(23 downto 16)</v>
      </c>
      <c r="AG1225" s="2" t="str">
        <f t="shared" ref="AG1225:AG1288" si="316">IF(Y1225="","",IF($J1225&lt;=8,"",IF(($J1225-COUNTIF($Z1225,"X")*8)=1,CONCATENATE("(",($J1225-1),")"),CONCATENATE("(",IF(($J1225-COUNTIF($Z1225,"X")*8)&gt;=8,COUNTIF($Z1225,"X")*8+7,$J1225-COUNTIF($Z1225,"X")*8-1+COUNTIF($Z1225,"X")*8)," downto ",COUNTIF($Z1225,"X")*8,")"))))</f>
        <v>(15 downto 8)</v>
      </c>
      <c r="AH1225" s="2" t="str">
        <f t="shared" ref="AH1225:AH1288" si="317">IF(Z1225="","",IF($J1225&lt;=8,"",CONCATENATE("(",IF($J1225&gt;=8,7,$J1225-1)," downto ",0,")")))</f>
        <v>(7 downto 0)</v>
      </c>
    </row>
    <row r="1226" spans="2:34" x14ac:dyDescent="0.25">
      <c r="B1226" s="2" t="s">
        <v>3493</v>
      </c>
      <c r="C1226" s="2" t="s">
        <v>141</v>
      </c>
      <c r="D1226" s="2" t="s">
        <v>0</v>
      </c>
      <c r="E1226" s="2" t="s">
        <v>130</v>
      </c>
      <c r="F1226" s="2" t="s">
        <v>3494</v>
      </c>
      <c r="G1226" s="2" t="s">
        <v>3495</v>
      </c>
      <c r="H1226" s="2" t="s">
        <v>142</v>
      </c>
      <c r="I1226" s="2" t="s">
        <v>41</v>
      </c>
      <c r="J1226" s="2">
        <v>32</v>
      </c>
      <c r="K1226" s="2" t="s">
        <v>132</v>
      </c>
      <c r="L1226" s="2" t="s">
        <v>40</v>
      </c>
      <c r="P1226" s="2" t="s">
        <v>48</v>
      </c>
      <c r="Q1226" s="2">
        <f>INDEX(Tables!$C$4:$C$28,MATCH($P1226,Tables!$B$4:$B$28,0))</f>
        <v>32</v>
      </c>
      <c r="R1226" s="2">
        <f>INDEX(Tables!$D$4:$D$28,MATCH($P1226,Tables!$B$4:$B$28,0))</f>
        <v>4</v>
      </c>
      <c r="S1226" s="2">
        <f>$S1225+$R1225+INDEX(Tables!$N$5:$Q$8,MATCH(MOD($S1225+$R1225,4),Tables!$M$5:$M$8,0),MATCH($R1226,Tables!$N$4:$Q$4,0))</f>
        <v>4720</v>
      </c>
      <c r="T1226" s="2" t="str">
        <f t="shared" si="303"/>
        <v>1270</v>
      </c>
      <c r="U1226" s="2">
        <f t="shared" si="309"/>
        <v>1180</v>
      </c>
      <c r="V1226" s="2" t="str">
        <f t="shared" si="304"/>
        <v>49C</v>
      </c>
      <c r="W1226" s="2" t="str">
        <f t="shared" si="305"/>
        <v>X</v>
      </c>
      <c r="X1226" s="2" t="str">
        <f t="shared" si="308"/>
        <v>X</v>
      </c>
      <c r="Y1226" s="2" t="str">
        <f t="shared" si="306"/>
        <v>X</v>
      </c>
      <c r="Z1226" s="2" t="str">
        <f t="shared" si="307"/>
        <v>X</v>
      </c>
      <c r="AA1226" s="2" t="str">
        <f t="shared" si="310"/>
        <v>(31 downto 24)</v>
      </c>
      <c r="AB1226" s="2" t="str">
        <f t="shared" si="311"/>
        <v>(23 downto 16)</v>
      </c>
      <c r="AC1226" s="2" t="str">
        <f t="shared" si="312"/>
        <v>(15 downto 8)</v>
      </c>
      <c r="AD1226" s="2" t="str">
        <f t="shared" si="313"/>
        <v>(7 downto 0)</v>
      </c>
      <c r="AE1226" s="2" t="str">
        <f t="shared" si="314"/>
        <v>(31 downto 24)</v>
      </c>
      <c r="AF1226" s="2" t="str">
        <f t="shared" si="315"/>
        <v>(23 downto 16)</v>
      </c>
      <c r="AG1226" s="2" t="str">
        <f t="shared" si="316"/>
        <v>(15 downto 8)</v>
      </c>
      <c r="AH1226" s="2" t="str">
        <f t="shared" si="317"/>
        <v>(7 downto 0)</v>
      </c>
    </row>
    <row r="1227" spans="2:34" x14ac:dyDescent="0.25">
      <c r="B1227" s="2" t="s">
        <v>3496</v>
      </c>
      <c r="C1227" s="2" t="s">
        <v>141</v>
      </c>
      <c r="D1227" s="2" t="s">
        <v>0</v>
      </c>
      <c r="E1227" s="2" t="s">
        <v>130</v>
      </c>
      <c r="F1227" s="2" t="s">
        <v>3497</v>
      </c>
      <c r="G1227" s="2" t="s">
        <v>3498</v>
      </c>
      <c r="H1227" s="2" t="s">
        <v>142</v>
      </c>
      <c r="I1227" s="2" t="s">
        <v>41</v>
      </c>
      <c r="J1227" s="2">
        <v>32</v>
      </c>
      <c r="K1227" s="2" t="s">
        <v>132</v>
      </c>
      <c r="L1227" s="2" t="s">
        <v>40</v>
      </c>
      <c r="P1227" s="2" t="s">
        <v>48</v>
      </c>
      <c r="Q1227" s="2">
        <f>INDEX(Tables!$C$4:$C$28,MATCH($P1227,Tables!$B$4:$B$28,0))</f>
        <v>32</v>
      </c>
      <c r="R1227" s="2">
        <f>INDEX(Tables!$D$4:$D$28,MATCH($P1227,Tables!$B$4:$B$28,0))</f>
        <v>4</v>
      </c>
      <c r="S1227" s="2">
        <f>$S1226+$R1226+INDEX(Tables!$N$5:$Q$8,MATCH(MOD($S1226+$R1226,4),Tables!$M$5:$M$8,0),MATCH($R1227,Tables!$N$4:$Q$4,0))</f>
        <v>4724</v>
      </c>
      <c r="T1227" s="2" t="str">
        <f t="shared" si="303"/>
        <v>1274</v>
      </c>
      <c r="U1227" s="2">
        <f t="shared" si="309"/>
        <v>1181</v>
      </c>
      <c r="V1227" s="2" t="str">
        <f t="shared" si="304"/>
        <v>49D</v>
      </c>
      <c r="W1227" s="2" t="str">
        <f t="shared" si="305"/>
        <v>X</v>
      </c>
      <c r="X1227" s="2" t="str">
        <f t="shared" si="308"/>
        <v>X</v>
      </c>
      <c r="Y1227" s="2" t="str">
        <f t="shared" si="306"/>
        <v>X</v>
      </c>
      <c r="Z1227" s="2" t="str">
        <f t="shared" si="307"/>
        <v>X</v>
      </c>
      <c r="AA1227" s="2" t="str">
        <f t="shared" si="310"/>
        <v>(31 downto 24)</v>
      </c>
      <c r="AB1227" s="2" t="str">
        <f t="shared" si="311"/>
        <v>(23 downto 16)</v>
      </c>
      <c r="AC1227" s="2" t="str">
        <f t="shared" si="312"/>
        <v>(15 downto 8)</v>
      </c>
      <c r="AD1227" s="2" t="str">
        <f t="shared" si="313"/>
        <v>(7 downto 0)</v>
      </c>
      <c r="AE1227" s="2" t="str">
        <f t="shared" si="314"/>
        <v>(31 downto 24)</v>
      </c>
      <c r="AF1227" s="2" t="str">
        <f t="shared" si="315"/>
        <v>(23 downto 16)</v>
      </c>
      <c r="AG1227" s="2" t="str">
        <f t="shared" si="316"/>
        <v>(15 downto 8)</v>
      </c>
      <c r="AH1227" s="2" t="str">
        <f t="shared" si="317"/>
        <v>(7 downto 0)</v>
      </c>
    </row>
    <row r="1228" spans="2:34" x14ac:dyDescent="0.25">
      <c r="B1228" s="2" t="s">
        <v>3499</v>
      </c>
      <c r="C1228" s="2" t="s">
        <v>141</v>
      </c>
      <c r="D1228" s="2" t="s">
        <v>0</v>
      </c>
      <c r="E1228" s="2" t="s">
        <v>130</v>
      </c>
      <c r="F1228" s="2" t="s">
        <v>3500</v>
      </c>
      <c r="G1228" s="2" t="s">
        <v>3501</v>
      </c>
      <c r="H1228" s="2" t="s">
        <v>142</v>
      </c>
      <c r="I1228" s="2" t="s">
        <v>41</v>
      </c>
      <c r="J1228" s="2">
        <v>32</v>
      </c>
      <c r="K1228" s="2" t="s">
        <v>132</v>
      </c>
      <c r="L1228" s="2" t="s">
        <v>40</v>
      </c>
      <c r="P1228" s="2" t="s">
        <v>48</v>
      </c>
      <c r="Q1228" s="2">
        <f>INDEX(Tables!$C$4:$C$28,MATCH($P1228,Tables!$B$4:$B$28,0))</f>
        <v>32</v>
      </c>
      <c r="R1228" s="2">
        <f>INDEX(Tables!$D$4:$D$28,MATCH($P1228,Tables!$B$4:$B$28,0))</f>
        <v>4</v>
      </c>
      <c r="S1228" s="2">
        <f>$S1227+$R1227+INDEX(Tables!$N$5:$Q$8,MATCH(MOD($S1227+$R1227,4),Tables!$M$5:$M$8,0),MATCH($R1228,Tables!$N$4:$Q$4,0))</f>
        <v>4728</v>
      </c>
      <c r="T1228" s="2" t="str">
        <f t="shared" si="303"/>
        <v>1278</v>
      </c>
      <c r="U1228" s="2">
        <f t="shared" si="309"/>
        <v>1182</v>
      </c>
      <c r="V1228" s="2" t="str">
        <f t="shared" si="304"/>
        <v>49E</v>
      </c>
      <c r="W1228" s="2" t="str">
        <f t="shared" si="305"/>
        <v>X</v>
      </c>
      <c r="X1228" s="2" t="str">
        <f t="shared" si="308"/>
        <v>X</v>
      </c>
      <c r="Y1228" s="2" t="str">
        <f t="shared" si="306"/>
        <v>X</v>
      </c>
      <c r="Z1228" s="2" t="str">
        <f t="shared" si="307"/>
        <v>X</v>
      </c>
      <c r="AA1228" s="2" t="str">
        <f t="shared" si="310"/>
        <v>(31 downto 24)</v>
      </c>
      <c r="AB1228" s="2" t="str">
        <f t="shared" si="311"/>
        <v>(23 downto 16)</v>
      </c>
      <c r="AC1228" s="2" t="str">
        <f t="shared" si="312"/>
        <v>(15 downto 8)</v>
      </c>
      <c r="AD1228" s="2" t="str">
        <f t="shared" si="313"/>
        <v>(7 downto 0)</v>
      </c>
      <c r="AE1228" s="2" t="str">
        <f t="shared" si="314"/>
        <v>(31 downto 24)</v>
      </c>
      <c r="AF1228" s="2" t="str">
        <f t="shared" si="315"/>
        <v>(23 downto 16)</v>
      </c>
      <c r="AG1228" s="2" t="str">
        <f t="shared" si="316"/>
        <v>(15 downto 8)</v>
      </c>
      <c r="AH1228" s="2" t="str">
        <f t="shared" si="317"/>
        <v>(7 downto 0)</v>
      </c>
    </row>
    <row r="1229" spans="2:34" x14ac:dyDescent="0.25">
      <c r="B1229" s="2" t="s">
        <v>3502</v>
      </c>
      <c r="C1229" s="2" t="s">
        <v>141</v>
      </c>
      <c r="D1229" s="2" t="s">
        <v>0</v>
      </c>
      <c r="E1229" s="2" t="s">
        <v>130</v>
      </c>
      <c r="F1229" s="2" t="s">
        <v>3503</v>
      </c>
      <c r="G1229" s="2" t="s">
        <v>3504</v>
      </c>
      <c r="H1229" s="2" t="s">
        <v>142</v>
      </c>
      <c r="I1229" s="2" t="s">
        <v>41</v>
      </c>
      <c r="J1229" s="2">
        <v>32</v>
      </c>
      <c r="K1229" s="2" t="s">
        <v>132</v>
      </c>
      <c r="L1229" s="2" t="s">
        <v>40</v>
      </c>
      <c r="P1229" s="2" t="s">
        <v>48</v>
      </c>
      <c r="Q1229" s="2">
        <f>INDEX(Tables!$C$4:$C$28,MATCH($P1229,Tables!$B$4:$B$28,0))</f>
        <v>32</v>
      </c>
      <c r="R1229" s="2">
        <f>INDEX(Tables!$D$4:$D$28,MATCH($P1229,Tables!$B$4:$B$28,0))</f>
        <v>4</v>
      </c>
      <c r="S1229" s="2">
        <f>$S1228+$R1228+INDEX(Tables!$N$5:$Q$8,MATCH(MOD($S1228+$R1228,4),Tables!$M$5:$M$8,0),MATCH($R1229,Tables!$N$4:$Q$4,0))</f>
        <v>4732</v>
      </c>
      <c r="T1229" s="2" t="str">
        <f t="shared" si="303"/>
        <v>127C</v>
      </c>
      <c r="U1229" s="2">
        <f t="shared" si="309"/>
        <v>1183</v>
      </c>
      <c r="V1229" s="2" t="str">
        <f t="shared" si="304"/>
        <v>49F</v>
      </c>
      <c r="W1229" s="2" t="str">
        <f t="shared" si="305"/>
        <v>X</v>
      </c>
      <c r="X1229" s="2" t="str">
        <f t="shared" si="308"/>
        <v>X</v>
      </c>
      <c r="Y1229" s="2" t="str">
        <f t="shared" si="306"/>
        <v>X</v>
      </c>
      <c r="Z1229" s="2" t="str">
        <f t="shared" si="307"/>
        <v>X</v>
      </c>
      <c r="AA1229" s="2" t="str">
        <f t="shared" si="310"/>
        <v>(31 downto 24)</v>
      </c>
      <c r="AB1229" s="2" t="str">
        <f t="shared" si="311"/>
        <v>(23 downto 16)</v>
      </c>
      <c r="AC1229" s="2" t="str">
        <f t="shared" si="312"/>
        <v>(15 downto 8)</v>
      </c>
      <c r="AD1229" s="2" t="str">
        <f t="shared" si="313"/>
        <v>(7 downto 0)</v>
      </c>
      <c r="AE1229" s="2" t="str">
        <f t="shared" si="314"/>
        <v>(31 downto 24)</v>
      </c>
      <c r="AF1229" s="2" t="str">
        <f t="shared" si="315"/>
        <v>(23 downto 16)</v>
      </c>
      <c r="AG1229" s="2" t="str">
        <f t="shared" si="316"/>
        <v>(15 downto 8)</v>
      </c>
      <c r="AH1229" s="2" t="str">
        <f t="shared" si="317"/>
        <v>(7 downto 0)</v>
      </c>
    </row>
    <row r="1230" spans="2:34" x14ac:dyDescent="0.25">
      <c r="B1230" s="2" t="s">
        <v>3505</v>
      </c>
      <c r="C1230" s="2" t="s">
        <v>141</v>
      </c>
      <c r="D1230" s="2" t="s">
        <v>0</v>
      </c>
      <c r="E1230" s="2" t="s">
        <v>130</v>
      </c>
      <c r="F1230" s="2" t="s">
        <v>3506</v>
      </c>
      <c r="G1230" s="2" t="s">
        <v>3507</v>
      </c>
      <c r="H1230" s="2" t="s">
        <v>142</v>
      </c>
      <c r="I1230" s="2" t="s">
        <v>41</v>
      </c>
      <c r="J1230" s="2">
        <v>32</v>
      </c>
      <c r="K1230" s="2" t="s">
        <v>132</v>
      </c>
      <c r="L1230" s="2" t="s">
        <v>40</v>
      </c>
      <c r="P1230" s="2" t="s">
        <v>48</v>
      </c>
      <c r="Q1230" s="2">
        <f>INDEX(Tables!$C$4:$C$28,MATCH($P1230,Tables!$B$4:$B$28,0))</f>
        <v>32</v>
      </c>
      <c r="R1230" s="2">
        <f>INDEX(Tables!$D$4:$D$28,MATCH($P1230,Tables!$B$4:$B$28,0))</f>
        <v>4</v>
      </c>
      <c r="S1230" s="2">
        <f>$S1229+$R1229+INDEX(Tables!$N$5:$Q$8,MATCH(MOD($S1229+$R1229,4),Tables!$M$5:$M$8,0),MATCH($R1230,Tables!$N$4:$Q$4,0))</f>
        <v>4736</v>
      </c>
      <c r="T1230" s="2" t="str">
        <f t="shared" si="303"/>
        <v>1280</v>
      </c>
      <c r="U1230" s="2">
        <f t="shared" si="309"/>
        <v>1184</v>
      </c>
      <c r="V1230" s="2" t="str">
        <f t="shared" si="304"/>
        <v>4A0</v>
      </c>
      <c r="W1230" s="2" t="str">
        <f t="shared" si="305"/>
        <v>X</v>
      </c>
      <c r="X1230" s="2" t="str">
        <f t="shared" si="308"/>
        <v>X</v>
      </c>
      <c r="Y1230" s="2" t="str">
        <f t="shared" si="306"/>
        <v>X</v>
      </c>
      <c r="Z1230" s="2" t="str">
        <f t="shared" si="307"/>
        <v>X</v>
      </c>
      <c r="AA1230" s="2" t="str">
        <f t="shared" si="310"/>
        <v>(31 downto 24)</v>
      </c>
      <c r="AB1230" s="2" t="str">
        <f t="shared" si="311"/>
        <v>(23 downto 16)</v>
      </c>
      <c r="AC1230" s="2" t="str">
        <f t="shared" si="312"/>
        <v>(15 downto 8)</v>
      </c>
      <c r="AD1230" s="2" t="str">
        <f t="shared" si="313"/>
        <v>(7 downto 0)</v>
      </c>
      <c r="AE1230" s="2" t="str">
        <f t="shared" si="314"/>
        <v>(31 downto 24)</v>
      </c>
      <c r="AF1230" s="2" t="str">
        <f t="shared" si="315"/>
        <v>(23 downto 16)</v>
      </c>
      <c r="AG1230" s="2" t="str">
        <f t="shared" si="316"/>
        <v>(15 downto 8)</v>
      </c>
      <c r="AH1230" s="2" t="str">
        <f t="shared" si="317"/>
        <v>(7 downto 0)</v>
      </c>
    </row>
    <row r="1231" spans="2:34" x14ac:dyDescent="0.25">
      <c r="B1231" s="2" t="s">
        <v>3508</v>
      </c>
      <c r="C1231" s="2" t="s">
        <v>141</v>
      </c>
      <c r="D1231" s="2" t="s">
        <v>0</v>
      </c>
      <c r="E1231" s="2" t="s">
        <v>130</v>
      </c>
      <c r="F1231" s="2" t="s">
        <v>3509</v>
      </c>
      <c r="G1231" s="2" t="s">
        <v>3510</v>
      </c>
      <c r="H1231" s="2" t="s">
        <v>142</v>
      </c>
      <c r="I1231" s="2" t="s">
        <v>41</v>
      </c>
      <c r="J1231" s="2">
        <v>32</v>
      </c>
      <c r="K1231" s="2" t="s">
        <v>132</v>
      </c>
      <c r="L1231" s="2" t="s">
        <v>40</v>
      </c>
      <c r="P1231" s="2" t="s">
        <v>48</v>
      </c>
      <c r="Q1231" s="2">
        <f>INDEX(Tables!$C$4:$C$28,MATCH($P1231,Tables!$B$4:$B$28,0))</f>
        <v>32</v>
      </c>
      <c r="R1231" s="2">
        <f>INDEX(Tables!$D$4:$D$28,MATCH($P1231,Tables!$B$4:$B$28,0))</f>
        <v>4</v>
      </c>
      <c r="S1231" s="2">
        <f>$S1230+$R1230+INDEX(Tables!$N$5:$Q$8,MATCH(MOD($S1230+$R1230,4),Tables!$M$5:$M$8,0),MATCH($R1231,Tables!$N$4:$Q$4,0))</f>
        <v>4740</v>
      </c>
      <c r="T1231" s="2" t="str">
        <f t="shared" si="303"/>
        <v>1284</v>
      </c>
      <c r="U1231" s="2">
        <f t="shared" si="309"/>
        <v>1185</v>
      </c>
      <c r="V1231" s="2" t="str">
        <f t="shared" si="304"/>
        <v>4A1</v>
      </c>
      <c r="W1231" s="2" t="str">
        <f t="shared" si="305"/>
        <v>X</v>
      </c>
      <c r="X1231" s="2" t="str">
        <f t="shared" si="308"/>
        <v>X</v>
      </c>
      <c r="Y1231" s="2" t="str">
        <f t="shared" si="306"/>
        <v>X</v>
      </c>
      <c r="Z1231" s="2" t="str">
        <f t="shared" si="307"/>
        <v>X</v>
      </c>
      <c r="AA1231" s="2" t="str">
        <f t="shared" si="310"/>
        <v>(31 downto 24)</v>
      </c>
      <c r="AB1231" s="2" t="str">
        <f t="shared" si="311"/>
        <v>(23 downto 16)</v>
      </c>
      <c r="AC1231" s="2" t="str">
        <f t="shared" si="312"/>
        <v>(15 downto 8)</v>
      </c>
      <c r="AD1231" s="2" t="str">
        <f t="shared" si="313"/>
        <v>(7 downto 0)</v>
      </c>
      <c r="AE1231" s="2" t="str">
        <f t="shared" si="314"/>
        <v>(31 downto 24)</v>
      </c>
      <c r="AF1231" s="2" t="str">
        <f t="shared" si="315"/>
        <v>(23 downto 16)</v>
      </c>
      <c r="AG1231" s="2" t="str">
        <f t="shared" si="316"/>
        <v>(15 downto 8)</v>
      </c>
      <c r="AH1231" s="2" t="str">
        <f t="shared" si="317"/>
        <v>(7 downto 0)</v>
      </c>
    </row>
    <row r="1232" spans="2:34" x14ac:dyDescent="0.25">
      <c r="B1232" s="2" t="s">
        <v>3511</v>
      </c>
      <c r="C1232" s="2" t="s">
        <v>141</v>
      </c>
      <c r="D1232" s="2" t="s">
        <v>0</v>
      </c>
      <c r="E1232" s="2" t="s">
        <v>130</v>
      </c>
      <c r="F1232" s="2" t="s">
        <v>3512</v>
      </c>
      <c r="G1232" s="2" t="s">
        <v>3513</v>
      </c>
      <c r="H1232" s="2" t="s">
        <v>142</v>
      </c>
      <c r="I1232" s="2" t="s">
        <v>41</v>
      </c>
      <c r="J1232" s="2">
        <v>32</v>
      </c>
      <c r="K1232" s="2" t="s">
        <v>132</v>
      </c>
      <c r="L1232" s="2" t="s">
        <v>40</v>
      </c>
      <c r="P1232" s="2" t="s">
        <v>48</v>
      </c>
      <c r="Q1232" s="2">
        <f>INDEX(Tables!$C$4:$C$28,MATCH($P1232,Tables!$B$4:$B$28,0))</f>
        <v>32</v>
      </c>
      <c r="R1232" s="2">
        <f>INDEX(Tables!$D$4:$D$28,MATCH($P1232,Tables!$B$4:$B$28,0))</f>
        <v>4</v>
      </c>
      <c r="S1232" s="2">
        <f>$S1231+$R1231+INDEX(Tables!$N$5:$Q$8,MATCH(MOD($S1231+$R1231,4),Tables!$M$5:$M$8,0),MATCH($R1232,Tables!$N$4:$Q$4,0))</f>
        <v>4744</v>
      </c>
      <c r="T1232" s="2" t="str">
        <f t="shared" si="303"/>
        <v>1288</v>
      </c>
      <c r="U1232" s="2">
        <f t="shared" si="309"/>
        <v>1186</v>
      </c>
      <c r="V1232" s="2" t="str">
        <f t="shared" si="304"/>
        <v>4A2</v>
      </c>
      <c r="W1232" s="2" t="str">
        <f t="shared" si="305"/>
        <v>X</v>
      </c>
      <c r="X1232" s="2" t="str">
        <f t="shared" si="308"/>
        <v>X</v>
      </c>
      <c r="Y1232" s="2" t="str">
        <f t="shared" si="306"/>
        <v>X</v>
      </c>
      <c r="Z1232" s="2" t="str">
        <f t="shared" si="307"/>
        <v>X</v>
      </c>
      <c r="AA1232" s="2" t="str">
        <f t="shared" si="310"/>
        <v>(31 downto 24)</v>
      </c>
      <c r="AB1232" s="2" t="str">
        <f t="shared" si="311"/>
        <v>(23 downto 16)</v>
      </c>
      <c r="AC1232" s="2" t="str">
        <f t="shared" si="312"/>
        <v>(15 downto 8)</v>
      </c>
      <c r="AD1232" s="2" t="str">
        <f t="shared" si="313"/>
        <v>(7 downto 0)</v>
      </c>
      <c r="AE1232" s="2" t="str">
        <f t="shared" si="314"/>
        <v>(31 downto 24)</v>
      </c>
      <c r="AF1232" s="2" t="str">
        <f t="shared" si="315"/>
        <v>(23 downto 16)</v>
      </c>
      <c r="AG1232" s="2" t="str">
        <f t="shared" si="316"/>
        <v>(15 downto 8)</v>
      </c>
      <c r="AH1232" s="2" t="str">
        <f t="shared" si="317"/>
        <v>(7 downto 0)</v>
      </c>
    </row>
    <row r="1233" spans="2:34" x14ac:dyDescent="0.25">
      <c r="B1233" s="2" t="s">
        <v>3514</v>
      </c>
      <c r="C1233" s="2" t="s">
        <v>141</v>
      </c>
      <c r="D1233" s="2" t="s">
        <v>0</v>
      </c>
      <c r="E1233" s="2" t="s">
        <v>130</v>
      </c>
      <c r="F1233" s="2" t="s">
        <v>3515</v>
      </c>
      <c r="G1233" s="2" t="s">
        <v>3516</v>
      </c>
      <c r="H1233" s="2" t="s">
        <v>142</v>
      </c>
      <c r="I1233" s="2" t="s">
        <v>41</v>
      </c>
      <c r="J1233" s="2">
        <v>32</v>
      </c>
      <c r="K1233" s="2" t="s">
        <v>132</v>
      </c>
      <c r="L1233" s="2" t="s">
        <v>40</v>
      </c>
      <c r="P1233" s="2" t="s">
        <v>48</v>
      </c>
      <c r="Q1233" s="2">
        <f>INDEX(Tables!$C$4:$C$28,MATCH($P1233,Tables!$B$4:$B$28,0))</f>
        <v>32</v>
      </c>
      <c r="R1233" s="2">
        <f>INDEX(Tables!$D$4:$D$28,MATCH($P1233,Tables!$B$4:$B$28,0))</f>
        <v>4</v>
      </c>
      <c r="S1233" s="2">
        <f>$S1232+$R1232+INDEX(Tables!$N$5:$Q$8,MATCH(MOD($S1232+$R1232,4),Tables!$M$5:$M$8,0),MATCH($R1233,Tables!$N$4:$Q$4,0))</f>
        <v>4748</v>
      </c>
      <c r="T1233" s="2" t="str">
        <f t="shared" si="303"/>
        <v>128C</v>
      </c>
      <c r="U1233" s="2">
        <f t="shared" si="309"/>
        <v>1187</v>
      </c>
      <c r="V1233" s="2" t="str">
        <f t="shared" si="304"/>
        <v>4A3</v>
      </c>
      <c r="W1233" s="2" t="str">
        <f t="shared" si="305"/>
        <v>X</v>
      </c>
      <c r="X1233" s="2" t="str">
        <f t="shared" si="308"/>
        <v>X</v>
      </c>
      <c r="Y1233" s="2" t="str">
        <f t="shared" si="306"/>
        <v>X</v>
      </c>
      <c r="Z1233" s="2" t="str">
        <f t="shared" si="307"/>
        <v>X</v>
      </c>
      <c r="AA1233" s="2" t="str">
        <f t="shared" si="310"/>
        <v>(31 downto 24)</v>
      </c>
      <c r="AB1233" s="2" t="str">
        <f t="shared" si="311"/>
        <v>(23 downto 16)</v>
      </c>
      <c r="AC1233" s="2" t="str">
        <f t="shared" si="312"/>
        <v>(15 downto 8)</v>
      </c>
      <c r="AD1233" s="2" t="str">
        <f t="shared" si="313"/>
        <v>(7 downto 0)</v>
      </c>
      <c r="AE1233" s="2" t="str">
        <f t="shared" si="314"/>
        <v>(31 downto 24)</v>
      </c>
      <c r="AF1233" s="2" t="str">
        <f t="shared" si="315"/>
        <v>(23 downto 16)</v>
      </c>
      <c r="AG1233" s="2" t="str">
        <f t="shared" si="316"/>
        <v>(15 downto 8)</v>
      </c>
      <c r="AH1233" s="2" t="str">
        <f t="shared" si="317"/>
        <v>(7 downto 0)</v>
      </c>
    </row>
    <row r="1234" spans="2:34" x14ac:dyDescent="0.25">
      <c r="B1234" s="2" t="s">
        <v>3517</v>
      </c>
      <c r="C1234" s="2" t="s">
        <v>141</v>
      </c>
      <c r="D1234" s="2" t="s">
        <v>0</v>
      </c>
      <c r="E1234" s="2" t="s">
        <v>130</v>
      </c>
      <c r="F1234" s="2" t="s">
        <v>3518</v>
      </c>
      <c r="G1234" s="2" t="s">
        <v>3519</v>
      </c>
      <c r="H1234" s="2" t="s">
        <v>142</v>
      </c>
      <c r="I1234" s="2" t="s">
        <v>41</v>
      </c>
      <c r="J1234" s="2">
        <v>32</v>
      </c>
      <c r="K1234" s="2" t="s">
        <v>132</v>
      </c>
      <c r="L1234" s="2" t="s">
        <v>40</v>
      </c>
      <c r="P1234" s="2" t="s">
        <v>48</v>
      </c>
      <c r="Q1234" s="2">
        <f>INDEX(Tables!$C$4:$C$28,MATCH($P1234,Tables!$B$4:$B$28,0))</f>
        <v>32</v>
      </c>
      <c r="R1234" s="2">
        <f>INDEX(Tables!$D$4:$D$28,MATCH($P1234,Tables!$B$4:$B$28,0))</f>
        <v>4</v>
      </c>
      <c r="S1234" s="2">
        <f>$S1233+$R1233+INDEX(Tables!$N$5:$Q$8,MATCH(MOD($S1233+$R1233,4),Tables!$M$5:$M$8,0),MATCH($R1234,Tables!$N$4:$Q$4,0))</f>
        <v>4752</v>
      </c>
      <c r="T1234" s="2" t="str">
        <f t="shared" si="303"/>
        <v>1290</v>
      </c>
      <c r="U1234" s="2">
        <f t="shared" si="309"/>
        <v>1188</v>
      </c>
      <c r="V1234" s="2" t="str">
        <f t="shared" si="304"/>
        <v>4A4</v>
      </c>
      <c r="W1234" s="2" t="str">
        <f t="shared" si="305"/>
        <v>X</v>
      </c>
      <c r="X1234" s="2" t="str">
        <f t="shared" si="308"/>
        <v>X</v>
      </c>
      <c r="Y1234" s="2" t="str">
        <f t="shared" si="306"/>
        <v>X</v>
      </c>
      <c r="Z1234" s="2" t="str">
        <f t="shared" si="307"/>
        <v>X</v>
      </c>
      <c r="AA1234" s="2" t="str">
        <f t="shared" si="310"/>
        <v>(31 downto 24)</v>
      </c>
      <c r="AB1234" s="2" t="str">
        <f t="shared" si="311"/>
        <v>(23 downto 16)</v>
      </c>
      <c r="AC1234" s="2" t="str">
        <f t="shared" si="312"/>
        <v>(15 downto 8)</v>
      </c>
      <c r="AD1234" s="2" t="str">
        <f t="shared" si="313"/>
        <v>(7 downto 0)</v>
      </c>
      <c r="AE1234" s="2" t="str">
        <f t="shared" si="314"/>
        <v>(31 downto 24)</v>
      </c>
      <c r="AF1234" s="2" t="str">
        <f t="shared" si="315"/>
        <v>(23 downto 16)</v>
      </c>
      <c r="AG1234" s="2" t="str">
        <f t="shared" si="316"/>
        <v>(15 downto 8)</v>
      </c>
      <c r="AH1234" s="2" t="str">
        <f t="shared" si="317"/>
        <v>(7 downto 0)</v>
      </c>
    </row>
    <row r="1235" spans="2:34" x14ac:dyDescent="0.25">
      <c r="B1235" s="2" t="s">
        <v>3520</v>
      </c>
      <c r="C1235" s="2" t="s">
        <v>141</v>
      </c>
      <c r="D1235" s="2" t="s">
        <v>0</v>
      </c>
      <c r="E1235" s="2" t="s">
        <v>130</v>
      </c>
      <c r="F1235" s="2" t="s">
        <v>3521</v>
      </c>
      <c r="G1235" s="2" t="s">
        <v>3522</v>
      </c>
      <c r="H1235" s="2" t="s">
        <v>142</v>
      </c>
      <c r="I1235" s="2" t="s">
        <v>41</v>
      </c>
      <c r="J1235" s="2">
        <v>32</v>
      </c>
      <c r="K1235" s="2" t="s">
        <v>132</v>
      </c>
      <c r="L1235" s="2" t="s">
        <v>40</v>
      </c>
      <c r="P1235" s="2" t="s">
        <v>48</v>
      </c>
      <c r="Q1235" s="2">
        <f>INDEX(Tables!$C$4:$C$28,MATCH($P1235,Tables!$B$4:$B$28,0))</f>
        <v>32</v>
      </c>
      <c r="R1235" s="2">
        <f>INDEX(Tables!$D$4:$D$28,MATCH($P1235,Tables!$B$4:$B$28,0))</f>
        <v>4</v>
      </c>
      <c r="S1235" s="2">
        <f>$S1234+$R1234+INDEX(Tables!$N$5:$Q$8,MATCH(MOD($S1234+$R1234,4),Tables!$M$5:$M$8,0),MATCH($R1235,Tables!$N$4:$Q$4,0))</f>
        <v>4756</v>
      </c>
      <c r="T1235" s="2" t="str">
        <f t="shared" si="303"/>
        <v>1294</v>
      </c>
      <c r="U1235" s="2">
        <f t="shared" si="309"/>
        <v>1189</v>
      </c>
      <c r="V1235" s="2" t="str">
        <f t="shared" si="304"/>
        <v>4A5</v>
      </c>
      <c r="W1235" s="2" t="str">
        <f t="shared" si="305"/>
        <v>X</v>
      </c>
      <c r="X1235" s="2" t="str">
        <f t="shared" si="308"/>
        <v>X</v>
      </c>
      <c r="Y1235" s="2" t="str">
        <f t="shared" si="306"/>
        <v>X</v>
      </c>
      <c r="Z1235" s="2" t="str">
        <f t="shared" si="307"/>
        <v>X</v>
      </c>
      <c r="AA1235" s="2" t="str">
        <f t="shared" si="310"/>
        <v>(31 downto 24)</v>
      </c>
      <c r="AB1235" s="2" t="str">
        <f t="shared" si="311"/>
        <v>(23 downto 16)</v>
      </c>
      <c r="AC1235" s="2" t="str">
        <f t="shared" si="312"/>
        <v>(15 downto 8)</v>
      </c>
      <c r="AD1235" s="2" t="str">
        <f t="shared" si="313"/>
        <v>(7 downto 0)</v>
      </c>
      <c r="AE1235" s="2" t="str">
        <f t="shared" si="314"/>
        <v>(31 downto 24)</v>
      </c>
      <c r="AF1235" s="2" t="str">
        <f t="shared" si="315"/>
        <v>(23 downto 16)</v>
      </c>
      <c r="AG1235" s="2" t="str">
        <f t="shared" si="316"/>
        <v>(15 downto 8)</v>
      </c>
      <c r="AH1235" s="2" t="str">
        <f t="shared" si="317"/>
        <v>(7 downto 0)</v>
      </c>
    </row>
    <row r="1236" spans="2:34" x14ac:dyDescent="0.25">
      <c r="B1236" s="2" t="s">
        <v>3523</v>
      </c>
      <c r="C1236" s="2" t="s">
        <v>141</v>
      </c>
      <c r="D1236" s="2" t="s">
        <v>0</v>
      </c>
      <c r="E1236" s="2" t="s">
        <v>130</v>
      </c>
      <c r="F1236" s="2" t="s">
        <v>3524</v>
      </c>
      <c r="G1236" s="2" t="s">
        <v>3525</v>
      </c>
      <c r="H1236" s="2" t="s">
        <v>142</v>
      </c>
      <c r="I1236" s="2" t="s">
        <v>41</v>
      </c>
      <c r="J1236" s="2">
        <v>32</v>
      </c>
      <c r="K1236" s="2" t="s">
        <v>132</v>
      </c>
      <c r="L1236" s="2" t="s">
        <v>40</v>
      </c>
      <c r="P1236" s="2" t="s">
        <v>48</v>
      </c>
      <c r="Q1236" s="2">
        <f>INDEX(Tables!$C$4:$C$28,MATCH($P1236,Tables!$B$4:$B$28,0))</f>
        <v>32</v>
      </c>
      <c r="R1236" s="2">
        <f>INDEX(Tables!$D$4:$D$28,MATCH($P1236,Tables!$B$4:$B$28,0))</f>
        <v>4</v>
      </c>
      <c r="S1236" s="2">
        <f>$S1235+$R1235+INDEX(Tables!$N$5:$Q$8,MATCH(MOD($S1235+$R1235,4),Tables!$M$5:$M$8,0),MATCH($R1236,Tables!$N$4:$Q$4,0))</f>
        <v>4760</v>
      </c>
      <c r="T1236" s="2" t="str">
        <f t="shared" si="303"/>
        <v>1298</v>
      </c>
      <c r="U1236" s="2">
        <f t="shared" si="309"/>
        <v>1190</v>
      </c>
      <c r="V1236" s="2" t="str">
        <f t="shared" si="304"/>
        <v>4A6</v>
      </c>
      <c r="W1236" s="2" t="str">
        <f t="shared" si="305"/>
        <v>X</v>
      </c>
      <c r="X1236" s="2" t="str">
        <f t="shared" si="308"/>
        <v>X</v>
      </c>
      <c r="Y1236" s="2" t="str">
        <f t="shared" si="306"/>
        <v>X</v>
      </c>
      <c r="Z1236" s="2" t="str">
        <f t="shared" si="307"/>
        <v>X</v>
      </c>
      <c r="AA1236" s="2" t="str">
        <f t="shared" si="310"/>
        <v>(31 downto 24)</v>
      </c>
      <c r="AB1236" s="2" t="str">
        <f t="shared" si="311"/>
        <v>(23 downto 16)</v>
      </c>
      <c r="AC1236" s="2" t="str">
        <f t="shared" si="312"/>
        <v>(15 downto 8)</v>
      </c>
      <c r="AD1236" s="2" t="str">
        <f t="shared" si="313"/>
        <v>(7 downto 0)</v>
      </c>
      <c r="AE1236" s="2" t="str">
        <f t="shared" si="314"/>
        <v>(31 downto 24)</v>
      </c>
      <c r="AF1236" s="2" t="str">
        <f t="shared" si="315"/>
        <v>(23 downto 16)</v>
      </c>
      <c r="AG1236" s="2" t="str">
        <f t="shared" si="316"/>
        <v>(15 downto 8)</v>
      </c>
      <c r="AH1236" s="2" t="str">
        <f t="shared" si="317"/>
        <v>(7 downto 0)</v>
      </c>
    </row>
    <row r="1237" spans="2:34" x14ac:dyDescent="0.25">
      <c r="B1237" s="2" t="s">
        <v>3526</v>
      </c>
      <c r="C1237" s="2" t="s">
        <v>141</v>
      </c>
      <c r="D1237" s="2" t="s">
        <v>0</v>
      </c>
      <c r="E1237" s="2" t="s">
        <v>130</v>
      </c>
      <c r="F1237" s="2" t="s">
        <v>3527</v>
      </c>
      <c r="G1237" s="2" t="s">
        <v>3528</v>
      </c>
      <c r="H1237" s="2" t="s">
        <v>142</v>
      </c>
      <c r="I1237" s="2" t="s">
        <v>41</v>
      </c>
      <c r="J1237" s="2">
        <v>32</v>
      </c>
      <c r="K1237" s="2" t="s">
        <v>132</v>
      </c>
      <c r="L1237" s="2" t="s">
        <v>40</v>
      </c>
      <c r="P1237" s="2" t="s">
        <v>48</v>
      </c>
      <c r="Q1237" s="2">
        <f>INDEX(Tables!$C$4:$C$28,MATCH($P1237,Tables!$B$4:$B$28,0))</f>
        <v>32</v>
      </c>
      <c r="R1237" s="2">
        <f>INDEX(Tables!$D$4:$D$28,MATCH($P1237,Tables!$B$4:$B$28,0))</f>
        <v>4</v>
      </c>
      <c r="S1237" s="2">
        <f>$S1236+$R1236+INDEX(Tables!$N$5:$Q$8,MATCH(MOD($S1236+$R1236,4),Tables!$M$5:$M$8,0),MATCH($R1237,Tables!$N$4:$Q$4,0))</f>
        <v>4764</v>
      </c>
      <c r="T1237" s="2" t="str">
        <f t="shared" si="303"/>
        <v>129C</v>
      </c>
      <c r="U1237" s="2">
        <f t="shared" si="309"/>
        <v>1191</v>
      </c>
      <c r="V1237" s="2" t="str">
        <f t="shared" si="304"/>
        <v>4A7</v>
      </c>
      <c r="W1237" s="2" t="str">
        <f t="shared" si="305"/>
        <v>X</v>
      </c>
      <c r="X1237" s="2" t="str">
        <f t="shared" si="308"/>
        <v>X</v>
      </c>
      <c r="Y1237" s="2" t="str">
        <f t="shared" si="306"/>
        <v>X</v>
      </c>
      <c r="Z1237" s="2" t="str">
        <f t="shared" si="307"/>
        <v>X</v>
      </c>
      <c r="AA1237" s="2" t="str">
        <f t="shared" si="310"/>
        <v>(31 downto 24)</v>
      </c>
      <c r="AB1237" s="2" t="str">
        <f t="shared" si="311"/>
        <v>(23 downto 16)</v>
      </c>
      <c r="AC1237" s="2" t="str">
        <f t="shared" si="312"/>
        <v>(15 downto 8)</v>
      </c>
      <c r="AD1237" s="2" t="str">
        <f t="shared" si="313"/>
        <v>(7 downto 0)</v>
      </c>
      <c r="AE1237" s="2" t="str">
        <f t="shared" si="314"/>
        <v>(31 downto 24)</v>
      </c>
      <c r="AF1237" s="2" t="str">
        <f t="shared" si="315"/>
        <v>(23 downto 16)</v>
      </c>
      <c r="AG1237" s="2" t="str">
        <f t="shared" si="316"/>
        <v>(15 downto 8)</v>
      </c>
      <c r="AH1237" s="2" t="str">
        <f t="shared" si="317"/>
        <v>(7 downto 0)</v>
      </c>
    </row>
    <row r="1238" spans="2:34" x14ac:dyDescent="0.25">
      <c r="B1238" s="2" t="s">
        <v>3529</v>
      </c>
      <c r="C1238" s="2" t="s">
        <v>141</v>
      </c>
      <c r="D1238" s="2" t="s">
        <v>0</v>
      </c>
      <c r="E1238" s="2" t="s">
        <v>130</v>
      </c>
      <c r="F1238" s="2" t="s">
        <v>3530</v>
      </c>
      <c r="G1238" s="2" t="s">
        <v>3531</v>
      </c>
      <c r="H1238" s="2" t="s">
        <v>142</v>
      </c>
      <c r="I1238" s="2" t="s">
        <v>41</v>
      </c>
      <c r="J1238" s="2">
        <v>32</v>
      </c>
      <c r="K1238" s="2" t="s">
        <v>132</v>
      </c>
      <c r="L1238" s="2" t="s">
        <v>40</v>
      </c>
      <c r="P1238" s="2" t="s">
        <v>48</v>
      </c>
      <c r="Q1238" s="2">
        <f>INDEX(Tables!$C$4:$C$28,MATCH($P1238,Tables!$B$4:$B$28,0))</f>
        <v>32</v>
      </c>
      <c r="R1238" s="2">
        <f>INDEX(Tables!$D$4:$D$28,MATCH($P1238,Tables!$B$4:$B$28,0))</f>
        <v>4</v>
      </c>
      <c r="S1238" s="2">
        <f>$S1237+$R1237+INDEX(Tables!$N$5:$Q$8,MATCH(MOD($S1237+$R1237,4),Tables!$M$5:$M$8,0),MATCH($R1238,Tables!$N$4:$Q$4,0))</f>
        <v>4768</v>
      </c>
      <c r="T1238" s="2" t="str">
        <f t="shared" si="303"/>
        <v>12A0</v>
      </c>
      <c r="U1238" s="2">
        <f t="shared" si="309"/>
        <v>1192</v>
      </c>
      <c r="V1238" s="2" t="str">
        <f t="shared" si="304"/>
        <v>4A8</v>
      </c>
      <c r="W1238" s="2" t="str">
        <f t="shared" si="305"/>
        <v>X</v>
      </c>
      <c r="X1238" s="2" t="str">
        <f t="shared" si="308"/>
        <v>X</v>
      </c>
      <c r="Y1238" s="2" t="str">
        <f t="shared" si="306"/>
        <v>X</v>
      </c>
      <c r="Z1238" s="2" t="str">
        <f t="shared" si="307"/>
        <v>X</v>
      </c>
      <c r="AA1238" s="2" t="str">
        <f t="shared" si="310"/>
        <v>(31 downto 24)</v>
      </c>
      <c r="AB1238" s="2" t="str">
        <f t="shared" si="311"/>
        <v>(23 downto 16)</v>
      </c>
      <c r="AC1238" s="2" t="str">
        <f t="shared" si="312"/>
        <v>(15 downto 8)</v>
      </c>
      <c r="AD1238" s="2" t="str">
        <f t="shared" si="313"/>
        <v>(7 downto 0)</v>
      </c>
      <c r="AE1238" s="2" t="str">
        <f t="shared" si="314"/>
        <v>(31 downto 24)</v>
      </c>
      <c r="AF1238" s="2" t="str">
        <f t="shared" si="315"/>
        <v>(23 downto 16)</v>
      </c>
      <c r="AG1238" s="2" t="str">
        <f t="shared" si="316"/>
        <v>(15 downto 8)</v>
      </c>
      <c r="AH1238" s="2" t="str">
        <f t="shared" si="317"/>
        <v>(7 downto 0)</v>
      </c>
    </row>
    <row r="1239" spans="2:34" x14ac:dyDescent="0.25">
      <c r="B1239" s="2" t="s">
        <v>3532</v>
      </c>
      <c r="C1239" s="2" t="s">
        <v>141</v>
      </c>
      <c r="D1239" s="2" t="s">
        <v>0</v>
      </c>
      <c r="E1239" s="2" t="s">
        <v>130</v>
      </c>
      <c r="F1239" s="2" t="s">
        <v>3533</v>
      </c>
      <c r="G1239" s="2" t="s">
        <v>3534</v>
      </c>
      <c r="H1239" s="2" t="s">
        <v>142</v>
      </c>
      <c r="I1239" s="2" t="s">
        <v>41</v>
      </c>
      <c r="J1239" s="2">
        <v>32</v>
      </c>
      <c r="K1239" s="2" t="s">
        <v>132</v>
      </c>
      <c r="L1239" s="2" t="s">
        <v>40</v>
      </c>
      <c r="P1239" s="2" t="s">
        <v>48</v>
      </c>
      <c r="Q1239" s="2">
        <f>INDEX(Tables!$C$4:$C$28,MATCH($P1239,Tables!$B$4:$B$28,0))</f>
        <v>32</v>
      </c>
      <c r="R1239" s="2">
        <f>INDEX(Tables!$D$4:$D$28,MATCH($P1239,Tables!$B$4:$B$28,0))</f>
        <v>4</v>
      </c>
      <c r="S1239" s="2">
        <f>$S1238+$R1238+INDEX(Tables!$N$5:$Q$8,MATCH(MOD($S1238+$R1238,4),Tables!$M$5:$M$8,0),MATCH($R1239,Tables!$N$4:$Q$4,0))</f>
        <v>4772</v>
      </c>
      <c r="T1239" s="2" t="str">
        <f t="shared" si="303"/>
        <v>12A4</v>
      </c>
      <c r="U1239" s="2">
        <f t="shared" si="309"/>
        <v>1193</v>
      </c>
      <c r="V1239" s="2" t="str">
        <f t="shared" si="304"/>
        <v>4A9</v>
      </c>
      <c r="W1239" s="2" t="str">
        <f t="shared" si="305"/>
        <v>X</v>
      </c>
      <c r="X1239" s="2" t="str">
        <f t="shared" si="308"/>
        <v>X</v>
      </c>
      <c r="Y1239" s="2" t="str">
        <f t="shared" si="306"/>
        <v>X</v>
      </c>
      <c r="Z1239" s="2" t="str">
        <f t="shared" si="307"/>
        <v>X</v>
      </c>
      <c r="AA1239" s="2" t="str">
        <f t="shared" si="310"/>
        <v>(31 downto 24)</v>
      </c>
      <c r="AB1239" s="2" t="str">
        <f t="shared" si="311"/>
        <v>(23 downto 16)</v>
      </c>
      <c r="AC1239" s="2" t="str">
        <f t="shared" si="312"/>
        <v>(15 downto 8)</v>
      </c>
      <c r="AD1239" s="2" t="str">
        <f t="shared" si="313"/>
        <v>(7 downto 0)</v>
      </c>
      <c r="AE1239" s="2" t="str">
        <f t="shared" si="314"/>
        <v>(31 downto 24)</v>
      </c>
      <c r="AF1239" s="2" t="str">
        <f t="shared" si="315"/>
        <v>(23 downto 16)</v>
      </c>
      <c r="AG1239" s="2" t="str">
        <f t="shared" si="316"/>
        <v>(15 downto 8)</v>
      </c>
      <c r="AH1239" s="2" t="str">
        <f t="shared" si="317"/>
        <v>(7 downto 0)</v>
      </c>
    </row>
    <row r="1240" spans="2:34" x14ac:dyDescent="0.25">
      <c r="B1240" s="2" t="s">
        <v>3535</v>
      </c>
      <c r="C1240" s="2" t="s">
        <v>141</v>
      </c>
      <c r="D1240" s="2" t="s">
        <v>0</v>
      </c>
      <c r="E1240" s="2" t="s">
        <v>130</v>
      </c>
      <c r="F1240" s="2" t="s">
        <v>3536</v>
      </c>
      <c r="G1240" s="2" t="s">
        <v>3537</v>
      </c>
      <c r="H1240" s="2" t="s">
        <v>142</v>
      </c>
      <c r="I1240" s="2" t="s">
        <v>41</v>
      </c>
      <c r="J1240" s="2">
        <v>32</v>
      </c>
      <c r="K1240" s="2" t="s">
        <v>132</v>
      </c>
      <c r="L1240" s="2" t="s">
        <v>40</v>
      </c>
      <c r="P1240" s="2" t="s">
        <v>48</v>
      </c>
      <c r="Q1240" s="2">
        <f>INDEX(Tables!$C$4:$C$28,MATCH($P1240,Tables!$B$4:$B$28,0))</f>
        <v>32</v>
      </c>
      <c r="R1240" s="2">
        <f>INDEX(Tables!$D$4:$D$28,MATCH($P1240,Tables!$B$4:$B$28,0))</f>
        <v>4</v>
      </c>
      <c r="S1240" s="2">
        <f>$S1239+$R1239+INDEX(Tables!$N$5:$Q$8,MATCH(MOD($S1239+$R1239,4),Tables!$M$5:$M$8,0),MATCH($R1240,Tables!$N$4:$Q$4,0))</f>
        <v>4776</v>
      </c>
      <c r="T1240" s="2" t="str">
        <f t="shared" si="303"/>
        <v>12A8</v>
      </c>
      <c r="U1240" s="2">
        <f t="shared" si="309"/>
        <v>1194</v>
      </c>
      <c r="V1240" s="2" t="str">
        <f t="shared" si="304"/>
        <v>4AA</v>
      </c>
      <c r="W1240" s="2" t="str">
        <f t="shared" si="305"/>
        <v>X</v>
      </c>
      <c r="X1240" s="2" t="str">
        <f t="shared" si="308"/>
        <v>X</v>
      </c>
      <c r="Y1240" s="2" t="str">
        <f t="shared" si="306"/>
        <v>X</v>
      </c>
      <c r="Z1240" s="2" t="str">
        <f t="shared" si="307"/>
        <v>X</v>
      </c>
      <c r="AA1240" s="2" t="str">
        <f t="shared" si="310"/>
        <v>(31 downto 24)</v>
      </c>
      <c r="AB1240" s="2" t="str">
        <f t="shared" si="311"/>
        <v>(23 downto 16)</v>
      </c>
      <c r="AC1240" s="2" t="str">
        <f t="shared" si="312"/>
        <v>(15 downto 8)</v>
      </c>
      <c r="AD1240" s="2" t="str">
        <f t="shared" si="313"/>
        <v>(7 downto 0)</v>
      </c>
      <c r="AE1240" s="2" t="str">
        <f t="shared" si="314"/>
        <v>(31 downto 24)</v>
      </c>
      <c r="AF1240" s="2" t="str">
        <f t="shared" si="315"/>
        <v>(23 downto 16)</v>
      </c>
      <c r="AG1240" s="2" t="str">
        <f t="shared" si="316"/>
        <v>(15 downto 8)</v>
      </c>
      <c r="AH1240" s="2" t="str">
        <f t="shared" si="317"/>
        <v>(7 downto 0)</v>
      </c>
    </row>
    <row r="1241" spans="2:34" x14ac:dyDescent="0.25">
      <c r="B1241" s="2" t="s">
        <v>3538</v>
      </c>
      <c r="C1241" s="2" t="s">
        <v>141</v>
      </c>
      <c r="D1241" s="2" t="s">
        <v>0</v>
      </c>
      <c r="E1241" s="2" t="s">
        <v>130</v>
      </c>
      <c r="F1241" s="2" t="s">
        <v>3539</v>
      </c>
      <c r="G1241" s="2" t="s">
        <v>3540</v>
      </c>
      <c r="H1241" s="2" t="s">
        <v>142</v>
      </c>
      <c r="I1241" s="2" t="s">
        <v>41</v>
      </c>
      <c r="J1241" s="2">
        <v>32</v>
      </c>
      <c r="K1241" s="2" t="s">
        <v>132</v>
      </c>
      <c r="L1241" s="2" t="s">
        <v>40</v>
      </c>
      <c r="P1241" s="2" t="s">
        <v>48</v>
      </c>
      <c r="Q1241" s="2">
        <f>INDEX(Tables!$C$4:$C$28,MATCH($P1241,Tables!$B$4:$B$28,0))</f>
        <v>32</v>
      </c>
      <c r="R1241" s="2">
        <f>INDEX(Tables!$D$4:$D$28,MATCH($P1241,Tables!$B$4:$B$28,0))</f>
        <v>4</v>
      </c>
      <c r="S1241" s="2">
        <f>$S1240+$R1240+INDEX(Tables!$N$5:$Q$8,MATCH(MOD($S1240+$R1240,4),Tables!$M$5:$M$8,0),MATCH($R1241,Tables!$N$4:$Q$4,0))</f>
        <v>4780</v>
      </c>
      <c r="T1241" s="2" t="str">
        <f t="shared" si="303"/>
        <v>12AC</v>
      </c>
      <c r="U1241" s="2">
        <f t="shared" si="309"/>
        <v>1195</v>
      </c>
      <c r="V1241" s="2" t="str">
        <f t="shared" si="304"/>
        <v>4AB</v>
      </c>
      <c r="W1241" s="2" t="str">
        <f t="shared" si="305"/>
        <v>X</v>
      </c>
      <c r="X1241" s="2" t="str">
        <f t="shared" si="308"/>
        <v>X</v>
      </c>
      <c r="Y1241" s="2" t="str">
        <f t="shared" si="306"/>
        <v>X</v>
      </c>
      <c r="Z1241" s="2" t="str">
        <f t="shared" si="307"/>
        <v>X</v>
      </c>
      <c r="AA1241" s="2" t="str">
        <f t="shared" si="310"/>
        <v>(31 downto 24)</v>
      </c>
      <c r="AB1241" s="2" t="str">
        <f t="shared" si="311"/>
        <v>(23 downto 16)</v>
      </c>
      <c r="AC1241" s="2" t="str">
        <f t="shared" si="312"/>
        <v>(15 downto 8)</v>
      </c>
      <c r="AD1241" s="2" t="str">
        <f t="shared" si="313"/>
        <v>(7 downto 0)</v>
      </c>
      <c r="AE1241" s="2" t="str">
        <f t="shared" si="314"/>
        <v>(31 downto 24)</v>
      </c>
      <c r="AF1241" s="2" t="str">
        <f t="shared" si="315"/>
        <v>(23 downto 16)</v>
      </c>
      <c r="AG1241" s="2" t="str">
        <f t="shared" si="316"/>
        <v>(15 downto 8)</v>
      </c>
      <c r="AH1241" s="2" t="str">
        <f t="shared" si="317"/>
        <v>(7 downto 0)</v>
      </c>
    </row>
    <row r="1242" spans="2:34" x14ac:dyDescent="0.25">
      <c r="B1242" s="2" t="s">
        <v>3541</v>
      </c>
      <c r="C1242" s="2" t="s">
        <v>141</v>
      </c>
      <c r="D1242" s="2" t="s">
        <v>0</v>
      </c>
      <c r="E1242" s="2" t="s">
        <v>130</v>
      </c>
      <c r="F1242" s="2" t="s">
        <v>3542</v>
      </c>
      <c r="G1242" s="2" t="s">
        <v>3543</v>
      </c>
      <c r="H1242" s="2" t="s">
        <v>142</v>
      </c>
      <c r="I1242" s="2" t="s">
        <v>41</v>
      </c>
      <c r="J1242" s="2">
        <v>32</v>
      </c>
      <c r="K1242" s="2" t="s">
        <v>132</v>
      </c>
      <c r="L1242" s="2" t="s">
        <v>40</v>
      </c>
      <c r="P1242" s="2" t="s">
        <v>48</v>
      </c>
      <c r="Q1242" s="2">
        <f>INDEX(Tables!$C$4:$C$28,MATCH($P1242,Tables!$B$4:$B$28,0))</f>
        <v>32</v>
      </c>
      <c r="R1242" s="2">
        <f>INDEX(Tables!$D$4:$D$28,MATCH($P1242,Tables!$B$4:$B$28,0))</f>
        <v>4</v>
      </c>
      <c r="S1242" s="2">
        <f>$S1241+$R1241+INDEX(Tables!$N$5:$Q$8,MATCH(MOD($S1241+$R1241,4),Tables!$M$5:$M$8,0),MATCH($R1242,Tables!$N$4:$Q$4,0))</f>
        <v>4784</v>
      </c>
      <c r="T1242" s="2" t="str">
        <f t="shared" si="303"/>
        <v>12B0</v>
      </c>
      <c r="U1242" s="2">
        <f t="shared" si="309"/>
        <v>1196</v>
      </c>
      <c r="V1242" s="2" t="str">
        <f t="shared" si="304"/>
        <v>4AC</v>
      </c>
      <c r="W1242" s="2" t="str">
        <f t="shared" si="305"/>
        <v>X</v>
      </c>
      <c r="X1242" s="2" t="str">
        <f t="shared" si="308"/>
        <v>X</v>
      </c>
      <c r="Y1242" s="2" t="str">
        <f t="shared" si="306"/>
        <v>X</v>
      </c>
      <c r="Z1242" s="2" t="str">
        <f t="shared" si="307"/>
        <v>X</v>
      </c>
      <c r="AA1242" s="2" t="str">
        <f t="shared" si="310"/>
        <v>(31 downto 24)</v>
      </c>
      <c r="AB1242" s="2" t="str">
        <f t="shared" si="311"/>
        <v>(23 downto 16)</v>
      </c>
      <c r="AC1242" s="2" t="str">
        <f t="shared" si="312"/>
        <v>(15 downto 8)</v>
      </c>
      <c r="AD1242" s="2" t="str">
        <f t="shared" si="313"/>
        <v>(7 downto 0)</v>
      </c>
      <c r="AE1242" s="2" t="str">
        <f t="shared" si="314"/>
        <v>(31 downto 24)</v>
      </c>
      <c r="AF1242" s="2" t="str">
        <f t="shared" si="315"/>
        <v>(23 downto 16)</v>
      </c>
      <c r="AG1242" s="2" t="str">
        <f t="shared" si="316"/>
        <v>(15 downto 8)</v>
      </c>
      <c r="AH1242" s="2" t="str">
        <f t="shared" si="317"/>
        <v>(7 downto 0)</v>
      </c>
    </row>
    <row r="1243" spans="2:34" x14ac:dyDescent="0.25">
      <c r="B1243" s="2" t="s">
        <v>3544</v>
      </c>
      <c r="C1243" s="2" t="s">
        <v>141</v>
      </c>
      <c r="D1243" s="2" t="s">
        <v>0</v>
      </c>
      <c r="E1243" s="2" t="s">
        <v>130</v>
      </c>
      <c r="F1243" s="2" t="s">
        <v>3545</v>
      </c>
      <c r="G1243" s="2" t="s">
        <v>3546</v>
      </c>
      <c r="H1243" s="2" t="s">
        <v>142</v>
      </c>
      <c r="I1243" s="2" t="s">
        <v>41</v>
      </c>
      <c r="J1243" s="2">
        <v>32</v>
      </c>
      <c r="K1243" s="2" t="s">
        <v>132</v>
      </c>
      <c r="L1243" s="2" t="s">
        <v>40</v>
      </c>
      <c r="P1243" s="2" t="s">
        <v>48</v>
      </c>
      <c r="Q1243" s="2">
        <f>INDEX(Tables!$C$4:$C$28,MATCH($P1243,Tables!$B$4:$B$28,0))</f>
        <v>32</v>
      </c>
      <c r="R1243" s="2">
        <f>INDEX(Tables!$D$4:$D$28,MATCH($P1243,Tables!$B$4:$B$28,0))</f>
        <v>4</v>
      </c>
      <c r="S1243" s="2">
        <f>$S1242+$R1242+INDEX(Tables!$N$5:$Q$8,MATCH(MOD($S1242+$R1242,4),Tables!$M$5:$M$8,0),MATCH($R1243,Tables!$N$4:$Q$4,0))</f>
        <v>4788</v>
      </c>
      <c r="T1243" s="2" t="str">
        <f t="shared" si="303"/>
        <v>12B4</v>
      </c>
      <c r="U1243" s="2">
        <f t="shared" si="309"/>
        <v>1197</v>
      </c>
      <c r="V1243" s="2" t="str">
        <f t="shared" si="304"/>
        <v>4AD</v>
      </c>
      <c r="W1243" s="2" t="str">
        <f t="shared" si="305"/>
        <v>X</v>
      </c>
      <c r="X1243" s="2" t="str">
        <f t="shared" si="308"/>
        <v>X</v>
      </c>
      <c r="Y1243" s="2" t="str">
        <f t="shared" si="306"/>
        <v>X</v>
      </c>
      <c r="Z1243" s="2" t="str">
        <f t="shared" si="307"/>
        <v>X</v>
      </c>
      <c r="AA1243" s="2" t="str">
        <f t="shared" si="310"/>
        <v>(31 downto 24)</v>
      </c>
      <c r="AB1243" s="2" t="str">
        <f t="shared" si="311"/>
        <v>(23 downto 16)</v>
      </c>
      <c r="AC1243" s="2" t="str">
        <f t="shared" si="312"/>
        <v>(15 downto 8)</v>
      </c>
      <c r="AD1243" s="2" t="str">
        <f t="shared" si="313"/>
        <v>(7 downto 0)</v>
      </c>
      <c r="AE1243" s="2" t="str">
        <f t="shared" si="314"/>
        <v>(31 downto 24)</v>
      </c>
      <c r="AF1243" s="2" t="str">
        <f t="shared" si="315"/>
        <v>(23 downto 16)</v>
      </c>
      <c r="AG1243" s="2" t="str">
        <f t="shared" si="316"/>
        <v>(15 downto 8)</v>
      </c>
      <c r="AH1243" s="2" t="str">
        <f t="shared" si="317"/>
        <v>(7 downto 0)</v>
      </c>
    </row>
    <row r="1244" spans="2:34" x14ac:dyDescent="0.25">
      <c r="B1244" s="2" t="s">
        <v>3547</v>
      </c>
      <c r="C1244" s="2" t="s">
        <v>141</v>
      </c>
      <c r="D1244" s="2" t="s">
        <v>0</v>
      </c>
      <c r="E1244" s="2" t="s">
        <v>130</v>
      </c>
      <c r="F1244" s="2" t="s">
        <v>3548</v>
      </c>
      <c r="G1244" s="2" t="s">
        <v>3549</v>
      </c>
      <c r="H1244" s="2" t="s">
        <v>142</v>
      </c>
      <c r="I1244" s="2" t="s">
        <v>41</v>
      </c>
      <c r="J1244" s="2">
        <v>32</v>
      </c>
      <c r="K1244" s="2" t="s">
        <v>132</v>
      </c>
      <c r="L1244" s="2" t="s">
        <v>40</v>
      </c>
      <c r="P1244" s="2" t="s">
        <v>48</v>
      </c>
      <c r="Q1244" s="2">
        <f>INDEX(Tables!$C$4:$C$28,MATCH($P1244,Tables!$B$4:$B$28,0))</f>
        <v>32</v>
      </c>
      <c r="R1244" s="2">
        <f>INDEX(Tables!$D$4:$D$28,MATCH($P1244,Tables!$B$4:$B$28,0))</f>
        <v>4</v>
      </c>
      <c r="S1244" s="2">
        <f>$S1243+$R1243+INDEX(Tables!$N$5:$Q$8,MATCH(MOD($S1243+$R1243,4),Tables!$M$5:$M$8,0),MATCH($R1244,Tables!$N$4:$Q$4,0))</f>
        <v>4792</v>
      </c>
      <c r="T1244" s="2" t="str">
        <f t="shared" si="303"/>
        <v>12B8</v>
      </c>
      <c r="U1244" s="2">
        <f t="shared" si="309"/>
        <v>1198</v>
      </c>
      <c r="V1244" s="2" t="str">
        <f t="shared" si="304"/>
        <v>4AE</v>
      </c>
      <c r="W1244" s="2" t="str">
        <f t="shared" si="305"/>
        <v>X</v>
      </c>
      <c r="X1244" s="2" t="str">
        <f t="shared" si="308"/>
        <v>X</v>
      </c>
      <c r="Y1244" s="2" t="str">
        <f t="shared" si="306"/>
        <v>X</v>
      </c>
      <c r="Z1244" s="2" t="str">
        <f t="shared" si="307"/>
        <v>X</v>
      </c>
      <c r="AA1244" s="2" t="str">
        <f t="shared" si="310"/>
        <v>(31 downto 24)</v>
      </c>
      <c r="AB1244" s="2" t="str">
        <f t="shared" si="311"/>
        <v>(23 downto 16)</v>
      </c>
      <c r="AC1244" s="2" t="str">
        <f t="shared" si="312"/>
        <v>(15 downto 8)</v>
      </c>
      <c r="AD1244" s="2" t="str">
        <f t="shared" si="313"/>
        <v>(7 downto 0)</v>
      </c>
      <c r="AE1244" s="2" t="str">
        <f t="shared" si="314"/>
        <v>(31 downto 24)</v>
      </c>
      <c r="AF1244" s="2" t="str">
        <f t="shared" si="315"/>
        <v>(23 downto 16)</v>
      </c>
      <c r="AG1244" s="2" t="str">
        <f t="shared" si="316"/>
        <v>(15 downto 8)</v>
      </c>
      <c r="AH1244" s="2" t="str">
        <f t="shared" si="317"/>
        <v>(7 downto 0)</v>
      </c>
    </row>
    <row r="1245" spans="2:34" x14ac:dyDescent="0.25">
      <c r="B1245" s="2" t="s">
        <v>3550</v>
      </c>
      <c r="C1245" s="2" t="s">
        <v>141</v>
      </c>
      <c r="D1245" s="2" t="s">
        <v>0</v>
      </c>
      <c r="E1245" s="2" t="s">
        <v>130</v>
      </c>
      <c r="F1245" s="2" t="s">
        <v>3551</v>
      </c>
      <c r="G1245" s="2" t="s">
        <v>3552</v>
      </c>
      <c r="H1245" s="2" t="s">
        <v>142</v>
      </c>
      <c r="I1245" s="2" t="s">
        <v>41</v>
      </c>
      <c r="J1245" s="2">
        <v>32</v>
      </c>
      <c r="K1245" s="2" t="s">
        <v>132</v>
      </c>
      <c r="L1245" s="2" t="s">
        <v>40</v>
      </c>
      <c r="P1245" s="2" t="s">
        <v>48</v>
      </c>
      <c r="Q1245" s="2">
        <f>INDEX(Tables!$C$4:$C$28,MATCH($P1245,Tables!$B$4:$B$28,0))</f>
        <v>32</v>
      </c>
      <c r="R1245" s="2">
        <f>INDEX(Tables!$D$4:$D$28,MATCH($P1245,Tables!$B$4:$B$28,0))</f>
        <v>4</v>
      </c>
      <c r="S1245" s="2">
        <f>$S1244+$R1244+INDEX(Tables!$N$5:$Q$8,MATCH(MOD($S1244+$R1244,4),Tables!$M$5:$M$8,0),MATCH($R1245,Tables!$N$4:$Q$4,0))</f>
        <v>4796</v>
      </c>
      <c r="T1245" s="2" t="str">
        <f t="shared" si="303"/>
        <v>12BC</v>
      </c>
      <c r="U1245" s="2">
        <f t="shared" si="309"/>
        <v>1199</v>
      </c>
      <c r="V1245" s="2" t="str">
        <f t="shared" si="304"/>
        <v>4AF</v>
      </c>
      <c r="W1245" s="2" t="str">
        <f t="shared" si="305"/>
        <v>X</v>
      </c>
      <c r="X1245" s="2" t="str">
        <f t="shared" si="308"/>
        <v>X</v>
      </c>
      <c r="Y1245" s="2" t="str">
        <f t="shared" si="306"/>
        <v>X</v>
      </c>
      <c r="Z1245" s="2" t="str">
        <f t="shared" si="307"/>
        <v>X</v>
      </c>
      <c r="AA1245" s="2" t="str">
        <f t="shared" si="310"/>
        <v>(31 downto 24)</v>
      </c>
      <c r="AB1245" s="2" t="str">
        <f t="shared" si="311"/>
        <v>(23 downto 16)</v>
      </c>
      <c r="AC1245" s="2" t="str">
        <f t="shared" si="312"/>
        <v>(15 downto 8)</v>
      </c>
      <c r="AD1245" s="2" t="str">
        <f t="shared" si="313"/>
        <v>(7 downto 0)</v>
      </c>
      <c r="AE1245" s="2" t="str">
        <f t="shared" si="314"/>
        <v>(31 downto 24)</v>
      </c>
      <c r="AF1245" s="2" t="str">
        <f t="shared" si="315"/>
        <v>(23 downto 16)</v>
      </c>
      <c r="AG1245" s="2" t="str">
        <f t="shared" si="316"/>
        <v>(15 downto 8)</v>
      </c>
      <c r="AH1245" s="2" t="str">
        <f t="shared" si="317"/>
        <v>(7 downto 0)</v>
      </c>
    </row>
    <row r="1246" spans="2:34" x14ac:dyDescent="0.25">
      <c r="B1246" s="2" t="s">
        <v>3553</v>
      </c>
      <c r="C1246" s="2" t="s">
        <v>141</v>
      </c>
      <c r="D1246" s="2" t="s">
        <v>0</v>
      </c>
      <c r="E1246" s="2" t="s">
        <v>130</v>
      </c>
      <c r="F1246" s="2" t="s">
        <v>3554</v>
      </c>
      <c r="G1246" s="2" t="s">
        <v>3555</v>
      </c>
      <c r="H1246" s="2" t="s">
        <v>142</v>
      </c>
      <c r="I1246" s="2" t="s">
        <v>41</v>
      </c>
      <c r="J1246" s="2">
        <v>32</v>
      </c>
      <c r="K1246" s="2" t="s">
        <v>132</v>
      </c>
      <c r="L1246" s="2" t="s">
        <v>40</v>
      </c>
      <c r="P1246" s="2" t="s">
        <v>48</v>
      </c>
      <c r="Q1246" s="2">
        <f>INDEX(Tables!$C$4:$C$28,MATCH($P1246,Tables!$B$4:$B$28,0))</f>
        <v>32</v>
      </c>
      <c r="R1246" s="2">
        <f>INDEX(Tables!$D$4:$D$28,MATCH($P1246,Tables!$B$4:$B$28,0))</f>
        <v>4</v>
      </c>
      <c r="S1246" s="2">
        <f>$S1245+$R1245+INDEX(Tables!$N$5:$Q$8,MATCH(MOD($S1245+$R1245,4),Tables!$M$5:$M$8,0),MATCH($R1246,Tables!$N$4:$Q$4,0))</f>
        <v>4800</v>
      </c>
      <c r="T1246" s="2" t="str">
        <f t="shared" si="303"/>
        <v>12C0</v>
      </c>
      <c r="U1246" s="2">
        <f t="shared" si="309"/>
        <v>1200</v>
      </c>
      <c r="V1246" s="2" t="str">
        <f t="shared" si="304"/>
        <v>4B0</v>
      </c>
      <c r="W1246" s="2" t="str">
        <f t="shared" si="305"/>
        <v>X</v>
      </c>
      <c r="X1246" s="2" t="str">
        <f t="shared" si="308"/>
        <v>X</v>
      </c>
      <c r="Y1246" s="2" t="str">
        <f t="shared" si="306"/>
        <v>X</v>
      </c>
      <c r="Z1246" s="2" t="str">
        <f t="shared" si="307"/>
        <v>X</v>
      </c>
      <c r="AA1246" s="2" t="str">
        <f t="shared" si="310"/>
        <v>(31 downto 24)</v>
      </c>
      <c r="AB1246" s="2" t="str">
        <f t="shared" si="311"/>
        <v>(23 downto 16)</v>
      </c>
      <c r="AC1246" s="2" t="str">
        <f t="shared" si="312"/>
        <v>(15 downto 8)</v>
      </c>
      <c r="AD1246" s="2" t="str">
        <f t="shared" si="313"/>
        <v>(7 downto 0)</v>
      </c>
      <c r="AE1246" s="2" t="str">
        <f t="shared" si="314"/>
        <v>(31 downto 24)</v>
      </c>
      <c r="AF1246" s="2" t="str">
        <f t="shared" si="315"/>
        <v>(23 downto 16)</v>
      </c>
      <c r="AG1246" s="2" t="str">
        <f t="shared" si="316"/>
        <v>(15 downto 8)</v>
      </c>
      <c r="AH1246" s="2" t="str">
        <f t="shared" si="317"/>
        <v>(7 downto 0)</v>
      </c>
    </row>
    <row r="1247" spans="2:34" x14ac:dyDescent="0.25">
      <c r="B1247" s="2" t="s">
        <v>3556</v>
      </c>
      <c r="C1247" s="2" t="s">
        <v>141</v>
      </c>
      <c r="D1247" s="2" t="s">
        <v>0</v>
      </c>
      <c r="E1247" s="2" t="s">
        <v>130</v>
      </c>
      <c r="F1247" s="2" t="s">
        <v>3557</v>
      </c>
      <c r="G1247" s="2" t="s">
        <v>3558</v>
      </c>
      <c r="H1247" s="2" t="s">
        <v>142</v>
      </c>
      <c r="I1247" s="2" t="s">
        <v>41</v>
      </c>
      <c r="J1247" s="2">
        <v>32</v>
      </c>
      <c r="K1247" s="2" t="s">
        <v>132</v>
      </c>
      <c r="L1247" s="2" t="s">
        <v>40</v>
      </c>
      <c r="P1247" s="2" t="s">
        <v>48</v>
      </c>
      <c r="Q1247" s="2">
        <f>INDEX(Tables!$C$4:$C$28,MATCH($P1247,Tables!$B$4:$B$28,0))</f>
        <v>32</v>
      </c>
      <c r="R1247" s="2">
        <f>INDEX(Tables!$D$4:$D$28,MATCH($P1247,Tables!$B$4:$B$28,0))</f>
        <v>4</v>
      </c>
      <c r="S1247" s="2">
        <f>$S1246+$R1246+INDEX(Tables!$N$5:$Q$8,MATCH(MOD($S1246+$R1246,4),Tables!$M$5:$M$8,0),MATCH($R1247,Tables!$N$4:$Q$4,0))</f>
        <v>4804</v>
      </c>
      <c r="T1247" s="2" t="str">
        <f t="shared" si="303"/>
        <v>12C4</v>
      </c>
      <c r="U1247" s="2">
        <f t="shared" si="309"/>
        <v>1201</v>
      </c>
      <c r="V1247" s="2" t="str">
        <f t="shared" si="304"/>
        <v>4B1</v>
      </c>
      <c r="W1247" s="2" t="str">
        <f t="shared" si="305"/>
        <v>X</v>
      </c>
      <c r="X1247" s="2" t="str">
        <f t="shared" si="308"/>
        <v>X</v>
      </c>
      <c r="Y1247" s="2" t="str">
        <f t="shared" si="306"/>
        <v>X</v>
      </c>
      <c r="Z1247" s="2" t="str">
        <f t="shared" si="307"/>
        <v>X</v>
      </c>
      <c r="AA1247" s="2" t="str">
        <f t="shared" si="310"/>
        <v>(31 downto 24)</v>
      </c>
      <c r="AB1247" s="2" t="str">
        <f t="shared" si="311"/>
        <v>(23 downto 16)</v>
      </c>
      <c r="AC1247" s="2" t="str">
        <f t="shared" si="312"/>
        <v>(15 downto 8)</v>
      </c>
      <c r="AD1247" s="2" t="str">
        <f t="shared" si="313"/>
        <v>(7 downto 0)</v>
      </c>
      <c r="AE1247" s="2" t="str">
        <f t="shared" si="314"/>
        <v>(31 downto 24)</v>
      </c>
      <c r="AF1247" s="2" t="str">
        <f t="shared" si="315"/>
        <v>(23 downto 16)</v>
      </c>
      <c r="AG1247" s="2" t="str">
        <f t="shared" si="316"/>
        <v>(15 downto 8)</v>
      </c>
      <c r="AH1247" s="2" t="str">
        <f t="shared" si="317"/>
        <v>(7 downto 0)</v>
      </c>
    </row>
    <row r="1248" spans="2:34" x14ac:dyDescent="0.25">
      <c r="B1248" s="2" t="s">
        <v>3559</v>
      </c>
      <c r="C1248" s="2" t="s">
        <v>141</v>
      </c>
      <c r="D1248" s="2" t="s">
        <v>0</v>
      </c>
      <c r="E1248" s="2" t="s">
        <v>130</v>
      </c>
      <c r="F1248" s="2" t="s">
        <v>3560</v>
      </c>
      <c r="G1248" s="2" t="s">
        <v>3561</v>
      </c>
      <c r="H1248" s="2" t="s">
        <v>142</v>
      </c>
      <c r="I1248" s="2" t="s">
        <v>41</v>
      </c>
      <c r="J1248" s="2">
        <v>32</v>
      </c>
      <c r="K1248" s="2" t="s">
        <v>132</v>
      </c>
      <c r="L1248" s="2" t="s">
        <v>40</v>
      </c>
      <c r="P1248" s="2" t="s">
        <v>48</v>
      </c>
      <c r="Q1248" s="2">
        <f>INDEX(Tables!$C$4:$C$28,MATCH($P1248,Tables!$B$4:$B$28,0))</f>
        <v>32</v>
      </c>
      <c r="R1248" s="2">
        <f>INDEX(Tables!$D$4:$D$28,MATCH($P1248,Tables!$B$4:$B$28,0))</f>
        <v>4</v>
      </c>
      <c r="S1248" s="2">
        <f>$S1247+$R1247+INDEX(Tables!$N$5:$Q$8,MATCH(MOD($S1247+$R1247,4),Tables!$M$5:$M$8,0),MATCH($R1248,Tables!$N$4:$Q$4,0))</f>
        <v>4808</v>
      </c>
      <c r="T1248" s="2" t="str">
        <f t="shared" si="303"/>
        <v>12C8</v>
      </c>
      <c r="U1248" s="2">
        <f t="shared" si="309"/>
        <v>1202</v>
      </c>
      <c r="V1248" s="2" t="str">
        <f t="shared" si="304"/>
        <v>4B2</v>
      </c>
      <c r="W1248" s="2" t="str">
        <f t="shared" si="305"/>
        <v>X</v>
      </c>
      <c r="X1248" s="2" t="str">
        <f t="shared" si="308"/>
        <v>X</v>
      </c>
      <c r="Y1248" s="2" t="str">
        <f t="shared" si="306"/>
        <v>X</v>
      </c>
      <c r="Z1248" s="2" t="str">
        <f t="shared" si="307"/>
        <v>X</v>
      </c>
      <c r="AA1248" s="2" t="str">
        <f t="shared" si="310"/>
        <v>(31 downto 24)</v>
      </c>
      <c r="AB1248" s="2" t="str">
        <f t="shared" si="311"/>
        <v>(23 downto 16)</v>
      </c>
      <c r="AC1248" s="2" t="str">
        <f t="shared" si="312"/>
        <v>(15 downto 8)</v>
      </c>
      <c r="AD1248" s="2" t="str">
        <f t="shared" si="313"/>
        <v>(7 downto 0)</v>
      </c>
      <c r="AE1248" s="2" t="str">
        <f t="shared" si="314"/>
        <v>(31 downto 24)</v>
      </c>
      <c r="AF1248" s="2" t="str">
        <f t="shared" si="315"/>
        <v>(23 downto 16)</v>
      </c>
      <c r="AG1248" s="2" t="str">
        <f t="shared" si="316"/>
        <v>(15 downto 8)</v>
      </c>
      <c r="AH1248" s="2" t="str">
        <f t="shared" si="317"/>
        <v>(7 downto 0)</v>
      </c>
    </row>
    <row r="1249" spans="2:34" x14ac:dyDescent="0.25">
      <c r="B1249" s="2" t="s">
        <v>3562</v>
      </c>
      <c r="C1249" s="2" t="s">
        <v>141</v>
      </c>
      <c r="D1249" s="2" t="s">
        <v>0</v>
      </c>
      <c r="E1249" s="2" t="s">
        <v>130</v>
      </c>
      <c r="F1249" s="2" t="s">
        <v>3563</v>
      </c>
      <c r="G1249" s="2" t="s">
        <v>3564</v>
      </c>
      <c r="H1249" s="2" t="s">
        <v>142</v>
      </c>
      <c r="I1249" s="2" t="s">
        <v>41</v>
      </c>
      <c r="J1249" s="2">
        <v>32</v>
      </c>
      <c r="K1249" s="2" t="s">
        <v>132</v>
      </c>
      <c r="L1249" s="2" t="s">
        <v>40</v>
      </c>
      <c r="P1249" s="2" t="s">
        <v>48</v>
      </c>
      <c r="Q1249" s="2">
        <f>INDEX(Tables!$C$4:$C$28,MATCH($P1249,Tables!$B$4:$B$28,0))</f>
        <v>32</v>
      </c>
      <c r="R1249" s="2">
        <f>INDEX(Tables!$D$4:$D$28,MATCH($P1249,Tables!$B$4:$B$28,0))</f>
        <v>4</v>
      </c>
      <c r="S1249" s="2">
        <f>$S1248+$R1248+INDEX(Tables!$N$5:$Q$8,MATCH(MOD($S1248+$R1248,4),Tables!$M$5:$M$8,0),MATCH($R1249,Tables!$N$4:$Q$4,0))</f>
        <v>4812</v>
      </c>
      <c r="T1249" s="2" t="str">
        <f t="shared" si="303"/>
        <v>12CC</v>
      </c>
      <c r="U1249" s="2">
        <f t="shared" si="309"/>
        <v>1203</v>
      </c>
      <c r="V1249" s="2" t="str">
        <f t="shared" si="304"/>
        <v>4B3</v>
      </c>
      <c r="W1249" s="2" t="str">
        <f t="shared" si="305"/>
        <v>X</v>
      </c>
      <c r="X1249" s="2" t="str">
        <f t="shared" si="308"/>
        <v>X</v>
      </c>
      <c r="Y1249" s="2" t="str">
        <f t="shared" si="306"/>
        <v>X</v>
      </c>
      <c r="Z1249" s="2" t="str">
        <f t="shared" si="307"/>
        <v>X</v>
      </c>
      <c r="AA1249" s="2" t="str">
        <f t="shared" si="310"/>
        <v>(31 downto 24)</v>
      </c>
      <c r="AB1249" s="2" t="str">
        <f t="shared" si="311"/>
        <v>(23 downto 16)</v>
      </c>
      <c r="AC1249" s="2" t="str">
        <f t="shared" si="312"/>
        <v>(15 downto 8)</v>
      </c>
      <c r="AD1249" s="2" t="str">
        <f t="shared" si="313"/>
        <v>(7 downto 0)</v>
      </c>
      <c r="AE1249" s="2" t="str">
        <f t="shared" si="314"/>
        <v>(31 downto 24)</v>
      </c>
      <c r="AF1249" s="2" t="str">
        <f t="shared" si="315"/>
        <v>(23 downto 16)</v>
      </c>
      <c r="AG1249" s="2" t="str">
        <f t="shared" si="316"/>
        <v>(15 downto 8)</v>
      </c>
      <c r="AH1249" s="2" t="str">
        <f t="shared" si="317"/>
        <v>(7 downto 0)</v>
      </c>
    </row>
    <row r="1250" spans="2:34" x14ac:dyDescent="0.25">
      <c r="B1250" s="2" t="s">
        <v>3565</v>
      </c>
      <c r="C1250" s="2" t="s">
        <v>141</v>
      </c>
      <c r="D1250" s="2" t="s">
        <v>0</v>
      </c>
      <c r="E1250" s="2" t="s">
        <v>130</v>
      </c>
      <c r="F1250" s="2" t="s">
        <v>3566</v>
      </c>
      <c r="G1250" s="2" t="s">
        <v>3567</v>
      </c>
      <c r="H1250" s="2" t="s">
        <v>142</v>
      </c>
      <c r="I1250" s="2" t="s">
        <v>41</v>
      </c>
      <c r="J1250" s="2">
        <v>32</v>
      </c>
      <c r="K1250" s="2" t="s">
        <v>132</v>
      </c>
      <c r="L1250" s="2" t="s">
        <v>40</v>
      </c>
      <c r="P1250" s="2" t="s">
        <v>48</v>
      </c>
      <c r="Q1250" s="2">
        <f>INDEX(Tables!$C$4:$C$28,MATCH($P1250,Tables!$B$4:$B$28,0))</f>
        <v>32</v>
      </c>
      <c r="R1250" s="2">
        <f>INDEX(Tables!$D$4:$D$28,MATCH($P1250,Tables!$B$4:$B$28,0))</f>
        <v>4</v>
      </c>
      <c r="S1250" s="2">
        <f>$S1249+$R1249+INDEX(Tables!$N$5:$Q$8,MATCH(MOD($S1249+$R1249,4),Tables!$M$5:$M$8,0),MATCH($R1250,Tables!$N$4:$Q$4,0))</f>
        <v>4816</v>
      </c>
      <c r="T1250" s="2" t="str">
        <f t="shared" si="303"/>
        <v>12D0</v>
      </c>
      <c r="U1250" s="2">
        <f t="shared" si="309"/>
        <v>1204</v>
      </c>
      <c r="V1250" s="2" t="str">
        <f t="shared" si="304"/>
        <v>4B4</v>
      </c>
      <c r="W1250" s="2" t="str">
        <f t="shared" si="305"/>
        <v>X</v>
      </c>
      <c r="X1250" s="2" t="str">
        <f t="shared" si="308"/>
        <v>X</v>
      </c>
      <c r="Y1250" s="2" t="str">
        <f t="shared" si="306"/>
        <v>X</v>
      </c>
      <c r="Z1250" s="2" t="str">
        <f t="shared" si="307"/>
        <v>X</v>
      </c>
      <c r="AA1250" s="2" t="str">
        <f t="shared" si="310"/>
        <v>(31 downto 24)</v>
      </c>
      <c r="AB1250" s="2" t="str">
        <f t="shared" si="311"/>
        <v>(23 downto 16)</v>
      </c>
      <c r="AC1250" s="2" t="str">
        <f t="shared" si="312"/>
        <v>(15 downto 8)</v>
      </c>
      <c r="AD1250" s="2" t="str">
        <f t="shared" si="313"/>
        <v>(7 downto 0)</v>
      </c>
      <c r="AE1250" s="2" t="str">
        <f t="shared" si="314"/>
        <v>(31 downto 24)</v>
      </c>
      <c r="AF1250" s="2" t="str">
        <f t="shared" si="315"/>
        <v>(23 downto 16)</v>
      </c>
      <c r="AG1250" s="2" t="str">
        <f t="shared" si="316"/>
        <v>(15 downto 8)</v>
      </c>
      <c r="AH1250" s="2" t="str">
        <f t="shared" si="317"/>
        <v>(7 downto 0)</v>
      </c>
    </row>
    <row r="1251" spans="2:34" x14ac:dyDescent="0.25">
      <c r="B1251" s="2" t="s">
        <v>3568</v>
      </c>
      <c r="C1251" s="2" t="s">
        <v>141</v>
      </c>
      <c r="D1251" s="2" t="s">
        <v>0</v>
      </c>
      <c r="E1251" s="2" t="s">
        <v>130</v>
      </c>
      <c r="F1251" s="2" t="s">
        <v>3569</v>
      </c>
      <c r="G1251" s="2" t="s">
        <v>3570</v>
      </c>
      <c r="H1251" s="2" t="s">
        <v>142</v>
      </c>
      <c r="I1251" s="2" t="s">
        <v>41</v>
      </c>
      <c r="J1251" s="2">
        <v>32</v>
      </c>
      <c r="K1251" s="2" t="s">
        <v>132</v>
      </c>
      <c r="L1251" s="2" t="s">
        <v>40</v>
      </c>
      <c r="P1251" s="2" t="s">
        <v>48</v>
      </c>
      <c r="Q1251" s="2">
        <f>INDEX(Tables!$C$4:$C$28,MATCH($P1251,Tables!$B$4:$B$28,0))</f>
        <v>32</v>
      </c>
      <c r="R1251" s="2">
        <f>INDEX(Tables!$D$4:$D$28,MATCH($P1251,Tables!$B$4:$B$28,0))</f>
        <v>4</v>
      </c>
      <c r="S1251" s="2">
        <f>$S1250+$R1250+INDEX(Tables!$N$5:$Q$8,MATCH(MOD($S1250+$R1250,4),Tables!$M$5:$M$8,0),MATCH($R1251,Tables!$N$4:$Q$4,0))</f>
        <v>4820</v>
      </c>
      <c r="T1251" s="2" t="str">
        <f t="shared" si="303"/>
        <v>12D4</v>
      </c>
      <c r="U1251" s="2">
        <f t="shared" si="309"/>
        <v>1205</v>
      </c>
      <c r="V1251" s="2" t="str">
        <f t="shared" si="304"/>
        <v>4B5</v>
      </c>
      <c r="W1251" s="2" t="str">
        <f t="shared" si="305"/>
        <v>X</v>
      </c>
      <c r="X1251" s="2" t="str">
        <f t="shared" si="308"/>
        <v>X</v>
      </c>
      <c r="Y1251" s="2" t="str">
        <f t="shared" si="306"/>
        <v>X</v>
      </c>
      <c r="Z1251" s="2" t="str">
        <f t="shared" si="307"/>
        <v>X</v>
      </c>
      <c r="AA1251" s="2" t="str">
        <f t="shared" si="310"/>
        <v>(31 downto 24)</v>
      </c>
      <c r="AB1251" s="2" t="str">
        <f t="shared" si="311"/>
        <v>(23 downto 16)</v>
      </c>
      <c r="AC1251" s="2" t="str">
        <f t="shared" si="312"/>
        <v>(15 downto 8)</v>
      </c>
      <c r="AD1251" s="2" t="str">
        <f t="shared" si="313"/>
        <v>(7 downto 0)</v>
      </c>
      <c r="AE1251" s="2" t="str">
        <f t="shared" si="314"/>
        <v>(31 downto 24)</v>
      </c>
      <c r="AF1251" s="2" t="str">
        <f t="shared" si="315"/>
        <v>(23 downto 16)</v>
      </c>
      <c r="AG1251" s="2" t="str">
        <f t="shared" si="316"/>
        <v>(15 downto 8)</v>
      </c>
      <c r="AH1251" s="2" t="str">
        <f t="shared" si="317"/>
        <v>(7 downto 0)</v>
      </c>
    </row>
    <row r="1252" spans="2:34" x14ac:dyDescent="0.25">
      <c r="B1252" s="2" t="s">
        <v>3571</v>
      </c>
      <c r="C1252" s="2" t="s">
        <v>141</v>
      </c>
      <c r="D1252" s="2" t="s">
        <v>0</v>
      </c>
      <c r="E1252" s="2" t="s">
        <v>130</v>
      </c>
      <c r="F1252" s="2" t="s">
        <v>3572</v>
      </c>
      <c r="G1252" s="2" t="s">
        <v>3573</v>
      </c>
      <c r="H1252" s="2" t="s">
        <v>142</v>
      </c>
      <c r="I1252" s="2" t="s">
        <v>41</v>
      </c>
      <c r="J1252" s="2">
        <v>32</v>
      </c>
      <c r="K1252" s="2" t="s">
        <v>132</v>
      </c>
      <c r="L1252" s="2" t="s">
        <v>40</v>
      </c>
      <c r="P1252" s="2" t="s">
        <v>48</v>
      </c>
      <c r="Q1252" s="2">
        <f>INDEX(Tables!$C$4:$C$28,MATCH($P1252,Tables!$B$4:$B$28,0))</f>
        <v>32</v>
      </c>
      <c r="R1252" s="2">
        <f>INDEX(Tables!$D$4:$D$28,MATCH($P1252,Tables!$B$4:$B$28,0))</f>
        <v>4</v>
      </c>
      <c r="S1252" s="2">
        <f>$S1251+$R1251+INDEX(Tables!$N$5:$Q$8,MATCH(MOD($S1251+$R1251,4),Tables!$M$5:$M$8,0),MATCH($R1252,Tables!$N$4:$Q$4,0))</f>
        <v>4824</v>
      </c>
      <c r="T1252" s="2" t="str">
        <f t="shared" si="303"/>
        <v>12D8</v>
      </c>
      <c r="U1252" s="2">
        <f t="shared" si="309"/>
        <v>1206</v>
      </c>
      <c r="V1252" s="2" t="str">
        <f t="shared" si="304"/>
        <v>4B6</v>
      </c>
      <c r="W1252" s="2" t="str">
        <f t="shared" si="305"/>
        <v>X</v>
      </c>
      <c r="X1252" s="2" t="str">
        <f t="shared" si="308"/>
        <v>X</v>
      </c>
      <c r="Y1252" s="2" t="str">
        <f t="shared" si="306"/>
        <v>X</v>
      </c>
      <c r="Z1252" s="2" t="str">
        <f t="shared" si="307"/>
        <v>X</v>
      </c>
      <c r="AA1252" s="2" t="str">
        <f t="shared" si="310"/>
        <v>(31 downto 24)</v>
      </c>
      <c r="AB1252" s="2" t="str">
        <f t="shared" si="311"/>
        <v>(23 downto 16)</v>
      </c>
      <c r="AC1252" s="2" t="str">
        <f t="shared" si="312"/>
        <v>(15 downto 8)</v>
      </c>
      <c r="AD1252" s="2" t="str">
        <f t="shared" si="313"/>
        <v>(7 downto 0)</v>
      </c>
      <c r="AE1252" s="2" t="str">
        <f t="shared" si="314"/>
        <v>(31 downto 24)</v>
      </c>
      <c r="AF1252" s="2" t="str">
        <f t="shared" si="315"/>
        <v>(23 downto 16)</v>
      </c>
      <c r="AG1252" s="2" t="str">
        <f t="shared" si="316"/>
        <v>(15 downto 8)</v>
      </c>
      <c r="AH1252" s="2" t="str">
        <f t="shared" si="317"/>
        <v>(7 downto 0)</v>
      </c>
    </row>
    <row r="1253" spans="2:34" x14ac:dyDescent="0.25">
      <c r="B1253" s="2" t="s">
        <v>3574</v>
      </c>
      <c r="C1253" s="2" t="s">
        <v>141</v>
      </c>
      <c r="D1253" s="2" t="s">
        <v>0</v>
      </c>
      <c r="E1253" s="2" t="s">
        <v>130</v>
      </c>
      <c r="F1253" s="2" t="s">
        <v>3575</v>
      </c>
      <c r="G1253" s="2" t="s">
        <v>3576</v>
      </c>
      <c r="H1253" s="2" t="s">
        <v>142</v>
      </c>
      <c r="I1253" s="2" t="s">
        <v>41</v>
      </c>
      <c r="J1253" s="2">
        <v>32</v>
      </c>
      <c r="K1253" s="2" t="s">
        <v>132</v>
      </c>
      <c r="L1253" s="2" t="s">
        <v>40</v>
      </c>
      <c r="P1253" s="2" t="s">
        <v>48</v>
      </c>
      <c r="Q1253" s="2">
        <f>INDEX(Tables!$C$4:$C$28,MATCH($P1253,Tables!$B$4:$B$28,0))</f>
        <v>32</v>
      </c>
      <c r="R1253" s="2">
        <f>INDEX(Tables!$D$4:$D$28,MATCH($P1253,Tables!$B$4:$B$28,0))</f>
        <v>4</v>
      </c>
      <c r="S1253" s="2">
        <f>$S1252+$R1252+INDEX(Tables!$N$5:$Q$8,MATCH(MOD($S1252+$R1252,4),Tables!$M$5:$M$8,0),MATCH($R1253,Tables!$N$4:$Q$4,0))</f>
        <v>4828</v>
      </c>
      <c r="T1253" s="2" t="str">
        <f t="shared" si="303"/>
        <v>12DC</v>
      </c>
      <c r="U1253" s="2">
        <f t="shared" si="309"/>
        <v>1207</v>
      </c>
      <c r="V1253" s="2" t="str">
        <f t="shared" si="304"/>
        <v>4B7</v>
      </c>
      <c r="W1253" s="2" t="str">
        <f t="shared" si="305"/>
        <v>X</v>
      </c>
      <c r="X1253" s="2" t="str">
        <f t="shared" si="308"/>
        <v>X</v>
      </c>
      <c r="Y1253" s="2" t="str">
        <f t="shared" si="306"/>
        <v>X</v>
      </c>
      <c r="Z1253" s="2" t="str">
        <f t="shared" si="307"/>
        <v>X</v>
      </c>
      <c r="AA1253" s="2" t="str">
        <f t="shared" si="310"/>
        <v>(31 downto 24)</v>
      </c>
      <c r="AB1253" s="2" t="str">
        <f t="shared" si="311"/>
        <v>(23 downto 16)</v>
      </c>
      <c r="AC1253" s="2" t="str">
        <f t="shared" si="312"/>
        <v>(15 downto 8)</v>
      </c>
      <c r="AD1253" s="2" t="str">
        <f t="shared" si="313"/>
        <v>(7 downto 0)</v>
      </c>
      <c r="AE1253" s="2" t="str">
        <f t="shared" si="314"/>
        <v>(31 downto 24)</v>
      </c>
      <c r="AF1253" s="2" t="str">
        <f t="shared" si="315"/>
        <v>(23 downto 16)</v>
      </c>
      <c r="AG1253" s="2" t="str">
        <f t="shared" si="316"/>
        <v>(15 downto 8)</v>
      </c>
      <c r="AH1253" s="2" t="str">
        <f t="shared" si="317"/>
        <v>(7 downto 0)</v>
      </c>
    </row>
    <row r="1254" spans="2:34" x14ac:dyDescent="0.25">
      <c r="B1254" s="2" t="s">
        <v>3577</v>
      </c>
      <c r="C1254" s="2" t="s">
        <v>141</v>
      </c>
      <c r="D1254" s="2" t="s">
        <v>0</v>
      </c>
      <c r="E1254" s="2" t="s">
        <v>130</v>
      </c>
      <c r="F1254" s="2" t="s">
        <v>3578</v>
      </c>
      <c r="G1254" s="2" t="s">
        <v>3579</v>
      </c>
      <c r="H1254" s="2" t="s">
        <v>142</v>
      </c>
      <c r="I1254" s="2" t="s">
        <v>41</v>
      </c>
      <c r="J1254" s="2">
        <v>32</v>
      </c>
      <c r="K1254" s="2" t="s">
        <v>132</v>
      </c>
      <c r="L1254" s="2" t="s">
        <v>40</v>
      </c>
      <c r="P1254" s="2" t="s">
        <v>48</v>
      </c>
      <c r="Q1254" s="2">
        <f>INDEX(Tables!$C$4:$C$28,MATCH($P1254,Tables!$B$4:$B$28,0))</f>
        <v>32</v>
      </c>
      <c r="R1254" s="2">
        <f>INDEX(Tables!$D$4:$D$28,MATCH($P1254,Tables!$B$4:$B$28,0))</f>
        <v>4</v>
      </c>
      <c r="S1254" s="2">
        <f>$S1253+$R1253+INDEX(Tables!$N$5:$Q$8,MATCH(MOD($S1253+$R1253,4),Tables!$M$5:$M$8,0),MATCH($R1254,Tables!$N$4:$Q$4,0))</f>
        <v>4832</v>
      </c>
      <c r="T1254" s="2" t="str">
        <f t="shared" si="303"/>
        <v>12E0</v>
      </c>
      <c r="U1254" s="2">
        <f t="shared" si="309"/>
        <v>1208</v>
      </c>
      <c r="V1254" s="2" t="str">
        <f t="shared" si="304"/>
        <v>4B8</v>
      </c>
      <c r="W1254" s="2" t="str">
        <f t="shared" si="305"/>
        <v>X</v>
      </c>
      <c r="X1254" s="2" t="str">
        <f t="shared" si="308"/>
        <v>X</v>
      </c>
      <c r="Y1254" s="2" t="str">
        <f t="shared" si="306"/>
        <v>X</v>
      </c>
      <c r="Z1254" s="2" t="str">
        <f t="shared" si="307"/>
        <v>X</v>
      </c>
      <c r="AA1254" s="2" t="str">
        <f t="shared" si="310"/>
        <v>(31 downto 24)</v>
      </c>
      <c r="AB1254" s="2" t="str">
        <f t="shared" si="311"/>
        <v>(23 downto 16)</v>
      </c>
      <c r="AC1254" s="2" t="str">
        <f t="shared" si="312"/>
        <v>(15 downto 8)</v>
      </c>
      <c r="AD1254" s="2" t="str">
        <f t="shared" si="313"/>
        <v>(7 downto 0)</v>
      </c>
      <c r="AE1254" s="2" t="str">
        <f t="shared" si="314"/>
        <v>(31 downto 24)</v>
      </c>
      <c r="AF1254" s="2" t="str">
        <f t="shared" si="315"/>
        <v>(23 downto 16)</v>
      </c>
      <c r="AG1254" s="2" t="str">
        <f t="shared" si="316"/>
        <v>(15 downto 8)</v>
      </c>
      <c r="AH1254" s="2" t="str">
        <f t="shared" si="317"/>
        <v>(7 downto 0)</v>
      </c>
    </row>
    <row r="1255" spans="2:34" x14ac:dyDescent="0.25">
      <c r="B1255" s="2" t="s">
        <v>3580</v>
      </c>
      <c r="C1255" s="2" t="s">
        <v>141</v>
      </c>
      <c r="D1255" s="2" t="s">
        <v>0</v>
      </c>
      <c r="E1255" s="2" t="s">
        <v>130</v>
      </c>
      <c r="F1255" s="2" t="s">
        <v>3581</v>
      </c>
      <c r="G1255" s="2" t="s">
        <v>3582</v>
      </c>
      <c r="H1255" s="2" t="s">
        <v>142</v>
      </c>
      <c r="I1255" s="2" t="s">
        <v>41</v>
      </c>
      <c r="J1255" s="2">
        <v>32</v>
      </c>
      <c r="K1255" s="2" t="s">
        <v>132</v>
      </c>
      <c r="L1255" s="2" t="s">
        <v>40</v>
      </c>
      <c r="P1255" s="2" t="s">
        <v>48</v>
      </c>
      <c r="Q1255" s="2">
        <f>INDEX(Tables!$C$4:$C$28,MATCH($P1255,Tables!$B$4:$B$28,0))</f>
        <v>32</v>
      </c>
      <c r="R1255" s="2">
        <f>INDEX(Tables!$D$4:$D$28,MATCH($P1255,Tables!$B$4:$B$28,0))</f>
        <v>4</v>
      </c>
      <c r="S1255" s="2">
        <f>$S1254+$R1254+INDEX(Tables!$N$5:$Q$8,MATCH(MOD($S1254+$R1254,4),Tables!$M$5:$M$8,0),MATCH($R1255,Tables!$N$4:$Q$4,0))</f>
        <v>4836</v>
      </c>
      <c r="T1255" s="2" t="str">
        <f t="shared" si="303"/>
        <v>12E4</v>
      </c>
      <c r="U1255" s="2">
        <f t="shared" si="309"/>
        <v>1209</v>
      </c>
      <c r="V1255" s="2" t="str">
        <f t="shared" si="304"/>
        <v>4B9</v>
      </c>
      <c r="W1255" s="2" t="str">
        <f t="shared" si="305"/>
        <v>X</v>
      </c>
      <c r="X1255" s="2" t="str">
        <f t="shared" si="308"/>
        <v>X</v>
      </c>
      <c r="Y1255" s="2" t="str">
        <f t="shared" si="306"/>
        <v>X</v>
      </c>
      <c r="Z1255" s="2" t="str">
        <f t="shared" si="307"/>
        <v>X</v>
      </c>
      <c r="AA1255" s="2" t="str">
        <f t="shared" si="310"/>
        <v>(31 downto 24)</v>
      </c>
      <c r="AB1255" s="2" t="str">
        <f t="shared" si="311"/>
        <v>(23 downto 16)</v>
      </c>
      <c r="AC1255" s="2" t="str">
        <f t="shared" si="312"/>
        <v>(15 downto 8)</v>
      </c>
      <c r="AD1255" s="2" t="str">
        <f t="shared" si="313"/>
        <v>(7 downto 0)</v>
      </c>
      <c r="AE1255" s="2" t="str">
        <f t="shared" si="314"/>
        <v>(31 downto 24)</v>
      </c>
      <c r="AF1255" s="2" t="str">
        <f t="shared" si="315"/>
        <v>(23 downto 16)</v>
      </c>
      <c r="AG1255" s="2" t="str">
        <f t="shared" si="316"/>
        <v>(15 downto 8)</v>
      </c>
      <c r="AH1255" s="2" t="str">
        <f t="shared" si="317"/>
        <v>(7 downto 0)</v>
      </c>
    </row>
    <row r="1256" spans="2:34" x14ac:dyDescent="0.25">
      <c r="B1256" s="2" t="s">
        <v>3583</v>
      </c>
      <c r="C1256" s="2" t="s">
        <v>3584</v>
      </c>
      <c r="D1256" s="2" t="s">
        <v>0</v>
      </c>
      <c r="E1256" s="2" t="s">
        <v>130</v>
      </c>
      <c r="F1256" s="2" t="s">
        <v>3585</v>
      </c>
      <c r="G1256" s="2" t="s">
        <v>3586</v>
      </c>
      <c r="H1256" s="2" t="s">
        <v>3587</v>
      </c>
      <c r="I1256" s="2" t="s">
        <v>41</v>
      </c>
      <c r="J1256" s="2">
        <v>4</v>
      </c>
      <c r="K1256" s="2" t="s">
        <v>132</v>
      </c>
      <c r="L1256" s="2" t="s">
        <v>40</v>
      </c>
      <c r="P1256" s="2" t="s">
        <v>47</v>
      </c>
      <c r="Q1256" s="2">
        <f>INDEX(Tables!$C$4:$C$28,MATCH($P1256,Tables!$B$4:$B$28,0))</f>
        <v>8</v>
      </c>
      <c r="R1256" s="2">
        <f>INDEX(Tables!$D$4:$D$28,MATCH($P1256,Tables!$B$4:$B$28,0))</f>
        <v>1</v>
      </c>
      <c r="S1256" s="2">
        <f>$S1255+$R1255+INDEX(Tables!$N$5:$Q$8,MATCH(MOD($S1255+$R1255,4),Tables!$M$5:$M$8,0),MATCH($R1256,Tables!$N$4:$Q$4,0))</f>
        <v>4840</v>
      </c>
      <c r="T1256" s="2" t="str">
        <f t="shared" si="303"/>
        <v>12E8</v>
      </c>
      <c r="U1256" s="2">
        <f t="shared" si="309"/>
        <v>1210</v>
      </c>
      <c r="V1256" s="2" t="str">
        <f t="shared" si="304"/>
        <v>4BA</v>
      </c>
      <c r="W1256" s="2" t="str">
        <f t="shared" si="305"/>
        <v/>
      </c>
      <c r="X1256" s="2" t="str">
        <f t="shared" si="308"/>
        <v/>
      </c>
      <c r="Y1256" s="2" t="str">
        <f t="shared" si="306"/>
        <v/>
      </c>
      <c r="Z1256" s="2" t="str">
        <f t="shared" si="307"/>
        <v>X</v>
      </c>
      <c r="AA1256" s="2" t="str">
        <f t="shared" si="310"/>
        <v/>
      </c>
      <c r="AB1256" s="2" t="str">
        <f t="shared" si="311"/>
        <v/>
      </c>
      <c r="AC1256" s="2" t="str">
        <f t="shared" si="312"/>
        <v/>
      </c>
      <c r="AD1256" s="2" t="str">
        <f t="shared" si="313"/>
        <v>(3 downto 0)</v>
      </c>
      <c r="AE1256" s="2" t="str">
        <f t="shared" si="314"/>
        <v/>
      </c>
      <c r="AF1256" s="2" t="str">
        <f t="shared" si="315"/>
        <v/>
      </c>
      <c r="AG1256" s="2" t="str">
        <f t="shared" si="316"/>
        <v/>
      </c>
      <c r="AH1256" s="2" t="str">
        <f t="shared" si="317"/>
        <v/>
      </c>
    </row>
    <row r="1257" spans="2:34" x14ac:dyDescent="0.25">
      <c r="B1257" s="2" t="s">
        <v>3583</v>
      </c>
      <c r="C1257" s="2" t="s">
        <v>3588</v>
      </c>
      <c r="D1257" s="2" t="s">
        <v>0</v>
      </c>
      <c r="E1257" s="2" t="s">
        <v>130</v>
      </c>
      <c r="F1257" s="2" t="s">
        <v>3585</v>
      </c>
      <c r="G1257" s="2" t="s">
        <v>3586</v>
      </c>
      <c r="H1257" s="2" t="s">
        <v>3589</v>
      </c>
      <c r="I1257" s="2" t="s">
        <v>41</v>
      </c>
      <c r="J1257" s="2">
        <v>1</v>
      </c>
      <c r="K1257" s="2" t="s">
        <v>81</v>
      </c>
      <c r="L1257" s="2" t="s">
        <v>40</v>
      </c>
      <c r="P1257" s="2" t="s">
        <v>4</v>
      </c>
      <c r="Q1257" s="2">
        <f>INDEX(Tables!$C$4:$C$28,MATCH($P1257,Tables!$B$4:$B$28,0))</f>
        <v>32</v>
      </c>
      <c r="R1257" s="2">
        <f>INDEX(Tables!$D$4:$D$28,MATCH($P1257,Tables!$B$4:$B$28,0))</f>
        <v>4</v>
      </c>
      <c r="S1257" s="2">
        <f>$S1256+$R1256+INDEX(Tables!$N$5:$Q$8,MATCH(MOD($S1256+$R1256,4),Tables!$M$5:$M$8,0),MATCH($R1257,Tables!$N$4:$Q$4,0))</f>
        <v>4844</v>
      </c>
      <c r="T1257" s="2" t="str">
        <f t="shared" si="303"/>
        <v>12EC</v>
      </c>
      <c r="U1257" s="2">
        <f t="shared" si="309"/>
        <v>1211</v>
      </c>
      <c r="V1257" s="2" t="str">
        <f t="shared" si="304"/>
        <v>4BB</v>
      </c>
      <c r="W1257" s="2" t="str">
        <f t="shared" si="305"/>
        <v/>
      </c>
      <c r="X1257" s="2" t="str">
        <f t="shared" si="308"/>
        <v/>
      </c>
      <c r="Y1257" s="2" t="str">
        <f t="shared" si="306"/>
        <v/>
      </c>
      <c r="Z1257" s="2" t="str">
        <f t="shared" si="307"/>
        <v>X</v>
      </c>
      <c r="AA1257" s="2" t="str">
        <f t="shared" si="310"/>
        <v/>
      </c>
      <c r="AB1257" s="2" t="str">
        <f t="shared" si="311"/>
        <v/>
      </c>
      <c r="AC1257" s="2" t="str">
        <f t="shared" si="312"/>
        <v/>
      </c>
      <c r="AD1257" s="2" t="str">
        <f t="shared" si="313"/>
        <v>(0)</v>
      </c>
      <c r="AE1257" s="2" t="str">
        <f t="shared" si="314"/>
        <v/>
      </c>
      <c r="AF1257" s="2" t="str">
        <f t="shared" si="315"/>
        <v/>
      </c>
      <c r="AG1257" s="2" t="str">
        <f t="shared" si="316"/>
        <v/>
      </c>
      <c r="AH1257" s="2" t="str">
        <f t="shared" si="317"/>
        <v/>
      </c>
    </row>
    <row r="1258" spans="2:34" x14ac:dyDescent="0.25">
      <c r="B1258" s="2" t="s">
        <v>3583</v>
      </c>
      <c r="C1258" s="2" t="s">
        <v>3590</v>
      </c>
      <c r="D1258" s="2" t="s">
        <v>0</v>
      </c>
      <c r="E1258" s="2" t="s">
        <v>130</v>
      </c>
      <c r="F1258" s="2" t="s">
        <v>3585</v>
      </c>
      <c r="G1258" s="2" t="s">
        <v>3586</v>
      </c>
      <c r="H1258" s="2" t="s">
        <v>3591</v>
      </c>
      <c r="I1258" s="2" t="s">
        <v>41</v>
      </c>
      <c r="J1258" s="2">
        <v>1</v>
      </c>
      <c r="K1258" s="2" t="s">
        <v>81</v>
      </c>
      <c r="L1258" s="2" t="s">
        <v>40</v>
      </c>
      <c r="P1258" s="2" t="s">
        <v>4</v>
      </c>
      <c r="Q1258" s="2">
        <f>INDEX(Tables!$C$4:$C$28,MATCH($P1258,Tables!$B$4:$B$28,0))</f>
        <v>32</v>
      </c>
      <c r="R1258" s="2">
        <f>INDEX(Tables!$D$4:$D$28,MATCH($P1258,Tables!$B$4:$B$28,0))</f>
        <v>4</v>
      </c>
      <c r="S1258" s="2">
        <f>$S1257+$R1257+INDEX(Tables!$N$5:$Q$8,MATCH(MOD($S1257+$R1257,4),Tables!$M$5:$M$8,0),MATCH($R1258,Tables!$N$4:$Q$4,0))</f>
        <v>4848</v>
      </c>
      <c r="T1258" s="2" t="str">
        <f t="shared" si="303"/>
        <v>12F0</v>
      </c>
      <c r="U1258" s="2">
        <f t="shared" si="309"/>
        <v>1212</v>
      </c>
      <c r="V1258" s="2" t="str">
        <f t="shared" si="304"/>
        <v>4BC</v>
      </c>
      <c r="W1258" s="2" t="str">
        <f t="shared" si="305"/>
        <v/>
      </c>
      <c r="X1258" s="2" t="str">
        <f t="shared" si="308"/>
        <v/>
      </c>
      <c r="Y1258" s="2" t="str">
        <f t="shared" si="306"/>
        <v/>
      </c>
      <c r="Z1258" s="2" t="str">
        <f t="shared" si="307"/>
        <v>X</v>
      </c>
      <c r="AA1258" s="2" t="str">
        <f t="shared" si="310"/>
        <v/>
      </c>
      <c r="AB1258" s="2" t="str">
        <f t="shared" si="311"/>
        <v/>
      </c>
      <c r="AC1258" s="2" t="str">
        <f t="shared" si="312"/>
        <v/>
      </c>
      <c r="AD1258" s="2" t="str">
        <f t="shared" si="313"/>
        <v>(0)</v>
      </c>
      <c r="AE1258" s="2" t="str">
        <f t="shared" si="314"/>
        <v/>
      </c>
      <c r="AF1258" s="2" t="str">
        <f t="shared" si="315"/>
        <v/>
      </c>
      <c r="AG1258" s="2" t="str">
        <f t="shared" si="316"/>
        <v/>
      </c>
      <c r="AH1258" s="2" t="str">
        <f t="shared" si="317"/>
        <v/>
      </c>
    </row>
    <row r="1259" spans="2:34" x14ac:dyDescent="0.25">
      <c r="B1259" s="2" t="s">
        <v>3583</v>
      </c>
      <c r="C1259" s="2" t="s">
        <v>3592</v>
      </c>
      <c r="D1259" s="2" t="s">
        <v>0</v>
      </c>
      <c r="E1259" s="2" t="s">
        <v>130</v>
      </c>
      <c r="F1259" s="2" t="s">
        <v>3585</v>
      </c>
      <c r="G1259" s="2" t="s">
        <v>3586</v>
      </c>
      <c r="H1259" s="2" t="s">
        <v>3593</v>
      </c>
      <c r="I1259" s="2" t="s">
        <v>41</v>
      </c>
      <c r="J1259" s="2">
        <v>1</v>
      </c>
      <c r="K1259" s="2" t="s">
        <v>81</v>
      </c>
      <c r="L1259" s="2" t="s">
        <v>40</v>
      </c>
      <c r="P1259" s="2" t="s">
        <v>4</v>
      </c>
      <c r="Q1259" s="2">
        <f>INDEX(Tables!$C$4:$C$28,MATCH($P1259,Tables!$B$4:$B$28,0))</f>
        <v>32</v>
      </c>
      <c r="R1259" s="2">
        <f>INDEX(Tables!$D$4:$D$28,MATCH($P1259,Tables!$B$4:$B$28,0))</f>
        <v>4</v>
      </c>
      <c r="S1259" s="2">
        <f>$S1258+$R1258+INDEX(Tables!$N$5:$Q$8,MATCH(MOD($S1258+$R1258,4),Tables!$M$5:$M$8,0),MATCH($R1259,Tables!$N$4:$Q$4,0))</f>
        <v>4852</v>
      </c>
      <c r="T1259" s="2" t="str">
        <f t="shared" si="303"/>
        <v>12F4</v>
      </c>
      <c r="U1259" s="2">
        <f t="shared" si="309"/>
        <v>1213</v>
      </c>
      <c r="V1259" s="2" t="str">
        <f t="shared" si="304"/>
        <v>4BD</v>
      </c>
      <c r="W1259" s="2" t="str">
        <f t="shared" si="305"/>
        <v/>
      </c>
      <c r="X1259" s="2" t="str">
        <f t="shared" si="308"/>
        <v/>
      </c>
      <c r="Y1259" s="2" t="str">
        <f t="shared" si="306"/>
        <v/>
      </c>
      <c r="Z1259" s="2" t="str">
        <f t="shared" si="307"/>
        <v>X</v>
      </c>
      <c r="AA1259" s="2" t="str">
        <f t="shared" si="310"/>
        <v/>
      </c>
      <c r="AB1259" s="2" t="str">
        <f t="shared" si="311"/>
        <v/>
      </c>
      <c r="AC1259" s="2" t="str">
        <f t="shared" si="312"/>
        <v/>
      </c>
      <c r="AD1259" s="2" t="str">
        <f t="shared" si="313"/>
        <v>(0)</v>
      </c>
      <c r="AE1259" s="2" t="str">
        <f t="shared" si="314"/>
        <v/>
      </c>
      <c r="AF1259" s="2" t="str">
        <f t="shared" si="315"/>
        <v/>
      </c>
      <c r="AG1259" s="2" t="str">
        <f t="shared" si="316"/>
        <v/>
      </c>
      <c r="AH1259" s="2" t="str">
        <f t="shared" si="317"/>
        <v/>
      </c>
    </row>
    <row r="1260" spans="2:34" x14ac:dyDescent="0.25">
      <c r="B1260" s="2" t="s">
        <v>3583</v>
      </c>
      <c r="C1260" s="2" t="s">
        <v>3594</v>
      </c>
      <c r="D1260" s="2" t="s">
        <v>0</v>
      </c>
      <c r="E1260" s="2" t="s">
        <v>130</v>
      </c>
      <c r="F1260" s="2" t="s">
        <v>3585</v>
      </c>
      <c r="G1260" s="2" t="s">
        <v>3586</v>
      </c>
      <c r="H1260" s="2" t="s">
        <v>3595</v>
      </c>
      <c r="I1260" s="2" t="s">
        <v>41</v>
      </c>
      <c r="J1260" s="2">
        <v>1</v>
      </c>
      <c r="K1260" s="2" t="s">
        <v>81</v>
      </c>
      <c r="L1260" s="2" t="s">
        <v>40</v>
      </c>
      <c r="P1260" s="2" t="s">
        <v>4</v>
      </c>
      <c r="Q1260" s="2">
        <f>INDEX(Tables!$C$4:$C$28,MATCH($P1260,Tables!$B$4:$B$28,0))</f>
        <v>32</v>
      </c>
      <c r="R1260" s="2">
        <f>INDEX(Tables!$D$4:$D$28,MATCH($P1260,Tables!$B$4:$B$28,0))</f>
        <v>4</v>
      </c>
      <c r="S1260" s="2">
        <f>$S1259+$R1259+INDEX(Tables!$N$5:$Q$8,MATCH(MOD($S1259+$R1259,4),Tables!$M$5:$M$8,0),MATCH($R1260,Tables!$N$4:$Q$4,0))</f>
        <v>4856</v>
      </c>
      <c r="T1260" s="2" t="str">
        <f t="shared" si="303"/>
        <v>12F8</v>
      </c>
      <c r="U1260" s="2">
        <f t="shared" si="309"/>
        <v>1214</v>
      </c>
      <c r="V1260" s="2" t="str">
        <f t="shared" si="304"/>
        <v>4BE</v>
      </c>
      <c r="W1260" s="2" t="str">
        <f t="shared" si="305"/>
        <v/>
      </c>
      <c r="X1260" s="2" t="str">
        <f t="shared" si="308"/>
        <v/>
      </c>
      <c r="Y1260" s="2" t="str">
        <f t="shared" si="306"/>
        <v/>
      </c>
      <c r="Z1260" s="2" t="str">
        <f t="shared" si="307"/>
        <v>X</v>
      </c>
      <c r="AA1260" s="2" t="str">
        <f t="shared" si="310"/>
        <v/>
      </c>
      <c r="AB1260" s="2" t="str">
        <f t="shared" si="311"/>
        <v/>
      </c>
      <c r="AC1260" s="2" t="str">
        <f t="shared" si="312"/>
        <v/>
      </c>
      <c r="AD1260" s="2" t="str">
        <f t="shared" si="313"/>
        <v>(0)</v>
      </c>
      <c r="AE1260" s="2" t="str">
        <f t="shared" si="314"/>
        <v/>
      </c>
      <c r="AF1260" s="2" t="str">
        <f t="shared" si="315"/>
        <v/>
      </c>
      <c r="AG1260" s="2" t="str">
        <f t="shared" si="316"/>
        <v/>
      </c>
      <c r="AH1260" s="2" t="str">
        <f t="shared" si="317"/>
        <v/>
      </c>
    </row>
    <row r="1261" spans="2:34" x14ac:dyDescent="0.25">
      <c r="B1261" s="2" t="s">
        <v>3583</v>
      </c>
      <c r="C1261" s="2" t="s">
        <v>3596</v>
      </c>
      <c r="D1261" s="2" t="s">
        <v>0</v>
      </c>
      <c r="E1261" s="2" t="s">
        <v>130</v>
      </c>
      <c r="F1261" s="2" t="s">
        <v>3585</v>
      </c>
      <c r="G1261" s="2" t="s">
        <v>3586</v>
      </c>
      <c r="H1261" s="2" t="s">
        <v>3597</v>
      </c>
      <c r="I1261" s="2" t="s">
        <v>41</v>
      </c>
      <c r="J1261" s="2">
        <v>1</v>
      </c>
      <c r="K1261" s="2" t="s">
        <v>81</v>
      </c>
      <c r="L1261" s="2" t="s">
        <v>40</v>
      </c>
      <c r="P1261" s="2" t="s">
        <v>4</v>
      </c>
      <c r="Q1261" s="2">
        <f>INDEX(Tables!$C$4:$C$28,MATCH($P1261,Tables!$B$4:$B$28,0))</f>
        <v>32</v>
      </c>
      <c r="R1261" s="2">
        <f>INDEX(Tables!$D$4:$D$28,MATCH($P1261,Tables!$B$4:$B$28,0))</f>
        <v>4</v>
      </c>
      <c r="S1261" s="2">
        <f>$S1260+$R1260+INDEX(Tables!$N$5:$Q$8,MATCH(MOD($S1260+$R1260,4),Tables!$M$5:$M$8,0),MATCH($R1261,Tables!$N$4:$Q$4,0))</f>
        <v>4860</v>
      </c>
      <c r="T1261" s="2" t="str">
        <f t="shared" si="303"/>
        <v>12FC</v>
      </c>
      <c r="U1261" s="2">
        <f t="shared" si="309"/>
        <v>1215</v>
      </c>
      <c r="V1261" s="2" t="str">
        <f t="shared" si="304"/>
        <v>4BF</v>
      </c>
      <c r="W1261" s="2" t="str">
        <f t="shared" si="305"/>
        <v/>
      </c>
      <c r="X1261" s="2" t="str">
        <f t="shared" si="308"/>
        <v/>
      </c>
      <c r="Y1261" s="2" t="str">
        <f t="shared" si="306"/>
        <v/>
      </c>
      <c r="Z1261" s="2" t="str">
        <f t="shared" si="307"/>
        <v>X</v>
      </c>
      <c r="AA1261" s="2" t="str">
        <f t="shared" si="310"/>
        <v/>
      </c>
      <c r="AB1261" s="2" t="str">
        <f t="shared" si="311"/>
        <v/>
      </c>
      <c r="AC1261" s="2" t="str">
        <f t="shared" si="312"/>
        <v/>
      </c>
      <c r="AD1261" s="2" t="str">
        <f t="shared" si="313"/>
        <v>(0)</v>
      </c>
      <c r="AE1261" s="2" t="str">
        <f t="shared" si="314"/>
        <v/>
      </c>
      <c r="AF1261" s="2" t="str">
        <f t="shared" si="315"/>
        <v/>
      </c>
      <c r="AG1261" s="2" t="str">
        <f t="shared" si="316"/>
        <v/>
      </c>
      <c r="AH1261" s="2" t="str">
        <f t="shared" si="317"/>
        <v/>
      </c>
    </row>
    <row r="1262" spans="2:34" x14ac:dyDescent="0.25">
      <c r="B1262" s="2" t="s">
        <v>3583</v>
      </c>
      <c r="C1262" s="2" t="s">
        <v>3598</v>
      </c>
      <c r="D1262" s="2" t="s">
        <v>0</v>
      </c>
      <c r="E1262" s="2" t="s">
        <v>130</v>
      </c>
      <c r="F1262" s="2" t="s">
        <v>3585</v>
      </c>
      <c r="G1262" s="2" t="s">
        <v>3586</v>
      </c>
      <c r="H1262" s="2" t="s">
        <v>3599</v>
      </c>
      <c r="I1262" s="2" t="s">
        <v>41</v>
      </c>
      <c r="J1262" s="2">
        <v>1</v>
      </c>
      <c r="K1262" s="2" t="s">
        <v>81</v>
      </c>
      <c r="L1262" s="2" t="s">
        <v>40</v>
      </c>
      <c r="P1262" s="2" t="s">
        <v>4</v>
      </c>
      <c r="Q1262" s="2">
        <f>INDEX(Tables!$C$4:$C$28,MATCH($P1262,Tables!$B$4:$B$28,0))</f>
        <v>32</v>
      </c>
      <c r="R1262" s="2">
        <f>INDEX(Tables!$D$4:$D$28,MATCH($P1262,Tables!$B$4:$B$28,0))</f>
        <v>4</v>
      </c>
      <c r="S1262" s="2">
        <f>$S1261+$R1261+INDEX(Tables!$N$5:$Q$8,MATCH(MOD($S1261+$R1261,4),Tables!$M$5:$M$8,0),MATCH($R1262,Tables!$N$4:$Q$4,0))</f>
        <v>4864</v>
      </c>
      <c r="T1262" s="2" t="str">
        <f t="shared" si="303"/>
        <v>1300</v>
      </c>
      <c r="U1262" s="2">
        <f t="shared" si="309"/>
        <v>1216</v>
      </c>
      <c r="V1262" s="2" t="str">
        <f t="shared" si="304"/>
        <v>4C0</v>
      </c>
      <c r="W1262" s="2" t="str">
        <f t="shared" si="305"/>
        <v/>
      </c>
      <c r="X1262" s="2" t="str">
        <f t="shared" si="308"/>
        <v/>
      </c>
      <c r="Y1262" s="2" t="str">
        <f t="shared" si="306"/>
        <v/>
      </c>
      <c r="Z1262" s="2" t="str">
        <f t="shared" si="307"/>
        <v>X</v>
      </c>
      <c r="AA1262" s="2" t="str">
        <f t="shared" si="310"/>
        <v/>
      </c>
      <c r="AB1262" s="2" t="str">
        <f t="shared" si="311"/>
        <v/>
      </c>
      <c r="AC1262" s="2" t="str">
        <f t="shared" si="312"/>
        <v/>
      </c>
      <c r="AD1262" s="2" t="str">
        <f t="shared" si="313"/>
        <v>(0)</v>
      </c>
      <c r="AE1262" s="2" t="str">
        <f t="shared" si="314"/>
        <v/>
      </c>
      <c r="AF1262" s="2" t="str">
        <f t="shared" si="315"/>
        <v/>
      </c>
      <c r="AG1262" s="2" t="str">
        <f t="shared" si="316"/>
        <v/>
      </c>
      <c r="AH1262" s="2" t="str">
        <f t="shared" si="317"/>
        <v/>
      </c>
    </row>
    <row r="1263" spans="2:34" x14ac:dyDescent="0.25">
      <c r="B1263" s="2" t="s">
        <v>3583</v>
      </c>
      <c r="C1263" s="2" t="s">
        <v>3600</v>
      </c>
      <c r="D1263" s="2" t="s">
        <v>0</v>
      </c>
      <c r="E1263" s="2" t="s">
        <v>130</v>
      </c>
      <c r="F1263" s="2" t="s">
        <v>3585</v>
      </c>
      <c r="G1263" s="2" t="s">
        <v>3586</v>
      </c>
      <c r="H1263" s="2" t="s">
        <v>3601</v>
      </c>
      <c r="I1263" s="2" t="s">
        <v>41</v>
      </c>
      <c r="J1263" s="2">
        <v>1</v>
      </c>
      <c r="K1263" s="2" t="s">
        <v>81</v>
      </c>
      <c r="L1263" s="2" t="s">
        <v>40</v>
      </c>
      <c r="P1263" s="2" t="s">
        <v>4</v>
      </c>
      <c r="Q1263" s="2">
        <f>INDEX(Tables!$C$4:$C$28,MATCH($P1263,Tables!$B$4:$B$28,0))</f>
        <v>32</v>
      </c>
      <c r="R1263" s="2">
        <f>INDEX(Tables!$D$4:$D$28,MATCH($P1263,Tables!$B$4:$B$28,0))</f>
        <v>4</v>
      </c>
      <c r="S1263" s="2">
        <f>$S1262+$R1262+INDEX(Tables!$N$5:$Q$8,MATCH(MOD($S1262+$R1262,4),Tables!$M$5:$M$8,0),MATCH($R1263,Tables!$N$4:$Q$4,0))</f>
        <v>4868</v>
      </c>
      <c r="T1263" s="2" t="str">
        <f t="shared" si="303"/>
        <v>1304</v>
      </c>
      <c r="U1263" s="2">
        <f t="shared" si="309"/>
        <v>1217</v>
      </c>
      <c r="V1263" s="2" t="str">
        <f t="shared" si="304"/>
        <v>4C1</v>
      </c>
      <c r="W1263" s="2" t="str">
        <f t="shared" si="305"/>
        <v/>
      </c>
      <c r="X1263" s="2" t="str">
        <f t="shared" si="308"/>
        <v/>
      </c>
      <c r="Y1263" s="2" t="str">
        <f t="shared" si="306"/>
        <v/>
      </c>
      <c r="Z1263" s="2" t="str">
        <f t="shared" si="307"/>
        <v>X</v>
      </c>
      <c r="AA1263" s="2" t="str">
        <f t="shared" si="310"/>
        <v/>
      </c>
      <c r="AB1263" s="2" t="str">
        <f t="shared" si="311"/>
        <v/>
      </c>
      <c r="AC1263" s="2" t="str">
        <f t="shared" si="312"/>
        <v/>
      </c>
      <c r="AD1263" s="2" t="str">
        <f t="shared" si="313"/>
        <v>(0)</v>
      </c>
      <c r="AE1263" s="2" t="str">
        <f t="shared" si="314"/>
        <v/>
      </c>
      <c r="AF1263" s="2" t="str">
        <f t="shared" si="315"/>
        <v/>
      </c>
      <c r="AG1263" s="2" t="str">
        <f t="shared" si="316"/>
        <v/>
      </c>
      <c r="AH1263" s="2" t="str">
        <f t="shared" si="317"/>
        <v/>
      </c>
    </row>
    <row r="1264" spans="2:34" x14ac:dyDescent="0.25">
      <c r="B1264" s="2" t="s">
        <v>3583</v>
      </c>
      <c r="C1264" s="2" t="s">
        <v>3602</v>
      </c>
      <c r="D1264" s="2" t="s">
        <v>0</v>
      </c>
      <c r="E1264" s="2" t="s">
        <v>130</v>
      </c>
      <c r="F1264" s="2" t="s">
        <v>3585</v>
      </c>
      <c r="G1264" s="2" t="s">
        <v>3586</v>
      </c>
      <c r="H1264" s="2" t="s">
        <v>3603</v>
      </c>
      <c r="I1264" s="2" t="s">
        <v>41</v>
      </c>
      <c r="J1264" s="2">
        <v>1</v>
      </c>
      <c r="K1264" s="2" t="s">
        <v>81</v>
      </c>
      <c r="L1264" s="2" t="s">
        <v>40</v>
      </c>
      <c r="P1264" s="2" t="s">
        <v>4</v>
      </c>
      <c r="Q1264" s="2">
        <f>INDEX(Tables!$C$4:$C$28,MATCH($P1264,Tables!$B$4:$B$28,0))</f>
        <v>32</v>
      </c>
      <c r="R1264" s="2">
        <f>INDEX(Tables!$D$4:$D$28,MATCH($P1264,Tables!$B$4:$B$28,0))</f>
        <v>4</v>
      </c>
      <c r="S1264" s="2">
        <f>$S1263+$R1263+INDEX(Tables!$N$5:$Q$8,MATCH(MOD($S1263+$R1263,4),Tables!$M$5:$M$8,0),MATCH($R1264,Tables!$N$4:$Q$4,0))</f>
        <v>4872</v>
      </c>
      <c r="T1264" s="2" t="str">
        <f t="shared" si="303"/>
        <v>1308</v>
      </c>
      <c r="U1264" s="2">
        <f t="shared" si="309"/>
        <v>1218</v>
      </c>
      <c r="V1264" s="2" t="str">
        <f t="shared" si="304"/>
        <v>4C2</v>
      </c>
      <c r="W1264" s="2" t="str">
        <f t="shared" si="305"/>
        <v/>
      </c>
      <c r="X1264" s="2" t="str">
        <f t="shared" si="308"/>
        <v/>
      </c>
      <c r="Y1264" s="2" t="str">
        <f t="shared" si="306"/>
        <v/>
      </c>
      <c r="Z1264" s="2" t="str">
        <f t="shared" si="307"/>
        <v>X</v>
      </c>
      <c r="AA1264" s="2" t="str">
        <f t="shared" si="310"/>
        <v/>
      </c>
      <c r="AB1264" s="2" t="str">
        <f t="shared" si="311"/>
        <v/>
      </c>
      <c r="AC1264" s="2" t="str">
        <f t="shared" si="312"/>
        <v/>
      </c>
      <c r="AD1264" s="2" t="str">
        <f t="shared" si="313"/>
        <v>(0)</v>
      </c>
      <c r="AE1264" s="2" t="str">
        <f t="shared" si="314"/>
        <v/>
      </c>
      <c r="AF1264" s="2" t="str">
        <f t="shared" si="315"/>
        <v/>
      </c>
      <c r="AG1264" s="2" t="str">
        <f t="shared" si="316"/>
        <v/>
      </c>
      <c r="AH1264" s="2" t="str">
        <f t="shared" si="317"/>
        <v/>
      </c>
    </row>
    <row r="1265" spans="2:34" x14ac:dyDescent="0.25">
      <c r="B1265" s="2" t="s">
        <v>3583</v>
      </c>
      <c r="C1265" s="2" t="s">
        <v>3604</v>
      </c>
      <c r="D1265" s="2" t="s">
        <v>0</v>
      </c>
      <c r="E1265" s="2" t="s">
        <v>130</v>
      </c>
      <c r="F1265" s="2" t="s">
        <v>3585</v>
      </c>
      <c r="G1265" s="2" t="s">
        <v>3586</v>
      </c>
      <c r="H1265" s="2" t="s">
        <v>3605</v>
      </c>
      <c r="I1265" s="2" t="s">
        <v>41</v>
      </c>
      <c r="J1265" s="2">
        <v>1</v>
      </c>
      <c r="K1265" s="2" t="s">
        <v>81</v>
      </c>
      <c r="L1265" s="2" t="s">
        <v>40</v>
      </c>
      <c r="P1265" s="2" t="s">
        <v>4</v>
      </c>
      <c r="Q1265" s="2">
        <f>INDEX(Tables!$C$4:$C$28,MATCH($P1265,Tables!$B$4:$B$28,0))</f>
        <v>32</v>
      </c>
      <c r="R1265" s="2">
        <f>INDEX(Tables!$D$4:$D$28,MATCH($P1265,Tables!$B$4:$B$28,0))</f>
        <v>4</v>
      </c>
      <c r="S1265" s="2">
        <f>$S1264+$R1264+INDEX(Tables!$N$5:$Q$8,MATCH(MOD($S1264+$R1264,4),Tables!$M$5:$M$8,0),MATCH($R1265,Tables!$N$4:$Q$4,0))</f>
        <v>4876</v>
      </c>
      <c r="T1265" s="2" t="str">
        <f t="shared" si="303"/>
        <v>130C</v>
      </c>
      <c r="U1265" s="2">
        <f t="shared" si="309"/>
        <v>1219</v>
      </c>
      <c r="V1265" s="2" t="str">
        <f t="shared" si="304"/>
        <v>4C3</v>
      </c>
      <c r="W1265" s="2" t="str">
        <f t="shared" si="305"/>
        <v/>
      </c>
      <c r="X1265" s="2" t="str">
        <f t="shared" si="308"/>
        <v/>
      </c>
      <c r="Y1265" s="2" t="str">
        <f t="shared" si="306"/>
        <v/>
      </c>
      <c r="Z1265" s="2" t="str">
        <f t="shared" si="307"/>
        <v>X</v>
      </c>
      <c r="AA1265" s="2" t="str">
        <f t="shared" si="310"/>
        <v/>
      </c>
      <c r="AB1265" s="2" t="str">
        <f t="shared" si="311"/>
        <v/>
      </c>
      <c r="AC1265" s="2" t="str">
        <f t="shared" si="312"/>
        <v/>
      </c>
      <c r="AD1265" s="2" t="str">
        <f t="shared" si="313"/>
        <v>(0)</v>
      </c>
      <c r="AE1265" s="2" t="str">
        <f t="shared" si="314"/>
        <v/>
      </c>
      <c r="AF1265" s="2" t="str">
        <f t="shared" si="315"/>
        <v/>
      </c>
      <c r="AG1265" s="2" t="str">
        <f t="shared" si="316"/>
        <v/>
      </c>
      <c r="AH1265" s="2" t="str">
        <f t="shared" si="317"/>
        <v/>
      </c>
    </row>
    <row r="1266" spans="2:34" x14ac:dyDescent="0.25">
      <c r="B1266" s="2" t="s">
        <v>3583</v>
      </c>
      <c r="C1266" s="2" t="s">
        <v>3606</v>
      </c>
      <c r="D1266" s="2" t="s">
        <v>0</v>
      </c>
      <c r="E1266" s="2" t="s">
        <v>130</v>
      </c>
      <c r="F1266" s="2" t="s">
        <v>3585</v>
      </c>
      <c r="G1266" s="2" t="s">
        <v>3586</v>
      </c>
      <c r="H1266" s="2" t="s">
        <v>3607</v>
      </c>
      <c r="I1266" s="2" t="s">
        <v>41</v>
      </c>
      <c r="J1266" s="2">
        <v>1</v>
      </c>
      <c r="K1266" s="2" t="s">
        <v>81</v>
      </c>
      <c r="L1266" s="2" t="s">
        <v>40</v>
      </c>
      <c r="P1266" s="2" t="s">
        <v>4</v>
      </c>
      <c r="Q1266" s="2">
        <f>INDEX(Tables!$C$4:$C$28,MATCH($P1266,Tables!$B$4:$B$28,0))</f>
        <v>32</v>
      </c>
      <c r="R1266" s="2">
        <f>INDEX(Tables!$D$4:$D$28,MATCH($P1266,Tables!$B$4:$B$28,0))</f>
        <v>4</v>
      </c>
      <c r="S1266" s="2">
        <f>$S1265+$R1265+INDEX(Tables!$N$5:$Q$8,MATCH(MOD($S1265+$R1265,4),Tables!$M$5:$M$8,0),MATCH($R1266,Tables!$N$4:$Q$4,0))</f>
        <v>4880</v>
      </c>
      <c r="T1266" s="2" t="str">
        <f t="shared" si="303"/>
        <v>1310</v>
      </c>
      <c r="U1266" s="2">
        <f t="shared" si="309"/>
        <v>1220</v>
      </c>
      <c r="V1266" s="2" t="str">
        <f t="shared" si="304"/>
        <v>4C4</v>
      </c>
      <c r="W1266" s="2" t="str">
        <f t="shared" si="305"/>
        <v/>
      </c>
      <c r="X1266" s="2" t="str">
        <f t="shared" si="308"/>
        <v/>
      </c>
      <c r="Y1266" s="2" t="str">
        <f t="shared" si="306"/>
        <v/>
      </c>
      <c r="Z1266" s="2" t="str">
        <f t="shared" si="307"/>
        <v>X</v>
      </c>
      <c r="AA1266" s="2" t="str">
        <f t="shared" si="310"/>
        <v/>
      </c>
      <c r="AB1266" s="2" t="str">
        <f t="shared" si="311"/>
        <v/>
      </c>
      <c r="AC1266" s="2" t="str">
        <f t="shared" si="312"/>
        <v/>
      </c>
      <c r="AD1266" s="2" t="str">
        <f t="shared" si="313"/>
        <v>(0)</v>
      </c>
      <c r="AE1266" s="2" t="str">
        <f t="shared" si="314"/>
        <v/>
      </c>
      <c r="AF1266" s="2" t="str">
        <f t="shared" si="315"/>
        <v/>
      </c>
      <c r="AG1266" s="2" t="str">
        <f t="shared" si="316"/>
        <v/>
      </c>
      <c r="AH1266" s="2" t="str">
        <f t="shared" si="317"/>
        <v/>
      </c>
    </row>
    <row r="1267" spans="2:34" x14ac:dyDescent="0.25">
      <c r="B1267" s="2" t="s">
        <v>3583</v>
      </c>
      <c r="C1267" s="2" t="s">
        <v>174</v>
      </c>
      <c r="D1267" s="2" t="s">
        <v>0</v>
      </c>
      <c r="E1267" s="2" t="s">
        <v>130</v>
      </c>
      <c r="F1267" s="2" t="s">
        <v>3585</v>
      </c>
      <c r="G1267" s="2" t="s">
        <v>3586</v>
      </c>
      <c r="H1267" s="2" t="s">
        <v>175</v>
      </c>
      <c r="I1267" s="2" t="s">
        <v>41</v>
      </c>
      <c r="J1267" s="2">
        <v>1</v>
      </c>
      <c r="K1267" s="2" t="s">
        <v>81</v>
      </c>
      <c r="L1267" s="2" t="s">
        <v>40</v>
      </c>
      <c r="P1267" s="2" t="s">
        <v>4</v>
      </c>
      <c r="Q1267" s="2">
        <f>INDEX(Tables!$C$4:$C$28,MATCH($P1267,Tables!$B$4:$B$28,0))</f>
        <v>32</v>
      </c>
      <c r="R1267" s="2">
        <f>INDEX(Tables!$D$4:$D$28,MATCH($P1267,Tables!$B$4:$B$28,0))</f>
        <v>4</v>
      </c>
      <c r="S1267" s="2">
        <f>$S1266+$R1266+INDEX(Tables!$N$5:$Q$8,MATCH(MOD($S1266+$R1266,4),Tables!$M$5:$M$8,0),MATCH($R1267,Tables!$N$4:$Q$4,0))</f>
        <v>4884</v>
      </c>
      <c r="T1267" s="2" t="str">
        <f t="shared" si="303"/>
        <v>1314</v>
      </c>
      <c r="U1267" s="2">
        <f t="shared" si="309"/>
        <v>1221</v>
      </c>
      <c r="V1267" s="2" t="str">
        <f t="shared" si="304"/>
        <v>4C5</v>
      </c>
      <c r="W1267" s="2" t="str">
        <f t="shared" si="305"/>
        <v/>
      </c>
      <c r="X1267" s="2" t="str">
        <f t="shared" si="308"/>
        <v/>
      </c>
      <c r="Y1267" s="2" t="str">
        <f t="shared" si="306"/>
        <v/>
      </c>
      <c r="Z1267" s="2" t="str">
        <f t="shared" si="307"/>
        <v>X</v>
      </c>
      <c r="AA1267" s="2" t="str">
        <f t="shared" si="310"/>
        <v/>
      </c>
      <c r="AB1267" s="2" t="str">
        <f t="shared" si="311"/>
        <v/>
      </c>
      <c r="AC1267" s="2" t="str">
        <f t="shared" si="312"/>
        <v/>
      </c>
      <c r="AD1267" s="2" t="str">
        <f t="shared" si="313"/>
        <v>(0)</v>
      </c>
      <c r="AE1267" s="2" t="str">
        <f t="shared" si="314"/>
        <v/>
      </c>
      <c r="AF1267" s="2" t="str">
        <f t="shared" si="315"/>
        <v/>
      </c>
      <c r="AG1267" s="2" t="str">
        <f t="shared" si="316"/>
        <v/>
      </c>
      <c r="AH1267" s="2" t="str">
        <f t="shared" si="317"/>
        <v/>
      </c>
    </row>
    <row r="1268" spans="2:34" x14ac:dyDescent="0.25">
      <c r="B1268" s="2" t="s">
        <v>3583</v>
      </c>
      <c r="C1268" s="2" t="s">
        <v>172</v>
      </c>
      <c r="D1268" s="2" t="s">
        <v>0</v>
      </c>
      <c r="E1268" s="2" t="s">
        <v>130</v>
      </c>
      <c r="F1268" s="2" t="s">
        <v>3585</v>
      </c>
      <c r="G1268" s="2" t="s">
        <v>3586</v>
      </c>
      <c r="H1268" s="2" t="s">
        <v>173</v>
      </c>
      <c r="I1268" s="2" t="s">
        <v>41</v>
      </c>
      <c r="J1268" s="2">
        <v>1</v>
      </c>
      <c r="K1268" s="2" t="s">
        <v>81</v>
      </c>
      <c r="L1268" s="2" t="s">
        <v>40</v>
      </c>
      <c r="P1268" s="2" t="s">
        <v>4</v>
      </c>
      <c r="Q1268" s="2">
        <f>INDEX(Tables!$C$4:$C$28,MATCH($P1268,Tables!$B$4:$B$28,0))</f>
        <v>32</v>
      </c>
      <c r="R1268" s="2">
        <f>INDEX(Tables!$D$4:$D$28,MATCH($P1268,Tables!$B$4:$B$28,0))</f>
        <v>4</v>
      </c>
      <c r="S1268" s="2">
        <f>$S1267+$R1267+INDEX(Tables!$N$5:$Q$8,MATCH(MOD($S1267+$R1267,4),Tables!$M$5:$M$8,0),MATCH($R1268,Tables!$N$4:$Q$4,0))</f>
        <v>4888</v>
      </c>
      <c r="T1268" s="2" t="str">
        <f t="shared" si="303"/>
        <v>1318</v>
      </c>
      <c r="U1268" s="2">
        <f t="shared" si="309"/>
        <v>1222</v>
      </c>
      <c r="V1268" s="2" t="str">
        <f t="shared" si="304"/>
        <v>4C6</v>
      </c>
      <c r="W1268" s="2" t="str">
        <f t="shared" si="305"/>
        <v/>
      </c>
      <c r="X1268" s="2" t="str">
        <f t="shared" si="308"/>
        <v/>
      </c>
      <c r="Y1268" s="2" t="str">
        <f t="shared" si="306"/>
        <v/>
      </c>
      <c r="Z1268" s="2" t="str">
        <f t="shared" si="307"/>
        <v>X</v>
      </c>
      <c r="AA1268" s="2" t="str">
        <f t="shared" si="310"/>
        <v/>
      </c>
      <c r="AB1268" s="2" t="str">
        <f t="shared" si="311"/>
        <v/>
      </c>
      <c r="AC1268" s="2" t="str">
        <f t="shared" si="312"/>
        <v/>
      </c>
      <c r="AD1268" s="2" t="str">
        <f t="shared" si="313"/>
        <v>(0)</v>
      </c>
      <c r="AE1268" s="2" t="str">
        <f t="shared" si="314"/>
        <v/>
      </c>
      <c r="AF1268" s="2" t="str">
        <f t="shared" si="315"/>
        <v/>
      </c>
      <c r="AG1268" s="2" t="str">
        <f t="shared" si="316"/>
        <v/>
      </c>
      <c r="AH1268" s="2" t="str">
        <f t="shared" si="317"/>
        <v/>
      </c>
    </row>
    <row r="1269" spans="2:34" x14ac:dyDescent="0.25">
      <c r="B1269" s="2" t="s">
        <v>3583</v>
      </c>
      <c r="C1269" s="2" t="s">
        <v>3608</v>
      </c>
      <c r="D1269" s="2" t="s">
        <v>0</v>
      </c>
      <c r="E1269" s="2" t="s">
        <v>130</v>
      </c>
      <c r="F1269" s="2" t="s">
        <v>3585</v>
      </c>
      <c r="G1269" s="2" t="s">
        <v>3586</v>
      </c>
      <c r="H1269" s="2" t="s">
        <v>3609</v>
      </c>
      <c r="I1269" s="2" t="s">
        <v>41</v>
      </c>
      <c r="J1269" s="2">
        <v>1</v>
      </c>
      <c r="K1269" s="2" t="s">
        <v>81</v>
      </c>
      <c r="L1269" s="2" t="s">
        <v>40</v>
      </c>
      <c r="P1269" s="2" t="s">
        <v>4</v>
      </c>
      <c r="Q1269" s="2">
        <f>INDEX(Tables!$C$4:$C$28,MATCH($P1269,Tables!$B$4:$B$28,0))</f>
        <v>32</v>
      </c>
      <c r="R1269" s="2">
        <f>INDEX(Tables!$D$4:$D$28,MATCH($P1269,Tables!$B$4:$B$28,0))</f>
        <v>4</v>
      </c>
      <c r="S1269" s="2">
        <f>$S1268+$R1268+INDEX(Tables!$N$5:$Q$8,MATCH(MOD($S1268+$R1268,4),Tables!$M$5:$M$8,0),MATCH($R1269,Tables!$N$4:$Q$4,0))</f>
        <v>4892</v>
      </c>
      <c r="T1269" s="2" t="str">
        <f t="shared" si="303"/>
        <v>131C</v>
      </c>
      <c r="U1269" s="2">
        <f t="shared" si="309"/>
        <v>1223</v>
      </c>
      <c r="V1269" s="2" t="str">
        <f t="shared" si="304"/>
        <v>4C7</v>
      </c>
      <c r="W1269" s="2" t="str">
        <f t="shared" si="305"/>
        <v/>
      </c>
      <c r="X1269" s="2" t="str">
        <f t="shared" si="308"/>
        <v/>
      </c>
      <c r="Y1269" s="2" t="str">
        <f t="shared" si="306"/>
        <v/>
      </c>
      <c r="Z1269" s="2" t="str">
        <f t="shared" si="307"/>
        <v>X</v>
      </c>
      <c r="AA1269" s="2" t="str">
        <f t="shared" si="310"/>
        <v/>
      </c>
      <c r="AB1269" s="2" t="str">
        <f t="shared" si="311"/>
        <v/>
      </c>
      <c r="AC1269" s="2" t="str">
        <f t="shared" si="312"/>
        <v/>
      </c>
      <c r="AD1269" s="2" t="str">
        <f t="shared" si="313"/>
        <v>(0)</v>
      </c>
      <c r="AE1269" s="2" t="str">
        <f t="shared" si="314"/>
        <v/>
      </c>
      <c r="AF1269" s="2" t="str">
        <f t="shared" si="315"/>
        <v/>
      </c>
      <c r="AG1269" s="2" t="str">
        <f t="shared" si="316"/>
        <v/>
      </c>
      <c r="AH1269" s="2" t="str">
        <f t="shared" si="317"/>
        <v/>
      </c>
    </row>
    <row r="1270" spans="2:34" x14ac:dyDescent="0.25">
      <c r="B1270" s="2" t="s">
        <v>3583</v>
      </c>
      <c r="C1270" s="2" t="s">
        <v>3610</v>
      </c>
      <c r="D1270" s="2" t="s">
        <v>0</v>
      </c>
      <c r="E1270" s="2" t="s">
        <v>130</v>
      </c>
      <c r="F1270" s="2" t="s">
        <v>3585</v>
      </c>
      <c r="G1270" s="2" t="s">
        <v>3586</v>
      </c>
      <c r="H1270" s="2" t="s">
        <v>3611</v>
      </c>
      <c r="I1270" s="2" t="s">
        <v>41</v>
      </c>
      <c r="J1270" s="2">
        <v>1</v>
      </c>
      <c r="K1270" s="2" t="s">
        <v>81</v>
      </c>
      <c r="L1270" s="2" t="s">
        <v>40</v>
      </c>
      <c r="P1270" s="2" t="s">
        <v>4</v>
      </c>
      <c r="Q1270" s="2">
        <f>INDEX(Tables!$C$4:$C$28,MATCH($P1270,Tables!$B$4:$B$28,0))</f>
        <v>32</v>
      </c>
      <c r="R1270" s="2">
        <f>INDEX(Tables!$D$4:$D$28,MATCH($P1270,Tables!$B$4:$B$28,0))</f>
        <v>4</v>
      </c>
      <c r="S1270" s="2">
        <f>$S1269+$R1269+INDEX(Tables!$N$5:$Q$8,MATCH(MOD($S1269+$R1269,4),Tables!$M$5:$M$8,0),MATCH($R1270,Tables!$N$4:$Q$4,0))</f>
        <v>4896</v>
      </c>
      <c r="T1270" s="2" t="str">
        <f t="shared" si="303"/>
        <v>1320</v>
      </c>
      <c r="U1270" s="2">
        <f t="shared" si="309"/>
        <v>1224</v>
      </c>
      <c r="V1270" s="2" t="str">
        <f t="shared" si="304"/>
        <v>4C8</v>
      </c>
      <c r="W1270" s="2" t="str">
        <f t="shared" si="305"/>
        <v/>
      </c>
      <c r="X1270" s="2" t="str">
        <f t="shared" si="308"/>
        <v/>
      </c>
      <c r="Y1270" s="2" t="str">
        <f t="shared" si="306"/>
        <v/>
      </c>
      <c r="Z1270" s="2" t="str">
        <f t="shared" si="307"/>
        <v>X</v>
      </c>
      <c r="AA1270" s="2" t="str">
        <f t="shared" si="310"/>
        <v/>
      </c>
      <c r="AB1270" s="2" t="str">
        <f t="shared" si="311"/>
        <v/>
      </c>
      <c r="AC1270" s="2" t="str">
        <f t="shared" si="312"/>
        <v/>
      </c>
      <c r="AD1270" s="2" t="str">
        <f t="shared" si="313"/>
        <v>(0)</v>
      </c>
      <c r="AE1270" s="2" t="str">
        <f t="shared" si="314"/>
        <v/>
      </c>
      <c r="AF1270" s="2" t="str">
        <f t="shared" si="315"/>
        <v/>
      </c>
      <c r="AG1270" s="2" t="str">
        <f t="shared" si="316"/>
        <v/>
      </c>
      <c r="AH1270" s="2" t="str">
        <f t="shared" si="317"/>
        <v/>
      </c>
    </row>
    <row r="1271" spans="2:34" x14ac:dyDescent="0.25">
      <c r="B1271" s="2" t="s">
        <v>3612</v>
      </c>
      <c r="C1271" s="2" t="s">
        <v>3613</v>
      </c>
      <c r="D1271" s="2" t="s">
        <v>0</v>
      </c>
      <c r="E1271" s="2" t="s">
        <v>130</v>
      </c>
      <c r="F1271" s="2" t="s">
        <v>3614</v>
      </c>
      <c r="G1271" s="2" t="s">
        <v>3615</v>
      </c>
      <c r="H1271" s="2" t="s">
        <v>3616</v>
      </c>
      <c r="I1271" s="2" t="s">
        <v>41</v>
      </c>
      <c r="J1271" s="2">
        <v>32</v>
      </c>
      <c r="K1271" s="2" t="s">
        <v>132</v>
      </c>
      <c r="L1271" s="2" t="s">
        <v>40</v>
      </c>
      <c r="P1271" s="2" t="s">
        <v>48</v>
      </c>
      <c r="Q1271" s="2">
        <f>INDEX(Tables!$C$4:$C$28,MATCH($P1271,Tables!$B$4:$B$28,0))</f>
        <v>32</v>
      </c>
      <c r="R1271" s="2">
        <f>INDEX(Tables!$D$4:$D$28,MATCH($P1271,Tables!$B$4:$B$28,0))</f>
        <v>4</v>
      </c>
      <c r="S1271" s="2">
        <f>$S1270+$R1270+INDEX(Tables!$N$5:$Q$8,MATCH(MOD($S1270+$R1270,4),Tables!$M$5:$M$8,0),MATCH($R1271,Tables!$N$4:$Q$4,0))</f>
        <v>4900</v>
      </c>
      <c r="T1271" s="2" t="str">
        <f t="shared" si="303"/>
        <v>1324</v>
      </c>
      <c r="U1271" s="2">
        <f t="shared" si="309"/>
        <v>1225</v>
      </c>
      <c r="V1271" s="2" t="str">
        <f t="shared" si="304"/>
        <v>4C9</v>
      </c>
      <c r="W1271" s="2" t="str">
        <f t="shared" si="305"/>
        <v>X</v>
      </c>
      <c r="X1271" s="2" t="str">
        <f t="shared" si="308"/>
        <v>X</v>
      </c>
      <c r="Y1271" s="2" t="str">
        <f t="shared" si="306"/>
        <v>X</v>
      </c>
      <c r="Z1271" s="2" t="str">
        <f t="shared" si="307"/>
        <v>X</v>
      </c>
      <c r="AA1271" s="2" t="str">
        <f t="shared" si="310"/>
        <v>(31 downto 24)</v>
      </c>
      <c r="AB1271" s="2" t="str">
        <f t="shared" si="311"/>
        <v>(23 downto 16)</v>
      </c>
      <c r="AC1271" s="2" t="str">
        <f t="shared" si="312"/>
        <v>(15 downto 8)</v>
      </c>
      <c r="AD1271" s="2" t="str">
        <f t="shared" si="313"/>
        <v>(7 downto 0)</v>
      </c>
      <c r="AE1271" s="2" t="str">
        <f t="shared" si="314"/>
        <v>(31 downto 24)</v>
      </c>
      <c r="AF1271" s="2" t="str">
        <f t="shared" si="315"/>
        <v>(23 downto 16)</v>
      </c>
      <c r="AG1271" s="2" t="str">
        <f t="shared" si="316"/>
        <v>(15 downto 8)</v>
      </c>
      <c r="AH1271" s="2" t="str">
        <f t="shared" si="317"/>
        <v>(7 downto 0)</v>
      </c>
    </row>
    <row r="1272" spans="2:34" x14ac:dyDescent="0.25">
      <c r="B1272" s="2" t="s">
        <v>3617</v>
      </c>
      <c r="C1272" s="2" t="s">
        <v>3618</v>
      </c>
      <c r="D1272" s="2" t="s">
        <v>0</v>
      </c>
      <c r="E1272" s="2" t="s">
        <v>130</v>
      </c>
      <c r="F1272" s="2" t="s">
        <v>3619</v>
      </c>
      <c r="G1272" s="2" t="s">
        <v>3620</v>
      </c>
      <c r="H1272" s="2" t="s">
        <v>3621</v>
      </c>
      <c r="I1272" s="2" t="s">
        <v>41</v>
      </c>
      <c r="J1272" s="2">
        <v>32</v>
      </c>
      <c r="K1272" s="2" t="s">
        <v>132</v>
      </c>
      <c r="L1272" s="2" t="s">
        <v>40</v>
      </c>
      <c r="P1272" s="2" t="s">
        <v>48</v>
      </c>
      <c r="Q1272" s="2">
        <f>INDEX(Tables!$C$4:$C$28,MATCH($P1272,Tables!$B$4:$B$28,0))</f>
        <v>32</v>
      </c>
      <c r="R1272" s="2">
        <f>INDEX(Tables!$D$4:$D$28,MATCH($P1272,Tables!$B$4:$B$28,0))</f>
        <v>4</v>
      </c>
      <c r="S1272" s="2">
        <f>$S1271+$R1271+INDEX(Tables!$N$5:$Q$8,MATCH(MOD($S1271+$R1271,4),Tables!$M$5:$M$8,0),MATCH($R1272,Tables!$N$4:$Q$4,0))</f>
        <v>4904</v>
      </c>
      <c r="T1272" s="2" t="str">
        <f t="shared" si="303"/>
        <v>1328</v>
      </c>
      <c r="U1272" s="2">
        <f t="shared" si="309"/>
        <v>1226</v>
      </c>
      <c r="V1272" s="2" t="str">
        <f t="shared" si="304"/>
        <v>4CA</v>
      </c>
      <c r="W1272" s="2" t="str">
        <f t="shared" si="305"/>
        <v>X</v>
      </c>
      <c r="X1272" s="2" t="str">
        <f t="shared" si="308"/>
        <v>X</v>
      </c>
      <c r="Y1272" s="2" t="str">
        <f t="shared" si="306"/>
        <v>X</v>
      </c>
      <c r="Z1272" s="2" t="str">
        <f t="shared" si="307"/>
        <v>X</v>
      </c>
      <c r="AA1272" s="2" t="str">
        <f t="shared" si="310"/>
        <v>(31 downto 24)</v>
      </c>
      <c r="AB1272" s="2" t="str">
        <f t="shared" si="311"/>
        <v>(23 downto 16)</v>
      </c>
      <c r="AC1272" s="2" t="str">
        <f t="shared" si="312"/>
        <v>(15 downto 8)</v>
      </c>
      <c r="AD1272" s="2" t="str">
        <f t="shared" si="313"/>
        <v>(7 downto 0)</v>
      </c>
      <c r="AE1272" s="2" t="str">
        <f t="shared" si="314"/>
        <v>(31 downto 24)</v>
      </c>
      <c r="AF1272" s="2" t="str">
        <f t="shared" si="315"/>
        <v>(23 downto 16)</v>
      </c>
      <c r="AG1272" s="2" t="str">
        <f t="shared" si="316"/>
        <v>(15 downto 8)</v>
      </c>
      <c r="AH1272" s="2" t="str">
        <f t="shared" si="317"/>
        <v>(7 downto 0)</v>
      </c>
    </row>
    <row r="1273" spans="2:34" x14ac:dyDescent="0.25">
      <c r="B1273" s="2" t="s">
        <v>3622</v>
      </c>
      <c r="C1273" s="2" t="s">
        <v>3623</v>
      </c>
      <c r="D1273" s="2" t="s">
        <v>0</v>
      </c>
      <c r="E1273" s="2" t="s">
        <v>130</v>
      </c>
      <c r="F1273" s="2" t="s">
        <v>3624</v>
      </c>
      <c r="G1273" s="2" t="s">
        <v>3625</v>
      </c>
      <c r="H1273" s="2" t="s">
        <v>23408</v>
      </c>
      <c r="I1273" s="2" t="s">
        <v>41</v>
      </c>
      <c r="J1273" s="2">
        <v>1</v>
      </c>
      <c r="K1273" s="2" t="s">
        <v>81</v>
      </c>
      <c r="L1273" s="2" t="s">
        <v>40</v>
      </c>
      <c r="P1273" s="2" t="s">
        <v>4</v>
      </c>
      <c r="Q1273" s="2">
        <f>INDEX(Tables!$C$4:$C$28,MATCH($P1273,Tables!$B$4:$B$28,0))</f>
        <v>32</v>
      </c>
      <c r="R1273" s="2">
        <f>INDEX(Tables!$D$4:$D$28,MATCH($P1273,Tables!$B$4:$B$28,0))</f>
        <v>4</v>
      </c>
      <c r="S1273" s="2">
        <f>$S1272+$R1272+INDEX(Tables!$N$5:$Q$8,MATCH(MOD($S1272+$R1272,4),Tables!$M$5:$M$8,0),MATCH($R1273,Tables!$N$4:$Q$4,0))</f>
        <v>4908</v>
      </c>
      <c r="T1273" s="2" t="str">
        <f t="shared" si="303"/>
        <v>132C</v>
      </c>
      <c r="U1273" s="2">
        <f t="shared" si="309"/>
        <v>1227</v>
      </c>
      <c r="V1273" s="2" t="str">
        <f t="shared" si="304"/>
        <v>4CB</v>
      </c>
      <c r="W1273" s="2" t="str">
        <f t="shared" si="305"/>
        <v/>
      </c>
      <c r="X1273" s="2" t="str">
        <f t="shared" si="308"/>
        <v/>
      </c>
      <c r="Y1273" s="2" t="str">
        <f t="shared" si="306"/>
        <v/>
      </c>
      <c r="Z1273" s="2" t="str">
        <f t="shared" si="307"/>
        <v>X</v>
      </c>
      <c r="AA1273" s="2" t="str">
        <f t="shared" si="310"/>
        <v/>
      </c>
      <c r="AB1273" s="2" t="str">
        <f t="shared" si="311"/>
        <v/>
      </c>
      <c r="AC1273" s="2" t="str">
        <f t="shared" si="312"/>
        <v/>
      </c>
      <c r="AD1273" s="2" t="str">
        <f t="shared" si="313"/>
        <v>(0)</v>
      </c>
      <c r="AE1273" s="2" t="str">
        <f t="shared" si="314"/>
        <v/>
      </c>
      <c r="AF1273" s="2" t="str">
        <f t="shared" si="315"/>
        <v/>
      </c>
      <c r="AG1273" s="2" t="str">
        <f t="shared" si="316"/>
        <v/>
      </c>
      <c r="AH1273" s="2" t="str">
        <f t="shared" si="317"/>
        <v/>
      </c>
    </row>
    <row r="1274" spans="2:34" x14ac:dyDescent="0.25">
      <c r="B1274" s="2" t="s">
        <v>3622</v>
      </c>
      <c r="C1274" s="2" t="s">
        <v>3626</v>
      </c>
      <c r="D1274" s="2" t="s">
        <v>0</v>
      </c>
      <c r="E1274" s="2" t="s">
        <v>130</v>
      </c>
      <c r="F1274" s="2" t="s">
        <v>3624</v>
      </c>
      <c r="G1274" s="2" t="s">
        <v>3625</v>
      </c>
      <c r="H1274" s="2" t="s">
        <v>3627</v>
      </c>
      <c r="I1274" s="2" t="s">
        <v>41</v>
      </c>
      <c r="J1274" s="2">
        <v>1</v>
      </c>
      <c r="K1274" s="2" t="s">
        <v>81</v>
      </c>
      <c r="L1274" s="2" t="s">
        <v>40</v>
      </c>
      <c r="P1274" s="2" t="s">
        <v>4</v>
      </c>
      <c r="Q1274" s="2">
        <f>INDEX(Tables!$C$4:$C$28,MATCH($P1274,Tables!$B$4:$B$28,0))</f>
        <v>32</v>
      </c>
      <c r="R1274" s="2">
        <f>INDEX(Tables!$D$4:$D$28,MATCH($P1274,Tables!$B$4:$B$28,0))</f>
        <v>4</v>
      </c>
      <c r="S1274" s="2">
        <f>$S1273+$R1273+INDEX(Tables!$N$5:$Q$8,MATCH(MOD($S1273+$R1273,4),Tables!$M$5:$M$8,0),MATCH($R1274,Tables!$N$4:$Q$4,0))</f>
        <v>4912</v>
      </c>
      <c r="T1274" s="2" t="str">
        <f t="shared" si="303"/>
        <v>1330</v>
      </c>
      <c r="U1274" s="2">
        <f t="shared" si="309"/>
        <v>1228</v>
      </c>
      <c r="V1274" s="2" t="str">
        <f t="shared" si="304"/>
        <v>4CC</v>
      </c>
      <c r="W1274" s="2" t="str">
        <f t="shared" si="305"/>
        <v/>
      </c>
      <c r="X1274" s="2" t="str">
        <f t="shared" si="308"/>
        <v/>
      </c>
      <c r="Y1274" s="2" t="str">
        <f t="shared" si="306"/>
        <v/>
      </c>
      <c r="Z1274" s="2" t="str">
        <f t="shared" si="307"/>
        <v>X</v>
      </c>
      <c r="AA1274" s="2" t="str">
        <f t="shared" si="310"/>
        <v/>
      </c>
      <c r="AB1274" s="2" t="str">
        <f t="shared" si="311"/>
        <v/>
      </c>
      <c r="AC1274" s="2" t="str">
        <f t="shared" si="312"/>
        <v/>
      </c>
      <c r="AD1274" s="2" t="str">
        <f t="shared" si="313"/>
        <v>(0)</v>
      </c>
      <c r="AE1274" s="2" t="str">
        <f t="shared" si="314"/>
        <v/>
      </c>
      <c r="AF1274" s="2" t="str">
        <f t="shared" si="315"/>
        <v/>
      </c>
      <c r="AG1274" s="2" t="str">
        <f t="shared" si="316"/>
        <v/>
      </c>
      <c r="AH1274" s="2" t="str">
        <f t="shared" si="317"/>
        <v/>
      </c>
    </row>
    <row r="1275" spans="2:34" x14ac:dyDescent="0.25">
      <c r="B1275" s="2" t="s">
        <v>3622</v>
      </c>
      <c r="C1275" s="2" t="s">
        <v>3628</v>
      </c>
      <c r="D1275" s="2" t="s">
        <v>0</v>
      </c>
      <c r="E1275" s="2" t="s">
        <v>130</v>
      </c>
      <c r="F1275" s="2" t="s">
        <v>3624</v>
      </c>
      <c r="G1275" s="2" t="s">
        <v>3625</v>
      </c>
      <c r="H1275" s="2" t="s">
        <v>3629</v>
      </c>
      <c r="I1275" s="2" t="s">
        <v>41</v>
      </c>
      <c r="J1275" s="2">
        <v>1</v>
      </c>
      <c r="K1275" s="2" t="s">
        <v>81</v>
      </c>
      <c r="L1275" s="2" t="s">
        <v>40</v>
      </c>
      <c r="P1275" s="2" t="s">
        <v>4</v>
      </c>
      <c r="Q1275" s="2">
        <f>INDEX(Tables!$C$4:$C$28,MATCH($P1275,Tables!$B$4:$B$28,0))</f>
        <v>32</v>
      </c>
      <c r="R1275" s="2">
        <f>INDEX(Tables!$D$4:$D$28,MATCH($P1275,Tables!$B$4:$B$28,0))</f>
        <v>4</v>
      </c>
      <c r="S1275" s="2">
        <f>$S1274+$R1274+INDEX(Tables!$N$5:$Q$8,MATCH(MOD($S1274+$R1274,4),Tables!$M$5:$M$8,0),MATCH($R1275,Tables!$N$4:$Q$4,0))</f>
        <v>4916</v>
      </c>
      <c r="T1275" s="2" t="str">
        <f t="shared" si="303"/>
        <v>1334</v>
      </c>
      <c r="U1275" s="2">
        <f t="shared" si="309"/>
        <v>1229</v>
      </c>
      <c r="V1275" s="2" t="str">
        <f t="shared" si="304"/>
        <v>4CD</v>
      </c>
      <c r="W1275" s="2" t="str">
        <f t="shared" si="305"/>
        <v/>
      </c>
      <c r="X1275" s="2" t="str">
        <f t="shared" si="308"/>
        <v/>
      </c>
      <c r="Y1275" s="2" t="str">
        <f t="shared" si="306"/>
        <v/>
      </c>
      <c r="Z1275" s="2" t="str">
        <f t="shared" si="307"/>
        <v>X</v>
      </c>
      <c r="AA1275" s="2" t="str">
        <f t="shared" si="310"/>
        <v/>
      </c>
      <c r="AB1275" s="2" t="str">
        <f t="shared" si="311"/>
        <v/>
      </c>
      <c r="AC1275" s="2" t="str">
        <f t="shared" si="312"/>
        <v/>
      </c>
      <c r="AD1275" s="2" t="str">
        <f t="shared" si="313"/>
        <v>(0)</v>
      </c>
      <c r="AE1275" s="2" t="str">
        <f t="shared" si="314"/>
        <v/>
      </c>
      <c r="AF1275" s="2" t="str">
        <f t="shared" si="315"/>
        <v/>
      </c>
      <c r="AG1275" s="2" t="str">
        <f t="shared" si="316"/>
        <v/>
      </c>
      <c r="AH1275" s="2" t="str">
        <f t="shared" si="317"/>
        <v/>
      </c>
    </row>
    <row r="1276" spans="2:34" x14ac:dyDescent="0.25">
      <c r="B1276" s="2" t="s">
        <v>3622</v>
      </c>
      <c r="C1276" s="2" t="s">
        <v>3630</v>
      </c>
      <c r="D1276" s="2" t="s">
        <v>0</v>
      </c>
      <c r="E1276" s="2" t="s">
        <v>130</v>
      </c>
      <c r="F1276" s="2" t="s">
        <v>3624</v>
      </c>
      <c r="G1276" s="2" t="s">
        <v>3625</v>
      </c>
      <c r="H1276" s="2" t="s">
        <v>3631</v>
      </c>
      <c r="I1276" s="2" t="s">
        <v>41</v>
      </c>
      <c r="J1276" s="2">
        <v>5</v>
      </c>
      <c r="K1276" s="2" t="s">
        <v>132</v>
      </c>
      <c r="L1276" s="2" t="s">
        <v>40</v>
      </c>
      <c r="P1276" s="2" t="s">
        <v>47</v>
      </c>
      <c r="Q1276" s="2">
        <f>INDEX(Tables!$C$4:$C$28,MATCH($P1276,Tables!$B$4:$B$28,0))</f>
        <v>8</v>
      </c>
      <c r="R1276" s="2">
        <f>INDEX(Tables!$D$4:$D$28,MATCH($P1276,Tables!$B$4:$B$28,0))</f>
        <v>1</v>
      </c>
      <c r="S1276" s="2">
        <f>$S1275+$R1275+INDEX(Tables!$N$5:$Q$8,MATCH(MOD($S1275+$R1275,4),Tables!$M$5:$M$8,0),MATCH($R1276,Tables!$N$4:$Q$4,0))</f>
        <v>4920</v>
      </c>
      <c r="T1276" s="2" t="str">
        <f t="shared" si="303"/>
        <v>1338</v>
      </c>
      <c r="U1276" s="2">
        <f t="shared" si="309"/>
        <v>1230</v>
      </c>
      <c r="V1276" s="2" t="str">
        <f t="shared" si="304"/>
        <v>4CE</v>
      </c>
      <c r="W1276" s="2" t="str">
        <f t="shared" si="305"/>
        <v/>
      </c>
      <c r="X1276" s="2" t="str">
        <f t="shared" si="308"/>
        <v/>
      </c>
      <c r="Y1276" s="2" t="str">
        <f t="shared" si="306"/>
        <v/>
      </c>
      <c r="Z1276" s="2" t="str">
        <f t="shared" si="307"/>
        <v>X</v>
      </c>
      <c r="AA1276" s="2" t="str">
        <f t="shared" si="310"/>
        <v/>
      </c>
      <c r="AB1276" s="2" t="str">
        <f t="shared" si="311"/>
        <v/>
      </c>
      <c r="AC1276" s="2" t="str">
        <f t="shared" si="312"/>
        <v/>
      </c>
      <c r="AD1276" s="2" t="str">
        <f t="shared" si="313"/>
        <v>(4 downto 0)</v>
      </c>
      <c r="AE1276" s="2" t="str">
        <f t="shared" si="314"/>
        <v/>
      </c>
      <c r="AF1276" s="2" t="str">
        <f t="shared" si="315"/>
        <v/>
      </c>
      <c r="AG1276" s="2" t="str">
        <f t="shared" si="316"/>
        <v/>
      </c>
      <c r="AH1276" s="2" t="str">
        <f t="shared" si="317"/>
        <v/>
      </c>
    </row>
    <row r="1277" spans="2:34" x14ac:dyDescent="0.25">
      <c r="B1277" s="2" t="s">
        <v>3622</v>
      </c>
      <c r="C1277" s="2" t="s">
        <v>3632</v>
      </c>
      <c r="D1277" s="2" t="s">
        <v>0</v>
      </c>
      <c r="E1277" s="2" t="s">
        <v>130</v>
      </c>
      <c r="F1277" s="2" t="s">
        <v>3624</v>
      </c>
      <c r="G1277" s="2" t="s">
        <v>3625</v>
      </c>
      <c r="H1277" s="2" t="s">
        <v>3633</v>
      </c>
      <c r="I1277" s="2" t="s">
        <v>41</v>
      </c>
      <c r="J1277" s="2">
        <v>24</v>
      </c>
      <c r="K1277" s="2" t="s">
        <v>132</v>
      </c>
      <c r="L1277" s="2" t="s">
        <v>40</v>
      </c>
      <c r="P1277" s="2" t="s">
        <v>48</v>
      </c>
      <c r="Q1277" s="2">
        <f>INDEX(Tables!$C$4:$C$28,MATCH($P1277,Tables!$B$4:$B$28,0))</f>
        <v>32</v>
      </c>
      <c r="R1277" s="2">
        <f>INDEX(Tables!$D$4:$D$28,MATCH($P1277,Tables!$B$4:$B$28,0))</f>
        <v>4</v>
      </c>
      <c r="S1277" s="2">
        <f>$S1276+$R1276+INDEX(Tables!$N$5:$Q$8,MATCH(MOD($S1276+$R1276,4),Tables!$M$5:$M$8,0),MATCH($R1277,Tables!$N$4:$Q$4,0))</f>
        <v>4924</v>
      </c>
      <c r="T1277" s="2" t="str">
        <f t="shared" si="303"/>
        <v>133C</v>
      </c>
      <c r="U1277" s="2">
        <f t="shared" si="309"/>
        <v>1231</v>
      </c>
      <c r="V1277" s="2" t="str">
        <f t="shared" si="304"/>
        <v>4CF</v>
      </c>
      <c r="W1277" s="2" t="str">
        <f t="shared" si="305"/>
        <v/>
      </c>
      <c r="X1277" s="2" t="str">
        <f t="shared" si="308"/>
        <v>X</v>
      </c>
      <c r="Y1277" s="2" t="str">
        <f t="shared" si="306"/>
        <v>X</v>
      </c>
      <c r="Z1277" s="2" t="str">
        <f t="shared" si="307"/>
        <v>X</v>
      </c>
      <c r="AA1277" s="2" t="str">
        <f t="shared" si="310"/>
        <v/>
      </c>
      <c r="AB1277" s="2" t="str">
        <f t="shared" si="311"/>
        <v>(23 downto 16)</v>
      </c>
      <c r="AC1277" s="2" t="str">
        <f t="shared" si="312"/>
        <v>(15 downto 8)</v>
      </c>
      <c r="AD1277" s="2" t="str">
        <f t="shared" si="313"/>
        <v>(7 downto 0)</v>
      </c>
      <c r="AE1277" s="2" t="str">
        <f t="shared" si="314"/>
        <v/>
      </c>
      <c r="AF1277" s="2" t="str">
        <f t="shared" si="315"/>
        <v>(23 downto 16)</v>
      </c>
      <c r="AG1277" s="2" t="str">
        <f t="shared" si="316"/>
        <v>(15 downto 8)</v>
      </c>
      <c r="AH1277" s="2" t="str">
        <f t="shared" si="317"/>
        <v>(7 downto 0)</v>
      </c>
    </row>
    <row r="1278" spans="2:34" x14ac:dyDescent="0.25">
      <c r="B1278" s="2" t="s">
        <v>3634</v>
      </c>
      <c r="C1278" s="2" t="s">
        <v>3623</v>
      </c>
      <c r="D1278" s="2" t="s">
        <v>0</v>
      </c>
      <c r="E1278" s="2" t="s">
        <v>130</v>
      </c>
      <c r="F1278" s="2" t="s">
        <v>3635</v>
      </c>
      <c r="G1278" s="2" t="s">
        <v>3636</v>
      </c>
      <c r="H1278" s="2" t="s">
        <v>23408</v>
      </c>
      <c r="I1278" s="2" t="s">
        <v>41</v>
      </c>
      <c r="J1278" s="2">
        <v>1</v>
      </c>
      <c r="K1278" s="2" t="s">
        <v>81</v>
      </c>
      <c r="L1278" s="2" t="s">
        <v>40</v>
      </c>
      <c r="P1278" s="2" t="s">
        <v>4</v>
      </c>
      <c r="Q1278" s="2">
        <f>INDEX(Tables!$C$4:$C$28,MATCH($P1278,Tables!$B$4:$B$28,0))</f>
        <v>32</v>
      </c>
      <c r="R1278" s="2">
        <f>INDEX(Tables!$D$4:$D$28,MATCH($P1278,Tables!$B$4:$B$28,0))</f>
        <v>4</v>
      </c>
      <c r="S1278" s="2">
        <f>$S1277+$R1277+INDEX(Tables!$N$5:$Q$8,MATCH(MOD($S1277+$R1277,4),Tables!$M$5:$M$8,0),MATCH($R1278,Tables!$N$4:$Q$4,0))</f>
        <v>4928</v>
      </c>
      <c r="T1278" s="2" t="str">
        <f t="shared" si="303"/>
        <v>1340</v>
      </c>
      <c r="U1278" s="2">
        <f t="shared" si="309"/>
        <v>1232</v>
      </c>
      <c r="V1278" s="2" t="str">
        <f t="shared" si="304"/>
        <v>4D0</v>
      </c>
      <c r="W1278" s="2" t="str">
        <f t="shared" si="305"/>
        <v/>
      </c>
      <c r="X1278" s="2" t="str">
        <f t="shared" si="308"/>
        <v/>
      </c>
      <c r="Y1278" s="2" t="str">
        <f t="shared" si="306"/>
        <v/>
      </c>
      <c r="Z1278" s="2" t="str">
        <f t="shared" si="307"/>
        <v>X</v>
      </c>
      <c r="AA1278" s="2" t="str">
        <f t="shared" si="310"/>
        <v/>
      </c>
      <c r="AB1278" s="2" t="str">
        <f t="shared" si="311"/>
        <v/>
      </c>
      <c r="AC1278" s="2" t="str">
        <f t="shared" si="312"/>
        <v/>
      </c>
      <c r="AD1278" s="2" t="str">
        <f t="shared" si="313"/>
        <v>(0)</v>
      </c>
      <c r="AE1278" s="2" t="str">
        <f t="shared" si="314"/>
        <v/>
      </c>
      <c r="AF1278" s="2" t="str">
        <f t="shared" si="315"/>
        <v/>
      </c>
      <c r="AG1278" s="2" t="str">
        <f t="shared" si="316"/>
        <v/>
      </c>
      <c r="AH1278" s="2" t="str">
        <f t="shared" si="317"/>
        <v/>
      </c>
    </row>
    <row r="1279" spans="2:34" x14ac:dyDescent="0.25">
      <c r="B1279" s="2" t="s">
        <v>3634</v>
      </c>
      <c r="C1279" s="2" t="s">
        <v>3626</v>
      </c>
      <c r="D1279" s="2" t="s">
        <v>0</v>
      </c>
      <c r="E1279" s="2" t="s">
        <v>130</v>
      </c>
      <c r="F1279" s="2" t="s">
        <v>3635</v>
      </c>
      <c r="G1279" s="2" t="s">
        <v>3636</v>
      </c>
      <c r="H1279" s="2" t="s">
        <v>3627</v>
      </c>
      <c r="I1279" s="2" t="s">
        <v>41</v>
      </c>
      <c r="J1279" s="2">
        <v>1</v>
      </c>
      <c r="K1279" s="2" t="s">
        <v>81</v>
      </c>
      <c r="L1279" s="2" t="s">
        <v>40</v>
      </c>
      <c r="P1279" s="2" t="s">
        <v>4</v>
      </c>
      <c r="Q1279" s="2">
        <f>INDEX(Tables!$C$4:$C$28,MATCH($P1279,Tables!$B$4:$B$28,0))</f>
        <v>32</v>
      </c>
      <c r="R1279" s="2">
        <f>INDEX(Tables!$D$4:$D$28,MATCH($P1279,Tables!$B$4:$B$28,0))</f>
        <v>4</v>
      </c>
      <c r="S1279" s="2">
        <f>$S1278+$R1278+INDEX(Tables!$N$5:$Q$8,MATCH(MOD($S1278+$R1278,4),Tables!$M$5:$M$8,0),MATCH($R1279,Tables!$N$4:$Q$4,0))</f>
        <v>4932</v>
      </c>
      <c r="T1279" s="2" t="str">
        <f t="shared" si="303"/>
        <v>1344</v>
      </c>
      <c r="U1279" s="2">
        <f t="shared" si="309"/>
        <v>1233</v>
      </c>
      <c r="V1279" s="2" t="str">
        <f t="shared" si="304"/>
        <v>4D1</v>
      </c>
      <c r="W1279" s="2" t="str">
        <f t="shared" si="305"/>
        <v/>
      </c>
      <c r="X1279" s="2" t="str">
        <f t="shared" si="308"/>
        <v/>
      </c>
      <c r="Y1279" s="2" t="str">
        <f t="shared" si="306"/>
        <v/>
      </c>
      <c r="Z1279" s="2" t="str">
        <f t="shared" si="307"/>
        <v>X</v>
      </c>
      <c r="AA1279" s="2" t="str">
        <f t="shared" si="310"/>
        <v/>
      </c>
      <c r="AB1279" s="2" t="str">
        <f t="shared" si="311"/>
        <v/>
      </c>
      <c r="AC1279" s="2" t="str">
        <f t="shared" si="312"/>
        <v/>
      </c>
      <c r="AD1279" s="2" t="str">
        <f t="shared" si="313"/>
        <v>(0)</v>
      </c>
      <c r="AE1279" s="2" t="str">
        <f t="shared" si="314"/>
        <v/>
      </c>
      <c r="AF1279" s="2" t="str">
        <f t="shared" si="315"/>
        <v/>
      </c>
      <c r="AG1279" s="2" t="str">
        <f t="shared" si="316"/>
        <v/>
      </c>
      <c r="AH1279" s="2" t="str">
        <f t="shared" si="317"/>
        <v/>
      </c>
    </row>
    <row r="1280" spans="2:34" x14ac:dyDescent="0.25">
      <c r="B1280" s="2" t="s">
        <v>3634</v>
      </c>
      <c r="C1280" s="2" t="s">
        <v>3628</v>
      </c>
      <c r="D1280" s="2" t="s">
        <v>0</v>
      </c>
      <c r="E1280" s="2" t="s">
        <v>130</v>
      </c>
      <c r="F1280" s="2" t="s">
        <v>3635</v>
      </c>
      <c r="G1280" s="2" t="s">
        <v>3636</v>
      </c>
      <c r="H1280" s="2" t="s">
        <v>3629</v>
      </c>
      <c r="I1280" s="2" t="s">
        <v>41</v>
      </c>
      <c r="J1280" s="2">
        <v>1</v>
      </c>
      <c r="K1280" s="2" t="s">
        <v>81</v>
      </c>
      <c r="L1280" s="2" t="s">
        <v>40</v>
      </c>
      <c r="P1280" s="2" t="s">
        <v>4</v>
      </c>
      <c r="Q1280" s="2">
        <f>INDEX(Tables!$C$4:$C$28,MATCH($P1280,Tables!$B$4:$B$28,0))</f>
        <v>32</v>
      </c>
      <c r="R1280" s="2">
        <f>INDEX(Tables!$D$4:$D$28,MATCH($P1280,Tables!$B$4:$B$28,0))</f>
        <v>4</v>
      </c>
      <c r="S1280" s="2">
        <f>$S1279+$R1279+INDEX(Tables!$N$5:$Q$8,MATCH(MOD($S1279+$R1279,4),Tables!$M$5:$M$8,0),MATCH($R1280,Tables!$N$4:$Q$4,0))</f>
        <v>4936</v>
      </c>
      <c r="T1280" s="2" t="str">
        <f t="shared" si="303"/>
        <v>1348</v>
      </c>
      <c r="U1280" s="2">
        <f t="shared" si="309"/>
        <v>1234</v>
      </c>
      <c r="V1280" s="2" t="str">
        <f t="shared" si="304"/>
        <v>4D2</v>
      </c>
      <c r="W1280" s="2" t="str">
        <f t="shared" si="305"/>
        <v/>
      </c>
      <c r="X1280" s="2" t="str">
        <f t="shared" si="308"/>
        <v/>
      </c>
      <c r="Y1280" s="2" t="str">
        <f t="shared" si="306"/>
        <v/>
      </c>
      <c r="Z1280" s="2" t="str">
        <f t="shared" si="307"/>
        <v>X</v>
      </c>
      <c r="AA1280" s="2" t="str">
        <f t="shared" si="310"/>
        <v/>
      </c>
      <c r="AB1280" s="2" t="str">
        <f t="shared" si="311"/>
        <v/>
      </c>
      <c r="AC1280" s="2" t="str">
        <f t="shared" si="312"/>
        <v/>
      </c>
      <c r="AD1280" s="2" t="str">
        <f t="shared" si="313"/>
        <v>(0)</v>
      </c>
      <c r="AE1280" s="2" t="str">
        <f t="shared" si="314"/>
        <v/>
      </c>
      <c r="AF1280" s="2" t="str">
        <f t="shared" si="315"/>
        <v/>
      </c>
      <c r="AG1280" s="2" t="str">
        <f t="shared" si="316"/>
        <v/>
      </c>
      <c r="AH1280" s="2" t="str">
        <f t="shared" si="317"/>
        <v/>
      </c>
    </row>
    <row r="1281" spans="2:34" x14ac:dyDescent="0.25">
      <c r="B1281" s="2" t="s">
        <v>3634</v>
      </c>
      <c r="C1281" s="2" t="s">
        <v>3630</v>
      </c>
      <c r="D1281" s="2" t="s">
        <v>0</v>
      </c>
      <c r="E1281" s="2" t="s">
        <v>130</v>
      </c>
      <c r="F1281" s="2" t="s">
        <v>3635</v>
      </c>
      <c r="G1281" s="2" t="s">
        <v>3636</v>
      </c>
      <c r="H1281" s="2" t="s">
        <v>3631</v>
      </c>
      <c r="I1281" s="2" t="s">
        <v>41</v>
      </c>
      <c r="J1281" s="2">
        <v>5</v>
      </c>
      <c r="K1281" s="2" t="s">
        <v>132</v>
      </c>
      <c r="L1281" s="2" t="s">
        <v>40</v>
      </c>
      <c r="P1281" s="2" t="s">
        <v>47</v>
      </c>
      <c r="Q1281" s="2">
        <f>INDEX(Tables!$C$4:$C$28,MATCH($P1281,Tables!$B$4:$B$28,0))</f>
        <v>8</v>
      </c>
      <c r="R1281" s="2">
        <f>INDEX(Tables!$D$4:$D$28,MATCH($P1281,Tables!$B$4:$B$28,0))</f>
        <v>1</v>
      </c>
      <c r="S1281" s="2">
        <f>$S1280+$R1280+INDEX(Tables!$N$5:$Q$8,MATCH(MOD($S1280+$R1280,4),Tables!$M$5:$M$8,0),MATCH($R1281,Tables!$N$4:$Q$4,0))</f>
        <v>4940</v>
      </c>
      <c r="T1281" s="2" t="str">
        <f t="shared" si="303"/>
        <v>134C</v>
      </c>
      <c r="U1281" s="2">
        <f t="shared" si="309"/>
        <v>1235</v>
      </c>
      <c r="V1281" s="2" t="str">
        <f t="shared" si="304"/>
        <v>4D3</v>
      </c>
      <c r="W1281" s="2" t="str">
        <f t="shared" si="305"/>
        <v/>
      </c>
      <c r="X1281" s="2" t="str">
        <f t="shared" si="308"/>
        <v/>
      </c>
      <c r="Y1281" s="2" t="str">
        <f t="shared" si="306"/>
        <v/>
      </c>
      <c r="Z1281" s="2" t="str">
        <f t="shared" si="307"/>
        <v>X</v>
      </c>
      <c r="AA1281" s="2" t="str">
        <f t="shared" si="310"/>
        <v/>
      </c>
      <c r="AB1281" s="2" t="str">
        <f t="shared" si="311"/>
        <v/>
      </c>
      <c r="AC1281" s="2" t="str">
        <f t="shared" si="312"/>
        <v/>
      </c>
      <c r="AD1281" s="2" t="str">
        <f t="shared" si="313"/>
        <v>(4 downto 0)</v>
      </c>
      <c r="AE1281" s="2" t="str">
        <f t="shared" si="314"/>
        <v/>
      </c>
      <c r="AF1281" s="2" t="str">
        <f t="shared" si="315"/>
        <v/>
      </c>
      <c r="AG1281" s="2" t="str">
        <f t="shared" si="316"/>
        <v/>
      </c>
      <c r="AH1281" s="2" t="str">
        <f t="shared" si="317"/>
        <v/>
      </c>
    </row>
    <row r="1282" spans="2:34" x14ac:dyDescent="0.25">
      <c r="B1282" s="2" t="s">
        <v>3634</v>
      </c>
      <c r="C1282" s="2" t="s">
        <v>3637</v>
      </c>
      <c r="D1282" s="2" t="s">
        <v>0</v>
      </c>
      <c r="E1282" s="2" t="s">
        <v>130</v>
      </c>
      <c r="F1282" s="2" t="s">
        <v>3635</v>
      </c>
      <c r="G1282" s="2" t="s">
        <v>3636</v>
      </c>
      <c r="H1282" s="2" t="s">
        <v>3638</v>
      </c>
      <c r="I1282" s="2" t="s">
        <v>41</v>
      </c>
      <c r="J1282" s="2">
        <v>24</v>
      </c>
      <c r="K1282" s="2" t="s">
        <v>132</v>
      </c>
      <c r="L1282" s="2" t="s">
        <v>40</v>
      </c>
      <c r="P1282" s="2" t="s">
        <v>48</v>
      </c>
      <c r="Q1282" s="2">
        <f>INDEX(Tables!$C$4:$C$28,MATCH($P1282,Tables!$B$4:$B$28,0))</f>
        <v>32</v>
      </c>
      <c r="R1282" s="2">
        <f>INDEX(Tables!$D$4:$D$28,MATCH($P1282,Tables!$B$4:$B$28,0))</f>
        <v>4</v>
      </c>
      <c r="S1282" s="2">
        <f>$S1281+$R1281+INDEX(Tables!$N$5:$Q$8,MATCH(MOD($S1281+$R1281,4),Tables!$M$5:$M$8,0),MATCH($R1282,Tables!$N$4:$Q$4,0))</f>
        <v>4944</v>
      </c>
      <c r="T1282" s="2" t="str">
        <f t="shared" si="303"/>
        <v>1350</v>
      </c>
      <c r="U1282" s="2">
        <f t="shared" si="309"/>
        <v>1236</v>
      </c>
      <c r="V1282" s="2" t="str">
        <f t="shared" si="304"/>
        <v>4D4</v>
      </c>
      <c r="W1282" s="2" t="str">
        <f t="shared" si="305"/>
        <v/>
      </c>
      <c r="X1282" s="2" t="str">
        <f t="shared" si="308"/>
        <v>X</v>
      </c>
      <c r="Y1282" s="2" t="str">
        <f t="shared" si="306"/>
        <v>X</v>
      </c>
      <c r="Z1282" s="2" t="str">
        <f t="shared" si="307"/>
        <v>X</v>
      </c>
      <c r="AA1282" s="2" t="str">
        <f t="shared" si="310"/>
        <v/>
      </c>
      <c r="AB1282" s="2" t="str">
        <f t="shared" si="311"/>
        <v>(23 downto 16)</v>
      </c>
      <c r="AC1282" s="2" t="str">
        <f t="shared" si="312"/>
        <v>(15 downto 8)</v>
      </c>
      <c r="AD1282" s="2" t="str">
        <f t="shared" si="313"/>
        <v>(7 downto 0)</v>
      </c>
      <c r="AE1282" s="2" t="str">
        <f t="shared" si="314"/>
        <v/>
      </c>
      <c r="AF1282" s="2" t="str">
        <f t="shared" si="315"/>
        <v>(23 downto 16)</v>
      </c>
      <c r="AG1282" s="2" t="str">
        <f t="shared" si="316"/>
        <v>(15 downto 8)</v>
      </c>
      <c r="AH1282" s="2" t="str">
        <f t="shared" si="317"/>
        <v>(7 downto 0)</v>
      </c>
    </row>
    <row r="1283" spans="2:34" x14ac:dyDescent="0.25">
      <c r="B1283" s="2" t="s">
        <v>3639</v>
      </c>
      <c r="C1283" s="2" t="s">
        <v>3623</v>
      </c>
      <c r="D1283" s="2" t="s">
        <v>0</v>
      </c>
      <c r="E1283" s="2" t="s">
        <v>130</v>
      </c>
      <c r="F1283" s="2" t="s">
        <v>3640</v>
      </c>
      <c r="G1283" s="2" t="s">
        <v>3641</v>
      </c>
      <c r="H1283" s="2" t="s">
        <v>23408</v>
      </c>
      <c r="I1283" s="2" t="s">
        <v>41</v>
      </c>
      <c r="J1283" s="2">
        <v>1</v>
      </c>
      <c r="K1283" s="2" t="s">
        <v>81</v>
      </c>
      <c r="L1283" s="2" t="s">
        <v>40</v>
      </c>
      <c r="P1283" s="2" t="s">
        <v>4</v>
      </c>
      <c r="Q1283" s="2">
        <f>INDEX(Tables!$C$4:$C$28,MATCH($P1283,Tables!$B$4:$B$28,0))</f>
        <v>32</v>
      </c>
      <c r="R1283" s="2">
        <f>INDEX(Tables!$D$4:$D$28,MATCH($P1283,Tables!$B$4:$B$28,0))</f>
        <v>4</v>
      </c>
      <c r="S1283" s="2">
        <f>$S1282+$R1282+INDEX(Tables!$N$5:$Q$8,MATCH(MOD($S1282+$R1282,4),Tables!$M$5:$M$8,0),MATCH($R1283,Tables!$N$4:$Q$4,0))</f>
        <v>4948</v>
      </c>
      <c r="T1283" s="2" t="str">
        <f t="shared" si="303"/>
        <v>1354</v>
      </c>
      <c r="U1283" s="2">
        <f t="shared" si="309"/>
        <v>1237</v>
      </c>
      <c r="V1283" s="2" t="str">
        <f t="shared" si="304"/>
        <v>4D5</v>
      </c>
      <c r="W1283" s="2" t="str">
        <f t="shared" si="305"/>
        <v/>
      </c>
      <c r="X1283" s="2" t="str">
        <f t="shared" si="308"/>
        <v/>
      </c>
      <c r="Y1283" s="2" t="str">
        <f t="shared" si="306"/>
        <v/>
      </c>
      <c r="Z1283" s="2" t="str">
        <f t="shared" si="307"/>
        <v>X</v>
      </c>
      <c r="AA1283" s="2" t="str">
        <f t="shared" si="310"/>
        <v/>
      </c>
      <c r="AB1283" s="2" t="str">
        <f t="shared" si="311"/>
        <v/>
      </c>
      <c r="AC1283" s="2" t="str">
        <f t="shared" si="312"/>
        <v/>
      </c>
      <c r="AD1283" s="2" t="str">
        <f t="shared" si="313"/>
        <v>(0)</v>
      </c>
      <c r="AE1283" s="2" t="str">
        <f t="shared" si="314"/>
        <v/>
      </c>
      <c r="AF1283" s="2" t="str">
        <f t="shared" si="315"/>
        <v/>
      </c>
      <c r="AG1283" s="2" t="str">
        <f t="shared" si="316"/>
        <v/>
      </c>
      <c r="AH1283" s="2" t="str">
        <f t="shared" si="317"/>
        <v/>
      </c>
    </row>
    <row r="1284" spans="2:34" x14ac:dyDescent="0.25">
      <c r="B1284" s="2" t="s">
        <v>3639</v>
      </c>
      <c r="C1284" s="2" t="s">
        <v>3626</v>
      </c>
      <c r="D1284" s="2" t="s">
        <v>0</v>
      </c>
      <c r="E1284" s="2" t="s">
        <v>130</v>
      </c>
      <c r="F1284" s="2" t="s">
        <v>3640</v>
      </c>
      <c r="G1284" s="2" t="s">
        <v>3641</v>
      </c>
      <c r="H1284" s="2" t="s">
        <v>3627</v>
      </c>
      <c r="I1284" s="2" t="s">
        <v>41</v>
      </c>
      <c r="J1284" s="2">
        <v>1</v>
      </c>
      <c r="K1284" s="2" t="s">
        <v>81</v>
      </c>
      <c r="L1284" s="2" t="s">
        <v>40</v>
      </c>
      <c r="P1284" s="2" t="s">
        <v>4</v>
      </c>
      <c r="Q1284" s="2">
        <f>INDEX(Tables!$C$4:$C$28,MATCH($P1284,Tables!$B$4:$B$28,0))</f>
        <v>32</v>
      </c>
      <c r="R1284" s="2">
        <f>INDEX(Tables!$D$4:$D$28,MATCH($P1284,Tables!$B$4:$B$28,0))</f>
        <v>4</v>
      </c>
      <c r="S1284" s="2">
        <f>$S1283+$R1283+INDEX(Tables!$N$5:$Q$8,MATCH(MOD($S1283+$R1283,4),Tables!$M$5:$M$8,0),MATCH($R1284,Tables!$N$4:$Q$4,0))</f>
        <v>4952</v>
      </c>
      <c r="T1284" s="2" t="str">
        <f t="shared" si="303"/>
        <v>1358</v>
      </c>
      <c r="U1284" s="2">
        <f t="shared" si="309"/>
        <v>1238</v>
      </c>
      <c r="V1284" s="2" t="str">
        <f t="shared" si="304"/>
        <v>4D6</v>
      </c>
      <c r="W1284" s="2" t="str">
        <f t="shared" si="305"/>
        <v/>
      </c>
      <c r="X1284" s="2" t="str">
        <f t="shared" si="308"/>
        <v/>
      </c>
      <c r="Y1284" s="2" t="str">
        <f t="shared" si="306"/>
        <v/>
      </c>
      <c r="Z1284" s="2" t="str">
        <f t="shared" si="307"/>
        <v>X</v>
      </c>
      <c r="AA1284" s="2" t="str">
        <f t="shared" si="310"/>
        <v/>
      </c>
      <c r="AB1284" s="2" t="str">
        <f t="shared" si="311"/>
        <v/>
      </c>
      <c r="AC1284" s="2" t="str">
        <f t="shared" si="312"/>
        <v/>
      </c>
      <c r="AD1284" s="2" t="str">
        <f t="shared" si="313"/>
        <v>(0)</v>
      </c>
      <c r="AE1284" s="2" t="str">
        <f t="shared" si="314"/>
        <v/>
      </c>
      <c r="AF1284" s="2" t="str">
        <f t="shared" si="315"/>
        <v/>
      </c>
      <c r="AG1284" s="2" t="str">
        <f t="shared" si="316"/>
        <v/>
      </c>
      <c r="AH1284" s="2" t="str">
        <f t="shared" si="317"/>
        <v/>
      </c>
    </row>
    <row r="1285" spans="2:34" x14ac:dyDescent="0.25">
      <c r="B1285" s="2" t="s">
        <v>3639</v>
      </c>
      <c r="C1285" s="2" t="s">
        <v>3628</v>
      </c>
      <c r="D1285" s="2" t="s">
        <v>0</v>
      </c>
      <c r="E1285" s="2" t="s">
        <v>130</v>
      </c>
      <c r="F1285" s="2" t="s">
        <v>3640</v>
      </c>
      <c r="G1285" s="2" t="s">
        <v>3641</v>
      </c>
      <c r="H1285" s="2" t="s">
        <v>3629</v>
      </c>
      <c r="I1285" s="2" t="s">
        <v>41</v>
      </c>
      <c r="J1285" s="2">
        <v>1</v>
      </c>
      <c r="K1285" s="2" t="s">
        <v>81</v>
      </c>
      <c r="L1285" s="2" t="s">
        <v>40</v>
      </c>
      <c r="P1285" s="2" t="s">
        <v>4</v>
      </c>
      <c r="Q1285" s="2">
        <f>INDEX(Tables!$C$4:$C$28,MATCH($P1285,Tables!$B$4:$B$28,0))</f>
        <v>32</v>
      </c>
      <c r="R1285" s="2">
        <f>INDEX(Tables!$D$4:$D$28,MATCH($P1285,Tables!$B$4:$B$28,0))</f>
        <v>4</v>
      </c>
      <c r="S1285" s="2">
        <f>$S1284+$R1284+INDEX(Tables!$N$5:$Q$8,MATCH(MOD($S1284+$R1284,4),Tables!$M$5:$M$8,0),MATCH($R1285,Tables!$N$4:$Q$4,0))</f>
        <v>4956</v>
      </c>
      <c r="T1285" s="2" t="str">
        <f t="shared" ref="T1285:T1348" si="318">DEC2HEX($S1285,4)</f>
        <v>135C</v>
      </c>
      <c r="U1285" s="2">
        <f t="shared" si="309"/>
        <v>1239</v>
      </c>
      <c r="V1285" s="2" t="str">
        <f t="shared" ref="V1285:V1348" si="319">DEC2HEX($U1285,3)</f>
        <v>4D7</v>
      </c>
      <c r="W1285" s="2" t="str">
        <f t="shared" ref="W1285:W1348" si="320">IF(MOD($S1285,4)=3,"X",IF(AND(MOD($S1285,4)=2,$J1285&gt;8),"X",IF(AND(MOD($S1285,4)=1,$J1285&gt;16),"X",IF(AND(MOD($S1285,4)=0,$J1285&gt;24),"X",""))))</f>
        <v/>
      </c>
      <c r="X1285" s="2" t="str">
        <f t="shared" si="308"/>
        <v/>
      </c>
      <c r="Y1285" s="2" t="str">
        <f t="shared" ref="Y1285:Y1348" si="321">IF(MOD($S1285,4)=1,"X",IF(AND(MOD($S1285,4)=0,$J1285&gt;8),"X",""))</f>
        <v/>
      </c>
      <c r="Z1285" s="2" t="str">
        <f t="shared" ref="Z1285:Z1348" si="322">IF(MOD($S1285,4)=0,"X","")</f>
        <v>X</v>
      </c>
      <c r="AA1285" s="2" t="str">
        <f t="shared" si="310"/>
        <v/>
      </c>
      <c r="AB1285" s="2" t="str">
        <f t="shared" si="311"/>
        <v/>
      </c>
      <c r="AC1285" s="2" t="str">
        <f t="shared" si="312"/>
        <v/>
      </c>
      <c r="AD1285" s="2" t="str">
        <f t="shared" si="313"/>
        <v>(0)</v>
      </c>
      <c r="AE1285" s="2" t="str">
        <f t="shared" si="314"/>
        <v/>
      </c>
      <c r="AF1285" s="2" t="str">
        <f t="shared" si="315"/>
        <v/>
      </c>
      <c r="AG1285" s="2" t="str">
        <f t="shared" si="316"/>
        <v/>
      </c>
      <c r="AH1285" s="2" t="str">
        <f t="shared" si="317"/>
        <v/>
      </c>
    </row>
    <row r="1286" spans="2:34" x14ac:dyDescent="0.25">
      <c r="B1286" s="2" t="s">
        <v>3639</v>
      </c>
      <c r="C1286" s="2" t="s">
        <v>3630</v>
      </c>
      <c r="D1286" s="2" t="s">
        <v>0</v>
      </c>
      <c r="E1286" s="2" t="s">
        <v>130</v>
      </c>
      <c r="F1286" s="2" t="s">
        <v>3640</v>
      </c>
      <c r="G1286" s="2" t="s">
        <v>3641</v>
      </c>
      <c r="H1286" s="2" t="s">
        <v>3631</v>
      </c>
      <c r="I1286" s="2" t="s">
        <v>41</v>
      </c>
      <c r="J1286" s="2">
        <v>5</v>
      </c>
      <c r="K1286" s="2" t="s">
        <v>132</v>
      </c>
      <c r="L1286" s="2" t="s">
        <v>40</v>
      </c>
      <c r="P1286" s="2" t="s">
        <v>47</v>
      </c>
      <c r="Q1286" s="2">
        <f>INDEX(Tables!$C$4:$C$28,MATCH($P1286,Tables!$B$4:$B$28,0))</f>
        <v>8</v>
      </c>
      <c r="R1286" s="2">
        <f>INDEX(Tables!$D$4:$D$28,MATCH($P1286,Tables!$B$4:$B$28,0))</f>
        <v>1</v>
      </c>
      <c r="S1286" s="2">
        <f>$S1285+$R1285+INDEX(Tables!$N$5:$Q$8,MATCH(MOD($S1285+$R1285,4),Tables!$M$5:$M$8,0),MATCH($R1286,Tables!$N$4:$Q$4,0))</f>
        <v>4960</v>
      </c>
      <c r="T1286" s="2" t="str">
        <f t="shared" si="318"/>
        <v>1360</v>
      </c>
      <c r="U1286" s="2">
        <f t="shared" si="309"/>
        <v>1240</v>
      </c>
      <c r="V1286" s="2" t="str">
        <f t="shared" si="319"/>
        <v>4D8</v>
      </c>
      <c r="W1286" s="2" t="str">
        <f t="shared" si="320"/>
        <v/>
      </c>
      <c r="X1286" s="2" t="str">
        <f t="shared" ref="X1286:X1349" si="323">IF(MOD($S1286,4)=2,"X",IF(AND(MOD($S1286,4)=1,$J1286&gt;8),"X",IF(AND(MOD($S1286,4)=0,$J1286&gt;16),"X","")))</f>
        <v/>
      </c>
      <c r="Y1286" s="2" t="str">
        <f t="shared" si="321"/>
        <v/>
      </c>
      <c r="Z1286" s="2" t="str">
        <f t="shared" si="322"/>
        <v>X</v>
      </c>
      <c r="AA1286" s="2" t="str">
        <f t="shared" si="310"/>
        <v/>
      </c>
      <c r="AB1286" s="2" t="str">
        <f t="shared" si="311"/>
        <v/>
      </c>
      <c r="AC1286" s="2" t="str">
        <f t="shared" si="312"/>
        <v/>
      </c>
      <c r="AD1286" s="2" t="str">
        <f t="shared" si="313"/>
        <v>(4 downto 0)</v>
      </c>
      <c r="AE1286" s="2" t="str">
        <f t="shared" si="314"/>
        <v/>
      </c>
      <c r="AF1286" s="2" t="str">
        <f t="shared" si="315"/>
        <v/>
      </c>
      <c r="AG1286" s="2" t="str">
        <f t="shared" si="316"/>
        <v/>
      </c>
      <c r="AH1286" s="2" t="str">
        <f t="shared" si="317"/>
        <v/>
      </c>
    </row>
    <row r="1287" spans="2:34" x14ac:dyDescent="0.25">
      <c r="B1287" s="2" t="s">
        <v>3639</v>
      </c>
      <c r="C1287" s="2" t="s">
        <v>3642</v>
      </c>
      <c r="D1287" s="2" t="s">
        <v>0</v>
      </c>
      <c r="E1287" s="2" t="s">
        <v>130</v>
      </c>
      <c r="F1287" s="2" t="s">
        <v>3640</v>
      </c>
      <c r="G1287" s="2" t="s">
        <v>3641</v>
      </c>
      <c r="H1287" s="2" t="s">
        <v>3643</v>
      </c>
      <c r="I1287" s="2" t="s">
        <v>41</v>
      </c>
      <c r="J1287" s="2">
        <v>24</v>
      </c>
      <c r="K1287" s="2" t="s">
        <v>132</v>
      </c>
      <c r="L1287" s="2" t="s">
        <v>40</v>
      </c>
      <c r="P1287" s="2" t="s">
        <v>48</v>
      </c>
      <c r="Q1287" s="2">
        <f>INDEX(Tables!$C$4:$C$28,MATCH($P1287,Tables!$B$4:$B$28,0))</f>
        <v>32</v>
      </c>
      <c r="R1287" s="2">
        <f>INDEX(Tables!$D$4:$D$28,MATCH($P1287,Tables!$B$4:$B$28,0))</f>
        <v>4</v>
      </c>
      <c r="S1287" s="2">
        <f>$S1286+$R1286+INDEX(Tables!$N$5:$Q$8,MATCH(MOD($S1286+$R1286,4),Tables!$M$5:$M$8,0),MATCH($R1287,Tables!$N$4:$Q$4,0))</f>
        <v>4964</v>
      </c>
      <c r="T1287" s="2" t="str">
        <f t="shared" si="318"/>
        <v>1364</v>
      </c>
      <c r="U1287" s="2">
        <f t="shared" si="309"/>
        <v>1241</v>
      </c>
      <c r="V1287" s="2" t="str">
        <f t="shared" si="319"/>
        <v>4D9</v>
      </c>
      <c r="W1287" s="2" t="str">
        <f t="shared" si="320"/>
        <v/>
      </c>
      <c r="X1287" s="2" t="str">
        <f t="shared" si="323"/>
        <v>X</v>
      </c>
      <c r="Y1287" s="2" t="str">
        <f t="shared" si="321"/>
        <v>X</v>
      </c>
      <c r="Z1287" s="2" t="str">
        <f t="shared" si="322"/>
        <v>X</v>
      </c>
      <c r="AA1287" s="2" t="str">
        <f t="shared" si="310"/>
        <v/>
      </c>
      <c r="AB1287" s="2" t="str">
        <f t="shared" si="311"/>
        <v>(23 downto 16)</v>
      </c>
      <c r="AC1287" s="2" t="str">
        <f t="shared" si="312"/>
        <v>(15 downto 8)</v>
      </c>
      <c r="AD1287" s="2" t="str">
        <f t="shared" si="313"/>
        <v>(7 downto 0)</v>
      </c>
      <c r="AE1287" s="2" t="str">
        <f t="shared" si="314"/>
        <v/>
      </c>
      <c r="AF1287" s="2" t="str">
        <f t="shared" si="315"/>
        <v>(23 downto 16)</v>
      </c>
      <c r="AG1287" s="2" t="str">
        <f t="shared" si="316"/>
        <v>(15 downto 8)</v>
      </c>
      <c r="AH1287" s="2" t="str">
        <f t="shared" si="317"/>
        <v>(7 downto 0)</v>
      </c>
    </row>
    <row r="1288" spans="2:34" x14ac:dyDescent="0.25">
      <c r="B1288" s="2" t="s">
        <v>3644</v>
      </c>
      <c r="C1288" s="2" t="s">
        <v>3623</v>
      </c>
      <c r="D1288" s="2" t="s">
        <v>0</v>
      </c>
      <c r="E1288" s="2" t="s">
        <v>130</v>
      </c>
      <c r="F1288" s="2" t="s">
        <v>3645</v>
      </c>
      <c r="G1288" s="2" t="s">
        <v>3646</v>
      </c>
      <c r="H1288" s="2" t="s">
        <v>23408</v>
      </c>
      <c r="I1288" s="2" t="s">
        <v>41</v>
      </c>
      <c r="J1288" s="2">
        <v>1</v>
      </c>
      <c r="K1288" s="2" t="s">
        <v>81</v>
      </c>
      <c r="L1288" s="2" t="s">
        <v>40</v>
      </c>
      <c r="P1288" s="2" t="s">
        <v>4</v>
      </c>
      <c r="Q1288" s="2">
        <f>INDEX(Tables!$C$4:$C$28,MATCH($P1288,Tables!$B$4:$B$28,0))</f>
        <v>32</v>
      </c>
      <c r="R1288" s="2">
        <f>INDEX(Tables!$D$4:$D$28,MATCH($P1288,Tables!$B$4:$B$28,0))</f>
        <v>4</v>
      </c>
      <c r="S1288" s="2">
        <f>$S1287+$R1287+INDEX(Tables!$N$5:$Q$8,MATCH(MOD($S1287+$R1287,4),Tables!$M$5:$M$8,0),MATCH($R1288,Tables!$N$4:$Q$4,0))</f>
        <v>4968</v>
      </c>
      <c r="T1288" s="2" t="str">
        <f t="shared" si="318"/>
        <v>1368</v>
      </c>
      <c r="U1288" s="2">
        <f t="shared" si="309"/>
        <v>1242</v>
      </c>
      <c r="V1288" s="2" t="str">
        <f t="shared" si="319"/>
        <v>4DA</v>
      </c>
      <c r="W1288" s="2" t="str">
        <f t="shared" si="320"/>
        <v/>
      </c>
      <c r="X1288" s="2" t="str">
        <f t="shared" si="323"/>
        <v/>
      </c>
      <c r="Y1288" s="2" t="str">
        <f t="shared" si="321"/>
        <v/>
      </c>
      <c r="Z1288" s="2" t="str">
        <f t="shared" si="322"/>
        <v>X</v>
      </c>
      <c r="AA1288" s="2" t="str">
        <f t="shared" si="310"/>
        <v/>
      </c>
      <c r="AB1288" s="2" t="str">
        <f t="shared" si="311"/>
        <v/>
      </c>
      <c r="AC1288" s="2" t="str">
        <f t="shared" si="312"/>
        <v/>
      </c>
      <c r="AD1288" s="2" t="str">
        <f t="shared" si="313"/>
        <v>(0)</v>
      </c>
      <c r="AE1288" s="2" t="str">
        <f t="shared" si="314"/>
        <v/>
      </c>
      <c r="AF1288" s="2" t="str">
        <f t="shared" si="315"/>
        <v/>
      </c>
      <c r="AG1288" s="2" t="str">
        <f t="shared" si="316"/>
        <v/>
      </c>
      <c r="AH1288" s="2" t="str">
        <f t="shared" si="317"/>
        <v/>
      </c>
    </row>
    <row r="1289" spans="2:34" x14ac:dyDescent="0.25">
      <c r="B1289" s="2" t="s">
        <v>3644</v>
      </c>
      <c r="C1289" s="2" t="s">
        <v>3626</v>
      </c>
      <c r="D1289" s="2" t="s">
        <v>0</v>
      </c>
      <c r="E1289" s="2" t="s">
        <v>130</v>
      </c>
      <c r="F1289" s="2" t="s">
        <v>3645</v>
      </c>
      <c r="G1289" s="2" t="s">
        <v>3646</v>
      </c>
      <c r="H1289" s="2" t="s">
        <v>3627</v>
      </c>
      <c r="I1289" s="2" t="s">
        <v>41</v>
      </c>
      <c r="J1289" s="2">
        <v>1</v>
      </c>
      <c r="K1289" s="2" t="s">
        <v>81</v>
      </c>
      <c r="L1289" s="2" t="s">
        <v>40</v>
      </c>
      <c r="P1289" s="2" t="s">
        <v>4</v>
      </c>
      <c r="Q1289" s="2">
        <f>INDEX(Tables!$C$4:$C$28,MATCH($P1289,Tables!$B$4:$B$28,0))</f>
        <v>32</v>
      </c>
      <c r="R1289" s="2">
        <f>INDEX(Tables!$D$4:$D$28,MATCH($P1289,Tables!$B$4:$B$28,0))</f>
        <v>4</v>
      </c>
      <c r="S1289" s="2">
        <f>$S1288+$R1288+INDEX(Tables!$N$5:$Q$8,MATCH(MOD($S1288+$R1288,4),Tables!$M$5:$M$8,0),MATCH($R1289,Tables!$N$4:$Q$4,0))</f>
        <v>4972</v>
      </c>
      <c r="T1289" s="2" t="str">
        <f t="shared" si="318"/>
        <v>136C</v>
      </c>
      <c r="U1289" s="2">
        <f t="shared" ref="U1289:U1352" si="324">ROUNDDOWN(S1289/4,0)</f>
        <v>1243</v>
      </c>
      <c r="V1289" s="2" t="str">
        <f t="shared" si="319"/>
        <v>4DB</v>
      </c>
      <c r="W1289" s="2" t="str">
        <f t="shared" si="320"/>
        <v/>
      </c>
      <c r="X1289" s="2" t="str">
        <f t="shared" si="323"/>
        <v/>
      </c>
      <c r="Y1289" s="2" t="str">
        <f t="shared" si="321"/>
        <v/>
      </c>
      <c r="Z1289" s="2" t="str">
        <f t="shared" si="322"/>
        <v>X</v>
      </c>
      <c r="AA1289" s="2" t="str">
        <f t="shared" ref="AA1289:AA1352" si="325">IF(W1289="","",CONCATENATE("(",IF(($J1289-COUNTIF($X1289:$Z1289,"X")*8)=1,"24)",CONCATENATE(IF(($J1289-COUNTIF($X1289:$Z1289,"X")*8)&gt;=8,32,($J1289-COUNTIF($X1289:$Z1289,"X")*8)+24)-1," downto 24)"))))</f>
        <v/>
      </c>
      <c r="AB1289" s="2" t="str">
        <f t="shared" ref="AB1289:AB1352" si="326">IF(X1289="","",CONCATENATE("(",IF(($J1289-COUNTIF($Y1289:$Z1289,"X")*8)=1,"16)",CONCATENATE(IF(($J1289-COUNTIF($Y1289:$Z1289,"X")*8)&gt;=8,24,($J1289-COUNTIF($Y1289:$Z1289,"X")*8)+16)-1," downto 16)"))))</f>
        <v/>
      </c>
      <c r="AC1289" s="2" t="str">
        <f t="shared" ref="AC1289:AC1352" si="327">IF(Y1289="","",CONCATENATE("(",IF(($J1289-COUNTIF($Z1289,"X")*8)=1,"8)",CONCATENATE(IF(($J1289-COUNTIF($Z1289,"X")*8)&gt;=8,16,($J1289-COUNTIF($Z1289,"X")*8)+8)-1," downto 8)"))))</f>
        <v/>
      </c>
      <c r="AD1289" s="2" t="str">
        <f t="shared" ref="AD1289:AD1352" si="328">IF(Z1289="","",CONCATENATE("(",IF($J1289=1,"0)",CONCATENATE(IF($J1289&gt;=8,8,$J1289)-1," downto 0)"))))</f>
        <v>(0)</v>
      </c>
      <c r="AE1289" s="2" t="str">
        <f t="shared" ref="AE1289:AE1352" si="329">IF(W1289="","",IF($J1289&lt;=8,"",IF(($J1289-COUNTIF($X1289:$Z1289,"X")*8)=1,CONCATENATE("(",($J1289-1),")"),CONCATENATE("(",IF(($J1289-COUNTIF($X1289:$Z1289,"X")*8)&gt;=8,COUNTIF($X1289:$Z1289,"X")*8+7,$J1289-COUNTIF($X1289:$Z1289,"X")*8-1+COUNTIF($X1289:$Z1289,"X")*8)," downto ",COUNTIF($X1289:$Z1289,"X")*8,")"))))</f>
        <v/>
      </c>
      <c r="AF1289" s="2" t="str">
        <f t="shared" ref="AF1289:AF1352" si="330">IF(X1289="","",IF($J1289&lt;=8,"",IF(($J1289-COUNTIF($Y1289:$Z1289,"X")*8)=1,CONCATENATE("(",($J1289-1),")"),CONCATENATE("(",IF(($J1289-COUNTIF($Y1289:$Z1289,"X")*8)&gt;=8,COUNTIF($Y1289:$Z1289,"X")*8+7,$J1289-COUNTIF($Y1289:$Z1289,"X")*8-1+COUNTIF($Y1289:$Z1289,"X")*8)," downto ",COUNTIF($Y1289:$Z1289,"X")*8,")"))))</f>
        <v/>
      </c>
      <c r="AG1289" s="2" t="str">
        <f t="shared" ref="AG1289:AG1352" si="331">IF(Y1289="","",IF($J1289&lt;=8,"",IF(($J1289-COUNTIF($Z1289,"X")*8)=1,CONCATENATE("(",($J1289-1),")"),CONCATENATE("(",IF(($J1289-COUNTIF($Z1289,"X")*8)&gt;=8,COUNTIF($Z1289,"X")*8+7,$J1289-COUNTIF($Z1289,"X")*8-1+COUNTIF($Z1289,"X")*8)," downto ",COUNTIF($Z1289,"X")*8,")"))))</f>
        <v/>
      </c>
      <c r="AH1289" s="2" t="str">
        <f t="shared" ref="AH1289:AH1352" si="332">IF(Z1289="","",IF($J1289&lt;=8,"",CONCATENATE("(",IF($J1289&gt;=8,7,$J1289-1)," downto ",0,")")))</f>
        <v/>
      </c>
    </row>
    <row r="1290" spans="2:34" x14ac:dyDescent="0.25">
      <c r="B1290" s="2" t="s">
        <v>3644</v>
      </c>
      <c r="C1290" s="2" t="s">
        <v>3628</v>
      </c>
      <c r="D1290" s="2" t="s">
        <v>0</v>
      </c>
      <c r="E1290" s="2" t="s">
        <v>130</v>
      </c>
      <c r="F1290" s="2" t="s">
        <v>3645</v>
      </c>
      <c r="G1290" s="2" t="s">
        <v>3646</v>
      </c>
      <c r="H1290" s="2" t="s">
        <v>3629</v>
      </c>
      <c r="I1290" s="2" t="s">
        <v>41</v>
      </c>
      <c r="J1290" s="2">
        <v>1</v>
      </c>
      <c r="K1290" s="2" t="s">
        <v>81</v>
      </c>
      <c r="L1290" s="2" t="s">
        <v>40</v>
      </c>
      <c r="P1290" s="2" t="s">
        <v>4</v>
      </c>
      <c r="Q1290" s="2">
        <f>INDEX(Tables!$C$4:$C$28,MATCH($P1290,Tables!$B$4:$B$28,0))</f>
        <v>32</v>
      </c>
      <c r="R1290" s="2">
        <f>INDEX(Tables!$D$4:$D$28,MATCH($P1290,Tables!$B$4:$B$28,0))</f>
        <v>4</v>
      </c>
      <c r="S1290" s="2">
        <f>$S1289+$R1289+INDEX(Tables!$N$5:$Q$8,MATCH(MOD($S1289+$R1289,4),Tables!$M$5:$M$8,0),MATCH($R1290,Tables!$N$4:$Q$4,0))</f>
        <v>4976</v>
      </c>
      <c r="T1290" s="2" t="str">
        <f t="shared" si="318"/>
        <v>1370</v>
      </c>
      <c r="U1290" s="2">
        <f t="shared" si="324"/>
        <v>1244</v>
      </c>
      <c r="V1290" s="2" t="str">
        <f t="shared" si="319"/>
        <v>4DC</v>
      </c>
      <c r="W1290" s="2" t="str">
        <f t="shared" si="320"/>
        <v/>
      </c>
      <c r="X1290" s="2" t="str">
        <f t="shared" si="323"/>
        <v/>
      </c>
      <c r="Y1290" s="2" t="str">
        <f t="shared" si="321"/>
        <v/>
      </c>
      <c r="Z1290" s="2" t="str">
        <f t="shared" si="322"/>
        <v>X</v>
      </c>
      <c r="AA1290" s="2" t="str">
        <f t="shared" si="325"/>
        <v/>
      </c>
      <c r="AB1290" s="2" t="str">
        <f t="shared" si="326"/>
        <v/>
      </c>
      <c r="AC1290" s="2" t="str">
        <f t="shared" si="327"/>
        <v/>
      </c>
      <c r="AD1290" s="2" t="str">
        <f t="shared" si="328"/>
        <v>(0)</v>
      </c>
      <c r="AE1290" s="2" t="str">
        <f t="shared" si="329"/>
        <v/>
      </c>
      <c r="AF1290" s="2" t="str">
        <f t="shared" si="330"/>
        <v/>
      </c>
      <c r="AG1290" s="2" t="str">
        <f t="shared" si="331"/>
        <v/>
      </c>
      <c r="AH1290" s="2" t="str">
        <f t="shared" si="332"/>
        <v/>
      </c>
    </row>
    <row r="1291" spans="2:34" x14ac:dyDescent="0.25">
      <c r="B1291" s="2" t="s">
        <v>3644</v>
      </c>
      <c r="C1291" s="2" t="s">
        <v>3630</v>
      </c>
      <c r="D1291" s="2" t="s">
        <v>0</v>
      </c>
      <c r="E1291" s="2" t="s">
        <v>130</v>
      </c>
      <c r="F1291" s="2" t="s">
        <v>3645</v>
      </c>
      <c r="G1291" s="2" t="s">
        <v>3646</v>
      </c>
      <c r="H1291" s="2" t="s">
        <v>3631</v>
      </c>
      <c r="I1291" s="2" t="s">
        <v>41</v>
      </c>
      <c r="J1291" s="2">
        <v>5</v>
      </c>
      <c r="K1291" s="2" t="s">
        <v>132</v>
      </c>
      <c r="L1291" s="2" t="s">
        <v>40</v>
      </c>
      <c r="P1291" s="2" t="s">
        <v>47</v>
      </c>
      <c r="Q1291" s="2">
        <f>INDEX(Tables!$C$4:$C$28,MATCH($P1291,Tables!$B$4:$B$28,0))</f>
        <v>8</v>
      </c>
      <c r="R1291" s="2">
        <f>INDEX(Tables!$D$4:$D$28,MATCH($P1291,Tables!$B$4:$B$28,0))</f>
        <v>1</v>
      </c>
      <c r="S1291" s="2">
        <f>$S1290+$R1290+INDEX(Tables!$N$5:$Q$8,MATCH(MOD($S1290+$R1290,4),Tables!$M$5:$M$8,0),MATCH($R1291,Tables!$N$4:$Q$4,0))</f>
        <v>4980</v>
      </c>
      <c r="T1291" s="2" t="str">
        <f t="shared" si="318"/>
        <v>1374</v>
      </c>
      <c r="U1291" s="2">
        <f t="shared" si="324"/>
        <v>1245</v>
      </c>
      <c r="V1291" s="2" t="str">
        <f t="shared" si="319"/>
        <v>4DD</v>
      </c>
      <c r="W1291" s="2" t="str">
        <f t="shared" si="320"/>
        <v/>
      </c>
      <c r="X1291" s="2" t="str">
        <f t="shared" si="323"/>
        <v/>
      </c>
      <c r="Y1291" s="2" t="str">
        <f t="shared" si="321"/>
        <v/>
      </c>
      <c r="Z1291" s="2" t="str">
        <f t="shared" si="322"/>
        <v>X</v>
      </c>
      <c r="AA1291" s="2" t="str">
        <f t="shared" si="325"/>
        <v/>
      </c>
      <c r="AB1291" s="2" t="str">
        <f t="shared" si="326"/>
        <v/>
      </c>
      <c r="AC1291" s="2" t="str">
        <f t="shared" si="327"/>
        <v/>
      </c>
      <c r="AD1291" s="2" t="str">
        <f t="shared" si="328"/>
        <v>(4 downto 0)</v>
      </c>
      <c r="AE1291" s="2" t="str">
        <f t="shared" si="329"/>
        <v/>
      </c>
      <c r="AF1291" s="2" t="str">
        <f t="shared" si="330"/>
        <v/>
      </c>
      <c r="AG1291" s="2" t="str">
        <f t="shared" si="331"/>
        <v/>
      </c>
      <c r="AH1291" s="2" t="str">
        <f t="shared" si="332"/>
        <v/>
      </c>
    </row>
    <row r="1292" spans="2:34" x14ac:dyDescent="0.25">
      <c r="B1292" s="2" t="s">
        <v>3644</v>
      </c>
      <c r="C1292" s="2" t="s">
        <v>3647</v>
      </c>
      <c r="D1292" s="2" t="s">
        <v>0</v>
      </c>
      <c r="E1292" s="2" t="s">
        <v>130</v>
      </c>
      <c r="F1292" s="2" t="s">
        <v>3645</v>
      </c>
      <c r="G1292" s="2" t="s">
        <v>3646</v>
      </c>
      <c r="H1292" s="2" t="s">
        <v>3648</v>
      </c>
      <c r="I1292" s="2" t="s">
        <v>41</v>
      </c>
      <c r="J1292" s="2">
        <v>24</v>
      </c>
      <c r="K1292" s="2" t="s">
        <v>132</v>
      </c>
      <c r="L1292" s="2" t="s">
        <v>40</v>
      </c>
      <c r="P1292" s="2" t="s">
        <v>48</v>
      </c>
      <c r="Q1292" s="2">
        <f>INDEX(Tables!$C$4:$C$28,MATCH($P1292,Tables!$B$4:$B$28,0))</f>
        <v>32</v>
      </c>
      <c r="R1292" s="2">
        <f>INDEX(Tables!$D$4:$D$28,MATCH($P1292,Tables!$B$4:$B$28,0))</f>
        <v>4</v>
      </c>
      <c r="S1292" s="2">
        <f>$S1291+$R1291+INDEX(Tables!$N$5:$Q$8,MATCH(MOD($S1291+$R1291,4),Tables!$M$5:$M$8,0),MATCH($R1292,Tables!$N$4:$Q$4,0))</f>
        <v>4984</v>
      </c>
      <c r="T1292" s="2" t="str">
        <f t="shared" si="318"/>
        <v>1378</v>
      </c>
      <c r="U1292" s="2">
        <f t="shared" si="324"/>
        <v>1246</v>
      </c>
      <c r="V1292" s="2" t="str">
        <f t="shared" si="319"/>
        <v>4DE</v>
      </c>
      <c r="W1292" s="2" t="str">
        <f t="shared" si="320"/>
        <v/>
      </c>
      <c r="X1292" s="2" t="str">
        <f t="shared" si="323"/>
        <v>X</v>
      </c>
      <c r="Y1292" s="2" t="str">
        <f t="shared" si="321"/>
        <v>X</v>
      </c>
      <c r="Z1292" s="2" t="str">
        <f t="shared" si="322"/>
        <v>X</v>
      </c>
      <c r="AA1292" s="2" t="str">
        <f t="shared" si="325"/>
        <v/>
      </c>
      <c r="AB1292" s="2" t="str">
        <f t="shared" si="326"/>
        <v>(23 downto 16)</v>
      </c>
      <c r="AC1292" s="2" t="str">
        <f t="shared" si="327"/>
        <v>(15 downto 8)</v>
      </c>
      <c r="AD1292" s="2" t="str">
        <f t="shared" si="328"/>
        <v>(7 downto 0)</v>
      </c>
      <c r="AE1292" s="2" t="str">
        <f t="shared" si="329"/>
        <v/>
      </c>
      <c r="AF1292" s="2" t="str">
        <f t="shared" si="330"/>
        <v>(23 downto 16)</v>
      </c>
      <c r="AG1292" s="2" t="str">
        <f t="shared" si="331"/>
        <v>(15 downto 8)</v>
      </c>
      <c r="AH1292" s="2" t="str">
        <f t="shared" si="332"/>
        <v>(7 downto 0)</v>
      </c>
    </row>
    <row r="1293" spans="2:34" x14ac:dyDescent="0.25">
      <c r="B1293" s="2" t="s">
        <v>3649</v>
      </c>
      <c r="C1293" s="2" t="s">
        <v>3623</v>
      </c>
      <c r="D1293" s="2" t="s">
        <v>0</v>
      </c>
      <c r="E1293" s="2" t="s">
        <v>130</v>
      </c>
      <c r="F1293" s="2" t="s">
        <v>3650</v>
      </c>
      <c r="G1293" s="2" t="s">
        <v>3651</v>
      </c>
      <c r="H1293" s="2" t="s">
        <v>23408</v>
      </c>
      <c r="I1293" s="2" t="s">
        <v>41</v>
      </c>
      <c r="J1293" s="2">
        <v>1</v>
      </c>
      <c r="K1293" s="2" t="s">
        <v>81</v>
      </c>
      <c r="L1293" s="2" t="s">
        <v>40</v>
      </c>
      <c r="P1293" s="2" t="s">
        <v>4</v>
      </c>
      <c r="Q1293" s="2">
        <f>INDEX(Tables!$C$4:$C$28,MATCH($P1293,Tables!$B$4:$B$28,0))</f>
        <v>32</v>
      </c>
      <c r="R1293" s="2">
        <f>INDEX(Tables!$D$4:$D$28,MATCH($P1293,Tables!$B$4:$B$28,0))</f>
        <v>4</v>
      </c>
      <c r="S1293" s="2">
        <f>$S1292+$R1292+INDEX(Tables!$N$5:$Q$8,MATCH(MOD($S1292+$R1292,4),Tables!$M$5:$M$8,0),MATCH($R1293,Tables!$N$4:$Q$4,0))</f>
        <v>4988</v>
      </c>
      <c r="T1293" s="2" t="str">
        <f t="shared" si="318"/>
        <v>137C</v>
      </c>
      <c r="U1293" s="2">
        <f t="shared" si="324"/>
        <v>1247</v>
      </c>
      <c r="V1293" s="2" t="str">
        <f t="shared" si="319"/>
        <v>4DF</v>
      </c>
      <c r="W1293" s="2" t="str">
        <f t="shared" si="320"/>
        <v/>
      </c>
      <c r="X1293" s="2" t="str">
        <f t="shared" si="323"/>
        <v/>
      </c>
      <c r="Y1293" s="2" t="str">
        <f t="shared" si="321"/>
        <v/>
      </c>
      <c r="Z1293" s="2" t="str">
        <f t="shared" si="322"/>
        <v>X</v>
      </c>
      <c r="AA1293" s="2" t="str">
        <f t="shared" si="325"/>
        <v/>
      </c>
      <c r="AB1293" s="2" t="str">
        <f t="shared" si="326"/>
        <v/>
      </c>
      <c r="AC1293" s="2" t="str">
        <f t="shared" si="327"/>
        <v/>
      </c>
      <c r="AD1293" s="2" t="str">
        <f t="shared" si="328"/>
        <v>(0)</v>
      </c>
      <c r="AE1293" s="2" t="str">
        <f t="shared" si="329"/>
        <v/>
      </c>
      <c r="AF1293" s="2" t="str">
        <f t="shared" si="330"/>
        <v/>
      </c>
      <c r="AG1293" s="2" t="str">
        <f t="shared" si="331"/>
        <v/>
      </c>
      <c r="AH1293" s="2" t="str">
        <f t="shared" si="332"/>
        <v/>
      </c>
    </row>
    <row r="1294" spans="2:34" x14ac:dyDescent="0.25">
      <c r="B1294" s="2" t="s">
        <v>3649</v>
      </c>
      <c r="C1294" s="2" t="s">
        <v>3626</v>
      </c>
      <c r="D1294" s="2" t="s">
        <v>0</v>
      </c>
      <c r="E1294" s="2" t="s">
        <v>130</v>
      </c>
      <c r="F1294" s="2" t="s">
        <v>3650</v>
      </c>
      <c r="G1294" s="2" t="s">
        <v>3651</v>
      </c>
      <c r="H1294" s="2" t="s">
        <v>3627</v>
      </c>
      <c r="I1294" s="2" t="s">
        <v>41</v>
      </c>
      <c r="J1294" s="2">
        <v>1</v>
      </c>
      <c r="K1294" s="2" t="s">
        <v>81</v>
      </c>
      <c r="L1294" s="2" t="s">
        <v>40</v>
      </c>
      <c r="P1294" s="2" t="s">
        <v>4</v>
      </c>
      <c r="Q1294" s="2">
        <f>INDEX(Tables!$C$4:$C$28,MATCH($P1294,Tables!$B$4:$B$28,0))</f>
        <v>32</v>
      </c>
      <c r="R1294" s="2">
        <f>INDEX(Tables!$D$4:$D$28,MATCH($P1294,Tables!$B$4:$B$28,0))</f>
        <v>4</v>
      </c>
      <c r="S1294" s="2">
        <f>$S1293+$R1293+INDEX(Tables!$N$5:$Q$8,MATCH(MOD($S1293+$R1293,4),Tables!$M$5:$M$8,0),MATCH($R1294,Tables!$N$4:$Q$4,0))</f>
        <v>4992</v>
      </c>
      <c r="T1294" s="2" t="str">
        <f t="shared" si="318"/>
        <v>1380</v>
      </c>
      <c r="U1294" s="2">
        <f t="shared" si="324"/>
        <v>1248</v>
      </c>
      <c r="V1294" s="2" t="str">
        <f t="shared" si="319"/>
        <v>4E0</v>
      </c>
      <c r="W1294" s="2" t="str">
        <f t="shared" si="320"/>
        <v/>
      </c>
      <c r="X1294" s="2" t="str">
        <f t="shared" si="323"/>
        <v/>
      </c>
      <c r="Y1294" s="2" t="str">
        <f t="shared" si="321"/>
        <v/>
      </c>
      <c r="Z1294" s="2" t="str">
        <f t="shared" si="322"/>
        <v>X</v>
      </c>
      <c r="AA1294" s="2" t="str">
        <f t="shared" si="325"/>
        <v/>
      </c>
      <c r="AB1294" s="2" t="str">
        <f t="shared" si="326"/>
        <v/>
      </c>
      <c r="AC1294" s="2" t="str">
        <f t="shared" si="327"/>
        <v/>
      </c>
      <c r="AD1294" s="2" t="str">
        <f t="shared" si="328"/>
        <v>(0)</v>
      </c>
      <c r="AE1294" s="2" t="str">
        <f t="shared" si="329"/>
        <v/>
      </c>
      <c r="AF1294" s="2" t="str">
        <f t="shared" si="330"/>
        <v/>
      </c>
      <c r="AG1294" s="2" t="str">
        <f t="shared" si="331"/>
        <v/>
      </c>
      <c r="AH1294" s="2" t="str">
        <f t="shared" si="332"/>
        <v/>
      </c>
    </row>
    <row r="1295" spans="2:34" x14ac:dyDescent="0.25">
      <c r="B1295" s="2" t="s">
        <v>3649</v>
      </c>
      <c r="C1295" s="2" t="s">
        <v>3628</v>
      </c>
      <c r="D1295" s="2" t="s">
        <v>0</v>
      </c>
      <c r="E1295" s="2" t="s">
        <v>130</v>
      </c>
      <c r="F1295" s="2" t="s">
        <v>3650</v>
      </c>
      <c r="G1295" s="2" t="s">
        <v>3651</v>
      </c>
      <c r="H1295" s="2" t="s">
        <v>3629</v>
      </c>
      <c r="I1295" s="2" t="s">
        <v>41</v>
      </c>
      <c r="J1295" s="2">
        <v>1</v>
      </c>
      <c r="K1295" s="2" t="s">
        <v>81</v>
      </c>
      <c r="L1295" s="2" t="s">
        <v>40</v>
      </c>
      <c r="P1295" s="2" t="s">
        <v>4</v>
      </c>
      <c r="Q1295" s="2">
        <f>INDEX(Tables!$C$4:$C$28,MATCH($P1295,Tables!$B$4:$B$28,0))</f>
        <v>32</v>
      </c>
      <c r="R1295" s="2">
        <f>INDEX(Tables!$D$4:$D$28,MATCH($P1295,Tables!$B$4:$B$28,0))</f>
        <v>4</v>
      </c>
      <c r="S1295" s="2">
        <f>$S1294+$R1294+INDEX(Tables!$N$5:$Q$8,MATCH(MOD($S1294+$R1294,4),Tables!$M$5:$M$8,0),MATCH($R1295,Tables!$N$4:$Q$4,0))</f>
        <v>4996</v>
      </c>
      <c r="T1295" s="2" t="str">
        <f t="shared" si="318"/>
        <v>1384</v>
      </c>
      <c r="U1295" s="2">
        <f t="shared" si="324"/>
        <v>1249</v>
      </c>
      <c r="V1295" s="2" t="str">
        <f t="shared" si="319"/>
        <v>4E1</v>
      </c>
      <c r="W1295" s="2" t="str">
        <f t="shared" si="320"/>
        <v/>
      </c>
      <c r="X1295" s="2" t="str">
        <f t="shared" si="323"/>
        <v/>
      </c>
      <c r="Y1295" s="2" t="str">
        <f t="shared" si="321"/>
        <v/>
      </c>
      <c r="Z1295" s="2" t="str">
        <f t="shared" si="322"/>
        <v>X</v>
      </c>
      <c r="AA1295" s="2" t="str">
        <f t="shared" si="325"/>
        <v/>
      </c>
      <c r="AB1295" s="2" t="str">
        <f t="shared" si="326"/>
        <v/>
      </c>
      <c r="AC1295" s="2" t="str">
        <f t="shared" si="327"/>
        <v/>
      </c>
      <c r="AD1295" s="2" t="str">
        <f t="shared" si="328"/>
        <v>(0)</v>
      </c>
      <c r="AE1295" s="2" t="str">
        <f t="shared" si="329"/>
        <v/>
      </c>
      <c r="AF1295" s="2" t="str">
        <f t="shared" si="330"/>
        <v/>
      </c>
      <c r="AG1295" s="2" t="str">
        <f t="shared" si="331"/>
        <v/>
      </c>
      <c r="AH1295" s="2" t="str">
        <f t="shared" si="332"/>
        <v/>
      </c>
    </row>
    <row r="1296" spans="2:34" x14ac:dyDescent="0.25">
      <c r="B1296" s="2" t="s">
        <v>3649</v>
      </c>
      <c r="C1296" s="2" t="s">
        <v>3630</v>
      </c>
      <c r="D1296" s="2" t="s">
        <v>0</v>
      </c>
      <c r="E1296" s="2" t="s">
        <v>130</v>
      </c>
      <c r="F1296" s="2" t="s">
        <v>3650</v>
      </c>
      <c r="G1296" s="2" t="s">
        <v>3651</v>
      </c>
      <c r="H1296" s="2" t="s">
        <v>3631</v>
      </c>
      <c r="I1296" s="2" t="s">
        <v>41</v>
      </c>
      <c r="J1296" s="2">
        <v>5</v>
      </c>
      <c r="K1296" s="2" t="s">
        <v>132</v>
      </c>
      <c r="L1296" s="2" t="s">
        <v>40</v>
      </c>
      <c r="P1296" s="2" t="s">
        <v>47</v>
      </c>
      <c r="Q1296" s="2">
        <f>INDEX(Tables!$C$4:$C$28,MATCH($P1296,Tables!$B$4:$B$28,0))</f>
        <v>8</v>
      </c>
      <c r="R1296" s="2">
        <f>INDEX(Tables!$D$4:$D$28,MATCH($P1296,Tables!$B$4:$B$28,0))</f>
        <v>1</v>
      </c>
      <c r="S1296" s="2">
        <f>$S1295+$R1295+INDEX(Tables!$N$5:$Q$8,MATCH(MOD($S1295+$R1295,4),Tables!$M$5:$M$8,0),MATCH($R1296,Tables!$N$4:$Q$4,0))</f>
        <v>5000</v>
      </c>
      <c r="T1296" s="2" t="str">
        <f t="shared" si="318"/>
        <v>1388</v>
      </c>
      <c r="U1296" s="2">
        <f t="shared" si="324"/>
        <v>1250</v>
      </c>
      <c r="V1296" s="2" t="str">
        <f t="shared" si="319"/>
        <v>4E2</v>
      </c>
      <c r="W1296" s="2" t="str">
        <f t="shared" si="320"/>
        <v/>
      </c>
      <c r="X1296" s="2" t="str">
        <f t="shared" si="323"/>
        <v/>
      </c>
      <c r="Y1296" s="2" t="str">
        <f t="shared" si="321"/>
        <v/>
      </c>
      <c r="Z1296" s="2" t="str">
        <f t="shared" si="322"/>
        <v>X</v>
      </c>
      <c r="AA1296" s="2" t="str">
        <f t="shared" si="325"/>
        <v/>
      </c>
      <c r="AB1296" s="2" t="str">
        <f t="shared" si="326"/>
        <v/>
      </c>
      <c r="AC1296" s="2" t="str">
        <f t="shared" si="327"/>
        <v/>
      </c>
      <c r="AD1296" s="2" t="str">
        <f t="shared" si="328"/>
        <v>(4 downto 0)</v>
      </c>
      <c r="AE1296" s="2" t="str">
        <f t="shared" si="329"/>
        <v/>
      </c>
      <c r="AF1296" s="2" t="str">
        <f t="shared" si="330"/>
        <v/>
      </c>
      <c r="AG1296" s="2" t="str">
        <f t="shared" si="331"/>
        <v/>
      </c>
      <c r="AH1296" s="2" t="str">
        <f t="shared" si="332"/>
        <v/>
      </c>
    </row>
    <row r="1297" spans="2:34" x14ac:dyDescent="0.25">
      <c r="B1297" s="2" t="s">
        <v>3649</v>
      </c>
      <c r="C1297" s="2" t="s">
        <v>3652</v>
      </c>
      <c r="D1297" s="2" t="s">
        <v>0</v>
      </c>
      <c r="E1297" s="2" t="s">
        <v>130</v>
      </c>
      <c r="F1297" s="2" t="s">
        <v>3650</v>
      </c>
      <c r="G1297" s="2" t="s">
        <v>3651</v>
      </c>
      <c r="H1297" s="2" t="s">
        <v>3653</v>
      </c>
      <c r="I1297" s="2" t="s">
        <v>41</v>
      </c>
      <c r="J1297" s="2">
        <v>24</v>
      </c>
      <c r="K1297" s="2" t="s">
        <v>132</v>
      </c>
      <c r="L1297" s="2" t="s">
        <v>40</v>
      </c>
      <c r="P1297" s="2" t="s">
        <v>48</v>
      </c>
      <c r="Q1297" s="2">
        <f>INDEX(Tables!$C$4:$C$28,MATCH($P1297,Tables!$B$4:$B$28,0))</f>
        <v>32</v>
      </c>
      <c r="R1297" s="2">
        <f>INDEX(Tables!$D$4:$D$28,MATCH($P1297,Tables!$B$4:$B$28,0))</f>
        <v>4</v>
      </c>
      <c r="S1297" s="2">
        <f>$S1296+$R1296+INDEX(Tables!$N$5:$Q$8,MATCH(MOD($S1296+$R1296,4),Tables!$M$5:$M$8,0),MATCH($R1297,Tables!$N$4:$Q$4,0))</f>
        <v>5004</v>
      </c>
      <c r="T1297" s="2" t="str">
        <f t="shared" si="318"/>
        <v>138C</v>
      </c>
      <c r="U1297" s="2">
        <f t="shared" si="324"/>
        <v>1251</v>
      </c>
      <c r="V1297" s="2" t="str">
        <f t="shared" si="319"/>
        <v>4E3</v>
      </c>
      <c r="W1297" s="2" t="str">
        <f t="shared" si="320"/>
        <v/>
      </c>
      <c r="X1297" s="2" t="str">
        <f t="shared" si="323"/>
        <v>X</v>
      </c>
      <c r="Y1297" s="2" t="str">
        <f t="shared" si="321"/>
        <v>X</v>
      </c>
      <c r="Z1297" s="2" t="str">
        <f t="shared" si="322"/>
        <v>X</v>
      </c>
      <c r="AA1297" s="2" t="str">
        <f t="shared" si="325"/>
        <v/>
      </c>
      <c r="AB1297" s="2" t="str">
        <f t="shared" si="326"/>
        <v>(23 downto 16)</v>
      </c>
      <c r="AC1297" s="2" t="str">
        <f t="shared" si="327"/>
        <v>(15 downto 8)</v>
      </c>
      <c r="AD1297" s="2" t="str">
        <f t="shared" si="328"/>
        <v>(7 downto 0)</v>
      </c>
      <c r="AE1297" s="2" t="str">
        <f t="shared" si="329"/>
        <v/>
      </c>
      <c r="AF1297" s="2" t="str">
        <f t="shared" si="330"/>
        <v>(23 downto 16)</v>
      </c>
      <c r="AG1297" s="2" t="str">
        <f t="shared" si="331"/>
        <v>(15 downto 8)</v>
      </c>
      <c r="AH1297" s="2" t="str">
        <f t="shared" si="332"/>
        <v>(7 downto 0)</v>
      </c>
    </row>
    <row r="1298" spans="2:34" x14ac:dyDescent="0.25">
      <c r="B1298" s="2" t="s">
        <v>3654</v>
      </c>
      <c r="C1298" s="2" t="s">
        <v>3623</v>
      </c>
      <c r="D1298" s="2" t="s">
        <v>0</v>
      </c>
      <c r="E1298" s="2" t="s">
        <v>130</v>
      </c>
      <c r="F1298" s="2" t="s">
        <v>3655</v>
      </c>
      <c r="G1298" s="2" t="s">
        <v>3656</v>
      </c>
      <c r="H1298" s="2" t="s">
        <v>23408</v>
      </c>
      <c r="I1298" s="2" t="s">
        <v>41</v>
      </c>
      <c r="J1298" s="2">
        <v>1</v>
      </c>
      <c r="K1298" s="2" t="s">
        <v>81</v>
      </c>
      <c r="L1298" s="2" t="s">
        <v>40</v>
      </c>
      <c r="P1298" s="2" t="s">
        <v>4</v>
      </c>
      <c r="Q1298" s="2">
        <f>INDEX(Tables!$C$4:$C$28,MATCH($P1298,Tables!$B$4:$B$28,0))</f>
        <v>32</v>
      </c>
      <c r="R1298" s="2">
        <f>INDEX(Tables!$D$4:$D$28,MATCH($P1298,Tables!$B$4:$B$28,0))</f>
        <v>4</v>
      </c>
      <c r="S1298" s="2">
        <f>$S1297+$R1297+INDEX(Tables!$N$5:$Q$8,MATCH(MOD($S1297+$R1297,4),Tables!$M$5:$M$8,0),MATCH($R1298,Tables!$N$4:$Q$4,0))</f>
        <v>5008</v>
      </c>
      <c r="T1298" s="2" t="str">
        <f t="shared" si="318"/>
        <v>1390</v>
      </c>
      <c r="U1298" s="2">
        <f t="shared" si="324"/>
        <v>1252</v>
      </c>
      <c r="V1298" s="2" t="str">
        <f t="shared" si="319"/>
        <v>4E4</v>
      </c>
      <c r="W1298" s="2" t="str">
        <f t="shared" si="320"/>
        <v/>
      </c>
      <c r="X1298" s="2" t="str">
        <f t="shared" si="323"/>
        <v/>
      </c>
      <c r="Y1298" s="2" t="str">
        <f t="shared" si="321"/>
        <v/>
      </c>
      <c r="Z1298" s="2" t="str">
        <f t="shared" si="322"/>
        <v>X</v>
      </c>
      <c r="AA1298" s="2" t="str">
        <f t="shared" si="325"/>
        <v/>
      </c>
      <c r="AB1298" s="2" t="str">
        <f t="shared" si="326"/>
        <v/>
      </c>
      <c r="AC1298" s="2" t="str">
        <f t="shared" si="327"/>
        <v/>
      </c>
      <c r="AD1298" s="2" t="str">
        <f t="shared" si="328"/>
        <v>(0)</v>
      </c>
      <c r="AE1298" s="2" t="str">
        <f t="shared" si="329"/>
        <v/>
      </c>
      <c r="AF1298" s="2" t="str">
        <f t="shared" si="330"/>
        <v/>
      </c>
      <c r="AG1298" s="2" t="str">
        <f t="shared" si="331"/>
        <v/>
      </c>
      <c r="AH1298" s="2" t="str">
        <f t="shared" si="332"/>
        <v/>
      </c>
    </row>
    <row r="1299" spans="2:34" x14ac:dyDescent="0.25">
      <c r="B1299" s="2" t="s">
        <v>3654</v>
      </c>
      <c r="C1299" s="2" t="s">
        <v>3626</v>
      </c>
      <c r="D1299" s="2" t="s">
        <v>0</v>
      </c>
      <c r="E1299" s="2" t="s">
        <v>130</v>
      </c>
      <c r="F1299" s="2" t="s">
        <v>3655</v>
      </c>
      <c r="G1299" s="2" t="s">
        <v>3656</v>
      </c>
      <c r="H1299" s="2" t="s">
        <v>3627</v>
      </c>
      <c r="I1299" s="2" t="s">
        <v>41</v>
      </c>
      <c r="J1299" s="2">
        <v>1</v>
      </c>
      <c r="K1299" s="2" t="s">
        <v>81</v>
      </c>
      <c r="L1299" s="2" t="s">
        <v>40</v>
      </c>
      <c r="P1299" s="2" t="s">
        <v>4</v>
      </c>
      <c r="Q1299" s="2">
        <f>INDEX(Tables!$C$4:$C$28,MATCH($P1299,Tables!$B$4:$B$28,0))</f>
        <v>32</v>
      </c>
      <c r="R1299" s="2">
        <f>INDEX(Tables!$D$4:$D$28,MATCH($P1299,Tables!$B$4:$B$28,0))</f>
        <v>4</v>
      </c>
      <c r="S1299" s="2">
        <f>$S1298+$R1298+INDEX(Tables!$N$5:$Q$8,MATCH(MOD($S1298+$R1298,4),Tables!$M$5:$M$8,0),MATCH($R1299,Tables!$N$4:$Q$4,0))</f>
        <v>5012</v>
      </c>
      <c r="T1299" s="2" t="str">
        <f t="shared" si="318"/>
        <v>1394</v>
      </c>
      <c r="U1299" s="2">
        <f t="shared" si="324"/>
        <v>1253</v>
      </c>
      <c r="V1299" s="2" t="str">
        <f t="shared" si="319"/>
        <v>4E5</v>
      </c>
      <c r="W1299" s="2" t="str">
        <f t="shared" si="320"/>
        <v/>
      </c>
      <c r="X1299" s="2" t="str">
        <f t="shared" si="323"/>
        <v/>
      </c>
      <c r="Y1299" s="2" t="str">
        <f t="shared" si="321"/>
        <v/>
      </c>
      <c r="Z1299" s="2" t="str">
        <f t="shared" si="322"/>
        <v>X</v>
      </c>
      <c r="AA1299" s="2" t="str">
        <f t="shared" si="325"/>
        <v/>
      </c>
      <c r="AB1299" s="2" t="str">
        <f t="shared" si="326"/>
        <v/>
      </c>
      <c r="AC1299" s="2" t="str">
        <f t="shared" si="327"/>
        <v/>
      </c>
      <c r="AD1299" s="2" t="str">
        <f t="shared" si="328"/>
        <v>(0)</v>
      </c>
      <c r="AE1299" s="2" t="str">
        <f t="shared" si="329"/>
        <v/>
      </c>
      <c r="AF1299" s="2" t="str">
        <f t="shared" si="330"/>
        <v/>
      </c>
      <c r="AG1299" s="2" t="str">
        <f t="shared" si="331"/>
        <v/>
      </c>
      <c r="AH1299" s="2" t="str">
        <f t="shared" si="332"/>
        <v/>
      </c>
    </row>
    <row r="1300" spans="2:34" x14ac:dyDescent="0.25">
      <c r="B1300" s="2" t="s">
        <v>3654</v>
      </c>
      <c r="C1300" s="2" t="s">
        <v>3628</v>
      </c>
      <c r="D1300" s="2" t="s">
        <v>0</v>
      </c>
      <c r="E1300" s="2" t="s">
        <v>130</v>
      </c>
      <c r="F1300" s="2" t="s">
        <v>3655</v>
      </c>
      <c r="G1300" s="2" t="s">
        <v>3656</v>
      </c>
      <c r="H1300" s="2" t="s">
        <v>3629</v>
      </c>
      <c r="I1300" s="2" t="s">
        <v>41</v>
      </c>
      <c r="J1300" s="2">
        <v>1</v>
      </c>
      <c r="K1300" s="2" t="s">
        <v>81</v>
      </c>
      <c r="L1300" s="2" t="s">
        <v>40</v>
      </c>
      <c r="P1300" s="2" t="s">
        <v>4</v>
      </c>
      <c r="Q1300" s="2">
        <f>INDEX(Tables!$C$4:$C$28,MATCH($P1300,Tables!$B$4:$B$28,0))</f>
        <v>32</v>
      </c>
      <c r="R1300" s="2">
        <f>INDEX(Tables!$D$4:$D$28,MATCH($P1300,Tables!$B$4:$B$28,0))</f>
        <v>4</v>
      </c>
      <c r="S1300" s="2">
        <f>$S1299+$R1299+INDEX(Tables!$N$5:$Q$8,MATCH(MOD($S1299+$R1299,4),Tables!$M$5:$M$8,0),MATCH($R1300,Tables!$N$4:$Q$4,0))</f>
        <v>5016</v>
      </c>
      <c r="T1300" s="2" t="str">
        <f t="shared" si="318"/>
        <v>1398</v>
      </c>
      <c r="U1300" s="2">
        <f t="shared" si="324"/>
        <v>1254</v>
      </c>
      <c r="V1300" s="2" t="str">
        <f t="shared" si="319"/>
        <v>4E6</v>
      </c>
      <c r="W1300" s="2" t="str">
        <f t="shared" si="320"/>
        <v/>
      </c>
      <c r="X1300" s="2" t="str">
        <f t="shared" si="323"/>
        <v/>
      </c>
      <c r="Y1300" s="2" t="str">
        <f t="shared" si="321"/>
        <v/>
      </c>
      <c r="Z1300" s="2" t="str">
        <f t="shared" si="322"/>
        <v>X</v>
      </c>
      <c r="AA1300" s="2" t="str">
        <f t="shared" si="325"/>
        <v/>
      </c>
      <c r="AB1300" s="2" t="str">
        <f t="shared" si="326"/>
        <v/>
      </c>
      <c r="AC1300" s="2" t="str">
        <f t="shared" si="327"/>
        <v/>
      </c>
      <c r="AD1300" s="2" t="str">
        <f t="shared" si="328"/>
        <v>(0)</v>
      </c>
      <c r="AE1300" s="2" t="str">
        <f t="shared" si="329"/>
        <v/>
      </c>
      <c r="AF1300" s="2" t="str">
        <f t="shared" si="330"/>
        <v/>
      </c>
      <c r="AG1300" s="2" t="str">
        <f t="shared" si="331"/>
        <v/>
      </c>
      <c r="AH1300" s="2" t="str">
        <f t="shared" si="332"/>
        <v/>
      </c>
    </row>
    <row r="1301" spans="2:34" x14ac:dyDescent="0.25">
      <c r="B1301" s="2" t="s">
        <v>3654</v>
      </c>
      <c r="C1301" s="2" t="s">
        <v>3630</v>
      </c>
      <c r="D1301" s="2" t="s">
        <v>0</v>
      </c>
      <c r="E1301" s="2" t="s">
        <v>130</v>
      </c>
      <c r="F1301" s="2" t="s">
        <v>3655</v>
      </c>
      <c r="G1301" s="2" t="s">
        <v>3656</v>
      </c>
      <c r="H1301" s="2" t="s">
        <v>3631</v>
      </c>
      <c r="I1301" s="2" t="s">
        <v>41</v>
      </c>
      <c r="J1301" s="2">
        <v>5</v>
      </c>
      <c r="K1301" s="2" t="s">
        <v>132</v>
      </c>
      <c r="L1301" s="2" t="s">
        <v>40</v>
      </c>
      <c r="P1301" s="2" t="s">
        <v>47</v>
      </c>
      <c r="Q1301" s="2">
        <f>INDEX(Tables!$C$4:$C$28,MATCH($P1301,Tables!$B$4:$B$28,0))</f>
        <v>8</v>
      </c>
      <c r="R1301" s="2">
        <f>INDEX(Tables!$D$4:$D$28,MATCH($P1301,Tables!$B$4:$B$28,0))</f>
        <v>1</v>
      </c>
      <c r="S1301" s="2">
        <f>$S1300+$R1300+INDEX(Tables!$N$5:$Q$8,MATCH(MOD($S1300+$R1300,4),Tables!$M$5:$M$8,0),MATCH($R1301,Tables!$N$4:$Q$4,0))</f>
        <v>5020</v>
      </c>
      <c r="T1301" s="2" t="str">
        <f t="shared" si="318"/>
        <v>139C</v>
      </c>
      <c r="U1301" s="2">
        <f t="shared" si="324"/>
        <v>1255</v>
      </c>
      <c r="V1301" s="2" t="str">
        <f t="shared" si="319"/>
        <v>4E7</v>
      </c>
      <c r="W1301" s="2" t="str">
        <f t="shared" si="320"/>
        <v/>
      </c>
      <c r="X1301" s="2" t="str">
        <f t="shared" si="323"/>
        <v/>
      </c>
      <c r="Y1301" s="2" t="str">
        <f t="shared" si="321"/>
        <v/>
      </c>
      <c r="Z1301" s="2" t="str">
        <f t="shared" si="322"/>
        <v>X</v>
      </c>
      <c r="AA1301" s="2" t="str">
        <f t="shared" si="325"/>
        <v/>
      </c>
      <c r="AB1301" s="2" t="str">
        <f t="shared" si="326"/>
        <v/>
      </c>
      <c r="AC1301" s="2" t="str">
        <f t="shared" si="327"/>
        <v/>
      </c>
      <c r="AD1301" s="2" t="str">
        <f t="shared" si="328"/>
        <v>(4 downto 0)</v>
      </c>
      <c r="AE1301" s="2" t="str">
        <f t="shared" si="329"/>
        <v/>
      </c>
      <c r="AF1301" s="2" t="str">
        <f t="shared" si="330"/>
        <v/>
      </c>
      <c r="AG1301" s="2" t="str">
        <f t="shared" si="331"/>
        <v/>
      </c>
      <c r="AH1301" s="2" t="str">
        <f t="shared" si="332"/>
        <v/>
      </c>
    </row>
    <row r="1302" spans="2:34" x14ac:dyDescent="0.25">
      <c r="B1302" s="2" t="s">
        <v>3654</v>
      </c>
      <c r="C1302" s="2" t="s">
        <v>3657</v>
      </c>
      <c r="D1302" s="2" t="s">
        <v>0</v>
      </c>
      <c r="E1302" s="2" t="s">
        <v>130</v>
      </c>
      <c r="F1302" s="2" t="s">
        <v>3655</v>
      </c>
      <c r="G1302" s="2" t="s">
        <v>3656</v>
      </c>
      <c r="H1302" s="2" t="s">
        <v>3658</v>
      </c>
      <c r="I1302" s="2" t="s">
        <v>41</v>
      </c>
      <c r="J1302" s="2">
        <v>24</v>
      </c>
      <c r="K1302" s="2" t="s">
        <v>132</v>
      </c>
      <c r="L1302" s="2" t="s">
        <v>40</v>
      </c>
      <c r="P1302" s="2" t="s">
        <v>48</v>
      </c>
      <c r="Q1302" s="2">
        <f>INDEX(Tables!$C$4:$C$28,MATCH($P1302,Tables!$B$4:$B$28,0))</f>
        <v>32</v>
      </c>
      <c r="R1302" s="2">
        <f>INDEX(Tables!$D$4:$D$28,MATCH($P1302,Tables!$B$4:$B$28,0))</f>
        <v>4</v>
      </c>
      <c r="S1302" s="2">
        <f>$S1301+$R1301+INDEX(Tables!$N$5:$Q$8,MATCH(MOD($S1301+$R1301,4),Tables!$M$5:$M$8,0),MATCH($R1302,Tables!$N$4:$Q$4,0))</f>
        <v>5024</v>
      </c>
      <c r="T1302" s="2" t="str">
        <f t="shared" si="318"/>
        <v>13A0</v>
      </c>
      <c r="U1302" s="2">
        <f t="shared" si="324"/>
        <v>1256</v>
      </c>
      <c r="V1302" s="2" t="str">
        <f t="shared" si="319"/>
        <v>4E8</v>
      </c>
      <c r="W1302" s="2" t="str">
        <f t="shared" si="320"/>
        <v/>
      </c>
      <c r="X1302" s="2" t="str">
        <f t="shared" si="323"/>
        <v>X</v>
      </c>
      <c r="Y1302" s="2" t="str">
        <f t="shared" si="321"/>
        <v>X</v>
      </c>
      <c r="Z1302" s="2" t="str">
        <f t="shared" si="322"/>
        <v>X</v>
      </c>
      <c r="AA1302" s="2" t="str">
        <f t="shared" si="325"/>
        <v/>
      </c>
      <c r="AB1302" s="2" t="str">
        <f t="shared" si="326"/>
        <v>(23 downto 16)</v>
      </c>
      <c r="AC1302" s="2" t="str">
        <f t="shared" si="327"/>
        <v>(15 downto 8)</v>
      </c>
      <c r="AD1302" s="2" t="str">
        <f t="shared" si="328"/>
        <v>(7 downto 0)</v>
      </c>
      <c r="AE1302" s="2" t="str">
        <f t="shared" si="329"/>
        <v/>
      </c>
      <c r="AF1302" s="2" t="str">
        <f t="shared" si="330"/>
        <v>(23 downto 16)</v>
      </c>
      <c r="AG1302" s="2" t="str">
        <f t="shared" si="331"/>
        <v>(15 downto 8)</v>
      </c>
      <c r="AH1302" s="2" t="str">
        <f t="shared" si="332"/>
        <v>(7 downto 0)</v>
      </c>
    </row>
    <row r="1303" spans="2:34" x14ac:dyDescent="0.25">
      <c r="B1303" s="2" t="s">
        <v>3659</v>
      </c>
      <c r="C1303" s="2" t="s">
        <v>3623</v>
      </c>
      <c r="D1303" s="2" t="s">
        <v>0</v>
      </c>
      <c r="E1303" s="2" t="s">
        <v>130</v>
      </c>
      <c r="F1303" s="2" t="s">
        <v>3660</v>
      </c>
      <c r="G1303" s="2" t="s">
        <v>3661</v>
      </c>
      <c r="H1303" s="2" t="s">
        <v>23408</v>
      </c>
      <c r="I1303" s="2" t="s">
        <v>41</v>
      </c>
      <c r="J1303" s="2">
        <v>1</v>
      </c>
      <c r="K1303" s="2" t="s">
        <v>81</v>
      </c>
      <c r="L1303" s="2" t="s">
        <v>40</v>
      </c>
      <c r="P1303" s="2" t="s">
        <v>4</v>
      </c>
      <c r="Q1303" s="2">
        <f>INDEX(Tables!$C$4:$C$28,MATCH($P1303,Tables!$B$4:$B$28,0))</f>
        <v>32</v>
      </c>
      <c r="R1303" s="2">
        <f>INDEX(Tables!$D$4:$D$28,MATCH($P1303,Tables!$B$4:$B$28,0))</f>
        <v>4</v>
      </c>
      <c r="S1303" s="2">
        <f>$S1302+$R1302+INDEX(Tables!$N$5:$Q$8,MATCH(MOD($S1302+$R1302,4),Tables!$M$5:$M$8,0),MATCH($R1303,Tables!$N$4:$Q$4,0))</f>
        <v>5028</v>
      </c>
      <c r="T1303" s="2" t="str">
        <f t="shared" si="318"/>
        <v>13A4</v>
      </c>
      <c r="U1303" s="2">
        <f t="shared" si="324"/>
        <v>1257</v>
      </c>
      <c r="V1303" s="2" t="str">
        <f t="shared" si="319"/>
        <v>4E9</v>
      </c>
      <c r="W1303" s="2" t="str">
        <f t="shared" si="320"/>
        <v/>
      </c>
      <c r="X1303" s="2" t="str">
        <f t="shared" si="323"/>
        <v/>
      </c>
      <c r="Y1303" s="2" t="str">
        <f t="shared" si="321"/>
        <v/>
      </c>
      <c r="Z1303" s="2" t="str">
        <f t="shared" si="322"/>
        <v>X</v>
      </c>
      <c r="AA1303" s="2" t="str">
        <f t="shared" si="325"/>
        <v/>
      </c>
      <c r="AB1303" s="2" t="str">
        <f t="shared" si="326"/>
        <v/>
      </c>
      <c r="AC1303" s="2" t="str">
        <f t="shared" si="327"/>
        <v/>
      </c>
      <c r="AD1303" s="2" t="str">
        <f t="shared" si="328"/>
        <v>(0)</v>
      </c>
      <c r="AE1303" s="2" t="str">
        <f t="shared" si="329"/>
        <v/>
      </c>
      <c r="AF1303" s="2" t="str">
        <f t="shared" si="330"/>
        <v/>
      </c>
      <c r="AG1303" s="2" t="str">
        <f t="shared" si="331"/>
        <v/>
      </c>
      <c r="AH1303" s="2" t="str">
        <f t="shared" si="332"/>
        <v/>
      </c>
    </row>
    <row r="1304" spans="2:34" x14ac:dyDescent="0.25">
      <c r="B1304" s="2" t="s">
        <v>3659</v>
      </c>
      <c r="C1304" s="2" t="s">
        <v>3626</v>
      </c>
      <c r="D1304" s="2" t="s">
        <v>0</v>
      </c>
      <c r="E1304" s="2" t="s">
        <v>130</v>
      </c>
      <c r="F1304" s="2" t="s">
        <v>3660</v>
      </c>
      <c r="G1304" s="2" t="s">
        <v>3661</v>
      </c>
      <c r="H1304" s="2" t="s">
        <v>3627</v>
      </c>
      <c r="I1304" s="2" t="s">
        <v>41</v>
      </c>
      <c r="J1304" s="2">
        <v>1</v>
      </c>
      <c r="K1304" s="2" t="s">
        <v>81</v>
      </c>
      <c r="L1304" s="2" t="s">
        <v>40</v>
      </c>
      <c r="P1304" s="2" t="s">
        <v>4</v>
      </c>
      <c r="Q1304" s="2">
        <f>INDEX(Tables!$C$4:$C$28,MATCH($P1304,Tables!$B$4:$B$28,0))</f>
        <v>32</v>
      </c>
      <c r="R1304" s="2">
        <f>INDEX(Tables!$D$4:$D$28,MATCH($P1304,Tables!$B$4:$B$28,0))</f>
        <v>4</v>
      </c>
      <c r="S1304" s="2">
        <f>$S1303+$R1303+INDEX(Tables!$N$5:$Q$8,MATCH(MOD($S1303+$R1303,4),Tables!$M$5:$M$8,0),MATCH($R1304,Tables!$N$4:$Q$4,0))</f>
        <v>5032</v>
      </c>
      <c r="T1304" s="2" t="str">
        <f t="shared" si="318"/>
        <v>13A8</v>
      </c>
      <c r="U1304" s="2">
        <f t="shared" si="324"/>
        <v>1258</v>
      </c>
      <c r="V1304" s="2" t="str">
        <f t="shared" si="319"/>
        <v>4EA</v>
      </c>
      <c r="W1304" s="2" t="str">
        <f t="shared" si="320"/>
        <v/>
      </c>
      <c r="X1304" s="2" t="str">
        <f t="shared" si="323"/>
        <v/>
      </c>
      <c r="Y1304" s="2" t="str">
        <f t="shared" si="321"/>
        <v/>
      </c>
      <c r="Z1304" s="2" t="str">
        <f t="shared" si="322"/>
        <v>X</v>
      </c>
      <c r="AA1304" s="2" t="str">
        <f t="shared" si="325"/>
        <v/>
      </c>
      <c r="AB1304" s="2" t="str">
        <f t="shared" si="326"/>
        <v/>
      </c>
      <c r="AC1304" s="2" t="str">
        <f t="shared" si="327"/>
        <v/>
      </c>
      <c r="AD1304" s="2" t="str">
        <f t="shared" si="328"/>
        <v>(0)</v>
      </c>
      <c r="AE1304" s="2" t="str">
        <f t="shared" si="329"/>
        <v/>
      </c>
      <c r="AF1304" s="2" t="str">
        <f t="shared" si="330"/>
        <v/>
      </c>
      <c r="AG1304" s="2" t="str">
        <f t="shared" si="331"/>
        <v/>
      </c>
      <c r="AH1304" s="2" t="str">
        <f t="shared" si="332"/>
        <v/>
      </c>
    </row>
    <row r="1305" spans="2:34" x14ac:dyDescent="0.25">
      <c r="B1305" s="2" t="s">
        <v>3659</v>
      </c>
      <c r="C1305" s="2" t="s">
        <v>3628</v>
      </c>
      <c r="D1305" s="2" t="s">
        <v>0</v>
      </c>
      <c r="E1305" s="2" t="s">
        <v>130</v>
      </c>
      <c r="F1305" s="2" t="s">
        <v>3660</v>
      </c>
      <c r="G1305" s="2" t="s">
        <v>3661</v>
      </c>
      <c r="H1305" s="2" t="s">
        <v>3629</v>
      </c>
      <c r="I1305" s="2" t="s">
        <v>41</v>
      </c>
      <c r="J1305" s="2">
        <v>1</v>
      </c>
      <c r="K1305" s="2" t="s">
        <v>81</v>
      </c>
      <c r="L1305" s="2" t="s">
        <v>40</v>
      </c>
      <c r="P1305" s="2" t="s">
        <v>4</v>
      </c>
      <c r="Q1305" s="2">
        <f>INDEX(Tables!$C$4:$C$28,MATCH($P1305,Tables!$B$4:$B$28,0))</f>
        <v>32</v>
      </c>
      <c r="R1305" s="2">
        <f>INDEX(Tables!$D$4:$D$28,MATCH($P1305,Tables!$B$4:$B$28,0))</f>
        <v>4</v>
      </c>
      <c r="S1305" s="2">
        <f>$S1304+$R1304+INDEX(Tables!$N$5:$Q$8,MATCH(MOD($S1304+$R1304,4),Tables!$M$5:$M$8,0),MATCH($R1305,Tables!$N$4:$Q$4,0))</f>
        <v>5036</v>
      </c>
      <c r="T1305" s="2" t="str">
        <f t="shared" si="318"/>
        <v>13AC</v>
      </c>
      <c r="U1305" s="2">
        <f t="shared" si="324"/>
        <v>1259</v>
      </c>
      <c r="V1305" s="2" t="str">
        <f t="shared" si="319"/>
        <v>4EB</v>
      </c>
      <c r="W1305" s="2" t="str">
        <f t="shared" si="320"/>
        <v/>
      </c>
      <c r="X1305" s="2" t="str">
        <f t="shared" si="323"/>
        <v/>
      </c>
      <c r="Y1305" s="2" t="str">
        <f t="shared" si="321"/>
        <v/>
      </c>
      <c r="Z1305" s="2" t="str">
        <f t="shared" si="322"/>
        <v>X</v>
      </c>
      <c r="AA1305" s="2" t="str">
        <f t="shared" si="325"/>
        <v/>
      </c>
      <c r="AB1305" s="2" t="str">
        <f t="shared" si="326"/>
        <v/>
      </c>
      <c r="AC1305" s="2" t="str">
        <f t="shared" si="327"/>
        <v/>
      </c>
      <c r="AD1305" s="2" t="str">
        <f t="shared" si="328"/>
        <v>(0)</v>
      </c>
      <c r="AE1305" s="2" t="str">
        <f t="shared" si="329"/>
        <v/>
      </c>
      <c r="AF1305" s="2" t="str">
        <f t="shared" si="330"/>
        <v/>
      </c>
      <c r="AG1305" s="2" t="str">
        <f t="shared" si="331"/>
        <v/>
      </c>
      <c r="AH1305" s="2" t="str">
        <f t="shared" si="332"/>
        <v/>
      </c>
    </row>
    <row r="1306" spans="2:34" x14ac:dyDescent="0.25">
      <c r="B1306" s="2" t="s">
        <v>3659</v>
      </c>
      <c r="C1306" s="2" t="s">
        <v>3630</v>
      </c>
      <c r="D1306" s="2" t="s">
        <v>0</v>
      </c>
      <c r="E1306" s="2" t="s">
        <v>130</v>
      </c>
      <c r="F1306" s="2" t="s">
        <v>3660</v>
      </c>
      <c r="G1306" s="2" t="s">
        <v>3661</v>
      </c>
      <c r="H1306" s="2" t="s">
        <v>3631</v>
      </c>
      <c r="I1306" s="2" t="s">
        <v>41</v>
      </c>
      <c r="J1306" s="2">
        <v>5</v>
      </c>
      <c r="K1306" s="2" t="s">
        <v>132</v>
      </c>
      <c r="L1306" s="2" t="s">
        <v>40</v>
      </c>
      <c r="P1306" s="2" t="s">
        <v>47</v>
      </c>
      <c r="Q1306" s="2">
        <f>INDEX(Tables!$C$4:$C$28,MATCH($P1306,Tables!$B$4:$B$28,0))</f>
        <v>8</v>
      </c>
      <c r="R1306" s="2">
        <f>INDEX(Tables!$D$4:$D$28,MATCH($P1306,Tables!$B$4:$B$28,0))</f>
        <v>1</v>
      </c>
      <c r="S1306" s="2">
        <f>$S1305+$R1305+INDEX(Tables!$N$5:$Q$8,MATCH(MOD($S1305+$R1305,4),Tables!$M$5:$M$8,0),MATCH($R1306,Tables!$N$4:$Q$4,0))</f>
        <v>5040</v>
      </c>
      <c r="T1306" s="2" t="str">
        <f t="shared" si="318"/>
        <v>13B0</v>
      </c>
      <c r="U1306" s="2">
        <f t="shared" si="324"/>
        <v>1260</v>
      </c>
      <c r="V1306" s="2" t="str">
        <f t="shared" si="319"/>
        <v>4EC</v>
      </c>
      <c r="W1306" s="2" t="str">
        <f t="shared" si="320"/>
        <v/>
      </c>
      <c r="X1306" s="2" t="str">
        <f t="shared" si="323"/>
        <v/>
      </c>
      <c r="Y1306" s="2" t="str">
        <f t="shared" si="321"/>
        <v/>
      </c>
      <c r="Z1306" s="2" t="str">
        <f t="shared" si="322"/>
        <v>X</v>
      </c>
      <c r="AA1306" s="2" t="str">
        <f t="shared" si="325"/>
        <v/>
      </c>
      <c r="AB1306" s="2" t="str">
        <f t="shared" si="326"/>
        <v/>
      </c>
      <c r="AC1306" s="2" t="str">
        <f t="shared" si="327"/>
        <v/>
      </c>
      <c r="AD1306" s="2" t="str">
        <f t="shared" si="328"/>
        <v>(4 downto 0)</v>
      </c>
      <c r="AE1306" s="2" t="str">
        <f t="shared" si="329"/>
        <v/>
      </c>
      <c r="AF1306" s="2" t="str">
        <f t="shared" si="330"/>
        <v/>
      </c>
      <c r="AG1306" s="2" t="str">
        <f t="shared" si="331"/>
        <v/>
      </c>
      <c r="AH1306" s="2" t="str">
        <f t="shared" si="332"/>
        <v/>
      </c>
    </row>
    <row r="1307" spans="2:34" x14ac:dyDescent="0.25">
      <c r="B1307" s="2" t="s">
        <v>3659</v>
      </c>
      <c r="C1307" s="2" t="s">
        <v>3662</v>
      </c>
      <c r="D1307" s="2" t="s">
        <v>0</v>
      </c>
      <c r="E1307" s="2" t="s">
        <v>130</v>
      </c>
      <c r="F1307" s="2" t="s">
        <v>3660</v>
      </c>
      <c r="G1307" s="2" t="s">
        <v>3661</v>
      </c>
      <c r="H1307" s="2" t="s">
        <v>3663</v>
      </c>
      <c r="I1307" s="2" t="s">
        <v>41</v>
      </c>
      <c r="J1307" s="2">
        <v>24</v>
      </c>
      <c r="K1307" s="2" t="s">
        <v>132</v>
      </c>
      <c r="L1307" s="2" t="s">
        <v>40</v>
      </c>
      <c r="P1307" s="2" t="s">
        <v>48</v>
      </c>
      <c r="Q1307" s="2">
        <f>INDEX(Tables!$C$4:$C$28,MATCH($P1307,Tables!$B$4:$B$28,0))</f>
        <v>32</v>
      </c>
      <c r="R1307" s="2">
        <f>INDEX(Tables!$D$4:$D$28,MATCH($P1307,Tables!$B$4:$B$28,0))</f>
        <v>4</v>
      </c>
      <c r="S1307" s="2">
        <f>$S1306+$R1306+INDEX(Tables!$N$5:$Q$8,MATCH(MOD($S1306+$R1306,4),Tables!$M$5:$M$8,0),MATCH($R1307,Tables!$N$4:$Q$4,0))</f>
        <v>5044</v>
      </c>
      <c r="T1307" s="2" t="str">
        <f t="shared" si="318"/>
        <v>13B4</v>
      </c>
      <c r="U1307" s="2">
        <f t="shared" si="324"/>
        <v>1261</v>
      </c>
      <c r="V1307" s="2" t="str">
        <f t="shared" si="319"/>
        <v>4ED</v>
      </c>
      <c r="W1307" s="2" t="str">
        <f t="shared" si="320"/>
        <v/>
      </c>
      <c r="X1307" s="2" t="str">
        <f t="shared" si="323"/>
        <v>X</v>
      </c>
      <c r="Y1307" s="2" t="str">
        <f t="shared" si="321"/>
        <v>X</v>
      </c>
      <c r="Z1307" s="2" t="str">
        <f t="shared" si="322"/>
        <v>X</v>
      </c>
      <c r="AA1307" s="2" t="str">
        <f t="shared" si="325"/>
        <v/>
      </c>
      <c r="AB1307" s="2" t="str">
        <f t="shared" si="326"/>
        <v>(23 downto 16)</v>
      </c>
      <c r="AC1307" s="2" t="str">
        <f t="shared" si="327"/>
        <v>(15 downto 8)</v>
      </c>
      <c r="AD1307" s="2" t="str">
        <f t="shared" si="328"/>
        <v>(7 downto 0)</v>
      </c>
      <c r="AE1307" s="2" t="str">
        <f t="shared" si="329"/>
        <v/>
      </c>
      <c r="AF1307" s="2" t="str">
        <f t="shared" si="330"/>
        <v>(23 downto 16)</v>
      </c>
      <c r="AG1307" s="2" t="str">
        <f t="shared" si="331"/>
        <v>(15 downto 8)</v>
      </c>
      <c r="AH1307" s="2" t="str">
        <f t="shared" si="332"/>
        <v>(7 downto 0)</v>
      </c>
    </row>
    <row r="1308" spans="2:34" x14ac:dyDescent="0.25">
      <c r="B1308" s="2" t="s">
        <v>3664</v>
      </c>
      <c r="C1308" s="2" t="s">
        <v>3623</v>
      </c>
      <c r="D1308" s="2" t="s">
        <v>0</v>
      </c>
      <c r="E1308" s="2" t="s">
        <v>130</v>
      </c>
      <c r="F1308" s="2" t="s">
        <v>3665</v>
      </c>
      <c r="G1308" s="2" t="s">
        <v>3666</v>
      </c>
      <c r="H1308" s="2" t="s">
        <v>23408</v>
      </c>
      <c r="I1308" s="2" t="s">
        <v>41</v>
      </c>
      <c r="J1308" s="2">
        <v>1</v>
      </c>
      <c r="K1308" s="2" t="s">
        <v>81</v>
      </c>
      <c r="L1308" s="2" t="s">
        <v>40</v>
      </c>
      <c r="P1308" s="2" t="s">
        <v>4</v>
      </c>
      <c r="Q1308" s="2">
        <f>INDEX(Tables!$C$4:$C$28,MATCH($P1308,Tables!$B$4:$B$28,0))</f>
        <v>32</v>
      </c>
      <c r="R1308" s="2">
        <f>INDEX(Tables!$D$4:$D$28,MATCH($P1308,Tables!$B$4:$B$28,0))</f>
        <v>4</v>
      </c>
      <c r="S1308" s="2">
        <f>$S1307+$R1307+INDEX(Tables!$N$5:$Q$8,MATCH(MOD($S1307+$R1307,4),Tables!$M$5:$M$8,0),MATCH($R1308,Tables!$N$4:$Q$4,0))</f>
        <v>5048</v>
      </c>
      <c r="T1308" s="2" t="str">
        <f t="shared" si="318"/>
        <v>13B8</v>
      </c>
      <c r="U1308" s="2">
        <f t="shared" si="324"/>
        <v>1262</v>
      </c>
      <c r="V1308" s="2" t="str">
        <f t="shared" si="319"/>
        <v>4EE</v>
      </c>
      <c r="W1308" s="2" t="str">
        <f t="shared" si="320"/>
        <v/>
      </c>
      <c r="X1308" s="2" t="str">
        <f t="shared" si="323"/>
        <v/>
      </c>
      <c r="Y1308" s="2" t="str">
        <f t="shared" si="321"/>
        <v/>
      </c>
      <c r="Z1308" s="2" t="str">
        <f t="shared" si="322"/>
        <v>X</v>
      </c>
      <c r="AA1308" s="2" t="str">
        <f t="shared" si="325"/>
        <v/>
      </c>
      <c r="AB1308" s="2" t="str">
        <f t="shared" si="326"/>
        <v/>
      </c>
      <c r="AC1308" s="2" t="str">
        <f t="shared" si="327"/>
        <v/>
      </c>
      <c r="AD1308" s="2" t="str">
        <f t="shared" si="328"/>
        <v>(0)</v>
      </c>
      <c r="AE1308" s="2" t="str">
        <f t="shared" si="329"/>
        <v/>
      </c>
      <c r="AF1308" s="2" t="str">
        <f t="shared" si="330"/>
        <v/>
      </c>
      <c r="AG1308" s="2" t="str">
        <f t="shared" si="331"/>
        <v/>
      </c>
      <c r="AH1308" s="2" t="str">
        <f t="shared" si="332"/>
        <v/>
      </c>
    </row>
    <row r="1309" spans="2:34" x14ac:dyDescent="0.25">
      <c r="B1309" s="2" t="s">
        <v>3664</v>
      </c>
      <c r="C1309" s="2" t="s">
        <v>3626</v>
      </c>
      <c r="D1309" s="2" t="s">
        <v>0</v>
      </c>
      <c r="E1309" s="2" t="s">
        <v>130</v>
      </c>
      <c r="F1309" s="2" t="s">
        <v>3665</v>
      </c>
      <c r="G1309" s="2" t="s">
        <v>3666</v>
      </c>
      <c r="H1309" s="2" t="s">
        <v>3627</v>
      </c>
      <c r="I1309" s="2" t="s">
        <v>41</v>
      </c>
      <c r="J1309" s="2">
        <v>1</v>
      </c>
      <c r="K1309" s="2" t="s">
        <v>81</v>
      </c>
      <c r="L1309" s="2" t="s">
        <v>40</v>
      </c>
      <c r="P1309" s="2" t="s">
        <v>4</v>
      </c>
      <c r="Q1309" s="2">
        <f>INDEX(Tables!$C$4:$C$28,MATCH($P1309,Tables!$B$4:$B$28,0))</f>
        <v>32</v>
      </c>
      <c r="R1309" s="2">
        <f>INDEX(Tables!$D$4:$D$28,MATCH($P1309,Tables!$B$4:$B$28,0))</f>
        <v>4</v>
      </c>
      <c r="S1309" s="2">
        <f>$S1308+$R1308+INDEX(Tables!$N$5:$Q$8,MATCH(MOD($S1308+$R1308,4),Tables!$M$5:$M$8,0),MATCH($R1309,Tables!$N$4:$Q$4,0))</f>
        <v>5052</v>
      </c>
      <c r="T1309" s="2" t="str">
        <f t="shared" si="318"/>
        <v>13BC</v>
      </c>
      <c r="U1309" s="2">
        <f t="shared" si="324"/>
        <v>1263</v>
      </c>
      <c r="V1309" s="2" t="str">
        <f t="shared" si="319"/>
        <v>4EF</v>
      </c>
      <c r="W1309" s="2" t="str">
        <f t="shared" si="320"/>
        <v/>
      </c>
      <c r="X1309" s="2" t="str">
        <f t="shared" si="323"/>
        <v/>
      </c>
      <c r="Y1309" s="2" t="str">
        <f t="shared" si="321"/>
        <v/>
      </c>
      <c r="Z1309" s="2" t="str">
        <f t="shared" si="322"/>
        <v>X</v>
      </c>
      <c r="AA1309" s="2" t="str">
        <f t="shared" si="325"/>
        <v/>
      </c>
      <c r="AB1309" s="2" t="str">
        <f t="shared" si="326"/>
        <v/>
      </c>
      <c r="AC1309" s="2" t="str">
        <f t="shared" si="327"/>
        <v/>
      </c>
      <c r="AD1309" s="2" t="str">
        <f t="shared" si="328"/>
        <v>(0)</v>
      </c>
      <c r="AE1309" s="2" t="str">
        <f t="shared" si="329"/>
        <v/>
      </c>
      <c r="AF1309" s="2" t="str">
        <f t="shared" si="330"/>
        <v/>
      </c>
      <c r="AG1309" s="2" t="str">
        <f t="shared" si="331"/>
        <v/>
      </c>
      <c r="AH1309" s="2" t="str">
        <f t="shared" si="332"/>
        <v/>
      </c>
    </row>
    <row r="1310" spans="2:34" x14ac:dyDescent="0.25">
      <c r="B1310" s="2" t="s">
        <v>3664</v>
      </c>
      <c r="C1310" s="2" t="s">
        <v>3628</v>
      </c>
      <c r="D1310" s="2" t="s">
        <v>0</v>
      </c>
      <c r="E1310" s="2" t="s">
        <v>130</v>
      </c>
      <c r="F1310" s="2" t="s">
        <v>3665</v>
      </c>
      <c r="G1310" s="2" t="s">
        <v>3666</v>
      </c>
      <c r="H1310" s="2" t="s">
        <v>3629</v>
      </c>
      <c r="I1310" s="2" t="s">
        <v>41</v>
      </c>
      <c r="J1310" s="2">
        <v>1</v>
      </c>
      <c r="K1310" s="2" t="s">
        <v>81</v>
      </c>
      <c r="L1310" s="2" t="s">
        <v>40</v>
      </c>
      <c r="P1310" s="2" t="s">
        <v>4</v>
      </c>
      <c r="Q1310" s="2">
        <f>INDEX(Tables!$C$4:$C$28,MATCH($P1310,Tables!$B$4:$B$28,0))</f>
        <v>32</v>
      </c>
      <c r="R1310" s="2">
        <f>INDEX(Tables!$D$4:$D$28,MATCH($P1310,Tables!$B$4:$B$28,0))</f>
        <v>4</v>
      </c>
      <c r="S1310" s="2">
        <f>$S1309+$R1309+INDEX(Tables!$N$5:$Q$8,MATCH(MOD($S1309+$R1309,4),Tables!$M$5:$M$8,0),MATCH($R1310,Tables!$N$4:$Q$4,0))</f>
        <v>5056</v>
      </c>
      <c r="T1310" s="2" t="str">
        <f t="shared" si="318"/>
        <v>13C0</v>
      </c>
      <c r="U1310" s="2">
        <f t="shared" si="324"/>
        <v>1264</v>
      </c>
      <c r="V1310" s="2" t="str">
        <f t="shared" si="319"/>
        <v>4F0</v>
      </c>
      <c r="W1310" s="2" t="str">
        <f t="shared" si="320"/>
        <v/>
      </c>
      <c r="X1310" s="2" t="str">
        <f t="shared" si="323"/>
        <v/>
      </c>
      <c r="Y1310" s="2" t="str">
        <f t="shared" si="321"/>
        <v/>
      </c>
      <c r="Z1310" s="2" t="str">
        <f t="shared" si="322"/>
        <v>X</v>
      </c>
      <c r="AA1310" s="2" t="str">
        <f t="shared" si="325"/>
        <v/>
      </c>
      <c r="AB1310" s="2" t="str">
        <f t="shared" si="326"/>
        <v/>
      </c>
      <c r="AC1310" s="2" t="str">
        <f t="shared" si="327"/>
        <v/>
      </c>
      <c r="AD1310" s="2" t="str">
        <f t="shared" si="328"/>
        <v>(0)</v>
      </c>
      <c r="AE1310" s="2" t="str">
        <f t="shared" si="329"/>
        <v/>
      </c>
      <c r="AF1310" s="2" t="str">
        <f t="shared" si="330"/>
        <v/>
      </c>
      <c r="AG1310" s="2" t="str">
        <f t="shared" si="331"/>
        <v/>
      </c>
      <c r="AH1310" s="2" t="str">
        <f t="shared" si="332"/>
        <v/>
      </c>
    </row>
    <row r="1311" spans="2:34" x14ac:dyDescent="0.25">
      <c r="B1311" s="2" t="s">
        <v>3664</v>
      </c>
      <c r="C1311" s="2" t="s">
        <v>3630</v>
      </c>
      <c r="D1311" s="2" t="s">
        <v>0</v>
      </c>
      <c r="E1311" s="2" t="s">
        <v>130</v>
      </c>
      <c r="F1311" s="2" t="s">
        <v>3665</v>
      </c>
      <c r="G1311" s="2" t="s">
        <v>3666</v>
      </c>
      <c r="H1311" s="2" t="s">
        <v>3631</v>
      </c>
      <c r="I1311" s="2" t="s">
        <v>41</v>
      </c>
      <c r="J1311" s="2">
        <v>5</v>
      </c>
      <c r="K1311" s="2" t="s">
        <v>132</v>
      </c>
      <c r="L1311" s="2" t="s">
        <v>40</v>
      </c>
      <c r="P1311" s="2" t="s">
        <v>47</v>
      </c>
      <c r="Q1311" s="2">
        <f>INDEX(Tables!$C$4:$C$28,MATCH($P1311,Tables!$B$4:$B$28,0))</f>
        <v>8</v>
      </c>
      <c r="R1311" s="2">
        <f>INDEX(Tables!$D$4:$D$28,MATCH($P1311,Tables!$B$4:$B$28,0))</f>
        <v>1</v>
      </c>
      <c r="S1311" s="2">
        <f>$S1310+$R1310+INDEX(Tables!$N$5:$Q$8,MATCH(MOD($S1310+$R1310,4),Tables!$M$5:$M$8,0),MATCH($R1311,Tables!$N$4:$Q$4,0))</f>
        <v>5060</v>
      </c>
      <c r="T1311" s="2" t="str">
        <f t="shared" si="318"/>
        <v>13C4</v>
      </c>
      <c r="U1311" s="2">
        <f t="shared" si="324"/>
        <v>1265</v>
      </c>
      <c r="V1311" s="2" t="str">
        <f t="shared" si="319"/>
        <v>4F1</v>
      </c>
      <c r="W1311" s="2" t="str">
        <f t="shared" si="320"/>
        <v/>
      </c>
      <c r="X1311" s="2" t="str">
        <f t="shared" si="323"/>
        <v/>
      </c>
      <c r="Y1311" s="2" t="str">
        <f t="shared" si="321"/>
        <v/>
      </c>
      <c r="Z1311" s="2" t="str">
        <f t="shared" si="322"/>
        <v>X</v>
      </c>
      <c r="AA1311" s="2" t="str">
        <f t="shared" si="325"/>
        <v/>
      </c>
      <c r="AB1311" s="2" t="str">
        <f t="shared" si="326"/>
        <v/>
      </c>
      <c r="AC1311" s="2" t="str">
        <f t="shared" si="327"/>
        <v/>
      </c>
      <c r="AD1311" s="2" t="str">
        <f t="shared" si="328"/>
        <v>(4 downto 0)</v>
      </c>
      <c r="AE1311" s="2" t="str">
        <f t="shared" si="329"/>
        <v/>
      </c>
      <c r="AF1311" s="2" t="str">
        <f t="shared" si="330"/>
        <v/>
      </c>
      <c r="AG1311" s="2" t="str">
        <f t="shared" si="331"/>
        <v/>
      </c>
      <c r="AH1311" s="2" t="str">
        <f t="shared" si="332"/>
        <v/>
      </c>
    </row>
    <row r="1312" spans="2:34" x14ac:dyDescent="0.25">
      <c r="B1312" s="2" t="s">
        <v>3664</v>
      </c>
      <c r="C1312" s="2" t="s">
        <v>3667</v>
      </c>
      <c r="D1312" s="2" t="s">
        <v>0</v>
      </c>
      <c r="E1312" s="2" t="s">
        <v>130</v>
      </c>
      <c r="F1312" s="2" t="s">
        <v>3665</v>
      </c>
      <c r="G1312" s="2" t="s">
        <v>3666</v>
      </c>
      <c r="H1312" s="2" t="s">
        <v>3668</v>
      </c>
      <c r="I1312" s="2" t="s">
        <v>41</v>
      </c>
      <c r="J1312" s="2">
        <v>24</v>
      </c>
      <c r="K1312" s="2" t="s">
        <v>132</v>
      </c>
      <c r="L1312" s="2" t="s">
        <v>40</v>
      </c>
      <c r="P1312" s="2" t="s">
        <v>48</v>
      </c>
      <c r="Q1312" s="2">
        <f>INDEX(Tables!$C$4:$C$28,MATCH($P1312,Tables!$B$4:$B$28,0))</f>
        <v>32</v>
      </c>
      <c r="R1312" s="2">
        <f>INDEX(Tables!$D$4:$D$28,MATCH($P1312,Tables!$B$4:$B$28,0))</f>
        <v>4</v>
      </c>
      <c r="S1312" s="2">
        <f>$S1311+$R1311+INDEX(Tables!$N$5:$Q$8,MATCH(MOD($S1311+$R1311,4),Tables!$M$5:$M$8,0),MATCH($R1312,Tables!$N$4:$Q$4,0))</f>
        <v>5064</v>
      </c>
      <c r="T1312" s="2" t="str">
        <f t="shared" si="318"/>
        <v>13C8</v>
      </c>
      <c r="U1312" s="2">
        <f t="shared" si="324"/>
        <v>1266</v>
      </c>
      <c r="V1312" s="2" t="str">
        <f t="shared" si="319"/>
        <v>4F2</v>
      </c>
      <c r="W1312" s="2" t="str">
        <f t="shared" si="320"/>
        <v/>
      </c>
      <c r="X1312" s="2" t="str">
        <f t="shared" si="323"/>
        <v>X</v>
      </c>
      <c r="Y1312" s="2" t="str">
        <f t="shared" si="321"/>
        <v>X</v>
      </c>
      <c r="Z1312" s="2" t="str">
        <f t="shared" si="322"/>
        <v>X</v>
      </c>
      <c r="AA1312" s="2" t="str">
        <f t="shared" si="325"/>
        <v/>
      </c>
      <c r="AB1312" s="2" t="str">
        <f t="shared" si="326"/>
        <v>(23 downto 16)</v>
      </c>
      <c r="AC1312" s="2" t="str">
        <f t="shared" si="327"/>
        <v>(15 downto 8)</v>
      </c>
      <c r="AD1312" s="2" t="str">
        <f t="shared" si="328"/>
        <v>(7 downto 0)</v>
      </c>
      <c r="AE1312" s="2" t="str">
        <f t="shared" si="329"/>
        <v/>
      </c>
      <c r="AF1312" s="2" t="str">
        <f t="shared" si="330"/>
        <v>(23 downto 16)</v>
      </c>
      <c r="AG1312" s="2" t="str">
        <f t="shared" si="331"/>
        <v>(15 downto 8)</v>
      </c>
      <c r="AH1312" s="2" t="str">
        <f t="shared" si="332"/>
        <v>(7 downto 0)</v>
      </c>
    </row>
    <row r="1313" spans="2:34" x14ac:dyDescent="0.25">
      <c r="B1313" s="2" t="s">
        <v>3669</v>
      </c>
      <c r="C1313" s="2" t="s">
        <v>3623</v>
      </c>
      <c r="D1313" s="2" t="s">
        <v>0</v>
      </c>
      <c r="E1313" s="2" t="s">
        <v>130</v>
      </c>
      <c r="F1313" s="2" t="s">
        <v>3670</v>
      </c>
      <c r="G1313" s="2" t="s">
        <v>3671</v>
      </c>
      <c r="H1313" s="2" t="s">
        <v>23408</v>
      </c>
      <c r="I1313" s="2" t="s">
        <v>41</v>
      </c>
      <c r="J1313" s="2">
        <v>1</v>
      </c>
      <c r="K1313" s="2" t="s">
        <v>81</v>
      </c>
      <c r="L1313" s="2" t="s">
        <v>40</v>
      </c>
      <c r="P1313" s="2" t="s">
        <v>4</v>
      </c>
      <c r="Q1313" s="2">
        <f>INDEX(Tables!$C$4:$C$28,MATCH($P1313,Tables!$B$4:$B$28,0))</f>
        <v>32</v>
      </c>
      <c r="R1313" s="2">
        <f>INDEX(Tables!$D$4:$D$28,MATCH($P1313,Tables!$B$4:$B$28,0))</f>
        <v>4</v>
      </c>
      <c r="S1313" s="2">
        <f>$S1312+$R1312+INDEX(Tables!$N$5:$Q$8,MATCH(MOD($S1312+$R1312,4),Tables!$M$5:$M$8,0),MATCH($R1313,Tables!$N$4:$Q$4,0))</f>
        <v>5068</v>
      </c>
      <c r="T1313" s="2" t="str">
        <f t="shared" si="318"/>
        <v>13CC</v>
      </c>
      <c r="U1313" s="2">
        <f t="shared" si="324"/>
        <v>1267</v>
      </c>
      <c r="V1313" s="2" t="str">
        <f t="shared" si="319"/>
        <v>4F3</v>
      </c>
      <c r="W1313" s="2" t="str">
        <f t="shared" si="320"/>
        <v/>
      </c>
      <c r="X1313" s="2" t="str">
        <f t="shared" si="323"/>
        <v/>
      </c>
      <c r="Y1313" s="2" t="str">
        <f t="shared" si="321"/>
        <v/>
      </c>
      <c r="Z1313" s="2" t="str">
        <f t="shared" si="322"/>
        <v>X</v>
      </c>
      <c r="AA1313" s="2" t="str">
        <f t="shared" si="325"/>
        <v/>
      </c>
      <c r="AB1313" s="2" t="str">
        <f t="shared" si="326"/>
        <v/>
      </c>
      <c r="AC1313" s="2" t="str">
        <f t="shared" si="327"/>
        <v/>
      </c>
      <c r="AD1313" s="2" t="str">
        <f t="shared" si="328"/>
        <v>(0)</v>
      </c>
      <c r="AE1313" s="2" t="str">
        <f t="shared" si="329"/>
        <v/>
      </c>
      <c r="AF1313" s="2" t="str">
        <f t="shared" si="330"/>
        <v/>
      </c>
      <c r="AG1313" s="2" t="str">
        <f t="shared" si="331"/>
        <v/>
      </c>
      <c r="AH1313" s="2" t="str">
        <f t="shared" si="332"/>
        <v/>
      </c>
    </row>
    <row r="1314" spans="2:34" x14ac:dyDescent="0.25">
      <c r="B1314" s="2" t="s">
        <v>3669</v>
      </c>
      <c r="C1314" s="2" t="s">
        <v>3626</v>
      </c>
      <c r="D1314" s="2" t="s">
        <v>0</v>
      </c>
      <c r="E1314" s="2" t="s">
        <v>130</v>
      </c>
      <c r="F1314" s="2" t="s">
        <v>3670</v>
      </c>
      <c r="G1314" s="2" t="s">
        <v>3671</v>
      </c>
      <c r="H1314" s="2" t="s">
        <v>3627</v>
      </c>
      <c r="I1314" s="2" t="s">
        <v>41</v>
      </c>
      <c r="J1314" s="2">
        <v>1</v>
      </c>
      <c r="K1314" s="2" t="s">
        <v>81</v>
      </c>
      <c r="L1314" s="2" t="s">
        <v>40</v>
      </c>
      <c r="P1314" s="2" t="s">
        <v>4</v>
      </c>
      <c r="Q1314" s="2">
        <f>INDEX(Tables!$C$4:$C$28,MATCH($P1314,Tables!$B$4:$B$28,0))</f>
        <v>32</v>
      </c>
      <c r="R1314" s="2">
        <f>INDEX(Tables!$D$4:$D$28,MATCH($P1314,Tables!$B$4:$B$28,0))</f>
        <v>4</v>
      </c>
      <c r="S1314" s="2">
        <f>$S1313+$R1313+INDEX(Tables!$N$5:$Q$8,MATCH(MOD($S1313+$R1313,4),Tables!$M$5:$M$8,0),MATCH($R1314,Tables!$N$4:$Q$4,0))</f>
        <v>5072</v>
      </c>
      <c r="T1314" s="2" t="str">
        <f t="shared" si="318"/>
        <v>13D0</v>
      </c>
      <c r="U1314" s="2">
        <f t="shared" si="324"/>
        <v>1268</v>
      </c>
      <c r="V1314" s="2" t="str">
        <f t="shared" si="319"/>
        <v>4F4</v>
      </c>
      <c r="W1314" s="2" t="str">
        <f t="shared" si="320"/>
        <v/>
      </c>
      <c r="X1314" s="2" t="str">
        <f t="shared" si="323"/>
        <v/>
      </c>
      <c r="Y1314" s="2" t="str">
        <f t="shared" si="321"/>
        <v/>
      </c>
      <c r="Z1314" s="2" t="str">
        <f t="shared" si="322"/>
        <v>X</v>
      </c>
      <c r="AA1314" s="2" t="str">
        <f t="shared" si="325"/>
        <v/>
      </c>
      <c r="AB1314" s="2" t="str">
        <f t="shared" si="326"/>
        <v/>
      </c>
      <c r="AC1314" s="2" t="str">
        <f t="shared" si="327"/>
        <v/>
      </c>
      <c r="AD1314" s="2" t="str">
        <f t="shared" si="328"/>
        <v>(0)</v>
      </c>
      <c r="AE1314" s="2" t="str">
        <f t="shared" si="329"/>
        <v/>
      </c>
      <c r="AF1314" s="2" t="str">
        <f t="shared" si="330"/>
        <v/>
      </c>
      <c r="AG1314" s="2" t="str">
        <f t="shared" si="331"/>
        <v/>
      </c>
      <c r="AH1314" s="2" t="str">
        <f t="shared" si="332"/>
        <v/>
      </c>
    </row>
    <row r="1315" spans="2:34" x14ac:dyDescent="0.25">
      <c r="B1315" s="2" t="s">
        <v>3669</v>
      </c>
      <c r="C1315" s="2" t="s">
        <v>3628</v>
      </c>
      <c r="D1315" s="2" t="s">
        <v>0</v>
      </c>
      <c r="E1315" s="2" t="s">
        <v>130</v>
      </c>
      <c r="F1315" s="2" t="s">
        <v>3670</v>
      </c>
      <c r="G1315" s="2" t="s">
        <v>3671</v>
      </c>
      <c r="H1315" s="2" t="s">
        <v>3629</v>
      </c>
      <c r="I1315" s="2" t="s">
        <v>41</v>
      </c>
      <c r="J1315" s="2">
        <v>1</v>
      </c>
      <c r="K1315" s="2" t="s">
        <v>81</v>
      </c>
      <c r="L1315" s="2" t="s">
        <v>40</v>
      </c>
      <c r="P1315" s="2" t="s">
        <v>4</v>
      </c>
      <c r="Q1315" s="2">
        <f>INDEX(Tables!$C$4:$C$28,MATCH($P1315,Tables!$B$4:$B$28,0))</f>
        <v>32</v>
      </c>
      <c r="R1315" s="2">
        <f>INDEX(Tables!$D$4:$D$28,MATCH($P1315,Tables!$B$4:$B$28,0))</f>
        <v>4</v>
      </c>
      <c r="S1315" s="2">
        <f>$S1314+$R1314+INDEX(Tables!$N$5:$Q$8,MATCH(MOD($S1314+$R1314,4),Tables!$M$5:$M$8,0),MATCH($R1315,Tables!$N$4:$Q$4,0))</f>
        <v>5076</v>
      </c>
      <c r="T1315" s="2" t="str">
        <f t="shared" si="318"/>
        <v>13D4</v>
      </c>
      <c r="U1315" s="2">
        <f t="shared" si="324"/>
        <v>1269</v>
      </c>
      <c r="V1315" s="2" t="str">
        <f t="shared" si="319"/>
        <v>4F5</v>
      </c>
      <c r="W1315" s="2" t="str">
        <f t="shared" si="320"/>
        <v/>
      </c>
      <c r="X1315" s="2" t="str">
        <f t="shared" si="323"/>
        <v/>
      </c>
      <c r="Y1315" s="2" t="str">
        <f t="shared" si="321"/>
        <v/>
      </c>
      <c r="Z1315" s="2" t="str">
        <f t="shared" si="322"/>
        <v>X</v>
      </c>
      <c r="AA1315" s="2" t="str">
        <f t="shared" si="325"/>
        <v/>
      </c>
      <c r="AB1315" s="2" t="str">
        <f t="shared" si="326"/>
        <v/>
      </c>
      <c r="AC1315" s="2" t="str">
        <f t="shared" si="327"/>
        <v/>
      </c>
      <c r="AD1315" s="2" t="str">
        <f t="shared" si="328"/>
        <v>(0)</v>
      </c>
      <c r="AE1315" s="2" t="str">
        <f t="shared" si="329"/>
        <v/>
      </c>
      <c r="AF1315" s="2" t="str">
        <f t="shared" si="330"/>
        <v/>
      </c>
      <c r="AG1315" s="2" t="str">
        <f t="shared" si="331"/>
        <v/>
      </c>
      <c r="AH1315" s="2" t="str">
        <f t="shared" si="332"/>
        <v/>
      </c>
    </row>
    <row r="1316" spans="2:34" x14ac:dyDescent="0.25">
      <c r="B1316" s="2" t="s">
        <v>3669</v>
      </c>
      <c r="C1316" s="2" t="s">
        <v>3630</v>
      </c>
      <c r="D1316" s="2" t="s">
        <v>0</v>
      </c>
      <c r="E1316" s="2" t="s">
        <v>130</v>
      </c>
      <c r="F1316" s="2" t="s">
        <v>3670</v>
      </c>
      <c r="G1316" s="2" t="s">
        <v>3671</v>
      </c>
      <c r="H1316" s="2" t="s">
        <v>3631</v>
      </c>
      <c r="I1316" s="2" t="s">
        <v>41</v>
      </c>
      <c r="J1316" s="2">
        <v>5</v>
      </c>
      <c r="K1316" s="2" t="s">
        <v>132</v>
      </c>
      <c r="L1316" s="2" t="s">
        <v>40</v>
      </c>
      <c r="P1316" s="2" t="s">
        <v>47</v>
      </c>
      <c r="Q1316" s="2">
        <f>INDEX(Tables!$C$4:$C$28,MATCH($P1316,Tables!$B$4:$B$28,0))</f>
        <v>8</v>
      </c>
      <c r="R1316" s="2">
        <f>INDEX(Tables!$D$4:$D$28,MATCH($P1316,Tables!$B$4:$B$28,0))</f>
        <v>1</v>
      </c>
      <c r="S1316" s="2">
        <f>$S1315+$R1315+INDEX(Tables!$N$5:$Q$8,MATCH(MOD($S1315+$R1315,4),Tables!$M$5:$M$8,0),MATCH($R1316,Tables!$N$4:$Q$4,0))</f>
        <v>5080</v>
      </c>
      <c r="T1316" s="2" t="str">
        <f t="shared" si="318"/>
        <v>13D8</v>
      </c>
      <c r="U1316" s="2">
        <f t="shared" si="324"/>
        <v>1270</v>
      </c>
      <c r="V1316" s="2" t="str">
        <f t="shared" si="319"/>
        <v>4F6</v>
      </c>
      <c r="W1316" s="2" t="str">
        <f t="shared" si="320"/>
        <v/>
      </c>
      <c r="X1316" s="2" t="str">
        <f t="shared" si="323"/>
        <v/>
      </c>
      <c r="Y1316" s="2" t="str">
        <f t="shared" si="321"/>
        <v/>
      </c>
      <c r="Z1316" s="2" t="str">
        <f t="shared" si="322"/>
        <v>X</v>
      </c>
      <c r="AA1316" s="2" t="str">
        <f t="shared" si="325"/>
        <v/>
      </c>
      <c r="AB1316" s="2" t="str">
        <f t="shared" si="326"/>
        <v/>
      </c>
      <c r="AC1316" s="2" t="str">
        <f t="shared" si="327"/>
        <v/>
      </c>
      <c r="AD1316" s="2" t="str">
        <f t="shared" si="328"/>
        <v>(4 downto 0)</v>
      </c>
      <c r="AE1316" s="2" t="str">
        <f t="shared" si="329"/>
        <v/>
      </c>
      <c r="AF1316" s="2" t="str">
        <f t="shared" si="330"/>
        <v/>
      </c>
      <c r="AG1316" s="2" t="str">
        <f t="shared" si="331"/>
        <v/>
      </c>
      <c r="AH1316" s="2" t="str">
        <f t="shared" si="332"/>
        <v/>
      </c>
    </row>
    <row r="1317" spans="2:34" x14ac:dyDescent="0.25">
      <c r="B1317" s="2" t="s">
        <v>3669</v>
      </c>
      <c r="C1317" s="2" t="s">
        <v>3672</v>
      </c>
      <c r="D1317" s="2" t="s">
        <v>0</v>
      </c>
      <c r="E1317" s="2" t="s">
        <v>130</v>
      </c>
      <c r="F1317" s="2" t="s">
        <v>3670</v>
      </c>
      <c r="G1317" s="2" t="s">
        <v>3671</v>
      </c>
      <c r="H1317" s="2" t="s">
        <v>3673</v>
      </c>
      <c r="I1317" s="2" t="s">
        <v>41</v>
      </c>
      <c r="J1317" s="2">
        <v>24</v>
      </c>
      <c r="K1317" s="2" t="s">
        <v>132</v>
      </c>
      <c r="L1317" s="2" t="s">
        <v>40</v>
      </c>
      <c r="P1317" s="2" t="s">
        <v>48</v>
      </c>
      <c r="Q1317" s="2">
        <f>INDEX(Tables!$C$4:$C$28,MATCH($P1317,Tables!$B$4:$B$28,0))</f>
        <v>32</v>
      </c>
      <c r="R1317" s="2">
        <f>INDEX(Tables!$D$4:$D$28,MATCH($P1317,Tables!$B$4:$B$28,0))</f>
        <v>4</v>
      </c>
      <c r="S1317" s="2">
        <f>$S1316+$R1316+INDEX(Tables!$N$5:$Q$8,MATCH(MOD($S1316+$R1316,4),Tables!$M$5:$M$8,0),MATCH($R1317,Tables!$N$4:$Q$4,0))</f>
        <v>5084</v>
      </c>
      <c r="T1317" s="2" t="str">
        <f t="shared" si="318"/>
        <v>13DC</v>
      </c>
      <c r="U1317" s="2">
        <f t="shared" si="324"/>
        <v>1271</v>
      </c>
      <c r="V1317" s="2" t="str">
        <f t="shared" si="319"/>
        <v>4F7</v>
      </c>
      <c r="W1317" s="2" t="str">
        <f t="shared" si="320"/>
        <v/>
      </c>
      <c r="X1317" s="2" t="str">
        <f t="shared" si="323"/>
        <v>X</v>
      </c>
      <c r="Y1317" s="2" t="str">
        <f t="shared" si="321"/>
        <v>X</v>
      </c>
      <c r="Z1317" s="2" t="str">
        <f t="shared" si="322"/>
        <v>X</v>
      </c>
      <c r="AA1317" s="2" t="str">
        <f t="shared" si="325"/>
        <v/>
      </c>
      <c r="AB1317" s="2" t="str">
        <f t="shared" si="326"/>
        <v>(23 downto 16)</v>
      </c>
      <c r="AC1317" s="2" t="str">
        <f t="shared" si="327"/>
        <v>(15 downto 8)</v>
      </c>
      <c r="AD1317" s="2" t="str">
        <f t="shared" si="328"/>
        <v>(7 downto 0)</v>
      </c>
      <c r="AE1317" s="2" t="str">
        <f t="shared" si="329"/>
        <v/>
      </c>
      <c r="AF1317" s="2" t="str">
        <f t="shared" si="330"/>
        <v>(23 downto 16)</v>
      </c>
      <c r="AG1317" s="2" t="str">
        <f t="shared" si="331"/>
        <v>(15 downto 8)</v>
      </c>
      <c r="AH1317" s="2" t="str">
        <f t="shared" si="332"/>
        <v>(7 downto 0)</v>
      </c>
    </row>
    <row r="1318" spans="2:34" x14ac:dyDescent="0.25">
      <c r="B1318" s="2" t="s">
        <v>3674</v>
      </c>
      <c r="C1318" s="2" t="s">
        <v>3623</v>
      </c>
      <c r="D1318" s="2" t="s">
        <v>0</v>
      </c>
      <c r="E1318" s="2" t="s">
        <v>130</v>
      </c>
      <c r="F1318" s="2" t="s">
        <v>3675</v>
      </c>
      <c r="G1318" s="2" t="s">
        <v>3676</v>
      </c>
      <c r="H1318" s="2" t="s">
        <v>23408</v>
      </c>
      <c r="I1318" s="2" t="s">
        <v>41</v>
      </c>
      <c r="J1318" s="2">
        <v>1</v>
      </c>
      <c r="K1318" s="2" t="s">
        <v>81</v>
      </c>
      <c r="L1318" s="2" t="s">
        <v>40</v>
      </c>
      <c r="P1318" s="2" t="s">
        <v>4</v>
      </c>
      <c r="Q1318" s="2">
        <f>INDEX(Tables!$C$4:$C$28,MATCH($P1318,Tables!$B$4:$B$28,0))</f>
        <v>32</v>
      </c>
      <c r="R1318" s="2">
        <f>INDEX(Tables!$D$4:$D$28,MATCH($P1318,Tables!$B$4:$B$28,0))</f>
        <v>4</v>
      </c>
      <c r="S1318" s="2">
        <f>$S1317+$R1317+INDEX(Tables!$N$5:$Q$8,MATCH(MOD($S1317+$R1317,4),Tables!$M$5:$M$8,0),MATCH($R1318,Tables!$N$4:$Q$4,0))</f>
        <v>5088</v>
      </c>
      <c r="T1318" s="2" t="str">
        <f t="shared" si="318"/>
        <v>13E0</v>
      </c>
      <c r="U1318" s="2">
        <f t="shared" si="324"/>
        <v>1272</v>
      </c>
      <c r="V1318" s="2" t="str">
        <f t="shared" si="319"/>
        <v>4F8</v>
      </c>
      <c r="W1318" s="2" t="str">
        <f t="shared" si="320"/>
        <v/>
      </c>
      <c r="X1318" s="2" t="str">
        <f t="shared" si="323"/>
        <v/>
      </c>
      <c r="Y1318" s="2" t="str">
        <f t="shared" si="321"/>
        <v/>
      </c>
      <c r="Z1318" s="2" t="str">
        <f t="shared" si="322"/>
        <v>X</v>
      </c>
      <c r="AA1318" s="2" t="str">
        <f t="shared" si="325"/>
        <v/>
      </c>
      <c r="AB1318" s="2" t="str">
        <f t="shared" si="326"/>
        <v/>
      </c>
      <c r="AC1318" s="2" t="str">
        <f t="shared" si="327"/>
        <v/>
      </c>
      <c r="AD1318" s="2" t="str">
        <f t="shared" si="328"/>
        <v>(0)</v>
      </c>
      <c r="AE1318" s="2" t="str">
        <f t="shared" si="329"/>
        <v/>
      </c>
      <c r="AF1318" s="2" t="str">
        <f t="shared" si="330"/>
        <v/>
      </c>
      <c r="AG1318" s="2" t="str">
        <f t="shared" si="331"/>
        <v/>
      </c>
      <c r="AH1318" s="2" t="str">
        <f t="shared" si="332"/>
        <v/>
      </c>
    </row>
    <row r="1319" spans="2:34" x14ac:dyDescent="0.25">
      <c r="B1319" s="2" t="s">
        <v>3674</v>
      </c>
      <c r="C1319" s="2" t="s">
        <v>3626</v>
      </c>
      <c r="D1319" s="2" t="s">
        <v>0</v>
      </c>
      <c r="E1319" s="2" t="s">
        <v>130</v>
      </c>
      <c r="F1319" s="2" t="s">
        <v>3675</v>
      </c>
      <c r="G1319" s="2" t="s">
        <v>3676</v>
      </c>
      <c r="H1319" s="2" t="s">
        <v>3627</v>
      </c>
      <c r="I1319" s="2" t="s">
        <v>41</v>
      </c>
      <c r="J1319" s="2">
        <v>1</v>
      </c>
      <c r="K1319" s="2" t="s">
        <v>81</v>
      </c>
      <c r="L1319" s="2" t="s">
        <v>40</v>
      </c>
      <c r="P1319" s="2" t="s">
        <v>4</v>
      </c>
      <c r="Q1319" s="2">
        <f>INDEX(Tables!$C$4:$C$28,MATCH($P1319,Tables!$B$4:$B$28,0))</f>
        <v>32</v>
      </c>
      <c r="R1319" s="2">
        <f>INDEX(Tables!$D$4:$D$28,MATCH($P1319,Tables!$B$4:$B$28,0))</f>
        <v>4</v>
      </c>
      <c r="S1319" s="2">
        <f>$S1318+$R1318+INDEX(Tables!$N$5:$Q$8,MATCH(MOD($S1318+$R1318,4),Tables!$M$5:$M$8,0),MATCH($R1319,Tables!$N$4:$Q$4,0))</f>
        <v>5092</v>
      </c>
      <c r="T1319" s="2" t="str">
        <f t="shared" si="318"/>
        <v>13E4</v>
      </c>
      <c r="U1319" s="2">
        <f t="shared" si="324"/>
        <v>1273</v>
      </c>
      <c r="V1319" s="2" t="str">
        <f t="shared" si="319"/>
        <v>4F9</v>
      </c>
      <c r="W1319" s="2" t="str">
        <f t="shared" si="320"/>
        <v/>
      </c>
      <c r="X1319" s="2" t="str">
        <f t="shared" si="323"/>
        <v/>
      </c>
      <c r="Y1319" s="2" t="str">
        <f t="shared" si="321"/>
        <v/>
      </c>
      <c r="Z1319" s="2" t="str">
        <f t="shared" si="322"/>
        <v>X</v>
      </c>
      <c r="AA1319" s="2" t="str">
        <f t="shared" si="325"/>
        <v/>
      </c>
      <c r="AB1319" s="2" t="str">
        <f t="shared" si="326"/>
        <v/>
      </c>
      <c r="AC1319" s="2" t="str">
        <f t="shared" si="327"/>
        <v/>
      </c>
      <c r="AD1319" s="2" t="str">
        <f t="shared" si="328"/>
        <v>(0)</v>
      </c>
      <c r="AE1319" s="2" t="str">
        <f t="shared" si="329"/>
        <v/>
      </c>
      <c r="AF1319" s="2" t="str">
        <f t="shared" si="330"/>
        <v/>
      </c>
      <c r="AG1319" s="2" t="str">
        <f t="shared" si="331"/>
        <v/>
      </c>
      <c r="AH1319" s="2" t="str">
        <f t="shared" si="332"/>
        <v/>
      </c>
    </row>
    <row r="1320" spans="2:34" x14ac:dyDescent="0.25">
      <c r="B1320" s="2" t="s">
        <v>3674</v>
      </c>
      <c r="C1320" s="2" t="s">
        <v>3628</v>
      </c>
      <c r="D1320" s="2" t="s">
        <v>0</v>
      </c>
      <c r="E1320" s="2" t="s">
        <v>130</v>
      </c>
      <c r="F1320" s="2" t="s">
        <v>3675</v>
      </c>
      <c r="G1320" s="2" t="s">
        <v>3676</v>
      </c>
      <c r="H1320" s="2" t="s">
        <v>3629</v>
      </c>
      <c r="I1320" s="2" t="s">
        <v>41</v>
      </c>
      <c r="J1320" s="2">
        <v>1</v>
      </c>
      <c r="K1320" s="2" t="s">
        <v>81</v>
      </c>
      <c r="L1320" s="2" t="s">
        <v>40</v>
      </c>
      <c r="P1320" s="2" t="s">
        <v>4</v>
      </c>
      <c r="Q1320" s="2">
        <f>INDEX(Tables!$C$4:$C$28,MATCH($P1320,Tables!$B$4:$B$28,0))</f>
        <v>32</v>
      </c>
      <c r="R1320" s="2">
        <f>INDEX(Tables!$D$4:$D$28,MATCH($P1320,Tables!$B$4:$B$28,0))</f>
        <v>4</v>
      </c>
      <c r="S1320" s="2">
        <f>$S1319+$R1319+INDEX(Tables!$N$5:$Q$8,MATCH(MOD($S1319+$R1319,4),Tables!$M$5:$M$8,0),MATCH($R1320,Tables!$N$4:$Q$4,0))</f>
        <v>5096</v>
      </c>
      <c r="T1320" s="2" t="str">
        <f t="shared" si="318"/>
        <v>13E8</v>
      </c>
      <c r="U1320" s="2">
        <f t="shared" si="324"/>
        <v>1274</v>
      </c>
      <c r="V1320" s="2" t="str">
        <f t="shared" si="319"/>
        <v>4FA</v>
      </c>
      <c r="W1320" s="2" t="str">
        <f t="shared" si="320"/>
        <v/>
      </c>
      <c r="X1320" s="2" t="str">
        <f t="shared" si="323"/>
        <v/>
      </c>
      <c r="Y1320" s="2" t="str">
        <f t="shared" si="321"/>
        <v/>
      </c>
      <c r="Z1320" s="2" t="str">
        <f t="shared" si="322"/>
        <v>X</v>
      </c>
      <c r="AA1320" s="2" t="str">
        <f t="shared" si="325"/>
        <v/>
      </c>
      <c r="AB1320" s="2" t="str">
        <f t="shared" si="326"/>
        <v/>
      </c>
      <c r="AC1320" s="2" t="str">
        <f t="shared" si="327"/>
        <v/>
      </c>
      <c r="AD1320" s="2" t="str">
        <f t="shared" si="328"/>
        <v>(0)</v>
      </c>
      <c r="AE1320" s="2" t="str">
        <f t="shared" si="329"/>
        <v/>
      </c>
      <c r="AF1320" s="2" t="str">
        <f t="shared" si="330"/>
        <v/>
      </c>
      <c r="AG1320" s="2" t="str">
        <f t="shared" si="331"/>
        <v/>
      </c>
      <c r="AH1320" s="2" t="str">
        <f t="shared" si="332"/>
        <v/>
      </c>
    </row>
    <row r="1321" spans="2:34" x14ac:dyDescent="0.25">
      <c r="B1321" s="2" t="s">
        <v>3674</v>
      </c>
      <c r="C1321" s="2" t="s">
        <v>3630</v>
      </c>
      <c r="D1321" s="2" t="s">
        <v>0</v>
      </c>
      <c r="E1321" s="2" t="s">
        <v>130</v>
      </c>
      <c r="F1321" s="2" t="s">
        <v>3675</v>
      </c>
      <c r="G1321" s="2" t="s">
        <v>3676</v>
      </c>
      <c r="H1321" s="2" t="s">
        <v>3631</v>
      </c>
      <c r="I1321" s="2" t="s">
        <v>41</v>
      </c>
      <c r="J1321" s="2">
        <v>5</v>
      </c>
      <c r="K1321" s="2" t="s">
        <v>132</v>
      </c>
      <c r="L1321" s="2" t="s">
        <v>40</v>
      </c>
      <c r="P1321" s="2" t="s">
        <v>47</v>
      </c>
      <c r="Q1321" s="2">
        <f>INDEX(Tables!$C$4:$C$28,MATCH($P1321,Tables!$B$4:$B$28,0))</f>
        <v>8</v>
      </c>
      <c r="R1321" s="2">
        <f>INDEX(Tables!$D$4:$D$28,MATCH($P1321,Tables!$B$4:$B$28,0))</f>
        <v>1</v>
      </c>
      <c r="S1321" s="2">
        <f>$S1320+$R1320+INDEX(Tables!$N$5:$Q$8,MATCH(MOD($S1320+$R1320,4),Tables!$M$5:$M$8,0),MATCH($R1321,Tables!$N$4:$Q$4,0))</f>
        <v>5100</v>
      </c>
      <c r="T1321" s="2" t="str">
        <f t="shared" si="318"/>
        <v>13EC</v>
      </c>
      <c r="U1321" s="2">
        <f t="shared" si="324"/>
        <v>1275</v>
      </c>
      <c r="V1321" s="2" t="str">
        <f t="shared" si="319"/>
        <v>4FB</v>
      </c>
      <c r="W1321" s="2" t="str">
        <f t="shared" si="320"/>
        <v/>
      </c>
      <c r="X1321" s="2" t="str">
        <f t="shared" si="323"/>
        <v/>
      </c>
      <c r="Y1321" s="2" t="str">
        <f t="shared" si="321"/>
        <v/>
      </c>
      <c r="Z1321" s="2" t="str">
        <f t="shared" si="322"/>
        <v>X</v>
      </c>
      <c r="AA1321" s="2" t="str">
        <f t="shared" si="325"/>
        <v/>
      </c>
      <c r="AB1321" s="2" t="str">
        <f t="shared" si="326"/>
        <v/>
      </c>
      <c r="AC1321" s="2" t="str">
        <f t="shared" si="327"/>
        <v/>
      </c>
      <c r="AD1321" s="2" t="str">
        <f t="shared" si="328"/>
        <v>(4 downto 0)</v>
      </c>
      <c r="AE1321" s="2" t="str">
        <f t="shared" si="329"/>
        <v/>
      </c>
      <c r="AF1321" s="2" t="str">
        <f t="shared" si="330"/>
        <v/>
      </c>
      <c r="AG1321" s="2" t="str">
        <f t="shared" si="331"/>
        <v/>
      </c>
      <c r="AH1321" s="2" t="str">
        <f t="shared" si="332"/>
        <v/>
      </c>
    </row>
    <row r="1322" spans="2:34" x14ac:dyDescent="0.25">
      <c r="B1322" s="2" t="s">
        <v>3674</v>
      </c>
      <c r="C1322" s="2" t="s">
        <v>3677</v>
      </c>
      <c r="D1322" s="2" t="s">
        <v>0</v>
      </c>
      <c r="E1322" s="2" t="s">
        <v>130</v>
      </c>
      <c r="F1322" s="2" t="s">
        <v>3675</v>
      </c>
      <c r="G1322" s="2" t="s">
        <v>3676</v>
      </c>
      <c r="H1322" s="2" t="s">
        <v>3678</v>
      </c>
      <c r="I1322" s="2" t="s">
        <v>41</v>
      </c>
      <c r="J1322" s="2">
        <v>24</v>
      </c>
      <c r="K1322" s="2" t="s">
        <v>132</v>
      </c>
      <c r="L1322" s="2" t="s">
        <v>40</v>
      </c>
      <c r="P1322" s="2" t="s">
        <v>48</v>
      </c>
      <c r="Q1322" s="2">
        <f>INDEX(Tables!$C$4:$C$28,MATCH($P1322,Tables!$B$4:$B$28,0))</f>
        <v>32</v>
      </c>
      <c r="R1322" s="2">
        <f>INDEX(Tables!$D$4:$D$28,MATCH($P1322,Tables!$B$4:$B$28,0))</f>
        <v>4</v>
      </c>
      <c r="S1322" s="2">
        <f>$S1321+$R1321+INDEX(Tables!$N$5:$Q$8,MATCH(MOD($S1321+$R1321,4),Tables!$M$5:$M$8,0),MATCH($R1322,Tables!$N$4:$Q$4,0))</f>
        <v>5104</v>
      </c>
      <c r="T1322" s="2" t="str">
        <f t="shared" si="318"/>
        <v>13F0</v>
      </c>
      <c r="U1322" s="2">
        <f t="shared" si="324"/>
        <v>1276</v>
      </c>
      <c r="V1322" s="2" t="str">
        <f t="shared" si="319"/>
        <v>4FC</v>
      </c>
      <c r="W1322" s="2" t="str">
        <f t="shared" si="320"/>
        <v/>
      </c>
      <c r="X1322" s="2" t="str">
        <f t="shared" si="323"/>
        <v>X</v>
      </c>
      <c r="Y1322" s="2" t="str">
        <f t="shared" si="321"/>
        <v>X</v>
      </c>
      <c r="Z1322" s="2" t="str">
        <f t="shared" si="322"/>
        <v>X</v>
      </c>
      <c r="AA1322" s="2" t="str">
        <f t="shared" si="325"/>
        <v/>
      </c>
      <c r="AB1322" s="2" t="str">
        <f t="shared" si="326"/>
        <v>(23 downto 16)</v>
      </c>
      <c r="AC1322" s="2" t="str">
        <f t="shared" si="327"/>
        <v>(15 downto 8)</v>
      </c>
      <c r="AD1322" s="2" t="str">
        <f t="shared" si="328"/>
        <v>(7 downto 0)</v>
      </c>
      <c r="AE1322" s="2" t="str">
        <f t="shared" si="329"/>
        <v/>
      </c>
      <c r="AF1322" s="2" t="str">
        <f t="shared" si="330"/>
        <v>(23 downto 16)</v>
      </c>
      <c r="AG1322" s="2" t="str">
        <f t="shared" si="331"/>
        <v>(15 downto 8)</v>
      </c>
      <c r="AH1322" s="2" t="str">
        <f t="shared" si="332"/>
        <v>(7 downto 0)</v>
      </c>
    </row>
    <row r="1323" spans="2:34" x14ac:dyDescent="0.25">
      <c r="B1323" s="2" t="s">
        <v>3679</v>
      </c>
      <c r="C1323" s="2" t="s">
        <v>3623</v>
      </c>
      <c r="D1323" s="2" t="s">
        <v>0</v>
      </c>
      <c r="E1323" s="2" t="s">
        <v>130</v>
      </c>
      <c r="F1323" s="2" t="s">
        <v>3680</v>
      </c>
      <c r="G1323" s="2" t="s">
        <v>3681</v>
      </c>
      <c r="H1323" s="2" t="s">
        <v>23408</v>
      </c>
      <c r="I1323" s="2" t="s">
        <v>41</v>
      </c>
      <c r="J1323" s="2">
        <v>1</v>
      </c>
      <c r="K1323" s="2" t="s">
        <v>81</v>
      </c>
      <c r="L1323" s="2" t="s">
        <v>40</v>
      </c>
      <c r="P1323" s="2" t="s">
        <v>4</v>
      </c>
      <c r="Q1323" s="2">
        <f>INDEX(Tables!$C$4:$C$28,MATCH($P1323,Tables!$B$4:$B$28,0))</f>
        <v>32</v>
      </c>
      <c r="R1323" s="2">
        <f>INDEX(Tables!$D$4:$D$28,MATCH($P1323,Tables!$B$4:$B$28,0))</f>
        <v>4</v>
      </c>
      <c r="S1323" s="2">
        <f>$S1322+$R1322+INDEX(Tables!$N$5:$Q$8,MATCH(MOD($S1322+$R1322,4),Tables!$M$5:$M$8,0),MATCH($R1323,Tables!$N$4:$Q$4,0))</f>
        <v>5108</v>
      </c>
      <c r="T1323" s="2" t="str">
        <f t="shared" si="318"/>
        <v>13F4</v>
      </c>
      <c r="U1323" s="2">
        <f t="shared" si="324"/>
        <v>1277</v>
      </c>
      <c r="V1323" s="2" t="str">
        <f t="shared" si="319"/>
        <v>4FD</v>
      </c>
      <c r="W1323" s="2" t="str">
        <f t="shared" si="320"/>
        <v/>
      </c>
      <c r="X1323" s="2" t="str">
        <f t="shared" si="323"/>
        <v/>
      </c>
      <c r="Y1323" s="2" t="str">
        <f t="shared" si="321"/>
        <v/>
      </c>
      <c r="Z1323" s="2" t="str">
        <f t="shared" si="322"/>
        <v>X</v>
      </c>
      <c r="AA1323" s="2" t="str">
        <f t="shared" si="325"/>
        <v/>
      </c>
      <c r="AB1323" s="2" t="str">
        <f t="shared" si="326"/>
        <v/>
      </c>
      <c r="AC1323" s="2" t="str">
        <f t="shared" si="327"/>
        <v/>
      </c>
      <c r="AD1323" s="2" t="str">
        <f t="shared" si="328"/>
        <v>(0)</v>
      </c>
      <c r="AE1323" s="2" t="str">
        <f t="shared" si="329"/>
        <v/>
      </c>
      <c r="AF1323" s="2" t="str">
        <f t="shared" si="330"/>
        <v/>
      </c>
      <c r="AG1323" s="2" t="str">
        <f t="shared" si="331"/>
        <v/>
      </c>
      <c r="AH1323" s="2" t="str">
        <f t="shared" si="332"/>
        <v/>
      </c>
    </row>
    <row r="1324" spans="2:34" x14ac:dyDescent="0.25">
      <c r="B1324" s="2" t="s">
        <v>3679</v>
      </c>
      <c r="C1324" s="2" t="s">
        <v>3626</v>
      </c>
      <c r="D1324" s="2" t="s">
        <v>0</v>
      </c>
      <c r="E1324" s="2" t="s">
        <v>130</v>
      </c>
      <c r="F1324" s="2" t="s">
        <v>3680</v>
      </c>
      <c r="G1324" s="2" t="s">
        <v>3681</v>
      </c>
      <c r="H1324" s="2" t="s">
        <v>3627</v>
      </c>
      <c r="I1324" s="2" t="s">
        <v>41</v>
      </c>
      <c r="J1324" s="2">
        <v>1</v>
      </c>
      <c r="K1324" s="2" t="s">
        <v>81</v>
      </c>
      <c r="L1324" s="2" t="s">
        <v>40</v>
      </c>
      <c r="P1324" s="2" t="s">
        <v>4</v>
      </c>
      <c r="Q1324" s="2">
        <f>INDEX(Tables!$C$4:$C$28,MATCH($P1324,Tables!$B$4:$B$28,0))</f>
        <v>32</v>
      </c>
      <c r="R1324" s="2">
        <f>INDEX(Tables!$D$4:$D$28,MATCH($P1324,Tables!$B$4:$B$28,0))</f>
        <v>4</v>
      </c>
      <c r="S1324" s="2">
        <f>$S1323+$R1323+INDEX(Tables!$N$5:$Q$8,MATCH(MOD($S1323+$R1323,4),Tables!$M$5:$M$8,0),MATCH($R1324,Tables!$N$4:$Q$4,0))</f>
        <v>5112</v>
      </c>
      <c r="T1324" s="2" t="str">
        <f t="shared" si="318"/>
        <v>13F8</v>
      </c>
      <c r="U1324" s="2">
        <f t="shared" si="324"/>
        <v>1278</v>
      </c>
      <c r="V1324" s="2" t="str">
        <f t="shared" si="319"/>
        <v>4FE</v>
      </c>
      <c r="W1324" s="2" t="str">
        <f t="shared" si="320"/>
        <v/>
      </c>
      <c r="X1324" s="2" t="str">
        <f t="shared" si="323"/>
        <v/>
      </c>
      <c r="Y1324" s="2" t="str">
        <f t="shared" si="321"/>
        <v/>
      </c>
      <c r="Z1324" s="2" t="str">
        <f t="shared" si="322"/>
        <v>X</v>
      </c>
      <c r="AA1324" s="2" t="str">
        <f t="shared" si="325"/>
        <v/>
      </c>
      <c r="AB1324" s="2" t="str">
        <f t="shared" si="326"/>
        <v/>
      </c>
      <c r="AC1324" s="2" t="str">
        <f t="shared" si="327"/>
        <v/>
      </c>
      <c r="AD1324" s="2" t="str">
        <f t="shared" si="328"/>
        <v>(0)</v>
      </c>
      <c r="AE1324" s="2" t="str">
        <f t="shared" si="329"/>
        <v/>
      </c>
      <c r="AF1324" s="2" t="str">
        <f t="shared" si="330"/>
        <v/>
      </c>
      <c r="AG1324" s="2" t="str">
        <f t="shared" si="331"/>
        <v/>
      </c>
      <c r="AH1324" s="2" t="str">
        <f t="shared" si="332"/>
        <v/>
      </c>
    </row>
    <row r="1325" spans="2:34" x14ac:dyDescent="0.25">
      <c r="B1325" s="2" t="s">
        <v>3679</v>
      </c>
      <c r="C1325" s="2" t="s">
        <v>3628</v>
      </c>
      <c r="D1325" s="2" t="s">
        <v>0</v>
      </c>
      <c r="E1325" s="2" t="s">
        <v>130</v>
      </c>
      <c r="F1325" s="2" t="s">
        <v>3680</v>
      </c>
      <c r="G1325" s="2" t="s">
        <v>3681</v>
      </c>
      <c r="H1325" s="2" t="s">
        <v>3629</v>
      </c>
      <c r="I1325" s="2" t="s">
        <v>41</v>
      </c>
      <c r="J1325" s="2">
        <v>1</v>
      </c>
      <c r="K1325" s="2" t="s">
        <v>81</v>
      </c>
      <c r="L1325" s="2" t="s">
        <v>40</v>
      </c>
      <c r="P1325" s="2" t="s">
        <v>4</v>
      </c>
      <c r="Q1325" s="2">
        <f>INDEX(Tables!$C$4:$C$28,MATCH($P1325,Tables!$B$4:$B$28,0))</f>
        <v>32</v>
      </c>
      <c r="R1325" s="2">
        <f>INDEX(Tables!$D$4:$D$28,MATCH($P1325,Tables!$B$4:$B$28,0))</f>
        <v>4</v>
      </c>
      <c r="S1325" s="2">
        <f>$S1324+$R1324+INDEX(Tables!$N$5:$Q$8,MATCH(MOD($S1324+$R1324,4),Tables!$M$5:$M$8,0),MATCH($R1325,Tables!$N$4:$Q$4,0))</f>
        <v>5116</v>
      </c>
      <c r="T1325" s="2" t="str">
        <f t="shared" si="318"/>
        <v>13FC</v>
      </c>
      <c r="U1325" s="2">
        <f t="shared" si="324"/>
        <v>1279</v>
      </c>
      <c r="V1325" s="2" t="str">
        <f t="shared" si="319"/>
        <v>4FF</v>
      </c>
      <c r="W1325" s="2" t="str">
        <f t="shared" si="320"/>
        <v/>
      </c>
      <c r="X1325" s="2" t="str">
        <f t="shared" si="323"/>
        <v/>
      </c>
      <c r="Y1325" s="2" t="str">
        <f t="shared" si="321"/>
        <v/>
      </c>
      <c r="Z1325" s="2" t="str">
        <f t="shared" si="322"/>
        <v>X</v>
      </c>
      <c r="AA1325" s="2" t="str">
        <f t="shared" si="325"/>
        <v/>
      </c>
      <c r="AB1325" s="2" t="str">
        <f t="shared" si="326"/>
        <v/>
      </c>
      <c r="AC1325" s="2" t="str">
        <f t="shared" si="327"/>
        <v/>
      </c>
      <c r="AD1325" s="2" t="str">
        <f t="shared" si="328"/>
        <v>(0)</v>
      </c>
      <c r="AE1325" s="2" t="str">
        <f t="shared" si="329"/>
        <v/>
      </c>
      <c r="AF1325" s="2" t="str">
        <f t="shared" si="330"/>
        <v/>
      </c>
      <c r="AG1325" s="2" t="str">
        <f t="shared" si="331"/>
        <v/>
      </c>
      <c r="AH1325" s="2" t="str">
        <f t="shared" si="332"/>
        <v/>
      </c>
    </row>
    <row r="1326" spans="2:34" x14ac:dyDescent="0.25">
      <c r="B1326" s="2" t="s">
        <v>3679</v>
      </c>
      <c r="C1326" s="2" t="s">
        <v>3630</v>
      </c>
      <c r="D1326" s="2" t="s">
        <v>0</v>
      </c>
      <c r="E1326" s="2" t="s">
        <v>130</v>
      </c>
      <c r="F1326" s="2" t="s">
        <v>3680</v>
      </c>
      <c r="G1326" s="2" t="s">
        <v>3681</v>
      </c>
      <c r="H1326" s="2" t="s">
        <v>3631</v>
      </c>
      <c r="I1326" s="2" t="s">
        <v>41</v>
      </c>
      <c r="J1326" s="2">
        <v>5</v>
      </c>
      <c r="K1326" s="2" t="s">
        <v>132</v>
      </c>
      <c r="L1326" s="2" t="s">
        <v>40</v>
      </c>
      <c r="P1326" s="2" t="s">
        <v>47</v>
      </c>
      <c r="Q1326" s="2">
        <f>INDEX(Tables!$C$4:$C$28,MATCH($P1326,Tables!$B$4:$B$28,0))</f>
        <v>8</v>
      </c>
      <c r="R1326" s="2">
        <f>INDEX(Tables!$D$4:$D$28,MATCH($P1326,Tables!$B$4:$B$28,0))</f>
        <v>1</v>
      </c>
      <c r="S1326" s="2">
        <f>$S1325+$R1325+INDEX(Tables!$N$5:$Q$8,MATCH(MOD($S1325+$R1325,4),Tables!$M$5:$M$8,0),MATCH($R1326,Tables!$N$4:$Q$4,0))</f>
        <v>5120</v>
      </c>
      <c r="T1326" s="2" t="str">
        <f t="shared" si="318"/>
        <v>1400</v>
      </c>
      <c r="U1326" s="2">
        <f t="shared" si="324"/>
        <v>1280</v>
      </c>
      <c r="V1326" s="2" t="str">
        <f t="shared" si="319"/>
        <v>500</v>
      </c>
      <c r="W1326" s="2" t="str">
        <f t="shared" si="320"/>
        <v/>
      </c>
      <c r="X1326" s="2" t="str">
        <f t="shared" si="323"/>
        <v/>
      </c>
      <c r="Y1326" s="2" t="str">
        <f t="shared" si="321"/>
        <v/>
      </c>
      <c r="Z1326" s="2" t="str">
        <f t="shared" si="322"/>
        <v>X</v>
      </c>
      <c r="AA1326" s="2" t="str">
        <f t="shared" si="325"/>
        <v/>
      </c>
      <c r="AB1326" s="2" t="str">
        <f t="shared" si="326"/>
        <v/>
      </c>
      <c r="AC1326" s="2" t="str">
        <f t="shared" si="327"/>
        <v/>
      </c>
      <c r="AD1326" s="2" t="str">
        <f t="shared" si="328"/>
        <v>(4 downto 0)</v>
      </c>
      <c r="AE1326" s="2" t="str">
        <f t="shared" si="329"/>
        <v/>
      </c>
      <c r="AF1326" s="2" t="str">
        <f t="shared" si="330"/>
        <v/>
      </c>
      <c r="AG1326" s="2" t="str">
        <f t="shared" si="331"/>
        <v/>
      </c>
      <c r="AH1326" s="2" t="str">
        <f t="shared" si="332"/>
        <v/>
      </c>
    </row>
    <row r="1327" spans="2:34" x14ac:dyDescent="0.25">
      <c r="B1327" s="2" t="s">
        <v>3679</v>
      </c>
      <c r="C1327" s="2" t="s">
        <v>3682</v>
      </c>
      <c r="D1327" s="2" t="s">
        <v>0</v>
      </c>
      <c r="E1327" s="2" t="s">
        <v>130</v>
      </c>
      <c r="F1327" s="2" t="s">
        <v>3680</v>
      </c>
      <c r="G1327" s="2" t="s">
        <v>3681</v>
      </c>
      <c r="H1327" s="2" t="s">
        <v>3683</v>
      </c>
      <c r="I1327" s="2" t="s">
        <v>41</v>
      </c>
      <c r="J1327" s="2">
        <v>24</v>
      </c>
      <c r="K1327" s="2" t="s">
        <v>132</v>
      </c>
      <c r="L1327" s="2" t="s">
        <v>40</v>
      </c>
      <c r="P1327" s="2" t="s">
        <v>48</v>
      </c>
      <c r="Q1327" s="2">
        <f>INDEX(Tables!$C$4:$C$28,MATCH($P1327,Tables!$B$4:$B$28,0))</f>
        <v>32</v>
      </c>
      <c r="R1327" s="2">
        <f>INDEX(Tables!$D$4:$D$28,MATCH($P1327,Tables!$B$4:$B$28,0))</f>
        <v>4</v>
      </c>
      <c r="S1327" s="2">
        <f>$S1326+$R1326+INDEX(Tables!$N$5:$Q$8,MATCH(MOD($S1326+$R1326,4),Tables!$M$5:$M$8,0),MATCH($R1327,Tables!$N$4:$Q$4,0))</f>
        <v>5124</v>
      </c>
      <c r="T1327" s="2" t="str">
        <f t="shared" si="318"/>
        <v>1404</v>
      </c>
      <c r="U1327" s="2">
        <f t="shared" si="324"/>
        <v>1281</v>
      </c>
      <c r="V1327" s="2" t="str">
        <f t="shared" si="319"/>
        <v>501</v>
      </c>
      <c r="W1327" s="2" t="str">
        <f t="shared" si="320"/>
        <v/>
      </c>
      <c r="X1327" s="2" t="str">
        <f t="shared" si="323"/>
        <v>X</v>
      </c>
      <c r="Y1327" s="2" t="str">
        <f t="shared" si="321"/>
        <v>X</v>
      </c>
      <c r="Z1327" s="2" t="str">
        <f t="shared" si="322"/>
        <v>X</v>
      </c>
      <c r="AA1327" s="2" t="str">
        <f t="shared" si="325"/>
        <v/>
      </c>
      <c r="AB1327" s="2" t="str">
        <f t="shared" si="326"/>
        <v>(23 downto 16)</v>
      </c>
      <c r="AC1327" s="2" t="str">
        <f t="shared" si="327"/>
        <v>(15 downto 8)</v>
      </c>
      <c r="AD1327" s="2" t="str">
        <f t="shared" si="328"/>
        <v>(7 downto 0)</v>
      </c>
      <c r="AE1327" s="2" t="str">
        <f t="shared" si="329"/>
        <v/>
      </c>
      <c r="AF1327" s="2" t="str">
        <f t="shared" si="330"/>
        <v>(23 downto 16)</v>
      </c>
      <c r="AG1327" s="2" t="str">
        <f t="shared" si="331"/>
        <v>(15 downto 8)</v>
      </c>
      <c r="AH1327" s="2" t="str">
        <f t="shared" si="332"/>
        <v>(7 downto 0)</v>
      </c>
    </row>
    <row r="1328" spans="2:34" x14ac:dyDescent="0.25">
      <c r="B1328" s="2" t="s">
        <v>3684</v>
      </c>
      <c r="C1328" s="2" t="s">
        <v>3623</v>
      </c>
      <c r="D1328" s="2" t="s">
        <v>0</v>
      </c>
      <c r="E1328" s="2" t="s">
        <v>130</v>
      </c>
      <c r="F1328" s="2" t="s">
        <v>3685</v>
      </c>
      <c r="G1328" s="2" t="s">
        <v>3686</v>
      </c>
      <c r="H1328" s="2" t="s">
        <v>23408</v>
      </c>
      <c r="I1328" s="2" t="s">
        <v>41</v>
      </c>
      <c r="J1328" s="2">
        <v>1</v>
      </c>
      <c r="K1328" s="2" t="s">
        <v>81</v>
      </c>
      <c r="L1328" s="2" t="s">
        <v>40</v>
      </c>
      <c r="P1328" s="2" t="s">
        <v>4</v>
      </c>
      <c r="Q1328" s="2">
        <f>INDEX(Tables!$C$4:$C$28,MATCH($P1328,Tables!$B$4:$B$28,0))</f>
        <v>32</v>
      </c>
      <c r="R1328" s="2">
        <f>INDEX(Tables!$D$4:$D$28,MATCH($P1328,Tables!$B$4:$B$28,0))</f>
        <v>4</v>
      </c>
      <c r="S1328" s="2">
        <f>$S1327+$R1327+INDEX(Tables!$N$5:$Q$8,MATCH(MOD($S1327+$R1327,4),Tables!$M$5:$M$8,0),MATCH($R1328,Tables!$N$4:$Q$4,0))</f>
        <v>5128</v>
      </c>
      <c r="T1328" s="2" t="str">
        <f t="shared" si="318"/>
        <v>1408</v>
      </c>
      <c r="U1328" s="2">
        <f t="shared" si="324"/>
        <v>1282</v>
      </c>
      <c r="V1328" s="2" t="str">
        <f t="shared" si="319"/>
        <v>502</v>
      </c>
      <c r="W1328" s="2" t="str">
        <f t="shared" si="320"/>
        <v/>
      </c>
      <c r="X1328" s="2" t="str">
        <f t="shared" si="323"/>
        <v/>
      </c>
      <c r="Y1328" s="2" t="str">
        <f t="shared" si="321"/>
        <v/>
      </c>
      <c r="Z1328" s="2" t="str">
        <f t="shared" si="322"/>
        <v>X</v>
      </c>
      <c r="AA1328" s="2" t="str">
        <f t="shared" si="325"/>
        <v/>
      </c>
      <c r="AB1328" s="2" t="str">
        <f t="shared" si="326"/>
        <v/>
      </c>
      <c r="AC1328" s="2" t="str">
        <f t="shared" si="327"/>
        <v/>
      </c>
      <c r="AD1328" s="2" t="str">
        <f t="shared" si="328"/>
        <v>(0)</v>
      </c>
      <c r="AE1328" s="2" t="str">
        <f t="shared" si="329"/>
        <v/>
      </c>
      <c r="AF1328" s="2" t="str">
        <f t="shared" si="330"/>
        <v/>
      </c>
      <c r="AG1328" s="2" t="str">
        <f t="shared" si="331"/>
        <v/>
      </c>
      <c r="AH1328" s="2" t="str">
        <f t="shared" si="332"/>
        <v/>
      </c>
    </row>
    <row r="1329" spans="2:34" x14ac:dyDescent="0.25">
      <c r="B1329" s="2" t="s">
        <v>3684</v>
      </c>
      <c r="C1329" s="2" t="s">
        <v>3626</v>
      </c>
      <c r="D1329" s="2" t="s">
        <v>0</v>
      </c>
      <c r="E1329" s="2" t="s">
        <v>130</v>
      </c>
      <c r="F1329" s="2" t="s">
        <v>3685</v>
      </c>
      <c r="G1329" s="2" t="s">
        <v>3686</v>
      </c>
      <c r="H1329" s="2" t="s">
        <v>3627</v>
      </c>
      <c r="I1329" s="2" t="s">
        <v>41</v>
      </c>
      <c r="J1329" s="2">
        <v>1</v>
      </c>
      <c r="K1329" s="2" t="s">
        <v>81</v>
      </c>
      <c r="L1329" s="2" t="s">
        <v>40</v>
      </c>
      <c r="P1329" s="2" t="s">
        <v>4</v>
      </c>
      <c r="Q1329" s="2">
        <f>INDEX(Tables!$C$4:$C$28,MATCH($P1329,Tables!$B$4:$B$28,0))</f>
        <v>32</v>
      </c>
      <c r="R1329" s="2">
        <f>INDEX(Tables!$D$4:$D$28,MATCH($P1329,Tables!$B$4:$B$28,0))</f>
        <v>4</v>
      </c>
      <c r="S1329" s="2">
        <f>$S1328+$R1328+INDEX(Tables!$N$5:$Q$8,MATCH(MOD($S1328+$R1328,4),Tables!$M$5:$M$8,0),MATCH($R1329,Tables!$N$4:$Q$4,0))</f>
        <v>5132</v>
      </c>
      <c r="T1329" s="2" t="str">
        <f t="shared" si="318"/>
        <v>140C</v>
      </c>
      <c r="U1329" s="2">
        <f t="shared" si="324"/>
        <v>1283</v>
      </c>
      <c r="V1329" s="2" t="str">
        <f t="shared" si="319"/>
        <v>503</v>
      </c>
      <c r="W1329" s="2" t="str">
        <f t="shared" si="320"/>
        <v/>
      </c>
      <c r="X1329" s="2" t="str">
        <f t="shared" si="323"/>
        <v/>
      </c>
      <c r="Y1329" s="2" t="str">
        <f t="shared" si="321"/>
        <v/>
      </c>
      <c r="Z1329" s="2" t="str">
        <f t="shared" si="322"/>
        <v>X</v>
      </c>
      <c r="AA1329" s="2" t="str">
        <f t="shared" si="325"/>
        <v/>
      </c>
      <c r="AB1329" s="2" t="str">
        <f t="shared" si="326"/>
        <v/>
      </c>
      <c r="AC1329" s="2" t="str">
        <f t="shared" si="327"/>
        <v/>
      </c>
      <c r="AD1329" s="2" t="str">
        <f t="shared" si="328"/>
        <v>(0)</v>
      </c>
      <c r="AE1329" s="2" t="str">
        <f t="shared" si="329"/>
        <v/>
      </c>
      <c r="AF1329" s="2" t="str">
        <f t="shared" si="330"/>
        <v/>
      </c>
      <c r="AG1329" s="2" t="str">
        <f t="shared" si="331"/>
        <v/>
      </c>
      <c r="AH1329" s="2" t="str">
        <f t="shared" si="332"/>
        <v/>
      </c>
    </row>
    <row r="1330" spans="2:34" x14ac:dyDescent="0.25">
      <c r="B1330" s="2" t="s">
        <v>3684</v>
      </c>
      <c r="C1330" s="2" t="s">
        <v>3628</v>
      </c>
      <c r="D1330" s="2" t="s">
        <v>0</v>
      </c>
      <c r="E1330" s="2" t="s">
        <v>130</v>
      </c>
      <c r="F1330" s="2" t="s">
        <v>3685</v>
      </c>
      <c r="G1330" s="2" t="s">
        <v>3686</v>
      </c>
      <c r="H1330" s="2" t="s">
        <v>3629</v>
      </c>
      <c r="I1330" s="2" t="s">
        <v>41</v>
      </c>
      <c r="J1330" s="2">
        <v>1</v>
      </c>
      <c r="K1330" s="2" t="s">
        <v>81</v>
      </c>
      <c r="L1330" s="2" t="s">
        <v>40</v>
      </c>
      <c r="P1330" s="2" t="s">
        <v>4</v>
      </c>
      <c r="Q1330" s="2">
        <f>INDEX(Tables!$C$4:$C$28,MATCH($P1330,Tables!$B$4:$B$28,0))</f>
        <v>32</v>
      </c>
      <c r="R1330" s="2">
        <f>INDEX(Tables!$D$4:$D$28,MATCH($P1330,Tables!$B$4:$B$28,0))</f>
        <v>4</v>
      </c>
      <c r="S1330" s="2">
        <f>$S1329+$R1329+INDEX(Tables!$N$5:$Q$8,MATCH(MOD($S1329+$R1329,4),Tables!$M$5:$M$8,0),MATCH($R1330,Tables!$N$4:$Q$4,0))</f>
        <v>5136</v>
      </c>
      <c r="T1330" s="2" t="str">
        <f t="shared" si="318"/>
        <v>1410</v>
      </c>
      <c r="U1330" s="2">
        <f t="shared" si="324"/>
        <v>1284</v>
      </c>
      <c r="V1330" s="2" t="str">
        <f t="shared" si="319"/>
        <v>504</v>
      </c>
      <c r="W1330" s="2" t="str">
        <f t="shared" si="320"/>
        <v/>
      </c>
      <c r="X1330" s="2" t="str">
        <f t="shared" si="323"/>
        <v/>
      </c>
      <c r="Y1330" s="2" t="str">
        <f t="shared" si="321"/>
        <v/>
      </c>
      <c r="Z1330" s="2" t="str">
        <f t="shared" si="322"/>
        <v>X</v>
      </c>
      <c r="AA1330" s="2" t="str">
        <f t="shared" si="325"/>
        <v/>
      </c>
      <c r="AB1330" s="2" t="str">
        <f t="shared" si="326"/>
        <v/>
      </c>
      <c r="AC1330" s="2" t="str">
        <f t="shared" si="327"/>
        <v/>
      </c>
      <c r="AD1330" s="2" t="str">
        <f t="shared" si="328"/>
        <v>(0)</v>
      </c>
      <c r="AE1330" s="2" t="str">
        <f t="shared" si="329"/>
        <v/>
      </c>
      <c r="AF1330" s="2" t="str">
        <f t="shared" si="330"/>
        <v/>
      </c>
      <c r="AG1330" s="2" t="str">
        <f t="shared" si="331"/>
        <v/>
      </c>
      <c r="AH1330" s="2" t="str">
        <f t="shared" si="332"/>
        <v/>
      </c>
    </row>
    <row r="1331" spans="2:34" x14ac:dyDescent="0.25">
      <c r="B1331" s="2" t="s">
        <v>3684</v>
      </c>
      <c r="C1331" s="2" t="s">
        <v>3630</v>
      </c>
      <c r="D1331" s="2" t="s">
        <v>0</v>
      </c>
      <c r="E1331" s="2" t="s">
        <v>130</v>
      </c>
      <c r="F1331" s="2" t="s">
        <v>3685</v>
      </c>
      <c r="G1331" s="2" t="s">
        <v>3686</v>
      </c>
      <c r="H1331" s="2" t="s">
        <v>3631</v>
      </c>
      <c r="I1331" s="2" t="s">
        <v>41</v>
      </c>
      <c r="J1331" s="2">
        <v>5</v>
      </c>
      <c r="K1331" s="2" t="s">
        <v>132</v>
      </c>
      <c r="L1331" s="2" t="s">
        <v>40</v>
      </c>
      <c r="P1331" s="2" t="s">
        <v>47</v>
      </c>
      <c r="Q1331" s="2">
        <f>INDEX(Tables!$C$4:$C$28,MATCH($P1331,Tables!$B$4:$B$28,0))</f>
        <v>8</v>
      </c>
      <c r="R1331" s="2">
        <f>INDEX(Tables!$D$4:$D$28,MATCH($P1331,Tables!$B$4:$B$28,0))</f>
        <v>1</v>
      </c>
      <c r="S1331" s="2">
        <f>$S1330+$R1330+INDEX(Tables!$N$5:$Q$8,MATCH(MOD($S1330+$R1330,4),Tables!$M$5:$M$8,0),MATCH($R1331,Tables!$N$4:$Q$4,0))</f>
        <v>5140</v>
      </c>
      <c r="T1331" s="2" t="str">
        <f t="shared" si="318"/>
        <v>1414</v>
      </c>
      <c r="U1331" s="2">
        <f t="shared" si="324"/>
        <v>1285</v>
      </c>
      <c r="V1331" s="2" t="str">
        <f t="shared" si="319"/>
        <v>505</v>
      </c>
      <c r="W1331" s="2" t="str">
        <f t="shared" si="320"/>
        <v/>
      </c>
      <c r="X1331" s="2" t="str">
        <f t="shared" si="323"/>
        <v/>
      </c>
      <c r="Y1331" s="2" t="str">
        <f t="shared" si="321"/>
        <v/>
      </c>
      <c r="Z1331" s="2" t="str">
        <f t="shared" si="322"/>
        <v>X</v>
      </c>
      <c r="AA1331" s="2" t="str">
        <f t="shared" si="325"/>
        <v/>
      </c>
      <c r="AB1331" s="2" t="str">
        <f t="shared" si="326"/>
        <v/>
      </c>
      <c r="AC1331" s="2" t="str">
        <f t="shared" si="327"/>
        <v/>
      </c>
      <c r="AD1331" s="2" t="str">
        <f t="shared" si="328"/>
        <v>(4 downto 0)</v>
      </c>
      <c r="AE1331" s="2" t="str">
        <f t="shared" si="329"/>
        <v/>
      </c>
      <c r="AF1331" s="2" t="str">
        <f t="shared" si="330"/>
        <v/>
      </c>
      <c r="AG1331" s="2" t="str">
        <f t="shared" si="331"/>
        <v/>
      </c>
      <c r="AH1331" s="2" t="str">
        <f t="shared" si="332"/>
        <v/>
      </c>
    </row>
    <row r="1332" spans="2:34" x14ac:dyDescent="0.25">
      <c r="B1332" s="2" t="s">
        <v>3684</v>
      </c>
      <c r="C1332" s="2" t="s">
        <v>3687</v>
      </c>
      <c r="D1332" s="2" t="s">
        <v>0</v>
      </c>
      <c r="E1332" s="2" t="s">
        <v>130</v>
      </c>
      <c r="F1332" s="2" t="s">
        <v>3685</v>
      </c>
      <c r="G1332" s="2" t="s">
        <v>3686</v>
      </c>
      <c r="H1332" s="2" t="s">
        <v>3688</v>
      </c>
      <c r="I1332" s="2" t="s">
        <v>41</v>
      </c>
      <c r="J1332" s="2">
        <v>24</v>
      </c>
      <c r="K1332" s="2" t="s">
        <v>132</v>
      </c>
      <c r="L1332" s="2" t="s">
        <v>40</v>
      </c>
      <c r="P1332" s="2" t="s">
        <v>48</v>
      </c>
      <c r="Q1332" s="2">
        <f>INDEX(Tables!$C$4:$C$28,MATCH($P1332,Tables!$B$4:$B$28,0))</f>
        <v>32</v>
      </c>
      <c r="R1332" s="2">
        <f>INDEX(Tables!$D$4:$D$28,MATCH($P1332,Tables!$B$4:$B$28,0))</f>
        <v>4</v>
      </c>
      <c r="S1332" s="2">
        <f>$S1331+$R1331+INDEX(Tables!$N$5:$Q$8,MATCH(MOD($S1331+$R1331,4),Tables!$M$5:$M$8,0),MATCH($R1332,Tables!$N$4:$Q$4,0))</f>
        <v>5144</v>
      </c>
      <c r="T1332" s="2" t="str">
        <f t="shared" si="318"/>
        <v>1418</v>
      </c>
      <c r="U1332" s="2">
        <f t="shared" si="324"/>
        <v>1286</v>
      </c>
      <c r="V1332" s="2" t="str">
        <f t="shared" si="319"/>
        <v>506</v>
      </c>
      <c r="W1332" s="2" t="str">
        <f t="shared" si="320"/>
        <v/>
      </c>
      <c r="X1332" s="2" t="str">
        <f t="shared" si="323"/>
        <v>X</v>
      </c>
      <c r="Y1332" s="2" t="str">
        <f t="shared" si="321"/>
        <v>X</v>
      </c>
      <c r="Z1332" s="2" t="str">
        <f t="shared" si="322"/>
        <v>X</v>
      </c>
      <c r="AA1332" s="2" t="str">
        <f t="shared" si="325"/>
        <v/>
      </c>
      <c r="AB1332" s="2" t="str">
        <f t="shared" si="326"/>
        <v>(23 downto 16)</v>
      </c>
      <c r="AC1332" s="2" t="str">
        <f t="shared" si="327"/>
        <v>(15 downto 8)</v>
      </c>
      <c r="AD1332" s="2" t="str">
        <f t="shared" si="328"/>
        <v>(7 downto 0)</v>
      </c>
      <c r="AE1332" s="2" t="str">
        <f t="shared" si="329"/>
        <v/>
      </c>
      <c r="AF1332" s="2" t="str">
        <f t="shared" si="330"/>
        <v>(23 downto 16)</v>
      </c>
      <c r="AG1332" s="2" t="str">
        <f t="shared" si="331"/>
        <v>(15 downto 8)</v>
      </c>
      <c r="AH1332" s="2" t="str">
        <f t="shared" si="332"/>
        <v>(7 downto 0)</v>
      </c>
    </row>
    <row r="1333" spans="2:34" x14ac:dyDescent="0.25">
      <c r="B1333" s="2" t="s">
        <v>3689</v>
      </c>
      <c r="C1333" s="2" t="s">
        <v>3623</v>
      </c>
      <c r="D1333" s="2" t="s">
        <v>0</v>
      </c>
      <c r="E1333" s="2" t="s">
        <v>130</v>
      </c>
      <c r="F1333" s="2" t="s">
        <v>3690</v>
      </c>
      <c r="G1333" s="2" t="s">
        <v>3691</v>
      </c>
      <c r="H1333" s="2" t="s">
        <v>23408</v>
      </c>
      <c r="I1333" s="2" t="s">
        <v>41</v>
      </c>
      <c r="J1333" s="2">
        <v>1</v>
      </c>
      <c r="K1333" s="2" t="s">
        <v>81</v>
      </c>
      <c r="L1333" s="2" t="s">
        <v>40</v>
      </c>
      <c r="P1333" s="2" t="s">
        <v>4</v>
      </c>
      <c r="Q1333" s="2">
        <f>INDEX(Tables!$C$4:$C$28,MATCH($P1333,Tables!$B$4:$B$28,0))</f>
        <v>32</v>
      </c>
      <c r="R1333" s="2">
        <f>INDEX(Tables!$D$4:$D$28,MATCH($P1333,Tables!$B$4:$B$28,0))</f>
        <v>4</v>
      </c>
      <c r="S1333" s="2">
        <f>$S1332+$R1332+INDEX(Tables!$N$5:$Q$8,MATCH(MOD($S1332+$R1332,4),Tables!$M$5:$M$8,0),MATCH($R1333,Tables!$N$4:$Q$4,0))</f>
        <v>5148</v>
      </c>
      <c r="T1333" s="2" t="str">
        <f t="shared" si="318"/>
        <v>141C</v>
      </c>
      <c r="U1333" s="2">
        <f t="shared" si="324"/>
        <v>1287</v>
      </c>
      <c r="V1333" s="2" t="str">
        <f t="shared" si="319"/>
        <v>507</v>
      </c>
      <c r="W1333" s="2" t="str">
        <f t="shared" si="320"/>
        <v/>
      </c>
      <c r="X1333" s="2" t="str">
        <f t="shared" si="323"/>
        <v/>
      </c>
      <c r="Y1333" s="2" t="str">
        <f t="shared" si="321"/>
        <v/>
      </c>
      <c r="Z1333" s="2" t="str">
        <f t="shared" si="322"/>
        <v>X</v>
      </c>
      <c r="AA1333" s="2" t="str">
        <f t="shared" si="325"/>
        <v/>
      </c>
      <c r="AB1333" s="2" t="str">
        <f t="shared" si="326"/>
        <v/>
      </c>
      <c r="AC1333" s="2" t="str">
        <f t="shared" si="327"/>
        <v/>
      </c>
      <c r="AD1333" s="2" t="str">
        <f t="shared" si="328"/>
        <v>(0)</v>
      </c>
      <c r="AE1333" s="2" t="str">
        <f t="shared" si="329"/>
        <v/>
      </c>
      <c r="AF1333" s="2" t="str">
        <f t="shared" si="330"/>
        <v/>
      </c>
      <c r="AG1333" s="2" t="str">
        <f t="shared" si="331"/>
        <v/>
      </c>
      <c r="AH1333" s="2" t="str">
        <f t="shared" si="332"/>
        <v/>
      </c>
    </row>
    <row r="1334" spans="2:34" x14ac:dyDescent="0.25">
      <c r="B1334" s="2" t="s">
        <v>3689</v>
      </c>
      <c r="C1334" s="2" t="s">
        <v>3626</v>
      </c>
      <c r="D1334" s="2" t="s">
        <v>0</v>
      </c>
      <c r="E1334" s="2" t="s">
        <v>130</v>
      </c>
      <c r="F1334" s="2" t="s">
        <v>3690</v>
      </c>
      <c r="G1334" s="2" t="s">
        <v>3691</v>
      </c>
      <c r="H1334" s="2" t="s">
        <v>3627</v>
      </c>
      <c r="I1334" s="2" t="s">
        <v>41</v>
      </c>
      <c r="J1334" s="2">
        <v>1</v>
      </c>
      <c r="K1334" s="2" t="s">
        <v>81</v>
      </c>
      <c r="L1334" s="2" t="s">
        <v>40</v>
      </c>
      <c r="P1334" s="2" t="s">
        <v>4</v>
      </c>
      <c r="Q1334" s="2">
        <f>INDEX(Tables!$C$4:$C$28,MATCH($P1334,Tables!$B$4:$B$28,0))</f>
        <v>32</v>
      </c>
      <c r="R1334" s="2">
        <f>INDEX(Tables!$D$4:$D$28,MATCH($P1334,Tables!$B$4:$B$28,0))</f>
        <v>4</v>
      </c>
      <c r="S1334" s="2">
        <f>$S1333+$R1333+INDEX(Tables!$N$5:$Q$8,MATCH(MOD($S1333+$R1333,4),Tables!$M$5:$M$8,0),MATCH($R1334,Tables!$N$4:$Q$4,0))</f>
        <v>5152</v>
      </c>
      <c r="T1334" s="2" t="str">
        <f t="shared" si="318"/>
        <v>1420</v>
      </c>
      <c r="U1334" s="2">
        <f t="shared" si="324"/>
        <v>1288</v>
      </c>
      <c r="V1334" s="2" t="str">
        <f t="shared" si="319"/>
        <v>508</v>
      </c>
      <c r="W1334" s="2" t="str">
        <f t="shared" si="320"/>
        <v/>
      </c>
      <c r="X1334" s="2" t="str">
        <f t="shared" si="323"/>
        <v/>
      </c>
      <c r="Y1334" s="2" t="str">
        <f t="shared" si="321"/>
        <v/>
      </c>
      <c r="Z1334" s="2" t="str">
        <f t="shared" si="322"/>
        <v>X</v>
      </c>
      <c r="AA1334" s="2" t="str">
        <f t="shared" si="325"/>
        <v/>
      </c>
      <c r="AB1334" s="2" t="str">
        <f t="shared" si="326"/>
        <v/>
      </c>
      <c r="AC1334" s="2" t="str">
        <f t="shared" si="327"/>
        <v/>
      </c>
      <c r="AD1334" s="2" t="str">
        <f t="shared" si="328"/>
        <v>(0)</v>
      </c>
      <c r="AE1334" s="2" t="str">
        <f t="shared" si="329"/>
        <v/>
      </c>
      <c r="AF1334" s="2" t="str">
        <f t="shared" si="330"/>
        <v/>
      </c>
      <c r="AG1334" s="2" t="str">
        <f t="shared" si="331"/>
        <v/>
      </c>
      <c r="AH1334" s="2" t="str">
        <f t="shared" si="332"/>
        <v/>
      </c>
    </row>
    <row r="1335" spans="2:34" x14ac:dyDescent="0.25">
      <c r="B1335" s="2" t="s">
        <v>3689</v>
      </c>
      <c r="C1335" s="2" t="s">
        <v>3628</v>
      </c>
      <c r="D1335" s="2" t="s">
        <v>0</v>
      </c>
      <c r="E1335" s="2" t="s">
        <v>130</v>
      </c>
      <c r="F1335" s="2" t="s">
        <v>3690</v>
      </c>
      <c r="G1335" s="2" t="s">
        <v>3691</v>
      </c>
      <c r="H1335" s="2" t="s">
        <v>3629</v>
      </c>
      <c r="I1335" s="2" t="s">
        <v>41</v>
      </c>
      <c r="J1335" s="2">
        <v>1</v>
      </c>
      <c r="K1335" s="2" t="s">
        <v>81</v>
      </c>
      <c r="L1335" s="2" t="s">
        <v>40</v>
      </c>
      <c r="P1335" s="2" t="s">
        <v>4</v>
      </c>
      <c r="Q1335" s="2">
        <f>INDEX(Tables!$C$4:$C$28,MATCH($P1335,Tables!$B$4:$B$28,0))</f>
        <v>32</v>
      </c>
      <c r="R1335" s="2">
        <f>INDEX(Tables!$D$4:$D$28,MATCH($P1335,Tables!$B$4:$B$28,0))</f>
        <v>4</v>
      </c>
      <c r="S1335" s="2">
        <f>$S1334+$R1334+INDEX(Tables!$N$5:$Q$8,MATCH(MOD($S1334+$R1334,4),Tables!$M$5:$M$8,0),MATCH($R1335,Tables!$N$4:$Q$4,0))</f>
        <v>5156</v>
      </c>
      <c r="T1335" s="2" t="str">
        <f t="shared" si="318"/>
        <v>1424</v>
      </c>
      <c r="U1335" s="2">
        <f t="shared" si="324"/>
        <v>1289</v>
      </c>
      <c r="V1335" s="2" t="str">
        <f t="shared" si="319"/>
        <v>509</v>
      </c>
      <c r="W1335" s="2" t="str">
        <f t="shared" si="320"/>
        <v/>
      </c>
      <c r="X1335" s="2" t="str">
        <f t="shared" si="323"/>
        <v/>
      </c>
      <c r="Y1335" s="2" t="str">
        <f t="shared" si="321"/>
        <v/>
      </c>
      <c r="Z1335" s="2" t="str">
        <f t="shared" si="322"/>
        <v>X</v>
      </c>
      <c r="AA1335" s="2" t="str">
        <f t="shared" si="325"/>
        <v/>
      </c>
      <c r="AB1335" s="2" t="str">
        <f t="shared" si="326"/>
        <v/>
      </c>
      <c r="AC1335" s="2" t="str">
        <f t="shared" si="327"/>
        <v/>
      </c>
      <c r="AD1335" s="2" t="str">
        <f t="shared" si="328"/>
        <v>(0)</v>
      </c>
      <c r="AE1335" s="2" t="str">
        <f t="shared" si="329"/>
        <v/>
      </c>
      <c r="AF1335" s="2" t="str">
        <f t="shared" si="330"/>
        <v/>
      </c>
      <c r="AG1335" s="2" t="str">
        <f t="shared" si="331"/>
        <v/>
      </c>
      <c r="AH1335" s="2" t="str">
        <f t="shared" si="332"/>
        <v/>
      </c>
    </row>
    <row r="1336" spans="2:34" x14ac:dyDescent="0.25">
      <c r="B1336" s="2" t="s">
        <v>3689</v>
      </c>
      <c r="C1336" s="2" t="s">
        <v>3630</v>
      </c>
      <c r="D1336" s="2" t="s">
        <v>0</v>
      </c>
      <c r="E1336" s="2" t="s">
        <v>130</v>
      </c>
      <c r="F1336" s="2" t="s">
        <v>3690</v>
      </c>
      <c r="G1336" s="2" t="s">
        <v>3691</v>
      </c>
      <c r="H1336" s="2" t="s">
        <v>3631</v>
      </c>
      <c r="I1336" s="2" t="s">
        <v>41</v>
      </c>
      <c r="J1336" s="2">
        <v>5</v>
      </c>
      <c r="K1336" s="2" t="s">
        <v>132</v>
      </c>
      <c r="L1336" s="2" t="s">
        <v>40</v>
      </c>
      <c r="P1336" s="2" t="s">
        <v>47</v>
      </c>
      <c r="Q1336" s="2">
        <f>INDEX(Tables!$C$4:$C$28,MATCH($P1336,Tables!$B$4:$B$28,0))</f>
        <v>8</v>
      </c>
      <c r="R1336" s="2">
        <f>INDEX(Tables!$D$4:$D$28,MATCH($P1336,Tables!$B$4:$B$28,0))</f>
        <v>1</v>
      </c>
      <c r="S1336" s="2">
        <f>$S1335+$R1335+INDEX(Tables!$N$5:$Q$8,MATCH(MOD($S1335+$R1335,4),Tables!$M$5:$M$8,0),MATCH($R1336,Tables!$N$4:$Q$4,0))</f>
        <v>5160</v>
      </c>
      <c r="T1336" s="2" t="str">
        <f t="shared" si="318"/>
        <v>1428</v>
      </c>
      <c r="U1336" s="2">
        <f t="shared" si="324"/>
        <v>1290</v>
      </c>
      <c r="V1336" s="2" t="str">
        <f t="shared" si="319"/>
        <v>50A</v>
      </c>
      <c r="W1336" s="2" t="str">
        <f t="shared" si="320"/>
        <v/>
      </c>
      <c r="X1336" s="2" t="str">
        <f t="shared" si="323"/>
        <v/>
      </c>
      <c r="Y1336" s="2" t="str">
        <f t="shared" si="321"/>
        <v/>
      </c>
      <c r="Z1336" s="2" t="str">
        <f t="shared" si="322"/>
        <v>X</v>
      </c>
      <c r="AA1336" s="2" t="str">
        <f t="shared" si="325"/>
        <v/>
      </c>
      <c r="AB1336" s="2" t="str">
        <f t="shared" si="326"/>
        <v/>
      </c>
      <c r="AC1336" s="2" t="str">
        <f t="shared" si="327"/>
        <v/>
      </c>
      <c r="AD1336" s="2" t="str">
        <f t="shared" si="328"/>
        <v>(4 downto 0)</v>
      </c>
      <c r="AE1336" s="2" t="str">
        <f t="shared" si="329"/>
        <v/>
      </c>
      <c r="AF1336" s="2" t="str">
        <f t="shared" si="330"/>
        <v/>
      </c>
      <c r="AG1336" s="2" t="str">
        <f t="shared" si="331"/>
        <v/>
      </c>
      <c r="AH1336" s="2" t="str">
        <f t="shared" si="332"/>
        <v/>
      </c>
    </row>
    <row r="1337" spans="2:34" x14ac:dyDescent="0.25">
      <c r="B1337" s="2" t="s">
        <v>3689</v>
      </c>
      <c r="C1337" s="2" t="s">
        <v>3692</v>
      </c>
      <c r="D1337" s="2" t="s">
        <v>0</v>
      </c>
      <c r="E1337" s="2" t="s">
        <v>130</v>
      </c>
      <c r="F1337" s="2" t="s">
        <v>3690</v>
      </c>
      <c r="G1337" s="2" t="s">
        <v>3691</v>
      </c>
      <c r="H1337" s="2" t="s">
        <v>3693</v>
      </c>
      <c r="I1337" s="2" t="s">
        <v>41</v>
      </c>
      <c r="J1337" s="2">
        <v>24</v>
      </c>
      <c r="K1337" s="2" t="s">
        <v>132</v>
      </c>
      <c r="L1337" s="2" t="s">
        <v>40</v>
      </c>
      <c r="P1337" s="2" t="s">
        <v>48</v>
      </c>
      <c r="Q1337" s="2">
        <f>INDEX(Tables!$C$4:$C$28,MATCH($P1337,Tables!$B$4:$B$28,0))</f>
        <v>32</v>
      </c>
      <c r="R1337" s="2">
        <f>INDEX(Tables!$D$4:$D$28,MATCH($P1337,Tables!$B$4:$B$28,0))</f>
        <v>4</v>
      </c>
      <c r="S1337" s="2">
        <f>$S1336+$R1336+INDEX(Tables!$N$5:$Q$8,MATCH(MOD($S1336+$R1336,4),Tables!$M$5:$M$8,0),MATCH($R1337,Tables!$N$4:$Q$4,0))</f>
        <v>5164</v>
      </c>
      <c r="T1337" s="2" t="str">
        <f t="shared" si="318"/>
        <v>142C</v>
      </c>
      <c r="U1337" s="2">
        <f t="shared" si="324"/>
        <v>1291</v>
      </c>
      <c r="V1337" s="2" t="str">
        <f t="shared" si="319"/>
        <v>50B</v>
      </c>
      <c r="W1337" s="2" t="str">
        <f t="shared" si="320"/>
        <v/>
      </c>
      <c r="X1337" s="2" t="str">
        <f t="shared" si="323"/>
        <v>X</v>
      </c>
      <c r="Y1337" s="2" t="str">
        <f t="shared" si="321"/>
        <v>X</v>
      </c>
      <c r="Z1337" s="2" t="str">
        <f t="shared" si="322"/>
        <v>X</v>
      </c>
      <c r="AA1337" s="2" t="str">
        <f t="shared" si="325"/>
        <v/>
      </c>
      <c r="AB1337" s="2" t="str">
        <f t="shared" si="326"/>
        <v>(23 downto 16)</v>
      </c>
      <c r="AC1337" s="2" t="str">
        <f t="shared" si="327"/>
        <v>(15 downto 8)</v>
      </c>
      <c r="AD1337" s="2" t="str">
        <f t="shared" si="328"/>
        <v>(7 downto 0)</v>
      </c>
      <c r="AE1337" s="2" t="str">
        <f t="shared" si="329"/>
        <v/>
      </c>
      <c r="AF1337" s="2" t="str">
        <f t="shared" si="330"/>
        <v>(23 downto 16)</v>
      </c>
      <c r="AG1337" s="2" t="str">
        <f t="shared" si="331"/>
        <v>(15 downto 8)</v>
      </c>
      <c r="AH1337" s="2" t="str">
        <f t="shared" si="332"/>
        <v>(7 downto 0)</v>
      </c>
    </row>
    <row r="1338" spans="2:34" x14ac:dyDescent="0.25">
      <c r="B1338" s="2" t="s">
        <v>3694</v>
      </c>
      <c r="C1338" s="2" t="s">
        <v>3623</v>
      </c>
      <c r="D1338" s="2" t="s">
        <v>0</v>
      </c>
      <c r="E1338" s="2" t="s">
        <v>130</v>
      </c>
      <c r="F1338" s="2" t="s">
        <v>3695</v>
      </c>
      <c r="G1338" s="2" t="s">
        <v>3696</v>
      </c>
      <c r="H1338" s="2" t="s">
        <v>23408</v>
      </c>
      <c r="I1338" s="2" t="s">
        <v>41</v>
      </c>
      <c r="J1338" s="2">
        <v>1</v>
      </c>
      <c r="K1338" s="2" t="s">
        <v>81</v>
      </c>
      <c r="L1338" s="2" t="s">
        <v>40</v>
      </c>
      <c r="P1338" s="2" t="s">
        <v>4</v>
      </c>
      <c r="Q1338" s="2">
        <f>INDEX(Tables!$C$4:$C$28,MATCH($P1338,Tables!$B$4:$B$28,0))</f>
        <v>32</v>
      </c>
      <c r="R1338" s="2">
        <f>INDEX(Tables!$D$4:$D$28,MATCH($P1338,Tables!$B$4:$B$28,0))</f>
        <v>4</v>
      </c>
      <c r="S1338" s="2">
        <f>$S1337+$R1337+INDEX(Tables!$N$5:$Q$8,MATCH(MOD($S1337+$R1337,4),Tables!$M$5:$M$8,0),MATCH($R1338,Tables!$N$4:$Q$4,0))</f>
        <v>5168</v>
      </c>
      <c r="T1338" s="2" t="str">
        <f t="shared" si="318"/>
        <v>1430</v>
      </c>
      <c r="U1338" s="2">
        <f t="shared" si="324"/>
        <v>1292</v>
      </c>
      <c r="V1338" s="2" t="str">
        <f t="shared" si="319"/>
        <v>50C</v>
      </c>
      <c r="W1338" s="2" t="str">
        <f t="shared" si="320"/>
        <v/>
      </c>
      <c r="X1338" s="2" t="str">
        <f t="shared" si="323"/>
        <v/>
      </c>
      <c r="Y1338" s="2" t="str">
        <f t="shared" si="321"/>
        <v/>
      </c>
      <c r="Z1338" s="2" t="str">
        <f t="shared" si="322"/>
        <v>X</v>
      </c>
      <c r="AA1338" s="2" t="str">
        <f t="shared" si="325"/>
        <v/>
      </c>
      <c r="AB1338" s="2" t="str">
        <f t="shared" si="326"/>
        <v/>
      </c>
      <c r="AC1338" s="2" t="str">
        <f t="shared" si="327"/>
        <v/>
      </c>
      <c r="AD1338" s="2" t="str">
        <f t="shared" si="328"/>
        <v>(0)</v>
      </c>
      <c r="AE1338" s="2" t="str">
        <f t="shared" si="329"/>
        <v/>
      </c>
      <c r="AF1338" s="2" t="str">
        <f t="shared" si="330"/>
        <v/>
      </c>
      <c r="AG1338" s="2" t="str">
        <f t="shared" si="331"/>
        <v/>
      </c>
      <c r="AH1338" s="2" t="str">
        <f t="shared" si="332"/>
        <v/>
      </c>
    </row>
    <row r="1339" spans="2:34" x14ac:dyDescent="0.25">
      <c r="B1339" s="2" t="s">
        <v>3694</v>
      </c>
      <c r="C1339" s="2" t="s">
        <v>3626</v>
      </c>
      <c r="D1339" s="2" t="s">
        <v>0</v>
      </c>
      <c r="E1339" s="2" t="s">
        <v>130</v>
      </c>
      <c r="F1339" s="2" t="s">
        <v>3695</v>
      </c>
      <c r="G1339" s="2" t="s">
        <v>3696</v>
      </c>
      <c r="H1339" s="2" t="s">
        <v>3627</v>
      </c>
      <c r="I1339" s="2" t="s">
        <v>41</v>
      </c>
      <c r="J1339" s="2">
        <v>1</v>
      </c>
      <c r="K1339" s="2" t="s">
        <v>81</v>
      </c>
      <c r="L1339" s="2" t="s">
        <v>40</v>
      </c>
      <c r="P1339" s="2" t="s">
        <v>4</v>
      </c>
      <c r="Q1339" s="2">
        <f>INDEX(Tables!$C$4:$C$28,MATCH($P1339,Tables!$B$4:$B$28,0))</f>
        <v>32</v>
      </c>
      <c r="R1339" s="2">
        <f>INDEX(Tables!$D$4:$D$28,MATCH($P1339,Tables!$B$4:$B$28,0))</f>
        <v>4</v>
      </c>
      <c r="S1339" s="2">
        <f>$S1338+$R1338+INDEX(Tables!$N$5:$Q$8,MATCH(MOD($S1338+$R1338,4),Tables!$M$5:$M$8,0),MATCH($R1339,Tables!$N$4:$Q$4,0))</f>
        <v>5172</v>
      </c>
      <c r="T1339" s="2" t="str">
        <f t="shared" si="318"/>
        <v>1434</v>
      </c>
      <c r="U1339" s="2">
        <f t="shared" si="324"/>
        <v>1293</v>
      </c>
      <c r="V1339" s="2" t="str">
        <f t="shared" si="319"/>
        <v>50D</v>
      </c>
      <c r="W1339" s="2" t="str">
        <f t="shared" si="320"/>
        <v/>
      </c>
      <c r="X1339" s="2" t="str">
        <f t="shared" si="323"/>
        <v/>
      </c>
      <c r="Y1339" s="2" t="str">
        <f t="shared" si="321"/>
        <v/>
      </c>
      <c r="Z1339" s="2" t="str">
        <f t="shared" si="322"/>
        <v>X</v>
      </c>
      <c r="AA1339" s="2" t="str">
        <f t="shared" si="325"/>
        <v/>
      </c>
      <c r="AB1339" s="2" t="str">
        <f t="shared" si="326"/>
        <v/>
      </c>
      <c r="AC1339" s="2" t="str">
        <f t="shared" si="327"/>
        <v/>
      </c>
      <c r="AD1339" s="2" t="str">
        <f t="shared" si="328"/>
        <v>(0)</v>
      </c>
      <c r="AE1339" s="2" t="str">
        <f t="shared" si="329"/>
        <v/>
      </c>
      <c r="AF1339" s="2" t="str">
        <f t="shared" si="330"/>
        <v/>
      </c>
      <c r="AG1339" s="2" t="str">
        <f t="shared" si="331"/>
        <v/>
      </c>
      <c r="AH1339" s="2" t="str">
        <f t="shared" si="332"/>
        <v/>
      </c>
    </row>
    <row r="1340" spans="2:34" x14ac:dyDescent="0.25">
      <c r="B1340" s="2" t="s">
        <v>3694</v>
      </c>
      <c r="C1340" s="2" t="s">
        <v>3628</v>
      </c>
      <c r="D1340" s="2" t="s">
        <v>0</v>
      </c>
      <c r="E1340" s="2" t="s">
        <v>130</v>
      </c>
      <c r="F1340" s="2" t="s">
        <v>3695</v>
      </c>
      <c r="G1340" s="2" t="s">
        <v>3696</v>
      </c>
      <c r="H1340" s="2" t="s">
        <v>3629</v>
      </c>
      <c r="I1340" s="2" t="s">
        <v>41</v>
      </c>
      <c r="J1340" s="2">
        <v>1</v>
      </c>
      <c r="K1340" s="2" t="s">
        <v>81</v>
      </c>
      <c r="L1340" s="2" t="s">
        <v>40</v>
      </c>
      <c r="P1340" s="2" t="s">
        <v>4</v>
      </c>
      <c r="Q1340" s="2">
        <f>INDEX(Tables!$C$4:$C$28,MATCH($P1340,Tables!$B$4:$B$28,0))</f>
        <v>32</v>
      </c>
      <c r="R1340" s="2">
        <f>INDEX(Tables!$D$4:$D$28,MATCH($P1340,Tables!$B$4:$B$28,0))</f>
        <v>4</v>
      </c>
      <c r="S1340" s="2">
        <f>$S1339+$R1339+INDEX(Tables!$N$5:$Q$8,MATCH(MOD($S1339+$R1339,4),Tables!$M$5:$M$8,0),MATCH($R1340,Tables!$N$4:$Q$4,0))</f>
        <v>5176</v>
      </c>
      <c r="T1340" s="2" t="str">
        <f t="shared" si="318"/>
        <v>1438</v>
      </c>
      <c r="U1340" s="2">
        <f t="shared" si="324"/>
        <v>1294</v>
      </c>
      <c r="V1340" s="2" t="str">
        <f t="shared" si="319"/>
        <v>50E</v>
      </c>
      <c r="W1340" s="2" t="str">
        <f t="shared" si="320"/>
        <v/>
      </c>
      <c r="X1340" s="2" t="str">
        <f t="shared" si="323"/>
        <v/>
      </c>
      <c r="Y1340" s="2" t="str">
        <f t="shared" si="321"/>
        <v/>
      </c>
      <c r="Z1340" s="2" t="str">
        <f t="shared" si="322"/>
        <v>X</v>
      </c>
      <c r="AA1340" s="2" t="str">
        <f t="shared" si="325"/>
        <v/>
      </c>
      <c r="AB1340" s="2" t="str">
        <f t="shared" si="326"/>
        <v/>
      </c>
      <c r="AC1340" s="2" t="str">
        <f t="shared" si="327"/>
        <v/>
      </c>
      <c r="AD1340" s="2" t="str">
        <f t="shared" si="328"/>
        <v>(0)</v>
      </c>
      <c r="AE1340" s="2" t="str">
        <f t="shared" si="329"/>
        <v/>
      </c>
      <c r="AF1340" s="2" t="str">
        <f t="shared" si="330"/>
        <v/>
      </c>
      <c r="AG1340" s="2" t="str">
        <f t="shared" si="331"/>
        <v/>
      </c>
      <c r="AH1340" s="2" t="str">
        <f t="shared" si="332"/>
        <v/>
      </c>
    </row>
    <row r="1341" spans="2:34" x14ac:dyDescent="0.25">
      <c r="B1341" s="2" t="s">
        <v>3694</v>
      </c>
      <c r="C1341" s="2" t="s">
        <v>3630</v>
      </c>
      <c r="D1341" s="2" t="s">
        <v>0</v>
      </c>
      <c r="E1341" s="2" t="s">
        <v>130</v>
      </c>
      <c r="F1341" s="2" t="s">
        <v>3695</v>
      </c>
      <c r="G1341" s="2" t="s">
        <v>3696</v>
      </c>
      <c r="H1341" s="2" t="s">
        <v>3631</v>
      </c>
      <c r="I1341" s="2" t="s">
        <v>41</v>
      </c>
      <c r="J1341" s="2">
        <v>5</v>
      </c>
      <c r="K1341" s="2" t="s">
        <v>132</v>
      </c>
      <c r="L1341" s="2" t="s">
        <v>40</v>
      </c>
      <c r="P1341" s="2" t="s">
        <v>47</v>
      </c>
      <c r="Q1341" s="2">
        <f>INDEX(Tables!$C$4:$C$28,MATCH($P1341,Tables!$B$4:$B$28,0))</f>
        <v>8</v>
      </c>
      <c r="R1341" s="2">
        <f>INDEX(Tables!$D$4:$D$28,MATCH($P1341,Tables!$B$4:$B$28,0))</f>
        <v>1</v>
      </c>
      <c r="S1341" s="2">
        <f>$S1340+$R1340+INDEX(Tables!$N$5:$Q$8,MATCH(MOD($S1340+$R1340,4),Tables!$M$5:$M$8,0),MATCH($R1341,Tables!$N$4:$Q$4,0))</f>
        <v>5180</v>
      </c>
      <c r="T1341" s="2" t="str">
        <f t="shared" si="318"/>
        <v>143C</v>
      </c>
      <c r="U1341" s="2">
        <f t="shared" si="324"/>
        <v>1295</v>
      </c>
      <c r="V1341" s="2" t="str">
        <f t="shared" si="319"/>
        <v>50F</v>
      </c>
      <c r="W1341" s="2" t="str">
        <f t="shared" si="320"/>
        <v/>
      </c>
      <c r="X1341" s="2" t="str">
        <f t="shared" si="323"/>
        <v/>
      </c>
      <c r="Y1341" s="2" t="str">
        <f t="shared" si="321"/>
        <v/>
      </c>
      <c r="Z1341" s="2" t="str">
        <f t="shared" si="322"/>
        <v>X</v>
      </c>
      <c r="AA1341" s="2" t="str">
        <f t="shared" si="325"/>
        <v/>
      </c>
      <c r="AB1341" s="2" t="str">
        <f t="shared" si="326"/>
        <v/>
      </c>
      <c r="AC1341" s="2" t="str">
        <f t="shared" si="327"/>
        <v/>
      </c>
      <c r="AD1341" s="2" t="str">
        <f t="shared" si="328"/>
        <v>(4 downto 0)</v>
      </c>
      <c r="AE1341" s="2" t="str">
        <f t="shared" si="329"/>
        <v/>
      </c>
      <c r="AF1341" s="2" t="str">
        <f t="shared" si="330"/>
        <v/>
      </c>
      <c r="AG1341" s="2" t="str">
        <f t="shared" si="331"/>
        <v/>
      </c>
      <c r="AH1341" s="2" t="str">
        <f t="shared" si="332"/>
        <v/>
      </c>
    </row>
    <row r="1342" spans="2:34" x14ac:dyDescent="0.25">
      <c r="B1342" s="2" t="s">
        <v>3694</v>
      </c>
      <c r="C1342" s="2" t="s">
        <v>3697</v>
      </c>
      <c r="D1342" s="2" t="s">
        <v>0</v>
      </c>
      <c r="E1342" s="2" t="s">
        <v>130</v>
      </c>
      <c r="F1342" s="2" t="s">
        <v>3695</v>
      </c>
      <c r="G1342" s="2" t="s">
        <v>3696</v>
      </c>
      <c r="H1342" s="2" t="s">
        <v>3698</v>
      </c>
      <c r="I1342" s="2" t="s">
        <v>41</v>
      </c>
      <c r="J1342" s="2">
        <v>24</v>
      </c>
      <c r="K1342" s="2" t="s">
        <v>132</v>
      </c>
      <c r="L1342" s="2" t="s">
        <v>40</v>
      </c>
      <c r="P1342" s="2" t="s">
        <v>48</v>
      </c>
      <c r="Q1342" s="2">
        <f>INDEX(Tables!$C$4:$C$28,MATCH($P1342,Tables!$B$4:$B$28,0))</f>
        <v>32</v>
      </c>
      <c r="R1342" s="2">
        <f>INDEX(Tables!$D$4:$D$28,MATCH($P1342,Tables!$B$4:$B$28,0))</f>
        <v>4</v>
      </c>
      <c r="S1342" s="2">
        <f>$S1341+$R1341+INDEX(Tables!$N$5:$Q$8,MATCH(MOD($S1341+$R1341,4),Tables!$M$5:$M$8,0),MATCH($R1342,Tables!$N$4:$Q$4,0))</f>
        <v>5184</v>
      </c>
      <c r="T1342" s="2" t="str">
        <f t="shared" si="318"/>
        <v>1440</v>
      </c>
      <c r="U1342" s="2">
        <f t="shared" si="324"/>
        <v>1296</v>
      </c>
      <c r="V1342" s="2" t="str">
        <f t="shared" si="319"/>
        <v>510</v>
      </c>
      <c r="W1342" s="2" t="str">
        <f t="shared" si="320"/>
        <v/>
      </c>
      <c r="X1342" s="2" t="str">
        <f t="shared" si="323"/>
        <v>X</v>
      </c>
      <c r="Y1342" s="2" t="str">
        <f t="shared" si="321"/>
        <v>X</v>
      </c>
      <c r="Z1342" s="2" t="str">
        <f t="shared" si="322"/>
        <v>X</v>
      </c>
      <c r="AA1342" s="2" t="str">
        <f t="shared" si="325"/>
        <v/>
      </c>
      <c r="AB1342" s="2" t="str">
        <f t="shared" si="326"/>
        <v>(23 downto 16)</v>
      </c>
      <c r="AC1342" s="2" t="str">
        <f t="shared" si="327"/>
        <v>(15 downto 8)</v>
      </c>
      <c r="AD1342" s="2" t="str">
        <f t="shared" si="328"/>
        <v>(7 downto 0)</v>
      </c>
      <c r="AE1342" s="2" t="str">
        <f t="shared" si="329"/>
        <v/>
      </c>
      <c r="AF1342" s="2" t="str">
        <f t="shared" si="330"/>
        <v>(23 downto 16)</v>
      </c>
      <c r="AG1342" s="2" t="str">
        <f t="shared" si="331"/>
        <v>(15 downto 8)</v>
      </c>
      <c r="AH1342" s="2" t="str">
        <f t="shared" si="332"/>
        <v>(7 downto 0)</v>
      </c>
    </row>
    <row r="1343" spans="2:34" x14ac:dyDescent="0.25">
      <c r="B1343" s="2" t="s">
        <v>3699</v>
      </c>
      <c r="C1343" s="2" t="s">
        <v>3623</v>
      </c>
      <c r="D1343" s="2" t="s">
        <v>0</v>
      </c>
      <c r="E1343" s="2" t="s">
        <v>130</v>
      </c>
      <c r="F1343" s="2" t="s">
        <v>3700</v>
      </c>
      <c r="G1343" s="2" t="s">
        <v>3701</v>
      </c>
      <c r="H1343" s="2" t="s">
        <v>23408</v>
      </c>
      <c r="I1343" s="2" t="s">
        <v>41</v>
      </c>
      <c r="J1343" s="2">
        <v>1</v>
      </c>
      <c r="K1343" s="2" t="s">
        <v>81</v>
      </c>
      <c r="L1343" s="2" t="s">
        <v>40</v>
      </c>
      <c r="P1343" s="2" t="s">
        <v>4</v>
      </c>
      <c r="Q1343" s="2">
        <f>INDEX(Tables!$C$4:$C$28,MATCH($P1343,Tables!$B$4:$B$28,0))</f>
        <v>32</v>
      </c>
      <c r="R1343" s="2">
        <f>INDEX(Tables!$D$4:$D$28,MATCH($P1343,Tables!$B$4:$B$28,0))</f>
        <v>4</v>
      </c>
      <c r="S1343" s="2">
        <f>$S1342+$R1342+INDEX(Tables!$N$5:$Q$8,MATCH(MOD($S1342+$R1342,4),Tables!$M$5:$M$8,0),MATCH($R1343,Tables!$N$4:$Q$4,0))</f>
        <v>5188</v>
      </c>
      <c r="T1343" s="2" t="str">
        <f t="shared" si="318"/>
        <v>1444</v>
      </c>
      <c r="U1343" s="2">
        <f t="shared" si="324"/>
        <v>1297</v>
      </c>
      <c r="V1343" s="2" t="str">
        <f t="shared" si="319"/>
        <v>511</v>
      </c>
      <c r="W1343" s="2" t="str">
        <f t="shared" si="320"/>
        <v/>
      </c>
      <c r="X1343" s="2" t="str">
        <f t="shared" si="323"/>
        <v/>
      </c>
      <c r="Y1343" s="2" t="str">
        <f t="shared" si="321"/>
        <v/>
      </c>
      <c r="Z1343" s="2" t="str">
        <f t="shared" si="322"/>
        <v>X</v>
      </c>
      <c r="AA1343" s="2" t="str">
        <f t="shared" si="325"/>
        <v/>
      </c>
      <c r="AB1343" s="2" t="str">
        <f t="shared" si="326"/>
        <v/>
      </c>
      <c r="AC1343" s="2" t="str">
        <f t="shared" si="327"/>
        <v/>
      </c>
      <c r="AD1343" s="2" t="str">
        <f t="shared" si="328"/>
        <v>(0)</v>
      </c>
      <c r="AE1343" s="2" t="str">
        <f t="shared" si="329"/>
        <v/>
      </c>
      <c r="AF1343" s="2" t="str">
        <f t="shared" si="330"/>
        <v/>
      </c>
      <c r="AG1343" s="2" t="str">
        <f t="shared" si="331"/>
        <v/>
      </c>
      <c r="AH1343" s="2" t="str">
        <f t="shared" si="332"/>
        <v/>
      </c>
    </row>
    <row r="1344" spans="2:34" x14ac:dyDescent="0.25">
      <c r="B1344" s="2" t="s">
        <v>3699</v>
      </c>
      <c r="C1344" s="2" t="s">
        <v>3626</v>
      </c>
      <c r="D1344" s="2" t="s">
        <v>0</v>
      </c>
      <c r="E1344" s="2" t="s">
        <v>130</v>
      </c>
      <c r="F1344" s="2" t="s">
        <v>3700</v>
      </c>
      <c r="G1344" s="2" t="s">
        <v>3701</v>
      </c>
      <c r="H1344" s="2" t="s">
        <v>3627</v>
      </c>
      <c r="I1344" s="2" t="s">
        <v>41</v>
      </c>
      <c r="J1344" s="2">
        <v>1</v>
      </c>
      <c r="K1344" s="2" t="s">
        <v>81</v>
      </c>
      <c r="L1344" s="2" t="s">
        <v>40</v>
      </c>
      <c r="P1344" s="2" t="s">
        <v>4</v>
      </c>
      <c r="Q1344" s="2">
        <f>INDEX(Tables!$C$4:$C$28,MATCH($P1344,Tables!$B$4:$B$28,0))</f>
        <v>32</v>
      </c>
      <c r="R1344" s="2">
        <f>INDEX(Tables!$D$4:$D$28,MATCH($P1344,Tables!$B$4:$B$28,0))</f>
        <v>4</v>
      </c>
      <c r="S1344" s="2">
        <f>$S1343+$R1343+INDEX(Tables!$N$5:$Q$8,MATCH(MOD($S1343+$R1343,4),Tables!$M$5:$M$8,0),MATCH($R1344,Tables!$N$4:$Q$4,0))</f>
        <v>5192</v>
      </c>
      <c r="T1344" s="2" t="str">
        <f t="shared" si="318"/>
        <v>1448</v>
      </c>
      <c r="U1344" s="2">
        <f t="shared" si="324"/>
        <v>1298</v>
      </c>
      <c r="V1344" s="2" t="str">
        <f t="shared" si="319"/>
        <v>512</v>
      </c>
      <c r="W1344" s="2" t="str">
        <f t="shared" si="320"/>
        <v/>
      </c>
      <c r="X1344" s="2" t="str">
        <f t="shared" si="323"/>
        <v/>
      </c>
      <c r="Y1344" s="2" t="str">
        <f t="shared" si="321"/>
        <v/>
      </c>
      <c r="Z1344" s="2" t="str">
        <f t="shared" si="322"/>
        <v>X</v>
      </c>
      <c r="AA1344" s="2" t="str">
        <f t="shared" si="325"/>
        <v/>
      </c>
      <c r="AB1344" s="2" t="str">
        <f t="shared" si="326"/>
        <v/>
      </c>
      <c r="AC1344" s="2" t="str">
        <f t="shared" si="327"/>
        <v/>
      </c>
      <c r="AD1344" s="2" t="str">
        <f t="shared" si="328"/>
        <v>(0)</v>
      </c>
      <c r="AE1344" s="2" t="str">
        <f t="shared" si="329"/>
        <v/>
      </c>
      <c r="AF1344" s="2" t="str">
        <f t="shared" si="330"/>
        <v/>
      </c>
      <c r="AG1344" s="2" t="str">
        <f t="shared" si="331"/>
        <v/>
      </c>
      <c r="AH1344" s="2" t="str">
        <f t="shared" si="332"/>
        <v/>
      </c>
    </row>
    <row r="1345" spans="2:34" x14ac:dyDescent="0.25">
      <c r="B1345" s="2" t="s">
        <v>3699</v>
      </c>
      <c r="C1345" s="2" t="s">
        <v>3628</v>
      </c>
      <c r="D1345" s="2" t="s">
        <v>0</v>
      </c>
      <c r="E1345" s="2" t="s">
        <v>130</v>
      </c>
      <c r="F1345" s="2" t="s">
        <v>3700</v>
      </c>
      <c r="G1345" s="2" t="s">
        <v>3701</v>
      </c>
      <c r="H1345" s="2" t="s">
        <v>3629</v>
      </c>
      <c r="I1345" s="2" t="s">
        <v>41</v>
      </c>
      <c r="J1345" s="2">
        <v>1</v>
      </c>
      <c r="K1345" s="2" t="s">
        <v>81</v>
      </c>
      <c r="L1345" s="2" t="s">
        <v>40</v>
      </c>
      <c r="P1345" s="2" t="s">
        <v>4</v>
      </c>
      <c r="Q1345" s="2">
        <f>INDEX(Tables!$C$4:$C$28,MATCH($P1345,Tables!$B$4:$B$28,0))</f>
        <v>32</v>
      </c>
      <c r="R1345" s="2">
        <f>INDEX(Tables!$D$4:$D$28,MATCH($P1345,Tables!$B$4:$B$28,0))</f>
        <v>4</v>
      </c>
      <c r="S1345" s="2">
        <f>$S1344+$R1344+INDEX(Tables!$N$5:$Q$8,MATCH(MOD($S1344+$R1344,4),Tables!$M$5:$M$8,0),MATCH($R1345,Tables!$N$4:$Q$4,0))</f>
        <v>5196</v>
      </c>
      <c r="T1345" s="2" t="str">
        <f t="shared" si="318"/>
        <v>144C</v>
      </c>
      <c r="U1345" s="2">
        <f t="shared" si="324"/>
        <v>1299</v>
      </c>
      <c r="V1345" s="2" t="str">
        <f t="shared" si="319"/>
        <v>513</v>
      </c>
      <c r="W1345" s="2" t="str">
        <f t="shared" si="320"/>
        <v/>
      </c>
      <c r="X1345" s="2" t="str">
        <f t="shared" si="323"/>
        <v/>
      </c>
      <c r="Y1345" s="2" t="str">
        <f t="shared" si="321"/>
        <v/>
      </c>
      <c r="Z1345" s="2" t="str">
        <f t="shared" si="322"/>
        <v>X</v>
      </c>
      <c r="AA1345" s="2" t="str">
        <f t="shared" si="325"/>
        <v/>
      </c>
      <c r="AB1345" s="2" t="str">
        <f t="shared" si="326"/>
        <v/>
      </c>
      <c r="AC1345" s="2" t="str">
        <f t="shared" si="327"/>
        <v/>
      </c>
      <c r="AD1345" s="2" t="str">
        <f t="shared" si="328"/>
        <v>(0)</v>
      </c>
      <c r="AE1345" s="2" t="str">
        <f t="shared" si="329"/>
        <v/>
      </c>
      <c r="AF1345" s="2" t="str">
        <f t="shared" si="330"/>
        <v/>
      </c>
      <c r="AG1345" s="2" t="str">
        <f t="shared" si="331"/>
        <v/>
      </c>
      <c r="AH1345" s="2" t="str">
        <f t="shared" si="332"/>
        <v/>
      </c>
    </row>
    <row r="1346" spans="2:34" x14ac:dyDescent="0.25">
      <c r="B1346" s="2" t="s">
        <v>3699</v>
      </c>
      <c r="C1346" s="2" t="s">
        <v>3630</v>
      </c>
      <c r="D1346" s="2" t="s">
        <v>0</v>
      </c>
      <c r="E1346" s="2" t="s">
        <v>130</v>
      </c>
      <c r="F1346" s="2" t="s">
        <v>3700</v>
      </c>
      <c r="G1346" s="2" t="s">
        <v>3701</v>
      </c>
      <c r="H1346" s="2" t="s">
        <v>3631</v>
      </c>
      <c r="I1346" s="2" t="s">
        <v>41</v>
      </c>
      <c r="J1346" s="2">
        <v>5</v>
      </c>
      <c r="K1346" s="2" t="s">
        <v>132</v>
      </c>
      <c r="L1346" s="2" t="s">
        <v>40</v>
      </c>
      <c r="P1346" s="2" t="s">
        <v>47</v>
      </c>
      <c r="Q1346" s="2">
        <f>INDEX(Tables!$C$4:$C$28,MATCH($P1346,Tables!$B$4:$B$28,0))</f>
        <v>8</v>
      </c>
      <c r="R1346" s="2">
        <f>INDEX(Tables!$D$4:$D$28,MATCH($P1346,Tables!$B$4:$B$28,0))</f>
        <v>1</v>
      </c>
      <c r="S1346" s="2">
        <f>$S1345+$R1345+INDEX(Tables!$N$5:$Q$8,MATCH(MOD($S1345+$R1345,4),Tables!$M$5:$M$8,0),MATCH($R1346,Tables!$N$4:$Q$4,0))</f>
        <v>5200</v>
      </c>
      <c r="T1346" s="2" t="str">
        <f t="shared" si="318"/>
        <v>1450</v>
      </c>
      <c r="U1346" s="2">
        <f t="shared" si="324"/>
        <v>1300</v>
      </c>
      <c r="V1346" s="2" t="str">
        <f t="shared" si="319"/>
        <v>514</v>
      </c>
      <c r="W1346" s="2" t="str">
        <f t="shared" si="320"/>
        <v/>
      </c>
      <c r="X1346" s="2" t="str">
        <f t="shared" si="323"/>
        <v/>
      </c>
      <c r="Y1346" s="2" t="str">
        <f t="shared" si="321"/>
        <v/>
      </c>
      <c r="Z1346" s="2" t="str">
        <f t="shared" si="322"/>
        <v>X</v>
      </c>
      <c r="AA1346" s="2" t="str">
        <f t="shared" si="325"/>
        <v/>
      </c>
      <c r="AB1346" s="2" t="str">
        <f t="shared" si="326"/>
        <v/>
      </c>
      <c r="AC1346" s="2" t="str">
        <f t="shared" si="327"/>
        <v/>
      </c>
      <c r="AD1346" s="2" t="str">
        <f t="shared" si="328"/>
        <v>(4 downto 0)</v>
      </c>
      <c r="AE1346" s="2" t="str">
        <f t="shared" si="329"/>
        <v/>
      </c>
      <c r="AF1346" s="2" t="str">
        <f t="shared" si="330"/>
        <v/>
      </c>
      <c r="AG1346" s="2" t="str">
        <f t="shared" si="331"/>
        <v/>
      </c>
      <c r="AH1346" s="2" t="str">
        <f t="shared" si="332"/>
        <v/>
      </c>
    </row>
    <row r="1347" spans="2:34" x14ac:dyDescent="0.25">
      <c r="B1347" s="2" t="s">
        <v>3699</v>
      </c>
      <c r="C1347" s="2" t="s">
        <v>3702</v>
      </c>
      <c r="D1347" s="2" t="s">
        <v>0</v>
      </c>
      <c r="E1347" s="2" t="s">
        <v>130</v>
      </c>
      <c r="F1347" s="2" t="s">
        <v>3700</v>
      </c>
      <c r="G1347" s="2" t="s">
        <v>3701</v>
      </c>
      <c r="H1347" s="2" t="s">
        <v>3703</v>
      </c>
      <c r="I1347" s="2" t="s">
        <v>41</v>
      </c>
      <c r="J1347" s="2">
        <v>24</v>
      </c>
      <c r="K1347" s="2" t="s">
        <v>132</v>
      </c>
      <c r="L1347" s="2" t="s">
        <v>40</v>
      </c>
      <c r="P1347" s="2" t="s">
        <v>48</v>
      </c>
      <c r="Q1347" s="2">
        <f>INDEX(Tables!$C$4:$C$28,MATCH($P1347,Tables!$B$4:$B$28,0))</f>
        <v>32</v>
      </c>
      <c r="R1347" s="2">
        <f>INDEX(Tables!$D$4:$D$28,MATCH($P1347,Tables!$B$4:$B$28,0))</f>
        <v>4</v>
      </c>
      <c r="S1347" s="2">
        <f>$S1346+$R1346+INDEX(Tables!$N$5:$Q$8,MATCH(MOD($S1346+$R1346,4),Tables!$M$5:$M$8,0),MATCH($R1347,Tables!$N$4:$Q$4,0))</f>
        <v>5204</v>
      </c>
      <c r="T1347" s="2" t="str">
        <f t="shared" si="318"/>
        <v>1454</v>
      </c>
      <c r="U1347" s="2">
        <f t="shared" si="324"/>
        <v>1301</v>
      </c>
      <c r="V1347" s="2" t="str">
        <f t="shared" si="319"/>
        <v>515</v>
      </c>
      <c r="W1347" s="2" t="str">
        <f t="shared" si="320"/>
        <v/>
      </c>
      <c r="X1347" s="2" t="str">
        <f t="shared" si="323"/>
        <v>X</v>
      </c>
      <c r="Y1347" s="2" t="str">
        <f t="shared" si="321"/>
        <v>X</v>
      </c>
      <c r="Z1347" s="2" t="str">
        <f t="shared" si="322"/>
        <v>X</v>
      </c>
      <c r="AA1347" s="2" t="str">
        <f t="shared" si="325"/>
        <v/>
      </c>
      <c r="AB1347" s="2" t="str">
        <f t="shared" si="326"/>
        <v>(23 downto 16)</v>
      </c>
      <c r="AC1347" s="2" t="str">
        <f t="shared" si="327"/>
        <v>(15 downto 8)</v>
      </c>
      <c r="AD1347" s="2" t="str">
        <f t="shared" si="328"/>
        <v>(7 downto 0)</v>
      </c>
      <c r="AE1347" s="2" t="str">
        <f t="shared" si="329"/>
        <v/>
      </c>
      <c r="AF1347" s="2" t="str">
        <f t="shared" si="330"/>
        <v>(23 downto 16)</v>
      </c>
      <c r="AG1347" s="2" t="str">
        <f t="shared" si="331"/>
        <v>(15 downto 8)</v>
      </c>
      <c r="AH1347" s="2" t="str">
        <f t="shared" si="332"/>
        <v>(7 downto 0)</v>
      </c>
    </row>
    <row r="1348" spans="2:34" x14ac:dyDescent="0.25">
      <c r="B1348" s="2" t="s">
        <v>3704</v>
      </c>
      <c r="C1348" s="2" t="s">
        <v>3623</v>
      </c>
      <c r="D1348" s="2" t="s">
        <v>0</v>
      </c>
      <c r="E1348" s="2" t="s">
        <v>130</v>
      </c>
      <c r="F1348" s="2" t="s">
        <v>3705</v>
      </c>
      <c r="G1348" s="2" t="s">
        <v>3706</v>
      </c>
      <c r="H1348" s="2" t="s">
        <v>23408</v>
      </c>
      <c r="I1348" s="2" t="s">
        <v>41</v>
      </c>
      <c r="J1348" s="2">
        <v>1</v>
      </c>
      <c r="K1348" s="2" t="s">
        <v>81</v>
      </c>
      <c r="L1348" s="2" t="s">
        <v>40</v>
      </c>
      <c r="P1348" s="2" t="s">
        <v>4</v>
      </c>
      <c r="Q1348" s="2">
        <f>INDEX(Tables!$C$4:$C$28,MATCH($P1348,Tables!$B$4:$B$28,0))</f>
        <v>32</v>
      </c>
      <c r="R1348" s="2">
        <f>INDEX(Tables!$D$4:$D$28,MATCH($P1348,Tables!$B$4:$B$28,0))</f>
        <v>4</v>
      </c>
      <c r="S1348" s="2">
        <f>$S1347+$R1347+INDEX(Tables!$N$5:$Q$8,MATCH(MOD($S1347+$R1347,4),Tables!$M$5:$M$8,0),MATCH($R1348,Tables!$N$4:$Q$4,0))</f>
        <v>5208</v>
      </c>
      <c r="T1348" s="2" t="str">
        <f t="shared" si="318"/>
        <v>1458</v>
      </c>
      <c r="U1348" s="2">
        <f t="shared" si="324"/>
        <v>1302</v>
      </c>
      <c r="V1348" s="2" t="str">
        <f t="shared" si="319"/>
        <v>516</v>
      </c>
      <c r="W1348" s="2" t="str">
        <f t="shared" si="320"/>
        <v/>
      </c>
      <c r="X1348" s="2" t="str">
        <f t="shared" si="323"/>
        <v/>
      </c>
      <c r="Y1348" s="2" t="str">
        <f t="shared" si="321"/>
        <v/>
      </c>
      <c r="Z1348" s="2" t="str">
        <f t="shared" si="322"/>
        <v>X</v>
      </c>
      <c r="AA1348" s="2" t="str">
        <f t="shared" si="325"/>
        <v/>
      </c>
      <c r="AB1348" s="2" t="str">
        <f t="shared" si="326"/>
        <v/>
      </c>
      <c r="AC1348" s="2" t="str">
        <f t="shared" si="327"/>
        <v/>
      </c>
      <c r="AD1348" s="2" t="str">
        <f t="shared" si="328"/>
        <v>(0)</v>
      </c>
      <c r="AE1348" s="2" t="str">
        <f t="shared" si="329"/>
        <v/>
      </c>
      <c r="AF1348" s="2" t="str">
        <f t="shared" si="330"/>
        <v/>
      </c>
      <c r="AG1348" s="2" t="str">
        <f t="shared" si="331"/>
        <v/>
      </c>
      <c r="AH1348" s="2" t="str">
        <f t="shared" si="332"/>
        <v/>
      </c>
    </row>
    <row r="1349" spans="2:34" x14ac:dyDescent="0.25">
      <c r="B1349" s="2" t="s">
        <v>3704</v>
      </c>
      <c r="C1349" s="2" t="s">
        <v>3626</v>
      </c>
      <c r="D1349" s="2" t="s">
        <v>0</v>
      </c>
      <c r="E1349" s="2" t="s">
        <v>130</v>
      </c>
      <c r="F1349" s="2" t="s">
        <v>3705</v>
      </c>
      <c r="G1349" s="2" t="s">
        <v>3706</v>
      </c>
      <c r="H1349" s="2" t="s">
        <v>3627</v>
      </c>
      <c r="I1349" s="2" t="s">
        <v>41</v>
      </c>
      <c r="J1349" s="2">
        <v>1</v>
      </c>
      <c r="K1349" s="2" t="s">
        <v>81</v>
      </c>
      <c r="L1349" s="2" t="s">
        <v>40</v>
      </c>
      <c r="P1349" s="2" t="s">
        <v>4</v>
      </c>
      <c r="Q1349" s="2">
        <f>INDEX(Tables!$C$4:$C$28,MATCH($P1349,Tables!$B$4:$B$28,0))</f>
        <v>32</v>
      </c>
      <c r="R1349" s="2">
        <f>INDEX(Tables!$D$4:$D$28,MATCH($P1349,Tables!$B$4:$B$28,0))</f>
        <v>4</v>
      </c>
      <c r="S1349" s="2">
        <f>$S1348+$R1348+INDEX(Tables!$N$5:$Q$8,MATCH(MOD($S1348+$R1348,4),Tables!$M$5:$M$8,0),MATCH($R1349,Tables!$N$4:$Q$4,0))</f>
        <v>5212</v>
      </c>
      <c r="T1349" s="2" t="str">
        <f t="shared" ref="T1349:T1412" si="333">DEC2HEX($S1349,4)</f>
        <v>145C</v>
      </c>
      <c r="U1349" s="2">
        <f t="shared" si="324"/>
        <v>1303</v>
      </c>
      <c r="V1349" s="2" t="str">
        <f t="shared" ref="V1349:V1412" si="334">DEC2HEX($U1349,3)</f>
        <v>517</v>
      </c>
      <c r="W1349" s="2" t="str">
        <f t="shared" ref="W1349:W1412" si="335">IF(MOD($S1349,4)=3,"X",IF(AND(MOD($S1349,4)=2,$J1349&gt;8),"X",IF(AND(MOD($S1349,4)=1,$J1349&gt;16),"X",IF(AND(MOD($S1349,4)=0,$J1349&gt;24),"X",""))))</f>
        <v/>
      </c>
      <c r="X1349" s="2" t="str">
        <f t="shared" si="323"/>
        <v/>
      </c>
      <c r="Y1349" s="2" t="str">
        <f t="shared" ref="Y1349:Y1412" si="336">IF(MOD($S1349,4)=1,"X",IF(AND(MOD($S1349,4)=0,$J1349&gt;8),"X",""))</f>
        <v/>
      </c>
      <c r="Z1349" s="2" t="str">
        <f t="shared" ref="Z1349:Z1412" si="337">IF(MOD($S1349,4)=0,"X","")</f>
        <v>X</v>
      </c>
      <c r="AA1349" s="2" t="str">
        <f t="shared" si="325"/>
        <v/>
      </c>
      <c r="AB1349" s="2" t="str">
        <f t="shared" si="326"/>
        <v/>
      </c>
      <c r="AC1349" s="2" t="str">
        <f t="shared" si="327"/>
        <v/>
      </c>
      <c r="AD1349" s="2" t="str">
        <f t="shared" si="328"/>
        <v>(0)</v>
      </c>
      <c r="AE1349" s="2" t="str">
        <f t="shared" si="329"/>
        <v/>
      </c>
      <c r="AF1349" s="2" t="str">
        <f t="shared" si="330"/>
        <v/>
      </c>
      <c r="AG1349" s="2" t="str">
        <f t="shared" si="331"/>
        <v/>
      </c>
      <c r="AH1349" s="2" t="str">
        <f t="shared" si="332"/>
        <v/>
      </c>
    </row>
    <row r="1350" spans="2:34" x14ac:dyDescent="0.25">
      <c r="B1350" s="2" t="s">
        <v>3704</v>
      </c>
      <c r="C1350" s="2" t="s">
        <v>3628</v>
      </c>
      <c r="D1350" s="2" t="s">
        <v>0</v>
      </c>
      <c r="E1350" s="2" t="s">
        <v>130</v>
      </c>
      <c r="F1350" s="2" t="s">
        <v>3705</v>
      </c>
      <c r="G1350" s="2" t="s">
        <v>3706</v>
      </c>
      <c r="H1350" s="2" t="s">
        <v>3629</v>
      </c>
      <c r="I1350" s="2" t="s">
        <v>41</v>
      </c>
      <c r="J1350" s="2">
        <v>1</v>
      </c>
      <c r="K1350" s="2" t="s">
        <v>81</v>
      </c>
      <c r="L1350" s="2" t="s">
        <v>40</v>
      </c>
      <c r="P1350" s="2" t="s">
        <v>4</v>
      </c>
      <c r="Q1350" s="2">
        <f>INDEX(Tables!$C$4:$C$28,MATCH($P1350,Tables!$B$4:$B$28,0))</f>
        <v>32</v>
      </c>
      <c r="R1350" s="2">
        <f>INDEX(Tables!$D$4:$D$28,MATCH($P1350,Tables!$B$4:$B$28,0))</f>
        <v>4</v>
      </c>
      <c r="S1350" s="2">
        <f>$S1349+$R1349+INDEX(Tables!$N$5:$Q$8,MATCH(MOD($S1349+$R1349,4),Tables!$M$5:$M$8,0),MATCH($R1350,Tables!$N$4:$Q$4,0))</f>
        <v>5216</v>
      </c>
      <c r="T1350" s="2" t="str">
        <f t="shared" si="333"/>
        <v>1460</v>
      </c>
      <c r="U1350" s="2">
        <f t="shared" si="324"/>
        <v>1304</v>
      </c>
      <c r="V1350" s="2" t="str">
        <f t="shared" si="334"/>
        <v>518</v>
      </c>
      <c r="W1350" s="2" t="str">
        <f t="shared" si="335"/>
        <v/>
      </c>
      <c r="X1350" s="2" t="str">
        <f t="shared" ref="X1350:X1413" si="338">IF(MOD($S1350,4)=2,"X",IF(AND(MOD($S1350,4)=1,$J1350&gt;8),"X",IF(AND(MOD($S1350,4)=0,$J1350&gt;16),"X","")))</f>
        <v/>
      </c>
      <c r="Y1350" s="2" t="str">
        <f t="shared" si="336"/>
        <v/>
      </c>
      <c r="Z1350" s="2" t="str">
        <f t="shared" si="337"/>
        <v>X</v>
      </c>
      <c r="AA1350" s="2" t="str">
        <f t="shared" si="325"/>
        <v/>
      </c>
      <c r="AB1350" s="2" t="str">
        <f t="shared" si="326"/>
        <v/>
      </c>
      <c r="AC1350" s="2" t="str">
        <f t="shared" si="327"/>
        <v/>
      </c>
      <c r="AD1350" s="2" t="str">
        <f t="shared" si="328"/>
        <v>(0)</v>
      </c>
      <c r="AE1350" s="2" t="str">
        <f t="shared" si="329"/>
        <v/>
      </c>
      <c r="AF1350" s="2" t="str">
        <f t="shared" si="330"/>
        <v/>
      </c>
      <c r="AG1350" s="2" t="str">
        <f t="shared" si="331"/>
        <v/>
      </c>
      <c r="AH1350" s="2" t="str">
        <f t="shared" si="332"/>
        <v/>
      </c>
    </row>
    <row r="1351" spans="2:34" x14ac:dyDescent="0.25">
      <c r="B1351" s="2" t="s">
        <v>3704</v>
      </c>
      <c r="C1351" s="2" t="s">
        <v>3630</v>
      </c>
      <c r="D1351" s="2" t="s">
        <v>0</v>
      </c>
      <c r="E1351" s="2" t="s">
        <v>130</v>
      </c>
      <c r="F1351" s="2" t="s">
        <v>3705</v>
      </c>
      <c r="G1351" s="2" t="s">
        <v>3706</v>
      </c>
      <c r="H1351" s="2" t="s">
        <v>3631</v>
      </c>
      <c r="I1351" s="2" t="s">
        <v>41</v>
      </c>
      <c r="J1351" s="2">
        <v>5</v>
      </c>
      <c r="K1351" s="2" t="s">
        <v>132</v>
      </c>
      <c r="L1351" s="2" t="s">
        <v>40</v>
      </c>
      <c r="P1351" s="2" t="s">
        <v>47</v>
      </c>
      <c r="Q1351" s="2">
        <f>INDEX(Tables!$C$4:$C$28,MATCH($P1351,Tables!$B$4:$B$28,0))</f>
        <v>8</v>
      </c>
      <c r="R1351" s="2">
        <f>INDEX(Tables!$D$4:$D$28,MATCH($P1351,Tables!$B$4:$B$28,0))</f>
        <v>1</v>
      </c>
      <c r="S1351" s="2">
        <f>$S1350+$R1350+INDEX(Tables!$N$5:$Q$8,MATCH(MOD($S1350+$R1350,4),Tables!$M$5:$M$8,0),MATCH($R1351,Tables!$N$4:$Q$4,0))</f>
        <v>5220</v>
      </c>
      <c r="T1351" s="2" t="str">
        <f t="shared" si="333"/>
        <v>1464</v>
      </c>
      <c r="U1351" s="2">
        <f t="shared" si="324"/>
        <v>1305</v>
      </c>
      <c r="V1351" s="2" t="str">
        <f t="shared" si="334"/>
        <v>519</v>
      </c>
      <c r="W1351" s="2" t="str">
        <f t="shared" si="335"/>
        <v/>
      </c>
      <c r="X1351" s="2" t="str">
        <f t="shared" si="338"/>
        <v/>
      </c>
      <c r="Y1351" s="2" t="str">
        <f t="shared" si="336"/>
        <v/>
      </c>
      <c r="Z1351" s="2" t="str">
        <f t="shared" si="337"/>
        <v>X</v>
      </c>
      <c r="AA1351" s="2" t="str">
        <f t="shared" si="325"/>
        <v/>
      </c>
      <c r="AB1351" s="2" t="str">
        <f t="shared" si="326"/>
        <v/>
      </c>
      <c r="AC1351" s="2" t="str">
        <f t="shared" si="327"/>
        <v/>
      </c>
      <c r="AD1351" s="2" t="str">
        <f t="shared" si="328"/>
        <v>(4 downto 0)</v>
      </c>
      <c r="AE1351" s="2" t="str">
        <f t="shared" si="329"/>
        <v/>
      </c>
      <c r="AF1351" s="2" t="str">
        <f t="shared" si="330"/>
        <v/>
      </c>
      <c r="AG1351" s="2" t="str">
        <f t="shared" si="331"/>
        <v/>
      </c>
      <c r="AH1351" s="2" t="str">
        <f t="shared" si="332"/>
        <v/>
      </c>
    </row>
    <row r="1352" spans="2:34" x14ac:dyDescent="0.25">
      <c r="B1352" s="2" t="s">
        <v>3704</v>
      </c>
      <c r="C1352" s="2" t="s">
        <v>3707</v>
      </c>
      <c r="D1352" s="2" t="s">
        <v>0</v>
      </c>
      <c r="E1352" s="2" t="s">
        <v>130</v>
      </c>
      <c r="F1352" s="2" t="s">
        <v>3705</v>
      </c>
      <c r="G1352" s="2" t="s">
        <v>3706</v>
      </c>
      <c r="H1352" s="2" t="s">
        <v>3708</v>
      </c>
      <c r="I1352" s="2" t="s">
        <v>41</v>
      </c>
      <c r="J1352" s="2">
        <v>24</v>
      </c>
      <c r="K1352" s="2" t="s">
        <v>132</v>
      </c>
      <c r="L1352" s="2" t="s">
        <v>40</v>
      </c>
      <c r="P1352" s="2" t="s">
        <v>48</v>
      </c>
      <c r="Q1352" s="2">
        <f>INDEX(Tables!$C$4:$C$28,MATCH($P1352,Tables!$B$4:$B$28,0))</f>
        <v>32</v>
      </c>
      <c r="R1352" s="2">
        <f>INDEX(Tables!$D$4:$D$28,MATCH($P1352,Tables!$B$4:$B$28,0))</f>
        <v>4</v>
      </c>
      <c r="S1352" s="2">
        <f>$S1351+$R1351+INDEX(Tables!$N$5:$Q$8,MATCH(MOD($S1351+$R1351,4),Tables!$M$5:$M$8,0),MATCH($R1352,Tables!$N$4:$Q$4,0))</f>
        <v>5224</v>
      </c>
      <c r="T1352" s="2" t="str">
        <f t="shared" si="333"/>
        <v>1468</v>
      </c>
      <c r="U1352" s="2">
        <f t="shared" si="324"/>
        <v>1306</v>
      </c>
      <c r="V1352" s="2" t="str">
        <f t="shared" si="334"/>
        <v>51A</v>
      </c>
      <c r="W1352" s="2" t="str">
        <f t="shared" si="335"/>
        <v/>
      </c>
      <c r="X1352" s="2" t="str">
        <f t="shared" si="338"/>
        <v>X</v>
      </c>
      <c r="Y1352" s="2" t="str">
        <f t="shared" si="336"/>
        <v>X</v>
      </c>
      <c r="Z1352" s="2" t="str">
        <f t="shared" si="337"/>
        <v>X</v>
      </c>
      <c r="AA1352" s="2" t="str">
        <f t="shared" si="325"/>
        <v/>
      </c>
      <c r="AB1352" s="2" t="str">
        <f t="shared" si="326"/>
        <v>(23 downto 16)</v>
      </c>
      <c r="AC1352" s="2" t="str">
        <f t="shared" si="327"/>
        <v>(15 downto 8)</v>
      </c>
      <c r="AD1352" s="2" t="str">
        <f t="shared" si="328"/>
        <v>(7 downto 0)</v>
      </c>
      <c r="AE1352" s="2" t="str">
        <f t="shared" si="329"/>
        <v/>
      </c>
      <c r="AF1352" s="2" t="str">
        <f t="shared" si="330"/>
        <v>(23 downto 16)</v>
      </c>
      <c r="AG1352" s="2" t="str">
        <f t="shared" si="331"/>
        <v>(15 downto 8)</v>
      </c>
      <c r="AH1352" s="2" t="str">
        <f t="shared" si="332"/>
        <v>(7 downto 0)</v>
      </c>
    </row>
    <row r="1353" spans="2:34" x14ac:dyDescent="0.25">
      <c r="B1353" s="2" t="s">
        <v>3709</v>
      </c>
      <c r="C1353" s="2" t="s">
        <v>3623</v>
      </c>
      <c r="D1353" s="2" t="s">
        <v>0</v>
      </c>
      <c r="E1353" s="2" t="s">
        <v>130</v>
      </c>
      <c r="F1353" s="2" t="s">
        <v>3710</v>
      </c>
      <c r="G1353" s="2" t="s">
        <v>3711</v>
      </c>
      <c r="H1353" s="2" t="s">
        <v>23408</v>
      </c>
      <c r="I1353" s="2" t="s">
        <v>41</v>
      </c>
      <c r="J1353" s="2">
        <v>1</v>
      </c>
      <c r="K1353" s="2" t="s">
        <v>81</v>
      </c>
      <c r="L1353" s="2" t="s">
        <v>40</v>
      </c>
      <c r="P1353" s="2" t="s">
        <v>4</v>
      </c>
      <c r="Q1353" s="2">
        <f>INDEX(Tables!$C$4:$C$28,MATCH($P1353,Tables!$B$4:$B$28,0))</f>
        <v>32</v>
      </c>
      <c r="R1353" s="2">
        <f>INDEX(Tables!$D$4:$D$28,MATCH($P1353,Tables!$B$4:$B$28,0))</f>
        <v>4</v>
      </c>
      <c r="S1353" s="2">
        <f>$S1352+$R1352+INDEX(Tables!$N$5:$Q$8,MATCH(MOD($S1352+$R1352,4),Tables!$M$5:$M$8,0),MATCH($R1353,Tables!$N$4:$Q$4,0))</f>
        <v>5228</v>
      </c>
      <c r="T1353" s="2" t="str">
        <f t="shared" si="333"/>
        <v>146C</v>
      </c>
      <c r="U1353" s="2">
        <f t="shared" ref="U1353:U1416" si="339">ROUNDDOWN(S1353/4,0)</f>
        <v>1307</v>
      </c>
      <c r="V1353" s="2" t="str">
        <f t="shared" si="334"/>
        <v>51B</v>
      </c>
      <c r="W1353" s="2" t="str">
        <f t="shared" si="335"/>
        <v/>
      </c>
      <c r="X1353" s="2" t="str">
        <f t="shared" si="338"/>
        <v/>
      </c>
      <c r="Y1353" s="2" t="str">
        <f t="shared" si="336"/>
        <v/>
      </c>
      <c r="Z1353" s="2" t="str">
        <f t="shared" si="337"/>
        <v>X</v>
      </c>
      <c r="AA1353" s="2" t="str">
        <f t="shared" ref="AA1353:AA1416" si="340">IF(W1353="","",CONCATENATE("(",IF(($J1353-COUNTIF($X1353:$Z1353,"X")*8)=1,"24)",CONCATENATE(IF(($J1353-COUNTIF($X1353:$Z1353,"X")*8)&gt;=8,32,($J1353-COUNTIF($X1353:$Z1353,"X")*8)+24)-1," downto 24)"))))</f>
        <v/>
      </c>
      <c r="AB1353" s="2" t="str">
        <f t="shared" ref="AB1353:AB1416" si="341">IF(X1353="","",CONCATENATE("(",IF(($J1353-COUNTIF($Y1353:$Z1353,"X")*8)=1,"16)",CONCATENATE(IF(($J1353-COUNTIF($Y1353:$Z1353,"X")*8)&gt;=8,24,($J1353-COUNTIF($Y1353:$Z1353,"X")*8)+16)-1," downto 16)"))))</f>
        <v/>
      </c>
      <c r="AC1353" s="2" t="str">
        <f t="shared" ref="AC1353:AC1416" si="342">IF(Y1353="","",CONCATENATE("(",IF(($J1353-COUNTIF($Z1353,"X")*8)=1,"8)",CONCATENATE(IF(($J1353-COUNTIF($Z1353,"X")*8)&gt;=8,16,($J1353-COUNTIF($Z1353,"X")*8)+8)-1," downto 8)"))))</f>
        <v/>
      </c>
      <c r="AD1353" s="2" t="str">
        <f t="shared" ref="AD1353:AD1416" si="343">IF(Z1353="","",CONCATENATE("(",IF($J1353=1,"0)",CONCATENATE(IF($J1353&gt;=8,8,$J1353)-1," downto 0)"))))</f>
        <v>(0)</v>
      </c>
      <c r="AE1353" s="2" t="str">
        <f t="shared" ref="AE1353:AE1416" si="344">IF(W1353="","",IF($J1353&lt;=8,"",IF(($J1353-COUNTIF($X1353:$Z1353,"X")*8)=1,CONCATENATE("(",($J1353-1),")"),CONCATENATE("(",IF(($J1353-COUNTIF($X1353:$Z1353,"X")*8)&gt;=8,COUNTIF($X1353:$Z1353,"X")*8+7,$J1353-COUNTIF($X1353:$Z1353,"X")*8-1+COUNTIF($X1353:$Z1353,"X")*8)," downto ",COUNTIF($X1353:$Z1353,"X")*8,")"))))</f>
        <v/>
      </c>
      <c r="AF1353" s="2" t="str">
        <f t="shared" ref="AF1353:AF1416" si="345">IF(X1353="","",IF($J1353&lt;=8,"",IF(($J1353-COUNTIF($Y1353:$Z1353,"X")*8)=1,CONCATENATE("(",($J1353-1),")"),CONCATENATE("(",IF(($J1353-COUNTIF($Y1353:$Z1353,"X")*8)&gt;=8,COUNTIF($Y1353:$Z1353,"X")*8+7,$J1353-COUNTIF($Y1353:$Z1353,"X")*8-1+COUNTIF($Y1353:$Z1353,"X")*8)," downto ",COUNTIF($Y1353:$Z1353,"X")*8,")"))))</f>
        <v/>
      </c>
      <c r="AG1353" s="2" t="str">
        <f t="shared" ref="AG1353:AG1416" si="346">IF(Y1353="","",IF($J1353&lt;=8,"",IF(($J1353-COUNTIF($Z1353,"X")*8)=1,CONCATENATE("(",($J1353-1),")"),CONCATENATE("(",IF(($J1353-COUNTIF($Z1353,"X")*8)&gt;=8,COUNTIF($Z1353,"X")*8+7,$J1353-COUNTIF($Z1353,"X")*8-1+COUNTIF($Z1353,"X")*8)," downto ",COUNTIF($Z1353,"X")*8,")"))))</f>
        <v/>
      </c>
      <c r="AH1353" s="2" t="str">
        <f t="shared" ref="AH1353:AH1416" si="347">IF(Z1353="","",IF($J1353&lt;=8,"",CONCATENATE("(",IF($J1353&gt;=8,7,$J1353-1)," downto ",0,")")))</f>
        <v/>
      </c>
    </row>
    <row r="1354" spans="2:34" x14ac:dyDescent="0.25">
      <c r="B1354" s="2" t="s">
        <v>3709</v>
      </c>
      <c r="C1354" s="2" t="s">
        <v>3626</v>
      </c>
      <c r="D1354" s="2" t="s">
        <v>0</v>
      </c>
      <c r="E1354" s="2" t="s">
        <v>130</v>
      </c>
      <c r="F1354" s="2" t="s">
        <v>3710</v>
      </c>
      <c r="G1354" s="2" t="s">
        <v>3711</v>
      </c>
      <c r="H1354" s="2" t="s">
        <v>3627</v>
      </c>
      <c r="I1354" s="2" t="s">
        <v>41</v>
      </c>
      <c r="J1354" s="2">
        <v>1</v>
      </c>
      <c r="K1354" s="2" t="s">
        <v>81</v>
      </c>
      <c r="L1354" s="2" t="s">
        <v>40</v>
      </c>
      <c r="P1354" s="2" t="s">
        <v>4</v>
      </c>
      <c r="Q1354" s="2">
        <f>INDEX(Tables!$C$4:$C$28,MATCH($P1354,Tables!$B$4:$B$28,0))</f>
        <v>32</v>
      </c>
      <c r="R1354" s="2">
        <f>INDEX(Tables!$D$4:$D$28,MATCH($P1354,Tables!$B$4:$B$28,0))</f>
        <v>4</v>
      </c>
      <c r="S1354" s="2">
        <f>$S1353+$R1353+INDEX(Tables!$N$5:$Q$8,MATCH(MOD($S1353+$R1353,4),Tables!$M$5:$M$8,0),MATCH($R1354,Tables!$N$4:$Q$4,0))</f>
        <v>5232</v>
      </c>
      <c r="T1354" s="2" t="str">
        <f t="shared" si="333"/>
        <v>1470</v>
      </c>
      <c r="U1354" s="2">
        <f t="shared" si="339"/>
        <v>1308</v>
      </c>
      <c r="V1354" s="2" t="str">
        <f t="shared" si="334"/>
        <v>51C</v>
      </c>
      <c r="W1354" s="2" t="str">
        <f t="shared" si="335"/>
        <v/>
      </c>
      <c r="X1354" s="2" t="str">
        <f t="shared" si="338"/>
        <v/>
      </c>
      <c r="Y1354" s="2" t="str">
        <f t="shared" si="336"/>
        <v/>
      </c>
      <c r="Z1354" s="2" t="str">
        <f t="shared" si="337"/>
        <v>X</v>
      </c>
      <c r="AA1354" s="2" t="str">
        <f t="shared" si="340"/>
        <v/>
      </c>
      <c r="AB1354" s="2" t="str">
        <f t="shared" si="341"/>
        <v/>
      </c>
      <c r="AC1354" s="2" t="str">
        <f t="shared" si="342"/>
        <v/>
      </c>
      <c r="AD1354" s="2" t="str">
        <f t="shared" si="343"/>
        <v>(0)</v>
      </c>
      <c r="AE1354" s="2" t="str">
        <f t="shared" si="344"/>
        <v/>
      </c>
      <c r="AF1354" s="2" t="str">
        <f t="shared" si="345"/>
        <v/>
      </c>
      <c r="AG1354" s="2" t="str">
        <f t="shared" si="346"/>
        <v/>
      </c>
      <c r="AH1354" s="2" t="str">
        <f t="shared" si="347"/>
        <v/>
      </c>
    </row>
    <row r="1355" spans="2:34" x14ac:dyDescent="0.25">
      <c r="B1355" s="2" t="s">
        <v>3709</v>
      </c>
      <c r="C1355" s="2" t="s">
        <v>3628</v>
      </c>
      <c r="D1355" s="2" t="s">
        <v>0</v>
      </c>
      <c r="E1355" s="2" t="s">
        <v>130</v>
      </c>
      <c r="F1355" s="2" t="s">
        <v>3710</v>
      </c>
      <c r="G1355" s="2" t="s">
        <v>3711</v>
      </c>
      <c r="H1355" s="2" t="s">
        <v>3629</v>
      </c>
      <c r="I1355" s="2" t="s">
        <v>41</v>
      </c>
      <c r="J1355" s="2">
        <v>1</v>
      </c>
      <c r="K1355" s="2" t="s">
        <v>81</v>
      </c>
      <c r="L1355" s="2" t="s">
        <v>40</v>
      </c>
      <c r="P1355" s="2" t="s">
        <v>4</v>
      </c>
      <c r="Q1355" s="2">
        <f>INDEX(Tables!$C$4:$C$28,MATCH($P1355,Tables!$B$4:$B$28,0))</f>
        <v>32</v>
      </c>
      <c r="R1355" s="2">
        <f>INDEX(Tables!$D$4:$D$28,MATCH($P1355,Tables!$B$4:$B$28,0))</f>
        <v>4</v>
      </c>
      <c r="S1355" s="2">
        <f>$S1354+$R1354+INDEX(Tables!$N$5:$Q$8,MATCH(MOD($S1354+$R1354,4),Tables!$M$5:$M$8,0),MATCH($R1355,Tables!$N$4:$Q$4,0))</f>
        <v>5236</v>
      </c>
      <c r="T1355" s="2" t="str">
        <f t="shared" si="333"/>
        <v>1474</v>
      </c>
      <c r="U1355" s="2">
        <f t="shared" si="339"/>
        <v>1309</v>
      </c>
      <c r="V1355" s="2" t="str">
        <f t="shared" si="334"/>
        <v>51D</v>
      </c>
      <c r="W1355" s="2" t="str">
        <f t="shared" si="335"/>
        <v/>
      </c>
      <c r="X1355" s="2" t="str">
        <f t="shared" si="338"/>
        <v/>
      </c>
      <c r="Y1355" s="2" t="str">
        <f t="shared" si="336"/>
        <v/>
      </c>
      <c r="Z1355" s="2" t="str">
        <f t="shared" si="337"/>
        <v>X</v>
      </c>
      <c r="AA1355" s="2" t="str">
        <f t="shared" si="340"/>
        <v/>
      </c>
      <c r="AB1355" s="2" t="str">
        <f t="shared" si="341"/>
        <v/>
      </c>
      <c r="AC1355" s="2" t="str">
        <f t="shared" si="342"/>
        <v/>
      </c>
      <c r="AD1355" s="2" t="str">
        <f t="shared" si="343"/>
        <v>(0)</v>
      </c>
      <c r="AE1355" s="2" t="str">
        <f t="shared" si="344"/>
        <v/>
      </c>
      <c r="AF1355" s="2" t="str">
        <f t="shared" si="345"/>
        <v/>
      </c>
      <c r="AG1355" s="2" t="str">
        <f t="shared" si="346"/>
        <v/>
      </c>
      <c r="AH1355" s="2" t="str">
        <f t="shared" si="347"/>
        <v/>
      </c>
    </row>
    <row r="1356" spans="2:34" x14ac:dyDescent="0.25">
      <c r="B1356" s="2" t="s">
        <v>3709</v>
      </c>
      <c r="C1356" s="2" t="s">
        <v>3630</v>
      </c>
      <c r="D1356" s="2" t="s">
        <v>0</v>
      </c>
      <c r="E1356" s="2" t="s">
        <v>130</v>
      </c>
      <c r="F1356" s="2" t="s">
        <v>3710</v>
      </c>
      <c r="G1356" s="2" t="s">
        <v>3711</v>
      </c>
      <c r="H1356" s="2" t="s">
        <v>3631</v>
      </c>
      <c r="I1356" s="2" t="s">
        <v>41</v>
      </c>
      <c r="J1356" s="2">
        <v>5</v>
      </c>
      <c r="K1356" s="2" t="s">
        <v>132</v>
      </c>
      <c r="L1356" s="2" t="s">
        <v>40</v>
      </c>
      <c r="P1356" s="2" t="s">
        <v>47</v>
      </c>
      <c r="Q1356" s="2">
        <f>INDEX(Tables!$C$4:$C$28,MATCH($P1356,Tables!$B$4:$B$28,0))</f>
        <v>8</v>
      </c>
      <c r="R1356" s="2">
        <f>INDEX(Tables!$D$4:$D$28,MATCH($P1356,Tables!$B$4:$B$28,0))</f>
        <v>1</v>
      </c>
      <c r="S1356" s="2">
        <f>$S1355+$R1355+INDEX(Tables!$N$5:$Q$8,MATCH(MOD($S1355+$R1355,4),Tables!$M$5:$M$8,0),MATCH($R1356,Tables!$N$4:$Q$4,0))</f>
        <v>5240</v>
      </c>
      <c r="T1356" s="2" t="str">
        <f t="shared" si="333"/>
        <v>1478</v>
      </c>
      <c r="U1356" s="2">
        <f t="shared" si="339"/>
        <v>1310</v>
      </c>
      <c r="V1356" s="2" t="str">
        <f t="shared" si="334"/>
        <v>51E</v>
      </c>
      <c r="W1356" s="2" t="str">
        <f t="shared" si="335"/>
        <v/>
      </c>
      <c r="X1356" s="2" t="str">
        <f t="shared" si="338"/>
        <v/>
      </c>
      <c r="Y1356" s="2" t="str">
        <f t="shared" si="336"/>
        <v/>
      </c>
      <c r="Z1356" s="2" t="str">
        <f t="shared" si="337"/>
        <v>X</v>
      </c>
      <c r="AA1356" s="2" t="str">
        <f t="shared" si="340"/>
        <v/>
      </c>
      <c r="AB1356" s="2" t="str">
        <f t="shared" si="341"/>
        <v/>
      </c>
      <c r="AC1356" s="2" t="str">
        <f t="shared" si="342"/>
        <v/>
      </c>
      <c r="AD1356" s="2" t="str">
        <f t="shared" si="343"/>
        <v>(4 downto 0)</v>
      </c>
      <c r="AE1356" s="2" t="str">
        <f t="shared" si="344"/>
        <v/>
      </c>
      <c r="AF1356" s="2" t="str">
        <f t="shared" si="345"/>
        <v/>
      </c>
      <c r="AG1356" s="2" t="str">
        <f t="shared" si="346"/>
        <v/>
      </c>
      <c r="AH1356" s="2" t="str">
        <f t="shared" si="347"/>
        <v/>
      </c>
    </row>
    <row r="1357" spans="2:34" x14ac:dyDescent="0.25">
      <c r="B1357" s="2" t="s">
        <v>3709</v>
      </c>
      <c r="C1357" s="2" t="s">
        <v>3712</v>
      </c>
      <c r="D1357" s="2" t="s">
        <v>0</v>
      </c>
      <c r="E1357" s="2" t="s">
        <v>130</v>
      </c>
      <c r="F1357" s="2" t="s">
        <v>3710</v>
      </c>
      <c r="G1357" s="2" t="s">
        <v>3711</v>
      </c>
      <c r="H1357" s="2" t="s">
        <v>3713</v>
      </c>
      <c r="I1357" s="2" t="s">
        <v>41</v>
      </c>
      <c r="J1357" s="2">
        <v>24</v>
      </c>
      <c r="K1357" s="2" t="s">
        <v>132</v>
      </c>
      <c r="L1357" s="2" t="s">
        <v>40</v>
      </c>
      <c r="P1357" s="2" t="s">
        <v>48</v>
      </c>
      <c r="Q1357" s="2">
        <f>INDEX(Tables!$C$4:$C$28,MATCH($P1357,Tables!$B$4:$B$28,0))</f>
        <v>32</v>
      </c>
      <c r="R1357" s="2">
        <f>INDEX(Tables!$D$4:$D$28,MATCH($P1357,Tables!$B$4:$B$28,0))</f>
        <v>4</v>
      </c>
      <c r="S1357" s="2">
        <f>$S1356+$R1356+INDEX(Tables!$N$5:$Q$8,MATCH(MOD($S1356+$R1356,4),Tables!$M$5:$M$8,0),MATCH($R1357,Tables!$N$4:$Q$4,0))</f>
        <v>5244</v>
      </c>
      <c r="T1357" s="2" t="str">
        <f t="shared" si="333"/>
        <v>147C</v>
      </c>
      <c r="U1357" s="2">
        <f t="shared" si="339"/>
        <v>1311</v>
      </c>
      <c r="V1357" s="2" t="str">
        <f t="shared" si="334"/>
        <v>51F</v>
      </c>
      <c r="W1357" s="2" t="str">
        <f t="shared" si="335"/>
        <v/>
      </c>
      <c r="X1357" s="2" t="str">
        <f t="shared" si="338"/>
        <v>X</v>
      </c>
      <c r="Y1357" s="2" t="str">
        <f t="shared" si="336"/>
        <v>X</v>
      </c>
      <c r="Z1357" s="2" t="str">
        <f t="shared" si="337"/>
        <v>X</v>
      </c>
      <c r="AA1357" s="2" t="str">
        <f t="shared" si="340"/>
        <v/>
      </c>
      <c r="AB1357" s="2" t="str">
        <f t="shared" si="341"/>
        <v>(23 downto 16)</v>
      </c>
      <c r="AC1357" s="2" t="str">
        <f t="shared" si="342"/>
        <v>(15 downto 8)</v>
      </c>
      <c r="AD1357" s="2" t="str">
        <f t="shared" si="343"/>
        <v>(7 downto 0)</v>
      </c>
      <c r="AE1357" s="2" t="str">
        <f t="shared" si="344"/>
        <v/>
      </c>
      <c r="AF1357" s="2" t="str">
        <f t="shared" si="345"/>
        <v>(23 downto 16)</v>
      </c>
      <c r="AG1357" s="2" t="str">
        <f t="shared" si="346"/>
        <v>(15 downto 8)</v>
      </c>
      <c r="AH1357" s="2" t="str">
        <f t="shared" si="347"/>
        <v>(7 downto 0)</v>
      </c>
    </row>
    <row r="1358" spans="2:34" x14ac:dyDescent="0.25">
      <c r="B1358" s="2" t="s">
        <v>3714</v>
      </c>
      <c r="C1358" s="2" t="s">
        <v>3623</v>
      </c>
      <c r="D1358" s="2" t="s">
        <v>0</v>
      </c>
      <c r="E1358" s="2" t="s">
        <v>130</v>
      </c>
      <c r="F1358" s="2" t="s">
        <v>3715</v>
      </c>
      <c r="G1358" s="2" t="s">
        <v>3716</v>
      </c>
      <c r="H1358" s="2" t="s">
        <v>23408</v>
      </c>
      <c r="I1358" s="2" t="s">
        <v>41</v>
      </c>
      <c r="J1358" s="2">
        <v>1</v>
      </c>
      <c r="K1358" s="2" t="s">
        <v>81</v>
      </c>
      <c r="L1358" s="2" t="s">
        <v>40</v>
      </c>
      <c r="P1358" s="2" t="s">
        <v>4</v>
      </c>
      <c r="Q1358" s="2">
        <f>INDEX(Tables!$C$4:$C$28,MATCH($P1358,Tables!$B$4:$B$28,0))</f>
        <v>32</v>
      </c>
      <c r="R1358" s="2">
        <f>INDEX(Tables!$D$4:$D$28,MATCH($P1358,Tables!$B$4:$B$28,0))</f>
        <v>4</v>
      </c>
      <c r="S1358" s="2">
        <f>$S1357+$R1357+INDEX(Tables!$N$5:$Q$8,MATCH(MOD($S1357+$R1357,4),Tables!$M$5:$M$8,0),MATCH($R1358,Tables!$N$4:$Q$4,0))</f>
        <v>5248</v>
      </c>
      <c r="T1358" s="2" t="str">
        <f t="shared" si="333"/>
        <v>1480</v>
      </c>
      <c r="U1358" s="2">
        <f t="shared" si="339"/>
        <v>1312</v>
      </c>
      <c r="V1358" s="2" t="str">
        <f t="shared" si="334"/>
        <v>520</v>
      </c>
      <c r="W1358" s="2" t="str">
        <f t="shared" si="335"/>
        <v/>
      </c>
      <c r="X1358" s="2" t="str">
        <f t="shared" si="338"/>
        <v/>
      </c>
      <c r="Y1358" s="2" t="str">
        <f t="shared" si="336"/>
        <v/>
      </c>
      <c r="Z1358" s="2" t="str">
        <f t="shared" si="337"/>
        <v>X</v>
      </c>
      <c r="AA1358" s="2" t="str">
        <f t="shared" si="340"/>
        <v/>
      </c>
      <c r="AB1358" s="2" t="str">
        <f t="shared" si="341"/>
        <v/>
      </c>
      <c r="AC1358" s="2" t="str">
        <f t="shared" si="342"/>
        <v/>
      </c>
      <c r="AD1358" s="2" t="str">
        <f t="shared" si="343"/>
        <v>(0)</v>
      </c>
      <c r="AE1358" s="2" t="str">
        <f t="shared" si="344"/>
        <v/>
      </c>
      <c r="AF1358" s="2" t="str">
        <f t="shared" si="345"/>
        <v/>
      </c>
      <c r="AG1358" s="2" t="str">
        <f t="shared" si="346"/>
        <v/>
      </c>
      <c r="AH1358" s="2" t="str">
        <f t="shared" si="347"/>
        <v/>
      </c>
    </row>
    <row r="1359" spans="2:34" x14ac:dyDescent="0.25">
      <c r="B1359" s="2" t="s">
        <v>3714</v>
      </c>
      <c r="C1359" s="2" t="s">
        <v>3626</v>
      </c>
      <c r="D1359" s="2" t="s">
        <v>0</v>
      </c>
      <c r="E1359" s="2" t="s">
        <v>130</v>
      </c>
      <c r="F1359" s="2" t="s">
        <v>3715</v>
      </c>
      <c r="G1359" s="2" t="s">
        <v>3716</v>
      </c>
      <c r="H1359" s="2" t="s">
        <v>3627</v>
      </c>
      <c r="I1359" s="2" t="s">
        <v>41</v>
      </c>
      <c r="J1359" s="2">
        <v>1</v>
      </c>
      <c r="K1359" s="2" t="s">
        <v>81</v>
      </c>
      <c r="L1359" s="2" t="s">
        <v>40</v>
      </c>
      <c r="P1359" s="2" t="s">
        <v>4</v>
      </c>
      <c r="Q1359" s="2">
        <f>INDEX(Tables!$C$4:$C$28,MATCH($P1359,Tables!$B$4:$B$28,0))</f>
        <v>32</v>
      </c>
      <c r="R1359" s="2">
        <f>INDEX(Tables!$D$4:$D$28,MATCH($P1359,Tables!$B$4:$B$28,0))</f>
        <v>4</v>
      </c>
      <c r="S1359" s="2">
        <f>$S1358+$R1358+INDEX(Tables!$N$5:$Q$8,MATCH(MOD($S1358+$R1358,4),Tables!$M$5:$M$8,0),MATCH($R1359,Tables!$N$4:$Q$4,0))</f>
        <v>5252</v>
      </c>
      <c r="T1359" s="2" t="str">
        <f t="shared" si="333"/>
        <v>1484</v>
      </c>
      <c r="U1359" s="2">
        <f t="shared" si="339"/>
        <v>1313</v>
      </c>
      <c r="V1359" s="2" t="str">
        <f t="shared" si="334"/>
        <v>521</v>
      </c>
      <c r="W1359" s="2" t="str">
        <f t="shared" si="335"/>
        <v/>
      </c>
      <c r="X1359" s="2" t="str">
        <f t="shared" si="338"/>
        <v/>
      </c>
      <c r="Y1359" s="2" t="str">
        <f t="shared" si="336"/>
        <v/>
      </c>
      <c r="Z1359" s="2" t="str">
        <f t="shared" si="337"/>
        <v>X</v>
      </c>
      <c r="AA1359" s="2" t="str">
        <f t="shared" si="340"/>
        <v/>
      </c>
      <c r="AB1359" s="2" t="str">
        <f t="shared" si="341"/>
        <v/>
      </c>
      <c r="AC1359" s="2" t="str">
        <f t="shared" si="342"/>
        <v/>
      </c>
      <c r="AD1359" s="2" t="str">
        <f t="shared" si="343"/>
        <v>(0)</v>
      </c>
      <c r="AE1359" s="2" t="str">
        <f t="shared" si="344"/>
        <v/>
      </c>
      <c r="AF1359" s="2" t="str">
        <f t="shared" si="345"/>
        <v/>
      </c>
      <c r="AG1359" s="2" t="str">
        <f t="shared" si="346"/>
        <v/>
      </c>
      <c r="AH1359" s="2" t="str">
        <f t="shared" si="347"/>
        <v/>
      </c>
    </row>
    <row r="1360" spans="2:34" x14ac:dyDescent="0.25">
      <c r="B1360" s="2" t="s">
        <v>3714</v>
      </c>
      <c r="C1360" s="2" t="s">
        <v>3628</v>
      </c>
      <c r="D1360" s="2" t="s">
        <v>0</v>
      </c>
      <c r="E1360" s="2" t="s">
        <v>130</v>
      </c>
      <c r="F1360" s="2" t="s">
        <v>3715</v>
      </c>
      <c r="G1360" s="2" t="s">
        <v>3716</v>
      </c>
      <c r="H1360" s="2" t="s">
        <v>3629</v>
      </c>
      <c r="I1360" s="2" t="s">
        <v>41</v>
      </c>
      <c r="J1360" s="2">
        <v>1</v>
      </c>
      <c r="K1360" s="2" t="s">
        <v>81</v>
      </c>
      <c r="L1360" s="2" t="s">
        <v>40</v>
      </c>
      <c r="P1360" s="2" t="s">
        <v>4</v>
      </c>
      <c r="Q1360" s="2">
        <f>INDEX(Tables!$C$4:$C$28,MATCH($P1360,Tables!$B$4:$B$28,0))</f>
        <v>32</v>
      </c>
      <c r="R1360" s="2">
        <f>INDEX(Tables!$D$4:$D$28,MATCH($P1360,Tables!$B$4:$B$28,0))</f>
        <v>4</v>
      </c>
      <c r="S1360" s="2">
        <f>$S1359+$R1359+INDEX(Tables!$N$5:$Q$8,MATCH(MOD($S1359+$R1359,4),Tables!$M$5:$M$8,0),MATCH($R1360,Tables!$N$4:$Q$4,0))</f>
        <v>5256</v>
      </c>
      <c r="T1360" s="2" t="str">
        <f t="shared" si="333"/>
        <v>1488</v>
      </c>
      <c r="U1360" s="2">
        <f t="shared" si="339"/>
        <v>1314</v>
      </c>
      <c r="V1360" s="2" t="str">
        <f t="shared" si="334"/>
        <v>522</v>
      </c>
      <c r="W1360" s="2" t="str">
        <f t="shared" si="335"/>
        <v/>
      </c>
      <c r="X1360" s="2" t="str">
        <f t="shared" si="338"/>
        <v/>
      </c>
      <c r="Y1360" s="2" t="str">
        <f t="shared" si="336"/>
        <v/>
      </c>
      <c r="Z1360" s="2" t="str">
        <f t="shared" si="337"/>
        <v>X</v>
      </c>
      <c r="AA1360" s="2" t="str">
        <f t="shared" si="340"/>
        <v/>
      </c>
      <c r="AB1360" s="2" t="str">
        <f t="shared" si="341"/>
        <v/>
      </c>
      <c r="AC1360" s="2" t="str">
        <f t="shared" si="342"/>
        <v/>
      </c>
      <c r="AD1360" s="2" t="str">
        <f t="shared" si="343"/>
        <v>(0)</v>
      </c>
      <c r="AE1360" s="2" t="str">
        <f t="shared" si="344"/>
        <v/>
      </c>
      <c r="AF1360" s="2" t="str">
        <f t="shared" si="345"/>
        <v/>
      </c>
      <c r="AG1360" s="2" t="str">
        <f t="shared" si="346"/>
        <v/>
      </c>
      <c r="AH1360" s="2" t="str">
        <f t="shared" si="347"/>
        <v/>
      </c>
    </row>
    <row r="1361" spans="2:34" x14ac:dyDescent="0.25">
      <c r="B1361" s="2" t="s">
        <v>3714</v>
      </c>
      <c r="C1361" s="2" t="s">
        <v>3630</v>
      </c>
      <c r="D1361" s="2" t="s">
        <v>0</v>
      </c>
      <c r="E1361" s="2" t="s">
        <v>130</v>
      </c>
      <c r="F1361" s="2" t="s">
        <v>3715</v>
      </c>
      <c r="G1361" s="2" t="s">
        <v>3716</v>
      </c>
      <c r="H1361" s="2" t="s">
        <v>3631</v>
      </c>
      <c r="I1361" s="2" t="s">
        <v>41</v>
      </c>
      <c r="J1361" s="2">
        <v>5</v>
      </c>
      <c r="K1361" s="2" t="s">
        <v>132</v>
      </c>
      <c r="L1361" s="2" t="s">
        <v>40</v>
      </c>
      <c r="P1361" s="2" t="s">
        <v>47</v>
      </c>
      <c r="Q1361" s="2">
        <f>INDEX(Tables!$C$4:$C$28,MATCH($P1361,Tables!$B$4:$B$28,0))</f>
        <v>8</v>
      </c>
      <c r="R1361" s="2">
        <f>INDEX(Tables!$D$4:$D$28,MATCH($P1361,Tables!$B$4:$B$28,0))</f>
        <v>1</v>
      </c>
      <c r="S1361" s="2">
        <f>$S1360+$R1360+INDEX(Tables!$N$5:$Q$8,MATCH(MOD($S1360+$R1360,4),Tables!$M$5:$M$8,0),MATCH($R1361,Tables!$N$4:$Q$4,0))</f>
        <v>5260</v>
      </c>
      <c r="T1361" s="2" t="str">
        <f t="shared" si="333"/>
        <v>148C</v>
      </c>
      <c r="U1361" s="2">
        <f t="shared" si="339"/>
        <v>1315</v>
      </c>
      <c r="V1361" s="2" t="str">
        <f t="shared" si="334"/>
        <v>523</v>
      </c>
      <c r="W1361" s="2" t="str">
        <f t="shared" si="335"/>
        <v/>
      </c>
      <c r="X1361" s="2" t="str">
        <f t="shared" si="338"/>
        <v/>
      </c>
      <c r="Y1361" s="2" t="str">
        <f t="shared" si="336"/>
        <v/>
      </c>
      <c r="Z1361" s="2" t="str">
        <f t="shared" si="337"/>
        <v>X</v>
      </c>
      <c r="AA1361" s="2" t="str">
        <f t="shared" si="340"/>
        <v/>
      </c>
      <c r="AB1361" s="2" t="str">
        <f t="shared" si="341"/>
        <v/>
      </c>
      <c r="AC1361" s="2" t="str">
        <f t="shared" si="342"/>
        <v/>
      </c>
      <c r="AD1361" s="2" t="str">
        <f t="shared" si="343"/>
        <v>(4 downto 0)</v>
      </c>
      <c r="AE1361" s="2" t="str">
        <f t="shared" si="344"/>
        <v/>
      </c>
      <c r="AF1361" s="2" t="str">
        <f t="shared" si="345"/>
        <v/>
      </c>
      <c r="AG1361" s="2" t="str">
        <f t="shared" si="346"/>
        <v/>
      </c>
      <c r="AH1361" s="2" t="str">
        <f t="shared" si="347"/>
        <v/>
      </c>
    </row>
    <row r="1362" spans="2:34" x14ac:dyDescent="0.25">
      <c r="B1362" s="2" t="s">
        <v>3714</v>
      </c>
      <c r="C1362" s="2" t="s">
        <v>3717</v>
      </c>
      <c r="D1362" s="2" t="s">
        <v>0</v>
      </c>
      <c r="E1362" s="2" t="s">
        <v>130</v>
      </c>
      <c r="F1362" s="2" t="s">
        <v>3715</v>
      </c>
      <c r="G1362" s="2" t="s">
        <v>3716</v>
      </c>
      <c r="H1362" s="2" t="s">
        <v>3718</v>
      </c>
      <c r="I1362" s="2" t="s">
        <v>41</v>
      </c>
      <c r="J1362" s="2">
        <v>24</v>
      </c>
      <c r="K1362" s="2" t="s">
        <v>132</v>
      </c>
      <c r="L1362" s="2" t="s">
        <v>40</v>
      </c>
      <c r="P1362" s="2" t="s">
        <v>48</v>
      </c>
      <c r="Q1362" s="2">
        <f>INDEX(Tables!$C$4:$C$28,MATCH($P1362,Tables!$B$4:$B$28,0))</f>
        <v>32</v>
      </c>
      <c r="R1362" s="2">
        <f>INDEX(Tables!$D$4:$D$28,MATCH($P1362,Tables!$B$4:$B$28,0))</f>
        <v>4</v>
      </c>
      <c r="S1362" s="2">
        <f>$S1361+$R1361+INDEX(Tables!$N$5:$Q$8,MATCH(MOD($S1361+$R1361,4),Tables!$M$5:$M$8,0),MATCH($R1362,Tables!$N$4:$Q$4,0))</f>
        <v>5264</v>
      </c>
      <c r="T1362" s="2" t="str">
        <f t="shared" si="333"/>
        <v>1490</v>
      </c>
      <c r="U1362" s="2">
        <f t="shared" si="339"/>
        <v>1316</v>
      </c>
      <c r="V1362" s="2" t="str">
        <f t="shared" si="334"/>
        <v>524</v>
      </c>
      <c r="W1362" s="2" t="str">
        <f t="shared" si="335"/>
        <v/>
      </c>
      <c r="X1362" s="2" t="str">
        <f t="shared" si="338"/>
        <v>X</v>
      </c>
      <c r="Y1362" s="2" t="str">
        <f t="shared" si="336"/>
        <v>X</v>
      </c>
      <c r="Z1362" s="2" t="str">
        <f t="shared" si="337"/>
        <v>X</v>
      </c>
      <c r="AA1362" s="2" t="str">
        <f t="shared" si="340"/>
        <v/>
      </c>
      <c r="AB1362" s="2" t="str">
        <f t="shared" si="341"/>
        <v>(23 downto 16)</v>
      </c>
      <c r="AC1362" s="2" t="str">
        <f t="shared" si="342"/>
        <v>(15 downto 8)</v>
      </c>
      <c r="AD1362" s="2" t="str">
        <f t="shared" si="343"/>
        <v>(7 downto 0)</v>
      </c>
      <c r="AE1362" s="2" t="str">
        <f t="shared" si="344"/>
        <v/>
      </c>
      <c r="AF1362" s="2" t="str">
        <f t="shared" si="345"/>
        <v>(23 downto 16)</v>
      </c>
      <c r="AG1362" s="2" t="str">
        <f t="shared" si="346"/>
        <v>(15 downto 8)</v>
      </c>
      <c r="AH1362" s="2" t="str">
        <f t="shared" si="347"/>
        <v>(7 downto 0)</v>
      </c>
    </row>
    <row r="1363" spans="2:34" x14ac:dyDescent="0.25">
      <c r="B1363" s="2" t="s">
        <v>3719</v>
      </c>
      <c r="C1363" s="2" t="s">
        <v>3623</v>
      </c>
      <c r="D1363" s="2" t="s">
        <v>0</v>
      </c>
      <c r="E1363" s="2" t="s">
        <v>130</v>
      </c>
      <c r="F1363" s="2" t="s">
        <v>3720</v>
      </c>
      <c r="G1363" s="2" t="s">
        <v>3721</v>
      </c>
      <c r="H1363" s="2" t="s">
        <v>23408</v>
      </c>
      <c r="I1363" s="2" t="s">
        <v>41</v>
      </c>
      <c r="J1363" s="2">
        <v>1</v>
      </c>
      <c r="K1363" s="2" t="s">
        <v>81</v>
      </c>
      <c r="L1363" s="2" t="s">
        <v>40</v>
      </c>
      <c r="P1363" s="2" t="s">
        <v>4</v>
      </c>
      <c r="Q1363" s="2">
        <f>INDEX(Tables!$C$4:$C$28,MATCH($P1363,Tables!$B$4:$B$28,0))</f>
        <v>32</v>
      </c>
      <c r="R1363" s="2">
        <f>INDEX(Tables!$D$4:$D$28,MATCH($P1363,Tables!$B$4:$B$28,0))</f>
        <v>4</v>
      </c>
      <c r="S1363" s="2">
        <f>$S1362+$R1362+INDEX(Tables!$N$5:$Q$8,MATCH(MOD($S1362+$R1362,4),Tables!$M$5:$M$8,0),MATCH($R1363,Tables!$N$4:$Q$4,0))</f>
        <v>5268</v>
      </c>
      <c r="T1363" s="2" t="str">
        <f t="shared" si="333"/>
        <v>1494</v>
      </c>
      <c r="U1363" s="2">
        <f t="shared" si="339"/>
        <v>1317</v>
      </c>
      <c r="V1363" s="2" t="str">
        <f t="shared" si="334"/>
        <v>525</v>
      </c>
      <c r="W1363" s="2" t="str">
        <f t="shared" si="335"/>
        <v/>
      </c>
      <c r="X1363" s="2" t="str">
        <f t="shared" si="338"/>
        <v/>
      </c>
      <c r="Y1363" s="2" t="str">
        <f t="shared" si="336"/>
        <v/>
      </c>
      <c r="Z1363" s="2" t="str">
        <f t="shared" si="337"/>
        <v>X</v>
      </c>
      <c r="AA1363" s="2" t="str">
        <f t="shared" si="340"/>
        <v/>
      </c>
      <c r="AB1363" s="2" t="str">
        <f t="shared" si="341"/>
        <v/>
      </c>
      <c r="AC1363" s="2" t="str">
        <f t="shared" si="342"/>
        <v/>
      </c>
      <c r="AD1363" s="2" t="str">
        <f t="shared" si="343"/>
        <v>(0)</v>
      </c>
      <c r="AE1363" s="2" t="str">
        <f t="shared" si="344"/>
        <v/>
      </c>
      <c r="AF1363" s="2" t="str">
        <f t="shared" si="345"/>
        <v/>
      </c>
      <c r="AG1363" s="2" t="str">
        <f t="shared" si="346"/>
        <v/>
      </c>
      <c r="AH1363" s="2" t="str">
        <f t="shared" si="347"/>
        <v/>
      </c>
    </row>
    <row r="1364" spans="2:34" x14ac:dyDescent="0.25">
      <c r="B1364" s="2" t="s">
        <v>3719</v>
      </c>
      <c r="C1364" s="2" t="s">
        <v>3626</v>
      </c>
      <c r="D1364" s="2" t="s">
        <v>0</v>
      </c>
      <c r="E1364" s="2" t="s">
        <v>130</v>
      </c>
      <c r="F1364" s="2" t="s">
        <v>3720</v>
      </c>
      <c r="G1364" s="2" t="s">
        <v>3721</v>
      </c>
      <c r="H1364" s="2" t="s">
        <v>3627</v>
      </c>
      <c r="I1364" s="2" t="s">
        <v>41</v>
      </c>
      <c r="J1364" s="2">
        <v>1</v>
      </c>
      <c r="K1364" s="2" t="s">
        <v>81</v>
      </c>
      <c r="L1364" s="2" t="s">
        <v>40</v>
      </c>
      <c r="P1364" s="2" t="s">
        <v>4</v>
      </c>
      <c r="Q1364" s="2">
        <f>INDEX(Tables!$C$4:$C$28,MATCH($P1364,Tables!$B$4:$B$28,0))</f>
        <v>32</v>
      </c>
      <c r="R1364" s="2">
        <f>INDEX(Tables!$D$4:$D$28,MATCH($P1364,Tables!$B$4:$B$28,0))</f>
        <v>4</v>
      </c>
      <c r="S1364" s="2">
        <f>$S1363+$R1363+INDEX(Tables!$N$5:$Q$8,MATCH(MOD($S1363+$R1363,4),Tables!$M$5:$M$8,0),MATCH($R1364,Tables!$N$4:$Q$4,0))</f>
        <v>5272</v>
      </c>
      <c r="T1364" s="2" t="str">
        <f t="shared" si="333"/>
        <v>1498</v>
      </c>
      <c r="U1364" s="2">
        <f t="shared" si="339"/>
        <v>1318</v>
      </c>
      <c r="V1364" s="2" t="str">
        <f t="shared" si="334"/>
        <v>526</v>
      </c>
      <c r="W1364" s="2" t="str">
        <f t="shared" si="335"/>
        <v/>
      </c>
      <c r="X1364" s="2" t="str">
        <f t="shared" si="338"/>
        <v/>
      </c>
      <c r="Y1364" s="2" t="str">
        <f t="shared" si="336"/>
        <v/>
      </c>
      <c r="Z1364" s="2" t="str">
        <f t="shared" si="337"/>
        <v>X</v>
      </c>
      <c r="AA1364" s="2" t="str">
        <f t="shared" si="340"/>
        <v/>
      </c>
      <c r="AB1364" s="2" t="str">
        <f t="shared" si="341"/>
        <v/>
      </c>
      <c r="AC1364" s="2" t="str">
        <f t="shared" si="342"/>
        <v/>
      </c>
      <c r="AD1364" s="2" t="str">
        <f t="shared" si="343"/>
        <v>(0)</v>
      </c>
      <c r="AE1364" s="2" t="str">
        <f t="shared" si="344"/>
        <v/>
      </c>
      <c r="AF1364" s="2" t="str">
        <f t="shared" si="345"/>
        <v/>
      </c>
      <c r="AG1364" s="2" t="str">
        <f t="shared" si="346"/>
        <v/>
      </c>
      <c r="AH1364" s="2" t="str">
        <f t="shared" si="347"/>
        <v/>
      </c>
    </row>
    <row r="1365" spans="2:34" x14ac:dyDescent="0.25">
      <c r="B1365" s="2" t="s">
        <v>3719</v>
      </c>
      <c r="C1365" s="2" t="s">
        <v>3628</v>
      </c>
      <c r="D1365" s="2" t="s">
        <v>0</v>
      </c>
      <c r="E1365" s="2" t="s">
        <v>130</v>
      </c>
      <c r="F1365" s="2" t="s">
        <v>3720</v>
      </c>
      <c r="G1365" s="2" t="s">
        <v>3721</v>
      </c>
      <c r="H1365" s="2" t="s">
        <v>3629</v>
      </c>
      <c r="I1365" s="2" t="s">
        <v>41</v>
      </c>
      <c r="J1365" s="2">
        <v>1</v>
      </c>
      <c r="K1365" s="2" t="s">
        <v>81</v>
      </c>
      <c r="L1365" s="2" t="s">
        <v>40</v>
      </c>
      <c r="P1365" s="2" t="s">
        <v>4</v>
      </c>
      <c r="Q1365" s="2">
        <f>INDEX(Tables!$C$4:$C$28,MATCH($P1365,Tables!$B$4:$B$28,0))</f>
        <v>32</v>
      </c>
      <c r="R1365" s="2">
        <f>INDEX(Tables!$D$4:$D$28,MATCH($P1365,Tables!$B$4:$B$28,0))</f>
        <v>4</v>
      </c>
      <c r="S1365" s="2">
        <f>$S1364+$R1364+INDEX(Tables!$N$5:$Q$8,MATCH(MOD($S1364+$R1364,4),Tables!$M$5:$M$8,0),MATCH($R1365,Tables!$N$4:$Q$4,0))</f>
        <v>5276</v>
      </c>
      <c r="T1365" s="2" t="str">
        <f t="shared" si="333"/>
        <v>149C</v>
      </c>
      <c r="U1365" s="2">
        <f t="shared" si="339"/>
        <v>1319</v>
      </c>
      <c r="V1365" s="2" t="str">
        <f t="shared" si="334"/>
        <v>527</v>
      </c>
      <c r="W1365" s="2" t="str">
        <f t="shared" si="335"/>
        <v/>
      </c>
      <c r="X1365" s="2" t="str">
        <f t="shared" si="338"/>
        <v/>
      </c>
      <c r="Y1365" s="2" t="str">
        <f t="shared" si="336"/>
        <v/>
      </c>
      <c r="Z1365" s="2" t="str">
        <f t="shared" si="337"/>
        <v>X</v>
      </c>
      <c r="AA1365" s="2" t="str">
        <f t="shared" si="340"/>
        <v/>
      </c>
      <c r="AB1365" s="2" t="str">
        <f t="shared" si="341"/>
        <v/>
      </c>
      <c r="AC1365" s="2" t="str">
        <f t="shared" si="342"/>
        <v/>
      </c>
      <c r="AD1365" s="2" t="str">
        <f t="shared" si="343"/>
        <v>(0)</v>
      </c>
      <c r="AE1365" s="2" t="str">
        <f t="shared" si="344"/>
        <v/>
      </c>
      <c r="AF1365" s="2" t="str">
        <f t="shared" si="345"/>
        <v/>
      </c>
      <c r="AG1365" s="2" t="str">
        <f t="shared" si="346"/>
        <v/>
      </c>
      <c r="AH1365" s="2" t="str">
        <f t="shared" si="347"/>
        <v/>
      </c>
    </row>
    <row r="1366" spans="2:34" x14ac:dyDescent="0.25">
      <c r="B1366" s="2" t="s">
        <v>3719</v>
      </c>
      <c r="C1366" s="2" t="s">
        <v>3630</v>
      </c>
      <c r="D1366" s="2" t="s">
        <v>0</v>
      </c>
      <c r="E1366" s="2" t="s">
        <v>130</v>
      </c>
      <c r="F1366" s="2" t="s">
        <v>3720</v>
      </c>
      <c r="G1366" s="2" t="s">
        <v>3721</v>
      </c>
      <c r="H1366" s="2" t="s">
        <v>3631</v>
      </c>
      <c r="I1366" s="2" t="s">
        <v>41</v>
      </c>
      <c r="J1366" s="2">
        <v>5</v>
      </c>
      <c r="K1366" s="2" t="s">
        <v>132</v>
      </c>
      <c r="L1366" s="2" t="s">
        <v>40</v>
      </c>
      <c r="P1366" s="2" t="s">
        <v>47</v>
      </c>
      <c r="Q1366" s="2">
        <f>INDEX(Tables!$C$4:$C$28,MATCH($P1366,Tables!$B$4:$B$28,0))</f>
        <v>8</v>
      </c>
      <c r="R1366" s="2">
        <f>INDEX(Tables!$D$4:$D$28,MATCH($P1366,Tables!$B$4:$B$28,0))</f>
        <v>1</v>
      </c>
      <c r="S1366" s="2">
        <f>$S1365+$R1365+INDEX(Tables!$N$5:$Q$8,MATCH(MOD($S1365+$R1365,4),Tables!$M$5:$M$8,0),MATCH($R1366,Tables!$N$4:$Q$4,0))</f>
        <v>5280</v>
      </c>
      <c r="T1366" s="2" t="str">
        <f t="shared" si="333"/>
        <v>14A0</v>
      </c>
      <c r="U1366" s="2">
        <f t="shared" si="339"/>
        <v>1320</v>
      </c>
      <c r="V1366" s="2" t="str">
        <f t="shared" si="334"/>
        <v>528</v>
      </c>
      <c r="W1366" s="2" t="str">
        <f t="shared" si="335"/>
        <v/>
      </c>
      <c r="X1366" s="2" t="str">
        <f t="shared" si="338"/>
        <v/>
      </c>
      <c r="Y1366" s="2" t="str">
        <f t="shared" si="336"/>
        <v/>
      </c>
      <c r="Z1366" s="2" t="str">
        <f t="shared" si="337"/>
        <v>X</v>
      </c>
      <c r="AA1366" s="2" t="str">
        <f t="shared" si="340"/>
        <v/>
      </c>
      <c r="AB1366" s="2" t="str">
        <f t="shared" si="341"/>
        <v/>
      </c>
      <c r="AC1366" s="2" t="str">
        <f t="shared" si="342"/>
        <v/>
      </c>
      <c r="AD1366" s="2" t="str">
        <f t="shared" si="343"/>
        <v>(4 downto 0)</v>
      </c>
      <c r="AE1366" s="2" t="str">
        <f t="shared" si="344"/>
        <v/>
      </c>
      <c r="AF1366" s="2" t="str">
        <f t="shared" si="345"/>
        <v/>
      </c>
      <c r="AG1366" s="2" t="str">
        <f t="shared" si="346"/>
        <v/>
      </c>
      <c r="AH1366" s="2" t="str">
        <f t="shared" si="347"/>
        <v/>
      </c>
    </row>
    <row r="1367" spans="2:34" x14ac:dyDescent="0.25">
      <c r="B1367" s="2" t="s">
        <v>3719</v>
      </c>
      <c r="C1367" s="2" t="s">
        <v>3722</v>
      </c>
      <c r="D1367" s="2" t="s">
        <v>0</v>
      </c>
      <c r="E1367" s="2" t="s">
        <v>130</v>
      </c>
      <c r="F1367" s="2" t="s">
        <v>3720</v>
      </c>
      <c r="G1367" s="2" t="s">
        <v>3721</v>
      </c>
      <c r="H1367" s="2" t="s">
        <v>3723</v>
      </c>
      <c r="I1367" s="2" t="s">
        <v>41</v>
      </c>
      <c r="J1367" s="2">
        <v>24</v>
      </c>
      <c r="K1367" s="2" t="s">
        <v>132</v>
      </c>
      <c r="L1367" s="2" t="s">
        <v>40</v>
      </c>
      <c r="P1367" s="2" t="s">
        <v>48</v>
      </c>
      <c r="Q1367" s="2">
        <f>INDEX(Tables!$C$4:$C$28,MATCH($P1367,Tables!$B$4:$B$28,0))</f>
        <v>32</v>
      </c>
      <c r="R1367" s="2">
        <f>INDEX(Tables!$D$4:$D$28,MATCH($P1367,Tables!$B$4:$B$28,0))</f>
        <v>4</v>
      </c>
      <c r="S1367" s="2">
        <f>$S1366+$R1366+INDEX(Tables!$N$5:$Q$8,MATCH(MOD($S1366+$R1366,4),Tables!$M$5:$M$8,0),MATCH($R1367,Tables!$N$4:$Q$4,0))</f>
        <v>5284</v>
      </c>
      <c r="T1367" s="2" t="str">
        <f t="shared" si="333"/>
        <v>14A4</v>
      </c>
      <c r="U1367" s="2">
        <f t="shared" si="339"/>
        <v>1321</v>
      </c>
      <c r="V1367" s="2" t="str">
        <f t="shared" si="334"/>
        <v>529</v>
      </c>
      <c r="W1367" s="2" t="str">
        <f t="shared" si="335"/>
        <v/>
      </c>
      <c r="X1367" s="2" t="str">
        <f t="shared" si="338"/>
        <v>X</v>
      </c>
      <c r="Y1367" s="2" t="str">
        <f t="shared" si="336"/>
        <v>X</v>
      </c>
      <c r="Z1367" s="2" t="str">
        <f t="shared" si="337"/>
        <v>X</v>
      </c>
      <c r="AA1367" s="2" t="str">
        <f t="shared" si="340"/>
        <v/>
      </c>
      <c r="AB1367" s="2" t="str">
        <f t="shared" si="341"/>
        <v>(23 downto 16)</v>
      </c>
      <c r="AC1367" s="2" t="str">
        <f t="shared" si="342"/>
        <v>(15 downto 8)</v>
      </c>
      <c r="AD1367" s="2" t="str">
        <f t="shared" si="343"/>
        <v>(7 downto 0)</v>
      </c>
      <c r="AE1367" s="2" t="str">
        <f t="shared" si="344"/>
        <v/>
      </c>
      <c r="AF1367" s="2" t="str">
        <f t="shared" si="345"/>
        <v>(23 downto 16)</v>
      </c>
      <c r="AG1367" s="2" t="str">
        <f t="shared" si="346"/>
        <v>(15 downto 8)</v>
      </c>
      <c r="AH1367" s="2" t="str">
        <f t="shared" si="347"/>
        <v>(7 downto 0)</v>
      </c>
    </row>
    <row r="1368" spans="2:34" x14ac:dyDescent="0.25">
      <c r="B1368" s="2" t="s">
        <v>3724</v>
      </c>
      <c r="C1368" s="2" t="s">
        <v>3623</v>
      </c>
      <c r="D1368" s="2" t="s">
        <v>0</v>
      </c>
      <c r="E1368" s="2" t="s">
        <v>130</v>
      </c>
      <c r="F1368" s="2" t="s">
        <v>3725</v>
      </c>
      <c r="G1368" s="2" t="s">
        <v>3726</v>
      </c>
      <c r="H1368" s="2" t="s">
        <v>23408</v>
      </c>
      <c r="I1368" s="2" t="s">
        <v>41</v>
      </c>
      <c r="J1368" s="2">
        <v>1</v>
      </c>
      <c r="K1368" s="2" t="s">
        <v>81</v>
      </c>
      <c r="L1368" s="2" t="s">
        <v>40</v>
      </c>
      <c r="P1368" s="2" t="s">
        <v>4</v>
      </c>
      <c r="Q1368" s="2">
        <f>INDEX(Tables!$C$4:$C$28,MATCH($P1368,Tables!$B$4:$B$28,0))</f>
        <v>32</v>
      </c>
      <c r="R1368" s="2">
        <f>INDEX(Tables!$D$4:$D$28,MATCH($P1368,Tables!$B$4:$B$28,0))</f>
        <v>4</v>
      </c>
      <c r="S1368" s="2">
        <f>$S1367+$R1367+INDEX(Tables!$N$5:$Q$8,MATCH(MOD($S1367+$R1367,4),Tables!$M$5:$M$8,0),MATCH($R1368,Tables!$N$4:$Q$4,0))</f>
        <v>5288</v>
      </c>
      <c r="T1368" s="2" t="str">
        <f t="shared" si="333"/>
        <v>14A8</v>
      </c>
      <c r="U1368" s="2">
        <f t="shared" si="339"/>
        <v>1322</v>
      </c>
      <c r="V1368" s="2" t="str">
        <f t="shared" si="334"/>
        <v>52A</v>
      </c>
      <c r="W1368" s="2" t="str">
        <f t="shared" si="335"/>
        <v/>
      </c>
      <c r="X1368" s="2" t="str">
        <f t="shared" si="338"/>
        <v/>
      </c>
      <c r="Y1368" s="2" t="str">
        <f t="shared" si="336"/>
        <v/>
      </c>
      <c r="Z1368" s="2" t="str">
        <f t="shared" si="337"/>
        <v>X</v>
      </c>
      <c r="AA1368" s="2" t="str">
        <f t="shared" si="340"/>
        <v/>
      </c>
      <c r="AB1368" s="2" t="str">
        <f t="shared" si="341"/>
        <v/>
      </c>
      <c r="AC1368" s="2" t="str">
        <f t="shared" si="342"/>
        <v/>
      </c>
      <c r="AD1368" s="2" t="str">
        <f t="shared" si="343"/>
        <v>(0)</v>
      </c>
      <c r="AE1368" s="2" t="str">
        <f t="shared" si="344"/>
        <v/>
      </c>
      <c r="AF1368" s="2" t="str">
        <f t="shared" si="345"/>
        <v/>
      </c>
      <c r="AG1368" s="2" t="str">
        <f t="shared" si="346"/>
        <v/>
      </c>
      <c r="AH1368" s="2" t="str">
        <f t="shared" si="347"/>
        <v/>
      </c>
    </row>
    <row r="1369" spans="2:34" x14ac:dyDescent="0.25">
      <c r="B1369" s="2" t="s">
        <v>3724</v>
      </c>
      <c r="C1369" s="2" t="s">
        <v>3626</v>
      </c>
      <c r="D1369" s="2" t="s">
        <v>0</v>
      </c>
      <c r="E1369" s="2" t="s">
        <v>130</v>
      </c>
      <c r="F1369" s="2" t="s">
        <v>3725</v>
      </c>
      <c r="G1369" s="2" t="s">
        <v>3726</v>
      </c>
      <c r="H1369" s="2" t="s">
        <v>3627</v>
      </c>
      <c r="I1369" s="2" t="s">
        <v>41</v>
      </c>
      <c r="J1369" s="2">
        <v>1</v>
      </c>
      <c r="K1369" s="2" t="s">
        <v>81</v>
      </c>
      <c r="L1369" s="2" t="s">
        <v>40</v>
      </c>
      <c r="P1369" s="2" t="s">
        <v>4</v>
      </c>
      <c r="Q1369" s="2">
        <f>INDEX(Tables!$C$4:$C$28,MATCH($P1369,Tables!$B$4:$B$28,0))</f>
        <v>32</v>
      </c>
      <c r="R1369" s="2">
        <f>INDEX(Tables!$D$4:$D$28,MATCH($P1369,Tables!$B$4:$B$28,0))</f>
        <v>4</v>
      </c>
      <c r="S1369" s="2">
        <f>$S1368+$R1368+INDEX(Tables!$N$5:$Q$8,MATCH(MOD($S1368+$R1368,4),Tables!$M$5:$M$8,0),MATCH($R1369,Tables!$N$4:$Q$4,0))</f>
        <v>5292</v>
      </c>
      <c r="T1369" s="2" t="str">
        <f t="shared" si="333"/>
        <v>14AC</v>
      </c>
      <c r="U1369" s="2">
        <f t="shared" si="339"/>
        <v>1323</v>
      </c>
      <c r="V1369" s="2" t="str">
        <f t="shared" si="334"/>
        <v>52B</v>
      </c>
      <c r="W1369" s="2" t="str">
        <f t="shared" si="335"/>
        <v/>
      </c>
      <c r="X1369" s="2" t="str">
        <f t="shared" si="338"/>
        <v/>
      </c>
      <c r="Y1369" s="2" t="str">
        <f t="shared" si="336"/>
        <v/>
      </c>
      <c r="Z1369" s="2" t="str">
        <f t="shared" si="337"/>
        <v>X</v>
      </c>
      <c r="AA1369" s="2" t="str">
        <f t="shared" si="340"/>
        <v/>
      </c>
      <c r="AB1369" s="2" t="str">
        <f t="shared" si="341"/>
        <v/>
      </c>
      <c r="AC1369" s="2" t="str">
        <f t="shared" si="342"/>
        <v/>
      </c>
      <c r="AD1369" s="2" t="str">
        <f t="shared" si="343"/>
        <v>(0)</v>
      </c>
      <c r="AE1369" s="2" t="str">
        <f t="shared" si="344"/>
        <v/>
      </c>
      <c r="AF1369" s="2" t="str">
        <f t="shared" si="345"/>
        <v/>
      </c>
      <c r="AG1369" s="2" t="str">
        <f t="shared" si="346"/>
        <v/>
      </c>
      <c r="AH1369" s="2" t="str">
        <f t="shared" si="347"/>
        <v/>
      </c>
    </row>
    <row r="1370" spans="2:34" x14ac:dyDescent="0.25">
      <c r="B1370" s="2" t="s">
        <v>3724</v>
      </c>
      <c r="C1370" s="2" t="s">
        <v>3628</v>
      </c>
      <c r="D1370" s="2" t="s">
        <v>0</v>
      </c>
      <c r="E1370" s="2" t="s">
        <v>130</v>
      </c>
      <c r="F1370" s="2" t="s">
        <v>3725</v>
      </c>
      <c r="G1370" s="2" t="s">
        <v>3726</v>
      </c>
      <c r="H1370" s="2" t="s">
        <v>3629</v>
      </c>
      <c r="I1370" s="2" t="s">
        <v>41</v>
      </c>
      <c r="J1370" s="2">
        <v>1</v>
      </c>
      <c r="K1370" s="2" t="s">
        <v>81</v>
      </c>
      <c r="L1370" s="2" t="s">
        <v>40</v>
      </c>
      <c r="P1370" s="2" t="s">
        <v>4</v>
      </c>
      <c r="Q1370" s="2">
        <f>INDEX(Tables!$C$4:$C$28,MATCH($P1370,Tables!$B$4:$B$28,0))</f>
        <v>32</v>
      </c>
      <c r="R1370" s="2">
        <f>INDEX(Tables!$D$4:$D$28,MATCH($P1370,Tables!$B$4:$B$28,0))</f>
        <v>4</v>
      </c>
      <c r="S1370" s="2">
        <f>$S1369+$R1369+INDEX(Tables!$N$5:$Q$8,MATCH(MOD($S1369+$R1369,4),Tables!$M$5:$M$8,0),MATCH($R1370,Tables!$N$4:$Q$4,0))</f>
        <v>5296</v>
      </c>
      <c r="T1370" s="2" t="str">
        <f t="shared" si="333"/>
        <v>14B0</v>
      </c>
      <c r="U1370" s="2">
        <f t="shared" si="339"/>
        <v>1324</v>
      </c>
      <c r="V1370" s="2" t="str">
        <f t="shared" si="334"/>
        <v>52C</v>
      </c>
      <c r="W1370" s="2" t="str">
        <f t="shared" si="335"/>
        <v/>
      </c>
      <c r="X1370" s="2" t="str">
        <f t="shared" si="338"/>
        <v/>
      </c>
      <c r="Y1370" s="2" t="str">
        <f t="shared" si="336"/>
        <v/>
      </c>
      <c r="Z1370" s="2" t="str">
        <f t="shared" si="337"/>
        <v>X</v>
      </c>
      <c r="AA1370" s="2" t="str">
        <f t="shared" si="340"/>
        <v/>
      </c>
      <c r="AB1370" s="2" t="str">
        <f t="shared" si="341"/>
        <v/>
      </c>
      <c r="AC1370" s="2" t="str">
        <f t="shared" si="342"/>
        <v/>
      </c>
      <c r="AD1370" s="2" t="str">
        <f t="shared" si="343"/>
        <v>(0)</v>
      </c>
      <c r="AE1370" s="2" t="str">
        <f t="shared" si="344"/>
        <v/>
      </c>
      <c r="AF1370" s="2" t="str">
        <f t="shared" si="345"/>
        <v/>
      </c>
      <c r="AG1370" s="2" t="str">
        <f t="shared" si="346"/>
        <v/>
      </c>
      <c r="AH1370" s="2" t="str">
        <f t="shared" si="347"/>
        <v/>
      </c>
    </row>
    <row r="1371" spans="2:34" x14ac:dyDescent="0.25">
      <c r="B1371" s="2" t="s">
        <v>3724</v>
      </c>
      <c r="C1371" s="2" t="s">
        <v>3630</v>
      </c>
      <c r="D1371" s="2" t="s">
        <v>0</v>
      </c>
      <c r="E1371" s="2" t="s">
        <v>130</v>
      </c>
      <c r="F1371" s="2" t="s">
        <v>3725</v>
      </c>
      <c r="G1371" s="2" t="s">
        <v>3726</v>
      </c>
      <c r="H1371" s="2" t="s">
        <v>3631</v>
      </c>
      <c r="I1371" s="2" t="s">
        <v>41</v>
      </c>
      <c r="J1371" s="2">
        <v>5</v>
      </c>
      <c r="K1371" s="2" t="s">
        <v>132</v>
      </c>
      <c r="L1371" s="2" t="s">
        <v>40</v>
      </c>
      <c r="P1371" s="2" t="s">
        <v>47</v>
      </c>
      <c r="Q1371" s="2">
        <f>INDEX(Tables!$C$4:$C$28,MATCH($P1371,Tables!$B$4:$B$28,0))</f>
        <v>8</v>
      </c>
      <c r="R1371" s="2">
        <f>INDEX(Tables!$D$4:$D$28,MATCH($P1371,Tables!$B$4:$B$28,0))</f>
        <v>1</v>
      </c>
      <c r="S1371" s="2">
        <f>$S1370+$R1370+INDEX(Tables!$N$5:$Q$8,MATCH(MOD($S1370+$R1370,4),Tables!$M$5:$M$8,0),MATCH($R1371,Tables!$N$4:$Q$4,0))</f>
        <v>5300</v>
      </c>
      <c r="T1371" s="2" t="str">
        <f t="shared" si="333"/>
        <v>14B4</v>
      </c>
      <c r="U1371" s="2">
        <f t="shared" si="339"/>
        <v>1325</v>
      </c>
      <c r="V1371" s="2" t="str">
        <f t="shared" si="334"/>
        <v>52D</v>
      </c>
      <c r="W1371" s="2" t="str">
        <f t="shared" si="335"/>
        <v/>
      </c>
      <c r="X1371" s="2" t="str">
        <f t="shared" si="338"/>
        <v/>
      </c>
      <c r="Y1371" s="2" t="str">
        <f t="shared" si="336"/>
        <v/>
      </c>
      <c r="Z1371" s="2" t="str">
        <f t="shared" si="337"/>
        <v>X</v>
      </c>
      <c r="AA1371" s="2" t="str">
        <f t="shared" si="340"/>
        <v/>
      </c>
      <c r="AB1371" s="2" t="str">
        <f t="shared" si="341"/>
        <v/>
      </c>
      <c r="AC1371" s="2" t="str">
        <f t="shared" si="342"/>
        <v/>
      </c>
      <c r="AD1371" s="2" t="str">
        <f t="shared" si="343"/>
        <v>(4 downto 0)</v>
      </c>
      <c r="AE1371" s="2" t="str">
        <f t="shared" si="344"/>
        <v/>
      </c>
      <c r="AF1371" s="2" t="str">
        <f t="shared" si="345"/>
        <v/>
      </c>
      <c r="AG1371" s="2" t="str">
        <f t="shared" si="346"/>
        <v/>
      </c>
      <c r="AH1371" s="2" t="str">
        <f t="shared" si="347"/>
        <v/>
      </c>
    </row>
    <row r="1372" spans="2:34" x14ac:dyDescent="0.25">
      <c r="B1372" s="2" t="s">
        <v>3724</v>
      </c>
      <c r="C1372" s="2" t="s">
        <v>3727</v>
      </c>
      <c r="D1372" s="2" t="s">
        <v>0</v>
      </c>
      <c r="E1372" s="2" t="s">
        <v>130</v>
      </c>
      <c r="F1372" s="2" t="s">
        <v>3725</v>
      </c>
      <c r="G1372" s="2" t="s">
        <v>3726</v>
      </c>
      <c r="H1372" s="2" t="s">
        <v>3728</v>
      </c>
      <c r="I1372" s="2" t="s">
        <v>41</v>
      </c>
      <c r="J1372" s="2">
        <v>24</v>
      </c>
      <c r="K1372" s="2" t="s">
        <v>132</v>
      </c>
      <c r="L1372" s="2" t="s">
        <v>40</v>
      </c>
      <c r="P1372" s="2" t="s">
        <v>48</v>
      </c>
      <c r="Q1372" s="2">
        <f>INDEX(Tables!$C$4:$C$28,MATCH($P1372,Tables!$B$4:$B$28,0))</f>
        <v>32</v>
      </c>
      <c r="R1372" s="2">
        <f>INDEX(Tables!$D$4:$D$28,MATCH($P1372,Tables!$B$4:$B$28,0))</f>
        <v>4</v>
      </c>
      <c r="S1372" s="2">
        <f>$S1371+$R1371+INDEX(Tables!$N$5:$Q$8,MATCH(MOD($S1371+$R1371,4),Tables!$M$5:$M$8,0),MATCH($R1372,Tables!$N$4:$Q$4,0))</f>
        <v>5304</v>
      </c>
      <c r="T1372" s="2" t="str">
        <f t="shared" si="333"/>
        <v>14B8</v>
      </c>
      <c r="U1372" s="2">
        <f t="shared" si="339"/>
        <v>1326</v>
      </c>
      <c r="V1372" s="2" t="str">
        <f t="shared" si="334"/>
        <v>52E</v>
      </c>
      <c r="W1372" s="2" t="str">
        <f t="shared" si="335"/>
        <v/>
      </c>
      <c r="X1372" s="2" t="str">
        <f t="shared" si="338"/>
        <v>X</v>
      </c>
      <c r="Y1372" s="2" t="str">
        <f t="shared" si="336"/>
        <v>X</v>
      </c>
      <c r="Z1372" s="2" t="str">
        <f t="shared" si="337"/>
        <v>X</v>
      </c>
      <c r="AA1372" s="2" t="str">
        <f t="shared" si="340"/>
        <v/>
      </c>
      <c r="AB1372" s="2" t="str">
        <f t="shared" si="341"/>
        <v>(23 downto 16)</v>
      </c>
      <c r="AC1372" s="2" t="str">
        <f t="shared" si="342"/>
        <v>(15 downto 8)</v>
      </c>
      <c r="AD1372" s="2" t="str">
        <f t="shared" si="343"/>
        <v>(7 downto 0)</v>
      </c>
      <c r="AE1372" s="2" t="str">
        <f t="shared" si="344"/>
        <v/>
      </c>
      <c r="AF1372" s="2" t="str">
        <f t="shared" si="345"/>
        <v>(23 downto 16)</v>
      </c>
      <c r="AG1372" s="2" t="str">
        <f t="shared" si="346"/>
        <v>(15 downto 8)</v>
      </c>
      <c r="AH1372" s="2" t="str">
        <f t="shared" si="347"/>
        <v>(7 downto 0)</v>
      </c>
    </row>
    <row r="1373" spans="2:34" x14ac:dyDescent="0.25">
      <c r="B1373" s="2" t="s">
        <v>3729</v>
      </c>
      <c r="C1373" s="2" t="s">
        <v>3623</v>
      </c>
      <c r="D1373" s="2" t="s">
        <v>0</v>
      </c>
      <c r="E1373" s="2" t="s">
        <v>130</v>
      </c>
      <c r="F1373" s="2" t="s">
        <v>3730</v>
      </c>
      <c r="G1373" s="2" t="s">
        <v>3731</v>
      </c>
      <c r="H1373" s="2" t="s">
        <v>23408</v>
      </c>
      <c r="I1373" s="2" t="s">
        <v>41</v>
      </c>
      <c r="J1373" s="2">
        <v>1</v>
      </c>
      <c r="K1373" s="2" t="s">
        <v>81</v>
      </c>
      <c r="L1373" s="2" t="s">
        <v>40</v>
      </c>
      <c r="P1373" s="2" t="s">
        <v>4</v>
      </c>
      <c r="Q1373" s="2">
        <f>INDEX(Tables!$C$4:$C$28,MATCH($P1373,Tables!$B$4:$B$28,0))</f>
        <v>32</v>
      </c>
      <c r="R1373" s="2">
        <f>INDEX(Tables!$D$4:$D$28,MATCH($P1373,Tables!$B$4:$B$28,0))</f>
        <v>4</v>
      </c>
      <c r="S1373" s="2">
        <f>$S1372+$R1372+INDEX(Tables!$N$5:$Q$8,MATCH(MOD($S1372+$R1372,4),Tables!$M$5:$M$8,0),MATCH($R1373,Tables!$N$4:$Q$4,0))</f>
        <v>5308</v>
      </c>
      <c r="T1373" s="2" t="str">
        <f t="shared" si="333"/>
        <v>14BC</v>
      </c>
      <c r="U1373" s="2">
        <f t="shared" si="339"/>
        <v>1327</v>
      </c>
      <c r="V1373" s="2" t="str">
        <f t="shared" si="334"/>
        <v>52F</v>
      </c>
      <c r="W1373" s="2" t="str">
        <f t="shared" si="335"/>
        <v/>
      </c>
      <c r="X1373" s="2" t="str">
        <f t="shared" si="338"/>
        <v/>
      </c>
      <c r="Y1373" s="2" t="str">
        <f t="shared" si="336"/>
        <v/>
      </c>
      <c r="Z1373" s="2" t="str">
        <f t="shared" si="337"/>
        <v>X</v>
      </c>
      <c r="AA1373" s="2" t="str">
        <f t="shared" si="340"/>
        <v/>
      </c>
      <c r="AB1373" s="2" t="str">
        <f t="shared" si="341"/>
        <v/>
      </c>
      <c r="AC1373" s="2" t="str">
        <f t="shared" si="342"/>
        <v/>
      </c>
      <c r="AD1373" s="2" t="str">
        <f t="shared" si="343"/>
        <v>(0)</v>
      </c>
      <c r="AE1373" s="2" t="str">
        <f t="shared" si="344"/>
        <v/>
      </c>
      <c r="AF1373" s="2" t="str">
        <f t="shared" si="345"/>
        <v/>
      </c>
      <c r="AG1373" s="2" t="str">
        <f t="shared" si="346"/>
        <v/>
      </c>
      <c r="AH1373" s="2" t="str">
        <f t="shared" si="347"/>
        <v/>
      </c>
    </row>
    <row r="1374" spans="2:34" x14ac:dyDescent="0.25">
      <c r="B1374" s="2" t="s">
        <v>3729</v>
      </c>
      <c r="C1374" s="2" t="s">
        <v>3626</v>
      </c>
      <c r="D1374" s="2" t="s">
        <v>0</v>
      </c>
      <c r="E1374" s="2" t="s">
        <v>130</v>
      </c>
      <c r="F1374" s="2" t="s">
        <v>3730</v>
      </c>
      <c r="G1374" s="2" t="s">
        <v>3731</v>
      </c>
      <c r="H1374" s="2" t="s">
        <v>3627</v>
      </c>
      <c r="I1374" s="2" t="s">
        <v>41</v>
      </c>
      <c r="J1374" s="2">
        <v>1</v>
      </c>
      <c r="K1374" s="2" t="s">
        <v>81</v>
      </c>
      <c r="L1374" s="2" t="s">
        <v>40</v>
      </c>
      <c r="P1374" s="2" t="s">
        <v>4</v>
      </c>
      <c r="Q1374" s="2">
        <f>INDEX(Tables!$C$4:$C$28,MATCH($P1374,Tables!$B$4:$B$28,0))</f>
        <v>32</v>
      </c>
      <c r="R1374" s="2">
        <f>INDEX(Tables!$D$4:$D$28,MATCH($P1374,Tables!$B$4:$B$28,0))</f>
        <v>4</v>
      </c>
      <c r="S1374" s="2">
        <f>$S1373+$R1373+INDEX(Tables!$N$5:$Q$8,MATCH(MOD($S1373+$R1373,4),Tables!$M$5:$M$8,0),MATCH($R1374,Tables!$N$4:$Q$4,0))</f>
        <v>5312</v>
      </c>
      <c r="T1374" s="2" t="str">
        <f t="shared" si="333"/>
        <v>14C0</v>
      </c>
      <c r="U1374" s="2">
        <f t="shared" si="339"/>
        <v>1328</v>
      </c>
      <c r="V1374" s="2" t="str">
        <f t="shared" si="334"/>
        <v>530</v>
      </c>
      <c r="W1374" s="2" t="str">
        <f t="shared" si="335"/>
        <v/>
      </c>
      <c r="X1374" s="2" t="str">
        <f t="shared" si="338"/>
        <v/>
      </c>
      <c r="Y1374" s="2" t="str">
        <f t="shared" si="336"/>
        <v/>
      </c>
      <c r="Z1374" s="2" t="str">
        <f t="shared" si="337"/>
        <v>X</v>
      </c>
      <c r="AA1374" s="2" t="str">
        <f t="shared" si="340"/>
        <v/>
      </c>
      <c r="AB1374" s="2" t="str">
        <f t="shared" si="341"/>
        <v/>
      </c>
      <c r="AC1374" s="2" t="str">
        <f t="shared" si="342"/>
        <v/>
      </c>
      <c r="AD1374" s="2" t="str">
        <f t="shared" si="343"/>
        <v>(0)</v>
      </c>
      <c r="AE1374" s="2" t="str">
        <f t="shared" si="344"/>
        <v/>
      </c>
      <c r="AF1374" s="2" t="str">
        <f t="shared" si="345"/>
        <v/>
      </c>
      <c r="AG1374" s="2" t="str">
        <f t="shared" si="346"/>
        <v/>
      </c>
      <c r="AH1374" s="2" t="str">
        <f t="shared" si="347"/>
        <v/>
      </c>
    </row>
    <row r="1375" spans="2:34" x14ac:dyDescent="0.25">
      <c r="B1375" s="2" t="s">
        <v>3729</v>
      </c>
      <c r="C1375" s="2" t="s">
        <v>3628</v>
      </c>
      <c r="D1375" s="2" t="s">
        <v>0</v>
      </c>
      <c r="E1375" s="2" t="s">
        <v>130</v>
      </c>
      <c r="F1375" s="2" t="s">
        <v>3730</v>
      </c>
      <c r="G1375" s="2" t="s">
        <v>3731</v>
      </c>
      <c r="H1375" s="2" t="s">
        <v>3629</v>
      </c>
      <c r="I1375" s="2" t="s">
        <v>41</v>
      </c>
      <c r="J1375" s="2">
        <v>1</v>
      </c>
      <c r="K1375" s="2" t="s">
        <v>81</v>
      </c>
      <c r="L1375" s="2" t="s">
        <v>40</v>
      </c>
      <c r="P1375" s="2" t="s">
        <v>4</v>
      </c>
      <c r="Q1375" s="2">
        <f>INDEX(Tables!$C$4:$C$28,MATCH($P1375,Tables!$B$4:$B$28,0))</f>
        <v>32</v>
      </c>
      <c r="R1375" s="2">
        <f>INDEX(Tables!$D$4:$D$28,MATCH($P1375,Tables!$B$4:$B$28,0))</f>
        <v>4</v>
      </c>
      <c r="S1375" s="2">
        <f>$S1374+$R1374+INDEX(Tables!$N$5:$Q$8,MATCH(MOD($S1374+$R1374,4),Tables!$M$5:$M$8,0),MATCH($R1375,Tables!$N$4:$Q$4,0))</f>
        <v>5316</v>
      </c>
      <c r="T1375" s="2" t="str">
        <f t="shared" si="333"/>
        <v>14C4</v>
      </c>
      <c r="U1375" s="2">
        <f t="shared" si="339"/>
        <v>1329</v>
      </c>
      <c r="V1375" s="2" t="str">
        <f t="shared" si="334"/>
        <v>531</v>
      </c>
      <c r="W1375" s="2" t="str">
        <f t="shared" si="335"/>
        <v/>
      </c>
      <c r="X1375" s="2" t="str">
        <f t="shared" si="338"/>
        <v/>
      </c>
      <c r="Y1375" s="2" t="str">
        <f t="shared" si="336"/>
        <v/>
      </c>
      <c r="Z1375" s="2" t="str">
        <f t="shared" si="337"/>
        <v>X</v>
      </c>
      <c r="AA1375" s="2" t="str">
        <f t="shared" si="340"/>
        <v/>
      </c>
      <c r="AB1375" s="2" t="str">
        <f t="shared" si="341"/>
        <v/>
      </c>
      <c r="AC1375" s="2" t="str">
        <f t="shared" si="342"/>
        <v/>
      </c>
      <c r="AD1375" s="2" t="str">
        <f t="shared" si="343"/>
        <v>(0)</v>
      </c>
      <c r="AE1375" s="2" t="str">
        <f t="shared" si="344"/>
        <v/>
      </c>
      <c r="AF1375" s="2" t="str">
        <f t="shared" si="345"/>
        <v/>
      </c>
      <c r="AG1375" s="2" t="str">
        <f t="shared" si="346"/>
        <v/>
      </c>
      <c r="AH1375" s="2" t="str">
        <f t="shared" si="347"/>
        <v/>
      </c>
    </row>
    <row r="1376" spans="2:34" x14ac:dyDescent="0.25">
      <c r="B1376" s="2" t="s">
        <v>3729</v>
      </c>
      <c r="C1376" s="2" t="s">
        <v>3630</v>
      </c>
      <c r="D1376" s="2" t="s">
        <v>0</v>
      </c>
      <c r="E1376" s="2" t="s">
        <v>130</v>
      </c>
      <c r="F1376" s="2" t="s">
        <v>3730</v>
      </c>
      <c r="G1376" s="2" t="s">
        <v>3731</v>
      </c>
      <c r="H1376" s="2" t="s">
        <v>3631</v>
      </c>
      <c r="I1376" s="2" t="s">
        <v>41</v>
      </c>
      <c r="J1376" s="2">
        <v>5</v>
      </c>
      <c r="K1376" s="2" t="s">
        <v>132</v>
      </c>
      <c r="L1376" s="2" t="s">
        <v>40</v>
      </c>
      <c r="P1376" s="2" t="s">
        <v>47</v>
      </c>
      <c r="Q1376" s="2">
        <f>INDEX(Tables!$C$4:$C$28,MATCH($P1376,Tables!$B$4:$B$28,0))</f>
        <v>8</v>
      </c>
      <c r="R1376" s="2">
        <f>INDEX(Tables!$D$4:$D$28,MATCH($P1376,Tables!$B$4:$B$28,0))</f>
        <v>1</v>
      </c>
      <c r="S1376" s="2">
        <f>$S1375+$R1375+INDEX(Tables!$N$5:$Q$8,MATCH(MOD($S1375+$R1375,4),Tables!$M$5:$M$8,0),MATCH($R1376,Tables!$N$4:$Q$4,0))</f>
        <v>5320</v>
      </c>
      <c r="T1376" s="2" t="str">
        <f t="shared" si="333"/>
        <v>14C8</v>
      </c>
      <c r="U1376" s="2">
        <f t="shared" si="339"/>
        <v>1330</v>
      </c>
      <c r="V1376" s="2" t="str">
        <f t="shared" si="334"/>
        <v>532</v>
      </c>
      <c r="W1376" s="2" t="str">
        <f t="shared" si="335"/>
        <v/>
      </c>
      <c r="X1376" s="2" t="str">
        <f t="shared" si="338"/>
        <v/>
      </c>
      <c r="Y1376" s="2" t="str">
        <f t="shared" si="336"/>
        <v/>
      </c>
      <c r="Z1376" s="2" t="str">
        <f t="shared" si="337"/>
        <v>X</v>
      </c>
      <c r="AA1376" s="2" t="str">
        <f t="shared" si="340"/>
        <v/>
      </c>
      <c r="AB1376" s="2" t="str">
        <f t="shared" si="341"/>
        <v/>
      </c>
      <c r="AC1376" s="2" t="str">
        <f t="shared" si="342"/>
        <v/>
      </c>
      <c r="AD1376" s="2" t="str">
        <f t="shared" si="343"/>
        <v>(4 downto 0)</v>
      </c>
      <c r="AE1376" s="2" t="str">
        <f t="shared" si="344"/>
        <v/>
      </c>
      <c r="AF1376" s="2" t="str">
        <f t="shared" si="345"/>
        <v/>
      </c>
      <c r="AG1376" s="2" t="str">
        <f t="shared" si="346"/>
        <v/>
      </c>
      <c r="AH1376" s="2" t="str">
        <f t="shared" si="347"/>
        <v/>
      </c>
    </row>
    <row r="1377" spans="2:34" x14ac:dyDescent="0.25">
      <c r="B1377" s="2" t="s">
        <v>3729</v>
      </c>
      <c r="C1377" s="2" t="s">
        <v>3732</v>
      </c>
      <c r="D1377" s="2" t="s">
        <v>0</v>
      </c>
      <c r="E1377" s="2" t="s">
        <v>130</v>
      </c>
      <c r="F1377" s="2" t="s">
        <v>3730</v>
      </c>
      <c r="G1377" s="2" t="s">
        <v>3731</v>
      </c>
      <c r="H1377" s="2" t="s">
        <v>3733</v>
      </c>
      <c r="I1377" s="2" t="s">
        <v>41</v>
      </c>
      <c r="J1377" s="2">
        <v>4</v>
      </c>
      <c r="K1377" s="2" t="s">
        <v>132</v>
      </c>
      <c r="L1377" s="2" t="s">
        <v>40</v>
      </c>
      <c r="P1377" s="2" t="s">
        <v>47</v>
      </c>
      <c r="Q1377" s="2">
        <f>INDEX(Tables!$C$4:$C$28,MATCH($P1377,Tables!$B$4:$B$28,0))</f>
        <v>8</v>
      </c>
      <c r="R1377" s="2">
        <f>INDEX(Tables!$D$4:$D$28,MATCH($P1377,Tables!$B$4:$B$28,0))</f>
        <v>1</v>
      </c>
      <c r="S1377" s="2">
        <f>$S1376+$R1376+INDEX(Tables!$N$5:$Q$8,MATCH(MOD($S1376+$R1376,4),Tables!$M$5:$M$8,0),MATCH($R1377,Tables!$N$4:$Q$4,0))</f>
        <v>5321</v>
      </c>
      <c r="T1377" s="2" t="str">
        <f t="shared" si="333"/>
        <v>14C9</v>
      </c>
      <c r="U1377" s="2">
        <f t="shared" si="339"/>
        <v>1330</v>
      </c>
      <c r="V1377" s="2" t="str">
        <f t="shared" si="334"/>
        <v>532</v>
      </c>
      <c r="W1377" s="2" t="str">
        <f t="shared" si="335"/>
        <v/>
      </c>
      <c r="X1377" s="2" t="str">
        <f t="shared" si="338"/>
        <v/>
      </c>
      <c r="Y1377" s="2" t="str">
        <f t="shared" si="336"/>
        <v>X</v>
      </c>
      <c r="Z1377" s="2" t="str">
        <f t="shared" si="337"/>
        <v/>
      </c>
      <c r="AA1377" s="2" t="str">
        <f t="shared" si="340"/>
        <v/>
      </c>
      <c r="AB1377" s="2" t="str">
        <f t="shared" si="341"/>
        <v/>
      </c>
      <c r="AC1377" s="2" t="str">
        <f t="shared" si="342"/>
        <v>(11 downto 8)</v>
      </c>
      <c r="AD1377" s="2" t="str">
        <f t="shared" si="343"/>
        <v/>
      </c>
      <c r="AE1377" s="2" t="str">
        <f t="shared" si="344"/>
        <v/>
      </c>
      <c r="AF1377" s="2" t="str">
        <f t="shared" si="345"/>
        <v/>
      </c>
      <c r="AG1377" s="2" t="str">
        <f t="shared" si="346"/>
        <v/>
      </c>
      <c r="AH1377" s="2" t="str">
        <f t="shared" si="347"/>
        <v/>
      </c>
    </row>
    <row r="1378" spans="2:34" x14ac:dyDescent="0.25">
      <c r="B1378" s="2" t="s">
        <v>3734</v>
      </c>
      <c r="C1378" s="2" t="s">
        <v>478</v>
      </c>
      <c r="D1378" s="2" t="s">
        <v>0</v>
      </c>
      <c r="E1378" s="2" t="s">
        <v>130</v>
      </c>
      <c r="F1378" s="2" t="s">
        <v>3735</v>
      </c>
      <c r="G1378" s="2" t="s">
        <v>3736</v>
      </c>
      <c r="H1378" s="2" t="s">
        <v>479</v>
      </c>
      <c r="I1378" s="2" t="s">
        <v>41</v>
      </c>
      <c r="J1378" s="2">
        <v>1</v>
      </c>
      <c r="K1378" s="2" t="s">
        <v>81</v>
      </c>
      <c r="L1378" s="2" t="s">
        <v>40</v>
      </c>
      <c r="P1378" s="2" t="s">
        <v>4</v>
      </c>
      <c r="Q1378" s="2">
        <f>INDEX(Tables!$C$4:$C$28,MATCH($P1378,Tables!$B$4:$B$28,0))</f>
        <v>32</v>
      </c>
      <c r="R1378" s="2">
        <f>INDEX(Tables!$D$4:$D$28,MATCH($P1378,Tables!$B$4:$B$28,0))</f>
        <v>4</v>
      </c>
      <c r="S1378" s="2">
        <f>$S1377+$R1377+INDEX(Tables!$N$5:$Q$8,MATCH(MOD($S1377+$R1377,4),Tables!$M$5:$M$8,0),MATCH($R1378,Tables!$N$4:$Q$4,0))</f>
        <v>5324</v>
      </c>
      <c r="T1378" s="2" t="str">
        <f t="shared" si="333"/>
        <v>14CC</v>
      </c>
      <c r="U1378" s="2">
        <f t="shared" si="339"/>
        <v>1331</v>
      </c>
      <c r="V1378" s="2" t="str">
        <f t="shared" si="334"/>
        <v>533</v>
      </c>
      <c r="W1378" s="2" t="str">
        <f t="shared" si="335"/>
        <v/>
      </c>
      <c r="X1378" s="2" t="str">
        <f t="shared" si="338"/>
        <v/>
      </c>
      <c r="Y1378" s="2" t="str">
        <f t="shared" si="336"/>
        <v/>
      </c>
      <c r="Z1378" s="2" t="str">
        <f t="shared" si="337"/>
        <v>X</v>
      </c>
      <c r="AA1378" s="2" t="str">
        <f t="shared" si="340"/>
        <v/>
      </c>
      <c r="AB1378" s="2" t="str">
        <f t="shared" si="341"/>
        <v/>
      </c>
      <c r="AC1378" s="2" t="str">
        <f t="shared" si="342"/>
        <v/>
      </c>
      <c r="AD1378" s="2" t="str">
        <f t="shared" si="343"/>
        <v>(0)</v>
      </c>
      <c r="AE1378" s="2" t="str">
        <f t="shared" si="344"/>
        <v/>
      </c>
      <c r="AF1378" s="2" t="str">
        <f t="shared" si="345"/>
        <v/>
      </c>
      <c r="AG1378" s="2" t="str">
        <f t="shared" si="346"/>
        <v/>
      </c>
      <c r="AH1378" s="2" t="str">
        <f t="shared" si="347"/>
        <v/>
      </c>
    </row>
    <row r="1379" spans="2:34" x14ac:dyDescent="0.25">
      <c r="B1379" s="2" t="s">
        <v>3734</v>
      </c>
      <c r="C1379" s="2" t="s">
        <v>480</v>
      </c>
      <c r="D1379" s="2" t="s">
        <v>0</v>
      </c>
      <c r="E1379" s="2" t="s">
        <v>130</v>
      </c>
      <c r="F1379" s="2" t="s">
        <v>3735</v>
      </c>
      <c r="G1379" s="2" t="s">
        <v>3736</v>
      </c>
      <c r="H1379" s="2" t="s">
        <v>481</v>
      </c>
      <c r="I1379" s="2" t="s">
        <v>41</v>
      </c>
      <c r="J1379" s="2">
        <v>1</v>
      </c>
      <c r="K1379" s="2" t="s">
        <v>81</v>
      </c>
      <c r="L1379" s="2" t="s">
        <v>40</v>
      </c>
      <c r="P1379" s="2" t="s">
        <v>4</v>
      </c>
      <c r="Q1379" s="2">
        <f>INDEX(Tables!$C$4:$C$28,MATCH($P1379,Tables!$B$4:$B$28,0))</f>
        <v>32</v>
      </c>
      <c r="R1379" s="2">
        <f>INDEX(Tables!$D$4:$D$28,MATCH($P1379,Tables!$B$4:$B$28,0))</f>
        <v>4</v>
      </c>
      <c r="S1379" s="2">
        <f>$S1378+$R1378+INDEX(Tables!$N$5:$Q$8,MATCH(MOD($S1378+$R1378,4),Tables!$M$5:$M$8,0),MATCH($R1379,Tables!$N$4:$Q$4,0))</f>
        <v>5328</v>
      </c>
      <c r="T1379" s="2" t="str">
        <f t="shared" si="333"/>
        <v>14D0</v>
      </c>
      <c r="U1379" s="2">
        <f t="shared" si="339"/>
        <v>1332</v>
      </c>
      <c r="V1379" s="2" t="str">
        <f t="shared" si="334"/>
        <v>534</v>
      </c>
      <c r="W1379" s="2" t="str">
        <f t="shared" si="335"/>
        <v/>
      </c>
      <c r="X1379" s="2" t="str">
        <f t="shared" si="338"/>
        <v/>
      </c>
      <c r="Y1379" s="2" t="str">
        <f t="shared" si="336"/>
        <v/>
      </c>
      <c r="Z1379" s="2" t="str">
        <f t="shared" si="337"/>
        <v>X</v>
      </c>
      <c r="AA1379" s="2" t="str">
        <f t="shared" si="340"/>
        <v/>
      </c>
      <c r="AB1379" s="2" t="str">
        <f t="shared" si="341"/>
        <v/>
      </c>
      <c r="AC1379" s="2" t="str">
        <f t="shared" si="342"/>
        <v/>
      </c>
      <c r="AD1379" s="2" t="str">
        <f t="shared" si="343"/>
        <v>(0)</v>
      </c>
      <c r="AE1379" s="2" t="str">
        <f t="shared" si="344"/>
        <v/>
      </c>
      <c r="AF1379" s="2" t="str">
        <f t="shared" si="345"/>
        <v/>
      </c>
      <c r="AG1379" s="2" t="str">
        <f t="shared" si="346"/>
        <v/>
      </c>
      <c r="AH1379" s="2" t="str">
        <f t="shared" si="347"/>
        <v/>
      </c>
    </row>
    <row r="1380" spans="2:34" x14ac:dyDescent="0.25">
      <c r="B1380" s="2" t="s">
        <v>3734</v>
      </c>
      <c r="C1380" s="2" t="s">
        <v>482</v>
      </c>
      <c r="D1380" s="2" t="s">
        <v>0</v>
      </c>
      <c r="E1380" s="2" t="s">
        <v>130</v>
      </c>
      <c r="F1380" s="2" t="s">
        <v>3735</v>
      </c>
      <c r="G1380" s="2" t="s">
        <v>3736</v>
      </c>
      <c r="H1380" s="2" t="s">
        <v>483</v>
      </c>
      <c r="I1380" s="2" t="s">
        <v>41</v>
      </c>
      <c r="J1380" s="2">
        <v>1</v>
      </c>
      <c r="K1380" s="2" t="s">
        <v>81</v>
      </c>
      <c r="L1380" s="2" t="s">
        <v>40</v>
      </c>
      <c r="P1380" s="2" t="s">
        <v>4</v>
      </c>
      <c r="Q1380" s="2">
        <f>INDEX(Tables!$C$4:$C$28,MATCH($P1380,Tables!$B$4:$B$28,0))</f>
        <v>32</v>
      </c>
      <c r="R1380" s="2">
        <f>INDEX(Tables!$D$4:$D$28,MATCH($P1380,Tables!$B$4:$B$28,0))</f>
        <v>4</v>
      </c>
      <c r="S1380" s="2">
        <f>$S1379+$R1379+INDEX(Tables!$N$5:$Q$8,MATCH(MOD($S1379+$R1379,4),Tables!$M$5:$M$8,0),MATCH($R1380,Tables!$N$4:$Q$4,0))</f>
        <v>5332</v>
      </c>
      <c r="T1380" s="2" t="str">
        <f t="shared" si="333"/>
        <v>14D4</v>
      </c>
      <c r="U1380" s="2">
        <f t="shared" si="339"/>
        <v>1333</v>
      </c>
      <c r="V1380" s="2" t="str">
        <f t="shared" si="334"/>
        <v>535</v>
      </c>
      <c r="W1380" s="2" t="str">
        <f t="shared" si="335"/>
        <v/>
      </c>
      <c r="X1380" s="2" t="str">
        <f t="shared" si="338"/>
        <v/>
      </c>
      <c r="Y1380" s="2" t="str">
        <f t="shared" si="336"/>
        <v/>
      </c>
      <c r="Z1380" s="2" t="str">
        <f t="shared" si="337"/>
        <v>X</v>
      </c>
      <c r="AA1380" s="2" t="str">
        <f t="shared" si="340"/>
        <v/>
      </c>
      <c r="AB1380" s="2" t="str">
        <f t="shared" si="341"/>
        <v/>
      </c>
      <c r="AC1380" s="2" t="str">
        <f t="shared" si="342"/>
        <v/>
      </c>
      <c r="AD1380" s="2" t="str">
        <f t="shared" si="343"/>
        <v>(0)</v>
      </c>
      <c r="AE1380" s="2" t="str">
        <f t="shared" si="344"/>
        <v/>
      </c>
      <c r="AF1380" s="2" t="str">
        <f t="shared" si="345"/>
        <v/>
      </c>
      <c r="AG1380" s="2" t="str">
        <f t="shared" si="346"/>
        <v/>
      </c>
      <c r="AH1380" s="2" t="str">
        <f t="shared" si="347"/>
        <v/>
      </c>
    </row>
    <row r="1381" spans="2:34" x14ac:dyDescent="0.25">
      <c r="B1381" s="2" t="s">
        <v>3734</v>
      </c>
      <c r="C1381" s="2" t="s">
        <v>484</v>
      </c>
      <c r="D1381" s="2" t="s">
        <v>0</v>
      </c>
      <c r="E1381" s="2" t="s">
        <v>130</v>
      </c>
      <c r="F1381" s="2" t="s">
        <v>3735</v>
      </c>
      <c r="G1381" s="2" t="s">
        <v>3736</v>
      </c>
      <c r="H1381" s="2" t="s">
        <v>485</v>
      </c>
      <c r="I1381" s="2" t="s">
        <v>41</v>
      </c>
      <c r="J1381" s="2">
        <v>1</v>
      </c>
      <c r="K1381" s="2" t="s">
        <v>81</v>
      </c>
      <c r="L1381" s="2" t="s">
        <v>40</v>
      </c>
      <c r="P1381" s="2" t="s">
        <v>4</v>
      </c>
      <c r="Q1381" s="2">
        <f>INDEX(Tables!$C$4:$C$28,MATCH($P1381,Tables!$B$4:$B$28,0))</f>
        <v>32</v>
      </c>
      <c r="R1381" s="2">
        <f>INDEX(Tables!$D$4:$D$28,MATCH($P1381,Tables!$B$4:$B$28,0))</f>
        <v>4</v>
      </c>
      <c r="S1381" s="2">
        <f>$S1380+$R1380+INDEX(Tables!$N$5:$Q$8,MATCH(MOD($S1380+$R1380,4),Tables!$M$5:$M$8,0),MATCH($R1381,Tables!$N$4:$Q$4,0))</f>
        <v>5336</v>
      </c>
      <c r="T1381" s="2" t="str">
        <f t="shared" si="333"/>
        <v>14D8</v>
      </c>
      <c r="U1381" s="2">
        <f t="shared" si="339"/>
        <v>1334</v>
      </c>
      <c r="V1381" s="2" t="str">
        <f t="shared" si="334"/>
        <v>536</v>
      </c>
      <c r="W1381" s="2" t="str">
        <f t="shared" si="335"/>
        <v/>
      </c>
      <c r="X1381" s="2" t="str">
        <f t="shared" si="338"/>
        <v/>
      </c>
      <c r="Y1381" s="2" t="str">
        <f t="shared" si="336"/>
        <v/>
      </c>
      <c r="Z1381" s="2" t="str">
        <f t="shared" si="337"/>
        <v>X</v>
      </c>
      <c r="AA1381" s="2" t="str">
        <f t="shared" si="340"/>
        <v/>
      </c>
      <c r="AB1381" s="2" t="str">
        <f t="shared" si="341"/>
        <v/>
      </c>
      <c r="AC1381" s="2" t="str">
        <f t="shared" si="342"/>
        <v/>
      </c>
      <c r="AD1381" s="2" t="str">
        <f t="shared" si="343"/>
        <v>(0)</v>
      </c>
      <c r="AE1381" s="2" t="str">
        <f t="shared" si="344"/>
        <v/>
      </c>
      <c r="AF1381" s="2" t="str">
        <f t="shared" si="345"/>
        <v/>
      </c>
      <c r="AG1381" s="2" t="str">
        <f t="shared" si="346"/>
        <v/>
      </c>
      <c r="AH1381" s="2" t="str">
        <f t="shared" si="347"/>
        <v/>
      </c>
    </row>
    <row r="1382" spans="2:34" x14ac:dyDescent="0.25">
      <c r="B1382" s="2" t="s">
        <v>3734</v>
      </c>
      <c r="C1382" s="2" t="s">
        <v>486</v>
      </c>
      <c r="D1382" s="2" t="s">
        <v>0</v>
      </c>
      <c r="E1382" s="2" t="s">
        <v>130</v>
      </c>
      <c r="F1382" s="2" t="s">
        <v>3735</v>
      </c>
      <c r="G1382" s="2" t="s">
        <v>3736</v>
      </c>
      <c r="H1382" s="2" t="s">
        <v>487</v>
      </c>
      <c r="I1382" s="2" t="s">
        <v>41</v>
      </c>
      <c r="J1382" s="2">
        <v>1</v>
      </c>
      <c r="K1382" s="2" t="s">
        <v>81</v>
      </c>
      <c r="L1382" s="2" t="s">
        <v>40</v>
      </c>
      <c r="P1382" s="2" t="s">
        <v>4</v>
      </c>
      <c r="Q1382" s="2">
        <f>INDEX(Tables!$C$4:$C$28,MATCH($P1382,Tables!$B$4:$B$28,0))</f>
        <v>32</v>
      </c>
      <c r="R1382" s="2">
        <f>INDEX(Tables!$D$4:$D$28,MATCH($P1382,Tables!$B$4:$B$28,0))</f>
        <v>4</v>
      </c>
      <c r="S1382" s="2">
        <f>$S1381+$R1381+INDEX(Tables!$N$5:$Q$8,MATCH(MOD($S1381+$R1381,4),Tables!$M$5:$M$8,0),MATCH($R1382,Tables!$N$4:$Q$4,0))</f>
        <v>5340</v>
      </c>
      <c r="T1382" s="2" t="str">
        <f t="shared" si="333"/>
        <v>14DC</v>
      </c>
      <c r="U1382" s="2">
        <f t="shared" si="339"/>
        <v>1335</v>
      </c>
      <c r="V1382" s="2" t="str">
        <f t="shared" si="334"/>
        <v>537</v>
      </c>
      <c r="W1382" s="2" t="str">
        <f t="shared" si="335"/>
        <v/>
      </c>
      <c r="X1382" s="2" t="str">
        <f t="shared" si="338"/>
        <v/>
      </c>
      <c r="Y1382" s="2" t="str">
        <f t="shared" si="336"/>
        <v/>
      </c>
      <c r="Z1382" s="2" t="str">
        <f t="shared" si="337"/>
        <v>X</v>
      </c>
      <c r="AA1382" s="2" t="str">
        <f t="shared" si="340"/>
        <v/>
      </c>
      <c r="AB1382" s="2" t="str">
        <f t="shared" si="341"/>
        <v/>
      </c>
      <c r="AC1382" s="2" t="str">
        <f t="shared" si="342"/>
        <v/>
      </c>
      <c r="AD1382" s="2" t="str">
        <f t="shared" si="343"/>
        <v>(0)</v>
      </c>
      <c r="AE1382" s="2" t="str">
        <f t="shared" si="344"/>
        <v/>
      </c>
      <c r="AF1382" s="2" t="str">
        <f t="shared" si="345"/>
        <v/>
      </c>
      <c r="AG1382" s="2" t="str">
        <f t="shared" si="346"/>
        <v/>
      </c>
      <c r="AH1382" s="2" t="str">
        <f t="shared" si="347"/>
        <v/>
      </c>
    </row>
    <row r="1383" spans="2:34" x14ac:dyDescent="0.25">
      <c r="B1383" s="2" t="s">
        <v>3734</v>
      </c>
      <c r="C1383" s="2" t="s">
        <v>488</v>
      </c>
      <c r="D1383" s="2" t="s">
        <v>0</v>
      </c>
      <c r="E1383" s="2" t="s">
        <v>130</v>
      </c>
      <c r="F1383" s="2" t="s">
        <v>3735</v>
      </c>
      <c r="G1383" s="2" t="s">
        <v>3736</v>
      </c>
      <c r="H1383" s="2" t="s">
        <v>489</v>
      </c>
      <c r="I1383" s="2" t="s">
        <v>41</v>
      </c>
      <c r="J1383" s="2">
        <v>1</v>
      </c>
      <c r="K1383" s="2" t="s">
        <v>81</v>
      </c>
      <c r="L1383" s="2" t="s">
        <v>40</v>
      </c>
      <c r="P1383" s="2" t="s">
        <v>4</v>
      </c>
      <c r="Q1383" s="2">
        <f>INDEX(Tables!$C$4:$C$28,MATCH($P1383,Tables!$B$4:$B$28,0))</f>
        <v>32</v>
      </c>
      <c r="R1383" s="2">
        <f>INDEX(Tables!$D$4:$D$28,MATCH($P1383,Tables!$B$4:$B$28,0))</f>
        <v>4</v>
      </c>
      <c r="S1383" s="2">
        <f>$S1382+$R1382+INDEX(Tables!$N$5:$Q$8,MATCH(MOD($S1382+$R1382,4),Tables!$M$5:$M$8,0),MATCH($R1383,Tables!$N$4:$Q$4,0))</f>
        <v>5344</v>
      </c>
      <c r="T1383" s="2" t="str">
        <f t="shared" si="333"/>
        <v>14E0</v>
      </c>
      <c r="U1383" s="2">
        <f t="shared" si="339"/>
        <v>1336</v>
      </c>
      <c r="V1383" s="2" t="str">
        <f t="shared" si="334"/>
        <v>538</v>
      </c>
      <c r="W1383" s="2" t="str">
        <f t="shared" si="335"/>
        <v/>
      </c>
      <c r="X1383" s="2" t="str">
        <f t="shared" si="338"/>
        <v/>
      </c>
      <c r="Y1383" s="2" t="str">
        <f t="shared" si="336"/>
        <v/>
      </c>
      <c r="Z1383" s="2" t="str">
        <f t="shared" si="337"/>
        <v>X</v>
      </c>
      <c r="AA1383" s="2" t="str">
        <f t="shared" si="340"/>
        <v/>
      </c>
      <c r="AB1383" s="2" t="str">
        <f t="shared" si="341"/>
        <v/>
      </c>
      <c r="AC1383" s="2" t="str">
        <f t="shared" si="342"/>
        <v/>
      </c>
      <c r="AD1383" s="2" t="str">
        <f t="shared" si="343"/>
        <v>(0)</v>
      </c>
      <c r="AE1383" s="2" t="str">
        <f t="shared" si="344"/>
        <v/>
      </c>
      <c r="AF1383" s="2" t="str">
        <f t="shared" si="345"/>
        <v/>
      </c>
      <c r="AG1383" s="2" t="str">
        <f t="shared" si="346"/>
        <v/>
      </c>
      <c r="AH1383" s="2" t="str">
        <f t="shared" si="347"/>
        <v/>
      </c>
    </row>
    <row r="1384" spans="2:34" x14ac:dyDescent="0.25">
      <c r="B1384" s="2" t="s">
        <v>3734</v>
      </c>
      <c r="C1384" s="2" t="s">
        <v>490</v>
      </c>
      <c r="D1384" s="2" t="s">
        <v>0</v>
      </c>
      <c r="E1384" s="2" t="s">
        <v>130</v>
      </c>
      <c r="F1384" s="2" t="s">
        <v>3735</v>
      </c>
      <c r="G1384" s="2" t="s">
        <v>3736</v>
      </c>
      <c r="H1384" s="2" t="s">
        <v>491</v>
      </c>
      <c r="I1384" s="2" t="s">
        <v>41</v>
      </c>
      <c r="J1384" s="2">
        <v>1</v>
      </c>
      <c r="K1384" s="2" t="s">
        <v>81</v>
      </c>
      <c r="L1384" s="2" t="s">
        <v>40</v>
      </c>
      <c r="P1384" s="2" t="s">
        <v>4</v>
      </c>
      <c r="Q1384" s="2">
        <f>INDEX(Tables!$C$4:$C$28,MATCH($P1384,Tables!$B$4:$B$28,0))</f>
        <v>32</v>
      </c>
      <c r="R1384" s="2">
        <f>INDEX(Tables!$D$4:$D$28,MATCH($P1384,Tables!$B$4:$B$28,0))</f>
        <v>4</v>
      </c>
      <c r="S1384" s="2">
        <f>$S1383+$R1383+INDEX(Tables!$N$5:$Q$8,MATCH(MOD($S1383+$R1383,4),Tables!$M$5:$M$8,0),MATCH($R1384,Tables!$N$4:$Q$4,0))</f>
        <v>5348</v>
      </c>
      <c r="T1384" s="2" t="str">
        <f t="shared" si="333"/>
        <v>14E4</v>
      </c>
      <c r="U1384" s="2">
        <f t="shared" si="339"/>
        <v>1337</v>
      </c>
      <c r="V1384" s="2" t="str">
        <f t="shared" si="334"/>
        <v>539</v>
      </c>
      <c r="W1384" s="2" t="str">
        <f t="shared" si="335"/>
        <v/>
      </c>
      <c r="X1384" s="2" t="str">
        <f t="shared" si="338"/>
        <v/>
      </c>
      <c r="Y1384" s="2" t="str">
        <f t="shared" si="336"/>
        <v/>
      </c>
      <c r="Z1384" s="2" t="str">
        <f t="shared" si="337"/>
        <v>X</v>
      </c>
      <c r="AA1384" s="2" t="str">
        <f t="shared" si="340"/>
        <v/>
      </c>
      <c r="AB1384" s="2" t="str">
        <f t="shared" si="341"/>
        <v/>
      </c>
      <c r="AC1384" s="2" t="str">
        <f t="shared" si="342"/>
        <v/>
      </c>
      <c r="AD1384" s="2" t="str">
        <f t="shared" si="343"/>
        <v>(0)</v>
      </c>
      <c r="AE1384" s="2" t="str">
        <f t="shared" si="344"/>
        <v/>
      </c>
      <c r="AF1384" s="2" t="str">
        <f t="shared" si="345"/>
        <v/>
      </c>
      <c r="AG1384" s="2" t="str">
        <f t="shared" si="346"/>
        <v/>
      </c>
      <c r="AH1384" s="2" t="str">
        <f t="shared" si="347"/>
        <v/>
      </c>
    </row>
    <row r="1385" spans="2:34" x14ac:dyDescent="0.25">
      <c r="B1385" s="2" t="s">
        <v>3734</v>
      </c>
      <c r="C1385" s="2" t="s">
        <v>3737</v>
      </c>
      <c r="D1385" s="2" t="s">
        <v>0</v>
      </c>
      <c r="E1385" s="2" t="s">
        <v>130</v>
      </c>
      <c r="F1385" s="2" t="s">
        <v>3735</v>
      </c>
      <c r="G1385" s="2" t="s">
        <v>3736</v>
      </c>
      <c r="H1385" s="2" t="s">
        <v>3738</v>
      </c>
      <c r="I1385" s="2" t="s">
        <v>41</v>
      </c>
      <c r="J1385" s="2">
        <v>1</v>
      </c>
      <c r="K1385" s="2" t="s">
        <v>81</v>
      </c>
      <c r="L1385" s="2" t="s">
        <v>40</v>
      </c>
      <c r="P1385" s="2" t="s">
        <v>4</v>
      </c>
      <c r="Q1385" s="2">
        <f>INDEX(Tables!$C$4:$C$28,MATCH($P1385,Tables!$B$4:$B$28,0))</f>
        <v>32</v>
      </c>
      <c r="R1385" s="2">
        <f>INDEX(Tables!$D$4:$D$28,MATCH($P1385,Tables!$B$4:$B$28,0))</f>
        <v>4</v>
      </c>
      <c r="S1385" s="2">
        <f>$S1384+$R1384+INDEX(Tables!$N$5:$Q$8,MATCH(MOD($S1384+$R1384,4),Tables!$M$5:$M$8,0),MATCH($R1385,Tables!$N$4:$Q$4,0))</f>
        <v>5352</v>
      </c>
      <c r="T1385" s="2" t="str">
        <f t="shared" si="333"/>
        <v>14E8</v>
      </c>
      <c r="U1385" s="2">
        <f t="shared" si="339"/>
        <v>1338</v>
      </c>
      <c r="V1385" s="2" t="str">
        <f t="shared" si="334"/>
        <v>53A</v>
      </c>
      <c r="W1385" s="2" t="str">
        <f t="shared" si="335"/>
        <v/>
      </c>
      <c r="X1385" s="2" t="str">
        <f t="shared" si="338"/>
        <v/>
      </c>
      <c r="Y1385" s="2" t="str">
        <f t="shared" si="336"/>
        <v/>
      </c>
      <c r="Z1385" s="2" t="str">
        <f t="shared" si="337"/>
        <v>X</v>
      </c>
      <c r="AA1385" s="2" t="str">
        <f t="shared" si="340"/>
        <v/>
      </c>
      <c r="AB1385" s="2" t="str">
        <f t="shared" si="341"/>
        <v/>
      </c>
      <c r="AC1385" s="2" t="str">
        <f t="shared" si="342"/>
        <v/>
      </c>
      <c r="AD1385" s="2" t="str">
        <f t="shared" si="343"/>
        <v>(0)</v>
      </c>
      <c r="AE1385" s="2" t="str">
        <f t="shared" si="344"/>
        <v/>
      </c>
      <c r="AF1385" s="2" t="str">
        <f t="shared" si="345"/>
        <v/>
      </c>
      <c r="AG1385" s="2" t="str">
        <f t="shared" si="346"/>
        <v/>
      </c>
      <c r="AH1385" s="2" t="str">
        <f t="shared" si="347"/>
        <v/>
      </c>
    </row>
    <row r="1386" spans="2:34" x14ac:dyDescent="0.25">
      <c r="B1386" s="2" t="s">
        <v>3734</v>
      </c>
      <c r="C1386" s="2" t="s">
        <v>3739</v>
      </c>
      <c r="D1386" s="2" t="s">
        <v>0</v>
      </c>
      <c r="E1386" s="2" t="s">
        <v>130</v>
      </c>
      <c r="F1386" s="2" t="s">
        <v>3735</v>
      </c>
      <c r="G1386" s="2" t="s">
        <v>3736</v>
      </c>
      <c r="H1386" s="2" t="s">
        <v>3740</v>
      </c>
      <c r="I1386" s="2" t="s">
        <v>41</v>
      </c>
      <c r="J1386" s="2">
        <v>1</v>
      </c>
      <c r="K1386" s="2" t="s">
        <v>81</v>
      </c>
      <c r="L1386" s="2" t="s">
        <v>40</v>
      </c>
      <c r="P1386" s="2" t="s">
        <v>4</v>
      </c>
      <c r="Q1386" s="2">
        <f>INDEX(Tables!$C$4:$C$28,MATCH($P1386,Tables!$B$4:$B$28,0))</f>
        <v>32</v>
      </c>
      <c r="R1386" s="2">
        <f>INDEX(Tables!$D$4:$D$28,MATCH($P1386,Tables!$B$4:$B$28,0))</f>
        <v>4</v>
      </c>
      <c r="S1386" s="2">
        <f>$S1385+$R1385+INDEX(Tables!$N$5:$Q$8,MATCH(MOD($S1385+$R1385,4),Tables!$M$5:$M$8,0),MATCH($R1386,Tables!$N$4:$Q$4,0))</f>
        <v>5356</v>
      </c>
      <c r="T1386" s="2" t="str">
        <f t="shared" si="333"/>
        <v>14EC</v>
      </c>
      <c r="U1386" s="2">
        <f t="shared" si="339"/>
        <v>1339</v>
      </c>
      <c r="V1386" s="2" t="str">
        <f t="shared" si="334"/>
        <v>53B</v>
      </c>
      <c r="W1386" s="2" t="str">
        <f t="shared" si="335"/>
        <v/>
      </c>
      <c r="X1386" s="2" t="str">
        <f t="shared" si="338"/>
        <v/>
      </c>
      <c r="Y1386" s="2" t="str">
        <f t="shared" si="336"/>
        <v/>
      </c>
      <c r="Z1386" s="2" t="str">
        <f t="shared" si="337"/>
        <v>X</v>
      </c>
      <c r="AA1386" s="2" t="str">
        <f t="shared" si="340"/>
        <v/>
      </c>
      <c r="AB1386" s="2" t="str">
        <f t="shared" si="341"/>
        <v/>
      </c>
      <c r="AC1386" s="2" t="str">
        <f t="shared" si="342"/>
        <v/>
      </c>
      <c r="AD1386" s="2" t="str">
        <f t="shared" si="343"/>
        <v>(0)</v>
      </c>
      <c r="AE1386" s="2" t="str">
        <f t="shared" si="344"/>
        <v/>
      </c>
      <c r="AF1386" s="2" t="str">
        <f t="shared" si="345"/>
        <v/>
      </c>
      <c r="AG1386" s="2" t="str">
        <f t="shared" si="346"/>
        <v/>
      </c>
      <c r="AH1386" s="2" t="str">
        <f t="shared" si="347"/>
        <v/>
      </c>
    </row>
    <row r="1387" spans="2:34" x14ac:dyDescent="0.25">
      <c r="B1387" s="2" t="s">
        <v>3734</v>
      </c>
      <c r="C1387" s="2" t="s">
        <v>3741</v>
      </c>
      <c r="D1387" s="2" t="s">
        <v>0</v>
      </c>
      <c r="E1387" s="2" t="s">
        <v>130</v>
      </c>
      <c r="F1387" s="2" t="s">
        <v>3735</v>
      </c>
      <c r="G1387" s="2" t="s">
        <v>3736</v>
      </c>
      <c r="H1387" s="2" t="s">
        <v>3742</v>
      </c>
      <c r="I1387" s="2" t="s">
        <v>41</v>
      </c>
      <c r="J1387" s="2">
        <v>1</v>
      </c>
      <c r="K1387" s="2" t="s">
        <v>81</v>
      </c>
      <c r="L1387" s="2" t="s">
        <v>40</v>
      </c>
      <c r="P1387" s="2" t="s">
        <v>4</v>
      </c>
      <c r="Q1387" s="2">
        <f>INDEX(Tables!$C$4:$C$28,MATCH($P1387,Tables!$B$4:$B$28,0))</f>
        <v>32</v>
      </c>
      <c r="R1387" s="2">
        <f>INDEX(Tables!$D$4:$D$28,MATCH($P1387,Tables!$B$4:$B$28,0))</f>
        <v>4</v>
      </c>
      <c r="S1387" s="2">
        <f>$S1386+$R1386+INDEX(Tables!$N$5:$Q$8,MATCH(MOD($S1386+$R1386,4),Tables!$M$5:$M$8,0),MATCH($R1387,Tables!$N$4:$Q$4,0))</f>
        <v>5360</v>
      </c>
      <c r="T1387" s="2" t="str">
        <f t="shared" si="333"/>
        <v>14F0</v>
      </c>
      <c r="U1387" s="2">
        <f t="shared" si="339"/>
        <v>1340</v>
      </c>
      <c r="V1387" s="2" t="str">
        <f t="shared" si="334"/>
        <v>53C</v>
      </c>
      <c r="W1387" s="2" t="str">
        <f t="shared" si="335"/>
        <v/>
      </c>
      <c r="X1387" s="2" t="str">
        <f t="shared" si="338"/>
        <v/>
      </c>
      <c r="Y1387" s="2" t="str">
        <f t="shared" si="336"/>
        <v/>
      </c>
      <c r="Z1387" s="2" t="str">
        <f t="shared" si="337"/>
        <v>X</v>
      </c>
      <c r="AA1387" s="2" t="str">
        <f t="shared" si="340"/>
        <v/>
      </c>
      <c r="AB1387" s="2" t="str">
        <f t="shared" si="341"/>
        <v/>
      </c>
      <c r="AC1387" s="2" t="str">
        <f t="shared" si="342"/>
        <v/>
      </c>
      <c r="AD1387" s="2" t="str">
        <f t="shared" si="343"/>
        <v>(0)</v>
      </c>
      <c r="AE1387" s="2" t="str">
        <f t="shared" si="344"/>
        <v/>
      </c>
      <c r="AF1387" s="2" t="str">
        <f t="shared" si="345"/>
        <v/>
      </c>
      <c r="AG1387" s="2" t="str">
        <f t="shared" si="346"/>
        <v/>
      </c>
      <c r="AH1387" s="2" t="str">
        <f t="shared" si="347"/>
        <v/>
      </c>
    </row>
    <row r="1388" spans="2:34" x14ac:dyDescent="0.25">
      <c r="B1388" s="2" t="s">
        <v>3734</v>
      </c>
      <c r="C1388" s="2" t="s">
        <v>3743</v>
      </c>
      <c r="D1388" s="2" t="s">
        <v>0</v>
      </c>
      <c r="E1388" s="2" t="s">
        <v>130</v>
      </c>
      <c r="F1388" s="2" t="s">
        <v>3735</v>
      </c>
      <c r="G1388" s="2" t="s">
        <v>3736</v>
      </c>
      <c r="H1388" s="2" t="s">
        <v>3744</v>
      </c>
      <c r="I1388" s="2" t="s">
        <v>41</v>
      </c>
      <c r="J1388" s="2">
        <v>1</v>
      </c>
      <c r="K1388" s="2" t="s">
        <v>81</v>
      </c>
      <c r="L1388" s="2" t="s">
        <v>40</v>
      </c>
      <c r="P1388" s="2" t="s">
        <v>4</v>
      </c>
      <c r="Q1388" s="2">
        <f>INDEX(Tables!$C$4:$C$28,MATCH($P1388,Tables!$B$4:$B$28,0))</f>
        <v>32</v>
      </c>
      <c r="R1388" s="2">
        <f>INDEX(Tables!$D$4:$D$28,MATCH($P1388,Tables!$B$4:$B$28,0))</f>
        <v>4</v>
      </c>
      <c r="S1388" s="2">
        <f>$S1387+$R1387+INDEX(Tables!$N$5:$Q$8,MATCH(MOD($S1387+$R1387,4),Tables!$M$5:$M$8,0),MATCH($R1388,Tables!$N$4:$Q$4,0))</f>
        <v>5364</v>
      </c>
      <c r="T1388" s="2" t="str">
        <f t="shared" si="333"/>
        <v>14F4</v>
      </c>
      <c r="U1388" s="2">
        <f t="shared" si="339"/>
        <v>1341</v>
      </c>
      <c r="V1388" s="2" t="str">
        <f t="shared" si="334"/>
        <v>53D</v>
      </c>
      <c r="W1388" s="2" t="str">
        <f t="shared" si="335"/>
        <v/>
      </c>
      <c r="X1388" s="2" t="str">
        <f t="shared" si="338"/>
        <v/>
      </c>
      <c r="Y1388" s="2" t="str">
        <f t="shared" si="336"/>
        <v/>
      </c>
      <c r="Z1388" s="2" t="str">
        <f t="shared" si="337"/>
        <v>X</v>
      </c>
      <c r="AA1388" s="2" t="str">
        <f t="shared" si="340"/>
        <v/>
      </c>
      <c r="AB1388" s="2" t="str">
        <f t="shared" si="341"/>
        <v/>
      </c>
      <c r="AC1388" s="2" t="str">
        <f t="shared" si="342"/>
        <v/>
      </c>
      <c r="AD1388" s="2" t="str">
        <f t="shared" si="343"/>
        <v>(0)</v>
      </c>
      <c r="AE1388" s="2" t="str">
        <f t="shared" si="344"/>
        <v/>
      </c>
      <c r="AF1388" s="2" t="str">
        <f t="shared" si="345"/>
        <v/>
      </c>
      <c r="AG1388" s="2" t="str">
        <f t="shared" si="346"/>
        <v/>
      </c>
      <c r="AH1388" s="2" t="str">
        <f t="shared" si="347"/>
        <v/>
      </c>
    </row>
    <row r="1389" spans="2:34" x14ac:dyDescent="0.25">
      <c r="B1389" s="2" t="s">
        <v>3734</v>
      </c>
      <c r="C1389" s="2" t="s">
        <v>3745</v>
      </c>
      <c r="D1389" s="2" t="s">
        <v>0</v>
      </c>
      <c r="E1389" s="2" t="s">
        <v>130</v>
      </c>
      <c r="F1389" s="2" t="s">
        <v>3735</v>
      </c>
      <c r="G1389" s="2" t="s">
        <v>3736</v>
      </c>
      <c r="H1389" s="2" t="s">
        <v>3746</v>
      </c>
      <c r="I1389" s="2" t="s">
        <v>41</v>
      </c>
      <c r="J1389" s="2">
        <v>1</v>
      </c>
      <c r="K1389" s="2" t="s">
        <v>81</v>
      </c>
      <c r="L1389" s="2" t="s">
        <v>40</v>
      </c>
      <c r="P1389" s="2" t="s">
        <v>4</v>
      </c>
      <c r="Q1389" s="2">
        <f>INDEX(Tables!$C$4:$C$28,MATCH($P1389,Tables!$B$4:$B$28,0))</f>
        <v>32</v>
      </c>
      <c r="R1389" s="2">
        <f>INDEX(Tables!$D$4:$D$28,MATCH($P1389,Tables!$B$4:$B$28,0))</f>
        <v>4</v>
      </c>
      <c r="S1389" s="2">
        <f>$S1388+$R1388+INDEX(Tables!$N$5:$Q$8,MATCH(MOD($S1388+$R1388,4),Tables!$M$5:$M$8,0),MATCH($R1389,Tables!$N$4:$Q$4,0))</f>
        <v>5368</v>
      </c>
      <c r="T1389" s="2" t="str">
        <f t="shared" si="333"/>
        <v>14F8</v>
      </c>
      <c r="U1389" s="2">
        <f t="shared" si="339"/>
        <v>1342</v>
      </c>
      <c r="V1389" s="2" t="str">
        <f t="shared" si="334"/>
        <v>53E</v>
      </c>
      <c r="W1389" s="2" t="str">
        <f t="shared" si="335"/>
        <v/>
      </c>
      <c r="X1389" s="2" t="str">
        <f t="shared" si="338"/>
        <v/>
      </c>
      <c r="Y1389" s="2" t="str">
        <f t="shared" si="336"/>
        <v/>
      </c>
      <c r="Z1389" s="2" t="str">
        <f t="shared" si="337"/>
        <v>X</v>
      </c>
      <c r="AA1389" s="2" t="str">
        <f t="shared" si="340"/>
        <v/>
      </c>
      <c r="AB1389" s="2" t="str">
        <f t="shared" si="341"/>
        <v/>
      </c>
      <c r="AC1389" s="2" t="str">
        <f t="shared" si="342"/>
        <v/>
      </c>
      <c r="AD1389" s="2" t="str">
        <f t="shared" si="343"/>
        <v>(0)</v>
      </c>
      <c r="AE1389" s="2" t="str">
        <f t="shared" si="344"/>
        <v/>
      </c>
      <c r="AF1389" s="2" t="str">
        <f t="shared" si="345"/>
        <v/>
      </c>
      <c r="AG1389" s="2" t="str">
        <f t="shared" si="346"/>
        <v/>
      </c>
      <c r="AH1389" s="2" t="str">
        <f t="shared" si="347"/>
        <v/>
      </c>
    </row>
    <row r="1390" spans="2:34" x14ac:dyDescent="0.25">
      <c r="B1390" s="2" t="s">
        <v>3734</v>
      </c>
      <c r="C1390" s="2" t="s">
        <v>3747</v>
      </c>
      <c r="D1390" s="2" t="s">
        <v>0</v>
      </c>
      <c r="E1390" s="2" t="s">
        <v>130</v>
      </c>
      <c r="F1390" s="2" t="s">
        <v>3735</v>
      </c>
      <c r="G1390" s="2" t="s">
        <v>3736</v>
      </c>
      <c r="H1390" s="2" t="s">
        <v>3748</v>
      </c>
      <c r="I1390" s="2" t="s">
        <v>41</v>
      </c>
      <c r="J1390" s="2">
        <v>1</v>
      </c>
      <c r="K1390" s="2" t="s">
        <v>81</v>
      </c>
      <c r="L1390" s="2" t="s">
        <v>40</v>
      </c>
      <c r="P1390" s="2" t="s">
        <v>4</v>
      </c>
      <c r="Q1390" s="2">
        <f>INDEX(Tables!$C$4:$C$28,MATCH($P1390,Tables!$B$4:$B$28,0))</f>
        <v>32</v>
      </c>
      <c r="R1390" s="2">
        <f>INDEX(Tables!$D$4:$D$28,MATCH($P1390,Tables!$B$4:$B$28,0))</f>
        <v>4</v>
      </c>
      <c r="S1390" s="2">
        <f>$S1389+$R1389+INDEX(Tables!$N$5:$Q$8,MATCH(MOD($S1389+$R1389,4),Tables!$M$5:$M$8,0),MATCH($R1390,Tables!$N$4:$Q$4,0))</f>
        <v>5372</v>
      </c>
      <c r="T1390" s="2" t="str">
        <f t="shared" si="333"/>
        <v>14FC</v>
      </c>
      <c r="U1390" s="2">
        <f t="shared" si="339"/>
        <v>1343</v>
      </c>
      <c r="V1390" s="2" t="str">
        <f t="shared" si="334"/>
        <v>53F</v>
      </c>
      <c r="W1390" s="2" t="str">
        <f t="shared" si="335"/>
        <v/>
      </c>
      <c r="X1390" s="2" t="str">
        <f t="shared" si="338"/>
        <v/>
      </c>
      <c r="Y1390" s="2" t="str">
        <f t="shared" si="336"/>
        <v/>
      </c>
      <c r="Z1390" s="2" t="str">
        <f t="shared" si="337"/>
        <v>X</v>
      </c>
      <c r="AA1390" s="2" t="str">
        <f t="shared" si="340"/>
        <v/>
      </c>
      <c r="AB1390" s="2" t="str">
        <f t="shared" si="341"/>
        <v/>
      </c>
      <c r="AC1390" s="2" t="str">
        <f t="shared" si="342"/>
        <v/>
      </c>
      <c r="AD1390" s="2" t="str">
        <f t="shared" si="343"/>
        <v>(0)</v>
      </c>
      <c r="AE1390" s="2" t="str">
        <f t="shared" si="344"/>
        <v/>
      </c>
      <c r="AF1390" s="2" t="str">
        <f t="shared" si="345"/>
        <v/>
      </c>
      <c r="AG1390" s="2" t="str">
        <f t="shared" si="346"/>
        <v/>
      </c>
      <c r="AH1390" s="2" t="str">
        <f t="shared" si="347"/>
        <v/>
      </c>
    </row>
    <row r="1391" spans="2:34" x14ac:dyDescent="0.25">
      <c r="B1391" s="2" t="s">
        <v>3734</v>
      </c>
      <c r="C1391" s="2" t="s">
        <v>3749</v>
      </c>
      <c r="D1391" s="2" t="s">
        <v>0</v>
      </c>
      <c r="E1391" s="2" t="s">
        <v>130</v>
      </c>
      <c r="F1391" s="2" t="s">
        <v>3735</v>
      </c>
      <c r="G1391" s="2" t="s">
        <v>3736</v>
      </c>
      <c r="H1391" s="2" t="s">
        <v>3750</v>
      </c>
      <c r="I1391" s="2" t="s">
        <v>41</v>
      </c>
      <c r="J1391" s="2">
        <v>1</v>
      </c>
      <c r="K1391" s="2" t="s">
        <v>81</v>
      </c>
      <c r="L1391" s="2" t="s">
        <v>40</v>
      </c>
      <c r="P1391" s="2" t="s">
        <v>4</v>
      </c>
      <c r="Q1391" s="2">
        <f>INDEX(Tables!$C$4:$C$28,MATCH($P1391,Tables!$B$4:$B$28,0))</f>
        <v>32</v>
      </c>
      <c r="R1391" s="2">
        <f>INDEX(Tables!$D$4:$D$28,MATCH($P1391,Tables!$B$4:$B$28,0))</f>
        <v>4</v>
      </c>
      <c r="S1391" s="2">
        <f>$S1390+$R1390+INDEX(Tables!$N$5:$Q$8,MATCH(MOD($S1390+$R1390,4),Tables!$M$5:$M$8,0),MATCH($R1391,Tables!$N$4:$Q$4,0))</f>
        <v>5376</v>
      </c>
      <c r="T1391" s="2" t="str">
        <f t="shared" si="333"/>
        <v>1500</v>
      </c>
      <c r="U1391" s="2">
        <f t="shared" si="339"/>
        <v>1344</v>
      </c>
      <c r="V1391" s="2" t="str">
        <f t="shared" si="334"/>
        <v>540</v>
      </c>
      <c r="W1391" s="2" t="str">
        <f t="shared" si="335"/>
        <v/>
      </c>
      <c r="X1391" s="2" t="str">
        <f t="shared" si="338"/>
        <v/>
      </c>
      <c r="Y1391" s="2" t="str">
        <f t="shared" si="336"/>
        <v/>
      </c>
      <c r="Z1391" s="2" t="str">
        <f t="shared" si="337"/>
        <v>X</v>
      </c>
      <c r="AA1391" s="2" t="str">
        <f t="shared" si="340"/>
        <v/>
      </c>
      <c r="AB1391" s="2" t="str">
        <f t="shared" si="341"/>
        <v/>
      </c>
      <c r="AC1391" s="2" t="str">
        <f t="shared" si="342"/>
        <v/>
      </c>
      <c r="AD1391" s="2" t="str">
        <f t="shared" si="343"/>
        <v>(0)</v>
      </c>
      <c r="AE1391" s="2" t="str">
        <f t="shared" si="344"/>
        <v/>
      </c>
      <c r="AF1391" s="2" t="str">
        <f t="shared" si="345"/>
        <v/>
      </c>
      <c r="AG1391" s="2" t="str">
        <f t="shared" si="346"/>
        <v/>
      </c>
      <c r="AH1391" s="2" t="str">
        <f t="shared" si="347"/>
        <v/>
      </c>
    </row>
    <row r="1392" spans="2:34" x14ac:dyDescent="0.25">
      <c r="B1392" s="2" t="s">
        <v>3734</v>
      </c>
      <c r="C1392" s="2" t="s">
        <v>3751</v>
      </c>
      <c r="D1392" s="2" t="s">
        <v>0</v>
      </c>
      <c r="E1392" s="2" t="s">
        <v>130</v>
      </c>
      <c r="F1392" s="2" t="s">
        <v>3735</v>
      </c>
      <c r="G1392" s="2" t="s">
        <v>3736</v>
      </c>
      <c r="H1392" s="2" t="s">
        <v>3752</v>
      </c>
      <c r="I1392" s="2" t="s">
        <v>41</v>
      </c>
      <c r="J1392" s="2">
        <v>1</v>
      </c>
      <c r="K1392" s="2" t="s">
        <v>81</v>
      </c>
      <c r="L1392" s="2" t="s">
        <v>40</v>
      </c>
      <c r="P1392" s="2" t="s">
        <v>4</v>
      </c>
      <c r="Q1392" s="2">
        <f>INDEX(Tables!$C$4:$C$28,MATCH($P1392,Tables!$B$4:$B$28,0))</f>
        <v>32</v>
      </c>
      <c r="R1392" s="2">
        <f>INDEX(Tables!$D$4:$D$28,MATCH($P1392,Tables!$B$4:$B$28,0))</f>
        <v>4</v>
      </c>
      <c r="S1392" s="2">
        <f>$S1391+$R1391+INDEX(Tables!$N$5:$Q$8,MATCH(MOD($S1391+$R1391,4),Tables!$M$5:$M$8,0),MATCH($R1392,Tables!$N$4:$Q$4,0))</f>
        <v>5380</v>
      </c>
      <c r="T1392" s="2" t="str">
        <f t="shared" si="333"/>
        <v>1504</v>
      </c>
      <c r="U1392" s="2">
        <f t="shared" si="339"/>
        <v>1345</v>
      </c>
      <c r="V1392" s="2" t="str">
        <f t="shared" si="334"/>
        <v>541</v>
      </c>
      <c r="W1392" s="2" t="str">
        <f t="shared" si="335"/>
        <v/>
      </c>
      <c r="X1392" s="2" t="str">
        <f t="shared" si="338"/>
        <v/>
      </c>
      <c r="Y1392" s="2" t="str">
        <f t="shared" si="336"/>
        <v/>
      </c>
      <c r="Z1392" s="2" t="str">
        <f t="shared" si="337"/>
        <v>X</v>
      </c>
      <c r="AA1392" s="2" t="str">
        <f t="shared" si="340"/>
        <v/>
      </c>
      <c r="AB1392" s="2" t="str">
        <f t="shared" si="341"/>
        <v/>
      </c>
      <c r="AC1392" s="2" t="str">
        <f t="shared" si="342"/>
        <v/>
      </c>
      <c r="AD1392" s="2" t="str">
        <f t="shared" si="343"/>
        <v>(0)</v>
      </c>
      <c r="AE1392" s="2" t="str">
        <f t="shared" si="344"/>
        <v/>
      </c>
      <c r="AF1392" s="2" t="str">
        <f t="shared" si="345"/>
        <v/>
      </c>
      <c r="AG1392" s="2" t="str">
        <f t="shared" si="346"/>
        <v/>
      </c>
      <c r="AH1392" s="2" t="str">
        <f t="shared" si="347"/>
        <v/>
      </c>
    </row>
    <row r="1393" spans="2:34" x14ac:dyDescent="0.25">
      <c r="B1393" s="2" t="s">
        <v>3734</v>
      </c>
      <c r="C1393" s="2" t="s">
        <v>3753</v>
      </c>
      <c r="D1393" s="2" t="s">
        <v>0</v>
      </c>
      <c r="E1393" s="2" t="s">
        <v>130</v>
      </c>
      <c r="F1393" s="2" t="s">
        <v>3735</v>
      </c>
      <c r="G1393" s="2" t="s">
        <v>3736</v>
      </c>
      <c r="H1393" s="2" t="s">
        <v>3754</v>
      </c>
      <c r="I1393" s="2" t="s">
        <v>41</v>
      </c>
      <c r="J1393" s="2">
        <v>1</v>
      </c>
      <c r="K1393" s="2" t="s">
        <v>81</v>
      </c>
      <c r="L1393" s="2" t="s">
        <v>40</v>
      </c>
      <c r="P1393" s="2" t="s">
        <v>4</v>
      </c>
      <c r="Q1393" s="2">
        <f>INDEX(Tables!$C$4:$C$28,MATCH($P1393,Tables!$B$4:$B$28,0))</f>
        <v>32</v>
      </c>
      <c r="R1393" s="2">
        <f>INDEX(Tables!$D$4:$D$28,MATCH($P1393,Tables!$B$4:$B$28,0))</f>
        <v>4</v>
      </c>
      <c r="S1393" s="2">
        <f>$S1392+$R1392+INDEX(Tables!$N$5:$Q$8,MATCH(MOD($S1392+$R1392,4),Tables!$M$5:$M$8,0),MATCH($R1393,Tables!$N$4:$Q$4,0))</f>
        <v>5384</v>
      </c>
      <c r="T1393" s="2" t="str">
        <f t="shared" si="333"/>
        <v>1508</v>
      </c>
      <c r="U1393" s="2">
        <f t="shared" si="339"/>
        <v>1346</v>
      </c>
      <c r="V1393" s="2" t="str">
        <f t="shared" si="334"/>
        <v>542</v>
      </c>
      <c r="W1393" s="2" t="str">
        <f t="shared" si="335"/>
        <v/>
      </c>
      <c r="X1393" s="2" t="str">
        <f t="shared" si="338"/>
        <v/>
      </c>
      <c r="Y1393" s="2" t="str">
        <f t="shared" si="336"/>
        <v/>
      </c>
      <c r="Z1393" s="2" t="str">
        <f t="shared" si="337"/>
        <v>X</v>
      </c>
      <c r="AA1393" s="2" t="str">
        <f t="shared" si="340"/>
        <v/>
      </c>
      <c r="AB1393" s="2" t="str">
        <f t="shared" si="341"/>
        <v/>
      </c>
      <c r="AC1393" s="2" t="str">
        <f t="shared" si="342"/>
        <v/>
      </c>
      <c r="AD1393" s="2" t="str">
        <f t="shared" si="343"/>
        <v>(0)</v>
      </c>
      <c r="AE1393" s="2" t="str">
        <f t="shared" si="344"/>
        <v/>
      </c>
      <c r="AF1393" s="2" t="str">
        <f t="shared" si="345"/>
        <v/>
      </c>
      <c r="AG1393" s="2" t="str">
        <f t="shared" si="346"/>
        <v/>
      </c>
      <c r="AH1393" s="2" t="str">
        <f t="shared" si="347"/>
        <v/>
      </c>
    </row>
    <row r="1394" spans="2:34" x14ac:dyDescent="0.25">
      <c r="B1394" s="2" t="s">
        <v>3734</v>
      </c>
      <c r="C1394" s="2" t="s">
        <v>3755</v>
      </c>
      <c r="D1394" s="2" t="s">
        <v>0</v>
      </c>
      <c r="E1394" s="2" t="s">
        <v>130</v>
      </c>
      <c r="F1394" s="2" t="s">
        <v>3735</v>
      </c>
      <c r="G1394" s="2" t="s">
        <v>3736</v>
      </c>
      <c r="H1394" s="2" t="s">
        <v>3756</v>
      </c>
      <c r="I1394" s="2" t="s">
        <v>41</v>
      </c>
      <c r="J1394" s="2">
        <v>1</v>
      </c>
      <c r="K1394" s="2" t="s">
        <v>81</v>
      </c>
      <c r="L1394" s="2" t="s">
        <v>40</v>
      </c>
      <c r="P1394" s="2" t="s">
        <v>4</v>
      </c>
      <c r="Q1394" s="2">
        <f>INDEX(Tables!$C$4:$C$28,MATCH($P1394,Tables!$B$4:$B$28,0))</f>
        <v>32</v>
      </c>
      <c r="R1394" s="2">
        <f>INDEX(Tables!$D$4:$D$28,MATCH($P1394,Tables!$B$4:$B$28,0))</f>
        <v>4</v>
      </c>
      <c r="S1394" s="2">
        <f>$S1393+$R1393+INDEX(Tables!$N$5:$Q$8,MATCH(MOD($S1393+$R1393,4),Tables!$M$5:$M$8,0),MATCH($R1394,Tables!$N$4:$Q$4,0))</f>
        <v>5388</v>
      </c>
      <c r="T1394" s="2" t="str">
        <f t="shared" si="333"/>
        <v>150C</v>
      </c>
      <c r="U1394" s="2">
        <f t="shared" si="339"/>
        <v>1347</v>
      </c>
      <c r="V1394" s="2" t="str">
        <f t="shared" si="334"/>
        <v>543</v>
      </c>
      <c r="W1394" s="2" t="str">
        <f t="shared" si="335"/>
        <v/>
      </c>
      <c r="X1394" s="2" t="str">
        <f t="shared" si="338"/>
        <v/>
      </c>
      <c r="Y1394" s="2" t="str">
        <f t="shared" si="336"/>
        <v/>
      </c>
      <c r="Z1394" s="2" t="str">
        <f t="shared" si="337"/>
        <v>X</v>
      </c>
      <c r="AA1394" s="2" t="str">
        <f t="shared" si="340"/>
        <v/>
      </c>
      <c r="AB1394" s="2" t="str">
        <f t="shared" si="341"/>
        <v/>
      </c>
      <c r="AC1394" s="2" t="str">
        <f t="shared" si="342"/>
        <v/>
      </c>
      <c r="AD1394" s="2" t="str">
        <f t="shared" si="343"/>
        <v>(0)</v>
      </c>
      <c r="AE1394" s="2" t="str">
        <f t="shared" si="344"/>
        <v/>
      </c>
      <c r="AF1394" s="2" t="str">
        <f t="shared" si="345"/>
        <v/>
      </c>
      <c r="AG1394" s="2" t="str">
        <f t="shared" si="346"/>
        <v/>
      </c>
      <c r="AH1394" s="2" t="str">
        <f t="shared" si="347"/>
        <v/>
      </c>
    </row>
    <row r="1395" spans="2:34" x14ac:dyDescent="0.25">
      <c r="B1395" s="2" t="s">
        <v>3734</v>
      </c>
      <c r="C1395" s="2" t="s">
        <v>3757</v>
      </c>
      <c r="D1395" s="2" t="s">
        <v>0</v>
      </c>
      <c r="E1395" s="2" t="s">
        <v>130</v>
      </c>
      <c r="F1395" s="2" t="s">
        <v>3735</v>
      </c>
      <c r="G1395" s="2" t="s">
        <v>3736</v>
      </c>
      <c r="H1395" s="2" t="s">
        <v>3758</v>
      </c>
      <c r="I1395" s="2" t="s">
        <v>41</v>
      </c>
      <c r="J1395" s="2">
        <v>1</v>
      </c>
      <c r="K1395" s="2" t="s">
        <v>81</v>
      </c>
      <c r="L1395" s="2" t="s">
        <v>40</v>
      </c>
      <c r="P1395" s="2" t="s">
        <v>4</v>
      </c>
      <c r="Q1395" s="2">
        <f>INDEX(Tables!$C$4:$C$28,MATCH($P1395,Tables!$B$4:$B$28,0))</f>
        <v>32</v>
      </c>
      <c r="R1395" s="2">
        <f>INDEX(Tables!$D$4:$D$28,MATCH($P1395,Tables!$B$4:$B$28,0))</f>
        <v>4</v>
      </c>
      <c r="S1395" s="2">
        <f>$S1394+$R1394+INDEX(Tables!$N$5:$Q$8,MATCH(MOD($S1394+$R1394,4),Tables!$M$5:$M$8,0),MATCH($R1395,Tables!$N$4:$Q$4,0))</f>
        <v>5392</v>
      </c>
      <c r="T1395" s="2" t="str">
        <f t="shared" si="333"/>
        <v>1510</v>
      </c>
      <c r="U1395" s="2">
        <f t="shared" si="339"/>
        <v>1348</v>
      </c>
      <c r="V1395" s="2" t="str">
        <f t="shared" si="334"/>
        <v>544</v>
      </c>
      <c r="W1395" s="2" t="str">
        <f t="shared" si="335"/>
        <v/>
      </c>
      <c r="X1395" s="2" t="str">
        <f t="shared" si="338"/>
        <v/>
      </c>
      <c r="Y1395" s="2" t="str">
        <f t="shared" si="336"/>
        <v/>
      </c>
      <c r="Z1395" s="2" t="str">
        <f t="shared" si="337"/>
        <v>X</v>
      </c>
      <c r="AA1395" s="2" t="str">
        <f t="shared" si="340"/>
        <v/>
      </c>
      <c r="AB1395" s="2" t="str">
        <f t="shared" si="341"/>
        <v/>
      </c>
      <c r="AC1395" s="2" t="str">
        <f t="shared" si="342"/>
        <v/>
      </c>
      <c r="AD1395" s="2" t="str">
        <f t="shared" si="343"/>
        <v>(0)</v>
      </c>
      <c r="AE1395" s="2" t="str">
        <f t="shared" si="344"/>
        <v/>
      </c>
      <c r="AF1395" s="2" t="str">
        <f t="shared" si="345"/>
        <v/>
      </c>
      <c r="AG1395" s="2" t="str">
        <f t="shared" si="346"/>
        <v/>
      </c>
      <c r="AH1395" s="2" t="str">
        <f t="shared" si="347"/>
        <v/>
      </c>
    </row>
    <row r="1396" spans="2:34" x14ac:dyDescent="0.25">
      <c r="B1396" s="2" t="s">
        <v>3734</v>
      </c>
      <c r="C1396" s="2" t="s">
        <v>3759</v>
      </c>
      <c r="D1396" s="2" t="s">
        <v>0</v>
      </c>
      <c r="E1396" s="2" t="s">
        <v>130</v>
      </c>
      <c r="F1396" s="2" t="s">
        <v>3735</v>
      </c>
      <c r="G1396" s="2" t="s">
        <v>3736</v>
      </c>
      <c r="H1396" s="2" t="s">
        <v>3760</v>
      </c>
      <c r="I1396" s="2" t="s">
        <v>41</v>
      </c>
      <c r="J1396" s="2">
        <v>1</v>
      </c>
      <c r="K1396" s="2" t="s">
        <v>81</v>
      </c>
      <c r="L1396" s="2" t="s">
        <v>40</v>
      </c>
      <c r="P1396" s="2" t="s">
        <v>4</v>
      </c>
      <c r="Q1396" s="2">
        <f>INDEX(Tables!$C$4:$C$28,MATCH($P1396,Tables!$B$4:$B$28,0))</f>
        <v>32</v>
      </c>
      <c r="R1396" s="2">
        <f>INDEX(Tables!$D$4:$D$28,MATCH($P1396,Tables!$B$4:$B$28,0))</f>
        <v>4</v>
      </c>
      <c r="S1396" s="2">
        <f>$S1395+$R1395+INDEX(Tables!$N$5:$Q$8,MATCH(MOD($S1395+$R1395,4),Tables!$M$5:$M$8,0),MATCH($R1396,Tables!$N$4:$Q$4,0))</f>
        <v>5396</v>
      </c>
      <c r="T1396" s="2" t="str">
        <f t="shared" si="333"/>
        <v>1514</v>
      </c>
      <c r="U1396" s="2">
        <f t="shared" si="339"/>
        <v>1349</v>
      </c>
      <c r="V1396" s="2" t="str">
        <f t="shared" si="334"/>
        <v>545</v>
      </c>
      <c r="W1396" s="2" t="str">
        <f t="shared" si="335"/>
        <v/>
      </c>
      <c r="X1396" s="2" t="str">
        <f t="shared" si="338"/>
        <v/>
      </c>
      <c r="Y1396" s="2" t="str">
        <f t="shared" si="336"/>
        <v/>
      </c>
      <c r="Z1396" s="2" t="str">
        <f t="shared" si="337"/>
        <v>X</v>
      </c>
      <c r="AA1396" s="2" t="str">
        <f t="shared" si="340"/>
        <v/>
      </c>
      <c r="AB1396" s="2" t="str">
        <f t="shared" si="341"/>
        <v/>
      </c>
      <c r="AC1396" s="2" t="str">
        <f t="shared" si="342"/>
        <v/>
      </c>
      <c r="AD1396" s="2" t="str">
        <f t="shared" si="343"/>
        <v>(0)</v>
      </c>
      <c r="AE1396" s="2" t="str">
        <f t="shared" si="344"/>
        <v/>
      </c>
      <c r="AF1396" s="2" t="str">
        <f t="shared" si="345"/>
        <v/>
      </c>
      <c r="AG1396" s="2" t="str">
        <f t="shared" si="346"/>
        <v/>
      </c>
      <c r="AH1396" s="2" t="str">
        <f t="shared" si="347"/>
        <v/>
      </c>
    </row>
    <row r="1397" spans="2:34" x14ac:dyDescent="0.25">
      <c r="B1397" s="2" t="s">
        <v>3734</v>
      </c>
      <c r="C1397" s="2" t="s">
        <v>3761</v>
      </c>
      <c r="D1397" s="2" t="s">
        <v>0</v>
      </c>
      <c r="E1397" s="2" t="s">
        <v>130</v>
      </c>
      <c r="F1397" s="2" t="s">
        <v>3735</v>
      </c>
      <c r="G1397" s="2" t="s">
        <v>3736</v>
      </c>
      <c r="H1397" s="2" t="s">
        <v>3762</v>
      </c>
      <c r="I1397" s="2" t="s">
        <v>41</v>
      </c>
      <c r="J1397" s="2">
        <v>1</v>
      </c>
      <c r="K1397" s="2" t="s">
        <v>81</v>
      </c>
      <c r="L1397" s="2" t="s">
        <v>40</v>
      </c>
      <c r="P1397" s="2" t="s">
        <v>4</v>
      </c>
      <c r="Q1397" s="2">
        <f>INDEX(Tables!$C$4:$C$28,MATCH($P1397,Tables!$B$4:$B$28,0))</f>
        <v>32</v>
      </c>
      <c r="R1397" s="2">
        <f>INDEX(Tables!$D$4:$D$28,MATCH($P1397,Tables!$B$4:$B$28,0))</f>
        <v>4</v>
      </c>
      <c r="S1397" s="2">
        <f>$S1396+$R1396+INDEX(Tables!$N$5:$Q$8,MATCH(MOD($S1396+$R1396,4),Tables!$M$5:$M$8,0),MATCH($R1397,Tables!$N$4:$Q$4,0))</f>
        <v>5400</v>
      </c>
      <c r="T1397" s="2" t="str">
        <f t="shared" si="333"/>
        <v>1518</v>
      </c>
      <c r="U1397" s="2">
        <f t="shared" si="339"/>
        <v>1350</v>
      </c>
      <c r="V1397" s="2" t="str">
        <f t="shared" si="334"/>
        <v>546</v>
      </c>
      <c r="W1397" s="2" t="str">
        <f t="shared" si="335"/>
        <v/>
      </c>
      <c r="X1397" s="2" t="str">
        <f t="shared" si="338"/>
        <v/>
      </c>
      <c r="Y1397" s="2" t="str">
        <f t="shared" si="336"/>
        <v/>
      </c>
      <c r="Z1397" s="2" t="str">
        <f t="shared" si="337"/>
        <v>X</v>
      </c>
      <c r="AA1397" s="2" t="str">
        <f t="shared" si="340"/>
        <v/>
      </c>
      <c r="AB1397" s="2" t="str">
        <f t="shared" si="341"/>
        <v/>
      </c>
      <c r="AC1397" s="2" t="str">
        <f t="shared" si="342"/>
        <v/>
      </c>
      <c r="AD1397" s="2" t="str">
        <f t="shared" si="343"/>
        <v>(0)</v>
      </c>
      <c r="AE1397" s="2" t="str">
        <f t="shared" si="344"/>
        <v/>
      </c>
      <c r="AF1397" s="2" t="str">
        <f t="shared" si="345"/>
        <v/>
      </c>
      <c r="AG1397" s="2" t="str">
        <f t="shared" si="346"/>
        <v/>
      </c>
      <c r="AH1397" s="2" t="str">
        <f t="shared" si="347"/>
        <v/>
      </c>
    </row>
    <row r="1398" spans="2:34" x14ac:dyDescent="0.25">
      <c r="B1398" s="2" t="s">
        <v>3734</v>
      </c>
      <c r="C1398" s="2" t="s">
        <v>3763</v>
      </c>
      <c r="D1398" s="2" t="s">
        <v>0</v>
      </c>
      <c r="E1398" s="2" t="s">
        <v>130</v>
      </c>
      <c r="F1398" s="2" t="s">
        <v>3735</v>
      </c>
      <c r="G1398" s="2" t="s">
        <v>3736</v>
      </c>
      <c r="H1398" s="2" t="s">
        <v>3764</v>
      </c>
      <c r="I1398" s="2" t="s">
        <v>41</v>
      </c>
      <c r="J1398" s="2">
        <v>1</v>
      </c>
      <c r="K1398" s="2" t="s">
        <v>81</v>
      </c>
      <c r="L1398" s="2" t="s">
        <v>40</v>
      </c>
      <c r="P1398" s="2" t="s">
        <v>4</v>
      </c>
      <c r="Q1398" s="2">
        <f>INDEX(Tables!$C$4:$C$28,MATCH($P1398,Tables!$B$4:$B$28,0))</f>
        <v>32</v>
      </c>
      <c r="R1398" s="2">
        <f>INDEX(Tables!$D$4:$D$28,MATCH($P1398,Tables!$B$4:$B$28,0))</f>
        <v>4</v>
      </c>
      <c r="S1398" s="2">
        <f>$S1397+$R1397+INDEX(Tables!$N$5:$Q$8,MATCH(MOD($S1397+$R1397,4),Tables!$M$5:$M$8,0),MATCH($R1398,Tables!$N$4:$Q$4,0))</f>
        <v>5404</v>
      </c>
      <c r="T1398" s="2" t="str">
        <f t="shared" si="333"/>
        <v>151C</v>
      </c>
      <c r="U1398" s="2">
        <f t="shared" si="339"/>
        <v>1351</v>
      </c>
      <c r="V1398" s="2" t="str">
        <f t="shared" si="334"/>
        <v>547</v>
      </c>
      <c r="W1398" s="2" t="str">
        <f t="shared" si="335"/>
        <v/>
      </c>
      <c r="X1398" s="2" t="str">
        <f t="shared" si="338"/>
        <v/>
      </c>
      <c r="Y1398" s="2" t="str">
        <f t="shared" si="336"/>
        <v/>
      </c>
      <c r="Z1398" s="2" t="str">
        <f t="shared" si="337"/>
        <v>X</v>
      </c>
      <c r="AA1398" s="2" t="str">
        <f t="shared" si="340"/>
        <v/>
      </c>
      <c r="AB1398" s="2" t="str">
        <f t="shared" si="341"/>
        <v/>
      </c>
      <c r="AC1398" s="2" t="str">
        <f t="shared" si="342"/>
        <v/>
      </c>
      <c r="AD1398" s="2" t="str">
        <f t="shared" si="343"/>
        <v>(0)</v>
      </c>
      <c r="AE1398" s="2" t="str">
        <f t="shared" si="344"/>
        <v/>
      </c>
      <c r="AF1398" s="2" t="str">
        <f t="shared" si="345"/>
        <v/>
      </c>
      <c r="AG1398" s="2" t="str">
        <f t="shared" si="346"/>
        <v/>
      </c>
      <c r="AH1398" s="2" t="str">
        <f t="shared" si="347"/>
        <v/>
      </c>
    </row>
    <row r="1399" spans="2:34" x14ac:dyDescent="0.25">
      <c r="B1399" s="2" t="s">
        <v>3734</v>
      </c>
      <c r="C1399" s="2" t="s">
        <v>3765</v>
      </c>
      <c r="D1399" s="2" t="s">
        <v>0</v>
      </c>
      <c r="E1399" s="2" t="s">
        <v>130</v>
      </c>
      <c r="F1399" s="2" t="s">
        <v>3735</v>
      </c>
      <c r="G1399" s="2" t="s">
        <v>3736</v>
      </c>
      <c r="H1399" s="2" t="s">
        <v>3766</v>
      </c>
      <c r="I1399" s="2" t="s">
        <v>41</v>
      </c>
      <c r="J1399" s="2">
        <v>1</v>
      </c>
      <c r="K1399" s="2" t="s">
        <v>81</v>
      </c>
      <c r="L1399" s="2" t="s">
        <v>40</v>
      </c>
      <c r="P1399" s="2" t="s">
        <v>4</v>
      </c>
      <c r="Q1399" s="2">
        <f>INDEX(Tables!$C$4:$C$28,MATCH($P1399,Tables!$B$4:$B$28,0))</f>
        <v>32</v>
      </c>
      <c r="R1399" s="2">
        <f>INDEX(Tables!$D$4:$D$28,MATCH($P1399,Tables!$B$4:$B$28,0))</f>
        <v>4</v>
      </c>
      <c r="S1399" s="2">
        <f>$S1398+$R1398+INDEX(Tables!$N$5:$Q$8,MATCH(MOD($S1398+$R1398,4),Tables!$M$5:$M$8,0),MATCH($R1399,Tables!$N$4:$Q$4,0))</f>
        <v>5408</v>
      </c>
      <c r="T1399" s="2" t="str">
        <f t="shared" si="333"/>
        <v>1520</v>
      </c>
      <c r="U1399" s="2">
        <f t="shared" si="339"/>
        <v>1352</v>
      </c>
      <c r="V1399" s="2" t="str">
        <f t="shared" si="334"/>
        <v>548</v>
      </c>
      <c r="W1399" s="2" t="str">
        <f t="shared" si="335"/>
        <v/>
      </c>
      <c r="X1399" s="2" t="str">
        <f t="shared" si="338"/>
        <v/>
      </c>
      <c r="Y1399" s="2" t="str">
        <f t="shared" si="336"/>
        <v/>
      </c>
      <c r="Z1399" s="2" t="str">
        <f t="shared" si="337"/>
        <v>X</v>
      </c>
      <c r="AA1399" s="2" t="str">
        <f t="shared" si="340"/>
        <v/>
      </c>
      <c r="AB1399" s="2" t="str">
        <f t="shared" si="341"/>
        <v/>
      </c>
      <c r="AC1399" s="2" t="str">
        <f t="shared" si="342"/>
        <v/>
      </c>
      <c r="AD1399" s="2" t="str">
        <f t="shared" si="343"/>
        <v>(0)</v>
      </c>
      <c r="AE1399" s="2" t="str">
        <f t="shared" si="344"/>
        <v/>
      </c>
      <c r="AF1399" s="2" t="str">
        <f t="shared" si="345"/>
        <v/>
      </c>
      <c r="AG1399" s="2" t="str">
        <f t="shared" si="346"/>
        <v/>
      </c>
      <c r="AH1399" s="2" t="str">
        <f t="shared" si="347"/>
        <v/>
      </c>
    </row>
    <row r="1400" spans="2:34" x14ac:dyDescent="0.25">
      <c r="B1400" s="2" t="s">
        <v>3734</v>
      </c>
      <c r="C1400" s="2" t="s">
        <v>3767</v>
      </c>
      <c r="D1400" s="2" t="s">
        <v>0</v>
      </c>
      <c r="E1400" s="2" t="s">
        <v>130</v>
      </c>
      <c r="F1400" s="2" t="s">
        <v>3735</v>
      </c>
      <c r="G1400" s="2" t="s">
        <v>3736</v>
      </c>
      <c r="H1400" s="2" t="s">
        <v>3768</v>
      </c>
      <c r="I1400" s="2" t="s">
        <v>41</v>
      </c>
      <c r="J1400" s="2">
        <v>1</v>
      </c>
      <c r="K1400" s="2" t="s">
        <v>81</v>
      </c>
      <c r="L1400" s="2" t="s">
        <v>40</v>
      </c>
      <c r="P1400" s="2" t="s">
        <v>4</v>
      </c>
      <c r="Q1400" s="2">
        <f>INDEX(Tables!$C$4:$C$28,MATCH($P1400,Tables!$B$4:$B$28,0))</f>
        <v>32</v>
      </c>
      <c r="R1400" s="2">
        <f>INDEX(Tables!$D$4:$D$28,MATCH($P1400,Tables!$B$4:$B$28,0))</f>
        <v>4</v>
      </c>
      <c r="S1400" s="2">
        <f>$S1399+$R1399+INDEX(Tables!$N$5:$Q$8,MATCH(MOD($S1399+$R1399,4),Tables!$M$5:$M$8,0),MATCH($R1400,Tables!$N$4:$Q$4,0))</f>
        <v>5412</v>
      </c>
      <c r="T1400" s="2" t="str">
        <f t="shared" si="333"/>
        <v>1524</v>
      </c>
      <c r="U1400" s="2">
        <f t="shared" si="339"/>
        <v>1353</v>
      </c>
      <c r="V1400" s="2" t="str">
        <f t="shared" si="334"/>
        <v>549</v>
      </c>
      <c r="W1400" s="2" t="str">
        <f t="shared" si="335"/>
        <v/>
      </c>
      <c r="X1400" s="2" t="str">
        <f t="shared" si="338"/>
        <v/>
      </c>
      <c r="Y1400" s="2" t="str">
        <f t="shared" si="336"/>
        <v/>
      </c>
      <c r="Z1400" s="2" t="str">
        <f t="shared" si="337"/>
        <v>X</v>
      </c>
      <c r="AA1400" s="2" t="str">
        <f t="shared" si="340"/>
        <v/>
      </c>
      <c r="AB1400" s="2" t="str">
        <f t="shared" si="341"/>
        <v/>
      </c>
      <c r="AC1400" s="2" t="str">
        <f t="shared" si="342"/>
        <v/>
      </c>
      <c r="AD1400" s="2" t="str">
        <f t="shared" si="343"/>
        <v>(0)</v>
      </c>
      <c r="AE1400" s="2" t="str">
        <f t="shared" si="344"/>
        <v/>
      </c>
      <c r="AF1400" s="2" t="str">
        <f t="shared" si="345"/>
        <v/>
      </c>
      <c r="AG1400" s="2" t="str">
        <f t="shared" si="346"/>
        <v/>
      </c>
      <c r="AH1400" s="2" t="str">
        <f t="shared" si="347"/>
        <v/>
      </c>
    </row>
    <row r="1401" spans="2:34" x14ac:dyDescent="0.25">
      <c r="B1401" s="2" t="s">
        <v>3734</v>
      </c>
      <c r="C1401" s="2" t="s">
        <v>3769</v>
      </c>
      <c r="D1401" s="2" t="s">
        <v>0</v>
      </c>
      <c r="E1401" s="2" t="s">
        <v>130</v>
      </c>
      <c r="F1401" s="2" t="s">
        <v>3735</v>
      </c>
      <c r="G1401" s="2" t="s">
        <v>3736</v>
      </c>
      <c r="H1401" s="2" t="s">
        <v>3770</v>
      </c>
      <c r="I1401" s="2" t="s">
        <v>41</v>
      </c>
      <c r="J1401" s="2">
        <v>1</v>
      </c>
      <c r="K1401" s="2" t="s">
        <v>81</v>
      </c>
      <c r="L1401" s="2" t="s">
        <v>40</v>
      </c>
      <c r="P1401" s="2" t="s">
        <v>4</v>
      </c>
      <c r="Q1401" s="2">
        <f>INDEX(Tables!$C$4:$C$28,MATCH($P1401,Tables!$B$4:$B$28,0))</f>
        <v>32</v>
      </c>
      <c r="R1401" s="2">
        <f>INDEX(Tables!$D$4:$D$28,MATCH($P1401,Tables!$B$4:$B$28,0))</f>
        <v>4</v>
      </c>
      <c r="S1401" s="2">
        <f>$S1400+$R1400+INDEX(Tables!$N$5:$Q$8,MATCH(MOD($S1400+$R1400,4),Tables!$M$5:$M$8,0),MATCH($R1401,Tables!$N$4:$Q$4,0))</f>
        <v>5416</v>
      </c>
      <c r="T1401" s="2" t="str">
        <f t="shared" si="333"/>
        <v>1528</v>
      </c>
      <c r="U1401" s="2">
        <f t="shared" si="339"/>
        <v>1354</v>
      </c>
      <c r="V1401" s="2" t="str">
        <f t="shared" si="334"/>
        <v>54A</v>
      </c>
      <c r="W1401" s="2" t="str">
        <f t="shared" si="335"/>
        <v/>
      </c>
      <c r="X1401" s="2" t="str">
        <f t="shared" si="338"/>
        <v/>
      </c>
      <c r="Y1401" s="2" t="str">
        <f t="shared" si="336"/>
        <v/>
      </c>
      <c r="Z1401" s="2" t="str">
        <f t="shared" si="337"/>
        <v>X</v>
      </c>
      <c r="AA1401" s="2" t="str">
        <f t="shared" si="340"/>
        <v/>
      </c>
      <c r="AB1401" s="2" t="str">
        <f t="shared" si="341"/>
        <v/>
      </c>
      <c r="AC1401" s="2" t="str">
        <f t="shared" si="342"/>
        <v/>
      </c>
      <c r="AD1401" s="2" t="str">
        <f t="shared" si="343"/>
        <v>(0)</v>
      </c>
      <c r="AE1401" s="2" t="str">
        <f t="shared" si="344"/>
        <v/>
      </c>
      <c r="AF1401" s="2" t="str">
        <f t="shared" si="345"/>
        <v/>
      </c>
      <c r="AG1401" s="2" t="str">
        <f t="shared" si="346"/>
        <v/>
      </c>
      <c r="AH1401" s="2" t="str">
        <f t="shared" si="347"/>
        <v/>
      </c>
    </row>
    <row r="1402" spans="2:34" x14ac:dyDescent="0.25">
      <c r="B1402" s="2" t="s">
        <v>3734</v>
      </c>
      <c r="C1402" s="2" t="s">
        <v>3771</v>
      </c>
      <c r="D1402" s="2" t="s">
        <v>0</v>
      </c>
      <c r="E1402" s="2" t="s">
        <v>130</v>
      </c>
      <c r="F1402" s="2" t="s">
        <v>3735</v>
      </c>
      <c r="G1402" s="2" t="s">
        <v>3736</v>
      </c>
      <c r="H1402" s="2" t="s">
        <v>3772</v>
      </c>
      <c r="I1402" s="2" t="s">
        <v>41</v>
      </c>
      <c r="J1402" s="2">
        <v>1</v>
      </c>
      <c r="K1402" s="2" t="s">
        <v>81</v>
      </c>
      <c r="L1402" s="2" t="s">
        <v>40</v>
      </c>
      <c r="P1402" s="2" t="s">
        <v>4</v>
      </c>
      <c r="Q1402" s="2">
        <f>INDEX(Tables!$C$4:$C$28,MATCH($P1402,Tables!$B$4:$B$28,0))</f>
        <v>32</v>
      </c>
      <c r="R1402" s="2">
        <f>INDEX(Tables!$D$4:$D$28,MATCH($P1402,Tables!$B$4:$B$28,0))</f>
        <v>4</v>
      </c>
      <c r="S1402" s="2">
        <f>$S1401+$R1401+INDEX(Tables!$N$5:$Q$8,MATCH(MOD($S1401+$R1401,4),Tables!$M$5:$M$8,0),MATCH($R1402,Tables!$N$4:$Q$4,0))</f>
        <v>5420</v>
      </c>
      <c r="T1402" s="2" t="str">
        <f t="shared" si="333"/>
        <v>152C</v>
      </c>
      <c r="U1402" s="2">
        <f t="shared" si="339"/>
        <v>1355</v>
      </c>
      <c r="V1402" s="2" t="str">
        <f t="shared" si="334"/>
        <v>54B</v>
      </c>
      <c r="W1402" s="2" t="str">
        <f t="shared" si="335"/>
        <v/>
      </c>
      <c r="X1402" s="2" t="str">
        <f t="shared" si="338"/>
        <v/>
      </c>
      <c r="Y1402" s="2" t="str">
        <f t="shared" si="336"/>
        <v/>
      </c>
      <c r="Z1402" s="2" t="str">
        <f t="shared" si="337"/>
        <v>X</v>
      </c>
      <c r="AA1402" s="2" t="str">
        <f t="shared" si="340"/>
        <v/>
      </c>
      <c r="AB1402" s="2" t="str">
        <f t="shared" si="341"/>
        <v/>
      </c>
      <c r="AC1402" s="2" t="str">
        <f t="shared" si="342"/>
        <v/>
      </c>
      <c r="AD1402" s="2" t="str">
        <f t="shared" si="343"/>
        <v>(0)</v>
      </c>
      <c r="AE1402" s="2" t="str">
        <f t="shared" si="344"/>
        <v/>
      </c>
      <c r="AF1402" s="2" t="str">
        <f t="shared" si="345"/>
        <v/>
      </c>
      <c r="AG1402" s="2" t="str">
        <f t="shared" si="346"/>
        <v/>
      </c>
      <c r="AH1402" s="2" t="str">
        <f t="shared" si="347"/>
        <v/>
      </c>
    </row>
    <row r="1403" spans="2:34" x14ac:dyDescent="0.25">
      <c r="B1403" s="2" t="s">
        <v>3734</v>
      </c>
      <c r="C1403" s="2" t="s">
        <v>3773</v>
      </c>
      <c r="D1403" s="2" t="s">
        <v>0</v>
      </c>
      <c r="E1403" s="2" t="s">
        <v>130</v>
      </c>
      <c r="F1403" s="2" t="s">
        <v>3735</v>
      </c>
      <c r="G1403" s="2" t="s">
        <v>3736</v>
      </c>
      <c r="H1403" s="2" t="s">
        <v>3774</v>
      </c>
      <c r="I1403" s="2" t="s">
        <v>41</v>
      </c>
      <c r="J1403" s="2">
        <v>1</v>
      </c>
      <c r="K1403" s="2" t="s">
        <v>81</v>
      </c>
      <c r="L1403" s="2" t="s">
        <v>40</v>
      </c>
      <c r="P1403" s="2" t="s">
        <v>4</v>
      </c>
      <c r="Q1403" s="2">
        <f>INDEX(Tables!$C$4:$C$28,MATCH($P1403,Tables!$B$4:$B$28,0))</f>
        <v>32</v>
      </c>
      <c r="R1403" s="2">
        <f>INDEX(Tables!$D$4:$D$28,MATCH($P1403,Tables!$B$4:$B$28,0))</f>
        <v>4</v>
      </c>
      <c r="S1403" s="2">
        <f>$S1402+$R1402+INDEX(Tables!$N$5:$Q$8,MATCH(MOD($S1402+$R1402,4),Tables!$M$5:$M$8,0),MATCH($R1403,Tables!$N$4:$Q$4,0))</f>
        <v>5424</v>
      </c>
      <c r="T1403" s="2" t="str">
        <f t="shared" si="333"/>
        <v>1530</v>
      </c>
      <c r="U1403" s="2">
        <f t="shared" si="339"/>
        <v>1356</v>
      </c>
      <c r="V1403" s="2" t="str">
        <f t="shared" si="334"/>
        <v>54C</v>
      </c>
      <c r="W1403" s="2" t="str">
        <f t="shared" si="335"/>
        <v/>
      </c>
      <c r="X1403" s="2" t="str">
        <f t="shared" si="338"/>
        <v/>
      </c>
      <c r="Y1403" s="2" t="str">
        <f t="shared" si="336"/>
        <v/>
      </c>
      <c r="Z1403" s="2" t="str">
        <f t="shared" si="337"/>
        <v>X</v>
      </c>
      <c r="AA1403" s="2" t="str">
        <f t="shared" si="340"/>
        <v/>
      </c>
      <c r="AB1403" s="2" t="str">
        <f t="shared" si="341"/>
        <v/>
      </c>
      <c r="AC1403" s="2" t="str">
        <f t="shared" si="342"/>
        <v/>
      </c>
      <c r="AD1403" s="2" t="str">
        <f t="shared" si="343"/>
        <v>(0)</v>
      </c>
      <c r="AE1403" s="2" t="str">
        <f t="shared" si="344"/>
        <v/>
      </c>
      <c r="AF1403" s="2" t="str">
        <f t="shared" si="345"/>
        <v/>
      </c>
      <c r="AG1403" s="2" t="str">
        <f t="shared" si="346"/>
        <v/>
      </c>
      <c r="AH1403" s="2" t="str">
        <f t="shared" si="347"/>
        <v/>
      </c>
    </row>
    <row r="1404" spans="2:34" x14ac:dyDescent="0.25">
      <c r="B1404" s="2" t="s">
        <v>3734</v>
      </c>
      <c r="C1404" s="2" t="s">
        <v>3775</v>
      </c>
      <c r="D1404" s="2" t="s">
        <v>0</v>
      </c>
      <c r="E1404" s="2" t="s">
        <v>130</v>
      </c>
      <c r="F1404" s="2" t="s">
        <v>3735</v>
      </c>
      <c r="G1404" s="2" t="s">
        <v>3736</v>
      </c>
      <c r="H1404" s="2" t="s">
        <v>3776</v>
      </c>
      <c r="I1404" s="2" t="s">
        <v>41</v>
      </c>
      <c r="J1404" s="2">
        <v>1</v>
      </c>
      <c r="K1404" s="2" t="s">
        <v>81</v>
      </c>
      <c r="L1404" s="2" t="s">
        <v>40</v>
      </c>
      <c r="P1404" s="2" t="s">
        <v>4</v>
      </c>
      <c r="Q1404" s="2">
        <f>INDEX(Tables!$C$4:$C$28,MATCH($P1404,Tables!$B$4:$B$28,0))</f>
        <v>32</v>
      </c>
      <c r="R1404" s="2">
        <f>INDEX(Tables!$D$4:$D$28,MATCH($P1404,Tables!$B$4:$B$28,0))</f>
        <v>4</v>
      </c>
      <c r="S1404" s="2">
        <f>$S1403+$R1403+INDEX(Tables!$N$5:$Q$8,MATCH(MOD($S1403+$R1403,4),Tables!$M$5:$M$8,0),MATCH($R1404,Tables!$N$4:$Q$4,0))</f>
        <v>5428</v>
      </c>
      <c r="T1404" s="2" t="str">
        <f t="shared" si="333"/>
        <v>1534</v>
      </c>
      <c r="U1404" s="2">
        <f t="shared" si="339"/>
        <v>1357</v>
      </c>
      <c r="V1404" s="2" t="str">
        <f t="shared" si="334"/>
        <v>54D</v>
      </c>
      <c r="W1404" s="2" t="str">
        <f t="shared" si="335"/>
        <v/>
      </c>
      <c r="X1404" s="2" t="str">
        <f t="shared" si="338"/>
        <v/>
      </c>
      <c r="Y1404" s="2" t="str">
        <f t="shared" si="336"/>
        <v/>
      </c>
      <c r="Z1404" s="2" t="str">
        <f t="shared" si="337"/>
        <v>X</v>
      </c>
      <c r="AA1404" s="2" t="str">
        <f t="shared" si="340"/>
        <v/>
      </c>
      <c r="AB1404" s="2" t="str">
        <f t="shared" si="341"/>
        <v/>
      </c>
      <c r="AC1404" s="2" t="str">
        <f t="shared" si="342"/>
        <v/>
      </c>
      <c r="AD1404" s="2" t="str">
        <f t="shared" si="343"/>
        <v>(0)</v>
      </c>
      <c r="AE1404" s="2" t="str">
        <f t="shared" si="344"/>
        <v/>
      </c>
      <c r="AF1404" s="2" t="str">
        <f t="shared" si="345"/>
        <v/>
      </c>
      <c r="AG1404" s="2" t="str">
        <f t="shared" si="346"/>
        <v/>
      </c>
      <c r="AH1404" s="2" t="str">
        <f t="shared" si="347"/>
        <v/>
      </c>
    </row>
    <row r="1405" spans="2:34" x14ac:dyDescent="0.25">
      <c r="B1405" s="2" t="s">
        <v>3734</v>
      </c>
      <c r="C1405" s="2" t="s">
        <v>3777</v>
      </c>
      <c r="D1405" s="2" t="s">
        <v>0</v>
      </c>
      <c r="E1405" s="2" t="s">
        <v>130</v>
      </c>
      <c r="F1405" s="2" t="s">
        <v>3735</v>
      </c>
      <c r="G1405" s="2" t="s">
        <v>3736</v>
      </c>
      <c r="H1405" s="2" t="s">
        <v>3778</v>
      </c>
      <c r="I1405" s="2" t="s">
        <v>41</v>
      </c>
      <c r="J1405" s="2">
        <v>1</v>
      </c>
      <c r="K1405" s="2" t="s">
        <v>81</v>
      </c>
      <c r="L1405" s="2" t="s">
        <v>40</v>
      </c>
      <c r="P1405" s="2" t="s">
        <v>4</v>
      </c>
      <c r="Q1405" s="2">
        <f>INDEX(Tables!$C$4:$C$28,MATCH($P1405,Tables!$B$4:$B$28,0))</f>
        <v>32</v>
      </c>
      <c r="R1405" s="2">
        <f>INDEX(Tables!$D$4:$D$28,MATCH($P1405,Tables!$B$4:$B$28,0))</f>
        <v>4</v>
      </c>
      <c r="S1405" s="2">
        <f>$S1404+$R1404+INDEX(Tables!$N$5:$Q$8,MATCH(MOD($S1404+$R1404,4),Tables!$M$5:$M$8,0),MATCH($R1405,Tables!$N$4:$Q$4,0))</f>
        <v>5432</v>
      </c>
      <c r="T1405" s="2" t="str">
        <f t="shared" si="333"/>
        <v>1538</v>
      </c>
      <c r="U1405" s="2">
        <f t="shared" si="339"/>
        <v>1358</v>
      </c>
      <c r="V1405" s="2" t="str">
        <f t="shared" si="334"/>
        <v>54E</v>
      </c>
      <c r="W1405" s="2" t="str">
        <f t="shared" si="335"/>
        <v/>
      </c>
      <c r="X1405" s="2" t="str">
        <f t="shared" si="338"/>
        <v/>
      </c>
      <c r="Y1405" s="2" t="str">
        <f t="shared" si="336"/>
        <v/>
      </c>
      <c r="Z1405" s="2" t="str">
        <f t="shared" si="337"/>
        <v>X</v>
      </c>
      <c r="AA1405" s="2" t="str">
        <f t="shared" si="340"/>
        <v/>
      </c>
      <c r="AB1405" s="2" t="str">
        <f t="shared" si="341"/>
        <v/>
      </c>
      <c r="AC1405" s="2" t="str">
        <f t="shared" si="342"/>
        <v/>
      </c>
      <c r="AD1405" s="2" t="str">
        <f t="shared" si="343"/>
        <v>(0)</v>
      </c>
      <c r="AE1405" s="2" t="str">
        <f t="shared" si="344"/>
        <v/>
      </c>
      <c r="AF1405" s="2" t="str">
        <f t="shared" si="345"/>
        <v/>
      </c>
      <c r="AG1405" s="2" t="str">
        <f t="shared" si="346"/>
        <v/>
      </c>
      <c r="AH1405" s="2" t="str">
        <f t="shared" si="347"/>
        <v/>
      </c>
    </row>
    <row r="1406" spans="2:34" x14ac:dyDescent="0.25">
      <c r="B1406" s="2" t="s">
        <v>3734</v>
      </c>
      <c r="C1406" s="2" t="s">
        <v>3779</v>
      </c>
      <c r="D1406" s="2" t="s">
        <v>0</v>
      </c>
      <c r="E1406" s="2" t="s">
        <v>130</v>
      </c>
      <c r="F1406" s="2" t="s">
        <v>3735</v>
      </c>
      <c r="G1406" s="2" t="s">
        <v>3736</v>
      </c>
      <c r="H1406" s="2" t="s">
        <v>3780</v>
      </c>
      <c r="I1406" s="2" t="s">
        <v>41</v>
      </c>
      <c r="J1406" s="2">
        <v>1</v>
      </c>
      <c r="K1406" s="2" t="s">
        <v>81</v>
      </c>
      <c r="L1406" s="2" t="s">
        <v>40</v>
      </c>
      <c r="P1406" s="2" t="s">
        <v>4</v>
      </c>
      <c r="Q1406" s="2">
        <f>INDEX(Tables!$C$4:$C$28,MATCH($P1406,Tables!$B$4:$B$28,0))</f>
        <v>32</v>
      </c>
      <c r="R1406" s="2">
        <f>INDEX(Tables!$D$4:$D$28,MATCH($P1406,Tables!$B$4:$B$28,0))</f>
        <v>4</v>
      </c>
      <c r="S1406" s="2">
        <f>$S1405+$R1405+INDEX(Tables!$N$5:$Q$8,MATCH(MOD($S1405+$R1405,4),Tables!$M$5:$M$8,0),MATCH($R1406,Tables!$N$4:$Q$4,0))</f>
        <v>5436</v>
      </c>
      <c r="T1406" s="2" t="str">
        <f t="shared" si="333"/>
        <v>153C</v>
      </c>
      <c r="U1406" s="2">
        <f t="shared" si="339"/>
        <v>1359</v>
      </c>
      <c r="V1406" s="2" t="str">
        <f t="shared" si="334"/>
        <v>54F</v>
      </c>
      <c r="W1406" s="2" t="str">
        <f t="shared" si="335"/>
        <v/>
      </c>
      <c r="X1406" s="2" t="str">
        <f t="shared" si="338"/>
        <v/>
      </c>
      <c r="Y1406" s="2" t="str">
        <f t="shared" si="336"/>
        <v/>
      </c>
      <c r="Z1406" s="2" t="str">
        <f t="shared" si="337"/>
        <v>X</v>
      </c>
      <c r="AA1406" s="2" t="str">
        <f t="shared" si="340"/>
        <v/>
      </c>
      <c r="AB1406" s="2" t="str">
        <f t="shared" si="341"/>
        <v/>
      </c>
      <c r="AC1406" s="2" t="str">
        <f t="shared" si="342"/>
        <v/>
      </c>
      <c r="AD1406" s="2" t="str">
        <f t="shared" si="343"/>
        <v>(0)</v>
      </c>
      <c r="AE1406" s="2" t="str">
        <f t="shared" si="344"/>
        <v/>
      </c>
      <c r="AF1406" s="2" t="str">
        <f t="shared" si="345"/>
        <v/>
      </c>
      <c r="AG1406" s="2" t="str">
        <f t="shared" si="346"/>
        <v/>
      </c>
      <c r="AH1406" s="2" t="str">
        <f t="shared" si="347"/>
        <v/>
      </c>
    </row>
    <row r="1407" spans="2:34" x14ac:dyDescent="0.25">
      <c r="B1407" s="2" t="s">
        <v>3734</v>
      </c>
      <c r="C1407" s="2" t="s">
        <v>3781</v>
      </c>
      <c r="D1407" s="2" t="s">
        <v>0</v>
      </c>
      <c r="E1407" s="2" t="s">
        <v>130</v>
      </c>
      <c r="F1407" s="2" t="s">
        <v>3735</v>
      </c>
      <c r="G1407" s="2" t="s">
        <v>3736</v>
      </c>
      <c r="H1407" s="2" t="s">
        <v>3782</v>
      </c>
      <c r="I1407" s="2" t="s">
        <v>41</v>
      </c>
      <c r="J1407" s="2">
        <v>1</v>
      </c>
      <c r="K1407" s="2" t="s">
        <v>81</v>
      </c>
      <c r="L1407" s="2" t="s">
        <v>40</v>
      </c>
      <c r="P1407" s="2" t="s">
        <v>4</v>
      </c>
      <c r="Q1407" s="2">
        <f>INDEX(Tables!$C$4:$C$28,MATCH($P1407,Tables!$B$4:$B$28,0))</f>
        <v>32</v>
      </c>
      <c r="R1407" s="2">
        <f>INDEX(Tables!$D$4:$D$28,MATCH($P1407,Tables!$B$4:$B$28,0))</f>
        <v>4</v>
      </c>
      <c r="S1407" s="2">
        <f>$S1406+$R1406+INDEX(Tables!$N$5:$Q$8,MATCH(MOD($S1406+$R1406,4),Tables!$M$5:$M$8,0),MATCH($R1407,Tables!$N$4:$Q$4,0))</f>
        <v>5440</v>
      </c>
      <c r="T1407" s="2" t="str">
        <f t="shared" si="333"/>
        <v>1540</v>
      </c>
      <c r="U1407" s="2">
        <f t="shared" si="339"/>
        <v>1360</v>
      </c>
      <c r="V1407" s="2" t="str">
        <f t="shared" si="334"/>
        <v>550</v>
      </c>
      <c r="W1407" s="2" t="str">
        <f t="shared" si="335"/>
        <v/>
      </c>
      <c r="X1407" s="2" t="str">
        <f t="shared" si="338"/>
        <v/>
      </c>
      <c r="Y1407" s="2" t="str">
        <f t="shared" si="336"/>
        <v/>
      </c>
      <c r="Z1407" s="2" t="str">
        <f t="shared" si="337"/>
        <v>X</v>
      </c>
      <c r="AA1407" s="2" t="str">
        <f t="shared" si="340"/>
        <v/>
      </c>
      <c r="AB1407" s="2" t="str">
        <f t="shared" si="341"/>
        <v/>
      </c>
      <c r="AC1407" s="2" t="str">
        <f t="shared" si="342"/>
        <v/>
      </c>
      <c r="AD1407" s="2" t="str">
        <f t="shared" si="343"/>
        <v>(0)</v>
      </c>
      <c r="AE1407" s="2" t="str">
        <f t="shared" si="344"/>
        <v/>
      </c>
      <c r="AF1407" s="2" t="str">
        <f t="shared" si="345"/>
        <v/>
      </c>
      <c r="AG1407" s="2" t="str">
        <f t="shared" si="346"/>
        <v/>
      </c>
      <c r="AH1407" s="2" t="str">
        <f t="shared" si="347"/>
        <v/>
      </c>
    </row>
    <row r="1408" spans="2:34" x14ac:dyDescent="0.25">
      <c r="B1408" s="2" t="s">
        <v>3783</v>
      </c>
      <c r="C1408" s="2" t="s">
        <v>507</v>
      </c>
      <c r="D1408" s="2" t="s">
        <v>0</v>
      </c>
      <c r="E1408" s="2" t="s">
        <v>130</v>
      </c>
      <c r="F1408" s="2" t="s">
        <v>3784</v>
      </c>
      <c r="G1408" s="2" t="s">
        <v>3785</v>
      </c>
      <c r="H1408" s="2" t="s">
        <v>510</v>
      </c>
      <c r="I1408" s="2" t="s">
        <v>41</v>
      </c>
      <c r="J1408" s="2">
        <v>1</v>
      </c>
      <c r="K1408" s="2" t="s">
        <v>81</v>
      </c>
      <c r="L1408" s="2" t="s">
        <v>40</v>
      </c>
      <c r="P1408" s="2" t="s">
        <v>4</v>
      </c>
      <c r="Q1408" s="2">
        <f>INDEX(Tables!$C$4:$C$28,MATCH($P1408,Tables!$B$4:$B$28,0))</f>
        <v>32</v>
      </c>
      <c r="R1408" s="2">
        <f>INDEX(Tables!$D$4:$D$28,MATCH($P1408,Tables!$B$4:$B$28,0))</f>
        <v>4</v>
      </c>
      <c r="S1408" s="2">
        <f>$S1407+$R1407+INDEX(Tables!$N$5:$Q$8,MATCH(MOD($S1407+$R1407,4),Tables!$M$5:$M$8,0),MATCH($R1408,Tables!$N$4:$Q$4,0))</f>
        <v>5444</v>
      </c>
      <c r="T1408" s="2" t="str">
        <f t="shared" si="333"/>
        <v>1544</v>
      </c>
      <c r="U1408" s="2">
        <f t="shared" si="339"/>
        <v>1361</v>
      </c>
      <c r="V1408" s="2" t="str">
        <f t="shared" si="334"/>
        <v>551</v>
      </c>
      <c r="W1408" s="2" t="str">
        <f t="shared" si="335"/>
        <v/>
      </c>
      <c r="X1408" s="2" t="str">
        <f t="shared" si="338"/>
        <v/>
      </c>
      <c r="Y1408" s="2" t="str">
        <f t="shared" si="336"/>
        <v/>
      </c>
      <c r="Z1408" s="2" t="str">
        <f t="shared" si="337"/>
        <v>X</v>
      </c>
      <c r="AA1408" s="2" t="str">
        <f t="shared" si="340"/>
        <v/>
      </c>
      <c r="AB1408" s="2" t="str">
        <f t="shared" si="341"/>
        <v/>
      </c>
      <c r="AC1408" s="2" t="str">
        <f t="shared" si="342"/>
        <v/>
      </c>
      <c r="AD1408" s="2" t="str">
        <f t="shared" si="343"/>
        <v>(0)</v>
      </c>
      <c r="AE1408" s="2" t="str">
        <f t="shared" si="344"/>
        <v/>
      </c>
      <c r="AF1408" s="2" t="str">
        <f t="shared" si="345"/>
        <v/>
      </c>
      <c r="AG1408" s="2" t="str">
        <f t="shared" si="346"/>
        <v/>
      </c>
      <c r="AH1408" s="2" t="str">
        <f t="shared" si="347"/>
        <v/>
      </c>
    </row>
    <row r="1409" spans="2:34" x14ac:dyDescent="0.25">
      <c r="B1409" s="2" t="s">
        <v>3783</v>
      </c>
      <c r="C1409" s="2" t="s">
        <v>511</v>
      </c>
      <c r="D1409" s="2" t="s">
        <v>0</v>
      </c>
      <c r="E1409" s="2" t="s">
        <v>130</v>
      </c>
      <c r="F1409" s="2" t="s">
        <v>3784</v>
      </c>
      <c r="G1409" s="2" t="s">
        <v>3785</v>
      </c>
      <c r="H1409" s="2" t="s">
        <v>512</v>
      </c>
      <c r="I1409" s="2" t="s">
        <v>41</v>
      </c>
      <c r="J1409" s="2">
        <v>1</v>
      </c>
      <c r="K1409" s="2" t="s">
        <v>81</v>
      </c>
      <c r="L1409" s="2" t="s">
        <v>40</v>
      </c>
      <c r="P1409" s="2" t="s">
        <v>4</v>
      </c>
      <c r="Q1409" s="2">
        <f>INDEX(Tables!$C$4:$C$28,MATCH($P1409,Tables!$B$4:$B$28,0))</f>
        <v>32</v>
      </c>
      <c r="R1409" s="2">
        <f>INDEX(Tables!$D$4:$D$28,MATCH($P1409,Tables!$B$4:$B$28,0))</f>
        <v>4</v>
      </c>
      <c r="S1409" s="2">
        <f>$S1408+$R1408+INDEX(Tables!$N$5:$Q$8,MATCH(MOD($S1408+$R1408,4),Tables!$M$5:$M$8,0),MATCH($R1409,Tables!$N$4:$Q$4,0))</f>
        <v>5448</v>
      </c>
      <c r="T1409" s="2" t="str">
        <f t="shared" si="333"/>
        <v>1548</v>
      </c>
      <c r="U1409" s="2">
        <f t="shared" si="339"/>
        <v>1362</v>
      </c>
      <c r="V1409" s="2" t="str">
        <f t="shared" si="334"/>
        <v>552</v>
      </c>
      <c r="W1409" s="2" t="str">
        <f t="shared" si="335"/>
        <v/>
      </c>
      <c r="X1409" s="2" t="str">
        <f t="shared" si="338"/>
        <v/>
      </c>
      <c r="Y1409" s="2" t="str">
        <f t="shared" si="336"/>
        <v/>
      </c>
      <c r="Z1409" s="2" t="str">
        <f t="shared" si="337"/>
        <v>X</v>
      </c>
      <c r="AA1409" s="2" t="str">
        <f t="shared" si="340"/>
        <v/>
      </c>
      <c r="AB1409" s="2" t="str">
        <f t="shared" si="341"/>
        <v/>
      </c>
      <c r="AC1409" s="2" t="str">
        <f t="shared" si="342"/>
        <v/>
      </c>
      <c r="AD1409" s="2" t="str">
        <f t="shared" si="343"/>
        <v>(0)</v>
      </c>
      <c r="AE1409" s="2" t="str">
        <f t="shared" si="344"/>
        <v/>
      </c>
      <c r="AF1409" s="2" t="str">
        <f t="shared" si="345"/>
        <v/>
      </c>
      <c r="AG1409" s="2" t="str">
        <f t="shared" si="346"/>
        <v/>
      </c>
      <c r="AH1409" s="2" t="str">
        <f t="shared" si="347"/>
        <v/>
      </c>
    </row>
    <row r="1410" spans="2:34" x14ac:dyDescent="0.25">
      <c r="B1410" s="2" t="s">
        <v>3783</v>
      </c>
      <c r="C1410" s="2" t="s">
        <v>513</v>
      </c>
      <c r="D1410" s="2" t="s">
        <v>0</v>
      </c>
      <c r="E1410" s="2" t="s">
        <v>130</v>
      </c>
      <c r="F1410" s="2" t="s">
        <v>3784</v>
      </c>
      <c r="G1410" s="2" t="s">
        <v>3785</v>
      </c>
      <c r="H1410" s="2" t="s">
        <v>514</v>
      </c>
      <c r="I1410" s="2" t="s">
        <v>41</v>
      </c>
      <c r="J1410" s="2">
        <v>1</v>
      </c>
      <c r="K1410" s="2" t="s">
        <v>81</v>
      </c>
      <c r="L1410" s="2" t="s">
        <v>40</v>
      </c>
      <c r="P1410" s="2" t="s">
        <v>4</v>
      </c>
      <c r="Q1410" s="2">
        <f>INDEX(Tables!$C$4:$C$28,MATCH($P1410,Tables!$B$4:$B$28,0))</f>
        <v>32</v>
      </c>
      <c r="R1410" s="2">
        <f>INDEX(Tables!$D$4:$D$28,MATCH($P1410,Tables!$B$4:$B$28,0))</f>
        <v>4</v>
      </c>
      <c r="S1410" s="2">
        <f>$S1409+$R1409+INDEX(Tables!$N$5:$Q$8,MATCH(MOD($S1409+$R1409,4),Tables!$M$5:$M$8,0),MATCH($R1410,Tables!$N$4:$Q$4,0))</f>
        <v>5452</v>
      </c>
      <c r="T1410" s="2" t="str">
        <f t="shared" si="333"/>
        <v>154C</v>
      </c>
      <c r="U1410" s="2">
        <f t="shared" si="339"/>
        <v>1363</v>
      </c>
      <c r="V1410" s="2" t="str">
        <f t="shared" si="334"/>
        <v>553</v>
      </c>
      <c r="W1410" s="2" t="str">
        <f t="shared" si="335"/>
        <v/>
      </c>
      <c r="X1410" s="2" t="str">
        <f t="shared" si="338"/>
        <v/>
      </c>
      <c r="Y1410" s="2" t="str">
        <f t="shared" si="336"/>
        <v/>
      </c>
      <c r="Z1410" s="2" t="str">
        <f t="shared" si="337"/>
        <v>X</v>
      </c>
      <c r="AA1410" s="2" t="str">
        <f t="shared" si="340"/>
        <v/>
      </c>
      <c r="AB1410" s="2" t="str">
        <f t="shared" si="341"/>
        <v/>
      </c>
      <c r="AC1410" s="2" t="str">
        <f t="shared" si="342"/>
        <v/>
      </c>
      <c r="AD1410" s="2" t="str">
        <f t="shared" si="343"/>
        <v>(0)</v>
      </c>
      <c r="AE1410" s="2" t="str">
        <f t="shared" si="344"/>
        <v/>
      </c>
      <c r="AF1410" s="2" t="str">
        <f t="shared" si="345"/>
        <v/>
      </c>
      <c r="AG1410" s="2" t="str">
        <f t="shared" si="346"/>
        <v/>
      </c>
      <c r="AH1410" s="2" t="str">
        <f t="shared" si="347"/>
        <v/>
      </c>
    </row>
    <row r="1411" spans="2:34" x14ac:dyDescent="0.25">
      <c r="B1411" s="2" t="s">
        <v>3783</v>
      </c>
      <c r="C1411" s="2" t="s">
        <v>515</v>
      </c>
      <c r="D1411" s="2" t="s">
        <v>0</v>
      </c>
      <c r="E1411" s="2" t="s">
        <v>130</v>
      </c>
      <c r="F1411" s="2" t="s">
        <v>3784</v>
      </c>
      <c r="G1411" s="2" t="s">
        <v>3785</v>
      </c>
      <c r="H1411" s="2" t="s">
        <v>516</v>
      </c>
      <c r="I1411" s="2" t="s">
        <v>41</v>
      </c>
      <c r="J1411" s="2">
        <v>1</v>
      </c>
      <c r="K1411" s="2" t="s">
        <v>81</v>
      </c>
      <c r="L1411" s="2" t="s">
        <v>40</v>
      </c>
      <c r="P1411" s="2" t="s">
        <v>4</v>
      </c>
      <c r="Q1411" s="2">
        <f>INDEX(Tables!$C$4:$C$28,MATCH($P1411,Tables!$B$4:$B$28,0))</f>
        <v>32</v>
      </c>
      <c r="R1411" s="2">
        <f>INDEX(Tables!$D$4:$D$28,MATCH($P1411,Tables!$B$4:$B$28,0))</f>
        <v>4</v>
      </c>
      <c r="S1411" s="2">
        <f>$S1410+$R1410+INDEX(Tables!$N$5:$Q$8,MATCH(MOD($S1410+$R1410,4),Tables!$M$5:$M$8,0),MATCH($R1411,Tables!$N$4:$Q$4,0))</f>
        <v>5456</v>
      </c>
      <c r="T1411" s="2" t="str">
        <f t="shared" si="333"/>
        <v>1550</v>
      </c>
      <c r="U1411" s="2">
        <f t="shared" si="339"/>
        <v>1364</v>
      </c>
      <c r="V1411" s="2" t="str">
        <f t="shared" si="334"/>
        <v>554</v>
      </c>
      <c r="W1411" s="2" t="str">
        <f t="shared" si="335"/>
        <v/>
      </c>
      <c r="X1411" s="2" t="str">
        <f t="shared" si="338"/>
        <v/>
      </c>
      <c r="Y1411" s="2" t="str">
        <f t="shared" si="336"/>
        <v/>
      </c>
      <c r="Z1411" s="2" t="str">
        <f t="shared" si="337"/>
        <v>X</v>
      </c>
      <c r="AA1411" s="2" t="str">
        <f t="shared" si="340"/>
        <v/>
      </c>
      <c r="AB1411" s="2" t="str">
        <f t="shared" si="341"/>
        <v/>
      </c>
      <c r="AC1411" s="2" t="str">
        <f t="shared" si="342"/>
        <v/>
      </c>
      <c r="AD1411" s="2" t="str">
        <f t="shared" si="343"/>
        <v>(0)</v>
      </c>
      <c r="AE1411" s="2" t="str">
        <f t="shared" si="344"/>
        <v/>
      </c>
      <c r="AF1411" s="2" t="str">
        <f t="shared" si="345"/>
        <v/>
      </c>
      <c r="AG1411" s="2" t="str">
        <f t="shared" si="346"/>
        <v/>
      </c>
      <c r="AH1411" s="2" t="str">
        <f t="shared" si="347"/>
        <v/>
      </c>
    </row>
    <row r="1412" spans="2:34" x14ac:dyDescent="0.25">
      <c r="B1412" s="2" t="s">
        <v>3783</v>
      </c>
      <c r="C1412" s="2" t="s">
        <v>517</v>
      </c>
      <c r="D1412" s="2" t="s">
        <v>0</v>
      </c>
      <c r="E1412" s="2" t="s">
        <v>130</v>
      </c>
      <c r="F1412" s="2" t="s">
        <v>3784</v>
      </c>
      <c r="G1412" s="2" t="s">
        <v>3785</v>
      </c>
      <c r="H1412" s="2" t="s">
        <v>518</v>
      </c>
      <c r="I1412" s="2" t="s">
        <v>41</v>
      </c>
      <c r="J1412" s="2">
        <v>1</v>
      </c>
      <c r="K1412" s="2" t="s">
        <v>81</v>
      </c>
      <c r="L1412" s="2" t="s">
        <v>40</v>
      </c>
      <c r="P1412" s="2" t="s">
        <v>4</v>
      </c>
      <c r="Q1412" s="2">
        <f>INDEX(Tables!$C$4:$C$28,MATCH($P1412,Tables!$B$4:$B$28,0))</f>
        <v>32</v>
      </c>
      <c r="R1412" s="2">
        <f>INDEX(Tables!$D$4:$D$28,MATCH($P1412,Tables!$B$4:$B$28,0))</f>
        <v>4</v>
      </c>
      <c r="S1412" s="2">
        <f>$S1411+$R1411+INDEX(Tables!$N$5:$Q$8,MATCH(MOD($S1411+$R1411,4),Tables!$M$5:$M$8,0),MATCH($R1412,Tables!$N$4:$Q$4,0))</f>
        <v>5460</v>
      </c>
      <c r="T1412" s="2" t="str">
        <f t="shared" si="333"/>
        <v>1554</v>
      </c>
      <c r="U1412" s="2">
        <f t="shared" si="339"/>
        <v>1365</v>
      </c>
      <c r="V1412" s="2" t="str">
        <f t="shared" si="334"/>
        <v>555</v>
      </c>
      <c r="W1412" s="2" t="str">
        <f t="shared" si="335"/>
        <v/>
      </c>
      <c r="X1412" s="2" t="str">
        <f t="shared" si="338"/>
        <v/>
      </c>
      <c r="Y1412" s="2" t="str">
        <f t="shared" si="336"/>
        <v/>
      </c>
      <c r="Z1412" s="2" t="str">
        <f t="shared" si="337"/>
        <v>X</v>
      </c>
      <c r="AA1412" s="2" t="str">
        <f t="shared" si="340"/>
        <v/>
      </c>
      <c r="AB1412" s="2" t="str">
        <f t="shared" si="341"/>
        <v/>
      </c>
      <c r="AC1412" s="2" t="str">
        <f t="shared" si="342"/>
        <v/>
      </c>
      <c r="AD1412" s="2" t="str">
        <f t="shared" si="343"/>
        <v>(0)</v>
      </c>
      <c r="AE1412" s="2" t="str">
        <f t="shared" si="344"/>
        <v/>
      </c>
      <c r="AF1412" s="2" t="str">
        <f t="shared" si="345"/>
        <v/>
      </c>
      <c r="AG1412" s="2" t="str">
        <f t="shared" si="346"/>
        <v/>
      </c>
      <c r="AH1412" s="2" t="str">
        <f t="shared" si="347"/>
        <v/>
      </c>
    </row>
    <row r="1413" spans="2:34" x14ac:dyDescent="0.25">
      <c r="B1413" s="2" t="s">
        <v>3783</v>
      </c>
      <c r="C1413" s="2" t="s">
        <v>519</v>
      </c>
      <c r="D1413" s="2" t="s">
        <v>0</v>
      </c>
      <c r="E1413" s="2" t="s">
        <v>130</v>
      </c>
      <c r="F1413" s="2" t="s">
        <v>3784</v>
      </c>
      <c r="G1413" s="2" t="s">
        <v>3785</v>
      </c>
      <c r="H1413" s="2" t="s">
        <v>520</v>
      </c>
      <c r="I1413" s="2" t="s">
        <v>41</v>
      </c>
      <c r="J1413" s="2">
        <v>1</v>
      </c>
      <c r="K1413" s="2" t="s">
        <v>81</v>
      </c>
      <c r="L1413" s="2" t="s">
        <v>40</v>
      </c>
      <c r="P1413" s="2" t="s">
        <v>4</v>
      </c>
      <c r="Q1413" s="2">
        <f>INDEX(Tables!$C$4:$C$28,MATCH($P1413,Tables!$B$4:$B$28,0))</f>
        <v>32</v>
      </c>
      <c r="R1413" s="2">
        <f>INDEX(Tables!$D$4:$D$28,MATCH($P1413,Tables!$B$4:$B$28,0))</f>
        <v>4</v>
      </c>
      <c r="S1413" s="2">
        <f>$S1412+$R1412+INDEX(Tables!$N$5:$Q$8,MATCH(MOD($S1412+$R1412,4),Tables!$M$5:$M$8,0),MATCH($R1413,Tables!$N$4:$Q$4,0))</f>
        <v>5464</v>
      </c>
      <c r="T1413" s="2" t="str">
        <f t="shared" ref="T1413:T1476" si="348">DEC2HEX($S1413,4)</f>
        <v>1558</v>
      </c>
      <c r="U1413" s="2">
        <f t="shared" si="339"/>
        <v>1366</v>
      </c>
      <c r="V1413" s="2" t="str">
        <f t="shared" ref="V1413:V1476" si="349">DEC2HEX($U1413,3)</f>
        <v>556</v>
      </c>
      <c r="W1413" s="2" t="str">
        <f t="shared" ref="W1413:W1476" si="350">IF(MOD($S1413,4)=3,"X",IF(AND(MOD($S1413,4)=2,$J1413&gt;8),"X",IF(AND(MOD($S1413,4)=1,$J1413&gt;16),"X",IF(AND(MOD($S1413,4)=0,$J1413&gt;24),"X",""))))</f>
        <v/>
      </c>
      <c r="X1413" s="2" t="str">
        <f t="shared" si="338"/>
        <v/>
      </c>
      <c r="Y1413" s="2" t="str">
        <f t="shared" ref="Y1413:Y1476" si="351">IF(MOD($S1413,4)=1,"X",IF(AND(MOD($S1413,4)=0,$J1413&gt;8),"X",""))</f>
        <v/>
      </c>
      <c r="Z1413" s="2" t="str">
        <f t="shared" ref="Z1413:Z1476" si="352">IF(MOD($S1413,4)=0,"X","")</f>
        <v>X</v>
      </c>
      <c r="AA1413" s="2" t="str">
        <f t="shared" si="340"/>
        <v/>
      </c>
      <c r="AB1413" s="2" t="str">
        <f t="shared" si="341"/>
        <v/>
      </c>
      <c r="AC1413" s="2" t="str">
        <f t="shared" si="342"/>
        <v/>
      </c>
      <c r="AD1413" s="2" t="str">
        <f t="shared" si="343"/>
        <v>(0)</v>
      </c>
      <c r="AE1413" s="2" t="str">
        <f t="shared" si="344"/>
        <v/>
      </c>
      <c r="AF1413" s="2" t="str">
        <f t="shared" si="345"/>
        <v/>
      </c>
      <c r="AG1413" s="2" t="str">
        <f t="shared" si="346"/>
        <v/>
      </c>
      <c r="AH1413" s="2" t="str">
        <f t="shared" si="347"/>
        <v/>
      </c>
    </row>
    <row r="1414" spans="2:34" x14ac:dyDescent="0.25">
      <c r="B1414" s="2" t="s">
        <v>3783</v>
      </c>
      <c r="C1414" s="2" t="s">
        <v>521</v>
      </c>
      <c r="D1414" s="2" t="s">
        <v>0</v>
      </c>
      <c r="E1414" s="2" t="s">
        <v>130</v>
      </c>
      <c r="F1414" s="2" t="s">
        <v>3784</v>
      </c>
      <c r="G1414" s="2" t="s">
        <v>3785</v>
      </c>
      <c r="H1414" s="2" t="s">
        <v>522</v>
      </c>
      <c r="I1414" s="2" t="s">
        <v>41</v>
      </c>
      <c r="J1414" s="2">
        <v>1</v>
      </c>
      <c r="K1414" s="2" t="s">
        <v>81</v>
      </c>
      <c r="L1414" s="2" t="s">
        <v>40</v>
      </c>
      <c r="P1414" s="2" t="s">
        <v>4</v>
      </c>
      <c r="Q1414" s="2">
        <f>INDEX(Tables!$C$4:$C$28,MATCH($P1414,Tables!$B$4:$B$28,0))</f>
        <v>32</v>
      </c>
      <c r="R1414" s="2">
        <f>INDEX(Tables!$D$4:$D$28,MATCH($P1414,Tables!$B$4:$B$28,0))</f>
        <v>4</v>
      </c>
      <c r="S1414" s="2">
        <f>$S1413+$R1413+INDEX(Tables!$N$5:$Q$8,MATCH(MOD($S1413+$R1413,4),Tables!$M$5:$M$8,0),MATCH($R1414,Tables!$N$4:$Q$4,0))</f>
        <v>5468</v>
      </c>
      <c r="T1414" s="2" t="str">
        <f t="shared" si="348"/>
        <v>155C</v>
      </c>
      <c r="U1414" s="2">
        <f t="shared" si="339"/>
        <v>1367</v>
      </c>
      <c r="V1414" s="2" t="str">
        <f t="shared" si="349"/>
        <v>557</v>
      </c>
      <c r="W1414" s="2" t="str">
        <f t="shared" si="350"/>
        <v/>
      </c>
      <c r="X1414" s="2" t="str">
        <f t="shared" ref="X1414:X1477" si="353">IF(MOD($S1414,4)=2,"X",IF(AND(MOD($S1414,4)=1,$J1414&gt;8),"X",IF(AND(MOD($S1414,4)=0,$J1414&gt;16),"X","")))</f>
        <v/>
      </c>
      <c r="Y1414" s="2" t="str">
        <f t="shared" si="351"/>
        <v/>
      </c>
      <c r="Z1414" s="2" t="str">
        <f t="shared" si="352"/>
        <v>X</v>
      </c>
      <c r="AA1414" s="2" t="str">
        <f t="shared" si="340"/>
        <v/>
      </c>
      <c r="AB1414" s="2" t="str">
        <f t="shared" si="341"/>
        <v/>
      </c>
      <c r="AC1414" s="2" t="str">
        <f t="shared" si="342"/>
        <v/>
      </c>
      <c r="AD1414" s="2" t="str">
        <f t="shared" si="343"/>
        <v>(0)</v>
      </c>
      <c r="AE1414" s="2" t="str">
        <f t="shared" si="344"/>
        <v/>
      </c>
      <c r="AF1414" s="2" t="str">
        <f t="shared" si="345"/>
        <v/>
      </c>
      <c r="AG1414" s="2" t="str">
        <f t="shared" si="346"/>
        <v/>
      </c>
      <c r="AH1414" s="2" t="str">
        <f t="shared" si="347"/>
        <v/>
      </c>
    </row>
    <row r="1415" spans="2:34" x14ac:dyDescent="0.25">
      <c r="B1415" s="2" t="s">
        <v>3783</v>
      </c>
      <c r="C1415" s="2" t="s">
        <v>523</v>
      </c>
      <c r="D1415" s="2" t="s">
        <v>0</v>
      </c>
      <c r="E1415" s="2" t="s">
        <v>130</v>
      </c>
      <c r="F1415" s="2" t="s">
        <v>3784</v>
      </c>
      <c r="G1415" s="2" t="s">
        <v>3785</v>
      </c>
      <c r="H1415" s="2" t="s">
        <v>524</v>
      </c>
      <c r="I1415" s="2" t="s">
        <v>41</v>
      </c>
      <c r="J1415" s="2">
        <v>1</v>
      </c>
      <c r="K1415" s="2" t="s">
        <v>81</v>
      </c>
      <c r="L1415" s="2" t="s">
        <v>40</v>
      </c>
      <c r="P1415" s="2" t="s">
        <v>4</v>
      </c>
      <c r="Q1415" s="2">
        <f>INDEX(Tables!$C$4:$C$28,MATCH($P1415,Tables!$B$4:$B$28,0))</f>
        <v>32</v>
      </c>
      <c r="R1415" s="2">
        <f>INDEX(Tables!$D$4:$D$28,MATCH($P1415,Tables!$B$4:$B$28,0))</f>
        <v>4</v>
      </c>
      <c r="S1415" s="2">
        <f>$S1414+$R1414+INDEX(Tables!$N$5:$Q$8,MATCH(MOD($S1414+$R1414,4),Tables!$M$5:$M$8,0),MATCH($R1415,Tables!$N$4:$Q$4,0))</f>
        <v>5472</v>
      </c>
      <c r="T1415" s="2" t="str">
        <f t="shared" si="348"/>
        <v>1560</v>
      </c>
      <c r="U1415" s="2">
        <f t="shared" si="339"/>
        <v>1368</v>
      </c>
      <c r="V1415" s="2" t="str">
        <f t="shared" si="349"/>
        <v>558</v>
      </c>
      <c r="W1415" s="2" t="str">
        <f t="shared" si="350"/>
        <v/>
      </c>
      <c r="X1415" s="2" t="str">
        <f t="shared" si="353"/>
        <v/>
      </c>
      <c r="Y1415" s="2" t="str">
        <f t="shared" si="351"/>
        <v/>
      </c>
      <c r="Z1415" s="2" t="str">
        <f t="shared" si="352"/>
        <v>X</v>
      </c>
      <c r="AA1415" s="2" t="str">
        <f t="shared" si="340"/>
        <v/>
      </c>
      <c r="AB1415" s="2" t="str">
        <f t="shared" si="341"/>
        <v/>
      </c>
      <c r="AC1415" s="2" t="str">
        <f t="shared" si="342"/>
        <v/>
      </c>
      <c r="AD1415" s="2" t="str">
        <f t="shared" si="343"/>
        <v>(0)</v>
      </c>
      <c r="AE1415" s="2" t="str">
        <f t="shared" si="344"/>
        <v/>
      </c>
      <c r="AF1415" s="2" t="str">
        <f t="shared" si="345"/>
        <v/>
      </c>
      <c r="AG1415" s="2" t="str">
        <f t="shared" si="346"/>
        <v/>
      </c>
      <c r="AH1415" s="2" t="str">
        <f t="shared" si="347"/>
        <v/>
      </c>
    </row>
    <row r="1416" spans="2:34" x14ac:dyDescent="0.25">
      <c r="B1416" s="2" t="s">
        <v>3783</v>
      </c>
      <c r="C1416" s="2" t="s">
        <v>525</v>
      </c>
      <c r="D1416" s="2" t="s">
        <v>0</v>
      </c>
      <c r="E1416" s="2" t="s">
        <v>130</v>
      </c>
      <c r="F1416" s="2" t="s">
        <v>3784</v>
      </c>
      <c r="G1416" s="2" t="s">
        <v>3785</v>
      </c>
      <c r="H1416" s="2" t="s">
        <v>526</v>
      </c>
      <c r="I1416" s="2" t="s">
        <v>41</v>
      </c>
      <c r="J1416" s="2">
        <v>1</v>
      </c>
      <c r="K1416" s="2" t="s">
        <v>81</v>
      </c>
      <c r="L1416" s="2" t="s">
        <v>40</v>
      </c>
      <c r="P1416" s="2" t="s">
        <v>4</v>
      </c>
      <c r="Q1416" s="2">
        <f>INDEX(Tables!$C$4:$C$28,MATCH($P1416,Tables!$B$4:$B$28,0))</f>
        <v>32</v>
      </c>
      <c r="R1416" s="2">
        <f>INDEX(Tables!$D$4:$D$28,MATCH($P1416,Tables!$B$4:$B$28,0))</f>
        <v>4</v>
      </c>
      <c r="S1416" s="2">
        <f>$S1415+$R1415+INDEX(Tables!$N$5:$Q$8,MATCH(MOD($S1415+$R1415,4),Tables!$M$5:$M$8,0),MATCH($R1416,Tables!$N$4:$Q$4,0))</f>
        <v>5476</v>
      </c>
      <c r="T1416" s="2" t="str">
        <f t="shared" si="348"/>
        <v>1564</v>
      </c>
      <c r="U1416" s="2">
        <f t="shared" si="339"/>
        <v>1369</v>
      </c>
      <c r="V1416" s="2" t="str">
        <f t="shared" si="349"/>
        <v>559</v>
      </c>
      <c r="W1416" s="2" t="str">
        <f t="shared" si="350"/>
        <v/>
      </c>
      <c r="X1416" s="2" t="str">
        <f t="shared" si="353"/>
        <v/>
      </c>
      <c r="Y1416" s="2" t="str">
        <f t="shared" si="351"/>
        <v/>
      </c>
      <c r="Z1416" s="2" t="str">
        <f t="shared" si="352"/>
        <v>X</v>
      </c>
      <c r="AA1416" s="2" t="str">
        <f t="shared" si="340"/>
        <v/>
      </c>
      <c r="AB1416" s="2" t="str">
        <f t="shared" si="341"/>
        <v/>
      </c>
      <c r="AC1416" s="2" t="str">
        <f t="shared" si="342"/>
        <v/>
      </c>
      <c r="AD1416" s="2" t="str">
        <f t="shared" si="343"/>
        <v>(0)</v>
      </c>
      <c r="AE1416" s="2" t="str">
        <f t="shared" si="344"/>
        <v/>
      </c>
      <c r="AF1416" s="2" t="str">
        <f t="shared" si="345"/>
        <v/>
      </c>
      <c r="AG1416" s="2" t="str">
        <f t="shared" si="346"/>
        <v/>
      </c>
      <c r="AH1416" s="2" t="str">
        <f t="shared" si="347"/>
        <v/>
      </c>
    </row>
    <row r="1417" spans="2:34" x14ac:dyDescent="0.25">
      <c r="B1417" s="2" t="s">
        <v>3783</v>
      </c>
      <c r="C1417" s="2" t="s">
        <v>527</v>
      </c>
      <c r="D1417" s="2" t="s">
        <v>0</v>
      </c>
      <c r="E1417" s="2" t="s">
        <v>130</v>
      </c>
      <c r="F1417" s="2" t="s">
        <v>3784</v>
      </c>
      <c r="G1417" s="2" t="s">
        <v>3785</v>
      </c>
      <c r="H1417" s="2" t="s">
        <v>528</v>
      </c>
      <c r="I1417" s="2" t="s">
        <v>41</v>
      </c>
      <c r="J1417" s="2">
        <v>1</v>
      </c>
      <c r="K1417" s="2" t="s">
        <v>81</v>
      </c>
      <c r="L1417" s="2" t="s">
        <v>40</v>
      </c>
      <c r="P1417" s="2" t="s">
        <v>4</v>
      </c>
      <c r="Q1417" s="2">
        <f>INDEX(Tables!$C$4:$C$28,MATCH($P1417,Tables!$B$4:$B$28,0))</f>
        <v>32</v>
      </c>
      <c r="R1417" s="2">
        <f>INDEX(Tables!$D$4:$D$28,MATCH($P1417,Tables!$B$4:$B$28,0))</f>
        <v>4</v>
      </c>
      <c r="S1417" s="2">
        <f>$S1416+$R1416+INDEX(Tables!$N$5:$Q$8,MATCH(MOD($S1416+$R1416,4),Tables!$M$5:$M$8,0),MATCH($R1417,Tables!$N$4:$Q$4,0))</f>
        <v>5480</v>
      </c>
      <c r="T1417" s="2" t="str">
        <f t="shared" si="348"/>
        <v>1568</v>
      </c>
      <c r="U1417" s="2">
        <f t="shared" ref="U1417:U1480" si="354">ROUNDDOWN(S1417/4,0)</f>
        <v>1370</v>
      </c>
      <c r="V1417" s="2" t="str">
        <f t="shared" si="349"/>
        <v>55A</v>
      </c>
      <c r="W1417" s="2" t="str">
        <f t="shared" si="350"/>
        <v/>
      </c>
      <c r="X1417" s="2" t="str">
        <f t="shared" si="353"/>
        <v/>
      </c>
      <c r="Y1417" s="2" t="str">
        <f t="shared" si="351"/>
        <v/>
      </c>
      <c r="Z1417" s="2" t="str">
        <f t="shared" si="352"/>
        <v>X</v>
      </c>
      <c r="AA1417" s="2" t="str">
        <f t="shared" ref="AA1417:AA1480" si="355">IF(W1417="","",CONCATENATE("(",IF(($J1417-COUNTIF($X1417:$Z1417,"X")*8)=1,"24)",CONCATENATE(IF(($J1417-COUNTIF($X1417:$Z1417,"X")*8)&gt;=8,32,($J1417-COUNTIF($X1417:$Z1417,"X")*8)+24)-1," downto 24)"))))</f>
        <v/>
      </c>
      <c r="AB1417" s="2" t="str">
        <f t="shared" ref="AB1417:AB1480" si="356">IF(X1417="","",CONCATENATE("(",IF(($J1417-COUNTIF($Y1417:$Z1417,"X")*8)=1,"16)",CONCATENATE(IF(($J1417-COUNTIF($Y1417:$Z1417,"X")*8)&gt;=8,24,($J1417-COUNTIF($Y1417:$Z1417,"X")*8)+16)-1," downto 16)"))))</f>
        <v/>
      </c>
      <c r="AC1417" s="2" t="str">
        <f t="shared" ref="AC1417:AC1480" si="357">IF(Y1417="","",CONCATENATE("(",IF(($J1417-COUNTIF($Z1417,"X")*8)=1,"8)",CONCATENATE(IF(($J1417-COUNTIF($Z1417,"X")*8)&gt;=8,16,($J1417-COUNTIF($Z1417,"X")*8)+8)-1," downto 8)"))))</f>
        <v/>
      </c>
      <c r="AD1417" s="2" t="str">
        <f t="shared" ref="AD1417:AD1480" si="358">IF(Z1417="","",CONCATENATE("(",IF($J1417=1,"0)",CONCATENATE(IF($J1417&gt;=8,8,$J1417)-1," downto 0)"))))</f>
        <v>(0)</v>
      </c>
      <c r="AE1417" s="2" t="str">
        <f t="shared" ref="AE1417:AE1480" si="359">IF(W1417="","",IF($J1417&lt;=8,"",IF(($J1417-COUNTIF($X1417:$Z1417,"X")*8)=1,CONCATENATE("(",($J1417-1),")"),CONCATENATE("(",IF(($J1417-COUNTIF($X1417:$Z1417,"X")*8)&gt;=8,COUNTIF($X1417:$Z1417,"X")*8+7,$J1417-COUNTIF($X1417:$Z1417,"X")*8-1+COUNTIF($X1417:$Z1417,"X")*8)," downto ",COUNTIF($X1417:$Z1417,"X")*8,")"))))</f>
        <v/>
      </c>
      <c r="AF1417" s="2" t="str">
        <f t="shared" ref="AF1417:AF1480" si="360">IF(X1417="","",IF($J1417&lt;=8,"",IF(($J1417-COUNTIF($Y1417:$Z1417,"X")*8)=1,CONCATENATE("(",($J1417-1),")"),CONCATENATE("(",IF(($J1417-COUNTIF($Y1417:$Z1417,"X")*8)&gt;=8,COUNTIF($Y1417:$Z1417,"X")*8+7,$J1417-COUNTIF($Y1417:$Z1417,"X")*8-1+COUNTIF($Y1417:$Z1417,"X")*8)," downto ",COUNTIF($Y1417:$Z1417,"X")*8,")"))))</f>
        <v/>
      </c>
      <c r="AG1417" s="2" t="str">
        <f t="shared" ref="AG1417:AG1480" si="361">IF(Y1417="","",IF($J1417&lt;=8,"",IF(($J1417-COUNTIF($Z1417,"X")*8)=1,CONCATENATE("(",($J1417-1),")"),CONCATENATE("(",IF(($J1417-COUNTIF($Z1417,"X")*8)&gt;=8,COUNTIF($Z1417,"X")*8+7,$J1417-COUNTIF($Z1417,"X")*8-1+COUNTIF($Z1417,"X")*8)," downto ",COUNTIF($Z1417,"X")*8,")"))))</f>
        <v/>
      </c>
      <c r="AH1417" s="2" t="str">
        <f t="shared" ref="AH1417:AH1480" si="362">IF(Z1417="","",IF($J1417&lt;=8,"",CONCATENATE("(",IF($J1417&gt;=8,7,$J1417-1)," downto ",0,")")))</f>
        <v/>
      </c>
    </row>
    <row r="1418" spans="2:34" x14ac:dyDescent="0.25">
      <c r="B1418" s="2" t="s">
        <v>3783</v>
      </c>
      <c r="C1418" s="2" t="s">
        <v>529</v>
      </c>
      <c r="D1418" s="2" t="s">
        <v>0</v>
      </c>
      <c r="E1418" s="2" t="s">
        <v>130</v>
      </c>
      <c r="F1418" s="2" t="s">
        <v>3784</v>
      </c>
      <c r="G1418" s="2" t="s">
        <v>3785</v>
      </c>
      <c r="H1418" s="2" t="s">
        <v>530</v>
      </c>
      <c r="I1418" s="2" t="s">
        <v>41</v>
      </c>
      <c r="J1418" s="2">
        <v>1</v>
      </c>
      <c r="K1418" s="2" t="s">
        <v>81</v>
      </c>
      <c r="L1418" s="2" t="s">
        <v>40</v>
      </c>
      <c r="P1418" s="2" t="s">
        <v>4</v>
      </c>
      <c r="Q1418" s="2">
        <f>INDEX(Tables!$C$4:$C$28,MATCH($P1418,Tables!$B$4:$B$28,0))</f>
        <v>32</v>
      </c>
      <c r="R1418" s="2">
        <f>INDEX(Tables!$D$4:$D$28,MATCH($P1418,Tables!$B$4:$B$28,0))</f>
        <v>4</v>
      </c>
      <c r="S1418" s="2">
        <f>$S1417+$R1417+INDEX(Tables!$N$5:$Q$8,MATCH(MOD($S1417+$R1417,4),Tables!$M$5:$M$8,0),MATCH($R1418,Tables!$N$4:$Q$4,0))</f>
        <v>5484</v>
      </c>
      <c r="T1418" s="2" t="str">
        <f t="shared" si="348"/>
        <v>156C</v>
      </c>
      <c r="U1418" s="2">
        <f t="shared" si="354"/>
        <v>1371</v>
      </c>
      <c r="V1418" s="2" t="str">
        <f t="shared" si="349"/>
        <v>55B</v>
      </c>
      <c r="W1418" s="2" t="str">
        <f t="shared" si="350"/>
        <v/>
      </c>
      <c r="X1418" s="2" t="str">
        <f t="shared" si="353"/>
        <v/>
      </c>
      <c r="Y1418" s="2" t="str">
        <f t="shared" si="351"/>
        <v/>
      </c>
      <c r="Z1418" s="2" t="str">
        <f t="shared" si="352"/>
        <v>X</v>
      </c>
      <c r="AA1418" s="2" t="str">
        <f t="shared" si="355"/>
        <v/>
      </c>
      <c r="AB1418" s="2" t="str">
        <f t="shared" si="356"/>
        <v/>
      </c>
      <c r="AC1418" s="2" t="str">
        <f t="shared" si="357"/>
        <v/>
      </c>
      <c r="AD1418" s="2" t="str">
        <f t="shared" si="358"/>
        <v>(0)</v>
      </c>
      <c r="AE1418" s="2" t="str">
        <f t="shared" si="359"/>
        <v/>
      </c>
      <c r="AF1418" s="2" t="str">
        <f t="shared" si="360"/>
        <v/>
      </c>
      <c r="AG1418" s="2" t="str">
        <f t="shared" si="361"/>
        <v/>
      </c>
      <c r="AH1418" s="2" t="str">
        <f t="shared" si="362"/>
        <v/>
      </c>
    </row>
    <row r="1419" spans="2:34" x14ac:dyDescent="0.25">
      <c r="B1419" s="2" t="s">
        <v>3783</v>
      </c>
      <c r="C1419" s="2" t="s">
        <v>531</v>
      </c>
      <c r="D1419" s="2" t="s">
        <v>0</v>
      </c>
      <c r="E1419" s="2" t="s">
        <v>130</v>
      </c>
      <c r="F1419" s="2" t="s">
        <v>3784</v>
      </c>
      <c r="G1419" s="2" t="s">
        <v>3785</v>
      </c>
      <c r="H1419" s="2" t="s">
        <v>532</v>
      </c>
      <c r="I1419" s="2" t="s">
        <v>41</v>
      </c>
      <c r="J1419" s="2">
        <v>1</v>
      </c>
      <c r="K1419" s="2" t="s">
        <v>81</v>
      </c>
      <c r="L1419" s="2" t="s">
        <v>40</v>
      </c>
      <c r="P1419" s="2" t="s">
        <v>4</v>
      </c>
      <c r="Q1419" s="2">
        <f>INDEX(Tables!$C$4:$C$28,MATCH($P1419,Tables!$B$4:$B$28,0))</f>
        <v>32</v>
      </c>
      <c r="R1419" s="2">
        <f>INDEX(Tables!$D$4:$D$28,MATCH($P1419,Tables!$B$4:$B$28,0))</f>
        <v>4</v>
      </c>
      <c r="S1419" s="2">
        <f>$S1418+$R1418+INDEX(Tables!$N$5:$Q$8,MATCH(MOD($S1418+$R1418,4),Tables!$M$5:$M$8,0),MATCH($R1419,Tables!$N$4:$Q$4,0))</f>
        <v>5488</v>
      </c>
      <c r="T1419" s="2" t="str">
        <f t="shared" si="348"/>
        <v>1570</v>
      </c>
      <c r="U1419" s="2">
        <f t="shared" si="354"/>
        <v>1372</v>
      </c>
      <c r="V1419" s="2" t="str">
        <f t="shared" si="349"/>
        <v>55C</v>
      </c>
      <c r="W1419" s="2" t="str">
        <f t="shared" si="350"/>
        <v/>
      </c>
      <c r="X1419" s="2" t="str">
        <f t="shared" si="353"/>
        <v/>
      </c>
      <c r="Y1419" s="2" t="str">
        <f t="shared" si="351"/>
        <v/>
      </c>
      <c r="Z1419" s="2" t="str">
        <f t="shared" si="352"/>
        <v>X</v>
      </c>
      <c r="AA1419" s="2" t="str">
        <f t="shared" si="355"/>
        <v/>
      </c>
      <c r="AB1419" s="2" t="str">
        <f t="shared" si="356"/>
        <v/>
      </c>
      <c r="AC1419" s="2" t="str">
        <f t="shared" si="357"/>
        <v/>
      </c>
      <c r="AD1419" s="2" t="str">
        <f t="shared" si="358"/>
        <v>(0)</v>
      </c>
      <c r="AE1419" s="2" t="str">
        <f t="shared" si="359"/>
        <v/>
      </c>
      <c r="AF1419" s="2" t="str">
        <f t="shared" si="360"/>
        <v/>
      </c>
      <c r="AG1419" s="2" t="str">
        <f t="shared" si="361"/>
        <v/>
      </c>
      <c r="AH1419" s="2" t="str">
        <f t="shared" si="362"/>
        <v/>
      </c>
    </row>
    <row r="1420" spans="2:34" x14ac:dyDescent="0.25">
      <c r="B1420" s="2" t="s">
        <v>3783</v>
      </c>
      <c r="C1420" s="2" t="s">
        <v>533</v>
      </c>
      <c r="D1420" s="2" t="s">
        <v>0</v>
      </c>
      <c r="E1420" s="2" t="s">
        <v>130</v>
      </c>
      <c r="F1420" s="2" t="s">
        <v>3784</v>
      </c>
      <c r="G1420" s="2" t="s">
        <v>3785</v>
      </c>
      <c r="H1420" s="2" t="s">
        <v>534</v>
      </c>
      <c r="I1420" s="2" t="s">
        <v>41</v>
      </c>
      <c r="J1420" s="2">
        <v>1</v>
      </c>
      <c r="K1420" s="2" t="s">
        <v>81</v>
      </c>
      <c r="L1420" s="2" t="s">
        <v>40</v>
      </c>
      <c r="P1420" s="2" t="s">
        <v>4</v>
      </c>
      <c r="Q1420" s="2">
        <f>INDEX(Tables!$C$4:$C$28,MATCH($P1420,Tables!$B$4:$B$28,0))</f>
        <v>32</v>
      </c>
      <c r="R1420" s="2">
        <f>INDEX(Tables!$D$4:$D$28,MATCH($P1420,Tables!$B$4:$B$28,0))</f>
        <v>4</v>
      </c>
      <c r="S1420" s="2">
        <f>$S1419+$R1419+INDEX(Tables!$N$5:$Q$8,MATCH(MOD($S1419+$R1419,4),Tables!$M$5:$M$8,0),MATCH($R1420,Tables!$N$4:$Q$4,0))</f>
        <v>5492</v>
      </c>
      <c r="T1420" s="2" t="str">
        <f t="shared" si="348"/>
        <v>1574</v>
      </c>
      <c r="U1420" s="2">
        <f t="shared" si="354"/>
        <v>1373</v>
      </c>
      <c r="V1420" s="2" t="str">
        <f t="shared" si="349"/>
        <v>55D</v>
      </c>
      <c r="W1420" s="2" t="str">
        <f t="shared" si="350"/>
        <v/>
      </c>
      <c r="X1420" s="2" t="str">
        <f t="shared" si="353"/>
        <v/>
      </c>
      <c r="Y1420" s="2" t="str">
        <f t="shared" si="351"/>
        <v/>
      </c>
      <c r="Z1420" s="2" t="str">
        <f t="shared" si="352"/>
        <v>X</v>
      </c>
      <c r="AA1420" s="2" t="str">
        <f t="shared" si="355"/>
        <v/>
      </c>
      <c r="AB1420" s="2" t="str">
        <f t="shared" si="356"/>
        <v/>
      </c>
      <c r="AC1420" s="2" t="str">
        <f t="shared" si="357"/>
        <v/>
      </c>
      <c r="AD1420" s="2" t="str">
        <f t="shared" si="358"/>
        <v>(0)</v>
      </c>
      <c r="AE1420" s="2" t="str">
        <f t="shared" si="359"/>
        <v/>
      </c>
      <c r="AF1420" s="2" t="str">
        <f t="shared" si="360"/>
        <v/>
      </c>
      <c r="AG1420" s="2" t="str">
        <f t="shared" si="361"/>
        <v/>
      </c>
      <c r="AH1420" s="2" t="str">
        <f t="shared" si="362"/>
        <v/>
      </c>
    </row>
    <row r="1421" spans="2:34" x14ac:dyDescent="0.25">
      <c r="B1421" s="2" t="s">
        <v>3783</v>
      </c>
      <c r="C1421" s="2" t="s">
        <v>535</v>
      </c>
      <c r="D1421" s="2" t="s">
        <v>0</v>
      </c>
      <c r="E1421" s="2" t="s">
        <v>130</v>
      </c>
      <c r="F1421" s="2" t="s">
        <v>3784</v>
      </c>
      <c r="G1421" s="2" t="s">
        <v>3785</v>
      </c>
      <c r="H1421" s="2" t="s">
        <v>536</v>
      </c>
      <c r="I1421" s="2" t="s">
        <v>41</v>
      </c>
      <c r="J1421" s="2">
        <v>1</v>
      </c>
      <c r="K1421" s="2" t="s">
        <v>81</v>
      </c>
      <c r="L1421" s="2" t="s">
        <v>40</v>
      </c>
      <c r="P1421" s="2" t="s">
        <v>4</v>
      </c>
      <c r="Q1421" s="2">
        <f>INDEX(Tables!$C$4:$C$28,MATCH($P1421,Tables!$B$4:$B$28,0))</f>
        <v>32</v>
      </c>
      <c r="R1421" s="2">
        <f>INDEX(Tables!$D$4:$D$28,MATCH($P1421,Tables!$B$4:$B$28,0))</f>
        <v>4</v>
      </c>
      <c r="S1421" s="2">
        <f>$S1420+$R1420+INDEX(Tables!$N$5:$Q$8,MATCH(MOD($S1420+$R1420,4),Tables!$M$5:$M$8,0),MATCH($R1421,Tables!$N$4:$Q$4,0))</f>
        <v>5496</v>
      </c>
      <c r="T1421" s="2" t="str">
        <f t="shared" si="348"/>
        <v>1578</v>
      </c>
      <c r="U1421" s="2">
        <f t="shared" si="354"/>
        <v>1374</v>
      </c>
      <c r="V1421" s="2" t="str">
        <f t="shared" si="349"/>
        <v>55E</v>
      </c>
      <c r="W1421" s="2" t="str">
        <f t="shared" si="350"/>
        <v/>
      </c>
      <c r="X1421" s="2" t="str">
        <f t="shared" si="353"/>
        <v/>
      </c>
      <c r="Y1421" s="2" t="str">
        <f t="shared" si="351"/>
        <v/>
      </c>
      <c r="Z1421" s="2" t="str">
        <f t="shared" si="352"/>
        <v>X</v>
      </c>
      <c r="AA1421" s="2" t="str">
        <f t="shared" si="355"/>
        <v/>
      </c>
      <c r="AB1421" s="2" t="str">
        <f t="shared" si="356"/>
        <v/>
      </c>
      <c r="AC1421" s="2" t="str">
        <f t="shared" si="357"/>
        <v/>
      </c>
      <c r="AD1421" s="2" t="str">
        <f t="shared" si="358"/>
        <v>(0)</v>
      </c>
      <c r="AE1421" s="2" t="str">
        <f t="shared" si="359"/>
        <v/>
      </c>
      <c r="AF1421" s="2" t="str">
        <f t="shared" si="360"/>
        <v/>
      </c>
      <c r="AG1421" s="2" t="str">
        <f t="shared" si="361"/>
        <v/>
      </c>
      <c r="AH1421" s="2" t="str">
        <f t="shared" si="362"/>
        <v/>
      </c>
    </row>
    <row r="1422" spans="2:34" x14ac:dyDescent="0.25">
      <c r="B1422" s="2" t="s">
        <v>3783</v>
      </c>
      <c r="C1422" s="2" t="s">
        <v>537</v>
      </c>
      <c r="D1422" s="2" t="s">
        <v>0</v>
      </c>
      <c r="E1422" s="2" t="s">
        <v>130</v>
      </c>
      <c r="F1422" s="2" t="s">
        <v>3784</v>
      </c>
      <c r="G1422" s="2" t="s">
        <v>3785</v>
      </c>
      <c r="H1422" s="2" t="s">
        <v>538</v>
      </c>
      <c r="I1422" s="2" t="s">
        <v>41</v>
      </c>
      <c r="J1422" s="2">
        <v>1</v>
      </c>
      <c r="K1422" s="2" t="s">
        <v>81</v>
      </c>
      <c r="L1422" s="2" t="s">
        <v>40</v>
      </c>
      <c r="P1422" s="2" t="s">
        <v>4</v>
      </c>
      <c r="Q1422" s="2">
        <f>INDEX(Tables!$C$4:$C$28,MATCH($P1422,Tables!$B$4:$B$28,0))</f>
        <v>32</v>
      </c>
      <c r="R1422" s="2">
        <f>INDEX(Tables!$D$4:$D$28,MATCH($P1422,Tables!$B$4:$B$28,0))</f>
        <v>4</v>
      </c>
      <c r="S1422" s="2">
        <f>$S1421+$R1421+INDEX(Tables!$N$5:$Q$8,MATCH(MOD($S1421+$R1421,4),Tables!$M$5:$M$8,0),MATCH($R1422,Tables!$N$4:$Q$4,0))</f>
        <v>5500</v>
      </c>
      <c r="T1422" s="2" t="str">
        <f t="shared" si="348"/>
        <v>157C</v>
      </c>
      <c r="U1422" s="2">
        <f t="shared" si="354"/>
        <v>1375</v>
      </c>
      <c r="V1422" s="2" t="str">
        <f t="shared" si="349"/>
        <v>55F</v>
      </c>
      <c r="W1422" s="2" t="str">
        <f t="shared" si="350"/>
        <v/>
      </c>
      <c r="X1422" s="2" t="str">
        <f t="shared" si="353"/>
        <v/>
      </c>
      <c r="Y1422" s="2" t="str">
        <f t="shared" si="351"/>
        <v/>
      </c>
      <c r="Z1422" s="2" t="str">
        <f t="shared" si="352"/>
        <v>X</v>
      </c>
      <c r="AA1422" s="2" t="str">
        <f t="shared" si="355"/>
        <v/>
      </c>
      <c r="AB1422" s="2" t="str">
        <f t="shared" si="356"/>
        <v/>
      </c>
      <c r="AC1422" s="2" t="str">
        <f t="shared" si="357"/>
        <v/>
      </c>
      <c r="AD1422" s="2" t="str">
        <f t="shared" si="358"/>
        <v>(0)</v>
      </c>
      <c r="AE1422" s="2" t="str">
        <f t="shared" si="359"/>
        <v/>
      </c>
      <c r="AF1422" s="2" t="str">
        <f t="shared" si="360"/>
        <v/>
      </c>
      <c r="AG1422" s="2" t="str">
        <f t="shared" si="361"/>
        <v/>
      </c>
      <c r="AH1422" s="2" t="str">
        <f t="shared" si="362"/>
        <v/>
      </c>
    </row>
    <row r="1423" spans="2:34" x14ac:dyDescent="0.25">
      <c r="B1423" s="2" t="s">
        <v>3783</v>
      </c>
      <c r="C1423" s="2" t="s">
        <v>539</v>
      </c>
      <c r="D1423" s="2" t="s">
        <v>0</v>
      </c>
      <c r="E1423" s="2" t="s">
        <v>130</v>
      </c>
      <c r="F1423" s="2" t="s">
        <v>3784</v>
      </c>
      <c r="G1423" s="2" t="s">
        <v>3785</v>
      </c>
      <c r="H1423" s="2" t="s">
        <v>540</v>
      </c>
      <c r="I1423" s="2" t="s">
        <v>41</v>
      </c>
      <c r="J1423" s="2">
        <v>1</v>
      </c>
      <c r="K1423" s="2" t="s">
        <v>81</v>
      </c>
      <c r="L1423" s="2" t="s">
        <v>40</v>
      </c>
      <c r="P1423" s="2" t="s">
        <v>4</v>
      </c>
      <c r="Q1423" s="2">
        <f>INDEX(Tables!$C$4:$C$28,MATCH($P1423,Tables!$B$4:$B$28,0))</f>
        <v>32</v>
      </c>
      <c r="R1423" s="2">
        <f>INDEX(Tables!$D$4:$D$28,MATCH($P1423,Tables!$B$4:$B$28,0))</f>
        <v>4</v>
      </c>
      <c r="S1423" s="2">
        <f>$S1422+$R1422+INDEX(Tables!$N$5:$Q$8,MATCH(MOD($S1422+$R1422,4),Tables!$M$5:$M$8,0),MATCH($R1423,Tables!$N$4:$Q$4,0))</f>
        <v>5504</v>
      </c>
      <c r="T1423" s="2" t="str">
        <f t="shared" si="348"/>
        <v>1580</v>
      </c>
      <c r="U1423" s="2">
        <f t="shared" si="354"/>
        <v>1376</v>
      </c>
      <c r="V1423" s="2" t="str">
        <f t="shared" si="349"/>
        <v>560</v>
      </c>
      <c r="W1423" s="2" t="str">
        <f t="shared" si="350"/>
        <v/>
      </c>
      <c r="X1423" s="2" t="str">
        <f t="shared" si="353"/>
        <v/>
      </c>
      <c r="Y1423" s="2" t="str">
        <f t="shared" si="351"/>
        <v/>
      </c>
      <c r="Z1423" s="2" t="str">
        <f t="shared" si="352"/>
        <v>X</v>
      </c>
      <c r="AA1423" s="2" t="str">
        <f t="shared" si="355"/>
        <v/>
      </c>
      <c r="AB1423" s="2" t="str">
        <f t="shared" si="356"/>
        <v/>
      </c>
      <c r="AC1423" s="2" t="str">
        <f t="shared" si="357"/>
        <v/>
      </c>
      <c r="AD1423" s="2" t="str">
        <f t="shared" si="358"/>
        <v>(0)</v>
      </c>
      <c r="AE1423" s="2" t="str">
        <f t="shared" si="359"/>
        <v/>
      </c>
      <c r="AF1423" s="2" t="str">
        <f t="shared" si="360"/>
        <v/>
      </c>
      <c r="AG1423" s="2" t="str">
        <f t="shared" si="361"/>
        <v/>
      </c>
      <c r="AH1423" s="2" t="str">
        <f t="shared" si="362"/>
        <v/>
      </c>
    </row>
    <row r="1424" spans="2:34" x14ac:dyDescent="0.25">
      <c r="B1424" s="2" t="s">
        <v>3783</v>
      </c>
      <c r="C1424" s="2" t="s">
        <v>541</v>
      </c>
      <c r="D1424" s="2" t="s">
        <v>0</v>
      </c>
      <c r="E1424" s="2" t="s">
        <v>130</v>
      </c>
      <c r="F1424" s="2" t="s">
        <v>3784</v>
      </c>
      <c r="G1424" s="2" t="s">
        <v>3785</v>
      </c>
      <c r="H1424" s="2" t="s">
        <v>542</v>
      </c>
      <c r="I1424" s="2" t="s">
        <v>41</v>
      </c>
      <c r="J1424" s="2">
        <v>1</v>
      </c>
      <c r="K1424" s="2" t="s">
        <v>81</v>
      </c>
      <c r="L1424" s="2" t="s">
        <v>40</v>
      </c>
      <c r="P1424" s="2" t="s">
        <v>4</v>
      </c>
      <c r="Q1424" s="2">
        <f>INDEX(Tables!$C$4:$C$28,MATCH($P1424,Tables!$B$4:$B$28,0))</f>
        <v>32</v>
      </c>
      <c r="R1424" s="2">
        <f>INDEX(Tables!$D$4:$D$28,MATCH($P1424,Tables!$B$4:$B$28,0))</f>
        <v>4</v>
      </c>
      <c r="S1424" s="2">
        <f>$S1423+$R1423+INDEX(Tables!$N$5:$Q$8,MATCH(MOD($S1423+$R1423,4),Tables!$M$5:$M$8,0),MATCH($R1424,Tables!$N$4:$Q$4,0))</f>
        <v>5508</v>
      </c>
      <c r="T1424" s="2" t="str">
        <f t="shared" si="348"/>
        <v>1584</v>
      </c>
      <c r="U1424" s="2">
        <f t="shared" si="354"/>
        <v>1377</v>
      </c>
      <c r="V1424" s="2" t="str">
        <f t="shared" si="349"/>
        <v>561</v>
      </c>
      <c r="W1424" s="2" t="str">
        <f t="shared" si="350"/>
        <v/>
      </c>
      <c r="X1424" s="2" t="str">
        <f t="shared" si="353"/>
        <v/>
      </c>
      <c r="Y1424" s="2" t="str">
        <f t="shared" si="351"/>
        <v/>
      </c>
      <c r="Z1424" s="2" t="str">
        <f t="shared" si="352"/>
        <v>X</v>
      </c>
      <c r="AA1424" s="2" t="str">
        <f t="shared" si="355"/>
        <v/>
      </c>
      <c r="AB1424" s="2" t="str">
        <f t="shared" si="356"/>
        <v/>
      </c>
      <c r="AC1424" s="2" t="str">
        <f t="shared" si="357"/>
        <v/>
      </c>
      <c r="AD1424" s="2" t="str">
        <f t="shared" si="358"/>
        <v>(0)</v>
      </c>
      <c r="AE1424" s="2" t="str">
        <f t="shared" si="359"/>
        <v/>
      </c>
      <c r="AF1424" s="2" t="str">
        <f t="shared" si="360"/>
        <v/>
      </c>
      <c r="AG1424" s="2" t="str">
        <f t="shared" si="361"/>
        <v/>
      </c>
      <c r="AH1424" s="2" t="str">
        <f t="shared" si="362"/>
        <v/>
      </c>
    </row>
    <row r="1425" spans="2:34" x14ac:dyDescent="0.25">
      <c r="B1425" s="2" t="s">
        <v>3783</v>
      </c>
      <c r="C1425" s="2" t="s">
        <v>543</v>
      </c>
      <c r="D1425" s="2" t="s">
        <v>0</v>
      </c>
      <c r="E1425" s="2" t="s">
        <v>130</v>
      </c>
      <c r="F1425" s="2" t="s">
        <v>3784</v>
      </c>
      <c r="G1425" s="2" t="s">
        <v>3785</v>
      </c>
      <c r="H1425" s="2" t="s">
        <v>544</v>
      </c>
      <c r="I1425" s="2" t="s">
        <v>41</v>
      </c>
      <c r="J1425" s="2">
        <v>1</v>
      </c>
      <c r="K1425" s="2" t="s">
        <v>81</v>
      </c>
      <c r="L1425" s="2" t="s">
        <v>40</v>
      </c>
      <c r="P1425" s="2" t="s">
        <v>4</v>
      </c>
      <c r="Q1425" s="2">
        <f>INDEX(Tables!$C$4:$C$28,MATCH($P1425,Tables!$B$4:$B$28,0))</f>
        <v>32</v>
      </c>
      <c r="R1425" s="2">
        <f>INDEX(Tables!$D$4:$D$28,MATCH($P1425,Tables!$B$4:$B$28,0))</f>
        <v>4</v>
      </c>
      <c r="S1425" s="2">
        <f>$S1424+$R1424+INDEX(Tables!$N$5:$Q$8,MATCH(MOD($S1424+$R1424,4),Tables!$M$5:$M$8,0),MATCH($R1425,Tables!$N$4:$Q$4,0))</f>
        <v>5512</v>
      </c>
      <c r="T1425" s="2" t="str">
        <f t="shared" si="348"/>
        <v>1588</v>
      </c>
      <c r="U1425" s="2">
        <f t="shared" si="354"/>
        <v>1378</v>
      </c>
      <c r="V1425" s="2" t="str">
        <f t="shared" si="349"/>
        <v>562</v>
      </c>
      <c r="W1425" s="2" t="str">
        <f t="shared" si="350"/>
        <v/>
      </c>
      <c r="X1425" s="2" t="str">
        <f t="shared" si="353"/>
        <v/>
      </c>
      <c r="Y1425" s="2" t="str">
        <f t="shared" si="351"/>
        <v/>
      </c>
      <c r="Z1425" s="2" t="str">
        <f t="shared" si="352"/>
        <v>X</v>
      </c>
      <c r="AA1425" s="2" t="str">
        <f t="shared" si="355"/>
        <v/>
      </c>
      <c r="AB1425" s="2" t="str">
        <f t="shared" si="356"/>
        <v/>
      </c>
      <c r="AC1425" s="2" t="str">
        <f t="shared" si="357"/>
        <v/>
      </c>
      <c r="AD1425" s="2" t="str">
        <f t="shared" si="358"/>
        <v>(0)</v>
      </c>
      <c r="AE1425" s="2" t="str">
        <f t="shared" si="359"/>
        <v/>
      </c>
      <c r="AF1425" s="2" t="str">
        <f t="shared" si="360"/>
        <v/>
      </c>
      <c r="AG1425" s="2" t="str">
        <f t="shared" si="361"/>
        <v/>
      </c>
      <c r="AH1425" s="2" t="str">
        <f t="shared" si="362"/>
        <v/>
      </c>
    </row>
    <row r="1426" spans="2:34" x14ac:dyDescent="0.25">
      <c r="B1426" s="2" t="s">
        <v>3783</v>
      </c>
      <c r="C1426" s="2" t="s">
        <v>545</v>
      </c>
      <c r="D1426" s="2" t="s">
        <v>0</v>
      </c>
      <c r="E1426" s="2" t="s">
        <v>130</v>
      </c>
      <c r="F1426" s="2" t="s">
        <v>3784</v>
      </c>
      <c r="G1426" s="2" t="s">
        <v>3785</v>
      </c>
      <c r="H1426" s="2" t="s">
        <v>546</v>
      </c>
      <c r="I1426" s="2" t="s">
        <v>41</v>
      </c>
      <c r="J1426" s="2">
        <v>1</v>
      </c>
      <c r="K1426" s="2" t="s">
        <v>81</v>
      </c>
      <c r="L1426" s="2" t="s">
        <v>40</v>
      </c>
      <c r="P1426" s="2" t="s">
        <v>4</v>
      </c>
      <c r="Q1426" s="2">
        <f>INDEX(Tables!$C$4:$C$28,MATCH($P1426,Tables!$B$4:$B$28,0))</f>
        <v>32</v>
      </c>
      <c r="R1426" s="2">
        <f>INDEX(Tables!$D$4:$D$28,MATCH($P1426,Tables!$B$4:$B$28,0))</f>
        <v>4</v>
      </c>
      <c r="S1426" s="2">
        <f>$S1425+$R1425+INDEX(Tables!$N$5:$Q$8,MATCH(MOD($S1425+$R1425,4),Tables!$M$5:$M$8,0),MATCH($R1426,Tables!$N$4:$Q$4,0))</f>
        <v>5516</v>
      </c>
      <c r="T1426" s="2" t="str">
        <f t="shared" si="348"/>
        <v>158C</v>
      </c>
      <c r="U1426" s="2">
        <f t="shared" si="354"/>
        <v>1379</v>
      </c>
      <c r="V1426" s="2" t="str">
        <f t="shared" si="349"/>
        <v>563</v>
      </c>
      <c r="W1426" s="2" t="str">
        <f t="shared" si="350"/>
        <v/>
      </c>
      <c r="X1426" s="2" t="str">
        <f t="shared" si="353"/>
        <v/>
      </c>
      <c r="Y1426" s="2" t="str">
        <f t="shared" si="351"/>
        <v/>
      </c>
      <c r="Z1426" s="2" t="str">
        <f t="shared" si="352"/>
        <v>X</v>
      </c>
      <c r="AA1426" s="2" t="str">
        <f t="shared" si="355"/>
        <v/>
      </c>
      <c r="AB1426" s="2" t="str">
        <f t="shared" si="356"/>
        <v/>
      </c>
      <c r="AC1426" s="2" t="str">
        <f t="shared" si="357"/>
        <v/>
      </c>
      <c r="AD1426" s="2" t="str">
        <f t="shared" si="358"/>
        <v>(0)</v>
      </c>
      <c r="AE1426" s="2" t="str">
        <f t="shared" si="359"/>
        <v/>
      </c>
      <c r="AF1426" s="2" t="str">
        <f t="shared" si="360"/>
        <v/>
      </c>
      <c r="AG1426" s="2" t="str">
        <f t="shared" si="361"/>
        <v/>
      </c>
      <c r="AH1426" s="2" t="str">
        <f t="shared" si="362"/>
        <v/>
      </c>
    </row>
    <row r="1427" spans="2:34" x14ac:dyDescent="0.25">
      <c r="B1427" s="2" t="s">
        <v>3783</v>
      </c>
      <c r="C1427" s="2" t="s">
        <v>547</v>
      </c>
      <c r="D1427" s="2" t="s">
        <v>0</v>
      </c>
      <c r="E1427" s="2" t="s">
        <v>130</v>
      </c>
      <c r="F1427" s="2" t="s">
        <v>3784</v>
      </c>
      <c r="G1427" s="2" t="s">
        <v>3785</v>
      </c>
      <c r="H1427" s="2" t="s">
        <v>548</v>
      </c>
      <c r="I1427" s="2" t="s">
        <v>41</v>
      </c>
      <c r="J1427" s="2">
        <v>1</v>
      </c>
      <c r="K1427" s="2" t="s">
        <v>81</v>
      </c>
      <c r="L1427" s="2" t="s">
        <v>40</v>
      </c>
      <c r="P1427" s="2" t="s">
        <v>4</v>
      </c>
      <c r="Q1427" s="2">
        <f>INDEX(Tables!$C$4:$C$28,MATCH($P1427,Tables!$B$4:$B$28,0))</f>
        <v>32</v>
      </c>
      <c r="R1427" s="2">
        <f>INDEX(Tables!$D$4:$D$28,MATCH($P1427,Tables!$B$4:$B$28,0))</f>
        <v>4</v>
      </c>
      <c r="S1427" s="2">
        <f>$S1426+$R1426+INDEX(Tables!$N$5:$Q$8,MATCH(MOD($S1426+$R1426,4),Tables!$M$5:$M$8,0),MATCH($R1427,Tables!$N$4:$Q$4,0))</f>
        <v>5520</v>
      </c>
      <c r="T1427" s="2" t="str">
        <f t="shared" si="348"/>
        <v>1590</v>
      </c>
      <c r="U1427" s="2">
        <f t="shared" si="354"/>
        <v>1380</v>
      </c>
      <c r="V1427" s="2" t="str">
        <f t="shared" si="349"/>
        <v>564</v>
      </c>
      <c r="W1427" s="2" t="str">
        <f t="shared" si="350"/>
        <v/>
      </c>
      <c r="X1427" s="2" t="str">
        <f t="shared" si="353"/>
        <v/>
      </c>
      <c r="Y1427" s="2" t="str">
        <f t="shared" si="351"/>
        <v/>
      </c>
      <c r="Z1427" s="2" t="str">
        <f t="shared" si="352"/>
        <v>X</v>
      </c>
      <c r="AA1427" s="2" t="str">
        <f t="shared" si="355"/>
        <v/>
      </c>
      <c r="AB1427" s="2" t="str">
        <f t="shared" si="356"/>
        <v/>
      </c>
      <c r="AC1427" s="2" t="str">
        <f t="shared" si="357"/>
        <v/>
      </c>
      <c r="AD1427" s="2" t="str">
        <f t="shared" si="358"/>
        <v>(0)</v>
      </c>
      <c r="AE1427" s="2" t="str">
        <f t="shared" si="359"/>
        <v/>
      </c>
      <c r="AF1427" s="2" t="str">
        <f t="shared" si="360"/>
        <v/>
      </c>
      <c r="AG1427" s="2" t="str">
        <f t="shared" si="361"/>
        <v/>
      </c>
      <c r="AH1427" s="2" t="str">
        <f t="shared" si="362"/>
        <v/>
      </c>
    </row>
    <row r="1428" spans="2:34" x14ac:dyDescent="0.25">
      <c r="B1428" s="2" t="s">
        <v>3783</v>
      </c>
      <c r="C1428" s="2" t="s">
        <v>549</v>
      </c>
      <c r="D1428" s="2" t="s">
        <v>0</v>
      </c>
      <c r="E1428" s="2" t="s">
        <v>130</v>
      </c>
      <c r="F1428" s="2" t="s">
        <v>3784</v>
      </c>
      <c r="G1428" s="2" t="s">
        <v>3785</v>
      </c>
      <c r="H1428" s="2" t="s">
        <v>550</v>
      </c>
      <c r="I1428" s="2" t="s">
        <v>41</v>
      </c>
      <c r="J1428" s="2">
        <v>1</v>
      </c>
      <c r="K1428" s="2" t="s">
        <v>81</v>
      </c>
      <c r="L1428" s="2" t="s">
        <v>40</v>
      </c>
      <c r="P1428" s="2" t="s">
        <v>4</v>
      </c>
      <c r="Q1428" s="2">
        <f>INDEX(Tables!$C$4:$C$28,MATCH($P1428,Tables!$B$4:$B$28,0))</f>
        <v>32</v>
      </c>
      <c r="R1428" s="2">
        <f>INDEX(Tables!$D$4:$D$28,MATCH($P1428,Tables!$B$4:$B$28,0))</f>
        <v>4</v>
      </c>
      <c r="S1428" s="2">
        <f>$S1427+$R1427+INDEX(Tables!$N$5:$Q$8,MATCH(MOD($S1427+$R1427,4),Tables!$M$5:$M$8,0),MATCH($R1428,Tables!$N$4:$Q$4,0))</f>
        <v>5524</v>
      </c>
      <c r="T1428" s="2" t="str">
        <f t="shared" si="348"/>
        <v>1594</v>
      </c>
      <c r="U1428" s="2">
        <f t="shared" si="354"/>
        <v>1381</v>
      </c>
      <c r="V1428" s="2" t="str">
        <f t="shared" si="349"/>
        <v>565</v>
      </c>
      <c r="W1428" s="2" t="str">
        <f t="shared" si="350"/>
        <v/>
      </c>
      <c r="X1428" s="2" t="str">
        <f t="shared" si="353"/>
        <v/>
      </c>
      <c r="Y1428" s="2" t="str">
        <f t="shared" si="351"/>
        <v/>
      </c>
      <c r="Z1428" s="2" t="str">
        <f t="shared" si="352"/>
        <v>X</v>
      </c>
      <c r="AA1428" s="2" t="str">
        <f t="shared" si="355"/>
        <v/>
      </c>
      <c r="AB1428" s="2" t="str">
        <f t="shared" si="356"/>
        <v/>
      </c>
      <c r="AC1428" s="2" t="str">
        <f t="shared" si="357"/>
        <v/>
      </c>
      <c r="AD1428" s="2" t="str">
        <f t="shared" si="358"/>
        <v>(0)</v>
      </c>
      <c r="AE1428" s="2" t="str">
        <f t="shared" si="359"/>
        <v/>
      </c>
      <c r="AF1428" s="2" t="str">
        <f t="shared" si="360"/>
        <v/>
      </c>
      <c r="AG1428" s="2" t="str">
        <f t="shared" si="361"/>
        <v/>
      </c>
      <c r="AH1428" s="2" t="str">
        <f t="shared" si="362"/>
        <v/>
      </c>
    </row>
    <row r="1429" spans="2:34" x14ac:dyDescent="0.25">
      <c r="B1429" s="2" t="s">
        <v>3783</v>
      </c>
      <c r="C1429" s="2" t="s">
        <v>551</v>
      </c>
      <c r="D1429" s="2" t="s">
        <v>0</v>
      </c>
      <c r="E1429" s="2" t="s">
        <v>130</v>
      </c>
      <c r="F1429" s="2" t="s">
        <v>3784</v>
      </c>
      <c r="G1429" s="2" t="s">
        <v>3785</v>
      </c>
      <c r="H1429" s="2" t="s">
        <v>552</v>
      </c>
      <c r="I1429" s="2" t="s">
        <v>41</v>
      </c>
      <c r="J1429" s="2">
        <v>1</v>
      </c>
      <c r="K1429" s="2" t="s">
        <v>81</v>
      </c>
      <c r="L1429" s="2" t="s">
        <v>40</v>
      </c>
      <c r="P1429" s="2" t="s">
        <v>4</v>
      </c>
      <c r="Q1429" s="2">
        <f>INDEX(Tables!$C$4:$C$28,MATCH($P1429,Tables!$B$4:$B$28,0))</f>
        <v>32</v>
      </c>
      <c r="R1429" s="2">
        <f>INDEX(Tables!$D$4:$D$28,MATCH($P1429,Tables!$B$4:$B$28,0))</f>
        <v>4</v>
      </c>
      <c r="S1429" s="2">
        <f>$S1428+$R1428+INDEX(Tables!$N$5:$Q$8,MATCH(MOD($S1428+$R1428,4),Tables!$M$5:$M$8,0),MATCH($R1429,Tables!$N$4:$Q$4,0))</f>
        <v>5528</v>
      </c>
      <c r="T1429" s="2" t="str">
        <f t="shared" si="348"/>
        <v>1598</v>
      </c>
      <c r="U1429" s="2">
        <f t="shared" si="354"/>
        <v>1382</v>
      </c>
      <c r="V1429" s="2" t="str">
        <f t="shared" si="349"/>
        <v>566</v>
      </c>
      <c r="W1429" s="2" t="str">
        <f t="shared" si="350"/>
        <v/>
      </c>
      <c r="X1429" s="2" t="str">
        <f t="shared" si="353"/>
        <v/>
      </c>
      <c r="Y1429" s="2" t="str">
        <f t="shared" si="351"/>
        <v/>
      </c>
      <c r="Z1429" s="2" t="str">
        <f t="shared" si="352"/>
        <v>X</v>
      </c>
      <c r="AA1429" s="2" t="str">
        <f t="shared" si="355"/>
        <v/>
      </c>
      <c r="AB1429" s="2" t="str">
        <f t="shared" si="356"/>
        <v/>
      </c>
      <c r="AC1429" s="2" t="str">
        <f t="shared" si="357"/>
        <v/>
      </c>
      <c r="AD1429" s="2" t="str">
        <f t="shared" si="358"/>
        <v>(0)</v>
      </c>
      <c r="AE1429" s="2" t="str">
        <f t="shared" si="359"/>
        <v/>
      </c>
      <c r="AF1429" s="2" t="str">
        <f t="shared" si="360"/>
        <v/>
      </c>
      <c r="AG1429" s="2" t="str">
        <f t="shared" si="361"/>
        <v/>
      </c>
      <c r="AH1429" s="2" t="str">
        <f t="shared" si="362"/>
        <v/>
      </c>
    </row>
    <row r="1430" spans="2:34" x14ac:dyDescent="0.25">
      <c r="B1430" s="2" t="s">
        <v>3783</v>
      </c>
      <c r="C1430" s="2" t="s">
        <v>553</v>
      </c>
      <c r="D1430" s="2" t="s">
        <v>0</v>
      </c>
      <c r="E1430" s="2" t="s">
        <v>130</v>
      </c>
      <c r="F1430" s="2" t="s">
        <v>3784</v>
      </c>
      <c r="G1430" s="2" t="s">
        <v>3785</v>
      </c>
      <c r="H1430" s="2" t="s">
        <v>554</v>
      </c>
      <c r="I1430" s="2" t="s">
        <v>41</v>
      </c>
      <c r="J1430" s="2">
        <v>1</v>
      </c>
      <c r="K1430" s="2" t="s">
        <v>81</v>
      </c>
      <c r="L1430" s="2" t="s">
        <v>40</v>
      </c>
      <c r="P1430" s="2" t="s">
        <v>4</v>
      </c>
      <c r="Q1430" s="2">
        <f>INDEX(Tables!$C$4:$C$28,MATCH($P1430,Tables!$B$4:$B$28,0))</f>
        <v>32</v>
      </c>
      <c r="R1430" s="2">
        <f>INDEX(Tables!$D$4:$D$28,MATCH($P1430,Tables!$B$4:$B$28,0))</f>
        <v>4</v>
      </c>
      <c r="S1430" s="2">
        <f>$S1429+$R1429+INDEX(Tables!$N$5:$Q$8,MATCH(MOD($S1429+$R1429,4),Tables!$M$5:$M$8,0),MATCH($R1430,Tables!$N$4:$Q$4,0))</f>
        <v>5532</v>
      </c>
      <c r="T1430" s="2" t="str">
        <f t="shared" si="348"/>
        <v>159C</v>
      </c>
      <c r="U1430" s="2">
        <f t="shared" si="354"/>
        <v>1383</v>
      </c>
      <c r="V1430" s="2" t="str">
        <f t="shared" si="349"/>
        <v>567</v>
      </c>
      <c r="W1430" s="2" t="str">
        <f t="shared" si="350"/>
        <v/>
      </c>
      <c r="X1430" s="2" t="str">
        <f t="shared" si="353"/>
        <v/>
      </c>
      <c r="Y1430" s="2" t="str">
        <f t="shared" si="351"/>
        <v/>
      </c>
      <c r="Z1430" s="2" t="str">
        <f t="shared" si="352"/>
        <v>X</v>
      </c>
      <c r="AA1430" s="2" t="str">
        <f t="shared" si="355"/>
        <v/>
      </c>
      <c r="AB1430" s="2" t="str">
        <f t="shared" si="356"/>
        <v/>
      </c>
      <c r="AC1430" s="2" t="str">
        <f t="shared" si="357"/>
        <v/>
      </c>
      <c r="AD1430" s="2" t="str">
        <f t="shared" si="358"/>
        <v>(0)</v>
      </c>
      <c r="AE1430" s="2" t="str">
        <f t="shared" si="359"/>
        <v/>
      </c>
      <c r="AF1430" s="2" t="str">
        <f t="shared" si="360"/>
        <v/>
      </c>
      <c r="AG1430" s="2" t="str">
        <f t="shared" si="361"/>
        <v/>
      </c>
      <c r="AH1430" s="2" t="str">
        <f t="shared" si="362"/>
        <v/>
      </c>
    </row>
    <row r="1431" spans="2:34" x14ac:dyDescent="0.25">
      <c r="B1431" s="2" t="s">
        <v>3783</v>
      </c>
      <c r="C1431" s="2" t="s">
        <v>555</v>
      </c>
      <c r="D1431" s="2" t="s">
        <v>0</v>
      </c>
      <c r="E1431" s="2" t="s">
        <v>130</v>
      </c>
      <c r="F1431" s="2" t="s">
        <v>3784</v>
      </c>
      <c r="G1431" s="2" t="s">
        <v>3785</v>
      </c>
      <c r="H1431" s="2" t="s">
        <v>556</v>
      </c>
      <c r="I1431" s="2" t="s">
        <v>41</v>
      </c>
      <c r="J1431" s="2">
        <v>1</v>
      </c>
      <c r="K1431" s="2" t="s">
        <v>81</v>
      </c>
      <c r="L1431" s="2" t="s">
        <v>40</v>
      </c>
      <c r="P1431" s="2" t="s">
        <v>4</v>
      </c>
      <c r="Q1431" s="2">
        <f>INDEX(Tables!$C$4:$C$28,MATCH($P1431,Tables!$B$4:$B$28,0))</f>
        <v>32</v>
      </c>
      <c r="R1431" s="2">
        <f>INDEX(Tables!$D$4:$D$28,MATCH($P1431,Tables!$B$4:$B$28,0))</f>
        <v>4</v>
      </c>
      <c r="S1431" s="2">
        <f>$S1430+$R1430+INDEX(Tables!$N$5:$Q$8,MATCH(MOD($S1430+$R1430,4),Tables!$M$5:$M$8,0),MATCH($R1431,Tables!$N$4:$Q$4,0))</f>
        <v>5536</v>
      </c>
      <c r="T1431" s="2" t="str">
        <f t="shared" si="348"/>
        <v>15A0</v>
      </c>
      <c r="U1431" s="2">
        <f t="shared" si="354"/>
        <v>1384</v>
      </c>
      <c r="V1431" s="2" t="str">
        <f t="shared" si="349"/>
        <v>568</v>
      </c>
      <c r="W1431" s="2" t="str">
        <f t="shared" si="350"/>
        <v/>
      </c>
      <c r="X1431" s="2" t="str">
        <f t="shared" si="353"/>
        <v/>
      </c>
      <c r="Y1431" s="2" t="str">
        <f t="shared" si="351"/>
        <v/>
      </c>
      <c r="Z1431" s="2" t="str">
        <f t="shared" si="352"/>
        <v>X</v>
      </c>
      <c r="AA1431" s="2" t="str">
        <f t="shared" si="355"/>
        <v/>
      </c>
      <c r="AB1431" s="2" t="str">
        <f t="shared" si="356"/>
        <v/>
      </c>
      <c r="AC1431" s="2" t="str">
        <f t="shared" si="357"/>
        <v/>
      </c>
      <c r="AD1431" s="2" t="str">
        <f t="shared" si="358"/>
        <v>(0)</v>
      </c>
      <c r="AE1431" s="2" t="str">
        <f t="shared" si="359"/>
        <v/>
      </c>
      <c r="AF1431" s="2" t="str">
        <f t="shared" si="360"/>
        <v/>
      </c>
      <c r="AG1431" s="2" t="str">
        <f t="shared" si="361"/>
        <v/>
      </c>
      <c r="AH1431" s="2" t="str">
        <f t="shared" si="362"/>
        <v/>
      </c>
    </row>
    <row r="1432" spans="2:34" x14ac:dyDescent="0.25">
      <c r="B1432" s="2" t="s">
        <v>3783</v>
      </c>
      <c r="C1432" s="2" t="s">
        <v>557</v>
      </c>
      <c r="D1432" s="2" t="s">
        <v>0</v>
      </c>
      <c r="E1432" s="2" t="s">
        <v>130</v>
      </c>
      <c r="F1432" s="2" t="s">
        <v>3784</v>
      </c>
      <c r="G1432" s="2" t="s">
        <v>3785</v>
      </c>
      <c r="H1432" s="2" t="s">
        <v>558</v>
      </c>
      <c r="I1432" s="2" t="s">
        <v>41</v>
      </c>
      <c r="J1432" s="2">
        <v>1</v>
      </c>
      <c r="K1432" s="2" t="s">
        <v>81</v>
      </c>
      <c r="L1432" s="2" t="s">
        <v>40</v>
      </c>
      <c r="P1432" s="2" t="s">
        <v>4</v>
      </c>
      <c r="Q1432" s="2">
        <f>INDEX(Tables!$C$4:$C$28,MATCH($P1432,Tables!$B$4:$B$28,0))</f>
        <v>32</v>
      </c>
      <c r="R1432" s="2">
        <f>INDEX(Tables!$D$4:$D$28,MATCH($P1432,Tables!$B$4:$B$28,0))</f>
        <v>4</v>
      </c>
      <c r="S1432" s="2">
        <f>$S1431+$R1431+INDEX(Tables!$N$5:$Q$8,MATCH(MOD($S1431+$R1431,4),Tables!$M$5:$M$8,0),MATCH($R1432,Tables!$N$4:$Q$4,0))</f>
        <v>5540</v>
      </c>
      <c r="T1432" s="2" t="str">
        <f t="shared" si="348"/>
        <v>15A4</v>
      </c>
      <c r="U1432" s="2">
        <f t="shared" si="354"/>
        <v>1385</v>
      </c>
      <c r="V1432" s="2" t="str">
        <f t="shared" si="349"/>
        <v>569</v>
      </c>
      <c r="W1432" s="2" t="str">
        <f t="shared" si="350"/>
        <v/>
      </c>
      <c r="X1432" s="2" t="str">
        <f t="shared" si="353"/>
        <v/>
      </c>
      <c r="Y1432" s="2" t="str">
        <f t="shared" si="351"/>
        <v/>
      </c>
      <c r="Z1432" s="2" t="str">
        <f t="shared" si="352"/>
        <v>X</v>
      </c>
      <c r="AA1432" s="2" t="str">
        <f t="shared" si="355"/>
        <v/>
      </c>
      <c r="AB1432" s="2" t="str">
        <f t="shared" si="356"/>
        <v/>
      </c>
      <c r="AC1432" s="2" t="str">
        <f t="shared" si="357"/>
        <v/>
      </c>
      <c r="AD1432" s="2" t="str">
        <f t="shared" si="358"/>
        <v>(0)</v>
      </c>
      <c r="AE1432" s="2" t="str">
        <f t="shared" si="359"/>
        <v/>
      </c>
      <c r="AF1432" s="2" t="str">
        <f t="shared" si="360"/>
        <v/>
      </c>
      <c r="AG1432" s="2" t="str">
        <f t="shared" si="361"/>
        <v/>
      </c>
      <c r="AH1432" s="2" t="str">
        <f t="shared" si="362"/>
        <v/>
      </c>
    </row>
    <row r="1433" spans="2:34" x14ac:dyDescent="0.25">
      <c r="B1433" s="2" t="s">
        <v>3783</v>
      </c>
      <c r="C1433" s="2" t="s">
        <v>559</v>
      </c>
      <c r="D1433" s="2" t="s">
        <v>0</v>
      </c>
      <c r="E1433" s="2" t="s">
        <v>130</v>
      </c>
      <c r="F1433" s="2" t="s">
        <v>3784</v>
      </c>
      <c r="G1433" s="2" t="s">
        <v>3785</v>
      </c>
      <c r="H1433" s="2" t="s">
        <v>560</v>
      </c>
      <c r="I1433" s="2" t="s">
        <v>41</v>
      </c>
      <c r="J1433" s="2">
        <v>1</v>
      </c>
      <c r="K1433" s="2" t="s">
        <v>81</v>
      </c>
      <c r="L1433" s="2" t="s">
        <v>40</v>
      </c>
      <c r="P1433" s="2" t="s">
        <v>4</v>
      </c>
      <c r="Q1433" s="2">
        <f>INDEX(Tables!$C$4:$C$28,MATCH($P1433,Tables!$B$4:$B$28,0))</f>
        <v>32</v>
      </c>
      <c r="R1433" s="2">
        <f>INDEX(Tables!$D$4:$D$28,MATCH($P1433,Tables!$B$4:$B$28,0))</f>
        <v>4</v>
      </c>
      <c r="S1433" s="2">
        <f>$S1432+$R1432+INDEX(Tables!$N$5:$Q$8,MATCH(MOD($S1432+$R1432,4),Tables!$M$5:$M$8,0),MATCH($R1433,Tables!$N$4:$Q$4,0))</f>
        <v>5544</v>
      </c>
      <c r="T1433" s="2" t="str">
        <f t="shared" si="348"/>
        <v>15A8</v>
      </c>
      <c r="U1433" s="2">
        <f t="shared" si="354"/>
        <v>1386</v>
      </c>
      <c r="V1433" s="2" t="str">
        <f t="shared" si="349"/>
        <v>56A</v>
      </c>
      <c r="W1433" s="2" t="str">
        <f t="shared" si="350"/>
        <v/>
      </c>
      <c r="X1433" s="2" t="str">
        <f t="shared" si="353"/>
        <v/>
      </c>
      <c r="Y1433" s="2" t="str">
        <f t="shared" si="351"/>
        <v/>
      </c>
      <c r="Z1433" s="2" t="str">
        <f t="shared" si="352"/>
        <v>X</v>
      </c>
      <c r="AA1433" s="2" t="str">
        <f t="shared" si="355"/>
        <v/>
      </c>
      <c r="AB1433" s="2" t="str">
        <f t="shared" si="356"/>
        <v/>
      </c>
      <c r="AC1433" s="2" t="str">
        <f t="shared" si="357"/>
        <v/>
      </c>
      <c r="AD1433" s="2" t="str">
        <f t="shared" si="358"/>
        <v>(0)</v>
      </c>
      <c r="AE1433" s="2" t="str">
        <f t="shared" si="359"/>
        <v/>
      </c>
      <c r="AF1433" s="2" t="str">
        <f t="shared" si="360"/>
        <v/>
      </c>
      <c r="AG1433" s="2" t="str">
        <f t="shared" si="361"/>
        <v/>
      </c>
      <c r="AH1433" s="2" t="str">
        <f t="shared" si="362"/>
        <v/>
      </c>
    </row>
    <row r="1434" spans="2:34" x14ac:dyDescent="0.25">
      <c r="B1434" s="2" t="s">
        <v>3783</v>
      </c>
      <c r="C1434" s="2" t="s">
        <v>561</v>
      </c>
      <c r="D1434" s="2" t="s">
        <v>0</v>
      </c>
      <c r="E1434" s="2" t="s">
        <v>130</v>
      </c>
      <c r="F1434" s="2" t="s">
        <v>3784</v>
      </c>
      <c r="G1434" s="2" t="s">
        <v>3785</v>
      </c>
      <c r="H1434" s="2" t="s">
        <v>562</v>
      </c>
      <c r="I1434" s="2" t="s">
        <v>41</v>
      </c>
      <c r="J1434" s="2">
        <v>1</v>
      </c>
      <c r="K1434" s="2" t="s">
        <v>81</v>
      </c>
      <c r="L1434" s="2" t="s">
        <v>40</v>
      </c>
      <c r="P1434" s="2" t="s">
        <v>4</v>
      </c>
      <c r="Q1434" s="2">
        <f>INDEX(Tables!$C$4:$C$28,MATCH($P1434,Tables!$B$4:$B$28,0))</f>
        <v>32</v>
      </c>
      <c r="R1434" s="2">
        <f>INDEX(Tables!$D$4:$D$28,MATCH($P1434,Tables!$B$4:$B$28,0))</f>
        <v>4</v>
      </c>
      <c r="S1434" s="2">
        <f>$S1433+$R1433+INDEX(Tables!$N$5:$Q$8,MATCH(MOD($S1433+$R1433,4),Tables!$M$5:$M$8,0),MATCH($R1434,Tables!$N$4:$Q$4,0))</f>
        <v>5548</v>
      </c>
      <c r="T1434" s="2" t="str">
        <f t="shared" si="348"/>
        <v>15AC</v>
      </c>
      <c r="U1434" s="2">
        <f t="shared" si="354"/>
        <v>1387</v>
      </c>
      <c r="V1434" s="2" t="str">
        <f t="shared" si="349"/>
        <v>56B</v>
      </c>
      <c r="W1434" s="2" t="str">
        <f t="shared" si="350"/>
        <v/>
      </c>
      <c r="X1434" s="2" t="str">
        <f t="shared" si="353"/>
        <v/>
      </c>
      <c r="Y1434" s="2" t="str">
        <f t="shared" si="351"/>
        <v/>
      </c>
      <c r="Z1434" s="2" t="str">
        <f t="shared" si="352"/>
        <v>X</v>
      </c>
      <c r="AA1434" s="2" t="str">
        <f t="shared" si="355"/>
        <v/>
      </c>
      <c r="AB1434" s="2" t="str">
        <f t="shared" si="356"/>
        <v/>
      </c>
      <c r="AC1434" s="2" t="str">
        <f t="shared" si="357"/>
        <v/>
      </c>
      <c r="AD1434" s="2" t="str">
        <f t="shared" si="358"/>
        <v>(0)</v>
      </c>
      <c r="AE1434" s="2" t="str">
        <f t="shared" si="359"/>
        <v/>
      </c>
      <c r="AF1434" s="2" t="str">
        <f t="shared" si="360"/>
        <v/>
      </c>
      <c r="AG1434" s="2" t="str">
        <f t="shared" si="361"/>
        <v/>
      </c>
      <c r="AH1434" s="2" t="str">
        <f t="shared" si="362"/>
        <v/>
      </c>
    </row>
    <row r="1435" spans="2:34" x14ac:dyDescent="0.25">
      <c r="B1435" s="2" t="s">
        <v>3783</v>
      </c>
      <c r="C1435" s="2" t="s">
        <v>563</v>
      </c>
      <c r="D1435" s="2" t="s">
        <v>0</v>
      </c>
      <c r="E1435" s="2" t="s">
        <v>130</v>
      </c>
      <c r="F1435" s="2" t="s">
        <v>3784</v>
      </c>
      <c r="G1435" s="2" t="s">
        <v>3785</v>
      </c>
      <c r="H1435" s="2" t="s">
        <v>564</v>
      </c>
      <c r="I1435" s="2" t="s">
        <v>41</v>
      </c>
      <c r="J1435" s="2">
        <v>1</v>
      </c>
      <c r="K1435" s="2" t="s">
        <v>81</v>
      </c>
      <c r="L1435" s="2" t="s">
        <v>40</v>
      </c>
      <c r="P1435" s="2" t="s">
        <v>4</v>
      </c>
      <c r="Q1435" s="2">
        <f>INDEX(Tables!$C$4:$C$28,MATCH($P1435,Tables!$B$4:$B$28,0))</f>
        <v>32</v>
      </c>
      <c r="R1435" s="2">
        <f>INDEX(Tables!$D$4:$D$28,MATCH($P1435,Tables!$B$4:$B$28,0))</f>
        <v>4</v>
      </c>
      <c r="S1435" s="2">
        <f>$S1434+$R1434+INDEX(Tables!$N$5:$Q$8,MATCH(MOD($S1434+$R1434,4),Tables!$M$5:$M$8,0),MATCH($R1435,Tables!$N$4:$Q$4,0))</f>
        <v>5552</v>
      </c>
      <c r="T1435" s="2" t="str">
        <f t="shared" si="348"/>
        <v>15B0</v>
      </c>
      <c r="U1435" s="2">
        <f t="shared" si="354"/>
        <v>1388</v>
      </c>
      <c r="V1435" s="2" t="str">
        <f t="shared" si="349"/>
        <v>56C</v>
      </c>
      <c r="W1435" s="2" t="str">
        <f t="shared" si="350"/>
        <v/>
      </c>
      <c r="X1435" s="2" t="str">
        <f t="shared" si="353"/>
        <v/>
      </c>
      <c r="Y1435" s="2" t="str">
        <f t="shared" si="351"/>
        <v/>
      </c>
      <c r="Z1435" s="2" t="str">
        <f t="shared" si="352"/>
        <v>X</v>
      </c>
      <c r="AA1435" s="2" t="str">
        <f t="shared" si="355"/>
        <v/>
      </c>
      <c r="AB1435" s="2" t="str">
        <f t="shared" si="356"/>
        <v/>
      </c>
      <c r="AC1435" s="2" t="str">
        <f t="shared" si="357"/>
        <v/>
      </c>
      <c r="AD1435" s="2" t="str">
        <f t="shared" si="358"/>
        <v>(0)</v>
      </c>
      <c r="AE1435" s="2" t="str">
        <f t="shared" si="359"/>
        <v/>
      </c>
      <c r="AF1435" s="2" t="str">
        <f t="shared" si="360"/>
        <v/>
      </c>
      <c r="AG1435" s="2" t="str">
        <f t="shared" si="361"/>
        <v/>
      </c>
      <c r="AH1435" s="2" t="str">
        <f t="shared" si="362"/>
        <v/>
      </c>
    </row>
    <row r="1436" spans="2:34" x14ac:dyDescent="0.25">
      <c r="B1436" s="2" t="s">
        <v>3783</v>
      </c>
      <c r="C1436" s="2" t="s">
        <v>565</v>
      </c>
      <c r="D1436" s="2" t="s">
        <v>0</v>
      </c>
      <c r="E1436" s="2" t="s">
        <v>130</v>
      </c>
      <c r="F1436" s="2" t="s">
        <v>3784</v>
      </c>
      <c r="G1436" s="2" t="s">
        <v>3785</v>
      </c>
      <c r="H1436" s="2" t="s">
        <v>566</v>
      </c>
      <c r="I1436" s="2" t="s">
        <v>41</v>
      </c>
      <c r="J1436" s="2">
        <v>1</v>
      </c>
      <c r="K1436" s="2" t="s">
        <v>81</v>
      </c>
      <c r="L1436" s="2" t="s">
        <v>40</v>
      </c>
      <c r="P1436" s="2" t="s">
        <v>4</v>
      </c>
      <c r="Q1436" s="2">
        <f>INDEX(Tables!$C$4:$C$28,MATCH($P1436,Tables!$B$4:$B$28,0))</f>
        <v>32</v>
      </c>
      <c r="R1436" s="2">
        <f>INDEX(Tables!$D$4:$D$28,MATCH($P1436,Tables!$B$4:$B$28,0))</f>
        <v>4</v>
      </c>
      <c r="S1436" s="2">
        <f>$S1435+$R1435+INDEX(Tables!$N$5:$Q$8,MATCH(MOD($S1435+$R1435,4),Tables!$M$5:$M$8,0),MATCH($R1436,Tables!$N$4:$Q$4,0))</f>
        <v>5556</v>
      </c>
      <c r="T1436" s="2" t="str">
        <f t="shared" si="348"/>
        <v>15B4</v>
      </c>
      <c r="U1436" s="2">
        <f t="shared" si="354"/>
        <v>1389</v>
      </c>
      <c r="V1436" s="2" t="str">
        <f t="shared" si="349"/>
        <v>56D</v>
      </c>
      <c r="W1436" s="2" t="str">
        <f t="shared" si="350"/>
        <v/>
      </c>
      <c r="X1436" s="2" t="str">
        <f t="shared" si="353"/>
        <v/>
      </c>
      <c r="Y1436" s="2" t="str">
        <f t="shared" si="351"/>
        <v/>
      </c>
      <c r="Z1436" s="2" t="str">
        <f t="shared" si="352"/>
        <v>X</v>
      </c>
      <c r="AA1436" s="2" t="str">
        <f t="shared" si="355"/>
        <v/>
      </c>
      <c r="AB1436" s="2" t="str">
        <f t="shared" si="356"/>
        <v/>
      </c>
      <c r="AC1436" s="2" t="str">
        <f t="shared" si="357"/>
        <v/>
      </c>
      <c r="AD1436" s="2" t="str">
        <f t="shared" si="358"/>
        <v>(0)</v>
      </c>
      <c r="AE1436" s="2" t="str">
        <f t="shared" si="359"/>
        <v/>
      </c>
      <c r="AF1436" s="2" t="str">
        <f t="shared" si="360"/>
        <v/>
      </c>
      <c r="AG1436" s="2" t="str">
        <f t="shared" si="361"/>
        <v/>
      </c>
      <c r="AH1436" s="2" t="str">
        <f t="shared" si="362"/>
        <v/>
      </c>
    </row>
    <row r="1437" spans="2:34" x14ac:dyDescent="0.25">
      <c r="B1437" s="2" t="s">
        <v>3786</v>
      </c>
      <c r="C1437" s="2" t="s">
        <v>568</v>
      </c>
      <c r="D1437" s="2" t="s">
        <v>0</v>
      </c>
      <c r="E1437" s="2" t="s">
        <v>130</v>
      </c>
      <c r="F1437" s="2" t="s">
        <v>3787</v>
      </c>
      <c r="G1437" s="2" t="s">
        <v>3788</v>
      </c>
      <c r="H1437" s="2" t="s">
        <v>571</v>
      </c>
      <c r="I1437" s="2" t="s">
        <v>41</v>
      </c>
      <c r="J1437" s="2">
        <v>1</v>
      </c>
      <c r="K1437" s="2" t="s">
        <v>81</v>
      </c>
      <c r="L1437" s="2" t="s">
        <v>40</v>
      </c>
      <c r="P1437" s="2" t="s">
        <v>4</v>
      </c>
      <c r="Q1437" s="2">
        <f>INDEX(Tables!$C$4:$C$28,MATCH($P1437,Tables!$B$4:$B$28,0))</f>
        <v>32</v>
      </c>
      <c r="R1437" s="2">
        <f>INDEX(Tables!$D$4:$D$28,MATCH($P1437,Tables!$B$4:$B$28,0))</f>
        <v>4</v>
      </c>
      <c r="S1437" s="2">
        <f>$S1436+$R1436+INDEX(Tables!$N$5:$Q$8,MATCH(MOD($S1436+$R1436,4),Tables!$M$5:$M$8,0),MATCH($R1437,Tables!$N$4:$Q$4,0))</f>
        <v>5560</v>
      </c>
      <c r="T1437" s="2" t="str">
        <f t="shared" si="348"/>
        <v>15B8</v>
      </c>
      <c r="U1437" s="2">
        <f t="shared" si="354"/>
        <v>1390</v>
      </c>
      <c r="V1437" s="2" t="str">
        <f t="shared" si="349"/>
        <v>56E</v>
      </c>
      <c r="W1437" s="2" t="str">
        <f t="shared" si="350"/>
        <v/>
      </c>
      <c r="X1437" s="2" t="str">
        <f t="shared" si="353"/>
        <v/>
      </c>
      <c r="Y1437" s="2" t="str">
        <f t="shared" si="351"/>
        <v/>
      </c>
      <c r="Z1437" s="2" t="str">
        <f t="shared" si="352"/>
        <v>X</v>
      </c>
      <c r="AA1437" s="2" t="str">
        <f t="shared" si="355"/>
        <v/>
      </c>
      <c r="AB1437" s="2" t="str">
        <f t="shared" si="356"/>
        <v/>
      </c>
      <c r="AC1437" s="2" t="str">
        <f t="shared" si="357"/>
        <v/>
      </c>
      <c r="AD1437" s="2" t="str">
        <f t="shared" si="358"/>
        <v>(0)</v>
      </c>
      <c r="AE1437" s="2" t="str">
        <f t="shared" si="359"/>
        <v/>
      </c>
      <c r="AF1437" s="2" t="str">
        <f t="shared" si="360"/>
        <v/>
      </c>
      <c r="AG1437" s="2" t="str">
        <f t="shared" si="361"/>
        <v/>
      </c>
      <c r="AH1437" s="2" t="str">
        <f t="shared" si="362"/>
        <v/>
      </c>
    </row>
    <row r="1438" spans="2:34" x14ac:dyDescent="0.25">
      <c r="B1438" s="2" t="s">
        <v>3786</v>
      </c>
      <c r="C1438" s="2" t="s">
        <v>572</v>
      </c>
      <c r="D1438" s="2" t="s">
        <v>0</v>
      </c>
      <c r="E1438" s="2" t="s">
        <v>130</v>
      </c>
      <c r="F1438" s="2" t="s">
        <v>3787</v>
      </c>
      <c r="G1438" s="2" t="s">
        <v>3788</v>
      </c>
      <c r="H1438" s="2" t="s">
        <v>573</v>
      </c>
      <c r="I1438" s="2" t="s">
        <v>41</v>
      </c>
      <c r="J1438" s="2">
        <v>1</v>
      </c>
      <c r="K1438" s="2" t="s">
        <v>81</v>
      </c>
      <c r="L1438" s="2" t="s">
        <v>40</v>
      </c>
      <c r="P1438" s="2" t="s">
        <v>4</v>
      </c>
      <c r="Q1438" s="2">
        <f>INDEX(Tables!$C$4:$C$28,MATCH($P1438,Tables!$B$4:$B$28,0))</f>
        <v>32</v>
      </c>
      <c r="R1438" s="2">
        <f>INDEX(Tables!$D$4:$D$28,MATCH($P1438,Tables!$B$4:$B$28,0))</f>
        <v>4</v>
      </c>
      <c r="S1438" s="2">
        <f>$S1437+$R1437+INDEX(Tables!$N$5:$Q$8,MATCH(MOD($S1437+$R1437,4),Tables!$M$5:$M$8,0),MATCH($R1438,Tables!$N$4:$Q$4,0))</f>
        <v>5564</v>
      </c>
      <c r="T1438" s="2" t="str">
        <f t="shared" si="348"/>
        <v>15BC</v>
      </c>
      <c r="U1438" s="2">
        <f t="shared" si="354"/>
        <v>1391</v>
      </c>
      <c r="V1438" s="2" t="str">
        <f t="shared" si="349"/>
        <v>56F</v>
      </c>
      <c r="W1438" s="2" t="str">
        <f t="shared" si="350"/>
        <v/>
      </c>
      <c r="X1438" s="2" t="str">
        <f t="shared" si="353"/>
        <v/>
      </c>
      <c r="Y1438" s="2" t="str">
        <f t="shared" si="351"/>
        <v/>
      </c>
      <c r="Z1438" s="2" t="str">
        <f t="shared" si="352"/>
        <v>X</v>
      </c>
      <c r="AA1438" s="2" t="str">
        <f t="shared" si="355"/>
        <v/>
      </c>
      <c r="AB1438" s="2" t="str">
        <f t="shared" si="356"/>
        <v/>
      </c>
      <c r="AC1438" s="2" t="str">
        <f t="shared" si="357"/>
        <v/>
      </c>
      <c r="AD1438" s="2" t="str">
        <f t="shared" si="358"/>
        <v>(0)</v>
      </c>
      <c r="AE1438" s="2" t="str">
        <f t="shared" si="359"/>
        <v/>
      </c>
      <c r="AF1438" s="2" t="str">
        <f t="shared" si="360"/>
        <v/>
      </c>
      <c r="AG1438" s="2" t="str">
        <f t="shared" si="361"/>
        <v/>
      </c>
      <c r="AH1438" s="2" t="str">
        <f t="shared" si="362"/>
        <v/>
      </c>
    </row>
    <row r="1439" spans="2:34" x14ac:dyDescent="0.25">
      <c r="B1439" s="2" t="s">
        <v>3786</v>
      </c>
      <c r="C1439" s="2" t="s">
        <v>574</v>
      </c>
      <c r="D1439" s="2" t="s">
        <v>0</v>
      </c>
      <c r="E1439" s="2" t="s">
        <v>130</v>
      </c>
      <c r="F1439" s="2" t="s">
        <v>3787</v>
      </c>
      <c r="G1439" s="2" t="s">
        <v>3788</v>
      </c>
      <c r="H1439" s="2" t="s">
        <v>575</v>
      </c>
      <c r="I1439" s="2" t="s">
        <v>41</v>
      </c>
      <c r="J1439" s="2">
        <v>1</v>
      </c>
      <c r="K1439" s="2" t="s">
        <v>81</v>
      </c>
      <c r="L1439" s="2" t="s">
        <v>40</v>
      </c>
      <c r="P1439" s="2" t="s">
        <v>4</v>
      </c>
      <c r="Q1439" s="2">
        <f>INDEX(Tables!$C$4:$C$28,MATCH($P1439,Tables!$B$4:$B$28,0))</f>
        <v>32</v>
      </c>
      <c r="R1439" s="2">
        <f>INDEX(Tables!$D$4:$D$28,MATCH($P1439,Tables!$B$4:$B$28,0))</f>
        <v>4</v>
      </c>
      <c r="S1439" s="2">
        <f>$S1438+$R1438+INDEX(Tables!$N$5:$Q$8,MATCH(MOD($S1438+$R1438,4),Tables!$M$5:$M$8,0),MATCH($R1439,Tables!$N$4:$Q$4,0))</f>
        <v>5568</v>
      </c>
      <c r="T1439" s="2" t="str">
        <f t="shared" si="348"/>
        <v>15C0</v>
      </c>
      <c r="U1439" s="2">
        <f t="shared" si="354"/>
        <v>1392</v>
      </c>
      <c r="V1439" s="2" t="str">
        <f t="shared" si="349"/>
        <v>570</v>
      </c>
      <c r="W1439" s="2" t="str">
        <f t="shared" si="350"/>
        <v/>
      </c>
      <c r="X1439" s="2" t="str">
        <f t="shared" si="353"/>
        <v/>
      </c>
      <c r="Y1439" s="2" t="str">
        <f t="shared" si="351"/>
        <v/>
      </c>
      <c r="Z1439" s="2" t="str">
        <f t="shared" si="352"/>
        <v>X</v>
      </c>
      <c r="AA1439" s="2" t="str">
        <f t="shared" si="355"/>
        <v/>
      </c>
      <c r="AB1439" s="2" t="str">
        <f t="shared" si="356"/>
        <v/>
      </c>
      <c r="AC1439" s="2" t="str">
        <f t="shared" si="357"/>
        <v/>
      </c>
      <c r="AD1439" s="2" t="str">
        <f t="shared" si="358"/>
        <v>(0)</v>
      </c>
      <c r="AE1439" s="2" t="str">
        <f t="shared" si="359"/>
        <v/>
      </c>
      <c r="AF1439" s="2" t="str">
        <f t="shared" si="360"/>
        <v/>
      </c>
      <c r="AG1439" s="2" t="str">
        <f t="shared" si="361"/>
        <v/>
      </c>
      <c r="AH1439" s="2" t="str">
        <f t="shared" si="362"/>
        <v/>
      </c>
    </row>
    <row r="1440" spans="2:34" x14ac:dyDescent="0.25">
      <c r="B1440" s="2" t="s">
        <v>3786</v>
      </c>
      <c r="C1440" s="2" t="s">
        <v>576</v>
      </c>
      <c r="D1440" s="2" t="s">
        <v>0</v>
      </c>
      <c r="E1440" s="2" t="s">
        <v>130</v>
      </c>
      <c r="F1440" s="2" t="s">
        <v>3787</v>
      </c>
      <c r="G1440" s="2" t="s">
        <v>3788</v>
      </c>
      <c r="H1440" s="2" t="s">
        <v>577</v>
      </c>
      <c r="I1440" s="2" t="s">
        <v>41</v>
      </c>
      <c r="J1440" s="2">
        <v>1</v>
      </c>
      <c r="K1440" s="2" t="s">
        <v>81</v>
      </c>
      <c r="L1440" s="2" t="s">
        <v>40</v>
      </c>
      <c r="P1440" s="2" t="s">
        <v>4</v>
      </c>
      <c r="Q1440" s="2">
        <f>INDEX(Tables!$C$4:$C$28,MATCH($P1440,Tables!$B$4:$B$28,0))</f>
        <v>32</v>
      </c>
      <c r="R1440" s="2">
        <f>INDEX(Tables!$D$4:$D$28,MATCH($P1440,Tables!$B$4:$B$28,0))</f>
        <v>4</v>
      </c>
      <c r="S1440" s="2">
        <f>$S1439+$R1439+INDEX(Tables!$N$5:$Q$8,MATCH(MOD($S1439+$R1439,4),Tables!$M$5:$M$8,0),MATCH($R1440,Tables!$N$4:$Q$4,0))</f>
        <v>5572</v>
      </c>
      <c r="T1440" s="2" t="str">
        <f t="shared" si="348"/>
        <v>15C4</v>
      </c>
      <c r="U1440" s="2">
        <f t="shared" si="354"/>
        <v>1393</v>
      </c>
      <c r="V1440" s="2" t="str">
        <f t="shared" si="349"/>
        <v>571</v>
      </c>
      <c r="W1440" s="2" t="str">
        <f t="shared" si="350"/>
        <v/>
      </c>
      <c r="X1440" s="2" t="str">
        <f t="shared" si="353"/>
        <v/>
      </c>
      <c r="Y1440" s="2" t="str">
        <f t="shared" si="351"/>
        <v/>
      </c>
      <c r="Z1440" s="2" t="str">
        <f t="shared" si="352"/>
        <v>X</v>
      </c>
      <c r="AA1440" s="2" t="str">
        <f t="shared" si="355"/>
        <v/>
      </c>
      <c r="AB1440" s="2" t="str">
        <f t="shared" si="356"/>
        <v/>
      </c>
      <c r="AC1440" s="2" t="str">
        <f t="shared" si="357"/>
        <v/>
      </c>
      <c r="AD1440" s="2" t="str">
        <f t="shared" si="358"/>
        <v>(0)</v>
      </c>
      <c r="AE1440" s="2" t="str">
        <f t="shared" si="359"/>
        <v/>
      </c>
      <c r="AF1440" s="2" t="str">
        <f t="shared" si="360"/>
        <v/>
      </c>
      <c r="AG1440" s="2" t="str">
        <f t="shared" si="361"/>
        <v/>
      </c>
      <c r="AH1440" s="2" t="str">
        <f t="shared" si="362"/>
        <v/>
      </c>
    </row>
    <row r="1441" spans="2:34" x14ac:dyDescent="0.25">
      <c r="B1441" s="2" t="s">
        <v>3786</v>
      </c>
      <c r="C1441" s="2" t="s">
        <v>578</v>
      </c>
      <c r="D1441" s="2" t="s">
        <v>0</v>
      </c>
      <c r="E1441" s="2" t="s">
        <v>130</v>
      </c>
      <c r="F1441" s="2" t="s">
        <v>3787</v>
      </c>
      <c r="G1441" s="2" t="s">
        <v>3788</v>
      </c>
      <c r="H1441" s="2" t="s">
        <v>579</v>
      </c>
      <c r="I1441" s="2" t="s">
        <v>41</v>
      </c>
      <c r="J1441" s="2">
        <v>1</v>
      </c>
      <c r="K1441" s="2" t="s">
        <v>81</v>
      </c>
      <c r="L1441" s="2" t="s">
        <v>40</v>
      </c>
      <c r="P1441" s="2" t="s">
        <v>4</v>
      </c>
      <c r="Q1441" s="2">
        <f>INDEX(Tables!$C$4:$C$28,MATCH($P1441,Tables!$B$4:$B$28,0))</f>
        <v>32</v>
      </c>
      <c r="R1441" s="2">
        <f>INDEX(Tables!$D$4:$D$28,MATCH($P1441,Tables!$B$4:$B$28,0))</f>
        <v>4</v>
      </c>
      <c r="S1441" s="2">
        <f>$S1440+$R1440+INDEX(Tables!$N$5:$Q$8,MATCH(MOD($S1440+$R1440,4),Tables!$M$5:$M$8,0),MATCH($R1441,Tables!$N$4:$Q$4,0))</f>
        <v>5576</v>
      </c>
      <c r="T1441" s="2" t="str">
        <f t="shared" si="348"/>
        <v>15C8</v>
      </c>
      <c r="U1441" s="2">
        <f t="shared" si="354"/>
        <v>1394</v>
      </c>
      <c r="V1441" s="2" t="str">
        <f t="shared" si="349"/>
        <v>572</v>
      </c>
      <c r="W1441" s="2" t="str">
        <f t="shared" si="350"/>
        <v/>
      </c>
      <c r="X1441" s="2" t="str">
        <f t="shared" si="353"/>
        <v/>
      </c>
      <c r="Y1441" s="2" t="str">
        <f t="shared" si="351"/>
        <v/>
      </c>
      <c r="Z1441" s="2" t="str">
        <f t="shared" si="352"/>
        <v>X</v>
      </c>
      <c r="AA1441" s="2" t="str">
        <f t="shared" si="355"/>
        <v/>
      </c>
      <c r="AB1441" s="2" t="str">
        <f t="shared" si="356"/>
        <v/>
      </c>
      <c r="AC1441" s="2" t="str">
        <f t="shared" si="357"/>
        <v/>
      </c>
      <c r="AD1441" s="2" t="str">
        <f t="shared" si="358"/>
        <v>(0)</v>
      </c>
      <c r="AE1441" s="2" t="str">
        <f t="shared" si="359"/>
        <v/>
      </c>
      <c r="AF1441" s="2" t="str">
        <f t="shared" si="360"/>
        <v/>
      </c>
      <c r="AG1441" s="2" t="str">
        <f t="shared" si="361"/>
        <v/>
      </c>
      <c r="AH1441" s="2" t="str">
        <f t="shared" si="362"/>
        <v/>
      </c>
    </row>
    <row r="1442" spans="2:34" x14ac:dyDescent="0.25">
      <c r="B1442" s="2" t="s">
        <v>3786</v>
      </c>
      <c r="C1442" s="2" t="s">
        <v>580</v>
      </c>
      <c r="D1442" s="2" t="s">
        <v>0</v>
      </c>
      <c r="E1442" s="2" t="s">
        <v>130</v>
      </c>
      <c r="F1442" s="2" t="s">
        <v>3787</v>
      </c>
      <c r="G1442" s="2" t="s">
        <v>3788</v>
      </c>
      <c r="H1442" s="2" t="s">
        <v>581</v>
      </c>
      <c r="I1442" s="2" t="s">
        <v>41</v>
      </c>
      <c r="J1442" s="2">
        <v>1</v>
      </c>
      <c r="K1442" s="2" t="s">
        <v>81</v>
      </c>
      <c r="L1442" s="2" t="s">
        <v>40</v>
      </c>
      <c r="P1442" s="2" t="s">
        <v>4</v>
      </c>
      <c r="Q1442" s="2">
        <f>INDEX(Tables!$C$4:$C$28,MATCH($P1442,Tables!$B$4:$B$28,0))</f>
        <v>32</v>
      </c>
      <c r="R1442" s="2">
        <f>INDEX(Tables!$D$4:$D$28,MATCH($P1442,Tables!$B$4:$B$28,0))</f>
        <v>4</v>
      </c>
      <c r="S1442" s="2">
        <f>$S1441+$R1441+INDEX(Tables!$N$5:$Q$8,MATCH(MOD($S1441+$R1441,4),Tables!$M$5:$M$8,0),MATCH($R1442,Tables!$N$4:$Q$4,0))</f>
        <v>5580</v>
      </c>
      <c r="T1442" s="2" t="str">
        <f t="shared" si="348"/>
        <v>15CC</v>
      </c>
      <c r="U1442" s="2">
        <f t="shared" si="354"/>
        <v>1395</v>
      </c>
      <c r="V1442" s="2" t="str">
        <f t="shared" si="349"/>
        <v>573</v>
      </c>
      <c r="W1442" s="2" t="str">
        <f t="shared" si="350"/>
        <v/>
      </c>
      <c r="X1442" s="2" t="str">
        <f t="shared" si="353"/>
        <v/>
      </c>
      <c r="Y1442" s="2" t="str">
        <f t="shared" si="351"/>
        <v/>
      </c>
      <c r="Z1442" s="2" t="str">
        <f t="shared" si="352"/>
        <v>X</v>
      </c>
      <c r="AA1442" s="2" t="str">
        <f t="shared" si="355"/>
        <v/>
      </c>
      <c r="AB1442" s="2" t="str">
        <f t="shared" si="356"/>
        <v/>
      </c>
      <c r="AC1442" s="2" t="str">
        <f t="shared" si="357"/>
        <v/>
      </c>
      <c r="AD1442" s="2" t="str">
        <f t="shared" si="358"/>
        <v>(0)</v>
      </c>
      <c r="AE1442" s="2" t="str">
        <f t="shared" si="359"/>
        <v/>
      </c>
      <c r="AF1442" s="2" t="str">
        <f t="shared" si="360"/>
        <v/>
      </c>
      <c r="AG1442" s="2" t="str">
        <f t="shared" si="361"/>
        <v/>
      </c>
      <c r="AH1442" s="2" t="str">
        <f t="shared" si="362"/>
        <v/>
      </c>
    </row>
    <row r="1443" spans="2:34" x14ac:dyDescent="0.25">
      <c r="B1443" s="2" t="s">
        <v>3786</v>
      </c>
      <c r="C1443" s="2" t="s">
        <v>582</v>
      </c>
      <c r="D1443" s="2" t="s">
        <v>0</v>
      </c>
      <c r="E1443" s="2" t="s">
        <v>130</v>
      </c>
      <c r="F1443" s="2" t="s">
        <v>3787</v>
      </c>
      <c r="G1443" s="2" t="s">
        <v>3788</v>
      </c>
      <c r="H1443" s="2" t="s">
        <v>583</v>
      </c>
      <c r="I1443" s="2" t="s">
        <v>41</v>
      </c>
      <c r="J1443" s="2">
        <v>1</v>
      </c>
      <c r="K1443" s="2" t="s">
        <v>81</v>
      </c>
      <c r="L1443" s="2" t="s">
        <v>40</v>
      </c>
      <c r="P1443" s="2" t="s">
        <v>4</v>
      </c>
      <c r="Q1443" s="2">
        <f>INDEX(Tables!$C$4:$C$28,MATCH($P1443,Tables!$B$4:$B$28,0))</f>
        <v>32</v>
      </c>
      <c r="R1443" s="2">
        <f>INDEX(Tables!$D$4:$D$28,MATCH($P1443,Tables!$B$4:$B$28,0))</f>
        <v>4</v>
      </c>
      <c r="S1443" s="2">
        <f>$S1442+$R1442+INDEX(Tables!$N$5:$Q$8,MATCH(MOD($S1442+$R1442,4),Tables!$M$5:$M$8,0),MATCH($R1443,Tables!$N$4:$Q$4,0))</f>
        <v>5584</v>
      </c>
      <c r="T1443" s="2" t="str">
        <f t="shared" si="348"/>
        <v>15D0</v>
      </c>
      <c r="U1443" s="2">
        <f t="shared" si="354"/>
        <v>1396</v>
      </c>
      <c r="V1443" s="2" t="str">
        <f t="shared" si="349"/>
        <v>574</v>
      </c>
      <c r="W1443" s="2" t="str">
        <f t="shared" si="350"/>
        <v/>
      </c>
      <c r="X1443" s="2" t="str">
        <f t="shared" si="353"/>
        <v/>
      </c>
      <c r="Y1443" s="2" t="str">
        <f t="shared" si="351"/>
        <v/>
      </c>
      <c r="Z1443" s="2" t="str">
        <f t="shared" si="352"/>
        <v>X</v>
      </c>
      <c r="AA1443" s="2" t="str">
        <f t="shared" si="355"/>
        <v/>
      </c>
      <c r="AB1443" s="2" t="str">
        <f t="shared" si="356"/>
        <v/>
      </c>
      <c r="AC1443" s="2" t="str">
        <f t="shared" si="357"/>
        <v/>
      </c>
      <c r="AD1443" s="2" t="str">
        <f t="shared" si="358"/>
        <v>(0)</v>
      </c>
      <c r="AE1443" s="2" t="str">
        <f t="shared" si="359"/>
        <v/>
      </c>
      <c r="AF1443" s="2" t="str">
        <f t="shared" si="360"/>
        <v/>
      </c>
      <c r="AG1443" s="2" t="str">
        <f t="shared" si="361"/>
        <v/>
      </c>
      <c r="AH1443" s="2" t="str">
        <f t="shared" si="362"/>
        <v/>
      </c>
    </row>
    <row r="1444" spans="2:34" x14ac:dyDescent="0.25">
      <c r="B1444" s="2" t="s">
        <v>3786</v>
      </c>
      <c r="C1444" s="2" t="s">
        <v>584</v>
      </c>
      <c r="D1444" s="2" t="s">
        <v>0</v>
      </c>
      <c r="E1444" s="2" t="s">
        <v>130</v>
      </c>
      <c r="F1444" s="2" t="s">
        <v>3787</v>
      </c>
      <c r="G1444" s="2" t="s">
        <v>3788</v>
      </c>
      <c r="H1444" s="2" t="s">
        <v>585</v>
      </c>
      <c r="I1444" s="2" t="s">
        <v>41</v>
      </c>
      <c r="J1444" s="2">
        <v>1</v>
      </c>
      <c r="K1444" s="2" t="s">
        <v>81</v>
      </c>
      <c r="L1444" s="2" t="s">
        <v>40</v>
      </c>
      <c r="P1444" s="2" t="s">
        <v>4</v>
      </c>
      <c r="Q1444" s="2">
        <f>INDEX(Tables!$C$4:$C$28,MATCH($P1444,Tables!$B$4:$B$28,0))</f>
        <v>32</v>
      </c>
      <c r="R1444" s="2">
        <f>INDEX(Tables!$D$4:$D$28,MATCH($P1444,Tables!$B$4:$B$28,0))</f>
        <v>4</v>
      </c>
      <c r="S1444" s="2">
        <f>$S1443+$R1443+INDEX(Tables!$N$5:$Q$8,MATCH(MOD($S1443+$R1443,4),Tables!$M$5:$M$8,0),MATCH($R1444,Tables!$N$4:$Q$4,0))</f>
        <v>5588</v>
      </c>
      <c r="T1444" s="2" t="str">
        <f t="shared" si="348"/>
        <v>15D4</v>
      </c>
      <c r="U1444" s="2">
        <f t="shared" si="354"/>
        <v>1397</v>
      </c>
      <c r="V1444" s="2" t="str">
        <f t="shared" si="349"/>
        <v>575</v>
      </c>
      <c r="W1444" s="2" t="str">
        <f t="shared" si="350"/>
        <v/>
      </c>
      <c r="X1444" s="2" t="str">
        <f t="shared" si="353"/>
        <v/>
      </c>
      <c r="Y1444" s="2" t="str">
        <f t="shared" si="351"/>
        <v/>
      </c>
      <c r="Z1444" s="2" t="str">
        <f t="shared" si="352"/>
        <v>X</v>
      </c>
      <c r="AA1444" s="2" t="str">
        <f t="shared" si="355"/>
        <v/>
      </c>
      <c r="AB1444" s="2" t="str">
        <f t="shared" si="356"/>
        <v/>
      </c>
      <c r="AC1444" s="2" t="str">
        <f t="shared" si="357"/>
        <v/>
      </c>
      <c r="AD1444" s="2" t="str">
        <f t="shared" si="358"/>
        <v>(0)</v>
      </c>
      <c r="AE1444" s="2" t="str">
        <f t="shared" si="359"/>
        <v/>
      </c>
      <c r="AF1444" s="2" t="str">
        <f t="shared" si="360"/>
        <v/>
      </c>
      <c r="AG1444" s="2" t="str">
        <f t="shared" si="361"/>
        <v/>
      </c>
      <c r="AH1444" s="2" t="str">
        <f t="shared" si="362"/>
        <v/>
      </c>
    </row>
    <row r="1445" spans="2:34" x14ac:dyDescent="0.25">
      <c r="B1445" s="2" t="s">
        <v>3789</v>
      </c>
      <c r="C1445" s="2" t="s">
        <v>478</v>
      </c>
      <c r="D1445" s="2" t="s">
        <v>0</v>
      </c>
      <c r="E1445" s="2" t="s">
        <v>130</v>
      </c>
      <c r="F1445" s="2" t="s">
        <v>3790</v>
      </c>
      <c r="G1445" s="2" t="s">
        <v>3791</v>
      </c>
      <c r="H1445" s="2" t="s">
        <v>479</v>
      </c>
      <c r="I1445" s="2" t="s">
        <v>41</v>
      </c>
      <c r="J1445" s="2">
        <v>1</v>
      </c>
      <c r="K1445" s="2" t="s">
        <v>81</v>
      </c>
      <c r="L1445" s="2" t="s">
        <v>40</v>
      </c>
      <c r="P1445" s="2" t="s">
        <v>4</v>
      </c>
      <c r="Q1445" s="2">
        <f>INDEX(Tables!$C$4:$C$28,MATCH($P1445,Tables!$B$4:$B$28,0))</f>
        <v>32</v>
      </c>
      <c r="R1445" s="2">
        <f>INDEX(Tables!$D$4:$D$28,MATCH($P1445,Tables!$B$4:$B$28,0))</f>
        <v>4</v>
      </c>
      <c r="S1445" s="2">
        <f>$S1444+$R1444+INDEX(Tables!$N$5:$Q$8,MATCH(MOD($S1444+$R1444,4),Tables!$M$5:$M$8,0),MATCH($R1445,Tables!$N$4:$Q$4,0))</f>
        <v>5592</v>
      </c>
      <c r="T1445" s="2" t="str">
        <f t="shared" si="348"/>
        <v>15D8</v>
      </c>
      <c r="U1445" s="2">
        <f t="shared" si="354"/>
        <v>1398</v>
      </c>
      <c r="V1445" s="2" t="str">
        <f t="shared" si="349"/>
        <v>576</v>
      </c>
      <c r="W1445" s="2" t="str">
        <f t="shared" si="350"/>
        <v/>
      </c>
      <c r="X1445" s="2" t="str">
        <f t="shared" si="353"/>
        <v/>
      </c>
      <c r="Y1445" s="2" t="str">
        <f t="shared" si="351"/>
        <v/>
      </c>
      <c r="Z1445" s="2" t="str">
        <f t="shared" si="352"/>
        <v>X</v>
      </c>
      <c r="AA1445" s="2" t="str">
        <f t="shared" si="355"/>
        <v/>
      </c>
      <c r="AB1445" s="2" t="str">
        <f t="shared" si="356"/>
        <v/>
      </c>
      <c r="AC1445" s="2" t="str">
        <f t="shared" si="357"/>
        <v/>
      </c>
      <c r="AD1445" s="2" t="str">
        <f t="shared" si="358"/>
        <v>(0)</v>
      </c>
      <c r="AE1445" s="2" t="str">
        <f t="shared" si="359"/>
        <v/>
      </c>
      <c r="AF1445" s="2" t="str">
        <f t="shared" si="360"/>
        <v/>
      </c>
      <c r="AG1445" s="2" t="str">
        <f t="shared" si="361"/>
        <v/>
      </c>
      <c r="AH1445" s="2" t="str">
        <f t="shared" si="362"/>
        <v/>
      </c>
    </row>
    <row r="1446" spans="2:34" x14ac:dyDescent="0.25">
      <c r="B1446" s="2" t="s">
        <v>3789</v>
      </c>
      <c r="C1446" s="2" t="s">
        <v>480</v>
      </c>
      <c r="D1446" s="2" t="s">
        <v>0</v>
      </c>
      <c r="E1446" s="2" t="s">
        <v>130</v>
      </c>
      <c r="F1446" s="2" t="s">
        <v>3790</v>
      </c>
      <c r="G1446" s="2" t="s">
        <v>3791</v>
      </c>
      <c r="H1446" s="2" t="s">
        <v>481</v>
      </c>
      <c r="I1446" s="2" t="s">
        <v>41</v>
      </c>
      <c r="J1446" s="2">
        <v>1</v>
      </c>
      <c r="K1446" s="2" t="s">
        <v>81</v>
      </c>
      <c r="L1446" s="2" t="s">
        <v>40</v>
      </c>
      <c r="P1446" s="2" t="s">
        <v>4</v>
      </c>
      <c r="Q1446" s="2">
        <f>INDEX(Tables!$C$4:$C$28,MATCH($P1446,Tables!$B$4:$B$28,0))</f>
        <v>32</v>
      </c>
      <c r="R1446" s="2">
        <f>INDEX(Tables!$D$4:$D$28,MATCH($P1446,Tables!$B$4:$B$28,0))</f>
        <v>4</v>
      </c>
      <c r="S1446" s="2">
        <f>$S1445+$R1445+INDEX(Tables!$N$5:$Q$8,MATCH(MOD($S1445+$R1445,4),Tables!$M$5:$M$8,0),MATCH($R1446,Tables!$N$4:$Q$4,0))</f>
        <v>5596</v>
      </c>
      <c r="T1446" s="2" t="str">
        <f t="shared" si="348"/>
        <v>15DC</v>
      </c>
      <c r="U1446" s="2">
        <f t="shared" si="354"/>
        <v>1399</v>
      </c>
      <c r="V1446" s="2" t="str">
        <f t="shared" si="349"/>
        <v>577</v>
      </c>
      <c r="W1446" s="2" t="str">
        <f t="shared" si="350"/>
        <v/>
      </c>
      <c r="X1446" s="2" t="str">
        <f t="shared" si="353"/>
        <v/>
      </c>
      <c r="Y1446" s="2" t="str">
        <f t="shared" si="351"/>
        <v/>
      </c>
      <c r="Z1446" s="2" t="str">
        <f t="shared" si="352"/>
        <v>X</v>
      </c>
      <c r="AA1446" s="2" t="str">
        <f t="shared" si="355"/>
        <v/>
      </c>
      <c r="AB1446" s="2" t="str">
        <f t="shared" si="356"/>
        <v/>
      </c>
      <c r="AC1446" s="2" t="str">
        <f t="shared" si="357"/>
        <v/>
      </c>
      <c r="AD1446" s="2" t="str">
        <f t="shared" si="358"/>
        <v>(0)</v>
      </c>
      <c r="AE1446" s="2" t="str">
        <f t="shared" si="359"/>
        <v/>
      </c>
      <c r="AF1446" s="2" t="str">
        <f t="shared" si="360"/>
        <v/>
      </c>
      <c r="AG1446" s="2" t="str">
        <f t="shared" si="361"/>
        <v/>
      </c>
      <c r="AH1446" s="2" t="str">
        <f t="shared" si="362"/>
        <v/>
      </c>
    </row>
    <row r="1447" spans="2:34" x14ac:dyDescent="0.25">
      <c r="B1447" s="2" t="s">
        <v>3789</v>
      </c>
      <c r="C1447" s="2" t="s">
        <v>482</v>
      </c>
      <c r="D1447" s="2" t="s">
        <v>0</v>
      </c>
      <c r="E1447" s="2" t="s">
        <v>130</v>
      </c>
      <c r="F1447" s="2" t="s">
        <v>3790</v>
      </c>
      <c r="G1447" s="2" t="s">
        <v>3791</v>
      </c>
      <c r="H1447" s="2" t="s">
        <v>483</v>
      </c>
      <c r="I1447" s="2" t="s">
        <v>41</v>
      </c>
      <c r="J1447" s="2">
        <v>1</v>
      </c>
      <c r="K1447" s="2" t="s">
        <v>81</v>
      </c>
      <c r="L1447" s="2" t="s">
        <v>40</v>
      </c>
      <c r="P1447" s="2" t="s">
        <v>4</v>
      </c>
      <c r="Q1447" s="2">
        <f>INDEX(Tables!$C$4:$C$28,MATCH($P1447,Tables!$B$4:$B$28,0))</f>
        <v>32</v>
      </c>
      <c r="R1447" s="2">
        <f>INDEX(Tables!$D$4:$D$28,MATCH($P1447,Tables!$B$4:$B$28,0))</f>
        <v>4</v>
      </c>
      <c r="S1447" s="2">
        <f>$S1446+$R1446+INDEX(Tables!$N$5:$Q$8,MATCH(MOD($S1446+$R1446,4),Tables!$M$5:$M$8,0),MATCH($R1447,Tables!$N$4:$Q$4,0))</f>
        <v>5600</v>
      </c>
      <c r="T1447" s="2" t="str">
        <f t="shared" si="348"/>
        <v>15E0</v>
      </c>
      <c r="U1447" s="2">
        <f t="shared" si="354"/>
        <v>1400</v>
      </c>
      <c r="V1447" s="2" t="str">
        <f t="shared" si="349"/>
        <v>578</v>
      </c>
      <c r="W1447" s="2" t="str">
        <f t="shared" si="350"/>
        <v/>
      </c>
      <c r="X1447" s="2" t="str">
        <f t="shared" si="353"/>
        <v/>
      </c>
      <c r="Y1447" s="2" t="str">
        <f t="shared" si="351"/>
        <v/>
      </c>
      <c r="Z1447" s="2" t="str">
        <f t="shared" si="352"/>
        <v>X</v>
      </c>
      <c r="AA1447" s="2" t="str">
        <f t="shared" si="355"/>
        <v/>
      </c>
      <c r="AB1447" s="2" t="str">
        <f t="shared" si="356"/>
        <v/>
      </c>
      <c r="AC1447" s="2" t="str">
        <f t="shared" si="357"/>
        <v/>
      </c>
      <c r="AD1447" s="2" t="str">
        <f t="shared" si="358"/>
        <v>(0)</v>
      </c>
      <c r="AE1447" s="2" t="str">
        <f t="shared" si="359"/>
        <v/>
      </c>
      <c r="AF1447" s="2" t="str">
        <f t="shared" si="360"/>
        <v/>
      </c>
      <c r="AG1447" s="2" t="str">
        <f t="shared" si="361"/>
        <v/>
      </c>
      <c r="AH1447" s="2" t="str">
        <f t="shared" si="362"/>
        <v/>
      </c>
    </row>
    <row r="1448" spans="2:34" x14ac:dyDescent="0.25">
      <c r="B1448" s="2" t="s">
        <v>3789</v>
      </c>
      <c r="C1448" s="2" t="s">
        <v>484</v>
      </c>
      <c r="D1448" s="2" t="s">
        <v>0</v>
      </c>
      <c r="E1448" s="2" t="s">
        <v>130</v>
      </c>
      <c r="F1448" s="2" t="s">
        <v>3790</v>
      </c>
      <c r="G1448" s="2" t="s">
        <v>3791</v>
      </c>
      <c r="H1448" s="2" t="s">
        <v>485</v>
      </c>
      <c r="I1448" s="2" t="s">
        <v>41</v>
      </c>
      <c r="J1448" s="2">
        <v>1</v>
      </c>
      <c r="K1448" s="2" t="s">
        <v>81</v>
      </c>
      <c r="L1448" s="2" t="s">
        <v>40</v>
      </c>
      <c r="P1448" s="2" t="s">
        <v>4</v>
      </c>
      <c r="Q1448" s="2">
        <f>INDEX(Tables!$C$4:$C$28,MATCH($P1448,Tables!$B$4:$B$28,0))</f>
        <v>32</v>
      </c>
      <c r="R1448" s="2">
        <f>INDEX(Tables!$D$4:$D$28,MATCH($P1448,Tables!$B$4:$B$28,0))</f>
        <v>4</v>
      </c>
      <c r="S1448" s="2">
        <f>$S1447+$R1447+INDEX(Tables!$N$5:$Q$8,MATCH(MOD($S1447+$R1447,4),Tables!$M$5:$M$8,0),MATCH($R1448,Tables!$N$4:$Q$4,0))</f>
        <v>5604</v>
      </c>
      <c r="T1448" s="2" t="str">
        <f t="shared" si="348"/>
        <v>15E4</v>
      </c>
      <c r="U1448" s="2">
        <f t="shared" si="354"/>
        <v>1401</v>
      </c>
      <c r="V1448" s="2" t="str">
        <f t="shared" si="349"/>
        <v>579</v>
      </c>
      <c r="W1448" s="2" t="str">
        <f t="shared" si="350"/>
        <v/>
      </c>
      <c r="X1448" s="2" t="str">
        <f t="shared" si="353"/>
        <v/>
      </c>
      <c r="Y1448" s="2" t="str">
        <f t="shared" si="351"/>
        <v/>
      </c>
      <c r="Z1448" s="2" t="str">
        <f t="shared" si="352"/>
        <v>X</v>
      </c>
      <c r="AA1448" s="2" t="str">
        <f t="shared" si="355"/>
        <v/>
      </c>
      <c r="AB1448" s="2" t="str">
        <f t="shared" si="356"/>
        <v/>
      </c>
      <c r="AC1448" s="2" t="str">
        <f t="shared" si="357"/>
        <v/>
      </c>
      <c r="AD1448" s="2" t="str">
        <f t="shared" si="358"/>
        <v>(0)</v>
      </c>
      <c r="AE1448" s="2" t="str">
        <f t="shared" si="359"/>
        <v/>
      </c>
      <c r="AF1448" s="2" t="str">
        <f t="shared" si="360"/>
        <v/>
      </c>
      <c r="AG1448" s="2" t="str">
        <f t="shared" si="361"/>
        <v/>
      </c>
      <c r="AH1448" s="2" t="str">
        <f t="shared" si="362"/>
        <v/>
      </c>
    </row>
    <row r="1449" spans="2:34" x14ac:dyDescent="0.25">
      <c r="B1449" s="2" t="s">
        <v>3789</v>
      </c>
      <c r="C1449" s="2" t="s">
        <v>486</v>
      </c>
      <c r="D1449" s="2" t="s">
        <v>0</v>
      </c>
      <c r="E1449" s="2" t="s">
        <v>130</v>
      </c>
      <c r="F1449" s="2" t="s">
        <v>3790</v>
      </c>
      <c r="G1449" s="2" t="s">
        <v>3791</v>
      </c>
      <c r="H1449" s="2" t="s">
        <v>487</v>
      </c>
      <c r="I1449" s="2" t="s">
        <v>41</v>
      </c>
      <c r="J1449" s="2">
        <v>1</v>
      </c>
      <c r="K1449" s="2" t="s">
        <v>81</v>
      </c>
      <c r="L1449" s="2" t="s">
        <v>40</v>
      </c>
      <c r="P1449" s="2" t="s">
        <v>4</v>
      </c>
      <c r="Q1449" s="2">
        <f>INDEX(Tables!$C$4:$C$28,MATCH($P1449,Tables!$B$4:$B$28,0))</f>
        <v>32</v>
      </c>
      <c r="R1449" s="2">
        <f>INDEX(Tables!$D$4:$D$28,MATCH($P1449,Tables!$B$4:$B$28,0))</f>
        <v>4</v>
      </c>
      <c r="S1449" s="2">
        <f>$S1448+$R1448+INDEX(Tables!$N$5:$Q$8,MATCH(MOD($S1448+$R1448,4),Tables!$M$5:$M$8,0),MATCH($R1449,Tables!$N$4:$Q$4,0))</f>
        <v>5608</v>
      </c>
      <c r="T1449" s="2" t="str">
        <f t="shared" si="348"/>
        <v>15E8</v>
      </c>
      <c r="U1449" s="2">
        <f t="shared" si="354"/>
        <v>1402</v>
      </c>
      <c r="V1449" s="2" t="str">
        <f t="shared" si="349"/>
        <v>57A</v>
      </c>
      <c r="W1449" s="2" t="str">
        <f t="shared" si="350"/>
        <v/>
      </c>
      <c r="X1449" s="2" t="str">
        <f t="shared" si="353"/>
        <v/>
      </c>
      <c r="Y1449" s="2" t="str">
        <f t="shared" si="351"/>
        <v/>
      </c>
      <c r="Z1449" s="2" t="str">
        <f t="shared" si="352"/>
        <v>X</v>
      </c>
      <c r="AA1449" s="2" t="str">
        <f t="shared" si="355"/>
        <v/>
      </c>
      <c r="AB1449" s="2" t="str">
        <f t="shared" si="356"/>
        <v/>
      </c>
      <c r="AC1449" s="2" t="str">
        <f t="shared" si="357"/>
        <v/>
      </c>
      <c r="AD1449" s="2" t="str">
        <f t="shared" si="358"/>
        <v>(0)</v>
      </c>
      <c r="AE1449" s="2" t="str">
        <f t="shared" si="359"/>
        <v/>
      </c>
      <c r="AF1449" s="2" t="str">
        <f t="shared" si="360"/>
        <v/>
      </c>
      <c r="AG1449" s="2" t="str">
        <f t="shared" si="361"/>
        <v/>
      </c>
      <c r="AH1449" s="2" t="str">
        <f t="shared" si="362"/>
        <v/>
      </c>
    </row>
    <row r="1450" spans="2:34" x14ac:dyDescent="0.25">
      <c r="B1450" s="2" t="s">
        <v>3789</v>
      </c>
      <c r="C1450" s="2" t="s">
        <v>488</v>
      </c>
      <c r="D1450" s="2" t="s">
        <v>0</v>
      </c>
      <c r="E1450" s="2" t="s">
        <v>130</v>
      </c>
      <c r="F1450" s="2" t="s">
        <v>3790</v>
      </c>
      <c r="G1450" s="2" t="s">
        <v>3791</v>
      </c>
      <c r="H1450" s="2" t="s">
        <v>489</v>
      </c>
      <c r="I1450" s="2" t="s">
        <v>41</v>
      </c>
      <c r="J1450" s="2">
        <v>1</v>
      </c>
      <c r="K1450" s="2" t="s">
        <v>81</v>
      </c>
      <c r="L1450" s="2" t="s">
        <v>40</v>
      </c>
      <c r="P1450" s="2" t="s">
        <v>4</v>
      </c>
      <c r="Q1450" s="2">
        <f>INDEX(Tables!$C$4:$C$28,MATCH($P1450,Tables!$B$4:$B$28,0))</f>
        <v>32</v>
      </c>
      <c r="R1450" s="2">
        <f>INDEX(Tables!$D$4:$D$28,MATCH($P1450,Tables!$B$4:$B$28,0))</f>
        <v>4</v>
      </c>
      <c r="S1450" s="2">
        <f>$S1449+$R1449+INDEX(Tables!$N$5:$Q$8,MATCH(MOD($S1449+$R1449,4),Tables!$M$5:$M$8,0),MATCH($R1450,Tables!$N$4:$Q$4,0))</f>
        <v>5612</v>
      </c>
      <c r="T1450" s="2" t="str">
        <f t="shared" si="348"/>
        <v>15EC</v>
      </c>
      <c r="U1450" s="2">
        <f t="shared" si="354"/>
        <v>1403</v>
      </c>
      <c r="V1450" s="2" t="str">
        <f t="shared" si="349"/>
        <v>57B</v>
      </c>
      <c r="W1450" s="2" t="str">
        <f t="shared" si="350"/>
        <v/>
      </c>
      <c r="X1450" s="2" t="str">
        <f t="shared" si="353"/>
        <v/>
      </c>
      <c r="Y1450" s="2" t="str">
        <f t="shared" si="351"/>
        <v/>
      </c>
      <c r="Z1450" s="2" t="str">
        <f t="shared" si="352"/>
        <v>X</v>
      </c>
      <c r="AA1450" s="2" t="str">
        <f t="shared" si="355"/>
        <v/>
      </c>
      <c r="AB1450" s="2" t="str">
        <f t="shared" si="356"/>
        <v/>
      </c>
      <c r="AC1450" s="2" t="str">
        <f t="shared" si="357"/>
        <v/>
      </c>
      <c r="AD1450" s="2" t="str">
        <f t="shared" si="358"/>
        <v>(0)</v>
      </c>
      <c r="AE1450" s="2" t="str">
        <f t="shared" si="359"/>
        <v/>
      </c>
      <c r="AF1450" s="2" t="str">
        <f t="shared" si="360"/>
        <v/>
      </c>
      <c r="AG1450" s="2" t="str">
        <f t="shared" si="361"/>
        <v/>
      </c>
      <c r="AH1450" s="2" t="str">
        <f t="shared" si="362"/>
        <v/>
      </c>
    </row>
    <row r="1451" spans="2:34" x14ac:dyDescent="0.25">
      <c r="B1451" s="2" t="s">
        <v>3789</v>
      </c>
      <c r="C1451" s="2" t="s">
        <v>490</v>
      </c>
      <c r="D1451" s="2" t="s">
        <v>0</v>
      </c>
      <c r="E1451" s="2" t="s">
        <v>130</v>
      </c>
      <c r="F1451" s="2" t="s">
        <v>3790</v>
      </c>
      <c r="G1451" s="2" t="s">
        <v>3791</v>
      </c>
      <c r="H1451" s="2" t="s">
        <v>491</v>
      </c>
      <c r="I1451" s="2" t="s">
        <v>41</v>
      </c>
      <c r="J1451" s="2">
        <v>1</v>
      </c>
      <c r="K1451" s="2" t="s">
        <v>81</v>
      </c>
      <c r="L1451" s="2" t="s">
        <v>40</v>
      </c>
      <c r="P1451" s="2" t="s">
        <v>4</v>
      </c>
      <c r="Q1451" s="2">
        <f>INDEX(Tables!$C$4:$C$28,MATCH($P1451,Tables!$B$4:$B$28,0))</f>
        <v>32</v>
      </c>
      <c r="R1451" s="2">
        <f>INDEX(Tables!$D$4:$D$28,MATCH($P1451,Tables!$B$4:$B$28,0))</f>
        <v>4</v>
      </c>
      <c r="S1451" s="2">
        <f>$S1450+$R1450+INDEX(Tables!$N$5:$Q$8,MATCH(MOD($S1450+$R1450,4),Tables!$M$5:$M$8,0),MATCH($R1451,Tables!$N$4:$Q$4,0))</f>
        <v>5616</v>
      </c>
      <c r="T1451" s="2" t="str">
        <f t="shared" si="348"/>
        <v>15F0</v>
      </c>
      <c r="U1451" s="2">
        <f t="shared" si="354"/>
        <v>1404</v>
      </c>
      <c r="V1451" s="2" t="str">
        <f t="shared" si="349"/>
        <v>57C</v>
      </c>
      <c r="W1451" s="2" t="str">
        <f t="shared" si="350"/>
        <v/>
      </c>
      <c r="X1451" s="2" t="str">
        <f t="shared" si="353"/>
        <v/>
      </c>
      <c r="Y1451" s="2" t="str">
        <f t="shared" si="351"/>
        <v/>
      </c>
      <c r="Z1451" s="2" t="str">
        <f t="shared" si="352"/>
        <v>X</v>
      </c>
      <c r="AA1451" s="2" t="str">
        <f t="shared" si="355"/>
        <v/>
      </c>
      <c r="AB1451" s="2" t="str">
        <f t="shared" si="356"/>
        <v/>
      </c>
      <c r="AC1451" s="2" t="str">
        <f t="shared" si="357"/>
        <v/>
      </c>
      <c r="AD1451" s="2" t="str">
        <f t="shared" si="358"/>
        <v>(0)</v>
      </c>
      <c r="AE1451" s="2" t="str">
        <f t="shared" si="359"/>
        <v/>
      </c>
      <c r="AF1451" s="2" t="str">
        <f t="shared" si="360"/>
        <v/>
      </c>
      <c r="AG1451" s="2" t="str">
        <f t="shared" si="361"/>
        <v/>
      </c>
      <c r="AH1451" s="2" t="str">
        <f t="shared" si="362"/>
        <v/>
      </c>
    </row>
    <row r="1452" spans="2:34" x14ac:dyDescent="0.25">
      <c r="B1452" s="2" t="s">
        <v>3789</v>
      </c>
      <c r="C1452" s="2" t="s">
        <v>3737</v>
      </c>
      <c r="D1452" s="2" t="s">
        <v>0</v>
      </c>
      <c r="E1452" s="2" t="s">
        <v>130</v>
      </c>
      <c r="F1452" s="2" t="s">
        <v>3790</v>
      </c>
      <c r="G1452" s="2" t="s">
        <v>3791</v>
      </c>
      <c r="H1452" s="2" t="s">
        <v>3738</v>
      </c>
      <c r="I1452" s="2" t="s">
        <v>41</v>
      </c>
      <c r="J1452" s="2">
        <v>1</v>
      </c>
      <c r="K1452" s="2" t="s">
        <v>81</v>
      </c>
      <c r="L1452" s="2" t="s">
        <v>40</v>
      </c>
      <c r="P1452" s="2" t="s">
        <v>4</v>
      </c>
      <c r="Q1452" s="2">
        <f>INDEX(Tables!$C$4:$C$28,MATCH($P1452,Tables!$B$4:$B$28,0))</f>
        <v>32</v>
      </c>
      <c r="R1452" s="2">
        <f>INDEX(Tables!$D$4:$D$28,MATCH($P1452,Tables!$B$4:$B$28,0))</f>
        <v>4</v>
      </c>
      <c r="S1452" s="2">
        <f>$S1451+$R1451+INDEX(Tables!$N$5:$Q$8,MATCH(MOD($S1451+$R1451,4),Tables!$M$5:$M$8,0),MATCH($R1452,Tables!$N$4:$Q$4,0))</f>
        <v>5620</v>
      </c>
      <c r="T1452" s="2" t="str">
        <f t="shared" si="348"/>
        <v>15F4</v>
      </c>
      <c r="U1452" s="2">
        <f t="shared" si="354"/>
        <v>1405</v>
      </c>
      <c r="V1452" s="2" t="str">
        <f t="shared" si="349"/>
        <v>57D</v>
      </c>
      <c r="W1452" s="2" t="str">
        <f t="shared" si="350"/>
        <v/>
      </c>
      <c r="X1452" s="2" t="str">
        <f t="shared" si="353"/>
        <v/>
      </c>
      <c r="Y1452" s="2" t="str">
        <f t="shared" si="351"/>
        <v/>
      </c>
      <c r="Z1452" s="2" t="str">
        <f t="shared" si="352"/>
        <v>X</v>
      </c>
      <c r="AA1452" s="2" t="str">
        <f t="shared" si="355"/>
        <v/>
      </c>
      <c r="AB1452" s="2" t="str">
        <f t="shared" si="356"/>
        <v/>
      </c>
      <c r="AC1452" s="2" t="str">
        <f t="shared" si="357"/>
        <v/>
      </c>
      <c r="AD1452" s="2" t="str">
        <f t="shared" si="358"/>
        <v>(0)</v>
      </c>
      <c r="AE1452" s="2" t="str">
        <f t="shared" si="359"/>
        <v/>
      </c>
      <c r="AF1452" s="2" t="str">
        <f t="shared" si="360"/>
        <v/>
      </c>
      <c r="AG1452" s="2" t="str">
        <f t="shared" si="361"/>
        <v/>
      </c>
      <c r="AH1452" s="2" t="str">
        <f t="shared" si="362"/>
        <v/>
      </c>
    </row>
    <row r="1453" spans="2:34" x14ac:dyDescent="0.25">
      <c r="B1453" s="2" t="s">
        <v>3789</v>
      </c>
      <c r="C1453" s="2" t="s">
        <v>3739</v>
      </c>
      <c r="D1453" s="2" t="s">
        <v>0</v>
      </c>
      <c r="E1453" s="2" t="s">
        <v>130</v>
      </c>
      <c r="F1453" s="2" t="s">
        <v>3790</v>
      </c>
      <c r="G1453" s="2" t="s">
        <v>3791</v>
      </c>
      <c r="H1453" s="2" t="s">
        <v>3740</v>
      </c>
      <c r="I1453" s="2" t="s">
        <v>41</v>
      </c>
      <c r="J1453" s="2">
        <v>1</v>
      </c>
      <c r="K1453" s="2" t="s">
        <v>81</v>
      </c>
      <c r="L1453" s="2" t="s">
        <v>40</v>
      </c>
      <c r="P1453" s="2" t="s">
        <v>4</v>
      </c>
      <c r="Q1453" s="2">
        <f>INDEX(Tables!$C$4:$C$28,MATCH($P1453,Tables!$B$4:$B$28,0))</f>
        <v>32</v>
      </c>
      <c r="R1453" s="2">
        <f>INDEX(Tables!$D$4:$D$28,MATCH($P1453,Tables!$B$4:$B$28,0))</f>
        <v>4</v>
      </c>
      <c r="S1453" s="2">
        <f>$S1452+$R1452+INDEX(Tables!$N$5:$Q$8,MATCH(MOD($S1452+$R1452,4),Tables!$M$5:$M$8,0),MATCH($R1453,Tables!$N$4:$Q$4,0))</f>
        <v>5624</v>
      </c>
      <c r="T1453" s="2" t="str">
        <f t="shared" si="348"/>
        <v>15F8</v>
      </c>
      <c r="U1453" s="2">
        <f t="shared" si="354"/>
        <v>1406</v>
      </c>
      <c r="V1453" s="2" t="str">
        <f t="shared" si="349"/>
        <v>57E</v>
      </c>
      <c r="W1453" s="2" t="str">
        <f t="shared" si="350"/>
        <v/>
      </c>
      <c r="X1453" s="2" t="str">
        <f t="shared" si="353"/>
        <v/>
      </c>
      <c r="Y1453" s="2" t="str">
        <f t="shared" si="351"/>
        <v/>
      </c>
      <c r="Z1453" s="2" t="str">
        <f t="shared" si="352"/>
        <v>X</v>
      </c>
      <c r="AA1453" s="2" t="str">
        <f t="shared" si="355"/>
        <v/>
      </c>
      <c r="AB1453" s="2" t="str">
        <f t="shared" si="356"/>
        <v/>
      </c>
      <c r="AC1453" s="2" t="str">
        <f t="shared" si="357"/>
        <v/>
      </c>
      <c r="AD1453" s="2" t="str">
        <f t="shared" si="358"/>
        <v>(0)</v>
      </c>
      <c r="AE1453" s="2" t="str">
        <f t="shared" si="359"/>
        <v/>
      </c>
      <c r="AF1453" s="2" t="str">
        <f t="shared" si="360"/>
        <v/>
      </c>
      <c r="AG1453" s="2" t="str">
        <f t="shared" si="361"/>
        <v/>
      </c>
      <c r="AH1453" s="2" t="str">
        <f t="shared" si="362"/>
        <v/>
      </c>
    </row>
    <row r="1454" spans="2:34" x14ac:dyDescent="0.25">
      <c r="B1454" s="2" t="s">
        <v>3789</v>
      </c>
      <c r="C1454" s="2" t="s">
        <v>3741</v>
      </c>
      <c r="D1454" s="2" t="s">
        <v>0</v>
      </c>
      <c r="E1454" s="2" t="s">
        <v>130</v>
      </c>
      <c r="F1454" s="2" t="s">
        <v>3790</v>
      </c>
      <c r="G1454" s="2" t="s">
        <v>3791</v>
      </c>
      <c r="H1454" s="2" t="s">
        <v>3742</v>
      </c>
      <c r="I1454" s="2" t="s">
        <v>41</v>
      </c>
      <c r="J1454" s="2">
        <v>1</v>
      </c>
      <c r="K1454" s="2" t="s">
        <v>81</v>
      </c>
      <c r="L1454" s="2" t="s">
        <v>40</v>
      </c>
      <c r="P1454" s="2" t="s">
        <v>4</v>
      </c>
      <c r="Q1454" s="2">
        <f>INDEX(Tables!$C$4:$C$28,MATCH($P1454,Tables!$B$4:$B$28,0))</f>
        <v>32</v>
      </c>
      <c r="R1454" s="2">
        <f>INDEX(Tables!$D$4:$D$28,MATCH($P1454,Tables!$B$4:$B$28,0))</f>
        <v>4</v>
      </c>
      <c r="S1454" s="2">
        <f>$S1453+$R1453+INDEX(Tables!$N$5:$Q$8,MATCH(MOD($S1453+$R1453,4),Tables!$M$5:$M$8,0),MATCH($R1454,Tables!$N$4:$Q$4,0))</f>
        <v>5628</v>
      </c>
      <c r="T1454" s="2" t="str">
        <f t="shared" si="348"/>
        <v>15FC</v>
      </c>
      <c r="U1454" s="2">
        <f t="shared" si="354"/>
        <v>1407</v>
      </c>
      <c r="V1454" s="2" t="str">
        <f t="shared" si="349"/>
        <v>57F</v>
      </c>
      <c r="W1454" s="2" t="str">
        <f t="shared" si="350"/>
        <v/>
      </c>
      <c r="X1454" s="2" t="str">
        <f t="shared" si="353"/>
        <v/>
      </c>
      <c r="Y1454" s="2" t="str">
        <f t="shared" si="351"/>
        <v/>
      </c>
      <c r="Z1454" s="2" t="str">
        <f t="shared" si="352"/>
        <v>X</v>
      </c>
      <c r="AA1454" s="2" t="str">
        <f t="shared" si="355"/>
        <v/>
      </c>
      <c r="AB1454" s="2" t="str">
        <f t="shared" si="356"/>
        <v/>
      </c>
      <c r="AC1454" s="2" t="str">
        <f t="shared" si="357"/>
        <v/>
      </c>
      <c r="AD1454" s="2" t="str">
        <f t="shared" si="358"/>
        <v>(0)</v>
      </c>
      <c r="AE1454" s="2" t="str">
        <f t="shared" si="359"/>
        <v/>
      </c>
      <c r="AF1454" s="2" t="str">
        <f t="shared" si="360"/>
        <v/>
      </c>
      <c r="AG1454" s="2" t="str">
        <f t="shared" si="361"/>
        <v/>
      </c>
      <c r="AH1454" s="2" t="str">
        <f t="shared" si="362"/>
        <v/>
      </c>
    </row>
    <row r="1455" spans="2:34" x14ac:dyDescent="0.25">
      <c r="B1455" s="2" t="s">
        <v>3789</v>
      </c>
      <c r="C1455" s="2" t="s">
        <v>3743</v>
      </c>
      <c r="D1455" s="2" t="s">
        <v>0</v>
      </c>
      <c r="E1455" s="2" t="s">
        <v>130</v>
      </c>
      <c r="F1455" s="2" t="s">
        <v>3790</v>
      </c>
      <c r="G1455" s="2" t="s">
        <v>3791</v>
      </c>
      <c r="H1455" s="2" t="s">
        <v>3744</v>
      </c>
      <c r="I1455" s="2" t="s">
        <v>41</v>
      </c>
      <c r="J1455" s="2">
        <v>1</v>
      </c>
      <c r="K1455" s="2" t="s">
        <v>81</v>
      </c>
      <c r="L1455" s="2" t="s">
        <v>40</v>
      </c>
      <c r="P1455" s="2" t="s">
        <v>4</v>
      </c>
      <c r="Q1455" s="2">
        <f>INDEX(Tables!$C$4:$C$28,MATCH($P1455,Tables!$B$4:$B$28,0))</f>
        <v>32</v>
      </c>
      <c r="R1455" s="2">
        <f>INDEX(Tables!$D$4:$D$28,MATCH($P1455,Tables!$B$4:$B$28,0))</f>
        <v>4</v>
      </c>
      <c r="S1455" s="2">
        <f>$S1454+$R1454+INDEX(Tables!$N$5:$Q$8,MATCH(MOD($S1454+$R1454,4),Tables!$M$5:$M$8,0),MATCH($R1455,Tables!$N$4:$Q$4,0))</f>
        <v>5632</v>
      </c>
      <c r="T1455" s="2" t="str">
        <f t="shared" si="348"/>
        <v>1600</v>
      </c>
      <c r="U1455" s="2">
        <f t="shared" si="354"/>
        <v>1408</v>
      </c>
      <c r="V1455" s="2" t="str">
        <f t="shared" si="349"/>
        <v>580</v>
      </c>
      <c r="W1455" s="2" t="str">
        <f t="shared" si="350"/>
        <v/>
      </c>
      <c r="X1455" s="2" t="str">
        <f t="shared" si="353"/>
        <v/>
      </c>
      <c r="Y1455" s="2" t="str">
        <f t="shared" si="351"/>
        <v/>
      </c>
      <c r="Z1455" s="2" t="str">
        <f t="shared" si="352"/>
        <v>X</v>
      </c>
      <c r="AA1455" s="2" t="str">
        <f t="shared" si="355"/>
        <v/>
      </c>
      <c r="AB1455" s="2" t="str">
        <f t="shared" si="356"/>
        <v/>
      </c>
      <c r="AC1455" s="2" t="str">
        <f t="shared" si="357"/>
        <v/>
      </c>
      <c r="AD1455" s="2" t="str">
        <f t="shared" si="358"/>
        <v>(0)</v>
      </c>
      <c r="AE1455" s="2" t="str">
        <f t="shared" si="359"/>
        <v/>
      </c>
      <c r="AF1455" s="2" t="str">
        <f t="shared" si="360"/>
        <v/>
      </c>
      <c r="AG1455" s="2" t="str">
        <f t="shared" si="361"/>
        <v/>
      </c>
      <c r="AH1455" s="2" t="str">
        <f t="shared" si="362"/>
        <v/>
      </c>
    </row>
    <row r="1456" spans="2:34" x14ac:dyDescent="0.25">
      <c r="B1456" s="2" t="s">
        <v>3789</v>
      </c>
      <c r="C1456" s="2" t="s">
        <v>3745</v>
      </c>
      <c r="D1456" s="2" t="s">
        <v>0</v>
      </c>
      <c r="E1456" s="2" t="s">
        <v>130</v>
      </c>
      <c r="F1456" s="2" t="s">
        <v>3790</v>
      </c>
      <c r="G1456" s="2" t="s">
        <v>3791</v>
      </c>
      <c r="H1456" s="2" t="s">
        <v>3746</v>
      </c>
      <c r="I1456" s="2" t="s">
        <v>41</v>
      </c>
      <c r="J1456" s="2">
        <v>1</v>
      </c>
      <c r="K1456" s="2" t="s">
        <v>81</v>
      </c>
      <c r="L1456" s="2" t="s">
        <v>40</v>
      </c>
      <c r="P1456" s="2" t="s">
        <v>4</v>
      </c>
      <c r="Q1456" s="2">
        <f>INDEX(Tables!$C$4:$C$28,MATCH($P1456,Tables!$B$4:$B$28,0))</f>
        <v>32</v>
      </c>
      <c r="R1456" s="2">
        <f>INDEX(Tables!$D$4:$D$28,MATCH($P1456,Tables!$B$4:$B$28,0))</f>
        <v>4</v>
      </c>
      <c r="S1456" s="2">
        <f>$S1455+$R1455+INDEX(Tables!$N$5:$Q$8,MATCH(MOD($S1455+$R1455,4),Tables!$M$5:$M$8,0),MATCH($R1456,Tables!$N$4:$Q$4,0))</f>
        <v>5636</v>
      </c>
      <c r="T1456" s="2" t="str">
        <f t="shared" si="348"/>
        <v>1604</v>
      </c>
      <c r="U1456" s="2">
        <f t="shared" si="354"/>
        <v>1409</v>
      </c>
      <c r="V1456" s="2" t="str">
        <f t="shared" si="349"/>
        <v>581</v>
      </c>
      <c r="W1456" s="2" t="str">
        <f t="shared" si="350"/>
        <v/>
      </c>
      <c r="X1456" s="2" t="str">
        <f t="shared" si="353"/>
        <v/>
      </c>
      <c r="Y1456" s="2" t="str">
        <f t="shared" si="351"/>
        <v/>
      </c>
      <c r="Z1456" s="2" t="str">
        <f t="shared" si="352"/>
        <v>X</v>
      </c>
      <c r="AA1456" s="2" t="str">
        <f t="shared" si="355"/>
        <v/>
      </c>
      <c r="AB1456" s="2" t="str">
        <f t="shared" si="356"/>
        <v/>
      </c>
      <c r="AC1456" s="2" t="str">
        <f t="shared" si="357"/>
        <v/>
      </c>
      <c r="AD1456" s="2" t="str">
        <f t="shared" si="358"/>
        <v>(0)</v>
      </c>
      <c r="AE1456" s="2" t="str">
        <f t="shared" si="359"/>
        <v/>
      </c>
      <c r="AF1456" s="2" t="str">
        <f t="shared" si="360"/>
        <v/>
      </c>
      <c r="AG1456" s="2" t="str">
        <f t="shared" si="361"/>
        <v/>
      </c>
      <c r="AH1456" s="2" t="str">
        <f t="shared" si="362"/>
        <v/>
      </c>
    </row>
    <row r="1457" spans="2:34" x14ac:dyDescent="0.25">
      <c r="B1457" s="2" t="s">
        <v>3789</v>
      </c>
      <c r="C1457" s="2" t="s">
        <v>3747</v>
      </c>
      <c r="D1457" s="2" t="s">
        <v>0</v>
      </c>
      <c r="E1457" s="2" t="s">
        <v>130</v>
      </c>
      <c r="F1457" s="2" t="s">
        <v>3790</v>
      </c>
      <c r="G1457" s="2" t="s">
        <v>3791</v>
      </c>
      <c r="H1457" s="2" t="s">
        <v>3748</v>
      </c>
      <c r="I1457" s="2" t="s">
        <v>41</v>
      </c>
      <c r="J1457" s="2">
        <v>1</v>
      </c>
      <c r="K1457" s="2" t="s">
        <v>81</v>
      </c>
      <c r="L1457" s="2" t="s">
        <v>40</v>
      </c>
      <c r="P1457" s="2" t="s">
        <v>4</v>
      </c>
      <c r="Q1457" s="2">
        <f>INDEX(Tables!$C$4:$C$28,MATCH($P1457,Tables!$B$4:$B$28,0))</f>
        <v>32</v>
      </c>
      <c r="R1457" s="2">
        <f>INDEX(Tables!$D$4:$D$28,MATCH($P1457,Tables!$B$4:$B$28,0))</f>
        <v>4</v>
      </c>
      <c r="S1457" s="2">
        <f>$S1456+$R1456+INDEX(Tables!$N$5:$Q$8,MATCH(MOD($S1456+$R1456,4),Tables!$M$5:$M$8,0),MATCH($R1457,Tables!$N$4:$Q$4,0))</f>
        <v>5640</v>
      </c>
      <c r="T1457" s="2" t="str">
        <f t="shared" si="348"/>
        <v>1608</v>
      </c>
      <c r="U1457" s="2">
        <f t="shared" si="354"/>
        <v>1410</v>
      </c>
      <c r="V1457" s="2" t="str">
        <f t="shared" si="349"/>
        <v>582</v>
      </c>
      <c r="W1457" s="2" t="str">
        <f t="shared" si="350"/>
        <v/>
      </c>
      <c r="X1457" s="2" t="str">
        <f t="shared" si="353"/>
        <v/>
      </c>
      <c r="Y1457" s="2" t="str">
        <f t="shared" si="351"/>
        <v/>
      </c>
      <c r="Z1457" s="2" t="str">
        <f t="shared" si="352"/>
        <v>X</v>
      </c>
      <c r="AA1457" s="2" t="str">
        <f t="shared" si="355"/>
        <v/>
      </c>
      <c r="AB1457" s="2" t="str">
        <f t="shared" si="356"/>
        <v/>
      </c>
      <c r="AC1457" s="2" t="str">
        <f t="shared" si="357"/>
        <v/>
      </c>
      <c r="AD1457" s="2" t="str">
        <f t="shared" si="358"/>
        <v>(0)</v>
      </c>
      <c r="AE1457" s="2" t="str">
        <f t="shared" si="359"/>
        <v/>
      </c>
      <c r="AF1457" s="2" t="str">
        <f t="shared" si="360"/>
        <v/>
      </c>
      <c r="AG1457" s="2" t="str">
        <f t="shared" si="361"/>
        <v/>
      </c>
      <c r="AH1457" s="2" t="str">
        <f t="shared" si="362"/>
        <v/>
      </c>
    </row>
    <row r="1458" spans="2:34" x14ac:dyDescent="0.25">
      <c r="B1458" s="2" t="s">
        <v>3789</v>
      </c>
      <c r="C1458" s="2" t="s">
        <v>3749</v>
      </c>
      <c r="D1458" s="2" t="s">
        <v>0</v>
      </c>
      <c r="E1458" s="2" t="s">
        <v>130</v>
      </c>
      <c r="F1458" s="2" t="s">
        <v>3790</v>
      </c>
      <c r="G1458" s="2" t="s">
        <v>3791</v>
      </c>
      <c r="H1458" s="2" t="s">
        <v>3750</v>
      </c>
      <c r="I1458" s="2" t="s">
        <v>41</v>
      </c>
      <c r="J1458" s="2">
        <v>1</v>
      </c>
      <c r="K1458" s="2" t="s">
        <v>81</v>
      </c>
      <c r="L1458" s="2" t="s">
        <v>40</v>
      </c>
      <c r="P1458" s="2" t="s">
        <v>4</v>
      </c>
      <c r="Q1458" s="2">
        <f>INDEX(Tables!$C$4:$C$28,MATCH($P1458,Tables!$B$4:$B$28,0))</f>
        <v>32</v>
      </c>
      <c r="R1458" s="2">
        <f>INDEX(Tables!$D$4:$D$28,MATCH($P1458,Tables!$B$4:$B$28,0))</f>
        <v>4</v>
      </c>
      <c r="S1458" s="2">
        <f>$S1457+$R1457+INDEX(Tables!$N$5:$Q$8,MATCH(MOD($S1457+$R1457,4),Tables!$M$5:$M$8,0),MATCH($R1458,Tables!$N$4:$Q$4,0))</f>
        <v>5644</v>
      </c>
      <c r="T1458" s="2" t="str">
        <f t="shared" si="348"/>
        <v>160C</v>
      </c>
      <c r="U1458" s="2">
        <f t="shared" si="354"/>
        <v>1411</v>
      </c>
      <c r="V1458" s="2" t="str">
        <f t="shared" si="349"/>
        <v>583</v>
      </c>
      <c r="W1458" s="2" t="str">
        <f t="shared" si="350"/>
        <v/>
      </c>
      <c r="X1458" s="2" t="str">
        <f t="shared" si="353"/>
        <v/>
      </c>
      <c r="Y1458" s="2" t="str">
        <f t="shared" si="351"/>
        <v/>
      </c>
      <c r="Z1458" s="2" t="str">
        <f t="shared" si="352"/>
        <v>X</v>
      </c>
      <c r="AA1458" s="2" t="str">
        <f t="shared" si="355"/>
        <v/>
      </c>
      <c r="AB1458" s="2" t="str">
        <f t="shared" si="356"/>
        <v/>
      </c>
      <c r="AC1458" s="2" t="str">
        <f t="shared" si="357"/>
        <v/>
      </c>
      <c r="AD1458" s="2" t="str">
        <f t="shared" si="358"/>
        <v>(0)</v>
      </c>
      <c r="AE1458" s="2" t="str">
        <f t="shared" si="359"/>
        <v/>
      </c>
      <c r="AF1458" s="2" t="str">
        <f t="shared" si="360"/>
        <v/>
      </c>
      <c r="AG1458" s="2" t="str">
        <f t="shared" si="361"/>
        <v/>
      </c>
      <c r="AH1458" s="2" t="str">
        <f t="shared" si="362"/>
        <v/>
      </c>
    </row>
    <row r="1459" spans="2:34" x14ac:dyDescent="0.25">
      <c r="B1459" s="2" t="s">
        <v>3789</v>
      </c>
      <c r="C1459" s="2" t="s">
        <v>3751</v>
      </c>
      <c r="D1459" s="2" t="s">
        <v>0</v>
      </c>
      <c r="E1459" s="2" t="s">
        <v>130</v>
      </c>
      <c r="F1459" s="2" t="s">
        <v>3790</v>
      </c>
      <c r="G1459" s="2" t="s">
        <v>3791</v>
      </c>
      <c r="H1459" s="2" t="s">
        <v>3752</v>
      </c>
      <c r="I1459" s="2" t="s">
        <v>41</v>
      </c>
      <c r="J1459" s="2">
        <v>1</v>
      </c>
      <c r="K1459" s="2" t="s">
        <v>81</v>
      </c>
      <c r="L1459" s="2" t="s">
        <v>40</v>
      </c>
      <c r="P1459" s="2" t="s">
        <v>4</v>
      </c>
      <c r="Q1459" s="2">
        <f>INDEX(Tables!$C$4:$C$28,MATCH($P1459,Tables!$B$4:$B$28,0))</f>
        <v>32</v>
      </c>
      <c r="R1459" s="2">
        <f>INDEX(Tables!$D$4:$D$28,MATCH($P1459,Tables!$B$4:$B$28,0))</f>
        <v>4</v>
      </c>
      <c r="S1459" s="2">
        <f>$S1458+$R1458+INDEX(Tables!$N$5:$Q$8,MATCH(MOD($S1458+$R1458,4),Tables!$M$5:$M$8,0),MATCH($R1459,Tables!$N$4:$Q$4,0))</f>
        <v>5648</v>
      </c>
      <c r="T1459" s="2" t="str">
        <f t="shared" si="348"/>
        <v>1610</v>
      </c>
      <c r="U1459" s="2">
        <f t="shared" si="354"/>
        <v>1412</v>
      </c>
      <c r="V1459" s="2" t="str">
        <f t="shared" si="349"/>
        <v>584</v>
      </c>
      <c r="W1459" s="2" t="str">
        <f t="shared" si="350"/>
        <v/>
      </c>
      <c r="X1459" s="2" t="str">
        <f t="shared" si="353"/>
        <v/>
      </c>
      <c r="Y1459" s="2" t="str">
        <f t="shared" si="351"/>
        <v/>
      </c>
      <c r="Z1459" s="2" t="str">
        <f t="shared" si="352"/>
        <v>X</v>
      </c>
      <c r="AA1459" s="2" t="str">
        <f t="shared" si="355"/>
        <v/>
      </c>
      <c r="AB1459" s="2" t="str">
        <f t="shared" si="356"/>
        <v/>
      </c>
      <c r="AC1459" s="2" t="str">
        <f t="shared" si="357"/>
        <v/>
      </c>
      <c r="AD1459" s="2" t="str">
        <f t="shared" si="358"/>
        <v>(0)</v>
      </c>
      <c r="AE1459" s="2" t="str">
        <f t="shared" si="359"/>
        <v/>
      </c>
      <c r="AF1459" s="2" t="str">
        <f t="shared" si="360"/>
        <v/>
      </c>
      <c r="AG1459" s="2" t="str">
        <f t="shared" si="361"/>
        <v/>
      </c>
      <c r="AH1459" s="2" t="str">
        <f t="shared" si="362"/>
        <v/>
      </c>
    </row>
    <row r="1460" spans="2:34" x14ac:dyDescent="0.25">
      <c r="B1460" s="2" t="s">
        <v>3789</v>
      </c>
      <c r="C1460" s="2" t="s">
        <v>3753</v>
      </c>
      <c r="D1460" s="2" t="s">
        <v>0</v>
      </c>
      <c r="E1460" s="2" t="s">
        <v>130</v>
      </c>
      <c r="F1460" s="2" t="s">
        <v>3790</v>
      </c>
      <c r="G1460" s="2" t="s">
        <v>3791</v>
      </c>
      <c r="H1460" s="2" t="s">
        <v>3754</v>
      </c>
      <c r="I1460" s="2" t="s">
        <v>41</v>
      </c>
      <c r="J1460" s="2">
        <v>1</v>
      </c>
      <c r="K1460" s="2" t="s">
        <v>81</v>
      </c>
      <c r="L1460" s="2" t="s">
        <v>40</v>
      </c>
      <c r="P1460" s="2" t="s">
        <v>4</v>
      </c>
      <c r="Q1460" s="2">
        <f>INDEX(Tables!$C$4:$C$28,MATCH($P1460,Tables!$B$4:$B$28,0))</f>
        <v>32</v>
      </c>
      <c r="R1460" s="2">
        <f>INDEX(Tables!$D$4:$D$28,MATCH($P1460,Tables!$B$4:$B$28,0))</f>
        <v>4</v>
      </c>
      <c r="S1460" s="2">
        <f>$S1459+$R1459+INDEX(Tables!$N$5:$Q$8,MATCH(MOD($S1459+$R1459,4),Tables!$M$5:$M$8,0),MATCH($R1460,Tables!$N$4:$Q$4,0))</f>
        <v>5652</v>
      </c>
      <c r="T1460" s="2" t="str">
        <f t="shared" si="348"/>
        <v>1614</v>
      </c>
      <c r="U1460" s="2">
        <f t="shared" si="354"/>
        <v>1413</v>
      </c>
      <c r="V1460" s="2" t="str">
        <f t="shared" si="349"/>
        <v>585</v>
      </c>
      <c r="W1460" s="2" t="str">
        <f t="shared" si="350"/>
        <v/>
      </c>
      <c r="X1460" s="2" t="str">
        <f t="shared" si="353"/>
        <v/>
      </c>
      <c r="Y1460" s="2" t="str">
        <f t="shared" si="351"/>
        <v/>
      </c>
      <c r="Z1460" s="2" t="str">
        <f t="shared" si="352"/>
        <v>X</v>
      </c>
      <c r="AA1460" s="2" t="str">
        <f t="shared" si="355"/>
        <v/>
      </c>
      <c r="AB1460" s="2" t="str">
        <f t="shared" si="356"/>
        <v/>
      </c>
      <c r="AC1460" s="2" t="str">
        <f t="shared" si="357"/>
        <v/>
      </c>
      <c r="AD1460" s="2" t="str">
        <f t="shared" si="358"/>
        <v>(0)</v>
      </c>
      <c r="AE1460" s="2" t="str">
        <f t="shared" si="359"/>
        <v/>
      </c>
      <c r="AF1460" s="2" t="str">
        <f t="shared" si="360"/>
        <v/>
      </c>
      <c r="AG1460" s="2" t="str">
        <f t="shared" si="361"/>
        <v/>
      </c>
      <c r="AH1460" s="2" t="str">
        <f t="shared" si="362"/>
        <v/>
      </c>
    </row>
    <row r="1461" spans="2:34" x14ac:dyDescent="0.25">
      <c r="B1461" s="2" t="s">
        <v>3789</v>
      </c>
      <c r="C1461" s="2" t="s">
        <v>3755</v>
      </c>
      <c r="D1461" s="2" t="s">
        <v>0</v>
      </c>
      <c r="E1461" s="2" t="s">
        <v>130</v>
      </c>
      <c r="F1461" s="2" t="s">
        <v>3790</v>
      </c>
      <c r="G1461" s="2" t="s">
        <v>3791</v>
      </c>
      <c r="H1461" s="2" t="s">
        <v>3756</v>
      </c>
      <c r="I1461" s="2" t="s">
        <v>41</v>
      </c>
      <c r="J1461" s="2">
        <v>1</v>
      </c>
      <c r="K1461" s="2" t="s">
        <v>81</v>
      </c>
      <c r="L1461" s="2" t="s">
        <v>40</v>
      </c>
      <c r="P1461" s="2" t="s">
        <v>4</v>
      </c>
      <c r="Q1461" s="2">
        <f>INDEX(Tables!$C$4:$C$28,MATCH($P1461,Tables!$B$4:$B$28,0))</f>
        <v>32</v>
      </c>
      <c r="R1461" s="2">
        <f>INDEX(Tables!$D$4:$D$28,MATCH($P1461,Tables!$B$4:$B$28,0))</f>
        <v>4</v>
      </c>
      <c r="S1461" s="2">
        <f>$S1460+$R1460+INDEX(Tables!$N$5:$Q$8,MATCH(MOD($S1460+$R1460,4),Tables!$M$5:$M$8,0),MATCH($R1461,Tables!$N$4:$Q$4,0))</f>
        <v>5656</v>
      </c>
      <c r="T1461" s="2" t="str">
        <f t="shared" si="348"/>
        <v>1618</v>
      </c>
      <c r="U1461" s="2">
        <f t="shared" si="354"/>
        <v>1414</v>
      </c>
      <c r="V1461" s="2" t="str">
        <f t="shared" si="349"/>
        <v>586</v>
      </c>
      <c r="W1461" s="2" t="str">
        <f t="shared" si="350"/>
        <v/>
      </c>
      <c r="X1461" s="2" t="str">
        <f t="shared" si="353"/>
        <v/>
      </c>
      <c r="Y1461" s="2" t="str">
        <f t="shared" si="351"/>
        <v/>
      </c>
      <c r="Z1461" s="2" t="str">
        <f t="shared" si="352"/>
        <v>X</v>
      </c>
      <c r="AA1461" s="2" t="str">
        <f t="shared" si="355"/>
        <v/>
      </c>
      <c r="AB1461" s="2" t="str">
        <f t="shared" si="356"/>
        <v/>
      </c>
      <c r="AC1461" s="2" t="str">
        <f t="shared" si="357"/>
        <v/>
      </c>
      <c r="AD1461" s="2" t="str">
        <f t="shared" si="358"/>
        <v>(0)</v>
      </c>
      <c r="AE1461" s="2" t="str">
        <f t="shared" si="359"/>
        <v/>
      </c>
      <c r="AF1461" s="2" t="str">
        <f t="shared" si="360"/>
        <v/>
      </c>
      <c r="AG1461" s="2" t="str">
        <f t="shared" si="361"/>
        <v/>
      </c>
      <c r="AH1461" s="2" t="str">
        <f t="shared" si="362"/>
        <v/>
      </c>
    </row>
    <row r="1462" spans="2:34" x14ac:dyDescent="0.25">
      <c r="B1462" s="2" t="s">
        <v>3789</v>
      </c>
      <c r="C1462" s="2" t="s">
        <v>3757</v>
      </c>
      <c r="D1462" s="2" t="s">
        <v>0</v>
      </c>
      <c r="E1462" s="2" t="s">
        <v>130</v>
      </c>
      <c r="F1462" s="2" t="s">
        <v>3790</v>
      </c>
      <c r="G1462" s="2" t="s">
        <v>3791</v>
      </c>
      <c r="H1462" s="2" t="s">
        <v>3758</v>
      </c>
      <c r="I1462" s="2" t="s">
        <v>41</v>
      </c>
      <c r="J1462" s="2">
        <v>1</v>
      </c>
      <c r="K1462" s="2" t="s">
        <v>81</v>
      </c>
      <c r="L1462" s="2" t="s">
        <v>40</v>
      </c>
      <c r="P1462" s="2" t="s">
        <v>4</v>
      </c>
      <c r="Q1462" s="2">
        <f>INDEX(Tables!$C$4:$C$28,MATCH($P1462,Tables!$B$4:$B$28,0))</f>
        <v>32</v>
      </c>
      <c r="R1462" s="2">
        <f>INDEX(Tables!$D$4:$D$28,MATCH($P1462,Tables!$B$4:$B$28,0))</f>
        <v>4</v>
      </c>
      <c r="S1462" s="2">
        <f>$S1461+$R1461+INDEX(Tables!$N$5:$Q$8,MATCH(MOD($S1461+$R1461,4),Tables!$M$5:$M$8,0),MATCH($R1462,Tables!$N$4:$Q$4,0))</f>
        <v>5660</v>
      </c>
      <c r="T1462" s="2" t="str">
        <f t="shared" si="348"/>
        <v>161C</v>
      </c>
      <c r="U1462" s="2">
        <f t="shared" si="354"/>
        <v>1415</v>
      </c>
      <c r="V1462" s="2" t="str">
        <f t="shared" si="349"/>
        <v>587</v>
      </c>
      <c r="W1462" s="2" t="str">
        <f t="shared" si="350"/>
        <v/>
      </c>
      <c r="X1462" s="2" t="str">
        <f t="shared" si="353"/>
        <v/>
      </c>
      <c r="Y1462" s="2" t="str">
        <f t="shared" si="351"/>
        <v/>
      </c>
      <c r="Z1462" s="2" t="str">
        <f t="shared" si="352"/>
        <v>X</v>
      </c>
      <c r="AA1462" s="2" t="str">
        <f t="shared" si="355"/>
        <v/>
      </c>
      <c r="AB1462" s="2" t="str">
        <f t="shared" si="356"/>
        <v/>
      </c>
      <c r="AC1462" s="2" t="str">
        <f t="shared" si="357"/>
        <v/>
      </c>
      <c r="AD1462" s="2" t="str">
        <f t="shared" si="358"/>
        <v>(0)</v>
      </c>
      <c r="AE1462" s="2" t="str">
        <f t="shared" si="359"/>
        <v/>
      </c>
      <c r="AF1462" s="2" t="str">
        <f t="shared" si="360"/>
        <v/>
      </c>
      <c r="AG1462" s="2" t="str">
        <f t="shared" si="361"/>
        <v/>
      </c>
      <c r="AH1462" s="2" t="str">
        <f t="shared" si="362"/>
        <v/>
      </c>
    </row>
    <row r="1463" spans="2:34" x14ac:dyDescent="0.25">
      <c r="B1463" s="2" t="s">
        <v>3789</v>
      </c>
      <c r="C1463" s="2" t="s">
        <v>3759</v>
      </c>
      <c r="D1463" s="2" t="s">
        <v>0</v>
      </c>
      <c r="E1463" s="2" t="s">
        <v>130</v>
      </c>
      <c r="F1463" s="2" t="s">
        <v>3790</v>
      </c>
      <c r="G1463" s="2" t="s">
        <v>3791</v>
      </c>
      <c r="H1463" s="2" t="s">
        <v>3760</v>
      </c>
      <c r="I1463" s="2" t="s">
        <v>41</v>
      </c>
      <c r="J1463" s="2">
        <v>1</v>
      </c>
      <c r="K1463" s="2" t="s">
        <v>81</v>
      </c>
      <c r="L1463" s="2" t="s">
        <v>40</v>
      </c>
      <c r="P1463" s="2" t="s">
        <v>4</v>
      </c>
      <c r="Q1463" s="2">
        <f>INDEX(Tables!$C$4:$C$28,MATCH($P1463,Tables!$B$4:$B$28,0))</f>
        <v>32</v>
      </c>
      <c r="R1463" s="2">
        <f>INDEX(Tables!$D$4:$D$28,MATCH($P1463,Tables!$B$4:$B$28,0))</f>
        <v>4</v>
      </c>
      <c r="S1463" s="2">
        <f>$S1462+$R1462+INDEX(Tables!$N$5:$Q$8,MATCH(MOD($S1462+$R1462,4),Tables!$M$5:$M$8,0),MATCH($R1463,Tables!$N$4:$Q$4,0))</f>
        <v>5664</v>
      </c>
      <c r="T1463" s="2" t="str">
        <f t="shared" si="348"/>
        <v>1620</v>
      </c>
      <c r="U1463" s="2">
        <f t="shared" si="354"/>
        <v>1416</v>
      </c>
      <c r="V1463" s="2" t="str">
        <f t="shared" si="349"/>
        <v>588</v>
      </c>
      <c r="W1463" s="2" t="str">
        <f t="shared" si="350"/>
        <v/>
      </c>
      <c r="X1463" s="2" t="str">
        <f t="shared" si="353"/>
        <v/>
      </c>
      <c r="Y1463" s="2" t="str">
        <f t="shared" si="351"/>
        <v/>
      </c>
      <c r="Z1463" s="2" t="str">
        <f t="shared" si="352"/>
        <v>X</v>
      </c>
      <c r="AA1463" s="2" t="str">
        <f t="shared" si="355"/>
        <v/>
      </c>
      <c r="AB1463" s="2" t="str">
        <f t="shared" si="356"/>
        <v/>
      </c>
      <c r="AC1463" s="2" t="str">
        <f t="shared" si="357"/>
        <v/>
      </c>
      <c r="AD1463" s="2" t="str">
        <f t="shared" si="358"/>
        <v>(0)</v>
      </c>
      <c r="AE1463" s="2" t="str">
        <f t="shared" si="359"/>
        <v/>
      </c>
      <c r="AF1463" s="2" t="str">
        <f t="shared" si="360"/>
        <v/>
      </c>
      <c r="AG1463" s="2" t="str">
        <f t="shared" si="361"/>
        <v/>
      </c>
      <c r="AH1463" s="2" t="str">
        <f t="shared" si="362"/>
        <v/>
      </c>
    </row>
    <row r="1464" spans="2:34" x14ac:dyDescent="0.25">
      <c r="B1464" s="2" t="s">
        <v>3789</v>
      </c>
      <c r="C1464" s="2" t="s">
        <v>3761</v>
      </c>
      <c r="D1464" s="2" t="s">
        <v>0</v>
      </c>
      <c r="E1464" s="2" t="s">
        <v>130</v>
      </c>
      <c r="F1464" s="2" t="s">
        <v>3790</v>
      </c>
      <c r="G1464" s="2" t="s">
        <v>3791</v>
      </c>
      <c r="H1464" s="2" t="s">
        <v>3762</v>
      </c>
      <c r="I1464" s="2" t="s">
        <v>41</v>
      </c>
      <c r="J1464" s="2">
        <v>1</v>
      </c>
      <c r="K1464" s="2" t="s">
        <v>81</v>
      </c>
      <c r="L1464" s="2" t="s">
        <v>40</v>
      </c>
      <c r="P1464" s="2" t="s">
        <v>4</v>
      </c>
      <c r="Q1464" s="2">
        <f>INDEX(Tables!$C$4:$C$28,MATCH($P1464,Tables!$B$4:$B$28,0))</f>
        <v>32</v>
      </c>
      <c r="R1464" s="2">
        <f>INDEX(Tables!$D$4:$D$28,MATCH($P1464,Tables!$B$4:$B$28,0))</f>
        <v>4</v>
      </c>
      <c r="S1464" s="2">
        <f>$S1463+$R1463+INDEX(Tables!$N$5:$Q$8,MATCH(MOD($S1463+$R1463,4),Tables!$M$5:$M$8,0),MATCH($R1464,Tables!$N$4:$Q$4,0))</f>
        <v>5668</v>
      </c>
      <c r="T1464" s="2" t="str">
        <f t="shared" si="348"/>
        <v>1624</v>
      </c>
      <c r="U1464" s="2">
        <f t="shared" si="354"/>
        <v>1417</v>
      </c>
      <c r="V1464" s="2" t="str">
        <f t="shared" si="349"/>
        <v>589</v>
      </c>
      <c r="W1464" s="2" t="str">
        <f t="shared" si="350"/>
        <v/>
      </c>
      <c r="X1464" s="2" t="str">
        <f t="shared" si="353"/>
        <v/>
      </c>
      <c r="Y1464" s="2" t="str">
        <f t="shared" si="351"/>
        <v/>
      </c>
      <c r="Z1464" s="2" t="str">
        <f t="shared" si="352"/>
        <v>X</v>
      </c>
      <c r="AA1464" s="2" t="str">
        <f t="shared" si="355"/>
        <v/>
      </c>
      <c r="AB1464" s="2" t="str">
        <f t="shared" si="356"/>
        <v/>
      </c>
      <c r="AC1464" s="2" t="str">
        <f t="shared" si="357"/>
        <v/>
      </c>
      <c r="AD1464" s="2" t="str">
        <f t="shared" si="358"/>
        <v>(0)</v>
      </c>
      <c r="AE1464" s="2" t="str">
        <f t="shared" si="359"/>
        <v/>
      </c>
      <c r="AF1464" s="2" t="str">
        <f t="shared" si="360"/>
        <v/>
      </c>
      <c r="AG1464" s="2" t="str">
        <f t="shared" si="361"/>
        <v/>
      </c>
      <c r="AH1464" s="2" t="str">
        <f t="shared" si="362"/>
        <v/>
      </c>
    </row>
    <row r="1465" spans="2:34" x14ac:dyDescent="0.25">
      <c r="B1465" s="2" t="s">
        <v>3789</v>
      </c>
      <c r="C1465" s="2" t="s">
        <v>3763</v>
      </c>
      <c r="D1465" s="2" t="s">
        <v>0</v>
      </c>
      <c r="E1465" s="2" t="s">
        <v>130</v>
      </c>
      <c r="F1465" s="2" t="s">
        <v>3790</v>
      </c>
      <c r="G1465" s="2" t="s">
        <v>3791</v>
      </c>
      <c r="H1465" s="2" t="s">
        <v>3764</v>
      </c>
      <c r="I1465" s="2" t="s">
        <v>41</v>
      </c>
      <c r="J1465" s="2">
        <v>1</v>
      </c>
      <c r="K1465" s="2" t="s">
        <v>81</v>
      </c>
      <c r="L1465" s="2" t="s">
        <v>40</v>
      </c>
      <c r="P1465" s="2" t="s">
        <v>4</v>
      </c>
      <c r="Q1465" s="2">
        <f>INDEX(Tables!$C$4:$C$28,MATCH($P1465,Tables!$B$4:$B$28,0))</f>
        <v>32</v>
      </c>
      <c r="R1465" s="2">
        <f>INDEX(Tables!$D$4:$D$28,MATCH($P1465,Tables!$B$4:$B$28,0))</f>
        <v>4</v>
      </c>
      <c r="S1465" s="2">
        <f>$S1464+$R1464+INDEX(Tables!$N$5:$Q$8,MATCH(MOD($S1464+$R1464,4),Tables!$M$5:$M$8,0),MATCH($R1465,Tables!$N$4:$Q$4,0))</f>
        <v>5672</v>
      </c>
      <c r="T1465" s="2" t="str">
        <f t="shared" si="348"/>
        <v>1628</v>
      </c>
      <c r="U1465" s="2">
        <f t="shared" si="354"/>
        <v>1418</v>
      </c>
      <c r="V1465" s="2" t="str">
        <f t="shared" si="349"/>
        <v>58A</v>
      </c>
      <c r="W1465" s="2" t="str">
        <f t="shared" si="350"/>
        <v/>
      </c>
      <c r="X1465" s="2" t="str">
        <f t="shared" si="353"/>
        <v/>
      </c>
      <c r="Y1465" s="2" t="str">
        <f t="shared" si="351"/>
        <v/>
      </c>
      <c r="Z1465" s="2" t="str">
        <f t="shared" si="352"/>
        <v>X</v>
      </c>
      <c r="AA1465" s="2" t="str">
        <f t="shared" si="355"/>
        <v/>
      </c>
      <c r="AB1465" s="2" t="str">
        <f t="shared" si="356"/>
        <v/>
      </c>
      <c r="AC1465" s="2" t="str">
        <f t="shared" si="357"/>
        <v/>
      </c>
      <c r="AD1465" s="2" t="str">
        <f t="shared" si="358"/>
        <v>(0)</v>
      </c>
      <c r="AE1465" s="2" t="str">
        <f t="shared" si="359"/>
        <v/>
      </c>
      <c r="AF1465" s="2" t="str">
        <f t="shared" si="360"/>
        <v/>
      </c>
      <c r="AG1465" s="2" t="str">
        <f t="shared" si="361"/>
        <v/>
      </c>
      <c r="AH1465" s="2" t="str">
        <f t="shared" si="362"/>
        <v/>
      </c>
    </row>
    <row r="1466" spans="2:34" x14ac:dyDescent="0.25">
      <c r="B1466" s="2" t="s">
        <v>3789</v>
      </c>
      <c r="C1466" s="2" t="s">
        <v>3765</v>
      </c>
      <c r="D1466" s="2" t="s">
        <v>0</v>
      </c>
      <c r="E1466" s="2" t="s">
        <v>130</v>
      </c>
      <c r="F1466" s="2" t="s">
        <v>3790</v>
      </c>
      <c r="G1466" s="2" t="s">
        <v>3791</v>
      </c>
      <c r="H1466" s="2" t="s">
        <v>3766</v>
      </c>
      <c r="I1466" s="2" t="s">
        <v>41</v>
      </c>
      <c r="J1466" s="2">
        <v>1</v>
      </c>
      <c r="K1466" s="2" t="s">
        <v>81</v>
      </c>
      <c r="L1466" s="2" t="s">
        <v>40</v>
      </c>
      <c r="P1466" s="2" t="s">
        <v>4</v>
      </c>
      <c r="Q1466" s="2">
        <f>INDEX(Tables!$C$4:$C$28,MATCH($P1466,Tables!$B$4:$B$28,0))</f>
        <v>32</v>
      </c>
      <c r="R1466" s="2">
        <f>INDEX(Tables!$D$4:$D$28,MATCH($P1466,Tables!$B$4:$B$28,0))</f>
        <v>4</v>
      </c>
      <c r="S1466" s="2">
        <f>$S1465+$R1465+INDEX(Tables!$N$5:$Q$8,MATCH(MOD($S1465+$R1465,4),Tables!$M$5:$M$8,0),MATCH($R1466,Tables!$N$4:$Q$4,0))</f>
        <v>5676</v>
      </c>
      <c r="T1466" s="2" t="str">
        <f t="shared" si="348"/>
        <v>162C</v>
      </c>
      <c r="U1466" s="2">
        <f t="shared" si="354"/>
        <v>1419</v>
      </c>
      <c r="V1466" s="2" t="str">
        <f t="shared" si="349"/>
        <v>58B</v>
      </c>
      <c r="W1466" s="2" t="str">
        <f t="shared" si="350"/>
        <v/>
      </c>
      <c r="X1466" s="2" t="str">
        <f t="shared" si="353"/>
        <v/>
      </c>
      <c r="Y1466" s="2" t="str">
        <f t="shared" si="351"/>
        <v/>
      </c>
      <c r="Z1466" s="2" t="str">
        <f t="shared" si="352"/>
        <v>X</v>
      </c>
      <c r="AA1466" s="2" t="str">
        <f t="shared" si="355"/>
        <v/>
      </c>
      <c r="AB1466" s="2" t="str">
        <f t="shared" si="356"/>
        <v/>
      </c>
      <c r="AC1466" s="2" t="str">
        <f t="shared" si="357"/>
        <v/>
      </c>
      <c r="AD1466" s="2" t="str">
        <f t="shared" si="358"/>
        <v>(0)</v>
      </c>
      <c r="AE1466" s="2" t="str">
        <f t="shared" si="359"/>
        <v/>
      </c>
      <c r="AF1466" s="2" t="str">
        <f t="shared" si="360"/>
        <v/>
      </c>
      <c r="AG1466" s="2" t="str">
        <f t="shared" si="361"/>
        <v/>
      </c>
      <c r="AH1466" s="2" t="str">
        <f t="shared" si="362"/>
        <v/>
      </c>
    </row>
    <row r="1467" spans="2:34" x14ac:dyDescent="0.25">
      <c r="B1467" s="2" t="s">
        <v>3789</v>
      </c>
      <c r="C1467" s="2" t="s">
        <v>3767</v>
      </c>
      <c r="D1467" s="2" t="s">
        <v>0</v>
      </c>
      <c r="E1467" s="2" t="s">
        <v>130</v>
      </c>
      <c r="F1467" s="2" t="s">
        <v>3790</v>
      </c>
      <c r="G1467" s="2" t="s">
        <v>3791</v>
      </c>
      <c r="H1467" s="2" t="s">
        <v>3768</v>
      </c>
      <c r="I1467" s="2" t="s">
        <v>41</v>
      </c>
      <c r="J1467" s="2">
        <v>1</v>
      </c>
      <c r="K1467" s="2" t="s">
        <v>81</v>
      </c>
      <c r="L1467" s="2" t="s">
        <v>40</v>
      </c>
      <c r="P1467" s="2" t="s">
        <v>4</v>
      </c>
      <c r="Q1467" s="2">
        <f>INDEX(Tables!$C$4:$C$28,MATCH($P1467,Tables!$B$4:$B$28,0))</f>
        <v>32</v>
      </c>
      <c r="R1467" s="2">
        <f>INDEX(Tables!$D$4:$D$28,MATCH($P1467,Tables!$B$4:$B$28,0))</f>
        <v>4</v>
      </c>
      <c r="S1467" s="2">
        <f>$S1466+$R1466+INDEX(Tables!$N$5:$Q$8,MATCH(MOD($S1466+$R1466,4),Tables!$M$5:$M$8,0),MATCH($R1467,Tables!$N$4:$Q$4,0))</f>
        <v>5680</v>
      </c>
      <c r="T1467" s="2" t="str">
        <f t="shared" si="348"/>
        <v>1630</v>
      </c>
      <c r="U1467" s="2">
        <f t="shared" si="354"/>
        <v>1420</v>
      </c>
      <c r="V1467" s="2" t="str">
        <f t="shared" si="349"/>
        <v>58C</v>
      </c>
      <c r="W1467" s="2" t="str">
        <f t="shared" si="350"/>
        <v/>
      </c>
      <c r="X1467" s="2" t="str">
        <f t="shared" si="353"/>
        <v/>
      </c>
      <c r="Y1467" s="2" t="str">
        <f t="shared" si="351"/>
        <v/>
      </c>
      <c r="Z1467" s="2" t="str">
        <f t="shared" si="352"/>
        <v>X</v>
      </c>
      <c r="AA1467" s="2" t="str">
        <f t="shared" si="355"/>
        <v/>
      </c>
      <c r="AB1467" s="2" t="str">
        <f t="shared" si="356"/>
        <v/>
      </c>
      <c r="AC1467" s="2" t="str">
        <f t="shared" si="357"/>
        <v/>
      </c>
      <c r="AD1467" s="2" t="str">
        <f t="shared" si="358"/>
        <v>(0)</v>
      </c>
      <c r="AE1467" s="2" t="str">
        <f t="shared" si="359"/>
        <v/>
      </c>
      <c r="AF1467" s="2" t="str">
        <f t="shared" si="360"/>
        <v/>
      </c>
      <c r="AG1467" s="2" t="str">
        <f t="shared" si="361"/>
        <v/>
      </c>
      <c r="AH1467" s="2" t="str">
        <f t="shared" si="362"/>
        <v/>
      </c>
    </row>
    <row r="1468" spans="2:34" x14ac:dyDescent="0.25">
      <c r="B1468" s="2" t="s">
        <v>3789</v>
      </c>
      <c r="C1468" s="2" t="s">
        <v>3769</v>
      </c>
      <c r="D1468" s="2" t="s">
        <v>0</v>
      </c>
      <c r="E1468" s="2" t="s">
        <v>130</v>
      </c>
      <c r="F1468" s="2" t="s">
        <v>3790</v>
      </c>
      <c r="G1468" s="2" t="s">
        <v>3791</v>
      </c>
      <c r="H1468" s="2" t="s">
        <v>3770</v>
      </c>
      <c r="I1468" s="2" t="s">
        <v>41</v>
      </c>
      <c r="J1468" s="2">
        <v>1</v>
      </c>
      <c r="K1468" s="2" t="s">
        <v>81</v>
      </c>
      <c r="L1468" s="2" t="s">
        <v>40</v>
      </c>
      <c r="P1468" s="2" t="s">
        <v>4</v>
      </c>
      <c r="Q1468" s="2">
        <f>INDEX(Tables!$C$4:$C$28,MATCH($P1468,Tables!$B$4:$B$28,0))</f>
        <v>32</v>
      </c>
      <c r="R1468" s="2">
        <f>INDEX(Tables!$D$4:$D$28,MATCH($P1468,Tables!$B$4:$B$28,0))</f>
        <v>4</v>
      </c>
      <c r="S1468" s="2">
        <f>$S1467+$R1467+INDEX(Tables!$N$5:$Q$8,MATCH(MOD($S1467+$R1467,4),Tables!$M$5:$M$8,0),MATCH($R1468,Tables!$N$4:$Q$4,0))</f>
        <v>5684</v>
      </c>
      <c r="T1468" s="2" t="str">
        <f t="shared" si="348"/>
        <v>1634</v>
      </c>
      <c r="U1468" s="2">
        <f t="shared" si="354"/>
        <v>1421</v>
      </c>
      <c r="V1468" s="2" t="str">
        <f t="shared" si="349"/>
        <v>58D</v>
      </c>
      <c r="W1468" s="2" t="str">
        <f t="shared" si="350"/>
        <v/>
      </c>
      <c r="X1468" s="2" t="str">
        <f t="shared" si="353"/>
        <v/>
      </c>
      <c r="Y1468" s="2" t="str">
        <f t="shared" si="351"/>
        <v/>
      </c>
      <c r="Z1468" s="2" t="str">
        <f t="shared" si="352"/>
        <v>X</v>
      </c>
      <c r="AA1468" s="2" t="str">
        <f t="shared" si="355"/>
        <v/>
      </c>
      <c r="AB1468" s="2" t="str">
        <f t="shared" si="356"/>
        <v/>
      </c>
      <c r="AC1468" s="2" t="str">
        <f t="shared" si="357"/>
        <v/>
      </c>
      <c r="AD1468" s="2" t="str">
        <f t="shared" si="358"/>
        <v>(0)</v>
      </c>
      <c r="AE1468" s="2" t="str">
        <f t="shared" si="359"/>
        <v/>
      </c>
      <c r="AF1468" s="2" t="str">
        <f t="shared" si="360"/>
        <v/>
      </c>
      <c r="AG1468" s="2" t="str">
        <f t="shared" si="361"/>
        <v/>
      </c>
      <c r="AH1468" s="2" t="str">
        <f t="shared" si="362"/>
        <v/>
      </c>
    </row>
    <row r="1469" spans="2:34" x14ac:dyDescent="0.25">
      <c r="B1469" s="2" t="s">
        <v>3789</v>
      </c>
      <c r="C1469" s="2" t="s">
        <v>3771</v>
      </c>
      <c r="D1469" s="2" t="s">
        <v>0</v>
      </c>
      <c r="E1469" s="2" t="s">
        <v>130</v>
      </c>
      <c r="F1469" s="2" t="s">
        <v>3790</v>
      </c>
      <c r="G1469" s="2" t="s">
        <v>3791</v>
      </c>
      <c r="H1469" s="2" t="s">
        <v>3772</v>
      </c>
      <c r="I1469" s="2" t="s">
        <v>41</v>
      </c>
      <c r="J1469" s="2">
        <v>1</v>
      </c>
      <c r="K1469" s="2" t="s">
        <v>81</v>
      </c>
      <c r="L1469" s="2" t="s">
        <v>40</v>
      </c>
      <c r="P1469" s="2" t="s">
        <v>4</v>
      </c>
      <c r="Q1469" s="2">
        <f>INDEX(Tables!$C$4:$C$28,MATCH($P1469,Tables!$B$4:$B$28,0))</f>
        <v>32</v>
      </c>
      <c r="R1469" s="2">
        <f>INDEX(Tables!$D$4:$D$28,MATCH($P1469,Tables!$B$4:$B$28,0))</f>
        <v>4</v>
      </c>
      <c r="S1469" s="2">
        <f>$S1468+$R1468+INDEX(Tables!$N$5:$Q$8,MATCH(MOD($S1468+$R1468,4),Tables!$M$5:$M$8,0),MATCH($R1469,Tables!$N$4:$Q$4,0))</f>
        <v>5688</v>
      </c>
      <c r="T1469" s="2" t="str">
        <f t="shared" si="348"/>
        <v>1638</v>
      </c>
      <c r="U1469" s="2">
        <f t="shared" si="354"/>
        <v>1422</v>
      </c>
      <c r="V1469" s="2" t="str">
        <f t="shared" si="349"/>
        <v>58E</v>
      </c>
      <c r="W1469" s="2" t="str">
        <f t="shared" si="350"/>
        <v/>
      </c>
      <c r="X1469" s="2" t="str">
        <f t="shared" si="353"/>
        <v/>
      </c>
      <c r="Y1469" s="2" t="str">
        <f t="shared" si="351"/>
        <v/>
      </c>
      <c r="Z1469" s="2" t="str">
        <f t="shared" si="352"/>
        <v>X</v>
      </c>
      <c r="AA1469" s="2" t="str">
        <f t="shared" si="355"/>
        <v/>
      </c>
      <c r="AB1469" s="2" t="str">
        <f t="shared" si="356"/>
        <v/>
      </c>
      <c r="AC1469" s="2" t="str">
        <f t="shared" si="357"/>
        <v/>
      </c>
      <c r="AD1469" s="2" t="str">
        <f t="shared" si="358"/>
        <v>(0)</v>
      </c>
      <c r="AE1469" s="2" t="str">
        <f t="shared" si="359"/>
        <v/>
      </c>
      <c r="AF1469" s="2" t="str">
        <f t="shared" si="360"/>
        <v/>
      </c>
      <c r="AG1469" s="2" t="str">
        <f t="shared" si="361"/>
        <v/>
      </c>
      <c r="AH1469" s="2" t="str">
        <f t="shared" si="362"/>
        <v/>
      </c>
    </row>
    <row r="1470" spans="2:34" x14ac:dyDescent="0.25">
      <c r="B1470" s="2" t="s">
        <v>3789</v>
      </c>
      <c r="C1470" s="2" t="s">
        <v>3773</v>
      </c>
      <c r="D1470" s="2" t="s">
        <v>0</v>
      </c>
      <c r="E1470" s="2" t="s">
        <v>130</v>
      </c>
      <c r="F1470" s="2" t="s">
        <v>3790</v>
      </c>
      <c r="G1470" s="2" t="s">
        <v>3791</v>
      </c>
      <c r="H1470" s="2" t="s">
        <v>3774</v>
      </c>
      <c r="I1470" s="2" t="s">
        <v>41</v>
      </c>
      <c r="J1470" s="2">
        <v>1</v>
      </c>
      <c r="K1470" s="2" t="s">
        <v>81</v>
      </c>
      <c r="L1470" s="2" t="s">
        <v>40</v>
      </c>
      <c r="P1470" s="2" t="s">
        <v>4</v>
      </c>
      <c r="Q1470" s="2">
        <f>INDEX(Tables!$C$4:$C$28,MATCH($P1470,Tables!$B$4:$B$28,0))</f>
        <v>32</v>
      </c>
      <c r="R1470" s="2">
        <f>INDEX(Tables!$D$4:$D$28,MATCH($P1470,Tables!$B$4:$B$28,0))</f>
        <v>4</v>
      </c>
      <c r="S1470" s="2">
        <f>$S1469+$R1469+INDEX(Tables!$N$5:$Q$8,MATCH(MOD($S1469+$R1469,4),Tables!$M$5:$M$8,0),MATCH($R1470,Tables!$N$4:$Q$4,0))</f>
        <v>5692</v>
      </c>
      <c r="T1470" s="2" t="str">
        <f t="shared" si="348"/>
        <v>163C</v>
      </c>
      <c r="U1470" s="2">
        <f t="shared" si="354"/>
        <v>1423</v>
      </c>
      <c r="V1470" s="2" t="str">
        <f t="shared" si="349"/>
        <v>58F</v>
      </c>
      <c r="W1470" s="2" t="str">
        <f t="shared" si="350"/>
        <v/>
      </c>
      <c r="X1470" s="2" t="str">
        <f t="shared" si="353"/>
        <v/>
      </c>
      <c r="Y1470" s="2" t="str">
        <f t="shared" si="351"/>
        <v/>
      </c>
      <c r="Z1470" s="2" t="str">
        <f t="shared" si="352"/>
        <v>X</v>
      </c>
      <c r="AA1470" s="2" t="str">
        <f t="shared" si="355"/>
        <v/>
      </c>
      <c r="AB1470" s="2" t="str">
        <f t="shared" si="356"/>
        <v/>
      </c>
      <c r="AC1470" s="2" t="str">
        <f t="shared" si="357"/>
        <v/>
      </c>
      <c r="AD1470" s="2" t="str">
        <f t="shared" si="358"/>
        <v>(0)</v>
      </c>
      <c r="AE1470" s="2" t="str">
        <f t="shared" si="359"/>
        <v/>
      </c>
      <c r="AF1470" s="2" t="str">
        <f t="shared" si="360"/>
        <v/>
      </c>
      <c r="AG1470" s="2" t="str">
        <f t="shared" si="361"/>
        <v/>
      </c>
      <c r="AH1470" s="2" t="str">
        <f t="shared" si="362"/>
        <v/>
      </c>
    </row>
    <row r="1471" spans="2:34" x14ac:dyDescent="0.25">
      <c r="B1471" s="2" t="s">
        <v>3789</v>
      </c>
      <c r="C1471" s="2" t="s">
        <v>3775</v>
      </c>
      <c r="D1471" s="2" t="s">
        <v>0</v>
      </c>
      <c r="E1471" s="2" t="s">
        <v>130</v>
      </c>
      <c r="F1471" s="2" t="s">
        <v>3790</v>
      </c>
      <c r="G1471" s="2" t="s">
        <v>3791</v>
      </c>
      <c r="H1471" s="2" t="s">
        <v>3776</v>
      </c>
      <c r="I1471" s="2" t="s">
        <v>41</v>
      </c>
      <c r="J1471" s="2">
        <v>1</v>
      </c>
      <c r="K1471" s="2" t="s">
        <v>81</v>
      </c>
      <c r="L1471" s="2" t="s">
        <v>40</v>
      </c>
      <c r="P1471" s="2" t="s">
        <v>4</v>
      </c>
      <c r="Q1471" s="2">
        <f>INDEX(Tables!$C$4:$C$28,MATCH($P1471,Tables!$B$4:$B$28,0))</f>
        <v>32</v>
      </c>
      <c r="R1471" s="2">
        <f>INDEX(Tables!$D$4:$D$28,MATCH($P1471,Tables!$B$4:$B$28,0))</f>
        <v>4</v>
      </c>
      <c r="S1471" s="2">
        <f>$S1470+$R1470+INDEX(Tables!$N$5:$Q$8,MATCH(MOD($S1470+$R1470,4),Tables!$M$5:$M$8,0),MATCH($R1471,Tables!$N$4:$Q$4,0))</f>
        <v>5696</v>
      </c>
      <c r="T1471" s="2" t="str">
        <f t="shared" si="348"/>
        <v>1640</v>
      </c>
      <c r="U1471" s="2">
        <f t="shared" si="354"/>
        <v>1424</v>
      </c>
      <c r="V1471" s="2" t="str">
        <f t="shared" si="349"/>
        <v>590</v>
      </c>
      <c r="W1471" s="2" t="str">
        <f t="shared" si="350"/>
        <v/>
      </c>
      <c r="X1471" s="2" t="str">
        <f t="shared" si="353"/>
        <v/>
      </c>
      <c r="Y1471" s="2" t="str">
        <f t="shared" si="351"/>
        <v/>
      </c>
      <c r="Z1471" s="2" t="str">
        <f t="shared" si="352"/>
        <v>X</v>
      </c>
      <c r="AA1471" s="2" t="str">
        <f t="shared" si="355"/>
        <v/>
      </c>
      <c r="AB1471" s="2" t="str">
        <f t="shared" si="356"/>
        <v/>
      </c>
      <c r="AC1471" s="2" t="str">
        <f t="shared" si="357"/>
        <v/>
      </c>
      <c r="AD1471" s="2" t="str">
        <f t="shared" si="358"/>
        <v>(0)</v>
      </c>
      <c r="AE1471" s="2" t="str">
        <f t="shared" si="359"/>
        <v/>
      </c>
      <c r="AF1471" s="2" t="str">
        <f t="shared" si="360"/>
        <v/>
      </c>
      <c r="AG1471" s="2" t="str">
        <f t="shared" si="361"/>
        <v/>
      </c>
      <c r="AH1471" s="2" t="str">
        <f t="shared" si="362"/>
        <v/>
      </c>
    </row>
    <row r="1472" spans="2:34" x14ac:dyDescent="0.25">
      <c r="B1472" s="2" t="s">
        <v>3789</v>
      </c>
      <c r="C1472" s="2" t="s">
        <v>3777</v>
      </c>
      <c r="D1472" s="2" t="s">
        <v>0</v>
      </c>
      <c r="E1472" s="2" t="s">
        <v>130</v>
      </c>
      <c r="F1472" s="2" t="s">
        <v>3790</v>
      </c>
      <c r="G1472" s="2" t="s">
        <v>3791</v>
      </c>
      <c r="H1472" s="2" t="s">
        <v>3778</v>
      </c>
      <c r="I1472" s="2" t="s">
        <v>41</v>
      </c>
      <c r="J1472" s="2">
        <v>1</v>
      </c>
      <c r="K1472" s="2" t="s">
        <v>81</v>
      </c>
      <c r="L1472" s="2" t="s">
        <v>40</v>
      </c>
      <c r="P1472" s="2" t="s">
        <v>4</v>
      </c>
      <c r="Q1472" s="2">
        <f>INDEX(Tables!$C$4:$C$28,MATCH($P1472,Tables!$B$4:$B$28,0))</f>
        <v>32</v>
      </c>
      <c r="R1472" s="2">
        <f>INDEX(Tables!$D$4:$D$28,MATCH($P1472,Tables!$B$4:$B$28,0))</f>
        <v>4</v>
      </c>
      <c r="S1472" s="2">
        <f>$S1471+$R1471+INDEX(Tables!$N$5:$Q$8,MATCH(MOD($S1471+$R1471,4),Tables!$M$5:$M$8,0),MATCH($R1472,Tables!$N$4:$Q$4,0))</f>
        <v>5700</v>
      </c>
      <c r="T1472" s="2" t="str">
        <f t="shared" si="348"/>
        <v>1644</v>
      </c>
      <c r="U1472" s="2">
        <f t="shared" si="354"/>
        <v>1425</v>
      </c>
      <c r="V1472" s="2" t="str">
        <f t="shared" si="349"/>
        <v>591</v>
      </c>
      <c r="W1472" s="2" t="str">
        <f t="shared" si="350"/>
        <v/>
      </c>
      <c r="X1472" s="2" t="str">
        <f t="shared" si="353"/>
        <v/>
      </c>
      <c r="Y1472" s="2" t="str">
        <f t="shared" si="351"/>
        <v/>
      </c>
      <c r="Z1472" s="2" t="str">
        <f t="shared" si="352"/>
        <v>X</v>
      </c>
      <c r="AA1472" s="2" t="str">
        <f t="shared" si="355"/>
        <v/>
      </c>
      <c r="AB1472" s="2" t="str">
        <f t="shared" si="356"/>
        <v/>
      </c>
      <c r="AC1472" s="2" t="str">
        <f t="shared" si="357"/>
        <v/>
      </c>
      <c r="AD1472" s="2" t="str">
        <f t="shared" si="358"/>
        <v>(0)</v>
      </c>
      <c r="AE1472" s="2" t="str">
        <f t="shared" si="359"/>
        <v/>
      </c>
      <c r="AF1472" s="2" t="str">
        <f t="shared" si="360"/>
        <v/>
      </c>
      <c r="AG1472" s="2" t="str">
        <f t="shared" si="361"/>
        <v/>
      </c>
      <c r="AH1472" s="2" t="str">
        <f t="shared" si="362"/>
        <v/>
      </c>
    </row>
    <row r="1473" spans="2:34" x14ac:dyDescent="0.25">
      <c r="B1473" s="2" t="s">
        <v>3789</v>
      </c>
      <c r="C1473" s="2" t="s">
        <v>3779</v>
      </c>
      <c r="D1473" s="2" t="s">
        <v>0</v>
      </c>
      <c r="E1473" s="2" t="s">
        <v>130</v>
      </c>
      <c r="F1473" s="2" t="s">
        <v>3790</v>
      </c>
      <c r="G1473" s="2" t="s">
        <v>3791</v>
      </c>
      <c r="H1473" s="2" t="s">
        <v>3780</v>
      </c>
      <c r="I1473" s="2" t="s">
        <v>41</v>
      </c>
      <c r="J1473" s="2">
        <v>1</v>
      </c>
      <c r="K1473" s="2" t="s">
        <v>81</v>
      </c>
      <c r="L1473" s="2" t="s">
        <v>40</v>
      </c>
      <c r="P1473" s="2" t="s">
        <v>4</v>
      </c>
      <c r="Q1473" s="2">
        <f>INDEX(Tables!$C$4:$C$28,MATCH($P1473,Tables!$B$4:$B$28,0))</f>
        <v>32</v>
      </c>
      <c r="R1473" s="2">
        <f>INDEX(Tables!$D$4:$D$28,MATCH($P1473,Tables!$B$4:$B$28,0))</f>
        <v>4</v>
      </c>
      <c r="S1473" s="2">
        <f>$S1472+$R1472+INDEX(Tables!$N$5:$Q$8,MATCH(MOD($S1472+$R1472,4),Tables!$M$5:$M$8,0),MATCH($R1473,Tables!$N$4:$Q$4,0))</f>
        <v>5704</v>
      </c>
      <c r="T1473" s="2" t="str">
        <f t="shared" si="348"/>
        <v>1648</v>
      </c>
      <c r="U1473" s="2">
        <f t="shared" si="354"/>
        <v>1426</v>
      </c>
      <c r="V1473" s="2" t="str">
        <f t="shared" si="349"/>
        <v>592</v>
      </c>
      <c r="W1473" s="2" t="str">
        <f t="shared" si="350"/>
        <v/>
      </c>
      <c r="X1473" s="2" t="str">
        <f t="shared" si="353"/>
        <v/>
      </c>
      <c r="Y1473" s="2" t="str">
        <f t="shared" si="351"/>
        <v/>
      </c>
      <c r="Z1473" s="2" t="str">
        <f t="shared" si="352"/>
        <v>X</v>
      </c>
      <c r="AA1473" s="2" t="str">
        <f t="shared" si="355"/>
        <v/>
      </c>
      <c r="AB1473" s="2" t="str">
        <f t="shared" si="356"/>
        <v/>
      </c>
      <c r="AC1473" s="2" t="str">
        <f t="shared" si="357"/>
        <v/>
      </c>
      <c r="AD1473" s="2" t="str">
        <f t="shared" si="358"/>
        <v>(0)</v>
      </c>
      <c r="AE1473" s="2" t="str">
        <f t="shared" si="359"/>
        <v/>
      </c>
      <c r="AF1473" s="2" t="str">
        <f t="shared" si="360"/>
        <v/>
      </c>
      <c r="AG1473" s="2" t="str">
        <f t="shared" si="361"/>
        <v/>
      </c>
      <c r="AH1473" s="2" t="str">
        <f t="shared" si="362"/>
        <v/>
      </c>
    </row>
    <row r="1474" spans="2:34" x14ac:dyDescent="0.25">
      <c r="B1474" s="2" t="s">
        <v>3789</v>
      </c>
      <c r="C1474" s="2" t="s">
        <v>3781</v>
      </c>
      <c r="D1474" s="2" t="s">
        <v>0</v>
      </c>
      <c r="E1474" s="2" t="s">
        <v>130</v>
      </c>
      <c r="F1474" s="2" t="s">
        <v>3790</v>
      </c>
      <c r="G1474" s="2" t="s">
        <v>3791</v>
      </c>
      <c r="H1474" s="2" t="s">
        <v>3782</v>
      </c>
      <c r="I1474" s="2" t="s">
        <v>41</v>
      </c>
      <c r="J1474" s="2">
        <v>1</v>
      </c>
      <c r="K1474" s="2" t="s">
        <v>81</v>
      </c>
      <c r="L1474" s="2" t="s">
        <v>40</v>
      </c>
      <c r="P1474" s="2" t="s">
        <v>4</v>
      </c>
      <c r="Q1474" s="2">
        <f>INDEX(Tables!$C$4:$C$28,MATCH($P1474,Tables!$B$4:$B$28,0))</f>
        <v>32</v>
      </c>
      <c r="R1474" s="2">
        <f>INDEX(Tables!$D$4:$D$28,MATCH($P1474,Tables!$B$4:$B$28,0))</f>
        <v>4</v>
      </c>
      <c r="S1474" s="2">
        <f>$S1473+$R1473+INDEX(Tables!$N$5:$Q$8,MATCH(MOD($S1473+$R1473,4),Tables!$M$5:$M$8,0),MATCH($R1474,Tables!$N$4:$Q$4,0))</f>
        <v>5708</v>
      </c>
      <c r="T1474" s="2" t="str">
        <f t="shared" si="348"/>
        <v>164C</v>
      </c>
      <c r="U1474" s="2">
        <f t="shared" si="354"/>
        <v>1427</v>
      </c>
      <c r="V1474" s="2" t="str">
        <f t="shared" si="349"/>
        <v>593</v>
      </c>
      <c r="W1474" s="2" t="str">
        <f t="shared" si="350"/>
        <v/>
      </c>
      <c r="X1474" s="2" t="str">
        <f t="shared" si="353"/>
        <v/>
      </c>
      <c r="Y1474" s="2" t="str">
        <f t="shared" si="351"/>
        <v/>
      </c>
      <c r="Z1474" s="2" t="str">
        <f t="shared" si="352"/>
        <v>X</v>
      </c>
      <c r="AA1474" s="2" t="str">
        <f t="shared" si="355"/>
        <v/>
      </c>
      <c r="AB1474" s="2" t="str">
        <f t="shared" si="356"/>
        <v/>
      </c>
      <c r="AC1474" s="2" t="str">
        <f t="shared" si="357"/>
        <v/>
      </c>
      <c r="AD1474" s="2" t="str">
        <f t="shared" si="358"/>
        <v>(0)</v>
      </c>
      <c r="AE1474" s="2" t="str">
        <f t="shared" si="359"/>
        <v/>
      </c>
      <c r="AF1474" s="2" t="str">
        <f t="shared" si="360"/>
        <v/>
      </c>
      <c r="AG1474" s="2" t="str">
        <f t="shared" si="361"/>
        <v/>
      </c>
      <c r="AH1474" s="2" t="str">
        <f t="shared" si="362"/>
        <v/>
      </c>
    </row>
    <row r="1475" spans="2:34" x14ac:dyDescent="0.25">
      <c r="B1475" s="2" t="s">
        <v>3792</v>
      </c>
      <c r="C1475" s="2" t="s">
        <v>507</v>
      </c>
      <c r="D1475" s="2" t="s">
        <v>0</v>
      </c>
      <c r="E1475" s="2" t="s">
        <v>130</v>
      </c>
      <c r="F1475" s="2" t="s">
        <v>3793</v>
      </c>
      <c r="G1475" s="2" t="s">
        <v>3794</v>
      </c>
      <c r="H1475" s="2" t="s">
        <v>510</v>
      </c>
      <c r="I1475" s="2" t="s">
        <v>41</v>
      </c>
      <c r="J1475" s="2">
        <v>1</v>
      </c>
      <c r="K1475" s="2" t="s">
        <v>81</v>
      </c>
      <c r="L1475" s="2" t="s">
        <v>40</v>
      </c>
      <c r="P1475" s="2" t="s">
        <v>4</v>
      </c>
      <c r="Q1475" s="2">
        <f>INDEX(Tables!$C$4:$C$28,MATCH($P1475,Tables!$B$4:$B$28,0))</f>
        <v>32</v>
      </c>
      <c r="R1475" s="2">
        <f>INDEX(Tables!$D$4:$D$28,MATCH($P1475,Tables!$B$4:$B$28,0))</f>
        <v>4</v>
      </c>
      <c r="S1475" s="2">
        <f>$S1474+$R1474+INDEX(Tables!$N$5:$Q$8,MATCH(MOD($S1474+$R1474,4),Tables!$M$5:$M$8,0),MATCH($R1475,Tables!$N$4:$Q$4,0))</f>
        <v>5712</v>
      </c>
      <c r="T1475" s="2" t="str">
        <f t="shared" si="348"/>
        <v>1650</v>
      </c>
      <c r="U1475" s="2">
        <f t="shared" si="354"/>
        <v>1428</v>
      </c>
      <c r="V1475" s="2" t="str">
        <f t="shared" si="349"/>
        <v>594</v>
      </c>
      <c r="W1475" s="2" t="str">
        <f t="shared" si="350"/>
        <v/>
      </c>
      <c r="X1475" s="2" t="str">
        <f t="shared" si="353"/>
        <v/>
      </c>
      <c r="Y1475" s="2" t="str">
        <f t="shared" si="351"/>
        <v/>
      </c>
      <c r="Z1475" s="2" t="str">
        <f t="shared" si="352"/>
        <v>X</v>
      </c>
      <c r="AA1475" s="2" t="str">
        <f t="shared" si="355"/>
        <v/>
      </c>
      <c r="AB1475" s="2" t="str">
        <f t="shared" si="356"/>
        <v/>
      </c>
      <c r="AC1475" s="2" t="str">
        <f t="shared" si="357"/>
        <v/>
      </c>
      <c r="AD1475" s="2" t="str">
        <f t="shared" si="358"/>
        <v>(0)</v>
      </c>
      <c r="AE1475" s="2" t="str">
        <f t="shared" si="359"/>
        <v/>
      </c>
      <c r="AF1475" s="2" t="str">
        <f t="shared" si="360"/>
        <v/>
      </c>
      <c r="AG1475" s="2" t="str">
        <f t="shared" si="361"/>
        <v/>
      </c>
      <c r="AH1475" s="2" t="str">
        <f t="shared" si="362"/>
        <v/>
      </c>
    </row>
    <row r="1476" spans="2:34" x14ac:dyDescent="0.25">
      <c r="B1476" s="2" t="s">
        <v>3792</v>
      </c>
      <c r="C1476" s="2" t="s">
        <v>511</v>
      </c>
      <c r="D1476" s="2" t="s">
        <v>0</v>
      </c>
      <c r="E1476" s="2" t="s">
        <v>130</v>
      </c>
      <c r="F1476" s="2" t="s">
        <v>3793</v>
      </c>
      <c r="G1476" s="2" t="s">
        <v>3794</v>
      </c>
      <c r="H1476" s="2" t="s">
        <v>512</v>
      </c>
      <c r="I1476" s="2" t="s">
        <v>41</v>
      </c>
      <c r="J1476" s="2">
        <v>1</v>
      </c>
      <c r="K1476" s="2" t="s">
        <v>81</v>
      </c>
      <c r="L1476" s="2" t="s">
        <v>40</v>
      </c>
      <c r="P1476" s="2" t="s">
        <v>4</v>
      </c>
      <c r="Q1476" s="2">
        <f>INDEX(Tables!$C$4:$C$28,MATCH($P1476,Tables!$B$4:$B$28,0))</f>
        <v>32</v>
      </c>
      <c r="R1476" s="2">
        <f>INDEX(Tables!$D$4:$D$28,MATCH($P1476,Tables!$B$4:$B$28,0))</f>
        <v>4</v>
      </c>
      <c r="S1476" s="2">
        <f>$S1475+$R1475+INDEX(Tables!$N$5:$Q$8,MATCH(MOD($S1475+$R1475,4),Tables!$M$5:$M$8,0),MATCH($R1476,Tables!$N$4:$Q$4,0))</f>
        <v>5716</v>
      </c>
      <c r="T1476" s="2" t="str">
        <f t="shared" si="348"/>
        <v>1654</v>
      </c>
      <c r="U1476" s="2">
        <f t="shared" si="354"/>
        <v>1429</v>
      </c>
      <c r="V1476" s="2" t="str">
        <f t="shared" si="349"/>
        <v>595</v>
      </c>
      <c r="W1476" s="2" t="str">
        <f t="shared" si="350"/>
        <v/>
      </c>
      <c r="X1476" s="2" t="str">
        <f t="shared" si="353"/>
        <v/>
      </c>
      <c r="Y1476" s="2" t="str">
        <f t="shared" si="351"/>
        <v/>
      </c>
      <c r="Z1476" s="2" t="str">
        <f t="shared" si="352"/>
        <v>X</v>
      </c>
      <c r="AA1476" s="2" t="str">
        <f t="shared" si="355"/>
        <v/>
      </c>
      <c r="AB1476" s="2" t="str">
        <f t="shared" si="356"/>
        <v/>
      </c>
      <c r="AC1476" s="2" t="str">
        <f t="shared" si="357"/>
        <v/>
      </c>
      <c r="AD1476" s="2" t="str">
        <f t="shared" si="358"/>
        <v>(0)</v>
      </c>
      <c r="AE1476" s="2" t="str">
        <f t="shared" si="359"/>
        <v/>
      </c>
      <c r="AF1476" s="2" t="str">
        <f t="shared" si="360"/>
        <v/>
      </c>
      <c r="AG1476" s="2" t="str">
        <f t="shared" si="361"/>
        <v/>
      </c>
      <c r="AH1476" s="2" t="str">
        <f t="shared" si="362"/>
        <v/>
      </c>
    </row>
    <row r="1477" spans="2:34" x14ac:dyDescent="0.25">
      <c r="B1477" s="2" t="s">
        <v>3792</v>
      </c>
      <c r="C1477" s="2" t="s">
        <v>513</v>
      </c>
      <c r="D1477" s="2" t="s">
        <v>0</v>
      </c>
      <c r="E1477" s="2" t="s">
        <v>130</v>
      </c>
      <c r="F1477" s="2" t="s">
        <v>3793</v>
      </c>
      <c r="G1477" s="2" t="s">
        <v>3794</v>
      </c>
      <c r="H1477" s="2" t="s">
        <v>514</v>
      </c>
      <c r="I1477" s="2" t="s">
        <v>41</v>
      </c>
      <c r="J1477" s="2">
        <v>1</v>
      </c>
      <c r="K1477" s="2" t="s">
        <v>81</v>
      </c>
      <c r="L1477" s="2" t="s">
        <v>40</v>
      </c>
      <c r="P1477" s="2" t="s">
        <v>4</v>
      </c>
      <c r="Q1477" s="2">
        <f>INDEX(Tables!$C$4:$C$28,MATCH($P1477,Tables!$B$4:$B$28,0))</f>
        <v>32</v>
      </c>
      <c r="R1477" s="2">
        <f>INDEX(Tables!$D$4:$D$28,MATCH($P1477,Tables!$B$4:$B$28,0))</f>
        <v>4</v>
      </c>
      <c r="S1477" s="2">
        <f>$S1476+$R1476+INDEX(Tables!$N$5:$Q$8,MATCH(MOD($S1476+$R1476,4),Tables!$M$5:$M$8,0),MATCH($R1477,Tables!$N$4:$Q$4,0))</f>
        <v>5720</v>
      </c>
      <c r="T1477" s="2" t="str">
        <f t="shared" ref="T1477:T1518" si="363">DEC2HEX($S1477,4)</f>
        <v>1658</v>
      </c>
      <c r="U1477" s="2">
        <f t="shared" si="354"/>
        <v>1430</v>
      </c>
      <c r="V1477" s="2" t="str">
        <f t="shared" ref="V1477:V1518" si="364">DEC2HEX($U1477,3)</f>
        <v>596</v>
      </c>
      <c r="W1477" s="2" t="str">
        <f t="shared" ref="W1477:W1518" si="365">IF(MOD($S1477,4)=3,"X",IF(AND(MOD($S1477,4)=2,$J1477&gt;8),"X",IF(AND(MOD($S1477,4)=1,$J1477&gt;16),"X",IF(AND(MOD($S1477,4)=0,$J1477&gt;24),"X",""))))</f>
        <v/>
      </c>
      <c r="X1477" s="2" t="str">
        <f t="shared" si="353"/>
        <v/>
      </c>
      <c r="Y1477" s="2" t="str">
        <f t="shared" ref="Y1477:Y1518" si="366">IF(MOD($S1477,4)=1,"X",IF(AND(MOD($S1477,4)=0,$J1477&gt;8),"X",""))</f>
        <v/>
      </c>
      <c r="Z1477" s="2" t="str">
        <f t="shared" ref="Z1477:Z1518" si="367">IF(MOD($S1477,4)=0,"X","")</f>
        <v>X</v>
      </c>
      <c r="AA1477" s="2" t="str">
        <f t="shared" si="355"/>
        <v/>
      </c>
      <c r="AB1477" s="2" t="str">
        <f t="shared" si="356"/>
        <v/>
      </c>
      <c r="AC1477" s="2" t="str">
        <f t="shared" si="357"/>
        <v/>
      </c>
      <c r="AD1477" s="2" t="str">
        <f t="shared" si="358"/>
        <v>(0)</v>
      </c>
      <c r="AE1477" s="2" t="str">
        <f t="shared" si="359"/>
        <v/>
      </c>
      <c r="AF1477" s="2" t="str">
        <f t="shared" si="360"/>
        <v/>
      </c>
      <c r="AG1477" s="2" t="str">
        <f t="shared" si="361"/>
        <v/>
      </c>
      <c r="AH1477" s="2" t="str">
        <f t="shared" si="362"/>
        <v/>
      </c>
    </row>
    <row r="1478" spans="2:34" x14ac:dyDescent="0.25">
      <c r="B1478" s="2" t="s">
        <v>3792</v>
      </c>
      <c r="C1478" s="2" t="s">
        <v>515</v>
      </c>
      <c r="D1478" s="2" t="s">
        <v>0</v>
      </c>
      <c r="E1478" s="2" t="s">
        <v>130</v>
      </c>
      <c r="F1478" s="2" t="s">
        <v>3793</v>
      </c>
      <c r="G1478" s="2" t="s">
        <v>3794</v>
      </c>
      <c r="H1478" s="2" t="s">
        <v>516</v>
      </c>
      <c r="I1478" s="2" t="s">
        <v>41</v>
      </c>
      <c r="J1478" s="2">
        <v>1</v>
      </c>
      <c r="K1478" s="2" t="s">
        <v>81</v>
      </c>
      <c r="L1478" s="2" t="s">
        <v>40</v>
      </c>
      <c r="P1478" s="2" t="s">
        <v>4</v>
      </c>
      <c r="Q1478" s="2">
        <f>INDEX(Tables!$C$4:$C$28,MATCH($P1478,Tables!$B$4:$B$28,0))</f>
        <v>32</v>
      </c>
      <c r="R1478" s="2">
        <f>INDEX(Tables!$D$4:$D$28,MATCH($P1478,Tables!$B$4:$B$28,0))</f>
        <v>4</v>
      </c>
      <c r="S1478" s="2">
        <f>$S1477+$R1477+INDEX(Tables!$N$5:$Q$8,MATCH(MOD($S1477+$R1477,4),Tables!$M$5:$M$8,0),MATCH($R1478,Tables!$N$4:$Q$4,0))</f>
        <v>5724</v>
      </c>
      <c r="T1478" s="2" t="str">
        <f t="shared" si="363"/>
        <v>165C</v>
      </c>
      <c r="U1478" s="2">
        <f t="shared" si="354"/>
        <v>1431</v>
      </c>
      <c r="V1478" s="2" t="str">
        <f t="shared" si="364"/>
        <v>597</v>
      </c>
      <c r="W1478" s="2" t="str">
        <f t="shared" si="365"/>
        <v/>
      </c>
      <c r="X1478" s="2" t="str">
        <f t="shared" ref="X1478:X1518" si="368">IF(MOD($S1478,4)=2,"X",IF(AND(MOD($S1478,4)=1,$J1478&gt;8),"X",IF(AND(MOD($S1478,4)=0,$J1478&gt;16),"X","")))</f>
        <v/>
      </c>
      <c r="Y1478" s="2" t="str">
        <f t="shared" si="366"/>
        <v/>
      </c>
      <c r="Z1478" s="2" t="str">
        <f t="shared" si="367"/>
        <v>X</v>
      </c>
      <c r="AA1478" s="2" t="str">
        <f t="shared" si="355"/>
        <v/>
      </c>
      <c r="AB1478" s="2" t="str">
        <f t="shared" si="356"/>
        <v/>
      </c>
      <c r="AC1478" s="2" t="str">
        <f t="shared" si="357"/>
        <v/>
      </c>
      <c r="AD1478" s="2" t="str">
        <f t="shared" si="358"/>
        <v>(0)</v>
      </c>
      <c r="AE1478" s="2" t="str">
        <f t="shared" si="359"/>
        <v/>
      </c>
      <c r="AF1478" s="2" t="str">
        <f t="shared" si="360"/>
        <v/>
      </c>
      <c r="AG1478" s="2" t="str">
        <f t="shared" si="361"/>
        <v/>
      </c>
      <c r="AH1478" s="2" t="str">
        <f t="shared" si="362"/>
        <v/>
      </c>
    </row>
    <row r="1479" spans="2:34" x14ac:dyDescent="0.25">
      <c r="B1479" s="2" t="s">
        <v>3792</v>
      </c>
      <c r="C1479" s="2" t="s">
        <v>517</v>
      </c>
      <c r="D1479" s="2" t="s">
        <v>0</v>
      </c>
      <c r="E1479" s="2" t="s">
        <v>130</v>
      </c>
      <c r="F1479" s="2" t="s">
        <v>3793</v>
      </c>
      <c r="G1479" s="2" t="s">
        <v>3794</v>
      </c>
      <c r="H1479" s="2" t="s">
        <v>518</v>
      </c>
      <c r="I1479" s="2" t="s">
        <v>41</v>
      </c>
      <c r="J1479" s="2">
        <v>1</v>
      </c>
      <c r="K1479" s="2" t="s">
        <v>81</v>
      </c>
      <c r="L1479" s="2" t="s">
        <v>40</v>
      </c>
      <c r="P1479" s="2" t="s">
        <v>4</v>
      </c>
      <c r="Q1479" s="2">
        <f>INDEX(Tables!$C$4:$C$28,MATCH($P1479,Tables!$B$4:$B$28,0))</f>
        <v>32</v>
      </c>
      <c r="R1479" s="2">
        <f>INDEX(Tables!$D$4:$D$28,MATCH($P1479,Tables!$B$4:$B$28,0))</f>
        <v>4</v>
      </c>
      <c r="S1479" s="2">
        <f>$S1478+$R1478+INDEX(Tables!$N$5:$Q$8,MATCH(MOD($S1478+$R1478,4),Tables!$M$5:$M$8,0),MATCH($R1479,Tables!$N$4:$Q$4,0))</f>
        <v>5728</v>
      </c>
      <c r="T1479" s="2" t="str">
        <f t="shared" si="363"/>
        <v>1660</v>
      </c>
      <c r="U1479" s="2">
        <f t="shared" si="354"/>
        <v>1432</v>
      </c>
      <c r="V1479" s="2" t="str">
        <f t="shared" si="364"/>
        <v>598</v>
      </c>
      <c r="W1479" s="2" t="str">
        <f t="shared" si="365"/>
        <v/>
      </c>
      <c r="X1479" s="2" t="str">
        <f t="shared" si="368"/>
        <v/>
      </c>
      <c r="Y1479" s="2" t="str">
        <f t="shared" si="366"/>
        <v/>
      </c>
      <c r="Z1479" s="2" t="str">
        <f t="shared" si="367"/>
        <v>X</v>
      </c>
      <c r="AA1479" s="2" t="str">
        <f t="shared" si="355"/>
        <v/>
      </c>
      <c r="AB1479" s="2" t="str">
        <f t="shared" si="356"/>
        <v/>
      </c>
      <c r="AC1479" s="2" t="str">
        <f t="shared" si="357"/>
        <v/>
      </c>
      <c r="AD1479" s="2" t="str">
        <f t="shared" si="358"/>
        <v>(0)</v>
      </c>
      <c r="AE1479" s="2" t="str">
        <f t="shared" si="359"/>
        <v/>
      </c>
      <c r="AF1479" s="2" t="str">
        <f t="shared" si="360"/>
        <v/>
      </c>
      <c r="AG1479" s="2" t="str">
        <f t="shared" si="361"/>
        <v/>
      </c>
      <c r="AH1479" s="2" t="str">
        <f t="shared" si="362"/>
        <v/>
      </c>
    </row>
    <row r="1480" spans="2:34" x14ac:dyDescent="0.25">
      <c r="B1480" s="2" t="s">
        <v>3792</v>
      </c>
      <c r="C1480" s="2" t="s">
        <v>519</v>
      </c>
      <c r="D1480" s="2" t="s">
        <v>0</v>
      </c>
      <c r="E1480" s="2" t="s">
        <v>130</v>
      </c>
      <c r="F1480" s="2" t="s">
        <v>3793</v>
      </c>
      <c r="G1480" s="2" t="s">
        <v>3794</v>
      </c>
      <c r="H1480" s="2" t="s">
        <v>520</v>
      </c>
      <c r="I1480" s="2" t="s">
        <v>41</v>
      </c>
      <c r="J1480" s="2">
        <v>1</v>
      </c>
      <c r="K1480" s="2" t="s">
        <v>81</v>
      </c>
      <c r="L1480" s="2" t="s">
        <v>40</v>
      </c>
      <c r="P1480" s="2" t="s">
        <v>4</v>
      </c>
      <c r="Q1480" s="2">
        <f>INDEX(Tables!$C$4:$C$28,MATCH($P1480,Tables!$B$4:$B$28,0))</f>
        <v>32</v>
      </c>
      <c r="R1480" s="2">
        <f>INDEX(Tables!$D$4:$D$28,MATCH($P1480,Tables!$B$4:$B$28,0))</f>
        <v>4</v>
      </c>
      <c r="S1480" s="2">
        <f>$S1479+$R1479+INDEX(Tables!$N$5:$Q$8,MATCH(MOD($S1479+$R1479,4),Tables!$M$5:$M$8,0),MATCH($R1480,Tables!$N$4:$Q$4,0))</f>
        <v>5732</v>
      </c>
      <c r="T1480" s="2" t="str">
        <f t="shared" si="363"/>
        <v>1664</v>
      </c>
      <c r="U1480" s="2">
        <f t="shared" si="354"/>
        <v>1433</v>
      </c>
      <c r="V1480" s="2" t="str">
        <f t="shared" si="364"/>
        <v>599</v>
      </c>
      <c r="W1480" s="2" t="str">
        <f t="shared" si="365"/>
        <v/>
      </c>
      <c r="X1480" s="2" t="str">
        <f t="shared" si="368"/>
        <v/>
      </c>
      <c r="Y1480" s="2" t="str">
        <f t="shared" si="366"/>
        <v/>
      </c>
      <c r="Z1480" s="2" t="str">
        <f t="shared" si="367"/>
        <v>X</v>
      </c>
      <c r="AA1480" s="2" t="str">
        <f t="shared" si="355"/>
        <v/>
      </c>
      <c r="AB1480" s="2" t="str">
        <f t="shared" si="356"/>
        <v/>
      </c>
      <c r="AC1480" s="2" t="str">
        <f t="shared" si="357"/>
        <v/>
      </c>
      <c r="AD1480" s="2" t="str">
        <f t="shared" si="358"/>
        <v>(0)</v>
      </c>
      <c r="AE1480" s="2" t="str">
        <f t="shared" si="359"/>
        <v/>
      </c>
      <c r="AF1480" s="2" t="str">
        <f t="shared" si="360"/>
        <v/>
      </c>
      <c r="AG1480" s="2" t="str">
        <f t="shared" si="361"/>
        <v/>
      </c>
      <c r="AH1480" s="2" t="str">
        <f t="shared" si="362"/>
        <v/>
      </c>
    </row>
    <row r="1481" spans="2:34" x14ac:dyDescent="0.25">
      <c r="B1481" s="2" t="s">
        <v>3792</v>
      </c>
      <c r="C1481" s="2" t="s">
        <v>521</v>
      </c>
      <c r="D1481" s="2" t="s">
        <v>0</v>
      </c>
      <c r="E1481" s="2" t="s">
        <v>130</v>
      </c>
      <c r="F1481" s="2" t="s">
        <v>3793</v>
      </c>
      <c r="G1481" s="2" t="s">
        <v>3794</v>
      </c>
      <c r="H1481" s="2" t="s">
        <v>522</v>
      </c>
      <c r="I1481" s="2" t="s">
        <v>41</v>
      </c>
      <c r="J1481" s="2">
        <v>1</v>
      </c>
      <c r="K1481" s="2" t="s">
        <v>81</v>
      </c>
      <c r="L1481" s="2" t="s">
        <v>40</v>
      </c>
      <c r="P1481" s="2" t="s">
        <v>4</v>
      </c>
      <c r="Q1481" s="2">
        <f>INDEX(Tables!$C$4:$C$28,MATCH($P1481,Tables!$B$4:$B$28,0))</f>
        <v>32</v>
      </c>
      <c r="R1481" s="2">
        <f>INDEX(Tables!$D$4:$D$28,MATCH($P1481,Tables!$B$4:$B$28,0))</f>
        <v>4</v>
      </c>
      <c r="S1481" s="2">
        <f>$S1480+$R1480+INDEX(Tables!$N$5:$Q$8,MATCH(MOD($S1480+$R1480,4),Tables!$M$5:$M$8,0),MATCH($R1481,Tables!$N$4:$Q$4,0))</f>
        <v>5736</v>
      </c>
      <c r="T1481" s="2" t="str">
        <f t="shared" si="363"/>
        <v>1668</v>
      </c>
      <c r="U1481" s="2">
        <f t="shared" ref="U1481:U1518" si="369">ROUNDDOWN(S1481/4,0)</f>
        <v>1434</v>
      </c>
      <c r="V1481" s="2" t="str">
        <f t="shared" si="364"/>
        <v>59A</v>
      </c>
      <c r="W1481" s="2" t="str">
        <f t="shared" si="365"/>
        <v/>
      </c>
      <c r="X1481" s="2" t="str">
        <f t="shared" si="368"/>
        <v/>
      </c>
      <c r="Y1481" s="2" t="str">
        <f t="shared" si="366"/>
        <v/>
      </c>
      <c r="Z1481" s="2" t="str">
        <f t="shared" si="367"/>
        <v>X</v>
      </c>
      <c r="AA1481" s="2" t="str">
        <f t="shared" ref="AA1481:AA1518" si="370">IF(W1481="","",CONCATENATE("(",IF(($J1481-COUNTIF($X1481:$Z1481,"X")*8)=1,"24)",CONCATENATE(IF(($J1481-COUNTIF($X1481:$Z1481,"X")*8)&gt;=8,32,($J1481-COUNTIF($X1481:$Z1481,"X")*8)+24)-1," downto 24)"))))</f>
        <v/>
      </c>
      <c r="AB1481" s="2" t="str">
        <f t="shared" ref="AB1481:AB1518" si="371">IF(X1481="","",CONCATENATE("(",IF(($J1481-COUNTIF($Y1481:$Z1481,"X")*8)=1,"16)",CONCATENATE(IF(($J1481-COUNTIF($Y1481:$Z1481,"X")*8)&gt;=8,24,($J1481-COUNTIF($Y1481:$Z1481,"X")*8)+16)-1," downto 16)"))))</f>
        <v/>
      </c>
      <c r="AC1481" s="2" t="str">
        <f t="shared" ref="AC1481:AC1518" si="372">IF(Y1481="","",CONCATENATE("(",IF(($J1481-COUNTIF($Z1481,"X")*8)=1,"8)",CONCATENATE(IF(($J1481-COUNTIF($Z1481,"X")*8)&gt;=8,16,($J1481-COUNTIF($Z1481,"X")*8)+8)-1," downto 8)"))))</f>
        <v/>
      </c>
      <c r="AD1481" s="2" t="str">
        <f t="shared" ref="AD1481:AD1518" si="373">IF(Z1481="","",CONCATENATE("(",IF($J1481=1,"0)",CONCATENATE(IF($J1481&gt;=8,8,$J1481)-1," downto 0)"))))</f>
        <v>(0)</v>
      </c>
      <c r="AE1481" s="2" t="str">
        <f t="shared" ref="AE1481:AE1518" si="374">IF(W1481="","",IF($J1481&lt;=8,"",IF(($J1481-COUNTIF($X1481:$Z1481,"X")*8)=1,CONCATENATE("(",($J1481-1),")"),CONCATENATE("(",IF(($J1481-COUNTIF($X1481:$Z1481,"X")*8)&gt;=8,COUNTIF($X1481:$Z1481,"X")*8+7,$J1481-COUNTIF($X1481:$Z1481,"X")*8-1+COUNTIF($X1481:$Z1481,"X")*8)," downto ",COUNTIF($X1481:$Z1481,"X")*8,")"))))</f>
        <v/>
      </c>
      <c r="AF1481" s="2" t="str">
        <f t="shared" ref="AF1481:AF1518" si="375">IF(X1481="","",IF($J1481&lt;=8,"",IF(($J1481-COUNTIF($Y1481:$Z1481,"X")*8)=1,CONCATENATE("(",($J1481-1),")"),CONCATENATE("(",IF(($J1481-COUNTIF($Y1481:$Z1481,"X")*8)&gt;=8,COUNTIF($Y1481:$Z1481,"X")*8+7,$J1481-COUNTIF($Y1481:$Z1481,"X")*8-1+COUNTIF($Y1481:$Z1481,"X")*8)," downto ",COUNTIF($Y1481:$Z1481,"X")*8,")"))))</f>
        <v/>
      </c>
      <c r="AG1481" s="2" t="str">
        <f t="shared" ref="AG1481:AG1518" si="376">IF(Y1481="","",IF($J1481&lt;=8,"",IF(($J1481-COUNTIF($Z1481,"X")*8)=1,CONCATENATE("(",($J1481-1),")"),CONCATENATE("(",IF(($J1481-COUNTIF($Z1481,"X")*8)&gt;=8,COUNTIF($Z1481,"X")*8+7,$J1481-COUNTIF($Z1481,"X")*8-1+COUNTIF($Z1481,"X")*8)," downto ",COUNTIF($Z1481,"X")*8,")"))))</f>
        <v/>
      </c>
      <c r="AH1481" s="2" t="str">
        <f t="shared" ref="AH1481:AH1518" si="377">IF(Z1481="","",IF($J1481&lt;=8,"",CONCATENATE("(",IF($J1481&gt;=8,7,$J1481-1)," downto ",0,")")))</f>
        <v/>
      </c>
    </row>
    <row r="1482" spans="2:34" x14ac:dyDescent="0.25">
      <c r="B1482" s="2" t="s">
        <v>3792</v>
      </c>
      <c r="C1482" s="2" t="s">
        <v>523</v>
      </c>
      <c r="D1482" s="2" t="s">
        <v>0</v>
      </c>
      <c r="E1482" s="2" t="s">
        <v>130</v>
      </c>
      <c r="F1482" s="2" t="s">
        <v>3793</v>
      </c>
      <c r="G1482" s="2" t="s">
        <v>3794</v>
      </c>
      <c r="H1482" s="2" t="s">
        <v>524</v>
      </c>
      <c r="I1482" s="2" t="s">
        <v>41</v>
      </c>
      <c r="J1482" s="2">
        <v>1</v>
      </c>
      <c r="K1482" s="2" t="s">
        <v>81</v>
      </c>
      <c r="L1482" s="2" t="s">
        <v>40</v>
      </c>
      <c r="P1482" s="2" t="s">
        <v>4</v>
      </c>
      <c r="Q1482" s="2">
        <f>INDEX(Tables!$C$4:$C$28,MATCH($P1482,Tables!$B$4:$B$28,0))</f>
        <v>32</v>
      </c>
      <c r="R1482" s="2">
        <f>INDEX(Tables!$D$4:$D$28,MATCH($P1482,Tables!$B$4:$B$28,0))</f>
        <v>4</v>
      </c>
      <c r="S1482" s="2">
        <f>$S1481+$R1481+INDEX(Tables!$N$5:$Q$8,MATCH(MOD($S1481+$R1481,4),Tables!$M$5:$M$8,0),MATCH($R1482,Tables!$N$4:$Q$4,0))</f>
        <v>5740</v>
      </c>
      <c r="T1482" s="2" t="str">
        <f t="shared" si="363"/>
        <v>166C</v>
      </c>
      <c r="U1482" s="2">
        <f t="shared" si="369"/>
        <v>1435</v>
      </c>
      <c r="V1482" s="2" t="str">
        <f t="shared" si="364"/>
        <v>59B</v>
      </c>
      <c r="W1482" s="2" t="str">
        <f t="shared" si="365"/>
        <v/>
      </c>
      <c r="X1482" s="2" t="str">
        <f t="shared" si="368"/>
        <v/>
      </c>
      <c r="Y1482" s="2" t="str">
        <f t="shared" si="366"/>
        <v/>
      </c>
      <c r="Z1482" s="2" t="str">
        <f t="shared" si="367"/>
        <v>X</v>
      </c>
      <c r="AA1482" s="2" t="str">
        <f t="shared" si="370"/>
        <v/>
      </c>
      <c r="AB1482" s="2" t="str">
        <f t="shared" si="371"/>
        <v/>
      </c>
      <c r="AC1482" s="2" t="str">
        <f t="shared" si="372"/>
        <v/>
      </c>
      <c r="AD1482" s="2" t="str">
        <f t="shared" si="373"/>
        <v>(0)</v>
      </c>
      <c r="AE1482" s="2" t="str">
        <f t="shared" si="374"/>
        <v/>
      </c>
      <c r="AF1482" s="2" t="str">
        <f t="shared" si="375"/>
        <v/>
      </c>
      <c r="AG1482" s="2" t="str">
        <f t="shared" si="376"/>
        <v/>
      </c>
      <c r="AH1482" s="2" t="str">
        <f t="shared" si="377"/>
        <v/>
      </c>
    </row>
    <row r="1483" spans="2:34" x14ac:dyDescent="0.25">
      <c r="B1483" s="2" t="s">
        <v>3792</v>
      </c>
      <c r="C1483" s="2" t="s">
        <v>525</v>
      </c>
      <c r="D1483" s="2" t="s">
        <v>0</v>
      </c>
      <c r="E1483" s="2" t="s">
        <v>130</v>
      </c>
      <c r="F1483" s="2" t="s">
        <v>3793</v>
      </c>
      <c r="G1483" s="2" t="s">
        <v>3794</v>
      </c>
      <c r="H1483" s="2" t="s">
        <v>526</v>
      </c>
      <c r="I1483" s="2" t="s">
        <v>41</v>
      </c>
      <c r="J1483" s="2">
        <v>1</v>
      </c>
      <c r="K1483" s="2" t="s">
        <v>81</v>
      </c>
      <c r="L1483" s="2" t="s">
        <v>40</v>
      </c>
      <c r="P1483" s="2" t="s">
        <v>4</v>
      </c>
      <c r="Q1483" s="2">
        <f>INDEX(Tables!$C$4:$C$28,MATCH($P1483,Tables!$B$4:$B$28,0))</f>
        <v>32</v>
      </c>
      <c r="R1483" s="2">
        <f>INDEX(Tables!$D$4:$D$28,MATCH($P1483,Tables!$B$4:$B$28,0))</f>
        <v>4</v>
      </c>
      <c r="S1483" s="2">
        <f>$S1482+$R1482+INDEX(Tables!$N$5:$Q$8,MATCH(MOD($S1482+$R1482,4),Tables!$M$5:$M$8,0),MATCH($R1483,Tables!$N$4:$Q$4,0))</f>
        <v>5744</v>
      </c>
      <c r="T1483" s="2" t="str">
        <f t="shared" si="363"/>
        <v>1670</v>
      </c>
      <c r="U1483" s="2">
        <f t="shared" si="369"/>
        <v>1436</v>
      </c>
      <c r="V1483" s="2" t="str">
        <f t="shared" si="364"/>
        <v>59C</v>
      </c>
      <c r="W1483" s="2" t="str">
        <f t="shared" si="365"/>
        <v/>
      </c>
      <c r="X1483" s="2" t="str">
        <f t="shared" si="368"/>
        <v/>
      </c>
      <c r="Y1483" s="2" t="str">
        <f t="shared" si="366"/>
        <v/>
      </c>
      <c r="Z1483" s="2" t="str">
        <f t="shared" si="367"/>
        <v>X</v>
      </c>
      <c r="AA1483" s="2" t="str">
        <f t="shared" si="370"/>
        <v/>
      </c>
      <c r="AB1483" s="2" t="str">
        <f t="shared" si="371"/>
        <v/>
      </c>
      <c r="AC1483" s="2" t="str">
        <f t="shared" si="372"/>
        <v/>
      </c>
      <c r="AD1483" s="2" t="str">
        <f t="shared" si="373"/>
        <v>(0)</v>
      </c>
      <c r="AE1483" s="2" t="str">
        <f t="shared" si="374"/>
        <v/>
      </c>
      <c r="AF1483" s="2" t="str">
        <f t="shared" si="375"/>
        <v/>
      </c>
      <c r="AG1483" s="2" t="str">
        <f t="shared" si="376"/>
        <v/>
      </c>
      <c r="AH1483" s="2" t="str">
        <f t="shared" si="377"/>
        <v/>
      </c>
    </row>
    <row r="1484" spans="2:34" x14ac:dyDescent="0.25">
      <c r="B1484" s="2" t="s">
        <v>3792</v>
      </c>
      <c r="C1484" s="2" t="s">
        <v>527</v>
      </c>
      <c r="D1484" s="2" t="s">
        <v>0</v>
      </c>
      <c r="E1484" s="2" t="s">
        <v>130</v>
      </c>
      <c r="F1484" s="2" t="s">
        <v>3793</v>
      </c>
      <c r="G1484" s="2" t="s">
        <v>3794</v>
      </c>
      <c r="H1484" s="2" t="s">
        <v>528</v>
      </c>
      <c r="I1484" s="2" t="s">
        <v>41</v>
      </c>
      <c r="J1484" s="2">
        <v>1</v>
      </c>
      <c r="K1484" s="2" t="s">
        <v>81</v>
      </c>
      <c r="L1484" s="2" t="s">
        <v>40</v>
      </c>
      <c r="P1484" s="2" t="s">
        <v>4</v>
      </c>
      <c r="Q1484" s="2">
        <f>INDEX(Tables!$C$4:$C$28,MATCH($P1484,Tables!$B$4:$B$28,0))</f>
        <v>32</v>
      </c>
      <c r="R1484" s="2">
        <f>INDEX(Tables!$D$4:$D$28,MATCH($P1484,Tables!$B$4:$B$28,0))</f>
        <v>4</v>
      </c>
      <c r="S1484" s="2">
        <f>$S1483+$R1483+INDEX(Tables!$N$5:$Q$8,MATCH(MOD($S1483+$R1483,4),Tables!$M$5:$M$8,0),MATCH($R1484,Tables!$N$4:$Q$4,0))</f>
        <v>5748</v>
      </c>
      <c r="T1484" s="2" t="str">
        <f t="shared" si="363"/>
        <v>1674</v>
      </c>
      <c r="U1484" s="2">
        <f t="shared" si="369"/>
        <v>1437</v>
      </c>
      <c r="V1484" s="2" t="str">
        <f t="shared" si="364"/>
        <v>59D</v>
      </c>
      <c r="W1484" s="2" t="str">
        <f t="shared" si="365"/>
        <v/>
      </c>
      <c r="X1484" s="2" t="str">
        <f t="shared" si="368"/>
        <v/>
      </c>
      <c r="Y1484" s="2" t="str">
        <f t="shared" si="366"/>
        <v/>
      </c>
      <c r="Z1484" s="2" t="str">
        <f t="shared" si="367"/>
        <v>X</v>
      </c>
      <c r="AA1484" s="2" t="str">
        <f t="shared" si="370"/>
        <v/>
      </c>
      <c r="AB1484" s="2" t="str">
        <f t="shared" si="371"/>
        <v/>
      </c>
      <c r="AC1484" s="2" t="str">
        <f t="shared" si="372"/>
        <v/>
      </c>
      <c r="AD1484" s="2" t="str">
        <f t="shared" si="373"/>
        <v>(0)</v>
      </c>
      <c r="AE1484" s="2" t="str">
        <f t="shared" si="374"/>
        <v/>
      </c>
      <c r="AF1484" s="2" t="str">
        <f t="shared" si="375"/>
        <v/>
      </c>
      <c r="AG1484" s="2" t="str">
        <f t="shared" si="376"/>
        <v/>
      </c>
      <c r="AH1484" s="2" t="str">
        <f t="shared" si="377"/>
        <v/>
      </c>
    </row>
    <row r="1485" spans="2:34" x14ac:dyDescent="0.25">
      <c r="B1485" s="2" t="s">
        <v>3792</v>
      </c>
      <c r="C1485" s="2" t="s">
        <v>529</v>
      </c>
      <c r="D1485" s="2" t="s">
        <v>0</v>
      </c>
      <c r="E1485" s="2" t="s">
        <v>130</v>
      </c>
      <c r="F1485" s="2" t="s">
        <v>3793</v>
      </c>
      <c r="G1485" s="2" t="s">
        <v>3794</v>
      </c>
      <c r="H1485" s="2" t="s">
        <v>530</v>
      </c>
      <c r="I1485" s="2" t="s">
        <v>41</v>
      </c>
      <c r="J1485" s="2">
        <v>1</v>
      </c>
      <c r="K1485" s="2" t="s">
        <v>81</v>
      </c>
      <c r="L1485" s="2" t="s">
        <v>40</v>
      </c>
      <c r="P1485" s="2" t="s">
        <v>4</v>
      </c>
      <c r="Q1485" s="2">
        <f>INDEX(Tables!$C$4:$C$28,MATCH($P1485,Tables!$B$4:$B$28,0))</f>
        <v>32</v>
      </c>
      <c r="R1485" s="2">
        <f>INDEX(Tables!$D$4:$D$28,MATCH($P1485,Tables!$B$4:$B$28,0))</f>
        <v>4</v>
      </c>
      <c r="S1485" s="2">
        <f>$S1484+$R1484+INDEX(Tables!$N$5:$Q$8,MATCH(MOD($S1484+$R1484,4),Tables!$M$5:$M$8,0),MATCH($R1485,Tables!$N$4:$Q$4,0))</f>
        <v>5752</v>
      </c>
      <c r="T1485" s="2" t="str">
        <f t="shared" si="363"/>
        <v>1678</v>
      </c>
      <c r="U1485" s="2">
        <f t="shared" si="369"/>
        <v>1438</v>
      </c>
      <c r="V1485" s="2" t="str">
        <f t="shared" si="364"/>
        <v>59E</v>
      </c>
      <c r="W1485" s="2" t="str">
        <f t="shared" si="365"/>
        <v/>
      </c>
      <c r="X1485" s="2" t="str">
        <f t="shared" si="368"/>
        <v/>
      </c>
      <c r="Y1485" s="2" t="str">
        <f t="shared" si="366"/>
        <v/>
      </c>
      <c r="Z1485" s="2" t="str">
        <f t="shared" si="367"/>
        <v>X</v>
      </c>
      <c r="AA1485" s="2" t="str">
        <f t="shared" si="370"/>
        <v/>
      </c>
      <c r="AB1485" s="2" t="str">
        <f t="shared" si="371"/>
        <v/>
      </c>
      <c r="AC1485" s="2" t="str">
        <f t="shared" si="372"/>
        <v/>
      </c>
      <c r="AD1485" s="2" t="str">
        <f t="shared" si="373"/>
        <v>(0)</v>
      </c>
      <c r="AE1485" s="2" t="str">
        <f t="shared" si="374"/>
        <v/>
      </c>
      <c r="AF1485" s="2" t="str">
        <f t="shared" si="375"/>
        <v/>
      </c>
      <c r="AG1485" s="2" t="str">
        <f t="shared" si="376"/>
        <v/>
      </c>
      <c r="AH1485" s="2" t="str">
        <f t="shared" si="377"/>
        <v/>
      </c>
    </row>
    <row r="1486" spans="2:34" x14ac:dyDescent="0.25">
      <c r="B1486" s="2" t="s">
        <v>3792</v>
      </c>
      <c r="C1486" s="2" t="s">
        <v>531</v>
      </c>
      <c r="D1486" s="2" t="s">
        <v>0</v>
      </c>
      <c r="E1486" s="2" t="s">
        <v>130</v>
      </c>
      <c r="F1486" s="2" t="s">
        <v>3793</v>
      </c>
      <c r="G1486" s="2" t="s">
        <v>3794</v>
      </c>
      <c r="H1486" s="2" t="s">
        <v>532</v>
      </c>
      <c r="I1486" s="2" t="s">
        <v>41</v>
      </c>
      <c r="J1486" s="2">
        <v>1</v>
      </c>
      <c r="K1486" s="2" t="s">
        <v>81</v>
      </c>
      <c r="L1486" s="2" t="s">
        <v>40</v>
      </c>
      <c r="P1486" s="2" t="s">
        <v>4</v>
      </c>
      <c r="Q1486" s="2">
        <f>INDEX(Tables!$C$4:$C$28,MATCH($P1486,Tables!$B$4:$B$28,0))</f>
        <v>32</v>
      </c>
      <c r="R1486" s="2">
        <f>INDEX(Tables!$D$4:$D$28,MATCH($P1486,Tables!$B$4:$B$28,0))</f>
        <v>4</v>
      </c>
      <c r="S1486" s="2">
        <f>$S1485+$R1485+INDEX(Tables!$N$5:$Q$8,MATCH(MOD($S1485+$R1485,4),Tables!$M$5:$M$8,0),MATCH($R1486,Tables!$N$4:$Q$4,0))</f>
        <v>5756</v>
      </c>
      <c r="T1486" s="2" t="str">
        <f t="shared" si="363"/>
        <v>167C</v>
      </c>
      <c r="U1486" s="2">
        <f t="shared" si="369"/>
        <v>1439</v>
      </c>
      <c r="V1486" s="2" t="str">
        <f t="shared" si="364"/>
        <v>59F</v>
      </c>
      <c r="W1486" s="2" t="str">
        <f t="shared" si="365"/>
        <v/>
      </c>
      <c r="X1486" s="2" t="str">
        <f t="shared" si="368"/>
        <v/>
      </c>
      <c r="Y1486" s="2" t="str">
        <f t="shared" si="366"/>
        <v/>
      </c>
      <c r="Z1486" s="2" t="str">
        <f t="shared" si="367"/>
        <v>X</v>
      </c>
      <c r="AA1486" s="2" t="str">
        <f t="shared" si="370"/>
        <v/>
      </c>
      <c r="AB1486" s="2" t="str">
        <f t="shared" si="371"/>
        <v/>
      </c>
      <c r="AC1486" s="2" t="str">
        <f t="shared" si="372"/>
        <v/>
      </c>
      <c r="AD1486" s="2" t="str">
        <f t="shared" si="373"/>
        <v>(0)</v>
      </c>
      <c r="AE1486" s="2" t="str">
        <f t="shared" si="374"/>
        <v/>
      </c>
      <c r="AF1486" s="2" t="str">
        <f t="shared" si="375"/>
        <v/>
      </c>
      <c r="AG1486" s="2" t="str">
        <f t="shared" si="376"/>
        <v/>
      </c>
      <c r="AH1486" s="2" t="str">
        <f t="shared" si="377"/>
        <v/>
      </c>
    </row>
    <row r="1487" spans="2:34" x14ac:dyDescent="0.25">
      <c r="B1487" s="2" t="s">
        <v>3792</v>
      </c>
      <c r="C1487" s="2" t="s">
        <v>533</v>
      </c>
      <c r="D1487" s="2" t="s">
        <v>0</v>
      </c>
      <c r="E1487" s="2" t="s">
        <v>130</v>
      </c>
      <c r="F1487" s="2" t="s">
        <v>3793</v>
      </c>
      <c r="G1487" s="2" t="s">
        <v>3794</v>
      </c>
      <c r="H1487" s="2" t="s">
        <v>534</v>
      </c>
      <c r="I1487" s="2" t="s">
        <v>41</v>
      </c>
      <c r="J1487" s="2">
        <v>1</v>
      </c>
      <c r="K1487" s="2" t="s">
        <v>81</v>
      </c>
      <c r="L1487" s="2" t="s">
        <v>40</v>
      </c>
      <c r="P1487" s="2" t="s">
        <v>4</v>
      </c>
      <c r="Q1487" s="2">
        <f>INDEX(Tables!$C$4:$C$28,MATCH($P1487,Tables!$B$4:$B$28,0))</f>
        <v>32</v>
      </c>
      <c r="R1487" s="2">
        <f>INDEX(Tables!$D$4:$D$28,MATCH($P1487,Tables!$B$4:$B$28,0))</f>
        <v>4</v>
      </c>
      <c r="S1487" s="2">
        <f>$S1486+$R1486+INDEX(Tables!$N$5:$Q$8,MATCH(MOD($S1486+$R1486,4),Tables!$M$5:$M$8,0),MATCH($R1487,Tables!$N$4:$Q$4,0))</f>
        <v>5760</v>
      </c>
      <c r="T1487" s="2" t="str">
        <f t="shared" si="363"/>
        <v>1680</v>
      </c>
      <c r="U1487" s="2">
        <f t="shared" si="369"/>
        <v>1440</v>
      </c>
      <c r="V1487" s="2" t="str">
        <f t="shared" si="364"/>
        <v>5A0</v>
      </c>
      <c r="W1487" s="2" t="str">
        <f t="shared" si="365"/>
        <v/>
      </c>
      <c r="X1487" s="2" t="str">
        <f t="shared" si="368"/>
        <v/>
      </c>
      <c r="Y1487" s="2" t="str">
        <f t="shared" si="366"/>
        <v/>
      </c>
      <c r="Z1487" s="2" t="str">
        <f t="shared" si="367"/>
        <v>X</v>
      </c>
      <c r="AA1487" s="2" t="str">
        <f t="shared" si="370"/>
        <v/>
      </c>
      <c r="AB1487" s="2" t="str">
        <f t="shared" si="371"/>
        <v/>
      </c>
      <c r="AC1487" s="2" t="str">
        <f t="shared" si="372"/>
        <v/>
      </c>
      <c r="AD1487" s="2" t="str">
        <f t="shared" si="373"/>
        <v>(0)</v>
      </c>
      <c r="AE1487" s="2" t="str">
        <f t="shared" si="374"/>
        <v/>
      </c>
      <c r="AF1487" s="2" t="str">
        <f t="shared" si="375"/>
        <v/>
      </c>
      <c r="AG1487" s="2" t="str">
        <f t="shared" si="376"/>
        <v/>
      </c>
      <c r="AH1487" s="2" t="str">
        <f t="shared" si="377"/>
        <v/>
      </c>
    </row>
    <row r="1488" spans="2:34" x14ac:dyDescent="0.25">
      <c r="B1488" s="2" t="s">
        <v>3792</v>
      </c>
      <c r="C1488" s="2" t="s">
        <v>535</v>
      </c>
      <c r="D1488" s="2" t="s">
        <v>0</v>
      </c>
      <c r="E1488" s="2" t="s">
        <v>130</v>
      </c>
      <c r="F1488" s="2" t="s">
        <v>3793</v>
      </c>
      <c r="G1488" s="2" t="s">
        <v>3794</v>
      </c>
      <c r="H1488" s="2" t="s">
        <v>536</v>
      </c>
      <c r="I1488" s="2" t="s">
        <v>41</v>
      </c>
      <c r="J1488" s="2">
        <v>1</v>
      </c>
      <c r="K1488" s="2" t="s">
        <v>81</v>
      </c>
      <c r="L1488" s="2" t="s">
        <v>40</v>
      </c>
      <c r="P1488" s="2" t="s">
        <v>4</v>
      </c>
      <c r="Q1488" s="2">
        <f>INDEX(Tables!$C$4:$C$28,MATCH($P1488,Tables!$B$4:$B$28,0))</f>
        <v>32</v>
      </c>
      <c r="R1488" s="2">
        <f>INDEX(Tables!$D$4:$D$28,MATCH($P1488,Tables!$B$4:$B$28,0))</f>
        <v>4</v>
      </c>
      <c r="S1488" s="2">
        <f>$S1487+$R1487+INDEX(Tables!$N$5:$Q$8,MATCH(MOD($S1487+$R1487,4),Tables!$M$5:$M$8,0),MATCH($R1488,Tables!$N$4:$Q$4,0))</f>
        <v>5764</v>
      </c>
      <c r="T1488" s="2" t="str">
        <f t="shared" si="363"/>
        <v>1684</v>
      </c>
      <c r="U1488" s="2">
        <f t="shared" si="369"/>
        <v>1441</v>
      </c>
      <c r="V1488" s="2" t="str">
        <f t="shared" si="364"/>
        <v>5A1</v>
      </c>
      <c r="W1488" s="2" t="str">
        <f t="shared" si="365"/>
        <v/>
      </c>
      <c r="X1488" s="2" t="str">
        <f t="shared" si="368"/>
        <v/>
      </c>
      <c r="Y1488" s="2" t="str">
        <f t="shared" si="366"/>
        <v/>
      </c>
      <c r="Z1488" s="2" t="str">
        <f t="shared" si="367"/>
        <v>X</v>
      </c>
      <c r="AA1488" s="2" t="str">
        <f t="shared" si="370"/>
        <v/>
      </c>
      <c r="AB1488" s="2" t="str">
        <f t="shared" si="371"/>
        <v/>
      </c>
      <c r="AC1488" s="2" t="str">
        <f t="shared" si="372"/>
        <v/>
      </c>
      <c r="AD1488" s="2" t="str">
        <f t="shared" si="373"/>
        <v>(0)</v>
      </c>
      <c r="AE1488" s="2" t="str">
        <f t="shared" si="374"/>
        <v/>
      </c>
      <c r="AF1488" s="2" t="str">
        <f t="shared" si="375"/>
        <v/>
      </c>
      <c r="AG1488" s="2" t="str">
        <f t="shared" si="376"/>
        <v/>
      </c>
      <c r="AH1488" s="2" t="str">
        <f t="shared" si="377"/>
        <v/>
      </c>
    </row>
    <row r="1489" spans="2:34" x14ac:dyDescent="0.25">
      <c r="B1489" s="2" t="s">
        <v>3792</v>
      </c>
      <c r="C1489" s="2" t="s">
        <v>537</v>
      </c>
      <c r="D1489" s="2" t="s">
        <v>0</v>
      </c>
      <c r="E1489" s="2" t="s">
        <v>130</v>
      </c>
      <c r="F1489" s="2" t="s">
        <v>3793</v>
      </c>
      <c r="G1489" s="2" t="s">
        <v>3794</v>
      </c>
      <c r="H1489" s="2" t="s">
        <v>538</v>
      </c>
      <c r="I1489" s="2" t="s">
        <v>41</v>
      </c>
      <c r="J1489" s="2">
        <v>1</v>
      </c>
      <c r="K1489" s="2" t="s">
        <v>81</v>
      </c>
      <c r="L1489" s="2" t="s">
        <v>40</v>
      </c>
      <c r="P1489" s="2" t="s">
        <v>4</v>
      </c>
      <c r="Q1489" s="2">
        <f>INDEX(Tables!$C$4:$C$28,MATCH($P1489,Tables!$B$4:$B$28,0))</f>
        <v>32</v>
      </c>
      <c r="R1489" s="2">
        <f>INDEX(Tables!$D$4:$D$28,MATCH($P1489,Tables!$B$4:$B$28,0))</f>
        <v>4</v>
      </c>
      <c r="S1489" s="2">
        <f>$S1488+$R1488+INDEX(Tables!$N$5:$Q$8,MATCH(MOD($S1488+$R1488,4),Tables!$M$5:$M$8,0),MATCH($R1489,Tables!$N$4:$Q$4,0))</f>
        <v>5768</v>
      </c>
      <c r="T1489" s="2" t="str">
        <f t="shared" si="363"/>
        <v>1688</v>
      </c>
      <c r="U1489" s="2">
        <f t="shared" si="369"/>
        <v>1442</v>
      </c>
      <c r="V1489" s="2" t="str">
        <f t="shared" si="364"/>
        <v>5A2</v>
      </c>
      <c r="W1489" s="2" t="str">
        <f t="shared" si="365"/>
        <v/>
      </c>
      <c r="X1489" s="2" t="str">
        <f t="shared" si="368"/>
        <v/>
      </c>
      <c r="Y1489" s="2" t="str">
        <f t="shared" si="366"/>
        <v/>
      </c>
      <c r="Z1489" s="2" t="str">
        <f t="shared" si="367"/>
        <v>X</v>
      </c>
      <c r="AA1489" s="2" t="str">
        <f t="shared" si="370"/>
        <v/>
      </c>
      <c r="AB1489" s="2" t="str">
        <f t="shared" si="371"/>
        <v/>
      </c>
      <c r="AC1489" s="2" t="str">
        <f t="shared" si="372"/>
        <v/>
      </c>
      <c r="AD1489" s="2" t="str">
        <f t="shared" si="373"/>
        <v>(0)</v>
      </c>
      <c r="AE1489" s="2" t="str">
        <f t="shared" si="374"/>
        <v/>
      </c>
      <c r="AF1489" s="2" t="str">
        <f t="shared" si="375"/>
        <v/>
      </c>
      <c r="AG1489" s="2" t="str">
        <f t="shared" si="376"/>
        <v/>
      </c>
      <c r="AH1489" s="2" t="str">
        <f t="shared" si="377"/>
        <v/>
      </c>
    </row>
    <row r="1490" spans="2:34" x14ac:dyDescent="0.25">
      <c r="B1490" s="2" t="s">
        <v>3792</v>
      </c>
      <c r="C1490" s="2" t="s">
        <v>539</v>
      </c>
      <c r="D1490" s="2" t="s">
        <v>0</v>
      </c>
      <c r="E1490" s="2" t="s">
        <v>130</v>
      </c>
      <c r="F1490" s="2" t="s">
        <v>3793</v>
      </c>
      <c r="G1490" s="2" t="s">
        <v>3794</v>
      </c>
      <c r="H1490" s="2" t="s">
        <v>540</v>
      </c>
      <c r="I1490" s="2" t="s">
        <v>41</v>
      </c>
      <c r="J1490" s="2">
        <v>1</v>
      </c>
      <c r="K1490" s="2" t="s">
        <v>81</v>
      </c>
      <c r="L1490" s="2" t="s">
        <v>40</v>
      </c>
      <c r="P1490" s="2" t="s">
        <v>4</v>
      </c>
      <c r="Q1490" s="2">
        <f>INDEX(Tables!$C$4:$C$28,MATCH($P1490,Tables!$B$4:$B$28,0))</f>
        <v>32</v>
      </c>
      <c r="R1490" s="2">
        <f>INDEX(Tables!$D$4:$D$28,MATCH($P1490,Tables!$B$4:$B$28,0))</f>
        <v>4</v>
      </c>
      <c r="S1490" s="2">
        <f>$S1489+$R1489+INDEX(Tables!$N$5:$Q$8,MATCH(MOD($S1489+$R1489,4),Tables!$M$5:$M$8,0),MATCH($R1490,Tables!$N$4:$Q$4,0))</f>
        <v>5772</v>
      </c>
      <c r="T1490" s="2" t="str">
        <f t="shared" si="363"/>
        <v>168C</v>
      </c>
      <c r="U1490" s="2">
        <f t="shared" si="369"/>
        <v>1443</v>
      </c>
      <c r="V1490" s="2" t="str">
        <f t="shared" si="364"/>
        <v>5A3</v>
      </c>
      <c r="W1490" s="2" t="str">
        <f t="shared" si="365"/>
        <v/>
      </c>
      <c r="X1490" s="2" t="str">
        <f t="shared" si="368"/>
        <v/>
      </c>
      <c r="Y1490" s="2" t="str">
        <f t="shared" si="366"/>
        <v/>
      </c>
      <c r="Z1490" s="2" t="str">
        <f t="shared" si="367"/>
        <v>X</v>
      </c>
      <c r="AA1490" s="2" t="str">
        <f t="shared" si="370"/>
        <v/>
      </c>
      <c r="AB1490" s="2" t="str">
        <f t="shared" si="371"/>
        <v/>
      </c>
      <c r="AC1490" s="2" t="str">
        <f t="shared" si="372"/>
        <v/>
      </c>
      <c r="AD1490" s="2" t="str">
        <f t="shared" si="373"/>
        <v>(0)</v>
      </c>
      <c r="AE1490" s="2" t="str">
        <f t="shared" si="374"/>
        <v/>
      </c>
      <c r="AF1490" s="2" t="str">
        <f t="shared" si="375"/>
        <v/>
      </c>
      <c r="AG1490" s="2" t="str">
        <f t="shared" si="376"/>
        <v/>
      </c>
      <c r="AH1490" s="2" t="str">
        <f t="shared" si="377"/>
        <v/>
      </c>
    </row>
    <row r="1491" spans="2:34" x14ac:dyDescent="0.25">
      <c r="B1491" s="2" t="s">
        <v>3792</v>
      </c>
      <c r="C1491" s="2" t="s">
        <v>541</v>
      </c>
      <c r="D1491" s="2" t="s">
        <v>0</v>
      </c>
      <c r="E1491" s="2" t="s">
        <v>130</v>
      </c>
      <c r="F1491" s="2" t="s">
        <v>3793</v>
      </c>
      <c r="G1491" s="2" t="s">
        <v>3794</v>
      </c>
      <c r="H1491" s="2" t="s">
        <v>542</v>
      </c>
      <c r="I1491" s="2" t="s">
        <v>41</v>
      </c>
      <c r="J1491" s="2">
        <v>1</v>
      </c>
      <c r="K1491" s="2" t="s">
        <v>81</v>
      </c>
      <c r="L1491" s="2" t="s">
        <v>40</v>
      </c>
      <c r="P1491" s="2" t="s">
        <v>4</v>
      </c>
      <c r="Q1491" s="2">
        <f>INDEX(Tables!$C$4:$C$28,MATCH($P1491,Tables!$B$4:$B$28,0))</f>
        <v>32</v>
      </c>
      <c r="R1491" s="2">
        <f>INDEX(Tables!$D$4:$D$28,MATCH($P1491,Tables!$B$4:$B$28,0))</f>
        <v>4</v>
      </c>
      <c r="S1491" s="2">
        <f>$S1490+$R1490+INDEX(Tables!$N$5:$Q$8,MATCH(MOD($S1490+$R1490,4),Tables!$M$5:$M$8,0),MATCH($R1491,Tables!$N$4:$Q$4,0))</f>
        <v>5776</v>
      </c>
      <c r="T1491" s="2" t="str">
        <f t="shared" si="363"/>
        <v>1690</v>
      </c>
      <c r="U1491" s="2">
        <f t="shared" si="369"/>
        <v>1444</v>
      </c>
      <c r="V1491" s="2" t="str">
        <f t="shared" si="364"/>
        <v>5A4</v>
      </c>
      <c r="W1491" s="2" t="str">
        <f t="shared" si="365"/>
        <v/>
      </c>
      <c r="X1491" s="2" t="str">
        <f t="shared" si="368"/>
        <v/>
      </c>
      <c r="Y1491" s="2" t="str">
        <f t="shared" si="366"/>
        <v/>
      </c>
      <c r="Z1491" s="2" t="str">
        <f t="shared" si="367"/>
        <v>X</v>
      </c>
      <c r="AA1491" s="2" t="str">
        <f t="shared" si="370"/>
        <v/>
      </c>
      <c r="AB1491" s="2" t="str">
        <f t="shared" si="371"/>
        <v/>
      </c>
      <c r="AC1491" s="2" t="str">
        <f t="shared" si="372"/>
        <v/>
      </c>
      <c r="AD1491" s="2" t="str">
        <f t="shared" si="373"/>
        <v>(0)</v>
      </c>
      <c r="AE1491" s="2" t="str">
        <f t="shared" si="374"/>
        <v/>
      </c>
      <c r="AF1491" s="2" t="str">
        <f t="shared" si="375"/>
        <v/>
      </c>
      <c r="AG1491" s="2" t="str">
        <f t="shared" si="376"/>
        <v/>
      </c>
      <c r="AH1491" s="2" t="str">
        <f t="shared" si="377"/>
        <v/>
      </c>
    </row>
    <row r="1492" spans="2:34" x14ac:dyDescent="0.25">
      <c r="B1492" s="2" t="s">
        <v>3792</v>
      </c>
      <c r="C1492" s="2" t="s">
        <v>543</v>
      </c>
      <c r="D1492" s="2" t="s">
        <v>0</v>
      </c>
      <c r="E1492" s="2" t="s">
        <v>130</v>
      </c>
      <c r="F1492" s="2" t="s">
        <v>3793</v>
      </c>
      <c r="G1492" s="2" t="s">
        <v>3794</v>
      </c>
      <c r="H1492" s="2" t="s">
        <v>544</v>
      </c>
      <c r="I1492" s="2" t="s">
        <v>41</v>
      </c>
      <c r="J1492" s="2">
        <v>1</v>
      </c>
      <c r="K1492" s="2" t="s">
        <v>81</v>
      </c>
      <c r="L1492" s="2" t="s">
        <v>40</v>
      </c>
      <c r="P1492" s="2" t="s">
        <v>4</v>
      </c>
      <c r="Q1492" s="2">
        <f>INDEX(Tables!$C$4:$C$28,MATCH($P1492,Tables!$B$4:$B$28,0))</f>
        <v>32</v>
      </c>
      <c r="R1492" s="2">
        <f>INDEX(Tables!$D$4:$D$28,MATCH($P1492,Tables!$B$4:$B$28,0))</f>
        <v>4</v>
      </c>
      <c r="S1492" s="2">
        <f>$S1491+$R1491+INDEX(Tables!$N$5:$Q$8,MATCH(MOD($S1491+$R1491,4),Tables!$M$5:$M$8,0),MATCH($R1492,Tables!$N$4:$Q$4,0))</f>
        <v>5780</v>
      </c>
      <c r="T1492" s="2" t="str">
        <f t="shared" si="363"/>
        <v>1694</v>
      </c>
      <c r="U1492" s="2">
        <f t="shared" si="369"/>
        <v>1445</v>
      </c>
      <c r="V1492" s="2" t="str">
        <f t="shared" si="364"/>
        <v>5A5</v>
      </c>
      <c r="W1492" s="2" t="str">
        <f t="shared" si="365"/>
        <v/>
      </c>
      <c r="X1492" s="2" t="str">
        <f t="shared" si="368"/>
        <v/>
      </c>
      <c r="Y1492" s="2" t="str">
        <f t="shared" si="366"/>
        <v/>
      </c>
      <c r="Z1492" s="2" t="str">
        <f t="shared" si="367"/>
        <v>X</v>
      </c>
      <c r="AA1492" s="2" t="str">
        <f t="shared" si="370"/>
        <v/>
      </c>
      <c r="AB1492" s="2" t="str">
        <f t="shared" si="371"/>
        <v/>
      </c>
      <c r="AC1492" s="2" t="str">
        <f t="shared" si="372"/>
        <v/>
      </c>
      <c r="AD1492" s="2" t="str">
        <f t="shared" si="373"/>
        <v>(0)</v>
      </c>
      <c r="AE1492" s="2" t="str">
        <f t="shared" si="374"/>
        <v/>
      </c>
      <c r="AF1492" s="2" t="str">
        <f t="shared" si="375"/>
        <v/>
      </c>
      <c r="AG1492" s="2" t="str">
        <f t="shared" si="376"/>
        <v/>
      </c>
      <c r="AH1492" s="2" t="str">
        <f t="shared" si="377"/>
        <v/>
      </c>
    </row>
    <row r="1493" spans="2:34" x14ac:dyDescent="0.25">
      <c r="B1493" s="2" t="s">
        <v>3792</v>
      </c>
      <c r="C1493" s="2" t="s">
        <v>545</v>
      </c>
      <c r="D1493" s="2" t="s">
        <v>0</v>
      </c>
      <c r="E1493" s="2" t="s">
        <v>130</v>
      </c>
      <c r="F1493" s="2" t="s">
        <v>3793</v>
      </c>
      <c r="G1493" s="2" t="s">
        <v>3794</v>
      </c>
      <c r="H1493" s="2" t="s">
        <v>546</v>
      </c>
      <c r="I1493" s="2" t="s">
        <v>41</v>
      </c>
      <c r="J1493" s="2">
        <v>1</v>
      </c>
      <c r="K1493" s="2" t="s">
        <v>81</v>
      </c>
      <c r="L1493" s="2" t="s">
        <v>40</v>
      </c>
      <c r="P1493" s="2" t="s">
        <v>4</v>
      </c>
      <c r="Q1493" s="2">
        <f>INDEX(Tables!$C$4:$C$28,MATCH($P1493,Tables!$B$4:$B$28,0))</f>
        <v>32</v>
      </c>
      <c r="R1493" s="2">
        <f>INDEX(Tables!$D$4:$D$28,MATCH($P1493,Tables!$B$4:$B$28,0))</f>
        <v>4</v>
      </c>
      <c r="S1493" s="2">
        <f>$S1492+$R1492+INDEX(Tables!$N$5:$Q$8,MATCH(MOD($S1492+$R1492,4),Tables!$M$5:$M$8,0),MATCH($R1493,Tables!$N$4:$Q$4,0))</f>
        <v>5784</v>
      </c>
      <c r="T1493" s="2" t="str">
        <f t="shared" si="363"/>
        <v>1698</v>
      </c>
      <c r="U1493" s="2">
        <f t="shared" si="369"/>
        <v>1446</v>
      </c>
      <c r="V1493" s="2" t="str">
        <f t="shared" si="364"/>
        <v>5A6</v>
      </c>
      <c r="W1493" s="2" t="str">
        <f t="shared" si="365"/>
        <v/>
      </c>
      <c r="X1493" s="2" t="str">
        <f t="shared" si="368"/>
        <v/>
      </c>
      <c r="Y1493" s="2" t="str">
        <f t="shared" si="366"/>
        <v/>
      </c>
      <c r="Z1493" s="2" t="str">
        <f t="shared" si="367"/>
        <v>X</v>
      </c>
      <c r="AA1493" s="2" t="str">
        <f t="shared" si="370"/>
        <v/>
      </c>
      <c r="AB1493" s="2" t="str">
        <f t="shared" si="371"/>
        <v/>
      </c>
      <c r="AC1493" s="2" t="str">
        <f t="shared" si="372"/>
        <v/>
      </c>
      <c r="AD1493" s="2" t="str">
        <f t="shared" si="373"/>
        <v>(0)</v>
      </c>
      <c r="AE1493" s="2" t="str">
        <f t="shared" si="374"/>
        <v/>
      </c>
      <c r="AF1493" s="2" t="str">
        <f t="shared" si="375"/>
        <v/>
      </c>
      <c r="AG1493" s="2" t="str">
        <f t="shared" si="376"/>
        <v/>
      </c>
      <c r="AH1493" s="2" t="str">
        <f t="shared" si="377"/>
        <v/>
      </c>
    </row>
    <row r="1494" spans="2:34" x14ac:dyDescent="0.25">
      <c r="B1494" s="2" t="s">
        <v>3792</v>
      </c>
      <c r="C1494" s="2" t="s">
        <v>547</v>
      </c>
      <c r="D1494" s="2" t="s">
        <v>0</v>
      </c>
      <c r="E1494" s="2" t="s">
        <v>130</v>
      </c>
      <c r="F1494" s="2" t="s">
        <v>3793</v>
      </c>
      <c r="G1494" s="2" t="s">
        <v>3794</v>
      </c>
      <c r="H1494" s="2" t="s">
        <v>548</v>
      </c>
      <c r="I1494" s="2" t="s">
        <v>41</v>
      </c>
      <c r="J1494" s="2">
        <v>1</v>
      </c>
      <c r="K1494" s="2" t="s">
        <v>81</v>
      </c>
      <c r="L1494" s="2" t="s">
        <v>40</v>
      </c>
      <c r="P1494" s="2" t="s">
        <v>4</v>
      </c>
      <c r="Q1494" s="2">
        <f>INDEX(Tables!$C$4:$C$28,MATCH($P1494,Tables!$B$4:$B$28,0))</f>
        <v>32</v>
      </c>
      <c r="R1494" s="2">
        <f>INDEX(Tables!$D$4:$D$28,MATCH($P1494,Tables!$B$4:$B$28,0))</f>
        <v>4</v>
      </c>
      <c r="S1494" s="2">
        <f>$S1493+$R1493+INDEX(Tables!$N$5:$Q$8,MATCH(MOD($S1493+$R1493,4),Tables!$M$5:$M$8,0),MATCH($R1494,Tables!$N$4:$Q$4,0))</f>
        <v>5788</v>
      </c>
      <c r="T1494" s="2" t="str">
        <f t="shared" si="363"/>
        <v>169C</v>
      </c>
      <c r="U1494" s="2">
        <f t="shared" si="369"/>
        <v>1447</v>
      </c>
      <c r="V1494" s="2" t="str">
        <f t="shared" si="364"/>
        <v>5A7</v>
      </c>
      <c r="W1494" s="2" t="str">
        <f t="shared" si="365"/>
        <v/>
      </c>
      <c r="X1494" s="2" t="str">
        <f t="shared" si="368"/>
        <v/>
      </c>
      <c r="Y1494" s="2" t="str">
        <f t="shared" si="366"/>
        <v/>
      </c>
      <c r="Z1494" s="2" t="str">
        <f t="shared" si="367"/>
        <v>X</v>
      </c>
      <c r="AA1494" s="2" t="str">
        <f t="shared" si="370"/>
        <v/>
      </c>
      <c r="AB1494" s="2" t="str">
        <f t="shared" si="371"/>
        <v/>
      </c>
      <c r="AC1494" s="2" t="str">
        <f t="shared" si="372"/>
        <v/>
      </c>
      <c r="AD1494" s="2" t="str">
        <f t="shared" si="373"/>
        <v>(0)</v>
      </c>
      <c r="AE1494" s="2" t="str">
        <f t="shared" si="374"/>
        <v/>
      </c>
      <c r="AF1494" s="2" t="str">
        <f t="shared" si="375"/>
        <v/>
      </c>
      <c r="AG1494" s="2" t="str">
        <f t="shared" si="376"/>
        <v/>
      </c>
      <c r="AH1494" s="2" t="str">
        <f t="shared" si="377"/>
        <v/>
      </c>
    </row>
    <row r="1495" spans="2:34" x14ac:dyDescent="0.25">
      <c r="B1495" s="2" t="s">
        <v>3792</v>
      </c>
      <c r="C1495" s="2" t="s">
        <v>549</v>
      </c>
      <c r="D1495" s="2" t="s">
        <v>0</v>
      </c>
      <c r="E1495" s="2" t="s">
        <v>130</v>
      </c>
      <c r="F1495" s="2" t="s">
        <v>3793</v>
      </c>
      <c r="G1495" s="2" t="s">
        <v>3794</v>
      </c>
      <c r="H1495" s="2" t="s">
        <v>550</v>
      </c>
      <c r="I1495" s="2" t="s">
        <v>41</v>
      </c>
      <c r="J1495" s="2">
        <v>1</v>
      </c>
      <c r="K1495" s="2" t="s">
        <v>81</v>
      </c>
      <c r="L1495" s="2" t="s">
        <v>40</v>
      </c>
      <c r="P1495" s="2" t="s">
        <v>4</v>
      </c>
      <c r="Q1495" s="2">
        <f>INDEX(Tables!$C$4:$C$28,MATCH($P1495,Tables!$B$4:$B$28,0))</f>
        <v>32</v>
      </c>
      <c r="R1495" s="2">
        <f>INDEX(Tables!$D$4:$D$28,MATCH($P1495,Tables!$B$4:$B$28,0))</f>
        <v>4</v>
      </c>
      <c r="S1495" s="2">
        <f>$S1494+$R1494+INDEX(Tables!$N$5:$Q$8,MATCH(MOD($S1494+$R1494,4),Tables!$M$5:$M$8,0),MATCH($R1495,Tables!$N$4:$Q$4,0))</f>
        <v>5792</v>
      </c>
      <c r="T1495" s="2" t="str">
        <f t="shared" si="363"/>
        <v>16A0</v>
      </c>
      <c r="U1495" s="2">
        <f t="shared" si="369"/>
        <v>1448</v>
      </c>
      <c r="V1495" s="2" t="str">
        <f t="shared" si="364"/>
        <v>5A8</v>
      </c>
      <c r="W1495" s="2" t="str">
        <f t="shared" si="365"/>
        <v/>
      </c>
      <c r="X1495" s="2" t="str">
        <f t="shared" si="368"/>
        <v/>
      </c>
      <c r="Y1495" s="2" t="str">
        <f t="shared" si="366"/>
        <v/>
      </c>
      <c r="Z1495" s="2" t="str">
        <f t="shared" si="367"/>
        <v>X</v>
      </c>
      <c r="AA1495" s="2" t="str">
        <f t="shared" si="370"/>
        <v/>
      </c>
      <c r="AB1495" s="2" t="str">
        <f t="shared" si="371"/>
        <v/>
      </c>
      <c r="AC1495" s="2" t="str">
        <f t="shared" si="372"/>
        <v/>
      </c>
      <c r="AD1495" s="2" t="str">
        <f t="shared" si="373"/>
        <v>(0)</v>
      </c>
      <c r="AE1495" s="2" t="str">
        <f t="shared" si="374"/>
        <v/>
      </c>
      <c r="AF1495" s="2" t="str">
        <f t="shared" si="375"/>
        <v/>
      </c>
      <c r="AG1495" s="2" t="str">
        <f t="shared" si="376"/>
        <v/>
      </c>
      <c r="AH1495" s="2" t="str">
        <f t="shared" si="377"/>
        <v/>
      </c>
    </row>
    <row r="1496" spans="2:34" x14ac:dyDescent="0.25">
      <c r="B1496" s="2" t="s">
        <v>3792</v>
      </c>
      <c r="C1496" s="2" t="s">
        <v>551</v>
      </c>
      <c r="D1496" s="2" t="s">
        <v>0</v>
      </c>
      <c r="E1496" s="2" t="s">
        <v>130</v>
      </c>
      <c r="F1496" s="2" t="s">
        <v>3793</v>
      </c>
      <c r="G1496" s="2" t="s">
        <v>3794</v>
      </c>
      <c r="H1496" s="2" t="s">
        <v>552</v>
      </c>
      <c r="I1496" s="2" t="s">
        <v>41</v>
      </c>
      <c r="J1496" s="2">
        <v>1</v>
      </c>
      <c r="K1496" s="2" t="s">
        <v>81</v>
      </c>
      <c r="L1496" s="2" t="s">
        <v>40</v>
      </c>
      <c r="P1496" s="2" t="s">
        <v>4</v>
      </c>
      <c r="Q1496" s="2">
        <f>INDEX(Tables!$C$4:$C$28,MATCH($P1496,Tables!$B$4:$B$28,0))</f>
        <v>32</v>
      </c>
      <c r="R1496" s="2">
        <f>INDEX(Tables!$D$4:$D$28,MATCH($P1496,Tables!$B$4:$B$28,0))</f>
        <v>4</v>
      </c>
      <c r="S1496" s="2">
        <f>$S1495+$R1495+INDEX(Tables!$N$5:$Q$8,MATCH(MOD($S1495+$R1495,4),Tables!$M$5:$M$8,0),MATCH($R1496,Tables!$N$4:$Q$4,0))</f>
        <v>5796</v>
      </c>
      <c r="T1496" s="2" t="str">
        <f t="shared" si="363"/>
        <v>16A4</v>
      </c>
      <c r="U1496" s="2">
        <f t="shared" si="369"/>
        <v>1449</v>
      </c>
      <c r="V1496" s="2" t="str">
        <f t="shared" si="364"/>
        <v>5A9</v>
      </c>
      <c r="W1496" s="2" t="str">
        <f t="shared" si="365"/>
        <v/>
      </c>
      <c r="X1496" s="2" t="str">
        <f t="shared" si="368"/>
        <v/>
      </c>
      <c r="Y1496" s="2" t="str">
        <f t="shared" si="366"/>
        <v/>
      </c>
      <c r="Z1496" s="2" t="str">
        <f t="shared" si="367"/>
        <v>X</v>
      </c>
      <c r="AA1496" s="2" t="str">
        <f t="shared" si="370"/>
        <v/>
      </c>
      <c r="AB1496" s="2" t="str">
        <f t="shared" si="371"/>
        <v/>
      </c>
      <c r="AC1496" s="2" t="str">
        <f t="shared" si="372"/>
        <v/>
      </c>
      <c r="AD1496" s="2" t="str">
        <f t="shared" si="373"/>
        <v>(0)</v>
      </c>
      <c r="AE1496" s="2" t="str">
        <f t="shared" si="374"/>
        <v/>
      </c>
      <c r="AF1496" s="2" t="str">
        <f t="shared" si="375"/>
        <v/>
      </c>
      <c r="AG1496" s="2" t="str">
        <f t="shared" si="376"/>
        <v/>
      </c>
      <c r="AH1496" s="2" t="str">
        <f t="shared" si="377"/>
        <v/>
      </c>
    </row>
    <row r="1497" spans="2:34" x14ac:dyDescent="0.25">
      <c r="B1497" s="2" t="s">
        <v>3792</v>
      </c>
      <c r="C1497" s="2" t="s">
        <v>553</v>
      </c>
      <c r="D1497" s="2" t="s">
        <v>0</v>
      </c>
      <c r="E1497" s="2" t="s">
        <v>130</v>
      </c>
      <c r="F1497" s="2" t="s">
        <v>3793</v>
      </c>
      <c r="G1497" s="2" t="s">
        <v>3794</v>
      </c>
      <c r="H1497" s="2" t="s">
        <v>554</v>
      </c>
      <c r="I1497" s="2" t="s">
        <v>41</v>
      </c>
      <c r="J1497" s="2">
        <v>1</v>
      </c>
      <c r="K1497" s="2" t="s">
        <v>81</v>
      </c>
      <c r="L1497" s="2" t="s">
        <v>40</v>
      </c>
      <c r="P1497" s="2" t="s">
        <v>4</v>
      </c>
      <c r="Q1497" s="2">
        <f>INDEX(Tables!$C$4:$C$28,MATCH($P1497,Tables!$B$4:$B$28,0))</f>
        <v>32</v>
      </c>
      <c r="R1497" s="2">
        <f>INDEX(Tables!$D$4:$D$28,MATCH($P1497,Tables!$B$4:$B$28,0))</f>
        <v>4</v>
      </c>
      <c r="S1497" s="2">
        <f>$S1496+$R1496+INDEX(Tables!$N$5:$Q$8,MATCH(MOD($S1496+$R1496,4),Tables!$M$5:$M$8,0),MATCH($R1497,Tables!$N$4:$Q$4,0))</f>
        <v>5800</v>
      </c>
      <c r="T1497" s="2" t="str">
        <f t="shared" si="363"/>
        <v>16A8</v>
      </c>
      <c r="U1497" s="2">
        <f t="shared" si="369"/>
        <v>1450</v>
      </c>
      <c r="V1497" s="2" t="str">
        <f t="shared" si="364"/>
        <v>5AA</v>
      </c>
      <c r="W1497" s="2" t="str">
        <f t="shared" si="365"/>
        <v/>
      </c>
      <c r="X1497" s="2" t="str">
        <f t="shared" si="368"/>
        <v/>
      </c>
      <c r="Y1497" s="2" t="str">
        <f t="shared" si="366"/>
        <v/>
      </c>
      <c r="Z1497" s="2" t="str">
        <f t="shared" si="367"/>
        <v>X</v>
      </c>
      <c r="AA1497" s="2" t="str">
        <f t="shared" si="370"/>
        <v/>
      </c>
      <c r="AB1497" s="2" t="str">
        <f t="shared" si="371"/>
        <v/>
      </c>
      <c r="AC1497" s="2" t="str">
        <f t="shared" si="372"/>
        <v/>
      </c>
      <c r="AD1497" s="2" t="str">
        <f t="shared" si="373"/>
        <v>(0)</v>
      </c>
      <c r="AE1497" s="2" t="str">
        <f t="shared" si="374"/>
        <v/>
      </c>
      <c r="AF1497" s="2" t="str">
        <f t="shared" si="375"/>
        <v/>
      </c>
      <c r="AG1497" s="2" t="str">
        <f t="shared" si="376"/>
        <v/>
      </c>
      <c r="AH1497" s="2" t="str">
        <f t="shared" si="377"/>
        <v/>
      </c>
    </row>
    <row r="1498" spans="2:34" x14ac:dyDescent="0.25">
      <c r="B1498" s="2" t="s">
        <v>3792</v>
      </c>
      <c r="C1498" s="2" t="s">
        <v>555</v>
      </c>
      <c r="D1498" s="2" t="s">
        <v>0</v>
      </c>
      <c r="E1498" s="2" t="s">
        <v>130</v>
      </c>
      <c r="F1498" s="2" t="s">
        <v>3793</v>
      </c>
      <c r="G1498" s="2" t="s">
        <v>3794</v>
      </c>
      <c r="H1498" s="2" t="s">
        <v>556</v>
      </c>
      <c r="I1498" s="2" t="s">
        <v>41</v>
      </c>
      <c r="J1498" s="2">
        <v>1</v>
      </c>
      <c r="K1498" s="2" t="s">
        <v>81</v>
      </c>
      <c r="L1498" s="2" t="s">
        <v>40</v>
      </c>
      <c r="P1498" s="2" t="s">
        <v>4</v>
      </c>
      <c r="Q1498" s="2">
        <f>INDEX(Tables!$C$4:$C$28,MATCH($P1498,Tables!$B$4:$B$28,0))</f>
        <v>32</v>
      </c>
      <c r="R1498" s="2">
        <f>INDEX(Tables!$D$4:$D$28,MATCH($P1498,Tables!$B$4:$B$28,0))</f>
        <v>4</v>
      </c>
      <c r="S1498" s="2">
        <f>$S1497+$R1497+INDEX(Tables!$N$5:$Q$8,MATCH(MOD($S1497+$R1497,4),Tables!$M$5:$M$8,0),MATCH($R1498,Tables!$N$4:$Q$4,0))</f>
        <v>5804</v>
      </c>
      <c r="T1498" s="2" t="str">
        <f t="shared" si="363"/>
        <v>16AC</v>
      </c>
      <c r="U1498" s="2">
        <f t="shared" si="369"/>
        <v>1451</v>
      </c>
      <c r="V1498" s="2" t="str">
        <f t="shared" si="364"/>
        <v>5AB</v>
      </c>
      <c r="W1498" s="2" t="str">
        <f t="shared" si="365"/>
        <v/>
      </c>
      <c r="X1498" s="2" t="str">
        <f t="shared" si="368"/>
        <v/>
      </c>
      <c r="Y1498" s="2" t="str">
        <f t="shared" si="366"/>
        <v/>
      </c>
      <c r="Z1498" s="2" t="str">
        <f t="shared" si="367"/>
        <v>X</v>
      </c>
      <c r="AA1498" s="2" t="str">
        <f t="shared" si="370"/>
        <v/>
      </c>
      <c r="AB1498" s="2" t="str">
        <f t="shared" si="371"/>
        <v/>
      </c>
      <c r="AC1498" s="2" t="str">
        <f t="shared" si="372"/>
        <v/>
      </c>
      <c r="AD1498" s="2" t="str">
        <f t="shared" si="373"/>
        <v>(0)</v>
      </c>
      <c r="AE1498" s="2" t="str">
        <f t="shared" si="374"/>
        <v/>
      </c>
      <c r="AF1498" s="2" t="str">
        <f t="shared" si="375"/>
        <v/>
      </c>
      <c r="AG1498" s="2" t="str">
        <f t="shared" si="376"/>
        <v/>
      </c>
      <c r="AH1498" s="2" t="str">
        <f t="shared" si="377"/>
        <v/>
      </c>
    </row>
    <row r="1499" spans="2:34" x14ac:dyDescent="0.25">
      <c r="B1499" s="2" t="s">
        <v>3792</v>
      </c>
      <c r="C1499" s="2" t="s">
        <v>557</v>
      </c>
      <c r="D1499" s="2" t="s">
        <v>0</v>
      </c>
      <c r="E1499" s="2" t="s">
        <v>130</v>
      </c>
      <c r="F1499" s="2" t="s">
        <v>3793</v>
      </c>
      <c r="G1499" s="2" t="s">
        <v>3794</v>
      </c>
      <c r="H1499" s="2" t="s">
        <v>558</v>
      </c>
      <c r="I1499" s="2" t="s">
        <v>41</v>
      </c>
      <c r="J1499" s="2">
        <v>1</v>
      </c>
      <c r="K1499" s="2" t="s">
        <v>81</v>
      </c>
      <c r="L1499" s="2" t="s">
        <v>40</v>
      </c>
      <c r="P1499" s="2" t="s">
        <v>4</v>
      </c>
      <c r="Q1499" s="2">
        <f>INDEX(Tables!$C$4:$C$28,MATCH($P1499,Tables!$B$4:$B$28,0))</f>
        <v>32</v>
      </c>
      <c r="R1499" s="2">
        <f>INDEX(Tables!$D$4:$D$28,MATCH($P1499,Tables!$B$4:$B$28,0))</f>
        <v>4</v>
      </c>
      <c r="S1499" s="2">
        <f>$S1498+$R1498+INDEX(Tables!$N$5:$Q$8,MATCH(MOD($S1498+$R1498,4),Tables!$M$5:$M$8,0),MATCH($R1499,Tables!$N$4:$Q$4,0))</f>
        <v>5808</v>
      </c>
      <c r="T1499" s="2" t="str">
        <f t="shared" si="363"/>
        <v>16B0</v>
      </c>
      <c r="U1499" s="2">
        <f t="shared" si="369"/>
        <v>1452</v>
      </c>
      <c r="V1499" s="2" t="str">
        <f t="shared" si="364"/>
        <v>5AC</v>
      </c>
      <c r="W1499" s="2" t="str">
        <f t="shared" si="365"/>
        <v/>
      </c>
      <c r="X1499" s="2" t="str">
        <f t="shared" si="368"/>
        <v/>
      </c>
      <c r="Y1499" s="2" t="str">
        <f t="shared" si="366"/>
        <v/>
      </c>
      <c r="Z1499" s="2" t="str">
        <f t="shared" si="367"/>
        <v>X</v>
      </c>
      <c r="AA1499" s="2" t="str">
        <f t="shared" si="370"/>
        <v/>
      </c>
      <c r="AB1499" s="2" t="str">
        <f t="shared" si="371"/>
        <v/>
      </c>
      <c r="AC1499" s="2" t="str">
        <f t="shared" si="372"/>
        <v/>
      </c>
      <c r="AD1499" s="2" t="str">
        <f t="shared" si="373"/>
        <v>(0)</v>
      </c>
      <c r="AE1499" s="2" t="str">
        <f t="shared" si="374"/>
        <v/>
      </c>
      <c r="AF1499" s="2" t="str">
        <f t="shared" si="375"/>
        <v/>
      </c>
      <c r="AG1499" s="2" t="str">
        <f t="shared" si="376"/>
        <v/>
      </c>
      <c r="AH1499" s="2" t="str">
        <f t="shared" si="377"/>
        <v/>
      </c>
    </row>
    <row r="1500" spans="2:34" x14ac:dyDescent="0.25">
      <c r="B1500" s="2" t="s">
        <v>3792</v>
      </c>
      <c r="C1500" s="2" t="s">
        <v>559</v>
      </c>
      <c r="D1500" s="2" t="s">
        <v>0</v>
      </c>
      <c r="E1500" s="2" t="s">
        <v>130</v>
      </c>
      <c r="F1500" s="2" t="s">
        <v>3793</v>
      </c>
      <c r="G1500" s="2" t="s">
        <v>3794</v>
      </c>
      <c r="H1500" s="2" t="s">
        <v>560</v>
      </c>
      <c r="I1500" s="2" t="s">
        <v>41</v>
      </c>
      <c r="J1500" s="2">
        <v>1</v>
      </c>
      <c r="K1500" s="2" t="s">
        <v>81</v>
      </c>
      <c r="L1500" s="2" t="s">
        <v>40</v>
      </c>
      <c r="P1500" s="2" t="s">
        <v>4</v>
      </c>
      <c r="Q1500" s="2">
        <f>INDEX(Tables!$C$4:$C$28,MATCH($P1500,Tables!$B$4:$B$28,0))</f>
        <v>32</v>
      </c>
      <c r="R1500" s="2">
        <f>INDEX(Tables!$D$4:$D$28,MATCH($P1500,Tables!$B$4:$B$28,0))</f>
        <v>4</v>
      </c>
      <c r="S1500" s="2">
        <f>$S1499+$R1499+INDEX(Tables!$N$5:$Q$8,MATCH(MOD($S1499+$R1499,4),Tables!$M$5:$M$8,0),MATCH($R1500,Tables!$N$4:$Q$4,0))</f>
        <v>5812</v>
      </c>
      <c r="T1500" s="2" t="str">
        <f t="shared" si="363"/>
        <v>16B4</v>
      </c>
      <c r="U1500" s="2">
        <f t="shared" si="369"/>
        <v>1453</v>
      </c>
      <c r="V1500" s="2" t="str">
        <f t="shared" si="364"/>
        <v>5AD</v>
      </c>
      <c r="W1500" s="2" t="str">
        <f t="shared" si="365"/>
        <v/>
      </c>
      <c r="X1500" s="2" t="str">
        <f t="shared" si="368"/>
        <v/>
      </c>
      <c r="Y1500" s="2" t="str">
        <f t="shared" si="366"/>
        <v/>
      </c>
      <c r="Z1500" s="2" t="str">
        <f t="shared" si="367"/>
        <v>X</v>
      </c>
      <c r="AA1500" s="2" t="str">
        <f t="shared" si="370"/>
        <v/>
      </c>
      <c r="AB1500" s="2" t="str">
        <f t="shared" si="371"/>
        <v/>
      </c>
      <c r="AC1500" s="2" t="str">
        <f t="shared" si="372"/>
        <v/>
      </c>
      <c r="AD1500" s="2" t="str">
        <f t="shared" si="373"/>
        <v>(0)</v>
      </c>
      <c r="AE1500" s="2" t="str">
        <f t="shared" si="374"/>
        <v/>
      </c>
      <c r="AF1500" s="2" t="str">
        <f t="shared" si="375"/>
        <v/>
      </c>
      <c r="AG1500" s="2" t="str">
        <f t="shared" si="376"/>
        <v/>
      </c>
      <c r="AH1500" s="2" t="str">
        <f t="shared" si="377"/>
        <v/>
      </c>
    </row>
    <row r="1501" spans="2:34" x14ac:dyDescent="0.25">
      <c r="B1501" s="2" t="s">
        <v>3792</v>
      </c>
      <c r="C1501" s="2" t="s">
        <v>561</v>
      </c>
      <c r="D1501" s="2" t="s">
        <v>0</v>
      </c>
      <c r="E1501" s="2" t="s">
        <v>130</v>
      </c>
      <c r="F1501" s="2" t="s">
        <v>3793</v>
      </c>
      <c r="G1501" s="2" t="s">
        <v>3794</v>
      </c>
      <c r="H1501" s="2" t="s">
        <v>562</v>
      </c>
      <c r="I1501" s="2" t="s">
        <v>41</v>
      </c>
      <c r="J1501" s="2">
        <v>1</v>
      </c>
      <c r="K1501" s="2" t="s">
        <v>81</v>
      </c>
      <c r="L1501" s="2" t="s">
        <v>40</v>
      </c>
      <c r="P1501" s="2" t="s">
        <v>4</v>
      </c>
      <c r="Q1501" s="2">
        <f>INDEX(Tables!$C$4:$C$28,MATCH($P1501,Tables!$B$4:$B$28,0))</f>
        <v>32</v>
      </c>
      <c r="R1501" s="2">
        <f>INDEX(Tables!$D$4:$D$28,MATCH($P1501,Tables!$B$4:$B$28,0))</f>
        <v>4</v>
      </c>
      <c r="S1501" s="2">
        <f>$S1500+$R1500+INDEX(Tables!$N$5:$Q$8,MATCH(MOD($S1500+$R1500,4),Tables!$M$5:$M$8,0),MATCH($R1501,Tables!$N$4:$Q$4,0))</f>
        <v>5816</v>
      </c>
      <c r="T1501" s="2" t="str">
        <f t="shared" si="363"/>
        <v>16B8</v>
      </c>
      <c r="U1501" s="2">
        <f t="shared" si="369"/>
        <v>1454</v>
      </c>
      <c r="V1501" s="2" t="str">
        <f t="shared" si="364"/>
        <v>5AE</v>
      </c>
      <c r="W1501" s="2" t="str">
        <f t="shared" si="365"/>
        <v/>
      </c>
      <c r="X1501" s="2" t="str">
        <f t="shared" si="368"/>
        <v/>
      </c>
      <c r="Y1501" s="2" t="str">
        <f t="shared" si="366"/>
        <v/>
      </c>
      <c r="Z1501" s="2" t="str">
        <f t="shared" si="367"/>
        <v>X</v>
      </c>
      <c r="AA1501" s="2" t="str">
        <f t="shared" si="370"/>
        <v/>
      </c>
      <c r="AB1501" s="2" t="str">
        <f t="shared" si="371"/>
        <v/>
      </c>
      <c r="AC1501" s="2" t="str">
        <f t="shared" si="372"/>
        <v/>
      </c>
      <c r="AD1501" s="2" t="str">
        <f t="shared" si="373"/>
        <v>(0)</v>
      </c>
      <c r="AE1501" s="2" t="str">
        <f t="shared" si="374"/>
        <v/>
      </c>
      <c r="AF1501" s="2" t="str">
        <f t="shared" si="375"/>
        <v/>
      </c>
      <c r="AG1501" s="2" t="str">
        <f t="shared" si="376"/>
        <v/>
      </c>
      <c r="AH1501" s="2" t="str">
        <f t="shared" si="377"/>
        <v/>
      </c>
    </row>
    <row r="1502" spans="2:34" x14ac:dyDescent="0.25">
      <c r="B1502" s="2" t="s">
        <v>3792</v>
      </c>
      <c r="C1502" s="2" t="s">
        <v>563</v>
      </c>
      <c r="D1502" s="2" t="s">
        <v>0</v>
      </c>
      <c r="E1502" s="2" t="s">
        <v>130</v>
      </c>
      <c r="F1502" s="2" t="s">
        <v>3793</v>
      </c>
      <c r="G1502" s="2" t="s">
        <v>3794</v>
      </c>
      <c r="H1502" s="2" t="s">
        <v>564</v>
      </c>
      <c r="I1502" s="2" t="s">
        <v>41</v>
      </c>
      <c r="J1502" s="2">
        <v>1</v>
      </c>
      <c r="K1502" s="2" t="s">
        <v>81</v>
      </c>
      <c r="L1502" s="2" t="s">
        <v>40</v>
      </c>
      <c r="P1502" s="2" t="s">
        <v>4</v>
      </c>
      <c r="Q1502" s="2">
        <f>INDEX(Tables!$C$4:$C$28,MATCH($P1502,Tables!$B$4:$B$28,0))</f>
        <v>32</v>
      </c>
      <c r="R1502" s="2">
        <f>INDEX(Tables!$D$4:$D$28,MATCH($P1502,Tables!$B$4:$B$28,0))</f>
        <v>4</v>
      </c>
      <c r="S1502" s="2">
        <f>$S1501+$R1501+INDEX(Tables!$N$5:$Q$8,MATCH(MOD($S1501+$R1501,4),Tables!$M$5:$M$8,0),MATCH($R1502,Tables!$N$4:$Q$4,0))</f>
        <v>5820</v>
      </c>
      <c r="T1502" s="2" t="str">
        <f t="shared" si="363"/>
        <v>16BC</v>
      </c>
      <c r="U1502" s="2">
        <f t="shared" si="369"/>
        <v>1455</v>
      </c>
      <c r="V1502" s="2" t="str">
        <f t="shared" si="364"/>
        <v>5AF</v>
      </c>
      <c r="W1502" s="2" t="str">
        <f t="shared" si="365"/>
        <v/>
      </c>
      <c r="X1502" s="2" t="str">
        <f t="shared" si="368"/>
        <v/>
      </c>
      <c r="Y1502" s="2" t="str">
        <f t="shared" si="366"/>
        <v/>
      </c>
      <c r="Z1502" s="2" t="str">
        <f t="shared" si="367"/>
        <v>X</v>
      </c>
      <c r="AA1502" s="2" t="str">
        <f t="shared" si="370"/>
        <v/>
      </c>
      <c r="AB1502" s="2" t="str">
        <f t="shared" si="371"/>
        <v/>
      </c>
      <c r="AC1502" s="2" t="str">
        <f t="shared" si="372"/>
        <v/>
      </c>
      <c r="AD1502" s="2" t="str">
        <f t="shared" si="373"/>
        <v>(0)</v>
      </c>
      <c r="AE1502" s="2" t="str">
        <f t="shared" si="374"/>
        <v/>
      </c>
      <c r="AF1502" s="2" t="str">
        <f t="shared" si="375"/>
        <v/>
      </c>
      <c r="AG1502" s="2" t="str">
        <f t="shared" si="376"/>
        <v/>
      </c>
      <c r="AH1502" s="2" t="str">
        <f t="shared" si="377"/>
        <v/>
      </c>
    </row>
    <row r="1503" spans="2:34" x14ac:dyDescent="0.25">
      <c r="B1503" s="2" t="s">
        <v>3792</v>
      </c>
      <c r="C1503" s="2" t="s">
        <v>565</v>
      </c>
      <c r="D1503" s="2" t="s">
        <v>0</v>
      </c>
      <c r="E1503" s="2" t="s">
        <v>130</v>
      </c>
      <c r="F1503" s="2" t="s">
        <v>3793</v>
      </c>
      <c r="G1503" s="2" t="s">
        <v>3794</v>
      </c>
      <c r="H1503" s="2" t="s">
        <v>566</v>
      </c>
      <c r="I1503" s="2" t="s">
        <v>41</v>
      </c>
      <c r="J1503" s="2">
        <v>1</v>
      </c>
      <c r="K1503" s="2" t="s">
        <v>81</v>
      </c>
      <c r="L1503" s="2" t="s">
        <v>40</v>
      </c>
      <c r="P1503" s="2" t="s">
        <v>4</v>
      </c>
      <c r="Q1503" s="2">
        <f>INDEX(Tables!$C$4:$C$28,MATCH($P1503,Tables!$B$4:$B$28,0))</f>
        <v>32</v>
      </c>
      <c r="R1503" s="2">
        <f>INDEX(Tables!$D$4:$D$28,MATCH($P1503,Tables!$B$4:$B$28,0))</f>
        <v>4</v>
      </c>
      <c r="S1503" s="2">
        <f>$S1502+$R1502+INDEX(Tables!$N$5:$Q$8,MATCH(MOD($S1502+$R1502,4),Tables!$M$5:$M$8,0),MATCH($R1503,Tables!$N$4:$Q$4,0))</f>
        <v>5824</v>
      </c>
      <c r="T1503" s="2" t="str">
        <f t="shared" si="363"/>
        <v>16C0</v>
      </c>
      <c r="U1503" s="2">
        <f t="shared" si="369"/>
        <v>1456</v>
      </c>
      <c r="V1503" s="2" t="str">
        <f t="shared" si="364"/>
        <v>5B0</v>
      </c>
      <c r="W1503" s="2" t="str">
        <f t="shared" si="365"/>
        <v/>
      </c>
      <c r="X1503" s="2" t="str">
        <f t="shared" si="368"/>
        <v/>
      </c>
      <c r="Y1503" s="2" t="str">
        <f t="shared" si="366"/>
        <v/>
      </c>
      <c r="Z1503" s="2" t="str">
        <f t="shared" si="367"/>
        <v>X</v>
      </c>
      <c r="AA1503" s="2" t="str">
        <f t="shared" si="370"/>
        <v/>
      </c>
      <c r="AB1503" s="2" t="str">
        <f t="shared" si="371"/>
        <v/>
      </c>
      <c r="AC1503" s="2" t="str">
        <f t="shared" si="372"/>
        <v/>
      </c>
      <c r="AD1503" s="2" t="str">
        <f t="shared" si="373"/>
        <v>(0)</v>
      </c>
      <c r="AE1503" s="2" t="str">
        <f t="shared" si="374"/>
        <v/>
      </c>
      <c r="AF1503" s="2" t="str">
        <f t="shared" si="375"/>
        <v/>
      </c>
      <c r="AG1503" s="2" t="str">
        <f t="shared" si="376"/>
        <v/>
      </c>
      <c r="AH1503" s="2" t="str">
        <f t="shared" si="377"/>
        <v/>
      </c>
    </row>
    <row r="1504" spans="2:34" x14ac:dyDescent="0.25">
      <c r="B1504" s="2" t="s">
        <v>3795</v>
      </c>
      <c r="C1504" s="2" t="s">
        <v>568</v>
      </c>
      <c r="D1504" s="2" t="s">
        <v>0</v>
      </c>
      <c r="E1504" s="2" t="s">
        <v>130</v>
      </c>
      <c r="F1504" s="2" t="s">
        <v>3796</v>
      </c>
      <c r="G1504" s="2" t="s">
        <v>3797</v>
      </c>
      <c r="H1504" s="2" t="s">
        <v>571</v>
      </c>
      <c r="I1504" s="2" t="s">
        <v>41</v>
      </c>
      <c r="J1504" s="2">
        <v>1</v>
      </c>
      <c r="K1504" s="2" t="s">
        <v>81</v>
      </c>
      <c r="L1504" s="2" t="s">
        <v>40</v>
      </c>
      <c r="P1504" s="2" t="s">
        <v>4</v>
      </c>
      <c r="Q1504" s="2">
        <f>INDEX(Tables!$C$4:$C$28,MATCH($P1504,Tables!$B$4:$B$28,0))</f>
        <v>32</v>
      </c>
      <c r="R1504" s="2">
        <f>INDEX(Tables!$D$4:$D$28,MATCH($P1504,Tables!$B$4:$B$28,0))</f>
        <v>4</v>
      </c>
      <c r="S1504" s="2">
        <f>$S1503+$R1503+INDEX(Tables!$N$5:$Q$8,MATCH(MOD($S1503+$R1503,4),Tables!$M$5:$M$8,0),MATCH($R1504,Tables!$N$4:$Q$4,0))</f>
        <v>5828</v>
      </c>
      <c r="T1504" s="2" t="str">
        <f t="shared" si="363"/>
        <v>16C4</v>
      </c>
      <c r="U1504" s="2">
        <f t="shared" si="369"/>
        <v>1457</v>
      </c>
      <c r="V1504" s="2" t="str">
        <f t="shared" si="364"/>
        <v>5B1</v>
      </c>
      <c r="W1504" s="2" t="str">
        <f t="shared" si="365"/>
        <v/>
      </c>
      <c r="X1504" s="2" t="str">
        <f t="shared" si="368"/>
        <v/>
      </c>
      <c r="Y1504" s="2" t="str">
        <f t="shared" si="366"/>
        <v/>
      </c>
      <c r="Z1504" s="2" t="str">
        <f t="shared" si="367"/>
        <v>X</v>
      </c>
      <c r="AA1504" s="2" t="str">
        <f t="shared" si="370"/>
        <v/>
      </c>
      <c r="AB1504" s="2" t="str">
        <f t="shared" si="371"/>
        <v/>
      </c>
      <c r="AC1504" s="2" t="str">
        <f t="shared" si="372"/>
        <v/>
      </c>
      <c r="AD1504" s="2" t="str">
        <f t="shared" si="373"/>
        <v>(0)</v>
      </c>
      <c r="AE1504" s="2" t="str">
        <f t="shared" si="374"/>
        <v/>
      </c>
      <c r="AF1504" s="2" t="str">
        <f t="shared" si="375"/>
        <v/>
      </c>
      <c r="AG1504" s="2" t="str">
        <f t="shared" si="376"/>
        <v/>
      </c>
      <c r="AH1504" s="2" t="str">
        <f t="shared" si="377"/>
        <v/>
      </c>
    </row>
    <row r="1505" spans="2:34" x14ac:dyDescent="0.25">
      <c r="B1505" s="2" t="s">
        <v>3795</v>
      </c>
      <c r="C1505" s="2" t="s">
        <v>572</v>
      </c>
      <c r="D1505" s="2" t="s">
        <v>0</v>
      </c>
      <c r="E1505" s="2" t="s">
        <v>130</v>
      </c>
      <c r="F1505" s="2" t="s">
        <v>3796</v>
      </c>
      <c r="G1505" s="2" t="s">
        <v>3797</v>
      </c>
      <c r="H1505" s="2" t="s">
        <v>573</v>
      </c>
      <c r="I1505" s="2" t="s">
        <v>41</v>
      </c>
      <c r="J1505" s="2">
        <v>1</v>
      </c>
      <c r="K1505" s="2" t="s">
        <v>81</v>
      </c>
      <c r="L1505" s="2" t="s">
        <v>40</v>
      </c>
      <c r="P1505" s="2" t="s">
        <v>4</v>
      </c>
      <c r="Q1505" s="2">
        <f>INDEX(Tables!$C$4:$C$28,MATCH($P1505,Tables!$B$4:$B$28,0))</f>
        <v>32</v>
      </c>
      <c r="R1505" s="2">
        <f>INDEX(Tables!$D$4:$D$28,MATCH($P1505,Tables!$B$4:$B$28,0))</f>
        <v>4</v>
      </c>
      <c r="S1505" s="2">
        <f>$S1504+$R1504+INDEX(Tables!$N$5:$Q$8,MATCH(MOD($S1504+$R1504,4),Tables!$M$5:$M$8,0),MATCH($R1505,Tables!$N$4:$Q$4,0))</f>
        <v>5832</v>
      </c>
      <c r="T1505" s="2" t="str">
        <f t="shared" si="363"/>
        <v>16C8</v>
      </c>
      <c r="U1505" s="2">
        <f t="shared" si="369"/>
        <v>1458</v>
      </c>
      <c r="V1505" s="2" t="str">
        <f t="shared" si="364"/>
        <v>5B2</v>
      </c>
      <c r="W1505" s="2" t="str">
        <f t="shared" si="365"/>
        <v/>
      </c>
      <c r="X1505" s="2" t="str">
        <f t="shared" si="368"/>
        <v/>
      </c>
      <c r="Y1505" s="2" t="str">
        <f t="shared" si="366"/>
        <v/>
      </c>
      <c r="Z1505" s="2" t="str">
        <f t="shared" si="367"/>
        <v>X</v>
      </c>
      <c r="AA1505" s="2" t="str">
        <f t="shared" si="370"/>
        <v/>
      </c>
      <c r="AB1505" s="2" t="str">
        <f t="shared" si="371"/>
        <v/>
      </c>
      <c r="AC1505" s="2" t="str">
        <f t="shared" si="372"/>
        <v/>
      </c>
      <c r="AD1505" s="2" t="str">
        <f t="shared" si="373"/>
        <v>(0)</v>
      </c>
      <c r="AE1505" s="2" t="str">
        <f t="shared" si="374"/>
        <v/>
      </c>
      <c r="AF1505" s="2" t="str">
        <f t="shared" si="375"/>
        <v/>
      </c>
      <c r="AG1505" s="2" t="str">
        <f t="shared" si="376"/>
        <v/>
      </c>
      <c r="AH1505" s="2" t="str">
        <f t="shared" si="377"/>
        <v/>
      </c>
    </row>
    <row r="1506" spans="2:34" x14ac:dyDescent="0.25">
      <c r="B1506" s="2" t="s">
        <v>3795</v>
      </c>
      <c r="C1506" s="2" t="s">
        <v>574</v>
      </c>
      <c r="D1506" s="2" t="s">
        <v>0</v>
      </c>
      <c r="E1506" s="2" t="s">
        <v>130</v>
      </c>
      <c r="F1506" s="2" t="s">
        <v>3796</v>
      </c>
      <c r="G1506" s="2" t="s">
        <v>3797</v>
      </c>
      <c r="H1506" s="2" t="s">
        <v>575</v>
      </c>
      <c r="I1506" s="2" t="s">
        <v>41</v>
      </c>
      <c r="J1506" s="2">
        <v>1</v>
      </c>
      <c r="K1506" s="2" t="s">
        <v>81</v>
      </c>
      <c r="L1506" s="2" t="s">
        <v>40</v>
      </c>
      <c r="P1506" s="2" t="s">
        <v>4</v>
      </c>
      <c r="Q1506" s="2">
        <f>INDEX(Tables!$C$4:$C$28,MATCH($P1506,Tables!$B$4:$B$28,0))</f>
        <v>32</v>
      </c>
      <c r="R1506" s="2">
        <f>INDEX(Tables!$D$4:$D$28,MATCH($P1506,Tables!$B$4:$B$28,0))</f>
        <v>4</v>
      </c>
      <c r="S1506" s="2">
        <f>$S1505+$R1505+INDEX(Tables!$N$5:$Q$8,MATCH(MOD($S1505+$R1505,4),Tables!$M$5:$M$8,0),MATCH($R1506,Tables!$N$4:$Q$4,0))</f>
        <v>5836</v>
      </c>
      <c r="T1506" s="2" t="str">
        <f t="shared" si="363"/>
        <v>16CC</v>
      </c>
      <c r="U1506" s="2">
        <f t="shared" si="369"/>
        <v>1459</v>
      </c>
      <c r="V1506" s="2" t="str">
        <f t="shared" si="364"/>
        <v>5B3</v>
      </c>
      <c r="W1506" s="2" t="str">
        <f t="shared" si="365"/>
        <v/>
      </c>
      <c r="X1506" s="2" t="str">
        <f t="shared" si="368"/>
        <v/>
      </c>
      <c r="Y1506" s="2" t="str">
        <f t="shared" si="366"/>
        <v/>
      </c>
      <c r="Z1506" s="2" t="str">
        <f t="shared" si="367"/>
        <v>X</v>
      </c>
      <c r="AA1506" s="2" t="str">
        <f t="shared" si="370"/>
        <v/>
      </c>
      <c r="AB1506" s="2" t="str">
        <f t="shared" si="371"/>
        <v/>
      </c>
      <c r="AC1506" s="2" t="str">
        <f t="shared" si="372"/>
        <v/>
      </c>
      <c r="AD1506" s="2" t="str">
        <f t="shared" si="373"/>
        <v>(0)</v>
      </c>
      <c r="AE1506" s="2" t="str">
        <f t="shared" si="374"/>
        <v/>
      </c>
      <c r="AF1506" s="2" t="str">
        <f t="shared" si="375"/>
        <v/>
      </c>
      <c r="AG1506" s="2" t="str">
        <f t="shared" si="376"/>
        <v/>
      </c>
      <c r="AH1506" s="2" t="str">
        <f t="shared" si="377"/>
        <v/>
      </c>
    </row>
    <row r="1507" spans="2:34" x14ac:dyDescent="0.25">
      <c r="B1507" s="2" t="s">
        <v>3795</v>
      </c>
      <c r="C1507" s="2" t="s">
        <v>576</v>
      </c>
      <c r="D1507" s="2" t="s">
        <v>0</v>
      </c>
      <c r="E1507" s="2" t="s">
        <v>130</v>
      </c>
      <c r="F1507" s="2" t="s">
        <v>3796</v>
      </c>
      <c r="G1507" s="2" t="s">
        <v>3797</v>
      </c>
      <c r="H1507" s="2" t="s">
        <v>577</v>
      </c>
      <c r="I1507" s="2" t="s">
        <v>41</v>
      </c>
      <c r="J1507" s="2">
        <v>1</v>
      </c>
      <c r="K1507" s="2" t="s">
        <v>81</v>
      </c>
      <c r="L1507" s="2" t="s">
        <v>40</v>
      </c>
      <c r="P1507" s="2" t="s">
        <v>4</v>
      </c>
      <c r="Q1507" s="2">
        <f>INDEX(Tables!$C$4:$C$28,MATCH($P1507,Tables!$B$4:$B$28,0))</f>
        <v>32</v>
      </c>
      <c r="R1507" s="2">
        <f>INDEX(Tables!$D$4:$D$28,MATCH($P1507,Tables!$B$4:$B$28,0))</f>
        <v>4</v>
      </c>
      <c r="S1507" s="2">
        <f>$S1506+$R1506+INDEX(Tables!$N$5:$Q$8,MATCH(MOD($S1506+$R1506,4),Tables!$M$5:$M$8,0),MATCH($R1507,Tables!$N$4:$Q$4,0))</f>
        <v>5840</v>
      </c>
      <c r="T1507" s="2" t="str">
        <f t="shared" si="363"/>
        <v>16D0</v>
      </c>
      <c r="U1507" s="2">
        <f t="shared" si="369"/>
        <v>1460</v>
      </c>
      <c r="V1507" s="2" t="str">
        <f t="shared" si="364"/>
        <v>5B4</v>
      </c>
      <c r="W1507" s="2" t="str">
        <f t="shared" si="365"/>
        <v/>
      </c>
      <c r="X1507" s="2" t="str">
        <f t="shared" si="368"/>
        <v/>
      </c>
      <c r="Y1507" s="2" t="str">
        <f t="shared" si="366"/>
        <v/>
      </c>
      <c r="Z1507" s="2" t="str">
        <f t="shared" si="367"/>
        <v>X</v>
      </c>
      <c r="AA1507" s="2" t="str">
        <f t="shared" si="370"/>
        <v/>
      </c>
      <c r="AB1507" s="2" t="str">
        <f t="shared" si="371"/>
        <v/>
      </c>
      <c r="AC1507" s="2" t="str">
        <f t="shared" si="372"/>
        <v/>
      </c>
      <c r="AD1507" s="2" t="str">
        <f t="shared" si="373"/>
        <v>(0)</v>
      </c>
      <c r="AE1507" s="2" t="str">
        <f t="shared" si="374"/>
        <v/>
      </c>
      <c r="AF1507" s="2" t="str">
        <f t="shared" si="375"/>
        <v/>
      </c>
      <c r="AG1507" s="2" t="str">
        <f t="shared" si="376"/>
        <v/>
      </c>
      <c r="AH1507" s="2" t="str">
        <f t="shared" si="377"/>
        <v/>
      </c>
    </row>
    <row r="1508" spans="2:34" x14ac:dyDescent="0.25">
      <c r="B1508" s="2" t="s">
        <v>3795</v>
      </c>
      <c r="C1508" s="2" t="s">
        <v>578</v>
      </c>
      <c r="D1508" s="2" t="s">
        <v>0</v>
      </c>
      <c r="E1508" s="2" t="s">
        <v>130</v>
      </c>
      <c r="F1508" s="2" t="s">
        <v>3796</v>
      </c>
      <c r="G1508" s="2" t="s">
        <v>3797</v>
      </c>
      <c r="H1508" s="2" t="s">
        <v>579</v>
      </c>
      <c r="I1508" s="2" t="s">
        <v>41</v>
      </c>
      <c r="J1508" s="2">
        <v>1</v>
      </c>
      <c r="K1508" s="2" t="s">
        <v>81</v>
      </c>
      <c r="L1508" s="2" t="s">
        <v>40</v>
      </c>
      <c r="P1508" s="2" t="s">
        <v>4</v>
      </c>
      <c r="Q1508" s="2">
        <f>INDEX(Tables!$C$4:$C$28,MATCH($P1508,Tables!$B$4:$B$28,0))</f>
        <v>32</v>
      </c>
      <c r="R1508" s="2">
        <f>INDEX(Tables!$D$4:$D$28,MATCH($P1508,Tables!$B$4:$B$28,0))</f>
        <v>4</v>
      </c>
      <c r="S1508" s="2">
        <f>$S1507+$R1507+INDEX(Tables!$N$5:$Q$8,MATCH(MOD($S1507+$R1507,4),Tables!$M$5:$M$8,0),MATCH($R1508,Tables!$N$4:$Q$4,0))</f>
        <v>5844</v>
      </c>
      <c r="T1508" s="2" t="str">
        <f t="shared" si="363"/>
        <v>16D4</v>
      </c>
      <c r="U1508" s="2">
        <f t="shared" si="369"/>
        <v>1461</v>
      </c>
      <c r="V1508" s="2" t="str">
        <f t="shared" si="364"/>
        <v>5B5</v>
      </c>
      <c r="W1508" s="2" t="str">
        <f t="shared" si="365"/>
        <v/>
      </c>
      <c r="X1508" s="2" t="str">
        <f t="shared" si="368"/>
        <v/>
      </c>
      <c r="Y1508" s="2" t="str">
        <f t="shared" si="366"/>
        <v/>
      </c>
      <c r="Z1508" s="2" t="str">
        <f t="shared" si="367"/>
        <v>X</v>
      </c>
      <c r="AA1508" s="2" t="str">
        <f t="shared" si="370"/>
        <v/>
      </c>
      <c r="AB1508" s="2" t="str">
        <f t="shared" si="371"/>
        <v/>
      </c>
      <c r="AC1508" s="2" t="str">
        <f t="shared" si="372"/>
        <v/>
      </c>
      <c r="AD1508" s="2" t="str">
        <f t="shared" si="373"/>
        <v>(0)</v>
      </c>
      <c r="AE1508" s="2" t="str">
        <f t="shared" si="374"/>
        <v/>
      </c>
      <c r="AF1508" s="2" t="str">
        <f t="shared" si="375"/>
        <v/>
      </c>
      <c r="AG1508" s="2" t="str">
        <f t="shared" si="376"/>
        <v/>
      </c>
      <c r="AH1508" s="2" t="str">
        <f t="shared" si="377"/>
        <v/>
      </c>
    </row>
    <row r="1509" spans="2:34" x14ac:dyDescent="0.25">
      <c r="B1509" s="2" t="s">
        <v>3795</v>
      </c>
      <c r="C1509" s="2" t="s">
        <v>580</v>
      </c>
      <c r="D1509" s="2" t="s">
        <v>0</v>
      </c>
      <c r="E1509" s="2" t="s">
        <v>130</v>
      </c>
      <c r="F1509" s="2" t="s">
        <v>3796</v>
      </c>
      <c r="G1509" s="2" t="s">
        <v>3797</v>
      </c>
      <c r="H1509" s="2" t="s">
        <v>581</v>
      </c>
      <c r="I1509" s="2" t="s">
        <v>41</v>
      </c>
      <c r="J1509" s="2">
        <v>1</v>
      </c>
      <c r="K1509" s="2" t="s">
        <v>81</v>
      </c>
      <c r="L1509" s="2" t="s">
        <v>40</v>
      </c>
      <c r="P1509" s="2" t="s">
        <v>4</v>
      </c>
      <c r="Q1509" s="2">
        <f>INDEX(Tables!$C$4:$C$28,MATCH($P1509,Tables!$B$4:$B$28,0))</f>
        <v>32</v>
      </c>
      <c r="R1509" s="2">
        <f>INDEX(Tables!$D$4:$D$28,MATCH($P1509,Tables!$B$4:$B$28,0))</f>
        <v>4</v>
      </c>
      <c r="S1509" s="2">
        <f>$S1508+$R1508+INDEX(Tables!$N$5:$Q$8,MATCH(MOD($S1508+$R1508,4),Tables!$M$5:$M$8,0),MATCH($R1509,Tables!$N$4:$Q$4,0))</f>
        <v>5848</v>
      </c>
      <c r="T1509" s="2" t="str">
        <f t="shared" si="363"/>
        <v>16D8</v>
      </c>
      <c r="U1509" s="2">
        <f t="shared" si="369"/>
        <v>1462</v>
      </c>
      <c r="V1509" s="2" t="str">
        <f t="shared" si="364"/>
        <v>5B6</v>
      </c>
      <c r="W1509" s="2" t="str">
        <f t="shared" si="365"/>
        <v/>
      </c>
      <c r="X1509" s="2" t="str">
        <f t="shared" si="368"/>
        <v/>
      </c>
      <c r="Y1509" s="2" t="str">
        <f t="shared" si="366"/>
        <v/>
      </c>
      <c r="Z1509" s="2" t="str">
        <f t="shared" si="367"/>
        <v>X</v>
      </c>
      <c r="AA1509" s="2" t="str">
        <f t="shared" si="370"/>
        <v/>
      </c>
      <c r="AB1509" s="2" t="str">
        <f t="shared" si="371"/>
        <v/>
      </c>
      <c r="AC1509" s="2" t="str">
        <f t="shared" si="372"/>
        <v/>
      </c>
      <c r="AD1509" s="2" t="str">
        <f t="shared" si="373"/>
        <v>(0)</v>
      </c>
      <c r="AE1509" s="2" t="str">
        <f t="shared" si="374"/>
        <v/>
      </c>
      <c r="AF1509" s="2" t="str">
        <f t="shared" si="375"/>
        <v/>
      </c>
      <c r="AG1509" s="2" t="str">
        <f t="shared" si="376"/>
        <v/>
      </c>
      <c r="AH1509" s="2" t="str">
        <f t="shared" si="377"/>
        <v/>
      </c>
    </row>
    <row r="1510" spans="2:34" x14ac:dyDescent="0.25">
      <c r="B1510" s="2" t="s">
        <v>3795</v>
      </c>
      <c r="C1510" s="2" t="s">
        <v>582</v>
      </c>
      <c r="D1510" s="2" t="s">
        <v>0</v>
      </c>
      <c r="E1510" s="2" t="s">
        <v>130</v>
      </c>
      <c r="F1510" s="2" t="s">
        <v>3796</v>
      </c>
      <c r="G1510" s="2" t="s">
        <v>3797</v>
      </c>
      <c r="H1510" s="2" t="s">
        <v>583</v>
      </c>
      <c r="I1510" s="2" t="s">
        <v>41</v>
      </c>
      <c r="J1510" s="2">
        <v>1</v>
      </c>
      <c r="K1510" s="2" t="s">
        <v>81</v>
      </c>
      <c r="L1510" s="2" t="s">
        <v>40</v>
      </c>
      <c r="P1510" s="2" t="s">
        <v>4</v>
      </c>
      <c r="Q1510" s="2">
        <f>INDEX(Tables!$C$4:$C$28,MATCH($P1510,Tables!$B$4:$B$28,0))</f>
        <v>32</v>
      </c>
      <c r="R1510" s="2">
        <f>INDEX(Tables!$D$4:$D$28,MATCH($P1510,Tables!$B$4:$B$28,0))</f>
        <v>4</v>
      </c>
      <c r="S1510" s="2">
        <f>$S1509+$R1509+INDEX(Tables!$N$5:$Q$8,MATCH(MOD($S1509+$R1509,4),Tables!$M$5:$M$8,0),MATCH($R1510,Tables!$N$4:$Q$4,0))</f>
        <v>5852</v>
      </c>
      <c r="T1510" s="2" t="str">
        <f t="shared" si="363"/>
        <v>16DC</v>
      </c>
      <c r="U1510" s="2">
        <f t="shared" si="369"/>
        <v>1463</v>
      </c>
      <c r="V1510" s="2" t="str">
        <f t="shared" si="364"/>
        <v>5B7</v>
      </c>
      <c r="W1510" s="2" t="str">
        <f t="shared" si="365"/>
        <v/>
      </c>
      <c r="X1510" s="2" t="str">
        <f t="shared" si="368"/>
        <v/>
      </c>
      <c r="Y1510" s="2" t="str">
        <f t="shared" si="366"/>
        <v/>
      </c>
      <c r="Z1510" s="2" t="str">
        <f t="shared" si="367"/>
        <v>X</v>
      </c>
      <c r="AA1510" s="2" t="str">
        <f t="shared" si="370"/>
        <v/>
      </c>
      <c r="AB1510" s="2" t="str">
        <f t="shared" si="371"/>
        <v/>
      </c>
      <c r="AC1510" s="2" t="str">
        <f t="shared" si="372"/>
        <v/>
      </c>
      <c r="AD1510" s="2" t="str">
        <f t="shared" si="373"/>
        <v>(0)</v>
      </c>
      <c r="AE1510" s="2" t="str">
        <f t="shared" si="374"/>
        <v/>
      </c>
      <c r="AF1510" s="2" t="str">
        <f t="shared" si="375"/>
        <v/>
      </c>
      <c r="AG1510" s="2" t="str">
        <f t="shared" si="376"/>
        <v/>
      </c>
      <c r="AH1510" s="2" t="str">
        <f t="shared" si="377"/>
        <v/>
      </c>
    </row>
    <row r="1511" spans="2:34" x14ac:dyDescent="0.25">
      <c r="B1511" s="2" t="s">
        <v>3795</v>
      </c>
      <c r="C1511" s="2" t="s">
        <v>584</v>
      </c>
      <c r="D1511" s="2" t="s">
        <v>0</v>
      </c>
      <c r="E1511" s="2" t="s">
        <v>130</v>
      </c>
      <c r="F1511" s="2" t="s">
        <v>3796</v>
      </c>
      <c r="G1511" s="2" t="s">
        <v>3797</v>
      </c>
      <c r="H1511" s="2" t="s">
        <v>585</v>
      </c>
      <c r="I1511" s="2" t="s">
        <v>41</v>
      </c>
      <c r="J1511" s="2">
        <v>1</v>
      </c>
      <c r="K1511" s="2" t="s">
        <v>81</v>
      </c>
      <c r="L1511" s="2" t="s">
        <v>40</v>
      </c>
      <c r="P1511" s="2" t="s">
        <v>4</v>
      </c>
      <c r="Q1511" s="2">
        <f>INDEX(Tables!$C$4:$C$28,MATCH($P1511,Tables!$B$4:$B$28,0))</f>
        <v>32</v>
      </c>
      <c r="R1511" s="2">
        <f>INDEX(Tables!$D$4:$D$28,MATCH($P1511,Tables!$B$4:$B$28,0))</f>
        <v>4</v>
      </c>
      <c r="S1511" s="2">
        <f>$S1510+$R1510+INDEX(Tables!$N$5:$Q$8,MATCH(MOD($S1510+$R1510,4),Tables!$M$5:$M$8,0),MATCH($R1511,Tables!$N$4:$Q$4,0))</f>
        <v>5856</v>
      </c>
      <c r="T1511" s="2" t="str">
        <f t="shared" si="363"/>
        <v>16E0</v>
      </c>
      <c r="U1511" s="2">
        <f t="shared" si="369"/>
        <v>1464</v>
      </c>
      <c r="V1511" s="2" t="str">
        <f t="shared" si="364"/>
        <v>5B8</v>
      </c>
      <c r="W1511" s="2" t="str">
        <f t="shared" si="365"/>
        <v/>
      </c>
      <c r="X1511" s="2" t="str">
        <f t="shared" si="368"/>
        <v/>
      </c>
      <c r="Y1511" s="2" t="str">
        <f t="shared" si="366"/>
        <v/>
      </c>
      <c r="Z1511" s="2" t="str">
        <f t="shared" si="367"/>
        <v>X</v>
      </c>
      <c r="AA1511" s="2" t="str">
        <f t="shared" si="370"/>
        <v/>
      </c>
      <c r="AB1511" s="2" t="str">
        <f t="shared" si="371"/>
        <v/>
      </c>
      <c r="AC1511" s="2" t="str">
        <f t="shared" si="372"/>
        <v/>
      </c>
      <c r="AD1511" s="2" t="str">
        <f t="shared" si="373"/>
        <v>(0)</v>
      </c>
      <c r="AE1511" s="2" t="str">
        <f t="shared" si="374"/>
        <v/>
      </c>
      <c r="AF1511" s="2" t="str">
        <f t="shared" si="375"/>
        <v/>
      </c>
      <c r="AG1511" s="2" t="str">
        <f t="shared" si="376"/>
        <v/>
      </c>
      <c r="AH1511" s="2" t="str">
        <f t="shared" si="377"/>
        <v/>
      </c>
    </row>
    <row r="1512" spans="2:34" x14ac:dyDescent="0.25">
      <c r="B1512" s="2" t="s">
        <v>3798</v>
      </c>
      <c r="C1512" s="2" t="s">
        <v>3799</v>
      </c>
      <c r="D1512" s="2" t="s">
        <v>0</v>
      </c>
      <c r="E1512" s="2" t="s">
        <v>130</v>
      </c>
      <c r="F1512" s="2" t="s">
        <v>3800</v>
      </c>
      <c r="G1512" s="2" t="s">
        <v>3801</v>
      </c>
      <c r="H1512" s="2" t="s">
        <v>3802</v>
      </c>
      <c r="I1512" s="2" t="s">
        <v>41</v>
      </c>
      <c r="J1512" s="2">
        <v>8</v>
      </c>
      <c r="K1512" s="2" t="s">
        <v>132</v>
      </c>
      <c r="L1512" s="2" t="s">
        <v>40</v>
      </c>
      <c r="P1512" s="2" t="s">
        <v>47</v>
      </c>
      <c r="Q1512" s="2">
        <f>INDEX(Tables!$C$4:$C$28,MATCH($P1512,Tables!$B$4:$B$28,0))</f>
        <v>8</v>
      </c>
      <c r="R1512" s="2">
        <f>INDEX(Tables!$D$4:$D$28,MATCH($P1512,Tables!$B$4:$B$28,0))</f>
        <v>1</v>
      </c>
      <c r="S1512" s="2">
        <f>$S1511+$R1511+INDEX(Tables!$N$5:$Q$8,MATCH(MOD($S1511+$R1511,4),Tables!$M$5:$M$8,0),MATCH($R1512,Tables!$N$4:$Q$4,0))</f>
        <v>5860</v>
      </c>
      <c r="T1512" s="2" t="str">
        <f t="shared" si="363"/>
        <v>16E4</v>
      </c>
      <c r="U1512" s="2">
        <f t="shared" si="369"/>
        <v>1465</v>
      </c>
      <c r="V1512" s="2" t="str">
        <f t="shared" si="364"/>
        <v>5B9</v>
      </c>
      <c r="W1512" s="2" t="str">
        <f t="shared" si="365"/>
        <v/>
      </c>
      <c r="X1512" s="2" t="str">
        <f t="shared" si="368"/>
        <v/>
      </c>
      <c r="Y1512" s="2" t="str">
        <f t="shared" si="366"/>
        <v/>
      </c>
      <c r="Z1512" s="2" t="str">
        <f t="shared" si="367"/>
        <v>X</v>
      </c>
      <c r="AA1512" s="2" t="str">
        <f t="shared" si="370"/>
        <v/>
      </c>
      <c r="AB1512" s="2" t="str">
        <f t="shared" si="371"/>
        <v/>
      </c>
      <c r="AC1512" s="2" t="str">
        <f t="shared" si="372"/>
        <v/>
      </c>
      <c r="AD1512" s="2" t="str">
        <f t="shared" si="373"/>
        <v>(7 downto 0)</v>
      </c>
      <c r="AE1512" s="2" t="str">
        <f t="shared" si="374"/>
        <v/>
      </c>
      <c r="AF1512" s="2" t="str">
        <f t="shared" si="375"/>
        <v/>
      </c>
      <c r="AG1512" s="2" t="str">
        <f t="shared" si="376"/>
        <v/>
      </c>
      <c r="AH1512" s="2" t="str">
        <f t="shared" si="377"/>
        <v/>
      </c>
    </row>
    <row r="1513" spans="2:34" x14ac:dyDescent="0.25">
      <c r="B1513" s="2" t="s">
        <v>3798</v>
      </c>
      <c r="C1513" s="2" t="s">
        <v>3803</v>
      </c>
      <c r="D1513" s="2" t="s">
        <v>0</v>
      </c>
      <c r="E1513" s="2" t="s">
        <v>130</v>
      </c>
      <c r="F1513" s="2" t="s">
        <v>3800</v>
      </c>
      <c r="G1513" s="2" t="s">
        <v>3801</v>
      </c>
      <c r="H1513" s="2" t="s">
        <v>3804</v>
      </c>
      <c r="I1513" s="2" t="s">
        <v>41</v>
      </c>
      <c r="J1513" s="2">
        <v>8</v>
      </c>
      <c r="K1513" s="2" t="s">
        <v>132</v>
      </c>
      <c r="L1513" s="2" t="s">
        <v>40</v>
      </c>
      <c r="P1513" s="2" t="s">
        <v>47</v>
      </c>
      <c r="Q1513" s="2">
        <f>INDEX(Tables!$C$4:$C$28,MATCH($P1513,Tables!$B$4:$B$28,0))</f>
        <v>8</v>
      </c>
      <c r="R1513" s="2">
        <f>INDEX(Tables!$D$4:$D$28,MATCH($P1513,Tables!$B$4:$B$28,0))</f>
        <v>1</v>
      </c>
      <c r="S1513" s="2">
        <f>$S1512+$R1512+INDEX(Tables!$N$5:$Q$8,MATCH(MOD($S1512+$R1512,4),Tables!$M$5:$M$8,0),MATCH($R1513,Tables!$N$4:$Q$4,0))</f>
        <v>5861</v>
      </c>
      <c r="T1513" s="2" t="str">
        <f t="shared" si="363"/>
        <v>16E5</v>
      </c>
      <c r="U1513" s="2">
        <f t="shared" si="369"/>
        <v>1465</v>
      </c>
      <c r="V1513" s="2" t="str">
        <f t="shared" si="364"/>
        <v>5B9</v>
      </c>
      <c r="W1513" s="2" t="str">
        <f t="shared" si="365"/>
        <v/>
      </c>
      <c r="X1513" s="2" t="str">
        <f t="shared" si="368"/>
        <v/>
      </c>
      <c r="Y1513" s="2" t="str">
        <f t="shared" si="366"/>
        <v>X</v>
      </c>
      <c r="Z1513" s="2" t="str">
        <f t="shared" si="367"/>
        <v/>
      </c>
      <c r="AA1513" s="2" t="str">
        <f t="shared" si="370"/>
        <v/>
      </c>
      <c r="AB1513" s="2" t="str">
        <f t="shared" si="371"/>
        <v/>
      </c>
      <c r="AC1513" s="2" t="str">
        <f t="shared" si="372"/>
        <v>(15 downto 8)</v>
      </c>
      <c r="AD1513" s="2" t="str">
        <f t="shared" si="373"/>
        <v/>
      </c>
      <c r="AE1513" s="2" t="str">
        <f t="shared" si="374"/>
        <v/>
      </c>
      <c r="AF1513" s="2" t="str">
        <f t="shared" si="375"/>
        <v/>
      </c>
      <c r="AG1513" s="2" t="str">
        <f t="shared" si="376"/>
        <v/>
      </c>
      <c r="AH1513" s="2" t="str">
        <f t="shared" si="377"/>
        <v/>
      </c>
    </row>
    <row r="1514" spans="2:34" x14ac:dyDescent="0.25">
      <c r="B1514" s="2" t="s">
        <v>3805</v>
      </c>
      <c r="C1514" s="2" t="s">
        <v>3806</v>
      </c>
      <c r="D1514" s="2" t="s">
        <v>0</v>
      </c>
      <c r="E1514" s="2" t="s">
        <v>130</v>
      </c>
      <c r="F1514" s="2" t="s">
        <v>3807</v>
      </c>
      <c r="G1514" s="2" t="s">
        <v>3808</v>
      </c>
      <c r="H1514" s="2" t="s">
        <v>3809</v>
      </c>
      <c r="I1514" s="2" t="s">
        <v>41</v>
      </c>
      <c r="J1514" s="2">
        <v>16</v>
      </c>
      <c r="K1514" s="2" t="s">
        <v>132</v>
      </c>
      <c r="L1514" s="2" t="s">
        <v>40</v>
      </c>
      <c r="P1514" s="2" t="s">
        <v>49</v>
      </c>
      <c r="Q1514" s="2">
        <f>INDEX(Tables!$C$4:$C$28,MATCH($P1514,Tables!$B$4:$B$28,0))</f>
        <v>16</v>
      </c>
      <c r="R1514" s="2">
        <f>INDEX(Tables!$D$4:$D$28,MATCH($P1514,Tables!$B$4:$B$28,0))</f>
        <v>2</v>
      </c>
      <c r="S1514" s="2">
        <f>$S1513+$R1513+INDEX(Tables!$N$5:$Q$8,MATCH(MOD($S1513+$R1513,4),Tables!$M$5:$M$8,0),MATCH($R1514,Tables!$N$4:$Q$4,0))</f>
        <v>5862</v>
      </c>
      <c r="T1514" s="2" t="str">
        <f t="shared" si="363"/>
        <v>16E6</v>
      </c>
      <c r="U1514" s="2">
        <f t="shared" si="369"/>
        <v>1465</v>
      </c>
      <c r="V1514" s="2" t="str">
        <f t="shared" si="364"/>
        <v>5B9</v>
      </c>
      <c r="W1514" s="2" t="str">
        <f t="shared" si="365"/>
        <v>X</v>
      </c>
      <c r="X1514" s="2" t="str">
        <f t="shared" si="368"/>
        <v>X</v>
      </c>
      <c r="Y1514" s="2" t="str">
        <f t="shared" si="366"/>
        <v/>
      </c>
      <c r="Z1514" s="2" t="str">
        <f t="shared" si="367"/>
        <v/>
      </c>
      <c r="AA1514" s="2" t="str">
        <f t="shared" si="370"/>
        <v>(31 downto 24)</v>
      </c>
      <c r="AB1514" s="2" t="str">
        <f t="shared" si="371"/>
        <v>(23 downto 16)</v>
      </c>
      <c r="AC1514" s="2" t="str">
        <f t="shared" si="372"/>
        <v/>
      </c>
      <c r="AD1514" s="2" t="str">
        <f t="shared" si="373"/>
        <v/>
      </c>
      <c r="AE1514" s="2" t="str">
        <f t="shared" si="374"/>
        <v>(15 downto 8)</v>
      </c>
      <c r="AF1514" s="2" t="str">
        <f t="shared" si="375"/>
        <v>(7 downto 0)</v>
      </c>
      <c r="AG1514" s="2" t="str">
        <f t="shared" si="376"/>
        <v/>
      </c>
      <c r="AH1514" s="2" t="str">
        <f t="shared" si="377"/>
        <v/>
      </c>
    </row>
    <row r="1515" spans="2:34" x14ac:dyDescent="0.25">
      <c r="B1515" s="2" t="s">
        <v>3805</v>
      </c>
      <c r="C1515" s="2" t="s">
        <v>3810</v>
      </c>
      <c r="D1515" s="2" t="s">
        <v>0</v>
      </c>
      <c r="E1515" s="2" t="s">
        <v>130</v>
      </c>
      <c r="F1515" s="2" t="s">
        <v>3807</v>
      </c>
      <c r="G1515" s="2" t="s">
        <v>3808</v>
      </c>
      <c r="H1515" s="2" t="s">
        <v>3811</v>
      </c>
      <c r="I1515" s="2" t="s">
        <v>41</v>
      </c>
      <c r="J1515" s="2">
        <v>16</v>
      </c>
      <c r="K1515" s="2" t="s">
        <v>132</v>
      </c>
      <c r="L1515" s="2" t="s">
        <v>40</v>
      </c>
      <c r="P1515" s="2" t="s">
        <v>49</v>
      </c>
      <c r="Q1515" s="2">
        <f>INDEX(Tables!$C$4:$C$28,MATCH($P1515,Tables!$B$4:$B$28,0))</f>
        <v>16</v>
      </c>
      <c r="R1515" s="2">
        <f>INDEX(Tables!$D$4:$D$28,MATCH($P1515,Tables!$B$4:$B$28,0))</f>
        <v>2</v>
      </c>
      <c r="S1515" s="2">
        <f>$S1514+$R1514+INDEX(Tables!$N$5:$Q$8,MATCH(MOD($S1514+$R1514,4),Tables!$M$5:$M$8,0),MATCH($R1515,Tables!$N$4:$Q$4,0))</f>
        <v>5864</v>
      </c>
      <c r="T1515" s="2" t="str">
        <f t="shared" si="363"/>
        <v>16E8</v>
      </c>
      <c r="U1515" s="2">
        <f t="shared" si="369"/>
        <v>1466</v>
      </c>
      <c r="V1515" s="2" t="str">
        <f t="shared" si="364"/>
        <v>5BA</v>
      </c>
      <c r="W1515" s="2" t="str">
        <f t="shared" si="365"/>
        <v/>
      </c>
      <c r="X1515" s="2" t="str">
        <f t="shared" si="368"/>
        <v/>
      </c>
      <c r="Y1515" s="2" t="str">
        <f t="shared" si="366"/>
        <v>X</v>
      </c>
      <c r="Z1515" s="2" t="str">
        <f t="shared" si="367"/>
        <v>X</v>
      </c>
      <c r="AA1515" s="2" t="str">
        <f t="shared" si="370"/>
        <v/>
      </c>
      <c r="AB1515" s="2" t="str">
        <f t="shared" si="371"/>
        <v/>
      </c>
      <c r="AC1515" s="2" t="str">
        <f t="shared" si="372"/>
        <v>(15 downto 8)</v>
      </c>
      <c r="AD1515" s="2" t="str">
        <f t="shared" si="373"/>
        <v>(7 downto 0)</v>
      </c>
      <c r="AE1515" s="2" t="str">
        <f t="shared" si="374"/>
        <v/>
      </c>
      <c r="AF1515" s="2" t="str">
        <f t="shared" si="375"/>
        <v/>
      </c>
      <c r="AG1515" s="2" t="str">
        <f t="shared" si="376"/>
        <v>(15 downto 8)</v>
      </c>
      <c r="AH1515" s="2" t="str">
        <f t="shared" si="377"/>
        <v>(7 downto 0)</v>
      </c>
    </row>
    <row r="1516" spans="2:34" x14ac:dyDescent="0.25">
      <c r="B1516" s="2" t="s">
        <v>3812</v>
      </c>
      <c r="C1516" s="2" t="s">
        <v>3813</v>
      </c>
      <c r="D1516" s="2" t="s">
        <v>0</v>
      </c>
      <c r="E1516" s="2" t="s">
        <v>130</v>
      </c>
      <c r="F1516" s="2" t="s">
        <v>3814</v>
      </c>
      <c r="G1516" s="2" t="s">
        <v>3815</v>
      </c>
      <c r="H1516" s="2" t="s">
        <v>3816</v>
      </c>
      <c r="I1516" s="2" t="s">
        <v>41</v>
      </c>
      <c r="J1516" s="2">
        <v>16</v>
      </c>
      <c r="K1516" s="2" t="s">
        <v>132</v>
      </c>
      <c r="L1516" s="2" t="s">
        <v>40</v>
      </c>
      <c r="P1516" s="2" t="s">
        <v>49</v>
      </c>
      <c r="Q1516" s="2">
        <f>INDEX(Tables!$C$4:$C$28,MATCH($P1516,Tables!$B$4:$B$28,0))</f>
        <v>16</v>
      </c>
      <c r="R1516" s="2">
        <f>INDEX(Tables!$D$4:$D$28,MATCH($P1516,Tables!$B$4:$B$28,0))</f>
        <v>2</v>
      </c>
      <c r="S1516" s="2">
        <f>$S1515+$R1515+INDEX(Tables!$N$5:$Q$8,MATCH(MOD($S1515+$R1515,4),Tables!$M$5:$M$8,0),MATCH($R1516,Tables!$N$4:$Q$4,0))</f>
        <v>5866</v>
      </c>
      <c r="T1516" s="2" t="str">
        <f t="shared" si="363"/>
        <v>16EA</v>
      </c>
      <c r="U1516" s="2">
        <f t="shared" si="369"/>
        <v>1466</v>
      </c>
      <c r="V1516" s="2" t="str">
        <f t="shared" si="364"/>
        <v>5BA</v>
      </c>
      <c r="W1516" s="2" t="str">
        <f t="shared" si="365"/>
        <v>X</v>
      </c>
      <c r="X1516" s="2" t="str">
        <f t="shared" si="368"/>
        <v>X</v>
      </c>
      <c r="Y1516" s="2" t="str">
        <f t="shared" si="366"/>
        <v/>
      </c>
      <c r="Z1516" s="2" t="str">
        <f t="shared" si="367"/>
        <v/>
      </c>
      <c r="AA1516" s="2" t="str">
        <f t="shared" si="370"/>
        <v>(31 downto 24)</v>
      </c>
      <c r="AB1516" s="2" t="str">
        <f t="shared" si="371"/>
        <v>(23 downto 16)</v>
      </c>
      <c r="AC1516" s="2" t="str">
        <f t="shared" si="372"/>
        <v/>
      </c>
      <c r="AD1516" s="2" t="str">
        <f t="shared" si="373"/>
        <v/>
      </c>
      <c r="AE1516" s="2" t="str">
        <f t="shared" si="374"/>
        <v>(15 downto 8)</v>
      </c>
      <c r="AF1516" s="2" t="str">
        <f t="shared" si="375"/>
        <v>(7 downto 0)</v>
      </c>
      <c r="AG1516" s="2" t="str">
        <f t="shared" si="376"/>
        <v/>
      </c>
      <c r="AH1516" s="2" t="str">
        <f t="shared" si="377"/>
        <v/>
      </c>
    </row>
    <row r="1517" spans="2:34" x14ac:dyDescent="0.25">
      <c r="B1517" s="2" t="s">
        <v>3812</v>
      </c>
      <c r="C1517" s="2" t="s">
        <v>3817</v>
      </c>
      <c r="D1517" s="2" t="s">
        <v>0</v>
      </c>
      <c r="E1517" s="2" t="s">
        <v>130</v>
      </c>
      <c r="F1517" s="2" t="s">
        <v>3814</v>
      </c>
      <c r="G1517" s="2" t="s">
        <v>3815</v>
      </c>
      <c r="H1517" s="2" t="s">
        <v>3818</v>
      </c>
      <c r="I1517" s="2" t="s">
        <v>41</v>
      </c>
      <c r="J1517" s="2">
        <v>8</v>
      </c>
      <c r="K1517" s="2" t="s">
        <v>132</v>
      </c>
      <c r="L1517" s="2" t="s">
        <v>40</v>
      </c>
      <c r="P1517" s="2" t="s">
        <v>47</v>
      </c>
      <c r="Q1517" s="2">
        <f>INDEX(Tables!$C$4:$C$28,MATCH($P1517,Tables!$B$4:$B$28,0))</f>
        <v>8</v>
      </c>
      <c r="R1517" s="2">
        <f>INDEX(Tables!$D$4:$D$28,MATCH($P1517,Tables!$B$4:$B$28,0))</f>
        <v>1</v>
      </c>
      <c r="S1517" s="2">
        <f>$S1516+$R1516+INDEX(Tables!$N$5:$Q$8,MATCH(MOD($S1516+$R1516,4),Tables!$M$5:$M$8,0),MATCH($R1517,Tables!$N$4:$Q$4,0))</f>
        <v>5868</v>
      </c>
      <c r="T1517" s="2" t="str">
        <f t="shared" si="363"/>
        <v>16EC</v>
      </c>
      <c r="U1517" s="2">
        <f t="shared" si="369"/>
        <v>1467</v>
      </c>
      <c r="V1517" s="2" t="str">
        <f t="shared" si="364"/>
        <v>5BB</v>
      </c>
      <c r="W1517" s="2" t="str">
        <f t="shared" si="365"/>
        <v/>
      </c>
      <c r="X1517" s="2" t="str">
        <f t="shared" si="368"/>
        <v/>
      </c>
      <c r="Y1517" s="2" t="str">
        <f t="shared" si="366"/>
        <v/>
      </c>
      <c r="Z1517" s="2" t="str">
        <f t="shared" si="367"/>
        <v>X</v>
      </c>
      <c r="AA1517" s="2" t="str">
        <f t="shared" si="370"/>
        <v/>
      </c>
      <c r="AB1517" s="2" t="str">
        <f t="shared" si="371"/>
        <v/>
      </c>
      <c r="AC1517" s="2" t="str">
        <f t="shared" si="372"/>
        <v/>
      </c>
      <c r="AD1517" s="2" t="str">
        <f t="shared" si="373"/>
        <v>(7 downto 0)</v>
      </c>
      <c r="AE1517" s="2" t="str">
        <f t="shared" si="374"/>
        <v/>
      </c>
      <c r="AF1517" s="2" t="str">
        <f t="shared" si="375"/>
        <v/>
      </c>
      <c r="AG1517" s="2" t="str">
        <f t="shared" si="376"/>
        <v/>
      </c>
      <c r="AH1517" s="2" t="str">
        <f t="shared" si="377"/>
        <v/>
      </c>
    </row>
    <row r="1518" spans="2:34" x14ac:dyDescent="0.25">
      <c r="B1518" s="2" t="s">
        <v>3812</v>
      </c>
      <c r="C1518" s="2" t="s">
        <v>3819</v>
      </c>
      <c r="D1518" s="2" t="s">
        <v>0</v>
      </c>
      <c r="E1518" s="2" t="s">
        <v>130</v>
      </c>
      <c r="F1518" s="2" t="s">
        <v>3814</v>
      </c>
      <c r="G1518" s="2" t="s">
        <v>3815</v>
      </c>
      <c r="H1518" s="2" t="s">
        <v>3820</v>
      </c>
      <c r="I1518" s="2" t="s">
        <v>41</v>
      </c>
      <c r="J1518" s="2">
        <v>16</v>
      </c>
      <c r="K1518" s="2" t="s">
        <v>132</v>
      </c>
      <c r="L1518" s="2" t="s">
        <v>40</v>
      </c>
      <c r="P1518" s="2" t="s">
        <v>49</v>
      </c>
      <c r="Q1518" s="2">
        <f>INDEX(Tables!$C$4:$C$28,MATCH($P1518,Tables!$B$4:$B$28,0))</f>
        <v>16</v>
      </c>
      <c r="R1518" s="2">
        <f>INDEX(Tables!$D$4:$D$28,MATCH($P1518,Tables!$B$4:$B$28,0))</f>
        <v>2</v>
      </c>
      <c r="S1518" s="2">
        <f>$S1517+$R1517+INDEX(Tables!$N$5:$Q$8,MATCH(MOD($S1517+$R1517,4),Tables!$M$5:$M$8,0),MATCH($R1518,Tables!$N$4:$Q$4,0))</f>
        <v>5870</v>
      </c>
      <c r="T1518" s="2" t="str">
        <f t="shared" si="363"/>
        <v>16EE</v>
      </c>
      <c r="U1518" s="2">
        <f t="shared" si="369"/>
        <v>1467</v>
      </c>
      <c r="V1518" s="2" t="str">
        <f t="shared" si="364"/>
        <v>5BB</v>
      </c>
      <c r="W1518" s="2" t="str">
        <f t="shared" si="365"/>
        <v>X</v>
      </c>
      <c r="X1518" s="2" t="str">
        <f t="shared" si="368"/>
        <v>X</v>
      </c>
      <c r="Y1518" s="2" t="str">
        <f t="shared" si="366"/>
        <v/>
      </c>
      <c r="Z1518" s="2" t="str">
        <f t="shared" si="367"/>
        <v/>
      </c>
      <c r="AA1518" s="2" t="str">
        <f t="shared" si="370"/>
        <v>(31 downto 24)</v>
      </c>
      <c r="AB1518" s="2" t="str">
        <f t="shared" si="371"/>
        <v>(23 downto 16)</v>
      </c>
      <c r="AC1518" s="2" t="str">
        <f t="shared" si="372"/>
        <v/>
      </c>
      <c r="AD1518" s="2" t="str">
        <f t="shared" si="373"/>
        <v/>
      </c>
      <c r="AE1518" s="2" t="str">
        <f t="shared" si="374"/>
        <v>(15 downto 8)</v>
      </c>
      <c r="AF1518" s="2" t="str">
        <f t="shared" si="375"/>
        <v>(7 downto 0)</v>
      </c>
      <c r="AG1518" s="2" t="str">
        <f t="shared" si="376"/>
        <v/>
      </c>
      <c r="AH1518" s="2" t="str">
        <f t="shared" si="377"/>
        <v/>
      </c>
    </row>
  </sheetData>
  <autoFilter ref="B3:AH1518" xr:uid="{5048BD3A-30B2-44ED-8167-D68E25A5F1C7}"/>
  <sortState xmlns:xlrd2="http://schemas.microsoft.com/office/spreadsheetml/2017/richdata2" ref="B5:AH157">
    <sortCondition ref="B7"/>
  </sortState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2" bestFit="1" customWidth="1"/>
    <col min="3" max="3" width="9.7109375" style="2" bestFit="1" customWidth="1"/>
    <col min="4" max="4" width="11.28515625" style="2" bestFit="1" customWidth="1"/>
    <col min="6" max="6" width="16" style="2" bestFit="1" customWidth="1"/>
    <col min="7" max="7" width="13.140625" style="2" bestFit="1" customWidth="1"/>
    <col min="8" max="8" width="11.28515625" style="2" bestFit="1" customWidth="1"/>
    <col min="9" max="9" width="18.85546875" style="2" bestFit="1" customWidth="1"/>
    <col min="10" max="10" width="7.5703125" style="2" bestFit="1" customWidth="1"/>
    <col min="11" max="11" width="11.28515625" style="2" bestFit="1" customWidth="1"/>
    <col min="12" max="12" width="17.42578125" style="2" bestFit="1" customWidth="1"/>
    <col min="13" max="14" width="10.5703125" style="2" customWidth="1"/>
    <col min="15" max="17" width="10.5703125" customWidth="1"/>
  </cols>
  <sheetData>
    <row r="2" spans="2:17" x14ac:dyDescent="0.25">
      <c r="B2" s="27" t="s">
        <v>50</v>
      </c>
      <c r="C2" s="27"/>
      <c r="D2" s="27"/>
      <c r="F2" s="27" t="s">
        <v>91</v>
      </c>
      <c r="G2" s="27"/>
      <c r="H2" s="10"/>
      <c r="I2" s="27" t="s">
        <v>85</v>
      </c>
      <c r="J2" s="27"/>
      <c r="K2" s="10"/>
      <c r="L2" s="27" t="s">
        <v>123</v>
      </c>
      <c r="M2" s="27"/>
      <c r="N2" s="27"/>
      <c r="O2" s="27"/>
      <c r="P2" s="27"/>
      <c r="Q2" s="27"/>
    </row>
    <row r="3" spans="2:17" x14ac:dyDescent="0.25">
      <c r="B3" s="4" t="s">
        <v>51</v>
      </c>
      <c r="C3" s="4" t="s">
        <v>52</v>
      </c>
      <c r="D3" s="4" t="s">
        <v>53</v>
      </c>
      <c r="F3" s="9" t="s">
        <v>51</v>
      </c>
      <c r="G3" s="9" t="s">
        <v>92</v>
      </c>
      <c r="H3" s="9"/>
      <c r="I3" s="8" t="s">
        <v>86</v>
      </c>
      <c r="J3" s="8" t="s">
        <v>87</v>
      </c>
      <c r="K3" s="13"/>
      <c r="L3" s="2" t="s">
        <v>40</v>
      </c>
      <c r="M3" s="2" t="s">
        <v>40</v>
      </c>
      <c r="N3" s="27" t="s">
        <v>124</v>
      </c>
      <c r="O3" s="27"/>
      <c r="P3" s="27"/>
      <c r="Q3" s="27"/>
    </row>
    <row r="4" spans="2:17" x14ac:dyDescent="0.25">
      <c r="B4" s="2" t="s">
        <v>54</v>
      </c>
      <c r="C4" s="2">
        <v>8</v>
      </c>
      <c r="D4" s="2">
        <f>C4/8</f>
        <v>1</v>
      </c>
      <c r="F4" s="2" t="s">
        <v>54</v>
      </c>
      <c r="G4" s="2" t="s">
        <v>93</v>
      </c>
      <c r="I4" s="2" t="str">
        <f>Main!$B$2</f>
        <v>Register Comment</v>
      </c>
      <c r="J4" s="2">
        <f>MATCH($I4,Main!$B$2:$AH$2,0)+1</f>
        <v>2</v>
      </c>
      <c r="L4" s="2" t="s">
        <v>40</v>
      </c>
      <c r="M4" s="2" t="s">
        <v>40</v>
      </c>
      <c r="N4" s="2">
        <v>1</v>
      </c>
      <c r="O4" s="2">
        <v>2</v>
      </c>
      <c r="P4" s="2">
        <v>4</v>
      </c>
      <c r="Q4" s="2">
        <v>8</v>
      </c>
    </row>
    <row r="5" spans="2:17" x14ac:dyDescent="0.25">
      <c r="B5" s="2" t="s">
        <v>55</v>
      </c>
      <c r="C5" s="2">
        <v>8</v>
      </c>
      <c r="D5" s="2">
        <f t="shared" ref="D5:D28" si="0">C5/8</f>
        <v>1</v>
      </c>
      <c r="F5" s="2" t="s">
        <v>55</v>
      </c>
      <c r="G5" s="2" t="s">
        <v>93</v>
      </c>
      <c r="I5" s="2" t="str">
        <f>Main!$C$2</f>
        <v>Field Comment</v>
      </c>
      <c r="J5" s="2">
        <f>MATCH($I5,Main!$B$2:$AH$2,0)+1</f>
        <v>3</v>
      </c>
      <c r="L5" s="29" t="s">
        <v>122</v>
      </c>
      <c r="M5" s="2">
        <v>0</v>
      </c>
      <c r="N5" s="15">
        <v>0</v>
      </c>
      <c r="O5" s="16">
        <v>0</v>
      </c>
      <c r="P5" s="16">
        <v>0</v>
      </c>
      <c r="Q5" s="17">
        <v>4</v>
      </c>
    </row>
    <row r="6" spans="2:17" x14ac:dyDescent="0.25">
      <c r="B6" s="2" t="s">
        <v>56</v>
      </c>
      <c r="C6" s="2">
        <v>8</v>
      </c>
      <c r="D6" s="2">
        <f t="shared" si="0"/>
        <v>1</v>
      </c>
      <c r="F6" s="2" t="s">
        <v>56</v>
      </c>
      <c r="G6" s="2" t="s">
        <v>93</v>
      </c>
      <c r="I6" s="2" t="str">
        <f>Main!$D$2</f>
        <v>R/W</v>
      </c>
      <c r="J6" s="2">
        <f>MATCH($I6,Main!$B$2:$AH$2,0)+1</f>
        <v>4</v>
      </c>
      <c r="L6" s="29"/>
      <c r="M6" s="2">
        <v>1</v>
      </c>
      <c r="N6" s="18">
        <v>0</v>
      </c>
      <c r="O6" s="19">
        <v>1</v>
      </c>
      <c r="P6" s="19">
        <v>3</v>
      </c>
      <c r="Q6" s="20">
        <v>7</v>
      </c>
    </row>
    <row r="7" spans="2:17" x14ac:dyDescent="0.25">
      <c r="B7" s="2" t="s">
        <v>57</v>
      </c>
      <c r="C7" s="2">
        <v>8</v>
      </c>
      <c r="D7" s="2">
        <f t="shared" si="0"/>
        <v>1</v>
      </c>
      <c r="F7" s="2" t="s">
        <v>57</v>
      </c>
      <c r="G7" s="2" t="s">
        <v>94</v>
      </c>
      <c r="I7" s="2" t="str">
        <f>Main!$E$2</f>
        <v>General Register Type</v>
      </c>
      <c r="J7" s="2">
        <f>MATCH($I7,Main!$B$2:$AH$2,0)+1</f>
        <v>5</v>
      </c>
      <c r="L7" s="29"/>
      <c r="M7" s="2">
        <v>2</v>
      </c>
      <c r="N7" s="18">
        <v>0</v>
      </c>
      <c r="O7" s="19">
        <v>0</v>
      </c>
      <c r="P7" s="19">
        <v>2</v>
      </c>
      <c r="Q7" s="20">
        <v>6</v>
      </c>
    </row>
    <row r="8" spans="2:17" x14ac:dyDescent="0.25">
      <c r="B8" s="2" t="s">
        <v>5</v>
      </c>
      <c r="C8" s="2">
        <v>8</v>
      </c>
      <c r="D8" s="2">
        <f t="shared" si="0"/>
        <v>1</v>
      </c>
      <c r="F8" s="2" t="s">
        <v>5</v>
      </c>
      <c r="G8" s="2" t="s">
        <v>94</v>
      </c>
      <c r="I8" s="2" t="str">
        <f>Main!$F$2</f>
        <v>Register Name</v>
      </c>
      <c r="J8" s="2">
        <f>MATCH($I8,Main!$B$2:$AH$2,0)+1</f>
        <v>6</v>
      </c>
      <c r="L8" s="29"/>
      <c r="M8" s="2">
        <v>3</v>
      </c>
      <c r="N8" s="21">
        <v>0</v>
      </c>
      <c r="O8" s="22">
        <v>1</v>
      </c>
      <c r="P8" s="22">
        <v>1</v>
      </c>
      <c r="Q8" s="23">
        <v>5</v>
      </c>
    </row>
    <row r="9" spans="2:17" x14ac:dyDescent="0.25">
      <c r="B9" s="2" t="s">
        <v>47</v>
      </c>
      <c r="C9" s="2">
        <v>8</v>
      </c>
      <c r="D9" s="2">
        <f t="shared" si="0"/>
        <v>1</v>
      </c>
      <c r="F9" s="2" t="s">
        <v>47</v>
      </c>
      <c r="G9" s="2" t="s">
        <v>94</v>
      </c>
      <c r="I9" s="2" t="str">
        <f>Main!$G$2</f>
        <v>Register Type</v>
      </c>
      <c r="J9" s="2">
        <f>MATCH($I9,Main!$B$2:$AH$2,0)+1</f>
        <v>7</v>
      </c>
    </row>
    <row r="10" spans="2:17" x14ac:dyDescent="0.25">
      <c r="B10" s="2" t="s">
        <v>58</v>
      </c>
      <c r="C10" s="2">
        <v>16</v>
      </c>
      <c r="D10" s="2">
        <f t="shared" si="0"/>
        <v>2</v>
      </c>
      <c r="F10" s="2" t="s">
        <v>58</v>
      </c>
      <c r="G10" s="2" t="s">
        <v>96</v>
      </c>
      <c r="I10" s="2" t="str">
        <f>Main!$H$2</f>
        <v>Field Name</v>
      </c>
      <c r="J10" s="2">
        <f>MATCH($I10,Main!$B$2:$AH$2,0)+1</f>
        <v>8</v>
      </c>
    </row>
    <row r="11" spans="2:17" x14ac:dyDescent="0.25">
      <c r="B11" s="2" t="s">
        <v>59</v>
      </c>
      <c r="C11" s="2">
        <v>16</v>
      </c>
      <c r="D11" s="2">
        <f t="shared" si="0"/>
        <v>2</v>
      </c>
      <c r="F11" s="2" t="s">
        <v>59</v>
      </c>
      <c r="G11" s="2" t="s">
        <v>96</v>
      </c>
      <c r="I11" s="2" t="str">
        <f>Main!$I$2</f>
        <v>Field Type</v>
      </c>
      <c r="J11" s="2">
        <f>MATCH($I11,Main!$B$2:$AH$2,0)+1</f>
        <v>9</v>
      </c>
    </row>
    <row r="12" spans="2:17" x14ac:dyDescent="0.25">
      <c r="B12" s="2" t="s">
        <v>60</v>
      </c>
      <c r="C12" s="2">
        <v>16</v>
      </c>
      <c r="D12" s="2">
        <f t="shared" si="0"/>
        <v>2</v>
      </c>
      <c r="F12" s="2" t="s">
        <v>60</v>
      </c>
      <c r="G12" s="2" t="s">
        <v>96</v>
      </c>
      <c r="I12" s="2" t="str">
        <f>Main!$J$2</f>
        <v>Field Size</v>
      </c>
      <c r="J12" s="2">
        <f>MATCH($I12,Main!$B$2:$AH$2,0)+1</f>
        <v>10</v>
      </c>
    </row>
    <row r="13" spans="2:17" x14ac:dyDescent="0.25">
      <c r="B13" s="2" t="s">
        <v>61</v>
      </c>
      <c r="C13" s="2">
        <v>16</v>
      </c>
      <c r="D13" s="2">
        <f t="shared" si="0"/>
        <v>2</v>
      </c>
      <c r="F13" s="2" t="s">
        <v>61</v>
      </c>
      <c r="G13" s="2" t="s">
        <v>95</v>
      </c>
      <c r="I13" s="2" t="str">
        <f>Main!$K$2</f>
        <v>Field Default</v>
      </c>
      <c r="J13" s="2">
        <f>MATCH($I13,Main!$B$2:$AH$2,0)+1</f>
        <v>11</v>
      </c>
    </row>
    <row r="14" spans="2:17" x14ac:dyDescent="0.25">
      <c r="B14" s="2" t="s">
        <v>62</v>
      </c>
      <c r="C14" s="2">
        <v>16</v>
      </c>
      <c r="D14" s="2">
        <f t="shared" si="0"/>
        <v>2</v>
      </c>
      <c r="F14" s="2" t="s">
        <v>62</v>
      </c>
      <c r="G14" s="2" t="s">
        <v>95</v>
      </c>
      <c r="I14" s="2" t="str">
        <f>Main!$L$2</f>
        <v>Field Trigger</v>
      </c>
      <c r="J14" s="2">
        <f>MATCH($I14,Main!$B$2:$AH$2,0)+1</f>
        <v>12</v>
      </c>
    </row>
    <row r="15" spans="2:17" x14ac:dyDescent="0.25">
      <c r="B15" s="2" t="s">
        <v>49</v>
      </c>
      <c r="C15" s="2">
        <v>16</v>
      </c>
      <c r="D15" s="2">
        <f t="shared" si="0"/>
        <v>2</v>
      </c>
      <c r="F15" s="2" t="s">
        <v>49</v>
      </c>
      <c r="G15" s="2" t="s">
        <v>95</v>
      </c>
      <c r="I15" s="2" t="str">
        <f>Main!$M$2</f>
        <v>API C General Struct</v>
      </c>
      <c r="J15" s="2">
        <f>MATCH($I15,Main!$B$2:$AH$2,0)+1</f>
        <v>13</v>
      </c>
    </row>
    <row r="16" spans="2:17" x14ac:dyDescent="0.25">
      <c r="B16" s="2" t="s">
        <v>63</v>
      </c>
      <c r="C16" s="2">
        <v>32</v>
      </c>
      <c r="D16" s="2">
        <f t="shared" si="0"/>
        <v>4</v>
      </c>
      <c r="F16" s="2" t="s">
        <v>63</v>
      </c>
      <c r="G16" s="2" t="s">
        <v>97</v>
      </c>
      <c r="I16" s="2" t="str">
        <f>Main!$N$2</f>
        <v>API C Struct</v>
      </c>
      <c r="J16" s="2">
        <f>MATCH($I16,Main!$B$2:$AH$2,0)+1</f>
        <v>14</v>
      </c>
    </row>
    <row r="17" spans="2:47" x14ac:dyDescent="0.25">
      <c r="B17" s="2" t="s">
        <v>64</v>
      </c>
      <c r="C17" s="2">
        <v>32</v>
      </c>
      <c r="D17" s="2">
        <f t="shared" si="0"/>
        <v>4</v>
      </c>
      <c r="F17" s="2" t="s">
        <v>64</v>
      </c>
      <c r="G17" s="2" t="s">
        <v>97</v>
      </c>
      <c r="I17" s="2" t="str">
        <f>Main!$O$2</f>
        <v>API C Field</v>
      </c>
      <c r="J17" s="2">
        <f>MATCH($I17,Main!$B$2:$AH$2,0)+1</f>
        <v>15</v>
      </c>
    </row>
    <row r="18" spans="2:47" x14ac:dyDescent="0.25">
      <c r="B18" s="2" t="s">
        <v>65</v>
      </c>
      <c r="C18" s="2">
        <v>32</v>
      </c>
      <c r="D18" s="2">
        <f t="shared" si="0"/>
        <v>4</v>
      </c>
      <c r="F18" s="2" t="s">
        <v>65</v>
      </c>
      <c r="G18" s="2" t="s">
        <v>97</v>
      </c>
      <c r="I18" s="2" t="str">
        <f>Main!$P$2</f>
        <v>API Field Type</v>
      </c>
      <c r="J18" s="2">
        <f>MATCH($I18,Main!$B$2:$AH$2,0)+1</f>
        <v>16</v>
      </c>
    </row>
    <row r="19" spans="2:47" x14ac:dyDescent="0.25">
      <c r="B19" s="2" t="s">
        <v>66</v>
      </c>
      <c r="C19" s="2">
        <v>32</v>
      </c>
      <c r="D19" s="2">
        <f t="shared" si="0"/>
        <v>4</v>
      </c>
      <c r="F19" s="2" t="s">
        <v>66</v>
      </c>
      <c r="G19" s="2" t="s">
        <v>98</v>
      </c>
      <c r="I19" s="2" t="str">
        <f>Main!$Q$2</f>
        <v>API Field Size [bits]</v>
      </c>
      <c r="J19" s="2">
        <f>MATCH($I19,Main!$B$2:$AH$2,0)+1</f>
        <v>17</v>
      </c>
    </row>
    <row r="20" spans="2:47" x14ac:dyDescent="0.25">
      <c r="B20" s="2" t="s">
        <v>6</v>
      </c>
      <c r="C20" s="2">
        <v>32</v>
      </c>
      <c r="D20" s="2">
        <f t="shared" si="0"/>
        <v>4</v>
      </c>
      <c r="F20" s="2" t="s">
        <v>6</v>
      </c>
      <c r="G20" s="2" t="s">
        <v>98</v>
      </c>
      <c r="I20" s="2" t="str">
        <f>Main!$R$2</f>
        <v>API Field Size [bytes]</v>
      </c>
      <c r="J20" s="2">
        <f>MATCH($I20,Main!$B$2:$AH$2,0)+1</f>
        <v>18</v>
      </c>
    </row>
    <row r="21" spans="2:47" x14ac:dyDescent="0.25">
      <c r="B21" s="2" t="s">
        <v>48</v>
      </c>
      <c r="C21" s="2">
        <v>32</v>
      </c>
      <c r="D21" s="2">
        <f t="shared" si="0"/>
        <v>4</v>
      </c>
      <c r="F21" s="2" t="s">
        <v>48</v>
      </c>
      <c r="G21" s="2" t="s">
        <v>98</v>
      </c>
      <c r="I21" s="2" t="e">
        <f>Main!#REF!</f>
        <v>#REF!</v>
      </c>
      <c r="J21" s="2" t="e">
        <f>MATCH($I21,Main!$B$2:$AH$2,0)+1</f>
        <v>#REF!</v>
      </c>
    </row>
    <row r="22" spans="2:47" x14ac:dyDescent="0.25">
      <c r="B22" s="2" t="s">
        <v>4</v>
      </c>
      <c r="C22" s="2">
        <v>32</v>
      </c>
      <c r="D22" s="2">
        <f t="shared" si="0"/>
        <v>4</v>
      </c>
      <c r="F22" s="2" t="s">
        <v>4</v>
      </c>
      <c r="G22" s="2" t="s">
        <v>99</v>
      </c>
      <c r="I22" s="2" t="str">
        <f>Main!$U$2</f>
        <v>Dword Addr [dec]</v>
      </c>
      <c r="J22" s="2">
        <f>MATCH($I22,Main!$B$2:$AH$2,0)+1</f>
        <v>21</v>
      </c>
    </row>
    <row r="23" spans="2:47" x14ac:dyDescent="0.25">
      <c r="B23" s="2" t="s">
        <v>67</v>
      </c>
      <c r="C23" s="2">
        <v>64</v>
      </c>
      <c r="D23" s="2">
        <f t="shared" si="0"/>
        <v>8</v>
      </c>
      <c r="F23" s="2" t="s">
        <v>67</v>
      </c>
      <c r="G23" s="2" t="s">
        <v>100</v>
      </c>
      <c r="I23" s="2" t="str">
        <f>Main!$V$2</f>
        <v>Dword Address [hex]</v>
      </c>
      <c r="J23" s="2">
        <f>MATCH($I23,Main!$B$2:$AH$2,0)+1</f>
        <v>22</v>
      </c>
    </row>
    <row r="24" spans="2:47" x14ac:dyDescent="0.25">
      <c r="B24" s="2" t="s">
        <v>68</v>
      </c>
      <c r="C24" s="2">
        <v>64</v>
      </c>
      <c r="D24" s="2">
        <f t="shared" si="0"/>
        <v>8</v>
      </c>
      <c r="F24" s="2" t="s">
        <v>68</v>
      </c>
      <c r="G24" s="2" t="s">
        <v>100</v>
      </c>
      <c r="I24" s="2" t="str">
        <f>Main!$S$2</f>
        <v>Byte Addr [dec]</v>
      </c>
      <c r="J24" s="2">
        <f>MATCH($I24,Main!$B$2:$AH$2,0)+1</f>
        <v>19</v>
      </c>
    </row>
    <row r="25" spans="2:47" x14ac:dyDescent="0.25">
      <c r="B25" s="2" t="s">
        <v>69</v>
      </c>
      <c r="C25" s="2">
        <v>64</v>
      </c>
      <c r="D25" s="2">
        <f t="shared" si="0"/>
        <v>8</v>
      </c>
      <c r="F25" s="2" t="s">
        <v>69</v>
      </c>
      <c r="G25" s="2" t="s">
        <v>100</v>
      </c>
      <c r="I25" s="2" t="str">
        <f>Main!$T$2</f>
        <v>Byte Addr [hex]</v>
      </c>
      <c r="J25" s="2">
        <f>MATCH($I25,Main!$B$2:$AH$2,0)+1</f>
        <v>20</v>
      </c>
    </row>
    <row r="26" spans="2:47" x14ac:dyDescent="0.25">
      <c r="B26" s="2" t="s">
        <v>70</v>
      </c>
      <c r="C26" s="2">
        <v>64</v>
      </c>
      <c r="D26" s="2">
        <f t="shared" si="0"/>
        <v>8</v>
      </c>
      <c r="F26" s="2" t="s">
        <v>70</v>
      </c>
      <c r="G26" s="2" t="s">
        <v>101</v>
      </c>
      <c r="I26" s="2" t="str">
        <f>Main!$W$2</f>
        <v>Byte Enable</v>
      </c>
      <c r="J26" s="2">
        <f>MATCH($I26,Main!$B$2:$AH$2,0)+1</f>
        <v>23</v>
      </c>
    </row>
    <row r="27" spans="2:47" x14ac:dyDescent="0.25">
      <c r="B27" s="2" t="s">
        <v>71</v>
      </c>
      <c r="C27" s="2">
        <v>64</v>
      </c>
      <c r="D27" s="2">
        <f t="shared" si="0"/>
        <v>8</v>
      </c>
      <c r="F27" s="2" t="s">
        <v>71</v>
      </c>
      <c r="G27" s="2" t="s">
        <v>101</v>
      </c>
      <c r="I27" s="3" t="str">
        <f>Main!$AA$2</f>
        <v>Dword Range</v>
      </c>
      <c r="J27" s="2">
        <f>MATCH($I27,Main!$B$2:$AH$2,0)+1</f>
        <v>27</v>
      </c>
      <c r="M27" s="3"/>
    </row>
    <row r="28" spans="2:47" x14ac:dyDescent="0.25">
      <c r="B28" s="2" t="s">
        <v>72</v>
      </c>
      <c r="C28" s="2">
        <v>64</v>
      </c>
      <c r="D28" s="2">
        <f t="shared" si="0"/>
        <v>8</v>
      </c>
      <c r="F28" s="2" t="s">
        <v>72</v>
      </c>
      <c r="G28" s="2" t="s">
        <v>101</v>
      </c>
      <c r="I28" s="3" t="str">
        <f>Main!$AE$2</f>
        <v>Field Range</v>
      </c>
      <c r="J28" s="2">
        <f>MATCH($I28,Main!$B$2:$AH$2,0)+1</f>
        <v>31</v>
      </c>
      <c r="M28" s="3"/>
    </row>
    <row r="30" spans="2:47" x14ac:dyDescent="0.25">
      <c r="AE30" s="2"/>
      <c r="AH30" s="2"/>
      <c r="AI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I6817"/>
  <sheetViews>
    <sheetView zoomScaleNormal="100" workbookViewId="0"/>
  </sheetViews>
  <sheetFormatPr defaultRowHeight="15" x14ac:dyDescent="0.25"/>
  <cols>
    <col min="2" max="2" width="24.7109375" style="2" bestFit="1" customWidth="1"/>
    <col min="8" max="9" width="125.7109375" customWidth="1"/>
  </cols>
  <sheetData>
    <row r="2" spans="2:9" x14ac:dyDescent="0.25">
      <c r="B2" s="14" t="s">
        <v>112</v>
      </c>
      <c r="H2" s="1" t="s">
        <v>103</v>
      </c>
      <c r="I2" s="1"/>
    </row>
    <row r="3" spans="2:9" x14ac:dyDescent="0.25">
      <c r="B3" s="2" t="s">
        <v>3821</v>
      </c>
      <c r="H3" t="s">
        <v>114</v>
      </c>
    </row>
    <row r="5" spans="2:9" x14ac:dyDescent="0.25">
      <c r="B5" s="14" t="s">
        <v>113</v>
      </c>
      <c r="H5" t="s">
        <v>115</v>
      </c>
    </row>
    <row r="6" spans="2:9" x14ac:dyDescent="0.25">
      <c r="B6" s="2" t="s">
        <v>3822</v>
      </c>
      <c r="H6" t="s">
        <v>3823</v>
      </c>
    </row>
    <row r="7" spans="2:9" x14ac:dyDescent="0.25">
      <c r="H7" t="s">
        <v>3824</v>
      </c>
    </row>
    <row r="8" spans="2:9" x14ac:dyDescent="0.25">
      <c r="B8" s="14" t="s">
        <v>111</v>
      </c>
    </row>
    <row r="9" spans="2:9" x14ac:dyDescent="0.25">
      <c r="B9" s="2">
        <v>2048</v>
      </c>
      <c r="H9" t="s">
        <v>104</v>
      </c>
    </row>
    <row r="11" spans="2:9" x14ac:dyDescent="0.25">
      <c r="B11" s="12"/>
      <c r="H11" t="s">
        <v>3825</v>
      </c>
    </row>
    <row r="12" spans="2:9" x14ac:dyDescent="0.25">
      <c r="H12" t="s">
        <v>3826</v>
      </c>
    </row>
    <row r="13" spans="2:9" x14ac:dyDescent="0.25">
      <c r="H13" t="s">
        <v>3827</v>
      </c>
    </row>
    <row r="14" spans="2:9" x14ac:dyDescent="0.25">
      <c r="B14" s="12"/>
      <c r="H14" t="s">
        <v>3828</v>
      </c>
    </row>
    <row r="15" spans="2:9" x14ac:dyDescent="0.25">
      <c r="H15" t="s">
        <v>3829</v>
      </c>
    </row>
    <row r="16" spans="2:9" x14ac:dyDescent="0.25">
      <c r="H16" t="s">
        <v>3830</v>
      </c>
    </row>
    <row r="17" spans="2:8" x14ac:dyDescent="0.25">
      <c r="B17" s="12"/>
      <c r="H17" t="s">
        <v>3831</v>
      </c>
    </row>
    <row r="18" spans="2:8" x14ac:dyDescent="0.25">
      <c r="H18" t="s">
        <v>3832</v>
      </c>
    </row>
    <row r="19" spans="2:8" x14ac:dyDescent="0.25">
      <c r="H19" t="s">
        <v>3833</v>
      </c>
    </row>
    <row r="20" spans="2:8" x14ac:dyDescent="0.25">
      <c r="B20" s="12"/>
      <c r="H20" t="s">
        <v>3834</v>
      </c>
    </row>
    <row r="21" spans="2:8" x14ac:dyDescent="0.25">
      <c r="H21" t="s">
        <v>3835</v>
      </c>
    </row>
    <row r="22" spans="2:8" x14ac:dyDescent="0.25">
      <c r="H22" t="s">
        <v>3836</v>
      </c>
    </row>
    <row r="23" spans="2:8" x14ac:dyDescent="0.25">
      <c r="H23" t="s">
        <v>3837</v>
      </c>
    </row>
    <row r="24" spans="2:8" x14ac:dyDescent="0.25">
      <c r="H24" t="s">
        <v>3838</v>
      </c>
    </row>
    <row r="25" spans="2:8" x14ac:dyDescent="0.25">
      <c r="H25" t="s">
        <v>3839</v>
      </c>
    </row>
    <row r="26" spans="2:8" x14ac:dyDescent="0.25">
      <c r="H26" t="s">
        <v>3840</v>
      </c>
    </row>
    <row r="27" spans="2:8" x14ac:dyDescent="0.25">
      <c r="H27" t="s">
        <v>3841</v>
      </c>
    </row>
    <row r="28" spans="2:8" x14ac:dyDescent="0.25">
      <c r="H28" t="s">
        <v>3842</v>
      </c>
    </row>
    <row r="29" spans="2:8" x14ac:dyDescent="0.25">
      <c r="H29" t="s">
        <v>3843</v>
      </c>
    </row>
    <row r="30" spans="2:8" x14ac:dyDescent="0.25">
      <c r="H30" t="s">
        <v>3844</v>
      </c>
    </row>
    <row r="31" spans="2:8" x14ac:dyDescent="0.25">
      <c r="H31" t="s">
        <v>3845</v>
      </c>
    </row>
    <row r="32" spans="2:8" x14ac:dyDescent="0.25">
      <c r="H32" t="s">
        <v>3846</v>
      </c>
    </row>
    <row r="33" spans="8:8" x14ac:dyDescent="0.25">
      <c r="H33" t="s">
        <v>3847</v>
      </c>
    </row>
    <row r="34" spans="8:8" x14ac:dyDescent="0.25">
      <c r="H34" t="s">
        <v>3848</v>
      </c>
    </row>
    <row r="35" spans="8:8" x14ac:dyDescent="0.25">
      <c r="H35" t="s">
        <v>3849</v>
      </c>
    </row>
    <row r="36" spans="8:8" x14ac:dyDescent="0.25">
      <c r="H36" t="s">
        <v>3850</v>
      </c>
    </row>
    <row r="37" spans="8:8" x14ac:dyDescent="0.25">
      <c r="H37" t="s">
        <v>3851</v>
      </c>
    </row>
    <row r="39" spans="8:8" x14ac:dyDescent="0.25">
      <c r="H39" t="s">
        <v>3852</v>
      </c>
    </row>
    <row r="40" spans="8:8" x14ac:dyDescent="0.25">
      <c r="H40" t="s">
        <v>3853</v>
      </c>
    </row>
    <row r="41" spans="8:8" x14ac:dyDescent="0.25">
      <c r="H41" t="s">
        <v>3854</v>
      </c>
    </row>
    <row r="42" spans="8:8" x14ac:dyDescent="0.25">
      <c r="H42" t="s">
        <v>3855</v>
      </c>
    </row>
    <row r="44" spans="8:8" x14ac:dyDescent="0.25">
      <c r="H44" t="s">
        <v>3856</v>
      </c>
    </row>
    <row r="45" spans="8:8" x14ac:dyDescent="0.25">
      <c r="H45" t="s">
        <v>3857</v>
      </c>
    </row>
    <row r="46" spans="8:8" x14ac:dyDescent="0.25">
      <c r="H46" t="s">
        <v>3858</v>
      </c>
    </row>
    <row r="47" spans="8:8" x14ac:dyDescent="0.25">
      <c r="H47" t="s">
        <v>3859</v>
      </c>
    </row>
    <row r="48" spans="8:8" x14ac:dyDescent="0.25">
      <c r="H48" t="s">
        <v>3860</v>
      </c>
    </row>
    <row r="49" spans="8:8" x14ac:dyDescent="0.25">
      <c r="H49" t="s">
        <v>3861</v>
      </c>
    </row>
    <row r="50" spans="8:8" x14ac:dyDescent="0.25">
      <c r="H50" t="s">
        <v>3862</v>
      </c>
    </row>
    <row r="52" spans="8:8" x14ac:dyDescent="0.25">
      <c r="H52" t="s">
        <v>3863</v>
      </c>
    </row>
    <row r="53" spans="8:8" x14ac:dyDescent="0.25">
      <c r="H53" t="s">
        <v>3864</v>
      </c>
    </row>
    <row r="54" spans="8:8" x14ac:dyDescent="0.25">
      <c r="H54" t="s">
        <v>3865</v>
      </c>
    </row>
    <row r="55" spans="8:8" x14ac:dyDescent="0.25">
      <c r="H55" t="s">
        <v>23411</v>
      </c>
    </row>
    <row r="56" spans="8:8" x14ac:dyDescent="0.25">
      <c r="H56" t="s">
        <v>3866</v>
      </c>
    </row>
    <row r="57" spans="8:8" x14ac:dyDescent="0.25">
      <c r="H57" t="s">
        <v>3867</v>
      </c>
    </row>
    <row r="58" spans="8:8" x14ac:dyDescent="0.25">
      <c r="H58" t="s">
        <v>3868</v>
      </c>
    </row>
    <row r="59" spans="8:8" x14ac:dyDescent="0.25">
      <c r="H59" t="s">
        <v>3869</v>
      </c>
    </row>
    <row r="60" spans="8:8" x14ac:dyDescent="0.25">
      <c r="H60" t="s">
        <v>3870</v>
      </c>
    </row>
    <row r="61" spans="8:8" x14ac:dyDescent="0.25">
      <c r="H61" t="s">
        <v>3871</v>
      </c>
    </row>
    <row r="62" spans="8:8" x14ac:dyDescent="0.25">
      <c r="H62" t="s">
        <v>3872</v>
      </c>
    </row>
    <row r="64" spans="8:8" x14ac:dyDescent="0.25">
      <c r="H64" t="s">
        <v>3873</v>
      </c>
    </row>
    <row r="65" spans="8:8" x14ac:dyDescent="0.25">
      <c r="H65" t="s">
        <v>3874</v>
      </c>
    </row>
    <row r="66" spans="8:8" x14ac:dyDescent="0.25">
      <c r="H66" t="s">
        <v>3828</v>
      </c>
    </row>
    <row r="67" spans="8:8" x14ac:dyDescent="0.25">
      <c r="H67" t="s">
        <v>3875</v>
      </c>
    </row>
    <row r="68" spans="8:8" x14ac:dyDescent="0.25">
      <c r="H68" t="s">
        <v>3876</v>
      </c>
    </row>
    <row r="69" spans="8:8" x14ac:dyDescent="0.25">
      <c r="H69" t="s">
        <v>3877</v>
      </c>
    </row>
    <row r="70" spans="8:8" x14ac:dyDescent="0.25">
      <c r="H70" t="s">
        <v>3878</v>
      </c>
    </row>
    <row r="71" spans="8:8" x14ac:dyDescent="0.25">
      <c r="H71" t="s">
        <v>3879</v>
      </c>
    </row>
    <row r="72" spans="8:8" x14ac:dyDescent="0.25">
      <c r="H72" t="s">
        <v>3880</v>
      </c>
    </row>
    <row r="73" spans="8:8" x14ac:dyDescent="0.25">
      <c r="H73" t="s">
        <v>3881</v>
      </c>
    </row>
    <row r="74" spans="8:8" x14ac:dyDescent="0.25">
      <c r="H74" t="s">
        <v>3882</v>
      </c>
    </row>
    <row r="75" spans="8:8" x14ac:dyDescent="0.25">
      <c r="H75" t="s">
        <v>3871</v>
      </c>
    </row>
    <row r="76" spans="8:8" x14ac:dyDescent="0.25">
      <c r="H76" t="s">
        <v>3883</v>
      </c>
    </row>
    <row r="78" spans="8:8" x14ac:dyDescent="0.25">
      <c r="H78" t="s">
        <v>3884</v>
      </c>
    </row>
    <row r="79" spans="8:8" x14ac:dyDescent="0.25">
      <c r="H79" t="s">
        <v>3885</v>
      </c>
    </row>
    <row r="80" spans="8:8" x14ac:dyDescent="0.25">
      <c r="H80" t="s">
        <v>3886</v>
      </c>
    </row>
    <row r="81" spans="8:8" x14ac:dyDescent="0.25">
      <c r="H81" t="s">
        <v>3887</v>
      </c>
    </row>
    <row r="82" spans="8:8" x14ac:dyDescent="0.25">
      <c r="H82" t="s">
        <v>3878</v>
      </c>
    </row>
    <row r="83" spans="8:8" x14ac:dyDescent="0.25">
      <c r="H83" t="s">
        <v>3888</v>
      </c>
    </row>
    <row r="84" spans="8:8" x14ac:dyDescent="0.25">
      <c r="H84" t="s">
        <v>3889</v>
      </c>
    </row>
    <row r="86" spans="8:8" x14ac:dyDescent="0.25">
      <c r="H86" t="s">
        <v>3890</v>
      </c>
    </row>
    <row r="87" spans="8:8" x14ac:dyDescent="0.25">
      <c r="H87" t="s">
        <v>3891</v>
      </c>
    </row>
    <row r="88" spans="8:8" x14ac:dyDescent="0.25">
      <c r="H88" t="s">
        <v>3886</v>
      </c>
    </row>
    <row r="89" spans="8:8" x14ac:dyDescent="0.25">
      <c r="H89" t="s">
        <v>3892</v>
      </c>
    </row>
    <row r="90" spans="8:8" x14ac:dyDescent="0.25">
      <c r="H90" t="s">
        <v>3893</v>
      </c>
    </row>
    <row r="91" spans="8:8" x14ac:dyDescent="0.25">
      <c r="H91" t="s">
        <v>3894</v>
      </c>
    </row>
    <row r="93" spans="8:8" x14ac:dyDescent="0.25">
      <c r="H93" t="s">
        <v>3895</v>
      </c>
    </row>
    <row r="94" spans="8:8" x14ac:dyDescent="0.25">
      <c r="H94" t="s">
        <v>3896</v>
      </c>
    </row>
    <row r="95" spans="8:8" x14ac:dyDescent="0.25">
      <c r="H95" t="s">
        <v>3897</v>
      </c>
    </row>
    <row r="96" spans="8:8" x14ac:dyDescent="0.25">
      <c r="H96" t="s">
        <v>3898</v>
      </c>
    </row>
    <row r="97" spans="8:8" x14ac:dyDescent="0.25">
      <c r="H97" t="s">
        <v>3899</v>
      </c>
    </row>
    <row r="98" spans="8:8" x14ac:dyDescent="0.25">
      <c r="H98" t="s">
        <v>3900</v>
      </c>
    </row>
    <row r="99" spans="8:8" x14ac:dyDescent="0.25">
      <c r="H99" t="s">
        <v>3901</v>
      </c>
    </row>
    <row r="101" spans="8:8" x14ac:dyDescent="0.25">
      <c r="H101" t="s">
        <v>3902</v>
      </c>
    </row>
    <row r="102" spans="8:8" x14ac:dyDescent="0.25">
      <c r="H102" t="s">
        <v>3903</v>
      </c>
    </row>
    <row r="103" spans="8:8" x14ac:dyDescent="0.25">
      <c r="H103" t="s">
        <v>3904</v>
      </c>
    </row>
    <row r="104" spans="8:8" x14ac:dyDescent="0.25">
      <c r="H104" t="s">
        <v>3905</v>
      </c>
    </row>
    <row r="105" spans="8:8" x14ac:dyDescent="0.25">
      <c r="H105" t="s">
        <v>3906</v>
      </c>
    </row>
    <row r="106" spans="8:8" x14ac:dyDescent="0.25">
      <c r="H106" t="s">
        <v>3907</v>
      </c>
    </row>
    <row r="107" spans="8:8" x14ac:dyDescent="0.25">
      <c r="H107" t="s">
        <v>3908</v>
      </c>
    </row>
    <row r="109" spans="8:8" x14ac:dyDescent="0.25">
      <c r="H109" t="s">
        <v>3909</v>
      </c>
    </row>
    <row r="110" spans="8:8" x14ac:dyDescent="0.25">
      <c r="H110" t="s">
        <v>3910</v>
      </c>
    </row>
    <row r="111" spans="8:8" x14ac:dyDescent="0.25">
      <c r="H111" t="s">
        <v>3911</v>
      </c>
    </row>
    <row r="112" spans="8:8" x14ac:dyDescent="0.25">
      <c r="H112" t="s">
        <v>3912</v>
      </c>
    </row>
    <row r="113" spans="8:8" x14ac:dyDescent="0.25">
      <c r="H113" t="s">
        <v>3913</v>
      </c>
    </row>
    <row r="115" spans="8:8" x14ac:dyDescent="0.25">
      <c r="H115" t="s">
        <v>3914</v>
      </c>
    </row>
    <row r="116" spans="8:8" x14ac:dyDescent="0.25">
      <c r="H116" t="s">
        <v>3915</v>
      </c>
    </row>
    <row r="117" spans="8:8" x14ac:dyDescent="0.25">
      <c r="H117" t="s">
        <v>149</v>
      </c>
    </row>
    <row r="118" spans="8:8" x14ac:dyDescent="0.25">
      <c r="H118" t="s">
        <v>3916</v>
      </c>
    </row>
    <row r="120" spans="8:8" x14ac:dyDescent="0.25">
      <c r="H120" t="s">
        <v>3917</v>
      </c>
    </row>
    <row r="121" spans="8:8" x14ac:dyDescent="0.25">
      <c r="H121" t="s">
        <v>3918</v>
      </c>
    </row>
    <row r="122" spans="8:8" x14ac:dyDescent="0.25">
      <c r="H122" t="s">
        <v>149</v>
      </c>
    </row>
    <row r="123" spans="8:8" x14ac:dyDescent="0.25">
      <c r="H123" t="s">
        <v>3919</v>
      </c>
    </row>
    <row r="125" spans="8:8" x14ac:dyDescent="0.25">
      <c r="H125" t="s">
        <v>3920</v>
      </c>
    </row>
    <row r="126" spans="8:8" x14ac:dyDescent="0.25">
      <c r="H126" t="s">
        <v>3921</v>
      </c>
    </row>
    <row r="127" spans="8:8" x14ac:dyDescent="0.25">
      <c r="H127" t="s">
        <v>149</v>
      </c>
    </row>
    <row r="128" spans="8:8" x14ac:dyDescent="0.25">
      <c r="H128" t="s">
        <v>3922</v>
      </c>
    </row>
    <row r="130" spans="8:8" x14ac:dyDescent="0.25">
      <c r="H130" t="s">
        <v>3923</v>
      </c>
    </row>
    <row r="131" spans="8:8" x14ac:dyDescent="0.25">
      <c r="H131" t="s">
        <v>3924</v>
      </c>
    </row>
    <row r="132" spans="8:8" x14ac:dyDescent="0.25">
      <c r="H132" t="s">
        <v>149</v>
      </c>
    </row>
    <row r="133" spans="8:8" x14ac:dyDescent="0.25">
      <c r="H133" t="s">
        <v>3925</v>
      </c>
    </row>
    <row r="135" spans="8:8" x14ac:dyDescent="0.25">
      <c r="H135" t="s">
        <v>3926</v>
      </c>
    </row>
    <row r="136" spans="8:8" x14ac:dyDescent="0.25">
      <c r="H136" t="s">
        <v>3927</v>
      </c>
    </row>
    <row r="137" spans="8:8" x14ac:dyDescent="0.25">
      <c r="H137" t="s">
        <v>149</v>
      </c>
    </row>
    <row r="138" spans="8:8" x14ac:dyDescent="0.25">
      <c r="H138" t="s">
        <v>3928</v>
      </c>
    </row>
    <row r="140" spans="8:8" x14ac:dyDescent="0.25">
      <c r="H140" t="s">
        <v>3929</v>
      </c>
    </row>
    <row r="141" spans="8:8" x14ac:dyDescent="0.25">
      <c r="H141" t="s">
        <v>3930</v>
      </c>
    </row>
    <row r="142" spans="8:8" x14ac:dyDescent="0.25">
      <c r="H142" t="s">
        <v>149</v>
      </c>
    </row>
    <row r="143" spans="8:8" x14ac:dyDescent="0.25">
      <c r="H143" t="s">
        <v>3931</v>
      </c>
    </row>
    <row r="145" spans="8:8" x14ac:dyDescent="0.25">
      <c r="H145" t="s">
        <v>3932</v>
      </c>
    </row>
    <row r="146" spans="8:8" x14ac:dyDescent="0.25">
      <c r="H146" t="s">
        <v>3933</v>
      </c>
    </row>
    <row r="147" spans="8:8" x14ac:dyDescent="0.25">
      <c r="H147" t="s">
        <v>149</v>
      </c>
    </row>
    <row r="148" spans="8:8" x14ac:dyDescent="0.25">
      <c r="H148" t="s">
        <v>3934</v>
      </c>
    </row>
    <row r="150" spans="8:8" x14ac:dyDescent="0.25">
      <c r="H150" t="s">
        <v>3935</v>
      </c>
    </row>
    <row r="151" spans="8:8" x14ac:dyDescent="0.25">
      <c r="H151" t="s">
        <v>3936</v>
      </c>
    </row>
    <row r="152" spans="8:8" x14ac:dyDescent="0.25">
      <c r="H152" t="s">
        <v>149</v>
      </c>
    </row>
    <row r="153" spans="8:8" x14ac:dyDescent="0.25">
      <c r="H153" t="s">
        <v>3937</v>
      </c>
    </row>
    <row r="155" spans="8:8" x14ac:dyDescent="0.25">
      <c r="H155" t="s">
        <v>3938</v>
      </c>
    </row>
    <row r="156" spans="8:8" x14ac:dyDescent="0.25">
      <c r="H156" t="s">
        <v>3939</v>
      </c>
    </row>
    <row r="157" spans="8:8" x14ac:dyDescent="0.25">
      <c r="H157" t="s">
        <v>149</v>
      </c>
    </row>
    <row r="158" spans="8:8" x14ac:dyDescent="0.25">
      <c r="H158" t="s">
        <v>3940</v>
      </c>
    </row>
    <row r="160" spans="8:8" x14ac:dyDescent="0.25">
      <c r="H160" t="s">
        <v>3941</v>
      </c>
    </row>
    <row r="161" spans="8:8" x14ac:dyDescent="0.25">
      <c r="H161" t="s">
        <v>3942</v>
      </c>
    </row>
    <row r="162" spans="8:8" x14ac:dyDescent="0.25">
      <c r="H162" t="s">
        <v>149</v>
      </c>
    </row>
    <row r="163" spans="8:8" x14ac:dyDescent="0.25">
      <c r="H163" t="s">
        <v>3943</v>
      </c>
    </row>
    <row r="165" spans="8:8" x14ac:dyDescent="0.25">
      <c r="H165" t="s">
        <v>3944</v>
      </c>
    </row>
    <row r="166" spans="8:8" x14ac:dyDescent="0.25">
      <c r="H166" t="s">
        <v>3945</v>
      </c>
    </row>
    <row r="167" spans="8:8" x14ac:dyDescent="0.25">
      <c r="H167" t="s">
        <v>149</v>
      </c>
    </row>
    <row r="168" spans="8:8" x14ac:dyDescent="0.25">
      <c r="H168" t="s">
        <v>3946</v>
      </c>
    </row>
    <row r="170" spans="8:8" x14ac:dyDescent="0.25">
      <c r="H170" t="s">
        <v>3947</v>
      </c>
    </row>
    <row r="171" spans="8:8" x14ac:dyDescent="0.25">
      <c r="H171" t="s">
        <v>3948</v>
      </c>
    </row>
    <row r="172" spans="8:8" x14ac:dyDescent="0.25">
      <c r="H172" t="s">
        <v>149</v>
      </c>
    </row>
    <row r="173" spans="8:8" x14ac:dyDescent="0.25">
      <c r="H173" t="s">
        <v>3949</v>
      </c>
    </row>
    <row r="175" spans="8:8" x14ac:dyDescent="0.25">
      <c r="H175" t="s">
        <v>3950</v>
      </c>
    </row>
    <row r="176" spans="8:8" x14ac:dyDescent="0.25">
      <c r="H176" t="s">
        <v>3951</v>
      </c>
    </row>
    <row r="177" spans="8:8" x14ac:dyDescent="0.25">
      <c r="H177" t="s">
        <v>149</v>
      </c>
    </row>
    <row r="178" spans="8:8" x14ac:dyDescent="0.25">
      <c r="H178" t="s">
        <v>3952</v>
      </c>
    </row>
    <row r="180" spans="8:8" x14ac:dyDescent="0.25">
      <c r="H180" t="s">
        <v>3953</v>
      </c>
    </row>
    <row r="181" spans="8:8" x14ac:dyDescent="0.25">
      <c r="H181" t="s">
        <v>3954</v>
      </c>
    </row>
    <row r="182" spans="8:8" x14ac:dyDescent="0.25">
      <c r="H182" t="s">
        <v>149</v>
      </c>
    </row>
    <row r="183" spans="8:8" x14ac:dyDescent="0.25">
      <c r="H183" t="s">
        <v>3955</v>
      </c>
    </row>
    <row r="185" spans="8:8" x14ac:dyDescent="0.25">
      <c r="H185" t="s">
        <v>3956</v>
      </c>
    </row>
    <row r="186" spans="8:8" x14ac:dyDescent="0.25">
      <c r="H186" t="s">
        <v>3957</v>
      </c>
    </row>
    <row r="187" spans="8:8" x14ac:dyDescent="0.25">
      <c r="H187" t="s">
        <v>149</v>
      </c>
    </row>
    <row r="188" spans="8:8" x14ac:dyDescent="0.25">
      <c r="H188" t="s">
        <v>3958</v>
      </c>
    </row>
    <row r="190" spans="8:8" x14ac:dyDescent="0.25">
      <c r="H190" t="s">
        <v>3959</v>
      </c>
    </row>
    <row r="191" spans="8:8" x14ac:dyDescent="0.25">
      <c r="H191" t="s">
        <v>3960</v>
      </c>
    </row>
    <row r="192" spans="8:8" x14ac:dyDescent="0.25">
      <c r="H192" t="s">
        <v>149</v>
      </c>
    </row>
    <row r="193" spans="8:8" x14ac:dyDescent="0.25">
      <c r="H193" t="s">
        <v>3961</v>
      </c>
    </row>
    <row r="195" spans="8:8" x14ac:dyDescent="0.25">
      <c r="H195" t="s">
        <v>3962</v>
      </c>
    </row>
    <row r="196" spans="8:8" x14ac:dyDescent="0.25">
      <c r="H196" t="s">
        <v>3963</v>
      </c>
    </row>
    <row r="197" spans="8:8" x14ac:dyDescent="0.25">
      <c r="H197" t="s">
        <v>149</v>
      </c>
    </row>
    <row r="198" spans="8:8" x14ac:dyDescent="0.25">
      <c r="H198" t="s">
        <v>3964</v>
      </c>
    </row>
    <row r="200" spans="8:8" x14ac:dyDescent="0.25">
      <c r="H200" t="s">
        <v>3965</v>
      </c>
    </row>
    <row r="201" spans="8:8" x14ac:dyDescent="0.25">
      <c r="H201" t="s">
        <v>3966</v>
      </c>
    </row>
    <row r="202" spans="8:8" x14ac:dyDescent="0.25">
      <c r="H202" t="s">
        <v>149</v>
      </c>
    </row>
    <row r="203" spans="8:8" x14ac:dyDescent="0.25">
      <c r="H203" t="s">
        <v>3967</v>
      </c>
    </row>
    <row r="205" spans="8:8" x14ac:dyDescent="0.25">
      <c r="H205" t="s">
        <v>3968</v>
      </c>
    </row>
    <row r="206" spans="8:8" x14ac:dyDescent="0.25">
      <c r="H206" t="s">
        <v>3969</v>
      </c>
    </row>
    <row r="207" spans="8:8" x14ac:dyDescent="0.25">
      <c r="H207" t="s">
        <v>149</v>
      </c>
    </row>
    <row r="208" spans="8:8" x14ac:dyDescent="0.25">
      <c r="H208" t="s">
        <v>3970</v>
      </c>
    </row>
    <row r="210" spans="8:8" x14ac:dyDescent="0.25">
      <c r="H210" t="s">
        <v>3971</v>
      </c>
    </row>
    <row r="211" spans="8:8" x14ac:dyDescent="0.25">
      <c r="H211" t="s">
        <v>3972</v>
      </c>
    </row>
    <row r="212" spans="8:8" x14ac:dyDescent="0.25">
      <c r="H212" t="s">
        <v>149</v>
      </c>
    </row>
    <row r="213" spans="8:8" x14ac:dyDescent="0.25">
      <c r="H213" t="s">
        <v>3973</v>
      </c>
    </row>
    <row r="215" spans="8:8" x14ac:dyDescent="0.25">
      <c r="H215" t="s">
        <v>3974</v>
      </c>
    </row>
    <row r="216" spans="8:8" x14ac:dyDescent="0.25">
      <c r="H216" t="s">
        <v>3975</v>
      </c>
    </row>
    <row r="217" spans="8:8" x14ac:dyDescent="0.25">
      <c r="H217" t="s">
        <v>149</v>
      </c>
    </row>
    <row r="218" spans="8:8" x14ac:dyDescent="0.25">
      <c r="H218" t="s">
        <v>3976</v>
      </c>
    </row>
    <row r="220" spans="8:8" x14ac:dyDescent="0.25">
      <c r="H220" t="s">
        <v>3977</v>
      </c>
    </row>
    <row r="221" spans="8:8" x14ac:dyDescent="0.25">
      <c r="H221" t="s">
        <v>3978</v>
      </c>
    </row>
    <row r="222" spans="8:8" x14ac:dyDescent="0.25">
      <c r="H222" t="s">
        <v>149</v>
      </c>
    </row>
    <row r="223" spans="8:8" x14ac:dyDescent="0.25">
      <c r="H223" t="s">
        <v>3979</v>
      </c>
    </row>
    <row r="225" spans="8:8" x14ac:dyDescent="0.25">
      <c r="H225" t="s">
        <v>3980</v>
      </c>
    </row>
    <row r="226" spans="8:8" x14ac:dyDescent="0.25">
      <c r="H226" t="s">
        <v>3981</v>
      </c>
    </row>
    <row r="227" spans="8:8" x14ac:dyDescent="0.25">
      <c r="H227" t="s">
        <v>149</v>
      </c>
    </row>
    <row r="228" spans="8:8" x14ac:dyDescent="0.25">
      <c r="H228" t="s">
        <v>3982</v>
      </c>
    </row>
    <row r="230" spans="8:8" x14ac:dyDescent="0.25">
      <c r="H230" t="s">
        <v>3983</v>
      </c>
    </row>
    <row r="231" spans="8:8" x14ac:dyDescent="0.25">
      <c r="H231" t="s">
        <v>3984</v>
      </c>
    </row>
    <row r="232" spans="8:8" x14ac:dyDescent="0.25">
      <c r="H232" t="s">
        <v>149</v>
      </c>
    </row>
    <row r="233" spans="8:8" x14ac:dyDescent="0.25">
      <c r="H233" t="s">
        <v>3985</v>
      </c>
    </row>
    <row r="235" spans="8:8" x14ac:dyDescent="0.25">
      <c r="H235" t="s">
        <v>3986</v>
      </c>
    </row>
    <row r="236" spans="8:8" x14ac:dyDescent="0.25">
      <c r="H236" t="s">
        <v>3987</v>
      </c>
    </row>
    <row r="237" spans="8:8" x14ac:dyDescent="0.25">
      <c r="H237" t="s">
        <v>149</v>
      </c>
    </row>
    <row r="238" spans="8:8" x14ac:dyDescent="0.25">
      <c r="H238" t="s">
        <v>3988</v>
      </c>
    </row>
    <row r="240" spans="8:8" x14ac:dyDescent="0.25">
      <c r="H240" t="s">
        <v>3989</v>
      </c>
    </row>
    <row r="241" spans="8:8" x14ac:dyDescent="0.25">
      <c r="H241" t="s">
        <v>3990</v>
      </c>
    </row>
    <row r="242" spans="8:8" x14ac:dyDescent="0.25">
      <c r="H242" t="s">
        <v>149</v>
      </c>
    </row>
    <row r="243" spans="8:8" x14ac:dyDescent="0.25">
      <c r="H243" t="s">
        <v>3991</v>
      </c>
    </row>
    <row r="245" spans="8:8" x14ac:dyDescent="0.25">
      <c r="H245" t="s">
        <v>3992</v>
      </c>
    </row>
    <row r="246" spans="8:8" x14ac:dyDescent="0.25">
      <c r="H246" t="s">
        <v>3993</v>
      </c>
    </row>
    <row r="247" spans="8:8" x14ac:dyDescent="0.25">
      <c r="H247" t="s">
        <v>149</v>
      </c>
    </row>
    <row r="248" spans="8:8" x14ac:dyDescent="0.25">
      <c r="H248" t="s">
        <v>3994</v>
      </c>
    </row>
    <row r="250" spans="8:8" x14ac:dyDescent="0.25">
      <c r="H250" t="s">
        <v>3995</v>
      </c>
    </row>
    <row r="251" spans="8:8" x14ac:dyDescent="0.25">
      <c r="H251" t="s">
        <v>3996</v>
      </c>
    </row>
    <row r="252" spans="8:8" x14ac:dyDescent="0.25">
      <c r="H252" t="s">
        <v>149</v>
      </c>
    </row>
    <row r="253" spans="8:8" x14ac:dyDescent="0.25">
      <c r="H253" t="s">
        <v>3997</v>
      </c>
    </row>
    <row r="255" spans="8:8" x14ac:dyDescent="0.25">
      <c r="H255" t="s">
        <v>3998</v>
      </c>
    </row>
    <row r="256" spans="8:8" x14ac:dyDescent="0.25">
      <c r="H256" t="s">
        <v>3999</v>
      </c>
    </row>
    <row r="257" spans="8:8" x14ac:dyDescent="0.25">
      <c r="H257" t="s">
        <v>149</v>
      </c>
    </row>
    <row r="258" spans="8:8" x14ac:dyDescent="0.25">
      <c r="H258" t="s">
        <v>4000</v>
      </c>
    </row>
    <row r="260" spans="8:8" x14ac:dyDescent="0.25">
      <c r="H260" t="s">
        <v>4001</v>
      </c>
    </row>
    <row r="261" spans="8:8" x14ac:dyDescent="0.25">
      <c r="H261" t="s">
        <v>4002</v>
      </c>
    </row>
    <row r="262" spans="8:8" x14ac:dyDescent="0.25">
      <c r="H262" t="s">
        <v>149</v>
      </c>
    </row>
    <row r="263" spans="8:8" x14ac:dyDescent="0.25">
      <c r="H263" t="s">
        <v>4003</v>
      </c>
    </row>
    <row r="265" spans="8:8" x14ac:dyDescent="0.25">
      <c r="H265" t="s">
        <v>4004</v>
      </c>
    </row>
    <row r="266" spans="8:8" x14ac:dyDescent="0.25">
      <c r="H266" t="s">
        <v>4005</v>
      </c>
    </row>
    <row r="267" spans="8:8" x14ac:dyDescent="0.25">
      <c r="H267" t="s">
        <v>149</v>
      </c>
    </row>
    <row r="268" spans="8:8" x14ac:dyDescent="0.25">
      <c r="H268" t="s">
        <v>4006</v>
      </c>
    </row>
    <row r="270" spans="8:8" x14ac:dyDescent="0.25">
      <c r="H270" t="s">
        <v>4007</v>
      </c>
    </row>
    <row r="271" spans="8:8" x14ac:dyDescent="0.25">
      <c r="H271" t="s">
        <v>4008</v>
      </c>
    </row>
    <row r="272" spans="8:8" x14ac:dyDescent="0.25">
      <c r="H272" t="s">
        <v>149</v>
      </c>
    </row>
    <row r="273" spans="8:8" x14ac:dyDescent="0.25">
      <c r="H273" t="s">
        <v>4009</v>
      </c>
    </row>
    <row r="275" spans="8:8" x14ac:dyDescent="0.25">
      <c r="H275" t="s">
        <v>4010</v>
      </c>
    </row>
    <row r="276" spans="8:8" x14ac:dyDescent="0.25">
      <c r="H276" t="s">
        <v>4011</v>
      </c>
    </row>
    <row r="277" spans="8:8" x14ac:dyDescent="0.25">
      <c r="H277" t="s">
        <v>149</v>
      </c>
    </row>
    <row r="278" spans="8:8" x14ac:dyDescent="0.25">
      <c r="H278" t="s">
        <v>4012</v>
      </c>
    </row>
    <row r="280" spans="8:8" x14ac:dyDescent="0.25">
      <c r="H280" t="s">
        <v>4013</v>
      </c>
    </row>
    <row r="281" spans="8:8" x14ac:dyDescent="0.25">
      <c r="H281" t="s">
        <v>4014</v>
      </c>
    </row>
    <row r="282" spans="8:8" x14ac:dyDescent="0.25">
      <c r="H282" t="s">
        <v>149</v>
      </c>
    </row>
    <row r="283" spans="8:8" x14ac:dyDescent="0.25">
      <c r="H283" t="s">
        <v>4015</v>
      </c>
    </row>
    <row r="285" spans="8:8" x14ac:dyDescent="0.25">
      <c r="H285" t="s">
        <v>4016</v>
      </c>
    </row>
    <row r="286" spans="8:8" x14ac:dyDescent="0.25">
      <c r="H286" t="s">
        <v>4017</v>
      </c>
    </row>
    <row r="287" spans="8:8" x14ac:dyDescent="0.25">
      <c r="H287" t="s">
        <v>149</v>
      </c>
    </row>
    <row r="288" spans="8:8" x14ac:dyDescent="0.25">
      <c r="H288" t="s">
        <v>4018</v>
      </c>
    </row>
    <row r="290" spans="8:8" x14ac:dyDescent="0.25">
      <c r="H290" t="s">
        <v>4019</v>
      </c>
    </row>
    <row r="291" spans="8:8" x14ac:dyDescent="0.25">
      <c r="H291" t="s">
        <v>4020</v>
      </c>
    </row>
    <row r="292" spans="8:8" x14ac:dyDescent="0.25">
      <c r="H292" t="s">
        <v>149</v>
      </c>
    </row>
    <row r="293" spans="8:8" x14ac:dyDescent="0.25">
      <c r="H293" t="s">
        <v>4021</v>
      </c>
    </row>
    <row r="295" spans="8:8" x14ac:dyDescent="0.25">
      <c r="H295" t="s">
        <v>4022</v>
      </c>
    </row>
    <row r="296" spans="8:8" x14ac:dyDescent="0.25">
      <c r="H296" t="s">
        <v>4023</v>
      </c>
    </row>
    <row r="297" spans="8:8" x14ac:dyDescent="0.25">
      <c r="H297" t="s">
        <v>149</v>
      </c>
    </row>
    <row r="298" spans="8:8" x14ac:dyDescent="0.25">
      <c r="H298" t="s">
        <v>4024</v>
      </c>
    </row>
    <row r="300" spans="8:8" x14ac:dyDescent="0.25">
      <c r="H300" t="s">
        <v>4025</v>
      </c>
    </row>
    <row r="301" spans="8:8" x14ac:dyDescent="0.25">
      <c r="H301" t="s">
        <v>4026</v>
      </c>
    </row>
    <row r="302" spans="8:8" x14ac:dyDescent="0.25">
      <c r="H302" t="s">
        <v>149</v>
      </c>
    </row>
    <row r="303" spans="8:8" x14ac:dyDescent="0.25">
      <c r="H303" t="s">
        <v>4027</v>
      </c>
    </row>
    <row r="305" spans="8:8" x14ac:dyDescent="0.25">
      <c r="H305" t="s">
        <v>4028</v>
      </c>
    </row>
    <row r="306" spans="8:8" x14ac:dyDescent="0.25">
      <c r="H306" t="s">
        <v>4029</v>
      </c>
    </row>
    <row r="307" spans="8:8" x14ac:dyDescent="0.25">
      <c r="H307" t="s">
        <v>149</v>
      </c>
    </row>
    <row r="308" spans="8:8" x14ac:dyDescent="0.25">
      <c r="H308" t="s">
        <v>4030</v>
      </c>
    </row>
    <row r="310" spans="8:8" x14ac:dyDescent="0.25">
      <c r="H310" t="s">
        <v>4031</v>
      </c>
    </row>
    <row r="311" spans="8:8" x14ac:dyDescent="0.25">
      <c r="H311" t="s">
        <v>4032</v>
      </c>
    </row>
    <row r="312" spans="8:8" x14ac:dyDescent="0.25">
      <c r="H312" t="s">
        <v>149</v>
      </c>
    </row>
    <row r="313" spans="8:8" x14ac:dyDescent="0.25">
      <c r="H313" t="s">
        <v>4033</v>
      </c>
    </row>
    <row r="315" spans="8:8" x14ac:dyDescent="0.25">
      <c r="H315" t="s">
        <v>4034</v>
      </c>
    </row>
    <row r="316" spans="8:8" x14ac:dyDescent="0.25">
      <c r="H316" t="s">
        <v>4035</v>
      </c>
    </row>
    <row r="317" spans="8:8" x14ac:dyDescent="0.25">
      <c r="H317" t="s">
        <v>149</v>
      </c>
    </row>
    <row r="318" spans="8:8" x14ac:dyDescent="0.25">
      <c r="H318" t="s">
        <v>4036</v>
      </c>
    </row>
    <row r="320" spans="8:8" x14ac:dyDescent="0.25">
      <c r="H320" t="s">
        <v>4037</v>
      </c>
    </row>
    <row r="321" spans="8:8" x14ac:dyDescent="0.25">
      <c r="H321" t="s">
        <v>4038</v>
      </c>
    </row>
    <row r="322" spans="8:8" x14ac:dyDescent="0.25">
      <c r="H322" t="s">
        <v>149</v>
      </c>
    </row>
    <row r="323" spans="8:8" x14ac:dyDescent="0.25">
      <c r="H323" t="s">
        <v>4039</v>
      </c>
    </row>
    <row r="325" spans="8:8" x14ac:dyDescent="0.25">
      <c r="H325" t="s">
        <v>4040</v>
      </c>
    </row>
    <row r="326" spans="8:8" x14ac:dyDescent="0.25">
      <c r="H326" t="s">
        <v>4041</v>
      </c>
    </row>
    <row r="327" spans="8:8" x14ac:dyDescent="0.25">
      <c r="H327" t="s">
        <v>149</v>
      </c>
    </row>
    <row r="328" spans="8:8" x14ac:dyDescent="0.25">
      <c r="H328" t="s">
        <v>4042</v>
      </c>
    </row>
    <row r="330" spans="8:8" x14ac:dyDescent="0.25">
      <c r="H330" t="s">
        <v>4043</v>
      </c>
    </row>
    <row r="331" spans="8:8" x14ac:dyDescent="0.25">
      <c r="H331" t="s">
        <v>4044</v>
      </c>
    </row>
    <row r="332" spans="8:8" x14ac:dyDescent="0.25">
      <c r="H332" t="s">
        <v>149</v>
      </c>
    </row>
    <row r="333" spans="8:8" x14ac:dyDescent="0.25">
      <c r="H333" t="s">
        <v>4045</v>
      </c>
    </row>
    <row r="335" spans="8:8" x14ac:dyDescent="0.25">
      <c r="H335" t="s">
        <v>4046</v>
      </c>
    </row>
    <row r="336" spans="8:8" x14ac:dyDescent="0.25">
      <c r="H336" t="s">
        <v>4047</v>
      </c>
    </row>
    <row r="337" spans="8:8" x14ac:dyDescent="0.25">
      <c r="H337" t="s">
        <v>149</v>
      </c>
    </row>
    <row r="338" spans="8:8" x14ac:dyDescent="0.25">
      <c r="H338" t="s">
        <v>4048</v>
      </c>
    </row>
    <row r="340" spans="8:8" x14ac:dyDescent="0.25">
      <c r="H340" t="s">
        <v>4049</v>
      </c>
    </row>
    <row r="341" spans="8:8" x14ac:dyDescent="0.25">
      <c r="H341" t="s">
        <v>4050</v>
      </c>
    </row>
    <row r="342" spans="8:8" x14ac:dyDescent="0.25">
      <c r="H342" t="s">
        <v>149</v>
      </c>
    </row>
    <row r="343" spans="8:8" x14ac:dyDescent="0.25">
      <c r="H343" t="s">
        <v>4051</v>
      </c>
    </row>
    <row r="345" spans="8:8" x14ac:dyDescent="0.25">
      <c r="H345" t="s">
        <v>4052</v>
      </c>
    </row>
    <row r="346" spans="8:8" x14ac:dyDescent="0.25">
      <c r="H346" t="s">
        <v>4053</v>
      </c>
    </row>
    <row r="347" spans="8:8" x14ac:dyDescent="0.25">
      <c r="H347" t="s">
        <v>149</v>
      </c>
    </row>
    <row r="348" spans="8:8" x14ac:dyDescent="0.25">
      <c r="H348" t="s">
        <v>4054</v>
      </c>
    </row>
    <row r="350" spans="8:8" x14ac:dyDescent="0.25">
      <c r="H350" t="s">
        <v>4055</v>
      </c>
    </row>
    <row r="351" spans="8:8" x14ac:dyDescent="0.25">
      <c r="H351" t="s">
        <v>4056</v>
      </c>
    </row>
    <row r="352" spans="8:8" x14ac:dyDescent="0.25">
      <c r="H352" t="s">
        <v>149</v>
      </c>
    </row>
    <row r="353" spans="8:8" x14ac:dyDescent="0.25">
      <c r="H353" t="s">
        <v>4057</v>
      </c>
    </row>
    <row r="355" spans="8:8" x14ac:dyDescent="0.25">
      <c r="H355" t="s">
        <v>4058</v>
      </c>
    </row>
    <row r="356" spans="8:8" x14ac:dyDescent="0.25">
      <c r="H356" t="s">
        <v>4059</v>
      </c>
    </row>
    <row r="357" spans="8:8" x14ac:dyDescent="0.25">
      <c r="H357" t="s">
        <v>149</v>
      </c>
    </row>
    <row r="358" spans="8:8" x14ac:dyDescent="0.25">
      <c r="H358" t="s">
        <v>4060</v>
      </c>
    </row>
    <row r="360" spans="8:8" x14ac:dyDescent="0.25">
      <c r="H360" t="s">
        <v>4061</v>
      </c>
    </row>
    <row r="361" spans="8:8" x14ac:dyDescent="0.25">
      <c r="H361" t="s">
        <v>4062</v>
      </c>
    </row>
    <row r="362" spans="8:8" x14ac:dyDescent="0.25">
      <c r="H362" t="s">
        <v>149</v>
      </c>
    </row>
    <row r="363" spans="8:8" x14ac:dyDescent="0.25">
      <c r="H363" t="s">
        <v>4063</v>
      </c>
    </row>
    <row r="365" spans="8:8" x14ac:dyDescent="0.25">
      <c r="H365" t="s">
        <v>4064</v>
      </c>
    </row>
    <row r="366" spans="8:8" x14ac:dyDescent="0.25">
      <c r="H366" t="s">
        <v>4065</v>
      </c>
    </row>
    <row r="367" spans="8:8" x14ac:dyDescent="0.25">
      <c r="H367" t="s">
        <v>149</v>
      </c>
    </row>
    <row r="368" spans="8:8" x14ac:dyDescent="0.25">
      <c r="H368" t="s">
        <v>4066</v>
      </c>
    </row>
    <row r="370" spans="8:8" x14ac:dyDescent="0.25">
      <c r="H370" t="s">
        <v>4067</v>
      </c>
    </row>
    <row r="371" spans="8:8" x14ac:dyDescent="0.25">
      <c r="H371" t="s">
        <v>4068</v>
      </c>
    </row>
    <row r="372" spans="8:8" x14ac:dyDescent="0.25">
      <c r="H372" t="s">
        <v>149</v>
      </c>
    </row>
    <row r="373" spans="8:8" x14ac:dyDescent="0.25">
      <c r="H373" t="s">
        <v>4069</v>
      </c>
    </row>
    <row r="375" spans="8:8" x14ac:dyDescent="0.25">
      <c r="H375" t="s">
        <v>4070</v>
      </c>
    </row>
    <row r="376" spans="8:8" x14ac:dyDescent="0.25">
      <c r="H376" t="s">
        <v>4071</v>
      </c>
    </row>
    <row r="377" spans="8:8" x14ac:dyDescent="0.25">
      <c r="H377" t="s">
        <v>149</v>
      </c>
    </row>
    <row r="378" spans="8:8" x14ac:dyDescent="0.25">
      <c r="H378" t="s">
        <v>4072</v>
      </c>
    </row>
    <row r="380" spans="8:8" x14ac:dyDescent="0.25">
      <c r="H380" t="s">
        <v>4073</v>
      </c>
    </row>
    <row r="381" spans="8:8" x14ac:dyDescent="0.25">
      <c r="H381" t="s">
        <v>4074</v>
      </c>
    </row>
    <row r="382" spans="8:8" x14ac:dyDescent="0.25">
      <c r="H382" t="s">
        <v>4075</v>
      </c>
    </row>
    <row r="383" spans="8:8" x14ac:dyDescent="0.25">
      <c r="H383" t="s">
        <v>4076</v>
      </c>
    </row>
    <row r="384" spans="8:8" x14ac:dyDescent="0.25">
      <c r="H384" t="s">
        <v>4077</v>
      </c>
    </row>
    <row r="385" spans="8:8" x14ac:dyDescent="0.25">
      <c r="H385" t="s">
        <v>4078</v>
      </c>
    </row>
    <row r="386" spans="8:8" x14ac:dyDescent="0.25">
      <c r="H386" t="s">
        <v>4079</v>
      </c>
    </row>
    <row r="387" spans="8:8" x14ac:dyDescent="0.25">
      <c r="H387" t="s">
        <v>4080</v>
      </c>
    </row>
    <row r="388" spans="8:8" x14ac:dyDescent="0.25">
      <c r="H388" t="s">
        <v>4081</v>
      </c>
    </row>
    <row r="389" spans="8:8" x14ac:dyDescent="0.25">
      <c r="H389" t="s">
        <v>4082</v>
      </c>
    </row>
    <row r="390" spans="8:8" x14ac:dyDescent="0.25">
      <c r="H390" t="s">
        <v>4083</v>
      </c>
    </row>
    <row r="391" spans="8:8" x14ac:dyDescent="0.25">
      <c r="H391" t="s">
        <v>4084</v>
      </c>
    </row>
    <row r="393" spans="8:8" x14ac:dyDescent="0.25">
      <c r="H393" t="s">
        <v>4085</v>
      </c>
    </row>
    <row r="394" spans="8:8" x14ac:dyDescent="0.25">
      <c r="H394" t="s">
        <v>4086</v>
      </c>
    </row>
    <row r="395" spans="8:8" x14ac:dyDescent="0.25">
      <c r="H395" t="s">
        <v>4087</v>
      </c>
    </row>
    <row r="396" spans="8:8" x14ac:dyDescent="0.25">
      <c r="H396" t="s">
        <v>4088</v>
      </c>
    </row>
    <row r="397" spans="8:8" x14ac:dyDescent="0.25">
      <c r="H397" t="s">
        <v>4089</v>
      </c>
    </row>
    <row r="398" spans="8:8" x14ac:dyDescent="0.25">
      <c r="H398" t="s">
        <v>4090</v>
      </c>
    </row>
    <row r="399" spans="8:8" x14ac:dyDescent="0.25">
      <c r="H399" t="s">
        <v>4091</v>
      </c>
    </row>
    <row r="400" spans="8:8" x14ac:dyDescent="0.25">
      <c r="H400" t="s">
        <v>4092</v>
      </c>
    </row>
    <row r="401" spans="8:8" x14ac:dyDescent="0.25">
      <c r="H401" t="s">
        <v>4093</v>
      </c>
    </row>
    <row r="402" spans="8:8" x14ac:dyDescent="0.25">
      <c r="H402" t="s">
        <v>3835</v>
      </c>
    </row>
    <row r="403" spans="8:8" x14ac:dyDescent="0.25">
      <c r="H403" t="s">
        <v>4094</v>
      </c>
    </row>
    <row r="404" spans="8:8" x14ac:dyDescent="0.25">
      <c r="H404" t="s">
        <v>4095</v>
      </c>
    </row>
    <row r="405" spans="8:8" x14ac:dyDescent="0.25">
      <c r="H405" t="s">
        <v>4096</v>
      </c>
    </row>
    <row r="406" spans="8:8" x14ac:dyDescent="0.25">
      <c r="H406" t="s">
        <v>4097</v>
      </c>
    </row>
    <row r="407" spans="8:8" x14ac:dyDescent="0.25">
      <c r="H407" t="s">
        <v>4098</v>
      </c>
    </row>
    <row r="408" spans="8:8" x14ac:dyDescent="0.25">
      <c r="H408" t="s">
        <v>4099</v>
      </c>
    </row>
    <row r="409" spans="8:8" x14ac:dyDescent="0.25">
      <c r="H409" t="s">
        <v>4100</v>
      </c>
    </row>
    <row r="410" spans="8:8" x14ac:dyDescent="0.25">
      <c r="H410" t="s">
        <v>4101</v>
      </c>
    </row>
    <row r="412" spans="8:8" x14ac:dyDescent="0.25">
      <c r="H412" t="s">
        <v>4102</v>
      </c>
    </row>
    <row r="413" spans="8:8" x14ac:dyDescent="0.25">
      <c r="H413" t="s">
        <v>4103</v>
      </c>
    </row>
    <row r="414" spans="8:8" x14ac:dyDescent="0.25">
      <c r="H414" t="s">
        <v>4104</v>
      </c>
    </row>
    <row r="415" spans="8:8" x14ac:dyDescent="0.25">
      <c r="H415" t="s">
        <v>4105</v>
      </c>
    </row>
    <row r="416" spans="8:8" x14ac:dyDescent="0.25">
      <c r="H416" t="s">
        <v>4106</v>
      </c>
    </row>
    <row r="417" spans="8:8" x14ac:dyDescent="0.25">
      <c r="H417" t="s">
        <v>4107</v>
      </c>
    </row>
    <row r="418" spans="8:8" x14ac:dyDescent="0.25">
      <c r="H418" t="s">
        <v>4108</v>
      </c>
    </row>
    <row r="419" spans="8:8" x14ac:dyDescent="0.25">
      <c r="H419" t="s">
        <v>4109</v>
      </c>
    </row>
    <row r="420" spans="8:8" x14ac:dyDescent="0.25">
      <c r="H420" t="s">
        <v>4110</v>
      </c>
    </row>
    <row r="421" spans="8:8" x14ac:dyDescent="0.25">
      <c r="H421" t="s">
        <v>4111</v>
      </c>
    </row>
    <row r="422" spans="8:8" x14ac:dyDescent="0.25">
      <c r="H422" t="s">
        <v>4112</v>
      </c>
    </row>
    <row r="423" spans="8:8" x14ac:dyDescent="0.25">
      <c r="H423" t="s">
        <v>4113</v>
      </c>
    </row>
    <row r="424" spans="8:8" x14ac:dyDescent="0.25">
      <c r="H424" t="s">
        <v>4114</v>
      </c>
    </row>
    <row r="425" spans="8:8" x14ac:dyDescent="0.25">
      <c r="H425" t="s">
        <v>4115</v>
      </c>
    </row>
    <row r="426" spans="8:8" x14ac:dyDescent="0.25">
      <c r="H426" t="s">
        <v>4116</v>
      </c>
    </row>
    <row r="427" spans="8:8" x14ac:dyDescent="0.25">
      <c r="H427" t="s">
        <v>4117</v>
      </c>
    </row>
    <row r="428" spans="8:8" x14ac:dyDescent="0.25">
      <c r="H428" t="s">
        <v>4118</v>
      </c>
    </row>
    <row r="429" spans="8:8" x14ac:dyDescent="0.25">
      <c r="H429" t="s">
        <v>4119</v>
      </c>
    </row>
    <row r="430" spans="8:8" x14ac:dyDescent="0.25">
      <c r="H430" t="s">
        <v>3828</v>
      </c>
    </row>
    <row r="431" spans="8:8" x14ac:dyDescent="0.25">
      <c r="H431" t="s">
        <v>4120</v>
      </c>
    </row>
    <row r="432" spans="8:8" x14ac:dyDescent="0.25">
      <c r="H432" t="s">
        <v>4121</v>
      </c>
    </row>
    <row r="433" spans="8:8" x14ac:dyDescent="0.25">
      <c r="H433" t="s">
        <v>4122</v>
      </c>
    </row>
    <row r="434" spans="8:8" x14ac:dyDescent="0.25">
      <c r="H434" t="s">
        <v>4123</v>
      </c>
    </row>
    <row r="435" spans="8:8" x14ac:dyDescent="0.25">
      <c r="H435" t="s">
        <v>3835</v>
      </c>
    </row>
    <row r="436" spans="8:8" x14ac:dyDescent="0.25">
      <c r="H436" t="s">
        <v>4124</v>
      </c>
    </row>
    <row r="437" spans="8:8" x14ac:dyDescent="0.25">
      <c r="H437" t="s">
        <v>4125</v>
      </c>
    </row>
    <row r="438" spans="8:8" x14ac:dyDescent="0.25">
      <c r="H438" t="s">
        <v>4126</v>
      </c>
    </row>
    <row r="439" spans="8:8" x14ac:dyDescent="0.25">
      <c r="H439" t="s">
        <v>4127</v>
      </c>
    </row>
    <row r="440" spans="8:8" x14ac:dyDescent="0.25">
      <c r="H440" t="s">
        <v>4128</v>
      </c>
    </row>
    <row r="441" spans="8:8" x14ac:dyDescent="0.25">
      <c r="H441" t="s">
        <v>4129</v>
      </c>
    </row>
    <row r="442" spans="8:8" x14ac:dyDescent="0.25">
      <c r="H442" t="s">
        <v>4130</v>
      </c>
    </row>
    <row r="443" spans="8:8" x14ac:dyDescent="0.25">
      <c r="H443" t="s">
        <v>4131</v>
      </c>
    </row>
    <row r="444" spans="8:8" x14ac:dyDescent="0.25">
      <c r="H444" t="s">
        <v>4132</v>
      </c>
    </row>
    <row r="445" spans="8:8" x14ac:dyDescent="0.25">
      <c r="H445" t="s">
        <v>4133</v>
      </c>
    </row>
    <row r="447" spans="8:8" x14ac:dyDescent="0.25">
      <c r="H447" t="s">
        <v>4134</v>
      </c>
    </row>
    <row r="448" spans="8:8" x14ac:dyDescent="0.25">
      <c r="H448" t="s">
        <v>4135</v>
      </c>
    </row>
    <row r="449" spans="8:8" x14ac:dyDescent="0.25">
      <c r="H449" t="s">
        <v>4136</v>
      </c>
    </row>
    <row r="450" spans="8:8" x14ac:dyDescent="0.25">
      <c r="H450" t="s">
        <v>4137</v>
      </c>
    </row>
    <row r="451" spans="8:8" x14ac:dyDescent="0.25">
      <c r="H451" t="s">
        <v>4138</v>
      </c>
    </row>
    <row r="452" spans="8:8" x14ac:dyDescent="0.25">
      <c r="H452" t="s">
        <v>4139</v>
      </c>
    </row>
    <row r="453" spans="8:8" x14ac:dyDescent="0.25">
      <c r="H453" t="s">
        <v>4140</v>
      </c>
    </row>
    <row r="454" spans="8:8" x14ac:dyDescent="0.25">
      <c r="H454" t="s">
        <v>4141</v>
      </c>
    </row>
    <row r="455" spans="8:8" x14ac:dyDescent="0.25">
      <c r="H455" t="s">
        <v>4142</v>
      </c>
    </row>
    <row r="456" spans="8:8" x14ac:dyDescent="0.25">
      <c r="H456" t="s">
        <v>4143</v>
      </c>
    </row>
    <row r="457" spans="8:8" x14ac:dyDescent="0.25">
      <c r="H457" t="s">
        <v>4144</v>
      </c>
    </row>
    <row r="458" spans="8:8" x14ac:dyDescent="0.25">
      <c r="H458" t="s">
        <v>4145</v>
      </c>
    </row>
    <row r="460" spans="8:8" x14ac:dyDescent="0.25">
      <c r="H460" t="s">
        <v>4146</v>
      </c>
    </row>
    <row r="461" spans="8:8" x14ac:dyDescent="0.25">
      <c r="H461" t="s">
        <v>4147</v>
      </c>
    </row>
    <row r="462" spans="8:8" x14ac:dyDescent="0.25">
      <c r="H462" t="s">
        <v>4087</v>
      </c>
    </row>
    <row r="463" spans="8:8" x14ac:dyDescent="0.25">
      <c r="H463" t="s">
        <v>4088</v>
      </c>
    </row>
    <row r="464" spans="8:8" x14ac:dyDescent="0.25">
      <c r="H464" t="s">
        <v>4089</v>
      </c>
    </row>
    <row r="465" spans="8:8" x14ac:dyDescent="0.25">
      <c r="H465" t="s">
        <v>4090</v>
      </c>
    </row>
    <row r="466" spans="8:8" x14ac:dyDescent="0.25">
      <c r="H466" t="s">
        <v>4091</v>
      </c>
    </row>
    <row r="467" spans="8:8" x14ac:dyDescent="0.25">
      <c r="H467" t="s">
        <v>4092</v>
      </c>
    </row>
    <row r="468" spans="8:8" x14ac:dyDescent="0.25">
      <c r="H468" t="s">
        <v>4093</v>
      </c>
    </row>
    <row r="469" spans="8:8" x14ac:dyDescent="0.25">
      <c r="H469" t="s">
        <v>3835</v>
      </c>
    </row>
    <row r="470" spans="8:8" x14ac:dyDescent="0.25">
      <c r="H470" t="s">
        <v>4094</v>
      </c>
    </row>
    <row r="471" spans="8:8" x14ac:dyDescent="0.25">
      <c r="H471" t="s">
        <v>4095</v>
      </c>
    </row>
    <row r="472" spans="8:8" x14ac:dyDescent="0.25">
      <c r="H472" t="s">
        <v>4096</v>
      </c>
    </row>
    <row r="473" spans="8:8" x14ac:dyDescent="0.25">
      <c r="H473" t="s">
        <v>4097</v>
      </c>
    </row>
    <row r="474" spans="8:8" x14ac:dyDescent="0.25">
      <c r="H474" t="s">
        <v>4098</v>
      </c>
    </row>
    <row r="475" spans="8:8" x14ac:dyDescent="0.25">
      <c r="H475" t="s">
        <v>4099</v>
      </c>
    </row>
    <row r="476" spans="8:8" x14ac:dyDescent="0.25">
      <c r="H476" t="s">
        <v>4100</v>
      </c>
    </row>
    <row r="477" spans="8:8" x14ac:dyDescent="0.25">
      <c r="H477" t="s">
        <v>4148</v>
      </c>
    </row>
    <row r="479" spans="8:8" x14ac:dyDescent="0.25">
      <c r="H479" t="s">
        <v>4149</v>
      </c>
    </row>
    <row r="480" spans="8:8" x14ac:dyDescent="0.25">
      <c r="H480" t="s">
        <v>4150</v>
      </c>
    </row>
    <row r="481" spans="8:8" x14ac:dyDescent="0.25">
      <c r="H481" t="s">
        <v>4104</v>
      </c>
    </row>
    <row r="482" spans="8:8" x14ac:dyDescent="0.25">
      <c r="H482" t="s">
        <v>4105</v>
      </c>
    </row>
    <row r="483" spans="8:8" x14ac:dyDescent="0.25">
      <c r="H483" t="s">
        <v>4106</v>
      </c>
    </row>
    <row r="484" spans="8:8" x14ac:dyDescent="0.25">
      <c r="H484" t="s">
        <v>4107</v>
      </c>
    </row>
    <row r="485" spans="8:8" x14ac:dyDescent="0.25">
      <c r="H485" t="s">
        <v>4108</v>
      </c>
    </row>
    <row r="486" spans="8:8" x14ac:dyDescent="0.25">
      <c r="H486" t="s">
        <v>4109</v>
      </c>
    </row>
    <row r="487" spans="8:8" x14ac:dyDescent="0.25">
      <c r="H487" t="s">
        <v>4110</v>
      </c>
    </row>
    <row r="488" spans="8:8" x14ac:dyDescent="0.25">
      <c r="H488" t="s">
        <v>4111</v>
      </c>
    </row>
    <row r="489" spans="8:8" x14ac:dyDescent="0.25">
      <c r="H489" t="s">
        <v>4112</v>
      </c>
    </row>
    <row r="490" spans="8:8" x14ac:dyDescent="0.25">
      <c r="H490" t="s">
        <v>4113</v>
      </c>
    </row>
    <row r="491" spans="8:8" x14ac:dyDescent="0.25">
      <c r="H491" t="s">
        <v>4114</v>
      </c>
    </row>
    <row r="492" spans="8:8" x14ac:dyDescent="0.25">
      <c r="H492" t="s">
        <v>4115</v>
      </c>
    </row>
    <row r="493" spans="8:8" x14ac:dyDescent="0.25">
      <c r="H493" t="s">
        <v>4116</v>
      </c>
    </row>
    <row r="494" spans="8:8" x14ac:dyDescent="0.25">
      <c r="H494" t="s">
        <v>4117</v>
      </c>
    </row>
    <row r="495" spans="8:8" x14ac:dyDescent="0.25">
      <c r="H495" t="s">
        <v>4118</v>
      </c>
    </row>
    <row r="496" spans="8:8" x14ac:dyDescent="0.25">
      <c r="H496" t="s">
        <v>4119</v>
      </c>
    </row>
    <row r="497" spans="8:8" x14ac:dyDescent="0.25">
      <c r="H497" t="s">
        <v>3828</v>
      </c>
    </row>
    <row r="498" spans="8:8" x14ac:dyDescent="0.25">
      <c r="H498" t="s">
        <v>4120</v>
      </c>
    </row>
    <row r="499" spans="8:8" x14ac:dyDescent="0.25">
      <c r="H499" t="s">
        <v>4121</v>
      </c>
    </row>
    <row r="500" spans="8:8" x14ac:dyDescent="0.25">
      <c r="H500" t="s">
        <v>4122</v>
      </c>
    </row>
    <row r="501" spans="8:8" x14ac:dyDescent="0.25">
      <c r="H501" t="s">
        <v>4123</v>
      </c>
    </row>
    <row r="502" spans="8:8" x14ac:dyDescent="0.25">
      <c r="H502" t="s">
        <v>3835</v>
      </c>
    </row>
    <row r="503" spans="8:8" x14ac:dyDescent="0.25">
      <c r="H503" t="s">
        <v>4124</v>
      </c>
    </row>
    <row r="504" spans="8:8" x14ac:dyDescent="0.25">
      <c r="H504" t="s">
        <v>4125</v>
      </c>
    </row>
    <row r="505" spans="8:8" x14ac:dyDescent="0.25">
      <c r="H505" t="s">
        <v>4126</v>
      </c>
    </row>
    <row r="506" spans="8:8" x14ac:dyDescent="0.25">
      <c r="H506" t="s">
        <v>4127</v>
      </c>
    </row>
    <row r="507" spans="8:8" x14ac:dyDescent="0.25">
      <c r="H507" t="s">
        <v>4128</v>
      </c>
    </row>
    <row r="508" spans="8:8" x14ac:dyDescent="0.25">
      <c r="H508" t="s">
        <v>4129</v>
      </c>
    </row>
    <row r="509" spans="8:8" x14ac:dyDescent="0.25">
      <c r="H509" t="s">
        <v>4130</v>
      </c>
    </row>
    <row r="510" spans="8:8" x14ac:dyDescent="0.25">
      <c r="H510" t="s">
        <v>4131</v>
      </c>
    </row>
    <row r="511" spans="8:8" x14ac:dyDescent="0.25">
      <c r="H511" t="s">
        <v>4132</v>
      </c>
    </row>
    <row r="512" spans="8:8" x14ac:dyDescent="0.25">
      <c r="H512" t="s">
        <v>4151</v>
      </c>
    </row>
    <row r="514" spans="8:9" x14ac:dyDescent="0.25">
      <c r="H514" t="s">
        <v>4152</v>
      </c>
    </row>
    <row r="515" spans="8:9" x14ac:dyDescent="0.25">
      <c r="H515" t="s">
        <v>4153</v>
      </c>
    </row>
    <row r="516" spans="8:9" x14ac:dyDescent="0.25">
      <c r="H516" t="s">
        <v>4136</v>
      </c>
      <c r="I516" s="7"/>
    </row>
    <row r="517" spans="8:9" x14ac:dyDescent="0.25">
      <c r="H517" t="s">
        <v>4137</v>
      </c>
    </row>
    <row r="518" spans="8:9" x14ac:dyDescent="0.25">
      <c r="H518" t="s">
        <v>4138</v>
      </c>
    </row>
    <row r="519" spans="8:9" x14ac:dyDescent="0.25">
      <c r="H519" t="s">
        <v>4139</v>
      </c>
    </row>
    <row r="520" spans="8:9" x14ac:dyDescent="0.25">
      <c r="H520" t="s">
        <v>4140</v>
      </c>
    </row>
    <row r="521" spans="8:9" x14ac:dyDescent="0.25">
      <c r="H521" t="s">
        <v>4141</v>
      </c>
    </row>
    <row r="522" spans="8:9" x14ac:dyDescent="0.25">
      <c r="H522" t="s">
        <v>4142</v>
      </c>
    </row>
    <row r="523" spans="8:9" x14ac:dyDescent="0.25">
      <c r="H523" t="s">
        <v>4143</v>
      </c>
    </row>
    <row r="524" spans="8:9" x14ac:dyDescent="0.25">
      <c r="H524" t="s">
        <v>4144</v>
      </c>
    </row>
    <row r="525" spans="8:9" x14ac:dyDescent="0.25">
      <c r="H525" t="s">
        <v>4154</v>
      </c>
    </row>
    <row r="527" spans="8:9" x14ac:dyDescent="0.25">
      <c r="H527" t="s">
        <v>4155</v>
      </c>
    </row>
    <row r="528" spans="8:9" x14ac:dyDescent="0.25">
      <c r="H528" t="s">
        <v>4156</v>
      </c>
    </row>
    <row r="529" spans="8:8" x14ac:dyDescent="0.25">
      <c r="H529" t="s">
        <v>149</v>
      </c>
    </row>
    <row r="530" spans="8:8" x14ac:dyDescent="0.25">
      <c r="H530" t="s">
        <v>4157</v>
      </c>
    </row>
    <row r="532" spans="8:8" x14ac:dyDescent="0.25">
      <c r="H532" t="s">
        <v>4158</v>
      </c>
    </row>
    <row r="533" spans="8:8" x14ac:dyDescent="0.25">
      <c r="H533" t="s">
        <v>4159</v>
      </c>
    </row>
    <row r="534" spans="8:8" x14ac:dyDescent="0.25">
      <c r="H534" t="s">
        <v>149</v>
      </c>
    </row>
    <row r="535" spans="8:8" x14ac:dyDescent="0.25">
      <c r="H535" t="s">
        <v>4160</v>
      </c>
    </row>
    <row r="537" spans="8:8" x14ac:dyDescent="0.25">
      <c r="H537" t="s">
        <v>4161</v>
      </c>
    </row>
    <row r="538" spans="8:8" x14ac:dyDescent="0.25">
      <c r="H538" t="s">
        <v>4162</v>
      </c>
    </row>
    <row r="539" spans="8:8" x14ac:dyDescent="0.25">
      <c r="H539" t="s">
        <v>149</v>
      </c>
    </row>
    <row r="540" spans="8:8" x14ac:dyDescent="0.25">
      <c r="H540" t="s">
        <v>4163</v>
      </c>
    </row>
    <row r="542" spans="8:8" x14ac:dyDescent="0.25">
      <c r="H542" t="s">
        <v>4164</v>
      </c>
    </row>
    <row r="543" spans="8:8" x14ac:dyDescent="0.25">
      <c r="H543" t="s">
        <v>4165</v>
      </c>
    </row>
    <row r="544" spans="8:8" x14ac:dyDescent="0.25">
      <c r="H544" t="s">
        <v>149</v>
      </c>
    </row>
    <row r="545" spans="8:8" x14ac:dyDescent="0.25">
      <c r="H545" t="s">
        <v>4166</v>
      </c>
    </row>
    <row r="547" spans="8:8" x14ac:dyDescent="0.25">
      <c r="H547" t="s">
        <v>4167</v>
      </c>
    </row>
    <row r="548" spans="8:8" x14ac:dyDescent="0.25">
      <c r="H548" t="s">
        <v>4168</v>
      </c>
    </row>
    <row r="549" spans="8:8" x14ac:dyDescent="0.25">
      <c r="H549" t="s">
        <v>149</v>
      </c>
    </row>
    <row r="550" spans="8:8" x14ac:dyDescent="0.25">
      <c r="H550" t="s">
        <v>4169</v>
      </c>
    </row>
    <row r="552" spans="8:8" x14ac:dyDescent="0.25">
      <c r="H552" t="s">
        <v>4170</v>
      </c>
    </row>
    <row r="553" spans="8:8" x14ac:dyDescent="0.25">
      <c r="H553" t="s">
        <v>4171</v>
      </c>
    </row>
    <row r="554" spans="8:8" x14ac:dyDescent="0.25">
      <c r="H554" t="s">
        <v>149</v>
      </c>
    </row>
    <row r="555" spans="8:8" x14ac:dyDescent="0.25">
      <c r="H555" t="s">
        <v>4172</v>
      </c>
    </row>
    <row r="557" spans="8:8" x14ac:dyDescent="0.25">
      <c r="H557" t="s">
        <v>4173</v>
      </c>
    </row>
    <row r="558" spans="8:8" x14ac:dyDescent="0.25">
      <c r="H558" t="s">
        <v>4174</v>
      </c>
    </row>
    <row r="559" spans="8:8" x14ac:dyDescent="0.25">
      <c r="H559" t="s">
        <v>149</v>
      </c>
    </row>
    <row r="560" spans="8:8" x14ac:dyDescent="0.25">
      <c r="H560" t="s">
        <v>4175</v>
      </c>
    </row>
    <row r="562" spans="8:8" x14ac:dyDescent="0.25">
      <c r="H562" t="s">
        <v>4176</v>
      </c>
    </row>
    <row r="563" spans="8:8" x14ac:dyDescent="0.25">
      <c r="H563" t="s">
        <v>4177</v>
      </c>
    </row>
    <row r="564" spans="8:8" x14ac:dyDescent="0.25">
      <c r="H564" t="s">
        <v>149</v>
      </c>
    </row>
    <row r="565" spans="8:8" x14ac:dyDescent="0.25">
      <c r="H565" t="s">
        <v>4178</v>
      </c>
    </row>
    <row r="567" spans="8:8" x14ac:dyDescent="0.25">
      <c r="H567" t="s">
        <v>4179</v>
      </c>
    </row>
    <row r="568" spans="8:8" x14ac:dyDescent="0.25">
      <c r="H568" t="s">
        <v>4180</v>
      </c>
    </row>
    <row r="569" spans="8:8" x14ac:dyDescent="0.25">
      <c r="H569" t="s">
        <v>149</v>
      </c>
    </row>
    <row r="570" spans="8:8" x14ac:dyDescent="0.25">
      <c r="H570" t="s">
        <v>4181</v>
      </c>
    </row>
    <row r="572" spans="8:8" x14ac:dyDescent="0.25">
      <c r="H572" t="s">
        <v>4182</v>
      </c>
    </row>
    <row r="573" spans="8:8" x14ac:dyDescent="0.25">
      <c r="H573" t="s">
        <v>4183</v>
      </c>
    </row>
    <row r="574" spans="8:8" x14ac:dyDescent="0.25">
      <c r="H574" t="s">
        <v>149</v>
      </c>
    </row>
    <row r="575" spans="8:8" x14ac:dyDescent="0.25">
      <c r="H575" t="s">
        <v>4184</v>
      </c>
    </row>
    <row r="577" spans="8:8" x14ac:dyDescent="0.25">
      <c r="H577" t="s">
        <v>4185</v>
      </c>
    </row>
    <row r="578" spans="8:8" x14ac:dyDescent="0.25">
      <c r="H578" t="s">
        <v>4186</v>
      </c>
    </row>
    <row r="579" spans="8:8" x14ac:dyDescent="0.25">
      <c r="H579" t="s">
        <v>149</v>
      </c>
    </row>
    <row r="580" spans="8:8" x14ac:dyDescent="0.25">
      <c r="H580" t="s">
        <v>4187</v>
      </c>
    </row>
    <row r="582" spans="8:8" x14ac:dyDescent="0.25">
      <c r="H582" t="s">
        <v>4188</v>
      </c>
    </row>
    <row r="583" spans="8:8" x14ac:dyDescent="0.25">
      <c r="H583" t="s">
        <v>4189</v>
      </c>
    </row>
    <row r="584" spans="8:8" x14ac:dyDescent="0.25">
      <c r="H584" t="s">
        <v>149</v>
      </c>
    </row>
    <row r="585" spans="8:8" x14ac:dyDescent="0.25">
      <c r="H585" t="s">
        <v>4190</v>
      </c>
    </row>
    <row r="587" spans="8:8" x14ac:dyDescent="0.25">
      <c r="H587" t="s">
        <v>4191</v>
      </c>
    </row>
    <row r="588" spans="8:8" x14ac:dyDescent="0.25">
      <c r="H588" t="s">
        <v>4192</v>
      </c>
    </row>
    <row r="589" spans="8:8" x14ac:dyDescent="0.25">
      <c r="H589" t="s">
        <v>149</v>
      </c>
    </row>
    <row r="590" spans="8:8" x14ac:dyDescent="0.25">
      <c r="H590" t="s">
        <v>4193</v>
      </c>
    </row>
    <row r="592" spans="8:8" x14ac:dyDescent="0.25">
      <c r="H592" t="s">
        <v>4194</v>
      </c>
    </row>
    <row r="593" spans="8:8" x14ac:dyDescent="0.25">
      <c r="H593" t="s">
        <v>4195</v>
      </c>
    </row>
    <row r="594" spans="8:8" x14ac:dyDescent="0.25">
      <c r="H594" t="s">
        <v>149</v>
      </c>
    </row>
    <row r="595" spans="8:8" x14ac:dyDescent="0.25">
      <c r="H595" t="s">
        <v>4196</v>
      </c>
    </row>
    <row r="597" spans="8:8" x14ac:dyDescent="0.25">
      <c r="H597" t="s">
        <v>4197</v>
      </c>
    </row>
    <row r="598" spans="8:8" x14ac:dyDescent="0.25">
      <c r="H598" t="s">
        <v>4198</v>
      </c>
    </row>
    <row r="599" spans="8:8" x14ac:dyDescent="0.25">
      <c r="H599" t="s">
        <v>149</v>
      </c>
    </row>
    <row r="600" spans="8:8" x14ac:dyDescent="0.25">
      <c r="H600" t="s">
        <v>4199</v>
      </c>
    </row>
    <row r="602" spans="8:8" x14ac:dyDescent="0.25">
      <c r="H602" t="s">
        <v>4200</v>
      </c>
    </row>
    <row r="603" spans="8:8" x14ac:dyDescent="0.25">
      <c r="H603" t="s">
        <v>4201</v>
      </c>
    </row>
    <row r="604" spans="8:8" x14ac:dyDescent="0.25">
      <c r="H604" t="s">
        <v>149</v>
      </c>
    </row>
    <row r="605" spans="8:8" x14ac:dyDescent="0.25">
      <c r="H605" t="s">
        <v>4202</v>
      </c>
    </row>
    <row r="607" spans="8:8" x14ac:dyDescent="0.25">
      <c r="H607" t="s">
        <v>4203</v>
      </c>
    </row>
    <row r="608" spans="8:8" x14ac:dyDescent="0.25">
      <c r="H608" t="s">
        <v>4204</v>
      </c>
    </row>
    <row r="609" spans="8:8" x14ac:dyDescent="0.25">
      <c r="H609" t="s">
        <v>149</v>
      </c>
    </row>
    <row r="610" spans="8:8" x14ac:dyDescent="0.25">
      <c r="H610" t="s">
        <v>4205</v>
      </c>
    </row>
    <row r="612" spans="8:8" x14ac:dyDescent="0.25">
      <c r="H612" t="s">
        <v>4206</v>
      </c>
    </row>
    <row r="613" spans="8:8" x14ac:dyDescent="0.25">
      <c r="H613" t="s">
        <v>4207</v>
      </c>
    </row>
    <row r="614" spans="8:8" x14ac:dyDescent="0.25">
      <c r="H614" t="s">
        <v>149</v>
      </c>
    </row>
    <row r="615" spans="8:8" x14ac:dyDescent="0.25">
      <c r="H615" t="s">
        <v>4208</v>
      </c>
    </row>
    <row r="617" spans="8:8" x14ac:dyDescent="0.25">
      <c r="H617" t="s">
        <v>4209</v>
      </c>
    </row>
    <row r="618" spans="8:8" x14ac:dyDescent="0.25">
      <c r="H618" t="s">
        <v>4210</v>
      </c>
    </row>
    <row r="619" spans="8:8" x14ac:dyDescent="0.25">
      <c r="H619" t="s">
        <v>149</v>
      </c>
    </row>
    <row r="620" spans="8:8" x14ac:dyDescent="0.25">
      <c r="H620" t="s">
        <v>4211</v>
      </c>
    </row>
    <row r="622" spans="8:8" x14ac:dyDescent="0.25">
      <c r="H622" t="s">
        <v>4212</v>
      </c>
    </row>
    <row r="623" spans="8:8" x14ac:dyDescent="0.25">
      <c r="H623" t="s">
        <v>4213</v>
      </c>
    </row>
    <row r="624" spans="8:8" x14ac:dyDescent="0.25">
      <c r="H624" t="s">
        <v>149</v>
      </c>
    </row>
    <row r="625" spans="8:8" x14ac:dyDescent="0.25">
      <c r="H625" t="s">
        <v>4214</v>
      </c>
    </row>
    <row r="627" spans="8:8" x14ac:dyDescent="0.25">
      <c r="H627" t="s">
        <v>4215</v>
      </c>
    </row>
    <row r="628" spans="8:8" x14ac:dyDescent="0.25">
      <c r="H628" t="s">
        <v>4216</v>
      </c>
    </row>
    <row r="629" spans="8:8" x14ac:dyDescent="0.25">
      <c r="H629" t="s">
        <v>149</v>
      </c>
    </row>
    <row r="630" spans="8:8" x14ac:dyDescent="0.25">
      <c r="H630" t="s">
        <v>4217</v>
      </c>
    </row>
    <row r="632" spans="8:8" x14ac:dyDescent="0.25">
      <c r="H632" t="s">
        <v>4218</v>
      </c>
    </row>
    <row r="633" spans="8:8" x14ac:dyDescent="0.25">
      <c r="H633" t="s">
        <v>4219</v>
      </c>
    </row>
    <row r="634" spans="8:8" x14ac:dyDescent="0.25">
      <c r="H634" t="s">
        <v>149</v>
      </c>
    </row>
    <row r="635" spans="8:8" x14ac:dyDescent="0.25">
      <c r="H635" t="s">
        <v>4220</v>
      </c>
    </row>
    <row r="637" spans="8:8" x14ac:dyDescent="0.25">
      <c r="H637" t="s">
        <v>4221</v>
      </c>
    </row>
    <row r="638" spans="8:8" x14ac:dyDescent="0.25">
      <c r="H638" t="s">
        <v>4222</v>
      </c>
    </row>
    <row r="639" spans="8:8" x14ac:dyDescent="0.25">
      <c r="H639" t="s">
        <v>149</v>
      </c>
    </row>
    <row r="640" spans="8:8" x14ac:dyDescent="0.25">
      <c r="H640" t="s">
        <v>4223</v>
      </c>
    </row>
    <row r="642" spans="8:8" x14ac:dyDescent="0.25">
      <c r="H642" t="s">
        <v>4224</v>
      </c>
    </row>
    <row r="643" spans="8:8" x14ac:dyDescent="0.25">
      <c r="H643" t="s">
        <v>4225</v>
      </c>
    </row>
    <row r="644" spans="8:8" x14ac:dyDescent="0.25">
      <c r="H644" t="s">
        <v>149</v>
      </c>
    </row>
    <row r="645" spans="8:8" x14ac:dyDescent="0.25">
      <c r="H645" t="s">
        <v>4226</v>
      </c>
    </row>
    <row r="647" spans="8:8" x14ac:dyDescent="0.25">
      <c r="H647" t="s">
        <v>4227</v>
      </c>
    </row>
    <row r="648" spans="8:8" x14ac:dyDescent="0.25">
      <c r="H648" t="s">
        <v>4228</v>
      </c>
    </row>
    <row r="649" spans="8:8" x14ac:dyDescent="0.25">
      <c r="H649" t="s">
        <v>149</v>
      </c>
    </row>
    <row r="650" spans="8:8" x14ac:dyDescent="0.25">
      <c r="H650" t="s">
        <v>4229</v>
      </c>
    </row>
    <row r="652" spans="8:8" x14ac:dyDescent="0.25">
      <c r="H652" t="s">
        <v>4230</v>
      </c>
    </row>
    <row r="653" spans="8:8" x14ac:dyDescent="0.25">
      <c r="H653" t="s">
        <v>4231</v>
      </c>
    </row>
    <row r="654" spans="8:8" x14ac:dyDescent="0.25">
      <c r="H654" t="s">
        <v>149</v>
      </c>
    </row>
    <row r="655" spans="8:8" x14ac:dyDescent="0.25">
      <c r="H655" t="s">
        <v>4232</v>
      </c>
    </row>
    <row r="657" spans="8:8" x14ac:dyDescent="0.25">
      <c r="H657" t="s">
        <v>4233</v>
      </c>
    </row>
    <row r="658" spans="8:8" x14ac:dyDescent="0.25">
      <c r="H658" t="s">
        <v>4234</v>
      </c>
    </row>
    <row r="659" spans="8:8" x14ac:dyDescent="0.25">
      <c r="H659" t="s">
        <v>149</v>
      </c>
    </row>
    <row r="660" spans="8:8" x14ac:dyDescent="0.25">
      <c r="H660" t="s">
        <v>4235</v>
      </c>
    </row>
    <row r="662" spans="8:8" x14ac:dyDescent="0.25">
      <c r="H662" t="s">
        <v>4236</v>
      </c>
    </row>
    <row r="663" spans="8:8" x14ac:dyDescent="0.25">
      <c r="H663" t="s">
        <v>4237</v>
      </c>
    </row>
    <row r="664" spans="8:8" x14ac:dyDescent="0.25">
      <c r="H664" t="s">
        <v>149</v>
      </c>
    </row>
    <row r="665" spans="8:8" x14ac:dyDescent="0.25">
      <c r="H665" t="s">
        <v>4238</v>
      </c>
    </row>
    <row r="667" spans="8:8" x14ac:dyDescent="0.25">
      <c r="H667" t="s">
        <v>4239</v>
      </c>
    </row>
    <row r="668" spans="8:8" x14ac:dyDescent="0.25">
      <c r="H668" t="s">
        <v>4240</v>
      </c>
    </row>
    <row r="669" spans="8:8" x14ac:dyDescent="0.25">
      <c r="H669" t="s">
        <v>149</v>
      </c>
    </row>
    <row r="670" spans="8:8" x14ac:dyDescent="0.25">
      <c r="H670" t="s">
        <v>4241</v>
      </c>
    </row>
    <row r="672" spans="8:8" x14ac:dyDescent="0.25">
      <c r="H672" t="s">
        <v>4242</v>
      </c>
    </row>
    <row r="673" spans="8:8" x14ac:dyDescent="0.25">
      <c r="H673" t="s">
        <v>4243</v>
      </c>
    </row>
    <row r="674" spans="8:8" x14ac:dyDescent="0.25">
      <c r="H674" t="s">
        <v>149</v>
      </c>
    </row>
    <row r="675" spans="8:8" x14ac:dyDescent="0.25">
      <c r="H675" t="s">
        <v>4244</v>
      </c>
    </row>
    <row r="677" spans="8:8" x14ac:dyDescent="0.25">
      <c r="H677" t="s">
        <v>4245</v>
      </c>
    </row>
    <row r="678" spans="8:8" x14ac:dyDescent="0.25">
      <c r="H678" t="s">
        <v>4246</v>
      </c>
    </row>
    <row r="679" spans="8:8" x14ac:dyDescent="0.25">
      <c r="H679" t="s">
        <v>149</v>
      </c>
    </row>
    <row r="680" spans="8:8" x14ac:dyDescent="0.25">
      <c r="H680" t="s">
        <v>4247</v>
      </c>
    </row>
    <row r="682" spans="8:8" x14ac:dyDescent="0.25">
      <c r="H682" t="s">
        <v>4248</v>
      </c>
    </row>
    <row r="683" spans="8:8" x14ac:dyDescent="0.25">
      <c r="H683" t="s">
        <v>4249</v>
      </c>
    </row>
    <row r="684" spans="8:8" x14ac:dyDescent="0.25">
      <c r="H684" t="s">
        <v>149</v>
      </c>
    </row>
    <row r="685" spans="8:8" x14ac:dyDescent="0.25">
      <c r="H685" t="s">
        <v>4250</v>
      </c>
    </row>
    <row r="687" spans="8:8" x14ac:dyDescent="0.25">
      <c r="H687" t="s">
        <v>4251</v>
      </c>
    </row>
    <row r="688" spans="8:8" x14ac:dyDescent="0.25">
      <c r="H688" t="s">
        <v>4252</v>
      </c>
    </row>
    <row r="689" spans="8:8" x14ac:dyDescent="0.25">
      <c r="H689" t="s">
        <v>149</v>
      </c>
    </row>
    <row r="690" spans="8:8" x14ac:dyDescent="0.25">
      <c r="H690" t="s">
        <v>4253</v>
      </c>
    </row>
    <row r="692" spans="8:8" x14ac:dyDescent="0.25">
      <c r="H692" t="s">
        <v>4254</v>
      </c>
    </row>
    <row r="693" spans="8:8" x14ac:dyDescent="0.25">
      <c r="H693" t="s">
        <v>4255</v>
      </c>
    </row>
    <row r="694" spans="8:8" x14ac:dyDescent="0.25">
      <c r="H694" t="s">
        <v>149</v>
      </c>
    </row>
    <row r="695" spans="8:8" x14ac:dyDescent="0.25">
      <c r="H695" t="s">
        <v>4256</v>
      </c>
    </row>
    <row r="697" spans="8:8" x14ac:dyDescent="0.25">
      <c r="H697" t="s">
        <v>4257</v>
      </c>
    </row>
    <row r="698" spans="8:8" x14ac:dyDescent="0.25">
      <c r="H698" t="s">
        <v>4258</v>
      </c>
    </row>
    <row r="699" spans="8:8" x14ac:dyDescent="0.25">
      <c r="H699" t="s">
        <v>149</v>
      </c>
    </row>
    <row r="700" spans="8:8" x14ac:dyDescent="0.25">
      <c r="H700" t="s">
        <v>4259</v>
      </c>
    </row>
    <row r="702" spans="8:8" x14ac:dyDescent="0.25">
      <c r="H702" t="s">
        <v>4260</v>
      </c>
    </row>
    <row r="703" spans="8:8" x14ac:dyDescent="0.25">
      <c r="H703" t="s">
        <v>4261</v>
      </c>
    </row>
    <row r="704" spans="8:8" x14ac:dyDescent="0.25">
      <c r="H704" t="s">
        <v>149</v>
      </c>
    </row>
    <row r="705" spans="8:8" x14ac:dyDescent="0.25">
      <c r="H705" t="s">
        <v>4262</v>
      </c>
    </row>
    <row r="707" spans="8:8" x14ac:dyDescent="0.25">
      <c r="H707" t="s">
        <v>4263</v>
      </c>
    </row>
    <row r="708" spans="8:8" x14ac:dyDescent="0.25">
      <c r="H708" t="s">
        <v>4264</v>
      </c>
    </row>
    <row r="709" spans="8:8" x14ac:dyDescent="0.25">
      <c r="H709" t="s">
        <v>149</v>
      </c>
    </row>
    <row r="710" spans="8:8" x14ac:dyDescent="0.25">
      <c r="H710" t="s">
        <v>4265</v>
      </c>
    </row>
    <row r="712" spans="8:8" x14ac:dyDescent="0.25">
      <c r="H712" t="s">
        <v>4266</v>
      </c>
    </row>
    <row r="713" spans="8:8" x14ac:dyDescent="0.25">
      <c r="H713" t="s">
        <v>4267</v>
      </c>
    </row>
    <row r="714" spans="8:8" x14ac:dyDescent="0.25">
      <c r="H714" t="s">
        <v>149</v>
      </c>
    </row>
    <row r="715" spans="8:8" x14ac:dyDescent="0.25">
      <c r="H715" t="s">
        <v>4268</v>
      </c>
    </row>
    <row r="717" spans="8:8" x14ac:dyDescent="0.25">
      <c r="H717" t="s">
        <v>4269</v>
      </c>
    </row>
    <row r="718" spans="8:8" x14ac:dyDescent="0.25">
      <c r="H718" t="s">
        <v>4270</v>
      </c>
    </row>
    <row r="719" spans="8:8" x14ac:dyDescent="0.25">
      <c r="H719" t="s">
        <v>149</v>
      </c>
    </row>
    <row r="720" spans="8:8" x14ac:dyDescent="0.25">
      <c r="H720" t="s">
        <v>4271</v>
      </c>
    </row>
    <row r="722" spans="8:8" x14ac:dyDescent="0.25">
      <c r="H722" t="s">
        <v>4272</v>
      </c>
    </row>
    <row r="723" spans="8:8" x14ac:dyDescent="0.25">
      <c r="H723" t="s">
        <v>4273</v>
      </c>
    </row>
    <row r="724" spans="8:8" x14ac:dyDescent="0.25">
      <c r="H724" t="s">
        <v>149</v>
      </c>
    </row>
    <row r="725" spans="8:8" x14ac:dyDescent="0.25">
      <c r="H725" t="s">
        <v>4274</v>
      </c>
    </row>
    <row r="727" spans="8:8" x14ac:dyDescent="0.25">
      <c r="H727" t="s">
        <v>4275</v>
      </c>
    </row>
    <row r="728" spans="8:8" x14ac:dyDescent="0.25">
      <c r="H728" t="s">
        <v>4276</v>
      </c>
    </row>
    <row r="729" spans="8:8" x14ac:dyDescent="0.25">
      <c r="H729" t="s">
        <v>149</v>
      </c>
    </row>
    <row r="730" spans="8:8" x14ac:dyDescent="0.25">
      <c r="H730" t="s">
        <v>4277</v>
      </c>
    </row>
    <row r="732" spans="8:8" x14ac:dyDescent="0.25">
      <c r="H732" t="s">
        <v>4278</v>
      </c>
    </row>
    <row r="733" spans="8:8" x14ac:dyDescent="0.25">
      <c r="H733" t="s">
        <v>4279</v>
      </c>
    </row>
    <row r="734" spans="8:8" x14ac:dyDescent="0.25">
      <c r="H734" t="s">
        <v>149</v>
      </c>
    </row>
    <row r="735" spans="8:8" x14ac:dyDescent="0.25">
      <c r="H735" t="s">
        <v>4280</v>
      </c>
    </row>
    <row r="737" spans="8:8" x14ac:dyDescent="0.25">
      <c r="H737" t="s">
        <v>4281</v>
      </c>
    </row>
    <row r="738" spans="8:8" x14ac:dyDescent="0.25">
      <c r="H738" t="s">
        <v>4282</v>
      </c>
    </row>
    <row r="739" spans="8:8" x14ac:dyDescent="0.25">
      <c r="H739" t="s">
        <v>149</v>
      </c>
    </row>
    <row r="740" spans="8:8" x14ac:dyDescent="0.25">
      <c r="H740" t="s">
        <v>4283</v>
      </c>
    </row>
    <row r="742" spans="8:8" x14ac:dyDescent="0.25">
      <c r="H742" t="s">
        <v>4284</v>
      </c>
    </row>
    <row r="743" spans="8:8" x14ac:dyDescent="0.25">
      <c r="H743" t="s">
        <v>4285</v>
      </c>
    </row>
    <row r="744" spans="8:8" x14ac:dyDescent="0.25">
      <c r="H744" t="s">
        <v>149</v>
      </c>
    </row>
    <row r="745" spans="8:8" x14ac:dyDescent="0.25">
      <c r="H745" t="s">
        <v>4286</v>
      </c>
    </row>
    <row r="747" spans="8:8" x14ac:dyDescent="0.25">
      <c r="H747" t="s">
        <v>4287</v>
      </c>
    </row>
    <row r="748" spans="8:8" x14ac:dyDescent="0.25">
      <c r="H748" t="s">
        <v>4288</v>
      </c>
    </row>
    <row r="749" spans="8:8" x14ac:dyDescent="0.25">
      <c r="H749" t="s">
        <v>149</v>
      </c>
    </row>
    <row r="750" spans="8:8" x14ac:dyDescent="0.25">
      <c r="H750" t="s">
        <v>4289</v>
      </c>
    </row>
    <row r="752" spans="8:8" x14ac:dyDescent="0.25">
      <c r="H752" t="s">
        <v>4290</v>
      </c>
    </row>
    <row r="753" spans="8:8" x14ac:dyDescent="0.25">
      <c r="H753" t="s">
        <v>4291</v>
      </c>
    </row>
    <row r="754" spans="8:8" x14ac:dyDescent="0.25">
      <c r="H754" t="s">
        <v>149</v>
      </c>
    </row>
    <row r="755" spans="8:8" x14ac:dyDescent="0.25">
      <c r="H755" t="s">
        <v>4292</v>
      </c>
    </row>
    <row r="757" spans="8:8" x14ac:dyDescent="0.25">
      <c r="H757" t="s">
        <v>4293</v>
      </c>
    </row>
    <row r="758" spans="8:8" x14ac:dyDescent="0.25">
      <c r="H758" t="s">
        <v>4294</v>
      </c>
    </row>
    <row r="759" spans="8:8" x14ac:dyDescent="0.25">
      <c r="H759" t="s">
        <v>149</v>
      </c>
    </row>
    <row r="760" spans="8:8" x14ac:dyDescent="0.25">
      <c r="H760" t="s">
        <v>4295</v>
      </c>
    </row>
    <row r="762" spans="8:8" x14ac:dyDescent="0.25">
      <c r="H762" t="s">
        <v>4296</v>
      </c>
    </row>
    <row r="763" spans="8:8" x14ac:dyDescent="0.25">
      <c r="H763" t="s">
        <v>4297</v>
      </c>
    </row>
    <row r="764" spans="8:8" x14ac:dyDescent="0.25">
      <c r="H764" t="s">
        <v>149</v>
      </c>
    </row>
    <row r="765" spans="8:8" x14ac:dyDescent="0.25">
      <c r="H765" t="s">
        <v>4298</v>
      </c>
    </row>
    <row r="767" spans="8:8" x14ac:dyDescent="0.25">
      <c r="H767" t="s">
        <v>4299</v>
      </c>
    </row>
    <row r="768" spans="8:8" x14ac:dyDescent="0.25">
      <c r="H768" t="s">
        <v>4300</v>
      </c>
    </row>
    <row r="769" spans="8:8" x14ac:dyDescent="0.25">
      <c r="H769" t="s">
        <v>149</v>
      </c>
    </row>
    <row r="770" spans="8:8" x14ac:dyDescent="0.25">
      <c r="H770" t="s">
        <v>4301</v>
      </c>
    </row>
    <row r="772" spans="8:8" x14ac:dyDescent="0.25">
      <c r="H772" t="s">
        <v>4302</v>
      </c>
    </row>
    <row r="773" spans="8:8" x14ac:dyDescent="0.25">
      <c r="H773" t="s">
        <v>4303</v>
      </c>
    </row>
    <row r="774" spans="8:8" x14ac:dyDescent="0.25">
      <c r="H774" t="s">
        <v>149</v>
      </c>
    </row>
    <row r="775" spans="8:8" x14ac:dyDescent="0.25">
      <c r="H775" t="s">
        <v>4304</v>
      </c>
    </row>
    <row r="777" spans="8:8" x14ac:dyDescent="0.25">
      <c r="H777" t="s">
        <v>4305</v>
      </c>
    </row>
    <row r="778" spans="8:8" x14ac:dyDescent="0.25">
      <c r="H778" t="s">
        <v>4306</v>
      </c>
    </row>
    <row r="779" spans="8:8" x14ac:dyDescent="0.25">
      <c r="H779" t="s">
        <v>149</v>
      </c>
    </row>
    <row r="780" spans="8:8" x14ac:dyDescent="0.25">
      <c r="H780" t="s">
        <v>4307</v>
      </c>
    </row>
    <row r="782" spans="8:8" x14ac:dyDescent="0.25">
      <c r="H782" t="s">
        <v>4308</v>
      </c>
    </row>
    <row r="783" spans="8:8" x14ac:dyDescent="0.25">
      <c r="H783" t="s">
        <v>4309</v>
      </c>
    </row>
    <row r="784" spans="8:8" x14ac:dyDescent="0.25">
      <c r="H784" t="s">
        <v>149</v>
      </c>
    </row>
    <row r="785" spans="8:8" x14ac:dyDescent="0.25">
      <c r="H785" t="s">
        <v>4310</v>
      </c>
    </row>
    <row r="787" spans="8:8" x14ac:dyDescent="0.25">
      <c r="H787" t="s">
        <v>4311</v>
      </c>
    </row>
    <row r="788" spans="8:8" x14ac:dyDescent="0.25">
      <c r="H788" t="s">
        <v>4312</v>
      </c>
    </row>
    <row r="789" spans="8:8" x14ac:dyDescent="0.25">
      <c r="H789" t="s">
        <v>149</v>
      </c>
    </row>
    <row r="790" spans="8:8" x14ac:dyDescent="0.25">
      <c r="H790" t="s">
        <v>4313</v>
      </c>
    </row>
    <row r="792" spans="8:8" x14ac:dyDescent="0.25">
      <c r="H792" t="s">
        <v>4314</v>
      </c>
    </row>
    <row r="793" spans="8:8" x14ac:dyDescent="0.25">
      <c r="H793" t="s">
        <v>4315</v>
      </c>
    </row>
    <row r="794" spans="8:8" x14ac:dyDescent="0.25">
      <c r="H794" t="s">
        <v>149</v>
      </c>
    </row>
    <row r="795" spans="8:8" x14ac:dyDescent="0.25">
      <c r="H795" t="s">
        <v>4316</v>
      </c>
    </row>
    <row r="797" spans="8:8" x14ac:dyDescent="0.25">
      <c r="H797" t="s">
        <v>4317</v>
      </c>
    </row>
    <row r="798" spans="8:8" x14ac:dyDescent="0.25">
      <c r="H798" t="s">
        <v>4318</v>
      </c>
    </row>
    <row r="799" spans="8:8" x14ac:dyDescent="0.25">
      <c r="H799" t="s">
        <v>149</v>
      </c>
    </row>
    <row r="800" spans="8:8" x14ac:dyDescent="0.25">
      <c r="H800" t="s">
        <v>4319</v>
      </c>
    </row>
    <row r="802" spans="8:8" x14ac:dyDescent="0.25">
      <c r="H802" t="s">
        <v>4320</v>
      </c>
    </row>
    <row r="803" spans="8:8" x14ac:dyDescent="0.25">
      <c r="H803" t="s">
        <v>4321</v>
      </c>
    </row>
    <row r="804" spans="8:8" x14ac:dyDescent="0.25">
      <c r="H804" t="s">
        <v>149</v>
      </c>
    </row>
    <row r="805" spans="8:8" x14ac:dyDescent="0.25">
      <c r="H805" t="s">
        <v>4322</v>
      </c>
    </row>
    <row r="807" spans="8:8" x14ac:dyDescent="0.25">
      <c r="H807" t="s">
        <v>4323</v>
      </c>
    </row>
    <row r="808" spans="8:8" x14ac:dyDescent="0.25">
      <c r="H808" t="s">
        <v>4324</v>
      </c>
    </row>
    <row r="809" spans="8:8" x14ac:dyDescent="0.25">
      <c r="H809" t="s">
        <v>149</v>
      </c>
    </row>
    <row r="810" spans="8:8" x14ac:dyDescent="0.25">
      <c r="H810" t="s">
        <v>4325</v>
      </c>
    </row>
    <row r="812" spans="8:8" x14ac:dyDescent="0.25">
      <c r="H812" t="s">
        <v>4326</v>
      </c>
    </row>
    <row r="813" spans="8:8" x14ac:dyDescent="0.25">
      <c r="H813" t="s">
        <v>4327</v>
      </c>
    </row>
    <row r="814" spans="8:8" x14ac:dyDescent="0.25">
      <c r="H814" t="s">
        <v>149</v>
      </c>
    </row>
    <row r="815" spans="8:8" x14ac:dyDescent="0.25">
      <c r="H815" t="s">
        <v>4328</v>
      </c>
    </row>
    <row r="817" spans="8:8" x14ac:dyDescent="0.25">
      <c r="H817" t="s">
        <v>4329</v>
      </c>
    </row>
    <row r="818" spans="8:8" x14ac:dyDescent="0.25">
      <c r="H818" t="s">
        <v>4330</v>
      </c>
    </row>
    <row r="819" spans="8:8" x14ac:dyDescent="0.25">
      <c r="H819" t="s">
        <v>149</v>
      </c>
    </row>
    <row r="820" spans="8:8" x14ac:dyDescent="0.25">
      <c r="H820" t="s">
        <v>4331</v>
      </c>
    </row>
    <row r="822" spans="8:8" x14ac:dyDescent="0.25">
      <c r="H822" t="s">
        <v>4332</v>
      </c>
    </row>
    <row r="823" spans="8:8" x14ac:dyDescent="0.25">
      <c r="H823" t="s">
        <v>4333</v>
      </c>
    </row>
    <row r="824" spans="8:8" x14ac:dyDescent="0.25">
      <c r="H824" t="s">
        <v>149</v>
      </c>
    </row>
    <row r="825" spans="8:8" x14ac:dyDescent="0.25">
      <c r="H825" t="s">
        <v>4334</v>
      </c>
    </row>
    <row r="827" spans="8:8" x14ac:dyDescent="0.25">
      <c r="H827" t="s">
        <v>4335</v>
      </c>
    </row>
    <row r="828" spans="8:8" x14ac:dyDescent="0.25">
      <c r="H828" t="s">
        <v>4336</v>
      </c>
    </row>
    <row r="829" spans="8:8" x14ac:dyDescent="0.25">
      <c r="H829" t="s">
        <v>149</v>
      </c>
    </row>
    <row r="830" spans="8:8" x14ac:dyDescent="0.25">
      <c r="H830" t="s">
        <v>4337</v>
      </c>
    </row>
    <row r="832" spans="8:8" x14ac:dyDescent="0.25">
      <c r="H832" t="s">
        <v>4338</v>
      </c>
    </row>
    <row r="833" spans="8:8" x14ac:dyDescent="0.25">
      <c r="H833" t="s">
        <v>4339</v>
      </c>
    </row>
    <row r="834" spans="8:8" x14ac:dyDescent="0.25">
      <c r="H834" t="s">
        <v>149</v>
      </c>
    </row>
    <row r="835" spans="8:8" x14ac:dyDescent="0.25">
      <c r="H835" t="s">
        <v>4340</v>
      </c>
    </row>
    <row r="837" spans="8:8" x14ac:dyDescent="0.25">
      <c r="H837" t="s">
        <v>4341</v>
      </c>
    </row>
    <row r="838" spans="8:8" x14ac:dyDescent="0.25">
      <c r="H838" t="s">
        <v>4342</v>
      </c>
    </row>
    <row r="839" spans="8:8" x14ac:dyDescent="0.25">
      <c r="H839" t="s">
        <v>149</v>
      </c>
    </row>
    <row r="840" spans="8:8" x14ac:dyDescent="0.25">
      <c r="H840" t="s">
        <v>4343</v>
      </c>
    </row>
    <row r="842" spans="8:8" x14ac:dyDescent="0.25">
      <c r="H842" t="s">
        <v>4344</v>
      </c>
    </row>
    <row r="843" spans="8:8" x14ac:dyDescent="0.25">
      <c r="H843" t="s">
        <v>4345</v>
      </c>
    </row>
    <row r="844" spans="8:8" x14ac:dyDescent="0.25">
      <c r="H844" t="s">
        <v>149</v>
      </c>
    </row>
    <row r="845" spans="8:8" x14ac:dyDescent="0.25">
      <c r="H845" t="s">
        <v>4346</v>
      </c>
    </row>
    <row r="847" spans="8:8" x14ac:dyDescent="0.25">
      <c r="H847" t="s">
        <v>4347</v>
      </c>
    </row>
    <row r="848" spans="8:8" x14ac:dyDescent="0.25">
      <c r="H848" t="s">
        <v>4348</v>
      </c>
    </row>
    <row r="849" spans="8:8" x14ac:dyDescent="0.25">
      <c r="H849" t="s">
        <v>149</v>
      </c>
    </row>
    <row r="850" spans="8:8" x14ac:dyDescent="0.25">
      <c r="H850" t="s">
        <v>4349</v>
      </c>
    </row>
    <row r="852" spans="8:8" x14ac:dyDescent="0.25">
      <c r="H852" t="s">
        <v>4350</v>
      </c>
    </row>
    <row r="853" spans="8:8" x14ac:dyDescent="0.25">
      <c r="H853" t="s">
        <v>4351</v>
      </c>
    </row>
    <row r="854" spans="8:8" x14ac:dyDescent="0.25">
      <c r="H854" t="s">
        <v>149</v>
      </c>
    </row>
    <row r="855" spans="8:8" x14ac:dyDescent="0.25">
      <c r="H855" t="s">
        <v>4352</v>
      </c>
    </row>
    <row r="857" spans="8:8" x14ac:dyDescent="0.25">
      <c r="H857" t="s">
        <v>4353</v>
      </c>
    </row>
    <row r="858" spans="8:8" x14ac:dyDescent="0.25">
      <c r="H858" t="s">
        <v>4354</v>
      </c>
    </row>
    <row r="859" spans="8:8" x14ac:dyDescent="0.25">
      <c r="H859" t="s">
        <v>149</v>
      </c>
    </row>
    <row r="860" spans="8:8" x14ac:dyDescent="0.25">
      <c r="H860" t="s">
        <v>4355</v>
      </c>
    </row>
    <row r="862" spans="8:8" x14ac:dyDescent="0.25">
      <c r="H862" t="s">
        <v>4356</v>
      </c>
    </row>
    <row r="863" spans="8:8" x14ac:dyDescent="0.25">
      <c r="H863" t="s">
        <v>4357</v>
      </c>
    </row>
    <row r="864" spans="8:8" x14ac:dyDescent="0.25">
      <c r="H864" t="s">
        <v>149</v>
      </c>
    </row>
    <row r="865" spans="8:8" x14ac:dyDescent="0.25">
      <c r="H865" t="s">
        <v>4358</v>
      </c>
    </row>
    <row r="867" spans="8:8" x14ac:dyDescent="0.25">
      <c r="H867" t="s">
        <v>4359</v>
      </c>
    </row>
    <row r="868" spans="8:8" x14ac:dyDescent="0.25">
      <c r="H868" t="s">
        <v>4360</v>
      </c>
    </row>
    <row r="869" spans="8:8" x14ac:dyDescent="0.25">
      <c r="H869" t="s">
        <v>149</v>
      </c>
    </row>
    <row r="870" spans="8:8" x14ac:dyDescent="0.25">
      <c r="H870" t="s">
        <v>4361</v>
      </c>
    </row>
    <row r="872" spans="8:8" x14ac:dyDescent="0.25">
      <c r="H872" t="s">
        <v>4362</v>
      </c>
    </row>
    <row r="873" spans="8:8" x14ac:dyDescent="0.25">
      <c r="H873" t="s">
        <v>4363</v>
      </c>
    </row>
    <row r="874" spans="8:8" x14ac:dyDescent="0.25">
      <c r="H874" t="s">
        <v>149</v>
      </c>
    </row>
    <row r="875" spans="8:8" x14ac:dyDescent="0.25">
      <c r="H875" t="s">
        <v>4364</v>
      </c>
    </row>
    <row r="877" spans="8:8" x14ac:dyDescent="0.25">
      <c r="H877" t="s">
        <v>4365</v>
      </c>
    </row>
    <row r="878" spans="8:8" x14ac:dyDescent="0.25">
      <c r="H878" t="s">
        <v>4366</v>
      </c>
    </row>
    <row r="879" spans="8:8" x14ac:dyDescent="0.25">
      <c r="H879" t="s">
        <v>149</v>
      </c>
    </row>
    <row r="880" spans="8:8" x14ac:dyDescent="0.25">
      <c r="H880" t="s">
        <v>4367</v>
      </c>
    </row>
    <row r="882" spans="8:8" x14ac:dyDescent="0.25">
      <c r="H882" t="s">
        <v>4368</v>
      </c>
    </row>
    <row r="883" spans="8:8" x14ac:dyDescent="0.25">
      <c r="H883" t="s">
        <v>4369</v>
      </c>
    </row>
    <row r="884" spans="8:8" x14ac:dyDescent="0.25">
      <c r="H884" t="s">
        <v>149</v>
      </c>
    </row>
    <row r="885" spans="8:8" x14ac:dyDescent="0.25">
      <c r="H885" t="s">
        <v>4370</v>
      </c>
    </row>
    <row r="887" spans="8:8" x14ac:dyDescent="0.25">
      <c r="H887" t="s">
        <v>4371</v>
      </c>
    </row>
    <row r="888" spans="8:8" x14ac:dyDescent="0.25">
      <c r="H888" t="s">
        <v>4372</v>
      </c>
    </row>
    <row r="889" spans="8:8" x14ac:dyDescent="0.25">
      <c r="H889" t="s">
        <v>149</v>
      </c>
    </row>
    <row r="890" spans="8:8" x14ac:dyDescent="0.25">
      <c r="H890" t="s">
        <v>4373</v>
      </c>
    </row>
    <row r="892" spans="8:8" x14ac:dyDescent="0.25">
      <c r="H892" t="s">
        <v>4374</v>
      </c>
    </row>
    <row r="893" spans="8:8" x14ac:dyDescent="0.25">
      <c r="H893" t="s">
        <v>4375</v>
      </c>
    </row>
    <row r="894" spans="8:8" x14ac:dyDescent="0.25">
      <c r="H894" t="s">
        <v>149</v>
      </c>
    </row>
    <row r="895" spans="8:8" x14ac:dyDescent="0.25">
      <c r="H895" t="s">
        <v>4376</v>
      </c>
    </row>
    <row r="897" spans="8:8" x14ac:dyDescent="0.25">
      <c r="H897" t="s">
        <v>4377</v>
      </c>
    </row>
    <row r="898" spans="8:8" x14ac:dyDescent="0.25">
      <c r="H898" t="s">
        <v>4378</v>
      </c>
    </row>
    <row r="899" spans="8:8" x14ac:dyDescent="0.25">
      <c r="H899" t="s">
        <v>149</v>
      </c>
    </row>
    <row r="900" spans="8:8" x14ac:dyDescent="0.25">
      <c r="H900" t="s">
        <v>4379</v>
      </c>
    </row>
    <row r="902" spans="8:8" x14ac:dyDescent="0.25">
      <c r="H902" t="s">
        <v>4380</v>
      </c>
    </row>
    <row r="903" spans="8:8" x14ac:dyDescent="0.25">
      <c r="H903" t="s">
        <v>4381</v>
      </c>
    </row>
    <row r="904" spans="8:8" x14ac:dyDescent="0.25">
      <c r="H904" t="s">
        <v>149</v>
      </c>
    </row>
    <row r="905" spans="8:8" x14ac:dyDescent="0.25">
      <c r="H905" t="s">
        <v>4382</v>
      </c>
    </row>
    <row r="907" spans="8:8" x14ac:dyDescent="0.25">
      <c r="H907" t="s">
        <v>4383</v>
      </c>
    </row>
    <row r="908" spans="8:8" x14ac:dyDescent="0.25">
      <c r="H908" t="s">
        <v>4384</v>
      </c>
    </row>
    <row r="909" spans="8:8" x14ac:dyDescent="0.25">
      <c r="H909" t="s">
        <v>149</v>
      </c>
    </row>
    <row r="910" spans="8:8" x14ac:dyDescent="0.25">
      <c r="H910" t="s">
        <v>4385</v>
      </c>
    </row>
    <row r="912" spans="8:8" x14ac:dyDescent="0.25">
      <c r="H912" t="s">
        <v>4386</v>
      </c>
    </row>
    <row r="913" spans="8:8" x14ac:dyDescent="0.25">
      <c r="H913" t="s">
        <v>4387</v>
      </c>
    </row>
    <row r="914" spans="8:8" x14ac:dyDescent="0.25">
      <c r="H914" t="s">
        <v>149</v>
      </c>
    </row>
    <row r="915" spans="8:8" x14ac:dyDescent="0.25">
      <c r="H915" t="s">
        <v>4388</v>
      </c>
    </row>
    <row r="917" spans="8:8" x14ac:dyDescent="0.25">
      <c r="H917" t="s">
        <v>4389</v>
      </c>
    </row>
    <row r="918" spans="8:8" x14ac:dyDescent="0.25">
      <c r="H918" t="s">
        <v>4390</v>
      </c>
    </row>
    <row r="919" spans="8:8" x14ac:dyDescent="0.25">
      <c r="H919" t="s">
        <v>149</v>
      </c>
    </row>
    <row r="920" spans="8:8" x14ac:dyDescent="0.25">
      <c r="H920" t="s">
        <v>4391</v>
      </c>
    </row>
    <row r="922" spans="8:8" x14ac:dyDescent="0.25">
      <c r="H922" t="s">
        <v>4392</v>
      </c>
    </row>
    <row r="923" spans="8:8" x14ac:dyDescent="0.25">
      <c r="H923" t="s">
        <v>4393</v>
      </c>
    </row>
    <row r="924" spans="8:8" x14ac:dyDescent="0.25">
      <c r="H924" t="s">
        <v>149</v>
      </c>
    </row>
    <row r="925" spans="8:8" x14ac:dyDescent="0.25">
      <c r="H925" t="s">
        <v>4394</v>
      </c>
    </row>
    <row r="927" spans="8:8" x14ac:dyDescent="0.25">
      <c r="H927" t="s">
        <v>4395</v>
      </c>
    </row>
    <row r="928" spans="8:8" x14ac:dyDescent="0.25">
      <c r="H928" t="s">
        <v>4396</v>
      </c>
    </row>
    <row r="929" spans="8:8" x14ac:dyDescent="0.25">
      <c r="H929" t="s">
        <v>149</v>
      </c>
    </row>
    <row r="930" spans="8:8" x14ac:dyDescent="0.25">
      <c r="H930" t="s">
        <v>4397</v>
      </c>
    </row>
    <row r="932" spans="8:8" x14ac:dyDescent="0.25">
      <c r="H932" t="s">
        <v>4398</v>
      </c>
    </row>
    <row r="933" spans="8:8" x14ac:dyDescent="0.25">
      <c r="H933" t="s">
        <v>4399</v>
      </c>
    </row>
    <row r="934" spans="8:8" x14ac:dyDescent="0.25">
      <c r="H934" t="s">
        <v>149</v>
      </c>
    </row>
    <row r="935" spans="8:8" x14ac:dyDescent="0.25">
      <c r="H935" t="s">
        <v>4400</v>
      </c>
    </row>
    <row r="937" spans="8:8" x14ac:dyDescent="0.25">
      <c r="H937" t="s">
        <v>4401</v>
      </c>
    </row>
    <row r="938" spans="8:8" x14ac:dyDescent="0.25">
      <c r="H938" t="s">
        <v>4402</v>
      </c>
    </row>
    <row r="939" spans="8:8" x14ac:dyDescent="0.25">
      <c r="H939" t="s">
        <v>149</v>
      </c>
    </row>
    <row r="940" spans="8:8" x14ac:dyDescent="0.25">
      <c r="H940" t="s">
        <v>4403</v>
      </c>
    </row>
    <row r="942" spans="8:8" x14ac:dyDescent="0.25">
      <c r="H942" t="s">
        <v>4404</v>
      </c>
    </row>
    <row r="943" spans="8:8" x14ac:dyDescent="0.25">
      <c r="H943" t="s">
        <v>4405</v>
      </c>
    </row>
    <row r="944" spans="8:8" x14ac:dyDescent="0.25">
      <c r="H944" t="s">
        <v>149</v>
      </c>
    </row>
    <row r="945" spans="8:8" x14ac:dyDescent="0.25">
      <c r="H945" t="s">
        <v>4406</v>
      </c>
    </row>
    <row r="947" spans="8:8" x14ac:dyDescent="0.25">
      <c r="H947" t="s">
        <v>4407</v>
      </c>
    </row>
    <row r="948" spans="8:8" x14ac:dyDescent="0.25">
      <c r="H948" t="s">
        <v>4408</v>
      </c>
    </row>
    <row r="949" spans="8:8" x14ac:dyDescent="0.25">
      <c r="H949" t="s">
        <v>149</v>
      </c>
    </row>
    <row r="950" spans="8:8" x14ac:dyDescent="0.25">
      <c r="H950" t="s">
        <v>4409</v>
      </c>
    </row>
    <row r="952" spans="8:8" x14ac:dyDescent="0.25">
      <c r="H952" t="s">
        <v>4410</v>
      </c>
    </row>
    <row r="953" spans="8:8" x14ac:dyDescent="0.25">
      <c r="H953" t="s">
        <v>4411</v>
      </c>
    </row>
    <row r="954" spans="8:8" x14ac:dyDescent="0.25">
      <c r="H954" t="s">
        <v>149</v>
      </c>
    </row>
    <row r="955" spans="8:8" x14ac:dyDescent="0.25">
      <c r="H955" t="s">
        <v>4412</v>
      </c>
    </row>
    <row r="957" spans="8:8" x14ac:dyDescent="0.25">
      <c r="H957" t="s">
        <v>4413</v>
      </c>
    </row>
    <row r="958" spans="8:8" x14ac:dyDescent="0.25">
      <c r="H958" t="s">
        <v>4414</v>
      </c>
    </row>
    <row r="959" spans="8:8" x14ac:dyDescent="0.25">
      <c r="H959" t="s">
        <v>149</v>
      </c>
    </row>
    <row r="960" spans="8:8" x14ac:dyDescent="0.25">
      <c r="H960" t="s">
        <v>4415</v>
      </c>
    </row>
    <row r="962" spans="8:8" x14ac:dyDescent="0.25">
      <c r="H962" t="s">
        <v>4416</v>
      </c>
    </row>
    <row r="963" spans="8:8" x14ac:dyDescent="0.25">
      <c r="H963" t="s">
        <v>4417</v>
      </c>
    </row>
    <row r="964" spans="8:8" x14ac:dyDescent="0.25">
      <c r="H964" t="s">
        <v>149</v>
      </c>
    </row>
    <row r="965" spans="8:8" x14ac:dyDescent="0.25">
      <c r="H965" t="s">
        <v>4418</v>
      </c>
    </row>
    <row r="967" spans="8:8" x14ac:dyDescent="0.25">
      <c r="H967" t="s">
        <v>4419</v>
      </c>
    </row>
    <row r="968" spans="8:8" x14ac:dyDescent="0.25">
      <c r="H968" t="s">
        <v>4420</v>
      </c>
    </row>
    <row r="969" spans="8:8" x14ac:dyDescent="0.25">
      <c r="H969" t="s">
        <v>149</v>
      </c>
    </row>
    <row r="970" spans="8:8" x14ac:dyDescent="0.25">
      <c r="H970" t="s">
        <v>4421</v>
      </c>
    </row>
    <row r="972" spans="8:8" x14ac:dyDescent="0.25">
      <c r="H972" t="s">
        <v>4422</v>
      </c>
    </row>
    <row r="973" spans="8:8" x14ac:dyDescent="0.25">
      <c r="H973" t="s">
        <v>4423</v>
      </c>
    </row>
    <row r="974" spans="8:8" x14ac:dyDescent="0.25">
      <c r="H974" t="s">
        <v>149</v>
      </c>
    </row>
    <row r="975" spans="8:8" x14ac:dyDescent="0.25">
      <c r="H975" t="s">
        <v>4424</v>
      </c>
    </row>
    <row r="977" spans="8:8" x14ac:dyDescent="0.25">
      <c r="H977" t="s">
        <v>4425</v>
      </c>
    </row>
    <row r="978" spans="8:8" x14ac:dyDescent="0.25">
      <c r="H978" t="s">
        <v>4426</v>
      </c>
    </row>
    <row r="979" spans="8:8" x14ac:dyDescent="0.25">
      <c r="H979" t="s">
        <v>149</v>
      </c>
    </row>
    <row r="980" spans="8:8" x14ac:dyDescent="0.25">
      <c r="H980" t="s">
        <v>4427</v>
      </c>
    </row>
    <row r="982" spans="8:8" x14ac:dyDescent="0.25">
      <c r="H982" t="s">
        <v>4428</v>
      </c>
    </row>
    <row r="983" spans="8:8" x14ac:dyDescent="0.25">
      <c r="H983" t="s">
        <v>4429</v>
      </c>
    </row>
    <row r="984" spans="8:8" x14ac:dyDescent="0.25">
      <c r="H984" t="s">
        <v>149</v>
      </c>
    </row>
    <row r="985" spans="8:8" x14ac:dyDescent="0.25">
      <c r="H985" t="s">
        <v>4430</v>
      </c>
    </row>
    <row r="987" spans="8:8" x14ac:dyDescent="0.25">
      <c r="H987" t="s">
        <v>4431</v>
      </c>
    </row>
    <row r="988" spans="8:8" x14ac:dyDescent="0.25">
      <c r="H988" t="s">
        <v>4432</v>
      </c>
    </row>
    <row r="989" spans="8:8" x14ac:dyDescent="0.25">
      <c r="H989" t="s">
        <v>149</v>
      </c>
    </row>
    <row r="990" spans="8:8" x14ac:dyDescent="0.25">
      <c r="H990" t="s">
        <v>4433</v>
      </c>
    </row>
    <row r="992" spans="8:8" x14ac:dyDescent="0.25">
      <c r="H992" t="s">
        <v>4434</v>
      </c>
    </row>
    <row r="993" spans="8:8" x14ac:dyDescent="0.25">
      <c r="H993" t="s">
        <v>4435</v>
      </c>
    </row>
    <row r="994" spans="8:8" x14ac:dyDescent="0.25">
      <c r="H994" t="s">
        <v>149</v>
      </c>
    </row>
    <row r="995" spans="8:8" x14ac:dyDescent="0.25">
      <c r="H995" t="s">
        <v>4436</v>
      </c>
    </row>
    <row r="997" spans="8:8" x14ac:dyDescent="0.25">
      <c r="H997" t="s">
        <v>4437</v>
      </c>
    </row>
    <row r="998" spans="8:8" x14ac:dyDescent="0.25">
      <c r="H998" t="s">
        <v>4438</v>
      </c>
    </row>
    <row r="999" spans="8:8" x14ac:dyDescent="0.25">
      <c r="H999" t="s">
        <v>149</v>
      </c>
    </row>
    <row r="1000" spans="8:8" x14ac:dyDescent="0.25">
      <c r="H1000" t="s">
        <v>4439</v>
      </c>
    </row>
    <row r="1002" spans="8:8" x14ac:dyDescent="0.25">
      <c r="H1002" t="s">
        <v>4440</v>
      </c>
    </row>
    <row r="1003" spans="8:8" x14ac:dyDescent="0.25">
      <c r="H1003" t="s">
        <v>4441</v>
      </c>
    </row>
    <row r="1004" spans="8:8" x14ac:dyDescent="0.25">
      <c r="H1004" t="s">
        <v>149</v>
      </c>
    </row>
    <row r="1005" spans="8:8" x14ac:dyDescent="0.25">
      <c r="H1005" t="s">
        <v>4442</v>
      </c>
    </row>
    <row r="1007" spans="8:8" x14ac:dyDescent="0.25">
      <c r="H1007" t="s">
        <v>4443</v>
      </c>
    </row>
    <row r="1008" spans="8:8" x14ac:dyDescent="0.25">
      <c r="H1008" t="s">
        <v>4444</v>
      </c>
    </row>
    <row r="1009" spans="8:8" x14ac:dyDescent="0.25">
      <c r="H1009" t="s">
        <v>149</v>
      </c>
    </row>
    <row r="1010" spans="8:8" x14ac:dyDescent="0.25">
      <c r="H1010" t="s">
        <v>4445</v>
      </c>
    </row>
    <row r="1012" spans="8:8" x14ac:dyDescent="0.25">
      <c r="H1012" t="s">
        <v>4446</v>
      </c>
    </row>
    <row r="1013" spans="8:8" x14ac:dyDescent="0.25">
      <c r="H1013" t="s">
        <v>4447</v>
      </c>
    </row>
    <row r="1014" spans="8:8" x14ac:dyDescent="0.25">
      <c r="H1014" t="s">
        <v>149</v>
      </c>
    </row>
    <row r="1015" spans="8:8" x14ac:dyDescent="0.25">
      <c r="H1015" t="s">
        <v>4448</v>
      </c>
    </row>
    <row r="1017" spans="8:8" x14ac:dyDescent="0.25">
      <c r="H1017" t="s">
        <v>4449</v>
      </c>
    </row>
    <row r="1018" spans="8:8" x14ac:dyDescent="0.25">
      <c r="H1018" t="s">
        <v>4450</v>
      </c>
    </row>
    <row r="1019" spans="8:8" x14ac:dyDescent="0.25">
      <c r="H1019" t="s">
        <v>149</v>
      </c>
    </row>
    <row r="1020" spans="8:8" x14ac:dyDescent="0.25">
      <c r="H1020" t="s">
        <v>4451</v>
      </c>
    </row>
    <row r="1022" spans="8:8" x14ac:dyDescent="0.25">
      <c r="H1022" t="s">
        <v>4452</v>
      </c>
    </row>
    <row r="1023" spans="8:8" x14ac:dyDescent="0.25">
      <c r="H1023" t="s">
        <v>4453</v>
      </c>
    </row>
    <row r="1024" spans="8:8" x14ac:dyDescent="0.25">
      <c r="H1024" t="s">
        <v>149</v>
      </c>
    </row>
    <row r="1025" spans="8:8" x14ac:dyDescent="0.25">
      <c r="H1025" t="s">
        <v>4454</v>
      </c>
    </row>
    <row r="1027" spans="8:8" x14ac:dyDescent="0.25">
      <c r="H1027" t="s">
        <v>4455</v>
      </c>
    </row>
    <row r="1028" spans="8:8" x14ac:dyDescent="0.25">
      <c r="H1028" t="s">
        <v>4456</v>
      </c>
    </row>
    <row r="1029" spans="8:8" x14ac:dyDescent="0.25">
      <c r="H1029" t="s">
        <v>149</v>
      </c>
    </row>
    <row r="1030" spans="8:8" x14ac:dyDescent="0.25">
      <c r="H1030" t="s">
        <v>4457</v>
      </c>
    </row>
    <row r="1032" spans="8:8" x14ac:dyDescent="0.25">
      <c r="H1032" t="s">
        <v>4458</v>
      </c>
    </row>
    <row r="1033" spans="8:8" x14ac:dyDescent="0.25">
      <c r="H1033" t="s">
        <v>4459</v>
      </c>
    </row>
    <row r="1034" spans="8:8" x14ac:dyDescent="0.25">
      <c r="H1034" t="s">
        <v>149</v>
      </c>
    </row>
    <row r="1035" spans="8:8" x14ac:dyDescent="0.25">
      <c r="H1035" t="s">
        <v>4460</v>
      </c>
    </row>
    <row r="1037" spans="8:8" x14ac:dyDescent="0.25">
      <c r="H1037" t="s">
        <v>4461</v>
      </c>
    </row>
    <row r="1038" spans="8:8" x14ac:dyDescent="0.25">
      <c r="H1038" t="s">
        <v>4462</v>
      </c>
    </row>
    <row r="1039" spans="8:8" x14ac:dyDescent="0.25">
      <c r="H1039" t="s">
        <v>149</v>
      </c>
    </row>
    <row r="1040" spans="8:8" x14ac:dyDescent="0.25">
      <c r="H1040" t="s">
        <v>4463</v>
      </c>
    </row>
    <row r="1042" spans="8:8" x14ac:dyDescent="0.25">
      <c r="H1042" t="s">
        <v>4464</v>
      </c>
    </row>
    <row r="1043" spans="8:8" x14ac:dyDescent="0.25">
      <c r="H1043" t="s">
        <v>4465</v>
      </c>
    </row>
    <row r="1044" spans="8:8" x14ac:dyDescent="0.25">
      <c r="H1044" t="s">
        <v>149</v>
      </c>
    </row>
    <row r="1045" spans="8:8" x14ac:dyDescent="0.25">
      <c r="H1045" t="s">
        <v>4466</v>
      </c>
    </row>
    <row r="1047" spans="8:8" x14ac:dyDescent="0.25">
      <c r="H1047" t="s">
        <v>4467</v>
      </c>
    </row>
    <row r="1048" spans="8:8" x14ac:dyDescent="0.25">
      <c r="H1048" t="s">
        <v>4468</v>
      </c>
    </row>
    <row r="1049" spans="8:8" x14ac:dyDescent="0.25">
      <c r="H1049" t="s">
        <v>149</v>
      </c>
    </row>
    <row r="1050" spans="8:8" x14ac:dyDescent="0.25">
      <c r="H1050" t="s">
        <v>4469</v>
      </c>
    </row>
    <row r="1052" spans="8:8" x14ac:dyDescent="0.25">
      <c r="H1052" t="s">
        <v>4470</v>
      </c>
    </row>
    <row r="1053" spans="8:8" x14ac:dyDescent="0.25">
      <c r="H1053" t="s">
        <v>4471</v>
      </c>
    </row>
    <row r="1054" spans="8:8" x14ac:dyDescent="0.25">
      <c r="H1054" t="s">
        <v>149</v>
      </c>
    </row>
    <row r="1055" spans="8:8" x14ac:dyDescent="0.25">
      <c r="H1055" t="s">
        <v>4472</v>
      </c>
    </row>
    <row r="1057" spans="8:8" x14ac:dyDescent="0.25">
      <c r="H1057" t="s">
        <v>4473</v>
      </c>
    </row>
    <row r="1058" spans="8:8" x14ac:dyDescent="0.25">
      <c r="H1058" t="s">
        <v>4474</v>
      </c>
    </row>
    <row r="1059" spans="8:8" x14ac:dyDescent="0.25">
      <c r="H1059" t="s">
        <v>149</v>
      </c>
    </row>
    <row r="1060" spans="8:8" x14ac:dyDescent="0.25">
      <c r="H1060" t="s">
        <v>4475</v>
      </c>
    </row>
    <row r="1062" spans="8:8" x14ac:dyDescent="0.25">
      <c r="H1062" t="s">
        <v>4476</v>
      </c>
    </row>
    <row r="1063" spans="8:8" x14ac:dyDescent="0.25">
      <c r="H1063" t="s">
        <v>4477</v>
      </c>
    </row>
    <row r="1064" spans="8:8" x14ac:dyDescent="0.25">
      <c r="H1064" t="s">
        <v>149</v>
      </c>
    </row>
    <row r="1065" spans="8:8" x14ac:dyDescent="0.25">
      <c r="H1065" t="s">
        <v>4478</v>
      </c>
    </row>
    <row r="1067" spans="8:8" x14ac:dyDescent="0.25">
      <c r="H1067" t="s">
        <v>4479</v>
      </c>
    </row>
    <row r="1068" spans="8:8" x14ac:dyDescent="0.25">
      <c r="H1068" t="s">
        <v>4480</v>
      </c>
    </row>
    <row r="1069" spans="8:8" x14ac:dyDescent="0.25">
      <c r="H1069" t="s">
        <v>149</v>
      </c>
    </row>
    <row r="1070" spans="8:8" x14ac:dyDescent="0.25">
      <c r="H1070" t="s">
        <v>4481</v>
      </c>
    </row>
    <row r="1072" spans="8:8" x14ac:dyDescent="0.25">
      <c r="H1072" t="s">
        <v>4482</v>
      </c>
    </row>
    <row r="1073" spans="8:8" x14ac:dyDescent="0.25">
      <c r="H1073" t="s">
        <v>4483</v>
      </c>
    </row>
    <row r="1074" spans="8:8" x14ac:dyDescent="0.25">
      <c r="H1074" t="s">
        <v>149</v>
      </c>
    </row>
    <row r="1075" spans="8:8" x14ac:dyDescent="0.25">
      <c r="H1075" t="s">
        <v>4484</v>
      </c>
    </row>
    <row r="1077" spans="8:8" x14ac:dyDescent="0.25">
      <c r="H1077" t="s">
        <v>4485</v>
      </c>
    </row>
    <row r="1078" spans="8:8" x14ac:dyDescent="0.25">
      <c r="H1078" t="s">
        <v>4486</v>
      </c>
    </row>
    <row r="1079" spans="8:8" x14ac:dyDescent="0.25">
      <c r="H1079" t="s">
        <v>149</v>
      </c>
    </row>
    <row r="1080" spans="8:8" x14ac:dyDescent="0.25">
      <c r="H1080" t="s">
        <v>4487</v>
      </c>
    </row>
    <row r="1082" spans="8:8" x14ac:dyDescent="0.25">
      <c r="H1082" t="s">
        <v>4488</v>
      </c>
    </row>
    <row r="1083" spans="8:8" x14ac:dyDescent="0.25">
      <c r="H1083" t="s">
        <v>4489</v>
      </c>
    </row>
    <row r="1084" spans="8:8" x14ac:dyDescent="0.25">
      <c r="H1084" t="s">
        <v>149</v>
      </c>
    </row>
    <row r="1085" spans="8:8" x14ac:dyDescent="0.25">
      <c r="H1085" t="s">
        <v>4490</v>
      </c>
    </row>
    <row r="1087" spans="8:8" x14ac:dyDescent="0.25">
      <c r="H1087" t="s">
        <v>4491</v>
      </c>
    </row>
    <row r="1088" spans="8:8" x14ac:dyDescent="0.25">
      <c r="H1088" t="s">
        <v>4492</v>
      </c>
    </row>
    <row r="1089" spans="8:8" x14ac:dyDescent="0.25">
      <c r="H1089" t="s">
        <v>149</v>
      </c>
    </row>
    <row r="1090" spans="8:8" x14ac:dyDescent="0.25">
      <c r="H1090" t="s">
        <v>4493</v>
      </c>
    </row>
    <row r="1092" spans="8:8" x14ac:dyDescent="0.25">
      <c r="H1092" t="s">
        <v>4494</v>
      </c>
    </row>
    <row r="1093" spans="8:8" x14ac:dyDescent="0.25">
      <c r="H1093" t="s">
        <v>4495</v>
      </c>
    </row>
    <row r="1094" spans="8:8" x14ac:dyDescent="0.25">
      <c r="H1094" t="s">
        <v>149</v>
      </c>
    </row>
    <row r="1095" spans="8:8" x14ac:dyDescent="0.25">
      <c r="H1095" t="s">
        <v>4496</v>
      </c>
    </row>
    <row r="1097" spans="8:8" x14ac:dyDescent="0.25">
      <c r="H1097" t="s">
        <v>4497</v>
      </c>
    </row>
    <row r="1098" spans="8:8" x14ac:dyDescent="0.25">
      <c r="H1098" t="s">
        <v>4498</v>
      </c>
    </row>
    <row r="1099" spans="8:8" x14ac:dyDescent="0.25">
      <c r="H1099" t="s">
        <v>149</v>
      </c>
    </row>
    <row r="1100" spans="8:8" x14ac:dyDescent="0.25">
      <c r="H1100" t="s">
        <v>4499</v>
      </c>
    </row>
    <row r="1102" spans="8:8" x14ac:dyDescent="0.25">
      <c r="H1102" t="s">
        <v>4500</v>
      </c>
    </row>
    <row r="1103" spans="8:8" x14ac:dyDescent="0.25">
      <c r="H1103" t="s">
        <v>4501</v>
      </c>
    </row>
    <row r="1104" spans="8:8" x14ac:dyDescent="0.25">
      <c r="H1104" t="s">
        <v>149</v>
      </c>
    </row>
    <row r="1105" spans="8:8" x14ac:dyDescent="0.25">
      <c r="H1105" t="s">
        <v>4502</v>
      </c>
    </row>
    <row r="1107" spans="8:8" x14ac:dyDescent="0.25">
      <c r="H1107" t="s">
        <v>4503</v>
      </c>
    </row>
    <row r="1108" spans="8:8" x14ac:dyDescent="0.25">
      <c r="H1108" t="s">
        <v>4504</v>
      </c>
    </row>
    <row r="1109" spans="8:8" x14ac:dyDescent="0.25">
      <c r="H1109" t="s">
        <v>149</v>
      </c>
    </row>
    <row r="1110" spans="8:8" x14ac:dyDescent="0.25">
      <c r="H1110" t="s">
        <v>4505</v>
      </c>
    </row>
    <row r="1112" spans="8:8" x14ac:dyDescent="0.25">
      <c r="H1112" t="s">
        <v>4506</v>
      </c>
    </row>
    <row r="1113" spans="8:8" x14ac:dyDescent="0.25">
      <c r="H1113" t="s">
        <v>4507</v>
      </c>
    </row>
    <row r="1114" spans="8:8" x14ac:dyDescent="0.25">
      <c r="H1114" t="s">
        <v>149</v>
      </c>
    </row>
    <row r="1115" spans="8:8" x14ac:dyDescent="0.25">
      <c r="H1115" t="s">
        <v>4508</v>
      </c>
    </row>
    <row r="1117" spans="8:8" x14ac:dyDescent="0.25">
      <c r="H1117" t="s">
        <v>4509</v>
      </c>
    </row>
    <row r="1118" spans="8:8" x14ac:dyDescent="0.25">
      <c r="H1118" t="s">
        <v>4510</v>
      </c>
    </row>
    <row r="1119" spans="8:8" x14ac:dyDescent="0.25">
      <c r="H1119" t="s">
        <v>149</v>
      </c>
    </row>
    <row r="1120" spans="8:8" x14ac:dyDescent="0.25">
      <c r="H1120" t="s">
        <v>4511</v>
      </c>
    </row>
    <row r="1122" spans="8:8" x14ac:dyDescent="0.25">
      <c r="H1122" t="s">
        <v>4512</v>
      </c>
    </row>
    <row r="1123" spans="8:8" x14ac:dyDescent="0.25">
      <c r="H1123" t="s">
        <v>4513</v>
      </c>
    </row>
    <row r="1124" spans="8:8" x14ac:dyDescent="0.25">
      <c r="H1124" t="s">
        <v>149</v>
      </c>
    </row>
    <row r="1125" spans="8:8" x14ac:dyDescent="0.25">
      <c r="H1125" t="s">
        <v>4514</v>
      </c>
    </row>
    <row r="1127" spans="8:8" x14ac:dyDescent="0.25">
      <c r="H1127" t="s">
        <v>4515</v>
      </c>
    </row>
    <row r="1128" spans="8:8" x14ac:dyDescent="0.25">
      <c r="H1128" t="s">
        <v>4516</v>
      </c>
    </row>
    <row r="1129" spans="8:8" x14ac:dyDescent="0.25">
      <c r="H1129" t="s">
        <v>149</v>
      </c>
    </row>
    <row r="1130" spans="8:8" x14ac:dyDescent="0.25">
      <c r="H1130" t="s">
        <v>4517</v>
      </c>
    </row>
    <row r="1132" spans="8:8" x14ac:dyDescent="0.25">
      <c r="H1132" t="s">
        <v>4518</v>
      </c>
    </row>
    <row r="1133" spans="8:8" x14ac:dyDescent="0.25">
      <c r="H1133" t="s">
        <v>4519</v>
      </c>
    </row>
    <row r="1134" spans="8:8" x14ac:dyDescent="0.25">
      <c r="H1134" t="s">
        <v>149</v>
      </c>
    </row>
    <row r="1135" spans="8:8" x14ac:dyDescent="0.25">
      <c r="H1135" t="s">
        <v>4520</v>
      </c>
    </row>
    <row r="1137" spans="8:8" x14ac:dyDescent="0.25">
      <c r="H1137" t="s">
        <v>4521</v>
      </c>
    </row>
    <row r="1138" spans="8:8" x14ac:dyDescent="0.25">
      <c r="H1138" t="s">
        <v>4522</v>
      </c>
    </row>
    <row r="1139" spans="8:8" x14ac:dyDescent="0.25">
      <c r="H1139" t="s">
        <v>149</v>
      </c>
    </row>
    <row r="1140" spans="8:8" x14ac:dyDescent="0.25">
      <c r="H1140" t="s">
        <v>4523</v>
      </c>
    </row>
    <row r="1142" spans="8:8" x14ac:dyDescent="0.25">
      <c r="H1142" t="s">
        <v>4524</v>
      </c>
    </row>
    <row r="1143" spans="8:8" x14ac:dyDescent="0.25">
      <c r="H1143" t="s">
        <v>4525</v>
      </c>
    </row>
    <row r="1144" spans="8:8" x14ac:dyDescent="0.25">
      <c r="H1144" t="s">
        <v>149</v>
      </c>
    </row>
    <row r="1145" spans="8:8" x14ac:dyDescent="0.25">
      <c r="H1145" t="s">
        <v>4526</v>
      </c>
    </row>
    <row r="1147" spans="8:8" x14ac:dyDescent="0.25">
      <c r="H1147" t="s">
        <v>4527</v>
      </c>
    </row>
    <row r="1148" spans="8:8" x14ac:dyDescent="0.25">
      <c r="H1148" t="s">
        <v>4528</v>
      </c>
    </row>
    <row r="1149" spans="8:8" x14ac:dyDescent="0.25">
      <c r="H1149" t="s">
        <v>149</v>
      </c>
    </row>
    <row r="1150" spans="8:8" x14ac:dyDescent="0.25">
      <c r="H1150" t="s">
        <v>4529</v>
      </c>
    </row>
    <row r="1152" spans="8:8" x14ac:dyDescent="0.25">
      <c r="H1152" t="s">
        <v>4530</v>
      </c>
    </row>
    <row r="1153" spans="8:8" x14ac:dyDescent="0.25">
      <c r="H1153" t="s">
        <v>4531</v>
      </c>
    </row>
    <row r="1154" spans="8:8" x14ac:dyDescent="0.25">
      <c r="H1154" t="s">
        <v>149</v>
      </c>
    </row>
    <row r="1155" spans="8:8" x14ac:dyDescent="0.25">
      <c r="H1155" t="s">
        <v>4532</v>
      </c>
    </row>
    <row r="1157" spans="8:8" x14ac:dyDescent="0.25">
      <c r="H1157" t="s">
        <v>4533</v>
      </c>
    </row>
    <row r="1158" spans="8:8" x14ac:dyDescent="0.25">
      <c r="H1158" t="s">
        <v>4534</v>
      </c>
    </row>
    <row r="1159" spans="8:8" x14ac:dyDescent="0.25">
      <c r="H1159" t="s">
        <v>149</v>
      </c>
    </row>
    <row r="1160" spans="8:8" x14ac:dyDescent="0.25">
      <c r="H1160" t="s">
        <v>4535</v>
      </c>
    </row>
    <row r="1162" spans="8:8" x14ac:dyDescent="0.25">
      <c r="H1162" t="s">
        <v>4536</v>
      </c>
    </row>
    <row r="1163" spans="8:8" x14ac:dyDescent="0.25">
      <c r="H1163" t="s">
        <v>4537</v>
      </c>
    </row>
    <row r="1164" spans="8:8" x14ac:dyDescent="0.25">
      <c r="H1164" t="s">
        <v>149</v>
      </c>
    </row>
    <row r="1165" spans="8:8" x14ac:dyDescent="0.25">
      <c r="H1165" t="s">
        <v>4538</v>
      </c>
    </row>
    <row r="1167" spans="8:8" x14ac:dyDescent="0.25">
      <c r="H1167" t="s">
        <v>4539</v>
      </c>
    </row>
    <row r="1168" spans="8:8" x14ac:dyDescent="0.25">
      <c r="H1168" t="s">
        <v>4540</v>
      </c>
    </row>
    <row r="1169" spans="8:8" x14ac:dyDescent="0.25">
      <c r="H1169" t="s">
        <v>149</v>
      </c>
    </row>
    <row r="1170" spans="8:8" x14ac:dyDescent="0.25">
      <c r="H1170" t="s">
        <v>4541</v>
      </c>
    </row>
    <row r="1172" spans="8:8" x14ac:dyDescent="0.25">
      <c r="H1172" t="s">
        <v>4542</v>
      </c>
    </row>
    <row r="1173" spans="8:8" x14ac:dyDescent="0.25">
      <c r="H1173" t="s">
        <v>4543</v>
      </c>
    </row>
    <row r="1174" spans="8:8" x14ac:dyDescent="0.25">
      <c r="H1174" t="s">
        <v>149</v>
      </c>
    </row>
    <row r="1175" spans="8:8" x14ac:dyDescent="0.25">
      <c r="H1175" t="s">
        <v>4544</v>
      </c>
    </row>
    <row r="1177" spans="8:8" x14ac:dyDescent="0.25">
      <c r="H1177" t="s">
        <v>4545</v>
      </c>
    </row>
    <row r="1178" spans="8:8" x14ac:dyDescent="0.25">
      <c r="H1178" t="s">
        <v>4546</v>
      </c>
    </row>
    <row r="1179" spans="8:8" x14ac:dyDescent="0.25">
      <c r="H1179" t="s">
        <v>149</v>
      </c>
    </row>
    <row r="1180" spans="8:8" x14ac:dyDescent="0.25">
      <c r="H1180" t="s">
        <v>4547</v>
      </c>
    </row>
    <row r="1182" spans="8:8" x14ac:dyDescent="0.25">
      <c r="H1182" t="s">
        <v>4548</v>
      </c>
    </row>
    <row r="1183" spans="8:8" x14ac:dyDescent="0.25">
      <c r="H1183" t="s">
        <v>4549</v>
      </c>
    </row>
    <row r="1184" spans="8:8" x14ac:dyDescent="0.25">
      <c r="H1184" t="s">
        <v>149</v>
      </c>
    </row>
    <row r="1185" spans="8:8" x14ac:dyDescent="0.25">
      <c r="H1185" t="s">
        <v>4550</v>
      </c>
    </row>
    <row r="1187" spans="8:8" x14ac:dyDescent="0.25">
      <c r="H1187" t="s">
        <v>4551</v>
      </c>
    </row>
    <row r="1188" spans="8:8" x14ac:dyDescent="0.25">
      <c r="H1188" t="s">
        <v>4552</v>
      </c>
    </row>
    <row r="1189" spans="8:8" x14ac:dyDescent="0.25">
      <c r="H1189" t="s">
        <v>149</v>
      </c>
    </row>
    <row r="1190" spans="8:8" x14ac:dyDescent="0.25">
      <c r="H1190" t="s">
        <v>4553</v>
      </c>
    </row>
    <row r="1192" spans="8:8" x14ac:dyDescent="0.25">
      <c r="H1192" t="s">
        <v>4554</v>
      </c>
    </row>
    <row r="1193" spans="8:8" x14ac:dyDescent="0.25">
      <c r="H1193" t="s">
        <v>4555</v>
      </c>
    </row>
    <row r="1194" spans="8:8" x14ac:dyDescent="0.25">
      <c r="H1194" t="s">
        <v>149</v>
      </c>
    </row>
    <row r="1195" spans="8:8" x14ac:dyDescent="0.25">
      <c r="H1195" t="s">
        <v>4556</v>
      </c>
    </row>
    <row r="1197" spans="8:8" x14ac:dyDescent="0.25">
      <c r="H1197" t="s">
        <v>4557</v>
      </c>
    </row>
    <row r="1198" spans="8:8" x14ac:dyDescent="0.25">
      <c r="H1198" t="s">
        <v>4558</v>
      </c>
    </row>
    <row r="1199" spans="8:8" x14ac:dyDescent="0.25">
      <c r="H1199" t="s">
        <v>149</v>
      </c>
    </row>
    <row r="1200" spans="8:8" x14ac:dyDescent="0.25">
      <c r="H1200" t="s">
        <v>4559</v>
      </c>
    </row>
    <row r="1202" spans="8:8" x14ac:dyDescent="0.25">
      <c r="H1202" t="s">
        <v>4560</v>
      </c>
    </row>
    <row r="1203" spans="8:8" x14ac:dyDescent="0.25">
      <c r="H1203" t="s">
        <v>4561</v>
      </c>
    </row>
    <row r="1204" spans="8:8" x14ac:dyDescent="0.25">
      <c r="H1204" t="s">
        <v>149</v>
      </c>
    </row>
    <row r="1205" spans="8:8" x14ac:dyDescent="0.25">
      <c r="H1205" t="s">
        <v>4562</v>
      </c>
    </row>
    <row r="1207" spans="8:8" x14ac:dyDescent="0.25">
      <c r="H1207" t="s">
        <v>4563</v>
      </c>
    </row>
    <row r="1208" spans="8:8" x14ac:dyDescent="0.25">
      <c r="H1208" t="s">
        <v>4564</v>
      </c>
    </row>
    <row r="1209" spans="8:8" x14ac:dyDescent="0.25">
      <c r="H1209" t="s">
        <v>149</v>
      </c>
    </row>
    <row r="1210" spans="8:8" x14ac:dyDescent="0.25">
      <c r="H1210" t="s">
        <v>4565</v>
      </c>
    </row>
    <row r="1212" spans="8:8" x14ac:dyDescent="0.25">
      <c r="H1212" t="s">
        <v>4566</v>
      </c>
    </row>
    <row r="1213" spans="8:8" x14ac:dyDescent="0.25">
      <c r="H1213" t="s">
        <v>4567</v>
      </c>
    </row>
    <row r="1214" spans="8:8" x14ac:dyDescent="0.25">
      <c r="H1214" t="s">
        <v>149</v>
      </c>
    </row>
    <row r="1215" spans="8:8" x14ac:dyDescent="0.25">
      <c r="H1215" t="s">
        <v>4568</v>
      </c>
    </row>
    <row r="1217" spans="8:8" x14ac:dyDescent="0.25">
      <c r="H1217" t="s">
        <v>4569</v>
      </c>
    </row>
    <row r="1218" spans="8:8" x14ac:dyDescent="0.25">
      <c r="H1218" t="s">
        <v>4570</v>
      </c>
    </row>
    <row r="1219" spans="8:8" x14ac:dyDescent="0.25">
      <c r="H1219" t="s">
        <v>149</v>
      </c>
    </row>
    <row r="1220" spans="8:8" x14ac:dyDescent="0.25">
      <c r="H1220" t="s">
        <v>4571</v>
      </c>
    </row>
    <row r="1222" spans="8:8" x14ac:dyDescent="0.25">
      <c r="H1222" t="s">
        <v>4572</v>
      </c>
    </row>
    <row r="1223" spans="8:8" x14ac:dyDescent="0.25">
      <c r="H1223" t="s">
        <v>4573</v>
      </c>
    </row>
    <row r="1224" spans="8:8" x14ac:dyDescent="0.25">
      <c r="H1224" t="s">
        <v>149</v>
      </c>
    </row>
    <row r="1225" spans="8:8" x14ac:dyDescent="0.25">
      <c r="H1225" t="s">
        <v>4574</v>
      </c>
    </row>
    <row r="1227" spans="8:8" x14ac:dyDescent="0.25">
      <c r="H1227" t="s">
        <v>4575</v>
      </c>
    </row>
    <row r="1228" spans="8:8" x14ac:dyDescent="0.25">
      <c r="H1228" t="s">
        <v>4576</v>
      </c>
    </row>
    <row r="1229" spans="8:8" x14ac:dyDescent="0.25">
      <c r="H1229" t="s">
        <v>149</v>
      </c>
    </row>
    <row r="1230" spans="8:8" x14ac:dyDescent="0.25">
      <c r="H1230" t="s">
        <v>4577</v>
      </c>
    </row>
    <row r="1232" spans="8:8" x14ac:dyDescent="0.25">
      <c r="H1232" t="s">
        <v>4578</v>
      </c>
    </row>
    <row r="1233" spans="8:8" x14ac:dyDescent="0.25">
      <c r="H1233" t="s">
        <v>4579</v>
      </c>
    </row>
    <row r="1234" spans="8:8" x14ac:dyDescent="0.25">
      <c r="H1234" t="s">
        <v>149</v>
      </c>
    </row>
    <row r="1235" spans="8:8" x14ac:dyDescent="0.25">
      <c r="H1235" t="s">
        <v>4580</v>
      </c>
    </row>
    <row r="1237" spans="8:8" x14ac:dyDescent="0.25">
      <c r="H1237" t="s">
        <v>4581</v>
      </c>
    </row>
    <row r="1238" spans="8:8" x14ac:dyDescent="0.25">
      <c r="H1238" t="s">
        <v>4582</v>
      </c>
    </row>
    <row r="1239" spans="8:8" x14ac:dyDescent="0.25">
      <c r="H1239" t="s">
        <v>149</v>
      </c>
    </row>
    <row r="1240" spans="8:8" x14ac:dyDescent="0.25">
      <c r="H1240" t="s">
        <v>4583</v>
      </c>
    </row>
    <row r="1242" spans="8:8" x14ac:dyDescent="0.25">
      <c r="H1242" t="s">
        <v>4584</v>
      </c>
    </row>
    <row r="1243" spans="8:8" x14ac:dyDescent="0.25">
      <c r="H1243" t="s">
        <v>4585</v>
      </c>
    </row>
    <row r="1244" spans="8:8" x14ac:dyDescent="0.25">
      <c r="H1244" t="s">
        <v>149</v>
      </c>
    </row>
    <row r="1245" spans="8:8" x14ac:dyDescent="0.25">
      <c r="H1245" t="s">
        <v>4586</v>
      </c>
    </row>
    <row r="1247" spans="8:8" x14ac:dyDescent="0.25">
      <c r="H1247" t="s">
        <v>4587</v>
      </c>
    </row>
    <row r="1248" spans="8:8" x14ac:dyDescent="0.25">
      <c r="H1248" t="s">
        <v>4588</v>
      </c>
    </row>
    <row r="1249" spans="8:8" x14ac:dyDescent="0.25">
      <c r="H1249" t="s">
        <v>149</v>
      </c>
    </row>
    <row r="1250" spans="8:8" x14ac:dyDescent="0.25">
      <c r="H1250" t="s">
        <v>4589</v>
      </c>
    </row>
    <row r="1252" spans="8:8" x14ac:dyDescent="0.25">
      <c r="H1252" t="s">
        <v>4590</v>
      </c>
    </row>
    <row r="1253" spans="8:8" x14ac:dyDescent="0.25">
      <c r="H1253" t="s">
        <v>4591</v>
      </c>
    </row>
    <row r="1254" spans="8:8" x14ac:dyDescent="0.25">
      <c r="H1254" t="s">
        <v>149</v>
      </c>
    </row>
    <row r="1255" spans="8:8" x14ac:dyDescent="0.25">
      <c r="H1255" t="s">
        <v>4592</v>
      </c>
    </row>
    <row r="1257" spans="8:8" x14ac:dyDescent="0.25">
      <c r="H1257" t="s">
        <v>4593</v>
      </c>
    </row>
    <row r="1258" spans="8:8" x14ac:dyDescent="0.25">
      <c r="H1258" t="s">
        <v>4594</v>
      </c>
    </row>
    <row r="1259" spans="8:8" x14ac:dyDescent="0.25">
      <c r="H1259" t="s">
        <v>149</v>
      </c>
    </row>
    <row r="1260" spans="8:8" x14ac:dyDescent="0.25">
      <c r="H1260" t="s">
        <v>4595</v>
      </c>
    </row>
    <row r="1262" spans="8:8" x14ac:dyDescent="0.25">
      <c r="H1262" t="s">
        <v>4596</v>
      </c>
    </row>
    <row r="1263" spans="8:8" x14ac:dyDescent="0.25">
      <c r="H1263" t="s">
        <v>4597</v>
      </c>
    </row>
    <row r="1264" spans="8:8" x14ac:dyDescent="0.25">
      <c r="H1264" t="s">
        <v>149</v>
      </c>
    </row>
    <row r="1265" spans="8:8" x14ac:dyDescent="0.25">
      <c r="H1265" t="s">
        <v>4598</v>
      </c>
    </row>
    <row r="1267" spans="8:8" x14ac:dyDescent="0.25">
      <c r="H1267" t="s">
        <v>4599</v>
      </c>
    </row>
    <row r="1268" spans="8:8" x14ac:dyDescent="0.25">
      <c r="H1268" t="s">
        <v>4600</v>
      </c>
    </row>
    <row r="1269" spans="8:8" x14ac:dyDescent="0.25">
      <c r="H1269" t="s">
        <v>149</v>
      </c>
    </row>
    <row r="1270" spans="8:8" x14ac:dyDescent="0.25">
      <c r="H1270" t="s">
        <v>4601</v>
      </c>
    </row>
    <row r="1272" spans="8:8" x14ac:dyDescent="0.25">
      <c r="H1272" t="s">
        <v>4602</v>
      </c>
    </row>
    <row r="1273" spans="8:8" x14ac:dyDescent="0.25">
      <c r="H1273" t="s">
        <v>4603</v>
      </c>
    </row>
    <row r="1274" spans="8:8" x14ac:dyDescent="0.25">
      <c r="H1274" t="s">
        <v>149</v>
      </c>
    </row>
    <row r="1275" spans="8:8" x14ac:dyDescent="0.25">
      <c r="H1275" t="s">
        <v>4604</v>
      </c>
    </row>
    <row r="1277" spans="8:8" x14ac:dyDescent="0.25">
      <c r="H1277" t="s">
        <v>4605</v>
      </c>
    </row>
    <row r="1278" spans="8:8" x14ac:dyDescent="0.25">
      <c r="H1278" t="s">
        <v>4606</v>
      </c>
    </row>
    <row r="1279" spans="8:8" x14ac:dyDescent="0.25">
      <c r="H1279" t="s">
        <v>149</v>
      </c>
    </row>
    <row r="1280" spans="8:8" x14ac:dyDescent="0.25">
      <c r="H1280" t="s">
        <v>4607</v>
      </c>
    </row>
    <row r="1282" spans="8:8" x14ac:dyDescent="0.25">
      <c r="H1282" t="s">
        <v>4608</v>
      </c>
    </row>
    <row r="1283" spans="8:8" x14ac:dyDescent="0.25">
      <c r="H1283" t="s">
        <v>4609</v>
      </c>
    </row>
    <row r="1284" spans="8:8" x14ac:dyDescent="0.25">
      <c r="H1284" t="s">
        <v>149</v>
      </c>
    </row>
    <row r="1285" spans="8:8" x14ac:dyDescent="0.25">
      <c r="H1285" t="s">
        <v>4610</v>
      </c>
    </row>
    <row r="1287" spans="8:8" x14ac:dyDescent="0.25">
      <c r="H1287" t="s">
        <v>4611</v>
      </c>
    </row>
    <row r="1288" spans="8:8" x14ac:dyDescent="0.25">
      <c r="H1288" t="s">
        <v>4612</v>
      </c>
    </row>
    <row r="1289" spans="8:8" x14ac:dyDescent="0.25">
      <c r="H1289" t="s">
        <v>149</v>
      </c>
    </row>
    <row r="1290" spans="8:8" x14ac:dyDescent="0.25">
      <c r="H1290" t="s">
        <v>4613</v>
      </c>
    </row>
    <row r="1292" spans="8:8" x14ac:dyDescent="0.25">
      <c r="H1292" t="s">
        <v>4614</v>
      </c>
    </row>
    <row r="1293" spans="8:8" x14ac:dyDescent="0.25">
      <c r="H1293" t="s">
        <v>4615</v>
      </c>
    </row>
    <row r="1294" spans="8:8" x14ac:dyDescent="0.25">
      <c r="H1294" t="s">
        <v>149</v>
      </c>
    </row>
    <row r="1295" spans="8:8" x14ac:dyDescent="0.25">
      <c r="H1295" t="s">
        <v>4616</v>
      </c>
    </row>
    <row r="1297" spans="8:8" x14ac:dyDescent="0.25">
      <c r="H1297" t="s">
        <v>4617</v>
      </c>
    </row>
    <row r="1298" spans="8:8" x14ac:dyDescent="0.25">
      <c r="H1298" t="s">
        <v>4618</v>
      </c>
    </row>
    <row r="1299" spans="8:8" x14ac:dyDescent="0.25">
      <c r="H1299" t="s">
        <v>149</v>
      </c>
    </row>
    <row r="1300" spans="8:8" x14ac:dyDescent="0.25">
      <c r="H1300" t="s">
        <v>4619</v>
      </c>
    </row>
    <row r="1302" spans="8:8" x14ac:dyDescent="0.25">
      <c r="H1302" t="s">
        <v>4620</v>
      </c>
    </row>
    <row r="1303" spans="8:8" x14ac:dyDescent="0.25">
      <c r="H1303" t="s">
        <v>4621</v>
      </c>
    </row>
    <row r="1304" spans="8:8" x14ac:dyDescent="0.25">
      <c r="H1304" t="s">
        <v>149</v>
      </c>
    </row>
    <row r="1305" spans="8:8" x14ac:dyDescent="0.25">
      <c r="H1305" t="s">
        <v>4622</v>
      </c>
    </row>
    <row r="1307" spans="8:8" x14ac:dyDescent="0.25">
      <c r="H1307" t="s">
        <v>4623</v>
      </c>
    </row>
    <row r="1308" spans="8:8" x14ac:dyDescent="0.25">
      <c r="H1308" t="s">
        <v>4624</v>
      </c>
    </row>
    <row r="1309" spans="8:8" x14ac:dyDescent="0.25">
      <c r="H1309" t="s">
        <v>149</v>
      </c>
    </row>
    <row r="1310" spans="8:8" x14ac:dyDescent="0.25">
      <c r="H1310" t="s">
        <v>4625</v>
      </c>
    </row>
    <row r="1312" spans="8:8" x14ac:dyDescent="0.25">
      <c r="H1312" t="s">
        <v>4626</v>
      </c>
    </row>
    <row r="1313" spans="8:8" x14ac:dyDescent="0.25">
      <c r="H1313" t="s">
        <v>4627</v>
      </c>
    </row>
    <row r="1314" spans="8:8" x14ac:dyDescent="0.25">
      <c r="H1314" t="s">
        <v>149</v>
      </c>
    </row>
    <row r="1315" spans="8:8" x14ac:dyDescent="0.25">
      <c r="H1315" t="s">
        <v>4628</v>
      </c>
    </row>
    <row r="1317" spans="8:8" x14ac:dyDescent="0.25">
      <c r="H1317" t="s">
        <v>4629</v>
      </c>
    </row>
    <row r="1318" spans="8:8" x14ac:dyDescent="0.25">
      <c r="H1318" t="s">
        <v>4630</v>
      </c>
    </row>
    <row r="1319" spans="8:8" x14ac:dyDescent="0.25">
      <c r="H1319" t="s">
        <v>149</v>
      </c>
    </row>
    <row r="1320" spans="8:8" x14ac:dyDescent="0.25">
      <c r="H1320" t="s">
        <v>4631</v>
      </c>
    </row>
    <row r="1322" spans="8:8" x14ac:dyDescent="0.25">
      <c r="H1322" t="s">
        <v>4632</v>
      </c>
    </row>
    <row r="1323" spans="8:8" x14ac:dyDescent="0.25">
      <c r="H1323" t="s">
        <v>4633</v>
      </c>
    </row>
    <row r="1324" spans="8:8" x14ac:dyDescent="0.25">
      <c r="H1324" t="s">
        <v>149</v>
      </c>
    </row>
    <row r="1325" spans="8:8" x14ac:dyDescent="0.25">
      <c r="H1325" t="s">
        <v>4634</v>
      </c>
    </row>
    <row r="1327" spans="8:8" x14ac:dyDescent="0.25">
      <c r="H1327" t="s">
        <v>4635</v>
      </c>
    </row>
    <row r="1328" spans="8:8" x14ac:dyDescent="0.25">
      <c r="H1328" t="s">
        <v>4636</v>
      </c>
    </row>
    <row r="1329" spans="8:8" x14ac:dyDescent="0.25">
      <c r="H1329" t="s">
        <v>149</v>
      </c>
    </row>
    <row r="1330" spans="8:8" x14ac:dyDescent="0.25">
      <c r="H1330" t="s">
        <v>4637</v>
      </c>
    </row>
    <row r="1332" spans="8:8" x14ac:dyDescent="0.25">
      <c r="H1332" t="s">
        <v>4638</v>
      </c>
    </row>
    <row r="1333" spans="8:8" x14ac:dyDescent="0.25">
      <c r="H1333" t="s">
        <v>4639</v>
      </c>
    </row>
    <row r="1334" spans="8:8" x14ac:dyDescent="0.25">
      <c r="H1334" t="s">
        <v>149</v>
      </c>
    </row>
    <row r="1335" spans="8:8" x14ac:dyDescent="0.25">
      <c r="H1335" t="s">
        <v>4640</v>
      </c>
    </row>
    <row r="1337" spans="8:8" x14ac:dyDescent="0.25">
      <c r="H1337" t="s">
        <v>4641</v>
      </c>
    </row>
    <row r="1338" spans="8:8" x14ac:dyDescent="0.25">
      <c r="H1338" t="s">
        <v>4642</v>
      </c>
    </row>
    <row r="1339" spans="8:8" x14ac:dyDescent="0.25">
      <c r="H1339" t="s">
        <v>149</v>
      </c>
    </row>
    <row r="1340" spans="8:8" x14ac:dyDescent="0.25">
      <c r="H1340" t="s">
        <v>4643</v>
      </c>
    </row>
    <row r="1342" spans="8:8" x14ac:dyDescent="0.25">
      <c r="H1342" t="s">
        <v>4644</v>
      </c>
    </row>
    <row r="1343" spans="8:8" x14ac:dyDescent="0.25">
      <c r="H1343" t="s">
        <v>4645</v>
      </c>
    </row>
    <row r="1344" spans="8:8" x14ac:dyDescent="0.25">
      <c r="H1344" t="s">
        <v>149</v>
      </c>
    </row>
    <row r="1345" spans="8:8" x14ac:dyDescent="0.25">
      <c r="H1345" t="s">
        <v>4646</v>
      </c>
    </row>
    <row r="1347" spans="8:8" x14ac:dyDescent="0.25">
      <c r="H1347" t="s">
        <v>4647</v>
      </c>
    </row>
    <row r="1348" spans="8:8" x14ac:dyDescent="0.25">
      <c r="H1348" t="s">
        <v>4648</v>
      </c>
    </row>
    <row r="1349" spans="8:8" x14ac:dyDescent="0.25">
      <c r="H1349" t="s">
        <v>149</v>
      </c>
    </row>
    <row r="1350" spans="8:8" x14ac:dyDescent="0.25">
      <c r="H1350" t="s">
        <v>4649</v>
      </c>
    </row>
    <row r="1352" spans="8:8" x14ac:dyDescent="0.25">
      <c r="H1352" t="s">
        <v>4650</v>
      </c>
    </row>
    <row r="1353" spans="8:8" x14ac:dyDescent="0.25">
      <c r="H1353" t="s">
        <v>4651</v>
      </c>
    </row>
    <row r="1354" spans="8:8" x14ac:dyDescent="0.25">
      <c r="H1354" t="s">
        <v>149</v>
      </c>
    </row>
    <row r="1355" spans="8:8" x14ac:dyDescent="0.25">
      <c r="H1355" t="s">
        <v>4652</v>
      </c>
    </row>
    <row r="1357" spans="8:8" x14ac:dyDescent="0.25">
      <c r="H1357" t="s">
        <v>4653</v>
      </c>
    </row>
    <row r="1358" spans="8:8" x14ac:dyDescent="0.25">
      <c r="H1358" t="s">
        <v>4654</v>
      </c>
    </row>
    <row r="1359" spans="8:8" x14ac:dyDescent="0.25">
      <c r="H1359" t="s">
        <v>149</v>
      </c>
    </row>
    <row r="1360" spans="8:8" x14ac:dyDescent="0.25">
      <c r="H1360" t="s">
        <v>4655</v>
      </c>
    </row>
    <row r="1362" spans="8:8" x14ac:dyDescent="0.25">
      <c r="H1362" t="s">
        <v>4656</v>
      </c>
    </row>
    <row r="1363" spans="8:8" x14ac:dyDescent="0.25">
      <c r="H1363" t="s">
        <v>4657</v>
      </c>
    </row>
    <row r="1364" spans="8:8" x14ac:dyDescent="0.25">
      <c r="H1364" t="s">
        <v>149</v>
      </c>
    </row>
    <row r="1365" spans="8:8" x14ac:dyDescent="0.25">
      <c r="H1365" t="s">
        <v>4658</v>
      </c>
    </row>
    <row r="1367" spans="8:8" x14ac:dyDescent="0.25">
      <c r="H1367" t="s">
        <v>4659</v>
      </c>
    </row>
    <row r="1368" spans="8:8" x14ac:dyDescent="0.25">
      <c r="H1368" t="s">
        <v>4660</v>
      </c>
    </row>
    <row r="1369" spans="8:8" x14ac:dyDescent="0.25">
      <c r="H1369" t="s">
        <v>149</v>
      </c>
    </row>
    <row r="1370" spans="8:8" x14ac:dyDescent="0.25">
      <c r="H1370" t="s">
        <v>4661</v>
      </c>
    </row>
    <row r="1372" spans="8:8" x14ac:dyDescent="0.25">
      <c r="H1372" t="s">
        <v>4662</v>
      </c>
    </row>
    <row r="1373" spans="8:8" x14ac:dyDescent="0.25">
      <c r="H1373" t="s">
        <v>4663</v>
      </c>
    </row>
    <row r="1374" spans="8:8" x14ac:dyDescent="0.25">
      <c r="H1374" t="s">
        <v>149</v>
      </c>
    </row>
    <row r="1375" spans="8:8" x14ac:dyDescent="0.25">
      <c r="H1375" t="s">
        <v>4664</v>
      </c>
    </row>
    <row r="1377" spans="8:8" x14ac:dyDescent="0.25">
      <c r="H1377" t="s">
        <v>4665</v>
      </c>
    </row>
    <row r="1378" spans="8:8" x14ac:dyDescent="0.25">
      <c r="H1378" t="s">
        <v>4666</v>
      </c>
    </row>
    <row r="1379" spans="8:8" x14ac:dyDescent="0.25">
      <c r="H1379" t="s">
        <v>149</v>
      </c>
    </row>
    <row r="1380" spans="8:8" x14ac:dyDescent="0.25">
      <c r="H1380" t="s">
        <v>4667</v>
      </c>
    </row>
    <row r="1382" spans="8:8" x14ac:dyDescent="0.25">
      <c r="H1382" t="s">
        <v>4668</v>
      </c>
    </row>
    <row r="1383" spans="8:8" x14ac:dyDescent="0.25">
      <c r="H1383" t="s">
        <v>4669</v>
      </c>
    </row>
    <row r="1384" spans="8:8" x14ac:dyDescent="0.25">
      <c r="H1384" t="s">
        <v>149</v>
      </c>
    </row>
    <row r="1385" spans="8:8" x14ac:dyDescent="0.25">
      <c r="H1385" t="s">
        <v>4670</v>
      </c>
    </row>
    <row r="1387" spans="8:8" x14ac:dyDescent="0.25">
      <c r="H1387" t="s">
        <v>4671</v>
      </c>
    </row>
    <row r="1388" spans="8:8" x14ac:dyDescent="0.25">
      <c r="H1388" t="s">
        <v>4672</v>
      </c>
    </row>
    <row r="1389" spans="8:8" x14ac:dyDescent="0.25">
      <c r="H1389" t="s">
        <v>149</v>
      </c>
    </row>
    <row r="1390" spans="8:8" x14ac:dyDescent="0.25">
      <c r="H1390" t="s">
        <v>4673</v>
      </c>
    </row>
    <row r="1392" spans="8:8" x14ac:dyDescent="0.25">
      <c r="H1392" t="s">
        <v>4674</v>
      </c>
    </row>
    <row r="1393" spans="8:8" x14ac:dyDescent="0.25">
      <c r="H1393" t="s">
        <v>4675</v>
      </c>
    </row>
    <row r="1394" spans="8:8" x14ac:dyDescent="0.25">
      <c r="H1394" t="s">
        <v>149</v>
      </c>
    </row>
    <row r="1395" spans="8:8" x14ac:dyDescent="0.25">
      <c r="H1395" t="s">
        <v>4676</v>
      </c>
    </row>
    <row r="1397" spans="8:8" x14ac:dyDescent="0.25">
      <c r="H1397" t="s">
        <v>4677</v>
      </c>
    </row>
    <row r="1398" spans="8:8" x14ac:dyDescent="0.25">
      <c r="H1398" t="s">
        <v>4678</v>
      </c>
    </row>
    <row r="1399" spans="8:8" x14ac:dyDescent="0.25">
      <c r="H1399" t="s">
        <v>149</v>
      </c>
    </row>
    <row r="1400" spans="8:8" x14ac:dyDescent="0.25">
      <c r="H1400" t="s">
        <v>4679</v>
      </c>
    </row>
    <row r="1402" spans="8:8" x14ac:dyDescent="0.25">
      <c r="H1402" t="s">
        <v>4680</v>
      </c>
    </row>
    <row r="1403" spans="8:8" x14ac:dyDescent="0.25">
      <c r="H1403" t="s">
        <v>4681</v>
      </c>
    </row>
    <row r="1404" spans="8:8" x14ac:dyDescent="0.25">
      <c r="H1404" t="s">
        <v>149</v>
      </c>
    </row>
    <row r="1405" spans="8:8" x14ac:dyDescent="0.25">
      <c r="H1405" t="s">
        <v>4682</v>
      </c>
    </row>
    <row r="1407" spans="8:8" x14ac:dyDescent="0.25">
      <c r="H1407" t="s">
        <v>4683</v>
      </c>
    </row>
    <row r="1408" spans="8:8" x14ac:dyDescent="0.25">
      <c r="H1408" t="s">
        <v>4684</v>
      </c>
    </row>
    <row r="1409" spans="8:8" x14ac:dyDescent="0.25">
      <c r="H1409" t="s">
        <v>149</v>
      </c>
    </row>
    <row r="1410" spans="8:8" x14ac:dyDescent="0.25">
      <c r="H1410" t="s">
        <v>4685</v>
      </c>
    </row>
    <row r="1412" spans="8:8" x14ac:dyDescent="0.25">
      <c r="H1412" t="s">
        <v>4686</v>
      </c>
    </row>
    <row r="1413" spans="8:8" x14ac:dyDescent="0.25">
      <c r="H1413" t="s">
        <v>4687</v>
      </c>
    </row>
    <row r="1414" spans="8:8" x14ac:dyDescent="0.25">
      <c r="H1414" t="s">
        <v>149</v>
      </c>
    </row>
    <row r="1415" spans="8:8" x14ac:dyDescent="0.25">
      <c r="H1415" t="s">
        <v>4688</v>
      </c>
    </row>
    <row r="1417" spans="8:8" x14ac:dyDescent="0.25">
      <c r="H1417" t="s">
        <v>4689</v>
      </c>
    </row>
    <row r="1418" spans="8:8" x14ac:dyDescent="0.25">
      <c r="H1418" t="s">
        <v>4690</v>
      </c>
    </row>
    <row r="1419" spans="8:8" x14ac:dyDescent="0.25">
      <c r="H1419" t="s">
        <v>149</v>
      </c>
    </row>
    <row r="1420" spans="8:8" x14ac:dyDescent="0.25">
      <c r="H1420" t="s">
        <v>4691</v>
      </c>
    </row>
    <row r="1422" spans="8:8" x14ac:dyDescent="0.25">
      <c r="H1422" t="s">
        <v>4692</v>
      </c>
    </row>
    <row r="1423" spans="8:8" x14ac:dyDescent="0.25">
      <c r="H1423" t="s">
        <v>4693</v>
      </c>
    </row>
    <row r="1424" spans="8:8" x14ac:dyDescent="0.25">
      <c r="H1424" t="s">
        <v>149</v>
      </c>
    </row>
    <row r="1425" spans="8:8" x14ac:dyDescent="0.25">
      <c r="H1425" t="s">
        <v>4694</v>
      </c>
    </row>
    <row r="1427" spans="8:8" x14ac:dyDescent="0.25">
      <c r="H1427" t="s">
        <v>4695</v>
      </c>
    </row>
    <row r="1428" spans="8:8" x14ac:dyDescent="0.25">
      <c r="H1428" t="s">
        <v>4696</v>
      </c>
    </row>
    <row r="1429" spans="8:8" x14ac:dyDescent="0.25">
      <c r="H1429" t="s">
        <v>149</v>
      </c>
    </row>
    <row r="1430" spans="8:8" x14ac:dyDescent="0.25">
      <c r="H1430" t="s">
        <v>4697</v>
      </c>
    </row>
    <row r="1432" spans="8:8" x14ac:dyDescent="0.25">
      <c r="H1432" t="s">
        <v>4698</v>
      </c>
    </row>
    <row r="1433" spans="8:8" x14ac:dyDescent="0.25">
      <c r="H1433" t="s">
        <v>4699</v>
      </c>
    </row>
    <row r="1434" spans="8:8" x14ac:dyDescent="0.25">
      <c r="H1434" t="s">
        <v>149</v>
      </c>
    </row>
    <row r="1435" spans="8:8" x14ac:dyDescent="0.25">
      <c r="H1435" t="s">
        <v>4700</v>
      </c>
    </row>
    <row r="1437" spans="8:8" x14ac:dyDescent="0.25">
      <c r="H1437" t="s">
        <v>4701</v>
      </c>
    </row>
    <row r="1438" spans="8:8" x14ac:dyDescent="0.25">
      <c r="H1438" t="s">
        <v>4702</v>
      </c>
    </row>
    <row r="1439" spans="8:8" x14ac:dyDescent="0.25">
      <c r="H1439" t="s">
        <v>149</v>
      </c>
    </row>
    <row r="1440" spans="8:8" x14ac:dyDescent="0.25">
      <c r="H1440" t="s">
        <v>4703</v>
      </c>
    </row>
    <row r="1442" spans="8:8" x14ac:dyDescent="0.25">
      <c r="H1442" t="s">
        <v>4704</v>
      </c>
    </row>
    <row r="1443" spans="8:8" x14ac:dyDescent="0.25">
      <c r="H1443" t="s">
        <v>4705</v>
      </c>
    </row>
    <row r="1444" spans="8:8" x14ac:dyDescent="0.25">
      <c r="H1444" t="s">
        <v>149</v>
      </c>
    </row>
    <row r="1445" spans="8:8" x14ac:dyDescent="0.25">
      <c r="H1445" t="s">
        <v>4706</v>
      </c>
    </row>
    <row r="1447" spans="8:8" x14ac:dyDescent="0.25">
      <c r="H1447" t="s">
        <v>4707</v>
      </c>
    </row>
    <row r="1448" spans="8:8" x14ac:dyDescent="0.25">
      <c r="H1448" t="s">
        <v>4708</v>
      </c>
    </row>
    <row r="1449" spans="8:8" x14ac:dyDescent="0.25">
      <c r="H1449" t="s">
        <v>149</v>
      </c>
    </row>
    <row r="1450" spans="8:8" x14ac:dyDescent="0.25">
      <c r="H1450" t="s">
        <v>4709</v>
      </c>
    </row>
    <row r="1452" spans="8:8" x14ac:dyDescent="0.25">
      <c r="H1452" t="s">
        <v>4710</v>
      </c>
    </row>
    <row r="1453" spans="8:8" x14ac:dyDescent="0.25">
      <c r="H1453" t="s">
        <v>4711</v>
      </c>
    </row>
    <row r="1454" spans="8:8" x14ac:dyDescent="0.25">
      <c r="H1454" t="s">
        <v>149</v>
      </c>
    </row>
    <row r="1455" spans="8:8" x14ac:dyDescent="0.25">
      <c r="H1455" t="s">
        <v>4712</v>
      </c>
    </row>
    <row r="1457" spans="8:8" x14ac:dyDescent="0.25">
      <c r="H1457" t="s">
        <v>4713</v>
      </c>
    </row>
    <row r="1458" spans="8:8" x14ac:dyDescent="0.25">
      <c r="H1458" t="s">
        <v>4714</v>
      </c>
    </row>
    <row r="1459" spans="8:8" x14ac:dyDescent="0.25">
      <c r="H1459" t="s">
        <v>149</v>
      </c>
    </row>
    <row r="1460" spans="8:8" x14ac:dyDescent="0.25">
      <c r="H1460" t="s">
        <v>4715</v>
      </c>
    </row>
    <row r="1462" spans="8:8" x14ac:dyDescent="0.25">
      <c r="H1462" t="s">
        <v>4716</v>
      </c>
    </row>
    <row r="1463" spans="8:8" x14ac:dyDescent="0.25">
      <c r="H1463" t="s">
        <v>4717</v>
      </c>
    </row>
    <row r="1464" spans="8:8" x14ac:dyDescent="0.25">
      <c r="H1464" t="s">
        <v>149</v>
      </c>
    </row>
    <row r="1465" spans="8:8" x14ac:dyDescent="0.25">
      <c r="H1465" t="s">
        <v>4718</v>
      </c>
    </row>
    <row r="1467" spans="8:8" x14ac:dyDescent="0.25">
      <c r="H1467" t="s">
        <v>4719</v>
      </c>
    </row>
    <row r="1468" spans="8:8" x14ac:dyDescent="0.25">
      <c r="H1468" t="s">
        <v>4720</v>
      </c>
    </row>
    <row r="1469" spans="8:8" x14ac:dyDescent="0.25">
      <c r="H1469" t="s">
        <v>149</v>
      </c>
    </row>
    <row r="1470" spans="8:8" x14ac:dyDescent="0.25">
      <c r="H1470" t="s">
        <v>4721</v>
      </c>
    </row>
    <row r="1472" spans="8:8" x14ac:dyDescent="0.25">
      <c r="H1472" t="s">
        <v>4722</v>
      </c>
    </row>
    <row r="1473" spans="8:8" x14ac:dyDescent="0.25">
      <c r="H1473" t="s">
        <v>4723</v>
      </c>
    </row>
    <row r="1474" spans="8:8" x14ac:dyDescent="0.25">
      <c r="H1474" t="s">
        <v>149</v>
      </c>
    </row>
    <row r="1475" spans="8:8" x14ac:dyDescent="0.25">
      <c r="H1475" t="s">
        <v>4724</v>
      </c>
    </row>
    <row r="1477" spans="8:8" x14ac:dyDescent="0.25">
      <c r="H1477" t="s">
        <v>4725</v>
      </c>
    </row>
    <row r="1478" spans="8:8" x14ac:dyDescent="0.25">
      <c r="H1478" t="s">
        <v>4726</v>
      </c>
    </row>
    <row r="1479" spans="8:8" x14ac:dyDescent="0.25">
      <c r="H1479" t="s">
        <v>149</v>
      </c>
    </row>
    <row r="1480" spans="8:8" x14ac:dyDescent="0.25">
      <c r="H1480" t="s">
        <v>4727</v>
      </c>
    </row>
    <row r="1482" spans="8:8" x14ac:dyDescent="0.25">
      <c r="H1482" t="s">
        <v>4728</v>
      </c>
    </row>
    <row r="1483" spans="8:8" x14ac:dyDescent="0.25">
      <c r="H1483" t="s">
        <v>4729</v>
      </c>
    </row>
    <row r="1484" spans="8:8" x14ac:dyDescent="0.25">
      <c r="H1484" t="s">
        <v>149</v>
      </c>
    </row>
    <row r="1485" spans="8:8" x14ac:dyDescent="0.25">
      <c r="H1485" t="s">
        <v>4730</v>
      </c>
    </row>
    <row r="1487" spans="8:8" x14ac:dyDescent="0.25">
      <c r="H1487" t="s">
        <v>4731</v>
      </c>
    </row>
    <row r="1488" spans="8:8" x14ac:dyDescent="0.25">
      <c r="H1488" t="s">
        <v>4732</v>
      </c>
    </row>
    <row r="1489" spans="8:8" x14ac:dyDescent="0.25">
      <c r="H1489" t="s">
        <v>149</v>
      </c>
    </row>
    <row r="1490" spans="8:8" x14ac:dyDescent="0.25">
      <c r="H1490" t="s">
        <v>4733</v>
      </c>
    </row>
    <row r="1492" spans="8:8" x14ac:dyDescent="0.25">
      <c r="H1492" t="s">
        <v>4734</v>
      </c>
    </row>
    <row r="1493" spans="8:8" x14ac:dyDescent="0.25">
      <c r="H1493" t="s">
        <v>4735</v>
      </c>
    </row>
    <row r="1494" spans="8:8" x14ac:dyDescent="0.25">
      <c r="H1494" t="s">
        <v>149</v>
      </c>
    </row>
    <row r="1495" spans="8:8" x14ac:dyDescent="0.25">
      <c r="H1495" t="s">
        <v>4736</v>
      </c>
    </row>
    <row r="1497" spans="8:8" x14ac:dyDescent="0.25">
      <c r="H1497" t="s">
        <v>4737</v>
      </c>
    </row>
    <row r="1498" spans="8:8" x14ac:dyDescent="0.25">
      <c r="H1498" t="s">
        <v>4738</v>
      </c>
    </row>
    <row r="1499" spans="8:8" x14ac:dyDescent="0.25">
      <c r="H1499" t="s">
        <v>149</v>
      </c>
    </row>
    <row r="1500" spans="8:8" x14ac:dyDescent="0.25">
      <c r="H1500" t="s">
        <v>4739</v>
      </c>
    </row>
    <row r="1502" spans="8:8" x14ac:dyDescent="0.25">
      <c r="H1502" t="s">
        <v>4740</v>
      </c>
    </row>
    <row r="1503" spans="8:8" x14ac:dyDescent="0.25">
      <c r="H1503" t="s">
        <v>4741</v>
      </c>
    </row>
    <row r="1504" spans="8:8" x14ac:dyDescent="0.25">
      <c r="H1504" t="s">
        <v>149</v>
      </c>
    </row>
    <row r="1505" spans="8:8" x14ac:dyDescent="0.25">
      <c r="H1505" t="s">
        <v>4742</v>
      </c>
    </row>
    <row r="1507" spans="8:8" x14ac:dyDescent="0.25">
      <c r="H1507" t="s">
        <v>4743</v>
      </c>
    </row>
    <row r="1508" spans="8:8" x14ac:dyDescent="0.25">
      <c r="H1508" t="s">
        <v>4744</v>
      </c>
    </row>
    <row r="1509" spans="8:8" x14ac:dyDescent="0.25">
      <c r="H1509" t="s">
        <v>149</v>
      </c>
    </row>
    <row r="1510" spans="8:8" x14ac:dyDescent="0.25">
      <c r="H1510" t="s">
        <v>4745</v>
      </c>
    </row>
    <row r="1512" spans="8:8" x14ac:dyDescent="0.25">
      <c r="H1512" t="s">
        <v>4746</v>
      </c>
    </row>
    <row r="1513" spans="8:8" x14ac:dyDescent="0.25">
      <c r="H1513" t="s">
        <v>4747</v>
      </c>
    </row>
    <row r="1514" spans="8:8" x14ac:dyDescent="0.25">
      <c r="H1514" t="s">
        <v>149</v>
      </c>
    </row>
    <row r="1515" spans="8:8" x14ac:dyDescent="0.25">
      <c r="H1515" t="s">
        <v>4748</v>
      </c>
    </row>
    <row r="1517" spans="8:8" x14ac:dyDescent="0.25">
      <c r="H1517" t="s">
        <v>4749</v>
      </c>
    </row>
    <row r="1518" spans="8:8" x14ac:dyDescent="0.25">
      <c r="H1518" t="s">
        <v>4750</v>
      </c>
    </row>
    <row r="1519" spans="8:8" x14ac:dyDescent="0.25">
      <c r="H1519" t="s">
        <v>149</v>
      </c>
    </row>
    <row r="1520" spans="8:8" x14ac:dyDescent="0.25">
      <c r="H1520" t="s">
        <v>4751</v>
      </c>
    </row>
    <row r="1522" spans="8:8" x14ac:dyDescent="0.25">
      <c r="H1522" t="s">
        <v>4752</v>
      </c>
    </row>
    <row r="1523" spans="8:8" x14ac:dyDescent="0.25">
      <c r="H1523" t="s">
        <v>4753</v>
      </c>
    </row>
    <row r="1524" spans="8:8" x14ac:dyDescent="0.25">
      <c r="H1524" t="s">
        <v>149</v>
      </c>
    </row>
    <row r="1525" spans="8:8" x14ac:dyDescent="0.25">
      <c r="H1525" t="s">
        <v>4754</v>
      </c>
    </row>
    <row r="1527" spans="8:8" x14ac:dyDescent="0.25">
      <c r="H1527" t="s">
        <v>4755</v>
      </c>
    </row>
    <row r="1528" spans="8:8" x14ac:dyDescent="0.25">
      <c r="H1528" t="s">
        <v>4756</v>
      </c>
    </row>
    <row r="1529" spans="8:8" x14ac:dyDescent="0.25">
      <c r="H1529" t="s">
        <v>149</v>
      </c>
    </row>
    <row r="1530" spans="8:8" x14ac:dyDescent="0.25">
      <c r="H1530" t="s">
        <v>4757</v>
      </c>
    </row>
    <row r="1532" spans="8:8" x14ac:dyDescent="0.25">
      <c r="H1532" t="s">
        <v>4758</v>
      </c>
    </row>
    <row r="1533" spans="8:8" x14ac:dyDescent="0.25">
      <c r="H1533" t="s">
        <v>4759</v>
      </c>
    </row>
    <row r="1534" spans="8:8" x14ac:dyDescent="0.25">
      <c r="H1534" t="s">
        <v>149</v>
      </c>
    </row>
    <row r="1535" spans="8:8" x14ac:dyDescent="0.25">
      <c r="H1535" t="s">
        <v>4760</v>
      </c>
    </row>
    <row r="1537" spans="8:8" x14ac:dyDescent="0.25">
      <c r="H1537" t="s">
        <v>4761</v>
      </c>
    </row>
    <row r="1538" spans="8:8" x14ac:dyDescent="0.25">
      <c r="H1538" t="s">
        <v>4762</v>
      </c>
    </row>
    <row r="1539" spans="8:8" x14ac:dyDescent="0.25">
      <c r="H1539" t="s">
        <v>149</v>
      </c>
    </row>
    <row r="1540" spans="8:8" x14ac:dyDescent="0.25">
      <c r="H1540" t="s">
        <v>4763</v>
      </c>
    </row>
    <row r="1542" spans="8:8" x14ac:dyDescent="0.25">
      <c r="H1542" t="s">
        <v>4764</v>
      </c>
    </row>
    <row r="1543" spans="8:8" x14ac:dyDescent="0.25">
      <c r="H1543" t="s">
        <v>4765</v>
      </c>
    </row>
    <row r="1544" spans="8:8" x14ac:dyDescent="0.25">
      <c r="H1544" t="s">
        <v>149</v>
      </c>
    </row>
    <row r="1545" spans="8:8" x14ac:dyDescent="0.25">
      <c r="H1545" t="s">
        <v>4766</v>
      </c>
    </row>
    <row r="1547" spans="8:8" x14ac:dyDescent="0.25">
      <c r="H1547" t="s">
        <v>4767</v>
      </c>
    </row>
    <row r="1548" spans="8:8" x14ac:dyDescent="0.25">
      <c r="H1548" t="s">
        <v>4768</v>
      </c>
    </row>
    <row r="1549" spans="8:8" x14ac:dyDescent="0.25">
      <c r="H1549" t="s">
        <v>149</v>
      </c>
    </row>
    <row r="1550" spans="8:8" x14ac:dyDescent="0.25">
      <c r="H1550" t="s">
        <v>4769</v>
      </c>
    </row>
    <row r="1552" spans="8:8" x14ac:dyDescent="0.25">
      <c r="H1552" t="s">
        <v>4770</v>
      </c>
    </row>
    <row r="1553" spans="8:8" x14ac:dyDescent="0.25">
      <c r="H1553" t="s">
        <v>4771</v>
      </c>
    </row>
    <row r="1554" spans="8:8" x14ac:dyDescent="0.25">
      <c r="H1554" t="s">
        <v>149</v>
      </c>
    </row>
    <row r="1555" spans="8:8" x14ac:dyDescent="0.25">
      <c r="H1555" t="s">
        <v>4772</v>
      </c>
    </row>
    <row r="1557" spans="8:8" x14ac:dyDescent="0.25">
      <c r="H1557" t="s">
        <v>4773</v>
      </c>
    </row>
    <row r="1558" spans="8:8" x14ac:dyDescent="0.25">
      <c r="H1558" t="s">
        <v>4774</v>
      </c>
    </row>
    <row r="1559" spans="8:8" x14ac:dyDescent="0.25">
      <c r="H1559" t="s">
        <v>149</v>
      </c>
    </row>
    <row r="1560" spans="8:8" x14ac:dyDescent="0.25">
      <c r="H1560" t="s">
        <v>4775</v>
      </c>
    </row>
    <row r="1562" spans="8:8" x14ac:dyDescent="0.25">
      <c r="H1562" t="s">
        <v>4776</v>
      </c>
    </row>
    <row r="1563" spans="8:8" x14ac:dyDescent="0.25">
      <c r="H1563" t="s">
        <v>4777</v>
      </c>
    </row>
    <row r="1564" spans="8:8" x14ac:dyDescent="0.25">
      <c r="H1564" t="s">
        <v>149</v>
      </c>
    </row>
    <row r="1565" spans="8:8" x14ac:dyDescent="0.25">
      <c r="H1565" t="s">
        <v>4778</v>
      </c>
    </row>
    <row r="1567" spans="8:8" x14ac:dyDescent="0.25">
      <c r="H1567" t="s">
        <v>4779</v>
      </c>
    </row>
    <row r="1568" spans="8:8" x14ac:dyDescent="0.25">
      <c r="H1568" t="s">
        <v>4780</v>
      </c>
    </row>
    <row r="1569" spans="8:8" x14ac:dyDescent="0.25">
      <c r="H1569" t="s">
        <v>149</v>
      </c>
    </row>
    <row r="1570" spans="8:8" x14ac:dyDescent="0.25">
      <c r="H1570" t="s">
        <v>4781</v>
      </c>
    </row>
    <row r="1572" spans="8:8" x14ac:dyDescent="0.25">
      <c r="H1572" t="s">
        <v>4782</v>
      </c>
    </row>
    <row r="1573" spans="8:8" x14ac:dyDescent="0.25">
      <c r="H1573" t="s">
        <v>4783</v>
      </c>
    </row>
    <row r="1574" spans="8:8" x14ac:dyDescent="0.25">
      <c r="H1574" t="s">
        <v>149</v>
      </c>
    </row>
    <row r="1575" spans="8:8" x14ac:dyDescent="0.25">
      <c r="H1575" t="s">
        <v>4784</v>
      </c>
    </row>
    <row r="1577" spans="8:8" x14ac:dyDescent="0.25">
      <c r="H1577" t="s">
        <v>4785</v>
      </c>
    </row>
    <row r="1578" spans="8:8" x14ac:dyDescent="0.25">
      <c r="H1578" t="s">
        <v>4786</v>
      </c>
    </row>
    <row r="1579" spans="8:8" x14ac:dyDescent="0.25">
      <c r="H1579" t="s">
        <v>149</v>
      </c>
    </row>
    <row r="1580" spans="8:8" x14ac:dyDescent="0.25">
      <c r="H1580" t="s">
        <v>4787</v>
      </c>
    </row>
    <row r="1582" spans="8:8" x14ac:dyDescent="0.25">
      <c r="H1582" t="s">
        <v>4788</v>
      </c>
    </row>
    <row r="1583" spans="8:8" x14ac:dyDescent="0.25">
      <c r="H1583" t="s">
        <v>4789</v>
      </c>
    </row>
    <row r="1584" spans="8:8" x14ac:dyDescent="0.25">
      <c r="H1584" t="s">
        <v>149</v>
      </c>
    </row>
    <row r="1585" spans="8:8" x14ac:dyDescent="0.25">
      <c r="H1585" t="s">
        <v>4790</v>
      </c>
    </row>
    <row r="1587" spans="8:8" x14ac:dyDescent="0.25">
      <c r="H1587" t="s">
        <v>4791</v>
      </c>
    </row>
    <row r="1588" spans="8:8" x14ac:dyDescent="0.25">
      <c r="H1588" t="s">
        <v>4792</v>
      </c>
    </row>
    <row r="1589" spans="8:8" x14ac:dyDescent="0.25">
      <c r="H1589" t="s">
        <v>149</v>
      </c>
    </row>
    <row r="1590" spans="8:8" x14ac:dyDescent="0.25">
      <c r="H1590" t="s">
        <v>4793</v>
      </c>
    </row>
    <row r="1592" spans="8:8" x14ac:dyDescent="0.25">
      <c r="H1592" t="s">
        <v>4794</v>
      </c>
    </row>
    <row r="1593" spans="8:8" x14ac:dyDescent="0.25">
      <c r="H1593" t="s">
        <v>4795</v>
      </c>
    </row>
    <row r="1594" spans="8:8" x14ac:dyDescent="0.25">
      <c r="H1594" t="s">
        <v>149</v>
      </c>
    </row>
    <row r="1595" spans="8:8" x14ac:dyDescent="0.25">
      <c r="H1595" t="s">
        <v>4796</v>
      </c>
    </row>
    <row r="1597" spans="8:8" x14ac:dyDescent="0.25">
      <c r="H1597" t="s">
        <v>4797</v>
      </c>
    </row>
    <row r="1598" spans="8:8" x14ac:dyDescent="0.25">
      <c r="H1598" t="s">
        <v>4798</v>
      </c>
    </row>
    <row r="1599" spans="8:8" x14ac:dyDescent="0.25">
      <c r="H1599" t="s">
        <v>149</v>
      </c>
    </row>
    <row r="1600" spans="8:8" x14ac:dyDescent="0.25">
      <c r="H1600" t="s">
        <v>4799</v>
      </c>
    </row>
    <row r="1602" spans="8:8" x14ac:dyDescent="0.25">
      <c r="H1602" t="s">
        <v>4800</v>
      </c>
    </row>
    <row r="1603" spans="8:8" x14ac:dyDescent="0.25">
      <c r="H1603" t="s">
        <v>4801</v>
      </c>
    </row>
    <row r="1604" spans="8:8" x14ac:dyDescent="0.25">
      <c r="H1604" t="s">
        <v>149</v>
      </c>
    </row>
    <row r="1605" spans="8:8" x14ac:dyDescent="0.25">
      <c r="H1605" t="s">
        <v>4802</v>
      </c>
    </row>
    <row r="1607" spans="8:8" x14ac:dyDescent="0.25">
      <c r="H1607" t="s">
        <v>4803</v>
      </c>
    </row>
    <row r="1608" spans="8:8" x14ac:dyDescent="0.25">
      <c r="H1608" t="s">
        <v>4804</v>
      </c>
    </row>
    <row r="1609" spans="8:8" x14ac:dyDescent="0.25">
      <c r="H1609" t="s">
        <v>149</v>
      </c>
    </row>
    <row r="1610" spans="8:8" x14ac:dyDescent="0.25">
      <c r="H1610" t="s">
        <v>4805</v>
      </c>
    </row>
    <row r="1612" spans="8:8" x14ac:dyDescent="0.25">
      <c r="H1612" t="s">
        <v>4806</v>
      </c>
    </row>
    <row r="1613" spans="8:8" x14ac:dyDescent="0.25">
      <c r="H1613" t="s">
        <v>4807</v>
      </c>
    </row>
    <row r="1614" spans="8:8" x14ac:dyDescent="0.25">
      <c r="H1614" t="s">
        <v>149</v>
      </c>
    </row>
    <row r="1615" spans="8:8" x14ac:dyDescent="0.25">
      <c r="H1615" t="s">
        <v>4808</v>
      </c>
    </row>
    <row r="1617" spans="8:8" x14ac:dyDescent="0.25">
      <c r="H1617" t="s">
        <v>4809</v>
      </c>
    </row>
    <row r="1618" spans="8:8" x14ac:dyDescent="0.25">
      <c r="H1618" t="s">
        <v>4810</v>
      </c>
    </row>
    <row r="1619" spans="8:8" x14ac:dyDescent="0.25">
      <c r="H1619" t="s">
        <v>149</v>
      </c>
    </row>
    <row r="1620" spans="8:8" x14ac:dyDescent="0.25">
      <c r="H1620" t="s">
        <v>4811</v>
      </c>
    </row>
    <row r="1622" spans="8:8" x14ac:dyDescent="0.25">
      <c r="H1622" t="s">
        <v>4812</v>
      </c>
    </row>
    <row r="1623" spans="8:8" x14ac:dyDescent="0.25">
      <c r="H1623" t="s">
        <v>4813</v>
      </c>
    </row>
    <row r="1624" spans="8:8" x14ac:dyDescent="0.25">
      <c r="H1624" t="s">
        <v>149</v>
      </c>
    </row>
    <row r="1625" spans="8:8" x14ac:dyDescent="0.25">
      <c r="H1625" t="s">
        <v>4814</v>
      </c>
    </row>
    <row r="1627" spans="8:8" x14ac:dyDescent="0.25">
      <c r="H1627" t="s">
        <v>4815</v>
      </c>
    </row>
    <row r="1628" spans="8:8" x14ac:dyDescent="0.25">
      <c r="H1628" t="s">
        <v>4816</v>
      </c>
    </row>
    <row r="1629" spans="8:8" x14ac:dyDescent="0.25">
      <c r="H1629" t="s">
        <v>149</v>
      </c>
    </row>
    <row r="1630" spans="8:8" x14ac:dyDescent="0.25">
      <c r="H1630" t="s">
        <v>4817</v>
      </c>
    </row>
    <row r="1632" spans="8:8" x14ac:dyDescent="0.25">
      <c r="H1632" t="s">
        <v>4818</v>
      </c>
    </row>
    <row r="1633" spans="8:8" x14ac:dyDescent="0.25">
      <c r="H1633" t="s">
        <v>4819</v>
      </c>
    </row>
    <row r="1634" spans="8:8" x14ac:dyDescent="0.25">
      <c r="H1634" t="s">
        <v>149</v>
      </c>
    </row>
    <row r="1635" spans="8:8" x14ac:dyDescent="0.25">
      <c r="H1635" t="s">
        <v>4820</v>
      </c>
    </row>
    <row r="1637" spans="8:8" x14ac:dyDescent="0.25">
      <c r="H1637" t="s">
        <v>4821</v>
      </c>
    </row>
    <row r="1638" spans="8:8" x14ac:dyDescent="0.25">
      <c r="H1638" t="s">
        <v>4822</v>
      </c>
    </row>
    <row r="1639" spans="8:8" x14ac:dyDescent="0.25">
      <c r="H1639" t="s">
        <v>149</v>
      </c>
    </row>
    <row r="1640" spans="8:8" x14ac:dyDescent="0.25">
      <c r="H1640" t="s">
        <v>4823</v>
      </c>
    </row>
    <row r="1642" spans="8:8" x14ac:dyDescent="0.25">
      <c r="H1642" t="s">
        <v>4824</v>
      </c>
    </row>
    <row r="1643" spans="8:8" x14ac:dyDescent="0.25">
      <c r="H1643" t="s">
        <v>4825</v>
      </c>
    </row>
    <row r="1644" spans="8:8" x14ac:dyDescent="0.25">
      <c r="H1644" t="s">
        <v>149</v>
      </c>
    </row>
    <row r="1645" spans="8:8" x14ac:dyDescent="0.25">
      <c r="H1645" t="s">
        <v>4826</v>
      </c>
    </row>
    <row r="1647" spans="8:8" x14ac:dyDescent="0.25">
      <c r="H1647" t="s">
        <v>4827</v>
      </c>
    </row>
    <row r="1648" spans="8:8" x14ac:dyDescent="0.25">
      <c r="H1648" t="s">
        <v>4828</v>
      </c>
    </row>
    <row r="1649" spans="8:8" x14ac:dyDescent="0.25">
      <c r="H1649" t="s">
        <v>149</v>
      </c>
    </row>
    <row r="1650" spans="8:8" x14ac:dyDescent="0.25">
      <c r="H1650" t="s">
        <v>4829</v>
      </c>
    </row>
    <row r="1652" spans="8:8" x14ac:dyDescent="0.25">
      <c r="H1652" t="s">
        <v>4830</v>
      </c>
    </row>
    <row r="1653" spans="8:8" x14ac:dyDescent="0.25">
      <c r="H1653" t="s">
        <v>4831</v>
      </c>
    </row>
    <row r="1654" spans="8:8" x14ac:dyDescent="0.25">
      <c r="H1654" t="s">
        <v>149</v>
      </c>
    </row>
    <row r="1655" spans="8:8" x14ac:dyDescent="0.25">
      <c r="H1655" t="s">
        <v>4832</v>
      </c>
    </row>
    <row r="1657" spans="8:8" x14ac:dyDescent="0.25">
      <c r="H1657" t="s">
        <v>4833</v>
      </c>
    </row>
    <row r="1658" spans="8:8" x14ac:dyDescent="0.25">
      <c r="H1658" t="s">
        <v>4834</v>
      </c>
    </row>
    <row r="1659" spans="8:8" x14ac:dyDescent="0.25">
      <c r="H1659" t="s">
        <v>149</v>
      </c>
    </row>
    <row r="1660" spans="8:8" x14ac:dyDescent="0.25">
      <c r="H1660" t="s">
        <v>4835</v>
      </c>
    </row>
    <row r="1662" spans="8:8" x14ac:dyDescent="0.25">
      <c r="H1662" t="s">
        <v>4836</v>
      </c>
    </row>
    <row r="1663" spans="8:8" x14ac:dyDescent="0.25">
      <c r="H1663" t="s">
        <v>4837</v>
      </c>
    </row>
    <row r="1664" spans="8:8" x14ac:dyDescent="0.25">
      <c r="H1664" t="s">
        <v>149</v>
      </c>
    </row>
    <row r="1665" spans="8:8" x14ac:dyDescent="0.25">
      <c r="H1665" t="s">
        <v>4838</v>
      </c>
    </row>
    <row r="1667" spans="8:8" x14ac:dyDescent="0.25">
      <c r="H1667" t="s">
        <v>4839</v>
      </c>
    </row>
    <row r="1668" spans="8:8" x14ac:dyDescent="0.25">
      <c r="H1668" t="s">
        <v>4840</v>
      </c>
    </row>
    <row r="1669" spans="8:8" x14ac:dyDescent="0.25">
      <c r="H1669" t="s">
        <v>149</v>
      </c>
    </row>
    <row r="1670" spans="8:8" x14ac:dyDescent="0.25">
      <c r="H1670" t="s">
        <v>4841</v>
      </c>
    </row>
    <row r="1672" spans="8:8" x14ac:dyDescent="0.25">
      <c r="H1672" t="s">
        <v>4842</v>
      </c>
    </row>
    <row r="1673" spans="8:8" x14ac:dyDescent="0.25">
      <c r="H1673" t="s">
        <v>4843</v>
      </c>
    </row>
    <row r="1674" spans="8:8" x14ac:dyDescent="0.25">
      <c r="H1674" t="s">
        <v>149</v>
      </c>
    </row>
    <row r="1675" spans="8:8" x14ac:dyDescent="0.25">
      <c r="H1675" t="s">
        <v>4844</v>
      </c>
    </row>
    <row r="1677" spans="8:8" x14ac:dyDescent="0.25">
      <c r="H1677" t="s">
        <v>4845</v>
      </c>
    </row>
    <row r="1678" spans="8:8" x14ac:dyDescent="0.25">
      <c r="H1678" t="s">
        <v>4846</v>
      </c>
    </row>
    <row r="1679" spans="8:8" x14ac:dyDescent="0.25">
      <c r="H1679" t="s">
        <v>149</v>
      </c>
    </row>
    <row r="1680" spans="8:8" x14ac:dyDescent="0.25">
      <c r="H1680" t="s">
        <v>4847</v>
      </c>
    </row>
    <row r="1682" spans="8:8" x14ac:dyDescent="0.25">
      <c r="H1682" t="s">
        <v>4848</v>
      </c>
    </row>
    <row r="1683" spans="8:8" x14ac:dyDescent="0.25">
      <c r="H1683" t="s">
        <v>4849</v>
      </c>
    </row>
    <row r="1684" spans="8:8" x14ac:dyDescent="0.25">
      <c r="H1684" t="s">
        <v>149</v>
      </c>
    </row>
    <row r="1685" spans="8:8" x14ac:dyDescent="0.25">
      <c r="H1685" t="s">
        <v>4850</v>
      </c>
    </row>
    <row r="1687" spans="8:8" x14ac:dyDescent="0.25">
      <c r="H1687" t="s">
        <v>4851</v>
      </c>
    </row>
    <row r="1688" spans="8:8" x14ac:dyDescent="0.25">
      <c r="H1688" t="s">
        <v>4852</v>
      </c>
    </row>
    <row r="1689" spans="8:8" x14ac:dyDescent="0.25">
      <c r="H1689" t="s">
        <v>149</v>
      </c>
    </row>
    <row r="1690" spans="8:8" x14ac:dyDescent="0.25">
      <c r="H1690" t="s">
        <v>4853</v>
      </c>
    </row>
    <row r="1692" spans="8:8" x14ac:dyDescent="0.25">
      <c r="H1692" t="s">
        <v>4854</v>
      </c>
    </row>
    <row r="1693" spans="8:8" x14ac:dyDescent="0.25">
      <c r="H1693" t="s">
        <v>4855</v>
      </c>
    </row>
    <row r="1694" spans="8:8" x14ac:dyDescent="0.25">
      <c r="H1694" t="s">
        <v>149</v>
      </c>
    </row>
    <row r="1695" spans="8:8" x14ac:dyDescent="0.25">
      <c r="H1695" t="s">
        <v>4856</v>
      </c>
    </row>
    <row r="1697" spans="8:8" x14ac:dyDescent="0.25">
      <c r="H1697" t="s">
        <v>4857</v>
      </c>
    </row>
    <row r="1698" spans="8:8" x14ac:dyDescent="0.25">
      <c r="H1698" t="s">
        <v>4858</v>
      </c>
    </row>
    <row r="1699" spans="8:8" x14ac:dyDescent="0.25">
      <c r="H1699" t="s">
        <v>149</v>
      </c>
    </row>
    <row r="1700" spans="8:8" x14ac:dyDescent="0.25">
      <c r="H1700" t="s">
        <v>4859</v>
      </c>
    </row>
    <row r="1702" spans="8:8" x14ac:dyDescent="0.25">
      <c r="H1702" t="s">
        <v>4860</v>
      </c>
    </row>
    <row r="1703" spans="8:8" x14ac:dyDescent="0.25">
      <c r="H1703" t="s">
        <v>4861</v>
      </c>
    </row>
    <row r="1704" spans="8:8" x14ac:dyDescent="0.25">
      <c r="H1704" t="s">
        <v>149</v>
      </c>
    </row>
    <row r="1705" spans="8:8" x14ac:dyDescent="0.25">
      <c r="H1705" t="s">
        <v>4862</v>
      </c>
    </row>
    <row r="1707" spans="8:8" x14ac:dyDescent="0.25">
      <c r="H1707" t="s">
        <v>4863</v>
      </c>
    </row>
    <row r="1708" spans="8:8" x14ac:dyDescent="0.25">
      <c r="H1708" t="s">
        <v>4864</v>
      </c>
    </row>
    <row r="1709" spans="8:8" x14ac:dyDescent="0.25">
      <c r="H1709" t="s">
        <v>149</v>
      </c>
    </row>
    <row r="1710" spans="8:8" x14ac:dyDescent="0.25">
      <c r="H1710" t="s">
        <v>4865</v>
      </c>
    </row>
    <row r="1712" spans="8:8" x14ac:dyDescent="0.25">
      <c r="H1712" t="s">
        <v>4866</v>
      </c>
    </row>
    <row r="1713" spans="8:8" x14ac:dyDescent="0.25">
      <c r="H1713" t="s">
        <v>4867</v>
      </c>
    </row>
    <row r="1714" spans="8:8" x14ac:dyDescent="0.25">
      <c r="H1714" t="s">
        <v>149</v>
      </c>
    </row>
    <row r="1715" spans="8:8" x14ac:dyDescent="0.25">
      <c r="H1715" t="s">
        <v>4868</v>
      </c>
    </row>
    <row r="1717" spans="8:8" x14ac:dyDescent="0.25">
      <c r="H1717" t="s">
        <v>4869</v>
      </c>
    </row>
    <row r="1718" spans="8:8" x14ac:dyDescent="0.25">
      <c r="H1718" t="s">
        <v>4870</v>
      </c>
    </row>
    <row r="1719" spans="8:8" x14ac:dyDescent="0.25">
      <c r="H1719" t="s">
        <v>149</v>
      </c>
    </row>
    <row r="1720" spans="8:8" x14ac:dyDescent="0.25">
      <c r="H1720" t="s">
        <v>4871</v>
      </c>
    </row>
    <row r="1722" spans="8:8" x14ac:dyDescent="0.25">
      <c r="H1722" t="s">
        <v>4872</v>
      </c>
    </row>
    <row r="1723" spans="8:8" x14ac:dyDescent="0.25">
      <c r="H1723" t="s">
        <v>4873</v>
      </c>
    </row>
    <row r="1724" spans="8:8" x14ac:dyDescent="0.25">
      <c r="H1724" t="s">
        <v>149</v>
      </c>
    </row>
    <row r="1725" spans="8:8" x14ac:dyDescent="0.25">
      <c r="H1725" t="s">
        <v>4874</v>
      </c>
    </row>
    <row r="1727" spans="8:8" x14ac:dyDescent="0.25">
      <c r="H1727" t="s">
        <v>4875</v>
      </c>
    </row>
    <row r="1728" spans="8:8" x14ac:dyDescent="0.25">
      <c r="H1728" t="s">
        <v>4876</v>
      </c>
    </row>
    <row r="1729" spans="8:8" x14ac:dyDescent="0.25">
      <c r="H1729" t="s">
        <v>149</v>
      </c>
    </row>
    <row r="1730" spans="8:8" x14ac:dyDescent="0.25">
      <c r="H1730" t="s">
        <v>4877</v>
      </c>
    </row>
    <row r="1732" spans="8:8" x14ac:dyDescent="0.25">
      <c r="H1732" t="s">
        <v>4878</v>
      </c>
    </row>
    <row r="1733" spans="8:8" x14ac:dyDescent="0.25">
      <c r="H1733" t="s">
        <v>4879</v>
      </c>
    </row>
    <row r="1734" spans="8:8" x14ac:dyDescent="0.25">
      <c r="H1734" t="s">
        <v>149</v>
      </c>
    </row>
    <row r="1735" spans="8:8" x14ac:dyDescent="0.25">
      <c r="H1735" t="s">
        <v>4880</v>
      </c>
    </row>
    <row r="1737" spans="8:8" x14ac:dyDescent="0.25">
      <c r="H1737" t="s">
        <v>4881</v>
      </c>
    </row>
    <row r="1738" spans="8:8" x14ac:dyDescent="0.25">
      <c r="H1738" t="s">
        <v>4882</v>
      </c>
    </row>
    <row r="1739" spans="8:8" x14ac:dyDescent="0.25">
      <c r="H1739" t="s">
        <v>149</v>
      </c>
    </row>
    <row r="1740" spans="8:8" x14ac:dyDescent="0.25">
      <c r="H1740" t="s">
        <v>4883</v>
      </c>
    </row>
    <row r="1742" spans="8:8" x14ac:dyDescent="0.25">
      <c r="H1742" t="s">
        <v>4884</v>
      </c>
    </row>
    <row r="1743" spans="8:8" x14ac:dyDescent="0.25">
      <c r="H1743" t="s">
        <v>4885</v>
      </c>
    </row>
    <row r="1744" spans="8:8" x14ac:dyDescent="0.25">
      <c r="H1744" t="s">
        <v>149</v>
      </c>
    </row>
    <row r="1745" spans="8:8" x14ac:dyDescent="0.25">
      <c r="H1745" t="s">
        <v>4886</v>
      </c>
    </row>
    <row r="1747" spans="8:8" x14ac:dyDescent="0.25">
      <c r="H1747" t="s">
        <v>4887</v>
      </c>
    </row>
    <row r="1748" spans="8:8" x14ac:dyDescent="0.25">
      <c r="H1748" t="s">
        <v>4888</v>
      </c>
    </row>
    <row r="1749" spans="8:8" x14ac:dyDescent="0.25">
      <c r="H1749" t="s">
        <v>149</v>
      </c>
    </row>
    <row r="1750" spans="8:8" x14ac:dyDescent="0.25">
      <c r="H1750" t="s">
        <v>4889</v>
      </c>
    </row>
    <row r="1752" spans="8:8" x14ac:dyDescent="0.25">
      <c r="H1752" t="s">
        <v>4890</v>
      </c>
    </row>
    <row r="1753" spans="8:8" x14ac:dyDescent="0.25">
      <c r="H1753" t="s">
        <v>4891</v>
      </c>
    </row>
    <row r="1754" spans="8:8" x14ac:dyDescent="0.25">
      <c r="H1754" t="s">
        <v>149</v>
      </c>
    </row>
    <row r="1755" spans="8:8" x14ac:dyDescent="0.25">
      <c r="H1755" t="s">
        <v>4892</v>
      </c>
    </row>
    <row r="1757" spans="8:8" x14ac:dyDescent="0.25">
      <c r="H1757" t="s">
        <v>4893</v>
      </c>
    </row>
    <row r="1758" spans="8:8" x14ac:dyDescent="0.25">
      <c r="H1758" t="s">
        <v>4894</v>
      </c>
    </row>
    <row r="1759" spans="8:8" x14ac:dyDescent="0.25">
      <c r="H1759" t="s">
        <v>149</v>
      </c>
    </row>
    <row r="1760" spans="8:8" x14ac:dyDescent="0.25">
      <c r="H1760" t="s">
        <v>4895</v>
      </c>
    </row>
    <row r="1762" spans="8:8" x14ac:dyDescent="0.25">
      <c r="H1762" t="s">
        <v>4896</v>
      </c>
    </row>
    <row r="1763" spans="8:8" x14ac:dyDescent="0.25">
      <c r="H1763" t="s">
        <v>4897</v>
      </c>
    </row>
    <row r="1764" spans="8:8" x14ac:dyDescent="0.25">
      <c r="H1764" t="s">
        <v>149</v>
      </c>
    </row>
    <row r="1765" spans="8:8" x14ac:dyDescent="0.25">
      <c r="H1765" t="s">
        <v>4898</v>
      </c>
    </row>
    <row r="1767" spans="8:8" x14ac:dyDescent="0.25">
      <c r="H1767" t="s">
        <v>4899</v>
      </c>
    </row>
    <row r="1768" spans="8:8" x14ac:dyDescent="0.25">
      <c r="H1768" t="s">
        <v>4900</v>
      </c>
    </row>
    <row r="1769" spans="8:8" x14ac:dyDescent="0.25">
      <c r="H1769" t="s">
        <v>149</v>
      </c>
    </row>
    <row r="1770" spans="8:8" x14ac:dyDescent="0.25">
      <c r="H1770" t="s">
        <v>4901</v>
      </c>
    </row>
    <row r="1772" spans="8:8" x14ac:dyDescent="0.25">
      <c r="H1772" t="s">
        <v>4902</v>
      </c>
    </row>
    <row r="1773" spans="8:8" x14ac:dyDescent="0.25">
      <c r="H1773" t="s">
        <v>4903</v>
      </c>
    </row>
    <row r="1774" spans="8:8" x14ac:dyDescent="0.25">
      <c r="H1774" t="s">
        <v>149</v>
      </c>
    </row>
    <row r="1775" spans="8:8" x14ac:dyDescent="0.25">
      <c r="H1775" t="s">
        <v>4904</v>
      </c>
    </row>
    <row r="1777" spans="8:8" x14ac:dyDescent="0.25">
      <c r="H1777" t="s">
        <v>4905</v>
      </c>
    </row>
    <row r="1778" spans="8:8" x14ac:dyDescent="0.25">
      <c r="H1778" t="s">
        <v>4906</v>
      </c>
    </row>
    <row r="1779" spans="8:8" x14ac:dyDescent="0.25">
      <c r="H1779" t="s">
        <v>149</v>
      </c>
    </row>
    <row r="1780" spans="8:8" x14ac:dyDescent="0.25">
      <c r="H1780" t="s">
        <v>4907</v>
      </c>
    </row>
    <row r="1782" spans="8:8" x14ac:dyDescent="0.25">
      <c r="H1782" t="s">
        <v>4908</v>
      </c>
    </row>
    <row r="1783" spans="8:8" x14ac:dyDescent="0.25">
      <c r="H1783" t="s">
        <v>4909</v>
      </c>
    </row>
    <row r="1784" spans="8:8" x14ac:dyDescent="0.25">
      <c r="H1784" t="s">
        <v>149</v>
      </c>
    </row>
    <row r="1785" spans="8:8" x14ac:dyDescent="0.25">
      <c r="H1785" t="s">
        <v>4910</v>
      </c>
    </row>
    <row r="1787" spans="8:8" x14ac:dyDescent="0.25">
      <c r="H1787" t="s">
        <v>4911</v>
      </c>
    </row>
    <row r="1788" spans="8:8" x14ac:dyDescent="0.25">
      <c r="H1788" t="s">
        <v>4912</v>
      </c>
    </row>
    <row r="1789" spans="8:8" x14ac:dyDescent="0.25">
      <c r="H1789" t="s">
        <v>149</v>
      </c>
    </row>
    <row r="1790" spans="8:8" x14ac:dyDescent="0.25">
      <c r="H1790" t="s">
        <v>4913</v>
      </c>
    </row>
    <row r="1792" spans="8:8" x14ac:dyDescent="0.25">
      <c r="H1792" t="s">
        <v>4914</v>
      </c>
    </row>
    <row r="1793" spans="8:8" x14ac:dyDescent="0.25">
      <c r="H1793" t="s">
        <v>4915</v>
      </c>
    </row>
    <row r="1794" spans="8:8" x14ac:dyDescent="0.25">
      <c r="H1794" t="s">
        <v>149</v>
      </c>
    </row>
    <row r="1795" spans="8:8" x14ac:dyDescent="0.25">
      <c r="H1795" t="s">
        <v>4916</v>
      </c>
    </row>
    <row r="1797" spans="8:8" x14ac:dyDescent="0.25">
      <c r="H1797" t="s">
        <v>4917</v>
      </c>
    </row>
    <row r="1798" spans="8:8" x14ac:dyDescent="0.25">
      <c r="H1798" t="s">
        <v>4918</v>
      </c>
    </row>
    <row r="1799" spans="8:8" x14ac:dyDescent="0.25">
      <c r="H1799" t="s">
        <v>149</v>
      </c>
    </row>
    <row r="1800" spans="8:8" x14ac:dyDescent="0.25">
      <c r="H1800" t="s">
        <v>4919</v>
      </c>
    </row>
    <row r="1802" spans="8:8" x14ac:dyDescent="0.25">
      <c r="H1802" t="s">
        <v>4920</v>
      </c>
    </row>
    <row r="1803" spans="8:8" x14ac:dyDescent="0.25">
      <c r="H1803" t="s">
        <v>4921</v>
      </c>
    </row>
    <row r="1804" spans="8:8" x14ac:dyDescent="0.25">
      <c r="H1804" t="s">
        <v>149</v>
      </c>
    </row>
    <row r="1805" spans="8:8" x14ac:dyDescent="0.25">
      <c r="H1805" t="s">
        <v>4922</v>
      </c>
    </row>
    <row r="1807" spans="8:8" x14ac:dyDescent="0.25">
      <c r="H1807" t="s">
        <v>4923</v>
      </c>
    </row>
    <row r="1808" spans="8:8" x14ac:dyDescent="0.25">
      <c r="H1808" t="s">
        <v>4924</v>
      </c>
    </row>
    <row r="1809" spans="8:8" x14ac:dyDescent="0.25">
      <c r="H1809" t="s">
        <v>149</v>
      </c>
    </row>
    <row r="1810" spans="8:8" x14ac:dyDescent="0.25">
      <c r="H1810" t="s">
        <v>4925</v>
      </c>
    </row>
    <row r="1812" spans="8:8" x14ac:dyDescent="0.25">
      <c r="H1812" t="s">
        <v>4926</v>
      </c>
    </row>
    <row r="1813" spans="8:8" x14ac:dyDescent="0.25">
      <c r="H1813" t="s">
        <v>4927</v>
      </c>
    </row>
    <row r="1814" spans="8:8" x14ac:dyDescent="0.25">
      <c r="H1814" t="s">
        <v>149</v>
      </c>
    </row>
    <row r="1815" spans="8:8" x14ac:dyDescent="0.25">
      <c r="H1815" t="s">
        <v>4928</v>
      </c>
    </row>
    <row r="1817" spans="8:8" x14ac:dyDescent="0.25">
      <c r="H1817" t="s">
        <v>4929</v>
      </c>
    </row>
    <row r="1818" spans="8:8" x14ac:dyDescent="0.25">
      <c r="H1818" t="s">
        <v>4930</v>
      </c>
    </row>
    <row r="1819" spans="8:8" x14ac:dyDescent="0.25">
      <c r="H1819" t="s">
        <v>149</v>
      </c>
    </row>
    <row r="1820" spans="8:8" x14ac:dyDescent="0.25">
      <c r="H1820" t="s">
        <v>4931</v>
      </c>
    </row>
    <row r="1822" spans="8:8" x14ac:dyDescent="0.25">
      <c r="H1822" t="s">
        <v>4932</v>
      </c>
    </row>
    <row r="1823" spans="8:8" x14ac:dyDescent="0.25">
      <c r="H1823" t="s">
        <v>4933</v>
      </c>
    </row>
    <row r="1824" spans="8:8" x14ac:dyDescent="0.25">
      <c r="H1824" t="s">
        <v>149</v>
      </c>
    </row>
    <row r="1825" spans="8:8" x14ac:dyDescent="0.25">
      <c r="H1825" t="s">
        <v>4934</v>
      </c>
    </row>
    <row r="1827" spans="8:8" x14ac:dyDescent="0.25">
      <c r="H1827" t="s">
        <v>4935</v>
      </c>
    </row>
    <row r="1828" spans="8:8" x14ac:dyDescent="0.25">
      <c r="H1828" t="s">
        <v>4936</v>
      </c>
    </row>
    <row r="1829" spans="8:8" x14ac:dyDescent="0.25">
      <c r="H1829" t="s">
        <v>149</v>
      </c>
    </row>
    <row r="1830" spans="8:8" x14ac:dyDescent="0.25">
      <c r="H1830" t="s">
        <v>4937</v>
      </c>
    </row>
    <row r="1832" spans="8:8" x14ac:dyDescent="0.25">
      <c r="H1832" t="s">
        <v>4938</v>
      </c>
    </row>
    <row r="1833" spans="8:8" x14ac:dyDescent="0.25">
      <c r="H1833" t="s">
        <v>4939</v>
      </c>
    </row>
    <row r="1834" spans="8:8" x14ac:dyDescent="0.25">
      <c r="H1834" t="s">
        <v>149</v>
      </c>
    </row>
    <row r="1835" spans="8:8" x14ac:dyDescent="0.25">
      <c r="H1835" t="s">
        <v>4940</v>
      </c>
    </row>
    <row r="1837" spans="8:8" x14ac:dyDescent="0.25">
      <c r="H1837" t="s">
        <v>4941</v>
      </c>
    </row>
    <row r="1838" spans="8:8" x14ac:dyDescent="0.25">
      <c r="H1838" t="s">
        <v>4942</v>
      </c>
    </row>
    <row r="1839" spans="8:8" x14ac:dyDescent="0.25">
      <c r="H1839" t="s">
        <v>149</v>
      </c>
    </row>
    <row r="1840" spans="8:8" x14ac:dyDescent="0.25">
      <c r="H1840" t="s">
        <v>4943</v>
      </c>
    </row>
    <row r="1842" spans="8:8" x14ac:dyDescent="0.25">
      <c r="H1842" t="s">
        <v>4944</v>
      </c>
    </row>
    <row r="1843" spans="8:8" x14ac:dyDescent="0.25">
      <c r="H1843" t="s">
        <v>4945</v>
      </c>
    </row>
    <row r="1844" spans="8:8" x14ac:dyDescent="0.25">
      <c r="H1844" t="s">
        <v>149</v>
      </c>
    </row>
    <row r="1845" spans="8:8" x14ac:dyDescent="0.25">
      <c r="H1845" t="s">
        <v>4946</v>
      </c>
    </row>
    <row r="1847" spans="8:8" x14ac:dyDescent="0.25">
      <c r="H1847" t="s">
        <v>4947</v>
      </c>
    </row>
    <row r="1848" spans="8:8" x14ac:dyDescent="0.25">
      <c r="H1848" t="s">
        <v>4948</v>
      </c>
    </row>
    <row r="1849" spans="8:8" x14ac:dyDescent="0.25">
      <c r="H1849" t="s">
        <v>149</v>
      </c>
    </row>
    <row r="1850" spans="8:8" x14ac:dyDescent="0.25">
      <c r="H1850" t="s">
        <v>4949</v>
      </c>
    </row>
    <row r="1852" spans="8:8" x14ac:dyDescent="0.25">
      <c r="H1852" t="s">
        <v>4950</v>
      </c>
    </row>
    <row r="1853" spans="8:8" x14ac:dyDescent="0.25">
      <c r="H1853" t="s">
        <v>4951</v>
      </c>
    </row>
    <row r="1854" spans="8:8" x14ac:dyDescent="0.25">
      <c r="H1854" t="s">
        <v>149</v>
      </c>
    </row>
    <row r="1855" spans="8:8" x14ac:dyDescent="0.25">
      <c r="H1855" t="s">
        <v>4952</v>
      </c>
    </row>
    <row r="1857" spans="8:8" x14ac:dyDescent="0.25">
      <c r="H1857" t="s">
        <v>4953</v>
      </c>
    </row>
    <row r="1858" spans="8:8" x14ac:dyDescent="0.25">
      <c r="H1858" t="s">
        <v>4954</v>
      </c>
    </row>
    <row r="1859" spans="8:8" x14ac:dyDescent="0.25">
      <c r="H1859" t="s">
        <v>149</v>
      </c>
    </row>
    <row r="1860" spans="8:8" x14ac:dyDescent="0.25">
      <c r="H1860" t="s">
        <v>4955</v>
      </c>
    </row>
    <row r="1862" spans="8:8" x14ac:dyDescent="0.25">
      <c r="H1862" t="s">
        <v>4956</v>
      </c>
    </row>
    <row r="1863" spans="8:8" x14ac:dyDescent="0.25">
      <c r="H1863" t="s">
        <v>4957</v>
      </c>
    </row>
    <row r="1864" spans="8:8" x14ac:dyDescent="0.25">
      <c r="H1864" t="s">
        <v>149</v>
      </c>
    </row>
    <row r="1865" spans="8:8" x14ac:dyDescent="0.25">
      <c r="H1865" t="s">
        <v>4958</v>
      </c>
    </row>
    <row r="1867" spans="8:8" x14ac:dyDescent="0.25">
      <c r="H1867" t="s">
        <v>4959</v>
      </c>
    </row>
    <row r="1868" spans="8:8" x14ac:dyDescent="0.25">
      <c r="H1868" t="s">
        <v>4960</v>
      </c>
    </row>
    <row r="1869" spans="8:8" x14ac:dyDescent="0.25">
      <c r="H1869" t="s">
        <v>149</v>
      </c>
    </row>
    <row r="1870" spans="8:8" x14ac:dyDescent="0.25">
      <c r="H1870" t="s">
        <v>4961</v>
      </c>
    </row>
    <row r="1872" spans="8:8" x14ac:dyDescent="0.25">
      <c r="H1872" t="s">
        <v>4962</v>
      </c>
    </row>
    <row r="1873" spans="8:8" x14ac:dyDescent="0.25">
      <c r="H1873" t="s">
        <v>4963</v>
      </c>
    </row>
    <row r="1874" spans="8:8" x14ac:dyDescent="0.25">
      <c r="H1874" t="s">
        <v>149</v>
      </c>
    </row>
    <row r="1875" spans="8:8" x14ac:dyDescent="0.25">
      <c r="H1875" t="s">
        <v>4964</v>
      </c>
    </row>
    <row r="1877" spans="8:8" x14ac:dyDescent="0.25">
      <c r="H1877" t="s">
        <v>4965</v>
      </c>
    </row>
    <row r="1878" spans="8:8" x14ac:dyDescent="0.25">
      <c r="H1878" t="s">
        <v>4966</v>
      </c>
    </row>
    <row r="1879" spans="8:8" x14ac:dyDescent="0.25">
      <c r="H1879" t="s">
        <v>149</v>
      </c>
    </row>
    <row r="1880" spans="8:8" x14ac:dyDescent="0.25">
      <c r="H1880" t="s">
        <v>4967</v>
      </c>
    </row>
    <row r="1882" spans="8:8" x14ac:dyDescent="0.25">
      <c r="H1882" t="s">
        <v>4968</v>
      </c>
    </row>
    <row r="1883" spans="8:8" x14ac:dyDescent="0.25">
      <c r="H1883" t="s">
        <v>4969</v>
      </c>
    </row>
    <row r="1884" spans="8:8" x14ac:dyDescent="0.25">
      <c r="H1884" t="s">
        <v>149</v>
      </c>
    </row>
    <row r="1885" spans="8:8" x14ac:dyDescent="0.25">
      <c r="H1885" t="s">
        <v>4970</v>
      </c>
    </row>
    <row r="1887" spans="8:8" x14ac:dyDescent="0.25">
      <c r="H1887" t="s">
        <v>4971</v>
      </c>
    </row>
    <row r="1888" spans="8:8" x14ac:dyDescent="0.25">
      <c r="H1888" t="s">
        <v>4972</v>
      </c>
    </row>
    <row r="1889" spans="8:8" x14ac:dyDescent="0.25">
      <c r="H1889" t="s">
        <v>149</v>
      </c>
    </row>
    <row r="1890" spans="8:8" x14ac:dyDescent="0.25">
      <c r="H1890" t="s">
        <v>4973</v>
      </c>
    </row>
    <row r="1892" spans="8:8" x14ac:dyDescent="0.25">
      <c r="H1892" t="s">
        <v>4974</v>
      </c>
    </row>
    <row r="1893" spans="8:8" x14ac:dyDescent="0.25">
      <c r="H1893" t="s">
        <v>4975</v>
      </c>
    </row>
    <row r="1894" spans="8:8" x14ac:dyDescent="0.25">
      <c r="H1894" t="s">
        <v>149</v>
      </c>
    </row>
    <row r="1895" spans="8:8" x14ac:dyDescent="0.25">
      <c r="H1895" t="s">
        <v>4976</v>
      </c>
    </row>
    <row r="1897" spans="8:8" x14ac:dyDescent="0.25">
      <c r="H1897" t="s">
        <v>4977</v>
      </c>
    </row>
    <row r="1898" spans="8:8" x14ac:dyDescent="0.25">
      <c r="H1898" t="s">
        <v>4978</v>
      </c>
    </row>
    <row r="1899" spans="8:8" x14ac:dyDescent="0.25">
      <c r="H1899" t="s">
        <v>149</v>
      </c>
    </row>
    <row r="1900" spans="8:8" x14ac:dyDescent="0.25">
      <c r="H1900" t="s">
        <v>4979</v>
      </c>
    </row>
    <row r="1902" spans="8:8" x14ac:dyDescent="0.25">
      <c r="H1902" t="s">
        <v>4980</v>
      </c>
    </row>
    <row r="1903" spans="8:8" x14ac:dyDescent="0.25">
      <c r="H1903" t="s">
        <v>4981</v>
      </c>
    </row>
    <row r="1904" spans="8:8" x14ac:dyDescent="0.25">
      <c r="H1904" t="s">
        <v>149</v>
      </c>
    </row>
    <row r="1905" spans="8:8" x14ac:dyDescent="0.25">
      <c r="H1905" t="s">
        <v>4982</v>
      </c>
    </row>
    <row r="1907" spans="8:8" x14ac:dyDescent="0.25">
      <c r="H1907" t="s">
        <v>4983</v>
      </c>
    </row>
    <row r="1908" spans="8:8" x14ac:dyDescent="0.25">
      <c r="H1908" t="s">
        <v>4984</v>
      </c>
    </row>
    <row r="1909" spans="8:8" x14ac:dyDescent="0.25">
      <c r="H1909" t="s">
        <v>149</v>
      </c>
    </row>
    <row r="1910" spans="8:8" x14ac:dyDescent="0.25">
      <c r="H1910" t="s">
        <v>4985</v>
      </c>
    </row>
    <row r="1912" spans="8:8" x14ac:dyDescent="0.25">
      <c r="H1912" t="s">
        <v>4986</v>
      </c>
    </row>
    <row r="1913" spans="8:8" x14ac:dyDescent="0.25">
      <c r="H1913" t="s">
        <v>4987</v>
      </c>
    </row>
    <row r="1914" spans="8:8" x14ac:dyDescent="0.25">
      <c r="H1914" t="s">
        <v>149</v>
      </c>
    </row>
    <row r="1915" spans="8:8" x14ac:dyDescent="0.25">
      <c r="H1915" t="s">
        <v>4988</v>
      </c>
    </row>
    <row r="1917" spans="8:8" x14ac:dyDescent="0.25">
      <c r="H1917" t="s">
        <v>4989</v>
      </c>
    </row>
    <row r="1918" spans="8:8" x14ac:dyDescent="0.25">
      <c r="H1918" t="s">
        <v>4990</v>
      </c>
    </row>
    <row r="1919" spans="8:8" x14ac:dyDescent="0.25">
      <c r="H1919" t="s">
        <v>149</v>
      </c>
    </row>
    <row r="1920" spans="8:8" x14ac:dyDescent="0.25">
      <c r="H1920" t="s">
        <v>4991</v>
      </c>
    </row>
    <row r="1922" spans="8:8" x14ac:dyDescent="0.25">
      <c r="H1922" t="s">
        <v>4992</v>
      </c>
    </row>
    <row r="1923" spans="8:8" x14ac:dyDescent="0.25">
      <c r="H1923" t="s">
        <v>4993</v>
      </c>
    </row>
    <row r="1924" spans="8:8" x14ac:dyDescent="0.25">
      <c r="H1924" t="s">
        <v>149</v>
      </c>
    </row>
    <row r="1925" spans="8:8" x14ac:dyDescent="0.25">
      <c r="H1925" t="s">
        <v>4994</v>
      </c>
    </row>
    <row r="1927" spans="8:8" x14ac:dyDescent="0.25">
      <c r="H1927" t="s">
        <v>4995</v>
      </c>
    </row>
    <row r="1928" spans="8:8" x14ac:dyDescent="0.25">
      <c r="H1928" t="s">
        <v>4996</v>
      </c>
    </row>
    <row r="1929" spans="8:8" x14ac:dyDescent="0.25">
      <c r="H1929" t="s">
        <v>149</v>
      </c>
    </row>
    <row r="1930" spans="8:8" x14ac:dyDescent="0.25">
      <c r="H1930" t="s">
        <v>4997</v>
      </c>
    </row>
    <row r="1932" spans="8:8" x14ac:dyDescent="0.25">
      <c r="H1932" t="s">
        <v>4998</v>
      </c>
    </row>
    <row r="1933" spans="8:8" x14ac:dyDescent="0.25">
      <c r="H1933" t="s">
        <v>4999</v>
      </c>
    </row>
    <row r="1934" spans="8:8" x14ac:dyDescent="0.25">
      <c r="H1934" t="s">
        <v>149</v>
      </c>
    </row>
    <row r="1935" spans="8:8" x14ac:dyDescent="0.25">
      <c r="H1935" t="s">
        <v>5000</v>
      </c>
    </row>
    <row r="1937" spans="8:8" x14ac:dyDescent="0.25">
      <c r="H1937" t="s">
        <v>5001</v>
      </c>
    </row>
    <row r="1938" spans="8:8" x14ac:dyDescent="0.25">
      <c r="H1938" t="s">
        <v>5002</v>
      </c>
    </row>
    <row r="1939" spans="8:8" x14ac:dyDescent="0.25">
      <c r="H1939" t="s">
        <v>149</v>
      </c>
    </row>
    <row r="1940" spans="8:8" x14ac:dyDescent="0.25">
      <c r="H1940" t="s">
        <v>5003</v>
      </c>
    </row>
    <row r="1942" spans="8:8" x14ac:dyDescent="0.25">
      <c r="H1942" t="s">
        <v>5004</v>
      </c>
    </row>
    <row r="1943" spans="8:8" x14ac:dyDescent="0.25">
      <c r="H1943" t="s">
        <v>5005</v>
      </c>
    </row>
    <row r="1944" spans="8:8" x14ac:dyDescent="0.25">
      <c r="H1944" t="s">
        <v>149</v>
      </c>
    </row>
    <row r="1945" spans="8:8" x14ac:dyDescent="0.25">
      <c r="H1945" t="s">
        <v>5006</v>
      </c>
    </row>
    <row r="1947" spans="8:8" x14ac:dyDescent="0.25">
      <c r="H1947" t="s">
        <v>5007</v>
      </c>
    </row>
    <row r="1948" spans="8:8" x14ac:dyDescent="0.25">
      <c r="H1948" t="s">
        <v>5008</v>
      </c>
    </row>
    <row r="1949" spans="8:8" x14ac:dyDescent="0.25">
      <c r="H1949" t="s">
        <v>149</v>
      </c>
    </row>
    <row r="1950" spans="8:8" x14ac:dyDescent="0.25">
      <c r="H1950" t="s">
        <v>5009</v>
      </c>
    </row>
    <row r="1952" spans="8:8" x14ac:dyDescent="0.25">
      <c r="H1952" t="s">
        <v>5010</v>
      </c>
    </row>
    <row r="1953" spans="8:8" x14ac:dyDescent="0.25">
      <c r="H1953" t="s">
        <v>5011</v>
      </c>
    </row>
    <row r="1954" spans="8:8" x14ac:dyDescent="0.25">
      <c r="H1954" t="s">
        <v>149</v>
      </c>
    </row>
    <row r="1955" spans="8:8" x14ac:dyDescent="0.25">
      <c r="H1955" t="s">
        <v>5012</v>
      </c>
    </row>
    <row r="1957" spans="8:8" x14ac:dyDescent="0.25">
      <c r="H1957" t="s">
        <v>5013</v>
      </c>
    </row>
    <row r="1958" spans="8:8" x14ac:dyDescent="0.25">
      <c r="H1958" t="s">
        <v>5014</v>
      </c>
    </row>
    <row r="1959" spans="8:8" x14ac:dyDescent="0.25">
      <c r="H1959" t="s">
        <v>149</v>
      </c>
    </row>
    <row r="1960" spans="8:8" x14ac:dyDescent="0.25">
      <c r="H1960" t="s">
        <v>5015</v>
      </c>
    </row>
    <row r="1962" spans="8:8" x14ac:dyDescent="0.25">
      <c r="H1962" t="s">
        <v>5016</v>
      </c>
    </row>
    <row r="1963" spans="8:8" x14ac:dyDescent="0.25">
      <c r="H1963" t="s">
        <v>5017</v>
      </c>
    </row>
    <row r="1964" spans="8:8" x14ac:dyDescent="0.25">
      <c r="H1964" t="s">
        <v>149</v>
      </c>
    </row>
    <row r="1965" spans="8:8" x14ac:dyDescent="0.25">
      <c r="H1965" t="s">
        <v>5018</v>
      </c>
    </row>
    <row r="1967" spans="8:8" x14ac:dyDescent="0.25">
      <c r="H1967" t="s">
        <v>5019</v>
      </c>
    </row>
    <row r="1968" spans="8:8" x14ac:dyDescent="0.25">
      <c r="H1968" t="s">
        <v>5020</v>
      </c>
    </row>
    <row r="1969" spans="8:8" x14ac:dyDescent="0.25">
      <c r="H1969" t="s">
        <v>149</v>
      </c>
    </row>
    <row r="1970" spans="8:8" x14ac:dyDescent="0.25">
      <c r="H1970" t="s">
        <v>5021</v>
      </c>
    </row>
    <row r="1972" spans="8:8" x14ac:dyDescent="0.25">
      <c r="H1972" t="s">
        <v>5022</v>
      </c>
    </row>
    <row r="1973" spans="8:8" x14ac:dyDescent="0.25">
      <c r="H1973" t="s">
        <v>5023</v>
      </c>
    </row>
    <row r="1974" spans="8:8" x14ac:dyDescent="0.25">
      <c r="H1974" t="s">
        <v>149</v>
      </c>
    </row>
    <row r="1975" spans="8:8" x14ac:dyDescent="0.25">
      <c r="H1975" t="s">
        <v>5024</v>
      </c>
    </row>
    <row r="1977" spans="8:8" x14ac:dyDescent="0.25">
      <c r="H1977" t="s">
        <v>5025</v>
      </c>
    </row>
    <row r="1978" spans="8:8" x14ac:dyDescent="0.25">
      <c r="H1978" t="s">
        <v>5026</v>
      </c>
    </row>
    <row r="1979" spans="8:8" x14ac:dyDescent="0.25">
      <c r="H1979" t="s">
        <v>149</v>
      </c>
    </row>
    <row r="1980" spans="8:8" x14ac:dyDescent="0.25">
      <c r="H1980" t="s">
        <v>5027</v>
      </c>
    </row>
    <row r="1982" spans="8:8" x14ac:dyDescent="0.25">
      <c r="H1982" t="s">
        <v>5028</v>
      </c>
    </row>
    <row r="1983" spans="8:8" x14ac:dyDescent="0.25">
      <c r="H1983" t="s">
        <v>5029</v>
      </c>
    </row>
    <row r="1984" spans="8:8" x14ac:dyDescent="0.25">
      <c r="H1984" t="s">
        <v>149</v>
      </c>
    </row>
    <row r="1985" spans="8:8" x14ac:dyDescent="0.25">
      <c r="H1985" t="s">
        <v>5030</v>
      </c>
    </row>
    <row r="1987" spans="8:8" x14ac:dyDescent="0.25">
      <c r="H1987" t="s">
        <v>5031</v>
      </c>
    </row>
    <row r="1988" spans="8:8" x14ac:dyDescent="0.25">
      <c r="H1988" t="s">
        <v>5032</v>
      </c>
    </row>
    <row r="1989" spans="8:8" x14ac:dyDescent="0.25">
      <c r="H1989" t="s">
        <v>149</v>
      </c>
    </row>
    <row r="1990" spans="8:8" x14ac:dyDescent="0.25">
      <c r="H1990" t="s">
        <v>5033</v>
      </c>
    </row>
    <row r="1992" spans="8:8" x14ac:dyDescent="0.25">
      <c r="H1992" t="s">
        <v>5034</v>
      </c>
    </row>
    <row r="1993" spans="8:8" x14ac:dyDescent="0.25">
      <c r="H1993" t="s">
        <v>5035</v>
      </c>
    </row>
    <row r="1994" spans="8:8" x14ac:dyDescent="0.25">
      <c r="H1994" t="s">
        <v>149</v>
      </c>
    </row>
    <row r="1995" spans="8:8" x14ac:dyDescent="0.25">
      <c r="H1995" t="s">
        <v>5036</v>
      </c>
    </row>
    <row r="1997" spans="8:8" x14ac:dyDescent="0.25">
      <c r="H1997" t="s">
        <v>5037</v>
      </c>
    </row>
    <row r="1998" spans="8:8" x14ac:dyDescent="0.25">
      <c r="H1998" t="s">
        <v>5038</v>
      </c>
    </row>
    <row r="1999" spans="8:8" x14ac:dyDescent="0.25">
      <c r="H1999" t="s">
        <v>149</v>
      </c>
    </row>
    <row r="2000" spans="8:8" x14ac:dyDescent="0.25">
      <c r="H2000" t="s">
        <v>5039</v>
      </c>
    </row>
    <row r="2002" spans="8:8" x14ac:dyDescent="0.25">
      <c r="H2002" t="s">
        <v>5040</v>
      </c>
    </row>
    <row r="2003" spans="8:8" x14ac:dyDescent="0.25">
      <c r="H2003" t="s">
        <v>5041</v>
      </c>
    </row>
    <row r="2004" spans="8:8" x14ac:dyDescent="0.25">
      <c r="H2004" t="s">
        <v>149</v>
      </c>
    </row>
    <row r="2005" spans="8:8" x14ac:dyDescent="0.25">
      <c r="H2005" t="s">
        <v>5042</v>
      </c>
    </row>
    <row r="2007" spans="8:8" x14ac:dyDescent="0.25">
      <c r="H2007" t="s">
        <v>5043</v>
      </c>
    </row>
    <row r="2008" spans="8:8" x14ac:dyDescent="0.25">
      <c r="H2008" t="s">
        <v>5044</v>
      </c>
    </row>
    <row r="2009" spans="8:8" x14ac:dyDescent="0.25">
      <c r="H2009" t="s">
        <v>149</v>
      </c>
    </row>
    <row r="2010" spans="8:8" x14ac:dyDescent="0.25">
      <c r="H2010" t="s">
        <v>5045</v>
      </c>
    </row>
    <row r="2012" spans="8:8" x14ac:dyDescent="0.25">
      <c r="H2012" t="s">
        <v>5046</v>
      </c>
    </row>
    <row r="2013" spans="8:8" x14ac:dyDescent="0.25">
      <c r="H2013" t="s">
        <v>5047</v>
      </c>
    </row>
    <row r="2014" spans="8:8" x14ac:dyDescent="0.25">
      <c r="H2014" t="s">
        <v>149</v>
      </c>
    </row>
    <row r="2015" spans="8:8" x14ac:dyDescent="0.25">
      <c r="H2015" t="s">
        <v>5048</v>
      </c>
    </row>
    <row r="2017" spans="8:8" x14ac:dyDescent="0.25">
      <c r="H2017" t="s">
        <v>5049</v>
      </c>
    </row>
    <row r="2018" spans="8:8" x14ac:dyDescent="0.25">
      <c r="H2018" t="s">
        <v>5050</v>
      </c>
    </row>
    <row r="2019" spans="8:8" x14ac:dyDescent="0.25">
      <c r="H2019" t="s">
        <v>149</v>
      </c>
    </row>
    <row r="2020" spans="8:8" x14ac:dyDescent="0.25">
      <c r="H2020" t="s">
        <v>5051</v>
      </c>
    </row>
    <row r="2022" spans="8:8" x14ac:dyDescent="0.25">
      <c r="H2022" t="s">
        <v>5052</v>
      </c>
    </row>
    <row r="2023" spans="8:8" x14ac:dyDescent="0.25">
      <c r="H2023" t="s">
        <v>5053</v>
      </c>
    </row>
    <row r="2024" spans="8:8" x14ac:dyDescent="0.25">
      <c r="H2024" t="s">
        <v>149</v>
      </c>
    </row>
    <row r="2025" spans="8:8" x14ac:dyDescent="0.25">
      <c r="H2025" t="s">
        <v>5054</v>
      </c>
    </row>
    <row r="2027" spans="8:8" x14ac:dyDescent="0.25">
      <c r="H2027" t="s">
        <v>5055</v>
      </c>
    </row>
    <row r="2028" spans="8:8" x14ac:dyDescent="0.25">
      <c r="H2028" t="s">
        <v>5056</v>
      </c>
    </row>
    <row r="2029" spans="8:8" x14ac:dyDescent="0.25">
      <c r="H2029" t="s">
        <v>149</v>
      </c>
    </row>
    <row r="2030" spans="8:8" x14ac:dyDescent="0.25">
      <c r="H2030" t="s">
        <v>5057</v>
      </c>
    </row>
    <row r="2032" spans="8:8" x14ac:dyDescent="0.25">
      <c r="H2032" t="s">
        <v>5058</v>
      </c>
    </row>
    <row r="2033" spans="8:8" x14ac:dyDescent="0.25">
      <c r="H2033" t="s">
        <v>5059</v>
      </c>
    </row>
    <row r="2034" spans="8:8" x14ac:dyDescent="0.25">
      <c r="H2034" t="s">
        <v>149</v>
      </c>
    </row>
    <row r="2035" spans="8:8" x14ac:dyDescent="0.25">
      <c r="H2035" t="s">
        <v>5060</v>
      </c>
    </row>
    <row r="2037" spans="8:8" x14ac:dyDescent="0.25">
      <c r="H2037" t="s">
        <v>5061</v>
      </c>
    </row>
    <row r="2038" spans="8:8" x14ac:dyDescent="0.25">
      <c r="H2038" t="s">
        <v>5062</v>
      </c>
    </row>
    <row r="2039" spans="8:8" x14ac:dyDescent="0.25">
      <c r="H2039" t="s">
        <v>149</v>
      </c>
    </row>
    <row r="2040" spans="8:8" x14ac:dyDescent="0.25">
      <c r="H2040" t="s">
        <v>5063</v>
      </c>
    </row>
    <row r="2042" spans="8:8" x14ac:dyDescent="0.25">
      <c r="H2042" t="s">
        <v>5064</v>
      </c>
    </row>
    <row r="2043" spans="8:8" x14ac:dyDescent="0.25">
      <c r="H2043" t="s">
        <v>5065</v>
      </c>
    </row>
    <row r="2044" spans="8:8" x14ac:dyDescent="0.25">
      <c r="H2044" t="s">
        <v>149</v>
      </c>
    </row>
    <row r="2045" spans="8:8" x14ac:dyDescent="0.25">
      <c r="H2045" t="s">
        <v>5066</v>
      </c>
    </row>
    <row r="2047" spans="8:8" x14ac:dyDescent="0.25">
      <c r="H2047" t="s">
        <v>5067</v>
      </c>
    </row>
    <row r="2048" spans="8:8" x14ac:dyDescent="0.25">
      <c r="H2048" t="s">
        <v>5068</v>
      </c>
    </row>
    <row r="2049" spans="8:8" x14ac:dyDescent="0.25">
      <c r="H2049" t="s">
        <v>149</v>
      </c>
    </row>
    <row r="2050" spans="8:8" x14ac:dyDescent="0.25">
      <c r="H2050" t="s">
        <v>5069</v>
      </c>
    </row>
    <row r="2052" spans="8:8" x14ac:dyDescent="0.25">
      <c r="H2052" t="s">
        <v>5070</v>
      </c>
    </row>
    <row r="2053" spans="8:8" x14ac:dyDescent="0.25">
      <c r="H2053" t="s">
        <v>5071</v>
      </c>
    </row>
    <row r="2054" spans="8:8" x14ac:dyDescent="0.25">
      <c r="H2054" t="s">
        <v>149</v>
      </c>
    </row>
    <row r="2055" spans="8:8" x14ac:dyDescent="0.25">
      <c r="H2055" t="s">
        <v>5072</v>
      </c>
    </row>
    <row r="2057" spans="8:8" x14ac:dyDescent="0.25">
      <c r="H2057" t="s">
        <v>5073</v>
      </c>
    </row>
    <row r="2058" spans="8:8" x14ac:dyDescent="0.25">
      <c r="H2058" t="s">
        <v>5074</v>
      </c>
    </row>
    <row r="2059" spans="8:8" x14ac:dyDescent="0.25">
      <c r="H2059" t="s">
        <v>149</v>
      </c>
    </row>
    <row r="2060" spans="8:8" x14ac:dyDescent="0.25">
      <c r="H2060" t="s">
        <v>5075</v>
      </c>
    </row>
    <row r="2062" spans="8:8" x14ac:dyDescent="0.25">
      <c r="H2062" t="s">
        <v>5076</v>
      </c>
    </row>
    <row r="2063" spans="8:8" x14ac:dyDescent="0.25">
      <c r="H2063" t="s">
        <v>5077</v>
      </c>
    </row>
    <row r="2064" spans="8:8" x14ac:dyDescent="0.25">
      <c r="H2064" t="s">
        <v>149</v>
      </c>
    </row>
    <row r="2065" spans="8:8" x14ac:dyDescent="0.25">
      <c r="H2065" t="s">
        <v>5078</v>
      </c>
    </row>
    <row r="2067" spans="8:8" x14ac:dyDescent="0.25">
      <c r="H2067" t="s">
        <v>5079</v>
      </c>
    </row>
    <row r="2068" spans="8:8" x14ac:dyDescent="0.25">
      <c r="H2068" t="s">
        <v>5080</v>
      </c>
    </row>
    <row r="2069" spans="8:8" x14ac:dyDescent="0.25">
      <c r="H2069" t="s">
        <v>149</v>
      </c>
    </row>
    <row r="2070" spans="8:8" x14ac:dyDescent="0.25">
      <c r="H2070" t="s">
        <v>5081</v>
      </c>
    </row>
    <row r="2072" spans="8:8" x14ac:dyDescent="0.25">
      <c r="H2072" t="s">
        <v>5082</v>
      </c>
    </row>
    <row r="2073" spans="8:8" x14ac:dyDescent="0.25">
      <c r="H2073" t="s">
        <v>5083</v>
      </c>
    </row>
    <row r="2074" spans="8:8" x14ac:dyDescent="0.25">
      <c r="H2074" t="s">
        <v>149</v>
      </c>
    </row>
    <row r="2075" spans="8:8" x14ac:dyDescent="0.25">
      <c r="H2075" t="s">
        <v>5084</v>
      </c>
    </row>
    <row r="2077" spans="8:8" x14ac:dyDescent="0.25">
      <c r="H2077" t="s">
        <v>5085</v>
      </c>
    </row>
    <row r="2078" spans="8:8" x14ac:dyDescent="0.25">
      <c r="H2078" t="s">
        <v>5086</v>
      </c>
    </row>
    <row r="2079" spans="8:8" x14ac:dyDescent="0.25">
      <c r="H2079" t="s">
        <v>149</v>
      </c>
    </row>
    <row r="2080" spans="8:8" x14ac:dyDescent="0.25">
      <c r="H2080" t="s">
        <v>5087</v>
      </c>
    </row>
    <row r="2082" spans="8:8" x14ac:dyDescent="0.25">
      <c r="H2082" t="s">
        <v>5088</v>
      </c>
    </row>
    <row r="2083" spans="8:8" x14ac:dyDescent="0.25">
      <c r="H2083" t="s">
        <v>5089</v>
      </c>
    </row>
    <row r="2084" spans="8:8" x14ac:dyDescent="0.25">
      <c r="H2084" t="s">
        <v>149</v>
      </c>
    </row>
    <row r="2085" spans="8:8" x14ac:dyDescent="0.25">
      <c r="H2085" t="s">
        <v>5090</v>
      </c>
    </row>
    <row r="2087" spans="8:8" x14ac:dyDescent="0.25">
      <c r="H2087" t="s">
        <v>5091</v>
      </c>
    </row>
    <row r="2088" spans="8:8" x14ac:dyDescent="0.25">
      <c r="H2088" t="s">
        <v>5092</v>
      </c>
    </row>
    <row r="2089" spans="8:8" x14ac:dyDescent="0.25">
      <c r="H2089" t="s">
        <v>149</v>
      </c>
    </row>
    <row r="2090" spans="8:8" x14ac:dyDescent="0.25">
      <c r="H2090" t="s">
        <v>5093</v>
      </c>
    </row>
    <row r="2092" spans="8:8" x14ac:dyDescent="0.25">
      <c r="H2092" t="s">
        <v>5094</v>
      </c>
    </row>
    <row r="2093" spans="8:8" x14ac:dyDescent="0.25">
      <c r="H2093" t="s">
        <v>5095</v>
      </c>
    </row>
    <row r="2094" spans="8:8" x14ac:dyDescent="0.25">
      <c r="H2094" t="s">
        <v>149</v>
      </c>
    </row>
    <row r="2095" spans="8:8" x14ac:dyDescent="0.25">
      <c r="H2095" t="s">
        <v>5096</v>
      </c>
    </row>
    <row r="2097" spans="8:8" x14ac:dyDescent="0.25">
      <c r="H2097" t="s">
        <v>5097</v>
      </c>
    </row>
    <row r="2098" spans="8:8" x14ac:dyDescent="0.25">
      <c r="H2098" t="s">
        <v>5098</v>
      </c>
    </row>
    <row r="2099" spans="8:8" x14ac:dyDescent="0.25">
      <c r="H2099" t="s">
        <v>149</v>
      </c>
    </row>
    <row r="2100" spans="8:8" x14ac:dyDescent="0.25">
      <c r="H2100" t="s">
        <v>5099</v>
      </c>
    </row>
    <row r="2102" spans="8:8" x14ac:dyDescent="0.25">
      <c r="H2102" t="s">
        <v>5100</v>
      </c>
    </row>
    <row r="2103" spans="8:8" x14ac:dyDescent="0.25">
      <c r="H2103" t="s">
        <v>5101</v>
      </c>
    </row>
    <row r="2104" spans="8:8" x14ac:dyDescent="0.25">
      <c r="H2104" t="s">
        <v>149</v>
      </c>
    </row>
    <row r="2105" spans="8:8" x14ac:dyDescent="0.25">
      <c r="H2105" t="s">
        <v>5102</v>
      </c>
    </row>
    <row r="2107" spans="8:8" x14ac:dyDescent="0.25">
      <c r="H2107" t="s">
        <v>5103</v>
      </c>
    </row>
    <row r="2108" spans="8:8" x14ac:dyDescent="0.25">
      <c r="H2108" t="s">
        <v>5104</v>
      </c>
    </row>
    <row r="2109" spans="8:8" x14ac:dyDescent="0.25">
      <c r="H2109" t="s">
        <v>149</v>
      </c>
    </row>
    <row r="2110" spans="8:8" x14ac:dyDescent="0.25">
      <c r="H2110" t="s">
        <v>5105</v>
      </c>
    </row>
    <row r="2112" spans="8:8" x14ac:dyDescent="0.25">
      <c r="H2112" t="s">
        <v>5106</v>
      </c>
    </row>
    <row r="2113" spans="8:8" x14ac:dyDescent="0.25">
      <c r="H2113" t="s">
        <v>5107</v>
      </c>
    </row>
    <row r="2114" spans="8:8" x14ac:dyDescent="0.25">
      <c r="H2114" t="s">
        <v>149</v>
      </c>
    </row>
    <row r="2115" spans="8:8" x14ac:dyDescent="0.25">
      <c r="H2115" t="s">
        <v>5108</v>
      </c>
    </row>
    <row r="2117" spans="8:8" x14ac:dyDescent="0.25">
      <c r="H2117" t="s">
        <v>5109</v>
      </c>
    </row>
    <row r="2118" spans="8:8" x14ac:dyDescent="0.25">
      <c r="H2118" t="s">
        <v>5110</v>
      </c>
    </row>
    <row r="2119" spans="8:8" x14ac:dyDescent="0.25">
      <c r="H2119" t="s">
        <v>149</v>
      </c>
    </row>
    <row r="2120" spans="8:8" x14ac:dyDescent="0.25">
      <c r="H2120" t="s">
        <v>5111</v>
      </c>
    </row>
    <row r="2122" spans="8:8" x14ac:dyDescent="0.25">
      <c r="H2122" t="s">
        <v>5112</v>
      </c>
    </row>
    <row r="2123" spans="8:8" x14ac:dyDescent="0.25">
      <c r="H2123" t="s">
        <v>5113</v>
      </c>
    </row>
    <row r="2124" spans="8:8" x14ac:dyDescent="0.25">
      <c r="H2124" t="s">
        <v>149</v>
      </c>
    </row>
    <row r="2125" spans="8:8" x14ac:dyDescent="0.25">
      <c r="H2125" t="s">
        <v>5114</v>
      </c>
    </row>
    <row r="2127" spans="8:8" x14ac:dyDescent="0.25">
      <c r="H2127" t="s">
        <v>5115</v>
      </c>
    </row>
    <row r="2128" spans="8:8" x14ac:dyDescent="0.25">
      <c r="H2128" t="s">
        <v>5116</v>
      </c>
    </row>
    <row r="2129" spans="8:8" x14ac:dyDescent="0.25">
      <c r="H2129" t="s">
        <v>149</v>
      </c>
    </row>
    <row r="2130" spans="8:8" x14ac:dyDescent="0.25">
      <c r="H2130" t="s">
        <v>5117</v>
      </c>
    </row>
    <row r="2132" spans="8:8" x14ac:dyDescent="0.25">
      <c r="H2132" t="s">
        <v>5118</v>
      </c>
    </row>
    <row r="2133" spans="8:8" x14ac:dyDescent="0.25">
      <c r="H2133" t="s">
        <v>5119</v>
      </c>
    </row>
    <row r="2134" spans="8:8" x14ac:dyDescent="0.25">
      <c r="H2134" t="s">
        <v>149</v>
      </c>
    </row>
    <row r="2135" spans="8:8" x14ac:dyDescent="0.25">
      <c r="H2135" t="s">
        <v>5120</v>
      </c>
    </row>
    <row r="2137" spans="8:8" x14ac:dyDescent="0.25">
      <c r="H2137" t="s">
        <v>5121</v>
      </c>
    </row>
    <row r="2138" spans="8:8" x14ac:dyDescent="0.25">
      <c r="H2138" t="s">
        <v>5122</v>
      </c>
    </row>
    <row r="2139" spans="8:8" x14ac:dyDescent="0.25">
      <c r="H2139" t="s">
        <v>149</v>
      </c>
    </row>
    <row r="2140" spans="8:8" x14ac:dyDescent="0.25">
      <c r="H2140" t="s">
        <v>5123</v>
      </c>
    </row>
    <row r="2142" spans="8:8" x14ac:dyDescent="0.25">
      <c r="H2142" t="s">
        <v>5124</v>
      </c>
    </row>
    <row r="2143" spans="8:8" x14ac:dyDescent="0.25">
      <c r="H2143" t="s">
        <v>5125</v>
      </c>
    </row>
    <row r="2144" spans="8:8" x14ac:dyDescent="0.25">
      <c r="H2144" t="s">
        <v>149</v>
      </c>
    </row>
    <row r="2145" spans="8:8" x14ac:dyDescent="0.25">
      <c r="H2145" t="s">
        <v>5126</v>
      </c>
    </row>
    <row r="2147" spans="8:8" x14ac:dyDescent="0.25">
      <c r="H2147" t="s">
        <v>5127</v>
      </c>
    </row>
    <row r="2148" spans="8:8" x14ac:dyDescent="0.25">
      <c r="H2148" t="s">
        <v>5128</v>
      </c>
    </row>
    <row r="2149" spans="8:8" x14ac:dyDescent="0.25">
      <c r="H2149" t="s">
        <v>149</v>
      </c>
    </row>
    <row r="2150" spans="8:8" x14ac:dyDescent="0.25">
      <c r="H2150" t="s">
        <v>5129</v>
      </c>
    </row>
    <row r="2152" spans="8:8" x14ac:dyDescent="0.25">
      <c r="H2152" t="s">
        <v>5130</v>
      </c>
    </row>
    <row r="2153" spans="8:8" x14ac:dyDescent="0.25">
      <c r="H2153" t="s">
        <v>5131</v>
      </c>
    </row>
    <row r="2154" spans="8:8" x14ac:dyDescent="0.25">
      <c r="H2154" t="s">
        <v>149</v>
      </c>
    </row>
    <row r="2155" spans="8:8" x14ac:dyDescent="0.25">
      <c r="H2155" t="s">
        <v>5132</v>
      </c>
    </row>
    <row r="2157" spans="8:8" x14ac:dyDescent="0.25">
      <c r="H2157" t="s">
        <v>5133</v>
      </c>
    </row>
    <row r="2158" spans="8:8" x14ac:dyDescent="0.25">
      <c r="H2158" t="s">
        <v>5134</v>
      </c>
    </row>
    <row r="2159" spans="8:8" x14ac:dyDescent="0.25">
      <c r="H2159" t="s">
        <v>149</v>
      </c>
    </row>
    <row r="2160" spans="8:8" x14ac:dyDescent="0.25">
      <c r="H2160" t="s">
        <v>5135</v>
      </c>
    </row>
    <row r="2162" spans="8:8" x14ac:dyDescent="0.25">
      <c r="H2162" t="s">
        <v>5136</v>
      </c>
    </row>
    <row r="2163" spans="8:8" x14ac:dyDescent="0.25">
      <c r="H2163" t="s">
        <v>5137</v>
      </c>
    </row>
    <row r="2164" spans="8:8" x14ac:dyDescent="0.25">
      <c r="H2164" t="s">
        <v>149</v>
      </c>
    </row>
    <row r="2165" spans="8:8" x14ac:dyDescent="0.25">
      <c r="H2165" t="s">
        <v>5138</v>
      </c>
    </row>
    <row r="2167" spans="8:8" x14ac:dyDescent="0.25">
      <c r="H2167" t="s">
        <v>5139</v>
      </c>
    </row>
    <row r="2168" spans="8:8" x14ac:dyDescent="0.25">
      <c r="H2168" t="s">
        <v>5140</v>
      </c>
    </row>
    <row r="2169" spans="8:8" x14ac:dyDescent="0.25">
      <c r="H2169" t="s">
        <v>149</v>
      </c>
    </row>
    <row r="2170" spans="8:8" x14ac:dyDescent="0.25">
      <c r="H2170" t="s">
        <v>5141</v>
      </c>
    </row>
    <row r="2172" spans="8:8" x14ac:dyDescent="0.25">
      <c r="H2172" t="s">
        <v>5142</v>
      </c>
    </row>
    <row r="2173" spans="8:8" x14ac:dyDescent="0.25">
      <c r="H2173" t="s">
        <v>5143</v>
      </c>
    </row>
    <row r="2174" spans="8:8" x14ac:dyDescent="0.25">
      <c r="H2174" t="s">
        <v>149</v>
      </c>
    </row>
    <row r="2175" spans="8:8" x14ac:dyDescent="0.25">
      <c r="H2175" t="s">
        <v>5144</v>
      </c>
    </row>
    <row r="2177" spans="8:8" x14ac:dyDescent="0.25">
      <c r="H2177" t="s">
        <v>5145</v>
      </c>
    </row>
    <row r="2178" spans="8:8" x14ac:dyDescent="0.25">
      <c r="H2178" t="s">
        <v>5146</v>
      </c>
    </row>
    <row r="2179" spans="8:8" x14ac:dyDescent="0.25">
      <c r="H2179" t="s">
        <v>149</v>
      </c>
    </row>
    <row r="2180" spans="8:8" x14ac:dyDescent="0.25">
      <c r="H2180" t="s">
        <v>5147</v>
      </c>
    </row>
    <row r="2182" spans="8:8" x14ac:dyDescent="0.25">
      <c r="H2182" t="s">
        <v>5148</v>
      </c>
    </row>
    <row r="2183" spans="8:8" x14ac:dyDescent="0.25">
      <c r="H2183" t="s">
        <v>5149</v>
      </c>
    </row>
    <row r="2184" spans="8:8" x14ac:dyDescent="0.25">
      <c r="H2184" t="s">
        <v>149</v>
      </c>
    </row>
    <row r="2185" spans="8:8" x14ac:dyDescent="0.25">
      <c r="H2185" t="s">
        <v>5150</v>
      </c>
    </row>
    <row r="2187" spans="8:8" x14ac:dyDescent="0.25">
      <c r="H2187" t="s">
        <v>5151</v>
      </c>
    </row>
    <row r="2188" spans="8:8" x14ac:dyDescent="0.25">
      <c r="H2188" t="s">
        <v>5152</v>
      </c>
    </row>
    <row r="2189" spans="8:8" x14ac:dyDescent="0.25">
      <c r="H2189" t="s">
        <v>149</v>
      </c>
    </row>
    <row r="2190" spans="8:8" x14ac:dyDescent="0.25">
      <c r="H2190" t="s">
        <v>5153</v>
      </c>
    </row>
    <row r="2192" spans="8:8" x14ac:dyDescent="0.25">
      <c r="H2192" t="s">
        <v>5154</v>
      </c>
    </row>
    <row r="2193" spans="8:8" x14ac:dyDescent="0.25">
      <c r="H2193" t="s">
        <v>5155</v>
      </c>
    </row>
    <row r="2194" spans="8:8" x14ac:dyDescent="0.25">
      <c r="H2194" t="s">
        <v>149</v>
      </c>
    </row>
    <row r="2195" spans="8:8" x14ac:dyDescent="0.25">
      <c r="H2195" t="s">
        <v>5156</v>
      </c>
    </row>
    <row r="2197" spans="8:8" x14ac:dyDescent="0.25">
      <c r="H2197" t="s">
        <v>5157</v>
      </c>
    </row>
    <row r="2198" spans="8:8" x14ac:dyDescent="0.25">
      <c r="H2198" t="s">
        <v>5158</v>
      </c>
    </row>
    <row r="2199" spans="8:8" x14ac:dyDescent="0.25">
      <c r="H2199" t="s">
        <v>149</v>
      </c>
    </row>
    <row r="2200" spans="8:8" x14ac:dyDescent="0.25">
      <c r="H2200" t="s">
        <v>5159</v>
      </c>
    </row>
    <row r="2202" spans="8:8" x14ac:dyDescent="0.25">
      <c r="H2202" t="s">
        <v>5160</v>
      </c>
    </row>
    <row r="2203" spans="8:8" x14ac:dyDescent="0.25">
      <c r="H2203" t="s">
        <v>5161</v>
      </c>
    </row>
    <row r="2204" spans="8:8" x14ac:dyDescent="0.25">
      <c r="H2204" t="s">
        <v>149</v>
      </c>
    </row>
    <row r="2205" spans="8:8" x14ac:dyDescent="0.25">
      <c r="H2205" t="s">
        <v>5162</v>
      </c>
    </row>
    <row r="2207" spans="8:8" x14ac:dyDescent="0.25">
      <c r="H2207" t="s">
        <v>5163</v>
      </c>
    </row>
    <row r="2208" spans="8:8" x14ac:dyDescent="0.25">
      <c r="H2208" t="s">
        <v>5164</v>
      </c>
    </row>
    <row r="2209" spans="8:8" x14ac:dyDescent="0.25">
      <c r="H2209" t="s">
        <v>149</v>
      </c>
    </row>
    <row r="2210" spans="8:8" x14ac:dyDescent="0.25">
      <c r="H2210" t="s">
        <v>5165</v>
      </c>
    </row>
    <row r="2212" spans="8:8" x14ac:dyDescent="0.25">
      <c r="H2212" t="s">
        <v>5166</v>
      </c>
    </row>
    <row r="2213" spans="8:8" x14ac:dyDescent="0.25">
      <c r="H2213" t="s">
        <v>5167</v>
      </c>
    </row>
    <row r="2214" spans="8:8" x14ac:dyDescent="0.25">
      <c r="H2214" t="s">
        <v>149</v>
      </c>
    </row>
    <row r="2215" spans="8:8" x14ac:dyDescent="0.25">
      <c r="H2215" t="s">
        <v>5168</v>
      </c>
    </row>
    <row r="2217" spans="8:8" x14ac:dyDescent="0.25">
      <c r="H2217" t="s">
        <v>5169</v>
      </c>
    </row>
    <row r="2218" spans="8:8" x14ac:dyDescent="0.25">
      <c r="H2218" t="s">
        <v>5170</v>
      </c>
    </row>
    <row r="2219" spans="8:8" x14ac:dyDescent="0.25">
      <c r="H2219" t="s">
        <v>149</v>
      </c>
    </row>
    <row r="2220" spans="8:8" x14ac:dyDescent="0.25">
      <c r="H2220" t="s">
        <v>5171</v>
      </c>
    </row>
    <row r="2222" spans="8:8" x14ac:dyDescent="0.25">
      <c r="H2222" t="s">
        <v>5172</v>
      </c>
    </row>
    <row r="2223" spans="8:8" x14ac:dyDescent="0.25">
      <c r="H2223" t="s">
        <v>5173</v>
      </c>
    </row>
    <row r="2224" spans="8:8" x14ac:dyDescent="0.25">
      <c r="H2224" t="s">
        <v>149</v>
      </c>
    </row>
    <row r="2225" spans="8:8" x14ac:dyDescent="0.25">
      <c r="H2225" t="s">
        <v>5174</v>
      </c>
    </row>
    <row r="2227" spans="8:8" x14ac:dyDescent="0.25">
      <c r="H2227" t="s">
        <v>5175</v>
      </c>
    </row>
    <row r="2228" spans="8:8" x14ac:dyDescent="0.25">
      <c r="H2228" t="s">
        <v>5176</v>
      </c>
    </row>
    <row r="2229" spans="8:8" x14ac:dyDescent="0.25">
      <c r="H2229" t="s">
        <v>149</v>
      </c>
    </row>
    <row r="2230" spans="8:8" x14ac:dyDescent="0.25">
      <c r="H2230" t="s">
        <v>5177</v>
      </c>
    </row>
    <row r="2232" spans="8:8" x14ac:dyDescent="0.25">
      <c r="H2232" t="s">
        <v>5178</v>
      </c>
    </row>
    <row r="2233" spans="8:8" x14ac:dyDescent="0.25">
      <c r="H2233" t="s">
        <v>5179</v>
      </c>
    </row>
    <row r="2234" spans="8:8" x14ac:dyDescent="0.25">
      <c r="H2234" t="s">
        <v>149</v>
      </c>
    </row>
    <row r="2235" spans="8:8" x14ac:dyDescent="0.25">
      <c r="H2235" t="s">
        <v>5180</v>
      </c>
    </row>
    <row r="2237" spans="8:8" x14ac:dyDescent="0.25">
      <c r="H2237" t="s">
        <v>5181</v>
      </c>
    </row>
    <row r="2238" spans="8:8" x14ac:dyDescent="0.25">
      <c r="H2238" t="s">
        <v>5182</v>
      </c>
    </row>
    <row r="2239" spans="8:8" x14ac:dyDescent="0.25">
      <c r="H2239" t="s">
        <v>149</v>
      </c>
    </row>
    <row r="2240" spans="8:8" x14ac:dyDescent="0.25">
      <c r="H2240" t="s">
        <v>5183</v>
      </c>
    </row>
    <row r="2242" spans="8:8" x14ac:dyDescent="0.25">
      <c r="H2242" t="s">
        <v>5184</v>
      </c>
    </row>
    <row r="2243" spans="8:8" x14ac:dyDescent="0.25">
      <c r="H2243" t="s">
        <v>5185</v>
      </c>
    </row>
    <row r="2244" spans="8:8" x14ac:dyDescent="0.25">
      <c r="H2244" t="s">
        <v>149</v>
      </c>
    </row>
    <row r="2245" spans="8:8" x14ac:dyDescent="0.25">
      <c r="H2245" t="s">
        <v>5186</v>
      </c>
    </row>
    <row r="2247" spans="8:8" x14ac:dyDescent="0.25">
      <c r="H2247" t="s">
        <v>5187</v>
      </c>
    </row>
    <row r="2248" spans="8:8" x14ac:dyDescent="0.25">
      <c r="H2248" t="s">
        <v>5188</v>
      </c>
    </row>
    <row r="2249" spans="8:8" x14ac:dyDescent="0.25">
      <c r="H2249" t="s">
        <v>149</v>
      </c>
    </row>
    <row r="2250" spans="8:8" x14ac:dyDescent="0.25">
      <c r="H2250" t="s">
        <v>5189</v>
      </c>
    </row>
    <row r="2252" spans="8:8" x14ac:dyDescent="0.25">
      <c r="H2252" t="s">
        <v>5190</v>
      </c>
    </row>
    <row r="2253" spans="8:8" x14ac:dyDescent="0.25">
      <c r="H2253" t="s">
        <v>5191</v>
      </c>
    </row>
    <row r="2254" spans="8:8" x14ac:dyDescent="0.25">
      <c r="H2254" t="s">
        <v>149</v>
      </c>
    </row>
    <row r="2255" spans="8:8" x14ac:dyDescent="0.25">
      <c r="H2255" t="s">
        <v>5192</v>
      </c>
    </row>
    <row r="2257" spans="8:8" x14ac:dyDescent="0.25">
      <c r="H2257" t="s">
        <v>5193</v>
      </c>
    </row>
    <row r="2258" spans="8:8" x14ac:dyDescent="0.25">
      <c r="H2258" t="s">
        <v>5194</v>
      </c>
    </row>
    <row r="2259" spans="8:8" x14ac:dyDescent="0.25">
      <c r="H2259" t="s">
        <v>149</v>
      </c>
    </row>
    <row r="2260" spans="8:8" x14ac:dyDescent="0.25">
      <c r="H2260" t="s">
        <v>5195</v>
      </c>
    </row>
    <row r="2262" spans="8:8" x14ac:dyDescent="0.25">
      <c r="H2262" t="s">
        <v>5196</v>
      </c>
    </row>
    <row r="2263" spans="8:8" x14ac:dyDescent="0.25">
      <c r="H2263" t="s">
        <v>5197</v>
      </c>
    </row>
    <row r="2264" spans="8:8" x14ac:dyDescent="0.25">
      <c r="H2264" t="s">
        <v>149</v>
      </c>
    </row>
    <row r="2265" spans="8:8" x14ac:dyDescent="0.25">
      <c r="H2265" t="s">
        <v>5198</v>
      </c>
    </row>
    <row r="2267" spans="8:8" x14ac:dyDescent="0.25">
      <c r="H2267" t="s">
        <v>5199</v>
      </c>
    </row>
    <row r="2268" spans="8:8" x14ac:dyDescent="0.25">
      <c r="H2268" t="s">
        <v>5200</v>
      </c>
    </row>
    <row r="2269" spans="8:8" x14ac:dyDescent="0.25">
      <c r="H2269" t="s">
        <v>149</v>
      </c>
    </row>
    <row r="2270" spans="8:8" x14ac:dyDescent="0.25">
      <c r="H2270" t="s">
        <v>5201</v>
      </c>
    </row>
    <row r="2272" spans="8:8" x14ac:dyDescent="0.25">
      <c r="H2272" t="s">
        <v>5202</v>
      </c>
    </row>
    <row r="2273" spans="8:8" x14ac:dyDescent="0.25">
      <c r="H2273" t="s">
        <v>5203</v>
      </c>
    </row>
    <row r="2274" spans="8:8" x14ac:dyDescent="0.25">
      <c r="H2274" t="s">
        <v>149</v>
      </c>
    </row>
    <row r="2275" spans="8:8" x14ac:dyDescent="0.25">
      <c r="H2275" t="s">
        <v>5204</v>
      </c>
    </row>
    <row r="2277" spans="8:8" x14ac:dyDescent="0.25">
      <c r="H2277" t="s">
        <v>5205</v>
      </c>
    </row>
    <row r="2278" spans="8:8" x14ac:dyDescent="0.25">
      <c r="H2278" t="s">
        <v>5206</v>
      </c>
    </row>
    <row r="2279" spans="8:8" x14ac:dyDescent="0.25">
      <c r="H2279" t="s">
        <v>149</v>
      </c>
    </row>
    <row r="2280" spans="8:8" x14ac:dyDescent="0.25">
      <c r="H2280" t="s">
        <v>5207</v>
      </c>
    </row>
    <row r="2282" spans="8:8" x14ac:dyDescent="0.25">
      <c r="H2282" t="s">
        <v>5208</v>
      </c>
    </row>
    <row r="2283" spans="8:8" x14ac:dyDescent="0.25">
      <c r="H2283" t="s">
        <v>5209</v>
      </c>
    </row>
    <row r="2284" spans="8:8" x14ac:dyDescent="0.25">
      <c r="H2284" t="s">
        <v>149</v>
      </c>
    </row>
    <row r="2285" spans="8:8" x14ac:dyDescent="0.25">
      <c r="H2285" t="s">
        <v>5210</v>
      </c>
    </row>
    <row r="2287" spans="8:8" x14ac:dyDescent="0.25">
      <c r="H2287" t="s">
        <v>5211</v>
      </c>
    </row>
    <row r="2288" spans="8:8" x14ac:dyDescent="0.25">
      <c r="H2288" t="s">
        <v>5212</v>
      </c>
    </row>
    <row r="2289" spans="8:8" x14ac:dyDescent="0.25">
      <c r="H2289" t="s">
        <v>149</v>
      </c>
    </row>
    <row r="2290" spans="8:8" x14ac:dyDescent="0.25">
      <c r="H2290" t="s">
        <v>5213</v>
      </c>
    </row>
    <row r="2292" spans="8:8" x14ac:dyDescent="0.25">
      <c r="H2292" t="s">
        <v>5214</v>
      </c>
    </row>
    <row r="2293" spans="8:8" x14ac:dyDescent="0.25">
      <c r="H2293" t="s">
        <v>5215</v>
      </c>
    </row>
    <row r="2294" spans="8:8" x14ac:dyDescent="0.25">
      <c r="H2294" t="s">
        <v>149</v>
      </c>
    </row>
    <row r="2295" spans="8:8" x14ac:dyDescent="0.25">
      <c r="H2295" t="s">
        <v>5216</v>
      </c>
    </row>
    <row r="2297" spans="8:8" x14ac:dyDescent="0.25">
      <c r="H2297" t="s">
        <v>5217</v>
      </c>
    </row>
    <row r="2298" spans="8:8" x14ac:dyDescent="0.25">
      <c r="H2298" t="s">
        <v>5218</v>
      </c>
    </row>
    <row r="2299" spans="8:8" x14ac:dyDescent="0.25">
      <c r="H2299" t="s">
        <v>149</v>
      </c>
    </row>
    <row r="2300" spans="8:8" x14ac:dyDescent="0.25">
      <c r="H2300" t="s">
        <v>5219</v>
      </c>
    </row>
    <row r="2302" spans="8:8" x14ac:dyDescent="0.25">
      <c r="H2302" t="s">
        <v>5220</v>
      </c>
    </row>
    <row r="2303" spans="8:8" x14ac:dyDescent="0.25">
      <c r="H2303" t="s">
        <v>5221</v>
      </c>
    </row>
    <row r="2304" spans="8:8" x14ac:dyDescent="0.25">
      <c r="H2304" t="s">
        <v>149</v>
      </c>
    </row>
    <row r="2305" spans="8:8" x14ac:dyDescent="0.25">
      <c r="H2305" t="s">
        <v>5222</v>
      </c>
    </row>
    <row r="2307" spans="8:8" x14ac:dyDescent="0.25">
      <c r="H2307" t="s">
        <v>5223</v>
      </c>
    </row>
    <row r="2308" spans="8:8" x14ac:dyDescent="0.25">
      <c r="H2308" t="s">
        <v>5224</v>
      </c>
    </row>
    <row r="2309" spans="8:8" x14ac:dyDescent="0.25">
      <c r="H2309" t="s">
        <v>149</v>
      </c>
    </row>
    <row r="2310" spans="8:8" x14ac:dyDescent="0.25">
      <c r="H2310" t="s">
        <v>5225</v>
      </c>
    </row>
    <row r="2312" spans="8:8" x14ac:dyDescent="0.25">
      <c r="H2312" t="s">
        <v>5226</v>
      </c>
    </row>
    <row r="2313" spans="8:8" x14ac:dyDescent="0.25">
      <c r="H2313" t="s">
        <v>5227</v>
      </c>
    </row>
    <row r="2314" spans="8:8" x14ac:dyDescent="0.25">
      <c r="H2314" t="s">
        <v>149</v>
      </c>
    </row>
    <row r="2315" spans="8:8" x14ac:dyDescent="0.25">
      <c r="H2315" t="s">
        <v>5228</v>
      </c>
    </row>
    <row r="2317" spans="8:8" x14ac:dyDescent="0.25">
      <c r="H2317" t="s">
        <v>5229</v>
      </c>
    </row>
    <row r="2318" spans="8:8" x14ac:dyDescent="0.25">
      <c r="H2318" t="s">
        <v>5230</v>
      </c>
    </row>
    <row r="2319" spans="8:8" x14ac:dyDescent="0.25">
      <c r="H2319" t="s">
        <v>149</v>
      </c>
    </row>
    <row r="2320" spans="8:8" x14ac:dyDescent="0.25">
      <c r="H2320" t="s">
        <v>5231</v>
      </c>
    </row>
    <row r="2322" spans="8:8" x14ac:dyDescent="0.25">
      <c r="H2322" t="s">
        <v>5232</v>
      </c>
    </row>
    <row r="2323" spans="8:8" x14ac:dyDescent="0.25">
      <c r="H2323" t="s">
        <v>5233</v>
      </c>
    </row>
    <row r="2324" spans="8:8" x14ac:dyDescent="0.25">
      <c r="H2324" t="s">
        <v>149</v>
      </c>
    </row>
    <row r="2325" spans="8:8" x14ac:dyDescent="0.25">
      <c r="H2325" t="s">
        <v>5234</v>
      </c>
    </row>
    <row r="2327" spans="8:8" x14ac:dyDescent="0.25">
      <c r="H2327" t="s">
        <v>5235</v>
      </c>
    </row>
    <row r="2328" spans="8:8" x14ac:dyDescent="0.25">
      <c r="H2328" t="s">
        <v>5236</v>
      </c>
    </row>
    <row r="2329" spans="8:8" x14ac:dyDescent="0.25">
      <c r="H2329" t="s">
        <v>149</v>
      </c>
    </row>
    <row r="2330" spans="8:8" x14ac:dyDescent="0.25">
      <c r="H2330" t="s">
        <v>5237</v>
      </c>
    </row>
    <row r="2332" spans="8:8" x14ac:dyDescent="0.25">
      <c r="H2332" t="s">
        <v>5238</v>
      </c>
    </row>
    <row r="2333" spans="8:8" x14ac:dyDescent="0.25">
      <c r="H2333" t="s">
        <v>5239</v>
      </c>
    </row>
    <row r="2334" spans="8:8" x14ac:dyDescent="0.25">
      <c r="H2334" t="s">
        <v>149</v>
      </c>
    </row>
    <row r="2335" spans="8:8" x14ac:dyDescent="0.25">
      <c r="H2335" t="s">
        <v>5240</v>
      </c>
    </row>
    <row r="2337" spans="8:8" x14ac:dyDescent="0.25">
      <c r="H2337" t="s">
        <v>5241</v>
      </c>
    </row>
    <row r="2338" spans="8:8" x14ac:dyDescent="0.25">
      <c r="H2338" t="s">
        <v>5242</v>
      </c>
    </row>
    <row r="2339" spans="8:8" x14ac:dyDescent="0.25">
      <c r="H2339" t="s">
        <v>149</v>
      </c>
    </row>
    <row r="2340" spans="8:8" x14ac:dyDescent="0.25">
      <c r="H2340" t="s">
        <v>5243</v>
      </c>
    </row>
    <row r="2342" spans="8:8" x14ac:dyDescent="0.25">
      <c r="H2342" t="s">
        <v>5244</v>
      </c>
    </row>
    <row r="2343" spans="8:8" x14ac:dyDescent="0.25">
      <c r="H2343" t="s">
        <v>5245</v>
      </c>
    </row>
    <row r="2344" spans="8:8" x14ac:dyDescent="0.25">
      <c r="H2344" t="s">
        <v>149</v>
      </c>
    </row>
    <row r="2345" spans="8:8" x14ac:dyDescent="0.25">
      <c r="H2345" t="s">
        <v>5246</v>
      </c>
    </row>
    <row r="2347" spans="8:8" x14ac:dyDescent="0.25">
      <c r="H2347" t="s">
        <v>5247</v>
      </c>
    </row>
    <row r="2348" spans="8:8" x14ac:dyDescent="0.25">
      <c r="H2348" t="s">
        <v>5248</v>
      </c>
    </row>
    <row r="2349" spans="8:8" x14ac:dyDescent="0.25">
      <c r="H2349" t="s">
        <v>149</v>
      </c>
    </row>
    <row r="2350" spans="8:8" x14ac:dyDescent="0.25">
      <c r="H2350" t="s">
        <v>5249</v>
      </c>
    </row>
    <row r="2352" spans="8:8" x14ac:dyDescent="0.25">
      <c r="H2352" t="s">
        <v>5250</v>
      </c>
    </row>
    <row r="2353" spans="8:8" x14ac:dyDescent="0.25">
      <c r="H2353" t="s">
        <v>5251</v>
      </c>
    </row>
    <row r="2354" spans="8:8" x14ac:dyDescent="0.25">
      <c r="H2354" t="s">
        <v>149</v>
      </c>
    </row>
    <row r="2355" spans="8:8" x14ac:dyDescent="0.25">
      <c r="H2355" t="s">
        <v>5252</v>
      </c>
    </row>
    <row r="2357" spans="8:8" x14ac:dyDescent="0.25">
      <c r="H2357" t="s">
        <v>5253</v>
      </c>
    </row>
    <row r="2358" spans="8:8" x14ac:dyDescent="0.25">
      <c r="H2358" t="s">
        <v>5254</v>
      </c>
    </row>
    <row r="2359" spans="8:8" x14ac:dyDescent="0.25">
      <c r="H2359" t="s">
        <v>149</v>
      </c>
    </row>
    <row r="2360" spans="8:8" x14ac:dyDescent="0.25">
      <c r="H2360" t="s">
        <v>5255</v>
      </c>
    </row>
    <row r="2362" spans="8:8" x14ac:dyDescent="0.25">
      <c r="H2362" t="s">
        <v>5256</v>
      </c>
    </row>
    <row r="2363" spans="8:8" x14ac:dyDescent="0.25">
      <c r="H2363" t="s">
        <v>5257</v>
      </c>
    </row>
    <row r="2364" spans="8:8" x14ac:dyDescent="0.25">
      <c r="H2364" t="s">
        <v>149</v>
      </c>
    </row>
    <row r="2365" spans="8:8" x14ac:dyDescent="0.25">
      <c r="H2365" t="s">
        <v>5258</v>
      </c>
    </row>
    <row r="2367" spans="8:8" x14ac:dyDescent="0.25">
      <c r="H2367" t="s">
        <v>5259</v>
      </c>
    </row>
    <row r="2368" spans="8:8" x14ac:dyDescent="0.25">
      <c r="H2368" t="s">
        <v>5260</v>
      </c>
    </row>
    <row r="2369" spans="8:8" x14ac:dyDescent="0.25">
      <c r="H2369" t="s">
        <v>149</v>
      </c>
    </row>
    <row r="2370" spans="8:8" x14ac:dyDescent="0.25">
      <c r="H2370" t="s">
        <v>5261</v>
      </c>
    </row>
    <row r="2372" spans="8:8" x14ac:dyDescent="0.25">
      <c r="H2372" t="s">
        <v>5262</v>
      </c>
    </row>
    <row r="2373" spans="8:8" x14ac:dyDescent="0.25">
      <c r="H2373" t="s">
        <v>5263</v>
      </c>
    </row>
    <row r="2374" spans="8:8" x14ac:dyDescent="0.25">
      <c r="H2374" t="s">
        <v>149</v>
      </c>
    </row>
    <row r="2375" spans="8:8" x14ac:dyDescent="0.25">
      <c r="H2375" t="s">
        <v>5264</v>
      </c>
    </row>
    <row r="2377" spans="8:8" x14ac:dyDescent="0.25">
      <c r="H2377" t="s">
        <v>5265</v>
      </c>
    </row>
    <row r="2378" spans="8:8" x14ac:dyDescent="0.25">
      <c r="H2378" t="s">
        <v>5266</v>
      </c>
    </row>
    <row r="2379" spans="8:8" x14ac:dyDescent="0.25">
      <c r="H2379" t="s">
        <v>149</v>
      </c>
    </row>
    <row r="2380" spans="8:8" x14ac:dyDescent="0.25">
      <c r="H2380" t="s">
        <v>5267</v>
      </c>
    </row>
    <row r="2382" spans="8:8" x14ac:dyDescent="0.25">
      <c r="H2382" t="s">
        <v>5268</v>
      </c>
    </row>
    <row r="2383" spans="8:8" x14ac:dyDescent="0.25">
      <c r="H2383" t="s">
        <v>5269</v>
      </c>
    </row>
    <row r="2384" spans="8:8" x14ac:dyDescent="0.25">
      <c r="H2384" t="s">
        <v>149</v>
      </c>
    </row>
    <row r="2385" spans="8:8" x14ac:dyDescent="0.25">
      <c r="H2385" t="s">
        <v>5270</v>
      </c>
    </row>
    <row r="2387" spans="8:8" x14ac:dyDescent="0.25">
      <c r="H2387" t="s">
        <v>5271</v>
      </c>
    </row>
    <row r="2388" spans="8:8" x14ac:dyDescent="0.25">
      <c r="H2388" t="s">
        <v>5272</v>
      </c>
    </row>
    <row r="2389" spans="8:8" x14ac:dyDescent="0.25">
      <c r="H2389" t="s">
        <v>149</v>
      </c>
    </row>
    <row r="2390" spans="8:8" x14ac:dyDescent="0.25">
      <c r="H2390" t="s">
        <v>5273</v>
      </c>
    </row>
    <row r="2392" spans="8:8" x14ac:dyDescent="0.25">
      <c r="H2392" t="s">
        <v>5274</v>
      </c>
    </row>
    <row r="2393" spans="8:8" x14ac:dyDescent="0.25">
      <c r="H2393" t="s">
        <v>5275</v>
      </c>
    </row>
    <row r="2394" spans="8:8" x14ac:dyDescent="0.25">
      <c r="H2394" t="s">
        <v>149</v>
      </c>
    </row>
    <row r="2395" spans="8:8" x14ac:dyDescent="0.25">
      <c r="H2395" t="s">
        <v>5276</v>
      </c>
    </row>
    <row r="2397" spans="8:8" x14ac:dyDescent="0.25">
      <c r="H2397" t="s">
        <v>5277</v>
      </c>
    </row>
    <row r="2398" spans="8:8" x14ac:dyDescent="0.25">
      <c r="H2398" t="s">
        <v>5278</v>
      </c>
    </row>
    <row r="2399" spans="8:8" x14ac:dyDescent="0.25">
      <c r="H2399" t="s">
        <v>149</v>
      </c>
    </row>
    <row r="2400" spans="8:8" x14ac:dyDescent="0.25">
      <c r="H2400" t="s">
        <v>5279</v>
      </c>
    </row>
    <row r="2402" spans="8:8" x14ac:dyDescent="0.25">
      <c r="H2402" t="s">
        <v>5280</v>
      </c>
    </row>
    <row r="2403" spans="8:8" x14ac:dyDescent="0.25">
      <c r="H2403" t="s">
        <v>5281</v>
      </c>
    </row>
    <row r="2404" spans="8:8" x14ac:dyDescent="0.25">
      <c r="H2404" t="s">
        <v>149</v>
      </c>
    </row>
    <row r="2405" spans="8:8" x14ac:dyDescent="0.25">
      <c r="H2405" t="s">
        <v>5282</v>
      </c>
    </row>
    <row r="2407" spans="8:8" x14ac:dyDescent="0.25">
      <c r="H2407" t="s">
        <v>5283</v>
      </c>
    </row>
    <row r="2408" spans="8:8" x14ac:dyDescent="0.25">
      <c r="H2408" t="s">
        <v>5284</v>
      </c>
    </row>
    <row r="2409" spans="8:8" x14ac:dyDescent="0.25">
      <c r="H2409" t="s">
        <v>149</v>
      </c>
    </row>
    <row r="2410" spans="8:8" x14ac:dyDescent="0.25">
      <c r="H2410" t="s">
        <v>5285</v>
      </c>
    </row>
    <row r="2412" spans="8:8" x14ac:dyDescent="0.25">
      <c r="H2412" t="s">
        <v>5286</v>
      </c>
    </row>
    <row r="2413" spans="8:8" x14ac:dyDescent="0.25">
      <c r="H2413" t="s">
        <v>5287</v>
      </c>
    </row>
    <row r="2414" spans="8:8" x14ac:dyDescent="0.25">
      <c r="H2414" t="s">
        <v>149</v>
      </c>
    </row>
    <row r="2415" spans="8:8" x14ac:dyDescent="0.25">
      <c r="H2415" t="s">
        <v>5288</v>
      </c>
    </row>
    <row r="2417" spans="8:8" x14ac:dyDescent="0.25">
      <c r="H2417" t="s">
        <v>5289</v>
      </c>
    </row>
    <row r="2418" spans="8:8" x14ac:dyDescent="0.25">
      <c r="H2418" t="s">
        <v>5290</v>
      </c>
    </row>
    <row r="2419" spans="8:8" x14ac:dyDescent="0.25">
      <c r="H2419" t="s">
        <v>149</v>
      </c>
    </row>
    <row r="2420" spans="8:8" x14ac:dyDescent="0.25">
      <c r="H2420" t="s">
        <v>5291</v>
      </c>
    </row>
    <row r="2422" spans="8:8" x14ac:dyDescent="0.25">
      <c r="H2422" t="s">
        <v>5292</v>
      </c>
    </row>
    <row r="2423" spans="8:8" x14ac:dyDescent="0.25">
      <c r="H2423" t="s">
        <v>5293</v>
      </c>
    </row>
    <row r="2424" spans="8:8" x14ac:dyDescent="0.25">
      <c r="H2424" t="s">
        <v>149</v>
      </c>
    </row>
    <row r="2425" spans="8:8" x14ac:dyDescent="0.25">
      <c r="H2425" t="s">
        <v>5294</v>
      </c>
    </row>
    <row r="2427" spans="8:8" x14ac:dyDescent="0.25">
      <c r="H2427" t="s">
        <v>5295</v>
      </c>
    </row>
    <row r="2428" spans="8:8" x14ac:dyDescent="0.25">
      <c r="H2428" t="s">
        <v>5296</v>
      </c>
    </row>
    <row r="2429" spans="8:8" x14ac:dyDescent="0.25">
      <c r="H2429" t="s">
        <v>149</v>
      </c>
    </row>
    <row r="2430" spans="8:8" x14ac:dyDescent="0.25">
      <c r="H2430" t="s">
        <v>5297</v>
      </c>
    </row>
    <row r="2432" spans="8:8" x14ac:dyDescent="0.25">
      <c r="H2432" t="s">
        <v>5298</v>
      </c>
    </row>
    <row r="2433" spans="8:8" x14ac:dyDescent="0.25">
      <c r="H2433" t="s">
        <v>5299</v>
      </c>
    </row>
    <row r="2434" spans="8:8" x14ac:dyDescent="0.25">
      <c r="H2434" t="s">
        <v>149</v>
      </c>
    </row>
    <row r="2435" spans="8:8" x14ac:dyDescent="0.25">
      <c r="H2435" t="s">
        <v>5300</v>
      </c>
    </row>
    <row r="2437" spans="8:8" x14ac:dyDescent="0.25">
      <c r="H2437" t="s">
        <v>5301</v>
      </c>
    </row>
    <row r="2438" spans="8:8" x14ac:dyDescent="0.25">
      <c r="H2438" t="s">
        <v>5302</v>
      </c>
    </row>
    <row r="2439" spans="8:8" x14ac:dyDescent="0.25">
      <c r="H2439" t="s">
        <v>149</v>
      </c>
    </row>
    <row r="2440" spans="8:8" x14ac:dyDescent="0.25">
      <c r="H2440" t="s">
        <v>5303</v>
      </c>
    </row>
    <row r="2442" spans="8:8" x14ac:dyDescent="0.25">
      <c r="H2442" t="s">
        <v>5304</v>
      </c>
    </row>
    <row r="2443" spans="8:8" x14ac:dyDescent="0.25">
      <c r="H2443" t="s">
        <v>5305</v>
      </c>
    </row>
    <row r="2444" spans="8:8" x14ac:dyDescent="0.25">
      <c r="H2444" t="s">
        <v>149</v>
      </c>
    </row>
    <row r="2445" spans="8:8" x14ac:dyDescent="0.25">
      <c r="H2445" t="s">
        <v>5306</v>
      </c>
    </row>
    <row r="2447" spans="8:8" x14ac:dyDescent="0.25">
      <c r="H2447" t="s">
        <v>5307</v>
      </c>
    </row>
    <row r="2448" spans="8:8" x14ac:dyDescent="0.25">
      <c r="H2448" t="s">
        <v>5308</v>
      </c>
    </row>
    <row r="2449" spans="8:8" x14ac:dyDescent="0.25">
      <c r="H2449" t="s">
        <v>149</v>
      </c>
    </row>
    <row r="2450" spans="8:8" x14ac:dyDescent="0.25">
      <c r="H2450" t="s">
        <v>5309</v>
      </c>
    </row>
    <row r="2452" spans="8:8" x14ac:dyDescent="0.25">
      <c r="H2452" t="s">
        <v>5310</v>
      </c>
    </row>
    <row r="2453" spans="8:8" x14ac:dyDescent="0.25">
      <c r="H2453" t="s">
        <v>5311</v>
      </c>
    </row>
    <row r="2454" spans="8:8" x14ac:dyDescent="0.25">
      <c r="H2454" t="s">
        <v>149</v>
      </c>
    </row>
    <row r="2455" spans="8:8" x14ac:dyDescent="0.25">
      <c r="H2455" t="s">
        <v>5312</v>
      </c>
    </row>
    <row r="2457" spans="8:8" x14ac:dyDescent="0.25">
      <c r="H2457" t="s">
        <v>5313</v>
      </c>
    </row>
    <row r="2458" spans="8:8" x14ac:dyDescent="0.25">
      <c r="H2458" t="s">
        <v>5314</v>
      </c>
    </row>
    <row r="2459" spans="8:8" x14ac:dyDescent="0.25">
      <c r="H2459" t="s">
        <v>149</v>
      </c>
    </row>
    <row r="2460" spans="8:8" x14ac:dyDescent="0.25">
      <c r="H2460" t="s">
        <v>5315</v>
      </c>
    </row>
    <row r="2462" spans="8:8" x14ac:dyDescent="0.25">
      <c r="H2462" t="s">
        <v>5316</v>
      </c>
    </row>
    <row r="2463" spans="8:8" x14ac:dyDescent="0.25">
      <c r="H2463" t="s">
        <v>5317</v>
      </c>
    </row>
    <row r="2464" spans="8:8" x14ac:dyDescent="0.25">
      <c r="H2464" t="s">
        <v>149</v>
      </c>
    </row>
    <row r="2465" spans="8:8" x14ac:dyDescent="0.25">
      <c r="H2465" t="s">
        <v>5318</v>
      </c>
    </row>
    <row r="2467" spans="8:8" x14ac:dyDescent="0.25">
      <c r="H2467" t="s">
        <v>5319</v>
      </c>
    </row>
    <row r="2468" spans="8:8" x14ac:dyDescent="0.25">
      <c r="H2468" t="s">
        <v>5320</v>
      </c>
    </row>
    <row r="2469" spans="8:8" x14ac:dyDescent="0.25">
      <c r="H2469" t="s">
        <v>149</v>
      </c>
    </row>
    <row r="2470" spans="8:8" x14ac:dyDescent="0.25">
      <c r="H2470" t="s">
        <v>5321</v>
      </c>
    </row>
    <row r="2472" spans="8:8" x14ac:dyDescent="0.25">
      <c r="H2472" t="s">
        <v>5322</v>
      </c>
    </row>
    <row r="2473" spans="8:8" x14ac:dyDescent="0.25">
      <c r="H2473" t="s">
        <v>5323</v>
      </c>
    </row>
    <row r="2474" spans="8:8" x14ac:dyDescent="0.25">
      <c r="H2474" t="s">
        <v>149</v>
      </c>
    </row>
    <row r="2475" spans="8:8" x14ac:dyDescent="0.25">
      <c r="H2475" t="s">
        <v>5324</v>
      </c>
    </row>
    <row r="2477" spans="8:8" x14ac:dyDescent="0.25">
      <c r="H2477" t="s">
        <v>5325</v>
      </c>
    </row>
    <row r="2478" spans="8:8" x14ac:dyDescent="0.25">
      <c r="H2478" t="s">
        <v>5326</v>
      </c>
    </row>
    <row r="2479" spans="8:8" x14ac:dyDescent="0.25">
      <c r="H2479" t="s">
        <v>149</v>
      </c>
    </row>
    <row r="2480" spans="8:8" x14ac:dyDescent="0.25">
      <c r="H2480" t="s">
        <v>5327</v>
      </c>
    </row>
    <row r="2482" spans="8:8" x14ac:dyDescent="0.25">
      <c r="H2482" t="s">
        <v>5328</v>
      </c>
    </row>
    <row r="2483" spans="8:8" x14ac:dyDescent="0.25">
      <c r="H2483" t="s">
        <v>5329</v>
      </c>
    </row>
    <row r="2484" spans="8:8" x14ac:dyDescent="0.25">
      <c r="H2484" t="s">
        <v>149</v>
      </c>
    </row>
    <row r="2485" spans="8:8" x14ac:dyDescent="0.25">
      <c r="H2485" t="s">
        <v>5330</v>
      </c>
    </row>
    <row r="2487" spans="8:8" x14ac:dyDescent="0.25">
      <c r="H2487" t="s">
        <v>5331</v>
      </c>
    </row>
    <row r="2488" spans="8:8" x14ac:dyDescent="0.25">
      <c r="H2488" t="s">
        <v>5332</v>
      </c>
    </row>
    <row r="2489" spans="8:8" x14ac:dyDescent="0.25">
      <c r="H2489" t="s">
        <v>149</v>
      </c>
    </row>
    <row r="2490" spans="8:8" x14ac:dyDescent="0.25">
      <c r="H2490" t="s">
        <v>5333</v>
      </c>
    </row>
    <row r="2492" spans="8:8" x14ac:dyDescent="0.25">
      <c r="H2492" t="s">
        <v>5334</v>
      </c>
    </row>
    <row r="2493" spans="8:8" x14ac:dyDescent="0.25">
      <c r="H2493" t="s">
        <v>5335</v>
      </c>
    </row>
    <row r="2494" spans="8:8" x14ac:dyDescent="0.25">
      <c r="H2494" t="s">
        <v>149</v>
      </c>
    </row>
    <row r="2495" spans="8:8" x14ac:dyDescent="0.25">
      <c r="H2495" t="s">
        <v>5336</v>
      </c>
    </row>
    <row r="2497" spans="8:8" x14ac:dyDescent="0.25">
      <c r="H2497" t="s">
        <v>5337</v>
      </c>
    </row>
    <row r="2498" spans="8:8" x14ac:dyDescent="0.25">
      <c r="H2498" t="s">
        <v>5338</v>
      </c>
    </row>
    <row r="2499" spans="8:8" x14ac:dyDescent="0.25">
      <c r="H2499" t="s">
        <v>149</v>
      </c>
    </row>
    <row r="2500" spans="8:8" x14ac:dyDescent="0.25">
      <c r="H2500" t="s">
        <v>5339</v>
      </c>
    </row>
    <row r="2502" spans="8:8" x14ac:dyDescent="0.25">
      <c r="H2502" t="s">
        <v>5340</v>
      </c>
    </row>
    <row r="2503" spans="8:8" x14ac:dyDescent="0.25">
      <c r="H2503" t="s">
        <v>5341</v>
      </c>
    </row>
    <row r="2504" spans="8:8" x14ac:dyDescent="0.25">
      <c r="H2504" t="s">
        <v>149</v>
      </c>
    </row>
    <row r="2505" spans="8:8" x14ac:dyDescent="0.25">
      <c r="H2505" t="s">
        <v>5342</v>
      </c>
    </row>
    <row r="2507" spans="8:8" x14ac:dyDescent="0.25">
      <c r="H2507" t="s">
        <v>5343</v>
      </c>
    </row>
    <row r="2508" spans="8:8" x14ac:dyDescent="0.25">
      <c r="H2508" t="s">
        <v>5344</v>
      </c>
    </row>
    <row r="2509" spans="8:8" x14ac:dyDescent="0.25">
      <c r="H2509" t="s">
        <v>149</v>
      </c>
    </row>
    <row r="2510" spans="8:8" x14ac:dyDescent="0.25">
      <c r="H2510" t="s">
        <v>5345</v>
      </c>
    </row>
    <row r="2512" spans="8:8" x14ac:dyDescent="0.25">
      <c r="H2512" t="s">
        <v>5346</v>
      </c>
    </row>
    <row r="2513" spans="8:8" x14ac:dyDescent="0.25">
      <c r="H2513" t="s">
        <v>5347</v>
      </c>
    </row>
    <row r="2514" spans="8:8" x14ac:dyDescent="0.25">
      <c r="H2514" t="s">
        <v>149</v>
      </c>
    </row>
    <row r="2515" spans="8:8" x14ac:dyDescent="0.25">
      <c r="H2515" t="s">
        <v>5348</v>
      </c>
    </row>
    <row r="2517" spans="8:8" x14ac:dyDescent="0.25">
      <c r="H2517" t="s">
        <v>5349</v>
      </c>
    </row>
    <row r="2518" spans="8:8" x14ac:dyDescent="0.25">
      <c r="H2518" t="s">
        <v>5350</v>
      </c>
    </row>
    <row r="2519" spans="8:8" x14ac:dyDescent="0.25">
      <c r="H2519" t="s">
        <v>149</v>
      </c>
    </row>
    <row r="2520" spans="8:8" x14ac:dyDescent="0.25">
      <c r="H2520" t="s">
        <v>5351</v>
      </c>
    </row>
    <row r="2522" spans="8:8" x14ac:dyDescent="0.25">
      <c r="H2522" t="s">
        <v>5352</v>
      </c>
    </row>
    <row r="2523" spans="8:8" x14ac:dyDescent="0.25">
      <c r="H2523" t="s">
        <v>5353</v>
      </c>
    </row>
    <row r="2524" spans="8:8" x14ac:dyDescent="0.25">
      <c r="H2524" t="s">
        <v>149</v>
      </c>
    </row>
    <row r="2525" spans="8:8" x14ac:dyDescent="0.25">
      <c r="H2525" t="s">
        <v>5354</v>
      </c>
    </row>
    <row r="2527" spans="8:8" x14ac:dyDescent="0.25">
      <c r="H2527" t="s">
        <v>5355</v>
      </c>
    </row>
    <row r="2528" spans="8:8" x14ac:dyDescent="0.25">
      <c r="H2528" t="s">
        <v>5356</v>
      </c>
    </row>
    <row r="2529" spans="8:8" x14ac:dyDescent="0.25">
      <c r="H2529" t="s">
        <v>149</v>
      </c>
    </row>
    <row r="2530" spans="8:8" x14ac:dyDescent="0.25">
      <c r="H2530" t="s">
        <v>5357</v>
      </c>
    </row>
    <row r="2532" spans="8:8" x14ac:dyDescent="0.25">
      <c r="H2532" t="s">
        <v>5358</v>
      </c>
    </row>
    <row r="2533" spans="8:8" x14ac:dyDescent="0.25">
      <c r="H2533" t="s">
        <v>5359</v>
      </c>
    </row>
    <row r="2534" spans="8:8" x14ac:dyDescent="0.25">
      <c r="H2534" t="s">
        <v>149</v>
      </c>
    </row>
    <row r="2535" spans="8:8" x14ac:dyDescent="0.25">
      <c r="H2535" t="s">
        <v>5360</v>
      </c>
    </row>
    <row r="2537" spans="8:8" x14ac:dyDescent="0.25">
      <c r="H2537" t="s">
        <v>5361</v>
      </c>
    </row>
    <row r="2538" spans="8:8" x14ac:dyDescent="0.25">
      <c r="H2538" t="s">
        <v>5362</v>
      </c>
    </row>
    <row r="2539" spans="8:8" x14ac:dyDescent="0.25">
      <c r="H2539" t="s">
        <v>149</v>
      </c>
    </row>
    <row r="2540" spans="8:8" x14ac:dyDescent="0.25">
      <c r="H2540" t="s">
        <v>5363</v>
      </c>
    </row>
    <row r="2542" spans="8:8" x14ac:dyDescent="0.25">
      <c r="H2542" t="s">
        <v>5364</v>
      </c>
    </row>
    <row r="2543" spans="8:8" x14ac:dyDescent="0.25">
      <c r="H2543" t="s">
        <v>5365</v>
      </c>
    </row>
    <row r="2544" spans="8:8" x14ac:dyDescent="0.25">
      <c r="H2544" t="s">
        <v>149</v>
      </c>
    </row>
    <row r="2545" spans="8:8" x14ac:dyDescent="0.25">
      <c r="H2545" t="s">
        <v>5366</v>
      </c>
    </row>
    <row r="2547" spans="8:8" x14ac:dyDescent="0.25">
      <c r="H2547" t="s">
        <v>5367</v>
      </c>
    </row>
    <row r="2548" spans="8:8" x14ac:dyDescent="0.25">
      <c r="H2548" t="s">
        <v>5368</v>
      </c>
    </row>
    <row r="2549" spans="8:8" x14ac:dyDescent="0.25">
      <c r="H2549" t="s">
        <v>149</v>
      </c>
    </row>
    <row r="2550" spans="8:8" x14ac:dyDescent="0.25">
      <c r="H2550" t="s">
        <v>5369</v>
      </c>
    </row>
    <row r="2552" spans="8:8" x14ac:dyDescent="0.25">
      <c r="H2552" t="s">
        <v>5370</v>
      </c>
    </row>
    <row r="2553" spans="8:8" x14ac:dyDescent="0.25">
      <c r="H2553" t="s">
        <v>5371</v>
      </c>
    </row>
    <row r="2554" spans="8:8" x14ac:dyDescent="0.25">
      <c r="H2554" t="s">
        <v>149</v>
      </c>
    </row>
    <row r="2555" spans="8:8" x14ac:dyDescent="0.25">
      <c r="H2555" t="s">
        <v>5372</v>
      </c>
    </row>
    <row r="2557" spans="8:8" x14ac:dyDescent="0.25">
      <c r="H2557" t="s">
        <v>5373</v>
      </c>
    </row>
    <row r="2558" spans="8:8" x14ac:dyDescent="0.25">
      <c r="H2558" t="s">
        <v>5374</v>
      </c>
    </row>
    <row r="2559" spans="8:8" x14ac:dyDescent="0.25">
      <c r="H2559" t="s">
        <v>149</v>
      </c>
    </row>
    <row r="2560" spans="8:8" x14ac:dyDescent="0.25">
      <c r="H2560" t="s">
        <v>5375</v>
      </c>
    </row>
    <row r="2562" spans="8:8" x14ac:dyDescent="0.25">
      <c r="H2562" t="s">
        <v>5376</v>
      </c>
    </row>
    <row r="2563" spans="8:8" x14ac:dyDescent="0.25">
      <c r="H2563" t="s">
        <v>5377</v>
      </c>
    </row>
    <row r="2564" spans="8:8" x14ac:dyDescent="0.25">
      <c r="H2564" t="s">
        <v>149</v>
      </c>
    </row>
    <row r="2565" spans="8:8" x14ac:dyDescent="0.25">
      <c r="H2565" t="s">
        <v>5378</v>
      </c>
    </row>
    <row r="2567" spans="8:8" x14ac:dyDescent="0.25">
      <c r="H2567" t="s">
        <v>5379</v>
      </c>
    </row>
    <row r="2568" spans="8:8" x14ac:dyDescent="0.25">
      <c r="H2568" t="s">
        <v>5380</v>
      </c>
    </row>
    <row r="2569" spans="8:8" x14ac:dyDescent="0.25">
      <c r="H2569" t="s">
        <v>149</v>
      </c>
    </row>
    <row r="2570" spans="8:8" x14ac:dyDescent="0.25">
      <c r="H2570" t="s">
        <v>5381</v>
      </c>
    </row>
    <row r="2572" spans="8:8" x14ac:dyDescent="0.25">
      <c r="H2572" t="s">
        <v>5382</v>
      </c>
    </row>
    <row r="2573" spans="8:8" x14ac:dyDescent="0.25">
      <c r="H2573" t="s">
        <v>5383</v>
      </c>
    </row>
    <row r="2574" spans="8:8" x14ac:dyDescent="0.25">
      <c r="H2574" t="s">
        <v>149</v>
      </c>
    </row>
    <row r="2575" spans="8:8" x14ac:dyDescent="0.25">
      <c r="H2575" t="s">
        <v>5384</v>
      </c>
    </row>
    <row r="2577" spans="8:8" x14ac:dyDescent="0.25">
      <c r="H2577" t="s">
        <v>5385</v>
      </c>
    </row>
    <row r="2578" spans="8:8" x14ac:dyDescent="0.25">
      <c r="H2578" t="s">
        <v>5386</v>
      </c>
    </row>
    <row r="2579" spans="8:8" x14ac:dyDescent="0.25">
      <c r="H2579" t="s">
        <v>149</v>
      </c>
    </row>
    <row r="2580" spans="8:8" x14ac:dyDescent="0.25">
      <c r="H2580" t="s">
        <v>5387</v>
      </c>
    </row>
    <row r="2582" spans="8:8" x14ac:dyDescent="0.25">
      <c r="H2582" t="s">
        <v>5388</v>
      </c>
    </row>
    <row r="2583" spans="8:8" x14ac:dyDescent="0.25">
      <c r="H2583" t="s">
        <v>5389</v>
      </c>
    </row>
    <row r="2584" spans="8:8" x14ac:dyDescent="0.25">
      <c r="H2584" t="s">
        <v>149</v>
      </c>
    </row>
    <row r="2585" spans="8:8" x14ac:dyDescent="0.25">
      <c r="H2585" t="s">
        <v>5390</v>
      </c>
    </row>
    <row r="2587" spans="8:8" x14ac:dyDescent="0.25">
      <c r="H2587" t="s">
        <v>5391</v>
      </c>
    </row>
    <row r="2588" spans="8:8" x14ac:dyDescent="0.25">
      <c r="H2588" t="s">
        <v>5392</v>
      </c>
    </row>
    <row r="2589" spans="8:8" x14ac:dyDescent="0.25">
      <c r="H2589" t="s">
        <v>149</v>
      </c>
    </row>
    <row r="2590" spans="8:8" x14ac:dyDescent="0.25">
      <c r="H2590" t="s">
        <v>5393</v>
      </c>
    </row>
    <row r="2592" spans="8:8" x14ac:dyDescent="0.25">
      <c r="H2592" t="s">
        <v>5394</v>
      </c>
    </row>
    <row r="2593" spans="8:8" x14ac:dyDescent="0.25">
      <c r="H2593" t="s">
        <v>5395</v>
      </c>
    </row>
    <row r="2594" spans="8:8" x14ac:dyDescent="0.25">
      <c r="H2594" t="s">
        <v>149</v>
      </c>
    </row>
    <row r="2595" spans="8:8" x14ac:dyDescent="0.25">
      <c r="H2595" t="s">
        <v>5396</v>
      </c>
    </row>
    <row r="2597" spans="8:8" x14ac:dyDescent="0.25">
      <c r="H2597" t="s">
        <v>5397</v>
      </c>
    </row>
    <row r="2598" spans="8:8" x14ac:dyDescent="0.25">
      <c r="H2598" t="s">
        <v>5398</v>
      </c>
    </row>
    <row r="2599" spans="8:8" x14ac:dyDescent="0.25">
      <c r="H2599" t="s">
        <v>149</v>
      </c>
    </row>
    <row r="2600" spans="8:8" x14ac:dyDescent="0.25">
      <c r="H2600" t="s">
        <v>5399</v>
      </c>
    </row>
    <row r="2602" spans="8:8" x14ac:dyDescent="0.25">
      <c r="H2602" t="s">
        <v>5400</v>
      </c>
    </row>
    <row r="2603" spans="8:8" x14ac:dyDescent="0.25">
      <c r="H2603" t="s">
        <v>5401</v>
      </c>
    </row>
    <row r="2604" spans="8:8" x14ac:dyDescent="0.25">
      <c r="H2604" t="s">
        <v>149</v>
      </c>
    </row>
    <row r="2605" spans="8:8" x14ac:dyDescent="0.25">
      <c r="H2605" t="s">
        <v>5402</v>
      </c>
    </row>
    <row r="2607" spans="8:8" x14ac:dyDescent="0.25">
      <c r="H2607" t="s">
        <v>5403</v>
      </c>
    </row>
    <row r="2608" spans="8:8" x14ac:dyDescent="0.25">
      <c r="H2608" t="s">
        <v>5404</v>
      </c>
    </row>
    <row r="2609" spans="8:8" x14ac:dyDescent="0.25">
      <c r="H2609" t="s">
        <v>149</v>
      </c>
    </row>
    <row r="2610" spans="8:8" x14ac:dyDescent="0.25">
      <c r="H2610" t="s">
        <v>5405</v>
      </c>
    </row>
    <row r="2612" spans="8:8" x14ac:dyDescent="0.25">
      <c r="H2612" t="s">
        <v>5406</v>
      </c>
    </row>
    <row r="2613" spans="8:8" x14ac:dyDescent="0.25">
      <c r="H2613" t="s">
        <v>5407</v>
      </c>
    </row>
    <row r="2614" spans="8:8" x14ac:dyDescent="0.25">
      <c r="H2614" t="s">
        <v>149</v>
      </c>
    </row>
    <row r="2615" spans="8:8" x14ac:dyDescent="0.25">
      <c r="H2615" t="s">
        <v>5408</v>
      </c>
    </row>
    <row r="2617" spans="8:8" x14ac:dyDescent="0.25">
      <c r="H2617" t="s">
        <v>5409</v>
      </c>
    </row>
    <row r="2618" spans="8:8" x14ac:dyDescent="0.25">
      <c r="H2618" t="s">
        <v>5410</v>
      </c>
    </row>
    <row r="2619" spans="8:8" x14ac:dyDescent="0.25">
      <c r="H2619" t="s">
        <v>149</v>
      </c>
    </row>
    <row r="2620" spans="8:8" x14ac:dyDescent="0.25">
      <c r="H2620" t="s">
        <v>5411</v>
      </c>
    </row>
    <row r="2622" spans="8:8" x14ac:dyDescent="0.25">
      <c r="H2622" t="s">
        <v>5412</v>
      </c>
    </row>
    <row r="2623" spans="8:8" x14ac:dyDescent="0.25">
      <c r="H2623" t="s">
        <v>5413</v>
      </c>
    </row>
    <row r="2624" spans="8:8" x14ac:dyDescent="0.25">
      <c r="H2624" t="s">
        <v>149</v>
      </c>
    </row>
    <row r="2625" spans="8:8" x14ac:dyDescent="0.25">
      <c r="H2625" t="s">
        <v>5414</v>
      </c>
    </row>
    <row r="2627" spans="8:8" x14ac:dyDescent="0.25">
      <c r="H2627" t="s">
        <v>5415</v>
      </c>
    </row>
    <row r="2628" spans="8:8" x14ac:dyDescent="0.25">
      <c r="H2628" t="s">
        <v>5416</v>
      </c>
    </row>
    <row r="2629" spans="8:8" x14ac:dyDescent="0.25">
      <c r="H2629" t="s">
        <v>149</v>
      </c>
    </row>
    <row r="2630" spans="8:8" x14ac:dyDescent="0.25">
      <c r="H2630" t="s">
        <v>5417</v>
      </c>
    </row>
    <row r="2632" spans="8:8" x14ac:dyDescent="0.25">
      <c r="H2632" t="s">
        <v>5418</v>
      </c>
    </row>
    <row r="2633" spans="8:8" x14ac:dyDescent="0.25">
      <c r="H2633" t="s">
        <v>5419</v>
      </c>
    </row>
    <row r="2634" spans="8:8" x14ac:dyDescent="0.25">
      <c r="H2634" t="s">
        <v>149</v>
      </c>
    </row>
    <row r="2635" spans="8:8" x14ac:dyDescent="0.25">
      <c r="H2635" t="s">
        <v>5420</v>
      </c>
    </row>
    <row r="2637" spans="8:8" x14ac:dyDescent="0.25">
      <c r="H2637" t="s">
        <v>5421</v>
      </c>
    </row>
    <row r="2638" spans="8:8" x14ac:dyDescent="0.25">
      <c r="H2638" t="s">
        <v>5422</v>
      </c>
    </row>
    <row r="2639" spans="8:8" x14ac:dyDescent="0.25">
      <c r="H2639" t="s">
        <v>149</v>
      </c>
    </row>
    <row r="2640" spans="8:8" x14ac:dyDescent="0.25">
      <c r="H2640" t="s">
        <v>5423</v>
      </c>
    </row>
    <row r="2642" spans="8:8" x14ac:dyDescent="0.25">
      <c r="H2642" t="s">
        <v>5424</v>
      </c>
    </row>
    <row r="2643" spans="8:8" x14ac:dyDescent="0.25">
      <c r="H2643" t="s">
        <v>5425</v>
      </c>
    </row>
    <row r="2644" spans="8:8" x14ac:dyDescent="0.25">
      <c r="H2644" t="s">
        <v>149</v>
      </c>
    </row>
    <row r="2645" spans="8:8" x14ac:dyDescent="0.25">
      <c r="H2645" t="s">
        <v>5426</v>
      </c>
    </row>
    <row r="2647" spans="8:8" x14ac:dyDescent="0.25">
      <c r="H2647" t="s">
        <v>5427</v>
      </c>
    </row>
    <row r="2648" spans="8:8" x14ac:dyDescent="0.25">
      <c r="H2648" t="s">
        <v>5428</v>
      </c>
    </row>
    <row r="2649" spans="8:8" x14ac:dyDescent="0.25">
      <c r="H2649" t="s">
        <v>149</v>
      </c>
    </row>
    <row r="2650" spans="8:8" x14ac:dyDescent="0.25">
      <c r="H2650" t="s">
        <v>5429</v>
      </c>
    </row>
    <row r="2652" spans="8:8" x14ac:dyDescent="0.25">
      <c r="H2652" t="s">
        <v>5430</v>
      </c>
    </row>
    <row r="2653" spans="8:8" x14ac:dyDescent="0.25">
      <c r="H2653" t="s">
        <v>5431</v>
      </c>
    </row>
    <row r="2654" spans="8:8" x14ac:dyDescent="0.25">
      <c r="H2654" t="s">
        <v>149</v>
      </c>
    </row>
    <row r="2655" spans="8:8" x14ac:dyDescent="0.25">
      <c r="H2655" t="s">
        <v>5432</v>
      </c>
    </row>
    <row r="2657" spans="8:8" x14ac:dyDescent="0.25">
      <c r="H2657" t="s">
        <v>5433</v>
      </c>
    </row>
    <row r="2658" spans="8:8" x14ac:dyDescent="0.25">
      <c r="H2658" t="s">
        <v>5434</v>
      </c>
    </row>
    <row r="2659" spans="8:8" x14ac:dyDescent="0.25">
      <c r="H2659" t="s">
        <v>149</v>
      </c>
    </row>
    <row r="2660" spans="8:8" x14ac:dyDescent="0.25">
      <c r="H2660" t="s">
        <v>5435</v>
      </c>
    </row>
    <row r="2662" spans="8:8" x14ac:dyDescent="0.25">
      <c r="H2662" t="s">
        <v>5436</v>
      </c>
    </row>
    <row r="2663" spans="8:8" x14ac:dyDescent="0.25">
      <c r="H2663" t="s">
        <v>5437</v>
      </c>
    </row>
    <row r="2664" spans="8:8" x14ac:dyDescent="0.25">
      <c r="H2664" t="s">
        <v>149</v>
      </c>
    </row>
    <row r="2665" spans="8:8" x14ac:dyDescent="0.25">
      <c r="H2665" t="s">
        <v>5438</v>
      </c>
    </row>
    <row r="2667" spans="8:8" x14ac:dyDescent="0.25">
      <c r="H2667" t="s">
        <v>5439</v>
      </c>
    </row>
    <row r="2668" spans="8:8" x14ac:dyDescent="0.25">
      <c r="H2668" t="s">
        <v>5440</v>
      </c>
    </row>
    <row r="2669" spans="8:8" x14ac:dyDescent="0.25">
      <c r="H2669" t="s">
        <v>149</v>
      </c>
    </row>
    <row r="2670" spans="8:8" x14ac:dyDescent="0.25">
      <c r="H2670" t="s">
        <v>5441</v>
      </c>
    </row>
    <row r="2672" spans="8:8" x14ac:dyDescent="0.25">
      <c r="H2672" t="s">
        <v>5442</v>
      </c>
    </row>
    <row r="2673" spans="8:8" x14ac:dyDescent="0.25">
      <c r="H2673" t="s">
        <v>5443</v>
      </c>
    </row>
    <row r="2674" spans="8:8" x14ac:dyDescent="0.25">
      <c r="H2674" t="s">
        <v>149</v>
      </c>
    </row>
    <row r="2675" spans="8:8" x14ac:dyDescent="0.25">
      <c r="H2675" t="s">
        <v>5444</v>
      </c>
    </row>
    <row r="2677" spans="8:8" x14ac:dyDescent="0.25">
      <c r="H2677" t="s">
        <v>5445</v>
      </c>
    </row>
    <row r="2678" spans="8:8" x14ac:dyDescent="0.25">
      <c r="H2678" t="s">
        <v>5446</v>
      </c>
    </row>
    <row r="2679" spans="8:8" x14ac:dyDescent="0.25">
      <c r="H2679" t="s">
        <v>149</v>
      </c>
    </row>
    <row r="2680" spans="8:8" x14ac:dyDescent="0.25">
      <c r="H2680" t="s">
        <v>5447</v>
      </c>
    </row>
    <row r="2682" spans="8:8" x14ac:dyDescent="0.25">
      <c r="H2682" t="s">
        <v>5448</v>
      </c>
    </row>
    <row r="2683" spans="8:8" x14ac:dyDescent="0.25">
      <c r="H2683" t="s">
        <v>5449</v>
      </c>
    </row>
    <row r="2684" spans="8:8" x14ac:dyDescent="0.25">
      <c r="H2684" t="s">
        <v>149</v>
      </c>
    </row>
    <row r="2685" spans="8:8" x14ac:dyDescent="0.25">
      <c r="H2685" t="s">
        <v>5450</v>
      </c>
    </row>
    <row r="2687" spans="8:8" x14ac:dyDescent="0.25">
      <c r="H2687" t="s">
        <v>5451</v>
      </c>
    </row>
    <row r="2688" spans="8:8" x14ac:dyDescent="0.25">
      <c r="H2688" t="s">
        <v>5452</v>
      </c>
    </row>
    <row r="2689" spans="8:8" x14ac:dyDescent="0.25">
      <c r="H2689" t="s">
        <v>149</v>
      </c>
    </row>
    <row r="2690" spans="8:8" x14ac:dyDescent="0.25">
      <c r="H2690" t="s">
        <v>5453</v>
      </c>
    </row>
    <row r="2692" spans="8:8" x14ac:dyDescent="0.25">
      <c r="H2692" t="s">
        <v>5454</v>
      </c>
    </row>
    <row r="2693" spans="8:8" x14ac:dyDescent="0.25">
      <c r="H2693" t="s">
        <v>5455</v>
      </c>
    </row>
    <row r="2694" spans="8:8" x14ac:dyDescent="0.25">
      <c r="H2694" t="s">
        <v>149</v>
      </c>
    </row>
    <row r="2695" spans="8:8" x14ac:dyDescent="0.25">
      <c r="H2695" t="s">
        <v>5456</v>
      </c>
    </row>
    <row r="2697" spans="8:8" x14ac:dyDescent="0.25">
      <c r="H2697" t="s">
        <v>5457</v>
      </c>
    </row>
    <row r="2698" spans="8:8" x14ac:dyDescent="0.25">
      <c r="H2698" t="s">
        <v>5458</v>
      </c>
    </row>
    <row r="2699" spans="8:8" x14ac:dyDescent="0.25">
      <c r="H2699" t="s">
        <v>149</v>
      </c>
    </row>
    <row r="2700" spans="8:8" x14ac:dyDescent="0.25">
      <c r="H2700" t="s">
        <v>5459</v>
      </c>
    </row>
    <row r="2702" spans="8:8" x14ac:dyDescent="0.25">
      <c r="H2702" t="s">
        <v>5460</v>
      </c>
    </row>
    <row r="2703" spans="8:8" x14ac:dyDescent="0.25">
      <c r="H2703" t="s">
        <v>5461</v>
      </c>
    </row>
    <row r="2704" spans="8:8" x14ac:dyDescent="0.25">
      <c r="H2704" t="s">
        <v>149</v>
      </c>
    </row>
    <row r="2705" spans="8:8" x14ac:dyDescent="0.25">
      <c r="H2705" t="s">
        <v>5462</v>
      </c>
    </row>
    <row r="2707" spans="8:8" x14ac:dyDescent="0.25">
      <c r="H2707" t="s">
        <v>5463</v>
      </c>
    </row>
    <row r="2708" spans="8:8" x14ac:dyDescent="0.25">
      <c r="H2708" t="s">
        <v>5464</v>
      </c>
    </row>
    <row r="2709" spans="8:8" x14ac:dyDescent="0.25">
      <c r="H2709" t="s">
        <v>149</v>
      </c>
    </row>
    <row r="2710" spans="8:8" x14ac:dyDescent="0.25">
      <c r="H2710" t="s">
        <v>5465</v>
      </c>
    </row>
    <row r="2712" spans="8:8" x14ac:dyDescent="0.25">
      <c r="H2712" t="s">
        <v>5466</v>
      </c>
    </row>
    <row r="2713" spans="8:8" x14ac:dyDescent="0.25">
      <c r="H2713" t="s">
        <v>5467</v>
      </c>
    </row>
    <row r="2714" spans="8:8" x14ac:dyDescent="0.25">
      <c r="H2714" t="s">
        <v>149</v>
      </c>
    </row>
    <row r="2715" spans="8:8" x14ac:dyDescent="0.25">
      <c r="H2715" t="s">
        <v>5468</v>
      </c>
    </row>
    <row r="2717" spans="8:8" x14ac:dyDescent="0.25">
      <c r="H2717" t="s">
        <v>5469</v>
      </c>
    </row>
    <row r="2718" spans="8:8" x14ac:dyDescent="0.25">
      <c r="H2718" t="s">
        <v>5470</v>
      </c>
    </row>
    <row r="2719" spans="8:8" x14ac:dyDescent="0.25">
      <c r="H2719" t="s">
        <v>149</v>
      </c>
    </row>
    <row r="2720" spans="8:8" x14ac:dyDescent="0.25">
      <c r="H2720" t="s">
        <v>5471</v>
      </c>
    </row>
    <row r="2722" spans="8:8" x14ac:dyDescent="0.25">
      <c r="H2722" t="s">
        <v>5472</v>
      </c>
    </row>
    <row r="2723" spans="8:8" x14ac:dyDescent="0.25">
      <c r="H2723" t="s">
        <v>5473</v>
      </c>
    </row>
    <row r="2724" spans="8:8" x14ac:dyDescent="0.25">
      <c r="H2724" t="s">
        <v>149</v>
      </c>
    </row>
    <row r="2725" spans="8:8" x14ac:dyDescent="0.25">
      <c r="H2725" t="s">
        <v>5474</v>
      </c>
    </row>
    <row r="2727" spans="8:8" x14ac:dyDescent="0.25">
      <c r="H2727" t="s">
        <v>5475</v>
      </c>
    </row>
    <row r="2728" spans="8:8" x14ac:dyDescent="0.25">
      <c r="H2728" t="s">
        <v>5476</v>
      </c>
    </row>
    <row r="2729" spans="8:8" x14ac:dyDescent="0.25">
      <c r="H2729" t="s">
        <v>149</v>
      </c>
    </row>
    <row r="2730" spans="8:8" x14ac:dyDescent="0.25">
      <c r="H2730" t="s">
        <v>5477</v>
      </c>
    </row>
    <row r="2732" spans="8:8" x14ac:dyDescent="0.25">
      <c r="H2732" t="s">
        <v>5478</v>
      </c>
    </row>
    <row r="2733" spans="8:8" x14ac:dyDescent="0.25">
      <c r="H2733" t="s">
        <v>5479</v>
      </c>
    </row>
    <row r="2734" spans="8:8" x14ac:dyDescent="0.25">
      <c r="H2734" t="s">
        <v>149</v>
      </c>
    </row>
    <row r="2735" spans="8:8" x14ac:dyDescent="0.25">
      <c r="H2735" t="s">
        <v>5480</v>
      </c>
    </row>
    <row r="2737" spans="8:8" x14ac:dyDescent="0.25">
      <c r="H2737" t="s">
        <v>5481</v>
      </c>
    </row>
    <row r="2738" spans="8:8" x14ac:dyDescent="0.25">
      <c r="H2738" t="s">
        <v>5482</v>
      </c>
    </row>
    <row r="2739" spans="8:8" x14ac:dyDescent="0.25">
      <c r="H2739" t="s">
        <v>149</v>
      </c>
    </row>
    <row r="2740" spans="8:8" x14ac:dyDescent="0.25">
      <c r="H2740" t="s">
        <v>5483</v>
      </c>
    </row>
    <row r="2742" spans="8:8" x14ac:dyDescent="0.25">
      <c r="H2742" t="s">
        <v>5484</v>
      </c>
    </row>
    <row r="2743" spans="8:8" x14ac:dyDescent="0.25">
      <c r="H2743" t="s">
        <v>5485</v>
      </c>
    </row>
    <row r="2744" spans="8:8" x14ac:dyDescent="0.25">
      <c r="H2744" t="s">
        <v>149</v>
      </c>
    </row>
    <row r="2745" spans="8:8" x14ac:dyDescent="0.25">
      <c r="H2745" t="s">
        <v>5486</v>
      </c>
    </row>
    <row r="2747" spans="8:8" x14ac:dyDescent="0.25">
      <c r="H2747" t="s">
        <v>5487</v>
      </c>
    </row>
    <row r="2748" spans="8:8" x14ac:dyDescent="0.25">
      <c r="H2748" t="s">
        <v>5488</v>
      </c>
    </row>
    <row r="2749" spans="8:8" x14ac:dyDescent="0.25">
      <c r="H2749" t="s">
        <v>149</v>
      </c>
    </row>
    <row r="2750" spans="8:8" x14ac:dyDescent="0.25">
      <c r="H2750" t="s">
        <v>5489</v>
      </c>
    </row>
    <row r="2752" spans="8:8" x14ac:dyDescent="0.25">
      <c r="H2752" t="s">
        <v>5490</v>
      </c>
    </row>
    <row r="2753" spans="8:8" x14ac:dyDescent="0.25">
      <c r="H2753" t="s">
        <v>5491</v>
      </c>
    </row>
    <row r="2754" spans="8:8" x14ac:dyDescent="0.25">
      <c r="H2754" t="s">
        <v>149</v>
      </c>
    </row>
    <row r="2755" spans="8:8" x14ac:dyDescent="0.25">
      <c r="H2755" t="s">
        <v>5492</v>
      </c>
    </row>
    <row r="2757" spans="8:8" x14ac:dyDescent="0.25">
      <c r="H2757" t="s">
        <v>5493</v>
      </c>
    </row>
    <row r="2758" spans="8:8" x14ac:dyDescent="0.25">
      <c r="H2758" t="s">
        <v>5494</v>
      </c>
    </row>
    <row r="2759" spans="8:8" x14ac:dyDescent="0.25">
      <c r="H2759" t="s">
        <v>149</v>
      </c>
    </row>
    <row r="2760" spans="8:8" x14ac:dyDescent="0.25">
      <c r="H2760" t="s">
        <v>5495</v>
      </c>
    </row>
    <row r="2762" spans="8:8" x14ac:dyDescent="0.25">
      <c r="H2762" t="s">
        <v>5496</v>
      </c>
    </row>
    <row r="2763" spans="8:8" x14ac:dyDescent="0.25">
      <c r="H2763" t="s">
        <v>5497</v>
      </c>
    </row>
    <row r="2764" spans="8:8" x14ac:dyDescent="0.25">
      <c r="H2764" t="s">
        <v>149</v>
      </c>
    </row>
    <row r="2765" spans="8:8" x14ac:dyDescent="0.25">
      <c r="H2765" t="s">
        <v>5498</v>
      </c>
    </row>
    <row r="2767" spans="8:8" x14ac:dyDescent="0.25">
      <c r="H2767" t="s">
        <v>5499</v>
      </c>
    </row>
    <row r="2768" spans="8:8" x14ac:dyDescent="0.25">
      <c r="H2768" t="s">
        <v>5500</v>
      </c>
    </row>
    <row r="2769" spans="8:8" x14ac:dyDescent="0.25">
      <c r="H2769" t="s">
        <v>149</v>
      </c>
    </row>
    <row r="2770" spans="8:8" x14ac:dyDescent="0.25">
      <c r="H2770" t="s">
        <v>5501</v>
      </c>
    </row>
    <row r="2772" spans="8:8" x14ac:dyDescent="0.25">
      <c r="H2772" t="s">
        <v>5502</v>
      </c>
    </row>
    <row r="2773" spans="8:8" x14ac:dyDescent="0.25">
      <c r="H2773" t="s">
        <v>5503</v>
      </c>
    </row>
    <row r="2774" spans="8:8" x14ac:dyDescent="0.25">
      <c r="H2774" t="s">
        <v>149</v>
      </c>
    </row>
    <row r="2775" spans="8:8" x14ac:dyDescent="0.25">
      <c r="H2775" t="s">
        <v>5504</v>
      </c>
    </row>
    <row r="2777" spans="8:8" x14ac:dyDescent="0.25">
      <c r="H2777" t="s">
        <v>5505</v>
      </c>
    </row>
    <row r="2778" spans="8:8" x14ac:dyDescent="0.25">
      <c r="H2778" t="s">
        <v>5506</v>
      </c>
    </row>
    <row r="2779" spans="8:8" x14ac:dyDescent="0.25">
      <c r="H2779" t="s">
        <v>149</v>
      </c>
    </row>
    <row r="2780" spans="8:8" x14ac:dyDescent="0.25">
      <c r="H2780" t="s">
        <v>5507</v>
      </c>
    </row>
    <row r="2782" spans="8:8" x14ac:dyDescent="0.25">
      <c r="H2782" t="s">
        <v>5508</v>
      </c>
    </row>
    <row r="2783" spans="8:8" x14ac:dyDescent="0.25">
      <c r="H2783" t="s">
        <v>5509</v>
      </c>
    </row>
    <row r="2784" spans="8:8" x14ac:dyDescent="0.25">
      <c r="H2784" t="s">
        <v>149</v>
      </c>
    </row>
    <row r="2785" spans="8:8" x14ac:dyDescent="0.25">
      <c r="H2785" t="s">
        <v>5510</v>
      </c>
    </row>
    <row r="2787" spans="8:8" x14ac:dyDescent="0.25">
      <c r="H2787" t="s">
        <v>5511</v>
      </c>
    </row>
    <row r="2788" spans="8:8" x14ac:dyDescent="0.25">
      <c r="H2788" t="s">
        <v>5512</v>
      </c>
    </row>
    <row r="2789" spans="8:8" x14ac:dyDescent="0.25">
      <c r="H2789" t="s">
        <v>149</v>
      </c>
    </row>
    <row r="2790" spans="8:8" x14ac:dyDescent="0.25">
      <c r="H2790" t="s">
        <v>5513</v>
      </c>
    </row>
    <row r="2792" spans="8:8" x14ac:dyDescent="0.25">
      <c r="H2792" t="s">
        <v>5514</v>
      </c>
    </row>
    <row r="2793" spans="8:8" x14ac:dyDescent="0.25">
      <c r="H2793" t="s">
        <v>5515</v>
      </c>
    </row>
    <row r="2794" spans="8:8" x14ac:dyDescent="0.25">
      <c r="H2794" t="s">
        <v>149</v>
      </c>
    </row>
    <row r="2795" spans="8:8" x14ac:dyDescent="0.25">
      <c r="H2795" t="s">
        <v>5516</v>
      </c>
    </row>
    <row r="2797" spans="8:8" x14ac:dyDescent="0.25">
      <c r="H2797" t="s">
        <v>5517</v>
      </c>
    </row>
    <row r="2798" spans="8:8" x14ac:dyDescent="0.25">
      <c r="H2798" t="s">
        <v>5518</v>
      </c>
    </row>
    <row r="2799" spans="8:8" x14ac:dyDescent="0.25">
      <c r="H2799" t="s">
        <v>149</v>
      </c>
    </row>
    <row r="2800" spans="8:8" x14ac:dyDescent="0.25">
      <c r="H2800" t="s">
        <v>5519</v>
      </c>
    </row>
    <row r="2802" spans="8:8" x14ac:dyDescent="0.25">
      <c r="H2802" t="s">
        <v>5520</v>
      </c>
    </row>
    <row r="2803" spans="8:8" x14ac:dyDescent="0.25">
      <c r="H2803" t="s">
        <v>5521</v>
      </c>
    </row>
    <row r="2804" spans="8:8" x14ac:dyDescent="0.25">
      <c r="H2804" t="s">
        <v>149</v>
      </c>
    </row>
    <row r="2805" spans="8:8" x14ac:dyDescent="0.25">
      <c r="H2805" t="s">
        <v>5522</v>
      </c>
    </row>
    <row r="2807" spans="8:8" x14ac:dyDescent="0.25">
      <c r="H2807" t="s">
        <v>5523</v>
      </c>
    </row>
    <row r="2808" spans="8:8" x14ac:dyDescent="0.25">
      <c r="H2808" t="s">
        <v>5524</v>
      </c>
    </row>
    <row r="2809" spans="8:8" x14ac:dyDescent="0.25">
      <c r="H2809" t="s">
        <v>149</v>
      </c>
    </row>
    <row r="2810" spans="8:8" x14ac:dyDescent="0.25">
      <c r="H2810" t="s">
        <v>5525</v>
      </c>
    </row>
    <row r="2812" spans="8:8" x14ac:dyDescent="0.25">
      <c r="H2812" t="s">
        <v>5526</v>
      </c>
    </row>
    <row r="2813" spans="8:8" x14ac:dyDescent="0.25">
      <c r="H2813" t="s">
        <v>5527</v>
      </c>
    </row>
    <row r="2814" spans="8:8" x14ac:dyDescent="0.25">
      <c r="H2814" t="s">
        <v>149</v>
      </c>
    </row>
    <row r="2815" spans="8:8" x14ac:dyDescent="0.25">
      <c r="H2815" t="s">
        <v>5528</v>
      </c>
    </row>
    <row r="2817" spans="8:8" x14ac:dyDescent="0.25">
      <c r="H2817" t="s">
        <v>5529</v>
      </c>
    </row>
    <row r="2818" spans="8:8" x14ac:dyDescent="0.25">
      <c r="H2818" t="s">
        <v>5530</v>
      </c>
    </row>
    <row r="2819" spans="8:8" x14ac:dyDescent="0.25">
      <c r="H2819" t="s">
        <v>149</v>
      </c>
    </row>
    <row r="2820" spans="8:8" x14ac:dyDescent="0.25">
      <c r="H2820" t="s">
        <v>5531</v>
      </c>
    </row>
    <row r="2822" spans="8:8" x14ac:dyDescent="0.25">
      <c r="H2822" t="s">
        <v>5532</v>
      </c>
    </row>
    <row r="2823" spans="8:8" x14ac:dyDescent="0.25">
      <c r="H2823" t="s">
        <v>5533</v>
      </c>
    </row>
    <row r="2824" spans="8:8" x14ac:dyDescent="0.25">
      <c r="H2824" t="s">
        <v>149</v>
      </c>
    </row>
    <row r="2825" spans="8:8" x14ac:dyDescent="0.25">
      <c r="H2825" t="s">
        <v>5534</v>
      </c>
    </row>
    <row r="2827" spans="8:8" x14ac:dyDescent="0.25">
      <c r="H2827" t="s">
        <v>5535</v>
      </c>
    </row>
    <row r="2828" spans="8:8" x14ac:dyDescent="0.25">
      <c r="H2828" t="s">
        <v>5536</v>
      </c>
    </row>
    <row r="2829" spans="8:8" x14ac:dyDescent="0.25">
      <c r="H2829" t="s">
        <v>149</v>
      </c>
    </row>
    <row r="2830" spans="8:8" x14ac:dyDescent="0.25">
      <c r="H2830" t="s">
        <v>5537</v>
      </c>
    </row>
    <row r="2832" spans="8:8" x14ac:dyDescent="0.25">
      <c r="H2832" t="s">
        <v>5538</v>
      </c>
    </row>
    <row r="2833" spans="8:8" x14ac:dyDescent="0.25">
      <c r="H2833" t="s">
        <v>5539</v>
      </c>
    </row>
    <row r="2834" spans="8:8" x14ac:dyDescent="0.25">
      <c r="H2834" t="s">
        <v>149</v>
      </c>
    </row>
    <row r="2835" spans="8:8" x14ac:dyDescent="0.25">
      <c r="H2835" t="s">
        <v>5540</v>
      </c>
    </row>
    <row r="2837" spans="8:8" x14ac:dyDescent="0.25">
      <c r="H2837" t="s">
        <v>5541</v>
      </c>
    </row>
    <row r="2838" spans="8:8" x14ac:dyDescent="0.25">
      <c r="H2838" t="s">
        <v>5542</v>
      </c>
    </row>
    <row r="2839" spans="8:8" x14ac:dyDescent="0.25">
      <c r="H2839" t="s">
        <v>149</v>
      </c>
    </row>
    <row r="2840" spans="8:8" x14ac:dyDescent="0.25">
      <c r="H2840" t="s">
        <v>5543</v>
      </c>
    </row>
    <row r="2842" spans="8:8" x14ac:dyDescent="0.25">
      <c r="H2842" t="s">
        <v>5544</v>
      </c>
    </row>
    <row r="2843" spans="8:8" x14ac:dyDescent="0.25">
      <c r="H2843" t="s">
        <v>5545</v>
      </c>
    </row>
    <row r="2844" spans="8:8" x14ac:dyDescent="0.25">
      <c r="H2844" t="s">
        <v>149</v>
      </c>
    </row>
    <row r="2845" spans="8:8" x14ac:dyDescent="0.25">
      <c r="H2845" t="s">
        <v>5546</v>
      </c>
    </row>
    <row r="2847" spans="8:8" x14ac:dyDescent="0.25">
      <c r="H2847" t="s">
        <v>5547</v>
      </c>
    </row>
    <row r="2848" spans="8:8" x14ac:dyDescent="0.25">
      <c r="H2848" t="s">
        <v>5548</v>
      </c>
    </row>
    <row r="2849" spans="8:8" x14ac:dyDescent="0.25">
      <c r="H2849" t="s">
        <v>149</v>
      </c>
    </row>
    <row r="2850" spans="8:8" x14ac:dyDescent="0.25">
      <c r="H2850" t="s">
        <v>5549</v>
      </c>
    </row>
    <row r="2852" spans="8:8" x14ac:dyDescent="0.25">
      <c r="H2852" t="s">
        <v>5550</v>
      </c>
    </row>
    <row r="2853" spans="8:8" x14ac:dyDescent="0.25">
      <c r="H2853" t="s">
        <v>5551</v>
      </c>
    </row>
    <row r="2854" spans="8:8" x14ac:dyDescent="0.25">
      <c r="H2854" t="s">
        <v>149</v>
      </c>
    </row>
    <row r="2855" spans="8:8" x14ac:dyDescent="0.25">
      <c r="H2855" t="s">
        <v>5552</v>
      </c>
    </row>
    <row r="2857" spans="8:8" x14ac:dyDescent="0.25">
      <c r="H2857" t="s">
        <v>5553</v>
      </c>
    </row>
    <row r="2858" spans="8:8" x14ac:dyDescent="0.25">
      <c r="H2858" t="s">
        <v>5554</v>
      </c>
    </row>
    <row r="2859" spans="8:8" x14ac:dyDescent="0.25">
      <c r="H2859" t="s">
        <v>149</v>
      </c>
    </row>
    <row r="2860" spans="8:8" x14ac:dyDescent="0.25">
      <c r="H2860" t="s">
        <v>5555</v>
      </c>
    </row>
    <row r="2862" spans="8:8" x14ac:dyDescent="0.25">
      <c r="H2862" t="s">
        <v>5556</v>
      </c>
    </row>
    <row r="2863" spans="8:8" x14ac:dyDescent="0.25">
      <c r="H2863" t="s">
        <v>5557</v>
      </c>
    </row>
    <row r="2864" spans="8:8" x14ac:dyDescent="0.25">
      <c r="H2864" t="s">
        <v>149</v>
      </c>
    </row>
    <row r="2865" spans="8:8" x14ac:dyDescent="0.25">
      <c r="H2865" t="s">
        <v>5558</v>
      </c>
    </row>
    <row r="2867" spans="8:8" x14ac:dyDescent="0.25">
      <c r="H2867" t="s">
        <v>5559</v>
      </c>
    </row>
    <row r="2868" spans="8:8" x14ac:dyDescent="0.25">
      <c r="H2868" t="s">
        <v>5560</v>
      </c>
    </row>
    <row r="2869" spans="8:8" x14ac:dyDescent="0.25">
      <c r="H2869" t="s">
        <v>149</v>
      </c>
    </row>
    <row r="2870" spans="8:8" x14ac:dyDescent="0.25">
      <c r="H2870" t="s">
        <v>5561</v>
      </c>
    </row>
    <row r="2872" spans="8:8" x14ac:dyDescent="0.25">
      <c r="H2872" t="s">
        <v>5562</v>
      </c>
    </row>
    <row r="2873" spans="8:8" x14ac:dyDescent="0.25">
      <c r="H2873" t="s">
        <v>5563</v>
      </c>
    </row>
    <row r="2874" spans="8:8" x14ac:dyDescent="0.25">
      <c r="H2874" t="s">
        <v>149</v>
      </c>
    </row>
    <row r="2875" spans="8:8" x14ac:dyDescent="0.25">
      <c r="H2875" t="s">
        <v>5564</v>
      </c>
    </row>
    <row r="2877" spans="8:8" x14ac:dyDescent="0.25">
      <c r="H2877" t="s">
        <v>5565</v>
      </c>
    </row>
    <row r="2878" spans="8:8" x14ac:dyDescent="0.25">
      <c r="H2878" t="s">
        <v>5566</v>
      </c>
    </row>
    <row r="2879" spans="8:8" x14ac:dyDescent="0.25">
      <c r="H2879" t="s">
        <v>149</v>
      </c>
    </row>
    <row r="2880" spans="8:8" x14ac:dyDescent="0.25">
      <c r="H2880" t="s">
        <v>5567</v>
      </c>
    </row>
    <row r="2882" spans="8:8" x14ac:dyDescent="0.25">
      <c r="H2882" t="s">
        <v>5568</v>
      </c>
    </row>
    <row r="2883" spans="8:8" x14ac:dyDescent="0.25">
      <c r="H2883" t="s">
        <v>5569</v>
      </c>
    </row>
    <row r="2884" spans="8:8" x14ac:dyDescent="0.25">
      <c r="H2884" t="s">
        <v>149</v>
      </c>
    </row>
    <row r="2885" spans="8:8" x14ac:dyDescent="0.25">
      <c r="H2885" t="s">
        <v>5570</v>
      </c>
    </row>
    <row r="2887" spans="8:8" x14ac:dyDescent="0.25">
      <c r="H2887" t="s">
        <v>5571</v>
      </c>
    </row>
    <row r="2888" spans="8:8" x14ac:dyDescent="0.25">
      <c r="H2888" t="s">
        <v>5572</v>
      </c>
    </row>
    <row r="2889" spans="8:8" x14ac:dyDescent="0.25">
      <c r="H2889" t="s">
        <v>149</v>
      </c>
    </row>
    <row r="2890" spans="8:8" x14ac:dyDescent="0.25">
      <c r="H2890" t="s">
        <v>5573</v>
      </c>
    </row>
    <row r="2892" spans="8:8" x14ac:dyDescent="0.25">
      <c r="H2892" t="s">
        <v>5574</v>
      </c>
    </row>
    <row r="2893" spans="8:8" x14ac:dyDescent="0.25">
      <c r="H2893" t="s">
        <v>5575</v>
      </c>
    </row>
    <row r="2894" spans="8:8" x14ac:dyDescent="0.25">
      <c r="H2894" t="s">
        <v>149</v>
      </c>
    </row>
    <row r="2895" spans="8:8" x14ac:dyDescent="0.25">
      <c r="H2895" t="s">
        <v>5576</v>
      </c>
    </row>
    <row r="2897" spans="8:8" x14ac:dyDescent="0.25">
      <c r="H2897" t="s">
        <v>5577</v>
      </c>
    </row>
    <row r="2898" spans="8:8" x14ac:dyDescent="0.25">
      <c r="H2898" t="s">
        <v>5578</v>
      </c>
    </row>
    <row r="2899" spans="8:8" x14ac:dyDescent="0.25">
      <c r="H2899" t="s">
        <v>149</v>
      </c>
    </row>
    <row r="2900" spans="8:8" x14ac:dyDescent="0.25">
      <c r="H2900" t="s">
        <v>5579</v>
      </c>
    </row>
    <row r="2902" spans="8:8" x14ac:dyDescent="0.25">
      <c r="H2902" t="s">
        <v>5580</v>
      </c>
    </row>
    <row r="2903" spans="8:8" x14ac:dyDescent="0.25">
      <c r="H2903" t="s">
        <v>5581</v>
      </c>
    </row>
    <row r="2904" spans="8:8" x14ac:dyDescent="0.25">
      <c r="H2904" t="s">
        <v>149</v>
      </c>
    </row>
    <row r="2905" spans="8:8" x14ac:dyDescent="0.25">
      <c r="H2905" t="s">
        <v>5582</v>
      </c>
    </row>
    <row r="2907" spans="8:8" x14ac:dyDescent="0.25">
      <c r="H2907" t="s">
        <v>5583</v>
      </c>
    </row>
    <row r="2908" spans="8:8" x14ac:dyDescent="0.25">
      <c r="H2908" t="s">
        <v>5584</v>
      </c>
    </row>
    <row r="2909" spans="8:8" x14ac:dyDescent="0.25">
      <c r="H2909" t="s">
        <v>149</v>
      </c>
    </row>
    <row r="2910" spans="8:8" x14ac:dyDescent="0.25">
      <c r="H2910" t="s">
        <v>5585</v>
      </c>
    </row>
    <row r="2912" spans="8:8" x14ac:dyDescent="0.25">
      <c r="H2912" t="s">
        <v>5586</v>
      </c>
    </row>
    <row r="2913" spans="8:8" x14ac:dyDescent="0.25">
      <c r="H2913" t="s">
        <v>5587</v>
      </c>
    </row>
    <row r="2914" spans="8:8" x14ac:dyDescent="0.25">
      <c r="H2914" t="s">
        <v>149</v>
      </c>
    </row>
    <row r="2915" spans="8:8" x14ac:dyDescent="0.25">
      <c r="H2915" t="s">
        <v>5588</v>
      </c>
    </row>
    <row r="2917" spans="8:8" x14ac:dyDescent="0.25">
      <c r="H2917" t="s">
        <v>5589</v>
      </c>
    </row>
    <row r="2918" spans="8:8" x14ac:dyDescent="0.25">
      <c r="H2918" t="s">
        <v>5590</v>
      </c>
    </row>
    <row r="2919" spans="8:8" x14ac:dyDescent="0.25">
      <c r="H2919" t="s">
        <v>149</v>
      </c>
    </row>
    <row r="2920" spans="8:8" x14ac:dyDescent="0.25">
      <c r="H2920" t="s">
        <v>5591</v>
      </c>
    </row>
    <row r="2922" spans="8:8" x14ac:dyDescent="0.25">
      <c r="H2922" t="s">
        <v>5592</v>
      </c>
    </row>
    <row r="2923" spans="8:8" x14ac:dyDescent="0.25">
      <c r="H2923" t="s">
        <v>5593</v>
      </c>
    </row>
    <row r="2924" spans="8:8" x14ac:dyDescent="0.25">
      <c r="H2924" t="s">
        <v>149</v>
      </c>
    </row>
    <row r="2925" spans="8:8" x14ac:dyDescent="0.25">
      <c r="H2925" t="s">
        <v>5594</v>
      </c>
    </row>
    <row r="2927" spans="8:8" x14ac:dyDescent="0.25">
      <c r="H2927" t="s">
        <v>5595</v>
      </c>
    </row>
    <row r="2928" spans="8:8" x14ac:dyDescent="0.25">
      <c r="H2928" t="s">
        <v>5596</v>
      </c>
    </row>
    <row r="2929" spans="8:8" x14ac:dyDescent="0.25">
      <c r="H2929" t="s">
        <v>149</v>
      </c>
    </row>
    <row r="2930" spans="8:8" x14ac:dyDescent="0.25">
      <c r="H2930" t="s">
        <v>5597</v>
      </c>
    </row>
    <row r="2932" spans="8:8" x14ac:dyDescent="0.25">
      <c r="H2932" t="s">
        <v>5598</v>
      </c>
    </row>
    <row r="2933" spans="8:8" x14ac:dyDescent="0.25">
      <c r="H2933" t="s">
        <v>5599</v>
      </c>
    </row>
    <row r="2934" spans="8:8" x14ac:dyDescent="0.25">
      <c r="H2934" t="s">
        <v>149</v>
      </c>
    </row>
    <row r="2935" spans="8:8" x14ac:dyDescent="0.25">
      <c r="H2935" t="s">
        <v>5600</v>
      </c>
    </row>
    <row r="2937" spans="8:8" x14ac:dyDescent="0.25">
      <c r="H2937" t="s">
        <v>5601</v>
      </c>
    </row>
    <row r="2938" spans="8:8" x14ac:dyDescent="0.25">
      <c r="H2938" t="s">
        <v>5602</v>
      </c>
    </row>
    <row r="2939" spans="8:8" x14ac:dyDescent="0.25">
      <c r="H2939" t="s">
        <v>149</v>
      </c>
    </row>
    <row r="2940" spans="8:8" x14ac:dyDescent="0.25">
      <c r="H2940" t="s">
        <v>5603</v>
      </c>
    </row>
    <row r="2942" spans="8:8" x14ac:dyDescent="0.25">
      <c r="H2942" t="s">
        <v>5604</v>
      </c>
    </row>
    <row r="2943" spans="8:8" x14ac:dyDescent="0.25">
      <c r="H2943" t="s">
        <v>5605</v>
      </c>
    </row>
    <row r="2944" spans="8:8" x14ac:dyDescent="0.25">
      <c r="H2944" t="s">
        <v>149</v>
      </c>
    </row>
    <row r="2945" spans="8:8" x14ac:dyDescent="0.25">
      <c r="H2945" t="s">
        <v>5606</v>
      </c>
    </row>
    <row r="2947" spans="8:8" x14ac:dyDescent="0.25">
      <c r="H2947" t="s">
        <v>5607</v>
      </c>
    </row>
    <row r="2948" spans="8:8" x14ac:dyDescent="0.25">
      <c r="H2948" t="s">
        <v>5608</v>
      </c>
    </row>
    <row r="2949" spans="8:8" x14ac:dyDescent="0.25">
      <c r="H2949" t="s">
        <v>149</v>
      </c>
    </row>
    <row r="2950" spans="8:8" x14ac:dyDescent="0.25">
      <c r="H2950" t="s">
        <v>5609</v>
      </c>
    </row>
    <row r="2952" spans="8:8" x14ac:dyDescent="0.25">
      <c r="H2952" t="s">
        <v>5610</v>
      </c>
    </row>
    <row r="2953" spans="8:8" x14ac:dyDescent="0.25">
      <c r="H2953" t="s">
        <v>5611</v>
      </c>
    </row>
    <row r="2954" spans="8:8" x14ac:dyDescent="0.25">
      <c r="H2954" t="s">
        <v>149</v>
      </c>
    </row>
    <row r="2955" spans="8:8" x14ac:dyDescent="0.25">
      <c r="H2955" t="s">
        <v>5612</v>
      </c>
    </row>
    <row r="2957" spans="8:8" x14ac:dyDescent="0.25">
      <c r="H2957" t="s">
        <v>5613</v>
      </c>
    </row>
    <row r="2958" spans="8:8" x14ac:dyDescent="0.25">
      <c r="H2958" t="s">
        <v>5614</v>
      </c>
    </row>
    <row r="2959" spans="8:8" x14ac:dyDescent="0.25">
      <c r="H2959" t="s">
        <v>149</v>
      </c>
    </row>
    <row r="2960" spans="8:8" x14ac:dyDescent="0.25">
      <c r="H2960" t="s">
        <v>5615</v>
      </c>
    </row>
    <row r="2962" spans="8:8" x14ac:dyDescent="0.25">
      <c r="H2962" t="s">
        <v>5616</v>
      </c>
    </row>
    <row r="2963" spans="8:8" x14ac:dyDescent="0.25">
      <c r="H2963" t="s">
        <v>5617</v>
      </c>
    </row>
    <row r="2964" spans="8:8" x14ac:dyDescent="0.25">
      <c r="H2964" t="s">
        <v>149</v>
      </c>
    </row>
    <row r="2965" spans="8:8" x14ac:dyDescent="0.25">
      <c r="H2965" t="s">
        <v>5618</v>
      </c>
    </row>
    <row r="2967" spans="8:8" x14ac:dyDescent="0.25">
      <c r="H2967" t="s">
        <v>5619</v>
      </c>
    </row>
    <row r="2968" spans="8:8" x14ac:dyDescent="0.25">
      <c r="H2968" t="s">
        <v>5620</v>
      </c>
    </row>
    <row r="2969" spans="8:8" x14ac:dyDescent="0.25">
      <c r="H2969" t="s">
        <v>149</v>
      </c>
    </row>
    <row r="2970" spans="8:8" x14ac:dyDescent="0.25">
      <c r="H2970" t="s">
        <v>5621</v>
      </c>
    </row>
    <row r="2972" spans="8:8" x14ac:dyDescent="0.25">
      <c r="H2972" t="s">
        <v>5622</v>
      </c>
    </row>
    <row r="2973" spans="8:8" x14ac:dyDescent="0.25">
      <c r="H2973" t="s">
        <v>5623</v>
      </c>
    </row>
    <row r="2974" spans="8:8" x14ac:dyDescent="0.25">
      <c r="H2974" t="s">
        <v>149</v>
      </c>
    </row>
    <row r="2975" spans="8:8" x14ac:dyDescent="0.25">
      <c r="H2975" t="s">
        <v>5624</v>
      </c>
    </row>
    <row r="2977" spans="8:8" x14ac:dyDescent="0.25">
      <c r="H2977" t="s">
        <v>5625</v>
      </c>
    </row>
    <row r="2978" spans="8:8" x14ac:dyDescent="0.25">
      <c r="H2978" t="s">
        <v>5626</v>
      </c>
    </row>
    <row r="2979" spans="8:8" x14ac:dyDescent="0.25">
      <c r="H2979" t="s">
        <v>149</v>
      </c>
    </row>
    <row r="2980" spans="8:8" x14ac:dyDescent="0.25">
      <c r="H2980" t="s">
        <v>5627</v>
      </c>
    </row>
    <row r="2982" spans="8:8" x14ac:dyDescent="0.25">
      <c r="H2982" t="s">
        <v>5628</v>
      </c>
    </row>
    <row r="2983" spans="8:8" x14ac:dyDescent="0.25">
      <c r="H2983" t="s">
        <v>5629</v>
      </c>
    </row>
    <row r="2984" spans="8:8" x14ac:dyDescent="0.25">
      <c r="H2984" t="s">
        <v>149</v>
      </c>
    </row>
    <row r="2985" spans="8:8" x14ac:dyDescent="0.25">
      <c r="H2985" t="s">
        <v>5630</v>
      </c>
    </row>
    <row r="2987" spans="8:8" x14ac:dyDescent="0.25">
      <c r="H2987" t="s">
        <v>5631</v>
      </c>
    </row>
    <row r="2988" spans="8:8" x14ac:dyDescent="0.25">
      <c r="H2988" t="s">
        <v>5632</v>
      </c>
    </row>
    <row r="2989" spans="8:8" x14ac:dyDescent="0.25">
      <c r="H2989" t="s">
        <v>149</v>
      </c>
    </row>
    <row r="2990" spans="8:8" x14ac:dyDescent="0.25">
      <c r="H2990" t="s">
        <v>5633</v>
      </c>
    </row>
    <row r="2992" spans="8:8" x14ac:dyDescent="0.25">
      <c r="H2992" t="s">
        <v>5634</v>
      </c>
    </row>
    <row r="2993" spans="8:8" x14ac:dyDescent="0.25">
      <c r="H2993" t="s">
        <v>5635</v>
      </c>
    </row>
    <row r="2994" spans="8:8" x14ac:dyDescent="0.25">
      <c r="H2994" t="s">
        <v>149</v>
      </c>
    </row>
    <row r="2995" spans="8:8" x14ac:dyDescent="0.25">
      <c r="H2995" t="s">
        <v>5636</v>
      </c>
    </row>
    <row r="2997" spans="8:8" x14ac:dyDescent="0.25">
      <c r="H2997" t="s">
        <v>5637</v>
      </c>
    </row>
    <row r="2998" spans="8:8" x14ac:dyDescent="0.25">
      <c r="H2998" t="s">
        <v>5638</v>
      </c>
    </row>
    <row r="2999" spans="8:8" x14ac:dyDescent="0.25">
      <c r="H2999" t="s">
        <v>149</v>
      </c>
    </row>
    <row r="3000" spans="8:8" x14ac:dyDescent="0.25">
      <c r="H3000" t="s">
        <v>5639</v>
      </c>
    </row>
    <row r="3002" spans="8:8" x14ac:dyDescent="0.25">
      <c r="H3002" t="s">
        <v>5640</v>
      </c>
    </row>
    <row r="3003" spans="8:8" x14ac:dyDescent="0.25">
      <c r="H3003" t="s">
        <v>5641</v>
      </c>
    </row>
    <row r="3004" spans="8:8" x14ac:dyDescent="0.25">
      <c r="H3004" t="s">
        <v>149</v>
      </c>
    </row>
    <row r="3005" spans="8:8" x14ac:dyDescent="0.25">
      <c r="H3005" t="s">
        <v>5642</v>
      </c>
    </row>
    <row r="3007" spans="8:8" x14ac:dyDescent="0.25">
      <c r="H3007" t="s">
        <v>5643</v>
      </c>
    </row>
    <row r="3008" spans="8:8" x14ac:dyDescent="0.25">
      <c r="H3008" t="s">
        <v>5644</v>
      </c>
    </row>
    <row r="3009" spans="8:8" x14ac:dyDescent="0.25">
      <c r="H3009" t="s">
        <v>149</v>
      </c>
    </row>
    <row r="3010" spans="8:8" x14ac:dyDescent="0.25">
      <c r="H3010" t="s">
        <v>5645</v>
      </c>
    </row>
    <row r="3012" spans="8:8" x14ac:dyDescent="0.25">
      <c r="H3012" t="s">
        <v>5646</v>
      </c>
    </row>
    <row r="3013" spans="8:8" x14ac:dyDescent="0.25">
      <c r="H3013" t="s">
        <v>5647</v>
      </c>
    </row>
    <row r="3014" spans="8:8" x14ac:dyDescent="0.25">
      <c r="H3014" t="s">
        <v>149</v>
      </c>
    </row>
    <row r="3015" spans="8:8" x14ac:dyDescent="0.25">
      <c r="H3015" t="s">
        <v>5648</v>
      </c>
    </row>
    <row r="3017" spans="8:8" x14ac:dyDescent="0.25">
      <c r="H3017" t="s">
        <v>5649</v>
      </c>
    </row>
    <row r="3018" spans="8:8" x14ac:dyDescent="0.25">
      <c r="H3018" t="s">
        <v>5650</v>
      </c>
    </row>
    <row r="3019" spans="8:8" x14ac:dyDescent="0.25">
      <c r="H3019" t="s">
        <v>149</v>
      </c>
    </row>
    <row r="3020" spans="8:8" x14ac:dyDescent="0.25">
      <c r="H3020" t="s">
        <v>5651</v>
      </c>
    </row>
    <row r="3022" spans="8:8" x14ac:dyDescent="0.25">
      <c r="H3022" t="s">
        <v>5652</v>
      </c>
    </row>
    <row r="3023" spans="8:8" x14ac:dyDescent="0.25">
      <c r="H3023" t="s">
        <v>5653</v>
      </c>
    </row>
    <row r="3024" spans="8:8" x14ac:dyDescent="0.25">
      <c r="H3024" t="s">
        <v>149</v>
      </c>
    </row>
    <row r="3025" spans="8:8" x14ac:dyDescent="0.25">
      <c r="H3025" t="s">
        <v>5654</v>
      </c>
    </row>
    <row r="3027" spans="8:8" x14ac:dyDescent="0.25">
      <c r="H3027" t="s">
        <v>5655</v>
      </c>
    </row>
    <row r="3028" spans="8:8" x14ac:dyDescent="0.25">
      <c r="H3028" t="s">
        <v>5656</v>
      </c>
    </row>
    <row r="3029" spans="8:8" x14ac:dyDescent="0.25">
      <c r="H3029" t="s">
        <v>149</v>
      </c>
    </row>
    <row r="3030" spans="8:8" x14ac:dyDescent="0.25">
      <c r="H3030" t="s">
        <v>5657</v>
      </c>
    </row>
    <row r="3032" spans="8:8" x14ac:dyDescent="0.25">
      <c r="H3032" t="s">
        <v>5658</v>
      </c>
    </row>
    <row r="3033" spans="8:8" x14ac:dyDescent="0.25">
      <c r="H3033" t="s">
        <v>5659</v>
      </c>
    </row>
    <row r="3034" spans="8:8" x14ac:dyDescent="0.25">
      <c r="H3034" t="s">
        <v>149</v>
      </c>
    </row>
    <row r="3035" spans="8:8" x14ac:dyDescent="0.25">
      <c r="H3035" t="s">
        <v>5660</v>
      </c>
    </row>
    <row r="3037" spans="8:8" x14ac:dyDescent="0.25">
      <c r="H3037" t="s">
        <v>5661</v>
      </c>
    </row>
    <row r="3038" spans="8:8" x14ac:dyDescent="0.25">
      <c r="H3038" t="s">
        <v>5662</v>
      </c>
    </row>
    <row r="3039" spans="8:8" x14ac:dyDescent="0.25">
      <c r="H3039" t="s">
        <v>149</v>
      </c>
    </row>
    <row r="3040" spans="8:8" x14ac:dyDescent="0.25">
      <c r="H3040" t="s">
        <v>5663</v>
      </c>
    </row>
    <row r="3042" spans="8:8" x14ac:dyDescent="0.25">
      <c r="H3042" t="s">
        <v>5664</v>
      </c>
    </row>
    <row r="3043" spans="8:8" x14ac:dyDescent="0.25">
      <c r="H3043" t="s">
        <v>5665</v>
      </c>
    </row>
    <row r="3044" spans="8:8" x14ac:dyDescent="0.25">
      <c r="H3044" t="s">
        <v>149</v>
      </c>
    </row>
    <row r="3045" spans="8:8" x14ac:dyDescent="0.25">
      <c r="H3045" t="s">
        <v>5666</v>
      </c>
    </row>
    <row r="3047" spans="8:8" x14ac:dyDescent="0.25">
      <c r="H3047" t="s">
        <v>5667</v>
      </c>
    </row>
    <row r="3048" spans="8:8" x14ac:dyDescent="0.25">
      <c r="H3048" t="s">
        <v>5668</v>
      </c>
    </row>
    <row r="3049" spans="8:8" x14ac:dyDescent="0.25">
      <c r="H3049" t="s">
        <v>149</v>
      </c>
    </row>
    <row r="3050" spans="8:8" x14ac:dyDescent="0.25">
      <c r="H3050" t="s">
        <v>5669</v>
      </c>
    </row>
    <row r="3052" spans="8:8" x14ac:dyDescent="0.25">
      <c r="H3052" t="s">
        <v>5670</v>
      </c>
    </row>
    <row r="3053" spans="8:8" x14ac:dyDescent="0.25">
      <c r="H3053" t="s">
        <v>5671</v>
      </c>
    </row>
    <row r="3054" spans="8:8" x14ac:dyDescent="0.25">
      <c r="H3054" t="s">
        <v>149</v>
      </c>
    </row>
    <row r="3055" spans="8:8" x14ac:dyDescent="0.25">
      <c r="H3055" t="s">
        <v>5672</v>
      </c>
    </row>
    <row r="3057" spans="8:8" x14ac:dyDescent="0.25">
      <c r="H3057" t="s">
        <v>5673</v>
      </c>
    </row>
    <row r="3058" spans="8:8" x14ac:dyDescent="0.25">
      <c r="H3058" t="s">
        <v>5674</v>
      </c>
    </row>
    <row r="3059" spans="8:8" x14ac:dyDescent="0.25">
      <c r="H3059" t="s">
        <v>149</v>
      </c>
    </row>
    <row r="3060" spans="8:8" x14ac:dyDescent="0.25">
      <c r="H3060" t="s">
        <v>5675</v>
      </c>
    </row>
    <row r="3062" spans="8:8" x14ac:dyDescent="0.25">
      <c r="H3062" t="s">
        <v>5676</v>
      </c>
    </row>
    <row r="3063" spans="8:8" x14ac:dyDescent="0.25">
      <c r="H3063" t="s">
        <v>5677</v>
      </c>
    </row>
    <row r="3064" spans="8:8" x14ac:dyDescent="0.25">
      <c r="H3064" t="s">
        <v>149</v>
      </c>
    </row>
    <row r="3065" spans="8:8" x14ac:dyDescent="0.25">
      <c r="H3065" t="s">
        <v>5678</v>
      </c>
    </row>
    <row r="3067" spans="8:8" x14ac:dyDescent="0.25">
      <c r="H3067" t="s">
        <v>5679</v>
      </c>
    </row>
    <row r="3068" spans="8:8" x14ac:dyDescent="0.25">
      <c r="H3068" t="s">
        <v>5680</v>
      </c>
    </row>
    <row r="3069" spans="8:8" x14ac:dyDescent="0.25">
      <c r="H3069" t="s">
        <v>149</v>
      </c>
    </row>
    <row r="3070" spans="8:8" x14ac:dyDescent="0.25">
      <c r="H3070" t="s">
        <v>5681</v>
      </c>
    </row>
    <row r="3072" spans="8:8" x14ac:dyDescent="0.25">
      <c r="H3072" t="s">
        <v>5682</v>
      </c>
    </row>
    <row r="3073" spans="8:8" x14ac:dyDescent="0.25">
      <c r="H3073" t="s">
        <v>5683</v>
      </c>
    </row>
    <row r="3074" spans="8:8" x14ac:dyDescent="0.25">
      <c r="H3074" t="s">
        <v>149</v>
      </c>
    </row>
    <row r="3075" spans="8:8" x14ac:dyDescent="0.25">
      <c r="H3075" t="s">
        <v>5684</v>
      </c>
    </row>
    <row r="3077" spans="8:8" x14ac:dyDescent="0.25">
      <c r="H3077" t="s">
        <v>5685</v>
      </c>
    </row>
    <row r="3078" spans="8:8" x14ac:dyDescent="0.25">
      <c r="H3078" t="s">
        <v>5686</v>
      </c>
    </row>
    <row r="3079" spans="8:8" x14ac:dyDescent="0.25">
      <c r="H3079" t="s">
        <v>149</v>
      </c>
    </row>
    <row r="3080" spans="8:8" x14ac:dyDescent="0.25">
      <c r="H3080" t="s">
        <v>5687</v>
      </c>
    </row>
    <row r="3082" spans="8:8" x14ac:dyDescent="0.25">
      <c r="H3082" t="s">
        <v>5688</v>
      </c>
    </row>
    <row r="3083" spans="8:8" x14ac:dyDescent="0.25">
      <c r="H3083" t="s">
        <v>5689</v>
      </c>
    </row>
    <row r="3084" spans="8:8" x14ac:dyDescent="0.25">
      <c r="H3084" t="s">
        <v>149</v>
      </c>
    </row>
    <row r="3085" spans="8:8" x14ac:dyDescent="0.25">
      <c r="H3085" t="s">
        <v>5690</v>
      </c>
    </row>
    <row r="3087" spans="8:8" x14ac:dyDescent="0.25">
      <c r="H3087" t="s">
        <v>5691</v>
      </c>
    </row>
    <row r="3088" spans="8:8" x14ac:dyDescent="0.25">
      <c r="H3088" t="s">
        <v>5692</v>
      </c>
    </row>
    <row r="3089" spans="8:8" x14ac:dyDescent="0.25">
      <c r="H3089" t="s">
        <v>149</v>
      </c>
    </row>
    <row r="3090" spans="8:8" x14ac:dyDescent="0.25">
      <c r="H3090" t="s">
        <v>5693</v>
      </c>
    </row>
    <row r="3092" spans="8:8" x14ac:dyDescent="0.25">
      <c r="H3092" t="s">
        <v>5694</v>
      </c>
    </row>
    <row r="3093" spans="8:8" x14ac:dyDescent="0.25">
      <c r="H3093" t="s">
        <v>5695</v>
      </c>
    </row>
    <row r="3094" spans="8:8" x14ac:dyDescent="0.25">
      <c r="H3094" t="s">
        <v>149</v>
      </c>
    </row>
    <row r="3095" spans="8:8" x14ac:dyDescent="0.25">
      <c r="H3095" t="s">
        <v>5696</v>
      </c>
    </row>
    <row r="3097" spans="8:8" x14ac:dyDescent="0.25">
      <c r="H3097" t="s">
        <v>5697</v>
      </c>
    </row>
    <row r="3098" spans="8:8" x14ac:dyDescent="0.25">
      <c r="H3098" t="s">
        <v>5698</v>
      </c>
    </row>
    <row r="3099" spans="8:8" x14ac:dyDescent="0.25">
      <c r="H3099" t="s">
        <v>149</v>
      </c>
    </row>
    <row r="3100" spans="8:8" x14ac:dyDescent="0.25">
      <c r="H3100" t="s">
        <v>5699</v>
      </c>
    </row>
    <row r="3102" spans="8:8" x14ac:dyDescent="0.25">
      <c r="H3102" t="s">
        <v>5700</v>
      </c>
    </row>
    <row r="3103" spans="8:8" x14ac:dyDescent="0.25">
      <c r="H3103" t="s">
        <v>5701</v>
      </c>
    </row>
    <row r="3104" spans="8:8" x14ac:dyDescent="0.25">
      <c r="H3104" t="s">
        <v>149</v>
      </c>
    </row>
    <row r="3105" spans="8:8" x14ac:dyDescent="0.25">
      <c r="H3105" t="s">
        <v>5702</v>
      </c>
    </row>
    <row r="3107" spans="8:8" x14ac:dyDescent="0.25">
      <c r="H3107" t="s">
        <v>5703</v>
      </c>
    </row>
    <row r="3108" spans="8:8" x14ac:dyDescent="0.25">
      <c r="H3108" t="s">
        <v>5704</v>
      </c>
    </row>
    <row r="3109" spans="8:8" x14ac:dyDescent="0.25">
      <c r="H3109" t="s">
        <v>149</v>
      </c>
    </row>
    <row r="3110" spans="8:8" x14ac:dyDescent="0.25">
      <c r="H3110" t="s">
        <v>5705</v>
      </c>
    </row>
    <row r="3112" spans="8:8" x14ac:dyDescent="0.25">
      <c r="H3112" t="s">
        <v>5706</v>
      </c>
    </row>
    <row r="3113" spans="8:8" x14ac:dyDescent="0.25">
      <c r="H3113" t="s">
        <v>5707</v>
      </c>
    </row>
    <row r="3114" spans="8:8" x14ac:dyDescent="0.25">
      <c r="H3114" t="s">
        <v>149</v>
      </c>
    </row>
    <row r="3115" spans="8:8" x14ac:dyDescent="0.25">
      <c r="H3115" t="s">
        <v>5708</v>
      </c>
    </row>
    <row r="3117" spans="8:8" x14ac:dyDescent="0.25">
      <c r="H3117" t="s">
        <v>5709</v>
      </c>
    </row>
    <row r="3118" spans="8:8" x14ac:dyDescent="0.25">
      <c r="H3118" t="s">
        <v>5710</v>
      </c>
    </row>
    <row r="3119" spans="8:8" x14ac:dyDescent="0.25">
      <c r="H3119" t="s">
        <v>149</v>
      </c>
    </row>
    <row r="3120" spans="8:8" x14ac:dyDescent="0.25">
      <c r="H3120" t="s">
        <v>5711</v>
      </c>
    </row>
    <row r="3122" spans="8:8" x14ac:dyDescent="0.25">
      <c r="H3122" t="s">
        <v>5712</v>
      </c>
    </row>
    <row r="3123" spans="8:8" x14ac:dyDescent="0.25">
      <c r="H3123" t="s">
        <v>5713</v>
      </c>
    </row>
    <row r="3124" spans="8:8" x14ac:dyDescent="0.25">
      <c r="H3124" t="s">
        <v>149</v>
      </c>
    </row>
    <row r="3125" spans="8:8" x14ac:dyDescent="0.25">
      <c r="H3125" t="s">
        <v>5714</v>
      </c>
    </row>
    <row r="3127" spans="8:8" x14ac:dyDescent="0.25">
      <c r="H3127" t="s">
        <v>5715</v>
      </c>
    </row>
    <row r="3128" spans="8:8" x14ac:dyDescent="0.25">
      <c r="H3128" t="s">
        <v>5716</v>
      </c>
    </row>
    <row r="3129" spans="8:8" x14ac:dyDescent="0.25">
      <c r="H3129" t="s">
        <v>149</v>
      </c>
    </row>
    <row r="3130" spans="8:8" x14ac:dyDescent="0.25">
      <c r="H3130" t="s">
        <v>5717</v>
      </c>
    </row>
    <row r="3132" spans="8:8" x14ac:dyDescent="0.25">
      <c r="H3132" t="s">
        <v>5718</v>
      </c>
    </row>
    <row r="3133" spans="8:8" x14ac:dyDescent="0.25">
      <c r="H3133" t="s">
        <v>5719</v>
      </c>
    </row>
    <row r="3134" spans="8:8" x14ac:dyDescent="0.25">
      <c r="H3134" t="s">
        <v>149</v>
      </c>
    </row>
    <row r="3135" spans="8:8" x14ac:dyDescent="0.25">
      <c r="H3135" t="s">
        <v>5720</v>
      </c>
    </row>
    <row r="3137" spans="8:8" x14ac:dyDescent="0.25">
      <c r="H3137" t="s">
        <v>5721</v>
      </c>
    </row>
    <row r="3138" spans="8:8" x14ac:dyDescent="0.25">
      <c r="H3138" t="s">
        <v>5722</v>
      </c>
    </row>
    <row r="3139" spans="8:8" x14ac:dyDescent="0.25">
      <c r="H3139" t="s">
        <v>149</v>
      </c>
    </row>
    <row r="3140" spans="8:8" x14ac:dyDescent="0.25">
      <c r="H3140" t="s">
        <v>5723</v>
      </c>
    </row>
    <row r="3142" spans="8:8" x14ac:dyDescent="0.25">
      <c r="H3142" t="s">
        <v>5724</v>
      </c>
    </row>
    <row r="3143" spans="8:8" x14ac:dyDescent="0.25">
      <c r="H3143" t="s">
        <v>5725</v>
      </c>
    </row>
    <row r="3144" spans="8:8" x14ac:dyDescent="0.25">
      <c r="H3144" t="s">
        <v>149</v>
      </c>
    </row>
    <row r="3145" spans="8:8" x14ac:dyDescent="0.25">
      <c r="H3145" t="s">
        <v>5726</v>
      </c>
    </row>
    <row r="3147" spans="8:8" x14ac:dyDescent="0.25">
      <c r="H3147" t="s">
        <v>5727</v>
      </c>
    </row>
    <row r="3148" spans="8:8" x14ac:dyDescent="0.25">
      <c r="H3148" t="s">
        <v>5728</v>
      </c>
    </row>
    <row r="3149" spans="8:8" x14ac:dyDescent="0.25">
      <c r="H3149" t="s">
        <v>149</v>
      </c>
    </row>
    <row r="3150" spans="8:8" x14ac:dyDescent="0.25">
      <c r="H3150" t="s">
        <v>5729</v>
      </c>
    </row>
    <row r="3152" spans="8:8" x14ac:dyDescent="0.25">
      <c r="H3152" t="s">
        <v>5730</v>
      </c>
    </row>
    <row r="3153" spans="8:8" x14ac:dyDescent="0.25">
      <c r="H3153" t="s">
        <v>5731</v>
      </c>
    </row>
    <row r="3154" spans="8:8" x14ac:dyDescent="0.25">
      <c r="H3154" t="s">
        <v>149</v>
      </c>
    </row>
    <row r="3155" spans="8:8" x14ac:dyDescent="0.25">
      <c r="H3155" t="s">
        <v>5732</v>
      </c>
    </row>
    <row r="3157" spans="8:8" x14ac:dyDescent="0.25">
      <c r="H3157" t="s">
        <v>5733</v>
      </c>
    </row>
    <row r="3158" spans="8:8" x14ac:dyDescent="0.25">
      <c r="H3158" t="s">
        <v>5734</v>
      </c>
    </row>
    <row r="3159" spans="8:8" x14ac:dyDescent="0.25">
      <c r="H3159" t="s">
        <v>149</v>
      </c>
    </row>
    <row r="3160" spans="8:8" x14ac:dyDescent="0.25">
      <c r="H3160" t="s">
        <v>5735</v>
      </c>
    </row>
    <row r="3162" spans="8:8" x14ac:dyDescent="0.25">
      <c r="H3162" t="s">
        <v>5736</v>
      </c>
    </row>
    <row r="3163" spans="8:8" x14ac:dyDescent="0.25">
      <c r="H3163" t="s">
        <v>5737</v>
      </c>
    </row>
    <row r="3164" spans="8:8" x14ac:dyDescent="0.25">
      <c r="H3164" t="s">
        <v>149</v>
      </c>
    </row>
    <row r="3165" spans="8:8" x14ac:dyDescent="0.25">
      <c r="H3165" t="s">
        <v>5738</v>
      </c>
    </row>
    <row r="3167" spans="8:8" x14ac:dyDescent="0.25">
      <c r="H3167" t="s">
        <v>5739</v>
      </c>
    </row>
    <row r="3168" spans="8:8" x14ac:dyDescent="0.25">
      <c r="H3168" t="s">
        <v>5740</v>
      </c>
    </row>
    <row r="3169" spans="8:8" x14ac:dyDescent="0.25">
      <c r="H3169" t="s">
        <v>149</v>
      </c>
    </row>
    <row r="3170" spans="8:8" x14ac:dyDescent="0.25">
      <c r="H3170" t="s">
        <v>5741</v>
      </c>
    </row>
    <row r="3172" spans="8:8" x14ac:dyDescent="0.25">
      <c r="H3172" t="s">
        <v>5742</v>
      </c>
    </row>
    <row r="3173" spans="8:8" x14ac:dyDescent="0.25">
      <c r="H3173" t="s">
        <v>5743</v>
      </c>
    </row>
    <row r="3174" spans="8:8" x14ac:dyDescent="0.25">
      <c r="H3174" t="s">
        <v>149</v>
      </c>
    </row>
    <row r="3175" spans="8:8" x14ac:dyDescent="0.25">
      <c r="H3175" t="s">
        <v>5744</v>
      </c>
    </row>
    <row r="3177" spans="8:8" x14ac:dyDescent="0.25">
      <c r="H3177" t="s">
        <v>5745</v>
      </c>
    </row>
    <row r="3178" spans="8:8" x14ac:dyDescent="0.25">
      <c r="H3178" t="s">
        <v>5746</v>
      </c>
    </row>
    <row r="3179" spans="8:8" x14ac:dyDescent="0.25">
      <c r="H3179" t="s">
        <v>149</v>
      </c>
    </row>
    <row r="3180" spans="8:8" x14ac:dyDescent="0.25">
      <c r="H3180" t="s">
        <v>5747</v>
      </c>
    </row>
    <row r="3182" spans="8:8" x14ac:dyDescent="0.25">
      <c r="H3182" t="s">
        <v>5748</v>
      </c>
    </row>
    <row r="3183" spans="8:8" x14ac:dyDescent="0.25">
      <c r="H3183" t="s">
        <v>5749</v>
      </c>
    </row>
    <row r="3184" spans="8:8" x14ac:dyDescent="0.25">
      <c r="H3184" t="s">
        <v>149</v>
      </c>
    </row>
    <row r="3185" spans="8:8" x14ac:dyDescent="0.25">
      <c r="H3185" t="s">
        <v>5750</v>
      </c>
    </row>
    <row r="3187" spans="8:8" x14ac:dyDescent="0.25">
      <c r="H3187" t="s">
        <v>5751</v>
      </c>
    </row>
    <row r="3188" spans="8:8" x14ac:dyDescent="0.25">
      <c r="H3188" t="s">
        <v>5752</v>
      </c>
    </row>
    <row r="3189" spans="8:8" x14ac:dyDescent="0.25">
      <c r="H3189" t="s">
        <v>149</v>
      </c>
    </row>
    <row r="3190" spans="8:8" x14ac:dyDescent="0.25">
      <c r="H3190" t="s">
        <v>5753</v>
      </c>
    </row>
    <row r="3192" spans="8:8" x14ac:dyDescent="0.25">
      <c r="H3192" t="s">
        <v>5754</v>
      </c>
    </row>
    <row r="3193" spans="8:8" x14ac:dyDescent="0.25">
      <c r="H3193" t="s">
        <v>5755</v>
      </c>
    </row>
    <row r="3194" spans="8:8" x14ac:dyDescent="0.25">
      <c r="H3194" t="s">
        <v>149</v>
      </c>
    </row>
    <row r="3195" spans="8:8" x14ac:dyDescent="0.25">
      <c r="H3195" t="s">
        <v>5756</v>
      </c>
    </row>
    <row r="3197" spans="8:8" x14ac:dyDescent="0.25">
      <c r="H3197" t="s">
        <v>5757</v>
      </c>
    </row>
    <row r="3198" spans="8:8" x14ac:dyDescent="0.25">
      <c r="H3198" t="s">
        <v>5758</v>
      </c>
    </row>
    <row r="3199" spans="8:8" x14ac:dyDescent="0.25">
      <c r="H3199" t="s">
        <v>149</v>
      </c>
    </row>
    <row r="3200" spans="8:8" x14ac:dyDescent="0.25">
      <c r="H3200" t="s">
        <v>5759</v>
      </c>
    </row>
    <row r="3202" spans="8:8" x14ac:dyDescent="0.25">
      <c r="H3202" t="s">
        <v>5760</v>
      </c>
    </row>
    <row r="3203" spans="8:8" x14ac:dyDescent="0.25">
      <c r="H3203" t="s">
        <v>5761</v>
      </c>
    </row>
    <row r="3204" spans="8:8" x14ac:dyDescent="0.25">
      <c r="H3204" t="s">
        <v>149</v>
      </c>
    </row>
    <row r="3205" spans="8:8" x14ac:dyDescent="0.25">
      <c r="H3205" t="s">
        <v>5762</v>
      </c>
    </row>
    <row r="3207" spans="8:8" x14ac:dyDescent="0.25">
      <c r="H3207" t="s">
        <v>5763</v>
      </c>
    </row>
    <row r="3208" spans="8:8" x14ac:dyDescent="0.25">
      <c r="H3208" t="s">
        <v>5764</v>
      </c>
    </row>
    <row r="3209" spans="8:8" x14ac:dyDescent="0.25">
      <c r="H3209" t="s">
        <v>149</v>
      </c>
    </row>
    <row r="3210" spans="8:8" x14ac:dyDescent="0.25">
      <c r="H3210" t="s">
        <v>5765</v>
      </c>
    </row>
    <row r="3212" spans="8:8" x14ac:dyDescent="0.25">
      <c r="H3212" t="s">
        <v>5766</v>
      </c>
    </row>
    <row r="3213" spans="8:8" x14ac:dyDescent="0.25">
      <c r="H3213" t="s">
        <v>5767</v>
      </c>
    </row>
    <row r="3214" spans="8:8" x14ac:dyDescent="0.25">
      <c r="H3214" t="s">
        <v>149</v>
      </c>
    </row>
    <row r="3215" spans="8:8" x14ac:dyDescent="0.25">
      <c r="H3215" t="s">
        <v>5768</v>
      </c>
    </row>
    <row r="3217" spans="8:8" x14ac:dyDescent="0.25">
      <c r="H3217" t="s">
        <v>5769</v>
      </c>
    </row>
    <row r="3218" spans="8:8" x14ac:dyDescent="0.25">
      <c r="H3218" t="s">
        <v>5770</v>
      </c>
    </row>
    <row r="3219" spans="8:8" x14ac:dyDescent="0.25">
      <c r="H3219" t="s">
        <v>149</v>
      </c>
    </row>
    <row r="3220" spans="8:8" x14ac:dyDescent="0.25">
      <c r="H3220" t="s">
        <v>5771</v>
      </c>
    </row>
    <row r="3222" spans="8:8" x14ac:dyDescent="0.25">
      <c r="H3222" t="s">
        <v>5772</v>
      </c>
    </row>
    <row r="3223" spans="8:8" x14ac:dyDescent="0.25">
      <c r="H3223" t="s">
        <v>5773</v>
      </c>
    </row>
    <row r="3224" spans="8:8" x14ac:dyDescent="0.25">
      <c r="H3224" t="s">
        <v>149</v>
      </c>
    </row>
    <row r="3225" spans="8:8" x14ac:dyDescent="0.25">
      <c r="H3225" t="s">
        <v>5774</v>
      </c>
    </row>
    <row r="3227" spans="8:8" x14ac:dyDescent="0.25">
      <c r="H3227" t="s">
        <v>5775</v>
      </c>
    </row>
    <row r="3228" spans="8:8" x14ac:dyDescent="0.25">
      <c r="H3228" t="s">
        <v>5776</v>
      </c>
    </row>
    <row r="3229" spans="8:8" x14ac:dyDescent="0.25">
      <c r="H3229" t="s">
        <v>149</v>
      </c>
    </row>
    <row r="3230" spans="8:8" x14ac:dyDescent="0.25">
      <c r="H3230" t="s">
        <v>5777</v>
      </c>
    </row>
    <row r="3232" spans="8:8" x14ac:dyDescent="0.25">
      <c r="H3232" t="s">
        <v>5778</v>
      </c>
    </row>
    <row r="3233" spans="8:8" x14ac:dyDescent="0.25">
      <c r="H3233" t="s">
        <v>5779</v>
      </c>
    </row>
    <row r="3234" spans="8:8" x14ac:dyDescent="0.25">
      <c r="H3234" t="s">
        <v>149</v>
      </c>
    </row>
    <row r="3235" spans="8:8" x14ac:dyDescent="0.25">
      <c r="H3235" t="s">
        <v>5780</v>
      </c>
    </row>
    <row r="3237" spans="8:8" x14ac:dyDescent="0.25">
      <c r="H3237" t="s">
        <v>5781</v>
      </c>
    </row>
    <row r="3238" spans="8:8" x14ac:dyDescent="0.25">
      <c r="H3238" t="s">
        <v>5782</v>
      </c>
    </row>
    <row r="3239" spans="8:8" x14ac:dyDescent="0.25">
      <c r="H3239" t="s">
        <v>149</v>
      </c>
    </row>
    <row r="3240" spans="8:8" x14ac:dyDescent="0.25">
      <c r="H3240" t="s">
        <v>5783</v>
      </c>
    </row>
    <row r="3242" spans="8:8" x14ac:dyDescent="0.25">
      <c r="H3242" t="s">
        <v>5784</v>
      </c>
    </row>
    <row r="3243" spans="8:8" x14ac:dyDescent="0.25">
      <c r="H3243" t="s">
        <v>5785</v>
      </c>
    </row>
    <row r="3244" spans="8:8" x14ac:dyDescent="0.25">
      <c r="H3244" t="s">
        <v>149</v>
      </c>
    </row>
    <row r="3245" spans="8:8" x14ac:dyDescent="0.25">
      <c r="H3245" t="s">
        <v>5786</v>
      </c>
    </row>
    <row r="3247" spans="8:8" x14ac:dyDescent="0.25">
      <c r="H3247" t="s">
        <v>5787</v>
      </c>
    </row>
    <row r="3248" spans="8:8" x14ac:dyDescent="0.25">
      <c r="H3248" t="s">
        <v>5788</v>
      </c>
    </row>
    <row r="3249" spans="8:8" x14ac:dyDescent="0.25">
      <c r="H3249" t="s">
        <v>149</v>
      </c>
    </row>
    <row r="3250" spans="8:8" x14ac:dyDescent="0.25">
      <c r="H3250" t="s">
        <v>5789</v>
      </c>
    </row>
    <row r="3252" spans="8:8" x14ac:dyDescent="0.25">
      <c r="H3252" t="s">
        <v>5790</v>
      </c>
    </row>
    <row r="3253" spans="8:8" x14ac:dyDescent="0.25">
      <c r="H3253" t="s">
        <v>5791</v>
      </c>
    </row>
    <row r="3254" spans="8:8" x14ac:dyDescent="0.25">
      <c r="H3254" t="s">
        <v>149</v>
      </c>
    </row>
    <row r="3255" spans="8:8" x14ac:dyDescent="0.25">
      <c r="H3255" t="s">
        <v>5792</v>
      </c>
    </row>
    <row r="3257" spans="8:8" x14ac:dyDescent="0.25">
      <c r="H3257" t="s">
        <v>5793</v>
      </c>
    </row>
    <row r="3258" spans="8:8" x14ac:dyDescent="0.25">
      <c r="H3258" t="s">
        <v>5794</v>
      </c>
    </row>
    <row r="3259" spans="8:8" x14ac:dyDescent="0.25">
      <c r="H3259" t="s">
        <v>149</v>
      </c>
    </row>
    <row r="3260" spans="8:8" x14ac:dyDescent="0.25">
      <c r="H3260" t="s">
        <v>5795</v>
      </c>
    </row>
    <row r="3262" spans="8:8" x14ac:dyDescent="0.25">
      <c r="H3262" t="s">
        <v>5796</v>
      </c>
    </row>
    <row r="3263" spans="8:8" x14ac:dyDescent="0.25">
      <c r="H3263" t="s">
        <v>5797</v>
      </c>
    </row>
    <row r="3264" spans="8:8" x14ac:dyDescent="0.25">
      <c r="H3264" t="s">
        <v>149</v>
      </c>
    </row>
    <row r="3265" spans="8:8" x14ac:dyDescent="0.25">
      <c r="H3265" t="s">
        <v>5798</v>
      </c>
    </row>
    <row r="3267" spans="8:8" x14ac:dyDescent="0.25">
      <c r="H3267" t="s">
        <v>5799</v>
      </c>
    </row>
    <row r="3268" spans="8:8" x14ac:dyDescent="0.25">
      <c r="H3268" t="s">
        <v>5800</v>
      </c>
    </row>
    <row r="3269" spans="8:8" x14ac:dyDescent="0.25">
      <c r="H3269" t="s">
        <v>149</v>
      </c>
    </row>
    <row r="3270" spans="8:8" x14ac:dyDescent="0.25">
      <c r="H3270" t="s">
        <v>5801</v>
      </c>
    </row>
    <row r="3272" spans="8:8" x14ac:dyDescent="0.25">
      <c r="H3272" t="s">
        <v>5802</v>
      </c>
    </row>
    <row r="3273" spans="8:8" x14ac:dyDescent="0.25">
      <c r="H3273" t="s">
        <v>5803</v>
      </c>
    </row>
    <row r="3274" spans="8:8" x14ac:dyDescent="0.25">
      <c r="H3274" t="s">
        <v>149</v>
      </c>
    </row>
    <row r="3275" spans="8:8" x14ac:dyDescent="0.25">
      <c r="H3275" t="s">
        <v>5804</v>
      </c>
    </row>
    <row r="3277" spans="8:8" x14ac:dyDescent="0.25">
      <c r="H3277" t="s">
        <v>5805</v>
      </c>
    </row>
    <row r="3278" spans="8:8" x14ac:dyDescent="0.25">
      <c r="H3278" t="s">
        <v>5806</v>
      </c>
    </row>
    <row r="3279" spans="8:8" x14ac:dyDescent="0.25">
      <c r="H3279" t="s">
        <v>149</v>
      </c>
    </row>
    <row r="3280" spans="8:8" x14ac:dyDescent="0.25">
      <c r="H3280" t="s">
        <v>5807</v>
      </c>
    </row>
    <row r="3282" spans="8:8" x14ac:dyDescent="0.25">
      <c r="H3282" t="s">
        <v>5808</v>
      </c>
    </row>
    <row r="3283" spans="8:8" x14ac:dyDescent="0.25">
      <c r="H3283" t="s">
        <v>5809</v>
      </c>
    </row>
    <row r="3284" spans="8:8" x14ac:dyDescent="0.25">
      <c r="H3284" t="s">
        <v>149</v>
      </c>
    </row>
    <row r="3285" spans="8:8" x14ac:dyDescent="0.25">
      <c r="H3285" t="s">
        <v>5810</v>
      </c>
    </row>
    <row r="3287" spans="8:8" x14ac:dyDescent="0.25">
      <c r="H3287" t="s">
        <v>5811</v>
      </c>
    </row>
    <row r="3288" spans="8:8" x14ac:dyDescent="0.25">
      <c r="H3288" t="s">
        <v>5812</v>
      </c>
    </row>
    <row r="3289" spans="8:8" x14ac:dyDescent="0.25">
      <c r="H3289" t="s">
        <v>149</v>
      </c>
    </row>
    <row r="3290" spans="8:8" x14ac:dyDescent="0.25">
      <c r="H3290" t="s">
        <v>5813</v>
      </c>
    </row>
    <row r="3292" spans="8:8" x14ac:dyDescent="0.25">
      <c r="H3292" t="s">
        <v>5814</v>
      </c>
    </row>
    <row r="3293" spans="8:8" x14ac:dyDescent="0.25">
      <c r="H3293" t="s">
        <v>5815</v>
      </c>
    </row>
    <row r="3294" spans="8:8" x14ac:dyDescent="0.25">
      <c r="H3294" t="s">
        <v>149</v>
      </c>
    </row>
    <row r="3295" spans="8:8" x14ac:dyDescent="0.25">
      <c r="H3295" t="s">
        <v>5816</v>
      </c>
    </row>
    <row r="3297" spans="8:8" x14ac:dyDescent="0.25">
      <c r="H3297" t="s">
        <v>5817</v>
      </c>
    </row>
    <row r="3298" spans="8:8" x14ac:dyDescent="0.25">
      <c r="H3298" t="s">
        <v>5818</v>
      </c>
    </row>
    <row r="3299" spans="8:8" x14ac:dyDescent="0.25">
      <c r="H3299" t="s">
        <v>149</v>
      </c>
    </row>
    <row r="3300" spans="8:8" x14ac:dyDescent="0.25">
      <c r="H3300" t="s">
        <v>5819</v>
      </c>
    </row>
    <row r="3302" spans="8:8" x14ac:dyDescent="0.25">
      <c r="H3302" t="s">
        <v>5820</v>
      </c>
    </row>
    <row r="3303" spans="8:8" x14ac:dyDescent="0.25">
      <c r="H3303" t="s">
        <v>5821</v>
      </c>
    </row>
    <row r="3304" spans="8:8" x14ac:dyDescent="0.25">
      <c r="H3304" t="s">
        <v>149</v>
      </c>
    </row>
    <row r="3305" spans="8:8" x14ac:dyDescent="0.25">
      <c r="H3305" t="s">
        <v>5822</v>
      </c>
    </row>
    <row r="3307" spans="8:8" x14ac:dyDescent="0.25">
      <c r="H3307" t="s">
        <v>5823</v>
      </c>
    </row>
    <row r="3308" spans="8:8" x14ac:dyDescent="0.25">
      <c r="H3308" t="s">
        <v>5824</v>
      </c>
    </row>
    <row r="3309" spans="8:8" x14ac:dyDescent="0.25">
      <c r="H3309" t="s">
        <v>149</v>
      </c>
    </row>
    <row r="3310" spans="8:8" x14ac:dyDescent="0.25">
      <c r="H3310" t="s">
        <v>5825</v>
      </c>
    </row>
    <row r="3312" spans="8:8" x14ac:dyDescent="0.25">
      <c r="H3312" t="s">
        <v>5826</v>
      </c>
    </row>
    <row r="3313" spans="8:8" x14ac:dyDescent="0.25">
      <c r="H3313" t="s">
        <v>5827</v>
      </c>
    </row>
    <row r="3314" spans="8:8" x14ac:dyDescent="0.25">
      <c r="H3314" t="s">
        <v>149</v>
      </c>
    </row>
    <row r="3315" spans="8:8" x14ac:dyDescent="0.25">
      <c r="H3315" t="s">
        <v>5828</v>
      </c>
    </row>
    <row r="3317" spans="8:8" x14ac:dyDescent="0.25">
      <c r="H3317" t="s">
        <v>5829</v>
      </c>
    </row>
    <row r="3318" spans="8:8" x14ac:dyDescent="0.25">
      <c r="H3318" t="s">
        <v>5830</v>
      </c>
    </row>
    <row r="3319" spans="8:8" x14ac:dyDescent="0.25">
      <c r="H3319" t="s">
        <v>149</v>
      </c>
    </row>
    <row r="3320" spans="8:8" x14ac:dyDescent="0.25">
      <c r="H3320" t="s">
        <v>5831</v>
      </c>
    </row>
    <row r="3322" spans="8:8" x14ac:dyDescent="0.25">
      <c r="H3322" t="s">
        <v>5832</v>
      </c>
    </row>
    <row r="3323" spans="8:8" x14ac:dyDescent="0.25">
      <c r="H3323" t="s">
        <v>5833</v>
      </c>
    </row>
    <row r="3324" spans="8:8" x14ac:dyDescent="0.25">
      <c r="H3324" t="s">
        <v>149</v>
      </c>
    </row>
    <row r="3325" spans="8:8" x14ac:dyDescent="0.25">
      <c r="H3325" t="s">
        <v>5834</v>
      </c>
    </row>
    <row r="3327" spans="8:8" x14ac:dyDescent="0.25">
      <c r="H3327" t="s">
        <v>5835</v>
      </c>
    </row>
    <row r="3328" spans="8:8" x14ac:dyDescent="0.25">
      <c r="H3328" t="s">
        <v>5836</v>
      </c>
    </row>
    <row r="3329" spans="8:8" x14ac:dyDescent="0.25">
      <c r="H3329" t="s">
        <v>149</v>
      </c>
    </row>
    <row r="3330" spans="8:8" x14ac:dyDescent="0.25">
      <c r="H3330" t="s">
        <v>5837</v>
      </c>
    </row>
    <row r="3332" spans="8:8" x14ac:dyDescent="0.25">
      <c r="H3332" t="s">
        <v>5838</v>
      </c>
    </row>
    <row r="3333" spans="8:8" x14ac:dyDescent="0.25">
      <c r="H3333" t="s">
        <v>5839</v>
      </c>
    </row>
    <row r="3334" spans="8:8" x14ac:dyDescent="0.25">
      <c r="H3334" t="s">
        <v>149</v>
      </c>
    </row>
    <row r="3335" spans="8:8" x14ac:dyDescent="0.25">
      <c r="H3335" t="s">
        <v>5840</v>
      </c>
    </row>
    <row r="3337" spans="8:8" x14ac:dyDescent="0.25">
      <c r="H3337" t="s">
        <v>5841</v>
      </c>
    </row>
    <row r="3338" spans="8:8" x14ac:dyDescent="0.25">
      <c r="H3338" t="s">
        <v>5842</v>
      </c>
    </row>
    <row r="3339" spans="8:8" x14ac:dyDescent="0.25">
      <c r="H3339" t="s">
        <v>149</v>
      </c>
    </row>
    <row r="3340" spans="8:8" x14ac:dyDescent="0.25">
      <c r="H3340" t="s">
        <v>5843</v>
      </c>
    </row>
    <row r="3342" spans="8:8" x14ac:dyDescent="0.25">
      <c r="H3342" t="s">
        <v>5844</v>
      </c>
    </row>
    <row r="3343" spans="8:8" x14ac:dyDescent="0.25">
      <c r="H3343" t="s">
        <v>5845</v>
      </c>
    </row>
    <row r="3344" spans="8:8" x14ac:dyDescent="0.25">
      <c r="H3344" t="s">
        <v>149</v>
      </c>
    </row>
    <row r="3345" spans="8:8" x14ac:dyDescent="0.25">
      <c r="H3345" t="s">
        <v>5846</v>
      </c>
    </row>
    <row r="3347" spans="8:8" x14ac:dyDescent="0.25">
      <c r="H3347" t="s">
        <v>5847</v>
      </c>
    </row>
    <row r="3348" spans="8:8" x14ac:dyDescent="0.25">
      <c r="H3348" t="s">
        <v>5848</v>
      </c>
    </row>
    <row r="3349" spans="8:8" x14ac:dyDescent="0.25">
      <c r="H3349" t="s">
        <v>149</v>
      </c>
    </row>
    <row r="3350" spans="8:8" x14ac:dyDescent="0.25">
      <c r="H3350" t="s">
        <v>5849</v>
      </c>
    </row>
    <row r="3352" spans="8:8" x14ac:dyDescent="0.25">
      <c r="H3352" t="s">
        <v>5850</v>
      </c>
    </row>
    <row r="3353" spans="8:8" x14ac:dyDescent="0.25">
      <c r="H3353" t="s">
        <v>5851</v>
      </c>
    </row>
    <row r="3354" spans="8:8" x14ac:dyDescent="0.25">
      <c r="H3354" t="s">
        <v>149</v>
      </c>
    </row>
    <row r="3355" spans="8:8" x14ac:dyDescent="0.25">
      <c r="H3355" t="s">
        <v>5852</v>
      </c>
    </row>
    <row r="3357" spans="8:8" x14ac:dyDescent="0.25">
      <c r="H3357" t="s">
        <v>5853</v>
      </c>
    </row>
    <row r="3358" spans="8:8" x14ac:dyDescent="0.25">
      <c r="H3358" t="s">
        <v>5854</v>
      </c>
    </row>
    <row r="3359" spans="8:8" x14ac:dyDescent="0.25">
      <c r="H3359" t="s">
        <v>149</v>
      </c>
    </row>
    <row r="3360" spans="8:8" x14ac:dyDescent="0.25">
      <c r="H3360" t="s">
        <v>5855</v>
      </c>
    </row>
    <row r="3362" spans="8:8" x14ac:dyDescent="0.25">
      <c r="H3362" t="s">
        <v>5856</v>
      </c>
    </row>
    <row r="3363" spans="8:8" x14ac:dyDescent="0.25">
      <c r="H3363" t="s">
        <v>5857</v>
      </c>
    </row>
    <row r="3364" spans="8:8" x14ac:dyDescent="0.25">
      <c r="H3364" t="s">
        <v>149</v>
      </c>
    </row>
    <row r="3365" spans="8:8" x14ac:dyDescent="0.25">
      <c r="H3365" t="s">
        <v>5858</v>
      </c>
    </row>
    <row r="3367" spans="8:8" x14ac:dyDescent="0.25">
      <c r="H3367" t="s">
        <v>5859</v>
      </c>
    </row>
    <row r="3368" spans="8:8" x14ac:dyDescent="0.25">
      <c r="H3368" t="s">
        <v>5860</v>
      </c>
    </row>
    <row r="3369" spans="8:8" x14ac:dyDescent="0.25">
      <c r="H3369" t="s">
        <v>149</v>
      </c>
    </row>
    <row r="3370" spans="8:8" x14ac:dyDescent="0.25">
      <c r="H3370" t="s">
        <v>5861</v>
      </c>
    </row>
    <row r="3372" spans="8:8" x14ac:dyDescent="0.25">
      <c r="H3372" t="s">
        <v>5862</v>
      </c>
    </row>
    <row r="3373" spans="8:8" x14ac:dyDescent="0.25">
      <c r="H3373" t="s">
        <v>5863</v>
      </c>
    </row>
    <row r="3374" spans="8:8" x14ac:dyDescent="0.25">
      <c r="H3374" t="s">
        <v>149</v>
      </c>
    </row>
    <row r="3375" spans="8:8" x14ac:dyDescent="0.25">
      <c r="H3375" t="s">
        <v>5864</v>
      </c>
    </row>
    <row r="3377" spans="8:8" x14ac:dyDescent="0.25">
      <c r="H3377" t="s">
        <v>5865</v>
      </c>
    </row>
    <row r="3378" spans="8:8" x14ac:dyDescent="0.25">
      <c r="H3378" t="s">
        <v>5866</v>
      </c>
    </row>
    <row r="3379" spans="8:8" x14ac:dyDescent="0.25">
      <c r="H3379" t="s">
        <v>149</v>
      </c>
    </row>
    <row r="3380" spans="8:8" x14ac:dyDescent="0.25">
      <c r="H3380" t="s">
        <v>5867</v>
      </c>
    </row>
    <row r="3382" spans="8:8" x14ac:dyDescent="0.25">
      <c r="H3382" t="s">
        <v>5868</v>
      </c>
    </row>
    <row r="3383" spans="8:8" x14ac:dyDescent="0.25">
      <c r="H3383" t="s">
        <v>5869</v>
      </c>
    </row>
    <row r="3384" spans="8:8" x14ac:dyDescent="0.25">
      <c r="H3384" t="s">
        <v>149</v>
      </c>
    </row>
    <row r="3385" spans="8:8" x14ac:dyDescent="0.25">
      <c r="H3385" t="s">
        <v>5870</v>
      </c>
    </row>
    <row r="3387" spans="8:8" x14ac:dyDescent="0.25">
      <c r="H3387" t="s">
        <v>5871</v>
      </c>
    </row>
    <row r="3388" spans="8:8" x14ac:dyDescent="0.25">
      <c r="H3388" t="s">
        <v>5872</v>
      </c>
    </row>
    <row r="3389" spans="8:8" x14ac:dyDescent="0.25">
      <c r="H3389" t="s">
        <v>149</v>
      </c>
    </row>
    <row r="3390" spans="8:8" x14ac:dyDescent="0.25">
      <c r="H3390" t="s">
        <v>5873</v>
      </c>
    </row>
    <row r="3392" spans="8:8" x14ac:dyDescent="0.25">
      <c r="H3392" t="s">
        <v>5874</v>
      </c>
    </row>
    <row r="3393" spans="8:8" x14ac:dyDescent="0.25">
      <c r="H3393" t="s">
        <v>5875</v>
      </c>
    </row>
    <row r="3394" spans="8:8" x14ac:dyDescent="0.25">
      <c r="H3394" t="s">
        <v>149</v>
      </c>
    </row>
    <row r="3395" spans="8:8" x14ac:dyDescent="0.25">
      <c r="H3395" t="s">
        <v>5876</v>
      </c>
    </row>
    <row r="3397" spans="8:8" x14ac:dyDescent="0.25">
      <c r="H3397" t="s">
        <v>5877</v>
      </c>
    </row>
    <row r="3398" spans="8:8" x14ac:dyDescent="0.25">
      <c r="H3398" t="s">
        <v>5878</v>
      </c>
    </row>
    <row r="3399" spans="8:8" x14ac:dyDescent="0.25">
      <c r="H3399" t="s">
        <v>149</v>
      </c>
    </row>
    <row r="3400" spans="8:8" x14ac:dyDescent="0.25">
      <c r="H3400" t="s">
        <v>5879</v>
      </c>
    </row>
    <row r="3402" spans="8:8" x14ac:dyDescent="0.25">
      <c r="H3402" t="s">
        <v>5880</v>
      </c>
    </row>
    <row r="3403" spans="8:8" x14ac:dyDescent="0.25">
      <c r="H3403" t="s">
        <v>5881</v>
      </c>
    </row>
    <row r="3404" spans="8:8" x14ac:dyDescent="0.25">
      <c r="H3404" t="s">
        <v>149</v>
      </c>
    </row>
    <row r="3405" spans="8:8" x14ac:dyDescent="0.25">
      <c r="H3405" t="s">
        <v>5882</v>
      </c>
    </row>
    <row r="3407" spans="8:8" x14ac:dyDescent="0.25">
      <c r="H3407" t="s">
        <v>5883</v>
      </c>
    </row>
    <row r="3408" spans="8:8" x14ac:dyDescent="0.25">
      <c r="H3408" t="s">
        <v>5884</v>
      </c>
    </row>
    <row r="3409" spans="8:8" x14ac:dyDescent="0.25">
      <c r="H3409" t="s">
        <v>149</v>
      </c>
    </row>
    <row r="3410" spans="8:8" x14ac:dyDescent="0.25">
      <c r="H3410" t="s">
        <v>5885</v>
      </c>
    </row>
    <row r="3412" spans="8:8" x14ac:dyDescent="0.25">
      <c r="H3412" t="s">
        <v>5886</v>
      </c>
    </row>
    <row r="3413" spans="8:8" x14ac:dyDescent="0.25">
      <c r="H3413" t="s">
        <v>5887</v>
      </c>
    </row>
    <row r="3414" spans="8:8" x14ac:dyDescent="0.25">
      <c r="H3414" t="s">
        <v>149</v>
      </c>
    </row>
    <row r="3415" spans="8:8" x14ac:dyDescent="0.25">
      <c r="H3415" t="s">
        <v>5888</v>
      </c>
    </row>
    <row r="3417" spans="8:8" x14ac:dyDescent="0.25">
      <c r="H3417" t="s">
        <v>5889</v>
      </c>
    </row>
    <row r="3418" spans="8:8" x14ac:dyDescent="0.25">
      <c r="H3418" t="s">
        <v>5890</v>
      </c>
    </row>
    <row r="3419" spans="8:8" x14ac:dyDescent="0.25">
      <c r="H3419" t="s">
        <v>149</v>
      </c>
    </row>
    <row r="3420" spans="8:8" x14ac:dyDescent="0.25">
      <c r="H3420" t="s">
        <v>5891</v>
      </c>
    </row>
    <row r="3422" spans="8:8" x14ac:dyDescent="0.25">
      <c r="H3422" t="s">
        <v>5892</v>
      </c>
    </row>
    <row r="3423" spans="8:8" x14ac:dyDescent="0.25">
      <c r="H3423" t="s">
        <v>5893</v>
      </c>
    </row>
    <row r="3424" spans="8:8" x14ac:dyDescent="0.25">
      <c r="H3424" t="s">
        <v>149</v>
      </c>
    </row>
    <row r="3425" spans="8:8" x14ac:dyDescent="0.25">
      <c r="H3425" t="s">
        <v>5894</v>
      </c>
    </row>
    <row r="3427" spans="8:8" x14ac:dyDescent="0.25">
      <c r="H3427" t="s">
        <v>5895</v>
      </c>
    </row>
    <row r="3428" spans="8:8" x14ac:dyDescent="0.25">
      <c r="H3428" t="s">
        <v>5896</v>
      </c>
    </row>
    <row r="3429" spans="8:8" x14ac:dyDescent="0.25">
      <c r="H3429" t="s">
        <v>149</v>
      </c>
    </row>
    <row r="3430" spans="8:8" x14ac:dyDescent="0.25">
      <c r="H3430" t="s">
        <v>5897</v>
      </c>
    </row>
    <row r="3432" spans="8:8" x14ac:dyDescent="0.25">
      <c r="H3432" t="s">
        <v>5898</v>
      </c>
    </row>
    <row r="3433" spans="8:8" x14ac:dyDescent="0.25">
      <c r="H3433" t="s">
        <v>5899</v>
      </c>
    </row>
    <row r="3434" spans="8:8" x14ac:dyDescent="0.25">
      <c r="H3434" t="s">
        <v>149</v>
      </c>
    </row>
    <row r="3435" spans="8:8" x14ac:dyDescent="0.25">
      <c r="H3435" t="s">
        <v>5900</v>
      </c>
    </row>
    <row r="3437" spans="8:8" x14ac:dyDescent="0.25">
      <c r="H3437" t="s">
        <v>5901</v>
      </c>
    </row>
    <row r="3438" spans="8:8" x14ac:dyDescent="0.25">
      <c r="H3438" t="s">
        <v>5902</v>
      </c>
    </row>
    <row r="3439" spans="8:8" x14ac:dyDescent="0.25">
      <c r="H3439" t="s">
        <v>149</v>
      </c>
    </row>
    <row r="3440" spans="8:8" x14ac:dyDescent="0.25">
      <c r="H3440" t="s">
        <v>5903</v>
      </c>
    </row>
    <row r="3442" spans="8:8" x14ac:dyDescent="0.25">
      <c r="H3442" t="s">
        <v>5904</v>
      </c>
    </row>
    <row r="3443" spans="8:8" x14ac:dyDescent="0.25">
      <c r="H3443" t="s">
        <v>5905</v>
      </c>
    </row>
    <row r="3444" spans="8:8" x14ac:dyDescent="0.25">
      <c r="H3444" t="s">
        <v>149</v>
      </c>
    </row>
    <row r="3445" spans="8:8" x14ac:dyDescent="0.25">
      <c r="H3445" t="s">
        <v>5906</v>
      </c>
    </row>
    <row r="3447" spans="8:8" x14ac:dyDescent="0.25">
      <c r="H3447" t="s">
        <v>5907</v>
      </c>
    </row>
    <row r="3448" spans="8:8" x14ac:dyDescent="0.25">
      <c r="H3448" t="s">
        <v>5908</v>
      </c>
    </row>
    <row r="3449" spans="8:8" x14ac:dyDescent="0.25">
      <c r="H3449" t="s">
        <v>149</v>
      </c>
    </row>
    <row r="3450" spans="8:8" x14ac:dyDescent="0.25">
      <c r="H3450" t="s">
        <v>5909</v>
      </c>
    </row>
    <row r="3452" spans="8:8" x14ac:dyDescent="0.25">
      <c r="H3452" t="s">
        <v>5910</v>
      </c>
    </row>
    <row r="3453" spans="8:8" x14ac:dyDescent="0.25">
      <c r="H3453" t="s">
        <v>5911</v>
      </c>
    </row>
    <row r="3454" spans="8:8" x14ac:dyDescent="0.25">
      <c r="H3454" t="s">
        <v>149</v>
      </c>
    </row>
    <row r="3455" spans="8:8" x14ac:dyDescent="0.25">
      <c r="H3455" t="s">
        <v>5912</v>
      </c>
    </row>
    <row r="3457" spans="8:8" x14ac:dyDescent="0.25">
      <c r="H3457" t="s">
        <v>5913</v>
      </c>
    </row>
    <row r="3458" spans="8:8" x14ac:dyDescent="0.25">
      <c r="H3458" t="s">
        <v>5914</v>
      </c>
    </row>
    <row r="3459" spans="8:8" x14ac:dyDescent="0.25">
      <c r="H3459" t="s">
        <v>149</v>
      </c>
    </row>
    <row r="3460" spans="8:8" x14ac:dyDescent="0.25">
      <c r="H3460" t="s">
        <v>5915</v>
      </c>
    </row>
    <row r="3462" spans="8:8" x14ac:dyDescent="0.25">
      <c r="H3462" t="s">
        <v>5916</v>
      </c>
    </row>
    <row r="3463" spans="8:8" x14ac:dyDescent="0.25">
      <c r="H3463" t="s">
        <v>5917</v>
      </c>
    </row>
    <row r="3464" spans="8:8" x14ac:dyDescent="0.25">
      <c r="H3464" t="s">
        <v>149</v>
      </c>
    </row>
    <row r="3465" spans="8:8" x14ac:dyDescent="0.25">
      <c r="H3465" t="s">
        <v>5918</v>
      </c>
    </row>
    <row r="3467" spans="8:8" x14ac:dyDescent="0.25">
      <c r="H3467" t="s">
        <v>5919</v>
      </c>
    </row>
    <row r="3468" spans="8:8" x14ac:dyDescent="0.25">
      <c r="H3468" t="s">
        <v>5920</v>
      </c>
    </row>
    <row r="3469" spans="8:8" x14ac:dyDescent="0.25">
      <c r="H3469" t="s">
        <v>149</v>
      </c>
    </row>
    <row r="3470" spans="8:8" x14ac:dyDescent="0.25">
      <c r="H3470" t="s">
        <v>5921</v>
      </c>
    </row>
    <row r="3472" spans="8:8" x14ac:dyDescent="0.25">
      <c r="H3472" t="s">
        <v>5922</v>
      </c>
    </row>
    <row r="3473" spans="8:8" x14ac:dyDescent="0.25">
      <c r="H3473" t="s">
        <v>5923</v>
      </c>
    </row>
    <row r="3474" spans="8:8" x14ac:dyDescent="0.25">
      <c r="H3474" t="s">
        <v>149</v>
      </c>
    </row>
    <row r="3475" spans="8:8" x14ac:dyDescent="0.25">
      <c r="H3475" t="s">
        <v>5924</v>
      </c>
    </row>
    <row r="3477" spans="8:8" x14ac:dyDescent="0.25">
      <c r="H3477" t="s">
        <v>5925</v>
      </c>
    </row>
    <row r="3478" spans="8:8" x14ac:dyDescent="0.25">
      <c r="H3478" t="s">
        <v>5926</v>
      </c>
    </row>
    <row r="3479" spans="8:8" x14ac:dyDescent="0.25">
      <c r="H3479" t="s">
        <v>149</v>
      </c>
    </row>
    <row r="3480" spans="8:8" x14ac:dyDescent="0.25">
      <c r="H3480" t="s">
        <v>5927</v>
      </c>
    </row>
    <row r="3482" spans="8:8" x14ac:dyDescent="0.25">
      <c r="H3482" t="s">
        <v>5928</v>
      </c>
    </row>
    <row r="3483" spans="8:8" x14ac:dyDescent="0.25">
      <c r="H3483" t="s">
        <v>5929</v>
      </c>
    </row>
    <row r="3484" spans="8:8" x14ac:dyDescent="0.25">
      <c r="H3484" t="s">
        <v>149</v>
      </c>
    </row>
    <row r="3485" spans="8:8" x14ac:dyDescent="0.25">
      <c r="H3485" t="s">
        <v>5930</v>
      </c>
    </row>
    <row r="3487" spans="8:8" x14ac:dyDescent="0.25">
      <c r="H3487" t="s">
        <v>5931</v>
      </c>
    </row>
    <row r="3488" spans="8:8" x14ac:dyDescent="0.25">
      <c r="H3488" t="s">
        <v>5932</v>
      </c>
    </row>
    <row r="3489" spans="8:8" x14ac:dyDescent="0.25">
      <c r="H3489" t="s">
        <v>149</v>
      </c>
    </row>
    <row r="3490" spans="8:8" x14ac:dyDescent="0.25">
      <c r="H3490" t="s">
        <v>5933</v>
      </c>
    </row>
    <row r="3492" spans="8:8" x14ac:dyDescent="0.25">
      <c r="H3492" t="s">
        <v>5934</v>
      </c>
    </row>
    <row r="3493" spans="8:8" x14ac:dyDescent="0.25">
      <c r="H3493" t="s">
        <v>5935</v>
      </c>
    </row>
    <row r="3494" spans="8:8" x14ac:dyDescent="0.25">
      <c r="H3494" t="s">
        <v>149</v>
      </c>
    </row>
    <row r="3495" spans="8:8" x14ac:dyDescent="0.25">
      <c r="H3495" t="s">
        <v>5936</v>
      </c>
    </row>
    <row r="3497" spans="8:8" x14ac:dyDescent="0.25">
      <c r="H3497" t="s">
        <v>5937</v>
      </c>
    </row>
    <row r="3498" spans="8:8" x14ac:dyDescent="0.25">
      <c r="H3498" t="s">
        <v>5938</v>
      </c>
    </row>
    <row r="3499" spans="8:8" x14ac:dyDescent="0.25">
      <c r="H3499" t="s">
        <v>149</v>
      </c>
    </row>
    <row r="3500" spans="8:8" x14ac:dyDescent="0.25">
      <c r="H3500" t="s">
        <v>5939</v>
      </c>
    </row>
    <row r="3502" spans="8:8" x14ac:dyDescent="0.25">
      <c r="H3502" t="s">
        <v>5940</v>
      </c>
    </row>
    <row r="3503" spans="8:8" x14ac:dyDescent="0.25">
      <c r="H3503" t="s">
        <v>5941</v>
      </c>
    </row>
    <row r="3504" spans="8:8" x14ac:dyDescent="0.25">
      <c r="H3504" t="s">
        <v>149</v>
      </c>
    </row>
    <row r="3505" spans="8:8" x14ac:dyDescent="0.25">
      <c r="H3505" t="s">
        <v>5942</v>
      </c>
    </row>
    <row r="3507" spans="8:8" x14ac:dyDescent="0.25">
      <c r="H3507" t="s">
        <v>5943</v>
      </c>
    </row>
    <row r="3508" spans="8:8" x14ac:dyDescent="0.25">
      <c r="H3508" t="s">
        <v>5944</v>
      </c>
    </row>
    <row r="3509" spans="8:8" x14ac:dyDescent="0.25">
      <c r="H3509" t="s">
        <v>149</v>
      </c>
    </row>
    <row r="3510" spans="8:8" x14ac:dyDescent="0.25">
      <c r="H3510" t="s">
        <v>5945</v>
      </c>
    </row>
    <row r="3512" spans="8:8" x14ac:dyDescent="0.25">
      <c r="H3512" t="s">
        <v>5946</v>
      </c>
    </row>
    <row r="3513" spans="8:8" x14ac:dyDescent="0.25">
      <c r="H3513" t="s">
        <v>5947</v>
      </c>
    </row>
    <row r="3514" spans="8:8" x14ac:dyDescent="0.25">
      <c r="H3514" t="s">
        <v>149</v>
      </c>
    </row>
    <row r="3515" spans="8:8" x14ac:dyDescent="0.25">
      <c r="H3515" t="s">
        <v>5948</v>
      </c>
    </row>
    <row r="3517" spans="8:8" x14ac:dyDescent="0.25">
      <c r="H3517" t="s">
        <v>5949</v>
      </c>
    </row>
    <row r="3518" spans="8:8" x14ac:dyDescent="0.25">
      <c r="H3518" t="s">
        <v>5950</v>
      </c>
    </row>
    <row r="3519" spans="8:8" x14ac:dyDescent="0.25">
      <c r="H3519" t="s">
        <v>149</v>
      </c>
    </row>
    <row r="3520" spans="8:8" x14ac:dyDescent="0.25">
      <c r="H3520" t="s">
        <v>5951</v>
      </c>
    </row>
    <row r="3522" spans="8:8" x14ac:dyDescent="0.25">
      <c r="H3522" t="s">
        <v>5952</v>
      </c>
    </row>
    <row r="3523" spans="8:8" x14ac:dyDescent="0.25">
      <c r="H3523" t="s">
        <v>5953</v>
      </c>
    </row>
    <row r="3524" spans="8:8" x14ac:dyDescent="0.25">
      <c r="H3524" t="s">
        <v>149</v>
      </c>
    </row>
    <row r="3525" spans="8:8" x14ac:dyDescent="0.25">
      <c r="H3525" t="s">
        <v>5954</v>
      </c>
    </row>
    <row r="3527" spans="8:8" x14ac:dyDescent="0.25">
      <c r="H3527" t="s">
        <v>5955</v>
      </c>
    </row>
    <row r="3528" spans="8:8" x14ac:dyDescent="0.25">
      <c r="H3528" t="s">
        <v>5956</v>
      </c>
    </row>
    <row r="3529" spans="8:8" x14ac:dyDescent="0.25">
      <c r="H3529" t="s">
        <v>149</v>
      </c>
    </row>
    <row r="3530" spans="8:8" x14ac:dyDescent="0.25">
      <c r="H3530" t="s">
        <v>5957</v>
      </c>
    </row>
    <row r="3532" spans="8:8" x14ac:dyDescent="0.25">
      <c r="H3532" t="s">
        <v>5958</v>
      </c>
    </row>
    <row r="3533" spans="8:8" x14ac:dyDescent="0.25">
      <c r="H3533" t="s">
        <v>5959</v>
      </c>
    </row>
    <row r="3534" spans="8:8" x14ac:dyDescent="0.25">
      <c r="H3534" t="s">
        <v>149</v>
      </c>
    </row>
    <row r="3535" spans="8:8" x14ac:dyDescent="0.25">
      <c r="H3535" t="s">
        <v>5960</v>
      </c>
    </row>
    <row r="3537" spans="8:8" x14ac:dyDescent="0.25">
      <c r="H3537" t="s">
        <v>5961</v>
      </c>
    </row>
    <row r="3538" spans="8:8" x14ac:dyDescent="0.25">
      <c r="H3538" t="s">
        <v>5962</v>
      </c>
    </row>
    <row r="3539" spans="8:8" x14ac:dyDescent="0.25">
      <c r="H3539" t="s">
        <v>149</v>
      </c>
    </row>
    <row r="3540" spans="8:8" x14ac:dyDescent="0.25">
      <c r="H3540" t="s">
        <v>5963</v>
      </c>
    </row>
    <row r="3542" spans="8:8" x14ac:dyDescent="0.25">
      <c r="H3542" t="s">
        <v>5964</v>
      </c>
    </row>
    <row r="3543" spans="8:8" x14ac:dyDescent="0.25">
      <c r="H3543" t="s">
        <v>5965</v>
      </c>
    </row>
    <row r="3544" spans="8:8" x14ac:dyDescent="0.25">
      <c r="H3544" t="s">
        <v>149</v>
      </c>
    </row>
    <row r="3545" spans="8:8" x14ac:dyDescent="0.25">
      <c r="H3545" t="s">
        <v>5966</v>
      </c>
    </row>
    <row r="3547" spans="8:8" x14ac:dyDescent="0.25">
      <c r="H3547" t="s">
        <v>5967</v>
      </c>
    </row>
    <row r="3548" spans="8:8" x14ac:dyDescent="0.25">
      <c r="H3548" t="s">
        <v>5968</v>
      </c>
    </row>
    <row r="3549" spans="8:8" x14ac:dyDescent="0.25">
      <c r="H3549" t="s">
        <v>149</v>
      </c>
    </row>
    <row r="3550" spans="8:8" x14ac:dyDescent="0.25">
      <c r="H3550" t="s">
        <v>5969</v>
      </c>
    </row>
    <row r="3552" spans="8:8" x14ac:dyDescent="0.25">
      <c r="H3552" t="s">
        <v>5970</v>
      </c>
    </row>
    <row r="3553" spans="8:8" x14ac:dyDescent="0.25">
      <c r="H3553" t="s">
        <v>5971</v>
      </c>
    </row>
    <row r="3554" spans="8:8" x14ac:dyDescent="0.25">
      <c r="H3554" t="s">
        <v>149</v>
      </c>
    </row>
    <row r="3555" spans="8:8" x14ac:dyDescent="0.25">
      <c r="H3555" t="s">
        <v>5972</v>
      </c>
    </row>
    <row r="3557" spans="8:8" x14ac:dyDescent="0.25">
      <c r="H3557" t="s">
        <v>5973</v>
      </c>
    </row>
    <row r="3558" spans="8:8" x14ac:dyDescent="0.25">
      <c r="H3558" t="s">
        <v>5974</v>
      </c>
    </row>
    <row r="3559" spans="8:8" x14ac:dyDescent="0.25">
      <c r="H3559" t="s">
        <v>149</v>
      </c>
    </row>
    <row r="3560" spans="8:8" x14ac:dyDescent="0.25">
      <c r="H3560" t="s">
        <v>5975</v>
      </c>
    </row>
    <row r="3562" spans="8:8" x14ac:dyDescent="0.25">
      <c r="H3562" t="s">
        <v>5976</v>
      </c>
    </row>
    <row r="3563" spans="8:8" x14ac:dyDescent="0.25">
      <c r="H3563" t="s">
        <v>5977</v>
      </c>
    </row>
    <row r="3564" spans="8:8" x14ac:dyDescent="0.25">
      <c r="H3564" t="s">
        <v>149</v>
      </c>
    </row>
    <row r="3565" spans="8:8" x14ac:dyDescent="0.25">
      <c r="H3565" t="s">
        <v>5978</v>
      </c>
    </row>
    <row r="3567" spans="8:8" x14ac:dyDescent="0.25">
      <c r="H3567" t="s">
        <v>5979</v>
      </c>
    </row>
    <row r="3568" spans="8:8" x14ac:dyDescent="0.25">
      <c r="H3568" t="s">
        <v>5980</v>
      </c>
    </row>
    <row r="3569" spans="8:8" x14ac:dyDescent="0.25">
      <c r="H3569" t="s">
        <v>149</v>
      </c>
    </row>
    <row r="3570" spans="8:8" x14ac:dyDescent="0.25">
      <c r="H3570" t="s">
        <v>5981</v>
      </c>
    </row>
    <row r="3572" spans="8:8" x14ac:dyDescent="0.25">
      <c r="H3572" t="s">
        <v>5982</v>
      </c>
    </row>
    <row r="3573" spans="8:8" x14ac:dyDescent="0.25">
      <c r="H3573" t="s">
        <v>5983</v>
      </c>
    </row>
    <row r="3574" spans="8:8" x14ac:dyDescent="0.25">
      <c r="H3574" t="s">
        <v>149</v>
      </c>
    </row>
    <row r="3575" spans="8:8" x14ac:dyDescent="0.25">
      <c r="H3575" t="s">
        <v>5984</v>
      </c>
    </row>
    <row r="3577" spans="8:8" x14ac:dyDescent="0.25">
      <c r="H3577" t="s">
        <v>5985</v>
      </c>
    </row>
    <row r="3578" spans="8:8" x14ac:dyDescent="0.25">
      <c r="H3578" t="s">
        <v>5986</v>
      </c>
    </row>
    <row r="3579" spans="8:8" x14ac:dyDescent="0.25">
      <c r="H3579" t="s">
        <v>149</v>
      </c>
    </row>
    <row r="3580" spans="8:8" x14ac:dyDescent="0.25">
      <c r="H3580" t="s">
        <v>5987</v>
      </c>
    </row>
    <row r="3582" spans="8:8" x14ac:dyDescent="0.25">
      <c r="H3582" t="s">
        <v>5988</v>
      </c>
    </row>
    <row r="3583" spans="8:8" x14ac:dyDescent="0.25">
      <c r="H3583" t="s">
        <v>5989</v>
      </c>
    </row>
    <row r="3584" spans="8:8" x14ac:dyDescent="0.25">
      <c r="H3584" t="s">
        <v>149</v>
      </c>
    </row>
    <row r="3585" spans="8:8" x14ac:dyDescent="0.25">
      <c r="H3585" t="s">
        <v>5990</v>
      </c>
    </row>
    <row r="3587" spans="8:8" x14ac:dyDescent="0.25">
      <c r="H3587" t="s">
        <v>5991</v>
      </c>
    </row>
    <row r="3588" spans="8:8" x14ac:dyDescent="0.25">
      <c r="H3588" t="s">
        <v>5992</v>
      </c>
    </row>
    <row r="3589" spans="8:8" x14ac:dyDescent="0.25">
      <c r="H3589" t="s">
        <v>149</v>
      </c>
    </row>
    <row r="3590" spans="8:8" x14ac:dyDescent="0.25">
      <c r="H3590" t="s">
        <v>5993</v>
      </c>
    </row>
    <row r="3592" spans="8:8" x14ac:dyDescent="0.25">
      <c r="H3592" t="s">
        <v>5994</v>
      </c>
    </row>
    <row r="3593" spans="8:8" x14ac:dyDescent="0.25">
      <c r="H3593" t="s">
        <v>5995</v>
      </c>
    </row>
    <row r="3594" spans="8:8" x14ac:dyDescent="0.25">
      <c r="H3594" t="s">
        <v>149</v>
      </c>
    </row>
    <row r="3595" spans="8:8" x14ac:dyDescent="0.25">
      <c r="H3595" t="s">
        <v>5996</v>
      </c>
    </row>
    <row r="3597" spans="8:8" x14ac:dyDescent="0.25">
      <c r="H3597" t="s">
        <v>5997</v>
      </c>
    </row>
    <row r="3598" spans="8:8" x14ac:dyDescent="0.25">
      <c r="H3598" t="s">
        <v>5998</v>
      </c>
    </row>
    <row r="3599" spans="8:8" x14ac:dyDescent="0.25">
      <c r="H3599" t="s">
        <v>149</v>
      </c>
    </row>
    <row r="3600" spans="8:8" x14ac:dyDescent="0.25">
      <c r="H3600" t="s">
        <v>5999</v>
      </c>
    </row>
    <row r="3602" spans="8:8" x14ac:dyDescent="0.25">
      <c r="H3602" t="s">
        <v>6000</v>
      </c>
    </row>
    <row r="3603" spans="8:8" x14ac:dyDescent="0.25">
      <c r="H3603" t="s">
        <v>6001</v>
      </c>
    </row>
    <row r="3604" spans="8:8" x14ac:dyDescent="0.25">
      <c r="H3604" t="s">
        <v>149</v>
      </c>
    </row>
    <row r="3605" spans="8:8" x14ac:dyDescent="0.25">
      <c r="H3605" t="s">
        <v>6002</v>
      </c>
    </row>
    <row r="3607" spans="8:8" x14ac:dyDescent="0.25">
      <c r="H3607" t="s">
        <v>6003</v>
      </c>
    </row>
    <row r="3608" spans="8:8" x14ac:dyDescent="0.25">
      <c r="H3608" t="s">
        <v>6004</v>
      </c>
    </row>
    <row r="3609" spans="8:8" x14ac:dyDescent="0.25">
      <c r="H3609" t="s">
        <v>149</v>
      </c>
    </row>
    <row r="3610" spans="8:8" x14ac:dyDescent="0.25">
      <c r="H3610" t="s">
        <v>6005</v>
      </c>
    </row>
    <row r="3612" spans="8:8" x14ac:dyDescent="0.25">
      <c r="H3612" t="s">
        <v>6006</v>
      </c>
    </row>
    <row r="3613" spans="8:8" x14ac:dyDescent="0.25">
      <c r="H3613" t="s">
        <v>6007</v>
      </c>
    </row>
    <row r="3614" spans="8:8" x14ac:dyDescent="0.25">
      <c r="H3614" t="s">
        <v>149</v>
      </c>
    </row>
    <row r="3615" spans="8:8" x14ac:dyDescent="0.25">
      <c r="H3615" t="s">
        <v>6008</v>
      </c>
    </row>
    <row r="3617" spans="8:8" x14ac:dyDescent="0.25">
      <c r="H3617" t="s">
        <v>6009</v>
      </c>
    </row>
    <row r="3618" spans="8:8" x14ac:dyDescent="0.25">
      <c r="H3618" t="s">
        <v>6010</v>
      </c>
    </row>
    <row r="3619" spans="8:8" x14ac:dyDescent="0.25">
      <c r="H3619" t="s">
        <v>149</v>
      </c>
    </row>
    <row r="3620" spans="8:8" x14ac:dyDescent="0.25">
      <c r="H3620" t="s">
        <v>6011</v>
      </c>
    </row>
    <row r="3622" spans="8:8" x14ac:dyDescent="0.25">
      <c r="H3622" t="s">
        <v>6012</v>
      </c>
    </row>
    <row r="3623" spans="8:8" x14ac:dyDescent="0.25">
      <c r="H3623" t="s">
        <v>6013</v>
      </c>
    </row>
    <row r="3624" spans="8:8" x14ac:dyDescent="0.25">
      <c r="H3624" t="s">
        <v>149</v>
      </c>
    </row>
    <row r="3625" spans="8:8" x14ac:dyDescent="0.25">
      <c r="H3625" t="s">
        <v>6014</v>
      </c>
    </row>
    <row r="3627" spans="8:8" x14ac:dyDescent="0.25">
      <c r="H3627" t="s">
        <v>6015</v>
      </c>
    </row>
    <row r="3628" spans="8:8" x14ac:dyDescent="0.25">
      <c r="H3628" t="s">
        <v>6016</v>
      </c>
    </row>
    <row r="3629" spans="8:8" x14ac:dyDescent="0.25">
      <c r="H3629" t="s">
        <v>149</v>
      </c>
    </row>
    <row r="3630" spans="8:8" x14ac:dyDescent="0.25">
      <c r="H3630" t="s">
        <v>6017</v>
      </c>
    </row>
    <row r="3632" spans="8:8" x14ac:dyDescent="0.25">
      <c r="H3632" t="s">
        <v>6018</v>
      </c>
    </row>
    <row r="3633" spans="8:8" x14ac:dyDescent="0.25">
      <c r="H3633" t="s">
        <v>6019</v>
      </c>
    </row>
    <row r="3634" spans="8:8" x14ac:dyDescent="0.25">
      <c r="H3634" t="s">
        <v>149</v>
      </c>
    </row>
    <row r="3635" spans="8:8" x14ac:dyDescent="0.25">
      <c r="H3635" t="s">
        <v>6020</v>
      </c>
    </row>
    <row r="3637" spans="8:8" x14ac:dyDescent="0.25">
      <c r="H3637" t="s">
        <v>6021</v>
      </c>
    </row>
    <row r="3638" spans="8:8" x14ac:dyDescent="0.25">
      <c r="H3638" t="s">
        <v>6022</v>
      </c>
    </row>
    <row r="3639" spans="8:8" x14ac:dyDescent="0.25">
      <c r="H3639" t="s">
        <v>149</v>
      </c>
    </row>
    <row r="3640" spans="8:8" x14ac:dyDescent="0.25">
      <c r="H3640" t="s">
        <v>6023</v>
      </c>
    </row>
    <row r="3642" spans="8:8" x14ac:dyDescent="0.25">
      <c r="H3642" t="s">
        <v>6024</v>
      </c>
    </row>
    <row r="3643" spans="8:8" x14ac:dyDescent="0.25">
      <c r="H3643" t="s">
        <v>6025</v>
      </c>
    </row>
    <row r="3644" spans="8:8" x14ac:dyDescent="0.25">
      <c r="H3644" t="s">
        <v>149</v>
      </c>
    </row>
    <row r="3645" spans="8:8" x14ac:dyDescent="0.25">
      <c r="H3645" t="s">
        <v>6026</v>
      </c>
    </row>
    <row r="3647" spans="8:8" x14ac:dyDescent="0.25">
      <c r="H3647" t="s">
        <v>6027</v>
      </c>
    </row>
    <row r="3648" spans="8:8" x14ac:dyDescent="0.25">
      <c r="H3648" t="s">
        <v>6028</v>
      </c>
    </row>
    <row r="3649" spans="8:8" x14ac:dyDescent="0.25">
      <c r="H3649" t="s">
        <v>149</v>
      </c>
    </row>
    <row r="3650" spans="8:8" x14ac:dyDescent="0.25">
      <c r="H3650" t="s">
        <v>6029</v>
      </c>
    </row>
    <row r="3652" spans="8:8" x14ac:dyDescent="0.25">
      <c r="H3652" t="s">
        <v>6030</v>
      </c>
    </row>
    <row r="3653" spans="8:8" x14ac:dyDescent="0.25">
      <c r="H3653" t="s">
        <v>6031</v>
      </c>
    </row>
    <row r="3654" spans="8:8" x14ac:dyDescent="0.25">
      <c r="H3654" t="s">
        <v>149</v>
      </c>
    </row>
    <row r="3655" spans="8:8" x14ac:dyDescent="0.25">
      <c r="H3655" t="s">
        <v>6032</v>
      </c>
    </row>
    <row r="3657" spans="8:8" x14ac:dyDescent="0.25">
      <c r="H3657" t="s">
        <v>6033</v>
      </c>
    </row>
    <row r="3658" spans="8:8" x14ac:dyDescent="0.25">
      <c r="H3658" t="s">
        <v>6034</v>
      </c>
    </row>
    <row r="3659" spans="8:8" x14ac:dyDescent="0.25">
      <c r="H3659" t="s">
        <v>149</v>
      </c>
    </row>
    <row r="3660" spans="8:8" x14ac:dyDescent="0.25">
      <c r="H3660" t="s">
        <v>6035</v>
      </c>
    </row>
    <row r="3662" spans="8:8" x14ac:dyDescent="0.25">
      <c r="H3662" t="s">
        <v>6036</v>
      </c>
    </row>
    <row r="3663" spans="8:8" x14ac:dyDescent="0.25">
      <c r="H3663" t="s">
        <v>6037</v>
      </c>
    </row>
    <row r="3664" spans="8:8" x14ac:dyDescent="0.25">
      <c r="H3664" t="s">
        <v>149</v>
      </c>
    </row>
    <row r="3665" spans="8:8" x14ac:dyDescent="0.25">
      <c r="H3665" t="s">
        <v>6038</v>
      </c>
    </row>
    <row r="3667" spans="8:8" x14ac:dyDescent="0.25">
      <c r="H3667" t="s">
        <v>6039</v>
      </c>
    </row>
    <row r="3668" spans="8:8" x14ac:dyDescent="0.25">
      <c r="H3668" t="s">
        <v>6040</v>
      </c>
    </row>
    <row r="3669" spans="8:8" x14ac:dyDescent="0.25">
      <c r="H3669" t="s">
        <v>149</v>
      </c>
    </row>
    <row r="3670" spans="8:8" x14ac:dyDescent="0.25">
      <c r="H3670" t="s">
        <v>6041</v>
      </c>
    </row>
    <row r="3672" spans="8:8" x14ac:dyDescent="0.25">
      <c r="H3672" t="s">
        <v>6042</v>
      </c>
    </row>
    <row r="3673" spans="8:8" x14ac:dyDescent="0.25">
      <c r="H3673" t="s">
        <v>6043</v>
      </c>
    </row>
    <row r="3674" spans="8:8" x14ac:dyDescent="0.25">
      <c r="H3674" t="s">
        <v>149</v>
      </c>
    </row>
    <row r="3675" spans="8:8" x14ac:dyDescent="0.25">
      <c r="H3675" t="s">
        <v>6044</v>
      </c>
    </row>
    <row r="3677" spans="8:8" x14ac:dyDescent="0.25">
      <c r="H3677" t="s">
        <v>6045</v>
      </c>
    </row>
    <row r="3678" spans="8:8" x14ac:dyDescent="0.25">
      <c r="H3678" t="s">
        <v>6046</v>
      </c>
    </row>
    <row r="3679" spans="8:8" x14ac:dyDescent="0.25">
      <c r="H3679" t="s">
        <v>149</v>
      </c>
    </row>
    <row r="3680" spans="8:8" x14ac:dyDescent="0.25">
      <c r="H3680" t="s">
        <v>6047</v>
      </c>
    </row>
    <row r="3682" spans="8:8" x14ac:dyDescent="0.25">
      <c r="H3682" t="s">
        <v>6048</v>
      </c>
    </row>
    <row r="3683" spans="8:8" x14ac:dyDescent="0.25">
      <c r="H3683" t="s">
        <v>6049</v>
      </c>
    </row>
    <row r="3684" spans="8:8" x14ac:dyDescent="0.25">
      <c r="H3684" t="s">
        <v>149</v>
      </c>
    </row>
    <row r="3685" spans="8:8" x14ac:dyDescent="0.25">
      <c r="H3685" t="s">
        <v>6050</v>
      </c>
    </row>
    <row r="3687" spans="8:8" x14ac:dyDescent="0.25">
      <c r="H3687" t="s">
        <v>6051</v>
      </c>
    </row>
    <row r="3688" spans="8:8" x14ac:dyDescent="0.25">
      <c r="H3688" t="s">
        <v>6052</v>
      </c>
    </row>
    <row r="3689" spans="8:8" x14ac:dyDescent="0.25">
      <c r="H3689" t="s">
        <v>149</v>
      </c>
    </row>
    <row r="3690" spans="8:8" x14ac:dyDescent="0.25">
      <c r="H3690" t="s">
        <v>6053</v>
      </c>
    </row>
    <row r="3692" spans="8:8" x14ac:dyDescent="0.25">
      <c r="H3692" t="s">
        <v>6054</v>
      </c>
    </row>
    <row r="3693" spans="8:8" x14ac:dyDescent="0.25">
      <c r="H3693" t="s">
        <v>6055</v>
      </c>
    </row>
    <row r="3694" spans="8:8" x14ac:dyDescent="0.25">
      <c r="H3694" t="s">
        <v>149</v>
      </c>
    </row>
    <row r="3695" spans="8:8" x14ac:dyDescent="0.25">
      <c r="H3695" t="s">
        <v>6056</v>
      </c>
    </row>
    <row r="3697" spans="8:8" x14ac:dyDescent="0.25">
      <c r="H3697" t="s">
        <v>6057</v>
      </c>
    </row>
    <row r="3698" spans="8:8" x14ac:dyDescent="0.25">
      <c r="H3698" t="s">
        <v>6058</v>
      </c>
    </row>
    <row r="3699" spans="8:8" x14ac:dyDescent="0.25">
      <c r="H3699" t="s">
        <v>149</v>
      </c>
    </row>
    <row r="3700" spans="8:8" x14ac:dyDescent="0.25">
      <c r="H3700" t="s">
        <v>6059</v>
      </c>
    </row>
    <row r="3702" spans="8:8" x14ac:dyDescent="0.25">
      <c r="H3702" t="s">
        <v>6060</v>
      </c>
    </row>
    <row r="3703" spans="8:8" x14ac:dyDescent="0.25">
      <c r="H3703" t="s">
        <v>6061</v>
      </c>
    </row>
    <row r="3704" spans="8:8" x14ac:dyDescent="0.25">
      <c r="H3704" t="s">
        <v>149</v>
      </c>
    </row>
    <row r="3705" spans="8:8" x14ac:dyDescent="0.25">
      <c r="H3705" t="s">
        <v>6062</v>
      </c>
    </row>
    <row r="3707" spans="8:8" x14ac:dyDescent="0.25">
      <c r="H3707" t="s">
        <v>6063</v>
      </c>
    </row>
    <row r="3708" spans="8:8" x14ac:dyDescent="0.25">
      <c r="H3708" t="s">
        <v>6064</v>
      </c>
    </row>
    <row r="3709" spans="8:8" x14ac:dyDescent="0.25">
      <c r="H3709" t="s">
        <v>149</v>
      </c>
    </row>
    <row r="3710" spans="8:8" x14ac:dyDescent="0.25">
      <c r="H3710" t="s">
        <v>6065</v>
      </c>
    </row>
    <row r="3712" spans="8:8" x14ac:dyDescent="0.25">
      <c r="H3712" t="s">
        <v>6066</v>
      </c>
    </row>
    <row r="3713" spans="8:8" x14ac:dyDescent="0.25">
      <c r="H3713" t="s">
        <v>6067</v>
      </c>
    </row>
    <row r="3714" spans="8:8" x14ac:dyDescent="0.25">
      <c r="H3714" t="s">
        <v>149</v>
      </c>
    </row>
    <row r="3715" spans="8:8" x14ac:dyDescent="0.25">
      <c r="H3715" t="s">
        <v>6068</v>
      </c>
    </row>
    <row r="3717" spans="8:8" x14ac:dyDescent="0.25">
      <c r="H3717" t="s">
        <v>6069</v>
      </c>
    </row>
    <row r="3718" spans="8:8" x14ac:dyDescent="0.25">
      <c r="H3718" t="s">
        <v>6070</v>
      </c>
    </row>
    <row r="3719" spans="8:8" x14ac:dyDescent="0.25">
      <c r="H3719" t="s">
        <v>149</v>
      </c>
    </row>
    <row r="3720" spans="8:8" x14ac:dyDescent="0.25">
      <c r="H3720" t="s">
        <v>6071</v>
      </c>
    </row>
    <row r="3722" spans="8:8" x14ac:dyDescent="0.25">
      <c r="H3722" t="s">
        <v>6072</v>
      </c>
    </row>
    <row r="3723" spans="8:8" x14ac:dyDescent="0.25">
      <c r="H3723" t="s">
        <v>6073</v>
      </c>
    </row>
    <row r="3724" spans="8:8" x14ac:dyDescent="0.25">
      <c r="H3724" t="s">
        <v>149</v>
      </c>
    </row>
    <row r="3725" spans="8:8" x14ac:dyDescent="0.25">
      <c r="H3725" t="s">
        <v>6074</v>
      </c>
    </row>
    <row r="3727" spans="8:8" x14ac:dyDescent="0.25">
      <c r="H3727" t="s">
        <v>6075</v>
      </c>
    </row>
    <row r="3728" spans="8:8" x14ac:dyDescent="0.25">
      <c r="H3728" t="s">
        <v>6076</v>
      </c>
    </row>
    <row r="3729" spans="8:8" x14ac:dyDescent="0.25">
      <c r="H3729" t="s">
        <v>149</v>
      </c>
    </row>
    <row r="3730" spans="8:8" x14ac:dyDescent="0.25">
      <c r="H3730" t="s">
        <v>6077</v>
      </c>
    </row>
    <row r="3732" spans="8:8" x14ac:dyDescent="0.25">
      <c r="H3732" t="s">
        <v>6078</v>
      </c>
    </row>
    <row r="3733" spans="8:8" x14ac:dyDescent="0.25">
      <c r="H3733" t="s">
        <v>6079</v>
      </c>
    </row>
    <row r="3734" spans="8:8" x14ac:dyDescent="0.25">
      <c r="H3734" t="s">
        <v>149</v>
      </c>
    </row>
    <row r="3735" spans="8:8" x14ac:dyDescent="0.25">
      <c r="H3735" t="s">
        <v>6080</v>
      </c>
    </row>
    <row r="3737" spans="8:8" x14ac:dyDescent="0.25">
      <c r="H3737" t="s">
        <v>6081</v>
      </c>
    </row>
    <row r="3738" spans="8:8" x14ac:dyDescent="0.25">
      <c r="H3738" t="s">
        <v>6082</v>
      </c>
    </row>
    <row r="3739" spans="8:8" x14ac:dyDescent="0.25">
      <c r="H3739" t="s">
        <v>149</v>
      </c>
    </row>
    <row r="3740" spans="8:8" x14ac:dyDescent="0.25">
      <c r="H3740" t="s">
        <v>6083</v>
      </c>
    </row>
    <row r="3742" spans="8:8" x14ac:dyDescent="0.25">
      <c r="H3742" t="s">
        <v>6084</v>
      </c>
    </row>
    <row r="3743" spans="8:8" x14ac:dyDescent="0.25">
      <c r="H3743" t="s">
        <v>6085</v>
      </c>
    </row>
    <row r="3744" spans="8:8" x14ac:dyDescent="0.25">
      <c r="H3744" t="s">
        <v>149</v>
      </c>
    </row>
    <row r="3745" spans="8:8" x14ac:dyDescent="0.25">
      <c r="H3745" t="s">
        <v>6086</v>
      </c>
    </row>
    <row r="3747" spans="8:8" x14ac:dyDescent="0.25">
      <c r="H3747" t="s">
        <v>6087</v>
      </c>
    </row>
    <row r="3748" spans="8:8" x14ac:dyDescent="0.25">
      <c r="H3748" t="s">
        <v>6088</v>
      </c>
    </row>
    <row r="3749" spans="8:8" x14ac:dyDescent="0.25">
      <c r="H3749" t="s">
        <v>149</v>
      </c>
    </row>
    <row r="3750" spans="8:8" x14ac:dyDescent="0.25">
      <c r="H3750" t="s">
        <v>6089</v>
      </c>
    </row>
    <row r="3752" spans="8:8" x14ac:dyDescent="0.25">
      <c r="H3752" t="s">
        <v>6090</v>
      </c>
    </row>
    <row r="3753" spans="8:8" x14ac:dyDescent="0.25">
      <c r="H3753" t="s">
        <v>6091</v>
      </c>
    </row>
    <row r="3754" spans="8:8" x14ac:dyDescent="0.25">
      <c r="H3754" t="s">
        <v>149</v>
      </c>
    </row>
    <row r="3755" spans="8:8" x14ac:dyDescent="0.25">
      <c r="H3755" t="s">
        <v>6092</v>
      </c>
    </row>
    <row r="3757" spans="8:8" x14ac:dyDescent="0.25">
      <c r="H3757" t="s">
        <v>6093</v>
      </c>
    </row>
    <row r="3758" spans="8:8" x14ac:dyDescent="0.25">
      <c r="H3758" t="s">
        <v>6094</v>
      </c>
    </row>
    <row r="3759" spans="8:8" x14ac:dyDescent="0.25">
      <c r="H3759" t="s">
        <v>149</v>
      </c>
    </row>
    <row r="3760" spans="8:8" x14ac:dyDescent="0.25">
      <c r="H3760" t="s">
        <v>6095</v>
      </c>
    </row>
    <row r="3762" spans="8:8" x14ac:dyDescent="0.25">
      <c r="H3762" t="s">
        <v>6096</v>
      </c>
    </row>
    <row r="3763" spans="8:8" x14ac:dyDescent="0.25">
      <c r="H3763" t="s">
        <v>6097</v>
      </c>
    </row>
    <row r="3764" spans="8:8" x14ac:dyDescent="0.25">
      <c r="H3764" t="s">
        <v>149</v>
      </c>
    </row>
    <row r="3765" spans="8:8" x14ac:dyDescent="0.25">
      <c r="H3765" t="s">
        <v>6098</v>
      </c>
    </row>
    <row r="3767" spans="8:8" x14ac:dyDescent="0.25">
      <c r="H3767" t="s">
        <v>6099</v>
      </c>
    </row>
    <row r="3768" spans="8:8" x14ac:dyDescent="0.25">
      <c r="H3768" t="s">
        <v>6100</v>
      </c>
    </row>
    <row r="3769" spans="8:8" x14ac:dyDescent="0.25">
      <c r="H3769" t="s">
        <v>149</v>
      </c>
    </row>
    <row r="3770" spans="8:8" x14ac:dyDescent="0.25">
      <c r="H3770" t="s">
        <v>6101</v>
      </c>
    </row>
    <row r="3772" spans="8:8" x14ac:dyDescent="0.25">
      <c r="H3772" t="s">
        <v>6102</v>
      </c>
    </row>
    <row r="3773" spans="8:8" x14ac:dyDescent="0.25">
      <c r="H3773" t="s">
        <v>6103</v>
      </c>
    </row>
    <row r="3774" spans="8:8" x14ac:dyDescent="0.25">
      <c r="H3774" t="s">
        <v>149</v>
      </c>
    </row>
    <row r="3775" spans="8:8" x14ac:dyDescent="0.25">
      <c r="H3775" t="s">
        <v>6104</v>
      </c>
    </row>
    <row r="3777" spans="8:8" x14ac:dyDescent="0.25">
      <c r="H3777" t="s">
        <v>6105</v>
      </c>
    </row>
    <row r="3778" spans="8:8" x14ac:dyDescent="0.25">
      <c r="H3778" t="s">
        <v>6106</v>
      </c>
    </row>
    <row r="3779" spans="8:8" x14ac:dyDescent="0.25">
      <c r="H3779" t="s">
        <v>149</v>
      </c>
    </row>
    <row r="3780" spans="8:8" x14ac:dyDescent="0.25">
      <c r="H3780" t="s">
        <v>6107</v>
      </c>
    </row>
    <row r="3782" spans="8:8" x14ac:dyDescent="0.25">
      <c r="H3782" t="s">
        <v>6108</v>
      </c>
    </row>
    <row r="3783" spans="8:8" x14ac:dyDescent="0.25">
      <c r="H3783" t="s">
        <v>6109</v>
      </c>
    </row>
    <row r="3784" spans="8:8" x14ac:dyDescent="0.25">
      <c r="H3784" t="s">
        <v>149</v>
      </c>
    </row>
    <row r="3785" spans="8:8" x14ac:dyDescent="0.25">
      <c r="H3785" t="s">
        <v>6110</v>
      </c>
    </row>
    <row r="3787" spans="8:8" x14ac:dyDescent="0.25">
      <c r="H3787" t="s">
        <v>6111</v>
      </c>
    </row>
    <row r="3788" spans="8:8" x14ac:dyDescent="0.25">
      <c r="H3788" t="s">
        <v>6112</v>
      </c>
    </row>
    <row r="3789" spans="8:8" x14ac:dyDescent="0.25">
      <c r="H3789" t="s">
        <v>149</v>
      </c>
    </row>
    <row r="3790" spans="8:8" x14ac:dyDescent="0.25">
      <c r="H3790" t="s">
        <v>6113</v>
      </c>
    </row>
    <row r="3792" spans="8:8" x14ac:dyDescent="0.25">
      <c r="H3792" t="s">
        <v>6114</v>
      </c>
    </row>
    <row r="3793" spans="8:8" x14ac:dyDescent="0.25">
      <c r="H3793" t="s">
        <v>6115</v>
      </c>
    </row>
    <row r="3794" spans="8:8" x14ac:dyDescent="0.25">
      <c r="H3794" t="s">
        <v>149</v>
      </c>
    </row>
    <row r="3795" spans="8:8" x14ac:dyDescent="0.25">
      <c r="H3795" t="s">
        <v>6116</v>
      </c>
    </row>
    <row r="3797" spans="8:8" x14ac:dyDescent="0.25">
      <c r="H3797" t="s">
        <v>6117</v>
      </c>
    </row>
    <row r="3798" spans="8:8" x14ac:dyDescent="0.25">
      <c r="H3798" t="s">
        <v>6118</v>
      </c>
    </row>
    <row r="3799" spans="8:8" x14ac:dyDescent="0.25">
      <c r="H3799" t="s">
        <v>149</v>
      </c>
    </row>
    <row r="3800" spans="8:8" x14ac:dyDescent="0.25">
      <c r="H3800" t="s">
        <v>6119</v>
      </c>
    </row>
    <row r="3802" spans="8:8" x14ac:dyDescent="0.25">
      <c r="H3802" t="s">
        <v>6120</v>
      </c>
    </row>
    <row r="3803" spans="8:8" x14ac:dyDescent="0.25">
      <c r="H3803" t="s">
        <v>6121</v>
      </c>
    </row>
    <row r="3804" spans="8:8" x14ac:dyDescent="0.25">
      <c r="H3804" t="s">
        <v>149</v>
      </c>
    </row>
    <row r="3805" spans="8:8" x14ac:dyDescent="0.25">
      <c r="H3805" t="s">
        <v>6122</v>
      </c>
    </row>
    <row r="3807" spans="8:8" x14ac:dyDescent="0.25">
      <c r="H3807" t="s">
        <v>6123</v>
      </c>
    </row>
    <row r="3808" spans="8:8" x14ac:dyDescent="0.25">
      <c r="H3808" t="s">
        <v>6124</v>
      </c>
    </row>
    <row r="3809" spans="8:8" x14ac:dyDescent="0.25">
      <c r="H3809" t="s">
        <v>149</v>
      </c>
    </row>
    <row r="3810" spans="8:8" x14ac:dyDescent="0.25">
      <c r="H3810" t="s">
        <v>6125</v>
      </c>
    </row>
    <row r="3812" spans="8:8" x14ac:dyDescent="0.25">
      <c r="H3812" t="s">
        <v>6126</v>
      </c>
    </row>
    <row r="3813" spans="8:8" x14ac:dyDescent="0.25">
      <c r="H3813" t="s">
        <v>6127</v>
      </c>
    </row>
    <row r="3814" spans="8:8" x14ac:dyDescent="0.25">
      <c r="H3814" t="s">
        <v>149</v>
      </c>
    </row>
    <row r="3815" spans="8:8" x14ac:dyDescent="0.25">
      <c r="H3815" t="s">
        <v>6128</v>
      </c>
    </row>
    <row r="3817" spans="8:8" x14ac:dyDescent="0.25">
      <c r="H3817" t="s">
        <v>6129</v>
      </c>
    </row>
    <row r="3818" spans="8:8" x14ac:dyDescent="0.25">
      <c r="H3818" t="s">
        <v>6130</v>
      </c>
    </row>
    <row r="3819" spans="8:8" x14ac:dyDescent="0.25">
      <c r="H3819" t="s">
        <v>149</v>
      </c>
    </row>
    <row r="3820" spans="8:8" x14ac:dyDescent="0.25">
      <c r="H3820" t="s">
        <v>6131</v>
      </c>
    </row>
    <row r="3822" spans="8:8" x14ac:dyDescent="0.25">
      <c r="H3822" t="s">
        <v>6132</v>
      </c>
    </row>
    <row r="3823" spans="8:8" x14ac:dyDescent="0.25">
      <c r="H3823" t="s">
        <v>6133</v>
      </c>
    </row>
    <row r="3824" spans="8:8" x14ac:dyDescent="0.25">
      <c r="H3824" t="s">
        <v>149</v>
      </c>
    </row>
    <row r="3825" spans="8:8" x14ac:dyDescent="0.25">
      <c r="H3825" t="s">
        <v>6134</v>
      </c>
    </row>
    <row r="3827" spans="8:8" x14ac:dyDescent="0.25">
      <c r="H3827" t="s">
        <v>6135</v>
      </c>
    </row>
    <row r="3828" spans="8:8" x14ac:dyDescent="0.25">
      <c r="H3828" t="s">
        <v>6136</v>
      </c>
    </row>
    <row r="3829" spans="8:8" x14ac:dyDescent="0.25">
      <c r="H3829" t="s">
        <v>149</v>
      </c>
    </row>
    <row r="3830" spans="8:8" x14ac:dyDescent="0.25">
      <c r="H3830" t="s">
        <v>6137</v>
      </c>
    </row>
    <row r="3832" spans="8:8" x14ac:dyDescent="0.25">
      <c r="H3832" t="s">
        <v>6138</v>
      </c>
    </row>
    <row r="3833" spans="8:8" x14ac:dyDescent="0.25">
      <c r="H3833" t="s">
        <v>6139</v>
      </c>
    </row>
    <row r="3834" spans="8:8" x14ac:dyDescent="0.25">
      <c r="H3834" t="s">
        <v>149</v>
      </c>
    </row>
    <row r="3835" spans="8:8" x14ac:dyDescent="0.25">
      <c r="H3835" t="s">
        <v>6140</v>
      </c>
    </row>
    <row r="3837" spans="8:8" x14ac:dyDescent="0.25">
      <c r="H3837" t="s">
        <v>6141</v>
      </c>
    </row>
    <row r="3838" spans="8:8" x14ac:dyDescent="0.25">
      <c r="H3838" t="s">
        <v>6142</v>
      </c>
    </row>
    <row r="3839" spans="8:8" x14ac:dyDescent="0.25">
      <c r="H3839" t="s">
        <v>149</v>
      </c>
    </row>
    <row r="3840" spans="8:8" x14ac:dyDescent="0.25">
      <c r="H3840" t="s">
        <v>6143</v>
      </c>
    </row>
    <row r="3842" spans="8:8" x14ac:dyDescent="0.25">
      <c r="H3842" t="s">
        <v>6144</v>
      </c>
    </row>
    <row r="3843" spans="8:8" x14ac:dyDescent="0.25">
      <c r="H3843" t="s">
        <v>6145</v>
      </c>
    </row>
    <row r="3844" spans="8:8" x14ac:dyDescent="0.25">
      <c r="H3844" t="s">
        <v>149</v>
      </c>
    </row>
    <row r="3845" spans="8:8" x14ac:dyDescent="0.25">
      <c r="H3845" t="s">
        <v>6146</v>
      </c>
    </row>
    <row r="3847" spans="8:8" x14ac:dyDescent="0.25">
      <c r="H3847" t="s">
        <v>6147</v>
      </c>
    </row>
    <row r="3848" spans="8:8" x14ac:dyDescent="0.25">
      <c r="H3848" t="s">
        <v>6148</v>
      </c>
    </row>
    <row r="3849" spans="8:8" x14ac:dyDescent="0.25">
      <c r="H3849" t="s">
        <v>149</v>
      </c>
    </row>
    <row r="3850" spans="8:8" x14ac:dyDescent="0.25">
      <c r="H3850" t="s">
        <v>6149</v>
      </c>
    </row>
    <row r="3852" spans="8:8" x14ac:dyDescent="0.25">
      <c r="H3852" t="s">
        <v>6150</v>
      </c>
    </row>
    <row r="3853" spans="8:8" x14ac:dyDescent="0.25">
      <c r="H3853" t="s">
        <v>6151</v>
      </c>
    </row>
    <row r="3854" spans="8:8" x14ac:dyDescent="0.25">
      <c r="H3854" t="s">
        <v>149</v>
      </c>
    </row>
    <row r="3855" spans="8:8" x14ac:dyDescent="0.25">
      <c r="H3855" t="s">
        <v>6152</v>
      </c>
    </row>
    <row r="3857" spans="8:8" x14ac:dyDescent="0.25">
      <c r="H3857" t="s">
        <v>6153</v>
      </c>
    </row>
    <row r="3858" spans="8:8" x14ac:dyDescent="0.25">
      <c r="H3858" t="s">
        <v>6154</v>
      </c>
    </row>
    <row r="3859" spans="8:8" x14ac:dyDescent="0.25">
      <c r="H3859" t="s">
        <v>149</v>
      </c>
    </row>
    <row r="3860" spans="8:8" x14ac:dyDescent="0.25">
      <c r="H3860" t="s">
        <v>6155</v>
      </c>
    </row>
    <row r="3862" spans="8:8" x14ac:dyDescent="0.25">
      <c r="H3862" t="s">
        <v>6156</v>
      </c>
    </row>
    <row r="3863" spans="8:8" x14ac:dyDescent="0.25">
      <c r="H3863" t="s">
        <v>6157</v>
      </c>
    </row>
    <row r="3864" spans="8:8" x14ac:dyDescent="0.25">
      <c r="H3864" t="s">
        <v>149</v>
      </c>
    </row>
    <row r="3865" spans="8:8" x14ac:dyDescent="0.25">
      <c r="H3865" t="s">
        <v>6158</v>
      </c>
    </row>
    <row r="3867" spans="8:8" x14ac:dyDescent="0.25">
      <c r="H3867" t="s">
        <v>6159</v>
      </c>
    </row>
    <row r="3868" spans="8:8" x14ac:dyDescent="0.25">
      <c r="H3868" t="s">
        <v>6160</v>
      </c>
    </row>
    <row r="3869" spans="8:8" x14ac:dyDescent="0.25">
      <c r="H3869" t="s">
        <v>149</v>
      </c>
    </row>
    <row r="3870" spans="8:8" x14ac:dyDescent="0.25">
      <c r="H3870" t="s">
        <v>6161</v>
      </c>
    </row>
    <row r="3872" spans="8:8" x14ac:dyDescent="0.25">
      <c r="H3872" t="s">
        <v>6162</v>
      </c>
    </row>
    <row r="3873" spans="8:8" x14ac:dyDescent="0.25">
      <c r="H3873" t="s">
        <v>6163</v>
      </c>
    </row>
    <row r="3874" spans="8:8" x14ac:dyDescent="0.25">
      <c r="H3874" t="s">
        <v>149</v>
      </c>
    </row>
    <row r="3875" spans="8:8" x14ac:dyDescent="0.25">
      <c r="H3875" t="s">
        <v>6164</v>
      </c>
    </row>
    <row r="3877" spans="8:8" x14ac:dyDescent="0.25">
      <c r="H3877" t="s">
        <v>6165</v>
      </c>
    </row>
    <row r="3878" spans="8:8" x14ac:dyDescent="0.25">
      <c r="H3878" t="s">
        <v>6166</v>
      </c>
    </row>
    <row r="3879" spans="8:8" x14ac:dyDescent="0.25">
      <c r="H3879" t="s">
        <v>149</v>
      </c>
    </row>
    <row r="3880" spans="8:8" x14ac:dyDescent="0.25">
      <c r="H3880" t="s">
        <v>6167</v>
      </c>
    </row>
    <row r="3882" spans="8:8" x14ac:dyDescent="0.25">
      <c r="H3882" t="s">
        <v>6168</v>
      </c>
    </row>
    <row r="3883" spans="8:8" x14ac:dyDescent="0.25">
      <c r="H3883" t="s">
        <v>6169</v>
      </c>
    </row>
    <row r="3884" spans="8:8" x14ac:dyDescent="0.25">
      <c r="H3884" t="s">
        <v>149</v>
      </c>
    </row>
    <row r="3885" spans="8:8" x14ac:dyDescent="0.25">
      <c r="H3885" t="s">
        <v>6170</v>
      </c>
    </row>
    <row r="3887" spans="8:8" x14ac:dyDescent="0.25">
      <c r="H3887" t="s">
        <v>6171</v>
      </c>
    </row>
    <row r="3888" spans="8:8" x14ac:dyDescent="0.25">
      <c r="H3888" t="s">
        <v>6172</v>
      </c>
    </row>
    <row r="3889" spans="8:8" x14ac:dyDescent="0.25">
      <c r="H3889" t="s">
        <v>149</v>
      </c>
    </row>
    <row r="3890" spans="8:8" x14ac:dyDescent="0.25">
      <c r="H3890" t="s">
        <v>6173</v>
      </c>
    </row>
    <row r="3892" spans="8:8" x14ac:dyDescent="0.25">
      <c r="H3892" t="s">
        <v>6174</v>
      </c>
    </row>
    <row r="3893" spans="8:8" x14ac:dyDescent="0.25">
      <c r="H3893" t="s">
        <v>6175</v>
      </c>
    </row>
    <row r="3894" spans="8:8" x14ac:dyDescent="0.25">
      <c r="H3894" t="s">
        <v>149</v>
      </c>
    </row>
    <row r="3895" spans="8:8" x14ac:dyDescent="0.25">
      <c r="H3895" t="s">
        <v>6176</v>
      </c>
    </row>
    <row r="3897" spans="8:8" x14ac:dyDescent="0.25">
      <c r="H3897" t="s">
        <v>6177</v>
      </c>
    </row>
    <row r="3898" spans="8:8" x14ac:dyDescent="0.25">
      <c r="H3898" t="s">
        <v>6178</v>
      </c>
    </row>
    <row r="3899" spans="8:8" x14ac:dyDescent="0.25">
      <c r="H3899" t="s">
        <v>149</v>
      </c>
    </row>
    <row r="3900" spans="8:8" x14ac:dyDescent="0.25">
      <c r="H3900" t="s">
        <v>6179</v>
      </c>
    </row>
    <row r="3902" spans="8:8" x14ac:dyDescent="0.25">
      <c r="H3902" t="s">
        <v>6180</v>
      </c>
    </row>
    <row r="3903" spans="8:8" x14ac:dyDescent="0.25">
      <c r="H3903" t="s">
        <v>6181</v>
      </c>
    </row>
    <row r="3904" spans="8:8" x14ac:dyDescent="0.25">
      <c r="H3904" t="s">
        <v>149</v>
      </c>
    </row>
    <row r="3905" spans="8:8" x14ac:dyDescent="0.25">
      <c r="H3905" t="s">
        <v>6182</v>
      </c>
    </row>
    <row r="3907" spans="8:8" x14ac:dyDescent="0.25">
      <c r="H3907" t="s">
        <v>6183</v>
      </c>
    </row>
    <row r="3908" spans="8:8" x14ac:dyDescent="0.25">
      <c r="H3908" t="s">
        <v>6184</v>
      </c>
    </row>
    <row r="3909" spans="8:8" x14ac:dyDescent="0.25">
      <c r="H3909" t="s">
        <v>149</v>
      </c>
    </row>
    <row r="3910" spans="8:8" x14ac:dyDescent="0.25">
      <c r="H3910" t="s">
        <v>6185</v>
      </c>
    </row>
    <row r="3912" spans="8:8" x14ac:dyDescent="0.25">
      <c r="H3912" t="s">
        <v>6186</v>
      </c>
    </row>
    <row r="3913" spans="8:8" x14ac:dyDescent="0.25">
      <c r="H3913" t="s">
        <v>6187</v>
      </c>
    </row>
    <row r="3914" spans="8:8" x14ac:dyDescent="0.25">
      <c r="H3914" t="s">
        <v>149</v>
      </c>
    </row>
    <row r="3915" spans="8:8" x14ac:dyDescent="0.25">
      <c r="H3915" t="s">
        <v>6188</v>
      </c>
    </row>
    <row r="3917" spans="8:8" x14ac:dyDescent="0.25">
      <c r="H3917" t="s">
        <v>6189</v>
      </c>
    </row>
    <row r="3918" spans="8:8" x14ac:dyDescent="0.25">
      <c r="H3918" t="s">
        <v>6190</v>
      </c>
    </row>
    <row r="3919" spans="8:8" x14ac:dyDescent="0.25">
      <c r="H3919" t="s">
        <v>149</v>
      </c>
    </row>
    <row r="3920" spans="8:8" x14ac:dyDescent="0.25">
      <c r="H3920" t="s">
        <v>6191</v>
      </c>
    </row>
    <row r="3922" spans="8:8" x14ac:dyDescent="0.25">
      <c r="H3922" t="s">
        <v>6192</v>
      </c>
    </row>
    <row r="3923" spans="8:8" x14ac:dyDescent="0.25">
      <c r="H3923" t="s">
        <v>6193</v>
      </c>
    </row>
    <row r="3924" spans="8:8" x14ac:dyDescent="0.25">
      <c r="H3924" t="s">
        <v>149</v>
      </c>
    </row>
    <row r="3925" spans="8:8" x14ac:dyDescent="0.25">
      <c r="H3925" t="s">
        <v>6194</v>
      </c>
    </row>
    <row r="3927" spans="8:8" x14ac:dyDescent="0.25">
      <c r="H3927" t="s">
        <v>6195</v>
      </c>
    </row>
    <row r="3928" spans="8:8" x14ac:dyDescent="0.25">
      <c r="H3928" t="s">
        <v>6196</v>
      </c>
    </row>
    <row r="3929" spans="8:8" x14ac:dyDescent="0.25">
      <c r="H3929" t="s">
        <v>149</v>
      </c>
    </row>
    <row r="3930" spans="8:8" x14ac:dyDescent="0.25">
      <c r="H3930" t="s">
        <v>6197</v>
      </c>
    </row>
    <row r="3932" spans="8:8" x14ac:dyDescent="0.25">
      <c r="H3932" t="s">
        <v>6198</v>
      </c>
    </row>
    <row r="3933" spans="8:8" x14ac:dyDescent="0.25">
      <c r="H3933" t="s">
        <v>6199</v>
      </c>
    </row>
    <row r="3934" spans="8:8" x14ac:dyDescent="0.25">
      <c r="H3934" t="s">
        <v>149</v>
      </c>
    </row>
    <row r="3935" spans="8:8" x14ac:dyDescent="0.25">
      <c r="H3935" t="s">
        <v>6200</v>
      </c>
    </row>
    <row r="3937" spans="8:8" x14ac:dyDescent="0.25">
      <c r="H3937" t="s">
        <v>6201</v>
      </c>
    </row>
    <row r="3938" spans="8:8" x14ac:dyDescent="0.25">
      <c r="H3938" t="s">
        <v>6202</v>
      </c>
    </row>
    <row r="3939" spans="8:8" x14ac:dyDescent="0.25">
      <c r="H3939" t="s">
        <v>149</v>
      </c>
    </row>
    <row r="3940" spans="8:8" x14ac:dyDescent="0.25">
      <c r="H3940" t="s">
        <v>6203</v>
      </c>
    </row>
    <row r="3942" spans="8:8" x14ac:dyDescent="0.25">
      <c r="H3942" t="s">
        <v>6204</v>
      </c>
    </row>
    <row r="3943" spans="8:8" x14ac:dyDescent="0.25">
      <c r="H3943" t="s">
        <v>6205</v>
      </c>
    </row>
    <row r="3944" spans="8:8" x14ac:dyDescent="0.25">
      <c r="H3944" t="s">
        <v>149</v>
      </c>
    </row>
    <row r="3945" spans="8:8" x14ac:dyDescent="0.25">
      <c r="H3945" t="s">
        <v>6206</v>
      </c>
    </row>
    <row r="3947" spans="8:8" x14ac:dyDescent="0.25">
      <c r="H3947" t="s">
        <v>6207</v>
      </c>
    </row>
    <row r="3948" spans="8:8" x14ac:dyDescent="0.25">
      <c r="H3948" t="s">
        <v>6208</v>
      </c>
    </row>
    <row r="3949" spans="8:8" x14ac:dyDescent="0.25">
      <c r="H3949" t="s">
        <v>149</v>
      </c>
    </row>
    <row r="3950" spans="8:8" x14ac:dyDescent="0.25">
      <c r="H3950" t="s">
        <v>6209</v>
      </c>
    </row>
    <row r="3952" spans="8:8" x14ac:dyDescent="0.25">
      <c r="H3952" t="s">
        <v>6210</v>
      </c>
    </row>
    <row r="3953" spans="8:8" x14ac:dyDescent="0.25">
      <c r="H3953" t="s">
        <v>6211</v>
      </c>
    </row>
    <row r="3954" spans="8:8" x14ac:dyDescent="0.25">
      <c r="H3954" t="s">
        <v>149</v>
      </c>
    </row>
    <row r="3955" spans="8:8" x14ac:dyDescent="0.25">
      <c r="H3955" t="s">
        <v>6212</v>
      </c>
    </row>
    <row r="3957" spans="8:8" x14ac:dyDescent="0.25">
      <c r="H3957" t="s">
        <v>6213</v>
      </c>
    </row>
    <row r="3958" spans="8:8" x14ac:dyDescent="0.25">
      <c r="H3958" t="s">
        <v>6214</v>
      </c>
    </row>
    <row r="3959" spans="8:8" x14ac:dyDescent="0.25">
      <c r="H3959" t="s">
        <v>149</v>
      </c>
    </row>
    <row r="3960" spans="8:8" x14ac:dyDescent="0.25">
      <c r="H3960" t="s">
        <v>6215</v>
      </c>
    </row>
    <row r="3962" spans="8:8" x14ac:dyDescent="0.25">
      <c r="H3962" t="s">
        <v>6216</v>
      </c>
    </row>
    <row r="3963" spans="8:8" x14ac:dyDescent="0.25">
      <c r="H3963" t="s">
        <v>6217</v>
      </c>
    </row>
    <row r="3964" spans="8:8" x14ac:dyDescent="0.25">
      <c r="H3964" t="s">
        <v>149</v>
      </c>
    </row>
    <row r="3965" spans="8:8" x14ac:dyDescent="0.25">
      <c r="H3965" t="s">
        <v>6218</v>
      </c>
    </row>
    <row r="3967" spans="8:8" x14ac:dyDescent="0.25">
      <c r="H3967" t="s">
        <v>6219</v>
      </c>
    </row>
    <row r="3968" spans="8:8" x14ac:dyDescent="0.25">
      <c r="H3968" t="s">
        <v>6220</v>
      </c>
    </row>
    <row r="3969" spans="8:8" x14ac:dyDescent="0.25">
      <c r="H3969" t="s">
        <v>149</v>
      </c>
    </row>
    <row r="3970" spans="8:8" x14ac:dyDescent="0.25">
      <c r="H3970" t="s">
        <v>6221</v>
      </c>
    </row>
    <row r="3972" spans="8:8" x14ac:dyDescent="0.25">
      <c r="H3972" t="s">
        <v>6222</v>
      </c>
    </row>
    <row r="3973" spans="8:8" x14ac:dyDescent="0.25">
      <c r="H3973" t="s">
        <v>6223</v>
      </c>
    </row>
    <row r="3974" spans="8:8" x14ac:dyDescent="0.25">
      <c r="H3974" t="s">
        <v>149</v>
      </c>
    </row>
    <row r="3975" spans="8:8" x14ac:dyDescent="0.25">
      <c r="H3975" t="s">
        <v>6224</v>
      </c>
    </row>
    <row r="3977" spans="8:8" x14ac:dyDescent="0.25">
      <c r="H3977" t="s">
        <v>6225</v>
      </c>
    </row>
    <row r="3978" spans="8:8" x14ac:dyDescent="0.25">
      <c r="H3978" t="s">
        <v>6226</v>
      </c>
    </row>
    <row r="3979" spans="8:8" x14ac:dyDescent="0.25">
      <c r="H3979" t="s">
        <v>149</v>
      </c>
    </row>
    <row r="3980" spans="8:8" x14ac:dyDescent="0.25">
      <c r="H3980" t="s">
        <v>6227</v>
      </c>
    </row>
    <row r="3982" spans="8:8" x14ac:dyDescent="0.25">
      <c r="H3982" t="s">
        <v>6228</v>
      </c>
    </row>
    <row r="3983" spans="8:8" x14ac:dyDescent="0.25">
      <c r="H3983" t="s">
        <v>6229</v>
      </c>
    </row>
    <row r="3984" spans="8:8" x14ac:dyDescent="0.25">
      <c r="H3984" t="s">
        <v>149</v>
      </c>
    </row>
    <row r="3985" spans="8:8" x14ac:dyDescent="0.25">
      <c r="H3985" t="s">
        <v>6230</v>
      </c>
    </row>
    <row r="3987" spans="8:8" x14ac:dyDescent="0.25">
      <c r="H3987" t="s">
        <v>6231</v>
      </c>
    </row>
    <row r="3988" spans="8:8" x14ac:dyDescent="0.25">
      <c r="H3988" t="s">
        <v>6232</v>
      </c>
    </row>
    <row r="3989" spans="8:8" x14ac:dyDescent="0.25">
      <c r="H3989" t="s">
        <v>149</v>
      </c>
    </row>
    <row r="3990" spans="8:8" x14ac:dyDescent="0.25">
      <c r="H3990" t="s">
        <v>6233</v>
      </c>
    </row>
    <row r="3992" spans="8:8" x14ac:dyDescent="0.25">
      <c r="H3992" t="s">
        <v>6234</v>
      </c>
    </row>
    <row r="3993" spans="8:8" x14ac:dyDescent="0.25">
      <c r="H3993" t="s">
        <v>6235</v>
      </c>
    </row>
    <row r="3994" spans="8:8" x14ac:dyDescent="0.25">
      <c r="H3994" t="s">
        <v>149</v>
      </c>
    </row>
    <row r="3995" spans="8:8" x14ac:dyDescent="0.25">
      <c r="H3995" t="s">
        <v>6236</v>
      </c>
    </row>
    <row r="3997" spans="8:8" x14ac:dyDescent="0.25">
      <c r="H3997" t="s">
        <v>6237</v>
      </c>
    </row>
    <row r="3998" spans="8:8" x14ac:dyDescent="0.25">
      <c r="H3998" t="s">
        <v>6238</v>
      </c>
    </row>
    <row r="3999" spans="8:8" x14ac:dyDescent="0.25">
      <c r="H3999" t="s">
        <v>149</v>
      </c>
    </row>
    <row r="4000" spans="8:8" x14ac:dyDescent="0.25">
      <c r="H4000" t="s">
        <v>6239</v>
      </c>
    </row>
    <row r="4002" spans="8:8" x14ac:dyDescent="0.25">
      <c r="H4002" t="s">
        <v>6240</v>
      </c>
    </row>
    <row r="4003" spans="8:8" x14ac:dyDescent="0.25">
      <c r="H4003" t="s">
        <v>6241</v>
      </c>
    </row>
    <row r="4004" spans="8:8" x14ac:dyDescent="0.25">
      <c r="H4004" t="s">
        <v>149</v>
      </c>
    </row>
    <row r="4005" spans="8:8" x14ac:dyDescent="0.25">
      <c r="H4005" t="s">
        <v>6242</v>
      </c>
    </row>
    <row r="4007" spans="8:8" x14ac:dyDescent="0.25">
      <c r="H4007" t="s">
        <v>6243</v>
      </c>
    </row>
    <row r="4008" spans="8:8" x14ac:dyDescent="0.25">
      <c r="H4008" t="s">
        <v>6244</v>
      </c>
    </row>
    <row r="4009" spans="8:8" x14ac:dyDescent="0.25">
      <c r="H4009" t="s">
        <v>149</v>
      </c>
    </row>
    <row r="4010" spans="8:8" x14ac:dyDescent="0.25">
      <c r="H4010" t="s">
        <v>6245</v>
      </c>
    </row>
    <row r="4012" spans="8:8" x14ac:dyDescent="0.25">
      <c r="H4012" t="s">
        <v>6246</v>
      </c>
    </row>
    <row r="4013" spans="8:8" x14ac:dyDescent="0.25">
      <c r="H4013" t="s">
        <v>6247</v>
      </c>
    </row>
    <row r="4014" spans="8:8" x14ac:dyDescent="0.25">
      <c r="H4014" t="s">
        <v>149</v>
      </c>
    </row>
    <row r="4015" spans="8:8" x14ac:dyDescent="0.25">
      <c r="H4015" t="s">
        <v>6248</v>
      </c>
    </row>
    <row r="4017" spans="8:8" x14ac:dyDescent="0.25">
      <c r="H4017" t="s">
        <v>6249</v>
      </c>
    </row>
    <row r="4018" spans="8:8" x14ac:dyDescent="0.25">
      <c r="H4018" t="s">
        <v>6250</v>
      </c>
    </row>
    <row r="4019" spans="8:8" x14ac:dyDescent="0.25">
      <c r="H4019" t="s">
        <v>149</v>
      </c>
    </row>
    <row r="4020" spans="8:8" x14ac:dyDescent="0.25">
      <c r="H4020" t="s">
        <v>6251</v>
      </c>
    </row>
    <row r="4022" spans="8:8" x14ac:dyDescent="0.25">
      <c r="H4022" t="s">
        <v>6252</v>
      </c>
    </row>
    <row r="4023" spans="8:8" x14ac:dyDescent="0.25">
      <c r="H4023" t="s">
        <v>6253</v>
      </c>
    </row>
    <row r="4024" spans="8:8" x14ac:dyDescent="0.25">
      <c r="H4024" t="s">
        <v>149</v>
      </c>
    </row>
    <row r="4025" spans="8:8" x14ac:dyDescent="0.25">
      <c r="H4025" t="s">
        <v>6254</v>
      </c>
    </row>
    <row r="4027" spans="8:8" x14ac:dyDescent="0.25">
      <c r="H4027" t="s">
        <v>6255</v>
      </c>
    </row>
    <row r="4028" spans="8:8" x14ac:dyDescent="0.25">
      <c r="H4028" t="s">
        <v>6256</v>
      </c>
    </row>
    <row r="4029" spans="8:8" x14ac:dyDescent="0.25">
      <c r="H4029" t="s">
        <v>149</v>
      </c>
    </row>
    <row r="4030" spans="8:8" x14ac:dyDescent="0.25">
      <c r="H4030" t="s">
        <v>6257</v>
      </c>
    </row>
    <row r="4032" spans="8:8" x14ac:dyDescent="0.25">
      <c r="H4032" t="s">
        <v>6258</v>
      </c>
    </row>
    <row r="4033" spans="8:8" x14ac:dyDescent="0.25">
      <c r="H4033" t="s">
        <v>6259</v>
      </c>
    </row>
    <row r="4034" spans="8:8" x14ac:dyDescent="0.25">
      <c r="H4034" t="s">
        <v>149</v>
      </c>
    </row>
    <row r="4035" spans="8:8" x14ac:dyDescent="0.25">
      <c r="H4035" t="s">
        <v>6260</v>
      </c>
    </row>
    <row r="4037" spans="8:8" x14ac:dyDescent="0.25">
      <c r="H4037" t="s">
        <v>6261</v>
      </c>
    </row>
    <row r="4038" spans="8:8" x14ac:dyDescent="0.25">
      <c r="H4038" t="s">
        <v>6262</v>
      </c>
    </row>
    <row r="4039" spans="8:8" x14ac:dyDescent="0.25">
      <c r="H4039" t="s">
        <v>149</v>
      </c>
    </row>
    <row r="4040" spans="8:8" x14ac:dyDescent="0.25">
      <c r="H4040" t="s">
        <v>6263</v>
      </c>
    </row>
    <row r="4042" spans="8:8" x14ac:dyDescent="0.25">
      <c r="H4042" t="s">
        <v>6264</v>
      </c>
    </row>
    <row r="4043" spans="8:8" x14ac:dyDescent="0.25">
      <c r="H4043" t="s">
        <v>6265</v>
      </c>
    </row>
    <row r="4044" spans="8:8" x14ac:dyDescent="0.25">
      <c r="H4044" t="s">
        <v>149</v>
      </c>
    </row>
    <row r="4045" spans="8:8" x14ac:dyDescent="0.25">
      <c r="H4045" t="s">
        <v>6266</v>
      </c>
    </row>
    <row r="4047" spans="8:8" x14ac:dyDescent="0.25">
      <c r="H4047" t="s">
        <v>6267</v>
      </c>
    </row>
    <row r="4048" spans="8:8" x14ac:dyDescent="0.25">
      <c r="H4048" t="s">
        <v>6268</v>
      </c>
    </row>
    <row r="4049" spans="8:8" x14ac:dyDescent="0.25">
      <c r="H4049" t="s">
        <v>149</v>
      </c>
    </row>
    <row r="4050" spans="8:8" x14ac:dyDescent="0.25">
      <c r="H4050" t="s">
        <v>6269</v>
      </c>
    </row>
    <row r="4052" spans="8:8" x14ac:dyDescent="0.25">
      <c r="H4052" t="s">
        <v>6270</v>
      </c>
    </row>
    <row r="4053" spans="8:8" x14ac:dyDescent="0.25">
      <c r="H4053" t="s">
        <v>6271</v>
      </c>
    </row>
    <row r="4054" spans="8:8" x14ac:dyDescent="0.25">
      <c r="H4054" t="s">
        <v>149</v>
      </c>
    </row>
    <row r="4055" spans="8:8" x14ac:dyDescent="0.25">
      <c r="H4055" t="s">
        <v>6272</v>
      </c>
    </row>
    <row r="4057" spans="8:8" x14ac:dyDescent="0.25">
      <c r="H4057" t="s">
        <v>6273</v>
      </c>
    </row>
    <row r="4058" spans="8:8" x14ac:dyDescent="0.25">
      <c r="H4058" t="s">
        <v>6274</v>
      </c>
    </row>
    <row r="4059" spans="8:8" x14ac:dyDescent="0.25">
      <c r="H4059" t="s">
        <v>149</v>
      </c>
    </row>
    <row r="4060" spans="8:8" x14ac:dyDescent="0.25">
      <c r="H4060" t="s">
        <v>6275</v>
      </c>
    </row>
    <row r="4062" spans="8:8" x14ac:dyDescent="0.25">
      <c r="H4062" t="s">
        <v>6276</v>
      </c>
    </row>
    <row r="4063" spans="8:8" x14ac:dyDescent="0.25">
      <c r="H4063" t="s">
        <v>6277</v>
      </c>
    </row>
    <row r="4064" spans="8:8" x14ac:dyDescent="0.25">
      <c r="H4064" t="s">
        <v>149</v>
      </c>
    </row>
    <row r="4065" spans="8:8" x14ac:dyDescent="0.25">
      <c r="H4065" t="s">
        <v>6278</v>
      </c>
    </row>
    <row r="4067" spans="8:8" x14ac:dyDescent="0.25">
      <c r="H4067" t="s">
        <v>6279</v>
      </c>
    </row>
    <row r="4068" spans="8:8" x14ac:dyDescent="0.25">
      <c r="H4068" t="s">
        <v>6280</v>
      </c>
    </row>
    <row r="4069" spans="8:8" x14ac:dyDescent="0.25">
      <c r="H4069" t="s">
        <v>149</v>
      </c>
    </row>
    <row r="4070" spans="8:8" x14ac:dyDescent="0.25">
      <c r="H4070" t="s">
        <v>6281</v>
      </c>
    </row>
    <row r="4072" spans="8:8" x14ac:dyDescent="0.25">
      <c r="H4072" t="s">
        <v>6282</v>
      </c>
    </row>
    <row r="4073" spans="8:8" x14ac:dyDescent="0.25">
      <c r="H4073" t="s">
        <v>6283</v>
      </c>
    </row>
    <row r="4074" spans="8:8" x14ac:dyDescent="0.25">
      <c r="H4074" t="s">
        <v>149</v>
      </c>
    </row>
    <row r="4075" spans="8:8" x14ac:dyDescent="0.25">
      <c r="H4075" t="s">
        <v>6284</v>
      </c>
    </row>
    <row r="4077" spans="8:8" x14ac:dyDescent="0.25">
      <c r="H4077" t="s">
        <v>6285</v>
      </c>
    </row>
    <row r="4078" spans="8:8" x14ac:dyDescent="0.25">
      <c r="H4078" t="s">
        <v>6286</v>
      </c>
    </row>
    <row r="4079" spans="8:8" x14ac:dyDescent="0.25">
      <c r="H4079" t="s">
        <v>149</v>
      </c>
    </row>
    <row r="4080" spans="8:8" x14ac:dyDescent="0.25">
      <c r="H4080" t="s">
        <v>6287</v>
      </c>
    </row>
    <row r="4082" spans="8:8" x14ac:dyDescent="0.25">
      <c r="H4082" t="s">
        <v>6288</v>
      </c>
    </row>
    <row r="4083" spans="8:8" x14ac:dyDescent="0.25">
      <c r="H4083" t="s">
        <v>6289</v>
      </c>
    </row>
    <row r="4084" spans="8:8" x14ac:dyDescent="0.25">
      <c r="H4084" t="s">
        <v>149</v>
      </c>
    </row>
    <row r="4085" spans="8:8" x14ac:dyDescent="0.25">
      <c r="H4085" t="s">
        <v>6290</v>
      </c>
    </row>
    <row r="4087" spans="8:8" x14ac:dyDescent="0.25">
      <c r="H4087" t="s">
        <v>6291</v>
      </c>
    </row>
    <row r="4088" spans="8:8" x14ac:dyDescent="0.25">
      <c r="H4088" t="s">
        <v>6292</v>
      </c>
    </row>
    <row r="4089" spans="8:8" x14ac:dyDescent="0.25">
      <c r="H4089" t="s">
        <v>149</v>
      </c>
    </row>
    <row r="4090" spans="8:8" x14ac:dyDescent="0.25">
      <c r="H4090" t="s">
        <v>6293</v>
      </c>
    </row>
    <row r="4092" spans="8:8" x14ac:dyDescent="0.25">
      <c r="H4092" t="s">
        <v>6294</v>
      </c>
    </row>
    <row r="4093" spans="8:8" x14ac:dyDescent="0.25">
      <c r="H4093" t="s">
        <v>6295</v>
      </c>
    </row>
    <row r="4094" spans="8:8" x14ac:dyDescent="0.25">
      <c r="H4094" t="s">
        <v>149</v>
      </c>
    </row>
    <row r="4095" spans="8:8" x14ac:dyDescent="0.25">
      <c r="H4095" t="s">
        <v>6296</v>
      </c>
    </row>
    <row r="4097" spans="8:8" x14ac:dyDescent="0.25">
      <c r="H4097" t="s">
        <v>6297</v>
      </c>
    </row>
    <row r="4098" spans="8:8" x14ac:dyDescent="0.25">
      <c r="H4098" t="s">
        <v>6298</v>
      </c>
    </row>
    <row r="4099" spans="8:8" x14ac:dyDescent="0.25">
      <c r="H4099" t="s">
        <v>149</v>
      </c>
    </row>
    <row r="4100" spans="8:8" x14ac:dyDescent="0.25">
      <c r="H4100" t="s">
        <v>6299</v>
      </c>
    </row>
    <row r="4102" spans="8:8" x14ac:dyDescent="0.25">
      <c r="H4102" t="s">
        <v>6300</v>
      </c>
    </row>
    <row r="4103" spans="8:8" x14ac:dyDescent="0.25">
      <c r="H4103" t="s">
        <v>6301</v>
      </c>
    </row>
    <row r="4104" spans="8:8" x14ac:dyDescent="0.25">
      <c r="H4104" t="s">
        <v>149</v>
      </c>
    </row>
    <row r="4105" spans="8:8" x14ac:dyDescent="0.25">
      <c r="H4105" t="s">
        <v>6302</v>
      </c>
    </row>
    <row r="4107" spans="8:8" x14ac:dyDescent="0.25">
      <c r="H4107" t="s">
        <v>6303</v>
      </c>
    </row>
    <row r="4108" spans="8:8" x14ac:dyDescent="0.25">
      <c r="H4108" t="s">
        <v>6304</v>
      </c>
    </row>
    <row r="4109" spans="8:8" x14ac:dyDescent="0.25">
      <c r="H4109" t="s">
        <v>149</v>
      </c>
    </row>
    <row r="4110" spans="8:8" x14ac:dyDescent="0.25">
      <c r="H4110" t="s">
        <v>6305</v>
      </c>
    </row>
    <row r="4112" spans="8:8" x14ac:dyDescent="0.25">
      <c r="H4112" t="s">
        <v>6306</v>
      </c>
    </row>
    <row r="4113" spans="8:8" x14ac:dyDescent="0.25">
      <c r="H4113" t="s">
        <v>6307</v>
      </c>
    </row>
    <row r="4114" spans="8:8" x14ac:dyDescent="0.25">
      <c r="H4114" t="s">
        <v>149</v>
      </c>
    </row>
    <row r="4115" spans="8:8" x14ac:dyDescent="0.25">
      <c r="H4115" t="s">
        <v>6308</v>
      </c>
    </row>
    <row r="4117" spans="8:8" x14ac:dyDescent="0.25">
      <c r="H4117" t="s">
        <v>6309</v>
      </c>
    </row>
    <row r="4118" spans="8:8" x14ac:dyDescent="0.25">
      <c r="H4118" t="s">
        <v>6310</v>
      </c>
    </row>
    <row r="4119" spans="8:8" x14ac:dyDescent="0.25">
      <c r="H4119" t="s">
        <v>149</v>
      </c>
    </row>
    <row r="4120" spans="8:8" x14ac:dyDescent="0.25">
      <c r="H4120" t="s">
        <v>6311</v>
      </c>
    </row>
    <row r="4122" spans="8:8" x14ac:dyDescent="0.25">
      <c r="H4122" t="s">
        <v>6312</v>
      </c>
    </row>
    <row r="4123" spans="8:8" x14ac:dyDescent="0.25">
      <c r="H4123" t="s">
        <v>6313</v>
      </c>
    </row>
    <row r="4124" spans="8:8" x14ac:dyDescent="0.25">
      <c r="H4124" t="s">
        <v>149</v>
      </c>
    </row>
    <row r="4125" spans="8:8" x14ac:dyDescent="0.25">
      <c r="H4125" t="s">
        <v>6314</v>
      </c>
    </row>
    <row r="4127" spans="8:8" x14ac:dyDescent="0.25">
      <c r="H4127" t="s">
        <v>6315</v>
      </c>
    </row>
    <row r="4128" spans="8:8" x14ac:dyDescent="0.25">
      <c r="H4128" t="s">
        <v>6316</v>
      </c>
    </row>
    <row r="4129" spans="8:8" x14ac:dyDescent="0.25">
      <c r="H4129" t="s">
        <v>149</v>
      </c>
    </row>
    <row r="4130" spans="8:8" x14ac:dyDescent="0.25">
      <c r="H4130" t="s">
        <v>6317</v>
      </c>
    </row>
    <row r="4132" spans="8:8" x14ac:dyDescent="0.25">
      <c r="H4132" t="s">
        <v>6318</v>
      </c>
    </row>
    <row r="4133" spans="8:8" x14ac:dyDescent="0.25">
      <c r="H4133" t="s">
        <v>6319</v>
      </c>
    </row>
    <row r="4134" spans="8:8" x14ac:dyDescent="0.25">
      <c r="H4134" t="s">
        <v>149</v>
      </c>
    </row>
    <row r="4135" spans="8:8" x14ac:dyDescent="0.25">
      <c r="H4135" t="s">
        <v>6320</v>
      </c>
    </row>
    <row r="4137" spans="8:8" x14ac:dyDescent="0.25">
      <c r="H4137" t="s">
        <v>6321</v>
      </c>
    </row>
    <row r="4138" spans="8:8" x14ac:dyDescent="0.25">
      <c r="H4138" t="s">
        <v>6322</v>
      </c>
    </row>
    <row r="4139" spans="8:8" x14ac:dyDescent="0.25">
      <c r="H4139" t="s">
        <v>149</v>
      </c>
    </row>
    <row r="4140" spans="8:8" x14ac:dyDescent="0.25">
      <c r="H4140" t="s">
        <v>6323</v>
      </c>
    </row>
    <row r="4142" spans="8:8" x14ac:dyDescent="0.25">
      <c r="H4142" t="s">
        <v>6324</v>
      </c>
    </row>
    <row r="4143" spans="8:8" x14ac:dyDescent="0.25">
      <c r="H4143" t="s">
        <v>6325</v>
      </c>
    </row>
    <row r="4144" spans="8:8" x14ac:dyDescent="0.25">
      <c r="H4144" t="s">
        <v>149</v>
      </c>
    </row>
    <row r="4145" spans="8:8" x14ac:dyDescent="0.25">
      <c r="H4145" t="s">
        <v>6326</v>
      </c>
    </row>
    <row r="4147" spans="8:8" x14ac:dyDescent="0.25">
      <c r="H4147" t="s">
        <v>6327</v>
      </c>
    </row>
    <row r="4148" spans="8:8" x14ac:dyDescent="0.25">
      <c r="H4148" t="s">
        <v>6328</v>
      </c>
    </row>
    <row r="4149" spans="8:8" x14ac:dyDescent="0.25">
      <c r="H4149" t="s">
        <v>149</v>
      </c>
    </row>
    <row r="4150" spans="8:8" x14ac:dyDescent="0.25">
      <c r="H4150" t="s">
        <v>6329</v>
      </c>
    </row>
    <row r="4152" spans="8:8" x14ac:dyDescent="0.25">
      <c r="H4152" t="s">
        <v>6330</v>
      </c>
    </row>
    <row r="4153" spans="8:8" x14ac:dyDescent="0.25">
      <c r="H4153" t="s">
        <v>6331</v>
      </c>
    </row>
    <row r="4154" spans="8:8" x14ac:dyDescent="0.25">
      <c r="H4154" t="s">
        <v>149</v>
      </c>
    </row>
    <row r="4155" spans="8:8" x14ac:dyDescent="0.25">
      <c r="H4155" t="s">
        <v>6332</v>
      </c>
    </row>
    <row r="4157" spans="8:8" x14ac:dyDescent="0.25">
      <c r="H4157" t="s">
        <v>6333</v>
      </c>
    </row>
    <row r="4158" spans="8:8" x14ac:dyDescent="0.25">
      <c r="H4158" t="s">
        <v>6334</v>
      </c>
    </row>
    <row r="4159" spans="8:8" x14ac:dyDescent="0.25">
      <c r="H4159" t="s">
        <v>149</v>
      </c>
    </row>
    <row r="4160" spans="8:8" x14ac:dyDescent="0.25">
      <c r="H4160" t="s">
        <v>6335</v>
      </c>
    </row>
    <row r="4162" spans="8:8" x14ac:dyDescent="0.25">
      <c r="H4162" t="s">
        <v>6336</v>
      </c>
    </row>
    <row r="4163" spans="8:8" x14ac:dyDescent="0.25">
      <c r="H4163" t="s">
        <v>6337</v>
      </c>
    </row>
    <row r="4164" spans="8:8" x14ac:dyDescent="0.25">
      <c r="H4164" t="s">
        <v>149</v>
      </c>
    </row>
    <row r="4165" spans="8:8" x14ac:dyDescent="0.25">
      <c r="H4165" t="s">
        <v>6338</v>
      </c>
    </row>
    <row r="4167" spans="8:8" x14ac:dyDescent="0.25">
      <c r="H4167" t="s">
        <v>6339</v>
      </c>
    </row>
    <row r="4168" spans="8:8" x14ac:dyDescent="0.25">
      <c r="H4168" t="s">
        <v>6340</v>
      </c>
    </row>
    <row r="4169" spans="8:8" x14ac:dyDescent="0.25">
      <c r="H4169" t="s">
        <v>149</v>
      </c>
    </row>
    <row r="4170" spans="8:8" x14ac:dyDescent="0.25">
      <c r="H4170" t="s">
        <v>6341</v>
      </c>
    </row>
    <row r="4172" spans="8:8" x14ac:dyDescent="0.25">
      <c r="H4172" t="s">
        <v>6342</v>
      </c>
    </row>
    <row r="4173" spans="8:8" x14ac:dyDescent="0.25">
      <c r="H4173" t="s">
        <v>6343</v>
      </c>
    </row>
    <row r="4174" spans="8:8" x14ac:dyDescent="0.25">
      <c r="H4174" t="s">
        <v>149</v>
      </c>
    </row>
    <row r="4175" spans="8:8" x14ac:dyDescent="0.25">
      <c r="H4175" t="s">
        <v>6344</v>
      </c>
    </row>
    <row r="4177" spans="8:8" x14ac:dyDescent="0.25">
      <c r="H4177" t="s">
        <v>6345</v>
      </c>
    </row>
    <row r="4178" spans="8:8" x14ac:dyDescent="0.25">
      <c r="H4178" t="s">
        <v>6346</v>
      </c>
    </row>
    <row r="4179" spans="8:8" x14ac:dyDescent="0.25">
      <c r="H4179" t="s">
        <v>149</v>
      </c>
    </row>
    <row r="4180" spans="8:8" x14ac:dyDescent="0.25">
      <c r="H4180" t="s">
        <v>6347</v>
      </c>
    </row>
    <row r="4182" spans="8:8" x14ac:dyDescent="0.25">
      <c r="H4182" t="s">
        <v>6348</v>
      </c>
    </row>
    <row r="4183" spans="8:8" x14ac:dyDescent="0.25">
      <c r="H4183" t="s">
        <v>6349</v>
      </c>
    </row>
    <row r="4184" spans="8:8" x14ac:dyDescent="0.25">
      <c r="H4184" t="s">
        <v>149</v>
      </c>
    </row>
    <row r="4185" spans="8:8" x14ac:dyDescent="0.25">
      <c r="H4185" t="s">
        <v>6350</v>
      </c>
    </row>
    <row r="4187" spans="8:8" x14ac:dyDescent="0.25">
      <c r="H4187" t="s">
        <v>6351</v>
      </c>
    </row>
    <row r="4188" spans="8:8" x14ac:dyDescent="0.25">
      <c r="H4188" t="s">
        <v>6352</v>
      </c>
    </row>
    <row r="4189" spans="8:8" x14ac:dyDescent="0.25">
      <c r="H4189" t="s">
        <v>149</v>
      </c>
    </row>
    <row r="4190" spans="8:8" x14ac:dyDescent="0.25">
      <c r="H4190" t="s">
        <v>6353</v>
      </c>
    </row>
    <row r="4192" spans="8:8" x14ac:dyDescent="0.25">
      <c r="H4192" t="s">
        <v>6354</v>
      </c>
    </row>
    <row r="4193" spans="8:8" x14ac:dyDescent="0.25">
      <c r="H4193" t="s">
        <v>6355</v>
      </c>
    </row>
    <row r="4194" spans="8:8" x14ac:dyDescent="0.25">
      <c r="H4194" t="s">
        <v>149</v>
      </c>
    </row>
    <row r="4195" spans="8:8" x14ac:dyDescent="0.25">
      <c r="H4195" t="s">
        <v>6356</v>
      </c>
    </row>
    <row r="4197" spans="8:8" x14ac:dyDescent="0.25">
      <c r="H4197" t="s">
        <v>6357</v>
      </c>
    </row>
    <row r="4198" spans="8:8" x14ac:dyDescent="0.25">
      <c r="H4198" t="s">
        <v>6358</v>
      </c>
    </row>
    <row r="4199" spans="8:8" x14ac:dyDescent="0.25">
      <c r="H4199" t="s">
        <v>149</v>
      </c>
    </row>
    <row r="4200" spans="8:8" x14ac:dyDescent="0.25">
      <c r="H4200" t="s">
        <v>6359</v>
      </c>
    </row>
    <row r="4202" spans="8:8" x14ac:dyDescent="0.25">
      <c r="H4202" t="s">
        <v>6360</v>
      </c>
    </row>
    <row r="4203" spans="8:8" x14ac:dyDescent="0.25">
      <c r="H4203" t="s">
        <v>6361</v>
      </c>
    </row>
    <row r="4204" spans="8:8" x14ac:dyDescent="0.25">
      <c r="H4204" t="s">
        <v>149</v>
      </c>
    </row>
    <row r="4205" spans="8:8" x14ac:dyDescent="0.25">
      <c r="H4205" t="s">
        <v>6362</v>
      </c>
    </row>
    <row r="4207" spans="8:8" x14ac:dyDescent="0.25">
      <c r="H4207" t="s">
        <v>6363</v>
      </c>
    </row>
    <row r="4208" spans="8:8" x14ac:dyDescent="0.25">
      <c r="H4208" t="s">
        <v>6364</v>
      </c>
    </row>
    <row r="4209" spans="8:8" x14ac:dyDescent="0.25">
      <c r="H4209" t="s">
        <v>149</v>
      </c>
    </row>
    <row r="4210" spans="8:8" x14ac:dyDescent="0.25">
      <c r="H4210" t="s">
        <v>6365</v>
      </c>
    </row>
    <row r="4212" spans="8:8" x14ac:dyDescent="0.25">
      <c r="H4212" t="s">
        <v>6366</v>
      </c>
    </row>
    <row r="4213" spans="8:8" x14ac:dyDescent="0.25">
      <c r="H4213" t="s">
        <v>6367</v>
      </c>
    </row>
    <row r="4214" spans="8:8" x14ac:dyDescent="0.25">
      <c r="H4214" t="s">
        <v>149</v>
      </c>
    </row>
    <row r="4215" spans="8:8" x14ac:dyDescent="0.25">
      <c r="H4215" t="s">
        <v>6368</v>
      </c>
    </row>
    <row r="4217" spans="8:8" x14ac:dyDescent="0.25">
      <c r="H4217" t="s">
        <v>6369</v>
      </c>
    </row>
    <row r="4218" spans="8:8" x14ac:dyDescent="0.25">
      <c r="H4218" t="s">
        <v>6370</v>
      </c>
    </row>
    <row r="4219" spans="8:8" x14ac:dyDescent="0.25">
      <c r="H4219" t="s">
        <v>149</v>
      </c>
    </row>
    <row r="4220" spans="8:8" x14ac:dyDescent="0.25">
      <c r="H4220" t="s">
        <v>6371</v>
      </c>
    </row>
    <row r="4222" spans="8:8" x14ac:dyDescent="0.25">
      <c r="H4222" t="s">
        <v>6372</v>
      </c>
    </row>
    <row r="4223" spans="8:8" x14ac:dyDescent="0.25">
      <c r="H4223" t="s">
        <v>6373</v>
      </c>
    </row>
    <row r="4224" spans="8:8" x14ac:dyDescent="0.25">
      <c r="H4224" t="s">
        <v>149</v>
      </c>
    </row>
    <row r="4225" spans="8:8" x14ac:dyDescent="0.25">
      <c r="H4225" t="s">
        <v>6374</v>
      </c>
    </row>
    <row r="4227" spans="8:8" x14ac:dyDescent="0.25">
      <c r="H4227" t="s">
        <v>6375</v>
      </c>
    </row>
    <row r="4228" spans="8:8" x14ac:dyDescent="0.25">
      <c r="H4228" t="s">
        <v>6376</v>
      </c>
    </row>
    <row r="4229" spans="8:8" x14ac:dyDescent="0.25">
      <c r="H4229" t="s">
        <v>149</v>
      </c>
    </row>
    <row r="4230" spans="8:8" x14ac:dyDescent="0.25">
      <c r="H4230" t="s">
        <v>6377</v>
      </c>
    </row>
    <row r="4232" spans="8:8" x14ac:dyDescent="0.25">
      <c r="H4232" t="s">
        <v>6378</v>
      </c>
    </row>
    <row r="4233" spans="8:8" x14ac:dyDescent="0.25">
      <c r="H4233" t="s">
        <v>6379</v>
      </c>
    </row>
    <row r="4234" spans="8:8" x14ac:dyDescent="0.25">
      <c r="H4234" t="s">
        <v>149</v>
      </c>
    </row>
    <row r="4235" spans="8:8" x14ac:dyDescent="0.25">
      <c r="H4235" t="s">
        <v>6380</v>
      </c>
    </row>
    <row r="4237" spans="8:8" x14ac:dyDescent="0.25">
      <c r="H4237" t="s">
        <v>6381</v>
      </c>
    </row>
    <row r="4238" spans="8:8" x14ac:dyDescent="0.25">
      <c r="H4238" t="s">
        <v>6382</v>
      </c>
    </row>
    <row r="4239" spans="8:8" x14ac:dyDescent="0.25">
      <c r="H4239" t="s">
        <v>149</v>
      </c>
    </row>
    <row r="4240" spans="8:8" x14ac:dyDescent="0.25">
      <c r="H4240" t="s">
        <v>6383</v>
      </c>
    </row>
    <row r="4242" spans="8:8" x14ac:dyDescent="0.25">
      <c r="H4242" t="s">
        <v>6384</v>
      </c>
    </row>
    <row r="4243" spans="8:8" x14ac:dyDescent="0.25">
      <c r="H4243" t="s">
        <v>6385</v>
      </c>
    </row>
    <row r="4244" spans="8:8" x14ac:dyDescent="0.25">
      <c r="H4244" t="s">
        <v>149</v>
      </c>
    </row>
    <row r="4245" spans="8:8" x14ac:dyDescent="0.25">
      <c r="H4245" t="s">
        <v>6386</v>
      </c>
    </row>
    <row r="4247" spans="8:8" x14ac:dyDescent="0.25">
      <c r="H4247" t="s">
        <v>6387</v>
      </c>
    </row>
    <row r="4248" spans="8:8" x14ac:dyDescent="0.25">
      <c r="H4248" t="s">
        <v>6388</v>
      </c>
    </row>
    <row r="4249" spans="8:8" x14ac:dyDescent="0.25">
      <c r="H4249" t="s">
        <v>149</v>
      </c>
    </row>
    <row r="4250" spans="8:8" x14ac:dyDescent="0.25">
      <c r="H4250" t="s">
        <v>6389</v>
      </c>
    </row>
    <row r="4252" spans="8:8" x14ac:dyDescent="0.25">
      <c r="H4252" t="s">
        <v>6390</v>
      </c>
    </row>
    <row r="4253" spans="8:8" x14ac:dyDescent="0.25">
      <c r="H4253" t="s">
        <v>6391</v>
      </c>
    </row>
    <row r="4254" spans="8:8" x14ac:dyDescent="0.25">
      <c r="H4254" t="s">
        <v>149</v>
      </c>
    </row>
    <row r="4255" spans="8:8" x14ac:dyDescent="0.25">
      <c r="H4255" t="s">
        <v>6392</v>
      </c>
    </row>
    <row r="4257" spans="8:8" x14ac:dyDescent="0.25">
      <c r="H4257" t="s">
        <v>6393</v>
      </c>
    </row>
    <row r="4258" spans="8:8" x14ac:dyDescent="0.25">
      <c r="H4258" t="s">
        <v>6394</v>
      </c>
    </row>
    <row r="4259" spans="8:8" x14ac:dyDescent="0.25">
      <c r="H4259" t="s">
        <v>149</v>
      </c>
    </row>
    <row r="4260" spans="8:8" x14ac:dyDescent="0.25">
      <c r="H4260" t="s">
        <v>6395</v>
      </c>
    </row>
    <row r="4262" spans="8:8" x14ac:dyDescent="0.25">
      <c r="H4262" t="s">
        <v>6396</v>
      </c>
    </row>
    <row r="4263" spans="8:8" x14ac:dyDescent="0.25">
      <c r="H4263" t="s">
        <v>6397</v>
      </c>
    </row>
    <row r="4264" spans="8:8" x14ac:dyDescent="0.25">
      <c r="H4264" t="s">
        <v>149</v>
      </c>
    </row>
    <row r="4265" spans="8:8" x14ac:dyDescent="0.25">
      <c r="H4265" t="s">
        <v>6398</v>
      </c>
    </row>
    <row r="4267" spans="8:8" x14ac:dyDescent="0.25">
      <c r="H4267" t="s">
        <v>6399</v>
      </c>
    </row>
    <row r="4268" spans="8:8" x14ac:dyDescent="0.25">
      <c r="H4268" t="s">
        <v>6400</v>
      </c>
    </row>
    <row r="4269" spans="8:8" x14ac:dyDescent="0.25">
      <c r="H4269" t="s">
        <v>149</v>
      </c>
    </row>
    <row r="4270" spans="8:8" x14ac:dyDescent="0.25">
      <c r="H4270" t="s">
        <v>6401</v>
      </c>
    </row>
    <row r="4272" spans="8:8" x14ac:dyDescent="0.25">
      <c r="H4272" t="s">
        <v>6402</v>
      </c>
    </row>
    <row r="4273" spans="8:8" x14ac:dyDescent="0.25">
      <c r="H4273" t="s">
        <v>6403</v>
      </c>
    </row>
    <row r="4274" spans="8:8" x14ac:dyDescent="0.25">
      <c r="H4274" t="s">
        <v>149</v>
      </c>
    </row>
    <row r="4275" spans="8:8" x14ac:dyDescent="0.25">
      <c r="H4275" t="s">
        <v>6404</v>
      </c>
    </row>
    <row r="4277" spans="8:8" x14ac:dyDescent="0.25">
      <c r="H4277" t="s">
        <v>6405</v>
      </c>
    </row>
    <row r="4278" spans="8:8" x14ac:dyDescent="0.25">
      <c r="H4278" t="s">
        <v>6406</v>
      </c>
    </row>
    <row r="4279" spans="8:8" x14ac:dyDescent="0.25">
      <c r="H4279" t="s">
        <v>149</v>
      </c>
    </row>
    <row r="4280" spans="8:8" x14ac:dyDescent="0.25">
      <c r="H4280" t="s">
        <v>6407</v>
      </c>
    </row>
    <row r="4282" spans="8:8" x14ac:dyDescent="0.25">
      <c r="H4282" t="s">
        <v>6408</v>
      </c>
    </row>
    <row r="4283" spans="8:8" x14ac:dyDescent="0.25">
      <c r="H4283" t="s">
        <v>6409</v>
      </c>
    </row>
    <row r="4284" spans="8:8" x14ac:dyDescent="0.25">
      <c r="H4284" t="s">
        <v>149</v>
      </c>
    </row>
    <row r="4285" spans="8:8" x14ac:dyDescent="0.25">
      <c r="H4285" t="s">
        <v>6410</v>
      </c>
    </row>
    <row r="4287" spans="8:8" x14ac:dyDescent="0.25">
      <c r="H4287" t="s">
        <v>6411</v>
      </c>
    </row>
    <row r="4288" spans="8:8" x14ac:dyDescent="0.25">
      <c r="H4288" t="s">
        <v>6412</v>
      </c>
    </row>
    <row r="4289" spans="8:8" x14ac:dyDescent="0.25">
      <c r="H4289" t="s">
        <v>149</v>
      </c>
    </row>
    <row r="4290" spans="8:8" x14ac:dyDescent="0.25">
      <c r="H4290" t="s">
        <v>6413</v>
      </c>
    </row>
    <row r="4292" spans="8:8" x14ac:dyDescent="0.25">
      <c r="H4292" t="s">
        <v>6414</v>
      </c>
    </row>
    <row r="4293" spans="8:8" x14ac:dyDescent="0.25">
      <c r="H4293" t="s">
        <v>6415</v>
      </c>
    </row>
    <row r="4294" spans="8:8" x14ac:dyDescent="0.25">
      <c r="H4294" t="s">
        <v>149</v>
      </c>
    </row>
    <row r="4295" spans="8:8" x14ac:dyDescent="0.25">
      <c r="H4295" t="s">
        <v>6416</v>
      </c>
    </row>
    <row r="4297" spans="8:8" x14ac:dyDescent="0.25">
      <c r="H4297" t="s">
        <v>6417</v>
      </c>
    </row>
    <row r="4298" spans="8:8" x14ac:dyDescent="0.25">
      <c r="H4298" t="s">
        <v>6418</v>
      </c>
    </row>
    <row r="4299" spans="8:8" x14ac:dyDescent="0.25">
      <c r="H4299" t="s">
        <v>149</v>
      </c>
    </row>
    <row r="4300" spans="8:8" x14ac:dyDescent="0.25">
      <c r="H4300" t="s">
        <v>6419</v>
      </c>
    </row>
    <row r="4302" spans="8:8" x14ac:dyDescent="0.25">
      <c r="H4302" t="s">
        <v>6420</v>
      </c>
    </row>
    <row r="4303" spans="8:8" x14ac:dyDescent="0.25">
      <c r="H4303" t="s">
        <v>6421</v>
      </c>
    </row>
    <row r="4304" spans="8:8" x14ac:dyDescent="0.25">
      <c r="H4304" t="s">
        <v>149</v>
      </c>
    </row>
    <row r="4305" spans="8:8" x14ac:dyDescent="0.25">
      <c r="H4305" t="s">
        <v>6422</v>
      </c>
    </row>
    <row r="4307" spans="8:8" x14ac:dyDescent="0.25">
      <c r="H4307" t="s">
        <v>6423</v>
      </c>
    </row>
    <row r="4308" spans="8:8" x14ac:dyDescent="0.25">
      <c r="H4308" t="s">
        <v>6424</v>
      </c>
    </row>
    <row r="4309" spans="8:8" x14ac:dyDescent="0.25">
      <c r="H4309" t="s">
        <v>149</v>
      </c>
    </row>
    <row r="4310" spans="8:8" x14ac:dyDescent="0.25">
      <c r="H4310" t="s">
        <v>6425</v>
      </c>
    </row>
    <row r="4312" spans="8:8" x14ac:dyDescent="0.25">
      <c r="H4312" t="s">
        <v>6426</v>
      </c>
    </row>
    <row r="4313" spans="8:8" x14ac:dyDescent="0.25">
      <c r="H4313" t="s">
        <v>6427</v>
      </c>
    </row>
    <row r="4314" spans="8:8" x14ac:dyDescent="0.25">
      <c r="H4314" t="s">
        <v>149</v>
      </c>
    </row>
    <row r="4315" spans="8:8" x14ac:dyDescent="0.25">
      <c r="H4315" t="s">
        <v>6428</v>
      </c>
    </row>
    <row r="4317" spans="8:8" x14ac:dyDescent="0.25">
      <c r="H4317" t="s">
        <v>6429</v>
      </c>
    </row>
    <row r="4318" spans="8:8" x14ac:dyDescent="0.25">
      <c r="H4318" t="s">
        <v>6430</v>
      </c>
    </row>
    <row r="4319" spans="8:8" x14ac:dyDescent="0.25">
      <c r="H4319" t="s">
        <v>149</v>
      </c>
    </row>
    <row r="4320" spans="8:8" x14ac:dyDescent="0.25">
      <c r="H4320" t="s">
        <v>6431</v>
      </c>
    </row>
    <row r="4322" spans="8:8" x14ac:dyDescent="0.25">
      <c r="H4322" t="s">
        <v>6432</v>
      </c>
    </row>
    <row r="4323" spans="8:8" x14ac:dyDescent="0.25">
      <c r="H4323" t="s">
        <v>6433</v>
      </c>
    </row>
    <row r="4324" spans="8:8" x14ac:dyDescent="0.25">
      <c r="H4324" t="s">
        <v>149</v>
      </c>
    </row>
    <row r="4325" spans="8:8" x14ac:dyDescent="0.25">
      <c r="H4325" t="s">
        <v>6434</v>
      </c>
    </row>
    <row r="4327" spans="8:8" x14ac:dyDescent="0.25">
      <c r="H4327" t="s">
        <v>6435</v>
      </c>
    </row>
    <row r="4328" spans="8:8" x14ac:dyDescent="0.25">
      <c r="H4328" t="s">
        <v>6436</v>
      </c>
    </row>
    <row r="4329" spans="8:8" x14ac:dyDescent="0.25">
      <c r="H4329" t="s">
        <v>149</v>
      </c>
    </row>
    <row r="4330" spans="8:8" x14ac:dyDescent="0.25">
      <c r="H4330" t="s">
        <v>6437</v>
      </c>
    </row>
    <row r="4332" spans="8:8" x14ac:dyDescent="0.25">
      <c r="H4332" t="s">
        <v>6438</v>
      </c>
    </row>
    <row r="4333" spans="8:8" x14ac:dyDescent="0.25">
      <c r="H4333" t="s">
        <v>6439</v>
      </c>
    </row>
    <row r="4334" spans="8:8" x14ac:dyDescent="0.25">
      <c r="H4334" t="s">
        <v>149</v>
      </c>
    </row>
    <row r="4335" spans="8:8" x14ac:dyDescent="0.25">
      <c r="H4335" t="s">
        <v>6440</v>
      </c>
    </row>
    <row r="4337" spans="8:8" x14ac:dyDescent="0.25">
      <c r="H4337" t="s">
        <v>6441</v>
      </c>
    </row>
    <row r="4338" spans="8:8" x14ac:dyDescent="0.25">
      <c r="H4338" t="s">
        <v>6442</v>
      </c>
    </row>
    <row r="4339" spans="8:8" x14ac:dyDescent="0.25">
      <c r="H4339" t="s">
        <v>149</v>
      </c>
    </row>
    <row r="4340" spans="8:8" x14ac:dyDescent="0.25">
      <c r="H4340" t="s">
        <v>6443</v>
      </c>
    </row>
    <row r="4342" spans="8:8" x14ac:dyDescent="0.25">
      <c r="H4342" t="s">
        <v>6444</v>
      </c>
    </row>
    <row r="4343" spans="8:8" x14ac:dyDescent="0.25">
      <c r="H4343" t="s">
        <v>6445</v>
      </c>
    </row>
    <row r="4344" spans="8:8" x14ac:dyDescent="0.25">
      <c r="H4344" t="s">
        <v>149</v>
      </c>
    </row>
    <row r="4345" spans="8:8" x14ac:dyDescent="0.25">
      <c r="H4345" t="s">
        <v>6446</v>
      </c>
    </row>
    <row r="4347" spans="8:8" x14ac:dyDescent="0.25">
      <c r="H4347" t="s">
        <v>6447</v>
      </c>
    </row>
    <row r="4348" spans="8:8" x14ac:dyDescent="0.25">
      <c r="H4348" t="s">
        <v>6448</v>
      </c>
    </row>
    <row r="4349" spans="8:8" x14ac:dyDescent="0.25">
      <c r="H4349" t="s">
        <v>149</v>
      </c>
    </row>
    <row r="4350" spans="8:8" x14ac:dyDescent="0.25">
      <c r="H4350" t="s">
        <v>6449</v>
      </c>
    </row>
    <row r="4352" spans="8:8" x14ac:dyDescent="0.25">
      <c r="H4352" t="s">
        <v>6450</v>
      </c>
    </row>
    <row r="4353" spans="8:8" x14ac:dyDescent="0.25">
      <c r="H4353" t="s">
        <v>6451</v>
      </c>
    </row>
    <row r="4354" spans="8:8" x14ac:dyDescent="0.25">
      <c r="H4354" t="s">
        <v>149</v>
      </c>
    </row>
    <row r="4355" spans="8:8" x14ac:dyDescent="0.25">
      <c r="H4355" t="s">
        <v>6452</v>
      </c>
    </row>
    <row r="4357" spans="8:8" x14ac:dyDescent="0.25">
      <c r="H4357" t="s">
        <v>6453</v>
      </c>
    </row>
    <row r="4358" spans="8:8" x14ac:dyDescent="0.25">
      <c r="H4358" t="s">
        <v>6454</v>
      </c>
    </row>
    <row r="4359" spans="8:8" x14ac:dyDescent="0.25">
      <c r="H4359" t="s">
        <v>149</v>
      </c>
    </row>
    <row r="4360" spans="8:8" x14ac:dyDescent="0.25">
      <c r="H4360" t="s">
        <v>6455</v>
      </c>
    </row>
    <row r="4362" spans="8:8" x14ac:dyDescent="0.25">
      <c r="H4362" t="s">
        <v>6456</v>
      </c>
    </row>
    <row r="4363" spans="8:8" x14ac:dyDescent="0.25">
      <c r="H4363" t="s">
        <v>6457</v>
      </c>
    </row>
    <row r="4364" spans="8:8" x14ac:dyDescent="0.25">
      <c r="H4364" t="s">
        <v>149</v>
      </c>
    </row>
    <row r="4365" spans="8:8" x14ac:dyDescent="0.25">
      <c r="H4365" t="s">
        <v>6458</v>
      </c>
    </row>
    <row r="4367" spans="8:8" x14ac:dyDescent="0.25">
      <c r="H4367" t="s">
        <v>6459</v>
      </c>
    </row>
    <row r="4368" spans="8:8" x14ac:dyDescent="0.25">
      <c r="H4368" t="s">
        <v>6460</v>
      </c>
    </row>
    <row r="4369" spans="8:8" x14ac:dyDescent="0.25">
      <c r="H4369" t="s">
        <v>149</v>
      </c>
    </row>
    <row r="4370" spans="8:8" x14ac:dyDescent="0.25">
      <c r="H4370" t="s">
        <v>6461</v>
      </c>
    </row>
    <row r="4372" spans="8:8" x14ac:dyDescent="0.25">
      <c r="H4372" t="s">
        <v>6462</v>
      </c>
    </row>
    <row r="4373" spans="8:8" x14ac:dyDescent="0.25">
      <c r="H4373" t="s">
        <v>6463</v>
      </c>
    </row>
    <row r="4374" spans="8:8" x14ac:dyDescent="0.25">
      <c r="H4374" t="s">
        <v>149</v>
      </c>
    </row>
    <row r="4375" spans="8:8" x14ac:dyDescent="0.25">
      <c r="H4375" t="s">
        <v>6464</v>
      </c>
    </row>
    <row r="4377" spans="8:8" x14ac:dyDescent="0.25">
      <c r="H4377" t="s">
        <v>6465</v>
      </c>
    </row>
    <row r="4378" spans="8:8" x14ac:dyDescent="0.25">
      <c r="H4378" t="s">
        <v>6466</v>
      </c>
    </row>
    <row r="4379" spans="8:8" x14ac:dyDescent="0.25">
      <c r="H4379" t="s">
        <v>149</v>
      </c>
    </row>
    <row r="4380" spans="8:8" x14ac:dyDescent="0.25">
      <c r="H4380" t="s">
        <v>6467</v>
      </c>
    </row>
    <row r="4382" spans="8:8" x14ac:dyDescent="0.25">
      <c r="H4382" t="s">
        <v>6468</v>
      </c>
    </row>
    <row r="4383" spans="8:8" x14ac:dyDescent="0.25">
      <c r="H4383" t="s">
        <v>6469</v>
      </c>
    </row>
    <row r="4384" spans="8:8" x14ac:dyDescent="0.25">
      <c r="H4384" t="s">
        <v>149</v>
      </c>
    </row>
    <row r="4385" spans="8:8" x14ac:dyDescent="0.25">
      <c r="H4385" t="s">
        <v>6470</v>
      </c>
    </row>
    <row r="4387" spans="8:8" x14ac:dyDescent="0.25">
      <c r="H4387" t="s">
        <v>6471</v>
      </c>
    </row>
    <row r="4388" spans="8:8" x14ac:dyDescent="0.25">
      <c r="H4388" t="s">
        <v>6472</v>
      </c>
    </row>
    <row r="4389" spans="8:8" x14ac:dyDescent="0.25">
      <c r="H4389" t="s">
        <v>149</v>
      </c>
    </row>
    <row r="4390" spans="8:8" x14ac:dyDescent="0.25">
      <c r="H4390" t="s">
        <v>6473</v>
      </c>
    </row>
    <row r="4392" spans="8:8" x14ac:dyDescent="0.25">
      <c r="H4392" t="s">
        <v>6474</v>
      </c>
    </row>
    <row r="4393" spans="8:8" x14ac:dyDescent="0.25">
      <c r="H4393" t="s">
        <v>6475</v>
      </c>
    </row>
    <row r="4394" spans="8:8" x14ac:dyDescent="0.25">
      <c r="H4394" t="s">
        <v>149</v>
      </c>
    </row>
    <row r="4395" spans="8:8" x14ac:dyDescent="0.25">
      <c r="H4395" t="s">
        <v>6476</v>
      </c>
    </row>
    <row r="4397" spans="8:8" x14ac:dyDescent="0.25">
      <c r="H4397" t="s">
        <v>6477</v>
      </c>
    </row>
    <row r="4398" spans="8:8" x14ac:dyDescent="0.25">
      <c r="H4398" t="s">
        <v>6478</v>
      </c>
    </row>
    <row r="4399" spans="8:8" x14ac:dyDescent="0.25">
      <c r="H4399" t="s">
        <v>149</v>
      </c>
    </row>
    <row r="4400" spans="8:8" x14ac:dyDescent="0.25">
      <c r="H4400" t="s">
        <v>6479</v>
      </c>
    </row>
    <row r="4402" spans="8:8" x14ac:dyDescent="0.25">
      <c r="H4402" t="s">
        <v>6480</v>
      </c>
    </row>
    <row r="4403" spans="8:8" x14ac:dyDescent="0.25">
      <c r="H4403" t="s">
        <v>6481</v>
      </c>
    </row>
    <row r="4404" spans="8:8" x14ac:dyDescent="0.25">
      <c r="H4404" t="s">
        <v>149</v>
      </c>
    </row>
    <row r="4405" spans="8:8" x14ac:dyDescent="0.25">
      <c r="H4405" t="s">
        <v>6482</v>
      </c>
    </row>
    <row r="4407" spans="8:8" x14ac:dyDescent="0.25">
      <c r="H4407" t="s">
        <v>6483</v>
      </c>
    </row>
    <row r="4408" spans="8:8" x14ac:dyDescent="0.25">
      <c r="H4408" t="s">
        <v>6484</v>
      </c>
    </row>
    <row r="4409" spans="8:8" x14ac:dyDescent="0.25">
      <c r="H4409" t="s">
        <v>149</v>
      </c>
    </row>
    <row r="4410" spans="8:8" x14ac:dyDescent="0.25">
      <c r="H4410" t="s">
        <v>6485</v>
      </c>
    </row>
    <row r="4412" spans="8:8" x14ac:dyDescent="0.25">
      <c r="H4412" t="s">
        <v>6486</v>
      </c>
    </row>
    <row r="4413" spans="8:8" x14ac:dyDescent="0.25">
      <c r="H4413" t="s">
        <v>6487</v>
      </c>
    </row>
    <row r="4414" spans="8:8" x14ac:dyDescent="0.25">
      <c r="H4414" t="s">
        <v>149</v>
      </c>
    </row>
    <row r="4415" spans="8:8" x14ac:dyDescent="0.25">
      <c r="H4415" t="s">
        <v>6488</v>
      </c>
    </row>
    <row r="4417" spans="8:8" x14ac:dyDescent="0.25">
      <c r="H4417" t="s">
        <v>6489</v>
      </c>
    </row>
    <row r="4418" spans="8:8" x14ac:dyDescent="0.25">
      <c r="H4418" t="s">
        <v>6490</v>
      </c>
    </row>
    <row r="4419" spans="8:8" x14ac:dyDescent="0.25">
      <c r="H4419" t="s">
        <v>149</v>
      </c>
    </row>
    <row r="4420" spans="8:8" x14ac:dyDescent="0.25">
      <c r="H4420" t="s">
        <v>6491</v>
      </c>
    </row>
    <row r="4422" spans="8:8" x14ac:dyDescent="0.25">
      <c r="H4422" t="s">
        <v>6492</v>
      </c>
    </row>
    <row r="4423" spans="8:8" x14ac:dyDescent="0.25">
      <c r="H4423" t="s">
        <v>6493</v>
      </c>
    </row>
    <row r="4424" spans="8:8" x14ac:dyDescent="0.25">
      <c r="H4424" t="s">
        <v>149</v>
      </c>
    </row>
    <row r="4425" spans="8:8" x14ac:dyDescent="0.25">
      <c r="H4425" t="s">
        <v>6494</v>
      </c>
    </row>
    <row r="4427" spans="8:8" x14ac:dyDescent="0.25">
      <c r="H4427" t="s">
        <v>6495</v>
      </c>
    </row>
    <row r="4428" spans="8:8" x14ac:dyDescent="0.25">
      <c r="H4428" t="s">
        <v>6496</v>
      </c>
    </row>
    <row r="4429" spans="8:8" x14ac:dyDescent="0.25">
      <c r="H4429" t="s">
        <v>149</v>
      </c>
    </row>
    <row r="4430" spans="8:8" x14ac:dyDescent="0.25">
      <c r="H4430" t="s">
        <v>6497</v>
      </c>
    </row>
    <row r="4432" spans="8:8" x14ac:dyDescent="0.25">
      <c r="H4432" t="s">
        <v>6498</v>
      </c>
    </row>
    <row r="4433" spans="8:8" x14ac:dyDescent="0.25">
      <c r="H4433" t="s">
        <v>6499</v>
      </c>
    </row>
    <row r="4434" spans="8:8" x14ac:dyDescent="0.25">
      <c r="H4434" t="s">
        <v>149</v>
      </c>
    </row>
    <row r="4435" spans="8:8" x14ac:dyDescent="0.25">
      <c r="H4435" t="s">
        <v>6500</v>
      </c>
    </row>
    <row r="4437" spans="8:8" x14ac:dyDescent="0.25">
      <c r="H4437" t="s">
        <v>6501</v>
      </c>
    </row>
    <row r="4438" spans="8:8" x14ac:dyDescent="0.25">
      <c r="H4438" t="s">
        <v>6502</v>
      </c>
    </row>
    <row r="4439" spans="8:8" x14ac:dyDescent="0.25">
      <c r="H4439" t="s">
        <v>149</v>
      </c>
    </row>
    <row r="4440" spans="8:8" x14ac:dyDescent="0.25">
      <c r="H4440" t="s">
        <v>6503</v>
      </c>
    </row>
    <row r="4442" spans="8:8" x14ac:dyDescent="0.25">
      <c r="H4442" t="s">
        <v>6504</v>
      </c>
    </row>
    <row r="4443" spans="8:8" x14ac:dyDescent="0.25">
      <c r="H4443" t="s">
        <v>6505</v>
      </c>
    </row>
    <row r="4444" spans="8:8" x14ac:dyDescent="0.25">
      <c r="H4444" t="s">
        <v>149</v>
      </c>
    </row>
    <row r="4445" spans="8:8" x14ac:dyDescent="0.25">
      <c r="H4445" t="s">
        <v>6506</v>
      </c>
    </row>
    <row r="4447" spans="8:8" x14ac:dyDescent="0.25">
      <c r="H4447" t="s">
        <v>6507</v>
      </c>
    </row>
    <row r="4448" spans="8:8" x14ac:dyDescent="0.25">
      <c r="H4448" t="s">
        <v>6508</v>
      </c>
    </row>
    <row r="4449" spans="8:8" x14ac:dyDescent="0.25">
      <c r="H4449" t="s">
        <v>149</v>
      </c>
    </row>
    <row r="4450" spans="8:8" x14ac:dyDescent="0.25">
      <c r="H4450" t="s">
        <v>6509</v>
      </c>
    </row>
    <row r="4452" spans="8:8" x14ac:dyDescent="0.25">
      <c r="H4452" t="s">
        <v>6510</v>
      </c>
    </row>
    <row r="4453" spans="8:8" x14ac:dyDescent="0.25">
      <c r="H4453" t="s">
        <v>6511</v>
      </c>
    </row>
    <row r="4454" spans="8:8" x14ac:dyDescent="0.25">
      <c r="H4454" t="s">
        <v>149</v>
      </c>
    </row>
    <row r="4455" spans="8:8" x14ac:dyDescent="0.25">
      <c r="H4455" t="s">
        <v>6512</v>
      </c>
    </row>
    <row r="4457" spans="8:8" x14ac:dyDescent="0.25">
      <c r="H4457" t="s">
        <v>6513</v>
      </c>
    </row>
    <row r="4458" spans="8:8" x14ac:dyDescent="0.25">
      <c r="H4458" t="s">
        <v>6514</v>
      </c>
    </row>
    <row r="4459" spans="8:8" x14ac:dyDescent="0.25">
      <c r="H4459" t="s">
        <v>149</v>
      </c>
    </row>
    <row r="4460" spans="8:8" x14ac:dyDescent="0.25">
      <c r="H4460" t="s">
        <v>6515</v>
      </c>
    </row>
    <row r="4462" spans="8:8" x14ac:dyDescent="0.25">
      <c r="H4462" t="s">
        <v>6516</v>
      </c>
    </row>
    <row r="4463" spans="8:8" x14ac:dyDescent="0.25">
      <c r="H4463" t="s">
        <v>6517</v>
      </c>
    </row>
    <row r="4464" spans="8:8" x14ac:dyDescent="0.25">
      <c r="H4464" t="s">
        <v>149</v>
      </c>
    </row>
    <row r="4465" spans="8:8" x14ac:dyDescent="0.25">
      <c r="H4465" t="s">
        <v>6518</v>
      </c>
    </row>
    <row r="4467" spans="8:8" x14ac:dyDescent="0.25">
      <c r="H4467" t="s">
        <v>6519</v>
      </c>
    </row>
    <row r="4468" spans="8:8" x14ac:dyDescent="0.25">
      <c r="H4468" t="s">
        <v>6520</v>
      </c>
    </row>
    <row r="4469" spans="8:8" x14ac:dyDescent="0.25">
      <c r="H4469" t="s">
        <v>149</v>
      </c>
    </row>
    <row r="4470" spans="8:8" x14ac:dyDescent="0.25">
      <c r="H4470" t="s">
        <v>6521</v>
      </c>
    </row>
    <row r="4472" spans="8:8" x14ac:dyDescent="0.25">
      <c r="H4472" t="s">
        <v>6522</v>
      </c>
    </row>
    <row r="4473" spans="8:8" x14ac:dyDescent="0.25">
      <c r="H4473" t="s">
        <v>6523</v>
      </c>
    </row>
    <row r="4474" spans="8:8" x14ac:dyDescent="0.25">
      <c r="H4474" t="s">
        <v>149</v>
      </c>
    </row>
    <row r="4475" spans="8:8" x14ac:dyDescent="0.25">
      <c r="H4475" t="s">
        <v>6524</v>
      </c>
    </row>
    <row r="4477" spans="8:8" x14ac:dyDescent="0.25">
      <c r="H4477" t="s">
        <v>6525</v>
      </c>
    </row>
    <row r="4478" spans="8:8" x14ac:dyDescent="0.25">
      <c r="H4478" t="s">
        <v>6526</v>
      </c>
    </row>
    <row r="4479" spans="8:8" x14ac:dyDescent="0.25">
      <c r="H4479" t="s">
        <v>149</v>
      </c>
    </row>
    <row r="4480" spans="8:8" x14ac:dyDescent="0.25">
      <c r="H4480" t="s">
        <v>6527</v>
      </c>
    </row>
    <row r="4482" spans="8:8" x14ac:dyDescent="0.25">
      <c r="H4482" t="s">
        <v>6528</v>
      </c>
    </row>
    <row r="4483" spans="8:8" x14ac:dyDescent="0.25">
      <c r="H4483" t="s">
        <v>6529</v>
      </c>
    </row>
    <row r="4484" spans="8:8" x14ac:dyDescent="0.25">
      <c r="H4484" t="s">
        <v>149</v>
      </c>
    </row>
    <row r="4485" spans="8:8" x14ac:dyDescent="0.25">
      <c r="H4485" t="s">
        <v>6530</v>
      </c>
    </row>
    <row r="4487" spans="8:8" x14ac:dyDescent="0.25">
      <c r="H4487" t="s">
        <v>6531</v>
      </c>
    </row>
    <row r="4488" spans="8:8" x14ac:dyDescent="0.25">
      <c r="H4488" t="s">
        <v>6532</v>
      </c>
    </row>
    <row r="4489" spans="8:8" x14ac:dyDescent="0.25">
      <c r="H4489" t="s">
        <v>149</v>
      </c>
    </row>
    <row r="4490" spans="8:8" x14ac:dyDescent="0.25">
      <c r="H4490" t="s">
        <v>6533</v>
      </c>
    </row>
    <row r="4492" spans="8:8" x14ac:dyDescent="0.25">
      <c r="H4492" t="s">
        <v>6534</v>
      </c>
    </row>
    <row r="4493" spans="8:8" x14ac:dyDescent="0.25">
      <c r="H4493" t="s">
        <v>6535</v>
      </c>
    </row>
    <row r="4494" spans="8:8" x14ac:dyDescent="0.25">
      <c r="H4494" t="s">
        <v>149</v>
      </c>
    </row>
    <row r="4495" spans="8:8" x14ac:dyDescent="0.25">
      <c r="H4495" t="s">
        <v>6536</v>
      </c>
    </row>
    <row r="4497" spans="8:8" x14ac:dyDescent="0.25">
      <c r="H4497" t="s">
        <v>6537</v>
      </c>
    </row>
    <row r="4498" spans="8:8" x14ac:dyDescent="0.25">
      <c r="H4498" t="s">
        <v>6538</v>
      </c>
    </row>
    <row r="4499" spans="8:8" x14ac:dyDescent="0.25">
      <c r="H4499" t="s">
        <v>149</v>
      </c>
    </row>
    <row r="4500" spans="8:8" x14ac:dyDescent="0.25">
      <c r="H4500" t="s">
        <v>6539</v>
      </c>
    </row>
    <row r="4502" spans="8:8" x14ac:dyDescent="0.25">
      <c r="H4502" t="s">
        <v>6540</v>
      </c>
    </row>
    <row r="4503" spans="8:8" x14ac:dyDescent="0.25">
      <c r="H4503" t="s">
        <v>6541</v>
      </c>
    </row>
    <row r="4504" spans="8:8" x14ac:dyDescent="0.25">
      <c r="H4504" t="s">
        <v>149</v>
      </c>
    </row>
    <row r="4505" spans="8:8" x14ac:dyDescent="0.25">
      <c r="H4505" t="s">
        <v>6542</v>
      </c>
    </row>
    <row r="4507" spans="8:8" x14ac:dyDescent="0.25">
      <c r="H4507" t="s">
        <v>6543</v>
      </c>
    </row>
    <row r="4508" spans="8:8" x14ac:dyDescent="0.25">
      <c r="H4508" t="s">
        <v>6544</v>
      </c>
    </row>
    <row r="4509" spans="8:8" x14ac:dyDescent="0.25">
      <c r="H4509" t="s">
        <v>149</v>
      </c>
    </row>
    <row r="4510" spans="8:8" x14ac:dyDescent="0.25">
      <c r="H4510" t="s">
        <v>6545</v>
      </c>
    </row>
    <row r="4512" spans="8:8" x14ac:dyDescent="0.25">
      <c r="H4512" t="s">
        <v>6546</v>
      </c>
    </row>
    <row r="4513" spans="8:8" x14ac:dyDescent="0.25">
      <c r="H4513" t="s">
        <v>6547</v>
      </c>
    </row>
    <row r="4514" spans="8:8" x14ac:dyDescent="0.25">
      <c r="H4514" t="s">
        <v>149</v>
      </c>
    </row>
    <row r="4515" spans="8:8" x14ac:dyDescent="0.25">
      <c r="H4515" t="s">
        <v>6548</v>
      </c>
    </row>
    <row r="4517" spans="8:8" x14ac:dyDescent="0.25">
      <c r="H4517" t="s">
        <v>6549</v>
      </c>
    </row>
    <row r="4518" spans="8:8" x14ac:dyDescent="0.25">
      <c r="H4518" t="s">
        <v>6550</v>
      </c>
    </row>
    <row r="4519" spans="8:8" x14ac:dyDescent="0.25">
      <c r="H4519" t="s">
        <v>149</v>
      </c>
    </row>
    <row r="4520" spans="8:8" x14ac:dyDescent="0.25">
      <c r="H4520" t="s">
        <v>6551</v>
      </c>
    </row>
    <row r="4522" spans="8:8" x14ac:dyDescent="0.25">
      <c r="H4522" t="s">
        <v>6552</v>
      </c>
    </row>
    <row r="4523" spans="8:8" x14ac:dyDescent="0.25">
      <c r="H4523" t="s">
        <v>6553</v>
      </c>
    </row>
    <row r="4524" spans="8:8" x14ac:dyDescent="0.25">
      <c r="H4524" t="s">
        <v>149</v>
      </c>
    </row>
    <row r="4525" spans="8:8" x14ac:dyDescent="0.25">
      <c r="H4525" t="s">
        <v>6554</v>
      </c>
    </row>
    <row r="4527" spans="8:8" x14ac:dyDescent="0.25">
      <c r="H4527" t="s">
        <v>6555</v>
      </c>
    </row>
    <row r="4528" spans="8:8" x14ac:dyDescent="0.25">
      <c r="H4528" t="s">
        <v>6556</v>
      </c>
    </row>
    <row r="4529" spans="8:8" x14ac:dyDescent="0.25">
      <c r="H4529" t="s">
        <v>149</v>
      </c>
    </row>
    <row r="4530" spans="8:8" x14ac:dyDescent="0.25">
      <c r="H4530" t="s">
        <v>6557</v>
      </c>
    </row>
    <row r="4532" spans="8:8" x14ac:dyDescent="0.25">
      <c r="H4532" t="s">
        <v>6558</v>
      </c>
    </row>
    <row r="4533" spans="8:8" x14ac:dyDescent="0.25">
      <c r="H4533" t="s">
        <v>6559</v>
      </c>
    </row>
    <row r="4534" spans="8:8" x14ac:dyDescent="0.25">
      <c r="H4534" t="s">
        <v>149</v>
      </c>
    </row>
    <row r="4535" spans="8:8" x14ac:dyDescent="0.25">
      <c r="H4535" t="s">
        <v>6560</v>
      </c>
    </row>
    <row r="4537" spans="8:8" x14ac:dyDescent="0.25">
      <c r="H4537" t="s">
        <v>6561</v>
      </c>
    </row>
    <row r="4538" spans="8:8" x14ac:dyDescent="0.25">
      <c r="H4538" t="s">
        <v>6562</v>
      </c>
    </row>
    <row r="4539" spans="8:8" x14ac:dyDescent="0.25">
      <c r="H4539" t="s">
        <v>149</v>
      </c>
    </row>
    <row r="4540" spans="8:8" x14ac:dyDescent="0.25">
      <c r="H4540" t="s">
        <v>6563</v>
      </c>
    </row>
    <row r="4542" spans="8:8" x14ac:dyDescent="0.25">
      <c r="H4542" t="s">
        <v>6564</v>
      </c>
    </row>
    <row r="4543" spans="8:8" x14ac:dyDescent="0.25">
      <c r="H4543" t="s">
        <v>6565</v>
      </c>
    </row>
    <row r="4544" spans="8:8" x14ac:dyDescent="0.25">
      <c r="H4544" t="s">
        <v>149</v>
      </c>
    </row>
    <row r="4545" spans="8:8" x14ac:dyDescent="0.25">
      <c r="H4545" t="s">
        <v>6566</v>
      </c>
    </row>
    <row r="4547" spans="8:8" x14ac:dyDescent="0.25">
      <c r="H4547" t="s">
        <v>6567</v>
      </c>
    </row>
    <row r="4548" spans="8:8" x14ac:dyDescent="0.25">
      <c r="H4548" t="s">
        <v>6568</v>
      </c>
    </row>
    <row r="4549" spans="8:8" x14ac:dyDescent="0.25">
      <c r="H4549" t="s">
        <v>149</v>
      </c>
    </row>
    <row r="4550" spans="8:8" x14ac:dyDescent="0.25">
      <c r="H4550" t="s">
        <v>6569</v>
      </c>
    </row>
    <row r="4552" spans="8:8" x14ac:dyDescent="0.25">
      <c r="H4552" t="s">
        <v>6570</v>
      </c>
    </row>
    <row r="4553" spans="8:8" x14ac:dyDescent="0.25">
      <c r="H4553" t="s">
        <v>6571</v>
      </c>
    </row>
    <row r="4554" spans="8:8" x14ac:dyDescent="0.25">
      <c r="H4554" t="s">
        <v>149</v>
      </c>
    </row>
    <row r="4555" spans="8:8" x14ac:dyDescent="0.25">
      <c r="H4555" t="s">
        <v>6572</v>
      </c>
    </row>
    <row r="4557" spans="8:8" x14ac:dyDescent="0.25">
      <c r="H4557" t="s">
        <v>6573</v>
      </c>
    </row>
    <row r="4558" spans="8:8" x14ac:dyDescent="0.25">
      <c r="H4558" t="s">
        <v>6574</v>
      </c>
    </row>
    <row r="4559" spans="8:8" x14ac:dyDescent="0.25">
      <c r="H4559" t="s">
        <v>149</v>
      </c>
    </row>
    <row r="4560" spans="8:8" x14ac:dyDescent="0.25">
      <c r="H4560" t="s">
        <v>6575</v>
      </c>
    </row>
    <row r="4562" spans="8:8" x14ac:dyDescent="0.25">
      <c r="H4562" t="s">
        <v>6576</v>
      </c>
    </row>
    <row r="4563" spans="8:8" x14ac:dyDescent="0.25">
      <c r="H4563" t="s">
        <v>6577</v>
      </c>
    </row>
    <row r="4564" spans="8:8" x14ac:dyDescent="0.25">
      <c r="H4564" t="s">
        <v>149</v>
      </c>
    </row>
    <row r="4565" spans="8:8" x14ac:dyDescent="0.25">
      <c r="H4565" t="s">
        <v>6578</v>
      </c>
    </row>
    <row r="4567" spans="8:8" x14ac:dyDescent="0.25">
      <c r="H4567" t="s">
        <v>6579</v>
      </c>
    </row>
    <row r="4568" spans="8:8" x14ac:dyDescent="0.25">
      <c r="H4568" t="s">
        <v>6580</v>
      </c>
    </row>
    <row r="4569" spans="8:8" x14ac:dyDescent="0.25">
      <c r="H4569" t="s">
        <v>149</v>
      </c>
    </row>
    <row r="4570" spans="8:8" x14ac:dyDescent="0.25">
      <c r="H4570" t="s">
        <v>6581</v>
      </c>
    </row>
    <row r="4572" spans="8:8" x14ac:dyDescent="0.25">
      <c r="H4572" t="s">
        <v>6582</v>
      </c>
    </row>
    <row r="4573" spans="8:8" x14ac:dyDescent="0.25">
      <c r="H4573" t="s">
        <v>6583</v>
      </c>
    </row>
    <row r="4574" spans="8:8" x14ac:dyDescent="0.25">
      <c r="H4574" t="s">
        <v>149</v>
      </c>
    </row>
    <row r="4575" spans="8:8" x14ac:dyDescent="0.25">
      <c r="H4575" t="s">
        <v>6584</v>
      </c>
    </row>
    <row r="4577" spans="8:8" x14ac:dyDescent="0.25">
      <c r="H4577" t="s">
        <v>6585</v>
      </c>
    </row>
    <row r="4578" spans="8:8" x14ac:dyDescent="0.25">
      <c r="H4578" t="s">
        <v>6586</v>
      </c>
    </row>
    <row r="4579" spans="8:8" x14ac:dyDescent="0.25">
      <c r="H4579" t="s">
        <v>149</v>
      </c>
    </row>
    <row r="4580" spans="8:8" x14ac:dyDescent="0.25">
      <c r="H4580" t="s">
        <v>6587</v>
      </c>
    </row>
    <row r="4582" spans="8:8" x14ac:dyDescent="0.25">
      <c r="H4582" t="s">
        <v>6588</v>
      </c>
    </row>
    <row r="4583" spans="8:8" x14ac:dyDescent="0.25">
      <c r="H4583" t="s">
        <v>6589</v>
      </c>
    </row>
    <row r="4584" spans="8:8" x14ac:dyDescent="0.25">
      <c r="H4584" t="s">
        <v>149</v>
      </c>
    </row>
    <row r="4585" spans="8:8" x14ac:dyDescent="0.25">
      <c r="H4585" t="s">
        <v>6590</v>
      </c>
    </row>
    <row r="4587" spans="8:8" x14ac:dyDescent="0.25">
      <c r="H4587" t="s">
        <v>6591</v>
      </c>
    </row>
    <row r="4588" spans="8:8" x14ac:dyDescent="0.25">
      <c r="H4588" t="s">
        <v>6592</v>
      </c>
    </row>
    <row r="4589" spans="8:8" x14ac:dyDescent="0.25">
      <c r="H4589" t="s">
        <v>149</v>
      </c>
    </row>
    <row r="4590" spans="8:8" x14ac:dyDescent="0.25">
      <c r="H4590" t="s">
        <v>6593</v>
      </c>
    </row>
    <row r="4592" spans="8:8" x14ac:dyDescent="0.25">
      <c r="H4592" t="s">
        <v>6594</v>
      </c>
    </row>
    <row r="4593" spans="8:8" x14ac:dyDescent="0.25">
      <c r="H4593" t="s">
        <v>6595</v>
      </c>
    </row>
    <row r="4594" spans="8:8" x14ac:dyDescent="0.25">
      <c r="H4594" t="s">
        <v>149</v>
      </c>
    </row>
    <row r="4595" spans="8:8" x14ac:dyDescent="0.25">
      <c r="H4595" t="s">
        <v>6596</v>
      </c>
    </row>
    <row r="4597" spans="8:8" x14ac:dyDescent="0.25">
      <c r="H4597" t="s">
        <v>6597</v>
      </c>
    </row>
    <row r="4598" spans="8:8" x14ac:dyDescent="0.25">
      <c r="H4598" t="s">
        <v>6598</v>
      </c>
    </row>
    <row r="4599" spans="8:8" x14ac:dyDescent="0.25">
      <c r="H4599" t="s">
        <v>149</v>
      </c>
    </row>
    <row r="4600" spans="8:8" x14ac:dyDescent="0.25">
      <c r="H4600" t="s">
        <v>6599</v>
      </c>
    </row>
    <row r="4602" spans="8:8" x14ac:dyDescent="0.25">
      <c r="H4602" t="s">
        <v>6600</v>
      </c>
    </row>
    <row r="4603" spans="8:8" x14ac:dyDescent="0.25">
      <c r="H4603" t="s">
        <v>6601</v>
      </c>
    </row>
    <row r="4604" spans="8:8" x14ac:dyDescent="0.25">
      <c r="H4604" t="s">
        <v>149</v>
      </c>
    </row>
    <row r="4605" spans="8:8" x14ac:dyDescent="0.25">
      <c r="H4605" t="s">
        <v>6602</v>
      </c>
    </row>
    <row r="4607" spans="8:8" x14ac:dyDescent="0.25">
      <c r="H4607" t="s">
        <v>6603</v>
      </c>
    </row>
    <row r="4608" spans="8:8" x14ac:dyDescent="0.25">
      <c r="H4608" t="s">
        <v>6604</v>
      </c>
    </row>
    <row r="4609" spans="8:8" x14ac:dyDescent="0.25">
      <c r="H4609" t="s">
        <v>149</v>
      </c>
    </row>
    <row r="4610" spans="8:8" x14ac:dyDescent="0.25">
      <c r="H4610" t="s">
        <v>6605</v>
      </c>
    </row>
    <row r="4612" spans="8:8" x14ac:dyDescent="0.25">
      <c r="H4612" t="s">
        <v>6606</v>
      </c>
    </row>
    <row r="4613" spans="8:8" x14ac:dyDescent="0.25">
      <c r="H4613" t="s">
        <v>6607</v>
      </c>
    </row>
    <row r="4614" spans="8:8" x14ac:dyDescent="0.25">
      <c r="H4614" t="s">
        <v>149</v>
      </c>
    </row>
    <row r="4615" spans="8:8" x14ac:dyDescent="0.25">
      <c r="H4615" t="s">
        <v>6608</v>
      </c>
    </row>
    <row r="4617" spans="8:8" x14ac:dyDescent="0.25">
      <c r="H4617" t="s">
        <v>6609</v>
      </c>
    </row>
    <row r="4618" spans="8:8" x14ac:dyDescent="0.25">
      <c r="H4618" t="s">
        <v>6610</v>
      </c>
    </row>
    <row r="4619" spans="8:8" x14ac:dyDescent="0.25">
      <c r="H4619" t="s">
        <v>149</v>
      </c>
    </row>
    <row r="4620" spans="8:8" x14ac:dyDescent="0.25">
      <c r="H4620" t="s">
        <v>6611</v>
      </c>
    </row>
    <row r="4622" spans="8:8" x14ac:dyDescent="0.25">
      <c r="H4622" t="s">
        <v>6612</v>
      </c>
    </row>
    <row r="4623" spans="8:8" x14ac:dyDescent="0.25">
      <c r="H4623" t="s">
        <v>6613</v>
      </c>
    </row>
    <row r="4624" spans="8:8" x14ac:dyDescent="0.25">
      <c r="H4624" t="s">
        <v>149</v>
      </c>
    </row>
    <row r="4625" spans="8:8" x14ac:dyDescent="0.25">
      <c r="H4625" t="s">
        <v>6614</v>
      </c>
    </row>
    <row r="4627" spans="8:8" x14ac:dyDescent="0.25">
      <c r="H4627" t="s">
        <v>6615</v>
      </c>
    </row>
    <row r="4628" spans="8:8" x14ac:dyDescent="0.25">
      <c r="H4628" t="s">
        <v>6616</v>
      </c>
    </row>
    <row r="4629" spans="8:8" x14ac:dyDescent="0.25">
      <c r="H4629" t="s">
        <v>149</v>
      </c>
    </row>
    <row r="4630" spans="8:8" x14ac:dyDescent="0.25">
      <c r="H4630" t="s">
        <v>6617</v>
      </c>
    </row>
    <row r="4632" spans="8:8" x14ac:dyDescent="0.25">
      <c r="H4632" t="s">
        <v>6618</v>
      </c>
    </row>
    <row r="4633" spans="8:8" x14ac:dyDescent="0.25">
      <c r="H4633" t="s">
        <v>6619</v>
      </c>
    </row>
    <row r="4634" spans="8:8" x14ac:dyDescent="0.25">
      <c r="H4634" t="s">
        <v>149</v>
      </c>
    </row>
    <row r="4635" spans="8:8" x14ac:dyDescent="0.25">
      <c r="H4635" t="s">
        <v>6620</v>
      </c>
    </row>
    <row r="4637" spans="8:8" x14ac:dyDescent="0.25">
      <c r="H4637" t="s">
        <v>6621</v>
      </c>
    </row>
    <row r="4638" spans="8:8" x14ac:dyDescent="0.25">
      <c r="H4638" t="s">
        <v>6622</v>
      </c>
    </row>
    <row r="4639" spans="8:8" x14ac:dyDescent="0.25">
      <c r="H4639" t="s">
        <v>149</v>
      </c>
    </row>
    <row r="4640" spans="8:8" x14ac:dyDescent="0.25">
      <c r="H4640" t="s">
        <v>6623</v>
      </c>
    </row>
    <row r="4642" spans="8:8" x14ac:dyDescent="0.25">
      <c r="H4642" t="s">
        <v>6624</v>
      </c>
    </row>
    <row r="4643" spans="8:8" x14ac:dyDescent="0.25">
      <c r="H4643" t="s">
        <v>6625</v>
      </c>
    </row>
    <row r="4644" spans="8:8" x14ac:dyDescent="0.25">
      <c r="H4644" t="s">
        <v>149</v>
      </c>
    </row>
    <row r="4645" spans="8:8" x14ac:dyDescent="0.25">
      <c r="H4645" t="s">
        <v>6626</v>
      </c>
    </row>
    <row r="4647" spans="8:8" x14ac:dyDescent="0.25">
      <c r="H4647" t="s">
        <v>6627</v>
      </c>
    </row>
    <row r="4648" spans="8:8" x14ac:dyDescent="0.25">
      <c r="H4648" t="s">
        <v>6628</v>
      </c>
    </row>
    <row r="4649" spans="8:8" x14ac:dyDescent="0.25">
      <c r="H4649" t="s">
        <v>149</v>
      </c>
    </row>
    <row r="4650" spans="8:8" x14ac:dyDescent="0.25">
      <c r="H4650" t="s">
        <v>6629</v>
      </c>
    </row>
    <row r="4652" spans="8:8" x14ac:dyDescent="0.25">
      <c r="H4652" t="s">
        <v>6630</v>
      </c>
    </row>
    <row r="4653" spans="8:8" x14ac:dyDescent="0.25">
      <c r="H4653" t="s">
        <v>6631</v>
      </c>
    </row>
    <row r="4654" spans="8:8" x14ac:dyDescent="0.25">
      <c r="H4654" t="s">
        <v>149</v>
      </c>
    </row>
    <row r="4655" spans="8:8" x14ac:dyDescent="0.25">
      <c r="H4655" t="s">
        <v>6632</v>
      </c>
    </row>
    <row r="4657" spans="8:8" x14ac:dyDescent="0.25">
      <c r="H4657" t="s">
        <v>6633</v>
      </c>
    </row>
    <row r="4658" spans="8:8" x14ac:dyDescent="0.25">
      <c r="H4658" t="s">
        <v>6634</v>
      </c>
    </row>
    <row r="4659" spans="8:8" x14ac:dyDescent="0.25">
      <c r="H4659" t="s">
        <v>149</v>
      </c>
    </row>
    <row r="4660" spans="8:8" x14ac:dyDescent="0.25">
      <c r="H4660" t="s">
        <v>6635</v>
      </c>
    </row>
    <row r="4662" spans="8:8" x14ac:dyDescent="0.25">
      <c r="H4662" t="s">
        <v>6636</v>
      </c>
    </row>
    <row r="4663" spans="8:8" x14ac:dyDescent="0.25">
      <c r="H4663" t="s">
        <v>6637</v>
      </c>
    </row>
    <row r="4664" spans="8:8" x14ac:dyDescent="0.25">
      <c r="H4664" t="s">
        <v>149</v>
      </c>
    </row>
    <row r="4665" spans="8:8" x14ac:dyDescent="0.25">
      <c r="H4665" t="s">
        <v>6638</v>
      </c>
    </row>
    <row r="4667" spans="8:8" x14ac:dyDescent="0.25">
      <c r="H4667" t="s">
        <v>6639</v>
      </c>
    </row>
    <row r="4668" spans="8:8" x14ac:dyDescent="0.25">
      <c r="H4668" t="s">
        <v>6640</v>
      </c>
    </row>
    <row r="4669" spans="8:8" x14ac:dyDescent="0.25">
      <c r="H4669" t="s">
        <v>149</v>
      </c>
    </row>
    <row r="4670" spans="8:8" x14ac:dyDescent="0.25">
      <c r="H4670" t="s">
        <v>6641</v>
      </c>
    </row>
    <row r="4672" spans="8:8" x14ac:dyDescent="0.25">
      <c r="H4672" t="s">
        <v>6642</v>
      </c>
    </row>
    <row r="4673" spans="8:8" x14ac:dyDescent="0.25">
      <c r="H4673" t="s">
        <v>6643</v>
      </c>
    </row>
    <row r="4674" spans="8:8" x14ac:dyDescent="0.25">
      <c r="H4674" t="s">
        <v>149</v>
      </c>
    </row>
    <row r="4675" spans="8:8" x14ac:dyDescent="0.25">
      <c r="H4675" t="s">
        <v>6644</v>
      </c>
    </row>
    <row r="4677" spans="8:8" x14ac:dyDescent="0.25">
      <c r="H4677" t="s">
        <v>6645</v>
      </c>
    </row>
    <row r="4678" spans="8:8" x14ac:dyDescent="0.25">
      <c r="H4678" t="s">
        <v>6646</v>
      </c>
    </row>
    <row r="4679" spans="8:8" x14ac:dyDescent="0.25">
      <c r="H4679" t="s">
        <v>149</v>
      </c>
    </row>
    <row r="4680" spans="8:8" x14ac:dyDescent="0.25">
      <c r="H4680" t="s">
        <v>6647</v>
      </c>
    </row>
    <row r="4682" spans="8:8" x14ac:dyDescent="0.25">
      <c r="H4682" t="s">
        <v>6648</v>
      </c>
    </row>
    <row r="4683" spans="8:8" x14ac:dyDescent="0.25">
      <c r="H4683" t="s">
        <v>6649</v>
      </c>
    </row>
    <row r="4684" spans="8:8" x14ac:dyDescent="0.25">
      <c r="H4684" t="s">
        <v>149</v>
      </c>
    </row>
    <row r="4685" spans="8:8" x14ac:dyDescent="0.25">
      <c r="H4685" t="s">
        <v>6650</v>
      </c>
    </row>
    <row r="4687" spans="8:8" x14ac:dyDescent="0.25">
      <c r="H4687" t="s">
        <v>6651</v>
      </c>
    </row>
    <row r="4688" spans="8:8" x14ac:dyDescent="0.25">
      <c r="H4688" t="s">
        <v>6652</v>
      </c>
    </row>
    <row r="4689" spans="8:8" x14ac:dyDescent="0.25">
      <c r="H4689" t="s">
        <v>149</v>
      </c>
    </row>
    <row r="4690" spans="8:8" x14ac:dyDescent="0.25">
      <c r="H4690" t="s">
        <v>6653</v>
      </c>
    </row>
    <row r="4692" spans="8:8" x14ac:dyDescent="0.25">
      <c r="H4692" t="s">
        <v>6654</v>
      </c>
    </row>
    <row r="4693" spans="8:8" x14ac:dyDescent="0.25">
      <c r="H4693" t="s">
        <v>6655</v>
      </c>
    </row>
    <row r="4694" spans="8:8" x14ac:dyDescent="0.25">
      <c r="H4694" t="s">
        <v>149</v>
      </c>
    </row>
    <row r="4695" spans="8:8" x14ac:dyDescent="0.25">
      <c r="H4695" t="s">
        <v>6656</v>
      </c>
    </row>
    <row r="4697" spans="8:8" x14ac:dyDescent="0.25">
      <c r="H4697" t="s">
        <v>6657</v>
      </c>
    </row>
    <row r="4698" spans="8:8" x14ac:dyDescent="0.25">
      <c r="H4698" t="s">
        <v>6658</v>
      </c>
    </row>
    <row r="4699" spans="8:8" x14ac:dyDescent="0.25">
      <c r="H4699" t="s">
        <v>149</v>
      </c>
    </row>
    <row r="4700" spans="8:8" x14ac:dyDescent="0.25">
      <c r="H4700" t="s">
        <v>6659</v>
      </c>
    </row>
    <row r="4702" spans="8:8" x14ac:dyDescent="0.25">
      <c r="H4702" t="s">
        <v>6660</v>
      </c>
    </row>
    <row r="4703" spans="8:8" x14ac:dyDescent="0.25">
      <c r="H4703" t="s">
        <v>6661</v>
      </c>
    </row>
    <row r="4704" spans="8:8" x14ac:dyDescent="0.25">
      <c r="H4704" t="s">
        <v>149</v>
      </c>
    </row>
    <row r="4705" spans="8:8" x14ac:dyDescent="0.25">
      <c r="H4705" t="s">
        <v>6662</v>
      </c>
    </row>
    <row r="4707" spans="8:8" x14ac:dyDescent="0.25">
      <c r="H4707" t="s">
        <v>6663</v>
      </c>
    </row>
    <row r="4708" spans="8:8" x14ac:dyDescent="0.25">
      <c r="H4708" t="s">
        <v>6664</v>
      </c>
    </row>
    <row r="4709" spans="8:8" x14ac:dyDescent="0.25">
      <c r="H4709" t="s">
        <v>149</v>
      </c>
    </row>
    <row r="4710" spans="8:8" x14ac:dyDescent="0.25">
      <c r="H4710" t="s">
        <v>6665</v>
      </c>
    </row>
    <row r="4712" spans="8:8" x14ac:dyDescent="0.25">
      <c r="H4712" t="s">
        <v>6666</v>
      </c>
    </row>
    <row r="4713" spans="8:8" x14ac:dyDescent="0.25">
      <c r="H4713" t="s">
        <v>6667</v>
      </c>
    </row>
    <row r="4714" spans="8:8" x14ac:dyDescent="0.25">
      <c r="H4714" t="s">
        <v>149</v>
      </c>
    </row>
    <row r="4715" spans="8:8" x14ac:dyDescent="0.25">
      <c r="H4715" t="s">
        <v>6668</v>
      </c>
    </row>
    <row r="4717" spans="8:8" x14ac:dyDescent="0.25">
      <c r="H4717" t="s">
        <v>6669</v>
      </c>
    </row>
    <row r="4718" spans="8:8" x14ac:dyDescent="0.25">
      <c r="H4718" t="s">
        <v>6670</v>
      </c>
    </row>
    <row r="4719" spans="8:8" x14ac:dyDescent="0.25">
      <c r="H4719" t="s">
        <v>149</v>
      </c>
    </row>
    <row r="4720" spans="8:8" x14ac:dyDescent="0.25">
      <c r="H4720" t="s">
        <v>6671</v>
      </c>
    </row>
    <row r="4722" spans="8:8" x14ac:dyDescent="0.25">
      <c r="H4722" t="s">
        <v>6672</v>
      </c>
    </row>
    <row r="4723" spans="8:8" x14ac:dyDescent="0.25">
      <c r="H4723" t="s">
        <v>6673</v>
      </c>
    </row>
    <row r="4724" spans="8:8" x14ac:dyDescent="0.25">
      <c r="H4724" t="s">
        <v>149</v>
      </c>
    </row>
    <row r="4725" spans="8:8" x14ac:dyDescent="0.25">
      <c r="H4725" t="s">
        <v>6674</v>
      </c>
    </row>
    <row r="4727" spans="8:8" x14ac:dyDescent="0.25">
      <c r="H4727" t="s">
        <v>6675</v>
      </c>
    </row>
    <row r="4728" spans="8:8" x14ac:dyDescent="0.25">
      <c r="H4728" t="s">
        <v>6676</v>
      </c>
    </row>
    <row r="4729" spans="8:8" x14ac:dyDescent="0.25">
      <c r="H4729" t="s">
        <v>149</v>
      </c>
    </row>
    <row r="4730" spans="8:8" x14ac:dyDescent="0.25">
      <c r="H4730" t="s">
        <v>6677</v>
      </c>
    </row>
    <row r="4732" spans="8:8" x14ac:dyDescent="0.25">
      <c r="H4732" t="s">
        <v>6678</v>
      </c>
    </row>
    <row r="4733" spans="8:8" x14ac:dyDescent="0.25">
      <c r="H4733" t="s">
        <v>6679</v>
      </c>
    </row>
    <row r="4734" spans="8:8" x14ac:dyDescent="0.25">
      <c r="H4734" t="s">
        <v>149</v>
      </c>
    </row>
    <row r="4735" spans="8:8" x14ac:dyDescent="0.25">
      <c r="H4735" t="s">
        <v>6680</v>
      </c>
    </row>
    <row r="4737" spans="8:8" x14ac:dyDescent="0.25">
      <c r="H4737" t="s">
        <v>6681</v>
      </c>
    </row>
    <row r="4738" spans="8:8" x14ac:dyDescent="0.25">
      <c r="H4738" t="s">
        <v>6682</v>
      </c>
    </row>
    <row r="4739" spans="8:8" x14ac:dyDescent="0.25">
      <c r="H4739" t="s">
        <v>149</v>
      </c>
    </row>
    <row r="4740" spans="8:8" x14ac:dyDescent="0.25">
      <c r="H4740" t="s">
        <v>6683</v>
      </c>
    </row>
    <row r="4742" spans="8:8" x14ac:dyDescent="0.25">
      <c r="H4742" t="s">
        <v>6684</v>
      </c>
    </row>
    <row r="4743" spans="8:8" x14ac:dyDescent="0.25">
      <c r="H4743" t="s">
        <v>6685</v>
      </c>
    </row>
    <row r="4744" spans="8:8" x14ac:dyDescent="0.25">
      <c r="H4744" t="s">
        <v>149</v>
      </c>
    </row>
    <row r="4745" spans="8:8" x14ac:dyDescent="0.25">
      <c r="H4745" t="s">
        <v>6686</v>
      </c>
    </row>
    <row r="4747" spans="8:8" x14ac:dyDescent="0.25">
      <c r="H4747" t="s">
        <v>6687</v>
      </c>
    </row>
    <row r="4748" spans="8:8" x14ac:dyDescent="0.25">
      <c r="H4748" t="s">
        <v>6688</v>
      </c>
    </row>
    <row r="4749" spans="8:8" x14ac:dyDescent="0.25">
      <c r="H4749" t="s">
        <v>149</v>
      </c>
    </row>
    <row r="4750" spans="8:8" x14ac:dyDescent="0.25">
      <c r="H4750" t="s">
        <v>6689</v>
      </c>
    </row>
    <row r="4752" spans="8:8" x14ac:dyDescent="0.25">
      <c r="H4752" t="s">
        <v>6690</v>
      </c>
    </row>
    <row r="4753" spans="8:8" x14ac:dyDescent="0.25">
      <c r="H4753" t="s">
        <v>6691</v>
      </c>
    </row>
    <row r="4754" spans="8:8" x14ac:dyDescent="0.25">
      <c r="H4754" t="s">
        <v>149</v>
      </c>
    </row>
    <row r="4755" spans="8:8" x14ac:dyDescent="0.25">
      <c r="H4755" t="s">
        <v>6692</v>
      </c>
    </row>
    <row r="4757" spans="8:8" x14ac:dyDescent="0.25">
      <c r="H4757" t="s">
        <v>6693</v>
      </c>
    </row>
    <row r="4758" spans="8:8" x14ac:dyDescent="0.25">
      <c r="H4758" t="s">
        <v>6694</v>
      </c>
    </row>
    <row r="4759" spans="8:8" x14ac:dyDescent="0.25">
      <c r="H4759" t="s">
        <v>149</v>
      </c>
    </row>
    <row r="4760" spans="8:8" x14ac:dyDescent="0.25">
      <c r="H4760" t="s">
        <v>6695</v>
      </c>
    </row>
    <row r="4762" spans="8:8" x14ac:dyDescent="0.25">
      <c r="H4762" t="s">
        <v>6696</v>
      </c>
    </row>
    <row r="4763" spans="8:8" x14ac:dyDescent="0.25">
      <c r="H4763" t="s">
        <v>6697</v>
      </c>
    </row>
    <row r="4764" spans="8:8" x14ac:dyDescent="0.25">
      <c r="H4764" t="s">
        <v>149</v>
      </c>
    </row>
    <row r="4765" spans="8:8" x14ac:dyDescent="0.25">
      <c r="H4765" t="s">
        <v>6698</v>
      </c>
    </row>
    <row r="4767" spans="8:8" x14ac:dyDescent="0.25">
      <c r="H4767" t="s">
        <v>6699</v>
      </c>
    </row>
    <row r="4768" spans="8:8" x14ac:dyDescent="0.25">
      <c r="H4768" t="s">
        <v>6700</v>
      </c>
    </row>
    <row r="4769" spans="8:8" x14ac:dyDescent="0.25">
      <c r="H4769" t="s">
        <v>149</v>
      </c>
    </row>
    <row r="4770" spans="8:8" x14ac:dyDescent="0.25">
      <c r="H4770" t="s">
        <v>6701</v>
      </c>
    </row>
    <row r="4772" spans="8:8" x14ac:dyDescent="0.25">
      <c r="H4772" t="s">
        <v>6702</v>
      </c>
    </row>
    <row r="4773" spans="8:8" x14ac:dyDescent="0.25">
      <c r="H4773" t="s">
        <v>6703</v>
      </c>
    </row>
    <row r="4774" spans="8:8" x14ac:dyDescent="0.25">
      <c r="H4774" t="s">
        <v>149</v>
      </c>
    </row>
    <row r="4775" spans="8:8" x14ac:dyDescent="0.25">
      <c r="H4775" t="s">
        <v>6704</v>
      </c>
    </row>
    <row r="4777" spans="8:8" x14ac:dyDescent="0.25">
      <c r="H4777" t="s">
        <v>6705</v>
      </c>
    </row>
    <row r="4778" spans="8:8" x14ac:dyDescent="0.25">
      <c r="H4778" t="s">
        <v>6706</v>
      </c>
    </row>
    <row r="4779" spans="8:8" x14ac:dyDescent="0.25">
      <c r="H4779" t="s">
        <v>149</v>
      </c>
    </row>
    <row r="4780" spans="8:8" x14ac:dyDescent="0.25">
      <c r="H4780" t="s">
        <v>6707</v>
      </c>
    </row>
    <row r="4782" spans="8:8" x14ac:dyDescent="0.25">
      <c r="H4782" t="s">
        <v>6708</v>
      </c>
    </row>
    <row r="4783" spans="8:8" x14ac:dyDescent="0.25">
      <c r="H4783" t="s">
        <v>6709</v>
      </c>
    </row>
    <row r="4784" spans="8:8" x14ac:dyDescent="0.25">
      <c r="H4784" t="s">
        <v>149</v>
      </c>
    </row>
    <row r="4785" spans="8:8" x14ac:dyDescent="0.25">
      <c r="H4785" t="s">
        <v>6710</v>
      </c>
    </row>
    <row r="4787" spans="8:8" x14ac:dyDescent="0.25">
      <c r="H4787" t="s">
        <v>6711</v>
      </c>
    </row>
    <row r="4788" spans="8:8" x14ac:dyDescent="0.25">
      <c r="H4788" t="s">
        <v>6712</v>
      </c>
    </row>
    <row r="4789" spans="8:8" x14ac:dyDescent="0.25">
      <c r="H4789" t="s">
        <v>149</v>
      </c>
    </row>
    <row r="4790" spans="8:8" x14ac:dyDescent="0.25">
      <c r="H4790" t="s">
        <v>6713</v>
      </c>
    </row>
    <row r="4792" spans="8:8" x14ac:dyDescent="0.25">
      <c r="H4792" t="s">
        <v>6714</v>
      </c>
    </row>
    <row r="4793" spans="8:8" x14ac:dyDescent="0.25">
      <c r="H4793" t="s">
        <v>6715</v>
      </c>
    </row>
    <row r="4794" spans="8:8" x14ac:dyDescent="0.25">
      <c r="H4794" t="s">
        <v>149</v>
      </c>
    </row>
    <row r="4795" spans="8:8" x14ac:dyDescent="0.25">
      <c r="H4795" t="s">
        <v>6716</v>
      </c>
    </row>
    <row r="4797" spans="8:8" x14ac:dyDescent="0.25">
      <c r="H4797" t="s">
        <v>6717</v>
      </c>
    </row>
    <row r="4798" spans="8:8" x14ac:dyDescent="0.25">
      <c r="H4798" t="s">
        <v>6718</v>
      </c>
    </row>
    <row r="4799" spans="8:8" x14ac:dyDescent="0.25">
      <c r="H4799" t="s">
        <v>149</v>
      </c>
    </row>
    <row r="4800" spans="8:8" x14ac:dyDescent="0.25">
      <c r="H4800" t="s">
        <v>6719</v>
      </c>
    </row>
    <row r="4802" spans="8:8" x14ac:dyDescent="0.25">
      <c r="H4802" t="s">
        <v>6720</v>
      </c>
    </row>
    <row r="4803" spans="8:8" x14ac:dyDescent="0.25">
      <c r="H4803" t="s">
        <v>6721</v>
      </c>
    </row>
    <row r="4804" spans="8:8" x14ac:dyDescent="0.25">
      <c r="H4804" t="s">
        <v>149</v>
      </c>
    </row>
    <row r="4805" spans="8:8" x14ac:dyDescent="0.25">
      <c r="H4805" t="s">
        <v>6722</v>
      </c>
    </row>
    <row r="4807" spans="8:8" x14ac:dyDescent="0.25">
      <c r="H4807" t="s">
        <v>6723</v>
      </c>
    </row>
    <row r="4808" spans="8:8" x14ac:dyDescent="0.25">
      <c r="H4808" t="s">
        <v>6724</v>
      </c>
    </row>
    <row r="4809" spans="8:8" x14ac:dyDescent="0.25">
      <c r="H4809" t="s">
        <v>149</v>
      </c>
    </row>
    <row r="4810" spans="8:8" x14ac:dyDescent="0.25">
      <c r="H4810" t="s">
        <v>6725</v>
      </c>
    </row>
    <row r="4812" spans="8:8" x14ac:dyDescent="0.25">
      <c r="H4812" t="s">
        <v>6726</v>
      </c>
    </row>
    <row r="4813" spans="8:8" x14ac:dyDescent="0.25">
      <c r="H4813" t="s">
        <v>6727</v>
      </c>
    </row>
    <row r="4814" spans="8:8" x14ac:dyDescent="0.25">
      <c r="H4814" t="s">
        <v>149</v>
      </c>
    </row>
    <row r="4815" spans="8:8" x14ac:dyDescent="0.25">
      <c r="H4815" t="s">
        <v>6728</v>
      </c>
    </row>
    <row r="4817" spans="8:8" x14ac:dyDescent="0.25">
      <c r="H4817" t="s">
        <v>6729</v>
      </c>
    </row>
    <row r="4818" spans="8:8" x14ac:dyDescent="0.25">
      <c r="H4818" t="s">
        <v>6730</v>
      </c>
    </row>
    <row r="4819" spans="8:8" x14ac:dyDescent="0.25">
      <c r="H4819" t="s">
        <v>149</v>
      </c>
    </row>
    <row r="4820" spans="8:8" x14ac:dyDescent="0.25">
      <c r="H4820" t="s">
        <v>6731</v>
      </c>
    </row>
    <row r="4822" spans="8:8" x14ac:dyDescent="0.25">
      <c r="H4822" t="s">
        <v>6732</v>
      </c>
    </row>
    <row r="4823" spans="8:8" x14ac:dyDescent="0.25">
      <c r="H4823" t="s">
        <v>6733</v>
      </c>
    </row>
    <row r="4824" spans="8:8" x14ac:dyDescent="0.25">
      <c r="H4824" t="s">
        <v>149</v>
      </c>
    </row>
    <row r="4825" spans="8:8" x14ac:dyDescent="0.25">
      <c r="H4825" t="s">
        <v>6734</v>
      </c>
    </row>
    <row r="4827" spans="8:8" x14ac:dyDescent="0.25">
      <c r="H4827" t="s">
        <v>6735</v>
      </c>
    </row>
    <row r="4828" spans="8:8" x14ac:dyDescent="0.25">
      <c r="H4828" t="s">
        <v>6736</v>
      </c>
    </row>
    <row r="4829" spans="8:8" x14ac:dyDescent="0.25">
      <c r="H4829" t="s">
        <v>149</v>
      </c>
    </row>
    <row r="4830" spans="8:8" x14ac:dyDescent="0.25">
      <c r="H4830" t="s">
        <v>6737</v>
      </c>
    </row>
    <row r="4832" spans="8:8" x14ac:dyDescent="0.25">
      <c r="H4832" t="s">
        <v>6738</v>
      </c>
    </row>
    <row r="4833" spans="8:8" x14ac:dyDescent="0.25">
      <c r="H4833" t="s">
        <v>6739</v>
      </c>
    </row>
    <row r="4834" spans="8:8" x14ac:dyDescent="0.25">
      <c r="H4834" t="s">
        <v>149</v>
      </c>
    </row>
    <row r="4835" spans="8:8" x14ac:dyDescent="0.25">
      <c r="H4835" t="s">
        <v>6740</v>
      </c>
    </row>
    <row r="4837" spans="8:8" x14ac:dyDescent="0.25">
      <c r="H4837" t="s">
        <v>6741</v>
      </c>
    </row>
    <row r="4838" spans="8:8" x14ac:dyDescent="0.25">
      <c r="H4838" t="s">
        <v>6742</v>
      </c>
    </row>
    <row r="4839" spans="8:8" x14ac:dyDescent="0.25">
      <c r="H4839" t="s">
        <v>149</v>
      </c>
    </row>
    <row r="4840" spans="8:8" x14ac:dyDescent="0.25">
      <c r="H4840" t="s">
        <v>6743</v>
      </c>
    </row>
    <row r="4842" spans="8:8" x14ac:dyDescent="0.25">
      <c r="H4842" t="s">
        <v>6744</v>
      </c>
    </row>
    <row r="4843" spans="8:8" x14ac:dyDescent="0.25">
      <c r="H4843" t="s">
        <v>6745</v>
      </c>
    </row>
    <row r="4844" spans="8:8" x14ac:dyDescent="0.25">
      <c r="H4844" t="s">
        <v>149</v>
      </c>
    </row>
    <row r="4845" spans="8:8" x14ac:dyDescent="0.25">
      <c r="H4845" t="s">
        <v>6746</v>
      </c>
    </row>
    <row r="4847" spans="8:8" x14ac:dyDescent="0.25">
      <c r="H4847" t="s">
        <v>6747</v>
      </c>
    </row>
    <row r="4848" spans="8:8" x14ac:dyDescent="0.25">
      <c r="H4848" t="s">
        <v>6748</v>
      </c>
    </row>
    <row r="4849" spans="8:8" x14ac:dyDescent="0.25">
      <c r="H4849" t="s">
        <v>149</v>
      </c>
    </row>
    <row r="4850" spans="8:8" x14ac:dyDescent="0.25">
      <c r="H4850" t="s">
        <v>6749</v>
      </c>
    </row>
    <row r="4852" spans="8:8" x14ac:dyDescent="0.25">
      <c r="H4852" t="s">
        <v>6750</v>
      </c>
    </row>
    <row r="4853" spans="8:8" x14ac:dyDescent="0.25">
      <c r="H4853" t="s">
        <v>6751</v>
      </c>
    </row>
    <row r="4854" spans="8:8" x14ac:dyDescent="0.25">
      <c r="H4854" t="s">
        <v>149</v>
      </c>
    </row>
    <row r="4855" spans="8:8" x14ac:dyDescent="0.25">
      <c r="H4855" t="s">
        <v>6752</v>
      </c>
    </row>
    <row r="4857" spans="8:8" x14ac:dyDescent="0.25">
      <c r="H4857" t="s">
        <v>6753</v>
      </c>
    </row>
    <row r="4858" spans="8:8" x14ac:dyDescent="0.25">
      <c r="H4858" t="s">
        <v>6754</v>
      </c>
    </row>
    <row r="4859" spans="8:8" x14ac:dyDescent="0.25">
      <c r="H4859" t="s">
        <v>149</v>
      </c>
    </row>
    <row r="4860" spans="8:8" x14ac:dyDescent="0.25">
      <c r="H4860" t="s">
        <v>6755</v>
      </c>
    </row>
    <row r="4862" spans="8:8" x14ac:dyDescent="0.25">
      <c r="H4862" t="s">
        <v>6756</v>
      </c>
    </row>
    <row r="4863" spans="8:8" x14ac:dyDescent="0.25">
      <c r="H4863" t="s">
        <v>6757</v>
      </c>
    </row>
    <row r="4864" spans="8:8" x14ac:dyDescent="0.25">
      <c r="H4864" t="s">
        <v>149</v>
      </c>
    </row>
    <row r="4865" spans="8:8" x14ac:dyDescent="0.25">
      <c r="H4865" t="s">
        <v>6758</v>
      </c>
    </row>
    <row r="4867" spans="8:8" x14ac:dyDescent="0.25">
      <c r="H4867" t="s">
        <v>6759</v>
      </c>
    </row>
    <row r="4868" spans="8:8" x14ac:dyDescent="0.25">
      <c r="H4868" t="s">
        <v>6760</v>
      </c>
    </row>
    <row r="4869" spans="8:8" x14ac:dyDescent="0.25">
      <c r="H4869" t="s">
        <v>149</v>
      </c>
    </row>
    <row r="4870" spans="8:8" x14ac:dyDescent="0.25">
      <c r="H4870" t="s">
        <v>6761</v>
      </c>
    </row>
    <row r="4872" spans="8:8" x14ac:dyDescent="0.25">
      <c r="H4872" t="s">
        <v>6762</v>
      </c>
    </row>
    <row r="4873" spans="8:8" x14ac:dyDescent="0.25">
      <c r="H4873" t="s">
        <v>6763</v>
      </c>
    </row>
    <row r="4874" spans="8:8" x14ac:dyDescent="0.25">
      <c r="H4874" t="s">
        <v>149</v>
      </c>
    </row>
    <row r="4875" spans="8:8" x14ac:dyDescent="0.25">
      <c r="H4875" t="s">
        <v>6764</v>
      </c>
    </row>
    <row r="4877" spans="8:8" x14ac:dyDescent="0.25">
      <c r="H4877" t="s">
        <v>6765</v>
      </c>
    </row>
    <row r="4878" spans="8:8" x14ac:dyDescent="0.25">
      <c r="H4878" t="s">
        <v>6766</v>
      </c>
    </row>
    <row r="4879" spans="8:8" x14ac:dyDescent="0.25">
      <c r="H4879" t="s">
        <v>149</v>
      </c>
    </row>
    <row r="4880" spans="8:8" x14ac:dyDescent="0.25">
      <c r="H4880" t="s">
        <v>6767</v>
      </c>
    </row>
    <row r="4882" spans="8:8" x14ac:dyDescent="0.25">
      <c r="H4882" t="s">
        <v>6768</v>
      </c>
    </row>
    <row r="4883" spans="8:8" x14ac:dyDescent="0.25">
      <c r="H4883" t="s">
        <v>6769</v>
      </c>
    </row>
    <row r="4884" spans="8:8" x14ac:dyDescent="0.25">
      <c r="H4884" t="s">
        <v>149</v>
      </c>
    </row>
    <row r="4885" spans="8:8" x14ac:dyDescent="0.25">
      <c r="H4885" t="s">
        <v>6770</v>
      </c>
    </row>
    <row r="4887" spans="8:8" x14ac:dyDescent="0.25">
      <c r="H4887" t="s">
        <v>6771</v>
      </c>
    </row>
    <row r="4888" spans="8:8" x14ac:dyDescent="0.25">
      <c r="H4888" t="s">
        <v>6772</v>
      </c>
    </row>
    <row r="4889" spans="8:8" x14ac:dyDescent="0.25">
      <c r="H4889" t="s">
        <v>149</v>
      </c>
    </row>
    <row r="4890" spans="8:8" x14ac:dyDescent="0.25">
      <c r="H4890" t="s">
        <v>6773</v>
      </c>
    </row>
    <row r="4892" spans="8:8" x14ac:dyDescent="0.25">
      <c r="H4892" t="s">
        <v>6774</v>
      </c>
    </row>
    <row r="4893" spans="8:8" x14ac:dyDescent="0.25">
      <c r="H4893" t="s">
        <v>6775</v>
      </c>
    </row>
    <row r="4894" spans="8:8" x14ac:dyDescent="0.25">
      <c r="H4894" t="s">
        <v>149</v>
      </c>
    </row>
    <row r="4895" spans="8:8" x14ac:dyDescent="0.25">
      <c r="H4895" t="s">
        <v>6776</v>
      </c>
    </row>
    <row r="4897" spans="8:8" x14ac:dyDescent="0.25">
      <c r="H4897" t="s">
        <v>6777</v>
      </c>
    </row>
    <row r="4898" spans="8:8" x14ac:dyDescent="0.25">
      <c r="H4898" t="s">
        <v>6778</v>
      </c>
    </row>
    <row r="4899" spans="8:8" x14ac:dyDescent="0.25">
      <c r="H4899" t="s">
        <v>149</v>
      </c>
    </row>
    <row r="4900" spans="8:8" x14ac:dyDescent="0.25">
      <c r="H4900" t="s">
        <v>6779</v>
      </c>
    </row>
    <row r="4902" spans="8:8" x14ac:dyDescent="0.25">
      <c r="H4902" t="s">
        <v>6780</v>
      </c>
    </row>
    <row r="4903" spans="8:8" x14ac:dyDescent="0.25">
      <c r="H4903" t="s">
        <v>6781</v>
      </c>
    </row>
    <row r="4904" spans="8:8" x14ac:dyDescent="0.25">
      <c r="H4904" t="s">
        <v>149</v>
      </c>
    </row>
    <row r="4905" spans="8:8" x14ac:dyDescent="0.25">
      <c r="H4905" t="s">
        <v>6782</v>
      </c>
    </row>
    <row r="4907" spans="8:8" x14ac:dyDescent="0.25">
      <c r="H4907" t="s">
        <v>6783</v>
      </c>
    </row>
    <row r="4908" spans="8:8" x14ac:dyDescent="0.25">
      <c r="H4908" t="s">
        <v>6784</v>
      </c>
    </row>
    <row r="4909" spans="8:8" x14ac:dyDescent="0.25">
      <c r="H4909" t="s">
        <v>149</v>
      </c>
    </row>
    <row r="4910" spans="8:8" x14ac:dyDescent="0.25">
      <c r="H4910" t="s">
        <v>6785</v>
      </c>
    </row>
    <row r="4912" spans="8:8" x14ac:dyDescent="0.25">
      <c r="H4912" t="s">
        <v>6786</v>
      </c>
    </row>
    <row r="4913" spans="8:8" x14ac:dyDescent="0.25">
      <c r="H4913" t="s">
        <v>6787</v>
      </c>
    </row>
    <row r="4914" spans="8:8" x14ac:dyDescent="0.25">
      <c r="H4914" t="s">
        <v>149</v>
      </c>
    </row>
    <row r="4915" spans="8:8" x14ac:dyDescent="0.25">
      <c r="H4915" t="s">
        <v>6788</v>
      </c>
    </row>
    <row r="4917" spans="8:8" x14ac:dyDescent="0.25">
      <c r="H4917" t="s">
        <v>6789</v>
      </c>
    </row>
    <row r="4918" spans="8:8" x14ac:dyDescent="0.25">
      <c r="H4918" t="s">
        <v>6790</v>
      </c>
    </row>
    <row r="4919" spans="8:8" x14ac:dyDescent="0.25">
      <c r="H4919" t="s">
        <v>149</v>
      </c>
    </row>
    <row r="4920" spans="8:8" x14ac:dyDescent="0.25">
      <c r="H4920" t="s">
        <v>6791</v>
      </c>
    </row>
    <row r="4922" spans="8:8" x14ac:dyDescent="0.25">
      <c r="H4922" t="s">
        <v>6792</v>
      </c>
    </row>
    <row r="4923" spans="8:8" x14ac:dyDescent="0.25">
      <c r="H4923" t="s">
        <v>6793</v>
      </c>
    </row>
    <row r="4924" spans="8:8" x14ac:dyDescent="0.25">
      <c r="H4924" t="s">
        <v>149</v>
      </c>
    </row>
    <row r="4925" spans="8:8" x14ac:dyDescent="0.25">
      <c r="H4925" t="s">
        <v>6794</v>
      </c>
    </row>
    <row r="4927" spans="8:8" x14ac:dyDescent="0.25">
      <c r="H4927" t="s">
        <v>6795</v>
      </c>
    </row>
    <row r="4928" spans="8:8" x14ac:dyDescent="0.25">
      <c r="H4928" t="s">
        <v>6796</v>
      </c>
    </row>
    <row r="4929" spans="8:8" x14ac:dyDescent="0.25">
      <c r="H4929" t="s">
        <v>149</v>
      </c>
    </row>
    <row r="4930" spans="8:8" x14ac:dyDescent="0.25">
      <c r="H4930" t="s">
        <v>6797</v>
      </c>
    </row>
    <row r="4932" spans="8:8" x14ac:dyDescent="0.25">
      <c r="H4932" t="s">
        <v>6798</v>
      </c>
    </row>
    <row r="4933" spans="8:8" x14ac:dyDescent="0.25">
      <c r="H4933" t="s">
        <v>6799</v>
      </c>
    </row>
    <row r="4934" spans="8:8" x14ac:dyDescent="0.25">
      <c r="H4934" t="s">
        <v>149</v>
      </c>
    </row>
    <row r="4935" spans="8:8" x14ac:dyDescent="0.25">
      <c r="H4935" t="s">
        <v>6800</v>
      </c>
    </row>
    <row r="4937" spans="8:8" x14ac:dyDescent="0.25">
      <c r="H4937" t="s">
        <v>6801</v>
      </c>
    </row>
    <row r="4938" spans="8:8" x14ac:dyDescent="0.25">
      <c r="H4938" t="s">
        <v>6802</v>
      </c>
    </row>
    <row r="4939" spans="8:8" x14ac:dyDescent="0.25">
      <c r="H4939" t="s">
        <v>149</v>
      </c>
    </row>
    <row r="4940" spans="8:8" x14ac:dyDescent="0.25">
      <c r="H4940" t="s">
        <v>6803</v>
      </c>
    </row>
    <row r="4942" spans="8:8" x14ac:dyDescent="0.25">
      <c r="H4942" t="s">
        <v>6804</v>
      </c>
    </row>
    <row r="4943" spans="8:8" x14ac:dyDescent="0.25">
      <c r="H4943" t="s">
        <v>6805</v>
      </c>
    </row>
    <row r="4944" spans="8:8" x14ac:dyDescent="0.25">
      <c r="H4944" t="s">
        <v>149</v>
      </c>
    </row>
    <row r="4945" spans="8:8" x14ac:dyDescent="0.25">
      <c r="H4945" t="s">
        <v>6806</v>
      </c>
    </row>
    <row r="4947" spans="8:8" x14ac:dyDescent="0.25">
      <c r="H4947" t="s">
        <v>6807</v>
      </c>
    </row>
    <row r="4948" spans="8:8" x14ac:dyDescent="0.25">
      <c r="H4948" t="s">
        <v>6808</v>
      </c>
    </row>
    <row r="4949" spans="8:8" x14ac:dyDescent="0.25">
      <c r="H4949" t="s">
        <v>149</v>
      </c>
    </row>
    <row r="4950" spans="8:8" x14ac:dyDescent="0.25">
      <c r="H4950" t="s">
        <v>6809</v>
      </c>
    </row>
    <row r="4952" spans="8:8" x14ac:dyDescent="0.25">
      <c r="H4952" t="s">
        <v>6810</v>
      </c>
    </row>
    <row r="4953" spans="8:8" x14ac:dyDescent="0.25">
      <c r="H4953" t="s">
        <v>6811</v>
      </c>
    </row>
    <row r="4954" spans="8:8" x14ac:dyDescent="0.25">
      <c r="H4954" t="s">
        <v>149</v>
      </c>
    </row>
    <row r="4955" spans="8:8" x14ac:dyDescent="0.25">
      <c r="H4955" t="s">
        <v>6812</v>
      </c>
    </row>
    <row r="4957" spans="8:8" x14ac:dyDescent="0.25">
      <c r="H4957" t="s">
        <v>6813</v>
      </c>
    </row>
    <row r="4958" spans="8:8" x14ac:dyDescent="0.25">
      <c r="H4958" t="s">
        <v>6814</v>
      </c>
    </row>
    <row r="4959" spans="8:8" x14ac:dyDescent="0.25">
      <c r="H4959" t="s">
        <v>149</v>
      </c>
    </row>
    <row r="4960" spans="8:8" x14ac:dyDescent="0.25">
      <c r="H4960" t="s">
        <v>6815</v>
      </c>
    </row>
    <row r="4962" spans="8:8" x14ac:dyDescent="0.25">
      <c r="H4962" t="s">
        <v>6816</v>
      </c>
    </row>
    <row r="4963" spans="8:8" x14ac:dyDescent="0.25">
      <c r="H4963" t="s">
        <v>6817</v>
      </c>
    </row>
    <row r="4964" spans="8:8" x14ac:dyDescent="0.25">
      <c r="H4964" t="s">
        <v>149</v>
      </c>
    </row>
    <row r="4965" spans="8:8" x14ac:dyDescent="0.25">
      <c r="H4965" t="s">
        <v>6818</v>
      </c>
    </row>
    <row r="4967" spans="8:8" x14ac:dyDescent="0.25">
      <c r="H4967" t="s">
        <v>6819</v>
      </c>
    </row>
    <row r="4968" spans="8:8" x14ac:dyDescent="0.25">
      <c r="H4968" t="s">
        <v>6820</v>
      </c>
    </row>
    <row r="4969" spans="8:8" x14ac:dyDescent="0.25">
      <c r="H4969" t="s">
        <v>149</v>
      </c>
    </row>
    <row r="4970" spans="8:8" x14ac:dyDescent="0.25">
      <c r="H4970" t="s">
        <v>6821</v>
      </c>
    </row>
    <row r="4972" spans="8:8" x14ac:dyDescent="0.25">
      <c r="H4972" t="s">
        <v>6822</v>
      </c>
    </row>
    <row r="4973" spans="8:8" x14ac:dyDescent="0.25">
      <c r="H4973" t="s">
        <v>6823</v>
      </c>
    </row>
    <row r="4974" spans="8:8" x14ac:dyDescent="0.25">
      <c r="H4974" t="s">
        <v>149</v>
      </c>
    </row>
    <row r="4975" spans="8:8" x14ac:dyDescent="0.25">
      <c r="H4975" t="s">
        <v>6824</v>
      </c>
    </row>
    <row r="4977" spans="8:8" x14ac:dyDescent="0.25">
      <c r="H4977" t="s">
        <v>6825</v>
      </c>
    </row>
    <row r="4978" spans="8:8" x14ac:dyDescent="0.25">
      <c r="H4978" t="s">
        <v>6826</v>
      </c>
    </row>
    <row r="4979" spans="8:8" x14ac:dyDescent="0.25">
      <c r="H4979" t="s">
        <v>149</v>
      </c>
    </row>
    <row r="4980" spans="8:8" x14ac:dyDescent="0.25">
      <c r="H4980" t="s">
        <v>6827</v>
      </c>
    </row>
    <row r="4982" spans="8:8" x14ac:dyDescent="0.25">
      <c r="H4982" t="s">
        <v>6828</v>
      </c>
    </row>
    <row r="4983" spans="8:8" x14ac:dyDescent="0.25">
      <c r="H4983" t="s">
        <v>6829</v>
      </c>
    </row>
    <row r="4984" spans="8:8" x14ac:dyDescent="0.25">
      <c r="H4984" t="s">
        <v>149</v>
      </c>
    </row>
    <row r="4985" spans="8:8" x14ac:dyDescent="0.25">
      <c r="H4985" t="s">
        <v>6830</v>
      </c>
    </row>
    <row r="4987" spans="8:8" x14ac:dyDescent="0.25">
      <c r="H4987" t="s">
        <v>6831</v>
      </c>
    </row>
    <row r="4988" spans="8:8" x14ac:dyDescent="0.25">
      <c r="H4988" t="s">
        <v>6832</v>
      </c>
    </row>
    <row r="4989" spans="8:8" x14ac:dyDescent="0.25">
      <c r="H4989" t="s">
        <v>149</v>
      </c>
    </row>
    <row r="4990" spans="8:8" x14ac:dyDescent="0.25">
      <c r="H4990" t="s">
        <v>6833</v>
      </c>
    </row>
    <row r="4992" spans="8:8" x14ac:dyDescent="0.25">
      <c r="H4992" t="s">
        <v>6834</v>
      </c>
    </row>
    <row r="4993" spans="8:8" x14ac:dyDescent="0.25">
      <c r="H4993" t="s">
        <v>6835</v>
      </c>
    </row>
    <row r="4994" spans="8:8" x14ac:dyDescent="0.25">
      <c r="H4994" t="s">
        <v>149</v>
      </c>
    </row>
    <row r="4995" spans="8:8" x14ac:dyDescent="0.25">
      <c r="H4995" t="s">
        <v>6836</v>
      </c>
    </row>
    <row r="4997" spans="8:8" x14ac:dyDescent="0.25">
      <c r="H4997" t="s">
        <v>6837</v>
      </c>
    </row>
    <row r="4998" spans="8:8" x14ac:dyDescent="0.25">
      <c r="H4998" t="s">
        <v>6838</v>
      </c>
    </row>
    <row r="4999" spans="8:8" x14ac:dyDescent="0.25">
      <c r="H4999" t="s">
        <v>149</v>
      </c>
    </row>
    <row r="5000" spans="8:8" x14ac:dyDescent="0.25">
      <c r="H5000" t="s">
        <v>6839</v>
      </c>
    </row>
    <row r="5002" spans="8:8" x14ac:dyDescent="0.25">
      <c r="H5002" t="s">
        <v>6840</v>
      </c>
    </row>
    <row r="5003" spans="8:8" x14ac:dyDescent="0.25">
      <c r="H5003" t="s">
        <v>6841</v>
      </c>
    </row>
    <row r="5004" spans="8:8" x14ac:dyDescent="0.25">
      <c r="H5004" t="s">
        <v>149</v>
      </c>
    </row>
    <row r="5005" spans="8:8" x14ac:dyDescent="0.25">
      <c r="H5005" t="s">
        <v>6842</v>
      </c>
    </row>
    <row r="5007" spans="8:8" x14ac:dyDescent="0.25">
      <c r="H5007" t="s">
        <v>6843</v>
      </c>
    </row>
    <row r="5008" spans="8:8" x14ac:dyDescent="0.25">
      <c r="H5008" t="s">
        <v>6844</v>
      </c>
    </row>
    <row r="5009" spans="8:8" x14ac:dyDescent="0.25">
      <c r="H5009" t="s">
        <v>149</v>
      </c>
    </row>
    <row r="5010" spans="8:8" x14ac:dyDescent="0.25">
      <c r="H5010" t="s">
        <v>6845</v>
      </c>
    </row>
    <row r="5012" spans="8:8" x14ac:dyDescent="0.25">
      <c r="H5012" t="s">
        <v>6846</v>
      </c>
    </row>
    <row r="5013" spans="8:8" x14ac:dyDescent="0.25">
      <c r="H5013" t="s">
        <v>6847</v>
      </c>
    </row>
    <row r="5014" spans="8:8" x14ac:dyDescent="0.25">
      <c r="H5014" t="s">
        <v>149</v>
      </c>
    </row>
    <row r="5015" spans="8:8" x14ac:dyDescent="0.25">
      <c r="H5015" t="s">
        <v>6848</v>
      </c>
    </row>
    <row r="5017" spans="8:8" x14ac:dyDescent="0.25">
      <c r="H5017" t="s">
        <v>6849</v>
      </c>
    </row>
    <row r="5018" spans="8:8" x14ac:dyDescent="0.25">
      <c r="H5018" t="s">
        <v>6850</v>
      </c>
    </row>
    <row r="5019" spans="8:8" x14ac:dyDescent="0.25">
      <c r="H5019" t="s">
        <v>149</v>
      </c>
    </row>
    <row r="5020" spans="8:8" x14ac:dyDescent="0.25">
      <c r="H5020" t="s">
        <v>6851</v>
      </c>
    </row>
    <row r="5022" spans="8:8" x14ac:dyDescent="0.25">
      <c r="H5022" t="s">
        <v>6852</v>
      </c>
    </row>
    <row r="5023" spans="8:8" x14ac:dyDescent="0.25">
      <c r="H5023" t="s">
        <v>6853</v>
      </c>
    </row>
    <row r="5024" spans="8:8" x14ac:dyDescent="0.25">
      <c r="H5024" t="s">
        <v>149</v>
      </c>
    </row>
    <row r="5025" spans="8:8" x14ac:dyDescent="0.25">
      <c r="H5025" t="s">
        <v>6854</v>
      </c>
    </row>
    <row r="5027" spans="8:8" x14ac:dyDescent="0.25">
      <c r="H5027" t="s">
        <v>6855</v>
      </c>
    </row>
    <row r="5028" spans="8:8" x14ac:dyDescent="0.25">
      <c r="H5028" t="s">
        <v>6856</v>
      </c>
    </row>
    <row r="5029" spans="8:8" x14ac:dyDescent="0.25">
      <c r="H5029" t="s">
        <v>149</v>
      </c>
    </row>
    <row r="5030" spans="8:8" x14ac:dyDescent="0.25">
      <c r="H5030" t="s">
        <v>6857</v>
      </c>
    </row>
    <row r="5032" spans="8:8" x14ac:dyDescent="0.25">
      <c r="H5032" t="s">
        <v>6858</v>
      </c>
    </row>
    <row r="5033" spans="8:8" x14ac:dyDescent="0.25">
      <c r="H5033" t="s">
        <v>6859</v>
      </c>
    </row>
    <row r="5034" spans="8:8" x14ac:dyDescent="0.25">
      <c r="H5034" t="s">
        <v>149</v>
      </c>
    </row>
    <row r="5035" spans="8:8" x14ac:dyDescent="0.25">
      <c r="H5035" t="s">
        <v>6860</v>
      </c>
    </row>
    <row r="5037" spans="8:8" x14ac:dyDescent="0.25">
      <c r="H5037" t="s">
        <v>6861</v>
      </c>
    </row>
    <row r="5038" spans="8:8" x14ac:dyDescent="0.25">
      <c r="H5038" t="s">
        <v>6862</v>
      </c>
    </row>
    <row r="5039" spans="8:8" x14ac:dyDescent="0.25">
      <c r="H5039" t="s">
        <v>149</v>
      </c>
    </row>
    <row r="5040" spans="8:8" x14ac:dyDescent="0.25">
      <c r="H5040" t="s">
        <v>6863</v>
      </c>
    </row>
    <row r="5042" spans="8:8" x14ac:dyDescent="0.25">
      <c r="H5042" t="s">
        <v>6864</v>
      </c>
    </row>
    <row r="5043" spans="8:8" x14ac:dyDescent="0.25">
      <c r="H5043" t="s">
        <v>6865</v>
      </c>
    </row>
    <row r="5044" spans="8:8" x14ac:dyDescent="0.25">
      <c r="H5044" t="s">
        <v>149</v>
      </c>
    </row>
    <row r="5045" spans="8:8" x14ac:dyDescent="0.25">
      <c r="H5045" t="s">
        <v>6866</v>
      </c>
    </row>
    <row r="5047" spans="8:8" x14ac:dyDescent="0.25">
      <c r="H5047" t="s">
        <v>6867</v>
      </c>
    </row>
    <row r="5048" spans="8:8" x14ac:dyDescent="0.25">
      <c r="H5048" t="s">
        <v>6868</v>
      </c>
    </row>
    <row r="5049" spans="8:8" x14ac:dyDescent="0.25">
      <c r="H5049" t="s">
        <v>149</v>
      </c>
    </row>
    <row r="5050" spans="8:8" x14ac:dyDescent="0.25">
      <c r="H5050" t="s">
        <v>6869</v>
      </c>
    </row>
    <row r="5052" spans="8:8" x14ac:dyDescent="0.25">
      <c r="H5052" t="s">
        <v>6870</v>
      </c>
    </row>
    <row r="5053" spans="8:8" x14ac:dyDescent="0.25">
      <c r="H5053" t="s">
        <v>6871</v>
      </c>
    </row>
    <row r="5054" spans="8:8" x14ac:dyDescent="0.25">
      <c r="H5054" t="s">
        <v>149</v>
      </c>
    </row>
    <row r="5055" spans="8:8" x14ac:dyDescent="0.25">
      <c r="H5055" t="s">
        <v>6872</v>
      </c>
    </row>
    <row r="5057" spans="8:8" x14ac:dyDescent="0.25">
      <c r="H5057" t="s">
        <v>6873</v>
      </c>
    </row>
    <row r="5058" spans="8:8" x14ac:dyDescent="0.25">
      <c r="H5058" t="s">
        <v>6874</v>
      </c>
    </row>
    <row r="5059" spans="8:8" x14ac:dyDescent="0.25">
      <c r="H5059" t="s">
        <v>149</v>
      </c>
    </row>
    <row r="5060" spans="8:8" x14ac:dyDescent="0.25">
      <c r="H5060" t="s">
        <v>6875</v>
      </c>
    </row>
    <row r="5062" spans="8:8" x14ac:dyDescent="0.25">
      <c r="H5062" t="s">
        <v>6876</v>
      </c>
    </row>
    <row r="5063" spans="8:8" x14ac:dyDescent="0.25">
      <c r="H5063" t="s">
        <v>6877</v>
      </c>
    </row>
    <row r="5064" spans="8:8" x14ac:dyDescent="0.25">
      <c r="H5064" t="s">
        <v>149</v>
      </c>
    </row>
    <row r="5065" spans="8:8" x14ac:dyDescent="0.25">
      <c r="H5065" t="s">
        <v>6878</v>
      </c>
    </row>
    <row r="5067" spans="8:8" x14ac:dyDescent="0.25">
      <c r="H5067" t="s">
        <v>6879</v>
      </c>
    </row>
    <row r="5068" spans="8:8" x14ac:dyDescent="0.25">
      <c r="H5068" t="s">
        <v>6880</v>
      </c>
    </row>
    <row r="5069" spans="8:8" x14ac:dyDescent="0.25">
      <c r="H5069" t="s">
        <v>149</v>
      </c>
    </row>
    <row r="5070" spans="8:8" x14ac:dyDescent="0.25">
      <c r="H5070" t="s">
        <v>6881</v>
      </c>
    </row>
    <row r="5072" spans="8:8" x14ac:dyDescent="0.25">
      <c r="H5072" t="s">
        <v>6882</v>
      </c>
    </row>
    <row r="5073" spans="8:8" x14ac:dyDescent="0.25">
      <c r="H5073" t="s">
        <v>6883</v>
      </c>
    </row>
    <row r="5074" spans="8:8" x14ac:dyDescent="0.25">
      <c r="H5074" t="s">
        <v>149</v>
      </c>
    </row>
    <row r="5075" spans="8:8" x14ac:dyDescent="0.25">
      <c r="H5075" t="s">
        <v>6884</v>
      </c>
    </row>
    <row r="5077" spans="8:8" x14ac:dyDescent="0.25">
      <c r="H5077" t="s">
        <v>6885</v>
      </c>
    </row>
    <row r="5078" spans="8:8" x14ac:dyDescent="0.25">
      <c r="H5078" t="s">
        <v>6886</v>
      </c>
    </row>
    <row r="5079" spans="8:8" x14ac:dyDescent="0.25">
      <c r="H5079" t="s">
        <v>149</v>
      </c>
    </row>
    <row r="5080" spans="8:8" x14ac:dyDescent="0.25">
      <c r="H5080" t="s">
        <v>6887</v>
      </c>
    </row>
    <row r="5082" spans="8:8" x14ac:dyDescent="0.25">
      <c r="H5082" t="s">
        <v>6888</v>
      </c>
    </row>
    <row r="5083" spans="8:8" x14ac:dyDescent="0.25">
      <c r="H5083" t="s">
        <v>6889</v>
      </c>
    </row>
    <row r="5084" spans="8:8" x14ac:dyDescent="0.25">
      <c r="H5084" t="s">
        <v>149</v>
      </c>
    </row>
    <row r="5085" spans="8:8" x14ac:dyDescent="0.25">
      <c r="H5085" t="s">
        <v>6890</v>
      </c>
    </row>
    <row r="5087" spans="8:8" x14ac:dyDescent="0.25">
      <c r="H5087" t="s">
        <v>6891</v>
      </c>
    </row>
    <row r="5088" spans="8:8" x14ac:dyDescent="0.25">
      <c r="H5088" t="s">
        <v>6892</v>
      </c>
    </row>
    <row r="5089" spans="8:8" x14ac:dyDescent="0.25">
      <c r="H5089" t="s">
        <v>149</v>
      </c>
    </row>
    <row r="5090" spans="8:8" x14ac:dyDescent="0.25">
      <c r="H5090" t="s">
        <v>6893</v>
      </c>
    </row>
    <row r="5092" spans="8:8" x14ac:dyDescent="0.25">
      <c r="H5092" t="s">
        <v>6894</v>
      </c>
    </row>
    <row r="5093" spans="8:8" x14ac:dyDescent="0.25">
      <c r="H5093" t="s">
        <v>6895</v>
      </c>
    </row>
    <row r="5094" spans="8:8" x14ac:dyDescent="0.25">
      <c r="H5094" t="s">
        <v>149</v>
      </c>
    </row>
    <row r="5095" spans="8:8" x14ac:dyDescent="0.25">
      <c r="H5095" t="s">
        <v>6896</v>
      </c>
    </row>
    <row r="5097" spans="8:8" x14ac:dyDescent="0.25">
      <c r="H5097" t="s">
        <v>6897</v>
      </c>
    </row>
    <row r="5098" spans="8:8" x14ac:dyDescent="0.25">
      <c r="H5098" t="s">
        <v>6898</v>
      </c>
    </row>
    <row r="5099" spans="8:8" x14ac:dyDescent="0.25">
      <c r="H5099" t="s">
        <v>149</v>
      </c>
    </row>
    <row r="5100" spans="8:8" x14ac:dyDescent="0.25">
      <c r="H5100" t="s">
        <v>6899</v>
      </c>
    </row>
    <row r="5102" spans="8:8" x14ac:dyDescent="0.25">
      <c r="H5102" t="s">
        <v>6900</v>
      </c>
    </row>
    <row r="5103" spans="8:8" x14ac:dyDescent="0.25">
      <c r="H5103" t="s">
        <v>6901</v>
      </c>
    </row>
    <row r="5104" spans="8:8" x14ac:dyDescent="0.25">
      <c r="H5104" t="s">
        <v>149</v>
      </c>
    </row>
    <row r="5105" spans="8:8" x14ac:dyDescent="0.25">
      <c r="H5105" t="s">
        <v>6902</v>
      </c>
    </row>
    <row r="5107" spans="8:8" x14ac:dyDescent="0.25">
      <c r="H5107" t="s">
        <v>6903</v>
      </c>
    </row>
    <row r="5108" spans="8:8" x14ac:dyDescent="0.25">
      <c r="H5108" t="s">
        <v>6904</v>
      </c>
    </row>
    <row r="5109" spans="8:8" x14ac:dyDescent="0.25">
      <c r="H5109" t="s">
        <v>149</v>
      </c>
    </row>
    <row r="5110" spans="8:8" x14ac:dyDescent="0.25">
      <c r="H5110" t="s">
        <v>6905</v>
      </c>
    </row>
    <row r="5112" spans="8:8" x14ac:dyDescent="0.25">
      <c r="H5112" t="s">
        <v>6906</v>
      </c>
    </row>
    <row r="5113" spans="8:8" x14ac:dyDescent="0.25">
      <c r="H5113" t="s">
        <v>6907</v>
      </c>
    </row>
    <row r="5114" spans="8:8" x14ac:dyDescent="0.25">
      <c r="H5114" t="s">
        <v>149</v>
      </c>
    </row>
    <row r="5115" spans="8:8" x14ac:dyDescent="0.25">
      <c r="H5115" t="s">
        <v>6908</v>
      </c>
    </row>
    <row r="5117" spans="8:8" x14ac:dyDescent="0.25">
      <c r="H5117" t="s">
        <v>6909</v>
      </c>
    </row>
    <row r="5118" spans="8:8" x14ac:dyDescent="0.25">
      <c r="H5118" t="s">
        <v>6910</v>
      </c>
    </row>
    <row r="5119" spans="8:8" x14ac:dyDescent="0.25">
      <c r="H5119" t="s">
        <v>149</v>
      </c>
    </row>
    <row r="5120" spans="8:8" x14ac:dyDescent="0.25">
      <c r="H5120" t="s">
        <v>6911</v>
      </c>
    </row>
    <row r="5122" spans="8:8" x14ac:dyDescent="0.25">
      <c r="H5122" t="s">
        <v>6912</v>
      </c>
    </row>
    <row r="5123" spans="8:8" x14ac:dyDescent="0.25">
      <c r="H5123" t="s">
        <v>6913</v>
      </c>
    </row>
    <row r="5124" spans="8:8" x14ac:dyDescent="0.25">
      <c r="H5124" t="s">
        <v>149</v>
      </c>
    </row>
    <row r="5125" spans="8:8" x14ac:dyDescent="0.25">
      <c r="H5125" t="s">
        <v>6914</v>
      </c>
    </row>
    <row r="5127" spans="8:8" x14ac:dyDescent="0.25">
      <c r="H5127" t="s">
        <v>6915</v>
      </c>
    </row>
    <row r="5128" spans="8:8" x14ac:dyDescent="0.25">
      <c r="H5128" t="s">
        <v>6916</v>
      </c>
    </row>
    <row r="5129" spans="8:8" x14ac:dyDescent="0.25">
      <c r="H5129" t="s">
        <v>149</v>
      </c>
    </row>
    <row r="5130" spans="8:8" x14ac:dyDescent="0.25">
      <c r="H5130" t="s">
        <v>6917</v>
      </c>
    </row>
    <row r="5132" spans="8:8" x14ac:dyDescent="0.25">
      <c r="H5132" t="s">
        <v>6918</v>
      </c>
    </row>
    <row r="5133" spans="8:8" x14ac:dyDescent="0.25">
      <c r="H5133" t="s">
        <v>6919</v>
      </c>
    </row>
    <row r="5134" spans="8:8" x14ac:dyDescent="0.25">
      <c r="H5134" t="s">
        <v>149</v>
      </c>
    </row>
    <row r="5135" spans="8:8" x14ac:dyDescent="0.25">
      <c r="H5135" t="s">
        <v>6920</v>
      </c>
    </row>
    <row r="5137" spans="8:8" x14ac:dyDescent="0.25">
      <c r="H5137" t="s">
        <v>6921</v>
      </c>
    </row>
    <row r="5138" spans="8:8" x14ac:dyDescent="0.25">
      <c r="H5138" t="s">
        <v>6922</v>
      </c>
    </row>
    <row r="5139" spans="8:8" x14ac:dyDescent="0.25">
      <c r="H5139" t="s">
        <v>149</v>
      </c>
    </row>
    <row r="5140" spans="8:8" x14ac:dyDescent="0.25">
      <c r="H5140" t="s">
        <v>6923</v>
      </c>
    </row>
    <row r="5142" spans="8:8" x14ac:dyDescent="0.25">
      <c r="H5142" t="s">
        <v>6924</v>
      </c>
    </row>
    <row r="5143" spans="8:8" x14ac:dyDescent="0.25">
      <c r="H5143" t="s">
        <v>6925</v>
      </c>
    </row>
    <row r="5144" spans="8:8" x14ac:dyDescent="0.25">
      <c r="H5144" t="s">
        <v>149</v>
      </c>
    </row>
    <row r="5145" spans="8:8" x14ac:dyDescent="0.25">
      <c r="H5145" t="s">
        <v>6926</v>
      </c>
    </row>
    <row r="5147" spans="8:8" x14ac:dyDescent="0.25">
      <c r="H5147" t="s">
        <v>6927</v>
      </c>
    </row>
    <row r="5148" spans="8:8" x14ac:dyDescent="0.25">
      <c r="H5148" t="s">
        <v>6928</v>
      </c>
    </row>
    <row r="5149" spans="8:8" x14ac:dyDescent="0.25">
      <c r="H5149" t="s">
        <v>149</v>
      </c>
    </row>
    <row r="5150" spans="8:8" x14ac:dyDescent="0.25">
      <c r="H5150" t="s">
        <v>6929</v>
      </c>
    </row>
    <row r="5152" spans="8:8" x14ac:dyDescent="0.25">
      <c r="H5152" t="s">
        <v>6930</v>
      </c>
    </row>
    <row r="5153" spans="8:8" x14ac:dyDescent="0.25">
      <c r="H5153" t="s">
        <v>6931</v>
      </c>
    </row>
    <row r="5154" spans="8:8" x14ac:dyDescent="0.25">
      <c r="H5154" t="s">
        <v>149</v>
      </c>
    </row>
    <row r="5155" spans="8:8" x14ac:dyDescent="0.25">
      <c r="H5155" t="s">
        <v>6932</v>
      </c>
    </row>
    <row r="5157" spans="8:8" x14ac:dyDescent="0.25">
      <c r="H5157" t="s">
        <v>6933</v>
      </c>
    </row>
    <row r="5158" spans="8:8" x14ac:dyDescent="0.25">
      <c r="H5158" t="s">
        <v>6934</v>
      </c>
    </row>
    <row r="5159" spans="8:8" x14ac:dyDescent="0.25">
      <c r="H5159" t="s">
        <v>149</v>
      </c>
    </row>
    <row r="5160" spans="8:8" x14ac:dyDescent="0.25">
      <c r="H5160" t="s">
        <v>6935</v>
      </c>
    </row>
    <row r="5162" spans="8:8" x14ac:dyDescent="0.25">
      <c r="H5162" t="s">
        <v>6936</v>
      </c>
    </row>
    <row r="5163" spans="8:8" x14ac:dyDescent="0.25">
      <c r="H5163" t="s">
        <v>6937</v>
      </c>
    </row>
    <row r="5164" spans="8:8" x14ac:dyDescent="0.25">
      <c r="H5164" t="s">
        <v>149</v>
      </c>
    </row>
    <row r="5165" spans="8:8" x14ac:dyDescent="0.25">
      <c r="H5165" t="s">
        <v>6938</v>
      </c>
    </row>
    <row r="5167" spans="8:8" x14ac:dyDescent="0.25">
      <c r="H5167" t="s">
        <v>6939</v>
      </c>
    </row>
    <row r="5168" spans="8:8" x14ac:dyDescent="0.25">
      <c r="H5168" t="s">
        <v>6940</v>
      </c>
    </row>
    <row r="5169" spans="8:8" x14ac:dyDescent="0.25">
      <c r="H5169" t="s">
        <v>149</v>
      </c>
    </row>
    <row r="5170" spans="8:8" x14ac:dyDescent="0.25">
      <c r="H5170" t="s">
        <v>6941</v>
      </c>
    </row>
    <row r="5172" spans="8:8" x14ac:dyDescent="0.25">
      <c r="H5172" t="s">
        <v>6942</v>
      </c>
    </row>
    <row r="5173" spans="8:8" x14ac:dyDescent="0.25">
      <c r="H5173" t="s">
        <v>6943</v>
      </c>
    </row>
    <row r="5174" spans="8:8" x14ac:dyDescent="0.25">
      <c r="H5174" t="s">
        <v>149</v>
      </c>
    </row>
    <row r="5175" spans="8:8" x14ac:dyDescent="0.25">
      <c r="H5175" t="s">
        <v>6944</v>
      </c>
    </row>
    <row r="5177" spans="8:8" x14ac:dyDescent="0.25">
      <c r="H5177" t="s">
        <v>6945</v>
      </c>
    </row>
    <row r="5178" spans="8:8" x14ac:dyDescent="0.25">
      <c r="H5178" t="s">
        <v>6946</v>
      </c>
    </row>
    <row r="5179" spans="8:8" x14ac:dyDescent="0.25">
      <c r="H5179" t="s">
        <v>149</v>
      </c>
    </row>
    <row r="5180" spans="8:8" x14ac:dyDescent="0.25">
      <c r="H5180" t="s">
        <v>6947</v>
      </c>
    </row>
    <row r="5182" spans="8:8" x14ac:dyDescent="0.25">
      <c r="H5182" t="s">
        <v>6948</v>
      </c>
    </row>
    <row r="5183" spans="8:8" x14ac:dyDescent="0.25">
      <c r="H5183" t="s">
        <v>6949</v>
      </c>
    </row>
    <row r="5184" spans="8:8" x14ac:dyDescent="0.25">
      <c r="H5184" t="s">
        <v>149</v>
      </c>
    </row>
    <row r="5185" spans="8:8" x14ac:dyDescent="0.25">
      <c r="H5185" t="s">
        <v>6950</v>
      </c>
    </row>
    <row r="5187" spans="8:8" x14ac:dyDescent="0.25">
      <c r="H5187" t="s">
        <v>6951</v>
      </c>
    </row>
    <row r="5188" spans="8:8" x14ac:dyDescent="0.25">
      <c r="H5188" t="s">
        <v>6952</v>
      </c>
    </row>
    <row r="5189" spans="8:8" x14ac:dyDescent="0.25">
      <c r="H5189" t="s">
        <v>149</v>
      </c>
    </row>
    <row r="5190" spans="8:8" x14ac:dyDescent="0.25">
      <c r="H5190" t="s">
        <v>6953</v>
      </c>
    </row>
    <row r="5192" spans="8:8" x14ac:dyDescent="0.25">
      <c r="H5192" t="s">
        <v>6954</v>
      </c>
    </row>
    <row r="5193" spans="8:8" x14ac:dyDescent="0.25">
      <c r="H5193" t="s">
        <v>6955</v>
      </c>
    </row>
    <row r="5194" spans="8:8" x14ac:dyDescent="0.25">
      <c r="H5194" t="s">
        <v>149</v>
      </c>
    </row>
    <row r="5195" spans="8:8" x14ac:dyDescent="0.25">
      <c r="H5195" t="s">
        <v>6956</v>
      </c>
    </row>
    <row r="5197" spans="8:8" x14ac:dyDescent="0.25">
      <c r="H5197" t="s">
        <v>6957</v>
      </c>
    </row>
    <row r="5198" spans="8:8" x14ac:dyDescent="0.25">
      <c r="H5198" t="s">
        <v>6958</v>
      </c>
    </row>
    <row r="5199" spans="8:8" x14ac:dyDescent="0.25">
      <c r="H5199" t="s">
        <v>149</v>
      </c>
    </row>
    <row r="5200" spans="8:8" x14ac:dyDescent="0.25">
      <c r="H5200" t="s">
        <v>6959</v>
      </c>
    </row>
    <row r="5202" spans="8:8" x14ac:dyDescent="0.25">
      <c r="H5202" t="s">
        <v>6960</v>
      </c>
    </row>
    <row r="5203" spans="8:8" x14ac:dyDescent="0.25">
      <c r="H5203" t="s">
        <v>6961</v>
      </c>
    </row>
    <row r="5204" spans="8:8" x14ac:dyDescent="0.25">
      <c r="H5204" t="s">
        <v>149</v>
      </c>
    </row>
    <row r="5205" spans="8:8" x14ac:dyDescent="0.25">
      <c r="H5205" t="s">
        <v>6962</v>
      </c>
    </row>
    <row r="5207" spans="8:8" x14ac:dyDescent="0.25">
      <c r="H5207" t="s">
        <v>6963</v>
      </c>
    </row>
    <row r="5208" spans="8:8" x14ac:dyDescent="0.25">
      <c r="H5208" t="s">
        <v>6964</v>
      </c>
    </row>
    <row r="5209" spans="8:8" x14ac:dyDescent="0.25">
      <c r="H5209" t="s">
        <v>149</v>
      </c>
    </row>
    <row r="5210" spans="8:8" x14ac:dyDescent="0.25">
      <c r="H5210" t="s">
        <v>6965</v>
      </c>
    </row>
    <row r="5212" spans="8:8" x14ac:dyDescent="0.25">
      <c r="H5212" t="s">
        <v>6966</v>
      </c>
    </row>
    <row r="5213" spans="8:8" x14ac:dyDescent="0.25">
      <c r="H5213" t="s">
        <v>6967</v>
      </c>
    </row>
    <row r="5214" spans="8:8" x14ac:dyDescent="0.25">
      <c r="H5214" t="s">
        <v>149</v>
      </c>
    </row>
    <row r="5215" spans="8:8" x14ac:dyDescent="0.25">
      <c r="H5215" t="s">
        <v>6968</v>
      </c>
    </row>
    <row r="5217" spans="8:8" x14ac:dyDescent="0.25">
      <c r="H5217" t="s">
        <v>6969</v>
      </c>
    </row>
    <row r="5218" spans="8:8" x14ac:dyDescent="0.25">
      <c r="H5218" t="s">
        <v>6970</v>
      </c>
    </row>
    <row r="5219" spans="8:8" x14ac:dyDescent="0.25">
      <c r="H5219" t="s">
        <v>149</v>
      </c>
    </row>
    <row r="5220" spans="8:8" x14ac:dyDescent="0.25">
      <c r="H5220" t="s">
        <v>6971</v>
      </c>
    </row>
    <row r="5222" spans="8:8" x14ac:dyDescent="0.25">
      <c r="H5222" t="s">
        <v>6972</v>
      </c>
    </row>
    <row r="5223" spans="8:8" x14ac:dyDescent="0.25">
      <c r="H5223" t="s">
        <v>6973</v>
      </c>
    </row>
    <row r="5224" spans="8:8" x14ac:dyDescent="0.25">
      <c r="H5224" t="s">
        <v>149</v>
      </c>
    </row>
    <row r="5225" spans="8:8" x14ac:dyDescent="0.25">
      <c r="H5225" t="s">
        <v>6974</v>
      </c>
    </row>
    <row r="5227" spans="8:8" x14ac:dyDescent="0.25">
      <c r="H5227" t="s">
        <v>6975</v>
      </c>
    </row>
    <row r="5228" spans="8:8" x14ac:dyDescent="0.25">
      <c r="H5228" t="s">
        <v>6976</v>
      </c>
    </row>
    <row r="5229" spans="8:8" x14ac:dyDescent="0.25">
      <c r="H5229" t="s">
        <v>3828</v>
      </c>
    </row>
    <row r="5230" spans="8:8" x14ac:dyDescent="0.25">
      <c r="H5230" t="s">
        <v>6977</v>
      </c>
    </row>
    <row r="5231" spans="8:8" x14ac:dyDescent="0.25">
      <c r="H5231" t="s">
        <v>6978</v>
      </c>
    </row>
    <row r="5232" spans="8:8" x14ac:dyDescent="0.25">
      <c r="H5232" t="s">
        <v>6979</v>
      </c>
    </row>
    <row r="5233" spans="8:8" x14ac:dyDescent="0.25">
      <c r="H5233" t="s">
        <v>6980</v>
      </c>
    </row>
    <row r="5234" spans="8:8" x14ac:dyDescent="0.25">
      <c r="H5234" t="s">
        <v>6981</v>
      </c>
    </row>
    <row r="5235" spans="8:8" x14ac:dyDescent="0.25">
      <c r="H5235" t="s">
        <v>6982</v>
      </c>
    </row>
    <row r="5236" spans="8:8" x14ac:dyDescent="0.25">
      <c r="H5236" t="s">
        <v>6983</v>
      </c>
    </row>
    <row r="5237" spans="8:8" x14ac:dyDescent="0.25">
      <c r="H5237" t="s">
        <v>6984</v>
      </c>
    </row>
    <row r="5238" spans="8:8" x14ac:dyDescent="0.25">
      <c r="H5238" t="s">
        <v>6985</v>
      </c>
    </row>
    <row r="5239" spans="8:8" x14ac:dyDescent="0.25">
      <c r="H5239" t="s">
        <v>6986</v>
      </c>
    </row>
    <row r="5240" spans="8:8" x14ac:dyDescent="0.25">
      <c r="H5240" t="s">
        <v>6987</v>
      </c>
    </row>
    <row r="5241" spans="8:8" x14ac:dyDescent="0.25">
      <c r="H5241" t="s">
        <v>6988</v>
      </c>
    </row>
    <row r="5242" spans="8:8" x14ac:dyDescent="0.25">
      <c r="H5242" t="s">
        <v>6989</v>
      </c>
    </row>
    <row r="5243" spans="8:8" x14ac:dyDescent="0.25">
      <c r="H5243" t="s">
        <v>6990</v>
      </c>
    </row>
    <row r="5244" spans="8:8" x14ac:dyDescent="0.25">
      <c r="H5244" t="s">
        <v>6991</v>
      </c>
    </row>
    <row r="5245" spans="8:8" x14ac:dyDescent="0.25">
      <c r="H5245" t="s">
        <v>6992</v>
      </c>
    </row>
    <row r="5246" spans="8:8" x14ac:dyDescent="0.25">
      <c r="H5246" t="s">
        <v>6993</v>
      </c>
    </row>
    <row r="5247" spans="8:8" x14ac:dyDescent="0.25">
      <c r="H5247" t="s">
        <v>6994</v>
      </c>
    </row>
    <row r="5248" spans="8:8" x14ac:dyDescent="0.25">
      <c r="H5248" t="s">
        <v>6995</v>
      </c>
    </row>
    <row r="5249" spans="8:8" x14ac:dyDescent="0.25">
      <c r="H5249" t="s">
        <v>6996</v>
      </c>
    </row>
    <row r="5250" spans="8:8" x14ac:dyDescent="0.25">
      <c r="H5250" t="s">
        <v>6997</v>
      </c>
    </row>
    <row r="5251" spans="8:8" x14ac:dyDescent="0.25">
      <c r="H5251" t="s">
        <v>6998</v>
      </c>
    </row>
    <row r="5252" spans="8:8" x14ac:dyDescent="0.25">
      <c r="H5252" t="s">
        <v>3835</v>
      </c>
    </row>
    <row r="5253" spans="8:8" x14ac:dyDescent="0.25">
      <c r="H5253" t="s">
        <v>6999</v>
      </c>
    </row>
    <row r="5254" spans="8:8" x14ac:dyDescent="0.25">
      <c r="H5254" t="s">
        <v>7000</v>
      </c>
    </row>
    <row r="5256" spans="8:8" x14ac:dyDescent="0.25">
      <c r="H5256" t="s">
        <v>7001</v>
      </c>
    </row>
    <row r="5257" spans="8:8" x14ac:dyDescent="0.25">
      <c r="H5257" t="s">
        <v>7002</v>
      </c>
    </row>
    <row r="5258" spans="8:8" x14ac:dyDescent="0.25">
      <c r="H5258" t="s">
        <v>7003</v>
      </c>
    </row>
    <row r="5259" spans="8:8" x14ac:dyDescent="0.25">
      <c r="H5259" t="s">
        <v>4087</v>
      </c>
    </row>
    <row r="5260" spans="8:8" x14ac:dyDescent="0.25">
      <c r="H5260" t="s">
        <v>7004</v>
      </c>
    </row>
    <row r="5261" spans="8:8" x14ac:dyDescent="0.25">
      <c r="H5261" t="s">
        <v>7005</v>
      </c>
    </row>
    <row r="5262" spans="8:8" x14ac:dyDescent="0.25">
      <c r="H5262" t="s">
        <v>3835</v>
      </c>
    </row>
    <row r="5263" spans="8:8" x14ac:dyDescent="0.25">
      <c r="H5263" t="s">
        <v>7006</v>
      </c>
    </row>
    <row r="5264" spans="8:8" x14ac:dyDescent="0.25">
      <c r="H5264" t="s">
        <v>7007</v>
      </c>
    </row>
    <row r="5266" spans="8:8" x14ac:dyDescent="0.25">
      <c r="H5266" t="s">
        <v>7008</v>
      </c>
    </row>
    <row r="5267" spans="8:8" x14ac:dyDescent="0.25">
      <c r="H5267" t="s">
        <v>7009</v>
      </c>
    </row>
    <row r="5268" spans="8:8" x14ac:dyDescent="0.25">
      <c r="H5268" t="s">
        <v>7010</v>
      </c>
    </row>
    <row r="5269" spans="8:8" x14ac:dyDescent="0.25">
      <c r="H5269" t="s">
        <v>7011</v>
      </c>
    </row>
    <row r="5270" spans="8:8" x14ac:dyDescent="0.25">
      <c r="H5270" t="s">
        <v>7012</v>
      </c>
    </row>
    <row r="5271" spans="8:8" x14ac:dyDescent="0.25">
      <c r="H5271" t="s">
        <v>7013</v>
      </c>
    </row>
    <row r="5272" spans="8:8" x14ac:dyDescent="0.25">
      <c r="H5272" t="s">
        <v>7014</v>
      </c>
    </row>
    <row r="5274" spans="8:8" x14ac:dyDescent="0.25">
      <c r="H5274" t="s">
        <v>7015</v>
      </c>
    </row>
    <row r="5275" spans="8:8" x14ac:dyDescent="0.25">
      <c r="H5275" t="s">
        <v>7016</v>
      </c>
    </row>
    <row r="5276" spans="8:8" x14ac:dyDescent="0.25">
      <c r="H5276" t="s">
        <v>7017</v>
      </c>
    </row>
    <row r="5277" spans="8:8" x14ac:dyDescent="0.25">
      <c r="H5277" t="s">
        <v>7018</v>
      </c>
    </row>
    <row r="5278" spans="8:8" x14ac:dyDescent="0.25">
      <c r="H5278" t="s">
        <v>7011</v>
      </c>
    </row>
    <row r="5279" spans="8:8" x14ac:dyDescent="0.25">
      <c r="H5279" t="s">
        <v>7019</v>
      </c>
    </row>
    <row r="5280" spans="8:8" x14ac:dyDescent="0.25">
      <c r="H5280" t="s">
        <v>7020</v>
      </c>
    </row>
    <row r="5282" spans="8:8" x14ac:dyDescent="0.25">
      <c r="H5282" t="s">
        <v>7021</v>
      </c>
    </row>
    <row r="5283" spans="8:8" x14ac:dyDescent="0.25">
      <c r="H5283" t="s">
        <v>7022</v>
      </c>
    </row>
    <row r="5284" spans="8:8" x14ac:dyDescent="0.25">
      <c r="H5284" t="s">
        <v>3828</v>
      </c>
    </row>
    <row r="5285" spans="8:8" x14ac:dyDescent="0.25">
      <c r="H5285" t="s">
        <v>7023</v>
      </c>
    </row>
    <row r="5286" spans="8:8" x14ac:dyDescent="0.25">
      <c r="H5286" t="s">
        <v>7024</v>
      </c>
    </row>
    <row r="5287" spans="8:8" x14ac:dyDescent="0.25">
      <c r="H5287" t="s">
        <v>7025</v>
      </c>
    </row>
    <row r="5288" spans="8:8" x14ac:dyDescent="0.25">
      <c r="H5288" t="s">
        <v>7026</v>
      </c>
    </row>
    <row r="5290" spans="8:8" x14ac:dyDescent="0.25">
      <c r="H5290" t="s">
        <v>7027</v>
      </c>
    </row>
    <row r="5291" spans="8:8" x14ac:dyDescent="0.25">
      <c r="H5291" t="s">
        <v>7028</v>
      </c>
    </row>
    <row r="5292" spans="8:8" x14ac:dyDescent="0.25">
      <c r="H5292" t="s">
        <v>7029</v>
      </c>
    </row>
    <row r="5293" spans="8:8" x14ac:dyDescent="0.25">
      <c r="H5293" t="s">
        <v>7030</v>
      </c>
    </row>
    <row r="5294" spans="8:8" x14ac:dyDescent="0.25">
      <c r="H5294" t="s">
        <v>7031</v>
      </c>
    </row>
    <row r="5295" spans="8:8" x14ac:dyDescent="0.25">
      <c r="H5295" t="s">
        <v>7032</v>
      </c>
    </row>
    <row r="5296" spans="8:8" x14ac:dyDescent="0.25">
      <c r="H5296" t="s">
        <v>3871</v>
      </c>
    </row>
    <row r="5297" spans="8:8" x14ac:dyDescent="0.25">
      <c r="H5297" t="s">
        <v>7033</v>
      </c>
    </row>
    <row r="5299" spans="8:8" x14ac:dyDescent="0.25">
      <c r="H5299" t="s">
        <v>7034</v>
      </c>
    </row>
    <row r="5300" spans="8:8" x14ac:dyDescent="0.25">
      <c r="H5300" t="s">
        <v>7035</v>
      </c>
    </row>
    <row r="5301" spans="8:8" x14ac:dyDescent="0.25">
      <c r="H5301" t="s">
        <v>7036</v>
      </c>
    </row>
    <row r="5302" spans="8:8" x14ac:dyDescent="0.25">
      <c r="H5302" t="s">
        <v>7037</v>
      </c>
    </row>
    <row r="5303" spans="8:8" x14ac:dyDescent="0.25">
      <c r="H5303" t="s">
        <v>7038</v>
      </c>
    </row>
    <row r="5304" spans="8:8" x14ac:dyDescent="0.25">
      <c r="H5304" t="s">
        <v>7039</v>
      </c>
    </row>
    <row r="5305" spans="8:8" x14ac:dyDescent="0.25">
      <c r="H5305" t="s">
        <v>7040</v>
      </c>
    </row>
    <row r="5307" spans="8:8" x14ac:dyDescent="0.25">
      <c r="H5307" t="s">
        <v>7041</v>
      </c>
    </row>
    <row r="5308" spans="8:8" x14ac:dyDescent="0.25">
      <c r="H5308" t="s">
        <v>7042</v>
      </c>
    </row>
    <row r="5309" spans="8:8" x14ac:dyDescent="0.25">
      <c r="H5309" t="s">
        <v>7043</v>
      </c>
    </row>
    <row r="5310" spans="8:8" x14ac:dyDescent="0.25">
      <c r="H5310" t="s">
        <v>7044</v>
      </c>
    </row>
    <row r="5311" spans="8:8" x14ac:dyDescent="0.25">
      <c r="H5311" t="s">
        <v>7045</v>
      </c>
    </row>
    <row r="5312" spans="8:8" x14ac:dyDescent="0.25">
      <c r="H5312" t="s">
        <v>7046</v>
      </c>
    </row>
    <row r="5313" spans="8:8" x14ac:dyDescent="0.25">
      <c r="H5313" t="s">
        <v>7047</v>
      </c>
    </row>
    <row r="5315" spans="8:8" x14ac:dyDescent="0.25">
      <c r="H5315" t="s">
        <v>7048</v>
      </c>
    </row>
    <row r="5316" spans="8:8" x14ac:dyDescent="0.25">
      <c r="H5316" t="s">
        <v>7049</v>
      </c>
    </row>
    <row r="5317" spans="8:8" x14ac:dyDescent="0.25">
      <c r="H5317" t="s">
        <v>7050</v>
      </c>
    </row>
    <row r="5318" spans="8:8" x14ac:dyDescent="0.25">
      <c r="H5318" t="s">
        <v>7051</v>
      </c>
    </row>
    <row r="5319" spans="8:8" x14ac:dyDescent="0.25">
      <c r="H5319" t="s">
        <v>7052</v>
      </c>
    </row>
    <row r="5320" spans="8:8" x14ac:dyDescent="0.25">
      <c r="H5320" t="s">
        <v>7053</v>
      </c>
    </row>
    <row r="5321" spans="8:8" x14ac:dyDescent="0.25">
      <c r="H5321" t="s">
        <v>7054</v>
      </c>
    </row>
    <row r="5323" spans="8:8" x14ac:dyDescent="0.25">
      <c r="H5323" t="s">
        <v>7055</v>
      </c>
    </row>
    <row r="5324" spans="8:8" x14ac:dyDescent="0.25">
      <c r="H5324" t="s">
        <v>7056</v>
      </c>
    </row>
    <row r="5325" spans="8:8" x14ac:dyDescent="0.25">
      <c r="H5325" t="s">
        <v>7057</v>
      </c>
    </row>
    <row r="5326" spans="8:8" x14ac:dyDescent="0.25">
      <c r="H5326" t="s">
        <v>7058</v>
      </c>
    </row>
    <row r="5327" spans="8:8" x14ac:dyDescent="0.25">
      <c r="H5327" t="s">
        <v>7059</v>
      </c>
    </row>
    <row r="5328" spans="8:8" x14ac:dyDescent="0.25">
      <c r="H5328" t="s">
        <v>7011</v>
      </c>
    </row>
    <row r="5329" spans="8:8" x14ac:dyDescent="0.25">
      <c r="H5329" t="s">
        <v>7060</v>
      </c>
    </row>
    <row r="5330" spans="8:8" x14ac:dyDescent="0.25">
      <c r="H5330" t="s">
        <v>7061</v>
      </c>
    </row>
    <row r="5332" spans="8:8" x14ac:dyDescent="0.25">
      <c r="H5332" t="s">
        <v>7062</v>
      </c>
    </row>
    <row r="5333" spans="8:8" x14ac:dyDescent="0.25">
      <c r="H5333" t="s">
        <v>7063</v>
      </c>
    </row>
    <row r="5334" spans="8:8" x14ac:dyDescent="0.25">
      <c r="H5334" t="s">
        <v>7064</v>
      </c>
    </row>
    <row r="5335" spans="8:8" x14ac:dyDescent="0.25">
      <c r="H5335" t="s">
        <v>4087</v>
      </c>
    </row>
    <row r="5336" spans="8:8" x14ac:dyDescent="0.25">
      <c r="H5336" t="s">
        <v>7065</v>
      </c>
    </row>
    <row r="5337" spans="8:8" x14ac:dyDescent="0.25">
      <c r="H5337" t="s">
        <v>3893</v>
      </c>
    </row>
    <row r="5338" spans="8:8" x14ac:dyDescent="0.25">
      <c r="H5338" t="s">
        <v>7066</v>
      </c>
    </row>
    <row r="5340" spans="8:8" x14ac:dyDescent="0.25">
      <c r="H5340" t="s">
        <v>7067</v>
      </c>
    </row>
    <row r="5341" spans="8:8" x14ac:dyDescent="0.25">
      <c r="H5341" t="s">
        <v>7068</v>
      </c>
    </row>
    <row r="5342" spans="8:8" x14ac:dyDescent="0.25">
      <c r="H5342" t="s">
        <v>149</v>
      </c>
    </row>
    <row r="5343" spans="8:8" x14ac:dyDescent="0.25">
      <c r="H5343" t="s">
        <v>7069</v>
      </c>
    </row>
    <row r="5345" spans="8:8" x14ac:dyDescent="0.25">
      <c r="H5345" t="s">
        <v>7070</v>
      </c>
    </row>
    <row r="5346" spans="8:8" x14ac:dyDescent="0.25">
      <c r="H5346" t="s">
        <v>7071</v>
      </c>
    </row>
    <row r="5347" spans="8:8" x14ac:dyDescent="0.25">
      <c r="H5347" t="s">
        <v>149</v>
      </c>
    </row>
    <row r="5348" spans="8:8" x14ac:dyDescent="0.25">
      <c r="H5348" t="s">
        <v>7072</v>
      </c>
    </row>
    <row r="5350" spans="8:8" x14ac:dyDescent="0.25">
      <c r="H5350" t="s">
        <v>7073</v>
      </c>
    </row>
    <row r="5351" spans="8:8" x14ac:dyDescent="0.25">
      <c r="H5351" t="s">
        <v>7074</v>
      </c>
    </row>
    <row r="5352" spans="8:8" x14ac:dyDescent="0.25">
      <c r="H5352" t="s">
        <v>3828</v>
      </c>
    </row>
    <row r="5353" spans="8:8" x14ac:dyDescent="0.25">
      <c r="H5353" t="s">
        <v>7075</v>
      </c>
    </row>
    <row r="5354" spans="8:8" x14ac:dyDescent="0.25">
      <c r="H5354" t="s">
        <v>7076</v>
      </c>
    </row>
    <row r="5355" spans="8:8" x14ac:dyDescent="0.25">
      <c r="H5355" t="s">
        <v>3835</v>
      </c>
    </row>
    <row r="5356" spans="8:8" x14ac:dyDescent="0.25">
      <c r="H5356" t="s">
        <v>7077</v>
      </c>
    </row>
    <row r="5357" spans="8:8" x14ac:dyDescent="0.25">
      <c r="H5357" t="s">
        <v>7078</v>
      </c>
    </row>
    <row r="5359" spans="8:8" x14ac:dyDescent="0.25">
      <c r="H5359" t="s">
        <v>7079</v>
      </c>
    </row>
    <row r="5360" spans="8:8" x14ac:dyDescent="0.25">
      <c r="H5360" t="s">
        <v>7080</v>
      </c>
    </row>
    <row r="5361" spans="8:8" x14ac:dyDescent="0.25">
      <c r="H5361" t="s">
        <v>23409</v>
      </c>
    </row>
    <row r="5362" spans="8:8" x14ac:dyDescent="0.25">
      <c r="H5362" t="s">
        <v>7081</v>
      </c>
    </row>
    <row r="5363" spans="8:8" x14ac:dyDescent="0.25">
      <c r="H5363" t="s">
        <v>7082</v>
      </c>
    </row>
    <row r="5364" spans="8:8" x14ac:dyDescent="0.25">
      <c r="H5364" t="s">
        <v>7083</v>
      </c>
    </row>
    <row r="5365" spans="8:8" x14ac:dyDescent="0.25">
      <c r="H5365" t="s">
        <v>7084</v>
      </c>
    </row>
    <row r="5366" spans="8:8" x14ac:dyDescent="0.25">
      <c r="H5366" t="s">
        <v>7085</v>
      </c>
    </row>
    <row r="5368" spans="8:8" x14ac:dyDescent="0.25">
      <c r="H5368" t="s">
        <v>7086</v>
      </c>
    </row>
    <row r="5369" spans="8:8" x14ac:dyDescent="0.25">
      <c r="H5369" t="s">
        <v>7087</v>
      </c>
    </row>
    <row r="5370" spans="8:8" x14ac:dyDescent="0.25">
      <c r="H5370" t="s">
        <v>23409</v>
      </c>
    </row>
    <row r="5371" spans="8:8" x14ac:dyDescent="0.25">
      <c r="H5371" t="s">
        <v>7081</v>
      </c>
    </row>
    <row r="5372" spans="8:8" x14ac:dyDescent="0.25">
      <c r="H5372" t="s">
        <v>7082</v>
      </c>
    </row>
    <row r="5373" spans="8:8" x14ac:dyDescent="0.25">
      <c r="H5373" t="s">
        <v>7083</v>
      </c>
    </row>
    <row r="5374" spans="8:8" x14ac:dyDescent="0.25">
      <c r="H5374" t="s">
        <v>7088</v>
      </c>
    </row>
    <row r="5375" spans="8:8" x14ac:dyDescent="0.25">
      <c r="H5375" t="s">
        <v>7089</v>
      </c>
    </row>
    <row r="5377" spans="8:8" x14ac:dyDescent="0.25">
      <c r="H5377" t="s">
        <v>7090</v>
      </c>
    </row>
    <row r="5378" spans="8:8" x14ac:dyDescent="0.25">
      <c r="H5378" t="s">
        <v>7091</v>
      </c>
    </row>
    <row r="5379" spans="8:8" x14ac:dyDescent="0.25">
      <c r="H5379" t="s">
        <v>23409</v>
      </c>
    </row>
    <row r="5380" spans="8:8" x14ac:dyDescent="0.25">
      <c r="H5380" t="s">
        <v>7081</v>
      </c>
    </row>
    <row r="5381" spans="8:8" x14ac:dyDescent="0.25">
      <c r="H5381" t="s">
        <v>7082</v>
      </c>
    </row>
    <row r="5382" spans="8:8" x14ac:dyDescent="0.25">
      <c r="H5382" t="s">
        <v>7083</v>
      </c>
    </row>
    <row r="5383" spans="8:8" x14ac:dyDescent="0.25">
      <c r="H5383" t="s">
        <v>7092</v>
      </c>
    </row>
    <row r="5384" spans="8:8" x14ac:dyDescent="0.25">
      <c r="H5384" t="s">
        <v>7093</v>
      </c>
    </row>
    <row r="5386" spans="8:8" x14ac:dyDescent="0.25">
      <c r="H5386" t="s">
        <v>7094</v>
      </c>
    </row>
    <row r="5387" spans="8:8" x14ac:dyDescent="0.25">
      <c r="H5387" t="s">
        <v>7095</v>
      </c>
    </row>
    <row r="5388" spans="8:8" x14ac:dyDescent="0.25">
      <c r="H5388" t="s">
        <v>23409</v>
      </c>
    </row>
    <row r="5389" spans="8:8" x14ac:dyDescent="0.25">
      <c r="H5389" t="s">
        <v>7081</v>
      </c>
    </row>
    <row r="5390" spans="8:8" x14ac:dyDescent="0.25">
      <c r="H5390" t="s">
        <v>7082</v>
      </c>
    </row>
    <row r="5391" spans="8:8" x14ac:dyDescent="0.25">
      <c r="H5391" t="s">
        <v>7083</v>
      </c>
    </row>
    <row r="5392" spans="8:8" x14ac:dyDescent="0.25">
      <c r="H5392" t="s">
        <v>7096</v>
      </c>
    </row>
    <row r="5393" spans="8:8" x14ac:dyDescent="0.25">
      <c r="H5393" t="s">
        <v>7097</v>
      </c>
    </row>
    <row r="5395" spans="8:8" x14ac:dyDescent="0.25">
      <c r="H5395" t="s">
        <v>7098</v>
      </c>
    </row>
    <row r="5396" spans="8:8" x14ac:dyDescent="0.25">
      <c r="H5396" t="s">
        <v>7099</v>
      </c>
    </row>
    <row r="5397" spans="8:8" x14ac:dyDescent="0.25">
      <c r="H5397" t="s">
        <v>23409</v>
      </c>
    </row>
    <row r="5398" spans="8:8" x14ac:dyDescent="0.25">
      <c r="H5398" t="s">
        <v>7081</v>
      </c>
    </row>
    <row r="5399" spans="8:8" x14ac:dyDescent="0.25">
      <c r="H5399" t="s">
        <v>7082</v>
      </c>
    </row>
    <row r="5400" spans="8:8" x14ac:dyDescent="0.25">
      <c r="H5400" t="s">
        <v>7083</v>
      </c>
    </row>
    <row r="5401" spans="8:8" x14ac:dyDescent="0.25">
      <c r="H5401" t="s">
        <v>7100</v>
      </c>
    </row>
    <row r="5402" spans="8:8" x14ac:dyDescent="0.25">
      <c r="H5402" t="s">
        <v>7101</v>
      </c>
    </row>
    <row r="5404" spans="8:8" x14ac:dyDescent="0.25">
      <c r="H5404" t="s">
        <v>7102</v>
      </c>
    </row>
    <row r="5405" spans="8:8" x14ac:dyDescent="0.25">
      <c r="H5405" t="s">
        <v>7103</v>
      </c>
    </row>
    <row r="5406" spans="8:8" x14ac:dyDescent="0.25">
      <c r="H5406" t="s">
        <v>23409</v>
      </c>
    </row>
    <row r="5407" spans="8:8" x14ac:dyDescent="0.25">
      <c r="H5407" t="s">
        <v>7081</v>
      </c>
    </row>
    <row r="5408" spans="8:8" x14ac:dyDescent="0.25">
      <c r="H5408" t="s">
        <v>7082</v>
      </c>
    </row>
    <row r="5409" spans="8:8" x14ac:dyDescent="0.25">
      <c r="H5409" t="s">
        <v>7083</v>
      </c>
    </row>
    <row r="5410" spans="8:8" x14ac:dyDescent="0.25">
      <c r="H5410" t="s">
        <v>7104</v>
      </c>
    </row>
    <row r="5411" spans="8:8" x14ac:dyDescent="0.25">
      <c r="H5411" t="s">
        <v>7105</v>
      </c>
    </row>
    <row r="5413" spans="8:8" x14ac:dyDescent="0.25">
      <c r="H5413" t="s">
        <v>7106</v>
      </c>
    </row>
    <row r="5414" spans="8:8" x14ac:dyDescent="0.25">
      <c r="H5414" t="s">
        <v>7107</v>
      </c>
    </row>
    <row r="5415" spans="8:8" x14ac:dyDescent="0.25">
      <c r="H5415" t="s">
        <v>23409</v>
      </c>
    </row>
    <row r="5416" spans="8:8" x14ac:dyDescent="0.25">
      <c r="H5416" t="s">
        <v>7081</v>
      </c>
    </row>
    <row r="5417" spans="8:8" x14ac:dyDescent="0.25">
      <c r="H5417" t="s">
        <v>7082</v>
      </c>
    </row>
    <row r="5418" spans="8:8" x14ac:dyDescent="0.25">
      <c r="H5418" t="s">
        <v>7083</v>
      </c>
    </row>
    <row r="5419" spans="8:8" x14ac:dyDescent="0.25">
      <c r="H5419" t="s">
        <v>7108</v>
      </c>
    </row>
    <row r="5420" spans="8:8" x14ac:dyDescent="0.25">
      <c r="H5420" t="s">
        <v>7109</v>
      </c>
    </row>
    <row r="5422" spans="8:8" x14ac:dyDescent="0.25">
      <c r="H5422" t="s">
        <v>7110</v>
      </c>
    </row>
    <row r="5423" spans="8:8" x14ac:dyDescent="0.25">
      <c r="H5423" t="s">
        <v>7111</v>
      </c>
    </row>
    <row r="5424" spans="8:8" x14ac:dyDescent="0.25">
      <c r="H5424" t="s">
        <v>23409</v>
      </c>
    </row>
    <row r="5425" spans="8:8" x14ac:dyDescent="0.25">
      <c r="H5425" t="s">
        <v>7081</v>
      </c>
    </row>
    <row r="5426" spans="8:8" x14ac:dyDescent="0.25">
      <c r="H5426" t="s">
        <v>7082</v>
      </c>
    </row>
    <row r="5427" spans="8:8" x14ac:dyDescent="0.25">
      <c r="H5427" t="s">
        <v>7083</v>
      </c>
    </row>
    <row r="5428" spans="8:8" x14ac:dyDescent="0.25">
      <c r="H5428" t="s">
        <v>7112</v>
      </c>
    </row>
    <row r="5429" spans="8:8" x14ac:dyDescent="0.25">
      <c r="H5429" t="s">
        <v>7113</v>
      </c>
    </row>
    <row r="5431" spans="8:8" x14ac:dyDescent="0.25">
      <c r="H5431" t="s">
        <v>7114</v>
      </c>
    </row>
    <row r="5432" spans="8:8" x14ac:dyDescent="0.25">
      <c r="H5432" t="s">
        <v>7115</v>
      </c>
    </row>
    <row r="5433" spans="8:8" x14ac:dyDescent="0.25">
      <c r="H5433" t="s">
        <v>23409</v>
      </c>
    </row>
    <row r="5434" spans="8:8" x14ac:dyDescent="0.25">
      <c r="H5434" t="s">
        <v>7081</v>
      </c>
    </row>
    <row r="5435" spans="8:8" x14ac:dyDescent="0.25">
      <c r="H5435" t="s">
        <v>7082</v>
      </c>
    </row>
    <row r="5436" spans="8:8" x14ac:dyDescent="0.25">
      <c r="H5436" t="s">
        <v>7083</v>
      </c>
    </row>
    <row r="5437" spans="8:8" x14ac:dyDescent="0.25">
      <c r="H5437" t="s">
        <v>7116</v>
      </c>
    </row>
    <row r="5438" spans="8:8" x14ac:dyDescent="0.25">
      <c r="H5438" t="s">
        <v>7117</v>
      </c>
    </row>
    <row r="5440" spans="8:8" x14ac:dyDescent="0.25">
      <c r="H5440" t="s">
        <v>7118</v>
      </c>
    </row>
    <row r="5441" spans="8:8" x14ac:dyDescent="0.25">
      <c r="H5441" t="s">
        <v>7119</v>
      </c>
    </row>
    <row r="5442" spans="8:8" x14ac:dyDescent="0.25">
      <c r="H5442" t="s">
        <v>23409</v>
      </c>
    </row>
    <row r="5443" spans="8:8" x14ac:dyDescent="0.25">
      <c r="H5443" t="s">
        <v>7081</v>
      </c>
    </row>
    <row r="5444" spans="8:8" x14ac:dyDescent="0.25">
      <c r="H5444" t="s">
        <v>7082</v>
      </c>
    </row>
    <row r="5445" spans="8:8" x14ac:dyDescent="0.25">
      <c r="H5445" t="s">
        <v>7083</v>
      </c>
    </row>
    <row r="5446" spans="8:8" x14ac:dyDescent="0.25">
      <c r="H5446" t="s">
        <v>7120</v>
      </c>
    </row>
    <row r="5447" spans="8:8" x14ac:dyDescent="0.25">
      <c r="H5447" t="s">
        <v>7121</v>
      </c>
    </row>
    <row r="5449" spans="8:8" x14ac:dyDescent="0.25">
      <c r="H5449" t="s">
        <v>7122</v>
      </c>
    </row>
    <row r="5450" spans="8:8" x14ac:dyDescent="0.25">
      <c r="H5450" t="s">
        <v>7123</v>
      </c>
    </row>
    <row r="5451" spans="8:8" x14ac:dyDescent="0.25">
      <c r="H5451" t="s">
        <v>23409</v>
      </c>
    </row>
    <row r="5452" spans="8:8" x14ac:dyDescent="0.25">
      <c r="H5452" t="s">
        <v>7081</v>
      </c>
    </row>
    <row r="5453" spans="8:8" x14ac:dyDescent="0.25">
      <c r="H5453" t="s">
        <v>7082</v>
      </c>
    </row>
    <row r="5454" spans="8:8" x14ac:dyDescent="0.25">
      <c r="H5454" t="s">
        <v>7083</v>
      </c>
    </row>
    <row r="5455" spans="8:8" x14ac:dyDescent="0.25">
      <c r="H5455" t="s">
        <v>7124</v>
      </c>
    </row>
    <row r="5456" spans="8:8" x14ac:dyDescent="0.25">
      <c r="H5456" t="s">
        <v>7125</v>
      </c>
    </row>
    <row r="5458" spans="8:8" x14ac:dyDescent="0.25">
      <c r="H5458" t="s">
        <v>7126</v>
      </c>
    </row>
    <row r="5459" spans="8:8" x14ac:dyDescent="0.25">
      <c r="H5459" t="s">
        <v>7127</v>
      </c>
    </row>
    <row r="5460" spans="8:8" x14ac:dyDescent="0.25">
      <c r="H5460" t="s">
        <v>23409</v>
      </c>
    </row>
    <row r="5461" spans="8:8" x14ac:dyDescent="0.25">
      <c r="H5461" t="s">
        <v>7081</v>
      </c>
    </row>
    <row r="5462" spans="8:8" x14ac:dyDescent="0.25">
      <c r="H5462" t="s">
        <v>7082</v>
      </c>
    </row>
    <row r="5463" spans="8:8" x14ac:dyDescent="0.25">
      <c r="H5463" t="s">
        <v>7083</v>
      </c>
    </row>
    <row r="5464" spans="8:8" x14ac:dyDescent="0.25">
      <c r="H5464" t="s">
        <v>7128</v>
      </c>
    </row>
    <row r="5465" spans="8:8" x14ac:dyDescent="0.25">
      <c r="H5465" t="s">
        <v>7129</v>
      </c>
    </row>
    <row r="5467" spans="8:8" x14ac:dyDescent="0.25">
      <c r="H5467" t="s">
        <v>7130</v>
      </c>
    </row>
    <row r="5468" spans="8:8" x14ac:dyDescent="0.25">
      <c r="H5468" t="s">
        <v>7131</v>
      </c>
    </row>
    <row r="5469" spans="8:8" x14ac:dyDescent="0.25">
      <c r="H5469" t="s">
        <v>23409</v>
      </c>
    </row>
    <row r="5470" spans="8:8" x14ac:dyDescent="0.25">
      <c r="H5470" t="s">
        <v>7081</v>
      </c>
    </row>
    <row r="5471" spans="8:8" x14ac:dyDescent="0.25">
      <c r="H5471" t="s">
        <v>7082</v>
      </c>
    </row>
    <row r="5472" spans="8:8" x14ac:dyDescent="0.25">
      <c r="H5472" t="s">
        <v>7083</v>
      </c>
    </row>
    <row r="5473" spans="8:8" x14ac:dyDescent="0.25">
      <c r="H5473" t="s">
        <v>7132</v>
      </c>
    </row>
    <row r="5474" spans="8:8" x14ac:dyDescent="0.25">
      <c r="H5474" t="s">
        <v>7133</v>
      </c>
    </row>
    <row r="5476" spans="8:8" x14ac:dyDescent="0.25">
      <c r="H5476" t="s">
        <v>7134</v>
      </c>
    </row>
    <row r="5477" spans="8:8" x14ac:dyDescent="0.25">
      <c r="H5477" t="s">
        <v>7135</v>
      </c>
    </row>
    <row r="5478" spans="8:8" x14ac:dyDescent="0.25">
      <c r="H5478" t="s">
        <v>23409</v>
      </c>
    </row>
    <row r="5479" spans="8:8" x14ac:dyDescent="0.25">
      <c r="H5479" t="s">
        <v>7081</v>
      </c>
    </row>
    <row r="5480" spans="8:8" x14ac:dyDescent="0.25">
      <c r="H5480" t="s">
        <v>7082</v>
      </c>
    </row>
    <row r="5481" spans="8:8" x14ac:dyDescent="0.25">
      <c r="H5481" t="s">
        <v>7083</v>
      </c>
    </row>
    <row r="5482" spans="8:8" x14ac:dyDescent="0.25">
      <c r="H5482" t="s">
        <v>7136</v>
      </c>
    </row>
    <row r="5483" spans="8:8" x14ac:dyDescent="0.25">
      <c r="H5483" t="s">
        <v>7137</v>
      </c>
    </row>
    <row r="5485" spans="8:8" x14ac:dyDescent="0.25">
      <c r="H5485" t="s">
        <v>7138</v>
      </c>
    </row>
    <row r="5486" spans="8:8" x14ac:dyDescent="0.25">
      <c r="H5486" t="s">
        <v>7139</v>
      </c>
    </row>
    <row r="5487" spans="8:8" x14ac:dyDescent="0.25">
      <c r="H5487" t="s">
        <v>23409</v>
      </c>
    </row>
    <row r="5488" spans="8:8" x14ac:dyDescent="0.25">
      <c r="H5488" t="s">
        <v>7081</v>
      </c>
    </row>
    <row r="5489" spans="8:8" x14ac:dyDescent="0.25">
      <c r="H5489" t="s">
        <v>7082</v>
      </c>
    </row>
    <row r="5490" spans="8:8" x14ac:dyDescent="0.25">
      <c r="H5490" t="s">
        <v>7083</v>
      </c>
    </row>
    <row r="5491" spans="8:8" x14ac:dyDescent="0.25">
      <c r="H5491" t="s">
        <v>7140</v>
      </c>
    </row>
    <row r="5492" spans="8:8" x14ac:dyDescent="0.25">
      <c r="H5492" t="s">
        <v>7141</v>
      </c>
    </row>
    <row r="5494" spans="8:8" x14ac:dyDescent="0.25">
      <c r="H5494" t="s">
        <v>7142</v>
      </c>
    </row>
    <row r="5495" spans="8:8" x14ac:dyDescent="0.25">
      <c r="H5495" t="s">
        <v>7143</v>
      </c>
    </row>
    <row r="5496" spans="8:8" x14ac:dyDescent="0.25">
      <c r="H5496" t="s">
        <v>23409</v>
      </c>
    </row>
    <row r="5497" spans="8:8" x14ac:dyDescent="0.25">
      <c r="H5497" t="s">
        <v>7081</v>
      </c>
    </row>
    <row r="5498" spans="8:8" x14ac:dyDescent="0.25">
      <c r="H5498" t="s">
        <v>7082</v>
      </c>
    </row>
    <row r="5499" spans="8:8" x14ac:dyDescent="0.25">
      <c r="H5499" t="s">
        <v>7083</v>
      </c>
    </row>
    <row r="5500" spans="8:8" x14ac:dyDescent="0.25">
      <c r="H5500" t="s">
        <v>7144</v>
      </c>
    </row>
    <row r="5501" spans="8:8" x14ac:dyDescent="0.25">
      <c r="H5501" t="s">
        <v>7145</v>
      </c>
    </row>
    <row r="5503" spans="8:8" x14ac:dyDescent="0.25">
      <c r="H5503" t="s">
        <v>7146</v>
      </c>
    </row>
    <row r="5504" spans="8:8" x14ac:dyDescent="0.25">
      <c r="H5504" t="s">
        <v>7147</v>
      </c>
    </row>
    <row r="5505" spans="8:8" x14ac:dyDescent="0.25">
      <c r="H5505" t="s">
        <v>23409</v>
      </c>
    </row>
    <row r="5506" spans="8:8" x14ac:dyDescent="0.25">
      <c r="H5506" t="s">
        <v>7081</v>
      </c>
    </row>
    <row r="5507" spans="8:8" x14ac:dyDescent="0.25">
      <c r="H5507" t="s">
        <v>7082</v>
      </c>
    </row>
    <row r="5508" spans="8:8" x14ac:dyDescent="0.25">
      <c r="H5508" t="s">
        <v>7083</v>
      </c>
    </row>
    <row r="5509" spans="8:8" x14ac:dyDescent="0.25">
      <c r="H5509" t="s">
        <v>7148</v>
      </c>
    </row>
    <row r="5510" spans="8:8" x14ac:dyDescent="0.25">
      <c r="H5510" t="s">
        <v>7149</v>
      </c>
    </row>
    <row r="5512" spans="8:8" x14ac:dyDescent="0.25">
      <c r="H5512" t="s">
        <v>7150</v>
      </c>
    </row>
    <row r="5513" spans="8:8" x14ac:dyDescent="0.25">
      <c r="H5513" t="s">
        <v>7151</v>
      </c>
    </row>
    <row r="5514" spans="8:8" x14ac:dyDescent="0.25">
      <c r="H5514" t="s">
        <v>23409</v>
      </c>
    </row>
    <row r="5515" spans="8:8" x14ac:dyDescent="0.25">
      <c r="H5515" t="s">
        <v>7081</v>
      </c>
    </row>
    <row r="5516" spans="8:8" x14ac:dyDescent="0.25">
      <c r="H5516" t="s">
        <v>7082</v>
      </c>
    </row>
    <row r="5517" spans="8:8" x14ac:dyDescent="0.25">
      <c r="H5517" t="s">
        <v>7083</v>
      </c>
    </row>
    <row r="5518" spans="8:8" x14ac:dyDescent="0.25">
      <c r="H5518" t="s">
        <v>7152</v>
      </c>
    </row>
    <row r="5519" spans="8:8" x14ac:dyDescent="0.25">
      <c r="H5519" t="s">
        <v>7153</v>
      </c>
    </row>
    <row r="5521" spans="8:8" x14ac:dyDescent="0.25">
      <c r="H5521" t="s">
        <v>7154</v>
      </c>
    </row>
    <row r="5522" spans="8:8" x14ac:dyDescent="0.25">
      <c r="H5522" t="s">
        <v>7155</v>
      </c>
    </row>
    <row r="5523" spans="8:8" x14ac:dyDescent="0.25">
      <c r="H5523" t="s">
        <v>23409</v>
      </c>
    </row>
    <row r="5524" spans="8:8" x14ac:dyDescent="0.25">
      <c r="H5524" t="s">
        <v>7081</v>
      </c>
    </row>
    <row r="5525" spans="8:8" x14ac:dyDescent="0.25">
      <c r="H5525" t="s">
        <v>7082</v>
      </c>
    </row>
    <row r="5526" spans="8:8" x14ac:dyDescent="0.25">
      <c r="H5526" t="s">
        <v>7083</v>
      </c>
    </row>
    <row r="5527" spans="8:8" x14ac:dyDescent="0.25">
      <c r="H5527" t="s">
        <v>7156</v>
      </c>
    </row>
    <row r="5528" spans="8:8" x14ac:dyDescent="0.25">
      <c r="H5528" t="s">
        <v>7157</v>
      </c>
    </row>
    <row r="5530" spans="8:8" x14ac:dyDescent="0.25">
      <c r="H5530" t="s">
        <v>7158</v>
      </c>
    </row>
    <row r="5531" spans="8:8" x14ac:dyDescent="0.25">
      <c r="H5531" t="s">
        <v>7159</v>
      </c>
    </row>
    <row r="5532" spans="8:8" x14ac:dyDescent="0.25">
      <c r="H5532" t="s">
        <v>23409</v>
      </c>
    </row>
    <row r="5533" spans="8:8" x14ac:dyDescent="0.25">
      <c r="H5533" t="s">
        <v>7081</v>
      </c>
    </row>
    <row r="5534" spans="8:8" x14ac:dyDescent="0.25">
      <c r="H5534" t="s">
        <v>7082</v>
      </c>
    </row>
    <row r="5535" spans="8:8" x14ac:dyDescent="0.25">
      <c r="H5535" t="s">
        <v>7083</v>
      </c>
    </row>
    <row r="5536" spans="8:8" x14ac:dyDescent="0.25">
      <c r="H5536" t="s">
        <v>7160</v>
      </c>
    </row>
    <row r="5537" spans="8:8" x14ac:dyDescent="0.25">
      <c r="H5537" t="s">
        <v>7161</v>
      </c>
    </row>
    <row r="5539" spans="8:8" x14ac:dyDescent="0.25">
      <c r="H5539" t="s">
        <v>7162</v>
      </c>
    </row>
    <row r="5540" spans="8:8" x14ac:dyDescent="0.25">
      <c r="H5540" t="s">
        <v>7163</v>
      </c>
    </row>
    <row r="5541" spans="8:8" x14ac:dyDescent="0.25">
      <c r="H5541" t="s">
        <v>23409</v>
      </c>
    </row>
    <row r="5542" spans="8:8" x14ac:dyDescent="0.25">
      <c r="H5542" t="s">
        <v>7081</v>
      </c>
    </row>
    <row r="5543" spans="8:8" x14ac:dyDescent="0.25">
      <c r="H5543" t="s">
        <v>7082</v>
      </c>
    </row>
    <row r="5544" spans="8:8" x14ac:dyDescent="0.25">
      <c r="H5544" t="s">
        <v>7083</v>
      </c>
    </row>
    <row r="5545" spans="8:8" x14ac:dyDescent="0.25">
      <c r="H5545" t="s">
        <v>7164</v>
      </c>
    </row>
    <row r="5546" spans="8:8" x14ac:dyDescent="0.25">
      <c r="H5546" t="s">
        <v>7165</v>
      </c>
    </row>
    <row r="5548" spans="8:8" x14ac:dyDescent="0.25">
      <c r="H5548" t="s">
        <v>7166</v>
      </c>
    </row>
    <row r="5549" spans="8:8" x14ac:dyDescent="0.25">
      <c r="H5549" t="s">
        <v>7167</v>
      </c>
    </row>
    <row r="5550" spans="8:8" x14ac:dyDescent="0.25">
      <c r="H5550" t="s">
        <v>4088</v>
      </c>
    </row>
    <row r="5551" spans="8:8" x14ac:dyDescent="0.25">
      <c r="H5551" t="s">
        <v>4089</v>
      </c>
    </row>
    <row r="5552" spans="8:8" x14ac:dyDescent="0.25">
      <c r="H5552" t="s">
        <v>4090</v>
      </c>
    </row>
    <row r="5553" spans="8:8" x14ac:dyDescent="0.25">
      <c r="H5553" t="s">
        <v>4091</v>
      </c>
    </row>
    <row r="5554" spans="8:8" x14ac:dyDescent="0.25">
      <c r="H5554" t="s">
        <v>4092</v>
      </c>
    </row>
    <row r="5555" spans="8:8" x14ac:dyDescent="0.25">
      <c r="H5555" t="s">
        <v>4093</v>
      </c>
    </row>
    <row r="5556" spans="8:8" x14ac:dyDescent="0.25">
      <c r="H5556" t="s">
        <v>4094</v>
      </c>
    </row>
    <row r="5557" spans="8:8" x14ac:dyDescent="0.25">
      <c r="H5557" t="s">
        <v>7168</v>
      </c>
    </row>
    <row r="5558" spans="8:8" x14ac:dyDescent="0.25">
      <c r="H5558" t="s">
        <v>7169</v>
      </c>
    </row>
    <row r="5559" spans="8:8" x14ac:dyDescent="0.25">
      <c r="H5559" t="s">
        <v>7170</v>
      </c>
    </row>
    <row r="5560" spans="8:8" x14ac:dyDescent="0.25">
      <c r="H5560" t="s">
        <v>7171</v>
      </c>
    </row>
    <row r="5561" spans="8:8" x14ac:dyDescent="0.25">
      <c r="H5561" t="s">
        <v>7172</v>
      </c>
    </row>
    <row r="5562" spans="8:8" x14ac:dyDescent="0.25">
      <c r="H5562" t="s">
        <v>7173</v>
      </c>
    </row>
    <row r="5563" spans="8:8" x14ac:dyDescent="0.25">
      <c r="H5563" t="s">
        <v>7174</v>
      </c>
    </row>
    <row r="5564" spans="8:8" x14ac:dyDescent="0.25">
      <c r="H5564" t="s">
        <v>7175</v>
      </c>
    </row>
    <row r="5565" spans="8:8" x14ac:dyDescent="0.25">
      <c r="H5565" t="s">
        <v>7176</v>
      </c>
    </row>
    <row r="5566" spans="8:8" x14ac:dyDescent="0.25">
      <c r="H5566" t="s">
        <v>7177</v>
      </c>
    </row>
    <row r="5567" spans="8:8" x14ac:dyDescent="0.25">
      <c r="H5567" t="s">
        <v>7178</v>
      </c>
    </row>
    <row r="5568" spans="8:8" x14ac:dyDescent="0.25">
      <c r="H5568" t="s">
        <v>7179</v>
      </c>
    </row>
    <row r="5569" spans="8:8" x14ac:dyDescent="0.25">
      <c r="H5569" t="s">
        <v>7180</v>
      </c>
    </row>
    <row r="5570" spans="8:8" x14ac:dyDescent="0.25">
      <c r="H5570" t="s">
        <v>7181</v>
      </c>
    </row>
    <row r="5571" spans="8:8" x14ac:dyDescent="0.25">
      <c r="H5571" t="s">
        <v>7182</v>
      </c>
    </row>
    <row r="5572" spans="8:8" x14ac:dyDescent="0.25">
      <c r="H5572" t="s">
        <v>7183</v>
      </c>
    </row>
    <row r="5573" spans="8:8" x14ac:dyDescent="0.25">
      <c r="H5573" t="s">
        <v>7184</v>
      </c>
    </row>
    <row r="5574" spans="8:8" x14ac:dyDescent="0.25">
      <c r="H5574" t="s">
        <v>7185</v>
      </c>
    </row>
    <row r="5575" spans="8:8" x14ac:dyDescent="0.25">
      <c r="H5575" t="s">
        <v>7186</v>
      </c>
    </row>
    <row r="5576" spans="8:8" x14ac:dyDescent="0.25">
      <c r="H5576" t="s">
        <v>7187</v>
      </c>
    </row>
    <row r="5577" spans="8:8" x14ac:dyDescent="0.25">
      <c r="H5577" t="s">
        <v>7188</v>
      </c>
    </row>
    <row r="5578" spans="8:8" x14ac:dyDescent="0.25">
      <c r="H5578" t="s">
        <v>7189</v>
      </c>
    </row>
    <row r="5579" spans="8:8" x14ac:dyDescent="0.25">
      <c r="H5579" t="s">
        <v>7190</v>
      </c>
    </row>
    <row r="5580" spans="8:8" x14ac:dyDescent="0.25">
      <c r="H5580" t="s">
        <v>7191</v>
      </c>
    </row>
    <row r="5582" spans="8:8" x14ac:dyDescent="0.25">
      <c r="H5582" t="s">
        <v>7192</v>
      </c>
    </row>
    <row r="5583" spans="8:8" x14ac:dyDescent="0.25">
      <c r="H5583" t="s">
        <v>7193</v>
      </c>
    </row>
    <row r="5584" spans="8:8" x14ac:dyDescent="0.25">
      <c r="H5584" t="s">
        <v>4104</v>
      </c>
    </row>
    <row r="5585" spans="8:8" x14ac:dyDescent="0.25">
      <c r="H5585" t="s">
        <v>4105</v>
      </c>
    </row>
    <row r="5586" spans="8:8" x14ac:dyDescent="0.25">
      <c r="H5586" t="s">
        <v>4106</v>
      </c>
    </row>
    <row r="5587" spans="8:8" x14ac:dyDescent="0.25">
      <c r="H5587" t="s">
        <v>4107</v>
      </c>
    </row>
    <row r="5588" spans="8:8" x14ac:dyDescent="0.25">
      <c r="H5588" t="s">
        <v>4108</v>
      </c>
    </row>
    <row r="5589" spans="8:8" x14ac:dyDescent="0.25">
      <c r="H5589" t="s">
        <v>4109</v>
      </c>
    </row>
    <row r="5590" spans="8:8" x14ac:dyDescent="0.25">
      <c r="H5590" t="s">
        <v>4110</v>
      </c>
    </row>
    <row r="5591" spans="8:8" x14ac:dyDescent="0.25">
      <c r="H5591" t="s">
        <v>4111</v>
      </c>
    </row>
    <row r="5592" spans="8:8" x14ac:dyDescent="0.25">
      <c r="H5592" t="s">
        <v>4112</v>
      </c>
    </row>
    <row r="5593" spans="8:8" x14ac:dyDescent="0.25">
      <c r="H5593" t="s">
        <v>4113</v>
      </c>
    </row>
    <row r="5594" spans="8:8" x14ac:dyDescent="0.25">
      <c r="H5594" t="s">
        <v>4114</v>
      </c>
    </row>
    <row r="5595" spans="8:8" x14ac:dyDescent="0.25">
      <c r="H5595" t="s">
        <v>4115</v>
      </c>
    </row>
    <row r="5596" spans="8:8" x14ac:dyDescent="0.25">
      <c r="H5596" t="s">
        <v>4116</v>
      </c>
    </row>
    <row r="5597" spans="8:8" x14ac:dyDescent="0.25">
      <c r="H5597" t="s">
        <v>4117</v>
      </c>
    </row>
    <row r="5598" spans="8:8" x14ac:dyDescent="0.25">
      <c r="H5598" t="s">
        <v>4118</v>
      </c>
    </row>
    <row r="5599" spans="8:8" x14ac:dyDescent="0.25">
      <c r="H5599" t="s">
        <v>4119</v>
      </c>
    </row>
    <row r="5600" spans="8:8" x14ac:dyDescent="0.25">
      <c r="H5600" t="s">
        <v>4120</v>
      </c>
    </row>
    <row r="5601" spans="8:8" x14ac:dyDescent="0.25">
      <c r="H5601" t="s">
        <v>4121</v>
      </c>
    </row>
    <row r="5602" spans="8:8" x14ac:dyDescent="0.25">
      <c r="H5602" t="s">
        <v>4122</v>
      </c>
    </row>
    <row r="5603" spans="8:8" x14ac:dyDescent="0.25">
      <c r="H5603" t="s">
        <v>4123</v>
      </c>
    </row>
    <row r="5604" spans="8:8" x14ac:dyDescent="0.25">
      <c r="H5604" t="s">
        <v>4124</v>
      </c>
    </row>
    <row r="5605" spans="8:8" x14ac:dyDescent="0.25">
      <c r="H5605" t="s">
        <v>4125</v>
      </c>
    </row>
    <row r="5606" spans="8:8" x14ac:dyDescent="0.25">
      <c r="H5606" t="s">
        <v>4126</v>
      </c>
    </row>
    <row r="5607" spans="8:8" x14ac:dyDescent="0.25">
      <c r="H5607" t="s">
        <v>4127</v>
      </c>
    </row>
    <row r="5608" spans="8:8" x14ac:dyDescent="0.25">
      <c r="H5608" t="s">
        <v>4128</v>
      </c>
    </row>
    <row r="5609" spans="8:8" x14ac:dyDescent="0.25">
      <c r="H5609" t="s">
        <v>4129</v>
      </c>
    </row>
    <row r="5610" spans="8:8" x14ac:dyDescent="0.25">
      <c r="H5610" t="s">
        <v>4130</v>
      </c>
    </row>
    <row r="5611" spans="8:8" x14ac:dyDescent="0.25">
      <c r="H5611" t="s">
        <v>4131</v>
      </c>
    </row>
    <row r="5612" spans="8:8" x14ac:dyDescent="0.25">
      <c r="H5612" t="s">
        <v>4132</v>
      </c>
    </row>
    <row r="5613" spans="8:8" x14ac:dyDescent="0.25">
      <c r="H5613" t="s">
        <v>7194</v>
      </c>
    </row>
    <row r="5615" spans="8:8" x14ac:dyDescent="0.25">
      <c r="H5615" t="s">
        <v>7195</v>
      </c>
    </row>
    <row r="5616" spans="8:8" x14ac:dyDescent="0.25">
      <c r="H5616" t="s">
        <v>7196</v>
      </c>
    </row>
    <row r="5617" spans="8:8" x14ac:dyDescent="0.25">
      <c r="H5617" t="s">
        <v>4136</v>
      </c>
    </row>
    <row r="5618" spans="8:8" x14ac:dyDescent="0.25">
      <c r="H5618" t="s">
        <v>4137</v>
      </c>
    </row>
    <row r="5619" spans="8:8" x14ac:dyDescent="0.25">
      <c r="H5619" t="s">
        <v>4138</v>
      </c>
    </row>
    <row r="5620" spans="8:8" x14ac:dyDescent="0.25">
      <c r="H5620" t="s">
        <v>4139</v>
      </c>
    </row>
    <row r="5621" spans="8:8" x14ac:dyDescent="0.25">
      <c r="H5621" t="s">
        <v>4140</v>
      </c>
    </row>
    <row r="5622" spans="8:8" x14ac:dyDescent="0.25">
      <c r="H5622" t="s">
        <v>4141</v>
      </c>
    </row>
    <row r="5623" spans="8:8" x14ac:dyDescent="0.25">
      <c r="H5623" t="s">
        <v>4142</v>
      </c>
    </row>
    <row r="5624" spans="8:8" x14ac:dyDescent="0.25">
      <c r="H5624" t="s">
        <v>4143</v>
      </c>
    </row>
    <row r="5625" spans="8:8" x14ac:dyDescent="0.25">
      <c r="H5625" t="s">
        <v>7197</v>
      </c>
    </row>
    <row r="5627" spans="8:8" x14ac:dyDescent="0.25">
      <c r="H5627" t="s">
        <v>7198</v>
      </c>
    </row>
    <row r="5628" spans="8:8" x14ac:dyDescent="0.25">
      <c r="H5628" t="s">
        <v>7199</v>
      </c>
    </row>
    <row r="5629" spans="8:8" x14ac:dyDescent="0.25">
      <c r="H5629" t="s">
        <v>4088</v>
      </c>
    </row>
    <row r="5630" spans="8:8" x14ac:dyDescent="0.25">
      <c r="H5630" t="s">
        <v>4089</v>
      </c>
    </row>
    <row r="5631" spans="8:8" x14ac:dyDescent="0.25">
      <c r="H5631" t="s">
        <v>4090</v>
      </c>
    </row>
    <row r="5632" spans="8:8" x14ac:dyDescent="0.25">
      <c r="H5632" t="s">
        <v>4091</v>
      </c>
    </row>
    <row r="5633" spans="8:8" x14ac:dyDescent="0.25">
      <c r="H5633" t="s">
        <v>4092</v>
      </c>
    </row>
    <row r="5634" spans="8:8" x14ac:dyDescent="0.25">
      <c r="H5634" t="s">
        <v>4093</v>
      </c>
    </row>
    <row r="5635" spans="8:8" x14ac:dyDescent="0.25">
      <c r="H5635" t="s">
        <v>4094</v>
      </c>
    </row>
    <row r="5636" spans="8:8" x14ac:dyDescent="0.25">
      <c r="H5636" t="s">
        <v>7168</v>
      </c>
    </row>
    <row r="5637" spans="8:8" x14ac:dyDescent="0.25">
      <c r="H5637" t="s">
        <v>7169</v>
      </c>
    </row>
    <row r="5638" spans="8:8" x14ac:dyDescent="0.25">
      <c r="H5638" t="s">
        <v>7170</v>
      </c>
    </row>
    <row r="5639" spans="8:8" x14ac:dyDescent="0.25">
      <c r="H5639" t="s">
        <v>7171</v>
      </c>
    </row>
    <row r="5640" spans="8:8" x14ac:dyDescent="0.25">
      <c r="H5640" t="s">
        <v>7172</v>
      </c>
    </row>
    <row r="5641" spans="8:8" x14ac:dyDescent="0.25">
      <c r="H5641" t="s">
        <v>7173</v>
      </c>
    </row>
    <row r="5642" spans="8:8" x14ac:dyDescent="0.25">
      <c r="H5642" t="s">
        <v>7174</v>
      </c>
    </row>
    <row r="5643" spans="8:8" x14ac:dyDescent="0.25">
      <c r="H5643" t="s">
        <v>7175</v>
      </c>
    </row>
    <row r="5644" spans="8:8" x14ac:dyDescent="0.25">
      <c r="H5644" t="s">
        <v>7176</v>
      </c>
    </row>
    <row r="5645" spans="8:8" x14ac:dyDescent="0.25">
      <c r="H5645" t="s">
        <v>7177</v>
      </c>
    </row>
    <row r="5646" spans="8:8" x14ac:dyDescent="0.25">
      <c r="H5646" t="s">
        <v>7178</v>
      </c>
    </row>
    <row r="5647" spans="8:8" x14ac:dyDescent="0.25">
      <c r="H5647" t="s">
        <v>7179</v>
      </c>
    </row>
    <row r="5648" spans="8:8" x14ac:dyDescent="0.25">
      <c r="H5648" t="s">
        <v>7180</v>
      </c>
    </row>
    <row r="5649" spans="8:8" x14ac:dyDescent="0.25">
      <c r="H5649" t="s">
        <v>7181</v>
      </c>
    </row>
    <row r="5650" spans="8:8" x14ac:dyDescent="0.25">
      <c r="H5650" t="s">
        <v>7182</v>
      </c>
    </row>
    <row r="5651" spans="8:8" x14ac:dyDescent="0.25">
      <c r="H5651" t="s">
        <v>7183</v>
      </c>
    </row>
    <row r="5652" spans="8:8" x14ac:dyDescent="0.25">
      <c r="H5652" t="s">
        <v>7184</v>
      </c>
    </row>
    <row r="5653" spans="8:8" x14ac:dyDescent="0.25">
      <c r="H5653" t="s">
        <v>7185</v>
      </c>
    </row>
    <row r="5654" spans="8:8" x14ac:dyDescent="0.25">
      <c r="H5654" t="s">
        <v>7186</v>
      </c>
    </row>
    <row r="5655" spans="8:8" x14ac:dyDescent="0.25">
      <c r="H5655" t="s">
        <v>7187</v>
      </c>
    </row>
    <row r="5656" spans="8:8" x14ac:dyDescent="0.25">
      <c r="H5656" t="s">
        <v>7188</v>
      </c>
    </row>
    <row r="5657" spans="8:8" x14ac:dyDescent="0.25">
      <c r="H5657" t="s">
        <v>7189</v>
      </c>
    </row>
    <row r="5658" spans="8:8" x14ac:dyDescent="0.25">
      <c r="H5658" t="s">
        <v>7190</v>
      </c>
    </row>
    <row r="5659" spans="8:8" x14ac:dyDescent="0.25">
      <c r="H5659" t="s">
        <v>7200</v>
      </c>
    </row>
    <row r="5661" spans="8:8" x14ac:dyDescent="0.25">
      <c r="H5661" t="s">
        <v>7201</v>
      </c>
    </row>
    <row r="5662" spans="8:8" x14ac:dyDescent="0.25">
      <c r="H5662" t="s">
        <v>7202</v>
      </c>
    </row>
    <row r="5663" spans="8:8" x14ac:dyDescent="0.25">
      <c r="H5663" t="s">
        <v>4104</v>
      </c>
    </row>
    <row r="5664" spans="8:8" x14ac:dyDescent="0.25">
      <c r="H5664" t="s">
        <v>4105</v>
      </c>
    </row>
    <row r="5665" spans="8:8" x14ac:dyDescent="0.25">
      <c r="H5665" t="s">
        <v>4106</v>
      </c>
    </row>
    <row r="5666" spans="8:8" x14ac:dyDescent="0.25">
      <c r="H5666" t="s">
        <v>4107</v>
      </c>
    </row>
    <row r="5667" spans="8:8" x14ac:dyDescent="0.25">
      <c r="H5667" t="s">
        <v>4108</v>
      </c>
    </row>
    <row r="5668" spans="8:8" x14ac:dyDescent="0.25">
      <c r="H5668" t="s">
        <v>4109</v>
      </c>
    </row>
    <row r="5669" spans="8:8" x14ac:dyDescent="0.25">
      <c r="H5669" t="s">
        <v>4110</v>
      </c>
    </row>
    <row r="5670" spans="8:8" x14ac:dyDescent="0.25">
      <c r="H5670" t="s">
        <v>4111</v>
      </c>
    </row>
    <row r="5671" spans="8:8" x14ac:dyDescent="0.25">
      <c r="H5671" t="s">
        <v>4112</v>
      </c>
    </row>
    <row r="5672" spans="8:8" x14ac:dyDescent="0.25">
      <c r="H5672" t="s">
        <v>4113</v>
      </c>
    </row>
    <row r="5673" spans="8:8" x14ac:dyDescent="0.25">
      <c r="H5673" t="s">
        <v>4114</v>
      </c>
    </row>
    <row r="5674" spans="8:8" x14ac:dyDescent="0.25">
      <c r="H5674" t="s">
        <v>4115</v>
      </c>
    </row>
    <row r="5675" spans="8:8" x14ac:dyDescent="0.25">
      <c r="H5675" t="s">
        <v>4116</v>
      </c>
    </row>
    <row r="5676" spans="8:8" x14ac:dyDescent="0.25">
      <c r="H5676" t="s">
        <v>4117</v>
      </c>
    </row>
    <row r="5677" spans="8:8" x14ac:dyDescent="0.25">
      <c r="H5677" t="s">
        <v>4118</v>
      </c>
    </row>
    <row r="5678" spans="8:8" x14ac:dyDescent="0.25">
      <c r="H5678" t="s">
        <v>4119</v>
      </c>
    </row>
    <row r="5679" spans="8:8" x14ac:dyDescent="0.25">
      <c r="H5679" t="s">
        <v>4120</v>
      </c>
    </row>
    <row r="5680" spans="8:8" x14ac:dyDescent="0.25">
      <c r="H5680" t="s">
        <v>4121</v>
      </c>
    </row>
    <row r="5681" spans="8:8" x14ac:dyDescent="0.25">
      <c r="H5681" t="s">
        <v>4122</v>
      </c>
    </row>
    <row r="5682" spans="8:8" x14ac:dyDescent="0.25">
      <c r="H5682" t="s">
        <v>4123</v>
      </c>
    </row>
    <row r="5683" spans="8:8" x14ac:dyDescent="0.25">
      <c r="H5683" t="s">
        <v>4124</v>
      </c>
    </row>
    <row r="5684" spans="8:8" x14ac:dyDescent="0.25">
      <c r="H5684" t="s">
        <v>4125</v>
      </c>
    </row>
    <row r="5685" spans="8:8" x14ac:dyDescent="0.25">
      <c r="H5685" t="s">
        <v>4126</v>
      </c>
    </row>
    <row r="5686" spans="8:8" x14ac:dyDescent="0.25">
      <c r="H5686" t="s">
        <v>4127</v>
      </c>
    </row>
    <row r="5687" spans="8:8" x14ac:dyDescent="0.25">
      <c r="H5687" t="s">
        <v>4128</v>
      </c>
    </row>
    <row r="5688" spans="8:8" x14ac:dyDescent="0.25">
      <c r="H5688" t="s">
        <v>4129</v>
      </c>
    </row>
    <row r="5689" spans="8:8" x14ac:dyDescent="0.25">
      <c r="H5689" t="s">
        <v>4130</v>
      </c>
    </row>
    <row r="5690" spans="8:8" x14ac:dyDescent="0.25">
      <c r="H5690" t="s">
        <v>4131</v>
      </c>
    </row>
    <row r="5691" spans="8:8" x14ac:dyDescent="0.25">
      <c r="H5691" t="s">
        <v>4132</v>
      </c>
    </row>
    <row r="5692" spans="8:8" x14ac:dyDescent="0.25">
      <c r="H5692" t="s">
        <v>7203</v>
      </c>
    </row>
    <row r="5694" spans="8:8" x14ac:dyDescent="0.25">
      <c r="H5694" t="s">
        <v>7204</v>
      </c>
    </row>
    <row r="5695" spans="8:8" x14ac:dyDescent="0.25">
      <c r="H5695" t="s">
        <v>7205</v>
      </c>
    </row>
    <row r="5696" spans="8:8" x14ac:dyDescent="0.25">
      <c r="H5696" t="s">
        <v>4136</v>
      </c>
    </row>
    <row r="5697" spans="8:8" x14ac:dyDescent="0.25">
      <c r="H5697" t="s">
        <v>4137</v>
      </c>
    </row>
    <row r="5698" spans="8:8" x14ac:dyDescent="0.25">
      <c r="H5698" t="s">
        <v>4138</v>
      </c>
    </row>
    <row r="5699" spans="8:8" x14ac:dyDescent="0.25">
      <c r="H5699" t="s">
        <v>4139</v>
      </c>
    </row>
    <row r="5700" spans="8:8" x14ac:dyDescent="0.25">
      <c r="H5700" t="s">
        <v>4140</v>
      </c>
    </row>
    <row r="5701" spans="8:8" x14ac:dyDescent="0.25">
      <c r="H5701" t="s">
        <v>4141</v>
      </c>
    </row>
    <row r="5702" spans="8:8" x14ac:dyDescent="0.25">
      <c r="H5702" t="s">
        <v>4142</v>
      </c>
    </row>
    <row r="5703" spans="8:8" x14ac:dyDescent="0.25">
      <c r="H5703" t="s">
        <v>4143</v>
      </c>
    </row>
    <row r="5704" spans="8:8" x14ac:dyDescent="0.25">
      <c r="H5704" t="s">
        <v>7206</v>
      </c>
    </row>
    <row r="5706" spans="8:8" x14ac:dyDescent="0.25">
      <c r="H5706" t="s">
        <v>7207</v>
      </c>
    </row>
    <row r="5707" spans="8:8" x14ac:dyDescent="0.25">
      <c r="H5707" t="s">
        <v>7208</v>
      </c>
    </row>
    <row r="5708" spans="8:8" x14ac:dyDescent="0.25">
      <c r="H5708" t="s">
        <v>7209</v>
      </c>
    </row>
    <row r="5709" spans="8:8" x14ac:dyDescent="0.25">
      <c r="H5709" t="s">
        <v>7210</v>
      </c>
    </row>
    <row r="5710" spans="8:8" x14ac:dyDescent="0.25">
      <c r="H5710" t="s">
        <v>7211</v>
      </c>
    </row>
    <row r="5711" spans="8:8" x14ac:dyDescent="0.25">
      <c r="H5711" t="s">
        <v>7212</v>
      </c>
    </row>
    <row r="5712" spans="8:8" x14ac:dyDescent="0.25">
      <c r="H5712" t="s">
        <v>7213</v>
      </c>
    </row>
    <row r="5713" spans="8:8" x14ac:dyDescent="0.25">
      <c r="H5713" t="s">
        <v>7214</v>
      </c>
    </row>
    <row r="5714" spans="8:8" x14ac:dyDescent="0.25">
      <c r="H5714" t="s">
        <v>7215</v>
      </c>
    </row>
    <row r="5715" spans="8:8" x14ac:dyDescent="0.25">
      <c r="H5715" t="s">
        <v>7216</v>
      </c>
    </row>
    <row r="5716" spans="8:8" x14ac:dyDescent="0.25">
      <c r="H5716" t="s">
        <v>7217</v>
      </c>
    </row>
    <row r="5717" spans="8:8" x14ac:dyDescent="0.25">
      <c r="H5717" t="s">
        <v>7218</v>
      </c>
    </row>
    <row r="5718" spans="8:8" x14ac:dyDescent="0.25">
      <c r="H5718" t="s">
        <v>7219</v>
      </c>
    </row>
    <row r="5719" spans="8:8" x14ac:dyDescent="0.25">
      <c r="H5719" t="s">
        <v>3881</v>
      </c>
    </row>
    <row r="5720" spans="8:8" x14ac:dyDescent="0.25">
      <c r="H5720" t="s">
        <v>3880</v>
      </c>
    </row>
    <row r="5721" spans="8:8" x14ac:dyDescent="0.25">
      <c r="H5721" t="s">
        <v>7220</v>
      </c>
    </row>
    <row r="5722" spans="8:8" x14ac:dyDescent="0.25">
      <c r="H5722" t="s">
        <v>7221</v>
      </c>
    </row>
    <row r="5723" spans="8:8" x14ac:dyDescent="0.25">
      <c r="H5723" t="s">
        <v>7222</v>
      </c>
    </row>
    <row r="5725" spans="8:8" x14ac:dyDescent="0.25">
      <c r="H5725" t="s">
        <v>7223</v>
      </c>
    </row>
    <row r="5726" spans="8:8" x14ac:dyDescent="0.25">
      <c r="H5726" t="s">
        <v>7224</v>
      </c>
    </row>
    <row r="5727" spans="8:8" x14ac:dyDescent="0.25">
      <c r="H5727" t="s">
        <v>7225</v>
      </c>
    </row>
    <row r="5728" spans="8:8" x14ac:dyDescent="0.25">
      <c r="H5728" t="s">
        <v>7226</v>
      </c>
    </row>
    <row r="5729" spans="8:8" x14ac:dyDescent="0.25">
      <c r="H5729" t="s">
        <v>7227</v>
      </c>
    </row>
    <row r="5731" spans="8:8" x14ac:dyDescent="0.25">
      <c r="H5731" t="s">
        <v>7228</v>
      </c>
    </row>
    <row r="5732" spans="8:8" x14ac:dyDescent="0.25">
      <c r="H5732" t="s">
        <v>7229</v>
      </c>
    </row>
    <row r="5733" spans="8:8" x14ac:dyDescent="0.25">
      <c r="H5733" t="s">
        <v>7230</v>
      </c>
    </row>
    <row r="5734" spans="8:8" x14ac:dyDescent="0.25">
      <c r="H5734" t="s">
        <v>7231</v>
      </c>
    </row>
    <row r="5735" spans="8:8" x14ac:dyDescent="0.25">
      <c r="H5735" t="s">
        <v>7232</v>
      </c>
    </row>
    <row r="5736" spans="8:8" x14ac:dyDescent="0.25">
      <c r="H5736" t="s">
        <v>7233</v>
      </c>
    </row>
    <row r="5738" spans="8:8" x14ac:dyDescent="0.25">
      <c r="H5738" t="s">
        <v>7234</v>
      </c>
    </row>
    <row r="5739" spans="8:8" x14ac:dyDescent="0.25">
      <c r="H5739" t="s">
        <v>7235</v>
      </c>
    </row>
    <row r="5740" spans="8:8" x14ac:dyDescent="0.25">
      <c r="H5740" t="s">
        <v>7236</v>
      </c>
    </row>
    <row r="5741" spans="8:8" x14ac:dyDescent="0.25">
      <c r="H5741" t="s">
        <v>7237</v>
      </c>
    </row>
    <row r="5743" spans="8:8" x14ac:dyDescent="0.25">
      <c r="H5743" t="s">
        <v>7238</v>
      </c>
    </row>
    <row r="5744" spans="8:8" x14ac:dyDescent="0.25">
      <c r="H5744" t="s">
        <v>7239</v>
      </c>
    </row>
    <row r="5745" spans="8:8" x14ac:dyDescent="0.25">
      <c r="H5745" t="s">
        <v>7240</v>
      </c>
    </row>
    <row r="5746" spans="8:8" x14ac:dyDescent="0.25">
      <c r="H5746" t="s">
        <v>7241</v>
      </c>
    </row>
    <row r="5748" spans="8:8" x14ac:dyDescent="0.25">
      <c r="H5748" t="s">
        <v>7242</v>
      </c>
    </row>
    <row r="5749" spans="8:8" x14ac:dyDescent="0.25">
      <c r="H5749" t="s">
        <v>7243</v>
      </c>
    </row>
    <row r="5750" spans="8:8" x14ac:dyDescent="0.25">
      <c r="H5750" t="s">
        <v>7244</v>
      </c>
    </row>
    <row r="5751" spans="8:8" x14ac:dyDescent="0.25">
      <c r="H5751" t="s">
        <v>7245</v>
      </c>
    </row>
    <row r="5752" spans="8:8" x14ac:dyDescent="0.25">
      <c r="H5752" t="s">
        <v>7246</v>
      </c>
    </row>
    <row r="5754" spans="8:8" x14ac:dyDescent="0.25">
      <c r="H5754" t="s">
        <v>105</v>
      </c>
    </row>
    <row r="5756" spans="8:8" x14ac:dyDescent="0.25">
      <c r="H5756" t="s">
        <v>106</v>
      </c>
    </row>
    <row r="5757" spans="8:8" x14ac:dyDescent="0.25">
      <c r="H5757" t="s">
        <v>133</v>
      </c>
    </row>
    <row r="5758" spans="8:8" x14ac:dyDescent="0.25">
      <c r="H5758" t="s">
        <v>7247</v>
      </c>
    </row>
    <row r="5759" spans="8:8" x14ac:dyDescent="0.25">
      <c r="H5759" t="s">
        <v>7248</v>
      </c>
    </row>
    <row r="5760" spans="8:8" x14ac:dyDescent="0.25">
      <c r="H5760" t="s">
        <v>7249</v>
      </c>
    </row>
    <row r="5761" spans="8:8" x14ac:dyDescent="0.25">
      <c r="H5761" t="s">
        <v>7250</v>
      </c>
    </row>
    <row r="5762" spans="8:8" x14ac:dyDescent="0.25">
      <c r="H5762" t="s">
        <v>7251</v>
      </c>
    </row>
    <row r="5763" spans="8:8" x14ac:dyDescent="0.25">
      <c r="H5763" t="s">
        <v>7252</v>
      </c>
    </row>
    <row r="5764" spans="8:8" x14ac:dyDescent="0.25">
      <c r="H5764" t="s">
        <v>7253</v>
      </c>
    </row>
    <row r="5765" spans="8:8" x14ac:dyDescent="0.25">
      <c r="H5765" t="s">
        <v>7254</v>
      </c>
    </row>
    <row r="5766" spans="8:8" x14ac:dyDescent="0.25">
      <c r="H5766" t="s">
        <v>7255</v>
      </c>
    </row>
    <row r="5767" spans="8:8" x14ac:dyDescent="0.25">
      <c r="H5767" t="s">
        <v>7256</v>
      </c>
    </row>
    <row r="5768" spans="8:8" x14ac:dyDescent="0.25">
      <c r="H5768" t="s">
        <v>7257</v>
      </c>
    </row>
    <row r="5769" spans="8:8" x14ac:dyDescent="0.25">
      <c r="H5769" t="s">
        <v>7258</v>
      </c>
    </row>
    <row r="5770" spans="8:8" x14ac:dyDescent="0.25">
      <c r="H5770" t="s">
        <v>7259</v>
      </c>
    </row>
    <row r="5771" spans="8:8" x14ac:dyDescent="0.25">
      <c r="H5771" t="s">
        <v>7260</v>
      </c>
    </row>
    <row r="5772" spans="8:8" x14ac:dyDescent="0.25">
      <c r="H5772" t="s">
        <v>7261</v>
      </c>
    </row>
    <row r="5773" spans="8:8" x14ac:dyDescent="0.25">
      <c r="H5773" t="s">
        <v>7262</v>
      </c>
    </row>
    <row r="5774" spans="8:8" x14ac:dyDescent="0.25">
      <c r="H5774" t="s">
        <v>7263</v>
      </c>
    </row>
    <row r="5775" spans="8:8" x14ac:dyDescent="0.25">
      <c r="H5775" t="s">
        <v>7264</v>
      </c>
    </row>
    <row r="5776" spans="8:8" x14ac:dyDescent="0.25">
      <c r="H5776" t="s">
        <v>7265</v>
      </c>
    </row>
    <row r="5777" spans="8:8" x14ac:dyDescent="0.25">
      <c r="H5777" t="s">
        <v>7266</v>
      </c>
    </row>
    <row r="5778" spans="8:8" x14ac:dyDescent="0.25">
      <c r="H5778" t="s">
        <v>7267</v>
      </c>
    </row>
    <row r="5779" spans="8:8" x14ac:dyDescent="0.25">
      <c r="H5779" t="s">
        <v>7268</v>
      </c>
    </row>
    <row r="5780" spans="8:8" x14ac:dyDescent="0.25">
      <c r="H5780" t="s">
        <v>7269</v>
      </c>
    </row>
    <row r="5781" spans="8:8" x14ac:dyDescent="0.25">
      <c r="H5781" t="s">
        <v>7270</v>
      </c>
    </row>
    <row r="5782" spans="8:8" x14ac:dyDescent="0.25">
      <c r="H5782" t="s">
        <v>7271</v>
      </c>
    </row>
    <row r="5783" spans="8:8" x14ac:dyDescent="0.25">
      <c r="H5783" t="s">
        <v>7272</v>
      </c>
    </row>
    <row r="5784" spans="8:8" x14ac:dyDescent="0.25">
      <c r="H5784" t="s">
        <v>7273</v>
      </c>
    </row>
    <row r="5785" spans="8:8" x14ac:dyDescent="0.25">
      <c r="H5785" t="s">
        <v>7274</v>
      </c>
    </row>
    <row r="5786" spans="8:8" x14ac:dyDescent="0.25">
      <c r="H5786" t="s">
        <v>7275</v>
      </c>
    </row>
    <row r="5787" spans="8:8" x14ac:dyDescent="0.25">
      <c r="H5787" t="s">
        <v>7276</v>
      </c>
    </row>
    <row r="5788" spans="8:8" x14ac:dyDescent="0.25">
      <c r="H5788" t="s">
        <v>7277</v>
      </c>
    </row>
    <row r="5789" spans="8:8" x14ac:dyDescent="0.25">
      <c r="H5789" t="s">
        <v>7278</v>
      </c>
    </row>
    <row r="5790" spans="8:8" x14ac:dyDescent="0.25">
      <c r="H5790" t="s">
        <v>7279</v>
      </c>
    </row>
    <row r="5791" spans="8:8" x14ac:dyDescent="0.25">
      <c r="H5791" t="s">
        <v>7280</v>
      </c>
    </row>
    <row r="5792" spans="8:8" x14ac:dyDescent="0.25">
      <c r="H5792" t="s">
        <v>7281</v>
      </c>
    </row>
    <row r="5793" spans="8:8" x14ac:dyDescent="0.25">
      <c r="H5793" t="s">
        <v>7282</v>
      </c>
    </row>
    <row r="5794" spans="8:8" x14ac:dyDescent="0.25">
      <c r="H5794" t="s">
        <v>7283</v>
      </c>
    </row>
    <row r="5795" spans="8:8" x14ac:dyDescent="0.25">
      <c r="H5795" t="s">
        <v>7284</v>
      </c>
    </row>
    <row r="5796" spans="8:8" x14ac:dyDescent="0.25">
      <c r="H5796" t="s">
        <v>7285</v>
      </c>
    </row>
    <row r="5797" spans="8:8" x14ac:dyDescent="0.25">
      <c r="H5797" t="s">
        <v>7286</v>
      </c>
    </row>
    <row r="5798" spans="8:8" x14ac:dyDescent="0.25">
      <c r="H5798" t="s">
        <v>7287</v>
      </c>
    </row>
    <row r="5799" spans="8:8" x14ac:dyDescent="0.25">
      <c r="H5799" t="s">
        <v>7288</v>
      </c>
    </row>
    <row r="5800" spans="8:8" x14ac:dyDescent="0.25">
      <c r="H5800" t="s">
        <v>7289</v>
      </c>
    </row>
    <row r="5801" spans="8:8" x14ac:dyDescent="0.25">
      <c r="H5801" t="s">
        <v>7290</v>
      </c>
    </row>
    <row r="5802" spans="8:8" x14ac:dyDescent="0.25">
      <c r="H5802" t="s">
        <v>7291</v>
      </c>
    </row>
    <row r="5803" spans="8:8" x14ac:dyDescent="0.25">
      <c r="H5803" t="s">
        <v>7292</v>
      </c>
    </row>
    <row r="5804" spans="8:8" x14ac:dyDescent="0.25">
      <c r="H5804" t="s">
        <v>7293</v>
      </c>
    </row>
    <row r="5805" spans="8:8" x14ac:dyDescent="0.25">
      <c r="H5805" t="s">
        <v>7294</v>
      </c>
    </row>
    <row r="5806" spans="8:8" x14ac:dyDescent="0.25">
      <c r="H5806" t="s">
        <v>7295</v>
      </c>
    </row>
    <row r="5807" spans="8:8" x14ac:dyDescent="0.25">
      <c r="H5807" t="s">
        <v>7296</v>
      </c>
    </row>
    <row r="5808" spans="8:8" x14ac:dyDescent="0.25">
      <c r="H5808" t="s">
        <v>7297</v>
      </c>
    </row>
    <row r="5809" spans="8:8" x14ac:dyDescent="0.25">
      <c r="H5809" t="s">
        <v>7298</v>
      </c>
    </row>
    <row r="5810" spans="8:8" x14ac:dyDescent="0.25">
      <c r="H5810" t="s">
        <v>7299</v>
      </c>
    </row>
    <row r="5811" spans="8:8" x14ac:dyDescent="0.25">
      <c r="H5811" t="s">
        <v>7300</v>
      </c>
    </row>
    <row r="5812" spans="8:8" x14ac:dyDescent="0.25">
      <c r="H5812" t="s">
        <v>7301</v>
      </c>
    </row>
    <row r="5813" spans="8:8" x14ac:dyDescent="0.25">
      <c r="H5813" t="s">
        <v>7302</v>
      </c>
    </row>
    <row r="5814" spans="8:8" x14ac:dyDescent="0.25">
      <c r="H5814" t="s">
        <v>7303</v>
      </c>
    </row>
    <row r="5815" spans="8:8" x14ac:dyDescent="0.25">
      <c r="H5815" t="s">
        <v>7304</v>
      </c>
    </row>
    <row r="5816" spans="8:8" x14ac:dyDescent="0.25">
      <c r="H5816" t="s">
        <v>7305</v>
      </c>
    </row>
    <row r="5817" spans="8:8" x14ac:dyDescent="0.25">
      <c r="H5817" t="s">
        <v>7306</v>
      </c>
    </row>
    <row r="5818" spans="8:8" x14ac:dyDescent="0.25">
      <c r="H5818" t="s">
        <v>7307</v>
      </c>
    </row>
    <row r="5819" spans="8:8" x14ac:dyDescent="0.25">
      <c r="H5819" t="s">
        <v>7308</v>
      </c>
    </row>
    <row r="5820" spans="8:8" x14ac:dyDescent="0.25">
      <c r="H5820" t="s">
        <v>7309</v>
      </c>
    </row>
    <row r="5821" spans="8:8" x14ac:dyDescent="0.25">
      <c r="H5821" t="s">
        <v>7310</v>
      </c>
    </row>
    <row r="5822" spans="8:8" x14ac:dyDescent="0.25">
      <c r="H5822" t="s">
        <v>7311</v>
      </c>
    </row>
    <row r="5823" spans="8:8" x14ac:dyDescent="0.25">
      <c r="H5823" t="s">
        <v>7312</v>
      </c>
    </row>
    <row r="5824" spans="8:8" x14ac:dyDescent="0.25">
      <c r="H5824" t="s">
        <v>7313</v>
      </c>
    </row>
    <row r="5825" spans="8:8" x14ac:dyDescent="0.25">
      <c r="H5825" t="s">
        <v>7314</v>
      </c>
    </row>
    <row r="5826" spans="8:8" x14ac:dyDescent="0.25">
      <c r="H5826" t="s">
        <v>7315</v>
      </c>
    </row>
    <row r="5827" spans="8:8" x14ac:dyDescent="0.25">
      <c r="H5827" t="s">
        <v>7316</v>
      </c>
    </row>
    <row r="5828" spans="8:8" x14ac:dyDescent="0.25">
      <c r="H5828" t="s">
        <v>7317</v>
      </c>
    </row>
    <row r="5829" spans="8:8" x14ac:dyDescent="0.25">
      <c r="H5829" t="s">
        <v>7318</v>
      </c>
    </row>
    <row r="5830" spans="8:8" x14ac:dyDescent="0.25">
      <c r="H5830" t="s">
        <v>7319</v>
      </c>
    </row>
    <row r="5831" spans="8:8" x14ac:dyDescent="0.25">
      <c r="H5831" t="s">
        <v>7320</v>
      </c>
    </row>
    <row r="5832" spans="8:8" x14ac:dyDescent="0.25">
      <c r="H5832" t="s">
        <v>7321</v>
      </c>
    </row>
    <row r="5833" spans="8:8" x14ac:dyDescent="0.25">
      <c r="H5833" t="s">
        <v>7322</v>
      </c>
    </row>
    <row r="5834" spans="8:8" x14ac:dyDescent="0.25">
      <c r="H5834" t="s">
        <v>7323</v>
      </c>
    </row>
    <row r="5835" spans="8:8" x14ac:dyDescent="0.25">
      <c r="H5835" t="s">
        <v>7324</v>
      </c>
    </row>
    <row r="5836" spans="8:8" x14ac:dyDescent="0.25">
      <c r="H5836" t="s">
        <v>7325</v>
      </c>
    </row>
    <row r="5837" spans="8:8" x14ac:dyDescent="0.25">
      <c r="H5837" t="s">
        <v>7326</v>
      </c>
    </row>
    <row r="5838" spans="8:8" x14ac:dyDescent="0.25">
      <c r="H5838" t="s">
        <v>7327</v>
      </c>
    </row>
    <row r="5839" spans="8:8" x14ac:dyDescent="0.25">
      <c r="H5839" t="s">
        <v>7328</v>
      </c>
    </row>
    <row r="5840" spans="8:8" x14ac:dyDescent="0.25">
      <c r="H5840" t="s">
        <v>7329</v>
      </c>
    </row>
    <row r="5841" spans="8:8" x14ac:dyDescent="0.25">
      <c r="H5841" t="s">
        <v>7330</v>
      </c>
    </row>
    <row r="5842" spans="8:8" x14ac:dyDescent="0.25">
      <c r="H5842" t="s">
        <v>7331</v>
      </c>
    </row>
    <row r="5843" spans="8:8" x14ac:dyDescent="0.25">
      <c r="H5843" t="s">
        <v>7332</v>
      </c>
    </row>
    <row r="5844" spans="8:8" x14ac:dyDescent="0.25">
      <c r="H5844" t="s">
        <v>7333</v>
      </c>
    </row>
    <row r="5845" spans="8:8" x14ac:dyDescent="0.25">
      <c r="H5845" t="s">
        <v>7334</v>
      </c>
    </row>
    <row r="5846" spans="8:8" x14ac:dyDescent="0.25">
      <c r="H5846" t="s">
        <v>7335</v>
      </c>
    </row>
    <row r="5847" spans="8:8" x14ac:dyDescent="0.25">
      <c r="H5847" t="s">
        <v>7336</v>
      </c>
    </row>
    <row r="5848" spans="8:8" x14ac:dyDescent="0.25">
      <c r="H5848" t="s">
        <v>7337</v>
      </c>
    </row>
    <row r="5849" spans="8:8" x14ac:dyDescent="0.25">
      <c r="H5849" t="s">
        <v>7338</v>
      </c>
    </row>
    <row r="5850" spans="8:8" x14ac:dyDescent="0.25">
      <c r="H5850" t="s">
        <v>7339</v>
      </c>
    </row>
    <row r="5851" spans="8:8" x14ac:dyDescent="0.25">
      <c r="H5851" t="s">
        <v>7340</v>
      </c>
    </row>
    <row r="5852" spans="8:8" x14ac:dyDescent="0.25">
      <c r="H5852" t="s">
        <v>7341</v>
      </c>
    </row>
    <row r="5853" spans="8:8" x14ac:dyDescent="0.25">
      <c r="H5853" t="s">
        <v>7342</v>
      </c>
    </row>
    <row r="5854" spans="8:8" x14ac:dyDescent="0.25">
      <c r="H5854" t="s">
        <v>7343</v>
      </c>
    </row>
    <row r="5855" spans="8:8" x14ac:dyDescent="0.25">
      <c r="H5855" t="s">
        <v>7344</v>
      </c>
    </row>
    <row r="5856" spans="8:8" x14ac:dyDescent="0.25">
      <c r="H5856" t="s">
        <v>7345</v>
      </c>
    </row>
    <row r="5857" spans="8:8" x14ac:dyDescent="0.25">
      <c r="H5857" t="s">
        <v>7346</v>
      </c>
    </row>
    <row r="5858" spans="8:8" x14ac:dyDescent="0.25">
      <c r="H5858" t="s">
        <v>7347</v>
      </c>
    </row>
    <row r="5859" spans="8:8" x14ac:dyDescent="0.25">
      <c r="H5859" t="s">
        <v>7348</v>
      </c>
    </row>
    <row r="5860" spans="8:8" x14ac:dyDescent="0.25">
      <c r="H5860" t="s">
        <v>7349</v>
      </c>
    </row>
    <row r="5861" spans="8:8" x14ac:dyDescent="0.25">
      <c r="H5861" t="s">
        <v>7350</v>
      </c>
    </row>
    <row r="5862" spans="8:8" x14ac:dyDescent="0.25">
      <c r="H5862" t="s">
        <v>7351</v>
      </c>
    </row>
    <row r="5863" spans="8:8" x14ac:dyDescent="0.25">
      <c r="H5863" t="s">
        <v>7352</v>
      </c>
    </row>
    <row r="5864" spans="8:8" x14ac:dyDescent="0.25">
      <c r="H5864" t="s">
        <v>7353</v>
      </c>
    </row>
    <row r="5865" spans="8:8" x14ac:dyDescent="0.25">
      <c r="H5865" t="s">
        <v>7354</v>
      </c>
    </row>
    <row r="5866" spans="8:8" x14ac:dyDescent="0.25">
      <c r="H5866" t="s">
        <v>7355</v>
      </c>
    </row>
    <row r="5867" spans="8:8" x14ac:dyDescent="0.25">
      <c r="H5867" t="s">
        <v>7356</v>
      </c>
    </row>
    <row r="5868" spans="8:8" x14ac:dyDescent="0.25">
      <c r="H5868" t="s">
        <v>7357</v>
      </c>
    </row>
    <row r="5869" spans="8:8" x14ac:dyDescent="0.25">
      <c r="H5869" t="s">
        <v>7358</v>
      </c>
    </row>
    <row r="5870" spans="8:8" x14ac:dyDescent="0.25">
      <c r="H5870" t="s">
        <v>7359</v>
      </c>
    </row>
    <row r="5871" spans="8:8" x14ac:dyDescent="0.25">
      <c r="H5871" t="s">
        <v>7360</v>
      </c>
    </row>
    <row r="5872" spans="8:8" x14ac:dyDescent="0.25">
      <c r="H5872" t="s">
        <v>7361</v>
      </c>
    </row>
    <row r="5873" spans="8:8" x14ac:dyDescent="0.25">
      <c r="H5873" t="s">
        <v>7362</v>
      </c>
    </row>
    <row r="5874" spans="8:8" x14ac:dyDescent="0.25">
      <c r="H5874" t="s">
        <v>7363</v>
      </c>
    </row>
    <row r="5875" spans="8:8" x14ac:dyDescent="0.25">
      <c r="H5875" t="s">
        <v>7364</v>
      </c>
    </row>
    <row r="5876" spans="8:8" x14ac:dyDescent="0.25">
      <c r="H5876" t="s">
        <v>7365</v>
      </c>
    </row>
    <row r="5877" spans="8:8" x14ac:dyDescent="0.25">
      <c r="H5877" t="s">
        <v>7366</v>
      </c>
    </row>
    <row r="5878" spans="8:8" x14ac:dyDescent="0.25">
      <c r="H5878" t="s">
        <v>7367</v>
      </c>
    </row>
    <row r="5879" spans="8:8" x14ac:dyDescent="0.25">
      <c r="H5879" t="s">
        <v>7368</v>
      </c>
    </row>
    <row r="5880" spans="8:8" x14ac:dyDescent="0.25">
      <c r="H5880" t="s">
        <v>7369</v>
      </c>
    </row>
    <row r="5881" spans="8:8" x14ac:dyDescent="0.25">
      <c r="H5881" t="s">
        <v>7370</v>
      </c>
    </row>
    <row r="5882" spans="8:8" x14ac:dyDescent="0.25">
      <c r="H5882" t="s">
        <v>7371</v>
      </c>
    </row>
    <row r="5883" spans="8:8" x14ac:dyDescent="0.25">
      <c r="H5883" t="s">
        <v>7372</v>
      </c>
    </row>
    <row r="5884" spans="8:8" x14ac:dyDescent="0.25">
      <c r="H5884" t="s">
        <v>7373</v>
      </c>
    </row>
    <row r="5885" spans="8:8" x14ac:dyDescent="0.25">
      <c r="H5885" t="s">
        <v>7374</v>
      </c>
    </row>
    <row r="5886" spans="8:8" x14ac:dyDescent="0.25">
      <c r="H5886" t="s">
        <v>7375</v>
      </c>
    </row>
    <row r="5887" spans="8:8" x14ac:dyDescent="0.25">
      <c r="H5887" t="s">
        <v>7376</v>
      </c>
    </row>
    <row r="5888" spans="8:8" x14ac:dyDescent="0.25">
      <c r="H5888" t="s">
        <v>7377</v>
      </c>
    </row>
    <row r="5889" spans="8:8" x14ac:dyDescent="0.25">
      <c r="H5889" t="s">
        <v>7378</v>
      </c>
    </row>
    <row r="5890" spans="8:8" x14ac:dyDescent="0.25">
      <c r="H5890" t="s">
        <v>7379</v>
      </c>
    </row>
    <row r="5891" spans="8:8" x14ac:dyDescent="0.25">
      <c r="H5891" t="s">
        <v>7380</v>
      </c>
    </row>
    <row r="5892" spans="8:8" x14ac:dyDescent="0.25">
      <c r="H5892" t="s">
        <v>7381</v>
      </c>
    </row>
    <row r="5893" spans="8:8" x14ac:dyDescent="0.25">
      <c r="H5893" t="s">
        <v>7382</v>
      </c>
    </row>
    <row r="5894" spans="8:8" x14ac:dyDescent="0.25">
      <c r="H5894" t="s">
        <v>7383</v>
      </c>
    </row>
    <row r="5895" spans="8:8" x14ac:dyDescent="0.25">
      <c r="H5895" t="s">
        <v>7384</v>
      </c>
    </row>
    <row r="5896" spans="8:8" x14ac:dyDescent="0.25">
      <c r="H5896" t="s">
        <v>7385</v>
      </c>
    </row>
    <row r="5897" spans="8:8" x14ac:dyDescent="0.25">
      <c r="H5897" t="s">
        <v>7386</v>
      </c>
    </row>
    <row r="5898" spans="8:8" x14ac:dyDescent="0.25">
      <c r="H5898" t="s">
        <v>7387</v>
      </c>
    </row>
    <row r="5899" spans="8:8" x14ac:dyDescent="0.25">
      <c r="H5899" t="s">
        <v>7388</v>
      </c>
    </row>
    <row r="5900" spans="8:8" x14ac:dyDescent="0.25">
      <c r="H5900" t="s">
        <v>7389</v>
      </c>
    </row>
    <row r="5901" spans="8:8" x14ac:dyDescent="0.25">
      <c r="H5901" t="s">
        <v>7390</v>
      </c>
    </row>
    <row r="5902" spans="8:8" x14ac:dyDescent="0.25">
      <c r="H5902" t="s">
        <v>7391</v>
      </c>
    </row>
    <row r="5903" spans="8:8" x14ac:dyDescent="0.25">
      <c r="H5903" t="s">
        <v>7392</v>
      </c>
    </row>
    <row r="5904" spans="8:8" x14ac:dyDescent="0.25">
      <c r="H5904" t="s">
        <v>7393</v>
      </c>
    </row>
    <row r="5905" spans="8:8" x14ac:dyDescent="0.25">
      <c r="H5905" t="s">
        <v>7394</v>
      </c>
    </row>
    <row r="5906" spans="8:8" x14ac:dyDescent="0.25">
      <c r="H5906" t="s">
        <v>7395</v>
      </c>
    </row>
    <row r="5907" spans="8:8" x14ac:dyDescent="0.25">
      <c r="H5907" t="s">
        <v>7396</v>
      </c>
    </row>
    <row r="5908" spans="8:8" x14ac:dyDescent="0.25">
      <c r="H5908" t="s">
        <v>7397</v>
      </c>
    </row>
    <row r="5909" spans="8:8" x14ac:dyDescent="0.25">
      <c r="H5909" t="s">
        <v>7398</v>
      </c>
    </row>
    <row r="5910" spans="8:8" x14ac:dyDescent="0.25">
      <c r="H5910" t="s">
        <v>7399</v>
      </c>
    </row>
    <row r="5911" spans="8:8" x14ac:dyDescent="0.25">
      <c r="H5911" t="s">
        <v>7400</v>
      </c>
    </row>
    <row r="5912" spans="8:8" x14ac:dyDescent="0.25">
      <c r="H5912" t="s">
        <v>7401</v>
      </c>
    </row>
    <row r="5913" spans="8:8" x14ac:dyDescent="0.25">
      <c r="H5913" t="s">
        <v>7402</v>
      </c>
    </row>
    <row r="5914" spans="8:8" x14ac:dyDescent="0.25">
      <c r="H5914" t="s">
        <v>7403</v>
      </c>
    </row>
    <row r="5915" spans="8:8" x14ac:dyDescent="0.25">
      <c r="H5915" t="s">
        <v>7404</v>
      </c>
    </row>
    <row r="5916" spans="8:8" x14ac:dyDescent="0.25">
      <c r="H5916" t="s">
        <v>7405</v>
      </c>
    </row>
    <row r="5917" spans="8:8" x14ac:dyDescent="0.25">
      <c r="H5917" t="s">
        <v>7406</v>
      </c>
    </row>
    <row r="5918" spans="8:8" x14ac:dyDescent="0.25">
      <c r="H5918" t="s">
        <v>7407</v>
      </c>
    </row>
    <row r="5919" spans="8:8" x14ac:dyDescent="0.25">
      <c r="H5919" t="s">
        <v>7408</v>
      </c>
    </row>
    <row r="5920" spans="8:8" x14ac:dyDescent="0.25">
      <c r="H5920" t="s">
        <v>7409</v>
      </c>
    </row>
    <row r="5921" spans="8:8" x14ac:dyDescent="0.25">
      <c r="H5921" t="s">
        <v>7410</v>
      </c>
    </row>
    <row r="5922" spans="8:8" x14ac:dyDescent="0.25">
      <c r="H5922" t="s">
        <v>7411</v>
      </c>
    </row>
    <row r="5923" spans="8:8" x14ac:dyDescent="0.25">
      <c r="H5923" t="s">
        <v>7412</v>
      </c>
    </row>
    <row r="5924" spans="8:8" x14ac:dyDescent="0.25">
      <c r="H5924" t="s">
        <v>7413</v>
      </c>
    </row>
    <row r="5925" spans="8:8" x14ac:dyDescent="0.25">
      <c r="H5925" t="s">
        <v>7414</v>
      </c>
    </row>
    <row r="5926" spans="8:8" x14ac:dyDescent="0.25">
      <c r="H5926" t="s">
        <v>7415</v>
      </c>
    </row>
    <row r="5927" spans="8:8" x14ac:dyDescent="0.25">
      <c r="H5927" t="s">
        <v>7416</v>
      </c>
    </row>
    <row r="5928" spans="8:8" x14ac:dyDescent="0.25">
      <c r="H5928" t="s">
        <v>7417</v>
      </c>
    </row>
    <row r="5929" spans="8:8" x14ac:dyDescent="0.25">
      <c r="H5929" t="s">
        <v>7418</v>
      </c>
    </row>
    <row r="5930" spans="8:8" x14ac:dyDescent="0.25">
      <c r="H5930" t="s">
        <v>7419</v>
      </c>
    </row>
    <row r="5931" spans="8:8" x14ac:dyDescent="0.25">
      <c r="H5931" t="s">
        <v>7420</v>
      </c>
    </row>
    <row r="5932" spans="8:8" x14ac:dyDescent="0.25">
      <c r="H5932" t="s">
        <v>7421</v>
      </c>
    </row>
    <row r="5933" spans="8:8" x14ac:dyDescent="0.25">
      <c r="H5933" t="s">
        <v>7422</v>
      </c>
    </row>
    <row r="5934" spans="8:8" x14ac:dyDescent="0.25">
      <c r="H5934" t="s">
        <v>7423</v>
      </c>
    </row>
    <row r="5935" spans="8:8" x14ac:dyDescent="0.25">
      <c r="H5935" t="s">
        <v>7424</v>
      </c>
    </row>
    <row r="5936" spans="8:8" x14ac:dyDescent="0.25">
      <c r="H5936" t="s">
        <v>7425</v>
      </c>
    </row>
    <row r="5937" spans="8:8" x14ac:dyDescent="0.25">
      <c r="H5937" t="s">
        <v>7426</v>
      </c>
    </row>
    <row r="5938" spans="8:8" x14ac:dyDescent="0.25">
      <c r="H5938" t="s">
        <v>7427</v>
      </c>
    </row>
    <row r="5939" spans="8:8" x14ac:dyDescent="0.25">
      <c r="H5939" t="s">
        <v>7428</v>
      </c>
    </row>
    <row r="5940" spans="8:8" x14ac:dyDescent="0.25">
      <c r="H5940" t="s">
        <v>7429</v>
      </c>
    </row>
    <row r="5941" spans="8:8" x14ac:dyDescent="0.25">
      <c r="H5941" t="s">
        <v>7430</v>
      </c>
    </row>
    <row r="5942" spans="8:8" x14ac:dyDescent="0.25">
      <c r="H5942" t="s">
        <v>7431</v>
      </c>
    </row>
    <row r="5943" spans="8:8" x14ac:dyDescent="0.25">
      <c r="H5943" t="s">
        <v>7432</v>
      </c>
    </row>
    <row r="5944" spans="8:8" x14ac:dyDescent="0.25">
      <c r="H5944" t="s">
        <v>7433</v>
      </c>
    </row>
    <row r="5945" spans="8:8" x14ac:dyDescent="0.25">
      <c r="H5945" t="s">
        <v>7434</v>
      </c>
    </row>
    <row r="5946" spans="8:8" x14ac:dyDescent="0.25">
      <c r="H5946" t="s">
        <v>7435</v>
      </c>
    </row>
    <row r="5947" spans="8:8" x14ac:dyDescent="0.25">
      <c r="H5947" t="s">
        <v>7436</v>
      </c>
    </row>
    <row r="5948" spans="8:8" x14ac:dyDescent="0.25">
      <c r="H5948" t="s">
        <v>7437</v>
      </c>
    </row>
    <row r="5949" spans="8:8" x14ac:dyDescent="0.25">
      <c r="H5949" t="s">
        <v>7438</v>
      </c>
    </row>
    <row r="5950" spans="8:8" x14ac:dyDescent="0.25">
      <c r="H5950" t="s">
        <v>7439</v>
      </c>
    </row>
    <row r="5951" spans="8:8" x14ac:dyDescent="0.25">
      <c r="H5951" t="s">
        <v>7440</v>
      </c>
    </row>
    <row r="5952" spans="8:8" x14ac:dyDescent="0.25">
      <c r="H5952" t="s">
        <v>7441</v>
      </c>
    </row>
    <row r="5953" spans="8:8" x14ac:dyDescent="0.25">
      <c r="H5953" t="s">
        <v>7442</v>
      </c>
    </row>
    <row r="5954" spans="8:8" x14ac:dyDescent="0.25">
      <c r="H5954" t="s">
        <v>7443</v>
      </c>
    </row>
    <row r="5955" spans="8:8" x14ac:dyDescent="0.25">
      <c r="H5955" t="s">
        <v>7444</v>
      </c>
    </row>
    <row r="5956" spans="8:8" x14ac:dyDescent="0.25">
      <c r="H5956" t="s">
        <v>7445</v>
      </c>
    </row>
    <row r="5957" spans="8:8" x14ac:dyDescent="0.25">
      <c r="H5957" t="s">
        <v>7446</v>
      </c>
    </row>
    <row r="5958" spans="8:8" x14ac:dyDescent="0.25">
      <c r="H5958" t="s">
        <v>7447</v>
      </c>
    </row>
    <row r="5959" spans="8:8" x14ac:dyDescent="0.25">
      <c r="H5959" t="s">
        <v>7448</v>
      </c>
    </row>
    <row r="5960" spans="8:8" x14ac:dyDescent="0.25">
      <c r="H5960" t="s">
        <v>7449</v>
      </c>
    </row>
    <row r="5961" spans="8:8" x14ac:dyDescent="0.25">
      <c r="H5961" t="s">
        <v>7450</v>
      </c>
    </row>
    <row r="5962" spans="8:8" x14ac:dyDescent="0.25">
      <c r="H5962" t="s">
        <v>7451</v>
      </c>
    </row>
    <row r="5963" spans="8:8" x14ac:dyDescent="0.25">
      <c r="H5963" t="s">
        <v>7452</v>
      </c>
    </row>
    <row r="5964" spans="8:8" x14ac:dyDescent="0.25">
      <c r="H5964" t="s">
        <v>7453</v>
      </c>
    </row>
    <row r="5965" spans="8:8" x14ac:dyDescent="0.25">
      <c r="H5965" t="s">
        <v>7454</v>
      </c>
    </row>
    <row r="5966" spans="8:8" x14ac:dyDescent="0.25">
      <c r="H5966" t="s">
        <v>7455</v>
      </c>
    </row>
    <row r="5967" spans="8:8" x14ac:dyDescent="0.25">
      <c r="H5967" t="s">
        <v>7456</v>
      </c>
    </row>
    <row r="5968" spans="8:8" x14ac:dyDescent="0.25">
      <c r="H5968" t="s">
        <v>7457</v>
      </c>
    </row>
    <row r="5969" spans="8:8" x14ac:dyDescent="0.25">
      <c r="H5969" t="s">
        <v>7458</v>
      </c>
    </row>
    <row r="5970" spans="8:8" x14ac:dyDescent="0.25">
      <c r="H5970" t="s">
        <v>7459</v>
      </c>
    </row>
    <row r="5971" spans="8:8" x14ac:dyDescent="0.25">
      <c r="H5971" t="s">
        <v>7460</v>
      </c>
    </row>
    <row r="5972" spans="8:8" x14ac:dyDescent="0.25">
      <c r="H5972" t="s">
        <v>7461</v>
      </c>
    </row>
    <row r="5973" spans="8:8" x14ac:dyDescent="0.25">
      <c r="H5973" t="s">
        <v>7462</v>
      </c>
    </row>
    <row r="5974" spans="8:8" x14ac:dyDescent="0.25">
      <c r="H5974" t="s">
        <v>7463</v>
      </c>
    </row>
    <row r="5975" spans="8:8" x14ac:dyDescent="0.25">
      <c r="H5975" t="s">
        <v>7464</v>
      </c>
    </row>
    <row r="5976" spans="8:8" x14ac:dyDescent="0.25">
      <c r="H5976" t="s">
        <v>7465</v>
      </c>
    </row>
    <row r="5977" spans="8:8" x14ac:dyDescent="0.25">
      <c r="H5977" t="s">
        <v>7466</v>
      </c>
    </row>
    <row r="5978" spans="8:8" x14ac:dyDescent="0.25">
      <c r="H5978" t="s">
        <v>7467</v>
      </c>
    </row>
    <row r="5979" spans="8:8" x14ac:dyDescent="0.25">
      <c r="H5979" t="s">
        <v>7468</v>
      </c>
    </row>
    <row r="5980" spans="8:8" x14ac:dyDescent="0.25">
      <c r="H5980" t="s">
        <v>7469</v>
      </c>
    </row>
    <row r="5981" spans="8:8" x14ac:dyDescent="0.25">
      <c r="H5981" t="s">
        <v>7470</v>
      </c>
    </row>
    <row r="5982" spans="8:8" x14ac:dyDescent="0.25">
      <c r="H5982" t="s">
        <v>7471</v>
      </c>
    </row>
    <row r="5983" spans="8:8" x14ac:dyDescent="0.25">
      <c r="H5983" t="s">
        <v>7472</v>
      </c>
    </row>
    <row r="5984" spans="8:8" x14ac:dyDescent="0.25">
      <c r="H5984" t="s">
        <v>7473</v>
      </c>
    </row>
    <row r="5985" spans="8:8" x14ac:dyDescent="0.25">
      <c r="H5985" t="s">
        <v>7474</v>
      </c>
    </row>
    <row r="5986" spans="8:8" x14ac:dyDescent="0.25">
      <c r="H5986" t="s">
        <v>7475</v>
      </c>
    </row>
    <row r="5987" spans="8:8" x14ac:dyDescent="0.25">
      <c r="H5987" t="s">
        <v>7476</v>
      </c>
    </row>
    <row r="5988" spans="8:8" x14ac:dyDescent="0.25">
      <c r="H5988" t="s">
        <v>7477</v>
      </c>
    </row>
    <row r="5989" spans="8:8" x14ac:dyDescent="0.25">
      <c r="H5989" t="s">
        <v>7478</v>
      </c>
    </row>
    <row r="5990" spans="8:8" x14ac:dyDescent="0.25">
      <c r="H5990" t="s">
        <v>7479</v>
      </c>
    </row>
    <row r="5991" spans="8:8" x14ac:dyDescent="0.25">
      <c r="H5991" t="s">
        <v>7480</v>
      </c>
    </row>
    <row r="5992" spans="8:8" x14ac:dyDescent="0.25">
      <c r="H5992" t="s">
        <v>7481</v>
      </c>
    </row>
    <row r="5993" spans="8:8" x14ac:dyDescent="0.25">
      <c r="H5993" t="s">
        <v>7482</v>
      </c>
    </row>
    <row r="5994" spans="8:8" x14ac:dyDescent="0.25">
      <c r="H5994" t="s">
        <v>7483</v>
      </c>
    </row>
    <row r="5995" spans="8:8" x14ac:dyDescent="0.25">
      <c r="H5995" t="s">
        <v>7484</v>
      </c>
    </row>
    <row r="5996" spans="8:8" x14ac:dyDescent="0.25">
      <c r="H5996" t="s">
        <v>7485</v>
      </c>
    </row>
    <row r="5997" spans="8:8" x14ac:dyDescent="0.25">
      <c r="H5997" t="s">
        <v>7486</v>
      </c>
    </row>
    <row r="5998" spans="8:8" x14ac:dyDescent="0.25">
      <c r="H5998" t="s">
        <v>7487</v>
      </c>
    </row>
    <row r="5999" spans="8:8" x14ac:dyDescent="0.25">
      <c r="H5999" t="s">
        <v>7488</v>
      </c>
    </row>
    <row r="6000" spans="8:8" x14ac:dyDescent="0.25">
      <c r="H6000" t="s">
        <v>7489</v>
      </c>
    </row>
    <row r="6001" spans="8:8" x14ac:dyDescent="0.25">
      <c r="H6001" t="s">
        <v>7490</v>
      </c>
    </row>
    <row r="6002" spans="8:8" x14ac:dyDescent="0.25">
      <c r="H6002" t="s">
        <v>7491</v>
      </c>
    </row>
    <row r="6003" spans="8:8" x14ac:dyDescent="0.25">
      <c r="H6003" t="s">
        <v>7492</v>
      </c>
    </row>
    <row r="6004" spans="8:8" x14ac:dyDescent="0.25">
      <c r="H6004" t="s">
        <v>7493</v>
      </c>
    </row>
    <row r="6005" spans="8:8" x14ac:dyDescent="0.25">
      <c r="H6005" t="s">
        <v>7494</v>
      </c>
    </row>
    <row r="6006" spans="8:8" x14ac:dyDescent="0.25">
      <c r="H6006" t="s">
        <v>7495</v>
      </c>
    </row>
    <row r="6007" spans="8:8" x14ac:dyDescent="0.25">
      <c r="H6007" t="s">
        <v>7496</v>
      </c>
    </row>
    <row r="6008" spans="8:8" x14ac:dyDescent="0.25">
      <c r="H6008" t="s">
        <v>7497</v>
      </c>
    </row>
    <row r="6009" spans="8:8" x14ac:dyDescent="0.25">
      <c r="H6009" t="s">
        <v>7498</v>
      </c>
    </row>
    <row r="6010" spans="8:8" x14ac:dyDescent="0.25">
      <c r="H6010" t="s">
        <v>7499</v>
      </c>
    </row>
    <row r="6011" spans="8:8" x14ac:dyDescent="0.25">
      <c r="H6011" t="s">
        <v>7500</v>
      </c>
    </row>
    <row r="6012" spans="8:8" x14ac:dyDescent="0.25">
      <c r="H6012" t="s">
        <v>7501</v>
      </c>
    </row>
    <row r="6013" spans="8:8" x14ac:dyDescent="0.25">
      <c r="H6013" t="s">
        <v>7502</v>
      </c>
    </row>
    <row r="6014" spans="8:8" x14ac:dyDescent="0.25">
      <c r="H6014" t="s">
        <v>7503</v>
      </c>
    </row>
    <row r="6015" spans="8:8" x14ac:dyDescent="0.25">
      <c r="H6015" t="s">
        <v>7504</v>
      </c>
    </row>
    <row r="6016" spans="8:8" x14ac:dyDescent="0.25">
      <c r="H6016" t="s">
        <v>7505</v>
      </c>
    </row>
    <row r="6017" spans="8:8" x14ac:dyDescent="0.25">
      <c r="H6017" t="s">
        <v>7506</v>
      </c>
    </row>
    <row r="6018" spans="8:8" x14ac:dyDescent="0.25">
      <c r="H6018" t="s">
        <v>7507</v>
      </c>
    </row>
    <row r="6019" spans="8:8" x14ac:dyDescent="0.25">
      <c r="H6019" t="s">
        <v>7508</v>
      </c>
    </row>
    <row r="6020" spans="8:8" x14ac:dyDescent="0.25">
      <c r="H6020" t="s">
        <v>7509</v>
      </c>
    </row>
    <row r="6021" spans="8:8" x14ac:dyDescent="0.25">
      <c r="H6021" t="s">
        <v>7510</v>
      </c>
    </row>
    <row r="6022" spans="8:8" x14ac:dyDescent="0.25">
      <c r="H6022" t="s">
        <v>7511</v>
      </c>
    </row>
    <row r="6023" spans="8:8" x14ac:dyDescent="0.25">
      <c r="H6023" t="s">
        <v>7512</v>
      </c>
    </row>
    <row r="6024" spans="8:8" x14ac:dyDescent="0.25">
      <c r="H6024" t="s">
        <v>7513</v>
      </c>
    </row>
    <row r="6025" spans="8:8" x14ac:dyDescent="0.25">
      <c r="H6025" t="s">
        <v>7514</v>
      </c>
    </row>
    <row r="6026" spans="8:8" x14ac:dyDescent="0.25">
      <c r="H6026" t="s">
        <v>7515</v>
      </c>
    </row>
    <row r="6027" spans="8:8" x14ac:dyDescent="0.25">
      <c r="H6027" t="s">
        <v>7516</v>
      </c>
    </row>
    <row r="6028" spans="8:8" x14ac:dyDescent="0.25">
      <c r="H6028" t="s">
        <v>7517</v>
      </c>
    </row>
    <row r="6029" spans="8:8" x14ac:dyDescent="0.25">
      <c r="H6029" t="s">
        <v>7518</v>
      </c>
    </row>
    <row r="6030" spans="8:8" x14ac:dyDescent="0.25">
      <c r="H6030" t="s">
        <v>7519</v>
      </c>
    </row>
    <row r="6031" spans="8:8" x14ac:dyDescent="0.25">
      <c r="H6031" t="s">
        <v>7520</v>
      </c>
    </row>
    <row r="6032" spans="8:8" x14ac:dyDescent="0.25">
      <c r="H6032" t="s">
        <v>7521</v>
      </c>
    </row>
    <row r="6033" spans="8:8" x14ac:dyDescent="0.25">
      <c r="H6033" t="s">
        <v>7522</v>
      </c>
    </row>
    <row r="6034" spans="8:8" x14ac:dyDescent="0.25">
      <c r="H6034" t="s">
        <v>7523</v>
      </c>
    </row>
    <row r="6035" spans="8:8" x14ac:dyDescent="0.25">
      <c r="H6035" t="s">
        <v>7524</v>
      </c>
    </row>
    <row r="6036" spans="8:8" x14ac:dyDescent="0.25">
      <c r="H6036" t="s">
        <v>7525</v>
      </c>
    </row>
    <row r="6037" spans="8:8" x14ac:dyDescent="0.25">
      <c r="H6037" t="s">
        <v>7526</v>
      </c>
    </row>
    <row r="6038" spans="8:8" x14ac:dyDescent="0.25">
      <c r="H6038" t="s">
        <v>7527</v>
      </c>
    </row>
    <row r="6039" spans="8:8" x14ac:dyDescent="0.25">
      <c r="H6039" t="s">
        <v>7528</v>
      </c>
    </row>
    <row r="6040" spans="8:8" x14ac:dyDescent="0.25">
      <c r="H6040" t="s">
        <v>7529</v>
      </c>
    </row>
    <row r="6041" spans="8:8" x14ac:dyDescent="0.25">
      <c r="H6041" t="s">
        <v>7530</v>
      </c>
    </row>
    <row r="6042" spans="8:8" x14ac:dyDescent="0.25">
      <c r="H6042" t="s">
        <v>7531</v>
      </c>
    </row>
    <row r="6043" spans="8:8" x14ac:dyDescent="0.25">
      <c r="H6043" t="s">
        <v>7532</v>
      </c>
    </row>
    <row r="6044" spans="8:8" x14ac:dyDescent="0.25">
      <c r="H6044" t="s">
        <v>7533</v>
      </c>
    </row>
    <row r="6045" spans="8:8" x14ac:dyDescent="0.25">
      <c r="H6045" t="s">
        <v>7534</v>
      </c>
    </row>
    <row r="6046" spans="8:8" x14ac:dyDescent="0.25">
      <c r="H6046" t="s">
        <v>7535</v>
      </c>
    </row>
    <row r="6047" spans="8:8" x14ac:dyDescent="0.25">
      <c r="H6047" t="s">
        <v>7536</v>
      </c>
    </row>
    <row r="6048" spans="8:8" x14ac:dyDescent="0.25">
      <c r="H6048" t="s">
        <v>7537</v>
      </c>
    </row>
    <row r="6049" spans="8:8" x14ac:dyDescent="0.25">
      <c r="H6049" t="s">
        <v>7538</v>
      </c>
    </row>
    <row r="6050" spans="8:8" x14ac:dyDescent="0.25">
      <c r="H6050" t="s">
        <v>7539</v>
      </c>
    </row>
    <row r="6051" spans="8:8" x14ac:dyDescent="0.25">
      <c r="H6051" t="s">
        <v>7540</v>
      </c>
    </row>
    <row r="6052" spans="8:8" x14ac:dyDescent="0.25">
      <c r="H6052" t="s">
        <v>7541</v>
      </c>
    </row>
    <row r="6053" spans="8:8" x14ac:dyDescent="0.25">
      <c r="H6053" t="s">
        <v>7542</v>
      </c>
    </row>
    <row r="6054" spans="8:8" x14ac:dyDescent="0.25">
      <c r="H6054" t="s">
        <v>7543</v>
      </c>
    </row>
    <row r="6055" spans="8:8" x14ac:dyDescent="0.25">
      <c r="H6055" t="s">
        <v>7544</v>
      </c>
    </row>
    <row r="6056" spans="8:8" x14ac:dyDescent="0.25">
      <c r="H6056" t="s">
        <v>7545</v>
      </c>
    </row>
    <row r="6057" spans="8:8" x14ac:dyDescent="0.25">
      <c r="H6057" t="s">
        <v>7546</v>
      </c>
    </row>
    <row r="6058" spans="8:8" x14ac:dyDescent="0.25">
      <c r="H6058" t="s">
        <v>7547</v>
      </c>
    </row>
    <row r="6059" spans="8:8" x14ac:dyDescent="0.25">
      <c r="H6059" t="s">
        <v>7548</v>
      </c>
    </row>
    <row r="6060" spans="8:8" x14ac:dyDescent="0.25">
      <c r="H6060" t="s">
        <v>7549</v>
      </c>
    </row>
    <row r="6061" spans="8:8" x14ac:dyDescent="0.25">
      <c r="H6061" t="s">
        <v>7550</v>
      </c>
    </row>
    <row r="6062" spans="8:8" x14ac:dyDescent="0.25">
      <c r="H6062" t="s">
        <v>7551</v>
      </c>
    </row>
    <row r="6063" spans="8:8" x14ac:dyDescent="0.25">
      <c r="H6063" t="s">
        <v>7552</v>
      </c>
    </row>
    <row r="6064" spans="8:8" x14ac:dyDescent="0.25">
      <c r="H6064" t="s">
        <v>7553</v>
      </c>
    </row>
    <row r="6065" spans="8:8" x14ac:dyDescent="0.25">
      <c r="H6065" t="s">
        <v>7554</v>
      </c>
    </row>
    <row r="6066" spans="8:8" x14ac:dyDescent="0.25">
      <c r="H6066" t="s">
        <v>7555</v>
      </c>
    </row>
    <row r="6067" spans="8:8" x14ac:dyDescent="0.25">
      <c r="H6067" t="s">
        <v>7556</v>
      </c>
    </row>
    <row r="6068" spans="8:8" x14ac:dyDescent="0.25">
      <c r="H6068" t="s">
        <v>7557</v>
      </c>
    </row>
    <row r="6069" spans="8:8" x14ac:dyDescent="0.25">
      <c r="H6069" t="s">
        <v>7558</v>
      </c>
    </row>
    <row r="6070" spans="8:8" x14ac:dyDescent="0.25">
      <c r="H6070" t="s">
        <v>7559</v>
      </c>
    </row>
    <row r="6071" spans="8:8" x14ac:dyDescent="0.25">
      <c r="H6071" t="s">
        <v>7560</v>
      </c>
    </row>
    <row r="6072" spans="8:8" x14ac:dyDescent="0.25">
      <c r="H6072" t="s">
        <v>7561</v>
      </c>
    </row>
    <row r="6073" spans="8:8" x14ac:dyDescent="0.25">
      <c r="H6073" t="s">
        <v>7562</v>
      </c>
    </row>
    <row r="6074" spans="8:8" x14ac:dyDescent="0.25">
      <c r="H6074" t="s">
        <v>7563</v>
      </c>
    </row>
    <row r="6075" spans="8:8" x14ac:dyDescent="0.25">
      <c r="H6075" t="s">
        <v>7564</v>
      </c>
    </row>
    <row r="6076" spans="8:8" x14ac:dyDescent="0.25">
      <c r="H6076" t="s">
        <v>7565</v>
      </c>
    </row>
    <row r="6077" spans="8:8" x14ac:dyDescent="0.25">
      <c r="H6077" t="s">
        <v>7566</v>
      </c>
    </row>
    <row r="6078" spans="8:8" x14ac:dyDescent="0.25">
      <c r="H6078" t="s">
        <v>7567</v>
      </c>
    </row>
    <row r="6079" spans="8:8" x14ac:dyDescent="0.25">
      <c r="H6079" t="s">
        <v>7568</v>
      </c>
    </row>
    <row r="6080" spans="8:8" x14ac:dyDescent="0.25">
      <c r="H6080" t="s">
        <v>7569</v>
      </c>
    </row>
    <row r="6081" spans="8:8" x14ac:dyDescent="0.25">
      <c r="H6081" t="s">
        <v>7570</v>
      </c>
    </row>
    <row r="6082" spans="8:8" x14ac:dyDescent="0.25">
      <c r="H6082" t="s">
        <v>7571</v>
      </c>
    </row>
    <row r="6083" spans="8:8" x14ac:dyDescent="0.25">
      <c r="H6083" t="s">
        <v>7572</v>
      </c>
    </row>
    <row r="6084" spans="8:8" x14ac:dyDescent="0.25">
      <c r="H6084" t="s">
        <v>7573</v>
      </c>
    </row>
    <row r="6085" spans="8:8" x14ac:dyDescent="0.25">
      <c r="H6085" t="s">
        <v>7574</v>
      </c>
    </row>
    <row r="6086" spans="8:8" x14ac:dyDescent="0.25">
      <c r="H6086" t="s">
        <v>7575</v>
      </c>
    </row>
    <row r="6087" spans="8:8" x14ac:dyDescent="0.25">
      <c r="H6087" t="s">
        <v>7576</v>
      </c>
    </row>
    <row r="6088" spans="8:8" x14ac:dyDescent="0.25">
      <c r="H6088" t="s">
        <v>7577</v>
      </c>
    </row>
    <row r="6089" spans="8:8" x14ac:dyDescent="0.25">
      <c r="H6089" t="s">
        <v>7578</v>
      </c>
    </row>
    <row r="6090" spans="8:8" x14ac:dyDescent="0.25">
      <c r="H6090" t="s">
        <v>7579</v>
      </c>
    </row>
    <row r="6091" spans="8:8" x14ac:dyDescent="0.25">
      <c r="H6091" t="s">
        <v>7580</v>
      </c>
    </row>
    <row r="6092" spans="8:8" x14ac:dyDescent="0.25">
      <c r="H6092" t="s">
        <v>7581</v>
      </c>
    </row>
    <row r="6093" spans="8:8" x14ac:dyDescent="0.25">
      <c r="H6093" t="s">
        <v>7582</v>
      </c>
    </row>
    <row r="6094" spans="8:8" x14ac:dyDescent="0.25">
      <c r="H6094" t="s">
        <v>7583</v>
      </c>
    </row>
    <row r="6095" spans="8:8" x14ac:dyDescent="0.25">
      <c r="H6095" t="s">
        <v>7584</v>
      </c>
    </row>
    <row r="6096" spans="8:8" x14ac:dyDescent="0.25">
      <c r="H6096" t="s">
        <v>7585</v>
      </c>
    </row>
    <row r="6097" spans="8:8" x14ac:dyDescent="0.25">
      <c r="H6097" t="s">
        <v>7586</v>
      </c>
    </row>
    <row r="6098" spans="8:8" x14ac:dyDescent="0.25">
      <c r="H6098" t="s">
        <v>7587</v>
      </c>
    </row>
    <row r="6099" spans="8:8" x14ac:dyDescent="0.25">
      <c r="H6099" t="s">
        <v>7588</v>
      </c>
    </row>
    <row r="6100" spans="8:8" x14ac:dyDescent="0.25">
      <c r="H6100" t="s">
        <v>7589</v>
      </c>
    </row>
    <row r="6101" spans="8:8" x14ac:dyDescent="0.25">
      <c r="H6101" t="s">
        <v>7590</v>
      </c>
    </row>
    <row r="6102" spans="8:8" x14ac:dyDescent="0.25">
      <c r="H6102" t="s">
        <v>7591</v>
      </c>
    </row>
    <row r="6103" spans="8:8" x14ac:dyDescent="0.25">
      <c r="H6103" t="s">
        <v>7592</v>
      </c>
    </row>
    <row r="6104" spans="8:8" x14ac:dyDescent="0.25">
      <c r="H6104" t="s">
        <v>7593</v>
      </c>
    </row>
    <row r="6105" spans="8:8" x14ac:dyDescent="0.25">
      <c r="H6105" t="s">
        <v>7594</v>
      </c>
    </row>
    <row r="6106" spans="8:8" x14ac:dyDescent="0.25">
      <c r="H6106" t="s">
        <v>7595</v>
      </c>
    </row>
    <row r="6107" spans="8:8" x14ac:dyDescent="0.25">
      <c r="H6107" t="s">
        <v>7596</v>
      </c>
    </row>
    <row r="6108" spans="8:8" x14ac:dyDescent="0.25">
      <c r="H6108" t="s">
        <v>7597</v>
      </c>
    </row>
    <row r="6109" spans="8:8" x14ac:dyDescent="0.25">
      <c r="H6109" t="s">
        <v>7598</v>
      </c>
    </row>
    <row r="6110" spans="8:8" x14ac:dyDescent="0.25">
      <c r="H6110" t="s">
        <v>7599</v>
      </c>
    </row>
    <row r="6111" spans="8:8" x14ac:dyDescent="0.25">
      <c r="H6111" t="s">
        <v>7600</v>
      </c>
    </row>
    <row r="6112" spans="8:8" x14ac:dyDescent="0.25">
      <c r="H6112" t="s">
        <v>7601</v>
      </c>
    </row>
    <row r="6113" spans="8:8" x14ac:dyDescent="0.25">
      <c r="H6113" t="s">
        <v>7602</v>
      </c>
    </row>
    <row r="6114" spans="8:8" x14ac:dyDescent="0.25">
      <c r="H6114" t="s">
        <v>7603</v>
      </c>
    </row>
    <row r="6115" spans="8:8" x14ac:dyDescent="0.25">
      <c r="H6115" t="s">
        <v>7604</v>
      </c>
    </row>
    <row r="6116" spans="8:8" x14ac:dyDescent="0.25">
      <c r="H6116" t="s">
        <v>7605</v>
      </c>
    </row>
    <row r="6117" spans="8:8" x14ac:dyDescent="0.25">
      <c r="H6117" t="s">
        <v>7606</v>
      </c>
    </row>
    <row r="6118" spans="8:8" x14ac:dyDescent="0.25">
      <c r="H6118" t="s">
        <v>7607</v>
      </c>
    </row>
    <row r="6119" spans="8:8" x14ac:dyDescent="0.25">
      <c r="H6119" t="s">
        <v>7608</v>
      </c>
    </row>
    <row r="6120" spans="8:8" x14ac:dyDescent="0.25">
      <c r="H6120" t="s">
        <v>7609</v>
      </c>
    </row>
    <row r="6121" spans="8:8" x14ac:dyDescent="0.25">
      <c r="H6121" t="s">
        <v>7610</v>
      </c>
    </row>
    <row r="6122" spans="8:8" x14ac:dyDescent="0.25">
      <c r="H6122" t="s">
        <v>7611</v>
      </c>
    </row>
    <row r="6123" spans="8:8" x14ac:dyDescent="0.25">
      <c r="H6123" t="s">
        <v>7612</v>
      </c>
    </row>
    <row r="6124" spans="8:8" x14ac:dyDescent="0.25">
      <c r="H6124" t="s">
        <v>7613</v>
      </c>
    </row>
    <row r="6125" spans="8:8" x14ac:dyDescent="0.25">
      <c r="H6125" t="s">
        <v>7614</v>
      </c>
    </row>
    <row r="6126" spans="8:8" x14ac:dyDescent="0.25">
      <c r="H6126" t="s">
        <v>7615</v>
      </c>
    </row>
    <row r="6127" spans="8:8" x14ac:dyDescent="0.25">
      <c r="H6127" t="s">
        <v>7616</v>
      </c>
    </row>
    <row r="6128" spans="8:8" x14ac:dyDescent="0.25">
      <c r="H6128" t="s">
        <v>7617</v>
      </c>
    </row>
    <row r="6129" spans="8:8" x14ac:dyDescent="0.25">
      <c r="H6129" t="s">
        <v>7618</v>
      </c>
    </row>
    <row r="6130" spans="8:8" x14ac:dyDescent="0.25">
      <c r="H6130" t="s">
        <v>7619</v>
      </c>
    </row>
    <row r="6131" spans="8:8" x14ac:dyDescent="0.25">
      <c r="H6131" t="s">
        <v>7620</v>
      </c>
    </row>
    <row r="6132" spans="8:8" x14ac:dyDescent="0.25">
      <c r="H6132" t="s">
        <v>7621</v>
      </c>
    </row>
    <row r="6133" spans="8:8" x14ac:dyDescent="0.25">
      <c r="H6133" t="s">
        <v>7622</v>
      </c>
    </row>
    <row r="6134" spans="8:8" x14ac:dyDescent="0.25">
      <c r="H6134" t="s">
        <v>7623</v>
      </c>
    </row>
    <row r="6135" spans="8:8" x14ac:dyDescent="0.25">
      <c r="H6135" t="s">
        <v>7624</v>
      </c>
    </row>
    <row r="6136" spans="8:8" x14ac:dyDescent="0.25">
      <c r="H6136" t="s">
        <v>7625</v>
      </c>
    </row>
    <row r="6137" spans="8:8" x14ac:dyDescent="0.25">
      <c r="H6137" t="s">
        <v>7626</v>
      </c>
    </row>
    <row r="6138" spans="8:8" x14ac:dyDescent="0.25">
      <c r="H6138" t="s">
        <v>7627</v>
      </c>
    </row>
    <row r="6139" spans="8:8" x14ac:dyDescent="0.25">
      <c r="H6139" t="s">
        <v>7628</v>
      </c>
    </row>
    <row r="6140" spans="8:8" x14ac:dyDescent="0.25">
      <c r="H6140" t="s">
        <v>7629</v>
      </c>
    </row>
    <row r="6141" spans="8:8" x14ac:dyDescent="0.25">
      <c r="H6141" t="s">
        <v>7630</v>
      </c>
    </row>
    <row r="6142" spans="8:8" x14ac:dyDescent="0.25">
      <c r="H6142" t="s">
        <v>7631</v>
      </c>
    </row>
    <row r="6143" spans="8:8" x14ac:dyDescent="0.25">
      <c r="H6143" t="s">
        <v>7632</v>
      </c>
    </row>
    <row r="6144" spans="8:8" x14ac:dyDescent="0.25">
      <c r="H6144" t="s">
        <v>7633</v>
      </c>
    </row>
    <row r="6145" spans="8:8" x14ac:dyDescent="0.25">
      <c r="H6145" t="s">
        <v>7634</v>
      </c>
    </row>
    <row r="6146" spans="8:8" x14ac:dyDescent="0.25">
      <c r="H6146" t="s">
        <v>7635</v>
      </c>
    </row>
    <row r="6147" spans="8:8" x14ac:dyDescent="0.25">
      <c r="H6147" t="s">
        <v>7636</v>
      </c>
    </row>
    <row r="6148" spans="8:8" x14ac:dyDescent="0.25">
      <c r="H6148" t="s">
        <v>7637</v>
      </c>
    </row>
    <row r="6149" spans="8:8" x14ac:dyDescent="0.25">
      <c r="H6149" t="s">
        <v>7638</v>
      </c>
    </row>
    <row r="6150" spans="8:8" x14ac:dyDescent="0.25">
      <c r="H6150" t="s">
        <v>7639</v>
      </c>
    </row>
    <row r="6151" spans="8:8" x14ac:dyDescent="0.25">
      <c r="H6151" t="s">
        <v>7640</v>
      </c>
    </row>
    <row r="6152" spans="8:8" x14ac:dyDescent="0.25">
      <c r="H6152" t="s">
        <v>7641</v>
      </c>
    </row>
    <row r="6153" spans="8:8" x14ac:dyDescent="0.25">
      <c r="H6153" t="s">
        <v>7642</v>
      </c>
    </row>
    <row r="6154" spans="8:8" x14ac:dyDescent="0.25">
      <c r="H6154" t="s">
        <v>7643</v>
      </c>
    </row>
    <row r="6155" spans="8:8" x14ac:dyDescent="0.25">
      <c r="H6155" t="s">
        <v>7644</v>
      </c>
    </row>
    <row r="6156" spans="8:8" x14ac:dyDescent="0.25">
      <c r="H6156" t="s">
        <v>7645</v>
      </c>
    </row>
    <row r="6157" spans="8:8" x14ac:dyDescent="0.25">
      <c r="H6157" t="s">
        <v>7646</v>
      </c>
    </row>
    <row r="6158" spans="8:8" x14ac:dyDescent="0.25">
      <c r="H6158" t="s">
        <v>7647</v>
      </c>
    </row>
    <row r="6159" spans="8:8" x14ac:dyDescent="0.25">
      <c r="H6159" t="s">
        <v>7648</v>
      </c>
    </row>
    <row r="6160" spans="8:8" x14ac:dyDescent="0.25">
      <c r="H6160" t="s">
        <v>7649</v>
      </c>
    </row>
    <row r="6161" spans="8:8" x14ac:dyDescent="0.25">
      <c r="H6161" t="s">
        <v>7650</v>
      </c>
    </row>
    <row r="6162" spans="8:8" x14ac:dyDescent="0.25">
      <c r="H6162" t="s">
        <v>7651</v>
      </c>
    </row>
    <row r="6163" spans="8:8" x14ac:dyDescent="0.25">
      <c r="H6163" t="s">
        <v>7652</v>
      </c>
    </row>
    <row r="6164" spans="8:8" x14ac:dyDescent="0.25">
      <c r="H6164" t="s">
        <v>7653</v>
      </c>
    </row>
    <row r="6165" spans="8:8" x14ac:dyDescent="0.25">
      <c r="H6165" t="s">
        <v>7654</v>
      </c>
    </row>
    <row r="6166" spans="8:8" x14ac:dyDescent="0.25">
      <c r="H6166" t="s">
        <v>7655</v>
      </c>
    </row>
    <row r="6167" spans="8:8" x14ac:dyDescent="0.25">
      <c r="H6167" t="s">
        <v>7656</v>
      </c>
    </row>
    <row r="6168" spans="8:8" x14ac:dyDescent="0.25">
      <c r="H6168" t="s">
        <v>7657</v>
      </c>
    </row>
    <row r="6169" spans="8:8" x14ac:dyDescent="0.25">
      <c r="H6169" t="s">
        <v>7658</v>
      </c>
    </row>
    <row r="6170" spans="8:8" x14ac:dyDescent="0.25">
      <c r="H6170" t="s">
        <v>7659</v>
      </c>
    </row>
    <row r="6171" spans="8:8" x14ac:dyDescent="0.25">
      <c r="H6171" t="s">
        <v>7660</v>
      </c>
    </row>
    <row r="6172" spans="8:8" x14ac:dyDescent="0.25">
      <c r="H6172" t="s">
        <v>7661</v>
      </c>
    </row>
    <row r="6173" spans="8:8" x14ac:dyDescent="0.25">
      <c r="H6173" t="s">
        <v>7662</v>
      </c>
    </row>
    <row r="6174" spans="8:8" x14ac:dyDescent="0.25">
      <c r="H6174" t="s">
        <v>7663</v>
      </c>
    </row>
    <row r="6175" spans="8:8" x14ac:dyDescent="0.25">
      <c r="H6175" t="s">
        <v>7664</v>
      </c>
    </row>
    <row r="6176" spans="8:8" x14ac:dyDescent="0.25">
      <c r="H6176" t="s">
        <v>7665</v>
      </c>
    </row>
    <row r="6177" spans="8:8" x14ac:dyDescent="0.25">
      <c r="H6177" t="s">
        <v>7666</v>
      </c>
    </row>
    <row r="6178" spans="8:8" x14ac:dyDescent="0.25">
      <c r="H6178" t="s">
        <v>7667</v>
      </c>
    </row>
    <row r="6179" spans="8:8" x14ac:dyDescent="0.25">
      <c r="H6179" t="s">
        <v>7668</v>
      </c>
    </row>
    <row r="6180" spans="8:8" x14ac:dyDescent="0.25">
      <c r="H6180" t="s">
        <v>7669</v>
      </c>
    </row>
    <row r="6181" spans="8:8" x14ac:dyDescent="0.25">
      <c r="H6181" t="s">
        <v>7670</v>
      </c>
    </row>
    <row r="6182" spans="8:8" x14ac:dyDescent="0.25">
      <c r="H6182" t="s">
        <v>7671</v>
      </c>
    </row>
    <row r="6183" spans="8:8" x14ac:dyDescent="0.25">
      <c r="H6183" t="s">
        <v>7672</v>
      </c>
    </row>
    <row r="6184" spans="8:8" x14ac:dyDescent="0.25">
      <c r="H6184" t="s">
        <v>7673</v>
      </c>
    </row>
    <row r="6185" spans="8:8" x14ac:dyDescent="0.25">
      <c r="H6185" t="s">
        <v>7674</v>
      </c>
    </row>
    <row r="6186" spans="8:8" x14ac:dyDescent="0.25">
      <c r="H6186" t="s">
        <v>7675</v>
      </c>
    </row>
    <row r="6187" spans="8:8" x14ac:dyDescent="0.25">
      <c r="H6187" t="s">
        <v>7676</v>
      </c>
    </row>
    <row r="6188" spans="8:8" x14ac:dyDescent="0.25">
      <c r="H6188" t="s">
        <v>7677</v>
      </c>
    </row>
    <row r="6189" spans="8:8" x14ac:dyDescent="0.25">
      <c r="H6189" t="s">
        <v>7678</v>
      </c>
    </row>
    <row r="6190" spans="8:8" x14ac:dyDescent="0.25">
      <c r="H6190" t="s">
        <v>7679</v>
      </c>
    </row>
    <row r="6191" spans="8:8" x14ac:dyDescent="0.25">
      <c r="H6191" t="s">
        <v>7680</v>
      </c>
    </row>
    <row r="6192" spans="8:8" x14ac:dyDescent="0.25">
      <c r="H6192" t="s">
        <v>7681</v>
      </c>
    </row>
    <row r="6193" spans="8:8" x14ac:dyDescent="0.25">
      <c r="H6193" t="s">
        <v>7682</v>
      </c>
    </row>
    <row r="6194" spans="8:8" x14ac:dyDescent="0.25">
      <c r="H6194" t="s">
        <v>7683</v>
      </c>
    </row>
    <row r="6195" spans="8:8" x14ac:dyDescent="0.25">
      <c r="H6195" t="s">
        <v>7684</v>
      </c>
    </row>
    <row r="6196" spans="8:8" x14ac:dyDescent="0.25">
      <c r="H6196" t="s">
        <v>7685</v>
      </c>
    </row>
    <row r="6197" spans="8:8" x14ac:dyDescent="0.25">
      <c r="H6197" t="s">
        <v>7686</v>
      </c>
    </row>
    <row r="6198" spans="8:8" x14ac:dyDescent="0.25">
      <c r="H6198" t="s">
        <v>7687</v>
      </c>
    </row>
    <row r="6199" spans="8:8" x14ac:dyDescent="0.25">
      <c r="H6199" t="s">
        <v>7688</v>
      </c>
    </row>
    <row r="6200" spans="8:8" x14ac:dyDescent="0.25">
      <c r="H6200" t="s">
        <v>7689</v>
      </c>
    </row>
    <row r="6201" spans="8:8" x14ac:dyDescent="0.25">
      <c r="H6201" t="s">
        <v>7690</v>
      </c>
    </row>
    <row r="6202" spans="8:8" x14ac:dyDescent="0.25">
      <c r="H6202" t="s">
        <v>7691</v>
      </c>
    </row>
    <row r="6203" spans="8:8" x14ac:dyDescent="0.25">
      <c r="H6203" t="s">
        <v>7692</v>
      </c>
    </row>
    <row r="6204" spans="8:8" x14ac:dyDescent="0.25">
      <c r="H6204" t="s">
        <v>7693</v>
      </c>
    </row>
    <row r="6205" spans="8:8" x14ac:dyDescent="0.25">
      <c r="H6205" t="s">
        <v>7694</v>
      </c>
    </row>
    <row r="6206" spans="8:8" x14ac:dyDescent="0.25">
      <c r="H6206" t="s">
        <v>7695</v>
      </c>
    </row>
    <row r="6207" spans="8:8" x14ac:dyDescent="0.25">
      <c r="H6207" t="s">
        <v>7696</v>
      </c>
    </row>
    <row r="6208" spans="8:8" x14ac:dyDescent="0.25">
      <c r="H6208" t="s">
        <v>7697</v>
      </c>
    </row>
    <row r="6209" spans="8:8" x14ac:dyDescent="0.25">
      <c r="H6209" t="s">
        <v>7698</v>
      </c>
    </row>
    <row r="6210" spans="8:8" x14ac:dyDescent="0.25">
      <c r="H6210" t="s">
        <v>7699</v>
      </c>
    </row>
    <row r="6211" spans="8:8" x14ac:dyDescent="0.25">
      <c r="H6211" t="s">
        <v>7700</v>
      </c>
    </row>
    <row r="6212" spans="8:8" x14ac:dyDescent="0.25">
      <c r="H6212" t="s">
        <v>7701</v>
      </c>
    </row>
    <row r="6213" spans="8:8" x14ac:dyDescent="0.25">
      <c r="H6213" t="s">
        <v>7702</v>
      </c>
    </row>
    <row r="6214" spans="8:8" x14ac:dyDescent="0.25">
      <c r="H6214" t="s">
        <v>7703</v>
      </c>
    </row>
    <row r="6215" spans="8:8" x14ac:dyDescent="0.25">
      <c r="H6215" t="s">
        <v>7704</v>
      </c>
    </row>
    <row r="6216" spans="8:8" x14ac:dyDescent="0.25">
      <c r="H6216" t="s">
        <v>7705</v>
      </c>
    </row>
    <row r="6217" spans="8:8" x14ac:dyDescent="0.25">
      <c r="H6217" t="s">
        <v>7706</v>
      </c>
    </row>
    <row r="6218" spans="8:8" x14ac:dyDescent="0.25">
      <c r="H6218" t="s">
        <v>7707</v>
      </c>
    </row>
    <row r="6219" spans="8:8" x14ac:dyDescent="0.25">
      <c r="H6219" t="s">
        <v>7708</v>
      </c>
    </row>
    <row r="6220" spans="8:8" x14ac:dyDescent="0.25">
      <c r="H6220" t="s">
        <v>7709</v>
      </c>
    </row>
    <row r="6221" spans="8:8" x14ac:dyDescent="0.25">
      <c r="H6221" t="s">
        <v>7710</v>
      </c>
    </row>
    <row r="6222" spans="8:8" x14ac:dyDescent="0.25">
      <c r="H6222" t="s">
        <v>7711</v>
      </c>
    </row>
    <row r="6223" spans="8:8" x14ac:dyDescent="0.25">
      <c r="H6223" t="s">
        <v>7712</v>
      </c>
    </row>
    <row r="6224" spans="8:8" x14ac:dyDescent="0.25">
      <c r="H6224" t="s">
        <v>7713</v>
      </c>
    </row>
    <row r="6225" spans="8:8" x14ac:dyDescent="0.25">
      <c r="H6225" t="s">
        <v>7714</v>
      </c>
    </row>
    <row r="6226" spans="8:8" x14ac:dyDescent="0.25">
      <c r="H6226" t="s">
        <v>7715</v>
      </c>
    </row>
    <row r="6227" spans="8:8" x14ac:dyDescent="0.25">
      <c r="H6227" t="s">
        <v>7716</v>
      </c>
    </row>
    <row r="6228" spans="8:8" x14ac:dyDescent="0.25">
      <c r="H6228" t="s">
        <v>7717</v>
      </c>
    </row>
    <row r="6229" spans="8:8" x14ac:dyDescent="0.25">
      <c r="H6229" t="s">
        <v>7718</v>
      </c>
    </row>
    <row r="6230" spans="8:8" x14ac:dyDescent="0.25">
      <c r="H6230" t="s">
        <v>7719</v>
      </c>
    </row>
    <row r="6231" spans="8:8" x14ac:dyDescent="0.25">
      <c r="H6231" t="s">
        <v>7720</v>
      </c>
    </row>
    <row r="6232" spans="8:8" x14ac:dyDescent="0.25">
      <c r="H6232" t="s">
        <v>7721</v>
      </c>
    </row>
    <row r="6233" spans="8:8" x14ac:dyDescent="0.25">
      <c r="H6233" t="s">
        <v>7722</v>
      </c>
    </row>
    <row r="6234" spans="8:8" x14ac:dyDescent="0.25">
      <c r="H6234" t="s">
        <v>7723</v>
      </c>
    </row>
    <row r="6235" spans="8:8" x14ac:dyDescent="0.25">
      <c r="H6235" t="s">
        <v>7724</v>
      </c>
    </row>
    <row r="6236" spans="8:8" x14ac:dyDescent="0.25">
      <c r="H6236" t="s">
        <v>7725</v>
      </c>
    </row>
    <row r="6237" spans="8:8" x14ac:dyDescent="0.25">
      <c r="H6237" t="s">
        <v>7726</v>
      </c>
    </row>
    <row r="6238" spans="8:8" x14ac:dyDescent="0.25">
      <c r="H6238" t="s">
        <v>7727</v>
      </c>
    </row>
    <row r="6239" spans="8:8" x14ac:dyDescent="0.25">
      <c r="H6239" t="s">
        <v>7728</v>
      </c>
    </row>
    <row r="6240" spans="8:8" x14ac:dyDescent="0.25">
      <c r="H6240" t="s">
        <v>7729</v>
      </c>
    </row>
    <row r="6241" spans="8:8" x14ac:dyDescent="0.25">
      <c r="H6241" t="s">
        <v>7730</v>
      </c>
    </row>
    <row r="6242" spans="8:8" x14ac:dyDescent="0.25">
      <c r="H6242" t="s">
        <v>7731</v>
      </c>
    </row>
    <row r="6243" spans="8:8" x14ac:dyDescent="0.25">
      <c r="H6243" t="s">
        <v>7732</v>
      </c>
    </row>
    <row r="6244" spans="8:8" x14ac:dyDescent="0.25">
      <c r="H6244" t="s">
        <v>7733</v>
      </c>
    </row>
    <row r="6245" spans="8:8" x14ac:dyDescent="0.25">
      <c r="H6245" t="s">
        <v>7734</v>
      </c>
    </row>
    <row r="6246" spans="8:8" x14ac:dyDescent="0.25">
      <c r="H6246" t="s">
        <v>7735</v>
      </c>
    </row>
    <row r="6247" spans="8:8" x14ac:dyDescent="0.25">
      <c r="H6247" t="s">
        <v>7736</v>
      </c>
    </row>
    <row r="6248" spans="8:8" x14ac:dyDescent="0.25">
      <c r="H6248" t="s">
        <v>7737</v>
      </c>
    </row>
    <row r="6249" spans="8:8" x14ac:dyDescent="0.25">
      <c r="H6249" t="s">
        <v>7738</v>
      </c>
    </row>
    <row r="6250" spans="8:8" x14ac:dyDescent="0.25">
      <c r="H6250" t="s">
        <v>7739</v>
      </c>
    </row>
    <row r="6251" spans="8:8" x14ac:dyDescent="0.25">
      <c r="H6251" t="s">
        <v>7740</v>
      </c>
    </row>
    <row r="6252" spans="8:8" x14ac:dyDescent="0.25">
      <c r="H6252" t="s">
        <v>7741</v>
      </c>
    </row>
    <row r="6253" spans="8:8" x14ac:dyDescent="0.25">
      <c r="H6253" t="s">
        <v>7742</v>
      </c>
    </row>
    <row r="6254" spans="8:8" x14ac:dyDescent="0.25">
      <c r="H6254" t="s">
        <v>7743</v>
      </c>
    </row>
    <row r="6255" spans="8:8" x14ac:dyDescent="0.25">
      <c r="H6255" t="s">
        <v>7744</v>
      </c>
    </row>
    <row r="6256" spans="8:8" x14ac:dyDescent="0.25">
      <c r="H6256" t="s">
        <v>7745</v>
      </c>
    </row>
    <row r="6257" spans="8:8" x14ac:dyDescent="0.25">
      <c r="H6257" t="s">
        <v>7746</v>
      </c>
    </row>
    <row r="6258" spans="8:8" x14ac:dyDescent="0.25">
      <c r="H6258" t="s">
        <v>7747</v>
      </c>
    </row>
    <row r="6259" spans="8:8" x14ac:dyDescent="0.25">
      <c r="H6259" t="s">
        <v>7748</v>
      </c>
    </row>
    <row r="6260" spans="8:8" x14ac:dyDescent="0.25">
      <c r="H6260" t="s">
        <v>7749</v>
      </c>
    </row>
    <row r="6261" spans="8:8" x14ac:dyDescent="0.25">
      <c r="H6261" t="s">
        <v>7750</v>
      </c>
    </row>
    <row r="6262" spans="8:8" x14ac:dyDescent="0.25">
      <c r="H6262" t="s">
        <v>7751</v>
      </c>
    </row>
    <row r="6263" spans="8:8" x14ac:dyDescent="0.25">
      <c r="H6263" t="s">
        <v>7752</v>
      </c>
    </row>
    <row r="6264" spans="8:8" x14ac:dyDescent="0.25">
      <c r="H6264" t="s">
        <v>7753</v>
      </c>
    </row>
    <row r="6265" spans="8:8" x14ac:dyDescent="0.25">
      <c r="H6265" t="s">
        <v>7754</v>
      </c>
    </row>
    <row r="6266" spans="8:8" x14ac:dyDescent="0.25">
      <c r="H6266" t="s">
        <v>7755</v>
      </c>
    </row>
    <row r="6267" spans="8:8" x14ac:dyDescent="0.25">
      <c r="H6267" t="s">
        <v>7756</v>
      </c>
    </row>
    <row r="6268" spans="8:8" x14ac:dyDescent="0.25">
      <c r="H6268" t="s">
        <v>7757</v>
      </c>
    </row>
    <row r="6269" spans="8:8" x14ac:dyDescent="0.25">
      <c r="H6269" t="s">
        <v>7758</v>
      </c>
    </row>
    <row r="6270" spans="8:8" x14ac:dyDescent="0.25">
      <c r="H6270" t="s">
        <v>7759</v>
      </c>
    </row>
    <row r="6271" spans="8:8" x14ac:dyDescent="0.25">
      <c r="H6271" t="s">
        <v>7760</v>
      </c>
    </row>
    <row r="6272" spans="8:8" x14ac:dyDescent="0.25">
      <c r="H6272" t="s">
        <v>7761</v>
      </c>
    </row>
    <row r="6273" spans="8:8" x14ac:dyDescent="0.25">
      <c r="H6273" t="s">
        <v>7762</v>
      </c>
    </row>
    <row r="6274" spans="8:8" x14ac:dyDescent="0.25">
      <c r="H6274" t="s">
        <v>7763</v>
      </c>
    </row>
    <row r="6275" spans="8:8" x14ac:dyDescent="0.25">
      <c r="H6275" t="s">
        <v>7764</v>
      </c>
    </row>
    <row r="6276" spans="8:8" x14ac:dyDescent="0.25">
      <c r="H6276" t="s">
        <v>7765</v>
      </c>
    </row>
    <row r="6277" spans="8:8" x14ac:dyDescent="0.25">
      <c r="H6277" t="s">
        <v>7766</v>
      </c>
    </row>
    <row r="6278" spans="8:8" x14ac:dyDescent="0.25">
      <c r="H6278" t="s">
        <v>7767</v>
      </c>
    </row>
    <row r="6279" spans="8:8" x14ac:dyDescent="0.25">
      <c r="H6279" t="s">
        <v>7768</v>
      </c>
    </row>
    <row r="6280" spans="8:8" x14ac:dyDescent="0.25">
      <c r="H6280" t="s">
        <v>7769</v>
      </c>
    </row>
    <row r="6281" spans="8:8" x14ac:dyDescent="0.25">
      <c r="H6281" t="s">
        <v>7770</v>
      </c>
    </row>
    <row r="6282" spans="8:8" x14ac:dyDescent="0.25">
      <c r="H6282" t="s">
        <v>7771</v>
      </c>
    </row>
    <row r="6283" spans="8:8" x14ac:dyDescent="0.25">
      <c r="H6283" t="s">
        <v>7772</v>
      </c>
    </row>
    <row r="6284" spans="8:8" x14ac:dyDescent="0.25">
      <c r="H6284" t="s">
        <v>7773</v>
      </c>
    </row>
    <row r="6285" spans="8:8" x14ac:dyDescent="0.25">
      <c r="H6285" t="s">
        <v>7774</v>
      </c>
    </row>
    <row r="6286" spans="8:8" x14ac:dyDescent="0.25">
      <c r="H6286" t="s">
        <v>7775</v>
      </c>
    </row>
    <row r="6287" spans="8:8" x14ac:dyDescent="0.25">
      <c r="H6287" t="s">
        <v>7776</v>
      </c>
    </row>
    <row r="6288" spans="8:8" x14ac:dyDescent="0.25">
      <c r="H6288" t="s">
        <v>7777</v>
      </c>
    </row>
    <row r="6289" spans="8:8" x14ac:dyDescent="0.25">
      <c r="H6289" t="s">
        <v>7778</v>
      </c>
    </row>
    <row r="6290" spans="8:8" x14ac:dyDescent="0.25">
      <c r="H6290" t="s">
        <v>7779</v>
      </c>
    </row>
    <row r="6291" spans="8:8" x14ac:dyDescent="0.25">
      <c r="H6291" t="s">
        <v>7780</v>
      </c>
    </row>
    <row r="6292" spans="8:8" x14ac:dyDescent="0.25">
      <c r="H6292" t="s">
        <v>7781</v>
      </c>
    </row>
    <row r="6293" spans="8:8" x14ac:dyDescent="0.25">
      <c r="H6293" t="s">
        <v>7782</v>
      </c>
    </row>
    <row r="6294" spans="8:8" x14ac:dyDescent="0.25">
      <c r="H6294" t="s">
        <v>7783</v>
      </c>
    </row>
    <row r="6295" spans="8:8" x14ac:dyDescent="0.25">
      <c r="H6295" t="s">
        <v>7784</v>
      </c>
    </row>
    <row r="6296" spans="8:8" x14ac:dyDescent="0.25">
      <c r="H6296" t="s">
        <v>7785</v>
      </c>
    </row>
    <row r="6297" spans="8:8" x14ac:dyDescent="0.25">
      <c r="H6297" t="s">
        <v>7786</v>
      </c>
    </row>
    <row r="6298" spans="8:8" x14ac:dyDescent="0.25">
      <c r="H6298" t="s">
        <v>7787</v>
      </c>
    </row>
    <row r="6299" spans="8:8" x14ac:dyDescent="0.25">
      <c r="H6299" t="s">
        <v>7788</v>
      </c>
    </row>
    <row r="6300" spans="8:8" x14ac:dyDescent="0.25">
      <c r="H6300" t="s">
        <v>7789</v>
      </c>
    </row>
    <row r="6301" spans="8:8" x14ac:dyDescent="0.25">
      <c r="H6301" t="s">
        <v>7790</v>
      </c>
    </row>
    <row r="6302" spans="8:8" x14ac:dyDescent="0.25">
      <c r="H6302" t="s">
        <v>7791</v>
      </c>
    </row>
    <row r="6303" spans="8:8" x14ac:dyDescent="0.25">
      <c r="H6303" t="s">
        <v>7792</v>
      </c>
    </row>
    <row r="6304" spans="8:8" x14ac:dyDescent="0.25">
      <c r="H6304" t="s">
        <v>7793</v>
      </c>
    </row>
    <row r="6305" spans="8:8" x14ac:dyDescent="0.25">
      <c r="H6305" t="s">
        <v>7794</v>
      </c>
    </row>
    <row r="6306" spans="8:8" x14ac:dyDescent="0.25">
      <c r="H6306" t="s">
        <v>7795</v>
      </c>
    </row>
    <row r="6307" spans="8:8" x14ac:dyDescent="0.25">
      <c r="H6307" t="s">
        <v>7796</v>
      </c>
    </row>
    <row r="6308" spans="8:8" x14ac:dyDescent="0.25">
      <c r="H6308" t="s">
        <v>7797</v>
      </c>
    </row>
    <row r="6309" spans="8:8" x14ac:dyDescent="0.25">
      <c r="H6309" t="s">
        <v>7798</v>
      </c>
    </row>
    <row r="6310" spans="8:8" x14ac:dyDescent="0.25">
      <c r="H6310" t="s">
        <v>7799</v>
      </c>
    </row>
    <row r="6311" spans="8:8" x14ac:dyDescent="0.25">
      <c r="H6311" t="s">
        <v>7800</v>
      </c>
    </row>
    <row r="6312" spans="8:8" x14ac:dyDescent="0.25">
      <c r="H6312" t="s">
        <v>7801</v>
      </c>
    </row>
    <row r="6313" spans="8:8" x14ac:dyDescent="0.25">
      <c r="H6313" t="s">
        <v>7802</v>
      </c>
    </row>
    <row r="6314" spans="8:8" x14ac:dyDescent="0.25">
      <c r="H6314" t="s">
        <v>7803</v>
      </c>
    </row>
    <row r="6315" spans="8:8" x14ac:dyDescent="0.25">
      <c r="H6315" t="s">
        <v>7804</v>
      </c>
    </row>
    <row r="6316" spans="8:8" x14ac:dyDescent="0.25">
      <c r="H6316" t="s">
        <v>7805</v>
      </c>
    </row>
    <row r="6317" spans="8:8" x14ac:dyDescent="0.25">
      <c r="H6317" t="s">
        <v>7806</v>
      </c>
    </row>
    <row r="6318" spans="8:8" x14ac:dyDescent="0.25">
      <c r="H6318" t="s">
        <v>7807</v>
      </c>
    </row>
    <row r="6319" spans="8:8" x14ac:dyDescent="0.25">
      <c r="H6319" t="s">
        <v>7808</v>
      </c>
    </row>
    <row r="6320" spans="8:8" x14ac:dyDescent="0.25">
      <c r="H6320" t="s">
        <v>7809</v>
      </c>
    </row>
    <row r="6321" spans="8:8" x14ac:dyDescent="0.25">
      <c r="H6321" t="s">
        <v>7810</v>
      </c>
    </row>
    <row r="6322" spans="8:8" x14ac:dyDescent="0.25">
      <c r="H6322" t="s">
        <v>7811</v>
      </c>
    </row>
    <row r="6323" spans="8:8" x14ac:dyDescent="0.25">
      <c r="H6323" t="s">
        <v>7812</v>
      </c>
    </row>
    <row r="6324" spans="8:8" x14ac:dyDescent="0.25">
      <c r="H6324" t="s">
        <v>7813</v>
      </c>
    </row>
    <row r="6325" spans="8:8" x14ac:dyDescent="0.25">
      <c r="H6325" t="s">
        <v>7814</v>
      </c>
    </row>
    <row r="6326" spans="8:8" x14ac:dyDescent="0.25">
      <c r="H6326" t="s">
        <v>7815</v>
      </c>
    </row>
    <row r="6327" spans="8:8" x14ac:dyDescent="0.25">
      <c r="H6327" t="s">
        <v>7816</v>
      </c>
    </row>
    <row r="6328" spans="8:8" x14ac:dyDescent="0.25">
      <c r="H6328" t="s">
        <v>7817</v>
      </c>
    </row>
    <row r="6329" spans="8:8" x14ac:dyDescent="0.25">
      <c r="H6329" t="s">
        <v>7818</v>
      </c>
    </row>
    <row r="6330" spans="8:8" x14ac:dyDescent="0.25">
      <c r="H6330" t="s">
        <v>7819</v>
      </c>
    </row>
    <row r="6331" spans="8:8" x14ac:dyDescent="0.25">
      <c r="H6331" t="s">
        <v>7820</v>
      </c>
    </row>
    <row r="6332" spans="8:8" x14ac:dyDescent="0.25">
      <c r="H6332" t="s">
        <v>7821</v>
      </c>
    </row>
    <row r="6333" spans="8:8" x14ac:dyDescent="0.25">
      <c r="H6333" t="s">
        <v>7822</v>
      </c>
    </row>
    <row r="6334" spans="8:8" x14ac:dyDescent="0.25">
      <c r="H6334" t="s">
        <v>7823</v>
      </c>
    </row>
    <row r="6335" spans="8:8" x14ac:dyDescent="0.25">
      <c r="H6335" t="s">
        <v>7824</v>
      </c>
    </row>
    <row r="6336" spans="8:8" x14ac:dyDescent="0.25">
      <c r="H6336" t="s">
        <v>7825</v>
      </c>
    </row>
    <row r="6337" spans="8:8" x14ac:dyDescent="0.25">
      <c r="H6337" t="s">
        <v>7826</v>
      </c>
    </row>
    <row r="6338" spans="8:8" x14ac:dyDescent="0.25">
      <c r="H6338" t="s">
        <v>7827</v>
      </c>
    </row>
    <row r="6339" spans="8:8" x14ac:dyDescent="0.25">
      <c r="H6339" t="s">
        <v>7828</v>
      </c>
    </row>
    <row r="6340" spans="8:8" x14ac:dyDescent="0.25">
      <c r="H6340" t="s">
        <v>7829</v>
      </c>
    </row>
    <row r="6341" spans="8:8" x14ac:dyDescent="0.25">
      <c r="H6341" t="s">
        <v>7830</v>
      </c>
    </row>
    <row r="6342" spans="8:8" x14ac:dyDescent="0.25">
      <c r="H6342" t="s">
        <v>7831</v>
      </c>
    </row>
    <row r="6343" spans="8:8" x14ac:dyDescent="0.25">
      <c r="H6343" t="s">
        <v>7832</v>
      </c>
    </row>
    <row r="6344" spans="8:8" x14ac:dyDescent="0.25">
      <c r="H6344" t="s">
        <v>7833</v>
      </c>
    </row>
    <row r="6345" spans="8:8" x14ac:dyDescent="0.25">
      <c r="H6345" t="s">
        <v>7834</v>
      </c>
    </row>
    <row r="6346" spans="8:8" x14ac:dyDescent="0.25">
      <c r="H6346" t="s">
        <v>7835</v>
      </c>
    </row>
    <row r="6347" spans="8:8" x14ac:dyDescent="0.25">
      <c r="H6347" t="s">
        <v>7836</v>
      </c>
    </row>
    <row r="6348" spans="8:8" x14ac:dyDescent="0.25">
      <c r="H6348" t="s">
        <v>7837</v>
      </c>
    </row>
    <row r="6349" spans="8:8" x14ac:dyDescent="0.25">
      <c r="H6349" t="s">
        <v>7838</v>
      </c>
    </row>
    <row r="6350" spans="8:8" x14ac:dyDescent="0.25">
      <c r="H6350" t="s">
        <v>7839</v>
      </c>
    </row>
    <row r="6351" spans="8:8" x14ac:dyDescent="0.25">
      <c r="H6351" t="s">
        <v>7840</v>
      </c>
    </row>
    <row r="6352" spans="8:8" x14ac:dyDescent="0.25">
      <c r="H6352" t="s">
        <v>7841</v>
      </c>
    </row>
    <row r="6353" spans="8:8" x14ac:dyDescent="0.25">
      <c r="H6353" t="s">
        <v>7842</v>
      </c>
    </row>
    <row r="6354" spans="8:8" x14ac:dyDescent="0.25">
      <c r="H6354" t="s">
        <v>7843</v>
      </c>
    </row>
    <row r="6355" spans="8:8" x14ac:dyDescent="0.25">
      <c r="H6355" t="s">
        <v>7844</v>
      </c>
    </row>
    <row r="6356" spans="8:8" x14ac:dyDescent="0.25">
      <c r="H6356" t="s">
        <v>7845</v>
      </c>
    </row>
    <row r="6357" spans="8:8" x14ac:dyDescent="0.25">
      <c r="H6357" t="s">
        <v>7846</v>
      </c>
    </row>
    <row r="6358" spans="8:8" x14ac:dyDescent="0.25">
      <c r="H6358" t="s">
        <v>7847</v>
      </c>
    </row>
    <row r="6359" spans="8:8" x14ac:dyDescent="0.25">
      <c r="H6359" t="s">
        <v>7848</v>
      </c>
    </row>
    <row r="6360" spans="8:8" x14ac:dyDescent="0.25">
      <c r="H6360" t="s">
        <v>7849</v>
      </c>
    </row>
    <row r="6361" spans="8:8" x14ac:dyDescent="0.25">
      <c r="H6361" t="s">
        <v>7850</v>
      </c>
    </row>
    <row r="6362" spans="8:8" x14ac:dyDescent="0.25">
      <c r="H6362" t="s">
        <v>7851</v>
      </c>
    </row>
    <row r="6363" spans="8:8" x14ac:dyDescent="0.25">
      <c r="H6363" t="s">
        <v>7852</v>
      </c>
    </row>
    <row r="6364" spans="8:8" x14ac:dyDescent="0.25">
      <c r="H6364" t="s">
        <v>7853</v>
      </c>
    </row>
    <row r="6365" spans="8:8" x14ac:dyDescent="0.25">
      <c r="H6365" t="s">
        <v>7854</v>
      </c>
    </row>
    <row r="6366" spans="8:8" x14ac:dyDescent="0.25">
      <c r="H6366" t="s">
        <v>7855</v>
      </c>
    </row>
    <row r="6367" spans="8:8" x14ac:dyDescent="0.25">
      <c r="H6367" t="s">
        <v>7856</v>
      </c>
    </row>
    <row r="6368" spans="8:8" x14ac:dyDescent="0.25">
      <c r="H6368" t="s">
        <v>7857</v>
      </c>
    </row>
    <row r="6369" spans="8:8" x14ac:dyDescent="0.25">
      <c r="H6369" t="s">
        <v>7858</v>
      </c>
    </row>
    <row r="6370" spans="8:8" x14ac:dyDescent="0.25">
      <c r="H6370" t="s">
        <v>7859</v>
      </c>
    </row>
    <row r="6371" spans="8:8" x14ac:dyDescent="0.25">
      <c r="H6371" t="s">
        <v>7860</v>
      </c>
    </row>
    <row r="6372" spans="8:8" x14ac:dyDescent="0.25">
      <c r="H6372" t="s">
        <v>7861</v>
      </c>
    </row>
    <row r="6373" spans="8:8" x14ac:dyDescent="0.25">
      <c r="H6373" t="s">
        <v>7862</v>
      </c>
    </row>
    <row r="6374" spans="8:8" x14ac:dyDescent="0.25">
      <c r="H6374" t="s">
        <v>7863</v>
      </c>
    </row>
    <row r="6375" spans="8:8" x14ac:dyDescent="0.25">
      <c r="H6375" t="s">
        <v>7864</v>
      </c>
    </row>
    <row r="6376" spans="8:8" x14ac:dyDescent="0.25">
      <c r="H6376" t="s">
        <v>7865</v>
      </c>
    </row>
    <row r="6377" spans="8:8" x14ac:dyDescent="0.25">
      <c r="H6377" t="s">
        <v>7866</v>
      </c>
    </row>
    <row r="6378" spans="8:8" x14ac:dyDescent="0.25">
      <c r="H6378" t="s">
        <v>7867</v>
      </c>
    </row>
    <row r="6379" spans="8:8" x14ac:dyDescent="0.25">
      <c r="H6379" t="s">
        <v>7868</v>
      </c>
    </row>
    <row r="6380" spans="8:8" x14ac:dyDescent="0.25">
      <c r="H6380" t="s">
        <v>7869</v>
      </c>
    </row>
    <row r="6381" spans="8:8" x14ac:dyDescent="0.25">
      <c r="H6381" t="s">
        <v>7870</v>
      </c>
    </row>
    <row r="6382" spans="8:8" x14ac:dyDescent="0.25">
      <c r="H6382" t="s">
        <v>7871</v>
      </c>
    </row>
    <row r="6383" spans="8:8" x14ac:dyDescent="0.25">
      <c r="H6383" t="s">
        <v>7872</v>
      </c>
    </row>
    <row r="6384" spans="8:8" x14ac:dyDescent="0.25">
      <c r="H6384" t="s">
        <v>7873</v>
      </c>
    </row>
    <row r="6385" spans="8:8" x14ac:dyDescent="0.25">
      <c r="H6385" t="s">
        <v>7874</v>
      </c>
    </row>
    <row r="6386" spans="8:8" x14ac:dyDescent="0.25">
      <c r="H6386" t="s">
        <v>7875</v>
      </c>
    </row>
    <row r="6387" spans="8:8" x14ac:dyDescent="0.25">
      <c r="H6387" t="s">
        <v>7876</v>
      </c>
    </row>
    <row r="6388" spans="8:8" x14ac:dyDescent="0.25">
      <c r="H6388" t="s">
        <v>7877</v>
      </c>
    </row>
    <row r="6389" spans="8:8" x14ac:dyDescent="0.25">
      <c r="H6389" t="s">
        <v>7878</v>
      </c>
    </row>
    <row r="6390" spans="8:8" x14ac:dyDescent="0.25">
      <c r="H6390" t="s">
        <v>7879</v>
      </c>
    </row>
    <row r="6391" spans="8:8" x14ac:dyDescent="0.25">
      <c r="H6391" t="s">
        <v>7880</v>
      </c>
    </row>
    <row r="6392" spans="8:8" x14ac:dyDescent="0.25">
      <c r="H6392" t="s">
        <v>7881</v>
      </c>
    </row>
    <row r="6393" spans="8:8" x14ac:dyDescent="0.25">
      <c r="H6393" t="s">
        <v>7882</v>
      </c>
    </row>
    <row r="6394" spans="8:8" x14ac:dyDescent="0.25">
      <c r="H6394" t="s">
        <v>7883</v>
      </c>
    </row>
    <row r="6395" spans="8:8" x14ac:dyDescent="0.25">
      <c r="H6395" t="s">
        <v>7884</v>
      </c>
    </row>
    <row r="6396" spans="8:8" x14ac:dyDescent="0.25">
      <c r="H6396" t="s">
        <v>7885</v>
      </c>
    </row>
    <row r="6397" spans="8:8" x14ac:dyDescent="0.25">
      <c r="H6397" t="s">
        <v>7886</v>
      </c>
    </row>
    <row r="6398" spans="8:8" x14ac:dyDescent="0.25">
      <c r="H6398" t="s">
        <v>7887</v>
      </c>
    </row>
    <row r="6399" spans="8:8" x14ac:dyDescent="0.25">
      <c r="H6399" t="s">
        <v>7888</v>
      </c>
    </row>
    <row r="6400" spans="8:8" x14ac:dyDescent="0.25">
      <c r="H6400" t="s">
        <v>7889</v>
      </c>
    </row>
    <row r="6401" spans="8:8" x14ac:dyDescent="0.25">
      <c r="H6401" t="s">
        <v>7890</v>
      </c>
    </row>
    <row r="6402" spans="8:8" x14ac:dyDescent="0.25">
      <c r="H6402" t="s">
        <v>7891</v>
      </c>
    </row>
    <row r="6403" spans="8:8" x14ac:dyDescent="0.25">
      <c r="H6403" t="s">
        <v>7892</v>
      </c>
    </row>
    <row r="6404" spans="8:8" x14ac:dyDescent="0.25">
      <c r="H6404" t="s">
        <v>7893</v>
      </c>
    </row>
    <row r="6405" spans="8:8" x14ac:dyDescent="0.25">
      <c r="H6405" t="s">
        <v>7894</v>
      </c>
    </row>
    <row r="6406" spans="8:8" x14ac:dyDescent="0.25">
      <c r="H6406" t="s">
        <v>7895</v>
      </c>
    </row>
    <row r="6407" spans="8:8" x14ac:dyDescent="0.25">
      <c r="H6407" t="s">
        <v>7896</v>
      </c>
    </row>
    <row r="6408" spans="8:8" x14ac:dyDescent="0.25">
      <c r="H6408" t="s">
        <v>7897</v>
      </c>
    </row>
    <row r="6409" spans="8:8" x14ac:dyDescent="0.25">
      <c r="H6409" t="s">
        <v>7898</v>
      </c>
    </row>
    <row r="6410" spans="8:8" x14ac:dyDescent="0.25">
      <c r="H6410" t="s">
        <v>7899</v>
      </c>
    </row>
    <row r="6411" spans="8:8" x14ac:dyDescent="0.25">
      <c r="H6411" t="s">
        <v>7900</v>
      </c>
    </row>
    <row r="6412" spans="8:8" x14ac:dyDescent="0.25">
      <c r="H6412" t="s">
        <v>7901</v>
      </c>
    </row>
    <row r="6413" spans="8:8" x14ac:dyDescent="0.25">
      <c r="H6413" t="s">
        <v>7902</v>
      </c>
    </row>
    <row r="6414" spans="8:8" x14ac:dyDescent="0.25">
      <c r="H6414" t="s">
        <v>7903</v>
      </c>
    </row>
    <row r="6415" spans="8:8" x14ac:dyDescent="0.25">
      <c r="H6415" t="s">
        <v>7904</v>
      </c>
    </row>
    <row r="6416" spans="8:8" x14ac:dyDescent="0.25">
      <c r="H6416" t="s">
        <v>7905</v>
      </c>
    </row>
    <row r="6417" spans="8:8" x14ac:dyDescent="0.25">
      <c r="H6417" t="s">
        <v>7906</v>
      </c>
    </row>
    <row r="6418" spans="8:8" x14ac:dyDescent="0.25">
      <c r="H6418" t="s">
        <v>7907</v>
      </c>
    </row>
    <row r="6419" spans="8:8" x14ac:dyDescent="0.25">
      <c r="H6419" t="s">
        <v>7908</v>
      </c>
    </row>
    <row r="6420" spans="8:8" x14ac:dyDescent="0.25">
      <c r="H6420" t="s">
        <v>7909</v>
      </c>
    </row>
    <row r="6421" spans="8:8" x14ac:dyDescent="0.25">
      <c r="H6421" t="s">
        <v>7910</v>
      </c>
    </row>
    <row r="6422" spans="8:8" x14ac:dyDescent="0.25">
      <c r="H6422" t="s">
        <v>7911</v>
      </c>
    </row>
    <row r="6423" spans="8:8" x14ac:dyDescent="0.25">
      <c r="H6423" t="s">
        <v>7912</v>
      </c>
    </row>
    <row r="6424" spans="8:8" x14ac:dyDescent="0.25">
      <c r="H6424" t="s">
        <v>7913</v>
      </c>
    </row>
    <row r="6425" spans="8:8" x14ac:dyDescent="0.25">
      <c r="H6425" t="s">
        <v>7914</v>
      </c>
    </row>
    <row r="6426" spans="8:8" x14ac:dyDescent="0.25">
      <c r="H6426" t="s">
        <v>7915</v>
      </c>
    </row>
    <row r="6427" spans="8:8" x14ac:dyDescent="0.25">
      <c r="H6427" t="s">
        <v>7916</v>
      </c>
    </row>
    <row r="6428" spans="8:8" x14ac:dyDescent="0.25">
      <c r="H6428" t="s">
        <v>7917</v>
      </c>
    </row>
    <row r="6429" spans="8:8" x14ac:dyDescent="0.25">
      <c r="H6429" t="s">
        <v>7918</v>
      </c>
    </row>
    <row r="6430" spans="8:8" x14ac:dyDescent="0.25">
      <c r="H6430" t="s">
        <v>7919</v>
      </c>
    </row>
    <row r="6431" spans="8:8" x14ac:dyDescent="0.25">
      <c r="H6431" t="s">
        <v>7920</v>
      </c>
    </row>
    <row r="6432" spans="8:8" x14ac:dyDescent="0.25">
      <c r="H6432" t="s">
        <v>7921</v>
      </c>
    </row>
    <row r="6433" spans="8:8" x14ac:dyDescent="0.25">
      <c r="H6433" t="s">
        <v>7922</v>
      </c>
    </row>
    <row r="6434" spans="8:8" x14ac:dyDescent="0.25">
      <c r="H6434" t="s">
        <v>7923</v>
      </c>
    </row>
    <row r="6435" spans="8:8" x14ac:dyDescent="0.25">
      <c r="H6435" t="s">
        <v>7924</v>
      </c>
    </row>
    <row r="6436" spans="8:8" x14ac:dyDescent="0.25">
      <c r="H6436" t="s">
        <v>7925</v>
      </c>
    </row>
    <row r="6437" spans="8:8" x14ac:dyDescent="0.25">
      <c r="H6437" t="s">
        <v>7926</v>
      </c>
    </row>
    <row r="6438" spans="8:8" x14ac:dyDescent="0.25">
      <c r="H6438" t="s">
        <v>7927</v>
      </c>
    </row>
    <row r="6439" spans="8:8" x14ac:dyDescent="0.25">
      <c r="H6439" t="s">
        <v>7928</v>
      </c>
    </row>
    <row r="6440" spans="8:8" x14ac:dyDescent="0.25">
      <c r="H6440" t="s">
        <v>7929</v>
      </c>
    </row>
    <row r="6441" spans="8:8" x14ac:dyDescent="0.25">
      <c r="H6441" t="s">
        <v>7930</v>
      </c>
    </row>
    <row r="6442" spans="8:8" x14ac:dyDescent="0.25">
      <c r="H6442" t="s">
        <v>7931</v>
      </c>
    </row>
    <row r="6443" spans="8:8" x14ac:dyDescent="0.25">
      <c r="H6443" t="s">
        <v>7932</v>
      </c>
    </row>
    <row r="6444" spans="8:8" x14ac:dyDescent="0.25">
      <c r="H6444" t="s">
        <v>7933</v>
      </c>
    </row>
    <row r="6445" spans="8:8" x14ac:dyDescent="0.25">
      <c r="H6445" t="s">
        <v>7934</v>
      </c>
    </row>
    <row r="6446" spans="8:8" x14ac:dyDescent="0.25">
      <c r="H6446" t="s">
        <v>7935</v>
      </c>
    </row>
    <row r="6447" spans="8:8" x14ac:dyDescent="0.25">
      <c r="H6447" t="s">
        <v>7936</v>
      </c>
    </row>
    <row r="6448" spans="8:8" x14ac:dyDescent="0.25">
      <c r="H6448" t="s">
        <v>7937</v>
      </c>
    </row>
    <row r="6449" spans="8:8" x14ac:dyDescent="0.25">
      <c r="H6449" t="s">
        <v>7938</v>
      </c>
    </row>
    <row r="6450" spans="8:8" x14ac:dyDescent="0.25">
      <c r="H6450" t="s">
        <v>7939</v>
      </c>
    </row>
    <row r="6451" spans="8:8" x14ac:dyDescent="0.25">
      <c r="H6451" t="s">
        <v>7940</v>
      </c>
    </row>
    <row r="6452" spans="8:8" x14ac:dyDescent="0.25">
      <c r="H6452" t="s">
        <v>7941</v>
      </c>
    </row>
    <row r="6453" spans="8:8" x14ac:dyDescent="0.25">
      <c r="H6453" t="s">
        <v>7942</v>
      </c>
    </row>
    <row r="6454" spans="8:8" x14ac:dyDescent="0.25">
      <c r="H6454" t="s">
        <v>7943</v>
      </c>
    </row>
    <row r="6455" spans="8:8" x14ac:dyDescent="0.25">
      <c r="H6455" t="s">
        <v>7944</v>
      </c>
    </row>
    <row r="6456" spans="8:8" x14ac:dyDescent="0.25">
      <c r="H6456" t="s">
        <v>7945</v>
      </c>
    </row>
    <row r="6457" spans="8:8" x14ac:dyDescent="0.25">
      <c r="H6457" t="s">
        <v>7946</v>
      </c>
    </row>
    <row r="6458" spans="8:8" x14ac:dyDescent="0.25">
      <c r="H6458" t="s">
        <v>7947</v>
      </c>
    </row>
    <row r="6459" spans="8:8" x14ac:dyDescent="0.25">
      <c r="H6459" t="s">
        <v>7948</v>
      </c>
    </row>
    <row r="6460" spans="8:8" x14ac:dyDescent="0.25">
      <c r="H6460" t="s">
        <v>7949</v>
      </c>
    </row>
    <row r="6461" spans="8:8" x14ac:dyDescent="0.25">
      <c r="H6461" t="s">
        <v>7950</v>
      </c>
    </row>
    <row r="6462" spans="8:8" x14ac:dyDescent="0.25">
      <c r="H6462" t="s">
        <v>7951</v>
      </c>
    </row>
    <row r="6463" spans="8:8" x14ac:dyDescent="0.25">
      <c r="H6463" t="s">
        <v>7952</v>
      </c>
    </row>
    <row r="6464" spans="8:8" x14ac:dyDescent="0.25">
      <c r="H6464" t="s">
        <v>7953</v>
      </c>
    </row>
    <row r="6465" spans="8:8" x14ac:dyDescent="0.25">
      <c r="H6465" t="s">
        <v>7954</v>
      </c>
    </row>
    <row r="6466" spans="8:8" x14ac:dyDescent="0.25">
      <c r="H6466" t="s">
        <v>7955</v>
      </c>
    </row>
    <row r="6467" spans="8:8" x14ac:dyDescent="0.25">
      <c r="H6467" t="s">
        <v>7956</v>
      </c>
    </row>
    <row r="6468" spans="8:8" x14ac:dyDescent="0.25">
      <c r="H6468" t="s">
        <v>7957</v>
      </c>
    </row>
    <row r="6469" spans="8:8" x14ac:dyDescent="0.25">
      <c r="H6469" t="s">
        <v>7958</v>
      </c>
    </row>
    <row r="6470" spans="8:8" x14ac:dyDescent="0.25">
      <c r="H6470" t="s">
        <v>7959</v>
      </c>
    </row>
    <row r="6471" spans="8:8" x14ac:dyDescent="0.25">
      <c r="H6471" t="s">
        <v>7960</v>
      </c>
    </row>
    <row r="6472" spans="8:8" x14ac:dyDescent="0.25">
      <c r="H6472" t="s">
        <v>7961</v>
      </c>
    </row>
    <row r="6473" spans="8:8" x14ac:dyDescent="0.25">
      <c r="H6473" t="s">
        <v>7962</v>
      </c>
    </row>
    <row r="6474" spans="8:8" x14ac:dyDescent="0.25">
      <c r="H6474" t="s">
        <v>7963</v>
      </c>
    </row>
    <row r="6475" spans="8:8" x14ac:dyDescent="0.25">
      <c r="H6475" t="s">
        <v>7964</v>
      </c>
    </row>
    <row r="6476" spans="8:8" x14ac:dyDescent="0.25">
      <c r="H6476" t="s">
        <v>7965</v>
      </c>
    </row>
    <row r="6477" spans="8:8" x14ac:dyDescent="0.25">
      <c r="H6477" t="s">
        <v>7966</v>
      </c>
    </row>
    <row r="6478" spans="8:8" x14ac:dyDescent="0.25">
      <c r="H6478" t="s">
        <v>7967</v>
      </c>
    </row>
    <row r="6479" spans="8:8" x14ac:dyDescent="0.25">
      <c r="H6479" t="s">
        <v>7968</v>
      </c>
    </row>
    <row r="6480" spans="8:8" x14ac:dyDescent="0.25">
      <c r="H6480" t="s">
        <v>7969</v>
      </c>
    </row>
    <row r="6481" spans="8:8" x14ac:dyDescent="0.25">
      <c r="H6481" t="s">
        <v>7970</v>
      </c>
    </row>
    <row r="6482" spans="8:8" x14ac:dyDescent="0.25">
      <c r="H6482" t="s">
        <v>7971</v>
      </c>
    </row>
    <row r="6483" spans="8:8" x14ac:dyDescent="0.25">
      <c r="H6483" t="s">
        <v>7972</v>
      </c>
    </row>
    <row r="6484" spans="8:8" x14ac:dyDescent="0.25">
      <c r="H6484" t="s">
        <v>7973</v>
      </c>
    </row>
    <row r="6485" spans="8:8" x14ac:dyDescent="0.25">
      <c r="H6485" t="s">
        <v>7974</v>
      </c>
    </row>
    <row r="6486" spans="8:8" x14ac:dyDescent="0.25">
      <c r="H6486" t="s">
        <v>7975</v>
      </c>
    </row>
    <row r="6487" spans="8:8" x14ac:dyDescent="0.25">
      <c r="H6487" t="s">
        <v>7976</v>
      </c>
    </row>
    <row r="6488" spans="8:8" x14ac:dyDescent="0.25">
      <c r="H6488" t="s">
        <v>7977</v>
      </c>
    </row>
    <row r="6489" spans="8:8" x14ac:dyDescent="0.25">
      <c r="H6489" t="s">
        <v>7978</v>
      </c>
    </row>
    <row r="6490" spans="8:8" x14ac:dyDescent="0.25">
      <c r="H6490" t="s">
        <v>7979</v>
      </c>
    </row>
    <row r="6491" spans="8:8" x14ac:dyDescent="0.25">
      <c r="H6491" t="s">
        <v>7980</v>
      </c>
    </row>
    <row r="6492" spans="8:8" x14ac:dyDescent="0.25">
      <c r="H6492" t="s">
        <v>7981</v>
      </c>
    </row>
    <row r="6493" spans="8:8" x14ac:dyDescent="0.25">
      <c r="H6493" t="s">
        <v>7982</v>
      </c>
    </row>
    <row r="6494" spans="8:8" x14ac:dyDescent="0.25">
      <c r="H6494" t="s">
        <v>7983</v>
      </c>
    </row>
    <row r="6495" spans="8:8" x14ac:dyDescent="0.25">
      <c r="H6495" t="s">
        <v>7984</v>
      </c>
    </row>
    <row r="6496" spans="8:8" x14ac:dyDescent="0.25">
      <c r="H6496" t="s">
        <v>7985</v>
      </c>
    </row>
    <row r="6497" spans="8:8" x14ac:dyDescent="0.25">
      <c r="H6497" t="s">
        <v>7986</v>
      </c>
    </row>
    <row r="6498" spans="8:8" x14ac:dyDescent="0.25">
      <c r="H6498" t="s">
        <v>7987</v>
      </c>
    </row>
    <row r="6499" spans="8:8" x14ac:dyDescent="0.25">
      <c r="H6499" t="s">
        <v>7988</v>
      </c>
    </row>
    <row r="6500" spans="8:8" x14ac:dyDescent="0.25">
      <c r="H6500" t="s">
        <v>7989</v>
      </c>
    </row>
    <row r="6501" spans="8:8" x14ac:dyDescent="0.25">
      <c r="H6501" t="s">
        <v>7990</v>
      </c>
    </row>
    <row r="6502" spans="8:8" x14ac:dyDescent="0.25">
      <c r="H6502" t="s">
        <v>7991</v>
      </c>
    </row>
    <row r="6503" spans="8:8" x14ac:dyDescent="0.25">
      <c r="H6503" t="s">
        <v>7992</v>
      </c>
    </row>
    <row r="6504" spans="8:8" x14ac:dyDescent="0.25">
      <c r="H6504" t="s">
        <v>7993</v>
      </c>
    </row>
    <row r="6505" spans="8:8" x14ac:dyDescent="0.25">
      <c r="H6505" t="s">
        <v>7994</v>
      </c>
    </row>
    <row r="6506" spans="8:8" x14ac:dyDescent="0.25">
      <c r="H6506" t="s">
        <v>7995</v>
      </c>
    </row>
    <row r="6507" spans="8:8" x14ac:dyDescent="0.25">
      <c r="H6507" t="s">
        <v>7996</v>
      </c>
    </row>
    <row r="6508" spans="8:8" x14ac:dyDescent="0.25">
      <c r="H6508" t="s">
        <v>7997</v>
      </c>
    </row>
    <row r="6509" spans="8:8" x14ac:dyDescent="0.25">
      <c r="H6509" t="s">
        <v>7998</v>
      </c>
    </row>
    <row r="6510" spans="8:8" x14ac:dyDescent="0.25">
      <c r="H6510" t="s">
        <v>7999</v>
      </c>
    </row>
    <row r="6511" spans="8:8" x14ac:dyDescent="0.25">
      <c r="H6511" t="s">
        <v>8000</v>
      </c>
    </row>
    <row r="6512" spans="8:8" x14ac:dyDescent="0.25">
      <c r="H6512" t="s">
        <v>8001</v>
      </c>
    </row>
    <row r="6513" spans="8:8" x14ac:dyDescent="0.25">
      <c r="H6513" t="s">
        <v>8002</v>
      </c>
    </row>
    <row r="6514" spans="8:8" x14ac:dyDescent="0.25">
      <c r="H6514" t="s">
        <v>8003</v>
      </c>
    </row>
    <row r="6515" spans="8:8" x14ac:dyDescent="0.25">
      <c r="H6515" t="s">
        <v>8004</v>
      </c>
    </row>
    <row r="6516" spans="8:8" x14ac:dyDescent="0.25">
      <c r="H6516" t="s">
        <v>8005</v>
      </c>
    </row>
    <row r="6517" spans="8:8" x14ac:dyDescent="0.25">
      <c r="H6517" t="s">
        <v>8006</v>
      </c>
    </row>
    <row r="6518" spans="8:8" x14ac:dyDescent="0.25">
      <c r="H6518" t="s">
        <v>8007</v>
      </c>
    </row>
    <row r="6519" spans="8:8" x14ac:dyDescent="0.25">
      <c r="H6519" t="s">
        <v>8008</v>
      </c>
    </row>
    <row r="6520" spans="8:8" x14ac:dyDescent="0.25">
      <c r="H6520" t="s">
        <v>8009</v>
      </c>
    </row>
    <row r="6521" spans="8:8" x14ac:dyDescent="0.25">
      <c r="H6521" t="s">
        <v>8010</v>
      </c>
    </row>
    <row r="6522" spans="8:8" x14ac:dyDescent="0.25">
      <c r="H6522" t="s">
        <v>8011</v>
      </c>
    </row>
    <row r="6523" spans="8:8" x14ac:dyDescent="0.25">
      <c r="H6523" t="s">
        <v>8012</v>
      </c>
    </row>
    <row r="6524" spans="8:8" x14ac:dyDescent="0.25">
      <c r="H6524" t="s">
        <v>8013</v>
      </c>
    </row>
    <row r="6525" spans="8:8" x14ac:dyDescent="0.25">
      <c r="H6525" t="s">
        <v>8014</v>
      </c>
    </row>
    <row r="6526" spans="8:8" x14ac:dyDescent="0.25">
      <c r="H6526" t="s">
        <v>8015</v>
      </c>
    </row>
    <row r="6527" spans="8:8" x14ac:dyDescent="0.25">
      <c r="H6527" t="s">
        <v>8016</v>
      </c>
    </row>
    <row r="6528" spans="8:8" x14ac:dyDescent="0.25">
      <c r="H6528" t="s">
        <v>8017</v>
      </c>
    </row>
    <row r="6529" spans="8:8" x14ac:dyDescent="0.25">
      <c r="H6529" t="s">
        <v>8018</v>
      </c>
    </row>
    <row r="6530" spans="8:8" x14ac:dyDescent="0.25">
      <c r="H6530" t="s">
        <v>8019</v>
      </c>
    </row>
    <row r="6531" spans="8:8" x14ac:dyDescent="0.25">
      <c r="H6531" t="s">
        <v>8020</v>
      </c>
    </row>
    <row r="6532" spans="8:8" x14ac:dyDescent="0.25">
      <c r="H6532" t="s">
        <v>8021</v>
      </c>
    </row>
    <row r="6533" spans="8:8" x14ac:dyDescent="0.25">
      <c r="H6533" t="s">
        <v>8022</v>
      </c>
    </row>
    <row r="6534" spans="8:8" x14ac:dyDescent="0.25">
      <c r="H6534" t="s">
        <v>8023</v>
      </c>
    </row>
    <row r="6535" spans="8:8" x14ac:dyDescent="0.25">
      <c r="H6535" t="s">
        <v>8024</v>
      </c>
    </row>
    <row r="6536" spans="8:8" x14ac:dyDescent="0.25">
      <c r="H6536" t="s">
        <v>8025</v>
      </c>
    </row>
    <row r="6537" spans="8:8" x14ac:dyDescent="0.25">
      <c r="H6537" t="s">
        <v>8026</v>
      </c>
    </row>
    <row r="6538" spans="8:8" x14ac:dyDescent="0.25">
      <c r="H6538" t="s">
        <v>8027</v>
      </c>
    </row>
    <row r="6539" spans="8:8" x14ac:dyDescent="0.25">
      <c r="H6539" t="s">
        <v>8028</v>
      </c>
    </row>
    <row r="6540" spans="8:8" x14ac:dyDescent="0.25">
      <c r="H6540" t="s">
        <v>8029</v>
      </c>
    </row>
    <row r="6541" spans="8:8" x14ac:dyDescent="0.25">
      <c r="H6541" t="s">
        <v>8030</v>
      </c>
    </row>
    <row r="6542" spans="8:8" x14ac:dyDescent="0.25">
      <c r="H6542" t="s">
        <v>8031</v>
      </c>
    </row>
    <row r="6543" spans="8:8" x14ac:dyDescent="0.25">
      <c r="H6543" t="s">
        <v>8032</v>
      </c>
    </row>
    <row r="6544" spans="8:8" x14ac:dyDescent="0.25">
      <c r="H6544" t="s">
        <v>8033</v>
      </c>
    </row>
    <row r="6545" spans="8:8" x14ac:dyDescent="0.25">
      <c r="H6545" t="s">
        <v>8034</v>
      </c>
    </row>
    <row r="6546" spans="8:8" x14ac:dyDescent="0.25">
      <c r="H6546" t="s">
        <v>8035</v>
      </c>
    </row>
    <row r="6547" spans="8:8" x14ac:dyDescent="0.25">
      <c r="H6547" t="s">
        <v>8036</v>
      </c>
    </row>
    <row r="6548" spans="8:8" x14ac:dyDescent="0.25">
      <c r="H6548" t="s">
        <v>8037</v>
      </c>
    </row>
    <row r="6549" spans="8:8" x14ac:dyDescent="0.25">
      <c r="H6549" t="s">
        <v>8038</v>
      </c>
    </row>
    <row r="6550" spans="8:8" x14ac:dyDescent="0.25">
      <c r="H6550" t="s">
        <v>8039</v>
      </c>
    </row>
    <row r="6551" spans="8:8" x14ac:dyDescent="0.25">
      <c r="H6551" t="s">
        <v>8040</v>
      </c>
    </row>
    <row r="6552" spans="8:8" x14ac:dyDescent="0.25">
      <c r="H6552" t="s">
        <v>8041</v>
      </c>
    </row>
    <row r="6553" spans="8:8" x14ac:dyDescent="0.25">
      <c r="H6553" t="s">
        <v>8042</v>
      </c>
    </row>
    <row r="6554" spans="8:8" x14ac:dyDescent="0.25">
      <c r="H6554" t="s">
        <v>8043</v>
      </c>
    </row>
    <row r="6555" spans="8:8" x14ac:dyDescent="0.25">
      <c r="H6555" t="s">
        <v>8044</v>
      </c>
    </row>
    <row r="6556" spans="8:8" x14ac:dyDescent="0.25">
      <c r="H6556" t="s">
        <v>8045</v>
      </c>
    </row>
    <row r="6557" spans="8:8" x14ac:dyDescent="0.25">
      <c r="H6557" t="s">
        <v>8046</v>
      </c>
    </row>
    <row r="6558" spans="8:8" x14ac:dyDescent="0.25">
      <c r="H6558" t="s">
        <v>8047</v>
      </c>
    </row>
    <row r="6559" spans="8:8" x14ac:dyDescent="0.25">
      <c r="H6559" t="s">
        <v>8048</v>
      </c>
    </row>
    <row r="6560" spans="8:8" x14ac:dyDescent="0.25">
      <c r="H6560" t="s">
        <v>8049</v>
      </c>
    </row>
    <row r="6561" spans="8:8" x14ac:dyDescent="0.25">
      <c r="H6561" t="s">
        <v>8050</v>
      </c>
    </row>
    <row r="6562" spans="8:8" x14ac:dyDescent="0.25">
      <c r="H6562" t="s">
        <v>8051</v>
      </c>
    </row>
    <row r="6563" spans="8:8" x14ac:dyDescent="0.25">
      <c r="H6563" t="s">
        <v>8052</v>
      </c>
    </row>
    <row r="6564" spans="8:8" x14ac:dyDescent="0.25">
      <c r="H6564" t="s">
        <v>8053</v>
      </c>
    </row>
    <row r="6565" spans="8:8" x14ac:dyDescent="0.25">
      <c r="H6565" t="s">
        <v>8054</v>
      </c>
    </row>
    <row r="6566" spans="8:8" x14ac:dyDescent="0.25">
      <c r="H6566" t="s">
        <v>8055</v>
      </c>
    </row>
    <row r="6567" spans="8:8" x14ac:dyDescent="0.25">
      <c r="H6567" t="s">
        <v>8056</v>
      </c>
    </row>
    <row r="6568" spans="8:8" x14ac:dyDescent="0.25">
      <c r="H6568" t="s">
        <v>8057</v>
      </c>
    </row>
    <row r="6569" spans="8:8" x14ac:dyDescent="0.25">
      <c r="H6569" t="s">
        <v>8058</v>
      </c>
    </row>
    <row r="6570" spans="8:8" x14ac:dyDescent="0.25">
      <c r="H6570" t="s">
        <v>8059</v>
      </c>
    </row>
    <row r="6571" spans="8:8" x14ac:dyDescent="0.25">
      <c r="H6571" t="s">
        <v>8060</v>
      </c>
    </row>
    <row r="6572" spans="8:8" x14ac:dyDescent="0.25">
      <c r="H6572" t="s">
        <v>8061</v>
      </c>
    </row>
    <row r="6573" spans="8:8" x14ac:dyDescent="0.25">
      <c r="H6573" t="s">
        <v>8062</v>
      </c>
    </row>
    <row r="6574" spans="8:8" x14ac:dyDescent="0.25">
      <c r="H6574" t="s">
        <v>8063</v>
      </c>
    </row>
    <row r="6575" spans="8:8" x14ac:dyDescent="0.25">
      <c r="H6575" t="s">
        <v>8064</v>
      </c>
    </row>
    <row r="6576" spans="8:8" x14ac:dyDescent="0.25">
      <c r="H6576" t="s">
        <v>8065</v>
      </c>
    </row>
    <row r="6577" spans="8:8" x14ac:dyDescent="0.25">
      <c r="H6577" t="s">
        <v>8066</v>
      </c>
    </row>
    <row r="6578" spans="8:8" x14ac:dyDescent="0.25">
      <c r="H6578" t="s">
        <v>8067</v>
      </c>
    </row>
    <row r="6579" spans="8:8" x14ac:dyDescent="0.25">
      <c r="H6579" t="s">
        <v>8068</v>
      </c>
    </row>
    <row r="6580" spans="8:8" x14ac:dyDescent="0.25">
      <c r="H6580" t="s">
        <v>8069</v>
      </c>
    </row>
    <row r="6581" spans="8:8" x14ac:dyDescent="0.25">
      <c r="H6581" t="s">
        <v>8070</v>
      </c>
    </row>
    <row r="6582" spans="8:8" x14ac:dyDescent="0.25">
      <c r="H6582" t="s">
        <v>8071</v>
      </c>
    </row>
    <row r="6583" spans="8:8" x14ac:dyDescent="0.25">
      <c r="H6583" t="s">
        <v>8072</v>
      </c>
    </row>
    <row r="6584" spans="8:8" x14ac:dyDescent="0.25">
      <c r="H6584" t="s">
        <v>8073</v>
      </c>
    </row>
    <row r="6585" spans="8:8" x14ac:dyDescent="0.25">
      <c r="H6585" t="s">
        <v>8074</v>
      </c>
    </row>
    <row r="6586" spans="8:8" x14ac:dyDescent="0.25">
      <c r="H6586" t="s">
        <v>8075</v>
      </c>
    </row>
    <row r="6587" spans="8:8" x14ac:dyDescent="0.25">
      <c r="H6587" t="s">
        <v>8076</v>
      </c>
    </row>
    <row r="6588" spans="8:8" x14ac:dyDescent="0.25">
      <c r="H6588" t="s">
        <v>8077</v>
      </c>
    </row>
    <row r="6589" spans="8:8" x14ac:dyDescent="0.25">
      <c r="H6589" t="s">
        <v>8078</v>
      </c>
    </row>
    <row r="6590" spans="8:8" x14ac:dyDescent="0.25">
      <c r="H6590" t="s">
        <v>8079</v>
      </c>
    </row>
    <row r="6591" spans="8:8" x14ac:dyDescent="0.25">
      <c r="H6591" t="s">
        <v>8080</v>
      </c>
    </row>
    <row r="6592" spans="8:8" x14ac:dyDescent="0.25">
      <c r="H6592" t="s">
        <v>8081</v>
      </c>
    </row>
    <row r="6593" spans="8:8" x14ac:dyDescent="0.25">
      <c r="H6593" t="s">
        <v>8082</v>
      </c>
    </row>
    <row r="6594" spans="8:8" x14ac:dyDescent="0.25">
      <c r="H6594" t="s">
        <v>8083</v>
      </c>
    </row>
    <row r="6595" spans="8:8" x14ac:dyDescent="0.25">
      <c r="H6595" t="s">
        <v>8084</v>
      </c>
    </row>
    <row r="6596" spans="8:8" x14ac:dyDescent="0.25">
      <c r="H6596" t="s">
        <v>8085</v>
      </c>
    </row>
    <row r="6597" spans="8:8" x14ac:dyDescent="0.25">
      <c r="H6597" t="s">
        <v>8086</v>
      </c>
    </row>
    <row r="6598" spans="8:8" x14ac:dyDescent="0.25">
      <c r="H6598" t="s">
        <v>8087</v>
      </c>
    </row>
    <row r="6599" spans="8:8" x14ac:dyDescent="0.25">
      <c r="H6599" t="s">
        <v>8088</v>
      </c>
    </row>
    <row r="6600" spans="8:8" x14ac:dyDescent="0.25">
      <c r="H6600" t="s">
        <v>8089</v>
      </c>
    </row>
    <row r="6601" spans="8:8" x14ac:dyDescent="0.25">
      <c r="H6601" t="s">
        <v>8090</v>
      </c>
    </row>
    <row r="6602" spans="8:8" x14ac:dyDescent="0.25">
      <c r="H6602" t="s">
        <v>8091</v>
      </c>
    </row>
    <row r="6603" spans="8:8" x14ac:dyDescent="0.25">
      <c r="H6603" t="s">
        <v>8092</v>
      </c>
    </row>
    <row r="6604" spans="8:8" x14ac:dyDescent="0.25">
      <c r="H6604" t="s">
        <v>8093</v>
      </c>
    </row>
    <row r="6605" spans="8:8" x14ac:dyDescent="0.25">
      <c r="H6605" t="s">
        <v>8094</v>
      </c>
    </row>
    <row r="6606" spans="8:8" x14ac:dyDescent="0.25">
      <c r="H6606" t="s">
        <v>8095</v>
      </c>
    </row>
    <row r="6607" spans="8:8" x14ac:dyDescent="0.25">
      <c r="H6607" t="s">
        <v>8096</v>
      </c>
    </row>
    <row r="6608" spans="8:8" x14ac:dyDescent="0.25">
      <c r="H6608" t="s">
        <v>8097</v>
      </c>
    </row>
    <row r="6609" spans="8:8" x14ac:dyDescent="0.25">
      <c r="H6609" t="s">
        <v>8098</v>
      </c>
    </row>
    <row r="6610" spans="8:8" x14ac:dyDescent="0.25">
      <c r="H6610" t="s">
        <v>8099</v>
      </c>
    </row>
    <row r="6611" spans="8:8" x14ac:dyDescent="0.25">
      <c r="H6611" t="s">
        <v>8100</v>
      </c>
    </row>
    <row r="6612" spans="8:8" x14ac:dyDescent="0.25">
      <c r="H6612" t="s">
        <v>8101</v>
      </c>
    </row>
    <row r="6613" spans="8:8" x14ac:dyDescent="0.25">
      <c r="H6613" t="s">
        <v>8102</v>
      </c>
    </row>
    <row r="6614" spans="8:8" x14ac:dyDescent="0.25">
      <c r="H6614" t="s">
        <v>8103</v>
      </c>
    </row>
    <row r="6615" spans="8:8" x14ac:dyDescent="0.25">
      <c r="H6615" t="s">
        <v>8104</v>
      </c>
    </row>
    <row r="6616" spans="8:8" x14ac:dyDescent="0.25">
      <c r="H6616" t="s">
        <v>8105</v>
      </c>
    </row>
    <row r="6617" spans="8:8" x14ac:dyDescent="0.25">
      <c r="H6617" t="s">
        <v>8106</v>
      </c>
    </row>
    <row r="6618" spans="8:8" x14ac:dyDescent="0.25">
      <c r="H6618" t="s">
        <v>8107</v>
      </c>
    </row>
    <row r="6619" spans="8:8" x14ac:dyDescent="0.25">
      <c r="H6619" t="s">
        <v>8108</v>
      </c>
    </row>
    <row r="6620" spans="8:8" x14ac:dyDescent="0.25">
      <c r="H6620" t="s">
        <v>8109</v>
      </c>
    </row>
    <row r="6621" spans="8:8" x14ac:dyDescent="0.25">
      <c r="H6621" t="s">
        <v>8110</v>
      </c>
    </row>
    <row r="6622" spans="8:8" x14ac:dyDescent="0.25">
      <c r="H6622" t="s">
        <v>8111</v>
      </c>
    </row>
    <row r="6623" spans="8:8" x14ac:dyDescent="0.25">
      <c r="H6623" t="s">
        <v>8112</v>
      </c>
    </row>
    <row r="6624" spans="8:8" x14ac:dyDescent="0.25">
      <c r="H6624" t="s">
        <v>8113</v>
      </c>
    </row>
    <row r="6625" spans="8:8" x14ac:dyDescent="0.25">
      <c r="H6625" t="s">
        <v>8114</v>
      </c>
    </row>
    <row r="6626" spans="8:8" x14ac:dyDescent="0.25">
      <c r="H6626" t="s">
        <v>8115</v>
      </c>
    </row>
    <row r="6627" spans="8:8" x14ac:dyDescent="0.25">
      <c r="H6627" t="s">
        <v>8116</v>
      </c>
    </row>
    <row r="6628" spans="8:8" x14ac:dyDescent="0.25">
      <c r="H6628" t="s">
        <v>8117</v>
      </c>
    </row>
    <row r="6629" spans="8:8" x14ac:dyDescent="0.25">
      <c r="H6629" t="s">
        <v>8118</v>
      </c>
    </row>
    <row r="6630" spans="8:8" x14ac:dyDescent="0.25">
      <c r="H6630" t="s">
        <v>8119</v>
      </c>
    </row>
    <row r="6631" spans="8:8" x14ac:dyDescent="0.25">
      <c r="H6631" t="s">
        <v>8120</v>
      </c>
    </row>
    <row r="6632" spans="8:8" x14ac:dyDescent="0.25">
      <c r="H6632" t="s">
        <v>8121</v>
      </c>
    </row>
    <row r="6633" spans="8:8" x14ac:dyDescent="0.25">
      <c r="H6633" t="s">
        <v>8122</v>
      </c>
    </row>
    <row r="6634" spans="8:8" x14ac:dyDescent="0.25">
      <c r="H6634" t="s">
        <v>8123</v>
      </c>
    </row>
    <row r="6635" spans="8:8" x14ac:dyDescent="0.25">
      <c r="H6635" t="s">
        <v>8124</v>
      </c>
    </row>
    <row r="6636" spans="8:8" x14ac:dyDescent="0.25">
      <c r="H6636" t="s">
        <v>8125</v>
      </c>
    </row>
    <row r="6637" spans="8:8" x14ac:dyDescent="0.25">
      <c r="H6637" t="s">
        <v>8126</v>
      </c>
    </row>
    <row r="6638" spans="8:8" x14ac:dyDescent="0.25">
      <c r="H6638" t="s">
        <v>8127</v>
      </c>
    </row>
    <row r="6639" spans="8:8" x14ac:dyDescent="0.25">
      <c r="H6639" t="s">
        <v>8128</v>
      </c>
    </row>
    <row r="6640" spans="8:8" x14ac:dyDescent="0.25">
      <c r="H6640" t="s">
        <v>8129</v>
      </c>
    </row>
    <row r="6641" spans="8:8" x14ac:dyDescent="0.25">
      <c r="H6641" t="s">
        <v>8130</v>
      </c>
    </row>
    <row r="6642" spans="8:8" x14ac:dyDescent="0.25">
      <c r="H6642" t="s">
        <v>8131</v>
      </c>
    </row>
    <row r="6643" spans="8:8" x14ac:dyDescent="0.25">
      <c r="H6643" t="s">
        <v>8132</v>
      </c>
    </row>
    <row r="6644" spans="8:8" x14ac:dyDescent="0.25">
      <c r="H6644" t="s">
        <v>8133</v>
      </c>
    </row>
    <row r="6645" spans="8:8" x14ac:dyDescent="0.25">
      <c r="H6645" t="s">
        <v>8134</v>
      </c>
    </row>
    <row r="6646" spans="8:8" x14ac:dyDescent="0.25">
      <c r="H6646" t="s">
        <v>8135</v>
      </c>
    </row>
    <row r="6647" spans="8:8" x14ac:dyDescent="0.25">
      <c r="H6647" t="s">
        <v>8136</v>
      </c>
    </row>
    <row r="6648" spans="8:8" x14ac:dyDescent="0.25">
      <c r="H6648" t="s">
        <v>8137</v>
      </c>
    </row>
    <row r="6649" spans="8:8" x14ac:dyDescent="0.25">
      <c r="H6649" t="s">
        <v>8138</v>
      </c>
    </row>
    <row r="6650" spans="8:8" x14ac:dyDescent="0.25">
      <c r="H6650" t="s">
        <v>8139</v>
      </c>
    </row>
    <row r="6651" spans="8:8" x14ac:dyDescent="0.25">
      <c r="H6651" t="s">
        <v>8140</v>
      </c>
    </row>
    <row r="6652" spans="8:8" x14ac:dyDescent="0.25">
      <c r="H6652" t="s">
        <v>8141</v>
      </c>
    </row>
    <row r="6653" spans="8:8" x14ac:dyDescent="0.25">
      <c r="H6653" t="s">
        <v>8142</v>
      </c>
    </row>
    <row r="6654" spans="8:8" x14ac:dyDescent="0.25">
      <c r="H6654" t="s">
        <v>8143</v>
      </c>
    </row>
    <row r="6655" spans="8:8" x14ac:dyDescent="0.25">
      <c r="H6655" t="s">
        <v>8144</v>
      </c>
    </row>
    <row r="6656" spans="8:8" x14ac:dyDescent="0.25">
      <c r="H6656" t="s">
        <v>8145</v>
      </c>
    </row>
    <row r="6657" spans="8:8" x14ac:dyDescent="0.25">
      <c r="H6657" t="s">
        <v>8146</v>
      </c>
    </row>
    <row r="6658" spans="8:8" x14ac:dyDescent="0.25">
      <c r="H6658" t="s">
        <v>8147</v>
      </c>
    </row>
    <row r="6659" spans="8:8" x14ac:dyDescent="0.25">
      <c r="H6659" t="s">
        <v>8148</v>
      </c>
    </row>
    <row r="6660" spans="8:8" x14ac:dyDescent="0.25">
      <c r="H6660" t="s">
        <v>8149</v>
      </c>
    </row>
    <row r="6661" spans="8:8" x14ac:dyDescent="0.25">
      <c r="H6661" t="s">
        <v>8150</v>
      </c>
    </row>
    <row r="6662" spans="8:8" x14ac:dyDescent="0.25">
      <c r="H6662" t="s">
        <v>8151</v>
      </c>
    </row>
    <row r="6663" spans="8:8" x14ac:dyDescent="0.25">
      <c r="H6663" t="s">
        <v>8152</v>
      </c>
    </row>
    <row r="6664" spans="8:8" x14ac:dyDescent="0.25">
      <c r="H6664" t="s">
        <v>8153</v>
      </c>
    </row>
    <row r="6665" spans="8:8" x14ac:dyDescent="0.25">
      <c r="H6665" t="s">
        <v>8154</v>
      </c>
    </row>
    <row r="6666" spans="8:8" x14ac:dyDescent="0.25">
      <c r="H6666" t="s">
        <v>8155</v>
      </c>
    </row>
    <row r="6667" spans="8:8" x14ac:dyDescent="0.25">
      <c r="H6667" t="s">
        <v>8156</v>
      </c>
    </row>
    <row r="6668" spans="8:8" x14ac:dyDescent="0.25">
      <c r="H6668" t="s">
        <v>8157</v>
      </c>
    </row>
    <row r="6669" spans="8:8" x14ac:dyDescent="0.25">
      <c r="H6669" t="s">
        <v>8158</v>
      </c>
    </row>
    <row r="6670" spans="8:8" x14ac:dyDescent="0.25">
      <c r="H6670" t="s">
        <v>8159</v>
      </c>
    </row>
    <row r="6671" spans="8:8" x14ac:dyDescent="0.25">
      <c r="H6671" t="s">
        <v>8160</v>
      </c>
    </row>
    <row r="6672" spans="8:8" x14ac:dyDescent="0.25">
      <c r="H6672" t="s">
        <v>8161</v>
      </c>
    </row>
    <row r="6673" spans="8:8" x14ac:dyDescent="0.25">
      <c r="H6673" t="s">
        <v>8162</v>
      </c>
    </row>
    <row r="6674" spans="8:8" x14ac:dyDescent="0.25">
      <c r="H6674" t="s">
        <v>8163</v>
      </c>
    </row>
    <row r="6675" spans="8:8" x14ac:dyDescent="0.25">
      <c r="H6675" t="s">
        <v>8164</v>
      </c>
    </row>
    <row r="6676" spans="8:8" x14ac:dyDescent="0.25">
      <c r="H6676" t="s">
        <v>8165</v>
      </c>
    </row>
    <row r="6677" spans="8:8" x14ac:dyDescent="0.25">
      <c r="H6677" t="s">
        <v>8166</v>
      </c>
    </row>
    <row r="6678" spans="8:8" x14ac:dyDescent="0.25">
      <c r="H6678" t="s">
        <v>8167</v>
      </c>
    </row>
    <row r="6679" spans="8:8" x14ac:dyDescent="0.25">
      <c r="H6679" t="s">
        <v>8168</v>
      </c>
    </row>
    <row r="6680" spans="8:8" x14ac:dyDescent="0.25">
      <c r="H6680" t="s">
        <v>8169</v>
      </c>
    </row>
    <row r="6681" spans="8:8" x14ac:dyDescent="0.25">
      <c r="H6681" t="s">
        <v>8170</v>
      </c>
    </row>
    <row r="6682" spans="8:8" x14ac:dyDescent="0.25">
      <c r="H6682" t="s">
        <v>8171</v>
      </c>
    </row>
    <row r="6683" spans="8:8" x14ac:dyDescent="0.25">
      <c r="H6683" t="s">
        <v>8172</v>
      </c>
    </row>
    <row r="6684" spans="8:8" x14ac:dyDescent="0.25">
      <c r="H6684" t="s">
        <v>8173</v>
      </c>
    </row>
    <row r="6685" spans="8:8" x14ac:dyDescent="0.25">
      <c r="H6685" t="s">
        <v>8174</v>
      </c>
    </row>
    <row r="6686" spans="8:8" x14ac:dyDescent="0.25">
      <c r="H6686" t="s">
        <v>8175</v>
      </c>
    </row>
    <row r="6687" spans="8:8" x14ac:dyDescent="0.25">
      <c r="H6687" t="s">
        <v>8176</v>
      </c>
    </row>
    <row r="6688" spans="8:8" x14ac:dyDescent="0.25">
      <c r="H6688" t="s">
        <v>8177</v>
      </c>
    </row>
    <row r="6689" spans="8:8" x14ac:dyDescent="0.25">
      <c r="H6689" t="s">
        <v>8178</v>
      </c>
    </row>
    <row r="6690" spans="8:8" x14ac:dyDescent="0.25">
      <c r="H6690" t="s">
        <v>8179</v>
      </c>
    </row>
    <row r="6691" spans="8:8" x14ac:dyDescent="0.25">
      <c r="H6691" t="s">
        <v>8180</v>
      </c>
    </row>
    <row r="6692" spans="8:8" x14ac:dyDescent="0.25">
      <c r="H6692" t="s">
        <v>8181</v>
      </c>
    </row>
    <row r="6693" spans="8:8" x14ac:dyDescent="0.25">
      <c r="H6693" t="s">
        <v>8182</v>
      </c>
    </row>
    <row r="6694" spans="8:8" x14ac:dyDescent="0.25">
      <c r="H6694" t="s">
        <v>8183</v>
      </c>
    </row>
    <row r="6695" spans="8:8" x14ac:dyDescent="0.25">
      <c r="H6695" t="s">
        <v>8184</v>
      </c>
    </row>
    <row r="6696" spans="8:8" x14ac:dyDescent="0.25">
      <c r="H6696" t="s">
        <v>8185</v>
      </c>
    </row>
    <row r="6697" spans="8:8" x14ac:dyDescent="0.25">
      <c r="H6697" t="s">
        <v>8186</v>
      </c>
    </row>
    <row r="6698" spans="8:8" x14ac:dyDescent="0.25">
      <c r="H6698" t="s">
        <v>8187</v>
      </c>
    </row>
    <row r="6699" spans="8:8" x14ac:dyDescent="0.25">
      <c r="H6699" t="s">
        <v>8188</v>
      </c>
    </row>
    <row r="6700" spans="8:8" x14ac:dyDescent="0.25">
      <c r="H6700" t="s">
        <v>8189</v>
      </c>
    </row>
    <row r="6701" spans="8:8" x14ac:dyDescent="0.25">
      <c r="H6701" t="s">
        <v>8190</v>
      </c>
    </row>
    <row r="6702" spans="8:8" x14ac:dyDescent="0.25">
      <c r="H6702" t="s">
        <v>8191</v>
      </c>
    </row>
    <row r="6703" spans="8:8" x14ac:dyDescent="0.25">
      <c r="H6703" t="s">
        <v>8192</v>
      </c>
    </row>
    <row r="6704" spans="8:8" x14ac:dyDescent="0.25">
      <c r="H6704" t="s">
        <v>8193</v>
      </c>
    </row>
    <row r="6705" spans="8:8" x14ac:dyDescent="0.25">
      <c r="H6705" t="s">
        <v>8194</v>
      </c>
    </row>
    <row r="6706" spans="8:8" x14ac:dyDescent="0.25">
      <c r="H6706" t="s">
        <v>8195</v>
      </c>
    </row>
    <row r="6707" spans="8:8" x14ac:dyDescent="0.25">
      <c r="H6707" t="s">
        <v>8196</v>
      </c>
    </row>
    <row r="6708" spans="8:8" x14ac:dyDescent="0.25">
      <c r="H6708" t="s">
        <v>8197</v>
      </c>
    </row>
    <row r="6709" spans="8:8" x14ac:dyDescent="0.25">
      <c r="H6709" t="s">
        <v>8198</v>
      </c>
    </row>
    <row r="6710" spans="8:8" x14ac:dyDescent="0.25">
      <c r="H6710" t="s">
        <v>8199</v>
      </c>
    </row>
    <row r="6711" spans="8:8" x14ac:dyDescent="0.25">
      <c r="H6711" t="s">
        <v>8200</v>
      </c>
    </row>
    <row r="6712" spans="8:8" x14ac:dyDescent="0.25">
      <c r="H6712" t="s">
        <v>8201</v>
      </c>
    </row>
    <row r="6713" spans="8:8" x14ac:dyDescent="0.25">
      <c r="H6713" t="s">
        <v>8202</v>
      </c>
    </row>
    <row r="6714" spans="8:8" x14ac:dyDescent="0.25">
      <c r="H6714" t="s">
        <v>8203</v>
      </c>
    </row>
    <row r="6715" spans="8:8" x14ac:dyDescent="0.25">
      <c r="H6715" t="s">
        <v>8204</v>
      </c>
    </row>
    <row r="6716" spans="8:8" x14ac:dyDescent="0.25">
      <c r="H6716" t="s">
        <v>8205</v>
      </c>
    </row>
    <row r="6717" spans="8:8" x14ac:dyDescent="0.25">
      <c r="H6717" t="s">
        <v>8206</v>
      </c>
    </row>
    <row r="6718" spans="8:8" x14ac:dyDescent="0.25">
      <c r="H6718" t="s">
        <v>8207</v>
      </c>
    </row>
    <row r="6719" spans="8:8" x14ac:dyDescent="0.25">
      <c r="H6719" t="s">
        <v>8208</v>
      </c>
    </row>
    <row r="6720" spans="8:8" x14ac:dyDescent="0.25">
      <c r="H6720" t="s">
        <v>8209</v>
      </c>
    </row>
    <row r="6721" spans="8:8" x14ac:dyDescent="0.25">
      <c r="H6721" t="s">
        <v>8210</v>
      </c>
    </row>
    <row r="6722" spans="8:8" x14ac:dyDescent="0.25">
      <c r="H6722" t="s">
        <v>8211</v>
      </c>
    </row>
    <row r="6723" spans="8:8" x14ac:dyDescent="0.25">
      <c r="H6723" t="s">
        <v>8212</v>
      </c>
    </row>
    <row r="6724" spans="8:8" x14ac:dyDescent="0.25">
      <c r="H6724" t="s">
        <v>8213</v>
      </c>
    </row>
    <row r="6725" spans="8:8" x14ac:dyDescent="0.25">
      <c r="H6725" t="s">
        <v>8214</v>
      </c>
    </row>
    <row r="6726" spans="8:8" x14ac:dyDescent="0.25">
      <c r="H6726" t="s">
        <v>8215</v>
      </c>
    </row>
    <row r="6727" spans="8:8" x14ac:dyDescent="0.25">
      <c r="H6727" t="s">
        <v>8216</v>
      </c>
    </row>
    <row r="6728" spans="8:8" x14ac:dyDescent="0.25">
      <c r="H6728" t="s">
        <v>8217</v>
      </c>
    </row>
    <row r="6729" spans="8:8" x14ac:dyDescent="0.25">
      <c r="H6729" t="s">
        <v>8218</v>
      </c>
    </row>
    <row r="6730" spans="8:8" x14ac:dyDescent="0.25">
      <c r="H6730" t="s">
        <v>8219</v>
      </c>
    </row>
    <row r="6731" spans="8:8" x14ac:dyDescent="0.25">
      <c r="H6731" t="s">
        <v>8220</v>
      </c>
    </row>
    <row r="6732" spans="8:8" x14ac:dyDescent="0.25">
      <c r="H6732" t="s">
        <v>8221</v>
      </c>
    </row>
    <row r="6733" spans="8:8" x14ac:dyDescent="0.25">
      <c r="H6733" t="s">
        <v>8222</v>
      </c>
    </row>
    <row r="6734" spans="8:8" x14ac:dyDescent="0.25">
      <c r="H6734" t="s">
        <v>8223</v>
      </c>
    </row>
    <row r="6735" spans="8:8" x14ac:dyDescent="0.25">
      <c r="H6735" t="s">
        <v>8224</v>
      </c>
    </row>
    <row r="6736" spans="8:8" x14ac:dyDescent="0.25">
      <c r="H6736" t="s">
        <v>8225</v>
      </c>
    </row>
    <row r="6737" spans="8:8" x14ac:dyDescent="0.25">
      <c r="H6737" t="s">
        <v>8226</v>
      </c>
    </row>
    <row r="6738" spans="8:8" x14ac:dyDescent="0.25">
      <c r="H6738" t="s">
        <v>8227</v>
      </c>
    </row>
    <row r="6739" spans="8:8" x14ac:dyDescent="0.25">
      <c r="H6739" t="s">
        <v>8228</v>
      </c>
    </row>
    <row r="6740" spans="8:8" x14ac:dyDescent="0.25">
      <c r="H6740" t="s">
        <v>8229</v>
      </c>
    </row>
    <row r="6741" spans="8:8" x14ac:dyDescent="0.25">
      <c r="H6741" t="s">
        <v>8230</v>
      </c>
    </row>
    <row r="6742" spans="8:8" x14ac:dyDescent="0.25">
      <c r="H6742" t="s">
        <v>8231</v>
      </c>
    </row>
    <row r="6743" spans="8:8" x14ac:dyDescent="0.25">
      <c r="H6743" t="s">
        <v>8232</v>
      </c>
    </row>
    <row r="6744" spans="8:8" x14ac:dyDescent="0.25">
      <c r="H6744" t="s">
        <v>8233</v>
      </c>
    </row>
    <row r="6745" spans="8:8" x14ac:dyDescent="0.25">
      <c r="H6745" t="s">
        <v>8234</v>
      </c>
    </row>
    <row r="6746" spans="8:8" x14ac:dyDescent="0.25">
      <c r="H6746" t="s">
        <v>8235</v>
      </c>
    </row>
    <row r="6747" spans="8:8" x14ac:dyDescent="0.25">
      <c r="H6747" t="s">
        <v>8236</v>
      </c>
    </row>
    <row r="6748" spans="8:8" x14ac:dyDescent="0.25">
      <c r="H6748" t="s">
        <v>8237</v>
      </c>
    </row>
    <row r="6749" spans="8:8" x14ac:dyDescent="0.25">
      <c r="H6749" t="s">
        <v>8238</v>
      </c>
    </row>
    <row r="6750" spans="8:8" x14ac:dyDescent="0.25">
      <c r="H6750" t="s">
        <v>8239</v>
      </c>
    </row>
    <row r="6751" spans="8:8" x14ac:dyDescent="0.25">
      <c r="H6751" t="s">
        <v>8240</v>
      </c>
    </row>
    <row r="6752" spans="8:8" x14ac:dyDescent="0.25">
      <c r="H6752" t="s">
        <v>8241</v>
      </c>
    </row>
    <row r="6753" spans="8:8" x14ac:dyDescent="0.25">
      <c r="H6753" t="s">
        <v>8242</v>
      </c>
    </row>
    <row r="6754" spans="8:8" x14ac:dyDescent="0.25">
      <c r="H6754" t="s">
        <v>8243</v>
      </c>
    </row>
    <row r="6755" spans="8:8" x14ac:dyDescent="0.25">
      <c r="H6755" t="s">
        <v>8244</v>
      </c>
    </row>
    <row r="6756" spans="8:8" x14ac:dyDescent="0.25">
      <c r="H6756" t="s">
        <v>8245</v>
      </c>
    </row>
    <row r="6757" spans="8:8" x14ac:dyDescent="0.25">
      <c r="H6757" t="s">
        <v>8246</v>
      </c>
    </row>
    <row r="6758" spans="8:8" x14ac:dyDescent="0.25">
      <c r="H6758" t="s">
        <v>8247</v>
      </c>
    </row>
    <row r="6759" spans="8:8" x14ac:dyDescent="0.25">
      <c r="H6759" t="s">
        <v>8248</v>
      </c>
    </row>
    <row r="6760" spans="8:8" x14ac:dyDescent="0.25">
      <c r="H6760" t="s">
        <v>8249</v>
      </c>
    </row>
    <row r="6761" spans="8:8" x14ac:dyDescent="0.25">
      <c r="H6761" t="s">
        <v>8250</v>
      </c>
    </row>
    <row r="6762" spans="8:8" x14ac:dyDescent="0.25">
      <c r="H6762" t="s">
        <v>8251</v>
      </c>
    </row>
    <row r="6763" spans="8:8" x14ac:dyDescent="0.25">
      <c r="H6763" t="s">
        <v>8252</v>
      </c>
    </row>
    <row r="6764" spans="8:8" x14ac:dyDescent="0.25">
      <c r="H6764" t="s">
        <v>8253</v>
      </c>
    </row>
    <row r="6765" spans="8:8" x14ac:dyDescent="0.25">
      <c r="H6765" t="s">
        <v>8254</v>
      </c>
    </row>
    <row r="6766" spans="8:8" x14ac:dyDescent="0.25">
      <c r="H6766" t="s">
        <v>8255</v>
      </c>
    </row>
    <row r="6767" spans="8:8" x14ac:dyDescent="0.25">
      <c r="H6767" t="s">
        <v>8256</v>
      </c>
    </row>
    <row r="6768" spans="8:8" x14ac:dyDescent="0.25">
      <c r="H6768" t="s">
        <v>8257</v>
      </c>
    </row>
    <row r="6769" spans="8:8" x14ac:dyDescent="0.25">
      <c r="H6769" t="s">
        <v>8258</v>
      </c>
    </row>
    <row r="6770" spans="8:8" x14ac:dyDescent="0.25">
      <c r="H6770" t="s">
        <v>8259</v>
      </c>
    </row>
    <row r="6771" spans="8:8" x14ac:dyDescent="0.25">
      <c r="H6771" t="s">
        <v>8260</v>
      </c>
    </row>
    <row r="6772" spans="8:8" x14ac:dyDescent="0.25">
      <c r="H6772" t="s">
        <v>8261</v>
      </c>
    </row>
    <row r="6773" spans="8:8" x14ac:dyDescent="0.25">
      <c r="H6773" t="s">
        <v>8262</v>
      </c>
    </row>
    <row r="6774" spans="8:8" x14ac:dyDescent="0.25">
      <c r="H6774" t="s">
        <v>8263</v>
      </c>
    </row>
    <row r="6775" spans="8:8" x14ac:dyDescent="0.25">
      <c r="H6775" t="s">
        <v>8264</v>
      </c>
    </row>
    <row r="6776" spans="8:8" x14ac:dyDescent="0.25">
      <c r="H6776" t="s">
        <v>8265</v>
      </c>
    </row>
    <row r="6777" spans="8:8" x14ac:dyDescent="0.25">
      <c r="H6777" t="s">
        <v>8266</v>
      </c>
    </row>
    <row r="6778" spans="8:8" x14ac:dyDescent="0.25">
      <c r="H6778" t="s">
        <v>8267</v>
      </c>
    </row>
    <row r="6779" spans="8:8" x14ac:dyDescent="0.25">
      <c r="H6779" t="s">
        <v>8268</v>
      </c>
    </row>
    <row r="6780" spans="8:8" x14ac:dyDescent="0.25">
      <c r="H6780" t="s">
        <v>8269</v>
      </c>
    </row>
    <row r="6781" spans="8:8" x14ac:dyDescent="0.25">
      <c r="H6781" t="s">
        <v>8270</v>
      </c>
    </row>
    <row r="6782" spans="8:8" x14ac:dyDescent="0.25">
      <c r="H6782" t="s">
        <v>8271</v>
      </c>
    </row>
    <row r="6783" spans="8:8" x14ac:dyDescent="0.25">
      <c r="H6783" t="s">
        <v>8272</v>
      </c>
    </row>
    <row r="6784" spans="8:8" x14ac:dyDescent="0.25">
      <c r="H6784" t="s">
        <v>8273</v>
      </c>
    </row>
    <row r="6785" spans="8:8" x14ac:dyDescent="0.25">
      <c r="H6785" t="s">
        <v>8274</v>
      </c>
    </row>
    <row r="6786" spans="8:8" x14ac:dyDescent="0.25">
      <c r="H6786" t="s">
        <v>8275</v>
      </c>
    </row>
    <row r="6787" spans="8:8" x14ac:dyDescent="0.25">
      <c r="H6787" t="s">
        <v>8276</v>
      </c>
    </row>
    <row r="6788" spans="8:8" x14ac:dyDescent="0.25">
      <c r="H6788" t="s">
        <v>8277</v>
      </c>
    </row>
    <row r="6789" spans="8:8" x14ac:dyDescent="0.25">
      <c r="H6789" t="s">
        <v>8278</v>
      </c>
    </row>
    <row r="6790" spans="8:8" x14ac:dyDescent="0.25">
      <c r="H6790" t="s">
        <v>8279</v>
      </c>
    </row>
    <row r="6791" spans="8:8" x14ac:dyDescent="0.25">
      <c r="H6791" t="s">
        <v>8280</v>
      </c>
    </row>
    <row r="6792" spans="8:8" x14ac:dyDescent="0.25">
      <c r="H6792" t="s">
        <v>8281</v>
      </c>
    </row>
    <row r="6793" spans="8:8" x14ac:dyDescent="0.25">
      <c r="H6793" t="s">
        <v>8282</v>
      </c>
    </row>
    <row r="6794" spans="8:8" x14ac:dyDescent="0.25">
      <c r="H6794" t="s">
        <v>8283</v>
      </c>
    </row>
    <row r="6795" spans="8:8" x14ac:dyDescent="0.25">
      <c r="H6795" t="s">
        <v>8284</v>
      </c>
    </row>
    <row r="6796" spans="8:8" x14ac:dyDescent="0.25">
      <c r="H6796" t="s">
        <v>8285</v>
      </c>
    </row>
    <row r="6797" spans="8:8" x14ac:dyDescent="0.25">
      <c r="H6797" t="s">
        <v>8286</v>
      </c>
    </row>
    <row r="6798" spans="8:8" x14ac:dyDescent="0.25">
      <c r="H6798" t="s">
        <v>8287</v>
      </c>
    </row>
    <row r="6799" spans="8:8" x14ac:dyDescent="0.25">
      <c r="H6799" t="s">
        <v>8288</v>
      </c>
    </row>
    <row r="6800" spans="8:8" x14ac:dyDescent="0.25">
      <c r="H6800" t="s">
        <v>8289</v>
      </c>
    </row>
    <row r="6801" spans="8:8" x14ac:dyDescent="0.25">
      <c r="H6801" t="s">
        <v>8290</v>
      </c>
    </row>
    <row r="6802" spans="8:8" x14ac:dyDescent="0.25">
      <c r="H6802" t="s">
        <v>8291</v>
      </c>
    </row>
    <row r="6803" spans="8:8" x14ac:dyDescent="0.25">
      <c r="H6803" t="s">
        <v>8292</v>
      </c>
    </row>
    <row r="6804" spans="8:8" x14ac:dyDescent="0.25">
      <c r="H6804" t="s">
        <v>8293</v>
      </c>
    </row>
    <row r="6805" spans="8:8" x14ac:dyDescent="0.25">
      <c r="H6805" t="s">
        <v>8294</v>
      </c>
    </row>
    <row r="6806" spans="8:8" x14ac:dyDescent="0.25">
      <c r="H6806" t="s">
        <v>8295</v>
      </c>
    </row>
    <row r="6807" spans="8:8" x14ac:dyDescent="0.25">
      <c r="H6807" t="s">
        <v>8296</v>
      </c>
    </row>
    <row r="6808" spans="8:8" x14ac:dyDescent="0.25">
      <c r="H6808" t="s">
        <v>8297</v>
      </c>
    </row>
    <row r="6809" spans="8:8" x14ac:dyDescent="0.25">
      <c r="H6809" t="s">
        <v>8298</v>
      </c>
    </row>
    <row r="6810" spans="8:8" x14ac:dyDescent="0.25">
      <c r="H6810" t="s">
        <v>8299</v>
      </c>
    </row>
    <row r="6811" spans="8:8" x14ac:dyDescent="0.25">
      <c r="H6811" t="s">
        <v>8300</v>
      </c>
    </row>
    <row r="6812" spans="8:8" x14ac:dyDescent="0.25">
      <c r="H6812" t="s">
        <v>8301</v>
      </c>
    </row>
    <row r="6813" spans="8:8" x14ac:dyDescent="0.25">
      <c r="H6813" t="s">
        <v>8302</v>
      </c>
    </row>
    <row r="6814" spans="8:8" x14ac:dyDescent="0.25">
      <c r="H6814" t="s">
        <v>8303</v>
      </c>
    </row>
    <row r="6815" spans="8:8" x14ac:dyDescent="0.25">
      <c r="H6815" t="s">
        <v>134</v>
      </c>
    </row>
    <row r="6816" spans="8:8" x14ac:dyDescent="0.25">
      <c r="H6816" t="s">
        <v>150</v>
      </c>
    </row>
    <row r="6817" spans="8:8" x14ac:dyDescent="0.25">
      <c r="H6817" s="7" t="s">
        <v>84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H18200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 t="s">
        <v>17</v>
      </c>
      <c r="H2" s="1" t="s">
        <v>16</v>
      </c>
    </row>
    <row r="3" spans="2:8" ht="15" customHeight="1" x14ac:dyDescent="0.25">
      <c r="B3" t="s">
        <v>108</v>
      </c>
      <c r="H3" t="s">
        <v>36</v>
      </c>
    </row>
    <row r="4" spans="2:8" x14ac:dyDescent="0.25">
      <c r="H4" t="s">
        <v>109</v>
      </c>
    </row>
    <row r="5" spans="2:8" x14ac:dyDescent="0.25">
      <c r="B5" s="1" t="s">
        <v>18</v>
      </c>
      <c r="H5" t="s">
        <v>27</v>
      </c>
    </row>
    <row r="6" spans="2:8" x14ac:dyDescent="0.25">
      <c r="B6" t="s">
        <v>125</v>
      </c>
    </row>
    <row r="7" spans="2:8" x14ac:dyDescent="0.25">
      <c r="H7" t="s">
        <v>8304</v>
      </c>
    </row>
    <row r="8" spans="2:8" x14ac:dyDescent="0.25">
      <c r="B8" s="1" t="s">
        <v>19</v>
      </c>
      <c r="H8" t="s">
        <v>8305</v>
      </c>
    </row>
    <row r="9" spans="2:8" x14ac:dyDescent="0.25">
      <c r="B9" t="s">
        <v>126</v>
      </c>
      <c r="H9" t="s">
        <v>135</v>
      </c>
    </row>
    <row r="10" spans="2:8" x14ac:dyDescent="0.25">
      <c r="H10" t="s">
        <v>8306</v>
      </c>
    </row>
    <row r="11" spans="2:8" x14ac:dyDescent="0.25">
      <c r="B11" s="1" t="s">
        <v>12</v>
      </c>
      <c r="H11" t="s">
        <v>30</v>
      </c>
    </row>
    <row r="12" spans="2:8" x14ac:dyDescent="0.25">
      <c r="B12" t="s">
        <v>14</v>
      </c>
    </row>
    <row r="13" spans="2:8" x14ac:dyDescent="0.25">
      <c r="H13" t="s">
        <v>8307</v>
      </c>
    </row>
    <row r="14" spans="2:8" x14ac:dyDescent="0.25">
      <c r="B14" s="1" t="s">
        <v>13</v>
      </c>
      <c r="H14" t="s">
        <v>8308</v>
      </c>
    </row>
    <row r="15" spans="2:8" x14ac:dyDescent="0.25">
      <c r="B15" t="s">
        <v>15</v>
      </c>
      <c r="H15" t="s">
        <v>135</v>
      </c>
    </row>
    <row r="16" spans="2:8" x14ac:dyDescent="0.25">
      <c r="H16" t="s">
        <v>8309</v>
      </c>
    </row>
    <row r="17" spans="2:8" x14ac:dyDescent="0.25">
      <c r="B17" s="1" t="s">
        <v>20</v>
      </c>
      <c r="H17" t="s">
        <v>30</v>
      </c>
    </row>
    <row r="18" spans="2:8" x14ac:dyDescent="0.25">
      <c r="B18" t="s">
        <v>127</v>
      </c>
    </row>
    <row r="19" spans="2:8" x14ac:dyDescent="0.25">
      <c r="H19" t="s">
        <v>8310</v>
      </c>
    </row>
    <row r="20" spans="2:8" x14ac:dyDescent="0.25">
      <c r="B20" s="1" t="s">
        <v>21</v>
      </c>
      <c r="H20" t="s">
        <v>8311</v>
      </c>
    </row>
    <row r="21" spans="2:8" x14ac:dyDescent="0.25">
      <c r="B21" t="s">
        <v>128</v>
      </c>
      <c r="H21" t="s">
        <v>135</v>
      </c>
    </row>
    <row r="22" spans="2:8" x14ac:dyDescent="0.25">
      <c r="H22" t="s">
        <v>8312</v>
      </c>
    </row>
    <row r="23" spans="2:8" x14ac:dyDescent="0.25">
      <c r="H23" t="s">
        <v>30</v>
      </c>
    </row>
    <row r="25" spans="2:8" x14ac:dyDescent="0.25">
      <c r="H25" t="s">
        <v>8313</v>
      </c>
    </row>
    <row r="26" spans="2:8" x14ac:dyDescent="0.25">
      <c r="H26" t="s">
        <v>8314</v>
      </c>
    </row>
    <row r="27" spans="2:8" x14ac:dyDescent="0.25">
      <c r="H27" t="s">
        <v>135</v>
      </c>
    </row>
    <row r="28" spans="2:8" x14ac:dyDescent="0.25">
      <c r="H28" t="s">
        <v>8315</v>
      </c>
    </row>
    <row r="29" spans="2:8" x14ac:dyDescent="0.25">
      <c r="H29" t="s">
        <v>30</v>
      </c>
    </row>
    <row r="31" spans="2:8" x14ac:dyDescent="0.25">
      <c r="H31" t="s">
        <v>8316</v>
      </c>
    </row>
    <row r="32" spans="2:8" x14ac:dyDescent="0.25">
      <c r="H32" t="s">
        <v>8317</v>
      </c>
    </row>
    <row r="33" spans="8:8" x14ac:dyDescent="0.25">
      <c r="H33" t="s">
        <v>135</v>
      </c>
    </row>
    <row r="34" spans="8:8" x14ac:dyDescent="0.25">
      <c r="H34" t="s">
        <v>8318</v>
      </c>
    </row>
    <row r="35" spans="8:8" x14ac:dyDescent="0.25">
      <c r="H35" t="s">
        <v>30</v>
      </c>
    </row>
    <row r="37" spans="8:8" x14ac:dyDescent="0.25">
      <c r="H37" t="s">
        <v>8319</v>
      </c>
    </row>
    <row r="38" spans="8:8" x14ac:dyDescent="0.25">
      <c r="H38" t="s">
        <v>8320</v>
      </c>
    </row>
    <row r="39" spans="8:8" x14ac:dyDescent="0.25">
      <c r="H39" t="s">
        <v>135</v>
      </c>
    </row>
    <row r="40" spans="8:8" x14ac:dyDescent="0.25">
      <c r="H40" t="s">
        <v>8321</v>
      </c>
    </row>
    <row r="41" spans="8:8" x14ac:dyDescent="0.25">
      <c r="H41" t="s">
        <v>30</v>
      </c>
    </row>
    <row r="43" spans="8:8" x14ac:dyDescent="0.25">
      <c r="H43" t="s">
        <v>8322</v>
      </c>
    </row>
    <row r="44" spans="8:8" x14ac:dyDescent="0.25">
      <c r="H44" t="s">
        <v>8323</v>
      </c>
    </row>
    <row r="45" spans="8:8" x14ac:dyDescent="0.25">
      <c r="H45" t="s">
        <v>135</v>
      </c>
    </row>
    <row r="46" spans="8:8" x14ac:dyDescent="0.25">
      <c r="H46" t="s">
        <v>8324</v>
      </c>
    </row>
    <row r="47" spans="8:8" x14ac:dyDescent="0.25">
      <c r="H47" t="s">
        <v>30</v>
      </c>
    </row>
    <row r="49" spans="8:8" x14ac:dyDescent="0.25">
      <c r="H49" t="s">
        <v>8325</v>
      </c>
    </row>
    <row r="50" spans="8:8" x14ac:dyDescent="0.25">
      <c r="H50" t="s">
        <v>8326</v>
      </c>
    </row>
    <row r="51" spans="8:8" x14ac:dyDescent="0.25">
      <c r="H51" t="s">
        <v>135</v>
      </c>
    </row>
    <row r="52" spans="8:8" x14ac:dyDescent="0.25">
      <c r="H52" t="s">
        <v>8327</v>
      </c>
    </row>
    <row r="53" spans="8:8" x14ac:dyDescent="0.25">
      <c r="H53" t="s">
        <v>30</v>
      </c>
    </row>
    <row r="55" spans="8:8" x14ac:dyDescent="0.25">
      <c r="H55" t="s">
        <v>8328</v>
      </c>
    </row>
    <row r="56" spans="8:8" x14ac:dyDescent="0.25">
      <c r="H56" t="s">
        <v>8329</v>
      </c>
    </row>
    <row r="57" spans="8:8" x14ac:dyDescent="0.25">
      <c r="H57" t="s">
        <v>135</v>
      </c>
    </row>
    <row r="58" spans="8:8" x14ac:dyDescent="0.25">
      <c r="H58" t="s">
        <v>8330</v>
      </c>
    </row>
    <row r="59" spans="8:8" x14ac:dyDescent="0.25">
      <c r="H59" t="s">
        <v>30</v>
      </c>
    </row>
    <row r="61" spans="8:8" x14ac:dyDescent="0.25">
      <c r="H61" t="s">
        <v>8331</v>
      </c>
    </row>
    <row r="62" spans="8:8" x14ac:dyDescent="0.25">
      <c r="H62" t="s">
        <v>8332</v>
      </c>
    </row>
    <row r="63" spans="8:8" x14ac:dyDescent="0.25">
      <c r="H63" t="s">
        <v>135</v>
      </c>
    </row>
    <row r="64" spans="8:8" x14ac:dyDescent="0.25">
      <c r="H64" t="s">
        <v>8333</v>
      </c>
    </row>
    <row r="65" spans="8:8" x14ac:dyDescent="0.25">
      <c r="H65" t="s">
        <v>30</v>
      </c>
    </row>
    <row r="66" spans="8:8" x14ac:dyDescent="0.25">
      <c r="H66" t="s">
        <v>136</v>
      </c>
    </row>
    <row r="67" spans="8:8" x14ac:dyDescent="0.25">
      <c r="H67" t="s">
        <v>8334</v>
      </c>
    </row>
    <row r="68" spans="8:8" x14ac:dyDescent="0.25">
      <c r="H68" t="s">
        <v>30</v>
      </c>
    </row>
    <row r="69" spans="8:8" x14ac:dyDescent="0.25">
      <c r="H69" t="s">
        <v>8335</v>
      </c>
    </row>
    <row r="70" spans="8:8" x14ac:dyDescent="0.25">
      <c r="H70" t="s">
        <v>137</v>
      </c>
    </row>
    <row r="71" spans="8:8" x14ac:dyDescent="0.25">
      <c r="H71" t="s">
        <v>8336</v>
      </c>
    </row>
    <row r="72" spans="8:8" x14ac:dyDescent="0.25">
      <c r="H72" t="s">
        <v>30</v>
      </c>
    </row>
    <row r="74" spans="8:8" x14ac:dyDescent="0.25">
      <c r="H74" t="s">
        <v>8337</v>
      </c>
    </row>
    <row r="75" spans="8:8" x14ac:dyDescent="0.25">
      <c r="H75" t="s">
        <v>8338</v>
      </c>
    </row>
    <row r="76" spans="8:8" x14ac:dyDescent="0.25">
      <c r="H76" t="s">
        <v>135</v>
      </c>
    </row>
    <row r="77" spans="8:8" x14ac:dyDescent="0.25">
      <c r="H77" t="s">
        <v>23412</v>
      </c>
    </row>
    <row r="78" spans="8:8" x14ac:dyDescent="0.25">
      <c r="H78" t="s">
        <v>30</v>
      </c>
    </row>
    <row r="80" spans="8:8" x14ac:dyDescent="0.25">
      <c r="H80" t="s">
        <v>8339</v>
      </c>
    </row>
    <row r="81" spans="8:8" x14ac:dyDescent="0.25">
      <c r="H81" t="s">
        <v>8340</v>
      </c>
    </row>
    <row r="82" spans="8:8" x14ac:dyDescent="0.25">
      <c r="H82" t="s">
        <v>135</v>
      </c>
    </row>
    <row r="83" spans="8:8" x14ac:dyDescent="0.25">
      <c r="H83" t="s">
        <v>8341</v>
      </c>
    </row>
    <row r="84" spans="8:8" x14ac:dyDescent="0.25">
      <c r="H84" t="s">
        <v>30</v>
      </c>
    </row>
    <row r="86" spans="8:8" x14ac:dyDescent="0.25">
      <c r="H86" t="s">
        <v>8342</v>
      </c>
    </row>
    <row r="87" spans="8:8" x14ac:dyDescent="0.25">
      <c r="H87" t="s">
        <v>8343</v>
      </c>
    </row>
    <row r="88" spans="8:8" x14ac:dyDescent="0.25">
      <c r="H88" t="s">
        <v>135</v>
      </c>
    </row>
    <row r="89" spans="8:8" x14ac:dyDescent="0.25">
      <c r="H89" t="s">
        <v>8344</v>
      </c>
    </row>
    <row r="90" spans="8:8" x14ac:dyDescent="0.25">
      <c r="H90" t="s">
        <v>30</v>
      </c>
    </row>
    <row r="92" spans="8:8" x14ac:dyDescent="0.25">
      <c r="H92" t="s">
        <v>8345</v>
      </c>
    </row>
    <row r="93" spans="8:8" x14ac:dyDescent="0.25">
      <c r="H93" t="s">
        <v>8346</v>
      </c>
    </row>
    <row r="94" spans="8:8" x14ac:dyDescent="0.25">
      <c r="H94" t="s">
        <v>135</v>
      </c>
    </row>
    <row r="95" spans="8:8" x14ac:dyDescent="0.25">
      <c r="H95" t="s">
        <v>8347</v>
      </c>
    </row>
    <row r="96" spans="8:8" x14ac:dyDescent="0.25">
      <c r="H96" t="s">
        <v>30</v>
      </c>
    </row>
    <row r="98" spans="8:8" x14ac:dyDescent="0.25">
      <c r="H98" t="s">
        <v>8348</v>
      </c>
    </row>
    <row r="99" spans="8:8" x14ac:dyDescent="0.25">
      <c r="H99" t="s">
        <v>8349</v>
      </c>
    </row>
    <row r="100" spans="8:8" x14ac:dyDescent="0.25">
      <c r="H100" t="s">
        <v>135</v>
      </c>
    </row>
    <row r="101" spans="8:8" x14ac:dyDescent="0.25">
      <c r="H101" t="s">
        <v>8350</v>
      </c>
    </row>
    <row r="102" spans="8:8" x14ac:dyDescent="0.25">
      <c r="H102" t="s">
        <v>30</v>
      </c>
    </row>
    <row r="104" spans="8:8" x14ac:dyDescent="0.25">
      <c r="H104" t="s">
        <v>8351</v>
      </c>
    </row>
    <row r="105" spans="8:8" x14ac:dyDescent="0.25">
      <c r="H105" t="s">
        <v>8352</v>
      </c>
    </row>
    <row r="106" spans="8:8" x14ac:dyDescent="0.25">
      <c r="H106" t="s">
        <v>135</v>
      </c>
    </row>
    <row r="107" spans="8:8" x14ac:dyDescent="0.25">
      <c r="H107" t="s">
        <v>8353</v>
      </c>
    </row>
    <row r="108" spans="8:8" x14ac:dyDescent="0.25">
      <c r="H108" t="s">
        <v>30</v>
      </c>
    </row>
    <row r="110" spans="8:8" x14ac:dyDescent="0.25">
      <c r="H110" t="s">
        <v>8354</v>
      </c>
    </row>
    <row r="111" spans="8:8" x14ac:dyDescent="0.25">
      <c r="H111" t="s">
        <v>8355</v>
      </c>
    </row>
    <row r="112" spans="8:8" x14ac:dyDescent="0.25">
      <c r="H112" t="s">
        <v>135</v>
      </c>
    </row>
    <row r="113" spans="8:8" x14ac:dyDescent="0.25">
      <c r="H113" t="s">
        <v>8356</v>
      </c>
    </row>
    <row r="114" spans="8:8" x14ac:dyDescent="0.25">
      <c r="H114" t="s">
        <v>30</v>
      </c>
    </row>
    <row r="115" spans="8:8" x14ac:dyDescent="0.25">
      <c r="H115" t="s">
        <v>136</v>
      </c>
    </row>
    <row r="116" spans="8:8" x14ac:dyDescent="0.25">
      <c r="H116" t="s">
        <v>8357</v>
      </c>
    </row>
    <row r="117" spans="8:8" x14ac:dyDescent="0.25">
      <c r="H117" t="s">
        <v>30</v>
      </c>
    </row>
    <row r="119" spans="8:8" x14ac:dyDescent="0.25">
      <c r="H119" t="s">
        <v>8358</v>
      </c>
    </row>
    <row r="120" spans="8:8" x14ac:dyDescent="0.25">
      <c r="H120" t="s">
        <v>8359</v>
      </c>
    </row>
    <row r="121" spans="8:8" x14ac:dyDescent="0.25">
      <c r="H121" t="s">
        <v>135</v>
      </c>
    </row>
    <row r="122" spans="8:8" x14ac:dyDescent="0.25">
      <c r="H122" t="s">
        <v>8360</v>
      </c>
    </row>
    <row r="123" spans="8:8" x14ac:dyDescent="0.25">
      <c r="H123" t="s">
        <v>30</v>
      </c>
    </row>
    <row r="124" spans="8:8" x14ac:dyDescent="0.25">
      <c r="H124" t="s">
        <v>136</v>
      </c>
    </row>
    <row r="125" spans="8:8" x14ac:dyDescent="0.25">
      <c r="H125" t="s">
        <v>8361</v>
      </c>
    </row>
    <row r="126" spans="8:8" x14ac:dyDescent="0.25">
      <c r="H126" t="s">
        <v>30</v>
      </c>
    </row>
    <row r="127" spans="8:8" x14ac:dyDescent="0.25">
      <c r="H127" t="s">
        <v>137</v>
      </c>
    </row>
    <row r="128" spans="8:8" x14ac:dyDescent="0.25">
      <c r="H128" t="s">
        <v>8362</v>
      </c>
    </row>
    <row r="129" spans="8:8" x14ac:dyDescent="0.25">
      <c r="H129" t="s">
        <v>30</v>
      </c>
    </row>
    <row r="130" spans="8:8" x14ac:dyDescent="0.25">
      <c r="H130" t="s">
        <v>138</v>
      </c>
    </row>
    <row r="131" spans="8:8" x14ac:dyDescent="0.25">
      <c r="H131" t="s">
        <v>8363</v>
      </c>
    </row>
    <row r="132" spans="8:8" x14ac:dyDescent="0.25">
      <c r="H132" t="s">
        <v>30</v>
      </c>
    </row>
    <row r="134" spans="8:8" x14ac:dyDescent="0.25">
      <c r="H134" t="s">
        <v>8364</v>
      </c>
    </row>
    <row r="135" spans="8:8" x14ac:dyDescent="0.25">
      <c r="H135" t="s">
        <v>8365</v>
      </c>
    </row>
    <row r="136" spans="8:8" x14ac:dyDescent="0.25">
      <c r="H136" t="s">
        <v>135</v>
      </c>
    </row>
    <row r="137" spans="8:8" x14ac:dyDescent="0.25">
      <c r="H137" t="s">
        <v>8366</v>
      </c>
    </row>
    <row r="138" spans="8:8" x14ac:dyDescent="0.25">
      <c r="H138" t="s">
        <v>30</v>
      </c>
    </row>
    <row r="140" spans="8:8" x14ac:dyDescent="0.25">
      <c r="H140" t="s">
        <v>8367</v>
      </c>
    </row>
    <row r="141" spans="8:8" x14ac:dyDescent="0.25">
      <c r="H141" t="s">
        <v>8368</v>
      </c>
    </row>
    <row r="142" spans="8:8" x14ac:dyDescent="0.25">
      <c r="H142" t="s">
        <v>135</v>
      </c>
    </row>
    <row r="143" spans="8:8" x14ac:dyDescent="0.25">
      <c r="H143" t="s">
        <v>8369</v>
      </c>
    </row>
    <row r="144" spans="8:8" x14ac:dyDescent="0.25">
      <c r="H144" t="s">
        <v>30</v>
      </c>
    </row>
    <row r="146" spans="8:8" x14ac:dyDescent="0.25">
      <c r="H146" t="s">
        <v>8370</v>
      </c>
    </row>
    <row r="147" spans="8:8" x14ac:dyDescent="0.25">
      <c r="H147" t="s">
        <v>8371</v>
      </c>
    </row>
    <row r="148" spans="8:8" x14ac:dyDescent="0.25">
      <c r="H148" t="s">
        <v>135</v>
      </c>
    </row>
    <row r="149" spans="8:8" x14ac:dyDescent="0.25">
      <c r="H149" t="s">
        <v>8372</v>
      </c>
    </row>
    <row r="150" spans="8:8" x14ac:dyDescent="0.25">
      <c r="H150" t="s">
        <v>30</v>
      </c>
    </row>
    <row r="152" spans="8:8" x14ac:dyDescent="0.25">
      <c r="H152" t="s">
        <v>8373</v>
      </c>
    </row>
    <row r="153" spans="8:8" x14ac:dyDescent="0.25">
      <c r="H153" t="s">
        <v>8374</v>
      </c>
    </row>
    <row r="154" spans="8:8" x14ac:dyDescent="0.25">
      <c r="H154" t="s">
        <v>135</v>
      </c>
    </row>
    <row r="155" spans="8:8" x14ac:dyDescent="0.25">
      <c r="H155" t="s">
        <v>8375</v>
      </c>
    </row>
    <row r="156" spans="8:8" x14ac:dyDescent="0.25">
      <c r="H156" t="s">
        <v>30</v>
      </c>
    </row>
    <row r="158" spans="8:8" x14ac:dyDescent="0.25">
      <c r="H158" t="s">
        <v>8376</v>
      </c>
    </row>
    <row r="159" spans="8:8" x14ac:dyDescent="0.25">
      <c r="H159" t="s">
        <v>8377</v>
      </c>
    </row>
    <row r="160" spans="8:8" x14ac:dyDescent="0.25">
      <c r="H160" t="s">
        <v>135</v>
      </c>
    </row>
    <row r="161" spans="8:8" x14ac:dyDescent="0.25">
      <c r="H161" t="s">
        <v>8378</v>
      </c>
    </row>
    <row r="162" spans="8:8" x14ac:dyDescent="0.25">
      <c r="H162" t="s">
        <v>30</v>
      </c>
    </row>
    <row r="164" spans="8:8" x14ac:dyDescent="0.25">
      <c r="H164" t="s">
        <v>8379</v>
      </c>
    </row>
    <row r="165" spans="8:8" x14ac:dyDescent="0.25">
      <c r="H165" t="s">
        <v>8380</v>
      </c>
    </row>
    <row r="166" spans="8:8" x14ac:dyDescent="0.25">
      <c r="H166" t="s">
        <v>135</v>
      </c>
    </row>
    <row r="167" spans="8:8" x14ac:dyDescent="0.25">
      <c r="H167" t="s">
        <v>8381</v>
      </c>
    </row>
    <row r="168" spans="8:8" x14ac:dyDescent="0.25">
      <c r="H168" t="s">
        <v>30</v>
      </c>
    </row>
    <row r="170" spans="8:8" x14ac:dyDescent="0.25">
      <c r="H170" t="s">
        <v>8382</v>
      </c>
    </row>
    <row r="171" spans="8:8" x14ac:dyDescent="0.25">
      <c r="H171" t="s">
        <v>8383</v>
      </c>
    </row>
    <row r="172" spans="8:8" x14ac:dyDescent="0.25">
      <c r="H172" t="s">
        <v>135</v>
      </c>
    </row>
    <row r="173" spans="8:8" x14ac:dyDescent="0.25">
      <c r="H173" t="s">
        <v>8384</v>
      </c>
    </row>
    <row r="174" spans="8:8" x14ac:dyDescent="0.25">
      <c r="H174" t="s">
        <v>30</v>
      </c>
    </row>
    <row r="176" spans="8:8" x14ac:dyDescent="0.25">
      <c r="H176" t="s">
        <v>8385</v>
      </c>
    </row>
    <row r="177" spans="8:8" x14ac:dyDescent="0.25">
      <c r="H177" t="s">
        <v>8386</v>
      </c>
    </row>
    <row r="178" spans="8:8" x14ac:dyDescent="0.25">
      <c r="H178" t="s">
        <v>135</v>
      </c>
    </row>
    <row r="179" spans="8:8" x14ac:dyDescent="0.25">
      <c r="H179" t="s">
        <v>8387</v>
      </c>
    </row>
    <row r="180" spans="8:8" x14ac:dyDescent="0.25">
      <c r="H180" t="s">
        <v>30</v>
      </c>
    </row>
    <row r="182" spans="8:8" x14ac:dyDescent="0.25">
      <c r="H182" t="s">
        <v>8388</v>
      </c>
    </row>
    <row r="183" spans="8:8" x14ac:dyDescent="0.25">
      <c r="H183" t="s">
        <v>8389</v>
      </c>
    </row>
    <row r="184" spans="8:8" x14ac:dyDescent="0.25">
      <c r="H184" t="s">
        <v>135</v>
      </c>
    </row>
    <row r="185" spans="8:8" x14ac:dyDescent="0.25">
      <c r="H185" t="s">
        <v>8390</v>
      </c>
    </row>
    <row r="186" spans="8:8" x14ac:dyDescent="0.25">
      <c r="H186" t="s">
        <v>30</v>
      </c>
    </row>
    <row r="188" spans="8:8" x14ac:dyDescent="0.25">
      <c r="H188" t="s">
        <v>8391</v>
      </c>
    </row>
    <row r="189" spans="8:8" x14ac:dyDescent="0.25">
      <c r="H189" t="s">
        <v>8392</v>
      </c>
    </row>
    <row r="190" spans="8:8" x14ac:dyDescent="0.25">
      <c r="H190" t="s">
        <v>135</v>
      </c>
    </row>
    <row r="191" spans="8:8" x14ac:dyDescent="0.25">
      <c r="H191" t="s">
        <v>8393</v>
      </c>
    </row>
    <row r="192" spans="8:8" x14ac:dyDescent="0.25">
      <c r="H192" t="s">
        <v>30</v>
      </c>
    </row>
    <row r="194" spans="8:8" x14ac:dyDescent="0.25">
      <c r="H194" t="s">
        <v>8394</v>
      </c>
    </row>
    <row r="195" spans="8:8" x14ac:dyDescent="0.25">
      <c r="H195" t="s">
        <v>8395</v>
      </c>
    </row>
    <row r="196" spans="8:8" x14ac:dyDescent="0.25">
      <c r="H196" t="s">
        <v>135</v>
      </c>
    </row>
    <row r="197" spans="8:8" x14ac:dyDescent="0.25">
      <c r="H197" t="s">
        <v>8396</v>
      </c>
    </row>
    <row r="198" spans="8:8" x14ac:dyDescent="0.25">
      <c r="H198" t="s">
        <v>30</v>
      </c>
    </row>
    <row r="200" spans="8:8" x14ac:dyDescent="0.25">
      <c r="H200" t="s">
        <v>8397</v>
      </c>
    </row>
    <row r="201" spans="8:8" x14ac:dyDescent="0.25">
      <c r="H201" t="s">
        <v>8398</v>
      </c>
    </row>
    <row r="202" spans="8:8" x14ac:dyDescent="0.25">
      <c r="H202" t="s">
        <v>135</v>
      </c>
    </row>
    <row r="203" spans="8:8" x14ac:dyDescent="0.25">
      <c r="H203" t="s">
        <v>8399</v>
      </c>
    </row>
    <row r="204" spans="8:8" x14ac:dyDescent="0.25">
      <c r="H204" t="s">
        <v>30</v>
      </c>
    </row>
    <row r="206" spans="8:8" x14ac:dyDescent="0.25">
      <c r="H206" t="s">
        <v>8400</v>
      </c>
    </row>
    <row r="207" spans="8:8" x14ac:dyDescent="0.25">
      <c r="H207" t="s">
        <v>8401</v>
      </c>
    </row>
    <row r="208" spans="8:8" x14ac:dyDescent="0.25">
      <c r="H208" t="s">
        <v>135</v>
      </c>
    </row>
    <row r="209" spans="8:8" x14ac:dyDescent="0.25">
      <c r="H209" t="s">
        <v>8402</v>
      </c>
    </row>
    <row r="210" spans="8:8" x14ac:dyDescent="0.25">
      <c r="H210" t="s">
        <v>30</v>
      </c>
    </row>
    <row r="212" spans="8:8" x14ac:dyDescent="0.25">
      <c r="H212" t="s">
        <v>8403</v>
      </c>
    </row>
    <row r="213" spans="8:8" x14ac:dyDescent="0.25">
      <c r="H213" t="s">
        <v>8404</v>
      </c>
    </row>
    <row r="214" spans="8:8" x14ac:dyDescent="0.25">
      <c r="H214" t="s">
        <v>135</v>
      </c>
    </row>
    <row r="215" spans="8:8" x14ac:dyDescent="0.25">
      <c r="H215" t="s">
        <v>8405</v>
      </c>
    </row>
    <row r="216" spans="8:8" x14ac:dyDescent="0.25">
      <c r="H216" t="s">
        <v>30</v>
      </c>
    </row>
    <row r="218" spans="8:8" x14ac:dyDescent="0.25">
      <c r="H218" t="s">
        <v>8406</v>
      </c>
    </row>
    <row r="219" spans="8:8" x14ac:dyDescent="0.25">
      <c r="H219" t="s">
        <v>8407</v>
      </c>
    </row>
    <row r="220" spans="8:8" x14ac:dyDescent="0.25">
      <c r="H220" t="s">
        <v>135</v>
      </c>
    </row>
    <row r="221" spans="8:8" x14ac:dyDescent="0.25">
      <c r="H221" t="s">
        <v>8408</v>
      </c>
    </row>
    <row r="222" spans="8:8" x14ac:dyDescent="0.25">
      <c r="H222" t="s">
        <v>30</v>
      </c>
    </row>
    <row r="224" spans="8:8" x14ac:dyDescent="0.25">
      <c r="H224" t="s">
        <v>8409</v>
      </c>
    </row>
    <row r="225" spans="8:8" x14ac:dyDescent="0.25">
      <c r="H225" t="s">
        <v>8410</v>
      </c>
    </row>
    <row r="226" spans="8:8" x14ac:dyDescent="0.25">
      <c r="H226" t="s">
        <v>135</v>
      </c>
    </row>
    <row r="227" spans="8:8" x14ac:dyDescent="0.25">
      <c r="H227" t="s">
        <v>8411</v>
      </c>
    </row>
    <row r="228" spans="8:8" x14ac:dyDescent="0.25">
      <c r="H228" t="s">
        <v>30</v>
      </c>
    </row>
    <row r="230" spans="8:8" x14ac:dyDescent="0.25">
      <c r="H230" t="s">
        <v>8412</v>
      </c>
    </row>
    <row r="231" spans="8:8" x14ac:dyDescent="0.25">
      <c r="H231" t="s">
        <v>8413</v>
      </c>
    </row>
    <row r="232" spans="8:8" x14ac:dyDescent="0.25">
      <c r="H232" t="s">
        <v>135</v>
      </c>
    </row>
    <row r="233" spans="8:8" x14ac:dyDescent="0.25">
      <c r="H233" t="s">
        <v>8414</v>
      </c>
    </row>
    <row r="234" spans="8:8" x14ac:dyDescent="0.25">
      <c r="H234" t="s">
        <v>30</v>
      </c>
    </row>
    <row r="236" spans="8:8" x14ac:dyDescent="0.25">
      <c r="H236" t="s">
        <v>8415</v>
      </c>
    </row>
    <row r="237" spans="8:8" x14ac:dyDescent="0.25">
      <c r="H237" t="s">
        <v>8416</v>
      </c>
    </row>
    <row r="238" spans="8:8" x14ac:dyDescent="0.25">
      <c r="H238" t="s">
        <v>135</v>
      </c>
    </row>
    <row r="239" spans="8:8" x14ac:dyDescent="0.25">
      <c r="H239" t="s">
        <v>8417</v>
      </c>
    </row>
    <row r="240" spans="8:8" x14ac:dyDescent="0.25">
      <c r="H240" t="s">
        <v>30</v>
      </c>
    </row>
    <row r="242" spans="8:8" x14ac:dyDescent="0.25">
      <c r="H242" t="s">
        <v>8418</v>
      </c>
    </row>
    <row r="243" spans="8:8" x14ac:dyDescent="0.25">
      <c r="H243" t="s">
        <v>8419</v>
      </c>
    </row>
    <row r="244" spans="8:8" x14ac:dyDescent="0.25">
      <c r="H244" t="s">
        <v>135</v>
      </c>
    </row>
    <row r="245" spans="8:8" x14ac:dyDescent="0.25">
      <c r="H245" t="s">
        <v>8420</v>
      </c>
    </row>
    <row r="246" spans="8:8" x14ac:dyDescent="0.25">
      <c r="H246" t="s">
        <v>30</v>
      </c>
    </row>
    <row r="248" spans="8:8" x14ac:dyDescent="0.25">
      <c r="H248" t="s">
        <v>8421</v>
      </c>
    </row>
    <row r="249" spans="8:8" x14ac:dyDescent="0.25">
      <c r="H249" t="s">
        <v>8422</v>
      </c>
    </row>
    <row r="250" spans="8:8" x14ac:dyDescent="0.25">
      <c r="H250" t="s">
        <v>135</v>
      </c>
    </row>
    <row r="251" spans="8:8" x14ac:dyDescent="0.25">
      <c r="H251" t="s">
        <v>8423</v>
      </c>
    </row>
    <row r="252" spans="8:8" x14ac:dyDescent="0.25">
      <c r="H252" t="s">
        <v>30</v>
      </c>
    </row>
    <row r="254" spans="8:8" x14ac:dyDescent="0.25">
      <c r="H254" t="s">
        <v>8424</v>
      </c>
    </row>
    <row r="255" spans="8:8" x14ac:dyDescent="0.25">
      <c r="H255" t="s">
        <v>8425</v>
      </c>
    </row>
    <row r="256" spans="8:8" x14ac:dyDescent="0.25">
      <c r="H256" t="s">
        <v>135</v>
      </c>
    </row>
    <row r="257" spans="8:8" x14ac:dyDescent="0.25">
      <c r="H257" t="s">
        <v>8426</v>
      </c>
    </row>
    <row r="258" spans="8:8" x14ac:dyDescent="0.25">
      <c r="H258" t="s">
        <v>30</v>
      </c>
    </row>
    <row r="260" spans="8:8" x14ac:dyDescent="0.25">
      <c r="H260" t="s">
        <v>8427</v>
      </c>
    </row>
    <row r="261" spans="8:8" x14ac:dyDescent="0.25">
      <c r="H261" t="s">
        <v>8428</v>
      </c>
    </row>
    <row r="262" spans="8:8" x14ac:dyDescent="0.25">
      <c r="H262" t="s">
        <v>135</v>
      </c>
    </row>
    <row r="263" spans="8:8" x14ac:dyDescent="0.25">
      <c r="H263" t="s">
        <v>8429</v>
      </c>
    </row>
    <row r="264" spans="8:8" x14ac:dyDescent="0.25">
      <c r="H264" t="s">
        <v>30</v>
      </c>
    </row>
    <row r="266" spans="8:8" x14ac:dyDescent="0.25">
      <c r="H266" t="s">
        <v>8430</v>
      </c>
    </row>
    <row r="267" spans="8:8" x14ac:dyDescent="0.25">
      <c r="H267" t="s">
        <v>8431</v>
      </c>
    </row>
    <row r="268" spans="8:8" x14ac:dyDescent="0.25">
      <c r="H268" t="s">
        <v>135</v>
      </c>
    </row>
    <row r="269" spans="8:8" x14ac:dyDescent="0.25">
      <c r="H269" t="s">
        <v>8432</v>
      </c>
    </row>
    <row r="270" spans="8:8" x14ac:dyDescent="0.25">
      <c r="H270" t="s">
        <v>30</v>
      </c>
    </row>
    <row r="272" spans="8:8" x14ac:dyDescent="0.25">
      <c r="H272" t="s">
        <v>8433</v>
      </c>
    </row>
    <row r="273" spans="8:8" x14ac:dyDescent="0.25">
      <c r="H273" t="s">
        <v>8434</v>
      </c>
    </row>
    <row r="274" spans="8:8" x14ac:dyDescent="0.25">
      <c r="H274" t="s">
        <v>135</v>
      </c>
    </row>
    <row r="275" spans="8:8" x14ac:dyDescent="0.25">
      <c r="H275" t="s">
        <v>8435</v>
      </c>
    </row>
    <row r="276" spans="8:8" x14ac:dyDescent="0.25">
      <c r="H276" t="s">
        <v>30</v>
      </c>
    </row>
    <row r="277" spans="8:8" x14ac:dyDescent="0.25">
      <c r="H277" t="s">
        <v>8436</v>
      </c>
    </row>
    <row r="278" spans="8:8" x14ac:dyDescent="0.25">
      <c r="H278" t="s">
        <v>136</v>
      </c>
    </row>
    <row r="279" spans="8:8" x14ac:dyDescent="0.25">
      <c r="H279" t="s">
        <v>8437</v>
      </c>
    </row>
    <row r="280" spans="8:8" x14ac:dyDescent="0.25">
      <c r="H280" t="s">
        <v>30</v>
      </c>
    </row>
    <row r="281" spans="8:8" x14ac:dyDescent="0.25">
      <c r="H281" t="s">
        <v>8438</v>
      </c>
    </row>
    <row r="282" spans="8:8" x14ac:dyDescent="0.25">
      <c r="H282" t="s">
        <v>137</v>
      </c>
    </row>
    <row r="283" spans="8:8" x14ac:dyDescent="0.25">
      <c r="H283" t="s">
        <v>8439</v>
      </c>
    </row>
    <row r="284" spans="8:8" x14ac:dyDescent="0.25">
      <c r="H284" t="s">
        <v>30</v>
      </c>
    </row>
    <row r="285" spans="8:8" x14ac:dyDescent="0.25">
      <c r="H285" t="s">
        <v>138</v>
      </c>
    </row>
    <row r="286" spans="8:8" x14ac:dyDescent="0.25">
      <c r="H286" t="s">
        <v>8440</v>
      </c>
    </row>
    <row r="287" spans="8:8" x14ac:dyDescent="0.25">
      <c r="H287" t="s">
        <v>30</v>
      </c>
    </row>
    <row r="289" spans="8:8" x14ac:dyDescent="0.25">
      <c r="H289" t="s">
        <v>8441</v>
      </c>
    </row>
    <row r="290" spans="8:8" x14ac:dyDescent="0.25">
      <c r="H290" t="s">
        <v>8442</v>
      </c>
    </row>
    <row r="291" spans="8:8" x14ac:dyDescent="0.25">
      <c r="H291" t="s">
        <v>135</v>
      </c>
    </row>
    <row r="292" spans="8:8" x14ac:dyDescent="0.25">
      <c r="H292" t="s">
        <v>8443</v>
      </c>
    </row>
    <row r="293" spans="8:8" x14ac:dyDescent="0.25">
      <c r="H293" t="s">
        <v>30</v>
      </c>
    </row>
    <row r="294" spans="8:8" x14ac:dyDescent="0.25">
      <c r="H294" t="s">
        <v>8444</v>
      </c>
    </row>
    <row r="295" spans="8:8" x14ac:dyDescent="0.25">
      <c r="H295" t="s">
        <v>137</v>
      </c>
    </row>
    <row r="296" spans="8:8" x14ac:dyDescent="0.25">
      <c r="H296" t="s">
        <v>8445</v>
      </c>
    </row>
    <row r="297" spans="8:8" x14ac:dyDescent="0.25">
      <c r="H297" t="s">
        <v>30</v>
      </c>
    </row>
    <row r="298" spans="8:8" x14ac:dyDescent="0.25">
      <c r="H298" t="s">
        <v>138</v>
      </c>
    </row>
    <row r="299" spans="8:8" x14ac:dyDescent="0.25">
      <c r="H299" t="s">
        <v>8446</v>
      </c>
    </row>
    <row r="300" spans="8:8" x14ac:dyDescent="0.25">
      <c r="H300" t="s">
        <v>30</v>
      </c>
    </row>
    <row r="302" spans="8:8" x14ac:dyDescent="0.25">
      <c r="H302" t="s">
        <v>8447</v>
      </c>
    </row>
    <row r="303" spans="8:8" x14ac:dyDescent="0.25">
      <c r="H303" t="s">
        <v>8448</v>
      </c>
    </row>
    <row r="304" spans="8:8" x14ac:dyDescent="0.25">
      <c r="H304" t="s">
        <v>135</v>
      </c>
    </row>
    <row r="305" spans="8:8" x14ac:dyDescent="0.25">
      <c r="H305" t="s">
        <v>8449</v>
      </c>
    </row>
    <row r="306" spans="8:8" x14ac:dyDescent="0.25">
      <c r="H306" t="s">
        <v>30</v>
      </c>
    </row>
    <row r="307" spans="8:8" x14ac:dyDescent="0.25">
      <c r="H307" t="s">
        <v>8450</v>
      </c>
    </row>
    <row r="308" spans="8:8" x14ac:dyDescent="0.25">
      <c r="H308" t="s">
        <v>136</v>
      </c>
    </row>
    <row r="309" spans="8:8" x14ac:dyDescent="0.25">
      <c r="H309" t="s">
        <v>8451</v>
      </c>
    </row>
    <row r="310" spans="8:8" x14ac:dyDescent="0.25">
      <c r="H310" t="s">
        <v>30</v>
      </c>
    </row>
    <row r="311" spans="8:8" x14ac:dyDescent="0.25">
      <c r="H311" t="s">
        <v>8452</v>
      </c>
    </row>
    <row r="312" spans="8:8" x14ac:dyDescent="0.25">
      <c r="H312" t="s">
        <v>137</v>
      </c>
    </row>
    <row r="313" spans="8:8" x14ac:dyDescent="0.25">
      <c r="H313" t="s">
        <v>8453</v>
      </c>
    </row>
    <row r="314" spans="8:8" x14ac:dyDescent="0.25">
      <c r="H314" t="s">
        <v>30</v>
      </c>
    </row>
    <row r="315" spans="8:8" x14ac:dyDescent="0.25">
      <c r="H315" t="s">
        <v>8454</v>
      </c>
    </row>
    <row r="316" spans="8:8" x14ac:dyDescent="0.25">
      <c r="H316" t="s">
        <v>138</v>
      </c>
    </row>
    <row r="317" spans="8:8" x14ac:dyDescent="0.25">
      <c r="H317" t="s">
        <v>8455</v>
      </c>
    </row>
    <row r="318" spans="8:8" x14ac:dyDescent="0.25">
      <c r="H318" t="s">
        <v>30</v>
      </c>
    </row>
    <row r="320" spans="8:8" x14ac:dyDescent="0.25">
      <c r="H320" t="s">
        <v>8456</v>
      </c>
    </row>
    <row r="321" spans="8:8" x14ac:dyDescent="0.25">
      <c r="H321" t="s">
        <v>8457</v>
      </c>
    </row>
    <row r="322" spans="8:8" x14ac:dyDescent="0.25">
      <c r="H322" t="s">
        <v>135</v>
      </c>
    </row>
    <row r="323" spans="8:8" x14ac:dyDescent="0.25">
      <c r="H323" t="s">
        <v>8458</v>
      </c>
    </row>
    <row r="324" spans="8:8" x14ac:dyDescent="0.25">
      <c r="H324" t="s">
        <v>30</v>
      </c>
    </row>
    <row r="326" spans="8:8" x14ac:dyDescent="0.25">
      <c r="H326" t="s">
        <v>8459</v>
      </c>
    </row>
    <row r="327" spans="8:8" x14ac:dyDescent="0.25">
      <c r="H327" t="s">
        <v>8460</v>
      </c>
    </row>
    <row r="328" spans="8:8" x14ac:dyDescent="0.25">
      <c r="H328" t="s">
        <v>135</v>
      </c>
    </row>
    <row r="329" spans="8:8" x14ac:dyDescent="0.25">
      <c r="H329" t="s">
        <v>8461</v>
      </c>
    </row>
    <row r="330" spans="8:8" x14ac:dyDescent="0.25">
      <c r="H330" t="s">
        <v>30</v>
      </c>
    </row>
    <row r="332" spans="8:8" x14ac:dyDescent="0.25">
      <c r="H332" t="s">
        <v>8462</v>
      </c>
    </row>
    <row r="333" spans="8:8" x14ac:dyDescent="0.25">
      <c r="H333" t="s">
        <v>8463</v>
      </c>
    </row>
    <row r="334" spans="8:8" x14ac:dyDescent="0.25">
      <c r="H334" t="s">
        <v>135</v>
      </c>
    </row>
    <row r="335" spans="8:8" x14ac:dyDescent="0.25">
      <c r="H335" t="s">
        <v>8464</v>
      </c>
    </row>
    <row r="336" spans="8:8" x14ac:dyDescent="0.25">
      <c r="H336" t="s">
        <v>30</v>
      </c>
    </row>
    <row r="338" spans="8:8" x14ac:dyDescent="0.25">
      <c r="H338" t="s">
        <v>8465</v>
      </c>
    </row>
    <row r="339" spans="8:8" x14ac:dyDescent="0.25">
      <c r="H339" t="s">
        <v>8466</v>
      </c>
    </row>
    <row r="340" spans="8:8" x14ac:dyDescent="0.25">
      <c r="H340" t="s">
        <v>135</v>
      </c>
    </row>
    <row r="341" spans="8:8" x14ac:dyDescent="0.25">
      <c r="H341" t="s">
        <v>8467</v>
      </c>
    </row>
    <row r="342" spans="8:8" x14ac:dyDescent="0.25">
      <c r="H342" t="s">
        <v>30</v>
      </c>
    </row>
    <row r="344" spans="8:8" x14ac:dyDescent="0.25">
      <c r="H344" t="s">
        <v>8468</v>
      </c>
    </row>
    <row r="345" spans="8:8" x14ac:dyDescent="0.25">
      <c r="H345" t="s">
        <v>8469</v>
      </c>
    </row>
    <row r="346" spans="8:8" x14ac:dyDescent="0.25">
      <c r="H346" t="s">
        <v>135</v>
      </c>
    </row>
    <row r="347" spans="8:8" x14ac:dyDescent="0.25">
      <c r="H347" t="s">
        <v>8470</v>
      </c>
    </row>
    <row r="348" spans="8:8" x14ac:dyDescent="0.25">
      <c r="H348" t="s">
        <v>30</v>
      </c>
    </row>
    <row r="350" spans="8:8" x14ac:dyDescent="0.25">
      <c r="H350" t="s">
        <v>8471</v>
      </c>
    </row>
    <row r="351" spans="8:8" x14ac:dyDescent="0.25">
      <c r="H351" t="s">
        <v>8472</v>
      </c>
    </row>
    <row r="352" spans="8:8" x14ac:dyDescent="0.25">
      <c r="H352" t="s">
        <v>135</v>
      </c>
    </row>
    <row r="353" spans="8:8" x14ac:dyDescent="0.25">
      <c r="H353" t="s">
        <v>8473</v>
      </c>
    </row>
    <row r="354" spans="8:8" x14ac:dyDescent="0.25">
      <c r="H354" t="s">
        <v>30</v>
      </c>
    </row>
    <row r="355" spans="8:8" x14ac:dyDescent="0.25">
      <c r="H355" t="s">
        <v>8474</v>
      </c>
    </row>
    <row r="356" spans="8:8" x14ac:dyDescent="0.25">
      <c r="H356" t="s">
        <v>137</v>
      </c>
    </row>
    <row r="357" spans="8:8" x14ac:dyDescent="0.25">
      <c r="H357" t="s">
        <v>8475</v>
      </c>
    </row>
    <row r="358" spans="8:8" x14ac:dyDescent="0.25">
      <c r="H358" t="s">
        <v>30</v>
      </c>
    </row>
    <row r="359" spans="8:8" x14ac:dyDescent="0.25">
      <c r="H359" t="s">
        <v>138</v>
      </c>
    </row>
    <row r="360" spans="8:8" x14ac:dyDescent="0.25">
      <c r="H360" t="s">
        <v>8476</v>
      </c>
    </row>
    <row r="361" spans="8:8" x14ac:dyDescent="0.25">
      <c r="H361" t="s">
        <v>30</v>
      </c>
    </row>
    <row r="363" spans="8:8" x14ac:dyDescent="0.25">
      <c r="H363" t="s">
        <v>8477</v>
      </c>
    </row>
    <row r="364" spans="8:8" x14ac:dyDescent="0.25">
      <c r="H364" t="s">
        <v>8478</v>
      </c>
    </row>
    <row r="365" spans="8:8" x14ac:dyDescent="0.25">
      <c r="H365" t="s">
        <v>135</v>
      </c>
    </row>
    <row r="366" spans="8:8" x14ac:dyDescent="0.25">
      <c r="H366" t="s">
        <v>8479</v>
      </c>
    </row>
    <row r="367" spans="8:8" x14ac:dyDescent="0.25">
      <c r="H367" t="s">
        <v>30</v>
      </c>
    </row>
    <row r="368" spans="8:8" x14ac:dyDescent="0.25">
      <c r="H368" t="s">
        <v>8480</v>
      </c>
    </row>
    <row r="369" spans="8:8" x14ac:dyDescent="0.25">
      <c r="H369" t="s">
        <v>137</v>
      </c>
    </row>
    <row r="370" spans="8:8" x14ac:dyDescent="0.25">
      <c r="H370" t="s">
        <v>8481</v>
      </c>
    </row>
    <row r="371" spans="8:8" x14ac:dyDescent="0.25">
      <c r="H371" t="s">
        <v>30</v>
      </c>
    </row>
    <row r="372" spans="8:8" x14ac:dyDescent="0.25">
      <c r="H372" t="s">
        <v>138</v>
      </c>
    </row>
    <row r="373" spans="8:8" x14ac:dyDescent="0.25">
      <c r="H373" t="s">
        <v>8482</v>
      </c>
    </row>
    <row r="374" spans="8:8" x14ac:dyDescent="0.25">
      <c r="H374" t="s">
        <v>30</v>
      </c>
    </row>
    <row r="376" spans="8:8" x14ac:dyDescent="0.25">
      <c r="H376" t="s">
        <v>8483</v>
      </c>
    </row>
    <row r="377" spans="8:8" x14ac:dyDescent="0.25">
      <c r="H377" t="s">
        <v>8484</v>
      </c>
    </row>
    <row r="378" spans="8:8" x14ac:dyDescent="0.25">
      <c r="H378" t="s">
        <v>135</v>
      </c>
    </row>
    <row r="379" spans="8:8" x14ac:dyDescent="0.25">
      <c r="H379" t="s">
        <v>8485</v>
      </c>
    </row>
    <row r="380" spans="8:8" x14ac:dyDescent="0.25">
      <c r="H380" t="s">
        <v>30</v>
      </c>
    </row>
    <row r="381" spans="8:8" x14ac:dyDescent="0.25">
      <c r="H381" t="s">
        <v>8486</v>
      </c>
    </row>
    <row r="382" spans="8:8" x14ac:dyDescent="0.25">
      <c r="H382" t="s">
        <v>137</v>
      </c>
    </row>
    <row r="383" spans="8:8" x14ac:dyDescent="0.25">
      <c r="H383" t="s">
        <v>8487</v>
      </c>
    </row>
    <row r="384" spans="8:8" x14ac:dyDescent="0.25">
      <c r="H384" t="s">
        <v>30</v>
      </c>
    </row>
    <row r="385" spans="8:8" x14ac:dyDescent="0.25">
      <c r="H385" t="s">
        <v>138</v>
      </c>
    </row>
    <row r="386" spans="8:8" x14ac:dyDescent="0.25">
      <c r="H386" t="s">
        <v>8488</v>
      </c>
    </row>
    <row r="387" spans="8:8" x14ac:dyDescent="0.25">
      <c r="H387" t="s">
        <v>30</v>
      </c>
    </row>
    <row r="389" spans="8:8" x14ac:dyDescent="0.25">
      <c r="H389" t="s">
        <v>8489</v>
      </c>
    </row>
    <row r="390" spans="8:8" x14ac:dyDescent="0.25">
      <c r="H390" t="s">
        <v>8490</v>
      </c>
    </row>
    <row r="391" spans="8:8" x14ac:dyDescent="0.25">
      <c r="H391" t="s">
        <v>135</v>
      </c>
    </row>
    <row r="392" spans="8:8" x14ac:dyDescent="0.25">
      <c r="H392" t="s">
        <v>8491</v>
      </c>
    </row>
    <row r="393" spans="8:8" x14ac:dyDescent="0.25">
      <c r="H393" t="s">
        <v>30</v>
      </c>
    </row>
    <row r="394" spans="8:8" x14ac:dyDescent="0.25">
      <c r="H394" t="s">
        <v>136</v>
      </c>
    </row>
    <row r="395" spans="8:8" x14ac:dyDescent="0.25">
      <c r="H395" t="s">
        <v>8492</v>
      </c>
    </row>
    <row r="396" spans="8:8" x14ac:dyDescent="0.25">
      <c r="H396" t="s">
        <v>30</v>
      </c>
    </row>
    <row r="398" spans="8:8" x14ac:dyDescent="0.25">
      <c r="H398" t="s">
        <v>8493</v>
      </c>
    </row>
    <row r="399" spans="8:8" x14ac:dyDescent="0.25">
      <c r="H399" t="s">
        <v>8494</v>
      </c>
    </row>
    <row r="400" spans="8:8" x14ac:dyDescent="0.25">
      <c r="H400" t="s">
        <v>135</v>
      </c>
    </row>
    <row r="401" spans="8:8" x14ac:dyDescent="0.25">
      <c r="H401" t="s">
        <v>8495</v>
      </c>
    </row>
    <row r="402" spans="8:8" x14ac:dyDescent="0.25">
      <c r="H402" t="s">
        <v>30</v>
      </c>
    </row>
    <row r="403" spans="8:8" x14ac:dyDescent="0.25">
      <c r="H403" t="s">
        <v>136</v>
      </c>
    </row>
    <row r="404" spans="8:8" x14ac:dyDescent="0.25">
      <c r="H404" t="s">
        <v>8496</v>
      </c>
    </row>
    <row r="405" spans="8:8" x14ac:dyDescent="0.25">
      <c r="H405" t="s">
        <v>30</v>
      </c>
    </row>
    <row r="406" spans="8:8" x14ac:dyDescent="0.25">
      <c r="H406" t="s">
        <v>137</v>
      </c>
    </row>
    <row r="407" spans="8:8" x14ac:dyDescent="0.25">
      <c r="H407" t="s">
        <v>8497</v>
      </c>
    </row>
    <row r="408" spans="8:8" x14ac:dyDescent="0.25">
      <c r="H408" t="s">
        <v>30</v>
      </c>
    </row>
    <row r="409" spans="8:8" x14ac:dyDescent="0.25">
      <c r="H409" t="s">
        <v>138</v>
      </c>
    </row>
    <row r="410" spans="8:8" x14ac:dyDescent="0.25">
      <c r="H410" t="s">
        <v>8498</v>
      </c>
    </row>
    <row r="411" spans="8:8" x14ac:dyDescent="0.25">
      <c r="H411" t="s">
        <v>30</v>
      </c>
    </row>
    <row r="413" spans="8:8" x14ac:dyDescent="0.25">
      <c r="H413" t="s">
        <v>8499</v>
      </c>
    </row>
    <row r="414" spans="8:8" x14ac:dyDescent="0.25">
      <c r="H414" t="s">
        <v>8500</v>
      </c>
    </row>
    <row r="415" spans="8:8" x14ac:dyDescent="0.25">
      <c r="H415" t="s">
        <v>135</v>
      </c>
    </row>
    <row r="416" spans="8:8" x14ac:dyDescent="0.25">
      <c r="H416" t="s">
        <v>8501</v>
      </c>
    </row>
    <row r="417" spans="8:8" x14ac:dyDescent="0.25">
      <c r="H417" t="s">
        <v>30</v>
      </c>
    </row>
    <row r="418" spans="8:8" x14ac:dyDescent="0.25">
      <c r="H418" t="s">
        <v>8502</v>
      </c>
    </row>
    <row r="419" spans="8:8" x14ac:dyDescent="0.25">
      <c r="H419" t="s">
        <v>136</v>
      </c>
    </row>
    <row r="420" spans="8:8" x14ac:dyDescent="0.25">
      <c r="H420" t="s">
        <v>8503</v>
      </c>
    </row>
    <row r="421" spans="8:8" x14ac:dyDescent="0.25">
      <c r="H421" t="s">
        <v>30</v>
      </c>
    </row>
    <row r="422" spans="8:8" x14ac:dyDescent="0.25">
      <c r="H422" t="s">
        <v>8504</v>
      </c>
    </row>
    <row r="423" spans="8:8" x14ac:dyDescent="0.25">
      <c r="H423" t="s">
        <v>137</v>
      </c>
    </row>
    <row r="424" spans="8:8" x14ac:dyDescent="0.25">
      <c r="H424" t="s">
        <v>8505</v>
      </c>
    </row>
    <row r="425" spans="8:8" x14ac:dyDescent="0.25">
      <c r="H425" t="s">
        <v>30</v>
      </c>
    </row>
    <row r="426" spans="8:8" x14ac:dyDescent="0.25">
      <c r="H426" t="s">
        <v>8506</v>
      </c>
    </row>
    <row r="427" spans="8:8" x14ac:dyDescent="0.25">
      <c r="H427" t="s">
        <v>138</v>
      </c>
    </row>
    <row r="428" spans="8:8" x14ac:dyDescent="0.25">
      <c r="H428" t="s">
        <v>8507</v>
      </c>
    </row>
    <row r="429" spans="8:8" x14ac:dyDescent="0.25">
      <c r="H429" t="s">
        <v>30</v>
      </c>
    </row>
    <row r="431" spans="8:8" x14ac:dyDescent="0.25">
      <c r="H431" t="s">
        <v>8508</v>
      </c>
    </row>
    <row r="432" spans="8:8" x14ac:dyDescent="0.25">
      <c r="H432" t="s">
        <v>8509</v>
      </c>
    </row>
    <row r="433" spans="8:8" x14ac:dyDescent="0.25">
      <c r="H433" t="s">
        <v>135</v>
      </c>
    </row>
    <row r="434" spans="8:8" x14ac:dyDescent="0.25">
      <c r="H434" t="s">
        <v>8510</v>
      </c>
    </row>
    <row r="435" spans="8:8" x14ac:dyDescent="0.25">
      <c r="H435" t="s">
        <v>30</v>
      </c>
    </row>
    <row r="436" spans="8:8" x14ac:dyDescent="0.25">
      <c r="H436" t="s">
        <v>8511</v>
      </c>
    </row>
    <row r="437" spans="8:8" x14ac:dyDescent="0.25">
      <c r="H437" t="s">
        <v>136</v>
      </c>
    </row>
    <row r="438" spans="8:8" x14ac:dyDescent="0.25">
      <c r="H438" t="s">
        <v>8512</v>
      </c>
    </row>
    <row r="439" spans="8:8" x14ac:dyDescent="0.25">
      <c r="H439" t="s">
        <v>30</v>
      </c>
    </row>
    <row r="440" spans="8:8" x14ac:dyDescent="0.25">
      <c r="H440" t="s">
        <v>8513</v>
      </c>
    </row>
    <row r="441" spans="8:8" x14ac:dyDescent="0.25">
      <c r="H441" t="s">
        <v>137</v>
      </c>
    </row>
    <row r="442" spans="8:8" x14ac:dyDescent="0.25">
      <c r="H442" t="s">
        <v>8514</v>
      </c>
    </row>
    <row r="443" spans="8:8" x14ac:dyDescent="0.25">
      <c r="H443" t="s">
        <v>30</v>
      </c>
    </row>
    <row r="444" spans="8:8" x14ac:dyDescent="0.25">
      <c r="H444" t="s">
        <v>8515</v>
      </c>
    </row>
    <row r="445" spans="8:8" x14ac:dyDescent="0.25">
      <c r="H445" t="s">
        <v>138</v>
      </c>
    </row>
    <row r="446" spans="8:8" x14ac:dyDescent="0.25">
      <c r="H446" t="s">
        <v>8516</v>
      </c>
    </row>
    <row r="447" spans="8:8" x14ac:dyDescent="0.25">
      <c r="H447" t="s">
        <v>30</v>
      </c>
    </row>
    <row r="449" spans="8:8" x14ac:dyDescent="0.25">
      <c r="H449" t="s">
        <v>8517</v>
      </c>
    </row>
    <row r="450" spans="8:8" x14ac:dyDescent="0.25">
      <c r="H450" t="s">
        <v>8518</v>
      </c>
    </row>
    <row r="451" spans="8:8" x14ac:dyDescent="0.25">
      <c r="H451" t="s">
        <v>135</v>
      </c>
    </row>
    <row r="452" spans="8:8" x14ac:dyDescent="0.25">
      <c r="H452" t="s">
        <v>8519</v>
      </c>
    </row>
    <row r="453" spans="8:8" x14ac:dyDescent="0.25">
      <c r="H453" t="s">
        <v>30</v>
      </c>
    </row>
    <row r="454" spans="8:8" x14ac:dyDescent="0.25">
      <c r="H454" t="s">
        <v>8520</v>
      </c>
    </row>
    <row r="455" spans="8:8" x14ac:dyDescent="0.25">
      <c r="H455" t="s">
        <v>136</v>
      </c>
    </row>
    <row r="456" spans="8:8" x14ac:dyDescent="0.25">
      <c r="H456" t="s">
        <v>8521</v>
      </c>
    </row>
    <row r="457" spans="8:8" x14ac:dyDescent="0.25">
      <c r="H457" t="s">
        <v>30</v>
      </c>
    </row>
    <row r="459" spans="8:8" x14ac:dyDescent="0.25">
      <c r="H459" t="s">
        <v>8522</v>
      </c>
    </row>
    <row r="460" spans="8:8" x14ac:dyDescent="0.25">
      <c r="H460" t="s">
        <v>8523</v>
      </c>
    </row>
    <row r="461" spans="8:8" x14ac:dyDescent="0.25">
      <c r="H461" t="s">
        <v>135</v>
      </c>
    </row>
    <row r="462" spans="8:8" x14ac:dyDescent="0.25">
      <c r="H462" t="s">
        <v>8524</v>
      </c>
    </row>
    <row r="463" spans="8:8" x14ac:dyDescent="0.25">
      <c r="H463" t="s">
        <v>30</v>
      </c>
    </row>
    <row r="464" spans="8:8" x14ac:dyDescent="0.25">
      <c r="H464" t="s">
        <v>136</v>
      </c>
    </row>
    <row r="465" spans="8:8" x14ac:dyDescent="0.25">
      <c r="H465" t="s">
        <v>8525</v>
      </c>
    </row>
    <row r="466" spans="8:8" x14ac:dyDescent="0.25">
      <c r="H466" t="s">
        <v>30</v>
      </c>
    </row>
    <row r="467" spans="8:8" x14ac:dyDescent="0.25">
      <c r="H467" t="s">
        <v>137</v>
      </c>
    </row>
    <row r="468" spans="8:8" x14ac:dyDescent="0.25">
      <c r="H468" t="s">
        <v>8526</v>
      </c>
    </row>
    <row r="469" spans="8:8" x14ac:dyDescent="0.25">
      <c r="H469" t="s">
        <v>30</v>
      </c>
    </row>
    <row r="470" spans="8:8" x14ac:dyDescent="0.25">
      <c r="H470" t="s">
        <v>138</v>
      </c>
    </row>
    <row r="471" spans="8:8" x14ac:dyDescent="0.25">
      <c r="H471" t="s">
        <v>8527</v>
      </c>
    </row>
    <row r="472" spans="8:8" x14ac:dyDescent="0.25">
      <c r="H472" t="s">
        <v>30</v>
      </c>
    </row>
    <row r="474" spans="8:8" x14ac:dyDescent="0.25">
      <c r="H474" t="s">
        <v>8528</v>
      </c>
    </row>
    <row r="475" spans="8:8" x14ac:dyDescent="0.25">
      <c r="H475" t="s">
        <v>8529</v>
      </c>
    </row>
    <row r="476" spans="8:8" x14ac:dyDescent="0.25">
      <c r="H476" t="s">
        <v>135</v>
      </c>
    </row>
    <row r="477" spans="8:8" x14ac:dyDescent="0.25">
      <c r="H477" t="s">
        <v>8530</v>
      </c>
    </row>
    <row r="478" spans="8:8" x14ac:dyDescent="0.25">
      <c r="H478" t="s">
        <v>30</v>
      </c>
    </row>
    <row r="479" spans="8:8" x14ac:dyDescent="0.25">
      <c r="H479" t="s">
        <v>136</v>
      </c>
    </row>
    <row r="480" spans="8:8" x14ac:dyDescent="0.25">
      <c r="H480" t="s">
        <v>8531</v>
      </c>
    </row>
    <row r="481" spans="8:8" x14ac:dyDescent="0.25">
      <c r="H481" t="s">
        <v>30</v>
      </c>
    </row>
    <row r="482" spans="8:8" x14ac:dyDescent="0.25">
      <c r="H482" t="s">
        <v>137</v>
      </c>
    </row>
    <row r="483" spans="8:8" x14ac:dyDescent="0.25">
      <c r="H483" t="s">
        <v>8532</v>
      </c>
    </row>
    <row r="484" spans="8:8" x14ac:dyDescent="0.25">
      <c r="H484" t="s">
        <v>30</v>
      </c>
    </row>
    <row r="485" spans="8:8" x14ac:dyDescent="0.25">
      <c r="H485" t="s">
        <v>138</v>
      </c>
    </row>
    <row r="486" spans="8:8" x14ac:dyDescent="0.25">
      <c r="H486" t="s">
        <v>8533</v>
      </c>
    </row>
    <row r="487" spans="8:8" x14ac:dyDescent="0.25">
      <c r="H487" t="s">
        <v>30</v>
      </c>
    </row>
    <row r="489" spans="8:8" x14ac:dyDescent="0.25">
      <c r="H489" t="s">
        <v>8534</v>
      </c>
    </row>
    <row r="490" spans="8:8" x14ac:dyDescent="0.25">
      <c r="H490" t="s">
        <v>8535</v>
      </c>
    </row>
    <row r="491" spans="8:8" x14ac:dyDescent="0.25">
      <c r="H491" t="s">
        <v>135</v>
      </c>
    </row>
    <row r="492" spans="8:8" x14ac:dyDescent="0.25">
      <c r="H492" t="s">
        <v>8536</v>
      </c>
    </row>
    <row r="493" spans="8:8" x14ac:dyDescent="0.25">
      <c r="H493" t="s">
        <v>30</v>
      </c>
    </row>
    <row r="494" spans="8:8" x14ac:dyDescent="0.25">
      <c r="H494" t="s">
        <v>136</v>
      </c>
    </row>
    <row r="495" spans="8:8" x14ac:dyDescent="0.25">
      <c r="H495" t="s">
        <v>8537</v>
      </c>
    </row>
    <row r="496" spans="8:8" x14ac:dyDescent="0.25">
      <c r="H496" t="s">
        <v>30</v>
      </c>
    </row>
    <row r="497" spans="8:8" x14ac:dyDescent="0.25">
      <c r="H497" t="s">
        <v>137</v>
      </c>
    </row>
    <row r="498" spans="8:8" x14ac:dyDescent="0.25">
      <c r="H498" t="s">
        <v>8538</v>
      </c>
    </row>
    <row r="499" spans="8:8" x14ac:dyDescent="0.25">
      <c r="H499" t="s">
        <v>30</v>
      </c>
    </row>
    <row r="500" spans="8:8" x14ac:dyDescent="0.25">
      <c r="H500" t="s">
        <v>138</v>
      </c>
    </row>
    <row r="501" spans="8:8" x14ac:dyDescent="0.25">
      <c r="H501" t="s">
        <v>8539</v>
      </c>
    </row>
    <row r="502" spans="8:8" x14ac:dyDescent="0.25">
      <c r="H502" t="s">
        <v>30</v>
      </c>
    </row>
    <row r="504" spans="8:8" x14ac:dyDescent="0.25">
      <c r="H504" t="s">
        <v>8540</v>
      </c>
    </row>
    <row r="505" spans="8:8" x14ac:dyDescent="0.25">
      <c r="H505" t="s">
        <v>8541</v>
      </c>
    </row>
    <row r="506" spans="8:8" x14ac:dyDescent="0.25">
      <c r="H506" t="s">
        <v>135</v>
      </c>
    </row>
    <row r="507" spans="8:8" x14ac:dyDescent="0.25">
      <c r="H507" t="s">
        <v>8542</v>
      </c>
    </row>
    <row r="508" spans="8:8" x14ac:dyDescent="0.25">
      <c r="H508" t="s">
        <v>30</v>
      </c>
    </row>
    <row r="509" spans="8:8" x14ac:dyDescent="0.25">
      <c r="H509" t="s">
        <v>136</v>
      </c>
    </row>
    <row r="510" spans="8:8" x14ac:dyDescent="0.25">
      <c r="H510" t="s">
        <v>8543</v>
      </c>
    </row>
    <row r="511" spans="8:8" x14ac:dyDescent="0.25">
      <c r="H511" t="s">
        <v>30</v>
      </c>
    </row>
    <row r="512" spans="8:8" x14ac:dyDescent="0.25">
      <c r="H512" t="s">
        <v>137</v>
      </c>
    </row>
    <row r="513" spans="8:8" x14ac:dyDescent="0.25">
      <c r="H513" t="s">
        <v>8544</v>
      </c>
    </row>
    <row r="514" spans="8:8" x14ac:dyDescent="0.25">
      <c r="H514" t="s">
        <v>30</v>
      </c>
    </row>
    <row r="515" spans="8:8" x14ac:dyDescent="0.25">
      <c r="H515" t="s">
        <v>138</v>
      </c>
    </row>
    <row r="516" spans="8:8" x14ac:dyDescent="0.25">
      <c r="H516" t="s">
        <v>8545</v>
      </c>
    </row>
    <row r="517" spans="8:8" x14ac:dyDescent="0.25">
      <c r="H517" t="s">
        <v>30</v>
      </c>
    </row>
    <row r="519" spans="8:8" x14ac:dyDescent="0.25">
      <c r="H519" t="s">
        <v>8546</v>
      </c>
    </row>
    <row r="520" spans="8:8" x14ac:dyDescent="0.25">
      <c r="H520" t="s">
        <v>8547</v>
      </c>
    </row>
    <row r="521" spans="8:8" x14ac:dyDescent="0.25">
      <c r="H521" t="s">
        <v>135</v>
      </c>
    </row>
    <row r="522" spans="8:8" x14ac:dyDescent="0.25">
      <c r="H522" t="s">
        <v>8548</v>
      </c>
    </row>
    <row r="523" spans="8:8" x14ac:dyDescent="0.25">
      <c r="H523" t="s">
        <v>30</v>
      </c>
    </row>
    <row r="524" spans="8:8" x14ac:dyDescent="0.25">
      <c r="H524" t="s">
        <v>136</v>
      </c>
    </row>
    <row r="525" spans="8:8" x14ac:dyDescent="0.25">
      <c r="H525" t="s">
        <v>8549</v>
      </c>
    </row>
    <row r="526" spans="8:8" x14ac:dyDescent="0.25">
      <c r="H526" t="s">
        <v>30</v>
      </c>
    </row>
    <row r="527" spans="8:8" x14ac:dyDescent="0.25">
      <c r="H527" t="s">
        <v>137</v>
      </c>
    </row>
    <row r="528" spans="8:8" x14ac:dyDescent="0.25">
      <c r="H528" t="s">
        <v>8550</v>
      </c>
    </row>
    <row r="529" spans="8:8" x14ac:dyDescent="0.25">
      <c r="H529" t="s">
        <v>30</v>
      </c>
    </row>
    <row r="530" spans="8:8" x14ac:dyDescent="0.25">
      <c r="H530" t="s">
        <v>138</v>
      </c>
    </row>
    <row r="531" spans="8:8" x14ac:dyDescent="0.25">
      <c r="H531" t="s">
        <v>8551</v>
      </c>
    </row>
    <row r="532" spans="8:8" x14ac:dyDescent="0.25">
      <c r="H532" t="s">
        <v>30</v>
      </c>
    </row>
    <row r="534" spans="8:8" x14ac:dyDescent="0.25">
      <c r="H534" t="s">
        <v>8552</v>
      </c>
    </row>
    <row r="535" spans="8:8" x14ac:dyDescent="0.25">
      <c r="H535" t="s">
        <v>8553</v>
      </c>
    </row>
    <row r="536" spans="8:8" x14ac:dyDescent="0.25">
      <c r="H536" t="s">
        <v>135</v>
      </c>
    </row>
    <row r="537" spans="8:8" x14ac:dyDescent="0.25">
      <c r="H537" t="s">
        <v>8554</v>
      </c>
    </row>
    <row r="538" spans="8:8" x14ac:dyDescent="0.25">
      <c r="H538" t="s">
        <v>30</v>
      </c>
    </row>
    <row r="539" spans="8:8" x14ac:dyDescent="0.25">
      <c r="H539" t="s">
        <v>136</v>
      </c>
    </row>
    <row r="540" spans="8:8" x14ac:dyDescent="0.25">
      <c r="H540" t="s">
        <v>8555</v>
      </c>
    </row>
    <row r="541" spans="8:8" x14ac:dyDescent="0.25">
      <c r="H541" t="s">
        <v>30</v>
      </c>
    </row>
    <row r="542" spans="8:8" x14ac:dyDescent="0.25">
      <c r="H542" t="s">
        <v>137</v>
      </c>
    </row>
    <row r="543" spans="8:8" x14ac:dyDescent="0.25">
      <c r="H543" t="s">
        <v>8556</v>
      </c>
    </row>
    <row r="544" spans="8:8" x14ac:dyDescent="0.25">
      <c r="H544" t="s">
        <v>30</v>
      </c>
    </row>
    <row r="545" spans="8:8" x14ac:dyDescent="0.25">
      <c r="H545" t="s">
        <v>138</v>
      </c>
    </row>
    <row r="546" spans="8:8" x14ac:dyDescent="0.25">
      <c r="H546" t="s">
        <v>8557</v>
      </c>
    </row>
    <row r="547" spans="8:8" x14ac:dyDescent="0.25">
      <c r="H547" t="s">
        <v>30</v>
      </c>
    </row>
    <row r="549" spans="8:8" x14ac:dyDescent="0.25">
      <c r="H549" t="s">
        <v>8558</v>
      </c>
    </row>
    <row r="550" spans="8:8" x14ac:dyDescent="0.25">
      <c r="H550" t="s">
        <v>8559</v>
      </c>
    </row>
    <row r="551" spans="8:8" x14ac:dyDescent="0.25">
      <c r="H551" t="s">
        <v>135</v>
      </c>
    </row>
    <row r="552" spans="8:8" x14ac:dyDescent="0.25">
      <c r="H552" t="s">
        <v>8560</v>
      </c>
    </row>
    <row r="553" spans="8:8" x14ac:dyDescent="0.25">
      <c r="H553" t="s">
        <v>30</v>
      </c>
    </row>
    <row r="554" spans="8:8" x14ac:dyDescent="0.25">
      <c r="H554" t="s">
        <v>136</v>
      </c>
    </row>
    <row r="555" spans="8:8" x14ac:dyDescent="0.25">
      <c r="H555" t="s">
        <v>8561</v>
      </c>
    </row>
    <row r="556" spans="8:8" x14ac:dyDescent="0.25">
      <c r="H556" t="s">
        <v>30</v>
      </c>
    </row>
    <row r="557" spans="8:8" x14ac:dyDescent="0.25">
      <c r="H557" t="s">
        <v>137</v>
      </c>
    </row>
    <row r="558" spans="8:8" x14ac:dyDescent="0.25">
      <c r="H558" t="s">
        <v>8562</v>
      </c>
    </row>
    <row r="559" spans="8:8" x14ac:dyDescent="0.25">
      <c r="H559" t="s">
        <v>30</v>
      </c>
    </row>
    <row r="560" spans="8:8" x14ac:dyDescent="0.25">
      <c r="H560" t="s">
        <v>138</v>
      </c>
    </row>
    <row r="561" spans="8:8" x14ac:dyDescent="0.25">
      <c r="H561" t="s">
        <v>8563</v>
      </c>
    </row>
    <row r="562" spans="8:8" x14ac:dyDescent="0.25">
      <c r="H562" t="s">
        <v>30</v>
      </c>
    </row>
    <row r="564" spans="8:8" x14ac:dyDescent="0.25">
      <c r="H564" t="s">
        <v>8564</v>
      </c>
    </row>
    <row r="565" spans="8:8" x14ac:dyDescent="0.25">
      <c r="H565" t="s">
        <v>8565</v>
      </c>
    </row>
    <row r="566" spans="8:8" x14ac:dyDescent="0.25">
      <c r="H566" t="s">
        <v>135</v>
      </c>
    </row>
    <row r="567" spans="8:8" x14ac:dyDescent="0.25">
      <c r="H567" t="s">
        <v>8566</v>
      </c>
    </row>
    <row r="568" spans="8:8" x14ac:dyDescent="0.25">
      <c r="H568" t="s">
        <v>30</v>
      </c>
    </row>
    <row r="569" spans="8:8" x14ac:dyDescent="0.25">
      <c r="H569" t="s">
        <v>136</v>
      </c>
    </row>
    <row r="570" spans="8:8" x14ac:dyDescent="0.25">
      <c r="H570" t="s">
        <v>8567</v>
      </c>
    </row>
    <row r="571" spans="8:8" x14ac:dyDescent="0.25">
      <c r="H571" t="s">
        <v>30</v>
      </c>
    </row>
    <row r="572" spans="8:8" x14ac:dyDescent="0.25">
      <c r="H572" t="s">
        <v>137</v>
      </c>
    </row>
    <row r="573" spans="8:8" x14ac:dyDescent="0.25">
      <c r="H573" t="s">
        <v>8568</v>
      </c>
    </row>
    <row r="574" spans="8:8" x14ac:dyDescent="0.25">
      <c r="H574" t="s">
        <v>30</v>
      </c>
    </row>
    <row r="575" spans="8:8" x14ac:dyDescent="0.25">
      <c r="H575" t="s">
        <v>138</v>
      </c>
    </row>
    <row r="576" spans="8:8" x14ac:dyDescent="0.25">
      <c r="H576" t="s">
        <v>8569</v>
      </c>
    </row>
    <row r="577" spans="8:8" x14ac:dyDescent="0.25">
      <c r="H577" t="s">
        <v>30</v>
      </c>
    </row>
    <row r="579" spans="8:8" x14ac:dyDescent="0.25">
      <c r="H579" t="s">
        <v>8570</v>
      </c>
    </row>
    <row r="580" spans="8:8" x14ac:dyDescent="0.25">
      <c r="H580" t="s">
        <v>8571</v>
      </c>
    </row>
    <row r="581" spans="8:8" x14ac:dyDescent="0.25">
      <c r="H581" t="s">
        <v>135</v>
      </c>
    </row>
    <row r="582" spans="8:8" x14ac:dyDescent="0.25">
      <c r="H582" t="s">
        <v>8572</v>
      </c>
    </row>
    <row r="583" spans="8:8" x14ac:dyDescent="0.25">
      <c r="H583" t="s">
        <v>30</v>
      </c>
    </row>
    <row r="584" spans="8:8" x14ac:dyDescent="0.25">
      <c r="H584" t="s">
        <v>136</v>
      </c>
    </row>
    <row r="585" spans="8:8" x14ac:dyDescent="0.25">
      <c r="H585" t="s">
        <v>8573</v>
      </c>
    </row>
    <row r="586" spans="8:8" x14ac:dyDescent="0.25">
      <c r="H586" t="s">
        <v>30</v>
      </c>
    </row>
    <row r="587" spans="8:8" x14ac:dyDescent="0.25">
      <c r="H587" t="s">
        <v>137</v>
      </c>
    </row>
    <row r="588" spans="8:8" x14ac:dyDescent="0.25">
      <c r="H588" t="s">
        <v>8574</v>
      </c>
    </row>
    <row r="589" spans="8:8" x14ac:dyDescent="0.25">
      <c r="H589" t="s">
        <v>30</v>
      </c>
    </row>
    <row r="590" spans="8:8" x14ac:dyDescent="0.25">
      <c r="H590" t="s">
        <v>138</v>
      </c>
    </row>
    <row r="591" spans="8:8" x14ac:dyDescent="0.25">
      <c r="H591" t="s">
        <v>8575</v>
      </c>
    </row>
    <row r="592" spans="8:8" x14ac:dyDescent="0.25">
      <c r="H592" t="s">
        <v>30</v>
      </c>
    </row>
    <row r="594" spans="8:8" x14ac:dyDescent="0.25">
      <c r="H594" t="s">
        <v>8576</v>
      </c>
    </row>
    <row r="595" spans="8:8" x14ac:dyDescent="0.25">
      <c r="H595" t="s">
        <v>8577</v>
      </c>
    </row>
    <row r="596" spans="8:8" x14ac:dyDescent="0.25">
      <c r="H596" t="s">
        <v>135</v>
      </c>
    </row>
    <row r="597" spans="8:8" x14ac:dyDescent="0.25">
      <c r="H597" t="s">
        <v>8578</v>
      </c>
    </row>
    <row r="598" spans="8:8" x14ac:dyDescent="0.25">
      <c r="H598" t="s">
        <v>30</v>
      </c>
    </row>
    <row r="599" spans="8:8" x14ac:dyDescent="0.25">
      <c r="H599" t="s">
        <v>136</v>
      </c>
    </row>
    <row r="600" spans="8:8" x14ac:dyDescent="0.25">
      <c r="H600" t="s">
        <v>8579</v>
      </c>
    </row>
    <row r="601" spans="8:8" x14ac:dyDescent="0.25">
      <c r="H601" t="s">
        <v>30</v>
      </c>
    </row>
    <row r="602" spans="8:8" x14ac:dyDescent="0.25">
      <c r="H602" t="s">
        <v>137</v>
      </c>
    </row>
    <row r="603" spans="8:8" x14ac:dyDescent="0.25">
      <c r="H603" t="s">
        <v>8580</v>
      </c>
    </row>
    <row r="604" spans="8:8" x14ac:dyDescent="0.25">
      <c r="H604" t="s">
        <v>30</v>
      </c>
    </row>
    <row r="605" spans="8:8" x14ac:dyDescent="0.25">
      <c r="H605" t="s">
        <v>138</v>
      </c>
    </row>
    <row r="606" spans="8:8" x14ac:dyDescent="0.25">
      <c r="H606" t="s">
        <v>8581</v>
      </c>
    </row>
    <row r="607" spans="8:8" x14ac:dyDescent="0.25">
      <c r="H607" t="s">
        <v>30</v>
      </c>
    </row>
    <row r="609" spans="8:8" x14ac:dyDescent="0.25">
      <c r="H609" t="s">
        <v>8582</v>
      </c>
    </row>
    <row r="610" spans="8:8" x14ac:dyDescent="0.25">
      <c r="H610" t="s">
        <v>8583</v>
      </c>
    </row>
    <row r="611" spans="8:8" x14ac:dyDescent="0.25">
      <c r="H611" t="s">
        <v>135</v>
      </c>
    </row>
    <row r="612" spans="8:8" x14ac:dyDescent="0.25">
      <c r="H612" t="s">
        <v>8584</v>
      </c>
    </row>
    <row r="613" spans="8:8" x14ac:dyDescent="0.25">
      <c r="H613" t="s">
        <v>30</v>
      </c>
    </row>
    <row r="614" spans="8:8" x14ac:dyDescent="0.25">
      <c r="H614" t="s">
        <v>136</v>
      </c>
    </row>
    <row r="615" spans="8:8" x14ac:dyDescent="0.25">
      <c r="H615" t="s">
        <v>8585</v>
      </c>
    </row>
    <row r="616" spans="8:8" x14ac:dyDescent="0.25">
      <c r="H616" t="s">
        <v>30</v>
      </c>
    </row>
    <row r="617" spans="8:8" x14ac:dyDescent="0.25">
      <c r="H617" t="s">
        <v>137</v>
      </c>
    </row>
    <row r="618" spans="8:8" x14ac:dyDescent="0.25">
      <c r="H618" t="s">
        <v>8586</v>
      </c>
    </row>
    <row r="619" spans="8:8" x14ac:dyDescent="0.25">
      <c r="H619" t="s">
        <v>30</v>
      </c>
    </row>
    <row r="620" spans="8:8" x14ac:dyDescent="0.25">
      <c r="H620" t="s">
        <v>138</v>
      </c>
    </row>
    <row r="621" spans="8:8" x14ac:dyDescent="0.25">
      <c r="H621" t="s">
        <v>8587</v>
      </c>
    </row>
    <row r="622" spans="8:8" x14ac:dyDescent="0.25">
      <c r="H622" t="s">
        <v>30</v>
      </c>
    </row>
    <row r="624" spans="8:8" x14ac:dyDescent="0.25">
      <c r="H624" t="s">
        <v>8588</v>
      </c>
    </row>
    <row r="625" spans="8:8" x14ac:dyDescent="0.25">
      <c r="H625" t="s">
        <v>8589</v>
      </c>
    </row>
    <row r="626" spans="8:8" x14ac:dyDescent="0.25">
      <c r="H626" t="s">
        <v>135</v>
      </c>
    </row>
    <row r="627" spans="8:8" x14ac:dyDescent="0.25">
      <c r="H627" t="s">
        <v>8590</v>
      </c>
    </row>
    <row r="628" spans="8:8" x14ac:dyDescent="0.25">
      <c r="H628" t="s">
        <v>30</v>
      </c>
    </row>
    <row r="629" spans="8:8" x14ac:dyDescent="0.25">
      <c r="H629" t="s">
        <v>136</v>
      </c>
    </row>
    <row r="630" spans="8:8" x14ac:dyDescent="0.25">
      <c r="H630" t="s">
        <v>8591</v>
      </c>
    </row>
    <row r="631" spans="8:8" x14ac:dyDescent="0.25">
      <c r="H631" t="s">
        <v>30</v>
      </c>
    </row>
    <row r="632" spans="8:8" x14ac:dyDescent="0.25">
      <c r="H632" t="s">
        <v>137</v>
      </c>
    </row>
    <row r="633" spans="8:8" x14ac:dyDescent="0.25">
      <c r="H633" t="s">
        <v>8592</v>
      </c>
    </row>
    <row r="634" spans="8:8" x14ac:dyDescent="0.25">
      <c r="H634" t="s">
        <v>30</v>
      </c>
    </row>
    <row r="635" spans="8:8" x14ac:dyDescent="0.25">
      <c r="H635" t="s">
        <v>138</v>
      </c>
    </row>
    <row r="636" spans="8:8" x14ac:dyDescent="0.25">
      <c r="H636" t="s">
        <v>8593</v>
      </c>
    </row>
    <row r="637" spans="8:8" x14ac:dyDescent="0.25">
      <c r="H637" t="s">
        <v>30</v>
      </c>
    </row>
    <row r="639" spans="8:8" x14ac:dyDescent="0.25">
      <c r="H639" t="s">
        <v>8594</v>
      </c>
    </row>
    <row r="640" spans="8:8" x14ac:dyDescent="0.25">
      <c r="H640" t="s">
        <v>8595</v>
      </c>
    </row>
    <row r="641" spans="8:8" x14ac:dyDescent="0.25">
      <c r="H641" t="s">
        <v>135</v>
      </c>
    </row>
    <row r="642" spans="8:8" x14ac:dyDescent="0.25">
      <c r="H642" t="s">
        <v>8596</v>
      </c>
    </row>
    <row r="643" spans="8:8" x14ac:dyDescent="0.25">
      <c r="H643" t="s">
        <v>30</v>
      </c>
    </row>
    <row r="644" spans="8:8" x14ac:dyDescent="0.25">
      <c r="H644" t="s">
        <v>136</v>
      </c>
    </row>
    <row r="645" spans="8:8" x14ac:dyDescent="0.25">
      <c r="H645" t="s">
        <v>8597</v>
      </c>
    </row>
    <row r="646" spans="8:8" x14ac:dyDescent="0.25">
      <c r="H646" t="s">
        <v>30</v>
      </c>
    </row>
    <row r="647" spans="8:8" x14ac:dyDescent="0.25">
      <c r="H647" t="s">
        <v>137</v>
      </c>
    </row>
    <row r="648" spans="8:8" x14ac:dyDescent="0.25">
      <c r="H648" t="s">
        <v>8598</v>
      </c>
    </row>
    <row r="649" spans="8:8" x14ac:dyDescent="0.25">
      <c r="H649" t="s">
        <v>30</v>
      </c>
    </row>
    <row r="650" spans="8:8" x14ac:dyDescent="0.25">
      <c r="H650" t="s">
        <v>138</v>
      </c>
    </row>
    <row r="651" spans="8:8" x14ac:dyDescent="0.25">
      <c r="H651" t="s">
        <v>8599</v>
      </c>
    </row>
    <row r="652" spans="8:8" x14ac:dyDescent="0.25">
      <c r="H652" t="s">
        <v>30</v>
      </c>
    </row>
    <row r="654" spans="8:8" x14ac:dyDescent="0.25">
      <c r="H654" t="s">
        <v>8600</v>
      </c>
    </row>
    <row r="655" spans="8:8" x14ac:dyDescent="0.25">
      <c r="H655" t="s">
        <v>8601</v>
      </c>
    </row>
    <row r="656" spans="8:8" x14ac:dyDescent="0.25">
      <c r="H656" t="s">
        <v>135</v>
      </c>
    </row>
    <row r="657" spans="8:8" x14ac:dyDescent="0.25">
      <c r="H657" t="s">
        <v>8602</v>
      </c>
    </row>
    <row r="658" spans="8:8" x14ac:dyDescent="0.25">
      <c r="H658" t="s">
        <v>30</v>
      </c>
    </row>
    <row r="659" spans="8:8" x14ac:dyDescent="0.25">
      <c r="H659" t="s">
        <v>136</v>
      </c>
    </row>
    <row r="660" spans="8:8" x14ac:dyDescent="0.25">
      <c r="H660" t="s">
        <v>8603</v>
      </c>
    </row>
    <row r="661" spans="8:8" x14ac:dyDescent="0.25">
      <c r="H661" t="s">
        <v>30</v>
      </c>
    </row>
    <row r="662" spans="8:8" x14ac:dyDescent="0.25">
      <c r="H662" t="s">
        <v>137</v>
      </c>
    </row>
    <row r="663" spans="8:8" x14ac:dyDescent="0.25">
      <c r="H663" t="s">
        <v>8604</v>
      </c>
    </row>
    <row r="664" spans="8:8" x14ac:dyDescent="0.25">
      <c r="H664" t="s">
        <v>30</v>
      </c>
    </row>
    <row r="665" spans="8:8" x14ac:dyDescent="0.25">
      <c r="H665" t="s">
        <v>138</v>
      </c>
    </row>
    <row r="666" spans="8:8" x14ac:dyDescent="0.25">
      <c r="H666" t="s">
        <v>8605</v>
      </c>
    </row>
    <row r="667" spans="8:8" x14ac:dyDescent="0.25">
      <c r="H667" t="s">
        <v>30</v>
      </c>
    </row>
    <row r="669" spans="8:8" x14ac:dyDescent="0.25">
      <c r="H669" t="s">
        <v>8606</v>
      </c>
    </row>
    <row r="670" spans="8:8" x14ac:dyDescent="0.25">
      <c r="H670" t="s">
        <v>8607</v>
      </c>
    </row>
    <row r="671" spans="8:8" x14ac:dyDescent="0.25">
      <c r="H671" t="s">
        <v>135</v>
      </c>
    </row>
    <row r="672" spans="8:8" x14ac:dyDescent="0.25">
      <c r="H672" t="s">
        <v>8608</v>
      </c>
    </row>
    <row r="673" spans="8:8" x14ac:dyDescent="0.25">
      <c r="H673" t="s">
        <v>30</v>
      </c>
    </row>
    <row r="674" spans="8:8" x14ac:dyDescent="0.25">
      <c r="H674" t="s">
        <v>136</v>
      </c>
    </row>
    <row r="675" spans="8:8" x14ac:dyDescent="0.25">
      <c r="H675" t="s">
        <v>8609</v>
      </c>
    </row>
    <row r="676" spans="8:8" x14ac:dyDescent="0.25">
      <c r="H676" t="s">
        <v>30</v>
      </c>
    </row>
    <row r="677" spans="8:8" x14ac:dyDescent="0.25">
      <c r="H677" t="s">
        <v>137</v>
      </c>
    </row>
    <row r="678" spans="8:8" x14ac:dyDescent="0.25">
      <c r="H678" t="s">
        <v>8610</v>
      </c>
    </row>
    <row r="679" spans="8:8" x14ac:dyDescent="0.25">
      <c r="H679" t="s">
        <v>30</v>
      </c>
    </row>
    <row r="680" spans="8:8" x14ac:dyDescent="0.25">
      <c r="H680" t="s">
        <v>138</v>
      </c>
    </row>
    <row r="681" spans="8:8" x14ac:dyDescent="0.25">
      <c r="H681" t="s">
        <v>8611</v>
      </c>
    </row>
    <row r="682" spans="8:8" x14ac:dyDescent="0.25">
      <c r="H682" t="s">
        <v>30</v>
      </c>
    </row>
    <row r="684" spans="8:8" x14ac:dyDescent="0.25">
      <c r="H684" t="s">
        <v>8612</v>
      </c>
    </row>
    <row r="685" spans="8:8" x14ac:dyDescent="0.25">
      <c r="H685" t="s">
        <v>8613</v>
      </c>
    </row>
    <row r="686" spans="8:8" x14ac:dyDescent="0.25">
      <c r="H686" t="s">
        <v>135</v>
      </c>
    </row>
    <row r="687" spans="8:8" x14ac:dyDescent="0.25">
      <c r="H687" t="s">
        <v>8614</v>
      </c>
    </row>
    <row r="688" spans="8:8" x14ac:dyDescent="0.25">
      <c r="H688" t="s">
        <v>30</v>
      </c>
    </row>
    <row r="689" spans="8:8" x14ac:dyDescent="0.25">
      <c r="H689" t="s">
        <v>136</v>
      </c>
    </row>
    <row r="690" spans="8:8" x14ac:dyDescent="0.25">
      <c r="H690" t="s">
        <v>8615</v>
      </c>
    </row>
    <row r="691" spans="8:8" x14ac:dyDescent="0.25">
      <c r="H691" t="s">
        <v>30</v>
      </c>
    </row>
    <row r="692" spans="8:8" x14ac:dyDescent="0.25">
      <c r="H692" t="s">
        <v>137</v>
      </c>
    </row>
    <row r="693" spans="8:8" x14ac:dyDescent="0.25">
      <c r="H693" t="s">
        <v>8616</v>
      </c>
    </row>
    <row r="694" spans="8:8" x14ac:dyDescent="0.25">
      <c r="H694" t="s">
        <v>30</v>
      </c>
    </row>
    <row r="695" spans="8:8" x14ac:dyDescent="0.25">
      <c r="H695" t="s">
        <v>138</v>
      </c>
    </row>
    <row r="696" spans="8:8" x14ac:dyDescent="0.25">
      <c r="H696" t="s">
        <v>8617</v>
      </c>
    </row>
    <row r="697" spans="8:8" x14ac:dyDescent="0.25">
      <c r="H697" t="s">
        <v>30</v>
      </c>
    </row>
    <row r="699" spans="8:8" x14ac:dyDescent="0.25">
      <c r="H699" t="s">
        <v>8618</v>
      </c>
    </row>
    <row r="700" spans="8:8" x14ac:dyDescent="0.25">
      <c r="H700" t="s">
        <v>8619</v>
      </c>
    </row>
    <row r="701" spans="8:8" x14ac:dyDescent="0.25">
      <c r="H701" t="s">
        <v>135</v>
      </c>
    </row>
    <row r="702" spans="8:8" x14ac:dyDescent="0.25">
      <c r="H702" t="s">
        <v>8620</v>
      </c>
    </row>
    <row r="703" spans="8:8" x14ac:dyDescent="0.25">
      <c r="H703" t="s">
        <v>30</v>
      </c>
    </row>
    <row r="704" spans="8:8" x14ac:dyDescent="0.25">
      <c r="H704" t="s">
        <v>136</v>
      </c>
    </row>
    <row r="705" spans="8:8" x14ac:dyDescent="0.25">
      <c r="H705" t="s">
        <v>8621</v>
      </c>
    </row>
    <row r="706" spans="8:8" x14ac:dyDescent="0.25">
      <c r="H706" t="s">
        <v>30</v>
      </c>
    </row>
    <row r="707" spans="8:8" x14ac:dyDescent="0.25">
      <c r="H707" t="s">
        <v>137</v>
      </c>
    </row>
    <row r="708" spans="8:8" x14ac:dyDescent="0.25">
      <c r="H708" t="s">
        <v>8622</v>
      </c>
    </row>
    <row r="709" spans="8:8" x14ac:dyDescent="0.25">
      <c r="H709" t="s">
        <v>30</v>
      </c>
    </row>
    <row r="710" spans="8:8" x14ac:dyDescent="0.25">
      <c r="H710" t="s">
        <v>138</v>
      </c>
    </row>
    <row r="711" spans="8:8" x14ac:dyDescent="0.25">
      <c r="H711" t="s">
        <v>8623</v>
      </c>
    </row>
    <row r="712" spans="8:8" x14ac:dyDescent="0.25">
      <c r="H712" t="s">
        <v>30</v>
      </c>
    </row>
    <row r="714" spans="8:8" x14ac:dyDescent="0.25">
      <c r="H714" t="s">
        <v>8624</v>
      </c>
    </row>
    <row r="715" spans="8:8" x14ac:dyDescent="0.25">
      <c r="H715" t="s">
        <v>8625</v>
      </c>
    </row>
    <row r="716" spans="8:8" x14ac:dyDescent="0.25">
      <c r="H716" t="s">
        <v>135</v>
      </c>
    </row>
    <row r="717" spans="8:8" x14ac:dyDescent="0.25">
      <c r="H717" t="s">
        <v>8626</v>
      </c>
    </row>
    <row r="718" spans="8:8" x14ac:dyDescent="0.25">
      <c r="H718" t="s">
        <v>30</v>
      </c>
    </row>
    <row r="719" spans="8:8" x14ac:dyDescent="0.25">
      <c r="H719" t="s">
        <v>136</v>
      </c>
    </row>
    <row r="720" spans="8:8" x14ac:dyDescent="0.25">
      <c r="H720" t="s">
        <v>8627</v>
      </c>
    </row>
    <row r="721" spans="8:8" x14ac:dyDescent="0.25">
      <c r="H721" t="s">
        <v>30</v>
      </c>
    </row>
    <row r="722" spans="8:8" x14ac:dyDescent="0.25">
      <c r="H722" t="s">
        <v>137</v>
      </c>
    </row>
    <row r="723" spans="8:8" x14ac:dyDescent="0.25">
      <c r="H723" t="s">
        <v>8628</v>
      </c>
    </row>
    <row r="724" spans="8:8" x14ac:dyDescent="0.25">
      <c r="H724" t="s">
        <v>30</v>
      </c>
    </row>
    <row r="725" spans="8:8" x14ac:dyDescent="0.25">
      <c r="H725" t="s">
        <v>138</v>
      </c>
    </row>
    <row r="726" spans="8:8" x14ac:dyDescent="0.25">
      <c r="H726" t="s">
        <v>8629</v>
      </c>
    </row>
    <row r="727" spans="8:8" x14ac:dyDescent="0.25">
      <c r="H727" t="s">
        <v>30</v>
      </c>
    </row>
    <row r="729" spans="8:8" x14ac:dyDescent="0.25">
      <c r="H729" t="s">
        <v>8630</v>
      </c>
    </row>
    <row r="730" spans="8:8" x14ac:dyDescent="0.25">
      <c r="H730" t="s">
        <v>8631</v>
      </c>
    </row>
    <row r="731" spans="8:8" x14ac:dyDescent="0.25">
      <c r="H731" t="s">
        <v>135</v>
      </c>
    </row>
    <row r="732" spans="8:8" x14ac:dyDescent="0.25">
      <c r="H732" t="s">
        <v>8632</v>
      </c>
    </row>
    <row r="733" spans="8:8" x14ac:dyDescent="0.25">
      <c r="H733" t="s">
        <v>30</v>
      </c>
    </row>
    <row r="734" spans="8:8" x14ac:dyDescent="0.25">
      <c r="H734" t="s">
        <v>136</v>
      </c>
    </row>
    <row r="735" spans="8:8" x14ac:dyDescent="0.25">
      <c r="H735" t="s">
        <v>8633</v>
      </c>
    </row>
    <row r="736" spans="8:8" x14ac:dyDescent="0.25">
      <c r="H736" t="s">
        <v>30</v>
      </c>
    </row>
    <row r="737" spans="8:8" x14ac:dyDescent="0.25">
      <c r="H737" t="s">
        <v>137</v>
      </c>
    </row>
    <row r="738" spans="8:8" x14ac:dyDescent="0.25">
      <c r="H738" t="s">
        <v>8634</v>
      </c>
    </row>
    <row r="739" spans="8:8" x14ac:dyDescent="0.25">
      <c r="H739" t="s">
        <v>30</v>
      </c>
    </row>
    <row r="740" spans="8:8" x14ac:dyDescent="0.25">
      <c r="H740" t="s">
        <v>138</v>
      </c>
    </row>
    <row r="741" spans="8:8" x14ac:dyDescent="0.25">
      <c r="H741" t="s">
        <v>8635</v>
      </c>
    </row>
    <row r="742" spans="8:8" x14ac:dyDescent="0.25">
      <c r="H742" t="s">
        <v>30</v>
      </c>
    </row>
    <row r="744" spans="8:8" x14ac:dyDescent="0.25">
      <c r="H744" t="s">
        <v>8636</v>
      </c>
    </row>
    <row r="745" spans="8:8" x14ac:dyDescent="0.25">
      <c r="H745" t="s">
        <v>8637</v>
      </c>
    </row>
    <row r="746" spans="8:8" x14ac:dyDescent="0.25">
      <c r="H746" t="s">
        <v>135</v>
      </c>
    </row>
    <row r="747" spans="8:8" x14ac:dyDescent="0.25">
      <c r="H747" t="s">
        <v>8638</v>
      </c>
    </row>
    <row r="748" spans="8:8" x14ac:dyDescent="0.25">
      <c r="H748" t="s">
        <v>30</v>
      </c>
    </row>
    <row r="749" spans="8:8" x14ac:dyDescent="0.25">
      <c r="H749" t="s">
        <v>136</v>
      </c>
    </row>
    <row r="750" spans="8:8" x14ac:dyDescent="0.25">
      <c r="H750" t="s">
        <v>8639</v>
      </c>
    </row>
    <row r="751" spans="8:8" x14ac:dyDescent="0.25">
      <c r="H751" t="s">
        <v>30</v>
      </c>
    </row>
    <row r="752" spans="8:8" x14ac:dyDescent="0.25">
      <c r="H752" t="s">
        <v>137</v>
      </c>
    </row>
    <row r="753" spans="8:8" x14ac:dyDescent="0.25">
      <c r="H753" t="s">
        <v>8640</v>
      </c>
    </row>
    <row r="754" spans="8:8" x14ac:dyDescent="0.25">
      <c r="H754" t="s">
        <v>30</v>
      </c>
    </row>
    <row r="755" spans="8:8" x14ac:dyDescent="0.25">
      <c r="H755" t="s">
        <v>138</v>
      </c>
    </row>
    <row r="756" spans="8:8" x14ac:dyDescent="0.25">
      <c r="H756" t="s">
        <v>8641</v>
      </c>
    </row>
    <row r="757" spans="8:8" x14ac:dyDescent="0.25">
      <c r="H757" t="s">
        <v>30</v>
      </c>
    </row>
    <row r="759" spans="8:8" x14ac:dyDescent="0.25">
      <c r="H759" t="s">
        <v>8642</v>
      </c>
    </row>
    <row r="760" spans="8:8" x14ac:dyDescent="0.25">
      <c r="H760" t="s">
        <v>8643</v>
      </c>
    </row>
    <row r="761" spans="8:8" x14ac:dyDescent="0.25">
      <c r="H761" t="s">
        <v>135</v>
      </c>
    </row>
    <row r="762" spans="8:8" x14ac:dyDescent="0.25">
      <c r="H762" t="s">
        <v>8644</v>
      </c>
    </row>
    <row r="763" spans="8:8" x14ac:dyDescent="0.25">
      <c r="H763" t="s">
        <v>30</v>
      </c>
    </row>
    <row r="764" spans="8:8" x14ac:dyDescent="0.25">
      <c r="H764" t="s">
        <v>136</v>
      </c>
    </row>
    <row r="765" spans="8:8" x14ac:dyDescent="0.25">
      <c r="H765" t="s">
        <v>8645</v>
      </c>
    </row>
    <row r="766" spans="8:8" x14ac:dyDescent="0.25">
      <c r="H766" t="s">
        <v>30</v>
      </c>
    </row>
    <row r="767" spans="8:8" x14ac:dyDescent="0.25">
      <c r="H767" t="s">
        <v>137</v>
      </c>
    </row>
    <row r="768" spans="8:8" x14ac:dyDescent="0.25">
      <c r="H768" t="s">
        <v>8646</v>
      </c>
    </row>
    <row r="769" spans="8:8" x14ac:dyDescent="0.25">
      <c r="H769" t="s">
        <v>30</v>
      </c>
    </row>
    <row r="770" spans="8:8" x14ac:dyDescent="0.25">
      <c r="H770" t="s">
        <v>138</v>
      </c>
    </row>
    <row r="771" spans="8:8" x14ac:dyDescent="0.25">
      <c r="H771" t="s">
        <v>8647</v>
      </c>
    </row>
    <row r="772" spans="8:8" x14ac:dyDescent="0.25">
      <c r="H772" t="s">
        <v>30</v>
      </c>
    </row>
    <row r="774" spans="8:8" x14ac:dyDescent="0.25">
      <c r="H774" t="s">
        <v>8648</v>
      </c>
    </row>
    <row r="775" spans="8:8" x14ac:dyDescent="0.25">
      <c r="H775" t="s">
        <v>8649</v>
      </c>
    </row>
    <row r="776" spans="8:8" x14ac:dyDescent="0.25">
      <c r="H776" t="s">
        <v>135</v>
      </c>
    </row>
    <row r="777" spans="8:8" x14ac:dyDescent="0.25">
      <c r="H777" t="s">
        <v>8650</v>
      </c>
    </row>
    <row r="778" spans="8:8" x14ac:dyDescent="0.25">
      <c r="H778" t="s">
        <v>30</v>
      </c>
    </row>
    <row r="779" spans="8:8" x14ac:dyDescent="0.25">
      <c r="H779" t="s">
        <v>136</v>
      </c>
    </row>
    <row r="780" spans="8:8" x14ac:dyDescent="0.25">
      <c r="H780" t="s">
        <v>8651</v>
      </c>
    </row>
    <row r="781" spans="8:8" x14ac:dyDescent="0.25">
      <c r="H781" t="s">
        <v>30</v>
      </c>
    </row>
    <row r="782" spans="8:8" x14ac:dyDescent="0.25">
      <c r="H782" t="s">
        <v>137</v>
      </c>
    </row>
    <row r="783" spans="8:8" x14ac:dyDescent="0.25">
      <c r="H783" t="s">
        <v>8652</v>
      </c>
    </row>
    <row r="784" spans="8:8" x14ac:dyDescent="0.25">
      <c r="H784" t="s">
        <v>30</v>
      </c>
    </row>
    <row r="785" spans="8:8" x14ac:dyDescent="0.25">
      <c r="H785" t="s">
        <v>138</v>
      </c>
    </row>
    <row r="786" spans="8:8" x14ac:dyDescent="0.25">
      <c r="H786" t="s">
        <v>8653</v>
      </c>
    </row>
    <row r="787" spans="8:8" x14ac:dyDescent="0.25">
      <c r="H787" t="s">
        <v>30</v>
      </c>
    </row>
    <row r="789" spans="8:8" x14ac:dyDescent="0.25">
      <c r="H789" t="s">
        <v>8654</v>
      </c>
    </row>
    <row r="790" spans="8:8" x14ac:dyDescent="0.25">
      <c r="H790" t="s">
        <v>8655</v>
      </c>
    </row>
    <row r="791" spans="8:8" x14ac:dyDescent="0.25">
      <c r="H791" t="s">
        <v>135</v>
      </c>
    </row>
    <row r="792" spans="8:8" x14ac:dyDescent="0.25">
      <c r="H792" t="s">
        <v>8656</v>
      </c>
    </row>
    <row r="793" spans="8:8" x14ac:dyDescent="0.25">
      <c r="H793" t="s">
        <v>30</v>
      </c>
    </row>
    <row r="794" spans="8:8" x14ac:dyDescent="0.25">
      <c r="H794" t="s">
        <v>136</v>
      </c>
    </row>
    <row r="795" spans="8:8" x14ac:dyDescent="0.25">
      <c r="H795" t="s">
        <v>8657</v>
      </c>
    </row>
    <row r="796" spans="8:8" x14ac:dyDescent="0.25">
      <c r="H796" t="s">
        <v>30</v>
      </c>
    </row>
    <row r="797" spans="8:8" x14ac:dyDescent="0.25">
      <c r="H797" t="s">
        <v>137</v>
      </c>
    </row>
    <row r="798" spans="8:8" x14ac:dyDescent="0.25">
      <c r="H798" t="s">
        <v>8658</v>
      </c>
    </row>
    <row r="799" spans="8:8" x14ac:dyDescent="0.25">
      <c r="H799" t="s">
        <v>30</v>
      </c>
    </row>
    <row r="800" spans="8:8" x14ac:dyDescent="0.25">
      <c r="H800" t="s">
        <v>138</v>
      </c>
    </row>
    <row r="801" spans="8:8" x14ac:dyDescent="0.25">
      <c r="H801" t="s">
        <v>8659</v>
      </c>
    </row>
    <row r="802" spans="8:8" x14ac:dyDescent="0.25">
      <c r="H802" t="s">
        <v>30</v>
      </c>
    </row>
    <row r="804" spans="8:8" x14ac:dyDescent="0.25">
      <c r="H804" t="s">
        <v>8660</v>
      </c>
    </row>
    <row r="805" spans="8:8" x14ac:dyDescent="0.25">
      <c r="H805" t="s">
        <v>8661</v>
      </c>
    </row>
    <row r="806" spans="8:8" x14ac:dyDescent="0.25">
      <c r="H806" t="s">
        <v>135</v>
      </c>
    </row>
    <row r="807" spans="8:8" x14ac:dyDescent="0.25">
      <c r="H807" t="s">
        <v>8662</v>
      </c>
    </row>
    <row r="808" spans="8:8" x14ac:dyDescent="0.25">
      <c r="H808" t="s">
        <v>30</v>
      </c>
    </row>
    <row r="809" spans="8:8" x14ac:dyDescent="0.25">
      <c r="H809" t="s">
        <v>136</v>
      </c>
    </row>
    <row r="810" spans="8:8" x14ac:dyDescent="0.25">
      <c r="H810" t="s">
        <v>8663</v>
      </c>
    </row>
    <row r="811" spans="8:8" x14ac:dyDescent="0.25">
      <c r="H811" t="s">
        <v>30</v>
      </c>
    </row>
    <row r="812" spans="8:8" x14ac:dyDescent="0.25">
      <c r="H812" t="s">
        <v>137</v>
      </c>
    </row>
    <row r="813" spans="8:8" x14ac:dyDescent="0.25">
      <c r="H813" t="s">
        <v>8664</v>
      </c>
    </row>
    <row r="814" spans="8:8" x14ac:dyDescent="0.25">
      <c r="H814" t="s">
        <v>30</v>
      </c>
    </row>
    <row r="815" spans="8:8" x14ac:dyDescent="0.25">
      <c r="H815" t="s">
        <v>138</v>
      </c>
    </row>
    <row r="816" spans="8:8" x14ac:dyDescent="0.25">
      <c r="H816" t="s">
        <v>8665</v>
      </c>
    </row>
    <row r="817" spans="8:8" x14ac:dyDescent="0.25">
      <c r="H817" t="s">
        <v>30</v>
      </c>
    </row>
    <row r="819" spans="8:8" x14ac:dyDescent="0.25">
      <c r="H819" t="s">
        <v>8666</v>
      </c>
    </row>
    <row r="820" spans="8:8" x14ac:dyDescent="0.25">
      <c r="H820" t="s">
        <v>8667</v>
      </c>
    </row>
    <row r="821" spans="8:8" x14ac:dyDescent="0.25">
      <c r="H821" t="s">
        <v>135</v>
      </c>
    </row>
    <row r="822" spans="8:8" x14ac:dyDescent="0.25">
      <c r="H822" t="s">
        <v>8668</v>
      </c>
    </row>
    <row r="823" spans="8:8" x14ac:dyDescent="0.25">
      <c r="H823" t="s">
        <v>30</v>
      </c>
    </row>
    <row r="824" spans="8:8" x14ac:dyDescent="0.25">
      <c r="H824" t="s">
        <v>136</v>
      </c>
    </row>
    <row r="825" spans="8:8" x14ac:dyDescent="0.25">
      <c r="H825" t="s">
        <v>8669</v>
      </c>
    </row>
    <row r="826" spans="8:8" x14ac:dyDescent="0.25">
      <c r="H826" t="s">
        <v>30</v>
      </c>
    </row>
    <row r="827" spans="8:8" x14ac:dyDescent="0.25">
      <c r="H827" t="s">
        <v>137</v>
      </c>
    </row>
    <row r="828" spans="8:8" x14ac:dyDescent="0.25">
      <c r="H828" t="s">
        <v>8670</v>
      </c>
    </row>
    <row r="829" spans="8:8" x14ac:dyDescent="0.25">
      <c r="H829" t="s">
        <v>30</v>
      </c>
    </row>
    <row r="830" spans="8:8" x14ac:dyDescent="0.25">
      <c r="H830" t="s">
        <v>138</v>
      </c>
    </row>
    <row r="831" spans="8:8" x14ac:dyDescent="0.25">
      <c r="H831" t="s">
        <v>8671</v>
      </c>
    </row>
    <row r="832" spans="8:8" x14ac:dyDescent="0.25">
      <c r="H832" t="s">
        <v>30</v>
      </c>
    </row>
    <row r="834" spans="8:8" x14ac:dyDescent="0.25">
      <c r="H834" t="s">
        <v>8672</v>
      </c>
    </row>
    <row r="835" spans="8:8" x14ac:dyDescent="0.25">
      <c r="H835" t="s">
        <v>8673</v>
      </c>
    </row>
    <row r="836" spans="8:8" x14ac:dyDescent="0.25">
      <c r="H836" t="s">
        <v>135</v>
      </c>
    </row>
    <row r="837" spans="8:8" x14ac:dyDescent="0.25">
      <c r="H837" t="s">
        <v>8674</v>
      </c>
    </row>
    <row r="838" spans="8:8" x14ac:dyDescent="0.25">
      <c r="H838" t="s">
        <v>30</v>
      </c>
    </row>
    <row r="839" spans="8:8" x14ac:dyDescent="0.25">
      <c r="H839" t="s">
        <v>136</v>
      </c>
    </row>
    <row r="840" spans="8:8" x14ac:dyDescent="0.25">
      <c r="H840" t="s">
        <v>8675</v>
      </c>
    </row>
    <row r="841" spans="8:8" x14ac:dyDescent="0.25">
      <c r="H841" t="s">
        <v>30</v>
      </c>
    </row>
    <row r="842" spans="8:8" x14ac:dyDescent="0.25">
      <c r="H842" t="s">
        <v>137</v>
      </c>
    </row>
    <row r="843" spans="8:8" x14ac:dyDescent="0.25">
      <c r="H843" t="s">
        <v>8676</v>
      </c>
    </row>
    <row r="844" spans="8:8" x14ac:dyDescent="0.25">
      <c r="H844" t="s">
        <v>30</v>
      </c>
    </row>
    <row r="845" spans="8:8" x14ac:dyDescent="0.25">
      <c r="H845" t="s">
        <v>138</v>
      </c>
    </row>
    <row r="846" spans="8:8" x14ac:dyDescent="0.25">
      <c r="H846" t="s">
        <v>8677</v>
      </c>
    </row>
    <row r="847" spans="8:8" x14ac:dyDescent="0.25">
      <c r="H847" t="s">
        <v>30</v>
      </c>
    </row>
    <row r="849" spans="8:8" x14ac:dyDescent="0.25">
      <c r="H849" t="s">
        <v>8678</v>
      </c>
    </row>
    <row r="850" spans="8:8" x14ac:dyDescent="0.25">
      <c r="H850" t="s">
        <v>8679</v>
      </c>
    </row>
    <row r="851" spans="8:8" x14ac:dyDescent="0.25">
      <c r="H851" t="s">
        <v>135</v>
      </c>
    </row>
    <row r="852" spans="8:8" x14ac:dyDescent="0.25">
      <c r="H852" t="s">
        <v>8680</v>
      </c>
    </row>
    <row r="853" spans="8:8" x14ac:dyDescent="0.25">
      <c r="H853" t="s">
        <v>30</v>
      </c>
    </row>
    <row r="854" spans="8:8" x14ac:dyDescent="0.25">
      <c r="H854" t="s">
        <v>136</v>
      </c>
    </row>
    <row r="855" spans="8:8" x14ac:dyDescent="0.25">
      <c r="H855" t="s">
        <v>8681</v>
      </c>
    </row>
    <row r="856" spans="8:8" x14ac:dyDescent="0.25">
      <c r="H856" t="s">
        <v>30</v>
      </c>
    </row>
    <row r="857" spans="8:8" x14ac:dyDescent="0.25">
      <c r="H857" t="s">
        <v>137</v>
      </c>
    </row>
    <row r="858" spans="8:8" x14ac:dyDescent="0.25">
      <c r="H858" t="s">
        <v>8682</v>
      </c>
    </row>
    <row r="859" spans="8:8" x14ac:dyDescent="0.25">
      <c r="H859" t="s">
        <v>30</v>
      </c>
    </row>
    <row r="860" spans="8:8" x14ac:dyDescent="0.25">
      <c r="H860" t="s">
        <v>138</v>
      </c>
    </row>
    <row r="861" spans="8:8" x14ac:dyDescent="0.25">
      <c r="H861" t="s">
        <v>8683</v>
      </c>
    </row>
    <row r="862" spans="8:8" x14ac:dyDescent="0.25">
      <c r="H862" t="s">
        <v>30</v>
      </c>
    </row>
    <row r="864" spans="8:8" x14ac:dyDescent="0.25">
      <c r="H864" t="s">
        <v>8684</v>
      </c>
    </row>
    <row r="865" spans="8:8" x14ac:dyDescent="0.25">
      <c r="H865" t="s">
        <v>8685</v>
      </c>
    </row>
    <row r="866" spans="8:8" x14ac:dyDescent="0.25">
      <c r="H866" t="s">
        <v>135</v>
      </c>
    </row>
    <row r="867" spans="8:8" x14ac:dyDescent="0.25">
      <c r="H867" t="s">
        <v>8686</v>
      </c>
    </row>
    <row r="868" spans="8:8" x14ac:dyDescent="0.25">
      <c r="H868" t="s">
        <v>30</v>
      </c>
    </row>
    <row r="869" spans="8:8" x14ac:dyDescent="0.25">
      <c r="H869" t="s">
        <v>136</v>
      </c>
    </row>
    <row r="870" spans="8:8" x14ac:dyDescent="0.25">
      <c r="H870" t="s">
        <v>8687</v>
      </c>
    </row>
    <row r="871" spans="8:8" x14ac:dyDescent="0.25">
      <c r="H871" t="s">
        <v>30</v>
      </c>
    </row>
    <row r="872" spans="8:8" x14ac:dyDescent="0.25">
      <c r="H872" t="s">
        <v>137</v>
      </c>
    </row>
    <row r="873" spans="8:8" x14ac:dyDescent="0.25">
      <c r="H873" t="s">
        <v>8688</v>
      </c>
    </row>
    <row r="874" spans="8:8" x14ac:dyDescent="0.25">
      <c r="H874" t="s">
        <v>30</v>
      </c>
    </row>
    <row r="875" spans="8:8" x14ac:dyDescent="0.25">
      <c r="H875" t="s">
        <v>138</v>
      </c>
    </row>
    <row r="876" spans="8:8" x14ac:dyDescent="0.25">
      <c r="H876" t="s">
        <v>8689</v>
      </c>
    </row>
    <row r="877" spans="8:8" x14ac:dyDescent="0.25">
      <c r="H877" t="s">
        <v>30</v>
      </c>
    </row>
    <row r="879" spans="8:8" x14ac:dyDescent="0.25">
      <c r="H879" t="s">
        <v>8690</v>
      </c>
    </row>
    <row r="880" spans="8:8" x14ac:dyDescent="0.25">
      <c r="H880" t="s">
        <v>8691</v>
      </c>
    </row>
    <row r="881" spans="8:8" x14ac:dyDescent="0.25">
      <c r="H881" t="s">
        <v>135</v>
      </c>
    </row>
    <row r="882" spans="8:8" x14ac:dyDescent="0.25">
      <c r="H882" t="s">
        <v>8692</v>
      </c>
    </row>
    <row r="883" spans="8:8" x14ac:dyDescent="0.25">
      <c r="H883" t="s">
        <v>30</v>
      </c>
    </row>
    <row r="884" spans="8:8" x14ac:dyDescent="0.25">
      <c r="H884" t="s">
        <v>136</v>
      </c>
    </row>
    <row r="885" spans="8:8" x14ac:dyDescent="0.25">
      <c r="H885" t="s">
        <v>8693</v>
      </c>
    </row>
    <row r="886" spans="8:8" x14ac:dyDescent="0.25">
      <c r="H886" t="s">
        <v>30</v>
      </c>
    </row>
    <row r="887" spans="8:8" x14ac:dyDescent="0.25">
      <c r="H887" t="s">
        <v>137</v>
      </c>
    </row>
    <row r="888" spans="8:8" x14ac:dyDescent="0.25">
      <c r="H888" t="s">
        <v>8694</v>
      </c>
    </row>
    <row r="889" spans="8:8" x14ac:dyDescent="0.25">
      <c r="H889" t="s">
        <v>30</v>
      </c>
    </row>
    <row r="890" spans="8:8" x14ac:dyDescent="0.25">
      <c r="H890" t="s">
        <v>138</v>
      </c>
    </row>
    <row r="891" spans="8:8" x14ac:dyDescent="0.25">
      <c r="H891" t="s">
        <v>8695</v>
      </c>
    </row>
    <row r="892" spans="8:8" x14ac:dyDescent="0.25">
      <c r="H892" t="s">
        <v>30</v>
      </c>
    </row>
    <row r="894" spans="8:8" x14ac:dyDescent="0.25">
      <c r="H894" t="s">
        <v>8696</v>
      </c>
    </row>
    <row r="895" spans="8:8" x14ac:dyDescent="0.25">
      <c r="H895" t="s">
        <v>8697</v>
      </c>
    </row>
    <row r="896" spans="8:8" x14ac:dyDescent="0.25">
      <c r="H896" t="s">
        <v>135</v>
      </c>
    </row>
    <row r="897" spans="8:8" x14ac:dyDescent="0.25">
      <c r="H897" t="s">
        <v>8698</v>
      </c>
    </row>
    <row r="898" spans="8:8" x14ac:dyDescent="0.25">
      <c r="H898" t="s">
        <v>30</v>
      </c>
    </row>
    <row r="899" spans="8:8" x14ac:dyDescent="0.25">
      <c r="H899" t="s">
        <v>136</v>
      </c>
    </row>
    <row r="900" spans="8:8" x14ac:dyDescent="0.25">
      <c r="H900" t="s">
        <v>8699</v>
      </c>
    </row>
    <row r="901" spans="8:8" x14ac:dyDescent="0.25">
      <c r="H901" t="s">
        <v>30</v>
      </c>
    </row>
    <row r="902" spans="8:8" x14ac:dyDescent="0.25">
      <c r="H902" t="s">
        <v>137</v>
      </c>
    </row>
    <row r="903" spans="8:8" x14ac:dyDescent="0.25">
      <c r="H903" t="s">
        <v>8700</v>
      </c>
    </row>
    <row r="904" spans="8:8" x14ac:dyDescent="0.25">
      <c r="H904" t="s">
        <v>30</v>
      </c>
    </row>
    <row r="905" spans="8:8" x14ac:dyDescent="0.25">
      <c r="H905" t="s">
        <v>138</v>
      </c>
    </row>
    <row r="906" spans="8:8" x14ac:dyDescent="0.25">
      <c r="H906" t="s">
        <v>8701</v>
      </c>
    </row>
    <row r="907" spans="8:8" x14ac:dyDescent="0.25">
      <c r="H907" t="s">
        <v>30</v>
      </c>
    </row>
    <row r="909" spans="8:8" x14ac:dyDescent="0.25">
      <c r="H909" t="s">
        <v>8702</v>
      </c>
    </row>
    <row r="910" spans="8:8" x14ac:dyDescent="0.25">
      <c r="H910" t="s">
        <v>8703</v>
      </c>
    </row>
    <row r="911" spans="8:8" x14ac:dyDescent="0.25">
      <c r="H911" t="s">
        <v>135</v>
      </c>
    </row>
    <row r="912" spans="8:8" x14ac:dyDescent="0.25">
      <c r="H912" t="s">
        <v>8704</v>
      </c>
    </row>
    <row r="913" spans="8:8" x14ac:dyDescent="0.25">
      <c r="H913" t="s">
        <v>30</v>
      </c>
    </row>
    <row r="914" spans="8:8" x14ac:dyDescent="0.25">
      <c r="H914" t="s">
        <v>136</v>
      </c>
    </row>
    <row r="915" spans="8:8" x14ac:dyDescent="0.25">
      <c r="H915" t="s">
        <v>8705</v>
      </c>
    </row>
    <row r="916" spans="8:8" x14ac:dyDescent="0.25">
      <c r="H916" t="s">
        <v>30</v>
      </c>
    </row>
    <row r="917" spans="8:8" x14ac:dyDescent="0.25">
      <c r="H917" t="s">
        <v>137</v>
      </c>
    </row>
    <row r="918" spans="8:8" x14ac:dyDescent="0.25">
      <c r="H918" t="s">
        <v>8706</v>
      </c>
    </row>
    <row r="919" spans="8:8" x14ac:dyDescent="0.25">
      <c r="H919" t="s">
        <v>30</v>
      </c>
    </row>
    <row r="920" spans="8:8" x14ac:dyDescent="0.25">
      <c r="H920" t="s">
        <v>138</v>
      </c>
    </row>
    <row r="921" spans="8:8" x14ac:dyDescent="0.25">
      <c r="H921" t="s">
        <v>8707</v>
      </c>
    </row>
    <row r="922" spans="8:8" x14ac:dyDescent="0.25">
      <c r="H922" t="s">
        <v>30</v>
      </c>
    </row>
    <row r="924" spans="8:8" x14ac:dyDescent="0.25">
      <c r="H924" t="s">
        <v>8708</v>
      </c>
    </row>
    <row r="925" spans="8:8" x14ac:dyDescent="0.25">
      <c r="H925" t="s">
        <v>8709</v>
      </c>
    </row>
    <row r="926" spans="8:8" x14ac:dyDescent="0.25">
      <c r="H926" t="s">
        <v>135</v>
      </c>
    </row>
    <row r="927" spans="8:8" x14ac:dyDescent="0.25">
      <c r="H927" t="s">
        <v>8710</v>
      </c>
    </row>
    <row r="928" spans="8:8" x14ac:dyDescent="0.25">
      <c r="H928" t="s">
        <v>30</v>
      </c>
    </row>
    <row r="929" spans="8:8" x14ac:dyDescent="0.25">
      <c r="H929" t="s">
        <v>136</v>
      </c>
    </row>
    <row r="930" spans="8:8" x14ac:dyDescent="0.25">
      <c r="H930" t="s">
        <v>8711</v>
      </c>
    </row>
    <row r="931" spans="8:8" x14ac:dyDescent="0.25">
      <c r="H931" t="s">
        <v>30</v>
      </c>
    </row>
    <row r="932" spans="8:8" x14ac:dyDescent="0.25">
      <c r="H932" t="s">
        <v>137</v>
      </c>
    </row>
    <row r="933" spans="8:8" x14ac:dyDescent="0.25">
      <c r="H933" t="s">
        <v>8712</v>
      </c>
    </row>
    <row r="934" spans="8:8" x14ac:dyDescent="0.25">
      <c r="H934" t="s">
        <v>30</v>
      </c>
    </row>
    <row r="935" spans="8:8" x14ac:dyDescent="0.25">
      <c r="H935" t="s">
        <v>138</v>
      </c>
    </row>
    <row r="936" spans="8:8" x14ac:dyDescent="0.25">
      <c r="H936" t="s">
        <v>8713</v>
      </c>
    </row>
    <row r="937" spans="8:8" x14ac:dyDescent="0.25">
      <c r="H937" t="s">
        <v>30</v>
      </c>
    </row>
    <row r="939" spans="8:8" x14ac:dyDescent="0.25">
      <c r="H939" t="s">
        <v>8714</v>
      </c>
    </row>
    <row r="940" spans="8:8" x14ac:dyDescent="0.25">
      <c r="H940" t="s">
        <v>8715</v>
      </c>
    </row>
    <row r="941" spans="8:8" x14ac:dyDescent="0.25">
      <c r="H941" t="s">
        <v>135</v>
      </c>
    </row>
    <row r="942" spans="8:8" x14ac:dyDescent="0.25">
      <c r="H942" t="s">
        <v>8716</v>
      </c>
    </row>
    <row r="943" spans="8:8" x14ac:dyDescent="0.25">
      <c r="H943" t="s">
        <v>30</v>
      </c>
    </row>
    <row r="944" spans="8:8" x14ac:dyDescent="0.25">
      <c r="H944" t="s">
        <v>136</v>
      </c>
    </row>
    <row r="945" spans="8:8" x14ac:dyDescent="0.25">
      <c r="H945" t="s">
        <v>8717</v>
      </c>
    </row>
    <row r="946" spans="8:8" x14ac:dyDescent="0.25">
      <c r="H946" t="s">
        <v>30</v>
      </c>
    </row>
    <row r="947" spans="8:8" x14ac:dyDescent="0.25">
      <c r="H947" t="s">
        <v>137</v>
      </c>
    </row>
    <row r="948" spans="8:8" x14ac:dyDescent="0.25">
      <c r="H948" t="s">
        <v>8718</v>
      </c>
    </row>
    <row r="949" spans="8:8" x14ac:dyDescent="0.25">
      <c r="H949" t="s">
        <v>30</v>
      </c>
    </row>
    <row r="950" spans="8:8" x14ac:dyDescent="0.25">
      <c r="H950" t="s">
        <v>138</v>
      </c>
    </row>
    <row r="951" spans="8:8" x14ac:dyDescent="0.25">
      <c r="H951" t="s">
        <v>8719</v>
      </c>
    </row>
    <row r="952" spans="8:8" x14ac:dyDescent="0.25">
      <c r="H952" t="s">
        <v>30</v>
      </c>
    </row>
    <row r="954" spans="8:8" x14ac:dyDescent="0.25">
      <c r="H954" t="s">
        <v>8720</v>
      </c>
    </row>
    <row r="955" spans="8:8" x14ac:dyDescent="0.25">
      <c r="H955" t="s">
        <v>8721</v>
      </c>
    </row>
    <row r="956" spans="8:8" x14ac:dyDescent="0.25">
      <c r="H956" t="s">
        <v>135</v>
      </c>
    </row>
    <row r="957" spans="8:8" x14ac:dyDescent="0.25">
      <c r="H957" t="s">
        <v>8722</v>
      </c>
    </row>
    <row r="958" spans="8:8" x14ac:dyDescent="0.25">
      <c r="H958" t="s">
        <v>30</v>
      </c>
    </row>
    <row r="959" spans="8:8" x14ac:dyDescent="0.25">
      <c r="H959" t="s">
        <v>136</v>
      </c>
    </row>
    <row r="960" spans="8:8" x14ac:dyDescent="0.25">
      <c r="H960" t="s">
        <v>8723</v>
      </c>
    </row>
    <row r="961" spans="8:8" x14ac:dyDescent="0.25">
      <c r="H961" t="s">
        <v>30</v>
      </c>
    </row>
    <row r="962" spans="8:8" x14ac:dyDescent="0.25">
      <c r="H962" t="s">
        <v>137</v>
      </c>
    </row>
    <row r="963" spans="8:8" x14ac:dyDescent="0.25">
      <c r="H963" t="s">
        <v>8724</v>
      </c>
    </row>
    <row r="964" spans="8:8" x14ac:dyDescent="0.25">
      <c r="H964" t="s">
        <v>30</v>
      </c>
    </row>
    <row r="965" spans="8:8" x14ac:dyDescent="0.25">
      <c r="H965" t="s">
        <v>138</v>
      </c>
    </row>
    <row r="966" spans="8:8" x14ac:dyDescent="0.25">
      <c r="H966" t="s">
        <v>8725</v>
      </c>
    </row>
    <row r="967" spans="8:8" x14ac:dyDescent="0.25">
      <c r="H967" t="s">
        <v>30</v>
      </c>
    </row>
    <row r="969" spans="8:8" x14ac:dyDescent="0.25">
      <c r="H969" t="s">
        <v>8726</v>
      </c>
    </row>
    <row r="970" spans="8:8" x14ac:dyDescent="0.25">
      <c r="H970" t="s">
        <v>8727</v>
      </c>
    </row>
    <row r="971" spans="8:8" x14ac:dyDescent="0.25">
      <c r="H971" t="s">
        <v>135</v>
      </c>
    </row>
    <row r="972" spans="8:8" x14ac:dyDescent="0.25">
      <c r="H972" t="s">
        <v>8728</v>
      </c>
    </row>
    <row r="973" spans="8:8" x14ac:dyDescent="0.25">
      <c r="H973" t="s">
        <v>30</v>
      </c>
    </row>
    <row r="974" spans="8:8" x14ac:dyDescent="0.25">
      <c r="H974" t="s">
        <v>136</v>
      </c>
    </row>
    <row r="975" spans="8:8" x14ac:dyDescent="0.25">
      <c r="H975" t="s">
        <v>8729</v>
      </c>
    </row>
    <row r="976" spans="8:8" x14ac:dyDescent="0.25">
      <c r="H976" t="s">
        <v>30</v>
      </c>
    </row>
    <row r="977" spans="8:8" x14ac:dyDescent="0.25">
      <c r="H977" t="s">
        <v>137</v>
      </c>
    </row>
    <row r="978" spans="8:8" x14ac:dyDescent="0.25">
      <c r="H978" t="s">
        <v>8730</v>
      </c>
    </row>
    <row r="979" spans="8:8" x14ac:dyDescent="0.25">
      <c r="H979" t="s">
        <v>30</v>
      </c>
    </row>
    <row r="980" spans="8:8" x14ac:dyDescent="0.25">
      <c r="H980" t="s">
        <v>138</v>
      </c>
    </row>
    <row r="981" spans="8:8" x14ac:dyDescent="0.25">
      <c r="H981" t="s">
        <v>8731</v>
      </c>
    </row>
    <row r="982" spans="8:8" x14ac:dyDescent="0.25">
      <c r="H982" t="s">
        <v>30</v>
      </c>
    </row>
    <row r="984" spans="8:8" x14ac:dyDescent="0.25">
      <c r="H984" t="s">
        <v>8732</v>
      </c>
    </row>
    <row r="985" spans="8:8" x14ac:dyDescent="0.25">
      <c r="H985" t="s">
        <v>8733</v>
      </c>
    </row>
    <row r="986" spans="8:8" x14ac:dyDescent="0.25">
      <c r="H986" t="s">
        <v>135</v>
      </c>
    </row>
    <row r="987" spans="8:8" x14ac:dyDescent="0.25">
      <c r="H987" t="s">
        <v>8734</v>
      </c>
    </row>
    <row r="988" spans="8:8" x14ac:dyDescent="0.25">
      <c r="H988" t="s">
        <v>30</v>
      </c>
    </row>
    <row r="989" spans="8:8" x14ac:dyDescent="0.25">
      <c r="H989" t="s">
        <v>136</v>
      </c>
    </row>
    <row r="990" spans="8:8" x14ac:dyDescent="0.25">
      <c r="H990" t="s">
        <v>8735</v>
      </c>
    </row>
    <row r="991" spans="8:8" x14ac:dyDescent="0.25">
      <c r="H991" t="s">
        <v>30</v>
      </c>
    </row>
    <row r="992" spans="8:8" x14ac:dyDescent="0.25">
      <c r="H992" t="s">
        <v>137</v>
      </c>
    </row>
    <row r="993" spans="8:8" x14ac:dyDescent="0.25">
      <c r="H993" t="s">
        <v>8736</v>
      </c>
    </row>
    <row r="994" spans="8:8" x14ac:dyDescent="0.25">
      <c r="H994" t="s">
        <v>30</v>
      </c>
    </row>
    <row r="995" spans="8:8" x14ac:dyDescent="0.25">
      <c r="H995" t="s">
        <v>138</v>
      </c>
    </row>
    <row r="996" spans="8:8" x14ac:dyDescent="0.25">
      <c r="H996" t="s">
        <v>8737</v>
      </c>
    </row>
    <row r="997" spans="8:8" x14ac:dyDescent="0.25">
      <c r="H997" t="s">
        <v>30</v>
      </c>
    </row>
    <row r="999" spans="8:8" x14ac:dyDescent="0.25">
      <c r="H999" t="s">
        <v>8738</v>
      </c>
    </row>
    <row r="1000" spans="8:8" x14ac:dyDescent="0.25">
      <c r="H1000" t="s">
        <v>8739</v>
      </c>
    </row>
    <row r="1001" spans="8:8" x14ac:dyDescent="0.25">
      <c r="H1001" t="s">
        <v>135</v>
      </c>
    </row>
    <row r="1002" spans="8:8" x14ac:dyDescent="0.25">
      <c r="H1002" t="s">
        <v>8740</v>
      </c>
    </row>
    <row r="1003" spans="8:8" x14ac:dyDescent="0.25">
      <c r="H1003" t="s">
        <v>30</v>
      </c>
    </row>
    <row r="1004" spans="8:8" x14ac:dyDescent="0.25">
      <c r="H1004" t="s">
        <v>136</v>
      </c>
    </row>
    <row r="1005" spans="8:8" x14ac:dyDescent="0.25">
      <c r="H1005" t="s">
        <v>8741</v>
      </c>
    </row>
    <row r="1006" spans="8:8" x14ac:dyDescent="0.25">
      <c r="H1006" t="s">
        <v>30</v>
      </c>
    </row>
    <row r="1007" spans="8:8" x14ac:dyDescent="0.25">
      <c r="H1007" t="s">
        <v>137</v>
      </c>
    </row>
    <row r="1008" spans="8:8" x14ac:dyDescent="0.25">
      <c r="H1008" t="s">
        <v>8742</v>
      </c>
    </row>
    <row r="1009" spans="8:8" x14ac:dyDescent="0.25">
      <c r="H1009" t="s">
        <v>30</v>
      </c>
    </row>
    <row r="1010" spans="8:8" x14ac:dyDescent="0.25">
      <c r="H1010" t="s">
        <v>138</v>
      </c>
    </row>
    <row r="1011" spans="8:8" x14ac:dyDescent="0.25">
      <c r="H1011" t="s">
        <v>8743</v>
      </c>
    </row>
    <row r="1012" spans="8:8" x14ac:dyDescent="0.25">
      <c r="H1012" t="s">
        <v>30</v>
      </c>
    </row>
    <row r="1014" spans="8:8" x14ac:dyDescent="0.25">
      <c r="H1014" t="s">
        <v>8744</v>
      </c>
    </row>
    <row r="1015" spans="8:8" x14ac:dyDescent="0.25">
      <c r="H1015" t="s">
        <v>8745</v>
      </c>
    </row>
    <row r="1016" spans="8:8" x14ac:dyDescent="0.25">
      <c r="H1016" t="s">
        <v>135</v>
      </c>
    </row>
    <row r="1017" spans="8:8" x14ac:dyDescent="0.25">
      <c r="H1017" t="s">
        <v>8746</v>
      </c>
    </row>
    <row r="1018" spans="8:8" x14ac:dyDescent="0.25">
      <c r="H1018" t="s">
        <v>30</v>
      </c>
    </row>
    <row r="1019" spans="8:8" x14ac:dyDescent="0.25">
      <c r="H1019" t="s">
        <v>136</v>
      </c>
    </row>
    <row r="1020" spans="8:8" x14ac:dyDescent="0.25">
      <c r="H1020" t="s">
        <v>8747</v>
      </c>
    </row>
    <row r="1021" spans="8:8" x14ac:dyDescent="0.25">
      <c r="H1021" t="s">
        <v>30</v>
      </c>
    </row>
    <row r="1022" spans="8:8" x14ac:dyDescent="0.25">
      <c r="H1022" t="s">
        <v>137</v>
      </c>
    </row>
    <row r="1023" spans="8:8" x14ac:dyDescent="0.25">
      <c r="H1023" t="s">
        <v>8748</v>
      </c>
    </row>
    <row r="1024" spans="8:8" x14ac:dyDescent="0.25">
      <c r="H1024" t="s">
        <v>30</v>
      </c>
    </row>
    <row r="1025" spans="8:8" x14ac:dyDescent="0.25">
      <c r="H1025" t="s">
        <v>138</v>
      </c>
    </row>
    <row r="1026" spans="8:8" x14ac:dyDescent="0.25">
      <c r="H1026" t="s">
        <v>8749</v>
      </c>
    </row>
    <row r="1027" spans="8:8" x14ac:dyDescent="0.25">
      <c r="H1027" t="s">
        <v>30</v>
      </c>
    </row>
    <row r="1029" spans="8:8" x14ac:dyDescent="0.25">
      <c r="H1029" t="s">
        <v>8750</v>
      </c>
    </row>
    <row r="1030" spans="8:8" x14ac:dyDescent="0.25">
      <c r="H1030" t="s">
        <v>8751</v>
      </c>
    </row>
    <row r="1031" spans="8:8" x14ac:dyDescent="0.25">
      <c r="H1031" t="s">
        <v>135</v>
      </c>
    </row>
    <row r="1032" spans="8:8" x14ac:dyDescent="0.25">
      <c r="H1032" t="s">
        <v>8752</v>
      </c>
    </row>
    <row r="1033" spans="8:8" x14ac:dyDescent="0.25">
      <c r="H1033" t="s">
        <v>30</v>
      </c>
    </row>
    <row r="1034" spans="8:8" x14ac:dyDescent="0.25">
      <c r="H1034" t="s">
        <v>136</v>
      </c>
    </row>
    <row r="1035" spans="8:8" x14ac:dyDescent="0.25">
      <c r="H1035" t="s">
        <v>8753</v>
      </c>
    </row>
    <row r="1036" spans="8:8" x14ac:dyDescent="0.25">
      <c r="H1036" t="s">
        <v>30</v>
      </c>
    </row>
    <row r="1037" spans="8:8" x14ac:dyDescent="0.25">
      <c r="H1037" t="s">
        <v>137</v>
      </c>
    </row>
    <row r="1038" spans="8:8" x14ac:dyDescent="0.25">
      <c r="H1038" t="s">
        <v>8754</v>
      </c>
    </row>
    <row r="1039" spans="8:8" x14ac:dyDescent="0.25">
      <c r="H1039" t="s">
        <v>30</v>
      </c>
    </row>
    <row r="1040" spans="8:8" x14ac:dyDescent="0.25">
      <c r="H1040" t="s">
        <v>138</v>
      </c>
    </row>
    <row r="1041" spans="8:8" x14ac:dyDescent="0.25">
      <c r="H1041" t="s">
        <v>8755</v>
      </c>
    </row>
    <row r="1042" spans="8:8" x14ac:dyDescent="0.25">
      <c r="H1042" t="s">
        <v>30</v>
      </c>
    </row>
    <row r="1044" spans="8:8" x14ac:dyDescent="0.25">
      <c r="H1044" t="s">
        <v>8756</v>
      </c>
    </row>
    <row r="1045" spans="8:8" x14ac:dyDescent="0.25">
      <c r="H1045" t="s">
        <v>8757</v>
      </c>
    </row>
    <row r="1046" spans="8:8" x14ac:dyDescent="0.25">
      <c r="H1046" t="s">
        <v>135</v>
      </c>
    </row>
    <row r="1047" spans="8:8" x14ac:dyDescent="0.25">
      <c r="H1047" t="s">
        <v>8758</v>
      </c>
    </row>
    <row r="1048" spans="8:8" x14ac:dyDescent="0.25">
      <c r="H1048" t="s">
        <v>30</v>
      </c>
    </row>
    <row r="1049" spans="8:8" x14ac:dyDescent="0.25">
      <c r="H1049" t="s">
        <v>136</v>
      </c>
    </row>
    <row r="1050" spans="8:8" x14ac:dyDescent="0.25">
      <c r="H1050" t="s">
        <v>8759</v>
      </c>
    </row>
    <row r="1051" spans="8:8" x14ac:dyDescent="0.25">
      <c r="H1051" t="s">
        <v>30</v>
      </c>
    </row>
    <row r="1052" spans="8:8" x14ac:dyDescent="0.25">
      <c r="H1052" t="s">
        <v>137</v>
      </c>
    </row>
    <row r="1053" spans="8:8" x14ac:dyDescent="0.25">
      <c r="H1053" t="s">
        <v>8760</v>
      </c>
    </row>
    <row r="1054" spans="8:8" x14ac:dyDescent="0.25">
      <c r="H1054" t="s">
        <v>30</v>
      </c>
    </row>
    <row r="1055" spans="8:8" x14ac:dyDescent="0.25">
      <c r="H1055" t="s">
        <v>138</v>
      </c>
    </row>
    <row r="1056" spans="8:8" x14ac:dyDescent="0.25">
      <c r="H1056" t="s">
        <v>8761</v>
      </c>
    </row>
    <row r="1057" spans="8:8" x14ac:dyDescent="0.25">
      <c r="H1057" t="s">
        <v>30</v>
      </c>
    </row>
    <row r="1059" spans="8:8" x14ac:dyDescent="0.25">
      <c r="H1059" t="s">
        <v>8762</v>
      </c>
    </row>
    <row r="1060" spans="8:8" x14ac:dyDescent="0.25">
      <c r="H1060" t="s">
        <v>8763</v>
      </c>
    </row>
    <row r="1061" spans="8:8" x14ac:dyDescent="0.25">
      <c r="H1061" t="s">
        <v>135</v>
      </c>
    </row>
    <row r="1062" spans="8:8" x14ac:dyDescent="0.25">
      <c r="H1062" t="s">
        <v>8764</v>
      </c>
    </row>
    <row r="1063" spans="8:8" x14ac:dyDescent="0.25">
      <c r="H1063" t="s">
        <v>30</v>
      </c>
    </row>
    <row r="1064" spans="8:8" x14ac:dyDescent="0.25">
      <c r="H1064" t="s">
        <v>136</v>
      </c>
    </row>
    <row r="1065" spans="8:8" x14ac:dyDescent="0.25">
      <c r="H1065" t="s">
        <v>8765</v>
      </c>
    </row>
    <row r="1066" spans="8:8" x14ac:dyDescent="0.25">
      <c r="H1066" t="s">
        <v>30</v>
      </c>
    </row>
    <row r="1067" spans="8:8" x14ac:dyDescent="0.25">
      <c r="H1067" t="s">
        <v>137</v>
      </c>
    </row>
    <row r="1068" spans="8:8" x14ac:dyDescent="0.25">
      <c r="H1068" t="s">
        <v>8766</v>
      </c>
    </row>
    <row r="1069" spans="8:8" x14ac:dyDescent="0.25">
      <c r="H1069" t="s">
        <v>30</v>
      </c>
    </row>
    <row r="1070" spans="8:8" x14ac:dyDescent="0.25">
      <c r="H1070" t="s">
        <v>138</v>
      </c>
    </row>
    <row r="1071" spans="8:8" x14ac:dyDescent="0.25">
      <c r="H1071" t="s">
        <v>8767</v>
      </c>
    </row>
    <row r="1072" spans="8:8" x14ac:dyDescent="0.25">
      <c r="H1072" t="s">
        <v>30</v>
      </c>
    </row>
    <row r="1074" spans="8:8" x14ac:dyDescent="0.25">
      <c r="H1074" t="s">
        <v>8768</v>
      </c>
    </row>
    <row r="1075" spans="8:8" x14ac:dyDescent="0.25">
      <c r="H1075" t="s">
        <v>8769</v>
      </c>
    </row>
    <row r="1076" spans="8:8" x14ac:dyDescent="0.25">
      <c r="H1076" t="s">
        <v>135</v>
      </c>
    </row>
    <row r="1077" spans="8:8" x14ac:dyDescent="0.25">
      <c r="H1077" t="s">
        <v>8770</v>
      </c>
    </row>
    <row r="1078" spans="8:8" x14ac:dyDescent="0.25">
      <c r="H1078" t="s">
        <v>30</v>
      </c>
    </row>
    <row r="1079" spans="8:8" x14ac:dyDescent="0.25">
      <c r="H1079" t="s">
        <v>136</v>
      </c>
    </row>
    <row r="1080" spans="8:8" x14ac:dyDescent="0.25">
      <c r="H1080" t="s">
        <v>8771</v>
      </c>
    </row>
    <row r="1081" spans="8:8" x14ac:dyDescent="0.25">
      <c r="H1081" t="s">
        <v>30</v>
      </c>
    </row>
    <row r="1082" spans="8:8" x14ac:dyDescent="0.25">
      <c r="H1082" t="s">
        <v>137</v>
      </c>
    </row>
    <row r="1083" spans="8:8" x14ac:dyDescent="0.25">
      <c r="H1083" t="s">
        <v>8772</v>
      </c>
    </row>
    <row r="1084" spans="8:8" x14ac:dyDescent="0.25">
      <c r="H1084" t="s">
        <v>30</v>
      </c>
    </row>
    <row r="1085" spans="8:8" x14ac:dyDescent="0.25">
      <c r="H1085" t="s">
        <v>138</v>
      </c>
    </row>
    <row r="1086" spans="8:8" x14ac:dyDescent="0.25">
      <c r="H1086" t="s">
        <v>8773</v>
      </c>
    </row>
    <row r="1087" spans="8:8" x14ac:dyDescent="0.25">
      <c r="H1087" t="s">
        <v>30</v>
      </c>
    </row>
    <row r="1089" spans="8:8" x14ac:dyDescent="0.25">
      <c r="H1089" t="s">
        <v>8774</v>
      </c>
    </row>
    <row r="1090" spans="8:8" x14ac:dyDescent="0.25">
      <c r="H1090" t="s">
        <v>8775</v>
      </c>
    </row>
    <row r="1091" spans="8:8" x14ac:dyDescent="0.25">
      <c r="H1091" t="s">
        <v>135</v>
      </c>
    </row>
    <row r="1092" spans="8:8" x14ac:dyDescent="0.25">
      <c r="H1092" t="s">
        <v>8776</v>
      </c>
    </row>
    <row r="1093" spans="8:8" x14ac:dyDescent="0.25">
      <c r="H1093" t="s">
        <v>30</v>
      </c>
    </row>
    <row r="1094" spans="8:8" x14ac:dyDescent="0.25">
      <c r="H1094" t="s">
        <v>136</v>
      </c>
    </row>
    <row r="1095" spans="8:8" x14ac:dyDescent="0.25">
      <c r="H1095" t="s">
        <v>8777</v>
      </c>
    </row>
    <row r="1096" spans="8:8" x14ac:dyDescent="0.25">
      <c r="H1096" t="s">
        <v>30</v>
      </c>
    </row>
    <row r="1097" spans="8:8" x14ac:dyDescent="0.25">
      <c r="H1097" t="s">
        <v>137</v>
      </c>
    </row>
    <row r="1098" spans="8:8" x14ac:dyDescent="0.25">
      <c r="H1098" t="s">
        <v>8778</v>
      </c>
    </row>
    <row r="1099" spans="8:8" x14ac:dyDescent="0.25">
      <c r="H1099" t="s">
        <v>30</v>
      </c>
    </row>
    <row r="1100" spans="8:8" x14ac:dyDescent="0.25">
      <c r="H1100" t="s">
        <v>138</v>
      </c>
    </row>
    <row r="1101" spans="8:8" x14ac:dyDescent="0.25">
      <c r="H1101" t="s">
        <v>8779</v>
      </c>
    </row>
    <row r="1102" spans="8:8" x14ac:dyDescent="0.25">
      <c r="H1102" t="s">
        <v>30</v>
      </c>
    </row>
    <row r="1104" spans="8:8" x14ac:dyDescent="0.25">
      <c r="H1104" t="s">
        <v>8780</v>
      </c>
    </row>
    <row r="1105" spans="8:8" x14ac:dyDescent="0.25">
      <c r="H1105" t="s">
        <v>8781</v>
      </c>
    </row>
    <row r="1106" spans="8:8" x14ac:dyDescent="0.25">
      <c r="H1106" t="s">
        <v>135</v>
      </c>
    </row>
    <row r="1107" spans="8:8" x14ac:dyDescent="0.25">
      <c r="H1107" t="s">
        <v>8782</v>
      </c>
    </row>
    <row r="1108" spans="8:8" x14ac:dyDescent="0.25">
      <c r="H1108" t="s">
        <v>30</v>
      </c>
    </row>
    <row r="1109" spans="8:8" x14ac:dyDescent="0.25">
      <c r="H1109" t="s">
        <v>136</v>
      </c>
    </row>
    <row r="1110" spans="8:8" x14ac:dyDescent="0.25">
      <c r="H1110" t="s">
        <v>8783</v>
      </c>
    </row>
    <row r="1111" spans="8:8" x14ac:dyDescent="0.25">
      <c r="H1111" t="s">
        <v>30</v>
      </c>
    </row>
    <row r="1112" spans="8:8" x14ac:dyDescent="0.25">
      <c r="H1112" t="s">
        <v>137</v>
      </c>
    </row>
    <row r="1113" spans="8:8" x14ac:dyDescent="0.25">
      <c r="H1113" t="s">
        <v>8784</v>
      </c>
    </row>
    <row r="1114" spans="8:8" x14ac:dyDescent="0.25">
      <c r="H1114" t="s">
        <v>30</v>
      </c>
    </row>
    <row r="1115" spans="8:8" x14ac:dyDescent="0.25">
      <c r="H1115" t="s">
        <v>138</v>
      </c>
    </row>
    <row r="1116" spans="8:8" x14ac:dyDescent="0.25">
      <c r="H1116" t="s">
        <v>8785</v>
      </c>
    </row>
    <row r="1117" spans="8:8" x14ac:dyDescent="0.25">
      <c r="H1117" t="s">
        <v>30</v>
      </c>
    </row>
    <row r="1119" spans="8:8" x14ac:dyDescent="0.25">
      <c r="H1119" t="s">
        <v>8786</v>
      </c>
    </row>
    <row r="1120" spans="8:8" x14ac:dyDescent="0.25">
      <c r="H1120" t="s">
        <v>8787</v>
      </c>
    </row>
    <row r="1121" spans="8:8" x14ac:dyDescent="0.25">
      <c r="H1121" t="s">
        <v>135</v>
      </c>
    </row>
    <row r="1122" spans="8:8" x14ac:dyDescent="0.25">
      <c r="H1122" t="s">
        <v>8788</v>
      </c>
    </row>
    <row r="1123" spans="8:8" x14ac:dyDescent="0.25">
      <c r="H1123" t="s">
        <v>30</v>
      </c>
    </row>
    <row r="1124" spans="8:8" x14ac:dyDescent="0.25">
      <c r="H1124" t="s">
        <v>136</v>
      </c>
    </row>
    <row r="1125" spans="8:8" x14ac:dyDescent="0.25">
      <c r="H1125" t="s">
        <v>8789</v>
      </c>
    </row>
    <row r="1126" spans="8:8" x14ac:dyDescent="0.25">
      <c r="H1126" t="s">
        <v>30</v>
      </c>
    </row>
    <row r="1127" spans="8:8" x14ac:dyDescent="0.25">
      <c r="H1127" t="s">
        <v>137</v>
      </c>
    </row>
    <row r="1128" spans="8:8" x14ac:dyDescent="0.25">
      <c r="H1128" t="s">
        <v>8790</v>
      </c>
    </row>
    <row r="1129" spans="8:8" x14ac:dyDescent="0.25">
      <c r="H1129" t="s">
        <v>30</v>
      </c>
    </row>
    <row r="1130" spans="8:8" x14ac:dyDescent="0.25">
      <c r="H1130" t="s">
        <v>138</v>
      </c>
    </row>
    <row r="1131" spans="8:8" x14ac:dyDescent="0.25">
      <c r="H1131" t="s">
        <v>8791</v>
      </c>
    </row>
    <row r="1132" spans="8:8" x14ac:dyDescent="0.25">
      <c r="H1132" t="s">
        <v>30</v>
      </c>
    </row>
    <row r="1134" spans="8:8" x14ac:dyDescent="0.25">
      <c r="H1134" t="s">
        <v>8792</v>
      </c>
    </row>
    <row r="1135" spans="8:8" x14ac:dyDescent="0.25">
      <c r="H1135" t="s">
        <v>8793</v>
      </c>
    </row>
    <row r="1136" spans="8:8" x14ac:dyDescent="0.25">
      <c r="H1136" t="s">
        <v>135</v>
      </c>
    </row>
    <row r="1137" spans="8:8" x14ac:dyDescent="0.25">
      <c r="H1137" t="s">
        <v>8794</v>
      </c>
    </row>
    <row r="1138" spans="8:8" x14ac:dyDescent="0.25">
      <c r="H1138" t="s">
        <v>30</v>
      </c>
    </row>
    <row r="1139" spans="8:8" x14ac:dyDescent="0.25">
      <c r="H1139" t="s">
        <v>136</v>
      </c>
    </row>
    <row r="1140" spans="8:8" x14ac:dyDescent="0.25">
      <c r="H1140" t="s">
        <v>8795</v>
      </c>
    </row>
    <row r="1141" spans="8:8" x14ac:dyDescent="0.25">
      <c r="H1141" t="s">
        <v>30</v>
      </c>
    </row>
    <row r="1142" spans="8:8" x14ac:dyDescent="0.25">
      <c r="H1142" t="s">
        <v>137</v>
      </c>
    </row>
    <row r="1143" spans="8:8" x14ac:dyDescent="0.25">
      <c r="H1143" t="s">
        <v>8796</v>
      </c>
    </row>
    <row r="1144" spans="8:8" x14ac:dyDescent="0.25">
      <c r="H1144" t="s">
        <v>30</v>
      </c>
    </row>
    <row r="1145" spans="8:8" x14ac:dyDescent="0.25">
      <c r="H1145" t="s">
        <v>138</v>
      </c>
    </row>
    <row r="1146" spans="8:8" x14ac:dyDescent="0.25">
      <c r="H1146" t="s">
        <v>8797</v>
      </c>
    </row>
    <row r="1147" spans="8:8" x14ac:dyDescent="0.25">
      <c r="H1147" t="s">
        <v>30</v>
      </c>
    </row>
    <row r="1149" spans="8:8" x14ac:dyDescent="0.25">
      <c r="H1149" t="s">
        <v>8798</v>
      </c>
    </row>
    <row r="1150" spans="8:8" x14ac:dyDescent="0.25">
      <c r="H1150" t="s">
        <v>8799</v>
      </c>
    </row>
    <row r="1151" spans="8:8" x14ac:dyDescent="0.25">
      <c r="H1151" t="s">
        <v>135</v>
      </c>
    </row>
    <row r="1152" spans="8:8" x14ac:dyDescent="0.25">
      <c r="H1152" t="s">
        <v>8800</v>
      </c>
    </row>
    <row r="1153" spans="8:8" x14ac:dyDescent="0.25">
      <c r="H1153" t="s">
        <v>30</v>
      </c>
    </row>
    <row r="1154" spans="8:8" x14ac:dyDescent="0.25">
      <c r="H1154" t="s">
        <v>136</v>
      </c>
    </row>
    <row r="1155" spans="8:8" x14ac:dyDescent="0.25">
      <c r="H1155" t="s">
        <v>8801</v>
      </c>
    </row>
    <row r="1156" spans="8:8" x14ac:dyDescent="0.25">
      <c r="H1156" t="s">
        <v>30</v>
      </c>
    </row>
    <row r="1157" spans="8:8" x14ac:dyDescent="0.25">
      <c r="H1157" t="s">
        <v>137</v>
      </c>
    </row>
    <row r="1158" spans="8:8" x14ac:dyDescent="0.25">
      <c r="H1158" t="s">
        <v>8802</v>
      </c>
    </row>
    <row r="1159" spans="8:8" x14ac:dyDescent="0.25">
      <c r="H1159" t="s">
        <v>30</v>
      </c>
    </row>
    <row r="1160" spans="8:8" x14ac:dyDescent="0.25">
      <c r="H1160" t="s">
        <v>138</v>
      </c>
    </row>
    <row r="1161" spans="8:8" x14ac:dyDescent="0.25">
      <c r="H1161" t="s">
        <v>8803</v>
      </c>
    </row>
    <row r="1162" spans="8:8" x14ac:dyDescent="0.25">
      <c r="H1162" t="s">
        <v>30</v>
      </c>
    </row>
    <row r="1164" spans="8:8" x14ac:dyDescent="0.25">
      <c r="H1164" t="s">
        <v>8804</v>
      </c>
    </row>
    <row r="1165" spans="8:8" x14ac:dyDescent="0.25">
      <c r="H1165" t="s">
        <v>8805</v>
      </c>
    </row>
    <row r="1166" spans="8:8" x14ac:dyDescent="0.25">
      <c r="H1166" t="s">
        <v>135</v>
      </c>
    </row>
    <row r="1167" spans="8:8" x14ac:dyDescent="0.25">
      <c r="H1167" t="s">
        <v>8806</v>
      </c>
    </row>
    <row r="1168" spans="8:8" x14ac:dyDescent="0.25">
      <c r="H1168" t="s">
        <v>30</v>
      </c>
    </row>
    <row r="1169" spans="8:8" x14ac:dyDescent="0.25">
      <c r="H1169" t="s">
        <v>136</v>
      </c>
    </row>
    <row r="1170" spans="8:8" x14ac:dyDescent="0.25">
      <c r="H1170" t="s">
        <v>8807</v>
      </c>
    </row>
    <row r="1171" spans="8:8" x14ac:dyDescent="0.25">
      <c r="H1171" t="s">
        <v>30</v>
      </c>
    </row>
    <row r="1172" spans="8:8" x14ac:dyDescent="0.25">
      <c r="H1172" t="s">
        <v>137</v>
      </c>
    </row>
    <row r="1173" spans="8:8" x14ac:dyDescent="0.25">
      <c r="H1173" t="s">
        <v>8808</v>
      </c>
    </row>
    <row r="1174" spans="8:8" x14ac:dyDescent="0.25">
      <c r="H1174" t="s">
        <v>30</v>
      </c>
    </row>
    <row r="1175" spans="8:8" x14ac:dyDescent="0.25">
      <c r="H1175" t="s">
        <v>138</v>
      </c>
    </row>
    <row r="1176" spans="8:8" x14ac:dyDescent="0.25">
      <c r="H1176" t="s">
        <v>8809</v>
      </c>
    </row>
    <row r="1177" spans="8:8" x14ac:dyDescent="0.25">
      <c r="H1177" t="s">
        <v>30</v>
      </c>
    </row>
    <row r="1179" spans="8:8" x14ac:dyDescent="0.25">
      <c r="H1179" t="s">
        <v>8810</v>
      </c>
    </row>
    <row r="1180" spans="8:8" x14ac:dyDescent="0.25">
      <c r="H1180" t="s">
        <v>8811</v>
      </c>
    </row>
    <row r="1181" spans="8:8" x14ac:dyDescent="0.25">
      <c r="H1181" t="s">
        <v>135</v>
      </c>
    </row>
    <row r="1182" spans="8:8" x14ac:dyDescent="0.25">
      <c r="H1182" t="s">
        <v>8812</v>
      </c>
    </row>
    <row r="1183" spans="8:8" x14ac:dyDescent="0.25">
      <c r="H1183" t="s">
        <v>30</v>
      </c>
    </row>
    <row r="1184" spans="8:8" x14ac:dyDescent="0.25">
      <c r="H1184" t="s">
        <v>136</v>
      </c>
    </row>
    <row r="1185" spans="8:8" x14ac:dyDescent="0.25">
      <c r="H1185" t="s">
        <v>8813</v>
      </c>
    </row>
    <row r="1186" spans="8:8" x14ac:dyDescent="0.25">
      <c r="H1186" t="s">
        <v>30</v>
      </c>
    </row>
    <row r="1187" spans="8:8" x14ac:dyDescent="0.25">
      <c r="H1187" t="s">
        <v>137</v>
      </c>
    </row>
    <row r="1188" spans="8:8" x14ac:dyDescent="0.25">
      <c r="H1188" t="s">
        <v>8814</v>
      </c>
    </row>
    <row r="1189" spans="8:8" x14ac:dyDescent="0.25">
      <c r="H1189" t="s">
        <v>30</v>
      </c>
    </row>
    <row r="1190" spans="8:8" x14ac:dyDescent="0.25">
      <c r="H1190" t="s">
        <v>138</v>
      </c>
    </row>
    <row r="1191" spans="8:8" x14ac:dyDescent="0.25">
      <c r="H1191" t="s">
        <v>8815</v>
      </c>
    </row>
    <row r="1192" spans="8:8" x14ac:dyDescent="0.25">
      <c r="H1192" t="s">
        <v>30</v>
      </c>
    </row>
    <row r="1194" spans="8:8" x14ac:dyDescent="0.25">
      <c r="H1194" t="s">
        <v>8816</v>
      </c>
    </row>
    <row r="1195" spans="8:8" x14ac:dyDescent="0.25">
      <c r="H1195" t="s">
        <v>8817</v>
      </c>
    </row>
    <row r="1196" spans="8:8" x14ac:dyDescent="0.25">
      <c r="H1196" t="s">
        <v>135</v>
      </c>
    </row>
    <row r="1197" spans="8:8" x14ac:dyDescent="0.25">
      <c r="H1197" t="s">
        <v>8818</v>
      </c>
    </row>
    <row r="1198" spans="8:8" x14ac:dyDescent="0.25">
      <c r="H1198" t="s">
        <v>30</v>
      </c>
    </row>
    <row r="1199" spans="8:8" x14ac:dyDescent="0.25">
      <c r="H1199" t="s">
        <v>136</v>
      </c>
    </row>
    <row r="1200" spans="8:8" x14ac:dyDescent="0.25">
      <c r="H1200" t="s">
        <v>8819</v>
      </c>
    </row>
    <row r="1201" spans="8:8" x14ac:dyDescent="0.25">
      <c r="H1201" t="s">
        <v>30</v>
      </c>
    </row>
    <row r="1202" spans="8:8" x14ac:dyDescent="0.25">
      <c r="H1202" t="s">
        <v>137</v>
      </c>
    </row>
    <row r="1203" spans="8:8" x14ac:dyDescent="0.25">
      <c r="H1203" t="s">
        <v>8820</v>
      </c>
    </row>
    <row r="1204" spans="8:8" x14ac:dyDescent="0.25">
      <c r="H1204" t="s">
        <v>30</v>
      </c>
    </row>
    <row r="1205" spans="8:8" x14ac:dyDescent="0.25">
      <c r="H1205" t="s">
        <v>138</v>
      </c>
    </row>
    <row r="1206" spans="8:8" x14ac:dyDescent="0.25">
      <c r="H1206" t="s">
        <v>8821</v>
      </c>
    </row>
    <row r="1207" spans="8:8" x14ac:dyDescent="0.25">
      <c r="H1207" t="s">
        <v>30</v>
      </c>
    </row>
    <row r="1209" spans="8:8" x14ac:dyDescent="0.25">
      <c r="H1209" t="s">
        <v>8822</v>
      </c>
    </row>
    <row r="1210" spans="8:8" x14ac:dyDescent="0.25">
      <c r="H1210" t="s">
        <v>8823</v>
      </c>
    </row>
    <row r="1211" spans="8:8" x14ac:dyDescent="0.25">
      <c r="H1211" t="s">
        <v>135</v>
      </c>
    </row>
    <row r="1212" spans="8:8" x14ac:dyDescent="0.25">
      <c r="H1212" t="s">
        <v>8824</v>
      </c>
    </row>
    <row r="1213" spans="8:8" x14ac:dyDescent="0.25">
      <c r="H1213" t="s">
        <v>30</v>
      </c>
    </row>
    <row r="1214" spans="8:8" x14ac:dyDescent="0.25">
      <c r="H1214" t="s">
        <v>136</v>
      </c>
    </row>
    <row r="1215" spans="8:8" x14ac:dyDescent="0.25">
      <c r="H1215" t="s">
        <v>8825</v>
      </c>
    </row>
    <row r="1216" spans="8:8" x14ac:dyDescent="0.25">
      <c r="H1216" t="s">
        <v>30</v>
      </c>
    </row>
    <row r="1217" spans="8:8" x14ac:dyDescent="0.25">
      <c r="H1217" t="s">
        <v>137</v>
      </c>
    </row>
    <row r="1218" spans="8:8" x14ac:dyDescent="0.25">
      <c r="H1218" t="s">
        <v>8826</v>
      </c>
    </row>
    <row r="1219" spans="8:8" x14ac:dyDescent="0.25">
      <c r="H1219" t="s">
        <v>30</v>
      </c>
    </row>
    <row r="1220" spans="8:8" x14ac:dyDescent="0.25">
      <c r="H1220" t="s">
        <v>138</v>
      </c>
    </row>
    <row r="1221" spans="8:8" x14ac:dyDescent="0.25">
      <c r="H1221" t="s">
        <v>8827</v>
      </c>
    </row>
    <row r="1222" spans="8:8" x14ac:dyDescent="0.25">
      <c r="H1222" t="s">
        <v>30</v>
      </c>
    </row>
    <row r="1224" spans="8:8" x14ac:dyDescent="0.25">
      <c r="H1224" t="s">
        <v>8828</v>
      </c>
    </row>
    <row r="1225" spans="8:8" x14ac:dyDescent="0.25">
      <c r="H1225" t="s">
        <v>8829</v>
      </c>
    </row>
    <row r="1226" spans="8:8" x14ac:dyDescent="0.25">
      <c r="H1226" t="s">
        <v>135</v>
      </c>
    </row>
    <row r="1227" spans="8:8" x14ac:dyDescent="0.25">
      <c r="H1227" t="s">
        <v>8830</v>
      </c>
    </row>
    <row r="1228" spans="8:8" x14ac:dyDescent="0.25">
      <c r="H1228" t="s">
        <v>30</v>
      </c>
    </row>
    <row r="1229" spans="8:8" x14ac:dyDescent="0.25">
      <c r="H1229" t="s">
        <v>136</v>
      </c>
    </row>
    <row r="1230" spans="8:8" x14ac:dyDescent="0.25">
      <c r="H1230" t="s">
        <v>8831</v>
      </c>
    </row>
    <row r="1231" spans="8:8" x14ac:dyDescent="0.25">
      <c r="H1231" t="s">
        <v>30</v>
      </c>
    </row>
    <row r="1232" spans="8:8" x14ac:dyDescent="0.25">
      <c r="H1232" t="s">
        <v>137</v>
      </c>
    </row>
    <row r="1233" spans="8:8" x14ac:dyDescent="0.25">
      <c r="H1233" t="s">
        <v>8832</v>
      </c>
    </row>
    <row r="1234" spans="8:8" x14ac:dyDescent="0.25">
      <c r="H1234" t="s">
        <v>30</v>
      </c>
    </row>
    <row r="1235" spans="8:8" x14ac:dyDescent="0.25">
      <c r="H1235" t="s">
        <v>138</v>
      </c>
    </row>
    <row r="1236" spans="8:8" x14ac:dyDescent="0.25">
      <c r="H1236" t="s">
        <v>8833</v>
      </c>
    </row>
    <row r="1237" spans="8:8" x14ac:dyDescent="0.25">
      <c r="H1237" t="s">
        <v>30</v>
      </c>
    </row>
    <row r="1239" spans="8:8" x14ac:dyDescent="0.25">
      <c r="H1239" t="s">
        <v>8834</v>
      </c>
    </row>
    <row r="1240" spans="8:8" x14ac:dyDescent="0.25">
      <c r="H1240" t="s">
        <v>8835</v>
      </c>
    </row>
    <row r="1241" spans="8:8" x14ac:dyDescent="0.25">
      <c r="H1241" t="s">
        <v>135</v>
      </c>
    </row>
    <row r="1242" spans="8:8" x14ac:dyDescent="0.25">
      <c r="H1242" t="s">
        <v>8836</v>
      </c>
    </row>
    <row r="1243" spans="8:8" x14ac:dyDescent="0.25">
      <c r="H1243" t="s">
        <v>30</v>
      </c>
    </row>
    <row r="1245" spans="8:8" x14ac:dyDescent="0.25">
      <c r="H1245" t="s">
        <v>8837</v>
      </c>
    </row>
    <row r="1246" spans="8:8" x14ac:dyDescent="0.25">
      <c r="H1246" t="s">
        <v>8838</v>
      </c>
    </row>
    <row r="1247" spans="8:8" x14ac:dyDescent="0.25">
      <c r="H1247" t="s">
        <v>135</v>
      </c>
    </row>
    <row r="1248" spans="8:8" x14ac:dyDescent="0.25">
      <c r="H1248" t="s">
        <v>8839</v>
      </c>
    </row>
    <row r="1249" spans="8:8" x14ac:dyDescent="0.25">
      <c r="H1249" t="s">
        <v>30</v>
      </c>
    </row>
    <row r="1251" spans="8:8" x14ac:dyDescent="0.25">
      <c r="H1251" t="s">
        <v>8840</v>
      </c>
    </row>
    <row r="1252" spans="8:8" x14ac:dyDescent="0.25">
      <c r="H1252" t="s">
        <v>8841</v>
      </c>
    </row>
    <row r="1253" spans="8:8" x14ac:dyDescent="0.25">
      <c r="H1253" t="s">
        <v>135</v>
      </c>
    </row>
    <row r="1254" spans="8:8" x14ac:dyDescent="0.25">
      <c r="H1254" t="s">
        <v>8842</v>
      </c>
    </row>
    <row r="1255" spans="8:8" x14ac:dyDescent="0.25">
      <c r="H1255" t="s">
        <v>30</v>
      </c>
    </row>
    <row r="1257" spans="8:8" x14ac:dyDescent="0.25">
      <c r="H1257" t="s">
        <v>8843</v>
      </c>
    </row>
    <row r="1258" spans="8:8" x14ac:dyDescent="0.25">
      <c r="H1258" t="s">
        <v>8844</v>
      </c>
    </row>
    <row r="1259" spans="8:8" x14ac:dyDescent="0.25">
      <c r="H1259" t="s">
        <v>135</v>
      </c>
    </row>
    <row r="1260" spans="8:8" x14ac:dyDescent="0.25">
      <c r="H1260" t="s">
        <v>8845</v>
      </c>
    </row>
    <row r="1261" spans="8:8" x14ac:dyDescent="0.25">
      <c r="H1261" t="s">
        <v>30</v>
      </c>
    </row>
    <row r="1263" spans="8:8" x14ac:dyDescent="0.25">
      <c r="H1263" t="s">
        <v>8846</v>
      </c>
    </row>
    <row r="1264" spans="8:8" x14ac:dyDescent="0.25">
      <c r="H1264" t="s">
        <v>8847</v>
      </c>
    </row>
    <row r="1265" spans="8:8" x14ac:dyDescent="0.25">
      <c r="H1265" t="s">
        <v>135</v>
      </c>
    </row>
    <row r="1266" spans="8:8" x14ac:dyDescent="0.25">
      <c r="H1266" t="s">
        <v>8848</v>
      </c>
    </row>
    <row r="1267" spans="8:8" x14ac:dyDescent="0.25">
      <c r="H1267" t="s">
        <v>30</v>
      </c>
    </row>
    <row r="1269" spans="8:8" x14ac:dyDescent="0.25">
      <c r="H1269" t="s">
        <v>8849</v>
      </c>
    </row>
    <row r="1270" spans="8:8" x14ac:dyDescent="0.25">
      <c r="H1270" t="s">
        <v>8850</v>
      </c>
    </row>
    <row r="1271" spans="8:8" x14ac:dyDescent="0.25">
      <c r="H1271" t="s">
        <v>135</v>
      </c>
    </row>
    <row r="1272" spans="8:8" x14ac:dyDescent="0.25">
      <c r="H1272" t="s">
        <v>8851</v>
      </c>
    </row>
    <row r="1273" spans="8:8" x14ac:dyDescent="0.25">
      <c r="H1273" t="s">
        <v>30</v>
      </c>
    </row>
    <row r="1275" spans="8:8" x14ac:dyDescent="0.25">
      <c r="H1275" t="s">
        <v>8852</v>
      </c>
    </row>
    <row r="1276" spans="8:8" x14ac:dyDescent="0.25">
      <c r="H1276" t="s">
        <v>8853</v>
      </c>
    </row>
    <row r="1277" spans="8:8" x14ac:dyDescent="0.25">
      <c r="H1277" t="s">
        <v>135</v>
      </c>
    </row>
    <row r="1278" spans="8:8" x14ac:dyDescent="0.25">
      <c r="H1278" t="s">
        <v>8854</v>
      </c>
    </row>
    <row r="1279" spans="8:8" x14ac:dyDescent="0.25">
      <c r="H1279" t="s">
        <v>30</v>
      </c>
    </row>
    <row r="1281" spans="8:8" x14ac:dyDescent="0.25">
      <c r="H1281" t="s">
        <v>8855</v>
      </c>
    </row>
    <row r="1282" spans="8:8" x14ac:dyDescent="0.25">
      <c r="H1282" t="s">
        <v>8856</v>
      </c>
    </row>
    <row r="1283" spans="8:8" x14ac:dyDescent="0.25">
      <c r="H1283" t="s">
        <v>135</v>
      </c>
    </row>
    <row r="1284" spans="8:8" x14ac:dyDescent="0.25">
      <c r="H1284" t="s">
        <v>8857</v>
      </c>
    </row>
    <row r="1285" spans="8:8" x14ac:dyDescent="0.25">
      <c r="H1285" t="s">
        <v>30</v>
      </c>
    </row>
    <row r="1287" spans="8:8" x14ac:dyDescent="0.25">
      <c r="H1287" t="s">
        <v>8858</v>
      </c>
    </row>
    <row r="1288" spans="8:8" x14ac:dyDescent="0.25">
      <c r="H1288" t="s">
        <v>8859</v>
      </c>
    </row>
    <row r="1289" spans="8:8" x14ac:dyDescent="0.25">
      <c r="H1289" t="s">
        <v>135</v>
      </c>
    </row>
    <row r="1290" spans="8:8" x14ac:dyDescent="0.25">
      <c r="H1290" t="s">
        <v>8860</v>
      </c>
    </row>
    <row r="1291" spans="8:8" x14ac:dyDescent="0.25">
      <c r="H1291" t="s">
        <v>30</v>
      </c>
    </row>
    <row r="1293" spans="8:8" x14ac:dyDescent="0.25">
      <c r="H1293" t="s">
        <v>8861</v>
      </c>
    </row>
    <row r="1294" spans="8:8" x14ac:dyDescent="0.25">
      <c r="H1294" t="s">
        <v>8862</v>
      </c>
    </row>
    <row r="1295" spans="8:8" x14ac:dyDescent="0.25">
      <c r="H1295" t="s">
        <v>135</v>
      </c>
    </row>
    <row r="1296" spans="8:8" x14ac:dyDescent="0.25">
      <c r="H1296" t="s">
        <v>8863</v>
      </c>
    </row>
    <row r="1297" spans="8:8" x14ac:dyDescent="0.25">
      <c r="H1297" t="s">
        <v>30</v>
      </c>
    </row>
    <row r="1298" spans="8:8" x14ac:dyDescent="0.25">
      <c r="H1298" t="s">
        <v>8864</v>
      </c>
    </row>
    <row r="1299" spans="8:8" x14ac:dyDescent="0.25">
      <c r="H1299" t="s">
        <v>136</v>
      </c>
    </row>
    <row r="1300" spans="8:8" x14ac:dyDescent="0.25">
      <c r="H1300" t="s">
        <v>8865</v>
      </c>
    </row>
    <row r="1301" spans="8:8" x14ac:dyDescent="0.25">
      <c r="H1301" t="s">
        <v>30</v>
      </c>
    </row>
    <row r="1302" spans="8:8" x14ac:dyDescent="0.25">
      <c r="H1302" t="s">
        <v>8866</v>
      </c>
    </row>
    <row r="1303" spans="8:8" x14ac:dyDescent="0.25">
      <c r="H1303" t="s">
        <v>137</v>
      </c>
    </row>
    <row r="1304" spans="8:8" x14ac:dyDescent="0.25">
      <c r="H1304" t="s">
        <v>8867</v>
      </c>
    </row>
    <row r="1305" spans="8:8" x14ac:dyDescent="0.25">
      <c r="H1305" t="s">
        <v>30</v>
      </c>
    </row>
    <row r="1306" spans="8:8" x14ac:dyDescent="0.25">
      <c r="H1306" t="s">
        <v>8868</v>
      </c>
    </row>
    <row r="1307" spans="8:8" x14ac:dyDescent="0.25">
      <c r="H1307" t="s">
        <v>138</v>
      </c>
    </row>
    <row r="1308" spans="8:8" x14ac:dyDescent="0.25">
      <c r="H1308" t="s">
        <v>8869</v>
      </c>
    </row>
    <row r="1309" spans="8:8" x14ac:dyDescent="0.25">
      <c r="H1309" t="s">
        <v>30</v>
      </c>
    </row>
    <row r="1311" spans="8:8" x14ac:dyDescent="0.25">
      <c r="H1311" t="s">
        <v>8870</v>
      </c>
    </row>
    <row r="1312" spans="8:8" x14ac:dyDescent="0.25">
      <c r="H1312" t="s">
        <v>8871</v>
      </c>
    </row>
    <row r="1313" spans="8:8" x14ac:dyDescent="0.25">
      <c r="H1313" t="s">
        <v>135</v>
      </c>
    </row>
    <row r="1314" spans="8:8" x14ac:dyDescent="0.25">
      <c r="H1314" t="s">
        <v>8872</v>
      </c>
    </row>
    <row r="1315" spans="8:8" x14ac:dyDescent="0.25">
      <c r="H1315" t="s">
        <v>30</v>
      </c>
    </row>
    <row r="1316" spans="8:8" x14ac:dyDescent="0.25">
      <c r="H1316" t="s">
        <v>8873</v>
      </c>
    </row>
    <row r="1317" spans="8:8" x14ac:dyDescent="0.25">
      <c r="H1317" t="s">
        <v>136</v>
      </c>
    </row>
    <row r="1318" spans="8:8" x14ac:dyDescent="0.25">
      <c r="H1318" t="s">
        <v>8874</v>
      </c>
    </row>
    <row r="1319" spans="8:8" x14ac:dyDescent="0.25">
      <c r="H1319" t="s">
        <v>30</v>
      </c>
    </row>
    <row r="1321" spans="8:8" x14ac:dyDescent="0.25">
      <c r="H1321" t="s">
        <v>8875</v>
      </c>
    </row>
    <row r="1322" spans="8:8" x14ac:dyDescent="0.25">
      <c r="H1322" t="s">
        <v>8876</v>
      </c>
    </row>
    <row r="1323" spans="8:8" x14ac:dyDescent="0.25">
      <c r="H1323" t="s">
        <v>135</v>
      </c>
    </row>
    <row r="1324" spans="8:8" x14ac:dyDescent="0.25">
      <c r="H1324" t="s">
        <v>8877</v>
      </c>
    </row>
    <row r="1325" spans="8:8" x14ac:dyDescent="0.25">
      <c r="H1325" t="s">
        <v>30</v>
      </c>
    </row>
    <row r="1327" spans="8:8" x14ac:dyDescent="0.25">
      <c r="H1327" t="s">
        <v>8878</v>
      </c>
    </row>
    <row r="1328" spans="8:8" x14ac:dyDescent="0.25">
      <c r="H1328" t="s">
        <v>8879</v>
      </c>
    </row>
    <row r="1329" spans="8:8" x14ac:dyDescent="0.25">
      <c r="H1329" t="s">
        <v>135</v>
      </c>
    </row>
    <row r="1330" spans="8:8" x14ac:dyDescent="0.25">
      <c r="H1330" t="s">
        <v>8880</v>
      </c>
    </row>
    <row r="1331" spans="8:8" x14ac:dyDescent="0.25">
      <c r="H1331" t="s">
        <v>30</v>
      </c>
    </row>
    <row r="1333" spans="8:8" x14ac:dyDescent="0.25">
      <c r="H1333" t="s">
        <v>8881</v>
      </c>
    </row>
    <row r="1334" spans="8:8" x14ac:dyDescent="0.25">
      <c r="H1334" t="s">
        <v>8882</v>
      </c>
    </row>
    <row r="1335" spans="8:8" x14ac:dyDescent="0.25">
      <c r="H1335" t="s">
        <v>135</v>
      </c>
    </row>
    <row r="1336" spans="8:8" x14ac:dyDescent="0.25">
      <c r="H1336" t="s">
        <v>8883</v>
      </c>
    </row>
    <row r="1337" spans="8:8" x14ac:dyDescent="0.25">
      <c r="H1337" t="s">
        <v>30</v>
      </c>
    </row>
    <row r="1339" spans="8:8" x14ac:dyDescent="0.25">
      <c r="H1339" t="s">
        <v>8884</v>
      </c>
    </row>
    <row r="1340" spans="8:8" x14ac:dyDescent="0.25">
      <c r="H1340" t="s">
        <v>8885</v>
      </c>
    </row>
    <row r="1341" spans="8:8" x14ac:dyDescent="0.25">
      <c r="H1341" t="s">
        <v>135</v>
      </c>
    </row>
    <row r="1342" spans="8:8" x14ac:dyDescent="0.25">
      <c r="H1342" t="s">
        <v>8886</v>
      </c>
    </row>
    <row r="1343" spans="8:8" x14ac:dyDescent="0.25">
      <c r="H1343" t="s">
        <v>30</v>
      </c>
    </row>
    <row r="1345" spans="8:8" x14ac:dyDescent="0.25">
      <c r="H1345" t="s">
        <v>8887</v>
      </c>
    </row>
    <row r="1346" spans="8:8" x14ac:dyDescent="0.25">
      <c r="H1346" t="s">
        <v>8888</v>
      </c>
    </row>
    <row r="1347" spans="8:8" x14ac:dyDescent="0.25">
      <c r="H1347" t="s">
        <v>135</v>
      </c>
    </row>
    <row r="1348" spans="8:8" x14ac:dyDescent="0.25">
      <c r="H1348" t="s">
        <v>8889</v>
      </c>
    </row>
    <row r="1349" spans="8:8" x14ac:dyDescent="0.25">
      <c r="H1349" t="s">
        <v>30</v>
      </c>
    </row>
    <row r="1351" spans="8:8" x14ac:dyDescent="0.25">
      <c r="H1351" t="s">
        <v>8890</v>
      </c>
    </row>
    <row r="1352" spans="8:8" x14ac:dyDescent="0.25">
      <c r="H1352" t="s">
        <v>8891</v>
      </c>
    </row>
    <row r="1353" spans="8:8" x14ac:dyDescent="0.25">
      <c r="H1353" t="s">
        <v>135</v>
      </c>
    </row>
    <row r="1354" spans="8:8" x14ac:dyDescent="0.25">
      <c r="H1354" t="s">
        <v>8892</v>
      </c>
    </row>
    <row r="1355" spans="8:8" x14ac:dyDescent="0.25">
      <c r="H1355" t="s">
        <v>30</v>
      </c>
    </row>
    <row r="1357" spans="8:8" x14ac:dyDescent="0.25">
      <c r="H1357" t="s">
        <v>8893</v>
      </c>
    </row>
    <row r="1358" spans="8:8" x14ac:dyDescent="0.25">
      <c r="H1358" t="s">
        <v>8894</v>
      </c>
    </row>
    <row r="1359" spans="8:8" x14ac:dyDescent="0.25">
      <c r="H1359" t="s">
        <v>135</v>
      </c>
    </row>
    <row r="1360" spans="8:8" x14ac:dyDescent="0.25">
      <c r="H1360" t="s">
        <v>8895</v>
      </c>
    </row>
    <row r="1361" spans="8:8" x14ac:dyDescent="0.25">
      <c r="H1361" t="s">
        <v>30</v>
      </c>
    </row>
    <row r="1363" spans="8:8" x14ac:dyDescent="0.25">
      <c r="H1363" t="s">
        <v>8896</v>
      </c>
    </row>
    <row r="1364" spans="8:8" x14ac:dyDescent="0.25">
      <c r="H1364" t="s">
        <v>8897</v>
      </c>
    </row>
    <row r="1365" spans="8:8" x14ac:dyDescent="0.25">
      <c r="H1365" t="s">
        <v>135</v>
      </c>
    </row>
    <row r="1366" spans="8:8" x14ac:dyDescent="0.25">
      <c r="H1366" t="s">
        <v>8898</v>
      </c>
    </row>
    <row r="1367" spans="8:8" x14ac:dyDescent="0.25">
      <c r="H1367" t="s">
        <v>30</v>
      </c>
    </row>
    <row r="1369" spans="8:8" x14ac:dyDescent="0.25">
      <c r="H1369" t="s">
        <v>8899</v>
      </c>
    </row>
    <row r="1370" spans="8:8" x14ac:dyDescent="0.25">
      <c r="H1370" t="s">
        <v>8900</v>
      </c>
    </row>
    <row r="1371" spans="8:8" x14ac:dyDescent="0.25">
      <c r="H1371" t="s">
        <v>135</v>
      </c>
    </row>
    <row r="1372" spans="8:8" x14ac:dyDescent="0.25">
      <c r="H1372" t="s">
        <v>8901</v>
      </c>
    </row>
    <row r="1373" spans="8:8" x14ac:dyDescent="0.25">
      <c r="H1373" t="s">
        <v>30</v>
      </c>
    </row>
    <row r="1375" spans="8:8" x14ac:dyDescent="0.25">
      <c r="H1375" t="s">
        <v>8902</v>
      </c>
    </row>
    <row r="1376" spans="8:8" x14ac:dyDescent="0.25">
      <c r="H1376" t="s">
        <v>8903</v>
      </c>
    </row>
    <row r="1377" spans="8:8" x14ac:dyDescent="0.25">
      <c r="H1377" t="s">
        <v>135</v>
      </c>
    </row>
    <row r="1378" spans="8:8" x14ac:dyDescent="0.25">
      <c r="H1378" t="s">
        <v>8904</v>
      </c>
    </row>
    <row r="1379" spans="8:8" x14ac:dyDescent="0.25">
      <c r="H1379" t="s">
        <v>30</v>
      </c>
    </row>
    <row r="1381" spans="8:8" x14ac:dyDescent="0.25">
      <c r="H1381" t="s">
        <v>8905</v>
      </c>
    </row>
    <row r="1382" spans="8:8" x14ac:dyDescent="0.25">
      <c r="H1382" t="s">
        <v>8906</v>
      </c>
    </row>
    <row r="1383" spans="8:8" x14ac:dyDescent="0.25">
      <c r="H1383" t="s">
        <v>135</v>
      </c>
    </row>
    <row r="1384" spans="8:8" x14ac:dyDescent="0.25">
      <c r="H1384" t="s">
        <v>8907</v>
      </c>
    </row>
    <row r="1385" spans="8:8" x14ac:dyDescent="0.25">
      <c r="H1385" t="s">
        <v>30</v>
      </c>
    </row>
    <row r="1387" spans="8:8" x14ac:dyDescent="0.25">
      <c r="H1387" t="s">
        <v>8908</v>
      </c>
    </row>
    <row r="1388" spans="8:8" x14ac:dyDescent="0.25">
      <c r="H1388" t="s">
        <v>8909</v>
      </c>
    </row>
    <row r="1389" spans="8:8" x14ac:dyDescent="0.25">
      <c r="H1389" t="s">
        <v>135</v>
      </c>
    </row>
    <row r="1390" spans="8:8" x14ac:dyDescent="0.25">
      <c r="H1390" t="s">
        <v>8910</v>
      </c>
    </row>
    <row r="1391" spans="8:8" x14ac:dyDescent="0.25">
      <c r="H1391" t="s">
        <v>30</v>
      </c>
    </row>
    <row r="1393" spans="8:8" x14ac:dyDescent="0.25">
      <c r="H1393" t="s">
        <v>8911</v>
      </c>
    </row>
    <row r="1394" spans="8:8" x14ac:dyDescent="0.25">
      <c r="H1394" t="s">
        <v>8912</v>
      </c>
    </row>
    <row r="1395" spans="8:8" x14ac:dyDescent="0.25">
      <c r="H1395" t="s">
        <v>135</v>
      </c>
    </row>
    <row r="1396" spans="8:8" x14ac:dyDescent="0.25">
      <c r="H1396" t="s">
        <v>8913</v>
      </c>
    </row>
    <row r="1397" spans="8:8" x14ac:dyDescent="0.25">
      <c r="H1397" t="s">
        <v>30</v>
      </c>
    </row>
    <row r="1399" spans="8:8" x14ac:dyDescent="0.25">
      <c r="H1399" t="s">
        <v>8914</v>
      </c>
    </row>
    <row r="1400" spans="8:8" x14ac:dyDescent="0.25">
      <c r="H1400" t="s">
        <v>8915</v>
      </c>
    </row>
    <row r="1401" spans="8:8" x14ac:dyDescent="0.25">
      <c r="H1401" t="s">
        <v>135</v>
      </c>
    </row>
    <row r="1402" spans="8:8" x14ac:dyDescent="0.25">
      <c r="H1402" t="s">
        <v>8916</v>
      </c>
    </row>
    <row r="1403" spans="8:8" x14ac:dyDescent="0.25">
      <c r="H1403" t="s">
        <v>30</v>
      </c>
    </row>
    <row r="1405" spans="8:8" x14ac:dyDescent="0.25">
      <c r="H1405" t="s">
        <v>8917</v>
      </c>
    </row>
    <row r="1406" spans="8:8" x14ac:dyDescent="0.25">
      <c r="H1406" t="s">
        <v>8918</v>
      </c>
    </row>
    <row r="1407" spans="8:8" x14ac:dyDescent="0.25">
      <c r="H1407" t="s">
        <v>135</v>
      </c>
    </row>
    <row r="1408" spans="8:8" x14ac:dyDescent="0.25">
      <c r="H1408" t="s">
        <v>8919</v>
      </c>
    </row>
    <row r="1409" spans="8:8" x14ac:dyDescent="0.25">
      <c r="H1409" t="s">
        <v>30</v>
      </c>
    </row>
    <row r="1411" spans="8:8" x14ac:dyDescent="0.25">
      <c r="H1411" t="s">
        <v>8920</v>
      </c>
    </row>
    <row r="1412" spans="8:8" x14ac:dyDescent="0.25">
      <c r="H1412" t="s">
        <v>8921</v>
      </c>
    </row>
    <row r="1413" spans="8:8" x14ac:dyDescent="0.25">
      <c r="H1413" t="s">
        <v>135</v>
      </c>
    </row>
    <row r="1414" spans="8:8" x14ac:dyDescent="0.25">
      <c r="H1414" t="s">
        <v>8922</v>
      </c>
    </row>
    <row r="1415" spans="8:8" x14ac:dyDescent="0.25">
      <c r="H1415" t="s">
        <v>30</v>
      </c>
    </row>
    <row r="1417" spans="8:8" x14ac:dyDescent="0.25">
      <c r="H1417" t="s">
        <v>8923</v>
      </c>
    </row>
    <row r="1418" spans="8:8" x14ac:dyDescent="0.25">
      <c r="H1418" t="s">
        <v>8924</v>
      </c>
    </row>
    <row r="1419" spans="8:8" x14ac:dyDescent="0.25">
      <c r="H1419" t="s">
        <v>135</v>
      </c>
    </row>
    <row r="1420" spans="8:8" x14ac:dyDescent="0.25">
      <c r="H1420" t="s">
        <v>8925</v>
      </c>
    </row>
    <row r="1421" spans="8:8" x14ac:dyDescent="0.25">
      <c r="H1421" t="s">
        <v>30</v>
      </c>
    </row>
    <row r="1423" spans="8:8" x14ac:dyDescent="0.25">
      <c r="H1423" t="s">
        <v>8926</v>
      </c>
    </row>
    <row r="1424" spans="8:8" x14ac:dyDescent="0.25">
      <c r="H1424" t="s">
        <v>8927</v>
      </c>
    </row>
    <row r="1425" spans="8:8" x14ac:dyDescent="0.25">
      <c r="H1425" t="s">
        <v>135</v>
      </c>
    </row>
    <row r="1426" spans="8:8" x14ac:dyDescent="0.25">
      <c r="H1426" t="s">
        <v>8928</v>
      </c>
    </row>
    <row r="1427" spans="8:8" x14ac:dyDescent="0.25">
      <c r="H1427" t="s">
        <v>30</v>
      </c>
    </row>
    <row r="1429" spans="8:8" x14ac:dyDescent="0.25">
      <c r="H1429" t="s">
        <v>8929</v>
      </c>
    </row>
    <row r="1430" spans="8:8" x14ac:dyDescent="0.25">
      <c r="H1430" t="s">
        <v>8930</v>
      </c>
    </row>
    <row r="1431" spans="8:8" x14ac:dyDescent="0.25">
      <c r="H1431" t="s">
        <v>135</v>
      </c>
    </row>
    <row r="1432" spans="8:8" x14ac:dyDescent="0.25">
      <c r="H1432" t="s">
        <v>8931</v>
      </c>
    </row>
    <row r="1433" spans="8:8" x14ac:dyDescent="0.25">
      <c r="H1433" t="s">
        <v>30</v>
      </c>
    </row>
    <row r="1435" spans="8:8" x14ac:dyDescent="0.25">
      <c r="H1435" t="s">
        <v>8932</v>
      </c>
    </row>
    <row r="1436" spans="8:8" x14ac:dyDescent="0.25">
      <c r="H1436" t="s">
        <v>8933</v>
      </c>
    </row>
    <row r="1437" spans="8:8" x14ac:dyDescent="0.25">
      <c r="H1437" t="s">
        <v>135</v>
      </c>
    </row>
    <row r="1438" spans="8:8" x14ac:dyDescent="0.25">
      <c r="H1438" t="s">
        <v>8934</v>
      </c>
    </row>
    <row r="1439" spans="8:8" x14ac:dyDescent="0.25">
      <c r="H1439" t="s">
        <v>30</v>
      </c>
    </row>
    <row r="1441" spans="8:8" x14ac:dyDescent="0.25">
      <c r="H1441" t="s">
        <v>8935</v>
      </c>
    </row>
    <row r="1442" spans="8:8" x14ac:dyDescent="0.25">
      <c r="H1442" t="s">
        <v>8936</v>
      </c>
    </row>
    <row r="1443" spans="8:8" x14ac:dyDescent="0.25">
      <c r="H1443" t="s">
        <v>135</v>
      </c>
    </row>
    <row r="1444" spans="8:8" x14ac:dyDescent="0.25">
      <c r="H1444" t="s">
        <v>8937</v>
      </c>
    </row>
    <row r="1445" spans="8:8" x14ac:dyDescent="0.25">
      <c r="H1445" t="s">
        <v>30</v>
      </c>
    </row>
    <row r="1447" spans="8:8" x14ac:dyDescent="0.25">
      <c r="H1447" t="s">
        <v>8938</v>
      </c>
    </row>
    <row r="1448" spans="8:8" x14ac:dyDescent="0.25">
      <c r="H1448" t="s">
        <v>8939</v>
      </c>
    </row>
    <row r="1449" spans="8:8" x14ac:dyDescent="0.25">
      <c r="H1449" t="s">
        <v>135</v>
      </c>
    </row>
    <row r="1450" spans="8:8" x14ac:dyDescent="0.25">
      <c r="H1450" t="s">
        <v>8940</v>
      </c>
    </row>
    <row r="1451" spans="8:8" x14ac:dyDescent="0.25">
      <c r="H1451" t="s">
        <v>30</v>
      </c>
    </row>
    <row r="1453" spans="8:8" x14ac:dyDescent="0.25">
      <c r="H1453" t="s">
        <v>8941</v>
      </c>
    </row>
    <row r="1454" spans="8:8" x14ac:dyDescent="0.25">
      <c r="H1454" t="s">
        <v>8942</v>
      </c>
    </row>
    <row r="1455" spans="8:8" x14ac:dyDescent="0.25">
      <c r="H1455" t="s">
        <v>135</v>
      </c>
    </row>
    <row r="1456" spans="8:8" x14ac:dyDescent="0.25">
      <c r="H1456" t="s">
        <v>8943</v>
      </c>
    </row>
    <row r="1457" spans="8:8" x14ac:dyDescent="0.25">
      <c r="H1457" t="s">
        <v>30</v>
      </c>
    </row>
    <row r="1459" spans="8:8" x14ac:dyDescent="0.25">
      <c r="H1459" t="s">
        <v>8944</v>
      </c>
    </row>
    <row r="1460" spans="8:8" x14ac:dyDescent="0.25">
      <c r="H1460" t="s">
        <v>8945</v>
      </c>
    </row>
    <row r="1461" spans="8:8" x14ac:dyDescent="0.25">
      <c r="H1461" t="s">
        <v>135</v>
      </c>
    </row>
    <row r="1462" spans="8:8" x14ac:dyDescent="0.25">
      <c r="H1462" t="s">
        <v>8946</v>
      </c>
    </row>
    <row r="1463" spans="8:8" x14ac:dyDescent="0.25">
      <c r="H1463" t="s">
        <v>30</v>
      </c>
    </row>
    <row r="1465" spans="8:8" x14ac:dyDescent="0.25">
      <c r="H1465" t="s">
        <v>8947</v>
      </c>
    </row>
    <row r="1466" spans="8:8" x14ac:dyDescent="0.25">
      <c r="H1466" t="s">
        <v>8948</v>
      </c>
    </row>
    <row r="1467" spans="8:8" x14ac:dyDescent="0.25">
      <c r="H1467" t="s">
        <v>135</v>
      </c>
    </row>
    <row r="1468" spans="8:8" x14ac:dyDescent="0.25">
      <c r="H1468" t="s">
        <v>8949</v>
      </c>
    </row>
    <row r="1469" spans="8:8" x14ac:dyDescent="0.25">
      <c r="H1469" t="s">
        <v>30</v>
      </c>
    </row>
    <row r="1471" spans="8:8" x14ac:dyDescent="0.25">
      <c r="H1471" t="s">
        <v>8950</v>
      </c>
    </row>
    <row r="1472" spans="8:8" x14ac:dyDescent="0.25">
      <c r="H1472" t="s">
        <v>8951</v>
      </c>
    </row>
    <row r="1473" spans="8:8" x14ac:dyDescent="0.25">
      <c r="H1473" t="s">
        <v>135</v>
      </c>
    </row>
    <row r="1474" spans="8:8" x14ac:dyDescent="0.25">
      <c r="H1474" t="s">
        <v>8952</v>
      </c>
    </row>
    <row r="1475" spans="8:8" x14ac:dyDescent="0.25">
      <c r="H1475" t="s">
        <v>30</v>
      </c>
    </row>
    <row r="1477" spans="8:8" x14ac:dyDescent="0.25">
      <c r="H1477" t="s">
        <v>8953</v>
      </c>
    </row>
    <row r="1478" spans="8:8" x14ac:dyDescent="0.25">
      <c r="H1478" t="s">
        <v>8954</v>
      </c>
    </row>
    <row r="1479" spans="8:8" x14ac:dyDescent="0.25">
      <c r="H1479" t="s">
        <v>135</v>
      </c>
    </row>
    <row r="1480" spans="8:8" x14ac:dyDescent="0.25">
      <c r="H1480" t="s">
        <v>8955</v>
      </c>
    </row>
    <row r="1481" spans="8:8" x14ac:dyDescent="0.25">
      <c r="H1481" t="s">
        <v>30</v>
      </c>
    </row>
    <row r="1483" spans="8:8" x14ac:dyDescent="0.25">
      <c r="H1483" t="s">
        <v>8956</v>
      </c>
    </row>
    <row r="1484" spans="8:8" x14ac:dyDescent="0.25">
      <c r="H1484" t="s">
        <v>8957</v>
      </c>
    </row>
    <row r="1485" spans="8:8" x14ac:dyDescent="0.25">
      <c r="H1485" t="s">
        <v>135</v>
      </c>
    </row>
    <row r="1486" spans="8:8" x14ac:dyDescent="0.25">
      <c r="H1486" t="s">
        <v>8958</v>
      </c>
    </row>
    <row r="1487" spans="8:8" x14ac:dyDescent="0.25">
      <c r="H1487" t="s">
        <v>30</v>
      </c>
    </row>
    <row r="1489" spans="8:8" x14ac:dyDescent="0.25">
      <c r="H1489" t="s">
        <v>8959</v>
      </c>
    </row>
    <row r="1490" spans="8:8" x14ac:dyDescent="0.25">
      <c r="H1490" t="s">
        <v>8960</v>
      </c>
    </row>
    <row r="1491" spans="8:8" x14ac:dyDescent="0.25">
      <c r="H1491" t="s">
        <v>135</v>
      </c>
    </row>
    <row r="1492" spans="8:8" x14ac:dyDescent="0.25">
      <c r="H1492" t="s">
        <v>8961</v>
      </c>
    </row>
    <row r="1493" spans="8:8" x14ac:dyDescent="0.25">
      <c r="H1493" t="s">
        <v>30</v>
      </c>
    </row>
    <row r="1495" spans="8:8" x14ac:dyDescent="0.25">
      <c r="H1495" t="s">
        <v>8962</v>
      </c>
    </row>
    <row r="1496" spans="8:8" x14ac:dyDescent="0.25">
      <c r="H1496" t="s">
        <v>8963</v>
      </c>
    </row>
    <row r="1497" spans="8:8" x14ac:dyDescent="0.25">
      <c r="H1497" t="s">
        <v>135</v>
      </c>
    </row>
    <row r="1498" spans="8:8" x14ac:dyDescent="0.25">
      <c r="H1498" t="s">
        <v>8964</v>
      </c>
    </row>
    <row r="1499" spans="8:8" x14ac:dyDescent="0.25">
      <c r="H1499" t="s">
        <v>30</v>
      </c>
    </row>
    <row r="1501" spans="8:8" x14ac:dyDescent="0.25">
      <c r="H1501" t="s">
        <v>8965</v>
      </c>
    </row>
    <row r="1502" spans="8:8" x14ac:dyDescent="0.25">
      <c r="H1502" t="s">
        <v>8966</v>
      </c>
    </row>
    <row r="1503" spans="8:8" x14ac:dyDescent="0.25">
      <c r="H1503" t="s">
        <v>135</v>
      </c>
    </row>
    <row r="1504" spans="8:8" x14ac:dyDescent="0.25">
      <c r="H1504" t="s">
        <v>8967</v>
      </c>
    </row>
    <row r="1505" spans="8:8" x14ac:dyDescent="0.25">
      <c r="H1505" t="s">
        <v>30</v>
      </c>
    </row>
    <row r="1507" spans="8:8" x14ac:dyDescent="0.25">
      <c r="H1507" t="s">
        <v>8968</v>
      </c>
    </row>
    <row r="1508" spans="8:8" x14ac:dyDescent="0.25">
      <c r="H1508" t="s">
        <v>8969</v>
      </c>
    </row>
    <row r="1509" spans="8:8" x14ac:dyDescent="0.25">
      <c r="H1509" t="s">
        <v>135</v>
      </c>
    </row>
    <row r="1510" spans="8:8" x14ac:dyDescent="0.25">
      <c r="H1510" t="s">
        <v>8970</v>
      </c>
    </row>
    <row r="1511" spans="8:8" x14ac:dyDescent="0.25">
      <c r="H1511" t="s">
        <v>30</v>
      </c>
    </row>
    <row r="1513" spans="8:8" x14ac:dyDescent="0.25">
      <c r="H1513" t="s">
        <v>8971</v>
      </c>
    </row>
    <row r="1514" spans="8:8" x14ac:dyDescent="0.25">
      <c r="H1514" t="s">
        <v>8972</v>
      </c>
    </row>
    <row r="1515" spans="8:8" x14ac:dyDescent="0.25">
      <c r="H1515" t="s">
        <v>135</v>
      </c>
    </row>
    <row r="1516" spans="8:8" x14ac:dyDescent="0.25">
      <c r="H1516" t="s">
        <v>8973</v>
      </c>
    </row>
    <row r="1517" spans="8:8" x14ac:dyDescent="0.25">
      <c r="H1517" t="s">
        <v>30</v>
      </c>
    </row>
    <row r="1519" spans="8:8" x14ac:dyDescent="0.25">
      <c r="H1519" t="s">
        <v>8974</v>
      </c>
    </row>
    <row r="1520" spans="8:8" x14ac:dyDescent="0.25">
      <c r="H1520" t="s">
        <v>8975</v>
      </c>
    </row>
    <row r="1521" spans="8:8" x14ac:dyDescent="0.25">
      <c r="H1521" t="s">
        <v>135</v>
      </c>
    </row>
    <row r="1522" spans="8:8" x14ac:dyDescent="0.25">
      <c r="H1522" t="s">
        <v>8976</v>
      </c>
    </row>
    <row r="1523" spans="8:8" x14ac:dyDescent="0.25">
      <c r="H1523" t="s">
        <v>30</v>
      </c>
    </row>
    <row r="1525" spans="8:8" x14ac:dyDescent="0.25">
      <c r="H1525" t="s">
        <v>8977</v>
      </c>
    </row>
    <row r="1526" spans="8:8" x14ac:dyDescent="0.25">
      <c r="H1526" t="s">
        <v>8978</v>
      </c>
    </row>
    <row r="1527" spans="8:8" x14ac:dyDescent="0.25">
      <c r="H1527" t="s">
        <v>135</v>
      </c>
    </row>
    <row r="1528" spans="8:8" x14ac:dyDescent="0.25">
      <c r="H1528" t="s">
        <v>8979</v>
      </c>
    </row>
    <row r="1529" spans="8:8" x14ac:dyDescent="0.25">
      <c r="H1529" t="s">
        <v>30</v>
      </c>
    </row>
    <row r="1531" spans="8:8" x14ac:dyDescent="0.25">
      <c r="H1531" t="s">
        <v>8980</v>
      </c>
    </row>
    <row r="1532" spans="8:8" x14ac:dyDescent="0.25">
      <c r="H1532" t="s">
        <v>8981</v>
      </c>
    </row>
    <row r="1533" spans="8:8" x14ac:dyDescent="0.25">
      <c r="H1533" t="s">
        <v>135</v>
      </c>
    </row>
    <row r="1534" spans="8:8" x14ac:dyDescent="0.25">
      <c r="H1534" t="s">
        <v>8982</v>
      </c>
    </row>
    <row r="1535" spans="8:8" x14ac:dyDescent="0.25">
      <c r="H1535" t="s">
        <v>30</v>
      </c>
    </row>
    <row r="1537" spans="8:8" x14ac:dyDescent="0.25">
      <c r="H1537" t="s">
        <v>8983</v>
      </c>
    </row>
    <row r="1538" spans="8:8" x14ac:dyDescent="0.25">
      <c r="H1538" t="s">
        <v>8984</v>
      </c>
    </row>
    <row r="1539" spans="8:8" x14ac:dyDescent="0.25">
      <c r="H1539" t="s">
        <v>135</v>
      </c>
    </row>
    <row r="1540" spans="8:8" x14ac:dyDescent="0.25">
      <c r="H1540" t="s">
        <v>8985</v>
      </c>
    </row>
    <row r="1541" spans="8:8" x14ac:dyDescent="0.25">
      <c r="H1541" t="s">
        <v>30</v>
      </c>
    </row>
    <row r="1543" spans="8:8" x14ac:dyDescent="0.25">
      <c r="H1543" t="s">
        <v>8986</v>
      </c>
    </row>
    <row r="1544" spans="8:8" x14ac:dyDescent="0.25">
      <c r="H1544" t="s">
        <v>8987</v>
      </c>
    </row>
    <row r="1545" spans="8:8" x14ac:dyDescent="0.25">
      <c r="H1545" t="s">
        <v>135</v>
      </c>
    </row>
    <row r="1546" spans="8:8" x14ac:dyDescent="0.25">
      <c r="H1546" t="s">
        <v>8988</v>
      </c>
    </row>
    <row r="1547" spans="8:8" x14ac:dyDescent="0.25">
      <c r="H1547" t="s">
        <v>30</v>
      </c>
    </row>
    <row r="1549" spans="8:8" x14ac:dyDescent="0.25">
      <c r="H1549" t="s">
        <v>8989</v>
      </c>
    </row>
    <row r="1550" spans="8:8" x14ac:dyDescent="0.25">
      <c r="H1550" t="s">
        <v>8990</v>
      </c>
    </row>
    <row r="1551" spans="8:8" x14ac:dyDescent="0.25">
      <c r="H1551" t="s">
        <v>135</v>
      </c>
    </row>
    <row r="1552" spans="8:8" x14ac:dyDescent="0.25">
      <c r="H1552" t="s">
        <v>8991</v>
      </c>
    </row>
    <row r="1553" spans="8:8" x14ac:dyDescent="0.25">
      <c r="H1553" t="s">
        <v>30</v>
      </c>
    </row>
    <row r="1555" spans="8:8" x14ac:dyDescent="0.25">
      <c r="H1555" t="s">
        <v>8992</v>
      </c>
    </row>
    <row r="1556" spans="8:8" x14ac:dyDescent="0.25">
      <c r="H1556" t="s">
        <v>8993</v>
      </c>
    </row>
    <row r="1557" spans="8:8" x14ac:dyDescent="0.25">
      <c r="H1557" t="s">
        <v>135</v>
      </c>
    </row>
    <row r="1558" spans="8:8" x14ac:dyDescent="0.25">
      <c r="H1558" t="s">
        <v>8994</v>
      </c>
    </row>
    <row r="1559" spans="8:8" x14ac:dyDescent="0.25">
      <c r="H1559" t="s">
        <v>30</v>
      </c>
    </row>
    <row r="1560" spans="8:8" x14ac:dyDescent="0.25">
      <c r="H1560" t="s">
        <v>136</v>
      </c>
    </row>
    <row r="1561" spans="8:8" x14ac:dyDescent="0.25">
      <c r="H1561" t="s">
        <v>8995</v>
      </c>
    </row>
    <row r="1562" spans="8:8" x14ac:dyDescent="0.25">
      <c r="H1562" t="s">
        <v>30</v>
      </c>
    </row>
    <row r="1563" spans="8:8" x14ac:dyDescent="0.25">
      <c r="H1563" t="s">
        <v>137</v>
      </c>
    </row>
    <row r="1564" spans="8:8" x14ac:dyDescent="0.25">
      <c r="H1564" t="s">
        <v>8996</v>
      </c>
    </row>
    <row r="1565" spans="8:8" x14ac:dyDescent="0.25">
      <c r="H1565" t="s">
        <v>30</v>
      </c>
    </row>
    <row r="1567" spans="8:8" x14ac:dyDescent="0.25">
      <c r="H1567" t="s">
        <v>8997</v>
      </c>
    </row>
    <row r="1568" spans="8:8" x14ac:dyDescent="0.25">
      <c r="H1568" t="s">
        <v>8998</v>
      </c>
    </row>
    <row r="1569" spans="8:8" x14ac:dyDescent="0.25">
      <c r="H1569" t="s">
        <v>135</v>
      </c>
    </row>
    <row r="1570" spans="8:8" x14ac:dyDescent="0.25">
      <c r="H1570" t="s">
        <v>8999</v>
      </c>
    </row>
    <row r="1571" spans="8:8" x14ac:dyDescent="0.25">
      <c r="H1571" t="s">
        <v>30</v>
      </c>
    </row>
    <row r="1573" spans="8:8" x14ac:dyDescent="0.25">
      <c r="H1573" t="s">
        <v>9000</v>
      </c>
    </row>
    <row r="1574" spans="8:8" x14ac:dyDescent="0.25">
      <c r="H1574" t="s">
        <v>9001</v>
      </c>
    </row>
    <row r="1575" spans="8:8" x14ac:dyDescent="0.25">
      <c r="H1575" t="s">
        <v>135</v>
      </c>
    </row>
    <row r="1576" spans="8:8" x14ac:dyDescent="0.25">
      <c r="H1576" t="s">
        <v>9002</v>
      </c>
    </row>
    <row r="1577" spans="8:8" x14ac:dyDescent="0.25">
      <c r="H1577" t="s">
        <v>30</v>
      </c>
    </row>
    <row r="1579" spans="8:8" x14ac:dyDescent="0.25">
      <c r="H1579" t="s">
        <v>9003</v>
      </c>
    </row>
    <row r="1580" spans="8:8" x14ac:dyDescent="0.25">
      <c r="H1580" t="s">
        <v>9004</v>
      </c>
    </row>
    <row r="1581" spans="8:8" x14ac:dyDescent="0.25">
      <c r="H1581" t="s">
        <v>135</v>
      </c>
    </row>
    <row r="1582" spans="8:8" x14ac:dyDescent="0.25">
      <c r="H1582" t="s">
        <v>9005</v>
      </c>
    </row>
    <row r="1583" spans="8:8" x14ac:dyDescent="0.25">
      <c r="H1583" t="s">
        <v>30</v>
      </c>
    </row>
    <row r="1585" spans="8:8" x14ac:dyDescent="0.25">
      <c r="H1585" t="s">
        <v>9006</v>
      </c>
    </row>
    <row r="1586" spans="8:8" x14ac:dyDescent="0.25">
      <c r="H1586" t="s">
        <v>9007</v>
      </c>
    </row>
    <row r="1587" spans="8:8" x14ac:dyDescent="0.25">
      <c r="H1587" t="s">
        <v>135</v>
      </c>
    </row>
    <row r="1588" spans="8:8" x14ac:dyDescent="0.25">
      <c r="H1588" t="s">
        <v>9008</v>
      </c>
    </row>
    <row r="1589" spans="8:8" x14ac:dyDescent="0.25">
      <c r="H1589" t="s">
        <v>30</v>
      </c>
    </row>
    <row r="1591" spans="8:8" x14ac:dyDescent="0.25">
      <c r="H1591" t="s">
        <v>9009</v>
      </c>
    </row>
    <row r="1592" spans="8:8" x14ac:dyDescent="0.25">
      <c r="H1592" t="s">
        <v>9010</v>
      </c>
    </row>
    <row r="1593" spans="8:8" x14ac:dyDescent="0.25">
      <c r="H1593" t="s">
        <v>135</v>
      </c>
    </row>
    <row r="1594" spans="8:8" x14ac:dyDescent="0.25">
      <c r="H1594" t="s">
        <v>9011</v>
      </c>
    </row>
    <row r="1595" spans="8:8" x14ac:dyDescent="0.25">
      <c r="H1595" t="s">
        <v>30</v>
      </c>
    </row>
    <row r="1597" spans="8:8" x14ac:dyDescent="0.25">
      <c r="H1597" t="s">
        <v>9012</v>
      </c>
    </row>
    <row r="1598" spans="8:8" x14ac:dyDescent="0.25">
      <c r="H1598" t="s">
        <v>9013</v>
      </c>
    </row>
    <row r="1599" spans="8:8" x14ac:dyDescent="0.25">
      <c r="H1599" t="s">
        <v>135</v>
      </c>
    </row>
    <row r="1600" spans="8:8" x14ac:dyDescent="0.25">
      <c r="H1600" t="s">
        <v>9014</v>
      </c>
    </row>
    <row r="1601" spans="8:8" x14ac:dyDescent="0.25">
      <c r="H1601" t="s">
        <v>30</v>
      </c>
    </row>
    <row r="1603" spans="8:8" x14ac:dyDescent="0.25">
      <c r="H1603" t="s">
        <v>9015</v>
      </c>
    </row>
    <row r="1604" spans="8:8" x14ac:dyDescent="0.25">
      <c r="H1604" t="s">
        <v>9016</v>
      </c>
    </row>
    <row r="1605" spans="8:8" x14ac:dyDescent="0.25">
      <c r="H1605" t="s">
        <v>135</v>
      </c>
    </row>
    <row r="1606" spans="8:8" x14ac:dyDescent="0.25">
      <c r="H1606" t="s">
        <v>9017</v>
      </c>
    </row>
    <row r="1607" spans="8:8" x14ac:dyDescent="0.25">
      <c r="H1607" t="s">
        <v>30</v>
      </c>
    </row>
    <row r="1609" spans="8:8" x14ac:dyDescent="0.25">
      <c r="H1609" t="s">
        <v>9018</v>
      </c>
    </row>
    <row r="1610" spans="8:8" x14ac:dyDescent="0.25">
      <c r="H1610" t="s">
        <v>9019</v>
      </c>
    </row>
    <row r="1611" spans="8:8" x14ac:dyDescent="0.25">
      <c r="H1611" t="s">
        <v>135</v>
      </c>
    </row>
    <row r="1612" spans="8:8" x14ac:dyDescent="0.25">
      <c r="H1612" t="s">
        <v>9020</v>
      </c>
    </row>
    <row r="1613" spans="8:8" x14ac:dyDescent="0.25">
      <c r="H1613" t="s">
        <v>30</v>
      </c>
    </row>
    <row r="1615" spans="8:8" x14ac:dyDescent="0.25">
      <c r="H1615" t="s">
        <v>9021</v>
      </c>
    </row>
    <row r="1616" spans="8:8" x14ac:dyDescent="0.25">
      <c r="H1616" t="s">
        <v>9022</v>
      </c>
    </row>
    <row r="1617" spans="8:8" x14ac:dyDescent="0.25">
      <c r="H1617" t="s">
        <v>135</v>
      </c>
    </row>
    <row r="1618" spans="8:8" x14ac:dyDescent="0.25">
      <c r="H1618" t="s">
        <v>9023</v>
      </c>
    </row>
    <row r="1619" spans="8:8" x14ac:dyDescent="0.25">
      <c r="H1619" t="s">
        <v>30</v>
      </c>
    </row>
    <row r="1621" spans="8:8" x14ac:dyDescent="0.25">
      <c r="H1621" t="s">
        <v>9024</v>
      </c>
    </row>
    <row r="1622" spans="8:8" x14ac:dyDescent="0.25">
      <c r="H1622" t="s">
        <v>9025</v>
      </c>
    </row>
    <row r="1623" spans="8:8" x14ac:dyDescent="0.25">
      <c r="H1623" t="s">
        <v>135</v>
      </c>
    </row>
    <row r="1624" spans="8:8" x14ac:dyDescent="0.25">
      <c r="H1624" t="s">
        <v>9026</v>
      </c>
    </row>
    <row r="1625" spans="8:8" x14ac:dyDescent="0.25">
      <c r="H1625" t="s">
        <v>30</v>
      </c>
    </row>
    <row r="1626" spans="8:8" x14ac:dyDescent="0.25">
      <c r="H1626" t="s">
        <v>9027</v>
      </c>
    </row>
    <row r="1627" spans="8:8" x14ac:dyDescent="0.25">
      <c r="H1627" t="s">
        <v>136</v>
      </c>
    </row>
    <row r="1628" spans="8:8" x14ac:dyDescent="0.25">
      <c r="H1628" t="s">
        <v>9028</v>
      </c>
    </row>
    <row r="1629" spans="8:8" x14ac:dyDescent="0.25">
      <c r="H1629" t="s">
        <v>30</v>
      </c>
    </row>
    <row r="1630" spans="8:8" x14ac:dyDescent="0.25">
      <c r="H1630" t="s">
        <v>9029</v>
      </c>
    </row>
    <row r="1631" spans="8:8" x14ac:dyDescent="0.25">
      <c r="H1631" t="s">
        <v>137</v>
      </c>
    </row>
    <row r="1632" spans="8:8" x14ac:dyDescent="0.25">
      <c r="H1632" t="s">
        <v>9030</v>
      </c>
    </row>
    <row r="1633" spans="8:8" x14ac:dyDescent="0.25">
      <c r="H1633" t="s">
        <v>30</v>
      </c>
    </row>
    <row r="1634" spans="8:8" x14ac:dyDescent="0.25">
      <c r="H1634" t="s">
        <v>9031</v>
      </c>
    </row>
    <row r="1635" spans="8:8" x14ac:dyDescent="0.25">
      <c r="H1635" t="s">
        <v>138</v>
      </c>
    </row>
    <row r="1636" spans="8:8" x14ac:dyDescent="0.25">
      <c r="H1636" t="s">
        <v>9032</v>
      </c>
    </row>
    <row r="1637" spans="8:8" x14ac:dyDescent="0.25">
      <c r="H1637" t="s">
        <v>30</v>
      </c>
    </row>
    <row r="1639" spans="8:8" x14ac:dyDescent="0.25">
      <c r="H1639" t="s">
        <v>9033</v>
      </c>
    </row>
    <row r="1640" spans="8:8" x14ac:dyDescent="0.25">
      <c r="H1640" t="s">
        <v>9034</v>
      </c>
    </row>
    <row r="1641" spans="8:8" x14ac:dyDescent="0.25">
      <c r="H1641" t="s">
        <v>135</v>
      </c>
    </row>
    <row r="1642" spans="8:8" x14ac:dyDescent="0.25">
      <c r="H1642" t="s">
        <v>9035</v>
      </c>
    </row>
    <row r="1643" spans="8:8" x14ac:dyDescent="0.25">
      <c r="H1643" t="s">
        <v>30</v>
      </c>
    </row>
    <row r="1644" spans="8:8" x14ac:dyDescent="0.25">
      <c r="H1644" t="s">
        <v>9036</v>
      </c>
    </row>
    <row r="1645" spans="8:8" x14ac:dyDescent="0.25">
      <c r="H1645" t="s">
        <v>136</v>
      </c>
    </row>
    <row r="1646" spans="8:8" x14ac:dyDescent="0.25">
      <c r="H1646" t="s">
        <v>9037</v>
      </c>
    </row>
    <row r="1647" spans="8:8" x14ac:dyDescent="0.25">
      <c r="H1647" t="s">
        <v>30</v>
      </c>
    </row>
    <row r="1649" spans="8:8" x14ac:dyDescent="0.25">
      <c r="H1649" t="s">
        <v>9038</v>
      </c>
    </row>
    <row r="1650" spans="8:8" x14ac:dyDescent="0.25">
      <c r="H1650" t="s">
        <v>9039</v>
      </c>
    </row>
    <row r="1651" spans="8:8" x14ac:dyDescent="0.25">
      <c r="H1651" t="s">
        <v>135</v>
      </c>
    </row>
    <row r="1652" spans="8:8" x14ac:dyDescent="0.25">
      <c r="H1652" t="s">
        <v>9040</v>
      </c>
    </row>
    <row r="1653" spans="8:8" x14ac:dyDescent="0.25">
      <c r="H1653" t="s">
        <v>30</v>
      </c>
    </row>
    <row r="1655" spans="8:8" x14ac:dyDescent="0.25">
      <c r="H1655" t="s">
        <v>9041</v>
      </c>
    </row>
    <row r="1656" spans="8:8" x14ac:dyDescent="0.25">
      <c r="H1656" t="s">
        <v>9042</v>
      </c>
    </row>
    <row r="1657" spans="8:8" x14ac:dyDescent="0.25">
      <c r="H1657" t="s">
        <v>135</v>
      </c>
    </row>
    <row r="1658" spans="8:8" x14ac:dyDescent="0.25">
      <c r="H1658" t="s">
        <v>9043</v>
      </c>
    </row>
    <row r="1659" spans="8:8" x14ac:dyDescent="0.25">
      <c r="H1659" t="s">
        <v>30</v>
      </c>
    </row>
    <row r="1661" spans="8:8" x14ac:dyDescent="0.25">
      <c r="H1661" t="s">
        <v>9044</v>
      </c>
    </row>
    <row r="1662" spans="8:8" x14ac:dyDescent="0.25">
      <c r="H1662" t="s">
        <v>9045</v>
      </c>
    </row>
    <row r="1663" spans="8:8" x14ac:dyDescent="0.25">
      <c r="H1663" t="s">
        <v>135</v>
      </c>
    </row>
    <row r="1664" spans="8:8" x14ac:dyDescent="0.25">
      <c r="H1664" t="s">
        <v>9046</v>
      </c>
    </row>
    <row r="1665" spans="8:8" x14ac:dyDescent="0.25">
      <c r="H1665" t="s">
        <v>30</v>
      </c>
    </row>
    <row r="1667" spans="8:8" x14ac:dyDescent="0.25">
      <c r="H1667" t="s">
        <v>9047</v>
      </c>
    </row>
    <row r="1668" spans="8:8" x14ac:dyDescent="0.25">
      <c r="H1668" t="s">
        <v>9048</v>
      </c>
    </row>
    <row r="1669" spans="8:8" x14ac:dyDescent="0.25">
      <c r="H1669" t="s">
        <v>135</v>
      </c>
    </row>
    <row r="1670" spans="8:8" x14ac:dyDescent="0.25">
      <c r="H1670" t="s">
        <v>9049</v>
      </c>
    </row>
    <row r="1671" spans="8:8" x14ac:dyDescent="0.25">
      <c r="H1671" t="s">
        <v>30</v>
      </c>
    </row>
    <row r="1673" spans="8:8" x14ac:dyDescent="0.25">
      <c r="H1673" t="s">
        <v>9050</v>
      </c>
    </row>
    <row r="1674" spans="8:8" x14ac:dyDescent="0.25">
      <c r="H1674" t="s">
        <v>9051</v>
      </c>
    </row>
    <row r="1675" spans="8:8" x14ac:dyDescent="0.25">
      <c r="H1675" t="s">
        <v>135</v>
      </c>
    </row>
    <row r="1676" spans="8:8" x14ac:dyDescent="0.25">
      <c r="H1676" t="s">
        <v>9052</v>
      </c>
    </row>
    <row r="1677" spans="8:8" x14ac:dyDescent="0.25">
      <c r="H1677" t="s">
        <v>30</v>
      </c>
    </row>
    <row r="1679" spans="8:8" x14ac:dyDescent="0.25">
      <c r="H1679" t="s">
        <v>9053</v>
      </c>
    </row>
    <row r="1680" spans="8:8" x14ac:dyDescent="0.25">
      <c r="H1680" t="s">
        <v>9054</v>
      </c>
    </row>
    <row r="1681" spans="8:8" x14ac:dyDescent="0.25">
      <c r="H1681" t="s">
        <v>135</v>
      </c>
    </row>
    <row r="1682" spans="8:8" x14ac:dyDescent="0.25">
      <c r="H1682" t="s">
        <v>9055</v>
      </c>
    </row>
    <row r="1683" spans="8:8" x14ac:dyDescent="0.25">
      <c r="H1683" t="s">
        <v>30</v>
      </c>
    </row>
    <row r="1685" spans="8:8" x14ac:dyDescent="0.25">
      <c r="H1685" t="s">
        <v>9056</v>
      </c>
    </row>
    <row r="1686" spans="8:8" x14ac:dyDescent="0.25">
      <c r="H1686" t="s">
        <v>9057</v>
      </c>
    </row>
    <row r="1687" spans="8:8" x14ac:dyDescent="0.25">
      <c r="H1687" t="s">
        <v>135</v>
      </c>
    </row>
    <row r="1688" spans="8:8" x14ac:dyDescent="0.25">
      <c r="H1688" t="s">
        <v>9058</v>
      </c>
    </row>
    <row r="1689" spans="8:8" x14ac:dyDescent="0.25">
      <c r="H1689" t="s">
        <v>30</v>
      </c>
    </row>
    <row r="1691" spans="8:8" x14ac:dyDescent="0.25">
      <c r="H1691" t="s">
        <v>9059</v>
      </c>
    </row>
    <row r="1692" spans="8:8" x14ac:dyDescent="0.25">
      <c r="H1692" t="s">
        <v>9060</v>
      </c>
    </row>
    <row r="1693" spans="8:8" x14ac:dyDescent="0.25">
      <c r="H1693" t="s">
        <v>135</v>
      </c>
    </row>
    <row r="1694" spans="8:8" x14ac:dyDescent="0.25">
      <c r="H1694" t="s">
        <v>9061</v>
      </c>
    </row>
    <row r="1695" spans="8:8" x14ac:dyDescent="0.25">
      <c r="H1695" t="s">
        <v>30</v>
      </c>
    </row>
    <row r="1697" spans="8:8" x14ac:dyDescent="0.25">
      <c r="H1697" t="s">
        <v>9062</v>
      </c>
    </row>
    <row r="1698" spans="8:8" x14ac:dyDescent="0.25">
      <c r="H1698" t="s">
        <v>9063</v>
      </c>
    </row>
    <row r="1699" spans="8:8" x14ac:dyDescent="0.25">
      <c r="H1699" t="s">
        <v>135</v>
      </c>
    </row>
    <row r="1700" spans="8:8" x14ac:dyDescent="0.25">
      <c r="H1700" t="s">
        <v>9064</v>
      </c>
    </row>
    <row r="1701" spans="8:8" x14ac:dyDescent="0.25">
      <c r="H1701" t="s">
        <v>30</v>
      </c>
    </row>
    <row r="1703" spans="8:8" x14ac:dyDescent="0.25">
      <c r="H1703" t="s">
        <v>9065</v>
      </c>
    </row>
    <row r="1704" spans="8:8" x14ac:dyDescent="0.25">
      <c r="H1704" t="s">
        <v>9066</v>
      </c>
    </row>
    <row r="1705" spans="8:8" x14ac:dyDescent="0.25">
      <c r="H1705" t="s">
        <v>135</v>
      </c>
    </row>
    <row r="1706" spans="8:8" x14ac:dyDescent="0.25">
      <c r="H1706" t="s">
        <v>9067</v>
      </c>
    </row>
    <row r="1707" spans="8:8" x14ac:dyDescent="0.25">
      <c r="H1707" t="s">
        <v>30</v>
      </c>
    </row>
    <row r="1709" spans="8:8" x14ac:dyDescent="0.25">
      <c r="H1709" t="s">
        <v>9068</v>
      </c>
    </row>
    <row r="1710" spans="8:8" x14ac:dyDescent="0.25">
      <c r="H1710" t="s">
        <v>9069</v>
      </c>
    </row>
    <row r="1711" spans="8:8" x14ac:dyDescent="0.25">
      <c r="H1711" t="s">
        <v>135</v>
      </c>
    </row>
    <row r="1712" spans="8:8" x14ac:dyDescent="0.25">
      <c r="H1712" t="s">
        <v>9070</v>
      </c>
    </row>
    <row r="1713" spans="8:8" x14ac:dyDescent="0.25">
      <c r="H1713" t="s">
        <v>30</v>
      </c>
    </row>
    <row r="1715" spans="8:8" x14ac:dyDescent="0.25">
      <c r="H1715" t="s">
        <v>9071</v>
      </c>
    </row>
    <row r="1716" spans="8:8" x14ac:dyDescent="0.25">
      <c r="H1716" t="s">
        <v>9072</v>
      </c>
    </row>
    <row r="1717" spans="8:8" x14ac:dyDescent="0.25">
      <c r="H1717" t="s">
        <v>135</v>
      </c>
    </row>
    <row r="1718" spans="8:8" x14ac:dyDescent="0.25">
      <c r="H1718" t="s">
        <v>9073</v>
      </c>
    </row>
    <row r="1719" spans="8:8" x14ac:dyDescent="0.25">
      <c r="H1719" t="s">
        <v>30</v>
      </c>
    </row>
    <row r="1721" spans="8:8" x14ac:dyDescent="0.25">
      <c r="H1721" t="s">
        <v>9074</v>
      </c>
    </row>
    <row r="1722" spans="8:8" x14ac:dyDescent="0.25">
      <c r="H1722" t="s">
        <v>9075</v>
      </c>
    </row>
    <row r="1723" spans="8:8" x14ac:dyDescent="0.25">
      <c r="H1723" t="s">
        <v>135</v>
      </c>
    </row>
    <row r="1724" spans="8:8" x14ac:dyDescent="0.25">
      <c r="H1724" t="s">
        <v>9076</v>
      </c>
    </row>
    <row r="1725" spans="8:8" x14ac:dyDescent="0.25">
      <c r="H1725" t="s">
        <v>30</v>
      </c>
    </row>
    <row r="1727" spans="8:8" x14ac:dyDescent="0.25">
      <c r="H1727" t="s">
        <v>9077</v>
      </c>
    </row>
    <row r="1728" spans="8:8" x14ac:dyDescent="0.25">
      <c r="H1728" t="s">
        <v>9078</v>
      </c>
    </row>
    <row r="1729" spans="8:8" x14ac:dyDescent="0.25">
      <c r="H1729" t="s">
        <v>135</v>
      </c>
    </row>
    <row r="1730" spans="8:8" x14ac:dyDescent="0.25">
      <c r="H1730" t="s">
        <v>9079</v>
      </c>
    </row>
    <row r="1731" spans="8:8" x14ac:dyDescent="0.25">
      <c r="H1731" t="s">
        <v>30</v>
      </c>
    </row>
    <row r="1733" spans="8:8" x14ac:dyDescent="0.25">
      <c r="H1733" t="s">
        <v>9080</v>
      </c>
    </row>
    <row r="1734" spans="8:8" x14ac:dyDescent="0.25">
      <c r="H1734" t="s">
        <v>9081</v>
      </c>
    </row>
    <row r="1735" spans="8:8" x14ac:dyDescent="0.25">
      <c r="H1735" t="s">
        <v>135</v>
      </c>
    </row>
    <row r="1736" spans="8:8" x14ac:dyDescent="0.25">
      <c r="H1736" t="s">
        <v>9082</v>
      </c>
    </row>
    <row r="1737" spans="8:8" x14ac:dyDescent="0.25">
      <c r="H1737" t="s">
        <v>30</v>
      </c>
    </row>
    <row r="1739" spans="8:8" x14ac:dyDescent="0.25">
      <c r="H1739" t="s">
        <v>9083</v>
      </c>
    </row>
    <row r="1740" spans="8:8" x14ac:dyDescent="0.25">
      <c r="H1740" t="s">
        <v>9084</v>
      </c>
    </row>
    <row r="1741" spans="8:8" x14ac:dyDescent="0.25">
      <c r="H1741" t="s">
        <v>135</v>
      </c>
    </row>
    <row r="1742" spans="8:8" x14ac:dyDescent="0.25">
      <c r="H1742" t="s">
        <v>9085</v>
      </c>
    </row>
    <row r="1743" spans="8:8" x14ac:dyDescent="0.25">
      <c r="H1743" t="s">
        <v>30</v>
      </c>
    </row>
    <row r="1745" spans="8:8" x14ac:dyDescent="0.25">
      <c r="H1745" t="s">
        <v>9086</v>
      </c>
    </row>
    <row r="1746" spans="8:8" x14ac:dyDescent="0.25">
      <c r="H1746" t="s">
        <v>9087</v>
      </c>
    </row>
    <row r="1747" spans="8:8" x14ac:dyDescent="0.25">
      <c r="H1747" t="s">
        <v>135</v>
      </c>
    </row>
    <row r="1748" spans="8:8" x14ac:dyDescent="0.25">
      <c r="H1748" t="s">
        <v>9088</v>
      </c>
    </row>
    <row r="1749" spans="8:8" x14ac:dyDescent="0.25">
      <c r="H1749" t="s">
        <v>30</v>
      </c>
    </row>
    <row r="1751" spans="8:8" x14ac:dyDescent="0.25">
      <c r="H1751" t="s">
        <v>9089</v>
      </c>
    </row>
    <row r="1752" spans="8:8" x14ac:dyDescent="0.25">
      <c r="H1752" t="s">
        <v>9090</v>
      </c>
    </row>
    <row r="1753" spans="8:8" x14ac:dyDescent="0.25">
      <c r="H1753" t="s">
        <v>135</v>
      </c>
    </row>
    <row r="1754" spans="8:8" x14ac:dyDescent="0.25">
      <c r="H1754" t="s">
        <v>9091</v>
      </c>
    </row>
    <row r="1755" spans="8:8" x14ac:dyDescent="0.25">
      <c r="H1755" t="s">
        <v>30</v>
      </c>
    </row>
    <row r="1757" spans="8:8" x14ac:dyDescent="0.25">
      <c r="H1757" t="s">
        <v>9092</v>
      </c>
    </row>
    <row r="1758" spans="8:8" x14ac:dyDescent="0.25">
      <c r="H1758" t="s">
        <v>9093</v>
      </c>
    </row>
    <row r="1759" spans="8:8" x14ac:dyDescent="0.25">
      <c r="H1759" t="s">
        <v>135</v>
      </c>
    </row>
    <row r="1760" spans="8:8" x14ac:dyDescent="0.25">
      <c r="H1760" t="s">
        <v>9094</v>
      </c>
    </row>
    <row r="1761" spans="8:8" x14ac:dyDescent="0.25">
      <c r="H1761" t="s">
        <v>30</v>
      </c>
    </row>
    <row r="1763" spans="8:8" x14ac:dyDescent="0.25">
      <c r="H1763" t="s">
        <v>9095</v>
      </c>
    </row>
    <row r="1764" spans="8:8" x14ac:dyDescent="0.25">
      <c r="H1764" t="s">
        <v>9096</v>
      </c>
    </row>
    <row r="1765" spans="8:8" x14ac:dyDescent="0.25">
      <c r="H1765" t="s">
        <v>135</v>
      </c>
    </row>
    <row r="1766" spans="8:8" x14ac:dyDescent="0.25">
      <c r="H1766" t="s">
        <v>9097</v>
      </c>
    </row>
    <row r="1767" spans="8:8" x14ac:dyDescent="0.25">
      <c r="H1767" t="s">
        <v>30</v>
      </c>
    </row>
    <row r="1769" spans="8:8" x14ac:dyDescent="0.25">
      <c r="H1769" t="s">
        <v>9098</v>
      </c>
    </row>
    <row r="1770" spans="8:8" x14ac:dyDescent="0.25">
      <c r="H1770" t="s">
        <v>9099</v>
      </c>
    </row>
    <row r="1771" spans="8:8" x14ac:dyDescent="0.25">
      <c r="H1771" t="s">
        <v>135</v>
      </c>
    </row>
    <row r="1772" spans="8:8" x14ac:dyDescent="0.25">
      <c r="H1772" t="s">
        <v>9100</v>
      </c>
    </row>
    <row r="1773" spans="8:8" x14ac:dyDescent="0.25">
      <c r="H1773" t="s">
        <v>30</v>
      </c>
    </row>
    <row r="1775" spans="8:8" x14ac:dyDescent="0.25">
      <c r="H1775" t="s">
        <v>9101</v>
      </c>
    </row>
    <row r="1776" spans="8:8" x14ac:dyDescent="0.25">
      <c r="H1776" t="s">
        <v>9102</v>
      </c>
    </row>
    <row r="1777" spans="8:8" x14ac:dyDescent="0.25">
      <c r="H1777" t="s">
        <v>135</v>
      </c>
    </row>
    <row r="1778" spans="8:8" x14ac:dyDescent="0.25">
      <c r="H1778" t="s">
        <v>9103</v>
      </c>
    </row>
    <row r="1779" spans="8:8" x14ac:dyDescent="0.25">
      <c r="H1779" t="s">
        <v>30</v>
      </c>
    </row>
    <row r="1781" spans="8:8" x14ac:dyDescent="0.25">
      <c r="H1781" t="s">
        <v>9104</v>
      </c>
    </row>
    <row r="1782" spans="8:8" x14ac:dyDescent="0.25">
      <c r="H1782" t="s">
        <v>9105</v>
      </c>
    </row>
    <row r="1783" spans="8:8" x14ac:dyDescent="0.25">
      <c r="H1783" t="s">
        <v>135</v>
      </c>
    </row>
    <row r="1784" spans="8:8" x14ac:dyDescent="0.25">
      <c r="H1784" t="s">
        <v>9106</v>
      </c>
    </row>
    <row r="1785" spans="8:8" x14ac:dyDescent="0.25">
      <c r="H1785" t="s">
        <v>30</v>
      </c>
    </row>
    <row r="1787" spans="8:8" x14ac:dyDescent="0.25">
      <c r="H1787" t="s">
        <v>9107</v>
      </c>
    </row>
    <row r="1788" spans="8:8" x14ac:dyDescent="0.25">
      <c r="H1788" t="s">
        <v>9108</v>
      </c>
    </row>
    <row r="1789" spans="8:8" x14ac:dyDescent="0.25">
      <c r="H1789" t="s">
        <v>135</v>
      </c>
    </row>
    <row r="1790" spans="8:8" x14ac:dyDescent="0.25">
      <c r="H1790" t="s">
        <v>9109</v>
      </c>
    </row>
    <row r="1791" spans="8:8" x14ac:dyDescent="0.25">
      <c r="H1791" t="s">
        <v>30</v>
      </c>
    </row>
    <row r="1793" spans="8:8" x14ac:dyDescent="0.25">
      <c r="H1793" t="s">
        <v>9110</v>
      </c>
    </row>
    <row r="1794" spans="8:8" x14ac:dyDescent="0.25">
      <c r="H1794" t="s">
        <v>9111</v>
      </c>
    </row>
    <row r="1795" spans="8:8" x14ac:dyDescent="0.25">
      <c r="H1795" t="s">
        <v>135</v>
      </c>
    </row>
    <row r="1796" spans="8:8" x14ac:dyDescent="0.25">
      <c r="H1796" t="s">
        <v>9112</v>
      </c>
    </row>
    <row r="1797" spans="8:8" x14ac:dyDescent="0.25">
      <c r="H1797" t="s">
        <v>30</v>
      </c>
    </row>
    <row r="1799" spans="8:8" x14ac:dyDescent="0.25">
      <c r="H1799" t="s">
        <v>9113</v>
      </c>
    </row>
    <row r="1800" spans="8:8" x14ac:dyDescent="0.25">
      <c r="H1800" t="s">
        <v>9114</v>
      </c>
    </row>
    <row r="1801" spans="8:8" x14ac:dyDescent="0.25">
      <c r="H1801" t="s">
        <v>135</v>
      </c>
    </row>
    <row r="1802" spans="8:8" x14ac:dyDescent="0.25">
      <c r="H1802" t="s">
        <v>9115</v>
      </c>
    </row>
    <row r="1803" spans="8:8" x14ac:dyDescent="0.25">
      <c r="H1803" t="s">
        <v>30</v>
      </c>
    </row>
    <row r="1805" spans="8:8" x14ac:dyDescent="0.25">
      <c r="H1805" t="s">
        <v>9116</v>
      </c>
    </row>
    <row r="1806" spans="8:8" x14ac:dyDescent="0.25">
      <c r="H1806" t="s">
        <v>9117</v>
      </c>
    </row>
    <row r="1807" spans="8:8" x14ac:dyDescent="0.25">
      <c r="H1807" t="s">
        <v>135</v>
      </c>
    </row>
    <row r="1808" spans="8:8" x14ac:dyDescent="0.25">
      <c r="H1808" t="s">
        <v>9118</v>
      </c>
    </row>
    <row r="1809" spans="8:8" x14ac:dyDescent="0.25">
      <c r="H1809" t="s">
        <v>30</v>
      </c>
    </row>
    <row r="1811" spans="8:8" x14ac:dyDescent="0.25">
      <c r="H1811" t="s">
        <v>9119</v>
      </c>
    </row>
    <row r="1812" spans="8:8" x14ac:dyDescent="0.25">
      <c r="H1812" t="s">
        <v>9120</v>
      </c>
    </row>
    <row r="1813" spans="8:8" x14ac:dyDescent="0.25">
      <c r="H1813" t="s">
        <v>135</v>
      </c>
    </row>
    <row r="1814" spans="8:8" x14ac:dyDescent="0.25">
      <c r="H1814" t="s">
        <v>9121</v>
      </c>
    </row>
    <row r="1815" spans="8:8" x14ac:dyDescent="0.25">
      <c r="H1815" t="s">
        <v>30</v>
      </c>
    </row>
    <row r="1817" spans="8:8" x14ac:dyDescent="0.25">
      <c r="H1817" t="s">
        <v>9122</v>
      </c>
    </row>
    <row r="1818" spans="8:8" x14ac:dyDescent="0.25">
      <c r="H1818" t="s">
        <v>9123</v>
      </c>
    </row>
    <row r="1819" spans="8:8" x14ac:dyDescent="0.25">
      <c r="H1819" t="s">
        <v>135</v>
      </c>
    </row>
    <row r="1820" spans="8:8" x14ac:dyDescent="0.25">
      <c r="H1820" t="s">
        <v>9124</v>
      </c>
    </row>
    <row r="1821" spans="8:8" x14ac:dyDescent="0.25">
      <c r="H1821" t="s">
        <v>30</v>
      </c>
    </row>
    <row r="1823" spans="8:8" x14ac:dyDescent="0.25">
      <c r="H1823" t="s">
        <v>9125</v>
      </c>
    </row>
    <row r="1824" spans="8:8" x14ac:dyDescent="0.25">
      <c r="H1824" t="s">
        <v>9126</v>
      </c>
    </row>
    <row r="1825" spans="8:8" x14ac:dyDescent="0.25">
      <c r="H1825" t="s">
        <v>135</v>
      </c>
    </row>
    <row r="1826" spans="8:8" x14ac:dyDescent="0.25">
      <c r="H1826" t="s">
        <v>9127</v>
      </c>
    </row>
    <row r="1827" spans="8:8" x14ac:dyDescent="0.25">
      <c r="H1827" t="s">
        <v>30</v>
      </c>
    </row>
    <row r="1829" spans="8:8" x14ac:dyDescent="0.25">
      <c r="H1829" t="s">
        <v>9128</v>
      </c>
    </row>
    <row r="1830" spans="8:8" x14ac:dyDescent="0.25">
      <c r="H1830" t="s">
        <v>9129</v>
      </c>
    </row>
    <row r="1831" spans="8:8" x14ac:dyDescent="0.25">
      <c r="H1831" t="s">
        <v>135</v>
      </c>
    </row>
    <row r="1832" spans="8:8" x14ac:dyDescent="0.25">
      <c r="H1832" t="s">
        <v>9130</v>
      </c>
    </row>
    <row r="1833" spans="8:8" x14ac:dyDescent="0.25">
      <c r="H1833" t="s">
        <v>30</v>
      </c>
    </row>
    <row r="1835" spans="8:8" x14ac:dyDescent="0.25">
      <c r="H1835" t="s">
        <v>9131</v>
      </c>
    </row>
    <row r="1836" spans="8:8" x14ac:dyDescent="0.25">
      <c r="H1836" t="s">
        <v>9132</v>
      </c>
    </row>
    <row r="1837" spans="8:8" x14ac:dyDescent="0.25">
      <c r="H1837" t="s">
        <v>135</v>
      </c>
    </row>
    <row r="1838" spans="8:8" x14ac:dyDescent="0.25">
      <c r="H1838" t="s">
        <v>9133</v>
      </c>
    </row>
    <row r="1839" spans="8:8" x14ac:dyDescent="0.25">
      <c r="H1839" t="s">
        <v>30</v>
      </c>
    </row>
    <row r="1841" spans="8:8" x14ac:dyDescent="0.25">
      <c r="H1841" t="s">
        <v>9134</v>
      </c>
    </row>
    <row r="1842" spans="8:8" x14ac:dyDescent="0.25">
      <c r="H1842" t="s">
        <v>9135</v>
      </c>
    </row>
    <row r="1843" spans="8:8" x14ac:dyDescent="0.25">
      <c r="H1843" t="s">
        <v>135</v>
      </c>
    </row>
    <row r="1844" spans="8:8" x14ac:dyDescent="0.25">
      <c r="H1844" t="s">
        <v>9136</v>
      </c>
    </row>
    <row r="1845" spans="8:8" x14ac:dyDescent="0.25">
      <c r="H1845" t="s">
        <v>30</v>
      </c>
    </row>
    <row r="1847" spans="8:8" x14ac:dyDescent="0.25">
      <c r="H1847" t="s">
        <v>9137</v>
      </c>
    </row>
    <row r="1848" spans="8:8" x14ac:dyDescent="0.25">
      <c r="H1848" t="s">
        <v>9138</v>
      </c>
    </row>
    <row r="1849" spans="8:8" x14ac:dyDescent="0.25">
      <c r="H1849" t="s">
        <v>135</v>
      </c>
    </row>
    <row r="1850" spans="8:8" x14ac:dyDescent="0.25">
      <c r="H1850" t="s">
        <v>9139</v>
      </c>
    </row>
    <row r="1851" spans="8:8" x14ac:dyDescent="0.25">
      <c r="H1851" t="s">
        <v>30</v>
      </c>
    </row>
    <row r="1853" spans="8:8" x14ac:dyDescent="0.25">
      <c r="H1853" t="s">
        <v>9140</v>
      </c>
    </row>
    <row r="1854" spans="8:8" x14ac:dyDescent="0.25">
      <c r="H1854" t="s">
        <v>9141</v>
      </c>
    </row>
    <row r="1855" spans="8:8" x14ac:dyDescent="0.25">
      <c r="H1855" t="s">
        <v>135</v>
      </c>
    </row>
    <row r="1856" spans="8:8" x14ac:dyDescent="0.25">
      <c r="H1856" t="s">
        <v>9142</v>
      </c>
    </row>
    <row r="1857" spans="8:8" x14ac:dyDescent="0.25">
      <c r="H1857" t="s">
        <v>30</v>
      </c>
    </row>
    <row r="1859" spans="8:8" x14ac:dyDescent="0.25">
      <c r="H1859" t="s">
        <v>9143</v>
      </c>
    </row>
    <row r="1860" spans="8:8" x14ac:dyDescent="0.25">
      <c r="H1860" t="s">
        <v>9144</v>
      </c>
    </row>
    <row r="1861" spans="8:8" x14ac:dyDescent="0.25">
      <c r="H1861" t="s">
        <v>135</v>
      </c>
    </row>
    <row r="1862" spans="8:8" x14ac:dyDescent="0.25">
      <c r="H1862" t="s">
        <v>9145</v>
      </c>
    </row>
    <row r="1863" spans="8:8" x14ac:dyDescent="0.25">
      <c r="H1863" t="s">
        <v>30</v>
      </c>
    </row>
    <row r="1865" spans="8:8" x14ac:dyDescent="0.25">
      <c r="H1865" t="s">
        <v>9146</v>
      </c>
    </row>
    <row r="1866" spans="8:8" x14ac:dyDescent="0.25">
      <c r="H1866" t="s">
        <v>9147</v>
      </c>
    </row>
    <row r="1867" spans="8:8" x14ac:dyDescent="0.25">
      <c r="H1867" t="s">
        <v>135</v>
      </c>
    </row>
    <row r="1868" spans="8:8" x14ac:dyDescent="0.25">
      <c r="H1868" t="s">
        <v>9148</v>
      </c>
    </row>
    <row r="1869" spans="8:8" x14ac:dyDescent="0.25">
      <c r="H1869" t="s">
        <v>30</v>
      </c>
    </row>
    <row r="1871" spans="8:8" x14ac:dyDescent="0.25">
      <c r="H1871" t="s">
        <v>9149</v>
      </c>
    </row>
    <row r="1872" spans="8:8" x14ac:dyDescent="0.25">
      <c r="H1872" t="s">
        <v>9150</v>
      </c>
    </row>
    <row r="1873" spans="8:8" x14ac:dyDescent="0.25">
      <c r="H1873" t="s">
        <v>135</v>
      </c>
    </row>
    <row r="1874" spans="8:8" x14ac:dyDescent="0.25">
      <c r="H1874" t="s">
        <v>9151</v>
      </c>
    </row>
    <row r="1875" spans="8:8" x14ac:dyDescent="0.25">
      <c r="H1875" t="s">
        <v>30</v>
      </c>
    </row>
    <row r="1877" spans="8:8" x14ac:dyDescent="0.25">
      <c r="H1877" t="s">
        <v>9152</v>
      </c>
    </row>
    <row r="1878" spans="8:8" x14ac:dyDescent="0.25">
      <c r="H1878" t="s">
        <v>9153</v>
      </c>
    </row>
    <row r="1879" spans="8:8" x14ac:dyDescent="0.25">
      <c r="H1879" t="s">
        <v>135</v>
      </c>
    </row>
    <row r="1880" spans="8:8" x14ac:dyDescent="0.25">
      <c r="H1880" t="s">
        <v>9154</v>
      </c>
    </row>
    <row r="1881" spans="8:8" x14ac:dyDescent="0.25">
      <c r="H1881" t="s">
        <v>30</v>
      </c>
    </row>
    <row r="1883" spans="8:8" x14ac:dyDescent="0.25">
      <c r="H1883" t="s">
        <v>9155</v>
      </c>
    </row>
    <row r="1884" spans="8:8" x14ac:dyDescent="0.25">
      <c r="H1884" t="s">
        <v>9156</v>
      </c>
    </row>
    <row r="1885" spans="8:8" x14ac:dyDescent="0.25">
      <c r="H1885" t="s">
        <v>135</v>
      </c>
    </row>
    <row r="1886" spans="8:8" x14ac:dyDescent="0.25">
      <c r="H1886" t="s">
        <v>9157</v>
      </c>
    </row>
    <row r="1887" spans="8:8" x14ac:dyDescent="0.25">
      <c r="H1887" t="s">
        <v>30</v>
      </c>
    </row>
    <row r="1888" spans="8:8" x14ac:dyDescent="0.25">
      <c r="H1888" t="s">
        <v>136</v>
      </c>
    </row>
    <row r="1889" spans="8:8" x14ac:dyDescent="0.25">
      <c r="H1889" t="s">
        <v>9158</v>
      </c>
    </row>
    <row r="1890" spans="8:8" x14ac:dyDescent="0.25">
      <c r="H1890" t="s">
        <v>30</v>
      </c>
    </row>
    <row r="1891" spans="8:8" x14ac:dyDescent="0.25">
      <c r="H1891" t="s">
        <v>137</v>
      </c>
    </row>
    <row r="1892" spans="8:8" x14ac:dyDescent="0.25">
      <c r="H1892" t="s">
        <v>9159</v>
      </c>
    </row>
    <row r="1893" spans="8:8" x14ac:dyDescent="0.25">
      <c r="H1893" t="s">
        <v>30</v>
      </c>
    </row>
    <row r="1895" spans="8:8" x14ac:dyDescent="0.25">
      <c r="H1895" t="s">
        <v>9160</v>
      </c>
    </row>
    <row r="1896" spans="8:8" x14ac:dyDescent="0.25">
      <c r="H1896" t="s">
        <v>9161</v>
      </c>
    </row>
    <row r="1897" spans="8:8" x14ac:dyDescent="0.25">
      <c r="H1897" t="s">
        <v>135</v>
      </c>
    </row>
    <row r="1898" spans="8:8" x14ac:dyDescent="0.25">
      <c r="H1898" t="s">
        <v>9162</v>
      </c>
    </row>
    <row r="1899" spans="8:8" x14ac:dyDescent="0.25">
      <c r="H1899" t="s">
        <v>30</v>
      </c>
    </row>
    <row r="1900" spans="8:8" x14ac:dyDescent="0.25">
      <c r="H1900" t="s">
        <v>136</v>
      </c>
    </row>
    <row r="1901" spans="8:8" x14ac:dyDescent="0.25">
      <c r="H1901" t="s">
        <v>9163</v>
      </c>
    </row>
    <row r="1902" spans="8:8" x14ac:dyDescent="0.25">
      <c r="H1902" t="s">
        <v>30</v>
      </c>
    </row>
    <row r="1903" spans="8:8" x14ac:dyDescent="0.25">
      <c r="H1903" t="s">
        <v>137</v>
      </c>
    </row>
    <row r="1904" spans="8:8" x14ac:dyDescent="0.25">
      <c r="H1904" t="s">
        <v>9164</v>
      </c>
    </row>
    <row r="1905" spans="8:8" x14ac:dyDescent="0.25">
      <c r="H1905" t="s">
        <v>30</v>
      </c>
    </row>
    <row r="1906" spans="8:8" x14ac:dyDescent="0.25">
      <c r="H1906" t="s">
        <v>138</v>
      </c>
    </row>
    <row r="1907" spans="8:8" x14ac:dyDescent="0.25">
      <c r="H1907" t="s">
        <v>9165</v>
      </c>
    </row>
    <row r="1908" spans="8:8" x14ac:dyDescent="0.25">
      <c r="H1908" t="s">
        <v>30</v>
      </c>
    </row>
    <row r="1910" spans="8:8" x14ac:dyDescent="0.25">
      <c r="H1910" t="s">
        <v>9166</v>
      </c>
    </row>
    <row r="1911" spans="8:8" x14ac:dyDescent="0.25">
      <c r="H1911" t="s">
        <v>9167</v>
      </c>
    </row>
    <row r="1912" spans="8:8" x14ac:dyDescent="0.25">
      <c r="H1912" t="s">
        <v>135</v>
      </c>
    </row>
    <row r="1913" spans="8:8" x14ac:dyDescent="0.25">
      <c r="H1913" t="s">
        <v>9168</v>
      </c>
    </row>
    <row r="1914" spans="8:8" x14ac:dyDescent="0.25">
      <c r="H1914" t="s">
        <v>30</v>
      </c>
    </row>
    <row r="1915" spans="8:8" x14ac:dyDescent="0.25">
      <c r="H1915" t="s">
        <v>136</v>
      </c>
    </row>
    <row r="1916" spans="8:8" x14ac:dyDescent="0.25">
      <c r="H1916" t="s">
        <v>9169</v>
      </c>
    </row>
    <row r="1917" spans="8:8" x14ac:dyDescent="0.25">
      <c r="H1917" t="s">
        <v>30</v>
      </c>
    </row>
    <row r="1918" spans="8:8" x14ac:dyDescent="0.25">
      <c r="H1918" t="s">
        <v>137</v>
      </c>
    </row>
    <row r="1919" spans="8:8" x14ac:dyDescent="0.25">
      <c r="H1919" t="s">
        <v>9170</v>
      </c>
    </row>
    <row r="1920" spans="8:8" x14ac:dyDescent="0.25">
      <c r="H1920" t="s">
        <v>30</v>
      </c>
    </row>
    <row r="1921" spans="8:8" x14ac:dyDescent="0.25">
      <c r="H1921" t="s">
        <v>138</v>
      </c>
    </row>
    <row r="1922" spans="8:8" x14ac:dyDescent="0.25">
      <c r="H1922" t="s">
        <v>9171</v>
      </c>
    </row>
    <row r="1923" spans="8:8" x14ac:dyDescent="0.25">
      <c r="H1923" t="s">
        <v>30</v>
      </c>
    </row>
    <row r="1925" spans="8:8" x14ac:dyDescent="0.25">
      <c r="H1925" t="s">
        <v>9172</v>
      </c>
    </row>
    <row r="1926" spans="8:8" x14ac:dyDescent="0.25">
      <c r="H1926" t="s">
        <v>9173</v>
      </c>
    </row>
    <row r="1927" spans="8:8" x14ac:dyDescent="0.25">
      <c r="H1927" t="s">
        <v>135</v>
      </c>
    </row>
    <row r="1928" spans="8:8" x14ac:dyDescent="0.25">
      <c r="H1928" t="s">
        <v>9174</v>
      </c>
    </row>
    <row r="1929" spans="8:8" x14ac:dyDescent="0.25">
      <c r="H1929" t="s">
        <v>30</v>
      </c>
    </row>
    <row r="1931" spans="8:8" x14ac:dyDescent="0.25">
      <c r="H1931" t="s">
        <v>9175</v>
      </c>
    </row>
    <row r="1932" spans="8:8" x14ac:dyDescent="0.25">
      <c r="H1932" t="s">
        <v>9176</v>
      </c>
    </row>
    <row r="1933" spans="8:8" x14ac:dyDescent="0.25">
      <c r="H1933" t="s">
        <v>135</v>
      </c>
    </row>
    <row r="1934" spans="8:8" x14ac:dyDescent="0.25">
      <c r="H1934" t="s">
        <v>9177</v>
      </c>
    </row>
    <row r="1935" spans="8:8" x14ac:dyDescent="0.25">
      <c r="H1935" t="s">
        <v>30</v>
      </c>
    </row>
    <row r="1937" spans="8:8" x14ac:dyDescent="0.25">
      <c r="H1937" t="s">
        <v>9178</v>
      </c>
    </row>
    <row r="1938" spans="8:8" x14ac:dyDescent="0.25">
      <c r="H1938" t="s">
        <v>9179</v>
      </c>
    </row>
    <row r="1939" spans="8:8" x14ac:dyDescent="0.25">
      <c r="H1939" t="s">
        <v>135</v>
      </c>
    </row>
    <row r="1940" spans="8:8" x14ac:dyDescent="0.25">
      <c r="H1940" t="s">
        <v>9180</v>
      </c>
    </row>
    <row r="1941" spans="8:8" x14ac:dyDescent="0.25">
      <c r="H1941" t="s">
        <v>30</v>
      </c>
    </row>
    <row r="1943" spans="8:8" x14ac:dyDescent="0.25">
      <c r="H1943" t="s">
        <v>9181</v>
      </c>
    </row>
    <row r="1944" spans="8:8" x14ac:dyDescent="0.25">
      <c r="H1944" t="s">
        <v>9182</v>
      </c>
    </row>
    <row r="1945" spans="8:8" x14ac:dyDescent="0.25">
      <c r="H1945" t="s">
        <v>135</v>
      </c>
    </row>
    <row r="1946" spans="8:8" x14ac:dyDescent="0.25">
      <c r="H1946" t="s">
        <v>9183</v>
      </c>
    </row>
    <row r="1947" spans="8:8" x14ac:dyDescent="0.25">
      <c r="H1947" t="s">
        <v>30</v>
      </c>
    </row>
    <row r="1949" spans="8:8" x14ac:dyDescent="0.25">
      <c r="H1949" t="s">
        <v>9184</v>
      </c>
    </row>
    <row r="1950" spans="8:8" x14ac:dyDescent="0.25">
      <c r="H1950" t="s">
        <v>9185</v>
      </c>
    </row>
    <row r="1951" spans="8:8" x14ac:dyDescent="0.25">
      <c r="H1951" t="s">
        <v>135</v>
      </c>
    </row>
    <row r="1952" spans="8:8" x14ac:dyDescent="0.25">
      <c r="H1952" t="s">
        <v>9186</v>
      </c>
    </row>
    <row r="1953" spans="8:8" x14ac:dyDescent="0.25">
      <c r="H1953" t="s">
        <v>30</v>
      </c>
    </row>
    <row r="1955" spans="8:8" x14ac:dyDescent="0.25">
      <c r="H1955" t="s">
        <v>9187</v>
      </c>
    </row>
    <row r="1956" spans="8:8" x14ac:dyDescent="0.25">
      <c r="H1956" t="s">
        <v>9188</v>
      </c>
    </row>
    <row r="1957" spans="8:8" x14ac:dyDescent="0.25">
      <c r="H1957" t="s">
        <v>135</v>
      </c>
    </row>
    <row r="1958" spans="8:8" x14ac:dyDescent="0.25">
      <c r="H1958" t="s">
        <v>9189</v>
      </c>
    </row>
    <row r="1959" spans="8:8" x14ac:dyDescent="0.25">
      <c r="H1959" t="s">
        <v>30</v>
      </c>
    </row>
    <row r="1961" spans="8:8" x14ac:dyDescent="0.25">
      <c r="H1961" t="s">
        <v>9190</v>
      </c>
    </row>
    <row r="1962" spans="8:8" x14ac:dyDescent="0.25">
      <c r="H1962" t="s">
        <v>9191</v>
      </c>
    </row>
    <row r="1963" spans="8:8" x14ac:dyDescent="0.25">
      <c r="H1963" t="s">
        <v>135</v>
      </c>
    </row>
    <row r="1964" spans="8:8" x14ac:dyDescent="0.25">
      <c r="H1964" t="s">
        <v>9192</v>
      </c>
    </row>
    <row r="1965" spans="8:8" x14ac:dyDescent="0.25">
      <c r="H1965" t="s">
        <v>30</v>
      </c>
    </row>
    <row r="1967" spans="8:8" x14ac:dyDescent="0.25">
      <c r="H1967" t="s">
        <v>9193</v>
      </c>
    </row>
    <row r="1968" spans="8:8" x14ac:dyDescent="0.25">
      <c r="H1968" t="s">
        <v>9194</v>
      </c>
    </row>
    <row r="1969" spans="8:8" x14ac:dyDescent="0.25">
      <c r="H1969" t="s">
        <v>135</v>
      </c>
    </row>
    <row r="1970" spans="8:8" x14ac:dyDescent="0.25">
      <c r="H1970" t="s">
        <v>9195</v>
      </c>
    </row>
    <row r="1971" spans="8:8" x14ac:dyDescent="0.25">
      <c r="H1971" t="s">
        <v>30</v>
      </c>
    </row>
    <row r="1973" spans="8:8" x14ac:dyDescent="0.25">
      <c r="H1973" t="s">
        <v>9196</v>
      </c>
    </row>
    <row r="1974" spans="8:8" x14ac:dyDescent="0.25">
      <c r="H1974" t="s">
        <v>9197</v>
      </c>
    </row>
    <row r="1975" spans="8:8" x14ac:dyDescent="0.25">
      <c r="H1975" t="s">
        <v>135</v>
      </c>
    </row>
    <row r="1976" spans="8:8" x14ac:dyDescent="0.25">
      <c r="H1976" t="s">
        <v>9198</v>
      </c>
    </row>
    <row r="1977" spans="8:8" x14ac:dyDescent="0.25">
      <c r="H1977" t="s">
        <v>30</v>
      </c>
    </row>
    <row r="1979" spans="8:8" x14ac:dyDescent="0.25">
      <c r="H1979" t="s">
        <v>9199</v>
      </c>
    </row>
    <row r="1980" spans="8:8" x14ac:dyDescent="0.25">
      <c r="H1980" t="s">
        <v>9200</v>
      </c>
    </row>
    <row r="1981" spans="8:8" x14ac:dyDescent="0.25">
      <c r="H1981" t="s">
        <v>135</v>
      </c>
    </row>
    <row r="1982" spans="8:8" x14ac:dyDescent="0.25">
      <c r="H1982" t="s">
        <v>9201</v>
      </c>
    </row>
    <row r="1983" spans="8:8" x14ac:dyDescent="0.25">
      <c r="H1983" t="s">
        <v>30</v>
      </c>
    </row>
    <row r="1985" spans="8:8" x14ac:dyDescent="0.25">
      <c r="H1985" t="s">
        <v>9202</v>
      </c>
    </row>
    <row r="1986" spans="8:8" x14ac:dyDescent="0.25">
      <c r="H1986" t="s">
        <v>9203</v>
      </c>
    </row>
    <row r="1987" spans="8:8" x14ac:dyDescent="0.25">
      <c r="H1987" t="s">
        <v>135</v>
      </c>
    </row>
    <row r="1988" spans="8:8" x14ac:dyDescent="0.25">
      <c r="H1988" t="s">
        <v>9204</v>
      </c>
    </row>
    <row r="1989" spans="8:8" x14ac:dyDescent="0.25">
      <c r="H1989" t="s">
        <v>30</v>
      </c>
    </row>
    <row r="1991" spans="8:8" x14ac:dyDescent="0.25">
      <c r="H1991" t="s">
        <v>9205</v>
      </c>
    </row>
    <row r="1992" spans="8:8" x14ac:dyDescent="0.25">
      <c r="H1992" t="s">
        <v>9206</v>
      </c>
    </row>
    <row r="1993" spans="8:8" x14ac:dyDescent="0.25">
      <c r="H1993" t="s">
        <v>135</v>
      </c>
    </row>
    <row r="1994" spans="8:8" x14ac:dyDescent="0.25">
      <c r="H1994" t="s">
        <v>9207</v>
      </c>
    </row>
    <row r="1995" spans="8:8" x14ac:dyDescent="0.25">
      <c r="H1995" t="s">
        <v>30</v>
      </c>
    </row>
    <row r="1997" spans="8:8" x14ac:dyDescent="0.25">
      <c r="H1997" t="s">
        <v>9208</v>
      </c>
    </row>
    <row r="1998" spans="8:8" x14ac:dyDescent="0.25">
      <c r="H1998" t="s">
        <v>9209</v>
      </c>
    </row>
    <row r="1999" spans="8:8" x14ac:dyDescent="0.25">
      <c r="H1999" t="s">
        <v>135</v>
      </c>
    </row>
    <row r="2000" spans="8:8" x14ac:dyDescent="0.25">
      <c r="H2000" t="s">
        <v>9210</v>
      </c>
    </row>
    <row r="2001" spans="8:8" x14ac:dyDescent="0.25">
      <c r="H2001" t="s">
        <v>30</v>
      </c>
    </row>
    <row r="2003" spans="8:8" x14ac:dyDescent="0.25">
      <c r="H2003" t="s">
        <v>9211</v>
      </c>
    </row>
    <row r="2004" spans="8:8" x14ac:dyDescent="0.25">
      <c r="H2004" t="s">
        <v>9212</v>
      </c>
    </row>
    <row r="2005" spans="8:8" x14ac:dyDescent="0.25">
      <c r="H2005" t="s">
        <v>135</v>
      </c>
    </row>
    <row r="2006" spans="8:8" x14ac:dyDescent="0.25">
      <c r="H2006" t="s">
        <v>9213</v>
      </c>
    </row>
    <row r="2007" spans="8:8" x14ac:dyDescent="0.25">
      <c r="H2007" t="s">
        <v>30</v>
      </c>
    </row>
    <row r="2009" spans="8:8" x14ac:dyDescent="0.25">
      <c r="H2009" t="s">
        <v>9214</v>
      </c>
    </row>
    <row r="2010" spans="8:8" x14ac:dyDescent="0.25">
      <c r="H2010" t="s">
        <v>9215</v>
      </c>
    </row>
    <row r="2011" spans="8:8" x14ac:dyDescent="0.25">
      <c r="H2011" t="s">
        <v>135</v>
      </c>
    </row>
    <row r="2012" spans="8:8" x14ac:dyDescent="0.25">
      <c r="H2012" t="s">
        <v>9216</v>
      </c>
    </row>
    <row r="2013" spans="8:8" x14ac:dyDescent="0.25">
      <c r="H2013" t="s">
        <v>30</v>
      </c>
    </row>
    <row r="2015" spans="8:8" x14ac:dyDescent="0.25">
      <c r="H2015" t="s">
        <v>9217</v>
      </c>
    </row>
    <row r="2016" spans="8:8" x14ac:dyDescent="0.25">
      <c r="H2016" t="s">
        <v>9218</v>
      </c>
    </row>
    <row r="2017" spans="8:8" x14ac:dyDescent="0.25">
      <c r="H2017" t="s">
        <v>135</v>
      </c>
    </row>
    <row r="2018" spans="8:8" x14ac:dyDescent="0.25">
      <c r="H2018" t="s">
        <v>9219</v>
      </c>
    </row>
    <row r="2019" spans="8:8" x14ac:dyDescent="0.25">
      <c r="H2019" t="s">
        <v>30</v>
      </c>
    </row>
    <row r="2021" spans="8:8" x14ac:dyDescent="0.25">
      <c r="H2021" t="s">
        <v>9220</v>
      </c>
    </row>
    <row r="2022" spans="8:8" x14ac:dyDescent="0.25">
      <c r="H2022" t="s">
        <v>9221</v>
      </c>
    </row>
    <row r="2023" spans="8:8" x14ac:dyDescent="0.25">
      <c r="H2023" t="s">
        <v>135</v>
      </c>
    </row>
    <row r="2024" spans="8:8" x14ac:dyDescent="0.25">
      <c r="H2024" t="s">
        <v>9222</v>
      </c>
    </row>
    <row r="2025" spans="8:8" x14ac:dyDescent="0.25">
      <c r="H2025" t="s">
        <v>30</v>
      </c>
    </row>
    <row r="2027" spans="8:8" x14ac:dyDescent="0.25">
      <c r="H2027" t="s">
        <v>9223</v>
      </c>
    </row>
    <row r="2028" spans="8:8" x14ac:dyDescent="0.25">
      <c r="H2028" t="s">
        <v>9224</v>
      </c>
    </row>
    <row r="2029" spans="8:8" x14ac:dyDescent="0.25">
      <c r="H2029" t="s">
        <v>135</v>
      </c>
    </row>
    <row r="2030" spans="8:8" x14ac:dyDescent="0.25">
      <c r="H2030" t="s">
        <v>9225</v>
      </c>
    </row>
    <row r="2031" spans="8:8" x14ac:dyDescent="0.25">
      <c r="H2031" t="s">
        <v>30</v>
      </c>
    </row>
    <row r="2033" spans="8:8" x14ac:dyDescent="0.25">
      <c r="H2033" t="s">
        <v>9226</v>
      </c>
    </row>
    <row r="2034" spans="8:8" x14ac:dyDescent="0.25">
      <c r="H2034" t="s">
        <v>9227</v>
      </c>
    </row>
    <row r="2035" spans="8:8" x14ac:dyDescent="0.25">
      <c r="H2035" t="s">
        <v>135</v>
      </c>
    </row>
    <row r="2036" spans="8:8" x14ac:dyDescent="0.25">
      <c r="H2036" t="s">
        <v>9228</v>
      </c>
    </row>
    <row r="2037" spans="8:8" x14ac:dyDescent="0.25">
      <c r="H2037" t="s">
        <v>30</v>
      </c>
    </row>
    <row r="2039" spans="8:8" x14ac:dyDescent="0.25">
      <c r="H2039" t="s">
        <v>9229</v>
      </c>
    </row>
    <row r="2040" spans="8:8" x14ac:dyDescent="0.25">
      <c r="H2040" t="s">
        <v>9230</v>
      </c>
    </row>
    <row r="2041" spans="8:8" x14ac:dyDescent="0.25">
      <c r="H2041" t="s">
        <v>135</v>
      </c>
    </row>
    <row r="2042" spans="8:8" x14ac:dyDescent="0.25">
      <c r="H2042" t="s">
        <v>9231</v>
      </c>
    </row>
    <row r="2043" spans="8:8" x14ac:dyDescent="0.25">
      <c r="H2043" t="s">
        <v>30</v>
      </c>
    </row>
    <row r="2045" spans="8:8" x14ac:dyDescent="0.25">
      <c r="H2045" t="s">
        <v>9232</v>
      </c>
    </row>
    <row r="2046" spans="8:8" x14ac:dyDescent="0.25">
      <c r="H2046" t="s">
        <v>9233</v>
      </c>
    </row>
    <row r="2047" spans="8:8" x14ac:dyDescent="0.25">
      <c r="H2047" t="s">
        <v>135</v>
      </c>
    </row>
    <row r="2048" spans="8:8" x14ac:dyDescent="0.25">
      <c r="H2048" t="s">
        <v>9234</v>
      </c>
    </row>
    <row r="2049" spans="8:8" x14ac:dyDescent="0.25">
      <c r="H2049" t="s">
        <v>30</v>
      </c>
    </row>
    <row r="2051" spans="8:8" x14ac:dyDescent="0.25">
      <c r="H2051" t="s">
        <v>9235</v>
      </c>
    </row>
    <row r="2052" spans="8:8" x14ac:dyDescent="0.25">
      <c r="H2052" t="s">
        <v>9236</v>
      </c>
    </row>
    <row r="2053" spans="8:8" x14ac:dyDescent="0.25">
      <c r="H2053" t="s">
        <v>135</v>
      </c>
    </row>
    <row r="2054" spans="8:8" x14ac:dyDescent="0.25">
      <c r="H2054" t="s">
        <v>9237</v>
      </c>
    </row>
    <row r="2055" spans="8:8" x14ac:dyDescent="0.25">
      <c r="H2055" t="s">
        <v>30</v>
      </c>
    </row>
    <row r="2057" spans="8:8" x14ac:dyDescent="0.25">
      <c r="H2057" t="s">
        <v>9238</v>
      </c>
    </row>
    <row r="2058" spans="8:8" x14ac:dyDescent="0.25">
      <c r="H2058" t="s">
        <v>9239</v>
      </c>
    </row>
    <row r="2059" spans="8:8" x14ac:dyDescent="0.25">
      <c r="H2059" t="s">
        <v>135</v>
      </c>
    </row>
    <row r="2060" spans="8:8" x14ac:dyDescent="0.25">
      <c r="H2060" t="s">
        <v>9240</v>
      </c>
    </row>
    <row r="2061" spans="8:8" x14ac:dyDescent="0.25">
      <c r="H2061" t="s">
        <v>30</v>
      </c>
    </row>
    <row r="2063" spans="8:8" x14ac:dyDescent="0.25">
      <c r="H2063" t="s">
        <v>9241</v>
      </c>
    </row>
    <row r="2064" spans="8:8" x14ac:dyDescent="0.25">
      <c r="H2064" t="s">
        <v>9242</v>
      </c>
    </row>
    <row r="2065" spans="8:8" x14ac:dyDescent="0.25">
      <c r="H2065" t="s">
        <v>135</v>
      </c>
    </row>
    <row r="2066" spans="8:8" x14ac:dyDescent="0.25">
      <c r="H2066" t="s">
        <v>9243</v>
      </c>
    </row>
    <row r="2067" spans="8:8" x14ac:dyDescent="0.25">
      <c r="H2067" t="s">
        <v>30</v>
      </c>
    </row>
    <row r="2069" spans="8:8" x14ac:dyDescent="0.25">
      <c r="H2069" t="s">
        <v>9244</v>
      </c>
    </row>
    <row r="2070" spans="8:8" x14ac:dyDescent="0.25">
      <c r="H2070" t="s">
        <v>9245</v>
      </c>
    </row>
    <row r="2071" spans="8:8" x14ac:dyDescent="0.25">
      <c r="H2071" t="s">
        <v>135</v>
      </c>
    </row>
    <row r="2072" spans="8:8" x14ac:dyDescent="0.25">
      <c r="H2072" t="s">
        <v>9246</v>
      </c>
    </row>
    <row r="2073" spans="8:8" x14ac:dyDescent="0.25">
      <c r="H2073" t="s">
        <v>30</v>
      </c>
    </row>
    <row r="2074" spans="8:8" x14ac:dyDescent="0.25">
      <c r="H2074" t="s">
        <v>9247</v>
      </c>
    </row>
    <row r="2075" spans="8:8" x14ac:dyDescent="0.25">
      <c r="H2075" t="s">
        <v>136</v>
      </c>
    </row>
    <row r="2076" spans="8:8" x14ac:dyDescent="0.25">
      <c r="H2076" t="s">
        <v>9248</v>
      </c>
    </row>
    <row r="2077" spans="8:8" x14ac:dyDescent="0.25">
      <c r="H2077" t="s">
        <v>30</v>
      </c>
    </row>
    <row r="2078" spans="8:8" x14ac:dyDescent="0.25">
      <c r="H2078" t="s">
        <v>9249</v>
      </c>
    </row>
    <row r="2079" spans="8:8" x14ac:dyDescent="0.25">
      <c r="H2079" t="s">
        <v>137</v>
      </c>
    </row>
    <row r="2080" spans="8:8" x14ac:dyDescent="0.25">
      <c r="H2080" t="s">
        <v>9250</v>
      </c>
    </row>
    <row r="2081" spans="8:8" x14ac:dyDescent="0.25">
      <c r="H2081" t="s">
        <v>30</v>
      </c>
    </row>
    <row r="2082" spans="8:8" x14ac:dyDescent="0.25">
      <c r="H2082" t="s">
        <v>9251</v>
      </c>
    </row>
    <row r="2083" spans="8:8" x14ac:dyDescent="0.25">
      <c r="H2083" t="s">
        <v>138</v>
      </c>
    </row>
    <row r="2084" spans="8:8" x14ac:dyDescent="0.25">
      <c r="H2084" t="s">
        <v>9252</v>
      </c>
    </row>
    <row r="2085" spans="8:8" x14ac:dyDescent="0.25">
      <c r="H2085" t="s">
        <v>30</v>
      </c>
    </row>
    <row r="2087" spans="8:8" x14ac:dyDescent="0.25">
      <c r="H2087" t="s">
        <v>9253</v>
      </c>
    </row>
    <row r="2088" spans="8:8" x14ac:dyDescent="0.25">
      <c r="H2088" t="s">
        <v>9254</v>
      </c>
    </row>
    <row r="2089" spans="8:8" x14ac:dyDescent="0.25">
      <c r="H2089" t="s">
        <v>135</v>
      </c>
    </row>
    <row r="2090" spans="8:8" x14ac:dyDescent="0.25">
      <c r="H2090" t="s">
        <v>9255</v>
      </c>
    </row>
    <row r="2091" spans="8:8" x14ac:dyDescent="0.25">
      <c r="H2091" t="s">
        <v>30</v>
      </c>
    </row>
    <row r="2092" spans="8:8" x14ac:dyDescent="0.25">
      <c r="H2092" t="s">
        <v>9256</v>
      </c>
    </row>
    <row r="2093" spans="8:8" x14ac:dyDescent="0.25">
      <c r="H2093" t="s">
        <v>136</v>
      </c>
    </row>
    <row r="2094" spans="8:8" x14ac:dyDescent="0.25">
      <c r="H2094" t="s">
        <v>9257</v>
      </c>
    </row>
    <row r="2095" spans="8:8" x14ac:dyDescent="0.25">
      <c r="H2095" t="s">
        <v>30</v>
      </c>
    </row>
    <row r="2096" spans="8:8" x14ac:dyDescent="0.25">
      <c r="H2096" t="s">
        <v>9258</v>
      </c>
    </row>
    <row r="2097" spans="8:8" x14ac:dyDescent="0.25">
      <c r="H2097" t="s">
        <v>137</v>
      </c>
    </row>
    <row r="2098" spans="8:8" x14ac:dyDescent="0.25">
      <c r="H2098" t="s">
        <v>9259</v>
      </c>
    </row>
    <row r="2099" spans="8:8" x14ac:dyDescent="0.25">
      <c r="H2099" t="s">
        <v>30</v>
      </c>
    </row>
    <row r="2100" spans="8:8" x14ac:dyDescent="0.25">
      <c r="H2100" t="s">
        <v>9260</v>
      </c>
    </row>
    <row r="2101" spans="8:8" x14ac:dyDescent="0.25">
      <c r="H2101" t="s">
        <v>138</v>
      </c>
    </row>
    <row r="2102" spans="8:8" x14ac:dyDescent="0.25">
      <c r="H2102" t="s">
        <v>9261</v>
      </c>
    </row>
    <row r="2103" spans="8:8" x14ac:dyDescent="0.25">
      <c r="H2103" t="s">
        <v>30</v>
      </c>
    </row>
    <row r="2105" spans="8:8" x14ac:dyDescent="0.25">
      <c r="H2105" t="s">
        <v>9262</v>
      </c>
    </row>
    <row r="2106" spans="8:8" x14ac:dyDescent="0.25">
      <c r="H2106" t="s">
        <v>9263</v>
      </c>
    </row>
    <row r="2107" spans="8:8" x14ac:dyDescent="0.25">
      <c r="H2107" t="s">
        <v>135</v>
      </c>
    </row>
    <row r="2108" spans="8:8" x14ac:dyDescent="0.25">
      <c r="H2108" t="s">
        <v>9264</v>
      </c>
    </row>
    <row r="2109" spans="8:8" x14ac:dyDescent="0.25">
      <c r="H2109" t="s">
        <v>30</v>
      </c>
    </row>
    <row r="2110" spans="8:8" x14ac:dyDescent="0.25">
      <c r="H2110" t="s">
        <v>9265</v>
      </c>
    </row>
    <row r="2111" spans="8:8" x14ac:dyDescent="0.25">
      <c r="H2111" t="s">
        <v>136</v>
      </c>
    </row>
    <row r="2112" spans="8:8" x14ac:dyDescent="0.25">
      <c r="H2112" t="s">
        <v>9266</v>
      </c>
    </row>
    <row r="2113" spans="8:8" x14ac:dyDescent="0.25">
      <c r="H2113" t="s">
        <v>30</v>
      </c>
    </row>
    <row r="2114" spans="8:8" x14ac:dyDescent="0.25">
      <c r="H2114" t="s">
        <v>9267</v>
      </c>
    </row>
    <row r="2115" spans="8:8" x14ac:dyDescent="0.25">
      <c r="H2115" t="s">
        <v>137</v>
      </c>
    </row>
    <row r="2116" spans="8:8" x14ac:dyDescent="0.25">
      <c r="H2116" t="s">
        <v>9268</v>
      </c>
    </row>
    <row r="2117" spans="8:8" x14ac:dyDescent="0.25">
      <c r="H2117" t="s">
        <v>30</v>
      </c>
    </row>
    <row r="2118" spans="8:8" x14ac:dyDescent="0.25">
      <c r="H2118" t="s">
        <v>9269</v>
      </c>
    </row>
    <row r="2119" spans="8:8" x14ac:dyDescent="0.25">
      <c r="H2119" t="s">
        <v>138</v>
      </c>
    </row>
    <row r="2120" spans="8:8" x14ac:dyDescent="0.25">
      <c r="H2120" t="s">
        <v>9270</v>
      </c>
    </row>
    <row r="2121" spans="8:8" x14ac:dyDescent="0.25">
      <c r="H2121" t="s">
        <v>30</v>
      </c>
    </row>
    <row r="2123" spans="8:8" x14ac:dyDescent="0.25">
      <c r="H2123" t="s">
        <v>9271</v>
      </c>
    </row>
    <row r="2124" spans="8:8" x14ac:dyDescent="0.25">
      <c r="H2124" t="s">
        <v>9272</v>
      </c>
    </row>
    <row r="2125" spans="8:8" x14ac:dyDescent="0.25">
      <c r="H2125" t="s">
        <v>135</v>
      </c>
    </row>
    <row r="2126" spans="8:8" x14ac:dyDescent="0.25">
      <c r="H2126" t="s">
        <v>9273</v>
      </c>
    </row>
    <row r="2127" spans="8:8" x14ac:dyDescent="0.25">
      <c r="H2127" t="s">
        <v>30</v>
      </c>
    </row>
    <row r="2128" spans="8:8" x14ac:dyDescent="0.25">
      <c r="H2128" t="s">
        <v>9274</v>
      </c>
    </row>
    <row r="2129" spans="8:8" x14ac:dyDescent="0.25">
      <c r="H2129" t="s">
        <v>136</v>
      </c>
    </row>
    <row r="2130" spans="8:8" x14ac:dyDescent="0.25">
      <c r="H2130" t="s">
        <v>9275</v>
      </c>
    </row>
    <row r="2131" spans="8:8" x14ac:dyDescent="0.25">
      <c r="H2131" t="s">
        <v>30</v>
      </c>
    </row>
    <row r="2132" spans="8:8" x14ac:dyDescent="0.25">
      <c r="H2132" t="s">
        <v>9276</v>
      </c>
    </row>
    <row r="2133" spans="8:8" x14ac:dyDescent="0.25">
      <c r="H2133" t="s">
        <v>137</v>
      </c>
    </row>
    <row r="2134" spans="8:8" x14ac:dyDescent="0.25">
      <c r="H2134" t="s">
        <v>9277</v>
      </c>
    </row>
    <row r="2135" spans="8:8" x14ac:dyDescent="0.25">
      <c r="H2135" t="s">
        <v>30</v>
      </c>
    </row>
    <row r="2137" spans="8:8" x14ac:dyDescent="0.25">
      <c r="H2137" t="s">
        <v>9278</v>
      </c>
    </row>
    <row r="2138" spans="8:8" x14ac:dyDescent="0.25">
      <c r="H2138" t="s">
        <v>9279</v>
      </c>
    </row>
    <row r="2139" spans="8:8" x14ac:dyDescent="0.25">
      <c r="H2139" t="s">
        <v>135</v>
      </c>
    </row>
    <row r="2140" spans="8:8" x14ac:dyDescent="0.25">
      <c r="H2140" t="s">
        <v>9280</v>
      </c>
    </row>
    <row r="2141" spans="8:8" x14ac:dyDescent="0.25">
      <c r="H2141" t="s">
        <v>30</v>
      </c>
    </row>
    <row r="2143" spans="8:8" x14ac:dyDescent="0.25">
      <c r="H2143" t="s">
        <v>9281</v>
      </c>
    </row>
    <row r="2144" spans="8:8" x14ac:dyDescent="0.25">
      <c r="H2144" t="s">
        <v>9282</v>
      </c>
    </row>
    <row r="2145" spans="8:8" x14ac:dyDescent="0.25">
      <c r="H2145" t="s">
        <v>135</v>
      </c>
    </row>
    <row r="2146" spans="8:8" x14ac:dyDescent="0.25">
      <c r="H2146" t="s">
        <v>9283</v>
      </c>
    </row>
    <row r="2147" spans="8:8" x14ac:dyDescent="0.25">
      <c r="H2147" t="s">
        <v>30</v>
      </c>
    </row>
    <row r="2149" spans="8:8" x14ac:dyDescent="0.25">
      <c r="H2149" t="s">
        <v>9284</v>
      </c>
    </row>
    <row r="2150" spans="8:8" x14ac:dyDescent="0.25">
      <c r="H2150" t="s">
        <v>9285</v>
      </c>
    </row>
    <row r="2151" spans="8:8" x14ac:dyDescent="0.25">
      <c r="H2151" t="s">
        <v>135</v>
      </c>
    </row>
    <row r="2152" spans="8:8" x14ac:dyDescent="0.25">
      <c r="H2152" t="s">
        <v>9286</v>
      </c>
    </row>
    <row r="2153" spans="8:8" x14ac:dyDescent="0.25">
      <c r="H2153" t="s">
        <v>30</v>
      </c>
    </row>
    <row r="2154" spans="8:8" x14ac:dyDescent="0.25">
      <c r="H2154" t="s">
        <v>136</v>
      </c>
    </row>
    <row r="2155" spans="8:8" x14ac:dyDescent="0.25">
      <c r="H2155" t="s">
        <v>9287</v>
      </c>
    </row>
    <row r="2156" spans="8:8" x14ac:dyDescent="0.25">
      <c r="H2156" t="s">
        <v>30</v>
      </c>
    </row>
    <row r="2158" spans="8:8" x14ac:dyDescent="0.25">
      <c r="H2158" t="s">
        <v>9288</v>
      </c>
    </row>
    <row r="2159" spans="8:8" x14ac:dyDescent="0.25">
      <c r="H2159" t="s">
        <v>9289</v>
      </c>
    </row>
    <row r="2160" spans="8:8" x14ac:dyDescent="0.25">
      <c r="H2160" t="s">
        <v>135</v>
      </c>
    </row>
    <row r="2161" spans="8:8" x14ac:dyDescent="0.25">
      <c r="H2161" t="s">
        <v>9290</v>
      </c>
    </row>
    <row r="2162" spans="8:8" x14ac:dyDescent="0.25">
      <c r="H2162" t="s">
        <v>30</v>
      </c>
    </row>
    <row r="2164" spans="8:8" x14ac:dyDescent="0.25">
      <c r="H2164" t="s">
        <v>9291</v>
      </c>
    </row>
    <row r="2165" spans="8:8" x14ac:dyDescent="0.25">
      <c r="H2165" t="s">
        <v>9292</v>
      </c>
    </row>
    <row r="2166" spans="8:8" x14ac:dyDescent="0.25">
      <c r="H2166" t="s">
        <v>135</v>
      </c>
    </row>
    <row r="2167" spans="8:8" x14ac:dyDescent="0.25">
      <c r="H2167" t="s">
        <v>9293</v>
      </c>
    </row>
    <row r="2168" spans="8:8" x14ac:dyDescent="0.25">
      <c r="H2168" t="s">
        <v>30</v>
      </c>
    </row>
    <row r="2170" spans="8:8" x14ac:dyDescent="0.25">
      <c r="H2170" t="s">
        <v>9294</v>
      </c>
    </row>
    <row r="2171" spans="8:8" x14ac:dyDescent="0.25">
      <c r="H2171" t="s">
        <v>9295</v>
      </c>
    </row>
    <row r="2172" spans="8:8" x14ac:dyDescent="0.25">
      <c r="H2172" t="s">
        <v>135</v>
      </c>
    </row>
    <row r="2173" spans="8:8" x14ac:dyDescent="0.25">
      <c r="H2173" t="s">
        <v>9296</v>
      </c>
    </row>
    <row r="2174" spans="8:8" x14ac:dyDescent="0.25">
      <c r="H2174" t="s">
        <v>30</v>
      </c>
    </row>
    <row r="2175" spans="8:8" x14ac:dyDescent="0.25">
      <c r="H2175" t="s">
        <v>136</v>
      </c>
    </row>
    <row r="2176" spans="8:8" x14ac:dyDescent="0.25">
      <c r="H2176" t="s">
        <v>9297</v>
      </c>
    </row>
    <row r="2177" spans="8:8" x14ac:dyDescent="0.25">
      <c r="H2177" t="s">
        <v>30</v>
      </c>
    </row>
    <row r="2178" spans="8:8" x14ac:dyDescent="0.25">
      <c r="H2178" t="s">
        <v>9298</v>
      </c>
    </row>
    <row r="2179" spans="8:8" x14ac:dyDescent="0.25">
      <c r="H2179" t="s">
        <v>137</v>
      </c>
    </row>
    <row r="2180" spans="8:8" x14ac:dyDescent="0.25">
      <c r="H2180" t="s">
        <v>9299</v>
      </c>
    </row>
    <row r="2181" spans="8:8" x14ac:dyDescent="0.25">
      <c r="H2181" t="s">
        <v>30</v>
      </c>
    </row>
    <row r="2182" spans="8:8" x14ac:dyDescent="0.25">
      <c r="H2182" t="s">
        <v>138</v>
      </c>
    </row>
    <row r="2183" spans="8:8" x14ac:dyDescent="0.25">
      <c r="H2183" t="s">
        <v>9300</v>
      </c>
    </row>
    <row r="2184" spans="8:8" x14ac:dyDescent="0.25">
      <c r="H2184" t="s">
        <v>30</v>
      </c>
    </row>
    <row r="2186" spans="8:8" x14ac:dyDescent="0.25">
      <c r="H2186" t="s">
        <v>9301</v>
      </c>
    </row>
    <row r="2187" spans="8:8" x14ac:dyDescent="0.25">
      <c r="H2187" t="s">
        <v>9302</v>
      </c>
    </row>
    <row r="2188" spans="8:8" x14ac:dyDescent="0.25">
      <c r="H2188" t="s">
        <v>135</v>
      </c>
    </row>
    <row r="2189" spans="8:8" x14ac:dyDescent="0.25">
      <c r="H2189" t="s">
        <v>9303</v>
      </c>
    </row>
    <row r="2190" spans="8:8" x14ac:dyDescent="0.25">
      <c r="H2190" t="s">
        <v>30</v>
      </c>
    </row>
    <row r="2191" spans="8:8" x14ac:dyDescent="0.25">
      <c r="H2191" t="s">
        <v>136</v>
      </c>
    </row>
    <row r="2192" spans="8:8" x14ac:dyDescent="0.25">
      <c r="H2192" t="s">
        <v>9304</v>
      </c>
    </row>
    <row r="2193" spans="8:8" x14ac:dyDescent="0.25">
      <c r="H2193" t="s">
        <v>30</v>
      </c>
    </row>
    <row r="2194" spans="8:8" x14ac:dyDescent="0.25">
      <c r="H2194" t="s">
        <v>137</v>
      </c>
    </row>
    <row r="2195" spans="8:8" x14ac:dyDescent="0.25">
      <c r="H2195" t="s">
        <v>9305</v>
      </c>
    </row>
    <row r="2196" spans="8:8" x14ac:dyDescent="0.25">
      <c r="H2196" t="s">
        <v>30</v>
      </c>
    </row>
    <row r="2197" spans="8:8" x14ac:dyDescent="0.25">
      <c r="H2197" t="s">
        <v>138</v>
      </c>
    </row>
    <row r="2198" spans="8:8" x14ac:dyDescent="0.25">
      <c r="H2198" t="s">
        <v>9306</v>
      </c>
    </row>
    <row r="2199" spans="8:8" x14ac:dyDescent="0.25">
      <c r="H2199" t="s">
        <v>30</v>
      </c>
    </row>
    <row r="2201" spans="8:8" x14ac:dyDescent="0.25">
      <c r="H2201" t="s">
        <v>9307</v>
      </c>
    </row>
    <row r="2202" spans="8:8" x14ac:dyDescent="0.25">
      <c r="H2202" t="s">
        <v>9308</v>
      </c>
    </row>
    <row r="2203" spans="8:8" x14ac:dyDescent="0.25">
      <c r="H2203" t="s">
        <v>135</v>
      </c>
    </row>
    <row r="2204" spans="8:8" x14ac:dyDescent="0.25">
      <c r="H2204" t="s">
        <v>9309</v>
      </c>
    </row>
    <row r="2205" spans="8:8" x14ac:dyDescent="0.25">
      <c r="H2205" t="s">
        <v>30</v>
      </c>
    </row>
    <row r="2206" spans="8:8" x14ac:dyDescent="0.25">
      <c r="H2206" t="s">
        <v>136</v>
      </c>
    </row>
    <row r="2207" spans="8:8" x14ac:dyDescent="0.25">
      <c r="H2207" t="s">
        <v>9310</v>
      </c>
    </row>
    <row r="2208" spans="8:8" x14ac:dyDescent="0.25">
      <c r="H2208" t="s">
        <v>30</v>
      </c>
    </row>
    <row r="2209" spans="8:8" x14ac:dyDescent="0.25">
      <c r="H2209" t="s">
        <v>137</v>
      </c>
    </row>
    <row r="2210" spans="8:8" x14ac:dyDescent="0.25">
      <c r="H2210" t="s">
        <v>9311</v>
      </c>
    </row>
    <row r="2211" spans="8:8" x14ac:dyDescent="0.25">
      <c r="H2211" t="s">
        <v>30</v>
      </c>
    </row>
    <row r="2212" spans="8:8" x14ac:dyDescent="0.25">
      <c r="H2212" t="s">
        <v>138</v>
      </c>
    </row>
    <row r="2213" spans="8:8" x14ac:dyDescent="0.25">
      <c r="H2213" t="s">
        <v>9312</v>
      </c>
    </row>
    <row r="2214" spans="8:8" x14ac:dyDescent="0.25">
      <c r="H2214" t="s">
        <v>30</v>
      </c>
    </row>
    <row r="2216" spans="8:8" x14ac:dyDescent="0.25">
      <c r="H2216" t="s">
        <v>9313</v>
      </c>
    </row>
    <row r="2217" spans="8:8" x14ac:dyDescent="0.25">
      <c r="H2217" t="s">
        <v>9314</v>
      </c>
    </row>
    <row r="2218" spans="8:8" x14ac:dyDescent="0.25">
      <c r="H2218" t="s">
        <v>135</v>
      </c>
    </row>
    <row r="2219" spans="8:8" x14ac:dyDescent="0.25">
      <c r="H2219" t="s">
        <v>9315</v>
      </c>
    </row>
    <row r="2220" spans="8:8" x14ac:dyDescent="0.25">
      <c r="H2220" t="s">
        <v>30</v>
      </c>
    </row>
    <row r="2221" spans="8:8" x14ac:dyDescent="0.25">
      <c r="H2221" t="s">
        <v>9316</v>
      </c>
    </row>
    <row r="2222" spans="8:8" x14ac:dyDescent="0.25">
      <c r="H2222" t="s">
        <v>137</v>
      </c>
    </row>
    <row r="2223" spans="8:8" x14ac:dyDescent="0.25">
      <c r="H2223" t="s">
        <v>9317</v>
      </c>
    </row>
    <row r="2224" spans="8:8" x14ac:dyDescent="0.25">
      <c r="H2224" t="s">
        <v>30</v>
      </c>
    </row>
    <row r="2225" spans="8:8" x14ac:dyDescent="0.25">
      <c r="H2225" t="s">
        <v>138</v>
      </c>
    </row>
    <row r="2226" spans="8:8" x14ac:dyDescent="0.25">
      <c r="H2226" t="s">
        <v>9318</v>
      </c>
    </row>
    <row r="2227" spans="8:8" x14ac:dyDescent="0.25">
      <c r="H2227" t="s">
        <v>30</v>
      </c>
    </row>
    <row r="2229" spans="8:8" x14ac:dyDescent="0.25">
      <c r="H2229" t="s">
        <v>9319</v>
      </c>
    </row>
    <row r="2230" spans="8:8" x14ac:dyDescent="0.25">
      <c r="H2230" t="s">
        <v>9320</v>
      </c>
    </row>
    <row r="2231" spans="8:8" x14ac:dyDescent="0.25">
      <c r="H2231" t="s">
        <v>135</v>
      </c>
    </row>
    <row r="2232" spans="8:8" x14ac:dyDescent="0.25">
      <c r="H2232" t="s">
        <v>9321</v>
      </c>
    </row>
    <row r="2233" spans="8:8" x14ac:dyDescent="0.25">
      <c r="H2233" t="s">
        <v>30</v>
      </c>
    </row>
    <row r="2235" spans="8:8" x14ac:dyDescent="0.25">
      <c r="H2235" t="s">
        <v>9322</v>
      </c>
    </row>
    <row r="2236" spans="8:8" x14ac:dyDescent="0.25">
      <c r="H2236" t="s">
        <v>9323</v>
      </c>
    </row>
    <row r="2237" spans="8:8" x14ac:dyDescent="0.25">
      <c r="H2237" t="s">
        <v>135</v>
      </c>
    </row>
    <row r="2238" spans="8:8" x14ac:dyDescent="0.25">
      <c r="H2238" t="s">
        <v>9324</v>
      </c>
    </row>
    <row r="2239" spans="8:8" x14ac:dyDescent="0.25">
      <c r="H2239" t="s">
        <v>30</v>
      </c>
    </row>
    <row r="2241" spans="8:8" x14ac:dyDescent="0.25">
      <c r="H2241" t="s">
        <v>9325</v>
      </c>
    </row>
    <row r="2242" spans="8:8" x14ac:dyDescent="0.25">
      <c r="H2242" t="s">
        <v>9326</v>
      </c>
    </row>
    <row r="2243" spans="8:8" x14ac:dyDescent="0.25">
      <c r="H2243" t="s">
        <v>135</v>
      </c>
    </row>
    <row r="2244" spans="8:8" x14ac:dyDescent="0.25">
      <c r="H2244" t="s">
        <v>9327</v>
      </c>
    </row>
    <row r="2245" spans="8:8" x14ac:dyDescent="0.25">
      <c r="H2245" t="s">
        <v>30</v>
      </c>
    </row>
    <row r="2246" spans="8:8" x14ac:dyDescent="0.25">
      <c r="H2246" t="s">
        <v>136</v>
      </c>
    </row>
    <row r="2247" spans="8:8" x14ac:dyDescent="0.25">
      <c r="H2247" t="s">
        <v>9328</v>
      </c>
    </row>
    <row r="2248" spans="8:8" x14ac:dyDescent="0.25">
      <c r="H2248" t="s">
        <v>30</v>
      </c>
    </row>
    <row r="2250" spans="8:8" x14ac:dyDescent="0.25">
      <c r="H2250" t="s">
        <v>9329</v>
      </c>
    </row>
    <row r="2251" spans="8:8" x14ac:dyDescent="0.25">
      <c r="H2251" t="s">
        <v>9330</v>
      </c>
    </row>
    <row r="2252" spans="8:8" x14ac:dyDescent="0.25">
      <c r="H2252" t="s">
        <v>135</v>
      </c>
    </row>
    <row r="2253" spans="8:8" x14ac:dyDescent="0.25">
      <c r="H2253" t="s">
        <v>9331</v>
      </c>
    </row>
    <row r="2254" spans="8:8" x14ac:dyDescent="0.25">
      <c r="H2254" t="s">
        <v>30</v>
      </c>
    </row>
    <row r="2256" spans="8:8" x14ac:dyDescent="0.25">
      <c r="H2256" t="s">
        <v>9332</v>
      </c>
    </row>
    <row r="2257" spans="8:8" x14ac:dyDescent="0.25">
      <c r="H2257" t="s">
        <v>9333</v>
      </c>
    </row>
    <row r="2258" spans="8:8" x14ac:dyDescent="0.25">
      <c r="H2258" t="s">
        <v>135</v>
      </c>
    </row>
    <row r="2259" spans="8:8" x14ac:dyDescent="0.25">
      <c r="H2259" t="s">
        <v>9334</v>
      </c>
    </row>
    <row r="2260" spans="8:8" x14ac:dyDescent="0.25">
      <c r="H2260" t="s">
        <v>30</v>
      </c>
    </row>
    <row r="2262" spans="8:8" x14ac:dyDescent="0.25">
      <c r="H2262" t="s">
        <v>9335</v>
      </c>
    </row>
    <row r="2263" spans="8:8" x14ac:dyDescent="0.25">
      <c r="H2263" t="s">
        <v>9336</v>
      </c>
    </row>
    <row r="2264" spans="8:8" x14ac:dyDescent="0.25">
      <c r="H2264" t="s">
        <v>135</v>
      </c>
    </row>
    <row r="2265" spans="8:8" x14ac:dyDescent="0.25">
      <c r="H2265" t="s">
        <v>9337</v>
      </c>
    </row>
    <row r="2266" spans="8:8" x14ac:dyDescent="0.25">
      <c r="H2266" t="s">
        <v>30</v>
      </c>
    </row>
    <row r="2267" spans="8:8" x14ac:dyDescent="0.25">
      <c r="H2267" t="s">
        <v>136</v>
      </c>
    </row>
    <row r="2268" spans="8:8" x14ac:dyDescent="0.25">
      <c r="H2268" t="s">
        <v>9338</v>
      </c>
    </row>
    <row r="2269" spans="8:8" x14ac:dyDescent="0.25">
      <c r="H2269" t="s">
        <v>30</v>
      </c>
    </row>
    <row r="2271" spans="8:8" x14ac:dyDescent="0.25">
      <c r="H2271" t="s">
        <v>9339</v>
      </c>
    </row>
    <row r="2272" spans="8:8" x14ac:dyDescent="0.25">
      <c r="H2272" t="s">
        <v>9340</v>
      </c>
    </row>
    <row r="2273" spans="8:8" x14ac:dyDescent="0.25">
      <c r="H2273" t="s">
        <v>135</v>
      </c>
    </row>
    <row r="2274" spans="8:8" x14ac:dyDescent="0.25">
      <c r="H2274" t="s">
        <v>9341</v>
      </c>
    </row>
    <row r="2275" spans="8:8" x14ac:dyDescent="0.25">
      <c r="H2275" t="s">
        <v>30</v>
      </c>
    </row>
    <row r="2277" spans="8:8" x14ac:dyDescent="0.25">
      <c r="H2277" t="s">
        <v>9342</v>
      </c>
    </row>
    <row r="2278" spans="8:8" x14ac:dyDescent="0.25">
      <c r="H2278" t="s">
        <v>9343</v>
      </c>
    </row>
    <row r="2279" spans="8:8" x14ac:dyDescent="0.25">
      <c r="H2279" t="s">
        <v>135</v>
      </c>
    </row>
    <row r="2280" spans="8:8" x14ac:dyDescent="0.25">
      <c r="H2280" t="s">
        <v>9344</v>
      </c>
    </row>
    <row r="2281" spans="8:8" x14ac:dyDescent="0.25">
      <c r="H2281" t="s">
        <v>30</v>
      </c>
    </row>
    <row r="2283" spans="8:8" x14ac:dyDescent="0.25">
      <c r="H2283" t="s">
        <v>9345</v>
      </c>
    </row>
    <row r="2284" spans="8:8" x14ac:dyDescent="0.25">
      <c r="H2284" t="s">
        <v>9346</v>
      </c>
    </row>
    <row r="2285" spans="8:8" x14ac:dyDescent="0.25">
      <c r="H2285" t="s">
        <v>135</v>
      </c>
    </row>
    <row r="2286" spans="8:8" x14ac:dyDescent="0.25">
      <c r="H2286" t="s">
        <v>9347</v>
      </c>
    </row>
    <row r="2287" spans="8:8" x14ac:dyDescent="0.25">
      <c r="H2287" t="s">
        <v>30</v>
      </c>
    </row>
    <row r="2288" spans="8:8" x14ac:dyDescent="0.25">
      <c r="H2288" t="s">
        <v>136</v>
      </c>
    </row>
    <row r="2289" spans="8:8" x14ac:dyDescent="0.25">
      <c r="H2289" t="s">
        <v>9348</v>
      </c>
    </row>
    <row r="2290" spans="8:8" x14ac:dyDescent="0.25">
      <c r="H2290" t="s">
        <v>30</v>
      </c>
    </row>
    <row r="2292" spans="8:8" x14ac:dyDescent="0.25">
      <c r="H2292" t="s">
        <v>9349</v>
      </c>
    </row>
    <row r="2293" spans="8:8" x14ac:dyDescent="0.25">
      <c r="H2293" t="s">
        <v>9350</v>
      </c>
    </row>
    <row r="2294" spans="8:8" x14ac:dyDescent="0.25">
      <c r="H2294" t="s">
        <v>135</v>
      </c>
    </row>
    <row r="2295" spans="8:8" x14ac:dyDescent="0.25">
      <c r="H2295" t="s">
        <v>9351</v>
      </c>
    </row>
    <row r="2296" spans="8:8" x14ac:dyDescent="0.25">
      <c r="H2296" t="s">
        <v>30</v>
      </c>
    </row>
    <row r="2298" spans="8:8" x14ac:dyDescent="0.25">
      <c r="H2298" t="s">
        <v>9352</v>
      </c>
    </row>
    <row r="2299" spans="8:8" x14ac:dyDescent="0.25">
      <c r="H2299" t="s">
        <v>9353</v>
      </c>
    </row>
    <row r="2300" spans="8:8" x14ac:dyDescent="0.25">
      <c r="H2300" t="s">
        <v>135</v>
      </c>
    </row>
    <row r="2301" spans="8:8" x14ac:dyDescent="0.25">
      <c r="H2301" t="s">
        <v>9354</v>
      </c>
    </row>
    <row r="2302" spans="8:8" x14ac:dyDescent="0.25">
      <c r="H2302" t="s">
        <v>30</v>
      </c>
    </row>
    <row r="2304" spans="8:8" x14ac:dyDescent="0.25">
      <c r="H2304" t="s">
        <v>9355</v>
      </c>
    </row>
    <row r="2305" spans="8:8" x14ac:dyDescent="0.25">
      <c r="H2305" t="s">
        <v>9356</v>
      </c>
    </row>
    <row r="2306" spans="8:8" x14ac:dyDescent="0.25">
      <c r="H2306" t="s">
        <v>135</v>
      </c>
    </row>
    <row r="2307" spans="8:8" x14ac:dyDescent="0.25">
      <c r="H2307" t="s">
        <v>9357</v>
      </c>
    </row>
    <row r="2308" spans="8:8" x14ac:dyDescent="0.25">
      <c r="H2308" t="s">
        <v>30</v>
      </c>
    </row>
    <row r="2309" spans="8:8" x14ac:dyDescent="0.25">
      <c r="H2309" t="s">
        <v>136</v>
      </c>
    </row>
    <row r="2310" spans="8:8" x14ac:dyDescent="0.25">
      <c r="H2310" t="s">
        <v>9358</v>
      </c>
    </row>
    <row r="2311" spans="8:8" x14ac:dyDescent="0.25">
      <c r="H2311" t="s">
        <v>30</v>
      </c>
    </row>
    <row r="2312" spans="8:8" x14ac:dyDescent="0.25">
      <c r="H2312" t="s">
        <v>9359</v>
      </c>
    </row>
    <row r="2313" spans="8:8" x14ac:dyDescent="0.25">
      <c r="H2313" t="s">
        <v>137</v>
      </c>
    </row>
    <row r="2314" spans="8:8" x14ac:dyDescent="0.25">
      <c r="H2314" t="s">
        <v>9360</v>
      </c>
    </row>
    <row r="2315" spans="8:8" x14ac:dyDescent="0.25">
      <c r="H2315" t="s">
        <v>30</v>
      </c>
    </row>
    <row r="2316" spans="8:8" x14ac:dyDescent="0.25">
      <c r="H2316" t="s">
        <v>138</v>
      </c>
    </row>
    <row r="2317" spans="8:8" x14ac:dyDescent="0.25">
      <c r="H2317" t="s">
        <v>9361</v>
      </c>
    </row>
    <row r="2318" spans="8:8" x14ac:dyDescent="0.25">
      <c r="H2318" t="s">
        <v>30</v>
      </c>
    </row>
    <row r="2320" spans="8:8" x14ac:dyDescent="0.25">
      <c r="H2320" t="s">
        <v>9362</v>
      </c>
    </row>
    <row r="2321" spans="8:8" x14ac:dyDescent="0.25">
      <c r="H2321" t="s">
        <v>9363</v>
      </c>
    </row>
    <row r="2322" spans="8:8" x14ac:dyDescent="0.25">
      <c r="H2322" t="s">
        <v>135</v>
      </c>
    </row>
    <row r="2323" spans="8:8" x14ac:dyDescent="0.25">
      <c r="H2323" t="s">
        <v>9364</v>
      </c>
    </row>
    <row r="2324" spans="8:8" x14ac:dyDescent="0.25">
      <c r="H2324" t="s">
        <v>30</v>
      </c>
    </row>
    <row r="2325" spans="8:8" x14ac:dyDescent="0.25">
      <c r="H2325" t="s">
        <v>136</v>
      </c>
    </row>
    <row r="2326" spans="8:8" x14ac:dyDescent="0.25">
      <c r="H2326" t="s">
        <v>9365</v>
      </c>
    </row>
    <row r="2327" spans="8:8" x14ac:dyDescent="0.25">
      <c r="H2327" t="s">
        <v>30</v>
      </c>
    </row>
    <row r="2329" spans="8:8" x14ac:dyDescent="0.25">
      <c r="H2329" t="s">
        <v>9366</v>
      </c>
    </row>
    <row r="2330" spans="8:8" x14ac:dyDescent="0.25">
      <c r="H2330" t="s">
        <v>9367</v>
      </c>
    </row>
    <row r="2331" spans="8:8" x14ac:dyDescent="0.25">
      <c r="H2331" t="s">
        <v>135</v>
      </c>
    </row>
    <row r="2332" spans="8:8" x14ac:dyDescent="0.25">
      <c r="H2332" t="s">
        <v>9368</v>
      </c>
    </row>
    <row r="2333" spans="8:8" x14ac:dyDescent="0.25">
      <c r="H2333" t="s">
        <v>30</v>
      </c>
    </row>
    <row r="2335" spans="8:8" x14ac:dyDescent="0.25">
      <c r="H2335" t="s">
        <v>9369</v>
      </c>
    </row>
    <row r="2336" spans="8:8" x14ac:dyDescent="0.25">
      <c r="H2336" t="s">
        <v>9370</v>
      </c>
    </row>
    <row r="2337" spans="8:8" x14ac:dyDescent="0.25">
      <c r="H2337" t="s">
        <v>135</v>
      </c>
    </row>
    <row r="2338" spans="8:8" x14ac:dyDescent="0.25">
      <c r="H2338" t="s">
        <v>9371</v>
      </c>
    </row>
    <row r="2339" spans="8:8" x14ac:dyDescent="0.25">
      <c r="H2339" t="s">
        <v>30</v>
      </c>
    </row>
    <row r="2341" spans="8:8" x14ac:dyDescent="0.25">
      <c r="H2341" t="s">
        <v>9372</v>
      </c>
    </row>
    <row r="2342" spans="8:8" x14ac:dyDescent="0.25">
      <c r="H2342" t="s">
        <v>9373</v>
      </c>
    </row>
    <row r="2343" spans="8:8" x14ac:dyDescent="0.25">
      <c r="H2343" t="s">
        <v>135</v>
      </c>
    </row>
    <row r="2344" spans="8:8" x14ac:dyDescent="0.25">
      <c r="H2344" t="s">
        <v>9374</v>
      </c>
    </row>
    <row r="2345" spans="8:8" x14ac:dyDescent="0.25">
      <c r="H2345" t="s">
        <v>30</v>
      </c>
    </row>
    <row r="2346" spans="8:8" x14ac:dyDescent="0.25">
      <c r="H2346" t="s">
        <v>136</v>
      </c>
    </row>
    <row r="2347" spans="8:8" x14ac:dyDescent="0.25">
      <c r="H2347" t="s">
        <v>9375</v>
      </c>
    </row>
    <row r="2348" spans="8:8" x14ac:dyDescent="0.25">
      <c r="H2348" t="s">
        <v>30</v>
      </c>
    </row>
    <row r="2349" spans="8:8" x14ac:dyDescent="0.25">
      <c r="H2349" t="s">
        <v>9376</v>
      </c>
    </row>
    <row r="2350" spans="8:8" x14ac:dyDescent="0.25">
      <c r="H2350" t="s">
        <v>137</v>
      </c>
    </row>
    <row r="2351" spans="8:8" x14ac:dyDescent="0.25">
      <c r="H2351" t="s">
        <v>9377</v>
      </c>
    </row>
    <row r="2352" spans="8:8" x14ac:dyDescent="0.25">
      <c r="H2352" t="s">
        <v>30</v>
      </c>
    </row>
    <row r="2354" spans="8:8" x14ac:dyDescent="0.25">
      <c r="H2354" t="s">
        <v>9378</v>
      </c>
    </row>
    <row r="2355" spans="8:8" x14ac:dyDescent="0.25">
      <c r="H2355" t="s">
        <v>9379</v>
      </c>
    </row>
    <row r="2356" spans="8:8" x14ac:dyDescent="0.25">
      <c r="H2356" t="s">
        <v>135</v>
      </c>
    </row>
    <row r="2357" spans="8:8" x14ac:dyDescent="0.25">
      <c r="H2357" t="s">
        <v>9380</v>
      </c>
    </row>
    <row r="2358" spans="8:8" x14ac:dyDescent="0.25">
      <c r="H2358" t="s">
        <v>30</v>
      </c>
    </row>
    <row r="2359" spans="8:8" x14ac:dyDescent="0.25">
      <c r="H2359" t="s">
        <v>136</v>
      </c>
    </row>
    <row r="2360" spans="8:8" x14ac:dyDescent="0.25">
      <c r="H2360" t="s">
        <v>9381</v>
      </c>
    </row>
    <row r="2361" spans="8:8" x14ac:dyDescent="0.25">
      <c r="H2361" t="s">
        <v>30</v>
      </c>
    </row>
    <row r="2362" spans="8:8" x14ac:dyDescent="0.25">
      <c r="H2362" t="s">
        <v>9382</v>
      </c>
    </row>
    <row r="2363" spans="8:8" x14ac:dyDescent="0.25">
      <c r="H2363" t="s">
        <v>137</v>
      </c>
    </row>
    <row r="2364" spans="8:8" x14ac:dyDescent="0.25">
      <c r="H2364" t="s">
        <v>9383</v>
      </c>
    </row>
    <row r="2365" spans="8:8" x14ac:dyDescent="0.25">
      <c r="H2365" t="s">
        <v>30</v>
      </c>
    </row>
    <row r="2367" spans="8:8" x14ac:dyDescent="0.25">
      <c r="H2367" t="s">
        <v>9384</v>
      </c>
    </row>
    <row r="2368" spans="8:8" x14ac:dyDescent="0.25">
      <c r="H2368" t="s">
        <v>9385</v>
      </c>
    </row>
    <row r="2369" spans="8:8" x14ac:dyDescent="0.25">
      <c r="H2369" t="s">
        <v>135</v>
      </c>
    </row>
    <row r="2370" spans="8:8" x14ac:dyDescent="0.25">
      <c r="H2370" t="s">
        <v>9386</v>
      </c>
    </row>
    <row r="2371" spans="8:8" x14ac:dyDescent="0.25">
      <c r="H2371" t="s">
        <v>30</v>
      </c>
    </row>
    <row r="2372" spans="8:8" x14ac:dyDescent="0.25">
      <c r="H2372" t="s">
        <v>136</v>
      </c>
    </row>
    <row r="2373" spans="8:8" x14ac:dyDescent="0.25">
      <c r="H2373" t="s">
        <v>9387</v>
      </c>
    </row>
    <row r="2374" spans="8:8" x14ac:dyDescent="0.25">
      <c r="H2374" t="s">
        <v>30</v>
      </c>
    </row>
    <row r="2375" spans="8:8" x14ac:dyDescent="0.25">
      <c r="H2375" t="s">
        <v>9388</v>
      </c>
    </row>
    <row r="2376" spans="8:8" x14ac:dyDescent="0.25">
      <c r="H2376" t="s">
        <v>137</v>
      </c>
    </row>
    <row r="2377" spans="8:8" x14ac:dyDescent="0.25">
      <c r="H2377" t="s">
        <v>9389</v>
      </c>
    </row>
    <row r="2378" spans="8:8" x14ac:dyDescent="0.25">
      <c r="H2378" t="s">
        <v>30</v>
      </c>
    </row>
    <row r="2380" spans="8:8" x14ac:dyDescent="0.25">
      <c r="H2380" t="s">
        <v>9390</v>
      </c>
    </row>
    <row r="2381" spans="8:8" x14ac:dyDescent="0.25">
      <c r="H2381" t="s">
        <v>9391</v>
      </c>
    </row>
    <row r="2382" spans="8:8" x14ac:dyDescent="0.25">
      <c r="H2382" t="s">
        <v>135</v>
      </c>
    </row>
    <row r="2383" spans="8:8" x14ac:dyDescent="0.25">
      <c r="H2383" t="s">
        <v>9392</v>
      </c>
    </row>
    <row r="2384" spans="8:8" x14ac:dyDescent="0.25">
      <c r="H2384" t="s">
        <v>30</v>
      </c>
    </row>
    <row r="2386" spans="8:8" x14ac:dyDescent="0.25">
      <c r="H2386" t="s">
        <v>9393</v>
      </c>
    </row>
    <row r="2387" spans="8:8" x14ac:dyDescent="0.25">
      <c r="H2387" t="s">
        <v>9394</v>
      </c>
    </row>
    <row r="2388" spans="8:8" x14ac:dyDescent="0.25">
      <c r="H2388" t="s">
        <v>135</v>
      </c>
    </row>
    <row r="2389" spans="8:8" x14ac:dyDescent="0.25">
      <c r="H2389" t="s">
        <v>9395</v>
      </c>
    </row>
    <row r="2390" spans="8:8" x14ac:dyDescent="0.25">
      <c r="H2390" t="s">
        <v>30</v>
      </c>
    </row>
    <row r="2392" spans="8:8" x14ac:dyDescent="0.25">
      <c r="H2392" t="s">
        <v>9396</v>
      </c>
    </row>
    <row r="2393" spans="8:8" x14ac:dyDescent="0.25">
      <c r="H2393" t="s">
        <v>9397</v>
      </c>
    </row>
    <row r="2394" spans="8:8" x14ac:dyDescent="0.25">
      <c r="H2394" t="s">
        <v>135</v>
      </c>
    </row>
    <row r="2395" spans="8:8" x14ac:dyDescent="0.25">
      <c r="H2395" t="s">
        <v>9398</v>
      </c>
    </row>
    <row r="2396" spans="8:8" x14ac:dyDescent="0.25">
      <c r="H2396" t="s">
        <v>30</v>
      </c>
    </row>
    <row r="2398" spans="8:8" x14ac:dyDescent="0.25">
      <c r="H2398" t="s">
        <v>9399</v>
      </c>
    </row>
    <row r="2399" spans="8:8" x14ac:dyDescent="0.25">
      <c r="H2399" t="s">
        <v>9400</v>
      </c>
    </row>
    <row r="2400" spans="8:8" x14ac:dyDescent="0.25">
      <c r="H2400" t="s">
        <v>135</v>
      </c>
    </row>
    <row r="2401" spans="8:8" x14ac:dyDescent="0.25">
      <c r="H2401" t="s">
        <v>9401</v>
      </c>
    </row>
    <row r="2402" spans="8:8" x14ac:dyDescent="0.25">
      <c r="H2402" t="s">
        <v>30</v>
      </c>
    </row>
    <row r="2403" spans="8:8" x14ac:dyDescent="0.25">
      <c r="H2403" t="s">
        <v>136</v>
      </c>
    </row>
    <row r="2404" spans="8:8" x14ac:dyDescent="0.25">
      <c r="H2404" t="s">
        <v>9402</v>
      </c>
    </row>
    <row r="2405" spans="8:8" x14ac:dyDescent="0.25">
      <c r="H2405" t="s">
        <v>30</v>
      </c>
    </row>
    <row r="2407" spans="8:8" x14ac:dyDescent="0.25">
      <c r="H2407" t="s">
        <v>9403</v>
      </c>
    </row>
    <row r="2408" spans="8:8" x14ac:dyDescent="0.25">
      <c r="H2408" t="s">
        <v>9404</v>
      </c>
    </row>
    <row r="2409" spans="8:8" x14ac:dyDescent="0.25">
      <c r="H2409" t="s">
        <v>135</v>
      </c>
    </row>
    <row r="2410" spans="8:8" x14ac:dyDescent="0.25">
      <c r="H2410" t="s">
        <v>9405</v>
      </c>
    </row>
    <row r="2411" spans="8:8" x14ac:dyDescent="0.25">
      <c r="H2411" t="s">
        <v>30</v>
      </c>
    </row>
    <row r="2412" spans="8:8" x14ac:dyDescent="0.25">
      <c r="H2412" t="s">
        <v>136</v>
      </c>
    </row>
    <row r="2413" spans="8:8" x14ac:dyDescent="0.25">
      <c r="H2413" t="s">
        <v>9406</v>
      </c>
    </row>
    <row r="2414" spans="8:8" x14ac:dyDescent="0.25">
      <c r="H2414" t="s">
        <v>30</v>
      </c>
    </row>
    <row r="2415" spans="8:8" x14ac:dyDescent="0.25">
      <c r="H2415" t="s">
        <v>137</v>
      </c>
    </row>
    <row r="2416" spans="8:8" x14ac:dyDescent="0.25">
      <c r="H2416" t="s">
        <v>9407</v>
      </c>
    </row>
    <row r="2417" spans="8:8" x14ac:dyDescent="0.25">
      <c r="H2417" t="s">
        <v>30</v>
      </c>
    </row>
    <row r="2418" spans="8:8" x14ac:dyDescent="0.25">
      <c r="H2418" t="s">
        <v>138</v>
      </c>
    </row>
    <row r="2419" spans="8:8" x14ac:dyDescent="0.25">
      <c r="H2419" t="s">
        <v>9408</v>
      </c>
    </row>
    <row r="2420" spans="8:8" x14ac:dyDescent="0.25">
      <c r="H2420" t="s">
        <v>30</v>
      </c>
    </row>
    <row r="2422" spans="8:8" x14ac:dyDescent="0.25">
      <c r="H2422" t="s">
        <v>9409</v>
      </c>
    </row>
    <row r="2423" spans="8:8" x14ac:dyDescent="0.25">
      <c r="H2423" t="s">
        <v>9410</v>
      </c>
    </row>
    <row r="2424" spans="8:8" x14ac:dyDescent="0.25">
      <c r="H2424" t="s">
        <v>135</v>
      </c>
    </row>
    <row r="2425" spans="8:8" x14ac:dyDescent="0.25">
      <c r="H2425" t="s">
        <v>9411</v>
      </c>
    </row>
    <row r="2426" spans="8:8" x14ac:dyDescent="0.25">
      <c r="H2426" t="s">
        <v>30</v>
      </c>
    </row>
    <row r="2427" spans="8:8" x14ac:dyDescent="0.25">
      <c r="H2427" t="s">
        <v>136</v>
      </c>
    </row>
    <row r="2428" spans="8:8" x14ac:dyDescent="0.25">
      <c r="H2428" t="s">
        <v>9412</v>
      </c>
    </row>
    <row r="2429" spans="8:8" x14ac:dyDescent="0.25">
      <c r="H2429" t="s">
        <v>30</v>
      </c>
    </row>
    <row r="2430" spans="8:8" x14ac:dyDescent="0.25">
      <c r="H2430" t="s">
        <v>137</v>
      </c>
    </row>
    <row r="2431" spans="8:8" x14ac:dyDescent="0.25">
      <c r="H2431" t="s">
        <v>9413</v>
      </c>
    </row>
    <row r="2432" spans="8:8" x14ac:dyDescent="0.25">
      <c r="H2432" t="s">
        <v>30</v>
      </c>
    </row>
    <row r="2433" spans="8:8" x14ac:dyDescent="0.25">
      <c r="H2433" t="s">
        <v>138</v>
      </c>
    </row>
    <row r="2434" spans="8:8" x14ac:dyDescent="0.25">
      <c r="H2434" t="s">
        <v>9414</v>
      </c>
    </row>
    <row r="2435" spans="8:8" x14ac:dyDescent="0.25">
      <c r="H2435" t="s">
        <v>30</v>
      </c>
    </row>
    <row r="2437" spans="8:8" x14ac:dyDescent="0.25">
      <c r="H2437" t="s">
        <v>9415</v>
      </c>
    </row>
    <row r="2438" spans="8:8" x14ac:dyDescent="0.25">
      <c r="H2438" t="s">
        <v>9416</v>
      </c>
    </row>
    <row r="2439" spans="8:8" x14ac:dyDescent="0.25">
      <c r="H2439" t="s">
        <v>135</v>
      </c>
    </row>
    <row r="2440" spans="8:8" x14ac:dyDescent="0.25">
      <c r="H2440" t="s">
        <v>9417</v>
      </c>
    </row>
    <row r="2441" spans="8:8" x14ac:dyDescent="0.25">
      <c r="H2441" t="s">
        <v>30</v>
      </c>
    </row>
    <row r="2442" spans="8:8" x14ac:dyDescent="0.25">
      <c r="H2442" t="s">
        <v>136</v>
      </c>
    </row>
    <row r="2443" spans="8:8" x14ac:dyDescent="0.25">
      <c r="H2443" t="s">
        <v>9418</v>
      </c>
    </row>
    <row r="2444" spans="8:8" x14ac:dyDescent="0.25">
      <c r="H2444" t="s">
        <v>30</v>
      </c>
    </row>
    <row r="2445" spans="8:8" x14ac:dyDescent="0.25">
      <c r="H2445" t="s">
        <v>137</v>
      </c>
    </row>
    <row r="2446" spans="8:8" x14ac:dyDescent="0.25">
      <c r="H2446" t="s">
        <v>9419</v>
      </c>
    </row>
    <row r="2447" spans="8:8" x14ac:dyDescent="0.25">
      <c r="H2447" t="s">
        <v>30</v>
      </c>
    </row>
    <row r="2448" spans="8:8" x14ac:dyDescent="0.25">
      <c r="H2448" t="s">
        <v>138</v>
      </c>
    </row>
    <row r="2449" spans="8:8" x14ac:dyDescent="0.25">
      <c r="H2449" t="s">
        <v>9420</v>
      </c>
    </row>
    <row r="2450" spans="8:8" x14ac:dyDescent="0.25">
      <c r="H2450" t="s">
        <v>30</v>
      </c>
    </row>
    <row r="2452" spans="8:8" x14ac:dyDescent="0.25">
      <c r="H2452" t="s">
        <v>9421</v>
      </c>
    </row>
    <row r="2453" spans="8:8" x14ac:dyDescent="0.25">
      <c r="H2453" t="s">
        <v>9422</v>
      </c>
    </row>
    <row r="2454" spans="8:8" x14ac:dyDescent="0.25">
      <c r="H2454" t="s">
        <v>135</v>
      </c>
    </row>
    <row r="2455" spans="8:8" x14ac:dyDescent="0.25">
      <c r="H2455" t="s">
        <v>9423</v>
      </c>
    </row>
    <row r="2456" spans="8:8" x14ac:dyDescent="0.25">
      <c r="H2456" t="s">
        <v>30</v>
      </c>
    </row>
    <row r="2457" spans="8:8" x14ac:dyDescent="0.25">
      <c r="H2457" t="s">
        <v>136</v>
      </c>
    </row>
    <row r="2458" spans="8:8" x14ac:dyDescent="0.25">
      <c r="H2458" t="s">
        <v>9424</v>
      </c>
    </row>
    <row r="2459" spans="8:8" x14ac:dyDescent="0.25">
      <c r="H2459" t="s">
        <v>30</v>
      </c>
    </row>
    <row r="2460" spans="8:8" x14ac:dyDescent="0.25">
      <c r="H2460" t="s">
        <v>137</v>
      </c>
    </row>
    <row r="2461" spans="8:8" x14ac:dyDescent="0.25">
      <c r="H2461" t="s">
        <v>9425</v>
      </c>
    </row>
    <row r="2462" spans="8:8" x14ac:dyDescent="0.25">
      <c r="H2462" t="s">
        <v>30</v>
      </c>
    </row>
    <row r="2463" spans="8:8" x14ac:dyDescent="0.25">
      <c r="H2463" t="s">
        <v>138</v>
      </c>
    </row>
    <row r="2464" spans="8:8" x14ac:dyDescent="0.25">
      <c r="H2464" t="s">
        <v>9426</v>
      </c>
    </row>
    <row r="2465" spans="8:8" x14ac:dyDescent="0.25">
      <c r="H2465" t="s">
        <v>30</v>
      </c>
    </row>
    <row r="2467" spans="8:8" x14ac:dyDescent="0.25">
      <c r="H2467" t="s">
        <v>9427</v>
      </c>
    </row>
    <row r="2468" spans="8:8" x14ac:dyDescent="0.25">
      <c r="H2468" t="s">
        <v>9428</v>
      </c>
    </row>
    <row r="2469" spans="8:8" x14ac:dyDescent="0.25">
      <c r="H2469" t="s">
        <v>135</v>
      </c>
    </row>
    <row r="2470" spans="8:8" x14ac:dyDescent="0.25">
      <c r="H2470" t="s">
        <v>9429</v>
      </c>
    </row>
    <row r="2471" spans="8:8" x14ac:dyDescent="0.25">
      <c r="H2471" t="s">
        <v>30</v>
      </c>
    </row>
    <row r="2472" spans="8:8" x14ac:dyDescent="0.25">
      <c r="H2472" t="s">
        <v>136</v>
      </c>
    </row>
    <row r="2473" spans="8:8" x14ac:dyDescent="0.25">
      <c r="H2473" t="s">
        <v>9430</v>
      </c>
    </row>
    <row r="2474" spans="8:8" x14ac:dyDescent="0.25">
      <c r="H2474" t="s">
        <v>30</v>
      </c>
    </row>
    <row r="2475" spans="8:8" x14ac:dyDescent="0.25">
      <c r="H2475" t="s">
        <v>137</v>
      </c>
    </row>
    <row r="2476" spans="8:8" x14ac:dyDescent="0.25">
      <c r="H2476" t="s">
        <v>9431</v>
      </c>
    </row>
    <row r="2477" spans="8:8" x14ac:dyDescent="0.25">
      <c r="H2477" t="s">
        <v>30</v>
      </c>
    </row>
    <row r="2478" spans="8:8" x14ac:dyDescent="0.25">
      <c r="H2478" t="s">
        <v>138</v>
      </c>
    </row>
    <row r="2479" spans="8:8" x14ac:dyDescent="0.25">
      <c r="H2479" t="s">
        <v>9432</v>
      </c>
    </row>
    <row r="2480" spans="8:8" x14ac:dyDescent="0.25">
      <c r="H2480" t="s">
        <v>30</v>
      </c>
    </row>
    <row r="2482" spans="8:8" x14ac:dyDescent="0.25">
      <c r="H2482" t="s">
        <v>9433</v>
      </c>
    </row>
    <row r="2483" spans="8:8" x14ac:dyDescent="0.25">
      <c r="H2483" t="s">
        <v>9434</v>
      </c>
    </row>
    <row r="2484" spans="8:8" x14ac:dyDescent="0.25">
      <c r="H2484" t="s">
        <v>135</v>
      </c>
    </row>
    <row r="2485" spans="8:8" x14ac:dyDescent="0.25">
      <c r="H2485" t="s">
        <v>9435</v>
      </c>
    </row>
    <row r="2486" spans="8:8" x14ac:dyDescent="0.25">
      <c r="H2486" t="s">
        <v>30</v>
      </c>
    </row>
    <row r="2487" spans="8:8" x14ac:dyDescent="0.25">
      <c r="H2487" t="s">
        <v>136</v>
      </c>
    </row>
    <row r="2488" spans="8:8" x14ac:dyDescent="0.25">
      <c r="H2488" t="s">
        <v>9436</v>
      </c>
    </row>
    <row r="2489" spans="8:8" x14ac:dyDescent="0.25">
      <c r="H2489" t="s">
        <v>30</v>
      </c>
    </row>
    <row r="2490" spans="8:8" x14ac:dyDescent="0.25">
      <c r="H2490" t="s">
        <v>137</v>
      </c>
    </row>
    <row r="2491" spans="8:8" x14ac:dyDescent="0.25">
      <c r="H2491" t="s">
        <v>9437</v>
      </c>
    </row>
    <row r="2492" spans="8:8" x14ac:dyDescent="0.25">
      <c r="H2492" t="s">
        <v>30</v>
      </c>
    </row>
    <row r="2493" spans="8:8" x14ac:dyDescent="0.25">
      <c r="H2493" t="s">
        <v>138</v>
      </c>
    </row>
    <row r="2494" spans="8:8" x14ac:dyDescent="0.25">
      <c r="H2494" t="s">
        <v>9438</v>
      </c>
    </row>
    <row r="2495" spans="8:8" x14ac:dyDescent="0.25">
      <c r="H2495" t="s">
        <v>30</v>
      </c>
    </row>
    <row r="2497" spans="8:8" x14ac:dyDescent="0.25">
      <c r="H2497" t="s">
        <v>9439</v>
      </c>
    </row>
    <row r="2498" spans="8:8" x14ac:dyDescent="0.25">
      <c r="H2498" t="s">
        <v>9440</v>
      </c>
    </row>
    <row r="2499" spans="8:8" x14ac:dyDescent="0.25">
      <c r="H2499" t="s">
        <v>135</v>
      </c>
    </row>
    <row r="2500" spans="8:8" x14ac:dyDescent="0.25">
      <c r="H2500" t="s">
        <v>9441</v>
      </c>
    </row>
    <row r="2501" spans="8:8" x14ac:dyDescent="0.25">
      <c r="H2501" t="s">
        <v>30</v>
      </c>
    </row>
    <row r="2502" spans="8:8" x14ac:dyDescent="0.25">
      <c r="H2502" t="s">
        <v>136</v>
      </c>
    </row>
    <row r="2503" spans="8:8" x14ac:dyDescent="0.25">
      <c r="H2503" t="s">
        <v>9442</v>
      </c>
    </row>
    <row r="2504" spans="8:8" x14ac:dyDescent="0.25">
      <c r="H2504" t="s">
        <v>30</v>
      </c>
    </row>
    <row r="2505" spans="8:8" x14ac:dyDescent="0.25">
      <c r="H2505" t="s">
        <v>137</v>
      </c>
    </row>
    <row r="2506" spans="8:8" x14ac:dyDescent="0.25">
      <c r="H2506" t="s">
        <v>9443</v>
      </c>
    </row>
    <row r="2507" spans="8:8" x14ac:dyDescent="0.25">
      <c r="H2507" t="s">
        <v>30</v>
      </c>
    </row>
    <row r="2508" spans="8:8" x14ac:dyDescent="0.25">
      <c r="H2508" t="s">
        <v>138</v>
      </c>
    </row>
    <row r="2509" spans="8:8" x14ac:dyDescent="0.25">
      <c r="H2509" t="s">
        <v>9444</v>
      </c>
    </row>
    <row r="2510" spans="8:8" x14ac:dyDescent="0.25">
      <c r="H2510" t="s">
        <v>30</v>
      </c>
    </row>
    <row r="2512" spans="8:8" x14ac:dyDescent="0.25">
      <c r="H2512" t="s">
        <v>9445</v>
      </c>
    </row>
    <row r="2513" spans="8:8" x14ac:dyDescent="0.25">
      <c r="H2513" t="s">
        <v>9446</v>
      </c>
    </row>
    <row r="2514" spans="8:8" x14ac:dyDescent="0.25">
      <c r="H2514" t="s">
        <v>135</v>
      </c>
    </row>
    <row r="2515" spans="8:8" x14ac:dyDescent="0.25">
      <c r="H2515" t="s">
        <v>9447</v>
      </c>
    </row>
    <row r="2516" spans="8:8" x14ac:dyDescent="0.25">
      <c r="H2516" t="s">
        <v>30</v>
      </c>
    </row>
    <row r="2517" spans="8:8" x14ac:dyDescent="0.25">
      <c r="H2517" t="s">
        <v>136</v>
      </c>
    </row>
    <row r="2518" spans="8:8" x14ac:dyDescent="0.25">
      <c r="H2518" t="s">
        <v>9448</v>
      </c>
    </row>
    <row r="2519" spans="8:8" x14ac:dyDescent="0.25">
      <c r="H2519" t="s">
        <v>30</v>
      </c>
    </row>
    <row r="2520" spans="8:8" x14ac:dyDescent="0.25">
      <c r="H2520" t="s">
        <v>137</v>
      </c>
    </row>
    <row r="2521" spans="8:8" x14ac:dyDescent="0.25">
      <c r="H2521" t="s">
        <v>9449</v>
      </c>
    </row>
    <row r="2522" spans="8:8" x14ac:dyDescent="0.25">
      <c r="H2522" t="s">
        <v>30</v>
      </c>
    </row>
    <row r="2523" spans="8:8" x14ac:dyDescent="0.25">
      <c r="H2523" t="s">
        <v>138</v>
      </c>
    </row>
    <row r="2524" spans="8:8" x14ac:dyDescent="0.25">
      <c r="H2524" t="s">
        <v>9450</v>
      </c>
    </row>
    <row r="2525" spans="8:8" x14ac:dyDescent="0.25">
      <c r="H2525" t="s">
        <v>30</v>
      </c>
    </row>
    <row r="2527" spans="8:8" x14ac:dyDescent="0.25">
      <c r="H2527" t="s">
        <v>9451</v>
      </c>
    </row>
    <row r="2528" spans="8:8" x14ac:dyDescent="0.25">
      <c r="H2528" t="s">
        <v>9452</v>
      </c>
    </row>
    <row r="2529" spans="8:8" x14ac:dyDescent="0.25">
      <c r="H2529" t="s">
        <v>135</v>
      </c>
    </row>
    <row r="2530" spans="8:8" x14ac:dyDescent="0.25">
      <c r="H2530" t="s">
        <v>9453</v>
      </c>
    </row>
    <row r="2531" spans="8:8" x14ac:dyDescent="0.25">
      <c r="H2531" t="s">
        <v>30</v>
      </c>
    </row>
    <row r="2532" spans="8:8" x14ac:dyDescent="0.25">
      <c r="H2532" t="s">
        <v>136</v>
      </c>
    </row>
    <row r="2533" spans="8:8" x14ac:dyDescent="0.25">
      <c r="H2533" t="s">
        <v>9454</v>
      </c>
    </row>
    <row r="2534" spans="8:8" x14ac:dyDescent="0.25">
      <c r="H2534" t="s">
        <v>30</v>
      </c>
    </row>
    <row r="2535" spans="8:8" x14ac:dyDescent="0.25">
      <c r="H2535" t="s">
        <v>137</v>
      </c>
    </row>
    <row r="2536" spans="8:8" x14ac:dyDescent="0.25">
      <c r="H2536" t="s">
        <v>9455</v>
      </c>
    </row>
    <row r="2537" spans="8:8" x14ac:dyDescent="0.25">
      <c r="H2537" t="s">
        <v>30</v>
      </c>
    </row>
    <row r="2538" spans="8:8" x14ac:dyDescent="0.25">
      <c r="H2538" t="s">
        <v>138</v>
      </c>
    </row>
    <row r="2539" spans="8:8" x14ac:dyDescent="0.25">
      <c r="H2539" t="s">
        <v>9456</v>
      </c>
    </row>
    <row r="2540" spans="8:8" x14ac:dyDescent="0.25">
      <c r="H2540" t="s">
        <v>30</v>
      </c>
    </row>
    <row r="2542" spans="8:8" x14ac:dyDescent="0.25">
      <c r="H2542" t="s">
        <v>9457</v>
      </c>
    </row>
    <row r="2543" spans="8:8" x14ac:dyDescent="0.25">
      <c r="H2543" t="s">
        <v>9458</v>
      </c>
    </row>
    <row r="2544" spans="8:8" x14ac:dyDescent="0.25">
      <c r="H2544" t="s">
        <v>135</v>
      </c>
    </row>
    <row r="2545" spans="8:8" x14ac:dyDescent="0.25">
      <c r="H2545" t="s">
        <v>9459</v>
      </c>
    </row>
    <row r="2546" spans="8:8" x14ac:dyDescent="0.25">
      <c r="H2546" t="s">
        <v>30</v>
      </c>
    </row>
    <row r="2547" spans="8:8" x14ac:dyDescent="0.25">
      <c r="H2547" t="s">
        <v>136</v>
      </c>
    </row>
    <row r="2548" spans="8:8" x14ac:dyDescent="0.25">
      <c r="H2548" t="s">
        <v>9460</v>
      </c>
    </row>
    <row r="2549" spans="8:8" x14ac:dyDescent="0.25">
      <c r="H2549" t="s">
        <v>30</v>
      </c>
    </row>
    <row r="2550" spans="8:8" x14ac:dyDescent="0.25">
      <c r="H2550" t="s">
        <v>137</v>
      </c>
    </row>
    <row r="2551" spans="8:8" x14ac:dyDescent="0.25">
      <c r="H2551" t="s">
        <v>9461</v>
      </c>
    </row>
    <row r="2552" spans="8:8" x14ac:dyDescent="0.25">
      <c r="H2552" t="s">
        <v>30</v>
      </c>
    </row>
    <row r="2553" spans="8:8" x14ac:dyDescent="0.25">
      <c r="H2553" t="s">
        <v>138</v>
      </c>
    </row>
    <row r="2554" spans="8:8" x14ac:dyDescent="0.25">
      <c r="H2554" t="s">
        <v>9462</v>
      </c>
    </row>
    <row r="2555" spans="8:8" x14ac:dyDescent="0.25">
      <c r="H2555" t="s">
        <v>30</v>
      </c>
    </row>
    <row r="2557" spans="8:8" x14ac:dyDescent="0.25">
      <c r="H2557" t="s">
        <v>9463</v>
      </c>
    </row>
    <row r="2558" spans="8:8" x14ac:dyDescent="0.25">
      <c r="H2558" t="s">
        <v>9464</v>
      </c>
    </row>
    <row r="2559" spans="8:8" x14ac:dyDescent="0.25">
      <c r="H2559" t="s">
        <v>135</v>
      </c>
    </row>
    <row r="2560" spans="8:8" x14ac:dyDescent="0.25">
      <c r="H2560" t="s">
        <v>9465</v>
      </c>
    </row>
    <row r="2561" spans="8:8" x14ac:dyDescent="0.25">
      <c r="H2561" t="s">
        <v>30</v>
      </c>
    </row>
    <row r="2562" spans="8:8" x14ac:dyDescent="0.25">
      <c r="H2562" t="s">
        <v>136</v>
      </c>
    </row>
    <row r="2563" spans="8:8" x14ac:dyDescent="0.25">
      <c r="H2563" t="s">
        <v>9466</v>
      </c>
    </row>
    <row r="2564" spans="8:8" x14ac:dyDescent="0.25">
      <c r="H2564" t="s">
        <v>30</v>
      </c>
    </row>
    <row r="2565" spans="8:8" x14ac:dyDescent="0.25">
      <c r="H2565" t="s">
        <v>137</v>
      </c>
    </row>
    <row r="2566" spans="8:8" x14ac:dyDescent="0.25">
      <c r="H2566" t="s">
        <v>9467</v>
      </c>
    </row>
    <row r="2567" spans="8:8" x14ac:dyDescent="0.25">
      <c r="H2567" t="s">
        <v>30</v>
      </c>
    </row>
    <row r="2568" spans="8:8" x14ac:dyDescent="0.25">
      <c r="H2568" t="s">
        <v>138</v>
      </c>
    </row>
    <row r="2569" spans="8:8" x14ac:dyDescent="0.25">
      <c r="H2569" t="s">
        <v>9468</v>
      </c>
    </row>
    <row r="2570" spans="8:8" x14ac:dyDescent="0.25">
      <c r="H2570" t="s">
        <v>30</v>
      </c>
    </row>
    <row r="2572" spans="8:8" x14ac:dyDescent="0.25">
      <c r="H2572" t="s">
        <v>9469</v>
      </c>
    </row>
    <row r="2573" spans="8:8" x14ac:dyDescent="0.25">
      <c r="H2573" t="s">
        <v>9470</v>
      </c>
    </row>
    <row r="2574" spans="8:8" x14ac:dyDescent="0.25">
      <c r="H2574" t="s">
        <v>135</v>
      </c>
    </row>
    <row r="2575" spans="8:8" x14ac:dyDescent="0.25">
      <c r="H2575" t="s">
        <v>9471</v>
      </c>
    </row>
    <row r="2576" spans="8:8" x14ac:dyDescent="0.25">
      <c r="H2576" t="s">
        <v>30</v>
      </c>
    </row>
    <row r="2577" spans="8:8" x14ac:dyDescent="0.25">
      <c r="H2577" t="s">
        <v>136</v>
      </c>
    </row>
    <row r="2578" spans="8:8" x14ac:dyDescent="0.25">
      <c r="H2578" t="s">
        <v>9472</v>
      </c>
    </row>
    <row r="2579" spans="8:8" x14ac:dyDescent="0.25">
      <c r="H2579" t="s">
        <v>30</v>
      </c>
    </row>
    <row r="2580" spans="8:8" x14ac:dyDescent="0.25">
      <c r="H2580" t="s">
        <v>137</v>
      </c>
    </row>
    <row r="2581" spans="8:8" x14ac:dyDescent="0.25">
      <c r="H2581" t="s">
        <v>9473</v>
      </c>
    </row>
    <row r="2582" spans="8:8" x14ac:dyDescent="0.25">
      <c r="H2582" t="s">
        <v>30</v>
      </c>
    </row>
    <row r="2583" spans="8:8" x14ac:dyDescent="0.25">
      <c r="H2583" t="s">
        <v>138</v>
      </c>
    </row>
    <row r="2584" spans="8:8" x14ac:dyDescent="0.25">
      <c r="H2584" t="s">
        <v>9474</v>
      </c>
    </row>
    <row r="2585" spans="8:8" x14ac:dyDescent="0.25">
      <c r="H2585" t="s">
        <v>30</v>
      </c>
    </row>
    <row r="2587" spans="8:8" x14ac:dyDescent="0.25">
      <c r="H2587" t="s">
        <v>9475</v>
      </c>
    </row>
    <row r="2588" spans="8:8" x14ac:dyDescent="0.25">
      <c r="H2588" t="s">
        <v>9476</v>
      </c>
    </row>
    <row r="2589" spans="8:8" x14ac:dyDescent="0.25">
      <c r="H2589" t="s">
        <v>135</v>
      </c>
    </row>
    <row r="2590" spans="8:8" x14ac:dyDescent="0.25">
      <c r="H2590" t="s">
        <v>9477</v>
      </c>
    </row>
    <row r="2591" spans="8:8" x14ac:dyDescent="0.25">
      <c r="H2591" t="s">
        <v>30</v>
      </c>
    </row>
    <row r="2592" spans="8:8" x14ac:dyDescent="0.25">
      <c r="H2592" t="s">
        <v>136</v>
      </c>
    </row>
    <row r="2593" spans="8:8" x14ac:dyDescent="0.25">
      <c r="H2593" t="s">
        <v>9478</v>
      </c>
    </row>
    <row r="2594" spans="8:8" x14ac:dyDescent="0.25">
      <c r="H2594" t="s">
        <v>30</v>
      </c>
    </row>
    <row r="2595" spans="8:8" x14ac:dyDescent="0.25">
      <c r="H2595" t="s">
        <v>137</v>
      </c>
    </row>
    <row r="2596" spans="8:8" x14ac:dyDescent="0.25">
      <c r="H2596" t="s">
        <v>9479</v>
      </c>
    </row>
    <row r="2597" spans="8:8" x14ac:dyDescent="0.25">
      <c r="H2597" t="s">
        <v>30</v>
      </c>
    </row>
    <row r="2598" spans="8:8" x14ac:dyDescent="0.25">
      <c r="H2598" t="s">
        <v>138</v>
      </c>
    </row>
    <row r="2599" spans="8:8" x14ac:dyDescent="0.25">
      <c r="H2599" t="s">
        <v>9480</v>
      </c>
    </row>
    <row r="2600" spans="8:8" x14ac:dyDescent="0.25">
      <c r="H2600" t="s">
        <v>30</v>
      </c>
    </row>
    <row r="2602" spans="8:8" x14ac:dyDescent="0.25">
      <c r="H2602" t="s">
        <v>9481</v>
      </c>
    </row>
    <row r="2603" spans="8:8" x14ac:dyDescent="0.25">
      <c r="H2603" t="s">
        <v>9482</v>
      </c>
    </row>
    <row r="2604" spans="8:8" x14ac:dyDescent="0.25">
      <c r="H2604" t="s">
        <v>135</v>
      </c>
    </row>
    <row r="2605" spans="8:8" x14ac:dyDescent="0.25">
      <c r="H2605" t="s">
        <v>9483</v>
      </c>
    </row>
    <row r="2606" spans="8:8" x14ac:dyDescent="0.25">
      <c r="H2606" t="s">
        <v>30</v>
      </c>
    </row>
    <row r="2607" spans="8:8" x14ac:dyDescent="0.25">
      <c r="H2607" t="s">
        <v>136</v>
      </c>
    </row>
    <row r="2608" spans="8:8" x14ac:dyDescent="0.25">
      <c r="H2608" t="s">
        <v>9484</v>
      </c>
    </row>
    <row r="2609" spans="8:8" x14ac:dyDescent="0.25">
      <c r="H2609" t="s">
        <v>30</v>
      </c>
    </row>
    <row r="2610" spans="8:8" x14ac:dyDescent="0.25">
      <c r="H2610" t="s">
        <v>137</v>
      </c>
    </row>
    <row r="2611" spans="8:8" x14ac:dyDescent="0.25">
      <c r="H2611" t="s">
        <v>9485</v>
      </c>
    </row>
    <row r="2612" spans="8:8" x14ac:dyDescent="0.25">
      <c r="H2612" t="s">
        <v>30</v>
      </c>
    </row>
    <row r="2613" spans="8:8" x14ac:dyDescent="0.25">
      <c r="H2613" t="s">
        <v>138</v>
      </c>
    </row>
    <row r="2614" spans="8:8" x14ac:dyDescent="0.25">
      <c r="H2614" t="s">
        <v>9486</v>
      </c>
    </row>
    <row r="2615" spans="8:8" x14ac:dyDescent="0.25">
      <c r="H2615" t="s">
        <v>30</v>
      </c>
    </row>
    <row r="2617" spans="8:8" x14ac:dyDescent="0.25">
      <c r="H2617" t="s">
        <v>9487</v>
      </c>
    </row>
    <row r="2618" spans="8:8" x14ac:dyDescent="0.25">
      <c r="H2618" t="s">
        <v>9488</v>
      </c>
    </row>
    <row r="2619" spans="8:8" x14ac:dyDescent="0.25">
      <c r="H2619" t="s">
        <v>135</v>
      </c>
    </row>
    <row r="2620" spans="8:8" x14ac:dyDescent="0.25">
      <c r="H2620" t="s">
        <v>9489</v>
      </c>
    </row>
    <row r="2621" spans="8:8" x14ac:dyDescent="0.25">
      <c r="H2621" t="s">
        <v>30</v>
      </c>
    </row>
    <row r="2622" spans="8:8" x14ac:dyDescent="0.25">
      <c r="H2622" t="s">
        <v>136</v>
      </c>
    </row>
    <row r="2623" spans="8:8" x14ac:dyDescent="0.25">
      <c r="H2623" t="s">
        <v>9490</v>
      </c>
    </row>
    <row r="2624" spans="8:8" x14ac:dyDescent="0.25">
      <c r="H2624" t="s">
        <v>30</v>
      </c>
    </row>
    <row r="2625" spans="8:8" x14ac:dyDescent="0.25">
      <c r="H2625" t="s">
        <v>137</v>
      </c>
    </row>
    <row r="2626" spans="8:8" x14ac:dyDescent="0.25">
      <c r="H2626" t="s">
        <v>9491</v>
      </c>
    </row>
    <row r="2627" spans="8:8" x14ac:dyDescent="0.25">
      <c r="H2627" t="s">
        <v>30</v>
      </c>
    </row>
    <row r="2628" spans="8:8" x14ac:dyDescent="0.25">
      <c r="H2628" t="s">
        <v>138</v>
      </c>
    </row>
    <row r="2629" spans="8:8" x14ac:dyDescent="0.25">
      <c r="H2629" t="s">
        <v>9492</v>
      </c>
    </row>
    <row r="2630" spans="8:8" x14ac:dyDescent="0.25">
      <c r="H2630" t="s">
        <v>30</v>
      </c>
    </row>
    <row r="2632" spans="8:8" x14ac:dyDescent="0.25">
      <c r="H2632" t="s">
        <v>9493</v>
      </c>
    </row>
    <row r="2633" spans="8:8" x14ac:dyDescent="0.25">
      <c r="H2633" t="s">
        <v>9494</v>
      </c>
    </row>
    <row r="2634" spans="8:8" x14ac:dyDescent="0.25">
      <c r="H2634" t="s">
        <v>135</v>
      </c>
    </row>
    <row r="2635" spans="8:8" x14ac:dyDescent="0.25">
      <c r="H2635" t="s">
        <v>9495</v>
      </c>
    </row>
    <row r="2636" spans="8:8" x14ac:dyDescent="0.25">
      <c r="H2636" t="s">
        <v>30</v>
      </c>
    </row>
    <row r="2637" spans="8:8" x14ac:dyDescent="0.25">
      <c r="H2637" t="s">
        <v>136</v>
      </c>
    </row>
    <row r="2638" spans="8:8" x14ac:dyDescent="0.25">
      <c r="H2638" t="s">
        <v>9496</v>
      </c>
    </row>
    <row r="2639" spans="8:8" x14ac:dyDescent="0.25">
      <c r="H2639" t="s">
        <v>30</v>
      </c>
    </row>
    <row r="2640" spans="8:8" x14ac:dyDescent="0.25">
      <c r="H2640" t="s">
        <v>137</v>
      </c>
    </row>
    <row r="2641" spans="8:8" x14ac:dyDescent="0.25">
      <c r="H2641" t="s">
        <v>9497</v>
      </c>
    </row>
    <row r="2642" spans="8:8" x14ac:dyDescent="0.25">
      <c r="H2642" t="s">
        <v>30</v>
      </c>
    </row>
    <row r="2643" spans="8:8" x14ac:dyDescent="0.25">
      <c r="H2643" t="s">
        <v>138</v>
      </c>
    </row>
    <row r="2644" spans="8:8" x14ac:dyDescent="0.25">
      <c r="H2644" t="s">
        <v>9498</v>
      </c>
    </row>
    <row r="2645" spans="8:8" x14ac:dyDescent="0.25">
      <c r="H2645" t="s">
        <v>30</v>
      </c>
    </row>
    <row r="2647" spans="8:8" x14ac:dyDescent="0.25">
      <c r="H2647" t="s">
        <v>9499</v>
      </c>
    </row>
    <row r="2648" spans="8:8" x14ac:dyDescent="0.25">
      <c r="H2648" t="s">
        <v>9500</v>
      </c>
    </row>
    <row r="2649" spans="8:8" x14ac:dyDescent="0.25">
      <c r="H2649" t="s">
        <v>135</v>
      </c>
    </row>
    <row r="2650" spans="8:8" x14ac:dyDescent="0.25">
      <c r="H2650" t="s">
        <v>9501</v>
      </c>
    </row>
    <row r="2651" spans="8:8" x14ac:dyDescent="0.25">
      <c r="H2651" t="s">
        <v>30</v>
      </c>
    </row>
    <row r="2652" spans="8:8" x14ac:dyDescent="0.25">
      <c r="H2652" t="s">
        <v>136</v>
      </c>
    </row>
    <row r="2653" spans="8:8" x14ac:dyDescent="0.25">
      <c r="H2653" t="s">
        <v>9502</v>
      </c>
    </row>
    <row r="2654" spans="8:8" x14ac:dyDescent="0.25">
      <c r="H2654" t="s">
        <v>30</v>
      </c>
    </row>
    <row r="2655" spans="8:8" x14ac:dyDescent="0.25">
      <c r="H2655" t="s">
        <v>137</v>
      </c>
    </row>
    <row r="2656" spans="8:8" x14ac:dyDescent="0.25">
      <c r="H2656" t="s">
        <v>9503</v>
      </c>
    </row>
    <row r="2657" spans="8:8" x14ac:dyDescent="0.25">
      <c r="H2657" t="s">
        <v>30</v>
      </c>
    </row>
    <row r="2658" spans="8:8" x14ac:dyDescent="0.25">
      <c r="H2658" t="s">
        <v>138</v>
      </c>
    </row>
    <row r="2659" spans="8:8" x14ac:dyDescent="0.25">
      <c r="H2659" t="s">
        <v>9504</v>
      </c>
    </row>
    <row r="2660" spans="8:8" x14ac:dyDescent="0.25">
      <c r="H2660" t="s">
        <v>30</v>
      </c>
    </row>
    <row r="2662" spans="8:8" x14ac:dyDescent="0.25">
      <c r="H2662" t="s">
        <v>9505</v>
      </c>
    </row>
    <row r="2663" spans="8:8" x14ac:dyDescent="0.25">
      <c r="H2663" t="s">
        <v>9506</v>
      </c>
    </row>
    <row r="2664" spans="8:8" x14ac:dyDescent="0.25">
      <c r="H2664" t="s">
        <v>135</v>
      </c>
    </row>
    <row r="2665" spans="8:8" x14ac:dyDescent="0.25">
      <c r="H2665" t="s">
        <v>9507</v>
      </c>
    </row>
    <row r="2666" spans="8:8" x14ac:dyDescent="0.25">
      <c r="H2666" t="s">
        <v>30</v>
      </c>
    </row>
    <row r="2667" spans="8:8" x14ac:dyDescent="0.25">
      <c r="H2667" t="s">
        <v>136</v>
      </c>
    </row>
    <row r="2668" spans="8:8" x14ac:dyDescent="0.25">
      <c r="H2668" t="s">
        <v>9508</v>
      </c>
    </row>
    <row r="2669" spans="8:8" x14ac:dyDescent="0.25">
      <c r="H2669" t="s">
        <v>30</v>
      </c>
    </row>
    <row r="2670" spans="8:8" x14ac:dyDescent="0.25">
      <c r="H2670" t="s">
        <v>137</v>
      </c>
    </row>
    <row r="2671" spans="8:8" x14ac:dyDescent="0.25">
      <c r="H2671" t="s">
        <v>9509</v>
      </c>
    </row>
    <row r="2672" spans="8:8" x14ac:dyDescent="0.25">
      <c r="H2672" t="s">
        <v>30</v>
      </c>
    </row>
    <row r="2673" spans="8:8" x14ac:dyDescent="0.25">
      <c r="H2673" t="s">
        <v>138</v>
      </c>
    </row>
    <row r="2674" spans="8:8" x14ac:dyDescent="0.25">
      <c r="H2674" t="s">
        <v>9510</v>
      </c>
    </row>
    <row r="2675" spans="8:8" x14ac:dyDescent="0.25">
      <c r="H2675" t="s">
        <v>30</v>
      </c>
    </row>
    <row r="2677" spans="8:8" x14ac:dyDescent="0.25">
      <c r="H2677" t="s">
        <v>9511</v>
      </c>
    </row>
    <row r="2678" spans="8:8" x14ac:dyDescent="0.25">
      <c r="H2678" t="s">
        <v>9512</v>
      </c>
    </row>
    <row r="2679" spans="8:8" x14ac:dyDescent="0.25">
      <c r="H2679" t="s">
        <v>135</v>
      </c>
    </row>
    <row r="2680" spans="8:8" x14ac:dyDescent="0.25">
      <c r="H2680" t="s">
        <v>9513</v>
      </c>
    </row>
    <row r="2681" spans="8:8" x14ac:dyDescent="0.25">
      <c r="H2681" t="s">
        <v>30</v>
      </c>
    </row>
    <row r="2682" spans="8:8" x14ac:dyDescent="0.25">
      <c r="H2682" t="s">
        <v>136</v>
      </c>
    </row>
    <row r="2683" spans="8:8" x14ac:dyDescent="0.25">
      <c r="H2683" t="s">
        <v>9514</v>
      </c>
    </row>
    <row r="2684" spans="8:8" x14ac:dyDescent="0.25">
      <c r="H2684" t="s">
        <v>30</v>
      </c>
    </row>
    <row r="2685" spans="8:8" x14ac:dyDescent="0.25">
      <c r="H2685" t="s">
        <v>137</v>
      </c>
    </row>
    <row r="2686" spans="8:8" x14ac:dyDescent="0.25">
      <c r="H2686" t="s">
        <v>9515</v>
      </c>
    </row>
    <row r="2687" spans="8:8" x14ac:dyDescent="0.25">
      <c r="H2687" t="s">
        <v>30</v>
      </c>
    </row>
    <row r="2688" spans="8:8" x14ac:dyDescent="0.25">
      <c r="H2688" t="s">
        <v>138</v>
      </c>
    </row>
    <row r="2689" spans="8:8" x14ac:dyDescent="0.25">
      <c r="H2689" t="s">
        <v>9516</v>
      </c>
    </row>
    <row r="2690" spans="8:8" x14ac:dyDescent="0.25">
      <c r="H2690" t="s">
        <v>30</v>
      </c>
    </row>
    <row r="2692" spans="8:8" x14ac:dyDescent="0.25">
      <c r="H2692" t="s">
        <v>9517</v>
      </c>
    </row>
    <row r="2693" spans="8:8" x14ac:dyDescent="0.25">
      <c r="H2693" t="s">
        <v>9518</v>
      </c>
    </row>
    <row r="2694" spans="8:8" x14ac:dyDescent="0.25">
      <c r="H2694" t="s">
        <v>135</v>
      </c>
    </row>
    <row r="2695" spans="8:8" x14ac:dyDescent="0.25">
      <c r="H2695" t="s">
        <v>9519</v>
      </c>
    </row>
    <row r="2696" spans="8:8" x14ac:dyDescent="0.25">
      <c r="H2696" t="s">
        <v>30</v>
      </c>
    </row>
    <row r="2697" spans="8:8" x14ac:dyDescent="0.25">
      <c r="H2697" t="s">
        <v>136</v>
      </c>
    </row>
    <row r="2698" spans="8:8" x14ac:dyDescent="0.25">
      <c r="H2698" t="s">
        <v>9520</v>
      </c>
    </row>
    <row r="2699" spans="8:8" x14ac:dyDescent="0.25">
      <c r="H2699" t="s">
        <v>30</v>
      </c>
    </row>
    <row r="2700" spans="8:8" x14ac:dyDescent="0.25">
      <c r="H2700" t="s">
        <v>137</v>
      </c>
    </row>
    <row r="2701" spans="8:8" x14ac:dyDescent="0.25">
      <c r="H2701" t="s">
        <v>9521</v>
      </c>
    </row>
    <row r="2702" spans="8:8" x14ac:dyDescent="0.25">
      <c r="H2702" t="s">
        <v>30</v>
      </c>
    </row>
    <row r="2703" spans="8:8" x14ac:dyDescent="0.25">
      <c r="H2703" t="s">
        <v>138</v>
      </c>
    </row>
    <row r="2704" spans="8:8" x14ac:dyDescent="0.25">
      <c r="H2704" t="s">
        <v>9522</v>
      </c>
    </row>
    <row r="2705" spans="8:8" x14ac:dyDescent="0.25">
      <c r="H2705" t="s">
        <v>30</v>
      </c>
    </row>
    <row r="2707" spans="8:8" x14ac:dyDescent="0.25">
      <c r="H2707" t="s">
        <v>9523</v>
      </c>
    </row>
    <row r="2708" spans="8:8" x14ac:dyDescent="0.25">
      <c r="H2708" t="s">
        <v>9524</v>
      </c>
    </row>
    <row r="2709" spans="8:8" x14ac:dyDescent="0.25">
      <c r="H2709" t="s">
        <v>135</v>
      </c>
    </row>
    <row r="2710" spans="8:8" x14ac:dyDescent="0.25">
      <c r="H2710" t="s">
        <v>9525</v>
      </c>
    </row>
    <row r="2711" spans="8:8" x14ac:dyDescent="0.25">
      <c r="H2711" t="s">
        <v>30</v>
      </c>
    </row>
    <row r="2712" spans="8:8" x14ac:dyDescent="0.25">
      <c r="H2712" t="s">
        <v>136</v>
      </c>
    </row>
    <row r="2713" spans="8:8" x14ac:dyDescent="0.25">
      <c r="H2713" t="s">
        <v>9526</v>
      </c>
    </row>
    <row r="2714" spans="8:8" x14ac:dyDescent="0.25">
      <c r="H2714" t="s">
        <v>30</v>
      </c>
    </row>
    <row r="2715" spans="8:8" x14ac:dyDescent="0.25">
      <c r="H2715" t="s">
        <v>137</v>
      </c>
    </row>
    <row r="2716" spans="8:8" x14ac:dyDescent="0.25">
      <c r="H2716" t="s">
        <v>9527</v>
      </c>
    </row>
    <row r="2717" spans="8:8" x14ac:dyDescent="0.25">
      <c r="H2717" t="s">
        <v>30</v>
      </c>
    </row>
    <row r="2718" spans="8:8" x14ac:dyDescent="0.25">
      <c r="H2718" t="s">
        <v>138</v>
      </c>
    </row>
    <row r="2719" spans="8:8" x14ac:dyDescent="0.25">
      <c r="H2719" t="s">
        <v>9528</v>
      </c>
    </row>
    <row r="2720" spans="8:8" x14ac:dyDescent="0.25">
      <c r="H2720" t="s">
        <v>30</v>
      </c>
    </row>
    <row r="2722" spans="8:8" x14ac:dyDescent="0.25">
      <c r="H2722" t="s">
        <v>9529</v>
      </c>
    </row>
    <row r="2723" spans="8:8" x14ac:dyDescent="0.25">
      <c r="H2723" t="s">
        <v>9530</v>
      </c>
    </row>
    <row r="2724" spans="8:8" x14ac:dyDescent="0.25">
      <c r="H2724" t="s">
        <v>135</v>
      </c>
    </row>
    <row r="2725" spans="8:8" x14ac:dyDescent="0.25">
      <c r="H2725" t="s">
        <v>9531</v>
      </c>
    </row>
    <row r="2726" spans="8:8" x14ac:dyDescent="0.25">
      <c r="H2726" t="s">
        <v>30</v>
      </c>
    </row>
    <row r="2727" spans="8:8" x14ac:dyDescent="0.25">
      <c r="H2727" t="s">
        <v>136</v>
      </c>
    </row>
    <row r="2728" spans="8:8" x14ac:dyDescent="0.25">
      <c r="H2728" t="s">
        <v>9532</v>
      </c>
    </row>
    <row r="2729" spans="8:8" x14ac:dyDescent="0.25">
      <c r="H2729" t="s">
        <v>30</v>
      </c>
    </row>
    <row r="2730" spans="8:8" x14ac:dyDescent="0.25">
      <c r="H2730" t="s">
        <v>137</v>
      </c>
    </row>
    <row r="2731" spans="8:8" x14ac:dyDescent="0.25">
      <c r="H2731" t="s">
        <v>9533</v>
      </c>
    </row>
    <row r="2732" spans="8:8" x14ac:dyDescent="0.25">
      <c r="H2732" t="s">
        <v>30</v>
      </c>
    </row>
    <row r="2733" spans="8:8" x14ac:dyDescent="0.25">
      <c r="H2733" t="s">
        <v>138</v>
      </c>
    </row>
    <row r="2734" spans="8:8" x14ac:dyDescent="0.25">
      <c r="H2734" t="s">
        <v>9534</v>
      </c>
    </row>
    <row r="2735" spans="8:8" x14ac:dyDescent="0.25">
      <c r="H2735" t="s">
        <v>30</v>
      </c>
    </row>
    <row r="2737" spans="8:8" x14ac:dyDescent="0.25">
      <c r="H2737" t="s">
        <v>9535</v>
      </c>
    </row>
    <row r="2738" spans="8:8" x14ac:dyDescent="0.25">
      <c r="H2738" t="s">
        <v>9536</v>
      </c>
    </row>
    <row r="2739" spans="8:8" x14ac:dyDescent="0.25">
      <c r="H2739" t="s">
        <v>135</v>
      </c>
    </row>
    <row r="2740" spans="8:8" x14ac:dyDescent="0.25">
      <c r="H2740" t="s">
        <v>9537</v>
      </c>
    </row>
    <row r="2741" spans="8:8" x14ac:dyDescent="0.25">
      <c r="H2741" t="s">
        <v>30</v>
      </c>
    </row>
    <row r="2742" spans="8:8" x14ac:dyDescent="0.25">
      <c r="H2742" t="s">
        <v>136</v>
      </c>
    </row>
    <row r="2743" spans="8:8" x14ac:dyDescent="0.25">
      <c r="H2743" t="s">
        <v>9538</v>
      </c>
    </row>
    <row r="2744" spans="8:8" x14ac:dyDescent="0.25">
      <c r="H2744" t="s">
        <v>30</v>
      </c>
    </row>
    <row r="2745" spans="8:8" x14ac:dyDescent="0.25">
      <c r="H2745" t="s">
        <v>137</v>
      </c>
    </row>
    <row r="2746" spans="8:8" x14ac:dyDescent="0.25">
      <c r="H2746" t="s">
        <v>9539</v>
      </c>
    </row>
    <row r="2747" spans="8:8" x14ac:dyDescent="0.25">
      <c r="H2747" t="s">
        <v>30</v>
      </c>
    </row>
    <row r="2748" spans="8:8" x14ac:dyDescent="0.25">
      <c r="H2748" t="s">
        <v>138</v>
      </c>
    </row>
    <row r="2749" spans="8:8" x14ac:dyDescent="0.25">
      <c r="H2749" t="s">
        <v>9540</v>
      </c>
    </row>
    <row r="2750" spans="8:8" x14ac:dyDescent="0.25">
      <c r="H2750" t="s">
        <v>30</v>
      </c>
    </row>
    <row r="2752" spans="8:8" x14ac:dyDescent="0.25">
      <c r="H2752" t="s">
        <v>9541</v>
      </c>
    </row>
    <row r="2753" spans="8:8" x14ac:dyDescent="0.25">
      <c r="H2753" t="s">
        <v>9542</v>
      </c>
    </row>
    <row r="2754" spans="8:8" x14ac:dyDescent="0.25">
      <c r="H2754" t="s">
        <v>135</v>
      </c>
    </row>
    <row r="2755" spans="8:8" x14ac:dyDescent="0.25">
      <c r="H2755" t="s">
        <v>9543</v>
      </c>
    </row>
    <row r="2756" spans="8:8" x14ac:dyDescent="0.25">
      <c r="H2756" t="s">
        <v>30</v>
      </c>
    </row>
    <row r="2757" spans="8:8" x14ac:dyDescent="0.25">
      <c r="H2757" t="s">
        <v>136</v>
      </c>
    </row>
    <row r="2758" spans="8:8" x14ac:dyDescent="0.25">
      <c r="H2758" t="s">
        <v>9544</v>
      </c>
    </row>
    <row r="2759" spans="8:8" x14ac:dyDescent="0.25">
      <c r="H2759" t="s">
        <v>30</v>
      </c>
    </row>
    <row r="2760" spans="8:8" x14ac:dyDescent="0.25">
      <c r="H2760" t="s">
        <v>137</v>
      </c>
    </row>
    <row r="2761" spans="8:8" x14ac:dyDescent="0.25">
      <c r="H2761" t="s">
        <v>9545</v>
      </c>
    </row>
    <row r="2762" spans="8:8" x14ac:dyDescent="0.25">
      <c r="H2762" t="s">
        <v>30</v>
      </c>
    </row>
    <row r="2763" spans="8:8" x14ac:dyDescent="0.25">
      <c r="H2763" t="s">
        <v>138</v>
      </c>
    </row>
    <row r="2764" spans="8:8" x14ac:dyDescent="0.25">
      <c r="H2764" t="s">
        <v>9546</v>
      </c>
    </row>
    <row r="2765" spans="8:8" x14ac:dyDescent="0.25">
      <c r="H2765" t="s">
        <v>30</v>
      </c>
    </row>
    <row r="2767" spans="8:8" x14ac:dyDescent="0.25">
      <c r="H2767" t="s">
        <v>9547</v>
      </c>
    </row>
    <row r="2768" spans="8:8" x14ac:dyDescent="0.25">
      <c r="H2768" t="s">
        <v>9548</v>
      </c>
    </row>
    <row r="2769" spans="8:8" x14ac:dyDescent="0.25">
      <c r="H2769" t="s">
        <v>135</v>
      </c>
    </row>
    <row r="2770" spans="8:8" x14ac:dyDescent="0.25">
      <c r="H2770" t="s">
        <v>9549</v>
      </c>
    </row>
    <row r="2771" spans="8:8" x14ac:dyDescent="0.25">
      <c r="H2771" t="s">
        <v>30</v>
      </c>
    </row>
    <row r="2772" spans="8:8" x14ac:dyDescent="0.25">
      <c r="H2772" t="s">
        <v>136</v>
      </c>
    </row>
    <row r="2773" spans="8:8" x14ac:dyDescent="0.25">
      <c r="H2773" t="s">
        <v>9550</v>
      </c>
    </row>
    <row r="2774" spans="8:8" x14ac:dyDescent="0.25">
      <c r="H2774" t="s">
        <v>30</v>
      </c>
    </row>
    <row r="2775" spans="8:8" x14ac:dyDescent="0.25">
      <c r="H2775" t="s">
        <v>137</v>
      </c>
    </row>
    <row r="2776" spans="8:8" x14ac:dyDescent="0.25">
      <c r="H2776" t="s">
        <v>9551</v>
      </c>
    </row>
    <row r="2777" spans="8:8" x14ac:dyDescent="0.25">
      <c r="H2777" t="s">
        <v>30</v>
      </c>
    </row>
    <row r="2778" spans="8:8" x14ac:dyDescent="0.25">
      <c r="H2778" t="s">
        <v>138</v>
      </c>
    </row>
    <row r="2779" spans="8:8" x14ac:dyDescent="0.25">
      <c r="H2779" t="s">
        <v>9552</v>
      </c>
    </row>
    <row r="2780" spans="8:8" x14ac:dyDescent="0.25">
      <c r="H2780" t="s">
        <v>30</v>
      </c>
    </row>
    <row r="2782" spans="8:8" x14ac:dyDescent="0.25">
      <c r="H2782" t="s">
        <v>9553</v>
      </c>
    </row>
    <row r="2783" spans="8:8" x14ac:dyDescent="0.25">
      <c r="H2783" t="s">
        <v>9554</v>
      </c>
    </row>
    <row r="2784" spans="8:8" x14ac:dyDescent="0.25">
      <c r="H2784" t="s">
        <v>135</v>
      </c>
    </row>
    <row r="2785" spans="8:8" x14ac:dyDescent="0.25">
      <c r="H2785" t="s">
        <v>9555</v>
      </c>
    </row>
    <row r="2786" spans="8:8" x14ac:dyDescent="0.25">
      <c r="H2786" t="s">
        <v>30</v>
      </c>
    </row>
    <row r="2787" spans="8:8" x14ac:dyDescent="0.25">
      <c r="H2787" t="s">
        <v>136</v>
      </c>
    </row>
    <row r="2788" spans="8:8" x14ac:dyDescent="0.25">
      <c r="H2788" t="s">
        <v>9556</v>
      </c>
    </row>
    <row r="2789" spans="8:8" x14ac:dyDescent="0.25">
      <c r="H2789" t="s">
        <v>30</v>
      </c>
    </row>
    <row r="2790" spans="8:8" x14ac:dyDescent="0.25">
      <c r="H2790" t="s">
        <v>137</v>
      </c>
    </row>
    <row r="2791" spans="8:8" x14ac:dyDescent="0.25">
      <c r="H2791" t="s">
        <v>9557</v>
      </c>
    </row>
    <row r="2792" spans="8:8" x14ac:dyDescent="0.25">
      <c r="H2792" t="s">
        <v>30</v>
      </c>
    </row>
    <row r="2793" spans="8:8" x14ac:dyDescent="0.25">
      <c r="H2793" t="s">
        <v>138</v>
      </c>
    </row>
    <row r="2794" spans="8:8" x14ac:dyDescent="0.25">
      <c r="H2794" t="s">
        <v>9558</v>
      </c>
    </row>
    <row r="2795" spans="8:8" x14ac:dyDescent="0.25">
      <c r="H2795" t="s">
        <v>30</v>
      </c>
    </row>
    <row r="2797" spans="8:8" x14ac:dyDescent="0.25">
      <c r="H2797" t="s">
        <v>9559</v>
      </c>
    </row>
    <row r="2798" spans="8:8" x14ac:dyDescent="0.25">
      <c r="H2798" t="s">
        <v>9560</v>
      </c>
    </row>
    <row r="2799" spans="8:8" x14ac:dyDescent="0.25">
      <c r="H2799" t="s">
        <v>135</v>
      </c>
    </row>
    <row r="2800" spans="8:8" x14ac:dyDescent="0.25">
      <c r="H2800" t="s">
        <v>9561</v>
      </c>
    </row>
    <row r="2801" spans="8:8" x14ac:dyDescent="0.25">
      <c r="H2801" t="s">
        <v>30</v>
      </c>
    </row>
    <row r="2802" spans="8:8" x14ac:dyDescent="0.25">
      <c r="H2802" t="s">
        <v>136</v>
      </c>
    </row>
    <row r="2803" spans="8:8" x14ac:dyDescent="0.25">
      <c r="H2803" t="s">
        <v>9562</v>
      </c>
    </row>
    <row r="2804" spans="8:8" x14ac:dyDescent="0.25">
      <c r="H2804" t="s">
        <v>30</v>
      </c>
    </row>
    <row r="2805" spans="8:8" x14ac:dyDescent="0.25">
      <c r="H2805" t="s">
        <v>137</v>
      </c>
    </row>
    <row r="2806" spans="8:8" x14ac:dyDescent="0.25">
      <c r="H2806" t="s">
        <v>9563</v>
      </c>
    </row>
    <row r="2807" spans="8:8" x14ac:dyDescent="0.25">
      <c r="H2807" t="s">
        <v>30</v>
      </c>
    </row>
    <row r="2808" spans="8:8" x14ac:dyDescent="0.25">
      <c r="H2808" t="s">
        <v>138</v>
      </c>
    </row>
    <row r="2809" spans="8:8" x14ac:dyDescent="0.25">
      <c r="H2809" t="s">
        <v>9564</v>
      </c>
    </row>
    <row r="2810" spans="8:8" x14ac:dyDescent="0.25">
      <c r="H2810" t="s">
        <v>30</v>
      </c>
    </row>
    <row r="2812" spans="8:8" x14ac:dyDescent="0.25">
      <c r="H2812" t="s">
        <v>9565</v>
      </c>
    </row>
    <row r="2813" spans="8:8" x14ac:dyDescent="0.25">
      <c r="H2813" t="s">
        <v>9566</v>
      </c>
    </row>
    <row r="2814" spans="8:8" x14ac:dyDescent="0.25">
      <c r="H2814" t="s">
        <v>135</v>
      </c>
    </row>
    <row r="2815" spans="8:8" x14ac:dyDescent="0.25">
      <c r="H2815" t="s">
        <v>9567</v>
      </c>
    </row>
    <row r="2816" spans="8:8" x14ac:dyDescent="0.25">
      <c r="H2816" t="s">
        <v>30</v>
      </c>
    </row>
    <row r="2817" spans="8:8" x14ac:dyDescent="0.25">
      <c r="H2817" t="s">
        <v>136</v>
      </c>
    </row>
    <row r="2818" spans="8:8" x14ac:dyDescent="0.25">
      <c r="H2818" t="s">
        <v>9568</v>
      </c>
    </row>
    <row r="2819" spans="8:8" x14ac:dyDescent="0.25">
      <c r="H2819" t="s">
        <v>30</v>
      </c>
    </row>
    <row r="2820" spans="8:8" x14ac:dyDescent="0.25">
      <c r="H2820" t="s">
        <v>137</v>
      </c>
    </row>
    <row r="2821" spans="8:8" x14ac:dyDescent="0.25">
      <c r="H2821" t="s">
        <v>9569</v>
      </c>
    </row>
    <row r="2822" spans="8:8" x14ac:dyDescent="0.25">
      <c r="H2822" t="s">
        <v>30</v>
      </c>
    </row>
    <row r="2823" spans="8:8" x14ac:dyDescent="0.25">
      <c r="H2823" t="s">
        <v>138</v>
      </c>
    </row>
    <row r="2824" spans="8:8" x14ac:dyDescent="0.25">
      <c r="H2824" t="s">
        <v>9570</v>
      </c>
    </row>
    <row r="2825" spans="8:8" x14ac:dyDescent="0.25">
      <c r="H2825" t="s">
        <v>30</v>
      </c>
    </row>
    <row r="2827" spans="8:8" x14ac:dyDescent="0.25">
      <c r="H2827" t="s">
        <v>9571</v>
      </c>
    </row>
    <row r="2828" spans="8:8" x14ac:dyDescent="0.25">
      <c r="H2828" t="s">
        <v>9572</v>
      </c>
    </row>
    <row r="2829" spans="8:8" x14ac:dyDescent="0.25">
      <c r="H2829" t="s">
        <v>135</v>
      </c>
    </row>
    <row r="2830" spans="8:8" x14ac:dyDescent="0.25">
      <c r="H2830" t="s">
        <v>9573</v>
      </c>
    </row>
    <row r="2831" spans="8:8" x14ac:dyDescent="0.25">
      <c r="H2831" t="s">
        <v>30</v>
      </c>
    </row>
    <row r="2832" spans="8:8" x14ac:dyDescent="0.25">
      <c r="H2832" t="s">
        <v>136</v>
      </c>
    </row>
    <row r="2833" spans="8:8" x14ac:dyDescent="0.25">
      <c r="H2833" t="s">
        <v>9574</v>
      </c>
    </row>
    <row r="2834" spans="8:8" x14ac:dyDescent="0.25">
      <c r="H2834" t="s">
        <v>30</v>
      </c>
    </row>
    <row r="2835" spans="8:8" x14ac:dyDescent="0.25">
      <c r="H2835" t="s">
        <v>137</v>
      </c>
    </row>
    <row r="2836" spans="8:8" x14ac:dyDescent="0.25">
      <c r="H2836" t="s">
        <v>9575</v>
      </c>
    </row>
    <row r="2837" spans="8:8" x14ac:dyDescent="0.25">
      <c r="H2837" t="s">
        <v>30</v>
      </c>
    </row>
    <row r="2838" spans="8:8" x14ac:dyDescent="0.25">
      <c r="H2838" t="s">
        <v>138</v>
      </c>
    </row>
    <row r="2839" spans="8:8" x14ac:dyDescent="0.25">
      <c r="H2839" t="s">
        <v>9576</v>
      </c>
    </row>
    <row r="2840" spans="8:8" x14ac:dyDescent="0.25">
      <c r="H2840" t="s">
        <v>30</v>
      </c>
    </row>
    <row r="2842" spans="8:8" x14ac:dyDescent="0.25">
      <c r="H2842" t="s">
        <v>9577</v>
      </c>
    </row>
    <row r="2843" spans="8:8" x14ac:dyDescent="0.25">
      <c r="H2843" t="s">
        <v>9578</v>
      </c>
    </row>
    <row r="2844" spans="8:8" x14ac:dyDescent="0.25">
      <c r="H2844" t="s">
        <v>135</v>
      </c>
    </row>
    <row r="2845" spans="8:8" x14ac:dyDescent="0.25">
      <c r="H2845" t="s">
        <v>9579</v>
      </c>
    </row>
    <row r="2846" spans="8:8" x14ac:dyDescent="0.25">
      <c r="H2846" t="s">
        <v>30</v>
      </c>
    </row>
    <row r="2847" spans="8:8" x14ac:dyDescent="0.25">
      <c r="H2847" t="s">
        <v>136</v>
      </c>
    </row>
    <row r="2848" spans="8:8" x14ac:dyDescent="0.25">
      <c r="H2848" t="s">
        <v>9580</v>
      </c>
    </row>
    <row r="2849" spans="8:8" x14ac:dyDescent="0.25">
      <c r="H2849" t="s">
        <v>30</v>
      </c>
    </row>
    <row r="2850" spans="8:8" x14ac:dyDescent="0.25">
      <c r="H2850" t="s">
        <v>137</v>
      </c>
    </row>
    <row r="2851" spans="8:8" x14ac:dyDescent="0.25">
      <c r="H2851" t="s">
        <v>9581</v>
      </c>
    </row>
    <row r="2852" spans="8:8" x14ac:dyDescent="0.25">
      <c r="H2852" t="s">
        <v>30</v>
      </c>
    </row>
    <row r="2853" spans="8:8" x14ac:dyDescent="0.25">
      <c r="H2853" t="s">
        <v>138</v>
      </c>
    </row>
    <row r="2854" spans="8:8" x14ac:dyDescent="0.25">
      <c r="H2854" t="s">
        <v>9582</v>
      </c>
    </row>
    <row r="2855" spans="8:8" x14ac:dyDescent="0.25">
      <c r="H2855" t="s">
        <v>30</v>
      </c>
    </row>
    <row r="2857" spans="8:8" x14ac:dyDescent="0.25">
      <c r="H2857" t="s">
        <v>9583</v>
      </c>
    </row>
    <row r="2858" spans="8:8" x14ac:dyDescent="0.25">
      <c r="H2858" t="s">
        <v>9584</v>
      </c>
    </row>
    <row r="2859" spans="8:8" x14ac:dyDescent="0.25">
      <c r="H2859" t="s">
        <v>135</v>
      </c>
    </row>
    <row r="2860" spans="8:8" x14ac:dyDescent="0.25">
      <c r="H2860" t="s">
        <v>9585</v>
      </c>
    </row>
    <row r="2861" spans="8:8" x14ac:dyDescent="0.25">
      <c r="H2861" t="s">
        <v>30</v>
      </c>
    </row>
    <row r="2862" spans="8:8" x14ac:dyDescent="0.25">
      <c r="H2862" t="s">
        <v>136</v>
      </c>
    </row>
    <row r="2863" spans="8:8" x14ac:dyDescent="0.25">
      <c r="H2863" t="s">
        <v>9586</v>
      </c>
    </row>
    <row r="2864" spans="8:8" x14ac:dyDescent="0.25">
      <c r="H2864" t="s">
        <v>30</v>
      </c>
    </row>
    <row r="2865" spans="8:8" x14ac:dyDescent="0.25">
      <c r="H2865" t="s">
        <v>137</v>
      </c>
    </row>
    <row r="2866" spans="8:8" x14ac:dyDescent="0.25">
      <c r="H2866" t="s">
        <v>9587</v>
      </c>
    </row>
    <row r="2867" spans="8:8" x14ac:dyDescent="0.25">
      <c r="H2867" t="s">
        <v>30</v>
      </c>
    </row>
    <row r="2868" spans="8:8" x14ac:dyDescent="0.25">
      <c r="H2868" t="s">
        <v>138</v>
      </c>
    </row>
    <row r="2869" spans="8:8" x14ac:dyDescent="0.25">
      <c r="H2869" t="s">
        <v>9588</v>
      </c>
    </row>
    <row r="2870" spans="8:8" x14ac:dyDescent="0.25">
      <c r="H2870" t="s">
        <v>30</v>
      </c>
    </row>
    <row r="2872" spans="8:8" x14ac:dyDescent="0.25">
      <c r="H2872" t="s">
        <v>9589</v>
      </c>
    </row>
    <row r="2873" spans="8:8" x14ac:dyDescent="0.25">
      <c r="H2873" t="s">
        <v>9590</v>
      </c>
    </row>
    <row r="2874" spans="8:8" x14ac:dyDescent="0.25">
      <c r="H2874" t="s">
        <v>135</v>
      </c>
    </row>
    <row r="2875" spans="8:8" x14ac:dyDescent="0.25">
      <c r="H2875" t="s">
        <v>9591</v>
      </c>
    </row>
    <row r="2876" spans="8:8" x14ac:dyDescent="0.25">
      <c r="H2876" t="s">
        <v>30</v>
      </c>
    </row>
    <row r="2877" spans="8:8" x14ac:dyDescent="0.25">
      <c r="H2877" t="s">
        <v>136</v>
      </c>
    </row>
    <row r="2878" spans="8:8" x14ac:dyDescent="0.25">
      <c r="H2878" t="s">
        <v>9592</v>
      </c>
    </row>
    <row r="2879" spans="8:8" x14ac:dyDescent="0.25">
      <c r="H2879" t="s">
        <v>30</v>
      </c>
    </row>
    <row r="2880" spans="8:8" x14ac:dyDescent="0.25">
      <c r="H2880" t="s">
        <v>137</v>
      </c>
    </row>
    <row r="2881" spans="8:8" x14ac:dyDescent="0.25">
      <c r="H2881" t="s">
        <v>9593</v>
      </c>
    </row>
    <row r="2882" spans="8:8" x14ac:dyDescent="0.25">
      <c r="H2882" t="s">
        <v>30</v>
      </c>
    </row>
    <row r="2883" spans="8:8" x14ac:dyDescent="0.25">
      <c r="H2883" t="s">
        <v>138</v>
      </c>
    </row>
    <row r="2884" spans="8:8" x14ac:dyDescent="0.25">
      <c r="H2884" t="s">
        <v>9594</v>
      </c>
    </row>
    <row r="2885" spans="8:8" x14ac:dyDescent="0.25">
      <c r="H2885" t="s">
        <v>30</v>
      </c>
    </row>
    <row r="2887" spans="8:8" x14ac:dyDescent="0.25">
      <c r="H2887" t="s">
        <v>9595</v>
      </c>
    </row>
    <row r="2888" spans="8:8" x14ac:dyDescent="0.25">
      <c r="H2888" t="s">
        <v>9596</v>
      </c>
    </row>
    <row r="2889" spans="8:8" x14ac:dyDescent="0.25">
      <c r="H2889" t="s">
        <v>135</v>
      </c>
    </row>
    <row r="2890" spans="8:8" x14ac:dyDescent="0.25">
      <c r="H2890" t="s">
        <v>9597</v>
      </c>
    </row>
    <row r="2891" spans="8:8" x14ac:dyDescent="0.25">
      <c r="H2891" t="s">
        <v>30</v>
      </c>
    </row>
    <row r="2892" spans="8:8" x14ac:dyDescent="0.25">
      <c r="H2892" t="s">
        <v>136</v>
      </c>
    </row>
    <row r="2893" spans="8:8" x14ac:dyDescent="0.25">
      <c r="H2893" t="s">
        <v>9598</v>
      </c>
    </row>
    <row r="2894" spans="8:8" x14ac:dyDescent="0.25">
      <c r="H2894" t="s">
        <v>30</v>
      </c>
    </row>
    <row r="2895" spans="8:8" x14ac:dyDescent="0.25">
      <c r="H2895" t="s">
        <v>137</v>
      </c>
    </row>
    <row r="2896" spans="8:8" x14ac:dyDescent="0.25">
      <c r="H2896" t="s">
        <v>9599</v>
      </c>
    </row>
    <row r="2897" spans="8:8" x14ac:dyDescent="0.25">
      <c r="H2897" t="s">
        <v>30</v>
      </c>
    </row>
    <row r="2898" spans="8:8" x14ac:dyDescent="0.25">
      <c r="H2898" t="s">
        <v>138</v>
      </c>
    </row>
    <row r="2899" spans="8:8" x14ac:dyDescent="0.25">
      <c r="H2899" t="s">
        <v>9600</v>
      </c>
    </row>
    <row r="2900" spans="8:8" x14ac:dyDescent="0.25">
      <c r="H2900" t="s">
        <v>30</v>
      </c>
    </row>
    <row r="2902" spans="8:8" x14ac:dyDescent="0.25">
      <c r="H2902" t="s">
        <v>9601</v>
      </c>
    </row>
    <row r="2903" spans="8:8" x14ac:dyDescent="0.25">
      <c r="H2903" t="s">
        <v>9602</v>
      </c>
    </row>
    <row r="2904" spans="8:8" x14ac:dyDescent="0.25">
      <c r="H2904" t="s">
        <v>135</v>
      </c>
    </row>
    <row r="2905" spans="8:8" x14ac:dyDescent="0.25">
      <c r="H2905" t="s">
        <v>9603</v>
      </c>
    </row>
    <row r="2906" spans="8:8" x14ac:dyDescent="0.25">
      <c r="H2906" t="s">
        <v>30</v>
      </c>
    </row>
    <row r="2907" spans="8:8" x14ac:dyDescent="0.25">
      <c r="H2907" t="s">
        <v>136</v>
      </c>
    </row>
    <row r="2908" spans="8:8" x14ac:dyDescent="0.25">
      <c r="H2908" t="s">
        <v>9604</v>
      </c>
    </row>
    <row r="2909" spans="8:8" x14ac:dyDescent="0.25">
      <c r="H2909" t="s">
        <v>30</v>
      </c>
    </row>
    <row r="2910" spans="8:8" x14ac:dyDescent="0.25">
      <c r="H2910" t="s">
        <v>137</v>
      </c>
    </row>
    <row r="2911" spans="8:8" x14ac:dyDescent="0.25">
      <c r="H2911" t="s">
        <v>9605</v>
      </c>
    </row>
    <row r="2912" spans="8:8" x14ac:dyDescent="0.25">
      <c r="H2912" t="s">
        <v>30</v>
      </c>
    </row>
    <row r="2913" spans="8:8" x14ac:dyDescent="0.25">
      <c r="H2913" t="s">
        <v>138</v>
      </c>
    </row>
    <row r="2914" spans="8:8" x14ac:dyDescent="0.25">
      <c r="H2914" t="s">
        <v>9606</v>
      </c>
    </row>
    <row r="2915" spans="8:8" x14ac:dyDescent="0.25">
      <c r="H2915" t="s">
        <v>30</v>
      </c>
    </row>
    <row r="2917" spans="8:8" x14ac:dyDescent="0.25">
      <c r="H2917" t="s">
        <v>9607</v>
      </c>
    </row>
    <row r="2918" spans="8:8" x14ac:dyDescent="0.25">
      <c r="H2918" t="s">
        <v>9608</v>
      </c>
    </row>
    <row r="2919" spans="8:8" x14ac:dyDescent="0.25">
      <c r="H2919" t="s">
        <v>135</v>
      </c>
    </row>
    <row r="2920" spans="8:8" x14ac:dyDescent="0.25">
      <c r="H2920" t="s">
        <v>9609</v>
      </c>
    </row>
    <row r="2921" spans="8:8" x14ac:dyDescent="0.25">
      <c r="H2921" t="s">
        <v>30</v>
      </c>
    </row>
    <row r="2922" spans="8:8" x14ac:dyDescent="0.25">
      <c r="H2922" t="s">
        <v>136</v>
      </c>
    </row>
    <row r="2923" spans="8:8" x14ac:dyDescent="0.25">
      <c r="H2923" t="s">
        <v>9610</v>
      </c>
    </row>
    <row r="2924" spans="8:8" x14ac:dyDescent="0.25">
      <c r="H2924" t="s">
        <v>30</v>
      </c>
    </row>
    <row r="2925" spans="8:8" x14ac:dyDescent="0.25">
      <c r="H2925" t="s">
        <v>137</v>
      </c>
    </row>
    <row r="2926" spans="8:8" x14ac:dyDescent="0.25">
      <c r="H2926" t="s">
        <v>9611</v>
      </c>
    </row>
    <row r="2927" spans="8:8" x14ac:dyDescent="0.25">
      <c r="H2927" t="s">
        <v>30</v>
      </c>
    </row>
    <row r="2928" spans="8:8" x14ac:dyDescent="0.25">
      <c r="H2928" t="s">
        <v>138</v>
      </c>
    </row>
    <row r="2929" spans="8:8" x14ac:dyDescent="0.25">
      <c r="H2929" t="s">
        <v>9612</v>
      </c>
    </row>
    <row r="2930" spans="8:8" x14ac:dyDescent="0.25">
      <c r="H2930" t="s">
        <v>30</v>
      </c>
    </row>
    <row r="2932" spans="8:8" x14ac:dyDescent="0.25">
      <c r="H2932" t="s">
        <v>9613</v>
      </c>
    </row>
    <row r="2933" spans="8:8" x14ac:dyDescent="0.25">
      <c r="H2933" t="s">
        <v>9614</v>
      </c>
    </row>
    <row r="2934" spans="8:8" x14ac:dyDescent="0.25">
      <c r="H2934" t="s">
        <v>135</v>
      </c>
    </row>
    <row r="2935" spans="8:8" x14ac:dyDescent="0.25">
      <c r="H2935" t="s">
        <v>9615</v>
      </c>
    </row>
    <row r="2936" spans="8:8" x14ac:dyDescent="0.25">
      <c r="H2936" t="s">
        <v>30</v>
      </c>
    </row>
    <row r="2937" spans="8:8" x14ac:dyDescent="0.25">
      <c r="H2937" t="s">
        <v>136</v>
      </c>
    </row>
    <row r="2938" spans="8:8" x14ac:dyDescent="0.25">
      <c r="H2938" t="s">
        <v>9616</v>
      </c>
    </row>
    <row r="2939" spans="8:8" x14ac:dyDescent="0.25">
      <c r="H2939" t="s">
        <v>30</v>
      </c>
    </row>
    <row r="2940" spans="8:8" x14ac:dyDescent="0.25">
      <c r="H2940" t="s">
        <v>137</v>
      </c>
    </row>
    <row r="2941" spans="8:8" x14ac:dyDescent="0.25">
      <c r="H2941" t="s">
        <v>9617</v>
      </c>
    </row>
    <row r="2942" spans="8:8" x14ac:dyDescent="0.25">
      <c r="H2942" t="s">
        <v>30</v>
      </c>
    </row>
    <row r="2943" spans="8:8" x14ac:dyDescent="0.25">
      <c r="H2943" t="s">
        <v>138</v>
      </c>
    </row>
    <row r="2944" spans="8:8" x14ac:dyDescent="0.25">
      <c r="H2944" t="s">
        <v>9618</v>
      </c>
    </row>
    <row r="2945" spans="8:8" x14ac:dyDescent="0.25">
      <c r="H2945" t="s">
        <v>30</v>
      </c>
    </row>
    <row r="2947" spans="8:8" x14ac:dyDescent="0.25">
      <c r="H2947" t="s">
        <v>9619</v>
      </c>
    </row>
    <row r="2948" spans="8:8" x14ac:dyDescent="0.25">
      <c r="H2948" t="s">
        <v>9620</v>
      </c>
    </row>
    <row r="2949" spans="8:8" x14ac:dyDescent="0.25">
      <c r="H2949" t="s">
        <v>135</v>
      </c>
    </row>
    <row r="2950" spans="8:8" x14ac:dyDescent="0.25">
      <c r="H2950" t="s">
        <v>9621</v>
      </c>
    </row>
    <row r="2951" spans="8:8" x14ac:dyDescent="0.25">
      <c r="H2951" t="s">
        <v>30</v>
      </c>
    </row>
    <row r="2952" spans="8:8" x14ac:dyDescent="0.25">
      <c r="H2952" t="s">
        <v>136</v>
      </c>
    </row>
    <row r="2953" spans="8:8" x14ac:dyDescent="0.25">
      <c r="H2953" t="s">
        <v>9622</v>
      </c>
    </row>
    <row r="2954" spans="8:8" x14ac:dyDescent="0.25">
      <c r="H2954" t="s">
        <v>30</v>
      </c>
    </row>
    <row r="2955" spans="8:8" x14ac:dyDescent="0.25">
      <c r="H2955" t="s">
        <v>137</v>
      </c>
    </row>
    <row r="2956" spans="8:8" x14ac:dyDescent="0.25">
      <c r="H2956" t="s">
        <v>9623</v>
      </c>
    </row>
    <row r="2957" spans="8:8" x14ac:dyDescent="0.25">
      <c r="H2957" t="s">
        <v>30</v>
      </c>
    </row>
    <row r="2958" spans="8:8" x14ac:dyDescent="0.25">
      <c r="H2958" t="s">
        <v>138</v>
      </c>
    </row>
    <row r="2959" spans="8:8" x14ac:dyDescent="0.25">
      <c r="H2959" t="s">
        <v>9624</v>
      </c>
    </row>
    <row r="2960" spans="8:8" x14ac:dyDescent="0.25">
      <c r="H2960" t="s">
        <v>30</v>
      </c>
    </row>
    <row r="2962" spans="8:8" x14ac:dyDescent="0.25">
      <c r="H2962" t="s">
        <v>9625</v>
      </c>
    </row>
    <row r="2963" spans="8:8" x14ac:dyDescent="0.25">
      <c r="H2963" t="s">
        <v>9626</v>
      </c>
    </row>
    <row r="2964" spans="8:8" x14ac:dyDescent="0.25">
      <c r="H2964" t="s">
        <v>135</v>
      </c>
    </row>
    <row r="2965" spans="8:8" x14ac:dyDescent="0.25">
      <c r="H2965" t="s">
        <v>9627</v>
      </c>
    </row>
    <row r="2966" spans="8:8" x14ac:dyDescent="0.25">
      <c r="H2966" t="s">
        <v>30</v>
      </c>
    </row>
    <row r="2967" spans="8:8" x14ac:dyDescent="0.25">
      <c r="H2967" t="s">
        <v>136</v>
      </c>
    </row>
    <row r="2968" spans="8:8" x14ac:dyDescent="0.25">
      <c r="H2968" t="s">
        <v>9628</v>
      </c>
    </row>
    <row r="2969" spans="8:8" x14ac:dyDescent="0.25">
      <c r="H2969" t="s">
        <v>30</v>
      </c>
    </row>
    <row r="2970" spans="8:8" x14ac:dyDescent="0.25">
      <c r="H2970" t="s">
        <v>137</v>
      </c>
    </row>
    <row r="2971" spans="8:8" x14ac:dyDescent="0.25">
      <c r="H2971" t="s">
        <v>9629</v>
      </c>
    </row>
    <row r="2972" spans="8:8" x14ac:dyDescent="0.25">
      <c r="H2972" t="s">
        <v>30</v>
      </c>
    </row>
    <row r="2973" spans="8:8" x14ac:dyDescent="0.25">
      <c r="H2973" t="s">
        <v>138</v>
      </c>
    </row>
    <row r="2974" spans="8:8" x14ac:dyDescent="0.25">
      <c r="H2974" t="s">
        <v>9630</v>
      </c>
    </row>
    <row r="2975" spans="8:8" x14ac:dyDescent="0.25">
      <c r="H2975" t="s">
        <v>30</v>
      </c>
    </row>
    <row r="2977" spans="8:8" x14ac:dyDescent="0.25">
      <c r="H2977" t="s">
        <v>9631</v>
      </c>
    </row>
    <row r="2978" spans="8:8" x14ac:dyDescent="0.25">
      <c r="H2978" t="s">
        <v>9632</v>
      </c>
    </row>
    <row r="2979" spans="8:8" x14ac:dyDescent="0.25">
      <c r="H2979" t="s">
        <v>135</v>
      </c>
    </row>
    <row r="2980" spans="8:8" x14ac:dyDescent="0.25">
      <c r="H2980" t="s">
        <v>9633</v>
      </c>
    </row>
    <row r="2981" spans="8:8" x14ac:dyDescent="0.25">
      <c r="H2981" t="s">
        <v>30</v>
      </c>
    </row>
    <row r="2982" spans="8:8" x14ac:dyDescent="0.25">
      <c r="H2982" t="s">
        <v>136</v>
      </c>
    </row>
    <row r="2983" spans="8:8" x14ac:dyDescent="0.25">
      <c r="H2983" t="s">
        <v>9634</v>
      </c>
    </row>
    <row r="2984" spans="8:8" x14ac:dyDescent="0.25">
      <c r="H2984" t="s">
        <v>30</v>
      </c>
    </row>
    <row r="2985" spans="8:8" x14ac:dyDescent="0.25">
      <c r="H2985" t="s">
        <v>137</v>
      </c>
    </row>
    <row r="2986" spans="8:8" x14ac:dyDescent="0.25">
      <c r="H2986" t="s">
        <v>9635</v>
      </c>
    </row>
    <row r="2987" spans="8:8" x14ac:dyDescent="0.25">
      <c r="H2987" t="s">
        <v>30</v>
      </c>
    </row>
    <row r="2988" spans="8:8" x14ac:dyDescent="0.25">
      <c r="H2988" t="s">
        <v>138</v>
      </c>
    </row>
    <row r="2989" spans="8:8" x14ac:dyDescent="0.25">
      <c r="H2989" t="s">
        <v>9636</v>
      </c>
    </row>
    <row r="2990" spans="8:8" x14ac:dyDescent="0.25">
      <c r="H2990" t="s">
        <v>30</v>
      </c>
    </row>
    <row r="2992" spans="8:8" x14ac:dyDescent="0.25">
      <c r="H2992" t="s">
        <v>9637</v>
      </c>
    </row>
    <row r="2993" spans="8:8" x14ac:dyDescent="0.25">
      <c r="H2993" t="s">
        <v>9638</v>
      </c>
    </row>
    <row r="2994" spans="8:8" x14ac:dyDescent="0.25">
      <c r="H2994" t="s">
        <v>135</v>
      </c>
    </row>
    <row r="2995" spans="8:8" x14ac:dyDescent="0.25">
      <c r="H2995" t="s">
        <v>9639</v>
      </c>
    </row>
    <row r="2996" spans="8:8" x14ac:dyDescent="0.25">
      <c r="H2996" t="s">
        <v>30</v>
      </c>
    </row>
    <row r="2997" spans="8:8" x14ac:dyDescent="0.25">
      <c r="H2997" t="s">
        <v>136</v>
      </c>
    </row>
    <row r="2998" spans="8:8" x14ac:dyDescent="0.25">
      <c r="H2998" t="s">
        <v>9640</v>
      </c>
    </row>
    <row r="2999" spans="8:8" x14ac:dyDescent="0.25">
      <c r="H2999" t="s">
        <v>30</v>
      </c>
    </row>
    <row r="3000" spans="8:8" x14ac:dyDescent="0.25">
      <c r="H3000" t="s">
        <v>137</v>
      </c>
    </row>
    <row r="3001" spans="8:8" x14ac:dyDescent="0.25">
      <c r="H3001" t="s">
        <v>9641</v>
      </c>
    </row>
    <row r="3002" spans="8:8" x14ac:dyDescent="0.25">
      <c r="H3002" t="s">
        <v>30</v>
      </c>
    </row>
    <row r="3003" spans="8:8" x14ac:dyDescent="0.25">
      <c r="H3003" t="s">
        <v>138</v>
      </c>
    </row>
    <row r="3004" spans="8:8" x14ac:dyDescent="0.25">
      <c r="H3004" t="s">
        <v>9642</v>
      </c>
    </row>
    <row r="3005" spans="8:8" x14ac:dyDescent="0.25">
      <c r="H3005" t="s">
        <v>30</v>
      </c>
    </row>
    <row r="3007" spans="8:8" x14ac:dyDescent="0.25">
      <c r="H3007" t="s">
        <v>9643</v>
      </c>
    </row>
    <row r="3008" spans="8:8" x14ac:dyDescent="0.25">
      <c r="H3008" t="s">
        <v>9644</v>
      </c>
    </row>
    <row r="3009" spans="8:8" x14ac:dyDescent="0.25">
      <c r="H3009" t="s">
        <v>135</v>
      </c>
    </row>
    <row r="3010" spans="8:8" x14ac:dyDescent="0.25">
      <c r="H3010" t="s">
        <v>9645</v>
      </c>
    </row>
    <row r="3011" spans="8:8" x14ac:dyDescent="0.25">
      <c r="H3011" t="s">
        <v>30</v>
      </c>
    </row>
    <row r="3012" spans="8:8" x14ac:dyDescent="0.25">
      <c r="H3012" t="s">
        <v>136</v>
      </c>
    </row>
    <row r="3013" spans="8:8" x14ac:dyDescent="0.25">
      <c r="H3013" t="s">
        <v>9646</v>
      </c>
    </row>
    <row r="3014" spans="8:8" x14ac:dyDescent="0.25">
      <c r="H3014" t="s">
        <v>30</v>
      </c>
    </row>
    <row r="3015" spans="8:8" x14ac:dyDescent="0.25">
      <c r="H3015" t="s">
        <v>137</v>
      </c>
    </row>
    <row r="3016" spans="8:8" x14ac:dyDescent="0.25">
      <c r="H3016" t="s">
        <v>9647</v>
      </c>
    </row>
    <row r="3017" spans="8:8" x14ac:dyDescent="0.25">
      <c r="H3017" t="s">
        <v>30</v>
      </c>
    </row>
    <row r="3018" spans="8:8" x14ac:dyDescent="0.25">
      <c r="H3018" t="s">
        <v>138</v>
      </c>
    </row>
    <row r="3019" spans="8:8" x14ac:dyDescent="0.25">
      <c r="H3019" t="s">
        <v>9648</v>
      </c>
    </row>
    <row r="3020" spans="8:8" x14ac:dyDescent="0.25">
      <c r="H3020" t="s">
        <v>30</v>
      </c>
    </row>
    <row r="3022" spans="8:8" x14ac:dyDescent="0.25">
      <c r="H3022" t="s">
        <v>9649</v>
      </c>
    </row>
    <row r="3023" spans="8:8" x14ac:dyDescent="0.25">
      <c r="H3023" t="s">
        <v>9650</v>
      </c>
    </row>
    <row r="3024" spans="8:8" x14ac:dyDescent="0.25">
      <c r="H3024" t="s">
        <v>135</v>
      </c>
    </row>
    <row r="3025" spans="8:8" x14ac:dyDescent="0.25">
      <c r="H3025" t="s">
        <v>9651</v>
      </c>
    </row>
    <row r="3026" spans="8:8" x14ac:dyDescent="0.25">
      <c r="H3026" t="s">
        <v>30</v>
      </c>
    </row>
    <row r="3027" spans="8:8" x14ac:dyDescent="0.25">
      <c r="H3027" t="s">
        <v>136</v>
      </c>
    </row>
    <row r="3028" spans="8:8" x14ac:dyDescent="0.25">
      <c r="H3028" t="s">
        <v>9652</v>
      </c>
    </row>
    <row r="3029" spans="8:8" x14ac:dyDescent="0.25">
      <c r="H3029" t="s">
        <v>30</v>
      </c>
    </row>
    <row r="3030" spans="8:8" x14ac:dyDescent="0.25">
      <c r="H3030" t="s">
        <v>137</v>
      </c>
    </row>
    <row r="3031" spans="8:8" x14ac:dyDescent="0.25">
      <c r="H3031" t="s">
        <v>9653</v>
      </c>
    </row>
    <row r="3032" spans="8:8" x14ac:dyDescent="0.25">
      <c r="H3032" t="s">
        <v>30</v>
      </c>
    </row>
    <row r="3033" spans="8:8" x14ac:dyDescent="0.25">
      <c r="H3033" t="s">
        <v>138</v>
      </c>
    </row>
    <row r="3034" spans="8:8" x14ac:dyDescent="0.25">
      <c r="H3034" t="s">
        <v>9654</v>
      </c>
    </row>
    <row r="3035" spans="8:8" x14ac:dyDescent="0.25">
      <c r="H3035" t="s">
        <v>30</v>
      </c>
    </row>
    <row r="3037" spans="8:8" x14ac:dyDescent="0.25">
      <c r="H3037" t="s">
        <v>9655</v>
      </c>
    </row>
    <row r="3038" spans="8:8" x14ac:dyDescent="0.25">
      <c r="H3038" t="s">
        <v>9656</v>
      </c>
    </row>
    <row r="3039" spans="8:8" x14ac:dyDescent="0.25">
      <c r="H3039" t="s">
        <v>135</v>
      </c>
    </row>
    <row r="3040" spans="8:8" x14ac:dyDescent="0.25">
      <c r="H3040" t="s">
        <v>9657</v>
      </c>
    </row>
    <row r="3041" spans="8:8" x14ac:dyDescent="0.25">
      <c r="H3041" t="s">
        <v>30</v>
      </c>
    </row>
    <row r="3042" spans="8:8" x14ac:dyDescent="0.25">
      <c r="H3042" t="s">
        <v>136</v>
      </c>
    </row>
    <row r="3043" spans="8:8" x14ac:dyDescent="0.25">
      <c r="H3043" t="s">
        <v>9658</v>
      </c>
    </row>
    <row r="3044" spans="8:8" x14ac:dyDescent="0.25">
      <c r="H3044" t="s">
        <v>30</v>
      </c>
    </row>
    <row r="3045" spans="8:8" x14ac:dyDescent="0.25">
      <c r="H3045" t="s">
        <v>137</v>
      </c>
    </row>
    <row r="3046" spans="8:8" x14ac:dyDescent="0.25">
      <c r="H3046" t="s">
        <v>9659</v>
      </c>
    </row>
    <row r="3047" spans="8:8" x14ac:dyDescent="0.25">
      <c r="H3047" t="s">
        <v>30</v>
      </c>
    </row>
    <row r="3048" spans="8:8" x14ac:dyDescent="0.25">
      <c r="H3048" t="s">
        <v>138</v>
      </c>
    </row>
    <row r="3049" spans="8:8" x14ac:dyDescent="0.25">
      <c r="H3049" t="s">
        <v>9660</v>
      </c>
    </row>
    <row r="3050" spans="8:8" x14ac:dyDescent="0.25">
      <c r="H3050" t="s">
        <v>30</v>
      </c>
    </row>
    <row r="3052" spans="8:8" x14ac:dyDescent="0.25">
      <c r="H3052" t="s">
        <v>9661</v>
      </c>
    </row>
    <row r="3053" spans="8:8" x14ac:dyDescent="0.25">
      <c r="H3053" t="s">
        <v>9662</v>
      </c>
    </row>
    <row r="3054" spans="8:8" x14ac:dyDescent="0.25">
      <c r="H3054" t="s">
        <v>135</v>
      </c>
    </row>
    <row r="3055" spans="8:8" x14ac:dyDescent="0.25">
      <c r="H3055" t="s">
        <v>9663</v>
      </c>
    </row>
    <row r="3056" spans="8:8" x14ac:dyDescent="0.25">
      <c r="H3056" t="s">
        <v>30</v>
      </c>
    </row>
    <row r="3057" spans="8:8" x14ac:dyDescent="0.25">
      <c r="H3057" t="s">
        <v>136</v>
      </c>
    </row>
    <row r="3058" spans="8:8" x14ac:dyDescent="0.25">
      <c r="H3058" t="s">
        <v>9664</v>
      </c>
    </row>
    <row r="3059" spans="8:8" x14ac:dyDescent="0.25">
      <c r="H3059" t="s">
        <v>30</v>
      </c>
    </row>
    <row r="3060" spans="8:8" x14ac:dyDescent="0.25">
      <c r="H3060" t="s">
        <v>137</v>
      </c>
    </row>
    <row r="3061" spans="8:8" x14ac:dyDescent="0.25">
      <c r="H3061" t="s">
        <v>9665</v>
      </c>
    </row>
    <row r="3062" spans="8:8" x14ac:dyDescent="0.25">
      <c r="H3062" t="s">
        <v>30</v>
      </c>
    </row>
    <row r="3063" spans="8:8" x14ac:dyDescent="0.25">
      <c r="H3063" t="s">
        <v>138</v>
      </c>
    </row>
    <row r="3064" spans="8:8" x14ac:dyDescent="0.25">
      <c r="H3064" t="s">
        <v>9666</v>
      </c>
    </row>
    <row r="3065" spans="8:8" x14ac:dyDescent="0.25">
      <c r="H3065" t="s">
        <v>30</v>
      </c>
    </row>
    <row r="3067" spans="8:8" x14ac:dyDescent="0.25">
      <c r="H3067" t="s">
        <v>9667</v>
      </c>
    </row>
    <row r="3068" spans="8:8" x14ac:dyDescent="0.25">
      <c r="H3068" t="s">
        <v>9668</v>
      </c>
    </row>
    <row r="3069" spans="8:8" x14ac:dyDescent="0.25">
      <c r="H3069" t="s">
        <v>135</v>
      </c>
    </row>
    <row r="3070" spans="8:8" x14ac:dyDescent="0.25">
      <c r="H3070" t="s">
        <v>9669</v>
      </c>
    </row>
    <row r="3071" spans="8:8" x14ac:dyDescent="0.25">
      <c r="H3071" t="s">
        <v>30</v>
      </c>
    </row>
    <row r="3072" spans="8:8" x14ac:dyDescent="0.25">
      <c r="H3072" t="s">
        <v>136</v>
      </c>
    </row>
    <row r="3073" spans="8:8" x14ac:dyDescent="0.25">
      <c r="H3073" t="s">
        <v>9670</v>
      </c>
    </row>
    <row r="3074" spans="8:8" x14ac:dyDescent="0.25">
      <c r="H3074" t="s">
        <v>30</v>
      </c>
    </row>
    <row r="3075" spans="8:8" x14ac:dyDescent="0.25">
      <c r="H3075" t="s">
        <v>137</v>
      </c>
    </row>
    <row r="3076" spans="8:8" x14ac:dyDescent="0.25">
      <c r="H3076" t="s">
        <v>9671</v>
      </c>
    </row>
    <row r="3077" spans="8:8" x14ac:dyDescent="0.25">
      <c r="H3077" t="s">
        <v>30</v>
      </c>
    </row>
    <row r="3078" spans="8:8" x14ac:dyDescent="0.25">
      <c r="H3078" t="s">
        <v>138</v>
      </c>
    </row>
    <row r="3079" spans="8:8" x14ac:dyDescent="0.25">
      <c r="H3079" t="s">
        <v>9672</v>
      </c>
    </row>
    <row r="3080" spans="8:8" x14ac:dyDescent="0.25">
      <c r="H3080" t="s">
        <v>30</v>
      </c>
    </row>
    <row r="3082" spans="8:8" x14ac:dyDescent="0.25">
      <c r="H3082" t="s">
        <v>9673</v>
      </c>
    </row>
    <row r="3083" spans="8:8" x14ac:dyDescent="0.25">
      <c r="H3083" t="s">
        <v>9674</v>
      </c>
    </row>
    <row r="3084" spans="8:8" x14ac:dyDescent="0.25">
      <c r="H3084" t="s">
        <v>135</v>
      </c>
    </row>
    <row r="3085" spans="8:8" x14ac:dyDescent="0.25">
      <c r="H3085" t="s">
        <v>9675</v>
      </c>
    </row>
    <row r="3086" spans="8:8" x14ac:dyDescent="0.25">
      <c r="H3086" t="s">
        <v>30</v>
      </c>
    </row>
    <row r="3087" spans="8:8" x14ac:dyDescent="0.25">
      <c r="H3087" t="s">
        <v>136</v>
      </c>
    </row>
    <row r="3088" spans="8:8" x14ac:dyDescent="0.25">
      <c r="H3088" t="s">
        <v>9676</v>
      </c>
    </row>
    <row r="3089" spans="8:8" x14ac:dyDescent="0.25">
      <c r="H3089" t="s">
        <v>30</v>
      </c>
    </row>
    <row r="3090" spans="8:8" x14ac:dyDescent="0.25">
      <c r="H3090" t="s">
        <v>137</v>
      </c>
    </row>
    <row r="3091" spans="8:8" x14ac:dyDescent="0.25">
      <c r="H3091" t="s">
        <v>9677</v>
      </c>
    </row>
    <row r="3092" spans="8:8" x14ac:dyDescent="0.25">
      <c r="H3092" t="s">
        <v>30</v>
      </c>
    </row>
    <row r="3093" spans="8:8" x14ac:dyDescent="0.25">
      <c r="H3093" t="s">
        <v>138</v>
      </c>
    </row>
    <row r="3094" spans="8:8" x14ac:dyDescent="0.25">
      <c r="H3094" t="s">
        <v>9678</v>
      </c>
    </row>
    <row r="3095" spans="8:8" x14ac:dyDescent="0.25">
      <c r="H3095" t="s">
        <v>30</v>
      </c>
    </row>
    <row r="3097" spans="8:8" x14ac:dyDescent="0.25">
      <c r="H3097" t="s">
        <v>9679</v>
      </c>
    </row>
    <row r="3098" spans="8:8" x14ac:dyDescent="0.25">
      <c r="H3098" t="s">
        <v>9680</v>
      </c>
    </row>
    <row r="3099" spans="8:8" x14ac:dyDescent="0.25">
      <c r="H3099" t="s">
        <v>135</v>
      </c>
    </row>
    <row r="3100" spans="8:8" x14ac:dyDescent="0.25">
      <c r="H3100" t="s">
        <v>9681</v>
      </c>
    </row>
    <row r="3101" spans="8:8" x14ac:dyDescent="0.25">
      <c r="H3101" t="s">
        <v>30</v>
      </c>
    </row>
    <row r="3102" spans="8:8" x14ac:dyDescent="0.25">
      <c r="H3102" t="s">
        <v>136</v>
      </c>
    </row>
    <row r="3103" spans="8:8" x14ac:dyDescent="0.25">
      <c r="H3103" t="s">
        <v>9682</v>
      </c>
    </row>
    <row r="3104" spans="8:8" x14ac:dyDescent="0.25">
      <c r="H3104" t="s">
        <v>30</v>
      </c>
    </row>
    <row r="3105" spans="8:8" x14ac:dyDescent="0.25">
      <c r="H3105" t="s">
        <v>137</v>
      </c>
    </row>
    <row r="3106" spans="8:8" x14ac:dyDescent="0.25">
      <c r="H3106" t="s">
        <v>9683</v>
      </c>
    </row>
    <row r="3107" spans="8:8" x14ac:dyDescent="0.25">
      <c r="H3107" t="s">
        <v>30</v>
      </c>
    </row>
    <row r="3108" spans="8:8" x14ac:dyDescent="0.25">
      <c r="H3108" t="s">
        <v>138</v>
      </c>
    </row>
    <row r="3109" spans="8:8" x14ac:dyDescent="0.25">
      <c r="H3109" t="s">
        <v>9684</v>
      </c>
    </row>
    <row r="3110" spans="8:8" x14ac:dyDescent="0.25">
      <c r="H3110" t="s">
        <v>30</v>
      </c>
    </row>
    <row r="3112" spans="8:8" x14ac:dyDescent="0.25">
      <c r="H3112" t="s">
        <v>9685</v>
      </c>
    </row>
    <row r="3113" spans="8:8" x14ac:dyDescent="0.25">
      <c r="H3113" t="s">
        <v>9686</v>
      </c>
    </row>
    <row r="3114" spans="8:8" x14ac:dyDescent="0.25">
      <c r="H3114" t="s">
        <v>135</v>
      </c>
    </row>
    <row r="3115" spans="8:8" x14ac:dyDescent="0.25">
      <c r="H3115" t="s">
        <v>9687</v>
      </c>
    </row>
    <row r="3116" spans="8:8" x14ac:dyDescent="0.25">
      <c r="H3116" t="s">
        <v>30</v>
      </c>
    </row>
    <row r="3117" spans="8:8" x14ac:dyDescent="0.25">
      <c r="H3117" t="s">
        <v>136</v>
      </c>
    </row>
    <row r="3118" spans="8:8" x14ac:dyDescent="0.25">
      <c r="H3118" t="s">
        <v>9688</v>
      </c>
    </row>
    <row r="3119" spans="8:8" x14ac:dyDescent="0.25">
      <c r="H3119" t="s">
        <v>30</v>
      </c>
    </row>
    <row r="3120" spans="8:8" x14ac:dyDescent="0.25">
      <c r="H3120" t="s">
        <v>137</v>
      </c>
    </row>
    <row r="3121" spans="8:8" x14ac:dyDescent="0.25">
      <c r="H3121" t="s">
        <v>9689</v>
      </c>
    </row>
    <row r="3122" spans="8:8" x14ac:dyDescent="0.25">
      <c r="H3122" t="s">
        <v>30</v>
      </c>
    </row>
    <row r="3123" spans="8:8" x14ac:dyDescent="0.25">
      <c r="H3123" t="s">
        <v>138</v>
      </c>
    </row>
    <row r="3124" spans="8:8" x14ac:dyDescent="0.25">
      <c r="H3124" t="s">
        <v>9690</v>
      </c>
    </row>
    <row r="3125" spans="8:8" x14ac:dyDescent="0.25">
      <c r="H3125" t="s">
        <v>30</v>
      </c>
    </row>
    <row r="3127" spans="8:8" x14ac:dyDescent="0.25">
      <c r="H3127" t="s">
        <v>9691</v>
      </c>
    </row>
    <row r="3128" spans="8:8" x14ac:dyDescent="0.25">
      <c r="H3128" t="s">
        <v>9692</v>
      </c>
    </row>
    <row r="3129" spans="8:8" x14ac:dyDescent="0.25">
      <c r="H3129" t="s">
        <v>135</v>
      </c>
    </row>
    <row r="3130" spans="8:8" x14ac:dyDescent="0.25">
      <c r="H3130" t="s">
        <v>9693</v>
      </c>
    </row>
    <row r="3131" spans="8:8" x14ac:dyDescent="0.25">
      <c r="H3131" t="s">
        <v>30</v>
      </c>
    </row>
    <row r="3132" spans="8:8" x14ac:dyDescent="0.25">
      <c r="H3132" t="s">
        <v>136</v>
      </c>
    </row>
    <row r="3133" spans="8:8" x14ac:dyDescent="0.25">
      <c r="H3133" t="s">
        <v>9694</v>
      </c>
    </row>
    <row r="3134" spans="8:8" x14ac:dyDescent="0.25">
      <c r="H3134" t="s">
        <v>30</v>
      </c>
    </row>
    <row r="3135" spans="8:8" x14ac:dyDescent="0.25">
      <c r="H3135" t="s">
        <v>137</v>
      </c>
    </row>
    <row r="3136" spans="8:8" x14ac:dyDescent="0.25">
      <c r="H3136" t="s">
        <v>9695</v>
      </c>
    </row>
    <row r="3137" spans="8:8" x14ac:dyDescent="0.25">
      <c r="H3137" t="s">
        <v>30</v>
      </c>
    </row>
    <row r="3138" spans="8:8" x14ac:dyDescent="0.25">
      <c r="H3138" t="s">
        <v>138</v>
      </c>
    </row>
    <row r="3139" spans="8:8" x14ac:dyDescent="0.25">
      <c r="H3139" t="s">
        <v>9696</v>
      </c>
    </row>
    <row r="3140" spans="8:8" x14ac:dyDescent="0.25">
      <c r="H3140" t="s">
        <v>30</v>
      </c>
    </row>
    <row r="3142" spans="8:8" x14ac:dyDescent="0.25">
      <c r="H3142" t="s">
        <v>9697</v>
      </c>
    </row>
    <row r="3143" spans="8:8" x14ac:dyDescent="0.25">
      <c r="H3143" t="s">
        <v>9698</v>
      </c>
    </row>
    <row r="3144" spans="8:8" x14ac:dyDescent="0.25">
      <c r="H3144" t="s">
        <v>135</v>
      </c>
    </row>
    <row r="3145" spans="8:8" x14ac:dyDescent="0.25">
      <c r="H3145" t="s">
        <v>9699</v>
      </c>
    </row>
    <row r="3146" spans="8:8" x14ac:dyDescent="0.25">
      <c r="H3146" t="s">
        <v>30</v>
      </c>
    </row>
    <row r="3147" spans="8:8" x14ac:dyDescent="0.25">
      <c r="H3147" t="s">
        <v>136</v>
      </c>
    </row>
    <row r="3148" spans="8:8" x14ac:dyDescent="0.25">
      <c r="H3148" t="s">
        <v>9700</v>
      </c>
    </row>
    <row r="3149" spans="8:8" x14ac:dyDescent="0.25">
      <c r="H3149" t="s">
        <v>30</v>
      </c>
    </row>
    <row r="3150" spans="8:8" x14ac:dyDescent="0.25">
      <c r="H3150" t="s">
        <v>137</v>
      </c>
    </row>
    <row r="3151" spans="8:8" x14ac:dyDescent="0.25">
      <c r="H3151" t="s">
        <v>9701</v>
      </c>
    </row>
    <row r="3152" spans="8:8" x14ac:dyDescent="0.25">
      <c r="H3152" t="s">
        <v>30</v>
      </c>
    </row>
    <row r="3153" spans="8:8" x14ac:dyDescent="0.25">
      <c r="H3153" t="s">
        <v>138</v>
      </c>
    </row>
    <row r="3154" spans="8:8" x14ac:dyDescent="0.25">
      <c r="H3154" t="s">
        <v>9702</v>
      </c>
    </row>
    <row r="3155" spans="8:8" x14ac:dyDescent="0.25">
      <c r="H3155" t="s">
        <v>30</v>
      </c>
    </row>
    <row r="3157" spans="8:8" x14ac:dyDescent="0.25">
      <c r="H3157" t="s">
        <v>9703</v>
      </c>
    </row>
    <row r="3158" spans="8:8" x14ac:dyDescent="0.25">
      <c r="H3158" t="s">
        <v>9704</v>
      </c>
    </row>
    <row r="3159" spans="8:8" x14ac:dyDescent="0.25">
      <c r="H3159" t="s">
        <v>135</v>
      </c>
    </row>
    <row r="3160" spans="8:8" x14ac:dyDescent="0.25">
      <c r="H3160" t="s">
        <v>9705</v>
      </c>
    </row>
    <row r="3161" spans="8:8" x14ac:dyDescent="0.25">
      <c r="H3161" t="s">
        <v>30</v>
      </c>
    </row>
    <row r="3162" spans="8:8" x14ac:dyDescent="0.25">
      <c r="H3162" t="s">
        <v>136</v>
      </c>
    </row>
    <row r="3163" spans="8:8" x14ac:dyDescent="0.25">
      <c r="H3163" t="s">
        <v>9706</v>
      </c>
    </row>
    <row r="3164" spans="8:8" x14ac:dyDescent="0.25">
      <c r="H3164" t="s">
        <v>30</v>
      </c>
    </row>
    <row r="3165" spans="8:8" x14ac:dyDescent="0.25">
      <c r="H3165" t="s">
        <v>137</v>
      </c>
    </row>
    <row r="3166" spans="8:8" x14ac:dyDescent="0.25">
      <c r="H3166" t="s">
        <v>9707</v>
      </c>
    </row>
    <row r="3167" spans="8:8" x14ac:dyDescent="0.25">
      <c r="H3167" t="s">
        <v>30</v>
      </c>
    </row>
    <row r="3168" spans="8:8" x14ac:dyDescent="0.25">
      <c r="H3168" t="s">
        <v>138</v>
      </c>
    </row>
    <row r="3169" spans="8:8" x14ac:dyDescent="0.25">
      <c r="H3169" t="s">
        <v>9708</v>
      </c>
    </row>
    <row r="3170" spans="8:8" x14ac:dyDescent="0.25">
      <c r="H3170" t="s">
        <v>30</v>
      </c>
    </row>
    <row r="3172" spans="8:8" x14ac:dyDescent="0.25">
      <c r="H3172" t="s">
        <v>9709</v>
      </c>
    </row>
    <row r="3173" spans="8:8" x14ac:dyDescent="0.25">
      <c r="H3173" t="s">
        <v>9710</v>
      </c>
    </row>
    <row r="3174" spans="8:8" x14ac:dyDescent="0.25">
      <c r="H3174" t="s">
        <v>135</v>
      </c>
    </row>
    <row r="3175" spans="8:8" x14ac:dyDescent="0.25">
      <c r="H3175" t="s">
        <v>9711</v>
      </c>
    </row>
    <row r="3176" spans="8:8" x14ac:dyDescent="0.25">
      <c r="H3176" t="s">
        <v>30</v>
      </c>
    </row>
    <row r="3177" spans="8:8" x14ac:dyDescent="0.25">
      <c r="H3177" t="s">
        <v>136</v>
      </c>
    </row>
    <row r="3178" spans="8:8" x14ac:dyDescent="0.25">
      <c r="H3178" t="s">
        <v>9712</v>
      </c>
    </row>
    <row r="3179" spans="8:8" x14ac:dyDescent="0.25">
      <c r="H3179" t="s">
        <v>30</v>
      </c>
    </row>
    <row r="3180" spans="8:8" x14ac:dyDescent="0.25">
      <c r="H3180" t="s">
        <v>137</v>
      </c>
    </row>
    <row r="3181" spans="8:8" x14ac:dyDescent="0.25">
      <c r="H3181" t="s">
        <v>9713</v>
      </c>
    </row>
    <row r="3182" spans="8:8" x14ac:dyDescent="0.25">
      <c r="H3182" t="s">
        <v>30</v>
      </c>
    </row>
    <row r="3183" spans="8:8" x14ac:dyDescent="0.25">
      <c r="H3183" t="s">
        <v>138</v>
      </c>
    </row>
    <row r="3184" spans="8:8" x14ac:dyDescent="0.25">
      <c r="H3184" t="s">
        <v>9714</v>
      </c>
    </row>
    <row r="3185" spans="8:8" x14ac:dyDescent="0.25">
      <c r="H3185" t="s">
        <v>30</v>
      </c>
    </row>
    <row r="3187" spans="8:8" x14ac:dyDescent="0.25">
      <c r="H3187" t="s">
        <v>9715</v>
      </c>
    </row>
    <row r="3188" spans="8:8" x14ac:dyDescent="0.25">
      <c r="H3188" t="s">
        <v>9716</v>
      </c>
    </row>
    <row r="3189" spans="8:8" x14ac:dyDescent="0.25">
      <c r="H3189" t="s">
        <v>135</v>
      </c>
    </row>
    <row r="3190" spans="8:8" x14ac:dyDescent="0.25">
      <c r="H3190" t="s">
        <v>9717</v>
      </c>
    </row>
    <row r="3191" spans="8:8" x14ac:dyDescent="0.25">
      <c r="H3191" t="s">
        <v>30</v>
      </c>
    </row>
    <row r="3192" spans="8:8" x14ac:dyDescent="0.25">
      <c r="H3192" t="s">
        <v>136</v>
      </c>
    </row>
    <row r="3193" spans="8:8" x14ac:dyDescent="0.25">
      <c r="H3193" t="s">
        <v>9718</v>
      </c>
    </row>
    <row r="3194" spans="8:8" x14ac:dyDescent="0.25">
      <c r="H3194" t="s">
        <v>30</v>
      </c>
    </row>
    <row r="3195" spans="8:8" x14ac:dyDescent="0.25">
      <c r="H3195" t="s">
        <v>137</v>
      </c>
    </row>
    <row r="3196" spans="8:8" x14ac:dyDescent="0.25">
      <c r="H3196" t="s">
        <v>9719</v>
      </c>
    </row>
    <row r="3197" spans="8:8" x14ac:dyDescent="0.25">
      <c r="H3197" t="s">
        <v>30</v>
      </c>
    </row>
    <row r="3198" spans="8:8" x14ac:dyDescent="0.25">
      <c r="H3198" t="s">
        <v>138</v>
      </c>
    </row>
    <row r="3199" spans="8:8" x14ac:dyDescent="0.25">
      <c r="H3199" t="s">
        <v>9720</v>
      </c>
    </row>
    <row r="3200" spans="8:8" x14ac:dyDescent="0.25">
      <c r="H3200" t="s">
        <v>30</v>
      </c>
    </row>
    <row r="3202" spans="8:8" x14ac:dyDescent="0.25">
      <c r="H3202" t="s">
        <v>9721</v>
      </c>
    </row>
    <row r="3203" spans="8:8" x14ac:dyDescent="0.25">
      <c r="H3203" t="s">
        <v>9722</v>
      </c>
    </row>
    <row r="3204" spans="8:8" x14ac:dyDescent="0.25">
      <c r="H3204" t="s">
        <v>135</v>
      </c>
    </row>
    <row r="3205" spans="8:8" x14ac:dyDescent="0.25">
      <c r="H3205" t="s">
        <v>9723</v>
      </c>
    </row>
    <row r="3206" spans="8:8" x14ac:dyDescent="0.25">
      <c r="H3206" t="s">
        <v>30</v>
      </c>
    </row>
    <row r="3207" spans="8:8" x14ac:dyDescent="0.25">
      <c r="H3207" t="s">
        <v>136</v>
      </c>
    </row>
    <row r="3208" spans="8:8" x14ac:dyDescent="0.25">
      <c r="H3208" t="s">
        <v>9724</v>
      </c>
    </row>
    <row r="3209" spans="8:8" x14ac:dyDescent="0.25">
      <c r="H3209" t="s">
        <v>30</v>
      </c>
    </row>
    <row r="3210" spans="8:8" x14ac:dyDescent="0.25">
      <c r="H3210" t="s">
        <v>137</v>
      </c>
    </row>
    <row r="3211" spans="8:8" x14ac:dyDescent="0.25">
      <c r="H3211" t="s">
        <v>9725</v>
      </c>
    </row>
    <row r="3212" spans="8:8" x14ac:dyDescent="0.25">
      <c r="H3212" t="s">
        <v>30</v>
      </c>
    </row>
    <row r="3213" spans="8:8" x14ac:dyDescent="0.25">
      <c r="H3213" t="s">
        <v>138</v>
      </c>
    </row>
    <row r="3214" spans="8:8" x14ac:dyDescent="0.25">
      <c r="H3214" t="s">
        <v>9726</v>
      </c>
    </row>
    <row r="3215" spans="8:8" x14ac:dyDescent="0.25">
      <c r="H3215" t="s">
        <v>30</v>
      </c>
    </row>
    <row r="3217" spans="8:8" x14ac:dyDescent="0.25">
      <c r="H3217" t="s">
        <v>9727</v>
      </c>
    </row>
    <row r="3218" spans="8:8" x14ac:dyDescent="0.25">
      <c r="H3218" t="s">
        <v>9728</v>
      </c>
    </row>
    <row r="3219" spans="8:8" x14ac:dyDescent="0.25">
      <c r="H3219" t="s">
        <v>135</v>
      </c>
    </row>
    <row r="3220" spans="8:8" x14ac:dyDescent="0.25">
      <c r="H3220" t="s">
        <v>9729</v>
      </c>
    </row>
    <row r="3221" spans="8:8" x14ac:dyDescent="0.25">
      <c r="H3221" t="s">
        <v>30</v>
      </c>
    </row>
    <row r="3222" spans="8:8" x14ac:dyDescent="0.25">
      <c r="H3222" t="s">
        <v>136</v>
      </c>
    </row>
    <row r="3223" spans="8:8" x14ac:dyDescent="0.25">
      <c r="H3223" t="s">
        <v>9730</v>
      </c>
    </row>
    <row r="3224" spans="8:8" x14ac:dyDescent="0.25">
      <c r="H3224" t="s">
        <v>30</v>
      </c>
    </row>
    <row r="3225" spans="8:8" x14ac:dyDescent="0.25">
      <c r="H3225" t="s">
        <v>137</v>
      </c>
    </row>
    <row r="3226" spans="8:8" x14ac:dyDescent="0.25">
      <c r="H3226" t="s">
        <v>9731</v>
      </c>
    </row>
    <row r="3227" spans="8:8" x14ac:dyDescent="0.25">
      <c r="H3227" t="s">
        <v>30</v>
      </c>
    </row>
    <row r="3228" spans="8:8" x14ac:dyDescent="0.25">
      <c r="H3228" t="s">
        <v>138</v>
      </c>
    </row>
    <row r="3229" spans="8:8" x14ac:dyDescent="0.25">
      <c r="H3229" t="s">
        <v>9732</v>
      </c>
    </row>
    <row r="3230" spans="8:8" x14ac:dyDescent="0.25">
      <c r="H3230" t="s">
        <v>30</v>
      </c>
    </row>
    <row r="3232" spans="8:8" x14ac:dyDescent="0.25">
      <c r="H3232" t="s">
        <v>9733</v>
      </c>
    </row>
    <row r="3233" spans="8:8" x14ac:dyDescent="0.25">
      <c r="H3233" t="s">
        <v>9734</v>
      </c>
    </row>
    <row r="3234" spans="8:8" x14ac:dyDescent="0.25">
      <c r="H3234" t="s">
        <v>135</v>
      </c>
    </row>
    <row r="3235" spans="8:8" x14ac:dyDescent="0.25">
      <c r="H3235" t="s">
        <v>9735</v>
      </c>
    </row>
    <row r="3236" spans="8:8" x14ac:dyDescent="0.25">
      <c r="H3236" t="s">
        <v>30</v>
      </c>
    </row>
    <row r="3237" spans="8:8" x14ac:dyDescent="0.25">
      <c r="H3237" t="s">
        <v>136</v>
      </c>
    </row>
    <row r="3238" spans="8:8" x14ac:dyDescent="0.25">
      <c r="H3238" t="s">
        <v>9736</v>
      </c>
    </row>
    <row r="3239" spans="8:8" x14ac:dyDescent="0.25">
      <c r="H3239" t="s">
        <v>30</v>
      </c>
    </row>
    <row r="3240" spans="8:8" x14ac:dyDescent="0.25">
      <c r="H3240" t="s">
        <v>137</v>
      </c>
    </row>
    <row r="3241" spans="8:8" x14ac:dyDescent="0.25">
      <c r="H3241" t="s">
        <v>9737</v>
      </c>
    </row>
    <row r="3242" spans="8:8" x14ac:dyDescent="0.25">
      <c r="H3242" t="s">
        <v>30</v>
      </c>
    </row>
    <row r="3243" spans="8:8" x14ac:dyDescent="0.25">
      <c r="H3243" t="s">
        <v>138</v>
      </c>
    </row>
    <row r="3244" spans="8:8" x14ac:dyDescent="0.25">
      <c r="H3244" t="s">
        <v>9738</v>
      </c>
    </row>
    <row r="3245" spans="8:8" x14ac:dyDescent="0.25">
      <c r="H3245" t="s">
        <v>30</v>
      </c>
    </row>
    <row r="3247" spans="8:8" x14ac:dyDescent="0.25">
      <c r="H3247" t="s">
        <v>9739</v>
      </c>
    </row>
    <row r="3248" spans="8:8" x14ac:dyDescent="0.25">
      <c r="H3248" t="s">
        <v>9740</v>
      </c>
    </row>
    <row r="3249" spans="8:8" x14ac:dyDescent="0.25">
      <c r="H3249" t="s">
        <v>135</v>
      </c>
    </row>
    <row r="3250" spans="8:8" x14ac:dyDescent="0.25">
      <c r="H3250" t="s">
        <v>9741</v>
      </c>
    </row>
    <row r="3251" spans="8:8" x14ac:dyDescent="0.25">
      <c r="H3251" t="s">
        <v>30</v>
      </c>
    </row>
    <row r="3252" spans="8:8" x14ac:dyDescent="0.25">
      <c r="H3252" t="s">
        <v>136</v>
      </c>
    </row>
    <row r="3253" spans="8:8" x14ac:dyDescent="0.25">
      <c r="H3253" t="s">
        <v>9742</v>
      </c>
    </row>
    <row r="3254" spans="8:8" x14ac:dyDescent="0.25">
      <c r="H3254" t="s">
        <v>30</v>
      </c>
    </row>
    <row r="3255" spans="8:8" x14ac:dyDescent="0.25">
      <c r="H3255" t="s">
        <v>137</v>
      </c>
    </row>
    <row r="3256" spans="8:8" x14ac:dyDescent="0.25">
      <c r="H3256" t="s">
        <v>9743</v>
      </c>
    </row>
    <row r="3257" spans="8:8" x14ac:dyDescent="0.25">
      <c r="H3257" t="s">
        <v>30</v>
      </c>
    </row>
    <row r="3258" spans="8:8" x14ac:dyDescent="0.25">
      <c r="H3258" t="s">
        <v>138</v>
      </c>
    </row>
    <row r="3259" spans="8:8" x14ac:dyDescent="0.25">
      <c r="H3259" t="s">
        <v>9744</v>
      </c>
    </row>
    <row r="3260" spans="8:8" x14ac:dyDescent="0.25">
      <c r="H3260" t="s">
        <v>30</v>
      </c>
    </row>
    <row r="3262" spans="8:8" x14ac:dyDescent="0.25">
      <c r="H3262" t="s">
        <v>9745</v>
      </c>
    </row>
    <row r="3263" spans="8:8" x14ac:dyDescent="0.25">
      <c r="H3263" t="s">
        <v>9746</v>
      </c>
    </row>
    <row r="3264" spans="8:8" x14ac:dyDescent="0.25">
      <c r="H3264" t="s">
        <v>135</v>
      </c>
    </row>
    <row r="3265" spans="8:8" x14ac:dyDescent="0.25">
      <c r="H3265" t="s">
        <v>9747</v>
      </c>
    </row>
    <row r="3266" spans="8:8" x14ac:dyDescent="0.25">
      <c r="H3266" t="s">
        <v>30</v>
      </c>
    </row>
    <row r="3267" spans="8:8" x14ac:dyDescent="0.25">
      <c r="H3267" t="s">
        <v>136</v>
      </c>
    </row>
    <row r="3268" spans="8:8" x14ac:dyDescent="0.25">
      <c r="H3268" t="s">
        <v>9748</v>
      </c>
    </row>
    <row r="3269" spans="8:8" x14ac:dyDescent="0.25">
      <c r="H3269" t="s">
        <v>30</v>
      </c>
    </row>
    <row r="3270" spans="8:8" x14ac:dyDescent="0.25">
      <c r="H3270" t="s">
        <v>137</v>
      </c>
    </row>
    <row r="3271" spans="8:8" x14ac:dyDescent="0.25">
      <c r="H3271" t="s">
        <v>9749</v>
      </c>
    </row>
    <row r="3272" spans="8:8" x14ac:dyDescent="0.25">
      <c r="H3272" t="s">
        <v>30</v>
      </c>
    </row>
    <row r="3273" spans="8:8" x14ac:dyDescent="0.25">
      <c r="H3273" t="s">
        <v>138</v>
      </c>
    </row>
    <row r="3274" spans="8:8" x14ac:dyDescent="0.25">
      <c r="H3274" t="s">
        <v>9750</v>
      </c>
    </row>
    <row r="3275" spans="8:8" x14ac:dyDescent="0.25">
      <c r="H3275" t="s">
        <v>30</v>
      </c>
    </row>
    <row r="3277" spans="8:8" x14ac:dyDescent="0.25">
      <c r="H3277" t="s">
        <v>9751</v>
      </c>
    </row>
    <row r="3278" spans="8:8" x14ac:dyDescent="0.25">
      <c r="H3278" t="s">
        <v>9752</v>
      </c>
    </row>
    <row r="3279" spans="8:8" x14ac:dyDescent="0.25">
      <c r="H3279" t="s">
        <v>135</v>
      </c>
    </row>
    <row r="3280" spans="8:8" x14ac:dyDescent="0.25">
      <c r="H3280" t="s">
        <v>9753</v>
      </c>
    </row>
    <row r="3281" spans="8:8" x14ac:dyDescent="0.25">
      <c r="H3281" t="s">
        <v>30</v>
      </c>
    </row>
    <row r="3282" spans="8:8" x14ac:dyDescent="0.25">
      <c r="H3282" t="s">
        <v>136</v>
      </c>
    </row>
    <row r="3283" spans="8:8" x14ac:dyDescent="0.25">
      <c r="H3283" t="s">
        <v>9754</v>
      </c>
    </row>
    <row r="3284" spans="8:8" x14ac:dyDescent="0.25">
      <c r="H3284" t="s">
        <v>30</v>
      </c>
    </row>
    <row r="3285" spans="8:8" x14ac:dyDescent="0.25">
      <c r="H3285" t="s">
        <v>137</v>
      </c>
    </row>
    <row r="3286" spans="8:8" x14ac:dyDescent="0.25">
      <c r="H3286" t="s">
        <v>9755</v>
      </c>
    </row>
    <row r="3287" spans="8:8" x14ac:dyDescent="0.25">
      <c r="H3287" t="s">
        <v>30</v>
      </c>
    </row>
    <row r="3288" spans="8:8" x14ac:dyDescent="0.25">
      <c r="H3288" t="s">
        <v>138</v>
      </c>
    </row>
    <row r="3289" spans="8:8" x14ac:dyDescent="0.25">
      <c r="H3289" t="s">
        <v>9756</v>
      </c>
    </row>
    <row r="3290" spans="8:8" x14ac:dyDescent="0.25">
      <c r="H3290" t="s">
        <v>30</v>
      </c>
    </row>
    <row r="3292" spans="8:8" x14ac:dyDescent="0.25">
      <c r="H3292" t="s">
        <v>9757</v>
      </c>
    </row>
    <row r="3293" spans="8:8" x14ac:dyDescent="0.25">
      <c r="H3293" t="s">
        <v>9758</v>
      </c>
    </row>
    <row r="3294" spans="8:8" x14ac:dyDescent="0.25">
      <c r="H3294" t="s">
        <v>135</v>
      </c>
    </row>
    <row r="3295" spans="8:8" x14ac:dyDescent="0.25">
      <c r="H3295" t="s">
        <v>9759</v>
      </c>
    </row>
    <row r="3296" spans="8:8" x14ac:dyDescent="0.25">
      <c r="H3296" t="s">
        <v>30</v>
      </c>
    </row>
    <row r="3297" spans="8:8" x14ac:dyDescent="0.25">
      <c r="H3297" t="s">
        <v>136</v>
      </c>
    </row>
    <row r="3298" spans="8:8" x14ac:dyDescent="0.25">
      <c r="H3298" t="s">
        <v>9760</v>
      </c>
    </row>
    <row r="3299" spans="8:8" x14ac:dyDescent="0.25">
      <c r="H3299" t="s">
        <v>30</v>
      </c>
    </row>
    <row r="3300" spans="8:8" x14ac:dyDescent="0.25">
      <c r="H3300" t="s">
        <v>137</v>
      </c>
    </row>
    <row r="3301" spans="8:8" x14ac:dyDescent="0.25">
      <c r="H3301" t="s">
        <v>9761</v>
      </c>
    </row>
    <row r="3302" spans="8:8" x14ac:dyDescent="0.25">
      <c r="H3302" t="s">
        <v>30</v>
      </c>
    </row>
    <row r="3303" spans="8:8" x14ac:dyDescent="0.25">
      <c r="H3303" t="s">
        <v>138</v>
      </c>
    </row>
    <row r="3304" spans="8:8" x14ac:dyDescent="0.25">
      <c r="H3304" t="s">
        <v>9762</v>
      </c>
    </row>
    <row r="3305" spans="8:8" x14ac:dyDescent="0.25">
      <c r="H3305" t="s">
        <v>30</v>
      </c>
    </row>
    <row r="3307" spans="8:8" x14ac:dyDescent="0.25">
      <c r="H3307" t="s">
        <v>9763</v>
      </c>
    </row>
    <row r="3308" spans="8:8" x14ac:dyDescent="0.25">
      <c r="H3308" t="s">
        <v>9764</v>
      </c>
    </row>
    <row r="3309" spans="8:8" x14ac:dyDescent="0.25">
      <c r="H3309" t="s">
        <v>135</v>
      </c>
    </row>
    <row r="3310" spans="8:8" x14ac:dyDescent="0.25">
      <c r="H3310" t="s">
        <v>9765</v>
      </c>
    </row>
    <row r="3311" spans="8:8" x14ac:dyDescent="0.25">
      <c r="H3311" t="s">
        <v>30</v>
      </c>
    </row>
    <row r="3312" spans="8:8" x14ac:dyDescent="0.25">
      <c r="H3312" t="s">
        <v>136</v>
      </c>
    </row>
    <row r="3313" spans="8:8" x14ac:dyDescent="0.25">
      <c r="H3313" t="s">
        <v>9766</v>
      </c>
    </row>
    <row r="3314" spans="8:8" x14ac:dyDescent="0.25">
      <c r="H3314" t="s">
        <v>30</v>
      </c>
    </row>
    <row r="3315" spans="8:8" x14ac:dyDescent="0.25">
      <c r="H3315" t="s">
        <v>137</v>
      </c>
    </row>
    <row r="3316" spans="8:8" x14ac:dyDescent="0.25">
      <c r="H3316" t="s">
        <v>9767</v>
      </c>
    </row>
    <row r="3317" spans="8:8" x14ac:dyDescent="0.25">
      <c r="H3317" t="s">
        <v>30</v>
      </c>
    </row>
    <row r="3318" spans="8:8" x14ac:dyDescent="0.25">
      <c r="H3318" t="s">
        <v>138</v>
      </c>
    </row>
    <row r="3319" spans="8:8" x14ac:dyDescent="0.25">
      <c r="H3319" t="s">
        <v>9768</v>
      </c>
    </row>
    <row r="3320" spans="8:8" x14ac:dyDescent="0.25">
      <c r="H3320" t="s">
        <v>30</v>
      </c>
    </row>
    <row r="3322" spans="8:8" x14ac:dyDescent="0.25">
      <c r="H3322" t="s">
        <v>9769</v>
      </c>
    </row>
    <row r="3323" spans="8:8" x14ac:dyDescent="0.25">
      <c r="H3323" t="s">
        <v>9770</v>
      </c>
    </row>
    <row r="3324" spans="8:8" x14ac:dyDescent="0.25">
      <c r="H3324" t="s">
        <v>135</v>
      </c>
    </row>
    <row r="3325" spans="8:8" x14ac:dyDescent="0.25">
      <c r="H3325" t="s">
        <v>9771</v>
      </c>
    </row>
    <row r="3326" spans="8:8" x14ac:dyDescent="0.25">
      <c r="H3326" t="s">
        <v>30</v>
      </c>
    </row>
    <row r="3327" spans="8:8" x14ac:dyDescent="0.25">
      <c r="H3327" t="s">
        <v>136</v>
      </c>
    </row>
    <row r="3328" spans="8:8" x14ac:dyDescent="0.25">
      <c r="H3328" t="s">
        <v>9772</v>
      </c>
    </row>
    <row r="3329" spans="8:8" x14ac:dyDescent="0.25">
      <c r="H3329" t="s">
        <v>30</v>
      </c>
    </row>
    <row r="3330" spans="8:8" x14ac:dyDescent="0.25">
      <c r="H3330" t="s">
        <v>137</v>
      </c>
    </row>
    <row r="3331" spans="8:8" x14ac:dyDescent="0.25">
      <c r="H3331" t="s">
        <v>9773</v>
      </c>
    </row>
    <row r="3332" spans="8:8" x14ac:dyDescent="0.25">
      <c r="H3332" t="s">
        <v>30</v>
      </c>
    </row>
    <row r="3333" spans="8:8" x14ac:dyDescent="0.25">
      <c r="H3333" t="s">
        <v>138</v>
      </c>
    </row>
    <row r="3334" spans="8:8" x14ac:dyDescent="0.25">
      <c r="H3334" t="s">
        <v>9774</v>
      </c>
    </row>
    <row r="3335" spans="8:8" x14ac:dyDescent="0.25">
      <c r="H3335" t="s">
        <v>30</v>
      </c>
    </row>
    <row r="3337" spans="8:8" x14ac:dyDescent="0.25">
      <c r="H3337" t="s">
        <v>9775</v>
      </c>
    </row>
    <row r="3338" spans="8:8" x14ac:dyDescent="0.25">
      <c r="H3338" t="s">
        <v>9776</v>
      </c>
    </row>
    <row r="3339" spans="8:8" x14ac:dyDescent="0.25">
      <c r="H3339" t="s">
        <v>135</v>
      </c>
    </row>
    <row r="3340" spans="8:8" x14ac:dyDescent="0.25">
      <c r="H3340" t="s">
        <v>9777</v>
      </c>
    </row>
    <row r="3341" spans="8:8" x14ac:dyDescent="0.25">
      <c r="H3341" t="s">
        <v>30</v>
      </c>
    </row>
    <row r="3342" spans="8:8" x14ac:dyDescent="0.25">
      <c r="H3342" t="s">
        <v>136</v>
      </c>
    </row>
    <row r="3343" spans="8:8" x14ac:dyDescent="0.25">
      <c r="H3343" t="s">
        <v>9778</v>
      </c>
    </row>
    <row r="3344" spans="8:8" x14ac:dyDescent="0.25">
      <c r="H3344" t="s">
        <v>30</v>
      </c>
    </row>
    <row r="3345" spans="8:8" x14ac:dyDescent="0.25">
      <c r="H3345" t="s">
        <v>137</v>
      </c>
    </row>
    <row r="3346" spans="8:8" x14ac:dyDescent="0.25">
      <c r="H3346" t="s">
        <v>9779</v>
      </c>
    </row>
    <row r="3347" spans="8:8" x14ac:dyDescent="0.25">
      <c r="H3347" t="s">
        <v>30</v>
      </c>
    </row>
    <row r="3348" spans="8:8" x14ac:dyDescent="0.25">
      <c r="H3348" t="s">
        <v>138</v>
      </c>
    </row>
    <row r="3349" spans="8:8" x14ac:dyDescent="0.25">
      <c r="H3349" t="s">
        <v>9780</v>
      </c>
    </row>
    <row r="3350" spans="8:8" x14ac:dyDescent="0.25">
      <c r="H3350" t="s">
        <v>30</v>
      </c>
    </row>
    <row r="3352" spans="8:8" x14ac:dyDescent="0.25">
      <c r="H3352" t="s">
        <v>9781</v>
      </c>
    </row>
    <row r="3353" spans="8:8" x14ac:dyDescent="0.25">
      <c r="H3353" t="s">
        <v>9782</v>
      </c>
    </row>
    <row r="3354" spans="8:8" x14ac:dyDescent="0.25">
      <c r="H3354" t="s">
        <v>135</v>
      </c>
    </row>
    <row r="3355" spans="8:8" x14ac:dyDescent="0.25">
      <c r="H3355" t="s">
        <v>9783</v>
      </c>
    </row>
    <row r="3356" spans="8:8" x14ac:dyDescent="0.25">
      <c r="H3356" t="s">
        <v>30</v>
      </c>
    </row>
    <row r="3357" spans="8:8" x14ac:dyDescent="0.25">
      <c r="H3357" t="s">
        <v>136</v>
      </c>
    </row>
    <row r="3358" spans="8:8" x14ac:dyDescent="0.25">
      <c r="H3358" t="s">
        <v>9784</v>
      </c>
    </row>
    <row r="3359" spans="8:8" x14ac:dyDescent="0.25">
      <c r="H3359" t="s">
        <v>30</v>
      </c>
    </row>
    <row r="3360" spans="8:8" x14ac:dyDescent="0.25">
      <c r="H3360" t="s">
        <v>137</v>
      </c>
    </row>
    <row r="3361" spans="8:8" x14ac:dyDescent="0.25">
      <c r="H3361" t="s">
        <v>9785</v>
      </c>
    </row>
    <row r="3362" spans="8:8" x14ac:dyDescent="0.25">
      <c r="H3362" t="s">
        <v>30</v>
      </c>
    </row>
    <row r="3363" spans="8:8" x14ac:dyDescent="0.25">
      <c r="H3363" t="s">
        <v>138</v>
      </c>
    </row>
    <row r="3364" spans="8:8" x14ac:dyDescent="0.25">
      <c r="H3364" t="s">
        <v>9786</v>
      </c>
    </row>
    <row r="3365" spans="8:8" x14ac:dyDescent="0.25">
      <c r="H3365" t="s">
        <v>30</v>
      </c>
    </row>
    <row r="3367" spans="8:8" x14ac:dyDescent="0.25">
      <c r="H3367" t="s">
        <v>9787</v>
      </c>
    </row>
    <row r="3368" spans="8:8" x14ac:dyDescent="0.25">
      <c r="H3368" t="s">
        <v>9788</v>
      </c>
    </row>
    <row r="3369" spans="8:8" x14ac:dyDescent="0.25">
      <c r="H3369" t="s">
        <v>135</v>
      </c>
    </row>
    <row r="3370" spans="8:8" x14ac:dyDescent="0.25">
      <c r="H3370" t="s">
        <v>9789</v>
      </c>
    </row>
    <row r="3371" spans="8:8" x14ac:dyDescent="0.25">
      <c r="H3371" t="s">
        <v>30</v>
      </c>
    </row>
    <row r="3372" spans="8:8" x14ac:dyDescent="0.25">
      <c r="H3372" t="s">
        <v>136</v>
      </c>
    </row>
    <row r="3373" spans="8:8" x14ac:dyDescent="0.25">
      <c r="H3373" t="s">
        <v>9790</v>
      </c>
    </row>
    <row r="3374" spans="8:8" x14ac:dyDescent="0.25">
      <c r="H3374" t="s">
        <v>30</v>
      </c>
    </row>
    <row r="3375" spans="8:8" x14ac:dyDescent="0.25">
      <c r="H3375" t="s">
        <v>137</v>
      </c>
    </row>
    <row r="3376" spans="8:8" x14ac:dyDescent="0.25">
      <c r="H3376" t="s">
        <v>9791</v>
      </c>
    </row>
    <row r="3377" spans="8:8" x14ac:dyDescent="0.25">
      <c r="H3377" t="s">
        <v>30</v>
      </c>
    </row>
    <row r="3378" spans="8:8" x14ac:dyDescent="0.25">
      <c r="H3378" t="s">
        <v>138</v>
      </c>
    </row>
    <row r="3379" spans="8:8" x14ac:dyDescent="0.25">
      <c r="H3379" t="s">
        <v>9792</v>
      </c>
    </row>
    <row r="3380" spans="8:8" x14ac:dyDescent="0.25">
      <c r="H3380" t="s">
        <v>30</v>
      </c>
    </row>
    <row r="3382" spans="8:8" x14ac:dyDescent="0.25">
      <c r="H3382" t="s">
        <v>9793</v>
      </c>
    </row>
    <row r="3383" spans="8:8" x14ac:dyDescent="0.25">
      <c r="H3383" t="s">
        <v>9794</v>
      </c>
    </row>
    <row r="3384" spans="8:8" x14ac:dyDescent="0.25">
      <c r="H3384" t="s">
        <v>135</v>
      </c>
    </row>
    <row r="3385" spans="8:8" x14ac:dyDescent="0.25">
      <c r="H3385" t="s">
        <v>9795</v>
      </c>
    </row>
    <row r="3386" spans="8:8" x14ac:dyDescent="0.25">
      <c r="H3386" t="s">
        <v>30</v>
      </c>
    </row>
    <row r="3387" spans="8:8" x14ac:dyDescent="0.25">
      <c r="H3387" t="s">
        <v>136</v>
      </c>
    </row>
    <row r="3388" spans="8:8" x14ac:dyDescent="0.25">
      <c r="H3388" t="s">
        <v>9796</v>
      </c>
    </row>
    <row r="3389" spans="8:8" x14ac:dyDescent="0.25">
      <c r="H3389" t="s">
        <v>30</v>
      </c>
    </row>
    <row r="3390" spans="8:8" x14ac:dyDescent="0.25">
      <c r="H3390" t="s">
        <v>137</v>
      </c>
    </row>
    <row r="3391" spans="8:8" x14ac:dyDescent="0.25">
      <c r="H3391" t="s">
        <v>9797</v>
      </c>
    </row>
    <row r="3392" spans="8:8" x14ac:dyDescent="0.25">
      <c r="H3392" t="s">
        <v>30</v>
      </c>
    </row>
    <row r="3393" spans="8:8" x14ac:dyDescent="0.25">
      <c r="H3393" t="s">
        <v>138</v>
      </c>
    </row>
    <row r="3394" spans="8:8" x14ac:dyDescent="0.25">
      <c r="H3394" t="s">
        <v>9798</v>
      </c>
    </row>
    <row r="3395" spans="8:8" x14ac:dyDescent="0.25">
      <c r="H3395" t="s">
        <v>30</v>
      </c>
    </row>
    <row r="3397" spans="8:8" x14ac:dyDescent="0.25">
      <c r="H3397" t="s">
        <v>9799</v>
      </c>
    </row>
    <row r="3398" spans="8:8" x14ac:dyDescent="0.25">
      <c r="H3398" t="s">
        <v>9800</v>
      </c>
    </row>
    <row r="3399" spans="8:8" x14ac:dyDescent="0.25">
      <c r="H3399" t="s">
        <v>135</v>
      </c>
    </row>
    <row r="3400" spans="8:8" x14ac:dyDescent="0.25">
      <c r="H3400" t="s">
        <v>9801</v>
      </c>
    </row>
    <row r="3401" spans="8:8" x14ac:dyDescent="0.25">
      <c r="H3401" t="s">
        <v>30</v>
      </c>
    </row>
    <row r="3402" spans="8:8" x14ac:dyDescent="0.25">
      <c r="H3402" t="s">
        <v>136</v>
      </c>
    </row>
    <row r="3403" spans="8:8" x14ac:dyDescent="0.25">
      <c r="H3403" t="s">
        <v>9802</v>
      </c>
    </row>
    <row r="3404" spans="8:8" x14ac:dyDescent="0.25">
      <c r="H3404" t="s">
        <v>30</v>
      </c>
    </row>
    <row r="3405" spans="8:8" x14ac:dyDescent="0.25">
      <c r="H3405" t="s">
        <v>137</v>
      </c>
    </row>
    <row r="3406" spans="8:8" x14ac:dyDescent="0.25">
      <c r="H3406" t="s">
        <v>9803</v>
      </c>
    </row>
    <row r="3407" spans="8:8" x14ac:dyDescent="0.25">
      <c r="H3407" t="s">
        <v>30</v>
      </c>
    </row>
    <row r="3408" spans="8:8" x14ac:dyDescent="0.25">
      <c r="H3408" t="s">
        <v>138</v>
      </c>
    </row>
    <row r="3409" spans="8:8" x14ac:dyDescent="0.25">
      <c r="H3409" t="s">
        <v>9804</v>
      </c>
    </row>
    <row r="3410" spans="8:8" x14ac:dyDescent="0.25">
      <c r="H3410" t="s">
        <v>30</v>
      </c>
    </row>
    <row r="3412" spans="8:8" x14ac:dyDescent="0.25">
      <c r="H3412" t="s">
        <v>9805</v>
      </c>
    </row>
    <row r="3413" spans="8:8" x14ac:dyDescent="0.25">
      <c r="H3413" t="s">
        <v>9806</v>
      </c>
    </row>
    <row r="3414" spans="8:8" x14ac:dyDescent="0.25">
      <c r="H3414" t="s">
        <v>135</v>
      </c>
    </row>
    <row r="3415" spans="8:8" x14ac:dyDescent="0.25">
      <c r="H3415" t="s">
        <v>9807</v>
      </c>
    </row>
    <row r="3416" spans="8:8" x14ac:dyDescent="0.25">
      <c r="H3416" t="s">
        <v>30</v>
      </c>
    </row>
    <row r="3417" spans="8:8" x14ac:dyDescent="0.25">
      <c r="H3417" t="s">
        <v>136</v>
      </c>
    </row>
    <row r="3418" spans="8:8" x14ac:dyDescent="0.25">
      <c r="H3418" t="s">
        <v>9808</v>
      </c>
    </row>
    <row r="3419" spans="8:8" x14ac:dyDescent="0.25">
      <c r="H3419" t="s">
        <v>30</v>
      </c>
    </row>
    <row r="3420" spans="8:8" x14ac:dyDescent="0.25">
      <c r="H3420" t="s">
        <v>137</v>
      </c>
    </row>
    <row r="3421" spans="8:8" x14ac:dyDescent="0.25">
      <c r="H3421" t="s">
        <v>9809</v>
      </c>
    </row>
    <row r="3422" spans="8:8" x14ac:dyDescent="0.25">
      <c r="H3422" t="s">
        <v>30</v>
      </c>
    </row>
    <row r="3423" spans="8:8" x14ac:dyDescent="0.25">
      <c r="H3423" t="s">
        <v>138</v>
      </c>
    </row>
    <row r="3424" spans="8:8" x14ac:dyDescent="0.25">
      <c r="H3424" t="s">
        <v>9810</v>
      </c>
    </row>
    <row r="3425" spans="8:8" x14ac:dyDescent="0.25">
      <c r="H3425" t="s">
        <v>30</v>
      </c>
    </row>
    <row r="3427" spans="8:8" x14ac:dyDescent="0.25">
      <c r="H3427" t="s">
        <v>9811</v>
      </c>
    </row>
    <row r="3428" spans="8:8" x14ac:dyDescent="0.25">
      <c r="H3428" t="s">
        <v>9812</v>
      </c>
    </row>
    <row r="3429" spans="8:8" x14ac:dyDescent="0.25">
      <c r="H3429" t="s">
        <v>135</v>
      </c>
    </row>
    <row r="3430" spans="8:8" x14ac:dyDescent="0.25">
      <c r="H3430" t="s">
        <v>9813</v>
      </c>
    </row>
    <row r="3431" spans="8:8" x14ac:dyDescent="0.25">
      <c r="H3431" t="s">
        <v>30</v>
      </c>
    </row>
    <row r="3432" spans="8:8" x14ac:dyDescent="0.25">
      <c r="H3432" t="s">
        <v>136</v>
      </c>
    </row>
    <row r="3433" spans="8:8" x14ac:dyDescent="0.25">
      <c r="H3433" t="s">
        <v>9814</v>
      </c>
    </row>
    <row r="3434" spans="8:8" x14ac:dyDescent="0.25">
      <c r="H3434" t="s">
        <v>30</v>
      </c>
    </row>
    <row r="3435" spans="8:8" x14ac:dyDescent="0.25">
      <c r="H3435" t="s">
        <v>137</v>
      </c>
    </row>
    <row r="3436" spans="8:8" x14ac:dyDescent="0.25">
      <c r="H3436" t="s">
        <v>9815</v>
      </c>
    </row>
    <row r="3437" spans="8:8" x14ac:dyDescent="0.25">
      <c r="H3437" t="s">
        <v>30</v>
      </c>
    </row>
    <row r="3438" spans="8:8" x14ac:dyDescent="0.25">
      <c r="H3438" t="s">
        <v>138</v>
      </c>
    </row>
    <row r="3439" spans="8:8" x14ac:dyDescent="0.25">
      <c r="H3439" t="s">
        <v>9816</v>
      </c>
    </row>
    <row r="3440" spans="8:8" x14ac:dyDescent="0.25">
      <c r="H3440" t="s">
        <v>30</v>
      </c>
    </row>
    <row r="3442" spans="8:8" x14ac:dyDescent="0.25">
      <c r="H3442" t="s">
        <v>9817</v>
      </c>
    </row>
    <row r="3443" spans="8:8" x14ac:dyDescent="0.25">
      <c r="H3443" t="s">
        <v>9818</v>
      </c>
    </row>
    <row r="3444" spans="8:8" x14ac:dyDescent="0.25">
      <c r="H3444" t="s">
        <v>135</v>
      </c>
    </row>
    <row r="3445" spans="8:8" x14ac:dyDescent="0.25">
      <c r="H3445" t="s">
        <v>9819</v>
      </c>
    </row>
    <row r="3446" spans="8:8" x14ac:dyDescent="0.25">
      <c r="H3446" t="s">
        <v>30</v>
      </c>
    </row>
    <row r="3447" spans="8:8" x14ac:dyDescent="0.25">
      <c r="H3447" t="s">
        <v>136</v>
      </c>
    </row>
    <row r="3448" spans="8:8" x14ac:dyDescent="0.25">
      <c r="H3448" t="s">
        <v>9820</v>
      </c>
    </row>
    <row r="3449" spans="8:8" x14ac:dyDescent="0.25">
      <c r="H3449" t="s">
        <v>30</v>
      </c>
    </row>
    <row r="3450" spans="8:8" x14ac:dyDescent="0.25">
      <c r="H3450" t="s">
        <v>137</v>
      </c>
    </row>
    <row r="3451" spans="8:8" x14ac:dyDescent="0.25">
      <c r="H3451" t="s">
        <v>9821</v>
      </c>
    </row>
    <row r="3452" spans="8:8" x14ac:dyDescent="0.25">
      <c r="H3452" t="s">
        <v>30</v>
      </c>
    </row>
    <row r="3453" spans="8:8" x14ac:dyDescent="0.25">
      <c r="H3453" t="s">
        <v>138</v>
      </c>
    </row>
    <row r="3454" spans="8:8" x14ac:dyDescent="0.25">
      <c r="H3454" t="s">
        <v>9822</v>
      </c>
    </row>
    <row r="3455" spans="8:8" x14ac:dyDescent="0.25">
      <c r="H3455" t="s">
        <v>30</v>
      </c>
    </row>
    <row r="3457" spans="8:8" x14ac:dyDescent="0.25">
      <c r="H3457" t="s">
        <v>9823</v>
      </c>
    </row>
    <row r="3458" spans="8:8" x14ac:dyDescent="0.25">
      <c r="H3458" t="s">
        <v>9824</v>
      </c>
    </row>
    <row r="3459" spans="8:8" x14ac:dyDescent="0.25">
      <c r="H3459" t="s">
        <v>135</v>
      </c>
    </row>
    <row r="3460" spans="8:8" x14ac:dyDescent="0.25">
      <c r="H3460" t="s">
        <v>9825</v>
      </c>
    </row>
    <row r="3461" spans="8:8" x14ac:dyDescent="0.25">
      <c r="H3461" t="s">
        <v>30</v>
      </c>
    </row>
    <row r="3462" spans="8:8" x14ac:dyDescent="0.25">
      <c r="H3462" t="s">
        <v>136</v>
      </c>
    </row>
    <row r="3463" spans="8:8" x14ac:dyDescent="0.25">
      <c r="H3463" t="s">
        <v>9826</v>
      </c>
    </row>
    <row r="3464" spans="8:8" x14ac:dyDescent="0.25">
      <c r="H3464" t="s">
        <v>30</v>
      </c>
    </row>
    <row r="3465" spans="8:8" x14ac:dyDescent="0.25">
      <c r="H3465" t="s">
        <v>137</v>
      </c>
    </row>
    <row r="3466" spans="8:8" x14ac:dyDescent="0.25">
      <c r="H3466" t="s">
        <v>9827</v>
      </c>
    </row>
    <row r="3467" spans="8:8" x14ac:dyDescent="0.25">
      <c r="H3467" t="s">
        <v>30</v>
      </c>
    </row>
    <row r="3468" spans="8:8" x14ac:dyDescent="0.25">
      <c r="H3468" t="s">
        <v>138</v>
      </c>
    </row>
    <row r="3469" spans="8:8" x14ac:dyDescent="0.25">
      <c r="H3469" t="s">
        <v>9828</v>
      </c>
    </row>
    <row r="3470" spans="8:8" x14ac:dyDescent="0.25">
      <c r="H3470" t="s">
        <v>30</v>
      </c>
    </row>
    <row r="3472" spans="8:8" x14ac:dyDescent="0.25">
      <c r="H3472" t="s">
        <v>9829</v>
      </c>
    </row>
    <row r="3473" spans="8:8" x14ac:dyDescent="0.25">
      <c r="H3473" t="s">
        <v>9830</v>
      </c>
    </row>
    <row r="3474" spans="8:8" x14ac:dyDescent="0.25">
      <c r="H3474" t="s">
        <v>135</v>
      </c>
    </row>
    <row r="3475" spans="8:8" x14ac:dyDescent="0.25">
      <c r="H3475" t="s">
        <v>9831</v>
      </c>
    </row>
    <row r="3476" spans="8:8" x14ac:dyDescent="0.25">
      <c r="H3476" t="s">
        <v>30</v>
      </c>
    </row>
    <row r="3477" spans="8:8" x14ac:dyDescent="0.25">
      <c r="H3477" t="s">
        <v>136</v>
      </c>
    </row>
    <row r="3478" spans="8:8" x14ac:dyDescent="0.25">
      <c r="H3478" t="s">
        <v>9832</v>
      </c>
    </row>
    <row r="3479" spans="8:8" x14ac:dyDescent="0.25">
      <c r="H3479" t="s">
        <v>30</v>
      </c>
    </row>
    <row r="3480" spans="8:8" x14ac:dyDescent="0.25">
      <c r="H3480" t="s">
        <v>137</v>
      </c>
    </row>
    <row r="3481" spans="8:8" x14ac:dyDescent="0.25">
      <c r="H3481" t="s">
        <v>9833</v>
      </c>
    </row>
    <row r="3482" spans="8:8" x14ac:dyDescent="0.25">
      <c r="H3482" t="s">
        <v>30</v>
      </c>
    </row>
    <row r="3483" spans="8:8" x14ac:dyDescent="0.25">
      <c r="H3483" t="s">
        <v>138</v>
      </c>
    </row>
    <row r="3484" spans="8:8" x14ac:dyDescent="0.25">
      <c r="H3484" t="s">
        <v>9834</v>
      </c>
    </row>
    <row r="3485" spans="8:8" x14ac:dyDescent="0.25">
      <c r="H3485" t="s">
        <v>30</v>
      </c>
    </row>
    <row r="3487" spans="8:8" x14ac:dyDescent="0.25">
      <c r="H3487" t="s">
        <v>9835</v>
      </c>
    </row>
    <row r="3488" spans="8:8" x14ac:dyDescent="0.25">
      <c r="H3488" t="s">
        <v>9836</v>
      </c>
    </row>
    <row r="3489" spans="8:8" x14ac:dyDescent="0.25">
      <c r="H3489" t="s">
        <v>135</v>
      </c>
    </row>
    <row r="3490" spans="8:8" x14ac:dyDescent="0.25">
      <c r="H3490" t="s">
        <v>9837</v>
      </c>
    </row>
    <row r="3491" spans="8:8" x14ac:dyDescent="0.25">
      <c r="H3491" t="s">
        <v>30</v>
      </c>
    </row>
    <row r="3492" spans="8:8" x14ac:dyDescent="0.25">
      <c r="H3492" t="s">
        <v>136</v>
      </c>
    </row>
    <row r="3493" spans="8:8" x14ac:dyDescent="0.25">
      <c r="H3493" t="s">
        <v>9838</v>
      </c>
    </row>
    <row r="3494" spans="8:8" x14ac:dyDescent="0.25">
      <c r="H3494" t="s">
        <v>30</v>
      </c>
    </row>
    <row r="3495" spans="8:8" x14ac:dyDescent="0.25">
      <c r="H3495" t="s">
        <v>137</v>
      </c>
    </row>
    <row r="3496" spans="8:8" x14ac:dyDescent="0.25">
      <c r="H3496" t="s">
        <v>9839</v>
      </c>
    </row>
    <row r="3497" spans="8:8" x14ac:dyDescent="0.25">
      <c r="H3497" t="s">
        <v>30</v>
      </c>
    </row>
    <row r="3498" spans="8:8" x14ac:dyDescent="0.25">
      <c r="H3498" t="s">
        <v>138</v>
      </c>
    </row>
    <row r="3499" spans="8:8" x14ac:dyDescent="0.25">
      <c r="H3499" t="s">
        <v>9840</v>
      </c>
    </row>
    <row r="3500" spans="8:8" x14ac:dyDescent="0.25">
      <c r="H3500" t="s">
        <v>30</v>
      </c>
    </row>
    <row r="3502" spans="8:8" x14ac:dyDescent="0.25">
      <c r="H3502" t="s">
        <v>9841</v>
      </c>
    </row>
    <row r="3503" spans="8:8" x14ac:dyDescent="0.25">
      <c r="H3503" t="s">
        <v>9842</v>
      </c>
    </row>
    <row r="3504" spans="8:8" x14ac:dyDescent="0.25">
      <c r="H3504" t="s">
        <v>135</v>
      </c>
    </row>
    <row r="3505" spans="8:8" x14ac:dyDescent="0.25">
      <c r="H3505" t="s">
        <v>9843</v>
      </c>
    </row>
    <row r="3506" spans="8:8" x14ac:dyDescent="0.25">
      <c r="H3506" t="s">
        <v>30</v>
      </c>
    </row>
    <row r="3507" spans="8:8" x14ac:dyDescent="0.25">
      <c r="H3507" t="s">
        <v>136</v>
      </c>
    </row>
    <row r="3508" spans="8:8" x14ac:dyDescent="0.25">
      <c r="H3508" t="s">
        <v>9844</v>
      </c>
    </row>
    <row r="3509" spans="8:8" x14ac:dyDescent="0.25">
      <c r="H3509" t="s">
        <v>30</v>
      </c>
    </row>
    <row r="3510" spans="8:8" x14ac:dyDescent="0.25">
      <c r="H3510" t="s">
        <v>137</v>
      </c>
    </row>
    <row r="3511" spans="8:8" x14ac:dyDescent="0.25">
      <c r="H3511" t="s">
        <v>9845</v>
      </c>
    </row>
    <row r="3512" spans="8:8" x14ac:dyDescent="0.25">
      <c r="H3512" t="s">
        <v>30</v>
      </c>
    </row>
    <row r="3513" spans="8:8" x14ac:dyDescent="0.25">
      <c r="H3513" t="s">
        <v>138</v>
      </c>
    </row>
    <row r="3514" spans="8:8" x14ac:dyDescent="0.25">
      <c r="H3514" t="s">
        <v>9846</v>
      </c>
    </row>
    <row r="3515" spans="8:8" x14ac:dyDescent="0.25">
      <c r="H3515" t="s">
        <v>30</v>
      </c>
    </row>
    <row r="3517" spans="8:8" x14ac:dyDescent="0.25">
      <c r="H3517" t="s">
        <v>9847</v>
      </c>
    </row>
    <row r="3518" spans="8:8" x14ac:dyDescent="0.25">
      <c r="H3518" t="s">
        <v>9848</v>
      </c>
    </row>
    <row r="3519" spans="8:8" x14ac:dyDescent="0.25">
      <c r="H3519" t="s">
        <v>135</v>
      </c>
    </row>
    <row r="3520" spans="8:8" x14ac:dyDescent="0.25">
      <c r="H3520" t="s">
        <v>9849</v>
      </c>
    </row>
    <row r="3521" spans="8:8" x14ac:dyDescent="0.25">
      <c r="H3521" t="s">
        <v>30</v>
      </c>
    </row>
    <row r="3522" spans="8:8" x14ac:dyDescent="0.25">
      <c r="H3522" t="s">
        <v>136</v>
      </c>
    </row>
    <row r="3523" spans="8:8" x14ac:dyDescent="0.25">
      <c r="H3523" t="s">
        <v>9850</v>
      </c>
    </row>
    <row r="3524" spans="8:8" x14ac:dyDescent="0.25">
      <c r="H3524" t="s">
        <v>30</v>
      </c>
    </row>
    <row r="3525" spans="8:8" x14ac:dyDescent="0.25">
      <c r="H3525" t="s">
        <v>137</v>
      </c>
    </row>
    <row r="3526" spans="8:8" x14ac:dyDescent="0.25">
      <c r="H3526" t="s">
        <v>9851</v>
      </c>
    </row>
    <row r="3527" spans="8:8" x14ac:dyDescent="0.25">
      <c r="H3527" t="s">
        <v>30</v>
      </c>
    </row>
    <row r="3528" spans="8:8" x14ac:dyDescent="0.25">
      <c r="H3528" t="s">
        <v>138</v>
      </c>
    </row>
    <row r="3529" spans="8:8" x14ac:dyDescent="0.25">
      <c r="H3529" t="s">
        <v>9852</v>
      </c>
    </row>
    <row r="3530" spans="8:8" x14ac:dyDescent="0.25">
      <c r="H3530" t="s">
        <v>30</v>
      </c>
    </row>
    <row r="3532" spans="8:8" x14ac:dyDescent="0.25">
      <c r="H3532" t="s">
        <v>9853</v>
      </c>
    </row>
    <row r="3533" spans="8:8" x14ac:dyDescent="0.25">
      <c r="H3533" t="s">
        <v>9854</v>
      </c>
    </row>
    <row r="3534" spans="8:8" x14ac:dyDescent="0.25">
      <c r="H3534" t="s">
        <v>135</v>
      </c>
    </row>
    <row r="3535" spans="8:8" x14ac:dyDescent="0.25">
      <c r="H3535" t="s">
        <v>9855</v>
      </c>
    </row>
    <row r="3536" spans="8:8" x14ac:dyDescent="0.25">
      <c r="H3536" t="s">
        <v>30</v>
      </c>
    </row>
    <row r="3537" spans="8:8" x14ac:dyDescent="0.25">
      <c r="H3537" t="s">
        <v>136</v>
      </c>
    </row>
    <row r="3538" spans="8:8" x14ac:dyDescent="0.25">
      <c r="H3538" t="s">
        <v>9856</v>
      </c>
    </row>
    <row r="3539" spans="8:8" x14ac:dyDescent="0.25">
      <c r="H3539" t="s">
        <v>30</v>
      </c>
    </row>
    <row r="3540" spans="8:8" x14ac:dyDescent="0.25">
      <c r="H3540" t="s">
        <v>137</v>
      </c>
    </row>
    <row r="3541" spans="8:8" x14ac:dyDescent="0.25">
      <c r="H3541" t="s">
        <v>9857</v>
      </c>
    </row>
    <row r="3542" spans="8:8" x14ac:dyDescent="0.25">
      <c r="H3542" t="s">
        <v>30</v>
      </c>
    </row>
    <row r="3543" spans="8:8" x14ac:dyDescent="0.25">
      <c r="H3543" t="s">
        <v>138</v>
      </c>
    </row>
    <row r="3544" spans="8:8" x14ac:dyDescent="0.25">
      <c r="H3544" t="s">
        <v>9858</v>
      </c>
    </row>
    <row r="3545" spans="8:8" x14ac:dyDescent="0.25">
      <c r="H3545" t="s">
        <v>30</v>
      </c>
    </row>
    <row r="3547" spans="8:8" x14ac:dyDescent="0.25">
      <c r="H3547" t="s">
        <v>9859</v>
      </c>
    </row>
    <row r="3548" spans="8:8" x14ac:dyDescent="0.25">
      <c r="H3548" t="s">
        <v>9860</v>
      </c>
    </row>
    <row r="3549" spans="8:8" x14ac:dyDescent="0.25">
      <c r="H3549" t="s">
        <v>135</v>
      </c>
    </row>
    <row r="3550" spans="8:8" x14ac:dyDescent="0.25">
      <c r="H3550" t="s">
        <v>9861</v>
      </c>
    </row>
    <row r="3551" spans="8:8" x14ac:dyDescent="0.25">
      <c r="H3551" t="s">
        <v>30</v>
      </c>
    </row>
    <row r="3552" spans="8:8" x14ac:dyDescent="0.25">
      <c r="H3552" t="s">
        <v>136</v>
      </c>
    </row>
    <row r="3553" spans="8:8" x14ac:dyDescent="0.25">
      <c r="H3553" t="s">
        <v>9862</v>
      </c>
    </row>
    <row r="3554" spans="8:8" x14ac:dyDescent="0.25">
      <c r="H3554" t="s">
        <v>30</v>
      </c>
    </row>
    <row r="3555" spans="8:8" x14ac:dyDescent="0.25">
      <c r="H3555" t="s">
        <v>137</v>
      </c>
    </row>
    <row r="3556" spans="8:8" x14ac:dyDescent="0.25">
      <c r="H3556" t="s">
        <v>9863</v>
      </c>
    </row>
    <row r="3557" spans="8:8" x14ac:dyDescent="0.25">
      <c r="H3557" t="s">
        <v>30</v>
      </c>
    </row>
    <row r="3558" spans="8:8" x14ac:dyDescent="0.25">
      <c r="H3558" t="s">
        <v>138</v>
      </c>
    </row>
    <row r="3559" spans="8:8" x14ac:dyDescent="0.25">
      <c r="H3559" t="s">
        <v>9864</v>
      </c>
    </row>
    <row r="3560" spans="8:8" x14ac:dyDescent="0.25">
      <c r="H3560" t="s">
        <v>30</v>
      </c>
    </row>
    <row r="3562" spans="8:8" x14ac:dyDescent="0.25">
      <c r="H3562" t="s">
        <v>9865</v>
      </c>
    </row>
    <row r="3563" spans="8:8" x14ac:dyDescent="0.25">
      <c r="H3563" t="s">
        <v>9866</v>
      </c>
    </row>
    <row r="3564" spans="8:8" x14ac:dyDescent="0.25">
      <c r="H3564" t="s">
        <v>135</v>
      </c>
    </row>
    <row r="3565" spans="8:8" x14ac:dyDescent="0.25">
      <c r="H3565" t="s">
        <v>9867</v>
      </c>
    </row>
    <row r="3566" spans="8:8" x14ac:dyDescent="0.25">
      <c r="H3566" t="s">
        <v>30</v>
      </c>
    </row>
    <row r="3567" spans="8:8" x14ac:dyDescent="0.25">
      <c r="H3567" t="s">
        <v>136</v>
      </c>
    </row>
    <row r="3568" spans="8:8" x14ac:dyDescent="0.25">
      <c r="H3568" t="s">
        <v>9868</v>
      </c>
    </row>
    <row r="3569" spans="8:8" x14ac:dyDescent="0.25">
      <c r="H3569" t="s">
        <v>30</v>
      </c>
    </row>
    <row r="3570" spans="8:8" x14ac:dyDescent="0.25">
      <c r="H3570" t="s">
        <v>137</v>
      </c>
    </row>
    <row r="3571" spans="8:8" x14ac:dyDescent="0.25">
      <c r="H3571" t="s">
        <v>9869</v>
      </c>
    </row>
    <row r="3572" spans="8:8" x14ac:dyDescent="0.25">
      <c r="H3572" t="s">
        <v>30</v>
      </c>
    </row>
    <row r="3573" spans="8:8" x14ac:dyDescent="0.25">
      <c r="H3573" t="s">
        <v>138</v>
      </c>
    </row>
    <row r="3574" spans="8:8" x14ac:dyDescent="0.25">
      <c r="H3574" t="s">
        <v>9870</v>
      </c>
    </row>
    <row r="3575" spans="8:8" x14ac:dyDescent="0.25">
      <c r="H3575" t="s">
        <v>30</v>
      </c>
    </row>
    <row r="3577" spans="8:8" x14ac:dyDescent="0.25">
      <c r="H3577" t="s">
        <v>9871</v>
      </c>
    </row>
    <row r="3578" spans="8:8" x14ac:dyDescent="0.25">
      <c r="H3578" t="s">
        <v>9872</v>
      </c>
    </row>
    <row r="3579" spans="8:8" x14ac:dyDescent="0.25">
      <c r="H3579" t="s">
        <v>135</v>
      </c>
    </row>
    <row r="3580" spans="8:8" x14ac:dyDescent="0.25">
      <c r="H3580" t="s">
        <v>9873</v>
      </c>
    </row>
    <row r="3581" spans="8:8" x14ac:dyDescent="0.25">
      <c r="H3581" t="s">
        <v>30</v>
      </c>
    </row>
    <row r="3582" spans="8:8" x14ac:dyDescent="0.25">
      <c r="H3582" t="s">
        <v>136</v>
      </c>
    </row>
    <row r="3583" spans="8:8" x14ac:dyDescent="0.25">
      <c r="H3583" t="s">
        <v>9874</v>
      </c>
    </row>
    <row r="3584" spans="8:8" x14ac:dyDescent="0.25">
      <c r="H3584" t="s">
        <v>30</v>
      </c>
    </row>
    <row r="3585" spans="8:8" x14ac:dyDescent="0.25">
      <c r="H3585" t="s">
        <v>137</v>
      </c>
    </row>
    <row r="3586" spans="8:8" x14ac:dyDescent="0.25">
      <c r="H3586" t="s">
        <v>9875</v>
      </c>
    </row>
    <row r="3587" spans="8:8" x14ac:dyDescent="0.25">
      <c r="H3587" t="s">
        <v>30</v>
      </c>
    </row>
    <row r="3588" spans="8:8" x14ac:dyDescent="0.25">
      <c r="H3588" t="s">
        <v>138</v>
      </c>
    </row>
    <row r="3589" spans="8:8" x14ac:dyDescent="0.25">
      <c r="H3589" t="s">
        <v>9876</v>
      </c>
    </row>
    <row r="3590" spans="8:8" x14ac:dyDescent="0.25">
      <c r="H3590" t="s">
        <v>30</v>
      </c>
    </row>
    <row r="3592" spans="8:8" x14ac:dyDescent="0.25">
      <c r="H3592" t="s">
        <v>9877</v>
      </c>
    </row>
    <row r="3593" spans="8:8" x14ac:dyDescent="0.25">
      <c r="H3593" t="s">
        <v>9878</v>
      </c>
    </row>
    <row r="3594" spans="8:8" x14ac:dyDescent="0.25">
      <c r="H3594" t="s">
        <v>135</v>
      </c>
    </row>
    <row r="3595" spans="8:8" x14ac:dyDescent="0.25">
      <c r="H3595" t="s">
        <v>9879</v>
      </c>
    </row>
    <row r="3596" spans="8:8" x14ac:dyDescent="0.25">
      <c r="H3596" t="s">
        <v>30</v>
      </c>
    </row>
    <row r="3597" spans="8:8" x14ac:dyDescent="0.25">
      <c r="H3597" t="s">
        <v>136</v>
      </c>
    </row>
    <row r="3598" spans="8:8" x14ac:dyDescent="0.25">
      <c r="H3598" t="s">
        <v>9880</v>
      </c>
    </row>
    <row r="3599" spans="8:8" x14ac:dyDescent="0.25">
      <c r="H3599" t="s">
        <v>30</v>
      </c>
    </row>
    <row r="3600" spans="8:8" x14ac:dyDescent="0.25">
      <c r="H3600" t="s">
        <v>137</v>
      </c>
    </row>
    <row r="3601" spans="8:8" x14ac:dyDescent="0.25">
      <c r="H3601" t="s">
        <v>9881</v>
      </c>
    </row>
    <row r="3602" spans="8:8" x14ac:dyDescent="0.25">
      <c r="H3602" t="s">
        <v>30</v>
      </c>
    </row>
    <row r="3603" spans="8:8" x14ac:dyDescent="0.25">
      <c r="H3603" t="s">
        <v>138</v>
      </c>
    </row>
    <row r="3604" spans="8:8" x14ac:dyDescent="0.25">
      <c r="H3604" t="s">
        <v>9882</v>
      </c>
    </row>
    <row r="3605" spans="8:8" x14ac:dyDescent="0.25">
      <c r="H3605" t="s">
        <v>30</v>
      </c>
    </row>
    <row r="3607" spans="8:8" x14ac:dyDescent="0.25">
      <c r="H3607" t="s">
        <v>9883</v>
      </c>
    </row>
    <row r="3608" spans="8:8" x14ac:dyDescent="0.25">
      <c r="H3608" t="s">
        <v>9884</v>
      </c>
    </row>
    <row r="3609" spans="8:8" x14ac:dyDescent="0.25">
      <c r="H3609" t="s">
        <v>135</v>
      </c>
    </row>
    <row r="3610" spans="8:8" x14ac:dyDescent="0.25">
      <c r="H3610" t="s">
        <v>9885</v>
      </c>
    </row>
    <row r="3611" spans="8:8" x14ac:dyDescent="0.25">
      <c r="H3611" t="s">
        <v>30</v>
      </c>
    </row>
    <row r="3612" spans="8:8" x14ac:dyDescent="0.25">
      <c r="H3612" t="s">
        <v>136</v>
      </c>
    </row>
    <row r="3613" spans="8:8" x14ac:dyDescent="0.25">
      <c r="H3613" t="s">
        <v>9886</v>
      </c>
    </row>
    <row r="3614" spans="8:8" x14ac:dyDescent="0.25">
      <c r="H3614" t="s">
        <v>30</v>
      </c>
    </row>
    <row r="3615" spans="8:8" x14ac:dyDescent="0.25">
      <c r="H3615" t="s">
        <v>137</v>
      </c>
    </row>
    <row r="3616" spans="8:8" x14ac:dyDescent="0.25">
      <c r="H3616" t="s">
        <v>9887</v>
      </c>
    </row>
    <row r="3617" spans="8:8" x14ac:dyDescent="0.25">
      <c r="H3617" t="s">
        <v>30</v>
      </c>
    </row>
    <row r="3618" spans="8:8" x14ac:dyDescent="0.25">
      <c r="H3618" t="s">
        <v>138</v>
      </c>
    </row>
    <row r="3619" spans="8:8" x14ac:dyDescent="0.25">
      <c r="H3619" t="s">
        <v>9888</v>
      </c>
    </row>
    <row r="3620" spans="8:8" x14ac:dyDescent="0.25">
      <c r="H3620" t="s">
        <v>30</v>
      </c>
    </row>
    <row r="3622" spans="8:8" x14ac:dyDescent="0.25">
      <c r="H3622" t="s">
        <v>9889</v>
      </c>
    </row>
    <row r="3623" spans="8:8" x14ac:dyDescent="0.25">
      <c r="H3623" t="s">
        <v>9890</v>
      </c>
    </row>
    <row r="3624" spans="8:8" x14ac:dyDescent="0.25">
      <c r="H3624" t="s">
        <v>135</v>
      </c>
    </row>
    <row r="3625" spans="8:8" x14ac:dyDescent="0.25">
      <c r="H3625" t="s">
        <v>9891</v>
      </c>
    </row>
    <row r="3626" spans="8:8" x14ac:dyDescent="0.25">
      <c r="H3626" t="s">
        <v>30</v>
      </c>
    </row>
    <row r="3627" spans="8:8" x14ac:dyDescent="0.25">
      <c r="H3627" t="s">
        <v>136</v>
      </c>
    </row>
    <row r="3628" spans="8:8" x14ac:dyDescent="0.25">
      <c r="H3628" t="s">
        <v>9892</v>
      </c>
    </row>
    <row r="3629" spans="8:8" x14ac:dyDescent="0.25">
      <c r="H3629" t="s">
        <v>30</v>
      </c>
    </row>
    <row r="3630" spans="8:8" x14ac:dyDescent="0.25">
      <c r="H3630" t="s">
        <v>137</v>
      </c>
    </row>
    <row r="3631" spans="8:8" x14ac:dyDescent="0.25">
      <c r="H3631" t="s">
        <v>9893</v>
      </c>
    </row>
    <row r="3632" spans="8:8" x14ac:dyDescent="0.25">
      <c r="H3632" t="s">
        <v>30</v>
      </c>
    </row>
    <row r="3633" spans="8:8" x14ac:dyDescent="0.25">
      <c r="H3633" t="s">
        <v>138</v>
      </c>
    </row>
    <row r="3634" spans="8:8" x14ac:dyDescent="0.25">
      <c r="H3634" t="s">
        <v>9894</v>
      </c>
    </row>
    <row r="3635" spans="8:8" x14ac:dyDescent="0.25">
      <c r="H3635" t="s">
        <v>30</v>
      </c>
    </row>
    <row r="3637" spans="8:8" x14ac:dyDescent="0.25">
      <c r="H3637" t="s">
        <v>9895</v>
      </c>
    </row>
    <row r="3638" spans="8:8" x14ac:dyDescent="0.25">
      <c r="H3638" t="s">
        <v>9896</v>
      </c>
    </row>
    <row r="3639" spans="8:8" x14ac:dyDescent="0.25">
      <c r="H3639" t="s">
        <v>135</v>
      </c>
    </row>
    <row r="3640" spans="8:8" x14ac:dyDescent="0.25">
      <c r="H3640" t="s">
        <v>9897</v>
      </c>
    </row>
    <row r="3641" spans="8:8" x14ac:dyDescent="0.25">
      <c r="H3641" t="s">
        <v>30</v>
      </c>
    </row>
    <row r="3642" spans="8:8" x14ac:dyDescent="0.25">
      <c r="H3642" t="s">
        <v>136</v>
      </c>
    </row>
    <row r="3643" spans="8:8" x14ac:dyDescent="0.25">
      <c r="H3643" t="s">
        <v>9898</v>
      </c>
    </row>
    <row r="3644" spans="8:8" x14ac:dyDescent="0.25">
      <c r="H3644" t="s">
        <v>30</v>
      </c>
    </row>
    <row r="3645" spans="8:8" x14ac:dyDescent="0.25">
      <c r="H3645" t="s">
        <v>137</v>
      </c>
    </row>
    <row r="3646" spans="8:8" x14ac:dyDescent="0.25">
      <c r="H3646" t="s">
        <v>9899</v>
      </c>
    </row>
    <row r="3647" spans="8:8" x14ac:dyDescent="0.25">
      <c r="H3647" t="s">
        <v>30</v>
      </c>
    </row>
    <row r="3648" spans="8:8" x14ac:dyDescent="0.25">
      <c r="H3648" t="s">
        <v>138</v>
      </c>
    </row>
    <row r="3649" spans="8:8" x14ac:dyDescent="0.25">
      <c r="H3649" t="s">
        <v>9900</v>
      </c>
    </row>
    <row r="3650" spans="8:8" x14ac:dyDescent="0.25">
      <c r="H3650" t="s">
        <v>30</v>
      </c>
    </row>
    <row r="3652" spans="8:8" x14ac:dyDescent="0.25">
      <c r="H3652" t="s">
        <v>9901</v>
      </c>
    </row>
    <row r="3653" spans="8:8" x14ac:dyDescent="0.25">
      <c r="H3653" t="s">
        <v>9902</v>
      </c>
    </row>
    <row r="3654" spans="8:8" x14ac:dyDescent="0.25">
      <c r="H3654" t="s">
        <v>135</v>
      </c>
    </row>
    <row r="3655" spans="8:8" x14ac:dyDescent="0.25">
      <c r="H3655" t="s">
        <v>9903</v>
      </c>
    </row>
    <row r="3656" spans="8:8" x14ac:dyDescent="0.25">
      <c r="H3656" t="s">
        <v>30</v>
      </c>
    </row>
    <row r="3657" spans="8:8" x14ac:dyDescent="0.25">
      <c r="H3657" t="s">
        <v>136</v>
      </c>
    </row>
    <row r="3658" spans="8:8" x14ac:dyDescent="0.25">
      <c r="H3658" t="s">
        <v>9904</v>
      </c>
    </row>
    <row r="3659" spans="8:8" x14ac:dyDescent="0.25">
      <c r="H3659" t="s">
        <v>30</v>
      </c>
    </row>
    <row r="3660" spans="8:8" x14ac:dyDescent="0.25">
      <c r="H3660" t="s">
        <v>137</v>
      </c>
    </row>
    <row r="3661" spans="8:8" x14ac:dyDescent="0.25">
      <c r="H3661" t="s">
        <v>9905</v>
      </c>
    </row>
    <row r="3662" spans="8:8" x14ac:dyDescent="0.25">
      <c r="H3662" t="s">
        <v>30</v>
      </c>
    </row>
    <row r="3663" spans="8:8" x14ac:dyDescent="0.25">
      <c r="H3663" t="s">
        <v>138</v>
      </c>
    </row>
    <row r="3664" spans="8:8" x14ac:dyDescent="0.25">
      <c r="H3664" t="s">
        <v>9906</v>
      </c>
    </row>
    <row r="3665" spans="8:8" x14ac:dyDescent="0.25">
      <c r="H3665" t="s">
        <v>30</v>
      </c>
    </row>
    <row r="3667" spans="8:8" x14ac:dyDescent="0.25">
      <c r="H3667" t="s">
        <v>9907</v>
      </c>
    </row>
    <row r="3668" spans="8:8" x14ac:dyDescent="0.25">
      <c r="H3668" t="s">
        <v>9908</v>
      </c>
    </row>
    <row r="3669" spans="8:8" x14ac:dyDescent="0.25">
      <c r="H3669" t="s">
        <v>135</v>
      </c>
    </row>
    <row r="3670" spans="8:8" x14ac:dyDescent="0.25">
      <c r="H3670" t="s">
        <v>9909</v>
      </c>
    </row>
    <row r="3671" spans="8:8" x14ac:dyDescent="0.25">
      <c r="H3671" t="s">
        <v>30</v>
      </c>
    </row>
    <row r="3672" spans="8:8" x14ac:dyDescent="0.25">
      <c r="H3672" t="s">
        <v>136</v>
      </c>
    </row>
    <row r="3673" spans="8:8" x14ac:dyDescent="0.25">
      <c r="H3673" t="s">
        <v>9910</v>
      </c>
    </row>
    <row r="3674" spans="8:8" x14ac:dyDescent="0.25">
      <c r="H3674" t="s">
        <v>30</v>
      </c>
    </row>
    <row r="3675" spans="8:8" x14ac:dyDescent="0.25">
      <c r="H3675" t="s">
        <v>137</v>
      </c>
    </row>
    <row r="3676" spans="8:8" x14ac:dyDescent="0.25">
      <c r="H3676" t="s">
        <v>9911</v>
      </c>
    </row>
    <row r="3677" spans="8:8" x14ac:dyDescent="0.25">
      <c r="H3677" t="s">
        <v>30</v>
      </c>
    </row>
    <row r="3678" spans="8:8" x14ac:dyDescent="0.25">
      <c r="H3678" t="s">
        <v>138</v>
      </c>
    </row>
    <row r="3679" spans="8:8" x14ac:dyDescent="0.25">
      <c r="H3679" t="s">
        <v>9912</v>
      </c>
    </row>
    <row r="3680" spans="8:8" x14ac:dyDescent="0.25">
      <c r="H3680" t="s">
        <v>30</v>
      </c>
    </row>
    <row r="3682" spans="8:8" x14ac:dyDescent="0.25">
      <c r="H3682" t="s">
        <v>9913</v>
      </c>
    </row>
    <row r="3683" spans="8:8" x14ac:dyDescent="0.25">
      <c r="H3683" t="s">
        <v>9914</v>
      </c>
    </row>
    <row r="3684" spans="8:8" x14ac:dyDescent="0.25">
      <c r="H3684" t="s">
        <v>135</v>
      </c>
    </row>
    <row r="3685" spans="8:8" x14ac:dyDescent="0.25">
      <c r="H3685" t="s">
        <v>9915</v>
      </c>
    </row>
    <row r="3686" spans="8:8" x14ac:dyDescent="0.25">
      <c r="H3686" t="s">
        <v>30</v>
      </c>
    </row>
    <row r="3687" spans="8:8" x14ac:dyDescent="0.25">
      <c r="H3687" t="s">
        <v>136</v>
      </c>
    </row>
    <row r="3688" spans="8:8" x14ac:dyDescent="0.25">
      <c r="H3688" t="s">
        <v>9916</v>
      </c>
    </row>
    <row r="3689" spans="8:8" x14ac:dyDescent="0.25">
      <c r="H3689" t="s">
        <v>30</v>
      </c>
    </row>
    <row r="3690" spans="8:8" x14ac:dyDescent="0.25">
      <c r="H3690" t="s">
        <v>137</v>
      </c>
    </row>
    <row r="3691" spans="8:8" x14ac:dyDescent="0.25">
      <c r="H3691" t="s">
        <v>9917</v>
      </c>
    </row>
    <row r="3692" spans="8:8" x14ac:dyDescent="0.25">
      <c r="H3692" t="s">
        <v>30</v>
      </c>
    </row>
    <row r="3693" spans="8:8" x14ac:dyDescent="0.25">
      <c r="H3693" t="s">
        <v>138</v>
      </c>
    </row>
    <row r="3694" spans="8:8" x14ac:dyDescent="0.25">
      <c r="H3694" t="s">
        <v>9918</v>
      </c>
    </row>
    <row r="3695" spans="8:8" x14ac:dyDescent="0.25">
      <c r="H3695" t="s">
        <v>30</v>
      </c>
    </row>
    <row r="3697" spans="8:8" x14ac:dyDescent="0.25">
      <c r="H3697" t="s">
        <v>9919</v>
      </c>
    </row>
    <row r="3698" spans="8:8" x14ac:dyDescent="0.25">
      <c r="H3698" t="s">
        <v>9920</v>
      </c>
    </row>
    <row r="3699" spans="8:8" x14ac:dyDescent="0.25">
      <c r="H3699" t="s">
        <v>135</v>
      </c>
    </row>
    <row r="3700" spans="8:8" x14ac:dyDescent="0.25">
      <c r="H3700" t="s">
        <v>9921</v>
      </c>
    </row>
    <row r="3701" spans="8:8" x14ac:dyDescent="0.25">
      <c r="H3701" t="s">
        <v>30</v>
      </c>
    </row>
    <row r="3702" spans="8:8" x14ac:dyDescent="0.25">
      <c r="H3702" t="s">
        <v>136</v>
      </c>
    </row>
    <row r="3703" spans="8:8" x14ac:dyDescent="0.25">
      <c r="H3703" t="s">
        <v>9922</v>
      </c>
    </row>
    <row r="3704" spans="8:8" x14ac:dyDescent="0.25">
      <c r="H3704" t="s">
        <v>30</v>
      </c>
    </row>
    <row r="3705" spans="8:8" x14ac:dyDescent="0.25">
      <c r="H3705" t="s">
        <v>137</v>
      </c>
    </row>
    <row r="3706" spans="8:8" x14ac:dyDescent="0.25">
      <c r="H3706" t="s">
        <v>9923</v>
      </c>
    </row>
    <row r="3707" spans="8:8" x14ac:dyDescent="0.25">
      <c r="H3707" t="s">
        <v>30</v>
      </c>
    </row>
    <row r="3708" spans="8:8" x14ac:dyDescent="0.25">
      <c r="H3708" t="s">
        <v>138</v>
      </c>
    </row>
    <row r="3709" spans="8:8" x14ac:dyDescent="0.25">
      <c r="H3709" t="s">
        <v>9924</v>
      </c>
    </row>
    <row r="3710" spans="8:8" x14ac:dyDescent="0.25">
      <c r="H3710" t="s">
        <v>30</v>
      </c>
    </row>
    <row r="3712" spans="8:8" x14ac:dyDescent="0.25">
      <c r="H3712" t="s">
        <v>9925</v>
      </c>
    </row>
    <row r="3713" spans="8:8" x14ac:dyDescent="0.25">
      <c r="H3713" t="s">
        <v>9926</v>
      </c>
    </row>
    <row r="3714" spans="8:8" x14ac:dyDescent="0.25">
      <c r="H3714" t="s">
        <v>135</v>
      </c>
    </row>
    <row r="3715" spans="8:8" x14ac:dyDescent="0.25">
      <c r="H3715" t="s">
        <v>9927</v>
      </c>
    </row>
    <row r="3716" spans="8:8" x14ac:dyDescent="0.25">
      <c r="H3716" t="s">
        <v>30</v>
      </c>
    </row>
    <row r="3717" spans="8:8" x14ac:dyDescent="0.25">
      <c r="H3717" t="s">
        <v>136</v>
      </c>
    </row>
    <row r="3718" spans="8:8" x14ac:dyDescent="0.25">
      <c r="H3718" t="s">
        <v>9928</v>
      </c>
    </row>
    <row r="3719" spans="8:8" x14ac:dyDescent="0.25">
      <c r="H3719" t="s">
        <v>30</v>
      </c>
    </row>
    <row r="3720" spans="8:8" x14ac:dyDescent="0.25">
      <c r="H3720" t="s">
        <v>137</v>
      </c>
    </row>
    <row r="3721" spans="8:8" x14ac:dyDescent="0.25">
      <c r="H3721" t="s">
        <v>9929</v>
      </c>
    </row>
    <row r="3722" spans="8:8" x14ac:dyDescent="0.25">
      <c r="H3722" t="s">
        <v>30</v>
      </c>
    </row>
    <row r="3723" spans="8:8" x14ac:dyDescent="0.25">
      <c r="H3723" t="s">
        <v>138</v>
      </c>
    </row>
    <row r="3724" spans="8:8" x14ac:dyDescent="0.25">
      <c r="H3724" t="s">
        <v>9930</v>
      </c>
    </row>
    <row r="3725" spans="8:8" x14ac:dyDescent="0.25">
      <c r="H3725" t="s">
        <v>30</v>
      </c>
    </row>
    <row r="3727" spans="8:8" x14ac:dyDescent="0.25">
      <c r="H3727" t="s">
        <v>9931</v>
      </c>
    </row>
    <row r="3728" spans="8:8" x14ac:dyDescent="0.25">
      <c r="H3728" t="s">
        <v>9932</v>
      </c>
    </row>
    <row r="3729" spans="8:8" x14ac:dyDescent="0.25">
      <c r="H3729" t="s">
        <v>135</v>
      </c>
    </row>
    <row r="3730" spans="8:8" x14ac:dyDescent="0.25">
      <c r="H3730" t="s">
        <v>9933</v>
      </c>
    </row>
    <row r="3731" spans="8:8" x14ac:dyDescent="0.25">
      <c r="H3731" t="s">
        <v>30</v>
      </c>
    </row>
    <row r="3732" spans="8:8" x14ac:dyDescent="0.25">
      <c r="H3732" t="s">
        <v>136</v>
      </c>
    </row>
    <row r="3733" spans="8:8" x14ac:dyDescent="0.25">
      <c r="H3733" t="s">
        <v>9934</v>
      </c>
    </row>
    <row r="3734" spans="8:8" x14ac:dyDescent="0.25">
      <c r="H3734" t="s">
        <v>30</v>
      </c>
    </row>
    <row r="3735" spans="8:8" x14ac:dyDescent="0.25">
      <c r="H3735" t="s">
        <v>137</v>
      </c>
    </row>
    <row r="3736" spans="8:8" x14ac:dyDescent="0.25">
      <c r="H3736" t="s">
        <v>9935</v>
      </c>
    </row>
    <row r="3737" spans="8:8" x14ac:dyDescent="0.25">
      <c r="H3737" t="s">
        <v>30</v>
      </c>
    </row>
    <row r="3738" spans="8:8" x14ac:dyDescent="0.25">
      <c r="H3738" t="s">
        <v>138</v>
      </c>
    </row>
    <row r="3739" spans="8:8" x14ac:dyDescent="0.25">
      <c r="H3739" t="s">
        <v>9936</v>
      </c>
    </row>
    <row r="3740" spans="8:8" x14ac:dyDescent="0.25">
      <c r="H3740" t="s">
        <v>30</v>
      </c>
    </row>
    <row r="3742" spans="8:8" x14ac:dyDescent="0.25">
      <c r="H3742" t="s">
        <v>9937</v>
      </c>
    </row>
    <row r="3743" spans="8:8" x14ac:dyDescent="0.25">
      <c r="H3743" t="s">
        <v>9938</v>
      </c>
    </row>
    <row r="3744" spans="8:8" x14ac:dyDescent="0.25">
      <c r="H3744" t="s">
        <v>135</v>
      </c>
    </row>
    <row r="3745" spans="8:8" x14ac:dyDescent="0.25">
      <c r="H3745" t="s">
        <v>9939</v>
      </c>
    </row>
    <row r="3746" spans="8:8" x14ac:dyDescent="0.25">
      <c r="H3746" t="s">
        <v>30</v>
      </c>
    </row>
    <row r="3747" spans="8:8" x14ac:dyDescent="0.25">
      <c r="H3747" t="s">
        <v>136</v>
      </c>
    </row>
    <row r="3748" spans="8:8" x14ac:dyDescent="0.25">
      <c r="H3748" t="s">
        <v>9940</v>
      </c>
    </row>
    <row r="3749" spans="8:8" x14ac:dyDescent="0.25">
      <c r="H3749" t="s">
        <v>30</v>
      </c>
    </row>
    <row r="3750" spans="8:8" x14ac:dyDescent="0.25">
      <c r="H3750" t="s">
        <v>137</v>
      </c>
    </row>
    <row r="3751" spans="8:8" x14ac:dyDescent="0.25">
      <c r="H3751" t="s">
        <v>9941</v>
      </c>
    </row>
    <row r="3752" spans="8:8" x14ac:dyDescent="0.25">
      <c r="H3752" t="s">
        <v>30</v>
      </c>
    </row>
    <row r="3753" spans="8:8" x14ac:dyDescent="0.25">
      <c r="H3753" t="s">
        <v>138</v>
      </c>
    </row>
    <row r="3754" spans="8:8" x14ac:dyDescent="0.25">
      <c r="H3754" t="s">
        <v>9942</v>
      </c>
    </row>
    <row r="3755" spans="8:8" x14ac:dyDescent="0.25">
      <c r="H3755" t="s">
        <v>30</v>
      </c>
    </row>
    <row r="3757" spans="8:8" x14ac:dyDescent="0.25">
      <c r="H3757" t="s">
        <v>9943</v>
      </c>
    </row>
    <row r="3758" spans="8:8" x14ac:dyDescent="0.25">
      <c r="H3758" t="s">
        <v>9944</v>
      </c>
    </row>
    <row r="3759" spans="8:8" x14ac:dyDescent="0.25">
      <c r="H3759" t="s">
        <v>135</v>
      </c>
    </row>
    <row r="3760" spans="8:8" x14ac:dyDescent="0.25">
      <c r="H3760" t="s">
        <v>9945</v>
      </c>
    </row>
    <row r="3761" spans="8:8" x14ac:dyDescent="0.25">
      <c r="H3761" t="s">
        <v>30</v>
      </c>
    </row>
    <row r="3762" spans="8:8" x14ac:dyDescent="0.25">
      <c r="H3762" t="s">
        <v>136</v>
      </c>
    </row>
    <row r="3763" spans="8:8" x14ac:dyDescent="0.25">
      <c r="H3763" t="s">
        <v>9946</v>
      </c>
    </row>
    <row r="3764" spans="8:8" x14ac:dyDescent="0.25">
      <c r="H3764" t="s">
        <v>30</v>
      </c>
    </row>
    <row r="3765" spans="8:8" x14ac:dyDescent="0.25">
      <c r="H3765" t="s">
        <v>137</v>
      </c>
    </row>
    <row r="3766" spans="8:8" x14ac:dyDescent="0.25">
      <c r="H3766" t="s">
        <v>9947</v>
      </c>
    </row>
    <row r="3767" spans="8:8" x14ac:dyDescent="0.25">
      <c r="H3767" t="s">
        <v>30</v>
      </c>
    </row>
    <row r="3768" spans="8:8" x14ac:dyDescent="0.25">
      <c r="H3768" t="s">
        <v>138</v>
      </c>
    </row>
    <row r="3769" spans="8:8" x14ac:dyDescent="0.25">
      <c r="H3769" t="s">
        <v>9948</v>
      </c>
    </row>
    <row r="3770" spans="8:8" x14ac:dyDescent="0.25">
      <c r="H3770" t="s">
        <v>30</v>
      </c>
    </row>
    <row r="3772" spans="8:8" x14ac:dyDescent="0.25">
      <c r="H3772" t="s">
        <v>9949</v>
      </c>
    </row>
    <row r="3773" spans="8:8" x14ac:dyDescent="0.25">
      <c r="H3773" t="s">
        <v>9950</v>
      </c>
    </row>
    <row r="3774" spans="8:8" x14ac:dyDescent="0.25">
      <c r="H3774" t="s">
        <v>135</v>
      </c>
    </row>
    <row r="3775" spans="8:8" x14ac:dyDescent="0.25">
      <c r="H3775" t="s">
        <v>9951</v>
      </c>
    </row>
    <row r="3776" spans="8:8" x14ac:dyDescent="0.25">
      <c r="H3776" t="s">
        <v>30</v>
      </c>
    </row>
    <row r="3777" spans="8:8" x14ac:dyDescent="0.25">
      <c r="H3777" t="s">
        <v>136</v>
      </c>
    </row>
    <row r="3778" spans="8:8" x14ac:dyDescent="0.25">
      <c r="H3778" t="s">
        <v>9952</v>
      </c>
    </row>
    <row r="3779" spans="8:8" x14ac:dyDescent="0.25">
      <c r="H3779" t="s">
        <v>30</v>
      </c>
    </row>
    <row r="3780" spans="8:8" x14ac:dyDescent="0.25">
      <c r="H3780" t="s">
        <v>137</v>
      </c>
    </row>
    <row r="3781" spans="8:8" x14ac:dyDescent="0.25">
      <c r="H3781" t="s">
        <v>9953</v>
      </c>
    </row>
    <row r="3782" spans="8:8" x14ac:dyDescent="0.25">
      <c r="H3782" t="s">
        <v>30</v>
      </c>
    </row>
    <row r="3783" spans="8:8" x14ac:dyDescent="0.25">
      <c r="H3783" t="s">
        <v>138</v>
      </c>
    </row>
    <row r="3784" spans="8:8" x14ac:dyDescent="0.25">
      <c r="H3784" t="s">
        <v>9954</v>
      </c>
    </row>
    <row r="3785" spans="8:8" x14ac:dyDescent="0.25">
      <c r="H3785" t="s">
        <v>30</v>
      </c>
    </row>
    <row r="3787" spans="8:8" x14ac:dyDescent="0.25">
      <c r="H3787" t="s">
        <v>9955</v>
      </c>
    </row>
    <row r="3788" spans="8:8" x14ac:dyDescent="0.25">
      <c r="H3788" t="s">
        <v>9956</v>
      </c>
    </row>
    <row r="3789" spans="8:8" x14ac:dyDescent="0.25">
      <c r="H3789" t="s">
        <v>135</v>
      </c>
    </row>
    <row r="3790" spans="8:8" x14ac:dyDescent="0.25">
      <c r="H3790" t="s">
        <v>9957</v>
      </c>
    </row>
    <row r="3791" spans="8:8" x14ac:dyDescent="0.25">
      <c r="H3791" t="s">
        <v>30</v>
      </c>
    </row>
    <row r="3792" spans="8:8" x14ac:dyDescent="0.25">
      <c r="H3792" t="s">
        <v>136</v>
      </c>
    </row>
    <row r="3793" spans="8:8" x14ac:dyDescent="0.25">
      <c r="H3793" t="s">
        <v>9958</v>
      </c>
    </row>
    <row r="3794" spans="8:8" x14ac:dyDescent="0.25">
      <c r="H3794" t="s">
        <v>30</v>
      </c>
    </row>
    <row r="3795" spans="8:8" x14ac:dyDescent="0.25">
      <c r="H3795" t="s">
        <v>137</v>
      </c>
    </row>
    <row r="3796" spans="8:8" x14ac:dyDescent="0.25">
      <c r="H3796" t="s">
        <v>9959</v>
      </c>
    </row>
    <row r="3797" spans="8:8" x14ac:dyDescent="0.25">
      <c r="H3797" t="s">
        <v>30</v>
      </c>
    </row>
    <row r="3798" spans="8:8" x14ac:dyDescent="0.25">
      <c r="H3798" t="s">
        <v>138</v>
      </c>
    </row>
    <row r="3799" spans="8:8" x14ac:dyDescent="0.25">
      <c r="H3799" t="s">
        <v>9960</v>
      </c>
    </row>
    <row r="3800" spans="8:8" x14ac:dyDescent="0.25">
      <c r="H3800" t="s">
        <v>30</v>
      </c>
    </row>
    <row r="3802" spans="8:8" x14ac:dyDescent="0.25">
      <c r="H3802" t="s">
        <v>9961</v>
      </c>
    </row>
    <row r="3803" spans="8:8" x14ac:dyDescent="0.25">
      <c r="H3803" t="s">
        <v>9962</v>
      </c>
    </row>
    <row r="3804" spans="8:8" x14ac:dyDescent="0.25">
      <c r="H3804" t="s">
        <v>135</v>
      </c>
    </row>
    <row r="3805" spans="8:8" x14ac:dyDescent="0.25">
      <c r="H3805" t="s">
        <v>9963</v>
      </c>
    </row>
    <row r="3806" spans="8:8" x14ac:dyDescent="0.25">
      <c r="H3806" t="s">
        <v>30</v>
      </c>
    </row>
    <row r="3807" spans="8:8" x14ac:dyDescent="0.25">
      <c r="H3807" t="s">
        <v>136</v>
      </c>
    </row>
    <row r="3808" spans="8:8" x14ac:dyDescent="0.25">
      <c r="H3808" t="s">
        <v>9964</v>
      </c>
    </row>
    <row r="3809" spans="8:8" x14ac:dyDescent="0.25">
      <c r="H3809" t="s">
        <v>30</v>
      </c>
    </row>
    <row r="3810" spans="8:8" x14ac:dyDescent="0.25">
      <c r="H3810" t="s">
        <v>137</v>
      </c>
    </row>
    <row r="3811" spans="8:8" x14ac:dyDescent="0.25">
      <c r="H3811" t="s">
        <v>9965</v>
      </c>
    </row>
    <row r="3812" spans="8:8" x14ac:dyDescent="0.25">
      <c r="H3812" t="s">
        <v>30</v>
      </c>
    </row>
    <row r="3813" spans="8:8" x14ac:dyDescent="0.25">
      <c r="H3813" t="s">
        <v>138</v>
      </c>
    </row>
    <row r="3814" spans="8:8" x14ac:dyDescent="0.25">
      <c r="H3814" t="s">
        <v>9966</v>
      </c>
    </row>
    <row r="3815" spans="8:8" x14ac:dyDescent="0.25">
      <c r="H3815" t="s">
        <v>30</v>
      </c>
    </row>
    <row r="3817" spans="8:8" x14ac:dyDescent="0.25">
      <c r="H3817" t="s">
        <v>9967</v>
      </c>
    </row>
    <row r="3818" spans="8:8" x14ac:dyDescent="0.25">
      <c r="H3818" t="s">
        <v>9968</v>
      </c>
    </row>
    <row r="3819" spans="8:8" x14ac:dyDescent="0.25">
      <c r="H3819" t="s">
        <v>135</v>
      </c>
    </row>
    <row r="3820" spans="8:8" x14ac:dyDescent="0.25">
      <c r="H3820" t="s">
        <v>9969</v>
      </c>
    </row>
    <row r="3821" spans="8:8" x14ac:dyDescent="0.25">
      <c r="H3821" t="s">
        <v>30</v>
      </c>
    </row>
    <row r="3822" spans="8:8" x14ac:dyDescent="0.25">
      <c r="H3822" t="s">
        <v>136</v>
      </c>
    </row>
    <row r="3823" spans="8:8" x14ac:dyDescent="0.25">
      <c r="H3823" t="s">
        <v>9970</v>
      </c>
    </row>
    <row r="3824" spans="8:8" x14ac:dyDescent="0.25">
      <c r="H3824" t="s">
        <v>30</v>
      </c>
    </row>
    <row r="3825" spans="8:8" x14ac:dyDescent="0.25">
      <c r="H3825" t="s">
        <v>137</v>
      </c>
    </row>
    <row r="3826" spans="8:8" x14ac:dyDescent="0.25">
      <c r="H3826" t="s">
        <v>9971</v>
      </c>
    </row>
    <row r="3827" spans="8:8" x14ac:dyDescent="0.25">
      <c r="H3827" t="s">
        <v>30</v>
      </c>
    </row>
    <row r="3828" spans="8:8" x14ac:dyDescent="0.25">
      <c r="H3828" t="s">
        <v>138</v>
      </c>
    </row>
    <row r="3829" spans="8:8" x14ac:dyDescent="0.25">
      <c r="H3829" t="s">
        <v>9972</v>
      </c>
    </row>
    <row r="3830" spans="8:8" x14ac:dyDescent="0.25">
      <c r="H3830" t="s">
        <v>30</v>
      </c>
    </row>
    <row r="3832" spans="8:8" x14ac:dyDescent="0.25">
      <c r="H3832" t="s">
        <v>9973</v>
      </c>
    </row>
    <row r="3833" spans="8:8" x14ac:dyDescent="0.25">
      <c r="H3833" t="s">
        <v>9974</v>
      </c>
    </row>
    <row r="3834" spans="8:8" x14ac:dyDescent="0.25">
      <c r="H3834" t="s">
        <v>135</v>
      </c>
    </row>
    <row r="3835" spans="8:8" x14ac:dyDescent="0.25">
      <c r="H3835" t="s">
        <v>9975</v>
      </c>
    </row>
    <row r="3836" spans="8:8" x14ac:dyDescent="0.25">
      <c r="H3836" t="s">
        <v>30</v>
      </c>
    </row>
    <row r="3837" spans="8:8" x14ac:dyDescent="0.25">
      <c r="H3837" t="s">
        <v>136</v>
      </c>
    </row>
    <row r="3838" spans="8:8" x14ac:dyDescent="0.25">
      <c r="H3838" t="s">
        <v>9976</v>
      </c>
    </row>
    <row r="3839" spans="8:8" x14ac:dyDescent="0.25">
      <c r="H3839" t="s">
        <v>30</v>
      </c>
    </row>
    <row r="3840" spans="8:8" x14ac:dyDescent="0.25">
      <c r="H3840" t="s">
        <v>137</v>
      </c>
    </row>
    <row r="3841" spans="8:8" x14ac:dyDescent="0.25">
      <c r="H3841" t="s">
        <v>9977</v>
      </c>
    </row>
    <row r="3842" spans="8:8" x14ac:dyDescent="0.25">
      <c r="H3842" t="s">
        <v>30</v>
      </c>
    </row>
    <row r="3843" spans="8:8" x14ac:dyDescent="0.25">
      <c r="H3843" t="s">
        <v>138</v>
      </c>
    </row>
    <row r="3844" spans="8:8" x14ac:dyDescent="0.25">
      <c r="H3844" t="s">
        <v>9978</v>
      </c>
    </row>
    <row r="3845" spans="8:8" x14ac:dyDescent="0.25">
      <c r="H3845" t="s">
        <v>30</v>
      </c>
    </row>
    <row r="3847" spans="8:8" x14ac:dyDescent="0.25">
      <c r="H3847" t="s">
        <v>9979</v>
      </c>
    </row>
    <row r="3848" spans="8:8" x14ac:dyDescent="0.25">
      <c r="H3848" t="s">
        <v>9980</v>
      </c>
    </row>
    <row r="3849" spans="8:8" x14ac:dyDescent="0.25">
      <c r="H3849" t="s">
        <v>135</v>
      </c>
    </row>
    <row r="3850" spans="8:8" x14ac:dyDescent="0.25">
      <c r="H3850" t="s">
        <v>9981</v>
      </c>
    </row>
    <row r="3851" spans="8:8" x14ac:dyDescent="0.25">
      <c r="H3851" t="s">
        <v>30</v>
      </c>
    </row>
    <row r="3852" spans="8:8" x14ac:dyDescent="0.25">
      <c r="H3852" t="s">
        <v>136</v>
      </c>
    </row>
    <row r="3853" spans="8:8" x14ac:dyDescent="0.25">
      <c r="H3853" t="s">
        <v>9982</v>
      </c>
    </row>
    <row r="3854" spans="8:8" x14ac:dyDescent="0.25">
      <c r="H3854" t="s">
        <v>30</v>
      </c>
    </row>
    <row r="3855" spans="8:8" x14ac:dyDescent="0.25">
      <c r="H3855" t="s">
        <v>137</v>
      </c>
    </row>
    <row r="3856" spans="8:8" x14ac:dyDescent="0.25">
      <c r="H3856" t="s">
        <v>9983</v>
      </c>
    </row>
    <row r="3857" spans="8:8" x14ac:dyDescent="0.25">
      <c r="H3857" t="s">
        <v>30</v>
      </c>
    </row>
    <row r="3858" spans="8:8" x14ac:dyDescent="0.25">
      <c r="H3858" t="s">
        <v>138</v>
      </c>
    </row>
    <row r="3859" spans="8:8" x14ac:dyDescent="0.25">
      <c r="H3859" t="s">
        <v>9984</v>
      </c>
    </row>
    <row r="3860" spans="8:8" x14ac:dyDescent="0.25">
      <c r="H3860" t="s">
        <v>30</v>
      </c>
    </row>
    <row r="3862" spans="8:8" x14ac:dyDescent="0.25">
      <c r="H3862" t="s">
        <v>9985</v>
      </c>
    </row>
    <row r="3863" spans="8:8" x14ac:dyDescent="0.25">
      <c r="H3863" t="s">
        <v>9986</v>
      </c>
    </row>
    <row r="3864" spans="8:8" x14ac:dyDescent="0.25">
      <c r="H3864" t="s">
        <v>135</v>
      </c>
    </row>
    <row r="3865" spans="8:8" x14ac:dyDescent="0.25">
      <c r="H3865" t="s">
        <v>9987</v>
      </c>
    </row>
    <row r="3866" spans="8:8" x14ac:dyDescent="0.25">
      <c r="H3866" t="s">
        <v>30</v>
      </c>
    </row>
    <row r="3867" spans="8:8" x14ac:dyDescent="0.25">
      <c r="H3867" t="s">
        <v>136</v>
      </c>
    </row>
    <row r="3868" spans="8:8" x14ac:dyDescent="0.25">
      <c r="H3868" t="s">
        <v>9988</v>
      </c>
    </row>
    <row r="3869" spans="8:8" x14ac:dyDescent="0.25">
      <c r="H3869" t="s">
        <v>30</v>
      </c>
    </row>
    <row r="3870" spans="8:8" x14ac:dyDescent="0.25">
      <c r="H3870" t="s">
        <v>137</v>
      </c>
    </row>
    <row r="3871" spans="8:8" x14ac:dyDescent="0.25">
      <c r="H3871" t="s">
        <v>9989</v>
      </c>
    </row>
    <row r="3872" spans="8:8" x14ac:dyDescent="0.25">
      <c r="H3872" t="s">
        <v>30</v>
      </c>
    </row>
    <row r="3873" spans="8:8" x14ac:dyDescent="0.25">
      <c r="H3873" t="s">
        <v>138</v>
      </c>
    </row>
    <row r="3874" spans="8:8" x14ac:dyDescent="0.25">
      <c r="H3874" t="s">
        <v>9990</v>
      </c>
    </row>
    <row r="3875" spans="8:8" x14ac:dyDescent="0.25">
      <c r="H3875" t="s">
        <v>30</v>
      </c>
    </row>
    <row r="3877" spans="8:8" x14ac:dyDescent="0.25">
      <c r="H3877" t="s">
        <v>9991</v>
      </c>
    </row>
    <row r="3878" spans="8:8" x14ac:dyDescent="0.25">
      <c r="H3878" t="s">
        <v>9992</v>
      </c>
    </row>
    <row r="3879" spans="8:8" x14ac:dyDescent="0.25">
      <c r="H3879" t="s">
        <v>135</v>
      </c>
    </row>
    <row r="3880" spans="8:8" x14ac:dyDescent="0.25">
      <c r="H3880" t="s">
        <v>9993</v>
      </c>
    </row>
    <row r="3881" spans="8:8" x14ac:dyDescent="0.25">
      <c r="H3881" t="s">
        <v>30</v>
      </c>
    </row>
    <row r="3882" spans="8:8" x14ac:dyDescent="0.25">
      <c r="H3882" t="s">
        <v>136</v>
      </c>
    </row>
    <row r="3883" spans="8:8" x14ac:dyDescent="0.25">
      <c r="H3883" t="s">
        <v>9994</v>
      </c>
    </row>
    <row r="3884" spans="8:8" x14ac:dyDescent="0.25">
      <c r="H3884" t="s">
        <v>30</v>
      </c>
    </row>
    <row r="3885" spans="8:8" x14ac:dyDescent="0.25">
      <c r="H3885" t="s">
        <v>137</v>
      </c>
    </row>
    <row r="3886" spans="8:8" x14ac:dyDescent="0.25">
      <c r="H3886" t="s">
        <v>9995</v>
      </c>
    </row>
    <row r="3887" spans="8:8" x14ac:dyDescent="0.25">
      <c r="H3887" t="s">
        <v>30</v>
      </c>
    </row>
    <row r="3888" spans="8:8" x14ac:dyDescent="0.25">
      <c r="H3888" t="s">
        <v>138</v>
      </c>
    </row>
    <row r="3889" spans="8:8" x14ac:dyDescent="0.25">
      <c r="H3889" t="s">
        <v>9996</v>
      </c>
    </row>
    <row r="3890" spans="8:8" x14ac:dyDescent="0.25">
      <c r="H3890" t="s">
        <v>30</v>
      </c>
    </row>
    <row r="3892" spans="8:8" x14ac:dyDescent="0.25">
      <c r="H3892" t="s">
        <v>9997</v>
      </c>
    </row>
    <row r="3893" spans="8:8" x14ac:dyDescent="0.25">
      <c r="H3893" t="s">
        <v>9998</v>
      </c>
    </row>
    <row r="3894" spans="8:8" x14ac:dyDescent="0.25">
      <c r="H3894" t="s">
        <v>135</v>
      </c>
    </row>
    <row r="3895" spans="8:8" x14ac:dyDescent="0.25">
      <c r="H3895" t="s">
        <v>9999</v>
      </c>
    </row>
    <row r="3896" spans="8:8" x14ac:dyDescent="0.25">
      <c r="H3896" t="s">
        <v>30</v>
      </c>
    </row>
    <row r="3897" spans="8:8" x14ac:dyDescent="0.25">
      <c r="H3897" t="s">
        <v>136</v>
      </c>
    </row>
    <row r="3898" spans="8:8" x14ac:dyDescent="0.25">
      <c r="H3898" t="s">
        <v>10000</v>
      </c>
    </row>
    <row r="3899" spans="8:8" x14ac:dyDescent="0.25">
      <c r="H3899" t="s">
        <v>30</v>
      </c>
    </row>
    <row r="3900" spans="8:8" x14ac:dyDescent="0.25">
      <c r="H3900" t="s">
        <v>137</v>
      </c>
    </row>
    <row r="3901" spans="8:8" x14ac:dyDescent="0.25">
      <c r="H3901" t="s">
        <v>10001</v>
      </c>
    </row>
    <row r="3902" spans="8:8" x14ac:dyDescent="0.25">
      <c r="H3902" t="s">
        <v>30</v>
      </c>
    </row>
    <row r="3903" spans="8:8" x14ac:dyDescent="0.25">
      <c r="H3903" t="s">
        <v>138</v>
      </c>
    </row>
    <row r="3904" spans="8:8" x14ac:dyDescent="0.25">
      <c r="H3904" t="s">
        <v>10002</v>
      </c>
    </row>
    <row r="3905" spans="8:8" x14ac:dyDescent="0.25">
      <c r="H3905" t="s">
        <v>30</v>
      </c>
    </row>
    <row r="3907" spans="8:8" x14ac:dyDescent="0.25">
      <c r="H3907" t="s">
        <v>10003</v>
      </c>
    </row>
    <row r="3908" spans="8:8" x14ac:dyDescent="0.25">
      <c r="H3908" t="s">
        <v>10004</v>
      </c>
    </row>
    <row r="3909" spans="8:8" x14ac:dyDescent="0.25">
      <c r="H3909" t="s">
        <v>135</v>
      </c>
    </row>
    <row r="3910" spans="8:8" x14ac:dyDescent="0.25">
      <c r="H3910" t="s">
        <v>10005</v>
      </c>
    </row>
    <row r="3911" spans="8:8" x14ac:dyDescent="0.25">
      <c r="H3911" t="s">
        <v>30</v>
      </c>
    </row>
    <row r="3912" spans="8:8" x14ac:dyDescent="0.25">
      <c r="H3912" t="s">
        <v>136</v>
      </c>
    </row>
    <row r="3913" spans="8:8" x14ac:dyDescent="0.25">
      <c r="H3913" t="s">
        <v>10006</v>
      </c>
    </row>
    <row r="3914" spans="8:8" x14ac:dyDescent="0.25">
      <c r="H3914" t="s">
        <v>30</v>
      </c>
    </row>
    <row r="3915" spans="8:8" x14ac:dyDescent="0.25">
      <c r="H3915" t="s">
        <v>137</v>
      </c>
    </row>
    <row r="3916" spans="8:8" x14ac:dyDescent="0.25">
      <c r="H3916" t="s">
        <v>10007</v>
      </c>
    </row>
    <row r="3917" spans="8:8" x14ac:dyDescent="0.25">
      <c r="H3917" t="s">
        <v>30</v>
      </c>
    </row>
    <row r="3918" spans="8:8" x14ac:dyDescent="0.25">
      <c r="H3918" t="s">
        <v>138</v>
      </c>
    </row>
    <row r="3919" spans="8:8" x14ac:dyDescent="0.25">
      <c r="H3919" t="s">
        <v>10008</v>
      </c>
    </row>
    <row r="3920" spans="8:8" x14ac:dyDescent="0.25">
      <c r="H3920" t="s">
        <v>30</v>
      </c>
    </row>
    <row r="3922" spans="8:8" x14ac:dyDescent="0.25">
      <c r="H3922" t="s">
        <v>10009</v>
      </c>
    </row>
    <row r="3923" spans="8:8" x14ac:dyDescent="0.25">
      <c r="H3923" t="s">
        <v>10010</v>
      </c>
    </row>
    <row r="3924" spans="8:8" x14ac:dyDescent="0.25">
      <c r="H3924" t="s">
        <v>135</v>
      </c>
    </row>
    <row r="3925" spans="8:8" x14ac:dyDescent="0.25">
      <c r="H3925" t="s">
        <v>10011</v>
      </c>
    </row>
    <row r="3926" spans="8:8" x14ac:dyDescent="0.25">
      <c r="H3926" t="s">
        <v>30</v>
      </c>
    </row>
    <row r="3927" spans="8:8" x14ac:dyDescent="0.25">
      <c r="H3927" t="s">
        <v>136</v>
      </c>
    </row>
    <row r="3928" spans="8:8" x14ac:dyDescent="0.25">
      <c r="H3928" t="s">
        <v>10012</v>
      </c>
    </row>
    <row r="3929" spans="8:8" x14ac:dyDescent="0.25">
      <c r="H3929" t="s">
        <v>30</v>
      </c>
    </row>
    <row r="3930" spans="8:8" x14ac:dyDescent="0.25">
      <c r="H3930" t="s">
        <v>137</v>
      </c>
    </row>
    <row r="3931" spans="8:8" x14ac:dyDescent="0.25">
      <c r="H3931" t="s">
        <v>10013</v>
      </c>
    </row>
    <row r="3932" spans="8:8" x14ac:dyDescent="0.25">
      <c r="H3932" t="s">
        <v>30</v>
      </c>
    </row>
    <row r="3933" spans="8:8" x14ac:dyDescent="0.25">
      <c r="H3933" t="s">
        <v>138</v>
      </c>
    </row>
    <row r="3934" spans="8:8" x14ac:dyDescent="0.25">
      <c r="H3934" t="s">
        <v>10014</v>
      </c>
    </row>
    <row r="3935" spans="8:8" x14ac:dyDescent="0.25">
      <c r="H3935" t="s">
        <v>30</v>
      </c>
    </row>
    <row r="3937" spans="8:8" x14ac:dyDescent="0.25">
      <c r="H3937" t="s">
        <v>10015</v>
      </c>
    </row>
    <row r="3938" spans="8:8" x14ac:dyDescent="0.25">
      <c r="H3938" t="s">
        <v>10016</v>
      </c>
    </row>
    <row r="3939" spans="8:8" x14ac:dyDescent="0.25">
      <c r="H3939" t="s">
        <v>135</v>
      </c>
    </row>
    <row r="3940" spans="8:8" x14ac:dyDescent="0.25">
      <c r="H3940" t="s">
        <v>10017</v>
      </c>
    </row>
    <row r="3941" spans="8:8" x14ac:dyDescent="0.25">
      <c r="H3941" t="s">
        <v>30</v>
      </c>
    </row>
    <row r="3942" spans="8:8" x14ac:dyDescent="0.25">
      <c r="H3942" t="s">
        <v>136</v>
      </c>
    </row>
    <row r="3943" spans="8:8" x14ac:dyDescent="0.25">
      <c r="H3943" t="s">
        <v>10018</v>
      </c>
    </row>
    <row r="3944" spans="8:8" x14ac:dyDescent="0.25">
      <c r="H3944" t="s">
        <v>30</v>
      </c>
    </row>
    <row r="3945" spans="8:8" x14ac:dyDescent="0.25">
      <c r="H3945" t="s">
        <v>137</v>
      </c>
    </row>
    <row r="3946" spans="8:8" x14ac:dyDescent="0.25">
      <c r="H3946" t="s">
        <v>10019</v>
      </c>
    </row>
    <row r="3947" spans="8:8" x14ac:dyDescent="0.25">
      <c r="H3947" t="s">
        <v>30</v>
      </c>
    </row>
    <row r="3948" spans="8:8" x14ac:dyDescent="0.25">
      <c r="H3948" t="s">
        <v>138</v>
      </c>
    </row>
    <row r="3949" spans="8:8" x14ac:dyDescent="0.25">
      <c r="H3949" t="s">
        <v>10020</v>
      </c>
    </row>
    <row r="3950" spans="8:8" x14ac:dyDescent="0.25">
      <c r="H3950" t="s">
        <v>30</v>
      </c>
    </row>
    <row r="3952" spans="8:8" x14ac:dyDescent="0.25">
      <c r="H3952" t="s">
        <v>10021</v>
      </c>
    </row>
    <row r="3953" spans="8:8" x14ac:dyDescent="0.25">
      <c r="H3953" t="s">
        <v>10022</v>
      </c>
    </row>
    <row r="3954" spans="8:8" x14ac:dyDescent="0.25">
      <c r="H3954" t="s">
        <v>135</v>
      </c>
    </row>
    <row r="3955" spans="8:8" x14ac:dyDescent="0.25">
      <c r="H3955" t="s">
        <v>10023</v>
      </c>
    </row>
    <row r="3956" spans="8:8" x14ac:dyDescent="0.25">
      <c r="H3956" t="s">
        <v>30</v>
      </c>
    </row>
    <row r="3957" spans="8:8" x14ac:dyDescent="0.25">
      <c r="H3957" t="s">
        <v>136</v>
      </c>
    </row>
    <row r="3958" spans="8:8" x14ac:dyDescent="0.25">
      <c r="H3958" t="s">
        <v>10024</v>
      </c>
    </row>
    <row r="3959" spans="8:8" x14ac:dyDescent="0.25">
      <c r="H3959" t="s">
        <v>30</v>
      </c>
    </row>
    <row r="3960" spans="8:8" x14ac:dyDescent="0.25">
      <c r="H3960" t="s">
        <v>137</v>
      </c>
    </row>
    <row r="3961" spans="8:8" x14ac:dyDescent="0.25">
      <c r="H3961" t="s">
        <v>10025</v>
      </c>
    </row>
    <row r="3962" spans="8:8" x14ac:dyDescent="0.25">
      <c r="H3962" t="s">
        <v>30</v>
      </c>
    </row>
    <row r="3963" spans="8:8" x14ac:dyDescent="0.25">
      <c r="H3963" t="s">
        <v>138</v>
      </c>
    </row>
    <row r="3964" spans="8:8" x14ac:dyDescent="0.25">
      <c r="H3964" t="s">
        <v>10026</v>
      </c>
    </row>
    <row r="3965" spans="8:8" x14ac:dyDescent="0.25">
      <c r="H3965" t="s">
        <v>30</v>
      </c>
    </row>
    <row r="3967" spans="8:8" x14ac:dyDescent="0.25">
      <c r="H3967" t="s">
        <v>10027</v>
      </c>
    </row>
    <row r="3968" spans="8:8" x14ac:dyDescent="0.25">
      <c r="H3968" t="s">
        <v>10028</v>
      </c>
    </row>
    <row r="3969" spans="8:8" x14ac:dyDescent="0.25">
      <c r="H3969" t="s">
        <v>135</v>
      </c>
    </row>
    <row r="3970" spans="8:8" x14ac:dyDescent="0.25">
      <c r="H3970" t="s">
        <v>10029</v>
      </c>
    </row>
    <row r="3971" spans="8:8" x14ac:dyDescent="0.25">
      <c r="H3971" t="s">
        <v>30</v>
      </c>
    </row>
    <row r="3972" spans="8:8" x14ac:dyDescent="0.25">
      <c r="H3972" t="s">
        <v>136</v>
      </c>
    </row>
    <row r="3973" spans="8:8" x14ac:dyDescent="0.25">
      <c r="H3973" t="s">
        <v>10030</v>
      </c>
    </row>
    <row r="3974" spans="8:8" x14ac:dyDescent="0.25">
      <c r="H3974" t="s">
        <v>30</v>
      </c>
    </row>
    <row r="3975" spans="8:8" x14ac:dyDescent="0.25">
      <c r="H3975" t="s">
        <v>137</v>
      </c>
    </row>
    <row r="3976" spans="8:8" x14ac:dyDescent="0.25">
      <c r="H3976" t="s">
        <v>10031</v>
      </c>
    </row>
    <row r="3977" spans="8:8" x14ac:dyDescent="0.25">
      <c r="H3977" t="s">
        <v>30</v>
      </c>
    </row>
    <row r="3978" spans="8:8" x14ac:dyDescent="0.25">
      <c r="H3978" t="s">
        <v>138</v>
      </c>
    </row>
    <row r="3979" spans="8:8" x14ac:dyDescent="0.25">
      <c r="H3979" t="s">
        <v>10032</v>
      </c>
    </row>
    <row r="3980" spans="8:8" x14ac:dyDescent="0.25">
      <c r="H3980" t="s">
        <v>30</v>
      </c>
    </row>
    <row r="3982" spans="8:8" x14ac:dyDescent="0.25">
      <c r="H3982" t="s">
        <v>10033</v>
      </c>
    </row>
    <row r="3983" spans="8:8" x14ac:dyDescent="0.25">
      <c r="H3983" t="s">
        <v>10034</v>
      </c>
    </row>
    <row r="3984" spans="8:8" x14ac:dyDescent="0.25">
      <c r="H3984" t="s">
        <v>135</v>
      </c>
    </row>
    <row r="3985" spans="8:8" x14ac:dyDescent="0.25">
      <c r="H3985" t="s">
        <v>10035</v>
      </c>
    </row>
    <row r="3986" spans="8:8" x14ac:dyDescent="0.25">
      <c r="H3986" t="s">
        <v>30</v>
      </c>
    </row>
    <row r="3987" spans="8:8" x14ac:dyDescent="0.25">
      <c r="H3987" t="s">
        <v>136</v>
      </c>
    </row>
    <row r="3988" spans="8:8" x14ac:dyDescent="0.25">
      <c r="H3988" t="s">
        <v>10036</v>
      </c>
    </row>
    <row r="3989" spans="8:8" x14ac:dyDescent="0.25">
      <c r="H3989" t="s">
        <v>30</v>
      </c>
    </row>
    <row r="3990" spans="8:8" x14ac:dyDescent="0.25">
      <c r="H3990" t="s">
        <v>137</v>
      </c>
    </row>
    <row r="3991" spans="8:8" x14ac:dyDescent="0.25">
      <c r="H3991" t="s">
        <v>10037</v>
      </c>
    </row>
    <row r="3992" spans="8:8" x14ac:dyDescent="0.25">
      <c r="H3992" t="s">
        <v>30</v>
      </c>
    </row>
    <row r="3993" spans="8:8" x14ac:dyDescent="0.25">
      <c r="H3993" t="s">
        <v>138</v>
      </c>
    </row>
    <row r="3994" spans="8:8" x14ac:dyDescent="0.25">
      <c r="H3994" t="s">
        <v>10038</v>
      </c>
    </row>
    <row r="3995" spans="8:8" x14ac:dyDescent="0.25">
      <c r="H3995" t="s">
        <v>30</v>
      </c>
    </row>
    <row r="3997" spans="8:8" x14ac:dyDescent="0.25">
      <c r="H3997" t="s">
        <v>10039</v>
      </c>
    </row>
    <row r="3998" spans="8:8" x14ac:dyDescent="0.25">
      <c r="H3998" t="s">
        <v>10040</v>
      </c>
    </row>
    <row r="3999" spans="8:8" x14ac:dyDescent="0.25">
      <c r="H3999" t="s">
        <v>135</v>
      </c>
    </row>
    <row r="4000" spans="8:8" x14ac:dyDescent="0.25">
      <c r="H4000" t="s">
        <v>10041</v>
      </c>
    </row>
    <row r="4001" spans="8:8" x14ac:dyDescent="0.25">
      <c r="H4001" t="s">
        <v>30</v>
      </c>
    </row>
    <row r="4002" spans="8:8" x14ac:dyDescent="0.25">
      <c r="H4002" t="s">
        <v>136</v>
      </c>
    </row>
    <row r="4003" spans="8:8" x14ac:dyDescent="0.25">
      <c r="H4003" t="s">
        <v>10042</v>
      </c>
    </row>
    <row r="4004" spans="8:8" x14ac:dyDescent="0.25">
      <c r="H4004" t="s">
        <v>30</v>
      </c>
    </row>
    <row r="4005" spans="8:8" x14ac:dyDescent="0.25">
      <c r="H4005" t="s">
        <v>137</v>
      </c>
    </row>
    <row r="4006" spans="8:8" x14ac:dyDescent="0.25">
      <c r="H4006" t="s">
        <v>10043</v>
      </c>
    </row>
    <row r="4007" spans="8:8" x14ac:dyDescent="0.25">
      <c r="H4007" t="s">
        <v>30</v>
      </c>
    </row>
    <row r="4008" spans="8:8" x14ac:dyDescent="0.25">
      <c r="H4008" t="s">
        <v>138</v>
      </c>
    </row>
    <row r="4009" spans="8:8" x14ac:dyDescent="0.25">
      <c r="H4009" t="s">
        <v>10044</v>
      </c>
    </row>
    <row r="4010" spans="8:8" x14ac:dyDescent="0.25">
      <c r="H4010" t="s">
        <v>30</v>
      </c>
    </row>
    <row r="4012" spans="8:8" x14ac:dyDescent="0.25">
      <c r="H4012" t="s">
        <v>10045</v>
      </c>
    </row>
    <row r="4013" spans="8:8" x14ac:dyDescent="0.25">
      <c r="H4013" t="s">
        <v>10046</v>
      </c>
    </row>
    <row r="4014" spans="8:8" x14ac:dyDescent="0.25">
      <c r="H4014" t="s">
        <v>135</v>
      </c>
    </row>
    <row r="4015" spans="8:8" x14ac:dyDescent="0.25">
      <c r="H4015" t="s">
        <v>10047</v>
      </c>
    </row>
    <row r="4016" spans="8:8" x14ac:dyDescent="0.25">
      <c r="H4016" t="s">
        <v>30</v>
      </c>
    </row>
    <row r="4017" spans="8:8" x14ac:dyDescent="0.25">
      <c r="H4017" t="s">
        <v>136</v>
      </c>
    </row>
    <row r="4018" spans="8:8" x14ac:dyDescent="0.25">
      <c r="H4018" t="s">
        <v>10048</v>
      </c>
    </row>
    <row r="4019" spans="8:8" x14ac:dyDescent="0.25">
      <c r="H4019" t="s">
        <v>30</v>
      </c>
    </row>
    <row r="4020" spans="8:8" x14ac:dyDescent="0.25">
      <c r="H4020" t="s">
        <v>137</v>
      </c>
    </row>
    <row r="4021" spans="8:8" x14ac:dyDescent="0.25">
      <c r="H4021" t="s">
        <v>10049</v>
      </c>
    </row>
    <row r="4022" spans="8:8" x14ac:dyDescent="0.25">
      <c r="H4022" t="s">
        <v>30</v>
      </c>
    </row>
    <row r="4023" spans="8:8" x14ac:dyDescent="0.25">
      <c r="H4023" t="s">
        <v>138</v>
      </c>
    </row>
    <row r="4024" spans="8:8" x14ac:dyDescent="0.25">
      <c r="H4024" t="s">
        <v>10050</v>
      </c>
    </row>
    <row r="4025" spans="8:8" x14ac:dyDescent="0.25">
      <c r="H4025" t="s">
        <v>30</v>
      </c>
    </row>
    <row r="4027" spans="8:8" x14ac:dyDescent="0.25">
      <c r="H4027" t="s">
        <v>10051</v>
      </c>
    </row>
    <row r="4028" spans="8:8" x14ac:dyDescent="0.25">
      <c r="H4028" t="s">
        <v>10052</v>
      </c>
    </row>
    <row r="4029" spans="8:8" x14ac:dyDescent="0.25">
      <c r="H4029" t="s">
        <v>135</v>
      </c>
    </row>
    <row r="4030" spans="8:8" x14ac:dyDescent="0.25">
      <c r="H4030" t="s">
        <v>10053</v>
      </c>
    </row>
    <row r="4031" spans="8:8" x14ac:dyDescent="0.25">
      <c r="H4031" t="s">
        <v>30</v>
      </c>
    </row>
    <row r="4032" spans="8:8" x14ac:dyDescent="0.25">
      <c r="H4032" t="s">
        <v>136</v>
      </c>
    </row>
    <row r="4033" spans="8:8" x14ac:dyDescent="0.25">
      <c r="H4033" t="s">
        <v>10054</v>
      </c>
    </row>
    <row r="4034" spans="8:8" x14ac:dyDescent="0.25">
      <c r="H4034" t="s">
        <v>30</v>
      </c>
    </row>
    <row r="4035" spans="8:8" x14ac:dyDescent="0.25">
      <c r="H4035" t="s">
        <v>137</v>
      </c>
    </row>
    <row r="4036" spans="8:8" x14ac:dyDescent="0.25">
      <c r="H4036" t="s">
        <v>10055</v>
      </c>
    </row>
    <row r="4037" spans="8:8" x14ac:dyDescent="0.25">
      <c r="H4037" t="s">
        <v>30</v>
      </c>
    </row>
    <row r="4038" spans="8:8" x14ac:dyDescent="0.25">
      <c r="H4038" t="s">
        <v>138</v>
      </c>
    </row>
    <row r="4039" spans="8:8" x14ac:dyDescent="0.25">
      <c r="H4039" t="s">
        <v>10056</v>
      </c>
    </row>
    <row r="4040" spans="8:8" x14ac:dyDescent="0.25">
      <c r="H4040" t="s">
        <v>30</v>
      </c>
    </row>
    <row r="4042" spans="8:8" x14ac:dyDescent="0.25">
      <c r="H4042" t="s">
        <v>10057</v>
      </c>
    </row>
    <row r="4043" spans="8:8" x14ac:dyDescent="0.25">
      <c r="H4043" t="s">
        <v>10058</v>
      </c>
    </row>
    <row r="4044" spans="8:8" x14ac:dyDescent="0.25">
      <c r="H4044" t="s">
        <v>135</v>
      </c>
    </row>
    <row r="4045" spans="8:8" x14ac:dyDescent="0.25">
      <c r="H4045" t="s">
        <v>10059</v>
      </c>
    </row>
    <row r="4046" spans="8:8" x14ac:dyDescent="0.25">
      <c r="H4046" t="s">
        <v>30</v>
      </c>
    </row>
    <row r="4047" spans="8:8" x14ac:dyDescent="0.25">
      <c r="H4047" t="s">
        <v>136</v>
      </c>
    </row>
    <row r="4048" spans="8:8" x14ac:dyDescent="0.25">
      <c r="H4048" t="s">
        <v>10060</v>
      </c>
    </row>
    <row r="4049" spans="8:8" x14ac:dyDescent="0.25">
      <c r="H4049" t="s">
        <v>30</v>
      </c>
    </row>
    <row r="4050" spans="8:8" x14ac:dyDescent="0.25">
      <c r="H4050" t="s">
        <v>137</v>
      </c>
    </row>
    <row r="4051" spans="8:8" x14ac:dyDescent="0.25">
      <c r="H4051" t="s">
        <v>10061</v>
      </c>
    </row>
    <row r="4052" spans="8:8" x14ac:dyDescent="0.25">
      <c r="H4052" t="s">
        <v>30</v>
      </c>
    </row>
    <row r="4053" spans="8:8" x14ac:dyDescent="0.25">
      <c r="H4053" t="s">
        <v>138</v>
      </c>
    </row>
    <row r="4054" spans="8:8" x14ac:dyDescent="0.25">
      <c r="H4054" t="s">
        <v>10062</v>
      </c>
    </row>
    <row r="4055" spans="8:8" x14ac:dyDescent="0.25">
      <c r="H4055" t="s">
        <v>30</v>
      </c>
    </row>
    <row r="4057" spans="8:8" x14ac:dyDescent="0.25">
      <c r="H4057" t="s">
        <v>10063</v>
      </c>
    </row>
    <row r="4058" spans="8:8" x14ac:dyDescent="0.25">
      <c r="H4058" t="s">
        <v>10064</v>
      </c>
    </row>
    <row r="4059" spans="8:8" x14ac:dyDescent="0.25">
      <c r="H4059" t="s">
        <v>135</v>
      </c>
    </row>
    <row r="4060" spans="8:8" x14ac:dyDescent="0.25">
      <c r="H4060" t="s">
        <v>10065</v>
      </c>
    </row>
    <row r="4061" spans="8:8" x14ac:dyDescent="0.25">
      <c r="H4061" t="s">
        <v>30</v>
      </c>
    </row>
    <row r="4062" spans="8:8" x14ac:dyDescent="0.25">
      <c r="H4062" t="s">
        <v>136</v>
      </c>
    </row>
    <row r="4063" spans="8:8" x14ac:dyDescent="0.25">
      <c r="H4063" t="s">
        <v>10066</v>
      </c>
    </row>
    <row r="4064" spans="8:8" x14ac:dyDescent="0.25">
      <c r="H4064" t="s">
        <v>30</v>
      </c>
    </row>
    <row r="4065" spans="8:8" x14ac:dyDescent="0.25">
      <c r="H4065" t="s">
        <v>137</v>
      </c>
    </row>
    <row r="4066" spans="8:8" x14ac:dyDescent="0.25">
      <c r="H4066" t="s">
        <v>10067</v>
      </c>
    </row>
    <row r="4067" spans="8:8" x14ac:dyDescent="0.25">
      <c r="H4067" t="s">
        <v>30</v>
      </c>
    </row>
    <row r="4068" spans="8:8" x14ac:dyDescent="0.25">
      <c r="H4068" t="s">
        <v>138</v>
      </c>
    </row>
    <row r="4069" spans="8:8" x14ac:dyDescent="0.25">
      <c r="H4069" t="s">
        <v>10068</v>
      </c>
    </row>
    <row r="4070" spans="8:8" x14ac:dyDescent="0.25">
      <c r="H4070" t="s">
        <v>30</v>
      </c>
    </row>
    <row r="4072" spans="8:8" x14ac:dyDescent="0.25">
      <c r="H4072" t="s">
        <v>10069</v>
      </c>
    </row>
    <row r="4073" spans="8:8" x14ac:dyDescent="0.25">
      <c r="H4073" t="s">
        <v>10070</v>
      </c>
    </row>
    <row r="4074" spans="8:8" x14ac:dyDescent="0.25">
      <c r="H4074" t="s">
        <v>135</v>
      </c>
    </row>
    <row r="4075" spans="8:8" x14ac:dyDescent="0.25">
      <c r="H4075" t="s">
        <v>10071</v>
      </c>
    </row>
    <row r="4076" spans="8:8" x14ac:dyDescent="0.25">
      <c r="H4076" t="s">
        <v>30</v>
      </c>
    </row>
    <row r="4077" spans="8:8" x14ac:dyDescent="0.25">
      <c r="H4077" t="s">
        <v>136</v>
      </c>
    </row>
    <row r="4078" spans="8:8" x14ac:dyDescent="0.25">
      <c r="H4078" t="s">
        <v>10072</v>
      </c>
    </row>
    <row r="4079" spans="8:8" x14ac:dyDescent="0.25">
      <c r="H4079" t="s">
        <v>30</v>
      </c>
    </row>
    <row r="4080" spans="8:8" x14ac:dyDescent="0.25">
      <c r="H4080" t="s">
        <v>137</v>
      </c>
    </row>
    <row r="4081" spans="8:8" x14ac:dyDescent="0.25">
      <c r="H4081" t="s">
        <v>10073</v>
      </c>
    </row>
    <row r="4082" spans="8:8" x14ac:dyDescent="0.25">
      <c r="H4082" t="s">
        <v>30</v>
      </c>
    </row>
    <row r="4083" spans="8:8" x14ac:dyDescent="0.25">
      <c r="H4083" t="s">
        <v>138</v>
      </c>
    </row>
    <row r="4084" spans="8:8" x14ac:dyDescent="0.25">
      <c r="H4084" t="s">
        <v>10074</v>
      </c>
    </row>
    <row r="4085" spans="8:8" x14ac:dyDescent="0.25">
      <c r="H4085" t="s">
        <v>30</v>
      </c>
    </row>
    <row r="4087" spans="8:8" x14ac:dyDescent="0.25">
      <c r="H4087" t="s">
        <v>10075</v>
      </c>
    </row>
    <row r="4088" spans="8:8" x14ac:dyDescent="0.25">
      <c r="H4088" t="s">
        <v>10076</v>
      </c>
    </row>
    <row r="4089" spans="8:8" x14ac:dyDescent="0.25">
      <c r="H4089" t="s">
        <v>135</v>
      </c>
    </row>
    <row r="4090" spans="8:8" x14ac:dyDescent="0.25">
      <c r="H4090" t="s">
        <v>10077</v>
      </c>
    </row>
    <row r="4091" spans="8:8" x14ac:dyDescent="0.25">
      <c r="H4091" t="s">
        <v>30</v>
      </c>
    </row>
    <row r="4092" spans="8:8" x14ac:dyDescent="0.25">
      <c r="H4092" t="s">
        <v>136</v>
      </c>
    </row>
    <row r="4093" spans="8:8" x14ac:dyDescent="0.25">
      <c r="H4093" t="s">
        <v>10078</v>
      </c>
    </row>
    <row r="4094" spans="8:8" x14ac:dyDescent="0.25">
      <c r="H4094" t="s">
        <v>30</v>
      </c>
    </row>
    <row r="4095" spans="8:8" x14ac:dyDescent="0.25">
      <c r="H4095" t="s">
        <v>137</v>
      </c>
    </row>
    <row r="4096" spans="8:8" x14ac:dyDescent="0.25">
      <c r="H4096" t="s">
        <v>10079</v>
      </c>
    </row>
    <row r="4097" spans="8:8" x14ac:dyDescent="0.25">
      <c r="H4097" t="s">
        <v>30</v>
      </c>
    </row>
    <row r="4098" spans="8:8" x14ac:dyDescent="0.25">
      <c r="H4098" t="s">
        <v>138</v>
      </c>
    </row>
    <row r="4099" spans="8:8" x14ac:dyDescent="0.25">
      <c r="H4099" t="s">
        <v>10080</v>
      </c>
    </row>
    <row r="4100" spans="8:8" x14ac:dyDescent="0.25">
      <c r="H4100" t="s">
        <v>30</v>
      </c>
    </row>
    <row r="4102" spans="8:8" x14ac:dyDescent="0.25">
      <c r="H4102" t="s">
        <v>10081</v>
      </c>
    </row>
    <row r="4103" spans="8:8" x14ac:dyDescent="0.25">
      <c r="H4103" t="s">
        <v>10082</v>
      </c>
    </row>
    <row r="4104" spans="8:8" x14ac:dyDescent="0.25">
      <c r="H4104" t="s">
        <v>135</v>
      </c>
    </row>
    <row r="4105" spans="8:8" x14ac:dyDescent="0.25">
      <c r="H4105" t="s">
        <v>10083</v>
      </c>
    </row>
    <row r="4106" spans="8:8" x14ac:dyDescent="0.25">
      <c r="H4106" t="s">
        <v>30</v>
      </c>
    </row>
    <row r="4107" spans="8:8" x14ac:dyDescent="0.25">
      <c r="H4107" t="s">
        <v>136</v>
      </c>
    </row>
    <row r="4108" spans="8:8" x14ac:dyDescent="0.25">
      <c r="H4108" t="s">
        <v>10084</v>
      </c>
    </row>
    <row r="4109" spans="8:8" x14ac:dyDescent="0.25">
      <c r="H4109" t="s">
        <v>30</v>
      </c>
    </row>
    <row r="4110" spans="8:8" x14ac:dyDescent="0.25">
      <c r="H4110" t="s">
        <v>137</v>
      </c>
    </row>
    <row r="4111" spans="8:8" x14ac:dyDescent="0.25">
      <c r="H4111" t="s">
        <v>10085</v>
      </c>
    </row>
    <row r="4112" spans="8:8" x14ac:dyDescent="0.25">
      <c r="H4112" t="s">
        <v>30</v>
      </c>
    </row>
    <row r="4113" spans="8:8" x14ac:dyDescent="0.25">
      <c r="H4113" t="s">
        <v>138</v>
      </c>
    </row>
    <row r="4114" spans="8:8" x14ac:dyDescent="0.25">
      <c r="H4114" t="s">
        <v>10086</v>
      </c>
    </row>
    <row r="4115" spans="8:8" x14ac:dyDescent="0.25">
      <c r="H4115" t="s">
        <v>30</v>
      </c>
    </row>
    <row r="4117" spans="8:8" x14ac:dyDescent="0.25">
      <c r="H4117" t="s">
        <v>10087</v>
      </c>
    </row>
    <row r="4118" spans="8:8" x14ac:dyDescent="0.25">
      <c r="H4118" t="s">
        <v>10088</v>
      </c>
    </row>
    <row r="4119" spans="8:8" x14ac:dyDescent="0.25">
      <c r="H4119" t="s">
        <v>135</v>
      </c>
    </row>
    <row r="4120" spans="8:8" x14ac:dyDescent="0.25">
      <c r="H4120" t="s">
        <v>10089</v>
      </c>
    </row>
    <row r="4121" spans="8:8" x14ac:dyDescent="0.25">
      <c r="H4121" t="s">
        <v>30</v>
      </c>
    </row>
    <row r="4122" spans="8:8" x14ac:dyDescent="0.25">
      <c r="H4122" t="s">
        <v>136</v>
      </c>
    </row>
    <row r="4123" spans="8:8" x14ac:dyDescent="0.25">
      <c r="H4123" t="s">
        <v>10090</v>
      </c>
    </row>
    <row r="4124" spans="8:8" x14ac:dyDescent="0.25">
      <c r="H4124" t="s">
        <v>30</v>
      </c>
    </row>
    <row r="4125" spans="8:8" x14ac:dyDescent="0.25">
      <c r="H4125" t="s">
        <v>137</v>
      </c>
    </row>
    <row r="4126" spans="8:8" x14ac:dyDescent="0.25">
      <c r="H4126" t="s">
        <v>10091</v>
      </c>
    </row>
    <row r="4127" spans="8:8" x14ac:dyDescent="0.25">
      <c r="H4127" t="s">
        <v>30</v>
      </c>
    </row>
    <row r="4128" spans="8:8" x14ac:dyDescent="0.25">
      <c r="H4128" t="s">
        <v>138</v>
      </c>
    </row>
    <row r="4129" spans="8:8" x14ac:dyDescent="0.25">
      <c r="H4129" t="s">
        <v>10092</v>
      </c>
    </row>
    <row r="4130" spans="8:8" x14ac:dyDescent="0.25">
      <c r="H4130" t="s">
        <v>30</v>
      </c>
    </row>
    <row r="4132" spans="8:8" x14ac:dyDescent="0.25">
      <c r="H4132" t="s">
        <v>10093</v>
      </c>
    </row>
    <row r="4133" spans="8:8" x14ac:dyDescent="0.25">
      <c r="H4133" t="s">
        <v>10094</v>
      </c>
    </row>
    <row r="4134" spans="8:8" x14ac:dyDescent="0.25">
      <c r="H4134" t="s">
        <v>135</v>
      </c>
    </row>
    <row r="4135" spans="8:8" x14ac:dyDescent="0.25">
      <c r="H4135" t="s">
        <v>10095</v>
      </c>
    </row>
    <row r="4136" spans="8:8" x14ac:dyDescent="0.25">
      <c r="H4136" t="s">
        <v>30</v>
      </c>
    </row>
    <row r="4137" spans="8:8" x14ac:dyDescent="0.25">
      <c r="H4137" t="s">
        <v>136</v>
      </c>
    </row>
    <row r="4138" spans="8:8" x14ac:dyDescent="0.25">
      <c r="H4138" t="s">
        <v>10096</v>
      </c>
    </row>
    <row r="4139" spans="8:8" x14ac:dyDescent="0.25">
      <c r="H4139" t="s">
        <v>30</v>
      </c>
    </row>
    <row r="4140" spans="8:8" x14ac:dyDescent="0.25">
      <c r="H4140" t="s">
        <v>137</v>
      </c>
    </row>
    <row r="4141" spans="8:8" x14ac:dyDescent="0.25">
      <c r="H4141" t="s">
        <v>10097</v>
      </c>
    </row>
    <row r="4142" spans="8:8" x14ac:dyDescent="0.25">
      <c r="H4142" t="s">
        <v>30</v>
      </c>
    </row>
    <row r="4143" spans="8:8" x14ac:dyDescent="0.25">
      <c r="H4143" t="s">
        <v>138</v>
      </c>
    </row>
    <row r="4144" spans="8:8" x14ac:dyDescent="0.25">
      <c r="H4144" t="s">
        <v>10098</v>
      </c>
    </row>
    <row r="4145" spans="8:8" x14ac:dyDescent="0.25">
      <c r="H4145" t="s">
        <v>30</v>
      </c>
    </row>
    <row r="4147" spans="8:8" x14ac:dyDescent="0.25">
      <c r="H4147" t="s">
        <v>10099</v>
      </c>
    </row>
    <row r="4148" spans="8:8" x14ac:dyDescent="0.25">
      <c r="H4148" t="s">
        <v>10100</v>
      </c>
    </row>
    <row r="4149" spans="8:8" x14ac:dyDescent="0.25">
      <c r="H4149" t="s">
        <v>135</v>
      </c>
    </row>
    <row r="4150" spans="8:8" x14ac:dyDescent="0.25">
      <c r="H4150" t="s">
        <v>10101</v>
      </c>
    </row>
    <row r="4151" spans="8:8" x14ac:dyDescent="0.25">
      <c r="H4151" t="s">
        <v>30</v>
      </c>
    </row>
    <row r="4152" spans="8:8" x14ac:dyDescent="0.25">
      <c r="H4152" t="s">
        <v>136</v>
      </c>
    </row>
    <row r="4153" spans="8:8" x14ac:dyDescent="0.25">
      <c r="H4153" t="s">
        <v>10102</v>
      </c>
    </row>
    <row r="4154" spans="8:8" x14ac:dyDescent="0.25">
      <c r="H4154" t="s">
        <v>30</v>
      </c>
    </row>
    <row r="4155" spans="8:8" x14ac:dyDescent="0.25">
      <c r="H4155" t="s">
        <v>137</v>
      </c>
    </row>
    <row r="4156" spans="8:8" x14ac:dyDescent="0.25">
      <c r="H4156" t="s">
        <v>10103</v>
      </c>
    </row>
    <row r="4157" spans="8:8" x14ac:dyDescent="0.25">
      <c r="H4157" t="s">
        <v>30</v>
      </c>
    </row>
    <row r="4158" spans="8:8" x14ac:dyDescent="0.25">
      <c r="H4158" t="s">
        <v>138</v>
      </c>
    </row>
    <row r="4159" spans="8:8" x14ac:dyDescent="0.25">
      <c r="H4159" t="s">
        <v>10104</v>
      </c>
    </row>
    <row r="4160" spans="8:8" x14ac:dyDescent="0.25">
      <c r="H4160" t="s">
        <v>30</v>
      </c>
    </row>
    <row r="4162" spans="8:8" x14ac:dyDescent="0.25">
      <c r="H4162" t="s">
        <v>10105</v>
      </c>
    </row>
    <row r="4163" spans="8:8" x14ac:dyDescent="0.25">
      <c r="H4163" t="s">
        <v>10106</v>
      </c>
    </row>
    <row r="4164" spans="8:8" x14ac:dyDescent="0.25">
      <c r="H4164" t="s">
        <v>135</v>
      </c>
    </row>
    <row r="4165" spans="8:8" x14ac:dyDescent="0.25">
      <c r="H4165" t="s">
        <v>10107</v>
      </c>
    </row>
    <row r="4166" spans="8:8" x14ac:dyDescent="0.25">
      <c r="H4166" t="s">
        <v>30</v>
      </c>
    </row>
    <row r="4167" spans="8:8" x14ac:dyDescent="0.25">
      <c r="H4167" t="s">
        <v>136</v>
      </c>
    </row>
    <row r="4168" spans="8:8" x14ac:dyDescent="0.25">
      <c r="H4168" t="s">
        <v>10108</v>
      </c>
    </row>
    <row r="4169" spans="8:8" x14ac:dyDescent="0.25">
      <c r="H4169" t="s">
        <v>30</v>
      </c>
    </row>
    <row r="4170" spans="8:8" x14ac:dyDescent="0.25">
      <c r="H4170" t="s">
        <v>137</v>
      </c>
    </row>
    <row r="4171" spans="8:8" x14ac:dyDescent="0.25">
      <c r="H4171" t="s">
        <v>10109</v>
      </c>
    </row>
    <row r="4172" spans="8:8" x14ac:dyDescent="0.25">
      <c r="H4172" t="s">
        <v>30</v>
      </c>
    </row>
    <row r="4173" spans="8:8" x14ac:dyDescent="0.25">
      <c r="H4173" t="s">
        <v>138</v>
      </c>
    </row>
    <row r="4174" spans="8:8" x14ac:dyDescent="0.25">
      <c r="H4174" t="s">
        <v>10110</v>
      </c>
    </row>
    <row r="4175" spans="8:8" x14ac:dyDescent="0.25">
      <c r="H4175" t="s">
        <v>30</v>
      </c>
    </row>
    <row r="4177" spans="8:8" x14ac:dyDescent="0.25">
      <c r="H4177" t="s">
        <v>10111</v>
      </c>
    </row>
    <row r="4178" spans="8:8" x14ac:dyDescent="0.25">
      <c r="H4178" t="s">
        <v>10112</v>
      </c>
    </row>
    <row r="4179" spans="8:8" x14ac:dyDescent="0.25">
      <c r="H4179" t="s">
        <v>135</v>
      </c>
    </row>
    <row r="4180" spans="8:8" x14ac:dyDescent="0.25">
      <c r="H4180" t="s">
        <v>10113</v>
      </c>
    </row>
    <row r="4181" spans="8:8" x14ac:dyDescent="0.25">
      <c r="H4181" t="s">
        <v>30</v>
      </c>
    </row>
    <row r="4182" spans="8:8" x14ac:dyDescent="0.25">
      <c r="H4182" t="s">
        <v>136</v>
      </c>
    </row>
    <row r="4183" spans="8:8" x14ac:dyDescent="0.25">
      <c r="H4183" t="s">
        <v>10114</v>
      </c>
    </row>
    <row r="4184" spans="8:8" x14ac:dyDescent="0.25">
      <c r="H4184" t="s">
        <v>30</v>
      </c>
    </row>
    <row r="4185" spans="8:8" x14ac:dyDescent="0.25">
      <c r="H4185" t="s">
        <v>137</v>
      </c>
    </row>
    <row r="4186" spans="8:8" x14ac:dyDescent="0.25">
      <c r="H4186" t="s">
        <v>10115</v>
      </c>
    </row>
    <row r="4187" spans="8:8" x14ac:dyDescent="0.25">
      <c r="H4187" t="s">
        <v>30</v>
      </c>
    </row>
    <row r="4188" spans="8:8" x14ac:dyDescent="0.25">
      <c r="H4188" t="s">
        <v>138</v>
      </c>
    </row>
    <row r="4189" spans="8:8" x14ac:dyDescent="0.25">
      <c r="H4189" t="s">
        <v>10116</v>
      </c>
    </row>
    <row r="4190" spans="8:8" x14ac:dyDescent="0.25">
      <c r="H4190" t="s">
        <v>30</v>
      </c>
    </row>
    <row r="4192" spans="8:8" x14ac:dyDescent="0.25">
      <c r="H4192" t="s">
        <v>10117</v>
      </c>
    </row>
    <row r="4193" spans="8:8" x14ac:dyDescent="0.25">
      <c r="H4193" t="s">
        <v>10118</v>
      </c>
    </row>
    <row r="4194" spans="8:8" x14ac:dyDescent="0.25">
      <c r="H4194" t="s">
        <v>135</v>
      </c>
    </row>
    <row r="4195" spans="8:8" x14ac:dyDescent="0.25">
      <c r="H4195" t="s">
        <v>10119</v>
      </c>
    </row>
    <row r="4196" spans="8:8" x14ac:dyDescent="0.25">
      <c r="H4196" t="s">
        <v>30</v>
      </c>
    </row>
    <row r="4197" spans="8:8" x14ac:dyDescent="0.25">
      <c r="H4197" t="s">
        <v>136</v>
      </c>
    </row>
    <row r="4198" spans="8:8" x14ac:dyDescent="0.25">
      <c r="H4198" t="s">
        <v>10120</v>
      </c>
    </row>
    <row r="4199" spans="8:8" x14ac:dyDescent="0.25">
      <c r="H4199" t="s">
        <v>30</v>
      </c>
    </row>
    <row r="4200" spans="8:8" x14ac:dyDescent="0.25">
      <c r="H4200" t="s">
        <v>137</v>
      </c>
    </row>
    <row r="4201" spans="8:8" x14ac:dyDescent="0.25">
      <c r="H4201" t="s">
        <v>10121</v>
      </c>
    </row>
    <row r="4202" spans="8:8" x14ac:dyDescent="0.25">
      <c r="H4202" t="s">
        <v>30</v>
      </c>
    </row>
    <row r="4203" spans="8:8" x14ac:dyDescent="0.25">
      <c r="H4203" t="s">
        <v>138</v>
      </c>
    </row>
    <row r="4204" spans="8:8" x14ac:dyDescent="0.25">
      <c r="H4204" t="s">
        <v>10122</v>
      </c>
    </row>
    <row r="4205" spans="8:8" x14ac:dyDescent="0.25">
      <c r="H4205" t="s">
        <v>30</v>
      </c>
    </row>
    <row r="4207" spans="8:8" x14ac:dyDescent="0.25">
      <c r="H4207" t="s">
        <v>10123</v>
      </c>
    </row>
    <row r="4208" spans="8:8" x14ac:dyDescent="0.25">
      <c r="H4208" t="s">
        <v>10124</v>
      </c>
    </row>
    <row r="4209" spans="8:8" x14ac:dyDescent="0.25">
      <c r="H4209" t="s">
        <v>135</v>
      </c>
    </row>
    <row r="4210" spans="8:8" x14ac:dyDescent="0.25">
      <c r="H4210" t="s">
        <v>10125</v>
      </c>
    </row>
    <row r="4211" spans="8:8" x14ac:dyDescent="0.25">
      <c r="H4211" t="s">
        <v>30</v>
      </c>
    </row>
    <row r="4212" spans="8:8" x14ac:dyDescent="0.25">
      <c r="H4212" t="s">
        <v>136</v>
      </c>
    </row>
    <row r="4213" spans="8:8" x14ac:dyDescent="0.25">
      <c r="H4213" t="s">
        <v>10126</v>
      </c>
    </row>
    <row r="4214" spans="8:8" x14ac:dyDescent="0.25">
      <c r="H4214" t="s">
        <v>30</v>
      </c>
    </row>
    <row r="4215" spans="8:8" x14ac:dyDescent="0.25">
      <c r="H4215" t="s">
        <v>137</v>
      </c>
    </row>
    <row r="4216" spans="8:8" x14ac:dyDescent="0.25">
      <c r="H4216" t="s">
        <v>10127</v>
      </c>
    </row>
    <row r="4217" spans="8:8" x14ac:dyDescent="0.25">
      <c r="H4217" t="s">
        <v>30</v>
      </c>
    </row>
    <row r="4218" spans="8:8" x14ac:dyDescent="0.25">
      <c r="H4218" t="s">
        <v>138</v>
      </c>
    </row>
    <row r="4219" spans="8:8" x14ac:dyDescent="0.25">
      <c r="H4219" t="s">
        <v>10128</v>
      </c>
    </row>
    <row r="4220" spans="8:8" x14ac:dyDescent="0.25">
      <c r="H4220" t="s">
        <v>30</v>
      </c>
    </row>
    <row r="4222" spans="8:8" x14ac:dyDescent="0.25">
      <c r="H4222" t="s">
        <v>10129</v>
      </c>
    </row>
    <row r="4223" spans="8:8" x14ac:dyDescent="0.25">
      <c r="H4223" t="s">
        <v>10130</v>
      </c>
    </row>
    <row r="4224" spans="8:8" x14ac:dyDescent="0.25">
      <c r="H4224" t="s">
        <v>135</v>
      </c>
    </row>
    <row r="4225" spans="8:8" x14ac:dyDescent="0.25">
      <c r="H4225" t="s">
        <v>10131</v>
      </c>
    </row>
    <row r="4226" spans="8:8" x14ac:dyDescent="0.25">
      <c r="H4226" t="s">
        <v>30</v>
      </c>
    </row>
    <row r="4227" spans="8:8" x14ac:dyDescent="0.25">
      <c r="H4227" t="s">
        <v>136</v>
      </c>
    </row>
    <row r="4228" spans="8:8" x14ac:dyDescent="0.25">
      <c r="H4228" t="s">
        <v>10132</v>
      </c>
    </row>
    <row r="4229" spans="8:8" x14ac:dyDescent="0.25">
      <c r="H4229" t="s">
        <v>30</v>
      </c>
    </row>
    <row r="4230" spans="8:8" x14ac:dyDescent="0.25">
      <c r="H4230" t="s">
        <v>137</v>
      </c>
    </row>
    <row r="4231" spans="8:8" x14ac:dyDescent="0.25">
      <c r="H4231" t="s">
        <v>10133</v>
      </c>
    </row>
    <row r="4232" spans="8:8" x14ac:dyDescent="0.25">
      <c r="H4232" t="s">
        <v>30</v>
      </c>
    </row>
    <row r="4233" spans="8:8" x14ac:dyDescent="0.25">
      <c r="H4233" t="s">
        <v>138</v>
      </c>
    </row>
    <row r="4234" spans="8:8" x14ac:dyDescent="0.25">
      <c r="H4234" t="s">
        <v>10134</v>
      </c>
    </row>
    <row r="4235" spans="8:8" x14ac:dyDescent="0.25">
      <c r="H4235" t="s">
        <v>30</v>
      </c>
    </row>
    <row r="4237" spans="8:8" x14ac:dyDescent="0.25">
      <c r="H4237" t="s">
        <v>10135</v>
      </c>
    </row>
    <row r="4238" spans="8:8" x14ac:dyDescent="0.25">
      <c r="H4238" t="s">
        <v>10136</v>
      </c>
    </row>
    <row r="4239" spans="8:8" x14ac:dyDescent="0.25">
      <c r="H4239" t="s">
        <v>135</v>
      </c>
    </row>
    <row r="4240" spans="8:8" x14ac:dyDescent="0.25">
      <c r="H4240" t="s">
        <v>10137</v>
      </c>
    </row>
    <row r="4241" spans="8:8" x14ac:dyDescent="0.25">
      <c r="H4241" t="s">
        <v>30</v>
      </c>
    </row>
    <row r="4242" spans="8:8" x14ac:dyDescent="0.25">
      <c r="H4242" t="s">
        <v>136</v>
      </c>
    </row>
    <row r="4243" spans="8:8" x14ac:dyDescent="0.25">
      <c r="H4243" t="s">
        <v>10138</v>
      </c>
    </row>
    <row r="4244" spans="8:8" x14ac:dyDescent="0.25">
      <c r="H4244" t="s">
        <v>30</v>
      </c>
    </row>
    <row r="4245" spans="8:8" x14ac:dyDescent="0.25">
      <c r="H4245" t="s">
        <v>137</v>
      </c>
    </row>
    <row r="4246" spans="8:8" x14ac:dyDescent="0.25">
      <c r="H4246" t="s">
        <v>10139</v>
      </c>
    </row>
    <row r="4247" spans="8:8" x14ac:dyDescent="0.25">
      <c r="H4247" t="s">
        <v>30</v>
      </c>
    </row>
    <row r="4248" spans="8:8" x14ac:dyDescent="0.25">
      <c r="H4248" t="s">
        <v>138</v>
      </c>
    </row>
    <row r="4249" spans="8:8" x14ac:dyDescent="0.25">
      <c r="H4249" t="s">
        <v>10140</v>
      </c>
    </row>
    <row r="4250" spans="8:8" x14ac:dyDescent="0.25">
      <c r="H4250" t="s">
        <v>30</v>
      </c>
    </row>
    <row r="4252" spans="8:8" x14ac:dyDescent="0.25">
      <c r="H4252" t="s">
        <v>10141</v>
      </c>
    </row>
    <row r="4253" spans="8:8" x14ac:dyDescent="0.25">
      <c r="H4253" t="s">
        <v>10142</v>
      </c>
    </row>
    <row r="4254" spans="8:8" x14ac:dyDescent="0.25">
      <c r="H4254" t="s">
        <v>135</v>
      </c>
    </row>
    <row r="4255" spans="8:8" x14ac:dyDescent="0.25">
      <c r="H4255" t="s">
        <v>10143</v>
      </c>
    </row>
    <row r="4256" spans="8:8" x14ac:dyDescent="0.25">
      <c r="H4256" t="s">
        <v>30</v>
      </c>
    </row>
    <row r="4257" spans="8:8" x14ac:dyDescent="0.25">
      <c r="H4257" t="s">
        <v>136</v>
      </c>
    </row>
    <row r="4258" spans="8:8" x14ac:dyDescent="0.25">
      <c r="H4258" t="s">
        <v>10144</v>
      </c>
    </row>
    <row r="4259" spans="8:8" x14ac:dyDescent="0.25">
      <c r="H4259" t="s">
        <v>30</v>
      </c>
    </row>
    <row r="4260" spans="8:8" x14ac:dyDescent="0.25">
      <c r="H4260" t="s">
        <v>137</v>
      </c>
    </row>
    <row r="4261" spans="8:8" x14ac:dyDescent="0.25">
      <c r="H4261" t="s">
        <v>10145</v>
      </c>
    </row>
    <row r="4262" spans="8:8" x14ac:dyDescent="0.25">
      <c r="H4262" t="s">
        <v>30</v>
      </c>
    </row>
    <row r="4263" spans="8:8" x14ac:dyDescent="0.25">
      <c r="H4263" t="s">
        <v>138</v>
      </c>
    </row>
    <row r="4264" spans="8:8" x14ac:dyDescent="0.25">
      <c r="H4264" t="s">
        <v>10146</v>
      </c>
    </row>
    <row r="4265" spans="8:8" x14ac:dyDescent="0.25">
      <c r="H4265" t="s">
        <v>30</v>
      </c>
    </row>
    <row r="4267" spans="8:8" x14ac:dyDescent="0.25">
      <c r="H4267" t="s">
        <v>10147</v>
      </c>
    </row>
    <row r="4268" spans="8:8" x14ac:dyDescent="0.25">
      <c r="H4268" t="s">
        <v>10148</v>
      </c>
    </row>
    <row r="4269" spans="8:8" x14ac:dyDescent="0.25">
      <c r="H4269" t="s">
        <v>135</v>
      </c>
    </row>
    <row r="4270" spans="8:8" x14ac:dyDescent="0.25">
      <c r="H4270" t="s">
        <v>10149</v>
      </c>
    </row>
    <row r="4271" spans="8:8" x14ac:dyDescent="0.25">
      <c r="H4271" t="s">
        <v>30</v>
      </c>
    </row>
    <row r="4272" spans="8:8" x14ac:dyDescent="0.25">
      <c r="H4272" t="s">
        <v>136</v>
      </c>
    </row>
    <row r="4273" spans="8:8" x14ac:dyDescent="0.25">
      <c r="H4273" t="s">
        <v>10150</v>
      </c>
    </row>
    <row r="4274" spans="8:8" x14ac:dyDescent="0.25">
      <c r="H4274" t="s">
        <v>30</v>
      </c>
    </row>
    <row r="4275" spans="8:8" x14ac:dyDescent="0.25">
      <c r="H4275" t="s">
        <v>137</v>
      </c>
    </row>
    <row r="4276" spans="8:8" x14ac:dyDescent="0.25">
      <c r="H4276" t="s">
        <v>10151</v>
      </c>
    </row>
    <row r="4277" spans="8:8" x14ac:dyDescent="0.25">
      <c r="H4277" t="s">
        <v>30</v>
      </c>
    </row>
    <row r="4278" spans="8:8" x14ac:dyDescent="0.25">
      <c r="H4278" t="s">
        <v>138</v>
      </c>
    </row>
    <row r="4279" spans="8:8" x14ac:dyDescent="0.25">
      <c r="H4279" t="s">
        <v>10152</v>
      </c>
    </row>
    <row r="4280" spans="8:8" x14ac:dyDescent="0.25">
      <c r="H4280" t="s">
        <v>30</v>
      </c>
    </row>
    <row r="4282" spans="8:8" x14ac:dyDescent="0.25">
      <c r="H4282" t="s">
        <v>10153</v>
      </c>
    </row>
    <row r="4283" spans="8:8" x14ac:dyDescent="0.25">
      <c r="H4283" t="s">
        <v>10154</v>
      </c>
    </row>
    <row r="4284" spans="8:8" x14ac:dyDescent="0.25">
      <c r="H4284" t="s">
        <v>135</v>
      </c>
    </row>
    <row r="4285" spans="8:8" x14ac:dyDescent="0.25">
      <c r="H4285" t="s">
        <v>10155</v>
      </c>
    </row>
    <row r="4286" spans="8:8" x14ac:dyDescent="0.25">
      <c r="H4286" t="s">
        <v>30</v>
      </c>
    </row>
    <row r="4287" spans="8:8" x14ac:dyDescent="0.25">
      <c r="H4287" t="s">
        <v>136</v>
      </c>
    </row>
    <row r="4288" spans="8:8" x14ac:dyDescent="0.25">
      <c r="H4288" t="s">
        <v>10156</v>
      </c>
    </row>
    <row r="4289" spans="8:8" x14ac:dyDescent="0.25">
      <c r="H4289" t="s">
        <v>30</v>
      </c>
    </row>
    <row r="4290" spans="8:8" x14ac:dyDescent="0.25">
      <c r="H4290" t="s">
        <v>137</v>
      </c>
    </row>
    <row r="4291" spans="8:8" x14ac:dyDescent="0.25">
      <c r="H4291" t="s">
        <v>10157</v>
      </c>
    </row>
    <row r="4292" spans="8:8" x14ac:dyDescent="0.25">
      <c r="H4292" t="s">
        <v>30</v>
      </c>
    </row>
    <row r="4293" spans="8:8" x14ac:dyDescent="0.25">
      <c r="H4293" t="s">
        <v>138</v>
      </c>
    </row>
    <row r="4294" spans="8:8" x14ac:dyDescent="0.25">
      <c r="H4294" t="s">
        <v>10158</v>
      </c>
    </row>
    <row r="4295" spans="8:8" x14ac:dyDescent="0.25">
      <c r="H4295" t="s">
        <v>30</v>
      </c>
    </row>
    <row r="4297" spans="8:8" x14ac:dyDescent="0.25">
      <c r="H4297" t="s">
        <v>10159</v>
      </c>
    </row>
    <row r="4298" spans="8:8" x14ac:dyDescent="0.25">
      <c r="H4298" t="s">
        <v>10160</v>
      </c>
    </row>
    <row r="4299" spans="8:8" x14ac:dyDescent="0.25">
      <c r="H4299" t="s">
        <v>135</v>
      </c>
    </row>
    <row r="4300" spans="8:8" x14ac:dyDescent="0.25">
      <c r="H4300" t="s">
        <v>10161</v>
      </c>
    </row>
    <row r="4301" spans="8:8" x14ac:dyDescent="0.25">
      <c r="H4301" t="s">
        <v>30</v>
      </c>
    </row>
    <row r="4302" spans="8:8" x14ac:dyDescent="0.25">
      <c r="H4302" t="s">
        <v>136</v>
      </c>
    </row>
    <row r="4303" spans="8:8" x14ac:dyDescent="0.25">
      <c r="H4303" t="s">
        <v>10162</v>
      </c>
    </row>
    <row r="4304" spans="8:8" x14ac:dyDescent="0.25">
      <c r="H4304" t="s">
        <v>30</v>
      </c>
    </row>
    <row r="4305" spans="8:8" x14ac:dyDescent="0.25">
      <c r="H4305" t="s">
        <v>137</v>
      </c>
    </row>
    <row r="4306" spans="8:8" x14ac:dyDescent="0.25">
      <c r="H4306" t="s">
        <v>10163</v>
      </c>
    </row>
    <row r="4307" spans="8:8" x14ac:dyDescent="0.25">
      <c r="H4307" t="s">
        <v>30</v>
      </c>
    </row>
    <row r="4308" spans="8:8" x14ac:dyDescent="0.25">
      <c r="H4308" t="s">
        <v>138</v>
      </c>
    </row>
    <row r="4309" spans="8:8" x14ac:dyDescent="0.25">
      <c r="H4309" t="s">
        <v>10164</v>
      </c>
    </row>
    <row r="4310" spans="8:8" x14ac:dyDescent="0.25">
      <c r="H4310" t="s">
        <v>30</v>
      </c>
    </row>
    <row r="4312" spans="8:8" x14ac:dyDescent="0.25">
      <c r="H4312" t="s">
        <v>10165</v>
      </c>
    </row>
    <row r="4313" spans="8:8" x14ac:dyDescent="0.25">
      <c r="H4313" t="s">
        <v>10166</v>
      </c>
    </row>
    <row r="4314" spans="8:8" x14ac:dyDescent="0.25">
      <c r="H4314" t="s">
        <v>135</v>
      </c>
    </row>
    <row r="4315" spans="8:8" x14ac:dyDescent="0.25">
      <c r="H4315" t="s">
        <v>10167</v>
      </c>
    </row>
    <row r="4316" spans="8:8" x14ac:dyDescent="0.25">
      <c r="H4316" t="s">
        <v>30</v>
      </c>
    </row>
    <row r="4317" spans="8:8" x14ac:dyDescent="0.25">
      <c r="H4317" t="s">
        <v>136</v>
      </c>
    </row>
    <row r="4318" spans="8:8" x14ac:dyDescent="0.25">
      <c r="H4318" t="s">
        <v>10168</v>
      </c>
    </row>
    <row r="4319" spans="8:8" x14ac:dyDescent="0.25">
      <c r="H4319" t="s">
        <v>30</v>
      </c>
    </row>
    <row r="4320" spans="8:8" x14ac:dyDescent="0.25">
      <c r="H4320" t="s">
        <v>137</v>
      </c>
    </row>
    <row r="4321" spans="8:8" x14ac:dyDescent="0.25">
      <c r="H4321" t="s">
        <v>10169</v>
      </c>
    </row>
    <row r="4322" spans="8:8" x14ac:dyDescent="0.25">
      <c r="H4322" t="s">
        <v>30</v>
      </c>
    </row>
    <row r="4323" spans="8:8" x14ac:dyDescent="0.25">
      <c r="H4323" t="s">
        <v>138</v>
      </c>
    </row>
    <row r="4324" spans="8:8" x14ac:dyDescent="0.25">
      <c r="H4324" t="s">
        <v>10170</v>
      </c>
    </row>
    <row r="4325" spans="8:8" x14ac:dyDescent="0.25">
      <c r="H4325" t="s">
        <v>30</v>
      </c>
    </row>
    <row r="4327" spans="8:8" x14ac:dyDescent="0.25">
      <c r="H4327" t="s">
        <v>10171</v>
      </c>
    </row>
    <row r="4328" spans="8:8" x14ac:dyDescent="0.25">
      <c r="H4328" t="s">
        <v>10172</v>
      </c>
    </row>
    <row r="4329" spans="8:8" x14ac:dyDescent="0.25">
      <c r="H4329" t="s">
        <v>135</v>
      </c>
    </row>
    <row r="4330" spans="8:8" x14ac:dyDescent="0.25">
      <c r="H4330" t="s">
        <v>10173</v>
      </c>
    </row>
    <row r="4331" spans="8:8" x14ac:dyDescent="0.25">
      <c r="H4331" t="s">
        <v>30</v>
      </c>
    </row>
    <row r="4332" spans="8:8" x14ac:dyDescent="0.25">
      <c r="H4332" t="s">
        <v>136</v>
      </c>
    </row>
    <row r="4333" spans="8:8" x14ac:dyDescent="0.25">
      <c r="H4333" t="s">
        <v>10174</v>
      </c>
    </row>
    <row r="4334" spans="8:8" x14ac:dyDescent="0.25">
      <c r="H4334" t="s">
        <v>30</v>
      </c>
    </row>
    <row r="4335" spans="8:8" x14ac:dyDescent="0.25">
      <c r="H4335" t="s">
        <v>137</v>
      </c>
    </row>
    <row r="4336" spans="8:8" x14ac:dyDescent="0.25">
      <c r="H4336" t="s">
        <v>10175</v>
      </c>
    </row>
    <row r="4337" spans="8:8" x14ac:dyDescent="0.25">
      <c r="H4337" t="s">
        <v>30</v>
      </c>
    </row>
    <row r="4338" spans="8:8" x14ac:dyDescent="0.25">
      <c r="H4338" t="s">
        <v>138</v>
      </c>
    </row>
    <row r="4339" spans="8:8" x14ac:dyDescent="0.25">
      <c r="H4339" t="s">
        <v>10176</v>
      </c>
    </row>
    <row r="4340" spans="8:8" x14ac:dyDescent="0.25">
      <c r="H4340" t="s">
        <v>30</v>
      </c>
    </row>
    <row r="4342" spans="8:8" x14ac:dyDescent="0.25">
      <c r="H4342" t="s">
        <v>10177</v>
      </c>
    </row>
    <row r="4343" spans="8:8" x14ac:dyDescent="0.25">
      <c r="H4343" t="s">
        <v>10178</v>
      </c>
    </row>
    <row r="4344" spans="8:8" x14ac:dyDescent="0.25">
      <c r="H4344" t="s">
        <v>135</v>
      </c>
    </row>
    <row r="4345" spans="8:8" x14ac:dyDescent="0.25">
      <c r="H4345" t="s">
        <v>10179</v>
      </c>
    </row>
    <row r="4346" spans="8:8" x14ac:dyDescent="0.25">
      <c r="H4346" t="s">
        <v>30</v>
      </c>
    </row>
    <row r="4347" spans="8:8" x14ac:dyDescent="0.25">
      <c r="H4347" t="s">
        <v>136</v>
      </c>
    </row>
    <row r="4348" spans="8:8" x14ac:dyDescent="0.25">
      <c r="H4348" t="s">
        <v>10180</v>
      </c>
    </row>
    <row r="4349" spans="8:8" x14ac:dyDescent="0.25">
      <c r="H4349" t="s">
        <v>30</v>
      </c>
    </row>
    <row r="4350" spans="8:8" x14ac:dyDescent="0.25">
      <c r="H4350" t="s">
        <v>137</v>
      </c>
    </row>
    <row r="4351" spans="8:8" x14ac:dyDescent="0.25">
      <c r="H4351" t="s">
        <v>10181</v>
      </c>
    </row>
    <row r="4352" spans="8:8" x14ac:dyDescent="0.25">
      <c r="H4352" t="s">
        <v>30</v>
      </c>
    </row>
    <row r="4353" spans="8:8" x14ac:dyDescent="0.25">
      <c r="H4353" t="s">
        <v>138</v>
      </c>
    </row>
    <row r="4354" spans="8:8" x14ac:dyDescent="0.25">
      <c r="H4354" t="s">
        <v>10182</v>
      </c>
    </row>
    <row r="4355" spans="8:8" x14ac:dyDescent="0.25">
      <c r="H4355" t="s">
        <v>30</v>
      </c>
    </row>
    <row r="4357" spans="8:8" x14ac:dyDescent="0.25">
      <c r="H4357" t="s">
        <v>10183</v>
      </c>
    </row>
    <row r="4358" spans="8:8" x14ac:dyDescent="0.25">
      <c r="H4358" t="s">
        <v>10184</v>
      </c>
    </row>
    <row r="4359" spans="8:8" x14ac:dyDescent="0.25">
      <c r="H4359" t="s">
        <v>135</v>
      </c>
    </row>
    <row r="4360" spans="8:8" x14ac:dyDescent="0.25">
      <c r="H4360" t="s">
        <v>10185</v>
      </c>
    </row>
    <row r="4361" spans="8:8" x14ac:dyDescent="0.25">
      <c r="H4361" t="s">
        <v>30</v>
      </c>
    </row>
    <row r="4362" spans="8:8" x14ac:dyDescent="0.25">
      <c r="H4362" t="s">
        <v>136</v>
      </c>
    </row>
    <row r="4363" spans="8:8" x14ac:dyDescent="0.25">
      <c r="H4363" t="s">
        <v>10186</v>
      </c>
    </row>
    <row r="4364" spans="8:8" x14ac:dyDescent="0.25">
      <c r="H4364" t="s">
        <v>30</v>
      </c>
    </row>
    <row r="4365" spans="8:8" x14ac:dyDescent="0.25">
      <c r="H4365" t="s">
        <v>137</v>
      </c>
    </row>
    <row r="4366" spans="8:8" x14ac:dyDescent="0.25">
      <c r="H4366" t="s">
        <v>10187</v>
      </c>
    </row>
    <row r="4367" spans="8:8" x14ac:dyDescent="0.25">
      <c r="H4367" t="s">
        <v>30</v>
      </c>
    </row>
    <row r="4368" spans="8:8" x14ac:dyDescent="0.25">
      <c r="H4368" t="s">
        <v>138</v>
      </c>
    </row>
    <row r="4369" spans="8:8" x14ac:dyDescent="0.25">
      <c r="H4369" t="s">
        <v>10188</v>
      </c>
    </row>
    <row r="4370" spans="8:8" x14ac:dyDescent="0.25">
      <c r="H4370" t="s">
        <v>30</v>
      </c>
    </row>
    <row r="4372" spans="8:8" x14ac:dyDescent="0.25">
      <c r="H4372" t="s">
        <v>10189</v>
      </c>
    </row>
    <row r="4373" spans="8:8" x14ac:dyDescent="0.25">
      <c r="H4373" t="s">
        <v>10190</v>
      </c>
    </row>
    <row r="4374" spans="8:8" x14ac:dyDescent="0.25">
      <c r="H4374" t="s">
        <v>135</v>
      </c>
    </row>
    <row r="4375" spans="8:8" x14ac:dyDescent="0.25">
      <c r="H4375" t="s">
        <v>10191</v>
      </c>
    </row>
    <row r="4376" spans="8:8" x14ac:dyDescent="0.25">
      <c r="H4376" t="s">
        <v>30</v>
      </c>
    </row>
    <row r="4377" spans="8:8" x14ac:dyDescent="0.25">
      <c r="H4377" t="s">
        <v>136</v>
      </c>
    </row>
    <row r="4378" spans="8:8" x14ac:dyDescent="0.25">
      <c r="H4378" t="s">
        <v>10192</v>
      </c>
    </row>
    <row r="4379" spans="8:8" x14ac:dyDescent="0.25">
      <c r="H4379" t="s">
        <v>30</v>
      </c>
    </row>
    <row r="4380" spans="8:8" x14ac:dyDescent="0.25">
      <c r="H4380" t="s">
        <v>137</v>
      </c>
    </row>
    <row r="4381" spans="8:8" x14ac:dyDescent="0.25">
      <c r="H4381" t="s">
        <v>10193</v>
      </c>
    </row>
    <row r="4382" spans="8:8" x14ac:dyDescent="0.25">
      <c r="H4382" t="s">
        <v>30</v>
      </c>
    </row>
    <row r="4383" spans="8:8" x14ac:dyDescent="0.25">
      <c r="H4383" t="s">
        <v>138</v>
      </c>
    </row>
    <row r="4384" spans="8:8" x14ac:dyDescent="0.25">
      <c r="H4384" t="s">
        <v>10194</v>
      </c>
    </row>
    <row r="4385" spans="8:8" x14ac:dyDescent="0.25">
      <c r="H4385" t="s">
        <v>30</v>
      </c>
    </row>
    <row r="4387" spans="8:8" x14ac:dyDescent="0.25">
      <c r="H4387" t="s">
        <v>10195</v>
      </c>
    </row>
    <row r="4388" spans="8:8" x14ac:dyDescent="0.25">
      <c r="H4388" t="s">
        <v>10196</v>
      </c>
    </row>
    <row r="4389" spans="8:8" x14ac:dyDescent="0.25">
      <c r="H4389" t="s">
        <v>135</v>
      </c>
    </row>
    <row r="4390" spans="8:8" x14ac:dyDescent="0.25">
      <c r="H4390" t="s">
        <v>10197</v>
      </c>
    </row>
    <row r="4391" spans="8:8" x14ac:dyDescent="0.25">
      <c r="H4391" t="s">
        <v>30</v>
      </c>
    </row>
    <row r="4392" spans="8:8" x14ac:dyDescent="0.25">
      <c r="H4392" t="s">
        <v>136</v>
      </c>
    </row>
    <row r="4393" spans="8:8" x14ac:dyDescent="0.25">
      <c r="H4393" t="s">
        <v>10198</v>
      </c>
    </row>
    <row r="4394" spans="8:8" x14ac:dyDescent="0.25">
      <c r="H4394" t="s">
        <v>30</v>
      </c>
    </row>
    <row r="4395" spans="8:8" x14ac:dyDescent="0.25">
      <c r="H4395" t="s">
        <v>137</v>
      </c>
    </row>
    <row r="4396" spans="8:8" x14ac:dyDescent="0.25">
      <c r="H4396" t="s">
        <v>10199</v>
      </c>
    </row>
    <row r="4397" spans="8:8" x14ac:dyDescent="0.25">
      <c r="H4397" t="s">
        <v>30</v>
      </c>
    </row>
    <row r="4398" spans="8:8" x14ac:dyDescent="0.25">
      <c r="H4398" t="s">
        <v>138</v>
      </c>
    </row>
    <row r="4399" spans="8:8" x14ac:dyDescent="0.25">
      <c r="H4399" t="s">
        <v>10200</v>
      </c>
    </row>
    <row r="4400" spans="8:8" x14ac:dyDescent="0.25">
      <c r="H4400" t="s">
        <v>30</v>
      </c>
    </row>
    <row r="4402" spans="8:8" x14ac:dyDescent="0.25">
      <c r="H4402" t="s">
        <v>10201</v>
      </c>
    </row>
    <row r="4403" spans="8:8" x14ac:dyDescent="0.25">
      <c r="H4403" t="s">
        <v>10202</v>
      </c>
    </row>
    <row r="4404" spans="8:8" x14ac:dyDescent="0.25">
      <c r="H4404" t="s">
        <v>135</v>
      </c>
    </row>
    <row r="4405" spans="8:8" x14ac:dyDescent="0.25">
      <c r="H4405" t="s">
        <v>10203</v>
      </c>
    </row>
    <row r="4406" spans="8:8" x14ac:dyDescent="0.25">
      <c r="H4406" t="s">
        <v>30</v>
      </c>
    </row>
    <row r="4407" spans="8:8" x14ac:dyDescent="0.25">
      <c r="H4407" t="s">
        <v>136</v>
      </c>
    </row>
    <row r="4408" spans="8:8" x14ac:dyDescent="0.25">
      <c r="H4408" t="s">
        <v>10204</v>
      </c>
    </row>
    <row r="4409" spans="8:8" x14ac:dyDescent="0.25">
      <c r="H4409" t="s">
        <v>30</v>
      </c>
    </row>
    <row r="4410" spans="8:8" x14ac:dyDescent="0.25">
      <c r="H4410" t="s">
        <v>137</v>
      </c>
    </row>
    <row r="4411" spans="8:8" x14ac:dyDescent="0.25">
      <c r="H4411" t="s">
        <v>10205</v>
      </c>
    </row>
    <row r="4412" spans="8:8" x14ac:dyDescent="0.25">
      <c r="H4412" t="s">
        <v>30</v>
      </c>
    </row>
    <row r="4413" spans="8:8" x14ac:dyDescent="0.25">
      <c r="H4413" t="s">
        <v>138</v>
      </c>
    </row>
    <row r="4414" spans="8:8" x14ac:dyDescent="0.25">
      <c r="H4414" t="s">
        <v>10206</v>
      </c>
    </row>
    <row r="4415" spans="8:8" x14ac:dyDescent="0.25">
      <c r="H4415" t="s">
        <v>30</v>
      </c>
    </row>
    <row r="4417" spans="8:8" x14ac:dyDescent="0.25">
      <c r="H4417" t="s">
        <v>10207</v>
      </c>
    </row>
    <row r="4418" spans="8:8" x14ac:dyDescent="0.25">
      <c r="H4418" t="s">
        <v>10208</v>
      </c>
    </row>
    <row r="4419" spans="8:8" x14ac:dyDescent="0.25">
      <c r="H4419" t="s">
        <v>135</v>
      </c>
    </row>
    <row r="4420" spans="8:8" x14ac:dyDescent="0.25">
      <c r="H4420" t="s">
        <v>10209</v>
      </c>
    </row>
    <row r="4421" spans="8:8" x14ac:dyDescent="0.25">
      <c r="H4421" t="s">
        <v>30</v>
      </c>
    </row>
    <row r="4422" spans="8:8" x14ac:dyDescent="0.25">
      <c r="H4422" t="s">
        <v>136</v>
      </c>
    </row>
    <row r="4423" spans="8:8" x14ac:dyDescent="0.25">
      <c r="H4423" t="s">
        <v>10210</v>
      </c>
    </row>
    <row r="4424" spans="8:8" x14ac:dyDescent="0.25">
      <c r="H4424" t="s">
        <v>30</v>
      </c>
    </row>
    <row r="4425" spans="8:8" x14ac:dyDescent="0.25">
      <c r="H4425" t="s">
        <v>137</v>
      </c>
    </row>
    <row r="4426" spans="8:8" x14ac:dyDescent="0.25">
      <c r="H4426" t="s">
        <v>10211</v>
      </c>
    </row>
    <row r="4427" spans="8:8" x14ac:dyDescent="0.25">
      <c r="H4427" t="s">
        <v>30</v>
      </c>
    </row>
    <row r="4428" spans="8:8" x14ac:dyDescent="0.25">
      <c r="H4428" t="s">
        <v>138</v>
      </c>
    </row>
    <row r="4429" spans="8:8" x14ac:dyDescent="0.25">
      <c r="H4429" t="s">
        <v>10212</v>
      </c>
    </row>
    <row r="4430" spans="8:8" x14ac:dyDescent="0.25">
      <c r="H4430" t="s">
        <v>30</v>
      </c>
    </row>
    <row r="4432" spans="8:8" x14ac:dyDescent="0.25">
      <c r="H4432" t="s">
        <v>10213</v>
      </c>
    </row>
    <row r="4433" spans="8:8" x14ac:dyDescent="0.25">
      <c r="H4433" t="s">
        <v>10214</v>
      </c>
    </row>
    <row r="4434" spans="8:8" x14ac:dyDescent="0.25">
      <c r="H4434" t="s">
        <v>135</v>
      </c>
    </row>
    <row r="4435" spans="8:8" x14ac:dyDescent="0.25">
      <c r="H4435" t="s">
        <v>10215</v>
      </c>
    </row>
    <row r="4436" spans="8:8" x14ac:dyDescent="0.25">
      <c r="H4436" t="s">
        <v>30</v>
      </c>
    </row>
    <row r="4437" spans="8:8" x14ac:dyDescent="0.25">
      <c r="H4437" t="s">
        <v>136</v>
      </c>
    </row>
    <row r="4438" spans="8:8" x14ac:dyDescent="0.25">
      <c r="H4438" t="s">
        <v>10216</v>
      </c>
    </row>
    <row r="4439" spans="8:8" x14ac:dyDescent="0.25">
      <c r="H4439" t="s">
        <v>30</v>
      </c>
    </row>
    <row r="4440" spans="8:8" x14ac:dyDescent="0.25">
      <c r="H4440" t="s">
        <v>137</v>
      </c>
    </row>
    <row r="4441" spans="8:8" x14ac:dyDescent="0.25">
      <c r="H4441" t="s">
        <v>10217</v>
      </c>
    </row>
    <row r="4442" spans="8:8" x14ac:dyDescent="0.25">
      <c r="H4442" t="s">
        <v>30</v>
      </c>
    </row>
    <row r="4443" spans="8:8" x14ac:dyDescent="0.25">
      <c r="H4443" t="s">
        <v>138</v>
      </c>
    </row>
    <row r="4444" spans="8:8" x14ac:dyDescent="0.25">
      <c r="H4444" t="s">
        <v>10218</v>
      </c>
    </row>
    <row r="4445" spans="8:8" x14ac:dyDescent="0.25">
      <c r="H4445" t="s">
        <v>30</v>
      </c>
    </row>
    <row r="4447" spans="8:8" x14ac:dyDescent="0.25">
      <c r="H4447" t="s">
        <v>10219</v>
      </c>
    </row>
    <row r="4448" spans="8:8" x14ac:dyDescent="0.25">
      <c r="H4448" t="s">
        <v>10220</v>
      </c>
    </row>
    <row r="4449" spans="8:8" x14ac:dyDescent="0.25">
      <c r="H4449" t="s">
        <v>135</v>
      </c>
    </row>
    <row r="4450" spans="8:8" x14ac:dyDescent="0.25">
      <c r="H4450" t="s">
        <v>10221</v>
      </c>
    </row>
    <row r="4451" spans="8:8" x14ac:dyDescent="0.25">
      <c r="H4451" t="s">
        <v>30</v>
      </c>
    </row>
    <row r="4452" spans="8:8" x14ac:dyDescent="0.25">
      <c r="H4452" t="s">
        <v>136</v>
      </c>
    </row>
    <row r="4453" spans="8:8" x14ac:dyDescent="0.25">
      <c r="H4453" t="s">
        <v>10222</v>
      </c>
    </row>
    <row r="4454" spans="8:8" x14ac:dyDescent="0.25">
      <c r="H4454" t="s">
        <v>30</v>
      </c>
    </row>
    <row r="4455" spans="8:8" x14ac:dyDescent="0.25">
      <c r="H4455" t="s">
        <v>137</v>
      </c>
    </row>
    <row r="4456" spans="8:8" x14ac:dyDescent="0.25">
      <c r="H4456" t="s">
        <v>10223</v>
      </c>
    </row>
    <row r="4457" spans="8:8" x14ac:dyDescent="0.25">
      <c r="H4457" t="s">
        <v>30</v>
      </c>
    </row>
    <row r="4458" spans="8:8" x14ac:dyDescent="0.25">
      <c r="H4458" t="s">
        <v>138</v>
      </c>
    </row>
    <row r="4459" spans="8:8" x14ac:dyDescent="0.25">
      <c r="H4459" t="s">
        <v>10224</v>
      </c>
    </row>
    <row r="4460" spans="8:8" x14ac:dyDescent="0.25">
      <c r="H4460" t="s">
        <v>30</v>
      </c>
    </row>
    <row r="4462" spans="8:8" x14ac:dyDescent="0.25">
      <c r="H4462" t="s">
        <v>10225</v>
      </c>
    </row>
    <row r="4463" spans="8:8" x14ac:dyDescent="0.25">
      <c r="H4463" t="s">
        <v>10226</v>
      </c>
    </row>
    <row r="4464" spans="8:8" x14ac:dyDescent="0.25">
      <c r="H4464" t="s">
        <v>135</v>
      </c>
    </row>
    <row r="4465" spans="8:8" x14ac:dyDescent="0.25">
      <c r="H4465" t="s">
        <v>10227</v>
      </c>
    </row>
    <row r="4466" spans="8:8" x14ac:dyDescent="0.25">
      <c r="H4466" t="s">
        <v>30</v>
      </c>
    </row>
    <row r="4467" spans="8:8" x14ac:dyDescent="0.25">
      <c r="H4467" t="s">
        <v>136</v>
      </c>
    </row>
    <row r="4468" spans="8:8" x14ac:dyDescent="0.25">
      <c r="H4468" t="s">
        <v>10228</v>
      </c>
    </row>
    <row r="4469" spans="8:8" x14ac:dyDescent="0.25">
      <c r="H4469" t="s">
        <v>30</v>
      </c>
    </row>
    <row r="4470" spans="8:8" x14ac:dyDescent="0.25">
      <c r="H4470" t="s">
        <v>137</v>
      </c>
    </row>
    <row r="4471" spans="8:8" x14ac:dyDescent="0.25">
      <c r="H4471" t="s">
        <v>10229</v>
      </c>
    </row>
    <row r="4472" spans="8:8" x14ac:dyDescent="0.25">
      <c r="H4472" t="s">
        <v>30</v>
      </c>
    </row>
    <row r="4473" spans="8:8" x14ac:dyDescent="0.25">
      <c r="H4473" t="s">
        <v>138</v>
      </c>
    </row>
    <row r="4474" spans="8:8" x14ac:dyDescent="0.25">
      <c r="H4474" t="s">
        <v>10230</v>
      </c>
    </row>
    <row r="4475" spans="8:8" x14ac:dyDescent="0.25">
      <c r="H4475" t="s">
        <v>30</v>
      </c>
    </row>
    <row r="4477" spans="8:8" x14ac:dyDescent="0.25">
      <c r="H4477" t="s">
        <v>10231</v>
      </c>
    </row>
    <row r="4478" spans="8:8" x14ac:dyDescent="0.25">
      <c r="H4478" t="s">
        <v>10232</v>
      </c>
    </row>
    <row r="4479" spans="8:8" x14ac:dyDescent="0.25">
      <c r="H4479" t="s">
        <v>135</v>
      </c>
    </row>
    <row r="4480" spans="8:8" x14ac:dyDescent="0.25">
      <c r="H4480" t="s">
        <v>10233</v>
      </c>
    </row>
    <row r="4481" spans="8:8" x14ac:dyDescent="0.25">
      <c r="H4481" t="s">
        <v>30</v>
      </c>
    </row>
    <row r="4482" spans="8:8" x14ac:dyDescent="0.25">
      <c r="H4482" t="s">
        <v>136</v>
      </c>
    </row>
    <row r="4483" spans="8:8" x14ac:dyDescent="0.25">
      <c r="H4483" t="s">
        <v>10234</v>
      </c>
    </row>
    <row r="4484" spans="8:8" x14ac:dyDescent="0.25">
      <c r="H4484" t="s">
        <v>30</v>
      </c>
    </row>
    <row r="4485" spans="8:8" x14ac:dyDescent="0.25">
      <c r="H4485" t="s">
        <v>137</v>
      </c>
    </row>
    <row r="4486" spans="8:8" x14ac:dyDescent="0.25">
      <c r="H4486" t="s">
        <v>10235</v>
      </c>
    </row>
    <row r="4487" spans="8:8" x14ac:dyDescent="0.25">
      <c r="H4487" t="s">
        <v>30</v>
      </c>
    </row>
    <row r="4488" spans="8:8" x14ac:dyDescent="0.25">
      <c r="H4488" t="s">
        <v>138</v>
      </c>
    </row>
    <row r="4489" spans="8:8" x14ac:dyDescent="0.25">
      <c r="H4489" t="s">
        <v>10236</v>
      </c>
    </row>
    <row r="4490" spans="8:8" x14ac:dyDescent="0.25">
      <c r="H4490" t="s">
        <v>30</v>
      </c>
    </row>
    <row r="4492" spans="8:8" x14ac:dyDescent="0.25">
      <c r="H4492" t="s">
        <v>10237</v>
      </c>
    </row>
    <row r="4493" spans="8:8" x14ac:dyDescent="0.25">
      <c r="H4493" t="s">
        <v>10238</v>
      </c>
    </row>
    <row r="4494" spans="8:8" x14ac:dyDescent="0.25">
      <c r="H4494" t="s">
        <v>135</v>
      </c>
    </row>
    <row r="4495" spans="8:8" x14ac:dyDescent="0.25">
      <c r="H4495" t="s">
        <v>10239</v>
      </c>
    </row>
    <row r="4496" spans="8:8" x14ac:dyDescent="0.25">
      <c r="H4496" t="s">
        <v>30</v>
      </c>
    </row>
    <row r="4497" spans="8:8" x14ac:dyDescent="0.25">
      <c r="H4497" t="s">
        <v>136</v>
      </c>
    </row>
    <row r="4498" spans="8:8" x14ac:dyDescent="0.25">
      <c r="H4498" t="s">
        <v>10240</v>
      </c>
    </row>
    <row r="4499" spans="8:8" x14ac:dyDescent="0.25">
      <c r="H4499" t="s">
        <v>30</v>
      </c>
    </row>
    <row r="4500" spans="8:8" x14ac:dyDescent="0.25">
      <c r="H4500" t="s">
        <v>137</v>
      </c>
    </row>
    <row r="4501" spans="8:8" x14ac:dyDescent="0.25">
      <c r="H4501" t="s">
        <v>10241</v>
      </c>
    </row>
    <row r="4502" spans="8:8" x14ac:dyDescent="0.25">
      <c r="H4502" t="s">
        <v>30</v>
      </c>
    </row>
    <row r="4503" spans="8:8" x14ac:dyDescent="0.25">
      <c r="H4503" t="s">
        <v>138</v>
      </c>
    </row>
    <row r="4504" spans="8:8" x14ac:dyDescent="0.25">
      <c r="H4504" t="s">
        <v>10242</v>
      </c>
    </row>
    <row r="4505" spans="8:8" x14ac:dyDescent="0.25">
      <c r="H4505" t="s">
        <v>30</v>
      </c>
    </row>
    <row r="4507" spans="8:8" x14ac:dyDescent="0.25">
      <c r="H4507" t="s">
        <v>10243</v>
      </c>
    </row>
    <row r="4508" spans="8:8" x14ac:dyDescent="0.25">
      <c r="H4508" t="s">
        <v>10244</v>
      </c>
    </row>
    <row r="4509" spans="8:8" x14ac:dyDescent="0.25">
      <c r="H4509" t="s">
        <v>135</v>
      </c>
    </row>
    <row r="4510" spans="8:8" x14ac:dyDescent="0.25">
      <c r="H4510" t="s">
        <v>10245</v>
      </c>
    </row>
    <row r="4511" spans="8:8" x14ac:dyDescent="0.25">
      <c r="H4511" t="s">
        <v>30</v>
      </c>
    </row>
    <row r="4512" spans="8:8" x14ac:dyDescent="0.25">
      <c r="H4512" t="s">
        <v>136</v>
      </c>
    </row>
    <row r="4513" spans="8:8" x14ac:dyDescent="0.25">
      <c r="H4513" t="s">
        <v>10246</v>
      </c>
    </row>
    <row r="4514" spans="8:8" x14ac:dyDescent="0.25">
      <c r="H4514" t="s">
        <v>30</v>
      </c>
    </row>
    <row r="4515" spans="8:8" x14ac:dyDescent="0.25">
      <c r="H4515" t="s">
        <v>137</v>
      </c>
    </row>
    <row r="4516" spans="8:8" x14ac:dyDescent="0.25">
      <c r="H4516" t="s">
        <v>10247</v>
      </c>
    </row>
    <row r="4517" spans="8:8" x14ac:dyDescent="0.25">
      <c r="H4517" t="s">
        <v>30</v>
      </c>
    </row>
    <row r="4518" spans="8:8" x14ac:dyDescent="0.25">
      <c r="H4518" t="s">
        <v>138</v>
      </c>
    </row>
    <row r="4519" spans="8:8" x14ac:dyDescent="0.25">
      <c r="H4519" t="s">
        <v>10248</v>
      </c>
    </row>
    <row r="4520" spans="8:8" x14ac:dyDescent="0.25">
      <c r="H4520" t="s">
        <v>30</v>
      </c>
    </row>
    <row r="4522" spans="8:8" x14ac:dyDescent="0.25">
      <c r="H4522" t="s">
        <v>10249</v>
      </c>
    </row>
    <row r="4523" spans="8:8" x14ac:dyDescent="0.25">
      <c r="H4523" t="s">
        <v>10250</v>
      </c>
    </row>
    <row r="4524" spans="8:8" x14ac:dyDescent="0.25">
      <c r="H4524" t="s">
        <v>135</v>
      </c>
    </row>
    <row r="4525" spans="8:8" x14ac:dyDescent="0.25">
      <c r="H4525" t="s">
        <v>10251</v>
      </c>
    </row>
    <row r="4526" spans="8:8" x14ac:dyDescent="0.25">
      <c r="H4526" t="s">
        <v>30</v>
      </c>
    </row>
    <row r="4527" spans="8:8" x14ac:dyDescent="0.25">
      <c r="H4527" t="s">
        <v>136</v>
      </c>
    </row>
    <row r="4528" spans="8:8" x14ac:dyDescent="0.25">
      <c r="H4528" t="s">
        <v>10252</v>
      </c>
    </row>
    <row r="4529" spans="8:8" x14ac:dyDescent="0.25">
      <c r="H4529" t="s">
        <v>30</v>
      </c>
    </row>
    <row r="4530" spans="8:8" x14ac:dyDescent="0.25">
      <c r="H4530" t="s">
        <v>137</v>
      </c>
    </row>
    <row r="4531" spans="8:8" x14ac:dyDescent="0.25">
      <c r="H4531" t="s">
        <v>10253</v>
      </c>
    </row>
    <row r="4532" spans="8:8" x14ac:dyDescent="0.25">
      <c r="H4532" t="s">
        <v>30</v>
      </c>
    </row>
    <row r="4533" spans="8:8" x14ac:dyDescent="0.25">
      <c r="H4533" t="s">
        <v>138</v>
      </c>
    </row>
    <row r="4534" spans="8:8" x14ac:dyDescent="0.25">
      <c r="H4534" t="s">
        <v>10254</v>
      </c>
    </row>
    <row r="4535" spans="8:8" x14ac:dyDescent="0.25">
      <c r="H4535" t="s">
        <v>30</v>
      </c>
    </row>
    <row r="4537" spans="8:8" x14ac:dyDescent="0.25">
      <c r="H4537" t="s">
        <v>10255</v>
      </c>
    </row>
    <row r="4538" spans="8:8" x14ac:dyDescent="0.25">
      <c r="H4538" t="s">
        <v>10256</v>
      </c>
    </row>
    <row r="4539" spans="8:8" x14ac:dyDescent="0.25">
      <c r="H4539" t="s">
        <v>135</v>
      </c>
    </row>
    <row r="4540" spans="8:8" x14ac:dyDescent="0.25">
      <c r="H4540" t="s">
        <v>10257</v>
      </c>
    </row>
    <row r="4541" spans="8:8" x14ac:dyDescent="0.25">
      <c r="H4541" t="s">
        <v>30</v>
      </c>
    </row>
    <row r="4542" spans="8:8" x14ac:dyDescent="0.25">
      <c r="H4542" t="s">
        <v>136</v>
      </c>
    </row>
    <row r="4543" spans="8:8" x14ac:dyDescent="0.25">
      <c r="H4543" t="s">
        <v>10258</v>
      </c>
    </row>
    <row r="4544" spans="8:8" x14ac:dyDescent="0.25">
      <c r="H4544" t="s">
        <v>30</v>
      </c>
    </row>
    <row r="4545" spans="8:8" x14ac:dyDescent="0.25">
      <c r="H4545" t="s">
        <v>137</v>
      </c>
    </row>
    <row r="4546" spans="8:8" x14ac:dyDescent="0.25">
      <c r="H4546" t="s">
        <v>10259</v>
      </c>
    </row>
    <row r="4547" spans="8:8" x14ac:dyDescent="0.25">
      <c r="H4547" t="s">
        <v>30</v>
      </c>
    </row>
    <row r="4548" spans="8:8" x14ac:dyDescent="0.25">
      <c r="H4548" t="s">
        <v>138</v>
      </c>
    </row>
    <row r="4549" spans="8:8" x14ac:dyDescent="0.25">
      <c r="H4549" t="s">
        <v>10260</v>
      </c>
    </row>
    <row r="4550" spans="8:8" x14ac:dyDescent="0.25">
      <c r="H4550" t="s">
        <v>30</v>
      </c>
    </row>
    <row r="4552" spans="8:8" x14ac:dyDescent="0.25">
      <c r="H4552" t="s">
        <v>10261</v>
      </c>
    </row>
    <row r="4553" spans="8:8" x14ac:dyDescent="0.25">
      <c r="H4553" t="s">
        <v>10262</v>
      </c>
    </row>
    <row r="4554" spans="8:8" x14ac:dyDescent="0.25">
      <c r="H4554" t="s">
        <v>135</v>
      </c>
    </row>
    <row r="4555" spans="8:8" x14ac:dyDescent="0.25">
      <c r="H4555" t="s">
        <v>10263</v>
      </c>
    </row>
    <row r="4556" spans="8:8" x14ac:dyDescent="0.25">
      <c r="H4556" t="s">
        <v>30</v>
      </c>
    </row>
    <row r="4557" spans="8:8" x14ac:dyDescent="0.25">
      <c r="H4557" t="s">
        <v>136</v>
      </c>
    </row>
    <row r="4558" spans="8:8" x14ac:dyDescent="0.25">
      <c r="H4558" t="s">
        <v>10264</v>
      </c>
    </row>
    <row r="4559" spans="8:8" x14ac:dyDescent="0.25">
      <c r="H4559" t="s">
        <v>30</v>
      </c>
    </row>
    <row r="4560" spans="8:8" x14ac:dyDescent="0.25">
      <c r="H4560" t="s">
        <v>137</v>
      </c>
    </row>
    <row r="4561" spans="8:8" x14ac:dyDescent="0.25">
      <c r="H4561" t="s">
        <v>10265</v>
      </c>
    </row>
    <row r="4562" spans="8:8" x14ac:dyDescent="0.25">
      <c r="H4562" t="s">
        <v>30</v>
      </c>
    </row>
    <row r="4563" spans="8:8" x14ac:dyDescent="0.25">
      <c r="H4563" t="s">
        <v>138</v>
      </c>
    </row>
    <row r="4564" spans="8:8" x14ac:dyDescent="0.25">
      <c r="H4564" t="s">
        <v>10266</v>
      </c>
    </row>
    <row r="4565" spans="8:8" x14ac:dyDescent="0.25">
      <c r="H4565" t="s">
        <v>30</v>
      </c>
    </row>
    <row r="4567" spans="8:8" x14ac:dyDescent="0.25">
      <c r="H4567" t="s">
        <v>10267</v>
      </c>
    </row>
    <row r="4568" spans="8:8" x14ac:dyDescent="0.25">
      <c r="H4568" t="s">
        <v>10268</v>
      </c>
    </row>
    <row r="4569" spans="8:8" x14ac:dyDescent="0.25">
      <c r="H4569" t="s">
        <v>135</v>
      </c>
    </row>
    <row r="4570" spans="8:8" x14ac:dyDescent="0.25">
      <c r="H4570" t="s">
        <v>10269</v>
      </c>
    </row>
    <row r="4571" spans="8:8" x14ac:dyDescent="0.25">
      <c r="H4571" t="s">
        <v>30</v>
      </c>
    </row>
    <row r="4572" spans="8:8" x14ac:dyDescent="0.25">
      <c r="H4572" t="s">
        <v>136</v>
      </c>
    </row>
    <row r="4573" spans="8:8" x14ac:dyDescent="0.25">
      <c r="H4573" t="s">
        <v>10270</v>
      </c>
    </row>
    <row r="4574" spans="8:8" x14ac:dyDescent="0.25">
      <c r="H4574" t="s">
        <v>30</v>
      </c>
    </row>
    <row r="4575" spans="8:8" x14ac:dyDescent="0.25">
      <c r="H4575" t="s">
        <v>137</v>
      </c>
    </row>
    <row r="4576" spans="8:8" x14ac:dyDescent="0.25">
      <c r="H4576" t="s">
        <v>10271</v>
      </c>
    </row>
    <row r="4577" spans="8:8" x14ac:dyDescent="0.25">
      <c r="H4577" t="s">
        <v>30</v>
      </c>
    </row>
    <row r="4578" spans="8:8" x14ac:dyDescent="0.25">
      <c r="H4578" t="s">
        <v>138</v>
      </c>
    </row>
    <row r="4579" spans="8:8" x14ac:dyDescent="0.25">
      <c r="H4579" t="s">
        <v>10272</v>
      </c>
    </row>
    <row r="4580" spans="8:8" x14ac:dyDescent="0.25">
      <c r="H4580" t="s">
        <v>30</v>
      </c>
    </row>
    <row r="4582" spans="8:8" x14ac:dyDescent="0.25">
      <c r="H4582" t="s">
        <v>10273</v>
      </c>
    </row>
    <row r="4583" spans="8:8" x14ac:dyDescent="0.25">
      <c r="H4583" t="s">
        <v>10274</v>
      </c>
    </row>
    <row r="4584" spans="8:8" x14ac:dyDescent="0.25">
      <c r="H4584" t="s">
        <v>135</v>
      </c>
    </row>
    <row r="4585" spans="8:8" x14ac:dyDescent="0.25">
      <c r="H4585" t="s">
        <v>10275</v>
      </c>
    </row>
    <row r="4586" spans="8:8" x14ac:dyDescent="0.25">
      <c r="H4586" t="s">
        <v>30</v>
      </c>
    </row>
    <row r="4587" spans="8:8" x14ac:dyDescent="0.25">
      <c r="H4587" t="s">
        <v>136</v>
      </c>
    </row>
    <row r="4588" spans="8:8" x14ac:dyDescent="0.25">
      <c r="H4588" t="s">
        <v>10276</v>
      </c>
    </row>
    <row r="4589" spans="8:8" x14ac:dyDescent="0.25">
      <c r="H4589" t="s">
        <v>30</v>
      </c>
    </row>
    <row r="4590" spans="8:8" x14ac:dyDescent="0.25">
      <c r="H4590" t="s">
        <v>137</v>
      </c>
    </row>
    <row r="4591" spans="8:8" x14ac:dyDescent="0.25">
      <c r="H4591" t="s">
        <v>10277</v>
      </c>
    </row>
    <row r="4592" spans="8:8" x14ac:dyDescent="0.25">
      <c r="H4592" t="s">
        <v>30</v>
      </c>
    </row>
    <row r="4593" spans="8:8" x14ac:dyDescent="0.25">
      <c r="H4593" t="s">
        <v>138</v>
      </c>
    </row>
    <row r="4594" spans="8:8" x14ac:dyDescent="0.25">
      <c r="H4594" t="s">
        <v>10278</v>
      </c>
    </row>
    <row r="4595" spans="8:8" x14ac:dyDescent="0.25">
      <c r="H4595" t="s">
        <v>30</v>
      </c>
    </row>
    <row r="4597" spans="8:8" x14ac:dyDescent="0.25">
      <c r="H4597" t="s">
        <v>10279</v>
      </c>
    </row>
    <row r="4598" spans="8:8" x14ac:dyDescent="0.25">
      <c r="H4598" t="s">
        <v>10280</v>
      </c>
    </row>
    <row r="4599" spans="8:8" x14ac:dyDescent="0.25">
      <c r="H4599" t="s">
        <v>135</v>
      </c>
    </row>
    <row r="4600" spans="8:8" x14ac:dyDescent="0.25">
      <c r="H4600" t="s">
        <v>10281</v>
      </c>
    </row>
    <row r="4601" spans="8:8" x14ac:dyDescent="0.25">
      <c r="H4601" t="s">
        <v>30</v>
      </c>
    </row>
    <row r="4602" spans="8:8" x14ac:dyDescent="0.25">
      <c r="H4602" t="s">
        <v>136</v>
      </c>
    </row>
    <row r="4603" spans="8:8" x14ac:dyDescent="0.25">
      <c r="H4603" t="s">
        <v>10282</v>
      </c>
    </row>
    <row r="4604" spans="8:8" x14ac:dyDescent="0.25">
      <c r="H4604" t="s">
        <v>30</v>
      </c>
    </row>
    <row r="4605" spans="8:8" x14ac:dyDescent="0.25">
      <c r="H4605" t="s">
        <v>137</v>
      </c>
    </row>
    <row r="4606" spans="8:8" x14ac:dyDescent="0.25">
      <c r="H4606" t="s">
        <v>10283</v>
      </c>
    </row>
    <row r="4607" spans="8:8" x14ac:dyDescent="0.25">
      <c r="H4607" t="s">
        <v>30</v>
      </c>
    </row>
    <row r="4608" spans="8:8" x14ac:dyDescent="0.25">
      <c r="H4608" t="s">
        <v>138</v>
      </c>
    </row>
    <row r="4609" spans="8:8" x14ac:dyDescent="0.25">
      <c r="H4609" t="s">
        <v>10284</v>
      </c>
    </row>
    <row r="4610" spans="8:8" x14ac:dyDescent="0.25">
      <c r="H4610" t="s">
        <v>30</v>
      </c>
    </row>
    <row r="4612" spans="8:8" x14ac:dyDescent="0.25">
      <c r="H4612" t="s">
        <v>10285</v>
      </c>
    </row>
    <row r="4613" spans="8:8" x14ac:dyDescent="0.25">
      <c r="H4613" t="s">
        <v>10286</v>
      </c>
    </row>
    <row r="4614" spans="8:8" x14ac:dyDescent="0.25">
      <c r="H4614" t="s">
        <v>135</v>
      </c>
    </row>
    <row r="4615" spans="8:8" x14ac:dyDescent="0.25">
      <c r="H4615" t="s">
        <v>10287</v>
      </c>
    </row>
    <row r="4616" spans="8:8" x14ac:dyDescent="0.25">
      <c r="H4616" t="s">
        <v>30</v>
      </c>
    </row>
    <row r="4617" spans="8:8" x14ac:dyDescent="0.25">
      <c r="H4617" t="s">
        <v>136</v>
      </c>
    </row>
    <row r="4618" spans="8:8" x14ac:dyDescent="0.25">
      <c r="H4618" t="s">
        <v>10288</v>
      </c>
    </row>
    <row r="4619" spans="8:8" x14ac:dyDescent="0.25">
      <c r="H4619" t="s">
        <v>30</v>
      </c>
    </row>
    <row r="4620" spans="8:8" x14ac:dyDescent="0.25">
      <c r="H4620" t="s">
        <v>137</v>
      </c>
    </row>
    <row r="4621" spans="8:8" x14ac:dyDescent="0.25">
      <c r="H4621" t="s">
        <v>10289</v>
      </c>
    </row>
    <row r="4622" spans="8:8" x14ac:dyDescent="0.25">
      <c r="H4622" t="s">
        <v>30</v>
      </c>
    </row>
    <row r="4623" spans="8:8" x14ac:dyDescent="0.25">
      <c r="H4623" t="s">
        <v>138</v>
      </c>
    </row>
    <row r="4624" spans="8:8" x14ac:dyDescent="0.25">
      <c r="H4624" t="s">
        <v>10290</v>
      </c>
    </row>
    <row r="4625" spans="8:8" x14ac:dyDescent="0.25">
      <c r="H4625" t="s">
        <v>30</v>
      </c>
    </row>
    <row r="4627" spans="8:8" x14ac:dyDescent="0.25">
      <c r="H4627" t="s">
        <v>10291</v>
      </c>
    </row>
    <row r="4628" spans="8:8" x14ac:dyDescent="0.25">
      <c r="H4628" t="s">
        <v>10292</v>
      </c>
    </row>
    <row r="4629" spans="8:8" x14ac:dyDescent="0.25">
      <c r="H4629" t="s">
        <v>135</v>
      </c>
    </row>
    <row r="4630" spans="8:8" x14ac:dyDescent="0.25">
      <c r="H4630" t="s">
        <v>10293</v>
      </c>
    </row>
    <row r="4631" spans="8:8" x14ac:dyDescent="0.25">
      <c r="H4631" t="s">
        <v>30</v>
      </c>
    </row>
    <row r="4632" spans="8:8" x14ac:dyDescent="0.25">
      <c r="H4632" t="s">
        <v>136</v>
      </c>
    </row>
    <row r="4633" spans="8:8" x14ac:dyDescent="0.25">
      <c r="H4633" t="s">
        <v>10294</v>
      </c>
    </row>
    <row r="4634" spans="8:8" x14ac:dyDescent="0.25">
      <c r="H4634" t="s">
        <v>30</v>
      </c>
    </row>
    <row r="4635" spans="8:8" x14ac:dyDescent="0.25">
      <c r="H4635" t="s">
        <v>137</v>
      </c>
    </row>
    <row r="4636" spans="8:8" x14ac:dyDescent="0.25">
      <c r="H4636" t="s">
        <v>10295</v>
      </c>
    </row>
    <row r="4637" spans="8:8" x14ac:dyDescent="0.25">
      <c r="H4637" t="s">
        <v>30</v>
      </c>
    </row>
    <row r="4638" spans="8:8" x14ac:dyDescent="0.25">
      <c r="H4638" t="s">
        <v>138</v>
      </c>
    </row>
    <row r="4639" spans="8:8" x14ac:dyDescent="0.25">
      <c r="H4639" t="s">
        <v>10296</v>
      </c>
    </row>
    <row r="4640" spans="8:8" x14ac:dyDescent="0.25">
      <c r="H4640" t="s">
        <v>30</v>
      </c>
    </row>
    <row r="4642" spans="8:8" x14ac:dyDescent="0.25">
      <c r="H4642" t="s">
        <v>10297</v>
      </c>
    </row>
    <row r="4643" spans="8:8" x14ac:dyDescent="0.25">
      <c r="H4643" t="s">
        <v>10298</v>
      </c>
    </row>
    <row r="4644" spans="8:8" x14ac:dyDescent="0.25">
      <c r="H4644" t="s">
        <v>135</v>
      </c>
    </row>
    <row r="4645" spans="8:8" x14ac:dyDescent="0.25">
      <c r="H4645" t="s">
        <v>10299</v>
      </c>
    </row>
    <row r="4646" spans="8:8" x14ac:dyDescent="0.25">
      <c r="H4646" t="s">
        <v>30</v>
      </c>
    </row>
    <row r="4647" spans="8:8" x14ac:dyDescent="0.25">
      <c r="H4647" t="s">
        <v>136</v>
      </c>
    </row>
    <row r="4648" spans="8:8" x14ac:dyDescent="0.25">
      <c r="H4648" t="s">
        <v>10300</v>
      </c>
    </row>
    <row r="4649" spans="8:8" x14ac:dyDescent="0.25">
      <c r="H4649" t="s">
        <v>30</v>
      </c>
    </row>
    <row r="4650" spans="8:8" x14ac:dyDescent="0.25">
      <c r="H4650" t="s">
        <v>137</v>
      </c>
    </row>
    <row r="4651" spans="8:8" x14ac:dyDescent="0.25">
      <c r="H4651" t="s">
        <v>10301</v>
      </c>
    </row>
    <row r="4652" spans="8:8" x14ac:dyDescent="0.25">
      <c r="H4652" t="s">
        <v>30</v>
      </c>
    </row>
    <row r="4653" spans="8:8" x14ac:dyDescent="0.25">
      <c r="H4653" t="s">
        <v>138</v>
      </c>
    </row>
    <row r="4654" spans="8:8" x14ac:dyDescent="0.25">
      <c r="H4654" t="s">
        <v>10302</v>
      </c>
    </row>
    <row r="4655" spans="8:8" x14ac:dyDescent="0.25">
      <c r="H4655" t="s">
        <v>30</v>
      </c>
    </row>
    <row r="4657" spans="8:8" x14ac:dyDescent="0.25">
      <c r="H4657" t="s">
        <v>10303</v>
      </c>
    </row>
    <row r="4658" spans="8:8" x14ac:dyDescent="0.25">
      <c r="H4658" t="s">
        <v>10304</v>
      </c>
    </row>
    <row r="4659" spans="8:8" x14ac:dyDescent="0.25">
      <c r="H4659" t="s">
        <v>135</v>
      </c>
    </row>
    <row r="4660" spans="8:8" x14ac:dyDescent="0.25">
      <c r="H4660" t="s">
        <v>10305</v>
      </c>
    </row>
    <row r="4661" spans="8:8" x14ac:dyDescent="0.25">
      <c r="H4661" t="s">
        <v>30</v>
      </c>
    </row>
    <row r="4662" spans="8:8" x14ac:dyDescent="0.25">
      <c r="H4662" t="s">
        <v>136</v>
      </c>
    </row>
    <row r="4663" spans="8:8" x14ac:dyDescent="0.25">
      <c r="H4663" t="s">
        <v>10306</v>
      </c>
    </row>
    <row r="4664" spans="8:8" x14ac:dyDescent="0.25">
      <c r="H4664" t="s">
        <v>30</v>
      </c>
    </row>
    <row r="4665" spans="8:8" x14ac:dyDescent="0.25">
      <c r="H4665" t="s">
        <v>137</v>
      </c>
    </row>
    <row r="4666" spans="8:8" x14ac:dyDescent="0.25">
      <c r="H4666" t="s">
        <v>10307</v>
      </c>
    </row>
    <row r="4667" spans="8:8" x14ac:dyDescent="0.25">
      <c r="H4667" t="s">
        <v>30</v>
      </c>
    </row>
    <row r="4668" spans="8:8" x14ac:dyDescent="0.25">
      <c r="H4668" t="s">
        <v>138</v>
      </c>
    </row>
    <row r="4669" spans="8:8" x14ac:dyDescent="0.25">
      <c r="H4669" t="s">
        <v>10308</v>
      </c>
    </row>
    <row r="4670" spans="8:8" x14ac:dyDescent="0.25">
      <c r="H4670" t="s">
        <v>30</v>
      </c>
    </row>
    <row r="4672" spans="8:8" x14ac:dyDescent="0.25">
      <c r="H4672" t="s">
        <v>10309</v>
      </c>
    </row>
    <row r="4673" spans="8:8" x14ac:dyDescent="0.25">
      <c r="H4673" t="s">
        <v>10310</v>
      </c>
    </row>
    <row r="4674" spans="8:8" x14ac:dyDescent="0.25">
      <c r="H4674" t="s">
        <v>135</v>
      </c>
    </row>
    <row r="4675" spans="8:8" x14ac:dyDescent="0.25">
      <c r="H4675" t="s">
        <v>10311</v>
      </c>
    </row>
    <row r="4676" spans="8:8" x14ac:dyDescent="0.25">
      <c r="H4676" t="s">
        <v>30</v>
      </c>
    </row>
    <row r="4677" spans="8:8" x14ac:dyDescent="0.25">
      <c r="H4677" t="s">
        <v>136</v>
      </c>
    </row>
    <row r="4678" spans="8:8" x14ac:dyDescent="0.25">
      <c r="H4678" t="s">
        <v>10312</v>
      </c>
    </row>
    <row r="4679" spans="8:8" x14ac:dyDescent="0.25">
      <c r="H4679" t="s">
        <v>30</v>
      </c>
    </row>
    <row r="4680" spans="8:8" x14ac:dyDescent="0.25">
      <c r="H4680" t="s">
        <v>137</v>
      </c>
    </row>
    <row r="4681" spans="8:8" x14ac:dyDescent="0.25">
      <c r="H4681" t="s">
        <v>10313</v>
      </c>
    </row>
    <row r="4682" spans="8:8" x14ac:dyDescent="0.25">
      <c r="H4682" t="s">
        <v>30</v>
      </c>
    </row>
    <row r="4683" spans="8:8" x14ac:dyDescent="0.25">
      <c r="H4683" t="s">
        <v>138</v>
      </c>
    </row>
    <row r="4684" spans="8:8" x14ac:dyDescent="0.25">
      <c r="H4684" t="s">
        <v>10314</v>
      </c>
    </row>
    <row r="4685" spans="8:8" x14ac:dyDescent="0.25">
      <c r="H4685" t="s">
        <v>30</v>
      </c>
    </row>
    <row r="4687" spans="8:8" x14ac:dyDescent="0.25">
      <c r="H4687" t="s">
        <v>10315</v>
      </c>
    </row>
    <row r="4688" spans="8:8" x14ac:dyDescent="0.25">
      <c r="H4688" t="s">
        <v>10316</v>
      </c>
    </row>
    <row r="4689" spans="8:8" x14ac:dyDescent="0.25">
      <c r="H4689" t="s">
        <v>135</v>
      </c>
    </row>
    <row r="4690" spans="8:8" x14ac:dyDescent="0.25">
      <c r="H4690" t="s">
        <v>10317</v>
      </c>
    </row>
    <row r="4691" spans="8:8" x14ac:dyDescent="0.25">
      <c r="H4691" t="s">
        <v>30</v>
      </c>
    </row>
    <row r="4692" spans="8:8" x14ac:dyDescent="0.25">
      <c r="H4692" t="s">
        <v>136</v>
      </c>
    </row>
    <row r="4693" spans="8:8" x14ac:dyDescent="0.25">
      <c r="H4693" t="s">
        <v>10318</v>
      </c>
    </row>
    <row r="4694" spans="8:8" x14ac:dyDescent="0.25">
      <c r="H4694" t="s">
        <v>30</v>
      </c>
    </row>
    <row r="4695" spans="8:8" x14ac:dyDescent="0.25">
      <c r="H4695" t="s">
        <v>137</v>
      </c>
    </row>
    <row r="4696" spans="8:8" x14ac:dyDescent="0.25">
      <c r="H4696" t="s">
        <v>10319</v>
      </c>
    </row>
    <row r="4697" spans="8:8" x14ac:dyDescent="0.25">
      <c r="H4697" t="s">
        <v>30</v>
      </c>
    </row>
    <row r="4698" spans="8:8" x14ac:dyDescent="0.25">
      <c r="H4698" t="s">
        <v>138</v>
      </c>
    </row>
    <row r="4699" spans="8:8" x14ac:dyDescent="0.25">
      <c r="H4699" t="s">
        <v>10320</v>
      </c>
    </row>
    <row r="4700" spans="8:8" x14ac:dyDescent="0.25">
      <c r="H4700" t="s">
        <v>30</v>
      </c>
    </row>
    <row r="4702" spans="8:8" x14ac:dyDescent="0.25">
      <c r="H4702" t="s">
        <v>10321</v>
      </c>
    </row>
    <row r="4703" spans="8:8" x14ac:dyDescent="0.25">
      <c r="H4703" t="s">
        <v>10322</v>
      </c>
    </row>
    <row r="4704" spans="8:8" x14ac:dyDescent="0.25">
      <c r="H4704" t="s">
        <v>135</v>
      </c>
    </row>
    <row r="4705" spans="8:8" x14ac:dyDescent="0.25">
      <c r="H4705" t="s">
        <v>10323</v>
      </c>
    </row>
    <row r="4706" spans="8:8" x14ac:dyDescent="0.25">
      <c r="H4706" t="s">
        <v>30</v>
      </c>
    </row>
    <row r="4707" spans="8:8" x14ac:dyDescent="0.25">
      <c r="H4707" t="s">
        <v>136</v>
      </c>
    </row>
    <row r="4708" spans="8:8" x14ac:dyDescent="0.25">
      <c r="H4708" t="s">
        <v>10324</v>
      </c>
    </row>
    <row r="4709" spans="8:8" x14ac:dyDescent="0.25">
      <c r="H4709" t="s">
        <v>30</v>
      </c>
    </row>
    <row r="4710" spans="8:8" x14ac:dyDescent="0.25">
      <c r="H4710" t="s">
        <v>137</v>
      </c>
    </row>
    <row r="4711" spans="8:8" x14ac:dyDescent="0.25">
      <c r="H4711" t="s">
        <v>10325</v>
      </c>
    </row>
    <row r="4712" spans="8:8" x14ac:dyDescent="0.25">
      <c r="H4712" t="s">
        <v>30</v>
      </c>
    </row>
    <row r="4713" spans="8:8" x14ac:dyDescent="0.25">
      <c r="H4713" t="s">
        <v>138</v>
      </c>
    </row>
    <row r="4714" spans="8:8" x14ac:dyDescent="0.25">
      <c r="H4714" t="s">
        <v>10326</v>
      </c>
    </row>
    <row r="4715" spans="8:8" x14ac:dyDescent="0.25">
      <c r="H4715" t="s">
        <v>30</v>
      </c>
    </row>
    <row r="4717" spans="8:8" x14ac:dyDescent="0.25">
      <c r="H4717" t="s">
        <v>10327</v>
      </c>
    </row>
    <row r="4718" spans="8:8" x14ac:dyDescent="0.25">
      <c r="H4718" t="s">
        <v>10328</v>
      </c>
    </row>
    <row r="4719" spans="8:8" x14ac:dyDescent="0.25">
      <c r="H4719" t="s">
        <v>135</v>
      </c>
    </row>
    <row r="4720" spans="8:8" x14ac:dyDescent="0.25">
      <c r="H4720" t="s">
        <v>10329</v>
      </c>
    </row>
    <row r="4721" spans="8:8" x14ac:dyDescent="0.25">
      <c r="H4721" t="s">
        <v>30</v>
      </c>
    </row>
    <row r="4722" spans="8:8" x14ac:dyDescent="0.25">
      <c r="H4722" t="s">
        <v>136</v>
      </c>
    </row>
    <row r="4723" spans="8:8" x14ac:dyDescent="0.25">
      <c r="H4723" t="s">
        <v>10330</v>
      </c>
    </row>
    <row r="4724" spans="8:8" x14ac:dyDescent="0.25">
      <c r="H4724" t="s">
        <v>30</v>
      </c>
    </row>
    <row r="4725" spans="8:8" x14ac:dyDescent="0.25">
      <c r="H4725" t="s">
        <v>137</v>
      </c>
    </row>
    <row r="4726" spans="8:8" x14ac:dyDescent="0.25">
      <c r="H4726" t="s">
        <v>10331</v>
      </c>
    </row>
    <row r="4727" spans="8:8" x14ac:dyDescent="0.25">
      <c r="H4727" t="s">
        <v>30</v>
      </c>
    </row>
    <row r="4728" spans="8:8" x14ac:dyDescent="0.25">
      <c r="H4728" t="s">
        <v>138</v>
      </c>
    </row>
    <row r="4729" spans="8:8" x14ac:dyDescent="0.25">
      <c r="H4729" t="s">
        <v>10332</v>
      </c>
    </row>
    <row r="4730" spans="8:8" x14ac:dyDescent="0.25">
      <c r="H4730" t="s">
        <v>30</v>
      </c>
    </row>
    <row r="4732" spans="8:8" x14ac:dyDescent="0.25">
      <c r="H4732" t="s">
        <v>10333</v>
      </c>
    </row>
    <row r="4733" spans="8:8" x14ac:dyDescent="0.25">
      <c r="H4733" t="s">
        <v>10334</v>
      </c>
    </row>
    <row r="4734" spans="8:8" x14ac:dyDescent="0.25">
      <c r="H4734" t="s">
        <v>135</v>
      </c>
    </row>
    <row r="4735" spans="8:8" x14ac:dyDescent="0.25">
      <c r="H4735" t="s">
        <v>10335</v>
      </c>
    </row>
    <row r="4736" spans="8:8" x14ac:dyDescent="0.25">
      <c r="H4736" t="s">
        <v>30</v>
      </c>
    </row>
    <row r="4737" spans="8:8" x14ac:dyDescent="0.25">
      <c r="H4737" t="s">
        <v>136</v>
      </c>
    </row>
    <row r="4738" spans="8:8" x14ac:dyDescent="0.25">
      <c r="H4738" t="s">
        <v>10336</v>
      </c>
    </row>
    <row r="4739" spans="8:8" x14ac:dyDescent="0.25">
      <c r="H4739" t="s">
        <v>30</v>
      </c>
    </row>
    <row r="4740" spans="8:8" x14ac:dyDescent="0.25">
      <c r="H4740" t="s">
        <v>137</v>
      </c>
    </row>
    <row r="4741" spans="8:8" x14ac:dyDescent="0.25">
      <c r="H4741" t="s">
        <v>10337</v>
      </c>
    </row>
    <row r="4742" spans="8:8" x14ac:dyDescent="0.25">
      <c r="H4742" t="s">
        <v>30</v>
      </c>
    </row>
    <row r="4743" spans="8:8" x14ac:dyDescent="0.25">
      <c r="H4743" t="s">
        <v>138</v>
      </c>
    </row>
    <row r="4744" spans="8:8" x14ac:dyDescent="0.25">
      <c r="H4744" t="s">
        <v>10338</v>
      </c>
    </row>
    <row r="4745" spans="8:8" x14ac:dyDescent="0.25">
      <c r="H4745" t="s">
        <v>30</v>
      </c>
    </row>
    <row r="4747" spans="8:8" x14ac:dyDescent="0.25">
      <c r="H4747" t="s">
        <v>10339</v>
      </c>
    </row>
    <row r="4748" spans="8:8" x14ac:dyDescent="0.25">
      <c r="H4748" t="s">
        <v>10340</v>
      </c>
    </row>
    <row r="4749" spans="8:8" x14ac:dyDescent="0.25">
      <c r="H4749" t="s">
        <v>135</v>
      </c>
    </row>
    <row r="4750" spans="8:8" x14ac:dyDescent="0.25">
      <c r="H4750" t="s">
        <v>10341</v>
      </c>
    </row>
    <row r="4751" spans="8:8" x14ac:dyDescent="0.25">
      <c r="H4751" t="s">
        <v>30</v>
      </c>
    </row>
    <row r="4752" spans="8:8" x14ac:dyDescent="0.25">
      <c r="H4752" t="s">
        <v>136</v>
      </c>
    </row>
    <row r="4753" spans="8:8" x14ac:dyDescent="0.25">
      <c r="H4753" t="s">
        <v>10342</v>
      </c>
    </row>
    <row r="4754" spans="8:8" x14ac:dyDescent="0.25">
      <c r="H4754" t="s">
        <v>30</v>
      </c>
    </row>
    <row r="4755" spans="8:8" x14ac:dyDescent="0.25">
      <c r="H4755" t="s">
        <v>137</v>
      </c>
    </row>
    <row r="4756" spans="8:8" x14ac:dyDescent="0.25">
      <c r="H4756" t="s">
        <v>10343</v>
      </c>
    </row>
    <row r="4757" spans="8:8" x14ac:dyDescent="0.25">
      <c r="H4757" t="s">
        <v>30</v>
      </c>
    </row>
    <row r="4758" spans="8:8" x14ac:dyDescent="0.25">
      <c r="H4758" t="s">
        <v>138</v>
      </c>
    </row>
    <row r="4759" spans="8:8" x14ac:dyDescent="0.25">
      <c r="H4759" t="s">
        <v>10344</v>
      </c>
    </row>
    <row r="4760" spans="8:8" x14ac:dyDescent="0.25">
      <c r="H4760" t="s">
        <v>30</v>
      </c>
    </row>
    <row r="4762" spans="8:8" x14ac:dyDescent="0.25">
      <c r="H4762" t="s">
        <v>10345</v>
      </c>
    </row>
    <row r="4763" spans="8:8" x14ac:dyDescent="0.25">
      <c r="H4763" t="s">
        <v>10346</v>
      </c>
    </row>
    <row r="4764" spans="8:8" x14ac:dyDescent="0.25">
      <c r="H4764" t="s">
        <v>135</v>
      </c>
    </row>
    <row r="4765" spans="8:8" x14ac:dyDescent="0.25">
      <c r="H4765" t="s">
        <v>10347</v>
      </c>
    </row>
    <row r="4766" spans="8:8" x14ac:dyDescent="0.25">
      <c r="H4766" t="s">
        <v>30</v>
      </c>
    </row>
    <row r="4767" spans="8:8" x14ac:dyDescent="0.25">
      <c r="H4767" t="s">
        <v>136</v>
      </c>
    </row>
    <row r="4768" spans="8:8" x14ac:dyDescent="0.25">
      <c r="H4768" t="s">
        <v>10348</v>
      </c>
    </row>
    <row r="4769" spans="8:8" x14ac:dyDescent="0.25">
      <c r="H4769" t="s">
        <v>30</v>
      </c>
    </row>
    <row r="4770" spans="8:8" x14ac:dyDescent="0.25">
      <c r="H4770" t="s">
        <v>137</v>
      </c>
    </row>
    <row r="4771" spans="8:8" x14ac:dyDescent="0.25">
      <c r="H4771" t="s">
        <v>10349</v>
      </c>
    </row>
    <row r="4772" spans="8:8" x14ac:dyDescent="0.25">
      <c r="H4772" t="s">
        <v>30</v>
      </c>
    </row>
    <row r="4773" spans="8:8" x14ac:dyDescent="0.25">
      <c r="H4773" t="s">
        <v>138</v>
      </c>
    </row>
    <row r="4774" spans="8:8" x14ac:dyDescent="0.25">
      <c r="H4774" t="s">
        <v>10350</v>
      </c>
    </row>
    <row r="4775" spans="8:8" x14ac:dyDescent="0.25">
      <c r="H4775" t="s">
        <v>30</v>
      </c>
    </row>
    <row r="4777" spans="8:8" x14ac:dyDescent="0.25">
      <c r="H4777" t="s">
        <v>10351</v>
      </c>
    </row>
    <row r="4778" spans="8:8" x14ac:dyDescent="0.25">
      <c r="H4778" t="s">
        <v>10352</v>
      </c>
    </row>
    <row r="4779" spans="8:8" x14ac:dyDescent="0.25">
      <c r="H4779" t="s">
        <v>135</v>
      </c>
    </row>
    <row r="4780" spans="8:8" x14ac:dyDescent="0.25">
      <c r="H4780" t="s">
        <v>10353</v>
      </c>
    </row>
    <row r="4781" spans="8:8" x14ac:dyDescent="0.25">
      <c r="H4781" t="s">
        <v>30</v>
      </c>
    </row>
    <row r="4782" spans="8:8" x14ac:dyDescent="0.25">
      <c r="H4782" t="s">
        <v>136</v>
      </c>
    </row>
    <row r="4783" spans="8:8" x14ac:dyDescent="0.25">
      <c r="H4783" t="s">
        <v>10354</v>
      </c>
    </row>
    <row r="4784" spans="8:8" x14ac:dyDescent="0.25">
      <c r="H4784" t="s">
        <v>30</v>
      </c>
    </row>
    <row r="4785" spans="8:8" x14ac:dyDescent="0.25">
      <c r="H4785" t="s">
        <v>137</v>
      </c>
    </row>
    <row r="4786" spans="8:8" x14ac:dyDescent="0.25">
      <c r="H4786" t="s">
        <v>10355</v>
      </c>
    </row>
    <row r="4787" spans="8:8" x14ac:dyDescent="0.25">
      <c r="H4787" t="s">
        <v>30</v>
      </c>
    </row>
    <row r="4788" spans="8:8" x14ac:dyDescent="0.25">
      <c r="H4788" t="s">
        <v>138</v>
      </c>
    </row>
    <row r="4789" spans="8:8" x14ac:dyDescent="0.25">
      <c r="H4789" t="s">
        <v>10356</v>
      </c>
    </row>
    <row r="4790" spans="8:8" x14ac:dyDescent="0.25">
      <c r="H4790" t="s">
        <v>30</v>
      </c>
    </row>
    <row r="4792" spans="8:8" x14ac:dyDescent="0.25">
      <c r="H4792" t="s">
        <v>10357</v>
      </c>
    </row>
    <row r="4793" spans="8:8" x14ac:dyDescent="0.25">
      <c r="H4793" t="s">
        <v>10358</v>
      </c>
    </row>
    <row r="4794" spans="8:8" x14ac:dyDescent="0.25">
      <c r="H4794" t="s">
        <v>135</v>
      </c>
    </row>
    <row r="4795" spans="8:8" x14ac:dyDescent="0.25">
      <c r="H4795" t="s">
        <v>10359</v>
      </c>
    </row>
    <row r="4796" spans="8:8" x14ac:dyDescent="0.25">
      <c r="H4796" t="s">
        <v>30</v>
      </c>
    </row>
    <row r="4797" spans="8:8" x14ac:dyDescent="0.25">
      <c r="H4797" t="s">
        <v>136</v>
      </c>
    </row>
    <row r="4798" spans="8:8" x14ac:dyDescent="0.25">
      <c r="H4798" t="s">
        <v>10360</v>
      </c>
    </row>
    <row r="4799" spans="8:8" x14ac:dyDescent="0.25">
      <c r="H4799" t="s">
        <v>30</v>
      </c>
    </row>
    <row r="4800" spans="8:8" x14ac:dyDescent="0.25">
      <c r="H4800" t="s">
        <v>137</v>
      </c>
    </row>
    <row r="4801" spans="8:8" x14ac:dyDescent="0.25">
      <c r="H4801" t="s">
        <v>10361</v>
      </c>
    </row>
    <row r="4802" spans="8:8" x14ac:dyDescent="0.25">
      <c r="H4802" t="s">
        <v>30</v>
      </c>
    </row>
    <row r="4803" spans="8:8" x14ac:dyDescent="0.25">
      <c r="H4803" t="s">
        <v>138</v>
      </c>
    </row>
    <row r="4804" spans="8:8" x14ac:dyDescent="0.25">
      <c r="H4804" t="s">
        <v>10362</v>
      </c>
    </row>
    <row r="4805" spans="8:8" x14ac:dyDescent="0.25">
      <c r="H4805" t="s">
        <v>30</v>
      </c>
    </row>
    <row r="4807" spans="8:8" x14ac:dyDescent="0.25">
      <c r="H4807" t="s">
        <v>10363</v>
      </c>
    </row>
    <row r="4808" spans="8:8" x14ac:dyDescent="0.25">
      <c r="H4808" t="s">
        <v>10364</v>
      </c>
    </row>
    <row r="4809" spans="8:8" x14ac:dyDescent="0.25">
      <c r="H4809" t="s">
        <v>135</v>
      </c>
    </row>
    <row r="4810" spans="8:8" x14ac:dyDescent="0.25">
      <c r="H4810" t="s">
        <v>10365</v>
      </c>
    </row>
    <row r="4811" spans="8:8" x14ac:dyDescent="0.25">
      <c r="H4811" t="s">
        <v>30</v>
      </c>
    </row>
    <row r="4812" spans="8:8" x14ac:dyDescent="0.25">
      <c r="H4812" t="s">
        <v>136</v>
      </c>
    </row>
    <row r="4813" spans="8:8" x14ac:dyDescent="0.25">
      <c r="H4813" t="s">
        <v>10366</v>
      </c>
    </row>
    <row r="4814" spans="8:8" x14ac:dyDescent="0.25">
      <c r="H4814" t="s">
        <v>30</v>
      </c>
    </row>
    <row r="4815" spans="8:8" x14ac:dyDescent="0.25">
      <c r="H4815" t="s">
        <v>137</v>
      </c>
    </row>
    <row r="4816" spans="8:8" x14ac:dyDescent="0.25">
      <c r="H4816" t="s">
        <v>10367</v>
      </c>
    </row>
    <row r="4817" spans="8:8" x14ac:dyDescent="0.25">
      <c r="H4817" t="s">
        <v>30</v>
      </c>
    </row>
    <row r="4818" spans="8:8" x14ac:dyDescent="0.25">
      <c r="H4818" t="s">
        <v>138</v>
      </c>
    </row>
    <row r="4819" spans="8:8" x14ac:dyDescent="0.25">
      <c r="H4819" t="s">
        <v>10368</v>
      </c>
    </row>
    <row r="4820" spans="8:8" x14ac:dyDescent="0.25">
      <c r="H4820" t="s">
        <v>30</v>
      </c>
    </row>
    <row r="4822" spans="8:8" x14ac:dyDescent="0.25">
      <c r="H4822" t="s">
        <v>10369</v>
      </c>
    </row>
    <row r="4823" spans="8:8" x14ac:dyDescent="0.25">
      <c r="H4823" t="s">
        <v>10370</v>
      </c>
    </row>
    <row r="4824" spans="8:8" x14ac:dyDescent="0.25">
      <c r="H4824" t="s">
        <v>135</v>
      </c>
    </row>
    <row r="4825" spans="8:8" x14ac:dyDescent="0.25">
      <c r="H4825" t="s">
        <v>10371</v>
      </c>
    </row>
    <row r="4826" spans="8:8" x14ac:dyDescent="0.25">
      <c r="H4826" t="s">
        <v>30</v>
      </c>
    </row>
    <row r="4827" spans="8:8" x14ac:dyDescent="0.25">
      <c r="H4827" t="s">
        <v>136</v>
      </c>
    </row>
    <row r="4828" spans="8:8" x14ac:dyDescent="0.25">
      <c r="H4828" t="s">
        <v>10372</v>
      </c>
    </row>
    <row r="4829" spans="8:8" x14ac:dyDescent="0.25">
      <c r="H4829" t="s">
        <v>30</v>
      </c>
    </row>
    <row r="4830" spans="8:8" x14ac:dyDescent="0.25">
      <c r="H4830" t="s">
        <v>137</v>
      </c>
    </row>
    <row r="4831" spans="8:8" x14ac:dyDescent="0.25">
      <c r="H4831" t="s">
        <v>10373</v>
      </c>
    </row>
    <row r="4832" spans="8:8" x14ac:dyDescent="0.25">
      <c r="H4832" t="s">
        <v>30</v>
      </c>
    </row>
    <row r="4833" spans="8:8" x14ac:dyDescent="0.25">
      <c r="H4833" t="s">
        <v>138</v>
      </c>
    </row>
    <row r="4834" spans="8:8" x14ac:dyDescent="0.25">
      <c r="H4834" t="s">
        <v>10374</v>
      </c>
    </row>
    <row r="4835" spans="8:8" x14ac:dyDescent="0.25">
      <c r="H4835" t="s">
        <v>30</v>
      </c>
    </row>
    <row r="4837" spans="8:8" x14ac:dyDescent="0.25">
      <c r="H4837" t="s">
        <v>10375</v>
      </c>
    </row>
    <row r="4838" spans="8:8" x14ac:dyDescent="0.25">
      <c r="H4838" t="s">
        <v>10376</v>
      </c>
    </row>
    <row r="4839" spans="8:8" x14ac:dyDescent="0.25">
      <c r="H4839" t="s">
        <v>135</v>
      </c>
    </row>
    <row r="4840" spans="8:8" x14ac:dyDescent="0.25">
      <c r="H4840" t="s">
        <v>10377</v>
      </c>
    </row>
    <row r="4841" spans="8:8" x14ac:dyDescent="0.25">
      <c r="H4841" t="s">
        <v>30</v>
      </c>
    </row>
    <row r="4842" spans="8:8" x14ac:dyDescent="0.25">
      <c r="H4842" t="s">
        <v>136</v>
      </c>
    </row>
    <row r="4843" spans="8:8" x14ac:dyDescent="0.25">
      <c r="H4843" t="s">
        <v>10378</v>
      </c>
    </row>
    <row r="4844" spans="8:8" x14ac:dyDescent="0.25">
      <c r="H4844" t="s">
        <v>30</v>
      </c>
    </row>
    <row r="4845" spans="8:8" x14ac:dyDescent="0.25">
      <c r="H4845" t="s">
        <v>137</v>
      </c>
    </row>
    <row r="4846" spans="8:8" x14ac:dyDescent="0.25">
      <c r="H4846" t="s">
        <v>10379</v>
      </c>
    </row>
    <row r="4847" spans="8:8" x14ac:dyDescent="0.25">
      <c r="H4847" t="s">
        <v>30</v>
      </c>
    </row>
    <row r="4848" spans="8:8" x14ac:dyDescent="0.25">
      <c r="H4848" t="s">
        <v>138</v>
      </c>
    </row>
    <row r="4849" spans="8:8" x14ac:dyDescent="0.25">
      <c r="H4849" t="s">
        <v>10380</v>
      </c>
    </row>
    <row r="4850" spans="8:8" x14ac:dyDescent="0.25">
      <c r="H4850" t="s">
        <v>30</v>
      </c>
    </row>
    <row r="4852" spans="8:8" x14ac:dyDescent="0.25">
      <c r="H4852" t="s">
        <v>10381</v>
      </c>
    </row>
    <row r="4853" spans="8:8" x14ac:dyDescent="0.25">
      <c r="H4853" t="s">
        <v>10382</v>
      </c>
    </row>
    <row r="4854" spans="8:8" x14ac:dyDescent="0.25">
      <c r="H4854" t="s">
        <v>135</v>
      </c>
    </row>
    <row r="4855" spans="8:8" x14ac:dyDescent="0.25">
      <c r="H4855" t="s">
        <v>10383</v>
      </c>
    </row>
    <row r="4856" spans="8:8" x14ac:dyDescent="0.25">
      <c r="H4856" t="s">
        <v>30</v>
      </c>
    </row>
    <row r="4857" spans="8:8" x14ac:dyDescent="0.25">
      <c r="H4857" t="s">
        <v>136</v>
      </c>
    </row>
    <row r="4858" spans="8:8" x14ac:dyDescent="0.25">
      <c r="H4858" t="s">
        <v>10384</v>
      </c>
    </row>
    <row r="4859" spans="8:8" x14ac:dyDescent="0.25">
      <c r="H4859" t="s">
        <v>30</v>
      </c>
    </row>
    <row r="4860" spans="8:8" x14ac:dyDescent="0.25">
      <c r="H4860" t="s">
        <v>137</v>
      </c>
    </row>
    <row r="4861" spans="8:8" x14ac:dyDescent="0.25">
      <c r="H4861" t="s">
        <v>10385</v>
      </c>
    </row>
    <row r="4862" spans="8:8" x14ac:dyDescent="0.25">
      <c r="H4862" t="s">
        <v>30</v>
      </c>
    </row>
    <row r="4863" spans="8:8" x14ac:dyDescent="0.25">
      <c r="H4863" t="s">
        <v>138</v>
      </c>
    </row>
    <row r="4864" spans="8:8" x14ac:dyDescent="0.25">
      <c r="H4864" t="s">
        <v>10386</v>
      </c>
    </row>
    <row r="4865" spans="8:8" x14ac:dyDescent="0.25">
      <c r="H4865" t="s">
        <v>30</v>
      </c>
    </row>
    <row r="4867" spans="8:8" x14ac:dyDescent="0.25">
      <c r="H4867" t="s">
        <v>10387</v>
      </c>
    </row>
    <row r="4868" spans="8:8" x14ac:dyDescent="0.25">
      <c r="H4868" t="s">
        <v>10388</v>
      </c>
    </row>
    <row r="4869" spans="8:8" x14ac:dyDescent="0.25">
      <c r="H4869" t="s">
        <v>135</v>
      </c>
    </row>
    <row r="4870" spans="8:8" x14ac:dyDescent="0.25">
      <c r="H4870" t="s">
        <v>10389</v>
      </c>
    </row>
    <row r="4871" spans="8:8" x14ac:dyDescent="0.25">
      <c r="H4871" t="s">
        <v>30</v>
      </c>
    </row>
    <row r="4872" spans="8:8" x14ac:dyDescent="0.25">
      <c r="H4872" t="s">
        <v>136</v>
      </c>
    </row>
    <row r="4873" spans="8:8" x14ac:dyDescent="0.25">
      <c r="H4873" t="s">
        <v>10390</v>
      </c>
    </row>
    <row r="4874" spans="8:8" x14ac:dyDescent="0.25">
      <c r="H4874" t="s">
        <v>30</v>
      </c>
    </row>
    <row r="4875" spans="8:8" x14ac:dyDescent="0.25">
      <c r="H4875" t="s">
        <v>137</v>
      </c>
    </row>
    <row r="4876" spans="8:8" x14ac:dyDescent="0.25">
      <c r="H4876" t="s">
        <v>10391</v>
      </c>
    </row>
    <row r="4877" spans="8:8" x14ac:dyDescent="0.25">
      <c r="H4877" t="s">
        <v>30</v>
      </c>
    </row>
    <row r="4878" spans="8:8" x14ac:dyDescent="0.25">
      <c r="H4878" t="s">
        <v>138</v>
      </c>
    </row>
    <row r="4879" spans="8:8" x14ac:dyDescent="0.25">
      <c r="H4879" t="s">
        <v>10392</v>
      </c>
    </row>
    <row r="4880" spans="8:8" x14ac:dyDescent="0.25">
      <c r="H4880" t="s">
        <v>30</v>
      </c>
    </row>
    <row r="4882" spans="8:8" x14ac:dyDescent="0.25">
      <c r="H4882" t="s">
        <v>10393</v>
      </c>
    </row>
    <row r="4883" spans="8:8" x14ac:dyDescent="0.25">
      <c r="H4883" t="s">
        <v>10394</v>
      </c>
    </row>
    <row r="4884" spans="8:8" x14ac:dyDescent="0.25">
      <c r="H4884" t="s">
        <v>135</v>
      </c>
    </row>
    <row r="4885" spans="8:8" x14ac:dyDescent="0.25">
      <c r="H4885" t="s">
        <v>10395</v>
      </c>
    </row>
    <row r="4886" spans="8:8" x14ac:dyDescent="0.25">
      <c r="H4886" t="s">
        <v>30</v>
      </c>
    </row>
    <row r="4887" spans="8:8" x14ac:dyDescent="0.25">
      <c r="H4887" t="s">
        <v>136</v>
      </c>
    </row>
    <row r="4888" spans="8:8" x14ac:dyDescent="0.25">
      <c r="H4888" t="s">
        <v>10396</v>
      </c>
    </row>
    <row r="4889" spans="8:8" x14ac:dyDescent="0.25">
      <c r="H4889" t="s">
        <v>30</v>
      </c>
    </row>
    <row r="4890" spans="8:8" x14ac:dyDescent="0.25">
      <c r="H4890" t="s">
        <v>137</v>
      </c>
    </row>
    <row r="4891" spans="8:8" x14ac:dyDescent="0.25">
      <c r="H4891" t="s">
        <v>10397</v>
      </c>
    </row>
    <row r="4892" spans="8:8" x14ac:dyDescent="0.25">
      <c r="H4892" t="s">
        <v>30</v>
      </c>
    </row>
    <row r="4893" spans="8:8" x14ac:dyDescent="0.25">
      <c r="H4893" t="s">
        <v>138</v>
      </c>
    </row>
    <row r="4894" spans="8:8" x14ac:dyDescent="0.25">
      <c r="H4894" t="s">
        <v>10398</v>
      </c>
    </row>
    <row r="4895" spans="8:8" x14ac:dyDescent="0.25">
      <c r="H4895" t="s">
        <v>30</v>
      </c>
    </row>
    <row r="4897" spans="8:8" x14ac:dyDescent="0.25">
      <c r="H4897" t="s">
        <v>10399</v>
      </c>
    </row>
    <row r="4898" spans="8:8" x14ac:dyDescent="0.25">
      <c r="H4898" t="s">
        <v>10400</v>
      </c>
    </row>
    <row r="4899" spans="8:8" x14ac:dyDescent="0.25">
      <c r="H4899" t="s">
        <v>135</v>
      </c>
    </row>
    <row r="4900" spans="8:8" x14ac:dyDescent="0.25">
      <c r="H4900" t="s">
        <v>10401</v>
      </c>
    </row>
    <row r="4901" spans="8:8" x14ac:dyDescent="0.25">
      <c r="H4901" t="s">
        <v>30</v>
      </c>
    </row>
    <row r="4902" spans="8:8" x14ac:dyDescent="0.25">
      <c r="H4902" t="s">
        <v>136</v>
      </c>
    </row>
    <row r="4903" spans="8:8" x14ac:dyDescent="0.25">
      <c r="H4903" t="s">
        <v>10402</v>
      </c>
    </row>
    <row r="4904" spans="8:8" x14ac:dyDescent="0.25">
      <c r="H4904" t="s">
        <v>30</v>
      </c>
    </row>
    <row r="4905" spans="8:8" x14ac:dyDescent="0.25">
      <c r="H4905" t="s">
        <v>137</v>
      </c>
    </row>
    <row r="4906" spans="8:8" x14ac:dyDescent="0.25">
      <c r="H4906" t="s">
        <v>10403</v>
      </c>
    </row>
    <row r="4907" spans="8:8" x14ac:dyDescent="0.25">
      <c r="H4907" t="s">
        <v>30</v>
      </c>
    </row>
    <row r="4908" spans="8:8" x14ac:dyDescent="0.25">
      <c r="H4908" t="s">
        <v>138</v>
      </c>
    </row>
    <row r="4909" spans="8:8" x14ac:dyDescent="0.25">
      <c r="H4909" t="s">
        <v>10404</v>
      </c>
    </row>
    <row r="4910" spans="8:8" x14ac:dyDescent="0.25">
      <c r="H4910" t="s">
        <v>30</v>
      </c>
    </row>
    <row r="4912" spans="8:8" x14ac:dyDescent="0.25">
      <c r="H4912" t="s">
        <v>10405</v>
      </c>
    </row>
    <row r="4913" spans="8:8" x14ac:dyDescent="0.25">
      <c r="H4913" t="s">
        <v>10406</v>
      </c>
    </row>
    <row r="4914" spans="8:8" x14ac:dyDescent="0.25">
      <c r="H4914" t="s">
        <v>135</v>
      </c>
    </row>
    <row r="4915" spans="8:8" x14ac:dyDescent="0.25">
      <c r="H4915" t="s">
        <v>10407</v>
      </c>
    </row>
    <row r="4916" spans="8:8" x14ac:dyDescent="0.25">
      <c r="H4916" t="s">
        <v>30</v>
      </c>
    </row>
    <row r="4917" spans="8:8" x14ac:dyDescent="0.25">
      <c r="H4917" t="s">
        <v>136</v>
      </c>
    </row>
    <row r="4918" spans="8:8" x14ac:dyDescent="0.25">
      <c r="H4918" t="s">
        <v>10408</v>
      </c>
    </row>
    <row r="4919" spans="8:8" x14ac:dyDescent="0.25">
      <c r="H4919" t="s">
        <v>30</v>
      </c>
    </row>
    <row r="4920" spans="8:8" x14ac:dyDescent="0.25">
      <c r="H4920" t="s">
        <v>137</v>
      </c>
    </row>
    <row r="4921" spans="8:8" x14ac:dyDescent="0.25">
      <c r="H4921" t="s">
        <v>10409</v>
      </c>
    </row>
    <row r="4922" spans="8:8" x14ac:dyDescent="0.25">
      <c r="H4922" t="s">
        <v>30</v>
      </c>
    </row>
    <row r="4923" spans="8:8" x14ac:dyDescent="0.25">
      <c r="H4923" t="s">
        <v>138</v>
      </c>
    </row>
    <row r="4924" spans="8:8" x14ac:dyDescent="0.25">
      <c r="H4924" t="s">
        <v>10410</v>
      </c>
    </row>
    <row r="4925" spans="8:8" x14ac:dyDescent="0.25">
      <c r="H4925" t="s">
        <v>30</v>
      </c>
    </row>
    <row r="4927" spans="8:8" x14ac:dyDescent="0.25">
      <c r="H4927" t="s">
        <v>10411</v>
      </c>
    </row>
    <row r="4928" spans="8:8" x14ac:dyDescent="0.25">
      <c r="H4928" t="s">
        <v>10412</v>
      </c>
    </row>
    <row r="4929" spans="8:8" x14ac:dyDescent="0.25">
      <c r="H4929" t="s">
        <v>135</v>
      </c>
    </row>
    <row r="4930" spans="8:8" x14ac:dyDescent="0.25">
      <c r="H4930" t="s">
        <v>10413</v>
      </c>
    </row>
    <row r="4931" spans="8:8" x14ac:dyDescent="0.25">
      <c r="H4931" t="s">
        <v>30</v>
      </c>
    </row>
    <row r="4932" spans="8:8" x14ac:dyDescent="0.25">
      <c r="H4932" t="s">
        <v>136</v>
      </c>
    </row>
    <row r="4933" spans="8:8" x14ac:dyDescent="0.25">
      <c r="H4933" t="s">
        <v>10414</v>
      </c>
    </row>
    <row r="4934" spans="8:8" x14ac:dyDescent="0.25">
      <c r="H4934" t="s">
        <v>30</v>
      </c>
    </row>
    <row r="4935" spans="8:8" x14ac:dyDescent="0.25">
      <c r="H4935" t="s">
        <v>137</v>
      </c>
    </row>
    <row r="4936" spans="8:8" x14ac:dyDescent="0.25">
      <c r="H4936" t="s">
        <v>10415</v>
      </c>
    </row>
    <row r="4937" spans="8:8" x14ac:dyDescent="0.25">
      <c r="H4937" t="s">
        <v>30</v>
      </c>
    </row>
    <row r="4938" spans="8:8" x14ac:dyDescent="0.25">
      <c r="H4938" t="s">
        <v>138</v>
      </c>
    </row>
    <row r="4939" spans="8:8" x14ac:dyDescent="0.25">
      <c r="H4939" t="s">
        <v>10416</v>
      </c>
    </row>
    <row r="4940" spans="8:8" x14ac:dyDescent="0.25">
      <c r="H4940" t="s">
        <v>30</v>
      </c>
    </row>
    <row r="4942" spans="8:8" x14ac:dyDescent="0.25">
      <c r="H4942" t="s">
        <v>10417</v>
      </c>
    </row>
    <row r="4943" spans="8:8" x14ac:dyDescent="0.25">
      <c r="H4943" t="s">
        <v>10418</v>
      </c>
    </row>
    <row r="4944" spans="8:8" x14ac:dyDescent="0.25">
      <c r="H4944" t="s">
        <v>135</v>
      </c>
    </row>
    <row r="4945" spans="8:8" x14ac:dyDescent="0.25">
      <c r="H4945" t="s">
        <v>10419</v>
      </c>
    </row>
    <row r="4946" spans="8:8" x14ac:dyDescent="0.25">
      <c r="H4946" t="s">
        <v>30</v>
      </c>
    </row>
    <row r="4947" spans="8:8" x14ac:dyDescent="0.25">
      <c r="H4947" t="s">
        <v>136</v>
      </c>
    </row>
    <row r="4948" spans="8:8" x14ac:dyDescent="0.25">
      <c r="H4948" t="s">
        <v>10420</v>
      </c>
    </row>
    <row r="4949" spans="8:8" x14ac:dyDescent="0.25">
      <c r="H4949" t="s">
        <v>30</v>
      </c>
    </row>
    <row r="4950" spans="8:8" x14ac:dyDescent="0.25">
      <c r="H4950" t="s">
        <v>137</v>
      </c>
    </row>
    <row r="4951" spans="8:8" x14ac:dyDescent="0.25">
      <c r="H4951" t="s">
        <v>10421</v>
      </c>
    </row>
    <row r="4952" spans="8:8" x14ac:dyDescent="0.25">
      <c r="H4952" t="s">
        <v>30</v>
      </c>
    </row>
    <row r="4953" spans="8:8" x14ac:dyDescent="0.25">
      <c r="H4953" t="s">
        <v>138</v>
      </c>
    </row>
    <row r="4954" spans="8:8" x14ac:dyDescent="0.25">
      <c r="H4954" t="s">
        <v>10422</v>
      </c>
    </row>
    <row r="4955" spans="8:8" x14ac:dyDescent="0.25">
      <c r="H4955" t="s">
        <v>30</v>
      </c>
    </row>
    <row r="4957" spans="8:8" x14ac:dyDescent="0.25">
      <c r="H4957" t="s">
        <v>10423</v>
      </c>
    </row>
    <row r="4958" spans="8:8" x14ac:dyDescent="0.25">
      <c r="H4958" t="s">
        <v>10424</v>
      </c>
    </row>
    <row r="4959" spans="8:8" x14ac:dyDescent="0.25">
      <c r="H4959" t="s">
        <v>135</v>
      </c>
    </row>
    <row r="4960" spans="8:8" x14ac:dyDescent="0.25">
      <c r="H4960" t="s">
        <v>10425</v>
      </c>
    </row>
    <row r="4961" spans="8:8" x14ac:dyDescent="0.25">
      <c r="H4961" t="s">
        <v>30</v>
      </c>
    </row>
    <row r="4962" spans="8:8" x14ac:dyDescent="0.25">
      <c r="H4962" t="s">
        <v>136</v>
      </c>
    </row>
    <row r="4963" spans="8:8" x14ac:dyDescent="0.25">
      <c r="H4963" t="s">
        <v>10426</v>
      </c>
    </row>
    <row r="4964" spans="8:8" x14ac:dyDescent="0.25">
      <c r="H4964" t="s">
        <v>30</v>
      </c>
    </row>
    <row r="4965" spans="8:8" x14ac:dyDescent="0.25">
      <c r="H4965" t="s">
        <v>137</v>
      </c>
    </row>
    <row r="4966" spans="8:8" x14ac:dyDescent="0.25">
      <c r="H4966" t="s">
        <v>10427</v>
      </c>
    </row>
    <row r="4967" spans="8:8" x14ac:dyDescent="0.25">
      <c r="H4967" t="s">
        <v>30</v>
      </c>
    </row>
    <row r="4968" spans="8:8" x14ac:dyDescent="0.25">
      <c r="H4968" t="s">
        <v>138</v>
      </c>
    </row>
    <row r="4969" spans="8:8" x14ac:dyDescent="0.25">
      <c r="H4969" t="s">
        <v>10428</v>
      </c>
    </row>
    <row r="4970" spans="8:8" x14ac:dyDescent="0.25">
      <c r="H4970" t="s">
        <v>30</v>
      </c>
    </row>
    <row r="4972" spans="8:8" x14ac:dyDescent="0.25">
      <c r="H4972" t="s">
        <v>10429</v>
      </c>
    </row>
    <row r="4973" spans="8:8" x14ac:dyDescent="0.25">
      <c r="H4973" t="s">
        <v>10430</v>
      </c>
    </row>
    <row r="4974" spans="8:8" x14ac:dyDescent="0.25">
      <c r="H4974" t="s">
        <v>135</v>
      </c>
    </row>
    <row r="4975" spans="8:8" x14ac:dyDescent="0.25">
      <c r="H4975" t="s">
        <v>10431</v>
      </c>
    </row>
    <row r="4976" spans="8:8" x14ac:dyDescent="0.25">
      <c r="H4976" t="s">
        <v>30</v>
      </c>
    </row>
    <row r="4977" spans="8:8" x14ac:dyDescent="0.25">
      <c r="H4977" t="s">
        <v>136</v>
      </c>
    </row>
    <row r="4978" spans="8:8" x14ac:dyDescent="0.25">
      <c r="H4978" t="s">
        <v>10432</v>
      </c>
    </row>
    <row r="4979" spans="8:8" x14ac:dyDescent="0.25">
      <c r="H4979" t="s">
        <v>30</v>
      </c>
    </row>
    <row r="4980" spans="8:8" x14ac:dyDescent="0.25">
      <c r="H4980" t="s">
        <v>137</v>
      </c>
    </row>
    <row r="4981" spans="8:8" x14ac:dyDescent="0.25">
      <c r="H4981" t="s">
        <v>10433</v>
      </c>
    </row>
    <row r="4982" spans="8:8" x14ac:dyDescent="0.25">
      <c r="H4982" t="s">
        <v>30</v>
      </c>
    </row>
    <row r="4983" spans="8:8" x14ac:dyDescent="0.25">
      <c r="H4983" t="s">
        <v>138</v>
      </c>
    </row>
    <row r="4984" spans="8:8" x14ac:dyDescent="0.25">
      <c r="H4984" t="s">
        <v>10434</v>
      </c>
    </row>
    <row r="4985" spans="8:8" x14ac:dyDescent="0.25">
      <c r="H4985" t="s">
        <v>30</v>
      </c>
    </row>
    <row r="4987" spans="8:8" x14ac:dyDescent="0.25">
      <c r="H4987" t="s">
        <v>10435</v>
      </c>
    </row>
    <row r="4988" spans="8:8" x14ac:dyDescent="0.25">
      <c r="H4988" t="s">
        <v>10436</v>
      </c>
    </row>
    <row r="4989" spans="8:8" x14ac:dyDescent="0.25">
      <c r="H4989" t="s">
        <v>135</v>
      </c>
    </row>
    <row r="4990" spans="8:8" x14ac:dyDescent="0.25">
      <c r="H4990" t="s">
        <v>10437</v>
      </c>
    </row>
    <row r="4991" spans="8:8" x14ac:dyDescent="0.25">
      <c r="H4991" t="s">
        <v>30</v>
      </c>
    </row>
    <row r="4992" spans="8:8" x14ac:dyDescent="0.25">
      <c r="H4992" t="s">
        <v>136</v>
      </c>
    </row>
    <row r="4993" spans="8:8" x14ac:dyDescent="0.25">
      <c r="H4993" t="s">
        <v>10438</v>
      </c>
    </row>
    <row r="4994" spans="8:8" x14ac:dyDescent="0.25">
      <c r="H4994" t="s">
        <v>30</v>
      </c>
    </row>
    <row r="4995" spans="8:8" x14ac:dyDescent="0.25">
      <c r="H4995" t="s">
        <v>137</v>
      </c>
    </row>
    <row r="4996" spans="8:8" x14ac:dyDescent="0.25">
      <c r="H4996" t="s">
        <v>10439</v>
      </c>
    </row>
    <row r="4997" spans="8:8" x14ac:dyDescent="0.25">
      <c r="H4997" t="s">
        <v>30</v>
      </c>
    </row>
    <row r="4998" spans="8:8" x14ac:dyDescent="0.25">
      <c r="H4998" t="s">
        <v>138</v>
      </c>
    </row>
    <row r="4999" spans="8:8" x14ac:dyDescent="0.25">
      <c r="H4999" t="s">
        <v>10440</v>
      </c>
    </row>
    <row r="5000" spans="8:8" x14ac:dyDescent="0.25">
      <c r="H5000" t="s">
        <v>30</v>
      </c>
    </row>
    <row r="5002" spans="8:8" x14ac:dyDescent="0.25">
      <c r="H5002" t="s">
        <v>10441</v>
      </c>
    </row>
    <row r="5003" spans="8:8" x14ac:dyDescent="0.25">
      <c r="H5003" t="s">
        <v>10442</v>
      </c>
    </row>
    <row r="5004" spans="8:8" x14ac:dyDescent="0.25">
      <c r="H5004" t="s">
        <v>135</v>
      </c>
    </row>
    <row r="5005" spans="8:8" x14ac:dyDescent="0.25">
      <c r="H5005" t="s">
        <v>10443</v>
      </c>
    </row>
    <row r="5006" spans="8:8" x14ac:dyDescent="0.25">
      <c r="H5006" t="s">
        <v>30</v>
      </c>
    </row>
    <row r="5007" spans="8:8" x14ac:dyDescent="0.25">
      <c r="H5007" t="s">
        <v>136</v>
      </c>
    </row>
    <row r="5008" spans="8:8" x14ac:dyDescent="0.25">
      <c r="H5008" t="s">
        <v>10444</v>
      </c>
    </row>
    <row r="5009" spans="8:8" x14ac:dyDescent="0.25">
      <c r="H5009" t="s">
        <v>30</v>
      </c>
    </row>
    <row r="5010" spans="8:8" x14ac:dyDescent="0.25">
      <c r="H5010" t="s">
        <v>137</v>
      </c>
    </row>
    <row r="5011" spans="8:8" x14ac:dyDescent="0.25">
      <c r="H5011" t="s">
        <v>10445</v>
      </c>
    </row>
    <row r="5012" spans="8:8" x14ac:dyDescent="0.25">
      <c r="H5012" t="s">
        <v>30</v>
      </c>
    </row>
    <row r="5013" spans="8:8" x14ac:dyDescent="0.25">
      <c r="H5013" t="s">
        <v>138</v>
      </c>
    </row>
    <row r="5014" spans="8:8" x14ac:dyDescent="0.25">
      <c r="H5014" t="s">
        <v>10446</v>
      </c>
    </row>
    <row r="5015" spans="8:8" x14ac:dyDescent="0.25">
      <c r="H5015" t="s">
        <v>30</v>
      </c>
    </row>
    <row r="5017" spans="8:8" x14ac:dyDescent="0.25">
      <c r="H5017" t="s">
        <v>10447</v>
      </c>
    </row>
    <row r="5018" spans="8:8" x14ac:dyDescent="0.25">
      <c r="H5018" t="s">
        <v>10448</v>
      </c>
    </row>
    <row r="5019" spans="8:8" x14ac:dyDescent="0.25">
      <c r="H5019" t="s">
        <v>135</v>
      </c>
    </row>
    <row r="5020" spans="8:8" x14ac:dyDescent="0.25">
      <c r="H5020" t="s">
        <v>10449</v>
      </c>
    </row>
    <row r="5021" spans="8:8" x14ac:dyDescent="0.25">
      <c r="H5021" t="s">
        <v>30</v>
      </c>
    </row>
    <row r="5022" spans="8:8" x14ac:dyDescent="0.25">
      <c r="H5022" t="s">
        <v>136</v>
      </c>
    </row>
    <row r="5023" spans="8:8" x14ac:dyDescent="0.25">
      <c r="H5023" t="s">
        <v>10450</v>
      </c>
    </row>
    <row r="5024" spans="8:8" x14ac:dyDescent="0.25">
      <c r="H5024" t="s">
        <v>30</v>
      </c>
    </row>
    <row r="5025" spans="8:8" x14ac:dyDescent="0.25">
      <c r="H5025" t="s">
        <v>137</v>
      </c>
    </row>
    <row r="5026" spans="8:8" x14ac:dyDescent="0.25">
      <c r="H5026" t="s">
        <v>10451</v>
      </c>
    </row>
    <row r="5027" spans="8:8" x14ac:dyDescent="0.25">
      <c r="H5027" t="s">
        <v>30</v>
      </c>
    </row>
    <row r="5028" spans="8:8" x14ac:dyDescent="0.25">
      <c r="H5028" t="s">
        <v>138</v>
      </c>
    </row>
    <row r="5029" spans="8:8" x14ac:dyDescent="0.25">
      <c r="H5029" t="s">
        <v>10452</v>
      </c>
    </row>
    <row r="5030" spans="8:8" x14ac:dyDescent="0.25">
      <c r="H5030" t="s">
        <v>30</v>
      </c>
    </row>
    <row r="5032" spans="8:8" x14ac:dyDescent="0.25">
      <c r="H5032" t="s">
        <v>10453</v>
      </c>
    </row>
    <row r="5033" spans="8:8" x14ac:dyDescent="0.25">
      <c r="H5033" t="s">
        <v>10454</v>
      </c>
    </row>
    <row r="5034" spans="8:8" x14ac:dyDescent="0.25">
      <c r="H5034" t="s">
        <v>135</v>
      </c>
    </row>
    <row r="5035" spans="8:8" x14ac:dyDescent="0.25">
      <c r="H5035" t="s">
        <v>10455</v>
      </c>
    </row>
    <row r="5036" spans="8:8" x14ac:dyDescent="0.25">
      <c r="H5036" t="s">
        <v>30</v>
      </c>
    </row>
    <row r="5037" spans="8:8" x14ac:dyDescent="0.25">
      <c r="H5037" t="s">
        <v>136</v>
      </c>
    </row>
    <row r="5038" spans="8:8" x14ac:dyDescent="0.25">
      <c r="H5038" t="s">
        <v>10456</v>
      </c>
    </row>
    <row r="5039" spans="8:8" x14ac:dyDescent="0.25">
      <c r="H5039" t="s">
        <v>30</v>
      </c>
    </row>
    <row r="5040" spans="8:8" x14ac:dyDescent="0.25">
      <c r="H5040" t="s">
        <v>137</v>
      </c>
    </row>
    <row r="5041" spans="8:8" x14ac:dyDescent="0.25">
      <c r="H5041" t="s">
        <v>10457</v>
      </c>
    </row>
    <row r="5042" spans="8:8" x14ac:dyDescent="0.25">
      <c r="H5042" t="s">
        <v>30</v>
      </c>
    </row>
    <row r="5043" spans="8:8" x14ac:dyDescent="0.25">
      <c r="H5043" t="s">
        <v>138</v>
      </c>
    </row>
    <row r="5044" spans="8:8" x14ac:dyDescent="0.25">
      <c r="H5044" t="s">
        <v>10458</v>
      </c>
    </row>
    <row r="5045" spans="8:8" x14ac:dyDescent="0.25">
      <c r="H5045" t="s">
        <v>30</v>
      </c>
    </row>
    <row r="5047" spans="8:8" x14ac:dyDescent="0.25">
      <c r="H5047" t="s">
        <v>10459</v>
      </c>
    </row>
    <row r="5048" spans="8:8" x14ac:dyDescent="0.25">
      <c r="H5048" t="s">
        <v>10460</v>
      </c>
    </row>
    <row r="5049" spans="8:8" x14ac:dyDescent="0.25">
      <c r="H5049" t="s">
        <v>135</v>
      </c>
    </row>
    <row r="5050" spans="8:8" x14ac:dyDescent="0.25">
      <c r="H5050" t="s">
        <v>10461</v>
      </c>
    </row>
    <row r="5051" spans="8:8" x14ac:dyDescent="0.25">
      <c r="H5051" t="s">
        <v>30</v>
      </c>
    </row>
    <row r="5052" spans="8:8" x14ac:dyDescent="0.25">
      <c r="H5052" t="s">
        <v>136</v>
      </c>
    </row>
    <row r="5053" spans="8:8" x14ac:dyDescent="0.25">
      <c r="H5053" t="s">
        <v>10462</v>
      </c>
    </row>
    <row r="5054" spans="8:8" x14ac:dyDescent="0.25">
      <c r="H5054" t="s">
        <v>30</v>
      </c>
    </row>
    <row r="5055" spans="8:8" x14ac:dyDescent="0.25">
      <c r="H5055" t="s">
        <v>137</v>
      </c>
    </row>
    <row r="5056" spans="8:8" x14ac:dyDescent="0.25">
      <c r="H5056" t="s">
        <v>10463</v>
      </c>
    </row>
    <row r="5057" spans="8:8" x14ac:dyDescent="0.25">
      <c r="H5057" t="s">
        <v>30</v>
      </c>
    </row>
    <row r="5058" spans="8:8" x14ac:dyDescent="0.25">
      <c r="H5058" t="s">
        <v>138</v>
      </c>
    </row>
    <row r="5059" spans="8:8" x14ac:dyDescent="0.25">
      <c r="H5059" t="s">
        <v>10464</v>
      </c>
    </row>
    <row r="5060" spans="8:8" x14ac:dyDescent="0.25">
      <c r="H5060" t="s">
        <v>30</v>
      </c>
    </row>
    <row r="5062" spans="8:8" x14ac:dyDescent="0.25">
      <c r="H5062" t="s">
        <v>10465</v>
      </c>
    </row>
    <row r="5063" spans="8:8" x14ac:dyDescent="0.25">
      <c r="H5063" t="s">
        <v>10466</v>
      </c>
    </row>
    <row r="5064" spans="8:8" x14ac:dyDescent="0.25">
      <c r="H5064" t="s">
        <v>135</v>
      </c>
    </row>
    <row r="5065" spans="8:8" x14ac:dyDescent="0.25">
      <c r="H5065" t="s">
        <v>10467</v>
      </c>
    </row>
    <row r="5066" spans="8:8" x14ac:dyDescent="0.25">
      <c r="H5066" t="s">
        <v>30</v>
      </c>
    </row>
    <row r="5067" spans="8:8" x14ac:dyDescent="0.25">
      <c r="H5067" t="s">
        <v>136</v>
      </c>
    </row>
    <row r="5068" spans="8:8" x14ac:dyDescent="0.25">
      <c r="H5068" t="s">
        <v>10468</v>
      </c>
    </row>
    <row r="5069" spans="8:8" x14ac:dyDescent="0.25">
      <c r="H5069" t="s">
        <v>30</v>
      </c>
    </row>
    <row r="5070" spans="8:8" x14ac:dyDescent="0.25">
      <c r="H5070" t="s">
        <v>137</v>
      </c>
    </row>
    <row r="5071" spans="8:8" x14ac:dyDescent="0.25">
      <c r="H5071" t="s">
        <v>10469</v>
      </c>
    </row>
    <row r="5072" spans="8:8" x14ac:dyDescent="0.25">
      <c r="H5072" t="s">
        <v>30</v>
      </c>
    </row>
    <row r="5073" spans="8:8" x14ac:dyDescent="0.25">
      <c r="H5073" t="s">
        <v>138</v>
      </c>
    </row>
    <row r="5074" spans="8:8" x14ac:dyDescent="0.25">
      <c r="H5074" t="s">
        <v>10470</v>
      </c>
    </row>
    <row r="5075" spans="8:8" x14ac:dyDescent="0.25">
      <c r="H5075" t="s">
        <v>30</v>
      </c>
    </row>
    <row r="5077" spans="8:8" x14ac:dyDescent="0.25">
      <c r="H5077" t="s">
        <v>10471</v>
      </c>
    </row>
    <row r="5078" spans="8:8" x14ac:dyDescent="0.25">
      <c r="H5078" t="s">
        <v>10472</v>
      </c>
    </row>
    <row r="5079" spans="8:8" x14ac:dyDescent="0.25">
      <c r="H5079" t="s">
        <v>135</v>
      </c>
    </row>
    <row r="5080" spans="8:8" x14ac:dyDescent="0.25">
      <c r="H5080" t="s">
        <v>10473</v>
      </c>
    </row>
    <row r="5081" spans="8:8" x14ac:dyDescent="0.25">
      <c r="H5081" t="s">
        <v>30</v>
      </c>
    </row>
    <row r="5082" spans="8:8" x14ac:dyDescent="0.25">
      <c r="H5082" t="s">
        <v>136</v>
      </c>
    </row>
    <row r="5083" spans="8:8" x14ac:dyDescent="0.25">
      <c r="H5083" t="s">
        <v>10474</v>
      </c>
    </row>
    <row r="5084" spans="8:8" x14ac:dyDescent="0.25">
      <c r="H5084" t="s">
        <v>30</v>
      </c>
    </row>
    <row r="5085" spans="8:8" x14ac:dyDescent="0.25">
      <c r="H5085" t="s">
        <v>137</v>
      </c>
    </row>
    <row r="5086" spans="8:8" x14ac:dyDescent="0.25">
      <c r="H5086" t="s">
        <v>10475</v>
      </c>
    </row>
    <row r="5087" spans="8:8" x14ac:dyDescent="0.25">
      <c r="H5087" t="s">
        <v>30</v>
      </c>
    </row>
    <row r="5088" spans="8:8" x14ac:dyDescent="0.25">
      <c r="H5088" t="s">
        <v>138</v>
      </c>
    </row>
    <row r="5089" spans="8:8" x14ac:dyDescent="0.25">
      <c r="H5089" t="s">
        <v>10476</v>
      </c>
    </row>
    <row r="5090" spans="8:8" x14ac:dyDescent="0.25">
      <c r="H5090" t="s">
        <v>30</v>
      </c>
    </row>
    <row r="5092" spans="8:8" x14ac:dyDescent="0.25">
      <c r="H5092" t="s">
        <v>10477</v>
      </c>
    </row>
    <row r="5093" spans="8:8" x14ac:dyDescent="0.25">
      <c r="H5093" t="s">
        <v>10478</v>
      </c>
    </row>
    <row r="5094" spans="8:8" x14ac:dyDescent="0.25">
      <c r="H5094" t="s">
        <v>135</v>
      </c>
    </row>
    <row r="5095" spans="8:8" x14ac:dyDescent="0.25">
      <c r="H5095" t="s">
        <v>10479</v>
      </c>
    </row>
    <row r="5096" spans="8:8" x14ac:dyDescent="0.25">
      <c r="H5096" t="s">
        <v>30</v>
      </c>
    </row>
    <row r="5097" spans="8:8" x14ac:dyDescent="0.25">
      <c r="H5097" t="s">
        <v>136</v>
      </c>
    </row>
    <row r="5098" spans="8:8" x14ac:dyDescent="0.25">
      <c r="H5098" t="s">
        <v>10480</v>
      </c>
    </row>
    <row r="5099" spans="8:8" x14ac:dyDescent="0.25">
      <c r="H5099" t="s">
        <v>30</v>
      </c>
    </row>
    <row r="5100" spans="8:8" x14ac:dyDescent="0.25">
      <c r="H5100" t="s">
        <v>137</v>
      </c>
    </row>
    <row r="5101" spans="8:8" x14ac:dyDescent="0.25">
      <c r="H5101" t="s">
        <v>10481</v>
      </c>
    </row>
    <row r="5102" spans="8:8" x14ac:dyDescent="0.25">
      <c r="H5102" t="s">
        <v>30</v>
      </c>
    </row>
    <row r="5103" spans="8:8" x14ac:dyDescent="0.25">
      <c r="H5103" t="s">
        <v>138</v>
      </c>
    </row>
    <row r="5104" spans="8:8" x14ac:dyDescent="0.25">
      <c r="H5104" t="s">
        <v>10482</v>
      </c>
    </row>
    <row r="5105" spans="8:8" x14ac:dyDescent="0.25">
      <c r="H5105" t="s">
        <v>30</v>
      </c>
    </row>
    <row r="5107" spans="8:8" x14ac:dyDescent="0.25">
      <c r="H5107" t="s">
        <v>10483</v>
      </c>
    </row>
    <row r="5108" spans="8:8" x14ac:dyDescent="0.25">
      <c r="H5108" t="s">
        <v>10484</v>
      </c>
    </row>
    <row r="5109" spans="8:8" x14ac:dyDescent="0.25">
      <c r="H5109" t="s">
        <v>135</v>
      </c>
    </row>
    <row r="5110" spans="8:8" x14ac:dyDescent="0.25">
      <c r="H5110" t="s">
        <v>10485</v>
      </c>
    </row>
    <row r="5111" spans="8:8" x14ac:dyDescent="0.25">
      <c r="H5111" t="s">
        <v>30</v>
      </c>
    </row>
    <row r="5112" spans="8:8" x14ac:dyDescent="0.25">
      <c r="H5112" t="s">
        <v>136</v>
      </c>
    </row>
    <row r="5113" spans="8:8" x14ac:dyDescent="0.25">
      <c r="H5113" t="s">
        <v>10486</v>
      </c>
    </row>
    <row r="5114" spans="8:8" x14ac:dyDescent="0.25">
      <c r="H5114" t="s">
        <v>30</v>
      </c>
    </row>
    <row r="5115" spans="8:8" x14ac:dyDescent="0.25">
      <c r="H5115" t="s">
        <v>137</v>
      </c>
    </row>
    <row r="5116" spans="8:8" x14ac:dyDescent="0.25">
      <c r="H5116" t="s">
        <v>10487</v>
      </c>
    </row>
    <row r="5117" spans="8:8" x14ac:dyDescent="0.25">
      <c r="H5117" t="s">
        <v>30</v>
      </c>
    </row>
    <row r="5118" spans="8:8" x14ac:dyDescent="0.25">
      <c r="H5118" t="s">
        <v>138</v>
      </c>
    </row>
    <row r="5119" spans="8:8" x14ac:dyDescent="0.25">
      <c r="H5119" t="s">
        <v>10488</v>
      </c>
    </row>
    <row r="5120" spans="8:8" x14ac:dyDescent="0.25">
      <c r="H5120" t="s">
        <v>30</v>
      </c>
    </row>
    <row r="5122" spans="8:8" x14ac:dyDescent="0.25">
      <c r="H5122" t="s">
        <v>10489</v>
      </c>
    </row>
    <row r="5123" spans="8:8" x14ac:dyDescent="0.25">
      <c r="H5123" t="s">
        <v>10490</v>
      </c>
    </row>
    <row r="5124" spans="8:8" x14ac:dyDescent="0.25">
      <c r="H5124" t="s">
        <v>135</v>
      </c>
    </row>
    <row r="5125" spans="8:8" x14ac:dyDescent="0.25">
      <c r="H5125" t="s">
        <v>10491</v>
      </c>
    </row>
    <row r="5126" spans="8:8" x14ac:dyDescent="0.25">
      <c r="H5126" t="s">
        <v>30</v>
      </c>
    </row>
    <row r="5127" spans="8:8" x14ac:dyDescent="0.25">
      <c r="H5127" t="s">
        <v>136</v>
      </c>
    </row>
    <row r="5128" spans="8:8" x14ac:dyDescent="0.25">
      <c r="H5128" t="s">
        <v>10492</v>
      </c>
    </row>
    <row r="5129" spans="8:8" x14ac:dyDescent="0.25">
      <c r="H5129" t="s">
        <v>30</v>
      </c>
    </row>
    <row r="5130" spans="8:8" x14ac:dyDescent="0.25">
      <c r="H5130" t="s">
        <v>137</v>
      </c>
    </row>
    <row r="5131" spans="8:8" x14ac:dyDescent="0.25">
      <c r="H5131" t="s">
        <v>10493</v>
      </c>
    </row>
    <row r="5132" spans="8:8" x14ac:dyDescent="0.25">
      <c r="H5132" t="s">
        <v>30</v>
      </c>
    </row>
    <row r="5133" spans="8:8" x14ac:dyDescent="0.25">
      <c r="H5133" t="s">
        <v>138</v>
      </c>
    </row>
    <row r="5134" spans="8:8" x14ac:dyDescent="0.25">
      <c r="H5134" t="s">
        <v>10494</v>
      </c>
    </row>
    <row r="5135" spans="8:8" x14ac:dyDescent="0.25">
      <c r="H5135" t="s">
        <v>30</v>
      </c>
    </row>
    <row r="5137" spans="8:8" x14ac:dyDescent="0.25">
      <c r="H5137" t="s">
        <v>10495</v>
      </c>
    </row>
    <row r="5138" spans="8:8" x14ac:dyDescent="0.25">
      <c r="H5138" t="s">
        <v>10496</v>
      </c>
    </row>
    <row r="5139" spans="8:8" x14ac:dyDescent="0.25">
      <c r="H5139" t="s">
        <v>135</v>
      </c>
    </row>
    <row r="5140" spans="8:8" x14ac:dyDescent="0.25">
      <c r="H5140" t="s">
        <v>10497</v>
      </c>
    </row>
    <row r="5141" spans="8:8" x14ac:dyDescent="0.25">
      <c r="H5141" t="s">
        <v>30</v>
      </c>
    </row>
    <row r="5142" spans="8:8" x14ac:dyDescent="0.25">
      <c r="H5142" t="s">
        <v>136</v>
      </c>
    </row>
    <row r="5143" spans="8:8" x14ac:dyDescent="0.25">
      <c r="H5143" t="s">
        <v>10498</v>
      </c>
    </row>
    <row r="5144" spans="8:8" x14ac:dyDescent="0.25">
      <c r="H5144" t="s">
        <v>30</v>
      </c>
    </row>
    <row r="5145" spans="8:8" x14ac:dyDescent="0.25">
      <c r="H5145" t="s">
        <v>137</v>
      </c>
    </row>
    <row r="5146" spans="8:8" x14ac:dyDescent="0.25">
      <c r="H5146" t="s">
        <v>10499</v>
      </c>
    </row>
    <row r="5147" spans="8:8" x14ac:dyDescent="0.25">
      <c r="H5147" t="s">
        <v>30</v>
      </c>
    </row>
    <row r="5148" spans="8:8" x14ac:dyDescent="0.25">
      <c r="H5148" t="s">
        <v>138</v>
      </c>
    </row>
    <row r="5149" spans="8:8" x14ac:dyDescent="0.25">
      <c r="H5149" t="s">
        <v>10500</v>
      </c>
    </row>
    <row r="5150" spans="8:8" x14ac:dyDescent="0.25">
      <c r="H5150" t="s">
        <v>30</v>
      </c>
    </row>
    <row r="5152" spans="8:8" x14ac:dyDescent="0.25">
      <c r="H5152" t="s">
        <v>10501</v>
      </c>
    </row>
    <row r="5153" spans="8:8" x14ac:dyDescent="0.25">
      <c r="H5153" t="s">
        <v>10502</v>
      </c>
    </row>
    <row r="5154" spans="8:8" x14ac:dyDescent="0.25">
      <c r="H5154" t="s">
        <v>135</v>
      </c>
    </row>
    <row r="5155" spans="8:8" x14ac:dyDescent="0.25">
      <c r="H5155" t="s">
        <v>10503</v>
      </c>
    </row>
    <row r="5156" spans="8:8" x14ac:dyDescent="0.25">
      <c r="H5156" t="s">
        <v>30</v>
      </c>
    </row>
    <row r="5157" spans="8:8" x14ac:dyDescent="0.25">
      <c r="H5157" t="s">
        <v>136</v>
      </c>
    </row>
    <row r="5158" spans="8:8" x14ac:dyDescent="0.25">
      <c r="H5158" t="s">
        <v>10504</v>
      </c>
    </row>
    <row r="5159" spans="8:8" x14ac:dyDescent="0.25">
      <c r="H5159" t="s">
        <v>30</v>
      </c>
    </row>
    <row r="5160" spans="8:8" x14ac:dyDescent="0.25">
      <c r="H5160" t="s">
        <v>137</v>
      </c>
    </row>
    <row r="5161" spans="8:8" x14ac:dyDescent="0.25">
      <c r="H5161" t="s">
        <v>10505</v>
      </c>
    </row>
    <row r="5162" spans="8:8" x14ac:dyDescent="0.25">
      <c r="H5162" t="s">
        <v>30</v>
      </c>
    </row>
    <row r="5163" spans="8:8" x14ac:dyDescent="0.25">
      <c r="H5163" t="s">
        <v>138</v>
      </c>
    </row>
    <row r="5164" spans="8:8" x14ac:dyDescent="0.25">
      <c r="H5164" t="s">
        <v>10506</v>
      </c>
    </row>
    <row r="5165" spans="8:8" x14ac:dyDescent="0.25">
      <c r="H5165" t="s">
        <v>30</v>
      </c>
    </row>
    <row r="5167" spans="8:8" x14ac:dyDescent="0.25">
      <c r="H5167" t="s">
        <v>10507</v>
      </c>
    </row>
    <row r="5168" spans="8:8" x14ac:dyDescent="0.25">
      <c r="H5168" t="s">
        <v>10508</v>
      </c>
    </row>
    <row r="5169" spans="8:8" x14ac:dyDescent="0.25">
      <c r="H5169" t="s">
        <v>135</v>
      </c>
    </row>
    <row r="5170" spans="8:8" x14ac:dyDescent="0.25">
      <c r="H5170" t="s">
        <v>10509</v>
      </c>
    </row>
    <row r="5171" spans="8:8" x14ac:dyDescent="0.25">
      <c r="H5171" t="s">
        <v>30</v>
      </c>
    </row>
    <row r="5172" spans="8:8" x14ac:dyDescent="0.25">
      <c r="H5172" t="s">
        <v>136</v>
      </c>
    </row>
    <row r="5173" spans="8:8" x14ac:dyDescent="0.25">
      <c r="H5173" t="s">
        <v>10510</v>
      </c>
    </row>
    <row r="5174" spans="8:8" x14ac:dyDescent="0.25">
      <c r="H5174" t="s">
        <v>30</v>
      </c>
    </row>
    <row r="5175" spans="8:8" x14ac:dyDescent="0.25">
      <c r="H5175" t="s">
        <v>137</v>
      </c>
    </row>
    <row r="5176" spans="8:8" x14ac:dyDescent="0.25">
      <c r="H5176" t="s">
        <v>10511</v>
      </c>
    </row>
    <row r="5177" spans="8:8" x14ac:dyDescent="0.25">
      <c r="H5177" t="s">
        <v>30</v>
      </c>
    </row>
    <row r="5178" spans="8:8" x14ac:dyDescent="0.25">
      <c r="H5178" t="s">
        <v>138</v>
      </c>
    </row>
    <row r="5179" spans="8:8" x14ac:dyDescent="0.25">
      <c r="H5179" t="s">
        <v>10512</v>
      </c>
    </row>
    <row r="5180" spans="8:8" x14ac:dyDescent="0.25">
      <c r="H5180" t="s">
        <v>30</v>
      </c>
    </row>
    <row r="5182" spans="8:8" x14ac:dyDescent="0.25">
      <c r="H5182" t="s">
        <v>10513</v>
      </c>
    </row>
    <row r="5183" spans="8:8" x14ac:dyDescent="0.25">
      <c r="H5183" t="s">
        <v>10514</v>
      </c>
    </row>
    <row r="5184" spans="8:8" x14ac:dyDescent="0.25">
      <c r="H5184" t="s">
        <v>135</v>
      </c>
    </row>
    <row r="5185" spans="8:8" x14ac:dyDescent="0.25">
      <c r="H5185" t="s">
        <v>10515</v>
      </c>
    </row>
    <row r="5186" spans="8:8" x14ac:dyDescent="0.25">
      <c r="H5186" t="s">
        <v>30</v>
      </c>
    </row>
    <row r="5187" spans="8:8" x14ac:dyDescent="0.25">
      <c r="H5187" t="s">
        <v>136</v>
      </c>
    </row>
    <row r="5188" spans="8:8" x14ac:dyDescent="0.25">
      <c r="H5188" t="s">
        <v>10516</v>
      </c>
    </row>
    <row r="5189" spans="8:8" x14ac:dyDescent="0.25">
      <c r="H5189" t="s">
        <v>30</v>
      </c>
    </row>
    <row r="5190" spans="8:8" x14ac:dyDescent="0.25">
      <c r="H5190" t="s">
        <v>137</v>
      </c>
    </row>
    <row r="5191" spans="8:8" x14ac:dyDescent="0.25">
      <c r="H5191" t="s">
        <v>10517</v>
      </c>
    </row>
    <row r="5192" spans="8:8" x14ac:dyDescent="0.25">
      <c r="H5192" t="s">
        <v>30</v>
      </c>
    </row>
    <row r="5193" spans="8:8" x14ac:dyDescent="0.25">
      <c r="H5193" t="s">
        <v>138</v>
      </c>
    </row>
    <row r="5194" spans="8:8" x14ac:dyDescent="0.25">
      <c r="H5194" t="s">
        <v>10518</v>
      </c>
    </row>
    <row r="5195" spans="8:8" x14ac:dyDescent="0.25">
      <c r="H5195" t="s">
        <v>30</v>
      </c>
    </row>
    <row r="5197" spans="8:8" x14ac:dyDescent="0.25">
      <c r="H5197" t="s">
        <v>10519</v>
      </c>
    </row>
    <row r="5198" spans="8:8" x14ac:dyDescent="0.25">
      <c r="H5198" t="s">
        <v>10520</v>
      </c>
    </row>
    <row r="5199" spans="8:8" x14ac:dyDescent="0.25">
      <c r="H5199" t="s">
        <v>135</v>
      </c>
    </row>
    <row r="5200" spans="8:8" x14ac:dyDescent="0.25">
      <c r="H5200" t="s">
        <v>10521</v>
      </c>
    </row>
    <row r="5201" spans="8:8" x14ac:dyDescent="0.25">
      <c r="H5201" t="s">
        <v>30</v>
      </c>
    </row>
    <row r="5202" spans="8:8" x14ac:dyDescent="0.25">
      <c r="H5202" t="s">
        <v>136</v>
      </c>
    </row>
    <row r="5203" spans="8:8" x14ac:dyDescent="0.25">
      <c r="H5203" t="s">
        <v>10522</v>
      </c>
    </row>
    <row r="5204" spans="8:8" x14ac:dyDescent="0.25">
      <c r="H5204" t="s">
        <v>30</v>
      </c>
    </row>
    <row r="5205" spans="8:8" x14ac:dyDescent="0.25">
      <c r="H5205" t="s">
        <v>137</v>
      </c>
    </row>
    <row r="5206" spans="8:8" x14ac:dyDescent="0.25">
      <c r="H5206" t="s">
        <v>10523</v>
      </c>
    </row>
    <row r="5207" spans="8:8" x14ac:dyDescent="0.25">
      <c r="H5207" t="s">
        <v>30</v>
      </c>
    </row>
    <row r="5208" spans="8:8" x14ac:dyDescent="0.25">
      <c r="H5208" t="s">
        <v>138</v>
      </c>
    </row>
    <row r="5209" spans="8:8" x14ac:dyDescent="0.25">
      <c r="H5209" t="s">
        <v>10524</v>
      </c>
    </row>
    <row r="5210" spans="8:8" x14ac:dyDescent="0.25">
      <c r="H5210" t="s">
        <v>30</v>
      </c>
    </row>
    <row r="5212" spans="8:8" x14ac:dyDescent="0.25">
      <c r="H5212" t="s">
        <v>10525</v>
      </c>
    </row>
    <row r="5213" spans="8:8" x14ac:dyDescent="0.25">
      <c r="H5213" t="s">
        <v>10526</v>
      </c>
    </row>
    <row r="5214" spans="8:8" x14ac:dyDescent="0.25">
      <c r="H5214" t="s">
        <v>135</v>
      </c>
    </row>
    <row r="5215" spans="8:8" x14ac:dyDescent="0.25">
      <c r="H5215" t="s">
        <v>10527</v>
      </c>
    </row>
    <row r="5216" spans="8:8" x14ac:dyDescent="0.25">
      <c r="H5216" t="s">
        <v>30</v>
      </c>
    </row>
    <row r="5217" spans="8:8" x14ac:dyDescent="0.25">
      <c r="H5217" t="s">
        <v>136</v>
      </c>
    </row>
    <row r="5218" spans="8:8" x14ac:dyDescent="0.25">
      <c r="H5218" t="s">
        <v>10528</v>
      </c>
    </row>
    <row r="5219" spans="8:8" x14ac:dyDescent="0.25">
      <c r="H5219" t="s">
        <v>30</v>
      </c>
    </row>
    <row r="5220" spans="8:8" x14ac:dyDescent="0.25">
      <c r="H5220" t="s">
        <v>137</v>
      </c>
    </row>
    <row r="5221" spans="8:8" x14ac:dyDescent="0.25">
      <c r="H5221" t="s">
        <v>10529</v>
      </c>
    </row>
    <row r="5222" spans="8:8" x14ac:dyDescent="0.25">
      <c r="H5222" t="s">
        <v>30</v>
      </c>
    </row>
    <row r="5223" spans="8:8" x14ac:dyDescent="0.25">
      <c r="H5223" t="s">
        <v>138</v>
      </c>
    </row>
    <row r="5224" spans="8:8" x14ac:dyDescent="0.25">
      <c r="H5224" t="s">
        <v>10530</v>
      </c>
    </row>
    <row r="5225" spans="8:8" x14ac:dyDescent="0.25">
      <c r="H5225" t="s">
        <v>30</v>
      </c>
    </row>
    <row r="5227" spans="8:8" x14ac:dyDescent="0.25">
      <c r="H5227" t="s">
        <v>10531</v>
      </c>
    </row>
    <row r="5228" spans="8:8" x14ac:dyDescent="0.25">
      <c r="H5228" t="s">
        <v>10532</v>
      </c>
    </row>
    <row r="5229" spans="8:8" x14ac:dyDescent="0.25">
      <c r="H5229" t="s">
        <v>135</v>
      </c>
    </row>
    <row r="5230" spans="8:8" x14ac:dyDescent="0.25">
      <c r="H5230" t="s">
        <v>10533</v>
      </c>
    </row>
    <row r="5231" spans="8:8" x14ac:dyDescent="0.25">
      <c r="H5231" t="s">
        <v>30</v>
      </c>
    </row>
    <row r="5232" spans="8:8" x14ac:dyDescent="0.25">
      <c r="H5232" t="s">
        <v>136</v>
      </c>
    </row>
    <row r="5233" spans="8:8" x14ac:dyDescent="0.25">
      <c r="H5233" t="s">
        <v>10534</v>
      </c>
    </row>
    <row r="5234" spans="8:8" x14ac:dyDescent="0.25">
      <c r="H5234" t="s">
        <v>30</v>
      </c>
    </row>
    <row r="5235" spans="8:8" x14ac:dyDescent="0.25">
      <c r="H5235" t="s">
        <v>137</v>
      </c>
    </row>
    <row r="5236" spans="8:8" x14ac:dyDescent="0.25">
      <c r="H5236" t="s">
        <v>10535</v>
      </c>
    </row>
    <row r="5237" spans="8:8" x14ac:dyDescent="0.25">
      <c r="H5237" t="s">
        <v>30</v>
      </c>
    </row>
    <row r="5238" spans="8:8" x14ac:dyDescent="0.25">
      <c r="H5238" t="s">
        <v>138</v>
      </c>
    </row>
    <row r="5239" spans="8:8" x14ac:dyDescent="0.25">
      <c r="H5239" t="s">
        <v>10536</v>
      </c>
    </row>
    <row r="5240" spans="8:8" x14ac:dyDescent="0.25">
      <c r="H5240" t="s">
        <v>30</v>
      </c>
    </row>
    <row r="5242" spans="8:8" x14ac:dyDescent="0.25">
      <c r="H5242" t="s">
        <v>10537</v>
      </c>
    </row>
    <row r="5243" spans="8:8" x14ac:dyDescent="0.25">
      <c r="H5243" t="s">
        <v>10538</v>
      </c>
    </row>
    <row r="5244" spans="8:8" x14ac:dyDescent="0.25">
      <c r="H5244" t="s">
        <v>135</v>
      </c>
    </row>
    <row r="5245" spans="8:8" x14ac:dyDescent="0.25">
      <c r="H5245" t="s">
        <v>10539</v>
      </c>
    </row>
    <row r="5246" spans="8:8" x14ac:dyDescent="0.25">
      <c r="H5246" t="s">
        <v>30</v>
      </c>
    </row>
    <row r="5247" spans="8:8" x14ac:dyDescent="0.25">
      <c r="H5247" t="s">
        <v>136</v>
      </c>
    </row>
    <row r="5248" spans="8:8" x14ac:dyDescent="0.25">
      <c r="H5248" t="s">
        <v>10540</v>
      </c>
    </row>
    <row r="5249" spans="8:8" x14ac:dyDescent="0.25">
      <c r="H5249" t="s">
        <v>30</v>
      </c>
    </row>
    <row r="5250" spans="8:8" x14ac:dyDescent="0.25">
      <c r="H5250" t="s">
        <v>137</v>
      </c>
    </row>
    <row r="5251" spans="8:8" x14ac:dyDescent="0.25">
      <c r="H5251" t="s">
        <v>10541</v>
      </c>
    </row>
    <row r="5252" spans="8:8" x14ac:dyDescent="0.25">
      <c r="H5252" t="s">
        <v>30</v>
      </c>
    </row>
    <row r="5253" spans="8:8" x14ac:dyDescent="0.25">
      <c r="H5253" t="s">
        <v>138</v>
      </c>
    </row>
    <row r="5254" spans="8:8" x14ac:dyDescent="0.25">
      <c r="H5254" t="s">
        <v>10542</v>
      </c>
    </row>
    <row r="5255" spans="8:8" x14ac:dyDescent="0.25">
      <c r="H5255" t="s">
        <v>30</v>
      </c>
    </row>
    <row r="5257" spans="8:8" x14ac:dyDescent="0.25">
      <c r="H5257" t="s">
        <v>10543</v>
      </c>
    </row>
    <row r="5258" spans="8:8" x14ac:dyDescent="0.25">
      <c r="H5258" t="s">
        <v>10544</v>
      </c>
    </row>
    <row r="5259" spans="8:8" x14ac:dyDescent="0.25">
      <c r="H5259" t="s">
        <v>135</v>
      </c>
    </row>
    <row r="5260" spans="8:8" x14ac:dyDescent="0.25">
      <c r="H5260" t="s">
        <v>10545</v>
      </c>
    </row>
    <row r="5261" spans="8:8" x14ac:dyDescent="0.25">
      <c r="H5261" t="s">
        <v>30</v>
      </c>
    </row>
    <row r="5262" spans="8:8" x14ac:dyDescent="0.25">
      <c r="H5262" t="s">
        <v>136</v>
      </c>
    </row>
    <row r="5263" spans="8:8" x14ac:dyDescent="0.25">
      <c r="H5263" t="s">
        <v>10546</v>
      </c>
    </row>
    <row r="5264" spans="8:8" x14ac:dyDescent="0.25">
      <c r="H5264" t="s">
        <v>30</v>
      </c>
    </row>
    <row r="5265" spans="8:8" x14ac:dyDescent="0.25">
      <c r="H5265" t="s">
        <v>137</v>
      </c>
    </row>
    <row r="5266" spans="8:8" x14ac:dyDescent="0.25">
      <c r="H5266" t="s">
        <v>10547</v>
      </c>
    </row>
    <row r="5267" spans="8:8" x14ac:dyDescent="0.25">
      <c r="H5267" t="s">
        <v>30</v>
      </c>
    </row>
    <row r="5268" spans="8:8" x14ac:dyDescent="0.25">
      <c r="H5268" t="s">
        <v>138</v>
      </c>
    </row>
    <row r="5269" spans="8:8" x14ac:dyDescent="0.25">
      <c r="H5269" t="s">
        <v>10548</v>
      </c>
    </row>
    <row r="5270" spans="8:8" x14ac:dyDescent="0.25">
      <c r="H5270" t="s">
        <v>30</v>
      </c>
    </row>
    <row r="5272" spans="8:8" x14ac:dyDescent="0.25">
      <c r="H5272" t="s">
        <v>10549</v>
      </c>
    </row>
    <row r="5273" spans="8:8" x14ac:dyDescent="0.25">
      <c r="H5273" t="s">
        <v>10550</v>
      </c>
    </row>
    <row r="5274" spans="8:8" x14ac:dyDescent="0.25">
      <c r="H5274" t="s">
        <v>135</v>
      </c>
    </row>
    <row r="5275" spans="8:8" x14ac:dyDescent="0.25">
      <c r="H5275" t="s">
        <v>10551</v>
      </c>
    </row>
    <row r="5276" spans="8:8" x14ac:dyDescent="0.25">
      <c r="H5276" t="s">
        <v>30</v>
      </c>
    </row>
    <row r="5277" spans="8:8" x14ac:dyDescent="0.25">
      <c r="H5277" t="s">
        <v>136</v>
      </c>
    </row>
    <row r="5278" spans="8:8" x14ac:dyDescent="0.25">
      <c r="H5278" t="s">
        <v>10552</v>
      </c>
    </row>
    <row r="5279" spans="8:8" x14ac:dyDescent="0.25">
      <c r="H5279" t="s">
        <v>30</v>
      </c>
    </row>
    <row r="5280" spans="8:8" x14ac:dyDescent="0.25">
      <c r="H5280" t="s">
        <v>137</v>
      </c>
    </row>
    <row r="5281" spans="8:8" x14ac:dyDescent="0.25">
      <c r="H5281" t="s">
        <v>10553</v>
      </c>
    </row>
    <row r="5282" spans="8:8" x14ac:dyDescent="0.25">
      <c r="H5282" t="s">
        <v>30</v>
      </c>
    </row>
    <row r="5283" spans="8:8" x14ac:dyDescent="0.25">
      <c r="H5283" t="s">
        <v>138</v>
      </c>
    </row>
    <row r="5284" spans="8:8" x14ac:dyDescent="0.25">
      <c r="H5284" t="s">
        <v>10554</v>
      </c>
    </row>
    <row r="5285" spans="8:8" x14ac:dyDescent="0.25">
      <c r="H5285" t="s">
        <v>30</v>
      </c>
    </row>
    <row r="5287" spans="8:8" x14ac:dyDescent="0.25">
      <c r="H5287" t="s">
        <v>10555</v>
      </c>
    </row>
    <row r="5288" spans="8:8" x14ac:dyDescent="0.25">
      <c r="H5288" t="s">
        <v>10556</v>
      </c>
    </row>
    <row r="5289" spans="8:8" x14ac:dyDescent="0.25">
      <c r="H5289" t="s">
        <v>135</v>
      </c>
    </row>
    <row r="5290" spans="8:8" x14ac:dyDescent="0.25">
      <c r="H5290" t="s">
        <v>10557</v>
      </c>
    </row>
    <row r="5291" spans="8:8" x14ac:dyDescent="0.25">
      <c r="H5291" t="s">
        <v>30</v>
      </c>
    </row>
    <row r="5292" spans="8:8" x14ac:dyDescent="0.25">
      <c r="H5292" t="s">
        <v>136</v>
      </c>
    </row>
    <row r="5293" spans="8:8" x14ac:dyDescent="0.25">
      <c r="H5293" t="s">
        <v>10558</v>
      </c>
    </row>
    <row r="5294" spans="8:8" x14ac:dyDescent="0.25">
      <c r="H5294" t="s">
        <v>30</v>
      </c>
    </row>
    <row r="5295" spans="8:8" x14ac:dyDescent="0.25">
      <c r="H5295" t="s">
        <v>137</v>
      </c>
    </row>
    <row r="5296" spans="8:8" x14ac:dyDescent="0.25">
      <c r="H5296" t="s">
        <v>10559</v>
      </c>
    </row>
    <row r="5297" spans="8:8" x14ac:dyDescent="0.25">
      <c r="H5297" t="s">
        <v>30</v>
      </c>
    </row>
    <row r="5298" spans="8:8" x14ac:dyDescent="0.25">
      <c r="H5298" t="s">
        <v>138</v>
      </c>
    </row>
    <row r="5299" spans="8:8" x14ac:dyDescent="0.25">
      <c r="H5299" t="s">
        <v>10560</v>
      </c>
    </row>
    <row r="5300" spans="8:8" x14ac:dyDescent="0.25">
      <c r="H5300" t="s">
        <v>30</v>
      </c>
    </row>
    <row r="5302" spans="8:8" x14ac:dyDescent="0.25">
      <c r="H5302" t="s">
        <v>10561</v>
      </c>
    </row>
    <row r="5303" spans="8:8" x14ac:dyDescent="0.25">
      <c r="H5303" t="s">
        <v>10562</v>
      </c>
    </row>
    <row r="5304" spans="8:8" x14ac:dyDescent="0.25">
      <c r="H5304" t="s">
        <v>135</v>
      </c>
    </row>
    <row r="5305" spans="8:8" x14ac:dyDescent="0.25">
      <c r="H5305" t="s">
        <v>10563</v>
      </c>
    </row>
    <row r="5306" spans="8:8" x14ac:dyDescent="0.25">
      <c r="H5306" t="s">
        <v>30</v>
      </c>
    </row>
    <row r="5307" spans="8:8" x14ac:dyDescent="0.25">
      <c r="H5307" t="s">
        <v>136</v>
      </c>
    </row>
    <row r="5308" spans="8:8" x14ac:dyDescent="0.25">
      <c r="H5308" t="s">
        <v>10564</v>
      </c>
    </row>
    <row r="5309" spans="8:8" x14ac:dyDescent="0.25">
      <c r="H5309" t="s">
        <v>30</v>
      </c>
    </row>
    <row r="5310" spans="8:8" x14ac:dyDescent="0.25">
      <c r="H5310" t="s">
        <v>137</v>
      </c>
    </row>
    <row r="5311" spans="8:8" x14ac:dyDescent="0.25">
      <c r="H5311" t="s">
        <v>10565</v>
      </c>
    </row>
    <row r="5312" spans="8:8" x14ac:dyDescent="0.25">
      <c r="H5312" t="s">
        <v>30</v>
      </c>
    </row>
    <row r="5313" spans="8:8" x14ac:dyDescent="0.25">
      <c r="H5313" t="s">
        <v>138</v>
      </c>
    </row>
    <row r="5314" spans="8:8" x14ac:dyDescent="0.25">
      <c r="H5314" t="s">
        <v>10566</v>
      </c>
    </row>
    <row r="5315" spans="8:8" x14ac:dyDescent="0.25">
      <c r="H5315" t="s">
        <v>30</v>
      </c>
    </row>
    <row r="5317" spans="8:8" x14ac:dyDescent="0.25">
      <c r="H5317" t="s">
        <v>10567</v>
      </c>
    </row>
    <row r="5318" spans="8:8" x14ac:dyDescent="0.25">
      <c r="H5318" t="s">
        <v>10568</v>
      </c>
    </row>
    <row r="5319" spans="8:8" x14ac:dyDescent="0.25">
      <c r="H5319" t="s">
        <v>135</v>
      </c>
    </row>
    <row r="5320" spans="8:8" x14ac:dyDescent="0.25">
      <c r="H5320" t="s">
        <v>10569</v>
      </c>
    </row>
    <row r="5321" spans="8:8" x14ac:dyDescent="0.25">
      <c r="H5321" t="s">
        <v>30</v>
      </c>
    </row>
    <row r="5322" spans="8:8" x14ac:dyDescent="0.25">
      <c r="H5322" t="s">
        <v>136</v>
      </c>
    </row>
    <row r="5323" spans="8:8" x14ac:dyDescent="0.25">
      <c r="H5323" t="s">
        <v>10570</v>
      </c>
    </row>
    <row r="5324" spans="8:8" x14ac:dyDescent="0.25">
      <c r="H5324" t="s">
        <v>30</v>
      </c>
    </row>
    <row r="5325" spans="8:8" x14ac:dyDescent="0.25">
      <c r="H5325" t="s">
        <v>137</v>
      </c>
    </row>
    <row r="5326" spans="8:8" x14ac:dyDescent="0.25">
      <c r="H5326" t="s">
        <v>10571</v>
      </c>
    </row>
    <row r="5327" spans="8:8" x14ac:dyDescent="0.25">
      <c r="H5327" t="s">
        <v>30</v>
      </c>
    </row>
    <row r="5328" spans="8:8" x14ac:dyDescent="0.25">
      <c r="H5328" t="s">
        <v>138</v>
      </c>
    </row>
    <row r="5329" spans="8:8" x14ac:dyDescent="0.25">
      <c r="H5329" t="s">
        <v>10572</v>
      </c>
    </row>
    <row r="5330" spans="8:8" x14ac:dyDescent="0.25">
      <c r="H5330" t="s">
        <v>30</v>
      </c>
    </row>
    <row r="5332" spans="8:8" x14ac:dyDescent="0.25">
      <c r="H5332" t="s">
        <v>10573</v>
      </c>
    </row>
    <row r="5333" spans="8:8" x14ac:dyDescent="0.25">
      <c r="H5333" t="s">
        <v>10574</v>
      </c>
    </row>
    <row r="5334" spans="8:8" x14ac:dyDescent="0.25">
      <c r="H5334" t="s">
        <v>135</v>
      </c>
    </row>
    <row r="5335" spans="8:8" x14ac:dyDescent="0.25">
      <c r="H5335" t="s">
        <v>10575</v>
      </c>
    </row>
    <row r="5336" spans="8:8" x14ac:dyDescent="0.25">
      <c r="H5336" t="s">
        <v>30</v>
      </c>
    </row>
    <row r="5337" spans="8:8" x14ac:dyDescent="0.25">
      <c r="H5337" t="s">
        <v>136</v>
      </c>
    </row>
    <row r="5338" spans="8:8" x14ac:dyDescent="0.25">
      <c r="H5338" t="s">
        <v>10576</v>
      </c>
    </row>
    <row r="5339" spans="8:8" x14ac:dyDescent="0.25">
      <c r="H5339" t="s">
        <v>30</v>
      </c>
    </row>
    <row r="5340" spans="8:8" x14ac:dyDescent="0.25">
      <c r="H5340" t="s">
        <v>137</v>
      </c>
    </row>
    <row r="5341" spans="8:8" x14ac:dyDescent="0.25">
      <c r="H5341" t="s">
        <v>10577</v>
      </c>
    </row>
    <row r="5342" spans="8:8" x14ac:dyDescent="0.25">
      <c r="H5342" t="s">
        <v>30</v>
      </c>
    </row>
    <row r="5343" spans="8:8" x14ac:dyDescent="0.25">
      <c r="H5343" t="s">
        <v>138</v>
      </c>
    </row>
    <row r="5344" spans="8:8" x14ac:dyDescent="0.25">
      <c r="H5344" t="s">
        <v>10578</v>
      </c>
    </row>
    <row r="5345" spans="8:8" x14ac:dyDescent="0.25">
      <c r="H5345" t="s">
        <v>30</v>
      </c>
    </row>
    <row r="5347" spans="8:8" x14ac:dyDescent="0.25">
      <c r="H5347" t="s">
        <v>10579</v>
      </c>
    </row>
    <row r="5348" spans="8:8" x14ac:dyDescent="0.25">
      <c r="H5348" t="s">
        <v>10580</v>
      </c>
    </row>
    <row r="5349" spans="8:8" x14ac:dyDescent="0.25">
      <c r="H5349" t="s">
        <v>135</v>
      </c>
    </row>
    <row r="5350" spans="8:8" x14ac:dyDescent="0.25">
      <c r="H5350" t="s">
        <v>10581</v>
      </c>
    </row>
    <row r="5351" spans="8:8" x14ac:dyDescent="0.25">
      <c r="H5351" t="s">
        <v>30</v>
      </c>
    </row>
    <row r="5352" spans="8:8" x14ac:dyDescent="0.25">
      <c r="H5352" t="s">
        <v>136</v>
      </c>
    </row>
    <row r="5353" spans="8:8" x14ac:dyDescent="0.25">
      <c r="H5353" t="s">
        <v>10582</v>
      </c>
    </row>
    <row r="5354" spans="8:8" x14ac:dyDescent="0.25">
      <c r="H5354" t="s">
        <v>30</v>
      </c>
    </row>
    <row r="5355" spans="8:8" x14ac:dyDescent="0.25">
      <c r="H5355" t="s">
        <v>137</v>
      </c>
    </row>
    <row r="5356" spans="8:8" x14ac:dyDescent="0.25">
      <c r="H5356" t="s">
        <v>10583</v>
      </c>
    </row>
    <row r="5357" spans="8:8" x14ac:dyDescent="0.25">
      <c r="H5357" t="s">
        <v>30</v>
      </c>
    </row>
    <row r="5358" spans="8:8" x14ac:dyDescent="0.25">
      <c r="H5358" t="s">
        <v>138</v>
      </c>
    </row>
    <row r="5359" spans="8:8" x14ac:dyDescent="0.25">
      <c r="H5359" t="s">
        <v>10584</v>
      </c>
    </row>
    <row r="5360" spans="8:8" x14ac:dyDescent="0.25">
      <c r="H5360" t="s">
        <v>30</v>
      </c>
    </row>
    <row r="5362" spans="8:8" x14ac:dyDescent="0.25">
      <c r="H5362" t="s">
        <v>10585</v>
      </c>
    </row>
    <row r="5363" spans="8:8" x14ac:dyDescent="0.25">
      <c r="H5363" t="s">
        <v>10586</v>
      </c>
    </row>
    <row r="5364" spans="8:8" x14ac:dyDescent="0.25">
      <c r="H5364" t="s">
        <v>135</v>
      </c>
    </row>
    <row r="5365" spans="8:8" x14ac:dyDescent="0.25">
      <c r="H5365" t="s">
        <v>10587</v>
      </c>
    </row>
    <row r="5366" spans="8:8" x14ac:dyDescent="0.25">
      <c r="H5366" t="s">
        <v>30</v>
      </c>
    </row>
    <row r="5367" spans="8:8" x14ac:dyDescent="0.25">
      <c r="H5367" t="s">
        <v>136</v>
      </c>
    </row>
    <row r="5368" spans="8:8" x14ac:dyDescent="0.25">
      <c r="H5368" t="s">
        <v>10588</v>
      </c>
    </row>
    <row r="5369" spans="8:8" x14ac:dyDescent="0.25">
      <c r="H5369" t="s">
        <v>30</v>
      </c>
    </row>
    <row r="5370" spans="8:8" x14ac:dyDescent="0.25">
      <c r="H5370" t="s">
        <v>137</v>
      </c>
    </row>
    <row r="5371" spans="8:8" x14ac:dyDescent="0.25">
      <c r="H5371" t="s">
        <v>10589</v>
      </c>
    </row>
    <row r="5372" spans="8:8" x14ac:dyDescent="0.25">
      <c r="H5372" t="s">
        <v>30</v>
      </c>
    </row>
    <row r="5373" spans="8:8" x14ac:dyDescent="0.25">
      <c r="H5373" t="s">
        <v>138</v>
      </c>
    </row>
    <row r="5374" spans="8:8" x14ac:dyDescent="0.25">
      <c r="H5374" t="s">
        <v>10590</v>
      </c>
    </row>
    <row r="5375" spans="8:8" x14ac:dyDescent="0.25">
      <c r="H5375" t="s">
        <v>30</v>
      </c>
    </row>
    <row r="5377" spans="8:8" x14ac:dyDescent="0.25">
      <c r="H5377" t="s">
        <v>10591</v>
      </c>
    </row>
    <row r="5378" spans="8:8" x14ac:dyDescent="0.25">
      <c r="H5378" t="s">
        <v>10592</v>
      </c>
    </row>
    <row r="5379" spans="8:8" x14ac:dyDescent="0.25">
      <c r="H5379" t="s">
        <v>135</v>
      </c>
    </row>
    <row r="5380" spans="8:8" x14ac:dyDescent="0.25">
      <c r="H5380" t="s">
        <v>10593</v>
      </c>
    </row>
    <row r="5381" spans="8:8" x14ac:dyDescent="0.25">
      <c r="H5381" t="s">
        <v>30</v>
      </c>
    </row>
    <row r="5382" spans="8:8" x14ac:dyDescent="0.25">
      <c r="H5382" t="s">
        <v>136</v>
      </c>
    </row>
    <row r="5383" spans="8:8" x14ac:dyDescent="0.25">
      <c r="H5383" t="s">
        <v>10594</v>
      </c>
    </row>
    <row r="5384" spans="8:8" x14ac:dyDescent="0.25">
      <c r="H5384" t="s">
        <v>30</v>
      </c>
    </row>
    <row r="5385" spans="8:8" x14ac:dyDescent="0.25">
      <c r="H5385" t="s">
        <v>137</v>
      </c>
    </row>
    <row r="5386" spans="8:8" x14ac:dyDescent="0.25">
      <c r="H5386" t="s">
        <v>10595</v>
      </c>
    </row>
    <row r="5387" spans="8:8" x14ac:dyDescent="0.25">
      <c r="H5387" t="s">
        <v>30</v>
      </c>
    </row>
    <row r="5388" spans="8:8" x14ac:dyDescent="0.25">
      <c r="H5388" t="s">
        <v>138</v>
      </c>
    </row>
    <row r="5389" spans="8:8" x14ac:dyDescent="0.25">
      <c r="H5389" t="s">
        <v>10596</v>
      </c>
    </row>
    <row r="5390" spans="8:8" x14ac:dyDescent="0.25">
      <c r="H5390" t="s">
        <v>30</v>
      </c>
    </row>
    <row r="5392" spans="8:8" x14ac:dyDescent="0.25">
      <c r="H5392" t="s">
        <v>10597</v>
      </c>
    </row>
    <row r="5393" spans="8:8" x14ac:dyDescent="0.25">
      <c r="H5393" t="s">
        <v>10598</v>
      </c>
    </row>
    <row r="5394" spans="8:8" x14ac:dyDescent="0.25">
      <c r="H5394" t="s">
        <v>135</v>
      </c>
    </row>
    <row r="5395" spans="8:8" x14ac:dyDescent="0.25">
      <c r="H5395" t="s">
        <v>10599</v>
      </c>
    </row>
    <row r="5396" spans="8:8" x14ac:dyDescent="0.25">
      <c r="H5396" t="s">
        <v>30</v>
      </c>
    </row>
    <row r="5397" spans="8:8" x14ac:dyDescent="0.25">
      <c r="H5397" t="s">
        <v>136</v>
      </c>
    </row>
    <row r="5398" spans="8:8" x14ac:dyDescent="0.25">
      <c r="H5398" t="s">
        <v>10600</v>
      </c>
    </row>
    <row r="5399" spans="8:8" x14ac:dyDescent="0.25">
      <c r="H5399" t="s">
        <v>30</v>
      </c>
    </row>
    <row r="5400" spans="8:8" x14ac:dyDescent="0.25">
      <c r="H5400" t="s">
        <v>137</v>
      </c>
    </row>
    <row r="5401" spans="8:8" x14ac:dyDescent="0.25">
      <c r="H5401" t="s">
        <v>10601</v>
      </c>
    </row>
    <row r="5402" spans="8:8" x14ac:dyDescent="0.25">
      <c r="H5402" t="s">
        <v>30</v>
      </c>
    </row>
    <row r="5403" spans="8:8" x14ac:dyDescent="0.25">
      <c r="H5403" t="s">
        <v>138</v>
      </c>
    </row>
    <row r="5404" spans="8:8" x14ac:dyDescent="0.25">
      <c r="H5404" t="s">
        <v>10602</v>
      </c>
    </row>
    <row r="5405" spans="8:8" x14ac:dyDescent="0.25">
      <c r="H5405" t="s">
        <v>30</v>
      </c>
    </row>
    <row r="5407" spans="8:8" x14ac:dyDescent="0.25">
      <c r="H5407" t="s">
        <v>10603</v>
      </c>
    </row>
    <row r="5408" spans="8:8" x14ac:dyDescent="0.25">
      <c r="H5408" t="s">
        <v>10604</v>
      </c>
    </row>
    <row r="5409" spans="8:8" x14ac:dyDescent="0.25">
      <c r="H5409" t="s">
        <v>135</v>
      </c>
    </row>
    <row r="5410" spans="8:8" x14ac:dyDescent="0.25">
      <c r="H5410" t="s">
        <v>10605</v>
      </c>
    </row>
    <row r="5411" spans="8:8" x14ac:dyDescent="0.25">
      <c r="H5411" t="s">
        <v>30</v>
      </c>
    </row>
    <row r="5412" spans="8:8" x14ac:dyDescent="0.25">
      <c r="H5412" t="s">
        <v>136</v>
      </c>
    </row>
    <row r="5413" spans="8:8" x14ac:dyDescent="0.25">
      <c r="H5413" t="s">
        <v>10606</v>
      </c>
    </row>
    <row r="5414" spans="8:8" x14ac:dyDescent="0.25">
      <c r="H5414" t="s">
        <v>30</v>
      </c>
    </row>
    <row r="5415" spans="8:8" x14ac:dyDescent="0.25">
      <c r="H5415" t="s">
        <v>137</v>
      </c>
    </row>
    <row r="5416" spans="8:8" x14ac:dyDescent="0.25">
      <c r="H5416" t="s">
        <v>10607</v>
      </c>
    </row>
    <row r="5417" spans="8:8" x14ac:dyDescent="0.25">
      <c r="H5417" t="s">
        <v>30</v>
      </c>
    </row>
    <row r="5418" spans="8:8" x14ac:dyDescent="0.25">
      <c r="H5418" t="s">
        <v>138</v>
      </c>
    </row>
    <row r="5419" spans="8:8" x14ac:dyDescent="0.25">
      <c r="H5419" t="s">
        <v>10608</v>
      </c>
    </row>
    <row r="5420" spans="8:8" x14ac:dyDescent="0.25">
      <c r="H5420" t="s">
        <v>30</v>
      </c>
    </row>
    <row r="5422" spans="8:8" x14ac:dyDescent="0.25">
      <c r="H5422" t="s">
        <v>10609</v>
      </c>
    </row>
    <row r="5423" spans="8:8" x14ac:dyDescent="0.25">
      <c r="H5423" t="s">
        <v>10610</v>
      </c>
    </row>
    <row r="5424" spans="8:8" x14ac:dyDescent="0.25">
      <c r="H5424" t="s">
        <v>135</v>
      </c>
    </row>
    <row r="5425" spans="8:8" x14ac:dyDescent="0.25">
      <c r="H5425" t="s">
        <v>10611</v>
      </c>
    </row>
    <row r="5426" spans="8:8" x14ac:dyDescent="0.25">
      <c r="H5426" t="s">
        <v>30</v>
      </c>
    </row>
    <row r="5427" spans="8:8" x14ac:dyDescent="0.25">
      <c r="H5427" t="s">
        <v>136</v>
      </c>
    </row>
    <row r="5428" spans="8:8" x14ac:dyDescent="0.25">
      <c r="H5428" t="s">
        <v>10612</v>
      </c>
    </row>
    <row r="5429" spans="8:8" x14ac:dyDescent="0.25">
      <c r="H5429" t="s">
        <v>30</v>
      </c>
    </row>
    <row r="5430" spans="8:8" x14ac:dyDescent="0.25">
      <c r="H5430" t="s">
        <v>137</v>
      </c>
    </row>
    <row r="5431" spans="8:8" x14ac:dyDescent="0.25">
      <c r="H5431" t="s">
        <v>10613</v>
      </c>
    </row>
    <row r="5432" spans="8:8" x14ac:dyDescent="0.25">
      <c r="H5432" t="s">
        <v>30</v>
      </c>
    </row>
    <row r="5433" spans="8:8" x14ac:dyDescent="0.25">
      <c r="H5433" t="s">
        <v>138</v>
      </c>
    </row>
    <row r="5434" spans="8:8" x14ac:dyDescent="0.25">
      <c r="H5434" t="s">
        <v>10614</v>
      </c>
    </row>
    <row r="5435" spans="8:8" x14ac:dyDescent="0.25">
      <c r="H5435" t="s">
        <v>30</v>
      </c>
    </row>
    <row r="5437" spans="8:8" x14ac:dyDescent="0.25">
      <c r="H5437" t="s">
        <v>10615</v>
      </c>
    </row>
    <row r="5438" spans="8:8" x14ac:dyDescent="0.25">
      <c r="H5438" t="s">
        <v>10616</v>
      </c>
    </row>
    <row r="5439" spans="8:8" x14ac:dyDescent="0.25">
      <c r="H5439" t="s">
        <v>135</v>
      </c>
    </row>
    <row r="5440" spans="8:8" x14ac:dyDescent="0.25">
      <c r="H5440" t="s">
        <v>10617</v>
      </c>
    </row>
    <row r="5441" spans="8:8" x14ac:dyDescent="0.25">
      <c r="H5441" t="s">
        <v>30</v>
      </c>
    </row>
    <row r="5442" spans="8:8" x14ac:dyDescent="0.25">
      <c r="H5442" t="s">
        <v>136</v>
      </c>
    </row>
    <row r="5443" spans="8:8" x14ac:dyDescent="0.25">
      <c r="H5443" t="s">
        <v>10618</v>
      </c>
    </row>
    <row r="5444" spans="8:8" x14ac:dyDescent="0.25">
      <c r="H5444" t="s">
        <v>30</v>
      </c>
    </row>
    <row r="5445" spans="8:8" x14ac:dyDescent="0.25">
      <c r="H5445" t="s">
        <v>137</v>
      </c>
    </row>
    <row r="5446" spans="8:8" x14ac:dyDescent="0.25">
      <c r="H5446" t="s">
        <v>10619</v>
      </c>
    </row>
    <row r="5447" spans="8:8" x14ac:dyDescent="0.25">
      <c r="H5447" t="s">
        <v>30</v>
      </c>
    </row>
    <row r="5448" spans="8:8" x14ac:dyDescent="0.25">
      <c r="H5448" t="s">
        <v>138</v>
      </c>
    </row>
    <row r="5449" spans="8:8" x14ac:dyDescent="0.25">
      <c r="H5449" t="s">
        <v>10620</v>
      </c>
    </row>
    <row r="5450" spans="8:8" x14ac:dyDescent="0.25">
      <c r="H5450" t="s">
        <v>30</v>
      </c>
    </row>
    <row r="5452" spans="8:8" x14ac:dyDescent="0.25">
      <c r="H5452" t="s">
        <v>10621</v>
      </c>
    </row>
    <row r="5453" spans="8:8" x14ac:dyDescent="0.25">
      <c r="H5453" t="s">
        <v>10622</v>
      </c>
    </row>
    <row r="5454" spans="8:8" x14ac:dyDescent="0.25">
      <c r="H5454" t="s">
        <v>135</v>
      </c>
    </row>
    <row r="5455" spans="8:8" x14ac:dyDescent="0.25">
      <c r="H5455" t="s">
        <v>10623</v>
      </c>
    </row>
    <row r="5456" spans="8:8" x14ac:dyDescent="0.25">
      <c r="H5456" t="s">
        <v>30</v>
      </c>
    </row>
    <row r="5457" spans="8:8" x14ac:dyDescent="0.25">
      <c r="H5457" t="s">
        <v>136</v>
      </c>
    </row>
    <row r="5458" spans="8:8" x14ac:dyDescent="0.25">
      <c r="H5458" t="s">
        <v>10624</v>
      </c>
    </row>
    <row r="5459" spans="8:8" x14ac:dyDescent="0.25">
      <c r="H5459" t="s">
        <v>30</v>
      </c>
    </row>
    <row r="5460" spans="8:8" x14ac:dyDescent="0.25">
      <c r="H5460" t="s">
        <v>137</v>
      </c>
    </row>
    <row r="5461" spans="8:8" x14ac:dyDescent="0.25">
      <c r="H5461" t="s">
        <v>10625</v>
      </c>
    </row>
    <row r="5462" spans="8:8" x14ac:dyDescent="0.25">
      <c r="H5462" t="s">
        <v>30</v>
      </c>
    </row>
    <row r="5463" spans="8:8" x14ac:dyDescent="0.25">
      <c r="H5463" t="s">
        <v>138</v>
      </c>
    </row>
    <row r="5464" spans="8:8" x14ac:dyDescent="0.25">
      <c r="H5464" t="s">
        <v>10626</v>
      </c>
    </row>
    <row r="5465" spans="8:8" x14ac:dyDescent="0.25">
      <c r="H5465" t="s">
        <v>30</v>
      </c>
    </row>
    <row r="5467" spans="8:8" x14ac:dyDescent="0.25">
      <c r="H5467" t="s">
        <v>10627</v>
      </c>
    </row>
    <row r="5468" spans="8:8" x14ac:dyDescent="0.25">
      <c r="H5468" t="s">
        <v>10628</v>
      </c>
    </row>
    <row r="5469" spans="8:8" x14ac:dyDescent="0.25">
      <c r="H5469" t="s">
        <v>135</v>
      </c>
    </row>
    <row r="5470" spans="8:8" x14ac:dyDescent="0.25">
      <c r="H5470" t="s">
        <v>10629</v>
      </c>
    </row>
    <row r="5471" spans="8:8" x14ac:dyDescent="0.25">
      <c r="H5471" t="s">
        <v>30</v>
      </c>
    </row>
    <row r="5472" spans="8:8" x14ac:dyDescent="0.25">
      <c r="H5472" t="s">
        <v>136</v>
      </c>
    </row>
    <row r="5473" spans="8:8" x14ac:dyDescent="0.25">
      <c r="H5473" t="s">
        <v>10630</v>
      </c>
    </row>
    <row r="5474" spans="8:8" x14ac:dyDescent="0.25">
      <c r="H5474" t="s">
        <v>30</v>
      </c>
    </row>
    <row r="5475" spans="8:8" x14ac:dyDescent="0.25">
      <c r="H5475" t="s">
        <v>137</v>
      </c>
    </row>
    <row r="5476" spans="8:8" x14ac:dyDescent="0.25">
      <c r="H5476" t="s">
        <v>10631</v>
      </c>
    </row>
    <row r="5477" spans="8:8" x14ac:dyDescent="0.25">
      <c r="H5477" t="s">
        <v>30</v>
      </c>
    </row>
    <row r="5478" spans="8:8" x14ac:dyDescent="0.25">
      <c r="H5478" t="s">
        <v>138</v>
      </c>
    </row>
    <row r="5479" spans="8:8" x14ac:dyDescent="0.25">
      <c r="H5479" t="s">
        <v>10632</v>
      </c>
    </row>
    <row r="5480" spans="8:8" x14ac:dyDescent="0.25">
      <c r="H5480" t="s">
        <v>30</v>
      </c>
    </row>
    <row r="5482" spans="8:8" x14ac:dyDescent="0.25">
      <c r="H5482" t="s">
        <v>10633</v>
      </c>
    </row>
    <row r="5483" spans="8:8" x14ac:dyDescent="0.25">
      <c r="H5483" t="s">
        <v>10634</v>
      </c>
    </row>
    <row r="5484" spans="8:8" x14ac:dyDescent="0.25">
      <c r="H5484" t="s">
        <v>135</v>
      </c>
    </row>
    <row r="5485" spans="8:8" x14ac:dyDescent="0.25">
      <c r="H5485" t="s">
        <v>10635</v>
      </c>
    </row>
    <row r="5486" spans="8:8" x14ac:dyDescent="0.25">
      <c r="H5486" t="s">
        <v>30</v>
      </c>
    </row>
    <row r="5487" spans="8:8" x14ac:dyDescent="0.25">
      <c r="H5487" t="s">
        <v>136</v>
      </c>
    </row>
    <row r="5488" spans="8:8" x14ac:dyDescent="0.25">
      <c r="H5488" t="s">
        <v>10636</v>
      </c>
    </row>
    <row r="5489" spans="8:8" x14ac:dyDescent="0.25">
      <c r="H5489" t="s">
        <v>30</v>
      </c>
    </row>
    <row r="5490" spans="8:8" x14ac:dyDescent="0.25">
      <c r="H5490" t="s">
        <v>137</v>
      </c>
    </row>
    <row r="5491" spans="8:8" x14ac:dyDescent="0.25">
      <c r="H5491" t="s">
        <v>10637</v>
      </c>
    </row>
    <row r="5492" spans="8:8" x14ac:dyDescent="0.25">
      <c r="H5492" t="s">
        <v>30</v>
      </c>
    </row>
    <row r="5493" spans="8:8" x14ac:dyDescent="0.25">
      <c r="H5493" t="s">
        <v>138</v>
      </c>
    </row>
    <row r="5494" spans="8:8" x14ac:dyDescent="0.25">
      <c r="H5494" t="s">
        <v>10638</v>
      </c>
    </row>
    <row r="5495" spans="8:8" x14ac:dyDescent="0.25">
      <c r="H5495" t="s">
        <v>30</v>
      </c>
    </row>
    <row r="5497" spans="8:8" x14ac:dyDescent="0.25">
      <c r="H5497" t="s">
        <v>10639</v>
      </c>
    </row>
    <row r="5498" spans="8:8" x14ac:dyDescent="0.25">
      <c r="H5498" t="s">
        <v>10640</v>
      </c>
    </row>
    <row r="5499" spans="8:8" x14ac:dyDescent="0.25">
      <c r="H5499" t="s">
        <v>135</v>
      </c>
    </row>
    <row r="5500" spans="8:8" x14ac:dyDescent="0.25">
      <c r="H5500" t="s">
        <v>10641</v>
      </c>
    </row>
    <row r="5501" spans="8:8" x14ac:dyDescent="0.25">
      <c r="H5501" t="s">
        <v>30</v>
      </c>
    </row>
    <row r="5502" spans="8:8" x14ac:dyDescent="0.25">
      <c r="H5502" t="s">
        <v>136</v>
      </c>
    </row>
    <row r="5503" spans="8:8" x14ac:dyDescent="0.25">
      <c r="H5503" t="s">
        <v>10642</v>
      </c>
    </row>
    <row r="5504" spans="8:8" x14ac:dyDescent="0.25">
      <c r="H5504" t="s">
        <v>30</v>
      </c>
    </row>
    <row r="5505" spans="8:8" x14ac:dyDescent="0.25">
      <c r="H5505" t="s">
        <v>137</v>
      </c>
    </row>
    <row r="5506" spans="8:8" x14ac:dyDescent="0.25">
      <c r="H5506" t="s">
        <v>10643</v>
      </c>
    </row>
    <row r="5507" spans="8:8" x14ac:dyDescent="0.25">
      <c r="H5507" t="s">
        <v>30</v>
      </c>
    </row>
    <row r="5508" spans="8:8" x14ac:dyDescent="0.25">
      <c r="H5508" t="s">
        <v>138</v>
      </c>
    </row>
    <row r="5509" spans="8:8" x14ac:dyDescent="0.25">
      <c r="H5509" t="s">
        <v>10644</v>
      </c>
    </row>
    <row r="5510" spans="8:8" x14ac:dyDescent="0.25">
      <c r="H5510" t="s">
        <v>30</v>
      </c>
    </row>
    <row r="5512" spans="8:8" x14ac:dyDescent="0.25">
      <c r="H5512" t="s">
        <v>10645</v>
      </c>
    </row>
    <row r="5513" spans="8:8" x14ac:dyDescent="0.25">
      <c r="H5513" t="s">
        <v>10646</v>
      </c>
    </row>
    <row r="5514" spans="8:8" x14ac:dyDescent="0.25">
      <c r="H5514" t="s">
        <v>135</v>
      </c>
    </row>
    <row r="5515" spans="8:8" x14ac:dyDescent="0.25">
      <c r="H5515" t="s">
        <v>10647</v>
      </c>
    </row>
    <row r="5516" spans="8:8" x14ac:dyDescent="0.25">
      <c r="H5516" t="s">
        <v>30</v>
      </c>
    </row>
    <row r="5517" spans="8:8" x14ac:dyDescent="0.25">
      <c r="H5517" t="s">
        <v>136</v>
      </c>
    </row>
    <row r="5518" spans="8:8" x14ac:dyDescent="0.25">
      <c r="H5518" t="s">
        <v>10648</v>
      </c>
    </row>
    <row r="5519" spans="8:8" x14ac:dyDescent="0.25">
      <c r="H5519" t="s">
        <v>30</v>
      </c>
    </row>
    <row r="5520" spans="8:8" x14ac:dyDescent="0.25">
      <c r="H5520" t="s">
        <v>137</v>
      </c>
    </row>
    <row r="5521" spans="8:8" x14ac:dyDescent="0.25">
      <c r="H5521" t="s">
        <v>10649</v>
      </c>
    </row>
    <row r="5522" spans="8:8" x14ac:dyDescent="0.25">
      <c r="H5522" t="s">
        <v>30</v>
      </c>
    </row>
    <row r="5523" spans="8:8" x14ac:dyDescent="0.25">
      <c r="H5523" t="s">
        <v>138</v>
      </c>
    </row>
    <row r="5524" spans="8:8" x14ac:dyDescent="0.25">
      <c r="H5524" t="s">
        <v>10650</v>
      </c>
    </row>
    <row r="5525" spans="8:8" x14ac:dyDescent="0.25">
      <c r="H5525" t="s">
        <v>30</v>
      </c>
    </row>
    <row r="5527" spans="8:8" x14ac:dyDescent="0.25">
      <c r="H5527" t="s">
        <v>10651</v>
      </c>
    </row>
    <row r="5528" spans="8:8" x14ac:dyDescent="0.25">
      <c r="H5528" t="s">
        <v>10652</v>
      </c>
    </row>
    <row r="5529" spans="8:8" x14ac:dyDescent="0.25">
      <c r="H5529" t="s">
        <v>135</v>
      </c>
    </row>
    <row r="5530" spans="8:8" x14ac:dyDescent="0.25">
      <c r="H5530" t="s">
        <v>10653</v>
      </c>
    </row>
    <row r="5531" spans="8:8" x14ac:dyDescent="0.25">
      <c r="H5531" t="s">
        <v>30</v>
      </c>
    </row>
    <row r="5532" spans="8:8" x14ac:dyDescent="0.25">
      <c r="H5532" t="s">
        <v>136</v>
      </c>
    </row>
    <row r="5533" spans="8:8" x14ac:dyDescent="0.25">
      <c r="H5533" t="s">
        <v>10654</v>
      </c>
    </row>
    <row r="5534" spans="8:8" x14ac:dyDescent="0.25">
      <c r="H5534" t="s">
        <v>30</v>
      </c>
    </row>
    <row r="5535" spans="8:8" x14ac:dyDescent="0.25">
      <c r="H5535" t="s">
        <v>137</v>
      </c>
    </row>
    <row r="5536" spans="8:8" x14ac:dyDescent="0.25">
      <c r="H5536" t="s">
        <v>10655</v>
      </c>
    </row>
    <row r="5537" spans="8:8" x14ac:dyDescent="0.25">
      <c r="H5537" t="s">
        <v>30</v>
      </c>
    </row>
    <row r="5538" spans="8:8" x14ac:dyDescent="0.25">
      <c r="H5538" t="s">
        <v>138</v>
      </c>
    </row>
    <row r="5539" spans="8:8" x14ac:dyDescent="0.25">
      <c r="H5539" t="s">
        <v>10656</v>
      </c>
    </row>
    <row r="5540" spans="8:8" x14ac:dyDescent="0.25">
      <c r="H5540" t="s">
        <v>30</v>
      </c>
    </row>
    <row r="5542" spans="8:8" x14ac:dyDescent="0.25">
      <c r="H5542" t="s">
        <v>10657</v>
      </c>
    </row>
    <row r="5543" spans="8:8" x14ac:dyDescent="0.25">
      <c r="H5543" t="s">
        <v>10658</v>
      </c>
    </row>
    <row r="5544" spans="8:8" x14ac:dyDescent="0.25">
      <c r="H5544" t="s">
        <v>135</v>
      </c>
    </row>
    <row r="5545" spans="8:8" x14ac:dyDescent="0.25">
      <c r="H5545" t="s">
        <v>10659</v>
      </c>
    </row>
    <row r="5546" spans="8:8" x14ac:dyDescent="0.25">
      <c r="H5546" t="s">
        <v>30</v>
      </c>
    </row>
    <row r="5547" spans="8:8" x14ac:dyDescent="0.25">
      <c r="H5547" t="s">
        <v>136</v>
      </c>
    </row>
    <row r="5548" spans="8:8" x14ac:dyDescent="0.25">
      <c r="H5548" t="s">
        <v>10660</v>
      </c>
    </row>
    <row r="5549" spans="8:8" x14ac:dyDescent="0.25">
      <c r="H5549" t="s">
        <v>30</v>
      </c>
    </row>
    <row r="5550" spans="8:8" x14ac:dyDescent="0.25">
      <c r="H5550" t="s">
        <v>137</v>
      </c>
    </row>
    <row r="5551" spans="8:8" x14ac:dyDescent="0.25">
      <c r="H5551" t="s">
        <v>10661</v>
      </c>
    </row>
    <row r="5552" spans="8:8" x14ac:dyDescent="0.25">
      <c r="H5552" t="s">
        <v>30</v>
      </c>
    </row>
    <row r="5553" spans="8:8" x14ac:dyDescent="0.25">
      <c r="H5553" t="s">
        <v>138</v>
      </c>
    </row>
    <row r="5554" spans="8:8" x14ac:dyDescent="0.25">
      <c r="H5554" t="s">
        <v>10662</v>
      </c>
    </row>
    <row r="5555" spans="8:8" x14ac:dyDescent="0.25">
      <c r="H5555" t="s">
        <v>30</v>
      </c>
    </row>
    <row r="5557" spans="8:8" x14ac:dyDescent="0.25">
      <c r="H5557" t="s">
        <v>10663</v>
      </c>
    </row>
    <row r="5558" spans="8:8" x14ac:dyDescent="0.25">
      <c r="H5558" t="s">
        <v>10664</v>
      </c>
    </row>
    <row r="5559" spans="8:8" x14ac:dyDescent="0.25">
      <c r="H5559" t="s">
        <v>135</v>
      </c>
    </row>
    <row r="5560" spans="8:8" x14ac:dyDescent="0.25">
      <c r="H5560" t="s">
        <v>10665</v>
      </c>
    </row>
    <row r="5561" spans="8:8" x14ac:dyDescent="0.25">
      <c r="H5561" t="s">
        <v>30</v>
      </c>
    </row>
    <row r="5562" spans="8:8" x14ac:dyDescent="0.25">
      <c r="H5562" t="s">
        <v>136</v>
      </c>
    </row>
    <row r="5563" spans="8:8" x14ac:dyDescent="0.25">
      <c r="H5563" t="s">
        <v>10666</v>
      </c>
    </row>
    <row r="5564" spans="8:8" x14ac:dyDescent="0.25">
      <c r="H5564" t="s">
        <v>30</v>
      </c>
    </row>
    <row r="5565" spans="8:8" x14ac:dyDescent="0.25">
      <c r="H5565" t="s">
        <v>137</v>
      </c>
    </row>
    <row r="5566" spans="8:8" x14ac:dyDescent="0.25">
      <c r="H5566" t="s">
        <v>10667</v>
      </c>
    </row>
    <row r="5567" spans="8:8" x14ac:dyDescent="0.25">
      <c r="H5567" t="s">
        <v>30</v>
      </c>
    </row>
    <row r="5568" spans="8:8" x14ac:dyDescent="0.25">
      <c r="H5568" t="s">
        <v>138</v>
      </c>
    </row>
    <row r="5569" spans="8:8" x14ac:dyDescent="0.25">
      <c r="H5569" t="s">
        <v>10668</v>
      </c>
    </row>
    <row r="5570" spans="8:8" x14ac:dyDescent="0.25">
      <c r="H5570" t="s">
        <v>30</v>
      </c>
    </row>
    <row r="5572" spans="8:8" x14ac:dyDescent="0.25">
      <c r="H5572" t="s">
        <v>10669</v>
      </c>
    </row>
    <row r="5573" spans="8:8" x14ac:dyDescent="0.25">
      <c r="H5573" t="s">
        <v>10670</v>
      </c>
    </row>
    <row r="5574" spans="8:8" x14ac:dyDescent="0.25">
      <c r="H5574" t="s">
        <v>135</v>
      </c>
    </row>
    <row r="5575" spans="8:8" x14ac:dyDescent="0.25">
      <c r="H5575" t="s">
        <v>10671</v>
      </c>
    </row>
    <row r="5576" spans="8:8" x14ac:dyDescent="0.25">
      <c r="H5576" t="s">
        <v>30</v>
      </c>
    </row>
    <row r="5577" spans="8:8" x14ac:dyDescent="0.25">
      <c r="H5577" t="s">
        <v>136</v>
      </c>
    </row>
    <row r="5578" spans="8:8" x14ac:dyDescent="0.25">
      <c r="H5578" t="s">
        <v>10672</v>
      </c>
    </row>
    <row r="5579" spans="8:8" x14ac:dyDescent="0.25">
      <c r="H5579" t="s">
        <v>30</v>
      </c>
    </row>
    <row r="5580" spans="8:8" x14ac:dyDescent="0.25">
      <c r="H5580" t="s">
        <v>137</v>
      </c>
    </row>
    <row r="5581" spans="8:8" x14ac:dyDescent="0.25">
      <c r="H5581" t="s">
        <v>10673</v>
      </c>
    </row>
    <row r="5582" spans="8:8" x14ac:dyDescent="0.25">
      <c r="H5582" t="s">
        <v>30</v>
      </c>
    </row>
    <row r="5583" spans="8:8" x14ac:dyDescent="0.25">
      <c r="H5583" t="s">
        <v>138</v>
      </c>
    </row>
    <row r="5584" spans="8:8" x14ac:dyDescent="0.25">
      <c r="H5584" t="s">
        <v>10674</v>
      </c>
    </row>
    <row r="5585" spans="8:8" x14ac:dyDescent="0.25">
      <c r="H5585" t="s">
        <v>30</v>
      </c>
    </row>
    <row r="5587" spans="8:8" x14ac:dyDescent="0.25">
      <c r="H5587" t="s">
        <v>10675</v>
      </c>
    </row>
    <row r="5588" spans="8:8" x14ac:dyDescent="0.25">
      <c r="H5588" t="s">
        <v>10676</v>
      </c>
    </row>
    <row r="5589" spans="8:8" x14ac:dyDescent="0.25">
      <c r="H5589" t="s">
        <v>135</v>
      </c>
    </row>
    <row r="5590" spans="8:8" x14ac:dyDescent="0.25">
      <c r="H5590" t="s">
        <v>10677</v>
      </c>
    </row>
    <row r="5591" spans="8:8" x14ac:dyDescent="0.25">
      <c r="H5591" t="s">
        <v>30</v>
      </c>
    </row>
    <row r="5592" spans="8:8" x14ac:dyDescent="0.25">
      <c r="H5592" t="s">
        <v>136</v>
      </c>
    </row>
    <row r="5593" spans="8:8" x14ac:dyDescent="0.25">
      <c r="H5593" t="s">
        <v>10678</v>
      </c>
    </row>
    <row r="5594" spans="8:8" x14ac:dyDescent="0.25">
      <c r="H5594" t="s">
        <v>30</v>
      </c>
    </row>
    <row r="5595" spans="8:8" x14ac:dyDescent="0.25">
      <c r="H5595" t="s">
        <v>137</v>
      </c>
    </row>
    <row r="5596" spans="8:8" x14ac:dyDescent="0.25">
      <c r="H5596" t="s">
        <v>10679</v>
      </c>
    </row>
    <row r="5597" spans="8:8" x14ac:dyDescent="0.25">
      <c r="H5597" t="s">
        <v>30</v>
      </c>
    </row>
    <row r="5598" spans="8:8" x14ac:dyDescent="0.25">
      <c r="H5598" t="s">
        <v>138</v>
      </c>
    </row>
    <row r="5599" spans="8:8" x14ac:dyDescent="0.25">
      <c r="H5599" t="s">
        <v>10680</v>
      </c>
    </row>
    <row r="5600" spans="8:8" x14ac:dyDescent="0.25">
      <c r="H5600" t="s">
        <v>30</v>
      </c>
    </row>
    <row r="5602" spans="8:8" x14ac:dyDescent="0.25">
      <c r="H5602" t="s">
        <v>10681</v>
      </c>
    </row>
    <row r="5603" spans="8:8" x14ac:dyDescent="0.25">
      <c r="H5603" t="s">
        <v>10682</v>
      </c>
    </row>
    <row r="5604" spans="8:8" x14ac:dyDescent="0.25">
      <c r="H5604" t="s">
        <v>135</v>
      </c>
    </row>
    <row r="5605" spans="8:8" x14ac:dyDescent="0.25">
      <c r="H5605" t="s">
        <v>10683</v>
      </c>
    </row>
    <row r="5606" spans="8:8" x14ac:dyDescent="0.25">
      <c r="H5606" t="s">
        <v>30</v>
      </c>
    </row>
    <row r="5607" spans="8:8" x14ac:dyDescent="0.25">
      <c r="H5607" t="s">
        <v>136</v>
      </c>
    </row>
    <row r="5608" spans="8:8" x14ac:dyDescent="0.25">
      <c r="H5608" t="s">
        <v>10684</v>
      </c>
    </row>
    <row r="5609" spans="8:8" x14ac:dyDescent="0.25">
      <c r="H5609" t="s">
        <v>30</v>
      </c>
    </row>
    <row r="5610" spans="8:8" x14ac:dyDescent="0.25">
      <c r="H5610" t="s">
        <v>137</v>
      </c>
    </row>
    <row r="5611" spans="8:8" x14ac:dyDescent="0.25">
      <c r="H5611" t="s">
        <v>10685</v>
      </c>
    </row>
    <row r="5612" spans="8:8" x14ac:dyDescent="0.25">
      <c r="H5612" t="s">
        <v>30</v>
      </c>
    </row>
    <row r="5613" spans="8:8" x14ac:dyDescent="0.25">
      <c r="H5613" t="s">
        <v>138</v>
      </c>
    </row>
    <row r="5614" spans="8:8" x14ac:dyDescent="0.25">
      <c r="H5614" t="s">
        <v>10686</v>
      </c>
    </row>
    <row r="5615" spans="8:8" x14ac:dyDescent="0.25">
      <c r="H5615" t="s">
        <v>30</v>
      </c>
    </row>
    <row r="5617" spans="8:8" x14ac:dyDescent="0.25">
      <c r="H5617" t="s">
        <v>10687</v>
      </c>
    </row>
    <row r="5618" spans="8:8" x14ac:dyDescent="0.25">
      <c r="H5618" t="s">
        <v>10688</v>
      </c>
    </row>
    <row r="5619" spans="8:8" x14ac:dyDescent="0.25">
      <c r="H5619" t="s">
        <v>135</v>
      </c>
    </row>
    <row r="5620" spans="8:8" x14ac:dyDescent="0.25">
      <c r="H5620" t="s">
        <v>10689</v>
      </c>
    </row>
    <row r="5621" spans="8:8" x14ac:dyDescent="0.25">
      <c r="H5621" t="s">
        <v>30</v>
      </c>
    </row>
    <row r="5622" spans="8:8" x14ac:dyDescent="0.25">
      <c r="H5622" t="s">
        <v>136</v>
      </c>
    </row>
    <row r="5623" spans="8:8" x14ac:dyDescent="0.25">
      <c r="H5623" t="s">
        <v>10690</v>
      </c>
    </row>
    <row r="5624" spans="8:8" x14ac:dyDescent="0.25">
      <c r="H5624" t="s">
        <v>30</v>
      </c>
    </row>
    <row r="5625" spans="8:8" x14ac:dyDescent="0.25">
      <c r="H5625" t="s">
        <v>137</v>
      </c>
    </row>
    <row r="5626" spans="8:8" x14ac:dyDescent="0.25">
      <c r="H5626" t="s">
        <v>10691</v>
      </c>
    </row>
    <row r="5627" spans="8:8" x14ac:dyDescent="0.25">
      <c r="H5627" t="s">
        <v>30</v>
      </c>
    </row>
    <row r="5628" spans="8:8" x14ac:dyDescent="0.25">
      <c r="H5628" t="s">
        <v>138</v>
      </c>
    </row>
    <row r="5629" spans="8:8" x14ac:dyDescent="0.25">
      <c r="H5629" t="s">
        <v>10692</v>
      </c>
    </row>
    <row r="5630" spans="8:8" x14ac:dyDescent="0.25">
      <c r="H5630" t="s">
        <v>30</v>
      </c>
    </row>
    <row r="5632" spans="8:8" x14ac:dyDescent="0.25">
      <c r="H5632" t="s">
        <v>10693</v>
      </c>
    </row>
    <row r="5633" spans="8:8" x14ac:dyDescent="0.25">
      <c r="H5633" t="s">
        <v>10694</v>
      </c>
    </row>
    <row r="5634" spans="8:8" x14ac:dyDescent="0.25">
      <c r="H5634" t="s">
        <v>135</v>
      </c>
    </row>
    <row r="5635" spans="8:8" x14ac:dyDescent="0.25">
      <c r="H5635" t="s">
        <v>10695</v>
      </c>
    </row>
    <row r="5636" spans="8:8" x14ac:dyDescent="0.25">
      <c r="H5636" t="s">
        <v>30</v>
      </c>
    </row>
    <row r="5637" spans="8:8" x14ac:dyDescent="0.25">
      <c r="H5637" t="s">
        <v>136</v>
      </c>
    </row>
    <row r="5638" spans="8:8" x14ac:dyDescent="0.25">
      <c r="H5638" t="s">
        <v>10696</v>
      </c>
    </row>
    <row r="5639" spans="8:8" x14ac:dyDescent="0.25">
      <c r="H5639" t="s">
        <v>30</v>
      </c>
    </row>
    <row r="5640" spans="8:8" x14ac:dyDescent="0.25">
      <c r="H5640" t="s">
        <v>137</v>
      </c>
    </row>
    <row r="5641" spans="8:8" x14ac:dyDescent="0.25">
      <c r="H5641" t="s">
        <v>10697</v>
      </c>
    </row>
    <row r="5642" spans="8:8" x14ac:dyDescent="0.25">
      <c r="H5642" t="s">
        <v>30</v>
      </c>
    </row>
    <row r="5643" spans="8:8" x14ac:dyDescent="0.25">
      <c r="H5643" t="s">
        <v>138</v>
      </c>
    </row>
    <row r="5644" spans="8:8" x14ac:dyDescent="0.25">
      <c r="H5644" t="s">
        <v>10698</v>
      </c>
    </row>
    <row r="5645" spans="8:8" x14ac:dyDescent="0.25">
      <c r="H5645" t="s">
        <v>30</v>
      </c>
    </row>
    <row r="5647" spans="8:8" x14ac:dyDescent="0.25">
      <c r="H5647" t="s">
        <v>10699</v>
      </c>
    </row>
    <row r="5648" spans="8:8" x14ac:dyDescent="0.25">
      <c r="H5648" t="s">
        <v>10700</v>
      </c>
    </row>
    <row r="5649" spans="8:8" x14ac:dyDescent="0.25">
      <c r="H5649" t="s">
        <v>135</v>
      </c>
    </row>
    <row r="5650" spans="8:8" x14ac:dyDescent="0.25">
      <c r="H5650" t="s">
        <v>10701</v>
      </c>
    </row>
    <row r="5651" spans="8:8" x14ac:dyDescent="0.25">
      <c r="H5651" t="s">
        <v>30</v>
      </c>
    </row>
    <row r="5652" spans="8:8" x14ac:dyDescent="0.25">
      <c r="H5652" t="s">
        <v>136</v>
      </c>
    </row>
    <row r="5653" spans="8:8" x14ac:dyDescent="0.25">
      <c r="H5653" t="s">
        <v>10702</v>
      </c>
    </row>
    <row r="5654" spans="8:8" x14ac:dyDescent="0.25">
      <c r="H5654" t="s">
        <v>30</v>
      </c>
    </row>
    <row r="5655" spans="8:8" x14ac:dyDescent="0.25">
      <c r="H5655" t="s">
        <v>137</v>
      </c>
    </row>
    <row r="5656" spans="8:8" x14ac:dyDescent="0.25">
      <c r="H5656" t="s">
        <v>10703</v>
      </c>
    </row>
    <row r="5657" spans="8:8" x14ac:dyDescent="0.25">
      <c r="H5657" t="s">
        <v>30</v>
      </c>
    </row>
    <row r="5658" spans="8:8" x14ac:dyDescent="0.25">
      <c r="H5658" t="s">
        <v>138</v>
      </c>
    </row>
    <row r="5659" spans="8:8" x14ac:dyDescent="0.25">
      <c r="H5659" t="s">
        <v>10704</v>
      </c>
    </row>
    <row r="5660" spans="8:8" x14ac:dyDescent="0.25">
      <c r="H5660" t="s">
        <v>30</v>
      </c>
    </row>
    <row r="5662" spans="8:8" x14ac:dyDescent="0.25">
      <c r="H5662" t="s">
        <v>10705</v>
      </c>
    </row>
    <row r="5663" spans="8:8" x14ac:dyDescent="0.25">
      <c r="H5663" t="s">
        <v>10706</v>
      </c>
    </row>
    <row r="5664" spans="8:8" x14ac:dyDescent="0.25">
      <c r="H5664" t="s">
        <v>135</v>
      </c>
    </row>
    <row r="5665" spans="8:8" x14ac:dyDescent="0.25">
      <c r="H5665" t="s">
        <v>10707</v>
      </c>
    </row>
    <row r="5666" spans="8:8" x14ac:dyDescent="0.25">
      <c r="H5666" t="s">
        <v>30</v>
      </c>
    </row>
    <row r="5667" spans="8:8" x14ac:dyDescent="0.25">
      <c r="H5667" t="s">
        <v>136</v>
      </c>
    </row>
    <row r="5668" spans="8:8" x14ac:dyDescent="0.25">
      <c r="H5668" t="s">
        <v>10708</v>
      </c>
    </row>
    <row r="5669" spans="8:8" x14ac:dyDescent="0.25">
      <c r="H5669" t="s">
        <v>30</v>
      </c>
    </row>
    <row r="5670" spans="8:8" x14ac:dyDescent="0.25">
      <c r="H5670" t="s">
        <v>137</v>
      </c>
    </row>
    <row r="5671" spans="8:8" x14ac:dyDescent="0.25">
      <c r="H5671" t="s">
        <v>10709</v>
      </c>
    </row>
    <row r="5672" spans="8:8" x14ac:dyDescent="0.25">
      <c r="H5672" t="s">
        <v>30</v>
      </c>
    </row>
    <row r="5673" spans="8:8" x14ac:dyDescent="0.25">
      <c r="H5673" t="s">
        <v>138</v>
      </c>
    </row>
    <row r="5674" spans="8:8" x14ac:dyDescent="0.25">
      <c r="H5674" t="s">
        <v>10710</v>
      </c>
    </row>
    <row r="5675" spans="8:8" x14ac:dyDescent="0.25">
      <c r="H5675" t="s">
        <v>30</v>
      </c>
    </row>
    <row r="5677" spans="8:8" x14ac:dyDescent="0.25">
      <c r="H5677" t="s">
        <v>10711</v>
      </c>
    </row>
    <row r="5678" spans="8:8" x14ac:dyDescent="0.25">
      <c r="H5678" t="s">
        <v>10712</v>
      </c>
    </row>
    <row r="5679" spans="8:8" x14ac:dyDescent="0.25">
      <c r="H5679" t="s">
        <v>135</v>
      </c>
    </row>
    <row r="5680" spans="8:8" x14ac:dyDescent="0.25">
      <c r="H5680" t="s">
        <v>10713</v>
      </c>
    </row>
    <row r="5681" spans="8:8" x14ac:dyDescent="0.25">
      <c r="H5681" t="s">
        <v>30</v>
      </c>
    </row>
    <row r="5682" spans="8:8" x14ac:dyDescent="0.25">
      <c r="H5682" t="s">
        <v>136</v>
      </c>
    </row>
    <row r="5683" spans="8:8" x14ac:dyDescent="0.25">
      <c r="H5683" t="s">
        <v>10714</v>
      </c>
    </row>
    <row r="5684" spans="8:8" x14ac:dyDescent="0.25">
      <c r="H5684" t="s">
        <v>30</v>
      </c>
    </row>
    <row r="5685" spans="8:8" x14ac:dyDescent="0.25">
      <c r="H5685" t="s">
        <v>137</v>
      </c>
    </row>
    <row r="5686" spans="8:8" x14ac:dyDescent="0.25">
      <c r="H5686" t="s">
        <v>10715</v>
      </c>
    </row>
    <row r="5687" spans="8:8" x14ac:dyDescent="0.25">
      <c r="H5687" t="s">
        <v>30</v>
      </c>
    </row>
    <row r="5688" spans="8:8" x14ac:dyDescent="0.25">
      <c r="H5688" t="s">
        <v>138</v>
      </c>
    </row>
    <row r="5689" spans="8:8" x14ac:dyDescent="0.25">
      <c r="H5689" t="s">
        <v>10716</v>
      </c>
    </row>
    <row r="5690" spans="8:8" x14ac:dyDescent="0.25">
      <c r="H5690" t="s">
        <v>30</v>
      </c>
    </row>
    <row r="5692" spans="8:8" x14ac:dyDescent="0.25">
      <c r="H5692" t="s">
        <v>10717</v>
      </c>
    </row>
    <row r="5693" spans="8:8" x14ac:dyDescent="0.25">
      <c r="H5693" t="s">
        <v>10718</v>
      </c>
    </row>
    <row r="5694" spans="8:8" x14ac:dyDescent="0.25">
      <c r="H5694" t="s">
        <v>135</v>
      </c>
    </row>
    <row r="5695" spans="8:8" x14ac:dyDescent="0.25">
      <c r="H5695" t="s">
        <v>10719</v>
      </c>
    </row>
    <row r="5696" spans="8:8" x14ac:dyDescent="0.25">
      <c r="H5696" t="s">
        <v>30</v>
      </c>
    </row>
    <row r="5697" spans="8:8" x14ac:dyDescent="0.25">
      <c r="H5697" t="s">
        <v>136</v>
      </c>
    </row>
    <row r="5698" spans="8:8" x14ac:dyDescent="0.25">
      <c r="H5698" t="s">
        <v>10720</v>
      </c>
    </row>
    <row r="5699" spans="8:8" x14ac:dyDescent="0.25">
      <c r="H5699" t="s">
        <v>30</v>
      </c>
    </row>
    <row r="5700" spans="8:8" x14ac:dyDescent="0.25">
      <c r="H5700" t="s">
        <v>137</v>
      </c>
    </row>
    <row r="5701" spans="8:8" x14ac:dyDescent="0.25">
      <c r="H5701" t="s">
        <v>10721</v>
      </c>
    </row>
    <row r="5702" spans="8:8" x14ac:dyDescent="0.25">
      <c r="H5702" t="s">
        <v>30</v>
      </c>
    </row>
    <row r="5703" spans="8:8" x14ac:dyDescent="0.25">
      <c r="H5703" t="s">
        <v>138</v>
      </c>
    </row>
    <row r="5704" spans="8:8" x14ac:dyDescent="0.25">
      <c r="H5704" t="s">
        <v>10722</v>
      </c>
    </row>
    <row r="5705" spans="8:8" x14ac:dyDescent="0.25">
      <c r="H5705" t="s">
        <v>30</v>
      </c>
    </row>
    <row r="5707" spans="8:8" x14ac:dyDescent="0.25">
      <c r="H5707" t="s">
        <v>10723</v>
      </c>
    </row>
    <row r="5708" spans="8:8" x14ac:dyDescent="0.25">
      <c r="H5708" t="s">
        <v>10724</v>
      </c>
    </row>
    <row r="5709" spans="8:8" x14ac:dyDescent="0.25">
      <c r="H5709" t="s">
        <v>135</v>
      </c>
    </row>
    <row r="5710" spans="8:8" x14ac:dyDescent="0.25">
      <c r="H5710" t="s">
        <v>10725</v>
      </c>
    </row>
    <row r="5711" spans="8:8" x14ac:dyDescent="0.25">
      <c r="H5711" t="s">
        <v>30</v>
      </c>
    </row>
    <row r="5712" spans="8:8" x14ac:dyDescent="0.25">
      <c r="H5712" t="s">
        <v>136</v>
      </c>
    </row>
    <row r="5713" spans="8:8" x14ac:dyDescent="0.25">
      <c r="H5713" t="s">
        <v>10726</v>
      </c>
    </row>
    <row r="5714" spans="8:8" x14ac:dyDescent="0.25">
      <c r="H5714" t="s">
        <v>30</v>
      </c>
    </row>
    <row r="5715" spans="8:8" x14ac:dyDescent="0.25">
      <c r="H5715" t="s">
        <v>137</v>
      </c>
    </row>
    <row r="5716" spans="8:8" x14ac:dyDescent="0.25">
      <c r="H5716" t="s">
        <v>10727</v>
      </c>
    </row>
    <row r="5717" spans="8:8" x14ac:dyDescent="0.25">
      <c r="H5717" t="s">
        <v>30</v>
      </c>
    </row>
    <row r="5718" spans="8:8" x14ac:dyDescent="0.25">
      <c r="H5718" t="s">
        <v>138</v>
      </c>
    </row>
    <row r="5719" spans="8:8" x14ac:dyDescent="0.25">
      <c r="H5719" t="s">
        <v>10728</v>
      </c>
    </row>
    <row r="5720" spans="8:8" x14ac:dyDescent="0.25">
      <c r="H5720" t="s">
        <v>30</v>
      </c>
    </row>
    <row r="5722" spans="8:8" x14ac:dyDescent="0.25">
      <c r="H5722" t="s">
        <v>10729</v>
      </c>
    </row>
    <row r="5723" spans="8:8" x14ac:dyDescent="0.25">
      <c r="H5723" t="s">
        <v>10730</v>
      </c>
    </row>
    <row r="5724" spans="8:8" x14ac:dyDescent="0.25">
      <c r="H5724" t="s">
        <v>135</v>
      </c>
    </row>
    <row r="5725" spans="8:8" x14ac:dyDescent="0.25">
      <c r="H5725" t="s">
        <v>10731</v>
      </c>
    </row>
    <row r="5726" spans="8:8" x14ac:dyDescent="0.25">
      <c r="H5726" t="s">
        <v>30</v>
      </c>
    </row>
    <row r="5727" spans="8:8" x14ac:dyDescent="0.25">
      <c r="H5727" t="s">
        <v>136</v>
      </c>
    </row>
    <row r="5728" spans="8:8" x14ac:dyDescent="0.25">
      <c r="H5728" t="s">
        <v>10732</v>
      </c>
    </row>
    <row r="5729" spans="8:8" x14ac:dyDescent="0.25">
      <c r="H5729" t="s">
        <v>30</v>
      </c>
    </row>
    <row r="5730" spans="8:8" x14ac:dyDescent="0.25">
      <c r="H5730" t="s">
        <v>137</v>
      </c>
    </row>
    <row r="5731" spans="8:8" x14ac:dyDescent="0.25">
      <c r="H5731" t="s">
        <v>10733</v>
      </c>
    </row>
    <row r="5732" spans="8:8" x14ac:dyDescent="0.25">
      <c r="H5732" t="s">
        <v>30</v>
      </c>
    </row>
    <row r="5733" spans="8:8" x14ac:dyDescent="0.25">
      <c r="H5733" t="s">
        <v>138</v>
      </c>
    </row>
    <row r="5734" spans="8:8" x14ac:dyDescent="0.25">
      <c r="H5734" t="s">
        <v>10734</v>
      </c>
    </row>
    <row r="5735" spans="8:8" x14ac:dyDescent="0.25">
      <c r="H5735" t="s">
        <v>30</v>
      </c>
    </row>
    <row r="5737" spans="8:8" x14ac:dyDescent="0.25">
      <c r="H5737" t="s">
        <v>10735</v>
      </c>
    </row>
    <row r="5738" spans="8:8" x14ac:dyDescent="0.25">
      <c r="H5738" t="s">
        <v>10736</v>
      </c>
    </row>
    <row r="5739" spans="8:8" x14ac:dyDescent="0.25">
      <c r="H5739" t="s">
        <v>135</v>
      </c>
    </row>
    <row r="5740" spans="8:8" x14ac:dyDescent="0.25">
      <c r="H5740" t="s">
        <v>10737</v>
      </c>
    </row>
    <row r="5741" spans="8:8" x14ac:dyDescent="0.25">
      <c r="H5741" t="s">
        <v>30</v>
      </c>
    </row>
    <row r="5742" spans="8:8" x14ac:dyDescent="0.25">
      <c r="H5742" t="s">
        <v>136</v>
      </c>
    </row>
    <row r="5743" spans="8:8" x14ac:dyDescent="0.25">
      <c r="H5743" t="s">
        <v>10738</v>
      </c>
    </row>
    <row r="5744" spans="8:8" x14ac:dyDescent="0.25">
      <c r="H5744" t="s">
        <v>30</v>
      </c>
    </row>
    <row r="5745" spans="8:8" x14ac:dyDescent="0.25">
      <c r="H5745" t="s">
        <v>137</v>
      </c>
    </row>
    <row r="5746" spans="8:8" x14ac:dyDescent="0.25">
      <c r="H5746" t="s">
        <v>10739</v>
      </c>
    </row>
    <row r="5747" spans="8:8" x14ac:dyDescent="0.25">
      <c r="H5747" t="s">
        <v>30</v>
      </c>
    </row>
    <row r="5748" spans="8:8" x14ac:dyDescent="0.25">
      <c r="H5748" t="s">
        <v>138</v>
      </c>
    </row>
    <row r="5749" spans="8:8" x14ac:dyDescent="0.25">
      <c r="H5749" t="s">
        <v>10740</v>
      </c>
    </row>
    <row r="5750" spans="8:8" x14ac:dyDescent="0.25">
      <c r="H5750" t="s">
        <v>30</v>
      </c>
    </row>
    <row r="5752" spans="8:8" x14ac:dyDescent="0.25">
      <c r="H5752" t="s">
        <v>10741</v>
      </c>
    </row>
    <row r="5753" spans="8:8" x14ac:dyDescent="0.25">
      <c r="H5753" t="s">
        <v>10742</v>
      </c>
    </row>
    <row r="5754" spans="8:8" x14ac:dyDescent="0.25">
      <c r="H5754" t="s">
        <v>135</v>
      </c>
    </row>
    <row r="5755" spans="8:8" x14ac:dyDescent="0.25">
      <c r="H5755" t="s">
        <v>10743</v>
      </c>
    </row>
    <row r="5756" spans="8:8" x14ac:dyDescent="0.25">
      <c r="H5756" t="s">
        <v>30</v>
      </c>
    </row>
    <row r="5757" spans="8:8" x14ac:dyDescent="0.25">
      <c r="H5757" t="s">
        <v>136</v>
      </c>
    </row>
    <row r="5758" spans="8:8" x14ac:dyDescent="0.25">
      <c r="H5758" t="s">
        <v>10744</v>
      </c>
    </row>
    <row r="5759" spans="8:8" x14ac:dyDescent="0.25">
      <c r="H5759" t="s">
        <v>30</v>
      </c>
    </row>
    <row r="5760" spans="8:8" x14ac:dyDescent="0.25">
      <c r="H5760" t="s">
        <v>137</v>
      </c>
    </row>
    <row r="5761" spans="8:8" x14ac:dyDescent="0.25">
      <c r="H5761" t="s">
        <v>10745</v>
      </c>
    </row>
    <row r="5762" spans="8:8" x14ac:dyDescent="0.25">
      <c r="H5762" t="s">
        <v>30</v>
      </c>
    </row>
    <row r="5763" spans="8:8" x14ac:dyDescent="0.25">
      <c r="H5763" t="s">
        <v>138</v>
      </c>
    </row>
    <row r="5764" spans="8:8" x14ac:dyDescent="0.25">
      <c r="H5764" t="s">
        <v>10746</v>
      </c>
    </row>
    <row r="5765" spans="8:8" x14ac:dyDescent="0.25">
      <c r="H5765" t="s">
        <v>30</v>
      </c>
    </row>
    <row r="5767" spans="8:8" x14ac:dyDescent="0.25">
      <c r="H5767" t="s">
        <v>10747</v>
      </c>
    </row>
    <row r="5768" spans="8:8" x14ac:dyDescent="0.25">
      <c r="H5768" t="s">
        <v>10748</v>
      </c>
    </row>
    <row r="5769" spans="8:8" x14ac:dyDescent="0.25">
      <c r="H5769" t="s">
        <v>135</v>
      </c>
    </row>
    <row r="5770" spans="8:8" x14ac:dyDescent="0.25">
      <c r="H5770" t="s">
        <v>10749</v>
      </c>
    </row>
    <row r="5771" spans="8:8" x14ac:dyDescent="0.25">
      <c r="H5771" t="s">
        <v>30</v>
      </c>
    </row>
    <row r="5772" spans="8:8" x14ac:dyDescent="0.25">
      <c r="H5772" t="s">
        <v>136</v>
      </c>
    </row>
    <row r="5773" spans="8:8" x14ac:dyDescent="0.25">
      <c r="H5773" t="s">
        <v>10750</v>
      </c>
    </row>
    <row r="5774" spans="8:8" x14ac:dyDescent="0.25">
      <c r="H5774" t="s">
        <v>30</v>
      </c>
    </row>
    <row r="5775" spans="8:8" x14ac:dyDescent="0.25">
      <c r="H5775" t="s">
        <v>137</v>
      </c>
    </row>
    <row r="5776" spans="8:8" x14ac:dyDescent="0.25">
      <c r="H5776" t="s">
        <v>10751</v>
      </c>
    </row>
    <row r="5777" spans="8:8" x14ac:dyDescent="0.25">
      <c r="H5777" t="s">
        <v>30</v>
      </c>
    </row>
    <row r="5778" spans="8:8" x14ac:dyDescent="0.25">
      <c r="H5778" t="s">
        <v>138</v>
      </c>
    </row>
    <row r="5779" spans="8:8" x14ac:dyDescent="0.25">
      <c r="H5779" t="s">
        <v>10752</v>
      </c>
    </row>
    <row r="5780" spans="8:8" x14ac:dyDescent="0.25">
      <c r="H5780" t="s">
        <v>30</v>
      </c>
    </row>
    <row r="5782" spans="8:8" x14ac:dyDescent="0.25">
      <c r="H5782" t="s">
        <v>10753</v>
      </c>
    </row>
    <row r="5783" spans="8:8" x14ac:dyDescent="0.25">
      <c r="H5783" t="s">
        <v>10754</v>
      </c>
    </row>
    <row r="5784" spans="8:8" x14ac:dyDescent="0.25">
      <c r="H5784" t="s">
        <v>135</v>
      </c>
    </row>
    <row r="5785" spans="8:8" x14ac:dyDescent="0.25">
      <c r="H5785" t="s">
        <v>10755</v>
      </c>
    </row>
    <row r="5786" spans="8:8" x14ac:dyDescent="0.25">
      <c r="H5786" t="s">
        <v>30</v>
      </c>
    </row>
    <row r="5787" spans="8:8" x14ac:dyDescent="0.25">
      <c r="H5787" t="s">
        <v>136</v>
      </c>
    </row>
    <row r="5788" spans="8:8" x14ac:dyDescent="0.25">
      <c r="H5788" t="s">
        <v>10756</v>
      </c>
    </row>
    <row r="5789" spans="8:8" x14ac:dyDescent="0.25">
      <c r="H5789" t="s">
        <v>30</v>
      </c>
    </row>
    <row r="5790" spans="8:8" x14ac:dyDescent="0.25">
      <c r="H5790" t="s">
        <v>137</v>
      </c>
    </row>
    <row r="5791" spans="8:8" x14ac:dyDescent="0.25">
      <c r="H5791" t="s">
        <v>10757</v>
      </c>
    </row>
    <row r="5792" spans="8:8" x14ac:dyDescent="0.25">
      <c r="H5792" t="s">
        <v>30</v>
      </c>
    </row>
    <row r="5793" spans="8:8" x14ac:dyDescent="0.25">
      <c r="H5793" t="s">
        <v>138</v>
      </c>
    </row>
    <row r="5794" spans="8:8" x14ac:dyDescent="0.25">
      <c r="H5794" t="s">
        <v>10758</v>
      </c>
    </row>
    <row r="5795" spans="8:8" x14ac:dyDescent="0.25">
      <c r="H5795" t="s">
        <v>30</v>
      </c>
    </row>
    <row r="5797" spans="8:8" x14ac:dyDescent="0.25">
      <c r="H5797" t="s">
        <v>10759</v>
      </c>
    </row>
    <row r="5798" spans="8:8" x14ac:dyDescent="0.25">
      <c r="H5798" t="s">
        <v>10760</v>
      </c>
    </row>
    <row r="5799" spans="8:8" x14ac:dyDescent="0.25">
      <c r="H5799" t="s">
        <v>135</v>
      </c>
    </row>
    <row r="5800" spans="8:8" x14ac:dyDescent="0.25">
      <c r="H5800" t="s">
        <v>10761</v>
      </c>
    </row>
    <row r="5801" spans="8:8" x14ac:dyDescent="0.25">
      <c r="H5801" t="s">
        <v>30</v>
      </c>
    </row>
    <row r="5802" spans="8:8" x14ac:dyDescent="0.25">
      <c r="H5802" t="s">
        <v>136</v>
      </c>
    </row>
    <row r="5803" spans="8:8" x14ac:dyDescent="0.25">
      <c r="H5803" t="s">
        <v>10762</v>
      </c>
    </row>
    <row r="5804" spans="8:8" x14ac:dyDescent="0.25">
      <c r="H5804" t="s">
        <v>30</v>
      </c>
    </row>
    <row r="5805" spans="8:8" x14ac:dyDescent="0.25">
      <c r="H5805" t="s">
        <v>137</v>
      </c>
    </row>
    <row r="5806" spans="8:8" x14ac:dyDescent="0.25">
      <c r="H5806" t="s">
        <v>10763</v>
      </c>
    </row>
    <row r="5807" spans="8:8" x14ac:dyDescent="0.25">
      <c r="H5807" t="s">
        <v>30</v>
      </c>
    </row>
    <row r="5808" spans="8:8" x14ac:dyDescent="0.25">
      <c r="H5808" t="s">
        <v>138</v>
      </c>
    </row>
    <row r="5809" spans="8:8" x14ac:dyDescent="0.25">
      <c r="H5809" t="s">
        <v>10764</v>
      </c>
    </row>
    <row r="5810" spans="8:8" x14ac:dyDescent="0.25">
      <c r="H5810" t="s">
        <v>30</v>
      </c>
    </row>
    <row r="5812" spans="8:8" x14ac:dyDescent="0.25">
      <c r="H5812" t="s">
        <v>10765</v>
      </c>
    </row>
    <row r="5813" spans="8:8" x14ac:dyDescent="0.25">
      <c r="H5813" t="s">
        <v>10766</v>
      </c>
    </row>
    <row r="5814" spans="8:8" x14ac:dyDescent="0.25">
      <c r="H5814" t="s">
        <v>135</v>
      </c>
    </row>
    <row r="5815" spans="8:8" x14ac:dyDescent="0.25">
      <c r="H5815" t="s">
        <v>10767</v>
      </c>
    </row>
    <row r="5816" spans="8:8" x14ac:dyDescent="0.25">
      <c r="H5816" t="s">
        <v>30</v>
      </c>
    </row>
    <row r="5817" spans="8:8" x14ac:dyDescent="0.25">
      <c r="H5817" t="s">
        <v>136</v>
      </c>
    </row>
    <row r="5818" spans="8:8" x14ac:dyDescent="0.25">
      <c r="H5818" t="s">
        <v>10768</v>
      </c>
    </row>
    <row r="5819" spans="8:8" x14ac:dyDescent="0.25">
      <c r="H5819" t="s">
        <v>30</v>
      </c>
    </row>
    <row r="5820" spans="8:8" x14ac:dyDescent="0.25">
      <c r="H5820" t="s">
        <v>137</v>
      </c>
    </row>
    <row r="5821" spans="8:8" x14ac:dyDescent="0.25">
      <c r="H5821" t="s">
        <v>10769</v>
      </c>
    </row>
    <row r="5822" spans="8:8" x14ac:dyDescent="0.25">
      <c r="H5822" t="s">
        <v>30</v>
      </c>
    </row>
    <row r="5823" spans="8:8" x14ac:dyDescent="0.25">
      <c r="H5823" t="s">
        <v>138</v>
      </c>
    </row>
    <row r="5824" spans="8:8" x14ac:dyDescent="0.25">
      <c r="H5824" t="s">
        <v>10770</v>
      </c>
    </row>
    <row r="5825" spans="8:8" x14ac:dyDescent="0.25">
      <c r="H5825" t="s">
        <v>30</v>
      </c>
    </row>
    <row r="5827" spans="8:8" x14ac:dyDescent="0.25">
      <c r="H5827" t="s">
        <v>10771</v>
      </c>
    </row>
    <row r="5828" spans="8:8" x14ac:dyDescent="0.25">
      <c r="H5828" t="s">
        <v>10772</v>
      </c>
    </row>
    <row r="5829" spans="8:8" x14ac:dyDescent="0.25">
      <c r="H5829" t="s">
        <v>135</v>
      </c>
    </row>
    <row r="5830" spans="8:8" x14ac:dyDescent="0.25">
      <c r="H5830" t="s">
        <v>10773</v>
      </c>
    </row>
    <row r="5831" spans="8:8" x14ac:dyDescent="0.25">
      <c r="H5831" t="s">
        <v>30</v>
      </c>
    </row>
    <row r="5832" spans="8:8" x14ac:dyDescent="0.25">
      <c r="H5832" t="s">
        <v>136</v>
      </c>
    </row>
    <row r="5833" spans="8:8" x14ac:dyDescent="0.25">
      <c r="H5833" t="s">
        <v>10774</v>
      </c>
    </row>
    <row r="5834" spans="8:8" x14ac:dyDescent="0.25">
      <c r="H5834" t="s">
        <v>30</v>
      </c>
    </row>
    <row r="5835" spans="8:8" x14ac:dyDescent="0.25">
      <c r="H5835" t="s">
        <v>137</v>
      </c>
    </row>
    <row r="5836" spans="8:8" x14ac:dyDescent="0.25">
      <c r="H5836" t="s">
        <v>10775</v>
      </c>
    </row>
    <row r="5837" spans="8:8" x14ac:dyDescent="0.25">
      <c r="H5837" t="s">
        <v>30</v>
      </c>
    </row>
    <row r="5838" spans="8:8" x14ac:dyDescent="0.25">
      <c r="H5838" t="s">
        <v>138</v>
      </c>
    </row>
    <row r="5839" spans="8:8" x14ac:dyDescent="0.25">
      <c r="H5839" t="s">
        <v>10776</v>
      </c>
    </row>
    <row r="5840" spans="8:8" x14ac:dyDescent="0.25">
      <c r="H5840" t="s">
        <v>30</v>
      </c>
    </row>
    <row r="5842" spans="8:8" x14ac:dyDescent="0.25">
      <c r="H5842" t="s">
        <v>10777</v>
      </c>
    </row>
    <row r="5843" spans="8:8" x14ac:dyDescent="0.25">
      <c r="H5843" t="s">
        <v>10778</v>
      </c>
    </row>
    <row r="5844" spans="8:8" x14ac:dyDescent="0.25">
      <c r="H5844" t="s">
        <v>135</v>
      </c>
    </row>
    <row r="5845" spans="8:8" x14ac:dyDescent="0.25">
      <c r="H5845" t="s">
        <v>10779</v>
      </c>
    </row>
    <row r="5846" spans="8:8" x14ac:dyDescent="0.25">
      <c r="H5846" t="s">
        <v>30</v>
      </c>
    </row>
    <row r="5847" spans="8:8" x14ac:dyDescent="0.25">
      <c r="H5847" t="s">
        <v>136</v>
      </c>
    </row>
    <row r="5848" spans="8:8" x14ac:dyDescent="0.25">
      <c r="H5848" t="s">
        <v>10780</v>
      </c>
    </row>
    <row r="5849" spans="8:8" x14ac:dyDescent="0.25">
      <c r="H5849" t="s">
        <v>30</v>
      </c>
    </row>
    <row r="5850" spans="8:8" x14ac:dyDescent="0.25">
      <c r="H5850" t="s">
        <v>137</v>
      </c>
    </row>
    <row r="5851" spans="8:8" x14ac:dyDescent="0.25">
      <c r="H5851" t="s">
        <v>10781</v>
      </c>
    </row>
    <row r="5852" spans="8:8" x14ac:dyDescent="0.25">
      <c r="H5852" t="s">
        <v>30</v>
      </c>
    </row>
    <row r="5853" spans="8:8" x14ac:dyDescent="0.25">
      <c r="H5853" t="s">
        <v>138</v>
      </c>
    </row>
    <row r="5854" spans="8:8" x14ac:dyDescent="0.25">
      <c r="H5854" t="s">
        <v>10782</v>
      </c>
    </row>
    <row r="5855" spans="8:8" x14ac:dyDescent="0.25">
      <c r="H5855" t="s">
        <v>30</v>
      </c>
    </row>
    <row r="5857" spans="8:8" x14ac:dyDescent="0.25">
      <c r="H5857" t="s">
        <v>10783</v>
      </c>
    </row>
    <row r="5858" spans="8:8" x14ac:dyDescent="0.25">
      <c r="H5858" t="s">
        <v>10784</v>
      </c>
    </row>
    <row r="5859" spans="8:8" x14ac:dyDescent="0.25">
      <c r="H5859" t="s">
        <v>135</v>
      </c>
    </row>
    <row r="5860" spans="8:8" x14ac:dyDescent="0.25">
      <c r="H5860" t="s">
        <v>10785</v>
      </c>
    </row>
    <row r="5861" spans="8:8" x14ac:dyDescent="0.25">
      <c r="H5861" t="s">
        <v>30</v>
      </c>
    </row>
    <row r="5862" spans="8:8" x14ac:dyDescent="0.25">
      <c r="H5862" t="s">
        <v>136</v>
      </c>
    </row>
    <row r="5863" spans="8:8" x14ac:dyDescent="0.25">
      <c r="H5863" t="s">
        <v>10786</v>
      </c>
    </row>
    <row r="5864" spans="8:8" x14ac:dyDescent="0.25">
      <c r="H5864" t="s">
        <v>30</v>
      </c>
    </row>
    <row r="5865" spans="8:8" x14ac:dyDescent="0.25">
      <c r="H5865" t="s">
        <v>137</v>
      </c>
    </row>
    <row r="5866" spans="8:8" x14ac:dyDescent="0.25">
      <c r="H5866" t="s">
        <v>10787</v>
      </c>
    </row>
    <row r="5867" spans="8:8" x14ac:dyDescent="0.25">
      <c r="H5867" t="s">
        <v>30</v>
      </c>
    </row>
    <row r="5868" spans="8:8" x14ac:dyDescent="0.25">
      <c r="H5868" t="s">
        <v>138</v>
      </c>
    </row>
    <row r="5869" spans="8:8" x14ac:dyDescent="0.25">
      <c r="H5869" t="s">
        <v>10788</v>
      </c>
    </row>
    <row r="5870" spans="8:8" x14ac:dyDescent="0.25">
      <c r="H5870" t="s">
        <v>30</v>
      </c>
    </row>
    <row r="5872" spans="8:8" x14ac:dyDescent="0.25">
      <c r="H5872" t="s">
        <v>10789</v>
      </c>
    </row>
    <row r="5873" spans="8:8" x14ac:dyDescent="0.25">
      <c r="H5873" t="s">
        <v>10790</v>
      </c>
    </row>
    <row r="5874" spans="8:8" x14ac:dyDescent="0.25">
      <c r="H5874" t="s">
        <v>135</v>
      </c>
    </row>
    <row r="5875" spans="8:8" x14ac:dyDescent="0.25">
      <c r="H5875" t="s">
        <v>10791</v>
      </c>
    </row>
    <row r="5876" spans="8:8" x14ac:dyDescent="0.25">
      <c r="H5876" t="s">
        <v>30</v>
      </c>
    </row>
    <row r="5877" spans="8:8" x14ac:dyDescent="0.25">
      <c r="H5877" t="s">
        <v>136</v>
      </c>
    </row>
    <row r="5878" spans="8:8" x14ac:dyDescent="0.25">
      <c r="H5878" t="s">
        <v>10792</v>
      </c>
    </row>
    <row r="5879" spans="8:8" x14ac:dyDescent="0.25">
      <c r="H5879" t="s">
        <v>30</v>
      </c>
    </row>
    <row r="5880" spans="8:8" x14ac:dyDescent="0.25">
      <c r="H5880" t="s">
        <v>137</v>
      </c>
    </row>
    <row r="5881" spans="8:8" x14ac:dyDescent="0.25">
      <c r="H5881" t="s">
        <v>10793</v>
      </c>
    </row>
    <row r="5882" spans="8:8" x14ac:dyDescent="0.25">
      <c r="H5882" t="s">
        <v>30</v>
      </c>
    </row>
    <row r="5883" spans="8:8" x14ac:dyDescent="0.25">
      <c r="H5883" t="s">
        <v>138</v>
      </c>
    </row>
    <row r="5884" spans="8:8" x14ac:dyDescent="0.25">
      <c r="H5884" t="s">
        <v>10794</v>
      </c>
    </row>
    <row r="5885" spans="8:8" x14ac:dyDescent="0.25">
      <c r="H5885" t="s">
        <v>30</v>
      </c>
    </row>
    <row r="5887" spans="8:8" x14ac:dyDescent="0.25">
      <c r="H5887" t="s">
        <v>10795</v>
      </c>
    </row>
    <row r="5888" spans="8:8" x14ac:dyDescent="0.25">
      <c r="H5888" t="s">
        <v>10796</v>
      </c>
    </row>
    <row r="5889" spans="8:8" x14ac:dyDescent="0.25">
      <c r="H5889" t="s">
        <v>135</v>
      </c>
    </row>
    <row r="5890" spans="8:8" x14ac:dyDescent="0.25">
      <c r="H5890" t="s">
        <v>10797</v>
      </c>
    </row>
    <row r="5891" spans="8:8" x14ac:dyDescent="0.25">
      <c r="H5891" t="s">
        <v>30</v>
      </c>
    </row>
    <row r="5892" spans="8:8" x14ac:dyDescent="0.25">
      <c r="H5892" t="s">
        <v>136</v>
      </c>
    </row>
    <row r="5893" spans="8:8" x14ac:dyDescent="0.25">
      <c r="H5893" t="s">
        <v>10798</v>
      </c>
    </row>
    <row r="5894" spans="8:8" x14ac:dyDescent="0.25">
      <c r="H5894" t="s">
        <v>30</v>
      </c>
    </row>
    <row r="5895" spans="8:8" x14ac:dyDescent="0.25">
      <c r="H5895" t="s">
        <v>137</v>
      </c>
    </row>
    <row r="5896" spans="8:8" x14ac:dyDescent="0.25">
      <c r="H5896" t="s">
        <v>10799</v>
      </c>
    </row>
    <row r="5897" spans="8:8" x14ac:dyDescent="0.25">
      <c r="H5897" t="s">
        <v>30</v>
      </c>
    </row>
    <row r="5898" spans="8:8" x14ac:dyDescent="0.25">
      <c r="H5898" t="s">
        <v>138</v>
      </c>
    </row>
    <row r="5899" spans="8:8" x14ac:dyDescent="0.25">
      <c r="H5899" t="s">
        <v>10800</v>
      </c>
    </row>
    <row r="5900" spans="8:8" x14ac:dyDescent="0.25">
      <c r="H5900" t="s">
        <v>30</v>
      </c>
    </row>
    <row r="5902" spans="8:8" x14ac:dyDescent="0.25">
      <c r="H5902" t="s">
        <v>10801</v>
      </c>
    </row>
    <row r="5903" spans="8:8" x14ac:dyDescent="0.25">
      <c r="H5903" t="s">
        <v>10802</v>
      </c>
    </row>
    <row r="5904" spans="8:8" x14ac:dyDescent="0.25">
      <c r="H5904" t="s">
        <v>135</v>
      </c>
    </row>
    <row r="5905" spans="8:8" x14ac:dyDescent="0.25">
      <c r="H5905" t="s">
        <v>10803</v>
      </c>
    </row>
    <row r="5906" spans="8:8" x14ac:dyDescent="0.25">
      <c r="H5906" t="s">
        <v>30</v>
      </c>
    </row>
    <row r="5907" spans="8:8" x14ac:dyDescent="0.25">
      <c r="H5907" t="s">
        <v>136</v>
      </c>
    </row>
    <row r="5908" spans="8:8" x14ac:dyDescent="0.25">
      <c r="H5908" t="s">
        <v>10804</v>
      </c>
    </row>
    <row r="5909" spans="8:8" x14ac:dyDescent="0.25">
      <c r="H5909" t="s">
        <v>30</v>
      </c>
    </row>
    <row r="5910" spans="8:8" x14ac:dyDescent="0.25">
      <c r="H5910" t="s">
        <v>137</v>
      </c>
    </row>
    <row r="5911" spans="8:8" x14ac:dyDescent="0.25">
      <c r="H5911" t="s">
        <v>10805</v>
      </c>
    </row>
    <row r="5912" spans="8:8" x14ac:dyDescent="0.25">
      <c r="H5912" t="s">
        <v>30</v>
      </c>
    </row>
    <row r="5913" spans="8:8" x14ac:dyDescent="0.25">
      <c r="H5913" t="s">
        <v>138</v>
      </c>
    </row>
    <row r="5914" spans="8:8" x14ac:dyDescent="0.25">
      <c r="H5914" t="s">
        <v>10806</v>
      </c>
    </row>
    <row r="5915" spans="8:8" x14ac:dyDescent="0.25">
      <c r="H5915" t="s">
        <v>30</v>
      </c>
    </row>
    <row r="5917" spans="8:8" x14ac:dyDescent="0.25">
      <c r="H5917" t="s">
        <v>10807</v>
      </c>
    </row>
    <row r="5918" spans="8:8" x14ac:dyDescent="0.25">
      <c r="H5918" t="s">
        <v>10808</v>
      </c>
    </row>
    <row r="5919" spans="8:8" x14ac:dyDescent="0.25">
      <c r="H5919" t="s">
        <v>135</v>
      </c>
    </row>
    <row r="5920" spans="8:8" x14ac:dyDescent="0.25">
      <c r="H5920" t="s">
        <v>10809</v>
      </c>
    </row>
    <row r="5921" spans="8:8" x14ac:dyDescent="0.25">
      <c r="H5921" t="s">
        <v>30</v>
      </c>
    </row>
    <row r="5922" spans="8:8" x14ac:dyDescent="0.25">
      <c r="H5922" t="s">
        <v>136</v>
      </c>
    </row>
    <row r="5923" spans="8:8" x14ac:dyDescent="0.25">
      <c r="H5923" t="s">
        <v>10810</v>
      </c>
    </row>
    <row r="5924" spans="8:8" x14ac:dyDescent="0.25">
      <c r="H5924" t="s">
        <v>30</v>
      </c>
    </row>
    <row r="5925" spans="8:8" x14ac:dyDescent="0.25">
      <c r="H5925" t="s">
        <v>137</v>
      </c>
    </row>
    <row r="5926" spans="8:8" x14ac:dyDescent="0.25">
      <c r="H5926" t="s">
        <v>10811</v>
      </c>
    </row>
    <row r="5927" spans="8:8" x14ac:dyDescent="0.25">
      <c r="H5927" t="s">
        <v>30</v>
      </c>
    </row>
    <row r="5928" spans="8:8" x14ac:dyDescent="0.25">
      <c r="H5928" t="s">
        <v>138</v>
      </c>
    </row>
    <row r="5929" spans="8:8" x14ac:dyDescent="0.25">
      <c r="H5929" t="s">
        <v>10812</v>
      </c>
    </row>
    <row r="5930" spans="8:8" x14ac:dyDescent="0.25">
      <c r="H5930" t="s">
        <v>30</v>
      </c>
    </row>
    <row r="5932" spans="8:8" x14ac:dyDescent="0.25">
      <c r="H5932" t="s">
        <v>10813</v>
      </c>
    </row>
    <row r="5933" spans="8:8" x14ac:dyDescent="0.25">
      <c r="H5933" t="s">
        <v>10814</v>
      </c>
    </row>
    <row r="5934" spans="8:8" x14ac:dyDescent="0.25">
      <c r="H5934" t="s">
        <v>135</v>
      </c>
    </row>
    <row r="5935" spans="8:8" x14ac:dyDescent="0.25">
      <c r="H5935" t="s">
        <v>10815</v>
      </c>
    </row>
    <row r="5936" spans="8:8" x14ac:dyDescent="0.25">
      <c r="H5936" t="s">
        <v>30</v>
      </c>
    </row>
    <row r="5937" spans="8:8" x14ac:dyDescent="0.25">
      <c r="H5937" t="s">
        <v>136</v>
      </c>
    </row>
    <row r="5938" spans="8:8" x14ac:dyDescent="0.25">
      <c r="H5938" t="s">
        <v>10816</v>
      </c>
    </row>
    <row r="5939" spans="8:8" x14ac:dyDescent="0.25">
      <c r="H5939" t="s">
        <v>30</v>
      </c>
    </row>
    <row r="5940" spans="8:8" x14ac:dyDescent="0.25">
      <c r="H5940" t="s">
        <v>137</v>
      </c>
    </row>
    <row r="5941" spans="8:8" x14ac:dyDescent="0.25">
      <c r="H5941" t="s">
        <v>10817</v>
      </c>
    </row>
    <row r="5942" spans="8:8" x14ac:dyDescent="0.25">
      <c r="H5942" t="s">
        <v>30</v>
      </c>
    </row>
    <row r="5943" spans="8:8" x14ac:dyDescent="0.25">
      <c r="H5943" t="s">
        <v>138</v>
      </c>
    </row>
    <row r="5944" spans="8:8" x14ac:dyDescent="0.25">
      <c r="H5944" t="s">
        <v>10818</v>
      </c>
    </row>
    <row r="5945" spans="8:8" x14ac:dyDescent="0.25">
      <c r="H5945" t="s">
        <v>30</v>
      </c>
    </row>
    <row r="5947" spans="8:8" x14ac:dyDescent="0.25">
      <c r="H5947" t="s">
        <v>10819</v>
      </c>
    </row>
    <row r="5948" spans="8:8" x14ac:dyDescent="0.25">
      <c r="H5948" t="s">
        <v>10820</v>
      </c>
    </row>
    <row r="5949" spans="8:8" x14ac:dyDescent="0.25">
      <c r="H5949" t="s">
        <v>135</v>
      </c>
    </row>
    <row r="5950" spans="8:8" x14ac:dyDescent="0.25">
      <c r="H5950" t="s">
        <v>10821</v>
      </c>
    </row>
    <row r="5951" spans="8:8" x14ac:dyDescent="0.25">
      <c r="H5951" t="s">
        <v>30</v>
      </c>
    </row>
    <row r="5952" spans="8:8" x14ac:dyDescent="0.25">
      <c r="H5952" t="s">
        <v>136</v>
      </c>
    </row>
    <row r="5953" spans="8:8" x14ac:dyDescent="0.25">
      <c r="H5953" t="s">
        <v>10822</v>
      </c>
    </row>
    <row r="5954" spans="8:8" x14ac:dyDescent="0.25">
      <c r="H5954" t="s">
        <v>30</v>
      </c>
    </row>
    <row r="5955" spans="8:8" x14ac:dyDescent="0.25">
      <c r="H5955" t="s">
        <v>137</v>
      </c>
    </row>
    <row r="5956" spans="8:8" x14ac:dyDescent="0.25">
      <c r="H5956" t="s">
        <v>10823</v>
      </c>
    </row>
    <row r="5957" spans="8:8" x14ac:dyDescent="0.25">
      <c r="H5957" t="s">
        <v>30</v>
      </c>
    </row>
    <row r="5958" spans="8:8" x14ac:dyDescent="0.25">
      <c r="H5958" t="s">
        <v>138</v>
      </c>
    </row>
    <row r="5959" spans="8:8" x14ac:dyDescent="0.25">
      <c r="H5959" t="s">
        <v>10824</v>
      </c>
    </row>
    <row r="5960" spans="8:8" x14ac:dyDescent="0.25">
      <c r="H5960" t="s">
        <v>30</v>
      </c>
    </row>
    <row r="5962" spans="8:8" x14ac:dyDescent="0.25">
      <c r="H5962" t="s">
        <v>10825</v>
      </c>
    </row>
    <row r="5963" spans="8:8" x14ac:dyDescent="0.25">
      <c r="H5963" t="s">
        <v>10826</v>
      </c>
    </row>
    <row r="5964" spans="8:8" x14ac:dyDescent="0.25">
      <c r="H5964" t="s">
        <v>135</v>
      </c>
    </row>
    <row r="5965" spans="8:8" x14ac:dyDescent="0.25">
      <c r="H5965" t="s">
        <v>10827</v>
      </c>
    </row>
    <row r="5966" spans="8:8" x14ac:dyDescent="0.25">
      <c r="H5966" t="s">
        <v>30</v>
      </c>
    </row>
    <row r="5967" spans="8:8" x14ac:dyDescent="0.25">
      <c r="H5967" t="s">
        <v>136</v>
      </c>
    </row>
    <row r="5968" spans="8:8" x14ac:dyDescent="0.25">
      <c r="H5968" t="s">
        <v>10828</v>
      </c>
    </row>
    <row r="5969" spans="8:8" x14ac:dyDescent="0.25">
      <c r="H5969" t="s">
        <v>30</v>
      </c>
    </row>
    <row r="5970" spans="8:8" x14ac:dyDescent="0.25">
      <c r="H5970" t="s">
        <v>137</v>
      </c>
    </row>
    <row r="5971" spans="8:8" x14ac:dyDescent="0.25">
      <c r="H5971" t="s">
        <v>10829</v>
      </c>
    </row>
    <row r="5972" spans="8:8" x14ac:dyDescent="0.25">
      <c r="H5972" t="s">
        <v>30</v>
      </c>
    </row>
    <row r="5973" spans="8:8" x14ac:dyDescent="0.25">
      <c r="H5973" t="s">
        <v>138</v>
      </c>
    </row>
    <row r="5974" spans="8:8" x14ac:dyDescent="0.25">
      <c r="H5974" t="s">
        <v>10830</v>
      </c>
    </row>
    <row r="5975" spans="8:8" x14ac:dyDescent="0.25">
      <c r="H5975" t="s">
        <v>30</v>
      </c>
    </row>
    <row r="5977" spans="8:8" x14ac:dyDescent="0.25">
      <c r="H5977" t="s">
        <v>10831</v>
      </c>
    </row>
    <row r="5978" spans="8:8" x14ac:dyDescent="0.25">
      <c r="H5978" t="s">
        <v>10832</v>
      </c>
    </row>
    <row r="5979" spans="8:8" x14ac:dyDescent="0.25">
      <c r="H5979" t="s">
        <v>135</v>
      </c>
    </row>
    <row r="5980" spans="8:8" x14ac:dyDescent="0.25">
      <c r="H5980" t="s">
        <v>10833</v>
      </c>
    </row>
    <row r="5981" spans="8:8" x14ac:dyDescent="0.25">
      <c r="H5981" t="s">
        <v>30</v>
      </c>
    </row>
    <row r="5982" spans="8:8" x14ac:dyDescent="0.25">
      <c r="H5982" t="s">
        <v>136</v>
      </c>
    </row>
    <row r="5983" spans="8:8" x14ac:dyDescent="0.25">
      <c r="H5983" t="s">
        <v>10834</v>
      </c>
    </row>
    <row r="5984" spans="8:8" x14ac:dyDescent="0.25">
      <c r="H5984" t="s">
        <v>30</v>
      </c>
    </row>
    <row r="5985" spans="8:8" x14ac:dyDescent="0.25">
      <c r="H5985" t="s">
        <v>137</v>
      </c>
    </row>
    <row r="5986" spans="8:8" x14ac:dyDescent="0.25">
      <c r="H5986" t="s">
        <v>10835</v>
      </c>
    </row>
    <row r="5987" spans="8:8" x14ac:dyDescent="0.25">
      <c r="H5987" t="s">
        <v>30</v>
      </c>
    </row>
    <row r="5988" spans="8:8" x14ac:dyDescent="0.25">
      <c r="H5988" t="s">
        <v>138</v>
      </c>
    </row>
    <row r="5989" spans="8:8" x14ac:dyDescent="0.25">
      <c r="H5989" t="s">
        <v>10836</v>
      </c>
    </row>
    <row r="5990" spans="8:8" x14ac:dyDescent="0.25">
      <c r="H5990" t="s">
        <v>30</v>
      </c>
    </row>
    <row r="5992" spans="8:8" x14ac:dyDescent="0.25">
      <c r="H5992" t="s">
        <v>10837</v>
      </c>
    </row>
    <row r="5993" spans="8:8" x14ac:dyDescent="0.25">
      <c r="H5993" t="s">
        <v>10838</v>
      </c>
    </row>
    <row r="5994" spans="8:8" x14ac:dyDescent="0.25">
      <c r="H5994" t="s">
        <v>135</v>
      </c>
    </row>
    <row r="5995" spans="8:8" x14ac:dyDescent="0.25">
      <c r="H5995" t="s">
        <v>10839</v>
      </c>
    </row>
    <row r="5996" spans="8:8" x14ac:dyDescent="0.25">
      <c r="H5996" t="s">
        <v>30</v>
      </c>
    </row>
    <row r="5997" spans="8:8" x14ac:dyDescent="0.25">
      <c r="H5997" t="s">
        <v>136</v>
      </c>
    </row>
    <row r="5998" spans="8:8" x14ac:dyDescent="0.25">
      <c r="H5998" t="s">
        <v>10840</v>
      </c>
    </row>
    <row r="5999" spans="8:8" x14ac:dyDescent="0.25">
      <c r="H5999" t="s">
        <v>30</v>
      </c>
    </row>
    <row r="6000" spans="8:8" x14ac:dyDescent="0.25">
      <c r="H6000" t="s">
        <v>137</v>
      </c>
    </row>
    <row r="6001" spans="8:8" x14ac:dyDescent="0.25">
      <c r="H6001" t="s">
        <v>10841</v>
      </c>
    </row>
    <row r="6002" spans="8:8" x14ac:dyDescent="0.25">
      <c r="H6002" t="s">
        <v>30</v>
      </c>
    </row>
    <row r="6003" spans="8:8" x14ac:dyDescent="0.25">
      <c r="H6003" t="s">
        <v>138</v>
      </c>
    </row>
    <row r="6004" spans="8:8" x14ac:dyDescent="0.25">
      <c r="H6004" t="s">
        <v>10842</v>
      </c>
    </row>
    <row r="6005" spans="8:8" x14ac:dyDescent="0.25">
      <c r="H6005" t="s">
        <v>30</v>
      </c>
    </row>
    <row r="6007" spans="8:8" x14ac:dyDescent="0.25">
      <c r="H6007" t="s">
        <v>10843</v>
      </c>
    </row>
    <row r="6008" spans="8:8" x14ac:dyDescent="0.25">
      <c r="H6008" t="s">
        <v>10844</v>
      </c>
    </row>
    <row r="6009" spans="8:8" x14ac:dyDescent="0.25">
      <c r="H6009" t="s">
        <v>135</v>
      </c>
    </row>
    <row r="6010" spans="8:8" x14ac:dyDescent="0.25">
      <c r="H6010" t="s">
        <v>10845</v>
      </c>
    </row>
    <row r="6011" spans="8:8" x14ac:dyDescent="0.25">
      <c r="H6011" t="s">
        <v>30</v>
      </c>
    </row>
    <row r="6012" spans="8:8" x14ac:dyDescent="0.25">
      <c r="H6012" t="s">
        <v>136</v>
      </c>
    </row>
    <row r="6013" spans="8:8" x14ac:dyDescent="0.25">
      <c r="H6013" t="s">
        <v>10846</v>
      </c>
    </row>
    <row r="6014" spans="8:8" x14ac:dyDescent="0.25">
      <c r="H6014" t="s">
        <v>30</v>
      </c>
    </row>
    <row r="6015" spans="8:8" x14ac:dyDescent="0.25">
      <c r="H6015" t="s">
        <v>137</v>
      </c>
    </row>
    <row r="6016" spans="8:8" x14ac:dyDescent="0.25">
      <c r="H6016" t="s">
        <v>10847</v>
      </c>
    </row>
    <row r="6017" spans="8:8" x14ac:dyDescent="0.25">
      <c r="H6017" t="s">
        <v>30</v>
      </c>
    </row>
    <row r="6018" spans="8:8" x14ac:dyDescent="0.25">
      <c r="H6018" t="s">
        <v>138</v>
      </c>
    </row>
    <row r="6019" spans="8:8" x14ac:dyDescent="0.25">
      <c r="H6019" t="s">
        <v>10848</v>
      </c>
    </row>
    <row r="6020" spans="8:8" x14ac:dyDescent="0.25">
      <c r="H6020" t="s">
        <v>30</v>
      </c>
    </row>
    <row r="6022" spans="8:8" x14ac:dyDescent="0.25">
      <c r="H6022" t="s">
        <v>10849</v>
      </c>
    </row>
    <row r="6023" spans="8:8" x14ac:dyDescent="0.25">
      <c r="H6023" t="s">
        <v>10850</v>
      </c>
    </row>
    <row r="6024" spans="8:8" x14ac:dyDescent="0.25">
      <c r="H6024" t="s">
        <v>135</v>
      </c>
    </row>
    <row r="6025" spans="8:8" x14ac:dyDescent="0.25">
      <c r="H6025" t="s">
        <v>10851</v>
      </c>
    </row>
    <row r="6026" spans="8:8" x14ac:dyDescent="0.25">
      <c r="H6026" t="s">
        <v>30</v>
      </c>
    </row>
    <row r="6027" spans="8:8" x14ac:dyDescent="0.25">
      <c r="H6027" t="s">
        <v>136</v>
      </c>
    </row>
    <row r="6028" spans="8:8" x14ac:dyDescent="0.25">
      <c r="H6028" t="s">
        <v>10852</v>
      </c>
    </row>
    <row r="6029" spans="8:8" x14ac:dyDescent="0.25">
      <c r="H6029" t="s">
        <v>30</v>
      </c>
    </row>
    <row r="6030" spans="8:8" x14ac:dyDescent="0.25">
      <c r="H6030" t="s">
        <v>137</v>
      </c>
    </row>
    <row r="6031" spans="8:8" x14ac:dyDescent="0.25">
      <c r="H6031" t="s">
        <v>10853</v>
      </c>
    </row>
    <row r="6032" spans="8:8" x14ac:dyDescent="0.25">
      <c r="H6032" t="s">
        <v>30</v>
      </c>
    </row>
    <row r="6033" spans="8:8" x14ac:dyDescent="0.25">
      <c r="H6033" t="s">
        <v>138</v>
      </c>
    </row>
    <row r="6034" spans="8:8" x14ac:dyDescent="0.25">
      <c r="H6034" t="s">
        <v>10854</v>
      </c>
    </row>
    <row r="6035" spans="8:8" x14ac:dyDescent="0.25">
      <c r="H6035" t="s">
        <v>30</v>
      </c>
    </row>
    <row r="6037" spans="8:8" x14ac:dyDescent="0.25">
      <c r="H6037" t="s">
        <v>10855</v>
      </c>
    </row>
    <row r="6038" spans="8:8" x14ac:dyDescent="0.25">
      <c r="H6038" t="s">
        <v>10856</v>
      </c>
    </row>
    <row r="6039" spans="8:8" x14ac:dyDescent="0.25">
      <c r="H6039" t="s">
        <v>135</v>
      </c>
    </row>
    <row r="6040" spans="8:8" x14ac:dyDescent="0.25">
      <c r="H6040" t="s">
        <v>10857</v>
      </c>
    </row>
    <row r="6041" spans="8:8" x14ac:dyDescent="0.25">
      <c r="H6041" t="s">
        <v>30</v>
      </c>
    </row>
    <row r="6042" spans="8:8" x14ac:dyDescent="0.25">
      <c r="H6042" t="s">
        <v>136</v>
      </c>
    </row>
    <row r="6043" spans="8:8" x14ac:dyDescent="0.25">
      <c r="H6043" t="s">
        <v>10858</v>
      </c>
    </row>
    <row r="6044" spans="8:8" x14ac:dyDescent="0.25">
      <c r="H6044" t="s">
        <v>30</v>
      </c>
    </row>
    <row r="6045" spans="8:8" x14ac:dyDescent="0.25">
      <c r="H6045" t="s">
        <v>137</v>
      </c>
    </row>
    <row r="6046" spans="8:8" x14ac:dyDescent="0.25">
      <c r="H6046" t="s">
        <v>10859</v>
      </c>
    </row>
    <row r="6047" spans="8:8" x14ac:dyDescent="0.25">
      <c r="H6047" t="s">
        <v>30</v>
      </c>
    </row>
    <row r="6048" spans="8:8" x14ac:dyDescent="0.25">
      <c r="H6048" t="s">
        <v>138</v>
      </c>
    </row>
    <row r="6049" spans="8:8" x14ac:dyDescent="0.25">
      <c r="H6049" t="s">
        <v>10860</v>
      </c>
    </row>
    <row r="6050" spans="8:8" x14ac:dyDescent="0.25">
      <c r="H6050" t="s">
        <v>30</v>
      </c>
    </row>
    <row r="6052" spans="8:8" x14ac:dyDescent="0.25">
      <c r="H6052" t="s">
        <v>10861</v>
      </c>
    </row>
    <row r="6053" spans="8:8" x14ac:dyDescent="0.25">
      <c r="H6053" t="s">
        <v>10862</v>
      </c>
    </row>
    <row r="6054" spans="8:8" x14ac:dyDescent="0.25">
      <c r="H6054" t="s">
        <v>135</v>
      </c>
    </row>
    <row r="6055" spans="8:8" x14ac:dyDescent="0.25">
      <c r="H6055" t="s">
        <v>10863</v>
      </c>
    </row>
    <row r="6056" spans="8:8" x14ac:dyDescent="0.25">
      <c r="H6056" t="s">
        <v>30</v>
      </c>
    </row>
    <row r="6057" spans="8:8" x14ac:dyDescent="0.25">
      <c r="H6057" t="s">
        <v>136</v>
      </c>
    </row>
    <row r="6058" spans="8:8" x14ac:dyDescent="0.25">
      <c r="H6058" t="s">
        <v>10864</v>
      </c>
    </row>
    <row r="6059" spans="8:8" x14ac:dyDescent="0.25">
      <c r="H6059" t="s">
        <v>30</v>
      </c>
    </row>
    <row r="6060" spans="8:8" x14ac:dyDescent="0.25">
      <c r="H6060" t="s">
        <v>137</v>
      </c>
    </row>
    <row r="6061" spans="8:8" x14ac:dyDescent="0.25">
      <c r="H6061" t="s">
        <v>10865</v>
      </c>
    </row>
    <row r="6062" spans="8:8" x14ac:dyDescent="0.25">
      <c r="H6062" t="s">
        <v>30</v>
      </c>
    </row>
    <row r="6063" spans="8:8" x14ac:dyDescent="0.25">
      <c r="H6063" t="s">
        <v>138</v>
      </c>
    </row>
    <row r="6064" spans="8:8" x14ac:dyDescent="0.25">
      <c r="H6064" t="s">
        <v>10866</v>
      </c>
    </row>
    <row r="6065" spans="8:8" x14ac:dyDescent="0.25">
      <c r="H6065" t="s">
        <v>30</v>
      </c>
    </row>
    <row r="6067" spans="8:8" x14ac:dyDescent="0.25">
      <c r="H6067" t="s">
        <v>10867</v>
      </c>
    </row>
    <row r="6068" spans="8:8" x14ac:dyDescent="0.25">
      <c r="H6068" t="s">
        <v>10868</v>
      </c>
    </row>
    <row r="6069" spans="8:8" x14ac:dyDescent="0.25">
      <c r="H6069" t="s">
        <v>135</v>
      </c>
    </row>
    <row r="6070" spans="8:8" x14ac:dyDescent="0.25">
      <c r="H6070" t="s">
        <v>10869</v>
      </c>
    </row>
    <row r="6071" spans="8:8" x14ac:dyDescent="0.25">
      <c r="H6071" t="s">
        <v>30</v>
      </c>
    </row>
    <row r="6072" spans="8:8" x14ac:dyDescent="0.25">
      <c r="H6072" t="s">
        <v>136</v>
      </c>
    </row>
    <row r="6073" spans="8:8" x14ac:dyDescent="0.25">
      <c r="H6073" t="s">
        <v>10870</v>
      </c>
    </row>
    <row r="6074" spans="8:8" x14ac:dyDescent="0.25">
      <c r="H6074" t="s">
        <v>30</v>
      </c>
    </row>
    <row r="6075" spans="8:8" x14ac:dyDescent="0.25">
      <c r="H6075" t="s">
        <v>137</v>
      </c>
    </row>
    <row r="6076" spans="8:8" x14ac:dyDescent="0.25">
      <c r="H6076" t="s">
        <v>10871</v>
      </c>
    </row>
    <row r="6077" spans="8:8" x14ac:dyDescent="0.25">
      <c r="H6077" t="s">
        <v>30</v>
      </c>
    </row>
    <row r="6078" spans="8:8" x14ac:dyDescent="0.25">
      <c r="H6078" t="s">
        <v>138</v>
      </c>
    </row>
    <row r="6079" spans="8:8" x14ac:dyDescent="0.25">
      <c r="H6079" t="s">
        <v>10872</v>
      </c>
    </row>
    <row r="6080" spans="8:8" x14ac:dyDescent="0.25">
      <c r="H6080" t="s">
        <v>30</v>
      </c>
    </row>
    <row r="6082" spans="8:8" x14ac:dyDescent="0.25">
      <c r="H6082" t="s">
        <v>10873</v>
      </c>
    </row>
    <row r="6083" spans="8:8" x14ac:dyDescent="0.25">
      <c r="H6083" t="s">
        <v>10874</v>
      </c>
    </row>
    <row r="6084" spans="8:8" x14ac:dyDescent="0.25">
      <c r="H6084" t="s">
        <v>135</v>
      </c>
    </row>
    <row r="6085" spans="8:8" x14ac:dyDescent="0.25">
      <c r="H6085" t="s">
        <v>10875</v>
      </c>
    </row>
    <row r="6086" spans="8:8" x14ac:dyDescent="0.25">
      <c r="H6086" t="s">
        <v>30</v>
      </c>
    </row>
    <row r="6087" spans="8:8" x14ac:dyDescent="0.25">
      <c r="H6087" t="s">
        <v>136</v>
      </c>
    </row>
    <row r="6088" spans="8:8" x14ac:dyDescent="0.25">
      <c r="H6088" t="s">
        <v>10876</v>
      </c>
    </row>
    <row r="6089" spans="8:8" x14ac:dyDescent="0.25">
      <c r="H6089" t="s">
        <v>30</v>
      </c>
    </row>
    <row r="6090" spans="8:8" x14ac:dyDescent="0.25">
      <c r="H6090" t="s">
        <v>137</v>
      </c>
    </row>
    <row r="6091" spans="8:8" x14ac:dyDescent="0.25">
      <c r="H6091" t="s">
        <v>10877</v>
      </c>
    </row>
    <row r="6092" spans="8:8" x14ac:dyDescent="0.25">
      <c r="H6092" t="s">
        <v>30</v>
      </c>
    </row>
    <row r="6093" spans="8:8" x14ac:dyDescent="0.25">
      <c r="H6093" t="s">
        <v>138</v>
      </c>
    </row>
    <row r="6094" spans="8:8" x14ac:dyDescent="0.25">
      <c r="H6094" t="s">
        <v>10878</v>
      </c>
    </row>
    <row r="6095" spans="8:8" x14ac:dyDescent="0.25">
      <c r="H6095" t="s">
        <v>30</v>
      </c>
    </row>
    <row r="6097" spans="8:8" x14ac:dyDescent="0.25">
      <c r="H6097" t="s">
        <v>10879</v>
      </c>
    </row>
    <row r="6098" spans="8:8" x14ac:dyDescent="0.25">
      <c r="H6098" t="s">
        <v>10880</v>
      </c>
    </row>
    <row r="6099" spans="8:8" x14ac:dyDescent="0.25">
      <c r="H6099" t="s">
        <v>135</v>
      </c>
    </row>
    <row r="6100" spans="8:8" x14ac:dyDescent="0.25">
      <c r="H6100" t="s">
        <v>10881</v>
      </c>
    </row>
    <row r="6101" spans="8:8" x14ac:dyDescent="0.25">
      <c r="H6101" t="s">
        <v>30</v>
      </c>
    </row>
    <row r="6102" spans="8:8" x14ac:dyDescent="0.25">
      <c r="H6102" t="s">
        <v>136</v>
      </c>
    </row>
    <row r="6103" spans="8:8" x14ac:dyDescent="0.25">
      <c r="H6103" t="s">
        <v>10882</v>
      </c>
    </row>
    <row r="6104" spans="8:8" x14ac:dyDescent="0.25">
      <c r="H6104" t="s">
        <v>30</v>
      </c>
    </row>
    <row r="6105" spans="8:8" x14ac:dyDescent="0.25">
      <c r="H6105" t="s">
        <v>137</v>
      </c>
    </row>
    <row r="6106" spans="8:8" x14ac:dyDescent="0.25">
      <c r="H6106" t="s">
        <v>10883</v>
      </c>
    </row>
    <row r="6107" spans="8:8" x14ac:dyDescent="0.25">
      <c r="H6107" t="s">
        <v>30</v>
      </c>
    </row>
    <row r="6108" spans="8:8" x14ac:dyDescent="0.25">
      <c r="H6108" t="s">
        <v>138</v>
      </c>
    </row>
    <row r="6109" spans="8:8" x14ac:dyDescent="0.25">
      <c r="H6109" t="s">
        <v>10884</v>
      </c>
    </row>
    <row r="6110" spans="8:8" x14ac:dyDescent="0.25">
      <c r="H6110" t="s">
        <v>30</v>
      </c>
    </row>
    <row r="6112" spans="8:8" x14ac:dyDescent="0.25">
      <c r="H6112" t="s">
        <v>10885</v>
      </c>
    </row>
    <row r="6113" spans="8:8" x14ac:dyDescent="0.25">
      <c r="H6113" t="s">
        <v>10886</v>
      </c>
    </row>
    <row r="6114" spans="8:8" x14ac:dyDescent="0.25">
      <c r="H6114" t="s">
        <v>135</v>
      </c>
    </row>
    <row r="6115" spans="8:8" x14ac:dyDescent="0.25">
      <c r="H6115" t="s">
        <v>10887</v>
      </c>
    </row>
    <row r="6116" spans="8:8" x14ac:dyDescent="0.25">
      <c r="H6116" t="s">
        <v>30</v>
      </c>
    </row>
    <row r="6117" spans="8:8" x14ac:dyDescent="0.25">
      <c r="H6117" t="s">
        <v>136</v>
      </c>
    </row>
    <row r="6118" spans="8:8" x14ac:dyDescent="0.25">
      <c r="H6118" t="s">
        <v>10888</v>
      </c>
    </row>
    <row r="6119" spans="8:8" x14ac:dyDescent="0.25">
      <c r="H6119" t="s">
        <v>30</v>
      </c>
    </row>
    <row r="6120" spans="8:8" x14ac:dyDescent="0.25">
      <c r="H6120" t="s">
        <v>137</v>
      </c>
    </row>
    <row r="6121" spans="8:8" x14ac:dyDescent="0.25">
      <c r="H6121" t="s">
        <v>10889</v>
      </c>
    </row>
    <row r="6122" spans="8:8" x14ac:dyDescent="0.25">
      <c r="H6122" t="s">
        <v>30</v>
      </c>
    </row>
    <row r="6123" spans="8:8" x14ac:dyDescent="0.25">
      <c r="H6123" t="s">
        <v>138</v>
      </c>
    </row>
    <row r="6124" spans="8:8" x14ac:dyDescent="0.25">
      <c r="H6124" t="s">
        <v>10890</v>
      </c>
    </row>
    <row r="6125" spans="8:8" x14ac:dyDescent="0.25">
      <c r="H6125" t="s">
        <v>30</v>
      </c>
    </row>
    <row r="6127" spans="8:8" x14ac:dyDescent="0.25">
      <c r="H6127" t="s">
        <v>10891</v>
      </c>
    </row>
    <row r="6128" spans="8:8" x14ac:dyDescent="0.25">
      <c r="H6128" t="s">
        <v>10892</v>
      </c>
    </row>
    <row r="6129" spans="8:8" x14ac:dyDescent="0.25">
      <c r="H6129" t="s">
        <v>135</v>
      </c>
    </row>
    <row r="6130" spans="8:8" x14ac:dyDescent="0.25">
      <c r="H6130" t="s">
        <v>10893</v>
      </c>
    </row>
    <row r="6131" spans="8:8" x14ac:dyDescent="0.25">
      <c r="H6131" t="s">
        <v>30</v>
      </c>
    </row>
    <row r="6132" spans="8:8" x14ac:dyDescent="0.25">
      <c r="H6132" t="s">
        <v>136</v>
      </c>
    </row>
    <row r="6133" spans="8:8" x14ac:dyDescent="0.25">
      <c r="H6133" t="s">
        <v>10894</v>
      </c>
    </row>
    <row r="6134" spans="8:8" x14ac:dyDescent="0.25">
      <c r="H6134" t="s">
        <v>30</v>
      </c>
    </row>
    <row r="6135" spans="8:8" x14ac:dyDescent="0.25">
      <c r="H6135" t="s">
        <v>137</v>
      </c>
    </row>
    <row r="6136" spans="8:8" x14ac:dyDescent="0.25">
      <c r="H6136" t="s">
        <v>10895</v>
      </c>
    </row>
    <row r="6137" spans="8:8" x14ac:dyDescent="0.25">
      <c r="H6137" t="s">
        <v>30</v>
      </c>
    </row>
    <row r="6138" spans="8:8" x14ac:dyDescent="0.25">
      <c r="H6138" t="s">
        <v>138</v>
      </c>
    </row>
    <row r="6139" spans="8:8" x14ac:dyDescent="0.25">
      <c r="H6139" t="s">
        <v>10896</v>
      </c>
    </row>
    <row r="6140" spans="8:8" x14ac:dyDescent="0.25">
      <c r="H6140" t="s">
        <v>30</v>
      </c>
    </row>
    <row r="6142" spans="8:8" x14ac:dyDescent="0.25">
      <c r="H6142" t="s">
        <v>10897</v>
      </c>
    </row>
    <row r="6143" spans="8:8" x14ac:dyDescent="0.25">
      <c r="H6143" t="s">
        <v>10898</v>
      </c>
    </row>
    <row r="6144" spans="8:8" x14ac:dyDescent="0.25">
      <c r="H6144" t="s">
        <v>135</v>
      </c>
    </row>
    <row r="6145" spans="8:8" x14ac:dyDescent="0.25">
      <c r="H6145" t="s">
        <v>10899</v>
      </c>
    </row>
    <row r="6146" spans="8:8" x14ac:dyDescent="0.25">
      <c r="H6146" t="s">
        <v>30</v>
      </c>
    </row>
    <row r="6147" spans="8:8" x14ac:dyDescent="0.25">
      <c r="H6147" t="s">
        <v>136</v>
      </c>
    </row>
    <row r="6148" spans="8:8" x14ac:dyDescent="0.25">
      <c r="H6148" t="s">
        <v>10900</v>
      </c>
    </row>
    <row r="6149" spans="8:8" x14ac:dyDescent="0.25">
      <c r="H6149" t="s">
        <v>30</v>
      </c>
    </row>
    <row r="6150" spans="8:8" x14ac:dyDescent="0.25">
      <c r="H6150" t="s">
        <v>137</v>
      </c>
    </row>
    <row r="6151" spans="8:8" x14ac:dyDescent="0.25">
      <c r="H6151" t="s">
        <v>10901</v>
      </c>
    </row>
    <row r="6152" spans="8:8" x14ac:dyDescent="0.25">
      <c r="H6152" t="s">
        <v>30</v>
      </c>
    </row>
    <row r="6153" spans="8:8" x14ac:dyDescent="0.25">
      <c r="H6153" t="s">
        <v>138</v>
      </c>
    </row>
    <row r="6154" spans="8:8" x14ac:dyDescent="0.25">
      <c r="H6154" t="s">
        <v>10902</v>
      </c>
    </row>
    <row r="6155" spans="8:8" x14ac:dyDescent="0.25">
      <c r="H6155" t="s">
        <v>30</v>
      </c>
    </row>
    <row r="6157" spans="8:8" x14ac:dyDescent="0.25">
      <c r="H6157" t="s">
        <v>10903</v>
      </c>
    </row>
    <row r="6158" spans="8:8" x14ac:dyDescent="0.25">
      <c r="H6158" t="s">
        <v>10904</v>
      </c>
    </row>
    <row r="6159" spans="8:8" x14ac:dyDescent="0.25">
      <c r="H6159" t="s">
        <v>135</v>
      </c>
    </row>
    <row r="6160" spans="8:8" x14ac:dyDescent="0.25">
      <c r="H6160" t="s">
        <v>10905</v>
      </c>
    </row>
    <row r="6161" spans="8:8" x14ac:dyDescent="0.25">
      <c r="H6161" t="s">
        <v>30</v>
      </c>
    </row>
    <row r="6162" spans="8:8" x14ac:dyDescent="0.25">
      <c r="H6162" t="s">
        <v>136</v>
      </c>
    </row>
    <row r="6163" spans="8:8" x14ac:dyDescent="0.25">
      <c r="H6163" t="s">
        <v>10906</v>
      </c>
    </row>
    <row r="6164" spans="8:8" x14ac:dyDescent="0.25">
      <c r="H6164" t="s">
        <v>30</v>
      </c>
    </row>
    <row r="6165" spans="8:8" x14ac:dyDescent="0.25">
      <c r="H6165" t="s">
        <v>137</v>
      </c>
    </row>
    <row r="6166" spans="8:8" x14ac:dyDescent="0.25">
      <c r="H6166" t="s">
        <v>10907</v>
      </c>
    </row>
    <row r="6167" spans="8:8" x14ac:dyDescent="0.25">
      <c r="H6167" t="s">
        <v>30</v>
      </c>
    </row>
    <row r="6168" spans="8:8" x14ac:dyDescent="0.25">
      <c r="H6168" t="s">
        <v>138</v>
      </c>
    </row>
    <row r="6169" spans="8:8" x14ac:dyDescent="0.25">
      <c r="H6169" t="s">
        <v>10908</v>
      </c>
    </row>
    <row r="6170" spans="8:8" x14ac:dyDescent="0.25">
      <c r="H6170" t="s">
        <v>30</v>
      </c>
    </row>
    <row r="6172" spans="8:8" x14ac:dyDescent="0.25">
      <c r="H6172" t="s">
        <v>10909</v>
      </c>
    </row>
    <row r="6173" spans="8:8" x14ac:dyDescent="0.25">
      <c r="H6173" t="s">
        <v>10910</v>
      </c>
    </row>
    <row r="6174" spans="8:8" x14ac:dyDescent="0.25">
      <c r="H6174" t="s">
        <v>135</v>
      </c>
    </row>
    <row r="6175" spans="8:8" x14ac:dyDescent="0.25">
      <c r="H6175" t="s">
        <v>10911</v>
      </c>
    </row>
    <row r="6176" spans="8:8" x14ac:dyDescent="0.25">
      <c r="H6176" t="s">
        <v>30</v>
      </c>
    </row>
    <row r="6177" spans="8:8" x14ac:dyDescent="0.25">
      <c r="H6177" t="s">
        <v>136</v>
      </c>
    </row>
    <row r="6178" spans="8:8" x14ac:dyDescent="0.25">
      <c r="H6178" t="s">
        <v>10912</v>
      </c>
    </row>
    <row r="6179" spans="8:8" x14ac:dyDescent="0.25">
      <c r="H6179" t="s">
        <v>30</v>
      </c>
    </row>
    <row r="6180" spans="8:8" x14ac:dyDescent="0.25">
      <c r="H6180" t="s">
        <v>137</v>
      </c>
    </row>
    <row r="6181" spans="8:8" x14ac:dyDescent="0.25">
      <c r="H6181" t="s">
        <v>10913</v>
      </c>
    </row>
    <row r="6182" spans="8:8" x14ac:dyDescent="0.25">
      <c r="H6182" t="s">
        <v>30</v>
      </c>
    </row>
    <row r="6183" spans="8:8" x14ac:dyDescent="0.25">
      <c r="H6183" t="s">
        <v>138</v>
      </c>
    </row>
    <row r="6184" spans="8:8" x14ac:dyDescent="0.25">
      <c r="H6184" t="s">
        <v>10914</v>
      </c>
    </row>
    <row r="6185" spans="8:8" x14ac:dyDescent="0.25">
      <c r="H6185" t="s">
        <v>30</v>
      </c>
    </row>
    <row r="6187" spans="8:8" x14ac:dyDescent="0.25">
      <c r="H6187" t="s">
        <v>10915</v>
      </c>
    </row>
    <row r="6188" spans="8:8" x14ac:dyDescent="0.25">
      <c r="H6188" t="s">
        <v>10916</v>
      </c>
    </row>
    <row r="6189" spans="8:8" x14ac:dyDescent="0.25">
      <c r="H6189" t="s">
        <v>135</v>
      </c>
    </row>
    <row r="6190" spans="8:8" x14ac:dyDescent="0.25">
      <c r="H6190" t="s">
        <v>10917</v>
      </c>
    </row>
    <row r="6191" spans="8:8" x14ac:dyDescent="0.25">
      <c r="H6191" t="s">
        <v>30</v>
      </c>
    </row>
    <row r="6192" spans="8:8" x14ac:dyDescent="0.25">
      <c r="H6192" t="s">
        <v>136</v>
      </c>
    </row>
    <row r="6193" spans="8:8" x14ac:dyDescent="0.25">
      <c r="H6193" t="s">
        <v>10918</v>
      </c>
    </row>
    <row r="6194" spans="8:8" x14ac:dyDescent="0.25">
      <c r="H6194" t="s">
        <v>30</v>
      </c>
    </row>
    <row r="6195" spans="8:8" x14ac:dyDescent="0.25">
      <c r="H6195" t="s">
        <v>137</v>
      </c>
    </row>
    <row r="6196" spans="8:8" x14ac:dyDescent="0.25">
      <c r="H6196" t="s">
        <v>10919</v>
      </c>
    </row>
    <row r="6197" spans="8:8" x14ac:dyDescent="0.25">
      <c r="H6197" t="s">
        <v>30</v>
      </c>
    </row>
    <row r="6198" spans="8:8" x14ac:dyDescent="0.25">
      <c r="H6198" t="s">
        <v>138</v>
      </c>
    </row>
    <row r="6199" spans="8:8" x14ac:dyDescent="0.25">
      <c r="H6199" t="s">
        <v>10920</v>
      </c>
    </row>
    <row r="6200" spans="8:8" x14ac:dyDescent="0.25">
      <c r="H6200" t="s">
        <v>30</v>
      </c>
    </row>
    <row r="6202" spans="8:8" x14ac:dyDescent="0.25">
      <c r="H6202" t="s">
        <v>10921</v>
      </c>
    </row>
    <row r="6203" spans="8:8" x14ac:dyDescent="0.25">
      <c r="H6203" t="s">
        <v>10922</v>
      </c>
    </row>
    <row r="6204" spans="8:8" x14ac:dyDescent="0.25">
      <c r="H6204" t="s">
        <v>135</v>
      </c>
    </row>
    <row r="6205" spans="8:8" x14ac:dyDescent="0.25">
      <c r="H6205" t="s">
        <v>10923</v>
      </c>
    </row>
    <row r="6206" spans="8:8" x14ac:dyDescent="0.25">
      <c r="H6206" t="s">
        <v>30</v>
      </c>
    </row>
    <row r="6207" spans="8:8" x14ac:dyDescent="0.25">
      <c r="H6207" t="s">
        <v>136</v>
      </c>
    </row>
    <row r="6208" spans="8:8" x14ac:dyDescent="0.25">
      <c r="H6208" t="s">
        <v>10924</v>
      </c>
    </row>
    <row r="6209" spans="8:8" x14ac:dyDescent="0.25">
      <c r="H6209" t="s">
        <v>30</v>
      </c>
    </row>
    <row r="6210" spans="8:8" x14ac:dyDescent="0.25">
      <c r="H6210" t="s">
        <v>137</v>
      </c>
    </row>
    <row r="6211" spans="8:8" x14ac:dyDescent="0.25">
      <c r="H6211" t="s">
        <v>10925</v>
      </c>
    </row>
    <row r="6212" spans="8:8" x14ac:dyDescent="0.25">
      <c r="H6212" t="s">
        <v>30</v>
      </c>
    </row>
    <row r="6213" spans="8:8" x14ac:dyDescent="0.25">
      <c r="H6213" t="s">
        <v>138</v>
      </c>
    </row>
    <row r="6214" spans="8:8" x14ac:dyDescent="0.25">
      <c r="H6214" t="s">
        <v>10926</v>
      </c>
    </row>
    <row r="6215" spans="8:8" x14ac:dyDescent="0.25">
      <c r="H6215" t="s">
        <v>30</v>
      </c>
    </row>
    <row r="6217" spans="8:8" x14ac:dyDescent="0.25">
      <c r="H6217" t="s">
        <v>10927</v>
      </c>
    </row>
    <row r="6218" spans="8:8" x14ac:dyDescent="0.25">
      <c r="H6218" t="s">
        <v>10928</v>
      </c>
    </row>
    <row r="6219" spans="8:8" x14ac:dyDescent="0.25">
      <c r="H6219" t="s">
        <v>135</v>
      </c>
    </row>
    <row r="6220" spans="8:8" x14ac:dyDescent="0.25">
      <c r="H6220" t="s">
        <v>10929</v>
      </c>
    </row>
    <row r="6221" spans="8:8" x14ac:dyDescent="0.25">
      <c r="H6221" t="s">
        <v>30</v>
      </c>
    </row>
    <row r="6222" spans="8:8" x14ac:dyDescent="0.25">
      <c r="H6222" t="s">
        <v>136</v>
      </c>
    </row>
    <row r="6223" spans="8:8" x14ac:dyDescent="0.25">
      <c r="H6223" t="s">
        <v>10930</v>
      </c>
    </row>
    <row r="6224" spans="8:8" x14ac:dyDescent="0.25">
      <c r="H6224" t="s">
        <v>30</v>
      </c>
    </row>
    <row r="6225" spans="8:8" x14ac:dyDescent="0.25">
      <c r="H6225" t="s">
        <v>137</v>
      </c>
    </row>
    <row r="6226" spans="8:8" x14ac:dyDescent="0.25">
      <c r="H6226" t="s">
        <v>10931</v>
      </c>
    </row>
    <row r="6227" spans="8:8" x14ac:dyDescent="0.25">
      <c r="H6227" t="s">
        <v>30</v>
      </c>
    </row>
    <row r="6228" spans="8:8" x14ac:dyDescent="0.25">
      <c r="H6228" t="s">
        <v>138</v>
      </c>
    </row>
    <row r="6229" spans="8:8" x14ac:dyDescent="0.25">
      <c r="H6229" t="s">
        <v>10932</v>
      </c>
    </row>
    <row r="6230" spans="8:8" x14ac:dyDescent="0.25">
      <c r="H6230" t="s">
        <v>30</v>
      </c>
    </row>
    <row r="6232" spans="8:8" x14ac:dyDescent="0.25">
      <c r="H6232" t="s">
        <v>10933</v>
      </c>
    </row>
    <row r="6233" spans="8:8" x14ac:dyDescent="0.25">
      <c r="H6233" t="s">
        <v>10934</v>
      </c>
    </row>
    <row r="6234" spans="8:8" x14ac:dyDescent="0.25">
      <c r="H6234" t="s">
        <v>135</v>
      </c>
    </row>
    <row r="6235" spans="8:8" x14ac:dyDescent="0.25">
      <c r="H6235" t="s">
        <v>10935</v>
      </c>
    </row>
    <row r="6236" spans="8:8" x14ac:dyDescent="0.25">
      <c r="H6236" t="s">
        <v>30</v>
      </c>
    </row>
    <row r="6237" spans="8:8" x14ac:dyDescent="0.25">
      <c r="H6237" t="s">
        <v>136</v>
      </c>
    </row>
    <row r="6238" spans="8:8" x14ac:dyDescent="0.25">
      <c r="H6238" t="s">
        <v>10936</v>
      </c>
    </row>
    <row r="6239" spans="8:8" x14ac:dyDescent="0.25">
      <c r="H6239" t="s">
        <v>30</v>
      </c>
    </row>
    <row r="6240" spans="8:8" x14ac:dyDescent="0.25">
      <c r="H6240" t="s">
        <v>137</v>
      </c>
    </row>
    <row r="6241" spans="8:8" x14ac:dyDescent="0.25">
      <c r="H6241" t="s">
        <v>10937</v>
      </c>
    </row>
    <row r="6242" spans="8:8" x14ac:dyDescent="0.25">
      <c r="H6242" t="s">
        <v>30</v>
      </c>
    </row>
    <row r="6243" spans="8:8" x14ac:dyDescent="0.25">
      <c r="H6243" t="s">
        <v>138</v>
      </c>
    </row>
    <row r="6244" spans="8:8" x14ac:dyDescent="0.25">
      <c r="H6244" t="s">
        <v>10938</v>
      </c>
    </row>
    <row r="6245" spans="8:8" x14ac:dyDescent="0.25">
      <c r="H6245" t="s">
        <v>30</v>
      </c>
    </row>
    <row r="6247" spans="8:8" x14ac:dyDescent="0.25">
      <c r="H6247" t="s">
        <v>10939</v>
      </c>
    </row>
    <row r="6248" spans="8:8" x14ac:dyDescent="0.25">
      <c r="H6248" t="s">
        <v>10940</v>
      </c>
    </row>
    <row r="6249" spans="8:8" x14ac:dyDescent="0.25">
      <c r="H6249" t="s">
        <v>135</v>
      </c>
    </row>
    <row r="6250" spans="8:8" x14ac:dyDescent="0.25">
      <c r="H6250" t="s">
        <v>10941</v>
      </c>
    </row>
    <row r="6251" spans="8:8" x14ac:dyDescent="0.25">
      <c r="H6251" t="s">
        <v>30</v>
      </c>
    </row>
    <row r="6252" spans="8:8" x14ac:dyDescent="0.25">
      <c r="H6252" t="s">
        <v>136</v>
      </c>
    </row>
    <row r="6253" spans="8:8" x14ac:dyDescent="0.25">
      <c r="H6253" t="s">
        <v>10942</v>
      </c>
    </row>
    <row r="6254" spans="8:8" x14ac:dyDescent="0.25">
      <c r="H6254" t="s">
        <v>30</v>
      </c>
    </row>
    <row r="6255" spans="8:8" x14ac:dyDescent="0.25">
      <c r="H6255" t="s">
        <v>137</v>
      </c>
    </row>
    <row r="6256" spans="8:8" x14ac:dyDescent="0.25">
      <c r="H6256" t="s">
        <v>10943</v>
      </c>
    </row>
    <row r="6257" spans="8:8" x14ac:dyDescent="0.25">
      <c r="H6257" t="s">
        <v>30</v>
      </c>
    </row>
    <row r="6258" spans="8:8" x14ac:dyDescent="0.25">
      <c r="H6258" t="s">
        <v>138</v>
      </c>
    </row>
    <row r="6259" spans="8:8" x14ac:dyDescent="0.25">
      <c r="H6259" t="s">
        <v>10944</v>
      </c>
    </row>
    <row r="6260" spans="8:8" x14ac:dyDescent="0.25">
      <c r="H6260" t="s">
        <v>30</v>
      </c>
    </row>
    <row r="6262" spans="8:8" x14ac:dyDescent="0.25">
      <c r="H6262" t="s">
        <v>10945</v>
      </c>
    </row>
    <row r="6263" spans="8:8" x14ac:dyDescent="0.25">
      <c r="H6263" t="s">
        <v>10946</v>
      </c>
    </row>
    <row r="6264" spans="8:8" x14ac:dyDescent="0.25">
      <c r="H6264" t="s">
        <v>135</v>
      </c>
    </row>
    <row r="6265" spans="8:8" x14ac:dyDescent="0.25">
      <c r="H6265" t="s">
        <v>10947</v>
      </c>
    </row>
    <row r="6266" spans="8:8" x14ac:dyDescent="0.25">
      <c r="H6266" t="s">
        <v>30</v>
      </c>
    </row>
    <row r="6267" spans="8:8" x14ac:dyDescent="0.25">
      <c r="H6267" t="s">
        <v>136</v>
      </c>
    </row>
    <row r="6268" spans="8:8" x14ac:dyDescent="0.25">
      <c r="H6268" t="s">
        <v>10948</v>
      </c>
    </row>
    <row r="6269" spans="8:8" x14ac:dyDescent="0.25">
      <c r="H6269" t="s">
        <v>30</v>
      </c>
    </row>
    <row r="6270" spans="8:8" x14ac:dyDescent="0.25">
      <c r="H6270" t="s">
        <v>137</v>
      </c>
    </row>
    <row r="6271" spans="8:8" x14ac:dyDescent="0.25">
      <c r="H6271" t="s">
        <v>10949</v>
      </c>
    </row>
    <row r="6272" spans="8:8" x14ac:dyDescent="0.25">
      <c r="H6272" t="s">
        <v>30</v>
      </c>
    </row>
    <row r="6273" spans="8:8" x14ac:dyDescent="0.25">
      <c r="H6273" t="s">
        <v>138</v>
      </c>
    </row>
    <row r="6274" spans="8:8" x14ac:dyDescent="0.25">
      <c r="H6274" t="s">
        <v>10950</v>
      </c>
    </row>
    <row r="6275" spans="8:8" x14ac:dyDescent="0.25">
      <c r="H6275" t="s">
        <v>30</v>
      </c>
    </row>
    <row r="6277" spans="8:8" x14ac:dyDescent="0.25">
      <c r="H6277" t="s">
        <v>10951</v>
      </c>
    </row>
    <row r="6278" spans="8:8" x14ac:dyDescent="0.25">
      <c r="H6278" t="s">
        <v>10952</v>
      </c>
    </row>
    <row r="6279" spans="8:8" x14ac:dyDescent="0.25">
      <c r="H6279" t="s">
        <v>135</v>
      </c>
    </row>
    <row r="6280" spans="8:8" x14ac:dyDescent="0.25">
      <c r="H6280" t="s">
        <v>10953</v>
      </c>
    </row>
    <row r="6281" spans="8:8" x14ac:dyDescent="0.25">
      <c r="H6281" t="s">
        <v>30</v>
      </c>
    </row>
    <row r="6282" spans="8:8" x14ac:dyDescent="0.25">
      <c r="H6282" t="s">
        <v>136</v>
      </c>
    </row>
    <row r="6283" spans="8:8" x14ac:dyDescent="0.25">
      <c r="H6283" t="s">
        <v>10954</v>
      </c>
    </row>
    <row r="6284" spans="8:8" x14ac:dyDescent="0.25">
      <c r="H6284" t="s">
        <v>30</v>
      </c>
    </row>
    <row r="6285" spans="8:8" x14ac:dyDescent="0.25">
      <c r="H6285" t="s">
        <v>137</v>
      </c>
    </row>
    <row r="6286" spans="8:8" x14ac:dyDescent="0.25">
      <c r="H6286" t="s">
        <v>10955</v>
      </c>
    </row>
    <row r="6287" spans="8:8" x14ac:dyDescent="0.25">
      <c r="H6287" t="s">
        <v>30</v>
      </c>
    </row>
    <row r="6288" spans="8:8" x14ac:dyDescent="0.25">
      <c r="H6288" t="s">
        <v>138</v>
      </c>
    </row>
    <row r="6289" spans="8:8" x14ac:dyDescent="0.25">
      <c r="H6289" t="s">
        <v>10956</v>
      </c>
    </row>
    <row r="6290" spans="8:8" x14ac:dyDescent="0.25">
      <c r="H6290" t="s">
        <v>30</v>
      </c>
    </row>
    <row r="6292" spans="8:8" x14ac:dyDescent="0.25">
      <c r="H6292" t="s">
        <v>10957</v>
      </c>
    </row>
    <row r="6293" spans="8:8" x14ac:dyDescent="0.25">
      <c r="H6293" t="s">
        <v>10958</v>
      </c>
    </row>
    <row r="6294" spans="8:8" x14ac:dyDescent="0.25">
      <c r="H6294" t="s">
        <v>135</v>
      </c>
    </row>
    <row r="6295" spans="8:8" x14ac:dyDescent="0.25">
      <c r="H6295" t="s">
        <v>10959</v>
      </c>
    </row>
    <row r="6296" spans="8:8" x14ac:dyDescent="0.25">
      <c r="H6296" t="s">
        <v>30</v>
      </c>
    </row>
    <row r="6297" spans="8:8" x14ac:dyDescent="0.25">
      <c r="H6297" t="s">
        <v>136</v>
      </c>
    </row>
    <row r="6298" spans="8:8" x14ac:dyDescent="0.25">
      <c r="H6298" t="s">
        <v>10960</v>
      </c>
    </row>
    <row r="6299" spans="8:8" x14ac:dyDescent="0.25">
      <c r="H6299" t="s">
        <v>30</v>
      </c>
    </row>
    <row r="6300" spans="8:8" x14ac:dyDescent="0.25">
      <c r="H6300" t="s">
        <v>137</v>
      </c>
    </row>
    <row r="6301" spans="8:8" x14ac:dyDescent="0.25">
      <c r="H6301" t="s">
        <v>10961</v>
      </c>
    </row>
    <row r="6302" spans="8:8" x14ac:dyDescent="0.25">
      <c r="H6302" t="s">
        <v>30</v>
      </c>
    </row>
    <row r="6303" spans="8:8" x14ac:dyDescent="0.25">
      <c r="H6303" t="s">
        <v>138</v>
      </c>
    </row>
    <row r="6304" spans="8:8" x14ac:dyDescent="0.25">
      <c r="H6304" t="s">
        <v>10962</v>
      </c>
    </row>
    <row r="6305" spans="8:8" x14ac:dyDescent="0.25">
      <c r="H6305" t="s">
        <v>30</v>
      </c>
    </row>
    <row r="6307" spans="8:8" x14ac:dyDescent="0.25">
      <c r="H6307" t="s">
        <v>10963</v>
      </c>
    </row>
    <row r="6308" spans="8:8" x14ac:dyDescent="0.25">
      <c r="H6308" t="s">
        <v>10964</v>
      </c>
    </row>
    <row r="6309" spans="8:8" x14ac:dyDescent="0.25">
      <c r="H6309" t="s">
        <v>135</v>
      </c>
    </row>
    <row r="6310" spans="8:8" x14ac:dyDescent="0.25">
      <c r="H6310" t="s">
        <v>10965</v>
      </c>
    </row>
    <row r="6311" spans="8:8" x14ac:dyDescent="0.25">
      <c r="H6311" t="s">
        <v>30</v>
      </c>
    </row>
    <row r="6312" spans="8:8" x14ac:dyDescent="0.25">
      <c r="H6312" t="s">
        <v>136</v>
      </c>
    </row>
    <row r="6313" spans="8:8" x14ac:dyDescent="0.25">
      <c r="H6313" t="s">
        <v>10966</v>
      </c>
    </row>
    <row r="6314" spans="8:8" x14ac:dyDescent="0.25">
      <c r="H6314" t="s">
        <v>30</v>
      </c>
    </row>
    <row r="6315" spans="8:8" x14ac:dyDescent="0.25">
      <c r="H6315" t="s">
        <v>137</v>
      </c>
    </row>
    <row r="6316" spans="8:8" x14ac:dyDescent="0.25">
      <c r="H6316" t="s">
        <v>10967</v>
      </c>
    </row>
    <row r="6317" spans="8:8" x14ac:dyDescent="0.25">
      <c r="H6317" t="s">
        <v>30</v>
      </c>
    </row>
    <row r="6318" spans="8:8" x14ac:dyDescent="0.25">
      <c r="H6318" t="s">
        <v>138</v>
      </c>
    </row>
    <row r="6319" spans="8:8" x14ac:dyDescent="0.25">
      <c r="H6319" t="s">
        <v>10968</v>
      </c>
    </row>
    <row r="6320" spans="8:8" x14ac:dyDescent="0.25">
      <c r="H6320" t="s">
        <v>30</v>
      </c>
    </row>
    <row r="6322" spans="8:8" x14ac:dyDescent="0.25">
      <c r="H6322" t="s">
        <v>10969</v>
      </c>
    </row>
    <row r="6323" spans="8:8" x14ac:dyDescent="0.25">
      <c r="H6323" t="s">
        <v>10970</v>
      </c>
    </row>
    <row r="6324" spans="8:8" x14ac:dyDescent="0.25">
      <c r="H6324" t="s">
        <v>135</v>
      </c>
    </row>
    <row r="6325" spans="8:8" x14ac:dyDescent="0.25">
      <c r="H6325" t="s">
        <v>10971</v>
      </c>
    </row>
    <row r="6326" spans="8:8" x14ac:dyDescent="0.25">
      <c r="H6326" t="s">
        <v>30</v>
      </c>
    </row>
    <row r="6327" spans="8:8" x14ac:dyDescent="0.25">
      <c r="H6327" t="s">
        <v>136</v>
      </c>
    </row>
    <row r="6328" spans="8:8" x14ac:dyDescent="0.25">
      <c r="H6328" t="s">
        <v>10972</v>
      </c>
    </row>
    <row r="6329" spans="8:8" x14ac:dyDescent="0.25">
      <c r="H6329" t="s">
        <v>30</v>
      </c>
    </row>
    <row r="6330" spans="8:8" x14ac:dyDescent="0.25">
      <c r="H6330" t="s">
        <v>137</v>
      </c>
    </row>
    <row r="6331" spans="8:8" x14ac:dyDescent="0.25">
      <c r="H6331" t="s">
        <v>10973</v>
      </c>
    </row>
    <row r="6332" spans="8:8" x14ac:dyDescent="0.25">
      <c r="H6332" t="s">
        <v>30</v>
      </c>
    </row>
    <row r="6333" spans="8:8" x14ac:dyDescent="0.25">
      <c r="H6333" t="s">
        <v>138</v>
      </c>
    </row>
    <row r="6334" spans="8:8" x14ac:dyDescent="0.25">
      <c r="H6334" t="s">
        <v>10974</v>
      </c>
    </row>
    <row r="6335" spans="8:8" x14ac:dyDescent="0.25">
      <c r="H6335" t="s">
        <v>30</v>
      </c>
    </row>
    <row r="6337" spans="8:8" x14ac:dyDescent="0.25">
      <c r="H6337" t="s">
        <v>10975</v>
      </c>
    </row>
    <row r="6338" spans="8:8" x14ac:dyDescent="0.25">
      <c r="H6338" t="s">
        <v>10976</v>
      </c>
    </row>
    <row r="6339" spans="8:8" x14ac:dyDescent="0.25">
      <c r="H6339" t="s">
        <v>135</v>
      </c>
    </row>
    <row r="6340" spans="8:8" x14ac:dyDescent="0.25">
      <c r="H6340" t="s">
        <v>10977</v>
      </c>
    </row>
    <row r="6341" spans="8:8" x14ac:dyDescent="0.25">
      <c r="H6341" t="s">
        <v>30</v>
      </c>
    </row>
    <row r="6342" spans="8:8" x14ac:dyDescent="0.25">
      <c r="H6342" t="s">
        <v>136</v>
      </c>
    </row>
    <row r="6343" spans="8:8" x14ac:dyDescent="0.25">
      <c r="H6343" t="s">
        <v>10978</v>
      </c>
    </row>
    <row r="6344" spans="8:8" x14ac:dyDescent="0.25">
      <c r="H6344" t="s">
        <v>30</v>
      </c>
    </row>
    <row r="6345" spans="8:8" x14ac:dyDescent="0.25">
      <c r="H6345" t="s">
        <v>137</v>
      </c>
    </row>
    <row r="6346" spans="8:8" x14ac:dyDescent="0.25">
      <c r="H6346" t="s">
        <v>10979</v>
      </c>
    </row>
    <row r="6347" spans="8:8" x14ac:dyDescent="0.25">
      <c r="H6347" t="s">
        <v>30</v>
      </c>
    </row>
    <row r="6348" spans="8:8" x14ac:dyDescent="0.25">
      <c r="H6348" t="s">
        <v>138</v>
      </c>
    </row>
    <row r="6349" spans="8:8" x14ac:dyDescent="0.25">
      <c r="H6349" t="s">
        <v>10980</v>
      </c>
    </row>
    <row r="6350" spans="8:8" x14ac:dyDescent="0.25">
      <c r="H6350" t="s">
        <v>30</v>
      </c>
    </row>
    <row r="6352" spans="8:8" x14ac:dyDescent="0.25">
      <c r="H6352" t="s">
        <v>10981</v>
      </c>
    </row>
    <row r="6353" spans="8:8" x14ac:dyDescent="0.25">
      <c r="H6353" t="s">
        <v>10982</v>
      </c>
    </row>
    <row r="6354" spans="8:8" x14ac:dyDescent="0.25">
      <c r="H6354" t="s">
        <v>135</v>
      </c>
    </row>
    <row r="6355" spans="8:8" x14ac:dyDescent="0.25">
      <c r="H6355" t="s">
        <v>10983</v>
      </c>
    </row>
    <row r="6356" spans="8:8" x14ac:dyDescent="0.25">
      <c r="H6356" t="s">
        <v>30</v>
      </c>
    </row>
    <row r="6357" spans="8:8" x14ac:dyDescent="0.25">
      <c r="H6357" t="s">
        <v>136</v>
      </c>
    </row>
    <row r="6358" spans="8:8" x14ac:dyDescent="0.25">
      <c r="H6358" t="s">
        <v>10984</v>
      </c>
    </row>
    <row r="6359" spans="8:8" x14ac:dyDescent="0.25">
      <c r="H6359" t="s">
        <v>30</v>
      </c>
    </row>
    <row r="6360" spans="8:8" x14ac:dyDescent="0.25">
      <c r="H6360" t="s">
        <v>137</v>
      </c>
    </row>
    <row r="6361" spans="8:8" x14ac:dyDescent="0.25">
      <c r="H6361" t="s">
        <v>10985</v>
      </c>
    </row>
    <row r="6362" spans="8:8" x14ac:dyDescent="0.25">
      <c r="H6362" t="s">
        <v>30</v>
      </c>
    </row>
    <row r="6363" spans="8:8" x14ac:dyDescent="0.25">
      <c r="H6363" t="s">
        <v>138</v>
      </c>
    </row>
    <row r="6364" spans="8:8" x14ac:dyDescent="0.25">
      <c r="H6364" t="s">
        <v>10986</v>
      </c>
    </row>
    <row r="6365" spans="8:8" x14ac:dyDescent="0.25">
      <c r="H6365" t="s">
        <v>30</v>
      </c>
    </row>
    <row r="6367" spans="8:8" x14ac:dyDescent="0.25">
      <c r="H6367" t="s">
        <v>10987</v>
      </c>
    </row>
    <row r="6368" spans="8:8" x14ac:dyDescent="0.25">
      <c r="H6368" t="s">
        <v>10988</v>
      </c>
    </row>
    <row r="6369" spans="8:8" x14ac:dyDescent="0.25">
      <c r="H6369" t="s">
        <v>135</v>
      </c>
    </row>
    <row r="6370" spans="8:8" x14ac:dyDescent="0.25">
      <c r="H6370" t="s">
        <v>10989</v>
      </c>
    </row>
    <row r="6371" spans="8:8" x14ac:dyDescent="0.25">
      <c r="H6371" t="s">
        <v>30</v>
      </c>
    </row>
    <row r="6372" spans="8:8" x14ac:dyDescent="0.25">
      <c r="H6372" t="s">
        <v>136</v>
      </c>
    </row>
    <row r="6373" spans="8:8" x14ac:dyDescent="0.25">
      <c r="H6373" t="s">
        <v>10990</v>
      </c>
    </row>
    <row r="6374" spans="8:8" x14ac:dyDescent="0.25">
      <c r="H6374" t="s">
        <v>30</v>
      </c>
    </row>
    <row r="6375" spans="8:8" x14ac:dyDescent="0.25">
      <c r="H6375" t="s">
        <v>137</v>
      </c>
    </row>
    <row r="6376" spans="8:8" x14ac:dyDescent="0.25">
      <c r="H6376" t="s">
        <v>10991</v>
      </c>
    </row>
    <row r="6377" spans="8:8" x14ac:dyDescent="0.25">
      <c r="H6377" t="s">
        <v>30</v>
      </c>
    </row>
    <row r="6378" spans="8:8" x14ac:dyDescent="0.25">
      <c r="H6378" t="s">
        <v>138</v>
      </c>
    </row>
    <row r="6379" spans="8:8" x14ac:dyDescent="0.25">
      <c r="H6379" t="s">
        <v>10992</v>
      </c>
    </row>
    <row r="6380" spans="8:8" x14ac:dyDescent="0.25">
      <c r="H6380" t="s">
        <v>30</v>
      </c>
    </row>
    <row r="6382" spans="8:8" x14ac:dyDescent="0.25">
      <c r="H6382" t="s">
        <v>10993</v>
      </c>
    </row>
    <row r="6383" spans="8:8" x14ac:dyDescent="0.25">
      <c r="H6383" t="s">
        <v>10994</v>
      </c>
    </row>
    <row r="6384" spans="8:8" x14ac:dyDescent="0.25">
      <c r="H6384" t="s">
        <v>135</v>
      </c>
    </row>
    <row r="6385" spans="8:8" x14ac:dyDescent="0.25">
      <c r="H6385" t="s">
        <v>10995</v>
      </c>
    </row>
    <row r="6386" spans="8:8" x14ac:dyDescent="0.25">
      <c r="H6386" t="s">
        <v>30</v>
      </c>
    </row>
    <row r="6387" spans="8:8" x14ac:dyDescent="0.25">
      <c r="H6387" t="s">
        <v>136</v>
      </c>
    </row>
    <row r="6388" spans="8:8" x14ac:dyDescent="0.25">
      <c r="H6388" t="s">
        <v>10996</v>
      </c>
    </row>
    <row r="6389" spans="8:8" x14ac:dyDescent="0.25">
      <c r="H6389" t="s">
        <v>30</v>
      </c>
    </row>
    <row r="6390" spans="8:8" x14ac:dyDescent="0.25">
      <c r="H6390" t="s">
        <v>137</v>
      </c>
    </row>
    <row r="6391" spans="8:8" x14ac:dyDescent="0.25">
      <c r="H6391" t="s">
        <v>10997</v>
      </c>
    </row>
    <row r="6392" spans="8:8" x14ac:dyDescent="0.25">
      <c r="H6392" t="s">
        <v>30</v>
      </c>
    </row>
    <row r="6393" spans="8:8" x14ac:dyDescent="0.25">
      <c r="H6393" t="s">
        <v>138</v>
      </c>
    </row>
    <row r="6394" spans="8:8" x14ac:dyDescent="0.25">
      <c r="H6394" t="s">
        <v>10998</v>
      </c>
    </row>
    <row r="6395" spans="8:8" x14ac:dyDescent="0.25">
      <c r="H6395" t="s">
        <v>30</v>
      </c>
    </row>
    <row r="6397" spans="8:8" x14ac:dyDescent="0.25">
      <c r="H6397" t="s">
        <v>10999</v>
      </c>
    </row>
    <row r="6398" spans="8:8" x14ac:dyDescent="0.25">
      <c r="H6398" t="s">
        <v>11000</v>
      </c>
    </row>
    <row r="6399" spans="8:8" x14ac:dyDescent="0.25">
      <c r="H6399" t="s">
        <v>135</v>
      </c>
    </row>
    <row r="6400" spans="8:8" x14ac:dyDescent="0.25">
      <c r="H6400" t="s">
        <v>11001</v>
      </c>
    </row>
    <row r="6401" spans="8:8" x14ac:dyDescent="0.25">
      <c r="H6401" t="s">
        <v>30</v>
      </c>
    </row>
    <row r="6402" spans="8:8" x14ac:dyDescent="0.25">
      <c r="H6402" t="s">
        <v>136</v>
      </c>
    </row>
    <row r="6403" spans="8:8" x14ac:dyDescent="0.25">
      <c r="H6403" t="s">
        <v>11002</v>
      </c>
    </row>
    <row r="6404" spans="8:8" x14ac:dyDescent="0.25">
      <c r="H6404" t="s">
        <v>30</v>
      </c>
    </row>
    <row r="6405" spans="8:8" x14ac:dyDescent="0.25">
      <c r="H6405" t="s">
        <v>137</v>
      </c>
    </row>
    <row r="6406" spans="8:8" x14ac:dyDescent="0.25">
      <c r="H6406" t="s">
        <v>11003</v>
      </c>
    </row>
    <row r="6407" spans="8:8" x14ac:dyDescent="0.25">
      <c r="H6407" t="s">
        <v>30</v>
      </c>
    </row>
    <row r="6408" spans="8:8" x14ac:dyDescent="0.25">
      <c r="H6408" t="s">
        <v>138</v>
      </c>
    </row>
    <row r="6409" spans="8:8" x14ac:dyDescent="0.25">
      <c r="H6409" t="s">
        <v>11004</v>
      </c>
    </row>
    <row r="6410" spans="8:8" x14ac:dyDescent="0.25">
      <c r="H6410" t="s">
        <v>30</v>
      </c>
    </row>
    <row r="6412" spans="8:8" x14ac:dyDescent="0.25">
      <c r="H6412" t="s">
        <v>11005</v>
      </c>
    </row>
    <row r="6413" spans="8:8" x14ac:dyDescent="0.25">
      <c r="H6413" t="s">
        <v>11006</v>
      </c>
    </row>
    <row r="6414" spans="8:8" x14ac:dyDescent="0.25">
      <c r="H6414" t="s">
        <v>135</v>
      </c>
    </row>
    <row r="6415" spans="8:8" x14ac:dyDescent="0.25">
      <c r="H6415" t="s">
        <v>11007</v>
      </c>
    </row>
    <row r="6416" spans="8:8" x14ac:dyDescent="0.25">
      <c r="H6416" t="s">
        <v>30</v>
      </c>
    </row>
    <row r="6417" spans="8:8" x14ac:dyDescent="0.25">
      <c r="H6417" t="s">
        <v>136</v>
      </c>
    </row>
    <row r="6418" spans="8:8" x14ac:dyDescent="0.25">
      <c r="H6418" t="s">
        <v>11008</v>
      </c>
    </row>
    <row r="6419" spans="8:8" x14ac:dyDescent="0.25">
      <c r="H6419" t="s">
        <v>30</v>
      </c>
    </row>
    <row r="6420" spans="8:8" x14ac:dyDescent="0.25">
      <c r="H6420" t="s">
        <v>137</v>
      </c>
    </row>
    <row r="6421" spans="8:8" x14ac:dyDescent="0.25">
      <c r="H6421" t="s">
        <v>11009</v>
      </c>
    </row>
    <row r="6422" spans="8:8" x14ac:dyDescent="0.25">
      <c r="H6422" t="s">
        <v>30</v>
      </c>
    </row>
    <row r="6423" spans="8:8" x14ac:dyDescent="0.25">
      <c r="H6423" t="s">
        <v>138</v>
      </c>
    </row>
    <row r="6424" spans="8:8" x14ac:dyDescent="0.25">
      <c r="H6424" t="s">
        <v>11010</v>
      </c>
    </row>
    <row r="6425" spans="8:8" x14ac:dyDescent="0.25">
      <c r="H6425" t="s">
        <v>30</v>
      </c>
    </row>
    <row r="6427" spans="8:8" x14ac:dyDescent="0.25">
      <c r="H6427" t="s">
        <v>11011</v>
      </c>
    </row>
    <row r="6428" spans="8:8" x14ac:dyDescent="0.25">
      <c r="H6428" t="s">
        <v>11012</v>
      </c>
    </row>
    <row r="6429" spans="8:8" x14ac:dyDescent="0.25">
      <c r="H6429" t="s">
        <v>135</v>
      </c>
    </row>
    <row r="6430" spans="8:8" x14ac:dyDescent="0.25">
      <c r="H6430" t="s">
        <v>11013</v>
      </c>
    </row>
    <row r="6431" spans="8:8" x14ac:dyDescent="0.25">
      <c r="H6431" t="s">
        <v>30</v>
      </c>
    </row>
    <row r="6432" spans="8:8" x14ac:dyDescent="0.25">
      <c r="H6432" t="s">
        <v>136</v>
      </c>
    </row>
    <row r="6433" spans="8:8" x14ac:dyDescent="0.25">
      <c r="H6433" t="s">
        <v>11014</v>
      </c>
    </row>
    <row r="6434" spans="8:8" x14ac:dyDescent="0.25">
      <c r="H6434" t="s">
        <v>30</v>
      </c>
    </row>
    <row r="6435" spans="8:8" x14ac:dyDescent="0.25">
      <c r="H6435" t="s">
        <v>137</v>
      </c>
    </row>
    <row r="6436" spans="8:8" x14ac:dyDescent="0.25">
      <c r="H6436" t="s">
        <v>11015</v>
      </c>
    </row>
    <row r="6437" spans="8:8" x14ac:dyDescent="0.25">
      <c r="H6437" t="s">
        <v>30</v>
      </c>
    </row>
    <row r="6438" spans="8:8" x14ac:dyDescent="0.25">
      <c r="H6438" t="s">
        <v>138</v>
      </c>
    </row>
    <row r="6439" spans="8:8" x14ac:dyDescent="0.25">
      <c r="H6439" t="s">
        <v>11016</v>
      </c>
    </row>
    <row r="6440" spans="8:8" x14ac:dyDescent="0.25">
      <c r="H6440" t="s">
        <v>30</v>
      </c>
    </row>
    <row r="6442" spans="8:8" x14ac:dyDescent="0.25">
      <c r="H6442" t="s">
        <v>11017</v>
      </c>
    </row>
    <row r="6443" spans="8:8" x14ac:dyDescent="0.25">
      <c r="H6443" t="s">
        <v>11018</v>
      </c>
    </row>
    <row r="6444" spans="8:8" x14ac:dyDescent="0.25">
      <c r="H6444" t="s">
        <v>135</v>
      </c>
    </row>
    <row r="6445" spans="8:8" x14ac:dyDescent="0.25">
      <c r="H6445" t="s">
        <v>11019</v>
      </c>
    </row>
    <row r="6446" spans="8:8" x14ac:dyDescent="0.25">
      <c r="H6446" t="s">
        <v>30</v>
      </c>
    </row>
    <row r="6447" spans="8:8" x14ac:dyDescent="0.25">
      <c r="H6447" t="s">
        <v>136</v>
      </c>
    </row>
    <row r="6448" spans="8:8" x14ac:dyDescent="0.25">
      <c r="H6448" t="s">
        <v>11020</v>
      </c>
    </row>
    <row r="6449" spans="8:8" x14ac:dyDescent="0.25">
      <c r="H6449" t="s">
        <v>30</v>
      </c>
    </row>
    <row r="6450" spans="8:8" x14ac:dyDescent="0.25">
      <c r="H6450" t="s">
        <v>137</v>
      </c>
    </row>
    <row r="6451" spans="8:8" x14ac:dyDescent="0.25">
      <c r="H6451" t="s">
        <v>11021</v>
      </c>
    </row>
    <row r="6452" spans="8:8" x14ac:dyDescent="0.25">
      <c r="H6452" t="s">
        <v>30</v>
      </c>
    </row>
    <row r="6453" spans="8:8" x14ac:dyDescent="0.25">
      <c r="H6453" t="s">
        <v>138</v>
      </c>
    </row>
    <row r="6454" spans="8:8" x14ac:dyDescent="0.25">
      <c r="H6454" t="s">
        <v>11022</v>
      </c>
    </row>
    <row r="6455" spans="8:8" x14ac:dyDescent="0.25">
      <c r="H6455" t="s">
        <v>30</v>
      </c>
    </row>
    <row r="6457" spans="8:8" x14ac:dyDescent="0.25">
      <c r="H6457" t="s">
        <v>11023</v>
      </c>
    </row>
    <row r="6458" spans="8:8" x14ac:dyDescent="0.25">
      <c r="H6458" t="s">
        <v>11024</v>
      </c>
    </row>
    <row r="6459" spans="8:8" x14ac:dyDescent="0.25">
      <c r="H6459" t="s">
        <v>135</v>
      </c>
    </row>
    <row r="6460" spans="8:8" x14ac:dyDescent="0.25">
      <c r="H6460" t="s">
        <v>11025</v>
      </c>
    </row>
    <row r="6461" spans="8:8" x14ac:dyDescent="0.25">
      <c r="H6461" t="s">
        <v>30</v>
      </c>
    </row>
    <row r="6462" spans="8:8" x14ac:dyDescent="0.25">
      <c r="H6462" t="s">
        <v>136</v>
      </c>
    </row>
    <row r="6463" spans="8:8" x14ac:dyDescent="0.25">
      <c r="H6463" t="s">
        <v>11026</v>
      </c>
    </row>
    <row r="6464" spans="8:8" x14ac:dyDescent="0.25">
      <c r="H6464" t="s">
        <v>30</v>
      </c>
    </row>
    <row r="6465" spans="8:8" x14ac:dyDescent="0.25">
      <c r="H6465" t="s">
        <v>137</v>
      </c>
    </row>
    <row r="6466" spans="8:8" x14ac:dyDescent="0.25">
      <c r="H6466" t="s">
        <v>11027</v>
      </c>
    </row>
    <row r="6467" spans="8:8" x14ac:dyDescent="0.25">
      <c r="H6467" t="s">
        <v>30</v>
      </c>
    </row>
    <row r="6468" spans="8:8" x14ac:dyDescent="0.25">
      <c r="H6468" t="s">
        <v>138</v>
      </c>
    </row>
    <row r="6469" spans="8:8" x14ac:dyDescent="0.25">
      <c r="H6469" t="s">
        <v>11028</v>
      </c>
    </row>
    <row r="6470" spans="8:8" x14ac:dyDescent="0.25">
      <c r="H6470" t="s">
        <v>30</v>
      </c>
    </row>
    <row r="6472" spans="8:8" x14ac:dyDescent="0.25">
      <c r="H6472" t="s">
        <v>11029</v>
      </c>
    </row>
    <row r="6473" spans="8:8" x14ac:dyDescent="0.25">
      <c r="H6473" t="s">
        <v>11030</v>
      </c>
    </row>
    <row r="6474" spans="8:8" x14ac:dyDescent="0.25">
      <c r="H6474" t="s">
        <v>135</v>
      </c>
    </row>
    <row r="6475" spans="8:8" x14ac:dyDescent="0.25">
      <c r="H6475" t="s">
        <v>11031</v>
      </c>
    </row>
    <row r="6476" spans="8:8" x14ac:dyDescent="0.25">
      <c r="H6476" t="s">
        <v>30</v>
      </c>
    </row>
    <row r="6477" spans="8:8" x14ac:dyDescent="0.25">
      <c r="H6477" t="s">
        <v>136</v>
      </c>
    </row>
    <row r="6478" spans="8:8" x14ac:dyDescent="0.25">
      <c r="H6478" t="s">
        <v>11032</v>
      </c>
    </row>
    <row r="6479" spans="8:8" x14ac:dyDescent="0.25">
      <c r="H6479" t="s">
        <v>30</v>
      </c>
    </row>
    <row r="6480" spans="8:8" x14ac:dyDescent="0.25">
      <c r="H6480" t="s">
        <v>137</v>
      </c>
    </row>
    <row r="6481" spans="8:8" x14ac:dyDescent="0.25">
      <c r="H6481" t="s">
        <v>11033</v>
      </c>
    </row>
    <row r="6482" spans="8:8" x14ac:dyDescent="0.25">
      <c r="H6482" t="s">
        <v>30</v>
      </c>
    </row>
    <row r="6483" spans="8:8" x14ac:dyDescent="0.25">
      <c r="H6483" t="s">
        <v>138</v>
      </c>
    </row>
    <row r="6484" spans="8:8" x14ac:dyDescent="0.25">
      <c r="H6484" t="s">
        <v>11034</v>
      </c>
    </row>
    <row r="6485" spans="8:8" x14ac:dyDescent="0.25">
      <c r="H6485" t="s">
        <v>30</v>
      </c>
    </row>
    <row r="6487" spans="8:8" x14ac:dyDescent="0.25">
      <c r="H6487" t="s">
        <v>11035</v>
      </c>
    </row>
    <row r="6488" spans="8:8" x14ac:dyDescent="0.25">
      <c r="H6488" t="s">
        <v>11036</v>
      </c>
    </row>
    <row r="6489" spans="8:8" x14ac:dyDescent="0.25">
      <c r="H6489" t="s">
        <v>135</v>
      </c>
    </row>
    <row r="6490" spans="8:8" x14ac:dyDescent="0.25">
      <c r="H6490" t="s">
        <v>11037</v>
      </c>
    </row>
    <row r="6491" spans="8:8" x14ac:dyDescent="0.25">
      <c r="H6491" t="s">
        <v>30</v>
      </c>
    </row>
    <row r="6492" spans="8:8" x14ac:dyDescent="0.25">
      <c r="H6492" t="s">
        <v>136</v>
      </c>
    </row>
    <row r="6493" spans="8:8" x14ac:dyDescent="0.25">
      <c r="H6493" t="s">
        <v>11038</v>
      </c>
    </row>
    <row r="6494" spans="8:8" x14ac:dyDescent="0.25">
      <c r="H6494" t="s">
        <v>30</v>
      </c>
    </row>
    <row r="6495" spans="8:8" x14ac:dyDescent="0.25">
      <c r="H6495" t="s">
        <v>137</v>
      </c>
    </row>
    <row r="6496" spans="8:8" x14ac:dyDescent="0.25">
      <c r="H6496" t="s">
        <v>11039</v>
      </c>
    </row>
    <row r="6497" spans="8:8" x14ac:dyDescent="0.25">
      <c r="H6497" t="s">
        <v>30</v>
      </c>
    </row>
    <row r="6498" spans="8:8" x14ac:dyDescent="0.25">
      <c r="H6498" t="s">
        <v>138</v>
      </c>
    </row>
    <row r="6499" spans="8:8" x14ac:dyDescent="0.25">
      <c r="H6499" t="s">
        <v>11040</v>
      </c>
    </row>
    <row r="6500" spans="8:8" x14ac:dyDescent="0.25">
      <c r="H6500" t="s">
        <v>30</v>
      </c>
    </row>
    <row r="6502" spans="8:8" x14ac:dyDescent="0.25">
      <c r="H6502" t="s">
        <v>11041</v>
      </c>
    </row>
    <row r="6503" spans="8:8" x14ac:dyDescent="0.25">
      <c r="H6503" t="s">
        <v>11042</v>
      </c>
    </row>
    <row r="6504" spans="8:8" x14ac:dyDescent="0.25">
      <c r="H6504" t="s">
        <v>135</v>
      </c>
    </row>
    <row r="6505" spans="8:8" x14ac:dyDescent="0.25">
      <c r="H6505" t="s">
        <v>11043</v>
      </c>
    </row>
    <row r="6506" spans="8:8" x14ac:dyDescent="0.25">
      <c r="H6506" t="s">
        <v>30</v>
      </c>
    </row>
    <row r="6507" spans="8:8" x14ac:dyDescent="0.25">
      <c r="H6507" t="s">
        <v>136</v>
      </c>
    </row>
    <row r="6508" spans="8:8" x14ac:dyDescent="0.25">
      <c r="H6508" t="s">
        <v>11044</v>
      </c>
    </row>
    <row r="6509" spans="8:8" x14ac:dyDescent="0.25">
      <c r="H6509" t="s">
        <v>30</v>
      </c>
    </row>
    <row r="6510" spans="8:8" x14ac:dyDescent="0.25">
      <c r="H6510" t="s">
        <v>137</v>
      </c>
    </row>
    <row r="6511" spans="8:8" x14ac:dyDescent="0.25">
      <c r="H6511" t="s">
        <v>11045</v>
      </c>
    </row>
    <row r="6512" spans="8:8" x14ac:dyDescent="0.25">
      <c r="H6512" t="s">
        <v>30</v>
      </c>
    </row>
    <row r="6513" spans="8:8" x14ac:dyDescent="0.25">
      <c r="H6513" t="s">
        <v>138</v>
      </c>
    </row>
    <row r="6514" spans="8:8" x14ac:dyDescent="0.25">
      <c r="H6514" t="s">
        <v>11046</v>
      </c>
    </row>
    <row r="6515" spans="8:8" x14ac:dyDescent="0.25">
      <c r="H6515" t="s">
        <v>30</v>
      </c>
    </row>
    <row r="6517" spans="8:8" x14ac:dyDescent="0.25">
      <c r="H6517" t="s">
        <v>11047</v>
      </c>
    </row>
    <row r="6518" spans="8:8" x14ac:dyDescent="0.25">
      <c r="H6518" t="s">
        <v>11048</v>
      </c>
    </row>
    <row r="6519" spans="8:8" x14ac:dyDescent="0.25">
      <c r="H6519" t="s">
        <v>135</v>
      </c>
    </row>
    <row r="6520" spans="8:8" x14ac:dyDescent="0.25">
      <c r="H6520" t="s">
        <v>11049</v>
      </c>
    </row>
    <row r="6521" spans="8:8" x14ac:dyDescent="0.25">
      <c r="H6521" t="s">
        <v>30</v>
      </c>
    </row>
    <row r="6522" spans="8:8" x14ac:dyDescent="0.25">
      <c r="H6522" t="s">
        <v>136</v>
      </c>
    </row>
    <row r="6523" spans="8:8" x14ac:dyDescent="0.25">
      <c r="H6523" t="s">
        <v>11050</v>
      </c>
    </row>
    <row r="6524" spans="8:8" x14ac:dyDescent="0.25">
      <c r="H6524" t="s">
        <v>30</v>
      </c>
    </row>
    <row r="6525" spans="8:8" x14ac:dyDescent="0.25">
      <c r="H6525" t="s">
        <v>137</v>
      </c>
    </row>
    <row r="6526" spans="8:8" x14ac:dyDescent="0.25">
      <c r="H6526" t="s">
        <v>11051</v>
      </c>
    </row>
    <row r="6527" spans="8:8" x14ac:dyDescent="0.25">
      <c r="H6527" t="s">
        <v>30</v>
      </c>
    </row>
    <row r="6528" spans="8:8" x14ac:dyDescent="0.25">
      <c r="H6528" t="s">
        <v>138</v>
      </c>
    </row>
    <row r="6529" spans="8:8" x14ac:dyDescent="0.25">
      <c r="H6529" t="s">
        <v>11052</v>
      </c>
    </row>
    <row r="6530" spans="8:8" x14ac:dyDescent="0.25">
      <c r="H6530" t="s">
        <v>30</v>
      </c>
    </row>
    <row r="6532" spans="8:8" x14ac:dyDescent="0.25">
      <c r="H6532" t="s">
        <v>11053</v>
      </c>
    </row>
    <row r="6533" spans="8:8" x14ac:dyDescent="0.25">
      <c r="H6533" t="s">
        <v>11054</v>
      </c>
    </row>
    <row r="6534" spans="8:8" x14ac:dyDescent="0.25">
      <c r="H6534" t="s">
        <v>135</v>
      </c>
    </row>
    <row r="6535" spans="8:8" x14ac:dyDescent="0.25">
      <c r="H6535" t="s">
        <v>11055</v>
      </c>
    </row>
    <row r="6536" spans="8:8" x14ac:dyDescent="0.25">
      <c r="H6536" t="s">
        <v>30</v>
      </c>
    </row>
    <row r="6537" spans="8:8" x14ac:dyDescent="0.25">
      <c r="H6537" t="s">
        <v>136</v>
      </c>
    </row>
    <row r="6538" spans="8:8" x14ac:dyDescent="0.25">
      <c r="H6538" t="s">
        <v>11056</v>
      </c>
    </row>
    <row r="6539" spans="8:8" x14ac:dyDescent="0.25">
      <c r="H6539" t="s">
        <v>30</v>
      </c>
    </row>
    <row r="6540" spans="8:8" x14ac:dyDescent="0.25">
      <c r="H6540" t="s">
        <v>137</v>
      </c>
    </row>
    <row r="6541" spans="8:8" x14ac:dyDescent="0.25">
      <c r="H6541" t="s">
        <v>11057</v>
      </c>
    </row>
    <row r="6542" spans="8:8" x14ac:dyDescent="0.25">
      <c r="H6542" t="s">
        <v>30</v>
      </c>
    </row>
    <row r="6543" spans="8:8" x14ac:dyDescent="0.25">
      <c r="H6543" t="s">
        <v>138</v>
      </c>
    </row>
    <row r="6544" spans="8:8" x14ac:dyDescent="0.25">
      <c r="H6544" t="s">
        <v>11058</v>
      </c>
    </row>
    <row r="6545" spans="8:8" x14ac:dyDescent="0.25">
      <c r="H6545" t="s">
        <v>30</v>
      </c>
    </row>
    <row r="6547" spans="8:8" x14ac:dyDescent="0.25">
      <c r="H6547" t="s">
        <v>11059</v>
      </c>
    </row>
    <row r="6548" spans="8:8" x14ac:dyDescent="0.25">
      <c r="H6548" t="s">
        <v>11060</v>
      </c>
    </row>
    <row r="6549" spans="8:8" x14ac:dyDescent="0.25">
      <c r="H6549" t="s">
        <v>135</v>
      </c>
    </row>
    <row r="6550" spans="8:8" x14ac:dyDescent="0.25">
      <c r="H6550" t="s">
        <v>11061</v>
      </c>
    </row>
    <row r="6551" spans="8:8" x14ac:dyDescent="0.25">
      <c r="H6551" t="s">
        <v>30</v>
      </c>
    </row>
    <row r="6552" spans="8:8" x14ac:dyDescent="0.25">
      <c r="H6552" t="s">
        <v>136</v>
      </c>
    </row>
    <row r="6553" spans="8:8" x14ac:dyDescent="0.25">
      <c r="H6553" t="s">
        <v>11062</v>
      </c>
    </row>
    <row r="6554" spans="8:8" x14ac:dyDescent="0.25">
      <c r="H6554" t="s">
        <v>30</v>
      </c>
    </row>
    <row r="6555" spans="8:8" x14ac:dyDescent="0.25">
      <c r="H6555" t="s">
        <v>137</v>
      </c>
    </row>
    <row r="6556" spans="8:8" x14ac:dyDescent="0.25">
      <c r="H6556" t="s">
        <v>11063</v>
      </c>
    </row>
    <row r="6557" spans="8:8" x14ac:dyDescent="0.25">
      <c r="H6557" t="s">
        <v>30</v>
      </c>
    </row>
    <row r="6558" spans="8:8" x14ac:dyDescent="0.25">
      <c r="H6558" t="s">
        <v>138</v>
      </c>
    </row>
    <row r="6559" spans="8:8" x14ac:dyDescent="0.25">
      <c r="H6559" t="s">
        <v>11064</v>
      </c>
    </row>
    <row r="6560" spans="8:8" x14ac:dyDescent="0.25">
      <c r="H6560" t="s">
        <v>30</v>
      </c>
    </row>
    <row r="6562" spans="8:8" x14ac:dyDescent="0.25">
      <c r="H6562" t="s">
        <v>11065</v>
      </c>
    </row>
    <row r="6563" spans="8:8" x14ac:dyDescent="0.25">
      <c r="H6563" t="s">
        <v>11066</v>
      </c>
    </row>
    <row r="6564" spans="8:8" x14ac:dyDescent="0.25">
      <c r="H6564" t="s">
        <v>135</v>
      </c>
    </row>
    <row r="6565" spans="8:8" x14ac:dyDescent="0.25">
      <c r="H6565" t="s">
        <v>11067</v>
      </c>
    </row>
    <row r="6566" spans="8:8" x14ac:dyDescent="0.25">
      <c r="H6566" t="s">
        <v>30</v>
      </c>
    </row>
    <row r="6567" spans="8:8" x14ac:dyDescent="0.25">
      <c r="H6567" t="s">
        <v>136</v>
      </c>
    </row>
    <row r="6568" spans="8:8" x14ac:dyDescent="0.25">
      <c r="H6568" t="s">
        <v>11068</v>
      </c>
    </row>
    <row r="6569" spans="8:8" x14ac:dyDescent="0.25">
      <c r="H6569" t="s">
        <v>30</v>
      </c>
    </row>
    <row r="6570" spans="8:8" x14ac:dyDescent="0.25">
      <c r="H6570" t="s">
        <v>137</v>
      </c>
    </row>
    <row r="6571" spans="8:8" x14ac:dyDescent="0.25">
      <c r="H6571" t="s">
        <v>11069</v>
      </c>
    </row>
    <row r="6572" spans="8:8" x14ac:dyDescent="0.25">
      <c r="H6572" t="s">
        <v>30</v>
      </c>
    </row>
    <row r="6573" spans="8:8" x14ac:dyDescent="0.25">
      <c r="H6573" t="s">
        <v>138</v>
      </c>
    </row>
    <row r="6574" spans="8:8" x14ac:dyDescent="0.25">
      <c r="H6574" t="s">
        <v>11070</v>
      </c>
    </row>
    <row r="6575" spans="8:8" x14ac:dyDescent="0.25">
      <c r="H6575" t="s">
        <v>30</v>
      </c>
    </row>
    <row r="6577" spans="8:8" x14ac:dyDescent="0.25">
      <c r="H6577" t="s">
        <v>11071</v>
      </c>
    </row>
    <row r="6578" spans="8:8" x14ac:dyDescent="0.25">
      <c r="H6578" t="s">
        <v>11072</v>
      </c>
    </row>
    <row r="6579" spans="8:8" x14ac:dyDescent="0.25">
      <c r="H6579" t="s">
        <v>135</v>
      </c>
    </row>
    <row r="6580" spans="8:8" x14ac:dyDescent="0.25">
      <c r="H6580" t="s">
        <v>11073</v>
      </c>
    </row>
    <row r="6581" spans="8:8" x14ac:dyDescent="0.25">
      <c r="H6581" t="s">
        <v>30</v>
      </c>
    </row>
    <row r="6582" spans="8:8" x14ac:dyDescent="0.25">
      <c r="H6582" t="s">
        <v>136</v>
      </c>
    </row>
    <row r="6583" spans="8:8" x14ac:dyDescent="0.25">
      <c r="H6583" t="s">
        <v>11074</v>
      </c>
    </row>
    <row r="6584" spans="8:8" x14ac:dyDescent="0.25">
      <c r="H6584" t="s">
        <v>30</v>
      </c>
    </row>
    <row r="6585" spans="8:8" x14ac:dyDescent="0.25">
      <c r="H6585" t="s">
        <v>137</v>
      </c>
    </row>
    <row r="6586" spans="8:8" x14ac:dyDescent="0.25">
      <c r="H6586" t="s">
        <v>11075</v>
      </c>
    </row>
    <row r="6587" spans="8:8" x14ac:dyDescent="0.25">
      <c r="H6587" t="s">
        <v>30</v>
      </c>
    </row>
    <row r="6588" spans="8:8" x14ac:dyDescent="0.25">
      <c r="H6588" t="s">
        <v>138</v>
      </c>
    </row>
    <row r="6589" spans="8:8" x14ac:dyDescent="0.25">
      <c r="H6589" t="s">
        <v>11076</v>
      </c>
    </row>
    <row r="6590" spans="8:8" x14ac:dyDescent="0.25">
      <c r="H6590" t="s">
        <v>30</v>
      </c>
    </row>
    <row r="6592" spans="8:8" x14ac:dyDescent="0.25">
      <c r="H6592" t="s">
        <v>11077</v>
      </c>
    </row>
    <row r="6593" spans="8:8" x14ac:dyDescent="0.25">
      <c r="H6593" t="s">
        <v>11078</v>
      </c>
    </row>
    <row r="6594" spans="8:8" x14ac:dyDescent="0.25">
      <c r="H6594" t="s">
        <v>135</v>
      </c>
    </row>
    <row r="6595" spans="8:8" x14ac:dyDescent="0.25">
      <c r="H6595" t="s">
        <v>11079</v>
      </c>
    </row>
    <row r="6596" spans="8:8" x14ac:dyDescent="0.25">
      <c r="H6596" t="s">
        <v>30</v>
      </c>
    </row>
    <row r="6597" spans="8:8" x14ac:dyDescent="0.25">
      <c r="H6597" t="s">
        <v>136</v>
      </c>
    </row>
    <row r="6598" spans="8:8" x14ac:dyDescent="0.25">
      <c r="H6598" t="s">
        <v>11080</v>
      </c>
    </row>
    <row r="6599" spans="8:8" x14ac:dyDescent="0.25">
      <c r="H6599" t="s">
        <v>30</v>
      </c>
    </row>
    <row r="6600" spans="8:8" x14ac:dyDescent="0.25">
      <c r="H6600" t="s">
        <v>137</v>
      </c>
    </row>
    <row r="6601" spans="8:8" x14ac:dyDescent="0.25">
      <c r="H6601" t="s">
        <v>11081</v>
      </c>
    </row>
    <row r="6602" spans="8:8" x14ac:dyDescent="0.25">
      <c r="H6602" t="s">
        <v>30</v>
      </c>
    </row>
    <row r="6603" spans="8:8" x14ac:dyDescent="0.25">
      <c r="H6603" t="s">
        <v>138</v>
      </c>
    </row>
    <row r="6604" spans="8:8" x14ac:dyDescent="0.25">
      <c r="H6604" t="s">
        <v>11082</v>
      </c>
    </row>
    <row r="6605" spans="8:8" x14ac:dyDescent="0.25">
      <c r="H6605" t="s">
        <v>30</v>
      </c>
    </row>
    <row r="6607" spans="8:8" x14ac:dyDescent="0.25">
      <c r="H6607" t="s">
        <v>11083</v>
      </c>
    </row>
    <row r="6608" spans="8:8" x14ac:dyDescent="0.25">
      <c r="H6608" t="s">
        <v>11084</v>
      </c>
    </row>
    <row r="6609" spans="8:8" x14ac:dyDescent="0.25">
      <c r="H6609" t="s">
        <v>135</v>
      </c>
    </row>
    <row r="6610" spans="8:8" x14ac:dyDescent="0.25">
      <c r="H6610" t="s">
        <v>11085</v>
      </c>
    </row>
    <row r="6611" spans="8:8" x14ac:dyDescent="0.25">
      <c r="H6611" t="s">
        <v>30</v>
      </c>
    </row>
    <row r="6612" spans="8:8" x14ac:dyDescent="0.25">
      <c r="H6612" t="s">
        <v>136</v>
      </c>
    </row>
    <row r="6613" spans="8:8" x14ac:dyDescent="0.25">
      <c r="H6613" t="s">
        <v>11086</v>
      </c>
    </row>
    <row r="6614" spans="8:8" x14ac:dyDescent="0.25">
      <c r="H6614" t="s">
        <v>30</v>
      </c>
    </row>
    <row r="6615" spans="8:8" x14ac:dyDescent="0.25">
      <c r="H6615" t="s">
        <v>137</v>
      </c>
    </row>
    <row r="6616" spans="8:8" x14ac:dyDescent="0.25">
      <c r="H6616" t="s">
        <v>11087</v>
      </c>
    </row>
    <row r="6617" spans="8:8" x14ac:dyDescent="0.25">
      <c r="H6617" t="s">
        <v>30</v>
      </c>
    </row>
    <row r="6618" spans="8:8" x14ac:dyDescent="0.25">
      <c r="H6618" t="s">
        <v>138</v>
      </c>
    </row>
    <row r="6619" spans="8:8" x14ac:dyDescent="0.25">
      <c r="H6619" t="s">
        <v>11088</v>
      </c>
    </row>
    <row r="6620" spans="8:8" x14ac:dyDescent="0.25">
      <c r="H6620" t="s">
        <v>30</v>
      </c>
    </row>
    <row r="6622" spans="8:8" x14ac:dyDescent="0.25">
      <c r="H6622" t="s">
        <v>11089</v>
      </c>
    </row>
    <row r="6623" spans="8:8" x14ac:dyDescent="0.25">
      <c r="H6623" t="s">
        <v>11090</v>
      </c>
    </row>
    <row r="6624" spans="8:8" x14ac:dyDescent="0.25">
      <c r="H6624" t="s">
        <v>135</v>
      </c>
    </row>
    <row r="6625" spans="8:8" x14ac:dyDescent="0.25">
      <c r="H6625" t="s">
        <v>11091</v>
      </c>
    </row>
    <row r="6626" spans="8:8" x14ac:dyDescent="0.25">
      <c r="H6626" t="s">
        <v>30</v>
      </c>
    </row>
    <row r="6627" spans="8:8" x14ac:dyDescent="0.25">
      <c r="H6627" t="s">
        <v>136</v>
      </c>
    </row>
    <row r="6628" spans="8:8" x14ac:dyDescent="0.25">
      <c r="H6628" t="s">
        <v>11092</v>
      </c>
    </row>
    <row r="6629" spans="8:8" x14ac:dyDescent="0.25">
      <c r="H6629" t="s">
        <v>30</v>
      </c>
    </row>
    <row r="6630" spans="8:8" x14ac:dyDescent="0.25">
      <c r="H6630" t="s">
        <v>137</v>
      </c>
    </row>
    <row r="6631" spans="8:8" x14ac:dyDescent="0.25">
      <c r="H6631" t="s">
        <v>11093</v>
      </c>
    </row>
    <row r="6632" spans="8:8" x14ac:dyDescent="0.25">
      <c r="H6632" t="s">
        <v>30</v>
      </c>
    </row>
    <row r="6633" spans="8:8" x14ac:dyDescent="0.25">
      <c r="H6633" t="s">
        <v>138</v>
      </c>
    </row>
    <row r="6634" spans="8:8" x14ac:dyDescent="0.25">
      <c r="H6634" t="s">
        <v>11094</v>
      </c>
    </row>
    <row r="6635" spans="8:8" x14ac:dyDescent="0.25">
      <c r="H6635" t="s">
        <v>30</v>
      </c>
    </row>
    <row r="6637" spans="8:8" x14ac:dyDescent="0.25">
      <c r="H6637" t="s">
        <v>11095</v>
      </c>
    </row>
    <row r="6638" spans="8:8" x14ac:dyDescent="0.25">
      <c r="H6638" t="s">
        <v>11096</v>
      </c>
    </row>
    <row r="6639" spans="8:8" x14ac:dyDescent="0.25">
      <c r="H6639" t="s">
        <v>135</v>
      </c>
    </row>
    <row r="6640" spans="8:8" x14ac:dyDescent="0.25">
      <c r="H6640" t="s">
        <v>11097</v>
      </c>
    </row>
    <row r="6641" spans="8:8" x14ac:dyDescent="0.25">
      <c r="H6641" t="s">
        <v>30</v>
      </c>
    </row>
    <row r="6642" spans="8:8" x14ac:dyDescent="0.25">
      <c r="H6642" t="s">
        <v>136</v>
      </c>
    </row>
    <row r="6643" spans="8:8" x14ac:dyDescent="0.25">
      <c r="H6643" t="s">
        <v>11098</v>
      </c>
    </row>
    <row r="6644" spans="8:8" x14ac:dyDescent="0.25">
      <c r="H6644" t="s">
        <v>30</v>
      </c>
    </row>
    <row r="6645" spans="8:8" x14ac:dyDescent="0.25">
      <c r="H6645" t="s">
        <v>137</v>
      </c>
    </row>
    <row r="6646" spans="8:8" x14ac:dyDescent="0.25">
      <c r="H6646" t="s">
        <v>11099</v>
      </c>
    </row>
    <row r="6647" spans="8:8" x14ac:dyDescent="0.25">
      <c r="H6647" t="s">
        <v>30</v>
      </c>
    </row>
    <row r="6648" spans="8:8" x14ac:dyDescent="0.25">
      <c r="H6648" t="s">
        <v>138</v>
      </c>
    </row>
    <row r="6649" spans="8:8" x14ac:dyDescent="0.25">
      <c r="H6649" t="s">
        <v>11100</v>
      </c>
    </row>
    <row r="6650" spans="8:8" x14ac:dyDescent="0.25">
      <c r="H6650" t="s">
        <v>30</v>
      </c>
    </row>
    <row r="6652" spans="8:8" x14ac:dyDescent="0.25">
      <c r="H6652" t="s">
        <v>11101</v>
      </c>
    </row>
    <row r="6653" spans="8:8" x14ac:dyDescent="0.25">
      <c r="H6653" t="s">
        <v>11102</v>
      </c>
    </row>
    <row r="6654" spans="8:8" x14ac:dyDescent="0.25">
      <c r="H6654" t="s">
        <v>135</v>
      </c>
    </row>
    <row r="6655" spans="8:8" x14ac:dyDescent="0.25">
      <c r="H6655" t="s">
        <v>11103</v>
      </c>
    </row>
    <row r="6656" spans="8:8" x14ac:dyDescent="0.25">
      <c r="H6656" t="s">
        <v>30</v>
      </c>
    </row>
    <row r="6657" spans="8:8" x14ac:dyDescent="0.25">
      <c r="H6657" t="s">
        <v>136</v>
      </c>
    </row>
    <row r="6658" spans="8:8" x14ac:dyDescent="0.25">
      <c r="H6658" t="s">
        <v>11104</v>
      </c>
    </row>
    <row r="6659" spans="8:8" x14ac:dyDescent="0.25">
      <c r="H6659" t="s">
        <v>30</v>
      </c>
    </row>
    <row r="6660" spans="8:8" x14ac:dyDescent="0.25">
      <c r="H6660" t="s">
        <v>137</v>
      </c>
    </row>
    <row r="6661" spans="8:8" x14ac:dyDescent="0.25">
      <c r="H6661" t="s">
        <v>11105</v>
      </c>
    </row>
    <row r="6662" spans="8:8" x14ac:dyDescent="0.25">
      <c r="H6662" t="s">
        <v>30</v>
      </c>
    </row>
    <row r="6663" spans="8:8" x14ac:dyDescent="0.25">
      <c r="H6663" t="s">
        <v>138</v>
      </c>
    </row>
    <row r="6664" spans="8:8" x14ac:dyDescent="0.25">
      <c r="H6664" t="s">
        <v>11106</v>
      </c>
    </row>
    <row r="6665" spans="8:8" x14ac:dyDescent="0.25">
      <c r="H6665" t="s">
        <v>30</v>
      </c>
    </row>
    <row r="6667" spans="8:8" x14ac:dyDescent="0.25">
      <c r="H6667" t="s">
        <v>11107</v>
      </c>
    </row>
    <row r="6668" spans="8:8" x14ac:dyDescent="0.25">
      <c r="H6668" t="s">
        <v>11108</v>
      </c>
    </row>
    <row r="6669" spans="8:8" x14ac:dyDescent="0.25">
      <c r="H6669" t="s">
        <v>135</v>
      </c>
    </row>
    <row r="6670" spans="8:8" x14ac:dyDescent="0.25">
      <c r="H6670" t="s">
        <v>11109</v>
      </c>
    </row>
    <row r="6671" spans="8:8" x14ac:dyDescent="0.25">
      <c r="H6671" t="s">
        <v>30</v>
      </c>
    </row>
    <row r="6672" spans="8:8" x14ac:dyDescent="0.25">
      <c r="H6672" t="s">
        <v>136</v>
      </c>
    </row>
    <row r="6673" spans="8:8" x14ac:dyDescent="0.25">
      <c r="H6673" t="s">
        <v>11110</v>
      </c>
    </row>
    <row r="6674" spans="8:8" x14ac:dyDescent="0.25">
      <c r="H6674" t="s">
        <v>30</v>
      </c>
    </row>
    <row r="6675" spans="8:8" x14ac:dyDescent="0.25">
      <c r="H6675" t="s">
        <v>137</v>
      </c>
    </row>
    <row r="6676" spans="8:8" x14ac:dyDescent="0.25">
      <c r="H6676" t="s">
        <v>11111</v>
      </c>
    </row>
    <row r="6677" spans="8:8" x14ac:dyDescent="0.25">
      <c r="H6677" t="s">
        <v>30</v>
      </c>
    </row>
    <row r="6678" spans="8:8" x14ac:dyDescent="0.25">
      <c r="H6678" t="s">
        <v>138</v>
      </c>
    </row>
    <row r="6679" spans="8:8" x14ac:dyDescent="0.25">
      <c r="H6679" t="s">
        <v>11112</v>
      </c>
    </row>
    <row r="6680" spans="8:8" x14ac:dyDescent="0.25">
      <c r="H6680" t="s">
        <v>30</v>
      </c>
    </row>
    <row r="6682" spans="8:8" x14ac:dyDescent="0.25">
      <c r="H6682" t="s">
        <v>11113</v>
      </c>
    </row>
    <row r="6683" spans="8:8" x14ac:dyDescent="0.25">
      <c r="H6683" t="s">
        <v>11114</v>
      </c>
    </row>
    <row r="6684" spans="8:8" x14ac:dyDescent="0.25">
      <c r="H6684" t="s">
        <v>135</v>
      </c>
    </row>
    <row r="6685" spans="8:8" x14ac:dyDescent="0.25">
      <c r="H6685" t="s">
        <v>11115</v>
      </c>
    </row>
    <row r="6686" spans="8:8" x14ac:dyDescent="0.25">
      <c r="H6686" t="s">
        <v>30</v>
      </c>
    </row>
    <row r="6687" spans="8:8" x14ac:dyDescent="0.25">
      <c r="H6687" t="s">
        <v>136</v>
      </c>
    </row>
    <row r="6688" spans="8:8" x14ac:dyDescent="0.25">
      <c r="H6688" t="s">
        <v>11116</v>
      </c>
    </row>
    <row r="6689" spans="8:8" x14ac:dyDescent="0.25">
      <c r="H6689" t="s">
        <v>30</v>
      </c>
    </row>
    <row r="6690" spans="8:8" x14ac:dyDescent="0.25">
      <c r="H6690" t="s">
        <v>137</v>
      </c>
    </row>
    <row r="6691" spans="8:8" x14ac:dyDescent="0.25">
      <c r="H6691" t="s">
        <v>11117</v>
      </c>
    </row>
    <row r="6692" spans="8:8" x14ac:dyDescent="0.25">
      <c r="H6692" t="s">
        <v>30</v>
      </c>
    </row>
    <row r="6693" spans="8:8" x14ac:dyDescent="0.25">
      <c r="H6693" t="s">
        <v>138</v>
      </c>
    </row>
    <row r="6694" spans="8:8" x14ac:dyDescent="0.25">
      <c r="H6694" t="s">
        <v>11118</v>
      </c>
    </row>
    <row r="6695" spans="8:8" x14ac:dyDescent="0.25">
      <c r="H6695" t="s">
        <v>30</v>
      </c>
    </row>
    <row r="6697" spans="8:8" x14ac:dyDescent="0.25">
      <c r="H6697" t="s">
        <v>11119</v>
      </c>
    </row>
    <row r="6698" spans="8:8" x14ac:dyDescent="0.25">
      <c r="H6698" t="s">
        <v>11120</v>
      </c>
    </row>
    <row r="6699" spans="8:8" x14ac:dyDescent="0.25">
      <c r="H6699" t="s">
        <v>135</v>
      </c>
    </row>
    <row r="6700" spans="8:8" x14ac:dyDescent="0.25">
      <c r="H6700" t="s">
        <v>11121</v>
      </c>
    </row>
    <row r="6701" spans="8:8" x14ac:dyDescent="0.25">
      <c r="H6701" t="s">
        <v>30</v>
      </c>
    </row>
    <row r="6702" spans="8:8" x14ac:dyDescent="0.25">
      <c r="H6702" t="s">
        <v>136</v>
      </c>
    </row>
    <row r="6703" spans="8:8" x14ac:dyDescent="0.25">
      <c r="H6703" t="s">
        <v>11122</v>
      </c>
    </row>
    <row r="6704" spans="8:8" x14ac:dyDescent="0.25">
      <c r="H6704" t="s">
        <v>30</v>
      </c>
    </row>
    <row r="6705" spans="8:8" x14ac:dyDescent="0.25">
      <c r="H6705" t="s">
        <v>137</v>
      </c>
    </row>
    <row r="6706" spans="8:8" x14ac:dyDescent="0.25">
      <c r="H6706" t="s">
        <v>11123</v>
      </c>
    </row>
    <row r="6707" spans="8:8" x14ac:dyDescent="0.25">
      <c r="H6707" t="s">
        <v>30</v>
      </c>
    </row>
    <row r="6708" spans="8:8" x14ac:dyDescent="0.25">
      <c r="H6708" t="s">
        <v>138</v>
      </c>
    </row>
    <row r="6709" spans="8:8" x14ac:dyDescent="0.25">
      <c r="H6709" t="s">
        <v>11124</v>
      </c>
    </row>
    <row r="6710" spans="8:8" x14ac:dyDescent="0.25">
      <c r="H6710" t="s">
        <v>30</v>
      </c>
    </row>
    <row r="6712" spans="8:8" x14ac:dyDescent="0.25">
      <c r="H6712" t="s">
        <v>11125</v>
      </c>
    </row>
    <row r="6713" spans="8:8" x14ac:dyDescent="0.25">
      <c r="H6713" t="s">
        <v>11126</v>
      </c>
    </row>
    <row r="6714" spans="8:8" x14ac:dyDescent="0.25">
      <c r="H6714" t="s">
        <v>135</v>
      </c>
    </row>
    <row r="6715" spans="8:8" x14ac:dyDescent="0.25">
      <c r="H6715" t="s">
        <v>11127</v>
      </c>
    </row>
    <row r="6716" spans="8:8" x14ac:dyDescent="0.25">
      <c r="H6716" t="s">
        <v>30</v>
      </c>
    </row>
    <row r="6717" spans="8:8" x14ac:dyDescent="0.25">
      <c r="H6717" t="s">
        <v>136</v>
      </c>
    </row>
    <row r="6718" spans="8:8" x14ac:dyDescent="0.25">
      <c r="H6718" t="s">
        <v>11128</v>
      </c>
    </row>
    <row r="6719" spans="8:8" x14ac:dyDescent="0.25">
      <c r="H6719" t="s">
        <v>30</v>
      </c>
    </row>
    <row r="6720" spans="8:8" x14ac:dyDescent="0.25">
      <c r="H6720" t="s">
        <v>137</v>
      </c>
    </row>
    <row r="6721" spans="8:8" x14ac:dyDescent="0.25">
      <c r="H6721" t="s">
        <v>11129</v>
      </c>
    </row>
    <row r="6722" spans="8:8" x14ac:dyDescent="0.25">
      <c r="H6722" t="s">
        <v>30</v>
      </c>
    </row>
    <row r="6723" spans="8:8" x14ac:dyDescent="0.25">
      <c r="H6723" t="s">
        <v>138</v>
      </c>
    </row>
    <row r="6724" spans="8:8" x14ac:dyDescent="0.25">
      <c r="H6724" t="s">
        <v>11130</v>
      </c>
    </row>
    <row r="6725" spans="8:8" x14ac:dyDescent="0.25">
      <c r="H6725" t="s">
        <v>30</v>
      </c>
    </row>
    <row r="6727" spans="8:8" x14ac:dyDescent="0.25">
      <c r="H6727" t="s">
        <v>11131</v>
      </c>
    </row>
    <row r="6728" spans="8:8" x14ac:dyDescent="0.25">
      <c r="H6728" t="s">
        <v>11132</v>
      </c>
    </row>
    <row r="6729" spans="8:8" x14ac:dyDescent="0.25">
      <c r="H6729" t="s">
        <v>135</v>
      </c>
    </row>
    <row r="6730" spans="8:8" x14ac:dyDescent="0.25">
      <c r="H6730" t="s">
        <v>11133</v>
      </c>
    </row>
    <row r="6731" spans="8:8" x14ac:dyDescent="0.25">
      <c r="H6731" t="s">
        <v>30</v>
      </c>
    </row>
    <row r="6732" spans="8:8" x14ac:dyDescent="0.25">
      <c r="H6732" t="s">
        <v>136</v>
      </c>
    </row>
    <row r="6733" spans="8:8" x14ac:dyDescent="0.25">
      <c r="H6733" t="s">
        <v>11134</v>
      </c>
    </row>
    <row r="6734" spans="8:8" x14ac:dyDescent="0.25">
      <c r="H6734" t="s">
        <v>30</v>
      </c>
    </row>
    <row r="6735" spans="8:8" x14ac:dyDescent="0.25">
      <c r="H6735" t="s">
        <v>137</v>
      </c>
    </row>
    <row r="6736" spans="8:8" x14ac:dyDescent="0.25">
      <c r="H6736" t="s">
        <v>11135</v>
      </c>
    </row>
    <row r="6737" spans="8:8" x14ac:dyDescent="0.25">
      <c r="H6737" t="s">
        <v>30</v>
      </c>
    </row>
    <row r="6738" spans="8:8" x14ac:dyDescent="0.25">
      <c r="H6738" t="s">
        <v>138</v>
      </c>
    </row>
    <row r="6739" spans="8:8" x14ac:dyDescent="0.25">
      <c r="H6739" t="s">
        <v>11136</v>
      </c>
    </row>
    <row r="6740" spans="8:8" x14ac:dyDescent="0.25">
      <c r="H6740" t="s">
        <v>30</v>
      </c>
    </row>
    <row r="6742" spans="8:8" x14ac:dyDescent="0.25">
      <c r="H6742" t="s">
        <v>11137</v>
      </c>
    </row>
    <row r="6743" spans="8:8" x14ac:dyDescent="0.25">
      <c r="H6743" t="s">
        <v>11138</v>
      </c>
    </row>
    <row r="6744" spans="8:8" x14ac:dyDescent="0.25">
      <c r="H6744" t="s">
        <v>135</v>
      </c>
    </row>
    <row r="6745" spans="8:8" x14ac:dyDescent="0.25">
      <c r="H6745" t="s">
        <v>11139</v>
      </c>
    </row>
    <row r="6746" spans="8:8" x14ac:dyDescent="0.25">
      <c r="H6746" t="s">
        <v>30</v>
      </c>
    </row>
    <row r="6747" spans="8:8" x14ac:dyDescent="0.25">
      <c r="H6747" t="s">
        <v>136</v>
      </c>
    </row>
    <row r="6748" spans="8:8" x14ac:dyDescent="0.25">
      <c r="H6748" t="s">
        <v>11140</v>
      </c>
    </row>
    <row r="6749" spans="8:8" x14ac:dyDescent="0.25">
      <c r="H6749" t="s">
        <v>30</v>
      </c>
    </row>
    <row r="6750" spans="8:8" x14ac:dyDescent="0.25">
      <c r="H6750" t="s">
        <v>137</v>
      </c>
    </row>
    <row r="6751" spans="8:8" x14ac:dyDescent="0.25">
      <c r="H6751" t="s">
        <v>11141</v>
      </c>
    </row>
    <row r="6752" spans="8:8" x14ac:dyDescent="0.25">
      <c r="H6752" t="s">
        <v>30</v>
      </c>
    </row>
    <row r="6753" spans="8:8" x14ac:dyDescent="0.25">
      <c r="H6753" t="s">
        <v>138</v>
      </c>
    </row>
    <row r="6754" spans="8:8" x14ac:dyDescent="0.25">
      <c r="H6754" t="s">
        <v>11142</v>
      </c>
    </row>
    <row r="6755" spans="8:8" x14ac:dyDescent="0.25">
      <c r="H6755" t="s">
        <v>30</v>
      </c>
    </row>
    <row r="6757" spans="8:8" x14ac:dyDescent="0.25">
      <c r="H6757" t="s">
        <v>11143</v>
      </c>
    </row>
    <row r="6758" spans="8:8" x14ac:dyDescent="0.25">
      <c r="H6758" t="s">
        <v>11144</v>
      </c>
    </row>
    <row r="6759" spans="8:8" x14ac:dyDescent="0.25">
      <c r="H6759" t="s">
        <v>135</v>
      </c>
    </row>
    <row r="6760" spans="8:8" x14ac:dyDescent="0.25">
      <c r="H6760" t="s">
        <v>11145</v>
      </c>
    </row>
    <row r="6761" spans="8:8" x14ac:dyDescent="0.25">
      <c r="H6761" t="s">
        <v>30</v>
      </c>
    </row>
    <row r="6762" spans="8:8" x14ac:dyDescent="0.25">
      <c r="H6762" t="s">
        <v>136</v>
      </c>
    </row>
    <row r="6763" spans="8:8" x14ac:dyDescent="0.25">
      <c r="H6763" t="s">
        <v>11146</v>
      </c>
    </row>
    <row r="6764" spans="8:8" x14ac:dyDescent="0.25">
      <c r="H6764" t="s">
        <v>30</v>
      </c>
    </row>
    <row r="6765" spans="8:8" x14ac:dyDescent="0.25">
      <c r="H6765" t="s">
        <v>137</v>
      </c>
    </row>
    <row r="6766" spans="8:8" x14ac:dyDescent="0.25">
      <c r="H6766" t="s">
        <v>11147</v>
      </c>
    </row>
    <row r="6767" spans="8:8" x14ac:dyDescent="0.25">
      <c r="H6767" t="s">
        <v>30</v>
      </c>
    </row>
    <row r="6768" spans="8:8" x14ac:dyDescent="0.25">
      <c r="H6768" t="s">
        <v>138</v>
      </c>
    </row>
    <row r="6769" spans="8:8" x14ac:dyDescent="0.25">
      <c r="H6769" t="s">
        <v>11148</v>
      </c>
    </row>
    <row r="6770" spans="8:8" x14ac:dyDescent="0.25">
      <c r="H6770" t="s">
        <v>30</v>
      </c>
    </row>
    <row r="6772" spans="8:8" x14ac:dyDescent="0.25">
      <c r="H6772" t="s">
        <v>11149</v>
      </c>
    </row>
    <row r="6773" spans="8:8" x14ac:dyDescent="0.25">
      <c r="H6773" t="s">
        <v>11150</v>
      </c>
    </row>
    <row r="6774" spans="8:8" x14ac:dyDescent="0.25">
      <c r="H6774" t="s">
        <v>135</v>
      </c>
    </row>
    <row r="6775" spans="8:8" x14ac:dyDescent="0.25">
      <c r="H6775" t="s">
        <v>11151</v>
      </c>
    </row>
    <row r="6776" spans="8:8" x14ac:dyDescent="0.25">
      <c r="H6776" t="s">
        <v>30</v>
      </c>
    </row>
    <row r="6777" spans="8:8" x14ac:dyDescent="0.25">
      <c r="H6777" t="s">
        <v>136</v>
      </c>
    </row>
    <row r="6778" spans="8:8" x14ac:dyDescent="0.25">
      <c r="H6778" t="s">
        <v>11152</v>
      </c>
    </row>
    <row r="6779" spans="8:8" x14ac:dyDescent="0.25">
      <c r="H6779" t="s">
        <v>30</v>
      </c>
    </row>
    <row r="6780" spans="8:8" x14ac:dyDescent="0.25">
      <c r="H6780" t="s">
        <v>137</v>
      </c>
    </row>
    <row r="6781" spans="8:8" x14ac:dyDescent="0.25">
      <c r="H6781" t="s">
        <v>11153</v>
      </c>
    </row>
    <row r="6782" spans="8:8" x14ac:dyDescent="0.25">
      <c r="H6782" t="s">
        <v>30</v>
      </c>
    </row>
    <row r="6783" spans="8:8" x14ac:dyDescent="0.25">
      <c r="H6783" t="s">
        <v>138</v>
      </c>
    </row>
    <row r="6784" spans="8:8" x14ac:dyDescent="0.25">
      <c r="H6784" t="s">
        <v>11154</v>
      </c>
    </row>
    <row r="6785" spans="8:8" x14ac:dyDescent="0.25">
      <c r="H6785" t="s">
        <v>30</v>
      </c>
    </row>
    <row r="6787" spans="8:8" x14ac:dyDescent="0.25">
      <c r="H6787" t="s">
        <v>11155</v>
      </c>
    </row>
    <row r="6788" spans="8:8" x14ac:dyDescent="0.25">
      <c r="H6788" t="s">
        <v>11156</v>
      </c>
    </row>
    <row r="6789" spans="8:8" x14ac:dyDescent="0.25">
      <c r="H6789" t="s">
        <v>135</v>
      </c>
    </row>
    <row r="6790" spans="8:8" x14ac:dyDescent="0.25">
      <c r="H6790" t="s">
        <v>11157</v>
      </c>
    </row>
    <row r="6791" spans="8:8" x14ac:dyDescent="0.25">
      <c r="H6791" t="s">
        <v>30</v>
      </c>
    </row>
    <row r="6792" spans="8:8" x14ac:dyDescent="0.25">
      <c r="H6792" t="s">
        <v>136</v>
      </c>
    </row>
    <row r="6793" spans="8:8" x14ac:dyDescent="0.25">
      <c r="H6793" t="s">
        <v>11158</v>
      </c>
    </row>
    <row r="6794" spans="8:8" x14ac:dyDescent="0.25">
      <c r="H6794" t="s">
        <v>30</v>
      </c>
    </row>
    <row r="6795" spans="8:8" x14ac:dyDescent="0.25">
      <c r="H6795" t="s">
        <v>137</v>
      </c>
    </row>
    <row r="6796" spans="8:8" x14ac:dyDescent="0.25">
      <c r="H6796" t="s">
        <v>11159</v>
      </c>
    </row>
    <row r="6797" spans="8:8" x14ac:dyDescent="0.25">
      <c r="H6797" t="s">
        <v>30</v>
      </c>
    </row>
    <row r="6798" spans="8:8" x14ac:dyDescent="0.25">
      <c r="H6798" t="s">
        <v>138</v>
      </c>
    </row>
    <row r="6799" spans="8:8" x14ac:dyDescent="0.25">
      <c r="H6799" t="s">
        <v>11160</v>
      </c>
    </row>
    <row r="6800" spans="8:8" x14ac:dyDescent="0.25">
      <c r="H6800" t="s">
        <v>30</v>
      </c>
    </row>
    <row r="6802" spans="8:8" x14ac:dyDescent="0.25">
      <c r="H6802" t="s">
        <v>11161</v>
      </c>
    </row>
    <row r="6803" spans="8:8" x14ac:dyDescent="0.25">
      <c r="H6803" t="s">
        <v>11162</v>
      </c>
    </row>
    <row r="6804" spans="8:8" x14ac:dyDescent="0.25">
      <c r="H6804" t="s">
        <v>135</v>
      </c>
    </row>
    <row r="6805" spans="8:8" x14ac:dyDescent="0.25">
      <c r="H6805" t="s">
        <v>11163</v>
      </c>
    </row>
    <row r="6806" spans="8:8" x14ac:dyDescent="0.25">
      <c r="H6806" t="s">
        <v>30</v>
      </c>
    </row>
    <row r="6807" spans="8:8" x14ac:dyDescent="0.25">
      <c r="H6807" t="s">
        <v>136</v>
      </c>
    </row>
    <row r="6808" spans="8:8" x14ac:dyDescent="0.25">
      <c r="H6808" t="s">
        <v>11164</v>
      </c>
    </row>
    <row r="6809" spans="8:8" x14ac:dyDescent="0.25">
      <c r="H6809" t="s">
        <v>30</v>
      </c>
    </row>
    <row r="6810" spans="8:8" x14ac:dyDescent="0.25">
      <c r="H6810" t="s">
        <v>137</v>
      </c>
    </row>
    <row r="6811" spans="8:8" x14ac:dyDescent="0.25">
      <c r="H6811" t="s">
        <v>11165</v>
      </c>
    </row>
    <row r="6812" spans="8:8" x14ac:dyDescent="0.25">
      <c r="H6812" t="s">
        <v>30</v>
      </c>
    </row>
    <row r="6813" spans="8:8" x14ac:dyDescent="0.25">
      <c r="H6813" t="s">
        <v>138</v>
      </c>
    </row>
    <row r="6814" spans="8:8" x14ac:dyDescent="0.25">
      <c r="H6814" t="s">
        <v>11166</v>
      </c>
    </row>
    <row r="6815" spans="8:8" x14ac:dyDescent="0.25">
      <c r="H6815" t="s">
        <v>30</v>
      </c>
    </row>
    <row r="6817" spans="8:8" x14ac:dyDescent="0.25">
      <c r="H6817" t="s">
        <v>11167</v>
      </c>
    </row>
    <row r="6818" spans="8:8" x14ac:dyDescent="0.25">
      <c r="H6818" t="s">
        <v>11168</v>
      </c>
    </row>
    <row r="6819" spans="8:8" x14ac:dyDescent="0.25">
      <c r="H6819" t="s">
        <v>135</v>
      </c>
    </row>
    <row r="6820" spans="8:8" x14ac:dyDescent="0.25">
      <c r="H6820" t="s">
        <v>11169</v>
      </c>
    </row>
    <row r="6821" spans="8:8" x14ac:dyDescent="0.25">
      <c r="H6821" t="s">
        <v>30</v>
      </c>
    </row>
    <row r="6822" spans="8:8" x14ac:dyDescent="0.25">
      <c r="H6822" t="s">
        <v>136</v>
      </c>
    </row>
    <row r="6823" spans="8:8" x14ac:dyDescent="0.25">
      <c r="H6823" t="s">
        <v>11170</v>
      </c>
    </row>
    <row r="6824" spans="8:8" x14ac:dyDescent="0.25">
      <c r="H6824" t="s">
        <v>30</v>
      </c>
    </row>
    <row r="6825" spans="8:8" x14ac:dyDescent="0.25">
      <c r="H6825" t="s">
        <v>137</v>
      </c>
    </row>
    <row r="6826" spans="8:8" x14ac:dyDescent="0.25">
      <c r="H6826" t="s">
        <v>11171</v>
      </c>
    </row>
    <row r="6827" spans="8:8" x14ac:dyDescent="0.25">
      <c r="H6827" t="s">
        <v>30</v>
      </c>
    </row>
    <row r="6828" spans="8:8" x14ac:dyDescent="0.25">
      <c r="H6828" t="s">
        <v>138</v>
      </c>
    </row>
    <row r="6829" spans="8:8" x14ac:dyDescent="0.25">
      <c r="H6829" t="s">
        <v>11172</v>
      </c>
    </row>
    <row r="6830" spans="8:8" x14ac:dyDescent="0.25">
      <c r="H6830" t="s">
        <v>30</v>
      </c>
    </row>
    <row r="6832" spans="8:8" x14ac:dyDescent="0.25">
      <c r="H6832" t="s">
        <v>11173</v>
      </c>
    </row>
    <row r="6833" spans="8:8" x14ac:dyDescent="0.25">
      <c r="H6833" t="s">
        <v>11174</v>
      </c>
    </row>
    <row r="6834" spans="8:8" x14ac:dyDescent="0.25">
      <c r="H6834" t="s">
        <v>135</v>
      </c>
    </row>
    <row r="6835" spans="8:8" x14ac:dyDescent="0.25">
      <c r="H6835" t="s">
        <v>11175</v>
      </c>
    </row>
    <row r="6836" spans="8:8" x14ac:dyDescent="0.25">
      <c r="H6836" t="s">
        <v>30</v>
      </c>
    </row>
    <row r="6837" spans="8:8" x14ac:dyDescent="0.25">
      <c r="H6837" t="s">
        <v>136</v>
      </c>
    </row>
    <row r="6838" spans="8:8" x14ac:dyDescent="0.25">
      <c r="H6838" t="s">
        <v>11176</v>
      </c>
    </row>
    <row r="6839" spans="8:8" x14ac:dyDescent="0.25">
      <c r="H6839" t="s">
        <v>30</v>
      </c>
    </row>
    <row r="6840" spans="8:8" x14ac:dyDescent="0.25">
      <c r="H6840" t="s">
        <v>137</v>
      </c>
    </row>
    <row r="6841" spans="8:8" x14ac:dyDescent="0.25">
      <c r="H6841" t="s">
        <v>11177</v>
      </c>
    </row>
    <row r="6842" spans="8:8" x14ac:dyDescent="0.25">
      <c r="H6842" t="s">
        <v>30</v>
      </c>
    </row>
    <row r="6843" spans="8:8" x14ac:dyDescent="0.25">
      <c r="H6843" t="s">
        <v>138</v>
      </c>
    </row>
    <row r="6844" spans="8:8" x14ac:dyDescent="0.25">
      <c r="H6844" t="s">
        <v>11178</v>
      </c>
    </row>
    <row r="6845" spans="8:8" x14ac:dyDescent="0.25">
      <c r="H6845" t="s">
        <v>30</v>
      </c>
    </row>
    <row r="6847" spans="8:8" x14ac:dyDescent="0.25">
      <c r="H6847" t="s">
        <v>11179</v>
      </c>
    </row>
    <row r="6848" spans="8:8" x14ac:dyDescent="0.25">
      <c r="H6848" t="s">
        <v>11180</v>
      </c>
    </row>
    <row r="6849" spans="8:8" x14ac:dyDescent="0.25">
      <c r="H6849" t="s">
        <v>135</v>
      </c>
    </row>
    <row r="6850" spans="8:8" x14ac:dyDescent="0.25">
      <c r="H6850" t="s">
        <v>11181</v>
      </c>
    </row>
    <row r="6851" spans="8:8" x14ac:dyDescent="0.25">
      <c r="H6851" t="s">
        <v>30</v>
      </c>
    </row>
    <row r="6852" spans="8:8" x14ac:dyDescent="0.25">
      <c r="H6852" t="s">
        <v>136</v>
      </c>
    </row>
    <row r="6853" spans="8:8" x14ac:dyDescent="0.25">
      <c r="H6853" t="s">
        <v>11182</v>
      </c>
    </row>
    <row r="6854" spans="8:8" x14ac:dyDescent="0.25">
      <c r="H6854" t="s">
        <v>30</v>
      </c>
    </row>
    <row r="6855" spans="8:8" x14ac:dyDescent="0.25">
      <c r="H6855" t="s">
        <v>137</v>
      </c>
    </row>
    <row r="6856" spans="8:8" x14ac:dyDescent="0.25">
      <c r="H6856" t="s">
        <v>11183</v>
      </c>
    </row>
    <row r="6857" spans="8:8" x14ac:dyDescent="0.25">
      <c r="H6857" t="s">
        <v>30</v>
      </c>
    </row>
    <row r="6858" spans="8:8" x14ac:dyDescent="0.25">
      <c r="H6858" t="s">
        <v>138</v>
      </c>
    </row>
    <row r="6859" spans="8:8" x14ac:dyDescent="0.25">
      <c r="H6859" t="s">
        <v>11184</v>
      </c>
    </row>
    <row r="6860" spans="8:8" x14ac:dyDescent="0.25">
      <c r="H6860" t="s">
        <v>30</v>
      </c>
    </row>
    <row r="6862" spans="8:8" x14ac:dyDescent="0.25">
      <c r="H6862" t="s">
        <v>11185</v>
      </c>
    </row>
    <row r="6863" spans="8:8" x14ac:dyDescent="0.25">
      <c r="H6863" t="s">
        <v>11186</v>
      </c>
    </row>
    <row r="6864" spans="8:8" x14ac:dyDescent="0.25">
      <c r="H6864" t="s">
        <v>135</v>
      </c>
    </row>
    <row r="6865" spans="8:8" x14ac:dyDescent="0.25">
      <c r="H6865" t="s">
        <v>11187</v>
      </c>
    </row>
    <row r="6866" spans="8:8" x14ac:dyDescent="0.25">
      <c r="H6866" t="s">
        <v>30</v>
      </c>
    </row>
    <row r="6867" spans="8:8" x14ac:dyDescent="0.25">
      <c r="H6867" t="s">
        <v>136</v>
      </c>
    </row>
    <row r="6868" spans="8:8" x14ac:dyDescent="0.25">
      <c r="H6868" t="s">
        <v>11188</v>
      </c>
    </row>
    <row r="6869" spans="8:8" x14ac:dyDescent="0.25">
      <c r="H6869" t="s">
        <v>30</v>
      </c>
    </row>
    <row r="6870" spans="8:8" x14ac:dyDescent="0.25">
      <c r="H6870" t="s">
        <v>137</v>
      </c>
    </row>
    <row r="6871" spans="8:8" x14ac:dyDescent="0.25">
      <c r="H6871" t="s">
        <v>11189</v>
      </c>
    </row>
    <row r="6872" spans="8:8" x14ac:dyDescent="0.25">
      <c r="H6872" t="s">
        <v>30</v>
      </c>
    </row>
    <row r="6873" spans="8:8" x14ac:dyDescent="0.25">
      <c r="H6873" t="s">
        <v>138</v>
      </c>
    </row>
    <row r="6874" spans="8:8" x14ac:dyDescent="0.25">
      <c r="H6874" t="s">
        <v>11190</v>
      </c>
    </row>
    <row r="6875" spans="8:8" x14ac:dyDescent="0.25">
      <c r="H6875" t="s">
        <v>30</v>
      </c>
    </row>
    <row r="6877" spans="8:8" x14ac:dyDescent="0.25">
      <c r="H6877" t="s">
        <v>11191</v>
      </c>
    </row>
    <row r="6878" spans="8:8" x14ac:dyDescent="0.25">
      <c r="H6878" t="s">
        <v>11192</v>
      </c>
    </row>
    <row r="6879" spans="8:8" x14ac:dyDescent="0.25">
      <c r="H6879" t="s">
        <v>135</v>
      </c>
    </row>
    <row r="6880" spans="8:8" x14ac:dyDescent="0.25">
      <c r="H6880" t="s">
        <v>11193</v>
      </c>
    </row>
    <row r="6881" spans="8:8" x14ac:dyDescent="0.25">
      <c r="H6881" t="s">
        <v>30</v>
      </c>
    </row>
    <row r="6882" spans="8:8" x14ac:dyDescent="0.25">
      <c r="H6882" t="s">
        <v>136</v>
      </c>
    </row>
    <row r="6883" spans="8:8" x14ac:dyDescent="0.25">
      <c r="H6883" t="s">
        <v>11194</v>
      </c>
    </row>
    <row r="6884" spans="8:8" x14ac:dyDescent="0.25">
      <c r="H6884" t="s">
        <v>30</v>
      </c>
    </row>
    <row r="6885" spans="8:8" x14ac:dyDescent="0.25">
      <c r="H6885" t="s">
        <v>137</v>
      </c>
    </row>
    <row r="6886" spans="8:8" x14ac:dyDescent="0.25">
      <c r="H6886" t="s">
        <v>11195</v>
      </c>
    </row>
    <row r="6887" spans="8:8" x14ac:dyDescent="0.25">
      <c r="H6887" t="s">
        <v>30</v>
      </c>
    </row>
    <row r="6888" spans="8:8" x14ac:dyDescent="0.25">
      <c r="H6888" t="s">
        <v>138</v>
      </c>
    </row>
    <row r="6889" spans="8:8" x14ac:dyDescent="0.25">
      <c r="H6889" t="s">
        <v>11196</v>
      </c>
    </row>
    <row r="6890" spans="8:8" x14ac:dyDescent="0.25">
      <c r="H6890" t="s">
        <v>30</v>
      </c>
    </row>
    <row r="6892" spans="8:8" x14ac:dyDescent="0.25">
      <c r="H6892" t="s">
        <v>11197</v>
      </c>
    </row>
    <row r="6893" spans="8:8" x14ac:dyDescent="0.25">
      <c r="H6893" t="s">
        <v>11198</v>
      </c>
    </row>
    <row r="6894" spans="8:8" x14ac:dyDescent="0.25">
      <c r="H6894" t="s">
        <v>135</v>
      </c>
    </row>
    <row r="6895" spans="8:8" x14ac:dyDescent="0.25">
      <c r="H6895" t="s">
        <v>11199</v>
      </c>
    </row>
    <row r="6896" spans="8:8" x14ac:dyDescent="0.25">
      <c r="H6896" t="s">
        <v>30</v>
      </c>
    </row>
    <row r="6897" spans="8:8" x14ac:dyDescent="0.25">
      <c r="H6897" t="s">
        <v>136</v>
      </c>
    </row>
    <row r="6898" spans="8:8" x14ac:dyDescent="0.25">
      <c r="H6898" t="s">
        <v>11200</v>
      </c>
    </row>
    <row r="6899" spans="8:8" x14ac:dyDescent="0.25">
      <c r="H6899" t="s">
        <v>30</v>
      </c>
    </row>
    <row r="6900" spans="8:8" x14ac:dyDescent="0.25">
      <c r="H6900" t="s">
        <v>137</v>
      </c>
    </row>
    <row r="6901" spans="8:8" x14ac:dyDescent="0.25">
      <c r="H6901" t="s">
        <v>11201</v>
      </c>
    </row>
    <row r="6902" spans="8:8" x14ac:dyDescent="0.25">
      <c r="H6902" t="s">
        <v>30</v>
      </c>
    </row>
    <row r="6903" spans="8:8" x14ac:dyDescent="0.25">
      <c r="H6903" t="s">
        <v>138</v>
      </c>
    </row>
    <row r="6904" spans="8:8" x14ac:dyDescent="0.25">
      <c r="H6904" t="s">
        <v>11202</v>
      </c>
    </row>
    <row r="6905" spans="8:8" x14ac:dyDescent="0.25">
      <c r="H6905" t="s">
        <v>30</v>
      </c>
    </row>
    <row r="6907" spans="8:8" x14ac:dyDescent="0.25">
      <c r="H6907" t="s">
        <v>11203</v>
      </c>
    </row>
    <row r="6908" spans="8:8" x14ac:dyDescent="0.25">
      <c r="H6908" t="s">
        <v>11204</v>
      </c>
    </row>
    <row r="6909" spans="8:8" x14ac:dyDescent="0.25">
      <c r="H6909" t="s">
        <v>135</v>
      </c>
    </row>
    <row r="6910" spans="8:8" x14ac:dyDescent="0.25">
      <c r="H6910" t="s">
        <v>11205</v>
      </c>
    </row>
    <row r="6911" spans="8:8" x14ac:dyDescent="0.25">
      <c r="H6911" t="s">
        <v>30</v>
      </c>
    </row>
    <row r="6912" spans="8:8" x14ac:dyDescent="0.25">
      <c r="H6912" t="s">
        <v>136</v>
      </c>
    </row>
    <row r="6913" spans="8:8" x14ac:dyDescent="0.25">
      <c r="H6913" t="s">
        <v>11206</v>
      </c>
    </row>
    <row r="6914" spans="8:8" x14ac:dyDescent="0.25">
      <c r="H6914" t="s">
        <v>30</v>
      </c>
    </row>
    <row r="6915" spans="8:8" x14ac:dyDescent="0.25">
      <c r="H6915" t="s">
        <v>137</v>
      </c>
    </row>
    <row r="6916" spans="8:8" x14ac:dyDescent="0.25">
      <c r="H6916" t="s">
        <v>11207</v>
      </c>
    </row>
    <row r="6917" spans="8:8" x14ac:dyDescent="0.25">
      <c r="H6917" t="s">
        <v>30</v>
      </c>
    </row>
    <row r="6918" spans="8:8" x14ac:dyDescent="0.25">
      <c r="H6918" t="s">
        <v>138</v>
      </c>
    </row>
    <row r="6919" spans="8:8" x14ac:dyDescent="0.25">
      <c r="H6919" t="s">
        <v>11208</v>
      </c>
    </row>
    <row r="6920" spans="8:8" x14ac:dyDescent="0.25">
      <c r="H6920" t="s">
        <v>30</v>
      </c>
    </row>
    <row r="6922" spans="8:8" x14ac:dyDescent="0.25">
      <c r="H6922" t="s">
        <v>11209</v>
      </c>
    </row>
    <row r="6923" spans="8:8" x14ac:dyDescent="0.25">
      <c r="H6923" t="s">
        <v>11210</v>
      </c>
    </row>
    <row r="6924" spans="8:8" x14ac:dyDescent="0.25">
      <c r="H6924" t="s">
        <v>135</v>
      </c>
    </row>
    <row r="6925" spans="8:8" x14ac:dyDescent="0.25">
      <c r="H6925" t="s">
        <v>11211</v>
      </c>
    </row>
    <row r="6926" spans="8:8" x14ac:dyDescent="0.25">
      <c r="H6926" t="s">
        <v>30</v>
      </c>
    </row>
    <row r="6927" spans="8:8" x14ac:dyDescent="0.25">
      <c r="H6927" t="s">
        <v>136</v>
      </c>
    </row>
    <row r="6928" spans="8:8" x14ac:dyDescent="0.25">
      <c r="H6928" t="s">
        <v>11212</v>
      </c>
    </row>
    <row r="6929" spans="8:8" x14ac:dyDescent="0.25">
      <c r="H6929" t="s">
        <v>30</v>
      </c>
    </row>
    <row r="6930" spans="8:8" x14ac:dyDescent="0.25">
      <c r="H6930" t="s">
        <v>137</v>
      </c>
    </row>
    <row r="6931" spans="8:8" x14ac:dyDescent="0.25">
      <c r="H6931" t="s">
        <v>11213</v>
      </c>
    </row>
    <row r="6932" spans="8:8" x14ac:dyDescent="0.25">
      <c r="H6932" t="s">
        <v>30</v>
      </c>
    </row>
    <row r="6933" spans="8:8" x14ac:dyDescent="0.25">
      <c r="H6933" t="s">
        <v>138</v>
      </c>
    </row>
    <row r="6934" spans="8:8" x14ac:dyDescent="0.25">
      <c r="H6934" t="s">
        <v>11214</v>
      </c>
    </row>
    <row r="6935" spans="8:8" x14ac:dyDescent="0.25">
      <c r="H6935" t="s">
        <v>30</v>
      </c>
    </row>
    <row r="6937" spans="8:8" x14ac:dyDescent="0.25">
      <c r="H6937" t="s">
        <v>11215</v>
      </c>
    </row>
    <row r="6938" spans="8:8" x14ac:dyDescent="0.25">
      <c r="H6938" t="s">
        <v>11216</v>
      </c>
    </row>
    <row r="6939" spans="8:8" x14ac:dyDescent="0.25">
      <c r="H6939" t="s">
        <v>135</v>
      </c>
    </row>
    <row r="6940" spans="8:8" x14ac:dyDescent="0.25">
      <c r="H6940" t="s">
        <v>11217</v>
      </c>
    </row>
    <row r="6941" spans="8:8" x14ac:dyDescent="0.25">
      <c r="H6941" t="s">
        <v>30</v>
      </c>
    </row>
    <row r="6942" spans="8:8" x14ac:dyDescent="0.25">
      <c r="H6942" t="s">
        <v>136</v>
      </c>
    </row>
    <row r="6943" spans="8:8" x14ac:dyDescent="0.25">
      <c r="H6943" t="s">
        <v>11218</v>
      </c>
    </row>
    <row r="6944" spans="8:8" x14ac:dyDescent="0.25">
      <c r="H6944" t="s">
        <v>30</v>
      </c>
    </row>
    <row r="6945" spans="8:8" x14ac:dyDescent="0.25">
      <c r="H6945" t="s">
        <v>137</v>
      </c>
    </row>
    <row r="6946" spans="8:8" x14ac:dyDescent="0.25">
      <c r="H6946" t="s">
        <v>11219</v>
      </c>
    </row>
    <row r="6947" spans="8:8" x14ac:dyDescent="0.25">
      <c r="H6947" t="s">
        <v>30</v>
      </c>
    </row>
    <row r="6948" spans="8:8" x14ac:dyDescent="0.25">
      <c r="H6948" t="s">
        <v>138</v>
      </c>
    </row>
    <row r="6949" spans="8:8" x14ac:dyDescent="0.25">
      <c r="H6949" t="s">
        <v>11220</v>
      </c>
    </row>
    <row r="6950" spans="8:8" x14ac:dyDescent="0.25">
      <c r="H6950" t="s">
        <v>30</v>
      </c>
    </row>
    <row r="6952" spans="8:8" x14ac:dyDescent="0.25">
      <c r="H6952" t="s">
        <v>11221</v>
      </c>
    </row>
    <row r="6953" spans="8:8" x14ac:dyDescent="0.25">
      <c r="H6953" t="s">
        <v>11222</v>
      </c>
    </row>
    <row r="6954" spans="8:8" x14ac:dyDescent="0.25">
      <c r="H6954" t="s">
        <v>135</v>
      </c>
    </row>
    <row r="6955" spans="8:8" x14ac:dyDescent="0.25">
      <c r="H6955" t="s">
        <v>11223</v>
      </c>
    </row>
    <row r="6956" spans="8:8" x14ac:dyDescent="0.25">
      <c r="H6956" t="s">
        <v>30</v>
      </c>
    </row>
    <row r="6957" spans="8:8" x14ac:dyDescent="0.25">
      <c r="H6957" t="s">
        <v>136</v>
      </c>
    </row>
    <row r="6958" spans="8:8" x14ac:dyDescent="0.25">
      <c r="H6958" t="s">
        <v>11224</v>
      </c>
    </row>
    <row r="6959" spans="8:8" x14ac:dyDescent="0.25">
      <c r="H6959" t="s">
        <v>30</v>
      </c>
    </row>
    <row r="6960" spans="8:8" x14ac:dyDescent="0.25">
      <c r="H6960" t="s">
        <v>137</v>
      </c>
    </row>
    <row r="6961" spans="8:8" x14ac:dyDescent="0.25">
      <c r="H6961" t="s">
        <v>11225</v>
      </c>
    </row>
    <row r="6962" spans="8:8" x14ac:dyDescent="0.25">
      <c r="H6962" t="s">
        <v>30</v>
      </c>
    </row>
    <row r="6963" spans="8:8" x14ac:dyDescent="0.25">
      <c r="H6963" t="s">
        <v>138</v>
      </c>
    </row>
    <row r="6964" spans="8:8" x14ac:dyDescent="0.25">
      <c r="H6964" t="s">
        <v>11226</v>
      </c>
    </row>
    <row r="6965" spans="8:8" x14ac:dyDescent="0.25">
      <c r="H6965" t="s">
        <v>30</v>
      </c>
    </row>
    <row r="6967" spans="8:8" x14ac:dyDescent="0.25">
      <c r="H6967" t="s">
        <v>11227</v>
      </c>
    </row>
    <row r="6968" spans="8:8" x14ac:dyDescent="0.25">
      <c r="H6968" t="s">
        <v>11228</v>
      </c>
    </row>
    <row r="6969" spans="8:8" x14ac:dyDescent="0.25">
      <c r="H6969" t="s">
        <v>135</v>
      </c>
    </row>
    <row r="6970" spans="8:8" x14ac:dyDescent="0.25">
      <c r="H6970" t="s">
        <v>11229</v>
      </c>
    </row>
    <row r="6971" spans="8:8" x14ac:dyDescent="0.25">
      <c r="H6971" t="s">
        <v>30</v>
      </c>
    </row>
    <row r="6972" spans="8:8" x14ac:dyDescent="0.25">
      <c r="H6972" t="s">
        <v>136</v>
      </c>
    </row>
    <row r="6973" spans="8:8" x14ac:dyDescent="0.25">
      <c r="H6973" t="s">
        <v>11230</v>
      </c>
    </row>
    <row r="6974" spans="8:8" x14ac:dyDescent="0.25">
      <c r="H6974" t="s">
        <v>30</v>
      </c>
    </row>
    <row r="6975" spans="8:8" x14ac:dyDescent="0.25">
      <c r="H6975" t="s">
        <v>137</v>
      </c>
    </row>
    <row r="6976" spans="8:8" x14ac:dyDescent="0.25">
      <c r="H6976" t="s">
        <v>11231</v>
      </c>
    </row>
    <row r="6977" spans="8:8" x14ac:dyDescent="0.25">
      <c r="H6977" t="s">
        <v>30</v>
      </c>
    </row>
    <row r="6978" spans="8:8" x14ac:dyDescent="0.25">
      <c r="H6978" t="s">
        <v>138</v>
      </c>
    </row>
    <row r="6979" spans="8:8" x14ac:dyDescent="0.25">
      <c r="H6979" t="s">
        <v>11232</v>
      </c>
    </row>
    <row r="6980" spans="8:8" x14ac:dyDescent="0.25">
      <c r="H6980" t="s">
        <v>30</v>
      </c>
    </row>
    <row r="6982" spans="8:8" x14ac:dyDescent="0.25">
      <c r="H6982" t="s">
        <v>11233</v>
      </c>
    </row>
    <row r="6983" spans="8:8" x14ac:dyDescent="0.25">
      <c r="H6983" t="s">
        <v>11234</v>
      </c>
    </row>
    <row r="6984" spans="8:8" x14ac:dyDescent="0.25">
      <c r="H6984" t="s">
        <v>135</v>
      </c>
    </row>
    <row r="6985" spans="8:8" x14ac:dyDescent="0.25">
      <c r="H6985" t="s">
        <v>11235</v>
      </c>
    </row>
    <row r="6986" spans="8:8" x14ac:dyDescent="0.25">
      <c r="H6986" t="s">
        <v>30</v>
      </c>
    </row>
    <row r="6987" spans="8:8" x14ac:dyDescent="0.25">
      <c r="H6987" t="s">
        <v>136</v>
      </c>
    </row>
    <row r="6988" spans="8:8" x14ac:dyDescent="0.25">
      <c r="H6988" t="s">
        <v>11236</v>
      </c>
    </row>
    <row r="6989" spans="8:8" x14ac:dyDescent="0.25">
      <c r="H6989" t="s">
        <v>30</v>
      </c>
    </row>
    <row r="6990" spans="8:8" x14ac:dyDescent="0.25">
      <c r="H6990" t="s">
        <v>137</v>
      </c>
    </row>
    <row r="6991" spans="8:8" x14ac:dyDescent="0.25">
      <c r="H6991" t="s">
        <v>11237</v>
      </c>
    </row>
    <row r="6992" spans="8:8" x14ac:dyDescent="0.25">
      <c r="H6992" t="s">
        <v>30</v>
      </c>
    </row>
    <row r="6993" spans="8:8" x14ac:dyDescent="0.25">
      <c r="H6993" t="s">
        <v>138</v>
      </c>
    </row>
    <row r="6994" spans="8:8" x14ac:dyDescent="0.25">
      <c r="H6994" t="s">
        <v>11238</v>
      </c>
    </row>
    <row r="6995" spans="8:8" x14ac:dyDescent="0.25">
      <c r="H6995" t="s">
        <v>30</v>
      </c>
    </row>
    <row r="6997" spans="8:8" x14ac:dyDescent="0.25">
      <c r="H6997" t="s">
        <v>11239</v>
      </c>
    </row>
    <row r="6998" spans="8:8" x14ac:dyDescent="0.25">
      <c r="H6998" t="s">
        <v>11240</v>
      </c>
    </row>
    <row r="6999" spans="8:8" x14ac:dyDescent="0.25">
      <c r="H6999" t="s">
        <v>135</v>
      </c>
    </row>
    <row r="7000" spans="8:8" x14ac:dyDescent="0.25">
      <c r="H7000" t="s">
        <v>11241</v>
      </c>
    </row>
    <row r="7001" spans="8:8" x14ac:dyDescent="0.25">
      <c r="H7001" t="s">
        <v>30</v>
      </c>
    </row>
    <row r="7002" spans="8:8" x14ac:dyDescent="0.25">
      <c r="H7002" t="s">
        <v>136</v>
      </c>
    </row>
    <row r="7003" spans="8:8" x14ac:dyDescent="0.25">
      <c r="H7003" t="s">
        <v>11242</v>
      </c>
    </row>
    <row r="7004" spans="8:8" x14ac:dyDescent="0.25">
      <c r="H7004" t="s">
        <v>30</v>
      </c>
    </row>
    <row r="7005" spans="8:8" x14ac:dyDescent="0.25">
      <c r="H7005" t="s">
        <v>137</v>
      </c>
    </row>
    <row r="7006" spans="8:8" x14ac:dyDescent="0.25">
      <c r="H7006" t="s">
        <v>11243</v>
      </c>
    </row>
    <row r="7007" spans="8:8" x14ac:dyDescent="0.25">
      <c r="H7007" t="s">
        <v>30</v>
      </c>
    </row>
    <row r="7008" spans="8:8" x14ac:dyDescent="0.25">
      <c r="H7008" t="s">
        <v>138</v>
      </c>
    </row>
    <row r="7009" spans="8:8" x14ac:dyDescent="0.25">
      <c r="H7009" t="s">
        <v>11244</v>
      </c>
    </row>
    <row r="7010" spans="8:8" x14ac:dyDescent="0.25">
      <c r="H7010" t="s">
        <v>30</v>
      </c>
    </row>
    <row r="7012" spans="8:8" x14ac:dyDescent="0.25">
      <c r="H7012" t="s">
        <v>11245</v>
      </c>
    </row>
    <row r="7013" spans="8:8" x14ac:dyDescent="0.25">
      <c r="H7013" t="s">
        <v>11246</v>
      </c>
    </row>
    <row r="7014" spans="8:8" x14ac:dyDescent="0.25">
      <c r="H7014" t="s">
        <v>135</v>
      </c>
    </row>
    <row r="7015" spans="8:8" x14ac:dyDescent="0.25">
      <c r="H7015" t="s">
        <v>11247</v>
      </c>
    </row>
    <row r="7016" spans="8:8" x14ac:dyDescent="0.25">
      <c r="H7016" t="s">
        <v>30</v>
      </c>
    </row>
    <row r="7017" spans="8:8" x14ac:dyDescent="0.25">
      <c r="H7017" t="s">
        <v>136</v>
      </c>
    </row>
    <row r="7018" spans="8:8" x14ac:dyDescent="0.25">
      <c r="H7018" t="s">
        <v>11248</v>
      </c>
    </row>
    <row r="7019" spans="8:8" x14ac:dyDescent="0.25">
      <c r="H7019" t="s">
        <v>30</v>
      </c>
    </row>
    <row r="7020" spans="8:8" x14ac:dyDescent="0.25">
      <c r="H7020" t="s">
        <v>137</v>
      </c>
    </row>
    <row r="7021" spans="8:8" x14ac:dyDescent="0.25">
      <c r="H7021" t="s">
        <v>11249</v>
      </c>
    </row>
    <row r="7022" spans="8:8" x14ac:dyDescent="0.25">
      <c r="H7022" t="s">
        <v>30</v>
      </c>
    </row>
    <row r="7023" spans="8:8" x14ac:dyDescent="0.25">
      <c r="H7023" t="s">
        <v>138</v>
      </c>
    </row>
    <row r="7024" spans="8:8" x14ac:dyDescent="0.25">
      <c r="H7024" t="s">
        <v>11250</v>
      </c>
    </row>
    <row r="7025" spans="8:8" x14ac:dyDescent="0.25">
      <c r="H7025" t="s">
        <v>30</v>
      </c>
    </row>
    <row r="7027" spans="8:8" x14ac:dyDescent="0.25">
      <c r="H7027" t="s">
        <v>11251</v>
      </c>
    </row>
    <row r="7028" spans="8:8" x14ac:dyDescent="0.25">
      <c r="H7028" t="s">
        <v>11252</v>
      </c>
    </row>
    <row r="7029" spans="8:8" x14ac:dyDescent="0.25">
      <c r="H7029" t="s">
        <v>135</v>
      </c>
    </row>
    <row r="7030" spans="8:8" x14ac:dyDescent="0.25">
      <c r="H7030" t="s">
        <v>11253</v>
      </c>
    </row>
    <row r="7031" spans="8:8" x14ac:dyDescent="0.25">
      <c r="H7031" t="s">
        <v>30</v>
      </c>
    </row>
    <row r="7032" spans="8:8" x14ac:dyDescent="0.25">
      <c r="H7032" t="s">
        <v>136</v>
      </c>
    </row>
    <row r="7033" spans="8:8" x14ac:dyDescent="0.25">
      <c r="H7033" t="s">
        <v>11254</v>
      </c>
    </row>
    <row r="7034" spans="8:8" x14ac:dyDescent="0.25">
      <c r="H7034" t="s">
        <v>30</v>
      </c>
    </row>
    <row r="7035" spans="8:8" x14ac:dyDescent="0.25">
      <c r="H7035" t="s">
        <v>137</v>
      </c>
    </row>
    <row r="7036" spans="8:8" x14ac:dyDescent="0.25">
      <c r="H7036" t="s">
        <v>11255</v>
      </c>
    </row>
    <row r="7037" spans="8:8" x14ac:dyDescent="0.25">
      <c r="H7037" t="s">
        <v>30</v>
      </c>
    </row>
    <row r="7038" spans="8:8" x14ac:dyDescent="0.25">
      <c r="H7038" t="s">
        <v>138</v>
      </c>
    </row>
    <row r="7039" spans="8:8" x14ac:dyDescent="0.25">
      <c r="H7039" t="s">
        <v>11256</v>
      </c>
    </row>
    <row r="7040" spans="8:8" x14ac:dyDescent="0.25">
      <c r="H7040" t="s">
        <v>30</v>
      </c>
    </row>
    <row r="7042" spans="8:8" x14ac:dyDescent="0.25">
      <c r="H7042" t="s">
        <v>11257</v>
      </c>
    </row>
    <row r="7043" spans="8:8" x14ac:dyDescent="0.25">
      <c r="H7043" t="s">
        <v>11258</v>
      </c>
    </row>
    <row r="7044" spans="8:8" x14ac:dyDescent="0.25">
      <c r="H7044" t="s">
        <v>135</v>
      </c>
    </row>
    <row r="7045" spans="8:8" x14ac:dyDescent="0.25">
      <c r="H7045" t="s">
        <v>11259</v>
      </c>
    </row>
    <row r="7046" spans="8:8" x14ac:dyDescent="0.25">
      <c r="H7046" t="s">
        <v>30</v>
      </c>
    </row>
    <row r="7047" spans="8:8" x14ac:dyDescent="0.25">
      <c r="H7047" t="s">
        <v>136</v>
      </c>
    </row>
    <row r="7048" spans="8:8" x14ac:dyDescent="0.25">
      <c r="H7048" t="s">
        <v>11260</v>
      </c>
    </row>
    <row r="7049" spans="8:8" x14ac:dyDescent="0.25">
      <c r="H7049" t="s">
        <v>30</v>
      </c>
    </row>
    <row r="7050" spans="8:8" x14ac:dyDescent="0.25">
      <c r="H7050" t="s">
        <v>137</v>
      </c>
    </row>
    <row r="7051" spans="8:8" x14ac:dyDescent="0.25">
      <c r="H7051" t="s">
        <v>11261</v>
      </c>
    </row>
    <row r="7052" spans="8:8" x14ac:dyDescent="0.25">
      <c r="H7052" t="s">
        <v>30</v>
      </c>
    </row>
    <row r="7053" spans="8:8" x14ac:dyDescent="0.25">
      <c r="H7053" t="s">
        <v>138</v>
      </c>
    </row>
    <row r="7054" spans="8:8" x14ac:dyDescent="0.25">
      <c r="H7054" t="s">
        <v>11262</v>
      </c>
    </row>
    <row r="7055" spans="8:8" x14ac:dyDescent="0.25">
      <c r="H7055" t="s">
        <v>30</v>
      </c>
    </row>
    <row r="7057" spans="8:8" x14ac:dyDescent="0.25">
      <c r="H7057" t="s">
        <v>11263</v>
      </c>
    </row>
    <row r="7058" spans="8:8" x14ac:dyDescent="0.25">
      <c r="H7058" t="s">
        <v>11264</v>
      </c>
    </row>
    <row r="7059" spans="8:8" x14ac:dyDescent="0.25">
      <c r="H7059" t="s">
        <v>135</v>
      </c>
    </row>
    <row r="7060" spans="8:8" x14ac:dyDescent="0.25">
      <c r="H7060" t="s">
        <v>11265</v>
      </c>
    </row>
    <row r="7061" spans="8:8" x14ac:dyDescent="0.25">
      <c r="H7061" t="s">
        <v>30</v>
      </c>
    </row>
    <row r="7062" spans="8:8" x14ac:dyDescent="0.25">
      <c r="H7062" t="s">
        <v>136</v>
      </c>
    </row>
    <row r="7063" spans="8:8" x14ac:dyDescent="0.25">
      <c r="H7063" t="s">
        <v>11266</v>
      </c>
    </row>
    <row r="7064" spans="8:8" x14ac:dyDescent="0.25">
      <c r="H7064" t="s">
        <v>30</v>
      </c>
    </row>
    <row r="7065" spans="8:8" x14ac:dyDescent="0.25">
      <c r="H7065" t="s">
        <v>137</v>
      </c>
    </row>
    <row r="7066" spans="8:8" x14ac:dyDescent="0.25">
      <c r="H7066" t="s">
        <v>11267</v>
      </c>
    </row>
    <row r="7067" spans="8:8" x14ac:dyDescent="0.25">
      <c r="H7067" t="s">
        <v>30</v>
      </c>
    </row>
    <row r="7068" spans="8:8" x14ac:dyDescent="0.25">
      <c r="H7068" t="s">
        <v>138</v>
      </c>
    </row>
    <row r="7069" spans="8:8" x14ac:dyDescent="0.25">
      <c r="H7069" t="s">
        <v>11268</v>
      </c>
    </row>
    <row r="7070" spans="8:8" x14ac:dyDescent="0.25">
      <c r="H7070" t="s">
        <v>30</v>
      </c>
    </row>
    <row r="7072" spans="8:8" x14ac:dyDescent="0.25">
      <c r="H7072" t="s">
        <v>11269</v>
      </c>
    </row>
    <row r="7073" spans="8:8" x14ac:dyDescent="0.25">
      <c r="H7073" t="s">
        <v>11270</v>
      </c>
    </row>
    <row r="7074" spans="8:8" x14ac:dyDescent="0.25">
      <c r="H7074" t="s">
        <v>135</v>
      </c>
    </row>
    <row r="7075" spans="8:8" x14ac:dyDescent="0.25">
      <c r="H7075" t="s">
        <v>11271</v>
      </c>
    </row>
    <row r="7076" spans="8:8" x14ac:dyDescent="0.25">
      <c r="H7076" t="s">
        <v>30</v>
      </c>
    </row>
    <row r="7077" spans="8:8" x14ac:dyDescent="0.25">
      <c r="H7077" t="s">
        <v>136</v>
      </c>
    </row>
    <row r="7078" spans="8:8" x14ac:dyDescent="0.25">
      <c r="H7078" t="s">
        <v>11272</v>
      </c>
    </row>
    <row r="7079" spans="8:8" x14ac:dyDescent="0.25">
      <c r="H7079" t="s">
        <v>30</v>
      </c>
    </row>
    <row r="7080" spans="8:8" x14ac:dyDescent="0.25">
      <c r="H7080" t="s">
        <v>137</v>
      </c>
    </row>
    <row r="7081" spans="8:8" x14ac:dyDescent="0.25">
      <c r="H7081" t="s">
        <v>11273</v>
      </c>
    </row>
    <row r="7082" spans="8:8" x14ac:dyDescent="0.25">
      <c r="H7082" t="s">
        <v>30</v>
      </c>
    </row>
    <row r="7083" spans="8:8" x14ac:dyDescent="0.25">
      <c r="H7083" t="s">
        <v>138</v>
      </c>
    </row>
    <row r="7084" spans="8:8" x14ac:dyDescent="0.25">
      <c r="H7084" t="s">
        <v>11274</v>
      </c>
    </row>
    <row r="7085" spans="8:8" x14ac:dyDescent="0.25">
      <c r="H7085" t="s">
        <v>30</v>
      </c>
    </row>
    <row r="7087" spans="8:8" x14ac:dyDescent="0.25">
      <c r="H7087" t="s">
        <v>11275</v>
      </c>
    </row>
    <row r="7088" spans="8:8" x14ac:dyDescent="0.25">
      <c r="H7088" t="s">
        <v>11276</v>
      </c>
    </row>
    <row r="7089" spans="8:8" x14ac:dyDescent="0.25">
      <c r="H7089" t="s">
        <v>135</v>
      </c>
    </row>
    <row r="7090" spans="8:8" x14ac:dyDescent="0.25">
      <c r="H7090" t="s">
        <v>11277</v>
      </c>
    </row>
    <row r="7091" spans="8:8" x14ac:dyDescent="0.25">
      <c r="H7091" t="s">
        <v>30</v>
      </c>
    </row>
    <row r="7092" spans="8:8" x14ac:dyDescent="0.25">
      <c r="H7092" t="s">
        <v>136</v>
      </c>
    </row>
    <row r="7093" spans="8:8" x14ac:dyDescent="0.25">
      <c r="H7093" t="s">
        <v>11278</v>
      </c>
    </row>
    <row r="7094" spans="8:8" x14ac:dyDescent="0.25">
      <c r="H7094" t="s">
        <v>30</v>
      </c>
    </row>
    <row r="7095" spans="8:8" x14ac:dyDescent="0.25">
      <c r="H7095" t="s">
        <v>137</v>
      </c>
    </row>
    <row r="7096" spans="8:8" x14ac:dyDescent="0.25">
      <c r="H7096" t="s">
        <v>11279</v>
      </c>
    </row>
    <row r="7097" spans="8:8" x14ac:dyDescent="0.25">
      <c r="H7097" t="s">
        <v>30</v>
      </c>
    </row>
    <row r="7098" spans="8:8" x14ac:dyDescent="0.25">
      <c r="H7098" t="s">
        <v>138</v>
      </c>
    </row>
    <row r="7099" spans="8:8" x14ac:dyDescent="0.25">
      <c r="H7099" t="s">
        <v>11280</v>
      </c>
    </row>
    <row r="7100" spans="8:8" x14ac:dyDescent="0.25">
      <c r="H7100" t="s">
        <v>30</v>
      </c>
    </row>
    <row r="7102" spans="8:8" x14ac:dyDescent="0.25">
      <c r="H7102" t="s">
        <v>11281</v>
      </c>
    </row>
    <row r="7103" spans="8:8" x14ac:dyDescent="0.25">
      <c r="H7103" t="s">
        <v>11282</v>
      </c>
    </row>
    <row r="7104" spans="8:8" x14ac:dyDescent="0.25">
      <c r="H7104" t="s">
        <v>135</v>
      </c>
    </row>
    <row r="7105" spans="8:8" x14ac:dyDescent="0.25">
      <c r="H7105" t="s">
        <v>11283</v>
      </c>
    </row>
    <row r="7106" spans="8:8" x14ac:dyDescent="0.25">
      <c r="H7106" t="s">
        <v>30</v>
      </c>
    </row>
    <row r="7107" spans="8:8" x14ac:dyDescent="0.25">
      <c r="H7107" t="s">
        <v>136</v>
      </c>
    </row>
    <row r="7108" spans="8:8" x14ac:dyDescent="0.25">
      <c r="H7108" t="s">
        <v>11284</v>
      </c>
    </row>
    <row r="7109" spans="8:8" x14ac:dyDescent="0.25">
      <c r="H7109" t="s">
        <v>30</v>
      </c>
    </row>
    <row r="7110" spans="8:8" x14ac:dyDescent="0.25">
      <c r="H7110" t="s">
        <v>137</v>
      </c>
    </row>
    <row r="7111" spans="8:8" x14ac:dyDescent="0.25">
      <c r="H7111" t="s">
        <v>11285</v>
      </c>
    </row>
    <row r="7112" spans="8:8" x14ac:dyDescent="0.25">
      <c r="H7112" t="s">
        <v>30</v>
      </c>
    </row>
    <row r="7113" spans="8:8" x14ac:dyDescent="0.25">
      <c r="H7113" t="s">
        <v>138</v>
      </c>
    </row>
    <row r="7114" spans="8:8" x14ac:dyDescent="0.25">
      <c r="H7114" t="s">
        <v>11286</v>
      </c>
    </row>
    <row r="7115" spans="8:8" x14ac:dyDescent="0.25">
      <c r="H7115" t="s">
        <v>30</v>
      </c>
    </row>
    <row r="7117" spans="8:8" x14ac:dyDescent="0.25">
      <c r="H7117" t="s">
        <v>11287</v>
      </c>
    </row>
    <row r="7118" spans="8:8" x14ac:dyDescent="0.25">
      <c r="H7118" t="s">
        <v>11288</v>
      </c>
    </row>
    <row r="7119" spans="8:8" x14ac:dyDescent="0.25">
      <c r="H7119" t="s">
        <v>135</v>
      </c>
    </row>
    <row r="7120" spans="8:8" x14ac:dyDescent="0.25">
      <c r="H7120" t="s">
        <v>11289</v>
      </c>
    </row>
    <row r="7121" spans="8:8" x14ac:dyDescent="0.25">
      <c r="H7121" t="s">
        <v>30</v>
      </c>
    </row>
    <row r="7122" spans="8:8" x14ac:dyDescent="0.25">
      <c r="H7122" t="s">
        <v>136</v>
      </c>
    </row>
    <row r="7123" spans="8:8" x14ac:dyDescent="0.25">
      <c r="H7123" t="s">
        <v>11290</v>
      </c>
    </row>
    <row r="7124" spans="8:8" x14ac:dyDescent="0.25">
      <c r="H7124" t="s">
        <v>30</v>
      </c>
    </row>
    <row r="7125" spans="8:8" x14ac:dyDescent="0.25">
      <c r="H7125" t="s">
        <v>137</v>
      </c>
    </row>
    <row r="7126" spans="8:8" x14ac:dyDescent="0.25">
      <c r="H7126" t="s">
        <v>11291</v>
      </c>
    </row>
    <row r="7127" spans="8:8" x14ac:dyDescent="0.25">
      <c r="H7127" t="s">
        <v>30</v>
      </c>
    </row>
    <row r="7128" spans="8:8" x14ac:dyDescent="0.25">
      <c r="H7128" t="s">
        <v>138</v>
      </c>
    </row>
    <row r="7129" spans="8:8" x14ac:dyDescent="0.25">
      <c r="H7129" t="s">
        <v>11292</v>
      </c>
    </row>
    <row r="7130" spans="8:8" x14ac:dyDescent="0.25">
      <c r="H7130" t="s">
        <v>30</v>
      </c>
    </row>
    <row r="7132" spans="8:8" x14ac:dyDescent="0.25">
      <c r="H7132" t="s">
        <v>11293</v>
      </c>
    </row>
    <row r="7133" spans="8:8" x14ac:dyDescent="0.25">
      <c r="H7133" t="s">
        <v>11294</v>
      </c>
    </row>
    <row r="7134" spans="8:8" x14ac:dyDescent="0.25">
      <c r="H7134" t="s">
        <v>135</v>
      </c>
    </row>
    <row r="7135" spans="8:8" x14ac:dyDescent="0.25">
      <c r="H7135" t="s">
        <v>11295</v>
      </c>
    </row>
    <row r="7136" spans="8:8" x14ac:dyDescent="0.25">
      <c r="H7136" t="s">
        <v>30</v>
      </c>
    </row>
    <row r="7137" spans="8:8" x14ac:dyDescent="0.25">
      <c r="H7137" t="s">
        <v>136</v>
      </c>
    </row>
    <row r="7138" spans="8:8" x14ac:dyDescent="0.25">
      <c r="H7138" t="s">
        <v>11296</v>
      </c>
    </row>
    <row r="7139" spans="8:8" x14ac:dyDescent="0.25">
      <c r="H7139" t="s">
        <v>30</v>
      </c>
    </row>
    <row r="7140" spans="8:8" x14ac:dyDescent="0.25">
      <c r="H7140" t="s">
        <v>137</v>
      </c>
    </row>
    <row r="7141" spans="8:8" x14ac:dyDescent="0.25">
      <c r="H7141" t="s">
        <v>11297</v>
      </c>
    </row>
    <row r="7142" spans="8:8" x14ac:dyDescent="0.25">
      <c r="H7142" t="s">
        <v>30</v>
      </c>
    </row>
    <row r="7143" spans="8:8" x14ac:dyDescent="0.25">
      <c r="H7143" t="s">
        <v>138</v>
      </c>
    </row>
    <row r="7144" spans="8:8" x14ac:dyDescent="0.25">
      <c r="H7144" t="s">
        <v>11298</v>
      </c>
    </row>
    <row r="7145" spans="8:8" x14ac:dyDescent="0.25">
      <c r="H7145" t="s">
        <v>30</v>
      </c>
    </row>
    <row r="7147" spans="8:8" x14ac:dyDescent="0.25">
      <c r="H7147" t="s">
        <v>11299</v>
      </c>
    </row>
    <row r="7148" spans="8:8" x14ac:dyDescent="0.25">
      <c r="H7148" t="s">
        <v>11300</v>
      </c>
    </row>
    <row r="7149" spans="8:8" x14ac:dyDescent="0.25">
      <c r="H7149" t="s">
        <v>135</v>
      </c>
    </row>
    <row r="7150" spans="8:8" x14ac:dyDescent="0.25">
      <c r="H7150" t="s">
        <v>11301</v>
      </c>
    </row>
    <row r="7151" spans="8:8" x14ac:dyDescent="0.25">
      <c r="H7151" t="s">
        <v>30</v>
      </c>
    </row>
    <row r="7152" spans="8:8" x14ac:dyDescent="0.25">
      <c r="H7152" t="s">
        <v>136</v>
      </c>
    </row>
    <row r="7153" spans="8:8" x14ac:dyDescent="0.25">
      <c r="H7153" t="s">
        <v>11302</v>
      </c>
    </row>
    <row r="7154" spans="8:8" x14ac:dyDescent="0.25">
      <c r="H7154" t="s">
        <v>30</v>
      </c>
    </row>
    <row r="7155" spans="8:8" x14ac:dyDescent="0.25">
      <c r="H7155" t="s">
        <v>137</v>
      </c>
    </row>
    <row r="7156" spans="8:8" x14ac:dyDescent="0.25">
      <c r="H7156" t="s">
        <v>11303</v>
      </c>
    </row>
    <row r="7157" spans="8:8" x14ac:dyDescent="0.25">
      <c r="H7157" t="s">
        <v>30</v>
      </c>
    </row>
    <row r="7158" spans="8:8" x14ac:dyDescent="0.25">
      <c r="H7158" t="s">
        <v>138</v>
      </c>
    </row>
    <row r="7159" spans="8:8" x14ac:dyDescent="0.25">
      <c r="H7159" t="s">
        <v>11304</v>
      </c>
    </row>
    <row r="7160" spans="8:8" x14ac:dyDescent="0.25">
      <c r="H7160" t="s">
        <v>30</v>
      </c>
    </row>
    <row r="7162" spans="8:8" x14ac:dyDescent="0.25">
      <c r="H7162" t="s">
        <v>11305</v>
      </c>
    </row>
    <row r="7163" spans="8:8" x14ac:dyDescent="0.25">
      <c r="H7163" t="s">
        <v>11306</v>
      </c>
    </row>
    <row r="7164" spans="8:8" x14ac:dyDescent="0.25">
      <c r="H7164" t="s">
        <v>135</v>
      </c>
    </row>
    <row r="7165" spans="8:8" x14ac:dyDescent="0.25">
      <c r="H7165" t="s">
        <v>11307</v>
      </c>
    </row>
    <row r="7166" spans="8:8" x14ac:dyDescent="0.25">
      <c r="H7166" t="s">
        <v>30</v>
      </c>
    </row>
    <row r="7167" spans="8:8" x14ac:dyDescent="0.25">
      <c r="H7167" t="s">
        <v>136</v>
      </c>
    </row>
    <row r="7168" spans="8:8" x14ac:dyDescent="0.25">
      <c r="H7168" t="s">
        <v>11308</v>
      </c>
    </row>
    <row r="7169" spans="8:8" x14ac:dyDescent="0.25">
      <c r="H7169" t="s">
        <v>30</v>
      </c>
    </row>
    <row r="7170" spans="8:8" x14ac:dyDescent="0.25">
      <c r="H7170" t="s">
        <v>137</v>
      </c>
    </row>
    <row r="7171" spans="8:8" x14ac:dyDescent="0.25">
      <c r="H7171" t="s">
        <v>11309</v>
      </c>
    </row>
    <row r="7172" spans="8:8" x14ac:dyDescent="0.25">
      <c r="H7172" t="s">
        <v>30</v>
      </c>
    </row>
    <row r="7173" spans="8:8" x14ac:dyDescent="0.25">
      <c r="H7173" t="s">
        <v>138</v>
      </c>
    </row>
    <row r="7174" spans="8:8" x14ac:dyDescent="0.25">
      <c r="H7174" t="s">
        <v>11310</v>
      </c>
    </row>
    <row r="7175" spans="8:8" x14ac:dyDescent="0.25">
      <c r="H7175" t="s">
        <v>30</v>
      </c>
    </row>
    <row r="7177" spans="8:8" x14ac:dyDescent="0.25">
      <c r="H7177" t="s">
        <v>11311</v>
      </c>
    </row>
    <row r="7178" spans="8:8" x14ac:dyDescent="0.25">
      <c r="H7178" t="s">
        <v>11312</v>
      </c>
    </row>
    <row r="7179" spans="8:8" x14ac:dyDescent="0.25">
      <c r="H7179" t="s">
        <v>135</v>
      </c>
    </row>
    <row r="7180" spans="8:8" x14ac:dyDescent="0.25">
      <c r="H7180" t="s">
        <v>11313</v>
      </c>
    </row>
    <row r="7181" spans="8:8" x14ac:dyDescent="0.25">
      <c r="H7181" t="s">
        <v>30</v>
      </c>
    </row>
    <row r="7182" spans="8:8" x14ac:dyDescent="0.25">
      <c r="H7182" t="s">
        <v>136</v>
      </c>
    </row>
    <row r="7183" spans="8:8" x14ac:dyDescent="0.25">
      <c r="H7183" t="s">
        <v>11314</v>
      </c>
    </row>
    <row r="7184" spans="8:8" x14ac:dyDescent="0.25">
      <c r="H7184" t="s">
        <v>30</v>
      </c>
    </row>
    <row r="7185" spans="8:8" x14ac:dyDescent="0.25">
      <c r="H7185" t="s">
        <v>137</v>
      </c>
    </row>
    <row r="7186" spans="8:8" x14ac:dyDescent="0.25">
      <c r="H7186" t="s">
        <v>11315</v>
      </c>
    </row>
    <row r="7187" spans="8:8" x14ac:dyDescent="0.25">
      <c r="H7187" t="s">
        <v>30</v>
      </c>
    </row>
    <row r="7188" spans="8:8" x14ac:dyDescent="0.25">
      <c r="H7188" t="s">
        <v>138</v>
      </c>
    </row>
    <row r="7189" spans="8:8" x14ac:dyDescent="0.25">
      <c r="H7189" t="s">
        <v>11316</v>
      </c>
    </row>
    <row r="7190" spans="8:8" x14ac:dyDescent="0.25">
      <c r="H7190" t="s">
        <v>30</v>
      </c>
    </row>
    <row r="7192" spans="8:8" x14ac:dyDescent="0.25">
      <c r="H7192" t="s">
        <v>11317</v>
      </c>
    </row>
    <row r="7193" spans="8:8" x14ac:dyDescent="0.25">
      <c r="H7193" t="s">
        <v>11318</v>
      </c>
    </row>
    <row r="7194" spans="8:8" x14ac:dyDescent="0.25">
      <c r="H7194" t="s">
        <v>135</v>
      </c>
    </row>
    <row r="7195" spans="8:8" x14ac:dyDescent="0.25">
      <c r="H7195" t="s">
        <v>11319</v>
      </c>
    </row>
    <row r="7196" spans="8:8" x14ac:dyDescent="0.25">
      <c r="H7196" t="s">
        <v>30</v>
      </c>
    </row>
    <row r="7197" spans="8:8" x14ac:dyDescent="0.25">
      <c r="H7197" t="s">
        <v>136</v>
      </c>
    </row>
    <row r="7198" spans="8:8" x14ac:dyDescent="0.25">
      <c r="H7198" t="s">
        <v>11320</v>
      </c>
    </row>
    <row r="7199" spans="8:8" x14ac:dyDescent="0.25">
      <c r="H7199" t="s">
        <v>30</v>
      </c>
    </row>
    <row r="7200" spans="8:8" x14ac:dyDescent="0.25">
      <c r="H7200" t="s">
        <v>137</v>
      </c>
    </row>
    <row r="7201" spans="8:8" x14ac:dyDescent="0.25">
      <c r="H7201" t="s">
        <v>11321</v>
      </c>
    </row>
    <row r="7202" spans="8:8" x14ac:dyDescent="0.25">
      <c r="H7202" t="s">
        <v>30</v>
      </c>
    </row>
    <row r="7203" spans="8:8" x14ac:dyDescent="0.25">
      <c r="H7203" t="s">
        <v>138</v>
      </c>
    </row>
    <row r="7204" spans="8:8" x14ac:dyDescent="0.25">
      <c r="H7204" t="s">
        <v>11322</v>
      </c>
    </row>
    <row r="7205" spans="8:8" x14ac:dyDescent="0.25">
      <c r="H7205" t="s">
        <v>30</v>
      </c>
    </row>
    <row r="7207" spans="8:8" x14ac:dyDescent="0.25">
      <c r="H7207" t="s">
        <v>11323</v>
      </c>
    </row>
    <row r="7208" spans="8:8" x14ac:dyDescent="0.25">
      <c r="H7208" t="s">
        <v>11324</v>
      </c>
    </row>
    <row r="7209" spans="8:8" x14ac:dyDescent="0.25">
      <c r="H7209" t="s">
        <v>135</v>
      </c>
    </row>
    <row r="7210" spans="8:8" x14ac:dyDescent="0.25">
      <c r="H7210" t="s">
        <v>11325</v>
      </c>
    </row>
    <row r="7211" spans="8:8" x14ac:dyDescent="0.25">
      <c r="H7211" t="s">
        <v>30</v>
      </c>
    </row>
    <row r="7212" spans="8:8" x14ac:dyDescent="0.25">
      <c r="H7212" t="s">
        <v>136</v>
      </c>
    </row>
    <row r="7213" spans="8:8" x14ac:dyDescent="0.25">
      <c r="H7213" t="s">
        <v>11326</v>
      </c>
    </row>
    <row r="7214" spans="8:8" x14ac:dyDescent="0.25">
      <c r="H7214" t="s">
        <v>30</v>
      </c>
    </row>
    <row r="7215" spans="8:8" x14ac:dyDescent="0.25">
      <c r="H7215" t="s">
        <v>137</v>
      </c>
    </row>
    <row r="7216" spans="8:8" x14ac:dyDescent="0.25">
      <c r="H7216" t="s">
        <v>11327</v>
      </c>
    </row>
    <row r="7217" spans="8:8" x14ac:dyDescent="0.25">
      <c r="H7217" t="s">
        <v>30</v>
      </c>
    </row>
    <row r="7218" spans="8:8" x14ac:dyDescent="0.25">
      <c r="H7218" t="s">
        <v>138</v>
      </c>
    </row>
    <row r="7219" spans="8:8" x14ac:dyDescent="0.25">
      <c r="H7219" t="s">
        <v>11328</v>
      </c>
    </row>
    <row r="7220" spans="8:8" x14ac:dyDescent="0.25">
      <c r="H7220" t="s">
        <v>30</v>
      </c>
    </row>
    <row r="7222" spans="8:8" x14ac:dyDescent="0.25">
      <c r="H7222" t="s">
        <v>11329</v>
      </c>
    </row>
    <row r="7223" spans="8:8" x14ac:dyDescent="0.25">
      <c r="H7223" t="s">
        <v>11330</v>
      </c>
    </row>
    <row r="7224" spans="8:8" x14ac:dyDescent="0.25">
      <c r="H7224" t="s">
        <v>135</v>
      </c>
    </row>
    <row r="7225" spans="8:8" x14ac:dyDescent="0.25">
      <c r="H7225" t="s">
        <v>11331</v>
      </c>
    </row>
    <row r="7226" spans="8:8" x14ac:dyDescent="0.25">
      <c r="H7226" t="s">
        <v>30</v>
      </c>
    </row>
    <row r="7227" spans="8:8" x14ac:dyDescent="0.25">
      <c r="H7227" t="s">
        <v>136</v>
      </c>
    </row>
    <row r="7228" spans="8:8" x14ac:dyDescent="0.25">
      <c r="H7228" t="s">
        <v>11332</v>
      </c>
    </row>
    <row r="7229" spans="8:8" x14ac:dyDescent="0.25">
      <c r="H7229" t="s">
        <v>30</v>
      </c>
    </row>
    <row r="7230" spans="8:8" x14ac:dyDescent="0.25">
      <c r="H7230" t="s">
        <v>137</v>
      </c>
    </row>
    <row r="7231" spans="8:8" x14ac:dyDescent="0.25">
      <c r="H7231" t="s">
        <v>11333</v>
      </c>
    </row>
    <row r="7232" spans="8:8" x14ac:dyDescent="0.25">
      <c r="H7232" t="s">
        <v>30</v>
      </c>
    </row>
    <row r="7233" spans="8:8" x14ac:dyDescent="0.25">
      <c r="H7233" t="s">
        <v>138</v>
      </c>
    </row>
    <row r="7234" spans="8:8" x14ac:dyDescent="0.25">
      <c r="H7234" t="s">
        <v>11334</v>
      </c>
    </row>
    <row r="7235" spans="8:8" x14ac:dyDescent="0.25">
      <c r="H7235" t="s">
        <v>30</v>
      </c>
    </row>
    <row r="7237" spans="8:8" x14ac:dyDescent="0.25">
      <c r="H7237" t="s">
        <v>11335</v>
      </c>
    </row>
    <row r="7238" spans="8:8" x14ac:dyDescent="0.25">
      <c r="H7238" t="s">
        <v>11336</v>
      </c>
    </row>
    <row r="7239" spans="8:8" x14ac:dyDescent="0.25">
      <c r="H7239" t="s">
        <v>135</v>
      </c>
    </row>
    <row r="7240" spans="8:8" x14ac:dyDescent="0.25">
      <c r="H7240" t="s">
        <v>11337</v>
      </c>
    </row>
    <row r="7241" spans="8:8" x14ac:dyDescent="0.25">
      <c r="H7241" t="s">
        <v>30</v>
      </c>
    </row>
    <row r="7242" spans="8:8" x14ac:dyDescent="0.25">
      <c r="H7242" t="s">
        <v>136</v>
      </c>
    </row>
    <row r="7243" spans="8:8" x14ac:dyDescent="0.25">
      <c r="H7243" t="s">
        <v>11338</v>
      </c>
    </row>
    <row r="7244" spans="8:8" x14ac:dyDescent="0.25">
      <c r="H7244" t="s">
        <v>30</v>
      </c>
    </row>
    <row r="7245" spans="8:8" x14ac:dyDescent="0.25">
      <c r="H7245" t="s">
        <v>137</v>
      </c>
    </row>
    <row r="7246" spans="8:8" x14ac:dyDescent="0.25">
      <c r="H7246" t="s">
        <v>11339</v>
      </c>
    </row>
    <row r="7247" spans="8:8" x14ac:dyDescent="0.25">
      <c r="H7247" t="s">
        <v>30</v>
      </c>
    </row>
    <row r="7248" spans="8:8" x14ac:dyDescent="0.25">
      <c r="H7248" t="s">
        <v>138</v>
      </c>
    </row>
    <row r="7249" spans="8:8" x14ac:dyDescent="0.25">
      <c r="H7249" t="s">
        <v>11340</v>
      </c>
    </row>
    <row r="7250" spans="8:8" x14ac:dyDescent="0.25">
      <c r="H7250" t="s">
        <v>30</v>
      </c>
    </row>
    <row r="7252" spans="8:8" x14ac:dyDescent="0.25">
      <c r="H7252" t="s">
        <v>11341</v>
      </c>
    </row>
    <row r="7253" spans="8:8" x14ac:dyDescent="0.25">
      <c r="H7253" t="s">
        <v>11342</v>
      </c>
    </row>
    <row r="7254" spans="8:8" x14ac:dyDescent="0.25">
      <c r="H7254" t="s">
        <v>135</v>
      </c>
    </row>
    <row r="7255" spans="8:8" x14ac:dyDescent="0.25">
      <c r="H7255" t="s">
        <v>11343</v>
      </c>
    </row>
    <row r="7256" spans="8:8" x14ac:dyDescent="0.25">
      <c r="H7256" t="s">
        <v>30</v>
      </c>
    </row>
    <row r="7257" spans="8:8" x14ac:dyDescent="0.25">
      <c r="H7257" t="s">
        <v>136</v>
      </c>
    </row>
    <row r="7258" spans="8:8" x14ac:dyDescent="0.25">
      <c r="H7258" t="s">
        <v>11344</v>
      </c>
    </row>
    <row r="7259" spans="8:8" x14ac:dyDescent="0.25">
      <c r="H7259" t="s">
        <v>30</v>
      </c>
    </row>
    <row r="7260" spans="8:8" x14ac:dyDescent="0.25">
      <c r="H7260" t="s">
        <v>137</v>
      </c>
    </row>
    <row r="7261" spans="8:8" x14ac:dyDescent="0.25">
      <c r="H7261" t="s">
        <v>11345</v>
      </c>
    </row>
    <row r="7262" spans="8:8" x14ac:dyDescent="0.25">
      <c r="H7262" t="s">
        <v>30</v>
      </c>
    </row>
    <row r="7263" spans="8:8" x14ac:dyDescent="0.25">
      <c r="H7263" t="s">
        <v>138</v>
      </c>
    </row>
    <row r="7264" spans="8:8" x14ac:dyDescent="0.25">
      <c r="H7264" t="s">
        <v>11346</v>
      </c>
    </row>
    <row r="7265" spans="8:8" x14ac:dyDescent="0.25">
      <c r="H7265" t="s">
        <v>30</v>
      </c>
    </row>
    <row r="7267" spans="8:8" x14ac:dyDescent="0.25">
      <c r="H7267" t="s">
        <v>11347</v>
      </c>
    </row>
    <row r="7268" spans="8:8" x14ac:dyDescent="0.25">
      <c r="H7268" t="s">
        <v>11348</v>
      </c>
    </row>
    <row r="7269" spans="8:8" x14ac:dyDescent="0.25">
      <c r="H7269" t="s">
        <v>135</v>
      </c>
    </row>
    <row r="7270" spans="8:8" x14ac:dyDescent="0.25">
      <c r="H7270" t="s">
        <v>11349</v>
      </c>
    </row>
    <row r="7271" spans="8:8" x14ac:dyDescent="0.25">
      <c r="H7271" t="s">
        <v>30</v>
      </c>
    </row>
    <row r="7272" spans="8:8" x14ac:dyDescent="0.25">
      <c r="H7272" t="s">
        <v>136</v>
      </c>
    </row>
    <row r="7273" spans="8:8" x14ac:dyDescent="0.25">
      <c r="H7273" t="s">
        <v>11350</v>
      </c>
    </row>
    <row r="7274" spans="8:8" x14ac:dyDescent="0.25">
      <c r="H7274" t="s">
        <v>30</v>
      </c>
    </row>
    <row r="7275" spans="8:8" x14ac:dyDescent="0.25">
      <c r="H7275" t="s">
        <v>137</v>
      </c>
    </row>
    <row r="7276" spans="8:8" x14ac:dyDescent="0.25">
      <c r="H7276" t="s">
        <v>11351</v>
      </c>
    </row>
    <row r="7277" spans="8:8" x14ac:dyDescent="0.25">
      <c r="H7277" t="s">
        <v>30</v>
      </c>
    </row>
    <row r="7278" spans="8:8" x14ac:dyDescent="0.25">
      <c r="H7278" t="s">
        <v>138</v>
      </c>
    </row>
    <row r="7279" spans="8:8" x14ac:dyDescent="0.25">
      <c r="H7279" t="s">
        <v>11352</v>
      </c>
    </row>
    <row r="7280" spans="8:8" x14ac:dyDescent="0.25">
      <c r="H7280" t="s">
        <v>30</v>
      </c>
    </row>
    <row r="7282" spans="8:8" x14ac:dyDescent="0.25">
      <c r="H7282" t="s">
        <v>11353</v>
      </c>
    </row>
    <row r="7283" spans="8:8" x14ac:dyDescent="0.25">
      <c r="H7283" t="s">
        <v>11354</v>
      </c>
    </row>
    <row r="7284" spans="8:8" x14ac:dyDescent="0.25">
      <c r="H7284" t="s">
        <v>135</v>
      </c>
    </row>
    <row r="7285" spans="8:8" x14ac:dyDescent="0.25">
      <c r="H7285" t="s">
        <v>11355</v>
      </c>
    </row>
    <row r="7286" spans="8:8" x14ac:dyDescent="0.25">
      <c r="H7286" t="s">
        <v>30</v>
      </c>
    </row>
    <row r="7287" spans="8:8" x14ac:dyDescent="0.25">
      <c r="H7287" t="s">
        <v>136</v>
      </c>
    </row>
    <row r="7288" spans="8:8" x14ac:dyDescent="0.25">
      <c r="H7288" t="s">
        <v>11356</v>
      </c>
    </row>
    <row r="7289" spans="8:8" x14ac:dyDescent="0.25">
      <c r="H7289" t="s">
        <v>30</v>
      </c>
    </row>
    <row r="7290" spans="8:8" x14ac:dyDescent="0.25">
      <c r="H7290" t="s">
        <v>137</v>
      </c>
    </row>
    <row r="7291" spans="8:8" x14ac:dyDescent="0.25">
      <c r="H7291" t="s">
        <v>11357</v>
      </c>
    </row>
    <row r="7292" spans="8:8" x14ac:dyDescent="0.25">
      <c r="H7292" t="s">
        <v>30</v>
      </c>
    </row>
    <row r="7293" spans="8:8" x14ac:dyDescent="0.25">
      <c r="H7293" t="s">
        <v>138</v>
      </c>
    </row>
    <row r="7294" spans="8:8" x14ac:dyDescent="0.25">
      <c r="H7294" t="s">
        <v>11358</v>
      </c>
    </row>
    <row r="7295" spans="8:8" x14ac:dyDescent="0.25">
      <c r="H7295" t="s">
        <v>30</v>
      </c>
    </row>
    <row r="7297" spans="8:8" x14ac:dyDescent="0.25">
      <c r="H7297" t="s">
        <v>11359</v>
      </c>
    </row>
    <row r="7298" spans="8:8" x14ac:dyDescent="0.25">
      <c r="H7298" t="s">
        <v>11360</v>
      </c>
    </row>
    <row r="7299" spans="8:8" x14ac:dyDescent="0.25">
      <c r="H7299" t="s">
        <v>135</v>
      </c>
    </row>
    <row r="7300" spans="8:8" x14ac:dyDescent="0.25">
      <c r="H7300" t="s">
        <v>11361</v>
      </c>
    </row>
    <row r="7301" spans="8:8" x14ac:dyDescent="0.25">
      <c r="H7301" t="s">
        <v>30</v>
      </c>
    </row>
    <row r="7302" spans="8:8" x14ac:dyDescent="0.25">
      <c r="H7302" t="s">
        <v>136</v>
      </c>
    </row>
    <row r="7303" spans="8:8" x14ac:dyDescent="0.25">
      <c r="H7303" t="s">
        <v>11362</v>
      </c>
    </row>
    <row r="7304" spans="8:8" x14ac:dyDescent="0.25">
      <c r="H7304" t="s">
        <v>30</v>
      </c>
    </row>
    <row r="7305" spans="8:8" x14ac:dyDescent="0.25">
      <c r="H7305" t="s">
        <v>137</v>
      </c>
    </row>
    <row r="7306" spans="8:8" x14ac:dyDescent="0.25">
      <c r="H7306" t="s">
        <v>11363</v>
      </c>
    </row>
    <row r="7307" spans="8:8" x14ac:dyDescent="0.25">
      <c r="H7307" t="s">
        <v>30</v>
      </c>
    </row>
    <row r="7308" spans="8:8" x14ac:dyDescent="0.25">
      <c r="H7308" t="s">
        <v>138</v>
      </c>
    </row>
    <row r="7309" spans="8:8" x14ac:dyDescent="0.25">
      <c r="H7309" t="s">
        <v>11364</v>
      </c>
    </row>
    <row r="7310" spans="8:8" x14ac:dyDescent="0.25">
      <c r="H7310" t="s">
        <v>30</v>
      </c>
    </row>
    <row r="7312" spans="8:8" x14ac:dyDescent="0.25">
      <c r="H7312" t="s">
        <v>11365</v>
      </c>
    </row>
    <row r="7313" spans="8:8" x14ac:dyDescent="0.25">
      <c r="H7313" t="s">
        <v>11366</v>
      </c>
    </row>
    <row r="7314" spans="8:8" x14ac:dyDescent="0.25">
      <c r="H7314" t="s">
        <v>135</v>
      </c>
    </row>
    <row r="7315" spans="8:8" x14ac:dyDescent="0.25">
      <c r="H7315" t="s">
        <v>11367</v>
      </c>
    </row>
    <row r="7316" spans="8:8" x14ac:dyDescent="0.25">
      <c r="H7316" t="s">
        <v>30</v>
      </c>
    </row>
    <row r="7317" spans="8:8" x14ac:dyDescent="0.25">
      <c r="H7317" t="s">
        <v>136</v>
      </c>
    </row>
    <row r="7318" spans="8:8" x14ac:dyDescent="0.25">
      <c r="H7318" t="s">
        <v>11368</v>
      </c>
    </row>
    <row r="7319" spans="8:8" x14ac:dyDescent="0.25">
      <c r="H7319" t="s">
        <v>30</v>
      </c>
    </row>
    <row r="7320" spans="8:8" x14ac:dyDescent="0.25">
      <c r="H7320" t="s">
        <v>137</v>
      </c>
    </row>
    <row r="7321" spans="8:8" x14ac:dyDescent="0.25">
      <c r="H7321" t="s">
        <v>11369</v>
      </c>
    </row>
    <row r="7322" spans="8:8" x14ac:dyDescent="0.25">
      <c r="H7322" t="s">
        <v>30</v>
      </c>
    </row>
    <row r="7323" spans="8:8" x14ac:dyDescent="0.25">
      <c r="H7323" t="s">
        <v>138</v>
      </c>
    </row>
    <row r="7324" spans="8:8" x14ac:dyDescent="0.25">
      <c r="H7324" t="s">
        <v>11370</v>
      </c>
    </row>
    <row r="7325" spans="8:8" x14ac:dyDescent="0.25">
      <c r="H7325" t="s">
        <v>30</v>
      </c>
    </row>
    <row r="7327" spans="8:8" x14ac:dyDescent="0.25">
      <c r="H7327" t="s">
        <v>11371</v>
      </c>
    </row>
    <row r="7328" spans="8:8" x14ac:dyDescent="0.25">
      <c r="H7328" t="s">
        <v>11372</v>
      </c>
    </row>
    <row r="7329" spans="8:8" x14ac:dyDescent="0.25">
      <c r="H7329" t="s">
        <v>135</v>
      </c>
    </row>
    <row r="7330" spans="8:8" x14ac:dyDescent="0.25">
      <c r="H7330" t="s">
        <v>11373</v>
      </c>
    </row>
    <row r="7331" spans="8:8" x14ac:dyDescent="0.25">
      <c r="H7331" t="s">
        <v>30</v>
      </c>
    </row>
    <row r="7332" spans="8:8" x14ac:dyDescent="0.25">
      <c r="H7332" t="s">
        <v>136</v>
      </c>
    </row>
    <row r="7333" spans="8:8" x14ac:dyDescent="0.25">
      <c r="H7333" t="s">
        <v>11374</v>
      </c>
    </row>
    <row r="7334" spans="8:8" x14ac:dyDescent="0.25">
      <c r="H7334" t="s">
        <v>30</v>
      </c>
    </row>
    <row r="7335" spans="8:8" x14ac:dyDescent="0.25">
      <c r="H7335" t="s">
        <v>137</v>
      </c>
    </row>
    <row r="7336" spans="8:8" x14ac:dyDescent="0.25">
      <c r="H7336" t="s">
        <v>11375</v>
      </c>
    </row>
    <row r="7337" spans="8:8" x14ac:dyDescent="0.25">
      <c r="H7337" t="s">
        <v>30</v>
      </c>
    </row>
    <row r="7338" spans="8:8" x14ac:dyDescent="0.25">
      <c r="H7338" t="s">
        <v>138</v>
      </c>
    </row>
    <row r="7339" spans="8:8" x14ac:dyDescent="0.25">
      <c r="H7339" t="s">
        <v>11376</v>
      </c>
    </row>
    <row r="7340" spans="8:8" x14ac:dyDescent="0.25">
      <c r="H7340" t="s">
        <v>30</v>
      </c>
    </row>
    <row r="7342" spans="8:8" x14ac:dyDescent="0.25">
      <c r="H7342" t="s">
        <v>11377</v>
      </c>
    </row>
    <row r="7343" spans="8:8" x14ac:dyDescent="0.25">
      <c r="H7343" t="s">
        <v>11378</v>
      </c>
    </row>
    <row r="7344" spans="8:8" x14ac:dyDescent="0.25">
      <c r="H7344" t="s">
        <v>135</v>
      </c>
    </row>
    <row r="7345" spans="8:8" x14ac:dyDescent="0.25">
      <c r="H7345" t="s">
        <v>11379</v>
      </c>
    </row>
    <row r="7346" spans="8:8" x14ac:dyDescent="0.25">
      <c r="H7346" t="s">
        <v>30</v>
      </c>
    </row>
    <row r="7347" spans="8:8" x14ac:dyDescent="0.25">
      <c r="H7347" t="s">
        <v>136</v>
      </c>
    </row>
    <row r="7348" spans="8:8" x14ac:dyDescent="0.25">
      <c r="H7348" t="s">
        <v>11380</v>
      </c>
    </row>
    <row r="7349" spans="8:8" x14ac:dyDescent="0.25">
      <c r="H7349" t="s">
        <v>30</v>
      </c>
    </row>
    <row r="7350" spans="8:8" x14ac:dyDescent="0.25">
      <c r="H7350" t="s">
        <v>137</v>
      </c>
    </row>
    <row r="7351" spans="8:8" x14ac:dyDescent="0.25">
      <c r="H7351" t="s">
        <v>11381</v>
      </c>
    </row>
    <row r="7352" spans="8:8" x14ac:dyDescent="0.25">
      <c r="H7352" t="s">
        <v>30</v>
      </c>
    </row>
    <row r="7353" spans="8:8" x14ac:dyDescent="0.25">
      <c r="H7353" t="s">
        <v>138</v>
      </c>
    </row>
    <row r="7354" spans="8:8" x14ac:dyDescent="0.25">
      <c r="H7354" t="s">
        <v>11382</v>
      </c>
    </row>
    <row r="7355" spans="8:8" x14ac:dyDescent="0.25">
      <c r="H7355" t="s">
        <v>30</v>
      </c>
    </row>
    <row r="7357" spans="8:8" x14ac:dyDescent="0.25">
      <c r="H7357" t="s">
        <v>11383</v>
      </c>
    </row>
    <row r="7358" spans="8:8" x14ac:dyDescent="0.25">
      <c r="H7358" t="s">
        <v>11384</v>
      </c>
    </row>
    <row r="7359" spans="8:8" x14ac:dyDescent="0.25">
      <c r="H7359" t="s">
        <v>135</v>
      </c>
    </row>
    <row r="7360" spans="8:8" x14ac:dyDescent="0.25">
      <c r="H7360" t="s">
        <v>11385</v>
      </c>
    </row>
    <row r="7361" spans="8:8" x14ac:dyDescent="0.25">
      <c r="H7361" t="s">
        <v>30</v>
      </c>
    </row>
    <row r="7362" spans="8:8" x14ac:dyDescent="0.25">
      <c r="H7362" t="s">
        <v>136</v>
      </c>
    </row>
    <row r="7363" spans="8:8" x14ac:dyDescent="0.25">
      <c r="H7363" t="s">
        <v>11386</v>
      </c>
    </row>
    <row r="7364" spans="8:8" x14ac:dyDescent="0.25">
      <c r="H7364" t="s">
        <v>30</v>
      </c>
    </row>
    <row r="7365" spans="8:8" x14ac:dyDescent="0.25">
      <c r="H7365" t="s">
        <v>137</v>
      </c>
    </row>
    <row r="7366" spans="8:8" x14ac:dyDescent="0.25">
      <c r="H7366" t="s">
        <v>11387</v>
      </c>
    </row>
    <row r="7367" spans="8:8" x14ac:dyDescent="0.25">
      <c r="H7367" t="s">
        <v>30</v>
      </c>
    </row>
    <row r="7368" spans="8:8" x14ac:dyDescent="0.25">
      <c r="H7368" t="s">
        <v>138</v>
      </c>
    </row>
    <row r="7369" spans="8:8" x14ac:dyDescent="0.25">
      <c r="H7369" t="s">
        <v>11388</v>
      </c>
    </row>
    <row r="7370" spans="8:8" x14ac:dyDescent="0.25">
      <c r="H7370" t="s">
        <v>30</v>
      </c>
    </row>
    <row r="7372" spans="8:8" x14ac:dyDescent="0.25">
      <c r="H7372" t="s">
        <v>11389</v>
      </c>
    </row>
    <row r="7373" spans="8:8" x14ac:dyDescent="0.25">
      <c r="H7373" t="s">
        <v>11390</v>
      </c>
    </row>
    <row r="7374" spans="8:8" x14ac:dyDescent="0.25">
      <c r="H7374" t="s">
        <v>135</v>
      </c>
    </row>
    <row r="7375" spans="8:8" x14ac:dyDescent="0.25">
      <c r="H7375" t="s">
        <v>11391</v>
      </c>
    </row>
    <row r="7376" spans="8:8" x14ac:dyDescent="0.25">
      <c r="H7376" t="s">
        <v>30</v>
      </c>
    </row>
    <row r="7377" spans="8:8" x14ac:dyDescent="0.25">
      <c r="H7377" t="s">
        <v>136</v>
      </c>
    </row>
    <row r="7378" spans="8:8" x14ac:dyDescent="0.25">
      <c r="H7378" t="s">
        <v>11392</v>
      </c>
    </row>
    <row r="7379" spans="8:8" x14ac:dyDescent="0.25">
      <c r="H7379" t="s">
        <v>30</v>
      </c>
    </row>
    <row r="7380" spans="8:8" x14ac:dyDescent="0.25">
      <c r="H7380" t="s">
        <v>137</v>
      </c>
    </row>
    <row r="7381" spans="8:8" x14ac:dyDescent="0.25">
      <c r="H7381" t="s">
        <v>11393</v>
      </c>
    </row>
    <row r="7382" spans="8:8" x14ac:dyDescent="0.25">
      <c r="H7382" t="s">
        <v>30</v>
      </c>
    </row>
    <row r="7383" spans="8:8" x14ac:dyDescent="0.25">
      <c r="H7383" t="s">
        <v>138</v>
      </c>
    </row>
    <row r="7384" spans="8:8" x14ac:dyDescent="0.25">
      <c r="H7384" t="s">
        <v>11394</v>
      </c>
    </row>
    <row r="7385" spans="8:8" x14ac:dyDescent="0.25">
      <c r="H7385" t="s">
        <v>30</v>
      </c>
    </row>
    <row r="7387" spans="8:8" x14ac:dyDescent="0.25">
      <c r="H7387" t="s">
        <v>11395</v>
      </c>
    </row>
    <row r="7388" spans="8:8" x14ac:dyDescent="0.25">
      <c r="H7388" t="s">
        <v>11396</v>
      </c>
    </row>
    <row r="7389" spans="8:8" x14ac:dyDescent="0.25">
      <c r="H7389" t="s">
        <v>135</v>
      </c>
    </row>
    <row r="7390" spans="8:8" x14ac:dyDescent="0.25">
      <c r="H7390" t="s">
        <v>11397</v>
      </c>
    </row>
    <row r="7391" spans="8:8" x14ac:dyDescent="0.25">
      <c r="H7391" t="s">
        <v>30</v>
      </c>
    </row>
    <row r="7392" spans="8:8" x14ac:dyDescent="0.25">
      <c r="H7392" t="s">
        <v>136</v>
      </c>
    </row>
    <row r="7393" spans="8:8" x14ac:dyDescent="0.25">
      <c r="H7393" t="s">
        <v>11398</v>
      </c>
    </row>
    <row r="7394" spans="8:8" x14ac:dyDescent="0.25">
      <c r="H7394" t="s">
        <v>30</v>
      </c>
    </row>
    <row r="7395" spans="8:8" x14ac:dyDescent="0.25">
      <c r="H7395" t="s">
        <v>137</v>
      </c>
    </row>
    <row r="7396" spans="8:8" x14ac:dyDescent="0.25">
      <c r="H7396" t="s">
        <v>11399</v>
      </c>
    </row>
    <row r="7397" spans="8:8" x14ac:dyDescent="0.25">
      <c r="H7397" t="s">
        <v>30</v>
      </c>
    </row>
    <row r="7398" spans="8:8" x14ac:dyDescent="0.25">
      <c r="H7398" t="s">
        <v>138</v>
      </c>
    </row>
    <row r="7399" spans="8:8" x14ac:dyDescent="0.25">
      <c r="H7399" t="s">
        <v>11400</v>
      </c>
    </row>
    <row r="7400" spans="8:8" x14ac:dyDescent="0.25">
      <c r="H7400" t="s">
        <v>30</v>
      </c>
    </row>
    <row r="7402" spans="8:8" x14ac:dyDescent="0.25">
      <c r="H7402" t="s">
        <v>11401</v>
      </c>
    </row>
    <row r="7403" spans="8:8" x14ac:dyDescent="0.25">
      <c r="H7403" t="s">
        <v>11402</v>
      </c>
    </row>
    <row r="7404" spans="8:8" x14ac:dyDescent="0.25">
      <c r="H7404" t="s">
        <v>135</v>
      </c>
    </row>
    <row r="7405" spans="8:8" x14ac:dyDescent="0.25">
      <c r="H7405" t="s">
        <v>11403</v>
      </c>
    </row>
    <row r="7406" spans="8:8" x14ac:dyDescent="0.25">
      <c r="H7406" t="s">
        <v>30</v>
      </c>
    </row>
    <row r="7407" spans="8:8" x14ac:dyDescent="0.25">
      <c r="H7407" t="s">
        <v>136</v>
      </c>
    </row>
    <row r="7408" spans="8:8" x14ac:dyDescent="0.25">
      <c r="H7408" t="s">
        <v>11404</v>
      </c>
    </row>
    <row r="7409" spans="8:8" x14ac:dyDescent="0.25">
      <c r="H7409" t="s">
        <v>30</v>
      </c>
    </row>
    <row r="7410" spans="8:8" x14ac:dyDescent="0.25">
      <c r="H7410" t="s">
        <v>137</v>
      </c>
    </row>
    <row r="7411" spans="8:8" x14ac:dyDescent="0.25">
      <c r="H7411" t="s">
        <v>11405</v>
      </c>
    </row>
    <row r="7412" spans="8:8" x14ac:dyDescent="0.25">
      <c r="H7412" t="s">
        <v>30</v>
      </c>
    </row>
    <row r="7413" spans="8:8" x14ac:dyDescent="0.25">
      <c r="H7413" t="s">
        <v>138</v>
      </c>
    </row>
    <row r="7414" spans="8:8" x14ac:dyDescent="0.25">
      <c r="H7414" t="s">
        <v>11406</v>
      </c>
    </row>
    <row r="7415" spans="8:8" x14ac:dyDescent="0.25">
      <c r="H7415" t="s">
        <v>30</v>
      </c>
    </row>
    <row r="7417" spans="8:8" x14ac:dyDescent="0.25">
      <c r="H7417" t="s">
        <v>11407</v>
      </c>
    </row>
    <row r="7418" spans="8:8" x14ac:dyDescent="0.25">
      <c r="H7418" t="s">
        <v>11408</v>
      </c>
    </row>
    <row r="7419" spans="8:8" x14ac:dyDescent="0.25">
      <c r="H7419" t="s">
        <v>135</v>
      </c>
    </row>
    <row r="7420" spans="8:8" x14ac:dyDescent="0.25">
      <c r="H7420" t="s">
        <v>11409</v>
      </c>
    </row>
    <row r="7421" spans="8:8" x14ac:dyDescent="0.25">
      <c r="H7421" t="s">
        <v>30</v>
      </c>
    </row>
    <row r="7422" spans="8:8" x14ac:dyDescent="0.25">
      <c r="H7422" t="s">
        <v>136</v>
      </c>
    </row>
    <row r="7423" spans="8:8" x14ac:dyDescent="0.25">
      <c r="H7423" t="s">
        <v>11410</v>
      </c>
    </row>
    <row r="7424" spans="8:8" x14ac:dyDescent="0.25">
      <c r="H7424" t="s">
        <v>30</v>
      </c>
    </row>
    <row r="7425" spans="8:8" x14ac:dyDescent="0.25">
      <c r="H7425" t="s">
        <v>137</v>
      </c>
    </row>
    <row r="7426" spans="8:8" x14ac:dyDescent="0.25">
      <c r="H7426" t="s">
        <v>11411</v>
      </c>
    </row>
    <row r="7427" spans="8:8" x14ac:dyDescent="0.25">
      <c r="H7427" t="s">
        <v>30</v>
      </c>
    </row>
    <row r="7428" spans="8:8" x14ac:dyDescent="0.25">
      <c r="H7428" t="s">
        <v>138</v>
      </c>
    </row>
    <row r="7429" spans="8:8" x14ac:dyDescent="0.25">
      <c r="H7429" t="s">
        <v>11412</v>
      </c>
    </row>
    <row r="7430" spans="8:8" x14ac:dyDescent="0.25">
      <c r="H7430" t="s">
        <v>30</v>
      </c>
    </row>
    <row r="7432" spans="8:8" x14ac:dyDescent="0.25">
      <c r="H7432" t="s">
        <v>11413</v>
      </c>
    </row>
    <row r="7433" spans="8:8" x14ac:dyDescent="0.25">
      <c r="H7433" t="s">
        <v>11414</v>
      </c>
    </row>
    <row r="7434" spans="8:8" x14ac:dyDescent="0.25">
      <c r="H7434" t="s">
        <v>135</v>
      </c>
    </row>
    <row r="7435" spans="8:8" x14ac:dyDescent="0.25">
      <c r="H7435" t="s">
        <v>11415</v>
      </c>
    </row>
    <row r="7436" spans="8:8" x14ac:dyDescent="0.25">
      <c r="H7436" t="s">
        <v>30</v>
      </c>
    </row>
    <row r="7437" spans="8:8" x14ac:dyDescent="0.25">
      <c r="H7437" t="s">
        <v>136</v>
      </c>
    </row>
    <row r="7438" spans="8:8" x14ac:dyDescent="0.25">
      <c r="H7438" t="s">
        <v>11416</v>
      </c>
    </row>
    <row r="7439" spans="8:8" x14ac:dyDescent="0.25">
      <c r="H7439" t="s">
        <v>30</v>
      </c>
    </row>
    <row r="7440" spans="8:8" x14ac:dyDescent="0.25">
      <c r="H7440" t="s">
        <v>137</v>
      </c>
    </row>
    <row r="7441" spans="8:8" x14ac:dyDescent="0.25">
      <c r="H7441" t="s">
        <v>11417</v>
      </c>
    </row>
    <row r="7442" spans="8:8" x14ac:dyDescent="0.25">
      <c r="H7442" t="s">
        <v>30</v>
      </c>
    </row>
    <row r="7443" spans="8:8" x14ac:dyDescent="0.25">
      <c r="H7443" t="s">
        <v>138</v>
      </c>
    </row>
    <row r="7444" spans="8:8" x14ac:dyDescent="0.25">
      <c r="H7444" t="s">
        <v>11418</v>
      </c>
    </row>
    <row r="7445" spans="8:8" x14ac:dyDescent="0.25">
      <c r="H7445" t="s">
        <v>30</v>
      </c>
    </row>
    <row r="7447" spans="8:8" x14ac:dyDescent="0.25">
      <c r="H7447" t="s">
        <v>11419</v>
      </c>
    </row>
    <row r="7448" spans="8:8" x14ac:dyDescent="0.25">
      <c r="H7448" t="s">
        <v>11420</v>
      </c>
    </row>
    <row r="7449" spans="8:8" x14ac:dyDescent="0.25">
      <c r="H7449" t="s">
        <v>135</v>
      </c>
    </row>
    <row r="7450" spans="8:8" x14ac:dyDescent="0.25">
      <c r="H7450" t="s">
        <v>11421</v>
      </c>
    </row>
    <row r="7451" spans="8:8" x14ac:dyDescent="0.25">
      <c r="H7451" t="s">
        <v>30</v>
      </c>
    </row>
    <row r="7452" spans="8:8" x14ac:dyDescent="0.25">
      <c r="H7452" t="s">
        <v>136</v>
      </c>
    </row>
    <row r="7453" spans="8:8" x14ac:dyDescent="0.25">
      <c r="H7453" t="s">
        <v>11422</v>
      </c>
    </row>
    <row r="7454" spans="8:8" x14ac:dyDescent="0.25">
      <c r="H7454" t="s">
        <v>30</v>
      </c>
    </row>
    <row r="7455" spans="8:8" x14ac:dyDescent="0.25">
      <c r="H7455" t="s">
        <v>137</v>
      </c>
    </row>
    <row r="7456" spans="8:8" x14ac:dyDescent="0.25">
      <c r="H7456" t="s">
        <v>11423</v>
      </c>
    </row>
    <row r="7457" spans="8:8" x14ac:dyDescent="0.25">
      <c r="H7457" t="s">
        <v>30</v>
      </c>
    </row>
    <row r="7458" spans="8:8" x14ac:dyDescent="0.25">
      <c r="H7458" t="s">
        <v>138</v>
      </c>
    </row>
    <row r="7459" spans="8:8" x14ac:dyDescent="0.25">
      <c r="H7459" t="s">
        <v>11424</v>
      </c>
    </row>
    <row r="7460" spans="8:8" x14ac:dyDescent="0.25">
      <c r="H7460" t="s">
        <v>30</v>
      </c>
    </row>
    <row r="7462" spans="8:8" x14ac:dyDescent="0.25">
      <c r="H7462" t="s">
        <v>11425</v>
      </c>
    </row>
    <row r="7463" spans="8:8" x14ac:dyDescent="0.25">
      <c r="H7463" t="s">
        <v>11426</v>
      </c>
    </row>
    <row r="7464" spans="8:8" x14ac:dyDescent="0.25">
      <c r="H7464" t="s">
        <v>135</v>
      </c>
    </row>
    <row r="7465" spans="8:8" x14ac:dyDescent="0.25">
      <c r="H7465" t="s">
        <v>11427</v>
      </c>
    </row>
    <row r="7466" spans="8:8" x14ac:dyDescent="0.25">
      <c r="H7466" t="s">
        <v>30</v>
      </c>
    </row>
    <row r="7467" spans="8:8" x14ac:dyDescent="0.25">
      <c r="H7467" t="s">
        <v>136</v>
      </c>
    </row>
    <row r="7468" spans="8:8" x14ac:dyDescent="0.25">
      <c r="H7468" t="s">
        <v>11428</v>
      </c>
    </row>
    <row r="7469" spans="8:8" x14ac:dyDescent="0.25">
      <c r="H7469" t="s">
        <v>30</v>
      </c>
    </row>
    <row r="7470" spans="8:8" x14ac:dyDescent="0.25">
      <c r="H7470" t="s">
        <v>137</v>
      </c>
    </row>
    <row r="7471" spans="8:8" x14ac:dyDescent="0.25">
      <c r="H7471" t="s">
        <v>11429</v>
      </c>
    </row>
    <row r="7472" spans="8:8" x14ac:dyDescent="0.25">
      <c r="H7472" t="s">
        <v>30</v>
      </c>
    </row>
    <row r="7473" spans="8:8" x14ac:dyDescent="0.25">
      <c r="H7473" t="s">
        <v>138</v>
      </c>
    </row>
    <row r="7474" spans="8:8" x14ac:dyDescent="0.25">
      <c r="H7474" t="s">
        <v>11430</v>
      </c>
    </row>
    <row r="7475" spans="8:8" x14ac:dyDescent="0.25">
      <c r="H7475" t="s">
        <v>30</v>
      </c>
    </row>
    <row r="7477" spans="8:8" x14ac:dyDescent="0.25">
      <c r="H7477" t="s">
        <v>11431</v>
      </c>
    </row>
    <row r="7478" spans="8:8" x14ac:dyDescent="0.25">
      <c r="H7478" t="s">
        <v>11432</v>
      </c>
    </row>
    <row r="7479" spans="8:8" x14ac:dyDescent="0.25">
      <c r="H7479" t="s">
        <v>135</v>
      </c>
    </row>
    <row r="7480" spans="8:8" x14ac:dyDescent="0.25">
      <c r="H7480" t="s">
        <v>11433</v>
      </c>
    </row>
    <row r="7481" spans="8:8" x14ac:dyDescent="0.25">
      <c r="H7481" t="s">
        <v>30</v>
      </c>
    </row>
    <row r="7482" spans="8:8" x14ac:dyDescent="0.25">
      <c r="H7482" t="s">
        <v>136</v>
      </c>
    </row>
    <row r="7483" spans="8:8" x14ac:dyDescent="0.25">
      <c r="H7483" t="s">
        <v>11434</v>
      </c>
    </row>
    <row r="7484" spans="8:8" x14ac:dyDescent="0.25">
      <c r="H7484" t="s">
        <v>30</v>
      </c>
    </row>
    <row r="7485" spans="8:8" x14ac:dyDescent="0.25">
      <c r="H7485" t="s">
        <v>137</v>
      </c>
    </row>
    <row r="7486" spans="8:8" x14ac:dyDescent="0.25">
      <c r="H7486" t="s">
        <v>11435</v>
      </c>
    </row>
    <row r="7487" spans="8:8" x14ac:dyDescent="0.25">
      <c r="H7487" t="s">
        <v>30</v>
      </c>
    </row>
    <row r="7488" spans="8:8" x14ac:dyDescent="0.25">
      <c r="H7488" t="s">
        <v>138</v>
      </c>
    </row>
    <row r="7489" spans="8:8" x14ac:dyDescent="0.25">
      <c r="H7489" t="s">
        <v>11436</v>
      </c>
    </row>
    <row r="7490" spans="8:8" x14ac:dyDescent="0.25">
      <c r="H7490" t="s">
        <v>30</v>
      </c>
    </row>
    <row r="7492" spans="8:8" x14ac:dyDescent="0.25">
      <c r="H7492" t="s">
        <v>11437</v>
      </c>
    </row>
    <row r="7493" spans="8:8" x14ac:dyDescent="0.25">
      <c r="H7493" t="s">
        <v>11438</v>
      </c>
    </row>
    <row r="7494" spans="8:8" x14ac:dyDescent="0.25">
      <c r="H7494" t="s">
        <v>135</v>
      </c>
    </row>
    <row r="7495" spans="8:8" x14ac:dyDescent="0.25">
      <c r="H7495" t="s">
        <v>11439</v>
      </c>
    </row>
    <row r="7496" spans="8:8" x14ac:dyDescent="0.25">
      <c r="H7496" t="s">
        <v>30</v>
      </c>
    </row>
    <row r="7497" spans="8:8" x14ac:dyDescent="0.25">
      <c r="H7497" t="s">
        <v>136</v>
      </c>
    </row>
    <row r="7498" spans="8:8" x14ac:dyDescent="0.25">
      <c r="H7498" t="s">
        <v>11440</v>
      </c>
    </row>
    <row r="7499" spans="8:8" x14ac:dyDescent="0.25">
      <c r="H7499" t="s">
        <v>30</v>
      </c>
    </row>
    <row r="7500" spans="8:8" x14ac:dyDescent="0.25">
      <c r="H7500" t="s">
        <v>137</v>
      </c>
    </row>
    <row r="7501" spans="8:8" x14ac:dyDescent="0.25">
      <c r="H7501" t="s">
        <v>11441</v>
      </c>
    </row>
    <row r="7502" spans="8:8" x14ac:dyDescent="0.25">
      <c r="H7502" t="s">
        <v>30</v>
      </c>
    </row>
    <row r="7503" spans="8:8" x14ac:dyDescent="0.25">
      <c r="H7503" t="s">
        <v>138</v>
      </c>
    </row>
    <row r="7504" spans="8:8" x14ac:dyDescent="0.25">
      <c r="H7504" t="s">
        <v>11442</v>
      </c>
    </row>
    <row r="7505" spans="8:8" x14ac:dyDescent="0.25">
      <c r="H7505" t="s">
        <v>30</v>
      </c>
    </row>
    <row r="7507" spans="8:8" x14ac:dyDescent="0.25">
      <c r="H7507" t="s">
        <v>11443</v>
      </c>
    </row>
    <row r="7508" spans="8:8" x14ac:dyDescent="0.25">
      <c r="H7508" t="s">
        <v>11444</v>
      </c>
    </row>
    <row r="7509" spans="8:8" x14ac:dyDescent="0.25">
      <c r="H7509" t="s">
        <v>135</v>
      </c>
    </row>
    <row r="7510" spans="8:8" x14ac:dyDescent="0.25">
      <c r="H7510" t="s">
        <v>11445</v>
      </c>
    </row>
    <row r="7511" spans="8:8" x14ac:dyDescent="0.25">
      <c r="H7511" t="s">
        <v>30</v>
      </c>
    </row>
    <row r="7512" spans="8:8" x14ac:dyDescent="0.25">
      <c r="H7512" t="s">
        <v>136</v>
      </c>
    </row>
    <row r="7513" spans="8:8" x14ac:dyDescent="0.25">
      <c r="H7513" t="s">
        <v>11446</v>
      </c>
    </row>
    <row r="7514" spans="8:8" x14ac:dyDescent="0.25">
      <c r="H7514" t="s">
        <v>30</v>
      </c>
    </row>
    <row r="7515" spans="8:8" x14ac:dyDescent="0.25">
      <c r="H7515" t="s">
        <v>137</v>
      </c>
    </row>
    <row r="7516" spans="8:8" x14ac:dyDescent="0.25">
      <c r="H7516" t="s">
        <v>11447</v>
      </c>
    </row>
    <row r="7517" spans="8:8" x14ac:dyDescent="0.25">
      <c r="H7517" t="s">
        <v>30</v>
      </c>
    </row>
    <row r="7518" spans="8:8" x14ac:dyDescent="0.25">
      <c r="H7518" t="s">
        <v>138</v>
      </c>
    </row>
    <row r="7519" spans="8:8" x14ac:dyDescent="0.25">
      <c r="H7519" t="s">
        <v>11448</v>
      </c>
    </row>
    <row r="7520" spans="8:8" x14ac:dyDescent="0.25">
      <c r="H7520" t="s">
        <v>30</v>
      </c>
    </row>
    <row r="7522" spans="8:8" x14ac:dyDescent="0.25">
      <c r="H7522" t="s">
        <v>11449</v>
      </c>
    </row>
    <row r="7523" spans="8:8" x14ac:dyDescent="0.25">
      <c r="H7523" t="s">
        <v>11450</v>
      </c>
    </row>
    <row r="7524" spans="8:8" x14ac:dyDescent="0.25">
      <c r="H7524" t="s">
        <v>135</v>
      </c>
    </row>
    <row r="7525" spans="8:8" x14ac:dyDescent="0.25">
      <c r="H7525" t="s">
        <v>11451</v>
      </c>
    </row>
    <row r="7526" spans="8:8" x14ac:dyDescent="0.25">
      <c r="H7526" t="s">
        <v>30</v>
      </c>
    </row>
    <row r="7527" spans="8:8" x14ac:dyDescent="0.25">
      <c r="H7527" t="s">
        <v>136</v>
      </c>
    </row>
    <row r="7528" spans="8:8" x14ac:dyDescent="0.25">
      <c r="H7528" t="s">
        <v>11452</v>
      </c>
    </row>
    <row r="7529" spans="8:8" x14ac:dyDescent="0.25">
      <c r="H7529" t="s">
        <v>30</v>
      </c>
    </row>
    <row r="7530" spans="8:8" x14ac:dyDescent="0.25">
      <c r="H7530" t="s">
        <v>137</v>
      </c>
    </row>
    <row r="7531" spans="8:8" x14ac:dyDescent="0.25">
      <c r="H7531" t="s">
        <v>11453</v>
      </c>
    </row>
    <row r="7532" spans="8:8" x14ac:dyDescent="0.25">
      <c r="H7532" t="s">
        <v>30</v>
      </c>
    </row>
    <row r="7533" spans="8:8" x14ac:dyDescent="0.25">
      <c r="H7533" t="s">
        <v>138</v>
      </c>
    </row>
    <row r="7534" spans="8:8" x14ac:dyDescent="0.25">
      <c r="H7534" t="s">
        <v>11454</v>
      </c>
    </row>
    <row r="7535" spans="8:8" x14ac:dyDescent="0.25">
      <c r="H7535" t="s">
        <v>30</v>
      </c>
    </row>
    <row r="7537" spans="8:8" x14ac:dyDescent="0.25">
      <c r="H7537" t="s">
        <v>11455</v>
      </c>
    </row>
    <row r="7538" spans="8:8" x14ac:dyDescent="0.25">
      <c r="H7538" t="s">
        <v>11456</v>
      </c>
    </row>
    <row r="7539" spans="8:8" x14ac:dyDescent="0.25">
      <c r="H7539" t="s">
        <v>135</v>
      </c>
    </row>
    <row r="7540" spans="8:8" x14ac:dyDescent="0.25">
      <c r="H7540" t="s">
        <v>11457</v>
      </c>
    </row>
    <row r="7541" spans="8:8" x14ac:dyDescent="0.25">
      <c r="H7541" t="s">
        <v>30</v>
      </c>
    </row>
    <row r="7542" spans="8:8" x14ac:dyDescent="0.25">
      <c r="H7542" t="s">
        <v>136</v>
      </c>
    </row>
    <row r="7543" spans="8:8" x14ac:dyDescent="0.25">
      <c r="H7543" t="s">
        <v>11458</v>
      </c>
    </row>
    <row r="7544" spans="8:8" x14ac:dyDescent="0.25">
      <c r="H7544" t="s">
        <v>30</v>
      </c>
    </row>
    <row r="7545" spans="8:8" x14ac:dyDescent="0.25">
      <c r="H7545" t="s">
        <v>137</v>
      </c>
    </row>
    <row r="7546" spans="8:8" x14ac:dyDescent="0.25">
      <c r="H7546" t="s">
        <v>11459</v>
      </c>
    </row>
    <row r="7547" spans="8:8" x14ac:dyDescent="0.25">
      <c r="H7547" t="s">
        <v>30</v>
      </c>
    </row>
    <row r="7548" spans="8:8" x14ac:dyDescent="0.25">
      <c r="H7548" t="s">
        <v>138</v>
      </c>
    </row>
    <row r="7549" spans="8:8" x14ac:dyDescent="0.25">
      <c r="H7549" t="s">
        <v>11460</v>
      </c>
    </row>
    <row r="7550" spans="8:8" x14ac:dyDescent="0.25">
      <c r="H7550" t="s">
        <v>30</v>
      </c>
    </row>
    <row r="7552" spans="8:8" x14ac:dyDescent="0.25">
      <c r="H7552" t="s">
        <v>11461</v>
      </c>
    </row>
    <row r="7553" spans="8:8" x14ac:dyDescent="0.25">
      <c r="H7553" t="s">
        <v>11462</v>
      </c>
    </row>
    <row r="7554" spans="8:8" x14ac:dyDescent="0.25">
      <c r="H7554" t="s">
        <v>135</v>
      </c>
    </row>
    <row r="7555" spans="8:8" x14ac:dyDescent="0.25">
      <c r="H7555" t="s">
        <v>11463</v>
      </c>
    </row>
    <row r="7556" spans="8:8" x14ac:dyDescent="0.25">
      <c r="H7556" t="s">
        <v>30</v>
      </c>
    </row>
    <row r="7557" spans="8:8" x14ac:dyDescent="0.25">
      <c r="H7557" t="s">
        <v>136</v>
      </c>
    </row>
    <row r="7558" spans="8:8" x14ac:dyDescent="0.25">
      <c r="H7558" t="s">
        <v>11464</v>
      </c>
    </row>
    <row r="7559" spans="8:8" x14ac:dyDescent="0.25">
      <c r="H7559" t="s">
        <v>30</v>
      </c>
    </row>
    <row r="7560" spans="8:8" x14ac:dyDescent="0.25">
      <c r="H7560" t="s">
        <v>137</v>
      </c>
    </row>
    <row r="7561" spans="8:8" x14ac:dyDescent="0.25">
      <c r="H7561" t="s">
        <v>11465</v>
      </c>
    </row>
    <row r="7562" spans="8:8" x14ac:dyDescent="0.25">
      <c r="H7562" t="s">
        <v>30</v>
      </c>
    </row>
    <row r="7563" spans="8:8" x14ac:dyDescent="0.25">
      <c r="H7563" t="s">
        <v>138</v>
      </c>
    </row>
    <row r="7564" spans="8:8" x14ac:dyDescent="0.25">
      <c r="H7564" t="s">
        <v>11466</v>
      </c>
    </row>
    <row r="7565" spans="8:8" x14ac:dyDescent="0.25">
      <c r="H7565" t="s">
        <v>30</v>
      </c>
    </row>
    <row r="7567" spans="8:8" x14ac:dyDescent="0.25">
      <c r="H7567" t="s">
        <v>11467</v>
      </c>
    </row>
    <row r="7568" spans="8:8" x14ac:dyDescent="0.25">
      <c r="H7568" t="s">
        <v>11468</v>
      </c>
    </row>
    <row r="7569" spans="8:8" x14ac:dyDescent="0.25">
      <c r="H7569" t="s">
        <v>135</v>
      </c>
    </row>
    <row r="7570" spans="8:8" x14ac:dyDescent="0.25">
      <c r="H7570" t="s">
        <v>11469</v>
      </c>
    </row>
    <row r="7571" spans="8:8" x14ac:dyDescent="0.25">
      <c r="H7571" t="s">
        <v>30</v>
      </c>
    </row>
    <row r="7572" spans="8:8" x14ac:dyDescent="0.25">
      <c r="H7572" t="s">
        <v>136</v>
      </c>
    </row>
    <row r="7573" spans="8:8" x14ac:dyDescent="0.25">
      <c r="H7573" t="s">
        <v>11470</v>
      </c>
    </row>
    <row r="7574" spans="8:8" x14ac:dyDescent="0.25">
      <c r="H7574" t="s">
        <v>30</v>
      </c>
    </row>
    <row r="7575" spans="8:8" x14ac:dyDescent="0.25">
      <c r="H7575" t="s">
        <v>137</v>
      </c>
    </row>
    <row r="7576" spans="8:8" x14ac:dyDescent="0.25">
      <c r="H7576" t="s">
        <v>11471</v>
      </c>
    </row>
    <row r="7577" spans="8:8" x14ac:dyDescent="0.25">
      <c r="H7577" t="s">
        <v>30</v>
      </c>
    </row>
    <row r="7578" spans="8:8" x14ac:dyDescent="0.25">
      <c r="H7578" t="s">
        <v>138</v>
      </c>
    </row>
    <row r="7579" spans="8:8" x14ac:dyDescent="0.25">
      <c r="H7579" t="s">
        <v>11472</v>
      </c>
    </row>
    <row r="7580" spans="8:8" x14ac:dyDescent="0.25">
      <c r="H7580" t="s">
        <v>30</v>
      </c>
    </row>
    <row r="7582" spans="8:8" x14ac:dyDescent="0.25">
      <c r="H7582" t="s">
        <v>11473</v>
      </c>
    </row>
    <row r="7583" spans="8:8" x14ac:dyDescent="0.25">
      <c r="H7583" t="s">
        <v>11474</v>
      </c>
    </row>
    <row r="7584" spans="8:8" x14ac:dyDescent="0.25">
      <c r="H7584" t="s">
        <v>135</v>
      </c>
    </row>
    <row r="7585" spans="8:8" x14ac:dyDescent="0.25">
      <c r="H7585" t="s">
        <v>11475</v>
      </c>
    </row>
    <row r="7586" spans="8:8" x14ac:dyDescent="0.25">
      <c r="H7586" t="s">
        <v>30</v>
      </c>
    </row>
    <row r="7587" spans="8:8" x14ac:dyDescent="0.25">
      <c r="H7587" t="s">
        <v>136</v>
      </c>
    </row>
    <row r="7588" spans="8:8" x14ac:dyDescent="0.25">
      <c r="H7588" t="s">
        <v>11476</v>
      </c>
    </row>
    <row r="7589" spans="8:8" x14ac:dyDescent="0.25">
      <c r="H7589" t="s">
        <v>30</v>
      </c>
    </row>
    <row r="7590" spans="8:8" x14ac:dyDescent="0.25">
      <c r="H7590" t="s">
        <v>137</v>
      </c>
    </row>
    <row r="7591" spans="8:8" x14ac:dyDescent="0.25">
      <c r="H7591" t="s">
        <v>11477</v>
      </c>
    </row>
    <row r="7592" spans="8:8" x14ac:dyDescent="0.25">
      <c r="H7592" t="s">
        <v>30</v>
      </c>
    </row>
    <row r="7593" spans="8:8" x14ac:dyDescent="0.25">
      <c r="H7593" t="s">
        <v>138</v>
      </c>
    </row>
    <row r="7594" spans="8:8" x14ac:dyDescent="0.25">
      <c r="H7594" t="s">
        <v>11478</v>
      </c>
    </row>
    <row r="7595" spans="8:8" x14ac:dyDescent="0.25">
      <c r="H7595" t="s">
        <v>30</v>
      </c>
    </row>
    <row r="7597" spans="8:8" x14ac:dyDescent="0.25">
      <c r="H7597" t="s">
        <v>11479</v>
      </c>
    </row>
    <row r="7598" spans="8:8" x14ac:dyDescent="0.25">
      <c r="H7598" t="s">
        <v>11480</v>
      </c>
    </row>
    <row r="7599" spans="8:8" x14ac:dyDescent="0.25">
      <c r="H7599" t="s">
        <v>135</v>
      </c>
    </row>
    <row r="7600" spans="8:8" x14ac:dyDescent="0.25">
      <c r="H7600" t="s">
        <v>11481</v>
      </c>
    </row>
    <row r="7601" spans="8:8" x14ac:dyDescent="0.25">
      <c r="H7601" t="s">
        <v>30</v>
      </c>
    </row>
    <row r="7602" spans="8:8" x14ac:dyDescent="0.25">
      <c r="H7602" t="s">
        <v>136</v>
      </c>
    </row>
    <row r="7603" spans="8:8" x14ac:dyDescent="0.25">
      <c r="H7603" t="s">
        <v>11482</v>
      </c>
    </row>
    <row r="7604" spans="8:8" x14ac:dyDescent="0.25">
      <c r="H7604" t="s">
        <v>30</v>
      </c>
    </row>
    <row r="7605" spans="8:8" x14ac:dyDescent="0.25">
      <c r="H7605" t="s">
        <v>137</v>
      </c>
    </row>
    <row r="7606" spans="8:8" x14ac:dyDescent="0.25">
      <c r="H7606" t="s">
        <v>11483</v>
      </c>
    </row>
    <row r="7607" spans="8:8" x14ac:dyDescent="0.25">
      <c r="H7607" t="s">
        <v>30</v>
      </c>
    </row>
    <row r="7608" spans="8:8" x14ac:dyDescent="0.25">
      <c r="H7608" t="s">
        <v>138</v>
      </c>
    </row>
    <row r="7609" spans="8:8" x14ac:dyDescent="0.25">
      <c r="H7609" t="s">
        <v>11484</v>
      </c>
    </row>
    <row r="7610" spans="8:8" x14ac:dyDescent="0.25">
      <c r="H7610" t="s">
        <v>30</v>
      </c>
    </row>
    <row r="7612" spans="8:8" x14ac:dyDescent="0.25">
      <c r="H7612" t="s">
        <v>11485</v>
      </c>
    </row>
    <row r="7613" spans="8:8" x14ac:dyDescent="0.25">
      <c r="H7613" t="s">
        <v>11486</v>
      </c>
    </row>
    <row r="7614" spans="8:8" x14ac:dyDescent="0.25">
      <c r="H7614" t="s">
        <v>135</v>
      </c>
    </row>
    <row r="7615" spans="8:8" x14ac:dyDescent="0.25">
      <c r="H7615" t="s">
        <v>11487</v>
      </c>
    </row>
    <row r="7616" spans="8:8" x14ac:dyDescent="0.25">
      <c r="H7616" t="s">
        <v>30</v>
      </c>
    </row>
    <row r="7617" spans="8:8" x14ac:dyDescent="0.25">
      <c r="H7617" t="s">
        <v>136</v>
      </c>
    </row>
    <row r="7618" spans="8:8" x14ac:dyDescent="0.25">
      <c r="H7618" t="s">
        <v>11488</v>
      </c>
    </row>
    <row r="7619" spans="8:8" x14ac:dyDescent="0.25">
      <c r="H7619" t="s">
        <v>30</v>
      </c>
    </row>
    <row r="7620" spans="8:8" x14ac:dyDescent="0.25">
      <c r="H7620" t="s">
        <v>137</v>
      </c>
    </row>
    <row r="7621" spans="8:8" x14ac:dyDescent="0.25">
      <c r="H7621" t="s">
        <v>11489</v>
      </c>
    </row>
    <row r="7622" spans="8:8" x14ac:dyDescent="0.25">
      <c r="H7622" t="s">
        <v>30</v>
      </c>
    </row>
    <row r="7623" spans="8:8" x14ac:dyDescent="0.25">
      <c r="H7623" t="s">
        <v>138</v>
      </c>
    </row>
    <row r="7624" spans="8:8" x14ac:dyDescent="0.25">
      <c r="H7624" t="s">
        <v>11490</v>
      </c>
    </row>
    <row r="7625" spans="8:8" x14ac:dyDescent="0.25">
      <c r="H7625" t="s">
        <v>30</v>
      </c>
    </row>
    <row r="7627" spans="8:8" x14ac:dyDescent="0.25">
      <c r="H7627" t="s">
        <v>11491</v>
      </c>
    </row>
    <row r="7628" spans="8:8" x14ac:dyDescent="0.25">
      <c r="H7628" t="s">
        <v>11492</v>
      </c>
    </row>
    <row r="7629" spans="8:8" x14ac:dyDescent="0.25">
      <c r="H7629" t="s">
        <v>135</v>
      </c>
    </row>
    <row r="7630" spans="8:8" x14ac:dyDescent="0.25">
      <c r="H7630" t="s">
        <v>11493</v>
      </c>
    </row>
    <row r="7631" spans="8:8" x14ac:dyDescent="0.25">
      <c r="H7631" t="s">
        <v>30</v>
      </c>
    </row>
    <row r="7632" spans="8:8" x14ac:dyDescent="0.25">
      <c r="H7632" t="s">
        <v>136</v>
      </c>
    </row>
    <row r="7633" spans="8:8" x14ac:dyDescent="0.25">
      <c r="H7633" t="s">
        <v>11494</v>
      </c>
    </row>
    <row r="7634" spans="8:8" x14ac:dyDescent="0.25">
      <c r="H7634" t="s">
        <v>30</v>
      </c>
    </row>
    <row r="7635" spans="8:8" x14ac:dyDescent="0.25">
      <c r="H7635" t="s">
        <v>137</v>
      </c>
    </row>
    <row r="7636" spans="8:8" x14ac:dyDescent="0.25">
      <c r="H7636" t="s">
        <v>11495</v>
      </c>
    </row>
    <row r="7637" spans="8:8" x14ac:dyDescent="0.25">
      <c r="H7637" t="s">
        <v>30</v>
      </c>
    </row>
    <row r="7638" spans="8:8" x14ac:dyDescent="0.25">
      <c r="H7638" t="s">
        <v>138</v>
      </c>
    </row>
    <row r="7639" spans="8:8" x14ac:dyDescent="0.25">
      <c r="H7639" t="s">
        <v>11496</v>
      </c>
    </row>
    <row r="7640" spans="8:8" x14ac:dyDescent="0.25">
      <c r="H7640" t="s">
        <v>30</v>
      </c>
    </row>
    <row r="7642" spans="8:8" x14ac:dyDescent="0.25">
      <c r="H7642" t="s">
        <v>11497</v>
      </c>
    </row>
    <row r="7643" spans="8:8" x14ac:dyDescent="0.25">
      <c r="H7643" t="s">
        <v>11498</v>
      </c>
    </row>
    <row r="7644" spans="8:8" x14ac:dyDescent="0.25">
      <c r="H7644" t="s">
        <v>135</v>
      </c>
    </row>
    <row r="7645" spans="8:8" x14ac:dyDescent="0.25">
      <c r="H7645" t="s">
        <v>11499</v>
      </c>
    </row>
    <row r="7646" spans="8:8" x14ac:dyDescent="0.25">
      <c r="H7646" t="s">
        <v>30</v>
      </c>
    </row>
    <row r="7647" spans="8:8" x14ac:dyDescent="0.25">
      <c r="H7647" t="s">
        <v>136</v>
      </c>
    </row>
    <row r="7648" spans="8:8" x14ac:dyDescent="0.25">
      <c r="H7648" t="s">
        <v>11500</v>
      </c>
    </row>
    <row r="7649" spans="8:8" x14ac:dyDescent="0.25">
      <c r="H7649" t="s">
        <v>30</v>
      </c>
    </row>
    <row r="7650" spans="8:8" x14ac:dyDescent="0.25">
      <c r="H7650" t="s">
        <v>137</v>
      </c>
    </row>
    <row r="7651" spans="8:8" x14ac:dyDescent="0.25">
      <c r="H7651" t="s">
        <v>11501</v>
      </c>
    </row>
    <row r="7652" spans="8:8" x14ac:dyDescent="0.25">
      <c r="H7652" t="s">
        <v>30</v>
      </c>
    </row>
    <row r="7653" spans="8:8" x14ac:dyDescent="0.25">
      <c r="H7653" t="s">
        <v>138</v>
      </c>
    </row>
    <row r="7654" spans="8:8" x14ac:dyDescent="0.25">
      <c r="H7654" t="s">
        <v>11502</v>
      </c>
    </row>
    <row r="7655" spans="8:8" x14ac:dyDescent="0.25">
      <c r="H7655" t="s">
        <v>30</v>
      </c>
    </row>
    <row r="7657" spans="8:8" x14ac:dyDescent="0.25">
      <c r="H7657" t="s">
        <v>11503</v>
      </c>
    </row>
    <row r="7658" spans="8:8" x14ac:dyDescent="0.25">
      <c r="H7658" t="s">
        <v>11504</v>
      </c>
    </row>
    <row r="7659" spans="8:8" x14ac:dyDescent="0.25">
      <c r="H7659" t="s">
        <v>135</v>
      </c>
    </row>
    <row r="7660" spans="8:8" x14ac:dyDescent="0.25">
      <c r="H7660" t="s">
        <v>11505</v>
      </c>
    </row>
    <row r="7661" spans="8:8" x14ac:dyDescent="0.25">
      <c r="H7661" t="s">
        <v>30</v>
      </c>
    </row>
    <row r="7662" spans="8:8" x14ac:dyDescent="0.25">
      <c r="H7662" t="s">
        <v>136</v>
      </c>
    </row>
    <row r="7663" spans="8:8" x14ac:dyDescent="0.25">
      <c r="H7663" t="s">
        <v>11506</v>
      </c>
    </row>
    <row r="7664" spans="8:8" x14ac:dyDescent="0.25">
      <c r="H7664" t="s">
        <v>30</v>
      </c>
    </row>
    <row r="7665" spans="8:8" x14ac:dyDescent="0.25">
      <c r="H7665" t="s">
        <v>137</v>
      </c>
    </row>
    <row r="7666" spans="8:8" x14ac:dyDescent="0.25">
      <c r="H7666" t="s">
        <v>11507</v>
      </c>
    </row>
    <row r="7667" spans="8:8" x14ac:dyDescent="0.25">
      <c r="H7667" t="s">
        <v>30</v>
      </c>
    </row>
    <row r="7668" spans="8:8" x14ac:dyDescent="0.25">
      <c r="H7668" t="s">
        <v>138</v>
      </c>
    </row>
    <row r="7669" spans="8:8" x14ac:dyDescent="0.25">
      <c r="H7669" t="s">
        <v>11508</v>
      </c>
    </row>
    <row r="7670" spans="8:8" x14ac:dyDescent="0.25">
      <c r="H7670" t="s">
        <v>30</v>
      </c>
    </row>
    <row r="7672" spans="8:8" x14ac:dyDescent="0.25">
      <c r="H7672" t="s">
        <v>11509</v>
      </c>
    </row>
    <row r="7673" spans="8:8" x14ac:dyDescent="0.25">
      <c r="H7673" t="s">
        <v>11510</v>
      </c>
    </row>
    <row r="7674" spans="8:8" x14ac:dyDescent="0.25">
      <c r="H7674" t="s">
        <v>135</v>
      </c>
    </row>
    <row r="7675" spans="8:8" x14ac:dyDescent="0.25">
      <c r="H7675" t="s">
        <v>11511</v>
      </c>
    </row>
    <row r="7676" spans="8:8" x14ac:dyDescent="0.25">
      <c r="H7676" t="s">
        <v>30</v>
      </c>
    </row>
    <row r="7677" spans="8:8" x14ac:dyDescent="0.25">
      <c r="H7677" t="s">
        <v>136</v>
      </c>
    </row>
    <row r="7678" spans="8:8" x14ac:dyDescent="0.25">
      <c r="H7678" t="s">
        <v>11512</v>
      </c>
    </row>
    <row r="7679" spans="8:8" x14ac:dyDescent="0.25">
      <c r="H7679" t="s">
        <v>30</v>
      </c>
    </row>
    <row r="7680" spans="8:8" x14ac:dyDescent="0.25">
      <c r="H7680" t="s">
        <v>137</v>
      </c>
    </row>
    <row r="7681" spans="8:8" x14ac:dyDescent="0.25">
      <c r="H7681" t="s">
        <v>11513</v>
      </c>
    </row>
    <row r="7682" spans="8:8" x14ac:dyDescent="0.25">
      <c r="H7682" t="s">
        <v>30</v>
      </c>
    </row>
    <row r="7683" spans="8:8" x14ac:dyDescent="0.25">
      <c r="H7683" t="s">
        <v>138</v>
      </c>
    </row>
    <row r="7684" spans="8:8" x14ac:dyDescent="0.25">
      <c r="H7684" t="s">
        <v>11514</v>
      </c>
    </row>
    <row r="7685" spans="8:8" x14ac:dyDescent="0.25">
      <c r="H7685" t="s">
        <v>30</v>
      </c>
    </row>
    <row r="7687" spans="8:8" x14ac:dyDescent="0.25">
      <c r="H7687" t="s">
        <v>11515</v>
      </c>
    </row>
    <row r="7688" spans="8:8" x14ac:dyDescent="0.25">
      <c r="H7688" t="s">
        <v>11516</v>
      </c>
    </row>
    <row r="7689" spans="8:8" x14ac:dyDescent="0.25">
      <c r="H7689" t="s">
        <v>135</v>
      </c>
    </row>
    <row r="7690" spans="8:8" x14ac:dyDescent="0.25">
      <c r="H7690" t="s">
        <v>11517</v>
      </c>
    </row>
    <row r="7691" spans="8:8" x14ac:dyDescent="0.25">
      <c r="H7691" t="s">
        <v>30</v>
      </c>
    </row>
    <row r="7692" spans="8:8" x14ac:dyDescent="0.25">
      <c r="H7692" t="s">
        <v>136</v>
      </c>
    </row>
    <row r="7693" spans="8:8" x14ac:dyDescent="0.25">
      <c r="H7693" t="s">
        <v>11518</v>
      </c>
    </row>
    <row r="7694" spans="8:8" x14ac:dyDescent="0.25">
      <c r="H7694" t="s">
        <v>30</v>
      </c>
    </row>
    <row r="7695" spans="8:8" x14ac:dyDescent="0.25">
      <c r="H7695" t="s">
        <v>137</v>
      </c>
    </row>
    <row r="7696" spans="8:8" x14ac:dyDescent="0.25">
      <c r="H7696" t="s">
        <v>11519</v>
      </c>
    </row>
    <row r="7697" spans="8:8" x14ac:dyDescent="0.25">
      <c r="H7697" t="s">
        <v>30</v>
      </c>
    </row>
    <row r="7698" spans="8:8" x14ac:dyDescent="0.25">
      <c r="H7698" t="s">
        <v>138</v>
      </c>
    </row>
    <row r="7699" spans="8:8" x14ac:dyDescent="0.25">
      <c r="H7699" t="s">
        <v>11520</v>
      </c>
    </row>
    <row r="7700" spans="8:8" x14ac:dyDescent="0.25">
      <c r="H7700" t="s">
        <v>30</v>
      </c>
    </row>
    <row r="7702" spans="8:8" x14ac:dyDescent="0.25">
      <c r="H7702" t="s">
        <v>11521</v>
      </c>
    </row>
    <row r="7703" spans="8:8" x14ac:dyDescent="0.25">
      <c r="H7703" t="s">
        <v>11522</v>
      </c>
    </row>
    <row r="7704" spans="8:8" x14ac:dyDescent="0.25">
      <c r="H7704" t="s">
        <v>135</v>
      </c>
    </row>
    <row r="7705" spans="8:8" x14ac:dyDescent="0.25">
      <c r="H7705" t="s">
        <v>11523</v>
      </c>
    </row>
    <row r="7706" spans="8:8" x14ac:dyDescent="0.25">
      <c r="H7706" t="s">
        <v>30</v>
      </c>
    </row>
    <row r="7707" spans="8:8" x14ac:dyDescent="0.25">
      <c r="H7707" t="s">
        <v>136</v>
      </c>
    </row>
    <row r="7708" spans="8:8" x14ac:dyDescent="0.25">
      <c r="H7708" t="s">
        <v>11524</v>
      </c>
    </row>
    <row r="7709" spans="8:8" x14ac:dyDescent="0.25">
      <c r="H7709" t="s">
        <v>30</v>
      </c>
    </row>
    <row r="7710" spans="8:8" x14ac:dyDescent="0.25">
      <c r="H7710" t="s">
        <v>137</v>
      </c>
    </row>
    <row r="7711" spans="8:8" x14ac:dyDescent="0.25">
      <c r="H7711" t="s">
        <v>11525</v>
      </c>
    </row>
    <row r="7712" spans="8:8" x14ac:dyDescent="0.25">
      <c r="H7712" t="s">
        <v>30</v>
      </c>
    </row>
    <row r="7713" spans="8:8" x14ac:dyDescent="0.25">
      <c r="H7713" t="s">
        <v>138</v>
      </c>
    </row>
    <row r="7714" spans="8:8" x14ac:dyDescent="0.25">
      <c r="H7714" t="s">
        <v>11526</v>
      </c>
    </row>
    <row r="7715" spans="8:8" x14ac:dyDescent="0.25">
      <c r="H7715" t="s">
        <v>30</v>
      </c>
    </row>
    <row r="7717" spans="8:8" x14ac:dyDescent="0.25">
      <c r="H7717" t="s">
        <v>11527</v>
      </c>
    </row>
    <row r="7718" spans="8:8" x14ac:dyDescent="0.25">
      <c r="H7718" t="s">
        <v>11528</v>
      </c>
    </row>
    <row r="7719" spans="8:8" x14ac:dyDescent="0.25">
      <c r="H7719" t="s">
        <v>135</v>
      </c>
    </row>
    <row r="7720" spans="8:8" x14ac:dyDescent="0.25">
      <c r="H7720" t="s">
        <v>11529</v>
      </c>
    </row>
    <row r="7721" spans="8:8" x14ac:dyDescent="0.25">
      <c r="H7721" t="s">
        <v>30</v>
      </c>
    </row>
    <row r="7722" spans="8:8" x14ac:dyDescent="0.25">
      <c r="H7722" t="s">
        <v>136</v>
      </c>
    </row>
    <row r="7723" spans="8:8" x14ac:dyDescent="0.25">
      <c r="H7723" t="s">
        <v>11530</v>
      </c>
    </row>
    <row r="7724" spans="8:8" x14ac:dyDescent="0.25">
      <c r="H7724" t="s">
        <v>30</v>
      </c>
    </row>
    <row r="7725" spans="8:8" x14ac:dyDescent="0.25">
      <c r="H7725" t="s">
        <v>137</v>
      </c>
    </row>
    <row r="7726" spans="8:8" x14ac:dyDescent="0.25">
      <c r="H7726" t="s">
        <v>11531</v>
      </c>
    </row>
    <row r="7727" spans="8:8" x14ac:dyDescent="0.25">
      <c r="H7727" t="s">
        <v>30</v>
      </c>
    </row>
    <row r="7728" spans="8:8" x14ac:dyDescent="0.25">
      <c r="H7728" t="s">
        <v>138</v>
      </c>
    </row>
    <row r="7729" spans="8:8" x14ac:dyDescent="0.25">
      <c r="H7729" t="s">
        <v>11532</v>
      </c>
    </row>
    <row r="7730" spans="8:8" x14ac:dyDescent="0.25">
      <c r="H7730" t="s">
        <v>30</v>
      </c>
    </row>
    <row r="7732" spans="8:8" x14ac:dyDescent="0.25">
      <c r="H7732" t="s">
        <v>11533</v>
      </c>
    </row>
    <row r="7733" spans="8:8" x14ac:dyDescent="0.25">
      <c r="H7733" t="s">
        <v>11534</v>
      </c>
    </row>
    <row r="7734" spans="8:8" x14ac:dyDescent="0.25">
      <c r="H7734" t="s">
        <v>135</v>
      </c>
    </row>
    <row r="7735" spans="8:8" x14ac:dyDescent="0.25">
      <c r="H7735" t="s">
        <v>11535</v>
      </c>
    </row>
    <row r="7736" spans="8:8" x14ac:dyDescent="0.25">
      <c r="H7736" t="s">
        <v>30</v>
      </c>
    </row>
    <row r="7737" spans="8:8" x14ac:dyDescent="0.25">
      <c r="H7737" t="s">
        <v>136</v>
      </c>
    </row>
    <row r="7738" spans="8:8" x14ac:dyDescent="0.25">
      <c r="H7738" t="s">
        <v>11536</v>
      </c>
    </row>
    <row r="7739" spans="8:8" x14ac:dyDescent="0.25">
      <c r="H7739" t="s">
        <v>30</v>
      </c>
    </row>
    <row r="7740" spans="8:8" x14ac:dyDescent="0.25">
      <c r="H7740" t="s">
        <v>137</v>
      </c>
    </row>
    <row r="7741" spans="8:8" x14ac:dyDescent="0.25">
      <c r="H7741" t="s">
        <v>11537</v>
      </c>
    </row>
    <row r="7742" spans="8:8" x14ac:dyDescent="0.25">
      <c r="H7742" t="s">
        <v>30</v>
      </c>
    </row>
    <row r="7743" spans="8:8" x14ac:dyDescent="0.25">
      <c r="H7743" t="s">
        <v>138</v>
      </c>
    </row>
    <row r="7744" spans="8:8" x14ac:dyDescent="0.25">
      <c r="H7744" t="s">
        <v>11538</v>
      </c>
    </row>
    <row r="7745" spans="8:8" x14ac:dyDescent="0.25">
      <c r="H7745" t="s">
        <v>30</v>
      </c>
    </row>
    <row r="7747" spans="8:8" x14ac:dyDescent="0.25">
      <c r="H7747" t="s">
        <v>11539</v>
      </c>
    </row>
    <row r="7748" spans="8:8" x14ac:dyDescent="0.25">
      <c r="H7748" t="s">
        <v>11540</v>
      </c>
    </row>
    <row r="7749" spans="8:8" x14ac:dyDescent="0.25">
      <c r="H7749" t="s">
        <v>135</v>
      </c>
    </row>
    <row r="7750" spans="8:8" x14ac:dyDescent="0.25">
      <c r="H7750" t="s">
        <v>11541</v>
      </c>
    </row>
    <row r="7751" spans="8:8" x14ac:dyDescent="0.25">
      <c r="H7751" t="s">
        <v>30</v>
      </c>
    </row>
    <row r="7752" spans="8:8" x14ac:dyDescent="0.25">
      <c r="H7752" t="s">
        <v>136</v>
      </c>
    </row>
    <row r="7753" spans="8:8" x14ac:dyDescent="0.25">
      <c r="H7753" t="s">
        <v>11542</v>
      </c>
    </row>
    <row r="7754" spans="8:8" x14ac:dyDescent="0.25">
      <c r="H7754" t="s">
        <v>30</v>
      </c>
    </row>
    <row r="7755" spans="8:8" x14ac:dyDescent="0.25">
      <c r="H7755" t="s">
        <v>137</v>
      </c>
    </row>
    <row r="7756" spans="8:8" x14ac:dyDescent="0.25">
      <c r="H7756" t="s">
        <v>11543</v>
      </c>
    </row>
    <row r="7757" spans="8:8" x14ac:dyDescent="0.25">
      <c r="H7757" t="s">
        <v>30</v>
      </c>
    </row>
    <row r="7758" spans="8:8" x14ac:dyDescent="0.25">
      <c r="H7758" t="s">
        <v>138</v>
      </c>
    </row>
    <row r="7759" spans="8:8" x14ac:dyDescent="0.25">
      <c r="H7759" t="s">
        <v>11544</v>
      </c>
    </row>
    <row r="7760" spans="8:8" x14ac:dyDescent="0.25">
      <c r="H7760" t="s">
        <v>30</v>
      </c>
    </row>
    <row r="7762" spans="8:8" x14ac:dyDescent="0.25">
      <c r="H7762" t="s">
        <v>11545</v>
      </c>
    </row>
    <row r="7763" spans="8:8" x14ac:dyDescent="0.25">
      <c r="H7763" t="s">
        <v>11546</v>
      </c>
    </row>
    <row r="7764" spans="8:8" x14ac:dyDescent="0.25">
      <c r="H7764" t="s">
        <v>135</v>
      </c>
    </row>
    <row r="7765" spans="8:8" x14ac:dyDescent="0.25">
      <c r="H7765" t="s">
        <v>11547</v>
      </c>
    </row>
    <row r="7766" spans="8:8" x14ac:dyDescent="0.25">
      <c r="H7766" t="s">
        <v>30</v>
      </c>
    </row>
    <row r="7767" spans="8:8" x14ac:dyDescent="0.25">
      <c r="H7767" t="s">
        <v>136</v>
      </c>
    </row>
    <row r="7768" spans="8:8" x14ac:dyDescent="0.25">
      <c r="H7768" t="s">
        <v>11548</v>
      </c>
    </row>
    <row r="7769" spans="8:8" x14ac:dyDescent="0.25">
      <c r="H7769" t="s">
        <v>30</v>
      </c>
    </row>
    <row r="7770" spans="8:8" x14ac:dyDescent="0.25">
      <c r="H7770" t="s">
        <v>137</v>
      </c>
    </row>
    <row r="7771" spans="8:8" x14ac:dyDescent="0.25">
      <c r="H7771" t="s">
        <v>11549</v>
      </c>
    </row>
    <row r="7772" spans="8:8" x14ac:dyDescent="0.25">
      <c r="H7772" t="s">
        <v>30</v>
      </c>
    </row>
    <row r="7773" spans="8:8" x14ac:dyDescent="0.25">
      <c r="H7773" t="s">
        <v>138</v>
      </c>
    </row>
    <row r="7774" spans="8:8" x14ac:dyDescent="0.25">
      <c r="H7774" t="s">
        <v>11550</v>
      </c>
    </row>
    <row r="7775" spans="8:8" x14ac:dyDescent="0.25">
      <c r="H7775" t="s">
        <v>30</v>
      </c>
    </row>
    <row r="7777" spans="8:8" x14ac:dyDescent="0.25">
      <c r="H7777" t="s">
        <v>11551</v>
      </c>
    </row>
    <row r="7778" spans="8:8" x14ac:dyDescent="0.25">
      <c r="H7778" t="s">
        <v>11552</v>
      </c>
    </row>
    <row r="7779" spans="8:8" x14ac:dyDescent="0.25">
      <c r="H7779" t="s">
        <v>135</v>
      </c>
    </row>
    <row r="7780" spans="8:8" x14ac:dyDescent="0.25">
      <c r="H7780" t="s">
        <v>11553</v>
      </c>
    </row>
    <row r="7781" spans="8:8" x14ac:dyDescent="0.25">
      <c r="H7781" t="s">
        <v>30</v>
      </c>
    </row>
    <row r="7782" spans="8:8" x14ac:dyDescent="0.25">
      <c r="H7782" t="s">
        <v>136</v>
      </c>
    </row>
    <row r="7783" spans="8:8" x14ac:dyDescent="0.25">
      <c r="H7783" t="s">
        <v>11554</v>
      </c>
    </row>
    <row r="7784" spans="8:8" x14ac:dyDescent="0.25">
      <c r="H7784" t="s">
        <v>30</v>
      </c>
    </row>
    <row r="7785" spans="8:8" x14ac:dyDescent="0.25">
      <c r="H7785" t="s">
        <v>137</v>
      </c>
    </row>
    <row r="7786" spans="8:8" x14ac:dyDescent="0.25">
      <c r="H7786" t="s">
        <v>11555</v>
      </c>
    </row>
    <row r="7787" spans="8:8" x14ac:dyDescent="0.25">
      <c r="H7787" t="s">
        <v>30</v>
      </c>
    </row>
    <row r="7788" spans="8:8" x14ac:dyDescent="0.25">
      <c r="H7788" t="s">
        <v>138</v>
      </c>
    </row>
    <row r="7789" spans="8:8" x14ac:dyDescent="0.25">
      <c r="H7789" t="s">
        <v>11556</v>
      </c>
    </row>
    <row r="7790" spans="8:8" x14ac:dyDescent="0.25">
      <c r="H7790" t="s">
        <v>30</v>
      </c>
    </row>
    <row r="7792" spans="8:8" x14ac:dyDescent="0.25">
      <c r="H7792" t="s">
        <v>11557</v>
      </c>
    </row>
    <row r="7793" spans="8:8" x14ac:dyDescent="0.25">
      <c r="H7793" t="s">
        <v>11558</v>
      </c>
    </row>
    <row r="7794" spans="8:8" x14ac:dyDescent="0.25">
      <c r="H7794" t="s">
        <v>135</v>
      </c>
    </row>
    <row r="7795" spans="8:8" x14ac:dyDescent="0.25">
      <c r="H7795" t="s">
        <v>11559</v>
      </c>
    </row>
    <row r="7796" spans="8:8" x14ac:dyDescent="0.25">
      <c r="H7796" t="s">
        <v>30</v>
      </c>
    </row>
    <row r="7797" spans="8:8" x14ac:dyDescent="0.25">
      <c r="H7797" t="s">
        <v>136</v>
      </c>
    </row>
    <row r="7798" spans="8:8" x14ac:dyDescent="0.25">
      <c r="H7798" t="s">
        <v>11560</v>
      </c>
    </row>
    <row r="7799" spans="8:8" x14ac:dyDescent="0.25">
      <c r="H7799" t="s">
        <v>30</v>
      </c>
    </row>
    <row r="7800" spans="8:8" x14ac:dyDescent="0.25">
      <c r="H7800" t="s">
        <v>137</v>
      </c>
    </row>
    <row r="7801" spans="8:8" x14ac:dyDescent="0.25">
      <c r="H7801" t="s">
        <v>11561</v>
      </c>
    </row>
    <row r="7802" spans="8:8" x14ac:dyDescent="0.25">
      <c r="H7802" t="s">
        <v>30</v>
      </c>
    </row>
    <row r="7803" spans="8:8" x14ac:dyDescent="0.25">
      <c r="H7803" t="s">
        <v>138</v>
      </c>
    </row>
    <row r="7804" spans="8:8" x14ac:dyDescent="0.25">
      <c r="H7804" t="s">
        <v>11562</v>
      </c>
    </row>
    <row r="7805" spans="8:8" x14ac:dyDescent="0.25">
      <c r="H7805" t="s">
        <v>30</v>
      </c>
    </row>
    <row r="7807" spans="8:8" x14ac:dyDescent="0.25">
      <c r="H7807" t="s">
        <v>11563</v>
      </c>
    </row>
    <row r="7808" spans="8:8" x14ac:dyDescent="0.25">
      <c r="H7808" t="s">
        <v>11564</v>
      </c>
    </row>
    <row r="7809" spans="8:8" x14ac:dyDescent="0.25">
      <c r="H7809" t="s">
        <v>135</v>
      </c>
    </row>
    <row r="7810" spans="8:8" x14ac:dyDescent="0.25">
      <c r="H7810" t="s">
        <v>11565</v>
      </c>
    </row>
    <row r="7811" spans="8:8" x14ac:dyDescent="0.25">
      <c r="H7811" t="s">
        <v>30</v>
      </c>
    </row>
    <row r="7812" spans="8:8" x14ac:dyDescent="0.25">
      <c r="H7812" t="s">
        <v>136</v>
      </c>
    </row>
    <row r="7813" spans="8:8" x14ac:dyDescent="0.25">
      <c r="H7813" t="s">
        <v>11566</v>
      </c>
    </row>
    <row r="7814" spans="8:8" x14ac:dyDescent="0.25">
      <c r="H7814" t="s">
        <v>30</v>
      </c>
    </row>
    <row r="7815" spans="8:8" x14ac:dyDescent="0.25">
      <c r="H7815" t="s">
        <v>137</v>
      </c>
    </row>
    <row r="7816" spans="8:8" x14ac:dyDescent="0.25">
      <c r="H7816" t="s">
        <v>11567</v>
      </c>
    </row>
    <row r="7817" spans="8:8" x14ac:dyDescent="0.25">
      <c r="H7817" t="s">
        <v>30</v>
      </c>
    </row>
    <row r="7818" spans="8:8" x14ac:dyDescent="0.25">
      <c r="H7818" t="s">
        <v>138</v>
      </c>
    </row>
    <row r="7819" spans="8:8" x14ac:dyDescent="0.25">
      <c r="H7819" t="s">
        <v>11568</v>
      </c>
    </row>
    <row r="7820" spans="8:8" x14ac:dyDescent="0.25">
      <c r="H7820" t="s">
        <v>30</v>
      </c>
    </row>
    <row r="7822" spans="8:8" x14ac:dyDescent="0.25">
      <c r="H7822" t="s">
        <v>11569</v>
      </c>
    </row>
    <row r="7823" spans="8:8" x14ac:dyDescent="0.25">
      <c r="H7823" t="s">
        <v>11570</v>
      </c>
    </row>
    <row r="7824" spans="8:8" x14ac:dyDescent="0.25">
      <c r="H7824" t="s">
        <v>135</v>
      </c>
    </row>
    <row r="7825" spans="8:8" x14ac:dyDescent="0.25">
      <c r="H7825" t="s">
        <v>11571</v>
      </c>
    </row>
    <row r="7826" spans="8:8" x14ac:dyDescent="0.25">
      <c r="H7826" t="s">
        <v>30</v>
      </c>
    </row>
    <row r="7827" spans="8:8" x14ac:dyDescent="0.25">
      <c r="H7827" t="s">
        <v>136</v>
      </c>
    </row>
    <row r="7828" spans="8:8" x14ac:dyDescent="0.25">
      <c r="H7828" t="s">
        <v>11572</v>
      </c>
    </row>
    <row r="7829" spans="8:8" x14ac:dyDescent="0.25">
      <c r="H7829" t="s">
        <v>30</v>
      </c>
    </row>
    <row r="7830" spans="8:8" x14ac:dyDescent="0.25">
      <c r="H7830" t="s">
        <v>137</v>
      </c>
    </row>
    <row r="7831" spans="8:8" x14ac:dyDescent="0.25">
      <c r="H7831" t="s">
        <v>11573</v>
      </c>
    </row>
    <row r="7832" spans="8:8" x14ac:dyDescent="0.25">
      <c r="H7832" t="s">
        <v>30</v>
      </c>
    </row>
    <row r="7833" spans="8:8" x14ac:dyDescent="0.25">
      <c r="H7833" t="s">
        <v>138</v>
      </c>
    </row>
    <row r="7834" spans="8:8" x14ac:dyDescent="0.25">
      <c r="H7834" t="s">
        <v>11574</v>
      </c>
    </row>
    <row r="7835" spans="8:8" x14ac:dyDescent="0.25">
      <c r="H7835" t="s">
        <v>30</v>
      </c>
    </row>
    <row r="7837" spans="8:8" x14ac:dyDescent="0.25">
      <c r="H7837" t="s">
        <v>11575</v>
      </c>
    </row>
    <row r="7838" spans="8:8" x14ac:dyDescent="0.25">
      <c r="H7838" t="s">
        <v>11576</v>
      </c>
    </row>
    <row r="7839" spans="8:8" x14ac:dyDescent="0.25">
      <c r="H7839" t="s">
        <v>135</v>
      </c>
    </row>
    <row r="7840" spans="8:8" x14ac:dyDescent="0.25">
      <c r="H7840" t="s">
        <v>11577</v>
      </c>
    </row>
    <row r="7841" spans="8:8" x14ac:dyDescent="0.25">
      <c r="H7841" t="s">
        <v>30</v>
      </c>
    </row>
    <row r="7842" spans="8:8" x14ac:dyDescent="0.25">
      <c r="H7842" t="s">
        <v>136</v>
      </c>
    </row>
    <row r="7843" spans="8:8" x14ac:dyDescent="0.25">
      <c r="H7843" t="s">
        <v>11578</v>
      </c>
    </row>
    <row r="7844" spans="8:8" x14ac:dyDescent="0.25">
      <c r="H7844" t="s">
        <v>30</v>
      </c>
    </row>
    <row r="7845" spans="8:8" x14ac:dyDescent="0.25">
      <c r="H7845" t="s">
        <v>137</v>
      </c>
    </row>
    <row r="7846" spans="8:8" x14ac:dyDescent="0.25">
      <c r="H7846" t="s">
        <v>11579</v>
      </c>
    </row>
    <row r="7847" spans="8:8" x14ac:dyDescent="0.25">
      <c r="H7847" t="s">
        <v>30</v>
      </c>
    </row>
    <row r="7848" spans="8:8" x14ac:dyDescent="0.25">
      <c r="H7848" t="s">
        <v>138</v>
      </c>
    </row>
    <row r="7849" spans="8:8" x14ac:dyDescent="0.25">
      <c r="H7849" t="s">
        <v>11580</v>
      </c>
    </row>
    <row r="7850" spans="8:8" x14ac:dyDescent="0.25">
      <c r="H7850" t="s">
        <v>30</v>
      </c>
    </row>
    <row r="7852" spans="8:8" x14ac:dyDescent="0.25">
      <c r="H7852" t="s">
        <v>11581</v>
      </c>
    </row>
    <row r="7853" spans="8:8" x14ac:dyDescent="0.25">
      <c r="H7853" t="s">
        <v>11582</v>
      </c>
    </row>
    <row r="7854" spans="8:8" x14ac:dyDescent="0.25">
      <c r="H7854" t="s">
        <v>135</v>
      </c>
    </row>
    <row r="7855" spans="8:8" x14ac:dyDescent="0.25">
      <c r="H7855" t="s">
        <v>11583</v>
      </c>
    </row>
    <row r="7856" spans="8:8" x14ac:dyDescent="0.25">
      <c r="H7856" t="s">
        <v>30</v>
      </c>
    </row>
    <row r="7857" spans="8:8" x14ac:dyDescent="0.25">
      <c r="H7857" t="s">
        <v>136</v>
      </c>
    </row>
    <row r="7858" spans="8:8" x14ac:dyDescent="0.25">
      <c r="H7858" t="s">
        <v>11584</v>
      </c>
    </row>
    <row r="7859" spans="8:8" x14ac:dyDescent="0.25">
      <c r="H7859" t="s">
        <v>30</v>
      </c>
    </row>
    <row r="7860" spans="8:8" x14ac:dyDescent="0.25">
      <c r="H7860" t="s">
        <v>137</v>
      </c>
    </row>
    <row r="7861" spans="8:8" x14ac:dyDescent="0.25">
      <c r="H7861" t="s">
        <v>11585</v>
      </c>
    </row>
    <row r="7862" spans="8:8" x14ac:dyDescent="0.25">
      <c r="H7862" t="s">
        <v>30</v>
      </c>
    </row>
    <row r="7863" spans="8:8" x14ac:dyDescent="0.25">
      <c r="H7863" t="s">
        <v>138</v>
      </c>
    </row>
    <row r="7864" spans="8:8" x14ac:dyDescent="0.25">
      <c r="H7864" t="s">
        <v>11586</v>
      </c>
    </row>
    <row r="7865" spans="8:8" x14ac:dyDescent="0.25">
      <c r="H7865" t="s">
        <v>30</v>
      </c>
    </row>
    <row r="7867" spans="8:8" x14ac:dyDescent="0.25">
      <c r="H7867" t="s">
        <v>11587</v>
      </c>
    </row>
    <row r="7868" spans="8:8" x14ac:dyDescent="0.25">
      <c r="H7868" t="s">
        <v>11588</v>
      </c>
    </row>
    <row r="7869" spans="8:8" x14ac:dyDescent="0.25">
      <c r="H7869" t="s">
        <v>135</v>
      </c>
    </row>
    <row r="7870" spans="8:8" x14ac:dyDescent="0.25">
      <c r="H7870" t="s">
        <v>11589</v>
      </c>
    </row>
    <row r="7871" spans="8:8" x14ac:dyDescent="0.25">
      <c r="H7871" t="s">
        <v>30</v>
      </c>
    </row>
    <row r="7872" spans="8:8" x14ac:dyDescent="0.25">
      <c r="H7872" t="s">
        <v>136</v>
      </c>
    </row>
    <row r="7873" spans="8:8" x14ac:dyDescent="0.25">
      <c r="H7873" t="s">
        <v>11590</v>
      </c>
    </row>
    <row r="7874" spans="8:8" x14ac:dyDescent="0.25">
      <c r="H7874" t="s">
        <v>30</v>
      </c>
    </row>
    <row r="7875" spans="8:8" x14ac:dyDescent="0.25">
      <c r="H7875" t="s">
        <v>137</v>
      </c>
    </row>
    <row r="7876" spans="8:8" x14ac:dyDescent="0.25">
      <c r="H7876" t="s">
        <v>11591</v>
      </c>
    </row>
    <row r="7877" spans="8:8" x14ac:dyDescent="0.25">
      <c r="H7877" t="s">
        <v>30</v>
      </c>
    </row>
    <row r="7878" spans="8:8" x14ac:dyDescent="0.25">
      <c r="H7878" t="s">
        <v>138</v>
      </c>
    </row>
    <row r="7879" spans="8:8" x14ac:dyDescent="0.25">
      <c r="H7879" t="s">
        <v>11592</v>
      </c>
    </row>
    <row r="7880" spans="8:8" x14ac:dyDescent="0.25">
      <c r="H7880" t="s">
        <v>30</v>
      </c>
    </row>
    <row r="7882" spans="8:8" x14ac:dyDescent="0.25">
      <c r="H7882" t="s">
        <v>11593</v>
      </c>
    </row>
    <row r="7883" spans="8:8" x14ac:dyDescent="0.25">
      <c r="H7883" t="s">
        <v>11594</v>
      </c>
    </row>
    <row r="7884" spans="8:8" x14ac:dyDescent="0.25">
      <c r="H7884" t="s">
        <v>135</v>
      </c>
    </row>
    <row r="7885" spans="8:8" x14ac:dyDescent="0.25">
      <c r="H7885" t="s">
        <v>11595</v>
      </c>
    </row>
    <row r="7886" spans="8:8" x14ac:dyDescent="0.25">
      <c r="H7886" t="s">
        <v>30</v>
      </c>
    </row>
    <row r="7887" spans="8:8" x14ac:dyDescent="0.25">
      <c r="H7887" t="s">
        <v>136</v>
      </c>
    </row>
    <row r="7888" spans="8:8" x14ac:dyDescent="0.25">
      <c r="H7888" t="s">
        <v>11596</v>
      </c>
    </row>
    <row r="7889" spans="8:8" x14ac:dyDescent="0.25">
      <c r="H7889" t="s">
        <v>30</v>
      </c>
    </row>
    <row r="7890" spans="8:8" x14ac:dyDescent="0.25">
      <c r="H7890" t="s">
        <v>137</v>
      </c>
    </row>
    <row r="7891" spans="8:8" x14ac:dyDescent="0.25">
      <c r="H7891" t="s">
        <v>11597</v>
      </c>
    </row>
    <row r="7892" spans="8:8" x14ac:dyDescent="0.25">
      <c r="H7892" t="s">
        <v>30</v>
      </c>
    </row>
    <row r="7893" spans="8:8" x14ac:dyDescent="0.25">
      <c r="H7893" t="s">
        <v>138</v>
      </c>
    </row>
    <row r="7894" spans="8:8" x14ac:dyDescent="0.25">
      <c r="H7894" t="s">
        <v>11598</v>
      </c>
    </row>
    <row r="7895" spans="8:8" x14ac:dyDescent="0.25">
      <c r="H7895" t="s">
        <v>30</v>
      </c>
    </row>
    <row r="7897" spans="8:8" x14ac:dyDescent="0.25">
      <c r="H7897" t="s">
        <v>11599</v>
      </c>
    </row>
    <row r="7898" spans="8:8" x14ac:dyDescent="0.25">
      <c r="H7898" t="s">
        <v>11600</v>
      </c>
    </row>
    <row r="7899" spans="8:8" x14ac:dyDescent="0.25">
      <c r="H7899" t="s">
        <v>135</v>
      </c>
    </row>
    <row r="7900" spans="8:8" x14ac:dyDescent="0.25">
      <c r="H7900" t="s">
        <v>11601</v>
      </c>
    </row>
    <row r="7901" spans="8:8" x14ac:dyDescent="0.25">
      <c r="H7901" t="s">
        <v>30</v>
      </c>
    </row>
    <row r="7902" spans="8:8" x14ac:dyDescent="0.25">
      <c r="H7902" t="s">
        <v>136</v>
      </c>
    </row>
    <row r="7903" spans="8:8" x14ac:dyDescent="0.25">
      <c r="H7903" t="s">
        <v>11602</v>
      </c>
    </row>
    <row r="7904" spans="8:8" x14ac:dyDescent="0.25">
      <c r="H7904" t="s">
        <v>30</v>
      </c>
    </row>
    <row r="7905" spans="8:8" x14ac:dyDescent="0.25">
      <c r="H7905" t="s">
        <v>137</v>
      </c>
    </row>
    <row r="7906" spans="8:8" x14ac:dyDescent="0.25">
      <c r="H7906" t="s">
        <v>11603</v>
      </c>
    </row>
    <row r="7907" spans="8:8" x14ac:dyDescent="0.25">
      <c r="H7907" t="s">
        <v>30</v>
      </c>
    </row>
    <row r="7908" spans="8:8" x14ac:dyDescent="0.25">
      <c r="H7908" t="s">
        <v>138</v>
      </c>
    </row>
    <row r="7909" spans="8:8" x14ac:dyDescent="0.25">
      <c r="H7909" t="s">
        <v>11604</v>
      </c>
    </row>
    <row r="7910" spans="8:8" x14ac:dyDescent="0.25">
      <c r="H7910" t="s">
        <v>30</v>
      </c>
    </row>
    <row r="7912" spans="8:8" x14ac:dyDescent="0.25">
      <c r="H7912" t="s">
        <v>11605</v>
      </c>
    </row>
    <row r="7913" spans="8:8" x14ac:dyDescent="0.25">
      <c r="H7913" t="s">
        <v>11606</v>
      </c>
    </row>
    <row r="7914" spans="8:8" x14ac:dyDescent="0.25">
      <c r="H7914" t="s">
        <v>135</v>
      </c>
    </row>
    <row r="7915" spans="8:8" x14ac:dyDescent="0.25">
      <c r="H7915" t="s">
        <v>11607</v>
      </c>
    </row>
    <row r="7916" spans="8:8" x14ac:dyDescent="0.25">
      <c r="H7916" t="s">
        <v>30</v>
      </c>
    </row>
    <row r="7917" spans="8:8" x14ac:dyDescent="0.25">
      <c r="H7917" t="s">
        <v>136</v>
      </c>
    </row>
    <row r="7918" spans="8:8" x14ac:dyDescent="0.25">
      <c r="H7918" t="s">
        <v>11608</v>
      </c>
    </row>
    <row r="7919" spans="8:8" x14ac:dyDescent="0.25">
      <c r="H7919" t="s">
        <v>30</v>
      </c>
    </row>
    <row r="7920" spans="8:8" x14ac:dyDescent="0.25">
      <c r="H7920" t="s">
        <v>137</v>
      </c>
    </row>
    <row r="7921" spans="8:8" x14ac:dyDescent="0.25">
      <c r="H7921" t="s">
        <v>11609</v>
      </c>
    </row>
    <row r="7922" spans="8:8" x14ac:dyDescent="0.25">
      <c r="H7922" t="s">
        <v>30</v>
      </c>
    </row>
    <row r="7923" spans="8:8" x14ac:dyDescent="0.25">
      <c r="H7923" t="s">
        <v>138</v>
      </c>
    </row>
    <row r="7924" spans="8:8" x14ac:dyDescent="0.25">
      <c r="H7924" t="s">
        <v>11610</v>
      </c>
    </row>
    <row r="7925" spans="8:8" x14ac:dyDescent="0.25">
      <c r="H7925" t="s">
        <v>30</v>
      </c>
    </row>
    <row r="7927" spans="8:8" x14ac:dyDescent="0.25">
      <c r="H7927" t="s">
        <v>11611</v>
      </c>
    </row>
    <row r="7928" spans="8:8" x14ac:dyDescent="0.25">
      <c r="H7928" t="s">
        <v>11612</v>
      </c>
    </row>
    <row r="7929" spans="8:8" x14ac:dyDescent="0.25">
      <c r="H7929" t="s">
        <v>135</v>
      </c>
    </row>
    <row r="7930" spans="8:8" x14ac:dyDescent="0.25">
      <c r="H7930" t="s">
        <v>11613</v>
      </c>
    </row>
    <row r="7931" spans="8:8" x14ac:dyDescent="0.25">
      <c r="H7931" t="s">
        <v>30</v>
      </c>
    </row>
    <row r="7932" spans="8:8" x14ac:dyDescent="0.25">
      <c r="H7932" t="s">
        <v>136</v>
      </c>
    </row>
    <row r="7933" spans="8:8" x14ac:dyDescent="0.25">
      <c r="H7933" t="s">
        <v>11614</v>
      </c>
    </row>
    <row r="7934" spans="8:8" x14ac:dyDescent="0.25">
      <c r="H7934" t="s">
        <v>30</v>
      </c>
    </row>
    <row r="7935" spans="8:8" x14ac:dyDescent="0.25">
      <c r="H7935" t="s">
        <v>137</v>
      </c>
    </row>
    <row r="7936" spans="8:8" x14ac:dyDescent="0.25">
      <c r="H7936" t="s">
        <v>11615</v>
      </c>
    </row>
    <row r="7937" spans="8:8" x14ac:dyDescent="0.25">
      <c r="H7937" t="s">
        <v>30</v>
      </c>
    </row>
    <row r="7938" spans="8:8" x14ac:dyDescent="0.25">
      <c r="H7938" t="s">
        <v>138</v>
      </c>
    </row>
    <row r="7939" spans="8:8" x14ac:dyDescent="0.25">
      <c r="H7939" t="s">
        <v>11616</v>
      </c>
    </row>
    <row r="7940" spans="8:8" x14ac:dyDescent="0.25">
      <c r="H7940" t="s">
        <v>30</v>
      </c>
    </row>
    <row r="7942" spans="8:8" x14ac:dyDescent="0.25">
      <c r="H7942" t="s">
        <v>11617</v>
      </c>
    </row>
    <row r="7943" spans="8:8" x14ac:dyDescent="0.25">
      <c r="H7943" t="s">
        <v>11618</v>
      </c>
    </row>
    <row r="7944" spans="8:8" x14ac:dyDescent="0.25">
      <c r="H7944" t="s">
        <v>135</v>
      </c>
    </row>
    <row r="7945" spans="8:8" x14ac:dyDescent="0.25">
      <c r="H7945" t="s">
        <v>11619</v>
      </c>
    </row>
    <row r="7946" spans="8:8" x14ac:dyDescent="0.25">
      <c r="H7946" t="s">
        <v>30</v>
      </c>
    </row>
    <row r="7947" spans="8:8" x14ac:dyDescent="0.25">
      <c r="H7947" t="s">
        <v>136</v>
      </c>
    </row>
    <row r="7948" spans="8:8" x14ac:dyDescent="0.25">
      <c r="H7948" t="s">
        <v>11620</v>
      </c>
    </row>
    <row r="7949" spans="8:8" x14ac:dyDescent="0.25">
      <c r="H7949" t="s">
        <v>30</v>
      </c>
    </row>
    <row r="7950" spans="8:8" x14ac:dyDescent="0.25">
      <c r="H7950" t="s">
        <v>137</v>
      </c>
    </row>
    <row r="7951" spans="8:8" x14ac:dyDescent="0.25">
      <c r="H7951" t="s">
        <v>11621</v>
      </c>
    </row>
    <row r="7952" spans="8:8" x14ac:dyDescent="0.25">
      <c r="H7952" t="s">
        <v>30</v>
      </c>
    </row>
    <row r="7953" spans="8:8" x14ac:dyDescent="0.25">
      <c r="H7953" t="s">
        <v>138</v>
      </c>
    </row>
    <row r="7954" spans="8:8" x14ac:dyDescent="0.25">
      <c r="H7954" t="s">
        <v>11622</v>
      </c>
    </row>
    <row r="7955" spans="8:8" x14ac:dyDescent="0.25">
      <c r="H7955" t="s">
        <v>30</v>
      </c>
    </row>
    <row r="7957" spans="8:8" x14ac:dyDescent="0.25">
      <c r="H7957" t="s">
        <v>11623</v>
      </c>
    </row>
    <row r="7958" spans="8:8" x14ac:dyDescent="0.25">
      <c r="H7958" t="s">
        <v>11624</v>
      </c>
    </row>
    <row r="7959" spans="8:8" x14ac:dyDescent="0.25">
      <c r="H7959" t="s">
        <v>135</v>
      </c>
    </row>
    <row r="7960" spans="8:8" x14ac:dyDescent="0.25">
      <c r="H7960" t="s">
        <v>11625</v>
      </c>
    </row>
    <row r="7961" spans="8:8" x14ac:dyDescent="0.25">
      <c r="H7961" t="s">
        <v>30</v>
      </c>
    </row>
    <row r="7962" spans="8:8" x14ac:dyDescent="0.25">
      <c r="H7962" t="s">
        <v>136</v>
      </c>
    </row>
    <row r="7963" spans="8:8" x14ac:dyDescent="0.25">
      <c r="H7963" t="s">
        <v>11626</v>
      </c>
    </row>
    <row r="7964" spans="8:8" x14ac:dyDescent="0.25">
      <c r="H7964" t="s">
        <v>30</v>
      </c>
    </row>
    <row r="7965" spans="8:8" x14ac:dyDescent="0.25">
      <c r="H7965" t="s">
        <v>137</v>
      </c>
    </row>
    <row r="7966" spans="8:8" x14ac:dyDescent="0.25">
      <c r="H7966" t="s">
        <v>11627</v>
      </c>
    </row>
    <row r="7967" spans="8:8" x14ac:dyDescent="0.25">
      <c r="H7967" t="s">
        <v>30</v>
      </c>
    </row>
    <row r="7968" spans="8:8" x14ac:dyDescent="0.25">
      <c r="H7968" t="s">
        <v>138</v>
      </c>
    </row>
    <row r="7969" spans="8:8" x14ac:dyDescent="0.25">
      <c r="H7969" t="s">
        <v>11628</v>
      </c>
    </row>
    <row r="7970" spans="8:8" x14ac:dyDescent="0.25">
      <c r="H7970" t="s">
        <v>30</v>
      </c>
    </row>
    <row r="7972" spans="8:8" x14ac:dyDescent="0.25">
      <c r="H7972" t="s">
        <v>11629</v>
      </c>
    </row>
    <row r="7973" spans="8:8" x14ac:dyDescent="0.25">
      <c r="H7973" t="s">
        <v>11630</v>
      </c>
    </row>
    <row r="7974" spans="8:8" x14ac:dyDescent="0.25">
      <c r="H7974" t="s">
        <v>135</v>
      </c>
    </row>
    <row r="7975" spans="8:8" x14ac:dyDescent="0.25">
      <c r="H7975" t="s">
        <v>11631</v>
      </c>
    </row>
    <row r="7976" spans="8:8" x14ac:dyDescent="0.25">
      <c r="H7976" t="s">
        <v>30</v>
      </c>
    </row>
    <row r="7977" spans="8:8" x14ac:dyDescent="0.25">
      <c r="H7977" t="s">
        <v>136</v>
      </c>
    </row>
    <row r="7978" spans="8:8" x14ac:dyDescent="0.25">
      <c r="H7978" t="s">
        <v>11632</v>
      </c>
    </row>
    <row r="7979" spans="8:8" x14ac:dyDescent="0.25">
      <c r="H7979" t="s">
        <v>30</v>
      </c>
    </row>
    <row r="7980" spans="8:8" x14ac:dyDescent="0.25">
      <c r="H7980" t="s">
        <v>137</v>
      </c>
    </row>
    <row r="7981" spans="8:8" x14ac:dyDescent="0.25">
      <c r="H7981" t="s">
        <v>11633</v>
      </c>
    </row>
    <row r="7982" spans="8:8" x14ac:dyDescent="0.25">
      <c r="H7982" t="s">
        <v>30</v>
      </c>
    </row>
    <row r="7983" spans="8:8" x14ac:dyDescent="0.25">
      <c r="H7983" t="s">
        <v>138</v>
      </c>
    </row>
    <row r="7984" spans="8:8" x14ac:dyDescent="0.25">
      <c r="H7984" t="s">
        <v>11634</v>
      </c>
    </row>
    <row r="7985" spans="8:8" x14ac:dyDescent="0.25">
      <c r="H7985" t="s">
        <v>30</v>
      </c>
    </row>
    <row r="7987" spans="8:8" x14ac:dyDescent="0.25">
      <c r="H7987" t="s">
        <v>11635</v>
      </c>
    </row>
    <row r="7988" spans="8:8" x14ac:dyDescent="0.25">
      <c r="H7988" t="s">
        <v>11636</v>
      </c>
    </row>
    <row r="7989" spans="8:8" x14ac:dyDescent="0.25">
      <c r="H7989" t="s">
        <v>135</v>
      </c>
    </row>
    <row r="7990" spans="8:8" x14ac:dyDescent="0.25">
      <c r="H7990" t="s">
        <v>11637</v>
      </c>
    </row>
    <row r="7991" spans="8:8" x14ac:dyDescent="0.25">
      <c r="H7991" t="s">
        <v>30</v>
      </c>
    </row>
    <row r="7992" spans="8:8" x14ac:dyDescent="0.25">
      <c r="H7992" t="s">
        <v>136</v>
      </c>
    </row>
    <row r="7993" spans="8:8" x14ac:dyDescent="0.25">
      <c r="H7993" t="s">
        <v>11638</v>
      </c>
    </row>
    <row r="7994" spans="8:8" x14ac:dyDescent="0.25">
      <c r="H7994" t="s">
        <v>30</v>
      </c>
    </row>
    <row r="7995" spans="8:8" x14ac:dyDescent="0.25">
      <c r="H7995" t="s">
        <v>137</v>
      </c>
    </row>
    <row r="7996" spans="8:8" x14ac:dyDescent="0.25">
      <c r="H7996" t="s">
        <v>11639</v>
      </c>
    </row>
    <row r="7997" spans="8:8" x14ac:dyDescent="0.25">
      <c r="H7997" t="s">
        <v>30</v>
      </c>
    </row>
    <row r="7998" spans="8:8" x14ac:dyDescent="0.25">
      <c r="H7998" t="s">
        <v>138</v>
      </c>
    </row>
    <row r="7999" spans="8:8" x14ac:dyDescent="0.25">
      <c r="H7999" t="s">
        <v>11640</v>
      </c>
    </row>
    <row r="8000" spans="8:8" x14ac:dyDescent="0.25">
      <c r="H8000" t="s">
        <v>30</v>
      </c>
    </row>
    <row r="8002" spans="8:8" x14ac:dyDescent="0.25">
      <c r="H8002" t="s">
        <v>11641</v>
      </c>
    </row>
    <row r="8003" spans="8:8" x14ac:dyDescent="0.25">
      <c r="H8003" t="s">
        <v>11642</v>
      </c>
    </row>
    <row r="8004" spans="8:8" x14ac:dyDescent="0.25">
      <c r="H8004" t="s">
        <v>135</v>
      </c>
    </row>
    <row r="8005" spans="8:8" x14ac:dyDescent="0.25">
      <c r="H8005" t="s">
        <v>11643</v>
      </c>
    </row>
    <row r="8006" spans="8:8" x14ac:dyDescent="0.25">
      <c r="H8006" t="s">
        <v>30</v>
      </c>
    </row>
    <row r="8007" spans="8:8" x14ac:dyDescent="0.25">
      <c r="H8007" t="s">
        <v>136</v>
      </c>
    </row>
    <row r="8008" spans="8:8" x14ac:dyDescent="0.25">
      <c r="H8008" t="s">
        <v>11644</v>
      </c>
    </row>
    <row r="8009" spans="8:8" x14ac:dyDescent="0.25">
      <c r="H8009" t="s">
        <v>30</v>
      </c>
    </row>
    <row r="8010" spans="8:8" x14ac:dyDescent="0.25">
      <c r="H8010" t="s">
        <v>137</v>
      </c>
    </row>
    <row r="8011" spans="8:8" x14ac:dyDescent="0.25">
      <c r="H8011" t="s">
        <v>11645</v>
      </c>
    </row>
    <row r="8012" spans="8:8" x14ac:dyDescent="0.25">
      <c r="H8012" t="s">
        <v>30</v>
      </c>
    </row>
    <row r="8013" spans="8:8" x14ac:dyDescent="0.25">
      <c r="H8013" t="s">
        <v>138</v>
      </c>
    </row>
    <row r="8014" spans="8:8" x14ac:dyDescent="0.25">
      <c r="H8014" t="s">
        <v>11646</v>
      </c>
    </row>
    <row r="8015" spans="8:8" x14ac:dyDescent="0.25">
      <c r="H8015" t="s">
        <v>30</v>
      </c>
    </row>
    <row r="8017" spans="8:8" x14ac:dyDescent="0.25">
      <c r="H8017" t="s">
        <v>11647</v>
      </c>
    </row>
    <row r="8018" spans="8:8" x14ac:dyDescent="0.25">
      <c r="H8018" t="s">
        <v>11648</v>
      </c>
    </row>
    <row r="8019" spans="8:8" x14ac:dyDescent="0.25">
      <c r="H8019" t="s">
        <v>135</v>
      </c>
    </row>
    <row r="8020" spans="8:8" x14ac:dyDescent="0.25">
      <c r="H8020" t="s">
        <v>11649</v>
      </c>
    </row>
    <row r="8021" spans="8:8" x14ac:dyDescent="0.25">
      <c r="H8021" t="s">
        <v>30</v>
      </c>
    </row>
    <row r="8022" spans="8:8" x14ac:dyDescent="0.25">
      <c r="H8022" t="s">
        <v>136</v>
      </c>
    </row>
    <row r="8023" spans="8:8" x14ac:dyDescent="0.25">
      <c r="H8023" t="s">
        <v>11650</v>
      </c>
    </row>
    <row r="8024" spans="8:8" x14ac:dyDescent="0.25">
      <c r="H8024" t="s">
        <v>30</v>
      </c>
    </row>
    <row r="8025" spans="8:8" x14ac:dyDescent="0.25">
      <c r="H8025" t="s">
        <v>137</v>
      </c>
    </row>
    <row r="8026" spans="8:8" x14ac:dyDescent="0.25">
      <c r="H8026" t="s">
        <v>11651</v>
      </c>
    </row>
    <row r="8027" spans="8:8" x14ac:dyDescent="0.25">
      <c r="H8027" t="s">
        <v>30</v>
      </c>
    </row>
    <row r="8028" spans="8:8" x14ac:dyDescent="0.25">
      <c r="H8028" t="s">
        <v>138</v>
      </c>
    </row>
    <row r="8029" spans="8:8" x14ac:dyDescent="0.25">
      <c r="H8029" t="s">
        <v>11652</v>
      </c>
    </row>
    <row r="8030" spans="8:8" x14ac:dyDescent="0.25">
      <c r="H8030" t="s">
        <v>30</v>
      </c>
    </row>
    <row r="8032" spans="8:8" x14ac:dyDescent="0.25">
      <c r="H8032" t="s">
        <v>11653</v>
      </c>
    </row>
    <row r="8033" spans="8:8" x14ac:dyDescent="0.25">
      <c r="H8033" t="s">
        <v>11654</v>
      </c>
    </row>
    <row r="8034" spans="8:8" x14ac:dyDescent="0.25">
      <c r="H8034" t="s">
        <v>135</v>
      </c>
    </row>
    <row r="8035" spans="8:8" x14ac:dyDescent="0.25">
      <c r="H8035" t="s">
        <v>11655</v>
      </c>
    </row>
    <row r="8036" spans="8:8" x14ac:dyDescent="0.25">
      <c r="H8036" t="s">
        <v>30</v>
      </c>
    </row>
    <row r="8037" spans="8:8" x14ac:dyDescent="0.25">
      <c r="H8037" t="s">
        <v>136</v>
      </c>
    </row>
    <row r="8038" spans="8:8" x14ac:dyDescent="0.25">
      <c r="H8038" t="s">
        <v>11656</v>
      </c>
    </row>
    <row r="8039" spans="8:8" x14ac:dyDescent="0.25">
      <c r="H8039" t="s">
        <v>30</v>
      </c>
    </row>
    <row r="8040" spans="8:8" x14ac:dyDescent="0.25">
      <c r="H8040" t="s">
        <v>137</v>
      </c>
    </row>
    <row r="8041" spans="8:8" x14ac:dyDescent="0.25">
      <c r="H8041" t="s">
        <v>11657</v>
      </c>
    </row>
    <row r="8042" spans="8:8" x14ac:dyDescent="0.25">
      <c r="H8042" t="s">
        <v>30</v>
      </c>
    </row>
    <row r="8043" spans="8:8" x14ac:dyDescent="0.25">
      <c r="H8043" t="s">
        <v>138</v>
      </c>
    </row>
    <row r="8044" spans="8:8" x14ac:dyDescent="0.25">
      <c r="H8044" t="s">
        <v>11658</v>
      </c>
    </row>
    <row r="8045" spans="8:8" x14ac:dyDescent="0.25">
      <c r="H8045" t="s">
        <v>30</v>
      </c>
    </row>
    <row r="8047" spans="8:8" x14ac:dyDescent="0.25">
      <c r="H8047" t="s">
        <v>11659</v>
      </c>
    </row>
    <row r="8048" spans="8:8" x14ac:dyDescent="0.25">
      <c r="H8048" t="s">
        <v>11660</v>
      </c>
    </row>
    <row r="8049" spans="8:8" x14ac:dyDescent="0.25">
      <c r="H8049" t="s">
        <v>135</v>
      </c>
    </row>
    <row r="8050" spans="8:8" x14ac:dyDescent="0.25">
      <c r="H8050" t="s">
        <v>11661</v>
      </c>
    </row>
    <row r="8051" spans="8:8" x14ac:dyDescent="0.25">
      <c r="H8051" t="s">
        <v>30</v>
      </c>
    </row>
    <row r="8052" spans="8:8" x14ac:dyDescent="0.25">
      <c r="H8052" t="s">
        <v>136</v>
      </c>
    </row>
    <row r="8053" spans="8:8" x14ac:dyDescent="0.25">
      <c r="H8053" t="s">
        <v>11662</v>
      </c>
    </row>
    <row r="8054" spans="8:8" x14ac:dyDescent="0.25">
      <c r="H8054" t="s">
        <v>30</v>
      </c>
    </row>
    <row r="8055" spans="8:8" x14ac:dyDescent="0.25">
      <c r="H8055" t="s">
        <v>137</v>
      </c>
    </row>
    <row r="8056" spans="8:8" x14ac:dyDescent="0.25">
      <c r="H8056" t="s">
        <v>11663</v>
      </c>
    </row>
    <row r="8057" spans="8:8" x14ac:dyDescent="0.25">
      <c r="H8057" t="s">
        <v>30</v>
      </c>
    </row>
    <row r="8058" spans="8:8" x14ac:dyDescent="0.25">
      <c r="H8058" t="s">
        <v>138</v>
      </c>
    </row>
    <row r="8059" spans="8:8" x14ac:dyDescent="0.25">
      <c r="H8059" t="s">
        <v>11664</v>
      </c>
    </row>
    <row r="8060" spans="8:8" x14ac:dyDescent="0.25">
      <c r="H8060" t="s">
        <v>30</v>
      </c>
    </row>
    <row r="8062" spans="8:8" x14ac:dyDescent="0.25">
      <c r="H8062" t="s">
        <v>11665</v>
      </c>
    </row>
    <row r="8063" spans="8:8" x14ac:dyDescent="0.25">
      <c r="H8063" t="s">
        <v>11666</v>
      </c>
    </row>
    <row r="8064" spans="8:8" x14ac:dyDescent="0.25">
      <c r="H8064" t="s">
        <v>135</v>
      </c>
    </row>
    <row r="8065" spans="8:8" x14ac:dyDescent="0.25">
      <c r="H8065" t="s">
        <v>11667</v>
      </c>
    </row>
    <row r="8066" spans="8:8" x14ac:dyDescent="0.25">
      <c r="H8066" t="s">
        <v>30</v>
      </c>
    </row>
    <row r="8067" spans="8:8" x14ac:dyDescent="0.25">
      <c r="H8067" t="s">
        <v>136</v>
      </c>
    </row>
    <row r="8068" spans="8:8" x14ac:dyDescent="0.25">
      <c r="H8068" t="s">
        <v>11668</v>
      </c>
    </row>
    <row r="8069" spans="8:8" x14ac:dyDescent="0.25">
      <c r="H8069" t="s">
        <v>30</v>
      </c>
    </row>
    <row r="8070" spans="8:8" x14ac:dyDescent="0.25">
      <c r="H8070" t="s">
        <v>137</v>
      </c>
    </row>
    <row r="8071" spans="8:8" x14ac:dyDescent="0.25">
      <c r="H8071" t="s">
        <v>11669</v>
      </c>
    </row>
    <row r="8072" spans="8:8" x14ac:dyDescent="0.25">
      <c r="H8072" t="s">
        <v>30</v>
      </c>
    </row>
    <row r="8073" spans="8:8" x14ac:dyDescent="0.25">
      <c r="H8073" t="s">
        <v>138</v>
      </c>
    </row>
    <row r="8074" spans="8:8" x14ac:dyDescent="0.25">
      <c r="H8074" t="s">
        <v>11670</v>
      </c>
    </row>
    <row r="8075" spans="8:8" x14ac:dyDescent="0.25">
      <c r="H8075" t="s">
        <v>30</v>
      </c>
    </row>
    <row r="8077" spans="8:8" x14ac:dyDescent="0.25">
      <c r="H8077" t="s">
        <v>11671</v>
      </c>
    </row>
    <row r="8078" spans="8:8" x14ac:dyDescent="0.25">
      <c r="H8078" t="s">
        <v>11672</v>
      </c>
    </row>
    <row r="8079" spans="8:8" x14ac:dyDescent="0.25">
      <c r="H8079" t="s">
        <v>135</v>
      </c>
    </row>
    <row r="8080" spans="8:8" x14ac:dyDescent="0.25">
      <c r="H8080" t="s">
        <v>11673</v>
      </c>
    </row>
    <row r="8081" spans="8:8" x14ac:dyDescent="0.25">
      <c r="H8081" t="s">
        <v>30</v>
      </c>
    </row>
    <row r="8082" spans="8:8" x14ac:dyDescent="0.25">
      <c r="H8082" t="s">
        <v>136</v>
      </c>
    </row>
    <row r="8083" spans="8:8" x14ac:dyDescent="0.25">
      <c r="H8083" t="s">
        <v>11674</v>
      </c>
    </row>
    <row r="8084" spans="8:8" x14ac:dyDescent="0.25">
      <c r="H8084" t="s">
        <v>30</v>
      </c>
    </row>
    <row r="8085" spans="8:8" x14ac:dyDescent="0.25">
      <c r="H8085" t="s">
        <v>137</v>
      </c>
    </row>
    <row r="8086" spans="8:8" x14ac:dyDescent="0.25">
      <c r="H8086" t="s">
        <v>11675</v>
      </c>
    </row>
    <row r="8087" spans="8:8" x14ac:dyDescent="0.25">
      <c r="H8087" t="s">
        <v>30</v>
      </c>
    </row>
    <row r="8088" spans="8:8" x14ac:dyDescent="0.25">
      <c r="H8088" t="s">
        <v>138</v>
      </c>
    </row>
    <row r="8089" spans="8:8" x14ac:dyDescent="0.25">
      <c r="H8089" t="s">
        <v>11676</v>
      </c>
    </row>
    <row r="8090" spans="8:8" x14ac:dyDescent="0.25">
      <c r="H8090" t="s">
        <v>30</v>
      </c>
    </row>
    <row r="8092" spans="8:8" x14ac:dyDescent="0.25">
      <c r="H8092" t="s">
        <v>11677</v>
      </c>
    </row>
    <row r="8093" spans="8:8" x14ac:dyDescent="0.25">
      <c r="H8093" t="s">
        <v>11678</v>
      </c>
    </row>
    <row r="8094" spans="8:8" x14ac:dyDescent="0.25">
      <c r="H8094" t="s">
        <v>135</v>
      </c>
    </row>
    <row r="8095" spans="8:8" x14ac:dyDescent="0.25">
      <c r="H8095" t="s">
        <v>11679</v>
      </c>
    </row>
    <row r="8096" spans="8:8" x14ac:dyDescent="0.25">
      <c r="H8096" t="s">
        <v>30</v>
      </c>
    </row>
    <row r="8097" spans="8:8" x14ac:dyDescent="0.25">
      <c r="H8097" t="s">
        <v>136</v>
      </c>
    </row>
    <row r="8098" spans="8:8" x14ac:dyDescent="0.25">
      <c r="H8098" t="s">
        <v>11680</v>
      </c>
    </row>
    <row r="8099" spans="8:8" x14ac:dyDescent="0.25">
      <c r="H8099" t="s">
        <v>30</v>
      </c>
    </row>
    <row r="8100" spans="8:8" x14ac:dyDescent="0.25">
      <c r="H8100" t="s">
        <v>137</v>
      </c>
    </row>
    <row r="8101" spans="8:8" x14ac:dyDescent="0.25">
      <c r="H8101" t="s">
        <v>11681</v>
      </c>
    </row>
    <row r="8102" spans="8:8" x14ac:dyDescent="0.25">
      <c r="H8102" t="s">
        <v>30</v>
      </c>
    </row>
    <row r="8103" spans="8:8" x14ac:dyDescent="0.25">
      <c r="H8103" t="s">
        <v>138</v>
      </c>
    </row>
    <row r="8104" spans="8:8" x14ac:dyDescent="0.25">
      <c r="H8104" t="s">
        <v>11682</v>
      </c>
    </row>
    <row r="8105" spans="8:8" x14ac:dyDescent="0.25">
      <c r="H8105" t="s">
        <v>30</v>
      </c>
    </row>
    <row r="8107" spans="8:8" x14ac:dyDescent="0.25">
      <c r="H8107" t="s">
        <v>11683</v>
      </c>
    </row>
    <row r="8108" spans="8:8" x14ac:dyDescent="0.25">
      <c r="H8108" t="s">
        <v>11684</v>
      </c>
    </row>
    <row r="8109" spans="8:8" x14ac:dyDescent="0.25">
      <c r="H8109" t="s">
        <v>135</v>
      </c>
    </row>
    <row r="8110" spans="8:8" x14ac:dyDescent="0.25">
      <c r="H8110" t="s">
        <v>11685</v>
      </c>
    </row>
    <row r="8111" spans="8:8" x14ac:dyDescent="0.25">
      <c r="H8111" t="s">
        <v>30</v>
      </c>
    </row>
    <row r="8112" spans="8:8" x14ac:dyDescent="0.25">
      <c r="H8112" t="s">
        <v>136</v>
      </c>
    </row>
    <row r="8113" spans="8:8" x14ac:dyDescent="0.25">
      <c r="H8113" t="s">
        <v>11686</v>
      </c>
    </row>
    <row r="8114" spans="8:8" x14ac:dyDescent="0.25">
      <c r="H8114" t="s">
        <v>30</v>
      </c>
    </row>
    <row r="8115" spans="8:8" x14ac:dyDescent="0.25">
      <c r="H8115" t="s">
        <v>137</v>
      </c>
    </row>
    <row r="8116" spans="8:8" x14ac:dyDescent="0.25">
      <c r="H8116" t="s">
        <v>11687</v>
      </c>
    </row>
    <row r="8117" spans="8:8" x14ac:dyDescent="0.25">
      <c r="H8117" t="s">
        <v>30</v>
      </c>
    </row>
    <row r="8118" spans="8:8" x14ac:dyDescent="0.25">
      <c r="H8118" t="s">
        <v>138</v>
      </c>
    </row>
    <row r="8119" spans="8:8" x14ac:dyDescent="0.25">
      <c r="H8119" t="s">
        <v>11688</v>
      </c>
    </row>
    <row r="8120" spans="8:8" x14ac:dyDescent="0.25">
      <c r="H8120" t="s">
        <v>30</v>
      </c>
    </row>
    <row r="8122" spans="8:8" x14ac:dyDescent="0.25">
      <c r="H8122" t="s">
        <v>11689</v>
      </c>
    </row>
    <row r="8123" spans="8:8" x14ac:dyDescent="0.25">
      <c r="H8123" t="s">
        <v>11690</v>
      </c>
    </row>
    <row r="8124" spans="8:8" x14ac:dyDescent="0.25">
      <c r="H8124" t="s">
        <v>135</v>
      </c>
    </row>
    <row r="8125" spans="8:8" x14ac:dyDescent="0.25">
      <c r="H8125" t="s">
        <v>11691</v>
      </c>
    </row>
    <row r="8126" spans="8:8" x14ac:dyDescent="0.25">
      <c r="H8126" t="s">
        <v>30</v>
      </c>
    </row>
    <row r="8127" spans="8:8" x14ac:dyDescent="0.25">
      <c r="H8127" t="s">
        <v>136</v>
      </c>
    </row>
    <row r="8128" spans="8:8" x14ac:dyDescent="0.25">
      <c r="H8128" t="s">
        <v>11692</v>
      </c>
    </row>
    <row r="8129" spans="8:8" x14ac:dyDescent="0.25">
      <c r="H8129" t="s">
        <v>30</v>
      </c>
    </row>
    <row r="8130" spans="8:8" x14ac:dyDescent="0.25">
      <c r="H8130" t="s">
        <v>137</v>
      </c>
    </row>
    <row r="8131" spans="8:8" x14ac:dyDescent="0.25">
      <c r="H8131" t="s">
        <v>11693</v>
      </c>
    </row>
    <row r="8132" spans="8:8" x14ac:dyDescent="0.25">
      <c r="H8132" t="s">
        <v>30</v>
      </c>
    </row>
    <row r="8133" spans="8:8" x14ac:dyDescent="0.25">
      <c r="H8133" t="s">
        <v>138</v>
      </c>
    </row>
    <row r="8134" spans="8:8" x14ac:dyDescent="0.25">
      <c r="H8134" t="s">
        <v>11694</v>
      </c>
    </row>
    <row r="8135" spans="8:8" x14ac:dyDescent="0.25">
      <c r="H8135" t="s">
        <v>30</v>
      </c>
    </row>
    <row r="8137" spans="8:8" x14ac:dyDescent="0.25">
      <c r="H8137" t="s">
        <v>11695</v>
      </c>
    </row>
    <row r="8138" spans="8:8" x14ac:dyDescent="0.25">
      <c r="H8138" t="s">
        <v>11696</v>
      </c>
    </row>
    <row r="8139" spans="8:8" x14ac:dyDescent="0.25">
      <c r="H8139" t="s">
        <v>135</v>
      </c>
    </row>
    <row r="8140" spans="8:8" x14ac:dyDescent="0.25">
      <c r="H8140" t="s">
        <v>11697</v>
      </c>
    </row>
    <row r="8141" spans="8:8" x14ac:dyDescent="0.25">
      <c r="H8141" t="s">
        <v>30</v>
      </c>
    </row>
    <row r="8142" spans="8:8" x14ac:dyDescent="0.25">
      <c r="H8142" t="s">
        <v>136</v>
      </c>
    </row>
    <row r="8143" spans="8:8" x14ac:dyDescent="0.25">
      <c r="H8143" t="s">
        <v>11698</v>
      </c>
    </row>
    <row r="8144" spans="8:8" x14ac:dyDescent="0.25">
      <c r="H8144" t="s">
        <v>30</v>
      </c>
    </row>
    <row r="8145" spans="8:8" x14ac:dyDescent="0.25">
      <c r="H8145" t="s">
        <v>137</v>
      </c>
    </row>
    <row r="8146" spans="8:8" x14ac:dyDescent="0.25">
      <c r="H8146" t="s">
        <v>11699</v>
      </c>
    </row>
    <row r="8147" spans="8:8" x14ac:dyDescent="0.25">
      <c r="H8147" t="s">
        <v>30</v>
      </c>
    </row>
    <row r="8148" spans="8:8" x14ac:dyDescent="0.25">
      <c r="H8148" t="s">
        <v>138</v>
      </c>
    </row>
    <row r="8149" spans="8:8" x14ac:dyDescent="0.25">
      <c r="H8149" t="s">
        <v>11700</v>
      </c>
    </row>
    <row r="8150" spans="8:8" x14ac:dyDescent="0.25">
      <c r="H8150" t="s">
        <v>30</v>
      </c>
    </row>
    <row r="8152" spans="8:8" x14ac:dyDescent="0.25">
      <c r="H8152" t="s">
        <v>11701</v>
      </c>
    </row>
    <row r="8153" spans="8:8" x14ac:dyDescent="0.25">
      <c r="H8153" t="s">
        <v>11702</v>
      </c>
    </row>
    <row r="8154" spans="8:8" x14ac:dyDescent="0.25">
      <c r="H8154" t="s">
        <v>135</v>
      </c>
    </row>
    <row r="8155" spans="8:8" x14ac:dyDescent="0.25">
      <c r="H8155" t="s">
        <v>11703</v>
      </c>
    </row>
    <row r="8156" spans="8:8" x14ac:dyDescent="0.25">
      <c r="H8156" t="s">
        <v>30</v>
      </c>
    </row>
    <row r="8157" spans="8:8" x14ac:dyDescent="0.25">
      <c r="H8157" t="s">
        <v>136</v>
      </c>
    </row>
    <row r="8158" spans="8:8" x14ac:dyDescent="0.25">
      <c r="H8158" t="s">
        <v>11704</v>
      </c>
    </row>
    <row r="8159" spans="8:8" x14ac:dyDescent="0.25">
      <c r="H8159" t="s">
        <v>30</v>
      </c>
    </row>
    <row r="8160" spans="8:8" x14ac:dyDescent="0.25">
      <c r="H8160" t="s">
        <v>137</v>
      </c>
    </row>
    <row r="8161" spans="8:8" x14ac:dyDescent="0.25">
      <c r="H8161" t="s">
        <v>11705</v>
      </c>
    </row>
    <row r="8162" spans="8:8" x14ac:dyDescent="0.25">
      <c r="H8162" t="s">
        <v>30</v>
      </c>
    </row>
    <row r="8163" spans="8:8" x14ac:dyDescent="0.25">
      <c r="H8163" t="s">
        <v>138</v>
      </c>
    </row>
    <row r="8164" spans="8:8" x14ac:dyDescent="0.25">
      <c r="H8164" t="s">
        <v>11706</v>
      </c>
    </row>
    <row r="8165" spans="8:8" x14ac:dyDescent="0.25">
      <c r="H8165" t="s">
        <v>30</v>
      </c>
    </row>
    <row r="8167" spans="8:8" x14ac:dyDescent="0.25">
      <c r="H8167" t="s">
        <v>11707</v>
      </c>
    </row>
    <row r="8168" spans="8:8" x14ac:dyDescent="0.25">
      <c r="H8168" t="s">
        <v>11708</v>
      </c>
    </row>
    <row r="8169" spans="8:8" x14ac:dyDescent="0.25">
      <c r="H8169" t="s">
        <v>135</v>
      </c>
    </row>
    <row r="8170" spans="8:8" x14ac:dyDescent="0.25">
      <c r="H8170" t="s">
        <v>11709</v>
      </c>
    </row>
    <row r="8171" spans="8:8" x14ac:dyDescent="0.25">
      <c r="H8171" t="s">
        <v>30</v>
      </c>
    </row>
    <row r="8172" spans="8:8" x14ac:dyDescent="0.25">
      <c r="H8172" t="s">
        <v>136</v>
      </c>
    </row>
    <row r="8173" spans="8:8" x14ac:dyDescent="0.25">
      <c r="H8173" t="s">
        <v>11710</v>
      </c>
    </row>
    <row r="8174" spans="8:8" x14ac:dyDescent="0.25">
      <c r="H8174" t="s">
        <v>30</v>
      </c>
    </row>
    <row r="8175" spans="8:8" x14ac:dyDescent="0.25">
      <c r="H8175" t="s">
        <v>137</v>
      </c>
    </row>
    <row r="8176" spans="8:8" x14ac:dyDescent="0.25">
      <c r="H8176" t="s">
        <v>11711</v>
      </c>
    </row>
    <row r="8177" spans="8:8" x14ac:dyDescent="0.25">
      <c r="H8177" t="s">
        <v>30</v>
      </c>
    </row>
    <row r="8178" spans="8:8" x14ac:dyDescent="0.25">
      <c r="H8178" t="s">
        <v>138</v>
      </c>
    </row>
    <row r="8179" spans="8:8" x14ac:dyDescent="0.25">
      <c r="H8179" t="s">
        <v>11712</v>
      </c>
    </row>
    <row r="8180" spans="8:8" x14ac:dyDescent="0.25">
      <c r="H8180" t="s">
        <v>30</v>
      </c>
    </row>
    <row r="8182" spans="8:8" x14ac:dyDescent="0.25">
      <c r="H8182" t="s">
        <v>11713</v>
      </c>
    </row>
    <row r="8183" spans="8:8" x14ac:dyDescent="0.25">
      <c r="H8183" t="s">
        <v>11714</v>
      </c>
    </row>
    <row r="8184" spans="8:8" x14ac:dyDescent="0.25">
      <c r="H8184" t="s">
        <v>135</v>
      </c>
    </row>
    <row r="8185" spans="8:8" x14ac:dyDescent="0.25">
      <c r="H8185" t="s">
        <v>11715</v>
      </c>
    </row>
    <row r="8186" spans="8:8" x14ac:dyDescent="0.25">
      <c r="H8186" t="s">
        <v>30</v>
      </c>
    </row>
    <row r="8187" spans="8:8" x14ac:dyDescent="0.25">
      <c r="H8187" t="s">
        <v>136</v>
      </c>
    </row>
    <row r="8188" spans="8:8" x14ac:dyDescent="0.25">
      <c r="H8188" t="s">
        <v>11716</v>
      </c>
    </row>
    <row r="8189" spans="8:8" x14ac:dyDescent="0.25">
      <c r="H8189" t="s">
        <v>30</v>
      </c>
    </row>
    <row r="8190" spans="8:8" x14ac:dyDescent="0.25">
      <c r="H8190" t="s">
        <v>137</v>
      </c>
    </row>
    <row r="8191" spans="8:8" x14ac:dyDescent="0.25">
      <c r="H8191" t="s">
        <v>11717</v>
      </c>
    </row>
    <row r="8192" spans="8:8" x14ac:dyDescent="0.25">
      <c r="H8192" t="s">
        <v>30</v>
      </c>
    </row>
    <row r="8193" spans="8:8" x14ac:dyDescent="0.25">
      <c r="H8193" t="s">
        <v>138</v>
      </c>
    </row>
    <row r="8194" spans="8:8" x14ac:dyDescent="0.25">
      <c r="H8194" t="s">
        <v>11718</v>
      </c>
    </row>
    <row r="8195" spans="8:8" x14ac:dyDescent="0.25">
      <c r="H8195" t="s">
        <v>30</v>
      </c>
    </row>
    <row r="8197" spans="8:8" x14ac:dyDescent="0.25">
      <c r="H8197" t="s">
        <v>11719</v>
      </c>
    </row>
    <row r="8198" spans="8:8" x14ac:dyDescent="0.25">
      <c r="H8198" t="s">
        <v>11720</v>
      </c>
    </row>
    <row r="8199" spans="8:8" x14ac:dyDescent="0.25">
      <c r="H8199" t="s">
        <v>135</v>
      </c>
    </row>
    <row r="8200" spans="8:8" x14ac:dyDescent="0.25">
      <c r="H8200" t="s">
        <v>11721</v>
      </c>
    </row>
    <row r="8201" spans="8:8" x14ac:dyDescent="0.25">
      <c r="H8201" t="s">
        <v>30</v>
      </c>
    </row>
    <row r="8202" spans="8:8" x14ac:dyDescent="0.25">
      <c r="H8202" t="s">
        <v>136</v>
      </c>
    </row>
    <row r="8203" spans="8:8" x14ac:dyDescent="0.25">
      <c r="H8203" t="s">
        <v>11722</v>
      </c>
    </row>
    <row r="8204" spans="8:8" x14ac:dyDescent="0.25">
      <c r="H8204" t="s">
        <v>30</v>
      </c>
    </row>
    <row r="8205" spans="8:8" x14ac:dyDescent="0.25">
      <c r="H8205" t="s">
        <v>137</v>
      </c>
    </row>
    <row r="8206" spans="8:8" x14ac:dyDescent="0.25">
      <c r="H8206" t="s">
        <v>11723</v>
      </c>
    </row>
    <row r="8207" spans="8:8" x14ac:dyDescent="0.25">
      <c r="H8207" t="s">
        <v>30</v>
      </c>
    </row>
    <row r="8208" spans="8:8" x14ac:dyDescent="0.25">
      <c r="H8208" t="s">
        <v>138</v>
      </c>
    </row>
    <row r="8209" spans="8:8" x14ac:dyDescent="0.25">
      <c r="H8209" t="s">
        <v>11724</v>
      </c>
    </row>
    <row r="8210" spans="8:8" x14ac:dyDescent="0.25">
      <c r="H8210" t="s">
        <v>30</v>
      </c>
    </row>
    <row r="8212" spans="8:8" x14ac:dyDescent="0.25">
      <c r="H8212" t="s">
        <v>11725</v>
      </c>
    </row>
    <row r="8213" spans="8:8" x14ac:dyDescent="0.25">
      <c r="H8213" t="s">
        <v>11726</v>
      </c>
    </row>
    <row r="8214" spans="8:8" x14ac:dyDescent="0.25">
      <c r="H8214" t="s">
        <v>135</v>
      </c>
    </row>
    <row r="8215" spans="8:8" x14ac:dyDescent="0.25">
      <c r="H8215" t="s">
        <v>11727</v>
      </c>
    </row>
    <row r="8216" spans="8:8" x14ac:dyDescent="0.25">
      <c r="H8216" t="s">
        <v>30</v>
      </c>
    </row>
    <row r="8217" spans="8:8" x14ac:dyDescent="0.25">
      <c r="H8217" t="s">
        <v>136</v>
      </c>
    </row>
    <row r="8218" spans="8:8" x14ac:dyDescent="0.25">
      <c r="H8218" t="s">
        <v>11728</v>
      </c>
    </row>
    <row r="8219" spans="8:8" x14ac:dyDescent="0.25">
      <c r="H8219" t="s">
        <v>30</v>
      </c>
    </row>
    <row r="8220" spans="8:8" x14ac:dyDescent="0.25">
      <c r="H8220" t="s">
        <v>137</v>
      </c>
    </row>
    <row r="8221" spans="8:8" x14ac:dyDescent="0.25">
      <c r="H8221" t="s">
        <v>11729</v>
      </c>
    </row>
    <row r="8222" spans="8:8" x14ac:dyDescent="0.25">
      <c r="H8222" t="s">
        <v>30</v>
      </c>
    </row>
    <row r="8223" spans="8:8" x14ac:dyDescent="0.25">
      <c r="H8223" t="s">
        <v>138</v>
      </c>
    </row>
    <row r="8224" spans="8:8" x14ac:dyDescent="0.25">
      <c r="H8224" t="s">
        <v>11730</v>
      </c>
    </row>
    <row r="8225" spans="8:8" x14ac:dyDescent="0.25">
      <c r="H8225" t="s">
        <v>30</v>
      </c>
    </row>
    <row r="8227" spans="8:8" x14ac:dyDescent="0.25">
      <c r="H8227" t="s">
        <v>11731</v>
      </c>
    </row>
    <row r="8228" spans="8:8" x14ac:dyDescent="0.25">
      <c r="H8228" t="s">
        <v>11732</v>
      </c>
    </row>
    <row r="8229" spans="8:8" x14ac:dyDescent="0.25">
      <c r="H8229" t="s">
        <v>135</v>
      </c>
    </row>
    <row r="8230" spans="8:8" x14ac:dyDescent="0.25">
      <c r="H8230" t="s">
        <v>11733</v>
      </c>
    </row>
    <row r="8231" spans="8:8" x14ac:dyDescent="0.25">
      <c r="H8231" t="s">
        <v>30</v>
      </c>
    </row>
    <row r="8232" spans="8:8" x14ac:dyDescent="0.25">
      <c r="H8232" t="s">
        <v>136</v>
      </c>
    </row>
    <row r="8233" spans="8:8" x14ac:dyDescent="0.25">
      <c r="H8233" t="s">
        <v>11734</v>
      </c>
    </row>
    <row r="8234" spans="8:8" x14ac:dyDescent="0.25">
      <c r="H8234" t="s">
        <v>30</v>
      </c>
    </row>
    <row r="8235" spans="8:8" x14ac:dyDescent="0.25">
      <c r="H8235" t="s">
        <v>137</v>
      </c>
    </row>
    <row r="8236" spans="8:8" x14ac:dyDescent="0.25">
      <c r="H8236" t="s">
        <v>11735</v>
      </c>
    </row>
    <row r="8237" spans="8:8" x14ac:dyDescent="0.25">
      <c r="H8237" t="s">
        <v>30</v>
      </c>
    </row>
    <row r="8238" spans="8:8" x14ac:dyDescent="0.25">
      <c r="H8238" t="s">
        <v>138</v>
      </c>
    </row>
    <row r="8239" spans="8:8" x14ac:dyDescent="0.25">
      <c r="H8239" t="s">
        <v>11736</v>
      </c>
    </row>
    <row r="8240" spans="8:8" x14ac:dyDescent="0.25">
      <c r="H8240" t="s">
        <v>30</v>
      </c>
    </row>
    <row r="8242" spans="8:8" x14ac:dyDescent="0.25">
      <c r="H8242" t="s">
        <v>11737</v>
      </c>
    </row>
    <row r="8243" spans="8:8" x14ac:dyDescent="0.25">
      <c r="H8243" t="s">
        <v>11738</v>
      </c>
    </row>
    <row r="8244" spans="8:8" x14ac:dyDescent="0.25">
      <c r="H8244" t="s">
        <v>135</v>
      </c>
    </row>
    <row r="8245" spans="8:8" x14ac:dyDescent="0.25">
      <c r="H8245" t="s">
        <v>11739</v>
      </c>
    </row>
    <row r="8246" spans="8:8" x14ac:dyDescent="0.25">
      <c r="H8246" t="s">
        <v>30</v>
      </c>
    </row>
    <row r="8247" spans="8:8" x14ac:dyDescent="0.25">
      <c r="H8247" t="s">
        <v>136</v>
      </c>
    </row>
    <row r="8248" spans="8:8" x14ac:dyDescent="0.25">
      <c r="H8248" t="s">
        <v>11740</v>
      </c>
    </row>
    <row r="8249" spans="8:8" x14ac:dyDescent="0.25">
      <c r="H8249" t="s">
        <v>30</v>
      </c>
    </row>
    <row r="8250" spans="8:8" x14ac:dyDescent="0.25">
      <c r="H8250" t="s">
        <v>137</v>
      </c>
    </row>
    <row r="8251" spans="8:8" x14ac:dyDescent="0.25">
      <c r="H8251" t="s">
        <v>11741</v>
      </c>
    </row>
    <row r="8252" spans="8:8" x14ac:dyDescent="0.25">
      <c r="H8252" t="s">
        <v>30</v>
      </c>
    </row>
    <row r="8253" spans="8:8" x14ac:dyDescent="0.25">
      <c r="H8253" t="s">
        <v>138</v>
      </c>
    </row>
    <row r="8254" spans="8:8" x14ac:dyDescent="0.25">
      <c r="H8254" t="s">
        <v>11742</v>
      </c>
    </row>
    <row r="8255" spans="8:8" x14ac:dyDescent="0.25">
      <c r="H8255" t="s">
        <v>30</v>
      </c>
    </row>
    <row r="8257" spans="8:8" x14ac:dyDescent="0.25">
      <c r="H8257" t="s">
        <v>11743</v>
      </c>
    </row>
    <row r="8258" spans="8:8" x14ac:dyDescent="0.25">
      <c r="H8258" t="s">
        <v>11744</v>
      </c>
    </row>
    <row r="8259" spans="8:8" x14ac:dyDescent="0.25">
      <c r="H8259" t="s">
        <v>135</v>
      </c>
    </row>
    <row r="8260" spans="8:8" x14ac:dyDescent="0.25">
      <c r="H8260" t="s">
        <v>11745</v>
      </c>
    </row>
    <row r="8261" spans="8:8" x14ac:dyDescent="0.25">
      <c r="H8261" t="s">
        <v>30</v>
      </c>
    </row>
    <row r="8262" spans="8:8" x14ac:dyDescent="0.25">
      <c r="H8262" t="s">
        <v>136</v>
      </c>
    </row>
    <row r="8263" spans="8:8" x14ac:dyDescent="0.25">
      <c r="H8263" t="s">
        <v>11746</v>
      </c>
    </row>
    <row r="8264" spans="8:8" x14ac:dyDescent="0.25">
      <c r="H8264" t="s">
        <v>30</v>
      </c>
    </row>
    <row r="8265" spans="8:8" x14ac:dyDescent="0.25">
      <c r="H8265" t="s">
        <v>137</v>
      </c>
    </row>
    <row r="8266" spans="8:8" x14ac:dyDescent="0.25">
      <c r="H8266" t="s">
        <v>11747</v>
      </c>
    </row>
    <row r="8267" spans="8:8" x14ac:dyDescent="0.25">
      <c r="H8267" t="s">
        <v>30</v>
      </c>
    </row>
    <row r="8268" spans="8:8" x14ac:dyDescent="0.25">
      <c r="H8268" t="s">
        <v>138</v>
      </c>
    </row>
    <row r="8269" spans="8:8" x14ac:dyDescent="0.25">
      <c r="H8269" t="s">
        <v>11748</v>
      </c>
    </row>
    <row r="8270" spans="8:8" x14ac:dyDescent="0.25">
      <c r="H8270" t="s">
        <v>30</v>
      </c>
    </row>
    <row r="8272" spans="8:8" x14ac:dyDescent="0.25">
      <c r="H8272" t="s">
        <v>11749</v>
      </c>
    </row>
    <row r="8273" spans="8:8" x14ac:dyDescent="0.25">
      <c r="H8273" t="s">
        <v>11750</v>
      </c>
    </row>
    <row r="8274" spans="8:8" x14ac:dyDescent="0.25">
      <c r="H8274" t="s">
        <v>135</v>
      </c>
    </row>
    <row r="8275" spans="8:8" x14ac:dyDescent="0.25">
      <c r="H8275" t="s">
        <v>11751</v>
      </c>
    </row>
    <row r="8276" spans="8:8" x14ac:dyDescent="0.25">
      <c r="H8276" t="s">
        <v>30</v>
      </c>
    </row>
    <row r="8277" spans="8:8" x14ac:dyDescent="0.25">
      <c r="H8277" t="s">
        <v>136</v>
      </c>
    </row>
    <row r="8278" spans="8:8" x14ac:dyDescent="0.25">
      <c r="H8278" t="s">
        <v>11752</v>
      </c>
    </row>
    <row r="8279" spans="8:8" x14ac:dyDescent="0.25">
      <c r="H8279" t="s">
        <v>30</v>
      </c>
    </row>
    <row r="8280" spans="8:8" x14ac:dyDescent="0.25">
      <c r="H8280" t="s">
        <v>137</v>
      </c>
    </row>
    <row r="8281" spans="8:8" x14ac:dyDescent="0.25">
      <c r="H8281" t="s">
        <v>11753</v>
      </c>
    </row>
    <row r="8282" spans="8:8" x14ac:dyDescent="0.25">
      <c r="H8282" t="s">
        <v>30</v>
      </c>
    </row>
    <row r="8283" spans="8:8" x14ac:dyDescent="0.25">
      <c r="H8283" t="s">
        <v>138</v>
      </c>
    </row>
    <row r="8284" spans="8:8" x14ac:dyDescent="0.25">
      <c r="H8284" t="s">
        <v>11754</v>
      </c>
    </row>
    <row r="8285" spans="8:8" x14ac:dyDescent="0.25">
      <c r="H8285" t="s">
        <v>30</v>
      </c>
    </row>
    <row r="8287" spans="8:8" x14ac:dyDescent="0.25">
      <c r="H8287" t="s">
        <v>11755</v>
      </c>
    </row>
    <row r="8288" spans="8:8" x14ac:dyDescent="0.25">
      <c r="H8288" t="s">
        <v>11756</v>
      </c>
    </row>
    <row r="8289" spans="8:8" x14ac:dyDescent="0.25">
      <c r="H8289" t="s">
        <v>135</v>
      </c>
    </row>
    <row r="8290" spans="8:8" x14ac:dyDescent="0.25">
      <c r="H8290" t="s">
        <v>11757</v>
      </c>
    </row>
    <row r="8291" spans="8:8" x14ac:dyDescent="0.25">
      <c r="H8291" t="s">
        <v>30</v>
      </c>
    </row>
    <row r="8292" spans="8:8" x14ac:dyDescent="0.25">
      <c r="H8292" t="s">
        <v>136</v>
      </c>
    </row>
    <row r="8293" spans="8:8" x14ac:dyDescent="0.25">
      <c r="H8293" t="s">
        <v>11758</v>
      </c>
    </row>
    <row r="8294" spans="8:8" x14ac:dyDescent="0.25">
      <c r="H8294" t="s">
        <v>30</v>
      </c>
    </row>
    <row r="8295" spans="8:8" x14ac:dyDescent="0.25">
      <c r="H8295" t="s">
        <v>137</v>
      </c>
    </row>
    <row r="8296" spans="8:8" x14ac:dyDescent="0.25">
      <c r="H8296" t="s">
        <v>11759</v>
      </c>
    </row>
    <row r="8297" spans="8:8" x14ac:dyDescent="0.25">
      <c r="H8297" t="s">
        <v>30</v>
      </c>
    </row>
    <row r="8298" spans="8:8" x14ac:dyDescent="0.25">
      <c r="H8298" t="s">
        <v>138</v>
      </c>
    </row>
    <row r="8299" spans="8:8" x14ac:dyDescent="0.25">
      <c r="H8299" t="s">
        <v>11760</v>
      </c>
    </row>
    <row r="8300" spans="8:8" x14ac:dyDescent="0.25">
      <c r="H8300" t="s">
        <v>30</v>
      </c>
    </row>
    <row r="8302" spans="8:8" x14ac:dyDescent="0.25">
      <c r="H8302" t="s">
        <v>11761</v>
      </c>
    </row>
    <row r="8303" spans="8:8" x14ac:dyDescent="0.25">
      <c r="H8303" t="s">
        <v>11762</v>
      </c>
    </row>
    <row r="8304" spans="8:8" x14ac:dyDescent="0.25">
      <c r="H8304" t="s">
        <v>135</v>
      </c>
    </row>
    <row r="8305" spans="8:8" x14ac:dyDescent="0.25">
      <c r="H8305" t="s">
        <v>11763</v>
      </c>
    </row>
    <row r="8306" spans="8:8" x14ac:dyDescent="0.25">
      <c r="H8306" t="s">
        <v>30</v>
      </c>
    </row>
    <row r="8307" spans="8:8" x14ac:dyDescent="0.25">
      <c r="H8307" t="s">
        <v>136</v>
      </c>
    </row>
    <row r="8308" spans="8:8" x14ac:dyDescent="0.25">
      <c r="H8308" t="s">
        <v>11764</v>
      </c>
    </row>
    <row r="8309" spans="8:8" x14ac:dyDescent="0.25">
      <c r="H8309" t="s">
        <v>30</v>
      </c>
    </row>
    <row r="8310" spans="8:8" x14ac:dyDescent="0.25">
      <c r="H8310" t="s">
        <v>137</v>
      </c>
    </row>
    <row r="8311" spans="8:8" x14ac:dyDescent="0.25">
      <c r="H8311" t="s">
        <v>11765</v>
      </c>
    </row>
    <row r="8312" spans="8:8" x14ac:dyDescent="0.25">
      <c r="H8312" t="s">
        <v>30</v>
      </c>
    </row>
    <row r="8313" spans="8:8" x14ac:dyDescent="0.25">
      <c r="H8313" t="s">
        <v>138</v>
      </c>
    </row>
    <row r="8314" spans="8:8" x14ac:dyDescent="0.25">
      <c r="H8314" t="s">
        <v>11766</v>
      </c>
    </row>
    <row r="8315" spans="8:8" x14ac:dyDescent="0.25">
      <c r="H8315" t="s">
        <v>30</v>
      </c>
    </row>
    <row r="8317" spans="8:8" x14ac:dyDescent="0.25">
      <c r="H8317" t="s">
        <v>11767</v>
      </c>
    </row>
    <row r="8318" spans="8:8" x14ac:dyDescent="0.25">
      <c r="H8318" t="s">
        <v>11768</v>
      </c>
    </row>
    <row r="8319" spans="8:8" x14ac:dyDescent="0.25">
      <c r="H8319" t="s">
        <v>135</v>
      </c>
    </row>
    <row r="8320" spans="8:8" x14ac:dyDescent="0.25">
      <c r="H8320" t="s">
        <v>11769</v>
      </c>
    </row>
    <row r="8321" spans="8:8" x14ac:dyDescent="0.25">
      <c r="H8321" t="s">
        <v>30</v>
      </c>
    </row>
    <row r="8322" spans="8:8" x14ac:dyDescent="0.25">
      <c r="H8322" t="s">
        <v>136</v>
      </c>
    </row>
    <row r="8323" spans="8:8" x14ac:dyDescent="0.25">
      <c r="H8323" t="s">
        <v>11770</v>
      </c>
    </row>
    <row r="8324" spans="8:8" x14ac:dyDescent="0.25">
      <c r="H8324" t="s">
        <v>30</v>
      </c>
    </row>
    <row r="8325" spans="8:8" x14ac:dyDescent="0.25">
      <c r="H8325" t="s">
        <v>137</v>
      </c>
    </row>
    <row r="8326" spans="8:8" x14ac:dyDescent="0.25">
      <c r="H8326" t="s">
        <v>11771</v>
      </c>
    </row>
    <row r="8327" spans="8:8" x14ac:dyDescent="0.25">
      <c r="H8327" t="s">
        <v>30</v>
      </c>
    </row>
    <row r="8328" spans="8:8" x14ac:dyDescent="0.25">
      <c r="H8328" t="s">
        <v>138</v>
      </c>
    </row>
    <row r="8329" spans="8:8" x14ac:dyDescent="0.25">
      <c r="H8329" t="s">
        <v>11772</v>
      </c>
    </row>
    <row r="8330" spans="8:8" x14ac:dyDescent="0.25">
      <c r="H8330" t="s">
        <v>30</v>
      </c>
    </row>
    <row r="8332" spans="8:8" x14ac:dyDescent="0.25">
      <c r="H8332" t="s">
        <v>11773</v>
      </c>
    </row>
    <row r="8333" spans="8:8" x14ac:dyDescent="0.25">
      <c r="H8333" t="s">
        <v>11774</v>
      </c>
    </row>
    <row r="8334" spans="8:8" x14ac:dyDescent="0.25">
      <c r="H8334" t="s">
        <v>135</v>
      </c>
    </row>
    <row r="8335" spans="8:8" x14ac:dyDescent="0.25">
      <c r="H8335" t="s">
        <v>11775</v>
      </c>
    </row>
    <row r="8336" spans="8:8" x14ac:dyDescent="0.25">
      <c r="H8336" t="s">
        <v>30</v>
      </c>
    </row>
    <row r="8337" spans="8:8" x14ac:dyDescent="0.25">
      <c r="H8337" t="s">
        <v>136</v>
      </c>
    </row>
    <row r="8338" spans="8:8" x14ac:dyDescent="0.25">
      <c r="H8338" t="s">
        <v>11776</v>
      </c>
    </row>
    <row r="8339" spans="8:8" x14ac:dyDescent="0.25">
      <c r="H8339" t="s">
        <v>30</v>
      </c>
    </row>
    <row r="8340" spans="8:8" x14ac:dyDescent="0.25">
      <c r="H8340" t="s">
        <v>137</v>
      </c>
    </row>
    <row r="8341" spans="8:8" x14ac:dyDescent="0.25">
      <c r="H8341" t="s">
        <v>11777</v>
      </c>
    </row>
    <row r="8342" spans="8:8" x14ac:dyDescent="0.25">
      <c r="H8342" t="s">
        <v>30</v>
      </c>
    </row>
    <row r="8343" spans="8:8" x14ac:dyDescent="0.25">
      <c r="H8343" t="s">
        <v>138</v>
      </c>
    </row>
    <row r="8344" spans="8:8" x14ac:dyDescent="0.25">
      <c r="H8344" t="s">
        <v>11778</v>
      </c>
    </row>
    <row r="8345" spans="8:8" x14ac:dyDescent="0.25">
      <c r="H8345" t="s">
        <v>30</v>
      </c>
    </row>
    <row r="8347" spans="8:8" x14ac:dyDescent="0.25">
      <c r="H8347" t="s">
        <v>11779</v>
      </c>
    </row>
    <row r="8348" spans="8:8" x14ac:dyDescent="0.25">
      <c r="H8348" t="s">
        <v>11780</v>
      </c>
    </row>
    <row r="8349" spans="8:8" x14ac:dyDescent="0.25">
      <c r="H8349" t="s">
        <v>135</v>
      </c>
    </row>
    <row r="8350" spans="8:8" x14ac:dyDescent="0.25">
      <c r="H8350" t="s">
        <v>11781</v>
      </c>
    </row>
    <row r="8351" spans="8:8" x14ac:dyDescent="0.25">
      <c r="H8351" t="s">
        <v>30</v>
      </c>
    </row>
    <row r="8352" spans="8:8" x14ac:dyDescent="0.25">
      <c r="H8352" t="s">
        <v>136</v>
      </c>
    </row>
    <row r="8353" spans="8:8" x14ac:dyDescent="0.25">
      <c r="H8353" t="s">
        <v>11782</v>
      </c>
    </row>
    <row r="8354" spans="8:8" x14ac:dyDescent="0.25">
      <c r="H8354" t="s">
        <v>30</v>
      </c>
    </row>
    <row r="8355" spans="8:8" x14ac:dyDescent="0.25">
      <c r="H8355" t="s">
        <v>137</v>
      </c>
    </row>
    <row r="8356" spans="8:8" x14ac:dyDescent="0.25">
      <c r="H8356" t="s">
        <v>11783</v>
      </c>
    </row>
    <row r="8357" spans="8:8" x14ac:dyDescent="0.25">
      <c r="H8357" t="s">
        <v>30</v>
      </c>
    </row>
    <row r="8358" spans="8:8" x14ac:dyDescent="0.25">
      <c r="H8358" t="s">
        <v>138</v>
      </c>
    </row>
    <row r="8359" spans="8:8" x14ac:dyDescent="0.25">
      <c r="H8359" t="s">
        <v>11784</v>
      </c>
    </row>
    <row r="8360" spans="8:8" x14ac:dyDescent="0.25">
      <c r="H8360" t="s">
        <v>30</v>
      </c>
    </row>
    <row r="8362" spans="8:8" x14ac:dyDescent="0.25">
      <c r="H8362" t="s">
        <v>11785</v>
      </c>
    </row>
    <row r="8363" spans="8:8" x14ac:dyDescent="0.25">
      <c r="H8363" t="s">
        <v>11786</v>
      </c>
    </row>
    <row r="8364" spans="8:8" x14ac:dyDescent="0.25">
      <c r="H8364" t="s">
        <v>135</v>
      </c>
    </row>
    <row r="8365" spans="8:8" x14ac:dyDescent="0.25">
      <c r="H8365" t="s">
        <v>11787</v>
      </c>
    </row>
    <row r="8366" spans="8:8" x14ac:dyDescent="0.25">
      <c r="H8366" t="s">
        <v>30</v>
      </c>
    </row>
    <row r="8367" spans="8:8" x14ac:dyDescent="0.25">
      <c r="H8367" t="s">
        <v>136</v>
      </c>
    </row>
    <row r="8368" spans="8:8" x14ac:dyDescent="0.25">
      <c r="H8368" t="s">
        <v>11788</v>
      </c>
    </row>
    <row r="8369" spans="8:8" x14ac:dyDescent="0.25">
      <c r="H8369" t="s">
        <v>30</v>
      </c>
    </row>
    <row r="8370" spans="8:8" x14ac:dyDescent="0.25">
      <c r="H8370" t="s">
        <v>137</v>
      </c>
    </row>
    <row r="8371" spans="8:8" x14ac:dyDescent="0.25">
      <c r="H8371" t="s">
        <v>11789</v>
      </c>
    </row>
    <row r="8372" spans="8:8" x14ac:dyDescent="0.25">
      <c r="H8372" t="s">
        <v>30</v>
      </c>
    </row>
    <row r="8373" spans="8:8" x14ac:dyDescent="0.25">
      <c r="H8373" t="s">
        <v>138</v>
      </c>
    </row>
    <row r="8374" spans="8:8" x14ac:dyDescent="0.25">
      <c r="H8374" t="s">
        <v>11790</v>
      </c>
    </row>
    <row r="8375" spans="8:8" x14ac:dyDescent="0.25">
      <c r="H8375" t="s">
        <v>30</v>
      </c>
    </row>
    <row r="8377" spans="8:8" x14ac:dyDescent="0.25">
      <c r="H8377" t="s">
        <v>11791</v>
      </c>
    </row>
    <row r="8378" spans="8:8" x14ac:dyDescent="0.25">
      <c r="H8378" t="s">
        <v>11792</v>
      </c>
    </row>
    <row r="8379" spans="8:8" x14ac:dyDescent="0.25">
      <c r="H8379" t="s">
        <v>135</v>
      </c>
    </row>
    <row r="8380" spans="8:8" x14ac:dyDescent="0.25">
      <c r="H8380" t="s">
        <v>11793</v>
      </c>
    </row>
    <row r="8381" spans="8:8" x14ac:dyDescent="0.25">
      <c r="H8381" t="s">
        <v>30</v>
      </c>
    </row>
    <row r="8382" spans="8:8" x14ac:dyDescent="0.25">
      <c r="H8382" t="s">
        <v>136</v>
      </c>
    </row>
    <row r="8383" spans="8:8" x14ac:dyDescent="0.25">
      <c r="H8383" t="s">
        <v>11794</v>
      </c>
    </row>
    <row r="8384" spans="8:8" x14ac:dyDescent="0.25">
      <c r="H8384" t="s">
        <v>30</v>
      </c>
    </row>
    <row r="8385" spans="8:8" x14ac:dyDescent="0.25">
      <c r="H8385" t="s">
        <v>137</v>
      </c>
    </row>
    <row r="8386" spans="8:8" x14ac:dyDescent="0.25">
      <c r="H8386" t="s">
        <v>11795</v>
      </c>
    </row>
    <row r="8387" spans="8:8" x14ac:dyDescent="0.25">
      <c r="H8387" t="s">
        <v>30</v>
      </c>
    </row>
    <row r="8388" spans="8:8" x14ac:dyDescent="0.25">
      <c r="H8388" t="s">
        <v>138</v>
      </c>
    </row>
    <row r="8389" spans="8:8" x14ac:dyDescent="0.25">
      <c r="H8389" t="s">
        <v>11796</v>
      </c>
    </row>
    <row r="8390" spans="8:8" x14ac:dyDescent="0.25">
      <c r="H8390" t="s">
        <v>30</v>
      </c>
    </row>
    <row r="8392" spans="8:8" x14ac:dyDescent="0.25">
      <c r="H8392" t="s">
        <v>11797</v>
      </c>
    </row>
    <row r="8393" spans="8:8" x14ac:dyDescent="0.25">
      <c r="H8393" t="s">
        <v>11798</v>
      </c>
    </row>
    <row r="8394" spans="8:8" x14ac:dyDescent="0.25">
      <c r="H8394" t="s">
        <v>135</v>
      </c>
    </row>
    <row r="8395" spans="8:8" x14ac:dyDescent="0.25">
      <c r="H8395" t="s">
        <v>11799</v>
      </c>
    </row>
    <row r="8396" spans="8:8" x14ac:dyDescent="0.25">
      <c r="H8396" t="s">
        <v>30</v>
      </c>
    </row>
    <row r="8397" spans="8:8" x14ac:dyDescent="0.25">
      <c r="H8397" t="s">
        <v>136</v>
      </c>
    </row>
    <row r="8398" spans="8:8" x14ac:dyDescent="0.25">
      <c r="H8398" t="s">
        <v>11800</v>
      </c>
    </row>
    <row r="8399" spans="8:8" x14ac:dyDescent="0.25">
      <c r="H8399" t="s">
        <v>30</v>
      </c>
    </row>
    <row r="8400" spans="8:8" x14ac:dyDescent="0.25">
      <c r="H8400" t="s">
        <v>137</v>
      </c>
    </row>
    <row r="8401" spans="8:8" x14ac:dyDescent="0.25">
      <c r="H8401" t="s">
        <v>11801</v>
      </c>
    </row>
    <row r="8402" spans="8:8" x14ac:dyDescent="0.25">
      <c r="H8402" t="s">
        <v>30</v>
      </c>
    </row>
    <row r="8403" spans="8:8" x14ac:dyDescent="0.25">
      <c r="H8403" t="s">
        <v>138</v>
      </c>
    </row>
    <row r="8404" spans="8:8" x14ac:dyDescent="0.25">
      <c r="H8404" t="s">
        <v>11802</v>
      </c>
    </row>
    <row r="8405" spans="8:8" x14ac:dyDescent="0.25">
      <c r="H8405" t="s">
        <v>30</v>
      </c>
    </row>
    <row r="8407" spans="8:8" x14ac:dyDescent="0.25">
      <c r="H8407" t="s">
        <v>11803</v>
      </c>
    </row>
    <row r="8408" spans="8:8" x14ac:dyDescent="0.25">
      <c r="H8408" t="s">
        <v>11804</v>
      </c>
    </row>
    <row r="8409" spans="8:8" x14ac:dyDescent="0.25">
      <c r="H8409" t="s">
        <v>135</v>
      </c>
    </row>
    <row r="8410" spans="8:8" x14ac:dyDescent="0.25">
      <c r="H8410" t="s">
        <v>11805</v>
      </c>
    </row>
    <row r="8411" spans="8:8" x14ac:dyDescent="0.25">
      <c r="H8411" t="s">
        <v>30</v>
      </c>
    </row>
    <row r="8412" spans="8:8" x14ac:dyDescent="0.25">
      <c r="H8412" t="s">
        <v>136</v>
      </c>
    </row>
    <row r="8413" spans="8:8" x14ac:dyDescent="0.25">
      <c r="H8413" t="s">
        <v>11806</v>
      </c>
    </row>
    <row r="8414" spans="8:8" x14ac:dyDescent="0.25">
      <c r="H8414" t="s">
        <v>30</v>
      </c>
    </row>
    <row r="8415" spans="8:8" x14ac:dyDescent="0.25">
      <c r="H8415" t="s">
        <v>137</v>
      </c>
    </row>
    <row r="8416" spans="8:8" x14ac:dyDescent="0.25">
      <c r="H8416" t="s">
        <v>11807</v>
      </c>
    </row>
    <row r="8417" spans="8:8" x14ac:dyDescent="0.25">
      <c r="H8417" t="s">
        <v>30</v>
      </c>
    </row>
    <row r="8418" spans="8:8" x14ac:dyDescent="0.25">
      <c r="H8418" t="s">
        <v>138</v>
      </c>
    </row>
    <row r="8419" spans="8:8" x14ac:dyDescent="0.25">
      <c r="H8419" t="s">
        <v>11808</v>
      </c>
    </row>
    <row r="8420" spans="8:8" x14ac:dyDescent="0.25">
      <c r="H8420" t="s">
        <v>30</v>
      </c>
    </row>
    <row r="8422" spans="8:8" x14ac:dyDescent="0.25">
      <c r="H8422" t="s">
        <v>11809</v>
      </c>
    </row>
    <row r="8423" spans="8:8" x14ac:dyDescent="0.25">
      <c r="H8423" t="s">
        <v>11810</v>
      </c>
    </row>
    <row r="8424" spans="8:8" x14ac:dyDescent="0.25">
      <c r="H8424" t="s">
        <v>135</v>
      </c>
    </row>
    <row r="8425" spans="8:8" x14ac:dyDescent="0.25">
      <c r="H8425" t="s">
        <v>11811</v>
      </c>
    </row>
    <row r="8426" spans="8:8" x14ac:dyDescent="0.25">
      <c r="H8426" t="s">
        <v>30</v>
      </c>
    </row>
    <row r="8427" spans="8:8" x14ac:dyDescent="0.25">
      <c r="H8427" t="s">
        <v>136</v>
      </c>
    </row>
    <row r="8428" spans="8:8" x14ac:dyDescent="0.25">
      <c r="H8428" t="s">
        <v>11812</v>
      </c>
    </row>
    <row r="8429" spans="8:8" x14ac:dyDescent="0.25">
      <c r="H8429" t="s">
        <v>30</v>
      </c>
    </row>
    <row r="8430" spans="8:8" x14ac:dyDescent="0.25">
      <c r="H8430" t="s">
        <v>137</v>
      </c>
    </row>
    <row r="8431" spans="8:8" x14ac:dyDescent="0.25">
      <c r="H8431" t="s">
        <v>11813</v>
      </c>
    </row>
    <row r="8432" spans="8:8" x14ac:dyDescent="0.25">
      <c r="H8432" t="s">
        <v>30</v>
      </c>
    </row>
    <row r="8433" spans="8:8" x14ac:dyDescent="0.25">
      <c r="H8433" t="s">
        <v>138</v>
      </c>
    </row>
    <row r="8434" spans="8:8" x14ac:dyDescent="0.25">
      <c r="H8434" t="s">
        <v>11814</v>
      </c>
    </row>
    <row r="8435" spans="8:8" x14ac:dyDescent="0.25">
      <c r="H8435" t="s">
        <v>30</v>
      </c>
    </row>
    <row r="8437" spans="8:8" x14ac:dyDescent="0.25">
      <c r="H8437" t="s">
        <v>11815</v>
      </c>
    </row>
    <row r="8438" spans="8:8" x14ac:dyDescent="0.25">
      <c r="H8438" t="s">
        <v>11816</v>
      </c>
    </row>
    <row r="8439" spans="8:8" x14ac:dyDescent="0.25">
      <c r="H8439" t="s">
        <v>135</v>
      </c>
    </row>
    <row r="8440" spans="8:8" x14ac:dyDescent="0.25">
      <c r="H8440" t="s">
        <v>11817</v>
      </c>
    </row>
    <row r="8441" spans="8:8" x14ac:dyDescent="0.25">
      <c r="H8441" t="s">
        <v>30</v>
      </c>
    </row>
    <row r="8442" spans="8:8" x14ac:dyDescent="0.25">
      <c r="H8442" t="s">
        <v>136</v>
      </c>
    </row>
    <row r="8443" spans="8:8" x14ac:dyDescent="0.25">
      <c r="H8443" t="s">
        <v>11818</v>
      </c>
    </row>
    <row r="8444" spans="8:8" x14ac:dyDescent="0.25">
      <c r="H8444" t="s">
        <v>30</v>
      </c>
    </row>
    <row r="8445" spans="8:8" x14ac:dyDescent="0.25">
      <c r="H8445" t="s">
        <v>137</v>
      </c>
    </row>
    <row r="8446" spans="8:8" x14ac:dyDescent="0.25">
      <c r="H8446" t="s">
        <v>11819</v>
      </c>
    </row>
    <row r="8447" spans="8:8" x14ac:dyDescent="0.25">
      <c r="H8447" t="s">
        <v>30</v>
      </c>
    </row>
    <row r="8448" spans="8:8" x14ac:dyDescent="0.25">
      <c r="H8448" t="s">
        <v>138</v>
      </c>
    </row>
    <row r="8449" spans="8:8" x14ac:dyDescent="0.25">
      <c r="H8449" t="s">
        <v>11820</v>
      </c>
    </row>
    <row r="8450" spans="8:8" x14ac:dyDescent="0.25">
      <c r="H8450" t="s">
        <v>30</v>
      </c>
    </row>
    <row r="8452" spans="8:8" x14ac:dyDescent="0.25">
      <c r="H8452" t="s">
        <v>11821</v>
      </c>
    </row>
    <row r="8453" spans="8:8" x14ac:dyDescent="0.25">
      <c r="H8453" t="s">
        <v>11822</v>
      </c>
    </row>
    <row r="8454" spans="8:8" x14ac:dyDescent="0.25">
      <c r="H8454" t="s">
        <v>135</v>
      </c>
    </row>
    <row r="8455" spans="8:8" x14ac:dyDescent="0.25">
      <c r="H8455" t="s">
        <v>11823</v>
      </c>
    </row>
    <row r="8456" spans="8:8" x14ac:dyDescent="0.25">
      <c r="H8456" t="s">
        <v>30</v>
      </c>
    </row>
    <row r="8457" spans="8:8" x14ac:dyDescent="0.25">
      <c r="H8457" t="s">
        <v>136</v>
      </c>
    </row>
    <row r="8458" spans="8:8" x14ac:dyDescent="0.25">
      <c r="H8458" t="s">
        <v>11824</v>
      </c>
    </row>
    <row r="8459" spans="8:8" x14ac:dyDescent="0.25">
      <c r="H8459" t="s">
        <v>30</v>
      </c>
    </row>
    <row r="8460" spans="8:8" x14ac:dyDescent="0.25">
      <c r="H8460" t="s">
        <v>137</v>
      </c>
    </row>
    <row r="8461" spans="8:8" x14ac:dyDescent="0.25">
      <c r="H8461" t="s">
        <v>11825</v>
      </c>
    </row>
    <row r="8462" spans="8:8" x14ac:dyDescent="0.25">
      <c r="H8462" t="s">
        <v>30</v>
      </c>
    </row>
    <row r="8463" spans="8:8" x14ac:dyDescent="0.25">
      <c r="H8463" t="s">
        <v>138</v>
      </c>
    </row>
    <row r="8464" spans="8:8" x14ac:dyDescent="0.25">
      <c r="H8464" t="s">
        <v>11826</v>
      </c>
    </row>
    <row r="8465" spans="8:8" x14ac:dyDescent="0.25">
      <c r="H8465" t="s">
        <v>30</v>
      </c>
    </row>
    <row r="8467" spans="8:8" x14ac:dyDescent="0.25">
      <c r="H8467" t="s">
        <v>11827</v>
      </c>
    </row>
    <row r="8468" spans="8:8" x14ac:dyDescent="0.25">
      <c r="H8468" t="s">
        <v>11828</v>
      </c>
    </row>
    <row r="8469" spans="8:8" x14ac:dyDescent="0.25">
      <c r="H8469" t="s">
        <v>135</v>
      </c>
    </row>
    <row r="8470" spans="8:8" x14ac:dyDescent="0.25">
      <c r="H8470" t="s">
        <v>11829</v>
      </c>
    </row>
    <row r="8471" spans="8:8" x14ac:dyDescent="0.25">
      <c r="H8471" t="s">
        <v>30</v>
      </c>
    </row>
    <row r="8472" spans="8:8" x14ac:dyDescent="0.25">
      <c r="H8472" t="s">
        <v>136</v>
      </c>
    </row>
    <row r="8473" spans="8:8" x14ac:dyDescent="0.25">
      <c r="H8473" t="s">
        <v>11830</v>
      </c>
    </row>
    <row r="8474" spans="8:8" x14ac:dyDescent="0.25">
      <c r="H8474" t="s">
        <v>30</v>
      </c>
    </row>
    <row r="8475" spans="8:8" x14ac:dyDescent="0.25">
      <c r="H8475" t="s">
        <v>137</v>
      </c>
    </row>
    <row r="8476" spans="8:8" x14ac:dyDescent="0.25">
      <c r="H8476" t="s">
        <v>11831</v>
      </c>
    </row>
    <row r="8477" spans="8:8" x14ac:dyDescent="0.25">
      <c r="H8477" t="s">
        <v>30</v>
      </c>
    </row>
    <row r="8478" spans="8:8" x14ac:dyDescent="0.25">
      <c r="H8478" t="s">
        <v>138</v>
      </c>
    </row>
    <row r="8479" spans="8:8" x14ac:dyDescent="0.25">
      <c r="H8479" t="s">
        <v>11832</v>
      </c>
    </row>
    <row r="8480" spans="8:8" x14ac:dyDescent="0.25">
      <c r="H8480" t="s">
        <v>30</v>
      </c>
    </row>
    <row r="8482" spans="8:8" x14ac:dyDescent="0.25">
      <c r="H8482" t="s">
        <v>11833</v>
      </c>
    </row>
    <row r="8483" spans="8:8" x14ac:dyDescent="0.25">
      <c r="H8483" t="s">
        <v>11834</v>
      </c>
    </row>
    <row r="8484" spans="8:8" x14ac:dyDescent="0.25">
      <c r="H8484" t="s">
        <v>135</v>
      </c>
    </row>
    <row r="8485" spans="8:8" x14ac:dyDescent="0.25">
      <c r="H8485" t="s">
        <v>11835</v>
      </c>
    </row>
    <row r="8486" spans="8:8" x14ac:dyDescent="0.25">
      <c r="H8486" t="s">
        <v>30</v>
      </c>
    </row>
    <row r="8487" spans="8:8" x14ac:dyDescent="0.25">
      <c r="H8487" t="s">
        <v>136</v>
      </c>
    </row>
    <row r="8488" spans="8:8" x14ac:dyDescent="0.25">
      <c r="H8488" t="s">
        <v>11836</v>
      </c>
    </row>
    <row r="8489" spans="8:8" x14ac:dyDescent="0.25">
      <c r="H8489" t="s">
        <v>30</v>
      </c>
    </row>
    <row r="8490" spans="8:8" x14ac:dyDescent="0.25">
      <c r="H8490" t="s">
        <v>137</v>
      </c>
    </row>
    <row r="8491" spans="8:8" x14ac:dyDescent="0.25">
      <c r="H8491" t="s">
        <v>11837</v>
      </c>
    </row>
    <row r="8492" spans="8:8" x14ac:dyDescent="0.25">
      <c r="H8492" t="s">
        <v>30</v>
      </c>
    </row>
    <row r="8493" spans="8:8" x14ac:dyDescent="0.25">
      <c r="H8493" t="s">
        <v>138</v>
      </c>
    </row>
    <row r="8494" spans="8:8" x14ac:dyDescent="0.25">
      <c r="H8494" t="s">
        <v>11838</v>
      </c>
    </row>
    <row r="8495" spans="8:8" x14ac:dyDescent="0.25">
      <c r="H8495" t="s">
        <v>30</v>
      </c>
    </row>
    <row r="8497" spans="8:8" x14ac:dyDescent="0.25">
      <c r="H8497" t="s">
        <v>11839</v>
      </c>
    </row>
    <row r="8498" spans="8:8" x14ac:dyDescent="0.25">
      <c r="H8498" t="s">
        <v>11840</v>
      </c>
    </row>
    <row r="8499" spans="8:8" x14ac:dyDescent="0.25">
      <c r="H8499" t="s">
        <v>135</v>
      </c>
    </row>
    <row r="8500" spans="8:8" x14ac:dyDescent="0.25">
      <c r="H8500" t="s">
        <v>11841</v>
      </c>
    </row>
    <row r="8501" spans="8:8" x14ac:dyDescent="0.25">
      <c r="H8501" t="s">
        <v>30</v>
      </c>
    </row>
    <row r="8502" spans="8:8" x14ac:dyDescent="0.25">
      <c r="H8502" t="s">
        <v>136</v>
      </c>
    </row>
    <row r="8503" spans="8:8" x14ac:dyDescent="0.25">
      <c r="H8503" t="s">
        <v>11842</v>
      </c>
    </row>
    <row r="8504" spans="8:8" x14ac:dyDescent="0.25">
      <c r="H8504" t="s">
        <v>30</v>
      </c>
    </row>
    <row r="8505" spans="8:8" x14ac:dyDescent="0.25">
      <c r="H8505" t="s">
        <v>137</v>
      </c>
    </row>
    <row r="8506" spans="8:8" x14ac:dyDescent="0.25">
      <c r="H8506" t="s">
        <v>11843</v>
      </c>
    </row>
    <row r="8507" spans="8:8" x14ac:dyDescent="0.25">
      <c r="H8507" t="s">
        <v>30</v>
      </c>
    </row>
    <row r="8508" spans="8:8" x14ac:dyDescent="0.25">
      <c r="H8508" t="s">
        <v>138</v>
      </c>
    </row>
    <row r="8509" spans="8:8" x14ac:dyDescent="0.25">
      <c r="H8509" t="s">
        <v>11844</v>
      </c>
    </row>
    <row r="8510" spans="8:8" x14ac:dyDescent="0.25">
      <c r="H8510" t="s">
        <v>30</v>
      </c>
    </row>
    <row r="8512" spans="8:8" x14ac:dyDescent="0.25">
      <c r="H8512" t="s">
        <v>11845</v>
      </c>
    </row>
    <row r="8513" spans="8:8" x14ac:dyDescent="0.25">
      <c r="H8513" t="s">
        <v>11846</v>
      </c>
    </row>
    <row r="8514" spans="8:8" x14ac:dyDescent="0.25">
      <c r="H8514" t="s">
        <v>135</v>
      </c>
    </row>
    <row r="8515" spans="8:8" x14ac:dyDescent="0.25">
      <c r="H8515" t="s">
        <v>11847</v>
      </c>
    </row>
    <row r="8516" spans="8:8" x14ac:dyDescent="0.25">
      <c r="H8516" t="s">
        <v>30</v>
      </c>
    </row>
    <row r="8517" spans="8:8" x14ac:dyDescent="0.25">
      <c r="H8517" t="s">
        <v>136</v>
      </c>
    </row>
    <row r="8518" spans="8:8" x14ac:dyDescent="0.25">
      <c r="H8518" t="s">
        <v>11848</v>
      </c>
    </row>
    <row r="8519" spans="8:8" x14ac:dyDescent="0.25">
      <c r="H8519" t="s">
        <v>30</v>
      </c>
    </row>
    <row r="8520" spans="8:8" x14ac:dyDescent="0.25">
      <c r="H8520" t="s">
        <v>137</v>
      </c>
    </row>
    <row r="8521" spans="8:8" x14ac:dyDescent="0.25">
      <c r="H8521" t="s">
        <v>11849</v>
      </c>
    </row>
    <row r="8522" spans="8:8" x14ac:dyDescent="0.25">
      <c r="H8522" t="s">
        <v>30</v>
      </c>
    </row>
    <row r="8523" spans="8:8" x14ac:dyDescent="0.25">
      <c r="H8523" t="s">
        <v>138</v>
      </c>
    </row>
    <row r="8524" spans="8:8" x14ac:dyDescent="0.25">
      <c r="H8524" t="s">
        <v>11850</v>
      </c>
    </row>
    <row r="8525" spans="8:8" x14ac:dyDescent="0.25">
      <c r="H8525" t="s">
        <v>30</v>
      </c>
    </row>
    <row r="8527" spans="8:8" x14ac:dyDescent="0.25">
      <c r="H8527" t="s">
        <v>11851</v>
      </c>
    </row>
    <row r="8528" spans="8:8" x14ac:dyDescent="0.25">
      <c r="H8528" t="s">
        <v>11852</v>
      </c>
    </row>
    <row r="8529" spans="8:8" x14ac:dyDescent="0.25">
      <c r="H8529" t="s">
        <v>135</v>
      </c>
    </row>
    <row r="8530" spans="8:8" x14ac:dyDescent="0.25">
      <c r="H8530" t="s">
        <v>11853</v>
      </c>
    </row>
    <row r="8531" spans="8:8" x14ac:dyDescent="0.25">
      <c r="H8531" t="s">
        <v>30</v>
      </c>
    </row>
    <row r="8532" spans="8:8" x14ac:dyDescent="0.25">
      <c r="H8532" t="s">
        <v>136</v>
      </c>
    </row>
    <row r="8533" spans="8:8" x14ac:dyDescent="0.25">
      <c r="H8533" t="s">
        <v>11854</v>
      </c>
    </row>
    <row r="8534" spans="8:8" x14ac:dyDescent="0.25">
      <c r="H8534" t="s">
        <v>30</v>
      </c>
    </row>
    <row r="8535" spans="8:8" x14ac:dyDescent="0.25">
      <c r="H8535" t="s">
        <v>137</v>
      </c>
    </row>
    <row r="8536" spans="8:8" x14ac:dyDescent="0.25">
      <c r="H8536" t="s">
        <v>11855</v>
      </c>
    </row>
    <row r="8537" spans="8:8" x14ac:dyDescent="0.25">
      <c r="H8537" t="s">
        <v>30</v>
      </c>
    </row>
    <row r="8538" spans="8:8" x14ac:dyDescent="0.25">
      <c r="H8538" t="s">
        <v>138</v>
      </c>
    </row>
    <row r="8539" spans="8:8" x14ac:dyDescent="0.25">
      <c r="H8539" t="s">
        <v>11856</v>
      </c>
    </row>
    <row r="8540" spans="8:8" x14ac:dyDescent="0.25">
      <c r="H8540" t="s">
        <v>30</v>
      </c>
    </row>
    <row r="8542" spans="8:8" x14ac:dyDescent="0.25">
      <c r="H8542" t="s">
        <v>11857</v>
      </c>
    </row>
    <row r="8543" spans="8:8" x14ac:dyDescent="0.25">
      <c r="H8543" t="s">
        <v>11858</v>
      </c>
    </row>
    <row r="8544" spans="8:8" x14ac:dyDescent="0.25">
      <c r="H8544" t="s">
        <v>135</v>
      </c>
    </row>
    <row r="8545" spans="8:8" x14ac:dyDescent="0.25">
      <c r="H8545" t="s">
        <v>11859</v>
      </c>
    </row>
    <row r="8546" spans="8:8" x14ac:dyDescent="0.25">
      <c r="H8546" t="s">
        <v>30</v>
      </c>
    </row>
    <row r="8547" spans="8:8" x14ac:dyDescent="0.25">
      <c r="H8547" t="s">
        <v>136</v>
      </c>
    </row>
    <row r="8548" spans="8:8" x14ac:dyDescent="0.25">
      <c r="H8548" t="s">
        <v>11860</v>
      </c>
    </row>
    <row r="8549" spans="8:8" x14ac:dyDescent="0.25">
      <c r="H8549" t="s">
        <v>30</v>
      </c>
    </row>
    <row r="8550" spans="8:8" x14ac:dyDescent="0.25">
      <c r="H8550" t="s">
        <v>137</v>
      </c>
    </row>
    <row r="8551" spans="8:8" x14ac:dyDescent="0.25">
      <c r="H8551" t="s">
        <v>11861</v>
      </c>
    </row>
    <row r="8552" spans="8:8" x14ac:dyDescent="0.25">
      <c r="H8552" t="s">
        <v>30</v>
      </c>
    </row>
    <row r="8553" spans="8:8" x14ac:dyDescent="0.25">
      <c r="H8553" t="s">
        <v>138</v>
      </c>
    </row>
    <row r="8554" spans="8:8" x14ac:dyDescent="0.25">
      <c r="H8554" t="s">
        <v>11862</v>
      </c>
    </row>
    <row r="8555" spans="8:8" x14ac:dyDescent="0.25">
      <c r="H8555" t="s">
        <v>30</v>
      </c>
    </row>
    <row r="8557" spans="8:8" x14ac:dyDescent="0.25">
      <c r="H8557" t="s">
        <v>11863</v>
      </c>
    </row>
    <row r="8558" spans="8:8" x14ac:dyDescent="0.25">
      <c r="H8558" t="s">
        <v>11864</v>
      </c>
    </row>
    <row r="8559" spans="8:8" x14ac:dyDescent="0.25">
      <c r="H8559" t="s">
        <v>135</v>
      </c>
    </row>
    <row r="8560" spans="8:8" x14ac:dyDescent="0.25">
      <c r="H8560" t="s">
        <v>11865</v>
      </c>
    </row>
    <row r="8561" spans="8:8" x14ac:dyDescent="0.25">
      <c r="H8561" t="s">
        <v>30</v>
      </c>
    </row>
    <row r="8562" spans="8:8" x14ac:dyDescent="0.25">
      <c r="H8562" t="s">
        <v>136</v>
      </c>
    </row>
    <row r="8563" spans="8:8" x14ac:dyDescent="0.25">
      <c r="H8563" t="s">
        <v>11866</v>
      </c>
    </row>
    <row r="8564" spans="8:8" x14ac:dyDescent="0.25">
      <c r="H8564" t="s">
        <v>30</v>
      </c>
    </row>
    <row r="8565" spans="8:8" x14ac:dyDescent="0.25">
      <c r="H8565" t="s">
        <v>137</v>
      </c>
    </row>
    <row r="8566" spans="8:8" x14ac:dyDescent="0.25">
      <c r="H8566" t="s">
        <v>11867</v>
      </c>
    </row>
    <row r="8567" spans="8:8" x14ac:dyDescent="0.25">
      <c r="H8567" t="s">
        <v>30</v>
      </c>
    </row>
    <row r="8568" spans="8:8" x14ac:dyDescent="0.25">
      <c r="H8568" t="s">
        <v>138</v>
      </c>
    </row>
    <row r="8569" spans="8:8" x14ac:dyDescent="0.25">
      <c r="H8569" t="s">
        <v>11868</v>
      </c>
    </row>
    <row r="8570" spans="8:8" x14ac:dyDescent="0.25">
      <c r="H8570" t="s">
        <v>30</v>
      </c>
    </row>
    <row r="8572" spans="8:8" x14ac:dyDescent="0.25">
      <c r="H8572" t="s">
        <v>11869</v>
      </c>
    </row>
    <row r="8573" spans="8:8" x14ac:dyDescent="0.25">
      <c r="H8573" t="s">
        <v>11870</v>
      </c>
    </row>
    <row r="8574" spans="8:8" x14ac:dyDescent="0.25">
      <c r="H8574" t="s">
        <v>135</v>
      </c>
    </row>
    <row r="8575" spans="8:8" x14ac:dyDescent="0.25">
      <c r="H8575" t="s">
        <v>11871</v>
      </c>
    </row>
    <row r="8576" spans="8:8" x14ac:dyDescent="0.25">
      <c r="H8576" t="s">
        <v>30</v>
      </c>
    </row>
    <row r="8577" spans="8:8" x14ac:dyDescent="0.25">
      <c r="H8577" t="s">
        <v>136</v>
      </c>
    </row>
    <row r="8578" spans="8:8" x14ac:dyDescent="0.25">
      <c r="H8578" t="s">
        <v>11872</v>
      </c>
    </row>
    <row r="8579" spans="8:8" x14ac:dyDescent="0.25">
      <c r="H8579" t="s">
        <v>30</v>
      </c>
    </row>
    <row r="8580" spans="8:8" x14ac:dyDescent="0.25">
      <c r="H8580" t="s">
        <v>137</v>
      </c>
    </row>
    <row r="8581" spans="8:8" x14ac:dyDescent="0.25">
      <c r="H8581" t="s">
        <v>11873</v>
      </c>
    </row>
    <row r="8582" spans="8:8" x14ac:dyDescent="0.25">
      <c r="H8582" t="s">
        <v>30</v>
      </c>
    </row>
    <row r="8583" spans="8:8" x14ac:dyDescent="0.25">
      <c r="H8583" t="s">
        <v>138</v>
      </c>
    </row>
    <row r="8584" spans="8:8" x14ac:dyDescent="0.25">
      <c r="H8584" t="s">
        <v>11874</v>
      </c>
    </row>
    <row r="8585" spans="8:8" x14ac:dyDescent="0.25">
      <c r="H8585" t="s">
        <v>30</v>
      </c>
    </row>
    <row r="8587" spans="8:8" x14ac:dyDescent="0.25">
      <c r="H8587" t="s">
        <v>11875</v>
      </c>
    </row>
    <row r="8588" spans="8:8" x14ac:dyDescent="0.25">
      <c r="H8588" t="s">
        <v>11876</v>
      </c>
    </row>
    <row r="8589" spans="8:8" x14ac:dyDescent="0.25">
      <c r="H8589" t="s">
        <v>135</v>
      </c>
    </row>
    <row r="8590" spans="8:8" x14ac:dyDescent="0.25">
      <c r="H8590" t="s">
        <v>11877</v>
      </c>
    </row>
    <row r="8591" spans="8:8" x14ac:dyDescent="0.25">
      <c r="H8591" t="s">
        <v>30</v>
      </c>
    </row>
    <row r="8592" spans="8:8" x14ac:dyDescent="0.25">
      <c r="H8592" t="s">
        <v>136</v>
      </c>
    </row>
    <row r="8593" spans="8:8" x14ac:dyDescent="0.25">
      <c r="H8593" t="s">
        <v>11878</v>
      </c>
    </row>
    <row r="8594" spans="8:8" x14ac:dyDescent="0.25">
      <c r="H8594" t="s">
        <v>30</v>
      </c>
    </row>
    <row r="8595" spans="8:8" x14ac:dyDescent="0.25">
      <c r="H8595" t="s">
        <v>137</v>
      </c>
    </row>
    <row r="8596" spans="8:8" x14ac:dyDescent="0.25">
      <c r="H8596" t="s">
        <v>11879</v>
      </c>
    </row>
    <row r="8597" spans="8:8" x14ac:dyDescent="0.25">
      <c r="H8597" t="s">
        <v>30</v>
      </c>
    </row>
    <row r="8598" spans="8:8" x14ac:dyDescent="0.25">
      <c r="H8598" t="s">
        <v>138</v>
      </c>
    </row>
    <row r="8599" spans="8:8" x14ac:dyDescent="0.25">
      <c r="H8599" t="s">
        <v>11880</v>
      </c>
    </row>
    <row r="8600" spans="8:8" x14ac:dyDescent="0.25">
      <c r="H8600" t="s">
        <v>30</v>
      </c>
    </row>
    <row r="8602" spans="8:8" x14ac:dyDescent="0.25">
      <c r="H8602" t="s">
        <v>11881</v>
      </c>
    </row>
    <row r="8603" spans="8:8" x14ac:dyDescent="0.25">
      <c r="H8603" t="s">
        <v>11882</v>
      </c>
    </row>
    <row r="8604" spans="8:8" x14ac:dyDescent="0.25">
      <c r="H8604" t="s">
        <v>135</v>
      </c>
    </row>
    <row r="8605" spans="8:8" x14ac:dyDescent="0.25">
      <c r="H8605" t="s">
        <v>11883</v>
      </c>
    </row>
    <row r="8606" spans="8:8" x14ac:dyDescent="0.25">
      <c r="H8606" t="s">
        <v>30</v>
      </c>
    </row>
    <row r="8607" spans="8:8" x14ac:dyDescent="0.25">
      <c r="H8607" t="s">
        <v>136</v>
      </c>
    </row>
    <row r="8608" spans="8:8" x14ac:dyDescent="0.25">
      <c r="H8608" t="s">
        <v>11884</v>
      </c>
    </row>
    <row r="8609" spans="8:8" x14ac:dyDescent="0.25">
      <c r="H8609" t="s">
        <v>30</v>
      </c>
    </row>
    <row r="8610" spans="8:8" x14ac:dyDescent="0.25">
      <c r="H8610" t="s">
        <v>137</v>
      </c>
    </row>
    <row r="8611" spans="8:8" x14ac:dyDescent="0.25">
      <c r="H8611" t="s">
        <v>11885</v>
      </c>
    </row>
    <row r="8612" spans="8:8" x14ac:dyDescent="0.25">
      <c r="H8612" t="s">
        <v>30</v>
      </c>
    </row>
    <row r="8613" spans="8:8" x14ac:dyDescent="0.25">
      <c r="H8613" t="s">
        <v>138</v>
      </c>
    </row>
    <row r="8614" spans="8:8" x14ac:dyDescent="0.25">
      <c r="H8614" t="s">
        <v>11886</v>
      </c>
    </row>
    <row r="8615" spans="8:8" x14ac:dyDescent="0.25">
      <c r="H8615" t="s">
        <v>30</v>
      </c>
    </row>
    <row r="8617" spans="8:8" x14ac:dyDescent="0.25">
      <c r="H8617" t="s">
        <v>11887</v>
      </c>
    </row>
    <row r="8618" spans="8:8" x14ac:dyDescent="0.25">
      <c r="H8618" t="s">
        <v>11888</v>
      </c>
    </row>
    <row r="8619" spans="8:8" x14ac:dyDescent="0.25">
      <c r="H8619" t="s">
        <v>135</v>
      </c>
    </row>
    <row r="8620" spans="8:8" x14ac:dyDescent="0.25">
      <c r="H8620" t="s">
        <v>11889</v>
      </c>
    </row>
    <row r="8621" spans="8:8" x14ac:dyDescent="0.25">
      <c r="H8621" t="s">
        <v>30</v>
      </c>
    </row>
    <row r="8622" spans="8:8" x14ac:dyDescent="0.25">
      <c r="H8622" t="s">
        <v>136</v>
      </c>
    </row>
    <row r="8623" spans="8:8" x14ac:dyDescent="0.25">
      <c r="H8623" t="s">
        <v>11890</v>
      </c>
    </row>
    <row r="8624" spans="8:8" x14ac:dyDescent="0.25">
      <c r="H8624" t="s">
        <v>30</v>
      </c>
    </row>
    <row r="8625" spans="8:8" x14ac:dyDescent="0.25">
      <c r="H8625" t="s">
        <v>137</v>
      </c>
    </row>
    <row r="8626" spans="8:8" x14ac:dyDescent="0.25">
      <c r="H8626" t="s">
        <v>11891</v>
      </c>
    </row>
    <row r="8627" spans="8:8" x14ac:dyDescent="0.25">
      <c r="H8627" t="s">
        <v>30</v>
      </c>
    </row>
    <row r="8628" spans="8:8" x14ac:dyDescent="0.25">
      <c r="H8628" t="s">
        <v>138</v>
      </c>
    </row>
    <row r="8629" spans="8:8" x14ac:dyDescent="0.25">
      <c r="H8629" t="s">
        <v>11892</v>
      </c>
    </row>
    <row r="8630" spans="8:8" x14ac:dyDescent="0.25">
      <c r="H8630" t="s">
        <v>30</v>
      </c>
    </row>
    <row r="8632" spans="8:8" x14ac:dyDescent="0.25">
      <c r="H8632" t="s">
        <v>11893</v>
      </c>
    </row>
    <row r="8633" spans="8:8" x14ac:dyDescent="0.25">
      <c r="H8633" t="s">
        <v>11894</v>
      </c>
    </row>
    <row r="8634" spans="8:8" x14ac:dyDescent="0.25">
      <c r="H8634" t="s">
        <v>135</v>
      </c>
    </row>
    <row r="8635" spans="8:8" x14ac:dyDescent="0.25">
      <c r="H8635" t="s">
        <v>11895</v>
      </c>
    </row>
    <row r="8636" spans="8:8" x14ac:dyDescent="0.25">
      <c r="H8636" t="s">
        <v>30</v>
      </c>
    </row>
    <row r="8637" spans="8:8" x14ac:dyDescent="0.25">
      <c r="H8637" t="s">
        <v>136</v>
      </c>
    </row>
    <row r="8638" spans="8:8" x14ac:dyDescent="0.25">
      <c r="H8638" t="s">
        <v>11896</v>
      </c>
    </row>
    <row r="8639" spans="8:8" x14ac:dyDescent="0.25">
      <c r="H8639" t="s">
        <v>30</v>
      </c>
    </row>
    <row r="8640" spans="8:8" x14ac:dyDescent="0.25">
      <c r="H8640" t="s">
        <v>137</v>
      </c>
    </row>
    <row r="8641" spans="8:8" x14ac:dyDescent="0.25">
      <c r="H8641" t="s">
        <v>11897</v>
      </c>
    </row>
    <row r="8642" spans="8:8" x14ac:dyDescent="0.25">
      <c r="H8642" t="s">
        <v>30</v>
      </c>
    </row>
    <row r="8643" spans="8:8" x14ac:dyDescent="0.25">
      <c r="H8643" t="s">
        <v>138</v>
      </c>
    </row>
    <row r="8644" spans="8:8" x14ac:dyDescent="0.25">
      <c r="H8644" t="s">
        <v>11898</v>
      </c>
    </row>
    <row r="8645" spans="8:8" x14ac:dyDescent="0.25">
      <c r="H8645" t="s">
        <v>30</v>
      </c>
    </row>
    <row r="8647" spans="8:8" x14ac:dyDescent="0.25">
      <c r="H8647" t="s">
        <v>11899</v>
      </c>
    </row>
    <row r="8648" spans="8:8" x14ac:dyDescent="0.25">
      <c r="H8648" t="s">
        <v>11900</v>
      </c>
    </row>
    <row r="8649" spans="8:8" x14ac:dyDescent="0.25">
      <c r="H8649" t="s">
        <v>135</v>
      </c>
    </row>
    <row r="8650" spans="8:8" x14ac:dyDescent="0.25">
      <c r="H8650" t="s">
        <v>11901</v>
      </c>
    </row>
    <row r="8651" spans="8:8" x14ac:dyDescent="0.25">
      <c r="H8651" t="s">
        <v>30</v>
      </c>
    </row>
    <row r="8652" spans="8:8" x14ac:dyDescent="0.25">
      <c r="H8652" t="s">
        <v>136</v>
      </c>
    </row>
    <row r="8653" spans="8:8" x14ac:dyDescent="0.25">
      <c r="H8653" t="s">
        <v>11902</v>
      </c>
    </row>
    <row r="8654" spans="8:8" x14ac:dyDescent="0.25">
      <c r="H8654" t="s">
        <v>30</v>
      </c>
    </row>
    <row r="8655" spans="8:8" x14ac:dyDescent="0.25">
      <c r="H8655" t="s">
        <v>137</v>
      </c>
    </row>
    <row r="8656" spans="8:8" x14ac:dyDescent="0.25">
      <c r="H8656" t="s">
        <v>11903</v>
      </c>
    </row>
    <row r="8657" spans="8:8" x14ac:dyDescent="0.25">
      <c r="H8657" t="s">
        <v>30</v>
      </c>
    </row>
    <row r="8658" spans="8:8" x14ac:dyDescent="0.25">
      <c r="H8658" t="s">
        <v>138</v>
      </c>
    </row>
    <row r="8659" spans="8:8" x14ac:dyDescent="0.25">
      <c r="H8659" t="s">
        <v>11904</v>
      </c>
    </row>
    <row r="8660" spans="8:8" x14ac:dyDescent="0.25">
      <c r="H8660" t="s">
        <v>30</v>
      </c>
    </row>
    <row r="8662" spans="8:8" x14ac:dyDescent="0.25">
      <c r="H8662" t="s">
        <v>11905</v>
      </c>
    </row>
    <row r="8663" spans="8:8" x14ac:dyDescent="0.25">
      <c r="H8663" t="s">
        <v>11906</v>
      </c>
    </row>
    <row r="8664" spans="8:8" x14ac:dyDescent="0.25">
      <c r="H8664" t="s">
        <v>135</v>
      </c>
    </row>
    <row r="8665" spans="8:8" x14ac:dyDescent="0.25">
      <c r="H8665" t="s">
        <v>11907</v>
      </c>
    </row>
    <row r="8666" spans="8:8" x14ac:dyDescent="0.25">
      <c r="H8666" t="s">
        <v>30</v>
      </c>
    </row>
    <row r="8667" spans="8:8" x14ac:dyDescent="0.25">
      <c r="H8667" t="s">
        <v>136</v>
      </c>
    </row>
    <row r="8668" spans="8:8" x14ac:dyDescent="0.25">
      <c r="H8668" t="s">
        <v>11908</v>
      </c>
    </row>
    <row r="8669" spans="8:8" x14ac:dyDescent="0.25">
      <c r="H8669" t="s">
        <v>30</v>
      </c>
    </row>
    <row r="8670" spans="8:8" x14ac:dyDescent="0.25">
      <c r="H8670" t="s">
        <v>137</v>
      </c>
    </row>
    <row r="8671" spans="8:8" x14ac:dyDescent="0.25">
      <c r="H8671" t="s">
        <v>11909</v>
      </c>
    </row>
    <row r="8672" spans="8:8" x14ac:dyDescent="0.25">
      <c r="H8672" t="s">
        <v>30</v>
      </c>
    </row>
    <row r="8673" spans="8:8" x14ac:dyDescent="0.25">
      <c r="H8673" t="s">
        <v>138</v>
      </c>
    </row>
    <row r="8674" spans="8:8" x14ac:dyDescent="0.25">
      <c r="H8674" t="s">
        <v>11910</v>
      </c>
    </row>
    <row r="8675" spans="8:8" x14ac:dyDescent="0.25">
      <c r="H8675" t="s">
        <v>30</v>
      </c>
    </row>
    <row r="8677" spans="8:8" x14ac:dyDescent="0.25">
      <c r="H8677" t="s">
        <v>11911</v>
      </c>
    </row>
    <row r="8678" spans="8:8" x14ac:dyDescent="0.25">
      <c r="H8678" t="s">
        <v>11912</v>
      </c>
    </row>
    <row r="8679" spans="8:8" x14ac:dyDescent="0.25">
      <c r="H8679" t="s">
        <v>135</v>
      </c>
    </row>
    <row r="8680" spans="8:8" x14ac:dyDescent="0.25">
      <c r="H8680" t="s">
        <v>11913</v>
      </c>
    </row>
    <row r="8681" spans="8:8" x14ac:dyDescent="0.25">
      <c r="H8681" t="s">
        <v>30</v>
      </c>
    </row>
    <row r="8682" spans="8:8" x14ac:dyDescent="0.25">
      <c r="H8682" t="s">
        <v>136</v>
      </c>
    </row>
    <row r="8683" spans="8:8" x14ac:dyDescent="0.25">
      <c r="H8683" t="s">
        <v>11914</v>
      </c>
    </row>
    <row r="8684" spans="8:8" x14ac:dyDescent="0.25">
      <c r="H8684" t="s">
        <v>30</v>
      </c>
    </row>
    <row r="8685" spans="8:8" x14ac:dyDescent="0.25">
      <c r="H8685" t="s">
        <v>137</v>
      </c>
    </row>
    <row r="8686" spans="8:8" x14ac:dyDescent="0.25">
      <c r="H8686" t="s">
        <v>11915</v>
      </c>
    </row>
    <row r="8687" spans="8:8" x14ac:dyDescent="0.25">
      <c r="H8687" t="s">
        <v>30</v>
      </c>
    </row>
    <row r="8688" spans="8:8" x14ac:dyDescent="0.25">
      <c r="H8688" t="s">
        <v>138</v>
      </c>
    </row>
    <row r="8689" spans="8:8" x14ac:dyDescent="0.25">
      <c r="H8689" t="s">
        <v>11916</v>
      </c>
    </row>
    <row r="8690" spans="8:8" x14ac:dyDescent="0.25">
      <c r="H8690" t="s">
        <v>30</v>
      </c>
    </row>
    <row r="8692" spans="8:8" x14ac:dyDescent="0.25">
      <c r="H8692" t="s">
        <v>11917</v>
      </c>
    </row>
    <row r="8693" spans="8:8" x14ac:dyDescent="0.25">
      <c r="H8693" t="s">
        <v>11918</v>
      </c>
    </row>
    <row r="8694" spans="8:8" x14ac:dyDescent="0.25">
      <c r="H8694" t="s">
        <v>135</v>
      </c>
    </row>
    <row r="8695" spans="8:8" x14ac:dyDescent="0.25">
      <c r="H8695" t="s">
        <v>11919</v>
      </c>
    </row>
    <row r="8696" spans="8:8" x14ac:dyDescent="0.25">
      <c r="H8696" t="s">
        <v>30</v>
      </c>
    </row>
    <row r="8697" spans="8:8" x14ac:dyDescent="0.25">
      <c r="H8697" t="s">
        <v>136</v>
      </c>
    </row>
    <row r="8698" spans="8:8" x14ac:dyDescent="0.25">
      <c r="H8698" t="s">
        <v>11920</v>
      </c>
    </row>
    <row r="8699" spans="8:8" x14ac:dyDescent="0.25">
      <c r="H8699" t="s">
        <v>30</v>
      </c>
    </row>
    <row r="8700" spans="8:8" x14ac:dyDescent="0.25">
      <c r="H8700" t="s">
        <v>137</v>
      </c>
    </row>
    <row r="8701" spans="8:8" x14ac:dyDescent="0.25">
      <c r="H8701" t="s">
        <v>11921</v>
      </c>
    </row>
    <row r="8702" spans="8:8" x14ac:dyDescent="0.25">
      <c r="H8702" t="s">
        <v>30</v>
      </c>
    </row>
    <row r="8703" spans="8:8" x14ac:dyDescent="0.25">
      <c r="H8703" t="s">
        <v>138</v>
      </c>
    </row>
    <row r="8704" spans="8:8" x14ac:dyDescent="0.25">
      <c r="H8704" t="s">
        <v>11922</v>
      </c>
    </row>
    <row r="8705" spans="8:8" x14ac:dyDescent="0.25">
      <c r="H8705" t="s">
        <v>30</v>
      </c>
    </row>
    <row r="8707" spans="8:8" x14ac:dyDescent="0.25">
      <c r="H8707" t="s">
        <v>11923</v>
      </c>
    </row>
    <row r="8708" spans="8:8" x14ac:dyDescent="0.25">
      <c r="H8708" t="s">
        <v>11924</v>
      </c>
    </row>
    <row r="8709" spans="8:8" x14ac:dyDescent="0.25">
      <c r="H8709" t="s">
        <v>135</v>
      </c>
    </row>
    <row r="8710" spans="8:8" x14ac:dyDescent="0.25">
      <c r="H8710" t="s">
        <v>11925</v>
      </c>
    </row>
    <row r="8711" spans="8:8" x14ac:dyDescent="0.25">
      <c r="H8711" t="s">
        <v>30</v>
      </c>
    </row>
    <row r="8712" spans="8:8" x14ac:dyDescent="0.25">
      <c r="H8712" t="s">
        <v>136</v>
      </c>
    </row>
    <row r="8713" spans="8:8" x14ac:dyDescent="0.25">
      <c r="H8713" t="s">
        <v>11926</v>
      </c>
    </row>
    <row r="8714" spans="8:8" x14ac:dyDescent="0.25">
      <c r="H8714" t="s">
        <v>30</v>
      </c>
    </row>
    <row r="8715" spans="8:8" x14ac:dyDescent="0.25">
      <c r="H8715" t="s">
        <v>137</v>
      </c>
    </row>
    <row r="8716" spans="8:8" x14ac:dyDescent="0.25">
      <c r="H8716" t="s">
        <v>11927</v>
      </c>
    </row>
    <row r="8717" spans="8:8" x14ac:dyDescent="0.25">
      <c r="H8717" t="s">
        <v>30</v>
      </c>
    </row>
    <row r="8718" spans="8:8" x14ac:dyDescent="0.25">
      <c r="H8718" t="s">
        <v>138</v>
      </c>
    </row>
    <row r="8719" spans="8:8" x14ac:dyDescent="0.25">
      <c r="H8719" t="s">
        <v>11928</v>
      </c>
    </row>
    <row r="8720" spans="8:8" x14ac:dyDescent="0.25">
      <c r="H8720" t="s">
        <v>30</v>
      </c>
    </row>
    <row r="8722" spans="8:8" x14ac:dyDescent="0.25">
      <c r="H8722" t="s">
        <v>11929</v>
      </c>
    </row>
    <row r="8723" spans="8:8" x14ac:dyDescent="0.25">
      <c r="H8723" t="s">
        <v>11930</v>
      </c>
    </row>
    <row r="8724" spans="8:8" x14ac:dyDescent="0.25">
      <c r="H8724" t="s">
        <v>135</v>
      </c>
    </row>
    <row r="8725" spans="8:8" x14ac:dyDescent="0.25">
      <c r="H8725" t="s">
        <v>11931</v>
      </c>
    </row>
    <row r="8726" spans="8:8" x14ac:dyDescent="0.25">
      <c r="H8726" t="s">
        <v>30</v>
      </c>
    </row>
    <row r="8727" spans="8:8" x14ac:dyDescent="0.25">
      <c r="H8727" t="s">
        <v>136</v>
      </c>
    </row>
    <row r="8728" spans="8:8" x14ac:dyDescent="0.25">
      <c r="H8728" t="s">
        <v>11932</v>
      </c>
    </row>
    <row r="8729" spans="8:8" x14ac:dyDescent="0.25">
      <c r="H8729" t="s">
        <v>30</v>
      </c>
    </row>
    <row r="8730" spans="8:8" x14ac:dyDescent="0.25">
      <c r="H8730" t="s">
        <v>137</v>
      </c>
    </row>
    <row r="8731" spans="8:8" x14ac:dyDescent="0.25">
      <c r="H8731" t="s">
        <v>11933</v>
      </c>
    </row>
    <row r="8732" spans="8:8" x14ac:dyDescent="0.25">
      <c r="H8732" t="s">
        <v>30</v>
      </c>
    </row>
    <row r="8733" spans="8:8" x14ac:dyDescent="0.25">
      <c r="H8733" t="s">
        <v>138</v>
      </c>
    </row>
    <row r="8734" spans="8:8" x14ac:dyDescent="0.25">
      <c r="H8734" t="s">
        <v>11934</v>
      </c>
    </row>
    <row r="8735" spans="8:8" x14ac:dyDescent="0.25">
      <c r="H8735" t="s">
        <v>30</v>
      </c>
    </row>
    <row r="8737" spans="8:8" x14ac:dyDescent="0.25">
      <c r="H8737" t="s">
        <v>11935</v>
      </c>
    </row>
    <row r="8738" spans="8:8" x14ac:dyDescent="0.25">
      <c r="H8738" t="s">
        <v>11936</v>
      </c>
    </row>
    <row r="8739" spans="8:8" x14ac:dyDescent="0.25">
      <c r="H8739" t="s">
        <v>135</v>
      </c>
    </row>
    <row r="8740" spans="8:8" x14ac:dyDescent="0.25">
      <c r="H8740" t="s">
        <v>11937</v>
      </c>
    </row>
    <row r="8741" spans="8:8" x14ac:dyDescent="0.25">
      <c r="H8741" t="s">
        <v>30</v>
      </c>
    </row>
    <row r="8742" spans="8:8" x14ac:dyDescent="0.25">
      <c r="H8742" t="s">
        <v>136</v>
      </c>
    </row>
    <row r="8743" spans="8:8" x14ac:dyDescent="0.25">
      <c r="H8743" t="s">
        <v>11938</v>
      </c>
    </row>
    <row r="8744" spans="8:8" x14ac:dyDescent="0.25">
      <c r="H8744" t="s">
        <v>30</v>
      </c>
    </row>
    <row r="8745" spans="8:8" x14ac:dyDescent="0.25">
      <c r="H8745" t="s">
        <v>137</v>
      </c>
    </row>
    <row r="8746" spans="8:8" x14ac:dyDescent="0.25">
      <c r="H8746" t="s">
        <v>11939</v>
      </c>
    </row>
    <row r="8747" spans="8:8" x14ac:dyDescent="0.25">
      <c r="H8747" t="s">
        <v>30</v>
      </c>
    </row>
    <row r="8748" spans="8:8" x14ac:dyDescent="0.25">
      <c r="H8748" t="s">
        <v>138</v>
      </c>
    </row>
    <row r="8749" spans="8:8" x14ac:dyDescent="0.25">
      <c r="H8749" t="s">
        <v>11940</v>
      </c>
    </row>
    <row r="8750" spans="8:8" x14ac:dyDescent="0.25">
      <c r="H8750" t="s">
        <v>30</v>
      </c>
    </row>
    <row r="8752" spans="8:8" x14ac:dyDescent="0.25">
      <c r="H8752" t="s">
        <v>11941</v>
      </c>
    </row>
    <row r="8753" spans="8:8" x14ac:dyDescent="0.25">
      <c r="H8753" t="s">
        <v>11942</v>
      </c>
    </row>
    <row r="8754" spans="8:8" x14ac:dyDescent="0.25">
      <c r="H8754" t="s">
        <v>135</v>
      </c>
    </row>
    <row r="8755" spans="8:8" x14ac:dyDescent="0.25">
      <c r="H8755" t="s">
        <v>11943</v>
      </c>
    </row>
    <row r="8756" spans="8:8" x14ac:dyDescent="0.25">
      <c r="H8756" t="s">
        <v>30</v>
      </c>
    </row>
    <row r="8757" spans="8:8" x14ac:dyDescent="0.25">
      <c r="H8757" t="s">
        <v>136</v>
      </c>
    </row>
    <row r="8758" spans="8:8" x14ac:dyDescent="0.25">
      <c r="H8758" t="s">
        <v>11944</v>
      </c>
    </row>
    <row r="8759" spans="8:8" x14ac:dyDescent="0.25">
      <c r="H8759" t="s">
        <v>30</v>
      </c>
    </row>
    <row r="8760" spans="8:8" x14ac:dyDescent="0.25">
      <c r="H8760" t="s">
        <v>137</v>
      </c>
    </row>
    <row r="8761" spans="8:8" x14ac:dyDescent="0.25">
      <c r="H8761" t="s">
        <v>11945</v>
      </c>
    </row>
    <row r="8762" spans="8:8" x14ac:dyDescent="0.25">
      <c r="H8762" t="s">
        <v>30</v>
      </c>
    </row>
    <row r="8763" spans="8:8" x14ac:dyDescent="0.25">
      <c r="H8763" t="s">
        <v>138</v>
      </c>
    </row>
    <row r="8764" spans="8:8" x14ac:dyDescent="0.25">
      <c r="H8764" t="s">
        <v>11946</v>
      </c>
    </row>
    <row r="8765" spans="8:8" x14ac:dyDescent="0.25">
      <c r="H8765" t="s">
        <v>30</v>
      </c>
    </row>
    <row r="8767" spans="8:8" x14ac:dyDescent="0.25">
      <c r="H8767" t="s">
        <v>11947</v>
      </c>
    </row>
    <row r="8768" spans="8:8" x14ac:dyDescent="0.25">
      <c r="H8768" t="s">
        <v>11948</v>
      </c>
    </row>
    <row r="8769" spans="8:8" x14ac:dyDescent="0.25">
      <c r="H8769" t="s">
        <v>135</v>
      </c>
    </row>
    <row r="8770" spans="8:8" x14ac:dyDescent="0.25">
      <c r="H8770" t="s">
        <v>11949</v>
      </c>
    </row>
    <row r="8771" spans="8:8" x14ac:dyDescent="0.25">
      <c r="H8771" t="s">
        <v>30</v>
      </c>
    </row>
    <row r="8772" spans="8:8" x14ac:dyDescent="0.25">
      <c r="H8772" t="s">
        <v>136</v>
      </c>
    </row>
    <row r="8773" spans="8:8" x14ac:dyDescent="0.25">
      <c r="H8773" t="s">
        <v>11950</v>
      </c>
    </row>
    <row r="8774" spans="8:8" x14ac:dyDescent="0.25">
      <c r="H8774" t="s">
        <v>30</v>
      </c>
    </row>
    <row r="8775" spans="8:8" x14ac:dyDescent="0.25">
      <c r="H8775" t="s">
        <v>137</v>
      </c>
    </row>
    <row r="8776" spans="8:8" x14ac:dyDescent="0.25">
      <c r="H8776" t="s">
        <v>11951</v>
      </c>
    </row>
    <row r="8777" spans="8:8" x14ac:dyDescent="0.25">
      <c r="H8777" t="s">
        <v>30</v>
      </c>
    </row>
    <row r="8778" spans="8:8" x14ac:dyDescent="0.25">
      <c r="H8778" t="s">
        <v>138</v>
      </c>
    </row>
    <row r="8779" spans="8:8" x14ac:dyDescent="0.25">
      <c r="H8779" t="s">
        <v>11952</v>
      </c>
    </row>
    <row r="8780" spans="8:8" x14ac:dyDescent="0.25">
      <c r="H8780" t="s">
        <v>30</v>
      </c>
    </row>
    <row r="8782" spans="8:8" x14ac:dyDescent="0.25">
      <c r="H8782" t="s">
        <v>11953</v>
      </c>
    </row>
    <row r="8783" spans="8:8" x14ac:dyDescent="0.25">
      <c r="H8783" t="s">
        <v>11954</v>
      </c>
    </row>
    <row r="8784" spans="8:8" x14ac:dyDescent="0.25">
      <c r="H8784" t="s">
        <v>135</v>
      </c>
    </row>
    <row r="8785" spans="8:8" x14ac:dyDescent="0.25">
      <c r="H8785" t="s">
        <v>11955</v>
      </c>
    </row>
    <row r="8786" spans="8:8" x14ac:dyDescent="0.25">
      <c r="H8786" t="s">
        <v>30</v>
      </c>
    </row>
    <row r="8787" spans="8:8" x14ac:dyDescent="0.25">
      <c r="H8787" t="s">
        <v>136</v>
      </c>
    </row>
    <row r="8788" spans="8:8" x14ac:dyDescent="0.25">
      <c r="H8788" t="s">
        <v>11956</v>
      </c>
    </row>
    <row r="8789" spans="8:8" x14ac:dyDescent="0.25">
      <c r="H8789" t="s">
        <v>30</v>
      </c>
    </row>
    <row r="8790" spans="8:8" x14ac:dyDescent="0.25">
      <c r="H8790" t="s">
        <v>137</v>
      </c>
    </row>
    <row r="8791" spans="8:8" x14ac:dyDescent="0.25">
      <c r="H8791" t="s">
        <v>11957</v>
      </c>
    </row>
    <row r="8792" spans="8:8" x14ac:dyDescent="0.25">
      <c r="H8792" t="s">
        <v>30</v>
      </c>
    </row>
    <row r="8793" spans="8:8" x14ac:dyDescent="0.25">
      <c r="H8793" t="s">
        <v>138</v>
      </c>
    </row>
    <row r="8794" spans="8:8" x14ac:dyDescent="0.25">
      <c r="H8794" t="s">
        <v>11958</v>
      </c>
    </row>
    <row r="8795" spans="8:8" x14ac:dyDescent="0.25">
      <c r="H8795" t="s">
        <v>30</v>
      </c>
    </row>
    <row r="8797" spans="8:8" x14ac:dyDescent="0.25">
      <c r="H8797" t="s">
        <v>11959</v>
      </c>
    </row>
    <row r="8798" spans="8:8" x14ac:dyDescent="0.25">
      <c r="H8798" t="s">
        <v>11960</v>
      </c>
    </row>
    <row r="8799" spans="8:8" x14ac:dyDescent="0.25">
      <c r="H8799" t="s">
        <v>135</v>
      </c>
    </row>
    <row r="8800" spans="8:8" x14ac:dyDescent="0.25">
      <c r="H8800" t="s">
        <v>11961</v>
      </c>
    </row>
    <row r="8801" spans="8:8" x14ac:dyDescent="0.25">
      <c r="H8801" t="s">
        <v>30</v>
      </c>
    </row>
    <row r="8802" spans="8:8" x14ac:dyDescent="0.25">
      <c r="H8802" t="s">
        <v>136</v>
      </c>
    </row>
    <row r="8803" spans="8:8" x14ac:dyDescent="0.25">
      <c r="H8803" t="s">
        <v>11962</v>
      </c>
    </row>
    <row r="8804" spans="8:8" x14ac:dyDescent="0.25">
      <c r="H8804" t="s">
        <v>30</v>
      </c>
    </row>
    <row r="8805" spans="8:8" x14ac:dyDescent="0.25">
      <c r="H8805" t="s">
        <v>137</v>
      </c>
    </row>
    <row r="8806" spans="8:8" x14ac:dyDescent="0.25">
      <c r="H8806" t="s">
        <v>11963</v>
      </c>
    </row>
    <row r="8807" spans="8:8" x14ac:dyDescent="0.25">
      <c r="H8807" t="s">
        <v>30</v>
      </c>
    </row>
    <row r="8808" spans="8:8" x14ac:dyDescent="0.25">
      <c r="H8808" t="s">
        <v>138</v>
      </c>
    </row>
    <row r="8809" spans="8:8" x14ac:dyDescent="0.25">
      <c r="H8809" t="s">
        <v>11964</v>
      </c>
    </row>
    <row r="8810" spans="8:8" x14ac:dyDescent="0.25">
      <c r="H8810" t="s">
        <v>30</v>
      </c>
    </row>
    <row r="8812" spans="8:8" x14ac:dyDescent="0.25">
      <c r="H8812" t="s">
        <v>11965</v>
      </c>
    </row>
    <row r="8813" spans="8:8" x14ac:dyDescent="0.25">
      <c r="H8813" t="s">
        <v>11966</v>
      </c>
    </row>
    <row r="8814" spans="8:8" x14ac:dyDescent="0.25">
      <c r="H8814" t="s">
        <v>135</v>
      </c>
    </row>
    <row r="8815" spans="8:8" x14ac:dyDescent="0.25">
      <c r="H8815" t="s">
        <v>11967</v>
      </c>
    </row>
    <row r="8816" spans="8:8" x14ac:dyDescent="0.25">
      <c r="H8816" t="s">
        <v>30</v>
      </c>
    </row>
    <row r="8817" spans="8:8" x14ac:dyDescent="0.25">
      <c r="H8817" t="s">
        <v>136</v>
      </c>
    </row>
    <row r="8818" spans="8:8" x14ac:dyDescent="0.25">
      <c r="H8818" t="s">
        <v>11968</v>
      </c>
    </row>
    <row r="8819" spans="8:8" x14ac:dyDescent="0.25">
      <c r="H8819" t="s">
        <v>30</v>
      </c>
    </row>
    <row r="8820" spans="8:8" x14ac:dyDescent="0.25">
      <c r="H8820" t="s">
        <v>137</v>
      </c>
    </row>
    <row r="8821" spans="8:8" x14ac:dyDescent="0.25">
      <c r="H8821" t="s">
        <v>11969</v>
      </c>
    </row>
    <row r="8822" spans="8:8" x14ac:dyDescent="0.25">
      <c r="H8822" t="s">
        <v>30</v>
      </c>
    </row>
    <row r="8823" spans="8:8" x14ac:dyDescent="0.25">
      <c r="H8823" t="s">
        <v>138</v>
      </c>
    </row>
    <row r="8824" spans="8:8" x14ac:dyDescent="0.25">
      <c r="H8824" t="s">
        <v>11970</v>
      </c>
    </row>
    <row r="8825" spans="8:8" x14ac:dyDescent="0.25">
      <c r="H8825" t="s">
        <v>30</v>
      </c>
    </row>
    <row r="8827" spans="8:8" x14ac:dyDescent="0.25">
      <c r="H8827" t="s">
        <v>11971</v>
      </c>
    </row>
    <row r="8828" spans="8:8" x14ac:dyDescent="0.25">
      <c r="H8828" t="s">
        <v>11972</v>
      </c>
    </row>
    <row r="8829" spans="8:8" x14ac:dyDescent="0.25">
      <c r="H8829" t="s">
        <v>135</v>
      </c>
    </row>
    <row r="8830" spans="8:8" x14ac:dyDescent="0.25">
      <c r="H8830" t="s">
        <v>11973</v>
      </c>
    </row>
    <row r="8831" spans="8:8" x14ac:dyDescent="0.25">
      <c r="H8831" t="s">
        <v>30</v>
      </c>
    </row>
    <row r="8832" spans="8:8" x14ac:dyDescent="0.25">
      <c r="H8832" t="s">
        <v>136</v>
      </c>
    </row>
    <row r="8833" spans="8:8" x14ac:dyDescent="0.25">
      <c r="H8833" t="s">
        <v>11974</v>
      </c>
    </row>
    <row r="8834" spans="8:8" x14ac:dyDescent="0.25">
      <c r="H8834" t="s">
        <v>30</v>
      </c>
    </row>
    <row r="8835" spans="8:8" x14ac:dyDescent="0.25">
      <c r="H8835" t="s">
        <v>137</v>
      </c>
    </row>
    <row r="8836" spans="8:8" x14ac:dyDescent="0.25">
      <c r="H8836" t="s">
        <v>11975</v>
      </c>
    </row>
    <row r="8837" spans="8:8" x14ac:dyDescent="0.25">
      <c r="H8837" t="s">
        <v>30</v>
      </c>
    </row>
    <row r="8838" spans="8:8" x14ac:dyDescent="0.25">
      <c r="H8838" t="s">
        <v>138</v>
      </c>
    </row>
    <row r="8839" spans="8:8" x14ac:dyDescent="0.25">
      <c r="H8839" t="s">
        <v>11976</v>
      </c>
    </row>
    <row r="8840" spans="8:8" x14ac:dyDescent="0.25">
      <c r="H8840" t="s">
        <v>30</v>
      </c>
    </row>
    <row r="8842" spans="8:8" x14ac:dyDescent="0.25">
      <c r="H8842" t="s">
        <v>11977</v>
      </c>
    </row>
    <row r="8843" spans="8:8" x14ac:dyDescent="0.25">
      <c r="H8843" t="s">
        <v>11978</v>
      </c>
    </row>
    <row r="8844" spans="8:8" x14ac:dyDescent="0.25">
      <c r="H8844" t="s">
        <v>135</v>
      </c>
    </row>
    <row r="8845" spans="8:8" x14ac:dyDescent="0.25">
      <c r="H8845" t="s">
        <v>11979</v>
      </c>
    </row>
    <row r="8846" spans="8:8" x14ac:dyDescent="0.25">
      <c r="H8846" t="s">
        <v>30</v>
      </c>
    </row>
    <row r="8847" spans="8:8" x14ac:dyDescent="0.25">
      <c r="H8847" t="s">
        <v>136</v>
      </c>
    </row>
    <row r="8848" spans="8:8" x14ac:dyDescent="0.25">
      <c r="H8848" t="s">
        <v>11980</v>
      </c>
    </row>
    <row r="8849" spans="8:8" x14ac:dyDescent="0.25">
      <c r="H8849" t="s">
        <v>30</v>
      </c>
    </row>
    <row r="8850" spans="8:8" x14ac:dyDescent="0.25">
      <c r="H8850" t="s">
        <v>137</v>
      </c>
    </row>
    <row r="8851" spans="8:8" x14ac:dyDescent="0.25">
      <c r="H8851" t="s">
        <v>11981</v>
      </c>
    </row>
    <row r="8852" spans="8:8" x14ac:dyDescent="0.25">
      <c r="H8852" t="s">
        <v>30</v>
      </c>
    </row>
    <row r="8853" spans="8:8" x14ac:dyDescent="0.25">
      <c r="H8853" t="s">
        <v>138</v>
      </c>
    </row>
    <row r="8854" spans="8:8" x14ac:dyDescent="0.25">
      <c r="H8854" t="s">
        <v>11982</v>
      </c>
    </row>
    <row r="8855" spans="8:8" x14ac:dyDescent="0.25">
      <c r="H8855" t="s">
        <v>30</v>
      </c>
    </row>
    <row r="8857" spans="8:8" x14ac:dyDescent="0.25">
      <c r="H8857" t="s">
        <v>11983</v>
      </c>
    </row>
    <row r="8858" spans="8:8" x14ac:dyDescent="0.25">
      <c r="H8858" t="s">
        <v>11984</v>
      </c>
    </row>
    <row r="8859" spans="8:8" x14ac:dyDescent="0.25">
      <c r="H8859" t="s">
        <v>135</v>
      </c>
    </row>
    <row r="8860" spans="8:8" x14ac:dyDescent="0.25">
      <c r="H8860" t="s">
        <v>11985</v>
      </c>
    </row>
    <row r="8861" spans="8:8" x14ac:dyDescent="0.25">
      <c r="H8861" t="s">
        <v>30</v>
      </c>
    </row>
    <row r="8862" spans="8:8" x14ac:dyDescent="0.25">
      <c r="H8862" t="s">
        <v>136</v>
      </c>
    </row>
    <row r="8863" spans="8:8" x14ac:dyDescent="0.25">
      <c r="H8863" t="s">
        <v>11986</v>
      </c>
    </row>
    <row r="8864" spans="8:8" x14ac:dyDescent="0.25">
      <c r="H8864" t="s">
        <v>30</v>
      </c>
    </row>
    <row r="8865" spans="8:8" x14ac:dyDescent="0.25">
      <c r="H8865" t="s">
        <v>137</v>
      </c>
    </row>
    <row r="8866" spans="8:8" x14ac:dyDescent="0.25">
      <c r="H8866" t="s">
        <v>11987</v>
      </c>
    </row>
    <row r="8867" spans="8:8" x14ac:dyDescent="0.25">
      <c r="H8867" t="s">
        <v>30</v>
      </c>
    </row>
    <row r="8868" spans="8:8" x14ac:dyDescent="0.25">
      <c r="H8868" t="s">
        <v>138</v>
      </c>
    </row>
    <row r="8869" spans="8:8" x14ac:dyDescent="0.25">
      <c r="H8869" t="s">
        <v>11988</v>
      </c>
    </row>
    <row r="8870" spans="8:8" x14ac:dyDescent="0.25">
      <c r="H8870" t="s">
        <v>30</v>
      </c>
    </row>
    <row r="8872" spans="8:8" x14ac:dyDescent="0.25">
      <c r="H8872" t="s">
        <v>11989</v>
      </c>
    </row>
    <row r="8873" spans="8:8" x14ac:dyDescent="0.25">
      <c r="H8873" t="s">
        <v>11990</v>
      </c>
    </row>
    <row r="8874" spans="8:8" x14ac:dyDescent="0.25">
      <c r="H8874" t="s">
        <v>135</v>
      </c>
    </row>
    <row r="8875" spans="8:8" x14ac:dyDescent="0.25">
      <c r="H8875" t="s">
        <v>11991</v>
      </c>
    </row>
    <row r="8876" spans="8:8" x14ac:dyDescent="0.25">
      <c r="H8876" t="s">
        <v>30</v>
      </c>
    </row>
    <row r="8877" spans="8:8" x14ac:dyDescent="0.25">
      <c r="H8877" t="s">
        <v>136</v>
      </c>
    </row>
    <row r="8878" spans="8:8" x14ac:dyDescent="0.25">
      <c r="H8878" t="s">
        <v>11992</v>
      </c>
    </row>
    <row r="8879" spans="8:8" x14ac:dyDescent="0.25">
      <c r="H8879" t="s">
        <v>30</v>
      </c>
    </row>
    <row r="8880" spans="8:8" x14ac:dyDescent="0.25">
      <c r="H8880" t="s">
        <v>137</v>
      </c>
    </row>
    <row r="8881" spans="8:8" x14ac:dyDescent="0.25">
      <c r="H8881" t="s">
        <v>11993</v>
      </c>
    </row>
    <row r="8882" spans="8:8" x14ac:dyDescent="0.25">
      <c r="H8882" t="s">
        <v>30</v>
      </c>
    </row>
    <row r="8883" spans="8:8" x14ac:dyDescent="0.25">
      <c r="H8883" t="s">
        <v>138</v>
      </c>
    </row>
    <row r="8884" spans="8:8" x14ac:dyDescent="0.25">
      <c r="H8884" t="s">
        <v>11994</v>
      </c>
    </row>
    <row r="8885" spans="8:8" x14ac:dyDescent="0.25">
      <c r="H8885" t="s">
        <v>30</v>
      </c>
    </row>
    <row r="8887" spans="8:8" x14ac:dyDescent="0.25">
      <c r="H8887" t="s">
        <v>11995</v>
      </c>
    </row>
    <row r="8888" spans="8:8" x14ac:dyDescent="0.25">
      <c r="H8888" t="s">
        <v>11996</v>
      </c>
    </row>
    <row r="8889" spans="8:8" x14ac:dyDescent="0.25">
      <c r="H8889" t="s">
        <v>135</v>
      </c>
    </row>
    <row r="8890" spans="8:8" x14ac:dyDescent="0.25">
      <c r="H8890" t="s">
        <v>11997</v>
      </c>
    </row>
    <row r="8891" spans="8:8" x14ac:dyDescent="0.25">
      <c r="H8891" t="s">
        <v>30</v>
      </c>
    </row>
    <row r="8892" spans="8:8" x14ac:dyDescent="0.25">
      <c r="H8892" t="s">
        <v>136</v>
      </c>
    </row>
    <row r="8893" spans="8:8" x14ac:dyDescent="0.25">
      <c r="H8893" t="s">
        <v>11998</v>
      </c>
    </row>
    <row r="8894" spans="8:8" x14ac:dyDescent="0.25">
      <c r="H8894" t="s">
        <v>30</v>
      </c>
    </row>
    <row r="8895" spans="8:8" x14ac:dyDescent="0.25">
      <c r="H8895" t="s">
        <v>137</v>
      </c>
    </row>
    <row r="8896" spans="8:8" x14ac:dyDescent="0.25">
      <c r="H8896" t="s">
        <v>11999</v>
      </c>
    </row>
    <row r="8897" spans="8:8" x14ac:dyDescent="0.25">
      <c r="H8897" t="s">
        <v>30</v>
      </c>
    </row>
    <row r="8898" spans="8:8" x14ac:dyDescent="0.25">
      <c r="H8898" t="s">
        <v>138</v>
      </c>
    </row>
    <row r="8899" spans="8:8" x14ac:dyDescent="0.25">
      <c r="H8899" t="s">
        <v>12000</v>
      </c>
    </row>
    <row r="8900" spans="8:8" x14ac:dyDescent="0.25">
      <c r="H8900" t="s">
        <v>30</v>
      </c>
    </row>
    <row r="8902" spans="8:8" x14ac:dyDescent="0.25">
      <c r="H8902" t="s">
        <v>12001</v>
      </c>
    </row>
    <row r="8903" spans="8:8" x14ac:dyDescent="0.25">
      <c r="H8903" t="s">
        <v>12002</v>
      </c>
    </row>
    <row r="8904" spans="8:8" x14ac:dyDescent="0.25">
      <c r="H8904" t="s">
        <v>135</v>
      </c>
    </row>
    <row r="8905" spans="8:8" x14ac:dyDescent="0.25">
      <c r="H8905" t="s">
        <v>12003</v>
      </c>
    </row>
    <row r="8906" spans="8:8" x14ac:dyDescent="0.25">
      <c r="H8906" t="s">
        <v>30</v>
      </c>
    </row>
    <row r="8907" spans="8:8" x14ac:dyDescent="0.25">
      <c r="H8907" t="s">
        <v>136</v>
      </c>
    </row>
    <row r="8908" spans="8:8" x14ac:dyDescent="0.25">
      <c r="H8908" t="s">
        <v>12004</v>
      </c>
    </row>
    <row r="8909" spans="8:8" x14ac:dyDescent="0.25">
      <c r="H8909" t="s">
        <v>30</v>
      </c>
    </row>
    <row r="8910" spans="8:8" x14ac:dyDescent="0.25">
      <c r="H8910" t="s">
        <v>137</v>
      </c>
    </row>
    <row r="8911" spans="8:8" x14ac:dyDescent="0.25">
      <c r="H8911" t="s">
        <v>12005</v>
      </c>
    </row>
    <row r="8912" spans="8:8" x14ac:dyDescent="0.25">
      <c r="H8912" t="s">
        <v>30</v>
      </c>
    </row>
    <row r="8913" spans="8:8" x14ac:dyDescent="0.25">
      <c r="H8913" t="s">
        <v>138</v>
      </c>
    </row>
    <row r="8914" spans="8:8" x14ac:dyDescent="0.25">
      <c r="H8914" t="s">
        <v>12006</v>
      </c>
    </row>
    <row r="8915" spans="8:8" x14ac:dyDescent="0.25">
      <c r="H8915" t="s">
        <v>30</v>
      </c>
    </row>
    <row r="8917" spans="8:8" x14ac:dyDescent="0.25">
      <c r="H8917" t="s">
        <v>12007</v>
      </c>
    </row>
    <row r="8918" spans="8:8" x14ac:dyDescent="0.25">
      <c r="H8918" t="s">
        <v>12008</v>
      </c>
    </row>
    <row r="8919" spans="8:8" x14ac:dyDescent="0.25">
      <c r="H8919" t="s">
        <v>135</v>
      </c>
    </row>
    <row r="8920" spans="8:8" x14ac:dyDescent="0.25">
      <c r="H8920" t="s">
        <v>12009</v>
      </c>
    </row>
    <row r="8921" spans="8:8" x14ac:dyDescent="0.25">
      <c r="H8921" t="s">
        <v>30</v>
      </c>
    </row>
    <row r="8922" spans="8:8" x14ac:dyDescent="0.25">
      <c r="H8922" t="s">
        <v>136</v>
      </c>
    </row>
    <row r="8923" spans="8:8" x14ac:dyDescent="0.25">
      <c r="H8923" t="s">
        <v>12010</v>
      </c>
    </row>
    <row r="8924" spans="8:8" x14ac:dyDescent="0.25">
      <c r="H8924" t="s">
        <v>30</v>
      </c>
    </row>
    <row r="8925" spans="8:8" x14ac:dyDescent="0.25">
      <c r="H8925" t="s">
        <v>137</v>
      </c>
    </row>
    <row r="8926" spans="8:8" x14ac:dyDescent="0.25">
      <c r="H8926" t="s">
        <v>12011</v>
      </c>
    </row>
    <row r="8927" spans="8:8" x14ac:dyDescent="0.25">
      <c r="H8927" t="s">
        <v>30</v>
      </c>
    </row>
    <row r="8928" spans="8:8" x14ac:dyDescent="0.25">
      <c r="H8928" t="s">
        <v>138</v>
      </c>
    </row>
    <row r="8929" spans="8:8" x14ac:dyDescent="0.25">
      <c r="H8929" t="s">
        <v>12012</v>
      </c>
    </row>
    <row r="8930" spans="8:8" x14ac:dyDescent="0.25">
      <c r="H8930" t="s">
        <v>30</v>
      </c>
    </row>
    <row r="8932" spans="8:8" x14ac:dyDescent="0.25">
      <c r="H8932" t="s">
        <v>12013</v>
      </c>
    </row>
    <row r="8933" spans="8:8" x14ac:dyDescent="0.25">
      <c r="H8933" t="s">
        <v>12014</v>
      </c>
    </row>
    <row r="8934" spans="8:8" x14ac:dyDescent="0.25">
      <c r="H8934" t="s">
        <v>135</v>
      </c>
    </row>
    <row r="8935" spans="8:8" x14ac:dyDescent="0.25">
      <c r="H8935" t="s">
        <v>12015</v>
      </c>
    </row>
    <row r="8936" spans="8:8" x14ac:dyDescent="0.25">
      <c r="H8936" t="s">
        <v>30</v>
      </c>
    </row>
    <row r="8937" spans="8:8" x14ac:dyDescent="0.25">
      <c r="H8937" t="s">
        <v>136</v>
      </c>
    </row>
    <row r="8938" spans="8:8" x14ac:dyDescent="0.25">
      <c r="H8938" t="s">
        <v>12016</v>
      </c>
    </row>
    <row r="8939" spans="8:8" x14ac:dyDescent="0.25">
      <c r="H8939" t="s">
        <v>30</v>
      </c>
    </row>
    <row r="8940" spans="8:8" x14ac:dyDescent="0.25">
      <c r="H8940" t="s">
        <v>137</v>
      </c>
    </row>
    <row r="8941" spans="8:8" x14ac:dyDescent="0.25">
      <c r="H8941" t="s">
        <v>12017</v>
      </c>
    </row>
    <row r="8942" spans="8:8" x14ac:dyDescent="0.25">
      <c r="H8942" t="s">
        <v>30</v>
      </c>
    </row>
    <row r="8943" spans="8:8" x14ac:dyDescent="0.25">
      <c r="H8943" t="s">
        <v>138</v>
      </c>
    </row>
    <row r="8944" spans="8:8" x14ac:dyDescent="0.25">
      <c r="H8944" t="s">
        <v>12018</v>
      </c>
    </row>
    <row r="8945" spans="8:8" x14ac:dyDescent="0.25">
      <c r="H8945" t="s">
        <v>30</v>
      </c>
    </row>
    <row r="8947" spans="8:8" x14ac:dyDescent="0.25">
      <c r="H8947" t="s">
        <v>12019</v>
      </c>
    </row>
    <row r="8948" spans="8:8" x14ac:dyDescent="0.25">
      <c r="H8948" t="s">
        <v>12020</v>
      </c>
    </row>
    <row r="8949" spans="8:8" x14ac:dyDescent="0.25">
      <c r="H8949" t="s">
        <v>135</v>
      </c>
    </row>
    <row r="8950" spans="8:8" x14ac:dyDescent="0.25">
      <c r="H8950" t="s">
        <v>12021</v>
      </c>
    </row>
    <row r="8951" spans="8:8" x14ac:dyDescent="0.25">
      <c r="H8951" t="s">
        <v>30</v>
      </c>
    </row>
    <row r="8952" spans="8:8" x14ac:dyDescent="0.25">
      <c r="H8952" t="s">
        <v>136</v>
      </c>
    </row>
    <row r="8953" spans="8:8" x14ac:dyDescent="0.25">
      <c r="H8953" t="s">
        <v>12022</v>
      </c>
    </row>
    <row r="8954" spans="8:8" x14ac:dyDescent="0.25">
      <c r="H8954" t="s">
        <v>30</v>
      </c>
    </row>
    <row r="8955" spans="8:8" x14ac:dyDescent="0.25">
      <c r="H8955" t="s">
        <v>137</v>
      </c>
    </row>
    <row r="8956" spans="8:8" x14ac:dyDescent="0.25">
      <c r="H8956" t="s">
        <v>12023</v>
      </c>
    </row>
    <row r="8957" spans="8:8" x14ac:dyDescent="0.25">
      <c r="H8957" t="s">
        <v>30</v>
      </c>
    </row>
    <row r="8958" spans="8:8" x14ac:dyDescent="0.25">
      <c r="H8958" t="s">
        <v>138</v>
      </c>
    </row>
    <row r="8959" spans="8:8" x14ac:dyDescent="0.25">
      <c r="H8959" t="s">
        <v>12024</v>
      </c>
    </row>
    <row r="8960" spans="8:8" x14ac:dyDescent="0.25">
      <c r="H8960" t="s">
        <v>30</v>
      </c>
    </row>
    <row r="8962" spans="8:8" x14ac:dyDescent="0.25">
      <c r="H8962" t="s">
        <v>12025</v>
      </c>
    </row>
    <row r="8963" spans="8:8" x14ac:dyDescent="0.25">
      <c r="H8963" t="s">
        <v>12026</v>
      </c>
    </row>
    <row r="8964" spans="8:8" x14ac:dyDescent="0.25">
      <c r="H8964" t="s">
        <v>135</v>
      </c>
    </row>
    <row r="8965" spans="8:8" x14ac:dyDescent="0.25">
      <c r="H8965" t="s">
        <v>12027</v>
      </c>
    </row>
    <row r="8966" spans="8:8" x14ac:dyDescent="0.25">
      <c r="H8966" t="s">
        <v>30</v>
      </c>
    </row>
    <row r="8967" spans="8:8" x14ac:dyDescent="0.25">
      <c r="H8967" t="s">
        <v>136</v>
      </c>
    </row>
    <row r="8968" spans="8:8" x14ac:dyDescent="0.25">
      <c r="H8968" t="s">
        <v>12028</v>
      </c>
    </row>
    <row r="8969" spans="8:8" x14ac:dyDescent="0.25">
      <c r="H8969" t="s">
        <v>30</v>
      </c>
    </row>
    <row r="8970" spans="8:8" x14ac:dyDescent="0.25">
      <c r="H8970" t="s">
        <v>137</v>
      </c>
    </row>
    <row r="8971" spans="8:8" x14ac:dyDescent="0.25">
      <c r="H8971" t="s">
        <v>12029</v>
      </c>
    </row>
    <row r="8972" spans="8:8" x14ac:dyDescent="0.25">
      <c r="H8972" t="s">
        <v>30</v>
      </c>
    </row>
    <row r="8973" spans="8:8" x14ac:dyDescent="0.25">
      <c r="H8973" t="s">
        <v>138</v>
      </c>
    </row>
    <row r="8974" spans="8:8" x14ac:dyDescent="0.25">
      <c r="H8974" t="s">
        <v>12030</v>
      </c>
    </row>
    <row r="8975" spans="8:8" x14ac:dyDescent="0.25">
      <c r="H8975" t="s">
        <v>30</v>
      </c>
    </row>
    <row r="8977" spans="8:8" x14ac:dyDescent="0.25">
      <c r="H8977" t="s">
        <v>12031</v>
      </c>
    </row>
    <row r="8978" spans="8:8" x14ac:dyDescent="0.25">
      <c r="H8978" t="s">
        <v>12032</v>
      </c>
    </row>
    <row r="8979" spans="8:8" x14ac:dyDescent="0.25">
      <c r="H8979" t="s">
        <v>135</v>
      </c>
    </row>
    <row r="8980" spans="8:8" x14ac:dyDescent="0.25">
      <c r="H8980" t="s">
        <v>12033</v>
      </c>
    </row>
    <row r="8981" spans="8:8" x14ac:dyDescent="0.25">
      <c r="H8981" t="s">
        <v>30</v>
      </c>
    </row>
    <row r="8982" spans="8:8" x14ac:dyDescent="0.25">
      <c r="H8982" t="s">
        <v>136</v>
      </c>
    </row>
    <row r="8983" spans="8:8" x14ac:dyDescent="0.25">
      <c r="H8983" t="s">
        <v>12034</v>
      </c>
    </row>
    <row r="8984" spans="8:8" x14ac:dyDescent="0.25">
      <c r="H8984" t="s">
        <v>30</v>
      </c>
    </row>
    <row r="8985" spans="8:8" x14ac:dyDescent="0.25">
      <c r="H8985" t="s">
        <v>137</v>
      </c>
    </row>
    <row r="8986" spans="8:8" x14ac:dyDescent="0.25">
      <c r="H8986" t="s">
        <v>12035</v>
      </c>
    </row>
    <row r="8987" spans="8:8" x14ac:dyDescent="0.25">
      <c r="H8987" t="s">
        <v>30</v>
      </c>
    </row>
    <row r="8988" spans="8:8" x14ac:dyDescent="0.25">
      <c r="H8988" t="s">
        <v>138</v>
      </c>
    </row>
    <row r="8989" spans="8:8" x14ac:dyDescent="0.25">
      <c r="H8989" t="s">
        <v>12036</v>
      </c>
    </row>
    <row r="8990" spans="8:8" x14ac:dyDescent="0.25">
      <c r="H8990" t="s">
        <v>30</v>
      </c>
    </row>
    <row r="8992" spans="8:8" x14ac:dyDescent="0.25">
      <c r="H8992" t="s">
        <v>12037</v>
      </c>
    </row>
    <row r="8993" spans="8:8" x14ac:dyDescent="0.25">
      <c r="H8993" t="s">
        <v>12038</v>
      </c>
    </row>
    <row r="8994" spans="8:8" x14ac:dyDescent="0.25">
      <c r="H8994" t="s">
        <v>135</v>
      </c>
    </row>
    <row r="8995" spans="8:8" x14ac:dyDescent="0.25">
      <c r="H8995" t="s">
        <v>12039</v>
      </c>
    </row>
    <row r="8996" spans="8:8" x14ac:dyDescent="0.25">
      <c r="H8996" t="s">
        <v>30</v>
      </c>
    </row>
    <row r="8997" spans="8:8" x14ac:dyDescent="0.25">
      <c r="H8997" t="s">
        <v>136</v>
      </c>
    </row>
    <row r="8998" spans="8:8" x14ac:dyDescent="0.25">
      <c r="H8998" t="s">
        <v>12040</v>
      </c>
    </row>
    <row r="8999" spans="8:8" x14ac:dyDescent="0.25">
      <c r="H8999" t="s">
        <v>30</v>
      </c>
    </row>
    <row r="9000" spans="8:8" x14ac:dyDescent="0.25">
      <c r="H9000" t="s">
        <v>137</v>
      </c>
    </row>
    <row r="9001" spans="8:8" x14ac:dyDescent="0.25">
      <c r="H9001" t="s">
        <v>12041</v>
      </c>
    </row>
    <row r="9002" spans="8:8" x14ac:dyDescent="0.25">
      <c r="H9002" t="s">
        <v>30</v>
      </c>
    </row>
    <row r="9003" spans="8:8" x14ac:dyDescent="0.25">
      <c r="H9003" t="s">
        <v>138</v>
      </c>
    </row>
    <row r="9004" spans="8:8" x14ac:dyDescent="0.25">
      <c r="H9004" t="s">
        <v>12042</v>
      </c>
    </row>
    <row r="9005" spans="8:8" x14ac:dyDescent="0.25">
      <c r="H9005" t="s">
        <v>30</v>
      </c>
    </row>
    <row r="9007" spans="8:8" x14ac:dyDescent="0.25">
      <c r="H9007" t="s">
        <v>12043</v>
      </c>
    </row>
    <row r="9008" spans="8:8" x14ac:dyDescent="0.25">
      <c r="H9008" t="s">
        <v>12044</v>
      </c>
    </row>
    <row r="9009" spans="8:8" x14ac:dyDescent="0.25">
      <c r="H9009" t="s">
        <v>135</v>
      </c>
    </row>
    <row r="9010" spans="8:8" x14ac:dyDescent="0.25">
      <c r="H9010" t="s">
        <v>12045</v>
      </c>
    </row>
    <row r="9011" spans="8:8" x14ac:dyDescent="0.25">
      <c r="H9011" t="s">
        <v>30</v>
      </c>
    </row>
    <row r="9012" spans="8:8" x14ac:dyDescent="0.25">
      <c r="H9012" t="s">
        <v>136</v>
      </c>
    </row>
    <row r="9013" spans="8:8" x14ac:dyDescent="0.25">
      <c r="H9013" t="s">
        <v>12046</v>
      </c>
    </row>
    <row r="9014" spans="8:8" x14ac:dyDescent="0.25">
      <c r="H9014" t="s">
        <v>30</v>
      </c>
    </row>
    <row r="9015" spans="8:8" x14ac:dyDescent="0.25">
      <c r="H9015" t="s">
        <v>137</v>
      </c>
    </row>
    <row r="9016" spans="8:8" x14ac:dyDescent="0.25">
      <c r="H9016" t="s">
        <v>12047</v>
      </c>
    </row>
    <row r="9017" spans="8:8" x14ac:dyDescent="0.25">
      <c r="H9017" t="s">
        <v>30</v>
      </c>
    </row>
    <row r="9018" spans="8:8" x14ac:dyDescent="0.25">
      <c r="H9018" t="s">
        <v>138</v>
      </c>
    </row>
    <row r="9019" spans="8:8" x14ac:dyDescent="0.25">
      <c r="H9019" t="s">
        <v>12048</v>
      </c>
    </row>
    <row r="9020" spans="8:8" x14ac:dyDescent="0.25">
      <c r="H9020" t="s">
        <v>30</v>
      </c>
    </row>
    <row r="9022" spans="8:8" x14ac:dyDescent="0.25">
      <c r="H9022" t="s">
        <v>12049</v>
      </c>
    </row>
    <row r="9023" spans="8:8" x14ac:dyDescent="0.25">
      <c r="H9023" t="s">
        <v>12050</v>
      </c>
    </row>
    <row r="9024" spans="8:8" x14ac:dyDescent="0.25">
      <c r="H9024" t="s">
        <v>135</v>
      </c>
    </row>
    <row r="9025" spans="8:8" x14ac:dyDescent="0.25">
      <c r="H9025" t="s">
        <v>12051</v>
      </c>
    </row>
    <row r="9026" spans="8:8" x14ac:dyDescent="0.25">
      <c r="H9026" t="s">
        <v>30</v>
      </c>
    </row>
    <row r="9027" spans="8:8" x14ac:dyDescent="0.25">
      <c r="H9027" t="s">
        <v>136</v>
      </c>
    </row>
    <row r="9028" spans="8:8" x14ac:dyDescent="0.25">
      <c r="H9028" t="s">
        <v>12052</v>
      </c>
    </row>
    <row r="9029" spans="8:8" x14ac:dyDescent="0.25">
      <c r="H9029" t="s">
        <v>30</v>
      </c>
    </row>
    <row r="9030" spans="8:8" x14ac:dyDescent="0.25">
      <c r="H9030" t="s">
        <v>137</v>
      </c>
    </row>
    <row r="9031" spans="8:8" x14ac:dyDescent="0.25">
      <c r="H9031" t="s">
        <v>12053</v>
      </c>
    </row>
    <row r="9032" spans="8:8" x14ac:dyDescent="0.25">
      <c r="H9032" t="s">
        <v>30</v>
      </c>
    </row>
    <row r="9033" spans="8:8" x14ac:dyDescent="0.25">
      <c r="H9033" t="s">
        <v>138</v>
      </c>
    </row>
    <row r="9034" spans="8:8" x14ac:dyDescent="0.25">
      <c r="H9034" t="s">
        <v>12054</v>
      </c>
    </row>
    <row r="9035" spans="8:8" x14ac:dyDescent="0.25">
      <c r="H9035" t="s">
        <v>30</v>
      </c>
    </row>
    <row r="9037" spans="8:8" x14ac:dyDescent="0.25">
      <c r="H9037" t="s">
        <v>12055</v>
      </c>
    </row>
    <row r="9038" spans="8:8" x14ac:dyDescent="0.25">
      <c r="H9038" t="s">
        <v>12056</v>
      </c>
    </row>
    <row r="9039" spans="8:8" x14ac:dyDescent="0.25">
      <c r="H9039" t="s">
        <v>135</v>
      </c>
    </row>
    <row r="9040" spans="8:8" x14ac:dyDescent="0.25">
      <c r="H9040" t="s">
        <v>12057</v>
      </c>
    </row>
    <row r="9041" spans="8:8" x14ac:dyDescent="0.25">
      <c r="H9041" t="s">
        <v>30</v>
      </c>
    </row>
    <row r="9042" spans="8:8" x14ac:dyDescent="0.25">
      <c r="H9042" t="s">
        <v>136</v>
      </c>
    </row>
    <row r="9043" spans="8:8" x14ac:dyDescent="0.25">
      <c r="H9043" t="s">
        <v>12058</v>
      </c>
    </row>
    <row r="9044" spans="8:8" x14ac:dyDescent="0.25">
      <c r="H9044" t="s">
        <v>30</v>
      </c>
    </row>
    <row r="9045" spans="8:8" x14ac:dyDescent="0.25">
      <c r="H9045" t="s">
        <v>137</v>
      </c>
    </row>
    <row r="9046" spans="8:8" x14ac:dyDescent="0.25">
      <c r="H9046" t="s">
        <v>12059</v>
      </c>
    </row>
    <row r="9047" spans="8:8" x14ac:dyDescent="0.25">
      <c r="H9047" t="s">
        <v>30</v>
      </c>
    </row>
    <row r="9048" spans="8:8" x14ac:dyDescent="0.25">
      <c r="H9048" t="s">
        <v>138</v>
      </c>
    </row>
    <row r="9049" spans="8:8" x14ac:dyDescent="0.25">
      <c r="H9049" t="s">
        <v>12060</v>
      </c>
    </row>
    <row r="9050" spans="8:8" x14ac:dyDescent="0.25">
      <c r="H9050" t="s">
        <v>30</v>
      </c>
    </row>
    <row r="9052" spans="8:8" x14ac:dyDescent="0.25">
      <c r="H9052" t="s">
        <v>12061</v>
      </c>
    </row>
    <row r="9053" spans="8:8" x14ac:dyDescent="0.25">
      <c r="H9053" t="s">
        <v>12062</v>
      </c>
    </row>
    <row r="9054" spans="8:8" x14ac:dyDescent="0.25">
      <c r="H9054" t="s">
        <v>135</v>
      </c>
    </row>
    <row r="9055" spans="8:8" x14ac:dyDescent="0.25">
      <c r="H9055" t="s">
        <v>12063</v>
      </c>
    </row>
    <row r="9056" spans="8:8" x14ac:dyDescent="0.25">
      <c r="H9056" t="s">
        <v>30</v>
      </c>
    </row>
    <row r="9057" spans="8:8" x14ac:dyDescent="0.25">
      <c r="H9057" t="s">
        <v>136</v>
      </c>
    </row>
    <row r="9058" spans="8:8" x14ac:dyDescent="0.25">
      <c r="H9058" t="s">
        <v>12064</v>
      </c>
    </row>
    <row r="9059" spans="8:8" x14ac:dyDescent="0.25">
      <c r="H9059" t="s">
        <v>30</v>
      </c>
    </row>
    <row r="9060" spans="8:8" x14ac:dyDescent="0.25">
      <c r="H9060" t="s">
        <v>137</v>
      </c>
    </row>
    <row r="9061" spans="8:8" x14ac:dyDescent="0.25">
      <c r="H9061" t="s">
        <v>12065</v>
      </c>
    </row>
    <row r="9062" spans="8:8" x14ac:dyDescent="0.25">
      <c r="H9062" t="s">
        <v>30</v>
      </c>
    </row>
    <row r="9063" spans="8:8" x14ac:dyDescent="0.25">
      <c r="H9063" t="s">
        <v>138</v>
      </c>
    </row>
    <row r="9064" spans="8:8" x14ac:dyDescent="0.25">
      <c r="H9064" t="s">
        <v>12066</v>
      </c>
    </row>
    <row r="9065" spans="8:8" x14ac:dyDescent="0.25">
      <c r="H9065" t="s">
        <v>30</v>
      </c>
    </row>
    <row r="9067" spans="8:8" x14ac:dyDescent="0.25">
      <c r="H9067" t="s">
        <v>12067</v>
      </c>
    </row>
    <row r="9068" spans="8:8" x14ac:dyDescent="0.25">
      <c r="H9068" t="s">
        <v>12068</v>
      </c>
    </row>
    <row r="9069" spans="8:8" x14ac:dyDescent="0.25">
      <c r="H9069" t="s">
        <v>135</v>
      </c>
    </row>
    <row r="9070" spans="8:8" x14ac:dyDescent="0.25">
      <c r="H9070" t="s">
        <v>12069</v>
      </c>
    </row>
    <row r="9071" spans="8:8" x14ac:dyDescent="0.25">
      <c r="H9071" t="s">
        <v>30</v>
      </c>
    </row>
    <row r="9072" spans="8:8" x14ac:dyDescent="0.25">
      <c r="H9072" t="s">
        <v>136</v>
      </c>
    </row>
    <row r="9073" spans="8:8" x14ac:dyDescent="0.25">
      <c r="H9073" t="s">
        <v>12070</v>
      </c>
    </row>
    <row r="9074" spans="8:8" x14ac:dyDescent="0.25">
      <c r="H9074" t="s">
        <v>30</v>
      </c>
    </row>
    <row r="9075" spans="8:8" x14ac:dyDescent="0.25">
      <c r="H9075" t="s">
        <v>137</v>
      </c>
    </row>
    <row r="9076" spans="8:8" x14ac:dyDescent="0.25">
      <c r="H9076" t="s">
        <v>12071</v>
      </c>
    </row>
    <row r="9077" spans="8:8" x14ac:dyDescent="0.25">
      <c r="H9077" t="s">
        <v>30</v>
      </c>
    </row>
    <row r="9078" spans="8:8" x14ac:dyDescent="0.25">
      <c r="H9078" t="s">
        <v>138</v>
      </c>
    </row>
    <row r="9079" spans="8:8" x14ac:dyDescent="0.25">
      <c r="H9079" t="s">
        <v>12072</v>
      </c>
    </row>
    <row r="9080" spans="8:8" x14ac:dyDescent="0.25">
      <c r="H9080" t="s">
        <v>30</v>
      </c>
    </row>
    <row r="9082" spans="8:8" x14ac:dyDescent="0.25">
      <c r="H9082" t="s">
        <v>12073</v>
      </c>
    </row>
    <row r="9083" spans="8:8" x14ac:dyDescent="0.25">
      <c r="H9083" t="s">
        <v>12074</v>
      </c>
    </row>
    <row r="9084" spans="8:8" x14ac:dyDescent="0.25">
      <c r="H9084" t="s">
        <v>135</v>
      </c>
    </row>
    <row r="9085" spans="8:8" x14ac:dyDescent="0.25">
      <c r="H9085" t="s">
        <v>12075</v>
      </c>
    </row>
    <row r="9086" spans="8:8" x14ac:dyDescent="0.25">
      <c r="H9086" t="s">
        <v>30</v>
      </c>
    </row>
    <row r="9087" spans="8:8" x14ac:dyDescent="0.25">
      <c r="H9087" t="s">
        <v>136</v>
      </c>
    </row>
    <row r="9088" spans="8:8" x14ac:dyDescent="0.25">
      <c r="H9088" t="s">
        <v>12076</v>
      </c>
    </row>
    <row r="9089" spans="8:8" x14ac:dyDescent="0.25">
      <c r="H9089" t="s">
        <v>30</v>
      </c>
    </row>
    <row r="9090" spans="8:8" x14ac:dyDescent="0.25">
      <c r="H9090" t="s">
        <v>137</v>
      </c>
    </row>
    <row r="9091" spans="8:8" x14ac:dyDescent="0.25">
      <c r="H9091" t="s">
        <v>12077</v>
      </c>
    </row>
    <row r="9092" spans="8:8" x14ac:dyDescent="0.25">
      <c r="H9092" t="s">
        <v>30</v>
      </c>
    </row>
    <row r="9093" spans="8:8" x14ac:dyDescent="0.25">
      <c r="H9093" t="s">
        <v>138</v>
      </c>
    </row>
    <row r="9094" spans="8:8" x14ac:dyDescent="0.25">
      <c r="H9094" t="s">
        <v>12078</v>
      </c>
    </row>
    <row r="9095" spans="8:8" x14ac:dyDescent="0.25">
      <c r="H9095" t="s">
        <v>30</v>
      </c>
    </row>
    <row r="9097" spans="8:8" x14ac:dyDescent="0.25">
      <c r="H9097" t="s">
        <v>12079</v>
      </c>
    </row>
    <row r="9098" spans="8:8" x14ac:dyDescent="0.25">
      <c r="H9098" t="s">
        <v>12080</v>
      </c>
    </row>
    <row r="9099" spans="8:8" x14ac:dyDescent="0.25">
      <c r="H9099" t="s">
        <v>135</v>
      </c>
    </row>
    <row r="9100" spans="8:8" x14ac:dyDescent="0.25">
      <c r="H9100" t="s">
        <v>12081</v>
      </c>
    </row>
    <row r="9101" spans="8:8" x14ac:dyDescent="0.25">
      <c r="H9101" t="s">
        <v>30</v>
      </c>
    </row>
    <row r="9102" spans="8:8" x14ac:dyDescent="0.25">
      <c r="H9102" t="s">
        <v>136</v>
      </c>
    </row>
    <row r="9103" spans="8:8" x14ac:dyDescent="0.25">
      <c r="H9103" t="s">
        <v>12082</v>
      </c>
    </row>
    <row r="9104" spans="8:8" x14ac:dyDescent="0.25">
      <c r="H9104" t="s">
        <v>30</v>
      </c>
    </row>
    <row r="9105" spans="8:8" x14ac:dyDescent="0.25">
      <c r="H9105" t="s">
        <v>137</v>
      </c>
    </row>
    <row r="9106" spans="8:8" x14ac:dyDescent="0.25">
      <c r="H9106" t="s">
        <v>12083</v>
      </c>
    </row>
    <row r="9107" spans="8:8" x14ac:dyDescent="0.25">
      <c r="H9107" t="s">
        <v>30</v>
      </c>
    </row>
    <row r="9108" spans="8:8" x14ac:dyDescent="0.25">
      <c r="H9108" t="s">
        <v>138</v>
      </c>
    </row>
    <row r="9109" spans="8:8" x14ac:dyDescent="0.25">
      <c r="H9109" t="s">
        <v>12084</v>
      </c>
    </row>
    <row r="9110" spans="8:8" x14ac:dyDescent="0.25">
      <c r="H9110" t="s">
        <v>30</v>
      </c>
    </row>
    <row r="9112" spans="8:8" x14ac:dyDescent="0.25">
      <c r="H9112" t="s">
        <v>12085</v>
      </c>
    </row>
    <row r="9113" spans="8:8" x14ac:dyDescent="0.25">
      <c r="H9113" t="s">
        <v>12086</v>
      </c>
    </row>
    <row r="9114" spans="8:8" x14ac:dyDescent="0.25">
      <c r="H9114" t="s">
        <v>135</v>
      </c>
    </row>
    <row r="9115" spans="8:8" x14ac:dyDescent="0.25">
      <c r="H9115" t="s">
        <v>12087</v>
      </c>
    </row>
    <row r="9116" spans="8:8" x14ac:dyDescent="0.25">
      <c r="H9116" t="s">
        <v>30</v>
      </c>
    </row>
    <row r="9117" spans="8:8" x14ac:dyDescent="0.25">
      <c r="H9117" t="s">
        <v>136</v>
      </c>
    </row>
    <row r="9118" spans="8:8" x14ac:dyDescent="0.25">
      <c r="H9118" t="s">
        <v>12088</v>
      </c>
    </row>
    <row r="9119" spans="8:8" x14ac:dyDescent="0.25">
      <c r="H9119" t="s">
        <v>30</v>
      </c>
    </row>
    <row r="9120" spans="8:8" x14ac:dyDescent="0.25">
      <c r="H9120" t="s">
        <v>137</v>
      </c>
    </row>
    <row r="9121" spans="8:8" x14ac:dyDescent="0.25">
      <c r="H9121" t="s">
        <v>12089</v>
      </c>
    </row>
    <row r="9122" spans="8:8" x14ac:dyDescent="0.25">
      <c r="H9122" t="s">
        <v>30</v>
      </c>
    </row>
    <row r="9123" spans="8:8" x14ac:dyDescent="0.25">
      <c r="H9123" t="s">
        <v>138</v>
      </c>
    </row>
    <row r="9124" spans="8:8" x14ac:dyDescent="0.25">
      <c r="H9124" t="s">
        <v>12090</v>
      </c>
    </row>
    <row r="9125" spans="8:8" x14ac:dyDescent="0.25">
      <c r="H9125" t="s">
        <v>30</v>
      </c>
    </row>
    <row r="9127" spans="8:8" x14ac:dyDescent="0.25">
      <c r="H9127" t="s">
        <v>12091</v>
      </c>
    </row>
    <row r="9128" spans="8:8" x14ac:dyDescent="0.25">
      <c r="H9128" t="s">
        <v>12092</v>
      </c>
    </row>
    <row r="9129" spans="8:8" x14ac:dyDescent="0.25">
      <c r="H9129" t="s">
        <v>135</v>
      </c>
    </row>
    <row r="9130" spans="8:8" x14ac:dyDescent="0.25">
      <c r="H9130" t="s">
        <v>12093</v>
      </c>
    </row>
    <row r="9131" spans="8:8" x14ac:dyDescent="0.25">
      <c r="H9131" t="s">
        <v>30</v>
      </c>
    </row>
    <row r="9132" spans="8:8" x14ac:dyDescent="0.25">
      <c r="H9132" t="s">
        <v>136</v>
      </c>
    </row>
    <row r="9133" spans="8:8" x14ac:dyDescent="0.25">
      <c r="H9133" t="s">
        <v>12094</v>
      </c>
    </row>
    <row r="9134" spans="8:8" x14ac:dyDescent="0.25">
      <c r="H9134" t="s">
        <v>30</v>
      </c>
    </row>
    <row r="9135" spans="8:8" x14ac:dyDescent="0.25">
      <c r="H9135" t="s">
        <v>137</v>
      </c>
    </row>
    <row r="9136" spans="8:8" x14ac:dyDescent="0.25">
      <c r="H9136" t="s">
        <v>12095</v>
      </c>
    </row>
    <row r="9137" spans="8:8" x14ac:dyDescent="0.25">
      <c r="H9137" t="s">
        <v>30</v>
      </c>
    </row>
    <row r="9138" spans="8:8" x14ac:dyDescent="0.25">
      <c r="H9138" t="s">
        <v>138</v>
      </c>
    </row>
    <row r="9139" spans="8:8" x14ac:dyDescent="0.25">
      <c r="H9139" t="s">
        <v>12096</v>
      </c>
    </row>
    <row r="9140" spans="8:8" x14ac:dyDescent="0.25">
      <c r="H9140" t="s">
        <v>30</v>
      </c>
    </row>
    <row r="9142" spans="8:8" x14ac:dyDescent="0.25">
      <c r="H9142" t="s">
        <v>12097</v>
      </c>
    </row>
    <row r="9143" spans="8:8" x14ac:dyDescent="0.25">
      <c r="H9143" t="s">
        <v>12098</v>
      </c>
    </row>
    <row r="9144" spans="8:8" x14ac:dyDescent="0.25">
      <c r="H9144" t="s">
        <v>135</v>
      </c>
    </row>
    <row r="9145" spans="8:8" x14ac:dyDescent="0.25">
      <c r="H9145" t="s">
        <v>12099</v>
      </c>
    </row>
    <row r="9146" spans="8:8" x14ac:dyDescent="0.25">
      <c r="H9146" t="s">
        <v>30</v>
      </c>
    </row>
    <row r="9147" spans="8:8" x14ac:dyDescent="0.25">
      <c r="H9147" t="s">
        <v>136</v>
      </c>
    </row>
    <row r="9148" spans="8:8" x14ac:dyDescent="0.25">
      <c r="H9148" t="s">
        <v>12100</v>
      </c>
    </row>
    <row r="9149" spans="8:8" x14ac:dyDescent="0.25">
      <c r="H9149" t="s">
        <v>30</v>
      </c>
    </row>
    <row r="9150" spans="8:8" x14ac:dyDescent="0.25">
      <c r="H9150" t="s">
        <v>137</v>
      </c>
    </row>
    <row r="9151" spans="8:8" x14ac:dyDescent="0.25">
      <c r="H9151" t="s">
        <v>12101</v>
      </c>
    </row>
    <row r="9152" spans="8:8" x14ac:dyDescent="0.25">
      <c r="H9152" t="s">
        <v>30</v>
      </c>
    </row>
    <row r="9153" spans="8:8" x14ac:dyDescent="0.25">
      <c r="H9153" t="s">
        <v>138</v>
      </c>
    </row>
    <row r="9154" spans="8:8" x14ac:dyDescent="0.25">
      <c r="H9154" t="s">
        <v>12102</v>
      </c>
    </row>
    <row r="9155" spans="8:8" x14ac:dyDescent="0.25">
      <c r="H9155" t="s">
        <v>30</v>
      </c>
    </row>
    <row r="9157" spans="8:8" x14ac:dyDescent="0.25">
      <c r="H9157" t="s">
        <v>12103</v>
      </c>
    </row>
    <row r="9158" spans="8:8" x14ac:dyDescent="0.25">
      <c r="H9158" t="s">
        <v>12104</v>
      </c>
    </row>
    <row r="9159" spans="8:8" x14ac:dyDescent="0.25">
      <c r="H9159" t="s">
        <v>135</v>
      </c>
    </row>
    <row r="9160" spans="8:8" x14ac:dyDescent="0.25">
      <c r="H9160" t="s">
        <v>12105</v>
      </c>
    </row>
    <row r="9161" spans="8:8" x14ac:dyDescent="0.25">
      <c r="H9161" t="s">
        <v>30</v>
      </c>
    </row>
    <row r="9162" spans="8:8" x14ac:dyDescent="0.25">
      <c r="H9162" t="s">
        <v>136</v>
      </c>
    </row>
    <row r="9163" spans="8:8" x14ac:dyDescent="0.25">
      <c r="H9163" t="s">
        <v>12106</v>
      </c>
    </row>
    <row r="9164" spans="8:8" x14ac:dyDescent="0.25">
      <c r="H9164" t="s">
        <v>30</v>
      </c>
    </row>
    <row r="9165" spans="8:8" x14ac:dyDescent="0.25">
      <c r="H9165" t="s">
        <v>137</v>
      </c>
    </row>
    <row r="9166" spans="8:8" x14ac:dyDescent="0.25">
      <c r="H9166" t="s">
        <v>12107</v>
      </c>
    </row>
    <row r="9167" spans="8:8" x14ac:dyDescent="0.25">
      <c r="H9167" t="s">
        <v>30</v>
      </c>
    </row>
    <row r="9168" spans="8:8" x14ac:dyDescent="0.25">
      <c r="H9168" t="s">
        <v>138</v>
      </c>
    </row>
    <row r="9169" spans="8:8" x14ac:dyDescent="0.25">
      <c r="H9169" t="s">
        <v>12108</v>
      </c>
    </row>
    <row r="9170" spans="8:8" x14ac:dyDescent="0.25">
      <c r="H9170" t="s">
        <v>30</v>
      </c>
    </row>
    <row r="9172" spans="8:8" x14ac:dyDescent="0.25">
      <c r="H9172" t="s">
        <v>12109</v>
      </c>
    </row>
    <row r="9173" spans="8:8" x14ac:dyDescent="0.25">
      <c r="H9173" t="s">
        <v>12110</v>
      </c>
    </row>
    <row r="9174" spans="8:8" x14ac:dyDescent="0.25">
      <c r="H9174" t="s">
        <v>135</v>
      </c>
    </row>
    <row r="9175" spans="8:8" x14ac:dyDescent="0.25">
      <c r="H9175" t="s">
        <v>12111</v>
      </c>
    </row>
    <row r="9176" spans="8:8" x14ac:dyDescent="0.25">
      <c r="H9176" t="s">
        <v>30</v>
      </c>
    </row>
    <row r="9177" spans="8:8" x14ac:dyDescent="0.25">
      <c r="H9177" t="s">
        <v>136</v>
      </c>
    </row>
    <row r="9178" spans="8:8" x14ac:dyDescent="0.25">
      <c r="H9178" t="s">
        <v>12112</v>
      </c>
    </row>
    <row r="9179" spans="8:8" x14ac:dyDescent="0.25">
      <c r="H9179" t="s">
        <v>30</v>
      </c>
    </row>
    <row r="9180" spans="8:8" x14ac:dyDescent="0.25">
      <c r="H9180" t="s">
        <v>137</v>
      </c>
    </row>
    <row r="9181" spans="8:8" x14ac:dyDescent="0.25">
      <c r="H9181" t="s">
        <v>12113</v>
      </c>
    </row>
    <row r="9182" spans="8:8" x14ac:dyDescent="0.25">
      <c r="H9182" t="s">
        <v>30</v>
      </c>
    </row>
    <row r="9183" spans="8:8" x14ac:dyDescent="0.25">
      <c r="H9183" t="s">
        <v>138</v>
      </c>
    </row>
    <row r="9184" spans="8:8" x14ac:dyDescent="0.25">
      <c r="H9184" t="s">
        <v>12114</v>
      </c>
    </row>
    <row r="9185" spans="8:8" x14ac:dyDescent="0.25">
      <c r="H9185" t="s">
        <v>30</v>
      </c>
    </row>
    <row r="9187" spans="8:8" x14ac:dyDescent="0.25">
      <c r="H9187" t="s">
        <v>12115</v>
      </c>
    </row>
    <row r="9188" spans="8:8" x14ac:dyDescent="0.25">
      <c r="H9188" t="s">
        <v>12116</v>
      </c>
    </row>
    <row r="9189" spans="8:8" x14ac:dyDescent="0.25">
      <c r="H9189" t="s">
        <v>135</v>
      </c>
    </row>
    <row r="9190" spans="8:8" x14ac:dyDescent="0.25">
      <c r="H9190" t="s">
        <v>12117</v>
      </c>
    </row>
    <row r="9191" spans="8:8" x14ac:dyDescent="0.25">
      <c r="H9191" t="s">
        <v>30</v>
      </c>
    </row>
    <row r="9192" spans="8:8" x14ac:dyDescent="0.25">
      <c r="H9192" t="s">
        <v>136</v>
      </c>
    </row>
    <row r="9193" spans="8:8" x14ac:dyDescent="0.25">
      <c r="H9193" t="s">
        <v>12118</v>
      </c>
    </row>
    <row r="9194" spans="8:8" x14ac:dyDescent="0.25">
      <c r="H9194" t="s">
        <v>30</v>
      </c>
    </row>
    <row r="9195" spans="8:8" x14ac:dyDescent="0.25">
      <c r="H9195" t="s">
        <v>137</v>
      </c>
    </row>
    <row r="9196" spans="8:8" x14ac:dyDescent="0.25">
      <c r="H9196" t="s">
        <v>12119</v>
      </c>
    </row>
    <row r="9197" spans="8:8" x14ac:dyDescent="0.25">
      <c r="H9197" t="s">
        <v>30</v>
      </c>
    </row>
    <row r="9198" spans="8:8" x14ac:dyDescent="0.25">
      <c r="H9198" t="s">
        <v>138</v>
      </c>
    </row>
    <row r="9199" spans="8:8" x14ac:dyDescent="0.25">
      <c r="H9199" t="s">
        <v>12120</v>
      </c>
    </row>
    <row r="9200" spans="8:8" x14ac:dyDescent="0.25">
      <c r="H9200" t="s">
        <v>30</v>
      </c>
    </row>
    <row r="9202" spans="8:8" x14ac:dyDescent="0.25">
      <c r="H9202" t="s">
        <v>12121</v>
      </c>
    </row>
    <row r="9203" spans="8:8" x14ac:dyDescent="0.25">
      <c r="H9203" t="s">
        <v>12122</v>
      </c>
    </row>
    <row r="9204" spans="8:8" x14ac:dyDescent="0.25">
      <c r="H9204" t="s">
        <v>135</v>
      </c>
    </row>
    <row r="9205" spans="8:8" x14ac:dyDescent="0.25">
      <c r="H9205" t="s">
        <v>12123</v>
      </c>
    </row>
    <row r="9206" spans="8:8" x14ac:dyDescent="0.25">
      <c r="H9206" t="s">
        <v>30</v>
      </c>
    </row>
    <row r="9207" spans="8:8" x14ac:dyDescent="0.25">
      <c r="H9207" t="s">
        <v>136</v>
      </c>
    </row>
    <row r="9208" spans="8:8" x14ac:dyDescent="0.25">
      <c r="H9208" t="s">
        <v>12124</v>
      </c>
    </row>
    <row r="9209" spans="8:8" x14ac:dyDescent="0.25">
      <c r="H9209" t="s">
        <v>30</v>
      </c>
    </row>
    <row r="9210" spans="8:8" x14ac:dyDescent="0.25">
      <c r="H9210" t="s">
        <v>137</v>
      </c>
    </row>
    <row r="9211" spans="8:8" x14ac:dyDescent="0.25">
      <c r="H9211" t="s">
        <v>12125</v>
      </c>
    </row>
    <row r="9212" spans="8:8" x14ac:dyDescent="0.25">
      <c r="H9212" t="s">
        <v>30</v>
      </c>
    </row>
    <row r="9213" spans="8:8" x14ac:dyDescent="0.25">
      <c r="H9213" t="s">
        <v>138</v>
      </c>
    </row>
    <row r="9214" spans="8:8" x14ac:dyDescent="0.25">
      <c r="H9214" t="s">
        <v>12126</v>
      </c>
    </row>
    <row r="9215" spans="8:8" x14ac:dyDescent="0.25">
      <c r="H9215" t="s">
        <v>30</v>
      </c>
    </row>
    <row r="9217" spans="8:8" x14ac:dyDescent="0.25">
      <c r="H9217" t="s">
        <v>12127</v>
      </c>
    </row>
    <row r="9218" spans="8:8" x14ac:dyDescent="0.25">
      <c r="H9218" t="s">
        <v>12128</v>
      </c>
    </row>
    <row r="9219" spans="8:8" x14ac:dyDescent="0.25">
      <c r="H9219" t="s">
        <v>135</v>
      </c>
    </row>
    <row r="9220" spans="8:8" x14ac:dyDescent="0.25">
      <c r="H9220" t="s">
        <v>12129</v>
      </c>
    </row>
    <row r="9221" spans="8:8" x14ac:dyDescent="0.25">
      <c r="H9221" t="s">
        <v>30</v>
      </c>
    </row>
    <row r="9222" spans="8:8" x14ac:dyDescent="0.25">
      <c r="H9222" t="s">
        <v>136</v>
      </c>
    </row>
    <row r="9223" spans="8:8" x14ac:dyDescent="0.25">
      <c r="H9223" t="s">
        <v>12130</v>
      </c>
    </row>
    <row r="9224" spans="8:8" x14ac:dyDescent="0.25">
      <c r="H9224" t="s">
        <v>30</v>
      </c>
    </row>
    <row r="9225" spans="8:8" x14ac:dyDescent="0.25">
      <c r="H9225" t="s">
        <v>137</v>
      </c>
    </row>
    <row r="9226" spans="8:8" x14ac:dyDescent="0.25">
      <c r="H9226" t="s">
        <v>12131</v>
      </c>
    </row>
    <row r="9227" spans="8:8" x14ac:dyDescent="0.25">
      <c r="H9227" t="s">
        <v>30</v>
      </c>
    </row>
    <row r="9228" spans="8:8" x14ac:dyDescent="0.25">
      <c r="H9228" t="s">
        <v>138</v>
      </c>
    </row>
    <row r="9229" spans="8:8" x14ac:dyDescent="0.25">
      <c r="H9229" t="s">
        <v>12132</v>
      </c>
    </row>
    <row r="9230" spans="8:8" x14ac:dyDescent="0.25">
      <c r="H9230" t="s">
        <v>30</v>
      </c>
    </row>
    <row r="9232" spans="8:8" x14ac:dyDescent="0.25">
      <c r="H9232" t="s">
        <v>12133</v>
      </c>
    </row>
    <row r="9233" spans="8:8" x14ac:dyDescent="0.25">
      <c r="H9233" t="s">
        <v>12134</v>
      </c>
    </row>
    <row r="9234" spans="8:8" x14ac:dyDescent="0.25">
      <c r="H9234" t="s">
        <v>135</v>
      </c>
    </row>
    <row r="9235" spans="8:8" x14ac:dyDescent="0.25">
      <c r="H9235" t="s">
        <v>12135</v>
      </c>
    </row>
    <row r="9236" spans="8:8" x14ac:dyDescent="0.25">
      <c r="H9236" t="s">
        <v>30</v>
      </c>
    </row>
    <row r="9237" spans="8:8" x14ac:dyDescent="0.25">
      <c r="H9237" t="s">
        <v>136</v>
      </c>
    </row>
    <row r="9238" spans="8:8" x14ac:dyDescent="0.25">
      <c r="H9238" t="s">
        <v>12136</v>
      </c>
    </row>
    <row r="9239" spans="8:8" x14ac:dyDescent="0.25">
      <c r="H9239" t="s">
        <v>30</v>
      </c>
    </row>
    <row r="9240" spans="8:8" x14ac:dyDescent="0.25">
      <c r="H9240" t="s">
        <v>137</v>
      </c>
    </row>
    <row r="9241" spans="8:8" x14ac:dyDescent="0.25">
      <c r="H9241" t="s">
        <v>12137</v>
      </c>
    </row>
    <row r="9242" spans="8:8" x14ac:dyDescent="0.25">
      <c r="H9242" t="s">
        <v>30</v>
      </c>
    </row>
    <row r="9243" spans="8:8" x14ac:dyDescent="0.25">
      <c r="H9243" t="s">
        <v>138</v>
      </c>
    </row>
    <row r="9244" spans="8:8" x14ac:dyDescent="0.25">
      <c r="H9244" t="s">
        <v>12138</v>
      </c>
    </row>
    <row r="9245" spans="8:8" x14ac:dyDescent="0.25">
      <c r="H9245" t="s">
        <v>30</v>
      </c>
    </row>
    <row r="9247" spans="8:8" x14ac:dyDescent="0.25">
      <c r="H9247" t="s">
        <v>12139</v>
      </c>
    </row>
    <row r="9248" spans="8:8" x14ac:dyDescent="0.25">
      <c r="H9248" t="s">
        <v>12140</v>
      </c>
    </row>
    <row r="9249" spans="8:8" x14ac:dyDescent="0.25">
      <c r="H9249" t="s">
        <v>135</v>
      </c>
    </row>
    <row r="9250" spans="8:8" x14ac:dyDescent="0.25">
      <c r="H9250" t="s">
        <v>12141</v>
      </c>
    </row>
    <row r="9251" spans="8:8" x14ac:dyDescent="0.25">
      <c r="H9251" t="s">
        <v>30</v>
      </c>
    </row>
    <row r="9252" spans="8:8" x14ac:dyDescent="0.25">
      <c r="H9252" t="s">
        <v>136</v>
      </c>
    </row>
    <row r="9253" spans="8:8" x14ac:dyDescent="0.25">
      <c r="H9253" t="s">
        <v>12142</v>
      </c>
    </row>
    <row r="9254" spans="8:8" x14ac:dyDescent="0.25">
      <c r="H9254" t="s">
        <v>30</v>
      </c>
    </row>
    <row r="9255" spans="8:8" x14ac:dyDescent="0.25">
      <c r="H9255" t="s">
        <v>137</v>
      </c>
    </row>
    <row r="9256" spans="8:8" x14ac:dyDescent="0.25">
      <c r="H9256" t="s">
        <v>12143</v>
      </c>
    </row>
    <row r="9257" spans="8:8" x14ac:dyDescent="0.25">
      <c r="H9257" t="s">
        <v>30</v>
      </c>
    </row>
    <row r="9258" spans="8:8" x14ac:dyDescent="0.25">
      <c r="H9258" t="s">
        <v>138</v>
      </c>
    </row>
    <row r="9259" spans="8:8" x14ac:dyDescent="0.25">
      <c r="H9259" t="s">
        <v>12144</v>
      </c>
    </row>
    <row r="9260" spans="8:8" x14ac:dyDescent="0.25">
      <c r="H9260" t="s">
        <v>30</v>
      </c>
    </row>
    <row r="9262" spans="8:8" x14ac:dyDescent="0.25">
      <c r="H9262" t="s">
        <v>12145</v>
      </c>
    </row>
    <row r="9263" spans="8:8" x14ac:dyDescent="0.25">
      <c r="H9263" t="s">
        <v>12146</v>
      </c>
    </row>
    <row r="9264" spans="8:8" x14ac:dyDescent="0.25">
      <c r="H9264" t="s">
        <v>135</v>
      </c>
    </row>
    <row r="9265" spans="8:8" x14ac:dyDescent="0.25">
      <c r="H9265" t="s">
        <v>12147</v>
      </c>
    </row>
    <row r="9266" spans="8:8" x14ac:dyDescent="0.25">
      <c r="H9266" t="s">
        <v>30</v>
      </c>
    </row>
    <row r="9267" spans="8:8" x14ac:dyDescent="0.25">
      <c r="H9267" t="s">
        <v>136</v>
      </c>
    </row>
    <row r="9268" spans="8:8" x14ac:dyDescent="0.25">
      <c r="H9268" t="s">
        <v>12148</v>
      </c>
    </row>
    <row r="9269" spans="8:8" x14ac:dyDescent="0.25">
      <c r="H9269" t="s">
        <v>30</v>
      </c>
    </row>
    <row r="9270" spans="8:8" x14ac:dyDescent="0.25">
      <c r="H9270" t="s">
        <v>137</v>
      </c>
    </row>
    <row r="9271" spans="8:8" x14ac:dyDescent="0.25">
      <c r="H9271" t="s">
        <v>12149</v>
      </c>
    </row>
    <row r="9272" spans="8:8" x14ac:dyDescent="0.25">
      <c r="H9272" t="s">
        <v>30</v>
      </c>
    </row>
    <row r="9273" spans="8:8" x14ac:dyDescent="0.25">
      <c r="H9273" t="s">
        <v>138</v>
      </c>
    </row>
    <row r="9274" spans="8:8" x14ac:dyDescent="0.25">
      <c r="H9274" t="s">
        <v>12150</v>
      </c>
    </row>
    <row r="9275" spans="8:8" x14ac:dyDescent="0.25">
      <c r="H9275" t="s">
        <v>30</v>
      </c>
    </row>
    <row r="9277" spans="8:8" x14ac:dyDescent="0.25">
      <c r="H9277" t="s">
        <v>12151</v>
      </c>
    </row>
    <row r="9278" spans="8:8" x14ac:dyDescent="0.25">
      <c r="H9278" t="s">
        <v>12152</v>
      </c>
    </row>
    <row r="9279" spans="8:8" x14ac:dyDescent="0.25">
      <c r="H9279" t="s">
        <v>135</v>
      </c>
    </row>
    <row r="9280" spans="8:8" x14ac:dyDescent="0.25">
      <c r="H9280" t="s">
        <v>12153</v>
      </c>
    </row>
    <row r="9281" spans="8:8" x14ac:dyDescent="0.25">
      <c r="H9281" t="s">
        <v>30</v>
      </c>
    </row>
    <row r="9282" spans="8:8" x14ac:dyDescent="0.25">
      <c r="H9282" t="s">
        <v>136</v>
      </c>
    </row>
    <row r="9283" spans="8:8" x14ac:dyDescent="0.25">
      <c r="H9283" t="s">
        <v>12154</v>
      </c>
    </row>
    <row r="9284" spans="8:8" x14ac:dyDescent="0.25">
      <c r="H9284" t="s">
        <v>30</v>
      </c>
    </row>
    <row r="9285" spans="8:8" x14ac:dyDescent="0.25">
      <c r="H9285" t="s">
        <v>137</v>
      </c>
    </row>
    <row r="9286" spans="8:8" x14ac:dyDescent="0.25">
      <c r="H9286" t="s">
        <v>12155</v>
      </c>
    </row>
    <row r="9287" spans="8:8" x14ac:dyDescent="0.25">
      <c r="H9287" t="s">
        <v>30</v>
      </c>
    </row>
    <row r="9288" spans="8:8" x14ac:dyDescent="0.25">
      <c r="H9288" t="s">
        <v>138</v>
      </c>
    </row>
    <row r="9289" spans="8:8" x14ac:dyDescent="0.25">
      <c r="H9289" t="s">
        <v>12156</v>
      </c>
    </row>
    <row r="9290" spans="8:8" x14ac:dyDescent="0.25">
      <c r="H9290" t="s">
        <v>30</v>
      </c>
    </row>
    <row r="9292" spans="8:8" x14ac:dyDescent="0.25">
      <c r="H9292" t="s">
        <v>12157</v>
      </c>
    </row>
    <row r="9293" spans="8:8" x14ac:dyDescent="0.25">
      <c r="H9293" t="s">
        <v>12158</v>
      </c>
    </row>
    <row r="9294" spans="8:8" x14ac:dyDescent="0.25">
      <c r="H9294" t="s">
        <v>135</v>
      </c>
    </row>
    <row r="9295" spans="8:8" x14ac:dyDescent="0.25">
      <c r="H9295" t="s">
        <v>12159</v>
      </c>
    </row>
    <row r="9296" spans="8:8" x14ac:dyDescent="0.25">
      <c r="H9296" t="s">
        <v>30</v>
      </c>
    </row>
    <row r="9297" spans="8:8" x14ac:dyDescent="0.25">
      <c r="H9297" t="s">
        <v>136</v>
      </c>
    </row>
    <row r="9298" spans="8:8" x14ac:dyDescent="0.25">
      <c r="H9298" t="s">
        <v>12160</v>
      </c>
    </row>
    <row r="9299" spans="8:8" x14ac:dyDescent="0.25">
      <c r="H9299" t="s">
        <v>30</v>
      </c>
    </row>
    <row r="9300" spans="8:8" x14ac:dyDescent="0.25">
      <c r="H9300" t="s">
        <v>137</v>
      </c>
    </row>
    <row r="9301" spans="8:8" x14ac:dyDescent="0.25">
      <c r="H9301" t="s">
        <v>12161</v>
      </c>
    </row>
    <row r="9302" spans="8:8" x14ac:dyDescent="0.25">
      <c r="H9302" t="s">
        <v>30</v>
      </c>
    </row>
    <row r="9303" spans="8:8" x14ac:dyDescent="0.25">
      <c r="H9303" t="s">
        <v>138</v>
      </c>
    </row>
    <row r="9304" spans="8:8" x14ac:dyDescent="0.25">
      <c r="H9304" t="s">
        <v>12162</v>
      </c>
    </row>
    <row r="9305" spans="8:8" x14ac:dyDescent="0.25">
      <c r="H9305" t="s">
        <v>30</v>
      </c>
    </row>
    <row r="9307" spans="8:8" x14ac:dyDescent="0.25">
      <c r="H9307" t="s">
        <v>12163</v>
      </c>
    </row>
    <row r="9308" spans="8:8" x14ac:dyDescent="0.25">
      <c r="H9308" t="s">
        <v>12164</v>
      </c>
    </row>
    <row r="9309" spans="8:8" x14ac:dyDescent="0.25">
      <c r="H9309" t="s">
        <v>135</v>
      </c>
    </row>
    <row r="9310" spans="8:8" x14ac:dyDescent="0.25">
      <c r="H9310" t="s">
        <v>12165</v>
      </c>
    </row>
    <row r="9311" spans="8:8" x14ac:dyDescent="0.25">
      <c r="H9311" t="s">
        <v>30</v>
      </c>
    </row>
    <row r="9312" spans="8:8" x14ac:dyDescent="0.25">
      <c r="H9312" t="s">
        <v>136</v>
      </c>
    </row>
    <row r="9313" spans="8:8" x14ac:dyDescent="0.25">
      <c r="H9313" t="s">
        <v>12166</v>
      </c>
    </row>
    <row r="9314" spans="8:8" x14ac:dyDescent="0.25">
      <c r="H9314" t="s">
        <v>30</v>
      </c>
    </row>
    <row r="9315" spans="8:8" x14ac:dyDescent="0.25">
      <c r="H9315" t="s">
        <v>137</v>
      </c>
    </row>
    <row r="9316" spans="8:8" x14ac:dyDescent="0.25">
      <c r="H9316" t="s">
        <v>12167</v>
      </c>
    </row>
    <row r="9317" spans="8:8" x14ac:dyDescent="0.25">
      <c r="H9317" t="s">
        <v>30</v>
      </c>
    </row>
    <row r="9318" spans="8:8" x14ac:dyDescent="0.25">
      <c r="H9318" t="s">
        <v>138</v>
      </c>
    </row>
    <row r="9319" spans="8:8" x14ac:dyDescent="0.25">
      <c r="H9319" t="s">
        <v>12168</v>
      </c>
    </row>
    <row r="9320" spans="8:8" x14ac:dyDescent="0.25">
      <c r="H9320" t="s">
        <v>30</v>
      </c>
    </row>
    <row r="9322" spans="8:8" x14ac:dyDescent="0.25">
      <c r="H9322" t="s">
        <v>12169</v>
      </c>
    </row>
    <row r="9323" spans="8:8" x14ac:dyDescent="0.25">
      <c r="H9323" t="s">
        <v>12170</v>
      </c>
    </row>
    <row r="9324" spans="8:8" x14ac:dyDescent="0.25">
      <c r="H9324" t="s">
        <v>135</v>
      </c>
    </row>
    <row r="9325" spans="8:8" x14ac:dyDescent="0.25">
      <c r="H9325" t="s">
        <v>12171</v>
      </c>
    </row>
    <row r="9326" spans="8:8" x14ac:dyDescent="0.25">
      <c r="H9326" t="s">
        <v>30</v>
      </c>
    </row>
    <row r="9327" spans="8:8" x14ac:dyDescent="0.25">
      <c r="H9327" t="s">
        <v>136</v>
      </c>
    </row>
    <row r="9328" spans="8:8" x14ac:dyDescent="0.25">
      <c r="H9328" t="s">
        <v>12172</v>
      </c>
    </row>
    <row r="9329" spans="8:8" x14ac:dyDescent="0.25">
      <c r="H9329" t="s">
        <v>30</v>
      </c>
    </row>
    <row r="9330" spans="8:8" x14ac:dyDescent="0.25">
      <c r="H9330" t="s">
        <v>137</v>
      </c>
    </row>
    <row r="9331" spans="8:8" x14ac:dyDescent="0.25">
      <c r="H9331" t="s">
        <v>12173</v>
      </c>
    </row>
    <row r="9332" spans="8:8" x14ac:dyDescent="0.25">
      <c r="H9332" t="s">
        <v>30</v>
      </c>
    </row>
    <row r="9333" spans="8:8" x14ac:dyDescent="0.25">
      <c r="H9333" t="s">
        <v>138</v>
      </c>
    </row>
    <row r="9334" spans="8:8" x14ac:dyDescent="0.25">
      <c r="H9334" t="s">
        <v>12174</v>
      </c>
    </row>
    <row r="9335" spans="8:8" x14ac:dyDescent="0.25">
      <c r="H9335" t="s">
        <v>30</v>
      </c>
    </row>
    <row r="9337" spans="8:8" x14ac:dyDescent="0.25">
      <c r="H9337" t="s">
        <v>12175</v>
      </c>
    </row>
    <row r="9338" spans="8:8" x14ac:dyDescent="0.25">
      <c r="H9338" t="s">
        <v>12176</v>
      </c>
    </row>
    <row r="9339" spans="8:8" x14ac:dyDescent="0.25">
      <c r="H9339" t="s">
        <v>135</v>
      </c>
    </row>
    <row r="9340" spans="8:8" x14ac:dyDescent="0.25">
      <c r="H9340" t="s">
        <v>12177</v>
      </c>
    </row>
    <row r="9341" spans="8:8" x14ac:dyDescent="0.25">
      <c r="H9341" t="s">
        <v>30</v>
      </c>
    </row>
    <row r="9342" spans="8:8" x14ac:dyDescent="0.25">
      <c r="H9342" t="s">
        <v>136</v>
      </c>
    </row>
    <row r="9343" spans="8:8" x14ac:dyDescent="0.25">
      <c r="H9343" t="s">
        <v>12178</v>
      </c>
    </row>
    <row r="9344" spans="8:8" x14ac:dyDescent="0.25">
      <c r="H9344" t="s">
        <v>30</v>
      </c>
    </row>
    <row r="9345" spans="8:8" x14ac:dyDescent="0.25">
      <c r="H9345" t="s">
        <v>137</v>
      </c>
    </row>
    <row r="9346" spans="8:8" x14ac:dyDescent="0.25">
      <c r="H9346" t="s">
        <v>12179</v>
      </c>
    </row>
    <row r="9347" spans="8:8" x14ac:dyDescent="0.25">
      <c r="H9347" t="s">
        <v>30</v>
      </c>
    </row>
    <row r="9348" spans="8:8" x14ac:dyDescent="0.25">
      <c r="H9348" t="s">
        <v>138</v>
      </c>
    </row>
    <row r="9349" spans="8:8" x14ac:dyDescent="0.25">
      <c r="H9349" t="s">
        <v>12180</v>
      </c>
    </row>
    <row r="9350" spans="8:8" x14ac:dyDescent="0.25">
      <c r="H9350" t="s">
        <v>30</v>
      </c>
    </row>
    <row r="9352" spans="8:8" x14ac:dyDescent="0.25">
      <c r="H9352" t="s">
        <v>12181</v>
      </c>
    </row>
    <row r="9353" spans="8:8" x14ac:dyDescent="0.25">
      <c r="H9353" t="s">
        <v>12182</v>
      </c>
    </row>
    <row r="9354" spans="8:8" x14ac:dyDescent="0.25">
      <c r="H9354" t="s">
        <v>135</v>
      </c>
    </row>
    <row r="9355" spans="8:8" x14ac:dyDescent="0.25">
      <c r="H9355" t="s">
        <v>12183</v>
      </c>
    </row>
    <row r="9356" spans="8:8" x14ac:dyDescent="0.25">
      <c r="H9356" t="s">
        <v>30</v>
      </c>
    </row>
    <row r="9357" spans="8:8" x14ac:dyDescent="0.25">
      <c r="H9357" t="s">
        <v>136</v>
      </c>
    </row>
    <row r="9358" spans="8:8" x14ac:dyDescent="0.25">
      <c r="H9358" t="s">
        <v>12184</v>
      </c>
    </row>
    <row r="9359" spans="8:8" x14ac:dyDescent="0.25">
      <c r="H9359" t="s">
        <v>30</v>
      </c>
    </row>
    <row r="9360" spans="8:8" x14ac:dyDescent="0.25">
      <c r="H9360" t="s">
        <v>137</v>
      </c>
    </row>
    <row r="9361" spans="8:8" x14ac:dyDescent="0.25">
      <c r="H9361" t="s">
        <v>12185</v>
      </c>
    </row>
    <row r="9362" spans="8:8" x14ac:dyDescent="0.25">
      <c r="H9362" t="s">
        <v>30</v>
      </c>
    </row>
    <row r="9363" spans="8:8" x14ac:dyDescent="0.25">
      <c r="H9363" t="s">
        <v>138</v>
      </c>
    </row>
    <row r="9364" spans="8:8" x14ac:dyDescent="0.25">
      <c r="H9364" t="s">
        <v>12186</v>
      </c>
    </row>
    <row r="9365" spans="8:8" x14ac:dyDescent="0.25">
      <c r="H9365" t="s">
        <v>30</v>
      </c>
    </row>
    <row r="9367" spans="8:8" x14ac:dyDescent="0.25">
      <c r="H9367" t="s">
        <v>12187</v>
      </c>
    </row>
    <row r="9368" spans="8:8" x14ac:dyDescent="0.25">
      <c r="H9368" t="s">
        <v>12188</v>
      </c>
    </row>
    <row r="9369" spans="8:8" x14ac:dyDescent="0.25">
      <c r="H9369" t="s">
        <v>135</v>
      </c>
    </row>
    <row r="9370" spans="8:8" x14ac:dyDescent="0.25">
      <c r="H9370" t="s">
        <v>12189</v>
      </c>
    </row>
    <row r="9371" spans="8:8" x14ac:dyDescent="0.25">
      <c r="H9371" t="s">
        <v>30</v>
      </c>
    </row>
    <row r="9372" spans="8:8" x14ac:dyDescent="0.25">
      <c r="H9372" t="s">
        <v>136</v>
      </c>
    </row>
    <row r="9373" spans="8:8" x14ac:dyDescent="0.25">
      <c r="H9373" t="s">
        <v>12190</v>
      </c>
    </row>
    <row r="9374" spans="8:8" x14ac:dyDescent="0.25">
      <c r="H9374" t="s">
        <v>30</v>
      </c>
    </row>
    <row r="9375" spans="8:8" x14ac:dyDescent="0.25">
      <c r="H9375" t="s">
        <v>137</v>
      </c>
    </row>
    <row r="9376" spans="8:8" x14ac:dyDescent="0.25">
      <c r="H9376" t="s">
        <v>12191</v>
      </c>
    </row>
    <row r="9377" spans="8:8" x14ac:dyDescent="0.25">
      <c r="H9377" t="s">
        <v>30</v>
      </c>
    </row>
    <row r="9378" spans="8:8" x14ac:dyDescent="0.25">
      <c r="H9378" t="s">
        <v>138</v>
      </c>
    </row>
    <row r="9379" spans="8:8" x14ac:dyDescent="0.25">
      <c r="H9379" t="s">
        <v>12192</v>
      </c>
    </row>
    <row r="9380" spans="8:8" x14ac:dyDescent="0.25">
      <c r="H9380" t="s">
        <v>30</v>
      </c>
    </row>
    <row r="9382" spans="8:8" x14ac:dyDescent="0.25">
      <c r="H9382" t="s">
        <v>12193</v>
      </c>
    </row>
    <row r="9383" spans="8:8" x14ac:dyDescent="0.25">
      <c r="H9383" t="s">
        <v>12194</v>
      </c>
    </row>
    <row r="9384" spans="8:8" x14ac:dyDescent="0.25">
      <c r="H9384" t="s">
        <v>135</v>
      </c>
    </row>
    <row r="9385" spans="8:8" x14ac:dyDescent="0.25">
      <c r="H9385" t="s">
        <v>12195</v>
      </c>
    </row>
    <row r="9386" spans="8:8" x14ac:dyDescent="0.25">
      <c r="H9386" t="s">
        <v>30</v>
      </c>
    </row>
    <row r="9387" spans="8:8" x14ac:dyDescent="0.25">
      <c r="H9387" t="s">
        <v>136</v>
      </c>
    </row>
    <row r="9388" spans="8:8" x14ac:dyDescent="0.25">
      <c r="H9388" t="s">
        <v>12196</v>
      </c>
    </row>
    <row r="9389" spans="8:8" x14ac:dyDescent="0.25">
      <c r="H9389" t="s">
        <v>30</v>
      </c>
    </row>
    <row r="9390" spans="8:8" x14ac:dyDescent="0.25">
      <c r="H9390" t="s">
        <v>137</v>
      </c>
    </row>
    <row r="9391" spans="8:8" x14ac:dyDescent="0.25">
      <c r="H9391" t="s">
        <v>12197</v>
      </c>
    </row>
    <row r="9392" spans="8:8" x14ac:dyDescent="0.25">
      <c r="H9392" t="s">
        <v>30</v>
      </c>
    </row>
    <row r="9393" spans="8:8" x14ac:dyDescent="0.25">
      <c r="H9393" t="s">
        <v>138</v>
      </c>
    </row>
    <row r="9394" spans="8:8" x14ac:dyDescent="0.25">
      <c r="H9394" t="s">
        <v>12198</v>
      </c>
    </row>
    <row r="9395" spans="8:8" x14ac:dyDescent="0.25">
      <c r="H9395" t="s">
        <v>30</v>
      </c>
    </row>
    <row r="9397" spans="8:8" x14ac:dyDescent="0.25">
      <c r="H9397" t="s">
        <v>12199</v>
      </c>
    </row>
    <row r="9398" spans="8:8" x14ac:dyDescent="0.25">
      <c r="H9398" t="s">
        <v>12200</v>
      </c>
    </row>
    <row r="9399" spans="8:8" x14ac:dyDescent="0.25">
      <c r="H9399" t="s">
        <v>135</v>
      </c>
    </row>
    <row r="9400" spans="8:8" x14ac:dyDescent="0.25">
      <c r="H9400" t="s">
        <v>12201</v>
      </c>
    </row>
    <row r="9401" spans="8:8" x14ac:dyDescent="0.25">
      <c r="H9401" t="s">
        <v>30</v>
      </c>
    </row>
    <row r="9402" spans="8:8" x14ac:dyDescent="0.25">
      <c r="H9402" t="s">
        <v>136</v>
      </c>
    </row>
    <row r="9403" spans="8:8" x14ac:dyDescent="0.25">
      <c r="H9403" t="s">
        <v>12202</v>
      </c>
    </row>
    <row r="9404" spans="8:8" x14ac:dyDescent="0.25">
      <c r="H9404" t="s">
        <v>30</v>
      </c>
    </row>
    <row r="9405" spans="8:8" x14ac:dyDescent="0.25">
      <c r="H9405" t="s">
        <v>137</v>
      </c>
    </row>
    <row r="9406" spans="8:8" x14ac:dyDescent="0.25">
      <c r="H9406" t="s">
        <v>12203</v>
      </c>
    </row>
    <row r="9407" spans="8:8" x14ac:dyDescent="0.25">
      <c r="H9407" t="s">
        <v>30</v>
      </c>
    </row>
    <row r="9408" spans="8:8" x14ac:dyDescent="0.25">
      <c r="H9408" t="s">
        <v>138</v>
      </c>
    </row>
    <row r="9409" spans="8:8" x14ac:dyDescent="0.25">
      <c r="H9409" t="s">
        <v>12204</v>
      </c>
    </row>
    <row r="9410" spans="8:8" x14ac:dyDescent="0.25">
      <c r="H9410" t="s">
        <v>30</v>
      </c>
    </row>
    <row r="9412" spans="8:8" x14ac:dyDescent="0.25">
      <c r="H9412" t="s">
        <v>12205</v>
      </c>
    </row>
    <row r="9413" spans="8:8" x14ac:dyDescent="0.25">
      <c r="H9413" t="s">
        <v>12206</v>
      </c>
    </row>
    <row r="9414" spans="8:8" x14ac:dyDescent="0.25">
      <c r="H9414" t="s">
        <v>135</v>
      </c>
    </row>
    <row r="9415" spans="8:8" x14ac:dyDescent="0.25">
      <c r="H9415" t="s">
        <v>12207</v>
      </c>
    </row>
    <row r="9416" spans="8:8" x14ac:dyDescent="0.25">
      <c r="H9416" t="s">
        <v>30</v>
      </c>
    </row>
    <row r="9417" spans="8:8" x14ac:dyDescent="0.25">
      <c r="H9417" t="s">
        <v>136</v>
      </c>
    </row>
    <row r="9418" spans="8:8" x14ac:dyDescent="0.25">
      <c r="H9418" t="s">
        <v>12208</v>
      </c>
    </row>
    <row r="9419" spans="8:8" x14ac:dyDescent="0.25">
      <c r="H9419" t="s">
        <v>30</v>
      </c>
    </row>
    <row r="9420" spans="8:8" x14ac:dyDescent="0.25">
      <c r="H9420" t="s">
        <v>137</v>
      </c>
    </row>
    <row r="9421" spans="8:8" x14ac:dyDescent="0.25">
      <c r="H9421" t="s">
        <v>12209</v>
      </c>
    </row>
    <row r="9422" spans="8:8" x14ac:dyDescent="0.25">
      <c r="H9422" t="s">
        <v>30</v>
      </c>
    </row>
    <row r="9423" spans="8:8" x14ac:dyDescent="0.25">
      <c r="H9423" t="s">
        <v>138</v>
      </c>
    </row>
    <row r="9424" spans="8:8" x14ac:dyDescent="0.25">
      <c r="H9424" t="s">
        <v>12210</v>
      </c>
    </row>
    <row r="9425" spans="8:8" x14ac:dyDescent="0.25">
      <c r="H9425" t="s">
        <v>30</v>
      </c>
    </row>
    <row r="9427" spans="8:8" x14ac:dyDescent="0.25">
      <c r="H9427" t="s">
        <v>12211</v>
      </c>
    </row>
    <row r="9428" spans="8:8" x14ac:dyDescent="0.25">
      <c r="H9428" t="s">
        <v>12212</v>
      </c>
    </row>
    <row r="9429" spans="8:8" x14ac:dyDescent="0.25">
      <c r="H9429" t="s">
        <v>135</v>
      </c>
    </row>
    <row r="9430" spans="8:8" x14ac:dyDescent="0.25">
      <c r="H9430" t="s">
        <v>12213</v>
      </c>
    </row>
    <row r="9431" spans="8:8" x14ac:dyDescent="0.25">
      <c r="H9431" t="s">
        <v>30</v>
      </c>
    </row>
    <row r="9432" spans="8:8" x14ac:dyDescent="0.25">
      <c r="H9432" t="s">
        <v>136</v>
      </c>
    </row>
    <row r="9433" spans="8:8" x14ac:dyDescent="0.25">
      <c r="H9433" t="s">
        <v>12214</v>
      </c>
    </row>
    <row r="9434" spans="8:8" x14ac:dyDescent="0.25">
      <c r="H9434" t="s">
        <v>30</v>
      </c>
    </row>
    <row r="9435" spans="8:8" x14ac:dyDescent="0.25">
      <c r="H9435" t="s">
        <v>137</v>
      </c>
    </row>
    <row r="9436" spans="8:8" x14ac:dyDescent="0.25">
      <c r="H9436" t="s">
        <v>12215</v>
      </c>
    </row>
    <row r="9437" spans="8:8" x14ac:dyDescent="0.25">
      <c r="H9437" t="s">
        <v>30</v>
      </c>
    </row>
    <row r="9438" spans="8:8" x14ac:dyDescent="0.25">
      <c r="H9438" t="s">
        <v>138</v>
      </c>
    </row>
    <row r="9439" spans="8:8" x14ac:dyDescent="0.25">
      <c r="H9439" t="s">
        <v>12216</v>
      </c>
    </row>
    <row r="9440" spans="8:8" x14ac:dyDescent="0.25">
      <c r="H9440" t="s">
        <v>30</v>
      </c>
    </row>
    <row r="9442" spans="8:8" x14ac:dyDescent="0.25">
      <c r="H9442" t="s">
        <v>12217</v>
      </c>
    </row>
    <row r="9443" spans="8:8" x14ac:dyDescent="0.25">
      <c r="H9443" t="s">
        <v>12218</v>
      </c>
    </row>
    <row r="9444" spans="8:8" x14ac:dyDescent="0.25">
      <c r="H9444" t="s">
        <v>135</v>
      </c>
    </row>
    <row r="9445" spans="8:8" x14ac:dyDescent="0.25">
      <c r="H9445" t="s">
        <v>12219</v>
      </c>
    </row>
    <row r="9446" spans="8:8" x14ac:dyDescent="0.25">
      <c r="H9446" t="s">
        <v>30</v>
      </c>
    </row>
    <row r="9447" spans="8:8" x14ac:dyDescent="0.25">
      <c r="H9447" t="s">
        <v>136</v>
      </c>
    </row>
    <row r="9448" spans="8:8" x14ac:dyDescent="0.25">
      <c r="H9448" t="s">
        <v>12220</v>
      </c>
    </row>
    <row r="9449" spans="8:8" x14ac:dyDescent="0.25">
      <c r="H9449" t="s">
        <v>30</v>
      </c>
    </row>
    <row r="9450" spans="8:8" x14ac:dyDescent="0.25">
      <c r="H9450" t="s">
        <v>137</v>
      </c>
    </row>
    <row r="9451" spans="8:8" x14ac:dyDescent="0.25">
      <c r="H9451" t="s">
        <v>12221</v>
      </c>
    </row>
    <row r="9452" spans="8:8" x14ac:dyDescent="0.25">
      <c r="H9452" t="s">
        <v>30</v>
      </c>
    </row>
    <row r="9453" spans="8:8" x14ac:dyDescent="0.25">
      <c r="H9453" t="s">
        <v>138</v>
      </c>
    </row>
    <row r="9454" spans="8:8" x14ac:dyDescent="0.25">
      <c r="H9454" t="s">
        <v>12222</v>
      </c>
    </row>
    <row r="9455" spans="8:8" x14ac:dyDescent="0.25">
      <c r="H9455" t="s">
        <v>30</v>
      </c>
    </row>
    <row r="9457" spans="8:8" x14ac:dyDescent="0.25">
      <c r="H9457" t="s">
        <v>12223</v>
      </c>
    </row>
    <row r="9458" spans="8:8" x14ac:dyDescent="0.25">
      <c r="H9458" t="s">
        <v>12224</v>
      </c>
    </row>
    <row r="9459" spans="8:8" x14ac:dyDescent="0.25">
      <c r="H9459" t="s">
        <v>135</v>
      </c>
    </row>
    <row r="9460" spans="8:8" x14ac:dyDescent="0.25">
      <c r="H9460" t="s">
        <v>12225</v>
      </c>
    </row>
    <row r="9461" spans="8:8" x14ac:dyDescent="0.25">
      <c r="H9461" t="s">
        <v>30</v>
      </c>
    </row>
    <row r="9462" spans="8:8" x14ac:dyDescent="0.25">
      <c r="H9462" t="s">
        <v>136</v>
      </c>
    </row>
    <row r="9463" spans="8:8" x14ac:dyDescent="0.25">
      <c r="H9463" t="s">
        <v>12226</v>
      </c>
    </row>
    <row r="9464" spans="8:8" x14ac:dyDescent="0.25">
      <c r="H9464" t="s">
        <v>30</v>
      </c>
    </row>
    <row r="9465" spans="8:8" x14ac:dyDescent="0.25">
      <c r="H9465" t="s">
        <v>137</v>
      </c>
    </row>
    <row r="9466" spans="8:8" x14ac:dyDescent="0.25">
      <c r="H9466" t="s">
        <v>12227</v>
      </c>
    </row>
    <row r="9467" spans="8:8" x14ac:dyDescent="0.25">
      <c r="H9467" t="s">
        <v>30</v>
      </c>
    </row>
    <row r="9468" spans="8:8" x14ac:dyDescent="0.25">
      <c r="H9468" t="s">
        <v>138</v>
      </c>
    </row>
    <row r="9469" spans="8:8" x14ac:dyDescent="0.25">
      <c r="H9469" t="s">
        <v>12228</v>
      </c>
    </row>
    <row r="9470" spans="8:8" x14ac:dyDescent="0.25">
      <c r="H9470" t="s">
        <v>30</v>
      </c>
    </row>
    <row r="9472" spans="8:8" x14ac:dyDescent="0.25">
      <c r="H9472" t="s">
        <v>12229</v>
      </c>
    </row>
    <row r="9473" spans="8:8" x14ac:dyDescent="0.25">
      <c r="H9473" t="s">
        <v>12230</v>
      </c>
    </row>
    <row r="9474" spans="8:8" x14ac:dyDescent="0.25">
      <c r="H9474" t="s">
        <v>135</v>
      </c>
    </row>
    <row r="9475" spans="8:8" x14ac:dyDescent="0.25">
      <c r="H9475" t="s">
        <v>12231</v>
      </c>
    </row>
    <row r="9476" spans="8:8" x14ac:dyDescent="0.25">
      <c r="H9476" t="s">
        <v>30</v>
      </c>
    </row>
    <row r="9477" spans="8:8" x14ac:dyDescent="0.25">
      <c r="H9477" t="s">
        <v>136</v>
      </c>
    </row>
    <row r="9478" spans="8:8" x14ac:dyDescent="0.25">
      <c r="H9478" t="s">
        <v>12232</v>
      </c>
    </row>
    <row r="9479" spans="8:8" x14ac:dyDescent="0.25">
      <c r="H9479" t="s">
        <v>30</v>
      </c>
    </row>
    <row r="9480" spans="8:8" x14ac:dyDescent="0.25">
      <c r="H9480" t="s">
        <v>137</v>
      </c>
    </row>
    <row r="9481" spans="8:8" x14ac:dyDescent="0.25">
      <c r="H9481" t="s">
        <v>12233</v>
      </c>
    </row>
    <row r="9482" spans="8:8" x14ac:dyDescent="0.25">
      <c r="H9482" t="s">
        <v>30</v>
      </c>
    </row>
    <row r="9483" spans="8:8" x14ac:dyDescent="0.25">
      <c r="H9483" t="s">
        <v>138</v>
      </c>
    </row>
    <row r="9484" spans="8:8" x14ac:dyDescent="0.25">
      <c r="H9484" t="s">
        <v>12234</v>
      </c>
    </row>
    <row r="9485" spans="8:8" x14ac:dyDescent="0.25">
      <c r="H9485" t="s">
        <v>30</v>
      </c>
    </row>
    <row r="9487" spans="8:8" x14ac:dyDescent="0.25">
      <c r="H9487" t="s">
        <v>12235</v>
      </c>
    </row>
    <row r="9488" spans="8:8" x14ac:dyDescent="0.25">
      <c r="H9488" t="s">
        <v>12236</v>
      </c>
    </row>
    <row r="9489" spans="8:8" x14ac:dyDescent="0.25">
      <c r="H9489" t="s">
        <v>135</v>
      </c>
    </row>
    <row r="9490" spans="8:8" x14ac:dyDescent="0.25">
      <c r="H9490" t="s">
        <v>12237</v>
      </c>
    </row>
    <row r="9491" spans="8:8" x14ac:dyDescent="0.25">
      <c r="H9491" t="s">
        <v>30</v>
      </c>
    </row>
    <row r="9492" spans="8:8" x14ac:dyDescent="0.25">
      <c r="H9492" t="s">
        <v>136</v>
      </c>
    </row>
    <row r="9493" spans="8:8" x14ac:dyDescent="0.25">
      <c r="H9493" t="s">
        <v>12238</v>
      </c>
    </row>
    <row r="9494" spans="8:8" x14ac:dyDescent="0.25">
      <c r="H9494" t="s">
        <v>30</v>
      </c>
    </row>
    <row r="9495" spans="8:8" x14ac:dyDescent="0.25">
      <c r="H9495" t="s">
        <v>137</v>
      </c>
    </row>
    <row r="9496" spans="8:8" x14ac:dyDescent="0.25">
      <c r="H9496" t="s">
        <v>12239</v>
      </c>
    </row>
    <row r="9497" spans="8:8" x14ac:dyDescent="0.25">
      <c r="H9497" t="s">
        <v>30</v>
      </c>
    </row>
    <row r="9498" spans="8:8" x14ac:dyDescent="0.25">
      <c r="H9498" t="s">
        <v>138</v>
      </c>
    </row>
    <row r="9499" spans="8:8" x14ac:dyDescent="0.25">
      <c r="H9499" t="s">
        <v>12240</v>
      </c>
    </row>
    <row r="9500" spans="8:8" x14ac:dyDescent="0.25">
      <c r="H9500" t="s">
        <v>30</v>
      </c>
    </row>
    <row r="9502" spans="8:8" x14ac:dyDescent="0.25">
      <c r="H9502" t="s">
        <v>12241</v>
      </c>
    </row>
    <row r="9503" spans="8:8" x14ac:dyDescent="0.25">
      <c r="H9503" t="s">
        <v>12242</v>
      </c>
    </row>
    <row r="9504" spans="8:8" x14ac:dyDescent="0.25">
      <c r="H9504" t="s">
        <v>135</v>
      </c>
    </row>
    <row r="9505" spans="8:8" x14ac:dyDescent="0.25">
      <c r="H9505" t="s">
        <v>12243</v>
      </c>
    </row>
    <row r="9506" spans="8:8" x14ac:dyDescent="0.25">
      <c r="H9506" t="s">
        <v>30</v>
      </c>
    </row>
    <row r="9507" spans="8:8" x14ac:dyDescent="0.25">
      <c r="H9507" t="s">
        <v>136</v>
      </c>
    </row>
    <row r="9508" spans="8:8" x14ac:dyDescent="0.25">
      <c r="H9508" t="s">
        <v>12244</v>
      </c>
    </row>
    <row r="9509" spans="8:8" x14ac:dyDescent="0.25">
      <c r="H9509" t="s">
        <v>30</v>
      </c>
    </row>
    <row r="9510" spans="8:8" x14ac:dyDescent="0.25">
      <c r="H9510" t="s">
        <v>137</v>
      </c>
    </row>
    <row r="9511" spans="8:8" x14ac:dyDescent="0.25">
      <c r="H9511" t="s">
        <v>12245</v>
      </c>
    </row>
    <row r="9512" spans="8:8" x14ac:dyDescent="0.25">
      <c r="H9512" t="s">
        <v>30</v>
      </c>
    </row>
    <row r="9513" spans="8:8" x14ac:dyDescent="0.25">
      <c r="H9513" t="s">
        <v>138</v>
      </c>
    </row>
    <row r="9514" spans="8:8" x14ac:dyDescent="0.25">
      <c r="H9514" t="s">
        <v>12246</v>
      </c>
    </row>
    <row r="9515" spans="8:8" x14ac:dyDescent="0.25">
      <c r="H9515" t="s">
        <v>30</v>
      </c>
    </row>
    <row r="9517" spans="8:8" x14ac:dyDescent="0.25">
      <c r="H9517" t="s">
        <v>12247</v>
      </c>
    </row>
    <row r="9518" spans="8:8" x14ac:dyDescent="0.25">
      <c r="H9518" t="s">
        <v>12248</v>
      </c>
    </row>
    <row r="9519" spans="8:8" x14ac:dyDescent="0.25">
      <c r="H9519" t="s">
        <v>135</v>
      </c>
    </row>
    <row r="9520" spans="8:8" x14ac:dyDescent="0.25">
      <c r="H9520" t="s">
        <v>12249</v>
      </c>
    </row>
    <row r="9521" spans="8:8" x14ac:dyDescent="0.25">
      <c r="H9521" t="s">
        <v>30</v>
      </c>
    </row>
    <row r="9522" spans="8:8" x14ac:dyDescent="0.25">
      <c r="H9522" t="s">
        <v>136</v>
      </c>
    </row>
    <row r="9523" spans="8:8" x14ac:dyDescent="0.25">
      <c r="H9523" t="s">
        <v>12250</v>
      </c>
    </row>
    <row r="9524" spans="8:8" x14ac:dyDescent="0.25">
      <c r="H9524" t="s">
        <v>30</v>
      </c>
    </row>
    <row r="9525" spans="8:8" x14ac:dyDescent="0.25">
      <c r="H9525" t="s">
        <v>137</v>
      </c>
    </row>
    <row r="9526" spans="8:8" x14ac:dyDescent="0.25">
      <c r="H9526" t="s">
        <v>12251</v>
      </c>
    </row>
    <row r="9527" spans="8:8" x14ac:dyDescent="0.25">
      <c r="H9527" t="s">
        <v>30</v>
      </c>
    </row>
    <row r="9528" spans="8:8" x14ac:dyDescent="0.25">
      <c r="H9528" t="s">
        <v>138</v>
      </c>
    </row>
    <row r="9529" spans="8:8" x14ac:dyDescent="0.25">
      <c r="H9529" t="s">
        <v>12252</v>
      </c>
    </row>
    <row r="9530" spans="8:8" x14ac:dyDescent="0.25">
      <c r="H9530" t="s">
        <v>30</v>
      </c>
    </row>
    <row r="9532" spans="8:8" x14ac:dyDescent="0.25">
      <c r="H9532" t="s">
        <v>12253</v>
      </c>
    </row>
    <row r="9533" spans="8:8" x14ac:dyDescent="0.25">
      <c r="H9533" t="s">
        <v>12254</v>
      </c>
    </row>
    <row r="9534" spans="8:8" x14ac:dyDescent="0.25">
      <c r="H9534" t="s">
        <v>135</v>
      </c>
    </row>
    <row r="9535" spans="8:8" x14ac:dyDescent="0.25">
      <c r="H9535" t="s">
        <v>12255</v>
      </c>
    </row>
    <row r="9536" spans="8:8" x14ac:dyDescent="0.25">
      <c r="H9536" t="s">
        <v>30</v>
      </c>
    </row>
    <row r="9537" spans="8:8" x14ac:dyDescent="0.25">
      <c r="H9537" t="s">
        <v>136</v>
      </c>
    </row>
    <row r="9538" spans="8:8" x14ac:dyDescent="0.25">
      <c r="H9538" t="s">
        <v>12256</v>
      </c>
    </row>
    <row r="9539" spans="8:8" x14ac:dyDescent="0.25">
      <c r="H9539" t="s">
        <v>30</v>
      </c>
    </row>
    <row r="9540" spans="8:8" x14ac:dyDescent="0.25">
      <c r="H9540" t="s">
        <v>137</v>
      </c>
    </row>
    <row r="9541" spans="8:8" x14ac:dyDescent="0.25">
      <c r="H9541" t="s">
        <v>12257</v>
      </c>
    </row>
    <row r="9542" spans="8:8" x14ac:dyDescent="0.25">
      <c r="H9542" t="s">
        <v>30</v>
      </c>
    </row>
    <row r="9543" spans="8:8" x14ac:dyDescent="0.25">
      <c r="H9543" t="s">
        <v>138</v>
      </c>
    </row>
    <row r="9544" spans="8:8" x14ac:dyDescent="0.25">
      <c r="H9544" t="s">
        <v>12258</v>
      </c>
    </row>
    <row r="9545" spans="8:8" x14ac:dyDescent="0.25">
      <c r="H9545" t="s">
        <v>30</v>
      </c>
    </row>
    <row r="9547" spans="8:8" x14ac:dyDescent="0.25">
      <c r="H9547" t="s">
        <v>12259</v>
      </c>
    </row>
    <row r="9548" spans="8:8" x14ac:dyDescent="0.25">
      <c r="H9548" t="s">
        <v>12260</v>
      </c>
    </row>
    <row r="9549" spans="8:8" x14ac:dyDescent="0.25">
      <c r="H9549" t="s">
        <v>135</v>
      </c>
    </row>
    <row r="9550" spans="8:8" x14ac:dyDescent="0.25">
      <c r="H9550" t="s">
        <v>12261</v>
      </c>
    </row>
    <row r="9551" spans="8:8" x14ac:dyDescent="0.25">
      <c r="H9551" t="s">
        <v>30</v>
      </c>
    </row>
    <row r="9552" spans="8:8" x14ac:dyDescent="0.25">
      <c r="H9552" t="s">
        <v>136</v>
      </c>
    </row>
    <row r="9553" spans="8:8" x14ac:dyDescent="0.25">
      <c r="H9553" t="s">
        <v>12262</v>
      </c>
    </row>
    <row r="9554" spans="8:8" x14ac:dyDescent="0.25">
      <c r="H9554" t="s">
        <v>30</v>
      </c>
    </row>
    <row r="9555" spans="8:8" x14ac:dyDescent="0.25">
      <c r="H9555" t="s">
        <v>137</v>
      </c>
    </row>
    <row r="9556" spans="8:8" x14ac:dyDescent="0.25">
      <c r="H9556" t="s">
        <v>12263</v>
      </c>
    </row>
    <row r="9557" spans="8:8" x14ac:dyDescent="0.25">
      <c r="H9557" t="s">
        <v>30</v>
      </c>
    </row>
    <row r="9558" spans="8:8" x14ac:dyDescent="0.25">
      <c r="H9558" t="s">
        <v>138</v>
      </c>
    </row>
    <row r="9559" spans="8:8" x14ac:dyDescent="0.25">
      <c r="H9559" t="s">
        <v>12264</v>
      </c>
    </row>
    <row r="9560" spans="8:8" x14ac:dyDescent="0.25">
      <c r="H9560" t="s">
        <v>30</v>
      </c>
    </row>
    <row r="9562" spans="8:8" x14ac:dyDescent="0.25">
      <c r="H9562" t="s">
        <v>12265</v>
      </c>
    </row>
    <row r="9563" spans="8:8" x14ac:dyDescent="0.25">
      <c r="H9563" t="s">
        <v>12266</v>
      </c>
    </row>
    <row r="9564" spans="8:8" x14ac:dyDescent="0.25">
      <c r="H9564" t="s">
        <v>135</v>
      </c>
    </row>
    <row r="9565" spans="8:8" x14ac:dyDescent="0.25">
      <c r="H9565" t="s">
        <v>12267</v>
      </c>
    </row>
    <row r="9566" spans="8:8" x14ac:dyDescent="0.25">
      <c r="H9566" t="s">
        <v>30</v>
      </c>
    </row>
    <row r="9567" spans="8:8" x14ac:dyDescent="0.25">
      <c r="H9567" t="s">
        <v>136</v>
      </c>
    </row>
    <row r="9568" spans="8:8" x14ac:dyDescent="0.25">
      <c r="H9568" t="s">
        <v>12268</v>
      </c>
    </row>
    <row r="9569" spans="8:8" x14ac:dyDescent="0.25">
      <c r="H9569" t="s">
        <v>30</v>
      </c>
    </row>
    <row r="9570" spans="8:8" x14ac:dyDescent="0.25">
      <c r="H9570" t="s">
        <v>137</v>
      </c>
    </row>
    <row r="9571" spans="8:8" x14ac:dyDescent="0.25">
      <c r="H9571" t="s">
        <v>12269</v>
      </c>
    </row>
    <row r="9572" spans="8:8" x14ac:dyDescent="0.25">
      <c r="H9572" t="s">
        <v>30</v>
      </c>
    </row>
    <row r="9573" spans="8:8" x14ac:dyDescent="0.25">
      <c r="H9573" t="s">
        <v>138</v>
      </c>
    </row>
    <row r="9574" spans="8:8" x14ac:dyDescent="0.25">
      <c r="H9574" t="s">
        <v>12270</v>
      </c>
    </row>
    <row r="9575" spans="8:8" x14ac:dyDescent="0.25">
      <c r="H9575" t="s">
        <v>30</v>
      </c>
    </row>
    <row r="9577" spans="8:8" x14ac:dyDescent="0.25">
      <c r="H9577" t="s">
        <v>12271</v>
      </c>
    </row>
    <row r="9578" spans="8:8" x14ac:dyDescent="0.25">
      <c r="H9578" t="s">
        <v>12272</v>
      </c>
    </row>
    <row r="9579" spans="8:8" x14ac:dyDescent="0.25">
      <c r="H9579" t="s">
        <v>135</v>
      </c>
    </row>
    <row r="9580" spans="8:8" x14ac:dyDescent="0.25">
      <c r="H9580" t="s">
        <v>12273</v>
      </c>
    </row>
    <row r="9581" spans="8:8" x14ac:dyDescent="0.25">
      <c r="H9581" t="s">
        <v>30</v>
      </c>
    </row>
    <row r="9582" spans="8:8" x14ac:dyDescent="0.25">
      <c r="H9582" t="s">
        <v>136</v>
      </c>
    </row>
    <row r="9583" spans="8:8" x14ac:dyDescent="0.25">
      <c r="H9583" t="s">
        <v>12274</v>
      </c>
    </row>
    <row r="9584" spans="8:8" x14ac:dyDescent="0.25">
      <c r="H9584" t="s">
        <v>30</v>
      </c>
    </row>
    <row r="9585" spans="8:8" x14ac:dyDescent="0.25">
      <c r="H9585" t="s">
        <v>137</v>
      </c>
    </row>
    <row r="9586" spans="8:8" x14ac:dyDescent="0.25">
      <c r="H9586" t="s">
        <v>12275</v>
      </c>
    </row>
    <row r="9587" spans="8:8" x14ac:dyDescent="0.25">
      <c r="H9587" t="s">
        <v>30</v>
      </c>
    </row>
    <row r="9588" spans="8:8" x14ac:dyDescent="0.25">
      <c r="H9588" t="s">
        <v>138</v>
      </c>
    </row>
    <row r="9589" spans="8:8" x14ac:dyDescent="0.25">
      <c r="H9589" t="s">
        <v>12276</v>
      </c>
    </row>
    <row r="9590" spans="8:8" x14ac:dyDescent="0.25">
      <c r="H9590" t="s">
        <v>30</v>
      </c>
    </row>
    <row r="9592" spans="8:8" x14ac:dyDescent="0.25">
      <c r="H9592" t="s">
        <v>12277</v>
      </c>
    </row>
    <row r="9593" spans="8:8" x14ac:dyDescent="0.25">
      <c r="H9593" t="s">
        <v>12278</v>
      </c>
    </row>
    <row r="9594" spans="8:8" x14ac:dyDescent="0.25">
      <c r="H9594" t="s">
        <v>135</v>
      </c>
    </row>
    <row r="9595" spans="8:8" x14ac:dyDescent="0.25">
      <c r="H9595" t="s">
        <v>12279</v>
      </c>
    </row>
    <row r="9596" spans="8:8" x14ac:dyDescent="0.25">
      <c r="H9596" t="s">
        <v>30</v>
      </c>
    </row>
    <row r="9597" spans="8:8" x14ac:dyDescent="0.25">
      <c r="H9597" t="s">
        <v>136</v>
      </c>
    </row>
    <row r="9598" spans="8:8" x14ac:dyDescent="0.25">
      <c r="H9598" t="s">
        <v>12280</v>
      </c>
    </row>
    <row r="9599" spans="8:8" x14ac:dyDescent="0.25">
      <c r="H9599" t="s">
        <v>30</v>
      </c>
    </row>
    <row r="9600" spans="8:8" x14ac:dyDescent="0.25">
      <c r="H9600" t="s">
        <v>137</v>
      </c>
    </row>
    <row r="9601" spans="8:8" x14ac:dyDescent="0.25">
      <c r="H9601" t="s">
        <v>12281</v>
      </c>
    </row>
    <row r="9602" spans="8:8" x14ac:dyDescent="0.25">
      <c r="H9602" t="s">
        <v>30</v>
      </c>
    </row>
    <row r="9603" spans="8:8" x14ac:dyDescent="0.25">
      <c r="H9603" t="s">
        <v>138</v>
      </c>
    </row>
    <row r="9604" spans="8:8" x14ac:dyDescent="0.25">
      <c r="H9604" t="s">
        <v>12282</v>
      </c>
    </row>
    <row r="9605" spans="8:8" x14ac:dyDescent="0.25">
      <c r="H9605" t="s">
        <v>30</v>
      </c>
    </row>
    <row r="9607" spans="8:8" x14ac:dyDescent="0.25">
      <c r="H9607" t="s">
        <v>12283</v>
      </c>
    </row>
    <row r="9608" spans="8:8" x14ac:dyDescent="0.25">
      <c r="H9608" t="s">
        <v>12284</v>
      </c>
    </row>
    <row r="9609" spans="8:8" x14ac:dyDescent="0.25">
      <c r="H9609" t="s">
        <v>135</v>
      </c>
    </row>
    <row r="9610" spans="8:8" x14ac:dyDescent="0.25">
      <c r="H9610" t="s">
        <v>12285</v>
      </c>
    </row>
    <row r="9611" spans="8:8" x14ac:dyDescent="0.25">
      <c r="H9611" t="s">
        <v>30</v>
      </c>
    </row>
    <row r="9612" spans="8:8" x14ac:dyDescent="0.25">
      <c r="H9612" t="s">
        <v>136</v>
      </c>
    </row>
    <row r="9613" spans="8:8" x14ac:dyDescent="0.25">
      <c r="H9613" t="s">
        <v>12286</v>
      </c>
    </row>
    <row r="9614" spans="8:8" x14ac:dyDescent="0.25">
      <c r="H9614" t="s">
        <v>30</v>
      </c>
    </row>
    <row r="9615" spans="8:8" x14ac:dyDescent="0.25">
      <c r="H9615" t="s">
        <v>137</v>
      </c>
    </row>
    <row r="9616" spans="8:8" x14ac:dyDescent="0.25">
      <c r="H9616" t="s">
        <v>12287</v>
      </c>
    </row>
    <row r="9617" spans="8:8" x14ac:dyDescent="0.25">
      <c r="H9617" t="s">
        <v>30</v>
      </c>
    </row>
    <row r="9618" spans="8:8" x14ac:dyDescent="0.25">
      <c r="H9618" t="s">
        <v>138</v>
      </c>
    </row>
    <row r="9619" spans="8:8" x14ac:dyDescent="0.25">
      <c r="H9619" t="s">
        <v>12288</v>
      </c>
    </row>
    <row r="9620" spans="8:8" x14ac:dyDescent="0.25">
      <c r="H9620" t="s">
        <v>30</v>
      </c>
    </row>
    <row r="9622" spans="8:8" x14ac:dyDescent="0.25">
      <c r="H9622" t="s">
        <v>12289</v>
      </c>
    </row>
    <row r="9623" spans="8:8" x14ac:dyDescent="0.25">
      <c r="H9623" t="s">
        <v>12290</v>
      </c>
    </row>
    <row r="9624" spans="8:8" x14ac:dyDescent="0.25">
      <c r="H9624" t="s">
        <v>135</v>
      </c>
    </row>
    <row r="9625" spans="8:8" x14ac:dyDescent="0.25">
      <c r="H9625" t="s">
        <v>12291</v>
      </c>
    </row>
    <row r="9626" spans="8:8" x14ac:dyDescent="0.25">
      <c r="H9626" t="s">
        <v>30</v>
      </c>
    </row>
    <row r="9627" spans="8:8" x14ac:dyDescent="0.25">
      <c r="H9627" t="s">
        <v>136</v>
      </c>
    </row>
    <row r="9628" spans="8:8" x14ac:dyDescent="0.25">
      <c r="H9628" t="s">
        <v>12292</v>
      </c>
    </row>
    <row r="9629" spans="8:8" x14ac:dyDescent="0.25">
      <c r="H9629" t="s">
        <v>30</v>
      </c>
    </row>
    <row r="9630" spans="8:8" x14ac:dyDescent="0.25">
      <c r="H9630" t="s">
        <v>137</v>
      </c>
    </row>
    <row r="9631" spans="8:8" x14ac:dyDescent="0.25">
      <c r="H9631" t="s">
        <v>12293</v>
      </c>
    </row>
    <row r="9632" spans="8:8" x14ac:dyDescent="0.25">
      <c r="H9632" t="s">
        <v>30</v>
      </c>
    </row>
    <row r="9633" spans="8:8" x14ac:dyDescent="0.25">
      <c r="H9633" t="s">
        <v>138</v>
      </c>
    </row>
    <row r="9634" spans="8:8" x14ac:dyDescent="0.25">
      <c r="H9634" t="s">
        <v>12294</v>
      </c>
    </row>
    <row r="9635" spans="8:8" x14ac:dyDescent="0.25">
      <c r="H9635" t="s">
        <v>30</v>
      </c>
    </row>
    <row r="9637" spans="8:8" x14ac:dyDescent="0.25">
      <c r="H9637" t="s">
        <v>12295</v>
      </c>
    </row>
    <row r="9638" spans="8:8" x14ac:dyDescent="0.25">
      <c r="H9638" t="s">
        <v>12296</v>
      </c>
    </row>
    <row r="9639" spans="8:8" x14ac:dyDescent="0.25">
      <c r="H9639" t="s">
        <v>135</v>
      </c>
    </row>
    <row r="9640" spans="8:8" x14ac:dyDescent="0.25">
      <c r="H9640" t="s">
        <v>12297</v>
      </c>
    </row>
    <row r="9641" spans="8:8" x14ac:dyDescent="0.25">
      <c r="H9641" t="s">
        <v>30</v>
      </c>
    </row>
    <row r="9642" spans="8:8" x14ac:dyDescent="0.25">
      <c r="H9642" t="s">
        <v>136</v>
      </c>
    </row>
    <row r="9643" spans="8:8" x14ac:dyDescent="0.25">
      <c r="H9643" t="s">
        <v>12298</v>
      </c>
    </row>
    <row r="9644" spans="8:8" x14ac:dyDescent="0.25">
      <c r="H9644" t="s">
        <v>30</v>
      </c>
    </row>
    <row r="9645" spans="8:8" x14ac:dyDescent="0.25">
      <c r="H9645" t="s">
        <v>137</v>
      </c>
    </row>
    <row r="9646" spans="8:8" x14ac:dyDescent="0.25">
      <c r="H9646" t="s">
        <v>12299</v>
      </c>
    </row>
    <row r="9647" spans="8:8" x14ac:dyDescent="0.25">
      <c r="H9647" t="s">
        <v>30</v>
      </c>
    </row>
    <row r="9648" spans="8:8" x14ac:dyDescent="0.25">
      <c r="H9648" t="s">
        <v>138</v>
      </c>
    </row>
    <row r="9649" spans="8:8" x14ac:dyDescent="0.25">
      <c r="H9649" t="s">
        <v>12300</v>
      </c>
    </row>
    <row r="9650" spans="8:8" x14ac:dyDescent="0.25">
      <c r="H9650" t="s">
        <v>30</v>
      </c>
    </row>
    <row r="9652" spans="8:8" x14ac:dyDescent="0.25">
      <c r="H9652" t="s">
        <v>12301</v>
      </c>
    </row>
    <row r="9653" spans="8:8" x14ac:dyDescent="0.25">
      <c r="H9653" t="s">
        <v>12302</v>
      </c>
    </row>
    <row r="9654" spans="8:8" x14ac:dyDescent="0.25">
      <c r="H9654" t="s">
        <v>135</v>
      </c>
    </row>
    <row r="9655" spans="8:8" x14ac:dyDescent="0.25">
      <c r="H9655" t="s">
        <v>12303</v>
      </c>
    </row>
    <row r="9656" spans="8:8" x14ac:dyDescent="0.25">
      <c r="H9656" t="s">
        <v>30</v>
      </c>
    </row>
    <row r="9657" spans="8:8" x14ac:dyDescent="0.25">
      <c r="H9657" t="s">
        <v>136</v>
      </c>
    </row>
    <row r="9658" spans="8:8" x14ac:dyDescent="0.25">
      <c r="H9658" t="s">
        <v>12304</v>
      </c>
    </row>
    <row r="9659" spans="8:8" x14ac:dyDescent="0.25">
      <c r="H9659" t="s">
        <v>30</v>
      </c>
    </row>
    <row r="9660" spans="8:8" x14ac:dyDescent="0.25">
      <c r="H9660" t="s">
        <v>137</v>
      </c>
    </row>
    <row r="9661" spans="8:8" x14ac:dyDescent="0.25">
      <c r="H9661" t="s">
        <v>12305</v>
      </c>
    </row>
    <row r="9662" spans="8:8" x14ac:dyDescent="0.25">
      <c r="H9662" t="s">
        <v>30</v>
      </c>
    </row>
    <row r="9663" spans="8:8" x14ac:dyDescent="0.25">
      <c r="H9663" t="s">
        <v>138</v>
      </c>
    </row>
    <row r="9664" spans="8:8" x14ac:dyDescent="0.25">
      <c r="H9664" t="s">
        <v>12306</v>
      </c>
    </row>
    <row r="9665" spans="8:8" x14ac:dyDescent="0.25">
      <c r="H9665" t="s">
        <v>30</v>
      </c>
    </row>
    <row r="9667" spans="8:8" x14ac:dyDescent="0.25">
      <c r="H9667" t="s">
        <v>12307</v>
      </c>
    </row>
    <row r="9668" spans="8:8" x14ac:dyDescent="0.25">
      <c r="H9668" t="s">
        <v>12308</v>
      </c>
    </row>
    <row r="9669" spans="8:8" x14ac:dyDescent="0.25">
      <c r="H9669" t="s">
        <v>135</v>
      </c>
    </row>
    <row r="9670" spans="8:8" x14ac:dyDescent="0.25">
      <c r="H9670" t="s">
        <v>12309</v>
      </c>
    </row>
    <row r="9671" spans="8:8" x14ac:dyDescent="0.25">
      <c r="H9671" t="s">
        <v>30</v>
      </c>
    </row>
    <row r="9672" spans="8:8" x14ac:dyDescent="0.25">
      <c r="H9672" t="s">
        <v>136</v>
      </c>
    </row>
    <row r="9673" spans="8:8" x14ac:dyDescent="0.25">
      <c r="H9673" t="s">
        <v>12310</v>
      </c>
    </row>
    <row r="9674" spans="8:8" x14ac:dyDescent="0.25">
      <c r="H9674" t="s">
        <v>30</v>
      </c>
    </row>
    <row r="9675" spans="8:8" x14ac:dyDescent="0.25">
      <c r="H9675" t="s">
        <v>137</v>
      </c>
    </row>
    <row r="9676" spans="8:8" x14ac:dyDescent="0.25">
      <c r="H9676" t="s">
        <v>12311</v>
      </c>
    </row>
    <row r="9677" spans="8:8" x14ac:dyDescent="0.25">
      <c r="H9677" t="s">
        <v>30</v>
      </c>
    </row>
    <row r="9678" spans="8:8" x14ac:dyDescent="0.25">
      <c r="H9678" t="s">
        <v>138</v>
      </c>
    </row>
    <row r="9679" spans="8:8" x14ac:dyDescent="0.25">
      <c r="H9679" t="s">
        <v>12312</v>
      </c>
    </row>
    <row r="9680" spans="8:8" x14ac:dyDescent="0.25">
      <c r="H9680" t="s">
        <v>30</v>
      </c>
    </row>
    <row r="9682" spans="8:8" x14ac:dyDescent="0.25">
      <c r="H9682" t="s">
        <v>12313</v>
      </c>
    </row>
    <row r="9683" spans="8:8" x14ac:dyDescent="0.25">
      <c r="H9683" t="s">
        <v>12314</v>
      </c>
    </row>
    <row r="9684" spans="8:8" x14ac:dyDescent="0.25">
      <c r="H9684" t="s">
        <v>135</v>
      </c>
    </row>
    <row r="9685" spans="8:8" x14ac:dyDescent="0.25">
      <c r="H9685" t="s">
        <v>12315</v>
      </c>
    </row>
    <row r="9686" spans="8:8" x14ac:dyDescent="0.25">
      <c r="H9686" t="s">
        <v>30</v>
      </c>
    </row>
    <row r="9687" spans="8:8" x14ac:dyDescent="0.25">
      <c r="H9687" t="s">
        <v>136</v>
      </c>
    </row>
    <row r="9688" spans="8:8" x14ac:dyDescent="0.25">
      <c r="H9688" t="s">
        <v>12316</v>
      </c>
    </row>
    <row r="9689" spans="8:8" x14ac:dyDescent="0.25">
      <c r="H9689" t="s">
        <v>30</v>
      </c>
    </row>
    <row r="9690" spans="8:8" x14ac:dyDescent="0.25">
      <c r="H9690" t="s">
        <v>137</v>
      </c>
    </row>
    <row r="9691" spans="8:8" x14ac:dyDescent="0.25">
      <c r="H9691" t="s">
        <v>12317</v>
      </c>
    </row>
    <row r="9692" spans="8:8" x14ac:dyDescent="0.25">
      <c r="H9692" t="s">
        <v>30</v>
      </c>
    </row>
    <row r="9693" spans="8:8" x14ac:dyDescent="0.25">
      <c r="H9693" t="s">
        <v>138</v>
      </c>
    </row>
    <row r="9694" spans="8:8" x14ac:dyDescent="0.25">
      <c r="H9694" t="s">
        <v>12318</v>
      </c>
    </row>
    <row r="9695" spans="8:8" x14ac:dyDescent="0.25">
      <c r="H9695" t="s">
        <v>30</v>
      </c>
    </row>
    <row r="9697" spans="8:8" x14ac:dyDescent="0.25">
      <c r="H9697" t="s">
        <v>12319</v>
      </c>
    </row>
    <row r="9698" spans="8:8" x14ac:dyDescent="0.25">
      <c r="H9698" t="s">
        <v>12320</v>
      </c>
    </row>
    <row r="9699" spans="8:8" x14ac:dyDescent="0.25">
      <c r="H9699" t="s">
        <v>135</v>
      </c>
    </row>
    <row r="9700" spans="8:8" x14ac:dyDescent="0.25">
      <c r="H9700" t="s">
        <v>12321</v>
      </c>
    </row>
    <row r="9701" spans="8:8" x14ac:dyDescent="0.25">
      <c r="H9701" t="s">
        <v>30</v>
      </c>
    </row>
    <row r="9702" spans="8:8" x14ac:dyDescent="0.25">
      <c r="H9702" t="s">
        <v>136</v>
      </c>
    </row>
    <row r="9703" spans="8:8" x14ac:dyDescent="0.25">
      <c r="H9703" t="s">
        <v>12322</v>
      </c>
    </row>
    <row r="9704" spans="8:8" x14ac:dyDescent="0.25">
      <c r="H9704" t="s">
        <v>30</v>
      </c>
    </row>
    <row r="9705" spans="8:8" x14ac:dyDescent="0.25">
      <c r="H9705" t="s">
        <v>137</v>
      </c>
    </row>
    <row r="9706" spans="8:8" x14ac:dyDescent="0.25">
      <c r="H9706" t="s">
        <v>12323</v>
      </c>
    </row>
    <row r="9707" spans="8:8" x14ac:dyDescent="0.25">
      <c r="H9707" t="s">
        <v>30</v>
      </c>
    </row>
    <row r="9708" spans="8:8" x14ac:dyDescent="0.25">
      <c r="H9708" t="s">
        <v>138</v>
      </c>
    </row>
    <row r="9709" spans="8:8" x14ac:dyDescent="0.25">
      <c r="H9709" t="s">
        <v>12324</v>
      </c>
    </row>
    <row r="9710" spans="8:8" x14ac:dyDescent="0.25">
      <c r="H9710" t="s">
        <v>30</v>
      </c>
    </row>
    <row r="9712" spans="8:8" x14ac:dyDescent="0.25">
      <c r="H9712" t="s">
        <v>12325</v>
      </c>
    </row>
    <row r="9713" spans="8:8" x14ac:dyDescent="0.25">
      <c r="H9713" t="s">
        <v>12326</v>
      </c>
    </row>
    <row r="9714" spans="8:8" x14ac:dyDescent="0.25">
      <c r="H9714" t="s">
        <v>135</v>
      </c>
    </row>
    <row r="9715" spans="8:8" x14ac:dyDescent="0.25">
      <c r="H9715" t="s">
        <v>12327</v>
      </c>
    </row>
    <row r="9716" spans="8:8" x14ac:dyDescent="0.25">
      <c r="H9716" t="s">
        <v>30</v>
      </c>
    </row>
    <row r="9717" spans="8:8" x14ac:dyDescent="0.25">
      <c r="H9717" t="s">
        <v>136</v>
      </c>
    </row>
    <row r="9718" spans="8:8" x14ac:dyDescent="0.25">
      <c r="H9718" t="s">
        <v>12328</v>
      </c>
    </row>
    <row r="9719" spans="8:8" x14ac:dyDescent="0.25">
      <c r="H9719" t="s">
        <v>30</v>
      </c>
    </row>
    <row r="9720" spans="8:8" x14ac:dyDescent="0.25">
      <c r="H9720" t="s">
        <v>137</v>
      </c>
    </row>
    <row r="9721" spans="8:8" x14ac:dyDescent="0.25">
      <c r="H9721" t="s">
        <v>12329</v>
      </c>
    </row>
    <row r="9722" spans="8:8" x14ac:dyDescent="0.25">
      <c r="H9722" t="s">
        <v>30</v>
      </c>
    </row>
    <row r="9723" spans="8:8" x14ac:dyDescent="0.25">
      <c r="H9723" t="s">
        <v>138</v>
      </c>
    </row>
    <row r="9724" spans="8:8" x14ac:dyDescent="0.25">
      <c r="H9724" t="s">
        <v>12330</v>
      </c>
    </row>
    <row r="9725" spans="8:8" x14ac:dyDescent="0.25">
      <c r="H9725" t="s">
        <v>30</v>
      </c>
    </row>
    <row r="9727" spans="8:8" x14ac:dyDescent="0.25">
      <c r="H9727" t="s">
        <v>12331</v>
      </c>
    </row>
    <row r="9728" spans="8:8" x14ac:dyDescent="0.25">
      <c r="H9728" t="s">
        <v>12332</v>
      </c>
    </row>
    <row r="9729" spans="8:8" x14ac:dyDescent="0.25">
      <c r="H9729" t="s">
        <v>135</v>
      </c>
    </row>
    <row r="9730" spans="8:8" x14ac:dyDescent="0.25">
      <c r="H9730" t="s">
        <v>12333</v>
      </c>
    </row>
    <row r="9731" spans="8:8" x14ac:dyDescent="0.25">
      <c r="H9731" t="s">
        <v>30</v>
      </c>
    </row>
    <row r="9732" spans="8:8" x14ac:dyDescent="0.25">
      <c r="H9732" t="s">
        <v>136</v>
      </c>
    </row>
    <row r="9733" spans="8:8" x14ac:dyDescent="0.25">
      <c r="H9733" t="s">
        <v>12334</v>
      </c>
    </row>
    <row r="9734" spans="8:8" x14ac:dyDescent="0.25">
      <c r="H9734" t="s">
        <v>30</v>
      </c>
    </row>
    <row r="9735" spans="8:8" x14ac:dyDescent="0.25">
      <c r="H9735" t="s">
        <v>137</v>
      </c>
    </row>
    <row r="9736" spans="8:8" x14ac:dyDescent="0.25">
      <c r="H9736" t="s">
        <v>12335</v>
      </c>
    </row>
    <row r="9737" spans="8:8" x14ac:dyDescent="0.25">
      <c r="H9737" t="s">
        <v>30</v>
      </c>
    </row>
    <row r="9738" spans="8:8" x14ac:dyDescent="0.25">
      <c r="H9738" t="s">
        <v>138</v>
      </c>
    </row>
    <row r="9739" spans="8:8" x14ac:dyDescent="0.25">
      <c r="H9739" t="s">
        <v>12336</v>
      </c>
    </row>
    <row r="9740" spans="8:8" x14ac:dyDescent="0.25">
      <c r="H9740" t="s">
        <v>30</v>
      </c>
    </row>
    <row r="9742" spans="8:8" x14ac:dyDescent="0.25">
      <c r="H9742" t="s">
        <v>12337</v>
      </c>
    </row>
    <row r="9743" spans="8:8" x14ac:dyDescent="0.25">
      <c r="H9743" t="s">
        <v>12338</v>
      </c>
    </row>
    <row r="9744" spans="8:8" x14ac:dyDescent="0.25">
      <c r="H9744" t="s">
        <v>135</v>
      </c>
    </row>
    <row r="9745" spans="8:8" x14ac:dyDescent="0.25">
      <c r="H9745" t="s">
        <v>12339</v>
      </c>
    </row>
    <row r="9746" spans="8:8" x14ac:dyDescent="0.25">
      <c r="H9746" t="s">
        <v>30</v>
      </c>
    </row>
    <row r="9747" spans="8:8" x14ac:dyDescent="0.25">
      <c r="H9747" t="s">
        <v>136</v>
      </c>
    </row>
    <row r="9748" spans="8:8" x14ac:dyDescent="0.25">
      <c r="H9748" t="s">
        <v>12340</v>
      </c>
    </row>
    <row r="9749" spans="8:8" x14ac:dyDescent="0.25">
      <c r="H9749" t="s">
        <v>30</v>
      </c>
    </row>
    <row r="9750" spans="8:8" x14ac:dyDescent="0.25">
      <c r="H9750" t="s">
        <v>137</v>
      </c>
    </row>
    <row r="9751" spans="8:8" x14ac:dyDescent="0.25">
      <c r="H9751" t="s">
        <v>12341</v>
      </c>
    </row>
    <row r="9752" spans="8:8" x14ac:dyDescent="0.25">
      <c r="H9752" t="s">
        <v>30</v>
      </c>
    </row>
    <row r="9753" spans="8:8" x14ac:dyDescent="0.25">
      <c r="H9753" t="s">
        <v>138</v>
      </c>
    </row>
    <row r="9754" spans="8:8" x14ac:dyDescent="0.25">
      <c r="H9754" t="s">
        <v>12342</v>
      </c>
    </row>
    <row r="9755" spans="8:8" x14ac:dyDescent="0.25">
      <c r="H9755" t="s">
        <v>30</v>
      </c>
    </row>
    <row r="9757" spans="8:8" x14ac:dyDescent="0.25">
      <c r="H9757" t="s">
        <v>12343</v>
      </c>
    </row>
    <row r="9758" spans="8:8" x14ac:dyDescent="0.25">
      <c r="H9758" t="s">
        <v>12344</v>
      </c>
    </row>
    <row r="9759" spans="8:8" x14ac:dyDescent="0.25">
      <c r="H9759" t="s">
        <v>135</v>
      </c>
    </row>
    <row r="9760" spans="8:8" x14ac:dyDescent="0.25">
      <c r="H9760" t="s">
        <v>12345</v>
      </c>
    </row>
    <row r="9761" spans="8:8" x14ac:dyDescent="0.25">
      <c r="H9761" t="s">
        <v>30</v>
      </c>
    </row>
    <row r="9762" spans="8:8" x14ac:dyDescent="0.25">
      <c r="H9762" t="s">
        <v>136</v>
      </c>
    </row>
    <row r="9763" spans="8:8" x14ac:dyDescent="0.25">
      <c r="H9763" t="s">
        <v>12346</v>
      </c>
    </row>
    <row r="9764" spans="8:8" x14ac:dyDescent="0.25">
      <c r="H9764" t="s">
        <v>30</v>
      </c>
    </row>
    <row r="9765" spans="8:8" x14ac:dyDescent="0.25">
      <c r="H9765" t="s">
        <v>137</v>
      </c>
    </row>
    <row r="9766" spans="8:8" x14ac:dyDescent="0.25">
      <c r="H9766" t="s">
        <v>12347</v>
      </c>
    </row>
    <row r="9767" spans="8:8" x14ac:dyDescent="0.25">
      <c r="H9767" t="s">
        <v>30</v>
      </c>
    </row>
    <row r="9768" spans="8:8" x14ac:dyDescent="0.25">
      <c r="H9768" t="s">
        <v>138</v>
      </c>
    </row>
    <row r="9769" spans="8:8" x14ac:dyDescent="0.25">
      <c r="H9769" t="s">
        <v>12348</v>
      </c>
    </row>
    <row r="9770" spans="8:8" x14ac:dyDescent="0.25">
      <c r="H9770" t="s">
        <v>30</v>
      </c>
    </row>
    <row r="9772" spans="8:8" x14ac:dyDescent="0.25">
      <c r="H9772" t="s">
        <v>12349</v>
      </c>
    </row>
    <row r="9773" spans="8:8" x14ac:dyDescent="0.25">
      <c r="H9773" t="s">
        <v>12350</v>
      </c>
    </row>
    <row r="9774" spans="8:8" x14ac:dyDescent="0.25">
      <c r="H9774" t="s">
        <v>135</v>
      </c>
    </row>
    <row r="9775" spans="8:8" x14ac:dyDescent="0.25">
      <c r="H9775" t="s">
        <v>12351</v>
      </c>
    </row>
    <row r="9776" spans="8:8" x14ac:dyDescent="0.25">
      <c r="H9776" t="s">
        <v>30</v>
      </c>
    </row>
    <row r="9777" spans="8:8" x14ac:dyDescent="0.25">
      <c r="H9777" t="s">
        <v>136</v>
      </c>
    </row>
    <row r="9778" spans="8:8" x14ac:dyDescent="0.25">
      <c r="H9778" t="s">
        <v>12352</v>
      </c>
    </row>
    <row r="9779" spans="8:8" x14ac:dyDescent="0.25">
      <c r="H9779" t="s">
        <v>30</v>
      </c>
    </row>
    <row r="9780" spans="8:8" x14ac:dyDescent="0.25">
      <c r="H9780" t="s">
        <v>137</v>
      </c>
    </row>
    <row r="9781" spans="8:8" x14ac:dyDescent="0.25">
      <c r="H9781" t="s">
        <v>12353</v>
      </c>
    </row>
    <row r="9782" spans="8:8" x14ac:dyDescent="0.25">
      <c r="H9782" t="s">
        <v>30</v>
      </c>
    </row>
    <row r="9783" spans="8:8" x14ac:dyDescent="0.25">
      <c r="H9783" t="s">
        <v>138</v>
      </c>
    </row>
    <row r="9784" spans="8:8" x14ac:dyDescent="0.25">
      <c r="H9784" t="s">
        <v>12354</v>
      </c>
    </row>
    <row r="9785" spans="8:8" x14ac:dyDescent="0.25">
      <c r="H9785" t="s">
        <v>30</v>
      </c>
    </row>
    <row r="9787" spans="8:8" x14ac:dyDescent="0.25">
      <c r="H9787" t="s">
        <v>12355</v>
      </c>
    </row>
    <row r="9788" spans="8:8" x14ac:dyDescent="0.25">
      <c r="H9788" t="s">
        <v>12356</v>
      </c>
    </row>
    <row r="9789" spans="8:8" x14ac:dyDescent="0.25">
      <c r="H9789" t="s">
        <v>135</v>
      </c>
    </row>
    <row r="9790" spans="8:8" x14ac:dyDescent="0.25">
      <c r="H9790" t="s">
        <v>12357</v>
      </c>
    </row>
    <row r="9791" spans="8:8" x14ac:dyDescent="0.25">
      <c r="H9791" t="s">
        <v>30</v>
      </c>
    </row>
    <row r="9792" spans="8:8" x14ac:dyDescent="0.25">
      <c r="H9792" t="s">
        <v>136</v>
      </c>
    </row>
    <row r="9793" spans="8:8" x14ac:dyDescent="0.25">
      <c r="H9793" t="s">
        <v>12358</v>
      </c>
    </row>
    <row r="9794" spans="8:8" x14ac:dyDescent="0.25">
      <c r="H9794" t="s">
        <v>30</v>
      </c>
    </row>
    <row r="9795" spans="8:8" x14ac:dyDescent="0.25">
      <c r="H9795" t="s">
        <v>137</v>
      </c>
    </row>
    <row r="9796" spans="8:8" x14ac:dyDescent="0.25">
      <c r="H9796" t="s">
        <v>12359</v>
      </c>
    </row>
    <row r="9797" spans="8:8" x14ac:dyDescent="0.25">
      <c r="H9797" t="s">
        <v>30</v>
      </c>
    </row>
    <row r="9798" spans="8:8" x14ac:dyDescent="0.25">
      <c r="H9798" t="s">
        <v>138</v>
      </c>
    </row>
    <row r="9799" spans="8:8" x14ac:dyDescent="0.25">
      <c r="H9799" t="s">
        <v>12360</v>
      </c>
    </row>
    <row r="9800" spans="8:8" x14ac:dyDescent="0.25">
      <c r="H9800" t="s">
        <v>30</v>
      </c>
    </row>
    <row r="9802" spans="8:8" x14ac:dyDescent="0.25">
      <c r="H9802" t="s">
        <v>12361</v>
      </c>
    </row>
    <row r="9803" spans="8:8" x14ac:dyDescent="0.25">
      <c r="H9803" t="s">
        <v>12362</v>
      </c>
    </row>
    <row r="9804" spans="8:8" x14ac:dyDescent="0.25">
      <c r="H9804" t="s">
        <v>135</v>
      </c>
    </row>
    <row r="9805" spans="8:8" x14ac:dyDescent="0.25">
      <c r="H9805" t="s">
        <v>12363</v>
      </c>
    </row>
    <row r="9806" spans="8:8" x14ac:dyDescent="0.25">
      <c r="H9806" t="s">
        <v>30</v>
      </c>
    </row>
    <row r="9807" spans="8:8" x14ac:dyDescent="0.25">
      <c r="H9807" t="s">
        <v>136</v>
      </c>
    </row>
    <row r="9808" spans="8:8" x14ac:dyDescent="0.25">
      <c r="H9808" t="s">
        <v>12364</v>
      </c>
    </row>
    <row r="9809" spans="8:8" x14ac:dyDescent="0.25">
      <c r="H9809" t="s">
        <v>30</v>
      </c>
    </row>
    <row r="9810" spans="8:8" x14ac:dyDescent="0.25">
      <c r="H9810" t="s">
        <v>137</v>
      </c>
    </row>
    <row r="9811" spans="8:8" x14ac:dyDescent="0.25">
      <c r="H9811" t="s">
        <v>12365</v>
      </c>
    </row>
    <row r="9812" spans="8:8" x14ac:dyDescent="0.25">
      <c r="H9812" t="s">
        <v>30</v>
      </c>
    </row>
    <row r="9813" spans="8:8" x14ac:dyDescent="0.25">
      <c r="H9813" t="s">
        <v>138</v>
      </c>
    </row>
    <row r="9814" spans="8:8" x14ac:dyDescent="0.25">
      <c r="H9814" t="s">
        <v>12366</v>
      </c>
    </row>
    <row r="9815" spans="8:8" x14ac:dyDescent="0.25">
      <c r="H9815" t="s">
        <v>30</v>
      </c>
    </row>
    <row r="9817" spans="8:8" x14ac:dyDescent="0.25">
      <c r="H9817" t="s">
        <v>12367</v>
      </c>
    </row>
    <row r="9818" spans="8:8" x14ac:dyDescent="0.25">
      <c r="H9818" t="s">
        <v>12368</v>
      </c>
    </row>
    <row r="9819" spans="8:8" x14ac:dyDescent="0.25">
      <c r="H9819" t="s">
        <v>135</v>
      </c>
    </row>
    <row r="9820" spans="8:8" x14ac:dyDescent="0.25">
      <c r="H9820" t="s">
        <v>12369</v>
      </c>
    </row>
    <row r="9821" spans="8:8" x14ac:dyDescent="0.25">
      <c r="H9821" t="s">
        <v>30</v>
      </c>
    </row>
    <row r="9822" spans="8:8" x14ac:dyDescent="0.25">
      <c r="H9822" t="s">
        <v>136</v>
      </c>
    </row>
    <row r="9823" spans="8:8" x14ac:dyDescent="0.25">
      <c r="H9823" t="s">
        <v>12370</v>
      </c>
    </row>
    <row r="9824" spans="8:8" x14ac:dyDescent="0.25">
      <c r="H9824" t="s">
        <v>30</v>
      </c>
    </row>
    <row r="9825" spans="8:8" x14ac:dyDescent="0.25">
      <c r="H9825" t="s">
        <v>137</v>
      </c>
    </row>
    <row r="9826" spans="8:8" x14ac:dyDescent="0.25">
      <c r="H9826" t="s">
        <v>12371</v>
      </c>
    </row>
    <row r="9827" spans="8:8" x14ac:dyDescent="0.25">
      <c r="H9827" t="s">
        <v>30</v>
      </c>
    </row>
    <row r="9828" spans="8:8" x14ac:dyDescent="0.25">
      <c r="H9828" t="s">
        <v>138</v>
      </c>
    </row>
    <row r="9829" spans="8:8" x14ac:dyDescent="0.25">
      <c r="H9829" t="s">
        <v>12372</v>
      </c>
    </row>
    <row r="9830" spans="8:8" x14ac:dyDescent="0.25">
      <c r="H9830" t="s">
        <v>30</v>
      </c>
    </row>
    <row r="9832" spans="8:8" x14ac:dyDescent="0.25">
      <c r="H9832" t="s">
        <v>12373</v>
      </c>
    </row>
    <row r="9833" spans="8:8" x14ac:dyDescent="0.25">
      <c r="H9833" t="s">
        <v>12374</v>
      </c>
    </row>
    <row r="9834" spans="8:8" x14ac:dyDescent="0.25">
      <c r="H9834" t="s">
        <v>135</v>
      </c>
    </row>
    <row r="9835" spans="8:8" x14ac:dyDescent="0.25">
      <c r="H9835" t="s">
        <v>12375</v>
      </c>
    </row>
    <row r="9836" spans="8:8" x14ac:dyDescent="0.25">
      <c r="H9836" t="s">
        <v>30</v>
      </c>
    </row>
    <row r="9837" spans="8:8" x14ac:dyDescent="0.25">
      <c r="H9837" t="s">
        <v>136</v>
      </c>
    </row>
    <row r="9838" spans="8:8" x14ac:dyDescent="0.25">
      <c r="H9838" t="s">
        <v>12376</v>
      </c>
    </row>
    <row r="9839" spans="8:8" x14ac:dyDescent="0.25">
      <c r="H9839" t="s">
        <v>30</v>
      </c>
    </row>
    <row r="9840" spans="8:8" x14ac:dyDescent="0.25">
      <c r="H9840" t="s">
        <v>137</v>
      </c>
    </row>
    <row r="9841" spans="8:8" x14ac:dyDescent="0.25">
      <c r="H9841" t="s">
        <v>12377</v>
      </c>
    </row>
    <row r="9842" spans="8:8" x14ac:dyDescent="0.25">
      <c r="H9842" t="s">
        <v>30</v>
      </c>
    </row>
    <row r="9843" spans="8:8" x14ac:dyDescent="0.25">
      <c r="H9843" t="s">
        <v>138</v>
      </c>
    </row>
    <row r="9844" spans="8:8" x14ac:dyDescent="0.25">
      <c r="H9844" t="s">
        <v>12378</v>
      </c>
    </row>
    <row r="9845" spans="8:8" x14ac:dyDescent="0.25">
      <c r="H9845" t="s">
        <v>30</v>
      </c>
    </row>
    <row r="9847" spans="8:8" x14ac:dyDescent="0.25">
      <c r="H9847" t="s">
        <v>12379</v>
      </c>
    </row>
    <row r="9848" spans="8:8" x14ac:dyDescent="0.25">
      <c r="H9848" t="s">
        <v>12380</v>
      </c>
    </row>
    <row r="9849" spans="8:8" x14ac:dyDescent="0.25">
      <c r="H9849" t="s">
        <v>135</v>
      </c>
    </row>
    <row r="9850" spans="8:8" x14ac:dyDescent="0.25">
      <c r="H9850" t="s">
        <v>12381</v>
      </c>
    </row>
    <row r="9851" spans="8:8" x14ac:dyDescent="0.25">
      <c r="H9851" t="s">
        <v>30</v>
      </c>
    </row>
    <row r="9852" spans="8:8" x14ac:dyDescent="0.25">
      <c r="H9852" t="s">
        <v>136</v>
      </c>
    </row>
    <row r="9853" spans="8:8" x14ac:dyDescent="0.25">
      <c r="H9853" t="s">
        <v>12382</v>
      </c>
    </row>
    <row r="9854" spans="8:8" x14ac:dyDescent="0.25">
      <c r="H9854" t="s">
        <v>30</v>
      </c>
    </row>
    <row r="9855" spans="8:8" x14ac:dyDescent="0.25">
      <c r="H9855" t="s">
        <v>137</v>
      </c>
    </row>
    <row r="9856" spans="8:8" x14ac:dyDescent="0.25">
      <c r="H9856" t="s">
        <v>12383</v>
      </c>
    </row>
    <row r="9857" spans="8:8" x14ac:dyDescent="0.25">
      <c r="H9857" t="s">
        <v>30</v>
      </c>
    </row>
    <row r="9858" spans="8:8" x14ac:dyDescent="0.25">
      <c r="H9858" t="s">
        <v>138</v>
      </c>
    </row>
    <row r="9859" spans="8:8" x14ac:dyDescent="0.25">
      <c r="H9859" t="s">
        <v>12384</v>
      </c>
    </row>
    <row r="9860" spans="8:8" x14ac:dyDescent="0.25">
      <c r="H9860" t="s">
        <v>30</v>
      </c>
    </row>
    <row r="9862" spans="8:8" x14ac:dyDescent="0.25">
      <c r="H9862" t="s">
        <v>12385</v>
      </c>
    </row>
    <row r="9863" spans="8:8" x14ac:dyDescent="0.25">
      <c r="H9863" t="s">
        <v>12386</v>
      </c>
    </row>
    <row r="9864" spans="8:8" x14ac:dyDescent="0.25">
      <c r="H9864" t="s">
        <v>135</v>
      </c>
    </row>
    <row r="9865" spans="8:8" x14ac:dyDescent="0.25">
      <c r="H9865" t="s">
        <v>12387</v>
      </c>
    </row>
    <row r="9866" spans="8:8" x14ac:dyDescent="0.25">
      <c r="H9866" t="s">
        <v>30</v>
      </c>
    </row>
    <row r="9867" spans="8:8" x14ac:dyDescent="0.25">
      <c r="H9867" t="s">
        <v>136</v>
      </c>
    </row>
    <row r="9868" spans="8:8" x14ac:dyDescent="0.25">
      <c r="H9868" t="s">
        <v>12388</v>
      </c>
    </row>
    <row r="9869" spans="8:8" x14ac:dyDescent="0.25">
      <c r="H9869" t="s">
        <v>30</v>
      </c>
    </row>
    <row r="9870" spans="8:8" x14ac:dyDescent="0.25">
      <c r="H9870" t="s">
        <v>137</v>
      </c>
    </row>
    <row r="9871" spans="8:8" x14ac:dyDescent="0.25">
      <c r="H9871" t="s">
        <v>12389</v>
      </c>
    </row>
    <row r="9872" spans="8:8" x14ac:dyDescent="0.25">
      <c r="H9872" t="s">
        <v>30</v>
      </c>
    </row>
    <row r="9873" spans="8:8" x14ac:dyDescent="0.25">
      <c r="H9873" t="s">
        <v>138</v>
      </c>
    </row>
    <row r="9874" spans="8:8" x14ac:dyDescent="0.25">
      <c r="H9874" t="s">
        <v>12390</v>
      </c>
    </row>
    <row r="9875" spans="8:8" x14ac:dyDescent="0.25">
      <c r="H9875" t="s">
        <v>30</v>
      </c>
    </row>
    <row r="9877" spans="8:8" x14ac:dyDescent="0.25">
      <c r="H9877" t="s">
        <v>12391</v>
      </c>
    </row>
    <row r="9878" spans="8:8" x14ac:dyDescent="0.25">
      <c r="H9878" t="s">
        <v>12392</v>
      </c>
    </row>
    <row r="9879" spans="8:8" x14ac:dyDescent="0.25">
      <c r="H9879" t="s">
        <v>135</v>
      </c>
    </row>
    <row r="9880" spans="8:8" x14ac:dyDescent="0.25">
      <c r="H9880" t="s">
        <v>12393</v>
      </c>
    </row>
    <row r="9881" spans="8:8" x14ac:dyDescent="0.25">
      <c r="H9881" t="s">
        <v>30</v>
      </c>
    </row>
    <row r="9882" spans="8:8" x14ac:dyDescent="0.25">
      <c r="H9882" t="s">
        <v>136</v>
      </c>
    </row>
    <row r="9883" spans="8:8" x14ac:dyDescent="0.25">
      <c r="H9883" t="s">
        <v>12394</v>
      </c>
    </row>
    <row r="9884" spans="8:8" x14ac:dyDescent="0.25">
      <c r="H9884" t="s">
        <v>30</v>
      </c>
    </row>
    <row r="9885" spans="8:8" x14ac:dyDescent="0.25">
      <c r="H9885" t="s">
        <v>137</v>
      </c>
    </row>
    <row r="9886" spans="8:8" x14ac:dyDescent="0.25">
      <c r="H9886" t="s">
        <v>12395</v>
      </c>
    </row>
    <row r="9887" spans="8:8" x14ac:dyDescent="0.25">
      <c r="H9887" t="s">
        <v>30</v>
      </c>
    </row>
    <row r="9888" spans="8:8" x14ac:dyDescent="0.25">
      <c r="H9888" t="s">
        <v>138</v>
      </c>
    </row>
    <row r="9889" spans="8:8" x14ac:dyDescent="0.25">
      <c r="H9889" t="s">
        <v>12396</v>
      </c>
    </row>
    <row r="9890" spans="8:8" x14ac:dyDescent="0.25">
      <c r="H9890" t="s">
        <v>30</v>
      </c>
    </row>
    <row r="9892" spans="8:8" x14ac:dyDescent="0.25">
      <c r="H9892" t="s">
        <v>12397</v>
      </c>
    </row>
    <row r="9893" spans="8:8" x14ac:dyDescent="0.25">
      <c r="H9893" t="s">
        <v>12398</v>
      </c>
    </row>
    <row r="9894" spans="8:8" x14ac:dyDescent="0.25">
      <c r="H9894" t="s">
        <v>135</v>
      </c>
    </row>
    <row r="9895" spans="8:8" x14ac:dyDescent="0.25">
      <c r="H9895" t="s">
        <v>12399</v>
      </c>
    </row>
    <row r="9896" spans="8:8" x14ac:dyDescent="0.25">
      <c r="H9896" t="s">
        <v>30</v>
      </c>
    </row>
    <row r="9897" spans="8:8" x14ac:dyDescent="0.25">
      <c r="H9897" t="s">
        <v>136</v>
      </c>
    </row>
    <row r="9898" spans="8:8" x14ac:dyDescent="0.25">
      <c r="H9898" t="s">
        <v>12400</v>
      </c>
    </row>
    <row r="9899" spans="8:8" x14ac:dyDescent="0.25">
      <c r="H9899" t="s">
        <v>30</v>
      </c>
    </row>
    <row r="9900" spans="8:8" x14ac:dyDescent="0.25">
      <c r="H9900" t="s">
        <v>137</v>
      </c>
    </row>
    <row r="9901" spans="8:8" x14ac:dyDescent="0.25">
      <c r="H9901" t="s">
        <v>12401</v>
      </c>
    </row>
    <row r="9902" spans="8:8" x14ac:dyDescent="0.25">
      <c r="H9902" t="s">
        <v>30</v>
      </c>
    </row>
    <row r="9903" spans="8:8" x14ac:dyDescent="0.25">
      <c r="H9903" t="s">
        <v>138</v>
      </c>
    </row>
    <row r="9904" spans="8:8" x14ac:dyDescent="0.25">
      <c r="H9904" t="s">
        <v>12402</v>
      </c>
    </row>
    <row r="9905" spans="8:8" x14ac:dyDescent="0.25">
      <c r="H9905" t="s">
        <v>30</v>
      </c>
    </row>
    <row r="9907" spans="8:8" x14ac:dyDescent="0.25">
      <c r="H9907" t="s">
        <v>12403</v>
      </c>
    </row>
    <row r="9908" spans="8:8" x14ac:dyDescent="0.25">
      <c r="H9908" t="s">
        <v>12404</v>
      </c>
    </row>
    <row r="9909" spans="8:8" x14ac:dyDescent="0.25">
      <c r="H9909" t="s">
        <v>135</v>
      </c>
    </row>
    <row r="9910" spans="8:8" x14ac:dyDescent="0.25">
      <c r="H9910" t="s">
        <v>12405</v>
      </c>
    </row>
    <row r="9911" spans="8:8" x14ac:dyDescent="0.25">
      <c r="H9911" t="s">
        <v>30</v>
      </c>
    </row>
    <row r="9912" spans="8:8" x14ac:dyDescent="0.25">
      <c r="H9912" t="s">
        <v>136</v>
      </c>
    </row>
    <row r="9913" spans="8:8" x14ac:dyDescent="0.25">
      <c r="H9913" t="s">
        <v>12406</v>
      </c>
    </row>
    <row r="9914" spans="8:8" x14ac:dyDescent="0.25">
      <c r="H9914" t="s">
        <v>30</v>
      </c>
    </row>
    <row r="9915" spans="8:8" x14ac:dyDescent="0.25">
      <c r="H9915" t="s">
        <v>137</v>
      </c>
    </row>
    <row r="9916" spans="8:8" x14ac:dyDescent="0.25">
      <c r="H9916" t="s">
        <v>12407</v>
      </c>
    </row>
    <row r="9917" spans="8:8" x14ac:dyDescent="0.25">
      <c r="H9917" t="s">
        <v>30</v>
      </c>
    </row>
    <row r="9918" spans="8:8" x14ac:dyDescent="0.25">
      <c r="H9918" t="s">
        <v>138</v>
      </c>
    </row>
    <row r="9919" spans="8:8" x14ac:dyDescent="0.25">
      <c r="H9919" t="s">
        <v>12408</v>
      </c>
    </row>
    <row r="9920" spans="8:8" x14ac:dyDescent="0.25">
      <c r="H9920" t="s">
        <v>30</v>
      </c>
    </row>
    <row r="9922" spans="8:8" x14ac:dyDescent="0.25">
      <c r="H9922" t="s">
        <v>12409</v>
      </c>
    </row>
    <row r="9923" spans="8:8" x14ac:dyDescent="0.25">
      <c r="H9923" t="s">
        <v>12410</v>
      </c>
    </row>
    <row r="9924" spans="8:8" x14ac:dyDescent="0.25">
      <c r="H9924" t="s">
        <v>135</v>
      </c>
    </row>
    <row r="9925" spans="8:8" x14ac:dyDescent="0.25">
      <c r="H9925" t="s">
        <v>12411</v>
      </c>
    </row>
    <row r="9926" spans="8:8" x14ac:dyDescent="0.25">
      <c r="H9926" t="s">
        <v>30</v>
      </c>
    </row>
    <row r="9927" spans="8:8" x14ac:dyDescent="0.25">
      <c r="H9927" t="s">
        <v>136</v>
      </c>
    </row>
    <row r="9928" spans="8:8" x14ac:dyDescent="0.25">
      <c r="H9928" t="s">
        <v>12412</v>
      </c>
    </row>
    <row r="9929" spans="8:8" x14ac:dyDescent="0.25">
      <c r="H9929" t="s">
        <v>30</v>
      </c>
    </row>
    <row r="9930" spans="8:8" x14ac:dyDescent="0.25">
      <c r="H9930" t="s">
        <v>137</v>
      </c>
    </row>
    <row r="9931" spans="8:8" x14ac:dyDescent="0.25">
      <c r="H9931" t="s">
        <v>12413</v>
      </c>
    </row>
    <row r="9932" spans="8:8" x14ac:dyDescent="0.25">
      <c r="H9932" t="s">
        <v>30</v>
      </c>
    </row>
    <row r="9933" spans="8:8" x14ac:dyDescent="0.25">
      <c r="H9933" t="s">
        <v>138</v>
      </c>
    </row>
    <row r="9934" spans="8:8" x14ac:dyDescent="0.25">
      <c r="H9934" t="s">
        <v>12414</v>
      </c>
    </row>
    <row r="9935" spans="8:8" x14ac:dyDescent="0.25">
      <c r="H9935" t="s">
        <v>30</v>
      </c>
    </row>
    <row r="9937" spans="8:8" x14ac:dyDescent="0.25">
      <c r="H9937" t="s">
        <v>12415</v>
      </c>
    </row>
    <row r="9938" spans="8:8" x14ac:dyDescent="0.25">
      <c r="H9938" t="s">
        <v>12416</v>
      </c>
    </row>
    <row r="9939" spans="8:8" x14ac:dyDescent="0.25">
      <c r="H9939" t="s">
        <v>135</v>
      </c>
    </row>
    <row r="9940" spans="8:8" x14ac:dyDescent="0.25">
      <c r="H9940" t="s">
        <v>12417</v>
      </c>
    </row>
    <row r="9941" spans="8:8" x14ac:dyDescent="0.25">
      <c r="H9941" t="s">
        <v>30</v>
      </c>
    </row>
    <row r="9942" spans="8:8" x14ac:dyDescent="0.25">
      <c r="H9942" t="s">
        <v>136</v>
      </c>
    </row>
    <row r="9943" spans="8:8" x14ac:dyDescent="0.25">
      <c r="H9943" t="s">
        <v>12418</v>
      </c>
    </row>
    <row r="9944" spans="8:8" x14ac:dyDescent="0.25">
      <c r="H9944" t="s">
        <v>30</v>
      </c>
    </row>
    <row r="9945" spans="8:8" x14ac:dyDescent="0.25">
      <c r="H9945" t="s">
        <v>137</v>
      </c>
    </row>
    <row r="9946" spans="8:8" x14ac:dyDescent="0.25">
      <c r="H9946" t="s">
        <v>12419</v>
      </c>
    </row>
    <row r="9947" spans="8:8" x14ac:dyDescent="0.25">
      <c r="H9947" t="s">
        <v>30</v>
      </c>
    </row>
    <row r="9948" spans="8:8" x14ac:dyDescent="0.25">
      <c r="H9948" t="s">
        <v>138</v>
      </c>
    </row>
    <row r="9949" spans="8:8" x14ac:dyDescent="0.25">
      <c r="H9949" t="s">
        <v>12420</v>
      </c>
    </row>
    <row r="9950" spans="8:8" x14ac:dyDescent="0.25">
      <c r="H9950" t="s">
        <v>30</v>
      </c>
    </row>
    <row r="9952" spans="8:8" x14ac:dyDescent="0.25">
      <c r="H9952" t="s">
        <v>12421</v>
      </c>
    </row>
    <row r="9953" spans="8:8" x14ac:dyDescent="0.25">
      <c r="H9953" t="s">
        <v>12422</v>
      </c>
    </row>
    <row r="9954" spans="8:8" x14ac:dyDescent="0.25">
      <c r="H9954" t="s">
        <v>135</v>
      </c>
    </row>
    <row r="9955" spans="8:8" x14ac:dyDescent="0.25">
      <c r="H9955" t="s">
        <v>12423</v>
      </c>
    </row>
    <row r="9956" spans="8:8" x14ac:dyDescent="0.25">
      <c r="H9956" t="s">
        <v>30</v>
      </c>
    </row>
    <row r="9957" spans="8:8" x14ac:dyDescent="0.25">
      <c r="H9957" t="s">
        <v>136</v>
      </c>
    </row>
    <row r="9958" spans="8:8" x14ac:dyDescent="0.25">
      <c r="H9958" t="s">
        <v>12424</v>
      </c>
    </row>
    <row r="9959" spans="8:8" x14ac:dyDescent="0.25">
      <c r="H9959" t="s">
        <v>30</v>
      </c>
    </row>
    <row r="9960" spans="8:8" x14ac:dyDescent="0.25">
      <c r="H9960" t="s">
        <v>137</v>
      </c>
    </row>
    <row r="9961" spans="8:8" x14ac:dyDescent="0.25">
      <c r="H9961" t="s">
        <v>12425</v>
      </c>
    </row>
    <row r="9962" spans="8:8" x14ac:dyDescent="0.25">
      <c r="H9962" t="s">
        <v>30</v>
      </c>
    </row>
    <row r="9963" spans="8:8" x14ac:dyDescent="0.25">
      <c r="H9963" t="s">
        <v>138</v>
      </c>
    </row>
    <row r="9964" spans="8:8" x14ac:dyDescent="0.25">
      <c r="H9964" t="s">
        <v>12426</v>
      </c>
    </row>
    <row r="9965" spans="8:8" x14ac:dyDescent="0.25">
      <c r="H9965" t="s">
        <v>30</v>
      </c>
    </row>
    <row r="9967" spans="8:8" x14ac:dyDescent="0.25">
      <c r="H9967" t="s">
        <v>12427</v>
      </c>
    </row>
    <row r="9968" spans="8:8" x14ac:dyDescent="0.25">
      <c r="H9968" t="s">
        <v>12428</v>
      </c>
    </row>
    <row r="9969" spans="8:8" x14ac:dyDescent="0.25">
      <c r="H9969" t="s">
        <v>135</v>
      </c>
    </row>
    <row r="9970" spans="8:8" x14ac:dyDescent="0.25">
      <c r="H9970" t="s">
        <v>12429</v>
      </c>
    </row>
    <row r="9971" spans="8:8" x14ac:dyDescent="0.25">
      <c r="H9971" t="s">
        <v>30</v>
      </c>
    </row>
    <row r="9972" spans="8:8" x14ac:dyDescent="0.25">
      <c r="H9972" t="s">
        <v>136</v>
      </c>
    </row>
    <row r="9973" spans="8:8" x14ac:dyDescent="0.25">
      <c r="H9973" t="s">
        <v>12430</v>
      </c>
    </row>
    <row r="9974" spans="8:8" x14ac:dyDescent="0.25">
      <c r="H9974" t="s">
        <v>30</v>
      </c>
    </row>
    <row r="9975" spans="8:8" x14ac:dyDescent="0.25">
      <c r="H9975" t="s">
        <v>137</v>
      </c>
    </row>
    <row r="9976" spans="8:8" x14ac:dyDescent="0.25">
      <c r="H9976" t="s">
        <v>12431</v>
      </c>
    </row>
    <row r="9977" spans="8:8" x14ac:dyDescent="0.25">
      <c r="H9977" t="s">
        <v>30</v>
      </c>
    </row>
    <row r="9978" spans="8:8" x14ac:dyDescent="0.25">
      <c r="H9978" t="s">
        <v>138</v>
      </c>
    </row>
    <row r="9979" spans="8:8" x14ac:dyDescent="0.25">
      <c r="H9979" t="s">
        <v>12432</v>
      </c>
    </row>
    <row r="9980" spans="8:8" x14ac:dyDescent="0.25">
      <c r="H9980" t="s">
        <v>30</v>
      </c>
    </row>
    <row r="9982" spans="8:8" x14ac:dyDescent="0.25">
      <c r="H9982" t="s">
        <v>12433</v>
      </c>
    </row>
    <row r="9983" spans="8:8" x14ac:dyDescent="0.25">
      <c r="H9983" t="s">
        <v>12434</v>
      </c>
    </row>
    <row r="9984" spans="8:8" x14ac:dyDescent="0.25">
      <c r="H9984" t="s">
        <v>135</v>
      </c>
    </row>
    <row r="9985" spans="8:8" x14ac:dyDescent="0.25">
      <c r="H9985" t="s">
        <v>12435</v>
      </c>
    </row>
    <row r="9986" spans="8:8" x14ac:dyDescent="0.25">
      <c r="H9986" t="s">
        <v>30</v>
      </c>
    </row>
    <row r="9987" spans="8:8" x14ac:dyDescent="0.25">
      <c r="H9987" t="s">
        <v>136</v>
      </c>
    </row>
    <row r="9988" spans="8:8" x14ac:dyDescent="0.25">
      <c r="H9988" t="s">
        <v>12436</v>
      </c>
    </row>
    <row r="9989" spans="8:8" x14ac:dyDescent="0.25">
      <c r="H9989" t="s">
        <v>30</v>
      </c>
    </row>
    <row r="9990" spans="8:8" x14ac:dyDescent="0.25">
      <c r="H9990" t="s">
        <v>137</v>
      </c>
    </row>
    <row r="9991" spans="8:8" x14ac:dyDescent="0.25">
      <c r="H9991" t="s">
        <v>12437</v>
      </c>
    </row>
    <row r="9992" spans="8:8" x14ac:dyDescent="0.25">
      <c r="H9992" t="s">
        <v>30</v>
      </c>
    </row>
    <row r="9993" spans="8:8" x14ac:dyDescent="0.25">
      <c r="H9993" t="s">
        <v>138</v>
      </c>
    </row>
    <row r="9994" spans="8:8" x14ac:dyDescent="0.25">
      <c r="H9994" t="s">
        <v>12438</v>
      </c>
    </row>
    <row r="9995" spans="8:8" x14ac:dyDescent="0.25">
      <c r="H9995" t="s">
        <v>30</v>
      </c>
    </row>
    <row r="9997" spans="8:8" x14ac:dyDescent="0.25">
      <c r="H9997" t="s">
        <v>12439</v>
      </c>
    </row>
    <row r="9998" spans="8:8" x14ac:dyDescent="0.25">
      <c r="H9998" t="s">
        <v>12440</v>
      </c>
    </row>
    <row r="9999" spans="8:8" x14ac:dyDescent="0.25">
      <c r="H9999" t="s">
        <v>135</v>
      </c>
    </row>
    <row r="10000" spans="8:8" x14ac:dyDescent="0.25">
      <c r="H10000" t="s">
        <v>12441</v>
      </c>
    </row>
    <row r="10001" spans="8:8" x14ac:dyDescent="0.25">
      <c r="H10001" t="s">
        <v>30</v>
      </c>
    </row>
    <row r="10002" spans="8:8" x14ac:dyDescent="0.25">
      <c r="H10002" t="s">
        <v>136</v>
      </c>
    </row>
    <row r="10003" spans="8:8" x14ac:dyDescent="0.25">
      <c r="H10003" t="s">
        <v>12442</v>
      </c>
    </row>
    <row r="10004" spans="8:8" x14ac:dyDescent="0.25">
      <c r="H10004" t="s">
        <v>30</v>
      </c>
    </row>
    <row r="10005" spans="8:8" x14ac:dyDescent="0.25">
      <c r="H10005" t="s">
        <v>137</v>
      </c>
    </row>
    <row r="10006" spans="8:8" x14ac:dyDescent="0.25">
      <c r="H10006" t="s">
        <v>12443</v>
      </c>
    </row>
    <row r="10007" spans="8:8" x14ac:dyDescent="0.25">
      <c r="H10007" t="s">
        <v>30</v>
      </c>
    </row>
    <row r="10008" spans="8:8" x14ac:dyDescent="0.25">
      <c r="H10008" t="s">
        <v>138</v>
      </c>
    </row>
    <row r="10009" spans="8:8" x14ac:dyDescent="0.25">
      <c r="H10009" t="s">
        <v>12444</v>
      </c>
    </row>
    <row r="10010" spans="8:8" x14ac:dyDescent="0.25">
      <c r="H10010" t="s">
        <v>30</v>
      </c>
    </row>
    <row r="10012" spans="8:8" x14ac:dyDescent="0.25">
      <c r="H10012" t="s">
        <v>12445</v>
      </c>
    </row>
    <row r="10013" spans="8:8" x14ac:dyDescent="0.25">
      <c r="H10013" t="s">
        <v>12446</v>
      </c>
    </row>
    <row r="10014" spans="8:8" x14ac:dyDescent="0.25">
      <c r="H10014" t="s">
        <v>135</v>
      </c>
    </row>
    <row r="10015" spans="8:8" x14ac:dyDescent="0.25">
      <c r="H10015" t="s">
        <v>12447</v>
      </c>
    </row>
    <row r="10016" spans="8:8" x14ac:dyDescent="0.25">
      <c r="H10016" t="s">
        <v>30</v>
      </c>
    </row>
    <row r="10017" spans="8:8" x14ac:dyDescent="0.25">
      <c r="H10017" t="s">
        <v>136</v>
      </c>
    </row>
    <row r="10018" spans="8:8" x14ac:dyDescent="0.25">
      <c r="H10018" t="s">
        <v>12448</v>
      </c>
    </row>
    <row r="10019" spans="8:8" x14ac:dyDescent="0.25">
      <c r="H10019" t="s">
        <v>30</v>
      </c>
    </row>
    <row r="10020" spans="8:8" x14ac:dyDescent="0.25">
      <c r="H10020" t="s">
        <v>137</v>
      </c>
    </row>
    <row r="10021" spans="8:8" x14ac:dyDescent="0.25">
      <c r="H10021" t="s">
        <v>12449</v>
      </c>
    </row>
    <row r="10022" spans="8:8" x14ac:dyDescent="0.25">
      <c r="H10022" t="s">
        <v>30</v>
      </c>
    </row>
    <row r="10023" spans="8:8" x14ac:dyDescent="0.25">
      <c r="H10023" t="s">
        <v>138</v>
      </c>
    </row>
    <row r="10024" spans="8:8" x14ac:dyDescent="0.25">
      <c r="H10024" t="s">
        <v>12450</v>
      </c>
    </row>
    <row r="10025" spans="8:8" x14ac:dyDescent="0.25">
      <c r="H10025" t="s">
        <v>30</v>
      </c>
    </row>
    <row r="10027" spans="8:8" x14ac:dyDescent="0.25">
      <c r="H10027" t="s">
        <v>12451</v>
      </c>
    </row>
    <row r="10028" spans="8:8" x14ac:dyDescent="0.25">
      <c r="H10028" t="s">
        <v>12452</v>
      </c>
    </row>
    <row r="10029" spans="8:8" x14ac:dyDescent="0.25">
      <c r="H10029" t="s">
        <v>135</v>
      </c>
    </row>
    <row r="10030" spans="8:8" x14ac:dyDescent="0.25">
      <c r="H10030" t="s">
        <v>12453</v>
      </c>
    </row>
    <row r="10031" spans="8:8" x14ac:dyDescent="0.25">
      <c r="H10031" t="s">
        <v>30</v>
      </c>
    </row>
    <row r="10032" spans="8:8" x14ac:dyDescent="0.25">
      <c r="H10032" t="s">
        <v>136</v>
      </c>
    </row>
    <row r="10033" spans="8:8" x14ac:dyDescent="0.25">
      <c r="H10033" t="s">
        <v>12454</v>
      </c>
    </row>
    <row r="10034" spans="8:8" x14ac:dyDescent="0.25">
      <c r="H10034" t="s">
        <v>30</v>
      </c>
    </row>
    <row r="10035" spans="8:8" x14ac:dyDescent="0.25">
      <c r="H10035" t="s">
        <v>137</v>
      </c>
    </row>
    <row r="10036" spans="8:8" x14ac:dyDescent="0.25">
      <c r="H10036" t="s">
        <v>12455</v>
      </c>
    </row>
    <row r="10037" spans="8:8" x14ac:dyDescent="0.25">
      <c r="H10037" t="s">
        <v>30</v>
      </c>
    </row>
    <row r="10038" spans="8:8" x14ac:dyDescent="0.25">
      <c r="H10038" t="s">
        <v>138</v>
      </c>
    </row>
    <row r="10039" spans="8:8" x14ac:dyDescent="0.25">
      <c r="H10039" t="s">
        <v>12456</v>
      </c>
    </row>
    <row r="10040" spans="8:8" x14ac:dyDescent="0.25">
      <c r="H10040" t="s">
        <v>30</v>
      </c>
    </row>
    <row r="10042" spans="8:8" x14ac:dyDescent="0.25">
      <c r="H10042" t="s">
        <v>12457</v>
      </c>
    </row>
    <row r="10043" spans="8:8" x14ac:dyDescent="0.25">
      <c r="H10043" t="s">
        <v>12458</v>
      </c>
    </row>
    <row r="10044" spans="8:8" x14ac:dyDescent="0.25">
      <c r="H10044" t="s">
        <v>135</v>
      </c>
    </row>
    <row r="10045" spans="8:8" x14ac:dyDescent="0.25">
      <c r="H10045" t="s">
        <v>12459</v>
      </c>
    </row>
    <row r="10046" spans="8:8" x14ac:dyDescent="0.25">
      <c r="H10046" t="s">
        <v>30</v>
      </c>
    </row>
    <row r="10047" spans="8:8" x14ac:dyDescent="0.25">
      <c r="H10047" t="s">
        <v>136</v>
      </c>
    </row>
    <row r="10048" spans="8:8" x14ac:dyDescent="0.25">
      <c r="H10048" t="s">
        <v>12460</v>
      </c>
    </row>
    <row r="10049" spans="8:8" x14ac:dyDescent="0.25">
      <c r="H10049" t="s">
        <v>30</v>
      </c>
    </row>
    <row r="10050" spans="8:8" x14ac:dyDescent="0.25">
      <c r="H10050" t="s">
        <v>137</v>
      </c>
    </row>
    <row r="10051" spans="8:8" x14ac:dyDescent="0.25">
      <c r="H10051" t="s">
        <v>12461</v>
      </c>
    </row>
    <row r="10052" spans="8:8" x14ac:dyDescent="0.25">
      <c r="H10052" t="s">
        <v>30</v>
      </c>
    </row>
    <row r="10053" spans="8:8" x14ac:dyDescent="0.25">
      <c r="H10053" t="s">
        <v>138</v>
      </c>
    </row>
    <row r="10054" spans="8:8" x14ac:dyDescent="0.25">
      <c r="H10054" t="s">
        <v>12462</v>
      </c>
    </row>
    <row r="10055" spans="8:8" x14ac:dyDescent="0.25">
      <c r="H10055" t="s">
        <v>30</v>
      </c>
    </row>
    <row r="10057" spans="8:8" x14ac:dyDescent="0.25">
      <c r="H10057" t="s">
        <v>12463</v>
      </c>
    </row>
    <row r="10058" spans="8:8" x14ac:dyDescent="0.25">
      <c r="H10058" t="s">
        <v>12464</v>
      </c>
    </row>
    <row r="10059" spans="8:8" x14ac:dyDescent="0.25">
      <c r="H10059" t="s">
        <v>135</v>
      </c>
    </row>
    <row r="10060" spans="8:8" x14ac:dyDescent="0.25">
      <c r="H10060" t="s">
        <v>12465</v>
      </c>
    </row>
    <row r="10061" spans="8:8" x14ac:dyDescent="0.25">
      <c r="H10061" t="s">
        <v>30</v>
      </c>
    </row>
    <row r="10062" spans="8:8" x14ac:dyDescent="0.25">
      <c r="H10062" t="s">
        <v>136</v>
      </c>
    </row>
    <row r="10063" spans="8:8" x14ac:dyDescent="0.25">
      <c r="H10063" t="s">
        <v>12466</v>
      </c>
    </row>
    <row r="10064" spans="8:8" x14ac:dyDescent="0.25">
      <c r="H10064" t="s">
        <v>30</v>
      </c>
    </row>
    <row r="10065" spans="8:8" x14ac:dyDescent="0.25">
      <c r="H10065" t="s">
        <v>137</v>
      </c>
    </row>
    <row r="10066" spans="8:8" x14ac:dyDescent="0.25">
      <c r="H10066" t="s">
        <v>12467</v>
      </c>
    </row>
    <row r="10067" spans="8:8" x14ac:dyDescent="0.25">
      <c r="H10067" t="s">
        <v>30</v>
      </c>
    </row>
    <row r="10068" spans="8:8" x14ac:dyDescent="0.25">
      <c r="H10068" t="s">
        <v>138</v>
      </c>
    </row>
    <row r="10069" spans="8:8" x14ac:dyDescent="0.25">
      <c r="H10069" t="s">
        <v>12468</v>
      </c>
    </row>
    <row r="10070" spans="8:8" x14ac:dyDescent="0.25">
      <c r="H10070" t="s">
        <v>30</v>
      </c>
    </row>
    <row r="10072" spans="8:8" x14ac:dyDescent="0.25">
      <c r="H10072" t="s">
        <v>12469</v>
      </c>
    </row>
    <row r="10073" spans="8:8" x14ac:dyDescent="0.25">
      <c r="H10073" t="s">
        <v>12470</v>
      </c>
    </row>
    <row r="10074" spans="8:8" x14ac:dyDescent="0.25">
      <c r="H10074" t="s">
        <v>135</v>
      </c>
    </row>
    <row r="10075" spans="8:8" x14ac:dyDescent="0.25">
      <c r="H10075" t="s">
        <v>12471</v>
      </c>
    </row>
    <row r="10076" spans="8:8" x14ac:dyDescent="0.25">
      <c r="H10076" t="s">
        <v>30</v>
      </c>
    </row>
    <row r="10077" spans="8:8" x14ac:dyDescent="0.25">
      <c r="H10077" t="s">
        <v>136</v>
      </c>
    </row>
    <row r="10078" spans="8:8" x14ac:dyDescent="0.25">
      <c r="H10078" t="s">
        <v>12472</v>
      </c>
    </row>
    <row r="10079" spans="8:8" x14ac:dyDescent="0.25">
      <c r="H10079" t="s">
        <v>30</v>
      </c>
    </row>
    <row r="10080" spans="8:8" x14ac:dyDescent="0.25">
      <c r="H10080" t="s">
        <v>137</v>
      </c>
    </row>
    <row r="10081" spans="8:8" x14ac:dyDescent="0.25">
      <c r="H10081" t="s">
        <v>12473</v>
      </c>
    </row>
    <row r="10082" spans="8:8" x14ac:dyDescent="0.25">
      <c r="H10082" t="s">
        <v>30</v>
      </c>
    </row>
    <row r="10083" spans="8:8" x14ac:dyDescent="0.25">
      <c r="H10083" t="s">
        <v>138</v>
      </c>
    </row>
    <row r="10084" spans="8:8" x14ac:dyDescent="0.25">
      <c r="H10084" t="s">
        <v>12474</v>
      </c>
    </row>
    <row r="10085" spans="8:8" x14ac:dyDescent="0.25">
      <c r="H10085" t="s">
        <v>30</v>
      </c>
    </row>
    <row r="10087" spans="8:8" x14ac:dyDescent="0.25">
      <c r="H10087" t="s">
        <v>12475</v>
      </c>
    </row>
    <row r="10088" spans="8:8" x14ac:dyDescent="0.25">
      <c r="H10088" t="s">
        <v>12476</v>
      </c>
    </row>
    <row r="10089" spans="8:8" x14ac:dyDescent="0.25">
      <c r="H10089" t="s">
        <v>135</v>
      </c>
    </row>
    <row r="10090" spans="8:8" x14ac:dyDescent="0.25">
      <c r="H10090" t="s">
        <v>12477</v>
      </c>
    </row>
    <row r="10091" spans="8:8" x14ac:dyDescent="0.25">
      <c r="H10091" t="s">
        <v>30</v>
      </c>
    </row>
    <row r="10092" spans="8:8" x14ac:dyDescent="0.25">
      <c r="H10092" t="s">
        <v>136</v>
      </c>
    </row>
    <row r="10093" spans="8:8" x14ac:dyDescent="0.25">
      <c r="H10093" t="s">
        <v>12478</v>
      </c>
    </row>
    <row r="10094" spans="8:8" x14ac:dyDescent="0.25">
      <c r="H10094" t="s">
        <v>30</v>
      </c>
    </row>
    <row r="10095" spans="8:8" x14ac:dyDescent="0.25">
      <c r="H10095" t="s">
        <v>137</v>
      </c>
    </row>
    <row r="10096" spans="8:8" x14ac:dyDescent="0.25">
      <c r="H10096" t="s">
        <v>12479</v>
      </c>
    </row>
    <row r="10097" spans="8:8" x14ac:dyDescent="0.25">
      <c r="H10097" t="s">
        <v>30</v>
      </c>
    </row>
    <row r="10098" spans="8:8" x14ac:dyDescent="0.25">
      <c r="H10098" t="s">
        <v>138</v>
      </c>
    </row>
    <row r="10099" spans="8:8" x14ac:dyDescent="0.25">
      <c r="H10099" t="s">
        <v>12480</v>
      </c>
    </row>
    <row r="10100" spans="8:8" x14ac:dyDescent="0.25">
      <c r="H10100" t="s">
        <v>30</v>
      </c>
    </row>
    <row r="10102" spans="8:8" x14ac:dyDescent="0.25">
      <c r="H10102" t="s">
        <v>12481</v>
      </c>
    </row>
    <row r="10103" spans="8:8" x14ac:dyDescent="0.25">
      <c r="H10103" t="s">
        <v>12482</v>
      </c>
    </row>
    <row r="10104" spans="8:8" x14ac:dyDescent="0.25">
      <c r="H10104" t="s">
        <v>135</v>
      </c>
    </row>
    <row r="10105" spans="8:8" x14ac:dyDescent="0.25">
      <c r="H10105" t="s">
        <v>12483</v>
      </c>
    </row>
    <row r="10106" spans="8:8" x14ac:dyDescent="0.25">
      <c r="H10106" t="s">
        <v>30</v>
      </c>
    </row>
    <row r="10107" spans="8:8" x14ac:dyDescent="0.25">
      <c r="H10107" t="s">
        <v>136</v>
      </c>
    </row>
    <row r="10108" spans="8:8" x14ac:dyDescent="0.25">
      <c r="H10108" t="s">
        <v>12484</v>
      </c>
    </row>
    <row r="10109" spans="8:8" x14ac:dyDescent="0.25">
      <c r="H10109" t="s">
        <v>30</v>
      </c>
    </row>
    <row r="10110" spans="8:8" x14ac:dyDescent="0.25">
      <c r="H10110" t="s">
        <v>137</v>
      </c>
    </row>
    <row r="10111" spans="8:8" x14ac:dyDescent="0.25">
      <c r="H10111" t="s">
        <v>12485</v>
      </c>
    </row>
    <row r="10112" spans="8:8" x14ac:dyDescent="0.25">
      <c r="H10112" t="s">
        <v>30</v>
      </c>
    </row>
    <row r="10113" spans="8:8" x14ac:dyDescent="0.25">
      <c r="H10113" t="s">
        <v>138</v>
      </c>
    </row>
    <row r="10114" spans="8:8" x14ac:dyDescent="0.25">
      <c r="H10114" t="s">
        <v>12486</v>
      </c>
    </row>
    <row r="10115" spans="8:8" x14ac:dyDescent="0.25">
      <c r="H10115" t="s">
        <v>30</v>
      </c>
    </row>
    <row r="10117" spans="8:8" x14ac:dyDescent="0.25">
      <c r="H10117" t="s">
        <v>12487</v>
      </c>
    </row>
    <row r="10118" spans="8:8" x14ac:dyDescent="0.25">
      <c r="H10118" t="s">
        <v>12488</v>
      </c>
    </row>
    <row r="10119" spans="8:8" x14ac:dyDescent="0.25">
      <c r="H10119" t="s">
        <v>135</v>
      </c>
    </row>
    <row r="10120" spans="8:8" x14ac:dyDescent="0.25">
      <c r="H10120" t="s">
        <v>12489</v>
      </c>
    </row>
    <row r="10121" spans="8:8" x14ac:dyDescent="0.25">
      <c r="H10121" t="s">
        <v>30</v>
      </c>
    </row>
    <row r="10122" spans="8:8" x14ac:dyDescent="0.25">
      <c r="H10122" t="s">
        <v>136</v>
      </c>
    </row>
    <row r="10123" spans="8:8" x14ac:dyDescent="0.25">
      <c r="H10123" t="s">
        <v>12490</v>
      </c>
    </row>
    <row r="10124" spans="8:8" x14ac:dyDescent="0.25">
      <c r="H10124" t="s">
        <v>30</v>
      </c>
    </row>
    <row r="10125" spans="8:8" x14ac:dyDescent="0.25">
      <c r="H10125" t="s">
        <v>137</v>
      </c>
    </row>
    <row r="10126" spans="8:8" x14ac:dyDescent="0.25">
      <c r="H10126" t="s">
        <v>12491</v>
      </c>
    </row>
    <row r="10127" spans="8:8" x14ac:dyDescent="0.25">
      <c r="H10127" t="s">
        <v>30</v>
      </c>
    </row>
    <row r="10128" spans="8:8" x14ac:dyDescent="0.25">
      <c r="H10128" t="s">
        <v>138</v>
      </c>
    </row>
    <row r="10129" spans="8:8" x14ac:dyDescent="0.25">
      <c r="H10129" t="s">
        <v>12492</v>
      </c>
    </row>
    <row r="10130" spans="8:8" x14ac:dyDescent="0.25">
      <c r="H10130" t="s">
        <v>30</v>
      </c>
    </row>
    <row r="10132" spans="8:8" x14ac:dyDescent="0.25">
      <c r="H10132" t="s">
        <v>12493</v>
      </c>
    </row>
    <row r="10133" spans="8:8" x14ac:dyDescent="0.25">
      <c r="H10133" t="s">
        <v>12494</v>
      </c>
    </row>
    <row r="10134" spans="8:8" x14ac:dyDescent="0.25">
      <c r="H10134" t="s">
        <v>135</v>
      </c>
    </row>
    <row r="10135" spans="8:8" x14ac:dyDescent="0.25">
      <c r="H10135" t="s">
        <v>12495</v>
      </c>
    </row>
    <row r="10136" spans="8:8" x14ac:dyDescent="0.25">
      <c r="H10136" t="s">
        <v>30</v>
      </c>
    </row>
    <row r="10137" spans="8:8" x14ac:dyDescent="0.25">
      <c r="H10137" t="s">
        <v>136</v>
      </c>
    </row>
    <row r="10138" spans="8:8" x14ac:dyDescent="0.25">
      <c r="H10138" t="s">
        <v>12496</v>
      </c>
    </row>
    <row r="10139" spans="8:8" x14ac:dyDescent="0.25">
      <c r="H10139" t="s">
        <v>30</v>
      </c>
    </row>
    <row r="10140" spans="8:8" x14ac:dyDescent="0.25">
      <c r="H10140" t="s">
        <v>137</v>
      </c>
    </row>
    <row r="10141" spans="8:8" x14ac:dyDescent="0.25">
      <c r="H10141" t="s">
        <v>12497</v>
      </c>
    </row>
    <row r="10142" spans="8:8" x14ac:dyDescent="0.25">
      <c r="H10142" t="s">
        <v>30</v>
      </c>
    </row>
    <row r="10143" spans="8:8" x14ac:dyDescent="0.25">
      <c r="H10143" t="s">
        <v>138</v>
      </c>
    </row>
    <row r="10144" spans="8:8" x14ac:dyDescent="0.25">
      <c r="H10144" t="s">
        <v>12498</v>
      </c>
    </row>
    <row r="10145" spans="8:8" x14ac:dyDescent="0.25">
      <c r="H10145" t="s">
        <v>30</v>
      </c>
    </row>
    <row r="10147" spans="8:8" x14ac:dyDescent="0.25">
      <c r="H10147" t="s">
        <v>12499</v>
      </c>
    </row>
    <row r="10148" spans="8:8" x14ac:dyDescent="0.25">
      <c r="H10148" t="s">
        <v>12500</v>
      </c>
    </row>
    <row r="10149" spans="8:8" x14ac:dyDescent="0.25">
      <c r="H10149" t="s">
        <v>135</v>
      </c>
    </row>
    <row r="10150" spans="8:8" x14ac:dyDescent="0.25">
      <c r="H10150" t="s">
        <v>12501</v>
      </c>
    </row>
    <row r="10151" spans="8:8" x14ac:dyDescent="0.25">
      <c r="H10151" t="s">
        <v>30</v>
      </c>
    </row>
    <row r="10152" spans="8:8" x14ac:dyDescent="0.25">
      <c r="H10152" t="s">
        <v>136</v>
      </c>
    </row>
    <row r="10153" spans="8:8" x14ac:dyDescent="0.25">
      <c r="H10153" t="s">
        <v>12502</v>
      </c>
    </row>
    <row r="10154" spans="8:8" x14ac:dyDescent="0.25">
      <c r="H10154" t="s">
        <v>30</v>
      </c>
    </row>
    <row r="10155" spans="8:8" x14ac:dyDescent="0.25">
      <c r="H10155" t="s">
        <v>137</v>
      </c>
    </row>
    <row r="10156" spans="8:8" x14ac:dyDescent="0.25">
      <c r="H10156" t="s">
        <v>12503</v>
      </c>
    </row>
    <row r="10157" spans="8:8" x14ac:dyDescent="0.25">
      <c r="H10157" t="s">
        <v>30</v>
      </c>
    </row>
    <row r="10158" spans="8:8" x14ac:dyDescent="0.25">
      <c r="H10158" t="s">
        <v>138</v>
      </c>
    </row>
    <row r="10159" spans="8:8" x14ac:dyDescent="0.25">
      <c r="H10159" t="s">
        <v>12504</v>
      </c>
    </row>
    <row r="10160" spans="8:8" x14ac:dyDescent="0.25">
      <c r="H10160" t="s">
        <v>30</v>
      </c>
    </row>
    <row r="10162" spans="8:8" x14ac:dyDescent="0.25">
      <c r="H10162" t="s">
        <v>12505</v>
      </c>
    </row>
    <row r="10163" spans="8:8" x14ac:dyDescent="0.25">
      <c r="H10163" t="s">
        <v>12506</v>
      </c>
    </row>
    <row r="10164" spans="8:8" x14ac:dyDescent="0.25">
      <c r="H10164" t="s">
        <v>135</v>
      </c>
    </row>
    <row r="10165" spans="8:8" x14ac:dyDescent="0.25">
      <c r="H10165" t="s">
        <v>12507</v>
      </c>
    </row>
    <row r="10166" spans="8:8" x14ac:dyDescent="0.25">
      <c r="H10166" t="s">
        <v>30</v>
      </c>
    </row>
    <row r="10167" spans="8:8" x14ac:dyDescent="0.25">
      <c r="H10167" t="s">
        <v>136</v>
      </c>
    </row>
    <row r="10168" spans="8:8" x14ac:dyDescent="0.25">
      <c r="H10168" t="s">
        <v>12508</v>
      </c>
    </row>
    <row r="10169" spans="8:8" x14ac:dyDescent="0.25">
      <c r="H10169" t="s">
        <v>30</v>
      </c>
    </row>
    <row r="10170" spans="8:8" x14ac:dyDescent="0.25">
      <c r="H10170" t="s">
        <v>137</v>
      </c>
    </row>
    <row r="10171" spans="8:8" x14ac:dyDescent="0.25">
      <c r="H10171" t="s">
        <v>12509</v>
      </c>
    </row>
    <row r="10172" spans="8:8" x14ac:dyDescent="0.25">
      <c r="H10172" t="s">
        <v>30</v>
      </c>
    </row>
    <row r="10173" spans="8:8" x14ac:dyDescent="0.25">
      <c r="H10173" t="s">
        <v>138</v>
      </c>
    </row>
    <row r="10174" spans="8:8" x14ac:dyDescent="0.25">
      <c r="H10174" t="s">
        <v>12510</v>
      </c>
    </row>
    <row r="10175" spans="8:8" x14ac:dyDescent="0.25">
      <c r="H10175" t="s">
        <v>30</v>
      </c>
    </row>
    <row r="10177" spans="8:8" x14ac:dyDescent="0.25">
      <c r="H10177" t="s">
        <v>12511</v>
      </c>
    </row>
    <row r="10178" spans="8:8" x14ac:dyDescent="0.25">
      <c r="H10178" t="s">
        <v>12512</v>
      </c>
    </row>
    <row r="10179" spans="8:8" x14ac:dyDescent="0.25">
      <c r="H10179" t="s">
        <v>135</v>
      </c>
    </row>
    <row r="10180" spans="8:8" x14ac:dyDescent="0.25">
      <c r="H10180" t="s">
        <v>12513</v>
      </c>
    </row>
    <row r="10181" spans="8:8" x14ac:dyDescent="0.25">
      <c r="H10181" t="s">
        <v>30</v>
      </c>
    </row>
    <row r="10182" spans="8:8" x14ac:dyDescent="0.25">
      <c r="H10182" t="s">
        <v>136</v>
      </c>
    </row>
    <row r="10183" spans="8:8" x14ac:dyDescent="0.25">
      <c r="H10183" t="s">
        <v>12514</v>
      </c>
    </row>
    <row r="10184" spans="8:8" x14ac:dyDescent="0.25">
      <c r="H10184" t="s">
        <v>30</v>
      </c>
    </row>
    <row r="10185" spans="8:8" x14ac:dyDescent="0.25">
      <c r="H10185" t="s">
        <v>137</v>
      </c>
    </row>
    <row r="10186" spans="8:8" x14ac:dyDescent="0.25">
      <c r="H10186" t="s">
        <v>12515</v>
      </c>
    </row>
    <row r="10187" spans="8:8" x14ac:dyDescent="0.25">
      <c r="H10187" t="s">
        <v>30</v>
      </c>
    </row>
    <row r="10188" spans="8:8" x14ac:dyDescent="0.25">
      <c r="H10188" t="s">
        <v>138</v>
      </c>
    </row>
    <row r="10189" spans="8:8" x14ac:dyDescent="0.25">
      <c r="H10189" t="s">
        <v>12516</v>
      </c>
    </row>
    <row r="10190" spans="8:8" x14ac:dyDescent="0.25">
      <c r="H10190" t="s">
        <v>30</v>
      </c>
    </row>
    <row r="10192" spans="8:8" x14ac:dyDescent="0.25">
      <c r="H10192" t="s">
        <v>12517</v>
      </c>
    </row>
    <row r="10193" spans="8:8" x14ac:dyDescent="0.25">
      <c r="H10193" t="s">
        <v>12518</v>
      </c>
    </row>
    <row r="10194" spans="8:8" x14ac:dyDescent="0.25">
      <c r="H10194" t="s">
        <v>135</v>
      </c>
    </row>
    <row r="10195" spans="8:8" x14ac:dyDescent="0.25">
      <c r="H10195" t="s">
        <v>12519</v>
      </c>
    </row>
    <row r="10196" spans="8:8" x14ac:dyDescent="0.25">
      <c r="H10196" t="s">
        <v>30</v>
      </c>
    </row>
    <row r="10197" spans="8:8" x14ac:dyDescent="0.25">
      <c r="H10197" t="s">
        <v>136</v>
      </c>
    </row>
    <row r="10198" spans="8:8" x14ac:dyDescent="0.25">
      <c r="H10198" t="s">
        <v>12520</v>
      </c>
    </row>
    <row r="10199" spans="8:8" x14ac:dyDescent="0.25">
      <c r="H10199" t="s">
        <v>30</v>
      </c>
    </row>
    <row r="10200" spans="8:8" x14ac:dyDescent="0.25">
      <c r="H10200" t="s">
        <v>137</v>
      </c>
    </row>
    <row r="10201" spans="8:8" x14ac:dyDescent="0.25">
      <c r="H10201" t="s">
        <v>12521</v>
      </c>
    </row>
    <row r="10202" spans="8:8" x14ac:dyDescent="0.25">
      <c r="H10202" t="s">
        <v>30</v>
      </c>
    </row>
    <row r="10203" spans="8:8" x14ac:dyDescent="0.25">
      <c r="H10203" t="s">
        <v>138</v>
      </c>
    </row>
    <row r="10204" spans="8:8" x14ac:dyDescent="0.25">
      <c r="H10204" t="s">
        <v>12522</v>
      </c>
    </row>
    <row r="10205" spans="8:8" x14ac:dyDescent="0.25">
      <c r="H10205" t="s">
        <v>30</v>
      </c>
    </row>
    <row r="10207" spans="8:8" x14ac:dyDescent="0.25">
      <c r="H10207" t="s">
        <v>12523</v>
      </c>
    </row>
    <row r="10208" spans="8:8" x14ac:dyDescent="0.25">
      <c r="H10208" t="s">
        <v>12524</v>
      </c>
    </row>
    <row r="10209" spans="8:8" x14ac:dyDescent="0.25">
      <c r="H10209" t="s">
        <v>135</v>
      </c>
    </row>
    <row r="10210" spans="8:8" x14ac:dyDescent="0.25">
      <c r="H10210" t="s">
        <v>12525</v>
      </c>
    </row>
    <row r="10211" spans="8:8" x14ac:dyDescent="0.25">
      <c r="H10211" t="s">
        <v>30</v>
      </c>
    </row>
    <row r="10212" spans="8:8" x14ac:dyDescent="0.25">
      <c r="H10212" t="s">
        <v>136</v>
      </c>
    </row>
    <row r="10213" spans="8:8" x14ac:dyDescent="0.25">
      <c r="H10213" t="s">
        <v>12526</v>
      </c>
    </row>
    <row r="10214" spans="8:8" x14ac:dyDescent="0.25">
      <c r="H10214" t="s">
        <v>30</v>
      </c>
    </row>
    <row r="10215" spans="8:8" x14ac:dyDescent="0.25">
      <c r="H10215" t="s">
        <v>137</v>
      </c>
    </row>
    <row r="10216" spans="8:8" x14ac:dyDescent="0.25">
      <c r="H10216" t="s">
        <v>12527</v>
      </c>
    </row>
    <row r="10217" spans="8:8" x14ac:dyDescent="0.25">
      <c r="H10217" t="s">
        <v>30</v>
      </c>
    </row>
    <row r="10218" spans="8:8" x14ac:dyDescent="0.25">
      <c r="H10218" t="s">
        <v>138</v>
      </c>
    </row>
    <row r="10219" spans="8:8" x14ac:dyDescent="0.25">
      <c r="H10219" t="s">
        <v>12528</v>
      </c>
    </row>
    <row r="10220" spans="8:8" x14ac:dyDescent="0.25">
      <c r="H10220" t="s">
        <v>30</v>
      </c>
    </row>
    <row r="10222" spans="8:8" x14ac:dyDescent="0.25">
      <c r="H10222" t="s">
        <v>12529</v>
      </c>
    </row>
    <row r="10223" spans="8:8" x14ac:dyDescent="0.25">
      <c r="H10223" t="s">
        <v>12530</v>
      </c>
    </row>
    <row r="10224" spans="8:8" x14ac:dyDescent="0.25">
      <c r="H10224" t="s">
        <v>135</v>
      </c>
    </row>
    <row r="10225" spans="8:8" x14ac:dyDescent="0.25">
      <c r="H10225" t="s">
        <v>12531</v>
      </c>
    </row>
    <row r="10226" spans="8:8" x14ac:dyDescent="0.25">
      <c r="H10226" t="s">
        <v>30</v>
      </c>
    </row>
    <row r="10227" spans="8:8" x14ac:dyDescent="0.25">
      <c r="H10227" t="s">
        <v>136</v>
      </c>
    </row>
    <row r="10228" spans="8:8" x14ac:dyDescent="0.25">
      <c r="H10228" t="s">
        <v>12532</v>
      </c>
    </row>
    <row r="10229" spans="8:8" x14ac:dyDescent="0.25">
      <c r="H10229" t="s">
        <v>30</v>
      </c>
    </row>
    <row r="10230" spans="8:8" x14ac:dyDescent="0.25">
      <c r="H10230" t="s">
        <v>137</v>
      </c>
    </row>
    <row r="10231" spans="8:8" x14ac:dyDescent="0.25">
      <c r="H10231" t="s">
        <v>12533</v>
      </c>
    </row>
    <row r="10232" spans="8:8" x14ac:dyDescent="0.25">
      <c r="H10232" t="s">
        <v>30</v>
      </c>
    </row>
    <row r="10233" spans="8:8" x14ac:dyDescent="0.25">
      <c r="H10233" t="s">
        <v>138</v>
      </c>
    </row>
    <row r="10234" spans="8:8" x14ac:dyDescent="0.25">
      <c r="H10234" t="s">
        <v>12534</v>
      </c>
    </row>
    <row r="10235" spans="8:8" x14ac:dyDescent="0.25">
      <c r="H10235" t="s">
        <v>30</v>
      </c>
    </row>
    <row r="10237" spans="8:8" x14ac:dyDescent="0.25">
      <c r="H10237" t="s">
        <v>12535</v>
      </c>
    </row>
    <row r="10238" spans="8:8" x14ac:dyDescent="0.25">
      <c r="H10238" t="s">
        <v>12536</v>
      </c>
    </row>
    <row r="10239" spans="8:8" x14ac:dyDescent="0.25">
      <c r="H10239" t="s">
        <v>135</v>
      </c>
    </row>
    <row r="10240" spans="8:8" x14ac:dyDescent="0.25">
      <c r="H10240" t="s">
        <v>12537</v>
      </c>
    </row>
    <row r="10241" spans="8:8" x14ac:dyDescent="0.25">
      <c r="H10241" t="s">
        <v>30</v>
      </c>
    </row>
    <row r="10242" spans="8:8" x14ac:dyDescent="0.25">
      <c r="H10242" t="s">
        <v>136</v>
      </c>
    </row>
    <row r="10243" spans="8:8" x14ac:dyDescent="0.25">
      <c r="H10243" t="s">
        <v>12538</v>
      </c>
    </row>
    <row r="10244" spans="8:8" x14ac:dyDescent="0.25">
      <c r="H10244" t="s">
        <v>30</v>
      </c>
    </row>
    <row r="10245" spans="8:8" x14ac:dyDescent="0.25">
      <c r="H10245" t="s">
        <v>137</v>
      </c>
    </row>
    <row r="10246" spans="8:8" x14ac:dyDescent="0.25">
      <c r="H10246" t="s">
        <v>12539</v>
      </c>
    </row>
    <row r="10247" spans="8:8" x14ac:dyDescent="0.25">
      <c r="H10247" t="s">
        <v>30</v>
      </c>
    </row>
    <row r="10248" spans="8:8" x14ac:dyDescent="0.25">
      <c r="H10248" t="s">
        <v>138</v>
      </c>
    </row>
    <row r="10249" spans="8:8" x14ac:dyDescent="0.25">
      <c r="H10249" t="s">
        <v>12540</v>
      </c>
    </row>
    <row r="10250" spans="8:8" x14ac:dyDescent="0.25">
      <c r="H10250" t="s">
        <v>30</v>
      </c>
    </row>
    <row r="10252" spans="8:8" x14ac:dyDescent="0.25">
      <c r="H10252" t="s">
        <v>12541</v>
      </c>
    </row>
    <row r="10253" spans="8:8" x14ac:dyDescent="0.25">
      <c r="H10253" t="s">
        <v>12542</v>
      </c>
    </row>
    <row r="10254" spans="8:8" x14ac:dyDescent="0.25">
      <c r="H10254" t="s">
        <v>135</v>
      </c>
    </row>
    <row r="10255" spans="8:8" x14ac:dyDescent="0.25">
      <c r="H10255" t="s">
        <v>12543</v>
      </c>
    </row>
    <row r="10256" spans="8:8" x14ac:dyDescent="0.25">
      <c r="H10256" t="s">
        <v>30</v>
      </c>
    </row>
    <row r="10257" spans="8:8" x14ac:dyDescent="0.25">
      <c r="H10257" t="s">
        <v>136</v>
      </c>
    </row>
    <row r="10258" spans="8:8" x14ac:dyDescent="0.25">
      <c r="H10258" t="s">
        <v>12544</v>
      </c>
    </row>
    <row r="10259" spans="8:8" x14ac:dyDescent="0.25">
      <c r="H10259" t="s">
        <v>30</v>
      </c>
    </row>
    <row r="10260" spans="8:8" x14ac:dyDescent="0.25">
      <c r="H10260" t="s">
        <v>137</v>
      </c>
    </row>
    <row r="10261" spans="8:8" x14ac:dyDescent="0.25">
      <c r="H10261" t="s">
        <v>12545</v>
      </c>
    </row>
    <row r="10262" spans="8:8" x14ac:dyDescent="0.25">
      <c r="H10262" t="s">
        <v>30</v>
      </c>
    </row>
    <row r="10263" spans="8:8" x14ac:dyDescent="0.25">
      <c r="H10263" t="s">
        <v>138</v>
      </c>
    </row>
    <row r="10264" spans="8:8" x14ac:dyDescent="0.25">
      <c r="H10264" t="s">
        <v>12546</v>
      </c>
    </row>
    <row r="10265" spans="8:8" x14ac:dyDescent="0.25">
      <c r="H10265" t="s">
        <v>30</v>
      </c>
    </row>
    <row r="10267" spans="8:8" x14ac:dyDescent="0.25">
      <c r="H10267" t="s">
        <v>12547</v>
      </c>
    </row>
    <row r="10268" spans="8:8" x14ac:dyDescent="0.25">
      <c r="H10268" t="s">
        <v>12548</v>
      </c>
    </row>
    <row r="10269" spans="8:8" x14ac:dyDescent="0.25">
      <c r="H10269" t="s">
        <v>135</v>
      </c>
    </row>
    <row r="10270" spans="8:8" x14ac:dyDescent="0.25">
      <c r="H10270" t="s">
        <v>12549</v>
      </c>
    </row>
    <row r="10271" spans="8:8" x14ac:dyDescent="0.25">
      <c r="H10271" t="s">
        <v>30</v>
      </c>
    </row>
    <row r="10272" spans="8:8" x14ac:dyDescent="0.25">
      <c r="H10272" t="s">
        <v>136</v>
      </c>
    </row>
    <row r="10273" spans="8:8" x14ac:dyDescent="0.25">
      <c r="H10273" t="s">
        <v>12550</v>
      </c>
    </row>
    <row r="10274" spans="8:8" x14ac:dyDescent="0.25">
      <c r="H10274" t="s">
        <v>30</v>
      </c>
    </row>
    <row r="10275" spans="8:8" x14ac:dyDescent="0.25">
      <c r="H10275" t="s">
        <v>137</v>
      </c>
    </row>
    <row r="10276" spans="8:8" x14ac:dyDescent="0.25">
      <c r="H10276" t="s">
        <v>12551</v>
      </c>
    </row>
    <row r="10277" spans="8:8" x14ac:dyDescent="0.25">
      <c r="H10277" t="s">
        <v>30</v>
      </c>
    </row>
    <row r="10278" spans="8:8" x14ac:dyDescent="0.25">
      <c r="H10278" t="s">
        <v>138</v>
      </c>
    </row>
    <row r="10279" spans="8:8" x14ac:dyDescent="0.25">
      <c r="H10279" t="s">
        <v>12552</v>
      </c>
    </row>
    <row r="10280" spans="8:8" x14ac:dyDescent="0.25">
      <c r="H10280" t="s">
        <v>30</v>
      </c>
    </row>
    <row r="10282" spans="8:8" x14ac:dyDescent="0.25">
      <c r="H10282" t="s">
        <v>12553</v>
      </c>
    </row>
    <row r="10283" spans="8:8" x14ac:dyDescent="0.25">
      <c r="H10283" t="s">
        <v>12554</v>
      </c>
    </row>
    <row r="10284" spans="8:8" x14ac:dyDescent="0.25">
      <c r="H10284" t="s">
        <v>135</v>
      </c>
    </row>
    <row r="10285" spans="8:8" x14ac:dyDescent="0.25">
      <c r="H10285" t="s">
        <v>12555</v>
      </c>
    </row>
    <row r="10286" spans="8:8" x14ac:dyDescent="0.25">
      <c r="H10286" t="s">
        <v>30</v>
      </c>
    </row>
    <row r="10287" spans="8:8" x14ac:dyDescent="0.25">
      <c r="H10287" t="s">
        <v>136</v>
      </c>
    </row>
    <row r="10288" spans="8:8" x14ac:dyDescent="0.25">
      <c r="H10288" t="s">
        <v>12556</v>
      </c>
    </row>
    <row r="10289" spans="8:8" x14ac:dyDescent="0.25">
      <c r="H10289" t="s">
        <v>30</v>
      </c>
    </row>
    <row r="10290" spans="8:8" x14ac:dyDescent="0.25">
      <c r="H10290" t="s">
        <v>137</v>
      </c>
    </row>
    <row r="10291" spans="8:8" x14ac:dyDescent="0.25">
      <c r="H10291" t="s">
        <v>12557</v>
      </c>
    </row>
    <row r="10292" spans="8:8" x14ac:dyDescent="0.25">
      <c r="H10292" t="s">
        <v>30</v>
      </c>
    </row>
    <row r="10293" spans="8:8" x14ac:dyDescent="0.25">
      <c r="H10293" t="s">
        <v>138</v>
      </c>
    </row>
    <row r="10294" spans="8:8" x14ac:dyDescent="0.25">
      <c r="H10294" t="s">
        <v>12558</v>
      </c>
    </row>
    <row r="10295" spans="8:8" x14ac:dyDescent="0.25">
      <c r="H10295" t="s">
        <v>30</v>
      </c>
    </row>
    <row r="10297" spans="8:8" x14ac:dyDescent="0.25">
      <c r="H10297" t="s">
        <v>12559</v>
      </c>
    </row>
    <row r="10298" spans="8:8" x14ac:dyDescent="0.25">
      <c r="H10298" t="s">
        <v>12560</v>
      </c>
    </row>
    <row r="10299" spans="8:8" x14ac:dyDescent="0.25">
      <c r="H10299" t="s">
        <v>135</v>
      </c>
    </row>
    <row r="10300" spans="8:8" x14ac:dyDescent="0.25">
      <c r="H10300" t="s">
        <v>12561</v>
      </c>
    </row>
    <row r="10301" spans="8:8" x14ac:dyDescent="0.25">
      <c r="H10301" t="s">
        <v>30</v>
      </c>
    </row>
    <row r="10302" spans="8:8" x14ac:dyDescent="0.25">
      <c r="H10302" t="s">
        <v>136</v>
      </c>
    </row>
    <row r="10303" spans="8:8" x14ac:dyDescent="0.25">
      <c r="H10303" t="s">
        <v>12562</v>
      </c>
    </row>
    <row r="10304" spans="8:8" x14ac:dyDescent="0.25">
      <c r="H10304" t="s">
        <v>30</v>
      </c>
    </row>
    <row r="10305" spans="8:8" x14ac:dyDescent="0.25">
      <c r="H10305" t="s">
        <v>137</v>
      </c>
    </row>
    <row r="10306" spans="8:8" x14ac:dyDescent="0.25">
      <c r="H10306" t="s">
        <v>12563</v>
      </c>
    </row>
    <row r="10307" spans="8:8" x14ac:dyDescent="0.25">
      <c r="H10307" t="s">
        <v>30</v>
      </c>
    </row>
    <row r="10308" spans="8:8" x14ac:dyDescent="0.25">
      <c r="H10308" t="s">
        <v>138</v>
      </c>
    </row>
    <row r="10309" spans="8:8" x14ac:dyDescent="0.25">
      <c r="H10309" t="s">
        <v>12564</v>
      </c>
    </row>
    <row r="10310" spans="8:8" x14ac:dyDescent="0.25">
      <c r="H10310" t="s">
        <v>30</v>
      </c>
    </row>
    <row r="10312" spans="8:8" x14ac:dyDescent="0.25">
      <c r="H10312" t="s">
        <v>12565</v>
      </c>
    </row>
    <row r="10313" spans="8:8" x14ac:dyDescent="0.25">
      <c r="H10313" t="s">
        <v>12566</v>
      </c>
    </row>
    <row r="10314" spans="8:8" x14ac:dyDescent="0.25">
      <c r="H10314" t="s">
        <v>135</v>
      </c>
    </row>
    <row r="10315" spans="8:8" x14ac:dyDescent="0.25">
      <c r="H10315" t="s">
        <v>12567</v>
      </c>
    </row>
    <row r="10316" spans="8:8" x14ac:dyDescent="0.25">
      <c r="H10316" t="s">
        <v>30</v>
      </c>
    </row>
    <row r="10317" spans="8:8" x14ac:dyDescent="0.25">
      <c r="H10317" t="s">
        <v>136</v>
      </c>
    </row>
    <row r="10318" spans="8:8" x14ac:dyDescent="0.25">
      <c r="H10318" t="s">
        <v>12568</v>
      </c>
    </row>
    <row r="10319" spans="8:8" x14ac:dyDescent="0.25">
      <c r="H10319" t="s">
        <v>30</v>
      </c>
    </row>
    <row r="10320" spans="8:8" x14ac:dyDescent="0.25">
      <c r="H10320" t="s">
        <v>137</v>
      </c>
    </row>
    <row r="10321" spans="8:8" x14ac:dyDescent="0.25">
      <c r="H10321" t="s">
        <v>12569</v>
      </c>
    </row>
    <row r="10322" spans="8:8" x14ac:dyDescent="0.25">
      <c r="H10322" t="s">
        <v>30</v>
      </c>
    </row>
    <row r="10323" spans="8:8" x14ac:dyDescent="0.25">
      <c r="H10323" t="s">
        <v>138</v>
      </c>
    </row>
    <row r="10324" spans="8:8" x14ac:dyDescent="0.25">
      <c r="H10324" t="s">
        <v>12570</v>
      </c>
    </row>
    <row r="10325" spans="8:8" x14ac:dyDescent="0.25">
      <c r="H10325" t="s">
        <v>30</v>
      </c>
    </row>
    <row r="10327" spans="8:8" x14ac:dyDescent="0.25">
      <c r="H10327" t="s">
        <v>12571</v>
      </c>
    </row>
    <row r="10328" spans="8:8" x14ac:dyDescent="0.25">
      <c r="H10328" t="s">
        <v>12572</v>
      </c>
    </row>
    <row r="10329" spans="8:8" x14ac:dyDescent="0.25">
      <c r="H10329" t="s">
        <v>135</v>
      </c>
    </row>
    <row r="10330" spans="8:8" x14ac:dyDescent="0.25">
      <c r="H10330" t="s">
        <v>12573</v>
      </c>
    </row>
    <row r="10331" spans="8:8" x14ac:dyDescent="0.25">
      <c r="H10331" t="s">
        <v>30</v>
      </c>
    </row>
    <row r="10332" spans="8:8" x14ac:dyDescent="0.25">
      <c r="H10332" t="s">
        <v>136</v>
      </c>
    </row>
    <row r="10333" spans="8:8" x14ac:dyDescent="0.25">
      <c r="H10333" t="s">
        <v>12574</v>
      </c>
    </row>
    <row r="10334" spans="8:8" x14ac:dyDescent="0.25">
      <c r="H10334" t="s">
        <v>30</v>
      </c>
    </row>
    <row r="10335" spans="8:8" x14ac:dyDescent="0.25">
      <c r="H10335" t="s">
        <v>137</v>
      </c>
    </row>
    <row r="10336" spans="8:8" x14ac:dyDescent="0.25">
      <c r="H10336" t="s">
        <v>12575</v>
      </c>
    </row>
    <row r="10337" spans="8:8" x14ac:dyDescent="0.25">
      <c r="H10337" t="s">
        <v>30</v>
      </c>
    </row>
    <row r="10338" spans="8:8" x14ac:dyDescent="0.25">
      <c r="H10338" t="s">
        <v>138</v>
      </c>
    </row>
    <row r="10339" spans="8:8" x14ac:dyDescent="0.25">
      <c r="H10339" t="s">
        <v>12576</v>
      </c>
    </row>
    <row r="10340" spans="8:8" x14ac:dyDescent="0.25">
      <c r="H10340" t="s">
        <v>30</v>
      </c>
    </row>
    <row r="10342" spans="8:8" x14ac:dyDescent="0.25">
      <c r="H10342" t="s">
        <v>12577</v>
      </c>
    </row>
    <row r="10343" spans="8:8" x14ac:dyDescent="0.25">
      <c r="H10343" t="s">
        <v>12578</v>
      </c>
    </row>
    <row r="10344" spans="8:8" x14ac:dyDescent="0.25">
      <c r="H10344" t="s">
        <v>135</v>
      </c>
    </row>
    <row r="10345" spans="8:8" x14ac:dyDescent="0.25">
      <c r="H10345" t="s">
        <v>12579</v>
      </c>
    </row>
    <row r="10346" spans="8:8" x14ac:dyDescent="0.25">
      <c r="H10346" t="s">
        <v>30</v>
      </c>
    </row>
    <row r="10347" spans="8:8" x14ac:dyDescent="0.25">
      <c r="H10347" t="s">
        <v>136</v>
      </c>
    </row>
    <row r="10348" spans="8:8" x14ac:dyDescent="0.25">
      <c r="H10348" t="s">
        <v>12580</v>
      </c>
    </row>
    <row r="10349" spans="8:8" x14ac:dyDescent="0.25">
      <c r="H10349" t="s">
        <v>30</v>
      </c>
    </row>
    <row r="10350" spans="8:8" x14ac:dyDescent="0.25">
      <c r="H10350" t="s">
        <v>137</v>
      </c>
    </row>
    <row r="10351" spans="8:8" x14ac:dyDescent="0.25">
      <c r="H10351" t="s">
        <v>12581</v>
      </c>
    </row>
    <row r="10352" spans="8:8" x14ac:dyDescent="0.25">
      <c r="H10352" t="s">
        <v>30</v>
      </c>
    </row>
    <row r="10353" spans="8:8" x14ac:dyDescent="0.25">
      <c r="H10353" t="s">
        <v>138</v>
      </c>
    </row>
    <row r="10354" spans="8:8" x14ac:dyDescent="0.25">
      <c r="H10354" t="s">
        <v>12582</v>
      </c>
    </row>
    <row r="10355" spans="8:8" x14ac:dyDescent="0.25">
      <c r="H10355" t="s">
        <v>30</v>
      </c>
    </row>
    <row r="10357" spans="8:8" x14ac:dyDescent="0.25">
      <c r="H10357" t="s">
        <v>12583</v>
      </c>
    </row>
    <row r="10358" spans="8:8" x14ac:dyDescent="0.25">
      <c r="H10358" t="s">
        <v>12584</v>
      </c>
    </row>
    <row r="10359" spans="8:8" x14ac:dyDescent="0.25">
      <c r="H10359" t="s">
        <v>135</v>
      </c>
    </row>
    <row r="10360" spans="8:8" x14ac:dyDescent="0.25">
      <c r="H10360" t="s">
        <v>12585</v>
      </c>
    </row>
    <row r="10361" spans="8:8" x14ac:dyDescent="0.25">
      <c r="H10361" t="s">
        <v>30</v>
      </c>
    </row>
    <row r="10362" spans="8:8" x14ac:dyDescent="0.25">
      <c r="H10362" t="s">
        <v>136</v>
      </c>
    </row>
    <row r="10363" spans="8:8" x14ac:dyDescent="0.25">
      <c r="H10363" t="s">
        <v>12586</v>
      </c>
    </row>
    <row r="10364" spans="8:8" x14ac:dyDescent="0.25">
      <c r="H10364" t="s">
        <v>30</v>
      </c>
    </row>
    <row r="10365" spans="8:8" x14ac:dyDescent="0.25">
      <c r="H10365" t="s">
        <v>137</v>
      </c>
    </row>
    <row r="10366" spans="8:8" x14ac:dyDescent="0.25">
      <c r="H10366" t="s">
        <v>12587</v>
      </c>
    </row>
    <row r="10367" spans="8:8" x14ac:dyDescent="0.25">
      <c r="H10367" t="s">
        <v>30</v>
      </c>
    </row>
    <row r="10368" spans="8:8" x14ac:dyDescent="0.25">
      <c r="H10368" t="s">
        <v>138</v>
      </c>
    </row>
    <row r="10369" spans="8:8" x14ac:dyDescent="0.25">
      <c r="H10369" t="s">
        <v>12588</v>
      </c>
    </row>
    <row r="10370" spans="8:8" x14ac:dyDescent="0.25">
      <c r="H10370" t="s">
        <v>30</v>
      </c>
    </row>
    <row r="10372" spans="8:8" x14ac:dyDescent="0.25">
      <c r="H10372" t="s">
        <v>12589</v>
      </c>
    </row>
    <row r="10373" spans="8:8" x14ac:dyDescent="0.25">
      <c r="H10373" t="s">
        <v>12590</v>
      </c>
    </row>
    <row r="10374" spans="8:8" x14ac:dyDescent="0.25">
      <c r="H10374" t="s">
        <v>135</v>
      </c>
    </row>
    <row r="10375" spans="8:8" x14ac:dyDescent="0.25">
      <c r="H10375" t="s">
        <v>12591</v>
      </c>
    </row>
    <row r="10376" spans="8:8" x14ac:dyDescent="0.25">
      <c r="H10376" t="s">
        <v>30</v>
      </c>
    </row>
    <row r="10377" spans="8:8" x14ac:dyDescent="0.25">
      <c r="H10377" t="s">
        <v>136</v>
      </c>
    </row>
    <row r="10378" spans="8:8" x14ac:dyDescent="0.25">
      <c r="H10378" t="s">
        <v>12592</v>
      </c>
    </row>
    <row r="10379" spans="8:8" x14ac:dyDescent="0.25">
      <c r="H10379" t="s">
        <v>30</v>
      </c>
    </row>
    <row r="10380" spans="8:8" x14ac:dyDescent="0.25">
      <c r="H10380" t="s">
        <v>137</v>
      </c>
    </row>
    <row r="10381" spans="8:8" x14ac:dyDescent="0.25">
      <c r="H10381" t="s">
        <v>12593</v>
      </c>
    </row>
    <row r="10382" spans="8:8" x14ac:dyDescent="0.25">
      <c r="H10382" t="s">
        <v>30</v>
      </c>
    </row>
    <row r="10383" spans="8:8" x14ac:dyDescent="0.25">
      <c r="H10383" t="s">
        <v>138</v>
      </c>
    </row>
    <row r="10384" spans="8:8" x14ac:dyDescent="0.25">
      <c r="H10384" t="s">
        <v>12594</v>
      </c>
    </row>
    <row r="10385" spans="8:8" x14ac:dyDescent="0.25">
      <c r="H10385" t="s">
        <v>30</v>
      </c>
    </row>
    <row r="10387" spans="8:8" x14ac:dyDescent="0.25">
      <c r="H10387" t="s">
        <v>12595</v>
      </c>
    </row>
    <row r="10388" spans="8:8" x14ac:dyDescent="0.25">
      <c r="H10388" t="s">
        <v>12596</v>
      </c>
    </row>
    <row r="10389" spans="8:8" x14ac:dyDescent="0.25">
      <c r="H10389" t="s">
        <v>135</v>
      </c>
    </row>
    <row r="10390" spans="8:8" x14ac:dyDescent="0.25">
      <c r="H10390" t="s">
        <v>12597</v>
      </c>
    </row>
    <row r="10391" spans="8:8" x14ac:dyDescent="0.25">
      <c r="H10391" t="s">
        <v>30</v>
      </c>
    </row>
    <row r="10392" spans="8:8" x14ac:dyDescent="0.25">
      <c r="H10392" t="s">
        <v>136</v>
      </c>
    </row>
    <row r="10393" spans="8:8" x14ac:dyDescent="0.25">
      <c r="H10393" t="s">
        <v>12598</v>
      </c>
    </row>
    <row r="10394" spans="8:8" x14ac:dyDescent="0.25">
      <c r="H10394" t="s">
        <v>30</v>
      </c>
    </row>
    <row r="10395" spans="8:8" x14ac:dyDescent="0.25">
      <c r="H10395" t="s">
        <v>137</v>
      </c>
    </row>
    <row r="10396" spans="8:8" x14ac:dyDescent="0.25">
      <c r="H10396" t="s">
        <v>12599</v>
      </c>
    </row>
    <row r="10397" spans="8:8" x14ac:dyDescent="0.25">
      <c r="H10397" t="s">
        <v>30</v>
      </c>
    </row>
    <row r="10398" spans="8:8" x14ac:dyDescent="0.25">
      <c r="H10398" t="s">
        <v>138</v>
      </c>
    </row>
    <row r="10399" spans="8:8" x14ac:dyDescent="0.25">
      <c r="H10399" t="s">
        <v>12600</v>
      </c>
    </row>
    <row r="10400" spans="8:8" x14ac:dyDescent="0.25">
      <c r="H10400" t="s">
        <v>30</v>
      </c>
    </row>
    <row r="10402" spans="8:8" x14ac:dyDescent="0.25">
      <c r="H10402" t="s">
        <v>12601</v>
      </c>
    </row>
    <row r="10403" spans="8:8" x14ac:dyDescent="0.25">
      <c r="H10403" t="s">
        <v>12602</v>
      </c>
    </row>
    <row r="10404" spans="8:8" x14ac:dyDescent="0.25">
      <c r="H10404" t="s">
        <v>135</v>
      </c>
    </row>
    <row r="10405" spans="8:8" x14ac:dyDescent="0.25">
      <c r="H10405" t="s">
        <v>12603</v>
      </c>
    </row>
    <row r="10406" spans="8:8" x14ac:dyDescent="0.25">
      <c r="H10406" t="s">
        <v>30</v>
      </c>
    </row>
    <row r="10407" spans="8:8" x14ac:dyDescent="0.25">
      <c r="H10407" t="s">
        <v>136</v>
      </c>
    </row>
    <row r="10408" spans="8:8" x14ac:dyDescent="0.25">
      <c r="H10408" t="s">
        <v>12604</v>
      </c>
    </row>
    <row r="10409" spans="8:8" x14ac:dyDescent="0.25">
      <c r="H10409" t="s">
        <v>30</v>
      </c>
    </row>
    <row r="10410" spans="8:8" x14ac:dyDescent="0.25">
      <c r="H10410" t="s">
        <v>137</v>
      </c>
    </row>
    <row r="10411" spans="8:8" x14ac:dyDescent="0.25">
      <c r="H10411" t="s">
        <v>12605</v>
      </c>
    </row>
    <row r="10412" spans="8:8" x14ac:dyDescent="0.25">
      <c r="H10412" t="s">
        <v>30</v>
      </c>
    </row>
    <row r="10413" spans="8:8" x14ac:dyDescent="0.25">
      <c r="H10413" t="s">
        <v>138</v>
      </c>
    </row>
    <row r="10414" spans="8:8" x14ac:dyDescent="0.25">
      <c r="H10414" t="s">
        <v>12606</v>
      </c>
    </row>
    <row r="10415" spans="8:8" x14ac:dyDescent="0.25">
      <c r="H10415" t="s">
        <v>30</v>
      </c>
    </row>
    <row r="10417" spans="8:8" x14ac:dyDescent="0.25">
      <c r="H10417" t="s">
        <v>12607</v>
      </c>
    </row>
    <row r="10418" spans="8:8" x14ac:dyDescent="0.25">
      <c r="H10418" t="s">
        <v>12608</v>
      </c>
    </row>
    <row r="10419" spans="8:8" x14ac:dyDescent="0.25">
      <c r="H10419" t="s">
        <v>135</v>
      </c>
    </row>
    <row r="10420" spans="8:8" x14ac:dyDescent="0.25">
      <c r="H10420" t="s">
        <v>12609</v>
      </c>
    </row>
    <row r="10421" spans="8:8" x14ac:dyDescent="0.25">
      <c r="H10421" t="s">
        <v>30</v>
      </c>
    </row>
    <row r="10422" spans="8:8" x14ac:dyDescent="0.25">
      <c r="H10422" t="s">
        <v>136</v>
      </c>
    </row>
    <row r="10423" spans="8:8" x14ac:dyDescent="0.25">
      <c r="H10423" t="s">
        <v>12610</v>
      </c>
    </row>
    <row r="10424" spans="8:8" x14ac:dyDescent="0.25">
      <c r="H10424" t="s">
        <v>30</v>
      </c>
    </row>
    <row r="10425" spans="8:8" x14ac:dyDescent="0.25">
      <c r="H10425" t="s">
        <v>137</v>
      </c>
    </row>
    <row r="10426" spans="8:8" x14ac:dyDescent="0.25">
      <c r="H10426" t="s">
        <v>12611</v>
      </c>
    </row>
    <row r="10427" spans="8:8" x14ac:dyDescent="0.25">
      <c r="H10427" t="s">
        <v>30</v>
      </c>
    </row>
    <row r="10428" spans="8:8" x14ac:dyDescent="0.25">
      <c r="H10428" t="s">
        <v>138</v>
      </c>
    </row>
    <row r="10429" spans="8:8" x14ac:dyDescent="0.25">
      <c r="H10429" t="s">
        <v>12612</v>
      </c>
    </row>
    <row r="10430" spans="8:8" x14ac:dyDescent="0.25">
      <c r="H10430" t="s">
        <v>30</v>
      </c>
    </row>
    <row r="10432" spans="8:8" x14ac:dyDescent="0.25">
      <c r="H10432" t="s">
        <v>12613</v>
      </c>
    </row>
    <row r="10433" spans="8:8" x14ac:dyDescent="0.25">
      <c r="H10433" t="s">
        <v>12614</v>
      </c>
    </row>
    <row r="10434" spans="8:8" x14ac:dyDescent="0.25">
      <c r="H10434" t="s">
        <v>135</v>
      </c>
    </row>
    <row r="10435" spans="8:8" x14ac:dyDescent="0.25">
      <c r="H10435" t="s">
        <v>12615</v>
      </c>
    </row>
    <row r="10436" spans="8:8" x14ac:dyDescent="0.25">
      <c r="H10436" t="s">
        <v>30</v>
      </c>
    </row>
    <row r="10437" spans="8:8" x14ac:dyDescent="0.25">
      <c r="H10437" t="s">
        <v>136</v>
      </c>
    </row>
    <row r="10438" spans="8:8" x14ac:dyDescent="0.25">
      <c r="H10438" t="s">
        <v>12616</v>
      </c>
    </row>
    <row r="10439" spans="8:8" x14ac:dyDescent="0.25">
      <c r="H10439" t="s">
        <v>30</v>
      </c>
    </row>
    <row r="10440" spans="8:8" x14ac:dyDescent="0.25">
      <c r="H10440" t="s">
        <v>137</v>
      </c>
    </row>
    <row r="10441" spans="8:8" x14ac:dyDescent="0.25">
      <c r="H10441" t="s">
        <v>12617</v>
      </c>
    </row>
    <row r="10442" spans="8:8" x14ac:dyDescent="0.25">
      <c r="H10442" t="s">
        <v>30</v>
      </c>
    </row>
    <row r="10443" spans="8:8" x14ac:dyDescent="0.25">
      <c r="H10443" t="s">
        <v>138</v>
      </c>
    </row>
    <row r="10444" spans="8:8" x14ac:dyDescent="0.25">
      <c r="H10444" t="s">
        <v>12618</v>
      </c>
    </row>
    <row r="10445" spans="8:8" x14ac:dyDescent="0.25">
      <c r="H10445" t="s">
        <v>30</v>
      </c>
    </row>
    <row r="10447" spans="8:8" x14ac:dyDescent="0.25">
      <c r="H10447" t="s">
        <v>12619</v>
      </c>
    </row>
    <row r="10448" spans="8:8" x14ac:dyDescent="0.25">
      <c r="H10448" t="s">
        <v>12620</v>
      </c>
    </row>
    <row r="10449" spans="8:8" x14ac:dyDescent="0.25">
      <c r="H10449" t="s">
        <v>135</v>
      </c>
    </row>
    <row r="10450" spans="8:8" x14ac:dyDescent="0.25">
      <c r="H10450" t="s">
        <v>12621</v>
      </c>
    </row>
    <row r="10451" spans="8:8" x14ac:dyDescent="0.25">
      <c r="H10451" t="s">
        <v>30</v>
      </c>
    </row>
    <row r="10452" spans="8:8" x14ac:dyDescent="0.25">
      <c r="H10452" t="s">
        <v>136</v>
      </c>
    </row>
    <row r="10453" spans="8:8" x14ac:dyDescent="0.25">
      <c r="H10453" t="s">
        <v>12622</v>
      </c>
    </row>
    <row r="10454" spans="8:8" x14ac:dyDescent="0.25">
      <c r="H10454" t="s">
        <v>30</v>
      </c>
    </row>
    <row r="10455" spans="8:8" x14ac:dyDescent="0.25">
      <c r="H10455" t="s">
        <v>137</v>
      </c>
    </row>
    <row r="10456" spans="8:8" x14ac:dyDescent="0.25">
      <c r="H10456" t="s">
        <v>12623</v>
      </c>
    </row>
    <row r="10457" spans="8:8" x14ac:dyDescent="0.25">
      <c r="H10457" t="s">
        <v>30</v>
      </c>
    </row>
    <row r="10458" spans="8:8" x14ac:dyDescent="0.25">
      <c r="H10458" t="s">
        <v>138</v>
      </c>
    </row>
    <row r="10459" spans="8:8" x14ac:dyDescent="0.25">
      <c r="H10459" t="s">
        <v>12624</v>
      </c>
    </row>
    <row r="10460" spans="8:8" x14ac:dyDescent="0.25">
      <c r="H10460" t="s">
        <v>30</v>
      </c>
    </row>
    <row r="10462" spans="8:8" x14ac:dyDescent="0.25">
      <c r="H10462" t="s">
        <v>12625</v>
      </c>
    </row>
    <row r="10463" spans="8:8" x14ac:dyDescent="0.25">
      <c r="H10463" t="s">
        <v>12626</v>
      </c>
    </row>
    <row r="10464" spans="8:8" x14ac:dyDescent="0.25">
      <c r="H10464" t="s">
        <v>135</v>
      </c>
    </row>
    <row r="10465" spans="8:8" x14ac:dyDescent="0.25">
      <c r="H10465" t="s">
        <v>12627</v>
      </c>
    </row>
    <row r="10466" spans="8:8" x14ac:dyDescent="0.25">
      <c r="H10466" t="s">
        <v>30</v>
      </c>
    </row>
    <row r="10467" spans="8:8" x14ac:dyDescent="0.25">
      <c r="H10467" t="s">
        <v>136</v>
      </c>
    </row>
    <row r="10468" spans="8:8" x14ac:dyDescent="0.25">
      <c r="H10468" t="s">
        <v>12628</v>
      </c>
    </row>
    <row r="10469" spans="8:8" x14ac:dyDescent="0.25">
      <c r="H10469" t="s">
        <v>30</v>
      </c>
    </row>
    <row r="10470" spans="8:8" x14ac:dyDescent="0.25">
      <c r="H10470" t="s">
        <v>137</v>
      </c>
    </row>
    <row r="10471" spans="8:8" x14ac:dyDescent="0.25">
      <c r="H10471" t="s">
        <v>12629</v>
      </c>
    </row>
    <row r="10472" spans="8:8" x14ac:dyDescent="0.25">
      <c r="H10472" t="s">
        <v>30</v>
      </c>
    </row>
    <row r="10473" spans="8:8" x14ac:dyDescent="0.25">
      <c r="H10473" t="s">
        <v>138</v>
      </c>
    </row>
    <row r="10474" spans="8:8" x14ac:dyDescent="0.25">
      <c r="H10474" t="s">
        <v>12630</v>
      </c>
    </row>
    <row r="10475" spans="8:8" x14ac:dyDescent="0.25">
      <c r="H10475" t="s">
        <v>30</v>
      </c>
    </row>
    <row r="10477" spans="8:8" x14ac:dyDescent="0.25">
      <c r="H10477" t="s">
        <v>12631</v>
      </c>
    </row>
    <row r="10478" spans="8:8" x14ac:dyDescent="0.25">
      <c r="H10478" t="s">
        <v>12632</v>
      </c>
    </row>
    <row r="10479" spans="8:8" x14ac:dyDescent="0.25">
      <c r="H10479" t="s">
        <v>135</v>
      </c>
    </row>
    <row r="10480" spans="8:8" x14ac:dyDescent="0.25">
      <c r="H10480" t="s">
        <v>12633</v>
      </c>
    </row>
    <row r="10481" spans="8:8" x14ac:dyDescent="0.25">
      <c r="H10481" t="s">
        <v>30</v>
      </c>
    </row>
    <row r="10482" spans="8:8" x14ac:dyDescent="0.25">
      <c r="H10482" t="s">
        <v>136</v>
      </c>
    </row>
    <row r="10483" spans="8:8" x14ac:dyDescent="0.25">
      <c r="H10483" t="s">
        <v>12634</v>
      </c>
    </row>
    <row r="10484" spans="8:8" x14ac:dyDescent="0.25">
      <c r="H10484" t="s">
        <v>30</v>
      </c>
    </row>
    <row r="10485" spans="8:8" x14ac:dyDescent="0.25">
      <c r="H10485" t="s">
        <v>137</v>
      </c>
    </row>
    <row r="10486" spans="8:8" x14ac:dyDescent="0.25">
      <c r="H10486" t="s">
        <v>12635</v>
      </c>
    </row>
    <row r="10487" spans="8:8" x14ac:dyDescent="0.25">
      <c r="H10487" t="s">
        <v>30</v>
      </c>
    </row>
    <row r="10488" spans="8:8" x14ac:dyDescent="0.25">
      <c r="H10488" t="s">
        <v>138</v>
      </c>
    </row>
    <row r="10489" spans="8:8" x14ac:dyDescent="0.25">
      <c r="H10489" t="s">
        <v>12636</v>
      </c>
    </row>
    <row r="10490" spans="8:8" x14ac:dyDescent="0.25">
      <c r="H10490" t="s">
        <v>30</v>
      </c>
    </row>
    <row r="10492" spans="8:8" x14ac:dyDescent="0.25">
      <c r="H10492" t="s">
        <v>12637</v>
      </c>
    </row>
    <row r="10493" spans="8:8" x14ac:dyDescent="0.25">
      <c r="H10493" t="s">
        <v>12638</v>
      </c>
    </row>
    <row r="10494" spans="8:8" x14ac:dyDescent="0.25">
      <c r="H10494" t="s">
        <v>135</v>
      </c>
    </row>
    <row r="10495" spans="8:8" x14ac:dyDescent="0.25">
      <c r="H10495" t="s">
        <v>12639</v>
      </c>
    </row>
    <row r="10496" spans="8:8" x14ac:dyDescent="0.25">
      <c r="H10496" t="s">
        <v>30</v>
      </c>
    </row>
    <row r="10497" spans="8:8" x14ac:dyDescent="0.25">
      <c r="H10497" t="s">
        <v>136</v>
      </c>
    </row>
    <row r="10498" spans="8:8" x14ac:dyDescent="0.25">
      <c r="H10498" t="s">
        <v>12640</v>
      </c>
    </row>
    <row r="10499" spans="8:8" x14ac:dyDescent="0.25">
      <c r="H10499" t="s">
        <v>30</v>
      </c>
    </row>
    <row r="10500" spans="8:8" x14ac:dyDescent="0.25">
      <c r="H10500" t="s">
        <v>137</v>
      </c>
    </row>
    <row r="10501" spans="8:8" x14ac:dyDescent="0.25">
      <c r="H10501" t="s">
        <v>12641</v>
      </c>
    </row>
    <row r="10502" spans="8:8" x14ac:dyDescent="0.25">
      <c r="H10502" t="s">
        <v>30</v>
      </c>
    </row>
    <row r="10503" spans="8:8" x14ac:dyDescent="0.25">
      <c r="H10503" t="s">
        <v>138</v>
      </c>
    </row>
    <row r="10504" spans="8:8" x14ac:dyDescent="0.25">
      <c r="H10504" t="s">
        <v>12642</v>
      </c>
    </row>
    <row r="10505" spans="8:8" x14ac:dyDescent="0.25">
      <c r="H10505" t="s">
        <v>30</v>
      </c>
    </row>
    <row r="10507" spans="8:8" x14ac:dyDescent="0.25">
      <c r="H10507" t="s">
        <v>12643</v>
      </c>
    </row>
    <row r="10508" spans="8:8" x14ac:dyDescent="0.25">
      <c r="H10508" t="s">
        <v>12644</v>
      </c>
    </row>
    <row r="10509" spans="8:8" x14ac:dyDescent="0.25">
      <c r="H10509" t="s">
        <v>135</v>
      </c>
    </row>
    <row r="10510" spans="8:8" x14ac:dyDescent="0.25">
      <c r="H10510" t="s">
        <v>12645</v>
      </c>
    </row>
    <row r="10511" spans="8:8" x14ac:dyDescent="0.25">
      <c r="H10511" t="s">
        <v>30</v>
      </c>
    </row>
    <row r="10512" spans="8:8" x14ac:dyDescent="0.25">
      <c r="H10512" t="s">
        <v>136</v>
      </c>
    </row>
    <row r="10513" spans="8:8" x14ac:dyDescent="0.25">
      <c r="H10513" t="s">
        <v>12646</v>
      </c>
    </row>
    <row r="10514" spans="8:8" x14ac:dyDescent="0.25">
      <c r="H10514" t="s">
        <v>30</v>
      </c>
    </row>
    <row r="10515" spans="8:8" x14ac:dyDescent="0.25">
      <c r="H10515" t="s">
        <v>137</v>
      </c>
    </row>
    <row r="10516" spans="8:8" x14ac:dyDescent="0.25">
      <c r="H10516" t="s">
        <v>12647</v>
      </c>
    </row>
    <row r="10517" spans="8:8" x14ac:dyDescent="0.25">
      <c r="H10517" t="s">
        <v>30</v>
      </c>
    </row>
    <row r="10518" spans="8:8" x14ac:dyDescent="0.25">
      <c r="H10518" t="s">
        <v>138</v>
      </c>
    </row>
    <row r="10519" spans="8:8" x14ac:dyDescent="0.25">
      <c r="H10519" t="s">
        <v>12648</v>
      </c>
    </row>
    <row r="10520" spans="8:8" x14ac:dyDescent="0.25">
      <c r="H10520" t="s">
        <v>30</v>
      </c>
    </row>
    <row r="10522" spans="8:8" x14ac:dyDescent="0.25">
      <c r="H10522" t="s">
        <v>12649</v>
      </c>
    </row>
    <row r="10523" spans="8:8" x14ac:dyDescent="0.25">
      <c r="H10523" t="s">
        <v>12650</v>
      </c>
    </row>
    <row r="10524" spans="8:8" x14ac:dyDescent="0.25">
      <c r="H10524" t="s">
        <v>135</v>
      </c>
    </row>
    <row r="10525" spans="8:8" x14ac:dyDescent="0.25">
      <c r="H10525" t="s">
        <v>12651</v>
      </c>
    </row>
    <row r="10526" spans="8:8" x14ac:dyDescent="0.25">
      <c r="H10526" t="s">
        <v>30</v>
      </c>
    </row>
    <row r="10527" spans="8:8" x14ac:dyDescent="0.25">
      <c r="H10527" t="s">
        <v>136</v>
      </c>
    </row>
    <row r="10528" spans="8:8" x14ac:dyDescent="0.25">
      <c r="H10528" t="s">
        <v>12652</v>
      </c>
    </row>
    <row r="10529" spans="8:8" x14ac:dyDescent="0.25">
      <c r="H10529" t="s">
        <v>30</v>
      </c>
    </row>
    <row r="10530" spans="8:8" x14ac:dyDescent="0.25">
      <c r="H10530" t="s">
        <v>137</v>
      </c>
    </row>
    <row r="10531" spans="8:8" x14ac:dyDescent="0.25">
      <c r="H10531" t="s">
        <v>12653</v>
      </c>
    </row>
    <row r="10532" spans="8:8" x14ac:dyDescent="0.25">
      <c r="H10532" t="s">
        <v>30</v>
      </c>
    </row>
    <row r="10533" spans="8:8" x14ac:dyDescent="0.25">
      <c r="H10533" t="s">
        <v>138</v>
      </c>
    </row>
    <row r="10534" spans="8:8" x14ac:dyDescent="0.25">
      <c r="H10534" t="s">
        <v>12654</v>
      </c>
    </row>
    <row r="10535" spans="8:8" x14ac:dyDescent="0.25">
      <c r="H10535" t="s">
        <v>30</v>
      </c>
    </row>
    <row r="10537" spans="8:8" x14ac:dyDescent="0.25">
      <c r="H10537" t="s">
        <v>12655</v>
      </c>
    </row>
    <row r="10538" spans="8:8" x14ac:dyDescent="0.25">
      <c r="H10538" t="s">
        <v>12656</v>
      </c>
    </row>
    <row r="10539" spans="8:8" x14ac:dyDescent="0.25">
      <c r="H10539" t="s">
        <v>135</v>
      </c>
    </row>
    <row r="10540" spans="8:8" x14ac:dyDescent="0.25">
      <c r="H10540" t="s">
        <v>12657</v>
      </c>
    </row>
    <row r="10541" spans="8:8" x14ac:dyDescent="0.25">
      <c r="H10541" t="s">
        <v>30</v>
      </c>
    </row>
    <row r="10542" spans="8:8" x14ac:dyDescent="0.25">
      <c r="H10542" t="s">
        <v>136</v>
      </c>
    </row>
    <row r="10543" spans="8:8" x14ac:dyDescent="0.25">
      <c r="H10543" t="s">
        <v>12658</v>
      </c>
    </row>
    <row r="10544" spans="8:8" x14ac:dyDescent="0.25">
      <c r="H10544" t="s">
        <v>30</v>
      </c>
    </row>
    <row r="10545" spans="8:8" x14ac:dyDescent="0.25">
      <c r="H10545" t="s">
        <v>137</v>
      </c>
    </row>
    <row r="10546" spans="8:8" x14ac:dyDescent="0.25">
      <c r="H10546" t="s">
        <v>12659</v>
      </c>
    </row>
    <row r="10547" spans="8:8" x14ac:dyDescent="0.25">
      <c r="H10547" t="s">
        <v>30</v>
      </c>
    </row>
    <row r="10548" spans="8:8" x14ac:dyDescent="0.25">
      <c r="H10548" t="s">
        <v>138</v>
      </c>
    </row>
    <row r="10549" spans="8:8" x14ac:dyDescent="0.25">
      <c r="H10549" t="s">
        <v>12660</v>
      </c>
    </row>
    <row r="10550" spans="8:8" x14ac:dyDescent="0.25">
      <c r="H10550" t="s">
        <v>30</v>
      </c>
    </row>
    <row r="10552" spans="8:8" x14ac:dyDescent="0.25">
      <c r="H10552" t="s">
        <v>12661</v>
      </c>
    </row>
    <row r="10553" spans="8:8" x14ac:dyDescent="0.25">
      <c r="H10553" t="s">
        <v>12662</v>
      </c>
    </row>
    <row r="10554" spans="8:8" x14ac:dyDescent="0.25">
      <c r="H10554" t="s">
        <v>135</v>
      </c>
    </row>
    <row r="10555" spans="8:8" x14ac:dyDescent="0.25">
      <c r="H10555" t="s">
        <v>12663</v>
      </c>
    </row>
    <row r="10556" spans="8:8" x14ac:dyDescent="0.25">
      <c r="H10556" t="s">
        <v>30</v>
      </c>
    </row>
    <row r="10557" spans="8:8" x14ac:dyDescent="0.25">
      <c r="H10557" t="s">
        <v>136</v>
      </c>
    </row>
    <row r="10558" spans="8:8" x14ac:dyDescent="0.25">
      <c r="H10558" t="s">
        <v>12664</v>
      </c>
    </row>
    <row r="10559" spans="8:8" x14ac:dyDescent="0.25">
      <c r="H10559" t="s">
        <v>30</v>
      </c>
    </row>
    <row r="10560" spans="8:8" x14ac:dyDescent="0.25">
      <c r="H10560" t="s">
        <v>137</v>
      </c>
    </row>
    <row r="10561" spans="8:8" x14ac:dyDescent="0.25">
      <c r="H10561" t="s">
        <v>12665</v>
      </c>
    </row>
    <row r="10562" spans="8:8" x14ac:dyDescent="0.25">
      <c r="H10562" t="s">
        <v>30</v>
      </c>
    </row>
    <row r="10563" spans="8:8" x14ac:dyDescent="0.25">
      <c r="H10563" t="s">
        <v>138</v>
      </c>
    </row>
    <row r="10564" spans="8:8" x14ac:dyDescent="0.25">
      <c r="H10564" t="s">
        <v>12666</v>
      </c>
    </row>
    <row r="10565" spans="8:8" x14ac:dyDescent="0.25">
      <c r="H10565" t="s">
        <v>30</v>
      </c>
    </row>
    <row r="10567" spans="8:8" x14ac:dyDescent="0.25">
      <c r="H10567" t="s">
        <v>12667</v>
      </c>
    </row>
    <row r="10568" spans="8:8" x14ac:dyDescent="0.25">
      <c r="H10568" t="s">
        <v>12668</v>
      </c>
    </row>
    <row r="10569" spans="8:8" x14ac:dyDescent="0.25">
      <c r="H10569" t="s">
        <v>135</v>
      </c>
    </row>
    <row r="10570" spans="8:8" x14ac:dyDescent="0.25">
      <c r="H10570" t="s">
        <v>12669</v>
      </c>
    </row>
    <row r="10571" spans="8:8" x14ac:dyDescent="0.25">
      <c r="H10571" t="s">
        <v>30</v>
      </c>
    </row>
    <row r="10572" spans="8:8" x14ac:dyDescent="0.25">
      <c r="H10572" t="s">
        <v>136</v>
      </c>
    </row>
    <row r="10573" spans="8:8" x14ac:dyDescent="0.25">
      <c r="H10573" t="s">
        <v>12670</v>
      </c>
    </row>
    <row r="10574" spans="8:8" x14ac:dyDescent="0.25">
      <c r="H10574" t="s">
        <v>30</v>
      </c>
    </row>
    <row r="10575" spans="8:8" x14ac:dyDescent="0.25">
      <c r="H10575" t="s">
        <v>137</v>
      </c>
    </row>
    <row r="10576" spans="8:8" x14ac:dyDescent="0.25">
      <c r="H10576" t="s">
        <v>12671</v>
      </c>
    </row>
    <row r="10577" spans="8:8" x14ac:dyDescent="0.25">
      <c r="H10577" t="s">
        <v>30</v>
      </c>
    </row>
    <row r="10578" spans="8:8" x14ac:dyDescent="0.25">
      <c r="H10578" t="s">
        <v>138</v>
      </c>
    </row>
    <row r="10579" spans="8:8" x14ac:dyDescent="0.25">
      <c r="H10579" t="s">
        <v>12672</v>
      </c>
    </row>
    <row r="10580" spans="8:8" x14ac:dyDescent="0.25">
      <c r="H10580" t="s">
        <v>30</v>
      </c>
    </row>
    <row r="10582" spans="8:8" x14ac:dyDescent="0.25">
      <c r="H10582" t="s">
        <v>12673</v>
      </c>
    </row>
    <row r="10583" spans="8:8" x14ac:dyDescent="0.25">
      <c r="H10583" t="s">
        <v>12674</v>
      </c>
    </row>
    <row r="10584" spans="8:8" x14ac:dyDescent="0.25">
      <c r="H10584" t="s">
        <v>135</v>
      </c>
    </row>
    <row r="10585" spans="8:8" x14ac:dyDescent="0.25">
      <c r="H10585" t="s">
        <v>12675</v>
      </c>
    </row>
    <row r="10586" spans="8:8" x14ac:dyDescent="0.25">
      <c r="H10586" t="s">
        <v>30</v>
      </c>
    </row>
    <row r="10587" spans="8:8" x14ac:dyDescent="0.25">
      <c r="H10587" t="s">
        <v>136</v>
      </c>
    </row>
    <row r="10588" spans="8:8" x14ac:dyDescent="0.25">
      <c r="H10588" t="s">
        <v>12676</v>
      </c>
    </row>
    <row r="10589" spans="8:8" x14ac:dyDescent="0.25">
      <c r="H10589" t="s">
        <v>30</v>
      </c>
    </row>
    <row r="10590" spans="8:8" x14ac:dyDescent="0.25">
      <c r="H10590" t="s">
        <v>137</v>
      </c>
    </row>
    <row r="10591" spans="8:8" x14ac:dyDescent="0.25">
      <c r="H10591" t="s">
        <v>12677</v>
      </c>
    </row>
    <row r="10592" spans="8:8" x14ac:dyDescent="0.25">
      <c r="H10592" t="s">
        <v>30</v>
      </c>
    </row>
    <row r="10593" spans="8:8" x14ac:dyDescent="0.25">
      <c r="H10593" t="s">
        <v>138</v>
      </c>
    </row>
    <row r="10594" spans="8:8" x14ac:dyDescent="0.25">
      <c r="H10594" t="s">
        <v>12678</v>
      </c>
    </row>
    <row r="10595" spans="8:8" x14ac:dyDescent="0.25">
      <c r="H10595" t="s">
        <v>30</v>
      </c>
    </row>
    <row r="10597" spans="8:8" x14ac:dyDescent="0.25">
      <c r="H10597" t="s">
        <v>12679</v>
      </c>
    </row>
    <row r="10598" spans="8:8" x14ac:dyDescent="0.25">
      <c r="H10598" t="s">
        <v>12680</v>
      </c>
    </row>
    <row r="10599" spans="8:8" x14ac:dyDescent="0.25">
      <c r="H10599" t="s">
        <v>135</v>
      </c>
    </row>
    <row r="10600" spans="8:8" x14ac:dyDescent="0.25">
      <c r="H10600" t="s">
        <v>12681</v>
      </c>
    </row>
    <row r="10601" spans="8:8" x14ac:dyDescent="0.25">
      <c r="H10601" t="s">
        <v>30</v>
      </c>
    </row>
    <row r="10602" spans="8:8" x14ac:dyDescent="0.25">
      <c r="H10602" t="s">
        <v>136</v>
      </c>
    </row>
    <row r="10603" spans="8:8" x14ac:dyDescent="0.25">
      <c r="H10603" t="s">
        <v>12682</v>
      </c>
    </row>
    <row r="10604" spans="8:8" x14ac:dyDescent="0.25">
      <c r="H10604" t="s">
        <v>30</v>
      </c>
    </row>
    <row r="10605" spans="8:8" x14ac:dyDescent="0.25">
      <c r="H10605" t="s">
        <v>137</v>
      </c>
    </row>
    <row r="10606" spans="8:8" x14ac:dyDescent="0.25">
      <c r="H10606" t="s">
        <v>12683</v>
      </c>
    </row>
    <row r="10607" spans="8:8" x14ac:dyDescent="0.25">
      <c r="H10607" t="s">
        <v>30</v>
      </c>
    </row>
    <row r="10608" spans="8:8" x14ac:dyDescent="0.25">
      <c r="H10608" t="s">
        <v>138</v>
      </c>
    </row>
    <row r="10609" spans="8:8" x14ac:dyDescent="0.25">
      <c r="H10609" t="s">
        <v>12684</v>
      </c>
    </row>
    <row r="10610" spans="8:8" x14ac:dyDescent="0.25">
      <c r="H10610" t="s">
        <v>30</v>
      </c>
    </row>
    <row r="10612" spans="8:8" x14ac:dyDescent="0.25">
      <c r="H10612" t="s">
        <v>12685</v>
      </c>
    </row>
    <row r="10613" spans="8:8" x14ac:dyDescent="0.25">
      <c r="H10613" t="s">
        <v>12686</v>
      </c>
    </row>
    <row r="10614" spans="8:8" x14ac:dyDescent="0.25">
      <c r="H10614" t="s">
        <v>135</v>
      </c>
    </row>
    <row r="10615" spans="8:8" x14ac:dyDescent="0.25">
      <c r="H10615" t="s">
        <v>12687</v>
      </c>
    </row>
    <row r="10616" spans="8:8" x14ac:dyDescent="0.25">
      <c r="H10616" t="s">
        <v>30</v>
      </c>
    </row>
    <row r="10617" spans="8:8" x14ac:dyDescent="0.25">
      <c r="H10617" t="s">
        <v>136</v>
      </c>
    </row>
    <row r="10618" spans="8:8" x14ac:dyDescent="0.25">
      <c r="H10618" t="s">
        <v>12688</v>
      </c>
    </row>
    <row r="10619" spans="8:8" x14ac:dyDescent="0.25">
      <c r="H10619" t="s">
        <v>30</v>
      </c>
    </row>
    <row r="10620" spans="8:8" x14ac:dyDescent="0.25">
      <c r="H10620" t="s">
        <v>137</v>
      </c>
    </row>
    <row r="10621" spans="8:8" x14ac:dyDescent="0.25">
      <c r="H10621" t="s">
        <v>12689</v>
      </c>
    </row>
    <row r="10622" spans="8:8" x14ac:dyDescent="0.25">
      <c r="H10622" t="s">
        <v>30</v>
      </c>
    </row>
    <row r="10623" spans="8:8" x14ac:dyDescent="0.25">
      <c r="H10623" t="s">
        <v>138</v>
      </c>
    </row>
    <row r="10624" spans="8:8" x14ac:dyDescent="0.25">
      <c r="H10624" t="s">
        <v>12690</v>
      </c>
    </row>
    <row r="10625" spans="8:8" x14ac:dyDescent="0.25">
      <c r="H10625" t="s">
        <v>30</v>
      </c>
    </row>
    <row r="10627" spans="8:8" x14ac:dyDescent="0.25">
      <c r="H10627" t="s">
        <v>12691</v>
      </c>
    </row>
    <row r="10628" spans="8:8" x14ac:dyDescent="0.25">
      <c r="H10628" t="s">
        <v>12692</v>
      </c>
    </row>
    <row r="10629" spans="8:8" x14ac:dyDescent="0.25">
      <c r="H10629" t="s">
        <v>135</v>
      </c>
    </row>
    <row r="10630" spans="8:8" x14ac:dyDescent="0.25">
      <c r="H10630" t="s">
        <v>12693</v>
      </c>
    </row>
    <row r="10631" spans="8:8" x14ac:dyDescent="0.25">
      <c r="H10631" t="s">
        <v>30</v>
      </c>
    </row>
    <row r="10632" spans="8:8" x14ac:dyDescent="0.25">
      <c r="H10632" t="s">
        <v>136</v>
      </c>
    </row>
    <row r="10633" spans="8:8" x14ac:dyDescent="0.25">
      <c r="H10633" t="s">
        <v>12694</v>
      </c>
    </row>
    <row r="10634" spans="8:8" x14ac:dyDescent="0.25">
      <c r="H10634" t="s">
        <v>30</v>
      </c>
    </row>
    <row r="10635" spans="8:8" x14ac:dyDescent="0.25">
      <c r="H10635" t="s">
        <v>137</v>
      </c>
    </row>
    <row r="10636" spans="8:8" x14ac:dyDescent="0.25">
      <c r="H10636" t="s">
        <v>12695</v>
      </c>
    </row>
    <row r="10637" spans="8:8" x14ac:dyDescent="0.25">
      <c r="H10637" t="s">
        <v>30</v>
      </c>
    </row>
    <row r="10638" spans="8:8" x14ac:dyDescent="0.25">
      <c r="H10638" t="s">
        <v>138</v>
      </c>
    </row>
    <row r="10639" spans="8:8" x14ac:dyDescent="0.25">
      <c r="H10639" t="s">
        <v>12696</v>
      </c>
    </row>
    <row r="10640" spans="8:8" x14ac:dyDescent="0.25">
      <c r="H10640" t="s">
        <v>30</v>
      </c>
    </row>
    <row r="10642" spans="8:8" x14ac:dyDescent="0.25">
      <c r="H10642" t="s">
        <v>12697</v>
      </c>
    </row>
    <row r="10643" spans="8:8" x14ac:dyDescent="0.25">
      <c r="H10643" t="s">
        <v>12698</v>
      </c>
    </row>
    <row r="10644" spans="8:8" x14ac:dyDescent="0.25">
      <c r="H10644" t="s">
        <v>135</v>
      </c>
    </row>
    <row r="10645" spans="8:8" x14ac:dyDescent="0.25">
      <c r="H10645" t="s">
        <v>12699</v>
      </c>
    </row>
    <row r="10646" spans="8:8" x14ac:dyDescent="0.25">
      <c r="H10646" t="s">
        <v>30</v>
      </c>
    </row>
    <row r="10647" spans="8:8" x14ac:dyDescent="0.25">
      <c r="H10647" t="s">
        <v>136</v>
      </c>
    </row>
    <row r="10648" spans="8:8" x14ac:dyDescent="0.25">
      <c r="H10648" t="s">
        <v>12700</v>
      </c>
    </row>
    <row r="10649" spans="8:8" x14ac:dyDescent="0.25">
      <c r="H10649" t="s">
        <v>30</v>
      </c>
    </row>
    <row r="10650" spans="8:8" x14ac:dyDescent="0.25">
      <c r="H10650" t="s">
        <v>137</v>
      </c>
    </row>
    <row r="10651" spans="8:8" x14ac:dyDescent="0.25">
      <c r="H10651" t="s">
        <v>12701</v>
      </c>
    </row>
    <row r="10652" spans="8:8" x14ac:dyDescent="0.25">
      <c r="H10652" t="s">
        <v>30</v>
      </c>
    </row>
    <row r="10653" spans="8:8" x14ac:dyDescent="0.25">
      <c r="H10653" t="s">
        <v>138</v>
      </c>
    </row>
    <row r="10654" spans="8:8" x14ac:dyDescent="0.25">
      <c r="H10654" t="s">
        <v>12702</v>
      </c>
    </row>
    <row r="10655" spans="8:8" x14ac:dyDescent="0.25">
      <c r="H10655" t="s">
        <v>30</v>
      </c>
    </row>
    <row r="10657" spans="8:8" x14ac:dyDescent="0.25">
      <c r="H10657" t="s">
        <v>12703</v>
      </c>
    </row>
    <row r="10658" spans="8:8" x14ac:dyDescent="0.25">
      <c r="H10658" t="s">
        <v>12704</v>
      </c>
    </row>
    <row r="10659" spans="8:8" x14ac:dyDescent="0.25">
      <c r="H10659" t="s">
        <v>135</v>
      </c>
    </row>
    <row r="10660" spans="8:8" x14ac:dyDescent="0.25">
      <c r="H10660" t="s">
        <v>12705</v>
      </c>
    </row>
    <row r="10661" spans="8:8" x14ac:dyDescent="0.25">
      <c r="H10661" t="s">
        <v>30</v>
      </c>
    </row>
    <row r="10662" spans="8:8" x14ac:dyDescent="0.25">
      <c r="H10662" t="s">
        <v>136</v>
      </c>
    </row>
    <row r="10663" spans="8:8" x14ac:dyDescent="0.25">
      <c r="H10663" t="s">
        <v>12706</v>
      </c>
    </row>
    <row r="10664" spans="8:8" x14ac:dyDescent="0.25">
      <c r="H10664" t="s">
        <v>30</v>
      </c>
    </row>
    <row r="10665" spans="8:8" x14ac:dyDescent="0.25">
      <c r="H10665" t="s">
        <v>137</v>
      </c>
    </row>
    <row r="10666" spans="8:8" x14ac:dyDescent="0.25">
      <c r="H10666" t="s">
        <v>12707</v>
      </c>
    </row>
    <row r="10667" spans="8:8" x14ac:dyDescent="0.25">
      <c r="H10667" t="s">
        <v>30</v>
      </c>
    </row>
    <row r="10668" spans="8:8" x14ac:dyDescent="0.25">
      <c r="H10668" t="s">
        <v>138</v>
      </c>
    </row>
    <row r="10669" spans="8:8" x14ac:dyDescent="0.25">
      <c r="H10669" t="s">
        <v>12708</v>
      </c>
    </row>
    <row r="10670" spans="8:8" x14ac:dyDescent="0.25">
      <c r="H10670" t="s">
        <v>30</v>
      </c>
    </row>
    <row r="10672" spans="8:8" x14ac:dyDescent="0.25">
      <c r="H10672" t="s">
        <v>12709</v>
      </c>
    </row>
    <row r="10673" spans="8:8" x14ac:dyDescent="0.25">
      <c r="H10673" t="s">
        <v>12710</v>
      </c>
    </row>
    <row r="10674" spans="8:8" x14ac:dyDescent="0.25">
      <c r="H10674" t="s">
        <v>135</v>
      </c>
    </row>
    <row r="10675" spans="8:8" x14ac:dyDescent="0.25">
      <c r="H10675" t="s">
        <v>12711</v>
      </c>
    </row>
    <row r="10676" spans="8:8" x14ac:dyDescent="0.25">
      <c r="H10676" t="s">
        <v>30</v>
      </c>
    </row>
    <row r="10677" spans="8:8" x14ac:dyDescent="0.25">
      <c r="H10677" t="s">
        <v>136</v>
      </c>
    </row>
    <row r="10678" spans="8:8" x14ac:dyDescent="0.25">
      <c r="H10678" t="s">
        <v>12712</v>
      </c>
    </row>
    <row r="10679" spans="8:8" x14ac:dyDescent="0.25">
      <c r="H10679" t="s">
        <v>30</v>
      </c>
    </row>
    <row r="10680" spans="8:8" x14ac:dyDescent="0.25">
      <c r="H10680" t="s">
        <v>137</v>
      </c>
    </row>
    <row r="10681" spans="8:8" x14ac:dyDescent="0.25">
      <c r="H10681" t="s">
        <v>12713</v>
      </c>
    </row>
    <row r="10682" spans="8:8" x14ac:dyDescent="0.25">
      <c r="H10682" t="s">
        <v>30</v>
      </c>
    </row>
    <row r="10683" spans="8:8" x14ac:dyDescent="0.25">
      <c r="H10683" t="s">
        <v>138</v>
      </c>
    </row>
    <row r="10684" spans="8:8" x14ac:dyDescent="0.25">
      <c r="H10684" t="s">
        <v>12714</v>
      </c>
    </row>
    <row r="10685" spans="8:8" x14ac:dyDescent="0.25">
      <c r="H10685" t="s">
        <v>30</v>
      </c>
    </row>
    <row r="10687" spans="8:8" x14ac:dyDescent="0.25">
      <c r="H10687" t="s">
        <v>12715</v>
      </c>
    </row>
    <row r="10688" spans="8:8" x14ac:dyDescent="0.25">
      <c r="H10688" t="s">
        <v>12716</v>
      </c>
    </row>
    <row r="10689" spans="8:8" x14ac:dyDescent="0.25">
      <c r="H10689" t="s">
        <v>135</v>
      </c>
    </row>
    <row r="10690" spans="8:8" x14ac:dyDescent="0.25">
      <c r="H10690" t="s">
        <v>12717</v>
      </c>
    </row>
    <row r="10691" spans="8:8" x14ac:dyDescent="0.25">
      <c r="H10691" t="s">
        <v>30</v>
      </c>
    </row>
    <row r="10692" spans="8:8" x14ac:dyDescent="0.25">
      <c r="H10692" t="s">
        <v>136</v>
      </c>
    </row>
    <row r="10693" spans="8:8" x14ac:dyDescent="0.25">
      <c r="H10693" t="s">
        <v>12718</v>
      </c>
    </row>
    <row r="10694" spans="8:8" x14ac:dyDescent="0.25">
      <c r="H10694" t="s">
        <v>30</v>
      </c>
    </row>
    <row r="10695" spans="8:8" x14ac:dyDescent="0.25">
      <c r="H10695" t="s">
        <v>137</v>
      </c>
    </row>
    <row r="10696" spans="8:8" x14ac:dyDescent="0.25">
      <c r="H10696" t="s">
        <v>12719</v>
      </c>
    </row>
    <row r="10697" spans="8:8" x14ac:dyDescent="0.25">
      <c r="H10697" t="s">
        <v>30</v>
      </c>
    </row>
    <row r="10698" spans="8:8" x14ac:dyDescent="0.25">
      <c r="H10698" t="s">
        <v>138</v>
      </c>
    </row>
    <row r="10699" spans="8:8" x14ac:dyDescent="0.25">
      <c r="H10699" t="s">
        <v>12720</v>
      </c>
    </row>
    <row r="10700" spans="8:8" x14ac:dyDescent="0.25">
      <c r="H10700" t="s">
        <v>30</v>
      </c>
    </row>
    <row r="10702" spans="8:8" x14ac:dyDescent="0.25">
      <c r="H10702" t="s">
        <v>12721</v>
      </c>
    </row>
    <row r="10703" spans="8:8" x14ac:dyDescent="0.25">
      <c r="H10703" t="s">
        <v>12722</v>
      </c>
    </row>
    <row r="10704" spans="8:8" x14ac:dyDescent="0.25">
      <c r="H10704" t="s">
        <v>135</v>
      </c>
    </row>
    <row r="10705" spans="8:8" x14ac:dyDescent="0.25">
      <c r="H10705" t="s">
        <v>12723</v>
      </c>
    </row>
    <row r="10706" spans="8:8" x14ac:dyDescent="0.25">
      <c r="H10706" t="s">
        <v>30</v>
      </c>
    </row>
    <row r="10707" spans="8:8" x14ac:dyDescent="0.25">
      <c r="H10707" t="s">
        <v>136</v>
      </c>
    </row>
    <row r="10708" spans="8:8" x14ac:dyDescent="0.25">
      <c r="H10708" t="s">
        <v>12724</v>
      </c>
    </row>
    <row r="10709" spans="8:8" x14ac:dyDescent="0.25">
      <c r="H10709" t="s">
        <v>30</v>
      </c>
    </row>
    <row r="10710" spans="8:8" x14ac:dyDescent="0.25">
      <c r="H10710" t="s">
        <v>137</v>
      </c>
    </row>
    <row r="10711" spans="8:8" x14ac:dyDescent="0.25">
      <c r="H10711" t="s">
        <v>12725</v>
      </c>
    </row>
    <row r="10712" spans="8:8" x14ac:dyDescent="0.25">
      <c r="H10712" t="s">
        <v>30</v>
      </c>
    </row>
    <row r="10713" spans="8:8" x14ac:dyDescent="0.25">
      <c r="H10713" t="s">
        <v>138</v>
      </c>
    </row>
    <row r="10714" spans="8:8" x14ac:dyDescent="0.25">
      <c r="H10714" t="s">
        <v>12726</v>
      </c>
    </row>
    <row r="10715" spans="8:8" x14ac:dyDescent="0.25">
      <c r="H10715" t="s">
        <v>30</v>
      </c>
    </row>
    <row r="10717" spans="8:8" x14ac:dyDescent="0.25">
      <c r="H10717" t="s">
        <v>12727</v>
      </c>
    </row>
    <row r="10718" spans="8:8" x14ac:dyDescent="0.25">
      <c r="H10718" t="s">
        <v>12728</v>
      </c>
    </row>
    <row r="10719" spans="8:8" x14ac:dyDescent="0.25">
      <c r="H10719" t="s">
        <v>135</v>
      </c>
    </row>
    <row r="10720" spans="8:8" x14ac:dyDescent="0.25">
      <c r="H10720" t="s">
        <v>12729</v>
      </c>
    </row>
    <row r="10721" spans="8:8" x14ac:dyDescent="0.25">
      <c r="H10721" t="s">
        <v>30</v>
      </c>
    </row>
    <row r="10722" spans="8:8" x14ac:dyDescent="0.25">
      <c r="H10722" t="s">
        <v>136</v>
      </c>
    </row>
    <row r="10723" spans="8:8" x14ac:dyDescent="0.25">
      <c r="H10723" t="s">
        <v>12730</v>
      </c>
    </row>
    <row r="10724" spans="8:8" x14ac:dyDescent="0.25">
      <c r="H10724" t="s">
        <v>30</v>
      </c>
    </row>
    <row r="10725" spans="8:8" x14ac:dyDescent="0.25">
      <c r="H10725" t="s">
        <v>137</v>
      </c>
    </row>
    <row r="10726" spans="8:8" x14ac:dyDescent="0.25">
      <c r="H10726" t="s">
        <v>12731</v>
      </c>
    </row>
    <row r="10727" spans="8:8" x14ac:dyDescent="0.25">
      <c r="H10727" t="s">
        <v>30</v>
      </c>
    </row>
    <row r="10728" spans="8:8" x14ac:dyDescent="0.25">
      <c r="H10728" t="s">
        <v>138</v>
      </c>
    </row>
    <row r="10729" spans="8:8" x14ac:dyDescent="0.25">
      <c r="H10729" t="s">
        <v>12732</v>
      </c>
    </row>
    <row r="10730" spans="8:8" x14ac:dyDescent="0.25">
      <c r="H10730" t="s">
        <v>30</v>
      </c>
    </row>
    <row r="10732" spans="8:8" x14ac:dyDescent="0.25">
      <c r="H10732" t="s">
        <v>12733</v>
      </c>
    </row>
    <row r="10733" spans="8:8" x14ac:dyDescent="0.25">
      <c r="H10733" t="s">
        <v>12734</v>
      </c>
    </row>
    <row r="10734" spans="8:8" x14ac:dyDescent="0.25">
      <c r="H10734" t="s">
        <v>135</v>
      </c>
    </row>
    <row r="10735" spans="8:8" x14ac:dyDescent="0.25">
      <c r="H10735" t="s">
        <v>12735</v>
      </c>
    </row>
    <row r="10736" spans="8:8" x14ac:dyDescent="0.25">
      <c r="H10736" t="s">
        <v>30</v>
      </c>
    </row>
    <row r="10737" spans="8:8" x14ac:dyDescent="0.25">
      <c r="H10737" t="s">
        <v>136</v>
      </c>
    </row>
    <row r="10738" spans="8:8" x14ac:dyDescent="0.25">
      <c r="H10738" t="s">
        <v>12736</v>
      </c>
    </row>
    <row r="10739" spans="8:8" x14ac:dyDescent="0.25">
      <c r="H10739" t="s">
        <v>30</v>
      </c>
    </row>
    <row r="10740" spans="8:8" x14ac:dyDescent="0.25">
      <c r="H10740" t="s">
        <v>137</v>
      </c>
    </row>
    <row r="10741" spans="8:8" x14ac:dyDescent="0.25">
      <c r="H10741" t="s">
        <v>12737</v>
      </c>
    </row>
    <row r="10742" spans="8:8" x14ac:dyDescent="0.25">
      <c r="H10742" t="s">
        <v>30</v>
      </c>
    </row>
    <row r="10743" spans="8:8" x14ac:dyDescent="0.25">
      <c r="H10743" t="s">
        <v>138</v>
      </c>
    </row>
    <row r="10744" spans="8:8" x14ac:dyDescent="0.25">
      <c r="H10744" t="s">
        <v>12738</v>
      </c>
    </row>
    <row r="10745" spans="8:8" x14ac:dyDescent="0.25">
      <c r="H10745" t="s">
        <v>30</v>
      </c>
    </row>
    <row r="10747" spans="8:8" x14ac:dyDescent="0.25">
      <c r="H10747" t="s">
        <v>12739</v>
      </c>
    </row>
    <row r="10748" spans="8:8" x14ac:dyDescent="0.25">
      <c r="H10748" t="s">
        <v>12740</v>
      </c>
    </row>
    <row r="10749" spans="8:8" x14ac:dyDescent="0.25">
      <c r="H10749" t="s">
        <v>135</v>
      </c>
    </row>
    <row r="10750" spans="8:8" x14ac:dyDescent="0.25">
      <c r="H10750" t="s">
        <v>12741</v>
      </c>
    </row>
    <row r="10751" spans="8:8" x14ac:dyDescent="0.25">
      <c r="H10751" t="s">
        <v>30</v>
      </c>
    </row>
    <row r="10752" spans="8:8" x14ac:dyDescent="0.25">
      <c r="H10752" t="s">
        <v>136</v>
      </c>
    </row>
    <row r="10753" spans="8:8" x14ac:dyDescent="0.25">
      <c r="H10753" t="s">
        <v>12742</v>
      </c>
    </row>
    <row r="10754" spans="8:8" x14ac:dyDescent="0.25">
      <c r="H10754" t="s">
        <v>30</v>
      </c>
    </row>
    <row r="10755" spans="8:8" x14ac:dyDescent="0.25">
      <c r="H10755" t="s">
        <v>137</v>
      </c>
    </row>
    <row r="10756" spans="8:8" x14ac:dyDescent="0.25">
      <c r="H10756" t="s">
        <v>12743</v>
      </c>
    </row>
    <row r="10757" spans="8:8" x14ac:dyDescent="0.25">
      <c r="H10757" t="s">
        <v>30</v>
      </c>
    </row>
    <row r="10758" spans="8:8" x14ac:dyDescent="0.25">
      <c r="H10758" t="s">
        <v>138</v>
      </c>
    </row>
    <row r="10759" spans="8:8" x14ac:dyDescent="0.25">
      <c r="H10759" t="s">
        <v>12744</v>
      </c>
    </row>
    <row r="10760" spans="8:8" x14ac:dyDescent="0.25">
      <c r="H10760" t="s">
        <v>30</v>
      </c>
    </row>
    <row r="10762" spans="8:8" x14ac:dyDescent="0.25">
      <c r="H10762" t="s">
        <v>12745</v>
      </c>
    </row>
    <row r="10763" spans="8:8" x14ac:dyDescent="0.25">
      <c r="H10763" t="s">
        <v>12746</v>
      </c>
    </row>
    <row r="10764" spans="8:8" x14ac:dyDescent="0.25">
      <c r="H10764" t="s">
        <v>135</v>
      </c>
    </row>
    <row r="10765" spans="8:8" x14ac:dyDescent="0.25">
      <c r="H10765" t="s">
        <v>12747</v>
      </c>
    </row>
    <row r="10766" spans="8:8" x14ac:dyDescent="0.25">
      <c r="H10766" t="s">
        <v>30</v>
      </c>
    </row>
    <row r="10767" spans="8:8" x14ac:dyDescent="0.25">
      <c r="H10767" t="s">
        <v>136</v>
      </c>
    </row>
    <row r="10768" spans="8:8" x14ac:dyDescent="0.25">
      <c r="H10768" t="s">
        <v>12748</v>
      </c>
    </row>
    <row r="10769" spans="8:8" x14ac:dyDescent="0.25">
      <c r="H10769" t="s">
        <v>30</v>
      </c>
    </row>
    <row r="10770" spans="8:8" x14ac:dyDescent="0.25">
      <c r="H10770" t="s">
        <v>137</v>
      </c>
    </row>
    <row r="10771" spans="8:8" x14ac:dyDescent="0.25">
      <c r="H10771" t="s">
        <v>12749</v>
      </c>
    </row>
    <row r="10772" spans="8:8" x14ac:dyDescent="0.25">
      <c r="H10772" t="s">
        <v>30</v>
      </c>
    </row>
    <row r="10773" spans="8:8" x14ac:dyDescent="0.25">
      <c r="H10773" t="s">
        <v>138</v>
      </c>
    </row>
    <row r="10774" spans="8:8" x14ac:dyDescent="0.25">
      <c r="H10774" t="s">
        <v>12750</v>
      </c>
    </row>
    <row r="10775" spans="8:8" x14ac:dyDescent="0.25">
      <c r="H10775" t="s">
        <v>30</v>
      </c>
    </row>
    <row r="10777" spans="8:8" x14ac:dyDescent="0.25">
      <c r="H10777" t="s">
        <v>12751</v>
      </c>
    </row>
    <row r="10778" spans="8:8" x14ac:dyDescent="0.25">
      <c r="H10778" t="s">
        <v>12752</v>
      </c>
    </row>
    <row r="10779" spans="8:8" x14ac:dyDescent="0.25">
      <c r="H10779" t="s">
        <v>135</v>
      </c>
    </row>
    <row r="10780" spans="8:8" x14ac:dyDescent="0.25">
      <c r="H10780" t="s">
        <v>12753</v>
      </c>
    </row>
    <row r="10781" spans="8:8" x14ac:dyDescent="0.25">
      <c r="H10781" t="s">
        <v>30</v>
      </c>
    </row>
    <row r="10782" spans="8:8" x14ac:dyDescent="0.25">
      <c r="H10782" t="s">
        <v>136</v>
      </c>
    </row>
    <row r="10783" spans="8:8" x14ac:dyDescent="0.25">
      <c r="H10783" t="s">
        <v>12754</v>
      </c>
    </row>
    <row r="10784" spans="8:8" x14ac:dyDescent="0.25">
      <c r="H10784" t="s">
        <v>30</v>
      </c>
    </row>
    <row r="10785" spans="8:8" x14ac:dyDescent="0.25">
      <c r="H10785" t="s">
        <v>137</v>
      </c>
    </row>
    <row r="10786" spans="8:8" x14ac:dyDescent="0.25">
      <c r="H10786" t="s">
        <v>12755</v>
      </c>
    </row>
    <row r="10787" spans="8:8" x14ac:dyDescent="0.25">
      <c r="H10787" t="s">
        <v>30</v>
      </c>
    </row>
    <row r="10788" spans="8:8" x14ac:dyDescent="0.25">
      <c r="H10788" t="s">
        <v>138</v>
      </c>
    </row>
    <row r="10789" spans="8:8" x14ac:dyDescent="0.25">
      <c r="H10789" t="s">
        <v>12756</v>
      </c>
    </row>
    <row r="10790" spans="8:8" x14ac:dyDescent="0.25">
      <c r="H10790" t="s">
        <v>30</v>
      </c>
    </row>
    <row r="10792" spans="8:8" x14ac:dyDescent="0.25">
      <c r="H10792" t="s">
        <v>12757</v>
      </c>
    </row>
    <row r="10793" spans="8:8" x14ac:dyDescent="0.25">
      <c r="H10793" t="s">
        <v>12758</v>
      </c>
    </row>
    <row r="10794" spans="8:8" x14ac:dyDescent="0.25">
      <c r="H10794" t="s">
        <v>135</v>
      </c>
    </row>
    <row r="10795" spans="8:8" x14ac:dyDescent="0.25">
      <c r="H10795" t="s">
        <v>12759</v>
      </c>
    </row>
    <row r="10796" spans="8:8" x14ac:dyDescent="0.25">
      <c r="H10796" t="s">
        <v>30</v>
      </c>
    </row>
    <row r="10797" spans="8:8" x14ac:dyDescent="0.25">
      <c r="H10797" t="s">
        <v>136</v>
      </c>
    </row>
    <row r="10798" spans="8:8" x14ac:dyDescent="0.25">
      <c r="H10798" t="s">
        <v>12760</v>
      </c>
    </row>
    <row r="10799" spans="8:8" x14ac:dyDescent="0.25">
      <c r="H10799" t="s">
        <v>30</v>
      </c>
    </row>
    <row r="10800" spans="8:8" x14ac:dyDescent="0.25">
      <c r="H10800" t="s">
        <v>137</v>
      </c>
    </row>
    <row r="10801" spans="8:8" x14ac:dyDescent="0.25">
      <c r="H10801" t="s">
        <v>12761</v>
      </c>
    </row>
    <row r="10802" spans="8:8" x14ac:dyDescent="0.25">
      <c r="H10802" t="s">
        <v>30</v>
      </c>
    </row>
    <row r="10803" spans="8:8" x14ac:dyDescent="0.25">
      <c r="H10803" t="s">
        <v>138</v>
      </c>
    </row>
    <row r="10804" spans="8:8" x14ac:dyDescent="0.25">
      <c r="H10804" t="s">
        <v>12762</v>
      </c>
    </row>
    <row r="10805" spans="8:8" x14ac:dyDescent="0.25">
      <c r="H10805" t="s">
        <v>30</v>
      </c>
    </row>
    <row r="10807" spans="8:8" x14ac:dyDescent="0.25">
      <c r="H10807" t="s">
        <v>12763</v>
      </c>
    </row>
    <row r="10808" spans="8:8" x14ac:dyDescent="0.25">
      <c r="H10808" t="s">
        <v>12764</v>
      </c>
    </row>
    <row r="10809" spans="8:8" x14ac:dyDescent="0.25">
      <c r="H10809" t="s">
        <v>135</v>
      </c>
    </row>
    <row r="10810" spans="8:8" x14ac:dyDescent="0.25">
      <c r="H10810" t="s">
        <v>12765</v>
      </c>
    </row>
    <row r="10811" spans="8:8" x14ac:dyDescent="0.25">
      <c r="H10811" t="s">
        <v>30</v>
      </c>
    </row>
    <row r="10812" spans="8:8" x14ac:dyDescent="0.25">
      <c r="H10812" t="s">
        <v>136</v>
      </c>
    </row>
    <row r="10813" spans="8:8" x14ac:dyDescent="0.25">
      <c r="H10813" t="s">
        <v>12766</v>
      </c>
    </row>
    <row r="10814" spans="8:8" x14ac:dyDescent="0.25">
      <c r="H10814" t="s">
        <v>30</v>
      </c>
    </row>
    <row r="10815" spans="8:8" x14ac:dyDescent="0.25">
      <c r="H10815" t="s">
        <v>137</v>
      </c>
    </row>
    <row r="10816" spans="8:8" x14ac:dyDescent="0.25">
      <c r="H10816" t="s">
        <v>12767</v>
      </c>
    </row>
    <row r="10817" spans="8:8" x14ac:dyDescent="0.25">
      <c r="H10817" t="s">
        <v>30</v>
      </c>
    </row>
    <row r="10818" spans="8:8" x14ac:dyDescent="0.25">
      <c r="H10818" t="s">
        <v>138</v>
      </c>
    </row>
    <row r="10819" spans="8:8" x14ac:dyDescent="0.25">
      <c r="H10819" t="s">
        <v>12768</v>
      </c>
    </row>
    <row r="10820" spans="8:8" x14ac:dyDescent="0.25">
      <c r="H10820" t="s">
        <v>30</v>
      </c>
    </row>
    <row r="10822" spans="8:8" x14ac:dyDescent="0.25">
      <c r="H10822" t="s">
        <v>12769</v>
      </c>
    </row>
    <row r="10823" spans="8:8" x14ac:dyDescent="0.25">
      <c r="H10823" t="s">
        <v>12770</v>
      </c>
    </row>
    <row r="10824" spans="8:8" x14ac:dyDescent="0.25">
      <c r="H10824" t="s">
        <v>135</v>
      </c>
    </row>
    <row r="10825" spans="8:8" x14ac:dyDescent="0.25">
      <c r="H10825" t="s">
        <v>12771</v>
      </c>
    </row>
    <row r="10826" spans="8:8" x14ac:dyDescent="0.25">
      <c r="H10826" t="s">
        <v>30</v>
      </c>
    </row>
    <row r="10827" spans="8:8" x14ac:dyDescent="0.25">
      <c r="H10827" t="s">
        <v>136</v>
      </c>
    </row>
    <row r="10828" spans="8:8" x14ac:dyDescent="0.25">
      <c r="H10828" t="s">
        <v>12772</v>
      </c>
    </row>
    <row r="10829" spans="8:8" x14ac:dyDescent="0.25">
      <c r="H10829" t="s">
        <v>30</v>
      </c>
    </row>
    <row r="10830" spans="8:8" x14ac:dyDescent="0.25">
      <c r="H10830" t="s">
        <v>137</v>
      </c>
    </row>
    <row r="10831" spans="8:8" x14ac:dyDescent="0.25">
      <c r="H10831" t="s">
        <v>12773</v>
      </c>
    </row>
    <row r="10832" spans="8:8" x14ac:dyDescent="0.25">
      <c r="H10832" t="s">
        <v>30</v>
      </c>
    </row>
    <row r="10833" spans="8:8" x14ac:dyDescent="0.25">
      <c r="H10833" t="s">
        <v>138</v>
      </c>
    </row>
    <row r="10834" spans="8:8" x14ac:dyDescent="0.25">
      <c r="H10834" t="s">
        <v>12774</v>
      </c>
    </row>
    <row r="10835" spans="8:8" x14ac:dyDescent="0.25">
      <c r="H10835" t="s">
        <v>30</v>
      </c>
    </row>
    <row r="10837" spans="8:8" x14ac:dyDescent="0.25">
      <c r="H10837" t="s">
        <v>12775</v>
      </c>
    </row>
    <row r="10838" spans="8:8" x14ac:dyDescent="0.25">
      <c r="H10838" t="s">
        <v>12776</v>
      </c>
    </row>
    <row r="10839" spans="8:8" x14ac:dyDescent="0.25">
      <c r="H10839" t="s">
        <v>135</v>
      </c>
    </row>
    <row r="10840" spans="8:8" x14ac:dyDescent="0.25">
      <c r="H10840" t="s">
        <v>12777</v>
      </c>
    </row>
    <row r="10841" spans="8:8" x14ac:dyDescent="0.25">
      <c r="H10841" t="s">
        <v>30</v>
      </c>
    </row>
    <row r="10842" spans="8:8" x14ac:dyDescent="0.25">
      <c r="H10842" t="s">
        <v>136</v>
      </c>
    </row>
    <row r="10843" spans="8:8" x14ac:dyDescent="0.25">
      <c r="H10843" t="s">
        <v>12778</v>
      </c>
    </row>
    <row r="10844" spans="8:8" x14ac:dyDescent="0.25">
      <c r="H10844" t="s">
        <v>30</v>
      </c>
    </row>
    <row r="10845" spans="8:8" x14ac:dyDescent="0.25">
      <c r="H10845" t="s">
        <v>137</v>
      </c>
    </row>
    <row r="10846" spans="8:8" x14ac:dyDescent="0.25">
      <c r="H10846" t="s">
        <v>12779</v>
      </c>
    </row>
    <row r="10847" spans="8:8" x14ac:dyDescent="0.25">
      <c r="H10847" t="s">
        <v>30</v>
      </c>
    </row>
    <row r="10848" spans="8:8" x14ac:dyDescent="0.25">
      <c r="H10848" t="s">
        <v>138</v>
      </c>
    </row>
    <row r="10849" spans="8:8" x14ac:dyDescent="0.25">
      <c r="H10849" t="s">
        <v>12780</v>
      </c>
    </row>
    <row r="10850" spans="8:8" x14ac:dyDescent="0.25">
      <c r="H10850" t="s">
        <v>30</v>
      </c>
    </row>
    <row r="10852" spans="8:8" x14ac:dyDescent="0.25">
      <c r="H10852" t="s">
        <v>12781</v>
      </c>
    </row>
    <row r="10853" spans="8:8" x14ac:dyDescent="0.25">
      <c r="H10853" t="s">
        <v>12782</v>
      </c>
    </row>
    <row r="10854" spans="8:8" x14ac:dyDescent="0.25">
      <c r="H10854" t="s">
        <v>135</v>
      </c>
    </row>
    <row r="10855" spans="8:8" x14ac:dyDescent="0.25">
      <c r="H10855" t="s">
        <v>12783</v>
      </c>
    </row>
    <row r="10856" spans="8:8" x14ac:dyDescent="0.25">
      <c r="H10856" t="s">
        <v>30</v>
      </c>
    </row>
    <row r="10857" spans="8:8" x14ac:dyDescent="0.25">
      <c r="H10857" t="s">
        <v>136</v>
      </c>
    </row>
    <row r="10858" spans="8:8" x14ac:dyDescent="0.25">
      <c r="H10858" t="s">
        <v>12784</v>
      </c>
    </row>
    <row r="10859" spans="8:8" x14ac:dyDescent="0.25">
      <c r="H10859" t="s">
        <v>30</v>
      </c>
    </row>
    <row r="10860" spans="8:8" x14ac:dyDescent="0.25">
      <c r="H10860" t="s">
        <v>137</v>
      </c>
    </row>
    <row r="10861" spans="8:8" x14ac:dyDescent="0.25">
      <c r="H10861" t="s">
        <v>12785</v>
      </c>
    </row>
    <row r="10862" spans="8:8" x14ac:dyDescent="0.25">
      <c r="H10862" t="s">
        <v>30</v>
      </c>
    </row>
    <row r="10863" spans="8:8" x14ac:dyDescent="0.25">
      <c r="H10863" t="s">
        <v>138</v>
      </c>
    </row>
    <row r="10864" spans="8:8" x14ac:dyDescent="0.25">
      <c r="H10864" t="s">
        <v>12786</v>
      </c>
    </row>
    <row r="10865" spans="8:8" x14ac:dyDescent="0.25">
      <c r="H10865" t="s">
        <v>30</v>
      </c>
    </row>
    <row r="10867" spans="8:8" x14ac:dyDescent="0.25">
      <c r="H10867" t="s">
        <v>12787</v>
      </c>
    </row>
    <row r="10868" spans="8:8" x14ac:dyDescent="0.25">
      <c r="H10868" t="s">
        <v>12788</v>
      </c>
    </row>
    <row r="10869" spans="8:8" x14ac:dyDescent="0.25">
      <c r="H10869" t="s">
        <v>135</v>
      </c>
    </row>
    <row r="10870" spans="8:8" x14ac:dyDescent="0.25">
      <c r="H10870" t="s">
        <v>12789</v>
      </c>
    </row>
    <row r="10871" spans="8:8" x14ac:dyDescent="0.25">
      <c r="H10871" t="s">
        <v>30</v>
      </c>
    </row>
    <row r="10872" spans="8:8" x14ac:dyDescent="0.25">
      <c r="H10872" t="s">
        <v>136</v>
      </c>
    </row>
    <row r="10873" spans="8:8" x14ac:dyDescent="0.25">
      <c r="H10873" t="s">
        <v>12790</v>
      </c>
    </row>
    <row r="10874" spans="8:8" x14ac:dyDescent="0.25">
      <c r="H10874" t="s">
        <v>30</v>
      </c>
    </row>
    <row r="10875" spans="8:8" x14ac:dyDescent="0.25">
      <c r="H10875" t="s">
        <v>137</v>
      </c>
    </row>
    <row r="10876" spans="8:8" x14ac:dyDescent="0.25">
      <c r="H10876" t="s">
        <v>12791</v>
      </c>
    </row>
    <row r="10877" spans="8:8" x14ac:dyDescent="0.25">
      <c r="H10877" t="s">
        <v>30</v>
      </c>
    </row>
    <row r="10878" spans="8:8" x14ac:dyDescent="0.25">
      <c r="H10878" t="s">
        <v>138</v>
      </c>
    </row>
    <row r="10879" spans="8:8" x14ac:dyDescent="0.25">
      <c r="H10879" t="s">
        <v>12792</v>
      </c>
    </row>
    <row r="10880" spans="8:8" x14ac:dyDescent="0.25">
      <c r="H10880" t="s">
        <v>30</v>
      </c>
    </row>
    <row r="10882" spans="8:8" x14ac:dyDescent="0.25">
      <c r="H10882" t="s">
        <v>12793</v>
      </c>
    </row>
    <row r="10883" spans="8:8" x14ac:dyDescent="0.25">
      <c r="H10883" t="s">
        <v>12794</v>
      </c>
    </row>
    <row r="10884" spans="8:8" x14ac:dyDescent="0.25">
      <c r="H10884" t="s">
        <v>135</v>
      </c>
    </row>
    <row r="10885" spans="8:8" x14ac:dyDescent="0.25">
      <c r="H10885" t="s">
        <v>12795</v>
      </c>
    </row>
    <row r="10886" spans="8:8" x14ac:dyDescent="0.25">
      <c r="H10886" t="s">
        <v>30</v>
      </c>
    </row>
    <row r="10887" spans="8:8" x14ac:dyDescent="0.25">
      <c r="H10887" t="s">
        <v>136</v>
      </c>
    </row>
    <row r="10888" spans="8:8" x14ac:dyDescent="0.25">
      <c r="H10888" t="s">
        <v>12796</v>
      </c>
    </row>
    <row r="10889" spans="8:8" x14ac:dyDescent="0.25">
      <c r="H10889" t="s">
        <v>30</v>
      </c>
    </row>
    <row r="10890" spans="8:8" x14ac:dyDescent="0.25">
      <c r="H10890" t="s">
        <v>137</v>
      </c>
    </row>
    <row r="10891" spans="8:8" x14ac:dyDescent="0.25">
      <c r="H10891" t="s">
        <v>12797</v>
      </c>
    </row>
    <row r="10892" spans="8:8" x14ac:dyDescent="0.25">
      <c r="H10892" t="s">
        <v>30</v>
      </c>
    </row>
    <row r="10893" spans="8:8" x14ac:dyDescent="0.25">
      <c r="H10893" t="s">
        <v>138</v>
      </c>
    </row>
    <row r="10894" spans="8:8" x14ac:dyDescent="0.25">
      <c r="H10894" t="s">
        <v>12798</v>
      </c>
    </row>
    <row r="10895" spans="8:8" x14ac:dyDescent="0.25">
      <c r="H10895" t="s">
        <v>30</v>
      </c>
    </row>
    <row r="10897" spans="8:8" x14ac:dyDescent="0.25">
      <c r="H10897" t="s">
        <v>12799</v>
      </c>
    </row>
    <row r="10898" spans="8:8" x14ac:dyDescent="0.25">
      <c r="H10898" t="s">
        <v>12800</v>
      </c>
    </row>
    <row r="10899" spans="8:8" x14ac:dyDescent="0.25">
      <c r="H10899" t="s">
        <v>135</v>
      </c>
    </row>
    <row r="10900" spans="8:8" x14ac:dyDescent="0.25">
      <c r="H10900" t="s">
        <v>12801</v>
      </c>
    </row>
    <row r="10901" spans="8:8" x14ac:dyDescent="0.25">
      <c r="H10901" t="s">
        <v>30</v>
      </c>
    </row>
    <row r="10902" spans="8:8" x14ac:dyDescent="0.25">
      <c r="H10902" t="s">
        <v>136</v>
      </c>
    </row>
    <row r="10903" spans="8:8" x14ac:dyDescent="0.25">
      <c r="H10903" t="s">
        <v>12802</v>
      </c>
    </row>
    <row r="10904" spans="8:8" x14ac:dyDescent="0.25">
      <c r="H10904" t="s">
        <v>30</v>
      </c>
    </row>
    <row r="10905" spans="8:8" x14ac:dyDescent="0.25">
      <c r="H10905" t="s">
        <v>137</v>
      </c>
    </row>
    <row r="10906" spans="8:8" x14ac:dyDescent="0.25">
      <c r="H10906" t="s">
        <v>12803</v>
      </c>
    </row>
    <row r="10907" spans="8:8" x14ac:dyDescent="0.25">
      <c r="H10907" t="s">
        <v>30</v>
      </c>
    </row>
    <row r="10908" spans="8:8" x14ac:dyDescent="0.25">
      <c r="H10908" t="s">
        <v>138</v>
      </c>
    </row>
    <row r="10909" spans="8:8" x14ac:dyDescent="0.25">
      <c r="H10909" t="s">
        <v>12804</v>
      </c>
    </row>
    <row r="10910" spans="8:8" x14ac:dyDescent="0.25">
      <c r="H10910" t="s">
        <v>30</v>
      </c>
    </row>
    <row r="10912" spans="8:8" x14ac:dyDescent="0.25">
      <c r="H10912" t="s">
        <v>12805</v>
      </c>
    </row>
    <row r="10913" spans="8:8" x14ac:dyDescent="0.25">
      <c r="H10913" t="s">
        <v>12806</v>
      </c>
    </row>
    <row r="10914" spans="8:8" x14ac:dyDescent="0.25">
      <c r="H10914" t="s">
        <v>135</v>
      </c>
    </row>
    <row r="10915" spans="8:8" x14ac:dyDescent="0.25">
      <c r="H10915" t="s">
        <v>12807</v>
      </c>
    </row>
    <row r="10916" spans="8:8" x14ac:dyDescent="0.25">
      <c r="H10916" t="s">
        <v>30</v>
      </c>
    </row>
    <row r="10917" spans="8:8" x14ac:dyDescent="0.25">
      <c r="H10917" t="s">
        <v>136</v>
      </c>
    </row>
    <row r="10918" spans="8:8" x14ac:dyDescent="0.25">
      <c r="H10918" t="s">
        <v>12808</v>
      </c>
    </row>
    <row r="10919" spans="8:8" x14ac:dyDescent="0.25">
      <c r="H10919" t="s">
        <v>30</v>
      </c>
    </row>
    <row r="10920" spans="8:8" x14ac:dyDescent="0.25">
      <c r="H10920" t="s">
        <v>137</v>
      </c>
    </row>
    <row r="10921" spans="8:8" x14ac:dyDescent="0.25">
      <c r="H10921" t="s">
        <v>12809</v>
      </c>
    </row>
    <row r="10922" spans="8:8" x14ac:dyDescent="0.25">
      <c r="H10922" t="s">
        <v>30</v>
      </c>
    </row>
    <row r="10923" spans="8:8" x14ac:dyDescent="0.25">
      <c r="H10923" t="s">
        <v>138</v>
      </c>
    </row>
    <row r="10924" spans="8:8" x14ac:dyDescent="0.25">
      <c r="H10924" t="s">
        <v>12810</v>
      </c>
    </row>
    <row r="10925" spans="8:8" x14ac:dyDescent="0.25">
      <c r="H10925" t="s">
        <v>30</v>
      </c>
    </row>
    <row r="10927" spans="8:8" x14ac:dyDescent="0.25">
      <c r="H10927" t="s">
        <v>12811</v>
      </c>
    </row>
    <row r="10928" spans="8:8" x14ac:dyDescent="0.25">
      <c r="H10928" t="s">
        <v>12812</v>
      </c>
    </row>
    <row r="10929" spans="8:8" x14ac:dyDescent="0.25">
      <c r="H10929" t="s">
        <v>135</v>
      </c>
    </row>
    <row r="10930" spans="8:8" x14ac:dyDescent="0.25">
      <c r="H10930" t="s">
        <v>12813</v>
      </c>
    </row>
    <row r="10931" spans="8:8" x14ac:dyDescent="0.25">
      <c r="H10931" t="s">
        <v>30</v>
      </c>
    </row>
    <row r="10932" spans="8:8" x14ac:dyDescent="0.25">
      <c r="H10932" t="s">
        <v>136</v>
      </c>
    </row>
    <row r="10933" spans="8:8" x14ac:dyDescent="0.25">
      <c r="H10933" t="s">
        <v>12814</v>
      </c>
    </row>
    <row r="10934" spans="8:8" x14ac:dyDescent="0.25">
      <c r="H10934" t="s">
        <v>30</v>
      </c>
    </row>
    <row r="10935" spans="8:8" x14ac:dyDescent="0.25">
      <c r="H10935" t="s">
        <v>137</v>
      </c>
    </row>
    <row r="10936" spans="8:8" x14ac:dyDescent="0.25">
      <c r="H10936" t="s">
        <v>12815</v>
      </c>
    </row>
    <row r="10937" spans="8:8" x14ac:dyDescent="0.25">
      <c r="H10937" t="s">
        <v>30</v>
      </c>
    </row>
    <row r="10938" spans="8:8" x14ac:dyDescent="0.25">
      <c r="H10938" t="s">
        <v>138</v>
      </c>
    </row>
    <row r="10939" spans="8:8" x14ac:dyDescent="0.25">
      <c r="H10939" t="s">
        <v>12816</v>
      </c>
    </row>
    <row r="10940" spans="8:8" x14ac:dyDescent="0.25">
      <c r="H10940" t="s">
        <v>30</v>
      </c>
    </row>
    <row r="10942" spans="8:8" x14ac:dyDescent="0.25">
      <c r="H10942" t="s">
        <v>12817</v>
      </c>
    </row>
    <row r="10943" spans="8:8" x14ac:dyDescent="0.25">
      <c r="H10943" t="s">
        <v>12818</v>
      </c>
    </row>
    <row r="10944" spans="8:8" x14ac:dyDescent="0.25">
      <c r="H10944" t="s">
        <v>135</v>
      </c>
    </row>
    <row r="10945" spans="8:8" x14ac:dyDescent="0.25">
      <c r="H10945" t="s">
        <v>12819</v>
      </c>
    </row>
    <row r="10946" spans="8:8" x14ac:dyDescent="0.25">
      <c r="H10946" t="s">
        <v>30</v>
      </c>
    </row>
    <row r="10947" spans="8:8" x14ac:dyDescent="0.25">
      <c r="H10947" t="s">
        <v>136</v>
      </c>
    </row>
    <row r="10948" spans="8:8" x14ac:dyDescent="0.25">
      <c r="H10948" t="s">
        <v>12820</v>
      </c>
    </row>
    <row r="10949" spans="8:8" x14ac:dyDescent="0.25">
      <c r="H10949" t="s">
        <v>30</v>
      </c>
    </row>
    <row r="10950" spans="8:8" x14ac:dyDescent="0.25">
      <c r="H10950" t="s">
        <v>137</v>
      </c>
    </row>
    <row r="10951" spans="8:8" x14ac:dyDescent="0.25">
      <c r="H10951" t="s">
        <v>12821</v>
      </c>
    </row>
    <row r="10952" spans="8:8" x14ac:dyDescent="0.25">
      <c r="H10952" t="s">
        <v>30</v>
      </c>
    </row>
    <row r="10953" spans="8:8" x14ac:dyDescent="0.25">
      <c r="H10953" t="s">
        <v>138</v>
      </c>
    </row>
    <row r="10954" spans="8:8" x14ac:dyDescent="0.25">
      <c r="H10954" t="s">
        <v>12822</v>
      </c>
    </row>
    <row r="10955" spans="8:8" x14ac:dyDescent="0.25">
      <c r="H10955" t="s">
        <v>30</v>
      </c>
    </row>
    <row r="10957" spans="8:8" x14ac:dyDescent="0.25">
      <c r="H10957" t="s">
        <v>12823</v>
      </c>
    </row>
    <row r="10958" spans="8:8" x14ac:dyDescent="0.25">
      <c r="H10958" t="s">
        <v>12824</v>
      </c>
    </row>
    <row r="10959" spans="8:8" x14ac:dyDescent="0.25">
      <c r="H10959" t="s">
        <v>135</v>
      </c>
    </row>
    <row r="10960" spans="8:8" x14ac:dyDescent="0.25">
      <c r="H10960" t="s">
        <v>12825</v>
      </c>
    </row>
    <row r="10961" spans="8:8" x14ac:dyDescent="0.25">
      <c r="H10961" t="s">
        <v>30</v>
      </c>
    </row>
    <row r="10962" spans="8:8" x14ac:dyDescent="0.25">
      <c r="H10962" t="s">
        <v>136</v>
      </c>
    </row>
    <row r="10963" spans="8:8" x14ac:dyDescent="0.25">
      <c r="H10963" t="s">
        <v>12826</v>
      </c>
    </row>
    <row r="10964" spans="8:8" x14ac:dyDescent="0.25">
      <c r="H10964" t="s">
        <v>30</v>
      </c>
    </row>
    <row r="10965" spans="8:8" x14ac:dyDescent="0.25">
      <c r="H10965" t="s">
        <v>137</v>
      </c>
    </row>
    <row r="10966" spans="8:8" x14ac:dyDescent="0.25">
      <c r="H10966" t="s">
        <v>12827</v>
      </c>
    </row>
    <row r="10967" spans="8:8" x14ac:dyDescent="0.25">
      <c r="H10967" t="s">
        <v>30</v>
      </c>
    </row>
    <row r="10968" spans="8:8" x14ac:dyDescent="0.25">
      <c r="H10968" t="s">
        <v>138</v>
      </c>
    </row>
    <row r="10969" spans="8:8" x14ac:dyDescent="0.25">
      <c r="H10969" t="s">
        <v>12828</v>
      </c>
    </row>
    <row r="10970" spans="8:8" x14ac:dyDescent="0.25">
      <c r="H10970" t="s">
        <v>30</v>
      </c>
    </row>
    <row r="10972" spans="8:8" x14ac:dyDescent="0.25">
      <c r="H10972" t="s">
        <v>12829</v>
      </c>
    </row>
    <row r="10973" spans="8:8" x14ac:dyDescent="0.25">
      <c r="H10973" t="s">
        <v>12830</v>
      </c>
    </row>
    <row r="10974" spans="8:8" x14ac:dyDescent="0.25">
      <c r="H10974" t="s">
        <v>135</v>
      </c>
    </row>
    <row r="10975" spans="8:8" x14ac:dyDescent="0.25">
      <c r="H10975" t="s">
        <v>12831</v>
      </c>
    </row>
    <row r="10976" spans="8:8" x14ac:dyDescent="0.25">
      <c r="H10976" t="s">
        <v>30</v>
      </c>
    </row>
    <row r="10977" spans="8:8" x14ac:dyDescent="0.25">
      <c r="H10977" t="s">
        <v>136</v>
      </c>
    </row>
    <row r="10978" spans="8:8" x14ac:dyDescent="0.25">
      <c r="H10978" t="s">
        <v>12832</v>
      </c>
    </row>
    <row r="10979" spans="8:8" x14ac:dyDescent="0.25">
      <c r="H10979" t="s">
        <v>30</v>
      </c>
    </row>
    <row r="10980" spans="8:8" x14ac:dyDescent="0.25">
      <c r="H10980" t="s">
        <v>137</v>
      </c>
    </row>
    <row r="10981" spans="8:8" x14ac:dyDescent="0.25">
      <c r="H10981" t="s">
        <v>12833</v>
      </c>
    </row>
    <row r="10982" spans="8:8" x14ac:dyDescent="0.25">
      <c r="H10982" t="s">
        <v>30</v>
      </c>
    </row>
    <row r="10983" spans="8:8" x14ac:dyDescent="0.25">
      <c r="H10983" t="s">
        <v>138</v>
      </c>
    </row>
    <row r="10984" spans="8:8" x14ac:dyDescent="0.25">
      <c r="H10984" t="s">
        <v>12834</v>
      </c>
    </row>
    <row r="10985" spans="8:8" x14ac:dyDescent="0.25">
      <c r="H10985" t="s">
        <v>30</v>
      </c>
    </row>
    <row r="10987" spans="8:8" x14ac:dyDescent="0.25">
      <c r="H10987" t="s">
        <v>12835</v>
      </c>
    </row>
    <row r="10988" spans="8:8" x14ac:dyDescent="0.25">
      <c r="H10988" t="s">
        <v>12836</v>
      </c>
    </row>
    <row r="10989" spans="8:8" x14ac:dyDescent="0.25">
      <c r="H10989" t="s">
        <v>135</v>
      </c>
    </row>
    <row r="10990" spans="8:8" x14ac:dyDescent="0.25">
      <c r="H10990" t="s">
        <v>12837</v>
      </c>
    </row>
    <row r="10991" spans="8:8" x14ac:dyDescent="0.25">
      <c r="H10991" t="s">
        <v>30</v>
      </c>
    </row>
    <row r="10992" spans="8:8" x14ac:dyDescent="0.25">
      <c r="H10992" t="s">
        <v>136</v>
      </c>
    </row>
    <row r="10993" spans="8:8" x14ac:dyDescent="0.25">
      <c r="H10993" t="s">
        <v>12838</v>
      </c>
    </row>
    <row r="10994" spans="8:8" x14ac:dyDescent="0.25">
      <c r="H10994" t="s">
        <v>30</v>
      </c>
    </row>
    <row r="10995" spans="8:8" x14ac:dyDescent="0.25">
      <c r="H10995" t="s">
        <v>137</v>
      </c>
    </row>
    <row r="10996" spans="8:8" x14ac:dyDescent="0.25">
      <c r="H10996" t="s">
        <v>12839</v>
      </c>
    </row>
    <row r="10997" spans="8:8" x14ac:dyDescent="0.25">
      <c r="H10997" t="s">
        <v>30</v>
      </c>
    </row>
    <row r="10998" spans="8:8" x14ac:dyDescent="0.25">
      <c r="H10998" t="s">
        <v>138</v>
      </c>
    </row>
    <row r="10999" spans="8:8" x14ac:dyDescent="0.25">
      <c r="H10999" t="s">
        <v>12840</v>
      </c>
    </row>
    <row r="11000" spans="8:8" x14ac:dyDescent="0.25">
      <c r="H11000" t="s">
        <v>30</v>
      </c>
    </row>
    <row r="11002" spans="8:8" x14ac:dyDescent="0.25">
      <c r="H11002" t="s">
        <v>12841</v>
      </c>
    </row>
    <row r="11003" spans="8:8" x14ac:dyDescent="0.25">
      <c r="H11003" t="s">
        <v>12842</v>
      </c>
    </row>
    <row r="11004" spans="8:8" x14ac:dyDescent="0.25">
      <c r="H11004" t="s">
        <v>135</v>
      </c>
    </row>
    <row r="11005" spans="8:8" x14ac:dyDescent="0.25">
      <c r="H11005" t="s">
        <v>12843</v>
      </c>
    </row>
    <row r="11006" spans="8:8" x14ac:dyDescent="0.25">
      <c r="H11006" t="s">
        <v>30</v>
      </c>
    </row>
    <row r="11007" spans="8:8" x14ac:dyDescent="0.25">
      <c r="H11007" t="s">
        <v>136</v>
      </c>
    </row>
    <row r="11008" spans="8:8" x14ac:dyDescent="0.25">
      <c r="H11008" t="s">
        <v>12844</v>
      </c>
    </row>
    <row r="11009" spans="8:8" x14ac:dyDescent="0.25">
      <c r="H11009" t="s">
        <v>30</v>
      </c>
    </row>
    <row r="11010" spans="8:8" x14ac:dyDescent="0.25">
      <c r="H11010" t="s">
        <v>137</v>
      </c>
    </row>
    <row r="11011" spans="8:8" x14ac:dyDescent="0.25">
      <c r="H11011" t="s">
        <v>12845</v>
      </c>
    </row>
    <row r="11012" spans="8:8" x14ac:dyDescent="0.25">
      <c r="H11012" t="s">
        <v>30</v>
      </c>
    </row>
    <row r="11013" spans="8:8" x14ac:dyDescent="0.25">
      <c r="H11013" t="s">
        <v>138</v>
      </c>
    </row>
    <row r="11014" spans="8:8" x14ac:dyDescent="0.25">
      <c r="H11014" t="s">
        <v>12846</v>
      </c>
    </row>
    <row r="11015" spans="8:8" x14ac:dyDescent="0.25">
      <c r="H11015" t="s">
        <v>30</v>
      </c>
    </row>
    <row r="11017" spans="8:8" x14ac:dyDescent="0.25">
      <c r="H11017" t="s">
        <v>12847</v>
      </c>
    </row>
    <row r="11018" spans="8:8" x14ac:dyDescent="0.25">
      <c r="H11018" t="s">
        <v>12848</v>
      </c>
    </row>
    <row r="11019" spans="8:8" x14ac:dyDescent="0.25">
      <c r="H11019" t="s">
        <v>135</v>
      </c>
    </row>
    <row r="11020" spans="8:8" x14ac:dyDescent="0.25">
      <c r="H11020" t="s">
        <v>12849</v>
      </c>
    </row>
    <row r="11021" spans="8:8" x14ac:dyDescent="0.25">
      <c r="H11021" t="s">
        <v>30</v>
      </c>
    </row>
    <row r="11022" spans="8:8" x14ac:dyDescent="0.25">
      <c r="H11022" t="s">
        <v>136</v>
      </c>
    </row>
    <row r="11023" spans="8:8" x14ac:dyDescent="0.25">
      <c r="H11023" t="s">
        <v>12850</v>
      </c>
    </row>
    <row r="11024" spans="8:8" x14ac:dyDescent="0.25">
      <c r="H11024" t="s">
        <v>30</v>
      </c>
    </row>
    <row r="11025" spans="8:8" x14ac:dyDescent="0.25">
      <c r="H11025" t="s">
        <v>137</v>
      </c>
    </row>
    <row r="11026" spans="8:8" x14ac:dyDescent="0.25">
      <c r="H11026" t="s">
        <v>12851</v>
      </c>
    </row>
    <row r="11027" spans="8:8" x14ac:dyDescent="0.25">
      <c r="H11027" t="s">
        <v>30</v>
      </c>
    </row>
    <row r="11028" spans="8:8" x14ac:dyDescent="0.25">
      <c r="H11028" t="s">
        <v>138</v>
      </c>
    </row>
    <row r="11029" spans="8:8" x14ac:dyDescent="0.25">
      <c r="H11029" t="s">
        <v>12852</v>
      </c>
    </row>
    <row r="11030" spans="8:8" x14ac:dyDescent="0.25">
      <c r="H11030" t="s">
        <v>30</v>
      </c>
    </row>
    <row r="11032" spans="8:8" x14ac:dyDescent="0.25">
      <c r="H11032" t="s">
        <v>12853</v>
      </c>
    </row>
    <row r="11033" spans="8:8" x14ac:dyDescent="0.25">
      <c r="H11033" t="s">
        <v>12854</v>
      </c>
    </row>
    <row r="11034" spans="8:8" x14ac:dyDescent="0.25">
      <c r="H11034" t="s">
        <v>135</v>
      </c>
    </row>
    <row r="11035" spans="8:8" x14ac:dyDescent="0.25">
      <c r="H11035" t="s">
        <v>12855</v>
      </c>
    </row>
    <row r="11036" spans="8:8" x14ac:dyDescent="0.25">
      <c r="H11036" t="s">
        <v>30</v>
      </c>
    </row>
    <row r="11037" spans="8:8" x14ac:dyDescent="0.25">
      <c r="H11037" t="s">
        <v>136</v>
      </c>
    </row>
    <row r="11038" spans="8:8" x14ac:dyDescent="0.25">
      <c r="H11038" t="s">
        <v>12856</v>
      </c>
    </row>
    <row r="11039" spans="8:8" x14ac:dyDescent="0.25">
      <c r="H11039" t="s">
        <v>30</v>
      </c>
    </row>
    <row r="11040" spans="8:8" x14ac:dyDescent="0.25">
      <c r="H11040" t="s">
        <v>137</v>
      </c>
    </row>
    <row r="11041" spans="8:8" x14ac:dyDescent="0.25">
      <c r="H11041" t="s">
        <v>12857</v>
      </c>
    </row>
    <row r="11042" spans="8:8" x14ac:dyDescent="0.25">
      <c r="H11042" t="s">
        <v>30</v>
      </c>
    </row>
    <row r="11043" spans="8:8" x14ac:dyDescent="0.25">
      <c r="H11043" t="s">
        <v>138</v>
      </c>
    </row>
    <row r="11044" spans="8:8" x14ac:dyDescent="0.25">
      <c r="H11044" t="s">
        <v>12858</v>
      </c>
    </row>
    <row r="11045" spans="8:8" x14ac:dyDescent="0.25">
      <c r="H11045" t="s">
        <v>30</v>
      </c>
    </row>
    <row r="11047" spans="8:8" x14ac:dyDescent="0.25">
      <c r="H11047" t="s">
        <v>12859</v>
      </c>
    </row>
    <row r="11048" spans="8:8" x14ac:dyDescent="0.25">
      <c r="H11048" t="s">
        <v>12860</v>
      </c>
    </row>
    <row r="11049" spans="8:8" x14ac:dyDescent="0.25">
      <c r="H11049" t="s">
        <v>135</v>
      </c>
    </row>
    <row r="11050" spans="8:8" x14ac:dyDescent="0.25">
      <c r="H11050" t="s">
        <v>12861</v>
      </c>
    </row>
    <row r="11051" spans="8:8" x14ac:dyDescent="0.25">
      <c r="H11051" t="s">
        <v>30</v>
      </c>
    </row>
    <row r="11052" spans="8:8" x14ac:dyDescent="0.25">
      <c r="H11052" t="s">
        <v>136</v>
      </c>
    </row>
    <row r="11053" spans="8:8" x14ac:dyDescent="0.25">
      <c r="H11053" t="s">
        <v>12862</v>
      </c>
    </row>
    <row r="11054" spans="8:8" x14ac:dyDescent="0.25">
      <c r="H11054" t="s">
        <v>30</v>
      </c>
    </row>
    <row r="11055" spans="8:8" x14ac:dyDescent="0.25">
      <c r="H11055" t="s">
        <v>137</v>
      </c>
    </row>
    <row r="11056" spans="8:8" x14ac:dyDescent="0.25">
      <c r="H11056" t="s">
        <v>12863</v>
      </c>
    </row>
    <row r="11057" spans="8:8" x14ac:dyDescent="0.25">
      <c r="H11057" t="s">
        <v>30</v>
      </c>
    </row>
    <row r="11058" spans="8:8" x14ac:dyDescent="0.25">
      <c r="H11058" t="s">
        <v>138</v>
      </c>
    </row>
    <row r="11059" spans="8:8" x14ac:dyDescent="0.25">
      <c r="H11059" t="s">
        <v>12864</v>
      </c>
    </row>
    <row r="11060" spans="8:8" x14ac:dyDescent="0.25">
      <c r="H11060" t="s">
        <v>30</v>
      </c>
    </row>
    <row r="11062" spans="8:8" x14ac:dyDescent="0.25">
      <c r="H11062" t="s">
        <v>12865</v>
      </c>
    </row>
    <row r="11063" spans="8:8" x14ac:dyDescent="0.25">
      <c r="H11063" t="s">
        <v>12866</v>
      </c>
    </row>
    <row r="11064" spans="8:8" x14ac:dyDescent="0.25">
      <c r="H11064" t="s">
        <v>135</v>
      </c>
    </row>
    <row r="11065" spans="8:8" x14ac:dyDescent="0.25">
      <c r="H11065" t="s">
        <v>12867</v>
      </c>
    </row>
    <row r="11066" spans="8:8" x14ac:dyDescent="0.25">
      <c r="H11066" t="s">
        <v>30</v>
      </c>
    </row>
    <row r="11067" spans="8:8" x14ac:dyDescent="0.25">
      <c r="H11067" t="s">
        <v>136</v>
      </c>
    </row>
    <row r="11068" spans="8:8" x14ac:dyDescent="0.25">
      <c r="H11068" t="s">
        <v>12868</v>
      </c>
    </row>
    <row r="11069" spans="8:8" x14ac:dyDescent="0.25">
      <c r="H11069" t="s">
        <v>30</v>
      </c>
    </row>
    <row r="11070" spans="8:8" x14ac:dyDescent="0.25">
      <c r="H11070" t="s">
        <v>137</v>
      </c>
    </row>
    <row r="11071" spans="8:8" x14ac:dyDescent="0.25">
      <c r="H11071" t="s">
        <v>12869</v>
      </c>
    </row>
    <row r="11072" spans="8:8" x14ac:dyDescent="0.25">
      <c r="H11072" t="s">
        <v>30</v>
      </c>
    </row>
    <row r="11073" spans="8:8" x14ac:dyDescent="0.25">
      <c r="H11073" t="s">
        <v>138</v>
      </c>
    </row>
    <row r="11074" spans="8:8" x14ac:dyDescent="0.25">
      <c r="H11074" t="s">
        <v>12870</v>
      </c>
    </row>
    <row r="11075" spans="8:8" x14ac:dyDescent="0.25">
      <c r="H11075" t="s">
        <v>30</v>
      </c>
    </row>
    <row r="11077" spans="8:8" x14ac:dyDescent="0.25">
      <c r="H11077" t="s">
        <v>12871</v>
      </c>
    </row>
    <row r="11078" spans="8:8" x14ac:dyDescent="0.25">
      <c r="H11078" t="s">
        <v>12872</v>
      </c>
    </row>
    <row r="11079" spans="8:8" x14ac:dyDescent="0.25">
      <c r="H11079" t="s">
        <v>135</v>
      </c>
    </row>
    <row r="11080" spans="8:8" x14ac:dyDescent="0.25">
      <c r="H11080" t="s">
        <v>12873</v>
      </c>
    </row>
    <row r="11081" spans="8:8" x14ac:dyDescent="0.25">
      <c r="H11081" t="s">
        <v>30</v>
      </c>
    </row>
    <row r="11082" spans="8:8" x14ac:dyDescent="0.25">
      <c r="H11082" t="s">
        <v>136</v>
      </c>
    </row>
    <row r="11083" spans="8:8" x14ac:dyDescent="0.25">
      <c r="H11083" t="s">
        <v>12874</v>
      </c>
    </row>
    <row r="11084" spans="8:8" x14ac:dyDescent="0.25">
      <c r="H11084" t="s">
        <v>30</v>
      </c>
    </row>
    <row r="11085" spans="8:8" x14ac:dyDescent="0.25">
      <c r="H11085" t="s">
        <v>137</v>
      </c>
    </row>
    <row r="11086" spans="8:8" x14ac:dyDescent="0.25">
      <c r="H11086" t="s">
        <v>12875</v>
      </c>
    </row>
    <row r="11087" spans="8:8" x14ac:dyDescent="0.25">
      <c r="H11087" t="s">
        <v>30</v>
      </c>
    </row>
    <row r="11088" spans="8:8" x14ac:dyDescent="0.25">
      <c r="H11088" t="s">
        <v>138</v>
      </c>
    </row>
    <row r="11089" spans="8:8" x14ac:dyDescent="0.25">
      <c r="H11089" t="s">
        <v>12876</v>
      </c>
    </row>
    <row r="11090" spans="8:8" x14ac:dyDescent="0.25">
      <c r="H11090" t="s">
        <v>30</v>
      </c>
    </row>
    <row r="11092" spans="8:8" x14ac:dyDescent="0.25">
      <c r="H11092" t="s">
        <v>12877</v>
      </c>
    </row>
    <row r="11093" spans="8:8" x14ac:dyDescent="0.25">
      <c r="H11093" t="s">
        <v>12878</v>
      </c>
    </row>
    <row r="11094" spans="8:8" x14ac:dyDescent="0.25">
      <c r="H11094" t="s">
        <v>135</v>
      </c>
    </row>
    <row r="11095" spans="8:8" x14ac:dyDescent="0.25">
      <c r="H11095" t="s">
        <v>12879</v>
      </c>
    </row>
    <row r="11096" spans="8:8" x14ac:dyDescent="0.25">
      <c r="H11096" t="s">
        <v>30</v>
      </c>
    </row>
    <row r="11097" spans="8:8" x14ac:dyDescent="0.25">
      <c r="H11097" t="s">
        <v>136</v>
      </c>
    </row>
    <row r="11098" spans="8:8" x14ac:dyDescent="0.25">
      <c r="H11098" t="s">
        <v>12880</v>
      </c>
    </row>
    <row r="11099" spans="8:8" x14ac:dyDescent="0.25">
      <c r="H11099" t="s">
        <v>30</v>
      </c>
    </row>
    <row r="11100" spans="8:8" x14ac:dyDescent="0.25">
      <c r="H11100" t="s">
        <v>137</v>
      </c>
    </row>
    <row r="11101" spans="8:8" x14ac:dyDescent="0.25">
      <c r="H11101" t="s">
        <v>12881</v>
      </c>
    </row>
    <row r="11102" spans="8:8" x14ac:dyDescent="0.25">
      <c r="H11102" t="s">
        <v>30</v>
      </c>
    </row>
    <row r="11103" spans="8:8" x14ac:dyDescent="0.25">
      <c r="H11103" t="s">
        <v>138</v>
      </c>
    </row>
    <row r="11104" spans="8:8" x14ac:dyDescent="0.25">
      <c r="H11104" t="s">
        <v>12882</v>
      </c>
    </row>
    <row r="11105" spans="8:8" x14ac:dyDescent="0.25">
      <c r="H11105" t="s">
        <v>30</v>
      </c>
    </row>
    <row r="11107" spans="8:8" x14ac:dyDescent="0.25">
      <c r="H11107" t="s">
        <v>12883</v>
      </c>
    </row>
    <row r="11108" spans="8:8" x14ac:dyDescent="0.25">
      <c r="H11108" t="s">
        <v>12884</v>
      </c>
    </row>
    <row r="11109" spans="8:8" x14ac:dyDescent="0.25">
      <c r="H11109" t="s">
        <v>135</v>
      </c>
    </row>
    <row r="11110" spans="8:8" x14ac:dyDescent="0.25">
      <c r="H11110" t="s">
        <v>12885</v>
      </c>
    </row>
    <row r="11111" spans="8:8" x14ac:dyDescent="0.25">
      <c r="H11111" t="s">
        <v>30</v>
      </c>
    </row>
    <row r="11112" spans="8:8" x14ac:dyDescent="0.25">
      <c r="H11112" t="s">
        <v>136</v>
      </c>
    </row>
    <row r="11113" spans="8:8" x14ac:dyDescent="0.25">
      <c r="H11113" t="s">
        <v>12886</v>
      </c>
    </row>
    <row r="11114" spans="8:8" x14ac:dyDescent="0.25">
      <c r="H11114" t="s">
        <v>30</v>
      </c>
    </row>
    <row r="11115" spans="8:8" x14ac:dyDescent="0.25">
      <c r="H11115" t="s">
        <v>137</v>
      </c>
    </row>
    <row r="11116" spans="8:8" x14ac:dyDescent="0.25">
      <c r="H11116" t="s">
        <v>12887</v>
      </c>
    </row>
    <row r="11117" spans="8:8" x14ac:dyDescent="0.25">
      <c r="H11117" t="s">
        <v>30</v>
      </c>
    </row>
    <row r="11118" spans="8:8" x14ac:dyDescent="0.25">
      <c r="H11118" t="s">
        <v>138</v>
      </c>
    </row>
    <row r="11119" spans="8:8" x14ac:dyDescent="0.25">
      <c r="H11119" t="s">
        <v>12888</v>
      </c>
    </row>
    <row r="11120" spans="8:8" x14ac:dyDescent="0.25">
      <c r="H11120" t="s">
        <v>30</v>
      </c>
    </row>
    <row r="11122" spans="8:8" x14ac:dyDescent="0.25">
      <c r="H11122" t="s">
        <v>12889</v>
      </c>
    </row>
    <row r="11123" spans="8:8" x14ac:dyDescent="0.25">
      <c r="H11123" t="s">
        <v>12890</v>
      </c>
    </row>
    <row r="11124" spans="8:8" x14ac:dyDescent="0.25">
      <c r="H11124" t="s">
        <v>135</v>
      </c>
    </row>
    <row r="11125" spans="8:8" x14ac:dyDescent="0.25">
      <c r="H11125" t="s">
        <v>12891</v>
      </c>
    </row>
    <row r="11126" spans="8:8" x14ac:dyDescent="0.25">
      <c r="H11126" t="s">
        <v>30</v>
      </c>
    </row>
    <row r="11127" spans="8:8" x14ac:dyDescent="0.25">
      <c r="H11127" t="s">
        <v>136</v>
      </c>
    </row>
    <row r="11128" spans="8:8" x14ac:dyDescent="0.25">
      <c r="H11128" t="s">
        <v>12892</v>
      </c>
    </row>
    <row r="11129" spans="8:8" x14ac:dyDescent="0.25">
      <c r="H11129" t="s">
        <v>30</v>
      </c>
    </row>
    <row r="11130" spans="8:8" x14ac:dyDescent="0.25">
      <c r="H11130" t="s">
        <v>137</v>
      </c>
    </row>
    <row r="11131" spans="8:8" x14ac:dyDescent="0.25">
      <c r="H11131" t="s">
        <v>12893</v>
      </c>
    </row>
    <row r="11132" spans="8:8" x14ac:dyDescent="0.25">
      <c r="H11132" t="s">
        <v>30</v>
      </c>
    </row>
    <row r="11133" spans="8:8" x14ac:dyDescent="0.25">
      <c r="H11133" t="s">
        <v>138</v>
      </c>
    </row>
    <row r="11134" spans="8:8" x14ac:dyDescent="0.25">
      <c r="H11134" t="s">
        <v>12894</v>
      </c>
    </row>
    <row r="11135" spans="8:8" x14ac:dyDescent="0.25">
      <c r="H11135" t="s">
        <v>30</v>
      </c>
    </row>
    <row r="11137" spans="8:8" x14ac:dyDescent="0.25">
      <c r="H11137" t="s">
        <v>12895</v>
      </c>
    </row>
    <row r="11138" spans="8:8" x14ac:dyDescent="0.25">
      <c r="H11138" t="s">
        <v>12896</v>
      </c>
    </row>
    <row r="11139" spans="8:8" x14ac:dyDescent="0.25">
      <c r="H11139" t="s">
        <v>135</v>
      </c>
    </row>
    <row r="11140" spans="8:8" x14ac:dyDescent="0.25">
      <c r="H11140" t="s">
        <v>12897</v>
      </c>
    </row>
    <row r="11141" spans="8:8" x14ac:dyDescent="0.25">
      <c r="H11141" t="s">
        <v>30</v>
      </c>
    </row>
    <row r="11142" spans="8:8" x14ac:dyDescent="0.25">
      <c r="H11142" t="s">
        <v>136</v>
      </c>
    </row>
    <row r="11143" spans="8:8" x14ac:dyDescent="0.25">
      <c r="H11143" t="s">
        <v>12898</v>
      </c>
    </row>
    <row r="11144" spans="8:8" x14ac:dyDescent="0.25">
      <c r="H11144" t="s">
        <v>30</v>
      </c>
    </row>
    <row r="11145" spans="8:8" x14ac:dyDescent="0.25">
      <c r="H11145" t="s">
        <v>137</v>
      </c>
    </row>
    <row r="11146" spans="8:8" x14ac:dyDescent="0.25">
      <c r="H11146" t="s">
        <v>12899</v>
      </c>
    </row>
    <row r="11147" spans="8:8" x14ac:dyDescent="0.25">
      <c r="H11147" t="s">
        <v>30</v>
      </c>
    </row>
    <row r="11148" spans="8:8" x14ac:dyDescent="0.25">
      <c r="H11148" t="s">
        <v>138</v>
      </c>
    </row>
    <row r="11149" spans="8:8" x14ac:dyDescent="0.25">
      <c r="H11149" t="s">
        <v>12900</v>
      </c>
    </row>
    <row r="11150" spans="8:8" x14ac:dyDescent="0.25">
      <c r="H11150" t="s">
        <v>30</v>
      </c>
    </row>
    <row r="11152" spans="8:8" x14ac:dyDescent="0.25">
      <c r="H11152" t="s">
        <v>12901</v>
      </c>
    </row>
    <row r="11153" spans="8:8" x14ac:dyDescent="0.25">
      <c r="H11153" t="s">
        <v>12902</v>
      </c>
    </row>
    <row r="11154" spans="8:8" x14ac:dyDescent="0.25">
      <c r="H11154" t="s">
        <v>135</v>
      </c>
    </row>
    <row r="11155" spans="8:8" x14ac:dyDescent="0.25">
      <c r="H11155" t="s">
        <v>12903</v>
      </c>
    </row>
    <row r="11156" spans="8:8" x14ac:dyDescent="0.25">
      <c r="H11156" t="s">
        <v>30</v>
      </c>
    </row>
    <row r="11157" spans="8:8" x14ac:dyDescent="0.25">
      <c r="H11157" t="s">
        <v>136</v>
      </c>
    </row>
    <row r="11158" spans="8:8" x14ac:dyDescent="0.25">
      <c r="H11158" t="s">
        <v>12904</v>
      </c>
    </row>
    <row r="11159" spans="8:8" x14ac:dyDescent="0.25">
      <c r="H11159" t="s">
        <v>30</v>
      </c>
    </row>
    <row r="11160" spans="8:8" x14ac:dyDescent="0.25">
      <c r="H11160" t="s">
        <v>137</v>
      </c>
    </row>
    <row r="11161" spans="8:8" x14ac:dyDescent="0.25">
      <c r="H11161" t="s">
        <v>12905</v>
      </c>
    </row>
    <row r="11162" spans="8:8" x14ac:dyDescent="0.25">
      <c r="H11162" t="s">
        <v>30</v>
      </c>
    </row>
    <row r="11163" spans="8:8" x14ac:dyDescent="0.25">
      <c r="H11163" t="s">
        <v>138</v>
      </c>
    </row>
    <row r="11164" spans="8:8" x14ac:dyDescent="0.25">
      <c r="H11164" t="s">
        <v>12906</v>
      </c>
    </row>
    <row r="11165" spans="8:8" x14ac:dyDescent="0.25">
      <c r="H11165" t="s">
        <v>30</v>
      </c>
    </row>
    <row r="11167" spans="8:8" x14ac:dyDescent="0.25">
      <c r="H11167" t="s">
        <v>12907</v>
      </c>
    </row>
    <row r="11168" spans="8:8" x14ac:dyDescent="0.25">
      <c r="H11168" t="s">
        <v>12908</v>
      </c>
    </row>
    <row r="11169" spans="8:8" x14ac:dyDescent="0.25">
      <c r="H11169" t="s">
        <v>135</v>
      </c>
    </row>
    <row r="11170" spans="8:8" x14ac:dyDescent="0.25">
      <c r="H11170" t="s">
        <v>12909</v>
      </c>
    </row>
    <row r="11171" spans="8:8" x14ac:dyDescent="0.25">
      <c r="H11171" t="s">
        <v>30</v>
      </c>
    </row>
    <row r="11172" spans="8:8" x14ac:dyDescent="0.25">
      <c r="H11172" t="s">
        <v>136</v>
      </c>
    </row>
    <row r="11173" spans="8:8" x14ac:dyDescent="0.25">
      <c r="H11173" t="s">
        <v>12910</v>
      </c>
    </row>
    <row r="11174" spans="8:8" x14ac:dyDescent="0.25">
      <c r="H11174" t="s">
        <v>30</v>
      </c>
    </row>
    <row r="11175" spans="8:8" x14ac:dyDescent="0.25">
      <c r="H11175" t="s">
        <v>137</v>
      </c>
    </row>
    <row r="11176" spans="8:8" x14ac:dyDescent="0.25">
      <c r="H11176" t="s">
        <v>12911</v>
      </c>
    </row>
    <row r="11177" spans="8:8" x14ac:dyDescent="0.25">
      <c r="H11177" t="s">
        <v>30</v>
      </c>
    </row>
    <row r="11178" spans="8:8" x14ac:dyDescent="0.25">
      <c r="H11178" t="s">
        <v>138</v>
      </c>
    </row>
    <row r="11179" spans="8:8" x14ac:dyDescent="0.25">
      <c r="H11179" t="s">
        <v>12912</v>
      </c>
    </row>
    <row r="11180" spans="8:8" x14ac:dyDescent="0.25">
      <c r="H11180" t="s">
        <v>30</v>
      </c>
    </row>
    <row r="11182" spans="8:8" x14ac:dyDescent="0.25">
      <c r="H11182" t="s">
        <v>12913</v>
      </c>
    </row>
    <row r="11183" spans="8:8" x14ac:dyDescent="0.25">
      <c r="H11183" t="s">
        <v>12914</v>
      </c>
    </row>
    <row r="11184" spans="8:8" x14ac:dyDescent="0.25">
      <c r="H11184" t="s">
        <v>135</v>
      </c>
    </row>
    <row r="11185" spans="8:8" x14ac:dyDescent="0.25">
      <c r="H11185" t="s">
        <v>12915</v>
      </c>
    </row>
    <row r="11186" spans="8:8" x14ac:dyDescent="0.25">
      <c r="H11186" t="s">
        <v>30</v>
      </c>
    </row>
    <row r="11187" spans="8:8" x14ac:dyDescent="0.25">
      <c r="H11187" t="s">
        <v>136</v>
      </c>
    </row>
    <row r="11188" spans="8:8" x14ac:dyDescent="0.25">
      <c r="H11188" t="s">
        <v>12916</v>
      </c>
    </row>
    <row r="11189" spans="8:8" x14ac:dyDescent="0.25">
      <c r="H11189" t="s">
        <v>30</v>
      </c>
    </row>
    <row r="11190" spans="8:8" x14ac:dyDescent="0.25">
      <c r="H11190" t="s">
        <v>137</v>
      </c>
    </row>
    <row r="11191" spans="8:8" x14ac:dyDescent="0.25">
      <c r="H11191" t="s">
        <v>12917</v>
      </c>
    </row>
    <row r="11192" spans="8:8" x14ac:dyDescent="0.25">
      <c r="H11192" t="s">
        <v>30</v>
      </c>
    </row>
    <row r="11193" spans="8:8" x14ac:dyDescent="0.25">
      <c r="H11193" t="s">
        <v>138</v>
      </c>
    </row>
    <row r="11194" spans="8:8" x14ac:dyDescent="0.25">
      <c r="H11194" t="s">
        <v>12918</v>
      </c>
    </row>
    <row r="11195" spans="8:8" x14ac:dyDescent="0.25">
      <c r="H11195" t="s">
        <v>30</v>
      </c>
    </row>
    <row r="11197" spans="8:8" x14ac:dyDescent="0.25">
      <c r="H11197" t="s">
        <v>12919</v>
      </c>
    </row>
    <row r="11198" spans="8:8" x14ac:dyDescent="0.25">
      <c r="H11198" t="s">
        <v>12920</v>
      </c>
    </row>
    <row r="11199" spans="8:8" x14ac:dyDescent="0.25">
      <c r="H11199" t="s">
        <v>135</v>
      </c>
    </row>
    <row r="11200" spans="8:8" x14ac:dyDescent="0.25">
      <c r="H11200" t="s">
        <v>12921</v>
      </c>
    </row>
    <row r="11201" spans="8:8" x14ac:dyDescent="0.25">
      <c r="H11201" t="s">
        <v>30</v>
      </c>
    </row>
    <row r="11202" spans="8:8" x14ac:dyDescent="0.25">
      <c r="H11202" t="s">
        <v>136</v>
      </c>
    </row>
    <row r="11203" spans="8:8" x14ac:dyDescent="0.25">
      <c r="H11203" t="s">
        <v>12922</v>
      </c>
    </row>
    <row r="11204" spans="8:8" x14ac:dyDescent="0.25">
      <c r="H11204" t="s">
        <v>30</v>
      </c>
    </row>
    <row r="11205" spans="8:8" x14ac:dyDescent="0.25">
      <c r="H11205" t="s">
        <v>137</v>
      </c>
    </row>
    <row r="11206" spans="8:8" x14ac:dyDescent="0.25">
      <c r="H11206" t="s">
        <v>12923</v>
      </c>
    </row>
    <row r="11207" spans="8:8" x14ac:dyDescent="0.25">
      <c r="H11207" t="s">
        <v>30</v>
      </c>
    </row>
    <row r="11208" spans="8:8" x14ac:dyDescent="0.25">
      <c r="H11208" t="s">
        <v>138</v>
      </c>
    </row>
    <row r="11209" spans="8:8" x14ac:dyDescent="0.25">
      <c r="H11209" t="s">
        <v>12924</v>
      </c>
    </row>
    <row r="11210" spans="8:8" x14ac:dyDescent="0.25">
      <c r="H11210" t="s">
        <v>30</v>
      </c>
    </row>
    <row r="11212" spans="8:8" x14ac:dyDescent="0.25">
      <c r="H11212" t="s">
        <v>12925</v>
      </c>
    </row>
    <row r="11213" spans="8:8" x14ac:dyDescent="0.25">
      <c r="H11213" t="s">
        <v>12926</v>
      </c>
    </row>
    <row r="11214" spans="8:8" x14ac:dyDescent="0.25">
      <c r="H11214" t="s">
        <v>135</v>
      </c>
    </row>
    <row r="11215" spans="8:8" x14ac:dyDescent="0.25">
      <c r="H11215" t="s">
        <v>12927</v>
      </c>
    </row>
    <row r="11216" spans="8:8" x14ac:dyDescent="0.25">
      <c r="H11216" t="s">
        <v>30</v>
      </c>
    </row>
    <row r="11217" spans="8:8" x14ac:dyDescent="0.25">
      <c r="H11217" t="s">
        <v>136</v>
      </c>
    </row>
    <row r="11218" spans="8:8" x14ac:dyDescent="0.25">
      <c r="H11218" t="s">
        <v>12928</v>
      </c>
    </row>
    <row r="11219" spans="8:8" x14ac:dyDescent="0.25">
      <c r="H11219" t="s">
        <v>30</v>
      </c>
    </row>
    <row r="11220" spans="8:8" x14ac:dyDescent="0.25">
      <c r="H11220" t="s">
        <v>137</v>
      </c>
    </row>
    <row r="11221" spans="8:8" x14ac:dyDescent="0.25">
      <c r="H11221" t="s">
        <v>12929</v>
      </c>
    </row>
    <row r="11222" spans="8:8" x14ac:dyDescent="0.25">
      <c r="H11222" t="s">
        <v>30</v>
      </c>
    </row>
    <row r="11223" spans="8:8" x14ac:dyDescent="0.25">
      <c r="H11223" t="s">
        <v>138</v>
      </c>
    </row>
    <row r="11224" spans="8:8" x14ac:dyDescent="0.25">
      <c r="H11224" t="s">
        <v>12930</v>
      </c>
    </row>
    <row r="11225" spans="8:8" x14ac:dyDescent="0.25">
      <c r="H11225" t="s">
        <v>30</v>
      </c>
    </row>
    <row r="11227" spans="8:8" x14ac:dyDescent="0.25">
      <c r="H11227" t="s">
        <v>12931</v>
      </c>
    </row>
    <row r="11228" spans="8:8" x14ac:dyDescent="0.25">
      <c r="H11228" t="s">
        <v>12932</v>
      </c>
    </row>
    <row r="11229" spans="8:8" x14ac:dyDescent="0.25">
      <c r="H11229" t="s">
        <v>135</v>
      </c>
    </row>
    <row r="11230" spans="8:8" x14ac:dyDescent="0.25">
      <c r="H11230" t="s">
        <v>12933</v>
      </c>
    </row>
    <row r="11231" spans="8:8" x14ac:dyDescent="0.25">
      <c r="H11231" t="s">
        <v>30</v>
      </c>
    </row>
    <row r="11232" spans="8:8" x14ac:dyDescent="0.25">
      <c r="H11232" t="s">
        <v>136</v>
      </c>
    </row>
    <row r="11233" spans="8:8" x14ac:dyDescent="0.25">
      <c r="H11233" t="s">
        <v>12934</v>
      </c>
    </row>
    <row r="11234" spans="8:8" x14ac:dyDescent="0.25">
      <c r="H11234" t="s">
        <v>30</v>
      </c>
    </row>
    <row r="11235" spans="8:8" x14ac:dyDescent="0.25">
      <c r="H11235" t="s">
        <v>137</v>
      </c>
    </row>
    <row r="11236" spans="8:8" x14ac:dyDescent="0.25">
      <c r="H11236" t="s">
        <v>12935</v>
      </c>
    </row>
    <row r="11237" spans="8:8" x14ac:dyDescent="0.25">
      <c r="H11237" t="s">
        <v>30</v>
      </c>
    </row>
    <row r="11238" spans="8:8" x14ac:dyDescent="0.25">
      <c r="H11238" t="s">
        <v>138</v>
      </c>
    </row>
    <row r="11239" spans="8:8" x14ac:dyDescent="0.25">
      <c r="H11239" t="s">
        <v>12936</v>
      </c>
    </row>
    <row r="11240" spans="8:8" x14ac:dyDescent="0.25">
      <c r="H11240" t="s">
        <v>30</v>
      </c>
    </row>
    <row r="11242" spans="8:8" x14ac:dyDescent="0.25">
      <c r="H11242" t="s">
        <v>12937</v>
      </c>
    </row>
    <row r="11243" spans="8:8" x14ac:dyDescent="0.25">
      <c r="H11243" t="s">
        <v>12938</v>
      </c>
    </row>
    <row r="11244" spans="8:8" x14ac:dyDescent="0.25">
      <c r="H11244" t="s">
        <v>135</v>
      </c>
    </row>
    <row r="11245" spans="8:8" x14ac:dyDescent="0.25">
      <c r="H11245" t="s">
        <v>12939</v>
      </c>
    </row>
    <row r="11246" spans="8:8" x14ac:dyDescent="0.25">
      <c r="H11246" t="s">
        <v>30</v>
      </c>
    </row>
    <row r="11247" spans="8:8" x14ac:dyDescent="0.25">
      <c r="H11247" t="s">
        <v>136</v>
      </c>
    </row>
    <row r="11248" spans="8:8" x14ac:dyDescent="0.25">
      <c r="H11248" t="s">
        <v>12940</v>
      </c>
    </row>
    <row r="11249" spans="8:8" x14ac:dyDescent="0.25">
      <c r="H11249" t="s">
        <v>30</v>
      </c>
    </row>
    <row r="11250" spans="8:8" x14ac:dyDescent="0.25">
      <c r="H11250" t="s">
        <v>137</v>
      </c>
    </row>
    <row r="11251" spans="8:8" x14ac:dyDescent="0.25">
      <c r="H11251" t="s">
        <v>12941</v>
      </c>
    </row>
    <row r="11252" spans="8:8" x14ac:dyDescent="0.25">
      <c r="H11252" t="s">
        <v>30</v>
      </c>
    </row>
    <row r="11253" spans="8:8" x14ac:dyDescent="0.25">
      <c r="H11253" t="s">
        <v>138</v>
      </c>
    </row>
    <row r="11254" spans="8:8" x14ac:dyDescent="0.25">
      <c r="H11254" t="s">
        <v>12942</v>
      </c>
    </row>
    <row r="11255" spans="8:8" x14ac:dyDescent="0.25">
      <c r="H11255" t="s">
        <v>30</v>
      </c>
    </row>
    <row r="11257" spans="8:8" x14ac:dyDescent="0.25">
      <c r="H11257" t="s">
        <v>12943</v>
      </c>
    </row>
    <row r="11258" spans="8:8" x14ac:dyDescent="0.25">
      <c r="H11258" t="s">
        <v>12944</v>
      </c>
    </row>
    <row r="11259" spans="8:8" x14ac:dyDescent="0.25">
      <c r="H11259" t="s">
        <v>135</v>
      </c>
    </row>
    <row r="11260" spans="8:8" x14ac:dyDescent="0.25">
      <c r="H11260" t="s">
        <v>12945</v>
      </c>
    </row>
    <row r="11261" spans="8:8" x14ac:dyDescent="0.25">
      <c r="H11261" t="s">
        <v>30</v>
      </c>
    </row>
    <row r="11262" spans="8:8" x14ac:dyDescent="0.25">
      <c r="H11262" t="s">
        <v>136</v>
      </c>
    </row>
    <row r="11263" spans="8:8" x14ac:dyDescent="0.25">
      <c r="H11263" t="s">
        <v>12946</v>
      </c>
    </row>
    <row r="11264" spans="8:8" x14ac:dyDescent="0.25">
      <c r="H11264" t="s">
        <v>30</v>
      </c>
    </row>
    <row r="11265" spans="8:8" x14ac:dyDescent="0.25">
      <c r="H11265" t="s">
        <v>137</v>
      </c>
    </row>
    <row r="11266" spans="8:8" x14ac:dyDescent="0.25">
      <c r="H11266" t="s">
        <v>12947</v>
      </c>
    </row>
    <row r="11267" spans="8:8" x14ac:dyDescent="0.25">
      <c r="H11267" t="s">
        <v>30</v>
      </c>
    </row>
    <row r="11268" spans="8:8" x14ac:dyDescent="0.25">
      <c r="H11268" t="s">
        <v>138</v>
      </c>
    </row>
    <row r="11269" spans="8:8" x14ac:dyDescent="0.25">
      <c r="H11269" t="s">
        <v>12948</v>
      </c>
    </row>
    <row r="11270" spans="8:8" x14ac:dyDescent="0.25">
      <c r="H11270" t="s">
        <v>30</v>
      </c>
    </row>
    <row r="11272" spans="8:8" x14ac:dyDescent="0.25">
      <c r="H11272" t="s">
        <v>12949</v>
      </c>
    </row>
    <row r="11273" spans="8:8" x14ac:dyDescent="0.25">
      <c r="H11273" t="s">
        <v>12950</v>
      </c>
    </row>
    <row r="11274" spans="8:8" x14ac:dyDescent="0.25">
      <c r="H11274" t="s">
        <v>135</v>
      </c>
    </row>
    <row r="11275" spans="8:8" x14ac:dyDescent="0.25">
      <c r="H11275" t="s">
        <v>12951</v>
      </c>
    </row>
    <row r="11276" spans="8:8" x14ac:dyDescent="0.25">
      <c r="H11276" t="s">
        <v>30</v>
      </c>
    </row>
    <row r="11277" spans="8:8" x14ac:dyDescent="0.25">
      <c r="H11277" t="s">
        <v>136</v>
      </c>
    </row>
    <row r="11278" spans="8:8" x14ac:dyDescent="0.25">
      <c r="H11278" t="s">
        <v>12952</v>
      </c>
    </row>
    <row r="11279" spans="8:8" x14ac:dyDescent="0.25">
      <c r="H11279" t="s">
        <v>30</v>
      </c>
    </row>
    <row r="11280" spans="8:8" x14ac:dyDescent="0.25">
      <c r="H11280" t="s">
        <v>137</v>
      </c>
    </row>
    <row r="11281" spans="8:8" x14ac:dyDescent="0.25">
      <c r="H11281" t="s">
        <v>12953</v>
      </c>
    </row>
    <row r="11282" spans="8:8" x14ac:dyDescent="0.25">
      <c r="H11282" t="s">
        <v>30</v>
      </c>
    </row>
    <row r="11283" spans="8:8" x14ac:dyDescent="0.25">
      <c r="H11283" t="s">
        <v>138</v>
      </c>
    </row>
    <row r="11284" spans="8:8" x14ac:dyDescent="0.25">
      <c r="H11284" t="s">
        <v>12954</v>
      </c>
    </row>
    <row r="11285" spans="8:8" x14ac:dyDescent="0.25">
      <c r="H11285" t="s">
        <v>30</v>
      </c>
    </row>
    <row r="11287" spans="8:8" x14ac:dyDescent="0.25">
      <c r="H11287" t="s">
        <v>12955</v>
      </c>
    </row>
    <row r="11288" spans="8:8" x14ac:dyDescent="0.25">
      <c r="H11288" t="s">
        <v>12956</v>
      </c>
    </row>
    <row r="11289" spans="8:8" x14ac:dyDescent="0.25">
      <c r="H11289" t="s">
        <v>135</v>
      </c>
    </row>
    <row r="11290" spans="8:8" x14ac:dyDescent="0.25">
      <c r="H11290" t="s">
        <v>12957</v>
      </c>
    </row>
    <row r="11291" spans="8:8" x14ac:dyDescent="0.25">
      <c r="H11291" t="s">
        <v>30</v>
      </c>
    </row>
    <row r="11292" spans="8:8" x14ac:dyDescent="0.25">
      <c r="H11292" t="s">
        <v>136</v>
      </c>
    </row>
    <row r="11293" spans="8:8" x14ac:dyDescent="0.25">
      <c r="H11293" t="s">
        <v>12958</v>
      </c>
    </row>
    <row r="11294" spans="8:8" x14ac:dyDescent="0.25">
      <c r="H11294" t="s">
        <v>30</v>
      </c>
    </row>
    <row r="11295" spans="8:8" x14ac:dyDescent="0.25">
      <c r="H11295" t="s">
        <v>137</v>
      </c>
    </row>
    <row r="11296" spans="8:8" x14ac:dyDescent="0.25">
      <c r="H11296" t="s">
        <v>12959</v>
      </c>
    </row>
    <row r="11297" spans="8:8" x14ac:dyDescent="0.25">
      <c r="H11297" t="s">
        <v>30</v>
      </c>
    </row>
    <row r="11298" spans="8:8" x14ac:dyDescent="0.25">
      <c r="H11298" t="s">
        <v>138</v>
      </c>
    </row>
    <row r="11299" spans="8:8" x14ac:dyDescent="0.25">
      <c r="H11299" t="s">
        <v>12960</v>
      </c>
    </row>
    <row r="11300" spans="8:8" x14ac:dyDescent="0.25">
      <c r="H11300" t="s">
        <v>30</v>
      </c>
    </row>
    <row r="11302" spans="8:8" x14ac:dyDescent="0.25">
      <c r="H11302" t="s">
        <v>12961</v>
      </c>
    </row>
    <row r="11303" spans="8:8" x14ac:dyDescent="0.25">
      <c r="H11303" t="s">
        <v>12962</v>
      </c>
    </row>
    <row r="11304" spans="8:8" x14ac:dyDescent="0.25">
      <c r="H11304" t="s">
        <v>135</v>
      </c>
    </row>
    <row r="11305" spans="8:8" x14ac:dyDescent="0.25">
      <c r="H11305" t="s">
        <v>12963</v>
      </c>
    </row>
    <row r="11306" spans="8:8" x14ac:dyDescent="0.25">
      <c r="H11306" t="s">
        <v>30</v>
      </c>
    </row>
    <row r="11307" spans="8:8" x14ac:dyDescent="0.25">
      <c r="H11307" t="s">
        <v>136</v>
      </c>
    </row>
    <row r="11308" spans="8:8" x14ac:dyDescent="0.25">
      <c r="H11308" t="s">
        <v>12964</v>
      </c>
    </row>
    <row r="11309" spans="8:8" x14ac:dyDescent="0.25">
      <c r="H11309" t="s">
        <v>30</v>
      </c>
    </row>
    <row r="11310" spans="8:8" x14ac:dyDescent="0.25">
      <c r="H11310" t="s">
        <v>137</v>
      </c>
    </row>
    <row r="11311" spans="8:8" x14ac:dyDescent="0.25">
      <c r="H11311" t="s">
        <v>12965</v>
      </c>
    </row>
    <row r="11312" spans="8:8" x14ac:dyDescent="0.25">
      <c r="H11312" t="s">
        <v>30</v>
      </c>
    </row>
    <row r="11313" spans="8:8" x14ac:dyDescent="0.25">
      <c r="H11313" t="s">
        <v>138</v>
      </c>
    </row>
    <row r="11314" spans="8:8" x14ac:dyDescent="0.25">
      <c r="H11314" t="s">
        <v>12966</v>
      </c>
    </row>
    <row r="11315" spans="8:8" x14ac:dyDescent="0.25">
      <c r="H11315" t="s">
        <v>30</v>
      </c>
    </row>
    <row r="11317" spans="8:8" x14ac:dyDescent="0.25">
      <c r="H11317" t="s">
        <v>12967</v>
      </c>
    </row>
    <row r="11318" spans="8:8" x14ac:dyDescent="0.25">
      <c r="H11318" t="s">
        <v>12968</v>
      </c>
    </row>
    <row r="11319" spans="8:8" x14ac:dyDescent="0.25">
      <c r="H11319" t="s">
        <v>135</v>
      </c>
    </row>
    <row r="11320" spans="8:8" x14ac:dyDescent="0.25">
      <c r="H11320" t="s">
        <v>12969</v>
      </c>
    </row>
    <row r="11321" spans="8:8" x14ac:dyDescent="0.25">
      <c r="H11321" t="s">
        <v>30</v>
      </c>
    </row>
    <row r="11322" spans="8:8" x14ac:dyDescent="0.25">
      <c r="H11322" t="s">
        <v>136</v>
      </c>
    </row>
    <row r="11323" spans="8:8" x14ac:dyDescent="0.25">
      <c r="H11323" t="s">
        <v>12970</v>
      </c>
    </row>
    <row r="11324" spans="8:8" x14ac:dyDescent="0.25">
      <c r="H11324" t="s">
        <v>30</v>
      </c>
    </row>
    <row r="11325" spans="8:8" x14ac:dyDescent="0.25">
      <c r="H11325" t="s">
        <v>137</v>
      </c>
    </row>
    <row r="11326" spans="8:8" x14ac:dyDescent="0.25">
      <c r="H11326" t="s">
        <v>12971</v>
      </c>
    </row>
    <row r="11327" spans="8:8" x14ac:dyDescent="0.25">
      <c r="H11327" t="s">
        <v>30</v>
      </c>
    </row>
    <row r="11328" spans="8:8" x14ac:dyDescent="0.25">
      <c r="H11328" t="s">
        <v>138</v>
      </c>
    </row>
    <row r="11329" spans="8:8" x14ac:dyDescent="0.25">
      <c r="H11329" t="s">
        <v>12972</v>
      </c>
    </row>
    <row r="11330" spans="8:8" x14ac:dyDescent="0.25">
      <c r="H11330" t="s">
        <v>30</v>
      </c>
    </row>
    <row r="11332" spans="8:8" x14ac:dyDescent="0.25">
      <c r="H11332" t="s">
        <v>12973</v>
      </c>
    </row>
    <row r="11333" spans="8:8" x14ac:dyDescent="0.25">
      <c r="H11333" t="s">
        <v>12974</v>
      </c>
    </row>
    <row r="11334" spans="8:8" x14ac:dyDescent="0.25">
      <c r="H11334" t="s">
        <v>135</v>
      </c>
    </row>
    <row r="11335" spans="8:8" x14ac:dyDescent="0.25">
      <c r="H11335" t="s">
        <v>12975</v>
      </c>
    </row>
    <row r="11336" spans="8:8" x14ac:dyDescent="0.25">
      <c r="H11336" t="s">
        <v>30</v>
      </c>
    </row>
    <row r="11337" spans="8:8" x14ac:dyDescent="0.25">
      <c r="H11337" t="s">
        <v>136</v>
      </c>
    </row>
    <row r="11338" spans="8:8" x14ac:dyDescent="0.25">
      <c r="H11338" t="s">
        <v>12976</v>
      </c>
    </row>
    <row r="11339" spans="8:8" x14ac:dyDescent="0.25">
      <c r="H11339" t="s">
        <v>30</v>
      </c>
    </row>
    <row r="11340" spans="8:8" x14ac:dyDescent="0.25">
      <c r="H11340" t="s">
        <v>137</v>
      </c>
    </row>
    <row r="11341" spans="8:8" x14ac:dyDescent="0.25">
      <c r="H11341" t="s">
        <v>12977</v>
      </c>
    </row>
    <row r="11342" spans="8:8" x14ac:dyDescent="0.25">
      <c r="H11342" t="s">
        <v>30</v>
      </c>
    </row>
    <row r="11343" spans="8:8" x14ac:dyDescent="0.25">
      <c r="H11343" t="s">
        <v>138</v>
      </c>
    </row>
    <row r="11344" spans="8:8" x14ac:dyDescent="0.25">
      <c r="H11344" t="s">
        <v>12978</v>
      </c>
    </row>
    <row r="11345" spans="8:8" x14ac:dyDescent="0.25">
      <c r="H11345" t="s">
        <v>30</v>
      </c>
    </row>
    <row r="11347" spans="8:8" x14ac:dyDescent="0.25">
      <c r="H11347" t="s">
        <v>12979</v>
      </c>
    </row>
    <row r="11348" spans="8:8" x14ac:dyDescent="0.25">
      <c r="H11348" t="s">
        <v>12980</v>
      </c>
    </row>
    <row r="11349" spans="8:8" x14ac:dyDescent="0.25">
      <c r="H11349" t="s">
        <v>135</v>
      </c>
    </row>
    <row r="11350" spans="8:8" x14ac:dyDescent="0.25">
      <c r="H11350" t="s">
        <v>12981</v>
      </c>
    </row>
    <row r="11351" spans="8:8" x14ac:dyDescent="0.25">
      <c r="H11351" t="s">
        <v>30</v>
      </c>
    </row>
    <row r="11352" spans="8:8" x14ac:dyDescent="0.25">
      <c r="H11352" t="s">
        <v>136</v>
      </c>
    </row>
    <row r="11353" spans="8:8" x14ac:dyDescent="0.25">
      <c r="H11353" t="s">
        <v>12982</v>
      </c>
    </row>
    <row r="11354" spans="8:8" x14ac:dyDescent="0.25">
      <c r="H11354" t="s">
        <v>30</v>
      </c>
    </row>
    <row r="11355" spans="8:8" x14ac:dyDescent="0.25">
      <c r="H11355" t="s">
        <v>137</v>
      </c>
    </row>
    <row r="11356" spans="8:8" x14ac:dyDescent="0.25">
      <c r="H11356" t="s">
        <v>12983</v>
      </c>
    </row>
    <row r="11357" spans="8:8" x14ac:dyDescent="0.25">
      <c r="H11357" t="s">
        <v>30</v>
      </c>
    </row>
    <row r="11358" spans="8:8" x14ac:dyDescent="0.25">
      <c r="H11358" t="s">
        <v>138</v>
      </c>
    </row>
    <row r="11359" spans="8:8" x14ac:dyDescent="0.25">
      <c r="H11359" t="s">
        <v>12984</v>
      </c>
    </row>
    <row r="11360" spans="8:8" x14ac:dyDescent="0.25">
      <c r="H11360" t="s">
        <v>30</v>
      </c>
    </row>
    <row r="11362" spans="8:8" x14ac:dyDescent="0.25">
      <c r="H11362" t="s">
        <v>12985</v>
      </c>
    </row>
    <row r="11363" spans="8:8" x14ac:dyDescent="0.25">
      <c r="H11363" t="s">
        <v>12986</v>
      </c>
    </row>
    <row r="11364" spans="8:8" x14ac:dyDescent="0.25">
      <c r="H11364" t="s">
        <v>135</v>
      </c>
    </row>
    <row r="11365" spans="8:8" x14ac:dyDescent="0.25">
      <c r="H11365" t="s">
        <v>12987</v>
      </c>
    </row>
    <row r="11366" spans="8:8" x14ac:dyDescent="0.25">
      <c r="H11366" t="s">
        <v>30</v>
      </c>
    </row>
    <row r="11367" spans="8:8" x14ac:dyDescent="0.25">
      <c r="H11367" t="s">
        <v>136</v>
      </c>
    </row>
    <row r="11368" spans="8:8" x14ac:dyDescent="0.25">
      <c r="H11368" t="s">
        <v>12988</v>
      </c>
    </row>
    <row r="11369" spans="8:8" x14ac:dyDescent="0.25">
      <c r="H11369" t="s">
        <v>30</v>
      </c>
    </row>
    <row r="11370" spans="8:8" x14ac:dyDescent="0.25">
      <c r="H11370" t="s">
        <v>137</v>
      </c>
    </row>
    <row r="11371" spans="8:8" x14ac:dyDescent="0.25">
      <c r="H11371" t="s">
        <v>12989</v>
      </c>
    </row>
    <row r="11372" spans="8:8" x14ac:dyDescent="0.25">
      <c r="H11372" t="s">
        <v>30</v>
      </c>
    </row>
    <row r="11373" spans="8:8" x14ac:dyDescent="0.25">
      <c r="H11373" t="s">
        <v>138</v>
      </c>
    </row>
    <row r="11374" spans="8:8" x14ac:dyDescent="0.25">
      <c r="H11374" t="s">
        <v>12990</v>
      </c>
    </row>
    <row r="11375" spans="8:8" x14ac:dyDescent="0.25">
      <c r="H11375" t="s">
        <v>30</v>
      </c>
    </row>
    <row r="11377" spans="8:8" x14ac:dyDescent="0.25">
      <c r="H11377" t="s">
        <v>12991</v>
      </c>
    </row>
    <row r="11378" spans="8:8" x14ac:dyDescent="0.25">
      <c r="H11378" t="s">
        <v>12992</v>
      </c>
    </row>
    <row r="11379" spans="8:8" x14ac:dyDescent="0.25">
      <c r="H11379" t="s">
        <v>135</v>
      </c>
    </row>
    <row r="11380" spans="8:8" x14ac:dyDescent="0.25">
      <c r="H11380" t="s">
        <v>12993</v>
      </c>
    </row>
    <row r="11381" spans="8:8" x14ac:dyDescent="0.25">
      <c r="H11381" t="s">
        <v>30</v>
      </c>
    </row>
    <row r="11382" spans="8:8" x14ac:dyDescent="0.25">
      <c r="H11382" t="s">
        <v>136</v>
      </c>
    </row>
    <row r="11383" spans="8:8" x14ac:dyDescent="0.25">
      <c r="H11383" t="s">
        <v>12994</v>
      </c>
    </row>
    <row r="11384" spans="8:8" x14ac:dyDescent="0.25">
      <c r="H11384" t="s">
        <v>30</v>
      </c>
    </row>
    <row r="11385" spans="8:8" x14ac:dyDescent="0.25">
      <c r="H11385" t="s">
        <v>137</v>
      </c>
    </row>
    <row r="11386" spans="8:8" x14ac:dyDescent="0.25">
      <c r="H11386" t="s">
        <v>12995</v>
      </c>
    </row>
    <row r="11387" spans="8:8" x14ac:dyDescent="0.25">
      <c r="H11387" t="s">
        <v>30</v>
      </c>
    </row>
    <row r="11388" spans="8:8" x14ac:dyDescent="0.25">
      <c r="H11388" t="s">
        <v>138</v>
      </c>
    </row>
    <row r="11389" spans="8:8" x14ac:dyDescent="0.25">
      <c r="H11389" t="s">
        <v>12996</v>
      </c>
    </row>
    <row r="11390" spans="8:8" x14ac:dyDescent="0.25">
      <c r="H11390" t="s">
        <v>30</v>
      </c>
    </row>
    <row r="11392" spans="8:8" x14ac:dyDescent="0.25">
      <c r="H11392" t="s">
        <v>12997</v>
      </c>
    </row>
    <row r="11393" spans="8:8" x14ac:dyDescent="0.25">
      <c r="H11393" t="s">
        <v>12998</v>
      </c>
    </row>
    <row r="11394" spans="8:8" x14ac:dyDescent="0.25">
      <c r="H11394" t="s">
        <v>135</v>
      </c>
    </row>
    <row r="11395" spans="8:8" x14ac:dyDescent="0.25">
      <c r="H11395" t="s">
        <v>12999</v>
      </c>
    </row>
    <row r="11396" spans="8:8" x14ac:dyDescent="0.25">
      <c r="H11396" t="s">
        <v>30</v>
      </c>
    </row>
    <row r="11397" spans="8:8" x14ac:dyDescent="0.25">
      <c r="H11397" t="s">
        <v>136</v>
      </c>
    </row>
    <row r="11398" spans="8:8" x14ac:dyDescent="0.25">
      <c r="H11398" t="s">
        <v>13000</v>
      </c>
    </row>
    <row r="11399" spans="8:8" x14ac:dyDescent="0.25">
      <c r="H11399" t="s">
        <v>30</v>
      </c>
    </row>
    <row r="11400" spans="8:8" x14ac:dyDescent="0.25">
      <c r="H11400" t="s">
        <v>137</v>
      </c>
    </row>
    <row r="11401" spans="8:8" x14ac:dyDescent="0.25">
      <c r="H11401" t="s">
        <v>13001</v>
      </c>
    </row>
    <row r="11402" spans="8:8" x14ac:dyDescent="0.25">
      <c r="H11402" t="s">
        <v>30</v>
      </c>
    </row>
    <row r="11403" spans="8:8" x14ac:dyDescent="0.25">
      <c r="H11403" t="s">
        <v>138</v>
      </c>
    </row>
    <row r="11404" spans="8:8" x14ac:dyDescent="0.25">
      <c r="H11404" t="s">
        <v>13002</v>
      </c>
    </row>
    <row r="11405" spans="8:8" x14ac:dyDescent="0.25">
      <c r="H11405" t="s">
        <v>30</v>
      </c>
    </row>
    <row r="11407" spans="8:8" x14ac:dyDescent="0.25">
      <c r="H11407" t="s">
        <v>13003</v>
      </c>
    </row>
    <row r="11408" spans="8:8" x14ac:dyDescent="0.25">
      <c r="H11408" t="s">
        <v>13004</v>
      </c>
    </row>
    <row r="11409" spans="8:8" x14ac:dyDescent="0.25">
      <c r="H11409" t="s">
        <v>135</v>
      </c>
    </row>
    <row r="11410" spans="8:8" x14ac:dyDescent="0.25">
      <c r="H11410" t="s">
        <v>13005</v>
      </c>
    </row>
    <row r="11411" spans="8:8" x14ac:dyDescent="0.25">
      <c r="H11411" t="s">
        <v>30</v>
      </c>
    </row>
    <row r="11412" spans="8:8" x14ac:dyDescent="0.25">
      <c r="H11412" t="s">
        <v>136</v>
      </c>
    </row>
    <row r="11413" spans="8:8" x14ac:dyDescent="0.25">
      <c r="H11413" t="s">
        <v>13006</v>
      </c>
    </row>
    <row r="11414" spans="8:8" x14ac:dyDescent="0.25">
      <c r="H11414" t="s">
        <v>30</v>
      </c>
    </row>
    <row r="11415" spans="8:8" x14ac:dyDescent="0.25">
      <c r="H11415" t="s">
        <v>137</v>
      </c>
    </row>
    <row r="11416" spans="8:8" x14ac:dyDescent="0.25">
      <c r="H11416" t="s">
        <v>13007</v>
      </c>
    </row>
    <row r="11417" spans="8:8" x14ac:dyDescent="0.25">
      <c r="H11417" t="s">
        <v>30</v>
      </c>
    </row>
    <row r="11418" spans="8:8" x14ac:dyDescent="0.25">
      <c r="H11418" t="s">
        <v>138</v>
      </c>
    </row>
    <row r="11419" spans="8:8" x14ac:dyDescent="0.25">
      <c r="H11419" t="s">
        <v>13008</v>
      </c>
    </row>
    <row r="11420" spans="8:8" x14ac:dyDescent="0.25">
      <c r="H11420" t="s">
        <v>30</v>
      </c>
    </row>
    <row r="11422" spans="8:8" x14ac:dyDescent="0.25">
      <c r="H11422" t="s">
        <v>13009</v>
      </c>
    </row>
    <row r="11423" spans="8:8" x14ac:dyDescent="0.25">
      <c r="H11423" t="s">
        <v>13010</v>
      </c>
    </row>
    <row r="11424" spans="8:8" x14ac:dyDescent="0.25">
      <c r="H11424" t="s">
        <v>135</v>
      </c>
    </row>
    <row r="11425" spans="8:8" x14ac:dyDescent="0.25">
      <c r="H11425" t="s">
        <v>13011</v>
      </c>
    </row>
    <row r="11426" spans="8:8" x14ac:dyDescent="0.25">
      <c r="H11426" t="s">
        <v>30</v>
      </c>
    </row>
    <row r="11427" spans="8:8" x14ac:dyDescent="0.25">
      <c r="H11427" t="s">
        <v>136</v>
      </c>
    </row>
    <row r="11428" spans="8:8" x14ac:dyDescent="0.25">
      <c r="H11428" t="s">
        <v>13012</v>
      </c>
    </row>
    <row r="11429" spans="8:8" x14ac:dyDescent="0.25">
      <c r="H11429" t="s">
        <v>30</v>
      </c>
    </row>
    <row r="11430" spans="8:8" x14ac:dyDescent="0.25">
      <c r="H11430" t="s">
        <v>137</v>
      </c>
    </row>
    <row r="11431" spans="8:8" x14ac:dyDescent="0.25">
      <c r="H11431" t="s">
        <v>13013</v>
      </c>
    </row>
    <row r="11432" spans="8:8" x14ac:dyDescent="0.25">
      <c r="H11432" t="s">
        <v>30</v>
      </c>
    </row>
    <row r="11433" spans="8:8" x14ac:dyDescent="0.25">
      <c r="H11433" t="s">
        <v>138</v>
      </c>
    </row>
    <row r="11434" spans="8:8" x14ac:dyDescent="0.25">
      <c r="H11434" t="s">
        <v>13014</v>
      </c>
    </row>
    <row r="11435" spans="8:8" x14ac:dyDescent="0.25">
      <c r="H11435" t="s">
        <v>30</v>
      </c>
    </row>
    <row r="11437" spans="8:8" x14ac:dyDescent="0.25">
      <c r="H11437" t="s">
        <v>13015</v>
      </c>
    </row>
    <row r="11438" spans="8:8" x14ac:dyDescent="0.25">
      <c r="H11438" t="s">
        <v>13016</v>
      </c>
    </row>
    <row r="11439" spans="8:8" x14ac:dyDescent="0.25">
      <c r="H11439" t="s">
        <v>135</v>
      </c>
    </row>
    <row r="11440" spans="8:8" x14ac:dyDescent="0.25">
      <c r="H11440" t="s">
        <v>13017</v>
      </c>
    </row>
    <row r="11441" spans="8:8" x14ac:dyDescent="0.25">
      <c r="H11441" t="s">
        <v>30</v>
      </c>
    </row>
    <row r="11442" spans="8:8" x14ac:dyDescent="0.25">
      <c r="H11442" t="s">
        <v>136</v>
      </c>
    </row>
    <row r="11443" spans="8:8" x14ac:dyDescent="0.25">
      <c r="H11443" t="s">
        <v>13018</v>
      </c>
    </row>
    <row r="11444" spans="8:8" x14ac:dyDescent="0.25">
      <c r="H11444" t="s">
        <v>30</v>
      </c>
    </row>
    <row r="11445" spans="8:8" x14ac:dyDescent="0.25">
      <c r="H11445" t="s">
        <v>137</v>
      </c>
    </row>
    <row r="11446" spans="8:8" x14ac:dyDescent="0.25">
      <c r="H11446" t="s">
        <v>13019</v>
      </c>
    </row>
    <row r="11447" spans="8:8" x14ac:dyDescent="0.25">
      <c r="H11447" t="s">
        <v>30</v>
      </c>
    </row>
    <row r="11448" spans="8:8" x14ac:dyDescent="0.25">
      <c r="H11448" t="s">
        <v>138</v>
      </c>
    </row>
    <row r="11449" spans="8:8" x14ac:dyDescent="0.25">
      <c r="H11449" t="s">
        <v>13020</v>
      </c>
    </row>
    <row r="11450" spans="8:8" x14ac:dyDescent="0.25">
      <c r="H11450" t="s">
        <v>30</v>
      </c>
    </row>
    <row r="11452" spans="8:8" x14ac:dyDescent="0.25">
      <c r="H11452" t="s">
        <v>13021</v>
      </c>
    </row>
    <row r="11453" spans="8:8" x14ac:dyDescent="0.25">
      <c r="H11453" t="s">
        <v>13022</v>
      </c>
    </row>
    <row r="11454" spans="8:8" x14ac:dyDescent="0.25">
      <c r="H11454" t="s">
        <v>135</v>
      </c>
    </row>
    <row r="11455" spans="8:8" x14ac:dyDescent="0.25">
      <c r="H11455" t="s">
        <v>13023</v>
      </c>
    </row>
    <row r="11456" spans="8:8" x14ac:dyDescent="0.25">
      <c r="H11456" t="s">
        <v>30</v>
      </c>
    </row>
    <row r="11457" spans="8:8" x14ac:dyDescent="0.25">
      <c r="H11457" t="s">
        <v>136</v>
      </c>
    </row>
    <row r="11458" spans="8:8" x14ac:dyDescent="0.25">
      <c r="H11458" t="s">
        <v>13024</v>
      </c>
    </row>
    <row r="11459" spans="8:8" x14ac:dyDescent="0.25">
      <c r="H11459" t="s">
        <v>30</v>
      </c>
    </row>
    <row r="11460" spans="8:8" x14ac:dyDescent="0.25">
      <c r="H11460" t="s">
        <v>137</v>
      </c>
    </row>
    <row r="11461" spans="8:8" x14ac:dyDescent="0.25">
      <c r="H11461" t="s">
        <v>13025</v>
      </c>
    </row>
    <row r="11462" spans="8:8" x14ac:dyDescent="0.25">
      <c r="H11462" t="s">
        <v>30</v>
      </c>
    </row>
    <row r="11463" spans="8:8" x14ac:dyDescent="0.25">
      <c r="H11463" t="s">
        <v>138</v>
      </c>
    </row>
    <row r="11464" spans="8:8" x14ac:dyDescent="0.25">
      <c r="H11464" t="s">
        <v>13026</v>
      </c>
    </row>
    <row r="11465" spans="8:8" x14ac:dyDescent="0.25">
      <c r="H11465" t="s">
        <v>30</v>
      </c>
    </row>
    <row r="11467" spans="8:8" x14ac:dyDescent="0.25">
      <c r="H11467" t="s">
        <v>13027</v>
      </c>
    </row>
    <row r="11468" spans="8:8" x14ac:dyDescent="0.25">
      <c r="H11468" t="s">
        <v>13028</v>
      </c>
    </row>
    <row r="11469" spans="8:8" x14ac:dyDescent="0.25">
      <c r="H11469" t="s">
        <v>135</v>
      </c>
    </row>
    <row r="11470" spans="8:8" x14ac:dyDescent="0.25">
      <c r="H11470" t="s">
        <v>13029</v>
      </c>
    </row>
    <row r="11471" spans="8:8" x14ac:dyDescent="0.25">
      <c r="H11471" t="s">
        <v>30</v>
      </c>
    </row>
    <row r="11472" spans="8:8" x14ac:dyDescent="0.25">
      <c r="H11472" t="s">
        <v>136</v>
      </c>
    </row>
    <row r="11473" spans="8:8" x14ac:dyDescent="0.25">
      <c r="H11473" t="s">
        <v>13030</v>
      </c>
    </row>
    <row r="11474" spans="8:8" x14ac:dyDescent="0.25">
      <c r="H11474" t="s">
        <v>30</v>
      </c>
    </row>
    <row r="11475" spans="8:8" x14ac:dyDescent="0.25">
      <c r="H11475" t="s">
        <v>137</v>
      </c>
    </row>
    <row r="11476" spans="8:8" x14ac:dyDescent="0.25">
      <c r="H11476" t="s">
        <v>13031</v>
      </c>
    </row>
    <row r="11477" spans="8:8" x14ac:dyDescent="0.25">
      <c r="H11477" t="s">
        <v>30</v>
      </c>
    </row>
    <row r="11478" spans="8:8" x14ac:dyDescent="0.25">
      <c r="H11478" t="s">
        <v>138</v>
      </c>
    </row>
    <row r="11479" spans="8:8" x14ac:dyDescent="0.25">
      <c r="H11479" t="s">
        <v>13032</v>
      </c>
    </row>
    <row r="11480" spans="8:8" x14ac:dyDescent="0.25">
      <c r="H11480" t="s">
        <v>30</v>
      </c>
    </row>
    <row r="11482" spans="8:8" x14ac:dyDescent="0.25">
      <c r="H11482" t="s">
        <v>13033</v>
      </c>
    </row>
    <row r="11483" spans="8:8" x14ac:dyDescent="0.25">
      <c r="H11483" t="s">
        <v>13034</v>
      </c>
    </row>
    <row r="11484" spans="8:8" x14ac:dyDescent="0.25">
      <c r="H11484" t="s">
        <v>135</v>
      </c>
    </row>
    <row r="11485" spans="8:8" x14ac:dyDescent="0.25">
      <c r="H11485" t="s">
        <v>13035</v>
      </c>
    </row>
    <row r="11486" spans="8:8" x14ac:dyDescent="0.25">
      <c r="H11486" t="s">
        <v>30</v>
      </c>
    </row>
    <row r="11487" spans="8:8" x14ac:dyDescent="0.25">
      <c r="H11487" t="s">
        <v>136</v>
      </c>
    </row>
    <row r="11488" spans="8:8" x14ac:dyDescent="0.25">
      <c r="H11488" t="s">
        <v>13036</v>
      </c>
    </row>
    <row r="11489" spans="8:8" x14ac:dyDescent="0.25">
      <c r="H11489" t="s">
        <v>30</v>
      </c>
    </row>
    <row r="11490" spans="8:8" x14ac:dyDescent="0.25">
      <c r="H11490" t="s">
        <v>137</v>
      </c>
    </row>
    <row r="11491" spans="8:8" x14ac:dyDescent="0.25">
      <c r="H11491" t="s">
        <v>13037</v>
      </c>
    </row>
    <row r="11492" spans="8:8" x14ac:dyDescent="0.25">
      <c r="H11492" t="s">
        <v>30</v>
      </c>
    </row>
    <row r="11493" spans="8:8" x14ac:dyDescent="0.25">
      <c r="H11493" t="s">
        <v>138</v>
      </c>
    </row>
    <row r="11494" spans="8:8" x14ac:dyDescent="0.25">
      <c r="H11494" t="s">
        <v>13038</v>
      </c>
    </row>
    <row r="11495" spans="8:8" x14ac:dyDescent="0.25">
      <c r="H11495" t="s">
        <v>30</v>
      </c>
    </row>
    <row r="11497" spans="8:8" x14ac:dyDescent="0.25">
      <c r="H11497" t="s">
        <v>13039</v>
      </c>
    </row>
    <row r="11498" spans="8:8" x14ac:dyDescent="0.25">
      <c r="H11498" t="s">
        <v>13040</v>
      </c>
    </row>
    <row r="11499" spans="8:8" x14ac:dyDescent="0.25">
      <c r="H11499" t="s">
        <v>135</v>
      </c>
    </row>
    <row r="11500" spans="8:8" x14ac:dyDescent="0.25">
      <c r="H11500" t="s">
        <v>13041</v>
      </c>
    </row>
    <row r="11501" spans="8:8" x14ac:dyDescent="0.25">
      <c r="H11501" t="s">
        <v>30</v>
      </c>
    </row>
    <row r="11502" spans="8:8" x14ac:dyDescent="0.25">
      <c r="H11502" t="s">
        <v>136</v>
      </c>
    </row>
    <row r="11503" spans="8:8" x14ac:dyDescent="0.25">
      <c r="H11503" t="s">
        <v>13042</v>
      </c>
    </row>
    <row r="11504" spans="8:8" x14ac:dyDescent="0.25">
      <c r="H11504" t="s">
        <v>30</v>
      </c>
    </row>
    <row r="11505" spans="8:8" x14ac:dyDescent="0.25">
      <c r="H11505" t="s">
        <v>137</v>
      </c>
    </row>
    <row r="11506" spans="8:8" x14ac:dyDescent="0.25">
      <c r="H11506" t="s">
        <v>13043</v>
      </c>
    </row>
    <row r="11507" spans="8:8" x14ac:dyDescent="0.25">
      <c r="H11507" t="s">
        <v>30</v>
      </c>
    </row>
    <row r="11508" spans="8:8" x14ac:dyDescent="0.25">
      <c r="H11508" t="s">
        <v>138</v>
      </c>
    </row>
    <row r="11509" spans="8:8" x14ac:dyDescent="0.25">
      <c r="H11509" t="s">
        <v>13044</v>
      </c>
    </row>
    <row r="11510" spans="8:8" x14ac:dyDescent="0.25">
      <c r="H11510" t="s">
        <v>30</v>
      </c>
    </row>
    <row r="11512" spans="8:8" x14ac:dyDescent="0.25">
      <c r="H11512" t="s">
        <v>13045</v>
      </c>
    </row>
    <row r="11513" spans="8:8" x14ac:dyDescent="0.25">
      <c r="H11513" t="s">
        <v>13046</v>
      </c>
    </row>
    <row r="11514" spans="8:8" x14ac:dyDescent="0.25">
      <c r="H11514" t="s">
        <v>135</v>
      </c>
    </row>
    <row r="11515" spans="8:8" x14ac:dyDescent="0.25">
      <c r="H11515" t="s">
        <v>13047</v>
      </c>
    </row>
    <row r="11516" spans="8:8" x14ac:dyDescent="0.25">
      <c r="H11516" t="s">
        <v>30</v>
      </c>
    </row>
    <row r="11517" spans="8:8" x14ac:dyDescent="0.25">
      <c r="H11517" t="s">
        <v>136</v>
      </c>
    </row>
    <row r="11518" spans="8:8" x14ac:dyDescent="0.25">
      <c r="H11518" t="s">
        <v>13048</v>
      </c>
    </row>
    <row r="11519" spans="8:8" x14ac:dyDescent="0.25">
      <c r="H11519" t="s">
        <v>30</v>
      </c>
    </row>
    <row r="11520" spans="8:8" x14ac:dyDescent="0.25">
      <c r="H11520" t="s">
        <v>137</v>
      </c>
    </row>
    <row r="11521" spans="8:8" x14ac:dyDescent="0.25">
      <c r="H11521" t="s">
        <v>13049</v>
      </c>
    </row>
    <row r="11522" spans="8:8" x14ac:dyDescent="0.25">
      <c r="H11522" t="s">
        <v>30</v>
      </c>
    </row>
    <row r="11523" spans="8:8" x14ac:dyDescent="0.25">
      <c r="H11523" t="s">
        <v>138</v>
      </c>
    </row>
    <row r="11524" spans="8:8" x14ac:dyDescent="0.25">
      <c r="H11524" t="s">
        <v>13050</v>
      </c>
    </row>
    <row r="11525" spans="8:8" x14ac:dyDescent="0.25">
      <c r="H11525" t="s">
        <v>30</v>
      </c>
    </row>
    <row r="11527" spans="8:8" x14ac:dyDescent="0.25">
      <c r="H11527" t="s">
        <v>13051</v>
      </c>
    </row>
    <row r="11528" spans="8:8" x14ac:dyDescent="0.25">
      <c r="H11528" t="s">
        <v>13052</v>
      </c>
    </row>
    <row r="11529" spans="8:8" x14ac:dyDescent="0.25">
      <c r="H11529" t="s">
        <v>135</v>
      </c>
    </row>
    <row r="11530" spans="8:8" x14ac:dyDescent="0.25">
      <c r="H11530" t="s">
        <v>13053</v>
      </c>
    </row>
    <row r="11531" spans="8:8" x14ac:dyDescent="0.25">
      <c r="H11531" t="s">
        <v>30</v>
      </c>
    </row>
    <row r="11532" spans="8:8" x14ac:dyDescent="0.25">
      <c r="H11532" t="s">
        <v>136</v>
      </c>
    </row>
    <row r="11533" spans="8:8" x14ac:dyDescent="0.25">
      <c r="H11533" t="s">
        <v>13054</v>
      </c>
    </row>
    <row r="11534" spans="8:8" x14ac:dyDescent="0.25">
      <c r="H11534" t="s">
        <v>30</v>
      </c>
    </row>
    <row r="11535" spans="8:8" x14ac:dyDescent="0.25">
      <c r="H11535" t="s">
        <v>137</v>
      </c>
    </row>
    <row r="11536" spans="8:8" x14ac:dyDescent="0.25">
      <c r="H11536" t="s">
        <v>13055</v>
      </c>
    </row>
    <row r="11537" spans="8:8" x14ac:dyDescent="0.25">
      <c r="H11537" t="s">
        <v>30</v>
      </c>
    </row>
    <row r="11538" spans="8:8" x14ac:dyDescent="0.25">
      <c r="H11538" t="s">
        <v>138</v>
      </c>
    </row>
    <row r="11539" spans="8:8" x14ac:dyDescent="0.25">
      <c r="H11539" t="s">
        <v>13056</v>
      </c>
    </row>
    <row r="11540" spans="8:8" x14ac:dyDescent="0.25">
      <c r="H11540" t="s">
        <v>30</v>
      </c>
    </row>
    <row r="11542" spans="8:8" x14ac:dyDescent="0.25">
      <c r="H11542" t="s">
        <v>13057</v>
      </c>
    </row>
    <row r="11543" spans="8:8" x14ac:dyDescent="0.25">
      <c r="H11543" t="s">
        <v>13058</v>
      </c>
    </row>
    <row r="11544" spans="8:8" x14ac:dyDescent="0.25">
      <c r="H11544" t="s">
        <v>135</v>
      </c>
    </row>
    <row r="11545" spans="8:8" x14ac:dyDescent="0.25">
      <c r="H11545" t="s">
        <v>13059</v>
      </c>
    </row>
    <row r="11546" spans="8:8" x14ac:dyDescent="0.25">
      <c r="H11546" t="s">
        <v>30</v>
      </c>
    </row>
    <row r="11547" spans="8:8" x14ac:dyDescent="0.25">
      <c r="H11547" t="s">
        <v>136</v>
      </c>
    </row>
    <row r="11548" spans="8:8" x14ac:dyDescent="0.25">
      <c r="H11548" t="s">
        <v>13060</v>
      </c>
    </row>
    <row r="11549" spans="8:8" x14ac:dyDescent="0.25">
      <c r="H11549" t="s">
        <v>30</v>
      </c>
    </row>
    <row r="11550" spans="8:8" x14ac:dyDescent="0.25">
      <c r="H11550" t="s">
        <v>137</v>
      </c>
    </row>
    <row r="11551" spans="8:8" x14ac:dyDescent="0.25">
      <c r="H11551" t="s">
        <v>13061</v>
      </c>
    </row>
    <row r="11552" spans="8:8" x14ac:dyDescent="0.25">
      <c r="H11552" t="s">
        <v>30</v>
      </c>
    </row>
    <row r="11553" spans="8:8" x14ac:dyDescent="0.25">
      <c r="H11553" t="s">
        <v>138</v>
      </c>
    </row>
    <row r="11554" spans="8:8" x14ac:dyDescent="0.25">
      <c r="H11554" t="s">
        <v>13062</v>
      </c>
    </row>
    <row r="11555" spans="8:8" x14ac:dyDescent="0.25">
      <c r="H11555" t="s">
        <v>30</v>
      </c>
    </row>
    <row r="11557" spans="8:8" x14ac:dyDescent="0.25">
      <c r="H11557" t="s">
        <v>13063</v>
      </c>
    </row>
    <row r="11558" spans="8:8" x14ac:dyDescent="0.25">
      <c r="H11558" t="s">
        <v>13064</v>
      </c>
    </row>
    <row r="11559" spans="8:8" x14ac:dyDescent="0.25">
      <c r="H11559" t="s">
        <v>135</v>
      </c>
    </row>
    <row r="11560" spans="8:8" x14ac:dyDescent="0.25">
      <c r="H11560" t="s">
        <v>13065</v>
      </c>
    </row>
    <row r="11561" spans="8:8" x14ac:dyDescent="0.25">
      <c r="H11561" t="s">
        <v>30</v>
      </c>
    </row>
    <row r="11562" spans="8:8" x14ac:dyDescent="0.25">
      <c r="H11562" t="s">
        <v>136</v>
      </c>
    </row>
    <row r="11563" spans="8:8" x14ac:dyDescent="0.25">
      <c r="H11563" t="s">
        <v>13066</v>
      </c>
    </row>
    <row r="11564" spans="8:8" x14ac:dyDescent="0.25">
      <c r="H11564" t="s">
        <v>30</v>
      </c>
    </row>
    <row r="11565" spans="8:8" x14ac:dyDescent="0.25">
      <c r="H11565" t="s">
        <v>137</v>
      </c>
    </row>
    <row r="11566" spans="8:8" x14ac:dyDescent="0.25">
      <c r="H11566" t="s">
        <v>13067</v>
      </c>
    </row>
    <row r="11567" spans="8:8" x14ac:dyDescent="0.25">
      <c r="H11567" t="s">
        <v>30</v>
      </c>
    </row>
    <row r="11568" spans="8:8" x14ac:dyDescent="0.25">
      <c r="H11568" t="s">
        <v>138</v>
      </c>
    </row>
    <row r="11569" spans="8:8" x14ac:dyDescent="0.25">
      <c r="H11569" t="s">
        <v>13068</v>
      </c>
    </row>
    <row r="11570" spans="8:8" x14ac:dyDescent="0.25">
      <c r="H11570" t="s">
        <v>30</v>
      </c>
    </row>
    <row r="11572" spans="8:8" x14ac:dyDescent="0.25">
      <c r="H11572" t="s">
        <v>13069</v>
      </c>
    </row>
    <row r="11573" spans="8:8" x14ac:dyDescent="0.25">
      <c r="H11573" t="s">
        <v>13070</v>
      </c>
    </row>
    <row r="11574" spans="8:8" x14ac:dyDescent="0.25">
      <c r="H11574" t="s">
        <v>135</v>
      </c>
    </row>
    <row r="11575" spans="8:8" x14ac:dyDescent="0.25">
      <c r="H11575" t="s">
        <v>13071</v>
      </c>
    </row>
    <row r="11576" spans="8:8" x14ac:dyDescent="0.25">
      <c r="H11576" t="s">
        <v>30</v>
      </c>
    </row>
    <row r="11577" spans="8:8" x14ac:dyDescent="0.25">
      <c r="H11577" t="s">
        <v>136</v>
      </c>
    </row>
    <row r="11578" spans="8:8" x14ac:dyDescent="0.25">
      <c r="H11578" t="s">
        <v>13072</v>
      </c>
    </row>
    <row r="11579" spans="8:8" x14ac:dyDescent="0.25">
      <c r="H11579" t="s">
        <v>30</v>
      </c>
    </row>
    <row r="11580" spans="8:8" x14ac:dyDescent="0.25">
      <c r="H11580" t="s">
        <v>137</v>
      </c>
    </row>
    <row r="11581" spans="8:8" x14ac:dyDescent="0.25">
      <c r="H11581" t="s">
        <v>13073</v>
      </c>
    </row>
    <row r="11582" spans="8:8" x14ac:dyDescent="0.25">
      <c r="H11582" t="s">
        <v>30</v>
      </c>
    </row>
    <row r="11583" spans="8:8" x14ac:dyDescent="0.25">
      <c r="H11583" t="s">
        <v>138</v>
      </c>
    </row>
    <row r="11584" spans="8:8" x14ac:dyDescent="0.25">
      <c r="H11584" t="s">
        <v>13074</v>
      </c>
    </row>
    <row r="11585" spans="8:8" x14ac:dyDescent="0.25">
      <c r="H11585" t="s">
        <v>30</v>
      </c>
    </row>
    <row r="11587" spans="8:8" x14ac:dyDescent="0.25">
      <c r="H11587" t="s">
        <v>13075</v>
      </c>
    </row>
    <row r="11588" spans="8:8" x14ac:dyDescent="0.25">
      <c r="H11588" t="s">
        <v>13076</v>
      </c>
    </row>
    <row r="11589" spans="8:8" x14ac:dyDescent="0.25">
      <c r="H11589" t="s">
        <v>135</v>
      </c>
    </row>
    <row r="11590" spans="8:8" x14ac:dyDescent="0.25">
      <c r="H11590" t="s">
        <v>13077</v>
      </c>
    </row>
    <row r="11591" spans="8:8" x14ac:dyDescent="0.25">
      <c r="H11591" t="s">
        <v>30</v>
      </c>
    </row>
    <row r="11592" spans="8:8" x14ac:dyDescent="0.25">
      <c r="H11592" t="s">
        <v>136</v>
      </c>
    </row>
    <row r="11593" spans="8:8" x14ac:dyDescent="0.25">
      <c r="H11593" t="s">
        <v>13078</v>
      </c>
    </row>
    <row r="11594" spans="8:8" x14ac:dyDescent="0.25">
      <c r="H11594" t="s">
        <v>30</v>
      </c>
    </row>
    <row r="11595" spans="8:8" x14ac:dyDescent="0.25">
      <c r="H11595" t="s">
        <v>137</v>
      </c>
    </row>
    <row r="11596" spans="8:8" x14ac:dyDescent="0.25">
      <c r="H11596" t="s">
        <v>13079</v>
      </c>
    </row>
    <row r="11597" spans="8:8" x14ac:dyDescent="0.25">
      <c r="H11597" t="s">
        <v>30</v>
      </c>
    </row>
    <row r="11598" spans="8:8" x14ac:dyDescent="0.25">
      <c r="H11598" t="s">
        <v>138</v>
      </c>
    </row>
    <row r="11599" spans="8:8" x14ac:dyDescent="0.25">
      <c r="H11599" t="s">
        <v>13080</v>
      </c>
    </row>
    <row r="11600" spans="8:8" x14ac:dyDescent="0.25">
      <c r="H11600" t="s">
        <v>30</v>
      </c>
    </row>
    <row r="11602" spans="8:8" x14ac:dyDescent="0.25">
      <c r="H11602" t="s">
        <v>13081</v>
      </c>
    </row>
    <row r="11603" spans="8:8" x14ac:dyDescent="0.25">
      <c r="H11603" t="s">
        <v>13082</v>
      </c>
    </row>
    <row r="11604" spans="8:8" x14ac:dyDescent="0.25">
      <c r="H11604" t="s">
        <v>135</v>
      </c>
    </row>
    <row r="11605" spans="8:8" x14ac:dyDescent="0.25">
      <c r="H11605" t="s">
        <v>13083</v>
      </c>
    </row>
    <row r="11606" spans="8:8" x14ac:dyDescent="0.25">
      <c r="H11606" t="s">
        <v>30</v>
      </c>
    </row>
    <row r="11607" spans="8:8" x14ac:dyDescent="0.25">
      <c r="H11607" t="s">
        <v>136</v>
      </c>
    </row>
    <row r="11608" spans="8:8" x14ac:dyDescent="0.25">
      <c r="H11608" t="s">
        <v>13084</v>
      </c>
    </row>
    <row r="11609" spans="8:8" x14ac:dyDescent="0.25">
      <c r="H11609" t="s">
        <v>30</v>
      </c>
    </row>
    <row r="11610" spans="8:8" x14ac:dyDescent="0.25">
      <c r="H11610" t="s">
        <v>137</v>
      </c>
    </row>
    <row r="11611" spans="8:8" x14ac:dyDescent="0.25">
      <c r="H11611" t="s">
        <v>13085</v>
      </c>
    </row>
    <row r="11612" spans="8:8" x14ac:dyDescent="0.25">
      <c r="H11612" t="s">
        <v>30</v>
      </c>
    </row>
    <row r="11613" spans="8:8" x14ac:dyDescent="0.25">
      <c r="H11613" t="s">
        <v>138</v>
      </c>
    </row>
    <row r="11614" spans="8:8" x14ac:dyDescent="0.25">
      <c r="H11614" t="s">
        <v>13086</v>
      </c>
    </row>
    <row r="11615" spans="8:8" x14ac:dyDescent="0.25">
      <c r="H11615" t="s">
        <v>30</v>
      </c>
    </row>
    <row r="11617" spans="8:8" x14ac:dyDescent="0.25">
      <c r="H11617" t="s">
        <v>13087</v>
      </c>
    </row>
    <row r="11618" spans="8:8" x14ac:dyDescent="0.25">
      <c r="H11618" t="s">
        <v>13088</v>
      </c>
    </row>
    <row r="11619" spans="8:8" x14ac:dyDescent="0.25">
      <c r="H11619" t="s">
        <v>135</v>
      </c>
    </row>
    <row r="11620" spans="8:8" x14ac:dyDescent="0.25">
      <c r="H11620" t="s">
        <v>13089</v>
      </c>
    </row>
    <row r="11621" spans="8:8" x14ac:dyDescent="0.25">
      <c r="H11621" t="s">
        <v>30</v>
      </c>
    </row>
    <row r="11622" spans="8:8" x14ac:dyDescent="0.25">
      <c r="H11622" t="s">
        <v>136</v>
      </c>
    </row>
    <row r="11623" spans="8:8" x14ac:dyDescent="0.25">
      <c r="H11623" t="s">
        <v>13090</v>
      </c>
    </row>
    <row r="11624" spans="8:8" x14ac:dyDescent="0.25">
      <c r="H11624" t="s">
        <v>30</v>
      </c>
    </row>
    <row r="11625" spans="8:8" x14ac:dyDescent="0.25">
      <c r="H11625" t="s">
        <v>137</v>
      </c>
    </row>
    <row r="11626" spans="8:8" x14ac:dyDescent="0.25">
      <c r="H11626" t="s">
        <v>13091</v>
      </c>
    </row>
    <row r="11627" spans="8:8" x14ac:dyDescent="0.25">
      <c r="H11627" t="s">
        <v>30</v>
      </c>
    </row>
    <row r="11628" spans="8:8" x14ac:dyDescent="0.25">
      <c r="H11628" t="s">
        <v>138</v>
      </c>
    </row>
    <row r="11629" spans="8:8" x14ac:dyDescent="0.25">
      <c r="H11629" t="s">
        <v>13092</v>
      </c>
    </row>
    <row r="11630" spans="8:8" x14ac:dyDescent="0.25">
      <c r="H11630" t="s">
        <v>30</v>
      </c>
    </row>
    <row r="11632" spans="8:8" x14ac:dyDescent="0.25">
      <c r="H11632" t="s">
        <v>13093</v>
      </c>
    </row>
    <row r="11633" spans="8:8" x14ac:dyDescent="0.25">
      <c r="H11633" t="s">
        <v>13094</v>
      </c>
    </row>
    <row r="11634" spans="8:8" x14ac:dyDescent="0.25">
      <c r="H11634" t="s">
        <v>135</v>
      </c>
    </row>
    <row r="11635" spans="8:8" x14ac:dyDescent="0.25">
      <c r="H11635" t="s">
        <v>13095</v>
      </c>
    </row>
    <row r="11636" spans="8:8" x14ac:dyDescent="0.25">
      <c r="H11636" t="s">
        <v>30</v>
      </c>
    </row>
    <row r="11637" spans="8:8" x14ac:dyDescent="0.25">
      <c r="H11637" t="s">
        <v>136</v>
      </c>
    </row>
    <row r="11638" spans="8:8" x14ac:dyDescent="0.25">
      <c r="H11638" t="s">
        <v>13096</v>
      </c>
    </row>
    <row r="11639" spans="8:8" x14ac:dyDescent="0.25">
      <c r="H11639" t="s">
        <v>30</v>
      </c>
    </row>
    <row r="11640" spans="8:8" x14ac:dyDescent="0.25">
      <c r="H11640" t="s">
        <v>137</v>
      </c>
    </row>
    <row r="11641" spans="8:8" x14ac:dyDescent="0.25">
      <c r="H11641" t="s">
        <v>13097</v>
      </c>
    </row>
    <row r="11642" spans="8:8" x14ac:dyDescent="0.25">
      <c r="H11642" t="s">
        <v>30</v>
      </c>
    </row>
    <row r="11643" spans="8:8" x14ac:dyDescent="0.25">
      <c r="H11643" t="s">
        <v>138</v>
      </c>
    </row>
    <row r="11644" spans="8:8" x14ac:dyDescent="0.25">
      <c r="H11644" t="s">
        <v>13098</v>
      </c>
    </row>
    <row r="11645" spans="8:8" x14ac:dyDescent="0.25">
      <c r="H11645" t="s">
        <v>30</v>
      </c>
    </row>
    <row r="11647" spans="8:8" x14ac:dyDescent="0.25">
      <c r="H11647" t="s">
        <v>13099</v>
      </c>
    </row>
    <row r="11648" spans="8:8" x14ac:dyDescent="0.25">
      <c r="H11648" t="s">
        <v>13100</v>
      </c>
    </row>
    <row r="11649" spans="8:8" x14ac:dyDescent="0.25">
      <c r="H11649" t="s">
        <v>135</v>
      </c>
    </row>
    <row r="11650" spans="8:8" x14ac:dyDescent="0.25">
      <c r="H11650" t="s">
        <v>13101</v>
      </c>
    </row>
    <row r="11651" spans="8:8" x14ac:dyDescent="0.25">
      <c r="H11651" t="s">
        <v>30</v>
      </c>
    </row>
    <row r="11652" spans="8:8" x14ac:dyDescent="0.25">
      <c r="H11652" t="s">
        <v>136</v>
      </c>
    </row>
    <row r="11653" spans="8:8" x14ac:dyDescent="0.25">
      <c r="H11653" t="s">
        <v>13102</v>
      </c>
    </row>
    <row r="11654" spans="8:8" x14ac:dyDescent="0.25">
      <c r="H11654" t="s">
        <v>30</v>
      </c>
    </row>
    <row r="11655" spans="8:8" x14ac:dyDescent="0.25">
      <c r="H11655" t="s">
        <v>137</v>
      </c>
    </row>
    <row r="11656" spans="8:8" x14ac:dyDescent="0.25">
      <c r="H11656" t="s">
        <v>13103</v>
      </c>
    </row>
    <row r="11657" spans="8:8" x14ac:dyDescent="0.25">
      <c r="H11657" t="s">
        <v>30</v>
      </c>
    </row>
    <row r="11658" spans="8:8" x14ac:dyDescent="0.25">
      <c r="H11658" t="s">
        <v>138</v>
      </c>
    </row>
    <row r="11659" spans="8:8" x14ac:dyDescent="0.25">
      <c r="H11659" t="s">
        <v>13104</v>
      </c>
    </row>
    <row r="11660" spans="8:8" x14ac:dyDescent="0.25">
      <c r="H11660" t="s">
        <v>30</v>
      </c>
    </row>
    <row r="11662" spans="8:8" x14ac:dyDescent="0.25">
      <c r="H11662" t="s">
        <v>13105</v>
      </c>
    </row>
    <row r="11663" spans="8:8" x14ac:dyDescent="0.25">
      <c r="H11663" t="s">
        <v>13106</v>
      </c>
    </row>
    <row r="11664" spans="8:8" x14ac:dyDescent="0.25">
      <c r="H11664" t="s">
        <v>135</v>
      </c>
    </row>
    <row r="11665" spans="8:8" x14ac:dyDescent="0.25">
      <c r="H11665" t="s">
        <v>13107</v>
      </c>
    </row>
    <row r="11666" spans="8:8" x14ac:dyDescent="0.25">
      <c r="H11666" t="s">
        <v>30</v>
      </c>
    </row>
    <row r="11667" spans="8:8" x14ac:dyDescent="0.25">
      <c r="H11667" t="s">
        <v>136</v>
      </c>
    </row>
    <row r="11668" spans="8:8" x14ac:dyDescent="0.25">
      <c r="H11668" t="s">
        <v>13108</v>
      </c>
    </row>
    <row r="11669" spans="8:8" x14ac:dyDescent="0.25">
      <c r="H11669" t="s">
        <v>30</v>
      </c>
    </row>
    <row r="11670" spans="8:8" x14ac:dyDescent="0.25">
      <c r="H11670" t="s">
        <v>137</v>
      </c>
    </row>
    <row r="11671" spans="8:8" x14ac:dyDescent="0.25">
      <c r="H11671" t="s">
        <v>13109</v>
      </c>
    </row>
    <row r="11672" spans="8:8" x14ac:dyDescent="0.25">
      <c r="H11672" t="s">
        <v>30</v>
      </c>
    </row>
    <row r="11673" spans="8:8" x14ac:dyDescent="0.25">
      <c r="H11673" t="s">
        <v>138</v>
      </c>
    </row>
    <row r="11674" spans="8:8" x14ac:dyDescent="0.25">
      <c r="H11674" t="s">
        <v>13110</v>
      </c>
    </row>
    <row r="11675" spans="8:8" x14ac:dyDescent="0.25">
      <c r="H11675" t="s">
        <v>30</v>
      </c>
    </row>
    <row r="11677" spans="8:8" x14ac:dyDescent="0.25">
      <c r="H11677" t="s">
        <v>13111</v>
      </c>
    </row>
    <row r="11678" spans="8:8" x14ac:dyDescent="0.25">
      <c r="H11678" t="s">
        <v>13112</v>
      </c>
    </row>
    <row r="11679" spans="8:8" x14ac:dyDescent="0.25">
      <c r="H11679" t="s">
        <v>135</v>
      </c>
    </row>
    <row r="11680" spans="8:8" x14ac:dyDescent="0.25">
      <c r="H11680" t="s">
        <v>13113</v>
      </c>
    </row>
    <row r="11681" spans="8:8" x14ac:dyDescent="0.25">
      <c r="H11681" t="s">
        <v>30</v>
      </c>
    </row>
    <row r="11682" spans="8:8" x14ac:dyDescent="0.25">
      <c r="H11682" t="s">
        <v>136</v>
      </c>
    </row>
    <row r="11683" spans="8:8" x14ac:dyDescent="0.25">
      <c r="H11683" t="s">
        <v>13114</v>
      </c>
    </row>
    <row r="11684" spans="8:8" x14ac:dyDescent="0.25">
      <c r="H11684" t="s">
        <v>30</v>
      </c>
    </row>
    <row r="11685" spans="8:8" x14ac:dyDescent="0.25">
      <c r="H11685" t="s">
        <v>137</v>
      </c>
    </row>
    <row r="11686" spans="8:8" x14ac:dyDescent="0.25">
      <c r="H11686" t="s">
        <v>13115</v>
      </c>
    </row>
    <row r="11687" spans="8:8" x14ac:dyDescent="0.25">
      <c r="H11687" t="s">
        <v>30</v>
      </c>
    </row>
    <row r="11688" spans="8:8" x14ac:dyDescent="0.25">
      <c r="H11688" t="s">
        <v>138</v>
      </c>
    </row>
    <row r="11689" spans="8:8" x14ac:dyDescent="0.25">
      <c r="H11689" t="s">
        <v>13116</v>
      </c>
    </row>
    <row r="11690" spans="8:8" x14ac:dyDescent="0.25">
      <c r="H11690" t="s">
        <v>30</v>
      </c>
    </row>
    <row r="11692" spans="8:8" x14ac:dyDescent="0.25">
      <c r="H11692" t="s">
        <v>13117</v>
      </c>
    </row>
    <row r="11693" spans="8:8" x14ac:dyDescent="0.25">
      <c r="H11693" t="s">
        <v>13118</v>
      </c>
    </row>
    <row r="11694" spans="8:8" x14ac:dyDescent="0.25">
      <c r="H11694" t="s">
        <v>135</v>
      </c>
    </row>
    <row r="11695" spans="8:8" x14ac:dyDescent="0.25">
      <c r="H11695" t="s">
        <v>13119</v>
      </c>
    </row>
    <row r="11696" spans="8:8" x14ac:dyDescent="0.25">
      <c r="H11696" t="s">
        <v>30</v>
      </c>
    </row>
    <row r="11697" spans="8:8" x14ac:dyDescent="0.25">
      <c r="H11697" t="s">
        <v>136</v>
      </c>
    </row>
    <row r="11698" spans="8:8" x14ac:dyDescent="0.25">
      <c r="H11698" t="s">
        <v>13120</v>
      </c>
    </row>
    <row r="11699" spans="8:8" x14ac:dyDescent="0.25">
      <c r="H11699" t="s">
        <v>30</v>
      </c>
    </row>
    <row r="11700" spans="8:8" x14ac:dyDescent="0.25">
      <c r="H11700" t="s">
        <v>137</v>
      </c>
    </row>
    <row r="11701" spans="8:8" x14ac:dyDescent="0.25">
      <c r="H11701" t="s">
        <v>13121</v>
      </c>
    </row>
    <row r="11702" spans="8:8" x14ac:dyDescent="0.25">
      <c r="H11702" t="s">
        <v>30</v>
      </c>
    </row>
    <row r="11703" spans="8:8" x14ac:dyDescent="0.25">
      <c r="H11703" t="s">
        <v>138</v>
      </c>
    </row>
    <row r="11704" spans="8:8" x14ac:dyDescent="0.25">
      <c r="H11704" t="s">
        <v>13122</v>
      </c>
    </row>
    <row r="11705" spans="8:8" x14ac:dyDescent="0.25">
      <c r="H11705" t="s">
        <v>30</v>
      </c>
    </row>
    <row r="11707" spans="8:8" x14ac:dyDescent="0.25">
      <c r="H11707" t="s">
        <v>13123</v>
      </c>
    </row>
    <row r="11708" spans="8:8" x14ac:dyDescent="0.25">
      <c r="H11708" t="s">
        <v>13124</v>
      </c>
    </row>
    <row r="11709" spans="8:8" x14ac:dyDescent="0.25">
      <c r="H11709" t="s">
        <v>135</v>
      </c>
    </row>
    <row r="11710" spans="8:8" x14ac:dyDescent="0.25">
      <c r="H11710" t="s">
        <v>13125</v>
      </c>
    </row>
    <row r="11711" spans="8:8" x14ac:dyDescent="0.25">
      <c r="H11711" t="s">
        <v>30</v>
      </c>
    </row>
    <row r="11712" spans="8:8" x14ac:dyDescent="0.25">
      <c r="H11712" t="s">
        <v>136</v>
      </c>
    </row>
    <row r="11713" spans="8:8" x14ac:dyDescent="0.25">
      <c r="H11713" t="s">
        <v>13126</v>
      </c>
    </row>
    <row r="11714" spans="8:8" x14ac:dyDescent="0.25">
      <c r="H11714" t="s">
        <v>30</v>
      </c>
    </row>
    <row r="11715" spans="8:8" x14ac:dyDescent="0.25">
      <c r="H11715" t="s">
        <v>137</v>
      </c>
    </row>
    <row r="11716" spans="8:8" x14ac:dyDescent="0.25">
      <c r="H11716" t="s">
        <v>13127</v>
      </c>
    </row>
    <row r="11717" spans="8:8" x14ac:dyDescent="0.25">
      <c r="H11717" t="s">
        <v>30</v>
      </c>
    </row>
    <row r="11718" spans="8:8" x14ac:dyDescent="0.25">
      <c r="H11718" t="s">
        <v>138</v>
      </c>
    </row>
    <row r="11719" spans="8:8" x14ac:dyDescent="0.25">
      <c r="H11719" t="s">
        <v>13128</v>
      </c>
    </row>
    <row r="11720" spans="8:8" x14ac:dyDescent="0.25">
      <c r="H11720" t="s">
        <v>30</v>
      </c>
    </row>
    <row r="11722" spans="8:8" x14ac:dyDescent="0.25">
      <c r="H11722" t="s">
        <v>13129</v>
      </c>
    </row>
    <row r="11723" spans="8:8" x14ac:dyDescent="0.25">
      <c r="H11723" t="s">
        <v>13130</v>
      </c>
    </row>
    <row r="11724" spans="8:8" x14ac:dyDescent="0.25">
      <c r="H11724" t="s">
        <v>135</v>
      </c>
    </row>
    <row r="11725" spans="8:8" x14ac:dyDescent="0.25">
      <c r="H11725" t="s">
        <v>13131</v>
      </c>
    </row>
    <row r="11726" spans="8:8" x14ac:dyDescent="0.25">
      <c r="H11726" t="s">
        <v>30</v>
      </c>
    </row>
    <row r="11727" spans="8:8" x14ac:dyDescent="0.25">
      <c r="H11727" t="s">
        <v>136</v>
      </c>
    </row>
    <row r="11728" spans="8:8" x14ac:dyDescent="0.25">
      <c r="H11728" t="s">
        <v>13132</v>
      </c>
    </row>
    <row r="11729" spans="8:8" x14ac:dyDescent="0.25">
      <c r="H11729" t="s">
        <v>30</v>
      </c>
    </row>
    <row r="11730" spans="8:8" x14ac:dyDescent="0.25">
      <c r="H11730" t="s">
        <v>137</v>
      </c>
    </row>
    <row r="11731" spans="8:8" x14ac:dyDescent="0.25">
      <c r="H11731" t="s">
        <v>13133</v>
      </c>
    </row>
    <row r="11732" spans="8:8" x14ac:dyDescent="0.25">
      <c r="H11732" t="s">
        <v>30</v>
      </c>
    </row>
    <row r="11733" spans="8:8" x14ac:dyDescent="0.25">
      <c r="H11733" t="s">
        <v>138</v>
      </c>
    </row>
    <row r="11734" spans="8:8" x14ac:dyDescent="0.25">
      <c r="H11734" t="s">
        <v>13134</v>
      </c>
    </row>
    <row r="11735" spans="8:8" x14ac:dyDescent="0.25">
      <c r="H11735" t="s">
        <v>30</v>
      </c>
    </row>
    <row r="11737" spans="8:8" x14ac:dyDescent="0.25">
      <c r="H11737" t="s">
        <v>13135</v>
      </c>
    </row>
    <row r="11738" spans="8:8" x14ac:dyDescent="0.25">
      <c r="H11738" t="s">
        <v>13136</v>
      </c>
    </row>
    <row r="11739" spans="8:8" x14ac:dyDescent="0.25">
      <c r="H11739" t="s">
        <v>135</v>
      </c>
    </row>
    <row r="11740" spans="8:8" x14ac:dyDescent="0.25">
      <c r="H11740" t="s">
        <v>13137</v>
      </c>
    </row>
    <row r="11741" spans="8:8" x14ac:dyDescent="0.25">
      <c r="H11741" t="s">
        <v>30</v>
      </c>
    </row>
    <row r="11742" spans="8:8" x14ac:dyDescent="0.25">
      <c r="H11742" t="s">
        <v>136</v>
      </c>
    </row>
    <row r="11743" spans="8:8" x14ac:dyDescent="0.25">
      <c r="H11743" t="s">
        <v>13138</v>
      </c>
    </row>
    <row r="11744" spans="8:8" x14ac:dyDescent="0.25">
      <c r="H11744" t="s">
        <v>30</v>
      </c>
    </row>
    <row r="11745" spans="8:8" x14ac:dyDescent="0.25">
      <c r="H11745" t="s">
        <v>137</v>
      </c>
    </row>
    <row r="11746" spans="8:8" x14ac:dyDescent="0.25">
      <c r="H11746" t="s">
        <v>13139</v>
      </c>
    </row>
    <row r="11747" spans="8:8" x14ac:dyDescent="0.25">
      <c r="H11747" t="s">
        <v>30</v>
      </c>
    </row>
    <row r="11748" spans="8:8" x14ac:dyDescent="0.25">
      <c r="H11748" t="s">
        <v>138</v>
      </c>
    </row>
    <row r="11749" spans="8:8" x14ac:dyDescent="0.25">
      <c r="H11749" t="s">
        <v>13140</v>
      </c>
    </row>
    <row r="11750" spans="8:8" x14ac:dyDescent="0.25">
      <c r="H11750" t="s">
        <v>30</v>
      </c>
    </row>
    <row r="11752" spans="8:8" x14ac:dyDescent="0.25">
      <c r="H11752" t="s">
        <v>13141</v>
      </c>
    </row>
    <row r="11753" spans="8:8" x14ac:dyDescent="0.25">
      <c r="H11753" t="s">
        <v>13142</v>
      </c>
    </row>
    <row r="11754" spans="8:8" x14ac:dyDescent="0.25">
      <c r="H11754" t="s">
        <v>135</v>
      </c>
    </row>
    <row r="11755" spans="8:8" x14ac:dyDescent="0.25">
      <c r="H11755" t="s">
        <v>13143</v>
      </c>
    </row>
    <row r="11756" spans="8:8" x14ac:dyDescent="0.25">
      <c r="H11756" t="s">
        <v>30</v>
      </c>
    </row>
    <row r="11757" spans="8:8" x14ac:dyDescent="0.25">
      <c r="H11757" t="s">
        <v>136</v>
      </c>
    </row>
    <row r="11758" spans="8:8" x14ac:dyDescent="0.25">
      <c r="H11758" t="s">
        <v>13144</v>
      </c>
    </row>
    <row r="11759" spans="8:8" x14ac:dyDescent="0.25">
      <c r="H11759" t="s">
        <v>30</v>
      </c>
    </row>
    <row r="11760" spans="8:8" x14ac:dyDescent="0.25">
      <c r="H11760" t="s">
        <v>137</v>
      </c>
    </row>
    <row r="11761" spans="8:8" x14ac:dyDescent="0.25">
      <c r="H11761" t="s">
        <v>13145</v>
      </c>
    </row>
    <row r="11762" spans="8:8" x14ac:dyDescent="0.25">
      <c r="H11762" t="s">
        <v>30</v>
      </c>
    </row>
    <row r="11763" spans="8:8" x14ac:dyDescent="0.25">
      <c r="H11763" t="s">
        <v>138</v>
      </c>
    </row>
    <row r="11764" spans="8:8" x14ac:dyDescent="0.25">
      <c r="H11764" t="s">
        <v>13146</v>
      </c>
    </row>
    <row r="11765" spans="8:8" x14ac:dyDescent="0.25">
      <c r="H11765" t="s">
        <v>30</v>
      </c>
    </row>
    <row r="11767" spans="8:8" x14ac:dyDescent="0.25">
      <c r="H11767" t="s">
        <v>13147</v>
      </c>
    </row>
    <row r="11768" spans="8:8" x14ac:dyDescent="0.25">
      <c r="H11768" t="s">
        <v>13148</v>
      </c>
    </row>
    <row r="11769" spans="8:8" x14ac:dyDescent="0.25">
      <c r="H11769" t="s">
        <v>135</v>
      </c>
    </row>
    <row r="11770" spans="8:8" x14ac:dyDescent="0.25">
      <c r="H11770" t="s">
        <v>13149</v>
      </c>
    </row>
    <row r="11771" spans="8:8" x14ac:dyDescent="0.25">
      <c r="H11771" t="s">
        <v>30</v>
      </c>
    </row>
    <row r="11772" spans="8:8" x14ac:dyDescent="0.25">
      <c r="H11772" t="s">
        <v>136</v>
      </c>
    </row>
    <row r="11773" spans="8:8" x14ac:dyDescent="0.25">
      <c r="H11773" t="s">
        <v>13150</v>
      </c>
    </row>
    <row r="11774" spans="8:8" x14ac:dyDescent="0.25">
      <c r="H11774" t="s">
        <v>30</v>
      </c>
    </row>
    <row r="11775" spans="8:8" x14ac:dyDescent="0.25">
      <c r="H11775" t="s">
        <v>137</v>
      </c>
    </row>
    <row r="11776" spans="8:8" x14ac:dyDescent="0.25">
      <c r="H11776" t="s">
        <v>13151</v>
      </c>
    </row>
    <row r="11777" spans="8:8" x14ac:dyDescent="0.25">
      <c r="H11777" t="s">
        <v>30</v>
      </c>
    </row>
    <row r="11778" spans="8:8" x14ac:dyDescent="0.25">
      <c r="H11778" t="s">
        <v>138</v>
      </c>
    </row>
    <row r="11779" spans="8:8" x14ac:dyDescent="0.25">
      <c r="H11779" t="s">
        <v>13152</v>
      </c>
    </row>
    <row r="11780" spans="8:8" x14ac:dyDescent="0.25">
      <c r="H11780" t="s">
        <v>30</v>
      </c>
    </row>
    <row r="11782" spans="8:8" x14ac:dyDescent="0.25">
      <c r="H11782" t="s">
        <v>13153</v>
      </c>
    </row>
    <row r="11783" spans="8:8" x14ac:dyDescent="0.25">
      <c r="H11783" t="s">
        <v>13154</v>
      </c>
    </row>
    <row r="11784" spans="8:8" x14ac:dyDescent="0.25">
      <c r="H11784" t="s">
        <v>135</v>
      </c>
    </row>
    <row r="11785" spans="8:8" x14ac:dyDescent="0.25">
      <c r="H11785" t="s">
        <v>13155</v>
      </c>
    </row>
    <row r="11786" spans="8:8" x14ac:dyDescent="0.25">
      <c r="H11786" t="s">
        <v>30</v>
      </c>
    </row>
    <row r="11787" spans="8:8" x14ac:dyDescent="0.25">
      <c r="H11787" t="s">
        <v>136</v>
      </c>
    </row>
    <row r="11788" spans="8:8" x14ac:dyDescent="0.25">
      <c r="H11788" t="s">
        <v>13156</v>
      </c>
    </row>
    <row r="11789" spans="8:8" x14ac:dyDescent="0.25">
      <c r="H11789" t="s">
        <v>30</v>
      </c>
    </row>
    <row r="11790" spans="8:8" x14ac:dyDescent="0.25">
      <c r="H11790" t="s">
        <v>137</v>
      </c>
    </row>
    <row r="11791" spans="8:8" x14ac:dyDescent="0.25">
      <c r="H11791" t="s">
        <v>13157</v>
      </c>
    </row>
    <row r="11792" spans="8:8" x14ac:dyDescent="0.25">
      <c r="H11792" t="s">
        <v>30</v>
      </c>
    </row>
    <row r="11793" spans="8:8" x14ac:dyDescent="0.25">
      <c r="H11793" t="s">
        <v>138</v>
      </c>
    </row>
    <row r="11794" spans="8:8" x14ac:dyDescent="0.25">
      <c r="H11794" t="s">
        <v>13158</v>
      </c>
    </row>
    <row r="11795" spans="8:8" x14ac:dyDescent="0.25">
      <c r="H11795" t="s">
        <v>30</v>
      </c>
    </row>
    <row r="11797" spans="8:8" x14ac:dyDescent="0.25">
      <c r="H11797" t="s">
        <v>13159</v>
      </c>
    </row>
    <row r="11798" spans="8:8" x14ac:dyDescent="0.25">
      <c r="H11798" t="s">
        <v>13160</v>
      </c>
    </row>
    <row r="11799" spans="8:8" x14ac:dyDescent="0.25">
      <c r="H11799" t="s">
        <v>135</v>
      </c>
    </row>
    <row r="11800" spans="8:8" x14ac:dyDescent="0.25">
      <c r="H11800" t="s">
        <v>13161</v>
      </c>
    </row>
    <row r="11801" spans="8:8" x14ac:dyDescent="0.25">
      <c r="H11801" t="s">
        <v>30</v>
      </c>
    </row>
    <row r="11802" spans="8:8" x14ac:dyDescent="0.25">
      <c r="H11802" t="s">
        <v>136</v>
      </c>
    </row>
    <row r="11803" spans="8:8" x14ac:dyDescent="0.25">
      <c r="H11803" t="s">
        <v>13162</v>
      </c>
    </row>
    <row r="11804" spans="8:8" x14ac:dyDescent="0.25">
      <c r="H11804" t="s">
        <v>30</v>
      </c>
    </row>
    <row r="11805" spans="8:8" x14ac:dyDescent="0.25">
      <c r="H11805" t="s">
        <v>137</v>
      </c>
    </row>
    <row r="11806" spans="8:8" x14ac:dyDescent="0.25">
      <c r="H11806" t="s">
        <v>13163</v>
      </c>
    </row>
    <row r="11807" spans="8:8" x14ac:dyDescent="0.25">
      <c r="H11807" t="s">
        <v>30</v>
      </c>
    </row>
    <row r="11808" spans="8:8" x14ac:dyDescent="0.25">
      <c r="H11808" t="s">
        <v>138</v>
      </c>
    </row>
    <row r="11809" spans="8:8" x14ac:dyDescent="0.25">
      <c r="H11809" t="s">
        <v>13164</v>
      </c>
    </row>
    <row r="11810" spans="8:8" x14ac:dyDescent="0.25">
      <c r="H11810" t="s">
        <v>30</v>
      </c>
    </row>
    <row r="11812" spans="8:8" x14ac:dyDescent="0.25">
      <c r="H11812" t="s">
        <v>13165</v>
      </c>
    </row>
    <row r="11813" spans="8:8" x14ac:dyDescent="0.25">
      <c r="H11813" t="s">
        <v>13166</v>
      </c>
    </row>
    <row r="11814" spans="8:8" x14ac:dyDescent="0.25">
      <c r="H11814" t="s">
        <v>135</v>
      </c>
    </row>
    <row r="11815" spans="8:8" x14ac:dyDescent="0.25">
      <c r="H11815" t="s">
        <v>13167</v>
      </c>
    </row>
    <row r="11816" spans="8:8" x14ac:dyDescent="0.25">
      <c r="H11816" t="s">
        <v>30</v>
      </c>
    </row>
    <row r="11817" spans="8:8" x14ac:dyDescent="0.25">
      <c r="H11817" t="s">
        <v>136</v>
      </c>
    </row>
    <row r="11818" spans="8:8" x14ac:dyDescent="0.25">
      <c r="H11818" t="s">
        <v>13168</v>
      </c>
    </row>
    <row r="11819" spans="8:8" x14ac:dyDescent="0.25">
      <c r="H11819" t="s">
        <v>30</v>
      </c>
    </row>
    <row r="11820" spans="8:8" x14ac:dyDescent="0.25">
      <c r="H11820" t="s">
        <v>137</v>
      </c>
    </row>
    <row r="11821" spans="8:8" x14ac:dyDescent="0.25">
      <c r="H11821" t="s">
        <v>13169</v>
      </c>
    </row>
    <row r="11822" spans="8:8" x14ac:dyDescent="0.25">
      <c r="H11822" t="s">
        <v>30</v>
      </c>
    </row>
    <row r="11823" spans="8:8" x14ac:dyDescent="0.25">
      <c r="H11823" t="s">
        <v>138</v>
      </c>
    </row>
    <row r="11824" spans="8:8" x14ac:dyDescent="0.25">
      <c r="H11824" t="s">
        <v>13170</v>
      </c>
    </row>
    <row r="11825" spans="8:8" x14ac:dyDescent="0.25">
      <c r="H11825" t="s">
        <v>30</v>
      </c>
    </row>
    <row r="11827" spans="8:8" x14ac:dyDescent="0.25">
      <c r="H11827" t="s">
        <v>13171</v>
      </c>
    </row>
    <row r="11828" spans="8:8" x14ac:dyDescent="0.25">
      <c r="H11828" t="s">
        <v>13172</v>
      </c>
    </row>
    <row r="11829" spans="8:8" x14ac:dyDescent="0.25">
      <c r="H11829" t="s">
        <v>135</v>
      </c>
    </row>
    <row r="11830" spans="8:8" x14ac:dyDescent="0.25">
      <c r="H11830" t="s">
        <v>13173</v>
      </c>
    </row>
    <row r="11831" spans="8:8" x14ac:dyDescent="0.25">
      <c r="H11831" t="s">
        <v>30</v>
      </c>
    </row>
    <row r="11832" spans="8:8" x14ac:dyDescent="0.25">
      <c r="H11832" t="s">
        <v>136</v>
      </c>
    </row>
    <row r="11833" spans="8:8" x14ac:dyDescent="0.25">
      <c r="H11833" t="s">
        <v>13174</v>
      </c>
    </row>
    <row r="11834" spans="8:8" x14ac:dyDescent="0.25">
      <c r="H11834" t="s">
        <v>30</v>
      </c>
    </row>
    <row r="11835" spans="8:8" x14ac:dyDescent="0.25">
      <c r="H11835" t="s">
        <v>137</v>
      </c>
    </row>
    <row r="11836" spans="8:8" x14ac:dyDescent="0.25">
      <c r="H11836" t="s">
        <v>13175</v>
      </c>
    </row>
    <row r="11837" spans="8:8" x14ac:dyDescent="0.25">
      <c r="H11837" t="s">
        <v>30</v>
      </c>
    </row>
    <row r="11838" spans="8:8" x14ac:dyDescent="0.25">
      <c r="H11838" t="s">
        <v>138</v>
      </c>
    </row>
    <row r="11839" spans="8:8" x14ac:dyDescent="0.25">
      <c r="H11839" t="s">
        <v>13176</v>
      </c>
    </row>
    <row r="11840" spans="8:8" x14ac:dyDescent="0.25">
      <c r="H11840" t="s">
        <v>30</v>
      </c>
    </row>
    <row r="11842" spans="8:8" x14ac:dyDescent="0.25">
      <c r="H11842" t="s">
        <v>13177</v>
      </c>
    </row>
    <row r="11843" spans="8:8" x14ac:dyDescent="0.25">
      <c r="H11843" t="s">
        <v>13178</v>
      </c>
    </row>
    <row r="11844" spans="8:8" x14ac:dyDescent="0.25">
      <c r="H11844" t="s">
        <v>135</v>
      </c>
    </row>
    <row r="11845" spans="8:8" x14ac:dyDescent="0.25">
      <c r="H11845" t="s">
        <v>13179</v>
      </c>
    </row>
    <row r="11846" spans="8:8" x14ac:dyDescent="0.25">
      <c r="H11846" t="s">
        <v>30</v>
      </c>
    </row>
    <row r="11847" spans="8:8" x14ac:dyDescent="0.25">
      <c r="H11847" t="s">
        <v>136</v>
      </c>
    </row>
    <row r="11848" spans="8:8" x14ac:dyDescent="0.25">
      <c r="H11848" t="s">
        <v>13180</v>
      </c>
    </row>
    <row r="11849" spans="8:8" x14ac:dyDescent="0.25">
      <c r="H11849" t="s">
        <v>30</v>
      </c>
    </row>
    <row r="11850" spans="8:8" x14ac:dyDescent="0.25">
      <c r="H11850" t="s">
        <v>137</v>
      </c>
    </row>
    <row r="11851" spans="8:8" x14ac:dyDescent="0.25">
      <c r="H11851" t="s">
        <v>13181</v>
      </c>
    </row>
    <row r="11852" spans="8:8" x14ac:dyDescent="0.25">
      <c r="H11852" t="s">
        <v>30</v>
      </c>
    </row>
    <row r="11853" spans="8:8" x14ac:dyDescent="0.25">
      <c r="H11853" t="s">
        <v>138</v>
      </c>
    </row>
    <row r="11854" spans="8:8" x14ac:dyDescent="0.25">
      <c r="H11854" t="s">
        <v>13182</v>
      </c>
    </row>
    <row r="11855" spans="8:8" x14ac:dyDescent="0.25">
      <c r="H11855" t="s">
        <v>30</v>
      </c>
    </row>
    <row r="11857" spans="8:8" x14ac:dyDescent="0.25">
      <c r="H11857" t="s">
        <v>13183</v>
      </c>
    </row>
    <row r="11858" spans="8:8" x14ac:dyDescent="0.25">
      <c r="H11858" t="s">
        <v>13184</v>
      </c>
    </row>
    <row r="11859" spans="8:8" x14ac:dyDescent="0.25">
      <c r="H11859" t="s">
        <v>135</v>
      </c>
    </row>
    <row r="11860" spans="8:8" x14ac:dyDescent="0.25">
      <c r="H11860" t="s">
        <v>13185</v>
      </c>
    </row>
    <row r="11861" spans="8:8" x14ac:dyDescent="0.25">
      <c r="H11861" t="s">
        <v>30</v>
      </c>
    </row>
    <row r="11862" spans="8:8" x14ac:dyDescent="0.25">
      <c r="H11862" t="s">
        <v>136</v>
      </c>
    </row>
    <row r="11863" spans="8:8" x14ac:dyDescent="0.25">
      <c r="H11863" t="s">
        <v>13186</v>
      </c>
    </row>
    <row r="11864" spans="8:8" x14ac:dyDescent="0.25">
      <c r="H11864" t="s">
        <v>30</v>
      </c>
    </row>
    <row r="11865" spans="8:8" x14ac:dyDescent="0.25">
      <c r="H11865" t="s">
        <v>137</v>
      </c>
    </row>
    <row r="11866" spans="8:8" x14ac:dyDescent="0.25">
      <c r="H11866" t="s">
        <v>13187</v>
      </c>
    </row>
    <row r="11867" spans="8:8" x14ac:dyDescent="0.25">
      <c r="H11867" t="s">
        <v>30</v>
      </c>
    </row>
    <row r="11868" spans="8:8" x14ac:dyDescent="0.25">
      <c r="H11868" t="s">
        <v>138</v>
      </c>
    </row>
    <row r="11869" spans="8:8" x14ac:dyDescent="0.25">
      <c r="H11869" t="s">
        <v>13188</v>
      </c>
    </row>
    <row r="11870" spans="8:8" x14ac:dyDescent="0.25">
      <c r="H11870" t="s">
        <v>30</v>
      </c>
    </row>
    <row r="11872" spans="8:8" x14ac:dyDescent="0.25">
      <c r="H11872" t="s">
        <v>13189</v>
      </c>
    </row>
    <row r="11873" spans="8:8" x14ac:dyDescent="0.25">
      <c r="H11873" t="s">
        <v>13190</v>
      </c>
    </row>
    <row r="11874" spans="8:8" x14ac:dyDescent="0.25">
      <c r="H11874" t="s">
        <v>135</v>
      </c>
    </row>
    <row r="11875" spans="8:8" x14ac:dyDescent="0.25">
      <c r="H11875" t="s">
        <v>13191</v>
      </c>
    </row>
    <row r="11876" spans="8:8" x14ac:dyDescent="0.25">
      <c r="H11876" t="s">
        <v>30</v>
      </c>
    </row>
    <row r="11877" spans="8:8" x14ac:dyDescent="0.25">
      <c r="H11877" t="s">
        <v>136</v>
      </c>
    </row>
    <row r="11878" spans="8:8" x14ac:dyDescent="0.25">
      <c r="H11878" t="s">
        <v>13192</v>
      </c>
    </row>
    <row r="11879" spans="8:8" x14ac:dyDescent="0.25">
      <c r="H11879" t="s">
        <v>30</v>
      </c>
    </row>
    <row r="11880" spans="8:8" x14ac:dyDescent="0.25">
      <c r="H11880" t="s">
        <v>137</v>
      </c>
    </row>
    <row r="11881" spans="8:8" x14ac:dyDescent="0.25">
      <c r="H11881" t="s">
        <v>13193</v>
      </c>
    </row>
    <row r="11882" spans="8:8" x14ac:dyDescent="0.25">
      <c r="H11882" t="s">
        <v>30</v>
      </c>
    </row>
    <row r="11883" spans="8:8" x14ac:dyDescent="0.25">
      <c r="H11883" t="s">
        <v>138</v>
      </c>
    </row>
    <row r="11884" spans="8:8" x14ac:dyDescent="0.25">
      <c r="H11884" t="s">
        <v>13194</v>
      </c>
    </row>
    <row r="11885" spans="8:8" x14ac:dyDescent="0.25">
      <c r="H11885" t="s">
        <v>30</v>
      </c>
    </row>
    <row r="11887" spans="8:8" x14ac:dyDescent="0.25">
      <c r="H11887" t="s">
        <v>13195</v>
      </c>
    </row>
    <row r="11888" spans="8:8" x14ac:dyDescent="0.25">
      <c r="H11888" t="s">
        <v>13196</v>
      </c>
    </row>
    <row r="11889" spans="8:8" x14ac:dyDescent="0.25">
      <c r="H11889" t="s">
        <v>135</v>
      </c>
    </row>
    <row r="11890" spans="8:8" x14ac:dyDescent="0.25">
      <c r="H11890" t="s">
        <v>13197</v>
      </c>
    </row>
    <row r="11891" spans="8:8" x14ac:dyDescent="0.25">
      <c r="H11891" t="s">
        <v>30</v>
      </c>
    </row>
    <row r="11892" spans="8:8" x14ac:dyDescent="0.25">
      <c r="H11892" t="s">
        <v>136</v>
      </c>
    </row>
    <row r="11893" spans="8:8" x14ac:dyDescent="0.25">
      <c r="H11893" t="s">
        <v>13198</v>
      </c>
    </row>
    <row r="11894" spans="8:8" x14ac:dyDescent="0.25">
      <c r="H11894" t="s">
        <v>30</v>
      </c>
    </row>
    <row r="11895" spans="8:8" x14ac:dyDescent="0.25">
      <c r="H11895" t="s">
        <v>137</v>
      </c>
    </row>
    <row r="11896" spans="8:8" x14ac:dyDescent="0.25">
      <c r="H11896" t="s">
        <v>13199</v>
      </c>
    </row>
    <row r="11897" spans="8:8" x14ac:dyDescent="0.25">
      <c r="H11897" t="s">
        <v>30</v>
      </c>
    </row>
    <row r="11898" spans="8:8" x14ac:dyDescent="0.25">
      <c r="H11898" t="s">
        <v>138</v>
      </c>
    </row>
    <row r="11899" spans="8:8" x14ac:dyDescent="0.25">
      <c r="H11899" t="s">
        <v>13200</v>
      </c>
    </row>
    <row r="11900" spans="8:8" x14ac:dyDescent="0.25">
      <c r="H11900" t="s">
        <v>30</v>
      </c>
    </row>
    <row r="11902" spans="8:8" x14ac:dyDescent="0.25">
      <c r="H11902" t="s">
        <v>13201</v>
      </c>
    </row>
    <row r="11903" spans="8:8" x14ac:dyDescent="0.25">
      <c r="H11903" t="s">
        <v>13202</v>
      </c>
    </row>
    <row r="11904" spans="8:8" x14ac:dyDescent="0.25">
      <c r="H11904" t="s">
        <v>135</v>
      </c>
    </row>
    <row r="11905" spans="8:8" x14ac:dyDescent="0.25">
      <c r="H11905" t="s">
        <v>13203</v>
      </c>
    </row>
    <row r="11906" spans="8:8" x14ac:dyDescent="0.25">
      <c r="H11906" t="s">
        <v>30</v>
      </c>
    </row>
    <row r="11907" spans="8:8" x14ac:dyDescent="0.25">
      <c r="H11907" t="s">
        <v>136</v>
      </c>
    </row>
    <row r="11908" spans="8:8" x14ac:dyDescent="0.25">
      <c r="H11908" t="s">
        <v>13204</v>
      </c>
    </row>
    <row r="11909" spans="8:8" x14ac:dyDescent="0.25">
      <c r="H11909" t="s">
        <v>30</v>
      </c>
    </row>
    <row r="11910" spans="8:8" x14ac:dyDescent="0.25">
      <c r="H11910" t="s">
        <v>137</v>
      </c>
    </row>
    <row r="11911" spans="8:8" x14ac:dyDescent="0.25">
      <c r="H11911" t="s">
        <v>13205</v>
      </c>
    </row>
    <row r="11912" spans="8:8" x14ac:dyDescent="0.25">
      <c r="H11912" t="s">
        <v>30</v>
      </c>
    </row>
    <row r="11913" spans="8:8" x14ac:dyDescent="0.25">
      <c r="H11913" t="s">
        <v>138</v>
      </c>
    </row>
    <row r="11914" spans="8:8" x14ac:dyDescent="0.25">
      <c r="H11914" t="s">
        <v>13206</v>
      </c>
    </row>
    <row r="11915" spans="8:8" x14ac:dyDescent="0.25">
      <c r="H11915" t="s">
        <v>30</v>
      </c>
    </row>
    <row r="11917" spans="8:8" x14ac:dyDescent="0.25">
      <c r="H11917" t="s">
        <v>13207</v>
      </c>
    </row>
    <row r="11918" spans="8:8" x14ac:dyDescent="0.25">
      <c r="H11918" t="s">
        <v>13208</v>
      </c>
    </row>
    <row r="11919" spans="8:8" x14ac:dyDescent="0.25">
      <c r="H11919" t="s">
        <v>135</v>
      </c>
    </row>
    <row r="11920" spans="8:8" x14ac:dyDescent="0.25">
      <c r="H11920" t="s">
        <v>13209</v>
      </c>
    </row>
    <row r="11921" spans="8:8" x14ac:dyDescent="0.25">
      <c r="H11921" t="s">
        <v>30</v>
      </c>
    </row>
    <row r="11922" spans="8:8" x14ac:dyDescent="0.25">
      <c r="H11922" t="s">
        <v>136</v>
      </c>
    </row>
    <row r="11923" spans="8:8" x14ac:dyDescent="0.25">
      <c r="H11923" t="s">
        <v>13210</v>
      </c>
    </row>
    <row r="11924" spans="8:8" x14ac:dyDescent="0.25">
      <c r="H11924" t="s">
        <v>30</v>
      </c>
    </row>
    <row r="11925" spans="8:8" x14ac:dyDescent="0.25">
      <c r="H11925" t="s">
        <v>137</v>
      </c>
    </row>
    <row r="11926" spans="8:8" x14ac:dyDescent="0.25">
      <c r="H11926" t="s">
        <v>13211</v>
      </c>
    </row>
    <row r="11927" spans="8:8" x14ac:dyDescent="0.25">
      <c r="H11927" t="s">
        <v>30</v>
      </c>
    </row>
    <row r="11928" spans="8:8" x14ac:dyDescent="0.25">
      <c r="H11928" t="s">
        <v>138</v>
      </c>
    </row>
    <row r="11929" spans="8:8" x14ac:dyDescent="0.25">
      <c r="H11929" t="s">
        <v>13212</v>
      </c>
    </row>
    <row r="11930" spans="8:8" x14ac:dyDescent="0.25">
      <c r="H11930" t="s">
        <v>30</v>
      </c>
    </row>
    <row r="11932" spans="8:8" x14ac:dyDescent="0.25">
      <c r="H11932" t="s">
        <v>13213</v>
      </c>
    </row>
    <row r="11933" spans="8:8" x14ac:dyDescent="0.25">
      <c r="H11933" t="s">
        <v>13214</v>
      </c>
    </row>
    <row r="11934" spans="8:8" x14ac:dyDescent="0.25">
      <c r="H11934" t="s">
        <v>135</v>
      </c>
    </row>
    <row r="11935" spans="8:8" x14ac:dyDescent="0.25">
      <c r="H11935" t="s">
        <v>13215</v>
      </c>
    </row>
    <row r="11936" spans="8:8" x14ac:dyDescent="0.25">
      <c r="H11936" t="s">
        <v>30</v>
      </c>
    </row>
    <row r="11937" spans="8:8" x14ac:dyDescent="0.25">
      <c r="H11937" t="s">
        <v>136</v>
      </c>
    </row>
    <row r="11938" spans="8:8" x14ac:dyDescent="0.25">
      <c r="H11938" t="s">
        <v>13216</v>
      </c>
    </row>
    <row r="11939" spans="8:8" x14ac:dyDescent="0.25">
      <c r="H11939" t="s">
        <v>30</v>
      </c>
    </row>
    <row r="11940" spans="8:8" x14ac:dyDescent="0.25">
      <c r="H11940" t="s">
        <v>137</v>
      </c>
    </row>
    <row r="11941" spans="8:8" x14ac:dyDescent="0.25">
      <c r="H11941" t="s">
        <v>13217</v>
      </c>
    </row>
    <row r="11942" spans="8:8" x14ac:dyDescent="0.25">
      <c r="H11942" t="s">
        <v>30</v>
      </c>
    </row>
    <row r="11943" spans="8:8" x14ac:dyDescent="0.25">
      <c r="H11943" t="s">
        <v>138</v>
      </c>
    </row>
    <row r="11944" spans="8:8" x14ac:dyDescent="0.25">
      <c r="H11944" t="s">
        <v>13218</v>
      </c>
    </row>
    <row r="11945" spans="8:8" x14ac:dyDescent="0.25">
      <c r="H11945" t="s">
        <v>30</v>
      </c>
    </row>
    <row r="11947" spans="8:8" x14ac:dyDescent="0.25">
      <c r="H11947" t="s">
        <v>13219</v>
      </c>
    </row>
    <row r="11948" spans="8:8" x14ac:dyDescent="0.25">
      <c r="H11948" t="s">
        <v>13220</v>
      </c>
    </row>
    <row r="11949" spans="8:8" x14ac:dyDescent="0.25">
      <c r="H11949" t="s">
        <v>135</v>
      </c>
    </row>
    <row r="11950" spans="8:8" x14ac:dyDescent="0.25">
      <c r="H11950" t="s">
        <v>13221</v>
      </c>
    </row>
    <row r="11951" spans="8:8" x14ac:dyDescent="0.25">
      <c r="H11951" t="s">
        <v>30</v>
      </c>
    </row>
    <row r="11952" spans="8:8" x14ac:dyDescent="0.25">
      <c r="H11952" t="s">
        <v>136</v>
      </c>
    </row>
    <row r="11953" spans="8:8" x14ac:dyDescent="0.25">
      <c r="H11953" t="s">
        <v>13222</v>
      </c>
    </row>
    <row r="11954" spans="8:8" x14ac:dyDescent="0.25">
      <c r="H11954" t="s">
        <v>30</v>
      </c>
    </row>
    <row r="11955" spans="8:8" x14ac:dyDescent="0.25">
      <c r="H11955" t="s">
        <v>137</v>
      </c>
    </row>
    <row r="11956" spans="8:8" x14ac:dyDescent="0.25">
      <c r="H11956" t="s">
        <v>13223</v>
      </c>
    </row>
    <row r="11957" spans="8:8" x14ac:dyDescent="0.25">
      <c r="H11957" t="s">
        <v>30</v>
      </c>
    </row>
    <row r="11958" spans="8:8" x14ac:dyDescent="0.25">
      <c r="H11958" t="s">
        <v>138</v>
      </c>
    </row>
    <row r="11959" spans="8:8" x14ac:dyDescent="0.25">
      <c r="H11959" t="s">
        <v>13224</v>
      </c>
    </row>
    <row r="11960" spans="8:8" x14ac:dyDescent="0.25">
      <c r="H11960" t="s">
        <v>30</v>
      </c>
    </row>
    <row r="11962" spans="8:8" x14ac:dyDescent="0.25">
      <c r="H11962" t="s">
        <v>13225</v>
      </c>
    </row>
    <row r="11963" spans="8:8" x14ac:dyDescent="0.25">
      <c r="H11963" t="s">
        <v>13226</v>
      </c>
    </row>
    <row r="11964" spans="8:8" x14ac:dyDescent="0.25">
      <c r="H11964" t="s">
        <v>135</v>
      </c>
    </row>
    <row r="11965" spans="8:8" x14ac:dyDescent="0.25">
      <c r="H11965" t="s">
        <v>13227</v>
      </c>
    </row>
    <row r="11966" spans="8:8" x14ac:dyDescent="0.25">
      <c r="H11966" t="s">
        <v>30</v>
      </c>
    </row>
    <row r="11967" spans="8:8" x14ac:dyDescent="0.25">
      <c r="H11967" t="s">
        <v>136</v>
      </c>
    </row>
    <row r="11968" spans="8:8" x14ac:dyDescent="0.25">
      <c r="H11968" t="s">
        <v>13228</v>
      </c>
    </row>
    <row r="11969" spans="8:8" x14ac:dyDescent="0.25">
      <c r="H11969" t="s">
        <v>30</v>
      </c>
    </row>
    <row r="11970" spans="8:8" x14ac:dyDescent="0.25">
      <c r="H11970" t="s">
        <v>137</v>
      </c>
    </row>
    <row r="11971" spans="8:8" x14ac:dyDescent="0.25">
      <c r="H11971" t="s">
        <v>13229</v>
      </c>
    </row>
    <row r="11972" spans="8:8" x14ac:dyDescent="0.25">
      <c r="H11972" t="s">
        <v>30</v>
      </c>
    </row>
    <row r="11973" spans="8:8" x14ac:dyDescent="0.25">
      <c r="H11973" t="s">
        <v>138</v>
      </c>
    </row>
    <row r="11974" spans="8:8" x14ac:dyDescent="0.25">
      <c r="H11974" t="s">
        <v>13230</v>
      </c>
    </row>
    <row r="11975" spans="8:8" x14ac:dyDescent="0.25">
      <c r="H11975" t="s">
        <v>30</v>
      </c>
    </row>
    <row r="11977" spans="8:8" x14ac:dyDescent="0.25">
      <c r="H11977" t="s">
        <v>13231</v>
      </c>
    </row>
    <row r="11978" spans="8:8" x14ac:dyDescent="0.25">
      <c r="H11978" t="s">
        <v>13232</v>
      </c>
    </row>
    <row r="11979" spans="8:8" x14ac:dyDescent="0.25">
      <c r="H11979" t="s">
        <v>135</v>
      </c>
    </row>
    <row r="11980" spans="8:8" x14ac:dyDescent="0.25">
      <c r="H11980" t="s">
        <v>13233</v>
      </c>
    </row>
    <row r="11981" spans="8:8" x14ac:dyDescent="0.25">
      <c r="H11981" t="s">
        <v>30</v>
      </c>
    </row>
    <row r="11982" spans="8:8" x14ac:dyDescent="0.25">
      <c r="H11982" t="s">
        <v>136</v>
      </c>
    </row>
    <row r="11983" spans="8:8" x14ac:dyDescent="0.25">
      <c r="H11983" t="s">
        <v>13234</v>
      </c>
    </row>
    <row r="11984" spans="8:8" x14ac:dyDescent="0.25">
      <c r="H11984" t="s">
        <v>30</v>
      </c>
    </row>
    <row r="11985" spans="8:8" x14ac:dyDescent="0.25">
      <c r="H11985" t="s">
        <v>137</v>
      </c>
    </row>
    <row r="11986" spans="8:8" x14ac:dyDescent="0.25">
      <c r="H11986" t="s">
        <v>13235</v>
      </c>
    </row>
    <row r="11987" spans="8:8" x14ac:dyDescent="0.25">
      <c r="H11987" t="s">
        <v>30</v>
      </c>
    </row>
    <row r="11988" spans="8:8" x14ac:dyDescent="0.25">
      <c r="H11988" t="s">
        <v>138</v>
      </c>
    </row>
    <row r="11989" spans="8:8" x14ac:dyDescent="0.25">
      <c r="H11989" t="s">
        <v>13236</v>
      </c>
    </row>
    <row r="11990" spans="8:8" x14ac:dyDescent="0.25">
      <c r="H11990" t="s">
        <v>30</v>
      </c>
    </row>
    <row r="11992" spans="8:8" x14ac:dyDescent="0.25">
      <c r="H11992" t="s">
        <v>13237</v>
      </c>
    </row>
    <row r="11993" spans="8:8" x14ac:dyDescent="0.25">
      <c r="H11993" t="s">
        <v>13238</v>
      </c>
    </row>
    <row r="11994" spans="8:8" x14ac:dyDescent="0.25">
      <c r="H11994" t="s">
        <v>135</v>
      </c>
    </row>
    <row r="11995" spans="8:8" x14ac:dyDescent="0.25">
      <c r="H11995" t="s">
        <v>13239</v>
      </c>
    </row>
    <row r="11996" spans="8:8" x14ac:dyDescent="0.25">
      <c r="H11996" t="s">
        <v>30</v>
      </c>
    </row>
    <row r="11997" spans="8:8" x14ac:dyDescent="0.25">
      <c r="H11997" t="s">
        <v>136</v>
      </c>
    </row>
    <row r="11998" spans="8:8" x14ac:dyDescent="0.25">
      <c r="H11998" t="s">
        <v>13240</v>
      </c>
    </row>
    <row r="11999" spans="8:8" x14ac:dyDescent="0.25">
      <c r="H11999" t="s">
        <v>30</v>
      </c>
    </row>
    <row r="12000" spans="8:8" x14ac:dyDescent="0.25">
      <c r="H12000" t="s">
        <v>137</v>
      </c>
    </row>
    <row r="12001" spans="8:8" x14ac:dyDescent="0.25">
      <c r="H12001" t="s">
        <v>13241</v>
      </c>
    </row>
    <row r="12002" spans="8:8" x14ac:dyDescent="0.25">
      <c r="H12002" t="s">
        <v>30</v>
      </c>
    </row>
    <row r="12003" spans="8:8" x14ac:dyDescent="0.25">
      <c r="H12003" t="s">
        <v>138</v>
      </c>
    </row>
    <row r="12004" spans="8:8" x14ac:dyDescent="0.25">
      <c r="H12004" t="s">
        <v>13242</v>
      </c>
    </row>
    <row r="12005" spans="8:8" x14ac:dyDescent="0.25">
      <c r="H12005" t="s">
        <v>30</v>
      </c>
    </row>
    <row r="12007" spans="8:8" x14ac:dyDescent="0.25">
      <c r="H12007" t="s">
        <v>13243</v>
      </c>
    </row>
    <row r="12008" spans="8:8" x14ac:dyDescent="0.25">
      <c r="H12008" t="s">
        <v>13244</v>
      </c>
    </row>
    <row r="12009" spans="8:8" x14ac:dyDescent="0.25">
      <c r="H12009" t="s">
        <v>135</v>
      </c>
    </row>
    <row r="12010" spans="8:8" x14ac:dyDescent="0.25">
      <c r="H12010" t="s">
        <v>13245</v>
      </c>
    </row>
    <row r="12011" spans="8:8" x14ac:dyDescent="0.25">
      <c r="H12011" t="s">
        <v>30</v>
      </c>
    </row>
    <row r="12012" spans="8:8" x14ac:dyDescent="0.25">
      <c r="H12012" t="s">
        <v>136</v>
      </c>
    </row>
    <row r="12013" spans="8:8" x14ac:dyDescent="0.25">
      <c r="H12013" t="s">
        <v>13246</v>
      </c>
    </row>
    <row r="12014" spans="8:8" x14ac:dyDescent="0.25">
      <c r="H12014" t="s">
        <v>30</v>
      </c>
    </row>
    <row r="12015" spans="8:8" x14ac:dyDescent="0.25">
      <c r="H12015" t="s">
        <v>137</v>
      </c>
    </row>
    <row r="12016" spans="8:8" x14ac:dyDescent="0.25">
      <c r="H12016" t="s">
        <v>13247</v>
      </c>
    </row>
    <row r="12017" spans="8:8" x14ac:dyDescent="0.25">
      <c r="H12017" t="s">
        <v>30</v>
      </c>
    </row>
    <row r="12018" spans="8:8" x14ac:dyDescent="0.25">
      <c r="H12018" t="s">
        <v>138</v>
      </c>
    </row>
    <row r="12019" spans="8:8" x14ac:dyDescent="0.25">
      <c r="H12019" t="s">
        <v>13248</v>
      </c>
    </row>
    <row r="12020" spans="8:8" x14ac:dyDescent="0.25">
      <c r="H12020" t="s">
        <v>30</v>
      </c>
    </row>
    <row r="12022" spans="8:8" x14ac:dyDescent="0.25">
      <c r="H12022" t="s">
        <v>13249</v>
      </c>
    </row>
    <row r="12023" spans="8:8" x14ac:dyDescent="0.25">
      <c r="H12023" t="s">
        <v>13250</v>
      </c>
    </row>
    <row r="12024" spans="8:8" x14ac:dyDescent="0.25">
      <c r="H12024" t="s">
        <v>135</v>
      </c>
    </row>
    <row r="12025" spans="8:8" x14ac:dyDescent="0.25">
      <c r="H12025" t="s">
        <v>13251</v>
      </c>
    </row>
    <row r="12026" spans="8:8" x14ac:dyDescent="0.25">
      <c r="H12026" t="s">
        <v>30</v>
      </c>
    </row>
    <row r="12027" spans="8:8" x14ac:dyDescent="0.25">
      <c r="H12027" t="s">
        <v>136</v>
      </c>
    </row>
    <row r="12028" spans="8:8" x14ac:dyDescent="0.25">
      <c r="H12028" t="s">
        <v>13252</v>
      </c>
    </row>
    <row r="12029" spans="8:8" x14ac:dyDescent="0.25">
      <c r="H12029" t="s">
        <v>30</v>
      </c>
    </row>
    <row r="12030" spans="8:8" x14ac:dyDescent="0.25">
      <c r="H12030" t="s">
        <v>137</v>
      </c>
    </row>
    <row r="12031" spans="8:8" x14ac:dyDescent="0.25">
      <c r="H12031" t="s">
        <v>13253</v>
      </c>
    </row>
    <row r="12032" spans="8:8" x14ac:dyDescent="0.25">
      <c r="H12032" t="s">
        <v>30</v>
      </c>
    </row>
    <row r="12033" spans="8:8" x14ac:dyDescent="0.25">
      <c r="H12033" t="s">
        <v>138</v>
      </c>
    </row>
    <row r="12034" spans="8:8" x14ac:dyDescent="0.25">
      <c r="H12034" t="s">
        <v>13254</v>
      </c>
    </row>
    <row r="12035" spans="8:8" x14ac:dyDescent="0.25">
      <c r="H12035" t="s">
        <v>30</v>
      </c>
    </row>
    <row r="12037" spans="8:8" x14ac:dyDescent="0.25">
      <c r="H12037" t="s">
        <v>13255</v>
      </c>
    </row>
    <row r="12038" spans="8:8" x14ac:dyDescent="0.25">
      <c r="H12038" t="s">
        <v>13256</v>
      </c>
    </row>
    <row r="12039" spans="8:8" x14ac:dyDescent="0.25">
      <c r="H12039" t="s">
        <v>135</v>
      </c>
    </row>
    <row r="12040" spans="8:8" x14ac:dyDescent="0.25">
      <c r="H12040" t="s">
        <v>13257</v>
      </c>
    </row>
    <row r="12041" spans="8:8" x14ac:dyDescent="0.25">
      <c r="H12041" t="s">
        <v>30</v>
      </c>
    </row>
    <row r="12042" spans="8:8" x14ac:dyDescent="0.25">
      <c r="H12042" t="s">
        <v>136</v>
      </c>
    </row>
    <row r="12043" spans="8:8" x14ac:dyDescent="0.25">
      <c r="H12043" t="s">
        <v>13258</v>
      </c>
    </row>
    <row r="12044" spans="8:8" x14ac:dyDescent="0.25">
      <c r="H12044" t="s">
        <v>30</v>
      </c>
    </row>
    <row r="12045" spans="8:8" x14ac:dyDescent="0.25">
      <c r="H12045" t="s">
        <v>137</v>
      </c>
    </row>
    <row r="12046" spans="8:8" x14ac:dyDescent="0.25">
      <c r="H12046" t="s">
        <v>13259</v>
      </c>
    </row>
    <row r="12047" spans="8:8" x14ac:dyDescent="0.25">
      <c r="H12047" t="s">
        <v>30</v>
      </c>
    </row>
    <row r="12048" spans="8:8" x14ac:dyDescent="0.25">
      <c r="H12048" t="s">
        <v>138</v>
      </c>
    </row>
    <row r="12049" spans="8:8" x14ac:dyDescent="0.25">
      <c r="H12049" t="s">
        <v>13260</v>
      </c>
    </row>
    <row r="12050" spans="8:8" x14ac:dyDescent="0.25">
      <c r="H12050" t="s">
        <v>30</v>
      </c>
    </row>
    <row r="12052" spans="8:8" x14ac:dyDescent="0.25">
      <c r="H12052" t="s">
        <v>13261</v>
      </c>
    </row>
    <row r="12053" spans="8:8" x14ac:dyDescent="0.25">
      <c r="H12053" t="s">
        <v>13262</v>
      </c>
    </row>
    <row r="12054" spans="8:8" x14ac:dyDescent="0.25">
      <c r="H12054" t="s">
        <v>135</v>
      </c>
    </row>
    <row r="12055" spans="8:8" x14ac:dyDescent="0.25">
      <c r="H12055" t="s">
        <v>13263</v>
      </c>
    </row>
    <row r="12056" spans="8:8" x14ac:dyDescent="0.25">
      <c r="H12056" t="s">
        <v>30</v>
      </c>
    </row>
    <row r="12057" spans="8:8" x14ac:dyDescent="0.25">
      <c r="H12057" t="s">
        <v>136</v>
      </c>
    </row>
    <row r="12058" spans="8:8" x14ac:dyDescent="0.25">
      <c r="H12058" t="s">
        <v>13264</v>
      </c>
    </row>
    <row r="12059" spans="8:8" x14ac:dyDescent="0.25">
      <c r="H12059" t="s">
        <v>30</v>
      </c>
    </row>
    <row r="12060" spans="8:8" x14ac:dyDescent="0.25">
      <c r="H12060" t="s">
        <v>137</v>
      </c>
    </row>
    <row r="12061" spans="8:8" x14ac:dyDescent="0.25">
      <c r="H12061" t="s">
        <v>13265</v>
      </c>
    </row>
    <row r="12062" spans="8:8" x14ac:dyDescent="0.25">
      <c r="H12062" t="s">
        <v>30</v>
      </c>
    </row>
    <row r="12063" spans="8:8" x14ac:dyDescent="0.25">
      <c r="H12063" t="s">
        <v>138</v>
      </c>
    </row>
    <row r="12064" spans="8:8" x14ac:dyDescent="0.25">
      <c r="H12064" t="s">
        <v>13266</v>
      </c>
    </row>
    <row r="12065" spans="8:8" x14ac:dyDescent="0.25">
      <c r="H12065" t="s">
        <v>30</v>
      </c>
    </row>
    <row r="12067" spans="8:8" x14ac:dyDescent="0.25">
      <c r="H12067" t="s">
        <v>13267</v>
      </c>
    </row>
    <row r="12068" spans="8:8" x14ac:dyDescent="0.25">
      <c r="H12068" t="s">
        <v>13268</v>
      </c>
    </row>
    <row r="12069" spans="8:8" x14ac:dyDescent="0.25">
      <c r="H12069" t="s">
        <v>135</v>
      </c>
    </row>
    <row r="12070" spans="8:8" x14ac:dyDescent="0.25">
      <c r="H12070" t="s">
        <v>13269</v>
      </c>
    </row>
    <row r="12071" spans="8:8" x14ac:dyDescent="0.25">
      <c r="H12071" t="s">
        <v>30</v>
      </c>
    </row>
    <row r="12072" spans="8:8" x14ac:dyDescent="0.25">
      <c r="H12072" t="s">
        <v>136</v>
      </c>
    </row>
    <row r="12073" spans="8:8" x14ac:dyDescent="0.25">
      <c r="H12073" t="s">
        <v>13270</v>
      </c>
    </row>
    <row r="12074" spans="8:8" x14ac:dyDescent="0.25">
      <c r="H12074" t="s">
        <v>30</v>
      </c>
    </row>
    <row r="12075" spans="8:8" x14ac:dyDescent="0.25">
      <c r="H12075" t="s">
        <v>137</v>
      </c>
    </row>
    <row r="12076" spans="8:8" x14ac:dyDescent="0.25">
      <c r="H12076" t="s">
        <v>13271</v>
      </c>
    </row>
    <row r="12077" spans="8:8" x14ac:dyDescent="0.25">
      <c r="H12077" t="s">
        <v>30</v>
      </c>
    </row>
    <row r="12078" spans="8:8" x14ac:dyDescent="0.25">
      <c r="H12078" t="s">
        <v>138</v>
      </c>
    </row>
    <row r="12079" spans="8:8" x14ac:dyDescent="0.25">
      <c r="H12079" t="s">
        <v>13272</v>
      </c>
    </row>
    <row r="12080" spans="8:8" x14ac:dyDescent="0.25">
      <c r="H12080" t="s">
        <v>30</v>
      </c>
    </row>
    <row r="12082" spans="8:8" x14ac:dyDescent="0.25">
      <c r="H12082" t="s">
        <v>13273</v>
      </c>
    </row>
    <row r="12083" spans="8:8" x14ac:dyDescent="0.25">
      <c r="H12083" t="s">
        <v>13274</v>
      </c>
    </row>
    <row r="12084" spans="8:8" x14ac:dyDescent="0.25">
      <c r="H12084" t="s">
        <v>135</v>
      </c>
    </row>
    <row r="12085" spans="8:8" x14ac:dyDescent="0.25">
      <c r="H12085" t="s">
        <v>13275</v>
      </c>
    </row>
    <row r="12086" spans="8:8" x14ac:dyDescent="0.25">
      <c r="H12086" t="s">
        <v>30</v>
      </c>
    </row>
    <row r="12087" spans="8:8" x14ac:dyDescent="0.25">
      <c r="H12087" t="s">
        <v>136</v>
      </c>
    </row>
    <row r="12088" spans="8:8" x14ac:dyDescent="0.25">
      <c r="H12088" t="s">
        <v>13276</v>
      </c>
    </row>
    <row r="12089" spans="8:8" x14ac:dyDescent="0.25">
      <c r="H12089" t="s">
        <v>30</v>
      </c>
    </row>
    <row r="12090" spans="8:8" x14ac:dyDescent="0.25">
      <c r="H12090" t="s">
        <v>137</v>
      </c>
    </row>
    <row r="12091" spans="8:8" x14ac:dyDescent="0.25">
      <c r="H12091" t="s">
        <v>13277</v>
      </c>
    </row>
    <row r="12092" spans="8:8" x14ac:dyDescent="0.25">
      <c r="H12092" t="s">
        <v>30</v>
      </c>
    </row>
    <row r="12093" spans="8:8" x14ac:dyDescent="0.25">
      <c r="H12093" t="s">
        <v>138</v>
      </c>
    </row>
    <row r="12094" spans="8:8" x14ac:dyDescent="0.25">
      <c r="H12094" t="s">
        <v>13278</v>
      </c>
    </row>
    <row r="12095" spans="8:8" x14ac:dyDescent="0.25">
      <c r="H12095" t="s">
        <v>30</v>
      </c>
    </row>
    <row r="12097" spans="8:8" x14ac:dyDescent="0.25">
      <c r="H12097" t="s">
        <v>13279</v>
      </c>
    </row>
    <row r="12098" spans="8:8" x14ac:dyDescent="0.25">
      <c r="H12098" t="s">
        <v>13280</v>
      </c>
    </row>
    <row r="12099" spans="8:8" x14ac:dyDescent="0.25">
      <c r="H12099" t="s">
        <v>135</v>
      </c>
    </row>
    <row r="12100" spans="8:8" x14ac:dyDescent="0.25">
      <c r="H12100" t="s">
        <v>13281</v>
      </c>
    </row>
    <row r="12101" spans="8:8" x14ac:dyDescent="0.25">
      <c r="H12101" t="s">
        <v>30</v>
      </c>
    </row>
    <row r="12102" spans="8:8" x14ac:dyDescent="0.25">
      <c r="H12102" t="s">
        <v>136</v>
      </c>
    </row>
    <row r="12103" spans="8:8" x14ac:dyDescent="0.25">
      <c r="H12103" t="s">
        <v>13282</v>
      </c>
    </row>
    <row r="12104" spans="8:8" x14ac:dyDescent="0.25">
      <c r="H12104" t="s">
        <v>30</v>
      </c>
    </row>
    <row r="12105" spans="8:8" x14ac:dyDescent="0.25">
      <c r="H12105" t="s">
        <v>137</v>
      </c>
    </row>
    <row r="12106" spans="8:8" x14ac:dyDescent="0.25">
      <c r="H12106" t="s">
        <v>13283</v>
      </c>
    </row>
    <row r="12107" spans="8:8" x14ac:dyDescent="0.25">
      <c r="H12107" t="s">
        <v>30</v>
      </c>
    </row>
    <row r="12108" spans="8:8" x14ac:dyDescent="0.25">
      <c r="H12108" t="s">
        <v>138</v>
      </c>
    </row>
    <row r="12109" spans="8:8" x14ac:dyDescent="0.25">
      <c r="H12109" t="s">
        <v>13284</v>
      </c>
    </row>
    <row r="12110" spans="8:8" x14ac:dyDescent="0.25">
      <c r="H12110" t="s">
        <v>30</v>
      </c>
    </row>
    <row r="12112" spans="8:8" x14ac:dyDescent="0.25">
      <c r="H12112" t="s">
        <v>13285</v>
      </c>
    </row>
    <row r="12113" spans="8:8" x14ac:dyDescent="0.25">
      <c r="H12113" t="s">
        <v>13286</v>
      </c>
    </row>
    <row r="12114" spans="8:8" x14ac:dyDescent="0.25">
      <c r="H12114" t="s">
        <v>135</v>
      </c>
    </row>
    <row r="12115" spans="8:8" x14ac:dyDescent="0.25">
      <c r="H12115" t="s">
        <v>13287</v>
      </c>
    </row>
    <row r="12116" spans="8:8" x14ac:dyDescent="0.25">
      <c r="H12116" t="s">
        <v>30</v>
      </c>
    </row>
    <row r="12117" spans="8:8" x14ac:dyDescent="0.25">
      <c r="H12117" t="s">
        <v>136</v>
      </c>
    </row>
    <row r="12118" spans="8:8" x14ac:dyDescent="0.25">
      <c r="H12118" t="s">
        <v>13288</v>
      </c>
    </row>
    <row r="12119" spans="8:8" x14ac:dyDescent="0.25">
      <c r="H12119" t="s">
        <v>30</v>
      </c>
    </row>
    <row r="12120" spans="8:8" x14ac:dyDescent="0.25">
      <c r="H12120" t="s">
        <v>137</v>
      </c>
    </row>
    <row r="12121" spans="8:8" x14ac:dyDescent="0.25">
      <c r="H12121" t="s">
        <v>13289</v>
      </c>
    </row>
    <row r="12122" spans="8:8" x14ac:dyDescent="0.25">
      <c r="H12122" t="s">
        <v>30</v>
      </c>
    </row>
    <row r="12123" spans="8:8" x14ac:dyDescent="0.25">
      <c r="H12123" t="s">
        <v>138</v>
      </c>
    </row>
    <row r="12124" spans="8:8" x14ac:dyDescent="0.25">
      <c r="H12124" t="s">
        <v>13290</v>
      </c>
    </row>
    <row r="12125" spans="8:8" x14ac:dyDescent="0.25">
      <c r="H12125" t="s">
        <v>30</v>
      </c>
    </row>
    <row r="12127" spans="8:8" x14ac:dyDescent="0.25">
      <c r="H12127" t="s">
        <v>13291</v>
      </c>
    </row>
    <row r="12128" spans="8:8" x14ac:dyDescent="0.25">
      <c r="H12128" t="s">
        <v>13292</v>
      </c>
    </row>
    <row r="12129" spans="8:8" x14ac:dyDescent="0.25">
      <c r="H12129" t="s">
        <v>135</v>
      </c>
    </row>
    <row r="12130" spans="8:8" x14ac:dyDescent="0.25">
      <c r="H12130" t="s">
        <v>13293</v>
      </c>
    </row>
    <row r="12131" spans="8:8" x14ac:dyDescent="0.25">
      <c r="H12131" t="s">
        <v>30</v>
      </c>
    </row>
    <row r="12132" spans="8:8" x14ac:dyDescent="0.25">
      <c r="H12132" t="s">
        <v>136</v>
      </c>
    </row>
    <row r="12133" spans="8:8" x14ac:dyDescent="0.25">
      <c r="H12133" t="s">
        <v>13294</v>
      </c>
    </row>
    <row r="12134" spans="8:8" x14ac:dyDescent="0.25">
      <c r="H12134" t="s">
        <v>30</v>
      </c>
    </row>
    <row r="12135" spans="8:8" x14ac:dyDescent="0.25">
      <c r="H12135" t="s">
        <v>137</v>
      </c>
    </row>
    <row r="12136" spans="8:8" x14ac:dyDescent="0.25">
      <c r="H12136" t="s">
        <v>13295</v>
      </c>
    </row>
    <row r="12137" spans="8:8" x14ac:dyDescent="0.25">
      <c r="H12137" t="s">
        <v>30</v>
      </c>
    </row>
    <row r="12138" spans="8:8" x14ac:dyDescent="0.25">
      <c r="H12138" t="s">
        <v>138</v>
      </c>
    </row>
    <row r="12139" spans="8:8" x14ac:dyDescent="0.25">
      <c r="H12139" t="s">
        <v>13296</v>
      </c>
    </row>
    <row r="12140" spans="8:8" x14ac:dyDescent="0.25">
      <c r="H12140" t="s">
        <v>30</v>
      </c>
    </row>
    <row r="12142" spans="8:8" x14ac:dyDescent="0.25">
      <c r="H12142" t="s">
        <v>13297</v>
      </c>
    </row>
    <row r="12143" spans="8:8" x14ac:dyDescent="0.25">
      <c r="H12143" t="s">
        <v>13298</v>
      </c>
    </row>
    <row r="12144" spans="8:8" x14ac:dyDescent="0.25">
      <c r="H12144" t="s">
        <v>135</v>
      </c>
    </row>
    <row r="12145" spans="8:8" x14ac:dyDescent="0.25">
      <c r="H12145" t="s">
        <v>13299</v>
      </c>
    </row>
    <row r="12146" spans="8:8" x14ac:dyDescent="0.25">
      <c r="H12146" t="s">
        <v>30</v>
      </c>
    </row>
    <row r="12147" spans="8:8" x14ac:dyDescent="0.25">
      <c r="H12147" t="s">
        <v>136</v>
      </c>
    </row>
    <row r="12148" spans="8:8" x14ac:dyDescent="0.25">
      <c r="H12148" t="s">
        <v>13300</v>
      </c>
    </row>
    <row r="12149" spans="8:8" x14ac:dyDescent="0.25">
      <c r="H12149" t="s">
        <v>30</v>
      </c>
    </row>
    <row r="12150" spans="8:8" x14ac:dyDescent="0.25">
      <c r="H12150" t="s">
        <v>137</v>
      </c>
    </row>
    <row r="12151" spans="8:8" x14ac:dyDescent="0.25">
      <c r="H12151" t="s">
        <v>13301</v>
      </c>
    </row>
    <row r="12152" spans="8:8" x14ac:dyDescent="0.25">
      <c r="H12152" t="s">
        <v>30</v>
      </c>
    </row>
    <row r="12153" spans="8:8" x14ac:dyDescent="0.25">
      <c r="H12153" t="s">
        <v>138</v>
      </c>
    </row>
    <row r="12154" spans="8:8" x14ac:dyDescent="0.25">
      <c r="H12154" t="s">
        <v>13302</v>
      </c>
    </row>
    <row r="12155" spans="8:8" x14ac:dyDescent="0.25">
      <c r="H12155" t="s">
        <v>30</v>
      </c>
    </row>
    <row r="12157" spans="8:8" x14ac:dyDescent="0.25">
      <c r="H12157" t="s">
        <v>13303</v>
      </c>
    </row>
    <row r="12158" spans="8:8" x14ac:dyDescent="0.25">
      <c r="H12158" t="s">
        <v>13304</v>
      </c>
    </row>
    <row r="12159" spans="8:8" x14ac:dyDescent="0.25">
      <c r="H12159" t="s">
        <v>135</v>
      </c>
    </row>
    <row r="12160" spans="8:8" x14ac:dyDescent="0.25">
      <c r="H12160" t="s">
        <v>13305</v>
      </c>
    </row>
    <row r="12161" spans="8:8" x14ac:dyDescent="0.25">
      <c r="H12161" t="s">
        <v>30</v>
      </c>
    </row>
    <row r="12162" spans="8:8" x14ac:dyDescent="0.25">
      <c r="H12162" t="s">
        <v>136</v>
      </c>
    </row>
    <row r="12163" spans="8:8" x14ac:dyDescent="0.25">
      <c r="H12163" t="s">
        <v>13306</v>
      </c>
    </row>
    <row r="12164" spans="8:8" x14ac:dyDescent="0.25">
      <c r="H12164" t="s">
        <v>30</v>
      </c>
    </row>
    <row r="12165" spans="8:8" x14ac:dyDescent="0.25">
      <c r="H12165" t="s">
        <v>137</v>
      </c>
    </row>
    <row r="12166" spans="8:8" x14ac:dyDescent="0.25">
      <c r="H12166" t="s">
        <v>13307</v>
      </c>
    </row>
    <row r="12167" spans="8:8" x14ac:dyDescent="0.25">
      <c r="H12167" t="s">
        <v>30</v>
      </c>
    </row>
    <row r="12168" spans="8:8" x14ac:dyDescent="0.25">
      <c r="H12168" t="s">
        <v>138</v>
      </c>
    </row>
    <row r="12169" spans="8:8" x14ac:dyDescent="0.25">
      <c r="H12169" t="s">
        <v>13308</v>
      </c>
    </row>
    <row r="12170" spans="8:8" x14ac:dyDescent="0.25">
      <c r="H12170" t="s">
        <v>30</v>
      </c>
    </row>
    <row r="12172" spans="8:8" x14ac:dyDescent="0.25">
      <c r="H12172" t="s">
        <v>13309</v>
      </c>
    </row>
    <row r="12173" spans="8:8" x14ac:dyDescent="0.25">
      <c r="H12173" t="s">
        <v>13310</v>
      </c>
    </row>
    <row r="12174" spans="8:8" x14ac:dyDescent="0.25">
      <c r="H12174" t="s">
        <v>135</v>
      </c>
    </row>
    <row r="12175" spans="8:8" x14ac:dyDescent="0.25">
      <c r="H12175" t="s">
        <v>13311</v>
      </c>
    </row>
    <row r="12176" spans="8:8" x14ac:dyDescent="0.25">
      <c r="H12176" t="s">
        <v>30</v>
      </c>
    </row>
    <row r="12177" spans="8:8" x14ac:dyDescent="0.25">
      <c r="H12177" t="s">
        <v>136</v>
      </c>
    </row>
    <row r="12178" spans="8:8" x14ac:dyDescent="0.25">
      <c r="H12178" t="s">
        <v>13312</v>
      </c>
    </row>
    <row r="12179" spans="8:8" x14ac:dyDescent="0.25">
      <c r="H12179" t="s">
        <v>30</v>
      </c>
    </row>
    <row r="12180" spans="8:8" x14ac:dyDescent="0.25">
      <c r="H12180" t="s">
        <v>137</v>
      </c>
    </row>
    <row r="12181" spans="8:8" x14ac:dyDescent="0.25">
      <c r="H12181" t="s">
        <v>13313</v>
      </c>
    </row>
    <row r="12182" spans="8:8" x14ac:dyDescent="0.25">
      <c r="H12182" t="s">
        <v>30</v>
      </c>
    </row>
    <row r="12183" spans="8:8" x14ac:dyDescent="0.25">
      <c r="H12183" t="s">
        <v>138</v>
      </c>
    </row>
    <row r="12184" spans="8:8" x14ac:dyDescent="0.25">
      <c r="H12184" t="s">
        <v>13314</v>
      </c>
    </row>
    <row r="12185" spans="8:8" x14ac:dyDescent="0.25">
      <c r="H12185" t="s">
        <v>30</v>
      </c>
    </row>
    <row r="12187" spans="8:8" x14ac:dyDescent="0.25">
      <c r="H12187" t="s">
        <v>13315</v>
      </c>
    </row>
    <row r="12188" spans="8:8" x14ac:dyDescent="0.25">
      <c r="H12188" t="s">
        <v>13316</v>
      </c>
    </row>
    <row r="12189" spans="8:8" x14ac:dyDescent="0.25">
      <c r="H12189" t="s">
        <v>135</v>
      </c>
    </row>
    <row r="12190" spans="8:8" x14ac:dyDescent="0.25">
      <c r="H12190" t="s">
        <v>13317</v>
      </c>
    </row>
    <row r="12191" spans="8:8" x14ac:dyDescent="0.25">
      <c r="H12191" t="s">
        <v>30</v>
      </c>
    </row>
    <row r="12192" spans="8:8" x14ac:dyDescent="0.25">
      <c r="H12192" t="s">
        <v>136</v>
      </c>
    </row>
    <row r="12193" spans="8:8" x14ac:dyDescent="0.25">
      <c r="H12193" t="s">
        <v>13318</v>
      </c>
    </row>
    <row r="12194" spans="8:8" x14ac:dyDescent="0.25">
      <c r="H12194" t="s">
        <v>30</v>
      </c>
    </row>
    <row r="12195" spans="8:8" x14ac:dyDescent="0.25">
      <c r="H12195" t="s">
        <v>137</v>
      </c>
    </row>
    <row r="12196" spans="8:8" x14ac:dyDescent="0.25">
      <c r="H12196" t="s">
        <v>13319</v>
      </c>
    </row>
    <row r="12197" spans="8:8" x14ac:dyDescent="0.25">
      <c r="H12197" t="s">
        <v>30</v>
      </c>
    </row>
    <row r="12198" spans="8:8" x14ac:dyDescent="0.25">
      <c r="H12198" t="s">
        <v>138</v>
      </c>
    </row>
    <row r="12199" spans="8:8" x14ac:dyDescent="0.25">
      <c r="H12199" t="s">
        <v>13320</v>
      </c>
    </row>
    <row r="12200" spans="8:8" x14ac:dyDescent="0.25">
      <c r="H12200" t="s">
        <v>30</v>
      </c>
    </row>
    <row r="12202" spans="8:8" x14ac:dyDescent="0.25">
      <c r="H12202" t="s">
        <v>13321</v>
      </c>
    </row>
    <row r="12203" spans="8:8" x14ac:dyDescent="0.25">
      <c r="H12203" t="s">
        <v>13322</v>
      </c>
    </row>
    <row r="12204" spans="8:8" x14ac:dyDescent="0.25">
      <c r="H12204" t="s">
        <v>135</v>
      </c>
    </row>
    <row r="12205" spans="8:8" x14ac:dyDescent="0.25">
      <c r="H12205" t="s">
        <v>13323</v>
      </c>
    </row>
    <row r="12206" spans="8:8" x14ac:dyDescent="0.25">
      <c r="H12206" t="s">
        <v>30</v>
      </c>
    </row>
    <row r="12207" spans="8:8" x14ac:dyDescent="0.25">
      <c r="H12207" t="s">
        <v>136</v>
      </c>
    </row>
    <row r="12208" spans="8:8" x14ac:dyDescent="0.25">
      <c r="H12208" t="s">
        <v>13324</v>
      </c>
    </row>
    <row r="12209" spans="8:8" x14ac:dyDescent="0.25">
      <c r="H12209" t="s">
        <v>30</v>
      </c>
    </row>
    <row r="12210" spans="8:8" x14ac:dyDescent="0.25">
      <c r="H12210" t="s">
        <v>137</v>
      </c>
    </row>
    <row r="12211" spans="8:8" x14ac:dyDescent="0.25">
      <c r="H12211" t="s">
        <v>13325</v>
      </c>
    </row>
    <row r="12212" spans="8:8" x14ac:dyDescent="0.25">
      <c r="H12212" t="s">
        <v>30</v>
      </c>
    </row>
    <row r="12213" spans="8:8" x14ac:dyDescent="0.25">
      <c r="H12213" t="s">
        <v>138</v>
      </c>
    </row>
    <row r="12214" spans="8:8" x14ac:dyDescent="0.25">
      <c r="H12214" t="s">
        <v>13326</v>
      </c>
    </row>
    <row r="12215" spans="8:8" x14ac:dyDescent="0.25">
      <c r="H12215" t="s">
        <v>30</v>
      </c>
    </row>
    <row r="12217" spans="8:8" x14ac:dyDescent="0.25">
      <c r="H12217" t="s">
        <v>13327</v>
      </c>
    </row>
    <row r="12218" spans="8:8" x14ac:dyDescent="0.25">
      <c r="H12218" t="s">
        <v>13328</v>
      </c>
    </row>
    <row r="12219" spans="8:8" x14ac:dyDescent="0.25">
      <c r="H12219" t="s">
        <v>135</v>
      </c>
    </row>
    <row r="12220" spans="8:8" x14ac:dyDescent="0.25">
      <c r="H12220" t="s">
        <v>13329</v>
      </c>
    </row>
    <row r="12221" spans="8:8" x14ac:dyDescent="0.25">
      <c r="H12221" t="s">
        <v>30</v>
      </c>
    </row>
    <row r="12222" spans="8:8" x14ac:dyDescent="0.25">
      <c r="H12222" t="s">
        <v>136</v>
      </c>
    </row>
    <row r="12223" spans="8:8" x14ac:dyDescent="0.25">
      <c r="H12223" t="s">
        <v>13330</v>
      </c>
    </row>
    <row r="12224" spans="8:8" x14ac:dyDescent="0.25">
      <c r="H12224" t="s">
        <v>30</v>
      </c>
    </row>
    <row r="12225" spans="8:8" x14ac:dyDescent="0.25">
      <c r="H12225" t="s">
        <v>137</v>
      </c>
    </row>
    <row r="12226" spans="8:8" x14ac:dyDescent="0.25">
      <c r="H12226" t="s">
        <v>13331</v>
      </c>
    </row>
    <row r="12227" spans="8:8" x14ac:dyDescent="0.25">
      <c r="H12227" t="s">
        <v>30</v>
      </c>
    </row>
    <row r="12228" spans="8:8" x14ac:dyDescent="0.25">
      <c r="H12228" t="s">
        <v>138</v>
      </c>
    </row>
    <row r="12229" spans="8:8" x14ac:dyDescent="0.25">
      <c r="H12229" t="s">
        <v>13332</v>
      </c>
    </row>
    <row r="12230" spans="8:8" x14ac:dyDescent="0.25">
      <c r="H12230" t="s">
        <v>30</v>
      </c>
    </row>
    <row r="12232" spans="8:8" x14ac:dyDescent="0.25">
      <c r="H12232" t="s">
        <v>13333</v>
      </c>
    </row>
    <row r="12233" spans="8:8" x14ac:dyDescent="0.25">
      <c r="H12233" t="s">
        <v>13334</v>
      </c>
    </row>
    <row r="12234" spans="8:8" x14ac:dyDescent="0.25">
      <c r="H12234" t="s">
        <v>135</v>
      </c>
    </row>
    <row r="12235" spans="8:8" x14ac:dyDescent="0.25">
      <c r="H12235" t="s">
        <v>13335</v>
      </c>
    </row>
    <row r="12236" spans="8:8" x14ac:dyDescent="0.25">
      <c r="H12236" t="s">
        <v>30</v>
      </c>
    </row>
    <row r="12237" spans="8:8" x14ac:dyDescent="0.25">
      <c r="H12237" t="s">
        <v>136</v>
      </c>
    </row>
    <row r="12238" spans="8:8" x14ac:dyDescent="0.25">
      <c r="H12238" t="s">
        <v>13336</v>
      </c>
    </row>
    <row r="12239" spans="8:8" x14ac:dyDescent="0.25">
      <c r="H12239" t="s">
        <v>30</v>
      </c>
    </row>
    <row r="12240" spans="8:8" x14ac:dyDescent="0.25">
      <c r="H12240" t="s">
        <v>137</v>
      </c>
    </row>
    <row r="12241" spans="8:8" x14ac:dyDescent="0.25">
      <c r="H12241" t="s">
        <v>13337</v>
      </c>
    </row>
    <row r="12242" spans="8:8" x14ac:dyDescent="0.25">
      <c r="H12242" t="s">
        <v>30</v>
      </c>
    </row>
    <row r="12243" spans="8:8" x14ac:dyDescent="0.25">
      <c r="H12243" t="s">
        <v>138</v>
      </c>
    </row>
    <row r="12244" spans="8:8" x14ac:dyDescent="0.25">
      <c r="H12244" t="s">
        <v>13338</v>
      </c>
    </row>
    <row r="12245" spans="8:8" x14ac:dyDescent="0.25">
      <c r="H12245" t="s">
        <v>30</v>
      </c>
    </row>
    <row r="12247" spans="8:8" x14ac:dyDescent="0.25">
      <c r="H12247" t="s">
        <v>13339</v>
      </c>
    </row>
    <row r="12248" spans="8:8" x14ac:dyDescent="0.25">
      <c r="H12248" t="s">
        <v>13340</v>
      </c>
    </row>
    <row r="12249" spans="8:8" x14ac:dyDescent="0.25">
      <c r="H12249" t="s">
        <v>135</v>
      </c>
    </row>
    <row r="12250" spans="8:8" x14ac:dyDescent="0.25">
      <c r="H12250" t="s">
        <v>13341</v>
      </c>
    </row>
    <row r="12251" spans="8:8" x14ac:dyDescent="0.25">
      <c r="H12251" t="s">
        <v>30</v>
      </c>
    </row>
    <row r="12252" spans="8:8" x14ac:dyDescent="0.25">
      <c r="H12252" t="s">
        <v>136</v>
      </c>
    </row>
    <row r="12253" spans="8:8" x14ac:dyDescent="0.25">
      <c r="H12253" t="s">
        <v>13342</v>
      </c>
    </row>
    <row r="12254" spans="8:8" x14ac:dyDescent="0.25">
      <c r="H12254" t="s">
        <v>30</v>
      </c>
    </row>
    <row r="12255" spans="8:8" x14ac:dyDescent="0.25">
      <c r="H12255" t="s">
        <v>137</v>
      </c>
    </row>
    <row r="12256" spans="8:8" x14ac:dyDescent="0.25">
      <c r="H12256" t="s">
        <v>13343</v>
      </c>
    </row>
    <row r="12257" spans="8:8" x14ac:dyDescent="0.25">
      <c r="H12257" t="s">
        <v>30</v>
      </c>
    </row>
    <row r="12258" spans="8:8" x14ac:dyDescent="0.25">
      <c r="H12258" t="s">
        <v>138</v>
      </c>
    </row>
    <row r="12259" spans="8:8" x14ac:dyDescent="0.25">
      <c r="H12259" t="s">
        <v>13344</v>
      </c>
    </row>
    <row r="12260" spans="8:8" x14ac:dyDescent="0.25">
      <c r="H12260" t="s">
        <v>30</v>
      </c>
    </row>
    <row r="12262" spans="8:8" x14ac:dyDescent="0.25">
      <c r="H12262" t="s">
        <v>13345</v>
      </c>
    </row>
    <row r="12263" spans="8:8" x14ac:dyDescent="0.25">
      <c r="H12263" t="s">
        <v>13346</v>
      </c>
    </row>
    <row r="12264" spans="8:8" x14ac:dyDescent="0.25">
      <c r="H12264" t="s">
        <v>135</v>
      </c>
    </row>
    <row r="12265" spans="8:8" x14ac:dyDescent="0.25">
      <c r="H12265" t="s">
        <v>13347</v>
      </c>
    </row>
    <row r="12266" spans="8:8" x14ac:dyDescent="0.25">
      <c r="H12266" t="s">
        <v>30</v>
      </c>
    </row>
    <row r="12267" spans="8:8" x14ac:dyDescent="0.25">
      <c r="H12267" t="s">
        <v>136</v>
      </c>
    </row>
    <row r="12268" spans="8:8" x14ac:dyDescent="0.25">
      <c r="H12268" t="s">
        <v>13348</v>
      </c>
    </row>
    <row r="12269" spans="8:8" x14ac:dyDescent="0.25">
      <c r="H12269" t="s">
        <v>30</v>
      </c>
    </row>
    <row r="12270" spans="8:8" x14ac:dyDescent="0.25">
      <c r="H12270" t="s">
        <v>137</v>
      </c>
    </row>
    <row r="12271" spans="8:8" x14ac:dyDescent="0.25">
      <c r="H12271" t="s">
        <v>13349</v>
      </c>
    </row>
    <row r="12272" spans="8:8" x14ac:dyDescent="0.25">
      <c r="H12272" t="s">
        <v>30</v>
      </c>
    </row>
    <row r="12273" spans="8:8" x14ac:dyDescent="0.25">
      <c r="H12273" t="s">
        <v>138</v>
      </c>
    </row>
    <row r="12274" spans="8:8" x14ac:dyDescent="0.25">
      <c r="H12274" t="s">
        <v>13350</v>
      </c>
    </row>
    <row r="12275" spans="8:8" x14ac:dyDescent="0.25">
      <c r="H12275" t="s">
        <v>30</v>
      </c>
    </row>
    <row r="12277" spans="8:8" x14ac:dyDescent="0.25">
      <c r="H12277" t="s">
        <v>13351</v>
      </c>
    </row>
    <row r="12278" spans="8:8" x14ac:dyDescent="0.25">
      <c r="H12278" t="s">
        <v>13352</v>
      </c>
    </row>
    <row r="12279" spans="8:8" x14ac:dyDescent="0.25">
      <c r="H12279" t="s">
        <v>135</v>
      </c>
    </row>
    <row r="12280" spans="8:8" x14ac:dyDescent="0.25">
      <c r="H12280" t="s">
        <v>13353</v>
      </c>
    </row>
    <row r="12281" spans="8:8" x14ac:dyDescent="0.25">
      <c r="H12281" t="s">
        <v>30</v>
      </c>
    </row>
    <row r="12282" spans="8:8" x14ac:dyDescent="0.25">
      <c r="H12282" t="s">
        <v>136</v>
      </c>
    </row>
    <row r="12283" spans="8:8" x14ac:dyDescent="0.25">
      <c r="H12283" t="s">
        <v>13354</v>
      </c>
    </row>
    <row r="12284" spans="8:8" x14ac:dyDescent="0.25">
      <c r="H12284" t="s">
        <v>30</v>
      </c>
    </row>
    <row r="12285" spans="8:8" x14ac:dyDescent="0.25">
      <c r="H12285" t="s">
        <v>137</v>
      </c>
    </row>
    <row r="12286" spans="8:8" x14ac:dyDescent="0.25">
      <c r="H12286" t="s">
        <v>13355</v>
      </c>
    </row>
    <row r="12287" spans="8:8" x14ac:dyDescent="0.25">
      <c r="H12287" t="s">
        <v>30</v>
      </c>
    </row>
    <row r="12288" spans="8:8" x14ac:dyDescent="0.25">
      <c r="H12288" t="s">
        <v>138</v>
      </c>
    </row>
    <row r="12289" spans="8:8" x14ac:dyDescent="0.25">
      <c r="H12289" t="s">
        <v>13356</v>
      </c>
    </row>
    <row r="12290" spans="8:8" x14ac:dyDescent="0.25">
      <c r="H12290" t="s">
        <v>30</v>
      </c>
    </row>
    <row r="12292" spans="8:8" x14ac:dyDescent="0.25">
      <c r="H12292" t="s">
        <v>13357</v>
      </c>
    </row>
    <row r="12293" spans="8:8" x14ac:dyDescent="0.25">
      <c r="H12293" t="s">
        <v>13358</v>
      </c>
    </row>
    <row r="12294" spans="8:8" x14ac:dyDescent="0.25">
      <c r="H12294" t="s">
        <v>135</v>
      </c>
    </row>
    <row r="12295" spans="8:8" x14ac:dyDescent="0.25">
      <c r="H12295" t="s">
        <v>13359</v>
      </c>
    </row>
    <row r="12296" spans="8:8" x14ac:dyDescent="0.25">
      <c r="H12296" t="s">
        <v>30</v>
      </c>
    </row>
    <row r="12297" spans="8:8" x14ac:dyDescent="0.25">
      <c r="H12297" t="s">
        <v>136</v>
      </c>
    </row>
    <row r="12298" spans="8:8" x14ac:dyDescent="0.25">
      <c r="H12298" t="s">
        <v>13360</v>
      </c>
    </row>
    <row r="12299" spans="8:8" x14ac:dyDescent="0.25">
      <c r="H12299" t="s">
        <v>30</v>
      </c>
    </row>
    <row r="12300" spans="8:8" x14ac:dyDescent="0.25">
      <c r="H12300" t="s">
        <v>137</v>
      </c>
    </row>
    <row r="12301" spans="8:8" x14ac:dyDescent="0.25">
      <c r="H12301" t="s">
        <v>13361</v>
      </c>
    </row>
    <row r="12302" spans="8:8" x14ac:dyDescent="0.25">
      <c r="H12302" t="s">
        <v>30</v>
      </c>
    </row>
    <row r="12303" spans="8:8" x14ac:dyDescent="0.25">
      <c r="H12303" t="s">
        <v>138</v>
      </c>
    </row>
    <row r="12304" spans="8:8" x14ac:dyDescent="0.25">
      <c r="H12304" t="s">
        <v>13362</v>
      </c>
    </row>
    <row r="12305" spans="8:8" x14ac:dyDescent="0.25">
      <c r="H12305" t="s">
        <v>30</v>
      </c>
    </row>
    <row r="12307" spans="8:8" x14ac:dyDescent="0.25">
      <c r="H12307" t="s">
        <v>13363</v>
      </c>
    </row>
    <row r="12308" spans="8:8" x14ac:dyDescent="0.25">
      <c r="H12308" t="s">
        <v>13364</v>
      </c>
    </row>
    <row r="12309" spans="8:8" x14ac:dyDescent="0.25">
      <c r="H12309" t="s">
        <v>135</v>
      </c>
    </row>
    <row r="12310" spans="8:8" x14ac:dyDescent="0.25">
      <c r="H12310" t="s">
        <v>13365</v>
      </c>
    </row>
    <row r="12311" spans="8:8" x14ac:dyDescent="0.25">
      <c r="H12311" t="s">
        <v>30</v>
      </c>
    </row>
    <row r="12312" spans="8:8" x14ac:dyDescent="0.25">
      <c r="H12312" t="s">
        <v>136</v>
      </c>
    </row>
    <row r="12313" spans="8:8" x14ac:dyDescent="0.25">
      <c r="H12313" t="s">
        <v>13366</v>
      </c>
    </row>
    <row r="12314" spans="8:8" x14ac:dyDescent="0.25">
      <c r="H12314" t="s">
        <v>30</v>
      </c>
    </row>
    <row r="12315" spans="8:8" x14ac:dyDescent="0.25">
      <c r="H12315" t="s">
        <v>137</v>
      </c>
    </row>
    <row r="12316" spans="8:8" x14ac:dyDescent="0.25">
      <c r="H12316" t="s">
        <v>13367</v>
      </c>
    </row>
    <row r="12317" spans="8:8" x14ac:dyDescent="0.25">
      <c r="H12317" t="s">
        <v>30</v>
      </c>
    </row>
    <row r="12318" spans="8:8" x14ac:dyDescent="0.25">
      <c r="H12318" t="s">
        <v>138</v>
      </c>
    </row>
    <row r="12319" spans="8:8" x14ac:dyDescent="0.25">
      <c r="H12319" t="s">
        <v>13368</v>
      </c>
    </row>
    <row r="12320" spans="8:8" x14ac:dyDescent="0.25">
      <c r="H12320" t="s">
        <v>30</v>
      </c>
    </row>
    <row r="12322" spans="8:8" x14ac:dyDescent="0.25">
      <c r="H12322" t="s">
        <v>13369</v>
      </c>
    </row>
    <row r="12323" spans="8:8" x14ac:dyDescent="0.25">
      <c r="H12323" t="s">
        <v>13370</v>
      </c>
    </row>
    <row r="12324" spans="8:8" x14ac:dyDescent="0.25">
      <c r="H12324" t="s">
        <v>135</v>
      </c>
    </row>
    <row r="12325" spans="8:8" x14ac:dyDescent="0.25">
      <c r="H12325" t="s">
        <v>13371</v>
      </c>
    </row>
    <row r="12326" spans="8:8" x14ac:dyDescent="0.25">
      <c r="H12326" t="s">
        <v>30</v>
      </c>
    </row>
    <row r="12327" spans="8:8" x14ac:dyDescent="0.25">
      <c r="H12327" t="s">
        <v>136</v>
      </c>
    </row>
    <row r="12328" spans="8:8" x14ac:dyDescent="0.25">
      <c r="H12328" t="s">
        <v>13372</v>
      </c>
    </row>
    <row r="12329" spans="8:8" x14ac:dyDescent="0.25">
      <c r="H12329" t="s">
        <v>30</v>
      </c>
    </row>
    <row r="12330" spans="8:8" x14ac:dyDescent="0.25">
      <c r="H12330" t="s">
        <v>137</v>
      </c>
    </row>
    <row r="12331" spans="8:8" x14ac:dyDescent="0.25">
      <c r="H12331" t="s">
        <v>13373</v>
      </c>
    </row>
    <row r="12332" spans="8:8" x14ac:dyDescent="0.25">
      <c r="H12332" t="s">
        <v>30</v>
      </c>
    </row>
    <row r="12333" spans="8:8" x14ac:dyDescent="0.25">
      <c r="H12333" t="s">
        <v>138</v>
      </c>
    </row>
    <row r="12334" spans="8:8" x14ac:dyDescent="0.25">
      <c r="H12334" t="s">
        <v>13374</v>
      </c>
    </row>
    <row r="12335" spans="8:8" x14ac:dyDescent="0.25">
      <c r="H12335" t="s">
        <v>30</v>
      </c>
    </row>
    <row r="12337" spans="8:8" x14ac:dyDescent="0.25">
      <c r="H12337" t="s">
        <v>13375</v>
      </c>
    </row>
    <row r="12338" spans="8:8" x14ac:dyDescent="0.25">
      <c r="H12338" t="s">
        <v>13376</v>
      </c>
    </row>
    <row r="12339" spans="8:8" x14ac:dyDescent="0.25">
      <c r="H12339" t="s">
        <v>135</v>
      </c>
    </row>
    <row r="12340" spans="8:8" x14ac:dyDescent="0.25">
      <c r="H12340" t="s">
        <v>13377</v>
      </c>
    </row>
    <row r="12341" spans="8:8" x14ac:dyDescent="0.25">
      <c r="H12341" t="s">
        <v>30</v>
      </c>
    </row>
    <row r="12342" spans="8:8" x14ac:dyDescent="0.25">
      <c r="H12342" t="s">
        <v>136</v>
      </c>
    </row>
    <row r="12343" spans="8:8" x14ac:dyDescent="0.25">
      <c r="H12343" t="s">
        <v>13378</v>
      </c>
    </row>
    <row r="12344" spans="8:8" x14ac:dyDescent="0.25">
      <c r="H12344" t="s">
        <v>30</v>
      </c>
    </row>
    <row r="12345" spans="8:8" x14ac:dyDescent="0.25">
      <c r="H12345" t="s">
        <v>137</v>
      </c>
    </row>
    <row r="12346" spans="8:8" x14ac:dyDescent="0.25">
      <c r="H12346" t="s">
        <v>13379</v>
      </c>
    </row>
    <row r="12347" spans="8:8" x14ac:dyDescent="0.25">
      <c r="H12347" t="s">
        <v>30</v>
      </c>
    </row>
    <row r="12348" spans="8:8" x14ac:dyDescent="0.25">
      <c r="H12348" t="s">
        <v>138</v>
      </c>
    </row>
    <row r="12349" spans="8:8" x14ac:dyDescent="0.25">
      <c r="H12349" t="s">
        <v>13380</v>
      </c>
    </row>
    <row r="12350" spans="8:8" x14ac:dyDescent="0.25">
      <c r="H12350" t="s">
        <v>30</v>
      </c>
    </row>
    <row r="12352" spans="8:8" x14ac:dyDescent="0.25">
      <c r="H12352" t="s">
        <v>13381</v>
      </c>
    </row>
    <row r="12353" spans="8:8" x14ac:dyDescent="0.25">
      <c r="H12353" t="s">
        <v>13382</v>
      </c>
    </row>
    <row r="12354" spans="8:8" x14ac:dyDescent="0.25">
      <c r="H12354" t="s">
        <v>135</v>
      </c>
    </row>
    <row r="12355" spans="8:8" x14ac:dyDescent="0.25">
      <c r="H12355" t="s">
        <v>13383</v>
      </c>
    </row>
    <row r="12356" spans="8:8" x14ac:dyDescent="0.25">
      <c r="H12356" t="s">
        <v>30</v>
      </c>
    </row>
    <row r="12357" spans="8:8" x14ac:dyDescent="0.25">
      <c r="H12357" t="s">
        <v>136</v>
      </c>
    </row>
    <row r="12358" spans="8:8" x14ac:dyDescent="0.25">
      <c r="H12358" t="s">
        <v>13384</v>
      </c>
    </row>
    <row r="12359" spans="8:8" x14ac:dyDescent="0.25">
      <c r="H12359" t="s">
        <v>30</v>
      </c>
    </row>
    <row r="12360" spans="8:8" x14ac:dyDescent="0.25">
      <c r="H12360" t="s">
        <v>137</v>
      </c>
    </row>
    <row r="12361" spans="8:8" x14ac:dyDescent="0.25">
      <c r="H12361" t="s">
        <v>13385</v>
      </c>
    </row>
    <row r="12362" spans="8:8" x14ac:dyDescent="0.25">
      <c r="H12362" t="s">
        <v>30</v>
      </c>
    </row>
    <row r="12363" spans="8:8" x14ac:dyDescent="0.25">
      <c r="H12363" t="s">
        <v>138</v>
      </c>
    </row>
    <row r="12364" spans="8:8" x14ac:dyDescent="0.25">
      <c r="H12364" t="s">
        <v>13386</v>
      </c>
    </row>
    <row r="12365" spans="8:8" x14ac:dyDescent="0.25">
      <c r="H12365" t="s">
        <v>30</v>
      </c>
    </row>
    <row r="12367" spans="8:8" x14ac:dyDescent="0.25">
      <c r="H12367" t="s">
        <v>13387</v>
      </c>
    </row>
    <row r="12368" spans="8:8" x14ac:dyDescent="0.25">
      <c r="H12368" t="s">
        <v>13388</v>
      </c>
    </row>
    <row r="12369" spans="8:8" x14ac:dyDescent="0.25">
      <c r="H12369" t="s">
        <v>135</v>
      </c>
    </row>
    <row r="12370" spans="8:8" x14ac:dyDescent="0.25">
      <c r="H12370" t="s">
        <v>13389</v>
      </c>
    </row>
    <row r="12371" spans="8:8" x14ac:dyDescent="0.25">
      <c r="H12371" t="s">
        <v>30</v>
      </c>
    </row>
    <row r="12372" spans="8:8" x14ac:dyDescent="0.25">
      <c r="H12372" t="s">
        <v>136</v>
      </c>
    </row>
    <row r="12373" spans="8:8" x14ac:dyDescent="0.25">
      <c r="H12373" t="s">
        <v>13390</v>
      </c>
    </row>
    <row r="12374" spans="8:8" x14ac:dyDescent="0.25">
      <c r="H12374" t="s">
        <v>30</v>
      </c>
    </row>
    <row r="12375" spans="8:8" x14ac:dyDescent="0.25">
      <c r="H12375" t="s">
        <v>137</v>
      </c>
    </row>
    <row r="12376" spans="8:8" x14ac:dyDescent="0.25">
      <c r="H12376" t="s">
        <v>13391</v>
      </c>
    </row>
    <row r="12377" spans="8:8" x14ac:dyDescent="0.25">
      <c r="H12377" t="s">
        <v>30</v>
      </c>
    </row>
    <row r="12378" spans="8:8" x14ac:dyDescent="0.25">
      <c r="H12378" t="s">
        <v>138</v>
      </c>
    </row>
    <row r="12379" spans="8:8" x14ac:dyDescent="0.25">
      <c r="H12379" t="s">
        <v>13392</v>
      </c>
    </row>
    <row r="12380" spans="8:8" x14ac:dyDescent="0.25">
      <c r="H12380" t="s">
        <v>30</v>
      </c>
    </row>
    <row r="12382" spans="8:8" x14ac:dyDescent="0.25">
      <c r="H12382" t="s">
        <v>13393</v>
      </c>
    </row>
    <row r="12383" spans="8:8" x14ac:dyDescent="0.25">
      <c r="H12383" t="s">
        <v>13394</v>
      </c>
    </row>
    <row r="12384" spans="8:8" x14ac:dyDescent="0.25">
      <c r="H12384" t="s">
        <v>135</v>
      </c>
    </row>
    <row r="12385" spans="8:8" x14ac:dyDescent="0.25">
      <c r="H12385" t="s">
        <v>13395</v>
      </c>
    </row>
    <row r="12386" spans="8:8" x14ac:dyDescent="0.25">
      <c r="H12386" t="s">
        <v>30</v>
      </c>
    </row>
    <row r="12387" spans="8:8" x14ac:dyDescent="0.25">
      <c r="H12387" t="s">
        <v>136</v>
      </c>
    </row>
    <row r="12388" spans="8:8" x14ac:dyDescent="0.25">
      <c r="H12388" t="s">
        <v>13396</v>
      </c>
    </row>
    <row r="12389" spans="8:8" x14ac:dyDescent="0.25">
      <c r="H12389" t="s">
        <v>30</v>
      </c>
    </row>
    <row r="12390" spans="8:8" x14ac:dyDescent="0.25">
      <c r="H12390" t="s">
        <v>137</v>
      </c>
    </row>
    <row r="12391" spans="8:8" x14ac:dyDescent="0.25">
      <c r="H12391" t="s">
        <v>13397</v>
      </c>
    </row>
    <row r="12392" spans="8:8" x14ac:dyDescent="0.25">
      <c r="H12392" t="s">
        <v>30</v>
      </c>
    </row>
    <row r="12393" spans="8:8" x14ac:dyDescent="0.25">
      <c r="H12393" t="s">
        <v>138</v>
      </c>
    </row>
    <row r="12394" spans="8:8" x14ac:dyDescent="0.25">
      <c r="H12394" t="s">
        <v>13398</v>
      </c>
    </row>
    <row r="12395" spans="8:8" x14ac:dyDescent="0.25">
      <c r="H12395" t="s">
        <v>30</v>
      </c>
    </row>
    <row r="12397" spans="8:8" x14ac:dyDescent="0.25">
      <c r="H12397" t="s">
        <v>13399</v>
      </c>
    </row>
    <row r="12398" spans="8:8" x14ac:dyDescent="0.25">
      <c r="H12398" t="s">
        <v>13400</v>
      </c>
    </row>
    <row r="12399" spans="8:8" x14ac:dyDescent="0.25">
      <c r="H12399" t="s">
        <v>135</v>
      </c>
    </row>
    <row r="12400" spans="8:8" x14ac:dyDescent="0.25">
      <c r="H12400" t="s">
        <v>13401</v>
      </c>
    </row>
    <row r="12401" spans="8:8" x14ac:dyDescent="0.25">
      <c r="H12401" t="s">
        <v>30</v>
      </c>
    </row>
    <row r="12402" spans="8:8" x14ac:dyDescent="0.25">
      <c r="H12402" t="s">
        <v>136</v>
      </c>
    </row>
    <row r="12403" spans="8:8" x14ac:dyDescent="0.25">
      <c r="H12403" t="s">
        <v>13402</v>
      </c>
    </row>
    <row r="12404" spans="8:8" x14ac:dyDescent="0.25">
      <c r="H12404" t="s">
        <v>30</v>
      </c>
    </row>
    <row r="12405" spans="8:8" x14ac:dyDescent="0.25">
      <c r="H12405" t="s">
        <v>137</v>
      </c>
    </row>
    <row r="12406" spans="8:8" x14ac:dyDescent="0.25">
      <c r="H12406" t="s">
        <v>13403</v>
      </c>
    </row>
    <row r="12407" spans="8:8" x14ac:dyDescent="0.25">
      <c r="H12407" t="s">
        <v>30</v>
      </c>
    </row>
    <row r="12408" spans="8:8" x14ac:dyDescent="0.25">
      <c r="H12408" t="s">
        <v>138</v>
      </c>
    </row>
    <row r="12409" spans="8:8" x14ac:dyDescent="0.25">
      <c r="H12409" t="s">
        <v>13404</v>
      </c>
    </row>
    <row r="12410" spans="8:8" x14ac:dyDescent="0.25">
      <c r="H12410" t="s">
        <v>30</v>
      </c>
    </row>
    <row r="12412" spans="8:8" x14ac:dyDescent="0.25">
      <c r="H12412" t="s">
        <v>13405</v>
      </c>
    </row>
    <row r="12413" spans="8:8" x14ac:dyDescent="0.25">
      <c r="H12413" t="s">
        <v>13406</v>
      </c>
    </row>
    <row r="12414" spans="8:8" x14ac:dyDescent="0.25">
      <c r="H12414" t="s">
        <v>135</v>
      </c>
    </row>
    <row r="12415" spans="8:8" x14ac:dyDescent="0.25">
      <c r="H12415" t="s">
        <v>13407</v>
      </c>
    </row>
    <row r="12416" spans="8:8" x14ac:dyDescent="0.25">
      <c r="H12416" t="s">
        <v>30</v>
      </c>
    </row>
    <row r="12417" spans="8:8" x14ac:dyDescent="0.25">
      <c r="H12417" t="s">
        <v>136</v>
      </c>
    </row>
    <row r="12418" spans="8:8" x14ac:dyDescent="0.25">
      <c r="H12418" t="s">
        <v>13408</v>
      </c>
    </row>
    <row r="12419" spans="8:8" x14ac:dyDescent="0.25">
      <c r="H12419" t="s">
        <v>30</v>
      </c>
    </row>
    <row r="12420" spans="8:8" x14ac:dyDescent="0.25">
      <c r="H12420" t="s">
        <v>137</v>
      </c>
    </row>
    <row r="12421" spans="8:8" x14ac:dyDescent="0.25">
      <c r="H12421" t="s">
        <v>13409</v>
      </c>
    </row>
    <row r="12422" spans="8:8" x14ac:dyDescent="0.25">
      <c r="H12422" t="s">
        <v>30</v>
      </c>
    </row>
    <row r="12423" spans="8:8" x14ac:dyDescent="0.25">
      <c r="H12423" t="s">
        <v>138</v>
      </c>
    </row>
    <row r="12424" spans="8:8" x14ac:dyDescent="0.25">
      <c r="H12424" t="s">
        <v>13410</v>
      </c>
    </row>
    <row r="12425" spans="8:8" x14ac:dyDescent="0.25">
      <c r="H12425" t="s">
        <v>30</v>
      </c>
    </row>
    <row r="12427" spans="8:8" x14ac:dyDescent="0.25">
      <c r="H12427" t="s">
        <v>13411</v>
      </c>
    </row>
    <row r="12428" spans="8:8" x14ac:dyDescent="0.25">
      <c r="H12428" t="s">
        <v>13412</v>
      </c>
    </row>
    <row r="12429" spans="8:8" x14ac:dyDescent="0.25">
      <c r="H12429" t="s">
        <v>135</v>
      </c>
    </row>
    <row r="12430" spans="8:8" x14ac:dyDescent="0.25">
      <c r="H12430" t="s">
        <v>13413</v>
      </c>
    </row>
    <row r="12431" spans="8:8" x14ac:dyDescent="0.25">
      <c r="H12431" t="s">
        <v>30</v>
      </c>
    </row>
    <row r="12432" spans="8:8" x14ac:dyDescent="0.25">
      <c r="H12432" t="s">
        <v>136</v>
      </c>
    </row>
    <row r="12433" spans="8:8" x14ac:dyDescent="0.25">
      <c r="H12433" t="s">
        <v>13414</v>
      </c>
    </row>
    <row r="12434" spans="8:8" x14ac:dyDescent="0.25">
      <c r="H12434" t="s">
        <v>30</v>
      </c>
    </row>
    <row r="12435" spans="8:8" x14ac:dyDescent="0.25">
      <c r="H12435" t="s">
        <v>137</v>
      </c>
    </row>
    <row r="12436" spans="8:8" x14ac:dyDescent="0.25">
      <c r="H12436" t="s">
        <v>13415</v>
      </c>
    </row>
    <row r="12437" spans="8:8" x14ac:dyDescent="0.25">
      <c r="H12437" t="s">
        <v>30</v>
      </c>
    </row>
    <row r="12438" spans="8:8" x14ac:dyDescent="0.25">
      <c r="H12438" t="s">
        <v>138</v>
      </c>
    </row>
    <row r="12439" spans="8:8" x14ac:dyDescent="0.25">
      <c r="H12439" t="s">
        <v>13416</v>
      </c>
    </row>
    <row r="12440" spans="8:8" x14ac:dyDescent="0.25">
      <c r="H12440" t="s">
        <v>30</v>
      </c>
    </row>
    <row r="12442" spans="8:8" x14ac:dyDescent="0.25">
      <c r="H12442" t="s">
        <v>13417</v>
      </c>
    </row>
    <row r="12443" spans="8:8" x14ac:dyDescent="0.25">
      <c r="H12443" t="s">
        <v>13418</v>
      </c>
    </row>
    <row r="12444" spans="8:8" x14ac:dyDescent="0.25">
      <c r="H12444" t="s">
        <v>135</v>
      </c>
    </row>
    <row r="12445" spans="8:8" x14ac:dyDescent="0.25">
      <c r="H12445" t="s">
        <v>13419</v>
      </c>
    </row>
    <row r="12446" spans="8:8" x14ac:dyDescent="0.25">
      <c r="H12446" t="s">
        <v>30</v>
      </c>
    </row>
    <row r="12447" spans="8:8" x14ac:dyDescent="0.25">
      <c r="H12447" t="s">
        <v>136</v>
      </c>
    </row>
    <row r="12448" spans="8:8" x14ac:dyDescent="0.25">
      <c r="H12448" t="s">
        <v>13420</v>
      </c>
    </row>
    <row r="12449" spans="8:8" x14ac:dyDescent="0.25">
      <c r="H12449" t="s">
        <v>30</v>
      </c>
    </row>
    <row r="12450" spans="8:8" x14ac:dyDescent="0.25">
      <c r="H12450" t="s">
        <v>137</v>
      </c>
    </row>
    <row r="12451" spans="8:8" x14ac:dyDescent="0.25">
      <c r="H12451" t="s">
        <v>13421</v>
      </c>
    </row>
    <row r="12452" spans="8:8" x14ac:dyDescent="0.25">
      <c r="H12452" t="s">
        <v>30</v>
      </c>
    </row>
    <row r="12453" spans="8:8" x14ac:dyDescent="0.25">
      <c r="H12453" t="s">
        <v>138</v>
      </c>
    </row>
    <row r="12454" spans="8:8" x14ac:dyDescent="0.25">
      <c r="H12454" t="s">
        <v>13422</v>
      </c>
    </row>
    <row r="12455" spans="8:8" x14ac:dyDescent="0.25">
      <c r="H12455" t="s">
        <v>30</v>
      </c>
    </row>
    <row r="12457" spans="8:8" x14ac:dyDescent="0.25">
      <c r="H12457" t="s">
        <v>13423</v>
      </c>
    </row>
    <row r="12458" spans="8:8" x14ac:dyDescent="0.25">
      <c r="H12458" t="s">
        <v>13424</v>
      </c>
    </row>
    <row r="12459" spans="8:8" x14ac:dyDescent="0.25">
      <c r="H12459" t="s">
        <v>135</v>
      </c>
    </row>
    <row r="12460" spans="8:8" x14ac:dyDescent="0.25">
      <c r="H12460" t="s">
        <v>13425</v>
      </c>
    </row>
    <row r="12461" spans="8:8" x14ac:dyDescent="0.25">
      <c r="H12461" t="s">
        <v>30</v>
      </c>
    </row>
    <row r="12462" spans="8:8" x14ac:dyDescent="0.25">
      <c r="H12462" t="s">
        <v>136</v>
      </c>
    </row>
    <row r="12463" spans="8:8" x14ac:dyDescent="0.25">
      <c r="H12463" t="s">
        <v>13426</v>
      </c>
    </row>
    <row r="12464" spans="8:8" x14ac:dyDescent="0.25">
      <c r="H12464" t="s">
        <v>30</v>
      </c>
    </row>
    <row r="12465" spans="8:8" x14ac:dyDescent="0.25">
      <c r="H12465" t="s">
        <v>137</v>
      </c>
    </row>
    <row r="12466" spans="8:8" x14ac:dyDescent="0.25">
      <c r="H12466" t="s">
        <v>13427</v>
      </c>
    </row>
    <row r="12467" spans="8:8" x14ac:dyDescent="0.25">
      <c r="H12467" t="s">
        <v>30</v>
      </c>
    </row>
    <row r="12468" spans="8:8" x14ac:dyDescent="0.25">
      <c r="H12468" t="s">
        <v>138</v>
      </c>
    </row>
    <row r="12469" spans="8:8" x14ac:dyDescent="0.25">
      <c r="H12469" t="s">
        <v>13428</v>
      </c>
    </row>
    <row r="12470" spans="8:8" x14ac:dyDescent="0.25">
      <c r="H12470" t="s">
        <v>30</v>
      </c>
    </row>
    <row r="12472" spans="8:8" x14ac:dyDescent="0.25">
      <c r="H12472" t="s">
        <v>13429</v>
      </c>
    </row>
    <row r="12473" spans="8:8" x14ac:dyDescent="0.25">
      <c r="H12473" t="s">
        <v>13430</v>
      </c>
    </row>
    <row r="12474" spans="8:8" x14ac:dyDescent="0.25">
      <c r="H12474" t="s">
        <v>135</v>
      </c>
    </row>
    <row r="12475" spans="8:8" x14ac:dyDescent="0.25">
      <c r="H12475" t="s">
        <v>13431</v>
      </c>
    </row>
    <row r="12476" spans="8:8" x14ac:dyDescent="0.25">
      <c r="H12476" t="s">
        <v>30</v>
      </c>
    </row>
    <row r="12477" spans="8:8" x14ac:dyDescent="0.25">
      <c r="H12477" t="s">
        <v>136</v>
      </c>
    </row>
    <row r="12478" spans="8:8" x14ac:dyDescent="0.25">
      <c r="H12478" t="s">
        <v>13432</v>
      </c>
    </row>
    <row r="12479" spans="8:8" x14ac:dyDescent="0.25">
      <c r="H12479" t="s">
        <v>30</v>
      </c>
    </row>
    <row r="12480" spans="8:8" x14ac:dyDescent="0.25">
      <c r="H12480" t="s">
        <v>137</v>
      </c>
    </row>
    <row r="12481" spans="8:8" x14ac:dyDescent="0.25">
      <c r="H12481" t="s">
        <v>13433</v>
      </c>
    </row>
    <row r="12482" spans="8:8" x14ac:dyDescent="0.25">
      <c r="H12482" t="s">
        <v>30</v>
      </c>
    </row>
    <row r="12483" spans="8:8" x14ac:dyDescent="0.25">
      <c r="H12483" t="s">
        <v>138</v>
      </c>
    </row>
    <row r="12484" spans="8:8" x14ac:dyDescent="0.25">
      <c r="H12484" t="s">
        <v>13434</v>
      </c>
    </row>
    <row r="12485" spans="8:8" x14ac:dyDescent="0.25">
      <c r="H12485" t="s">
        <v>30</v>
      </c>
    </row>
    <row r="12487" spans="8:8" x14ac:dyDescent="0.25">
      <c r="H12487" t="s">
        <v>13435</v>
      </c>
    </row>
    <row r="12488" spans="8:8" x14ac:dyDescent="0.25">
      <c r="H12488" t="s">
        <v>13436</v>
      </c>
    </row>
    <row r="12489" spans="8:8" x14ac:dyDescent="0.25">
      <c r="H12489" t="s">
        <v>135</v>
      </c>
    </row>
    <row r="12490" spans="8:8" x14ac:dyDescent="0.25">
      <c r="H12490" t="s">
        <v>13437</v>
      </c>
    </row>
    <row r="12491" spans="8:8" x14ac:dyDescent="0.25">
      <c r="H12491" t="s">
        <v>30</v>
      </c>
    </row>
    <row r="12492" spans="8:8" x14ac:dyDescent="0.25">
      <c r="H12492" t="s">
        <v>136</v>
      </c>
    </row>
    <row r="12493" spans="8:8" x14ac:dyDescent="0.25">
      <c r="H12493" t="s">
        <v>13438</v>
      </c>
    </row>
    <row r="12494" spans="8:8" x14ac:dyDescent="0.25">
      <c r="H12494" t="s">
        <v>30</v>
      </c>
    </row>
    <row r="12495" spans="8:8" x14ac:dyDescent="0.25">
      <c r="H12495" t="s">
        <v>137</v>
      </c>
    </row>
    <row r="12496" spans="8:8" x14ac:dyDescent="0.25">
      <c r="H12496" t="s">
        <v>13439</v>
      </c>
    </row>
    <row r="12497" spans="8:8" x14ac:dyDescent="0.25">
      <c r="H12497" t="s">
        <v>30</v>
      </c>
    </row>
    <row r="12498" spans="8:8" x14ac:dyDescent="0.25">
      <c r="H12498" t="s">
        <v>138</v>
      </c>
    </row>
    <row r="12499" spans="8:8" x14ac:dyDescent="0.25">
      <c r="H12499" t="s">
        <v>13440</v>
      </c>
    </row>
    <row r="12500" spans="8:8" x14ac:dyDescent="0.25">
      <c r="H12500" t="s">
        <v>30</v>
      </c>
    </row>
    <row r="12502" spans="8:8" x14ac:dyDescent="0.25">
      <c r="H12502" t="s">
        <v>13441</v>
      </c>
    </row>
    <row r="12503" spans="8:8" x14ac:dyDescent="0.25">
      <c r="H12503" t="s">
        <v>13442</v>
      </c>
    </row>
    <row r="12504" spans="8:8" x14ac:dyDescent="0.25">
      <c r="H12504" t="s">
        <v>135</v>
      </c>
    </row>
    <row r="12505" spans="8:8" x14ac:dyDescent="0.25">
      <c r="H12505" t="s">
        <v>13443</v>
      </c>
    </row>
    <row r="12506" spans="8:8" x14ac:dyDescent="0.25">
      <c r="H12506" t="s">
        <v>30</v>
      </c>
    </row>
    <row r="12507" spans="8:8" x14ac:dyDescent="0.25">
      <c r="H12507" t="s">
        <v>136</v>
      </c>
    </row>
    <row r="12508" spans="8:8" x14ac:dyDescent="0.25">
      <c r="H12508" t="s">
        <v>13444</v>
      </c>
    </row>
    <row r="12509" spans="8:8" x14ac:dyDescent="0.25">
      <c r="H12509" t="s">
        <v>30</v>
      </c>
    </row>
    <row r="12510" spans="8:8" x14ac:dyDescent="0.25">
      <c r="H12510" t="s">
        <v>137</v>
      </c>
    </row>
    <row r="12511" spans="8:8" x14ac:dyDescent="0.25">
      <c r="H12511" t="s">
        <v>13445</v>
      </c>
    </row>
    <row r="12512" spans="8:8" x14ac:dyDescent="0.25">
      <c r="H12512" t="s">
        <v>30</v>
      </c>
    </row>
    <row r="12513" spans="8:8" x14ac:dyDescent="0.25">
      <c r="H12513" t="s">
        <v>138</v>
      </c>
    </row>
    <row r="12514" spans="8:8" x14ac:dyDescent="0.25">
      <c r="H12514" t="s">
        <v>13446</v>
      </c>
    </row>
    <row r="12515" spans="8:8" x14ac:dyDescent="0.25">
      <c r="H12515" t="s">
        <v>30</v>
      </c>
    </row>
    <row r="12517" spans="8:8" x14ac:dyDescent="0.25">
      <c r="H12517" t="s">
        <v>13447</v>
      </c>
    </row>
    <row r="12518" spans="8:8" x14ac:dyDescent="0.25">
      <c r="H12518" t="s">
        <v>13448</v>
      </c>
    </row>
    <row r="12519" spans="8:8" x14ac:dyDescent="0.25">
      <c r="H12519" t="s">
        <v>135</v>
      </c>
    </row>
    <row r="12520" spans="8:8" x14ac:dyDescent="0.25">
      <c r="H12520" t="s">
        <v>13449</v>
      </c>
    </row>
    <row r="12521" spans="8:8" x14ac:dyDescent="0.25">
      <c r="H12521" t="s">
        <v>30</v>
      </c>
    </row>
    <row r="12522" spans="8:8" x14ac:dyDescent="0.25">
      <c r="H12522" t="s">
        <v>136</v>
      </c>
    </row>
    <row r="12523" spans="8:8" x14ac:dyDescent="0.25">
      <c r="H12523" t="s">
        <v>13450</v>
      </c>
    </row>
    <row r="12524" spans="8:8" x14ac:dyDescent="0.25">
      <c r="H12524" t="s">
        <v>30</v>
      </c>
    </row>
    <row r="12525" spans="8:8" x14ac:dyDescent="0.25">
      <c r="H12525" t="s">
        <v>137</v>
      </c>
    </row>
    <row r="12526" spans="8:8" x14ac:dyDescent="0.25">
      <c r="H12526" t="s">
        <v>13451</v>
      </c>
    </row>
    <row r="12527" spans="8:8" x14ac:dyDescent="0.25">
      <c r="H12527" t="s">
        <v>30</v>
      </c>
    </row>
    <row r="12528" spans="8:8" x14ac:dyDescent="0.25">
      <c r="H12528" t="s">
        <v>138</v>
      </c>
    </row>
    <row r="12529" spans="8:8" x14ac:dyDescent="0.25">
      <c r="H12529" t="s">
        <v>13452</v>
      </c>
    </row>
    <row r="12530" spans="8:8" x14ac:dyDescent="0.25">
      <c r="H12530" t="s">
        <v>30</v>
      </c>
    </row>
    <row r="12532" spans="8:8" x14ac:dyDescent="0.25">
      <c r="H12532" t="s">
        <v>13453</v>
      </c>
    </row>
    <row r="12533" spans="8:8" x14ac:dyDescent="0.25">
      <c r="H12533" t="s">
        <v>13454</v>
      </c>
    </row>
    <row r="12534" spans="8:8" x14ac:dyDescent="0.25">
      <c r="H12534" t="s">
        <v>135</v>
      </c>
    </row>
    <row r="12535" spans="8:8" x14ac:dyDescent="0.25">
      <c r="H12535" t="s">
        <v>13455</v>
      </c>
    </row>
    <row r="12536" spans="8:8" x14ac:dyDescent="0.25">
      <c r="H12536" t="s">
        <v>30</v>
      </c>
    </row>
    <row r="12537" spans="8:8" x14ac:dyDescent="0.25">
      <c r="H12537" t="s">
        <v>136</v>
      </c>
    </row>
    <row r="12538" spans="8:8" x14ac:dyDescent="0.25">
      <c r="H12538" t="s">
        <v>13456</v>
      </c>
    </row>
    <row r="12539" spans="8:8" x14ac:dyDescent="0.25">
      <c r="H12539" t="s">
        <v>30</v>
      </c>
    </row>
    <row r="12540" spans="8:8" x14ac:dyDescent="0.25">
      <c r="H12540" t="s">
        <v>137</v>
      </c>
    </row>
    <row r="12541" spans="8:8" x14ac:dyDescent="0.25">
      <c r="H12541" t="s">
        <v>13457</v>
      </c>
    </row>
    <row r="12542" spans="8:8" x14ac:dyDescent="0.25">
      <c r="H12542" t="s">
        <v>30</v>
      </c>
    </row>
    <row r="12543" spans="8:8" x14ac:dyDescent="0.25">
      <c r="H12543" t="s">
        <v>138</v>
      </c>
    </row>
    <row r="12544" spans="8:8" x14ac:dyDescent="0.25">
      <c r="H12544" t="s">
        <v>13458</v>
      </c>
    </row>
    <row r="12545" spans="8:8" x14ac:dyDescent="0.25">
      <c r="H12545" t="s">
        <v>30</v>
      </c>
    </row>
    <row r="12547" spans="8:8" x14ac:dyDescent="0.25">
      <c r="H12547" t="s">
        <v>13459</v>
      </c>
    </row>
    <row r="12548" spans="8:8" x14ac:dyDescent="0.25">
      <c r="H12548" t="s">
        <v>13460</v>
      </c>
    </row>
    <row r="12549" spans="8:8" x14ac:dyDescent="0.25">
      <c r="H12549" t="s">
        <v>135</v>
      </c>
    </row>
    <row r="12550" spans="8:8" x14ac:dyDescent="0.25">
      <c r="H12550" t="s">
        <v>13461</v>
      </c>
    </row>
    <row r="12551" spans="8:8" x14ac:dyDescent="0.25">
      <c r="H12551" t="s">
        <v>30</v>
      </c>
    </row>
    <row r="12552" spans="8:8" x14ac:dyDescent="0.25">
      <c r="H12552" t="s">
        <v>136</v>
      </c>
    </row>
    <row r="12553" spans="8:8" x14ac:dyDescent="0.25">
      <c r="H12553" t="s">
        <v>13462</v>
      </c>
    </row>
    <row r="12554" spans="8:8" x14ac:dyDescent="0.25">
      <c r="H12554" t="s">
        <v>30</v>
      </c>
    </row>
    <row r="12555" spans="8:8" x14ac:dyDescent="0.25">
      <c r="H12555" t="s">
        <v>137</v>
      </c>
    </row>
    <row r="12556" spans="8:8" x14ac:dyDescent="0.25">
      <c r="H12556" t="s">
        <v>13463</v>
      </c>
    </row>
    <row r="12557" spans="8:8" x14ac:dyDescent="0.25">
      <c r="H12557" t="s">
        <v>30</v>
      </c>
    </row>
    <row r="12558" spans="8:8" x14ac:dyDescent="0.25">
      <c r="H12558" t="s">
        <v>138</v>
      </c>
    </row>
    <row r="12559" spans="8:8" x14ac:dyDescent="0.25">
      <c r="H12559" t="s">
        <v>13464</v>
      </c>
    </row>
    <row r="12560" spans="8:8" x14ac:dyDescent="0.25">
      <c r="H12560" t="s">
        <v>30</v>
      </c>
    </row>
    <row r="12562" spans="8:8" x14ac:dyDescent="0.25">
      <c r="H12562" t="s">
        <v>13465</v>
      </c>
    </row>
    <row r="12563" spans="8:8" x14ac:dyDescent="0.25">
      <c r="H12563" t="s">
        <v>13466</v>
      </c>
    </row>
    <row r="12564" spans="8:8" x14ac:dyDescent="0.25">
      <c r="H12564" t="s">
        <v>135</v>
      </c>
    </row>
    <row r="12565" spans="8:8" x14ac:dyDescent="0.25">
      <c r="H12565" t="s">
        <v>13467</v>
      </c>
    </row>
    <row r="12566" spans="8:8" x14ac:dyDescent="0.25">
      <c r="H12566" t="s">
        <v>30</v>
      </c>
    </row>
    <row r="12567" spans="8:8" x14ac:dyDescent="0.25">
      <c r="H12567" t="s">
        <v>136</v>
      </c>
    </row>
    <row r="12568" spans="8:8" x14ac:dyDescent="0.25">
      <c r="H12568" t="s">
        <v>13468</v>
      </c>
    </row>
    <row r="12569" spans="8:8" x14ac:dyDescent="0.25">
      <c r="H12569" t="s">
        <v>30</v>
      </c>
    </row>
    <row r="12570" spans="8:8" x14ac:dyDescent="0.25">
      <c r="H12570" t="s">
        <v>137</v>
      </c>
    </row>
    <row r="12571" spans="8:8" x14ac:dyDescent="0.25">
      <c r="H12571" t="s">
        <v>13469</v>
      </c>
    </row>
    <row r="12572" spans="8:8" x14ac:dyDescent="0.25">
      <c r="H12572" t="s">
        <v>30</v>
      </c>
    </row>
    <row r="12573" spans="8:8" x14ac:dyDescent="0.25">
      <c r="H12573" t="s">
        <v>138</v>
      </c>
    </row>
    <row r="12574" spans="8:8" x14ac:dyDescent="0.25">
      <c r="H12574" t="s">
        <v>13470</v>
      </c>
    </row>
    <row r="12575" spans="8:8" x14ac:dyDescent="0.25">
      <c r="H12575" t="s">
        <v>30</v>
      </c>
    </row>
    <row r="12577" spans="8:8" x14ac:dyDescent="0.25">
      <c r="H12577" t="s">
        <v>13471</v>
      </c>
    </row>
    <row r="12578" spans="8:8" x14ac:dyDescent="0.25">
      <c r="H12578" t="s">
        <v>13472</v>
      </c>
    </row>
    <row r="12579" spans="8:8" x14ac:dyDescent="0.25">
      <c r="H12579" t="s">
        <v>135</v>
      </c>
    </row>
    <row r="12580" spans="8:8" x14ac:dyDescent="0.25">
      <c r="H12580" t="s">
        <v>13473</v>
      </c>
    </row>
    <row r="12581" spans="8:8" x14ac:dyDescent="0.25">
      <c r="H12581" t="s">
        <v>30</v>
      </c>
    </row>
    <row r="12582" spans="8:8" x14ac:dyDescent="0.25">
      <c r="H12582" t="s">
        <v>136</v>
      </c>
    </row>
    <row r="12583" spans="8:8" x14ac:dyDescent="0.25">
      <c r="H12583" t="s">
        <v>13474</v>
      </c>
    </row>
    <row r="12584" spans="8:8" x14ac:dyDescent="0.25">
      <c r="H12584" t="s">
        <v>30</v>
      </c>
    </row>
    <row r="12585" spans="8:8" x14ac:dyDescent="0.25">
      <c r="H12585" t="s">
        <v>137</v>
      </c>
    </row>
    <row r="12586" spans="8:8" x14ac:dyDescent="0.25">
      <c r="H12586" t="s">
        <v>13475</v>
      </c>
    </row>
    <row r="12587" spans="8:8" x14ac:dyDescent="0.25">
      <c r="H12587" t="s">
        <v>30</v>
      </c>
    </row>
    <row r="12588" spans="8:8" x14ac:dyDescent="0.25">
      <c r="H12588" t="s">
        <v>138</v>
      </c>
    </row>
    <row r="12589" spans="8:8" x14ac:dyDescent="0.25">
      <c r="H12589" t="s">
        <v>13476</v>
      </c>
    </row>
    <row r="12590" spans="8:8" x14ac:dyDescent="0.25">
      <c r="H12590" t="s">
        <v>30</v>
      </c>
    </row>
    <row r="12592" spans="8:8" x14ac:dyDescent="0.25">
      <c r="H12592" t="s">
        <v>13477</v>
      </c>
    </row>
    <row r="12593" spans="8:8" x14ac:dyDescent="0.25">
      <c r="H12593" t="s">
        <v>13478</v>
      </c>
    </row>
    <row r="12594" spans="8:8" x14ac:dyDescent="0.25">
      <c r="H12594" t="s">
        <v>135</v>
      </c>
    </row>
    <row r="12595" spans="8:8" x14ac:dyDescent="0.25">
      <c r="H12595" t="s">
        <v>13479</v>
      </c>
    </row>
    <row r="12596" spans="8:8" x14ac:dyDescent="0.25">
      <c r="H12596" t="s">
        <v>30</v>
      </c>
    </row>
    <row r="12597" spans="8:8" x14ac:dyDescent="0.25">
      <c r="H12597" t="s">
        <v>136</v>
      </c>
    </row>
    <row r="12598" spans="8:8" x14ac:dyDescent="0.25">
      <c r="H12598" t="s">
        <v>13480</v>
      </c>
    </row>
    <row r="12599" spans="8:8" x14ac:dyDescent="0.25">
      <c r="H12599" t="s">
        <v>30</v>
      </c>
    </row>
    <row r="12600" spans="8:8" x14ac:dyDescent="0.25">
      <c r="H12600" t="s">
        <v>137</v>
      </c>
    </row>
    <row r="12601" spans="8:8" x14ac:dyDescent="0.25">
      <c r="H12601" t="s">
        <v>13481</v>
      </c>
    </row>
    <row r="12602" spans="8:8" x14ac:dyDescent="0.25">
      <c r="H12602" t="s">
        <v>30</v>
      </c>
    </row>
    <row r="12603" spans="8:8" x14ac:dyDescent="0.25">
      <c r="H12603" t="s">
        <v>138</v>
      </c>
    </row>
    <row r="12604" spans="8:8" x14ac:dyDescent="0.25">
      <c r="H12604" t="s">
        <v>13482</v>
      </c>
    </row>
    <row r="12605" spans="8:8" x14ac:dyDescent="0.25">
      <c r="H12605" t="s">
        <v>30</v>
      </c>
    </row>
    <row r="12607" spans="8:8" x14ac:dyDescent="0.25">
      <c r="H12607" t="s">
        <v>13483</v>
      </c>
    </row>
    <row r="12608" spans="8:8" x14ac:dyDescent="0.25">
      <c r="H12608" t="s">
        <v>13484</v>
      </c>
    </row>
    <row r="12609" spans="8:8" x14ac:dyDescent="0.25">
      <c r="H12609" t="s">
        <v>135</v>
      </c>
    </row>
    <row r="12610" spans="8:8" x14ac:dyDescent="0.25">
      <c r="H12610" t="s">
        <v>13485</v>
      </c>
    </row>
    <row r="12611" spans="8:8" x14ac:dyDescent="0.25">
      <c r="H12611" t="s">
        <v>30</v>
      </c>
    </row>
    <row r="12612" spans="8:8" x14ac:dyDescent="0.25">
      <c r="H12612" t="s">
        <v>136</v>
      </c>
    </row>
    <row r="12613" spans="8:8" x14ac:dyDescent="0.25">
      <c r="H12613" t="s">
        <v>13486</v>
      </c>
    </row>
    <row r="12614" spans="8:8" x14ac:dyDescent="0.25">
      <c r="H12614" t="s">
        <v>30</v>
      </c>
    </row>
    <row r="12615" spans="8:8" x14ac:dyDescent="0.25">
      <c r="H12615" t="s">
        <v>137</v>
      </c>
    </row>
    <row r="12616" spans="8:8" x14ac:dyDescent="0.25">
      <c r="H12616" t="s">
        <v>13487</v>
      </c>
    </row>
    <row r="12617" spans="8:8" x14ac:dyDescent="0.25">
      <c r="H12617" t="s">
        <v>30</v>
      </c>
    </row>
    <row r="12618" spans="8:8" x14ac:dyDescent="0.25">
      <c r="H12618" t="s">
        <v>138</v>
      </c>
    </row>
    <row r="12619" spans="8:8" x14ac:dyDescent="0.25">
      <c r="H12619" t="s">
        <v>13488</v>
      </c>
    </row>
    <row r="12620" spans="8:8" x14ac:dyDescent="0.25">
      <c r="H12620" t="s">
        <v>30</v>
      </c>
    </row>
    <row r="12622" spans="8:8" x14ac:dyDescent="0.25">
      <c r="H12622" t="s">
        <v>13489</v>
      </c>
    </row>
    <row r="12623" spans="8:8" x14ac:dyDescent="0.25">
      <c r="H12623" t="s">
        <v>13490</v>
      </c>
    </row>
    <row r="12624" spans="8:8" x14ac:dyDescent="0.25">
      <c r="H12624" t="s">
        <v>135</v>
      </c>
    </row>
    <row r="12625" spans="8:8" x14ac:dyDescent="0.25">
      <c r="H12625" t="s">
        <v>13491</v>
      </c>
    </row>
    <row r="12626" spans="8:8" x14ac:dyDescent="0.25">
      <c r="H12626" t="s">
        <v>30</v>
      </c>
    </row>
    <row r="12627" spans="8:8" x14ac:dyDescent="0.25">
      <c r="H12627" t="s">
        <v>136</v>
      </c>
    </row>
    <row r="12628" spans="8:8" x14ac:dyDescent="0.25">
      <c r="H12628" t="s">
        <v>13492</v>
      </c>
    </row>
    <row r="12629" spans="8:8" x14ac:dyDescent="0.25">
      <c r="H12629" t="s">
        <v>30</v>
      </c>
    </row>
    <row r="12630" spans="8:8" x14ac:dyDescent="0.25">
      <c r="H12630" t="s">
        <v>137</v>
      </c>
    </row>
    <row r="12631" spans="8:8" x14ac:dyDescent="0.25">
      <c r="H12631" t="s">
        <v>13493</v>
      </c>
    </row>
    <row r="12632" spans="8:8" x14ac:dyDescent="0.25">
      <c r="H12632" t="s">
        <v>30</v>
      </c>
    </row>
    <row r="12633" spans="8:8" x14ac:dyDescent="0.25">
      <c r="H12633" t="s">
        <v>138</v>
      </c>
    </row>
    <row r="12634" spans="8:8" x14ac:dyDescent="0.25">
      <c r="H12634" t="s">
        <v>13494</v>
      </c>
    </row>
    <row r="12635" spans="8:8" x14ac:dyDescent="0.25">
      <c r="H12635" t="s">
        <v>30</v>
      </c>
    </row>
    <row r="12637" spans="8:8" x14ac:dyDescent="0.25">
      <c r="H12637" t="s">
        <v>13495</v>
      </c>
    </row>
    <row r="12638" spans="8:8" x14ac:dyDescent="0.25">
      <c r="H12638" t="s">
        <v>13496</v>
      </c>
    </row>
    <row r="12639" spans="8:8" x14ac:dyDescent="0.25">
      <c r="H12639" t="s">
        <v>135</v>
      </c>
    </row>
    <row r="12640" spans="8:8" x14ac:dyDescent="0.25">
      <c r="H12640" t="s">
        <v>13497</v>
      </c>
    </row>
    <row r="12641" spans="8:8" x14ac:dyDescent="0.25">
      <c r="H12641" t="s">
        <v>30</v>
      </c>
    </row>
    <row r="12642" spans="8:8" x14ac:dyDescent="0.25">
      <c r="H12642" t="s">
        <v>136</v>
      </c>
    </row>
    <row r="12643" spans="8:8" x14ac:dyDescent="0.25">
      <c r="H12643" t="s">
        <v>13498</v>
      </c>
    </row>
    <row r="12644" spans="8:8" x14ac:dyDescent="0.25">
      <c r="H12644" t="s">
        <v>30</v>
      </c>
    </row>
    <row r="12645" spans="8:8" x14ac:dyDescent="0.25">
      <c r="H12645" t="s">
        <v>137</v>
      </c>
    </row>
    <row r="12646" spans="8:8" x14ac:dyDescent="0.25">
      <c r="H12646" t="s">
        <v>13499</v>
      </c>
    </row>
    <row r="12647" spans="8:8" x14ac:dyDescent="0.25">
      <c r="H12647" t="s">
        <v>30</v>
      </c>
    </row>
    <row r="12648" spans="8:8" x14ac:dyDescent="0.25">
      <c r="H12648" t="s">
        <v>138</v>
      </c>
    </row>
    <row r="12649" spans="8:8" x14ac:dyDescent="0.25">
      <c r="H12649" t="s">
        <v>13500</v>
      </c>
    </row>
    <row r="12650" spans="8:8" x14ac:dyDescent="0.25">
      <c r="H12650" t="s">
        <v>30</v>
      </c>
    </row>
    <row r="12652" spans="8:8" x14ac:dyDescent="0.25">
      <c r="H12652" t="s">
        <v>13501</v>
      </c>
    </row>
    <row r="12653" spans="8:8" x14ac:dyDescent="0.25">
      <c r="H12653" t="s">
        <v>13502</v>
      </c>
    </row>
    <row r="12654" spans="8:8" x14ac:dyDescent="0.25">
      <c r="H12654" t="s">
        <v>135</v>
      </c>
    </row>
    <row r="12655" spans="8:8" x14ac:dyDescent="0.25">
      <c r="H12655" t="s">
        <v>13503</v>
      </c>
    </row>
    <row r="12656" spans="8:8" x14ac:dyDescent="0.25">
      <c r="H12656" t="s">
        <v>30</v>
      </c>
    </row>
    <row r="12657" spans="8:8" x14ac:dyDescent="0.25">
      <c r="H12657" t="s">
        <v>136</v>
      </c>
    </row>
    <row r="12658" spans="8:8" x14ac:dyDescent="0.25">
      <c r="H12658" t="s">
        <v>13504</v>
      </c>
    </row>
    <row r="12659" spans="8:8" x14ac:dyDescent="0.25">
      <c r="H12659" t="s">
        <v>30</v>
      </c>
    </row>
    <row r="12660" spans="8:8" x14ac:dyDescent="0.25">
      <c r="H12660" t="s">
        <v>137</v>
      </c>
    </row>
    <row r="12661" spans="8:8" x14ac:dyDescent="0.25">
      <c r="H12661" t="s">
        <v>13505</v>
      </c>
    </row>
    <row r="12662" spans="8:8" x14ac:dyDescent="0.25">
      <c r="H12662" t="s">
        <v>30</v>
      </c>
    </row>
    <row r="12663" spans="8:8" x14ac:dyDescent="0.25">
      <c r="H12663" t="s">
        <v>138</v>
      </c>
    </row>
    <row r="12664" spans="8:8" x14ac:dyDescent="0.25">
      <c r="H12664" t="s">
        <v>13506</v>
      </c>
    </row>
    <row r="12665" spans="8:8" x14ac:dyDescent="0.25">
      <c r="H12665" t="s">
        <v>30</v>
      </c>
    </row>
    <row r="12667" spans="8:8" x14ac:dyDescent="0.25">
      <c r="H12667" t="s">
        <v>13507</v>
      </c>
    </row>
    <row r="12668" spans="8:8" x14ac:dyDescent="0.25">
      <c r="H12668" t="s">
        <v>13508</v>
      </c>
    </row>
    <row r="12669" spans="8:8" x14ac:dyDescent="0.25">
      <c r="H12669" t="s">
        <v>135</v>
      </c>
    </row>
    <row r="12670" spans="8:8" x14ac:dyDescent="0.25">
      <c r="H12670" t="s">
        <v>13509</v>
      </c>
    </row>
    <row r="12671" spans="8:8" x14ac:dyDescent="0.25">
      <c r="H12671" t="s">
        <v>30</v>
      </c>
    </row>
    <row r="12672" spans="8:8" x14ac:dyDescent="0.25">
      <c r="H12672" t="s">
        <v>136</v>
      </c>
    </row>
    <row r="12673" spans="8:8" x14ac:dyDescent="0.25">
      <c r="H12673" t="s">
        <v>13510</v>
      </c>
    </row>
    <row r="12674" spans="8:8" x14ac:dyDescent="0.25">
      <c r="H12674" t="s">
        <v>30</v>
      </c>
    </row>
    <row r="12675" spans="8:8" x14ac:dyDescent="0.25">
      <c r="H12675" t="s">
        <v>137</v>
      </c>
    </row>
    <row r="12676" spans="8:8" x14ac:dyDescent="0.25">
      <c r="H12676" t="s">
        <v>13511</v>
      </c>
    </row>
    <row r="12677" spans="8:8" x14ac:dyDescent="0.25">
      <c r="H12677" t="s">
        <v>30</v>
      </c>
    </row>
    <row r="12678" spans="8:8" x14ac:dyDescent="0.25">
      <c r="H12678" t="s">
        <v>138</v>
      </c>
    </row>
    <row r="12679" spans="8:8" x14ac:dyDescent="0.25">
      <c r="H12679" t="s">
        <v>13512</v>
      </c>
    </row>
    <row r="12680" spans="8:8" x14ac:dyDescent="0.25">
      <c r="H12680" t="s">
        <v>30</v>
      </c>
    </row>
    <row r="12682" spans="8:8" x14ac:dyDescent="0.25">
      <c r="H12682" t="s">
        <v>13513</v>
      </c>
    </row>
    <row r="12683" spans="8:8" x14ac:dyDescent="0.25">
      <c r="H12683" t="s">
        <v>13514</v>
      </c>
    </row>
    <row r="12684" spans="8:8" x14ac:dyDescent="0.25">
      <c r="H12684" t="s">
        <v>135</v>
      </c>
    </row>
    <row r="12685" spans="8:8" x14ac:dyDescent="0.25">
      <c r="H12685" t="s">
        <v>13515</v>
      </c>
    </row>
    <row r="12686" spans="8:8" x14ac:dyDescent="0.25">
      <c r="H12686" t="s">
        <v>30</v>
      </c>
    </row>
    <row r="12687" spans="8:8" x14ac:dyDescent="0.25">
      <c r="H12687" t="s">
        <v>136</v>
      </c>
    </row>
    <row r="12688" spans="8:8" x14ac:dyDescent="0.25">
      <c r="H12688" t="s">
        <v>13516</v>
      </c>
    </row>
    <row r="12689" spans="8:8" x14ac:dyDescent="0.25">
      <c r="H12689" t="s">
        <v>30</v>
      </c>
    </row>
    <row r="12690" spans="8:8" x14ac:dyDescent="0.25">
      <c r="H12690" t="s">
        <v>137</v>
      </c>
    </row>
    <row r="12691" spans="8:8" x14ac:dyDescent="0.25">
      <c r="H12691" t="s">
        <v>13517</v>
      </c>
    </row>
    <row r="12692" spans="8:8" x14ac:dyDescent="0.25">
      <c r="H12692" t="s">
        <v>30</v>
      </c>
    </row>
    <row r="12693" spans="8:8" x14ac:dyDescent="0.25">
      <c r="H12693" t="s">
        <v>138</v>
      </c>
    </row>
    <row r="12694" spans="8:8" x14ac:dyDescent="0.25">
      <c r="H12694" t="s">
        <v>13518</v>
      </c>
    </row>
    <row r="12695" spans="8:8" x14ac:dyDescent="0.25">
      <c r="H12695" t="s">
        <v>30</v>
      </c>
    </row>
    <row r="12697" spans="8:8" x14ac:dyDescent="0.25">
      <c r="H12697" t="s">
        <v>13519</v>
      </c>
    </row>
    <row r="12698" spans="8:8" x14ac:dyDescent="0.25">
      <c r="H12698" t="s">
        <v>13520</v>
      </c>
    </row>
    <row r="12699" spans="8:8" x14ac:dyDescent="0.25">
      <c r="H12699" t="s">
        <v>135</v>
      </c>
    </row>
    <row r="12700" spans="8:8" x14ac:dyDescent="0.25">
      <c r="H12700" t="s">
        <v>13521</v>
      </c>
    </row>
    <row r="12701" spans="8:8" x14ac:dyDescent="0.25">
      <c r="H12701" t="s">
        <v>30</v>
      </c>
    </row>
    <row r="12702" spans="8:8" x14ac:dyDescent="0.25">
      <c r="H12702" t="s">
        <v>136</v>
      </c>
    </row>
    <row r="12703" spans="8:8" x14ac:dyDescent="0.25">
      <c r="H12703" t="s">
        <v>13522</v>
      </c>
    </row>
    <row r="12704" spans="8:8" x14ac:dyDescent="0.25">
      <c r="H12704" t="s">
        <v>30</v>
      </c>
    </row>
    <row r="12705" spans="8:8" x14ac:dyDescent="0.25">
      <c r="H12705" t="s">
        <v>137</v>
      </c>
    </row>
    <row r="12706" spans="8:8" x14ac:dyDescent="0.25">
      <c r="H12706" t="s">
        <v>13523</v>
      </c>
    </row>
    <row r="12707" spans="8:8" x14ac:dyDescent="0.25">
      <c r="H12707" t="s">
        <v>30</v>
      </c>
    </row>
    <row r="12708" spans="8:8" x14ac:dyDescent="0.25">
      <c r="H12708" t="s">
        <v>138</v>
      </c>
    </row>
    <row r="12709" spans="8:8" x14ac:dyDescent="0.25">
      <c r="H12709" t="s">
        <v>13524</v>
      </c>
    </row>
    <row r="12710" spans="8:8" x14ac:dyDescent="0.25">
      <c r="H12710" t="s">
        <v>30</v>
      </c>
    </row>
    <row r="12712" spans="8:8" x14ac:dyDescent="0.25">
      <c r="H12712" t="s">
        <v>13525</v>
      </c>
    </row>
    <row r="12713" spans="8:8" x14ac:dyDescent="0.25">
      <c r="H12713" t="s">
        <v>13526</v>
      </c>
    </row>
    <row r="12714" spans="8:8" x14ac:dyDescent="0.25">
      <c r="H12714" t="s">
        <v>135</v>
      </c>
    </row>
    <row r="12715" spans="8:8" x14ac:dyDescent="0.25">
      <c r="H12715" t="s">
        <v>13527</v>
      </c>
    </row>
    <row r="12716" spans="8:8" x14ac:dyDescent="0.25">
      <c r="H12716" t="s">
        <v>30</v>
      </c>
    </row>
    <row r="12717" spans="8:8" x14ac:dyDescent="0.25">
      <c r="H12717" t="s">
        <v>136</v>
      </c>
    </row>
    <row r="12718" spans="8:8" x14ac:dyDescent="0.25">
      <c r="H12718" t="s">
        <v>13528</v>
      </c>
    </row>
    <row r="12719" spans="8:8" x14ac:dyDescent="0.25">
      <c r="H12719" t="s">
        <v>30</v>
      </c>
    </row>
    <row r="12720" spans="8:8" x14ac:dyDescent="0.25">
      <c r="H12720" t="s">
        <v>137</v>
      </c>
    </row>
    <row r="12721" spans="8:8" x14ac:dyDescent="0.25">
      <c r="H12721" t="s">
        <v>13529</v>
      </c>
    </row>
    <row r="12722" spans="8:8" x14ac:dyDescent="0.25">
      <c r="H12722" t="s">
        <v>30</v>
      </c>
    </row>
    <row r="12723" spans="8:8" x14ac:dyDescent="0.25">
      <c r="H12723" t="s">
        <v>138</v>
      </c>
    </row>
    <row r="12724" spans="8:8" x14ac:dyDescent="0.25">
      <c r="H12724" t="s">
        <v>13530</v>
      </c>
    </row>
    <row r="12725" spans="8:8" x14ac:dyDescent="0.25">
      <c r="H12725" t="s">
        <v>30</v>
      </c>
    </row>
    <row r="12727" spans="8:8" x14ac:dyDescent="0.25">
      <c r="H12727" t="s">
        <v>13531</v>
      </c>
    </row>
    <row r="12728" spans="8:8" x14ac:dyDescent="0.25">
      <c r="H12728" t="s">
        <v>13532</v>
      </c>
    </row>
    <row r="12729" spans="8:8" x14ac:dyDescent="0.25">
      <c r="H12729" t="s">
        <v>135</v>
      </c>
    </row>
    <row r="12730" spans="8:8" x14ac:dyDescent="0.25">
      <c r="H12730" t="s">
        <v>13533</v>
      </c>
    </row>
    <row r="12731" spans="8:8" x14ac:dyDescent="0.25">
      <c r="H12731" t="s">
        <v>30</v>
      </c>
    </row>
    <row r="12732" spans="8:8" x14ac:dyDescent="0.25">
      <c r="H12732" t="s">
        <v>136</v>
      </c>
    </row>
    <row r="12733" spans="8:8" x14ac:dyDescent="0.25">
      <c r="H12733" t="s">
        <v>13534</v>
      </c>
    </row>
    <row r="12734" spans="8:8" x14ac:dyDescent="0.25">
      <c r="H12734" t="s">
        <v>30</v>
      </c>
    </row>
    <row r="12735" spans="8:8" x14ac:dyDescent="0.25">
      <c r="H12735" t="s">
        <v>137</v>
      </c>
    </row>
    <row r="12736" spans="8:8" x14ac:dyDescent="0.25">
      <c r="H12736" t="s">
        <v>13535</v>
      </c>
    </row>
    <row r="12737" spans="8:8" x14ac:dyDescent="0.25">
      <c r="H12737" t="s">
        <v>30</v>
      </c>
    </row>
    <row r="12738" spans="8:8" x14ac:dyDescent="0.25">
      <c r="H12738" t="s">
        <v>138</v>
      </c>
    </row>
    <row r="12739" spans="8:8" x14ac:dyDescent="0.25">
      <c r="H12739" t="s">
        <v>13536</v>
      </c>
    </row>
    <row r="12740" spans="8:8" x14ac:dyDescent="0.25">
      <c r="H12740" t="s">
        <v>30</v>
      </c>
    </row>
    <row r="12742" spans="8:8" x14ac:dyDescent="0.25">
      <c r="H12742" t="s">
        <v>13537</v>
      </c>
    </row>
    <row r="12743" spans="8:8" x14ac:dyDescent="0.25">
      <c r="H12743" t="s">
        <v>13538</v>
      </c>
    </row>
    <row r="12744" spans="8:8" x14ac:dyDescent="0.25">
      <c r="H12744" t="s">
        <v>135</v>
      </c>
    </row>
    <row r="12745" spans="8:8" x14ac:dyDescent="0.25">
      <c r="H12745" t="s">
        <v>13539</v>
      </c>
    </row>
    <row r="12746" spans="8:8" x14ac:dyDescent="0.25">
      <c r="H12746" t="s">
        <v>30</v>
      </c>
    </row>
    <row r="12747" spans="8:8" x14ac:dyDescent="0.25">
      <c r="H12747" t="s">
        <v>136</v>
      </c>
    </row>
    <row r="12748" spans="8:8" x14ac:dyDescent="0.25">
      <c r="H12748" t="s">
        <v>13540</v>
      </c>
    </row>
    <row r="12749" spans="8:8" x14ac:dyDescent="0.25">
      <c r="H12749" t="s">
        <v>30</v>
      </c>
    </row>
    <row r="12750" spans="8:8" x14ac:dyDescent="0.25">
      <c r="H12750" t="s">
        <v>137</v>
      </c>
    </row>
    <row r="12751" spans="8:8" x14ac:dyDescent="0.25">
      <c r="H12751" t="s">
        <v>13541</v>
      </c>
    </row>
    <row r="12752" spans="8:8" x14ac:dyDescent="0.25">
      <c r="H12752" t="s">
        <v>30</v>
      </c>
    </row>
    <row r="12753" spans="8:8" x14ac:dyDescent="0.25">
      <c r="H12753" t="s">
        <v>138</v>
      </c>
    </row>
    <row r="12754" spans="8:8" x14ac:dyDescent="0.25">
      <c r="H12754" t="s">
        <v>13542</v>
      </c>
    </row>
    <row r="12755" spans="8:8" x14ac:dyDescent="0.25">
      <c r="H12755" t="s">
        <v>30</v>
      </c>
    </row>
    <row r="12757" spans="8:8" x14ac:dyDescent="0.25">
      <c r="H12757" t="s">
        <v>13543</v>
      </c>
    </row>
    <row r="12758" spans="8:8" x14ac:dyDescent="0.25">
      <c r="H12758" t="s">
        <v>13544</v>
      </c>
    </row>
    <row r="12759" spans="8:8" x14ac:dyDescent="0.25">
      <c r="H12759" t="s">
        <v>135</v>
      </c>
    </row>
    <row r="12760" spans="8:8" x14ac:dyDescent="0.25">
      <c r="H12760" t="s">
        <v>13545</v>
      </c>
    </row>
    <row r="12761" spans="8:8" x14ac:dyDescent="0.25">
      <c r="H12761" t="s">
        <v>30</v>
      </c>
    </row>
    <row r="12762" spans="8:8" x14ac:dyDescent="0.25">
      <c r="H12762" t="s">
        <v>136</v>
      </c>
    </row>
    <row r="12763" spans="8:8" x14ac:dyDescent="0.25">
      <c r="H12763" t="s">
        <v>13546</v>
      </c>
    </row>
    <row r="12764" spans="8:8" x14ac:dyDescent="0.25">
      <c r="H12764" t="s">
        <v>30</v>
      </c>
    </row>
    <row r="12765" spans="8:8" x14ac:dyDescent="0.25">
      <c r="H12765" t="s">
        <v>137</v>
      </c>
    </row>
    <row r="12766" spans="8:8" x14ac:dyDescent="0.25">
      <c r="H12766" t="s">
        <v>13547</v>
      </c>
    </row>
    <row r="12767" spans="8:8" x14ac:dyDescent="0.25">
      <c r="H12767" t="s">
        <v>30</v>
      </c>
    </row>
    <row r="12768" spans="8:8" x14ac:dyDescent="0.25">
      <c r="H12768" t="s">
        <v>138</v>
      </c>
    </row>
    <row r="12769" spans="8:8" x14ac:dyDescent="0.25">
      <c r="H12769" t="s">
        <v>13548</v>
      </c>
    </row>
    <row r="12770" spans="8:8" x14ac:dyDescent="0.25">
      <c r="H12770" t="s">
        <v>30</v>
      </c>
    </row>
    <row r="12772" spans="8:8" x14ac:dyDescent="0.25">
      <c r="H12772" t="s">
        <v>13549</v>
      </c>
    </row>
    <row r="12773" spans="8:8" x14ac:dyDescent="0.25">
      <c r="H12773" t="s">
        <v>13550</v>
      </c>
    </row>
    <row r="12774" spans="8:8" x14ac:dyDescent="0.25">
      <c r="H12774" t="s">
        <v>135</v>
      </c>
    </row>
    <row r="12775" spans="8:8" x14ac:dyDescent="0.25">
      <c r="H12775" t="s">
        <v>13551</v>
      </c>
    </row>
    <row r="12776" spans="8:8" x14ac:dyDescent="0.25">
      <c r="H12776" t="s">
        <v>30</v>
      </c>
    </row>
    <row r="12777" spans="8:8" x14ac:dyDescent="0.25">
      <c r="H12777" t="s">
        <v>136</v>
      </c>
    </row>
    <row r="12778" spans="8:8" x14ac:dyDescent="0.25">
      <c r="H12778" t="s">
        <v>13552</v>
      </c>
    </row>
    <row r="12779" spans="8:8" x14ac:dyDescent="0.25">
      <c r="H12779" t="s">
        <v>30</v>
      </c>
    </row>
    <row r="12780" spans="8:8" x14ac:dyDescent="0.25">
      <c r="H12780" t="s">
        <v>137</v>
      </c>
    </row>
    <row r="12781" spans="8:8" x14ac:dyDescent="0.25">
      <c r="H12781" t="s">
        <v>13553</v>
      </c>
    </row>
    <row r="12782" spans="8:8" x14ac:dyDescent="0.25">
      <c r="H12782" t="s">
        <v>30</v>
      </c>
    </row>
    <row r="12783" spans="8:8" x14ac:dyDescent="0.25">
      <c r="H12783" t="s">
        <v>138</v>
      </c>
    </row>
    <row r="12784" spans="8:8" x14ac:dyDescent="0.25">
      <c r="H12784" t="s">
        <v>13554</v>
      </c>
    </row>
    <row r="12785" spans="8:8" x14ac:dyDescent="0.25">
      <c r="H12785" t="s">
        <v>30</v>
      </c>
    </row>
    <row r="12787" spans="8:8" x14ac:dyDescent="0.25">
      <c r="H12787" t="s">
        <v>13555</v>
      </c>
    </row>
    <row r="12788" spans="8:8" x14ac:dyDescent="0.25">
      <c r="H12788" t="s">
        <v>13556</v>
      </c>
    </row>
    <row r="12789" spans="8:8" x14ac:dyDescent="0.25">
      <c r="H12789" t="s">
        <v>135</v>
      </c>
    </row>
    <row r="12790" spans="8:8" x14ac:dyDescent="0.25">
      <c r="H12790" t="s">
        <v>13557</v>
      </c>
    </row>
    <row r="12791" spans="8:8" x14ac:dyDescent="0.25">
      <c r="H12791" t="s">
        <v>30</v>
      </c>
    </row>
    <row r="12792" spans="8:8" x14ac:dyDescent="0.25">
      <c r="H12792" t="s">
        <v>136</v>
      </c>
    </row>
    <row r="12793" spans="8:8" x14ac:dyDescent="0.25">
      <c r="H12793" t="s">
        <v>13558</v>
      </c>
    </row>
    <row r="12794" spans="8:8" x14ac:dyDescent="0.25">
      <c r="H12794" t="s">
        <v>30</v>
      </c>
    </row>
    <row r="12795" spans="8:8" x14ac:dyDescent="0.25">
      <c r="H12795" t="s">
        <v>137</v>
      </c>
    </row>
    <row r="12796" spans="8:8" x14ac:dyDescent="0.25">
      <c r="H12796" t="s">
        <v>13559</v>
      </c>
    </row>
    <row r="12797" spans="8:8" x14ac:dyDescent="0.25">
      <c r="H12797" t="s">
        <v>30</v>
      </c>
    </row>
    <row r="12798" spans="8:8" x14ac:dyDescent="0.25">
      <c r="H12798" t="s">
        <v>138</v>
      </c>
    </row>
    <row r="12799" spans="8:8" x14ac:dyDescent="0.25">
      <c r="H12799" t="s">
        <v>13560</v>
      </c>
    </row>
    <row r="12800" spans="8:8" x14ac:dyDescent="0.25">
      <c r="H12800" t="s">
        <v>30</v>
      </c>
    </row>
    <row r="12802" spans="8:8" x14ac:dyDescent="0.25">
      <c r="H12802" t="s">
        <v>13561</v>
      </c>
    </row>
    <row r="12803" spans="8:8" x14ac:dyDescent="0.25">
      <c r="H12803" t="s">
        <v>13562</v>
      </c>
    </row>
    <row r="12804" spans="8:8" x14ac:dyDescent="0.25">
      <c r="H12804" t="s">
        <v>135</v>
      </c>
    </row>
    <row r="12805" spans="8:8" x14ac:dyDescent="0.25">
      <c r="H12805" t="s">
        <v>13563</v>
      </c>
    </row>
    <row r="12806" spans="8:8" x14ac:dyDescent="0.25">
      <c r="H12806" t="s">
        <v>30</v>
      </c>
    </row>
    <row r="12807" spans="8:8" x14ac:dyDescent="0.25">
      <c r="H12807" t="s">
        <v>136</v>
      </c>
    </row>
    <row r="12808" spans="8:8" x14ac:dyDescent="0.25">
      <c r="H12808" t="s">
        <v>13564</v>
      </c>
    </row>
    <row r="12809" spans="8:8" x14ac:dyDescent="0.25">
      <c r="H12809" t="s">
        <v>30</v>
      </c>
    </row>
    <row r="12810" spans="8:8" x14ac:dyDescent="0.25">
      <c r="H12810" t="s">
        <v>137</v>
      </c>
    </row>
    <row r="12811" spans="8:8" x14ac:dyDescent="0.25">
      <c r="H12811" t="s">
        <v>13565</v>
      </c>
    </row>
    <row r="12812" spans="8:8" x14ac:dyDescent="0.25">
      <c r="H12812" t="s">
        <v>30</v>
      </c>
    </row>
    <row r="12813" spans="8:8" x14ac:dyDescent="0.25">
      <c r="H12813" t="s">
        <v>138</v>
      </c>
    </row>
    <row r="12814" spans="8:8" x14ac:dyDescent="0.25">
      <c r="H12814" t="s">
        <v>13566</v>
      </c>
    </row>
    <row r="12815" spans="8:8" x14ac:dyDescent="0.25">
      <c r="H12815" t="s">
        <v>30</v>
      </c>
    </row>
    <row r="12817" spans="8:8" x14ac:dyDescent="0.25">
      <c r="H12817" t="s">
        <v>13567</v>
      </c>
    </row>
    <row r="12818" spans="8:8" x14ac:dyDescent="0.25">
      <c r="H12818" t="s">
        <v>13568</v>
      </c>
    </row>
    <row r="12819" spans="8:8" x14ac:dyDescent="0.25">
      <c r="H12819" t="s">
        <v>135</v>
      </c>
    </row>
    <row r="12820" spans="8:8" x14ac:dyDescent="0.25">
      <c r="H12820" t="s">
        <v>13569</v>
      </c>
    </row>
    <row r="12821" spans="8:8" x14ac:dyDescent="0.25">
      <c r="H12821" t="s">
        <v>30</v>
      </c>
    </row>
    <row r="12822" spans="8:8" x14ac:dyDescent="0.25">
      <c r="H12822" t="s">
        <v>136</v>
      </c>
    </row>
    <row r="12823" spans="8:8" x14ac:dyDescent="0.25">
      <c r="H12823" t="s">
        <v>13570</v>
      </c>
    </row>
    <row r="12824" spans="8:8" x14ac:dyDescent="0.25">
      <c r="H12824" t="s">
        <v>30</v>
      </c>
    </row>
    <row r="12825" spans="8:8" x14ac:dyDescent="0.25">
      <c r="H12825" t="s">
        <v>137</v>
      </c>
    </row>
    <row r="12826" spans="8:8" x14ac:dyDescent="0.25">
      <c r="H12826" t="s">
        <v>13571</v>
      </c>
    </row>
    <row r="12827" spans="8:8" x14ac:dyDescent="0.25">
      <c r="H12827" t="s">
        <v>30</v>
      </c>
    </row>
    <row r="12828" spans="8:8" x14ac:dyDescent="0.25">
      <c r="H12828" t="s">
        <v>138</v>
      </c>
    </row>
    <row r="12829" spans="8:8" x14ac:dyDescent="0.25">
      <c r="H12829" t="s">
        <v>13572</v>
      </c>
    </row>
    <row r="12830" spans="8:8" x14ac:dyDescent="0.25">
      <c r="H12830" t="s">
        <v>30</v>
      </c>
    </row>
    <row r="12832" spans="8:8" x14ac:dyDescent="0.25">
      <c r="H12832" t="s">
        <v>13573</v>
      </c>
    </row>
    <row r="12833" spans="8:8" x14ac:dyDescent="0.25">
      <c r="H12833" t="s">
        <v>13574</v>
      </c>
    </row>
    <row r="12834" spans="8:8" x14ac:dyDescent="0.25">
      <c r="H12834" t="s">
        <v>135</v>
      </c>
    </row>
    <row r="12835" spans="8:8" x14ac:dyDescent="0.25">
      <c r="H12835" t="s">
        <v>13575</v>
      </c>
    </row>
    <row r="12836" spans="8:8" x14ac:dyDescent="0.25">
      <c r="H12836" t="s">
        <v>30</v>
      </c>
    </row>
    <row r="12837" spans="8:8" x14ac:dyDescent="0.25">
      <c r="H12837" t="s">
        <v>136</v>
      </c>
    </row>
    <row r="12838" spans="8:8" x14ac:dyDescent="0.25">
      <c r="H12838" t="s">
        <v>13576</v>
      </c>
    </row>
    <row r="12839" spans="8:8" x14ac:dyDescent="0.25">
      <c r="H12839" t="s">
        <v>30</v>
      </c>
    </row>
    <row r="12840" spans="8:8" x14ac:dyDescent="0.25">
      <c r="H12840" t="s">
        <v>137</v>
      </c>
    </row>
    <row r="12841" spans="8:8" x14ac:dyDescent="0.25">
      <c r="H12841" t="s">
        <v>13577</v>
      </c>
    </row>
    <row r="12842" spans="8:8" x14ac:dyDescent="0.25">
      <c r="H12842" t="s">
        <v>30</v>
      </c>
    </row>
    <row r="12843" spans="8:8" x14ac:dyDescent="0.25">
      <c r="H12843" t="s">
        <v>138</v>
      </c>
    </row>
    <row r="12844" spans="8:8" x14ac:dyDescent="0.25">
      <c r="H12844" t="s">
        <v>13578</v>
      </c>
    </row>
    <row r="12845" spans="8:8" x14ac:dyDescent="0.25">
      <c r="H12845" t="s">
        <v>30</v>
      </c>
    </row>
    <row r="12847" spans="8:8" x14ac:dyDescent="0.25">
      <c r="H12847" t="s">
        <v>13579</v>
      </c>
    </row>
    <row r="12848" spans="8:8" x14ac:dyDescent="0.25">
      <c r="H12848" t="s">
        <v>13580</v>
      </c>
    </row>
    <row r="12849" spans="8:8" x14ac:dyDescent="0.25">
      <c r="H12849" t="s">
        <v>135</v>
      </c>
    </row>
    <row r="12850" spans="8:8" x14ac:dyDescent="0.25">
      <c r="H12850" t="s">
        <v>13581</v>
      </c>
    </row>
    <row r="12851" spans="8:8" x14ac:dyDescent="0.25">
      <c r="H12851" t="s">
        <v>30</v>
      </c>
    </row>
    <row r="12852" spans="8:8" x14ac:dyDescent="0.25">
      <c r="H12852" t="s">
        <v>136</v>
      </c>
    </row>
    <row r="12853" spans="8:8" x14ac:dyDescent="0.25">
      <c r="H12853" t="s">
        <v>13582</v>
      </c>
    </row>
    <row r="12854" spans="8:8" x14ac:dyDescent="0.25">
      <c r="H12854" t="s">
        <v>30</v>
      </c>
    </row>
    <row r="12855" spans="8:8" x14ac:dyDescent="0.25">
      <c r="H12855" t="s">
        <v>137</v>
      </c>
    </row>
    <row r="12856" spans="8:8" x14ac:dyDescent="0.25">
      <c r="H12856" t="s">
        <v>13583</v>
      </c>
    </row>
    <row r="12857" spans="8:8" x14ac:dyDescent="0.25">
      <c r="H12857" t="s">
        <v>30</v>
      </c>
    </row>
    <row r="12858" spans="8:8" x14ac:dyDescent="0.25">
      <c r="H12858" t="s">
        <v>138</v>
      </c>
    </row>
    <row r="12859" spans="8:8" x14ac:dyDescent="0.25">
      <c r="H12859" t="s">
        <v>13584</v>
      </c>
    </row>
    <row r="12860" spans="8:8" x14ac:dyDescent="0.25">
      <c r="H12860" t="s">
        <v>30</v>
      </c>
    </row>
    <row r="12862" spans="8:8" x14ac:dyDescent="0.25">
      <c r="H12862" t="s">
        <v>13585</v>
      </c>
    </row>
    <row r="12863" spans="8:8" x14ac:dyDescent="0.25">
      <c r="H12863" t="s">
        <v>13586</v>
      </c>
    </row>
    <row r="12864" spans="8:8" x14ac:dyDescent="0.25">
      <c r="H12864" t="s">
        <v>135</v>
      </c>
    </row>
    <row r="12865" spans="8:8" x14ac:dyDescent="0.25">
      <c r="H12865" t="s">
        <v>13587</v>
      </c>
    </row>
    <row r="12866" spans="8:8" x14ac:dyDescent="0.25">
      <c r="H12866" t="s">
        <v>30</v>
      </c>
    </row>
    <row r="12867" spans="8:8" x14ac:dyDescent="0.25">
      <c r="H12867" t="s">
        <v>136</v>
      </c>
    </row>
    <row r="12868" spans="8:8" x14ac:dyDescent="0.25">
      <c r="H12868" t="s">
        <v>13588</v>
      </c>
    </row>
    <row r="12869" spans="8:8" x14ac:dyDescent="0.25">
      <c r="H12869" t="s">
        <v>30</v>
      </c>
    </row>
    <row r="12870" spans="8:8" x14ac:dyDescent="0.25">
      <c r="H12870" t="s">
        <v>137</v>
      </c>
    </row>
    <row r="12871" spans="8:8" x14ac:dyDescent="0.25">
      <c r="H12871" t="s">
        <v>13589</v>
      </c>
    </row>
    <row r="12872" spans="8:8" x14ac:dyDescent="0.25">
      <c r="H12872" t="s">
        <v>30</v>
      </c>
    </row>
    <row r="12873" spans="8:8" x14ac:dyDescent="0.25">
      <c r="H12873" t="s">
        <v>138</v>
      </c>
    </row>
    <row r="12874" spans="8:8" x14ac:dyDescent="0.25">
      <c r="H12874" t="s">
        <v>13590</v>
      </c>
    </row>
    <row r="12875" spans="8:8" x14ac:dyDescent="0.25">
      <c r="H12875" t="s">
        <v>30</v>
      </c>
    </row>
    <row r="12877" spans="8:8" x14ac:dyDescent="0.25">
      <c r="H12877" t="s">
        <v>13591</v>
      </c>
    </row>
    <row r="12878" spans="8:8" x14ac:dyDescent="0.25">
      <c r="H12878" t="s">
        <v>13592</v>
      </c>
    </row>
    <row r="12879" spans="8:8" x14ac:dyDescent="0.25">
      <c r="H12879" t="s">
        <v>135</v>
      </c>
    </row>
    <row r="12880" spans="8:8" x14ac:dyDescent="0.25">
      <c r="H12880" t="s">
        <v>13593</v>
      </c>
    </row>
    <row r="12881" spans="8:8" x14ac:dyDescent="0.25">
      <c r="H12881" t="s">
        <v>30</v>
      </c>
    </row>
    <row r="12882" spans="8:8" x14ac:dyDescent="0.25">
      <c r="H12882" t="s">
        <v>136</v>
      </c>
    </row>
    <row r="12883" spans="8:8" x14ac:dyDescent="0.25">
      <c r="H12883" t="s">
        <v>13594</v>
      </c>
    </row>
    <row r="12884" spans="8:8" x14ac:dyDescent="0.25">
      <c r="H12884" t="s">
        <v>30</v>
      </c>
    </row>
    <row r="12885" spans="8:8" x14ac:dyDescent="0.25">
      <c r="H12885" t="s">
        <v>137</v>
      </c>
    </row>
    <row r="12886" spans="8:8" x14ac:dyDescent="0.25">
      <c r="H12886" t="s">
        <v>13595</v>
      </c>
    </row>
    <row r="12887" spans="8:8" x14ac:dyDescent="0.25">
      <c r="H12887" t="s">
        <v>30</v>
      </c>
    </row>
    <row r="12888" spans="8:8" x14ac:dyDescent="0.25">
      <c r="H12888" t="s">
        <v>138</v>
      </c>
    </row>
    <row r="12889" spans="8:8" x14ac:dyDescent="0.25">
      <c r="H12889" t="s">
        <v>13596</v>
      </c>
    </row>
    <row r="12890" spans="8:8" x14ac:dyDescent="0.25">
      <c r="H12890" t="s">
        <v>30</v>
      </c>
    </row>
    <row r="12892" spans="8:8" x14ac:dyDescent="0.25">
      <c r="H12892" t="s">
        <v>13597</v>
      </c>
    </row>
    <row r="12893" spans="8:8" x14ac:dyDescent="0.25">
      <c r="H12893" t="s">
        <v>13598</v>
      </c>
    </row>
    <row r="12894" spans="8:8" x14ac:dyDescent="0.25">
      <c r="H12894" t="s">
        <v>135</v>
      </c>
    </row>
    <row r="12895" spans="8:8" x14ac:dyDescent="0.25">
      <c r="H12895" t="s">
        <v>13599</v>
      </c>
    </row>
    <row r="12896" spans="8:8" x14ac:dyDescent="0.25">
      <c r="H12896" t="s">
        <v>30</v>
      </c>
    </row>
    <row r="12897" spans="8:8" x14ac:dyDescent="0.25">
      <c r="H12897" t="s">
        <v>136</v>
      </c>
    </row>
    <row r="12898" spans="8:8" x14ac:dyDescent="0.25">
      <c r="H12898" t="s">
        <v>13600</v>
      </c>
    </row>
    <row r="12899" spans="8:8" x14ac:dyDescent="0.25">
      <c r="H12899" t="s">
        <v>30</v>
      </c>
    </row>
    <row r="12900" spans="8:8" x14ac:dyDescent="0.25">
      <c r="H12900" t="s">
        <v>137</v>
      </c>
    </row>
    <row r="12901" spans="8:8" x14ac:dyDescent="0.25">
      <c r="H12901" t="s">
        <v>13601</v>
      </c>
    </row>
    <row r="12902" spans="8:8" x14ac:dyDescent="0.25">
      <c r="H12902" t="s">
        <v>30</v>
      </c>
    </row>
    <row r="12903" spans="8:8" x14ac:dyDescent="0.25">
      <c r="H12903" t="s">
        <v>138</v>
      </c>
    </row>
    <row r="12904" spans="8:8" x14ac:dyDescent="0.25">
      <c r="H12904" t="s">
        <v>13602</v>
      </c>
    </row>
    <row r="12905" spans="8:8" x14ac:dyDescent="0.25">
      <c r="H12905" t="s">
        <v>30</v>
      </c>
    </row>
    <row r="12907" spans="8:8" x14ac:dyDescent="0.25">
      <c r="H12907" t="s">
        <v>13603</v>
      </c>
    </row>
    <row r="12908" spans="8:8" x14ac:dyDescent="0.25">
      <c r="H12908" t="s">
        <v>13604</v>
      </c>
    </row>
    <row r="12909" spans="8:8" x14ac:dyDescent="0.25">
      <c r="H12909" t="s">
        <v>135</v>
      </c>
    </row>
    <row r="12910" spans="8:8" x14ac:dyDescent="0.25">
      <c r="H12910" t="s">
        <v>13605</v>
      </c>
    </row>
    <row r="12911" spans="8:8" x14ac:dyDescent="0.25">
      <c r="H12911" t="s">
        <v>30</v>
      </c>
    </row>
    <row r="12912" spans="8:8" x14ac:dyDescent="0.25">
      <c r="H12912" t="s">
        <v>136</v>
      </c>
    </row>
    <row r="12913" spans="8:8" x14ac:dyDescent="0.25">
      <c r="H12913" t="s">
        <v>13606</v>
      </c>
    </row>
    <row r="12914" spans="8:8" x14ac:dyDescent="0.25">
      <c r="H12914" t="s">
        <v>30</v>
      </c>
    </row>
    <row r="12915" spans="8:8" x14ac:dyDescent="0.25">
      <c r="H12915" t="s">
        <v>137</v>
      </c>
    </row>
    <row r="12916" spans="8:8" x14ac:dyDescent="0.25">
      <c r="H12916" t="s">
        <v>13607</v>
      </c>
    </row>
    <row r="12917" spans="8:8" x14ac:dyDescent="0.25">
      <c r="H12917" t="s">
        <v>30</v>
      </c>
    </row>
    <row r="12918" spans="8:8" x14ac:dyDescent="0.25">
      <c r="H12918" t="s">
        <v>138</v>
      </c>
    </row>
    <row r="12919" spans="8:8" x14ac:dyDescent="0.25">
      <c r="H12919" t="s">
        <v>13608</v>
      </c>
    </row>
    <row r="12920" spans="8:8" x14ac:dyDescent="0.25">
      <c r="H12920" t="s">
        <v>30</v>
      </c>
    </row>
    <row r="12922" spans="8:8" x14ac:dyDescent="0.25">
      <c r="H12922" t="s">
        <v>13609</v>
      </c>
    </row>
    <row r="12923" spans="8:8" x14ac:dyDescent="0.25">
      <c r="H12923" t="s">
        <v>13610</v>
      </c>
    </row>
    <row r="12924" spans="8:8" x14ac:dyDescent="0.25">
      <c r="H12924" t="s">
        <v>135</v>
      </c>
    </row>
    <row r="12925" spans="8:8" x14ac:dyDescent="0.25">
      <c r="H12925" t="s">
        <v>13611</v>
      </c>
    </row>
    <row r="12926" spans="8:8" x14ac:dyDescent="0.25">
      <c r="H12926" t="s">
        <v>30</v>
      </c>
    </row>
    <row r="12927" spans="8:8" x14ac:dyDescent="0.25">
      <c r="H12927" t="s">
        <v>136</v>
      </c>
    </row>
    <row r="12928" spans="8:8" x14ac:dyDescent="0.25">
      <c r="H12928" t="s">
        <v>13612</v>
      </c>
    </row>
    <row r="12929" spans="8:8" x14ac:dyDescent="0.25">
      <c r="H12929" t="s">
        <v>30</v>
      </c>
    </row>
    <row r="12930" spans="8:8" x14ac:dyDescent="0.25">
      <c r="H12930" t="s">
        <v>137</v>
      </c>
    </row>
    <row r="12931" spans="8:8" x14ac:dyDescent="0.25">
      <c r="H12931" t="s">
        <v>13613</v>
      </c>
    </row>
    <row r="12932" spans="8:8" x14ac:dyDescent="0.25">
      <c r="H12932" t="s">
        <v>30</v>
      </c>
    </row>
    <row r="12933" spans="8:8" x14ac:dyDescent="0.25">
      <c r="H12933" t="s">
        <v>138</v>
      </c>
    </row>
    <row r="12934" spans="8:8" x14ac:dyDescent="0.25">
      <c r="H12934" t="s">
        <v>13614</v>
      </c>
    </row>
    <row r="12935" spans="8:8" x14ac:dyDescent="0.25">
      <c r="H12935" t="s">
        <v>30</v>
      </c>
    </row>
    <row r="12937" spans="8:8" x14ac:dyDescent="0.25">
      <c r="H12937" t="s">
        <v>13615</v>
      </c>
    </row>
    <row r="12938" spans="8:8" x14ac:dyDescent="0.25">
      <c r="H12938" t="s">
        <v>13616</v>
      </c>
    </row>
    <row r="12939" spans="8:8" x14ac:dyDescent="0.25">
      <c r="H12939" t="s">
        <v>135</v>
      </c>
    </row>
    <row r="12940" spans="8:8" x14ac:dyDescent="0.25">
      <c r="H12940" t="s">
        <v>13617</v>
      </c>
    </row>
    <row r="12941" spans="8:8" x14ac:dyDescent="0.25">
      <c r="H12941" t="s">
        <v>30</v>
      </c>
    </row>
    <row r="12942" spans="8:8" x14ac:dyDescent="0.25">
      <c r="H12942" t="s">
        <v>136</v>
      </c>
    </row>
    <row r="12943" spans="8:8" x14ac:dyDescent="0.25">
      <c r="H12943" t="s">
        <v>13618</v>
      </c>
    </row>
    <row r="12944" spans="8:8" x14ac:dyDescent="0.25">
      <c r="H12944" t="s">
        <v>30</v>
      </c>
    </row>
    <row r="12945" spans="8:8" x14ac:dyDescent="0.25">
      <c r="H12945" t="s">
        <v>137</v>
      </c>
    </row>
    <row r="12946" spans="8:8" x14ac:dyDescent="0.25">
      <c r="H12946" t="s">
        <v>13619</v>
      </c>
    </row>
    <row r="12947" spans="8:8" x14ac:dyDescent="0.25">
      <c r="H12947" t="s">
        <v>30</v>
      </c>
    </row>
    <row r="12948" spans="8:8" x14ac:dyDescent="0.25">
      <c r="H12948" t="s">
        <v>138</v>
      </c>
    </row>
    <row r="12949" spans="8:8" x14ac:dyDescent="0.25">
      <c r="H12949" t="s">
        <v>13620</v>
      </c>
    </row>
    <row r="12950" spans="8:8" x14ac:dyDescent="0.25">
      <c r="H12950" t="s">
        <v>30</v>
      </c>
    </row>
    <row r="12952" spans="8:8" x14ac:dyDescent="0.25">
      <c r="H12952" t="s">
        <v>13621</v>
      </c>
    </row>
    <row r="12953" spans="8:8" x14ac:dyDescent="0.25">
      <c r="H12953" t="s">
        <v>13622</v>
      </c>
    </row>
    <row r="12954" spans="8:8" x14ac:dyDescent="0.25">
      <c r="H12954" t="s">
        <v>135</v>
      </c>
    </row>
    <row r="12955" spans="8:8" x14ac:dyDescent="0.25">
      <c r="H12955" t="s">
        <v>13623</v>
      </c>
    </row>
    <row r="12956" spans="8:8" x14ac:dyDescent="0.25">
      <c r="H12956" t="s">
        <v>30</v>
      </c>
    </row>
    <row r="12957" spans="8:8" x14ac:dyDescent="0.25">
      <c r="H12957" t="s">
        <v>136</v>
      </c>
    </row>
    <row r="12958" spans="8:8" x14ac:dyDescent="0.25">
      <c r="H12958" t="s">
        <v>13624</v>
      </c>
    </row>
    <row r="12959" spans="8:8" x14ac:dyDescent="0.25">
      <c r="H12959" t="s">
        <v>30</v>
      </c>
    </row>
    <row r="12960" spans="8:8" x14ac:dyDescent="0.25">
      <c r="H12960" t="s">
        <v>137</v>
      </c>
    </row>
    <row r="12961" spans="8:8" x14ac:dyDescent="0.25">
      <c r="H12961" t="s">
        <v>13625</v>
      </c>
    </row>
    <row r="12962" spans="8:8" x14ac:dyDescent="0.25">
      <c r="H12962" t="s">
        <v>30</v>
      </c>
    </row>
    <row r="12963" spans="8:8" x14ac:dyDescent="0.25">
      <c r="H12963" t="s">
        <v>138</v>
      </c>
    </row>
    <row r="12964" spans="8:8" x14ac:dyDescent="0.25">
      <c r="H12964" t="s">
        <v>13626</v>
      </c>
    </row>
    <row r="12965" spans="8:8" x14ac:dyDescent="0.25">
      <c r="H12965" t="s">
        <v>30</v>
      </c>
    </row>
    <row r="12967" spans="8:8" x14ac:dyDescent="0.25">
      <c r="H12967" t="s">
        <v>13627</v>
      </c>
    </row>
    <row r="12968" spans="8:8" x14ac:dyDescent="0.25">
      <c r="H12968" t="s">
        <v>13628</v>
      </c>
    </row>
    <row r="12969" spans="8:8" x14ac:dyDescent="0.25">
      <c r="H12969" t="s">
        <v>135</v>
      </c>
    </row>
    <row r="12970" spans="8:8" x14ac:dyDescent="0.25">
      <c r="H12970" t="s">
        <v>13629</v>
      </c>
    </row>
    <row r="12971" spans="8:8" x14ac:dyDescent="0.25">
      <c r="H12971" t="s">
        <v>30</v>
      </c>
    </row>
    <row r="12972" spans="8:8" x14ac:dyDescent="0.25">
      <c r="H12972" t="s">
        <v>136</v>
      </c>
    </row>
    <row r="12973" spans="8:8" x14ac:dyDescent="0.25">
      <c r="H12973" t="s">
        <v>13630</v>
      </c>
    </row>
    <row r="12974" spans="8:8" x14ac:dyDescent="0.25">
      <c r="H12974" t="s">
        <v>30</v>
      </c>
    </row>
    <row r="12975" spans="8:8" x14ac:dyDescent="0.25">
      <c r="H12975" t="s">
        <v>137</v>
      </c>
    </row>
    <row r="12976" spans="8:8" x14ac:dyDescent="0.25">
      <c r="H12976" t="s">
        <v>13631</v>
      </c>
    </row>
    <row r="12977" spans="8:8" x14ac:dyDescent="0.25">
      <c r="H12977" t="s">
        <v>30</v>
      </c>
    </row>
    <row r="12978" spans="8:8" x14ac:dyDescent="0.25">
      <c r="H12978" t="s">
        <v>138</v>
      </c>
    </row>
    <row r="12979" spans="8:8" x14ac:dyDescent="0.25">
      <c r="H12979" t="s">
        <v>13632</v>
      </c>
    </row>
    <row r="12980" spans="8:8" x14ac:dyDescent="0.25">
      <c r="H12980" t="s">
        <v>30</v>
      </c>
    </row>
    <row r="12982" spans="8:8" x14ac:dyDescent="0.25">
      <c r="H12982" t="s">
        <v>13633</v>
      </c>
    </row>
    <row r="12983" spans="8:8" x14ac:dyDescent="0.25">
      <c r="H12983" t="s">
        <v>13634</v>
      </c>
    </row>
    <row r="12984" spans="8:8" x14ac:dyDescent="0.25">
      <c r="H12984" t="s">
        <v>135</v>
      </c>
    </row>
    <row r="12985" spans="8:8" x14ac:dyDescent="0.25">
      <c r="H12985" t="s">
        <v>13635</v>
      </c>
    </row>
    <row r="12986" spans="8:8" x14ac:dyDescent="0.25">
      <c r="H12986" t="s">
        <v>30</v>
      </c>
    </row>
    <row r="12987" spans="8:8" x14ac:dyDescent="0.25">
      <c r="H12987" t="s">
        <v>136</v>
      </c>
    </row>
    <row r="12988" spans="8:8" x14ac:dyDescent="0.25">
      <c r="H12988" t="s">
        <v>13636</v>
      </c>
    </row>
    <row r="12989" spans="8:8" x14ac:dyDescent="0.25">
      <c r="H12989" t="s">
        <v>30</v>
      </c>
    </row>
    <row r="12990" spans="8:8" x14ac:dyDescent="0.25">
      <c r="H12990" t="s">
        <v>137</v>
      </c>
    </row>
    <row r="12991" spans="8:8" x14ac:dyDescent="0.25">
      <c r="H12991" t="s">
        <v>13637</v>
      </c>
    </row>
    <row r="12992" spans="8:8" x14ac:dyDescent="0.25">
      <c r="H12992" t="s">
        <v>30</v>
      </c>
    </row>
    <row r="12993" spans="8:8" x14ac:dyDescent="0.25">
      <c r="H12993" t="s">
        <v>138</v>
      </c>
    </row>
    <row r="12994" spans="8:8" x14ac:dyDescent="0.25">
      <c r="H12994" t="s">
        <v>13638</v>
      </c>
    </row>
    <row r="12995" spans="8:8" x14ac:dyDescent="0.25">
      <c r="H12995" t="s">
        <v>30</v>
      </c>
    </row>
    <row r="12997" spans="8:8" x14ac:dyDescent="0.25">
      <c r="H12997" t="s">
        <v>13639</v>
      </c>
    </row>
    <row r="12998" spans="8:8" x14ac:dyDescent="0.25">
      <c r="H12998" t="s">
        <v>13640</v>
      </c>
    </row>
    <row r="12999" spans="8:8" x14ac:dyDescent="0.25">
      <c r="H12999" t="s">
        <v>135</v>
      </c>
    </row>
    <row r="13000" spans="8:8" x14ac:dyDescent="0.25">
      <c r="H13000" t="s">
        <v>13641</v>
      </c>
    </row>
    <row r="13001" spans="8:8" x14ac:dyDescent="0.25">
      <c r="H13001" t="s">
        <v>30</v>
      </c>
    </row>
    <row r="13002" spans="8:8" x14ac:dyDescent="0.25">
      <c r="H13002" t="s">
        <v>136</v>
      </c>
    </row>
    <row r="13003" spans="8:8" x14ac:dyDescent="0.25">
      <c r="H13003" t="s">
        <v>13642</v>
      </c>
    </row>
    <row r="13004" spans="8:8" x14ac:dyDescent="0.25">
      <c r="H13004" t="s">
        <v>30</v>
      </c>
    </row>
    <row r="13005" spans="8:8" x14ac:dyDescent="0.25">
      <c r="H13005" t="s">
        <v>137</v>
      </c>
    </row>
    <row r="13006" spans="8:8" x14ac:dyDescent="0.25">
      <c r="H13006" t="s">
        <v>13643</v>
      </c>
    </row>
    <row r="13007" spans="8:8" x14ac:dyDescent="0.25">
      <c r="H13007" t="s">
        <v>30</v>
      </c>
    </row>
    <row r="13008" spans="8:8" x14ac:dyDescent="0.25">
      <c r="H13008" t="s">
        <v>138</v>
      </c>
    </row>
    <row r="13009" spans="8:8" x14ac:dyDescent="0.25">
      <c r="H13009" t="s">
        <v>13644</v>
      </c>
    </row>
    <row r="13010" spans="8:8" x14ac:dyDescent="0.25">
      <c r="H13010" t="s">
        <v>30</v>
      </c>
    </row>
    <row r="13012" spans="8:8" x14ac:dyDescent="0.25">
      <c r="H13012" t="s">
        <v>13645</v>
      </c>
    </row>
    <row r="13013" spans="8:8" x14ac:dyDescent="0.25">
      <c r="H13013" t="s">
        <v>13646</v>
      </c>
    </row>
    <row r="13014" spans="8:8" x14ac:dyDescent="0.25">
      <c r="H13014" t="s">
        <v>135</v>
      </c>
    </row>
    <row r="13015" spans="8:8" x14ac:dyDescent="0.25">
      <c r="H13015" t="s">
        <v>13647</v>
      </c>
    </row>
    <row r="13016" spans="8:8" x14ac:dyDescent="0.25">
      <c r="H13016" t="s">
        <v>30</v>
      </c>
    </row>
    <row r="13017" spans="8:8" x14ac:dyDescent="0.25">
      <c r="H13017" t="s">
        <v>136</v>
      </c>
    </row>
    <row r="13018" spans="8:8" x14ac:dyDescent="0.25">
      <c r="H13018" t="s">
        <v>13648</v>
      </c>
    </row>
    <row r="13019" spans="8:8" x14ac:dyDescent="0.25">
      <c r="H13019" t="s">
        <v>30</v>
      </c>
    </row>
    <row r="13020" spans="8:8" x14ac:dyDescent="0.25">
      <c r="H13020" t="s">
        <v>137</v>
      </c>
    </row>
    <row r="13021" spans="8:8" x14ac:dyDescent="0.25">
      <c r="H13021" t="s">
        <v>13649</v>
      </c>
    </row>
    <row r="13022" spans="8:8" x14ac:dyDescent="0.25">
      <c r="H13022" t="s">
        <v>30</v>
      </c>
    </row>
    <row r="13023" spans="8:8" x14ac:dyDescent="0.25">
      <c r="H13023" t="s">
        <v>138</v>
      </c>
    </row>
    <row r="13024" spans="8:8" x14ac:dyDescent="0.25">
      <c r="H13024" t="s">
        <v>13650</v>
      </c>
    </row>
    <row r="13025" spans="8:8" x14ac:dyDescent="0.25">
      <c r="H13025" t="s">
        <v>30</v>
      </c>
    </row>
    <row r="13027" spans="8:8" x14ac:dyDescent="0.25">
      <c r="H13027" t="s">
        <v>13651</v>
      </c>
    </row>
    <row r="13028" spans="8:8" x14ac:dyDescent="0.25">
      <c r="H13028" t="s">
        <v>13652</v>
      </c>
    </row>
    <row r="13029" spans="8:8" x14ac:dyDescent="0.25">
      <c r="H13029" t="s">
        <v>135</v>
      </c>
    </row>
    <row r="13030" spans="8:8" x14ac:dyDescent="0.25">
      <c r="H13030" t="s">
        <v>13653</v>
      </c>
    </row>
    <row r="13031" spans="8:8" x14ac:dyDescent="0.25">
      <c r="H13031" t="s">
        <v>30</v>
      </c>
    </row>
    <row r="13032" spans="8:8" x14ac:dyDescent="0.25">
      <c r="H13032" t="s">
        <v>136</v>
      </c>
    </row>
    <row r="13033" spans="8:8" x14ac:dyDescent="0.25">
      <c r="H13033" t="s">
        <v>13654</v>
      </c>
    </row>
    <row r="13034" spans="8:8" x14ac:dyDescent="0.25">
      <c r="H13034" t="s">
        <v>30</v>
      </c>
    </row>
    <row r="13035" spans="8:8" x14ac:dyDescent="0.25">
      <c r="H13035" t="s">
        <v>137</v>
      </c>
    </row>
    <row r="13036" spans="8:8" x14ac:dyDescent="0.25">
      <c r="H13036" t="s">
        <v>13655</v>
      </c>
    </row>
    <row r="13037" spans="8:8" x14ac:dyDescent="0.25">
      <c r="H13037" t="s">
        <v>30</v>
      </c>
    </row>
    <row r="13038" spans="8:8" x14ac:dyDescent="0.25">
      <c r="H13038" t="s">
        <v>138</v>
      </c>
    </row>
    <row r="13039" spans="8:8" x14ac:dyDescent="0.25">
      <c r="H13039" t="s">
        <v>13656</v>
      </c>
    </row>
    <row r="13040" spans="8:8" x14ac:dyDescent="0.25">
      <c r="H13040" t="s">
        <v>30</v>
      </c>
    </row>
    <row r="13042" spans="8:8" x14ac:dyDescent="0.25">
      <c r="H13042" t="s">
        <v>13657</v>
      </c>
    </row>
    <row r="13043" spans="8:8" x14ac:dyDescent="0.25">
      <c r="H13043" t="s">
        <v>13658</v>
      </c>
    </row>
    <row r="13044" spans="8:8" x14ac:dyDescent="0.25">
      <c r="H13044" t="s">
        <v>135</v>
      </c>
    </row>
    <row r="13045" spans="8:8" x14ac:dyDescent="0.25">
      <c r="H13045" t="s">
        <v>13659</v>
      </c>
    </row>
    <row r="13046" spans="8:8" x14ac:dyDescent="0.25">
      <c r="H13046" t="s">
        <v>30</v>
      </c>
    </row>
    <row r="13047" spans="8:8" x14ac:dyDescent="0.25">
      <c r="H13047" t="s">
        <v>136</v>
      </c>
    </row>
    <row r="13048" spans="8:8" x14ac:dyDescent="0.25">
      <c r="H13048" t="s">
        <v>13660</v>
      </c>
    </row>
    <row r="13049" spans="8:8" x14ac:dyDescent="0.25">
      <c r="H13049" t="s">
        <v>30</v>
      </c>
    </row>
    <row r="13050" spans="8:8" x14ac:dyDescent="0.25">
      <c r="H13050" t="s">
        <v>137</v>
      </c>
    </row>
    <row r="13051" spans="8:8" x14ac:dyDescent="0.25">
      <c r="H13051" t="s">
        <v>13661</v>
      </c>
    </row>
    <row r="13052" spans="8:8" x14ac:dyDescent="0.25">
      <c r="H13052" t="s">
        <v>30</v>
      </c>
    </row>
    <row r="13053" spans="8:8" x14ac:dyDescent="0.25">
      <c r="H13053" t="s">
        <v>138</v>
      </c>
    </row>
    <row r="13054" spans="8:8" x14ac:dyDescent="0.25">
      <c r="H13054" t="s">
        <v>13662</v>
      </c>
    </row>
    <row r="13055" spans="8:8" x14ac:dyDescent="0.25">
      <c r="H13055" t="s">
        <v>30</v>
      </c>
    </row>
    <row r="13057" spans="8:8" x14ac:dyDescent="0.25">
      <c r="H13057" t="s">
        <v>13663</v>
      </c>
    </row>
    <row r="13058" spans="8:8" x14ac:dyDescent="0.25">
      <c r="H13058" t="s">
        <v>13664</v>
      </c>
    </row>
    <row r="13059" spans="8:8" x14ac:dyDescent="0.25">
      <c r="H13059" t="s">
        <v>135</v>
      </c>
    </row>
    <row r="13060" spans="8:8" x14ac:dyDescent="0.25">
      <c r="H13060" t="s">
        <v>13665</v>
      </c>
    </row>
    <row r="13061" spans="8:8" x14ac:dyDescent="0.25">
      <c r="H13061" t="s">
        <v>30</v>
      </c>
    </row>
    <row r="13062" spans="8:8" x14ac:dyDescent="0.25">
      <c r="H13062" t="s">
        <v>136</v>
      </c>
    </row>
    <row r="13063" spans="8:8" x14ac:dyDescent="0.25">
      <c r="H13063" t="s">
        <v>13666</v>
      </c>
    </row>
    <row r="13064" spans="8:8" x14ac:dyDescent="0.25">
      <c r="H13064" t="s">
        <v>30</v>
      </c>
    </row>
    <row r="13065" spans="8:8" x14ac:dyDescent="0.25">
      <c r="H13065" t="s">
        <v>137</v>
      </c>
    </row>
    <row r="13066" spans="8:8" x14ac:dyDescent="0.25">
      <c r="H13066" t="s">
        <v>13667</v>
      </c>
    </row>
    <row r="13067" spans="8:8" x14ac:dyDescent="0.25">
      <c r="H13067" t="s">
        <v>30</v>
      </c>
    </row>
    <row r="13068" spans="8:8" x14ac:dyDescent="0.25">
      <c r="H13068" t="s">
        <v>138</v>
      </c>
    </row>
    <row r="13069" spans="8:8" x14ac:dyDescent="0.25">
      <c r="H13069" t="s">
        <v>13668</v>
      </c>
    </row>
    <row r="13070" spans="8:8" x14ac:dyDescent="0.25">
      <c r="H13070" t="s">
        <v>30</v>
      </c>
    </row>
    <row r="13072" spans="8:8" x14ac:dyDescent="0.25">
      <c r="H13072" t="s">
        <v>13669</v>
      </c>
    </row>
    <row r="13073" spans="8:8" x14ac:dyDescent="0.25">
      <c r="H13073" t="s">
        <v>13670</v>
      </c>
    </row>
    <row r="13074" spans="8:8" x14ac:dyDescent="0.25">
      <c r="H13074" t="s">
        <v>135</v>
      </c>
    </row>
    <row r="13075" spans="8:8" x14ac:dyDescent="0.25">
      <c r="H13075" t="s">
        <v>13671</v>
      </c>
    </row>
    <row r="13076" spans="8:8" x14ac:dyDescent="0.25">
      <c r="H13076" t="s">
        <v>30</v>
      </c>
    </row>
    <row r="13077" spans="8:8" x14ac:dyDescent="0.25">
      <c r="H13077" t="s">
        <v>136</v>
      </c>
    </row>
    <row r="13078" spans="8:8" x14ac:dyDescent="0.25">
      <c r="H13078" t="s">
        <v>13672</v>
      </c>
    </row>
    <row r="13079" spans="8:8" x14ac:dyDescent="0.25">
      <c r="H13079" t="s">
        <v>30</v>
      </c>
    </row>
    <row r="13080" spans="8:8" x14ac:dyDescent="0.25">
      <c r="H13080" t="s">
        <v>137</v>
      </c>
    </row>
    <row r="13081" spans="8:8" x14ac:dyDescent="0.25">
      <c r="H13081" t="s">
        <v>13673</v>
      </c>
    </row>
    <row r="13082" spans="8:8" x14ac:dyDescent="0.25">
      <c r="H13082" t="s">
        <v>30</v>
      </c>
    </row>
    <row r="13083" spans="8:8" x14ac:dyDescent="0.25">
      <c r="H13083" t="s">
        <v>138</v>
      </c>
    </row>
    <row r="13084" spans="8:8" x14ac:dyDescent="0.25">
      <c r="H13084" t="s">
        <v>13674</v>
      </c>
    </row>
    <row r="13085" spans="8:8" x14ac:dyDescent="0.25">
      <c r="H13085" t="s">
        <v>30</v>
      </c>
    </row>
    <row r="13087" spans="8:8" x14ac:dyDescent="0.25">
      <c r="H13087" t="s">
        <v>13675</v>
      </c>
    </row>
    <row r="13088" spans="8:8" x14ac:dyDescent="0.25">
      <c r="H13088" t="s">
        <v>13676</v>
      </c>
    </row>
    <row r="13089" spans="8:8" x14ac:dyDescent="0.25">
      <c r="H13089" t="s">
        <v>135</v>
      </c>
    </row>
    <row r="13090" spans="8:8" x14ac:dyDescent="0.25">
      <c r="H13090" t="s">
        <v>13677</v>
      </c>
    </row>
    <row r="13091" spans="8:8" x14ac:dyDescent="0.25">
      <c r="H13091" t="s">
        <v>30</v>
      </c>
    </row>
    <row r="13092" spans="8:8" x14ac:dyDescent="0.25">
      <c r="H13092" t="s">
        <v>136</v>
      </c>
    </row>
    <row r="13093" spans="8:8" x14ac:dyDescent="0.25">
      <c r="H13093" t="s">
        <v>13678</v>
      </c>
    </row>
    <row r="13094" spans="8:8" x14ac:dyDescent="0.25">
      <c r="H13094" t="s">
        <v>30</v>
      </c>
    </row>
    <row r="13095" spans="8:8" x14ac:dyDescent="0.25">
      <c r="H13095" t="s">
        <v>137</v>
      </c>
    </row>
    <row r="13096" spans="8:8" x14ac:dyDescent="0.25">
      <c r="H13096" t="s">
        <v>13679</v>
      </c>
    </row>
    <row r="13097" spans="8:8" x14ac:dyDescent="0.25">
      <c r="H13097" t="s">
        <v>30</v>
      </c>
    </row>
    <row r="13098" spans="8:8" x14ac:dyDescent="0.25">
      <c r="H13098" t="s">
        <v>138</v>
      </c>
    </row>
    <row r="13099" spans="8:8" x14ac:dyDescent="0.25">
      <c r="H13099" t="s">
        <v>13680</v>
      </c>
    </row>
    <row r="13100" spans="8:8" x14ac:dyDescent="0.25">
      <c r="H13100" t="s">
        <v>30</v>
      </c>
    </row>
    <row r="13102" spans="8:8" x14ac:dyDescent="0.25">
      <c r="H13102" t="s">
        <v>13681</v>
      </c>
    </row>
    <row r="13103" spans="8:8" x14ac:dyDescent="0.25">
      <c r="H13103" t="s">
        <v>13682</v>
      </c>
    </row>
    <row r="13104" spans="8:8" x14ac:dyDescent="0.25">
      <c r="H13104" t="s">
        <v>135</v>
      </c>
    </row>
    <row r="13105" spans="8:8" x14ac:dyDescent="0.25">
      <c r="H13105" t="s">
        <v>13683</v>
      </c>
    </row>
    <row r="13106" spans="8:8" x14ac:dyDescent="0.25">
      <c r="H13106" t="s">
        <v>30</v>
      </c>
    </row>
    <row r="13107" spans="8:8" x14ac:dyDescent="0.25">
      <c r="H13107" t="s">
        <v>136</v>
      </c>
    </row>
    <row r="13108" spans="8:8" x14ac:dyDescent="0.25">
      <c r="H13108" t="s">
        <v>13684</v>
      </c>
    </row>
    <row r="13109" spans="8:8" x14ac:dyDescent="0.25">
      <c r="H13109" t="s">
        <v>30</v>
      </c>
    </row>
    <row r="13110" spans="8:8" x14ac:dyDescent="0.25">
      <c r="H13110" t="s">
        <v>137</v>
      </c>
    </row>
    <row r="13111" spans="8:8" x14ac:dyDescent="0.25">
      <c r="H13111" t="s">
        <v>13685</v>
      </c>
    </row>
    <row r="13112" spans="8:8" x14ac:dyDescent="0.25">
      <c r="H13112" t="s">
        <v>30</v>
      </c>
    </row>
    <row r="13113" spans="8:8" x14ac:dyDescent="0.25">
      <c r="H13113" t="s">
        <v>138</v>
      </c>
    </row>
    <row r="13114" spans="8:8" x14ac:dyDescent="0.25">
      <c r="H13114" t="s">
        <v>13686</v>
      </c>
    </row>
    <row r="13115" spans="8:8" x14ac:dyDescent="0.25">
      <c r="H13115" t="s">
        <v>30</v>
      </c>
    </row>
    <row r="13117" spans="8:8" x14ac:dyDescent="0.25">
      <c r="H13117" t="s">
        <v>13687</v>
      </c>
    </row>
    <row r="13118" spans="8:8" x14ac:dyDescent="0.25">
      <c r="H13118" t="s">
        <v>13688</v>
      </c>
    </row>
    <row r="13119" spans="8:8" x14ac:dyDescent="0.25">
      <c r="H13119" t="s">
        <v>135</v>
      </c>
    </row>
    <row r="13120" spans="8:8" x14ac:dyDescent="0.25">
      <c r="H13120" t="s">
        <v>13689</v>
      </c>
    </row>
    <row r="13121" spans="8:8" x14ac:dyDescent="0.25">
      <c r="H13121" t="s">
        <v>30</v>
      </c>
    </row>
    <row r="13122" spans="8:8" x14ac:dyDescent="0.25">
      <c r="H13122" t="s">
        <v>136</v>
      </c>
    </row>
    <row r="13123" spans="8:8" x14ac:dyDescent="0.25">
      <c r="H13123" t="s">
        <v>13690</v>
      </c>
    </row>
    <row r="13124" spans="8:8" x14ac:dyDescent="0.25">
      <c r="H13124" t="s">
        <v>30</v>
      </c>
    </row>
    <row r="13125" spans="8:8" x14ac:dyDescent="0.25">
      <c r="H13125" t="s">
        <v>137</v>
      </c>
    </row>
    <row r="13126" spans="8:8" x14ac:dyDescent="0.25">
      <c r="H13126" t="s">
        <v>13691</v>
      </c>
    </row>
    <row r="13127" spans="8:8" x14ac:dyDescent="0.25">
      <c r="H13127" t="s">
        <v>30</v>
      </c>
    </row>
    <row r="13128" spans="8:8" x14ac:dyDescent="0.25">
      <c r="H13128" t="s">
        <v>138</v>
      </c>
    </row>
    <row r="13129" spans="8:8" x14ac:dyDescent="0.25">
      <c r="H13129" t="s">
        <v>13692</v>
      </c>
    </row>
    <row r="13130" spans="8:8" x14ac:dyDescent="0.25">
      <c r="H13130" t="s">
        <v>30</v>
      </c>
    </row>
    <row r="13132" spans="8:8" x14ac:dyDescent="0.25">
      <c r="H13132" t="s">
        <v>13693</v>
      </c>
    </row>
    <row r="13133" spans="8:8" x14ac:dyDescent="0.25">
      <c r="H13133" t="s">
        <v>13694</v>
      </c>
    </row>
    <row r="13134" spans="8:8" x14ac:dyDescent="0.25">
      <c r="H13134" t="s">
        <v>135</v>
      </c>
    </row>
    <row r="13135" spans="8:8" x14ac:dyDescent="0.25">
      <c r="H13135" t="s">
        <v>13695</v>
      </c>
    </row>
    <row r="13136" spans="8:8" x14ac:dyDescent="0.25">
      <c r="H13136" t="s">
        <v>30</v>
      </c>
    </row>
    <row r="13137" spans="8:8" x14ac:dyDescent="0.25">
      <c r="H13137" t="s">
        <v>136</v>
      </c>
    </row>
    <row r="13138" spans="8:8" x14ac:dyDescent="0.25">
      <c r="H13138" t="s">
        <v>13696</v>
      </c>
    </row>
    <row r="13139" spans="8:8" x14ac:dyDescent="0.25">
      <c r="H13139" t="s">
        <v>30</v>
      </c>
    </row>
    <row r="13140" spans="8:8" x14ac:dyDescent="0.25">
      <c r="H13140" t="s">
        <v>137</v>
      </c>
    </row>
    <row r="13141" spans="8:8" x14ac:dyDescent="0.25">
      <c r="H13141" t="s">
        <v>13697</v>
      </c>
    </row>
    <row r="13142" spans="8:8" x14ac:dyDescent="0.25">
      <c r="H13142" t="s">
        <v>30</v>
      </c>
    </row>
    <row r="13143" spans="8:8" x14ac:dyDescent="0.25">
      <c r="H13143" t="s">
        <v>138</v>
      </c>
    </row>
    <row r="13144" spans="8:8" x14ac:dyDescent="0.25">
      <c r="H13144" t="s">
        <v>13698</v>
      </c>
    </row>
    <row r="13145" spans="8:8" x14ac:dyDescent="0.25">
      <c r="H13145" t="s">
        <v>30</v>
      </c>
    </row>
    <row r="13147" spans="8:8" x14ac:dyDescent="0.25">
      <c r="H13147" t="s">
        <v>13699</v>
      </c>
    </row>
    <row r="13148" spans="8:8" x14ac:dyDescent="0.25">
      <c r="H13148" t="s">
        <v>13700</v>
      </c>
    </row>
    <row r="13149" spans="8:8" x14ac:dyDescent="0.25">
      <c r="H13149" t="s">
        <v>135</v>
      </c>
    </row>
    <row r="13150" spans="8:8" x14ac:dyDescent="0.25">
      <c r="H13150" t="s">
        <v>13701</v>
      </c>
    </row>
    <row r="13151" spans="8:8" x14ac:dyDescent="0.25">
      <c r="H13151" t="s">
        <v>30</v>
      </c>
    </row>
    <row r="13152" spans="8:8" x14ac:dyDescent="0.25">
      <c r="H13152" t="s">
        <v>136</v>
      </c>
    </row>
    <row r="13153" spans="8:8" x14ac:dyDescent="0.25">
      <c r="H13153" t="s">
        <v>13702</v>
      </c>
    </row>
    <row r="13154" spans="8:8" x14ac:dyDescent="0.25">
      <c r="H13154" t="s">
        <v>30</v>
      </c>
    </row>
    <row r="13155" spans="8:8" x14ac:dyDescent="0.25">
      <c r="H13155" t="s">
        <v>137</v>
      </c>
    </row>
    <row r="13156" spans="8:8" x14ac:dyDescent="0.25">
      <c r="H13156" t="s">
        <v>13703</v>
      </c>
    </row>
    <row r="13157" spans="8:8" x14ac:dyDescent="0.25">
      <c r="H13157" t="s">
        <v>30</v>
      </c>
    </row>
    <row r="13158" spans="8:8" x14ac:dyDescent="0.25">
      <c r="H13158" t="s">
        <v>138</v>
      </c>
    </row>
    <row r="13159" spans="8:8" x14ac:dyDescent="0.25">
      <c r="H13159" t="s">
        <v>13704</v>
      </c>
    </row>
    <row r="13160" spans="8:8" x14ac:dyDescent="0.25">
      <c r="H13160" t="s">
        <v>30</v>
      </c>
    </row>
    <row r="13162" spans="8:8" x14ac:dyDescent="0.25">
      <c r="H13162" t="s">
        <v>13705</v>
      </c>
    </row>
    <row r="13163" spans="8:8" x14ac:dyDescent="0.25">
      <c r="H13163" t="s">
        <v>13706</v>
      </c>
    </row>
    <row r="13164" spans="8:8" x14ac:dyDescent="0.25">
      <c r="H13164" t="s">
        <v>135</v>
      </c>
    </row>
    <row r="13165" spans="8:8" x14ac:dyDescent="0.25">
      <c r="H13165" t="s">
        <v>13707</v>
      </c>
    </row>
    <row r="13166" spans="8:8" x14ac:dyDescent="0.25">
      <c r="H13166" t="s">
        <v>30</v>
      </c>
    </row>
    <row r="13167" spans="8:8" x14ac:dyDescent="0.25">
      <c r="H13167" t="s">
        <v>136</v>
      </c>
    </row>
    <row r="13168" spans="8:8" x14ac:dyDescent="0.25">
      <c r="H13168" t="s">
        <v>13708</v>
      </c>
    </row>
    <row r="13169" spans="8:8" x14ac:dyDescent="0.25">
      <c r="H13169" t="s">
        <v>30</v>
      </c>
    </row>
    <row r="13170" spans="8:8" x14ac:dyDescent="0.25">
      <c r="H13170" t="s">
        <v>137</v>
      </c>
    </row>
    <row r="13171" spans="8:8" x14ac:dyDescent="0.25">
      <c r="H13171" t="s">
        <v>13709</v>
      </c>
    </row>
    <row r="13172" spans="8:8" x14ac:dyDescent="0.25">
      <c r="H13172" t="s">
        <v>30</v>
      </c>
    </row>
    <row r="13173" spans="8:8" x14ac:dyDescent="0.25">
      <c r="H13173" t="s">
        <v>138</v>
      </c>
    </row>
    <row r="13174" spans="8:8" x14ac:dyDescent="0.25">
      <c r="H13174" t="s">
        <v>13710</v>
      </c>
    </row>
    <row r="13175" spans="8:8" x14ac:dyDescent="0.25">
      <c r="H13175" t="s">
        <v>30</v>
      </c>
    </row>
    <row r="13177" spans="8:8" x14ac:dyDescent="0.25">
      <c r="H13177" t="s">
        <v>13711</v>
      </c>
    </row>
    <row r="13178" spans="8:8" x14ac:dyDescent="0.25">
      <c r="H13178" t="s">
        <v>13712</v>
      </c>
    </row>
    <row r="13179" spans="8:8" x14ac:dyDescent="0.25">
      <c r="H13179" t="s">
        <v>135</v>
      </c>
    </row>
    <row r="13180" spans="8:8" x14ac:dyDescent="0.25">
      <c r="H13180" t="s">
        <v>13713</v>
      </c>
    </row>
    <row r="13181" spans="8:8" x14ac:dyDescent="0.25">
      <c r="H13181" t="s">
        <v>30</v>
      </c>
    </row>
    <row r="13182" spans="8:8" x14ac:dyDescent="0.25">
      <c r="H13182" t="s">
        <v>136</v>
      </c>
    </row>
    <row r="13183" spans="8:8" x14ac:dyDescent="0.25">
      <c r="H13183" t="s">
        <v>13714</v>
      </c>
    </row>
    <row r="13184" spans="8:8" x14ac:dyDescent="0.25">
      <c r="H13184" t="s">
        <v>30</v>
      </c>
    </row>
    <row r="13185" spans="8:8" x14ac:dyDescent="0.25">
      <c r="H13185" t="s">
        <v>137</v>
      </c>
    </row>
    <row r="13186" spans="8:8" x14ac:dyDescent="0.25">
      <c r="H13186" t="s">
        <v>13715</v>
      </c>
    </row>
    <row r="13187" spans="8:8" x14ac:dyDescent="0.25">
      <c r="H13187" t="s">
        <v>30</v>
      </c>
    </row>
    <row r="13188" spans="8:8" x14ac:dyDescent="0.25">
      <c r="H13188" t="s">
        <v>138</v>
      </c>
    </row>
    <row r="13189" spans="8:8" x14ac:dyDescent="0.25">
      <c r="H13189" t="s">
        <v>13716</v>
      </c>
    </row>
    <row r="13190" spans="8:8" x14ac:dyDescent="0.25">
      <c r="H13190" t="s">
        <v>30</v>
      </c>
    </row>
    <row r="13192" spans="8:8" x14ac:dyDescent="0.25">
      <c r="H13192" t="s">
        <v>13717</v>
      </c>
    </row>
    <row r="13193" spans="8:8" x14ac:dyDescent="0.25">
      <c r="H13193" t="s">
        <v>13718</v>
      </c>
    </row>
    <row r="13194" spans="8:8" x14ac:dyDescent="0.25">
      <c r="H13194" t="s">
        <v>135</v>
      </c>
    </row>
    <row r="13195" spans="8:8" x14ac:dyDescent="0.25">
      <c r="H13195" t="s">
        <v>13719</v>
      </c>
    </row>
    <row r="13196" spans="8:8" x14ac:dyDescent="0.25">
      <c r="H13196" t="s">
        <v>30</v>
      </c>
    </row>
    <row r="13197" spans="8:8" x14ac:dyDescent="0.25">
      <c r="H13197" t="s">
        <v>136</v>
      </c>
    </row>
    <row r="13198" spans="8:8" x14ac:dyDescent="0.25">
      <c r="H13198" t="s">
        <v>13720</v>
      </c>
    </row>
    <row r="13199" spans="8:8" x14ac:dyDescent="0.25">
      <c r="H13199" t="s">
        <v>30</v>
      </c>
    </row>
    <row r="13200" spans="8:8" x14ac:dyDescent="0.25">
      <c r="H13200" t="s">
        <v>137</v>
      </c>
    </row>
    <row r="13201" spans="8:8" x14ac:dyDescent="0.25">
      <c r="H13201" t="s">
        <v>13721</v>
      </c>
    </row>
    <row r="13202" spans="8:8" x14ac:dyDescent="0.25">
      <c r="H13202" t="s">
        <v>30</v>
      </c>
    </row>
    <row r="13203" spans="8:8" x14ac:dyDescent="0.25">
      <c r="H13203" t="s">
        <v>138</v>
      </c>
    </row>
    <row r="13204" spans="8:8" x14ac:dyDescent="0.25">
      <c r="H13204" t="s">
        <v>13722</v>
      </c>
    </row>
    <row r="13205" spans="8:8" x14ac:dyDescent="0.25">
      <c r="H13205" t="s">
        <v>30</v>
      </c>
    </row>
    <row r="13207" spans="8:8" x14ac:dyDescent="0.25">
      <c r="H13207" t="s">
        <v>13723</v>
      </c>
    </row>
    <row r="13208" spans="8:8" x14ac:dyDescent="0.25">
      <c r="H13208" t="s">
        <v>13724</v>
      </c>
    </row>
    <row r="13209" spans="8:8" x14ac:dyDescent="0.25">
      <c r="H13209" t="s">
        <v>135</v>
      </c>
    </row>
    <row r="13210" spans="8:8" x14ac:dyDescent="0.25">
      <c r="H13210" t="s">
        <v>13725</v>
      </c>
    </row>
    <row r="13211" spans="8:8" x14ac:dyDescent="0.25">
      <c r="H13211" t="s">
        <v>30</v>
      </c>
    </row>
    <row r="13212" spans="8:8" x14ac:dyDescent="0.25">
      <c r="H13212" t="s">
        <v>136</v>
      </c>
    </row>
    <row r="13213" spans="8:8" x14ac:dyDescent="0.25">
      <c r="H13213" t="s">
        <v>13726</v>
      </c>
    </row>
    <row r="13214" spans="8:8" x14ac:dyDescent="0.25">
      <c r="H13214" t="s">
        <v>30</v>
      </c>
    </row>
    <row r="13215" spans="8:8" x14ac:dyDescent="0.25">
      <c r="H13215" t="s">
        <v>137</v>
      </c>
    </row>
    <row r="13216" spans="8:8" x14ac:dyDescent="0.25">
      <c r="H13216" t="s">
        <v>13727</v>
      </c>
    </row>
    <row r="13217" spans="8:8" x14ac:dyDescent="0.25">
      <c r="H13217" t="s">
        <v>30</v>
      </c>
    </row>
    <row r="13218" spans="8:8" x14ac:dyDescent="0.25">
      <c r="H13218" t="s">
        <v>138</v>
      </c>
    </row>
    <row r="13219" spans="8:8" x14ac:dyDescent="0.25">
      <c r="H13219" t="s">
        <v>13728</v>
      </c>
    </row>
    <row r="13220" spans="8:8" x14ac:dyDescent="0.25">
      <c r="H13220" t="s">
        <v>30</v>
      </c>
    </row>
    <row r="13222" spans="8:8" x14ac:dyDescent="0.25">
      <c r="H13222" t="s">
        <v>13729</v>
      </c>
    </row>
    <row r="13223" spans="8:8" x14ac:dyDescent="0.25">
      <c r="H13223" t="s">
        <v>13730</v>
      </c>
    </row>
    <row r="13224" spans="8:8" x14ac:dyDescent="0.25">
      <c r="H13224" t="s">
        <v>135</v>
      </c>
    </row>
    <row r="13225" spans="8:8" x14ac:dyDescent="0.25">
      <c r="H13225" t="s">
        <v>13731</v>
      </c>
    </row>
    <row r="13226" spans="8:8" x14ac:dyDescent="0.25">
      <c r="H13226" t="s">
        <v>30</v>
      </c>
    </row>
    <row r="13227" spans="8:8" x14ac:dyDescent="0.25">
      <c r="H13227" t="s">
        <v>136</v>
      </c>
    </row>
    <row r="13228" spans="8:8" x14ac:dyDescent="0.25">
      <c r="H13228" t="s">
        <v>13732</v>
      </c>
    </row>
    <row r="13229" spans="8:8" x14ac:dyDescent="0.25">
      <c r="H13229" t="s">
        <v>30</v>
      </c>
    </row>
    <row r="13230" spans="8:8" x14ac:dyDescent="0.25">
      <c r="H13230" t="s">
        <v>137</v>
      </c>
    </row>
    <row r="13231" spans="8:8" x14ac:dyDescent="0.25">
      <c r="H13231" t="s">
        <v>13733</v>
      </c>
    </row>
    <row r="13232" spans="8:8" x14ac:dyDescent="0.25">
      <c r="H13232" t="s">
        <v>30</v>
      </c>
    </row>
    <row r="13233" spans="8:8" x14ac:dyDescent="0.25">
      <c r="H13233" t="s">
        <v>138</v>
      </c>
    </row>
    <row r="13234" spans="8:8" x14ac:dyDescent="0.25">
      <c r="H13234" t="s">
        <v>13734</v>
      </c>
    </row>
    <row r="13235" spans="8:8" x14ac:dyDescent="0.25">
      <c r="H13235" t="s">
        <v>30</v>
      </c>
    </row>
    <row r="13237" spans="8:8" x14ac:dyDescent="0.25">
      <c r="H13237" t="s">
        <v>13735</v>
      </c>
    </row>
    <row r="13238" spans="8:8" x14ac:dyDescent="0.25">
      <c r="H13238" t="s">
        <v>13736</v>
      </c>
    </row>
    <row r="13239" spans="8:8" x14ac:dyDescent="0.25">
      <c r="H13239" t="s">
        <v>135</v>
      </c>
    </row>
    <row r="13240" spans="8:8" x14ac:dyDescent="0.25">
      <c r="H13240" t="s">
        <v>13737</v>
      </c>
    </row>
    <row r="13241" spans="8:8" x14ac:dyDescent="0.25">
      <c r="H13241" t="s">
        <v>30</v>
      </c>
    </row>
    <row r="13242" spans="8:8" x14ac:dyDescent="0.25">
      <c r="H13242" t="s">
        <v>136</v>
      </c>
    </row>
    <row r="13243" spans="8:8" x14ac:dyDescent="0.25">
      <c r="H13243" t="s">
        <v>13738</v>
      </c>
    </row>
    <row r="13244" spans="8:8" x14ac:dyDescent="0.25">
      <c r="H13244" t="s">
        <v>30</v>
      </c>
    </row>
    <row r="13245" spans="8:8" x14ac:dyDescent="0.25">
      <c r="H13245" t="s">
        <v>137</v>
      </c>
    </row>
    <row r="13246" spans="8:8" x14ac:dyDescent="0.25">
      <c r="H13246" t="s">
        <v>13739</v>
      </c>
    </row>
    <row r="13247" spans="8:8" x14ac:dyDescent="0.25">
      <c r="H13247" t="s">
        <v>30</v>
      </c>
    </row>
    <row r="13248" spans="8:8" x14ac:dyDescent="0.25">
      <c r="H13248" t="s">
        <v>138</v>
      </c>
    </row>
    <row r="13249" spans="8:8" x14ac:dyDescent="0.25">
      <c r="H13249" t="s">
        <v>13740</v>
      </c>
    </row>
    <row r="13250" spans="8:8" x14ac:dyDescent="0.25">
      <c r="H13250" t="s">
        <v>30</v>
      </c>
    </row>
    <row r="13252" spans="8:8" x14ac:dyDescent="0.25">
      <c r="H13252" t="s">
        <v>13741</v>
      </c>
    </row>
    <row r="13253" spans="8:8" x14ac:dyDescent="0.25">
      <c r="H13253" t="s">
        <v>13742</v>
      </c>
    </row>
    <row r="13254" spans="8:8" x14ac:dyDescent="0.25">
      <c r="H13254" t="s">
        <v>135</v>
      </c>
    </row>
    <row r="13255" spans="8:8" x14ac:dyDescent="0.25">
      <c r="H13255" t="s">
        <v>13743</v>
      </c>
    </row>
    <row r="13256" spans="8:8" x14ac:dyDescent="0.25">
      <c r="H13256" t="s">
        <v>30</v>
      </c>
    </row>
    <row r="13257" spans="8:8" x14ac:dyDescent="0.25">
      <c r="H13257" t="s">
        <v>136</v>
      </c>
    </row>
    <row r="13258" spans="8:8" x14ac:dyDescent="0.25">
      <c r="H13258" t="s">
        <v>13744</v>
      </c>
    </row>
    <row r="13259" spans="8:8" x14ac:dyDescent="0.25">
      <c r="H13259" t="s">
        <v>30</v>
      </c>
    </row>
    <row r="13260" spans="8:8" x14ac:dyDescent="0.25">
      <c r="H13260" t="s">
        <v>137</v>
      </c>
    </row>
    <row r="13261" spans="8:8" x14ac:dyDescent="0.25">
      <c r="H13261" t="s">
        <v>13745</v>
      </c>
    </row>
    <row r="13262" spans="8:8" x14ac:dyDescent="0.25">
      <c r="H13262" t="s">
        <v>30</v>
      </c>
    </row>
    <row r="13263" spans="8:8" x14ac:dyDescent="0.25">
      <c r="H13263" t="s">
        <v>138</v>
      </c>
    </row>
    <row r="13264" spans="8:8" x14ac:dyDescent="0.25">
      <c r="H13264" t="s">
        <v>13746</v>
      </c>
    </row>
    <row r="13265" spans="8:8" x14ac:dyDescent="0.25">
      <c r="H13265" t="s">
        <v>30</v>
      </c>
    </row>
    <row r="13267" spans="8:8" x14ac:dyDescent="0.25">
      <c r="H13267" t="s">
        <v>13747</v>
      </c>
    </row>
    <row r="13268" spans="8:8" x14ac:dyDescent="0.25">
      <c r="H13268" t="s">
        <v>13748</v>
      </c>
    </row>
    <row r="13269" spans="8:8" x14ac:dyDescent="0.25">
      <c r="H13269" t="s">
        <v>135</v>
      </c>
    </row>
    <row r="13270" spans="8:8" x14ac:dyDescent="0.25">
      <c r="H13270" t="s">
        <v>13749</v>
      </c>
    </row>
    <row r="13271" spans="8:8" x14ac:dyDescent="0.25">
      <c r="H13271" t="s">
        <v>30</v>
      </c>
    </row>
    <row r="13272" spans="8:8" x14ac:dyDescent="0.25">
      <c r="H13272" t="s">
        <v>136</v>
      </c>
    </row>
    <row r="13273" spans="8:8" x14ac:dyDescent="0.25">
      <c r="H13273" t="s">
        <v>13750</v>
      </c>
    </row>
    <row r="13274" spans="8:8" x14ac:dyDescent="0.25">
      <c r="H13274" t="s">
        <v>30</v>
      </c>
    </row>
    <row r="13275" spans="8:8" x14ac:dyDescent="0.25">
      <c r="H13275" t="s">
        <v>137</v>
      </c>
    </row>
    <row r="13276" spans="8:8" x14ac:dyDescent="0.25">
      <c r="H13276" t="s">
        <v>13751</v>
      </c>
    </row>
    <row r="13277" spans="8:8" x14ac:dyDescent="0.25">
      <c r="H13277" t="s">
        <v>30</v>
      </c>
    </row>
    <row r="13278" spans="8:8" x14ac:dyDescent="0.25">
      <c r="H13278" t="s">
        <v>138</v>
      </c>
    </row>
    <row r="13279" spans="8:8" x14ac:dyDescent="0.25">
      <c r="H13279" t="s">
        <v>13752</v>
      </c>
    </row>
    <row r="13280" spans="8:8" x14ac:dyDescent="0.25">
      <c r="H13280" t="s">
        <v>30</v>
      </c>
    </row>
    <row r="13282" spans="8:8" x14ac:dyDescent="0.25">
      <c r="H13282" t="s">
        <v>13753</v>
      </c>
    </row>
    <row r="13283" spans="8:8" x14ac:dyDescent="0.25">
      <c r="H13283" t="s">
        <v>13754</v>
      </c>
    </row>
    <row r="13284" spans="8:8" x14ac:dyDescent="0.25">
      <c r="H13284" t="s">
        <v>135</v>
      </c>
    </row>
    <row r="13285" spans="8:8" x14ac:dyDescent="0.25">
      <c r="H13285" t="s">
        <v>13755</v>
      </c>
    </row>
    <row r="13286" spans="8:8" x14ac:dyDescent="0.25">
      <c r="H13286" t="s">
        <v>30</v>
      </c>
    </row>
    <row r="13287" spans="8:8" x14ac:dyDescent="0.25">
      <c r="H13287" t="s">
        <v>136</v>
      </c>
    </row>
    <row r="13288" spans="8:8" x14ac:dyDescent="0.25">
      <c r="H13288" t="s">
        <v>13756</v>
      </c>
    </row>
    <row r="13289" spans="8:8" x14ac:dyDescent="0.25">
      <c r="H13289" t="s">
        <v>30</v>
      </c>
    </row>
    <row r="13290" spans="8:8" x14ac:dyDescent="0.25">
      <c r="H13290" t="s">
        <v>137</v>
      </c>
    </row>
    <row r="13291" spans="8:8" x14ac:dyDescent="0.25">
      <c r="H13291" t="s">
        <v>13757</v>
      </c>
    </row>
    <row r="13292" spans="8:8" x14ac:dyDescent="0.25">
      <c r="H13292" t="s">
        <v>30</v>
      </c>
    </row>
    <row r="13293" spans="8:8" x14ac:dyDescent="0.25">
      <c r="H13293" t="s">
        <v>138</v>
      </c>
    </row>
    <row r="13294" spans="8:8" x14ac:dyDescent="0.25">
      <c r="H13294" t="s">
        <v>13758</v>
      </c>
    </row>
    <row r="13295" spans="8:8" x14ac:dyDescent="0.25">
      <c r="H13295" t="s">
        <v>30</v>
      </c>
    </row>
    <row r="13297" spans="8:8" x14ac:dyDescent="0.25">
      <c r="H13297" t="s">
        <v>13759</v>
      </c>
    </row>
    <row r="13298" spans="8:8" x14ac:dyDescent="0.25">
      <c r="H13298" t="s">
        <v>13760</v>
      </c>
    </row>
    <row r="13299" spans="8:8" x14ac:dyDescent="0.25">
      <c r="H13299" t="s">
        <v>135</v>
      </c>
    </row>
    <row r="13300" spans="8:8" x14ac:dyDescent="0.25">
      <c r="H13300" t="s">
        <v>13761</v>
      </c>
    </row>
    <row r="13301" spans="8:8" x14ac:dyDescent="0.25">
      <c r="H13301" t="s">
        <v>30</v>
      </c>
    </row>
    <row r="13302" spans="8:8" x14ac:dyDescent="0.25">
      <c r="H13302" t="s">
        <v>136</v>
      </c>
    </row>
    <row r="13303" spans="8:8" x14ac:dyDescent="0.25">
      <c r="H13303" t="s">
        <v>13762</v>
      </c>
    </row>
    <row r="13304" spans="8:8" x14ac:dyDescent="0.25">
      <c r="H13304" t="s">
        <v>30</v>
      </c>
    </row>
    <row r="13305" spans="8:8" x14ac:dyDescent="0.25">
      <c r="H13305" t="s">
        <v>137</v>
      </c>
    </row>
    <row r="13306" spans="8:8" x14ac:dyDescent="0.25">
      <c r="H13306" t="s">
        <v>13763</v>
      </c>
    </row>
    <row r="13307" spans="8:8" x14ac:dyDescent="0.25">
      <c r="H13307" t="s">
        <v>30</v>
      </c>
    </row>
    <row r="13308" spans="8:8" x14ac:dyDescent="0.25">
      <c r="H13308" t="s">
        <v>138</v>
      </c>
    </row>
    <row r="13309" spans="8:8" x14ac:dyDescent="0.25">
      <c r="H13309" t="s">
        <v>13764</v>
      </c>
    </row>
    <row r="13310" spans="8:8" x14ac:dyDescent="0.25">
      <c r="H13310" t="s">
        <v>30</v>
      </c>
    </row>
    <row r="13312" spans="8:8" x14ac:dyDescent="0.25">
      <c r="H13312" t="s">
        <v>13765</v>
      </c>
    </row>
    <row r="13313" spans="8:8" x14ac:dyDescent="0.25">
      <c r="H13313" t="s">
        <v>13766</v>
      </c>
    </row>
    <row r="13314" spans="8:8" x14ac:dyDescent="0.25">
      <c r="H13314" t="s">
        <v>135</v>
      </c>
    </row>
    <row r="13315" spans="8:8" x14ac:dyDescent="0.25">
      <c r="H13315" t="s">
        <v>13767</v>
      </c>
    </row>
    <row r="13316" spans="8:8" x14ac:dyDescent="0.25">
      <c r="H13316" t="s">
        <v>30</v>
      </c>
    </row>
    <row r="13317" spans="8:8" x14ac:dyDescent="0.25">
      <c r="H13317" t="s">
        <v>136</v>
      </c>
    </row>
    <row r="13318" spans="8:8" x14ac:dyDescent="0.25">
      <c r="H13318" t="s">
        <v>13768</v>
      </c>
    </row>
    <row r="13319" spans="8:8" x14ac:dyDescent="0.25">
      <c r="H13319" t="s">
        <v>30</v>
      </c>
    </row>
    <row r="13320" spans="8:8" x14ac:dyDescent="0.25">
      <c r="H13320" t="s">
        <v>137</v>
      </c>
    </row>
    <row r="13321" spans="8:8" x14ac:dyDescent="0.25">
      <c r="H13321" t="s">
        <v>13769</v>
      </c>
    </row>
    <row r="13322" spans="8:8" x14ac:dyDescent="0.25">
      <c r="H13322" t="s">
        <v>30</v>
      </c>
    </row>
    <row r="13323" spans="8:8" x14ac:dyDescent="0.25">
      <c r="H13323" t="s">
        <v>138</v>
      </c>
    </row>
    <row r="13324" spans="8:8" x14ac:dyDescent="0.25">
      <c r="H13324" t="s">
        <v>13770</v>
      </c>
    </row>
    <row r="13325" spans="8:8" x14ac:dyDescent="0.25">
      <c r="H13325" t="s">
        <v>30</v>
      </c>
    </row>
    <row r="13327" spans="8:8" x14ac:dyDescent="0.25">
      <c r="H13327" t="s">
        <v>13771</v>
      </c>
    </row>
    <row r="13328" spans="8:8" x14ac:dyDescent="0.25">
      <c r="H13328" t="s">
        <v>13772</v>
      </c>
    </row>
    <row r="13329" spans="8:8" x14ac:dyDescent="0.25">
      <c r="H13329" t="s">
        <v>135</v>
      </c>
    </row>
    <row r="13330" spans="8:8" x14ac:dyDescent="0.25">
      <c r="H13330" t="s">
        <v>13773</v>
      </c>
    </row>
    <row r="13331" spans="8:8" x14ac:dyDescent="0.25">
      <c r="H13331" t="s">
        <v>30</v>
      </c>
    </row>
    <row r="13332" spans="8:8" x14ac:dyDescent="0.25">
      <c r="H13332" t="s">
        <v>136</v>
      </c>
    </row>
    <row r="13333" spans="8:8" x14ac:dyDescent="0.25">
      <c r="H13333" t="s">
        <v>13774</v>
      </c>
    </row>
    <row r="13334" spans="8:8" x14ac:dyDescent="0.25">
      <c r="H13334" t="s">
        <v>30</v>
      </c>
    </row>
    <row r="13335" spans="8:8" x14ac:dyDescent="0.25">
      <c r="H13335" t="s">
        <v>137</v>
      </c>
    </row>
    <row r="13336" spans="8:8" x14ac:dyDescent="0.25">
      <c r="H13336" t="s">
        <v>13775</v>
      </c>
    </row>
    <row r="13337" spans="8:8" x14ac:dyDescent="0.25">
      <c r="H13337" t="s">
        <v>30</v>
      </c>
    </row>
    <row r="13338" spans="8:8" x14ac:dyDescent="0.25">
      <c r="H13338" t="s">
        <v>138</v>
      </c>
    </row>
    <row r="13339" spans="8:8" x14ac:dyDescent="0.25">
      <c r="H13339" t="s">
        <v>13776</v>
      </c>
    </row>
    <row r="13340" spans="8:8" x14ac:dyDescent="0.25">
      <c r="H13340" t="s">
        <v>30</v>
      </c>
    </row>
    <row r="13342" spans="8:8" x14ac:dyDescent="0.25">
      <c r="H13342" t="s">
        <v>13777</v>
      </c>
    </row>
    <row r="13343" spans="8:8" x14ac:dyDescent="0.25">
      <c r="H13343" t="s">
        <v>13778</v>
      </c>
    </row>
    <row r="13344" spans="8:8" x14ac:dyDescent="0.25">
      <c r="H13344" t="s">
        <v>135</v>
      </c>
    </row>
    <row r="13345" spans="8:8" x14ac:dyDescent="0.25">
      <c r="H13345" t="s">
        <v>13779</v>
      </c>
    </row>
    <row r="13346" spans="8:8" x14ac:dyDescent="0.25">
      <c r="H13346" t="s">
        <v>30</v>
      </c>
    </row>
    <row r="13347" spans="8:8" x14ac:dyDescent="0.25">
      <c r="H13347" t="s">
        <v>136</v>
      </c>
    </row>
    <row r="13348" spans="8:8" x14ac:dyDescent="0.25">
      <c r="H13348" t="s">
        <v>13780</v>
      </c>
    </row>
    <row r="13349" spans="8:8" x14ac:dyDescent="0.25">
      <c r="H13349" t="s">
        <v>30</v>
      </c>
    </row>
    <row r="13350" spans="8:8" x14ac:dyDescent="0.25">
      <c r="H13350" t="s">
        <v>137</v>
      </c>
    </row>
    <row r="13351" spans="8:8" x14ac:dyDescent="0.25">
      <c r="H13351" t="s">
        <v>13781</v>
      </c>
    </row>
    <row r="13352" spans="8:8" x14ac:dyDescent="0.25">
      <c r="H13352" t="s">
        <v>30</v>
      </c>
    </row>
    <row r="13353" spans="8:8" x14ac:dyDescent="0.25">
      <c r="H13353" t="s">
        <v>138</v>
      </c>
    </row>
    <row r="13354" spans="8:8" x14ac:dyDescent="0.25">
      <c r="H13354" t="s">
        <v>13782</v>
      </c>
    </row>
    <row r="13355" spans="8:8" x14ac:dyDescent="0.25">
      <c r="H13355" t="s">
        <v>30</v>
      </c>
    </row>
    <row r="13357" spans="8:8" x14ac:dyDescent="0.25">
      <c r="H13357" t="s">
        <v>13783</v>
      </c>
    </row>
    <row r="13358" spans="8:8" x14ac:dyDescent="0.25">
      <c r="H13358" t="s">
        <v>13784</v>
      </c>
    </row>
    <row r="13359" spans="8:8" x14ac:dyDescent="0.25">
      <c r="H13359" t="s">
        <v>135</v>
      </c>
    </row>
    <row r="13360" spans="8:8" x14ac:dyDescent="0.25">
      <c r="H13360" t="s">
        <v>13785</v>
      </c>
    </row>
    <row r="13361" spans="8:8" x14ac:dyDescent="0.25">
      <c r="H13361" t="s">
        <v>30</v>
      </c>
    </row>
    <row r="13362" spans="8:8" x14ac:dyDescent="0.25">
      <c r="H13362" t="s">
        <v>136</v>
      </c>
    </row>
    <row r="13363" spans="8:8" x14ac:dyDescent="0.25">
      <c r="H13363" t="s">
        <v>13786</v>
      </c>
    </row>
    <row r="13364" spans="8:8" x14ac:dyDescent="0.25">
      <c r="H13364" t="s">
        <v>30</v>
      </c>
    </row>
    <row r="13365" spans="8:8" x14ac:dyDescent="0.25">
      <c r="H13365" t="s">
        <v>137</v>
      </c>
    </row>
    <row r="13366" spans="8:8" x14ac:dyDescent="0.25">
      <c r="H13366" t="s">
        <v>13787</v>
      </c>
    </row>
    <row r="13367" spans="8:8" x14ac:dyDescent="0.25">
      <c r="H13367" t="s">
        <v>30</v>
      </c>
    </row>
    <row r="13368" spans="8:8" x14ac:dyDescent="0.25">
      <c r="H13368" t="s">
        <v>138</v>
      </c>
    </row>
    <row r="13369" spans="8:8" x14ac:dyDescent="0.25">
      <c r="H13369" t="s">
        <v>13788</v>
      </c>
    </row>
    <row r="13370" spans="8:8" x14ac:dyDescent="0.25">
      <c r="H13370" t="s">
        <v>30</v>
      </c>
    </row>
    <row r="13372" spans="8:8" x14ac:dyDescent="0.25">
      <c r="H13372" t="s">
        <v>13789</v>
      </c>
    </row>
    <row r="13373" spans="8:8" x14ac:dyDescent="0.25">
      <c r="H13373" t="s">
        <v>13790</v>
      </c>
    </row>
    <row r="13374" spans="8:8" x14ac:dyDescent="0.25">
      <c r="H13374" t="s">
        <v>135</v>
      </c>
    </row>
    <row r="13375" spans="8:8" x14ac:dyDescent="0.25">
      <c r="H13375" t="s">
        <v>13791</v>
      </c>
    </row>
    <row r="13376" spans="8:8" x14ac:dyDescent="0.25">
      <c r="H13376" t="s">
        <v>30</v>
      </c>
    </row>
    <row r="13377" spans="8:8" x14ac:dyDescent="0.25">
      <c r="H13377" t="s">
        <v>136</v>
      </c>
    </row>
    <row r="13378" spans="8:8" x14ac:dyDescent="0.25">
      <c r="H13378" t="s">
        <v>13792</v>
      </c>
    </row>
    <row r="13379" spans="8:8" x14ac:dyDescent="0.25">
      <c r="H13379" t="s">
        <v>30</v>
      </c>
    </row>
    <row r="13380" spans="8:8" x14ac:dyDescent="0.25">
      <c r="H13380" t="s">
        <v>137</v>
      </c>
    </row>
    <row r="13381" spans="8:8" x14ac:dyDescent="0.25">
      <c r="H13381" t="s">
        <v>13793</v>
      </c>
    </row>
    <row r="13382" spans="8:8" x14ac:dyDescent="0.25">
      <c r="H13382" t="s">
        <v>30</v>
      </c>
    </row>
    <row r="13383" spans="8:8" x14ac:dyDescent="0.25">
      <c r="H13383" t="s">
        <v>138</v>
      </c>
    </row>
    <row r="13384" spans="8:8" x14ac:dyDescent="0.25">
      <c r="H13384" t="s">
        <v>13794</v>
      </c>
    </row>
    <row r="13385" spans="8:8" x14ac:dyDescent="0.25">
      <c r="H13385" t="s">
        <v>30</v>
      </c>
    </row>
    <row r="13387" spans="8:8" x14ac:dyDescent="0.25">
      <c r="H13387" t="s">
        <v>13795</v>
      </c>
    </row>
    <row r="13388" spans="8:8" x14ac:dyDescent="0.25">
      <c r="H13388" t="s">
        <v>13796</v>
      </c>
    </row>
    <row r="13389" spans="8:8" x14ac:dyDescent="0.25">
      <c r="H13389" t="s">
        <v>135</v>
      </c>
    </row>
    <row r="13390" spans="8:8" x14ac:dyDescent="0.25">
      <c r="H13390" t="s">
        <v>13797</v>
      </c>
    </row>
    <row r="13391" spans="8:8" x14ac:dyDescent="0.25">
      <c r="H13391" t="s">
        <v>30</v>
      </c>
    </row>
    <row r="13392" spans="8:8" x14ac:dyDescent="0.25">
      <c r="H13392" t="s">
        <v>136</v>
      </c>
    </row>
    <row r="13393" spans="8:8" x14ac:dyDescent="0.25">
      <c r="H13393" t="s">
        <v>13798</v>
      </c>
    </row>
    <row r="13394" spans="8:8" x14ac:dyDescent="0.25">
      <c r="H13394" t="s">
        <v>30</v>
      </c>
    </row>
    <row r="13395" spans="8:8" x14ac:dyDescent="0.25">
      <c r="H13395" t="s">
        <v>137</v>
      </c>
    </row>
    <row r="13396" spans="8:8" x14ac:dyDescent="0.25">
      <c r="H13396" t="s">
        <v>13799</v>
      </c>
    </row>
    <row r="13397" spans="8:8" x14ac:dyDescent="0.25">
      <c r="H13397" t="s">
        <v>30</v>
      </c>
    </row>
    <row r="13398" spans="8:8" x14ac:dyDescent="0.25">
      <c r="H13398" t="s">
        <v>138</v>
      </c>
    </row>
    <row r="13399" spans="8:8" x14ac:dyDescent="0.25">
      <c r="H13399" t="s">
        <v>13800</v>
      </c>
    </row>
    <row r="13400" spans="8:8" x14ac:dyDescent="0.25">
      <c r="H13400" t="s">
        <v>30</v>
      </c>
    </row>
    <row r="13402" spans="8:8" x14ac:dyDescent="0.25">
      <c r="H13402" t="s">
        <v>13801</v>
      </c>
    </row>
    <row r="13403" spans="8:8" x14ac:dyDescent="0.25">
      <c r="H13403" t="s">
        <v>13802</v>
      </c>
    </row>
    <row r="13404" spans="8:8" x14ac:dyDescent="0.25">
      <c r="H13404" t="s">
        <v>135</v>
      </c>
    </row>
    <row r="13405" spans="8:8" x14ac:dyDescent="0.25">
      <c r="H13405" t="s">
        <v>13803</v>
      </c>
    </row>
    <row r="13406" spans="8:8" x14ac:dyDescent="0.25">
      <c r="H13406" t="s">
        <v>30</v>
      </c>
    </row>
    <row r="13407" spans="8:8" x14ac:dyDescent="0.25">
      <c r="H13407" t="s">
        <v>136</v>
      </c>
    </row>
    <row r="13408" spans="8:8" x14ac:dyDescent="0.25">
      <c r="H13408" t="s">
        <v>13804</v>
      </c>
    </row>
    <row r="13409" spans="8:8" x14ac:dyDescent="0.25">
      <c r="H13409" t="s">
        <v>30</v>
      </c>
    </row>
    <row r="13410" spans="8:8" x14ac:dyDescent="0.25">
      <c r="H13410" t="s">
        <v>137</v>
      </c>
    </row>
    <row r="13411" spans="8:8" x14ac:dyDescent="0.25">
      <c r="H13411" t="s">
        <v>13805</v>
      </c>
    </row>
    <row r="13412" spans="8:8" x14ac:dyDescent="0.25">
      <c r="H13412" t="s">
        <v>30</v>
      </c>
    </row>
    <row r="13413" spans="8:8" x14ac:dyDescent="0.25">
      <c r="H13413" t="s">
        <v>138</v>
      </c>
    </row>
    <row r="13414" spans="8:8" x14ac:dyDescent="0.25">
      <c r="H13414" t="s">
        <v>13806</v>
      </c>
    </row>
    <row r="13415" spans="8:8" x14ac:dyDescent="0.25">
      <c r="H13415" t="s">
        <v>30</v>
      </c>
    </row>
    <row r="13417" spans="8:8" x14ac:dyDescent="0.25">
      <c r="H13417" t="s">
        <v>13807</v>
      </c>
    </row>
    <row r="13418" spans="8:8" x14ac:dyDescent="0.25">
      <c r="H13418" t="s">
        <v>13808</v>
      </c>
    </row>
    <row r="13419" spans="8:8" x14ac:dyDescent="0.25">
      <c r="H13419" t="s">
        <v>135</v>
      </c>
    </row>
    <row r="13420" spans="8:8" x14ac:dyDescent="0.25">
      <c r="H13420" t="s">
        <v>13809</v>
      </c>
    </row>
    <row r="13421" spans="8:8" x14ac:dyDescent="0.25">
      <c r="H13421" t="s">
        <v>30</v>
      </c>
    </row>
    <row r="13422" spans="8:8" x14ac:dyDescent="0.25">
      <c r="H13422" t="s">
        <v>136</v>
      </c>
    </row>
    <row r="13423" spans="8:8" x14ac:dyDescent="0.25">
      <c r="H13423" t="s">
        <v>13810</v>
      </c>
    </row>
    <row r="13424" spans="8:8" x14ac:dyDescent="0.25">
      <c r="H13424" t="s">
        <v>30</v>
      </c>
    </row>
    <row r="13425" spans="8:8" x14ac:dyDescent="0.25">
      <c r="H13425" t="s">
        <v>137</v>
      </c>
    </row>
    <row r="13426" spans="8:8" x14ac:dyDescent="0.25">
      <c r="H13426" t="s">
        <v>13811</v>
      </c>
    </row>
    <row r="13427" spans="8:8" x14ac:dyDescent="0.25">
      <c r="H13427" t="s">
        <v>30</v>
      </c>
    </row>
    <row r="13428" spans="8:8" x14ac:dyDescent="0.25">
      <c r="H13428" t="s">
        <v>138</v>
      </c>
    </row>
    <row r="13429" spans="8:8" x14ac:dyDescent="0.25">
      <c r="H13429" t="s">
        <v>13812</v>
      </c>
    </row>
    <row r="13430" spans="8:8" x14ac:dyDescent="0.25">
      <c r="H13430" t="s">
        <v>30</v>
      </c>
    </row>
    <row r="13432" spans="8:8" x14ac:dyDescent="0.25">
      <c r="H13432" t="s">
        <v>13813</v>
      </c>
    </row>
    <row r="13433" spans="8:8" x14ac:dyDescent="0.25">
      <c r="H13433" t="s">
        <v>13814</v>
      </c>
    </row>
    <row r="13434" spans="8:8" x14ac:dyDescent="0.25">
      <c r="H13434" t="s">
        <v>135</v>
      </c>
    </row>
    <row r="13435" spans="8:8" x14ac:dyDescent="0.25">
      <c r="H13435" t="s">
        <v>13815</v>
      </c>
    </row>
    <row r="13436" spans="8:8" x14ac:dyDescent="0.25">
      <c r="H13436" t="s">
        <v>30</v>
      </c>
    </row>
    <row r="13437" spans="8:8" x14ac:dyDescent="0.25">
      <c r="H13437" t="s">
        <v>136</v>
      </c>
    </row>
    <row r="13438" spans="8:8" x14ac:dyDescent="0.25">
      <c r="H13438" t="s">
        <v>13816</v>
      </c>
    </row>
    <row r="13439" spans="8:8" x14ac:dyDescent="0.25">
      <c r="H13439" t="s">
        <v>30</v>
      </c>
    </row>
    <row r="13440" spans="8:8" x14ac:dyDescent="0.25">
      <c r="H13440" t="s">
        <v>137</v>
      </c>
    </row>
    <row r="13441" spans="8:8" x14ac:dyDescent="0.25">
      <c r="H13441" t="s">
        <v>13817</v>
      </c>
    </row>
    <row r="13442" spans="8:8" x14ac:dyDescent="0.25">
      <c r="H13442" t="s">
        <v>30</v>
      </c>
    </row>
    <row r="13443" spans="8:8" x14ac:dyDescent="0.25">
      <c r="H13443" t="s">
        <v>138</v>
      </c>
    </row>
    <row r="13444" spans="8:8" x14ac:dyDescent="0.25">
      <c r="H13444" t="s">
        <v>13818</v>
      </c>
    </row>
    <row r="13445" spans="8:8" x14ac:dyDescent="0.25">
      <c r="H13445" t="s">
        <v>30</v>
      </c>
    </row>
    <row r="13447" spans="8:8" x14ac:dyDescent="0.25">
      <c r="H13447" t="s">
        <v>13819</v>
      </c>
    </row>
    <row r="13448" spans="8:8" x14ac:dyDescent="0.25">
      <c r="H13448" t="s">
        <v>13820</v>
      </c>
    </row>
    <row r="13449" spans="8:8" x14ac:dyDescent="0.25">
      <c r="H13449" t="s">
        <v>135</v>
      </c>
    </row>
    <row r="13450" spans="8:8" x14ac:dyDescent="0.25">
      <c r="H13450" t="s">
        <v>13821</v>
      </c>
    </row>
    <row r="13451" spans="8:8" x14ac:dyDescent="0.25">
      <c r="H13451" t="s">
        <v>30</v>
      </c>
    </row>
    <row r="13452" spans="8:8" x14ac:dyDescent="0.25">
      <c r="H13452" t="s">
        <v>136</v>
      </c>
    </row>
    <row r="13453" spans="8:8" x14ac:dyDescent="0.25">
      <c r="H13453" t="s">
        <v>13822</v>
      </c>
    </row>
    <row r="13454" spans="8:8" x14ac:dyDescent="0.25">
      <c r="H13454" t="s">
        <v>30</v>
      </c>
    </row>
    <row r="13455" spans="8:8" x14ac:dyDescent="0.25">
      <c r="H13455" t="s">
        <v>137</v>
      </c>
    </row>
    <row r="13456" spans="8:8" x14ac:dyDescent="0.25">
      <c r="H13456" t="s">
        <v>13823</v>
      </c>
    </row>
    <row r="13457" spans="8:8" x14ac:dyDescent="0.25">
      <c r="H13457" t="s">
        <v>30</v>
      </c>
    </row>
    <row r="13458" spans="8:8" x14ac:dyDescent="0.25">
      <c r="H13458" t="s">
        <v>138</v>
      </c>
    </row>
    <row r="13459" spans="8:8" x14ac:dyDescent="0.25">
      <c r="H13459" t="s">
        <v>13824</v>
      </c>
    </row>
    <row r="13460" spans="8:8" x14ac:dyDescent="0.25">
      <c r="H13460" t="s">
        <v>30</v>
      </c>
    </row>
    <row r="13462" spans="8:8" x14ac:dyDescent="0.25">
      <c r="H13462" t="s">
        <v>13825</v>
      </c>
    </row>
    <row r="13463" spans="8:8" x14ac:dyDescent="0.25">
      <c r="H13463" t="s">
        <v>13826</v>
      </c>
    </row>
    <row r="13464" spans="8:8" x14ac:dyDescent="0.25">
      <c r="H13464" t="s">
        <v>135</v>
      </c>
    </row>
    <row r="13465" spans="8:8" x14ac:dyDescent="0.25">
      <c r="H13465" t="s">
        <v>13827</v>
      </c>
    </row>
    <row r="13466" spans="8:8" x14ac:dyDescent="0.25">
      <c r="H13466" t="s">
        <v>30</v>
      </c>
    </row>
    <row r="13467" spans="8:8" x14ac:dyDescent="0.25">
      <c r="H13467" t="s">
        <v>136</v>
      </c>
    </row>
    <row r="13468" spans="8:8" x14ac:dyDescent="0.25">
      <c r="H13468" t="s">
        <v>13828</v>
      </c>
    </row>
    <row r="13469" spans="8:8" x14ac:dyDescent="0.25">
      <c r="H13469" t="s">
        <v>30</v>
      </c>
    </row>
    <row r="13470" spans="8:8" x14ac:dyDescent="0.25">
      <c r="H13470" t="s">
        <v>137</v>
      </c>
    </row>
    <row r="13471" spans="8:8" x14ac:dyDescent="0.25">
      <c r="H13471" t="s">
        <v>13829</v>
      </c>
    </row>
    <row r="13472" spans="8:8" x14ac:dyDescent="0.25">
      <c r="H13472" t="s">
        <v>30</v>
      </c>
    </row>
    <row r="13473" spans="8:8" x14ac:dyDescent="0.25">
      <c r="H13473" t="s">
        <v>138</v>
      </c>
    </row>
    <row r="13474" spans="8:8" x14ac:dyDescent="0.25">
      <c r="H13474" t="s">
        <v>13830</v>
      </c>
    </row>
    <row r="13475" spans="8:8" x14ac:dyDescent="0.25">
      <c r="H13475" t="s">
        <v>30</v>
      </c>
    </row>
    <row r="13477" spans="8:8" x14ac:dyDescent="0.25">
      <c r="H13477" t="s">
        <v>13831</v>
      </c>
    </row>
    <row r="13478" spans="8:8" x14ac:dyDescent="0.25">
      <c r="H13478" t="s">
        <v>13832</v>
      </c>
    </row>
    <row r="13479" spans="8:8" x14ac:dyDescent="0.25">
      <c r="H13479" t="s">
        <v>135</v>
      </c>
    </row>
    <row r="13480" spans="8:8" x14ac:dyDescent="0.25">
      <c r="H13480" t="s">
        <v>13833</v>
      </c>
    </row>
    <row r="13481" spans="8:8" x14ac:dyDescent="0.25">
      <c r="H13481" t="s">
        <v>30</v>
      </c>
    </row>
    <row r="13482" spans="8:8" x14ac:dyDescent="0.25">
      <c r="H13482" t="s">
        <v>136</v>
      </c>
    </row>
    <row r="13483" spans="8:8" x14ac:dyDescent="0.25">
      <c r="H13483" t="s">
        <v>13834</v>
      </c>
    </row>
    <row r="13484" spans="8:8" x14ac:dyDescent="0.25">
      <c r="H13484" t="s">
        <v>30</v>
      </c>
    </row>
    <row r="13485" spans="8:8" x14ac:dyDescent="0.25">
      <c r="H13485" t="s">
        <v>137</v>
      </c>
    </row>
    <row r="13486" spans="8:8" x14ac:dyDescent="0.25">
      <c r="H13486" t="s">
        <v>13835</v>
      </c>
    </row>
    <row r="13487" spans="8:8" x14ac:dyDescent="0.25">
      <c r="H13487" t="s">
        <v>30</v>
      </c>
    </row>
    <row r="13488" spans="8:8" x14ac:dyDescent="0.25">
      <c r="H13488" t="s">
        <v>138</v>
      </c>
    </row>
    <row r="13489" spans="8:8" x14ac:dyDescent="0.25">
      <c r="H13489" t="s">
        <v>13836</v>
      </c>
    </row>
    <row r="13490" spans="8:8" x14ac:dyDescent="0.25">
      <c r="H13490" t="s">
        <v>30</v>
      </c>
    </row>
    <row r="13492" spans="8:8" x14ac:dyDescent="0.25">
      <c r="H13492" t="s">
        <v>13837</v>
      </c>
    </row>
    <row r="13493" spans="8:8" x14ac:dyDescent="0.25">
      <c r="H13493" t="s">
        <v>13838</v>
      </c>
    </row>
    <row r="13494" spans="8:8" x14ac:dyDescent="0.25">
      <c r="H13494" t="s">
        <v>135</v>
      </c>
    </row>
    <row r="13495" spans="8:8" x14ac:dyDescent="0.25">
      <c r="H13495" t="s">
        <v>13839</v>
      </c>
    </row>
    <row r="13496" spans="8:8" x14ac:dyDescent="0.25">
      <c r="H13496" t="s">
        <v>30</v>
      </c>
    </row>
    <row r="13497" spans="8:8" x14ac:dyDescent="0.25">
      <c r="H13497" t="s">
        <v>136</v>
      </c>
    </row>
    <row r="13498" spans="8:8" x14ac:dyDescent="0.25">
      <c r="H13498" t="s">
        <v>13840</v>
      </c>
    </row>
    <row r="13499" spans="8:8" x14ac:dyDescent="0.25">
      <c r="H13499" t="s">
        <v>30</v>
      </c>
    </row>
    <row r="13500" spans="8:8" x14ac:dyDescent="0.25">
      <c r="H13500" t="s">
        <v>137</v>
      </c>
    </row>
    <row r="13501" spans="8:8" x14ac:dyDescent="0.25">
      <c r="H13501" t="s">
        <v>13841</v>
      </c>
    </row>
    <row r="13502" spans="8:8" x14ac:dyDescent="0.25">
      <c r="H13502" t="s">
        <v>30</v>
      </c>
    </row>
    <row r="13503" spans="8:8" x14ac:dyDescent="0.25">
      <c r="H13503" t="s">
        <v>138</v>
      </c>
    </row>
    <row r="13504" spans="8:8" x14ac:dyDescent="0.25">
      <c r="H13504" t="s">
        <v>13842</v>
      </c>
    </row>
    <row r="13505" spans="8:8" x14ac:dyDescent="0.25">
      <c r="H13505" t="s">
        <v>30</v>
      </c>
    </row>
    <row r="13507" spans="8:8" x14ac:dyDescent="0.25">
      <c r="H13507" t="s">
        <v>13843</v>
      </c>
    </row>
    <row r="13508" spans="8:8" x14ac:dyDescent="0.25">
      <c r="H13508" t="s">
        <v>13844</v>
      </c>
    </row>
    <row r="13509" spans="8:8" x14ac:dyDescent="0.25">
      <c r="H13509" t="s">
        <v>135</v>
      </c>
    </row>
    <row r="13510" spans="8:8" x14ac:dyDescent="0.25">
      <c r="H13510" t="s">
        <v>13845</v>
      </c>
    </row>
    <row r="13511" spans="8:8" x14ac:dyDescent="0.25">
      <c r="H13511" t="s">
        <v>30</v>
      </c>
    </row>
    <row r="13512" spans="8:8" x14ac:dyDescent="0.25">
      <c r="H13512" t="s">
        <v>136</v>
      </c>
    </row>
    <row r="13513" spans="8:8" x14ac:dyDescent="0.25">
      <c r="H13513" t="s">
        <v>13846</v>
      </c>
    </row>
    <row r="13514" spans="8:8" x14ac:dyDescent="0.25">
      <c r="H13514" t="s">
        <v>30</v>
      </c>
    </row>
    <row r="13515" spans="8:8" x14ac:dyDescent="0.25">
      <c r="H13515" t="s">
        <v>137</v>
      </c>
    </row>
    <row r="13516" spans="8:8" x14ac:dyDescent="0.25">
      <c r="H13516" t="s">
        <v>13847</v>
      </c>
    </row>
    <row r="13517" spans="8:8" x14ac:dyDescent="0.25">
      <c r="H13517" t="s">
        <v>30</v>
      </c>
    </row>
    <row r="13518" spans="8:8" x14ac:dyDescent="0.25">
      <c r="H13518" t="s">
        <v>138</v>
      </c>
    </row>
    <row r="13519" spans="8:8" x14ac:dyDescent="0.25">
      <c r="H13519" t="s">
        <v>13848</v>
      </c>
    </row>
    <row r="13520" spans="8:8" x14ac:dyDescent="0.25">
      <c r="H13520" t="s">
        <v>30</v>
      </c>
    </row>
    <row r="13522" spans="8:8" x14ac:dyDescent="0.25">
      <c r="H13522" t="s">
        <v>13849</v>
      </c>
    </row>
    <row r="13523" spans="8:8" x14ac:dyDescent="0.25">
      <c r="H13523" t="s">
        <v>13850</v>
      </c>
    </row>
    <row r="13524" spans="8:8" x14ac:dyDescent="0.25">
      <c r="H13524" t="s">
        <v>135</v>
      </c>
    </row>
    <row r="13525" spans="8:8" x14ac:dyDescent="0.25">
      <c r="H13525" t="s">
        <v>13851</v>
      </c>
    </row>
    <row r="13526" spans="8:8" x14ac:dyDescent="0.25">
      <c r="H13526" t="s">
        <v>30</v>
      </c>
    </row>
    <row r="13527" spans="8:8" x14ac:dyDescent="0.25">
      <c r="H13527" t="s">
        <v>136</v>
      </c>
    </row>
    <row r="13528" spans="8:8" x14ac:dyDescent="0.25">
      <c r="H13528" t="s">
        <v>13852</v>
      </c>
    </row>
    <row r="13529" spans="8:8" x14ac:dyDescent="0.25">
      <c r="H13529" t="s">
        <v>30</v>
      </c>
    </row>
    <row r="13530" spans="8:8" x14ac:dyDescent="0.25">
      <c r="H13530" t="s">
        <v>137</v>
      </c>
    </row>
    <row r="13531" spans="8:8" x14ac:dyDescent="0.25">
      <c r="H13531" t="s">
        <v>13853</v>
      </c>
    </row>
    <row r="13532" spans="8:8" x14ac:dyDescent="0.25">
      <c r="H13532" t="s">
        <v>30</v>
      </c>
    </row>
    <row r="13533" spans="8:8" x14ac:dyDescent="0.25">
      <c r="H13533" t="s">
        <v>138</v>
      </c>
    </row>
    <row r="13534" spans="8:8" x14ac:dyDescent="0.25">
      <c r="H13534" t="s">
        <v>13854</v>
      </c>
    </row>
    <row r="13535" spans="8:8" x14ac:dyDescent="0.25">
      <c r="H13535" t="s">
        <v>30</v>
      </c>
    </row>
    <row r="13537" spans="8:8" x14ac:dyDescent="0.25">
      <c r="H13537" t="s">
        <v>13855</v>
      </c>
    </row>
    <row r="13538" spans="8:8" x14ac:dyDescent="0.25">
      <c r="H13538" t="s">
        <v>13856</v>
      </c>
    </row>
    <row r="13539" spans="8:8" x14ac:dyDescent="0.25">
      <c r="H13539" t="s">
        <v>135</v>
      </c>
    </row>
    <row r="13540" spans="8:8" x14ac:dyDescent="0.25">
      <c r="H13540" t="s">
        <v>13857</v>
      </c>
    </row>
    <row r="13541" spans="8:8" x14ac:dyDescent="0.25">
      <c r="H13541" t="s">
        <v>30</v>
      </c>
    </row>
    <row r="13542" spans="8:8" x14ac:dyDescent="0.25">
      <c r="H13542" t="s">
        <v>136</v>
      </c>
    </row>
    <row r="13543" spans="8:8" x14ac:dyDescent="0.25">
      <c r="H13543" t="s">
        <v>13858</v>
      </c>
    </row>
    <row r="13544" spans="8:8" x14ac:dyDescent="0.25">
      <c r="H13544" t="s">
        <v>30</v>
      </c>
    </row>
    <row r="13545" spans="8:8" x14ac:dyDescent="0.25">
      <c r="H13545" t="s">
        <v>137</v>
      </c>
    </row>
    <row r="13546" spans="8:8" x14ac:dyDescent="0.25">
      <c r="H13546" t="s">
        <v>13859</v>
      </c>
    </row>
    <row r="13547" spans="8:8" x14ac:dyDescent="0.25">
      <c r="H13547" t="s">
        <v>30</v>
      </c>
    </row>
    <row r="13548" spans="8:8" x14ac:dyDescent="0.25">
      <c r="H13548" t="s">
        <v>138</v>
      </c>
    </row>
    <row r="13549" spans="8:8" x14ac:dyDescent="0.25">
      <c r="H13549" t="s">
        <v>13860</v>
      </c>
    </row>
    <row r="13550" spans="8:8" x14ac:dyDescent="0.25">
      <c r="H13550" t="s">
        <v>30</v>
      </c>
    </row>
    <row r="13552" spans="8:8" x14ac:dyDescent="0.25">
      <c r="H13552" t="s">
        <v>13861</v>
      </c>
    </row>
    <row r="13553" spans="8:8" x14ac:dyDescent="0.25">
      <c r="H13553" t="s">
        <v>13862</v>
      </c>
    </row>
    <row r="13554" spans="8:8" x14ac:dyDescent="0.25">
      <c r="H13554" t="s">
        <v>135</v>
      </c>
    </row>
    <row r="13555" spans="8:8" x14ac:dyDescent="0.25">
      <c r="H13555" t="s">
        <v>13863</v>
      </c>
    </row>
    <row r="13556" spans="8:8" x14ac:dyDescent="0.25">
      <c r="H13556" t="s">
        <v>30</v>
      </c>
    </row>
    <row r="13557" spans="8:8" x14ac:dyDescent="0.25">
      <c r="H13557" t="s">
        <v>136</v>
      </c>
    </row>
    <row r="13558" spans="8:8" x14ac:dyDescent="0.25">
      <c r="H13558" t="s">
        <v>13864</v>
      </c>
    </row>
    <row r="13559" spans="8:8" x14ac:dyDescent="0.25">
      <c r="H13559" t="s">
        <v>30</v>
      </c>
    </row>
    <row r="13560" spans="8:8" x14ac:dyDescent="0.25">
      <c r="H13560" t="s">
        <v>137</v>
      </c>
    </row>
    <row r="13561" spans="8:8" x14ac:dyDescent="0.25">
      <c r="H13561" t="s">
        <v>13865</v>
      </c>
    </row>
    <row r="13562" spans="8:8" x14ac:dyDescent="0.25">
      <c r="H13562" t="s">
        <v>30</v>
      </c>
    </row>
    <row r="13563" spans="8:8" x14ac:dyDescent="0.25">
      <c r="H13563" t="s">
        <v>138</v>
      </c>
    </row>
    <row r="13564" spans="8:8" x14ac:dyDescent="0.25">
      <c r="H13564" t="s">
        <v>13866</v>
      </c>
    </row>
    <row r="13565" spans="8:8" x14ac:dyDescent="0.25">
      <c r="H13565" t="s">
        <v>30</v>
      </c>
    </row>
    <row r="13567" spans="8:8" x14ac:dyDescent="0.25">
      <c r="H13567" t="s">
        <v>13867</v>
      </c>
    </row>
    <row r="13568" spans="8:8" x14ac:dyDescent="0.25">
      <c r="H13568" t="s">
        <v>13868</v>
      </c>
    </row>
    <row r="13569" spans="8:8" x14ac:dyDescent="0.25">
      <c r="H13569" t="s">
        <v>135</v>
      </c>
    </row>
    <row r="13570" spans="8:8" x14ac:dyDescent="0.25">
      <c r="H13570" t="s">
        <v>13869</v>
      </c>
    </row>
    <row r="13571" spans="8:8" x14ac:dyDescent="0.25">
      <c r="H13571" t="s">
        <v>30</v>
      </c>
    </row>
    <row r="13572" spans="8:8" x14ac:dyDescent="0.25">
      <c r="H13572" t="s">
        <v>136</v>
      </c>
    </row>
    <row r="13573" spans="8:8" x14ac:dyDescent="0.25">
      <c r="H13573" t="s">
        <v>13870</v>
      </c>
    </row>
    <row r="13574" spans="8:8" x14ac:dyDescent="0.25">
      <c r="H13574" t="s">
        <v>30</v>
      </c>
    </row>
    <row r="13575" spans="8:8" x14ac:dyDescent="0.25">
      <c r="H13575" t="s">
        <v>137</v>
      </c>
    </row>
    <row r="13576" spans="8:8" x14ac:dyDescent="0.25">
      <c r="H13576" t="s">
        <v>13871</v>
      </c>
    </row>
    <row r="13577" spans="8:8" x14ac:dyDescent="0.25">
      <c r="H13577" t="s">
        <v>30</v>
      </c>
    </row>
    <row r="13578" spans="8:8" x14ac:dyDescent="0.25">
      <c r="H13578" t="s">
        <v>138</v>
      </c>
    </row>
    <row r="13579" spans="8:8" x14ac:dyDescent="0.25">
      <c r="H13579" t="s">
        <v>13872</v>
      </c>
    </row>
    <row r="13580" spans="8:8" x14ac:dyDescent="0.25">
      <c r="H13580" t="s">
        <v>30</v>
      </c>
    </row>
    <row r="13582" spans="8:8" x14ac:dyDescent="0.25">
      <c r="H13582" t="s">
        <v>13873</v>
      </c>
    </row>
    <row r="13583" spans="8:8" x14ac:dyDescent="0.25">
      <c r="H13583" t="s">
        <v>13874</v>
      </c>
    </row>
    <row r="13584" spans="8:8" x14ac:dyDescent="0.25">
      <c r="H13584" t="s">
        <v>135</v>
      </c>
    </row>
    <row r="13585" spans="8:8" x14ac:dyDescent="0.25">
      <c r="H13585" t="s">
        <v>13875</v>
      </c>
    </row>
    <row r="13586" spans="8:8" x14ac:dyDescent="0.25">
      <c r="H13586" t="s">
        <v>30</v>
      </c>
    </row>
    <row r="13587" spans="8:8" x14ac:dyDescent="0.25">
      <c r="H13587" t="s">
        <v>136</v>
      </c>
    </row>
    <row r="13588" spans="8:8" x14ac:dyDescent="0.25">
      <c r="H13588" t="s">
        <v>13876</v>
      </c>
    </row>
    <row r="13589" spans="8:8" x14ac:dyDescent="0.25">
      <c r="H13589" t="s">
        <v>30</v>
      </c>
    </row>
    <row r="13590" spans="8:8" x14ac:dyDescent="0.25">
      <c r="H13590" t="s">
        <v>137</v>
      </c>
    </row>
    <row r="13591" spans="8:8" x14ac:dyDescent="0.25">
      <c r="H13591" t="s">
        <v>13877</v>
      </c>
    </row>
    <row r="13592" spans="8:8" x14ac:dyDescent="0.25">
      <c r="H13592" t="s">
        <v>30</v>
      </c>
    </row>
    <row r="13593" spans="8:8" x14ac:dyDescent="0.25">
      <c r="H13593" t="s">
        <v>138</v>
      </c>
    </row>
    <row r="13594" spans="8:8" x14ac:dyDescent="0.25">
      <c r="H13594" t="s">
        <v>13878</v>
      </c>
    </row>
    <row r="13595" spans="8:8" x14ac:dyDescent="0.25">
      <c r="H13595" t="s">
        <v>30</v>
      </c>
    </row>
    <row r="13597" spans="8:8" x14ac:dyDescent="0.25">
      <c r="H13597" t="s">
        <v>13879</v>
      </c>
    </row>
    <row r="13598" spans="8:8" x14ac:dyDescent="0.25">
      <c r="H13598" t="s">
        <v>13880</v>
      </c>
    </row>
    <row r="13599" spans="8:8" x14ac:dyDescent="0.25">
      <c r="H13599" t="s">
        <v>135</v>
      </c>
    </row>
    <row r="13600" spans="8:8" x14ac:dyDescent="0.25">
      <c r="H13600" t="s">
        <v>13881</v>
      </c>
    </row>
    <row r="13601" spans="8:8" x14ac:dyDescent="0.25">
      <c r="H13601" t="s">
        <v>30</v>
      </c>
    </row>
    <row r="13602" spans="8:8" x14ac:dyDescent="0.25">
      <c r="H13602" t="s">
        <v>136</v>
      </c>
    </row>
    <row r="13603" spans="8:8" x14ac:dyDescent="0.25">
      <c r="H13603" t="s">
        <v>13882</v>
      </c>
    </row>
    <row r="13604" spans="8:8" x14ac:dyDescent="0.25">
      <c r="H13604" t="s">
        <v>30</v>
      </c>
    </row>
    <row r="13605" spans="8:8" x14ac:dyDescent="0.25">
      <c r="H13605" t="s">
        <v>137</v>
      </c>
    </row>
    <row r="13606" spans="8:8" x14ac:dyDescent="0.25">
      <c r="H13606" t="s">
        <v>13883</v>
      </c>
    </row>
    <row r="13607" spans="8:8" x14ac:dyDescent="0.25">
      <c r="H13607" t="s">
        <v>30</v>
      </c>
    </row>
    <row r="13608" spans="8:8" x14ac:dyDescent="0.25">
      <c r="H13608" t="s">
        <v>138</v>
      </c>
    </row>
    <row r="13609" spans="8:8" x14ac:dyDescent="0.25">
      <c r="H13609" t="s">
        <v>13884</v>
      </c>
    </row>
    <row r="13610" spans="8:8" x14ac:dyDescent="0.25">
      <c r="H13610" t="s">
        <v>30</v>
      </c>
    </row>
    <row r="13612" spans="8:8" x14ac:dyDescent="0.25">
      <c r="H13612" t="s">
        <v>13885</v>
      </c>
    </row>
    <row r="13613" spans="8:8" x14ac:dyDescent="0.25">
      <c r="H13613" t="s">
        <v>13886</v>
      </c>
    </row>
    <row r="13614" spans="8:8" x14ac:dyDescent="0.25">
      <c r="H13614" t="s">
        <v>135</v>
      </c>
    </row>
    <row r="13615" spans="8:8" x14ac:dyDescent="0.25">
      <c r="H13615" t="s">
        <v>13887</v>
      </c>
    </row>
    <row r="13616" spans="8:8" x14ac:dyDescent="0.25">
      <c r="H13616" t="s">
        <v>30</v>
      </c>
    </row>
    <row r="13617" spans="8:8" x14ac:dyDescent="0.25">
      <c r="H13617" t="s">
        <v>136</v>
      </c>
    </row>
    <row r="13618" spans="8:8" x14ac:dyDescent="0.25">
      <c r="H13618" t="s">
        <v>13888</v>
      </c>
    </row>
    <row r="13619" spans="8:8" x14ac:dyDescent="0.25">
      <c r="H13619" t="s">
        <v>30</v>
      </c>
    </row>
    <row r="13620" spans="8:8" x14ac:dyDescent="0.25">
      <c r="H13620" t="s">
        <v>137</v>
      </c>
    </row>
    <row r="13621" spans="8:8" x14ac:dyDescent="0.25">
      <c r="H13621" t="s">
        <v>13889</v>
      </c>
    </row>
    <row r="13622" spans="8:8" x14ac:dyDescent="0.25">
      <c r="H13622" t="s">
        <v>30</v>
      </c>
    </row>
    <row r="13623" spans="8:8" x14ac:dyDescent="0.25">
      <c r="H13623" t="s">
        <v>138</v>
      </c>
    </row>
    <row r="13624" spans="8:8" x14ac:dyDescent="0.25">
      <c r="H13624" t="s">
        <v>13890</v>
      </c>
    </row>
    <row r="13625" spans="8:8" x14ac:dyDescent="0.25">
      <c r="H13625" t="s">
        <v>30</v>
      </c>
    </row>
    <row r="13627" spans="8:8" x14ac:dyDescent="0.25">
      <c r="H13627" t="s">
        <v>13891</v>
      </c>
    </row>
    <row r="13628" spans="8:8" x14ac:dyDescent="0.25">
      <c r="H13628" t="s">
        <v>13892</v>
      </c>
    </row>
    <row r="13629" spans="8:8" x14ac:dyDescent="0.25">
      <c r="H13629" t="s">
        <v>135</v>
      </c>
    </row>
    <row r="13630" spans="8:8" x14ac:dyDescent="0.25">
      <c r="H13630" t="s">
        <v>13893</v>
      </c>
    </row>
    <row r="13631" spans="8:8" x14ac:dyDescent="0.25">
      <c r="H13631" t="s">
        <v>30</v>
      </c>
    </row>
    <row r="13632" spans="8:8" x14ac:dyDescent="0.25">
      <c r="H13632" t="s">
        <v>136</v>
      </c>
    </row>
    <row r="13633" spans="8:8" x14ac:dyDescent="0.25">
      <c r="H13633" t="s">
        <v>13894</v>
      </c>
    </row>
    <row r="13634" spans="8:8" x14ac:dyDescent="0.25">
      <c r="H13634" t="s">
        <v>30</v>
      </c>
    </row>
    <row r="13635" spans="8:8" x14ac:dyDescent="0.25">
      <c r="H13635" t="s">
        <v>137</v>
      </c>
    </row>
    <row r="13636" spans="8:8" x14ac:dyDescent="0.25">
      <c r="H13636" t="s">
        <v>13895</v>
      </c>
    </row>
    <row r="13637" spans="8:8" x14ac:dyDescent="0.25">
      <c r="H13637" t="s">
        <v>30</v>
      </c>
    </row>
    <row r="13638" spans="8:8" x14ac:dyDescent="0.25">
      <c r="H13638" t="s">
        <v>138</v>
      </c>
    </row>
    <row r="13639" spans="8:8" x14ac:dyDescent="0.25">
      <c r="H13639" t="s">
        <v>13896</v>
      </c>
    </row>
    <row r="13640" spans="8:8" x14ac:dyDescent="0.25">
      <c r="H13640" t="s">
        <v>30</v>
      </c>
    </row>
    <row r="13642" spans="8:8" x14ac:dyDescent="0.25">
      <c r="H13642" t="s">
        <v>13897</v>
      </c>
    </row>
    <row r="13643" spans="8:8" x14ac:dyDescent="0.25">
      <c r="H13643" t="s">
        <v>13898</v>
      </c>
    </row>
    <row r="13644" spans="8:8" x14ac:dyDescent="0.25">
      <c r="H13644" t="s">
        <v>135</v>
      </c>
    </row>
    <row r="13645" spans="8:8" x14ac:dyDescent="0.25">
      <c r="H13645" t="s">
        <v>13899</v>
      </c>
    </row>
    <row r="13646" spans="8:8" x14ac:dyDescent="0.25">
      <c r="H13646" t="s">
        <v>30</v>
      </c>
    </row>
    <row r="13647" spans="8:8" x14ac:dyDescent="0.25">
      <c r="H13647" t="s">
        <v>136</v>
      </c>
    </row>
    <row r="13648" spans="8:8" x14ac:dyDescent="0.25">
      <c r="H13648" t="s">
        <v>13900</v>
      </c>
    </row>
    <row r="13649" spans="8:8" x14ac:dyDescent="0.25">
      <c r="H13649" t="s">
        <v>30</v>
      </c>
    </row>
    <row r="13650" spans="8:8" x14ac:dyDescent="0.25">
      <c r="H13650" t="s">
        <v>137</v>
      </c>
    </row>
    <row r="13651" spans="8:8" x14ac:dyDescent="0.25">
      <c r="H13651" t="s">
        <v>13901</v>
      </c>
    </row>
    <row r="13652" spans="8:8" x14ac:dyDescent="0.25">
      <c r="H13652" t="s">
        <v>30</v>
      </c>
    </row>
    <row r="13653" spans="8:8" x14ac:dyDescent="0.25">
      <c r="H13653" t="s">
        <v>138</v>
      </c>
    </row>
    <row r="13654" spans="8:8" x14ac:dyDescent="0.25">
      <c r="H13654" t="s">
        <v>13902</v>
      </c>
    </row>
    <row r="13655" spans="8:8" x14ac:dyDescent="0.25">
      <c r="H13655" t="s">
        <v>30</v>
      </c>
    </row>
    <row r="13657" spans="8:8" x14ac:dyDescent="0.25">
      <c r="H13657" t="s">
        <v>13903</v>
      </c>
    </row>
    <row r="13658" spans="8:8" x14ac:dyDescent="0.25">
      <c r="H13658" t="s">
        <v>13904</v>
      </c>
    </row>
    <row r="13659" spans="8:8" x14ac:dyDescent="0.25">
      <c r="H13659" t="s">
        <v>135</v>
      </c>
    </row>
    <row r="13660" spans="8:8" x14ac:dyDescent="0.25">
      <c r="H13660" t="s">
        <v>13905</v>
      </c>
    </row>
    <row r="13661" spans="8:8" x14ac:dyDescent="0.25">
      <c r="H13661" t="s">
        <v>30</v>
      </c>
    </row>
    <row r="13662" spans="8:8" x14ac:dyDescent="0.25">
      <c r="H13662" t="s">
        <v>136</v>
      </c>
    </row>
    <row r="13663" spans="8:8" x14ac:dyDescent="0.25">
      <c r="H13663" t="s">
        <v>13906</v>
      </c>
    </row>
    <row r="13664" spans="8:8" x14ac:dyDescent="0.25">
      <c r="H13664" t="s">
        <v>30</v>
      </c>
    </row>
    <row r="13665" spans="8:8" x14ac:dyDescent="0.25">
      <c r="H13665" t="s">
        <v>137</v>
      </c>
    </row>
    <row r="13666" spans="8:8" x14ac:dyDescent="0.25">
      <c r="H13666" t="s">
        <v>13907</v>
      </c>
    </row>
    <row r="13667" spans="8:8" x14ac:dyDescent="0.25">
      <c r="H13667" t="s">
        <v>30</v>
      </c>
    </row>
    <row r="13668" spans="8:8" x14ac:dyDescent="0.25">
      <c r="H13668" t="s">
        <v>138</v>
      </c>
    </row>
    <row r="13669" spans="8:8" x14ac:dyDescent="0.25">
      <c r="H13669" t="s">
        <v>13908</v>
      </c>
    </row>
    <row r="13670" spans="8:8" x14ac:dyDescent="0.25">
      <c r="H13670" t="s">
        <v>30</v>
      </c>
    </row>
    <row r="13672" spans="8:8" x14ac:dyDescent="0.25">
      <c r="H13672" t="s">
        <v>13909</v>
      </c>
    </row>
    <row r="13673" spans="8:8" x14ac:dyDescent="0.25">
      <c r="H13673" t="s">
        <v>13910</v>
      </c>
    </row>
    <row r="13674" spans="8:8" x14ac:dyDescent="0.25">
      <c r="H13674" t="s">
        <v>135</v>
      </c>
    </row>
    <row r="13675" spans="8:8" x14ac:dyDescent="0.25">
      <c r="H13675" t="s">
        <v>13911</v>
      </c>
    </row>
    <row r="13676" spans="8:8" x14ac:dyDescent="0.25">
      <c r="H13676" t="s">
        <v>30</v>
      </c>
    </row>
    <row r="13677" spans="8:8" x14ac:dyDescent="0.25">
      <c r="H13677" t="s">
        <v>136</v>
      </c>
    </row>
    <row r="13678" spans="8:8" x14ac:dyDescent="0.25">
      <c r="H13678" t="s">
        <v>13912</v>
      </c>
    </row>
    <row r="13679" spans="8:8" x14ac:dyDescent="0.25">
      <c r="H13679" t="s">
        <v>30</v>
      </c>
    </row>
    <row r="13680" spans="8:8" x14ac:dyDescent="0.25">
      <c r="H13680" t="s">
        <v>137</v>
      </c>
    </row>
    <row r="13681" spans="8:8" x14ac:dyDescent="0.25">
      <c r="H13681" t="s">
        <v>13913</v>
      </c>
    </row>
    <row r="13682" spans="8:8" x14ac:dyDescent="0.25">
      <c r="H13682" t="s">
        <v>30</v>
      </c>
    </row>
    <row r="13683" spans="8:8" x14ac:dyDescent="0.25">
      <c r="H13683" t="s">
        <v>138</v>
      </c>
    </row>
    <row r="13684" spans="8:8" x14ac:dyDescent="0.25">
      <c r="H13684" t="s">
        <v>13914</v>
      </c>
    </row>
    <row r="13685" spans="8:8" x14ac:dyDescent="0.25">
      <c r="H13685" t="s">
        <v>30</v>
      </c>
    </row>
    <row r="13687" spans="8:8" x14ac:dyDescent="0.25">
      <c r="H13687" t="s">
        <v>13915</v>
      </c>
    </row>
    <row r="13688" spans="8:8" x14ac:dyDescent="0.25">
      <c r="H13688" t="s">
        <v>13916</v>
      </c>
    </row>
    <row r="13689" spans="8:8" x14ac:dyDescent="0.25">
      <c r="H13689" t="s">
        <v>135</v>
      </c>
    </row>
    <row r="13690" spans="8:8" x14ac:dyDescent="0.25">
      <c r="H13690" t="s">
        <v>13917</v>
      </c>
    </row>
    <row r="13691" spans="8:8" x14ac:dyDescent="0.25">
      <c r="H13691" t="s">
        <v>30</v>
      </c>
    </row>
    <row r="13692" spans="8:8" x14ac:dyDescent="0.25">
      <c r="H13692" t="s">
        <v>136</v>
      </c>
    </row>
    <row r="13693" spans="8:8" x14ac:dyDescent="0.25">
      <c r="H13693" t="s">
        <v>13918</v>
      </c>
    </row>
    <row r="13694" spans="8:8" x14ac:dyDescent="0.25">
      <c r="H13694" t="s">
        <v>30</v>
      </c>
    </row>
    <row r="13695" spans="8:8" x14ac:dyDescent="0.25">
      <c r="H13695" t="s">
        <v>137</v>
      </c>
    </row>
    <row r="13696" spans="8:8" x14ac:dyDescent="0.25">
      <c r="H13696" t="s">
        <v>13919</v>
      </c>
    </row>
    <row r="13697" spans="8:8" x14ac:dyDescent="0.25">
      <c r="H13697" t="s">
        <v>30</v>
      </c>
    </row>
    <row r="13698" spans="8:8" x14ac:dyDescent="0.25">
      <c r="H13698" t="s">
        <v>138</v>
      </c>
    </row>
    <row r="13699" spans="8:8" x14ac:dyDescent="0.25">
      <c r="H13699" t="s">
        <v>13920</v>
      </c>
    </row>
    <row r="13700" spans="8:8" x14ac:dyDescent="0.25">
      <c r="H13700" t="s">
        <v>30</v>
      </c>
    </row>
    <row r="13702" spans="8:8" x14ac:dyDescent="0.25">
      <c r="H13702" t="s">
        <v>13921</v>
      </c>
    </row>
    <row r="13703" spans="8:8" x14ac:dyDescent="0.25">
      <c r="H13703" t="s">
        <v>13922</v>
      </c>
    </row>
    <row r="13704" spans="8:8" x14ac:dyDescent="0.25">
      <c r="H13704" t="s">
        <v>135</v>
      </c>
    </row>
    <row r="13705" spans="8:8" x14ac:dyDescent="0.25">
      <c r="H13705" t="s">
        <v>13923</v>
      </c>
    </row>
    <row r="13706" spans="8:8" x14ac:dyDescent="0.25">
      <c r="H13706" t="s">
        <v>30</v>
      </c>
    </row>
    <row r="13707" spans="8:8" x14ac:dyDescent="0.25">
      <c r="H13707" t="s">
        <v>136</v>
      </c>
    </row>
    <row r="13708" spans="8:8" x14ac:dyDescent="0.25">
      <c r="H13708" t="s">
        <v>13924</v>
      </c>
    </row>
    <row r="13709" spans="8:8" x14ac:dyDescent="0.25">
      <c r="H13709" t="s">
        <v>30</v>
      </c>
    </row>
    <row r="13710" spans="8:8" x14ac:dyDescent="0.25">
      <c r="H13710" t="s">
        <v>137</v>
      </c>
    </row>
    <row r="13711" spans="8:8" x14ac:dyDescent="0.25">
      <c r="H13711" t="s">
        <v>13925</v>
      </c>
    </row>
    <row r="13712" spans="8:8" x14ac:dyDescent="0.25">
      <c r="H13712" t="s">
        <v>30</v>
      </c>
    </row>
    <row r="13713" spans="8:8" x14ac:dyDescent="0.25">
      <c r="H13713" t="s">
        <v>138</v>
      </c>
    </row>
    <row r="13714" spans="8:8" x14ac:dyDescent="0.25">
      <c r="H13714" t="s">
        <v>13926</v>
      </c>
    </row>
    <row r="13715" spans="8:8" x14ac:dyDescent="0.25">
      <c r="H13715" t="s">
        <v>30</v>
      </c>
    </row>
    <row r="13717" spans="8:8" x14ac:dyDescent="0.25">
      <c r="H13717" t="s">
        <v>13927</v>
      </c>
    </row>
    <row r="13718" spans="8:8" x14ac:dyDescent="0.25">
      <c r="H13718" t="s">
        <v>13928</v>
      </c>
    </row>
    <row r="13719" spans="8:8" x14ac:dyDescent="0.25">
      <c r="H13719" t="s">
        <v>135</v>
      </c>
    </row>
    <row r="13720" spans="8:8" x14ac:dyDescent="0.25">
      <c r="H13720" t="s">
        <v>13929</v>
      </c>
    </row>
    <row r="13721" spans="8:8" x14ac:dyDescent="0.25">
      <c r="H13721" t="s">
        <v>30</v>
      </c>
    </row>
    <row r="13722" spans="8:8" x14ac:dyDescent="0.25">
      <c r="H13722" t="s">
        <v>136</v>
      </c>
    </row>
    <row r="13723" spans="8:8" x14ac:dyDescent="0.25">
      <c r="H13723" t="s">
        <v>13930</v>
      </c>
    </row>
    <row r="13724" spans="8:8" x14ac:dyDescent="0.25">
      <c r="H13724" t="s">
        <v>30</v>
      </c>
    </row>
    <row r="13725" spans="8:8" x14ac:dyDescent="0.25">
      <c r="H13725" t="s">
        <v>137</v>
      </c>
    </row>
    <row r="13726" spans="8:8" x14ac:dyDescent="0.25">
      <c r="H13726" t="s">
        <v>13931</v>
      </c>
    </row>
    <row r="13727" spans="8:8" x14ac:dyDescent="0.25">
      <c r="H13727" t="s">
        <v>30</v>
      </c>
    </row>
    <row r="13728" spans="8:8" x14ac:dyDescent="0.25">
      <c r="H13728" t="s">
        <v>138</v>
      </c>
    </row>
    <row r="13729" spans="8:8" x14ac:dyDescent="0.25">
      <c r="H13729" t="s">
        <v>13932</v>
      </c>
    </row>
    <row r="13730" spans="8:8" x14ac:dyDescent="0.25">
      <c r="H13730" t="s">
        <v>30</v>
      </c>
    </row>
    <row r="13732" spans="8:8" x14ac:dyDescent="0.25">
      <c r="H13732" t="s">
        <v>13933</v>
      </c>
    </row>
    <row r="13733" spans="8:8" x14ac:dyDescent="0.25">
      <c r="H13733" t="s">
        <v>13934</v>
      </c>
    </row>
    <row r="13734" spans="8:8" x14ac:dyDescent="0.25">
      <c r="H13734" t="s">
        <v>135</v>
      </c>
    </row>
    <row r="13735" spans="8:8" x14ac:dyDescent="0.25">
      <c r="H13735" t="s">
        <v>13935</v>
      </c>
    </row>
    <row r="13736" spans="8:8" x14ac:dyDescent="0.25">
      <c r="H13736" t="s">
        <v>30</v>
      </c>
    </row>
    <row r="13737" spans="8:8" x14ac:dyDescent="0.25">
      <c r="H13737" t="s">
        <v>136</v>
      </c>
    </row>
    <row r="13738" spans="8:8" x14ac:dyDescent="0.25">
      <c r="H13738" t="s">
        <v>13936</v>
      </c>
    </row>
    <row r="13739" spans="8:8" x14ac:dyDescent="0.25">
      <c r="H13739" t="s">
        <v>30</v>
      </c>
    </row>
    <row r="13740" spans="8:8" x14ac:dyDescent="0.25">
      <c r="H13740" t="s">
        <v>137</v>
      </c>
    </row>
    <row r="13741" spans="8:8" x14ac:dyDescent="0.25">
      <c r="H13741" t="s">
        <v>13937</v>
      </c>
    </row>
    <row r="13742" spans="8:8" x14ac:dyDescent="0.25">
      <c r="H13742" t="s">
        <v>30</v>
      </c>
    </row>
    <row r="13743" spans="8:8" x14ac:dyDescent="0.25">
      <c r="H13743" t="s">
        <v>138</v>
      </c>
    </row>
    <row r="13744" spans="8:8" x14ac:dyDescent="0.25">
      <c r="H13744" t="s">
        <v>13938</v>
      </c>
    </row>
    <row r="13745" spans="8:8" x14ac:dyDescent="0.25">
      <c r="H13745" t="s">
        <v>30</v>
      </c>
    </row>
    <row r="13747" spans="8:8" x14ac:dyDescent="0.25">
      <c r="H13747" t="s">
        <v>13939</v>
      </c>
    </row>
    <row r="13748" spans="8:8" x14ac:dyDescent="0.25">
      <c r="H13748" t="s">
        <v>13940</v>
      </c>
    </row>
    <row r="13749" spans="8:8" x14ac:dyDescent="0.25">
      <c r="H13749" t="s">
        <v>135</v>
      </c>
    </row>
    <row r="13750" spans="8:8" x14ac:dyDescent="0.25">
      <c r="H13750" t="s">
        <v>13941</v>
      </c>
    </row>
    <row r="13751" spans="8:8" x14ac:dyDescent="0.25">
      <c r="H13751" t="s">
        <v>30</v>
      </c>
    </row>
    <row r="13752" spans="8:8" x14ac:dyDescent="0.25">
      <c r="H13752" t="s">
        <v>136</v>
      </c>
    </row>
    <row r="13753" spans="8:8" x14ac:dyDescent="0.25">
      <c r="H13753" t="s">
        <v>13942</v>
      </c>
    </row>
    <row r="13754" spans="8:8" x14ac:dyDescent="0.25">
      <c r="H13754" t="s">
        <v>30</v>
      </c>
    </row>
    <row r="13755" spans="8:8" x14ac:dyDescent="0.25">
      <c r="H13755" t="s">
        <v>137</v>
      </c>
    </row>
    <row r="13756" spans="8:8" x14ac:dyDescent="0.25">
      <c r="H13756" t="s">
        <v>13943</v>
      </c>
    </row>
    <row r="13757" spans="8:8" x14ac:dyDescent="0.25">
      <c r="H13757" t="s">
        <v>30</v>
      </c>
    </row>
    <row r="13758" spans="8:8" x14ac:dyDescent="0.25">
      <c r="H13758" t="s">
        <v>138</v>
      </c>
    </row>
    <row r="13759" spans="8:8" x14ac:dyDescent="0.25">
      <c r="H13759" t="s">
        <v>13944</v>
      </c>
    </row>
    <row r="13760" spans="8:8" x14ac:dyDescent="0.25">
      <c r="H13760" t="s">
        <v>30</v>
      </c>
    </row>
    <row r="13762" spans="8:8" x14ac:dyDescent="0.25">
      <c r="H13762" t="s">
        <v>13945</v>
      </c>
    </row>
    <row r="13763" spans="8:8" x14ac:dyDescent="0.25">
      <c r="H13763" t="s">
        <v>13946</v>
      </c>
    </row>
    <row r="13764" spans="8:8" x14ac:dyDescent="0.25">
      <c r="H13764" t="s">
        <v>135</v>
      </c>
    </row>
    <row r="13765" spans="8:8" x14ac:dyDescent="0.25">
      <c r="H13765" t="s">
        <v>13947</v>
      </c>
    </row>
    <row r="13766" spans="8:8" x14ac:dyDescent="0.25">
      <c r="H13766" t="s">
        <v>30</v>
      </c>
    </row>
    <row r="13767" spans="8:8" x14ac:dyDescent="0.25">
      <c r="H13767" t="s">
        <v>136</v>
      </c>
    </row>
    <row r="13768" spans="8:8" x14ac:dyDescent="0.25">
      <c r="H13768" t="s">
        <v>13948</v>
      </c>
    </row>
    <row r="13769" spans="8:8" x14ac:dyDescent="0.25">
      <c r="H13769" t="s">
        <v>30</v>
      </c>
    </row>
    <row r="13770" spans="8:8" x14ac:dyDescent="0.25">
      <c r="H13770" t="s">
        <v>137</v>
      </c>
    </row>
    <row r="13771" spans="8:8" x14ac:dyDescent="0.25">
      <c r="H13771" t="s">
        <v>13949</v>
      </c>
    </row>
    <row r="13772" spans="8:8" x14ac:dyDescent="0.25">
      <c r="H13772" t="s">
        <v>30</v>
      </c>
    </row>
    <row r="13773" spans="8:8" x14ac:dyDescent="0.25">
      <c r="H13773" t="s">
        <v>138</v>
      </c>
    </row>
    <row r="13774" spans="8:8" x14ac:dyDescent="0.25">
      <c r="H13774" t="s">
        <v>13950</v>
      </c>
    </row>
    <row r="13775" spans="8:8" x14ac:dyDescent="0.25">
      <c r="H13775" t="s">
        <v>30</v>
      </c>
    </row>
    <row r="13777" spans="8:8" x14ac:dyDescent="0.25">
      <c r="H13777" t="s">
        <v>13951</v>
      </c>
    </row>
    <row r="13778" spans="8:8" x14ac:dyDescent="0.25">
      <c r="H13778" t="s">
        <v>13952</v>
      </c>
    </row>
    <row r="13779" spans="8:8" x14ac:dyDescent="0.25">
      <c r="H13779" t="s">
        <v>135</v>
      </c>
    </row>
    <row r="13780" spans="8:8" x14ac:dyDescent="0.25">
      <c r="H13780" t="s">
        <v>13953</v>
      </c>
    </row>
    <row r="13781" spans="8:8" x14ac:dyDescent="0.25">
      <c r="H13781" t="s">
        <v>30</v>
      </c>
    </row>
    <row r="13782" spans="8:8" x14ac:dyDescent="0.25">
      <c r="H13782" t="s">
        <v>136</v>
      </c>
    </row>
    <row r="13783" spans="8:8" x14ac:dyDescent="0.25">
      <c r="H13783" t="s">
        <v>13954</v>
      </c>
    </row>
    <row r="13784" spans="8:8" x14ac:dyDescent="0.25">
      <c r="H13784" t="s">
        <v>30</v>
      </c>
    </row>
    <row r="13785" spans="8:8" x14ac:dyDescent="0.25">
      <c r="H13785" t="s">
        <v>137</v>
      </c>
    </row>
    <row r="13786" spans="8:8" x14ac:dyDescent="0.25">
      <c r="H13786" t="s">
        <v>13955</v>
      </c>
    </row>
    <row r="13787" spans="8:8" x14ac:dyDescent="0.25">
      <c r="H13787" t="s">
        <v>30</v>
      </c>
    </row>
    <row r="13788" spans="8:8" x14ac:dyDescent="0.25">
      <c r="H13788" t="s">
        <v>138</v>
      </c>
    </row>
    <row r="13789" spans="8:8" x14ac:dyDescent="0.25">
      <c r="H13789" t="s">
        <v>13956</v>
      </c>
    </row>
    <row r="13790" spans="8:8" x14ac:dyDescent="0.25">
      <c r="H13790" t="s">
        <v>30</v>
      </c>
    </row>
    <row r="13792" spans="8:8" x14ac:dyDescent="0.25">
      <c r="H13792" t="s">
        <v>13957</v>
      </c>
    </row>
    <row r="13793" spans="8:8" x14ac:dyDescent="0.25">
      <c r="H13793" t="s">
        <v>13958</v>
      </c>
    </row>
    <row r="13794" spans="8:8" x14ac:dyDescent="0.25">
      <c r="H13794" t="s">
        <v>135</v>
      </c>
    </row>
    <row r="13795" spans="8:8" x14ac:dyDescent="0.25">
      <c r="H13795" t="s">
        <v>13959</v>
      </c>
    </row>
    <row r="13796" spans="8:8" x14ac:dyDescent="0.25">
      <c r="H13796" t="s">
        <v>30</v>
      </c>
    </row>
    <row r="13797" spans="8:8" x14ac:dyDescent="0.25">
      <c r="H13797" t="s">
        <v>136</v>
      </c>
    </row>
    <row r="13798" spans="8:8" x14ac:dyDescent="0.25">
      <c r="H13798" t="s">
        <v>13960</v>
      </c>
    </row>
    <row r="13799" spans="8:8" x14ac:dyDescent="0.25">
      <c r="H13799" t="s">
        <v>30</v>
      </c>
    </row>
    <row r="13800" spans="8:8" x14ac:dyDescent="0.25">
      <c r="H13800" t="s">
        <v>137</v>
      </c>
    </row>
    <row r="13801" spans="8:8" x14ac:dyDescent="0.25">
      <c r="H13801" t="s">
        <v>13961</v>
      </c>
    </row>
    <row r="13802" spans="8:8" x14ac:dyDescent="0.25">
      <c r="H13802" t="s">
        <v>30</v>
      </c>
    </row>
    <row r="13803" spans="8:8" x14ac:dyDescent="0.25">
      <c r="H13803" t="s">
        <v>138</v>
      </c>
    </row>
    <row r="13804" spans="8:8" x14ac:dyDescent="0.25">
      <c r="H13804" t="s">
        <v>13962</v>
      </c>
    </row>
    <row r="13805" spans="8:8" x14ac:dyDescent="0.25">
      <c r="H13805" t="s">
        <v>30</v>
      </c>
    </row>
    <row r="13807" spans="8:8" x14ac:dyDescent="0.25">
      <c r="H13807" t="s">
        <v>13963</v>
      </c>
    </row>
    <row r="13808" spans="8:8" x14ac:dyDescent="0.25">
      <c r="H13808" t="s">
        <v>13964</v>
      </c>
    </row>
    <row r="13809" spans="8:8" x14ac:dyDescent="0.25">
      <c r="H13809" t="s">
        <v>135</v>
      </c>
    </row>
    <row r="13810" spans="8:8" x14ac:dyDescent="0.25">
      <c r="H13810" t="s">
        <v>13965</v>
      </c>
    </row>
    <row r="13811" spans="8:8" x14ac:dyDescent="0.25">
      <c r="H13811" t="s">
        <v>30</v>
      </c>
    </row>
    <row r="13812" spans="8:8" x14ac:dyDescent="0.25">
      <c r="H13812" t="s">
        <v>136</v>
      </c>
    </row>
    <row r="13813" spans="8:8" x14ac:dyDescent="0.25">
      <c r="H13813" t="s">
        <v>13966</v>
      </c>
    </row>
    <row r="13814" spans="8:8" x14ac:dyDescent="0.25">
      <c r="H13814" t="s">
        <v>30</v>
      </c>
    </row>
    <row r="13815" spans="8:8" x14ac:dyDescent="0.25">
      <c r="H13815" t="s">
        <v>137</v>
      </c>
    </row>
    <row r="13816" spans="8:8" x14ac:dyDescent="0.25">
      <c r="H13816" t="s">
        <v>13967</v>
      </c>
    </row>
    <row r="13817" spans="8:8" x14ac:dyDescent="0.25">
      <c r="H13817" t="s">
        <v>30</v>
      </c>
    </row>
    <row r="13818" spans="8:8" x14ac:dyDescent="0.25">
      <c r="H13818" t="s">
        <v>138</v>
      </c>
    </row>
    <row r="13819" spans="8:8" x14ac:dyDescent="0.25">
      <c r="H13819" t="s">
        <v>13968</v>
      </c>
    </row>
    <row r="13820" spans="8:8" x14ac:dyDescent="0.25">
      <c r="H13820" t="s">
        <v>30</v>
      </c>
    </row>
    <row r="13822" spans="8:8" x14ac:dyDescent="0.25">
      <c r="H13822" t="s">
        <v>13969</v>
      </c>
    </row>
    <row r="13823" spans="8:8" x14ac:dyDescent="0.25">
      <c r="H13823" t="s">
        <v>13970</v>
      </c>
    </row>
    <row r="13824" spans="8:8" x14ac:dyDescent="0.25">
      <c r="H13824" t="s">
        <v>135</v>
      </c>
    </row>
    <row r="13825" spans="8:8" x14ac:dyDescent="0.25">
      <c r="H13825" t="s">
        <v>13971</v>
      </c>
    </row>
    <row r="13826" spans="8:8" x14ac:dyDescent="0.25">
      <c r="H13826" t="s">
        <v>30</v>
      </c>
    </row>
    <row r="13827" spans="8:8" x14ac:dyDescent="0.25">
      <c r="H13827" t="s">
        <v>136</v>
      </c>
    </row>
    <row r="13828" spans="8:8" x14ac:dyDescent="0.25">
      <c r="H13828" t="s">
        <v>13972</v>
      </c>
    </row>
    <row r="13829" spans="8:8" x14ac:dyDescent="0.25">
      <c r="H13829" t="s">
        <v>30</v>
      </c>
    </row>
    <row r="13830" spans="8:8" x14ac:dyDescent="0.25">
      <c r="H13830" t="s">
        <v>137</v>
      </c>
    </row>
    <row r="13831" spans="8:8" x14ac:dyDescent="0.25">
      <c r="H13831" t="s">
        <v>13973</v>
      </c>
    </row>
    <row r="13832" spans="8:8" x14ac:dyDescent="0.25">
      <c r="H13832" t="s">
        <v>30</v>
      </c>
    </row>
    <row r="13833" spans="8:8" x14ac:dyDescent="0.25">
      <c r="H13833" t="s">
        <v>138</v>
      </c>
    </row>
    <row r="13834" spans="8:8" x14ac:dyDescent="0.25">
      <c r="H13834" t="s">
        <v>13974</v>
      </c>
    </row>
    <row r="13835" spans="8:8" x14ac:dyDescent="0.25">
      <c r="H13835" t="s">
        <v>30</v>
      </c>
    </row>
    <row r="13837" spans="8:8" x14ac:dyDescent="0.25">
      <c r="H13837" t="s">
        <v>13975</v>
      </c>
    </row>
    <row r="13838" spans="8:8" x14ac:dyDescent="0.25">
      <c r="H13838" t="s">
        <v>13976</v>
      </c>
    </row>
    <row r="13839" spans="8:8" x14ac:dyDescent="0.25">
      <c r="H13839" t="s">
        <v>135</v>
      </c>
    </row>
    <row r="13840" spans="8:8" x14ac:dyDescent="0.25">
      <c r="H13840" t="s">
        <v>13977</v>
      </c>
    </row>
    <row r="13841" spans="8:8" x14ac:dyDescent="0.25">
      <c r="H13841" t="s">
        <v>30</v>
      </c>
    </row>
    <row r="13842" spans="8:8" x14ac:dyDescent="0.25">
      <c r="H13842" t="s">
        <v>136</v>
      </c>
    </row>
    <row r="13843" spans="8:8" x14ac:dyDescent="0.25">
      <c r="H13843" t="s">
        <v>13978</v>
      </c>
    </row>
    <row r="13844" spans="8:8" x14ac:dyDescent="0.25">
      <c r="H13844" t="s">
        <v>30</v>
      </c>
    </row>
    <row r="13845" spans="8:8" x14ac:dyDescent="0.25">
      <c r="H13845" t="s">
        <v>137</v>
      </c>
    </row>
    <row r="13846" spans="8:8" x14ac:dyDescent="0.25">
      <c r="H13846" t="s">
        <v>13979</v>
      </c>
    </row>
    <row r="13847" spans="8:8" x14ac:dyDescent="0.25">
      <c r="H13847" t="s">
        <v>30</v>
      </c>
    </row>
    <row r="13848" spans="8:8" x14ac:dyDescent="0.25">
      <c r="H13848" t="s">
        <v>138</v>
      </c>
    </row>
    <row r="13849" spans="8:8" x14ac:dyDescent="0.25">
      <c r="H13849" t="s">
        <v>13980</v>
      </c>
    </row>
    <row r="13850" spans="8:8" x14ac:dyDescent="0.25">
      <c r="H13850" t="s">
        <v>30</v>
      </c>
    </row>
    <row r="13852" spans="8:8" x14ac:dyDescent="0.25">
      <c r="H13852" t="s">
        <v>13981</v>
      </c>
    </row>
    <row r="13853" spans="8:8" x14ac:dyDescent="0.25">
      <c r="H13853" t="s">
        <v>13982</v>
      </c>
    </row>
    <row r="13854" spans="8:8" x14ac:dyDescent="0.25">
      <c r="H13854" t="s">
        <v>135</v>
      </c>
    </row>
    <row r="13855" spans="8:8" x14ac:dyDescent="0.25">
      <c r="H13855" t="s">
        <v>13983</v>
      </c>
    </row>
    <row r="13856" spans="8:8" x14ac:dyDescent="0.25">
      <c r="H13856" t="s">
        <v>30</v>
      </c>
    </row>
    <row r="13857" spans="8:8" x14ac:dyDescent="0.25">
      <c r="H13857" t="s">
        <v>136</v>
      </c>
    </row>
    <row r="13858" spans="8:8" x14ac:dyDescent="0.25">
      <c r="H13858" t="s">
        <v>13984</v>
      </c>
    </row>
    <row r="13859" spans="8:8" x14ac:dyDescent="0.25">
      <c r="H13859" t="s">
        <v>30</v>
      </c>
    </row>
    <row r="13860" spans="8:8" x14ac:dyDescent="0.25">
      <c r="H13860" t="s">
        <v>137</v>
      </c>
    </row>
    <row r="13861" spans="8:8" x14ac:dyDescent="0.25">
      <c r="H13861" t="s">
        <v>13985</v>
      </c>
    </row>
    <row r="13862" spans="8:8" x14ac:dyDescent="0.25">
      <c r="H13862" t="s">
        <v>30</v>
      </c>
    </row>
    <row r="13863" spans="8:8" x14ac:dyDescent="0.25">
      <c r="H13863" t="s">
        <v>138</v>
      </c>
    </row>
    <row r="13864" spans="8:8" x14ac:dyDescent="0.25">
      <c r="H13864" t="s">
        <v>13986</v>
      </c>
    </row>
    <row r="13865" spans="8:8" x14ac:dyDescent="0.25">
      <c r="H13865" t="s">
        <v>30</v>
      </c>
    </row>
    <row r="13867" spans="8:8" x14ac:dyDescent="0.25">
      <c r="H13867" t="s">
        <v>13987</v>
      </c>
    </row>
    <row r="13868" spans="8:8" x14ac:dyDescent="0.25">
      <c r="H13868" t="s">
        <v>13988</v>
      </c>
    </row>
    <row r="13869" spans="8:8" x14ac:dyDescent="0.25">
      <c r="H13869" t="s">
        <v>135</v>
      </c>
    </row>
    <row r="13870" spans="8:8" x14ac:dyDescent="0.25">
      <c r="H13870" t="s">
        <v>13989</v>
      </c>
    </row>
    <row r="13871" spans="8:8" x14ac:dyDescent="0.25">
      <c r="H13871" t="s">
        <v>30</v>
      </c>
    </row>
    <row r="13872" spans="8:8" x14ac:dyDescent="0.25">
      <c r="H13872" t="s">
        <v>136</v>
      </c>
    </row>
    <row r="13873" spans="8:8" x14ac:dyDescent="0.25">
      <c r="H13873" t="s">
        <v>13990</v>
      </c>
    </row>
    <row r="13874" spans="8:8" x14ac:dyDescent="0.25">
      <c r="H13874" t="s">
        <v>30</v>
      </c>
    </row>
    <row r="13875" spans="8:8" x14ac:dyDescent="0.25">
      <c r="H13875" t="s">
        <v>137</v>
      </c>
    </row>
    <row r="13876" spans="8:8" x14ac:dyDescent="0.25">
      <c r="H13876" t="s">
        <v>13991</v>
      </c>
    </row>
    <row r="13877" spans="8:8" x14ac:dyDescent="0.25">
      <c r="H13877" t="s">
        <v>30</v>
      </c>
    </row>
    <row r="13878" spans="8:8" x14ac:dyDescent="0.25">
      <c r="H13878" t="s">
        <v>138</v>
      </c>
    </row>
    <row r="13879" spans="8:8" x14ac:dyDescent="0.25">
      <c r="H13879" t="s">
        <v>13992</v>
      </c>
    </row>
    <row r="13880" spans="8:8" x14ac:dyDescent="0.25">
      <c r="H13880" t="s">
        <v>30</v>
      </c>
    </row>
    <row r="13882" spans="8:8" x14ac:dyDescent="0.25">
      <c r="H13882" t="s">
        <v>13993</v>
      </c>
    </row>
    <row r="13883" spans="8:8" x14ac:dyDescent="0.25">
      <c r="H13883" t="s">
        <v>13994</v>
      </c>
    </row>
    <row r="13884" spans="8:8" x14ac:dyDescent="0.25">
      <c r="H13884" t="s">
        <v>135</v>
      </c>
    </row>
    <row r="13885" spans="8:8" x14ac:dyDescent="0.25">
      <c r="H13885" t="s">
        <v>13995</v>
      </c>
    </row>
    <row r="13886" spans="8:8" x14ac:dyDescent="0.25">
      <c r="H13886" t="s">
        <v>30</v>
      </c>
    </row>
    <row r="13887" spans="8:8" x14ac:dyDescent="0.25">
      <c r="H13887" t="s">
        <v>136</v>
      </c>
    </row>
    <row r="13888" spans="8:8" x14ac:dyDescent="0.25">
      <c r="H13888" t="s">
        <v>13996</v>
      </c>
    </row>
    <row r="13889" spans="8:8" x14ac:dyDescent="0.25">
      <c r="H13889" t="s">
        <v>30</v>
      </c>
    </row>
    <row r="13890" spans="8:8" x14ac:dyDescent="0.25">
      <c r="H13890" t="s">
        <v>137</v>
      </c>
    </row>
    <row r="13891" spans="8:8" x14ac:dyDescent="0.25">
      <c r="H13891" t="s">
        <v>13997</v>
      </c>
    </row>
    <row r="13892" spans="8:8" x14ac:dyDescent="0.25">
      <c r="H13892" t="s">
        <v>30</v>
      </c>
    </row>
    <row r="13893" spans="8:8" x14ac:dyDescent="0.25">
      <c r="H13893" t="s">
        <v>138</v>
      </c>
    </row>
    <row r="13894" spans="8:8" x14ac:dyDescent="0.25">
      <c r="H13894" t="s">
        <v>13998</v>
      </c>
    </row>
    <row r="13895" spans="8:8" x14ac:dyDescent="0.25">
      <c r="H13895" t="s">
        <v>30</v>
      </c>
    </row>
    <row r="13897" spans="8:8" x14ac:dyDescent="0.25">
      <c r="H13897" t="s">
        <v>13999</v>
      </c>
    </row>
    <row r="13898" spans="8:8" x14ac:dyDescent="0.25">
      <c r="H13898" t="s">
        <v>14000</v>
      </c>
    </row>
    <row r="13899" spans="8:8" x14ac:dyDescent="0.25">
      <c r="H13899" t="s">
        <v>135</v>
      </c>
    </row>
    <row r="13900" spans="8:8" x14ac:dyDescent="0.25">
      <c r="H13900" t="s">
        <v>14001</v>
      </c>
    </row>
    <row r="13901" spans="8:8" x14ac:dyDescent="0.25">
      <c r="H13901" t="s">
        <v>30</v>
      </c>
    </row>
    <row r="13902" spans="8:8" x14ac:dyDescent="0.25">
      <c r="H13902" t="s">
        <v>136</v>
      </c>
    </row>
    <row r="13903" spans="8:8" x14ac:dyDescent="0.25">
      <c r="H13903" t="s">
        <v>14002</v>
      </c>
    </row>
    <row r="13904" spans="8:8" x14ac:dyDescent="0.25">
      <c r="H13904" t="s">
        <v>30</v>
      </c>
    </row>
    <row r="13905" spans="8:8" x14ac:dyDescent="0.25">
      <c r="H13905" t="s">
        <v>137</v>
      </c>
    </row>
    <row r="13906" spans="8:8" x14ac:dyDescent="0.25">
      <c r="H13906" t="s">
        <v>14003</v>
      </c>
    </row>
    <row r="13907" spans="8:8" x14ac:dyDescent="0.25">
      <c r="H13907" t="s">
        <v>30</v>
      </c>
    </row>
    <row r="13908" spans="8:8" x14ac:dyDescent="0.25">
      <c r="H13908" t="s">
        <v>138</v>
      </c>
    </row>
    <row r="13909" spans="8:8" x14ac:dyDescent="0.25">
      <c r="H13909" t="s">
        <v>14004</v>
      </c>
    </row>
    <row r="13910" spans="8:8" x14ac:dyDescent="0.25">
      <c r="H13910" t="s">
        <v>30</v>
      </c>
    </row>
    <row r="13912" spans="8:8" x14ac:dyDescent="0.25">
      <c r="H13912" t="s">
        <v>14005</v>
      </c>
    </row>
    <row r="13913" spans="8:8" x14ac:dyDescent="0.25">
      <c r="H13913" t="s">
        <v>14006</v>
      </c>
    </row>
    <row r="13914" spans="8:8" x14ac:dyDescent="0.25">
      <c r="H13914" t="s">
        <v>135</v>
      </c>
    </row>
    <row r="13915" spans="8:8" x14ac:dyDescent="0.25">
      <c r="H13915" t="s">
        <v>14007</v>
      </c>
    </row>
    <row r="13916" spans="8:8" x14ac:dyDescent="0.25">
      <c r="H13916" t="s">
        <v>30</v>
      </c>
    </row>
    <row r="13917" spans="8:8" x14ac:dyDescent="0.25">
      <c r="H13917" t="s">
        <v>136</v>
      </c>
    </row>
    <row r="13918" spans="8:8" x14ac:dyDescent="0.25">
      <c r="H13918" t="s">
        <v>14008</v>
      </c>
    </row>
    <row r="13919" spans="8:8" x14ac:dyDescent="0.25">
      <c r="H13919" t="s">
        <v>30</v>
      </c>
    </row>
    <row r="13920" spans="8:8" x14ac:dyDescent="0.25">
      <c r="H13920" t="s">
        <v>137</v>
      </c>
    </row>
    <row r="13921" spans="8:8" x14ac:dyDescent="0.25">
      <c r="H13921" t="s">
        <v>14009</v>
      </c>
    </row>
    <row r="13922" spans="8:8" x14ac:dyDescent="0.25">
      <c r="H13922" t="s">
        <v>30</v>
      </c>
    </row>
    <row r="13923" spans="8:8" x14ac:dyDescent="0.25">
      <c r="H13923" t="s">
        <v>138</v>
      </c>
    </row>
    <row r="13924" spans="8:8" x14ac:dyDescent="0.25">
      <c r="H13924" t="s">
        <v>14010</v>
      </c>
    </row>
    <row r="13925" spans="8:8" x14ac:dyDescent="0.25">
      <c r="H13925" t="s">
        <v>30</v>
      </c>
    </row>
    <row r="13927" spans="8:8" x14ac:dyDescent="0.25">
      <c r="H13927" t="s">
        <v>14011</v>
      </c>
    </row>
    <row r="13928" spans="8:8" x14ac:dyDescent="0.25">
      <c r="H13928" t="s">
        <v>14012</v>
      </c>
    </row>
    <row r="13929" spans="8:8" x14ac:dyDescent="0.25">
      <c r="H13929" t="s">
        <v>135</v>
      </c>
    </row>
    <row r="13930" spans="8:8" x14ac:dyDescent="0.25">
      <c r="H13930" t="s">
        <v>14013</v>
      </c>
    </row>
    <row r="13931" spans="8:8" x14ac:dyDescent="0.25">
      <c r="H13931" t="s">
        <v>30</v>
      </c>
    </row>
    <row r="13932" spans="8:8" x14ac:dyDescent="0.25">
      <c r="H13932" t="s">
        <v>136</v>
      </c>
    </row>
    <row r="13933" spans="8:8" x14ac:dyDescent="0.25">
      <c r="H13933" t="s">
        <v>14014</v>
      </c>
    </row>
    <row r="13934" spans="8:8" x14ac:dyDescent="0.25">
      <c r="H13934" t="s">
        <v>30</v>
      </c>
    </row>
    <row r="13935" spans="8:8" x14ac:dyDescent="0.25">
      <c r="H13935" t="s">
        <v>137</v>
      </c>
    </row>
    <row r="13936" spans="8:8" x14ac:dyDescent="0.25">
      <c r="H13936" t="s">
        <v>14015</v>
      </c>
    </row>
    <row r="13937" spans="8:8" x14ac:dyDescent="0.25">
      <c r="H13937" t="s">
        <v>30</v>
      </c>
    </row>
    <row r="13938" spans="8:8" x14ac:dyDescent="0.25">
      <c r="H13938" t="s">
        <v>138</v>
      </c>
    </row>
    <row r="13939" spans="8:8" x14ac:dyDescent="0.25">
      <c r="H13939" t="s">
        <v>14016</v>
      </c>
    </row>
    <row r="13940" spans="8:8" x14ac:dyDescent="0.25">
      <c r="H13940" t="s">
        <v>30</v>
      </c>
    </row>
    <row r="13942" spans="8:8" x14ac:dyDescent="0.25">
      <c r="H13942" t="s">
        <v>14017</v>
      </c>
    </row>
    <row r="13943" spans="8:8" x14ac:dyDescent="0.25">
      <c r="H13943" t="s">
        <v>14018</v>
      </c>
    </row>
    <row r="13944" spans="8:8" x14ac:dyDescent="0.25">
      <c r="H13944" t="s">
        <v>135</v>
      </c>
    </row>
    <row r="13945" spans="8:8" x14ac:dyDescent="0.25">
      <c r="H13945" t="s">
        <v>14019</v>
      </c>
    </row>
    <row r="13946" spans="8:8" x14ac:dyDescent="0.25">
      <c r="H13946" t="s">
        <v>30</v>
      </c>
    </row>
    <row r="13947" spans="8:8" x14ac:dyDescent="0.25">
      <c r="H13947" t="s">
        <v>136</v>
      </c>
    </row>
    <row r="13948" spans="8:8" x14ac:dyDescent="0.25">
      <c r="H13948" t="s">
        <v>14020</v>
      </c>
    </row>
    <row r="13949" spans="8:8" x14ac:dyDescent="0.25">
      <c r="H13949" t="s">
        <v>30</v>
      </c>
    </row>
    <row r="13950" spans="8:8" x14ac:dyDescent="0.25">
      <c r="H13950" t="s">
        <v>137</v>
      </c>
    </row>
    <row r="13951" spans="8:8" x14ac:dyDescent="0.25">
      <c r="H13951" t="s">
        <v>14021</v>
      </c>
    </row>
    <row r="13952" spans="8:8" x14ac:dyDescent="0.25">
      <c r="H13952" t="s">
        <v>30</v>
      </c>
    </row>
    <row r="13953" spans="8:8" x14ac:dyDescent="0.25">
      <c r="H13953" t="s">
        <v>138</v>
      </c>
    </row>
    <row r="13954" spans="8:8" x14ac:dyDescent="0.25">
      <c r="H13954" t="s">
        <v>14022</v>
      </c>
    </row>
    <row r="13955" spans="8:8" x14ac:dyDescent="0.25">
      <c r="H13955" t="s">
        <v>30</v>
      </c>
    </row>
    <row r="13957" spans="8:8" x14ac:dyDescent="0.25">
      <c r="H13957" t="s">
        <v>14023</v>
      </c>
    </row>
    <row r="13958" spans="8:8" x14ac:dyDescent="0.25">
      <c r="H13958" t="s">
        <v>14024</v>
      </c>
    </row>
    <row r="13959" spans="8:8" x14ac:dyDescent="0.25">
      <c r="H13959" t="s">
        <v>135</v>
      </c>
    </row>
    <row r="13960" spans="8:8" x14ac:dyDescent="0.25">
      <c r="H13960" t="s">
        <v>14025</v>
      </c>
    </row>
    <row r="13961" spans="8:8" x14ac:dyDescent="0.25">
      <c r="H13961" t="s">
        <v>30</v>
      </c>
    </row>
    <row r="13962" spans="8:8" x14ac:dyDescent="0.25">
      <c r="H13962" t="s">
        <v>136</v>
      </c>
    </row>
    <row r="13963" spans="8:8" x14ac:dyDescent="0.25">
      <c r="H13963" t="s">
        <v>14026</v>
      </c>
    </row>
    <row r="13964" spans="8:8" x14ac:dyDescent="0.25">
      <c r="H13964" t="s">
        <v>30</v>
      </c>
    </row>
    <row r="13965" spans="8:8" x14ac:dyDescent="0.25">
      <c r="H13965" t="s">
        <v>137</v>
      </c>
    </row>
    <row r="13966" spans="8:8" x14ac:dyDescent="0.25">
      <c r="H13966" t="s">
        <v>14027</v>
      </c>
    </row>
    <row r="13967" spans="8:8" x14ac:dyDescent="0.25">
      <c r="H13967" t="s">
        <v>30</v>
      </c>
    </row>
    <row r="13968" spans="8:8" x14ac:dyDescent="0.25">
      <c r="H13968" t="s">
        <v>138</v>
      </c>
    </row>
    <row r="13969" spans="8:8" x14ac:dyDescent="0.25">
      <c r="H13969" t="s">
        <v>14028</v>
      </c>
    </row>
    <row r="13970" spans="8:8" x14ac:dyDescent="0.25">
      <c r="H13970" t="s">
        <v>30</v>
      </c>
    </row>
    <row r="13972" spans="8:8" x14ac:dyDescent="0.25">
      <c r="H13972" t="s">
        <v>14029</v>
      </c>
    </row>
    <row r="13973" spans="8:8" x14ac:dyDescent="0.25">
      <c r="H13973" t="s">
        <v>14030</v>
      </c>
    </row>
    <row r="13974" spans="8:8" x14ac:dyDescent="0.25">
      <c r="H13974" t="s">
        <v>135</v>
      </c>
    </row>
    <row r="13975" spans="8:8" x14ac:dyDescent="0.25">
      <c r="H13975" t="s">
        <v>14031</v>
      </c>
    </row>
    <row r="13976" spans="8:8" x14ac:dyDescent="0.25">
      <c r="H13976" t="s">
        <v>30</v>
      </c>
    </row>
    <row r="13977" spans="8:8" x14ac:dyDescent="0.25">
      <c r="H13977" t="s">
        <v>136</v>
      </c>
    </row>
    <row r="13978" spans="8:8" x14ac:dyDescent="0.25">
      <c r="H13978" t="s">
        <v>14032</v>
      </c>
    </row>
    <row r="13979" spans="8:8" x14ac:dyDescent="0.25">
      <c r="H13979" t="s">
        <v>30</v>
      </c>
    </row>
    <row r="13980" spans="8:8" x14ac:dyDescent="0.25">
      <c r="H13980" t="s">
        <v>137</v>
      </c>
    </row>
    <row r="13981" spans="8:8" x14ac:dyDescent="0.25">
      <c r="H13981" t="s">
        <v>14033</v>
      </c>
    </row>
    <row r="13982" spans="8:8" x14ac:dyDescent="0.25">
      <c r="H13982" t="s">
        <v>30</v>
      </c>
    </row>
    <row r="13983" spans="8:8" x14ac:dyDescent="0.25">
      <c r="H13983" t="s">
        <v>138</v>
      </c>
    </row>
    <row r="13984" spans="8:8" x14ac:dyDescent="0.25">
      <c r="H13984" t="s">
        <v>14034</v>
      </c>
    </row>
    <row r="13985" spans="8:8" x14ac:dyDescent="0.25">
      <c r="H13985" t="s">
        <v>30</v>
      </c>
    </row>
    <row r="13987" spans="8:8" x14ac:dyDescent="0.25">
      <c r="H13987" t="s">
        <v>14035</v>
      </c>
    </row>
    <row r="13988" spans="8:8" x14ac:dyDescent="0.25">
      <c r="H13988" t="s">
        <v>14036</v>
      </c>
    </row>
    <row r="13989" spans="8:8" x14ac:dyDescent="0.25">
      <c r="H13989" t="s">
        <v>135</v>
      </c>
    </row>
    <row r="13990" spans="8:8" x14ac:dyDescent="0.25">
      <c r="H13990" t="s">
        <v>14037</v>
      </c>
    </row>
    <row r="13991" spans="8:8" x14ac:dyDescent="0.25">
      <c r="H13991" t="s">
        <v>30</v>
      </c>
    </row>
    <row r="13992" spans="8:8" x14ac:dyDescent="0.25">
      <c r="H13992" t="s">
        <v>136</v>
      </c>
    </row>
    <row r="13993" spans="8:8" x14ac:dyDescent="0.25">
      <c r="H13993" t="s">
        <v>14038</v>
      </c>
    </row>
    <row r="13994" spans="8:8" x14ac:dyDescent="0.25">
      <c r="H13994" t="s">
        <v>30</v>
      </c>
    </row>
    <row r="13995" spans="8:8" x14ac:dyDescent="0.25">
      <c r="H13995" t="s">
        <v>137</v>
      </c>
    </row>
    <row r="13996" spans="8:8" x14ac:dyDescent="0.25">
      <c r="H13996" t="s">
        <v>14039</v>
      </c>
    </row>
    <row r="13997" spans="8:8" x14ac:dyDescent="0.25">
      <c r="H13997" t="s">
        <v>30</v>
      </c>
    </row>
    <row r="13998" spans="8:8" x14ac:dyDescent="0.25">
      <c r="H13998" t="s">
        <v>138</v>
      </c>
    </row>
    <row r="13999" spans="8:8" x14ac:dyDescent="0.25">
      <c r="H13999" t="s">
        <v>14040</v>
      </c>
    </row>
    <row r="14000" spans="8:8" x14ac:dyDescent="0.25">
      <c r="H14000" t="s">
        <v>30</v>
      </c>
    </row>
    <row r="14002" spans="8:8" x14ac:dyDescent="0.25">
      <c r="H14002" t="s">
        <v>14041</v>
      </c>
    </row>
    <row r="14003" spans="8:8" x14ac:dyDescent="0.25">
      <c r="H14003" t="s">
        <v>14042</v>
      </c>
    </row>
    <row r="14004" spans="8:8" x14ac:dyDescent="0.25">
      <c r="H14004" t="s">
        <v>135</v>
      </c>
    </row>
    <row r="14005" spans="8:8" x14ac:dyDescent="0.25">
      <c r="H14005" t="s">
        <v>14043</v>
      </c>
    </row>
    <row r="14006" spans="8:8" x14ac:dyDescent="0.25">
      <c r="H14006" t="s">
        <v>30</v>
      </c>
    </row>
    <row r="14007" spans="8:8" x14ac:dyDescent="0.25">
      <c r="H14007" t="s">
        <v>136</v>
      </c>
    </row>
    <row r="14008" spans="8:8" x14ac:dyDescent="0.25">
      <c r="H14008" t="s">
        <v>14044</v>
      </c>
    </row>
    <row r="14009" spans="8:8" x14ac:dyDescent="0.25">
      <c r="H14009" t="s">
        <v>30</v>
      </c>
    </row>
    <row r="14010" spans="8:8" x14ac:dyDescent="0.25">
      <c r="H14010" t="s">
        <v>137</v>
      </c>
    </row>
    <row r="14011" spans="8:8" x14ac:dyDescent="0.25">
      <c r="H14011" t="s">
        <v>14045</v>
      </c>
    </row>
    <row r="14012" spans="8:8" x14ac:dyDescent="0.25">
      <c r="H14012" t="s">
        <v>30</v>
      </c>
    </row>
    <row r="14013" spans="8:8" x14ac:dyDescent="0.25">
      <c r="H14013" t="s">
        <v>138</v>
      </c>
    </row>
    <row r="14014" spans="8:8" x14ac:dyDescent="0.25">
      <c r="H14014" t="s">
        <v>14046</v>
      </c>
    </row>
    <row r="14015" spans="8:8" x14ac:dyDescent="0.25">
      <c r="H14015" t="s">
        <v>30</v>
      </c>
    </row>
    <row r="14017" spans="8:8" x14ac:dyDescent="0.25">
      <c r="H14017" t="s">
        <v>14047</v>
      </c>
    </row>
    <row r="14018" spans="8:8" x14ac:dyDescent="0.25">
      <c r="H14018" t="s">
        <v>14048</v>
      </c>
    </row>
    <row r="14019" spans="8:8" x14ac:dyDescent="0.25">
      <c r="H14019" t="s">
        <v>135</v>
      </c>
    </row>
    <row r="14020" spans="8:8" x14ac:dyDescent="0.25">
      <c r="H14020" t="s">
        <v>14049</v>
      </c>
    </row>
    <row r="14021" spans="8:8" x14ac:dyDescent="0.25">
      <c r="H14021" t="s">
        <v>30</v>
      </c>
    </row>
    <row r="14022" spans="8:8" x14ac:dyDescent="0.25">
      <c r="H14022" t="s">
        <v>136</v>
      </c>
    </row>
    <row r="14023" spans="8:8" x14ac:dyDescent="0.25">
      <c r="H14023" t="s">
        <v>14050</v>
      </c>
    </row>
    <row r="14024" spans="8:8" x14ac:dyDescent="0.25">
      <c r="H14024" t="s">
        <v>30</v>
      </c>
    </row>
    <row r="14025" spans="8:8" x14ac:dyDescent="0.25">
      <c r="H14025" t="s">
        <v>137</v>
      </c>
    </row>
    <row r="14026" spans="8:8" x14ac:dyDescent="0.25">
      <c r="H14026" t="s">
        <v>14051</v>
      </c>
    </row>
    <row r="14027" spans="8:8" x14ac:dyDescent="0.25">
      <c r="H14027" t="s">
        <v>30</v>
      </c>
    </row>
    <row r="14028" spans="8:8" x14ac:dyDescent="0.25">
      <c r="H14028" t="s">
        <v>138</v>
      </c>
    </row>
    <row r="14029" spans="8:8" x14ac:dyDescent="0.25">
      <c r="H14029" t="s">
        <v>14052</v>
      </c>
    </row>
    <row r="14030" spans="8:8" x14ac:dyDescent="0.25">
      <c r="H14030" t="s">
        <v>30</v>
      </c>
    </row>
    <row r="14032" spans="8:8" x14ac:dyDescent="0.25">
      <c r="H14032" t="s">
        <v>14053</v>
      </c>
    </row>
    <row r="14033" spans="8:8" x14ac:dyDescent="0.25">
      <c r="H14033" t="s">
        <v>14054</v>
      </c>
    </row>
    <row r="14034" spans="8:8" x14ac:dyDescent="0.25">
      <c r="H14034" t="s">
        <v>135</v>
      </c>
    </row>
    <row r="14035" spans="8:8" x14ac:dyDescent="0.25">
      <c r="H14035" t="s">
        <v>14055</v>
      </c>
    </row>
    <row r="14036" spans="8:8" x14ac:dyDescent="0.25">
      <c r="H14036" t="s">
        <v>30</v>
      </c>
    </row>
    <row r="14037" spans="8:8" x14ac:dyDescent="0.25">
      <c r="H14037" t="s">
        <v>136</v>
      </c>
    </row>
    <row r="14038" spans="8:8" x14ac:dyDescent="0.25">
      <c r="H14038" t="s">
        <v>14056</v>
      </c>
    </row>
    <row r="14039" spans="8:8" x14ac:dyDescent="0.25">
      <c r="H14039" t="s">
        <v>30</v>
      </c>
    </row>
    <row r="14040" spans="8:8" x14ac:dyDescent="0.25">
      <c r="H14040" t="s">
        <v>137</v>
      </c>
    </row>
    <row r="14041" spans="8:8" x14ac:dyDescent="0.25">
      <c r="H14041" t="s">
        <v>14057</v>
      </c>
    </row>
    <row r="14042" spans="8:8" x14ac:dyDescent="0.25">
      <c r="H14042" t="s">
        <v>30</v>
      </c>
    </row>
    <row r="14043" spans="8:8" x14ac:dyDescent="0.25">
      <c r="H14043" t="s">
        <v>138</v>
      </c>
    </row>
    <row r="14044" spans="8:8" x14ac:dyDescent="0.25">
      <c r="H14044" t="s">
        <v>14058</v>
      </c>
    </row>
    <row r="14045" spans="8:8" x14ac:dyDescent="0.25">
      <c r="H14045" t="s">
        <v>30</v>
      </c>
    </row>
    <row r="14047" spans="8:8" x14ac:dyDescent="0.25">
      <c r="H14047" t="s">
        <v>14059</v>
      </c>
    </row>
    <row r="14048" spans="8:8" x14ac:dyDescent="0.25">
      <c r="H14048" t="s">
        <v>14060</v>
      </c>
    </row>
    <row r="14049" spans="8:8" x14ac:dyDescent="0.25">
      <c r="H14049" t="s">
        <v>135</v>
      </c>
    </row>
    <row r="14050" spans="8:8" x14ac:dyDescent="0.25">
      <c r="H14050" t="s">
        <v>14061</v>
      </c>
    </row>
    <row r="14051" spans="8:8" x14ac:dyDescent="0.25">
      <c r="H14051" t="s">
        <v>30</v>
      </c>
    </row>
    <row r="14052" spans="8:8" x14ac:dyDescent="0.25">
      <c r="H14052" t="s">
        <v>136</v>
      </c>
    </row>
    <row r="14053" spans="8:8" x14ac:dyDescent="0.25">
      <c r="H14053" t="s">
        <v>14062</v>
      </c>
    </row>
    <row r="14054" spans="8:8" x14ac:dyDescent="0.25">
      <c r="H14054" t="s">
        <v>30</v>
      </c>
    </row>
    <row r="14055" spans="8:8" x14ac:dyDescent="0.25">
      <c r="H14055" t="s">
        <v>137</v>
      </c>
    </row>
    <row r="14056" spans="8:8" x14ac:dyDescent="0.25">
      <c r="H14056" t="s">
        <v>14063</v>
      </c>
    </row>
    <row r="14057" spans="8:8" x14ac:dyDescent="0.25">
      <c r="H14057" t="s">
        <v>30</v>
      </c>
    </row>
    <row r="14058" spans="8:8" x14ac:dyDescent="0.25">
      <c r="H14058" t="s">
        <v>138</v>
      </c>
    </row>
    <row r="14059" spans="8:8" x14ac:dyDescent="0.25">
      <c r="H14059" t="s">
        <v>14064</v>
      </c>
    </row>
    <row r="14060" spans="8:8" x14ac:dyDescent="0.25">
      <c r="H14060" t="s">
        <v>30</v>
      </c>
    </row>
    <row r="14062" spans="8:8" x14ac:dyDescent="0.25">
      <c r="H14062" t="s">
        <v>14065</v>
      </c>
    </row>
    <row r="14063" spans="8:8" x14ac:dyDescent="0.25">
      <c r="H14063" t="s">
        <v>14066</v>
      </c>
    </row>
    <row r="14064" spans="8:8" x14ac:dyDescent="0.25">
      <c r="H14064" t="s">
        <v>135</v>
      </c>
    </row>
    <row r="14065" spans="8:8" x14ac:dyDescent="0.25">
      <c r="H14065" t="s">
        <v>14067</v>
      </c>
    </row>
    <row r="14066" spans="8:8" x14ac:dyDescent="0.25">
      <c r="H14066" t="s">
        <v>30</v>
      </c>
    </row>
    <row r="14067" spans="8:8" x14ac:dyDescent="0.25">
      <c r="H14067" t="s">
        <v>136</v>
      </c>
    </row>
    <row r="14068" spans="8:8" x14ac:dyDescent="0.25">
      <c r="H14068" t="s">
        <v>14068</v>
      </c>
    </row>
    <row r="14069" spans="8:8" x14ac:dyDescent="0.25">
      <c r="H14069" t="s">
        <v>30</v>
      </c>
    </row>
    <row r="14070" spans="8:8" x14ac:dyDescent="0.25">
      <c r="H14070" t="s">
        <v>137</v>
      </c>
    </row>
    <row r="14071" spans="8:8" x14ac:dyDescent="0.25">
      <c r="H14071" t="s">
        <v>14069</v>
      </c>
    </row>
    <row r="14072" spans="8:8" x14ac:dyDescent="0.25">
      <c r="H14072" t="s">
        <v>30</v>
      </c>
    </row>
    <row r="14073" spans="8:8" x14ac:dyDescent="0.25">
      <c r="H14073" t="s">
        <v>138</v>
      </c>
    </row>
    <row r="14074" spans="8:8" x14ac:dyDescent="0.25">
      <c r="H14074" t="s">
        <v>14070</v>
      </c>
    </row>
    <row r="14075" spans="8:8" x14ac:dyDescent="0.25">
      <c r="H14075" t="s">
        <v>30</v>
      </c>
    </row>
    <row r="14077" spans="8:8" x14ac:dyDescent="0.25">
      <c r="H14077" t="s">
        <v>14071</v>
      </c>
    </row>
    <row r="14078" spans="8:8" x14ac:dyDescent="0.25">
      <c r="H14078" t="s">
        <v>14072</v>
      </c>
    </row>
    <row r="14079" spans="8:8" x14ac:dyDescent="0.25">
      <c r="H14079" t="s">
        <v>135</v>
      </c>
    </row>
    <row r="14080" spans="8:8" x14ac:dyDescent="0.25">
      <c r="H14080" t="s">
        <v>14073</v>
      </c>
    </row>
    <row r="14081" spans="8:8" x14ac:dyDescent="0.25">
      <c r="H14081" t="s">
        <v>30</v>
      </c>
    </row>
    <row r="14082" spans="8:8" x14ac:dyDescent="0.25">
      <c r="H14082" t="s">
        <v>136</v>
      </c>
    </row>
    <row r="14083" spans="8:8" x14ac:dyDescent="0.25">
      <c r="H14083" t="s">
        <v>14074</v>
      </c>
    </row>
    <row r="14084" spans="8:8" x14ac:dyDescent="0.25">
      <c r="H14084" t="s">
        <v>30</v>
      </c>
    </row>
    <row r="14085" spans="8:8" x14ac:dyDescent="0.25">
      <c r="H14085" t="s">
        <v>137</v>
      </c>
    </row>
    <row r="14086" spans="8:8" x14ac:dyDescent="0.25">
      <c r="H14086" t="s">
        <v>14075</v>
      </c>
    </row>
    <row r="14087" spans="8:8" x14ac:dyDescent="0.25">
      <c r="H14087" t="s">
        <v>30</v>
      </c>
    </row>
    <row r="14088" spans="8:8" x14ac:dyDescent="0.25">
      <c r="H14088" t="s">
        <v>138</v>
      </c>
    </row>
    <row r="14089" spans="8:8" x14ac:dyDescent="0.25">
      <c r="H14089" t="s">
        <v>14076</v>
      </c>
    </row>
    <row r="14090" spans="8:8" x14ac:dyDescent="0.25">
      <c r="H14090" t="s">
        <v>30</v>
      </c>
    </row>
    <row r="14092" spans="8:8" x14ac:dyDescent="0.25">
      <c r="H14092" t="s">
        <v>14077</v>
      </c>
    </row>
    <row r="14093" spans="8:8" x14ac:dyDescent="0.25">
      <c r="H14093" t="s">
        <v>14078</v>
      </c>
    </row>
    <row r="14094" spans="8:8" x14ac:dyDescent="0.25">
      <c r="H14094" t="s">
        <v>135</v>
      </c>
    </row>
    <row r="14095" spans="8:8" x14ac:dyDescent="0.25">
      <c r="H14095" t="s">
        <v>14079</v>
      </c>
    </row>
    <row r="14096" spans="8:8" x14ac:dyDescent="0.25">
      <c r="H14096" t="s">
        <v>30</v>
      </c>
    </row>
    <row r="14097" spans="8:8" x14ac:dyDescent="0.25">
      <c r="H14097" t="s">
        <v>136</v>
      </c>
    </row>
    <row r="14098" spans="8:8" x14ac:dyDescent="0.25">
      <c r="H14098" t="s">
        <v>14080</v>
      </c>
    </row>
    <row r="14099" spans="8:8" x14ac:dyDescent="0.25">
      <c r="H14099" t="s">
        <v>30</v>
      </c>
    </row>
    <row r="14100" spans="8:8" x14ac:dyDescent="0.25">
      <c r="H14100" t="s">
        <v>137</v>
      </c>
    </row>
    <row r="14101" spans="8:8" x14ac:dyDescent="0.25">
      <c r="H14101" t="s">
        <v>14081</v>
      </c>
    </row>
    <row r="14102" spans="8:8" x14ac:dyDescent="0.25">
      <c r="H14102" t="s">
        <v>30</v>
      </c>
    </row>
    <row r="14103" spans="8:8" x14ac:dyDescent="0.25">
      <c r="H14103" t="s">
        <v>138</v>
      </c>
    </row>
    <row r="14104" spans="8:8" x14ac:dyDescent="0.25">
      <c r="H14104" t="s">
        <v>14082</v>
      </c>
    </row>
    <row r="14105" spans="8:8" x14ac:dyDescent="0.25">
      <c r="H14105" t="s">
        <v>30</v>
      </c>
    </row>
    <row r="14107" spans="8:8" x14ac:dyDescent="0.25">
      <c r="H14107" t="s">
        <v>14083</v>
      </c>
    </row>
    <row r="14108" spans="8:8" x14ac:dyDescent="0.25">
      <c r="H14108" t="s">
        <v>14084</v>
      </c>
    </row>
    <row r="14109" spans="8:8" x14ac:dyDescent="0.25">
      <c r="H14109" t="s">
        <v>135</v>
      </c>
    </row>
    <row r="14110" spans="8:8" x14ac:dyDescent="0.25">
      <c r="H14110" t="s">
        <v>14085</v>
      </c>
    </row>
    <row r="14111" spans="8:8" x14ac:dyDescent="0.25">
      <c r="H14111" t="s">
        <v>30</v>
      </c>
    </row>
    <row r="14112" spans="8:8" x14ac:dyDescent="0.25">
      <c r="H14112" t="s">
        <v>136</v>
      </c>
    </row>
    <row r="14113" spans="8:8" x14ac:dyDescent="0.25">
      <c r="H14113" t="s">
        <v>14086</v>
      </c>
    </row>
    <row r="14114" spans="8:8" x14ac:dyDescent="0.25">
      <c r="H14114" t="s">
        <v>30</v>
      </c>
    </row>
    <row r="14115" spans="8:8" x14ac:dyDescent="0.25">
      <c r="H14115" t="s">
        <v>137</v>
      </c>
    </row>
    <row r="14116" spans="8:8" x14ac:dyDescent="0.25">
      <c r="H14116" t="s">
        <v>14087</v>
      </c>
    </row>
    <row r="14117" spans="8:8" x14ac:dyDescent="0.25">
      <c r="H14117" t="s">
        <v>30</v>
      </c>
    </row>
    <row r="14118" spans="8:8" x14ac:dyDescent="0.25">
      <c r="H14118" t="s">
        <v>138</v>
      </c>
    </row>
    <row r="14119" spans="8:8" x14ac:dyDescent="0.25">
      <c r="H14119" t="s">
        <v>14088</v>
      </c>
    </row>
    <row r="14120" spans="8:8" x14ac:dyDescent="0.25">
      <c r="H14120" t="s">
        <v>30</v>
      </c>
    </row>
    <row r="14122" spans="8:8" x14ac:dyDescent="0.25">
      <c r="H14122" t="s">
        <v>14089</v>
      </c>
    </row>
    <row r="14123" spans="8:8" x14ac:dyDescent="0.25">
      <c r="H14123" t="s">
        <v>14090</v>
      </c>
    </row>
    <row r="14124" spans="8:8" x14ac:dyDescent="0.25">
      <c r="H14124" t="s">
        <v>135</v>
      </c>
    </row>
    <row r="14125" spans="8:8" x14ac:dyDescent="0.25">
      <c r="H14125" t="s">
        <v>14091</v>
      </c>
    </row>
    <row r="14126" spans="8:8" x14ac:dyDescent="0.25">
      <c r="H14126" t="s">
        <v>30</v>
      </c>
    </row>
    <row r="14127" spans="8:8" x14ac:dyDescent="0.25">
      <c r="H14127" t="s">
        <v>136</v>
      </c>
    </row>
    <row r="14128" spans="8:8" x14ac:dyDescent="0.25">
      <c r="H14128" t="s">
        <v>14092</v>
      </c>
    </row>
    <row r="14129" spans="8:8" x14ac:dyDescent="0.25">
      <c r="H14129" t="s">
        <v>30</v>
      </c>
    </row>
    <row r="14130" spans="8:8" x14ac:dyDescent="0.25">
      <c r="H14130" t="s">
        <v>137</v>
      </c>
    </row>
    <row r="14131" spans="8:8" x14ac:dyDescent="0.25">
      <c r="H14131" t="s">
        <v>14093</v>
      </c>
    </row>
    <row r="14132" spans="8:8" x14ac:dyDescent="0.25">
      <c r="H14132" t="s">
        <v>30</v>
      </c>
    </row>
    <row r="14133" spans="8:8" x14ac:dyDescent="0.25">
      <c r="H14133" t="s">
        <v>138</v>
      </c>
    </row>
    <row r="14134" spans="8:8" x14ac:dyDescent="0.25">
      <c r="H14134" t="s">
        <v>14094</v>
      </c>
    </row>
    <row r="14135" spans="8:8" x14ac:dyDescent="0.25">
      <c r="H14135" t="s">
        <v>30</v>
      </c>
    </row>
    <row r="14137" spans="8:8" x14ac:dyDescent="0.25">
      <c r="H14137" t="s">
        <v>14095</v>
      </c>
    </row>
    <row r="14138" spans="8:8" x14ac:dyDescent="0.25">
      <c r="H14138" t="s">
        <v>14096</v>
      </c>
    </row>
    <row r="14139" spans="8:8" x14ac:dyDescent="0.25">
      <c r="H14139" t="s">
        <v>135</v>
      </c>
    </row>
    <row r="14140" spans="8:8" x14ac:dyDescent="0.25">
      <c r="H14140" t="s">
        <v>14097</v>
      </c>
    </row>
    <row r="14141" spans="8:8" x14ac:dyDescent="0.25">
      <c r="H14141" t="s">
        <v>30</v>
      </c>
    </row>
    <row r="14142" spans="8:8" x14ac:dyDescent="0.25">
      <c r="H14142" t="s">
        <v>136</v>
      </c>
    </row>
    <row r="14143" spans="8:8" x14ac:dyDescent="0.25">
      <c r="H14143" t="s">
        <v>14098</v>
      </c>
    </row>
    <row r="14144" spans="8:8" x14ac:dyDescent="0.25">
      <c r="H14144" t="s">
        <v>30</v>
      </c>
    </row>
    <row r="14145" spans="8:8" x14ac:dyDescent="0.25">
      <c r="H14145" t="s">
        <v>137</v>
      </c>
    </row>
    <row r="14146" spans="8:8" x14ac:dyDescent="0.25">
      <c r="H14146" t="s">
        <v>14099</v>
      </c>
    </row>
    <row r="14147" spans="8:8" x14ac:dyDescent="0.25">
      <c r="H14147" t="s">
        <v>30</v>
      </c>
    </row>
    <row r="14148" spans="8:8" x14ac:dyDescent="0.25">
      <c r="H14148" t="s">
        <v>138</v>
      </c>
    </row>
    <row r="14149" spans="8:8" x14ac:dyDescent="0.25">
      <c r="H14149" t="s">
        <v>14100</v>
      </c>
    </row>
    <row r="14150" spans="8:8" x14ac:dyDescent="0.25">
      <c r="H14150" t="s">
        <v>30</v>
      </c>
    </row>
    <row r="14152" spans="8:8" x14ac:dyDescent="0.25">
      <c r="H14152" t="s">
        <v>14101</v>
      </c>
    </row>
    <row r="14153" spans="8:8" x14ac:dyDescent="0.25">
      <c r="H14153" t="s">
        <v>14102</v>
      </c>
    </row>
    <row r="14154" spans="8:8" x14ac:dyDescent="0.25">
      <c r="H14154" t="s">
        <v>135</v>
      </c>
    </row>
    <row r="14155" spans="8:8" x14ac:dyDescent="0.25">
      <c r="H14155" t="s">
        <v>14103</v>
      </c>
    </row>
    <row r="14156" spans="8:8" x14ac:dyDescent="0.25">
      <c r="H14156" t="s">
        <v>30</v>
      </c>
    </row>
    <row r="14157" spans="8:8" x14ac:dyDescent="0.25">
      <c r="H14157" t="s">
        <v>136</v>
      </c>
    </row>
    <row r="14158" spans="8:8" x14ac:dyDescent="0.25">
      <c r="H14158" t="s">
        <v>14104</v>
      </c>
    </row>
    <row r="14159" spans="8:8" x14ac:dyDescent="0.25">
      <c r="H14159" t="s">
        <v>30</v>
      </c>
    </row>
    <row r="14160" spans="8:8" x14ac:dyDescent="0.25">
      <c r="H14160" t="s">
        <v>137</v>
      </c>
    </row>
    <row r="14161" spans="8:8" x14ac:dyDescent="0.25">
      <c r="H14161" t="s">
        <v>14105</v>
      </c>
    </row>
    <row r="14162" spans="8:8" x14ac:dyDescent="0.25">
      <c r="H14162" t="s">
        <v>30</v>
      </c>
    </row>
    <row r="14163" spans="8:8" x14ac:dyDescent="0.25">
      <c r="H14163" t="s">
        <v>138</v>
      </c>
    </row>
    <row r="14164" spans="8:8" x14ac:dyDescent="0.25">
      <c r="H14164" t="s">
        <v>14106</v>
      </c>
    </row>
    <row r="14165" spans="8:8" x14ac:dyDescent="0.25">
      <c r="H14165" t="s">
        <v>30</v>
      </c>
    </row>
    <row r="14167" spans="8:8" x14ac:dyDescent="0.25">
      <c r="H14167" t="s">
        <v>14107</v>
      </c>
    </row>
    <row r="14168" spans="8:8" x14ac:dyDescent="0.25">
      <c r="H14168" t="s">
        <v>14108</v>
      </c>
    </row>
    <row r="14169" spans="8:8" x14ac:dyDescent="0.25">
      <c r="H14169" t="s">
        <v>135</v>
      </c>
    </row>
    <row r="14170" spans="8:8" x14ac:dyDescent="0.25">
      <c r="H14170" t="s">
        <v>14109</v>
      </c>
    </row>
    <row r="14171" spans="8:8" x14ac:dyDescent="0.25">
      <c r="H14171" t="s">
        <v>30</v>
      </c>
    </row>
    <row r="14172" spans="8:8" x14ac:dyDescent="0.25">
      <c r="H14172" t="s">
        <v>136</v>
      </c>
    </row>
    <row r="14173" spans="8:8" x14ac:dyDescent="0.25">
      <c r="H14173" t="s">
        <v>14110</v>
      </c>
    </row>
    <row r="14174" spans="8:8" x14ac:dyDescent="0.25">
      <c r="H14174" t="s">
        <v>30</v>
      </c>
    </row>
    <row r="14175" spans="8:8" x14ac:dyDescent="0.25">
      <c r="H14175" t="s">
        <v>137</v>
      </c>
    </row>
    <row r="14176" spans="8:8" x14ac:dyDescent="0.25">
      <c r="H14176" t="s">
        <v>14111</v>
      </c>
    </row>
    <row r="14177" spans="8:8" x14ac:dyDescent="0.25">
      <c r="H14177" t="s">
        <v>30</v>
      </c>
    </row>
    <row r="14178" spans="8:8" x14ac:dyDescent="0.25">
      <c r="H14178" t="s">
        <v>138</v>
      </c>
    </row>
    <row r="14179" spans="8:8" x14ac:dyDescent="0.25">
      <c r="H14179" t="s">
        <v>14112</v>
      </c>
    </row>
    <row r="14180" spans="8:8" x14ac:dyDescent="0.25">
      <c r="H14180" t="s">
        <v>30</v>
      </c>
    </row>
    <row r="14182" spans="8:8" x14ac:dyDescent="0.25">
      <c r="H14182" t="s">
        <v>14113</v>
      </c>
    </row>
    <row r="14183" spans="8:8" x14ac:dyDescent="0.25">
      <c r="H14183" t="s">
        <v>14114</v>
      </c>
    </row>
    <row r="14184" spans="8:8" x14ac:dyDescent="0.25">
      <c r="H14184" t="s">
        <v>135</v>
      </c>
    </row>
    <row r="14185" spans="8:8" x14ac:dyDescent="0.25">
      <c r="H14185" t="s">
        <v>14115</v>
      </c>
    </row>
    <row r="14186" spans="8:8" x14ac:dyDescent="0.25">
      <c r="H14186" t="s">
        <v>30</v>
      </c>
    </row>
    <row r="14187" spans="8:8" x14ac:dyDescent="0.25">
      <c r="H14187" t="s">
        <v>136</v>
      </c>
    </row>
    <row r="14188" spans="8:8" x14ac:dyDescent="0.25">
      <c r="H14188" t="s">
        <v>14116</v>
      </c>
    </row>
    <row r="14189" spans="8:8" x14ac:dyDescent="0.25">
      <c r="H14189" t="s">
        <v>30</v>
      </c>
    </row>
    <row r="14190" spans="8:8" x14ac:dyDescent="0.25">
      <c r="H14190" t="s">
        <v>137</v>
      </c>
    </row>
    <row r="14191" spans="8:8" x14ac:dyDescent="0.25">
      <c r="H14191" t="s">
        <v>14117</v>
      </c>
    </row>
    <row r="14192" spans="8:8" x14ac:dyDescent="0.25">
      <c r="H14192" t="s">
        <v>30</v>
      </c>
    </row>
    <row r="14193" spans="8:8" x14ac:dyDescent="0.25">
      <c r="H14193" t="s">
        <v>138</v>
      </c>
    </row>
    <row r="14194" spans="8:8" x14ac:dyDescent="0.25">
      <c r="H14194" t="s">
        <v>14118</v>
      </c>
    </row>
    <row r="14195" spans="8:8" x14ac:dyDescent="0.25">
      <c r="H14195" t="s">
        <v>30</v>
      </c>
    </row>
    <row r="14197" spans="8:8" x14ac:dyDescent="0.25">
      <c r="H14197" t="s">
        <v>14119</v>
      </c>
    </row>
    <row r="14198" spans="8:8" x14ac:dyDescent="0.25">
      <c r="H14198" t="s">
        <v>14120</v>
      </c>
    </row>
    <row r="14199" spans="8:8" x14ac:dyDescent="0.25">
      <c r="H14199" t="s">
        <v>135</v>
      </c>
    </row>
    <row r="14200" spans="8:8" x14ac:dyDescent="0.25">
      <c r="H14200" t="s">
        <v>14121</v>
      </c>
    </row>
    <row r="14201" spans="8:8" x14ac:dyDescent="0.25">
      <c r="H14201" t="s">
        <v>30</v>
      </c>
    </row>
    <row r="14202" spans="8:8" x14ac:dyDescent="0.25">
      <c r="H14202" t="s">
        <v>136</v>
      </c>
    </row>
    <row r="14203" spans="8:8" x14ac:dyDescent="0.25">
      <c r="H14203" t="s">
        <v>14122</v>
      </c>
    </row>
    <row r="14204" spans="8:8" x14ac:dyDescent="0.25">
      <c r="H14204" t="s">
        <v>30</v>
      </c>
    </row>
    <row r="14205" spans="8:8" x14ac:dyDescent="0.25">
      <c r="H14205" t="s">
        <v>137</v>
      </c>
    </row>
    <row r="14206" spans="8:8" x14ac:dyDescent="0.25">
      <c r="H14206" t="s">
        <v>14123</v>
      </c>
    </row>
    <row r="14207" spans="8:8" x14ac:dyDescent="0.25">
      <c r="H14207" t="s">
        <v>30</v>
      </c>
    </row>
    <row r="14208" spans="8:8" x14ac:dyDescent="0.25">
      <c r="H14208" t="s">
        <v>138</v>
      </c>
    </row>
    <row r="14209" spans="8:8" x14ac:dyDescent="0.25">
      <c r="H14209" t="s">
        <v>14124</v>
      </c>
    </row>
    <row r="14210" spans="8:8" x14ac:dyDescent="0.25">
      <c r="H14210" t="s">
        <v>30</v>
      </c>
    </row>
    <row r="14212" spans="8:8" x14ac:dyDescent="0.25">
      <c r="H14212" t="s">
        <v>14125</v>
      </c>
    </row>
    <row r="14213" spans="8:8" x14ac:dyDescent="0.25">
      <c r="H14213" t="s">
        <v>14126</v>
      </c>
    </row>
    <row r="14214" spans="8:8" x14ac:dyDescent="0.25">
      <c r="H14214" t="s">
        <v>135</v>
      </c>
    </row>
    <row r="14215" spans="8:8" x14ac:dyDescent="0.25">
      <c r="H14215" t="s">
        <v>14127</v>
      </c>
    </row>
    <row r="14216" spans="8:8" x14ac:dyDescent="0.25">
      <c r="H14216" t="s">
        <v>30</v>
      </c>
    </row>
    <row r="14217" spans="8:8" x14ac:dyDescent="0.25">
      <c r="H14217" t="s">
        <v>136</v>
      </c>
    </row>
    <row r="14218" spans="8:8" x14ac:dyDescent="0.25">
      <c r="H14218" t="s">
        <v>14128</v>
      </c>
    </row>
    <row r="14219" spans="8:8" x14ac:dyDescent="0.25">
      <c r="H14219" t="s">
        <v>30</v>
      </c>
    </row>
    <row r="14220" spans="8:8" x14ac:dyDescent="0.25">
      <c r="H14220" t="s">
        <v>137</v>
      </c>
    </row>
    <row r="14221" spans="8:8" x14ac:dyDescent="0.25">
      <c r="H14221" t="s">
        <v>14129</v>
      </c>
    </row>
    <row r="14222" spans="8:8" x14ac:dyDescent="0.25">
      <c r="H14222" t="s">
        <v>30</v>
      </c>
    </row>
    <row r="14223" spans="8:8" x14ac:dyDescent="0.25">
      <c r="H14223" t="s">
        <v>138</v>
      </c>
    </row>
    <row r="14224" spans="8:8" x14ac:dyDescent="0.25">
      <c r="H14224" t="s">
        <v>14130</v>
      </c>
    </row>
    <row r="14225" spans="8:8" x14ac:dyDescent="0.25">
      <c r="H14225" t="s">
        <v>30</v>
      </c>
    </row>
    <row r="14227" spans="8:8" x14ac:dyDescent="0.25">
      <c r="H14227" t="s">
        <v>14131</v>
      </c>
    </row>
    <row r="14228" spans="8:8" x14ac:dyDescent="0.25">
      <c r="H14228" t="s">
        <v>14132</v>
      </c>
    </row>
    <row r="14229" spans="8:8" x14ac:dyDescent="0.25">
      <c r="H14229" t="s">
        <v>135</v>
      </c>
    </row>
    <row r="14230" spans="8:8" x14ac:dyDescent="0.25">
      <c r="H14230" t="s">
        <v>14133</v>
      </c>
    </row>
    <row r="14231" spans="8:8" x14ac:dyDescent="0.25">
      <c r="H14231" t="s">
        <v>30</v>
      </c>
    </row>
    <row r="14232" spans="8:8" x14ac:dyDescent="0.25">
      <c r="H14232" t="s">
        <v>136</v>
      </c>
    </row>
    <row r="14233" spans="8:8" x14ac:dyDescent="0.25">
      <c r="H14233" t="s">
        <v>14134</v>
      </c>
    </row>
    <row r="14234" spans="8:8" x14ac:dyDescent="0.25">
      <c r="H14234" t="s">
        <v>30</v>
      </c>
    </row>
    <row r="14235" spans="8:8" x14ac:dyDescent="0.25">
      <c r="H14235" t="s">
        <v>137</v>
      </c>
    </row>
    <row r="14236" spans="8:8" x14ac:dyDescent="0.25">
      <c r="H14236" t="s">
        <v>14135</v>
      </c>
    </row>
    <row r="14237" spans="8:8" x14ac:dyDescent="0.25">
      <c r="H14237" t="s">
        <v>30</v>
      </c>
    </row>
    <row r="14238" spans="8:8" x14ac:dyDescent="0.25">
      <c r="H14238" t="s">
        <v>138</v>
      </c>
    </row>
    <row r="14239" spans="8:8" x14ac:dyDescent="0.25">
      <c r="H14239" t="s">
        <v>14136</v>
      </c>
    </row>
    <row r="14240" spans="8:8" x14ac:dyDescent="0.25">
      <c r="H14240" t="s">
        <v>30</v>
      </c>
    </row>
    <row r="14242" spans="8:8" x14ac:dyDescent="0.25">
      <c r="H14242" t="s">
        <v>14137</v>
      </c>
    </row>
    <row r="14243" spans="8:8" x14ac:dyDescent="0.25">
      <c r="H14243" t="s">
        <v>14138</v>
      </c>
    </row>
    <row r="14244" spans="8:8" x14ac:dyDescent="0.25">
      <c r="H14244" t="s">
        <v>135</v>
      </c>
    </row>
    <row r="14245" spans="8:8" x14ac:dyDescent="0.25">
      <c r="H14245" t="s">
        <v>14139</v>
      </c>
    </row>
    <row r="14246" spans="8:8" x14ac:dyDescent="0.25">
      <c r="H14246" t="s">
        <v>30</v>
      </c>
    </row>
    <row r="14247" spans="8:8" x14ac:dyDescent="0.25">
      <c r="H14247" t="s">
        <v>136</v>
      </c>
    </row>
    <row r="14248" spans="8:8" x14ac:dyDescent="0.25">
      <c r="H14248" t="s">
        <v>14140</v>
      </c>
    </row>
    <row r="14249" spans="8:8" x14ac:dyDescent="0.25">
      <c r="H14249" t="s">
        <v>30</v>
      </c>
    </row>
    <row r="14250" spans="8:8" x14ac:dyDescent="0.25">
      <c r="H14250" t="s">
        <v>137</v>
      </c>
    </row>
    <row r="14251" spans="8:8" x14ac:dyDescent="0.25">
      <c r="H14251" t="s">
        <v>14141</v>
      </c>
    </row>
    <row r="14252" spans="8:8" x14ac:dyDescent="0.25">
      <c r="H14252" t="s">
        <v>30</v>
      </c>
    </row>
    <row r="14253" spans="8:8" x14ac:dyDescent="0.25">
      <c r="H14253" t="s">
        <v>138</v>
      </c>
    </row>
    <row r="14254" spans="8:8" x14ac:dyDescent="0.25">
      <c r="H14254" t="s">
        <v>14142</v>
      </c>
    </row>
    <row r="14255" spans="8:8" x14ac:dyDescent="0.25">
      <c r="H14255" t="s">
        <v>30</v>
      </c>
    </row>
    <row r="14257" spans="8:8" x14ac:dyDescent="0.25">
      <c r="H14257" t="s">
        <v>14143</v>
      </c>
    </row>
    <row r="14258" spans="8:8" x14ac:dyDescent="0.25">
      <c r="H14258" t="s">
        <v>14144</v>
      </c>
    </row>
    <row r="14259" spans="8:8" x14ac:dyDescent="0.25">
      <c r="H14259" t="s">
        <v>135</v>
      </c>
    </row>
    <row r="14260" spans="8:8" x14ac:dyDescent="0.25">
      <c r="H14260" t="s">
        <v>14145</v>
      </c>
    </row>
    <row r="14261" spans="8:8" x14ac:dyDescent="0.25">
      <c r="H14261" t="s">
        <v>30</v>
      </c>
    </row>
    <row r="14262" spans="8:8" x14ac:dyDescent="0.25">
      <c r="H14262" t="s">
        <v>136</v>
      </c>
    </row>
    <row r="14263" spans="8:8" x14ac:dyDescent="0.25">
      <c r="H14263" t="s">
        <v>14146</v>
      </c>
    </row>
    <row r="14264" spans="8:8" x14ac:dyDescent="0.25">
      <c r="H14264" t="s">
        <v>30</v>
      </c>
    </row>
    <row r="14265" spans="8:8" x14ac:dyDescent="0.25">
      <c r="H14265" t="s">
        <v>137</v>
      </c>
    </row>
    <row r="14266" spans="8:8" x14ac:dyDescent="0.25">
      <c r="H14266" t="s">
        <v>14147</v>
      </c>
    </row>
    <row r="14267" spans="8:8" x14ac:dyDescent="0.25">
      <c r="H14267" t="s">
        <v>30</v>
      </c>
    </row>
    <row r="14268" spans="8:8" x14ac:dyDescent="0.25">
      <c r="H14268" t="s">
        <v>138</v>
      </c>
    </row>
    <row r="14269" spans="8:8" x14ac:dyDescent="0.25">
      <c r="H14269" t="s">
        <v>14148</v>
      </c>
    </row>
    <row r="14270" spans="8:8" x14ac:dyDescent="0.25">
      <c r="H14270" t="s">
        <v>30</v>
      </c>
    </row>
    <row r="14272" spans="8:8" x14ac:dyDescent="0.25">
      <c r="H14272" t="s">
        <v>14149</v>
      </c>
    </row>
    <row r="14273" spans="8:8" x14ac:dyDescent="0.25">
      <c r="H14273" t="s">
        <v>14150</v>
      </c>
    </row>
    <row r="14274" spans="8:8" x14ac:dyDescent="0.25">
      <c r="H14274" t="s">
        <v>135</v>
      </c>
    </row>
    <row r="14275" spans="8:8" x14ac:dyDescent="0.25">
      <c r="H14275" t="s">
        <v>14151</v>
      </c>
    </row>
    <row r="14276" spans="8:8" x14ac:dyDescent="0.25">
      <c r="H14276" t="s">
        <v>30</v>
      </c>
    </row>
    <row r="14277" spans="8:8" x14ac:dyDescent="0.25">
      <c r="H14277" t="s">
        <v>136</v>
      </c>
    </row>
    <row r="14278" spans="8:8" x14ac:dyDescent="0.25">
      <c r="H14278" t="s">
        <v>14152</v>
      </c>
    </row>
    <row r="14279" spans="8:8" x14ac:dyDescent="0.25">
      <c r="H14279" t="s">
        <v>30</v>
      </c>
    </row>
    <row r="14280" spans="8:8" x14ac:dyDescent="0.25">
      <c r="H14280" t="s">
        <v>137</v>
      </c>
    </row>
    <row r="14281" spans="8:8" x14ac:dyDescent="0.25">
      <c r="H14281" t="s">
        <v>14153</v>
      </c>
    </row>
    <row r="14282" spans="8:8" x14ac:dyDescent="0.25">
      <c r="H14282" t="s">
        <v>30</v>
      </c>
    </row>
    <row r="14283" spans="8:8" x14ac:dyDescent="0.25">
      <c r="H14283" t="s">
        <v>138</v>
      </c>
    </row>
    <row r="14284" spans="8:8" x14ac:dyDescent="0.25">
      <c r="H14284" t="s">
        <v>14154</v>
      </c>
    </row>
    <row r="14285" spans="8:8" x14ac:dyDescent="0.25">
      <c r="H14285" t="s">
        <v>30</v>
      </c>
    </row>
    <row r="14287" spans="8:8" x14ac:dyDescent="0.25">
      <c r="H14287" t="s">
        <v>14155</v>
      </c>
    </row>
    <row r="14288" spans="8:8" x14ac:dyDescent="0.25">
      <c r="H14288" t="s">
        <v>14156</v>
      </c>
    </row>
    <row r="14289" spans="8:8" x14ac:dyDescent="0.25">
      <c r="H14289" t="s">
        <v>135</v>
      </c>
    </row>
    <row r="14290" spans="8:8" x14ac:dyDescent="0.25">
      <c r="H14290" t="s">
        <v>14157</v>
      </c>
    </row>
    <row r="14291" spans="8:8" x14ac:dyDescent="0.25">
      <c r="H14291" t="s">
        <v>30</v>
      </c>
    </row>
    <row r="14292" spans="8:8" x14ac:dyDescent="0.25">
      <c r="H14292" t="s">
        <v>136</v>
      </c>
    </row>
    <row r="14293" spans="8:8" x14ac:dyDescent="0.25">
      <c r="H14293" t="s">
        <v>14158</v>
      </c>
    </row>
    <row r="14294" spans="8:8" x14ac:dyDescent="0.25">
      <c r="H14294" t="s">
        <v>30</v>
      </c>
    </row>
    <row r="14295" spans="8:8" x14ac:dyDescent="0.25">
      <c r="H14295" t="s">
        <v>137</v>
      </c>
    </row>
    <row r="14296" spans="8:8" x14ac:dyDescent="0.25">
      <c r="H14296" t="s">
        <v>14159</v>
      </c>
    </row>
    <row r="14297" spans="8:8" x14ac:dyDescent="0.25">
      <c r="H14297" t="s">
        <v>30</v>
      </c>
    </row>
    <row r="14298" spans="8:8" x14ac:dyDescent="0.25">
      <c r="H14298" t="s">
        <v>138</v>
      </c>
    </row>
    <row r="14299" spans="8:8" x14ac:dyDescent="0.25">
      <c r="H14299" t="s">
        <v>14160</v>
      </c>
    </row>
    <row r="14300" spans="8:8" x14ac:dyDescent="0.25">
      <c r="H14300" t="s">
        <v>30</v>
      </c>
    </row>
    <row r="14302" spans="8:8" x14ac:dyDescent="0.25">
      <c r="H14302" t="s">
        <v>14161</v>
      </c>
    </row>
    <row r="14303" spans="8:8" x14ac:dyDescent="0.25">
      <c r="H14303" t="s">
        <v>14162</v>
      </c>
    </row>
    <row r="14304" spans="8:8" x14ac:dyDescent="0.25">
      <c r="H14304" t="s">
        <v>135</v>
      </c>
    </row>
    <row r="14305" spans="8:8" x14ac:dyDescent="0.25">
      <c r="H14305" t="s">
        <v>14163</v>
      </c>
    </row>
    <row r="14306" spans="8:8" x14ac:dyDescent="0.25">
      <c r="H14306" t="s">
        <v>30</v>
      </c>
    </row>
    <row r="14307" spans="8:8" x14ac:dyDescent="0.25">
      <c r="H14307" t="s">
        <v>136</v>
      </c>
    </row>
    <row r="14308" spans="8:8" x14ac:dyDescent="0.25">
      <c r="H14308" t="s">
        <v>14164</v>
      </c>
    </row>
    <row r="14309" spans="8:8" x14ac:dyDescent="0.25">
      <c r="H14309" t="s">
        <v>30</v>
      </c>
    </row>
    <row r="14310" spans="8:8" x14ac:dyDescent="0.25">
      <c r="H14310" t="s">
        <v>137</v>
      </c>
    </row>
    <row r="14311" spans="8:8" x14ac:dyDescent="0.25">
      <c r="H14311" t="s">
        <v>14165</v>
      </c>
    </row>
    <row r="14312" spans="8:8" x14ac:dyDescent="0.25">
      <c r="H14312" t="s">
        <v>30</v>
      </c>
    </row>
    <row r="14313" spans="8:8" x14ac:dyDescent="0.25">
      <c r="H14313" t="s">
        <v>138</v>
      </c>
    </row>
    <row r="14314" spans="8:8" x14ac:dyDescent="0.25">
      <c r="H14314" t="s">
        <v>14166</v>
      </c>
    </row>
    <row r="14315" spans="8:8" x14ac:dyDescent="0.25">
      <c r="H14315" t="s">
        <v>30</v>
      </c>
    </row>
    <row r="14317" spans="8:8" x14ac:dyDescent="0.25">
      <c r="H14317" t="s">
        <v>14167</v>
      </c>
    </row>
    <row r="14318" spans="8:8" x14ac:dyDescent="0.25">
      <c r="H14318" t="s">
        <v>14168</v>
      </c>
    </row>
    <row r="14319" spans="8:8" x14ac:dyDescent="0.25">
      <c r="H14319" t="s">
        <v>135</v>
      </c>
    </row>
    <row r="14320" spans="8:8" x14ac:dyDescent="0.25">
      <c r="H14320" t="s">
        <v>14169</v>
      </c>
    </row>
    <row r="14321" spans="8:8" x14ac:dyDescent="0.25">
      <c r="H14321" t="s">
        <v>30</v>
      </c>
    </row>
    <row r="14322" spans="8:8" x14ac:dyDescent="0.25">
      <c r="H14322" t="s">
        <v>136</v>
      </c>
    </row>
    <row r="14323" spans="8:8" x14ac:dyDescent="0.25">
      <c r="H14323" t="s">
        <v>14170</v>
      </c>
    </row>
    <row r="14324" spans="8:8" x14ac:dyDescent="0.25">
      <c r="H14324" t="s">
        <v>30</v>
      </c>
    </row>
    <row r="14325" spans="8:8" x14ac:dyDescent="0.25">
      <c r="H14325" t="s">
        <v>137</v>
      </c>
    </row>
    <row r="14326" spans="8:8" x14ac:dyDescent="0.25">
      <c r="H14326" t="s">
        <v>14171</v>
      </c>
    </row>
    <row r="14327" spans="8:8" x14ac:dyDescent="0.25">
      <c r="H14327" t="s">
        <v>30</v>
      </c>
    </row>
    <row r="14328" spans="8:8" x14ac:dyDescent="0.25">
      <c r="H14328" t="s">
        <v>138</v>
      </c>
    </row>
    <row r="14329" spans="8:8" x14ac:dyDescent="0.25">
      <c r="H14329" t="s">
        <v>14172</v>
      </c>
    </row>
    <row r="14330" spans="8:8" x14ac:dyDescent="0.25">
      <c r="H14330" t="s">
        <v>30</v>
      </c>
    </row>
    <row r="14332" spans="8:8" x14ac:dyDescent="0.25">
      <c r="H14332" t="s">
        <v>14173</v>
      </c>
    </row>
    <row r="14333" spans="8:8" x14ac:dyDescent="0.25">
      <c r="H14333" t="s">
        <v>14174</v>
      </c>
    </row>
    <row r="14334" spans="8:8" x14ac:dyDescent="0.25">
      <c r="H14334" t="s">
        <v>135</v>
      </c>
    </row>
    <row r="14335" spans="8:8" x14ac:dyDescent="0.25">
      <c r="H14335" t="s">
        <v>14175</v>
      </c>
    </row>
    <row r="14336" spans="8:8" x14ac:dyDescent="0.25">
      <c r="H14336" t="s">
        <v>30</v>
      </c>
    </row>
    <row r="14337" spans="8:8" x14ac:dyDescent="0.25">
      <c r="H14337" t="s">
        <v>136</v>
      </c>
    </row>
    <row r="14338" spans="8:8" x14ac:dyDescent="0.25">
      <c r="H14338" t="s">
        <v>14176</v>
      </c>
    </row>
    <row r="14339" spans="8:8" x14ac:dyDescent="0.25">
      <c r="H14339" t="s">
        <v>30</v>
      </c>
    </row>
    <row r="14340" spans="8:8" x14ac:dyDescent="0.25">
      <c r="H14340" t="s">
        <v>137</v>
      </c>
    </row>
    <row r="14341" spans="8:8" x14ac:dyDescent="0.25">
      <c r="H14341" t="s">
        <v>14177</v>
      </c>
    </row>
    <row r="14342" spans="8:8" x14ac:dyDescent="0.25">
      <c r="H14342" t="s">
        <v>30</v>
      </c>
    </row>
    <row r="14343" spans="8:8" x14ac:dyDescent="0.25">
      <c r="H14343" t="s">
        <v>138</v>
      </c>
    </row>
    <row r="14344" spans="8:8" x14ac:dyDescent="0.25">
      <c r="H14344" t="s">
        <v>14178</v>
      </c>
    </row>
    <row r="14345" spans="8:8" x14ac:dyDescent="0.25">
      <c r="H14345" t="s">
        <v>30</v>
      </c>
    </row>
    <row r="14347" spans="8:8" x14ac:dyDescent="0.25">
      <c r="H14347" t="s">
        <v>14179</v>
      </c>
    </row>
    <row r="14348" spans="8:8" x14ac:dyDescent="0.25">
      <c r="H14348" t="s">
        <v>14180</v>
      </c>
    </row>
    <row r="14349" spans="8:8" x14ac:dyDescent="0.25">
      <c r="H14349" t="s">
        <v>135</v>
      </c>
    </row>
    <row r="14350" spans="8:8" x14ac:dyDescent="0.25">
      <c r="H14350" t="s">
        <v>14181</v>
      </c>
    </row>
    <row r="14351" spans="8:8" x14ac:dyDescent="0.25">
      <c r="H14351" t="s">
        <v>30</v>
      </c>
    </row>
    <row r="14352" spans="8:8" x14ac:dyDescent="0.25">
      <c r="H14352" t="s">
        <v>136</v>
      </c>
    </row>
    <row r="14353" spans="8:8" x14ac:dyDescent="0.25">
      <c r="H14353" t="s">
        <v>14182</v>
      </c>
    </row>
    <row r="14354" spans="8:8" x14ac:dyDescent="0.25">
      <c r="H14354" t="s">
        <v>30</v>
      </c>
    </row>
    <row r="14355" spans="8:8" x14ac:dyDescent="0.25">
      <c r="H14355" t="s">
        <v>137</v>
      </c>
    </row>
    <row r="14356" spans="8:8" x14ac:dyDescent="0.25">
      <c r="H14356" t="s">
        <v>14183</v>
      </c>
    </row>
    <row r="14357" spans="8:8" x14ac:dyDescent="0.25">
      <c r="H14357" t="s">
        <v>30</v>
      </c>
    </row>
    <row r="14358" spans="8:8" x14ac:dyDescent="0.25">
      <c r="H14358" t="s">
        <v>138</v>
      </c>
    </row>
    <row r="14359" spans="8:8" x14ac:dyDescent="0.25">
      <c r="H14359" t="s">
        <v>14184</v>
      </c>
    </row>
    <row r="14360" spans="8:8" x14ac:dyDescent="0.25">
      <c r="H14360" t="s">
        <v>30</v>
      </c>
    </row>
    <row r="14362" spans="8:8" x14ac:dyDescent="0.25">
      <c r="H14362" t="s">
        <v>14185</v>
      </c>
    </row>
    <row r="14363" spans="8:8" x14ac:dyDescent="0.25">
      <c r="H14363" t="s">
        <v>14186</v>
      </c>
    </row>
    <row r="14364" spans="8:8" x14ac:dyDescent="0.25">
      <c r="H14364" t="s">
        <v>135</v>
      </c>
    </row>
    <row r="14365" spans="8:8" x14ac:dyDescent="0.25">
      <c r="H14365" t="s">
        <v>14187</v>
      </c>
    </row>
    <row r="14366" spans="8:8" x14ac:dyDescent="0.25">
      <c r="H14366" t="s">
        <v>30</v>
      </c>
    </row>
    <row r="14367" spans="8:8" x14ac:dyDescent="0.25">
      <c r="H14367" t="s">
        <v>136</v>
      </c>
    </row>
    <row r="14368" spans="8:8" x14ac:dyDescent="0.25">
      <c r="H14368" t="s">
        <v>14188</v>
      </c>
    </row>
    <row r="14369" spans="8:8" x14ac:dyDescent="0.25">
      <c r="H14369" t="s">
        <v>30</v>
      </c>
    </row>
    <row r="14370" spans="8:8" x14ac:dyDescent="0.25">
      <c r="H14370" t="s">
        <v>137</v>
      </c>
    </row>
    <row r="14371" spans="8:8" x14ac:dyDescent="0.25">
      <c r="H14371" t="s">
        <v>14189</v>
      </c>
    </row>
    <row r="14372" spans="8:8" x14ac:dyDescent="0.25">
      <c r="H14372" t="s">
        <v>30</v>
      </c>
    </row>
    <row r="14373" spans="8:8" x14ac:dyDescent="0.25">
      <c r="H14373" t="s">
        <v>138</v>
      </c>
    </row>
    <row r="14374" spans="8:8" x14ac:dyDescent="0.25">
      <c r="H14374" t="s">
        <v>14190</v>
      </c>
    </row>
    <row r="14375" spans="8:8" x14ac:dyDescent="0.25">
      <c r="H14375" t="s">
        <v>30</v>
      </c>
    </row>
    <row r="14377" spans="8:8" x14ac:dyDescent="0.25">
      <c r="H14377" t="s">
        <v>14191</v>
      </c>
    </row>
    <row r="14378" spans="8:8" x14ac:dyDescent="0.25">
      <c r="H14378" t="s">
        <v>14192</v>
      </c>
    </row>
    <row r="14379" spans="8:8" x14ac:dyDescent="0.25">
      <c r="H14379" t="s">
        <v>135</v>
      </c>
    </row>
    <row r="14380" spans="8:8" x14ac:dyDescent="0.25">
      <c r="H14380" t="s">
        <v>14193</v>
      </c>
    </row>
    <row r="14381" spans="8:8" x14ac:dyDescent="0.25">
      <c r="H14381" t="s">
        <v>30</v>
      </c>
    </row>
    <row r="14382" spans="8:8" x14ac:dyDescent="0.25">
      <c r="H14382" t="s">
        <v>136</v>
      </c>
    </row>
    <row r="14383" spans="8:8" x14ac:dyDescent="0.25">
      <c r="H14383" t="s">
        <v>14194</v>
      </c>
    </row>
    <row r="14384" spans="8:8" x14ac:dyDescent="0.25">
      <c r="H14384" t="s">
        <v>30</v>
      </c>
    </row>
    <row r="14385" spans="8:8" x14ac:dyDescent="0.25">
      <c r="H14385" t="s">
        <v>137</v>
      </c>
    </row>
    <row r="14386" spans="8:8" x14ac:dyDescent="0.25">
      <c r="H14386" t="s">
        <v>14195</v>
      </c>
    </row>
    <row r="14387" spans="8:8" x14ac:dyDescent="0.25">
      <c r="H14387" t="s">
        <v>30</v>
      </c>
    </row>
    <row r="14388" spans="8:8" x14ac:dyDescent="0.25">
      <c r="H14388" t="s">
        <v>138</v>
      </c>
    </row>
    <row r="14389" spans="8:8" x14ac:dyDescent="0.25">
      <c r="H14389" t="s">
        <v>14196</v>
      </c>
    </row>
    <row r="14390" spans="8:8" x14ac:dyDescent="0.25">
      <c r="H14390" t="s">
        <v>30</v>
      </c>
    </row>
    <row r="14392" spans="8:8" x14ac:dyDescent="0.25">
      <c r="H14392" t="s">
        <v>14197</v>
      </c>
    </row>
    <row r="14393" spans="8:8" x14ac:dyDescent="0.25">
      <c r="H14393" t="s">
        <v>14198</v>
      </c>
    </row>
    <row r="14394" spans="8:8" x14ac:dyDescent="0.25">
      <c r="H14394" t="s">
        <v>135</v>
      </c>
    </row>
    <row r="14395" spans="8:8" x14ac:dyDescent="0.25">
      <c r="H14395" t="s">
        <v>14199</v>
      </c>
    </row>
    <row r="14396" spans="8:8" x14ac:dyDescent="0.25">
      <c r="H14396" t="s">
        <v>30</v>
      </c>
    </row>
    <row r="14397" spans="8:8" x14ac:dyDescent="0.25">
      <c r="H14397" t="s">
        <v>136</v>
      </c>
    </row>
    <row r="14398" spans="8:8" x14ac:dyDescent="0.25">
      <c r="H14398" t="s">
        <v>14200</v>
      </c>
    </row>
    <row r="14399" spans="8:8" x14ac:dyDescent="0.25">
      <c r="H14399" t="s">
        <v>30</v>
      </c>
    </row>
    <row r="14400" spans="8:8" x14ac:dyDescent="0.25">
      <c r="H14400" t="s">
        <v>137</v>
      </c>
    </row>
    <row r="14401" spans="8:8" x14ac:dyDescent="0.25">
      <c r="H14401" t="s">
        <v>14201</v>
      </c>
    </row>
    <row r="14402" spans="8:8" x14ac:dyDescent="0.25">
      <c r="H14402" t="s">
        <v>30</v>
      </c>
    </row>
    <row r="14403" spans="8:8" x14ac:dyDescent="0.25">
      <c r="H14403" t="s">
        <v>138</v>
      </c>
    </row>
    <row r="14404" spans="8:8" x14ac:dyDescent="0.25">
      <c r="H14404" t="s">
        <v>14202</v>
      </c>
    </row>
    <row r="14405" spans="8:8" x14ac:dyDescent="0.25">
      <c r="H14405" t="s">
        <v>30</v>
      </c>
    </row>
    <row r="14407" spans="8:8" x14ac:dyDescent="0.25">
      <c r="H14407" t="s">
        <v>14203</v>
      </c>
    </row>
    <row r="14408" spans="8:8" x14ac:dyDescent="0.25">
      <c r="H14408" t="s">
        <v>14204</v>
      </c>
    </row>
    <row r="14409" spans="8:8" x14ac:dyDescent="0.25">
      <c r="H14409" t="s">
        <v>135</v>
      </c>
    </row>
    <row r="14410" spans="8:8" x14ac:dyDescent="0.25">
      <c r="H14410" t="s">
        <v>14205</v>
      </c>
    </row>
    <row r="14411" spans="8:8" x14ac:dyDescent="0.25">
      <c r="H14411" t="s">
        <v>30</v>
      </c>
    </row>
    <row r="14412" spans="8:8" x14ac:dyDescent="0.25">
      <c r="H14412" t="s">
        <v>136</v>
      </c>
    </row>
    <row r="14413" spans="8:8" x14ac:dyDescent="0.25">
      <c r="H14413" t="s">
        <v>14206</v>
      </c>
    </row>
    <row r="14414" spans="8:8" x14ac:dyDescent="0.25">
      <c r="H14414" t="s">
        <v>30</v>
      </c>
    </row>
    <row r="14415" spans="8:8" x14ac:dyDescent="0.25">
      <c r="H14415" t="s">
        <v>137</v>
      </c>
    </row>
    <row r="14416" spans="8:8" x14ac:dyDescent="0.25">
      <c r="H14416" t="s">
        <v>14207</v>
      </c>
    </row>
    <row r="14417" spans="8:8" x14ac:dyDescent="0.25">
      <c r="H14417" t="s">
        <v>30</v>
      </c>
    </row>
    <row r="14418" spans="8:8" x14ac:dyDescent="0.25">
      <c r="H14418" t="s">
        <v>138</v>
      </c>
    </row>
    <row r="14419" spans="8:8" x14ac:dyDescent="0.25">
      <c r="H14419" t="s">
        <v>14208</v>
      </c>
    </row>
    <row r="14420" spans="8:8" x14ac:dyDescent="0.25">
      <c r="H14420" t="s">
        <v>30</v>
      </c>
    </row>
    <row r="14422" spans="8:8" x14ac:dyDescent="0.25">
      <c r="H14422" t="s">
        <v>14209</v>
      </c>
    </row>
    <row r="14423" spans="8:8" x14ac:dyDescent="0.25">
      <c r="H14423" t="s">
        <v>14210</v>
      </c>
    </row>
    <row r="14424" spans="8:8" x14ac:dyDescent="0.25">
      <c r="H14424" t="s">
        <v>135</v>
      </c>
    </row>
    <row r="14425" spans="8:8" x14ac:dyDescent="0.25">
      <c r="H14425" t="s">
        <v>14211</v>
      </c>
    </row>
    <row r="14426" spans="8:8" x14ac:dyDescent="0.25">
      <c r="H14426" t="s">
        <v>30</v>
      </c>
    </row>
    <row r="14427" spans="8:8" x14ac:dyDescent="0.25">
      <c r="H14427" t="s">
        <v>136</v>
      </c>
    </row>
    <row r="14428" spans="8:8" x14ac:dyDescent="0.25">
      <c r="H14428" t="s">
        <v>14212</v>
      </c>
    </row>
    <row r="14429" spans="8:8" x14ac:dyDescent="0.25">
      <c r="H14429" t="s">
        <v>30</v>
      </c>
    </row>
    <row r="14430" spans="8:8" x14ac:dyDescent="0.25">
      <c r="H14430" t="s">
        <v>137</v>
      </c>
    </row>
    <row r="14431" spans="8:8" x14ac:dyDescent="0.25">
      <c r="H14431" t="s">
        <v>14213</v>
      </c>
    </row>
    <row r="14432" spans="8:8" x14ac:dyDescent="0.25">
      <c r="H14432" t="s">
        <v>30</v>
      </c>
    </row>
    <row r="14433" spans="8:8" x14ac:dyDescent="0.25">
      <c r="H14433" t="s">
        <v>138</v>
      </c>
    </row>
    <row r="14434" spans="8:8" x14ac:dyDescent="0.25">
      <c r="H14434" t="s">
        <v>14214</v>
      </c>
    </row>
    <row r="14435" spans="8:8" x14ac:dyDescent="0.25">
      <c r="H14435" t="s">
        <v>30</v>
      </c>
    </row>
    <row r="14437" spans="8:8" x14ac:dyDescent="0.25">
      <c r="H14437" t="s">
        <v>14215</v>
      </c>
    </row>
    <row r="14438" spans="8:8" x14ac:dyDescent="0.25">
      <c r="H14438" t="s">
        <v>14216</v>
      </c>
    </row>
    <row r="14439" spans="8:8" x14ac:dyDescent="0.25">
      <c r="H14439" t="s">
        <v>135</v>
      </c>
    </row>
    <row r="14440" spans="8:8" x14ac:dyDescent="0.25">
      <c r="H14440" t="s">
        <v>14217</v>
      </c>
    </row>
    <row r="14441" spans="8:8" x14ac:dyDescent="0.25">
      <c r="H14441" t="s">
        <v>30</v>
      </c>
    </row>
    <row r="14442" spans="8:8" x14ac:dyDescent="0.25">
      <c r="H14442" t="s">
        <v>136</v>
      </c>
    </row>
    <row r="14443" spans="8:8" x14ac:dyDescent="0.25">
      <c r="H14443" t="s">
        <v>14218</v>
      </c>
    </row>
    <row r="14444" spans="8:8" x14ac:dyDescent="0.25">
      <c r="H14444" t="s">
        <v>30</v>
      </c>
    </row>
    <row r="14445" spans="8:8" x14ac:dyDescent="0.25">
      <c r="H14445" t="s">
        <v>137</v>
      </c>
    </row>
    <row r="14446" spans="8:8" x14ac:dyDescent="0.25">
      <c r="H14446" t="s">
        <v>14219</v>
      </c>
    </row>
    <row r="14447" spans="8:8" x14ac:dyDescent="0.25">
      <c r="H14447" t="s">
        <v>30</v>
      </c>
    </row>
    <row r="14448" spans="8:8" x14ac:dyDescent="0.25">
      <c r="H14448" t="s">
        <v>138</v>
      </c>
    </row>
    <row r="14449" spans="8:8" x14ac:dyDescent="0.25">
      <c r="H14449" t="s">
        <v>14220</v>
      </c>
    </row>
    <row r="14450" spans="8:8" x14ac:dyDescent="0.25">
      <c r="H14450" t="s">
        <v>30</v>
      </c>
    </row>
    <row r="14452" spans="8:8" x14ac:dyDescent="0.25">
      <c r="H14452" t="s">
        <v>14221</v>
      </c>
    </row>
    <row r="14453" spans="8:8" x14ac:dyDescent="0.25">
      <c r="H14453" t="s">
        <v>14222</v>
      </c>
    </row>
    <row r="14454" spans="8:8" x14ac:dyDescent="0.25">
      <c r="H14454" t="s">
        <v>135</v>
      </c>
    </row>
    <row r="14455" spans="8:8" x14ac:dyDescent="0.25">
      <c r="H14455" t="s">
        <v>14223</v>
      </c>
    </row>
    <row r="14456" spans="8:8" x14ac:dyDescent="0.25">
      <c r="H14456" t="s">
        <v>30</v>
      </c>
    </row>
    <row r="14457" spans="8:8" x14ac:dyDescent="0.25">
      <c r="H14457" t="s">
        <v>136</v>
      </c>
    </row>
    <row r="14458" spans="8:8" x14ac:dyDescent="0.25">
      <c r="H14458" t="s">
        <v>14224</v>
      </c>
    </row>
    <row r="14459" spans="8:8" x14ac:dyDescent="0.25">
      <c r="H14459" t="s">
        <v>30</v>
      </c>
    </row>
    <row r="14460" spans="8:8" x14ac:dyDescent="0.25">
      <c r="H14460" t="s">
        <v>137</v>
      </c>
    </row>
    <row r="14461" spans="8:8" x14ac:dyDescent="0.25">
      <c r="H14461" t="s">
        <v>14225</v>
      </c>
    </row>
    <row r="14462" spans="8:8" x14ac:dyDescent="0.25">
      <c r="H14462" t="s">
        <v>30</v>
      </c>
    </row>
    <row r="14463" spans="8:8" x14ac:dyDescent="0.25">
      <c r="H14463" t="s">
        <v>138</v>
      </c>
    </row>
    <row r="14464" spans="8:8" x14ac:dyDescent="0.25">
      <c r="H14464" t="s">
        <v>14226</v>
      </c>
    </row>
    <row r="14465" spans="8:8" x14ac:dyDescent="0.25">
      <c r="H14465" t="s">
        <v>30</v>
      </c>
    </row>
    <row r="14467" spans="8:8" x14ac:dyDescent="0.25">
      <c r="H14467" t="s">
        <v>14227</v>
      </c>
    </row>
    <row r="14468" spans="8:8" x14ac:dyDescent="0.25">
      <c r="H14468" t="s">
        <v>14228</v>
      </c>
    </row>
    <row r="14469" spans="8:8" x14ac:dyDescent="0.25">
      <c r="H14469" t="s">
        <v>135</v>
      </c>
    </row>
    <row r="14470" spans="8:8" x14ac:dyDescent="0.25">
      <c r="H14470" t="s">
        <v>14229</v>
      </c>
    </row>
    <row r="14471" spans="8:8" x14ac:dyDescent="0.25">
      <c r="H14471" t="s">
        <v>30</v>
      </c>
    </row>
    <row r="14472" spans="8:8" x14ac:dyDescent="0.25">
      <c r="H14472" t="s">
        <v>136</v>
      </c>
    </row>
    <row r="14473" spans="8:8" x14ac:dyDescent="0.25">
      <c r="H14473" t="s">
        <v>14230</v>
      </c>
    </row>
    <row r="14474" spans="8:8" x14ac:dyDescent="0.25">
      <c r="H14474" t="s">
        <v>30</v>
      </c>
    </row>
    <row r="14475" spans="8:8" x14ac:dyDescent="0.25">
      <c r="H14475" t="s">
        <v>137</v>
      </c>
    </row>
    <row r="14476" spans="8:8" x14ac:dyDescent="0.25">
      <c r="H14476" t="s">
        <v>14231</v>
      </c>
    </row>
    <row r="14477" spans="8:8" x14ac:dyDescent="0.25">
      <c r="H14477" t="s">
        <v>30</v>
      </c>
    </row>
    <row r="14478" spans="8:8" x14ac:dyDescent="0.25">
      <c r="H14478" t="s">
        <v>138</v>
      </c>
    </row>
    <row r="14479" spans="8:8" x14ac:dyDescent="0.25">
      <c r="H14479" t="s">
        <v>14232</v>
      </c>
    </row>
    <row r="14480" spans="8:8" x14ac:dyDescent="0.25">
      <c r="H14480" t="s">
        <v>30</v>
      </c>
    </row>
    <row r="14482" spans="8:8" x14ac:dyDescent="0.25">
      <c r="H14482" t="s">
        <v>14233</v>
      </c>
    </row>
    <row r="14483" spans="8:8" x14ac:dyDescent="0.25">
      <c r="H14483" t="s">
        <v>14234</v>
      </c>
    </row>
    <row r="14484" spans="8:8" x14ac:dyDescent="0.25">
      <c r="H14484" t="s">
        <v>135</v>
      </c>
    </row>
    <row r="14485" spans="8:8" x14ac:dyDescent="0.25">
      <c r="H14485" t="s">
        <v>14235</v>
      </c>
    </row>
    <row r="14486" spans="8:8" x14ac:dyDescent="0.25">
      <c r="H14486" t="s">
        <v>30</v>
      </c>
    </row>
    <row r="14487" spans="8:8" x14ac:dyDescent="0.25">
      <c r="H14487" t="s">
        <v>136</v>
      </c>
    </row>
    <row r="14488" spans="8:8" x14ac:dyDescent="0.25">
      <c r="H14488" t="s">
        <v>14236</v>
      </c>
    </row>
    <row r="14489" spans="8:8" x14ac:dyDescent="0.25">
      <c r="H14489" t="s">
        <v>30</v>
      </c>
    </row>
    <row r="14490" spans="8:8" x14ac:dyDescent="0.25">
      <c r="H14490" t="s">
        <v>137</v>
      </c>
    </row>
    <row r="14491" spans="8:8" x14ac:dyDescent="0.25">
      <c r="H14491" t="s">
        <v>14237</v>
      </c>
    </row>
    <row r="14492" spans="8:8" x14ac:dyDescent="0.25">
      <c r="H14492" t="s">
        <v>30</v>
      </c>
    </row>
    <row r="14493" spans="8:8" x14ac:dyDescent="0.25">
      <c r="H14493" t="s">
        <v>138</v>
      </c>
    </row>
    <row r="14494" spans="8:8" x14ac:dyDescent="0.25">
      <c r="H14494" t="s">
        <v>14238</v>
      </c>
    </row>
    <row r="14495" spans="8:8" x14ac:dyDescent="0.25">
      <c r="H14495" t="s">
        <v>30</v>
      </c>
    </row>
    <row r="14497" spans="8:8" x14ac:dyDescent="0.25">
      <c r="H14497" t="s">
        <v>14239</v>
      </c>
    </row>
    <row r="14498" spans="8:8" x14ac:dyDescent="0.25">
      <c r="H14498" t="s">
        <v>14240</v>
      </c>
    </row>
    <row r="14499" spans="8:8" x14ac:dyDescent="0.25">
      <c r="H14499" t="s">
        <v>135</v>
      </c>
    </row>
    <row r="14500" spans="8:8" x14ac:dyDescent="0.25">
      <c r="H14500" t="s">
        <v>14241</v>
      </c>
    </row>
    <row r="14501" spans="8:8" x14ac:dyDescent="0.25">
      <c r="H14501" t="s">
        <v>30</v>
      </c>
    </row>
    <row r="14502" spans="8:8" x14ac:dyDescent="0.25">
      <c r="H14502" t="s">
        <v>136</v>
      </c>
    </row>
    <row r="14503" spans="8:8" x14ac:dyDescent="0.25">
      <c r="H14503" t="s">
        <v>14242</v>
      </c>
    </row>
    <row r="14504" spans="8:8" x14ac:dyDescent="0.25">
      <c r="H14504" t="s">
        <v>30</v>
      </c>
    </row>
    <row r="14505" spans="8:8" x14ac:dyDescent="0.25">
      <c r="H14505" t="s">
        <v>137</v>
      </c>
    </row>
    <row r="14506" spans="8:8" x14ac:dyDescent="0.25">
      <c r="H14506" t="s">
        <v>14243</v>
      </c>
    </row>
    <row r="14507" spans="8:8" x14ac:dyDescent="0.25">
      <c r="H14507" t="s">
        <v>30</v>
      </c>
    </row>
    <row r="14508" spans="8:8" x14ac:dyDescent="0.25">
      <c r="H14508" t="s">
        <v>138</v>
      </c>
    </row>
    <row r="14509" spans="8:8" x14ac:dyDescent="0.25">
      <c r="H14509" t="s">
        <v>14244</v>
      </c>
    </row>
    <row r="14510" spans="8:8" x14ac:dyDescent="0.25">
      <c r="H14510" t="s">
        <v>30</v>
      </c>
    </row>
    <row r="14512" spans="8:8" x14ac:dyDescent="0.25">
      <c r="H14512" t="s">
        <v>14245</v>
      </c>
    </row>
    <row r="14513" spans="8:8" x14ac:dyDescent="0.25">
      <c r="H14513" t="s">
        <v>14246</v>
      </c>
    </row>
    <row r="14514" spans="8:8" x14ac:dyDescent="0.25">
      <c r="H14514" t="s">
        <v>135</v>
      </c>
    </row>
    <row r="14515" spans="8:8" x14ac:dyDescent="0.25">
      <c r="H14515" t="s">
        <v>14247</v>
      </c>
    </row>
    <row r="14516" spans="8:8" x14ac:dyDescent="0.25">
      <c r="H14516" t="s">
        <v>30</v>
      </c>
    </row>
    <row r="14517" spans="8:8" x14ac:dyDescent="0.25">
      <c r="H14517" t="s">
        <v>136</v>
      </c>
    </row>
    <row r="14518" spans="8:8" x14ac:dyDescent="0.25">
      <c r="H14518" t="s">
        <v>14248</v>
      </c>
    </row>
    <row r="14519" spans="8:8" x14ac:dyDescent="0.25">
      <c r="H14519" t="s">
        <v>30</v>
      </c>
    </row>
    <row r="14520" spans="8:8" x14ac:dyDescent="0.25">
      <c r="H14520" t="s">
        <v>137</v>
      </c>
    </row>
    <row r="14521" spans="8:8" x14ac:dyDescent="0.25">
      <c r="H14521" t="s">
        <v>14249</v>
      </c>
    </row>
    <row r="14522" spans="8:8" x14ac:dyDescent="0.25">
      <c r="H14522" t="s">
        <v>30</v>
      </c>
    </row>
    <row r="14523" spans="8:8" x14ac:dyDescent="0.25">
      <c r="H14523" t="s">
        <v>138</v>
      </c>
    </row>
    <row r="14524" spans="8:8" x14ac:dyDescent="0.25">
      <c r="H14524" t="s">
        <v>14250</v>
      </c>
    </row>
    <row r="14525" spans="8:8" x14ac:dyDescent="0.25">
      <c r="H14525" t="s">
        <v>30</v>
      </c>
    </row>
    <row r="14527" spans="8:8" x14ac:dyDescent="0.25">
      <c r="H14527" t="s">
        <v>14251</v>
      </c>
    </row>
    <row r="14528" spans="8:8" x14ac:dyDescent="0.25">
      <c r="H14528" t="s">
        <v>14252</v>
      </c>
    </row>
    <row r="14529" spans="8:8" x14ac:dyDescent="0.25">
      <c r="H14529" t="s">
        <v>135</v>
      </c>
    </row>
    <row r="14530" spans="8:8" x14ac:dyDescent="0.25">
      <c r="H14530" t="s">
        <v>14253</v>
      </c>
    </row>
    <row r="14531" spans="8:8" x14ac:dyDescent="0.25">
      <c r="H14531" t="s">
        <v>30</v>
      </c>
    </row>
    <row r="14532" spans="8:8" x14ac:dyDescent="0.25">
      <c r="H14532" t="s">
        <v>136</v>
      </c>
    </row>
    <row r="14533" spans="8:8" x14ac:dyDescent="0.25">
      <c r="H14533" t="s">
        <v>14254</v>
      </c>
    </row>
    <row r="14534" spans="8:8" x14ac:dyDescent="0.25">
      <c r="H14534" t="s">
        <v>30</v>
      </c>
    </row>
    <row r="14535" spans="8:8" x14ac:dyDescent="0.25">
      <c r="H14535" t="s">
        <v>137</v>
      </c>
    </row>
    <row r="14536" spans="8:8" x14ac:dyDescent="0.25">
      <c r="H14536" t="s">
        <v>14255</v>
      </c>
    </row>
    <row r="14537" spans="8:8" x14ac:dyDescent="0.25">
      <c r="H14537" t="s">
        <v>30</v>
      </c>
    </row>
    <row r="14538" spans="8:8" x14ac:dyDescent="0.25">
      <c r="H14538" t="s">
        <v>138</v>
      </c>
    </row>
    <row r="14539" spans="8:8" x14ac:dyDescent="0.25">
      <c r="H14539" t="s">
        <v>14256</v>
      </c>
    </row>
    <row r="14540" spans="8:8" x14ac:dyDescent="0.25">
      <c r="H14540" t="s">
        <v>30</v>
      </c>
    </row>
    <row r="14542" spans="8:8" x14ac:dyDescent="0.25">
      <c r="H14542" t="s">
        <v>14257</v>
      </c>
    </row>
    <row r="14543" spans="8:8" x14ac:dyDescent="0.25">
      <c r="H14543" t="s">
        <v>14258</v>
      </c>
    </row>
    <row r="14544" spans="8:8" x14ac:dyDescent="0.25">
      <c r="H14544" t="s">
        <v>135</v>
      </c>
    </row>
    <row r="14545" spans="8:8" x14ac:dyDescent="0.25">
      <c r="H14545" t="s">
        <v>14259</v>
      </c>
    </row>
    <row r="14546" spans="8:8" x14ac:dyDescent="0.25">
      <c r="H14546" t="s">
        <v>30</v>
      </c>
    </row>
    <row r="14547" spans="8:8" x14ac:dyDescent="0.25">
      <c r="H14547" t="s">
        <v>136</v>
      </c>
    </row>
    <row r="14548" spans="8:8" x14ac:dyDescent="0.25">
      <c r="H14548" t="s">
        <v>14260</v>
      </c>
    </row>
    <row r="14549" spans="8:8" x14ac:dyDescent="0.25">
      <c r="H14549" t="s">
        <v>30</v>
      </c>
    </row>
    <row r="14550" spans="8:8" x14ac:dyDescent="0.25">
      <c r="H14550" t="s">
        <v>137</v>
      </c>
    </row>
    <row r="14551" spans="8:8" x14ac:dyDescent="0.25">
      <c r="H14551" t="s">
        <v>14261</v>
      </c>
    </row>
    <row r="14552" spans="8:8" x14ac:dyDescent="0.25">
      <c r="H14552" t="s">
        <v>30</v>
      </c>
    </row>
    <row r="14553" spans="8:8" x14ac:dyDescent="0.25">
      <c r="H14553" t="s">
        <v>138</v>
      </c>
    </row>
    <row r="14554" spans="8:8" x14ac:dyDescent="0.25">
      <c r="H14554" t="s">
        <v>14262</v>
      </c>
    </row>
    <row r="14555" spans="8:8" x14ac:dyDescent="0.25">
      <c r="H14555" t="s">
        <v>30</v>
      </c>
    </row>
    <row r="14557" spans="8:8" x14ac:dyDescent="0.25">
      <c r="H14557" t="s">
        <v>14263</v>
      </c>
    </row>
    <row r="14558" spans="8:8" x14ac:dyDescent="0.25">
      <c r="H14558" t="s">
        <v>14264</v>
      </c>
    </row>
    <row r="14559" spans="8:8" x14ac:dyDescent="0.25">
      <c r="H14559" t="s">
        <v>135</v>
      </c>
    </row>
    <row r="14560" spans="8:8" x14ac:dyDescent="0.25">
      <c r="H14560" t="s">
        <v>14265</v>
      </c>
    </row>
    <row r="14561" spans="8:8" x14ac:dyDescent="0.25">
      <c r="H14561" t="s">
        <v>30</v>
      </c>
    </row>
    <row r="14562" spans="8:8" x14ac:dyDescent="0.25">
      <c r="H14562" t="s">
        <v>136</v>
      </c>
    </row>
    <row r="14563" spans="8:8" x14ac:dyDescent="0.25">
      <c r="H14563" t="s">
        <v>14266</v>
      </c>
    </row>
    <row r="14564" spans="8:8" x14ac:dyDescent="0.25">
      <c r="H14564" t="s">
        <v>30</v>
      </c>
    </row>
    <row r="14565" spans="8:8" x14ac:dyDescent="0.25">
      <c r="H14565" t="s">
        <v>137</v>
      </c>
    </row>
    <row r="14566" spans="8:8" x14ac:dyDescent="0.25">
      <c r="H14566" t="s">
        <v>14267</v>
      </c>
    </row>
    <row r="14567" spans="8:8" x14ac:dyDescent="0.25">
      <c r="H14567" t="s">
        <v>30</v>
      </c>
    </row>
    <row r="14568" spans="8:8" x14ac:dyDescent="0.25">
      <c r="H14568" t="s">
        <v>138</v>
      </c>
    </row>
    <row r="14569" spans="8:8" x14ac:dyDescent="0.25">
      <c r="H14569" t="s">
        <v>14268</v>
      </c>
    </row>
    <row r="14570" spans="8:8" x14ac:dyDescent="0.25">
      <c r="H14570" t="s">
        <v>30</v>
      </c>
    </row>
    <row r="14572" spans="8:8" x14ac:dyDescent="0.25">
      <c r="H14572" t="s">
        <v>14269</v>
      </c>
    </row>
    <row r="14573" spans="8:8" x14ac:dyDescent="0.25">
      <c r="H14573" t="s">
        <v>14270</v>
      </c>
    </row>
    <row r="14574" spans="8:8" x14ac:dyDescent="0.25">
      <c r="H14574" t="s">
        <v>135</v>
      </c>
    </row>
    <row r="14575" spans="8:8" x14ac:dyDescent="0.25">
      <c r="H14575" t="s">
        <v>14271</v>
      </c>
    </row>
    <row r="14576" spans="8:8" x14ac:dyDescent="0.25">
      <c r="H14576" t="s">
        <v>30</v>
      </c>
    </row>
    <row r="14577" spans="8:8" x14ac:dyDescent="0.25">
      <c r="H14577" t="s">
        <v>136</v>
      </c>
    </row>
    <row r="14578" spans="8:8" x14ac:dyDescent="0.25">
      <c r="H14578" t="s">
        <v>14272</v>
      </c>
    </row>
    <row r="14579" spans="8:8" x14ac:dyDescent="0.25">
      <c r="H14579" t="s">
        <v>30</v>
      </c>
    </row>
    <row r="14580" spans="8:8" x14ac:dyDescent="0.25">
      <c r="H14580" t="s">
        <v>137</v>
      </c>
    </row>
    <row r="14581" spans="8:8" x14ac:dyDescent="0.25">
      <c r="H14581" t="s">
        <v>14273</v>
      </c>
    </row>
    <row r="14582" spans="8:8" x14ac:dyDescent="0.25">
      <c r="H14582" t="s">
        <v>30</v>
      </c>
    </row>
    <row r="14583" spans="8:8" x14ac:dyDescent="0.25">
      <c r="H14583" t="s">
        <v>138</v>
      </c>
    </row>
    <row r="14584" spans="8:8" x14ac:dyDescent="0.25">
      <c r="H14584" t="s">
        <v>14274</v>
      </c>
    </row>
    <row r="14585" spans="8:8" x14ac:dyDescent="0.25">
      <c r="H14585" t="s">
        <v>30</v>
      </c>
    </row>
    <row r="14587" spans="8:8" x14ac:dyDescent="0.25">
      <c r="H14587" t="s">
        <v>14275</v>
      </c>
    </row>
    <row r="14588" spans="8:8" x14ac:dyDescent="0.25">
      <c r="H14588" t="s">
        <v>14276</v>
      </c>
    </row>
    <row r="14589" spans="8:8" x14ac:dyDescent="0.25">
      <c r="H14589" t="s">
        <v>135</v>
      </c>
    </row>
    <row r="14590" spans="8:8" x14ac:dyDescent="0.25">
      <c r="H14590" t="s">
        <v>14277</v>
      </c>
    </row>
    <row r="14591" spans="8:8" x14ac:dyDescent="0.25">
      <c r="H14591" t="s">
        <v>30</v>
      </c>
    </row>
    <row r="14592" spans="8:8" x14ac:dyDescent="0.25">
      <c r="H14592" t="s">
        <v>136</v>
      </c>
    </row>
    <row r="14593" spans="8:8" x14ac:dyDescent="0.25">
      <c r="H14593" t="s">
        <v>14278</v>
      </c>
    </row>
    <row r="14594" spans="8:8" x14ac:dyDescent="0.25">
      <c r="H14594" t="s">
        <v>30</v>
      </c>
    </row>
    <row r="14595" spans="8:8" x14ac:dyDescent="0.25">
      <c r="H14595" t="s">
        <v>137</v>
      </c>
    </row>
    <row r="14596" spans="8:8" x14ac:dyDescent="0.25">
      <c r="H14596" t="s">
        <v>14279</v>
      </c>
    </row>
    <row r="14597" spans="8:8" x14ac:dyDescent="0.25">
      <c r="H14597" t="s">
        <v>30</v>
      </c>
    </row>
    <row r="14598" spans="8:8" x14ac:dyDescent="0.25">
      <c r="H14598" t="s">
        <v>138</v>
      </c>
    </row>
    <row r="14599" spans="8:8" x14ac:dyDescent="0.25">
      <c r="H14599" t="s">
        <v>14280</v>
      </c>
    </row>
    <row r="14600" spans="8:8" x14ac:dyDescent="0.25">
      <c r="H14600" t="s">
        <v>30</v>
      </c>
    </row>
    <row r="14602" spans="8:8" x14ac:dyDescent="0.25">
      <c r="H14602" t="s">
        <v>14281</v>
      </c>
    </row>
    <row r="14603" spans="8:8" x14ac:dyDescent="0.25">
      <c r="H14603" t="s">
        <v>14282</v>
      </c>
    </row>
    <row r="14604" spans="8:8" x14ac:dyDescent="0.25">
      <c r="H14604" t="s">
        <v>135</v>
      </c>
    </row>
    <row r="14605" spans="8:8" x14ac:dyDescent="0.25">
      <c r="H14605" t="s">
        <v>14283</v>
      </c>
    </row>
    <row r="14606" spans="8:8" x14ac:dyDescent="0.25">
      <c r="H14606" t="s">
        <v>30</v>
      </c>
    </row>
    <row r="14607" spans="8:8" x14ac:dyDescent="0.25">
      <c r="H14607" t="s">
        <v>136</v>
      </c>
    </row>
    <row r="14608" spans="8:8" x14ac:dyDescent="0.25">
      <c r="H14608" t="s">
        <v>14284</v>
      </c>
    </row>
    <row r="14609" spans="8:8" x14ac:dyDescent="0.25">
      <c r="H14609" t="s">
        <v>30</v>
      </c>
    </row>
    <row r="14610" spans="8:8" x14ac:dyDescent="0.25">
      <c r="H14610" t="s">
        <v>137</v>
      </c>
    </row>
    <row r="14611" spans="8:8" x14ac:dyDescent="0.25">
      <c r="H14611" t="s">
        <v>14285</v>
      </c>
    </row>
    <row r="14612" spans="8:8" x14ac:dyDescent="0.25">
      <c r="H14612" t="s">
        <v>30</v>
      </c>
    </row>
    <row r="14613" spans="8:8" x14ac:dyDescent="0.25">
      <c r="H14613" t="s">
        <v>138</v>
      </c>
    </row>
    <row r="14614" spans="8:8" x14ac:dyDescent="0.25">
      <c r="H14614" t="s">
        <v>14286</v>
      </c>
    </row>
    <row r="14615" spans="8:8" x14ac:dyDescent="0.25">
      <c r="H14615" t="s">
        <v>30</v>
      </c>
    </row>
    <row r="14617" spans="8:8" x14ac:dyDescent="0.25">
      <c r="H14617" t="s">
        <v>14287</v>
      </c>
    </row>
    <row r="14618" spans="8:8" x14ac:dyDescent="0.25">
      <c r="H14618" t="s">
        <v>14288</v>
      </c>
    </row>
    <row r="14619" spans="8:8" x14ac:dyDescent="0.25">
      <c r="H14619" t="s">
        <v>135</v>
      </c>
    </row>
    <row r="14620" spans="8:8" x14ac:dyDescent="0.25">
      <c r="H14620" t="s">
        <v>14289</v>
      </c>
    </row>
    <row r="14621" spans="8:8" x14ac:dyDescent="0.25">
      <c r="H14621" t="s">
        <v>30</v>
      </c>
    </row>
    <row r="14622" spans="8:8" x14ac:dyDescent="0.25">
      <c r="H14622" t="s">
        <v>136</v>
      </c>
    </row>
    <row r="14623" spans="8:8" x14ac:dyDescent="0.25">
      <c r="H14623" t="s">
        <v>14290</v>
      </c>
    </row>
    <row r="14624" spans="8:8" x14ac:dyDescent="0.25">
      <c r="H14624" t="s">
        <v>30</v>
      </c>
    </row>
    <row r="14625" spans="8:8" x14ac:dyDescent="0.25">
      <c r="H14625" t="s">
        <v>137</v>
      </c>
    </row>
    <row r="14626" spans="8:8" x14ac:dyDescent="0.25">
      <c r="H14626" t="s">
        <v>14291</v>
      </c>
    </row>
    <row r="14627" spans="8:8" x14ac:dyDescent="0.25">
      <c r="H14627" t="s">
        <v>30</v>
      </c>
    </row>
    <row r="14628" spans="8:8" x14ac:dyDescent="0.25">
      <c r="H14628" t="s">
        <v>138</v>
      </c>
    </row>
    <row r="14629" spans="8:8" x14ac:dyDescent="0.25">
      <c r="H14629" t="s">
        <v>14292</v>
      </c>
    </row>
    <row r="14630" spans="8:8" x14ac:dyDescent="0.25">
      <c r="H14630" t="s">
        <v>30</v>
      </c>
    </row>
    <row r="14632" spans="8:8" x14ac:dyDescent="0.25">
      <c r="H14632" t="s">
        <v>14293</v>
      </c>
    </row>
    <row r="14633" spans="8:8" x14ac:dyDescent="0.25">
      <c r="H14633" t="s">
        <v>14294</v>
      </c>
    </row>
    <row r="14634" spans="8:8" x14ac:dyDescent="0.25">
      <c r="H14634" t="s">
        <v>135</v>
      </c>
    </row>
    <row r="14635" spans="8:8" x14ac:dyDescent="0.25">
      <c r="H14635" t="s">
        <v>14295</v>
      </c>
    </row>
    <row r="14636" spans="8:8" x14ac:dyDescent="0.25">
      <c r="H14636" t="s">
        <v>30</v>
      </c>
    </row>
    <row r="14637" spans="8:8" x14ac:dyDescent="0.25">
      <c r="H14637" t="s">
        <v>136</v>
      </c>
    </row>
    <row r="14638" spans="8:8" x14ac:dyDescent="0.25">
      <c r="H14638" t="s">
        <v>14296</v>
      </c>
    </row>
    <row r="14639" spans="8:8" x14ac:dyDescent="0.25">
      <c r="H14639" t="s">
        <v>30</v>
      </c>
    </row>
    <row r="14640" spans="8:8" x14ac:dyDescent="0.25">
      <c r="H14640" t="s">
        <v>137</v>
      </c>
    </row>
    <row r="14641" spans="8:8" x14ac:dyDescent="0.25">
      <c r="H14641" t="s">
        <v>14297</v>
      </c>
    </row>
    <row r="14642" spans="8:8" x14ac:dyDescent="0.25">
      <c r="H14642" t="s">
        <v>30</v>
      </c>
    </row>
    <row r="14643" spans="8:8" x14ac:dyDescent="0.25">
      <c r="H14643" t="s">
        <v>138</v>
      </c>
    </row>
    <row r="14644" spans="8:8" x14ac:dyDescent="0.25">
      <c r="H14644" t="s">
        <v>14298</v>
      </c>
    </row>
    <row r="14645" spans="8:8" x14ac:dyDescent="0.25">
      <c r="H14645" t="s">
        <v>30</v>
      </c>
    </row>
    <row r="14647" spans="8:8" x14ac:dyDescent="0.25">
      <c r="H14647" t="s">
        <v>14299</v>
      </c>
    </row>
    <row r="14648" spans="8:8" x14ac:dyDescent="0.25">
      <c r="H14648" t="s">
        <v>14300</v>
      </c>
    </row>
    <row r="14649" spans="8:8" x14ac:dyDescent="0.25">
      <c r="H14649" t="s">
        <v>135</v>
      </c>
    </row>
    <row r="14650" spans="8:8" x14ac:dyDescent="0.25">
      <c r="H14650" t="s">
        <v>14301</v>
      </c>
    </row>
    <row r="14651" spans="8:8" x14ac:dyDescent="0.25">
      <c r="H14651" t="s">
        <v>30</v>
      </c>
    </row>
    <row r="14652" spans="8:8" x14ac:dyDescent="0.25">
      <c r="H14652" t="s">
        <v>136</v>
      </c>
    </row>
    <row r="14653" spans="8:8" x14ac:dyDescent="0.25">
      <c r="H14653" t="s">
        <v>14302</v>
      </c>
    </row>
    <row r="14654" spans="8:8" x14ac:dyDescent="0.25">
      <c r="H14654" t="s">
        <v>30</v>
      </c>
    </row>
    <row r="14655" spans="8:8" x14ac:dyDescent="0.25">
      <c r="H14655" t="s">
        <v>137</v>
      </c>
    </row>
    <row r="14656" spans="8:8" x14ac:dyDescent="0.25">
      <c r="H14656" t="s">
        <v>14303</v>
      </c>
    </row>
    <row r="14657" spans="8:8" x14ac:dyDescent="0.25">
      <c r="H14657" t="s">
        <v>30</v>
      </c>
    </row>
    <row r="14658" spans="8:8" x14ac:dyDescent="0.25">
      <c r="H14658" t="s">
        <v>138</v>
      </c>
    </row>
    <row r="14659" spans="8:8" x14ac:dyDescent="0.25">
      <c r="H14659" t="s">
        <v>14304</v>
      </c>
    </row>
    <row r="14660" spans="8:8" x14ac:dyDescent="0.25">
      <c r="H14660" t="s">
        <v>30</v>
      </c>
    </row>
    <row r="14662" spans="8:8" x14ac:dyDescent="0.25">
      <c r="H14662" t="s">
        <v>14305</v>
      </c>
    </row>
    <row r="14663" spans="8:8" x14ac:dyDescent="0.25">
      <c r="H14663" t="s">
        <v>14306</v>
      </c>
    </row>
    <row r="14664" spans="8:8" x14ac:dyDescent="0.25">
      <c r="H14664" t="s">
        <v>135</v>
      </c>
    </row>
    <row r="14665" spans="8:8" x14ac:dyDescent="0.25">
      <c r="H14665" t="s">
        <v>14307</v>
      </c>
    </row>
    <row r="14666" spans="8:8" x14ac:dyDescent="0.25">
      <c r="H14666" t="s">
        <v>30</v>
      </c>
    </row>
    <row r="14667" spans="8:8" x14ac:dyDescent="0.25">
      <c r="H14667" t="s">
        <v>136</v>
      </c>
    </row>
    <row r="14668" spans="8:8" x14ac:dyDescent="0.25">
      <c r="H14668" t="s">
        <v>14308</v>
      </c>
    </row>
    <row r="14669" spans="8:8" x14ac:dyDescent="0.25">
      <c r="H14669" t="s">
        <v>30</v>
      </c>
    </row>
    <row r="14670" spans="8:8" x14ac:dyDescent="0.25">
      <c r="H14670" t="s">
        <v>137</v>
      </c>
    </row>
    <row r="14671" spans="8:8" x14ac:dyDescent="0.25">
      <c r="H14671" t="s">
        <v>14309</v>
      </c>
    </row>
    <row r="14672" spans="8:8" x14ac:dyDescent="0.25">
      <c r="H14672" t="s">
        <v>30</v>
      </c>
    </row>
    <row r="14673" spans="8:8" x14ac:dyDescent="0.25">
      <c r="H14673" t="s">
        <v>138</v>
      </c>
    </row>
    <row r="14674" spans="8:8" x14ac:dyDescent="0.25">
      <c r="H14674" t="s">
        <v>14310</v>
      </c>
    </row>
    <row r="14675" spans="8:8" x14ac:dyDescent="0.25">
      <c r="H14675" t="s">
        <v>30</v>
      </c>
    </row>
    <row r="14677" spans="8:8" x14ac:dyDescent="0.25">
      <c r="H14677" t="s">
        <v>14311</v>
      </c>
    </row>
    <row r="14678" spans="8:8" x14ac:dyDescent="0.25">
      <c r="H14678" t="s">
        <v>14312</v>
      </c>
    </row>
    <row r="14679" spans="8:8" x14ac:dyDescent="0.25">
      <c r="H14679" t="s">
        <v>135</v>
      </c>
    </row>
    <row r="14680" spans="8:8" x14ac:dyDescent="0.25">
      <c r="H14680" t="s">
        <v>14313</v>
      </c>
    </row>
    <row r="14681" spans="8:8" x14ac:dyDescent="0.25">
      <c r="H14681" t="s">
        <v>30</v>
      </c>
    </row>
    <row r="14682" spans="8:8" x14ac:dyDescent="0.25">
      <c r="H14682" t="s">
        <v>136</v>
      </c>
    </row>
    <row r="14683" spans="8:8" x14ac:dyDescent="0.25">
      <c r="H14683" t="s">
        <v>14314</v>
      </c>
    </row>
    <row r="14684" spans="8:8" x14ac:dyDescent="0.25">
      <c r="H14684" t="s">
        <v>30</v>
      </c>
    </row>
    <row r="14685" spans="8:8" x14ac:dyDescent="0.25">
      <c r="H14685" t="s">
        <v>137</v>
      </c>
    </row>
    <row r="14686" spans="8:8" x14ac:dyDescent="0.25">
      <c r="H14686" t="s">
        <v>14315</v>
      </c>
    </row>
    <row r="14687" spans="8:8" x14ac:dyDescent="0.25">
      <c r="H14687" t="s">
        <v>30</v>
      </c>
    </row>
    <row r="14688" spans="8:8" x14ac:dyDescent="0.25">
      <c r="H14688" t="s">
        <v>138</v>
      </c>
    </row>
    <row r="14689" spans="8:8" x14ac:dyDescent="0.25">
      <c r="H14689" t="s">
        <v>14316</v>
      </c>
    </row>
    <row r="14690" spans="8:8" x14ac:dyDescent="0.25">
      <c r="H14690" t="s">
        <v>30</v>
      </c>
    </row>
    <row r="14692" spans="8:8" x14ac:dyDescent="0.25">
      <c r="H14692" t="s">
        <v>14317</v>
      </c>
    </row>
    <row r="14693" spans="8:8" x14ac:dyDescent="0.25">
      <c r="H14693" t="s">
        <v>14318</v>
      </c>
    </row>
    <row r="14694" spans="8:8" x14ac:dyDescent="0.25">
      <c r="H14694" t="s">
        <v>135</v>
      </c>
    </row>
    <row r="14695" spans="8:8" x14ac:dyDescent="0.25">
      <c r="H14695" t="s">
        <v>14319</v>
      </c>
    </row>
    <row r="14696" spans="8:8" x14ac:dyDescent="0.25">
      <c r="H14696" t="s">
        <v>30</v>
      </c>
    </row>
    <row r="14697" spans="8:8" x14ac:dyDescent="0.25">
      <c r="H14697" t="s">
        <v>136</v>
      </c>
    </row>
    <row r="14698" spans="8:8" x14ac:dyDescent="0.25">
      <c r="H14698" t="s">
        <v>14320</v>
      </c>
    </row>
    <row r="14699" spans="8:8" x14ac:dyDescent="0.25">
      <c r="H14699" t="s">
        <v>30</v>
      </c>
    </row>
    <row r="14700" spans="8:8" x14ac:dyDescent="0.25">
      <c r="H14700" t="s">
        <v>137</v>
      </c>
    </row>
    <row r="14701" spans="8:8" x14ac:dyDescent="0.25">
      <c r="H14701" t="s">
        <v>14321</v>
      </c>
    </row>
    <row r="14702" spans="8:8" x14ac:dyDescent="0.25">
      <c r="H14702" t="s">
        <v>30</v>
      </c>
    </row>
    <row r="14703" spans="8:8" x14ac:dyDescent="0.25">
      <c r="H14703" t="s">
        <v>138</v>
      </c>
    </row>
    <row r="14704" spans="8:8" x14ac:dyDescent="0.25">
      <c r="H14704" t="s">
        <v>14322</v>
      </c>
    </row>
    <row r="14705" spans="8:8" x14ac:dyDescent="0.25">
      <c r="H14705" t="s">
        <v>30</v>
      </c>
    </row>
    <row r="14707" spans="8:8" x14ac:dyDescent="0.25">
      <c r="H14707" t="s">
        <v>14323</v>
      </c>
    </row>
    <row r="14708" spans="8:8" x14ac:dyDescent="0.25">
      <c r="H14708" t="s">
        <v>14324</v>
      </c>
    </row>
    <row r="14709" spans="8:8" x14ac:dyDescent="0.25">
      <c r="H14709" t="s">
        <v>135</v>
      </c>
    </row>
    <row r="14710" spans="8:8" x14ac:dyDescent="0.25">
      <c r="H14710" t="s">
        <v>14325</v>
      </c>
    </row>
    <row r="14711" spans="8:8" x14ac:dyDescent="0.25">
      <c r="H14711" t="s">
        <v>30</v>
      </c>
    </row>
    <row r="14712" spans="8:8" x14ac:dyDescent="0.25">
      <c r="H14712" t="s">
        <v>136</v>
      </c>
    </row>
    <row r="14713" spans="8:8" x14ac:dyDescent="0.25">
      <c r="H14713" t="s">
        <v>14326</v>
      </c>
    </row>
    <row r="14714" spans="8:8" x14ac:dyDescent="0.25">
      <c r="H14714" t="s">
        <v>30</v>
      </c>
    </row>
    <row r="14715" spans="8:8" x14ac:dyDescent="0.25">
      <c r="H14715" t="s">
        <v>137</v>
      </c>
    </row>
    <row r="14716" spans="8:8" x14ac:dyDescent="0.25">
      <c r="H14716" t="s">
        <v>14327</v>
      </c>
    </row>
    <row r="14717" spans="8:8" x14ac:dyDescent="0.25">
      <c r="H14717" t="s">
        <v>30</v>
      </c>
    </row>
    <row r="14718" spans="8:8" x14ac:dyDescent="0.25">
      <c r="H14718" t="s">
        <v>138</v>
      </c>
    </row>
    <row r="14719" spans="8:8" x14ac:dyDescent="0.25">
      <c r="H14719" t="s">
        <v>14328</v>
      </c>
    </row>
    <row r="14720" spans="8:8" x14ac:dyDescent="0.25">
      <c r="H14720" t="s">
        <v>30</v>
      </c>
    </row>
    <row r="14722" spans="8:8" x14ac:dyDescent="0.25">
      <c r="H14722" t="s">
        <v>14329</v>
      </c>
    </row>
    <row r="14723" spans="8:8" x14ac:dyDescent="0.25">
      <c r="H14723" t="s">
        <v>14330</v>
      </c>
    </row>
    <row r="14724" spans="8:8" x14ac:dyDescent="0.25">
      <c r="H14724" t="s">
        <v>135</v>
      </c>
    </row>
    <row r="14725" spans="8:8" x14ac:dyDescent="0.25">
      <c r="H14725" t="s">
        <v>14331</v>
      </c>
    </row>
    <row r="14726" spans="8:8" x14ac:dyDescent="0.25">
      <c r="H14726" t="s">
        <v>30</v>
      </c>
    </row>
    <row r="14727" spans="8:8" x14ac:dyDescent="0.25">
      <c r="H14727" t="s">
        <v>136</v>
      </c>
    </row>
    <row r="14728" spans="8:8" x14ac:dyDescent="0.25">
      <c r="H14728" t="s">
        <v>14332</v>
      </c>
    </row>
    <row r="14729" spans="8:8" x14ac:dyDescent="0.25">
      <c r="H14729" t="s">
        <v>30</v>
      </c>
    </row>
    <row r="14730" spans="8:8" x14ac:dyDescent="0.25">
      <c r="H14730" t="s">
        <v>137</v>
      </c>
    </row>
    <row r="14731" spans="8:8" x14ac:dyDescent="0.25">
      <c r="H14731" t="s">
        <v>14333</v>
      </c>
    </row>
    <row r="14732" spans="8:8" x14ac:dyDescent="0.25">
      <c r="H14732" t="s">
        <v>30</v>
      </c>
    </row>
    <row r="14733" spans="8:8" x14ac:dyDescent="0.25">
      <c r="H14733" t="s">
        <v>138</v>
      </c>
    </row>
    <row r="14734" spans="8:8" x14ac:dyDescent="0.25">
      <c r="H14734" t="s">
        <v>14334</v>
      </c>
    </row>
    <row r="14735" spans="8:8" x14ac:dyDescent="0.25">
      <c r="H14735" t="s">
        <v>30</v>
      </c>
    </row>
    <row r="14737" spans="8:8" x14ac:dyDescent="0.25">
      <c r="H14737" t="s">
        <v>14335</v>
      </c>
    </row>
    <row r="14738" spans="8:8" x14ac:dyDescent="0.25">
      <c r="H14738" t="s">
        <v>14336</v>
      </c>
    </row>
    <row r="14739" spans="8:8" x14ac:dyDescent="0.25">
      <c r="H14739" t="s">
        <v>135</v>
      </c>
    </row>
    <row r="14740" spans="8:8" x14ac:dyDescent="0.25">
      <c r="H14740" t="s">
        <v>14337</v>
      </c>
    </row>
    <row r="14741" spans="8:8" x14ac:dyDescent="0.25">
      <c r="H14741" t="s">
        <v>30</v>
      </c>
    </row>
    <row r="14742" spans="8:8" x14ac:dyDescent="0.25">
      <c r="H14742" t="s">
        <v>136</v>
      </c>
    </row>
    <row r="14743" spans="8:8" x14ac:dyDescent="0.25">
      <c r="H14743" t="s">
        <v>14338</v>
      </c>
    </row>
    <row r="14744" spans="8:8" x14ac:dyDescent="0.25">
      <c r="H14744" t="s">
        <v>30</v>
      </c>
    </row>
    <row r="14745" spans="8:8" x14ac:dyDescent="0.25">
      <c r="H14745" t="s">
        <v>137</v>
      </c>
    </row>
    <row r="14746" spans="8:8" x14ac:dyDescent="0.25">
      <c r="H14746" t="s">
        <v>14339</v>
      </c>
    </row>
    <row r="14747" spans="8:8" x14ac:dyDescent="0.25">
      <c r="H14747" t="s">
        <v>30</v>
      </c>
    </row>
    <row r="14748" spans="8:8" x14ac:dyDescent="0.25">
      <c r="H14748" t="s">
        <v>138</v>
      </c>
    </row>
    <row r="14749" spans="8:8" x14ac:dyDescent="0.25">
      <c r="H14749" t="s">
        <v>14340</v>
      </c>
    </row>
    <row r="14750" spans="8:8" x14ac:dyDescent="0.25">
      <c r="H14750" t="s">
        <v>30</v>
      </c>
    </row>
    <row r="14752" spans="8:8" x14ac:dyDescent="0.25">
      <c r="H14752" t="s">
        <v>14341</v>
      </c>
    </row>
    <row r="14753" spans="8:8" x14ac:dyDescent="0.25">
      <c r="H14753" t="s">
        <v>14342</v>
      </c>
    </row>
    <row r="14754" spans="8:8" x14ac:dyDescent="0.25">
      <c r="H14754" t="s">
        <v>135</v>
      </c>
    </row>
    <row r="14755" spans="8:8" x14ac:dyDescent="0.25">
      <c r="H14755" t="s">
        <v>14343</v>
      </c>
    </row>
    <row r="14756" spans="8:8" x14ac:dyDescent="0.25">
      <c r="H14756" t="s">
        <v>30</v>
      </c>
    </row>
    <row r="14757" spans="8:8" x14ac:dyDescent="0.25">
      <c r="H14757" t="s">
        <v>136</v>
      </c>
    </row>
    <row r="14758" spans="8:8" x14ac:dyDescent="0.25">
      <c r="H14758" t="s">
        <v>14344</v>
      </c>
    </row>
    <row r="14759" spans="8:8" x14ac:dyDescent="0.25">
      <c r="H14759" t="s">
        <v>30</v>
      </c>
    </row>
    <row r="14760" spans="8:8" x14ac:dyDescent="0.25">
      <c r="H14760" t="s">
        <v>137</v>
      </c>
    </row>
    <row r="14761" spans="8:8" x14ac:dyDescent="0.25">
      <c r="H14761" t="s">
        <v>14345</v>
      </c>
    </row>
    <row r="14762" spans="8:8" x14ac:dyDescent="0.25">
      <c r="H14762" t="s">
        <v>30</v>
      </c>
    </row>
    <row r="14763" spans="8:8" x14ac:dyDescent="0.25">
      <c r="H14763" t="s">
        <v>138</v>
      </c>
    </row>
    <row r="14764" spans="8:8" x14ac:dyDescent="0.25">
      <c r="H14764" t="s">
        <v>14346</v>
      </c>
    </row>
    <row r="14765" spans="8:8" x14ac:dyDescent="0.25">
      <c r="H14765" t="s">
        <v>30</v>
      </c>
    </row>
    <row r="14767" spans="8:8" x14ac:dyDescent="0.25">
      <c r="H14767" t="s">
        <v>14347</v>
      </c>
    </row>
    <row r="14768" spans="8:8" x14ac:dyDescent="0.25">
      <c r="H14768" t="s">
        <v>14348</v>
      </c>
    </row>
    <row r="14769" spans="8:8" x14ac:dyDescent="0.25">
      <c r="H14769" t="s">
        <v>135</v>
      </c>
    </row>
    <row r="14770" spans="8:8" x14ac:dyDescent="0.25">
      <c r="H14770" t="s">
        <v>14349</v>
      </c>
    </row>
    <row r="14771" spans="8:8" x14ac:dyDescent="0.25">
      <c r="H14771" t="s">
        <v>30</v>
      </c>
    </row>
    <row r="14772" spans="8:8" x14ac:dyDescent="0.25">
      <c r="H14772" t="s">
        <v>136</v>
      </c>
    </row>
    <row r="14773" spans="8:8" x14ac:dyDescent="0.25">
      <c r="H14773" t="s">
        <v>14350</v>
      </c>
    </row>
    <row r="14774" spans="8:8" x14ac:dyDescent="0.25">
      <c r="H14774" t="s">
        <v>30</v>
      </c>
    </row>
    <row r="14775" spans="8:8" x14ac:dyDescent="0.25">
      <c r="H14775" t="s">
        <v>137</v>
      </c>
    </row>
    <row r="14776" spans="8:8" x14ac:dyDescent="0.25">
      <c r="H14776" t="s">
        <v>14351</v>
      </c>
    </row>
    <row r="14777" spans="8:8" x14ac:dyDescent="0.25">
      <c r="H14777" t="s">
        <v>30</v>
      </c>
    </row>
    <row r="14778" spans="8:8" x14ac:dyDescent="0.25">
      <c r="H14778" t="s">
        <v>138</v>
      </c>
    </row>
    <row r="14779" spans="8:8" x14ac:dyDescent="0.25">
      <c r="H14779" t="s">
        <v>14352</v>
      </c>
    </row>
    <row r="14780" spans="8:8" x14ac:dyDescent="0.25">
      <c r="H14780" t="s">
        <v>30</v>
      </c>
    </row>
    <row r="14782" spans="8:8" x14ac:dyDescent="0.25">
      <c r="H14782" t="s">
        <v>14353</v>
      </c>
    </row>
    <row r="14783" spans="8:8" x14ac:dyDescent="0.25">
      <c r="H14783" t="s">
        <v>14354</v>
      </c>
    </row>
    <row r="14784" spans="8:8" x14ac:dyDescent="0.25">
      <c r="H14784" t="s">
        <v>135</v>
      </c>
    </row>
    <row r="14785" spans="8:8" x14ac:dyDescent="0.25">
      <c r="H14785" t="s">
        <v>14355</v>
      </c>
    </row>
    <row r="14786" spans="8:8" x14ac:dyDescent="0.25">
      <c r="H14786" t="s">
        <v>30</v>
      </c>
    </row>
    <row r="14787" spans="8:8" x14ac:dyDescent="0.25">
      <c r="H14787" t="s">
        <v>136</v>
      </c>
    </row>
    <row r="14788" spans="8:8" x14ac:dyDescent="0.25">
      <c r="H14788" t="s">
        <v>14356</v>
      </c>
    </row>
    <row r="14789" spans="8:8" x14ac:dyDescent="0.25">
      <c r="H14789" t="s">
        <v>30</v>
      </c>
    </row>
    <row r="14790" spans="8:8" x14ac:dyDescent="0.25">
      <c r="H14790" t="s">
        <v>137</v>
      </c>
    </row>
    <row r="14791" spans="8:8" x14ac:dyDescent="0.25">
      <c r="H14791" t="s">
        <v>14357</v>
      </c>
    </row>
    <row r="14792" spans="8:8" x14ac:dyDescent="0.25">
      <c r="H14792" t="s">
        <v>30</v>
      </c>
    </row>
    <row r="14793" spans="8:8" x14ac:dyDescent="0.25">
      <c r="H14793" t="s">
        <v>138</v>
      </c>
    </row>
    <row r="14794" spans="8:8" x14ac:dyDescent="0.25">
      <c r="H14794" t="s">
        <v>14358</v>
      </c>
    </row>
    <row r="14795" spans="8:8" x14ac:dyDescent="0.25">
      <c r="H14795" t="s">
        <v>30</v>
      </c>
    </row>
    <row r="14797" spans="8:8" x14ac:dyDescent="0.25">
      <c r="H14797" t="s">
        <v>14359</v>
      </c>
    </row>
    <row r="14798" spans="8:8" x14ac:dyDescent="0.25">
      <c r="H14798" t="s">
        <v>14360</v>
      </c>
    </row>
    <row r="14799" spans="8:8" x14ac:dyDescent="0.25">
      <c r="H14799" t="s">
        <v>135</v>
      </c>
    </row>
    <row r="14800" spans="8:8" x14ac:dyDescent="0.25">
      <c r="H14800" t="s">
        <v>14361</v>
      </c>
    </row>
    <row r="14801" spans="8:8" x14ac:dyDescent="0.25">
      <c r="H14801" t="s">
        <v>30</v>
      </c>
    </row>
    <row r="14802" spans="8:8" x14ac:dyDescent="0.25">
      <c r="H14802" t="s">
        <v>136</v>
      </c>
    </row>
    <row r="14803" spans="8:8" x14ac:dyDescent="0.25">
      <c r="H14803" t="s">
        <v>14362</v>
      </c>
    </row>
    <row r="14804" spans="8:8" x14ac:dyDescent="0.25">
      <c r="H14804" t="s">
        <v>30</v>
      </c>
    </row>
    <row r="14805" spans="8:8" x14ac:dyDescent="0.25">
      <c r="H14805" t="s">
        <v>137</v>
      </c>
    </row>
    <row r="14806" spans="8:8" x14ac:dyDescent="0.25">
      <c r="H14806" t="s">
        <v>14363</v>
      </c>
    </row>
    <row r="14807" spans="8:8" x14ac:dyDescent="0.25">
      <c r="H14807" t="s">
        <v>30</v>
      </c>
    </row>
    <row r="14808" spans="8:8" x14ac:dyDescent="0.25">
      <c r="H14808" t="s">
        <v>138</v>
      </c>
    </row>
    <row r="14809" spans="8:8" x14ac:dyDescent="0.25">
      <c r="H14809" t="s">
        <v>14364</v>
      </c>
    </row>
    <row r="14810" spans="8:8" x14ac:dyDescent="0.25">
      <c r="H14810" t="s">
        <v>30</v>
      </c>
    </row>
    <row r="14812" spans="8:8" x14ac:dyDescent="0.25">
      <c r="H14812" t="s">
        <v>14365</v>
      </c>
    </row>
    <row r="14813" spans="8:8" x14ac:dyDescent="0.25">
      <c r="H14813" t="s">
        <v>14366</v>
      </c>
    </row>
    <row r="14814" spans="8:8" x14ac:dyDescent="0.25">
      <c r="H14814" t="s">
        <v>135</v>
      </c>
    </row>
    <row r="14815" spans="8:8" x14ac:dyDescent="0.25">
      <c r="H14815" t="s">
        <v>14367</v>
      </c>
    </row>
    <row r="14816" spans="8:8" x14ac:dyDescent="0.25">
      <c r="H14816" t="s">
        <v>30</v>
      </c>
    </row>
    <row r="14817" spans="8:8" x14ac:dyDescent="0.25">
      <c r="H14817" t="s">
        <v>136</v>
      </c>
    </row>
    <row r="14818" spans="8:8" x14ac:dyDescent="0.25">
      <c r="H14818" t="s">
        <v>14368</v>
      </c>
    </row>
    <row r="14819" spans="8:8" x14ac:dyDescent="0.25">
      <c r="H14819" t="s">
        <v>30</v>
      </c>
    </row>
    <row r="14820" spans="8:8" x14ac:dyDescent="0.25">
      <c r="H14820" t="s">
        <v>137</v>
      </c>
    </row>
    <row r="14821" spans="8:8" x14ac:dyDescent="0.25">
      <c r="H14821" t="s">
        <v>14369</v>
      </c>
    </row>
    <row r="14822" spans="8:8" x14ac:dyDescent="0.25">
      <c r="H14822" t="s">
        <v>30</v>
      </c>
    </row>
    <row r="14823" spans="8:8" x14ac:dyDescent="0.25">
      <c r="H14823" t="s">
        <v>138</v>
      </c>
    </row>
    <row r="14824" spans="8:8" x14ac:dyDescent="0.25">
      <c r="H14824" t="s">
        <v>14370</v>
      </c>
    </row>
    <row r="14825" spans="8:8" x14ac:dyDescent="0.25">
      <c r="H14825" t="s">
        <v>30</v>
      </c>
    </row>
    <row r="14827" spans="8:8" x14ac:dyDescent="0.25">
      <c r="H14827" t="s">
        <v>14371</v>
      </c>
    </row>
    <row r="14828" spans="8:8" x14ac:dyDescent="0.25">
      <c r="H14828" t="s">
        <v>14372</v>
      </c>
    </row>
    <row r="14829" spans="8:8" x14ac:dyDescent="0.25">
      <c r="H14829" t="s">
        <v>135</v>
      </c>
    </row>
    <row r="14830" spans="8:8" x14ac:dyDescent="0.25">
      <c r="H14830" t="s">
        <v>14373</v>
      </c>
    </row>
    <row r="14831" spans="8:8" x14ac:dyDescent="0.25">
      <c r="H14831" t="s">
        <v>30</v>
      </c>
    </row>
    <row r="14832" spans="8:8" x14ac:dyDescent="0.25">
      <c r="H14832" t="s">
        <v>136</v>
      </c>
    </row>
    <row r="14833" spans="8:8" x14ac:dyDescent="0.25">
      <c r="H14833" t="s">
        <v>14374</v>
      </c>
    </row>
    <row r="14834" spans="8:8" x14ac:dyDescent="0.25">
      <c r="H14834" t="s">
        <v>30</v>
      </c>
    </row>
    <row r="14835" spans="8:8" x14ac:dyDescent="0.25">
      <c r="H14835" t="s">
        <v>137</v>
      </c>
    </row>
    <row r="14836" spans="8:8" x14ac:dyDescent="0.25">
      <c r="H14836" t="s">
        <v>14375</v>
      </c>
    </row>
    <row r="14837" spans="8:8" x14ac:dyDescent="0.25">
      <c r="H14837" t="s">
        <v>30</v>
      </c>
    </row>
    <row r="14838" spans="8:8" x14ac:dyDescent="0.25">
      <c r="H14838" t="s">
        <v>138</v>
      </c>
    </row>
    <row r="14839" spans="8:8" x14ac:dyDescent="0.25">
      <c r="H14839" t="s">
        <v>14376</v>
      </c>
    </row>
    <row r="14840" spans="8:8" x14ac:dyDescent="0.25">
      <c r="H14840" t="s">
        <v>30</v>
      </c>
    </row>
    <row r="14842" spans="8:8" x14ac:dyDescent="0.25">
      <c r="H14842" t="s">
        <v>14377</v>
      </c>
    </row>
    <row r="14843" spans="8:8" x14ac:dyDescent="0.25">
      <c r="H14843" t="s">
        <v>14378</v>
      </c>
    </row>
    <row r="14844" spans="8:8" x14ac:dyDescent="0.25">
      <c r="H14844" t="s">
        <v>135</v>
      </c>
    </row>
    <row r="14845" spans="8:8" x14ac:dyDescent="0.25">
      <c r="H14845" t="s">
        <v>14379</v>
      </c>
    </row>
    <row r="14846" spans="8:8" x14ac:dyDescent="0.25">
      <c r="H14846" t="s">
        <v>30</v>
      </c>
    </row>
    <row r="14847" spans="8:8" x14ac:dyDescent="0.25">
      <c r="H14847" t="s">
        <v>136</v>
      </c>
    </row>
    <row r="14848" spans="8:8" x14ac:dyDescent="0.25">
      <c r="H14848" t="s">
        <v>14380</v>
      </c>
    </row>
    <row r="14849" spans="8:8" x14ac:dyDescent="0.25">
      <c r="H14849" t="s">
        <v>30</v>
      </c>
    </row>
    <row r="14850" spans="8:8" x14ac:dyDescent="0.25">
      <c r="H14850" t="s">
        <v>137</v>
      </c>
    </row>
    <row r="14851" spans="8:8" x14ac:dyDescent="0.25">
      <c r="H14851" t="s">
        <v>14381</v>
      </c>
    </row>
    <row r="14852" spans="8:8" x14ac:dyDescent="0.25">
      <c r="H14852" t="s">
        <v>30</v>
      </c>
    </row>
    <row r="14853" spans="8:8" x14ac:dyDescent="0.25">
      <c r="H14853" t="s">
        <v>138</v>
      </c>
    </row>
    <row r="14854" spans="8:8" x14ac:dyDescent="0.25">
      <c r="H14854" t="s">
        <v>14382</v>
      </c>
    </row>
    <row r="14855" spans="8:8" x14ac:dyDescent="0.25">
      <c r="H14855" t="s">
        <v>30</v>
      </c>
    </row>
    <row r="14857" spans="8:8" x14ac:dyDescent="0.25">
      <c r="H14857" t="s">
        <v>14383</v>
      </c>
    </row>
    <row r="14858" spans="8:8" x14ac:dyDescent="0.25">
      <c r="H14858" t="s">
        <v>14384</v>
      </c>
    </row>
    <row r="14859" spans="8:8" x14ac:dyDescent="0.25">
      <c r="H14859" t="s">
        <v>135</v>
      </c>
    </row>
    <row r="14860" spans="8:8" x14ac:dyDescent="0.25">
      <c r="H14860" t="s">
        <v>14385</v>
      </c>
    </row>
    <row r="14861" spans="8:8" x14ac:dyDescent="0.25">
      <c r="H14861" t="s">
        <v>30</v>
      </c>
    </row>
    <row r="14862" spans="8:8" x14ac:dyDescent="0.25">
      <c r="H14862" t="s">
        <v>136</v>
      </c>
    </row>
    <row r="14863" spans="8:8" x14ac:dyDescent="0.25">
      <c r="H14863" t="s">
        <v>14386</v>
      </c>
    </row>
    <row r="14864" spans="8:8" x14ac:dyDescent="0.25">
      <c r="H14864" t="s">
        <v>30</v>
      </c>
    </row>
    <row r="14865" spans="8:8" x14ac:dyDescent="0.25">
      <c r="H14865" t="s">
        <v>137</v>
      </c>
    </row>
    <row r="14866" spans="8:8" x14ac:dyDescent="0.25">
      <c r="H14866" t="s">
        <v>14387</v>
      </c>
    </row>
    <row r="14867" spans="8:8" x14ac:dyDescent="0.25">
      <c r="H14867" t="s">
        <v>30</v>
      </c>
    </row>
    <row r="14868" spans="8:8" x14ac:dyDescent="0.25">
      <c r="H14868" t="s">
        <v>138</v>
      </c>
    </row>
    <row r="14869" spans="8:8" x14ac:dyDescent="0.25">
      <c r="H14869" t="s">
        <v>14388</v>
      </c>
    </row>
    <row r="14870" spans="8:8" x14ac:dyDescent="0.25">
      <c r="H14870" t="s">
        <v>30</v>
      </c>
    </row>
    <row r="14872" spans="8:8" x14ac:dyDescent="0.25">
      <c r="H14872" t="s">
        <v>14389</v>
      </c>
    </row>
    <row r="14873" spans="8:8" x14ac:dyDescent="0.25">
      <c r="H14873" t="s">
        <v>14390</v>
      </c>
    </row>
    <row r="14874" spans="8:8" x14ac:dyDescent="0.25">
      <c r="H14874" t="s">
        <v>135</v>
      </c>
    </row>
    <row r="14875" spans="8:8" x14ac:dyDescent="0.25">
      <c r="H14875" t="s">
        <v>14391</v>
      </c>
    </row>
    <row r="14876" spans="8:8" x14ac:dyDescent="0.25">
      <c r="H14876" t="s">
        <v>30</v>
      </c>
    </row>
    <row r="14877" spans="8:8" x14ac:dyDescent="0.25">
      <c r="H14877" t="s">
        <v>136</v>
      </c>
    </row>
    <row r="14878" spans="8:8" x14ac:dyDescent="0.25">
      <c r="H14878" t="s">
        <v>14392</v>
      </c>
    </row>
    <row r="14879" spans="8:8" x14ac:dyDescent="0.25">
      <c r="H14879" t="s">
        <v>30</v>
      </c>
    </row>
    <row r="14880" spans="8:8" x14ac:dyDescent="0.25">
      <c r="H14880" t="s">
        <v>137</v>
      </c>
    </row>
    <row r="14881" spans="8:8" x14ac:dyDescent="0.25">
      <c r="H14881" t="s">
        <v>14393</v>
      </c>
    </row>
    <row r="14882" spans="8:8" x14ac:dyDescent="0.25">
      <c r="H14882" t="s">
        <v>30</v>
      </c>
    </row>
    <row r="14883" spans="8:8" x14ac:dyDescent="0.25">
      <c r="H14883" t="s">
        <v>138</v>
      </c>
    </row>
    <row r="14884" spans="8:8" x14ac:dyDescent="0.25">
      <c r="H14884" t="s">
        <v>14394</v>
      </c>
    </row>
    <row r="14885" spans="8:8" x14ac:dyDescent="0.25">
      <c r="H14885" t="s">
        <v>30</v>
      </c>
    </row>
    <row r="14887" spans="8:8" x14ac:dyDescent="0.25">
      <c r="H14887" t="s">
        <v>14395</v>
      </c>
    </row>
    <row r="14888" spans="8:8" x14ac:dyDescent="0.25">
      <c r="H14888" t="s">
        <v>14396</v>
      </c>
    </row>
    <row r="14889" spans="8:8" x14ac:dyDescent="0.25">
      <c r="H14889" t="s">
        <v>135</v>
      </c>
    </row>
    <row r="14890" spans="8:8" x14ac:dyDescent="0.25">
      <c r="H14890" t="s">
        <v>14397</v>
      </c>
    </row>
    <row r="14891" spans="8:8" x14ac:dyDescent="0.25">
      <c r="H14891" t="s">
        <v>30</v>
      </c>
    </row>
    <row r="14892" spans="8:8" x14ac:dyDescent="0.25">
      <c r="H14892" t="s">
        <v>136</v>
      </c>
    </row>
    <row r="14893" spans="8:8" x14ac:dyDescent="0.25">
      <c r="H14893" t="s">
        <v>14398</v>
      </c>
    </row>
    <row r="14894" spans="8:8" x14ac:dyDescent="0.25">
      <c r="H14894" t="s">
        <v>30</v>
      </c>
    </row>
    <row r="14895" spans="8:8" x14ac:dyDescent="0.25">
      <c r="H14895" t="s">
        <v>137</v>
      </c>
    </row>
    <row r="14896" spans="8:8" x14ac:dyDescent="0.25">
      <c r="H14896" t="s">
        <v>14399</v>
      </c>
    </row>
    <row r="14897" spans="8:8" x14ac:dyDescent="0.25">
      <c r="H14897" t="s">
        <v>30</v>
      </c>
    </row>
    <row r="14898" spans="8:8" x14ac:dyDescent="0.25">
      <c r="H14898" t="s">
        <v>138</v>
      </c>
    </row>
    <row r="14899" spans="8:8" x14ac:dyDescent="0.25">
      <c r="H14899" t="s">
        <v>14400</v>
      </c>
    </row>
    <row r="14900" spans="8:8" x14ac:dyDescent="0.25">
      <c r="H14900" t="s">
        <v>30</v>
      </c>
    </row>
    <row r="14902" spans="8:8" x14ac:dyDescent="0.25">
      <c r="H14902" t="s">
        <v>14401</v>
      </c>
    </row>
    <row r="14903" spans="8:8" x14ac:dyDescent="0.25">
      <c r="H14903" t="s">
        <v>14402</v>
      </c>
    </row>
    <row r="14904" spans="8:8" x14ac:dyDescent="0.25">
      <c r="H14904" t="s">
        <v>135</v>
      </c>
    </row>
    <row r="14905" spans="8:8" x14ac:dyDescent="0.25">
      <c r="H14905" t="s">
        <v>14403</v>
      </c>
    </row>
    <row r="14906" spans="8:8" x14ac:dyDescent="0.25">
      <c r="H14906" t="s">
        <v>30</v>
      </c>
    </row>
    <row r="14907" spans="8:8" x14ac:dyDescent="0.25">
      <c r="H14907" t="s">
        <v>136</v>
      </c>
    </row>
    <row r="14908" spans="8:8" x14ac:dyDescent="0.25">
      <c r="H14908" t="s">
        <v>14404</v>
      </c>
    </row>
    <row r="14909" spans="8:8" x14ac:dyDescent="0.25">
      <c r="H14909" t="s">
        <v>30</v>
      </c>
    </row>
    <row r="14910" spans="8:8" x14ac:dyDescent="0.25">
      <c r="H14910" t="s">
        <v>137</v>
      </c>
    </row>
    <row r="14911" spans="8:8" x14ac:dyDescent="0.25">
      <c r="H14911" t="s">
        <v>14405</v>
      </c>
    </row>
    <row r="14912" spans="8:8" x14ac:dyDescent="0.25">
      <c r="H14912" t="s">
        <v>30</v>
      </c>
    </row>
    <row r="14913" spans="8:8" x14ac:dyDescent="0.25">
      <c r="H14913" t="s">
        <v>138</v>
      </c>
    </row>
    <row r="14914" spans="8:8" x14ac:dyDescent="0.25">
      <c r="H14914" t="s">
        <v>14406</v>
      </c>
    </row>
    <row r="14915" spans="8:8" x14ac:dyDescent="0.25">
      <c r="H14915" t="s">
        <v>30</v>
      </c>
    </row>
    <row r="14917" spans="8:8" x14ac:dyDescent="0.25">
      <c r="H14917" t="s">
        <v>14407</v>
      </c>
    </row>
    <row r="14918" spans="8:8" x14ac:dyDescent="0.25">
      <c r="H14918" t="s">
        <v>14408</v>
      </c>
    </row>
    <row r="14919" spans="8:8" x14ac:dyDescent="0.25">
      <c r="H14919" t="s">
        <v>135</v>
      </c>
    </row>
    <row r="14920" spans="8:8" x14ac:dyDescent="0.25">
      <c r="H14920" t="s">
        <v>14409</v>
      </c>
    </row>
    <row r="14921" spans="8:8" x14ac:dyDescent="0.25">
      <c r="H14921" t="s">
        <v>30</v>
      </c>
    </row>
    <row r="14922" spans="8:8" x14ac:dyDescent="0.25">
      <c r="H14922" t="s">
        <v>136</v>
      </c>
    </row>
    <row r="14923" spans="8:8" x14ac:dyDescent="0.25">
      <c r="H14923" t="s">
        <v>14410</v>
      </c>
    </row>
    <row r="14924" spans="8:8" x14ac:dyDescent="0.25">
      <c r="H14924" t="s">
        <v>30</v>
      </c>
    </row>
    <row r="14925" spans="8:8" x14ac:dyDescent="0.25">
      <c r="H14925" t="s">
        <v>137</v>
      </c>
    </row>
    <row r="14926" spans="8:8" x14ac:dyDescent="0.25">
      <c r="H14926" t="s">
        <v>14411</v>
      </c>
    </row>
    <row r="14927" spans="8:8" x14ac:dyDescent="0.25">
      <c r="H14927" t="s">
        <v>30</v>
      </c>
    </row>
    <row r="14928" spans="8:8" x14ac:dyDescent="0.25">
      <c r="H14928" t="s">
        <v>138</v>
      </c>
    </row>
    <row r="14929" spans="8:8" x14ac:dyDescent="0.25">
      <c r="H14929" t="s">
        <v>14412</v>
      </c>
    </row>
    <row r="14930" spans="8:8" x14ac:dyDescent="0.25">
      <c r="H14930" t="s">
        <v>30</v>
      </c>
    </row>
    <row r="14932" spans="8:8" x14ac:dyDescent="0.25">
      <c r="H14932" t="s">
        <v>14413</v>
      </c>
    </row>
    <row r="14933" spans="8:8" x14ac:dyDescent="0.25">
      <c r="H14933" t="s">
        <v>14414</v>
      </c>
    </row>
    <row r="14934" spans="8:8" x14ac:dyDescent="0.25">
      <c r="H14934" t="s">
        <v>135</v>
      </c>
    </row>
    <row r="14935" spans="8:8" x14ac:dyDescent="0.25">
      <c r="H14935" t="s">
        <v>14415</v>
      </c>
    </row>
    <row r="14936" spans="8:8" x14ac:dyDescent="0.25">
      <c r="H14936" t="s">
        <v>30</v>
      </c>
    </row>
    <row r="14937" spans="8:8" x14ac:dyDescent="0.25">
      <c r="H14937" t="s">
        <v>136</v>
      </c>
    </row>
    <row r="14938" spans="8:8" x14ac:dyDescent="0.25">
      <c r="H14938" t="s">
        <v>14416</v>
      </c>
    </row>
    <row r="14939" spans="8:8" x14ac:dyDescent="0.25">
      <c r="H14939" t="s">
        <v>30</v>
      </c>
    </row>
    <row r="14940" spans="8:8" x14ac:dyDescent="0.25">
      <c r="H14940" t="s">
        <v>137</v>
      </c>
    </row>
    <row r="14941" spans="8:8" x14ac:dyDescent="0.25">
      <c r="H14941" t="s">
        <v>14417</v>
      </c>
    </row>
    <row r="14942" spans="8:8" x14ac:dyDescent="0.25">
      <c r="H14942" t="s">
        <v>30</v>
      </c>
    </row>
    <row r="14943" spans="8:8" x14ac:dyDescent="0.25">
      <c r="H14943" t="s">
        <v>138</v>
      </c>
    </row>
    <row r="14944" spans="8:8" x14ac:dyDescent="0.25">
      <c r="H14944" t="s">
        <v>14418</v>
      </c>
    </row>
    <row r="14945" spans="8:8" x14ac:dyDescent="0.25">
      <c r="H14945" t="s">
        <v>30</v>
      </c>
    </row>
    <row r="14947" spans="8:8" x14ac:dyDescent="0.25">
      <c r="H14947" t="s">
        <v>14419</v>
      </c>
    </row>
    <row r="14948" spans="8:8" x14ac:dyDescent="0.25">
      <c r="H14948" t="s">
        <v>14420</v>
      </c>
    </row>
    <row r="14949" spans="8:8" x14ac:dyDescent="0.25">
      <c r="H14949" t="s">
        <v>135</v>
      </c>
    </row>
    <row r="14950" spans="8:8" x14ac:dyDescent="0.25">
      <c r="H14950" t="s">
        <v>14421</v>
      </c>
    </row>
    <row r="14951" spans="8:8" x14ac:dyDescent="0.25">
      <c r="H14951" t="s">
        <v>30</v>
      </c>
    </row>
    <row r="14952" spans="8:8" x14ac:dyDescent="0.25">
      <c r="H14952" t="s">
        <v>136</v>
      </c>
    </row>
    <row r="14953" spans="8:8" x14ac:dyDescent="0.25">
      <c r="H14953" t="s">
        <v>14422</v>
      </c>
    </row>
    <row r="14954" spans="8:8" x14ac:dyDescent="0.25">
      <c r="H14954" t="s">
        <v>30</v>
      </c>
    </row>
    <row r="14955" spans="8:8" x14ac:dyDescent="0.25">
      <c r="H14955" t="s">
        <v>137</v>
      </c>
    </row>
    <row r="14956" spans="8:8" x14ac:dyDescent="0.25">
      <c r="H14956" t="s">
        <v>14423</v>
      </c>
    </row>
    <row r="14957" spans="8:8" x14ac:dyDescent="0.25">
      <c r="H14957" t="s">
        <v>30</v>
      </c>
    </row>
    <row r="14958" spans="8:8" x14ac:dyDescent="0.25">
      <c r="H14958" t="s">
        <v>138</v>
      </c>
    </row>
    <row r="14959" spans="8:8" x14ac:dyDescent="0.25">
      <c r="H14959" t="s">
        <v>14424</v>
      </c>
    </row>
    <row r="14960" spans="8:8" x14ac:dyDescent="0.25">
      <c r="H14960" t="s">
        <v>30</v>
      </c>
    </row>
    <row r="14962" spans="8:8" x14ac:dyDescent="0.25">
      <c r="H14962" t="s">
        <v>14425</v>
      </c>
    </row>
    <row r="14963" spans="8:8" x14ac:dyDescent="0.25">
      <c r="H14963" t="s">
        <v>14426</v>
      </c>
    </row>
    <row r="14964" spans="8:8" x14ac:dyDescent="0.25">
      <c r="H14964" t="s">
        <v>135</v>
      </c>
    </row>
    <row r="14965" spans="8:8" x14ac:dyDescent="0.25">
      <c r="H14965" t="s">
        <v>14427</v>
      </c>
    </row>
    <row r="14966" spans="8:8" x14ac:dyDescent="0.25">
      <c r="H14966" t="s">
        <v>30</v>
      </c>
    </row>
    <row r="14967" spans="8:8" x14ac:dyDescent="0.25">
      <c r="H14967" t="s">
        <v>136</v>
      </c>
    </row>
    <row r="14968" spans="8:8" x14ac:dyDescent="0.25">
      <c r="H14968" t="s">
        <v>14428</v>
      </c>
    </row>
    <row r="14969" spans="8:8" x14ac:dyDescent="0.25">
      <c r="H14969" t="s">
        <v>30</v>
      </c>
    </row>
    <row r="14970" spans="8:8" x14ac:dyDescent="0.25">
      <c r="H14970" t="s">
        <v>137</v>
      </c>
    </row>
    <row r="14971" spans="8:8" x14ac:dyDescent="0.25">
      <c r="H14971" t="s">
        <v>14429</v>
      </c>
    </row>
    <row r="14972" spans="8:8" x14ac:dyDescent="0.25">
      <c r="H14972" t="s">
        <v>30</v>
      </c>
    </row>
    <row r="14973" spans="8:8" x14ac:dyDescent="0.25">
      <c r="H14973" t="s">
        <v>138</v>
      </c>
    </row>
    <row r="14974" spans="8:8" x14ac:dyDescent="0.25">
      <c r="H14974" t="s">
        <v>14430</v>
      </c>
    </row>
    <row r="14975" spans="8:8" x14ac:dyDescent="0.25">
      <c r="H14975" t="s">
        <v>30</v>
      </c>
    </row>
    <row r="14977" spans="8:8" x14ac:dyDescent="0.25">
      <c r="H14977" t="s">
        <v>14431</v>
      </c>
    </row>
    <row r="14978" spans="8:8" x14ac:dyDescent="0.25">
      <c r="H14978" t="s">
        <v>14432</v>
      </c>
    </row>
    <row r="14979" spans="8:8" x14ac:dyDescent="0.25">
      <c r="H14979" t="s">
        <v>135</v>
      </c>
    </row>
    <row r="14980" spans="8:8" x14ac:dyDescent="0.25">
      <c r="H14980" t="s">
        <v>14433</v>
      </c>
    </row>
    <row r="14981" spans="8:8" x14ac:dyDescent="0.25">
      <c r="H14981" t="s">
        <v>30</v>
      </c>
    </row>
    <row r="14982" spans="8:8" x14ac:dyDescent="0.25">
      <c r="H14982" t="s">
        <v>136</v>
      </c>
    </row>
    <row r="14983" spans="8:8" x14ac:dyDescent="0.25">
      <c r="H14983" t="s">
        <v>14434</v>
      </c>
    </row>
    <row r="14984" spans="8:8" x14ac:dyDescent="0.25">
      <c r="H14984" t="s">
        <v>30</v>
      </c>
    </row>
    <row r="14985" spans="8:8" x14ac:dyDescent="0.25">
      <c r="H14985" t="s">
        <v>137</v>
      </c>
    </row>
    <row r="14986" spans="8:8" x14ac:dyDescent="0.25">
      <c r="H14986" t="s">
        <v>14435</v>
      </c>
    </row>
    <row r="14987" spans="8:8" x14ac:dyDescent="0.25">
      <c r="H14987" t="s">
        <v>30</v>
      </c>
    </row>
    <row r="14988" spans="8:8" x14ac:dyDescent="0.25">
      <c r="H14988" t="s">
        <v>138</v>
      </c>
    </row>
    <row r="14989" spans="8:8" x14ac:dyDescent="0.25">
      <c r="H14989" t="s">
        <v>14436</v>
      </c>
    </row>
    <row r="14990" spans="8:8" x14ac:dyDescent="0.25">
      <c r="H14990" t="s">
        <v>30</v>
      </c>
    </row>
    <row r="14992" spans="8:8" x14ac:dyDescent="0.25">
      <c r="H14992" t="s">
        <v>14437</v>
      </c>
    </row>
    <row r="14993" spans="8:8" x14ac:dyDescent="0.25">
      <c r="H14993" t="s">
        <v>14438</v>
      </c>
    </row>
    <row r="14994" spans="8:8" x14ac:dyDescent="0.25">
      <c r="H14994" t="s">
        <v>135</v>
      </c>
    </row>
    <row r="14995" spans="8:8" x14ac:dyDescent="0.25">
      <c r="H14995" t="s">
        <v>14439</v>
      </c>
    </row>
    <row r="14996" spans="8:8" x14ac:dyDescent="0.25">
      <c r="H14996" t="s">
        <v>30</v>
      </c>
    </row>
    <row r="14997" spans="8:8" x14ac:dyDescent="0.25">
      <c r="H14997" t="s">
        <v>136</v>
      </c>
    </row>
    <row r="14998" spans="8:8" x14ac:dyDescent="0.25">
      <c r="H14998" t="s">
        <v>14440</v>
      </c>
    </row>
    <row r="14999" spans="8:8" x14ac:dyDescent="0.25">
      <c r="H14999" t="s">
        <v>30</v>
      </c>
    </row>
    <row r="15000" spans="8:8" x14ac:dyDescent="0.25">
      <c r="H15000" t="s">
        <v>137</v>
      </c>
    </row>
    <row r="15001" spans="8:8" x14ac:dyDescent="0.25">
      <c r="H15001" t="s">
        <v>14441</v>
      </c>
    </row>
    <row r="15002" spans="8:8" x14ac:dyDescent="0.25">
      <c r="H15002" t="s">
        <v>30</v>
      </c>
    </row>
    <row r="15003" spans="8:8" x14ac:dyDescent="0.25">
      <c r="H15003" t="s">
        <v>138</v>
      </c>
    </row>
    <row r="15004" spans="8:8" x14ac:dyDescent="0.25">
      <c r="H15004" t="s">
        <v>14442</v>
      </c>
    </row>
    <row r="15005" spans="8:8" x14ac:dyDescent="0.25">
      <c r="H15005" t="s">
        <v>30</v>
      </c>
    </row>
    <row r="15007" spans="8:8" x14ac:dyDescent="0.25">
      <c r="H15007" t="s">
        <v>14443</v>
      </c>
    </row>
    <row r="15008" spans="8:8" x14ac:dyDescent="0.25">
      <c r="H15008" t="s">
        <v>14444</v>
      </c>
    </row>
    <row r="15009" spans="8:8" x14ac:dyDescent="0.25">
      <c r="H15009" t="s">
        <v>135</v>
      </c>
    </row>
    <row r="15010" spans="8:8" x14ac:dyDescent="0.25">
      <c r="H15010" t="s">
        <v>14445</v>
      </c>
    </row>
    <row r="15011" spans="8:8" x14ac:dyDescent="0.25">
      <c r="H15011" t="s">
        <v>30</v>
      </c>
    </row>
    <row r="15012" spans="8:8" x14ac:dyDescent="0.25">
      <c r="H15012" t="s">
        <v>136</v>
      </c>
    </row>
    <row r="15013" spans="8:8" x14ac:dyDescent="0.25">
      <c r="H15013" t="s">
        <v>14446</v>
      </c>
    </row>
    <row r="15014" spans="8:8" x14ac:dyDescent="0.25">
      <c r="H15014" t="s">
        <v>30</v>
      </c>
    </row>
    <row r="15015" spans="8:8" x14ac:dyDescent="0.25">
      <c r="H15015" t="s">
        <v>137</v>
      </c>
    </row>
    <row r="15016" spans="8:8" x14ac:dyDescent="0.25">
      <c r="H15016" t="s">
        <v>14447</v>
      </c>
    </row>
    <row r="15017" spans="8:8" x14ac:dyDescent="0.25">
      <c r="H15017" t="s">
        <v>30</v>
      </c>
    </row>
    <row r="15018" spans="8:8" x14ac:dyDescent="0.25">
      <c r="H15018" t="s">
        <v>138</v>
      </c>
    </row>
    <row r="15019" spans="8:8" x14ac:dyDescent="0.25">
      <c r="H15019" t="s">
        <v>14448</v>
      </c>
    </row>
    <row r="15020" spans="8:8" x14ac:dyDescent="0.25">
      <c r="H15020" t="s">
        <v>30</v>
      </c>
    </row>
    <row r="15022" spans="8:8" x14ac:dyDescent="0.25">
      <c r="H15022" t="s">
        <v>14449</v>
      </c>
    </row>
    <row r="15023" spans="8:8" x14ac:dyDescent="0.25">
      <c r="H15023" t="s">
        <v>14450</v>
      </c>
    </row>
    <row r="15024" spans="8:8" x14ac:dyDescent="0.25">
      <c r="H15024" t="s">
        <v>135</v>
      </c>
    </row>
    <row r="15025" spans="8:8" x14ac:dyDescent="0.25">
      <c r="H15025" t="s">
        <v>14451</v>
      </c>
    </row>
    <row r="15026" spans="8:8" x14ac:dyDescent="0.25">
      <c r="H15026" t="s">
        <v>30</v>
      </c>
    </row>
    <row r="15027" spans="8:8" x14ac:dyDescent="0.25">
      <c r="H15027" t="s">
        <v>136</v>
      </c>
    </row>
    <row r="15028" spans="8:8" x14ac:dyDescent="0.25">
      <c r="H15028" t="s">
        <v>14452</v>
      </c>
    </row>
    <row r="15029" spans="8:8" x14ac:dyDescent="0.25">
      <c r="H15029" t="s">
        <v>30</v>
      </c>
    </row>
    <row r="15030" spans="8:8" x14ac:dyDescent="0.25">
      <c r="H15030" t="s">
        <v>137</v>
      </c>
    </row>
    <row r="15031" spans="8:8" x14ac:dyDescent="0.25">
      <c r="H15031" t="s">
        <v>14453</v>
      </c>
    </row>
    <row r="15032" spans="8:8" x14ac:dyDescent="0.25">
      <c r="H15032" t="s">
        <v>30</v>
      </c>
    </row>
    <row r="15033" spans="8:8" x14ac:dyDescent="0.25">
      <c r="H15033" t="s">
        <v>138</v>
      </c>
    </row>
    <row r="15034" spans="8:8" x14ac:dyDescent="0.25">
      <c r="H15034" t="s">
        <v>14454</v>
      </c>
    </row>
    <row r="15035" spans="8:8" x14ac:dyDescent="0.25">
      <c r="H15035" t="s">
        <v>30</v>
      </c>
    </row>
    <row r="15037" spans="8:8" x14ac:dyDescent="0.25">
      <c r="H15037" t="s">
        <v>14455</v>
      </c>
    </row>
    <row r="15038" spans="8:8" x14ac:dyDescent="0.25">
      <c r="H15038" t="s">
        <v>14456</v>
      </c>
    </row>
    <row r="15039" spans="8:8" x14ac:dyDescent="0.25">
      <c r="H15039" t="s">
        <v>135</v>
      </c>
    </row>
    <row r="15040" spans="8:8" x14ac:dyDescent="0.25">
      <c r="H15040" t="s">
        <v>14457</v>
      </c>
    </row>
    <row r="15041" spans="8:8" x14ac:dyDescent="0.25">
      <c r="H15041" t="s">
        <v>30</v>
      </c>
    </row>
    <row r="15042" spans="8:8" x14ac:dyDescent="0.25">
      <c r="H15042" t="s">
        <v>136</v>
      </c>
    </row>
    <row r="15043" spans="8:8" x14ac:dyDescent="0.25">
      <c r="H15043" t="s">
        <v>14458</v>
      </c>
    </row>
    <row r="15044" spans="8:8" x14ac:dyDescent="0.25">
      <c r="H15044" t="s">
        <v>30</v>
      </c>
    </row>
    <row r="15045" spans="8:8" x14ac:dyDescent="0.25">
      <c r="H15045" t="s">
        <v>137</v>
      </c>
    </row>
    <row r="15046" spans="8:8" x14ac:dyDescent="0.25">
      <c r="H15046" t="s">
        <v>14459</v>
      </c>
    </row>
    <row r="15047" spans="8:8" x14ac:dyDescent="0.25">
      <c r="H15047" t="s">
        <v>30</v>
      </c>
    </row>
    <row r="15048" spans="8:8" x14ac:dyDescent="0.25">
      <c r="H15048" t="s">
        <v>138</v>
      </c>
    </row>
    <row r="15049" spans="8:8" x14ac:dyDescent="0.25">
      <c r="H15049" t="s">
        <v>14460</v>
      </c>
    </row>
    <row r="15050" spans="8:8" x14ac:dyDescent="0.25">
      <c r="H15050" t="s">
        <v>30</v>
      </c>
    </row>
    <row r="15052" spans="8:8" x14ac:dyDescent="0.25">
      <c r="H15052" t="s">
        <v>14461</v>
      </c>
    </row>
    <row r="15053" spans="8:8" x14ac:dyDescent="0.25">
      <c r="H15053" t="s">
        <v>14462</v>
      </c>
    </row>
    <row r="15054" spans="8:8" x14ac:dyDescent="0.25">
      <c r="H15054" t="s">
        <v>135</v>
      </c>
    </row>
    <row r="15055" spans="8:8" x14ac:dyDescent="0.25">
      <c r="H15055" t="s">
        <v>14463</v>
      </c>
    </row>
    <row r="15056" spans="8:8" x14ac:dyDescent="0.25">
      <c r="H15056" t="s">
        <v>30</v>
      </c>
    </row>
    <row r="15057" spans="8:8" x14ac:dyDescent="0.25">
      <c r="H15057" t="s">
        <v>136</v>
      </c>
    </row>
    <row r="15058" spans="8:8" x14ac:dyDescent="0.25">
      <c r="H15058" t="s">
        <v>14464</v>
      </c>
    </row>
    <row r="15059" spans="8:8" x14ac:dyDescent="0.25">
      <c r="H15059" t="s">
        <v>30</v>
      </c>
    </row>
    <row r="15060" spans="8:8" x14ac:dyDescent="0.25">
      <c r="H15060" t="s">
        <v>137</v>
      </c>
    </row>
    <row r="15061" spans="8:8" x14ac:dyDescent="0.25">
      <c r="H15061" t="s">
        <v>14465</v>
      </c>
    </row>
    <row r="15062" spans="8:8" x14ac:dyDescent="0.25">
      <c r="H15062" t="s">
        <v>30</v>
      </c>
    </row>
    <row r="15063" spans="8:8" x14ac:dyDescent="0.25">
      <c r="H15063" t="s">
        <v>138</v>
      </c>
    </row>
    <row r="15064" spans="8:8" x14ac:dyDescent="0.25">
      <c r="H15064" t="s">
        <v>14466</v>
      </c>
    </row>
    <row r="15065" spans="8:8" x14ac:dyDescent="0.25">
      <c r="H15065" t="s">
        <v>30</v>
      </c>
    </row>
    <row r="15067" spans="8:8" x14ac:dyDescent="0.25">
      <c r="H15067" t="s">
        <v>14467</v>
      </c>
    </row>
    <row r="15068" spans="8:8" x14ac:dyDescent="0.25">
      <c r="H15068" t="s">
        <v>14468</v>
      </c>
    </row>
    <row r="15069" spans="8:8" x14ac:dyDescent="0.25">
      <c r="H15069" t="s">
        <v>135</v>
      </c>
    </row>
    <row r="15070" spans="8:8" x14ac:dyDescent="0.25">
      <c r="H15070" t="s">
        <v>14469</v>
      </c>
    </row>
    <row r="15071" spans="8:8" x14ac:dyDescent="0.25">
      <c r="H15071" t="s">
        <v>30</v>
      </c>
    </row>
    <row r="15072" spans="8:8" x14ac:dyDescent="0.25">
      <c r="H15072" t="s">
        <v>136</v>
      </c>
    </row>
    <row r="15073" spans="8:8" x14ac:dyDescent="0.25">
      <c r="H15073" t="s">
        <v>14470</v>
      </c>
    </row>
    <row r="15074" spans="8:8" x14ac:dyDescent="0.25">
      <c r="H15074" t="s">
        <v>30</v>
      </c>
    </row>
    <row r="15075" spans="8:8" x14ac:dyDescent="0.25">
      <c r="H15075" t="s">
        <v>137</v>
      </c>
    </row>
    <row r="15076" spans="8:8" x14ac:dyDescent="0.25">
      <c r="H15076" t="s">
        <v>14471</v>
      </c>
    </row>
    <row r="15077" spans="8:8" x14ac:dyDescent="0.25">
      <c r="H15077" t="s">
        <v>30</v>
      </c>
    </row>
    <row r="15078" spans="8:8" x14ac:dyDescent="0.25">
      <c r="H15078" t="s">
        <v>138</v>
      </c>
    </row>
    <row r="15079" spans="8:8" x14ac:dyDescent="0.25">
      <c r="H15079" t="s">
        <v>14472</v>
      </c>
    </row>
    <row r="15080" spans="8:8" x14ac:dyDescent="0.25">
      <c r="H15080" t="s">
        <v>30</v>
      </c>
    </row>
    <row r="15082" spans="8:8" x14ac:dyDescent="0.25">
      <c r="H15082" t="s">
        <v>14473</v>
      </c>
    </row>
    <row r="15083" spans="8:8" x14ac:dyDescent="0.25">
      <c r="H15083" t="s">
        <v>14474</v>
      </c>
    </row>
    <row r="15084" spans="8:8" x14ac:dyDescent="0.25">
      <c r="H15084" t="s">
        <v>135</v>
      </c>
    </row>
    <row r="15085" spans="8:8" x14ac:dyDescent="0.25">
      <c r="H15085" t="s">
        <v>14475</v>
      </c>
    </row>
    <row r="15086" spans="8:8" x14ac:dyDescent="0.25">
      <c r="H15086" t="s">
        <v>30</v>
      </c>
    </row>
    <row r="15087" spans="8:8" x14ac:dyDescent="0.25">
      <c r="H15087" t="s">
        <v>136</v>
      </c>
    </row>
    <row r="15088" spans="8:8" x14ac:dyDescent="0.25">
      <c r="H15088" t="s">
        <v>14476</v>
      </c>
    </row>
    <row r="15089" spans="8:8" x14ac:dyDescent="0.25">
      <c r="H15089" t="s">
        <v>30</v>
      </c>
    </row>
    <row r="15090" spans="8:8" x14ac:dyDescent="0.25">
      <c r="H15090" t="s">
        <v>137</v>
      </c>
    </row>
    <row r="15091" spans="8:8" x14ac:dyDescent="0.25">
      <c r="H15091" t="s">
        <v>14477</v>
      </c>
    </row>
    <row r="15092" spans="8:8" x14ac:dyDescent="0.25">
      <c r="H15092" t="s">
        <v>30</v>
      </c>
    </row>
    <row r="15093" spans="8:8" x14ac:dyDescent="0.25">
      <c r="H15093" t="s">
        <v>138</v>
      </c>
    </row>
    <row r="15094" spans="8:8" x14ac:dyDescent="0.25">
      <c r="H15094" t="s">
        <v>14478</v>
      </c>
    </row>
    <row r="15095" spans="8:8" x14ac:dyDescent="0.25">
      <c r="H15095" t="s">
        <v>30</v>
      </c>
    </row>
    <row r="15097" spans="8:8" x14ac:dyDescent="0.25">
      <c r="H15097" t="s">
        <v>14479</v>
      </c>
    </row>
    <row r="15098" spans="8:8" x14ac:dyDescent="0.25">
      <c r="H15098" t="s">
        <v>14480</v>
      </c>
    </row>
    <row r="15099" spans="8:8" x14ac:dyDescent="0.25">
      <c r="H15099" t="s">
        <v>135</v>
      </c>
    </row>
    <row r="15100" spans="8:8" x14ac:dyDescent="0.25">
      <c r="H15100" t="s">
        <v>14481</v>
      </c>
    </row>
    <row r="15101" spans="8:8" x14ac:dyDescent="0.25">
      <c r="H15101" t="s">
        <v>30</v>
      </c>
    </row>
    <row r="15102" spans="8:8" x14ac:dyDescent="0.25">
      <c r="H15102" t="s">
        <v>136</v>
      </c>
    </row>
    <row r="15103" spans="8:8" x14ac:dyDescent="0.25">
      <c r="H15103" t="s">
        <v>14482</v>
      </c>
    </row>
    <row r="15104" spans="8:8" x14ac:dyDescent="0.25">
      <c r="H15104" t="s">
        <v>30</v>
      </c>
    </row>
    <row r="15105" spans="8:8" x14ac:dyDescent="0.25">
      <c r="H15105" t="s">
        <v>137</v>
      </c>
    </row>
    <row r="15106" spans="8:8" x14ac:dyDescent="0.25">
      <c r="H15106" t="s">
        <v>14483</v>
      </c>
    </row>
    <row r="15107" spans="8:8" x14ac:dyDescent="0.25">
      <c r="H15107" t="s">
        <v>30</v>
      </c>
    </row>
    <row r="15108" spans="8:8" x14ac:dyDescent="0.25">
      <c r="H15108" t="s">
        <v>138</v>
      </c>
    </row>
    <row r="15109" spans="8:8" x14ac:dyDescent="0.25">
      <c r="H15109" t="s">
        <v>14484</v>
      </c>
    </row>
    <row r="15110" spans="8:8" x14ac:dyDescent="0.25">
      <c r="H15110" t="s">
        <v>30</v>
      </c>
    </row>
    <row r="15112" spans="8:8" x14ac:dyDescent="0.25">
      <c r="H15112" t="s">
        <v>14485</v>
      </c>
    </row>
    <row r="15113" spans="8:8" x14ac:dyDescent="0.25">
      <c r="H15113" t="s">
        <v>14486</v>
      </c>
    </row>
    <row r="15114" spans="8:8" x14ac:dyDescent="0.25">
      <c r="H15114" t="s">
        <v>135</v>
      </c>
    </row>
    <row r="15115" spans="8:8" x14ac:dyDescent="0.25">
      <c r="H15115" t="s">
        <v>14487</v>
      </c>
    </row>
    <row r="15116" spans="8:8" x14ac:dyDescent="0.25">
      <c r="H15116" t="s">
        <v>30</v>
      </c>
    </row>
    <row r="15117" spans="8:8" x14ac:dyDescent="0.25">
      <c r="H15117" t="s">
        <v>136</v>
      </c>
    </row>
    <row r="15118" spans="8:8" x14ac:dyDescent="0.25">
      <c r="H15118" t="s">
        <v>14488</v>
      </c>
    </row>
    <row r="15119" spans="8:8" x14ac:dyDescent="0.25">
      <c r="H15119" t="s">
        <v>30</v>
      </c>
    </row>
    <row r="15120" spans="8:8" x14ac:dyDescent="0.25">
      <c r="H15120" t="s">
        <v>137</v>
      </c>
    </row>
    <row r="15121" spans="8:8" x14ac:dyDescent="0.25">
      <c r="H15121" t="s">
        <v>14489</v>
      </c>
    </row>
    <row r="15122" spans="8:8" x14ac:dyDescent="0.25">
      <c r="H15122" t="s">
        <v>30</v>
      </c>
    </row>
    <row r="15123" spans="8:8" x14ac:dyDescent="0.25">
      <c r="H15123" t="s">
        <v>138</v>
      </c>
    </row>
    <row r="15124" spans="8:8" x14ac:dyDescent="0.25">
      <c r="H15124" t="s">
        <v>14490</v>
      </c>
    </row>
    <row r="15125" spans="8:8" x14ac:dyDescent="0.25">
      <c r="H15125" t="s">
        <v>30</v>
      </c>
    </row>
    <row r="15127" spans="8:8" x14ac:dyDescent="0.25">
      <c r="H15127" t="s">
        <v>14491</v>
      </c>
    </row>
    <row r="15128" spans="8:8" x14ac:dyDescent="0.25">
      <c r="H15128" t="s">
        <v>14492</v>
      </c>
    </row>
    <row r="15129" spans="8:8" x14ac:dyDescent="0.25">
      <c r="H15129" t="s">
        <v>135</v>
      </c>
    </row>
    <row r="15130" spans="8:8" x14ac:dyDescent="0.25">
      <c r="H15130" t="s">
        <v>14493</v>
      </c>
    </row>
    <row r="15131" spans="8:8" x14ac:dyDescent="0.25">
      <c r="H15131" t="s">
        <v>30</v>
      </c>
    </row>
    <row r="15132" spans="8:8" x14ac:dyDescent="0.25">
      <c r="H15132" t="s">
        <v>136</v>
      </c>
    </row>
    <row r="15133" spans="8:8" x14ac:dyDescent="0.25">
      <c r="H15133" t="s">
        <v>14494</v>
      </c>
    </row>
    <row r="15134" spans="8:8" x14ac:dyDescent="0.25">
      <c r="H15134" t="s">
        <v>30</v>
      </c>
    </row>
    <row r="15135" spans="8:8" x14ac:dyDescent="0.25">
      <c r="H15135" t="s">
        <v>137</v>
      </c>
    </row>
    <row r="15136" spans="8:8" x14ac:dyDescent="0.25">
      <c r="H15136" t="s">
        <v>14495</v>
      </c>
    </row>
    <row r="15137" spans="8:8" x14ac:dyDescent="0.25">
      <c r="H15137" t="s">
        <v>30</v>
      </c>
    </row>
    <row r="15138" spans="8:8" x14ac:dyDescent="0.25">
      <c r="H15138" t="s">
        <v>138</v>
      </c>
    </row>
    <row r="15139" spans="8:8" x14ac:dyDescent="0.25">
      <c r="H15139" t="s">
        <v>14496</v>
      </c>
    </row>
    <row r="15140" spans="8:8" x14ac:dyDescent="0.25">
      <c r="H15140" t="s">
        <v>30</v>
      </c>
    </row>
    <row r="15142" spans="8:8" x14ac:dyDescent="0.25">
      <c r="H15142" t="s">
        <v>14497</v>
      </c>
    </row>
    <row r="15143" spans="8:8" x14ac:dyDescent="0.25">
      <c r="H15143" t="s">
        <v>14498</v>
      </c>
    </row>
    <row r="15144" spans="8:8" x14ac:dyDescent="0.25">
      <c r="H15144" t="s">
        <v>135</v>
      </c>
    </row>
    <row r="15145" spans="8:8" x14ac:dyDescent="0.25">
      <c r="H15145" t="s">
        <v>14499</v>
      </c>
    </row>
    <row r="15146" spans="8:8" x14ac:dyDescent="0.25">
      <c r="H15146" t="s">
        <v>30</v>
      </c>
    </row>
    <row r="15147" spans="8:8" x14ac:dyDescent="0.25">
      <c r="H15147" t="s">
        <v>136</v>
      </c>
    </row>
    <row r="15148" spans="8:8" x14ac:dyDescent="0.25">
      <c r="H15148" t="s">
        <v>14500</v>
      </c>
    </row>
    <row r="15149" spans="8:8" x14ac:dyDescent="0.25">
      <c r="H15149" t="s">
        <v>30</v>
      </c>
    </row>
    <row r="15150" spans="8:8" x14ac:dyDescent="0.25">
      <c r="H15150" t="s">
        <v>137</v>
      </c>
    </row>
    <row r="15151" spans="8:8" x14ac:dyDescent="0.25">
      <c r="H15151" t="s">
        <v>14501</v>
      </c>
    </row>
    <row r="15152" spans="8:8" x14ac:dyDescent="0.25">
      <c r="H15152" t="s">
        <v>30</v>
      </c>
    </row>
    <row r="15153" spans="8:8" x14ac:dyDescent="0.25">
      <c r="H15153" t="s">
        <v>138</v>
      </c>
    </row>
    <row r="15154" spans="8:8" x14ac:dyDescent="0.25">
      <c r="H15154" t="s">
        <v>14502</v>
      </c>
    </row>
    <row r="15155" spans="8:8" x14ac:dyDescent="0.25">
      <c r="H15155" t="s">
        <v>30</v>
      </c>
    </row>
    <row r="15157" spans="8:8" x14ac:dyDescent="0.25">
      <c r="H15157" t="s">
        <v>14503</v>
      </c>
    </row>
    <row r="15158" spans="8:8" x14ac:dyDescent="0.25">
      <c r="H15158" t="s">
        <v>14504</v>
      </c>
    </row>
    <row r="15159" spans="8:8" x14ac:dyDescent="0.25">
      <c r="H15159" t="s">
        <v>135</v>
      </c>
    </row>
    <row r="15160" spans="8:8" x14ac:dyDescent="0.25">
      <c r="H15160" t="s">
        <v>14505</v>
      </c>
    </row>
    <row r="15161" spans="8:8" x14ac:dyDescent="0.25">
      <c r="H15161" t="s">
        <v>30</v>
      </c>
    </row>
    <row r="15162" spans="8:8" x14ac:dyDescent="0.25">
      <c r="H15162" t="s">
        <v>136</v>
      </c>
    </row>
    <row r="15163" spans="8:8" x14ac:dyDescent="0.25">
      <c r="H15163" t="s">
        <v>14506</v>
      </c>
    </row>
    <row r="15164" spans="8:8" x14ac:dyDescent="0.25">
      <c r="H15164" t="s">
        <v>30</v>
      </c>
    </row>
    <row r="15165" spans="8:8" x14ac:dyDescent="0.25">
      <c r="H15165" t="s">
        <v>137</v>
      </c>
    </row>
    <row r="15166" spans="8:8" x14ac:dyDescent="0.25">
      <c r="H15166" t="s">
        <v>14507</v>
      </c>
    </row>
    <row r="15167" spans="8:8" x14ac:dyDescent="0.25">
      <c r="H15167" t="s">
        <v>30</v>
      </c>
    </row>
    <row r="15168" spans="8:8" x14ac:dyDescent="0.25">
      <c r="H15168" t="s">
        <v>138</v>
      </c>
    </row>
    <row r="15169" spans="8:8" x14ac:dyDescent="0.25">
      <c r="H15169" t="s">
        <v>14508</v>
      </c>
    </row>
    <row r="15170" spans="8:8" x14ac:dyDescent="0.25">
      <c r="H15170" t="s">
        <v>30</v>
      </c>
    </row>
    <row r="15172" spans="8:8" x14ac:dyDescent="0.25">
      <c r="H15172" t="s">
        <v>14509</v>
      </c>
    </row>
    <row r="15173" spans="8:8" x14ac:dyDescent="0.25">
      <c r="H15173" t="s">
        <v>14510</v>
      </c>
    </row>
    <row r="15174" spans="8:8" x14ac:dyDescent="0.25">
      <c r="H15174" t="s">
        <v>135</v>
      </c>
    </row>
    <row r="15175" spans="8:8" x14ac:dyDescent="0.25">
      <c r="H15175" t="s">
        <v>14511</v>
      </c>
    </row>
    <row r="15176" spans="8:8" x14ac:dyDescent="0.25">
      <c r="H15176" t="s">
        <v>30</v>
      </c>
    </row>
    <row r="15177" spans="8:8" x14ac:dyDescent="0.25">
      <c r="H15177" t="s">
        <v>136</v>
      </c>
    </row>
    <row r="15178" spans="8:8" x14ac:dyDescent="0.25">
      <c r="H15178" t="s">
        <v>14512</v>
      </c>
    </row>
    <row r="15179" spans="8:8" x14ac:dyDescent="0.25">
      <c r="H15179" t="s">
        <v>30</v>
      </c>
    </row>
    <row r="15180" spans="8:8" x14ac:dyDescent="0.25">
      <c r="H15180" t="s">
        <v>137</v>
      </c>
    </row>
    <row r="15181" spans="8:8" x14ac:dyDescent="0.25">
      <c r="H15181" t="s">
        <v>14513</v>
      </c>
    </row>
    <row r="15182" spans="8:8" x14ac:dyDescent="0.25">
      <c r="H15182" t="s">
        <v>30</v>
      </c>
    </row>
    <row r="15183" spans="8:8" x14ac:dyDescent="0.25">
      <c r="H15183" t="s">
        <v>138</v>
      </c>
    </row>
    <row r="15184" spans="8:8" x14ac:dyDescent="0.25">
      <c r="H15184" t="s">
        <v>14514</v>
      </c>
    </row>
    <row r="15185" spans="8:8" x14ac:dyDescent="0.25">
      <c r="H15185" t="s">
        <v>30</v>
      </c>
    </row>
    <row r="15187" spans="8:8" x14ac:dyDescent="0.25">
      <c r="H15187" t="s">
        <v>14515</v>
      </c>
    </row>
    <row r="15188" spans="8:8" x14ac:dyDescent="0.25">
      <c r="H15188" t="s">
        <v>14516</v>
      </c>
    </row>
    <row r="15189" spans="8:8" x14ac:dyDescent="0.25">
      <c r="H15189" t="s">
        <v>135</v>
      </c>
    </row>
    <row r="15190" spans="8:8" x14ac:dyDescent="0.25">
      <c r="H15190" t="s">
        <v>14517</v>
      </c>
    </row>
    <row r="15191" spans="8:8" x14ac:dyDescent="0.25">
      <c r="H15191" t="s">
        <v>30</v>
      </c>
    </row>
    <row r="15192" spans="8:8" x14ac:dyDescent="0.25">
      <c r="H15192" t="s">
        <v>136</v>
      </c>
    </row>
    <row r="15193" spans="8:8" x14ac:dyDescent="0.25">
      <c r="H15193" t="s">
        <v>14518</v>
      </c>
    </row>
    <row r="15194" spans="8:8" x14ac:dyDescent="0.25">
      <c r="H15194" t="s">
        <v>30</v>
      </c>
    </row>
    <row r="15195" spans="8:8" x14ac:dyDescent="0.25">
      <c r="H15195" t="s">
        <v>137</v>
      </c>
    </row>
    <row r="15196" spans="8:8" x14ac:dyDescent="0.25">
      <c r="H15196" t="s">
        <v>14519</v>
      </c>
    </row>
    <row r="15197" spans="8:8" x14ac:dyDescent="0.25">
      <c r="H15197" t="s">
        <v>30</v>
      </c>
    </row>
    <row r="15198" spans="8:8" x14ac:dyDescent="0.25">
      <c r="H15198" t="s">
        <v>138</v>
      </c>
    </row>
    <row r="15199" spans="8:8" x14ac:dyDescent="0.25">
      <c r="H15199" t="s">
        <v>14520</v>
      </c>
    </row>
    <row r="15200" spans="8:8" x14ac:dyDescent="0.25">
      <c r="H15200" t="s">
        <v>30</v>
      </c>
    </row>
    <row r="15202" spans="8:8" x14ac:dyDescent="0.25">
      <c r="H15202" t="s">
        <v>14521</v>
      </c>
    </row>
    <row r="15203" spans="8:8" x14ac:dyDescent="0.25">
      <c r="H15203" t="s">
        <v>14522</v>
      </c>
    </row>
    <row r="15204" spans="8:8" x14ac:dyDescent="0.25">
      <c r="H15204" t="s">
        <v>135</v>
      </c>
    </row>
    <row r="15205" spans="8:8" x14ac:dyDescent="0.25">
      <c r="H15205" t="s">
        <v>14523</v>
      </c>
    </row>
    <row r="15206" spans="8:8" x14ac:dyDescent="0.25">
      <c r="H15206" t="s">
        <v>30</v>
      </c>
    </row>
    <row r="15207" spans="8:8" x14ac:dyDescent="0.25">
      <c r="H15207" t="s">
        <v>136</v>
      </c>
    </row>
    <row r="15208" spans="8:8" x14ac:dyDescent="0.25">
      <c r="H15208" t="s">
        <v>14524</v>
      </c>
    </row>
    <row r="15209" spans="8:8" x14ac:dyDescent="0.25">
      <c r="H15209" t="s">
        <v>30</v>
      </c>
    </row>
    <row r="15210" spans="8:8" x14ac:dyDescent="0.25">
      <c r="H15210" t="s">
        <v>137</v>
      </c>
    </row>
    <row r="15211" spans="8:8" x14ac:dyDescent="0.25">
      <c r="H15211" t="s">
        <v>14525</v>
      </c>
    </row>
    <row r="15212" spans="8:8" x14ac:dyDescent="0.25">
      <c r="H15212" t="s">
        <v>30</v>
      </c>
    </row>
    <row r="15213" spans="8:8" x14ac:dyDescent="0.25">
      <c r="H15213" t="s">
        <v>138</v>
      </c>
    </row>
    <row r="15214" spans="8:8" x14ac:dyDescent="0.25">
      <c r="H15214" t="s">
        <v>14526</v>
      </c>
    </row>
    <row r="15215" spans="8:8" x14ac:dyDescent="0.25">
      <c r="H15215" t="s">
        <v>30</v>
      </c>
    </row>
    <row r="15217" spans="8:8" x14ac:dyDescent="0.25">
      <c r="H15217" t="s">
        <v>14527</v>
      </c>
    </row>
    <row r="15218" spans="8:8" x14ac:dyDescent="0.25">
      <c r="H15218" t="s">
        <v>14528</v>
      </c>
    </row>
    <row r="15219" spans="8:8" x14ac:dyDescent="0.25">
      <c r="H15219" t="s">
        <v>135</v>
      </c>
    </row>
    <row r="15220" spans="8:8" x14ac:dyDescent="0.25">
      <c r="H15220" t="s">
        <v>14529</v>
      </c>
    </row>
    <row r="15221" spans="8:8" x14ac:dyDescent="0.25">
      <c r="H15221" t="s">
        <v>30</v>
      </c>
    </row>
    <row r="15222" spans="8:8" x14ac:dyDescent="0.25">
      <c r="H15222" t="s">
        <v>136</v>
      </c>
    </row>
    <row r="15223" spans="8:8" x14ac:dyDescent="0.25">
      <c r="H15223" t="s">
        <v>14530</v>
      </c>
    </row>
    <row r="15224" spans="8:8" x14ac:dyDescent="0.25">
      <c r="H15224" t="s">
        <v>30</v>
      </c>
    </row>
    <row r="15225" spans="8:8" x14ac:dyDescent="0.25">
      <c r="H15225" t="s">
        <v>137</v>
      </c>
    </row>
    <row r="15226" spans="8:8" x14ac:dyDescent="0.25">
      <c r="H15226" t="s">
        <v>14531</v>
      </c>
    </row>
    <row r="15227" spans="8:8" x14ac:dyDescent="0.25">
      <c r="H15227" t="s">
        <v>30</v>
      </c>
    </row>
    <row r="15228" spans="8:8" x14ac:dyDescent="0.25">
      <c r="H15228" t="s">
        <v>138</v>
      </c>
    </row>
    <row r="15229" spans="8:8" x14ac:dyDescent="0.25">
      <c r="H15229" t="s">
        <v>14532</v>
      </c>
    </row>
    <row r="15230" spans="8:8" x14ac:dyDescent="0.25">
      <c r="H15230" t="s">
        <v>30</v>
      </c>
    </row>
    <row r="15232" spans="8:8" x14ac:dyDescent="0.25">
      <c r="H15232" t="s">
        <v>14533</v>
      </c>
    </row>
    <row r="15233" spans="8:8" x14ac:dyDescent="0.25">
      <c r="H15233" t="s">
        <v>14534</v>
      </c>
    </row>
    <row r="15234" spans="8:8" x14ac:dyDescent="0.25">
      <c r="H15234" t="s">
        <v>135</v>
      </c>
    </row>
    <row r="15235" spans="8:8" x14ac:dyDescent="0.25">
      <c r="H15235" t="s">
        <v>14535</v>
      </c>
    </row>
    <row r="15236" spans="8:8" x14ac:dyDescent="0.25">
      <c r="H15236" t="s">
        <v>30</v>
      </c>
    </row>
    <row r="15237" spans="8:8" x14ac:dyDescent="0.25">
      <c r="H15237" t="s">
        <v>136</v>
      </c>
    </row>
    <row r="15238" spans="8:8" x14ac:dyDescent="0.25">
      <c r="H15238" t="s">
        <v>14536</v>
      </c>
    </row>
    <row r="15239" spans="8:8" x14ac:dyDescent="0.25">
      <c r="H15239" t="s">
        <v>30</v>
      </c>
    </row>
    <row r="15240" spans="8:8" x14ac:dyDescent="0.25">
      <c r="H15240" t="s">
        <v>137</v>
      </c>
    </row>
    <row r="15241" spans="8:8" x14ac:dyDescent="0.25">
      <c r="H15241" t="s">
        <v>14537</v>
      </c>
    </row>
    <row r="15242" spans="8:8" x14ac:dyDescent="0.25">
      <c r="H15242" t="s">
        <v>30</v>
      </c>
    </row>
    <row r="15243" spans="8:8" x14ac:dyDescent="0.25">
      <c r="H15243" t="s">
        <v>138</v>
      </c>
    </row>
    <row r="15244" spans="8:8" x14ac:dyDescent="0.25">
      <c r="H15244" t="s">
        <v>14538</v>
      </c>
    </row>
    <row r="15245" spans="8:8" x14ac:dyDescent="0.25">
      <c r="H15245" t="s">
        <v>30</v>
      </c>
    </row>
    <row r="15247" spans="8:8" x14ac:dyDescent="0.25">
      <c r="H15247" t="s">
        <v>14539</v>
      </c>
    </row>
    <row r="15248" spans="8:8" x14ac:dyDescent="0.25">
      <c r="H15248" t="s">
        <v>14540</v>
      </c>
    </row>
    <row r="15249" spans="8:8" x14ac:dyDescent="0.25">
      <c r="H15249" t="s">
        <v>135</v>
      </c>
    </row>
    <row r="15250" spans="8:8" x14ac:dyDescent="0.25">
      <c r="H15250" t="s">
        <v>14541</v>
      </c>
    </row>
    <row r="15251" spans="8:8" x14ac:dyDescent="0.25">
      <c r="H15251" t="s">
        <v>30</v>
      </c>
    </row>
    <row r="15252" spans="8:8" x14ac:dyDescent="0.25">
      <c r="H15252" t="s">
        <v>136</v>
      </c>
    </row>
    <row r="15253" spans="8:8" x14ac:dyDescent="0.25">
      <c r="H15253" t="s">
        <v>14542</v>
      </c>
    </row>
    <row r="15254" spans="8:8" x14ac:dyDescent="0.25">
      <c r="H15254" t="s">
        <v>30</v>
      </c>
    </row>
    <row r="15255" spans="8:8" x14ac:dyDescent="0.25">
      <c r="H15255" t="s">
        <v>137</v>
      </c>
    </row>
    <row r="15256" spans="8:8" x14ac:dyDescent="0.25">
      <c r="H15256" t="s">
        <v>14543</v>
      </c>
    </row>
    <row r="15257" spans="8:8" x14ac:dyDescent="0.25">
      <c r="H15257" t="s">
        <v>30</v>
      </c>
    </row>
    <row r="15258" spans="8:8" x14ac:dyDescent="0.25">
      <c r="H15258" t="s">
        <v>138</v>
      </c>
    </row>
    <row r="15259" spans="8:8" x14ac:dyDescent="0.25">
      <c r="H15259" t="s">
        <v>14544</v>
      </c>
    </row>
    <row r="15260" spans="8:8" x14ac:dyDescent="0.25">
      <c r="H15260" t="s">
        <v>30</v>
      </c>
    </row>
    <row r="15262" spans="8:8" x14ac:dyDescent="0.25">
      <c r="H15262" t="s">
        <v>14545</v>
      </c>
    </row>
    <row r="15263" spans="8:8" x14ac:dyDescent="0.25">
      <c r="H15263" t="s">
        <v>14546</v>
      </c>
    </row>
    <row r="15264" spans="8:8" x14ac:dyDescent="0.25">
      <c r="H15264" t="s">
        <v>135</v>
      </c>
    </row>
    <row r="15265" spans="8:8" x14ac:dyDescent="0.25">
      <c r="H15265" t="s">
        <v>14547</v>
      </c>
    </row>
    <row r="15266" spans="8:8" x14ac:dyDescent="0.25">
      <c r="H15266" t="s">
        <v>30</v>
      </c>
    </row>
    <row r="15267" spans="8:8" x14ac:dyDescent="0.25">
      <c r="H15267" t="s">
        <v>136</v>
      </c>
    </row>
    <row r="15268" spans="8:8" x14ac:dyDescent="0.25">
      <c r="H15268" t="s">
        <v>14548</v>
      </c>
    </row>
    <row r="15269" spans="8:8" x14ac:dyDescent="0.25">
      <c r="H15269" t="s">
        <v>30</v>
      </c>
    </row>
    <row r="15270" spans="8:8" x14ac:dyDescent="0.25">
      <c r="H15270" t="s">
        <v>137</v>
      </c>
    </row>
    <row r="15271" spans="8:8" x14ac:dyDescent="0.25">
      <c r="H15271" t="s">
        <v>14549</v>
      </c>
    </row>
    <row r="15272" spans="8:8" x14ac:dyDescent="0.25">
      <c r="H15272" t="s">
        <v>30</v>
      </c>
    </row>
    <row r="15273" spans="8:8" x14ac:dyDescent="0.25">
      <c r="H15273" t="s">
        <v>138</v>
      </c>
    </row>
    <row r="15274" spans="8:8" x14ac:dyDescent="0.25">
      <c r="H15274" t="s">
        <v>14550</v>
      </c>
    </row>
    <row r="15275" spans="8:8" x14ac:dyDescent="0.25">
      <c r="H15275" t="s">
        <v>30</v>
      </c>
    </row>
    <row r="15277" spans="8:8" x14ac:dyDescent="0.25">
      <c r="H15277" t="s">
        <v>14551</v>
      </c>
    </row>
    <row r="15278" spans="8:8" x14ac:dyDescent="0.25">
      <c r="H15278" t="s">
        <v>14552</v>
      </c>
    </row>
    <row r="15279" spans="8:8" x14ac:dyDescent="0.25">
      <c r="H15279" t="s">
        <v>135</v>
      </c>
    </row>
    <row r="15280" spans="8:8" x14ac:dyDescent="0.25">
      <c r="H15280" t="s">
        <v>14553</v>
      </c>
    </row>
    <row r="15281" spans="8:8" x14ac:dyDescent="0.25">
      <c r="H15281" t="s">
        <v>30</v>
      </c>
    </row>
    <row r="15282" spans="8:8" x14ac:dyDescent="0.25">
      <c r="H15282" t="s">
        <v>136</v>
      </c>
    </row>
    <row r="15283" spans="8:8" x14ac:dyDescent="0.25">
      <c r="H15283" t="s">
        <v>14554</v>
      </c>
    </row>
    <row r="15284" spans="8:8" x14ac:dyDescent="0.25">
      <c r="H15284" t="s">
        <v>30</v>
      </c>
    </row>
    <row r="15285" spans="8:8" x14ac:dyDescent="0.25">
      <c r="H15285" t="s">
        <v>137</v>
      </c>
    </row>
    <row r="15286" spans="8:8" x14ac:dyDescent="0.25">
      <c r="H15286" t="s">
        <v>14555</v>
      </c>
    </row>
    <row r="15287" spans="8:8" x14ac:dyDescent="0.25">
      <c r="H15287" t="s">
        <v>30</v>
      </c>
    </row>
    <row r="15288" spans="8:8" x14ac:dyDescent="0.25">
      <c r="H15288" t="s">
        <v>138</v>
      </c>
    </row>
    <row r="15289" spans="8:8" x14ac:dyDescent="0.25">
      <c r="H15289" t="s">
        <v>14556</v>
      </c>
    </row>
    <row r="15290" spans="8:8" x14ac:dyDescent="0.25">
      <c r="H15290" t="s">
        <v>30</v>
      </c>
    </row>
    <row r="15292" spans="8:8" x14ac:dyDescent="0.25">
      <c r="H15292" t="s">
        <v>14557</v>
      </c>
    </row>
    <row r="15293" spans="8:8" x14ac:dyDescent="0.25">
      <c r="H15293" t="s">
        <v>14558</v>
      </c>
    </row>
    <row r="15294" spans="8:8" x14ac:dyDescent="0.25">
      <c r="H15294" t="s">
        <v>135</v>
      </c>
    </row>
    <row r="15295" spans="8:8" x14ac:dyDescent="0.25">
      <c r="H15295" t="s">
        <v>14559</v>
      </c>
    </row>
    <row r="15296" spans="8:8" x14ac:dyDescent="0.25">
      <c r="H15296" t="s">
        <v>30</v>
      </c>
    </row>
    <row r="15297" spans="8:8" x14ac:dyDescent="0.25">
      <c r="H15297" t="s">
        <v>136</v>
      </c>
    </row>
    <row r="15298" spans="8:8" x14ac:dyDescent="0.25">
      <c r="H15298" t="s">
        <v>14560</v>
      </c>
    </row>
    <row r="15299" spans="8:8" x14ac:dyDescent="0.25">
      <c r="H15299" t="s">
        <v>30</v>
      </c>
    </row>
    <row r="15300" spans="8:8" x14ac:dyDescent="0.25">
      <c r="H15300" t="s">
        <v>137</v>
      </c>
    </row>
    <row r="15301" spans="8:8" x14ac:dyDescent="0.25">
      <c r="H15301" t="s">
        <v>14561</v>
      </c>
    </row>
    <row r="15302" spans="8:8" x14ac:dyDescent="0.25">
      <c r="H15302" t="s">
        <v>30</v>
      </c>
    </row>
    <row r="15303" spans="8:8" x14ac:dyDescent="0.25">
      <c r="H15303" t="s">
        <v>138</v>
      </c>
    </row>
    <row r="15304" spans="8:8" x14ac:dyDescent="0.25">
      <c r="H15304" t="s">
        <v>14562</v>
      </c>
    </row>
    <row r="15305" spans="8:8" x14ac:dyDescent="0.25">
      <c r="H15305" t="s">
        <v>30</v>
      </c>
    </row>
    <row r="15307" spans="8:8" x14ac:dyDescent="0.25">
      <c r="H15307" t="s">
        <v>14563</v>
      </c>
    </row>
    <row r="15308" spans="8:8" x14ac:dyDescent="0.25">
      <c r="H15308" t="s">
        <v>14564</v>
      </c>
    </row>
    <row r="15309" spans="8:8" x14ac:dyDescent="0.25">
      <c r="H15309" t="s">
        <v>135</v>
      </c>
    </row>
    <row r="15310" spans="8:8" x14ac:dyDescent="0.25">
      <c r="H15310" t="s">
        <v>14565</v>
      </c>
    </row>
    <row r="15311" spans="8:8" x14ac:dyDescent="0.25">
      <c r="H15311" t="s">
        <v>30</v>
      </c>
    </row>
    <row r="15312" spans="8:8" x14ac:dyDescent="0.25">
      <c r="H15312" t="s">
        <v>136</v>
      </c>
    </row>
    <row r="15313" spans="8:8" x14ac:dyDescent="0.25">
      <c r="H15313" t="s">
        <v>14566</v>
      </c>
    </row>
    <row r="15314" spans="8:8" x14ac:dyDescent="0.25">
      <c r="H15314" t="s">
        <v>30</v>
      </c>
    </row>
    <row r="15315" spans="8:8" x14ac:dyDescent="0.25">
      <c r="H15315" t="s">
        <v>137</v>
      </c>
    </row>
    <row r="15316" spans="8:8" x14ac:dyDescent="0.25">
      <c r="H15316" t="s">
        <v>14567</v>
      </c>
    </row>
    <row r="15317" spans="8:8" x14ac:dyDescent="0.25">
      <c r="H15317" t="s">
        <v>30</v>
      </c>
    </row>
    <row r="15318" spans="8:8" x14ac:dyDescent="0.25">
      <c r="H15318" t="s">
        <v>138</v>
      </c>
    </row>
    <row r="15319" spans="8:8" x14ac:dyDescent="0.25">
      <c r="H15319" t="s">
        <v>14568</v>
      </c>
    </row>
    <row r="15320" spans="8:8" x14ac:dyDescent="0.25">
      <c r="H15320" t="s">
        <v>30</v>
      </c>
    </row>
    <row r="15322" spans="8:8" x14ac:dyDescent="0.25">
      <c r="H15322" t="s">
        <v>14569</v>
      </c>
    </row>
    <row r="15323" spans="8:8" x14ac:dyDescent="0.25">
      <c r="H15323" t="s">
        <v>14570</v>
      </c>
    </row>
    <row r="15324" spans="8:8" x14ac:dyDescent="0.25">
      <c r="H15324" t="s">
        <v>135</v>
      </c>
    </row>
    <row r="15325" spans="8:8" x14ac:dyDescent="0.25">
      <c r="H15325" t="s">
        <v>14571</v>
      </c>
    </row>
    <row r="15326" spans="8:8" x14ac:dyDescent="0.25">
      <c r="H15326" t="s">
        <v>30</v>
      </c>
    </row>
    <row r="15327" spans="8:8" x14ac:dyDescent="0.25">
      <c r="H15327" t="s">
        <v>136</v>
      </c>
    </row>
    <row r="15328" spans="8:8" x14ac:dyDescent="0.25">
      <c r="H15328" t="s">
        <v>14572</v>
      </c>
    </row>
    <row r="15329" spans="8:8" x14ac:dyDescent="0.25">
      <c r="H15329" t="s">
        <v>30</v>
      </c>
    </row>
    <row r="15330" spans="8:8" x14ac:dyDescent="0.25">
      <c r="H15330" t="s">
        <v>137</v>
      </c>
    </row>
    <row r="15331" spans="8:8" x14ac:dyDescent="0.25">
      <c r="H15331" t="s">
        <v>14573</v>
      </c>
    </row>
    <row r="15332" spans="8:8" x14ac:dyDescent="0.25">
      <c r="H15332" t="s">
        <v>30</v>
      </c>
    </row>
    <row r="15333" spans="8:8" x14ac:dyDescent="0.25">
      <c r="H15333" t="s">
        <v>138</v>
      </c>
    </row>
    <row r="15334" spans="8:8" x14ac:dyDescent="0.25">
      <c r="H15334" t="s">
        <v>14574</v>
      </c>
    </row>
    <row r="15335" spans="8:8" x14ac:dyDescent="0.25">
      <c r="H15335" t="s">
        <v>30</v>
      </c>
    </row>
    <row r="15337" spans="8:8" x14ac:dyDescent="0.25">
      <c r="H15337" t="s">
        <v>14575</v>
      </c>
    </row>
    <row r="15338" spans="8:8" x14ac:dyDescent="0.25">
      <c r="H15338" t="s">
        <v>14576</v>
      </c>
    </row>
    <row r="15339" spans="8:8" x14ac:dyDescent="0.25">
      <c r="H15339" t="s">
        <v>135</v>
      </c>
    </row>
    <row r="15340" spans="8:8" x14ac:dyDescent="0.25">
      <c r="H15340" t="s">
        <v>14577</v>
      </c>
    </row>
    <row r="15341" spans="8:8" x14ac:dyDescent="0.25">
      <c r="H15341" t="s">
        <v>30</v>
      </c>
    </row>
    <row r="15342" spans="8:8" x14ac:dyDescent="0.25">
      <c r="H15342" t="s">
        <v>136</v>
      </c>
    </row>
    <row r="15343" spans="8:8" x14ac:dyDescent="0.25">
      <c r="H15343" t="s">
        <v>14578</v>
      </c>
    </row>
    <row r="15344" spans="8:8" x14ac:dyDescent="0.25">
      <c r="H15344" t="s">
        <v>30</v>
      </c>
    </row>
    <row r="15345" spans="8:8" x14ac:dyDescent="0.25">
      <c r="H15345" t="s">
        <v>137</v>
      </c>
    </row>
    <row r="15346" spans="8:8" x14ac:dyDescent="0.25">
      <c r="H15346" t="s">
        <v>14579</v>
      </c>
    </row>
    <row r="15347" spans="8:8" x14ac:dyDescent="0.25">
      <c r="H15347" t="s">
        <v>30</v>
      </c>
    </row>
    <row r="15348" spans="8:8" x14ac:dyDescent="0.25">
      <c r="H15348" t="s">
        <v>138</v>
      </c>
    </row>
    <row r="15349" spans="8:8" x14ac:dyDescent="0.25">
      <c r="H15349" t="s">
        <v>14580</v>
      </c>
    </row>
    <row r="15350" spans="8:8" x14ac:dyDescent="0.25">
      <c r="H15350" t="s">
        <v>30</v>
      </c>
    </row>
    <row r="15352" spans="8:8" x14ac:dyDescent="0.25">
      <c r="H15352" t="s">
        <v>14581</v>
      </c>
    </row>
    <row r="15353" spans="8:8" x14ac:dyDescent="0.25">
      <c r="H15353" t="s">
        <v>14582</v>
      </c>
    </row>
    <row r="15354" spans="8:8" x14ac:dyDescent="0.25">
      <c r="H15354" t="s">
        <v>135</v>
      </c>
    </row>
    <row r="15355" spans="8:8" x14ac:dyDescent="0.25">
      <c r="H15355" t="s">
        <v>14583</v>
      </c>
    </row>
    <row r="15356" spans="8:8" x14ac:dyDescent="0.25">
      <c r="H15356" t="s">
        <v>30</v>
      </c>
    </row>
    <row r="15357" spans="8:8" x14ac:dyDescent="0.25">
      <c r="H15357" t="s">
        <v>136</v>
      </c>
    </row>
    <row r="15358" spans="8:8" x14ac:dyDescent="0.25">
      <c r="H15358" t="s">
        <v>14584</v>
      </c>
    </row>
    <row r="15359" spans="8:8" x14ac:dyDescent="0.25">
      <c r="H15359" t="s">
        <v>30</v>
      </c>
    </row>
    <row r="15360" spans="8:8" x14ac:dyDescent="0.25">
      <c r="H15360" t="s">
        <v>137</v>
      </c>
    </row>
    <row r="15361" spans="8:8" x14ac:dyDescent="0.25">
      <c r="H15361" t="s">
        <v>14585</v>
      </c>
    </row>
    <row r="15362" spans="8:8" x14ac:dyDescent="0.25">
      <c r="H15362" t="s">
        <v>30</v>
      </c>
    </row>
    <row r="15363" spans="8:8" x14ac:dyDescent="0.25">
      <c r="H15363" t="s">
        <v>138</v>
      </c>
    </row>
    <row r="15364" spans="8:8" x14ac:dyDescent="0.25">
      <c r="H15364" t="s">
        <v>14586</v>
      </c>
    </row>
    <row r="15365" spans="8:8" x14ac:dyDescent="0.25">
      <c r="H15365" t="s">
        <v>30</v>
      </c>
    </row>
    <row r="15367" spans="8:8" x14ac:dyDescent="0.25">
      <c r="H15367" t="s">
        <v>14587</v>
      </c>
    </row>
    <row r="15368" spans="8:8" x14ac:dyDescent="0.25">
      <c r="H15368" t="s">
        <v>14588</v>
      </c>
    </row>
    <row r="15369" spans="8:8" x14ac:dyDescent="0.25">
      <c r="H15369" t="s">
        <v>135</v>
      </c>
    </row>
    <row r="15370" spans="8:8" x14ac:dyDescent="0.25">
      <c r="H15370" t="s">
        <v>14589</v>
      </c>
    </row>
    <row r="15371" spans="8:8" x14ac:dyDescent="0.25">
      <c r="H15371" t="s">
        <v>30</v>
      </c>
    </row>
    <row r="15372" spans="8:8" x14ac:dyDescent="0.25">
      <c r="H15372" t="s">
        <v>136</v>
      </c>
    </row>
    <row r="15373" spans="8:8" x14ac:dyDescent="0.25">
      <c r="H15373" t="s">
        <v>14590</v>
      </c>
    </row>
    <row r="15374" spans="8:8" x14ac:dyDescent="0.25">
      <c r="H15374" t="s">
        <v>30</v>
      </c>
    </row>
    <row r="15375" spans="8:8" x14ac:dyDescent="0.25">
      <c r="H15375" t="s">
        <v>137</v>
      </c>
    </row>
    <row r="15376" spans="8:8" x14ac:dyDescent="0.25">
      <c r="H15376" t="s">
        <v>14591</v>
      </c>
    </row>
    <row r="15377" spans="8:8" x14ac:dyDescent="0.25">
      <c r="H15377" t="s">
        <v>30</v>
      </c>
    </row>
    <row r="15378" spans="8:8" x14ac:dyDescent="0.25">
      <c r="H15378" t="s">
        <v>138</v>
      </c>
    </row>
    <row r="15379" spans="8:8" x14ac:dyDescent="0.25">
      <c r="H15379" t="s">
        <v>14592</v>
      </c>
    </row>
    <row r="15380" spans="8:8" x14ac:dyDescent="0.25">
      <c r="H15380" t="s">
        <v>30</v>
      </c>
    </row>
    <row r="15382" spans="8:8" x14ac:dyDescent="0.25">
      <c r="H15382" t="s">
        <v>14593</v>
      </c>
    </row>
    <row r="15383" spans="8:8" x14ac:dyDescent="0.25">
      <c r="H15383" t="s">
        <v>14594</v>
      </c>
    </row>
    <row r="15384" spans="8:8" x14ac:dyDescent="0.25">
      <c r="H15384" t="s">
        <v>135</v>
      </c>
    </row>
    <row r="15385" spans="8:8" x14ac:dyDescent="0.25">
      <c r="H15385" t="s">
        <v>14595</v>
      </c>
    </row>
    <row r="15386" spans="8:8" x14ac:dyDescent="0.25">
      <c r="H15386" t="s">
        <v>30</v>
      </c>
    </row>
    <row r="15387" spans="8:8" x14ac:dyDescent="0.25">
      <c r="H15387" t="s">
        <v>136</v>
      </c>
    </row>
    <row r="15388" spans="8:8" x14ac:dyDescent="0.25">
      <c r="H15388" t="s">
        <v>14596</v>
      </c>
    </row>
    <row r="15389" spans="8:8" x14ac:dyDescent="0.25">
      <c r="H15389" t="s">
        <v>30</v>
      </c>
    </row>
    <row r="15390" spans="8:8" x14ac:dyDescent="0.25">
      <c r="H15390" t="s">
        <v>137</v>
      </c>
    </row>
    <row r="15391" spans="8:8" x14ac:dyDescent="0.25">
      <c r="H15391" t="s">
        <v>14597</v>
      </c>
    </row>
    <row r="15392" spans="8:8" x14ac:dyDescent="0.25">
      <c r="H15392" t="s">
        <v>30</v>
      </c>
    </row>
    <row r="15393" spans="8:8" x14ac:dyDescent="0.25">
      <c r="H15393" t="s">
        <v>138</v>
      </c>
    </row>
    <row r="15394" spans="8:8" x14ac:dyDescent="0.25">
      <c r="H15394" t="s">
        <v>14598</v>
      </c>
    </row>
    <row r="15395" spans="8:8" x14ac:dyDescent="0.25">
      <c r="H15395" t="s">
        <v>30</v>
      </c>
    </row>
    <row r="15397" spans="8:8" x14ac:dyDescent="0.25">
      <c r="H15397" t="s">
        <v>14599</v>
      </c>
    </row>
    <row r="15398" spans="8:8" x14ac:dyDescent="0.25">
      <c r="H15398" t="s">
        <v>14600</v>
      </c>
    </row>
    <row r="15399" spans="8:8" x14ac:dyDescent="0.25">
      <c r="H15399" t="s">
        <v>135</v>
      </c>
    </row>
    <row r="15400" spans="8:8" x14ac:dyDescent="0.25">
      <c r="H15400" t="s">
        <v>14601</v>
      </c>
    </row>
    <row r="15401" spans="8:8" x14ac:dyDescent="0.25">
      <c r="H15401" t="s">
        <v>30</v>
      </c>
    </row>
    <row r="15402" spans="8:8" x14ac:dyDescent="0.25">
      <c r="H15402" t="s">
        <v>136</v>
      </c>
    </row>
    <row r="15403" spans="8:8" x14ac:dyDescent="0.25">
      <c r="H15403" t="s">
        <v>14602</v>
      </c>
    </row>
    <row r="15404" spans="8:8" x14ac:dyDescent="0.25">
      <c r="H15404" t="s">
        <v>30</v>
      </c>
    </row>
    <row r="15405" spans="8:8" x14ac:dyDescent="0.25">
      <c r="H15405" t="s">
        <v>137</v>
      </c>
    </row>
    <row r="15406" spans="8:8" x14ac:dyDescent="0.25">
      <c r="H15406" t="s">
        <v>14603</v>
      </c>
    </row>
    <row r="15407" spans="8:8" x14ac:dyDescent="0.25">
      <c r="H15407" t="s">
        <v>30</v>
      </c>
    </row>
    <row r="15408" spans="8:8" x14ac:dyDescent="0.25">
      <c r="H15408" t="s">
        <v>138</v>
      </c>
    </row>
    <row r="15409" spans="8:8" x14ac:dyDescent="0.25">
      <c r="H15409" t="s">
        <v>14604</v>
      </c>
    </row>
    <row r="15410" spans="8:8" x14ac:dyDescent="0.25">
      <c r="H15410" t="s">
        <v>30</v>
      </c>
    </row>
    <row r="15412" spans="8:8" x14ac:dyDescent="0.25">
      <c r="H15412" t="s">
        <v>14605</v>
      </c>
    </row>
    <row r="15413" spans="8:8" x14ac:dyDescent="0.25">
      <c r="H15413" t="s">
        <v>14606</v>
      </c>
    </row>
    <row r="15414" spans="8:8" x14ac:dyDescent="0.25">
      <c r="H15414" t="s">
        <v>135</v>
      </c>
    </row>
    <row r="15415" spans="8:8" x14ac:dyDescent="0.25">
      <c r="H15415" t="s">
        <v>14607</v>
      </c>
    </row>
    <row r="15416" spans="8:8" x14ac:dyDescent="0.25">
      <c r="H15416" t="s">
        <v>30</v>
      </c>
    </row>
    <row r="15417" spans="8:8" x14ac:dyDescent="0.25">
      <c r="H15417" t="s">
        <v>136</v>
      </c>
    </row>
    <row r="15418" spans="8:8" x14ac:dyDescent="0.25">
      <c r="H15418" t="s">
        <v>14608</v>
      </c>
    </row>
    <row r="15419" spans="8:8" x14ac:dyDescent="0.25">
      <c r="H15419" t="s">
        <v>30</v>
      </c>
    </row>
    <row r="15420" spans="8:8" x14ac:dyDescent="0.25">
      <c r="H15420" t="s">
        <v>137</v>
      </c>
    </row>
    <row r="15421" spans="8:8" x14ac:dyDescent="0.25">
      <c r="H15421" t="s">
        <v>14609</v>
      </c>
    </row>
    <row r="15422" spans="8:8" x14ac:dyDescent="0.25">
      <c r="H15422" t="s">
        <v>30</v>
      </c>
    </row>
    <row r="15423" spans="8:8" x14ac:dyDescent="0.25">
      <c r="H15423" t="s">
        <v>138</v>
      </c>
    </row>
    <row r="15424" spans="8:8" x14ac:dyDescent="0.25">
      <c r="H15424" t="s">
        <v>14610</v>
      </c>
    </row>
    <row r="15425" spans="8:8" x14ac:dyDescent="0.25">
      <c r="H15425" t="s">
        <v>30</v>
      </c>
    </row>
    <row r="15427" spans="8:8" x14ac:dyDescent="0.25">
      <c r="H15427" t="s">
        <v>14611</v>
      </c>
    </row>
    <row r="15428" spans="8:8" x14ac:dyDescent="0.25">
      <c r="H15428" t="s">
        <v>14612</v>
      </c>
    </row>
    <row r="15429" spans="8:8" x14ac:dyDescent="0.25">
      <c r="H15429" t="s">
        <v>135</v>
      </c>
    </row>
    <row r="15430" spans="8:8" x14ac:dyDescent="0.25">
      <c r="H15430" t="s">
        <v>14613</v>
      </c>
    </row>
    <row r="15431" spans="8:8" x14ac:dyDescent="0.25">
      <c r="H15431" t="s">
        <v>30</v>
      </c>
    </row>
    <row r="15432" spans="8:8" x14ac:dyDescent="0.25">
      <c r="H15432" t="s">
        <v>136</v>
      </c>
    </row>
    <row r="15433" spans="8:8" x14ac:dyDescent="0.25">
      <c r="H15433" t="s">
        <v>14614</v>
      </c>
    </row>
    <row r="15434" spans="8:8" x14ac:dyDescent="0.25">
      <c r="H15434" t="s">
        <v>30</v>
      </c>
    </row>
    <row r="15435" spans="8:8" x14ac:dyDescent="0.25">
      <c r="H15435" t="s">
        <v>137</v>
      </c>
    </row>
    <row r="15436" spans="8:8" x14ac:dyDescent="0.25">
      <c r="H15436" t="s">
        <v>14615</v>
      </c>
    </row>
    <row r="15437" spans="8:8" x14ac:dyDescent="0.25">
      <c r="H15437" t="s">
        <v>30</v>
      </c>
    </row>
    <row r="15438" spans="8:8" x14ac:dyDescent="0.25">
      <c r="H15438" t="s">
        <v>138</v>
      </c>
    </row>
    <row r="15439" spans="8:8" x14ac:dyDescent="0.25">
      <c r="H15439" t="s">
        <v>14616</v>
      </c>
    </row>
    <row r="15440" spans="8:8" x14ac:dyDescent="0.25">
      <c r="H15440" t="s">
        <v>30</v>
      </c>
    </row>
    <row r="15442" spans="8:8" x14ac:dyDescent="0.25">
      <c r="H15442" t="s">
        <v>14617</v>
      </c>
    </row>
    <row r="15443" spans="8:8" x14ac:dyDescent="0.25">
      <c r="H15443" t="s">
        <v>14618</v>
      </c>
    </row>
    <row r="15444" spans="8:8" x14ac:dyDescent="0.25">
      <c r="H15444" t="s">
        <v>135</v>
      </c>
    </row>
    <row r="15445" spans="8:8" x14ac:dyDescent="0.25">
      <c r="H15445" t="s">
        <v>14619</v>
      </c>
    </row>
    <row r="15446" spans="8:8" x14ac:dyDescent="0.25">
      <c r="H15446" t="s">
        <v>30</v>
      </c>
    </row>
    <row r="15447" spans="8:8" x14ac:dyDescent="0.25">
      <c r="H15447" t="s">
        <v>136</v>
      </c>
    </row>
    <row r="15448" spans="8:8" x14ac:dyDescent="0.25">
      <c r="H15448" t="s">
        <v>14620</v>
      </c>
    </row>
    <row r="15449" spans="8:8" x14ac:dyDescent="0.25">
      <c r="H15449" t="s">
        <v>30</v>
      </c>
    </row>
    <row r="15450" spans="8:8" x14ac:dyDescent="0.25">
      <c r="H15450" t="s">
        <v>137</v>
      </c>
    </row>
    <row r="15451" spans="8:8" x14ac:dyDescent="0.25">
      <c r="H15451" t="s">
        <v>14621</v>
      </c>
    </row>
    <row r="15452" spans="8:8" x14ac:dyDescent="0.25">
      <c r="H15452" t="s">
        <v>30</v>
      </c>
    </row>
    <row r="15453" spans="8:8" x14ac:dyDescent="0.25">
      <c r="H15453" t="s">
        <v>138</v>
      </c>
    </row>
    <row r="15454" spans="8:8" x14ac:dyDescent="0.25">
      <c r="H15454" t="s">
        <v>14622</v>
      </c>
    </row>
    <row r="15455" spans="8:8" x14ac:dyDescent="0.25">
      <c r="H15455" t="s">
        <v>30</v>
      </c>
    </row>
    <row r="15457" spans="8:8" x14ac:dyDescent="0.25">
      <c r="H15457" t="s">
        <v>14623</v>
      </c>
    </row>
    <row r="15458" spans="8:8" x14ac:dyDescent="0.25">
      <c r="H15458" t="s">
        <v>14624</v>
      </c>
    </row>
    <row r="15459" spans="8:8" x14ac:dyDescent="0.25">
      <c r="H15459" t="s">
        <v>135</v>
      </c>
    </row>
    <row r="15460" spans="8:8" x14ac:dyDescent="0.25">
      <c r="H15460" t="s">
        <v>14625</v>
      </c>
    </row>
    <row r="15461" spans="8:8" x14ac:dyDescent="0.25">
      <c r="H15461" t="s">
        <v>30</v>
      </c>
    </row>
    <row r="15462" spans="8:8" x14ac:dyDescent="0.25">
      <c r="H15462" t="s">
        <v>136</v>
      </c>
    </row>
    <row r="15463" spans="8:8" x14ac:dyDescent="0.25">
      <c r="H15463" t="s">
        <v>14626</v>
      </c>
    </row>
    <row r="15464" spans="8:8" x14ac:dyDescent="0.25">
      <c r="H15464" t="s">
        <v>30</v>
      </c>
    </row>
    <row r="15465" spans="8:8" x14ac:dyDescent="0.25">
      <c r="H15465" t="s">
        <v>137</v>
      </c>
    </row>
    <row r="15466" spans="8:8" x14ac:dyDescent="0.25">
      <c r="H15466" t="s">
        <v>14627</v>
      </c>
    </row>
    <row r="15467" spans="8:8" x14ac:dyDescent="0.25">
      <c r="H15467" t="s">
        <v>30</v>
      </c>
    </row>
    <row r="15468" spans="8:8" x14ac:dyDescent="0.25">
      <c r="H15468" t="s">
        <v>138</v>
      </c>
    </row>
    <row r="15469" spans="8:8" x14ac:dyDescent="0.25">
      <c r="H15469" t="s">
        <v>14628</v>
      </c>
    </row>
    <row r="15470" spans="8:8" x14ac:dyDescent="0.25">
      <c r="H15470" t="s">
        <v>30</v>
      </c>
    </row>
    <row r="15472" spans="8:8" x14ac:dyDescent="0.25">
      <c r="H15472" t="s">
        <v>14629</v>
      </c>
    </row>
    <row r="15473" spans="8:8" x14ac:dyDescent="0.25">
      <c r="H15473" t="s">
        <v>14630</v>
      </c>
    </row>
    <row r="15474" spans="8:8" x14ac:dyDescent="0.25">
      <c r="H15474" t="s">
        <v>135</v>
      </c>
    </row>
    <row r="15475" spans="8:8" x14ac:dyDescent="0.25">
      <c r="H15475" t="s">
        <v>14631</v>
      </c>
    </row>
    <row r="15476" spans="8:8" x14ac:dyDescent="0.25">
      <c r="H15476" t="s">
        <v>30</v>
      </c>
    </row>
    <row r="15477" spans="8:8" x14ac:dyDescent="0.25">
      <c r="H15477" t="s">
        <v>136</v>
      </c>
    </row>
    <row r="15478" spans="8:8" x14ac:dyDescent="0.25">
      <c r="H15478" t="s">
        <v>14632</v>
      </c>
    </row>
    <row r="15479" spans="8:8" x14ac:dyDescent="0.25">
      <c r="H15479" t="s">
        <v>30</v>
      </c>
    </row>
    <row r="15480" spans="8:8" x14ac:dyDescent="0.25">
      <c r="H15480" t="s">
        <v>137</v>
      </c>
    </row>
    <row r="15481" spans="8:8" x14ac:dyDescent="0.25">
      <c r="H15481" t="s">
        <v>14633</v>
      </c>
    </row>
    <row r="15482" spans="8:8" x14ac:dyDescent="0.25">
      <c r="H15482" t="s">
        <v>30</v>
      </c>
    </row>
    <row r="15483" spans="8:8" x14ac:dyDescent="0.25">
      <c r="H15483" t="s">
        <v>138</v>
      </c>
    </row>
    <row r="15484" spans="8:8" x14ac:dyDescent="0.25">
      <c r="H15484" t="s">
        <v>14634</v>
      </c>
    </row>
    <row r="15485" spans="8:8" x14ac:dyDescent="0.25">
      <c r="H15485" t="s">
        <v>30</v>
      </c>
    </row>
    <row r="15487" spans="8:8" x14ac:dyDescent="0.25">
      <c r="H15487" t="s">
        <v>14635</v>
      </c>
    </row>
    <row r="15488" spans="8:8" x14ac:dyDescent="0.25">
      <c r="H15488" t="s">
        <v>14636</v>
      </c>
    </row>
    <row r="15489" spans="8:8" x14ac:dyDescent="0.25">
      <c r="H15489" t="s">
        <v>135</v>
      </c>
    </row>
    <row r="15490" spans="8:8" x14ac:dyDescent="0.25">
      <c r="H15490" t="s">
        <v>14637</v>
      </c>
    </row>
    <row r="15491" spans="8:8" x14ac:dyDescent="0.25">
      <c r="H15491" t="s">
        <v>30</v>
      </c>
    </row>
    <row r="15492" spans="8:8" x14ac:dyDescent="0.25">
      <c r="H15492" t="s">
        <v>136</v>
      </c>
    </row>
    <row r="15493" spans="8:8" x14ac:dyDescent="0.25">
      <c r="H15493" t="s">
        <v>14638</v>
      </c>
    </row>
    <row r="15494" spans="8:8" x14ac:dyDescent="0.25">
      <c r="H15494" t="s">
        <v>30</v>
      </c>
    </row>
    <row r="15495" spans="8:8" x14ac:dyDescent="0.25">
      <c r="H15495" t="s">
        <v>137</v>
      </c>
    </row>
    <row r="15496" spans="8:8" x14ac:dyDescent="0.25">
      <c r="H15496" t="s">
        <v>14639</v>
      </c>
    </row>
    <row r="15497" spans="8:8" x14ac:dyDescent="0.25">
      <c r="H15497" t="s">
        <v>30</v>
      </c>
    </row>
    <row r="15498" spans="8:8" x14ac:dyDescent="0.25">
      <c r="H15498" t="s">
        <v>138</v>
      </c>
    </row>
    <row r="15499" spans="8:8" x14ac:dyDescent="0.25">
      <c r="H15499" t="s">
        <v>14640</v>
      </c>
    </row>
    <row r="15500" spans="8:8" x14ac:dyDescent="0.25">
      <c r="H15500" t="s">
        <v>30</v>
      </c>
    </row>
    <row r="15502" spans="8:8" x14ac:dyDescent="0.25">
      <c r="H15502" t="s">
        <v>14641</v>
      </c>
    </row>
    <row r="15503" spans="8:8" x14ac:dyDescent="0.25">
      <c r="H15503" t="s">
        <v>14642</v>
      </c>
    </row>
    <row r="15504" spans="8:8" x14ac:dyDescent="0.25">
      <c r="H15504" t="s">
        <v>135</v>
      </c>
    </row>
    <row r="15505" spans="8:8" x14ac:dyDescent="0.25">
      <c r="H15505" t="s">
        <v>14643</v>
      </c>
    </row>
    <row r="15506" spans="8:8" x14ac:dyDescent="0.25">
      <c r="H15506" t="s">
        <v>30</v>
      </c>
    </row>
    <row r="15507" spans="8:8" x14ac:dyDescent="0.25">
      <c r="H15507" t="s">
        <v>136</v>
      </c>
    </row>
    <row r="15508" spans="8:8" x14ac:dyDescent="0.25">
      <c r="H15508" t="s">
        <v>14644</v>
      </c>
    </row>
    <row r="15509" spans="8:8" x14ac:dyDescent="0.25">
      <c r="H15509" t="s">
        <v>30</v>
      </c>
    </row>
    <row r="15510" spans="8:8" x14ac:dyDescent="0.25">
      <c r="H15510" t="s">
        <v>137</v>
      </c>
    </row>
    <row r="15511" spans="8:8" x14ac:dyDescent="0.25">
      <c r="H15511" t="s">
        <v>14645</v>
      </c>
    </row>
    <row r="15512" spans="8:8" x14ac:dyDescent="0.25">
      <c r="H15512" t="s">
        <v>30</v>
      </c>
    </row>
    <row r="15513" spans="8:8" x14ac:dyDescent="0.25">
      <c r="H15513" t="s">
        <v>138</v>
      </c>
    </row>
    <row r="15514" spans="8:8" x14ac:dyDescent="0.25">
      <c r="H15514" t="s">
        <v>14646</v>
      </c>
    </row>
    <row r="15515" spans="8:8" x14ac:dyDescent="0.25">
      <c r="H15515" t="s">
        <v>30</v>
      </c>
    </row>
    <row r="15517" spans="8:8" x14ac:dyDescent="0.25">
      <c r="H15517" t="s">
        <v>14647</v>
      </c>
    </row>
    <row r="15518" spans="8:8" x14ac:dyDescent="0.25">
      <c r="H15518" t="s">
        <v>14648</v>
      </c>
    </row>
    <row r="15519" spans="8:8" x14ac:dyDescent="0.25">
      <c r="H15519" t="s">
        <v>135</v>
      </c>
    </row>
    <row r="15520" spans="8:8" x14ac:dyDescent="0.25">
      <c r="H15520" t="s">
        <v>14649</v>
      </c>
    </row>
    <row r="15521" spans="8:8" x14ac:dyDescent="0.25">
      <c r="H15521" t="s">
        <v>30</v>
      </c>
    </row>
    <row r="15522" spans="8:8" x14ac:dyDescent="0.25">
      <c r="H15522" t="s">
        <v>136</v>
      </c>
    </row>
    <row r="15523" spans="8:8" x14ac:dyDescent="0.25">
      <c r="H15523" t="s">
        <v>14650</v>
      </c>
    </row>
    <row r="15524" spans="8:8" x14ac:dyDescent="0.25">
      <c r="H15524" t="s">
        <v>30</v>
      </c>
    </row>
    <row r="15525" spans="8:8" x14ac:dyDescent="0.25">
      <c r="H15525" t="s">
        <v>137</v>
      </c>
    </row>
    <row r="15526" spans="8:8" x14ac:dyDescent="0.25">
      <c r="H15526" t="s">
        <v>14651</v>
      </c>
    </row>
    <row r="15527" spans="8:8" x14ac:dyDescent="0.25">
      <c r="H15527" t="s">
        <v>30</v>
      </c>
    </row>
    <row r="15528" spans="8:8" x14ac:dyDescent="0.25">
      <c r="H15528" t="s">
        <v>138</v>
      </c>
    </row>
    <row r="15529" spans="8:8" x14ac:dyDescent="0.25">
      <c r="H15529" t="s">
        <v>14652</v>
      </c>
    </row>
    <row r="15530" spans="8:8" x14ac:dyDescent="0.25">
      <c r="H15530" t="s">
        <v>30</v>
      </c>
    </row>
    <row r="15532" spans="8:8" x14ac:dyDescent="0.25">
      <c r="H15532" t="s">
        <v>14653</v>
      </c>
    </row>
    <row r="15533" spans="8:8" x14ac:dyDescent="0.25">
      <c r="H15533" t="s">
        <v>14654</v>
      </c>
    </row>
    <row r="15534" spans="8:8" x14ac:dyDescent="0.25">
      <c r="H15534" t="s">
        <v>135</v>
      </c>
    </row>
    <row r="15535" spans="8:8" x14ac:dyDescent="0.25">
      <c r="H15535" t="s">
        <v>14655</v>
      </c>
    </row>
    <row r="15536" spans="8:8" x14ac:dyDescent="0.25">
      <c r="H15536" t="s">
        <v>30</v>
      </c>
    </row>
    <row r="15537" spans="8:8" x14ac:dyDescent="0.25">
      <c r="H15537" t="s">
        <v>136</v>
      </c>
    </row>
    <row r="15538" spans="8:8" x14ac:dyDescent="0.25">
      <c r="H15538" t="s">
        <v>14656</v>
      </c>
    </row>
    <row r="15539" spans="8:8" x14ac:dyDescent="0.25">
      <c r="H15539" t="s">
        <v>30</v>
      </c>
    </row>
    <row r="15540" spans="8:8" x14ac:dyDescent="0.25">
      <c r="H15540" t="s">
        <v>137</v>
      </c>
    </row>
    <row r="15541" spans="8:8" x14ac:dyDescent="0.25">
      <c r="H15541" t="s">
        <v>14657</v>
      </c>
    </row>
    <row r="15542" spans="8:8" x14ac:dyDescent="0.25">
      <c r="H15542" t="s">
        <v>30</v>
      </c>
    </row>
    <row r="15543" spans="8:8" x14ac:dyDescent="0.25">
      <c r="H15543" t="s">
        <v>138</v>
      </c>
    </row>
    <row r="15544" spans="8:8" x14ac:dyDescent="0.25">
      <c r="H15544" t="s">
        <v>14658</v>
      </c>
    </row>
    <row r="15545" spans="8:8" x14ac:dyDescent="0.25">
      <c r="H15545" t="s">
        <v>30</v>
      </c>
    </row>
    <row r="15547" spans="8:8" x14ac:dyDescent="0.25">
      <c r="H15547" t="s">
        <v>14659</v>
      </c>
    </row>
    <row r="15548" spans="8:8" x14ac:dyDescent="0.25">
      <c r="H15548" t="s">
        <v>14660</v>
      </c>
    </row>
    <row r="15549" spans="8:8" x14ac:dyDescent="0.25">
      <c r="H15549" t="s">
        <v>135</v>
      </c>
    </row>
    <row r="15550" spans="8:8" x14ac:dyDescent="0.25">
      <c r="H15550" t="s">
        <v>14661</v>
      </c>
    </row>
    <row r="15551" spans="8:8" x14ac:dyDescent="0.25">
      <c r="H15551" t="s">
        <v>30</v>
      </c>
    </row>
    <row r="15552" spans="8:8" x14ac:dyDescent="0.25">
      <c r="H15552" t="s">
        <v>136</v>
      </c>
    </row>
    <row r="15553" spans="8:8" x14ac:dyDescent="0.25">
      <c r="H15553" t="s">
        <v>14662</v>
      </c>
    </row>
    <row r="15554" spans="8:8" x14ac:dyDescent="0.25">
      <c r="H15554" t="s">
        <v>30</v>
      </c>
    </row>
    <row r="15555" spans="8:8" x14ac:dyDescent="0.25">
      <c r="H15555" t="s">
        <v>137</v>
      </c>
    </row>
    <row r="15556" spans="8:8" x14ac:dyDescent="0.25">
      <c r="H15556" t="s">
        <v>14663</v>
      </c>
    </row>
    <row r="15557" spans="8:8" x14ac:dyDescent="0.25">
      <c r="H15557" t="s">
        <v>30</v>
      </c>
    </row>
    <row r="15558" spans="8:8" x14ac:dyDescent="0.25">
      <c r="H15558" t="s">
        <v>138</v>
      </c>
    </row>
    <row r="15559" spans="8:8" x14ac:dyDescent="0.25">
      <c r="H15559" t="s">
        <v>14664</v>
      </c>
    </row>
    <row r="15560" spans="8:8" x14ac:dyDescent="0.25">
      <c r="H15560" t="s">
        <v>30</v>
      </c>
    </row>
    <row r="15562" spans="8:8" x14ac:dyDescent="0.25">
      <c r="H15562" t="s">
        <v>14665</v>
      </c>
    </row>
    <row r="15563" spans="8:8" x14ac:dyDescent="0.25">
      <c r="H15563" t="s">
        <v>14666</v>
      </c>
    </row>
    <row r="15564" spans="8:8" x14ac:dyDescent="0.25">
      <c r="H15564" t="s">
        <v>135</v>
      </c>
    </row>
    <row r="15565" spans="8:8" x14ac:dyDescent="0.25">
      <c r="H15565" t="s">
        <v>14667</v>
      </c>
    </row>
    <row r="15566" spans="8:8" x14ac:dyDescent="0.25">
      <c r="H15566" t="s">
        <v>30</v>
      </c>
    </row>
    <row r="15567" spans="8:8" x14ac:dyDescent="0.25">
      <c r="H15567" t="s">
        <v>136</v>
      </c>
    </row>
    <row r="15568" spans="8:8" x14ac:dyDescent="0.25">
      <c r="H15568" t="s">
        <v>14668</v>
      </c>
    </row>
    <row r="15569" spans="8:8" x14ac:dyDescent="0.25">
      <c r="H15569" t="s">
        <v>30</v>
      </c>
    </row>
    <row r="15570" spans="8:8" x14ac:dyDescent="0.25">
      <c r="H15570" t="s">
        <v>137</v>
      </c>
    </row>
    <row r="15571" spans="8:8" x14ac:dyDescent="0.25">
      <c r="H15571" t="s">
        <v>14669</v>
      </c>
    </row>
    <row r="15572" spans="8:8" x14ac:dyDescent="0.25">
      <c r="H15572" t="s">
        <v>30</v>
      </c>
    </row>
    <row r="15573" spans="8:8" x14ac:dyDescent="0.25">
      <c r="H15573" t="s">
        <v>138</v>
      </c>
    </row>
    <row r="15574" spans="8:8" x14ac:dyDescent="0.25">
      <c r="H15574" t="s">
        <v>14670</v>
      </c>
    </row>
    <row r="15575" spans="8:8" x14ac:dyDescent="0.25">
      <c r="H15575" t="s">
        <v>30</v>
      </c>
    </row>
    <row r="15577" spans="8:8" x14ac:dyDescent="0.25">
      <c r="H15577" t="s">
        <v>14671</v>
      </c>
    </row>
    <row r="15578" spans="8:8" x14ac:dyDescent="0.25">
      <c r="H15578" t="s">
        <v>14672</v>
      </c>
    </row>
    <row r="15579" spans="8:8" x14ac:dyDescent="0.25">
      <c r="H15579" t="s">
        <v>135</v>
      </c>
    </row>
    <row r="15580" spans="8:8" x14ac:dyDescent="0.25">
      <c r="H15580" t="s">
        <v>14673</v>
      </c>
    </row>
    <row r="15581" spans="8:8" x14ac:dyDescent="0.25">
      <c r="H15581" t="s">
        <v>30</v>
      </c>
    </row>
    <row r="15582" spans="8:8" x14ac:dyDescent="0.25">
      <c r="H15582" t="s">
        <v>136</v>
      </c>
    </row>
    <row r="15583" spans="8:8" x14ac:dyDescent="0.25">
      <c r="H15583" t="s">
        <v>14674</v>
      </c>
    </row>
    <row r="15584" spans="8:8" x14ac:dyDescent="0.25">
      <c r="H15584" t="s">
        <v>30</v>
      </c>
    </row>
    <row r="15585" spans="8:8" x14ac:dyDescent="0.25">
      <c r="H15585" t="s">
        <v>137</v>
      </c>
    </row>
    <row r="15586" spans="8:8" x14ac:dyDescent="0.25">
      <c r="H15586" t="s">
        <v>14675</v>
      </c>
    </row>
    <row r="15587" spans="8:8" x14ac:dyDescent="0.25">
      <c r="H15587" t="s">
        <v>30</v>
      </c>
    </row>
    <row r="15588" spans="8:8" x14ac:dyDescent="0.25">
      <c r="H15588" t="s">
        <v>138</v>
      </c>
    </row>
    <row r="15589" spans="8:8" x14ac:dyDescent="0.25">
      <c r="H15589" t="s">
        <v>14676</v>
      </c>
    </row>
    <row r="15590" spans="8:8" x14ac:dyDescent="0.25">
      <c r="H15590" t="s">
        <v>30</v>
      </c>
    </row>
    <row r="15592" spans="8:8" x14ac:dyDescent="0.25">
      <c r="H15592" t="s">
        <v>14677</v>
      </c>
    </row>
    <row r="15593" spans="8:8" x14ac:dyDescent="0.25">
      <c r="H15593" t="s">
        <v>14678</v>
      </c>
    </row>
    <row r="15594" spans="8:8" x14ac:dyDescent="0.25">
      <c r="H15594" t="s">
        <v>135</v>
      </c>
    </row>
    <row r="15595" spans="8:8" x14ac:dyDescent="0.25">
      <c r="H15595" t="s">
        <v>14679</v>
      </c>
    </row>
    <row r="15596" spans="8:8" x14ac:dyDescent="0.25">
      <c r="H15596" t="s">
        <v>30</v>
      </c>
    </row>
    <row r="15597" spans="8:8" x14ac:dyDescent="0.25">
      <c r="H15597" t="s">
        <v>136</v>
      </c>
    </row>
    <row r="15598" spans="8:8" x14ac:dyDescent="0.25">
      <c r="H15598" t="s">
        <v>14680</v>
      </c>
    </row>
    <row r="15599" spans="8:8" x14ac:dyDescent="0.25">
      <c r="H15599" t="s">
        <v>30</v>
      </c>
    </row>
    <row r="15600" spans="8:8" x14ac:dyDescent="0.25">
      <c r="H15600" t="s">
        <v>137</v>
      </c>
    </row>
    <row r="15601" spans="8:8" x14ac:dyDescent="0.25">
      <c r="H15601" t="s">
        <v>14681</v>
      </c>
    </row>
    <row r="15602" spans="8:8" x14ac:dyDescent="0.25">
      <c r="H15602" t="s">
        <v>30</v>
      </c>
    </row>
    <row r="15603" spans="8:8" x14ac:dyDescent="0.25">
      <c r="H15603" t="s">
        <v>138</v>
      </c>
    </row>
    <row r="15604" spans="8:8" x14ac:dyDescent="0.25">
      <c r="H15604" t="s">
        <v>14682</v>
      </c>
    </row>
    <row r="15605" spans="8:8" x14ac:dyDescent="0.25">
      <c r="H15605" t="s">
        <v>30</v>
      </c>
    </row>
    <row r="15607" spans="8:8" x14ac:dyDescent="0.25">
      <c r="H15607" t="s">
        <v>14683</v>
      </c>
    </row>
    <row r="15608" spans="8:8" x14ac:dyDescent="0.25">
      <c r="H15608" t="s">
        <v>14684</v>
      </c>
    </row>
    <row r="15609" spans="8:8" x14ac:dyDescent="0.25">
      <c r="H15609" t="s">
        <v>135</v>
      </c>
    </row>
    <row r="15610" spans="8:8" x14ac:dyDescent="0.25">
      <c r="H15610" t="s">
        <v>14685</v>
      </c>
    </row>
    <row r="15611" spans="8:8" x14ac:dyDescent="0.25">
      <c r="H15611" t="s">
        <v>30</v>
      </c>
    </row>
    <row r="15612" spans="8:8" x14ac:dyDescent="0.25">
      <c r="H15612" t="s">
        <v>136</v>
      </c>
    </row>
    <row r="15613" spans="8:8" x14ac:dyDescent="0.25">
      <c r="H15613" t="s">
        <v>14686</v>
      </c>
    </row>
    <row r="15614" spans="8:8" x14ac:dyDescent="0.25">
      <c r="H15614" t="s">
        <v>30</v>
      </c>
    </row>
    <row r="15615" spans="8:8" x14ac:dyDescent="0.25">
      <c r="H15615" t="s">
        <v>137</v>
      </c>
    </row>
    <row r="15616" spans="8:8" x14ac:dyDescent="0.25">
      <c r="H15616" t="s">
        <v>14687</v>
      </c>
    </row>
    <row r="15617" spans="8:8" x14ac:dyDescent="0.25">
      <c r="H15617" t="s">
        <v>30</v>
      </c>
    </row>
    <row r="15618" spans="8:8" x14ac:dyDescent="0.25">
      <c r="H15618" t="s">
        <v>138</v>
      </c>
    </row>
    <row r="15619" spans="8:8" x14ac:dyDescent="0.25">
      <c r="H15619" t="s">
        <v>14688</v>
      </c>
    </row>
    <row r="15620" spans="8:8" x14ac:dyDescent="0.25">
      <c r="H15620" t="s">
        <v>30</v>
      </c>
    </row>
    <row r="15622" spans="8:8" x14ac:dyDescent="0.25">
      <c r="H15622" t="s">
        <v>14689</v>
      </c>
    </row>
    <row r="15623" spans="8:8" x14ac:dyDescent="0.25">
      <c r="H15623" t="s">
        <v>14690</v>
      </c>
    </row>
    <row r="15624" spans="8:8" x14ac:dyDescent="0.25">
      <c r="H15624" t="s">
        <v>135</v>
      </c>
    </row>
    <row r="15625" spans="8:8" x14ac:dyDescent="0.25">
      <c r="H15625" t="s">
        <v>14691</v>
      </c>
    </row>
    <row r="15626" spans="8:8" x14ac:dyDescent="0.25">
      <c r="H15626" t="s">
        <v>30</v>
      </c>
    </row>
    <row r="15627" spans="8:8" x14ac:dyDescent="0.25">
      <c r="H15627" t="s">
        <v>136</v>
      </c>
    </row>
    <row r="15628" spans="8:8" x14ac:dyDescent="0.25">
      <c r="H15628" t="s">
        <v>14692</v>
      </c>
    </row>
    <row r="15629" spans="8:8" x14ac:dyDescent="0.25">
      <c r="H15629" t="s">
        <v>30</v>
      </c>
    </row>
    <row r="15630" spans="8:8" x14ac:dyDescent="0.25">
      <c r="H15630" t="s">
        <v>137</v>
      </c>
    </row>
    <row r="15631" spans="8:8" x14ac:dyDescent="0.25">
      <c r="H15631" t="s">
        <v>14693</v>
      </c>
    </row>
    <row r="15632" spans="8:8" x14ac:dyDescent="0.25">
      <c r="H15632" t="s">
        <v>30</v>
      </c>
    </row>
    <row r="15633" spans="8:8" x14ac:dyDescent="0.25">
      <c r="H15633" t="s">
        <v>138</v>
      </c>
    </row>
    <row r="15634" spans="8:8" x14ac:dyDescent="0.25">
      <c r="H15634" t="s">
        <v>14694</v>
      </c>
    </row>
    <row r="15635" spans="8:8" x14ac:dyDescent="0.25">
      <c r="H15635" t="s">
        <v>30</v>
      </c>
    </row>
    <row r="15637" spans="8:8" x14ac:dyDescent="0.25">
      <c r="H15637" t="s">
        <v>14695</v>
      </c>
    </row>
    <row r="15638" spans="8:8" x14ac:dyDescent="0.25">
      <c r="H15638" t="s">
        <v>14696</v>
      </c>
    </row>
    <row r="15639" spans="8:8" x14ac:dyDescent="0.25">
      <c r="H15639" t="s">
        <v>135</v>
      </c>
    </row>
    <row r="15640" spans="8:8" x14ac:dyDescent="0.25">
      <c r="H15640" t="s">
        <v>14697</v>
      </c>
    </row>
    <row r="15641" spans="8:8" x14ac:dyDescent="0.25">
      <c r="H15641" t="s">
        <v>30</v>
      </c>
    </row>
    <row r="15642" spans="8:8" x14ac:dyDescent="0.25">
      <c r="H15642" t="s">
        <v>136</v>
      </c>
    </row>
    <row r="15643" spans="8:8" x14ac:dyDescent="0.25">
      <c r="H15643" t="s">
        <v>14698</v>
      </c>
    </row>
    <row r="15644" spans="8:8" x14ac:dyDescent="0.25">
      <c r="H15644" t="s">
        <v>30</v>
      </c>
    </row>
    <row r="15645" spans="8:8" x14ac:dyDescent="0.25">
      <c r="H15645" t="s">
        <v>137</v>
      </c>
    </row>
    <row r="15646" spans="8:8" x14ac:dyDescent="0.25">
      <c r="H15646" t="s">
        <v>14699</v>
      </c>
    </row>
    <row r="15647" spans="8:8" x14ac:dyDescent="0.25">
      <c r="H15647" t="s">
        <v>30</v>
      </c>
    </row>
    <row r="15648" spans="8:8" x14ac:dyDescent="0.25">
      <c r="H15648" t="s">
        <v>138</v>
      </c>
    </row>
    <row r="15649" spans="8:8" x14ac:dyDescent="0.25">
      <c r="H15649" t="s">
        <v>14700</v>
      </c>
    </row>
    <row r="15650" spans="8:8" x14ac:dyDescent="0.25">
      <c r="H15650" t="s">
        <v>30</v>
      </c>
    </row>
    <row r="15652" spans="8:8" x14ac:dyDescent="0.25">
      <c r="H15652" t="s">
        <v>14701</v>
      </c>
    </row>
    <row r="15653" spans="8:8" x14ac:dyDescent="0.25">
      <c r="H15653" t="s">
        <v>14702</v>
      </c>
    </row>
    <row r="15654" spans="8:8" x14ac:dyDescent="0.25">
      <c r="H15654" t="s">
        <v>135</v>
      </c>
    </row>
    <row r="15655" spans="8:8" x14ac:dyDescent="0.25">
      <c r="H15655" t="s">
        <v>14703</v>
      </c>
    </row>
    <row r="15656" spans="8:8" x14ac:dyDescent="0.25">
      <c r="H15656" t="s">
        <v>30</v>
      </c>
    </row>
    <row r="15657" spans="8:8" x14ac:dyDescent="0.25">
      <c r="H15657" t="s">
        <v>136</v>
      </c>
    </row>
    <row r="15658" spans="8:8" x14ac:dyDescent="0.25">
      <c r="H15658" t="s">
        <v>14704</v>
      </c>
    </row>
    <row r="15659" spans="8:8" x14ac:dyDescent="0.25">
      <c r="H15659" t="s">
        <v>30</v>
      </c>
    </row>
    <row r="15660" spans="8:8" x14ac:dyDescent="0.25">
      <c r="H15660" t="s">
        <v>137</v>
      </c>
    </row>
    <row r="15661" spans="8:8" x14ac:dyDescent="0.25">
      <c r="H15661" t="s">
        <v>14705</v>
      </c>
    </row>
    <row r="15662" spans="8:8" x14ac:dyDescent="0.25">
      <c r="H15662" t="s">
        <v>30</v>
      </c>
    </row>
    <row r="15663" spans="8:8" x14ac:dyDescent="0.25">
      <c r="H15663" t="s">
        <v>138</v>
      </c>
    </row>
    <row r="15664" spans="8:8" x14ac:dyDescent="0.25">
      <c r="H15664" t="s">
        <v>14706</v>
      </c>
    </row>
    <row r="15665" spans="8:8" x14ac:dyDescent="0.25">
      <c r="H15665" t="s">
        <v>30</v>
      </c>
    </row>
    <row r="15667" spans="8:8" x14ac:dyDescent="0.25">
      <c r="H15667" t="s">
        <v>14707</v>
      </c>
    </row>
    <row r="15668" spans="8:8" x14ac:dyDescent="0.25">
      <c r="H15668" t="s">
        <v>14708</v>
      </c>
    </row>
    <row r="15669" spans="8:8" x14ac:dyDescent="0.25">
      <c r="H15669" t="s">
        <v>135</v>
      </c>
    </row>
    <row r="15670" spans="8:8" x14ac:dyDescent="0.25">
      <c r="H15670" t="s">
        <v>14709</v>
      </c>
    </row>
    <row r="15671" spans="8:8" x14ac:dyDescent="0.25">
      <c r="H15671" t="s">
        <v>30</v>
      </c>
    </row>
    <row r="15672" spans="8:8" x14ac:dyDescent="0.25">
      <c r="H15672" t="s">
        <v>136</v>
      </c>
    </row>
    <row r="15673" spans="8:8" x14ac:dyDescent="0.25">
      <c r="H15673" t="s">
        <v>14710</v>
      </c>
    </row>
    <row r="15674" spans="8:8" x14ac:dyDescent="0.25">
      <c r="H15674" t="s">
        <v>30</v>
      </c>
    </row>
    <row r="15675" spans="8:8" x14ac:dyDescent="0.25">
      <c r="H15675" t="s">
        <v>137</v>
      </c>
    </row>
    <row r="15676" spans="8:8" x14ac:dyDescent="0.25">
      <c r="H15676" t="s">
        <v>14711</v>
      </c>
    </row>
    <row r="15677" spans="8:8" x14ac:dyDescent="0.25">
      <c r="H15677" t="s">
        <v>30</v>
      </c>
    </row>
    <row r="15678" spans="8:8" x14ac:dyDescent="0.25">
      <c r="H15678" t="s">
        <v>138</v>
      </c>
    </row>
    <row r="15679" spans="8:8" x14ac:dyDescent="0.25">
      <c r="H15679" t="s">
        <v>14712</v>
      </c>
    </row>
    <row r="15680" spans="8:8" x14ac:dyDescent="0.25">
      <c r="H15680" t="s">
        <v>30</v>
      </c>
    </row>
    <row r="15682" spans="8:8" x14ac:dyDescent="0.25">
      <c r="H15682" t="s">
        <v>14713</v>
      </c>
    </row>
    <row r="15683" spans="8:8" x14ac:dyDescent="0.25">
      <c r="H15683" t="s">
        <v>14714</v>
      </c>
    </row>
    <row r="15684" spans="8:8" x14ac:dyDescent="0.25">
      <c r="H15684" t="s">
        <v>135</v>
      </c>
    </row>
    <row r="15685" spans="8:8" x14ac:dyDescent="0.25">
      <c r="H15685" t="s">
        <v>14715</v>
      </c>
    </row>
    <row r="15686" spans="8:8" x14ac:dyDescent="0.25">
      <c r="H15686" t="s">
        <v>30</v>
      </c>
    </row>
    <row r="15687" spans="8:8" x14ac:dyDescent="0.25">
      <c r="H15687" t="s">
        <v>136</v>
      </c>
    </row>
    <row r="15688" spans="8:8" x14ac:dyDescent="0.25">
      <c r="H15688" t="s">
        <v>14716</v>
      </c>
    </row>
    <row r="15689" spans="8:8" x14ac:dyDescent="0.25">
      <c r="H15689" t="s">
        <v>30</v>
      </c>
    </row>
    <row r="15690" spans="8:8" x14ac:dyDescent="0.25">
      <c r="H15690" t="s">
        <v>137</v>
      </c>
    </row>
    <row r="15691" spans="8:8" x14ac:dyDescent="0.25">
      <c r="H15691" t="s">
        <v>14717</v>
      </c>
    </row>
    <row r="15692" spans="8:8" x14ac:dyDescent="0.25">
      <c r="H15692" t="s">
        <v>30</v>
      </c>
    </row>
    <row r="15693" spans="8:8" x14ac:dyDescent="0.25">
      <c r="H15693" t="s">
        <v>138</v>
      </c>
    </row>
    <row r="15694" spans="8:8" x14ac:dyDescent="0.25">
      <c r="H15694" t="s">
        <v>14718</v>
      </c>
    </row>
    <row r="15695" spans="8:8" x14ac:dyDescent="0.25">
      <c r="H15695" t="s">
        <v>30</v>
      </c>
    </row>
    <row r="15697" spans="8:8" x14ac:dyDescent="0.25">
      <c r="H15697" t="s">
        <v>14719</v>
      </c>
    </row>
    <row r="15698" spans="8:8" x14ac:dyDescent="0.25">
      <c r="H15698" t="s">
        <v>14720</v>
      </c>
    </row>
    <row r="15699" spans="8:8" x14ac:dyDescent="0.25">
      <c r="H15699" t="s">
        <v>135</v>
      </c>
    </row>
    <row r="15700" spans="8:8" x14ac:dyDescent="0.25">
      <c r="H15700" t="s">
        <v>14721</v>
      </c>
    </row>
    <row r="15701" spans="8:8" x14ac:dyDescent="0.25">
      <c r="H15701" t="s">
        <v>30</v>
      </c>
    </row>
    <row r="15702" spans="8:8" x14ac:dyDescent="0.25">
      <c r="H15702" t="s">
        <v>136</v>
      </c>
    </row>
    <row r="15703" spans="8:8" x14ac:dyDescent="0.25">
      <c r="H15703" t="s">
        <v>14722</v>
      </c>
    </row>
    <row r="15704" spans="8:8" x14ac:dyDescent="0.25">
      <c r="H15704" t="s">
        <v>30</v>
      </c>
    </row>
    <row r="15705" spans="8:8" x14ac:dyDescent="0.25">
      <c r="H15705" t="s">
        <v>137</v>
      </c>
    </row>
    <row r="15706" spans="8:8" x14ac:dyDescent="0.25">
      <c r="H15706" t="s">
        <v>14723</v>
      </c>
    </row>
    <row r="15707" spans="8:8" x14ac:dyDescent="0.25">
      <c r="H15707" t="s">
        <v>30</v>
      </c>
    </row>
    <row r="15708" spans="8:8" x14ac:dyDescent="0.25">
      <c r="H15708" t="s">
        <v>138</v>
      </c>
    </row>
    <row r="15709" spans="8:8" x14ac:dyDescent="0.25">
      <c r="H15709" t="s">
        <v>14724</v>
      </c>
    </row>
    <row r="15710" spans="8:8" x14ac:dyDescent="0.25">
      <c r="H15710" t="s">
        <v>30</v>
      </c>
    </row>
    <row r="15712" spans="8:8" x14ac:dyDescent="0.25">
      <c r="H15712" t="s">
        <v>14725</v>
      </c>
    </row>
    <row r="15713" spans="8:8" x14ac:dyDescent="0.25">
      <c r="H15713" t="s">
        <v>14726</v>
      </c>
    </row>
    <row r="15714" spans="8:8" x14ac:dyDescent="0.25">
      <c r="H15714" t="s">
        <v>135</v>
      </c>
    </row>
    <row r="15715" spans="8:8" x14ac:dyDescent="0.25">
      <c r="H15715" t="s">
        <v>14727</v>
      </c>
    </row>
    <row r="15716" spans="8:8" x14ac:dyDescent="0.25">
      <c r="H15716" t="s">
        <v>30</v>
      </c>
    </row>
    <row r="15717" spans="8:8" x14ac:dyDescent="0.25">
      <c r="H15717" t="s">
        <v>136</v>
      </c>
    </row>
    <row r="15718" spans="8:8" x14ac:dyDescent="0.25">
      <c r="H15718" t="s">
        <v>14728</v>
      </c>
    </row>
    <row r="15719" spans="8:8" x14ac:dyDescent="0.25">
      <c r="H15719" t="s">
        <v>30</v>
      </c>
    </row>
    <row r="15720" spans="8:8" x14ac:dyDescent="0.25">
      <c r="H15720" t="s">
        <v>137</v>
      </c>
    </row>
    <row r="15721" spans="8:8" x14ac:dyDescent="0.25">
      <c r="H15721" t="s">
        <v>14729</v>
      </c>
    </row>
    <row r="15722" spans="8:8" x14ac:dyDescent="0.25">
      <c r="H15722" t="s">
        <v>30</v>
      </c>
    </row>
    <row r="15723" spans="8:8" x14ac:dyDescent="0.25">
      <c r="H15723" t="s">
        <v>138</v>
      </c>
    </row>
    <row r="15724" spans="8:8" x14ac:dyDescent="0.25">
      <c r="H15724" t="s">
        <v>14730</v>
      </c>
    </row>
    <row r="15725" spans="8:8" x14ac:dyDescent="0.25">
      <c r="H15725" t="s">
        <v>30</v>
      </c>
    </row>
    <row r="15727" spans="8:8" x14ac:dyDescent="0.25">
      <c r="H15727" t="s">
        <v>14731</v>
      </c>
    </row>
    <row r="15728" spans="8:8" x14ac:dyDescent="0.25">
      <c r="H15728" t="s">
        <v>14732</v>
      </c>
    </row>
    <row r="15729" spans="8:8" x14ac:dyDescent="0.25">
      <c r="H15729" t="s">
        <v>135</v>
      </c>
    </row>
    <row r="15730" spans="8:8" x14ac:dyDescent="0.25">
      <c r="H15730" t="s">
        <v>14733</v>
      </c>
    </row>
    <row r="15731" spans="8:8" x14ac:dyDescent="0.25">
      <c r="H15731" t="s">
        <v>30</v>
      </c>
    </row>
    <row r="15732" spans="8:8" x14ac:dyDescent="0.25">
      <c r="H15732" t="s">
        <v>136</v>
      </c>
    </row>
    <row r="15733" spans="8:8" x14ac:dyDescent="0.25">
      <c r="H15733" t="s">
        <v>14734</v>
      </c>
    </row>
    <row r="15734" spans="8:8" x14ac:dyDescent="0.25">
      <c r="H15734" t="s">
        <v>30</v>
      </c>
    </row>
    <row r="15735" spans="8:8" x14ac:dyDescent="0.25">
      <c r="H15735" t="s">
        <v>137</v>
      </c>
    </row>
    <row r="15736" spans="8:8" x14ac:dyDescent="0.25">
      <c r="H15736" t="s">
        <v>14735</v>
      </c>
    </row>
    <row r="15737" spans="8:8" x14ac:dyDescent="0.25">
      <c r="H15737" t="s">
        <v>30</v>
      </c>
    </row>
    <row r="15738" spans="8:8" x14ac:dyDescent="0.25">
      <c r="H15738" t="s">
        <v>138</v>
      </c>
    </row>
    <row r="15739" spans="8:8" x14ac:dyDescent="0.25">
      <c r="H15739" t="s">
        <v>14736</v>
      </c>
    </row>
    <row r="15740" spans="8:8" x14ac:dyDescent="0.25">
      <c r="H15740" t="s">
        <v>30</v>
      </c>
    </row>
    <row r="15742" spans="8:8" x14ac:dyDescent="0.25">
      <c r="H15742" t="s">
        <v>14737</v>
      </c>
    </row>
    <row r="15743" spans="8:8" x14ac:dyDescent="0.25">
      <c r="H15743" t="s">
        <v>14738</v>
      </c>
    </row>
    <row r="15744" spans="8:8" x14ac:dyDescent="0.25">
      <c r="H15744" t="s">
        <v>135</v>
      </c>
    </row>
    <row r="15745" spans="8:8" x14ac:dyDescent="0.25">
      <c r="H15745" t="s">
        <v>14739</v>
      </c>
    </row>
    <row r="15746" spans="8:8" x14ac:dyDescent="0.25">
      <c r="H15746" t="s">
        <v>30</v>
      </c>
    </row>
    <row r="15747" spans="8:8" x14ac:dyDescent="0.25">
      <c r="H15747" t="s">
        <v>136</v>
      </c>
    </row>
    <row r="15748" spans="8:8" x14ac:dyDescent="0.25">
      <c r="H15748" t="s">
        <v>14740</v>
      </c>
    </row>
    <row r="15749" spans="8:8" x14ac:dyDescent="0.25">
      <c r="H15749" t="s">
        <v>30</v>
      </c>
    </row>
    <row r="15750" spans="8:8" x14ac:dyDescent="0.25">
      <c r="H15750" t="s">
        <v>137</v>
      </c>
    </row>
    <row r="15751" spans="8:8" x14ac:dyDescent="0.25">
      <c r="H15751" t="s">
        <v>14741</v>
      </c>
    </row>
    <row r="15752" spans="8:8" x14ac:dyDescent="0.25">
      <c r="H15752" t="s">
        <v>30</v>
      </c>
    </row>
    <row r="15753" spans="8:8" x14ac:dyDescent="0.25">
      <c r="H15753" t="s">
        <v>138</v>
      </c>
    </row>
    <row r="15754" spans="8:8" x14ac:dyDescent="0.25">
      <c r="H15754" t="s">
        <v>14742</v>
      </c>
    </row>
    <row r="15755" spans="8:8" x14ac:dyDescent="0.25">
      <c r="H15755" t="s">
        <v>30</v>
      </c>
    </row>
    <row r="15757" spans="8:8" x14ac:dyDescent="0.25">
      <c r="H15757" t="s">
        <v>14743</v>
      </c>
    </row>
    <row r="15758" spans="8:8" x14ac:dyDescent="0.25">
      <c r="H15758" t="s">
        <v>14744</v>
      </c>
    </row>
    <row r="15759" spans="8:8" x14ac:dyDescent="0.25">
      <c r="H15759" t="s">
        <v>135</v>
      </c>
    </row>
    <row r="15760" spans="8:8" x14ac:dyDescent="0.25">
      <c r="H15760" t="s">
        <v>14745</v>
      </c>
    </row>
    <row r="15761" spans="8:8" x14ac:dyDescent="0.25">
      <c r="H15761" t="s">
        <v>30</v>
      </c>
    </row>
    <row r="15762" spans="8:8" x14ac:dyDescent="0.25">
      <c r="H15762" t="s">
        <v>136</v>
      </c>
    </row>
    <row r="15763" spans="8:8" x14ac:dyDescent="0.25">
      <c r="H15763" t="s">
        <v>14746</v>
      </c>
    </row>
    <row r="15764" spans="8:8" x14ac:dyDescent="0.25">
      <c r="H15764" t="s">
        <v>30</v>
      </c>
    </row>
    <row r="15765" spans="8:8" x14ac:dyDescent="0.25">
      <c r="H15765" t="s">
        <v>137</v>
      </c>
    </row>
    <row r="15766" spans="8:8" x14ac:dyDescent="0.25">
      <c r="H15766" t="s">
        <v>14747</v>
      </c>
    </row>
    <row r="15767" spans="8:8" x14ac:dyDescent="0.25">
      <c r="H15767" t="s">
        <v>30</v>
      </c>
    </row>
    <row r="15768" spans="8:8" x14ac:dyDescent="0.25">
      <c r="H15768" t="s">
        <v>138</v>
      </c>
    </row>
    <row r="15769" spans="8:8" x14ac:dyDescent="0.25">
      <c r="H15769" t="s">
        <v>14748</v>
      </c>
    </row>
    <row r="15770" spans="8:8" x14ac:dyDescent="0.25">
      <c r="H15770" t="s">
        <v>30</v>
      </c>
    </row>
    <row r="15772" spans="8:8" x14ac:dyDescent="0.25">
      <c r="H15772" t="s">
        <v>14749</v>
      </c>
    </row>
    <row r="15773" spans="8:8" x14ac:dyDescent="0.25">
      <c r="H15773" t="s">
        <v>14750</v>
      </c>
    </row>
    <row r="15774" spans="8:8" x14ac:dyDescent="0.25">
      <c r="H15774" t="s">
        <v>135</v>
      </c>
    </row>
    <row r="15775" spans="8:8" x14ac:dyDescent="0.25">
      <c r="H15775" t="s">
        <v>14751</v>
      </c>
    </row>
    <row r="15776" spans="8:8" x14ac:dyDescent="0.25">
      <c r="H15776" t="s">
        <v>30</v>
      </c>
    </row>
    <row r="15777" spans="8:8" x14ac:dyDescent="0.25">
      <c r="H15777" t="s">
        <v>136</v>
      </c>
    </row>
    <row r="15778" spans="8:8" x14ac:dyDescent="0.25">
      <c r="H15778" t="s">
        <v>14752</v>
      </c>
    </row>
    <row r="15779" spans="8:8" x14ac:dyDescent="0.25">
      <c r="H15779" t="s">
        <v>30</v>
      </c>
    </row>
    <row r="15780" spans="8:8" x14ac:dyDescent="0.25">
      <c r="H15780" t="s">
        <v>137</v>
      </c>
    </row>
    <row r="15781" spans="8:8" x14ac:dyDescent="0.25">
      <c r="H15781" t="s">
        <v>14753</v>
      </c>
    </row>
    <row r="15782" spans="8:8" x14ac:dyDescent="0.25">
      <c r="H15782" t="s">
        <v>30</v>
      </c>
    </row>
    <row r="15783" spans="8:8" x14ac:dyDescent="0.25">
      <c r="H15783" t="s">
        <v>138</v>
      </c>
    </row>
    <row r="15784" spans="8:8" x14ac:dyDescent="0.25">
      <c r="H15784" t="s">
        <v>14754</v>
      </c>
    </row>
    <row r="15785" spans="8:8" x14ac:dyDescent="0.25">
      <c r="H15785" t="s">
        <v>30</v>
      </c>
    </row>
    <row r="15787" spans="8:8" x14ac:dyDescent="0.25">
      <c r="H15787" t="s">
        <v>14755</v>
      </c>
    </row>
    <row r="15788" spans="8:8" x14ac:dyDescent="0.25">
      <c r="H15788" t="s">
        <v>14756</v>
      </c>
    </row>
    <row r="15789" spans="8:8" x14ac:dyDescent="0.25">
      <c r="H15789" t="s">
        <v>135</v>
      </c>
    </row>
    <row r="15790" spans="8:8" x14ac:dyDescent="0.25">
      <c r="H15790" t="s">
        <v>14757</v>
      </c>
    </row>
    <row r="15791" spans="8:8" x14ac:dyDescent="0.25">
      <c r="H15791" t="s">
        <v>30</v>
      </c>
    </row>
    <row r="15792" spans="8:8" x14ac:dyDescent="0.25">
      <c r="H15792" t="s">
        <v>136</v>
      </c>
    </row>
    <row r="15793" spans="8:8" x14ac:dyDescent="0.25">
      <c r="H15793" t="s">
        <v>14758</v>
      </c>
    </row>
    <row r="15794" spans="8:8" x14ac:dyDescent="0.25">
      <c r="H15794" t="s">
        <v>30</v>
      </c>
    </row>
    <row r="15795" spans="8:8" x14ac:dyDescent="0.25">
      <c r="H15795" t="s">
        <v>137</v>
      </c>
    </row>
    <row r="15796" spans="8:8" x14ac:dyDescent="0.25">
      <c r="H15796" t="s">
        <v>14759</v>
      </c>
    </row>
    <row r="15797" spans="8:8" x14ac:dyDescent="0.25">
      <c r="H15797" t="s">
        <v>30</v>
      </c>
    </row>
    <row r="15798" spans="8:8" x14ac:dyDescent="0.25">
      <c r="H15798" t="s">
        <v>138</v>
      </c>
    </row>
    <row r="15799" spans="8:8" x14ac:dyDescent="0.25">
      <c r="H15799" t="s">
        <v>14760</v>
      </c>
    </row>
    <row r="15800" spans="8:8" x14ac:dyDescent="0.25">
      <c r="H15800" t="s">
        <v>30</v>
      </c>
    </row>
    <row r="15802" spans="8:8" x14ac:dyDescent="0.25">
      <c r="H15802" t="s">
        <v>14761</v>
      </c>
    </row>
    <row r="15803" spans="8:8" x14ac:dyDescent="0.25">
      <c r="H15803" t="s">
        <v>14762</v>
      </c>
    </row>
    <row r="15804" spans="8:8" x14ac:dyDescent="0.25">
      <c r="H15804" t="s">
        <v>135</v>
      </c>
    </row>
    <row r="15805" spans="8:8" x14ac:dyDescent="0.25">
      <c r="H15805" t="s">
        <v>14763</v>
      </c>
    </row>
    <row r="15806" spans="8:8" x14ac:dyDescent="0.25">
      <c r="H15806" t="s">
        <v>30</v>
      </c>
    </row>
    <row r="15807" spans="8:8" x14ac:dyDescent="0.25">
      <c r="H15807" t="s">
        <v>136</v>
      </c>
    </row>
    <row r="15808" spans="8:8" x14ac:dyDescent="0.25">
      <c r="H15808" t="s">
        <v>14764</v>
      </c>
    </row>
    <row r="15809" spans="8:8" x14ac:dyDescent="0.25">
      <c r="H15809" t="s">
        <v>30</v>
      </c>
    </row>
    <row r="15810" spans="8:8" x14ac:dyDescent="0.25">
      <c r="H15810" t="s">
        <v>137</v>
      </c>
    </row>
    <row r="15811" spans="8:8" x14ac:dyDescent="0.25">
      <c r="H15811" t="s">
        <v>14765</v>
      </c>
    </row>
    <row r="15812" spans="8:8" x14ac:dyDescent="0.25">
      <c r="H15812" t="s">
        <v>30</v>
      </c>
    </row>
    <row r="15813" spans="8:8" x14ac:dyDescent="0.25">
      <c r="H15813" t="s">
        <v>138</v>
      </c>
    </row>
    <row r="15814" spans="8:8" x14ac:dyDescent="0.25">
      <c r="H15814" t="s">
        <v>14766</v>
      </c>
    </row>
    <row r="15815" spans="8:8" x14ac:dyDescent="0.25">
      <c r="H15815" t="s">
        <v>30</v>
      </c>
    </row>
    <row r="15817" spans="8:8" x14ac:dyDescent="0.25">
      <c r="H15817" t="s">
        <v>14767</v>
      </c>
    </row>
    <row r="15818" spans="8:8" x14ac:dyDescent="0.25">
      <c r="H15818" t="s">
        <v>14768</v>
      </c>
    </row>
    <row r="15819" spans="8:8" x14ac:dyDescent="0.25">
      <c r="H15819" t="s">
        <v>135</v>
      </c>
    </row>
    <row r="15820" spans="8:8" x14ac:dyDescent="0.25">
      <c r="H15820" t="s">
        <v>14769</v>
      </c>
    </row>
    <row r="15821" spans="8:8" x14ac:dyDescent="0.25">
      <c r="H15821" t="s">
        <v>30</v>
      </c>
    </row>
    <row r="15822" spans="8:8" x14ac:dyDescent="0.25">
      <c r="H15822" t="s">
        <v>136</v>
      </c>
    </row>
    <row r="15823" spans="8:8" x14ac:dyDescent="0.25">
      <c r="H15823" t="s">
        <v>14770</v>
      </c>
    </row>
    <row r="15824" spans="8:8" x14ac:dyDescent="0.25">
      <c r="H15824" t="s">
        <v>30</v>
      </c>
    </row>
    <row r="15825" spans="8:8" x14ac:dyDescent="0.25">
      <c r="H15825" t="s">
        <v>137</v>
      </c>
    </row>
    <row r="15826" spans="8:8" x14ac:dyDescent="0.25">
      <c r="H15826" t="s">
        <v>14771</v>
      </c>
    </row>
    <row r="15827" spans="8:8" x14ac:dyDescent="0.25">
      <c r="H15827" t="s">
        <v>30</v>
      </c>
    </row>
    <row r="15828" spans="8:8" x14ac:dyDescent="0.25">
      <c r="H15828" t="s">
        <v>138</v>
      </c>
    </row>
    <row r="15829" spans="8:8" x14ac:dyDescent="0.25">
      <c r="H15829" t="s">
        <v>14772</v>
      </c>
    </row>
    <row r="15830" spans="8:8" x14ac:dyDescent="0.25">
      <c r="H15830" t="s">
        <v>30</v>
      </c>
    </row>
    <row r="15832" spans="8:8" x14ac:dyDescent="0.25">
      <c r="H15832" t="s">
        <v>14773</v>
      </c>
    </row>
    <row r="15833" spans="8:8" x14ac:dyDescent="0.25">
      <c r="H15833" t="s">
        <v>14774</v>
      </c>
    </row>
    <row r="15834" spans="8:8" x14ac:dyDescent="0.25">
      <c r="H15834" t="s">
        <v>135</v>
      </c>
    </row>
    <row r="15835" spans="8:8" x14ac:dyDescent="0.25">
      <c r="H15835" t="s">
        <v>14775</v>
      </c>
    </row>
    <row r="15836" spans="8:8" x14ac:dyDescent="0.25">
      <c r="H15836" t="s">
        <v>30</v>
      </c>
    </row>
    <row r="15837" spans="8:8" x14ac:dyDescent="0.25">
      <c r="H15837" t="s">
        <v>136</v>
      </c>
    </row>
    <row r="15838" spans="8:8" x14ac:dyDescent="0.25">
      <c r="H15838" t="s">
        <v>14776</v>
      </c>
    </row>
    <row r="15839" spans="8:8" x14ac:dyDescent="0.25">
      <c r="H15839" t="s">
        <v>30</v>
      </c>
    </row>
    <row r="15840" spans="8:8" x14ac:dyDescent="0.25">
      <c r="H15840" t="s">
        <v>137</v>
      </c>
    </row>
    <row r="15841" spans="8:8" x14ac:dyDescent="0.25">
      <c r="H15841" t="s">
        <v>14777</v>
      </c>
    </row>
    <row r="15842" spans="8:8" x14ac:dyDescent="0.25">
      <c r="H15842" t="s">
        <v>30</v>
      </c>
    </row>
    <row r="15843" spans="8:8" x14ac:dyDescent="0.25">
      <c r="H15843" t="s">
        <v>138</v>
      </c>
    </row>
    <row r="15844" spans="8:8" x14ac:dyDescent="0.25">
      <c r="H15844" t="s">
        <v>14778</v>
      </c>
    </row>
    <row r="15845" spans="8:8" x14ac:dyDescent="0.25">
      <c r="H15845" t="s">
        <v>30</v>
      </c>
    </row>
    <row r="15847" spans="8:8" x14ac:dyDescent="0.25">
      <c r="H15847" t="s">
        <v>14779</v>
      </c>
    </row>
    <row r="15848" spans="8:8" x14ac:dyDescent="0.25">
      <c r="H15848" t="s">
        <v>14780</v>
      </c>
    </row>
    <row r="15849" spans="8:8" x14ac:dyDescent="0.25">
      <c r="H15849" t="s">
        <v>135</v>
      </c>
    </row>
    <row r="15850" spans="8:8" x14ac:dyDescent="0.25">
      <c r="H15850" t="s">
        <v>14781</v>
      </c>
    </row>
    <row r="15851" spans="8:8" x14ac:dyDescent="0.25">
      <c r="H15851" t="s">
        <v>30</v>
      </c>
    </row>
    <row r="15852" spans="8:8" x14ac:dyDescent="0.25">
      <c r="H15852" t="s">
        <v>136</v>
      </c>
    </row>
    <row r="15853" spans="8:8" x14ac:dyDescent="0.25">
      <c r="H15853" t="s">
        <v>14782</v>
      </c>
    </row>
    <row r="15854" spans="8:8" x14ac:dyDescent="0.25">
      <c r="H15854" t="s">
        <v>30</v>
      </c>
    </row>
    <row r="15855" spans="8:8" x14ac:dyDescent="0.25">
      <c r="H15855" t="s">
        <v>137</v>
      </c>
    </row>
    <row r="15856" spans="8:8" x14ac:dyDescent="0.25">
      <c r="H15856" t="s">
        <v>14783</v>
      </c>
    </row>
    <row r="15857" spans="8:8" x14ac:dyDescent="0.25">
      <c r="H15857" t="s">
        <v>30</v>
      </c>
    </row>
    <row r="15858" spans="8:8" x14ac:dyDescent="0.25">
      <c r="H15858" t="s">
        <v>138</v>
      </c>
    </row>
    <row r="15859" spans="8:8" x14ac:dyDescent="0.25">
      <c r="H15859" t="s">
        <v>14784</v>
      </c>
    </row>
    <row r="15860" spans="8:8" x14ac:dyDescent="0.25">
      <c r="H15860" t="s">
        <v>30</v>
      </c>
    </row>
    <row r="15862" spans="8:8" x14ac:dyDescent="0.25">
      <c r="H15862" t="s">
        <v>14785</v>
      </c>
    </row>
    <row r="15863" spans="8:8" x14ac:dyDescent="0.25">
      <c r="H15863" t="s">
        <v>14786</v>
      </c>
    </row>
    <row r="15864" spans="8:8" x14ac:dyDescent="0.25">
      <c r="H15864" t="s">
        <v>135</v>
      </c>
    </row>
    <row r="15865" spans="8:8" x14ac:dyDescent="0.25">
      <c r="H15865" t="s">
        <v>14787</v>
      </c>
    </row>
    <row r="15866" spans="8:8" x14ac:dyDescent="0.25">
      <c r="H15866" t="s">
        <v>30</v>
      </c>
    </row>
    <row r="15867" spans="8:8" x14ac:dyDescent="0.25">
      <c r="H15867" t="s">
        <v>136</v>
      </c>
    </row>
    <row r="15868" spans="8:8" x14ac:dyDescent="0.25">
      <c r="H15868" t="s">
        <v>14788</v>
      </c>
    </row>
    <row r="15869" spans="8:8" x14ac:dyDescent="0.25">
      <c r="H15869" t="s">
        <v>30</v>
      </c>
    </row>
    <row r="15870" spans="8:8" x14ac:dyDescent="0.25">
      <c r="H15870" t="s">
        <v>137</v>
      </c>
    </row>
    <row r="15871" spans="8:8" x14ac:dyDescent="0.25">
      <c r="H15871" t="s">
        <v>14789</v>
      </c>
    </row>
    <row r="15872" spans="8:8" x14ac:dyDescent="0.25">
      <c r="H15872" t="s">
        <v>30</v>
      </c>
    </row>
    <row r="15873" spans="8:8" x14ac:dyDescent="0.25">
      <c r="H15873" t="s">
        <v>138</v>
      </c>
    </row>
    <row r="15874" spans="8:8" x14ac:dyDescent="0.25">
      <c r="H15874" t="s">
        <v>14790</v>
      </c>
    </row>
    <row r="15875" spans="8:8" x14ac:dyDescent="0.25">
      <c r="H15875" t="s">
        <v>30</v>
      </c>
    </row>
    <row r="15877" spans="8:8" x14ac:dyDescent="0.25">
      <c r="H15877" t="s">
        <v>14791</v>
      </c>
    </row>
    <row r="15878" spans="8:8" x14ac:dyDescent="0.25">
      <c r="H15878" t="s">
        <v>14792</v>
      </c>
    </row>
    <row r="15879" spans="8:8" x14ac:dyDescent="0.25">
      <c r="H15879" t="s">
        <v>135</v>
      </c>
    </row>
    <row r="15880" spans="8:8" x14ac:dyDescent="0.25">
      <c r="H15880" t="s">
        <v>14793</v>
      </c>
    </row>
    <row r="15881" spans="8:8" x14ac:dyDescent="0.25">
      <c r="H15881" t="s">
        <v>30</v>
      </c>
    </row>
    <row r="15882" spans="8:8" x14ac:dyDescent="0.25">
      <c r="H15882" t="s">
        <v>136</v>
      </c>
    </row>
    <row r="15883" spans="8:8" x14ac:dyDescent="0.25">
      <c r="H15883" t="s">
        <v>14794</v>
      </c>
    </row>
    <row r="15884" spans="8:8" x14ac:dyDescent="0.25">
      <c r="H15884" t="s">
        <v>30</v>
      </c>
    </row>
    <row r="15885" spans="8:8" x14ac:dyDescent="0.25">
      <c r="H15885" t="s">
        <v>137</v>
      </c>
    </row>
    <row r="15886" spans="8:8" x14ac:dyDescent="0.25">
      <c r="H15886" t="s">
        <v>14795</v>
      </c>
    </row>
    <row r="15887" spans="8:8" x14ac:dyDescent="0.25">
      <c r="H15887" t="s">
        <v>30</v>
      </c>
    </row>
    <row r="15888" spans="8:8" x14ac:dyDescent="0.25">
      <c r="H15888" t="s">
        <v>138</v>
      </c>
    </row>
    <row r="15889" spans="8:8" x14ac:dyDescent="0.25">
      <c r="H15889" t="s">
        <v>14796</v>
      </c>
    </row>
    <row r="15890" spans="8:8" x14ac:dyDescent="0.25">
      <c r="H15890" t="s">
        <v>30</v>
      </c>
    </row>
    <row r="15892" spans="8:8" x14ac:dyDescent="0.25">
      <c r="H15892" t="s">
        <v>14797</v>
      </c>
    </row>
    <row r="15893" spans="8:8" x14ac:dyDescent="0.25">
      <c r="H15893" t="s">
        <v>14798</v>
      </c>
    </row>
    <row r="15894" spans="8:8" x14ac:dyDescent="0.25">
      <c r="H15894" t="s">
        <v>135</v>
      </c>
    </row>
    <row r="15895" spans="8:8" x14ac:dyDescent="0.25">
      <c r="H15895" t="s">
        <v>14799</v>
      </c>
    </row>
    <row r="15896" spans="8:8" x14ac:dyDescent="0.25">
      <c r="H15896" t="s">
        <v>30</v>
      </c>
    </row>
    <row r="15897" spans="8:8" x14ac:dyDescent="0.25">
      <c r="H15897" t="s">
        <v>136</v>
      </c>
    </row>
    <row r="15898" spans="8:8" x14ac:dyDescent="0.25">
      <c r="H15898" t="s">
        <v>14800</v>
      </c>
    </row>
    <row r="15899" spans="8:8" x14ac:dyDescent="0.25">
      <c r="H15899" t="s">
        <v>30</v>
      </c>
    </row>
    <row r="15900" spans="8:8" x14ac:dyDescent="0.25">
      <c r="H15900" t="s">
        <v>137</v>
      </c>
    </row>
    <row r="15901" spans="8:8" x14ac:dyDescent="0.25">
      <c r="H15901" t="s">
        <v>14801</v>
      </c>
    </row>
    <row r="15902" spans="8:8" x14ac:dyDescent="0.25">
      <c r="H15902" t="s">
        <v>30</v>
      </c>
    </row>
    <row r="15903" spans="8:8" x14ac:dyDescent="0.25">
      <c r="H15903" t="s">
        <v>138</v>
      </c>
    </row>
    <row r="15904" spans="8:8" x14ac:dyDescent="0.25">
      <c r="H15904" t="s">
        <v>14802</v>
      </c>
    </row>
    <row r="15905" spans="8:8" x14ac:dyDescent="0.25">
      <c r="H15905" t="s">
        <v>30</v>
      </c>
    </row>
    <row r="15907" spans="8:8" x14ac:dyDescent="0.25">
      <c r="H15907" t="s">
        <v>14803</v>
      </c>
    </row>
    <row r="15908" spans="8:8" x14ac:dyDescent="0.25">
      <c r="H15908" t="s">
        <v>14804</v>
      </c>
    </row>
    <row r="15909" spans="8:8" x14ac:dyDescent="0.25">
      <c r="H15909" t="s">
        <v>135</v>
      </c>
    </row>
    <row r="15910" spans="8:8" x14ac:dyDescent="0.25">
      <c r="H15910" t="s">
        <v>14805</v>
      </c>
    </row>
    <row r="15911" spans="8:8" x14ac:dyDescent="0.25">
      <c r="H15911" t="s">
        <v>30</v>
      </c>
    </row>
    <row r="15912" spans="8:8" x14ac:dyDescent="0.25">
      <c r="H15912" t="s">
        <v>136</v>
      </c>
    </row>
    <row r="15913" spans="8:8" x14ac:dyDescent="0.25">
      <c r="H15913" t="s">
        <v>14806</v>
      </c>
    </row>
    <row r="15914" spans="8:8" x14ac:dyDescent="0.25">
      <c r="H15914" t="s">
        <v>30</v>
      </c>
    </row>
    <row r="15915" spans="8:8" x14ac:dyDescent="0.25">
      <c r="H15915" t="s">
        <v>137</v>
      </c>
    </row>
    <row r="15916" spans="8:8" x14ac:dyDescent="0.25">
      <c r="H15916" t="s">
        <v>14807</v>
      </c>
    </row>
    <row r="15917" spans="8:8" x14ac:dyDescent="0.25">
      <c r="H15917" t="s">
        <v>30</v>
      </c>
    </row>
    <row r="15918" spans="8:8" x14ac:dyDescent="0.25">
      <c r="H15918" t="s">
        <v>138</v>
      </c>
    </row>
    <row r="15919" spans="8:8" x14ac:dyDescent="0.25">
      <c r="H15919" t="s">
        <v>14808</v>
      </c>
    </row>
    <row r="15920" spans="8:8" x14ac:dyDescent="0.25">
      <c r="H15920" t="s">
        <v>30</v>
      </c>
    </row>
    <row r="15922" spans="8:8" x14ac:dyDescent="0.25">
      <c r="H15922" t="s">
        <v>14809</v>
      </c>
    </row>
    <row r="15923" spans="8:8" x14ac:dyDescent="0.25">
      <c r="H15923" t="s">
        <v>14810</v>
      </c>
    </row>
    <row r="15924" spans="8:8" x14ac:dyDescent="0.25">
      <c r="H15924" t="s">
        <v>135</v>
      </c>
    </row>
    <row r="15925" spans="8:8" x14ac:dyDescent="0.25">
      <c r="H15925" t="s">
        <v>14811</v>
      </c>
    </row>
    <row r="15926" spans="8:8" x14ac:dyDescent="0.25">
      <c r="H15926" t="s">
        <v>30</v>
      </c>
    </row>
    <row r="15927" spans="8:8" x14ac:dyDescent="0.25">
      <c r="H15927" t="s">
        <v>136</v>
      </c>
    </row>
    <row r="15928" spans="8:8" x14ac:dyDescent="0.25">
      <c r="H15928" t="s">
        <v>14812</v>
      </c>
    </row>
    <row r="15929" spans="8:8" x14ac:dyDescent="0.25">
      <c r="H15929" t="s">
        <v>30</v>
      </c>
    </row>
    <row r="15930" spans="8:8" x14ac:dyDescent="0.25">
      <c r="H15930" t="s">
        <v>137</v>
      </c>
    </row>
    <row r="15931" spans="8:8" x14ac:dyDescent="0.25">
      <c r="H15931" t="s">
        <v>14813</v>
      </c>
    </row>
    <row r="15932" spans="8:8" x14ac:dyDescent="0.25">
      <c r="H15932" t="s">
        <v>30</v>
      </c>
    </row>
    <row r="15933" spans="8:8" x14ac:dyDescent="0.25">
      <c r="H15933" t="s">
        <v>138</v>
      </c>
    </row>
    <row r="15934" spans="8:8" x14ac:dyDescent="0.25">
      <c r="H15934" t="s">
        <v>14814</v>
      </c>
    </row>
    <row r="15935" spans="8:8" x14ac:dyDescent="0.25">
      <c r="H15935" t="s">
        <v>30</v>
      </c>
    </row>
    <row r="15937" spans="8:8" x14ac:dyDescent="0.25">
      <c r="H15937" t="s">
        <v>14815</v>
      </c>
    </row>
    <row r="15938" spans="8:8" x14ac:dyDescent="0.25">
      <c r="H15938" t="s">
        <v>14816</v>
      </c>
    </row>
    <row r="15939" spans="8:8" x14ac:dyDescent="0.25">
      <c r="H15939" t="s">
        <v>135</v>
      </c>
    </row>
    <row r="15940" spans="8:8" x14ac:dyDescent="0.25">
      <c r="H15940" t="s">
        <v>14817</v>
      </c>
    </row>
    <row r="15941" spans="8:8" x14ac:dyDescent="0.25">
      <c r="H15941" t="s">
        <v>30</v>
      </c>
    </row>
    <row r="15942" spans="8:8" x14ac:dyDescent="0.25">
      <c r="H15942" t="s">
        <v>136</v>
      </c>
    </row>
    <row r="15943" spans="8:8" x14ac:dyDescent="0.25">
      <c r="H15943" t="s">
        <v>14818</v>
      </c>
    </row>
    <row r="15944" spans="8:8" x14ac:dyDescent="0.25">
      <c r="H15944" t="s">
        <v>30</v>
      </c>
    </row>
    <row r="15945" spans="8:8" x14ac:dyDescent="0.25">
      <c r="H15945" t="s">
        <v>137</v>
      </c>
    </row>
    <row r="15946" spans="8:8" x14ac:dyDescent="0.25">
      <c r="H15946" t="s">
        <v>14819</v>
      </c>
    </row>
    <row r="15947" spans="8:8" x14ac:dyDescent="0.25">
      <c r="H15947" t="s">
        <v>30</v>
      </c>
    </row>
    <row r="15948" spans="8:8" x14ac:dyDescent="0.25">
      <c r="H15948" t="s">
        <v>138</v>
      </c>
    </row>
    <row r="15949" spans="8:8" x14ac:dyDescent="0.25">
      <c r="H15949" t="s">
        <v>14820</v>
      </c>
    </row>
    <row r="15950" spans="8:8" x14ac:dyDescent="0.25">
      <c r="H15950" t="s">
        <v>30</v>
      </c>
    </row>
    <row r="15952" spans="8:8" x14ac:dyDescent="0.25">
      <c r="H15952" t="s">
        <v>14821</v>
      </c>
    </row>
    <row r="15953" spans="8:8" x14ac:dyDescent="0.25">
      <c r="H15953" t="s">
        <v>14822</v>
      </c>
    </row>
    <row r="15954" spans="8:8" x14ac:dyDescent="0.25">
      <c r="H15954" t="s">
        <v>135</v>
      </c>
    </row>
    <row r="15955" spans="8:8" x14ac:dyDescent="0.25">
      <c r="H15955" t="s">
        <v>14823</v>
      </c>
    </row>
    <row r="15956" spans="8:8" x14ac:dyDescent="0.25">
      <c r="H15956" t="s">
        <v>30</v>
      </c>
    </row>
    <row r="15957" spans="8:8" x14ac:dyDescent="0.25">
      <c r="H15957" t="s">
        <v>136</v>
      </c>
    </row>
    <row r="15958" spans="8:8" x14ac:dyDescent="0.25">
      <c r="H15958" t="s">
        <v>14824</v>
      </c>
    </row>
    <row r="15959" spans="8:8" x14ac:dyDescent="0.25">
      <c r="H15959" t="s">
        <v>30</v>
      </c>
    </row>
    <row r="15960" spans="8:8" x14ac:dyDescent="0.25">
      <c r="H15960" t="s">
        <v>137</v>
      </c>
    </row>
    <row r="15961" spans="8:8" x14ac:dyDescent="0.25">
      <c r="H15961" t="s">
        <v>14825</v>
      </c>
    </row>
    <row r="15962" spans="8:8" x14ac:dyDescent="0.25">
      <c r="H15962" t="s">
        <v>30</v>
      </c>
    </row>
    <row r="15963" spans="8:8" x14ac:dyDescent="0.25">
      <c r="H15963" t="s">
        <v>138</v>
      </c>
    </row>
    <row r="15964" spans="8:8" x14ac:dyDescent="0.25">
      <c r="H15964" t="s">
        <v>14826</v>
      </c>
    </row>
    <row r="15965" spans="8:8" x14ac:dyDescent="0.25">
      <c r="H15965" t="s">
        <v>30</v>
      </c>
    </row>
    <row r="15967" spans="8:8" x14ac:dyDescent="0.25">
      <c r="H15967" t="s">
        <v>14827</v>
      </c>
    </row>
    <row r="15968" spans="8:8" x14ac:dyDescent="0.25">
      <c r="H15968" t="s">
        <v>14828</v>
      </c>
    </row>
    <row r="15969" spans="8:8" x14ac:dyDescent="0.25">
      <c r="H15969" t="s">
        <v>135</v>
      </c>
    </row>
    <row r="15970" spans="8:8" x14ac:dyDescent="0.25">
      <c r="H15970" t="s">
        <v>14829</v>
      </c>
    </row>
    <row r="15971" spans="8:8" x14ac:dyDescent="0.25">
      <c r="H15971" t="s">
        <v>30</v>
      </c>
    </row>
    <row r="15972" spans="8:8" x14ac:dyDescent="0.25">
      <c r="H15972" t="s">
        <v>136</v>
      </c>
    </row>
    <row r="15973" spans="8:8" x14ac:dyDescent="0.25">
      <c r="H15973" t="s">
        <v>14830</v>
      </c>
    </row>
    <row r="15974" spans="8:8" x14ac:dyDescent="0.25">
      <c r="H15974" t="s">
        <v>30</v>
      </c>
    </row>
    <row r="15975" spans="8:8" x14ac:dyDescent="0.25">
      <c r="H15975" t="s">
        <v>137</v>
      </c>
    </row>
    <row r="15976" spans="8:8" x14ac:dyDescent="0.25">
      <c r="H15976" t="s">
        <v>14831</v>
      </c>
    </row>
    <row r="15977" spans="8:8" x14ac:dyDescent="0.25">
      <c r="H15977" t="s">
        <v>30</v>
      </c>
    </row>
    <row r="15978" spans="8:8" x14ac:dyDescent="0.25">
      <c r="H15978" t="s">
        <v>138</v>
      </c>
    </row>
    <row r="15979" spans="8:8" x14ac:dyDescent="0.25">
      <c r="H15979" t="s">
        <v>14832</v>
      </c>
    </row>
    <row r="15980" spans="8:8" x14ac:dyDescent="0.25">
      <c r="H15980" t="s">
        <v>30</v>
      </c>
    </row>
    <row r="15982" spans="8:8" x14ac:dyDescent="0.25">
      <c r="H15982" t="s">
        <v>14833</v>
      </c>
    </row>
    <row r="15983" spans="8:8" x14ac:dyDescent="0.25">
      <c r="H15983" t="s">
        <v>14834</v>
      </c>
    </row>
    <row r="15984" spans="8:8" x14ac:dyDescent="0.25">
      <c r="H15984" t="s">
        <v>135</v>
      </c>
    </row>
    <row r="15985" spans="8:8" x14ac:dyDescent="0.25">
      <c r="H15985" t="s">
        <v>14835</v>
      </c>
    </row>
    <row r="15986" spans="8:8" x14ac:dyDescent="0.25">
      <c r="H15986" t="s">
        <v>30</v>
      </c>
    </row>
    <row r="15987" spans="8:8" x14ac:dyDescent="0.25">
      <c r="H15987" t="s">
        <v>136</v>
      </c>
    </row>
    <row r="15988" spans="8:8" x14ac:dyDescent="0.25">
      <c r="H15988" t="s">
        <v>14836</v>
      </c>
    </row>
    <row r="15989" spans="8:8" x14ac:dyDescent="0.25">
      <c r="H15989" t="s">
        <v>30</v>
      </c>
    </row>
    <row r="15990" spans="8:8" x14ac:dyDescent="0.25">
      <c r="H15990" t="s">
        <v>137</v>
      </c>
    </row>
    <row r="15991" spans="8:8" x14ac:dyDescent="0.25">
      <c r="H15991" t="s">
        <v>14837</v>
      </c>
    </row>
    <row r="15992" spans="8:8" x14ac:dyDescent="0.25">
      <c r="H15992" t="s">
        <v>30</v>
      </c>
    </row>
    <row r="15993" spans="8:8" x14ac:dyDescent="0.25">
      <c r="H15993" t="s">
        <v>138</v>
      </c>
    </row>
    <row r="15994" spans="8:8" x14ac:dyDescent="0.25">
      <c r="H15994" t="s">
        <v>14838</v>
      </c>
    </row>
    <row r="15995" spans="8:8" x14ac:dyDescent="0.25">
      <c r="H15995" t="s">
        <v>30</v>
      </c>
    </row>
    <row r="15997" spans="8:8" x14ac:dyDescent="0.25">
      <c r="H15997" t="s">
        <v>14839</v>
      </c>
    </row>
    <row r="15998" spans="8:8" x14ac:dyDescent="0.25">
      <c r="H15998" t="s">
        <v>14840</v>
      </c>
    </row>
    <row r="15999" spans="8:8" x14ac:dyDescent="0.25">
      <c r="H15999" t="s">
        <v>135</v>
      </c>
    </row>
    <row r="16000" spans="8:8" x14ac:dyDescent="0.25">
      <c r="H16000" t="s">
        <v>14841</v>
      </c>
    </row>
    <row r="16001" spans="8:8" x14ac:dyDescent="0.25">
      <c r="H16001" t="s">
        <v>30</v>
      </c>
    </row>
    <row r="16002" spans="8:8" x14ac:dyDescent="0.25">
      <c r="H16002" t="s">
        <v>136</v>
      </c>
    </row>
    <row r="16003" spans="8:8" x14ac:dyDescent="0.25">
      <c r="H16003" t="s">
        <v>14842</v>
      </c>
    </row>
    <row r="16004" spans="8:8" x14ac:dyDescent="0.25">
      <c r="H16004" t="s">
        <v>30</v>
      </c>
    </row>
    <row r="16005" spans="8:8" x14ac:dyDescent="0.25">
      <c r="H16005" t="s">
        <v>137</v>
      </c>
    </row>
    <row r="16006" spans="8:8" x14ac:dyDescent="0.25">
      <c r="H16006" t="s">
        <v>14843</v>
      </c>
    </row>
    <row r="16007" spans="8:8" x14ac:dyDescent="0.25">
      <c r="H16007" t="s">
        <v>30</v>
      </c>
    </row>
    <row r="16008" spans="8:8" x14ac:dyDescent="0.25">
      <c r="H16008" t="s">
        <v>138</v>
      </c>
    </row>
    <row r="16009" spans="8:8" x14ac:dyDescent="0.25">
      <c r="H16009" t="s">
        <v>14844</v>
      </c>
    </row>
    <row r="16010" spans="8:8" x14ac:dyDescent="0.25">
      <c r="H16010" t="s">
        <v>30</v>
      </c>
    </row>
    <row r="16012" spans="8:8" x14ac:dyDescent="0.25">
      <c r="H16012" t="s">
        <v>14845</v>
      </c>
    </row>
    <row r="16013" spans="8:8" x14ac:dyDescent="0.25">
      <c r="H16013" t="s">
        <v>14846</v>
      </c>
    </row>
    <row r="16014" spans="8:8" x14ac:dyDescent="0.25">
      <c r="H16014" t="s">
        <v>135</v>
      </c>
    </row>
    <row r="16015" spans="8:8" x14ac:dyDescent="0.25">
      <c r="H16015" t="s">
        <v>14847</v>
      </c>
    </row>
    <row r="16016" spans="8:8" x14ac:dyDescent="0.25">
      <c r="H16016" t="s">
        <v>30</v>
      </c>
    </row>
    <row r="16017" spans="8:8" x14ac:dyDescent="0.25">
      <c r="H16017" t="s">
        <v>136</v>
      </c>
    </row>
    <row r="16018" spans="8:8" x14ac:dyDescent="0.25">
      <c r="H16018" t="s">
        <v>14848</v>
      </c>
    </row>
    <row r="16019" spans="8:8" x14ac:dyDescent="0.25">
      <c r="H16019" t="s">
        <v>30</v>
      </c>
    </row>
    <row r="16020" spans="8:8" x14ac:dyDescent="0.25">
      <c r="H16020" t="s">
        <v>137</v>
      </c>
    </row>
    <row r="16021" spans="8:8" x14ac:dyDescent="0.25">
      <c r="H16021" t="s">
        <v>14849</v>
      </c>
    </row>
    <row r="16022" spans="8:8" x14ac:dyDescent="0.25">
      <c r="H16022" t="s">
        <v>30</v>
      </c>
    </row>
    <row r="16023" spans="8:8" x14ac:dyDescent="0.25">
      <c r="H16023" t="s">
        <v>138</v>
      </c>
    </row>
    <row r="16024" spans="8:8" x14ac:dyDescent="0.25">
      <c r="H16024" t="s">
        <v>14850</v>
      </c>
    </row>
    <row r="16025" spans="8:8" x14ac:dyDescent="0.25">
      <c r="H16025" t="s">
        <v>30</v>
      </c>
    </row>
    <row r="16027" spans="8:8" x14ac:dyDescent="0.25">
      <c r="H16027" t="s">
        <v>14851</v>
      </c>
    </row>
    <row r="16028" spans="8:8" x14ac:dyDescent="0.25">
      <c r="H16028" t="s">
        <v>14852</v>
      </c>
    </row>
    <row r="16029" spans="8:8" x14ac:dyDescent="0.25">
      <c r="H16029" t="s">
        <v>135</v>
      </c>
    </row>
    <row r="16030" spans="8:8" x14ac:dyDescent="0.25">
      <c r="H16030" t="s">
        <v>14853</v>
      </c>
    </row>
    <row r="16031" spans="8:8" x14ac:dyDescent="0.25">
      <c r="H16031" t="s">
        <v>30</v>
      </c>
    </row>
    <row r="16032" spans="8:8" x14ac:dyDescent="0.25">
      <c r="H16032" t="s">
        <v>136</v>
      </c>
    </row>
    <row r="16033" spans="8:8" x14ac:dyDescent="0.25">
      <c r="H16033" t="s">
        <v>14854</v>
      </c>
    </row>
    <row r="16034" spans="8:8" x14ac:dyDescent="0.25">
      <c r="H16034" t="s">
        <v>30</v>
      </c>
    </row>
    <row r="16035" spans="8:8" x14ac:dyDescent="0.25">
      <c r="H16035" t="s">
        <v>137</v>
      </c>
    </row>
    <row r="16036" spans="8:8" x14ac:dyDescent="0.25">
      <c r="H16036" t="s">
        <v>14855</v>
      </c>
    </row>
    <row r="16037" spans="8:8" x14ac:dyDescent="0.25">
      <c r="H16037" t="s">
        <v>30</v>
      </c>
    </row>
    <row r="16038" spans="8:8" x14ac:dyDescent="0.25">
      <c r="H16038" t="s">
        <v>138</v>
      </c>
    </row>
    <row r="16039" spans="8:8" x14ac:dyDescent="0.25">
      <c r="H16039" t="s">
        <v>14856</v>
      </c>
    </row>
    <row r="16040" spans="8:8" x14ac:dyDescent="0.25">
      <c r="H16040" t="s">
        <v>30</v>
      </c>
    </row>
    <row r="16042" spans="8:8" x14ac:dyDescent="0.25">
      <c r="H16042" t="s">
        <v>14857</v>
      </c>
    </row>
    <row r="16043" spans="8:8" x14ac:dyDescent="0.25">
      <c r="H16043" t="s">
        <v>14858</v>
      </c>
    </row>
    <row r="16044" spans="8:8" x14ac:dyDescent="0.25">
      <c r="H16044" t="s">
        <v>135</v>
      </c>
    </row>
    <row r="16045" spans="8:8" x14ac:dyDescent="0.25">
      <c r="H16045" t="s">
        <v>14859</v>
      </c>
    </row>
    <row r="16046" spans="8:8" x14ac:dyDescent="0.25">
      <c r="H16046" t="s">
        <v>30</v>
      </c>
    </row>
    <row r="16047" spans="8:8" x14ac:dyDescent="0.25">
      <c r="H16047" t="s">
        <v>136</v>
      </c>
    </row>
    <row r="16048" spans="8:8" x14ac:dyDescent="0.25">
      <c r="H16048" t="s">
        <v>14860</v>
      </c>
    </row>
    <row r="16049" spans="8:8" x14ac:dyDescent="0.25">
      <c r="H16049" t="s">
        <v>30</v>
      </c>
    </row>
    <row r="16050" spans="8:8" x14ac:dyDescent="0.25">
      <c r="H16050" t="s">
        <v>137</v>
      </c>
    </row>
    <row r="16051" spans="8:8" x14ac:dyDescent="0.25">
      <c r="H16051" t="s">
        <v>14861</v>
      </c>
    </row>
    <row r="16052" spans="8:8" x14ac:dyDescent="0.25">
      <c r="H16052" t="s">
        <v>30</v>
      </c>
    </row>
    <row r="16053" spans="8:8" x14ac:dyDescent="0.25">
      <c r="H16053" t="s">
        <v>138</v>
      </c>
    </row>
    <row r="16054" spans="8:8" x14ac:dyDescent="0.25">
      <c r="H16054" t="s">
        <v>14862</v>
      </c>
    </row>
    <row r="16055" spans="8:8" x14ac:dyDescent="0.25">
      <c r="H16055" t="s">
        <v>30</v>
      </c>
    </row>
    <row r="16057" spans="8:8" x14ac:dyDescent="0.25">
      <c r="H16057" t="s">
        <v>14863</v>
      </c>
    </row>
    <row r="16058" spans="8:8" x14ac:dyDescent="0.25">
      <c r="H16058" t="s">
        <v>14864</v>
      </c>
    </row>
    <row r="16059" spans="8:8" x14ac:dyDescent="0.25">
      <c r="H16059" t="s">
        <v>135</v>
      </c>
    </row>
    <row r="16060" spans="8:8" x14ac:dyDescent="0.25">
      <c r="H16060" t="s">
        <v>14865</v>
      </c>
    </row>
    <row r="16061" spans="8:8" x14ac:dyDescent="0.25">
      <c r="H16061" t="s">
        <v>30</v>
      </c>
    </row>
    <row r="16062" spans="8:8" x14ac:dyDescent="0.25">
      <c r="H16062" t="s">
        <v>136</v>
      </c>
    </row>
    <row r="16063" spans="8:8" x14ac:dyDescent="0.25">
      <c r="H16063" t="s">
        <v>14866</v>
      </c>
    </row>
    <row r="16064" spans="8:8" x14ac:dyDescent="0.25">
      <c r="H16064" t="s">
        <v>30</v>
      </c>
    </row>
    <row r="16065" spans="8:8" x14ac:dyDescent="0.25">
      <c r="H16065" t="s">
        <v>137</v>
      </c>
    </row>
    <row r="16066" spans="8:8" x14ac:dyDescent="0.25">
      <c r="H16066" t="s">
        <v>14867</v>
      </c>
    </row>
    <row r="16067" spans="8:8" x14ac:dyDescent="0.25">
      <c r="H16067" t="s">
        <v>30</v>
      </c>
    </row>
    <row r="16068" spans="8:8" x14ac:dyDescent="0.25">
      <c r="H16068" t="s">
        <v>138</v>
      </c>
    </row>
    <row r="16069" spans="8:8" x14ac:dyDescent="0.25">
      <c r="H16069" t="s">
        <v>14868</v>
      </c>
    </row>
    <row r="16070" spans="8:8" x14ac:dyDescent="0.25">
      <c r="H16070" t="s">
        <v>30</v>
      </c>
    </row>
    <row r="16072" spans="8:8" x14ac:dyDescent="0.25">
      <c r="H16072" t="s">
        <v>14869</v>
      </c>
    </row>
    <row r="16073" spans="8:8" x14ac:dyDescent="0.25">
      <c r="H16073" t="s">
        <v>14870</v>
      </c>
    </row>
    <row r="16074" spans="8:8" x14ac:dyDescent="0.25">
      <c r="H16074" t="s">
        <v>135</v>
      </c>
    </row>
    <row r="16075" spans="8:8" x14ac:dyDescent="0.25">
      <c r="H16075" t="s">
        <v>14871</v>
      </c>
    </row>
    <row r="16076" spans="8:8" x14ac:dyDescent="0.25">
      <c r="H16076" t="s">
        <v>30</v>
      </c>
    </row>
    <row r="16077" spans="8:8" x14ac:dyDescent="0.25">
      <c r="H16077" t="s">
        <v>136</v>
      </c>
    </row>
    <row r="16078" spans="8:8" x14ac:dyDescent="0.25">
      <c r="H16078" t="s">
        <v>14872</v>
      </c>
    </row>
    <row r="16079" spans="8:8" x14ac:dyDescent="0.25">
      <c r="H16079" t="s">
        <v>30</v>
      </c>
    </row>
    <row r="16080" spans="8:8" x14ac:dyDescent="0.25">
      <c r="H16080" t="s">
        <v>137</v>
      </c>
    </row>
    <row r="16081" spans="8:8" x14ac:dyDescent="0.25">
      <c r="H16081" t="s">
        <v>14873</v>
      </c>
    </row>
    <row r="16082" spans="8:8" x14ac:dyDescent="0.25">
      <c r="H16082" t="s">
        <v>30</v>
      </c>
    </row>
    <row r="16083" spans="8:8" x14ac:dyDescent="0.25">
      <c r="H16083" t="s">
        <v>138</v>
      </c>
    </row>
    <row r="16084" spans="8:8" x14ac:dyDescent="0.25">
      <c r="H16084" t="s">
        <v>14874</v>
      </c>
    </row>
    <row r="16085" spans="8:8" x14ac:dyDescent="0.25">
      <c r="H16085" t="s">
        <v>30</v>
      </c>
    </row>
    <row r="16087" spans="8:8" x14ac:dyDescent="0.25">
      <c r="H16087" t="s">
        <v>14875</v>
      </c>
    </row>
    <row r="16088" spans="8:8" x14ac:dyDescent="0.25">
      <c r="H16088" t="s">
        <v>14876</v>
      </c>
    </row>
    <row r="16089" spans="8:8" x14ac:dyDescent="0.25">
      <c r="H16089" t="s">
        <v>135</v>
      </c>
    </row>
    <row r="16090" spans="8:8" x14ac:dyDescent="0.25">
      <c r="H16090" t="s">
        <v>14877</v>
      </c>
    </row>
    <row r="16091" spans="8:8" x14ac:dyDescent="0.25">
      <c r="H16091" t="s">
        <v>30</v>
      </c>
    </row>
    <row r="16092" spans="8:8" x14ac:dyDescent="0.25">
      <c r="H16092" t="s">
        <v>136</v>
      </c>
    </row>
    <row r="16093" spans="8:8" x14ac:dyDescent="0.25">
      <c r="H16093" t="s">
        <v>14878</v>
      </c>
    </row>
    <row r="16094" spans="8:8" x14ac:dyDescent="0.25">
      <c r="H16094" t="s">
        <v>30</v>
      </c>
    </row>
    <row r="16095" spans="8:8" x14ac:dyDescent="0.25">
      <c r="H16095" t="s">
        <v>137</v>
      </c>
    </row>
    <row r="16096" spans="8:8" x14ac:dyDescent="0.25">
      <c r="H16096" t="s">
        <v>14879</v>
      </c>
    </row>
    <row r="16097" spans="8:8" x14ac:dyDescent="0.25">
      <c r="H16097" t="s">
        <v>30</v>
      </c>
    </row>
    <row r="16098" spans="8:8" x14ac:dyDescent="0.25">
      <c r="H16098" t="s">
        <v>138</v>
      </c>
    </row>
    <row r="16099" spans="8:8" x14ac:dyDescent="0.25">
      <c r="H16099" t="s">
        <v>14880</v>
      </c>
    </row>
    <row r="16100" spans="8:8" x14ac:dyDescent="0.25">
      <c r="H16100" t="s">
        <v>30</v>
      </c>
    </row>
    <row r="16102" spans="8:8" x14ac:dyDescent="0.25">
      <c r="H16102" t="s">
        <v>14881</v>
      </c>
    </row>
    <row r="16103" spans="8:8" x14ac:dyDescent="0.25">
      <c r="H16103" t="s">
        <v>14882</v>
      </c>
    </row>
    <row r="16104" spans="8:8" x14ac:dyDescent="0.25">
      <c r="H16104" t="s">
        <v>135</v>
      </c>
    </row>
    <row r="16105" spans="8:8" x14ac:dyDescent="0.25">
      <c r="H16105" t="s">
        <v>14883</v>
      </c>
    </row>
    <row r="16106" spans="8:8" x14ac:dyDescent="0.25">
      <c r="H16106" t="s">
        <v>30</v>
      </c>
    </row>
    <row r="16107" spans="8:8" x14ac:dyDescent="0.25">
      <c r="H16107" t="s">
        <v>136</v>
      </c>
    </row>
    <row r="16108" spans="8:8" x14ac:dyDescent="0.25">
      <c r="H16108" t="s">
        <v>14884</v>
      </c>
    </row>
    <row r="16109" spans="8:8" x14ac:dyDescent="0.25">
      <c r="H16109" t="s">
        <v>30</v>
      </c>
    </row>
    <row r="16110" spans="8:8" x14ac:dyDescent="0.25">
      <c r="H16110" t="s">
        <v>137</v>
      </c>
    </row>
    <row r="16111" spans="8:8" x14ac:dyDescent="0.25">
      <c r="H16111" t="s">
        <v>14885</v>
      </c>
    </row>
    <row r="16112" spans="8:8" x14ac:dyDescent="0.25">
      <c r="H16112" t="s">
        <v>30</v>
      </c>
    </row>
    <row r="16113" spans="8:8" x14ac:dyDescent="0.25">
      <c r="H16113" t="s">
        <v>138</v>
      </c>
    </row>
    <row r="16114" spans="8:8" x14ac:dyDescent="0.25">
      <c r="H16114" t="s">
        <v>14886</v>
      </c>
    </row>
    <row r="16115" spans="8:8" x14ac:dyDescent="0.25">
      <c r="H16115" t="s">
        <v>30</v>
      </c>
    </row>
    <row r="16117" spans="8:8" x14ac:dyDescent="0.25">
      <c r="H16117" t="s">
        <v>14887</v>
      </c>
    </row>
    <row r="16118" spans="8:8" x14ac:dyDescent="0.25">
      <c r="H16118" t="s">
        <v>14888</v>
      </c>
    </row>
    <row r="16119" spans="8:8" x14ac:dyDescent="0.25">
      <c r="H16119" t="s">
        <v>135</v>
      </c>
    </row>
    <row r="16120" spans="8:8" x14ac:dyDescent="0.25">
      <c r="H16120" t="s">
        <v>14889</v>
      </c>
    </row>
    <row r="16121" spans="8:8" x14ac:dyDescent="0.25">
      <c r="H16121" t="s">
        <v>30</v>
      </c>
    </row>
    <row r="16122" spans="8:8" x14ac:dyDescent="0.25">
      <c r="H16122" t="s">
        <v>136</v>
      </c>
    </row>
    <row r="16123" spans="8:8" x14ac:dyDescent="0.25">
      <c r="H16123" t="s">
        <v>14890</v>
      </c>
    </row>
    <row r="16124" spans="8:8" x14ac:dyDescent="0.25">
      <c r="H16124" t="s">
        <v>30</v>
      </c>
    </row>
    <row r="16125" spans="8:8" x14ac:dyDescent="0.25">
      <c r="H16125" t="s">
        <v>137</v>
      </c>
    </row>
    <row r="16126" spans="8:8" x14ac:dyDescent="0.25">
      <c r="H16126" t="s">
        <v>14891</v>
      </c>
    </row>
    <row r="16127" spans="8:8" x14ac:dyDescent="0.25">
      <c r="H16127" t="s">
        <v>30</v>
      </c>
    </row>
    <row r="16128" spans="8:8" x14ac:dyDescent="0.25">
      <c r="H16128" t="s">
        <v>138</v>
      </c>
    </row>
    <row r="16129" spans="8:8" x14ac:dyDescent="0.25">
      <c r="H16129" t="s">
        <v>14892</v>
      </c>
    </row>
    <row r="16130" spans="8:8" x14ac:dyDescent="0.25">
      <c r="H16130" t="s">
        <v>30</v>
      </c>
    </row>
    <row r="16132" spans="8:8" x14ac:dyDescent="0.25">
      <c r="H16132" t="s">
        <v>14893</v>
      </c>
    </row>
    <row r="16133" spans="8:8" x14ac:dyDescent="0.25">
      <c r="H16133" t="s">
        <v>14894</v>
      </c>
    </row>
    <row r="16134" spans="8:8" x14ac:dyDescent="0.25">
      <c r="H16134" t="s">
        <v>135</v>
      </c>
    </row>
    <row r="16135" spans="8:8" x14ac:dyDescent="0.25">
      <c r="H16135" t="s">
        <v>14895</v>
      </c>
    </row>
    <row r="16136" spans="8:8" x14ac:dyDescent="0.25">
      <c r="H16136" t="s">
        <v>30</v>
      </c>
    </row>
    <row r="16137" spans="8:8" x14ac:dyDescent="0.25">
      <c r="H16137" t="s">
        <v>136</v>
      </c>
    </row>
    <row r="16138" spans="8:8" x14ac:dyDescent="0.25">
      <c r="H16138" t="s">
        <v>14896</v>
      </c>
    </row>
    <row r="16139" spans="8:8" x14ac:dyDescent="0.25">
      <c r="H16139" t="s">
        <v>30</v>
      </c>
    </row>
    <row r="16140" spans="8:8" x14ac:dyDescent="0.25">
      <c r="H16140" t="s">
        <v>137</v>
      </c>
    </row>
    <row r="16141" spans="8:8" x14ac:dyDescent="0.25">
      <c r="H16141" t="s">
        <v>14897</v>
      </c>
    </row>
    <row r="16142" spans="8:8" x14ac:dyDescent="0.25">
      <c r="H16142" t="s">
        <v>30</v>
      </c>
    </row>
    <row r="16143" spans="8:8" x14ac:dyDescent="0.25">
      <c r="H16143" t="s">
        <v>138</v>
      </c>
    </row>
    <row r="16144" spans="8:8" x14ac:dyDescent="0.25">
      <c r="H16144" t="s">
        <v>14898</v>
      </c>
    </row>
    <row r="16145" spans="8:8" x14ac:dyDescent="0.25">
      <c r="H16145" t="s">
        <v>30</v>
      </c>
    </row>
    <row r="16147" spans="8:8" x14ac:dyDescent="0.25">
      <c r="H16147" t="s">
        <v>14899</v>
      </c>
    </row>
    <row r="16148" spans="8:8" x14ac:dyDescent="0.25">
      <c r="H16148" t="s">
        <v>14900</v>
      </c>
    </row>
    <row r="16149" spans="8:8" x14ac:dyDescent="0.25">
      <c r="H16149" t="s">
        <v>135</v>
      </c>
    </row>
    <row r="16150" spans="8:8" x14ac:dyDescent="0.25">
      <c r="H16150" t="s">
        <v>14901</v>
      </c>
    </row>
    <row r="16151" spans="8:8" x14ac:dyDescent="0.25">
      <c r="H16151" t="s">
        <v>30</v>
      </c>
    </row>
    <row r="16152" spans="8:8" x14ac:dyDescent="0.25">
      <c r="H16152" t="s">
        <v>136</v>
      </c>
    </row>
    <row r="16153" spans="8:8" x14ac:dyDescent="0.25">
      <c r="H16153" t="s">
        <v>14902</v>
      </c>
    </row>
    <row r="16154" spans="8:8" x14ac:dyDescent="0.25">
      <c r="H16154" t="s">
        <v>30</v>
      </c>
    </row>
    <row r="16155" spans="8:8" x14ac:dyDescent="0.25">
      <c r="H16155" t="s">
        <v>137</v>
      </c>
    </row>
    <row r="16156" spans="8:8" x14ac:dyDescent="0.25">
      <c r="H16156" t="s">
        <v>14903</v>
      </c>
    </row>
    <row r="16157" spans="8:8" x14ac:dyDescent="0.25">
      <c r="H16157" t="s">
        <v>30</v>
      </c>
    </row>
    <row r="16158" spans="8:8" x14ac:dyDescent="0.25">
      <c r="H16158" t="s">
        <v>138</v>
      </c>
    </row>
    <row r="16159" spans="8:8" x14ac:dyDescent="0.25">
      <c r="H16159" t="s">
        <v>14904</v>
      </c>
    </row>
    <row r="16160" spans="8:8" x14ac:dyDescent="0.25">
      <c r="H16160" t="s">
        <v>30</v>
      </c>
    </row>
    <row r="16162" spans="8:8" x14ac:dyDescent="0.25">
      <c r="H16162" t="s">
        <v>14905</v>
      </c>
    </row>
    <row r="16163" spans="8:8" x14ac:dyDescent="0.25">
      <c r="H16163" t="s">
        <v>14906</v>
      </c>
    </row>
    <row r="16164" spans="8:8" x14ac:dyDescent="0.25">
      <c r="H16164" t="s">
        <v>135</v>
      </c>
    </row>
    <row r="16165" spans="8:8" x14ac:dyDescent="0.25">
      <c r="H16165" t="s">
        <v>14907</v>
      </c>
    </row>
    <row r="16166" spans="8:8" x14ac:dyDescent="0.25">
      <c r="H16166" t="s">
        <v>30</v>
      </c>
    </row>
    <row r="16167" spans="8:8" x14ac:dyDescent="0.25">
      <c r="H16167" t="s">
        <v>136</v>
      </c>
    </row>
    <row r="16168" spans="8:8" x14ac:dyDescent="0.25">
      <c r="H16168" t="s">
        <v>14908</v>
      </c>
    </row>
    <row r="16169" spans="8:8" x14ac:dyDescent="0.25">
      <c r="H16169" t="s">
        <v>30</v>
      </c>
    </row>
    <row r="16170" spans="8:8" x14ac:dyDescent="0.25">
      <c r="H16170" t="s">
        <v>137</v>
      </c>
    </row>
    <row r="16171" spans="8:8" x14ac:dyDescent="0.25">
      <c r="H16171" t="s">
        <v>14909</v>
      </c>
    </row>
    <row r="16172" spans="8:8" x14ac:dyDescent="0.25">
      <c r="H16172" t="s">
        <v>30</v>
      </c>
    </row>
    <row r="16173" spans="8:8" x14ac:dyDescent="0.25">
      <c r="H16173" t="s">
        <v>138</v>
      </c>
    </row>
    <row r="16174" spans="8:8" x14ac:dyDescent="0.25">
      <c r="H16174" t="s">
        <v>14910</v>
      </c>
    </row>
    <row r="16175" spans="8:8" x14ac:dyDescent="0.25">
      <c r="H16175" t="s">
        <v>30</v>
      </c>
    </row>
    <row r="16177" spans="8:8" x14ac:dyDescent="0.25">
      <c r="H16177" t="s">
        <v>14911</v>
      </c>
    </row>
    <row r="16178" spans="8:8" x14ac:dyDescent="0.25">
      <c r="H16178" t="s">
        <v>14912</v>
      </c>
    </row>
    <row r="16179" spans="8:8" x14ac:dyDescent="0.25">
      <c r="H16179" t="s">
        <v>135</v>
      </c>
    </row>
    <row r="16180" spans="8:8" x14ac:dyDescent="0.25">
      <c r="H16180" t="s">
        <v>14913</v>
      </c>
    </row>
    <row r="16181" spans="8:8" x14ac:dyDescent="0.25">
      <c r="H16181" t="s">
        <v>30</v>
      </c>
    </row>
    <row r="16182" spans="8:8" x14ac:dyDescent="0.25">
      <c r="H16182" t="s">
        <v>136</v>
      </c>
    </row>
    <row r="16183" spans="8:8" x14ac:dyDescent="0.25">
      <c r="H16183" t="s">
        <v>14914</v>
      </c>
    </row>
    <row r="16184" spans="8:8" x14ac:dyDescent="0.25">
      <c r="H16184" t="s">
        <v>30</v>
      </c>
    </row>
    <row r="16185" spans="8:8" x14ac:dyDescent="0.25">
      <c r="H16185" t="s">
        <v>137</v>
      </c>
    </row>
    <row r="16186" spans="8:8" x14ac:dyDescent="0.25">
      <c r="H16186" t="s">
        <v>14915</v>
      </c>
    </row>
    <row r="16187" spans="8:8" x14ac:dyDescent="0.25">
      <c r="H16187" t="s">
        <v>30</v>
      </c>
    </row>
    <row r="16188" spans="8:8" x14ac:dyDescent="0.25">
      <c r="H16188" t="s">
        <v>138</v>
      </c>
    </row>
    <row r="16189" spans="8:8" x14ac:dyDescent="0.25">
      <c r="H16189" t="s">
        <v>14916</v>
      </c>
    </row>
    <row r="16190" spans="8:8" x14ac:dyDescent="0.25">
      <c r="H16190" t="s">
        <v>30</v>
      </c>
    </row>
    <row r="16192" spans="8:8" x14ac:dyDescent="0.25">
      <c r="H16192" t="s">
        <v>14917</v>
      </c>
    </row>
    <row r="16193" spans="8:8" x14ac:dyDescent="0.25">
      <c r="H16193" t="s">
        <v>14918</v>
      </c>
    </row>
    <row r="16194" spans="8:8" x14ac:dyDescent="0.25">
      <c r="H16194" t="s">
        <v>135</v>
      </c>
    </row>
    <row r="16195" spans="8:8" x14ac:dyDescent="0.25">
      <c r="H16195" t="s">
        <v>14919</v>
      </c>
    </row>
    <row r="16196" spans="8:8" x14ac:dyDescent="0.25">
      <c r="H16196" t="s">
        <v>30</v>
      </c>
    </row>
    <row r="16197" spans="8:8" x14ac:dyDescent="0.25">
      <c r="H16197" t="s">
        <v>136</v>
      </c>
    </row>
    <row r="16198" spans="8:8" x14ac:dyDescent="0.25">
      <c r="H16198" t="s">
        <v>14920</v>
      </c>
    </row>
    <row r="16199" spans="8:8" x14ac:dyDescent="0.25">
      <c r="H16199" t="s">
        <v>30</v>
      </c>
    </row>
    <row r="16200" spans="8:8" x14ac:dyDescent="0.25">
      <c r="H16200" t="s">
        <v>137</v>
      </c>
    </row>
    <row r="16201" spans="8:8" x14ac:dyDescent="0.25">
      <c r="H16201" t="s">
        <v>14921</v>
      </c>
    </row>
    <row r="16202" spans="8:8" x14ac:dyDescent="0.25">
      <c r="H16202" t="s">
        <v>30</v>
      </c>
    </row>
    <row r="16203" spans="8:8" x14ac:dyDescent="0.25">
      <c r="H16203" t="s">
        <v>138</v>
      </c>
    </row>
    <row r="16204" spans="8:8" x14ac:dyDescent="0.25">
      <c r="H16204" t="s">
        <v>14922</v>
      </c>
    </row>
    <row r="16205" spans="8:8" x14ac:dyDescent="0.25">
      <c r="H16205" t="s">
        <v>30</v>
      </c>
    </row>
    <row r="16207" spans="8:8" x14ac:dyDescent="0.25">
      <c r="H16207" t="s">
        <v>14923</v>
      </c>
    </row>
    <row r="16208" spans="8:8" x14ac:dyDescent="0.25">
      <c r="H16208" t="s">
        <v>14924</v>
      </c>
    </row>
    <row r="16209" spans="8:8" x14ac:dyDescent="0.25">
      <c r="H16209" t="s">
        <v>135</v>
      </c>
    </row>
    <row r="16210" spans="8:8" x14ac:dyDescent="0.25">
      <c r="H16210" t="s">
        <v>14925</v>
      </c>
    </row>
    <row r="16211" spans="8:8" x14ac:dyDescent="0.25">
      <c r="H16211" t="s">
        <v>30</v>
      </c>
    </row>
    <row r="16212" spans="8:8" x14ac:dyDescent="0.25">
      <c r="H16212" t="s">
        <v>136</v>
      </c>
    </row>
    <row r="16213" spans="8:8" x14ac:dyDescent="0.25">
      <c r="H16213" t="s">
        <v>14926</v>
      </c>
    </row>
    <row r="16214" spans="8:8" x14ac:dyDescent="0.25">
      <c r="H16214" t="s">
        <v>30</v>
      </c>
    </row>
    <row r="16215" spans="8:8" x14ac:dyDescent="0.25">
      <c r="H16215" t="s">
        <v>137</v>
      </c>
    </row>
    <row r="16216" spans="8:8" x14ac:dyDescent="0.25">
      <c r="H16216" t="s">
        <v>14927</v>
      </c>
    </row>
    <row r="16217" spans="8:8" x14ac:dyDescent="0.25">
      <c r="H16217" t="s">
        <v>30</v>
      </c>
    </row>
    <row r="16218" spans="8:8" x14ac:dyDescent="0.25">
      <c r="H16218" t="s">
        <v>138</v>
      </c>
    </row>
    <row r="16219" spans="8:8" x14ac:dyDescent="0.25">
      <c r="H16219" t="s">
        <v>14928</v>
      </c>
    </row>
    <row r="16220" spans="8:8" x14ac:dyDescent="0.25">
      <c r="H16220" t="s">
        <v>30</v>
      </c>
    </row>
    <row r="16222" spans="8:8" x14ac:dyDescent="0.25">
      <c r="H16222" t="s">
        <v>14929</v>
      </c>
    </row>
    <row r="16223" spans="8:8" x14ac:dyDescent="0.25">
      <c r="H16223" t="s">
        <v>14930</v>
      </c>
    </row>
    <row r="16224" spans="8:8" x14ac:dyDescent="0.25">
      <c r="H16224" t="s">
        <v>135</v>
      </c>
    </row>
    <row r="16225" spans="8:8" x14ac:dyDescent="0.25">
      <c r="H16225" t="s">
        <v>14931</v>
      </c>
    </row>
    <row r="16226" spans="8:8" x14ac:dyDescent="0.25">
      <c r="H16226" t="s">
        <v>30</v>
      </c>
    </row>
    <row r="16227" spans="8:8" x14ac:dyDescent="0.25">
      <c r="H16227" t="s">
        <v>136</v>
      </c>
    </row>
    <row r="16228" spans="8:8" x14ac:dyDescent="0.25">
      <c r="H16228" t="s">
        <v>14932</v>
      </c>
    </row>
    <row r="16229" spans="8:8" x14ac:dyDescent="0.25">
      <c r="H16229" t="s">
        <v>30</v>
      </c>
    </row>
    <row r="16230" spans="8:8" x14ac:dyDescent="0.25">
      <c r="H16230" t="s">
        <v>137</v>
      </c>
    </row>
    <row r="16231" spans="8:8" x14ac:dyDescent="0.25">
      <c r="H16231" t="s">
        <v>14933</v>
      </c>
    </row>
    <row r="16232" spans="8:8" x14ac:dyDescent="0.25">
      <c r="H16232" t="s">
        <v>30</v>
      </c>
    </row>
    <row r="16233" spans="8:8" x14ac:dyDescent="0.25">
      <c r="H16233" t="s">
        <v>138</v>
      </c>
    </row>
    <row r="16234" spans="8:8" x14ac:dyDescent="0.25">
      <c r="H16234" t="s">
        <v>14934</v>
      </c>
    </row>
    <row r="16235" spans="8:8" x14ac:dyDescent="0.25">
      <c r="H16235" t="s">
        <v>30</v>
      </c>
    </row>
    <row r="16237" spans="8:8" x14ac:dyDescent="0.25">
      <c r="H16237" t="s">
        <v>14935</v>
      </c>
    </row>
    <row r="16238" spans="8:8" x14ac:dyDescent="0.25">
      <c r="H16238" t="s">
        <v>14936</v>
      </c>
    </row>
    <row r="16239" spans="8:8" x14ac:dyDescent="0.25">
      <c r="H16239" t="s">
        <v>135</v>
      </c>
    </row>
    <row r="16240" spans="8:8" x14ac:dyDescent="0.25">
      <c r="H16240" t="s">
        <v>14937</v>
      </c>
    </row>
    <row r="16241" spans="8:8" x14ac:dyDescent="0.25">
      <c r="H16241" t="s">
        <v>30</v>
      </c>
    </row>
    <row r="16242" spans="8:8" x14ac:dyDescent="0.25">
      <c r="H16242" t="s">
        <v>136</v>
      </c>
    </row>
    <row r="16243" spans="8:8" x14ac:dyDescent="0.25">
      <c r="H16243" t="s">
        <v>14938</v>
      </c>
    </row>
    <row r="16244" spans="8:8" x14ac:dyDescent="0.25">
      <c r="H16244" t="s">
        <v>30</v>
      </c>
    </row>
    <row r="16245" spans="8:8" x14ac:dyDescent="0.25">
      <c r="H16245" t="s">
        <v>137</v>
      </c>
    </row>
    <row r="16246" spans="8:8" x14ac:dyDescent="0.25">
      <c r="H16246" t="s">
        <v>14939</v>
      </c>
    </row>
    <row r="16247" spans="8:8" x14ac:dyDescent="0.25">
      <c r="H16247" t="s">
        <v>30</v>
      </c>
    </row>
    <row r="16248" spans="8:8" x14ac:dyDescent="0.25">
      <c r="H16248" t="s">
        <v>138</v>
      </c>
    </row>
    <row r="16249" spans="8:8" x14ac:dyDescent="0.25">
      <c r="H16249" t="s">
        <v>14940</v>
      </c>
    </row>
    <row r="16250" spans="8:8" x14ac:dyDescent="0.25">
      <c r="H16250" t="s">
        <v>30</v>
      </c>
    </row>
    <row r="16252" spans="8:8" x14ac:dyDescent="0.25">
      <c r="H16252" t="s">
        <v>14941</v>
      </c>
    </row>
    <row r="16253" spans="8:8" x14ac:dyDescent="0.25">
      <c r="H16253" t="s">
        <v>14942</v>
      </c>
    </row>
    <row r="16254" spans="8:8" x14ac:dyDescent="0.25">
      <c r="H16254" t="s">
        <v>135</v>
      </c>
    </row>
    <row r="16255" spans="8:8" x14ac:dyDescent="0.25">
      <c r="H16255" t="s">
        <v>14943</v>
      </c>
    </row>
    <row r="16256" spans="8:8" x14ac:dyDescent="0.25">
      <c r="H16256" t="s">
        <v>30</v>
      </c>
    </row>
    <row r="16257" spans="8:8" x14ac:dyDescent="0.25">
      <c r="H16257" t="s">
        <v>136</v>
      </c>
    </row>
    <row r="16258" spans="8:8" x14ac:dyDescent="0.25">
      <c r="H16258" t="s">
        <v>14944</v>
      </c>
    </row>
    <row r="16259" spans="8:8" x14ac:dyDescent="0.25">
      <c r="H16259" t="s">
        <v>30</v>
      </c>
    </row>
    <row r="16260" spans="8:8" x14ac:dyDescent="0.25">
      <c r="H16260" t="s">
        <v>137</v>
      </c>
    </row>
    <row r="16261" spans="8:8" x14ac:dyDescent="0.25">
      <c r="H16261" t="s">
        <v>14945</v>
      </c>
    </row>
    <row r="16262" spans="8:8" x14ac:dyDescent="0.25">
      <c r="H16262" t="s">
        <v>30</v>
      </c>
    </row>
    <row r="16263" spans="8:8" x14ac:dyDescent="0.25">
      <c r="H16263" t="s">
        <v>138</v>
      </c>
    </row>
    <row r="16264" spans="8:8" x14ac:dyDescent="0.25">
      <c r="H16264" t="s">
        <v>14946</v>
      </c>
    </row>
    <row r="16265" spans="8:8" x14ac:dyDescent="0.25">
      <c r="H16265" t="s">
        <v>30</v>
      </c>
    </row>
    <row r="16267" spans="8:8" x14ac:dyDescent="0.25">
      <c r="H16267" t="s">
        <v>14947</v>
      </c>
    </row>
    <row r="16268" spans="8:8" x14ac:dyDescent="0.25">
      <c r="H16268" t="s">
        <v>14948</v>
      </c>
    </row>
    <row r="16269" spans="8:8" x14ac:dyDescent="0.25">
      <c r="H16269" t="s">
        <v>135</v>
      </c>
    </row>
    <row r="16270" spans="8:8" x14ac:dyDescent="0.25">
      <c r="H16270" t="s">
        <v>14949</v>
      </c>
    </row>
    <row r="16271" spans="8:8" x14ac:dyDescent="0.25">
      <c r="H16271" t="s">
        <v>30</v>
      </c>
    </row>
    <row r="16272" spans="8:8" x14ac:dyDescent="0.25">
      <c r="H16272" t="s">
        <v>136</v>
      </c>
    </row>
    <row r="16273" spans="8:8" x14ac:dyDescent="0.25">
      <c r="H16273" t="s">
        <v>14950</v>
      </c>
    </row>
    <row r="16274" spans="8:8" x14ac:dyDescent="0.25">
      <c r="H16274" t="s">
        <v>30</v>
      </c>
    </row>
    <row r="16275" spans="8:8" x14ac:dyDescent="0.25">
      <c r="H16275" t="s">
        <v>137</v>
      </c>
    </row>
    <row r="16276" spans="8:8" x14ac:dyDescent="0.25">
      <c r="H16276" t="s">
        <v>14951</v>
      </c>
    </row>
    <row r="16277" spans="8:8" x14ac:dyDescent="0.25">
      <c r="H16277" t="s">
        <v>30</v>
      </c>
    </row>
    <row r="16278" spans="8:8" x14ac:dyDescent="0.25">
      <c r="H16278" t="s">
        <v>138</v>
      </c>
    </row>
    <row r="16279" spans="8:8" x14ac:dyDescent="0.25">
      <c r="H16279" t="s">
        <v>14952</v>
      </c>
    </row>
    <row r="16280" spans="8:8" x14ac:dyDescent="0.25">
      <c r="H16280" t="s">
        <v>30</v>
      </c>
    </row>
    <row r="16282" spans="8:8" x14ac:dyDescent="0.25">
      <c r="H16282" t="s">
        <v>14953</v>
      </c>
    </row>
    <row r="16283" spans="8:8" x14ac:dyDescent="0.25">
      <c r="H16283" t="s">
        <v>14954</v>
      </c>
    </row>
    <row r="16284" spans="8:8" x14ac:dyDescent="0.25">
      <c r="H16284" t="s">
        <v>135</v>
      </c>
    </row>
    <row r="16285" spans="8:8" x14ac:dyDescent="0.25">
      <c r="H16285" t="s">
        <v>14955</v>
      </c>
    </row>
    <row r="16286" spans="8:8" x14ac:dyDescent="0.25">
      <c r="H16286" t="s">
        <v>30</v>
      </c>
    </row>
    <row r="16287" spans="8:8" x14ac:dyDescent="0.25">
      <c r="H16287" t="s">
        <v>136</v>
      </c>
    </row>
    <row r="16288" spans="8:8" x14ac:dyDescent="0.25">
      <c r="H16288" t="s">
        <v>14956</v>
      </c>
    </row>
    <row r="16289" spans="8:8" x14ac:dyDescent="0.25">
      <c r="H16289" t="s">
        <v>30</v>
      </c>
    </row>
    <row r="16290" spans="8:8" x14ac:dyDescent="0.25">
      <c r="H16290" t="s">
        <v>137</v>
      </c>
    </row>
    <row r="16291" spans="8:8" x14ac:dyDescent="0.25">
      <c r="H16291" t="s">
        <v>14957</v>
      </c>
    </row>
    <row r="16292" spans="8:8" x14ac:dyDescent="0.25">
      <c r="H16292" t="s">
        <v>30</v>
      </c>
    </row>
    <row r="16293" spans="8:8" x14ac:dyDescent="0.25">
      <c r="H16293" t="s">
        <v>138</v>
      </c>
    </row>
    <row r="16294" spans="8:8" x14ac:dyDescent="0.25">
      <c r="H16294" t="s">
        <v>14958</v>
      </c>
    </row>
    <row r="16295" spans="8:8" x14ac:dyDescent="0.25">
      <c r="H16295" t="s">
        <v>30</v>
      </c>
    </row>
    <row r="16297" spans="8:8" x14ac:dyDescent="0.25">
      <c r="H16297" t="s">
        <v>14959</v>
      </c>
    </row>
    <row r="16298" spans="8:8" x14ac:dyDescent="0.25">
      <c r="H16298" t="s">
        <v>14960</v>
      </c>
    </row>
    <row r="16299" spans="8:8" x14ac:dyDescent="0.25">
      <c r="H16299" t="s">
        <v>135</v>
      </c>
    </row>
    <row r="16300" spans="8:8" x14ac:dyDescent="0.25">
      <c r="H16300" t="s">
        <v>14961</v>
      </c>
    </row>
    <row r="16301" spans="8:8" x14ac:dyDescent="0.25">
      <c r="H16301" t="s">
        <v>30</v>
      </c>
    </row>
    <row r="16302" spans="8:8" x14ac:dyDescent="0.25">
      <c r="H16302" t="s">
        <v>136</v>
      </c>
    </row>
    <row r="16303" spans="8:8" x14ac:dyDescent="0.25">
      <c r="H16303" t="s">
        <v>14962</v>
      </c>
    </row>
    <row r="16304" spans="8:8" x14ac:dyDescent="0.25">
      <c r="H16304" t="s">
        <v>30</v>
      </c>
    </row>
    <row r="16305" spans="8:8" x14ac:dyDescent="0.25">
      <c r="H16305" t="s">
        <v>137</v>
      </c>
    </row>
    <row r="16306" spans="8:8" x14ac:dyDescent="0.25">
      <c r="H16306" t="s">
        <v>14963</v>
      </c>
    </row>
    <row r="16307" spans="8:8" x14ac:dyDescent="0.25">
      <c r="H16307" t="s">
        <v>30</v>
      </c>
    </row>
    <row r="16308" spans="8:8" x14ac:dyDescent="0.25">
      <c r="H16308" t="s">
        <v>138</v>
      </c>
    </row>
    <row r="16309" spans="8:8" x14ac:dyDescent="0.25">
      <c r="H16309" t="s">
        <v>14964</v>
      </c>
    </row>
    <row r="16310" spans="8:8" x14ac:dyDescent="0.25">
      <c r="H16310" t="s">
        <v>30</v>
      </c>
    </row>
    <row r="16312" spans="8:8" x14ac:dyDescent="0.25">
      <c r="H16312" t="s">
        <v>14965</v>
      </c>
    </row>
    <row r="16313" spans="8:8" x14ac:dyDescent="0.25">
      <c r="H16313" t="s">
        <v>14966</v>
      </c>
    </row>
    <row r="16314" spans="8:8" x14ac:dyDescent="0.25">
      <c r="H16314" t="s">
        <v>135</v>
      </c>
    </row>
    <row r="16315" spans="8:8" x14ac:dyDescent="0.25">
      <c r="H16315" t="s">
        <v>14967</v>
      </c>
    </row>
    <row r="16316" spans="8:8" x14ac:dyDescent="0.25">
      <c r="H16316" t="s">
        <v>30</v>
      </c>
    </row>
    <row r="16317" spans="8:8" x14ac:dyDescent="0.25">
      <c r="H16317" t="s">
        <v>136</v>
      </c>
    </row>
    <row r="16318" spans="8:8" x14ac:dyDescent="0.25">
      <c r="H16318" t="s">
        <v>14968</v>
      </c>
    </row>
    <row r="16319" spans="8:8" x14ac:dyDescent="0.25">
      <c r="H16319" t="s">
        <v>30</v>
      </c>
    </row>
    <row r="16320" spans="8:8" x14ac:dyDescent="0.25">
      <c r="H16320" t="s">
        <v>137</v>
      </c>
    </row>
    <row r="16321" spans="8:8" x14ac:dyDescent="0.25">
      <c r="H16321" t="s">
        <v>14969</v>
      </c>
    </row>
    <row r="16322" spans="8:8" x14ac:dyDescent="0.25">
      <c r="H16322" t="s">
        <v>30</v>
      </c>
    </row>
    <row r="16323" spans="8:8" x14ac:dyDescent="0.25">
      <c r="H16323" t="s">
        <v>138</v>
      </c>
    </row>
    <row r="16324" spans="8:8" x14ac:dyDescent="0.25">
      <c r="H16324" t="s">
        <v>14970</v>
      </c>
    </row>
    <row r="16325" spans="8:8" x14ac:dyDescent="0.25">
      <c r="H16325" t="s">
        <v>30</v>
      </c>
    </row>
    <row r="16327" spans="8:8" x14ac:dyDescent="0.25">
      <c r="H16327" t="s">
        <v>14971</v>
      </c>
    </row>
    <row r="16328" spans="8:8" x14ac:dyDescent="0.25">
      <c r="H16328" t="s">
        <v>14972</v>
      </c>
    </row>
    <row r="16329" spans="8:8" x14ac:dyDescent="0.25">
      <c r="H16329" t="s">
        <v>135</v>
      </c>
    </row>
    <row r="16330" spans="8:8" x14ac:dyDescent="0.25">
      <c r="H16330" t="s">
        <v>14973</v>
      </c>
    </row>
    <row r="16331" spans="8:8" x14ac:dyDescent="0.25">
      <c r="H16331" t="s">
        <v>30</v>
      </c>
    </row>
    <row r="16332" spans="8:8" x14ac:dyDescent="0.25">
      <c r="H16332" t="s">
        <v>136</v>
      </c>
    </row>
    <row r="16333" spans="8:8" x14ac:dyDescent="0.25">
      <c r="H16333" t="s">
        <v>14974</v>
      </c>
    </row>
    <row r="16334" spans="8:8" x14ac:dyDescent="0.25">
      <c r="H16334" t="s">
        <v>30</v>
      </c>
    </row>
    <row r="16335" spans="8:8" x14ac:dyDescent="0.25">
      <c r="H16335" t="s">
        <v>137</v>
      </c>
    </row>
    <row r="16336" spans="8:8" x14ac:dyDescent="0.25">
      <c r="H16336" t="s">
        <v>14975</v>
      </c>
    </row>
    <row r="16337" spans="8:8" x14ac:dyDescent="0.25">
      <c r="H16337" t="s">
        <v>30</v>
      </c>
    </row>
    <row r="16338" spans="8:8" x14ac:dyDescent="0.25">
      <c r="H16338" t="s">
        <v>138</v>
      </c>
    </row>
    <row r="16339" spans="8:8" x14ac:dyDescent="0.25">
      <c r="H16339" t="s">
        <v>14976</v>
      </c>
    </row>
    <row r="16340" spans="8:8" x14ac:dyDescent="0.25">
      <c r="H16340" t="s">
        <v>30</v>
      </c>
    </row>
    <row r="16342" spans="8:8" x14ac:dyDescent="0.25">
      <c r="H16342" t="s">
        <v>14977</v>
      </c>
    </row>
    <row r="16343" spans="8:8" x14ac:dyDescent="0.25">
      <c r="H16343" t="s">
        <v>14978</v>
      </c>
    </row>
    <row r="16344" spans="8:8" x14ac:dyDescent="0.25">
      <c r="H16344" t="s">
        <v>135</v>
      </c>
    </row>
    <row r="16345" spans="8:8" x14ac:dyDescent="0.25">
      <c r="H16345" t="s">
        <v>14979</v>
      </c>
    </row>
    <row r="16346" spans="8:8" x14ac:dyDescent="0.25">
      <c r="H16346" t="s">
        <v>30</v>
      </c>
    </row>
    <row r="16347" spans="8:8" x14ac:dyDescent="0.25">
      <c r="H16347" t="s">
        <v>136</v>
      </c>
    </row>
    <row r="16348" spans="8:8" x14ac:dyDescent="0.25">
      <c r="H16348" t="s">
        <v>14980</v>
      </c>
    </row>
    <row r="16349" spans="8:8" x14ac:dyDescent="0.25">
      <c r="H16349" t="s">
        <v>30</v>
      </c>
    </row>
    <row r="16350" spans="8:8" x14ac:dyDescent="0.25">
      <c r="H16350" t="s">
        <v>137</v>
      </c>
    </row>
    <row r="16351" spans="8:8" x14ac:dyDescent="0.25">
      <c r="H16351" t="s">
        <v>14981</v>
      </c>
    </row>
    <row r="16352" spans="8:8" x14ac:dyDescent="0.25">
      <c r="H16352" t="s">
        <v>30</v>
      </c>
    </row>
    <row r="16353" spans="8:8" x14ac:dyDescent="0.25">
      <c r="H16353" t="s">
        <v>138</v>
      </c>
    </row>
    <row r="16354" spans="8:8" x14ac:dyDescent="0.25">
      <c r="H16354" t="s">
        <v>14982</v>
      </c>
    </row>
    <row r="16355" spans="8:8" x14ac:dyDescent="0.25">
      <c r="H16355" t="s">
        <v>30</v>
      </c>
    </row>
    <row r="16357" spans="8:8" x14ac:dyDescent="0.25">
      <c r="H16357" t="s">
        <v>14983</v>
      </c>
    </row>
    <row r="16358" spans="8:8" x14ac:dyDescent="0.25">
      <c r="H16358" t="s">
        <v>14984</v>
      </c>
    </row>
    <row r="16359" spans="8:8" x14ac:dyDescent="0.25">
      <c r="H16359" t="s">
        <v>135</v>
      </c>
    </row>
    <row r="16360" spans="8:8" x14ac:dyDescent="0.25">
      <c r="H16360" t="s">
        <v>14985</v>
      </c>
    </row>
    <row r="16361" spans="8:8" x14ac:dyDescent="0.25">
      <c r="H16361" t="s">
        <v>30</v>
      </c>
    </row>
    <row r="16362" spans="8:8" x14ac:dyDescent="0.25">
      <c r="H16362" t="s">
        <v>136</v>
      </c>
    </row>
    <row r="16363" spans="8:8" x14ac:dyDescent="0.25">
      <c r="H16363" t="s">
        <v>14986</v>
      </c>
    </row>
    <row r="16364" spans="8:8" x14ac:dyDescent="0.25">
      <c r="H16364" t="s">
        <v>30</v>
      </c>
    </row>
    <row r="16365" spans="8:8" x14ac:dyDescent="0.25">
      <c r="H16365" t="s">
        <v>137</v>
      </c>
    </row>
    <row r="16366" spans="8:8" x14ac:dyDescent="0.25">
      <c r="H16366" t="s">
        <v>14987</v>
      </c>
    </row>
    <row r="16367" spans="8:8" x14ac:dyDescent="0.25">
      <c r="H16367" t="s">
        <v>30</v>
      </c>
    </row>
    <row r="16368" spans="8:8" x14ac:dyDescent="0.25">
      <c r="H16368" t="s">
        <v>138</v>
      </c>
    </row>
    <row r="16369" spans="8:8" x14ac:dyDescent="0.25">
      <c r="H16369" t="s">
        <v>14988</v>
      </c>
    </row>
    <row r="16370" spans="8:8" x14ac:dyDescent="0.25">
      <c r="H16370" t="s">
        <v>30</v>
      </c>
    </row>
    <row r="16372" spans="8:8" x14ac:dyDescent="0.25">
      <c r="H16372" t="s">
        <v>14989</v>
      </c>
    </row>
    <row r="16373" spans="8:8" x14ac:dyDescent="0.25">
      <c r="H16373" t="s">
        <v>14990</v>
      </c>
    </row>
    <row r="16374" spans="8:8" x14ac:dyDescent="0.25">
      <c r="H16374" t="s">
        <v>135</v>
      </c>
    </row>
    <row r="16375" spans="8:8" x14ac:dyDescent="0.25">
      <c r="H16375" t="s">
        <v>14991</v>
      </c>
    </row>
    <row r="16376" spans="8:8" x14ac:dyDescent="0.25">
      <c r="H16376" t="s">
        <v>30</v>
      </c>
    </row>
    <row r="16377" spans="8:8" x14ac:dyDescent="0.25">
      <c r="H16377" t="s">
        <v>136</v>
      </c>
    </row>
    <row r="16378" spans="8:8" x14ac:dyDescent="0.25">
      <c r="H16378" t="s">
        <v>14992</v>
      </c>
    </row>
    <row r="16379" spans="8:8" x14ac:dyDescent="0.25">
      <c r="H16379" t="s">
        <v>30</v>
      </c>
    </row>
    <row r="16380" spans="8:8" x14ac:dyDescent="0.25">
      <c r="H16380" t="s">
        <v>137</v>
      </c>
    </row>
    <row r="16381" spans="8:8" x14ac:dyDescent="0.25">
      <c r="H16381" t="s">
        <v>14993</v>
      </c>
    </row>
    <row r="16382" spans="8:8" x14ac:dyDescent="0.25">
      <c r="H16382" t="s">
        <v>30</v>
      </c>
    </row>
    <row r="16383" spans="8:8" x14ac:dyDescent="0.25">
      <c r="H16383" t="s">
        <v>138</v>
      </c>
    </row>
    <row r="16384" spans="8:8" x14ac:dyDescent="0.25">
      <c r="H16384" t="s">
        <v>14994</v>
      </c>
    </row>
    <row r="16385" spans="8:8" x14ac:dyDescent="0.25">
      <c r="H16385" t="s">
        <v>30</v>
      </c>
    </row>
    <row r="16387" spans="8:8" x14ac:dyDescent="0.25">
      <c r="H16387" t="s">
        <v>14995</v>
      </c>
    </row>
    <row r="16388" spans="8:8" x14ac:dyDescent="0.25">
      <c r="H16388" t="s">
        <v>14996</v>
      </c>
    </row>
    <row r="16389" spans="8:8" x14ac:dyDescent="0.25">
      <c r="H16389" t="s">
        <v>135</v>
      </c>
    </row>
    <row r="16390" spans="8:8" x14ac:dyDescent="0.25">
      <c r="H16390" t="s">
        <v>14997</v>
      </c>
    </row>
    <row r="16391" spans="8:8" x14ac:dyDescent="0.25">
      <c r="H16391" t="s">
        <v>30</v>
      </c>
    </row>
    <row r="16392" spans="8:8" x14ac:dyDescent="0.25">
      <c r="H16392" t="s">
        <v>136</v>
      </c>
    </row>
    <row r="16393" spans="8:8" x14ac:dyDescent="0.25">
      <c r="H16393" t="s">
        <v>14998</v>
      </c>
    </row>
    <row r="16394" spans="8:8" x14ac:dyDescent="0.25">
      <c r="H16394" t="s">
        <v>30</v>
      </c>
    </row>
    <row r="16395" spans="8:8" x14ac:dyDescent="0.25">
      <c r="H16395" t="s">
        <v>137</v>
      </c>
    </row>
    <row r="16396" spans="8:8" x14ac:dyDescent="0.25">
      <c r="H16396" t="s">
        <v>14999</v>
      </c>
    </row>
    <row r="16397" spans="8:8" x14ac:dyDescent="0.25">
      <c r="H16397" t="s">
        <v>30</v>
      </c>
    </row>
    <row r="16398" spans="8:8" x14ac:dyDescent="0.25">
      <c r="H16398" t="s">
        <v>138</v>
      </c>
    </row>
    <row r="16399" spans="8:8" x14ac:dyDescent="0.25">
      <c r="H16399" t="s">
        <v>15000</v>
      </c>
    </row>
    <row r="16400" spans="8:8" x14ac:dyDescent="0.25">
      <c r="H16400" t="s">
        <v>30</v>
      </c>
    </row>
    <row r="16402" spans="8:8" x14ac:dyDescent="0.25">
      <c r="H16402" t="s">
        <v>15001</v>
      </c>
    </row>
    <row r="16403" spans="8:8" x14ac:dyDescent="0.25">
      <c r="H16403" t="s">
        <v>15002</v>
      </c>
    </row>
    <row r="16404" spans="8:8" x14ac:dyDescent="0.25">
      <c r="H16404" t="s">
        <v>135</v>
      </c>
    </row>
    <row r="16405" spans="8:8" x14ac:dyDescent="0.25">
      <c r="H16405" t="s">
        <v>15003</v>
      </c>
    </row>
    <row r="16406" spans="8:8" x14ac:dyDescent="0.25">
      <c r="H16406" t="s">
        <v>30</v>
      </c>
    </row>
    <row r="16407" spans="8:8" x14ac:dyDescent="0.25">
      <c r="H16407" t="s">
        <v>136</v>
      </c>
    </row>
    <row r="16408" spans="8:8" x14ac:dyDescent="0.25">
      <c r="H16408" t="s">
        <v>15004</v>
      </c>
    </row>
    <row r="16409" spans="8:8" x14ac:dyDescent="0.25">
      <c r="H16409" t="s">
        <v>30</v>
      </c>
    </row>
    <row r="16410" spans="8:8" x14ac:dyDescent="0.25">
      <c r="H16410" t="s">
        <v>137</v>
      </c>
    </row>
    <row r="16411" spans="8:8" x14ac:dyDescent="0.25">
      <c r="H16411" t="s">
        <v>15005</v>
      </c>
    </row>
    <row r="16412" spans="8:8" x14ac:dyDescent="0.25">
      <c r="H16412" t="s">
        <v>30</v>
      </c>
    </row>
    <row r="16413" spans="8:8" x14ac:dyDescent="0.25">
      <c r="H16413" t="s">
        <v>138</v>
      </c>
    </row>
    <row r="16414" spans="8:8" x14ac:dyDescent="0.25">
      <c r="H16414" t="s">
        <v>15006</v>
      </c>
    </row>
    <row r="16415" spans="8:8" x14ac:dyDescent="0.25">
      <c r="H16415" t="s">
        <v>30</v>
      </c>
    </row>
    <row r="16417" spans="8:8" x14ac:dyDescent="0.25">
      <c r="H16417" t="s">
        <v>15007</v>
      </c>
    </row>
    <row r="16418" spans="8:8" x14ac:dyDescent="0.25">
      <c r="H16418" t="s">
        <v>15008</v>
      </c>
    </row>
    <row r="16419" spans="8:8" x14ac:dyDescent="0.25">
      <c r="H16419" t="s">
        <v>135</v>
      </c>
    </row>
    <row r="16420" spans="8:8" x14ac:dyDescent="0.25">
      <c r="H16420" t="s">
        <v>15009</v>
      </c>
    </row>
    <row r="16421" spans="8:8" x14ac:dyDescent="0.25">
      <c r="H16421" t="s">
        <v>30</v>
      </c>
    </row>
    <row r="16422" spans="8:8" x14ac:dyDescent="0.25">
      <c r="H16422" t="s">
        <v>136</v>
      </c>
    </row>
    <row r="16423" spans="8:8" x14ac:dyDescent="0.25">
      <c r="H16423" t="s">
        <v>15010</v>
      </c>
    </row>
    <row r="16424" spans="8:8" x14ac:dyDescent="0.25">
      <c r="H16424" t="s">
        <v>30</v>
      </c>
    </row>
    <row r="16425" spans="8:8" x14ac:dyDescent="0.25">
      <c r="H16425" t="s">
        <v>137</v>
      </c>
    </row>
    <row r="16426" spans="8:8" x14ac:dyDescent="0.25">
      <c r="H16426" t="s">
        <v>15011</v>
      </c>
    </row>
    <row r="16427" spans="8:8" x14ac:dyDescent="0.25">
      <c r="H16427" t="s">
        <v>30</v>
      </c>
    </row>
    <row r="16428" spans="8:8" x14ac:dyDescent="0.25">
      <c r="H16428" t="s">
        <v>138</v>
      </c>
    </row>
    <row r="16429" spans="8:8" x14ac:dyDescent="0.25">
      <c r="H16429" t="s">
        <v>15012</v>
      </c>
    </row>
    <row r="16430" spans="8:8" x14ac:dyDescent="0.25">
      <c r="H16430" t="s">
        <v>30</v>
      </c>
    </row>
    <row r="16432" spans="8:8" x14ac:dyDescent="0.25">
      <c r="H16432" t="s">
        <v>15013</v>
      </c>
    </row>
    <row r="16433" spans="8:8" x14ac:dyDescent="0.25">
      <c r="H16433" t="s">
        <v>15014</v>
      </c>
    </row>
    <row r="16434" spans="8:8" x14ac:dyDescent="0.25">
      <c r="H16434" t="s">
        <v>135</v>
      </c>
    </row>
    <row r="16435" spans="8:8" x14ac:dyDescent="0.25">
      <c r="H16435" t="s">
        <v>15015</v>
      </c>
    </row>
    <row r="16436" spans="8:8" x14ac:dyDescent="0.25">
      <c r="H16436" t="s">
        <v>30</v>
      </c>
    </row>
    <row r="16437" spans="8:8" x14ac:dyDescent="0.25">
      <c r="H16437" t="s">
        <v>136</v>
      </c>
    </row>
    <row r="16438" spans="8:8" x14ac:dyDescent="0.25">
      <c r="H16438" t="s">
        <v>15016</v>
      </c>
    </row>
    <row r="16439" spans="8:8" x14ac:dyDescent="0.25">
      <c r="H16439" t="s">
        <v>30</v>
      </c>
    </row>
    <row r="16440" spans="8:8" x14ac:dyDescent="0.25">
      <c r="H16440" t="s">
        <v>137</v>
      </c>
    </row>
    <row r="16441" spans="8:8" x14ac:dyDescent="0.25">
      <c r="H16441" t="s">
        <v>15017</v>
      </c>
    </row>
    <row r="16442" spans="8:8" x14ac:dyDescent="0.25">
      <c r="H16442" t="s">
        <v>30</v>
      </c>
    </row>
    <row r="16443" spans="8:8" x14ac:dyDescent="0.25">
      <c r="H16443" t="s">
        <v>138</v>
      </c>
    </row>
    <row r="16444" spans="8:8" x14ac:dyDescent="0.25">
      <c r="H16444" t="s">
        <v>15018</v>
      </c>
    </row>
    <row r="16445" spans="8:8" x14ac:dyDescent="0.25">
      <c r="H16445" t="s">
        <v>30</v>
      </c>
    </row>
    <row r="16447" spans="8:8" x14ac:dyDescent="0.25">
      <c r="H16447" t="s">
        <v>15019</v>
      </c>
    </row>
    <row r="16448" spans="8:8" x14ac:dyDescent="0.25">
      <c r="H16448" t="s">
        <v>15020</v>
      </c>
    </row>
    <row r="16449" spans="8:8" x14ac:dyDescent="0.25">
      <c r="H16449" t="s">
        <v>135</v>
      </c>
    </row>
    <row r="16450" spans="8:8" x14ac:dyDescent="0.25">
      <c r="H16450" t="s">
        <v>15021</v>
      </c>
    </row>
    <row r="16451" spans="8:8" x14ac:dyDescent="0.25">
      <c r="H16451" t="s">
        <v>30</v>
      </c>
    </row>
    <row r="16452" spans="8:8" x14ac:dyDescent="0.25">
      <c r="H16452" t="s">
        <v>136</v>
      </c>
    </row>
    <row r="16453" spans="8:8" x14ac:dyDescent="0.25">
      <c r="H16453" t="s">
        <v>15022</v>
      </c>
    </row>
    <row r="16454" spans="8:8" x14ac:dyDescent="0.25">
      <c r="H16454" t="s">
        <v>30</v>
      </c>
    </row>
    <row r="16455" spans="8:8" x14ac:dyDescent="0.25">
      <c r="H16455" t="s">
        <v>137</v>
      </c>
    </row>
    <row r="16456" spans="8:8" x14ac:dyDescent="0.25">
      <c r="H16456" t="s">
        <v>15023</v>
      </c>
    </row>
    <row r="16457" spans="8:8" x14ac:dyDescent="0.25">
      <c r="H16457" t="s">
        <v>30</v>
      </c>
    </row>
    <row r="16458" spans="8:8" x14ac:dyDescent="0.25">
      <c r="H16458" t="s">
        <v>138</v>
      </c>
    </row>
    <row r="16459" spans="8:8" x14ac:dyDescent="0.25">
      <c r="H16459" t="s">
        <v>15024</v>
      </c>
    </row>
    <row r="16460" spans="8:8" x14ac:dyDescent="0.25">
      <c r="H16460" t="s">
        <v>30</v>
      </c>
    </row>
    <row r="16462" spans="8:8" x14ac:dyDescent="0.25">
      <c r="H16462" t="s">
        <v>15025</v>
      </c>
    </row>
    <row r="16463" spans="8:8" x14ac:dyDescent="0.25">
      <c r="H16463" t="s">
        <v>15026</v>
      </c>
    </row>
    <row r="16464" spans="8:8" x14ac:dyDescent="0.25">
      <c r="H16464" t="s">
        <v>135</v>
      </c>
    </row>
    <row r="16465" spans="8:8" x14ac:dyDescent="0.25">
      <c r="H16465" t="s">
        <v>15027</v>
      </c>
    </row>
    <row r="16466" spans="8:8" x14ac:dyDescent="0.25">
      <c r="H16466" t="s">
        <v>30</v>
      </c>
    </row>
    <row r="16467" spans="8:8" x14ac:dyDescent="0.25">
      <c r="H16467" t="s">
        <v>136</v>
      </c>
    </row>
    <row r="16468" spans="8:8" x14ac:dyDescent="0.25">
      <c r="H16468" t="s">
        <v>15028</v>
      </c>
    </row>
    <row r="16469" spans="8:8" x14ac:dyDescent="0.25">
      <c r="H16469" t="s">
        <v>30</v>
      </c>
    </row>
    <row r="16470" spans="8:8" x14ac:dyDescent="0.25">
      <c r="H16470" t="s">
        <v>137</v>
      </c>
    </row>
    <row r="16471" spans="8:8" x14ac:dyDescent="0.25">
      <c r="H16471" t="s">
        <v>15029</v>
      </c>
    </row>
    <row r="16472" spans="8:8" x14ac:dyDescent="0.25">
      <c r="H16472" t="s">
        <v>30</v>
      </c>
    </row>
    <row r="16473" spans="8:8" x14ac:dyDescent="0.25">
      <c r="H16473" t="s">
        <v>138</v>
      </c>
    </row>
    <row r="16474" spans="8:8" x14ac:dyDescent="0.25">
      <c r="H16474" t="s">
        <v>15030</v>
      </c>
    </row>
    <row r="16475" spans="8:8" x14ac:dyDescent="0.25">
      <c r="H16475" t="s">
        <v>30</v>
      </c>
    </row>
    <row r="16477" spans="8:8" x14ac:dyDescent="0.25">
      <c r="H16477" t="s">
        <v>15031</v>
      </c>
    </row>
    <row r="16478" spans="8:8" x14ac:dyDescent="0.25">
      <c r="H16478" t="s">
        <v>15032</v>
      </c>
    </row>
    <row r="16479" spans="8:8" x14ac:dyDescent="0.25">
      <c r="H16479" t="s">
        <v>135</v>
      </c>
    </row>
    <row r="16480" spans="8:8" x14ac:dyDescent="0.25">
      <c r="H16480" t="s">
        <v>15033</v>
      </c>
    </row>
    <row r="16481" spans="8:8" x14ac:dyDescent="0.25">
      <c r="H16481" t="s">
        <v>30</v>
      </c>
    </row>
    <row r="16483" spans="8:8" x14ac:dyDescent="0.25">
      <c r="H16483" t="s">
        <v>15034</v>
      </c>
    </row>
    <row r="16484" spans="8:8" x14ac:dyDescent="0.25">
      <c r="H16484" t="s">
        <v>15035</v>
      </c>
    </row>
    <row r="16485" spans="8:8" x14ac:dyDescent="0.25">
      <c r="H16485" t="s">
        <v>135</v>
      </c>
    </row>
    <row r="16486" spans="8:8" x14ac:dyDescent="0.25">
      <c r="H16486" t="s">
        <v>15036</v>
      </c>
    </row>
    <row r="16487" spans="8:8" x14ac:dyDescent="0.25">
      <c r="H16487" t="s">
        <v>30</v>
      </c>
    </row>
    <row r="16489" spans="8:8" x14ac:dyDescent="0.25">
      <c r="H16489" t="s">
        <v>15037</v>
      </c>
    </row>
    <row r="16490" spans="8:8" x14ac:dyDescent="0.25">
      <c r="H16490" t="s">
        <v>15038</v>
      </c>
    </row>
    <row r="16491" spans="8:8" x14ac:dyDescent="0.25">
      <c r="H16491" t="s">
        <v>135</v>
      </c>
    </row>
    <row r="16492" spans="8:8" x14ac:dyDescent="0.25">
      <c r="H16492" t="s">
        <v>15039</v>
      </c>
    </row>
    <row r="16493" spans="8:8" x14ac:dyDescent="0.25">
      <c r="H16493" t="s">
        <v>30</v>
      </c>
    </row>
    <row r="16495" spans="8:8" x14ac:dyDescent="0.25">
      <c r="H16495" t="s">
        <v>15040</v>
      </c>
    </row>
    <row r="16496" spans="8:8" x14ac:dyDescent="0.25">
      <c r="H16496" t="s">
        <v>15041</v>
      </c>
    </row>
    <row r="16497" spans="8:8" x14ac:dyDescent="0.25">
      <c r="H16497" t="s">
        <v>135</v>
      </c>
    </row>
    <row r="16498" spans="8:8" x14ac:dyDescent="0.25">
      <c r="H16498" t="s">
        <v>15042</v>
      </c>
    </row>
    <row r="16499" spans="8:8" x14ac:dyDescent="0.25">
      <c r="H16499" t="s">
        <v>30</v>
      </c>
    </row>
    <row r="16501" spans="8:8" x14ac:dyDescent="0.25">
      <c r="H16501" t="s">
        <v>15043</v>
      </c>
    </row>
    <row r="16502" spans="8:8" x14ac:dyDescent="0.25">
      <c r="H16502" t="s">
        <v>15044</v>
      </c>
    </row>
    <row r="16503" spans="8:8" x14ac:dyDescent="0.25">
      <c r="H16503" t="s">
        <v>135</v>
      </c>
    </row>
    <row r="16504" spans="8:8" x14ac:dyDescent="0.25">
      <c r="H16504" t="s">
        <v>15045</v>
      </c>
    </row>
    <row r="16505" spans="8:8" x14ac:dyDescent="0.25">
      <c r="H16505" t="s">
        <v>30</v>
      </c>
    </row>
    <row r="16507" spans="8:8" x14ac:dyDescent="0.25">
      <c r="H16507" t="s">
        <v>15046</v>
      </c>
    </row>
    <row r="16508" spans="8:8" x14ac:dyDescent="0.25">
      <c r="H16508" t="s">
        <v>15047</v>
      </c>
    </row>
    <row r="16509" spans="8:8" x14ac:dyDescent="0.25">
      <c r="H16509" t="s">
        <v>135</v>
      </c>
    </row>
    <row r="16510" spans="8:8" x14ac:dyDescent="0.25">
      <c r="H16510" t="s">
        <v>15048</v>
      </c>
    </row>
    <row r="16511" spans="8:8" x14ac:dyDescent="0.25">
      <c r="H16511" t="s">
        <v>30</v>
      </c>
    </row>
    <row r="16513" spans="8:8" x14ac:dyDescent="0.25">
      <c r="H16513" t="s">
        <v>15049</v>
      </c>
    </row>
    <row r="16514" spans="8:8" x14ac:dyDescent="0.25">
      <c r="H16514" t="s">
        <v>15050</v>
      </c>
    </row>
    <row r="16515" spans="8:8" x14ac:dyDescent="0.25">
      <c r="H16515" t="s">
        <v>135</v>
      </c>
    </row>
    <row r="16516" spans="8:8" x14ac:dyDescent="0.25">
      <c r="H16516" t="s">
        <v>15051</v>
      </c>
    </row>
    <row r="16517" spans="8:8" x14ac:dyDescent="0.25">
      <c r="H16517" t="s">
        <v>30</v>
      </c>
    </row>
    <row r="16519" spans="8:8" x14ac:dyDescent="0.25">
      <c r="H16519" t="s">
        <v>15052</v>
      </c>
    </row>
    <row r="16520" spans="8:8" x14ac:dyDescent="0.25">
      <c r="H16520" t="s">
        <v>15053</v>
      </c>
    </row>
    <row r="16521" spans="8:8" x14ac:dyDescent="0.25">
      <c r="H16521" t="s">
        <v>135</v>
      </c>
    </row>
    <row r="16522" spans="8:8" x14ac:dyDescent="0.25">
      <c r="H16522" t="s">
        <v>15054</v>
      </c>
    </row>
    <row r="16523" spans="8:8" x14ac:dyDescent="0.25">
      <c r="H16523" t="s">
        <v>30</v>
      </c>
    </row>
    <row r="16525" spans="8:8" x14ac:dyDescent="0.25">
      <c r="H16525" t="s">
        <v>15055</v>
      </c>
    </row>
    <row r="16526" spans="8:8" x14ac:dyDescent="0.25">
      <c r="H16526" t="s">
        <v>15056</v>
      </c>
    </row>
    <row r="16527" spans="8:8" x14ac:dyDescent="0.25">
      <c r="H16527" t="s">
        <v>135</v>
      </c>
    </row>
    <row r="16528" spans="8:8" x14ac:dyDescent="0.25">
      <c r="H16528" t="s">
        <v>15057</v>
      </c>
    </row>
    <row r="16529" spans="8:8" x14ac:dyDescent="0.25">
      <c r="H16529" t="s">
        <v>30</v>
      </c>
    </row>
    <row r="16531" spans="8:8" x14ac:dyDescent="0.25">
      <c r="H16531" t="s">
        <v>15058</v>
      </c>
    </row>
    <row r="16532" spans="8:8" x14ac:dyDescent="0.25">
      <c r="H16532" t="s">
        <v>15059</v>
      </c>
    </row>
    <row r="16533" spans="8:8" x14ac:dyDescent="0.25">
      <c r="H16533" t="s">
        <v>135</v>
      </c>
    </row>
    <row r="16534" spans="8:8" x14ac:dyDescent="0.25">
      <c r="H16534" t="s">
        <v>15060</v>
      </c>
    </row>
    <row r="16535" spans="8:8" x14ac:dyDescent="0.25">
      <c r="H16535" t="s">
        <v>30</v>
      </c>
    </row>
    <row r="16537" spans="8:8" x14ac:dyDescent="0.25">
      <c r="H16537" t="s">
        <v>15061</v>
      </c>
    </row>
    <row r="16538" spans="8:8" x14ac:dyDescent="0.25">
      <c r="H16538" t="s">
        <v>15062</v>
      </c>
    </row>
    <row r="16539" spans="8:8" x14ac:dyDescent="0.25">
      <c r="H16539" t="s">
        <v>135</v>
      </c>
    </row>
    <row r="16540" spans="8:8" x14ac:dyDescent="0.25">
      <c r="H16540" t="s">
        <v>15063</v>
      </c>
    </row>
    <row r="16541" spans="8:8" x14ac:dyDescent="0.25">
      <c r="H16541" t="s">
        <v>30</v>
      </c>
    </row>
    <row r="16543" spans="8:8" x14ac:dyDescent="0.25">
      <c r="H16543" t="s">
        <v>15064</v>
      </c>
    </row>
    <row r="16544" spans="8:8" x14ac:dyDescent="0.25">
      <c r="H16544" t="s">
        <v>15065</v>
      </c>
    </row>
    <row r="16545" spans="8:8" x14ac:dyDescent="0.25">
      <c r="H16545" t="s">
        <v>135</v>
      </c>
    </row>
    <row r="16546" spans="8:8" x14ac:dyDescent="0.25">
      <c r="H16546" t="s">
        <v>15066</v>
      </c>
    </row>
    <row r="16547" spans="8:8" x14ac:dyDescent="0.25">
      <c r="H16547" t="s">
        <v>30</v>
      </c>
    </row>
    <row r="16549" spans="8:8" x14ac:dyDescent="0.25">
      <c r="H16549" t="s">
        <v>15067</v>
      </c>
    </row>
    <row r="16550" spans="8:8" x14ac:dyDescent="0.25">
      <c r="H16550" t="s">
        <v>15068</v>
      </c>
    </row>
    <row r="16551" spans="8:8" x14ac:dyDescent="0.25">
      <c r="H16551" t="s">
        <v>135</v>
      </c>
    </row>
    <row r="16552" spans="8:8" x14ac:dyDescent="0.25">
      <c r="H16552" t="s">
        <v>15069</v>
      </c>
    </row>
    <row r="16553" spans="8:8" x14ac:dyDescent="0.25">
      <c r="H16553" t="s">
        <v>30</v>
      </c>
    </row>
    <row r="16555" spans="8:8" x14ac:dyDescent="0.25">
      <c r="H16555" t="s">
        <v>15070</v>
      </c>
    </row>
    <row r="16556" spans="8:8" x14ac:dyDescent="0.25">
      <c r="H16556" t="s">
        <v>15071</v>
      </c>
    </row>
    <row r="16557" spans="8:8" x14ac:dyDescent="0.25">
      <c r="H16557" t="s">
        <v>135</v>
      </c>
    </row>
    <row r="16558" spans="8:8" x14ac:dyDescent="0.25">
      <c r="H16558" t="s">
        <v>15072</v>
      </c>
    </row>
    <row r="16559" spans="8:8" x14ac:dyDescent="0.25">
      <c r="H16559" t="s">
        <v>30</v>
      </c>
    </row>
    <row r="16561" spans="8:8" x14ac:dyDescent="0.25">
      <c r="H16561" t="s">
        <v>15073</v>
      </c>
    </row>
    <row r="16562" spans="8:8" x14ac:dyDescent="0.25">
      <c r="H16562" t="s">
        <v>15074</v>
      </c>
    </row>
    <row r="16563" spans="8:8" x14ac:dyDescent="0.25">
      <c r="H16563" t="s">
        <v>135</v>
      </c>
    </row>
    <row r="16564" spans="8:8" x14ac:dyDescent="0.25">
      <c r="H16564" t="s">
        <v>15075</v>
      </c>
    </row>
    <row r="16565" spans="8:8" x14ac:dyDescent="0.25">
      <c r="H16565" t="s">
        <v>30</v>
      </c>
    </row>
    <row r="16567" spans="8:8" x14ac:dyDescent="0.25">
      <c r="H16567" t="s">
        <v>15076</v>
      </c>
    </row>
    <row r="16568" spans="8:8" x14ac:dyDescent="0.25">
      <c r="H16568" t="s">
        <v>15077</v>
      </c>
    </row>
    <row r="16569" spans="8:8" x14ac:dyDescent="0.25">
      <c r="H16569" t="s">
        <v>135</v>
      </c>
    </row>
    <row r="16570" spans="8:8" x14ac:dyDescent="0.25">
      <c r="H16570" t="s">
        <v>15078</v>
      </c>
    </row>
    <row r="16571" spans="8:8" x14ac:dyDescent="0.25">
      <c r="H16571" t="s">
        <v>30</v>
      </c>
    </row>
    <row r="16572" spans="8:8" x14ac:dyDescent="0.25">
      <c r="H16572" t="s">
        <v>136</v>
      </c>
    </row>
    <row r="16573" spans="8:8" x14ac:dyDescent="0.25">
      <c r="H16573" t="s">
        <v>15079</v>
      </c>
    </row>
    <row r="16574" spans="8:8" x14ac:dyDescent="0.25">
      <c r="H16574" t="s">
        <v>30</v>
      </c>
    </row>
    <row r="16575" spans="8:8" x14ac:dyDescent="0.25">
      <c r="H16575" t="s">
        <v>137</v>
      </c>
    </row>
    <row r="16576" spans="8:8" x14ac:dyDescent="0.25">
      <c r="H16576" t="s">
        <v>15080</v>
      </c>
    </row>
    <row r="16577" spans="8:8" x14ac:dyDescent="0.25">
      <c r="H16577" t="s">
        <v>30</v>
      </c>
    </row>
    <row r="16578" spans="8:8" x14ac:dyDescent="0.25">
      <c r="H16578" t="s">
        <v>138</v>
      </c>
    </row>
    <row r="16579" spans="8:8" x14ac:dyDescent="0.25">
      <c r="H16579" t="s">
        <v>15081</v>
      </c>
    </row>
    <row r="16580" spans="8:8" x14ac:dyDescent="0.25">
      <c r="H16580" t="s">
        <v>30</v>
      </c>
    </row>
    <row r="16582" spans="8:8" x14ac:dyDescent="0.25">
      <c r="H16582" t="s">
        <v>15082</v>
      </c>
    </row>
    <row r="16583" spans="8:8" x14ac:dyDescent="0.25">
      <c r="H16583" t="s">
        <v>15083</v>
      </c>
    </row>
    <row r="16584" spans="8:8" x14ac:dyDescent="0.25">
      <c r="H16584" t="s">
        <v>135</v>
      </c>
    </row>
    <row r="16585" spans="8:8" x14ac:dyDescent="0.25">
      <c r="H16585" t="s">
        <v>15084</v>
      </c>
    </row>
    <row r="16586" spans="8:8" x14ac:dyDescent="0.25">
      <c r="H16586" t="s">
        <v>30</v>
      </c>
    </row>
    <row r="16587" spans="8:8" x14ac:dyDescent="0.25">
      <c r="H16587" t="s">
        <v>136</v>
      </c>
    </row>
    <row r="16588" spans="8:8" x14ac:dyDescent="0.25">
      <c r="H16588" t="s">
        <v>15085</v>
      </c>
    </row>
    <row r="16589" spans="8:8" x14ac:dyDescent="0.25">
      <c r="H16589" t="s">
        <v>30</v>
      </c>
    </row>
    <row r="16590" spans="8:8" x14ac:dyDescent="0.25">
      <c r="H16590" t="s">
        <v>137</v>
      </c>
    </row>
    <row r="16591" spans="8:8" x14ac:dyDescent="0.25">
      <c r="H16591" t="s">
        <v>15086</v>
      </c>
    </row>
    <row r="16592" spans="8:8" x14ac:dyDescent="0.25">
      <c r="H16592" t="s">
        <v>30</v>
      </c>
    </row>
    <row r="16593" spans="8:8" x14ac:dyDescent="0.25">
      <c r="H16593" t="s">
        <v>138</v>
      </c>
    </row>
    <row r="16594" spans="8:8" x14ac:dyDescent="0.25">
      <c r="H16594" t="s">
        <v>15087</v>
      </c>
    </row>
    <row r="16595" spans="8:8" x14ac:dyDescent="0.25">
      <c r="H16595" t="s">
        <v>30</v>
      </c>
    </row>
    <row r="16597" spans="8:8" x14ac:dyDescent="0.25">
      <c r="H16597" t="s">
        <v>15088</v>
      </c>
    </row>
    <row r="16598" spans="8:8" x14ac:dyDescent="0.25">
      <c r="H16598" t="s">
        <v>15089</v>
      </c>
    </row>
    <row r="16599" spans="8:8" x14ac:dyDescent="0.25">
      <c r="H16599" t="s">
        <v>135</v>
      </c>
    </row>
    <row r="16600" spans="8:8" x14ac:dyDescent="0.25">
      <c r="H16600" t="s">
        <v>23413</v>
      </c>
    </row>
    <row r="16601" spans="8:8" x14ac:dyDescent="0.25">
      <c r="H16601" t="s">
        <v>30</v>
      </c>
    </row>
    <row r="16603" spans="8:8" x14ac:dyDescent="0.25">
      <c r="H16603" t="s">
        <v>15090</v>
      </c>
    </row>
    <row r="16604" spans="8:8" x14ac:dyDescent="0.25">
      <c r="H16604" t="s">
        <v>15091</v>
      </c>
    </row>
    <row r="16605" spans="8:8" x14ac:dyDescent="0.25">
      <c r="H16605" t="s">
        <v>135</v>
      </c>
    </row>
    <row r="16606" spans="8:8" x14ac:dyDescent="0.25">
      <c r="H16606" t="s">
        <v>15092</v>
      </c>
    </row>
    <row r="16607" spans="8:8" x14ac:dyDescent="0.25">
      <c r="H16607" t="s">
        <v>30</v>
      </c>
    </row>
    <row r="16609" spans="8:8" x14ac:dyDescent="0.25">
      <c r="H16609" t="s">
        <v>15093</v>
      </c>
    </row>
    <row r="16610" spans="8:8" x14ac:dyDescent="0.25">
      <c r="H16610" t="s">
        <v>15094</v>
      </c>
    </row>
    <row r="16611" spans="8:8" x14ac:dyDescent="0.25">
      <c r="H16611" t="s">
        <v>135</v>
      </c>
    </row>
    <row r="16612" spans="8:8" x14ac:dyDescent="0.25">
      <c r="H16612" t="s">
        <v>15095</v>
      </c>
    </row>
    <row r="16613" spans="8:8" x14ac:dyDescent="0.25">
      <c r="H16613" t="s">
        <v>30</v>
      </c>
    </row>
    <row r="16615" spans="8:8" x14ac:dyDescent="0.25">
      <c r="H16615" t="s">
        <v>15096</v>
      </c>
    </row>
    <row r="16616" spans="8:8" x14ac:dyDescent="0.25">
      <c r="H16616" t="s">
        <v>15097</v>
      </c>
    </row>
    <row r="16617" spans="8:8" x14ac:dyDescent="0.25">
      <c r="H16617" t="s">
        <v>135</v>
      </c>
    </row>
    <row r="16618" spans="8:8" x14ac:dyDescent="0.25">
      <c r="H16618" t="s">
        <v>15098</v>
      </c>
    </row>
    <row r="16619" spans="8:8" x14ac:dyDescent="0.25">
      <c r="H16619" t="s">
        <v>30</v>
      </c>
    </row>
    <row r="16621" spans="8:8" x14ac:dyDescent="0.25">
      <c r="H16621" t="s">
        <v>15099</v>
      </c>
    </row>
    <row r="16622" spans="8:8" x14ac:dyDescent="0.25">
      <c r="H16622" t="s">
        <v>15100</v>
      </c>
    </row>
    <row r="16623" spans="8:8" x14ac:dyDescent="0.25">
      <c r="H16623" t="s">
        <v>135</v>
      </c>
    </row>
    <row r="16624" spans="8:8" x14ac:dyDescent="0.25">
      <c r="H16624" t="s">
        <v>15101</v>
      </c>
    </row>
    <row r="16625" spans="8:8" x14ac:dyDescent="0.25">
      <c r="H16625" t="s">
        <v>30</v>
      </c>
    </row>
    <row r="16626" spans="8:8" x14ac:dyDescent="0.25">
      <c r="H16626" t="s">
        <v>136</v>
      </c>
    </row>
    <row r="16627" spans="8:8" x14ac:dyDescent="0.25">
      <c r="H16627" t="s">
        <v>15102</v>
      </c>
    </row>
    <row r="16628" spans="8:8" x14ac:dyDescent="0.25">
      <c r="H16628" t="s">
        <v>30</v>
      </c>
    </row>
    <row r="16629" spans="8:8" x14ac:dyDescent="0.25">
      <c r="H16629" t="s">
        <v>137</v>
      </c>
    </row>
    <row r="16630" spans="8:8" x14ac:dyDescent="0.25">
      <c r="H16630" t="s">
        <v>15103</v>
      </c>
    </row>
    <row r="16631" spans="8:8" x14ac:dyDescent="0.25">
      <c r="H16631" t="s">
        <v>30</v>
      </c>
    </row>
    <row r="16633" spans="8:8" x14ac:dyDescent="0.25">
      <c r="H16633" t="s">
        <v>15104</v>
      </c>
    </row>
    <row r="16634" spans="8:8" x14ac:dyDescent="0.25">
      <c r="H16634" t="s">
        <v>15105</v>
      </c>
    </row>
    <row r="16635" spans="8:8" x14ac:dyDescent="0.25">
      <c r="H16635" t="s">
        <v>135</v>
      </c>
    </row>
    <row r="16636" spans="8:8" x14ac:dyDescent="0.25">
      <c r="H16636" t="s">
        <v>23414</v>
      </c>
    </row>
    <row r="16637" spans="8:8" x14ac:dyDescent="0.25">
      <c r="H16637" t="s">
        <v>30</v>
      </c>
    </row>
    <row r="16639" spans="8:8" x14ac:dyDescent="0.25">
      <c r="H16639" t="s">
        <v>15106</v>
      </c>
    </row>
    <row r="16640" spans="8:8" x14ac:dyDescent="0.25">
      <c r="H16640" t="s">
        <v>15107</v>
      </c>
    </row>
    <row r="16641" spans="8:8" x14ac:dyDescent="0.25">
      <c r="H16641" t="s">
        <v>135</v>
      </c>
    </row>
    <row r="16642" spans="8:8" x14ac:dyDescent="0.25">
      <c r="H16642" t="s">
        <v>15108</v>
      </c>
    </row>
    <row r="16643" spans="8:8" x14ac:dyDescent="0.25">
      <c r="H16643" t="s">
        <v>30</v>
      </c>
    </row>
    <row r="16645" spans="8:8" x14ac:dyDescent="0.25">
      <c r="H16645" t="s">
        <v>15109</v>
      </c>
    </row>
    <row r="16646" spans="8:8" x14ac:dyDescent="0.25">
      <c r="H16646" t="s">
        <v>15110</v>
      </c>
    </row>
    <row r="16647" spans="8:8" x14ac:dyDescent="0.25">
      <c r="H16647" t="s">
        <v>135</v>
      </c>
    </row>
    <row r="16648" spans="8:8" x14ac:dyDescent="0.25">
      <c r="H16648" t="s">
        <v>15111</v>
      </c>
    </row>
    <row r="16649" spans="8:8" x14ac:dyDescent="0.25">
      <c r="H16649" t="s">
        <v>30</v>
      </c>
    </row>
    <row r="16651" spans="8:8" x14ac:dyDescent="0.25">
      <c r="H16651" t="s">
        <v>15112</v>
      </c>
    </row>
    <row r="16652" spans="8:8" x14ac:dyDescent="0.25">
      <c r="H16652" t="s">
        <v>15113</v>
      </c>
    </row>
    <row r="16653" spans="8:8" x14ac:dyDescent="0.25">
      <c r="H16653" t="s">
        <v>135</v>
      </c>
    </row>
    <row r="16654" spans="8:8" x14ac:dyDescent="0.25">
      <c r="H16654" t="s">
        <v>15114</v>
      </c>
    </row>
    <row r="16655" spans="8:8" x14ac:dyDescent="0.25">
      <c r="H16655" t="s">
        <v>30</v>
      </c>
    </row>
    <row r="16657" spans="8:8" x14ac:dyDescent="0.25">
      <c r="H16657" t="s">
        <v>15115</v>
      </c>
    </row>
    <row r="16658" spans="8:8" x14ac:dyDescent="0.25">
      <c r="H16658" t="s">
        <v>15116</v>
      </c>
    </row>
    <row r="16659" spans="8:8" x14ac:dyDescent="0.25">
      <c r="H16659" t="s">
        <v>135</v>
      </c>
    </row>
    <row r="16660" spans="8:8" x14ac:dyDescent="0.25">
      <c r="H16660" t="s">
        <v>15117</v>
      </c>
    </row>
    <row r="16661" spans="8:8" x14ac:dyDescent="0.25">
      <c r="H16661" t="s">
        <v>30</v>
      </c>
    </row>
    <row r="16662" spans="8:8" x14ac:dyDescent="0.25">
      <c r="H16662" t="s">
        <v>136</v>
      </c>
    </row>
    <row r="16663" spans="8:8" x14ac:dyDescent="0.25">
      <c r="H16663" t="s">
        <v>15118</v>
      </c>
    </row>
    <row r="16664" spans="8:8" x14ac:dyDescent="0.25">
      <c r="H16664" t="s">
        <v>30</v>
      </c>
    </row>
    <row r="16665" spans="8:8" x14ac:dyDescent="0.25">
      <c r="H16665" t="s">
        <v>137</v>
      </c>
    </row>
    <row r="16666" spans="8:8" x14ac:dyDescent="0.25">
      <c r="H16666" t="s">
        <v>15119</v>
      </c>
    </row>
    <row r="16667" spans="8:8" x14ac:dyDescent="0.25">
      <c r="H16667" t="s">
        <v>30</v>
      </c>
    </row>
    <row r="16669" spans="8:8" x14ac:dyDescent="0.25">
      <c r="H16669" t="s">
        <v>15120</v>
      </c>
    </row>
    <row r="16670" spans="8:8" x14ac:dyDescent="0.25">
      <c r="H16670" t="s">
        <v>15121</v>
      </c>
    </row>
    <row r="16671" spans="8:8" x14ac:dyDescent="0.25">
      <c r="H16671" t="s">
        <v>135</v>
      </c>
    </row>
    <row r="16672" spans="8:8" x14ac:dyDescent="0.25">
      <c r="H16672" t="s">
        <v>23415</v>
      </c>
    </row>
    <row r="16673" spans="8:8" x14ac:dyDescent="0.25">
      <c r="H16673" t="s">
        <v>30</v>
      </c>
    </row>
    <row r="16675" spans="8:8" x14ac:dyDescent="0.25">
      <c r="H16675" t="s">
        <v>15122</v>
      </c>
    </row>
    <row r="16676" spans="8:8" x14ac:dyDescent="0.25">
      <c r="H16676" t="s">
        <v>15123</v>
      </c>
    </row>
    <row r="16677" spans="8:8" x14ac:dyDescent="0.25">
      <c r="H16677" t="s">
        <v>135</v>
      </c>
    </row>
    <row r="16678" spans="8:8" x14ac:dyDescent="0.25">
      <c r="H16678" t="s">
        <v>15124</v>
      </c>
    </row>
    <row r="16679" spans="8:8" x14ac:dyDescent="0.25">
      <c r="H16679" t="s">
        <v>30</v>
      </c>
    </row>
    <row r="16681" spans="8:8" x14ac:dyDescent="0.25">
      <c r="H16681" t="s">
        <v>15125</v>
      </c>
    </row>
    <row r="16682" spans="8:8" x14ac:dyDescent="0.25">
      <c r="H16682" t="s">
        <v>15126</v>
      </c>
    </row>
    <row r="16683" spans="8:8" x14ac:dyDescent="0.25">
      <c r="H16683" t="s">
        <v>135</v>
      </c>
    </row>
    <row r="16684" spans="8:8" x14ac:dyDescent="0.25">
      <c r="H16684" t="s">
        <v>15127</v>
      </c>
    </row>
    <row r="16685" spans="8:8" x14ac:dyDescent="0.25">
      <c r="H16685" t="s">
        <v>30</v>
      </c>
    </row>
    <row r="16687" spans="8:8" x14ac:dyDescent="0.25">
      <c r="H16687" t="s">
        <v>15128</v>
      </c>
    </row>
    <row r="16688" spans="8:8" x14ac:dyDescent="0.25">
      <c r="H16688" t="s">
        <v>15129</v>
      </c>
    </row>
    <row r="16689" spans="8:8" x14ac:dyDescent="0.25">
      <c r="H16689" t="s">
        <v>135</v>
      </c>
    </row>
    <row r="16690" spans="8:8" x14ac:dyDescent="0.25">
      <c r="H16690" t="s">
        <v>15130</v>
      </c>
    </row>
    <row r="16691" spans="8:8" x14ac:dyDescent="0.25">
      <c r="H16691" t="s">
        <v>30</v>
      </c>
    </row>
    <row r="16693" spans="8:8" x14ac:dyDescent="0.25">
      <c r="H16693" t="s">
        <v>15131</v>
      </c>
    </row>
    <row r="16694" spans="8:8" x14ac:dyDescent="0.25">
      <c r="H16694" t="s">
        <v>15132</v>
      </c>
    </row>
    <row r="16695" spans="8:8" x14ac:dyDescent="0.25">
      <c r="H16695" t="s">
        <v>135</v>
      </c>
    </row>
    <row r="16696" spans="8:8" x14ac:dyDescent="0.25">
      <c r="H16696" t="s">
        <v>15133</v>
      </c>
    </row>
    <row r="16697" spans="8:8" x14ac:dyDescent="0.25">
      <c r="H16697" t="s">
        <v>30</v>
      </c>
    </row>
    <row r="16698" spans="8:8" x14ac:dyDescent="0.25">
      <c r="H16698" t="s">
        <v>136</v>
      </c>
    </row>
    <row r="16699" spans="8:8" x14ac:dyDescent="0.25">
      <c r="H16699" t="s">
        <v>15134</v>
      </c>
    </row>
    <row r="16700" spans="8:8" x14ac:dyDescent="0.25">
      <c r="H16700" t="s">
        <v>30</v>
      </c>
    </row>
    <row r="16701" spans="8:8" x14ac:dyDescent="0.25">
      <c r="H16701" t="s">
        <v>137</v>
      </c>
    </row>
    <row r="16702" spans="8:8" x14ac:dyDescent="0.25">
      <c r="H16702" t="s">
        <v>15135</v>
      </c>
    </row>
    <row r="16703" spans="8:8" x14ac:dyDescent="0.25">
      <c r="H16703" t="s">
        <v>30</v>
      </c>
    </row>
    <row r="16705" spans="8:8" x14ac:dyDescent="0.25">
      <c r="H16705" t="s">
        <v>15136</v>
      </c>
    </row>
    <row r="16706" spans="8:8" x14ac:dyDescent="0.25">
      <c r="H16706" t="s">
        <v>15137</v>
      </c>
    </row>
    <row r="16707" spans="8:8" x14ac:dyDescent="0.25">
      <c r="H16707" t="s">
        <v>135</v>
      </c>
    </row>
    <row r="16708" spans="8:8" x14ac:dyDescent="0.25">
      <c r="H16708" t="s">
        <v>23416</v>
      </c>
    </row>
    <row r="16709" spans="8:8" x14ac:dyDescent="0.25">
      <c r="H16709" t="s">
        <v>30</v>
      </c>
    </row>
    <row r="16711" spans="8:8" x14ac:dyDescent="0.25">
      <c r="H16711" t="s">
        <v>15138</v>
      </c>
    </row>
    <row r="16712" spans="8:8" x14ac:dyDescent="0.25">
      <c r="H16712" t="s">
        <v>15139</v>
      </c>
    </row>
    <row r="16713" spans="8:8" x14ac:dyDescent="0.25">
      <c r="H16713" t="s">
        <v>135</v>
      </c>
    </row>
    <row r="16714" spans="8:8" x14ac:dyDescent="0.25">
      <c r="H16714" t="s">
        <v>15140</v>
      </c>
    </row>
    <row r="16715" spans="8:8" x14ac:dyDescent="0.25">
      <c r="H16715" t="s">
        <v>30</v>
      </c>
    </row>
    <row r="16717" spans="8:8" x14ac:dyDescent="0.25">
      <c r="H16717" t="s">
        <v>15141</v>
      </c>
    </row>
    <row r="16718" spans="8:8" x14ac:dyDescent="0.25">
      <c r="H16718" t="s">
        <v>15142</v>
      </c>
    </row>
    <row r="16719" spans="8:8" x14ac:dyDescent="0.25">
      <c r="H16719" t="s">
        <v>135</v>
      </c>
    </row>
    <row r="16720" spans="8:8" x14ac:dyDescent="0.25">
      <c r="H16720" t="s">
        <v>15143</v>
      </c>
    </row>
    <row r="16721" spans="8:8" x14ac:dyDescent="0.25">
      <c r="H16721" t="s">
        <v>30</v>
      </c>
    </row>
    <row r="16723" spans="8:8" x14ac:dyDescent="0.25">
      <c r="H16723" t="s">
        <v>15144</v>
      </c>
    </row>
    <row r="16724" spans="8:8" x14ac:dyDescent="0.25">
      <c r="H16724" t="s">
        <v>15145</v>
      </c>
    </row>
    <row r="16725" spans="8:8" x14ac:dyDescent="0.25">
      <c r="H16725" t="s">
        <v>135</v>
      </c>
    </row>
    <row r="16726" spans="8:8" x14ac:dyDescent="0.25">
      <c r="H16726" t="s">
        <v>15146</v>
      </c>
    </row>
    <row r="16727" spans="8:8" x14ac:dyDescent="0.25">
      <c r="H16727" t="s">
        <v>30</v>
      </c>
    </row>
    <row r="16729" spans="8:8" x14ac:dyDescent="0.25">
      <c r="H16729" t="s">
        <v>15147</v>
      </c>
    </row>
    <row r="16730" spans="8:8" x14ac:dyDescent="0.25">
      <c r="H16730" t="s">
        <v>15148</v>
      </c>
    </row>
    <row r="16731" spans="8:8" x14ac:dyDescent="0.25">
      <c r="H16731" t="s">
        <v>135</v>
      </c>
    </row>
    <row r="16732" spans="8:8" x14ac:dyDescent="0.25">
      <c r="H16732" t="s">
        <v>15149</v>
      </c>
    </row>
    <row r="16733" spans="8:8" x14ac:dyDescent="0.25">
      <c r="H16733" t="s">
        <v>30</v>
      </c>
    </row>
    <row r="16734" spans="8:8" x14ac:dyDescent="0.25">
      <c r="H16734" t="s">
        <v>136</v>
      </c>
    </row>
    <row r="16735" spans="8:8" x14ac:dyDescent="0.25">
      <c r="H16735" t="s">
        <v>15150</v>
      </c>
    </row>
    <row r="16736" spans="8:8" x14ac:dyDescent="0.25">
      <c r="H16736" t="s">
        <v>30</v>
      </c>
    </row>
    <row r="16737" spans="8:8" x14ac:dyDescent="0.25">
      <c r="H16737" t="s">
        <v>137</v>
      </c>
    </row>
    <row r="16738" spans="8:8" x14ac:dyDescent="0.25">
      <c r="H16738" t="s">
        <v>15151</v>
      </c>
    </row>
    <row r="16739" spans="8:8" x14ac:dyDescent="0.25">
      <c r="H16739" t="s">
        <v>30</v>
      </c>
    </row>
    <row r="16741" spans="8:8" x14ac:dyDescent="0.25">
      <c r="H16741" t="s">
        <v>15152</v>
      </c>
    </row>
    <row r="16742" spans="8:8" x14ac:dyDescent="0.25">
      <c r="H16742" t="s">
        <v>15153</v>
      </c>
    </row>
    <row r="16743" spans="8:8" x14ac:dyDescent="0.25">
      <c r="H16743" t="s">
        <v>135</v>
      </c>
    </row>
    <row r="16744" spans="8:8" x14ac:dyDescent="0.25">
      <c r="H16744" t="s">
        <v>23417</v>
      </c>
    </row>
    <row r="16745" spans="8:8" x14ac:dyDescent="0.25">
      <c r="H16745" t="s">
        <v>30</v>
      </c>
    </row>
    <row r="16747" spans="8:8" x14ac:dyDescent="0.25">
      <c r="H16747" t="s">
        <v>15154</v>
      </c>
    </row>
    <row r="16748" spans="8:8" x14ac:dyDescent="0.25">
      <c r="H16748" t="s">
        <v>15155</v>
      </c>
    </row>
    <row r="16749" spans="8:8" x14ac:dyDescent="0.25">
      <c r="H16749" t="s">
        <v>135</v>
      </c>
    </row>
    <row r="16750" spans="8:8" x14ac:dyDescent="0.25">
      <c r="H16750" t="s">
        <v>15156</v>
      </c>
    </row>
    <row r="16751" spans="8:8" x14ac:dyDescent="0.25">
      <c r="H16751" t="s">
        <v>30</v>
      </c>
    </row>
    <row r="16753" spans="8:8" x14ac:dyDescent="0.25">
      <c r="H16753" t="s">
        <v>15157</v>
      </c>
    </row>
    <row r="16754" spans="8:8" x14ac:dyDescent="0.25">
      <c r="H16754" t="s">
        <v>15158</v>
      </c>
    </row>
    <row r="16755" spans="8:8" x14ac:dyDescent="0.25">
      <c r="H16755" t="s">
        <v>135</v>
      </c>
    </row>
    <row r="16756" spans="8:8" x14ac:dyDescent="0.25">
      <c r="H16756" t="s">
        <v>15159</v>
      </c>
    </row>
    <row r="16757" spans="8:8" x14ac:dyDescent="0.25">
      <c r="H16757" t="s">
        <v>30</v>
      </c>
    </row>
    <row r="16759" spans="8:8" x14ac:dyDescent="0.25">
      <c r="H16759" t="s">
        <v>15160</v>
      </c>
    </row>
    <row r="16760" spans="8:8" x14ac:dyDescent="0.25">
      <c r="H16760" t="s">
        <v>15161</v>
      </c>
    </row>
    <row r="16761" spans="8:8" x14ac:dyDescent="0.25">
      <c r="H16761" t="s">
        <v>135</v>
      </c>
    </row>
    <row r="16762" spans="8:8" x14ac:dyDescent="0.25">
      <c r="H16762" t="s">
        <v>15162</v>
      </c>
    </row>
    <row r="16763" spans="8:8" x14ac:dyDescent="0.25">
      <c r="H16763" t="s">
        <v>30</v>
      </c>
    </row>
    <row r="16765" spans="8:8" x14ac:dyDescent="0.25">
      <c r="H16765" t="s">
        <v>15163</v>
      </c>
    </row>
    <row r="16766" spans="8:8" x14ac:dyDescent="0.25">
      <c r="H16766" t="s">
        <v>15164</v>
      </c>
    </row>
    <row r="16767" spans="8:8" x14ac:dyDescent="0.25">
      <c r="H16767" t="s">
        <v>135</v>
      </c>
    </row>
    <row r="16768" spans="8:8" x14ac:dyDescent="0.25">
      <c r="H16768" t="s">
        <v>15165</v>
      </c>
    </row>
    <row r="16769" spans="8:8" x14ac:dyDescent="0.25">
      <c r="H16769" t="s">
        <v>30</v>
      </c>
    </row>
    <row r="16770" spans="8:8" x14ac:dyDescent="0.25">
      <c r="H16770" t="s">
        <v>136</v>
      </c>
    </row>
    <row r="16771" spans="8:8" x14ac:dyDescent="0.25">
      <c r="H16771" t="s">
        <v>15166</v>
      </c>
    </row>
    <row r="16772" spans="8:8" x14ac:dyDescent="0.25">
      <c r="H16772" t="s">
        <v>30</v>
      </c>
    </row>
    <row r="16773" spans="8:8" x14ac:dyDescent="0.25">
      <c r="H16773" t="s">
        <v>137</v>
      </c>
    </row>
    <row r="16774" spans="8:8" x14ac:dyDescent="0.25">
      <c r="H16774" t="s">
        <v>15167</v>
      </c>
    </row>
    <row r="16775" spans="8:8" x14ac:dyDescent="0.25">
      <c r="H16775" t="s">
        <v>30</v>
      </c>
    </row>
    <row r="16777" spans="8:8" x14ac:dyDescent="0.25">
      <c r="H16777" t="s">
        <v>15168</v>
      </c>
    </row>
    <row r="16778" spans="8:8" x14ac:dyDescent="0.25">
      <c r="H16778" t="s">
        <v>15169</v>
      </c>
    </row>
    <row r="16779" spans="8:8" x14ac:dyDescent="0.25">
      <c r="H16779" t="s">
        <v>135</v>
      </c>
    </row>
    <row r="16780" spans="8:8" x14ac:dyDescent="0.25">
      <c r="H16780" t="s">
        <v>23418</v>
      </c>
    </row>
    <row r="16781" spans="8:8" x14ac:dyDescent="0.25">
      <c r="H16781" t="s">
        <v>30</v>
      </c>
    </row>
    <row r="16783" spans="8:8" x14ac:dyDescent="0.25">
      <c r="H16783" t="s">
        <v>15170</v>
      </c>
    </row>
    <row r="16784" spans="8:8" x14ac:dyDescent="0.25">
      <c r="H16784" t="s">
        <v>15171</v>
      </c>
    </row>
    <row r="16785" spans="8:8" x14ac:dyDescent="0.25">
      <c r="H16785" t="s">
        <v>135</v>
      </c>
    </row>
    <row r="16786" spans="8:8" x14ac:dyDescent="0.25">
      <c r="H16786" t="s">
        <v>15172</v>
      </c>
    </row>
    <row r="16787" spans="8:8" x14ac:dyDescent="0.25">
      <c r="H16787" t="s">
        <v>30</v>
      </c>
    </row>
    <row r="16789" spans="8:8" x14ac:dyDescent="0.25">
      <c r="H16789" t="s">
        <v>15173</v>
      </c>
    </row>
    <row r="16790" spans="8:8" x14ac:dyDescent="0.25">
      <c r="H16790" t="s">
        <v>15174</v>
      </c>
    </row>
    <row r="16791" spans="8:8" x14ac:dyDescent="0.25">
      <c r="H16791" t="s">
        <v>135</v>
      </c>
    </row>
    <row r="16792" spans="8:8" x14ac:dyDescent="0.25">
      <c r="H16792" t="s">
        <v>15175</v>
      </c>
    </row>
    <row r="16793" spans="8:8" x14ac:dyDescent="0.25">
      <c r="H16793" t="s">
        <v>30</v>
      </c>
    </row>
    <row r="16795" spans="8:8" x14ac:dyDescent="0.25">
      <c r="H16795" t="s">
        <v>15176</v>
      </c>
    </row>
    <row r="16796" spans="8:8" x14ac:dyDescent="0.25">
      <c r="H16796" t="s">
        <v>15177</v>
      </c>
    </row>
    <row r="16797" spans="8:8" x14ac:dyDescent="0.25">
      <c r="H16797" t="s">
        <v>135</v>
      </c>
    </row>
    <row r="16798" spans="8:8" x14ac:dyDescent="0.25">
      <c r="H16798" t="s">
        <v>15178</v>
      </c>
    </row>
    <row r="16799" spans="8:8" x14ac:dyDescent="0.25">
      <c r="H16799" t="s">
        <v>30</v>
      </c>
    </row>
    <row r="16801" spans="8:8" x14ac:dyDescent="0.25">
      <c r="H16801" t="s">
        <v>15179</v>
      </c>
    </row>
    <row r="16802" spans="8:8" x14ac:dyDescent="0.25">
      <c r="H16802" t="s">
        <v>15180</v>
      </c>
    </row>
    <row r="16803" spans="8:8" x14ac:dyDescent="0.25">
      <c r="H16803" t="s">
        <v>135</v>
      </c>
    </row>
    <row r="16804" spans="8:8" x14ac:dyDescent="0.25">
      <c r="H16804" t="s">
        <v>15181</v>
      </c>
    </row>
    <row r="16805" spans="8:8" x14ac:dyDescent="0.25">
      <c r="H16805" t="s">
        <v>30</v>
      </c>
    </row>
    <row r="16806" spans="8:8" x14ac:dyDescent="0.25">
      <c r="H16806" t="s">
        <v>136</v>
      </c>
    </row>
    <row r="16807" spans="8:8" x14ac:dyDescent="0.25">
      <c r="H16807" t="s">
        <v>15182</v>
      </c>
    </row>
    <row r="16808" spans="8:8" x14ac:dyDescent="0.25">
      <c r="H16808" t="s">
        <v>30</v>
      </c>
    </row>
    <row r="16809" spans="8:8" x14ac:dyDescent="0.25">
      <c r="H16809" t="s">
        <v>137</v>
      </c>
    </row>
    <row r="16810" spans="8:8" x14ac:dyDescent="0.25">
      <c r="H16810" t="s">
        <v>15183</v>
      </c>
    </row>
    <row r="16811" spans="8:8" x14ac:dyDescent="0.25">
      <c r="H16811" t="s">
        <v>30</v>
      </c>
    </row>
    <row r="16813" spans="8:8" x14ac:dyDescent="0.25">
      <c r="H16813" t="s">
        <v>15184</v>
      </c>
    </row>
    <row r="16814" spans="8:8" x14ac:dyDescent="0.25">
      <c r="H16814" t="s">
        <v>15185</v>
      </c>
    </row>
    <row r="16815" spans="8:8" x14ac:dyDescent="0.25">
      <c r="H16815" t="s">
        <v>135</v>
      </c>
    </row>
    <row r="16816" spans="8:8" x14ac:dyDescent="0.25">
      <c r="H16816" t="s">
        <v>23419</v>
      </c>
    </row>
    <row r="16817" spans="8:8" x14ac:dyDescent="0.25">
      <c r="H16817" t="s">
        <v>30</v>
      </c>
    </row>
    <row r="16819" spans="8:8" x14ac:dyDescent="0.25">
      <c r="H16819" t="s">
        <v>15186</v>
      </c>
    </row>
    <row r="16820" spans="8:8" x14ac:dyDescent="0.25">
      <c r="H16820" t="s">
        <v>15187</v>
      </c>
    </row>
    <row r="16821" spans="8:8" x14ac:dyDescent="0.25">
      <c r="H16821" t="s">
        <v>135</v>
      </c>
    </row>
    <row r="16822" spans="8:8" x14ac:dyDescent="0.25">
      <c r="H16822" t="s">
        <v>15188</v>
      </c>
    </row>
    <row r="16823" spans="8:8" x14ac:dyDescent="0.25">
      <c r="H16823" t="s">
        <v>30</v>
      </c>
    </row>
    <row r="16825" spans="8:8" x14ac:dyDescent="0.25">
      <c r="H16825" t="s">
        <v>15189</v>
      </c>
    </row>
    <row r="16826" spans="8:8" x14ac:dyDescent="0.25">
      <c r="H16826" t="s">
        <v>15190</v>
      </c>
    </row>
    <row r="16827" spans="8:8" x14ac:dyDescent="0.25">
      <c r="H16827" t="s">
        <v>135</v>
      </c>
    </row>
    <row r="16828" spans="8:8" x14ac:dyDescent="0.25">
      <c r="H16828" t="s">
        <v>15191</v>
      </c>
    </row>
    <row r="16829" spans="8:8" x14ac:dyDescent="0.25">
      <c r="H16829" t="s">
        <v>30</v>
      </c>
    </row>
    <row r="16831" spans="8:8" x14ac:dyDescent="0.25">
      <c r="H16831" t="s">
        <v>15192</v>
      </c>
    </row>
    <row r="16832" spans="8:8" x14ac:dyDescent="0.25">
      <c r="H16832" t="s">
        <v>15193</v>
      </c>
    </row>
    <row r="16833" spans="8:8" x14ac:dyDescent="0.25">
      <c r="H16833" t="s">
        <v>135</v>
      </c>
    </row>
    <row r="16834" spans="8:8" x14ac:dyDescent="0.25">
      <c r="H16834" t="s">
        <v>15194</v>
      </c>
    </row>
    <row r="16835" spans="8:8" x14ac:dyDescent="0.25">
      <c r="H16835" t="s">
        <v>30</v>
      </c>
    </row>
    <row r="16837" spans="8:8" x14ac:dyDescent="0.25">
      <c r="H16837" t="s">
        <v>15195</v>
      </c>
    </row>
    <row r="16838" spans="8:8" x14ac:dyDescent="0.25">
      <c r="H16838" t="s">
        <v>15196</v>
      </c>
    </row>
    <row r="16839" spans="8:8" x14ac:dyDescent="0.25">
      <c r="H16839" t="s">
        <v>135</v>
      </c>
    </row>
    <row r="16840" spans="8:8" x14ac:dyDescent="0.25">
      <c r="H16840" t="s">
        <v>15197</v>
      </c>
    </row>
    <row r="16841" spans="8:8" x14ac:dyDescent="0.25">
      <c r="H16841" t="s">
        <v>30</v>
      </c>
    </row>
    <row r="16842" spans="8:8" x14ac:dyDescent="0.25">
      <c r="H16842" t="s">
        <v>136</v>
      </c>
    </row>
    <row r="16843" spans="8:8" x14ac:dyDescent="0.25">
      <c r="H16843" t="s">
        <v>15198</v>
      </c>
    </row>
    <row r="16844" spans="8:8" x14ac:dyDescent="0.25">
      <c r="H16844" t="s">
        <v>30</v>
      </c>
    </row>
    <row r="16845" spans="8:8" x14ac:dyDescent="0.25">
      <c r="H16845" t="s">
        <v>137</v>
      </c>
    </row>
    <row r="16846" spans="8:8" x14ac:dyDescent="0.25">
      <c r="H16846" t="s">
        <v>15199</v>
      </c>
    </row>
    <row r="16847" spans="8:8" x14ac:dyDescent="0.25">
      <c r="H16847" t="s">
        <v>30</v>
      </c>
    </row>
    <row r="16849" spans="8:8" x14ac:dyDescent="0.25">
      <c r="H16849" t="s">
        <v>15200</v>
      </c>
    </row>
    <row r="16850" spans="8:8" x14ac:dyDescent="0.25">
      <c r="H16850" t="s">
        <v>15201</v>
      </c>
    </row>
    <row r="16851" spans="8:8" x14ac:dyDescent="0.25">
      <c r="H16851" t="s">
        <v>135</v>
      </c>
    </row>
    <row r="16852" spans="8:8" x14ac:dyDescent="0.25">
      <c r="H16852" t="s">
        <v>23420</v>
      </c>
    </row>
    <row r="16853" spans="8:8" x14ac:dyDescent="0.25">
      <c r="H16853" t="s">
        <v>30</v>
      </c>
    </row>
    <row r="16855" spans="8:8" x14ac:dyDescent="0.25">
      <c r="H16855" t="s">
        <v>15202</v>
      </c>
    </row>
    <row r="16856" spans="8:8" x14ac:dyDescent="0.25">
      <c r="H16856" t="s">
        <v>15203</v>
      </c>
    </row>
    <row r="16857" spans="8:8" x14ac:dyDescent="0.25">
      <c r="H16857" t="s">
        <v>135</v>
      </c>
    </row>
    <row r="16858" spans="8:8" x14ac:dyDescent="0.25">
      <c r="H16858" t="s">
        <v>15204</v>
      </c>
    </row>
    <row r="16859" spans="8:8" x14ac:dyDescent="0.25">
      <c r="H16859" t="s">
        <v>30</v>
      </c>
    </row>
    <row r="16861" spans="8:8" x14ac:dyDescent="0.25">
      <c r="H16861" t="s">
        <v>15205</v>
      </c>
    </row>
    <row r="16862" spans="8:8" x14ac:dyDescent="0.25">
      <c r="H16862" t="s">
        <v>15206</v>
      </c>
    </row>
    <row r="16863" spans="8:8" x14ac:dyDescent="0.25">
      <c r="H16863" t="s">
        <v>135</v>
      </c>
    </row>
    <row r="16864" spans="8:8" x14ac:dyDescent="0.25">
      <c r="H16864" t="s">
        <v>15207</v>
      </c>
    </row>
    <row r="16865" spans="8:8" x14ac:dyDescent="0.25">
      <c r="H16865" t="s">
        <v>30</v>
      </c>
    </row>
    <row r="16867" spans="8:8" x14ac:dyDescent="0.25">
      <c r="H16867" t="s">
        <v>15208</v>
      </c>
    </row>
    <row r="16868" spans="8:8" x14ac:dyDescent="0.25">
      <c r="H16868" t="s">
        <v>15209</v>
      </c>
    </row>
    <row r="16869" spans="8:8" x14ac:dyDescent="0.25">
      <c r="H16869" t="s">
        <v>135</v>
      </c>
    </row>
    <row r="16870" spans="8:8" x14ac:dyDescent="0.25">
      <c r="H16870" t="s">
        <v>15210</v>
      </c>
    </row>
    <row r="16871" spans="8:8" x14ac:dyDescent="0.25">
      <c r="H16871" t="s">
        <v>30</v>
      </c>
    </row>
    <row r="16873" spans="8:8" x14ac:dyDescent="0.25">
      <c r="H16873" t="s">
        <v>15211</v>
      </c>
    </row>
    <row r="16874" spans="8:8" x14ac:dyDescent="0.25">
      <c r="H16874" t="s">
        <v>15212</v>
      </c>
    </row>
    <row r="16875" spans="8:8" x14ac:dyDescent="0.25">
      <c r="H16875" t="s">
        <v>135</v>
      </c>
    </row>
    <row r="16876" spans="8:8" x14ac:dyDescent="0.25">
      <c r="H16876" t="s">
        <v>15213</v>
      </c>
    </row>
    <row r="16877" spans="8:8" x14ac:dyDescent="0.25">
      <c r="H16877" t="s">
        <v>30</v>
      </c>
    </row>
    <row r="16878" spans="8:8" x14ac:dyDescent="0.25">
      <c r="H16878" t="s">
        <v>136</v>
      </c>
    </row>
    <row r="16879" spans="8:8" x14ac:dyDescent="0.25">
      <c r="H16879" t="s">
        <v>15214</v>
      </c>
    </row>
    <row r="16880" spans="8:8" x14ac:dyDescent="0.25">
      <c r="H16880" t="s">
        <v>30</v>
      </c>
    </row>
    <row r="16881" spans="8:8" x14ac:dyDescent="0.25">
      <c r="H16881" t="s">
        <v>137</v>
      </c>
    </row>
    <row r="16882" spans="8:8" x14ac:dyDescent="0.25">
      <c r="H16882" t="s">
        <v>15215</v>
      </c>
    </row>
    <row r="16883" spans="8:8" x14ac:dyDescent="0.25">
      <c r="H16883" t="s">
        <v>30</v>
      </c>
    </row>
    <row r="16885" spans="8:8" x14ac:dyDescent="0.25">
      <c r="H16885" t="s">
        <v>15216</v>
      </c>
    </row>
    <row r="16886" spans="8:8" x14ac:dyDescent="0.25">
      <c r="H16886" t="s">
        <v>15217</v>
      </c>
    </row>
    <row r="16887" spans="8:8" x14ac:dyDescent="0.25">
      <c r="H16887" t="s">
        <v>135</v>
      </c>
    </row>
    <row r="16888" spans="8:8" x14ac:dyDescent="0.25">
      <c r="H16888" t="s">
        <v>23421</v>
      </c>
    </row>
    <row r="16889" spans="8:8" x14ac:dyDescent="0.25">
      <c r="H16889" t="s">
        <v>30</v>
      </c>
    </row>
    <row r="16891" spans="8:8" x14ac:dyDescent="0.25">
      <c r="H16891" t="s">
        <v>15218</v>
      </c>
    </row>
    <row r="16892" spans="8:8" x14ac:dyDescent="0.25">
      <c r="H16892" t="s">
        <v>15219</v>
      </c>
    </row>
    <row r="16893" spans="8:8" x14ac:dyDescent="0.25">
      <c r="H16893" t="s">
        <v>135</v>
      </c>
    </row>
    <row r="16894" spans="8:8" x14ac:dyDescent="0.25">
      <c r="H16894" t="s">
        <v>15220</v>
      </c>
    </row>
    <row r="16895" spans="8:8" x14ac:dyDescent="0.25">
      <c r="H16895" t="s">
        <v>30</v>
      </c>
    </row>
    <row r="16897" spans="8:8" x14ac:dyDescent="0.25">
      <c r="H16897" t="s">
        <v>15221</v>
      </c>
    </row>
    <row r="16898" spans="8:8" x14ac:dyDescent="0.25">
      <c r="H16898" t="s">
        <v>15222</v>
      </c>
    </row>
    <row r="16899" spans="8:8" x14ac:dyDescent="0.25">
      <c r="H16899" t="s">
        <v>135</v>
      </c>
    </row>
    <row r="16900" spans="8:8" x14ac:dyDescent="0.25">
      <c r="H16900" t="s">
        <v>15223</v>
      </c>
    </row>
    <row r="16901" spans="8:8" x14ac:dyDescent="0.25">
      <c r="H16901" t="s">
        <v>30</v>
      </c>
    </row>
    <row r="16903" spans="8:8" x14ac:dyDescent="0.25">
      <c r="H16903" t="s">
        <v>15224</v>
      </c>
    </row>
    <row r="16904" spans="8:8" x14ac:dyDescent="0.25">
      <c r="H16904" t="s">
        <v>15225</v>
      </c>
    </row>
    <row r="16905" spans="8:8" x14ac:dyDescent="0.25">
      <c r="H16905" t="s">
        <v>135</v>
      </c>
    </row>
    <row r="16906" spans="8:8" x14ac:dyDescent="0.25">
      <c r="H16906" t="s">
        <v>15226</v>
      </c>
    </row>
    <row r="16907" spans="8:8" x14ac:dyDescent="0.25">
      <c r="H16907" t="s">
        <v>30</v>
      </c>
    </row>
    <row r="16909" spans="8:8" x14ac:dyDescent="0.25">
      <c r="H16909" t="s">
        <v>15227</v>
      </c>
    </row>
    <row r="16910" spans="8:8" x14ac:dyDescent="0.25">
      <c r="H16910" t="s">
        <v>15228</v>
      </c>
    </row>
    <row r="16911" spans="8:8" x14ac:dyDescent="0.25">
      <c r="H16911" t="s">
        <v>135</v>
      </c>
    </row>
    <row r="16912" spans="8:8" x14ac:dyDescent="0.25">
      <c r="H16912" t="s">
        <v>15229</v>
      </c>
    </row>
    <row r="16913" spans="8:8" x14ac:dyDescent="0.25">
      <c r="H16913" t="s">
        <v>30</v>
      </c>
    </row>
    <row r="16914" spans="8:8" x14ac:dyDescent="0.25">
      <c r="H16914" t="s">
        <v>136</v>
      </c>
    </row>
    <row r="16915" spans="8:8" x14ac:dyDescent="0.25">
      <c r="H16915" t="s">
        <v>15230</v>
      </c>
    </row>
    <row r="16916" spans="8:8" x14ac:dyDescent="0.25">
      <c r="H16916" t="s">
        <v>30</v>
      </c>
    </row>
    <row r="16917" spans="8:8" x14ac:dyDescent="0.25">
      <c r="H16917" t="s">
        <v>137</v>
      </c>
    </row>
    <row r="16918" spans="8:8" x14ac:dyDescent="0.25">
      <c r="H16918" t="s">
        <v>15231</v>
      </c>
    </row>
    <row r="16919" spans="8:8" x14ac:dyDescent="0.25">
      <c r="H16919" t="s">
        <v>30</v>
      </c>
    </row>
    <row r="16921" spans="8:8" x14ac:dyDescent="0.25">
      <c r="H16921" t="s">
        <v>15232</v>
      </c>
    </row>
    <row r="16922" spans="8:8" x14ac:dyDescent="0.25">
      <c r="H16922" t="s">
        <v>15233</v>
      </c>
    </row>
    <row r="16923" spans="8:8" x14ac:dyDescent="0.25">
      <c r="H16923" t="s">
        <v>135</v>
      </c>
    </row>
    <row r="16924" spans="8:8" x14ac:dyDescent="0.25">
      <c r="H16924" t="s">
        <v>23422</v>
      </c>
    </row>
    <row r="16925" spans="8:8" x14ac:dyDescent="0.25">
      <c r="H16925" t="s">
        <v>30</v>
      </c>
    </row>
    <row r="16927" spans="8:8" x14ac:dyDescent="0.25">
      <c r="H16927" t="s">
        <v>15234</v>
      </c>
    </row>
    <row r="16928" spans="8:8" x14ac:dyDescent="0.25">
      <c r="H16928" t="s">
        <v>15235</v>
      </c>
    </row>
    <row r="16929" spans="8:8" x14ac:dyDescent="0.25">
      <c r="H16929" t="s">
        <v>135</v>
      </c>
    </row>
    <row r="16930" spans="8:8" x14ac:dyDescent="0.25">
      <c r="H16930" t="s">
        <v>15236</v>
      </c>
    </row>
    <row r="16931" spans="8:8" x14ac:dyDescent="0.25">
      <c r="H16931" t="s">
        <v>30</v>
      </c>
    </row>
    <row r="16933" spans="8:8" x14ac:dyDescent="0.25">
      <c r="H16933" t="s">
        <v>15237</v>
      </c>
    </row>
    <row r="16934" spans="8:8" x14ac:dyDescent="0.25">
      <c r="H16934" t="s">
        <v>15238</v>
      </c>
    </row>
    <row r="16935" spans="8:8" x14ac:dyDescent="0.25">
      <c r="H16935" t="s">
        <v>135</v>
      </c>
    </row>
    <row r="16936" spans="8:8" x14ac:dyDescent="0.25">
      <c r="H16936" t="s">
        <v>15239</v>
      </c>
    </row>
    <row r="16937" spans="8:8" x14ac:dyDescent="0.25">
      <c r="H16937" t="s">
        <v>30</v>
      </c>
    </row>
    <row r="16939" spans="8:8" x14ac:dyDescent="0.25">
      <c r="H16939" t="s">
        <v>15240</v>
      </c>
    </row>
    <row r="16940" spans="8:8" x14ac:dyDescent="0.25">
      <c r="H16940" t="s">
        <v>15241</v>
      </c>
    </row>
    <row r="16941" spans="8:8" x14ac:dyDescent="0.25">
      <c r="H16941" t="s">
        <v>135</v>
      </c>
    </row>
    <row r="16942" spans="8:8" x14ac:dyDescent="0.25">
      <c r="H16942" t="s">
        <v>15242</v>
      </c>
    </row>
    <row r="16943" spans="8:8" x14ac:dyDescent="0.25">
      <c r="H16943" t="s">
        <v>30</v>
      </c>
    </row>
    <row r="16945" spans="8:8" x14ac:dyDescent="0.25">
      <c r="H16945" t="s">
        <v>15243</v>
      </c>
    </row>
    <row r="16946" spans="8:8" x14ac:dyDescent="0.25">
      <c r="H16946" t="s">
        <v>15244</v>
      </c>
    </row>
    <row r="16947" spans="8:8" x14ac:dyDescent="0.25">
      <c r="H16947" t="s">
        <v>135</v>
      </c>
    </row>
    <row r="16948" spans="8:8" x14ac:dyDescent="0.25">
      <c r="H16948" t="s">
        <v>15245</v>
      </c>
    </row>
    <row r="16949" spans="8:8" x14ac:dyDescent="0.25">
      <c r="H16949" t="s">
        <v>30</v>
      </c>
    </row>
    <row r="16950" spans="8:8" x14ac:dyDescent="0.25">
      <c r="H16950" t="s">
        <v>136</v>
      </c>
    </row>
    <row r="16951" spans="8:8" x14ac:dyDescent="0.25">
      <c r="H16951" t="s">
        <v>15246</v>
      </c>
    </row>
    <row r="16952" spans="8:8" x14ac:dyDescent="0.25">
      <c r="H16952" t="s">
        <v>30</v>
      </c>
    </row>
    <row r="16953" spans="8:8" x14ac:dyDescent="0.25">
      <c r="H16953" t="s">
        <v>137</v>
      </c>
    </row>
    <row r="16954" spans="8:8" x14ac:dyDescent="0.25">
      <c r="H16954" t="s">
        <v>15247</v>
      </c>
    </row>
    <row r="16955" spans="8:8" x14ac:dyDescent="0.25">
      <c r="H16955" t="s">
        <v>30</v>
      </c>
    </row>
    <row r="16957" spans="8:8" x14ac:dyDescent="0.25">
      <c r="H16957" t="s">
        <v>15248</v>
      </c>
    </row>
    <row r="16958" spans="8:8" x14ac:dyDescent="0.25">
      <c r="H16958" t="s">
        <v>15249</v>
      </c>
    </row>
    <row r="16959" spans="8:8" x14ac:dyDescent="0.25">
      <c r="H16959" t="s">
        <v>135</v>
      </c>
    </row>
    <row r="16960" spans="8:8" x14ac:dyDescent="0.25">
      <c r="H16960" t="s">
        <v>23423</v>
      </c>
    </row>
    <row r="16961" spans="8:8" x14ac:dyDescent="0.25">
      <c r="H16961" t="s">
        <v>30</v>
      </c>
    </row>
    <row r="16963" spans="8:8" x14ac:dyDescent="0.25">
      <c r="H16963" t="s">
        <v>15250</v>
      </c>
    </row>
    <row r="16964" spans="8:8" x14ac:dyDescent="0.25">
      <c r="H16964" t="s">
        <v>15251</v>
      </c>
    </row>
    <row r="16965" spans="8:8" x14ac:dyDescent="0.25">
      <c r="H16965" t="s">
        <v>135</v>
      </c>
    </row>
    <row r="16966" spans="8:8" x14ac:dyDescent="0.25">
      <c r="H16966" t="s">
        <v>15252</v>
      </c>
    </row>
    <row r="16967" spans="8:8" x14ac:dyDescent="0.25">
      <c r="H16967" t="s">
        <v>30</v>
      </c>
    </row>
    <row r="16969" spans="8:8" x14ac:dyDescent="0.25">
      <c r="H16969" t="s">
        <v>15253</v>
      </c>
    </row>
    <row r="16970" spans="8:8" x14ac:dyDescent="0.25">
      <c r="H16970" t="s">
        <v>15254</v>
      </c>
    </row>
    <row r="16971" spans="8:8" x14ac:dyDescent="0.25">
      <c r="H16971" t="s">
        <v>135</v>
      </c>
    </row>
    <row r="16972" spans="8:8" x14ac:dyDescent="0.25">
      <c r="H16972" t="s">
        <v>15255</v>
      </c>
    </row>
    <row r="16973" spans="8:8" x14ac:dyDescent="0.25">
      <c r="H16973" t="s">
        <v>30</v>
      </c>
    </row>
    <row r="16975" spans="8:8" x14ac:dyDescent="0.25">
      <c r="H16975" t="s">
        <v>15256</v>
      </c>
    </row>
    <row r="16976" spans="8:8" x14ac:dyDescent="0.25">
      <c r="H16976" t="s">
        <v>15257</v>
      </c>
    </row>
    <row r="16977" spans="8:8" x14ac:dyDescent="0.25">
      <c r="H16977" t="s">
        <v>135</v>
      </c>
    </row>
    <row r="16978" spans="8:8" x14ac:dyDescent="0.25">
      <c r="H16978" t="s">
        <v>15258</v>
      </c>
    </row>
    <row r="16979" spans="8:8" x14ac:dyDescent="0.25">
      <c r="H16979" t="s">
        <v>30</v>
      </c>
    </row>
    <row r="16981" spans="8:8" x14ac:dyDescent="0.25">
      <c r="H16981" t="s">
        <v>15259</v>
      </c>
    </row>
    <row r="16982" spans="8:8" x14ac:dyDescent="0.25">
      <c r="H16982" t="s">
        <v>15260</v>
      </c>
    </row>
    <row r="16983" spans="8:8" x14ac:dyDescent="0.25">
      <c r="H16983" t="s">
        <v>135</v>
      </c>
    </row>
    <row r="16984" spans="8:8" x14ac:dyDescent="0.25">
      <c r="H16984" t="s">
        <v>15261</v>
      </c>
    </row>
    <row r="16985" spans="8:8" x14ac:dyDescent="0.25">
      <c r="H16985" t="s">
        <v>30</v>
      </c>
    </row>
    <row r="16986" spans="8:8" x14ac:dyDescent="0.25">
      <c r="H16986" t="s">
        <v>136</v>
      </c>
    </row>
    <row r="16987" spans="8:8" x14ac:dyDescent="0.25">
      <c r="H16987" t="s">
        <v>15262</v>
      </c>
    </row>
    <row r="16988" spans="8:8" x14ac:dyDescent="0.25">
      <c r="H16988" t="s">
        <v>30</v>
      </c>
    </row>
    <row r="16989" spans="8:8" x14ac:dyDescent="0.25">
      <c r="H16989" t="s">
        <v>137</v>
      </c>
    </row>
    <row r="16990" spans="8:8" x14ac:dyDescent="0.25">
      <c r="H16990" t="s">
        <v>15263</v>
      </c>
    </row>
    <row r="16991" spans="8:8" x14ac:dyDescent="0.25">
      <c r="H16991" t="s">
        <v>30</v>
      </c>
    </row>
    <row r="16993" spans="8:8" x14ac:dyDescent="0.25">
      <c r="H16993" t="s">
        <v>15264</v>
      </c>
    </row>
    <row r="16994" spans="8:8" x14ac:dyDescent="0.25">
      <c r="H16994" t="s">
        <v>15265</v>
      </c>
    </row>
    <row r="16995" spans="8:8" x14ac:dyDescent="0.25">
      <c r="H16995" t="s">
        <v>135</v>
      </c>
    </row>
    <row r="16996" spans="8:8" x14ac:dyDescent="0.25">
      <c r="H16996" t="s">
        <v>23424</v>
      </c>
    </row>
    <row r="16997" spans="8:8" x14ac:dyDescent="0.25">
      <c r="H16997" t="s">
        <v>30</v>
      </c>
    </row>
    <row r="16999" spans="8:8" x14ac:dyDescent="0.25">
      <c r="H16999" t="s">
        <v>15266</v>
      </c>
    </row>
    <row r="17000" spans="8:8" x14ac:dyDescent="0.25">
      <c r="H17000" t="s">
        <v>15267</v>
      </c>
    </row>
    <row r="17001" spans="8:8" x14ac:dyDescent="0.25">
      <c r="H17001" t="s">
        <v>135</v>
      </c>
    </row>
    <row r="17002" spans="8:8" x14ac:dyDescent="0.25">
      <c r="H17002" t="s">
        <v>15268</v>
      </c>
    </row>
    <row r="17003" spans="8:8" x14ac:dyDescent="0.25">
      <c r="H17003" t="s">
        <v>30</v>
      </c>
    </row>
    <row r="17005" spans="8:8" x14ac:dyDescent="0.25">
      <c r="H17005" t="s">
        <v>15269</v>
      </c>
    </row>
    <row r="17006" spans="8:8" x14ac:dyDescent="0.25">
      <c r="H17006" t="s">
        <v>15270</v>
      </c>
    </row>
    <row r="17007" spans="8:8" x14ac:dyDescent="0.25">
      <c r="H17007" t="s">
        <v>135</v>
      </c>
    </row>
    <row r="17008" spans="8:8" x14ac:dyDescent="0.25">
      <c r="H17008" t="s">
        <v>15271</v>
      </c>
    </row>
    <row r="17009" spans="8:8" x14ac:dyDescent="0.25">
      <c r="H17009" t="s">
        <v>30</v>
      </c>
    </row>
    <row r="17011" spans="8:8" x14ac:dyDescent="0.25">
      <c r="H17011" t="s">
        <v>15272</v>
      </c>
    </row>
    <row r="17012" spans="8:8" x14ac:dyDescent="0.25">
      <c r="H17012" t="s">
        <v>15273</v>
      </c>
    </row>
    <row r="17013" spans="8:8" x14ac:dyDescent="0.25">
      <c r="H17013" t="s">
        <v>135</v>
      </c>
    </row>
    <row r="17014" spans="8:8" x14ac:dyDescent="0.25">
      <c r="H17014" t="s">
        <v>15274</v>
      </c>
    </row>
    <row r="17015" spans="8:8" x14ac:dyDescent="0.25">
      <c r="H17015" t="s">
        <v>30</v>
      </c>
    </row>
    <row r="17017" spans="8:8" x14ac:dyDescent="0.25">
      <c r="H17017" t="s">
        <v>15275</v>
      </c>
    </row>
    <row r="17018" spans="8:8" x14ac:dyDescent="0.25">
      <c r="H17018" t="s">
        <v>15276</v>
      </c>
    </row>
    <row r="17019" spans="8:8" x14ac:dyDescent="0.25">
      <c r="H17019" t="s">
        <v>135</v>
      </c>
    </row>
    <row r="17020" spans="8:8" x14ac:dyDescent="0.25">
      <c r="H17020" t="s">
        <v>15277</v>
      </c>
    </row>
    <row r="17021" spans="8:8" x14ac:dyDescent="0.25">
      <c r="H17021" t="s">
        <v>30</v>
      </c>
    </row>
    <row r="17022" spans="8:8" x14ac:dyDescent="0.25">
      <c r="H17022" t="s">
        <v>136</v>
      </c>
    </row>
    <row r="17023" spans="8:8" x14ac:dyDescent="0.25">
      <c r="H17023" t="s">
        <v>15278</v>
      </c>
    </row>
    <row r="17024" spans="8:8" x14ac:dyDescent="0.25">
      <c r="H17024" t="s">
        <v>30</v>
      </c>
    </row>
    <row r="17025" spans="8:8" x14ac:dyDescent="0.25">
      <c r="H17025" t="s">
        <v>137</v>
      </c>
    </row>
    <row r="17026" spans="8:8" x14ac:dyDescent="0.25">
      <c r="H17026" t="s">
        <v>15279</v>
      </c>
    </row>
    <row r="17027" spans="8:8" x14ac:dyDescent="0.25">
      <c r="H17027" t="s">
        <v>30</v>
      </c>
    </row>
    <row r="17029" spans="8:8" x14ac:dyDescent="0.25">
      <c r="H17029" t="s">
        <v>15280</v>
      </c>
    </row>
    <row r="17030" spans="8:8" x14ac:dyDescent="0.25">
      <c r="H17030" t="s">
        <v>15281</v>
      </c>
    </row>
    <row r="17031" spans="8:8" x14ac:dyDescent="0.25">
      <c r="H17031" t="s">
        <v>135</v>
      </c>
    </row>
    <row r="17032" spans="8:8" x14ac:dyDescent="0.25">
      <c r="H17032" t="s">
        <v>23425</v>
      </c>
    </row>
    <row r="17033" spans="8:8" x14ac:dyDescent="0.25">
      <c r="H17033" t="s">
        <v>30</v>
      </c>
    </row>
    <row r="17035" spans="8:8" x14ac:dyDescent="0.25">
      <c r="H17035" t="s">
        <v>15282</v>
      </c>
    </row>
    <row r="17036" spans="8:8" x14ac:dyDescent="0.25">
      <c r="H17036" t="s">
        <v>15283</v>
      </c>
    </row>
    <row r="17037" spans="8:8" x14ac:dyDescent="0.25">
      <c r="H17037" t="s">
        <v>135</v>
      </c>
    </row>
    <row r="17038" spans="8:8" x14ac:dyDescent="0.25">
      <c r="H17038" t="s">
        <v>15284</v>
      </c>
    </row>
    <row r="17039" spans="8:8" x14ac:dyDescent="0.25">
      <c r="H17039" t="s">
        <v>30</v>
      </c>
    </row>
    <row r="17041" spans="8:8" x14ac:dyDescent="0.25">
      <c r="H17041" t="s">
        <v>15285</v>
      </c>
    </row>
    <row r="17042" spans="8:8" x14ac:dyDescent="0.25">
      <c r="H17042" t="s">
        <v>15286</v>
      </c>
    </row>
    <row r="17043" spans="8:8" x14ac:dyDescent="0.25">
      <c r="H17043" t="s">
        <v>135</v>
      </c>
    </row>
    <row r="17044" spans="8:8" x14ac:dyDescent="0.25">
      <c r="H17044" t="s">
        <v>15287</v>
      </c>
    </row>
    <row r="17045" spans="8:8" x14ac:dyDescent="0.25">
      <c r="H17045" t="s">
        <v>30</v>
      </c>
    </row>
    <row r="17047" spans="8:8" x14ac:dyDescent="0.25">
      <c r="H17047" t="s">
        <v>15288</v>
      </c>
    </row>
    <row r="17048" spans="8:8" x14ac:dyDescent="0.25">
      <c r="H17048" t="s">
        <v>15289</v>
      </c>
    </row>
    <row r="17049" spans="8:8" x14ac:dyDescent="0.25">
      <c r="H17049" t="s">
        <v>135</v>
      </c>
    </row>
    <row r="17050" spans="8:8" x14ac:dyDescent="0.25">
      <c r="H17050" t="s">
        <v>15290</v>
      </c>
    </row>
    <row r="17051" spans="8:8" x14ac:dyDescent="0.25">
      <c r="H17051" t="s">
        <v>30</v>
      </c>
    </row>
    <row r="17053" spans="8:8" x14ac:dyDescent="0.25">
      <c r="H17053" t="s">
        <v>15291</v>
      </c>
    </row>
    <row r="17054" spans="8:8" x14ac:dyDescent="0.25">
      <c r="H17054" t="s">
        <v>15292</v>
      </c>
    </row>
    <row r="17055" spans="8:8" x14ac:dyDescent="0.25">
      <c r="H17055" t="s">
        <v>135</v>
      </c>
    </row>
    <row r="17056" spans="8:8" x14ac:dyDescent="0.25">
      <c r="H17056" t="s">
        <v>15293</v>
      </c>
    </row>
    <row r="17057" spans="8:8" x14ac:dyDescent="0.25">
      <c r="H17057" t="s">
        <v>30</v>
      </c>
    </row>
    <row r="17058" spans="8:8" x14ac:dyDescent="0.25">
      <c r="H17058" t="s">
        <v>136</v>
      </c>
    </row>
    <row r="17059" spans="8:8" x14ac:dyDescent="0.25">
      <c r="H17059" t="s">
        <v>15294</v>
      </c>
    </row>
    <row r="17060" spans="8:8" x14ac:dyDescent="0.25">
      <c r="H17060" t="s">
        <v>30</v>
      </c>
    </row>
    <row r="17061" spans="8:8" x14ac:dyDescent="0.25">
      <c r="H17061" t="s">
        <v>137</v>
      </c>
    </row>
    <row r="17062" spans="8:8" x14ac:dyDescent="0.25">
      <c r="H17062" t="s">
        <v>15295</v>
      </c>
    </row>
    <row r="17063" spans="8:8" x14ac:dyDescent="0.25">
      <c r="H17063" t="s">
        <v>30</v>
      </c>
    </row>
    <row r="17065" spans="8:8" x14ac:dyDescent="0.25">
      <c r="H17065" t="s">
        <v>15296</v>
      </c>
    </row>
    <row r="17066" spans="8:8" x14ac:dyDescent="0.25">
      <c r="H17066" t="s">
        <v>15297</v>
      </c>
    </row>
    <row r="17067" spans="8:8" x14ac:dyDescent="0.25">
      <c r="H17067" t="s">
        <v>135</v>
      </c>
    </row>
    <row r="17068" spans="8:8" x14ac:dyDescent="0.25">
      <c r="H17068" t="s">
        <v>23426</v>
      </c>
    </row>
    <row r="17069" spans="8:8" x14ac:dyDescent="0.25">
      <c r="H17069" t="s">
        <v>30</v>
      </c>
    </row>
    <row r="17071" spans="8:8" x14ac:dyDescent="0.25">
      <c r="H17071" t="s">
        <v>15298</v>
      </c>
    </row>
    <row r="17072" spans="8:8" x14ac:dyDescent="0.25">
      <c r="H17072" t="s">
        <v>15299</v>
      </c>
    </row>
    <row r="17073" spans="8:8" x14ac:dyDescent="0.25">
      <c r="H17073" t="s">
        <v>135</v>
      </c>
    </row>
    <row r="17074" spans="8:8" x14ac:dyDescent="0.25">
      <c r="H17074" t="s">
        <v>15300</v>
      </c>
    </row>
    <row r="17075" spans="8:8" x14ac:dyDescent="0.25">
      <c r="H17075" t="s">
        <v>30</v>
      </c>
    </row>
    <row r="17077" spans="8:8" x14ac:dyDescent="0.25">
      <c r="H17077" t="s">
        <v>15301</v>
      </c>
    </row>
    <row r="17078" spans="8:8" x14ac:dyDescent="0.25">
      <c r="H17078" t="s">
        <v>15302</v>
      </c>
    </row>
    <row r="17079" spans="8:8" x14ac:dyDescent="0.25">
      <c r="H17079" t="s">
        <v>135</v>
      </c>
    </row>
    <row r="17080" spans="8:8" x14ac:dyDescent="0.25">
      <c r="H17080" t="s">
        <v>15303</v>
      </c>
    </row>
    <row r="17081" spans="8:8" x14ac:dyDescent="0.25">
      <c r="H17081" t="s">
        <v>30</v>
      </c>
    </row>
    <row r="17083" spans="8:8" x14ac:dyDescent="0.25">
      <c r="H17083" t="s">
        <v>15304</v>
      </c>
    </row>
    <row r="17084" spans="8:8" x14ac:dyDescent="0.25">
      <c r="H17084" t="s">
        <v>15305</v>
      </c>
    </row>
    <row r="17085" spans="8:8" x14ac:dyDescent="0.25">
      <c r="H17085" t="s">
        <v>135</v>
      </c>
    </row>
    <row r="17086" spans="8:8" x14ac:dyDescent="0.25">
      <c r="H17086" t="s">
        <v>15306</v>
      </c>
    </row>
    <row r="17087" spans="8:8" x14ac:dyDescent="0.25">
      <c r="H17087" t="s">
        <v>30</v>
      </c>
    </row>
    <row r="17089" spans="8:8" x14ac:dyDescent="0.25">
      <c r="H17089" t="s">
        <v>15307</v>
      </c>
    </row>
    <row r="17090" spans="8:8" x14ac:dyDescent="0.25">
      <c r="H17090" t="s">
        <v>15308</v>
      </c>
    </row>
    <row r="17091" spans="8:8" x14ac:dyDescent="0.25">
      <c r="H17091" t="s">
        <v>135</v>
      </c>
    </row>
    <row r="17092" spans="8:8" x14ac:dyDescent="0.25">
      <c r="H17092" t="s">
        <v>15309</v>
      </c>
    </row>
    <row r="17093" spans="8:8" x14ac:dyDescent="0.25">
      <c r="H17093" t="s">
        <v>30</v>
      </c>
    </row>
    <row r="17094" spans="8:8" x14ac:dyDescent="0.25">
      <c r="H17094" t="s">
        <v>136</v>
      </c>
    </row>
    <row r="17095" spans="8:8" x14ac:dyDescent="0.25">
      <c r="H17095" t="s">
        <v>15310</v>
      </c>
    </row>
    <row r="17096" spans="8:8" x14ac:dyDescent="0.25">
      <c r="H17096" t="s">
        <v>30</v>
      </c>
    </row>
    <row r="17097" spans="8:8" x14ac:dyDescent="0.25">
      <c r="H17097" t="s">
        <v>137</v>
      </c>
    </row>
    <row r="17098" spans="8:8" x14ac:dyDescent="0.25">
      <c r="H17098" t="s">
        <v>15311</v>
      </c>
    </row>
    <row r="17099" spans="8:8" x14ac:dyDescent="0.25">
      <c r="H17099" t="s">
        <v>30</v>
      </c>
    </row>
    <row r="17101" spans="8:8" x14ac:dyDescent="0.25">
      <c r="H17101" t="s">
        <v>15312</v>
      </c>
    </row>
    <row r="17102" spans="8:8" x14ac:dyDescent="0.25">
      <c r="H17102" t="s">
        <v>15313</v>
      </c>
    </row>
    <row r="17103" spans="8:8" x14ac:dyDescent="0.25">
      <c r="H17103" t="s">
        <v>135</v>
      </c>
    </row>
    <row r="17104" spans="8:8" x14ac:dyDescent="0.25">
      <c r="H17104" t="s">
        <v>23427</v>
      </c>
    </row>
    <row r="17105" spans="8:8" x14ac:dyDescent="0.25">
      <c r="H17105" t="s">
        <v>30</v>
      </c>
    </row>
    <row r="17107" spans="8:8" x14ac:dyDescent="0.25">
      <c r="H17107" t="s">
        <v>15314</v>
      </c>
    </row>
    <row r="17108" spans="8:8" x14ac:dyDescent="0.25">
      <c r="H17108" t="s">
        <v>15315</v>
      </c>
    </row>
    <row r="17109" spans="8:8" x14ac:dyDescent="0.25">
      <c r="H17109" t="s">
        <v>135</v>
      </c>
    </row>
    <row r="17110" spans="8:8" x14ac:dyDescent="0.25">
      <c r="H17110" t="s">
        <v>15316</v>
      </c>
    </row>
    <row r="17111" spans="8:8" x14ac:dyDescent="0.25">
      <c r="H17111" t="s">
        <v>30</v>
      </c>
    </row>
    <row r="17113" spans="8:8" x14ac:dyDescent="0.25">
      <c r="H17113" t="s">
        <v>15317</v>
      </c>
    </row>
    <row r="17114" spans="8:8" x14ac:dyDescent="0.25">
      <c r="H17114" t="s">
        <v>15318</v>
      </c>
    </row>
    <row r="17115" spans="8:8" x14ac:dyDescent="0.25">
      <c r="H17115" t="s">
        <v>135</v>
      </c>
    </row>
    <row r="17116" spans="8:8" x14ac:dyDescent="0.25">
      <c r="H17116" t="s">
        <v>15319</v>
      </c>
    </row>
    <row r="17117" spans="8:8" x14ac:dyDescent="0.25">
      <c r="H17117" t="s">
        <v>30</v>
      </c>
    </row>
    <row r="17119" spans="8:8" x14ac:dyDescent="0.25">
      <c r="H17119" t="s">
        <v>15320</v>
      </c>
    </row>
    <row r="17120" spans="8:8" x14ac:dyDescent="0.25">
      <c r="H17120" t="s">
        <v>15321</v>
      </c>
    </row>
    <row r="17121" spans="8:8" x14ac:dyDescent="0.25">
      <c r="H17121" t="s">
        <v>135</v>
      </c>
    </row>
    <row r="17122" spans="8:8" x14ac:dyDescent="0.25">
      <c r="H17122" t="s">
        <v>15322</v>
      </c>
    </row>
    <row r="17123" spans="8:8" x14ac:dyDescent="0.25">
      <c r="H17123" t="s">
        <v>30</v>
      </c>
    </row>
    <row r="17125" spans="8:8" x14ac:dyDescent="0.25">
      <c r="H17125" t="s">
        <v>15323</v>
      </c>
    </row>
    <row r="17126" spans="8:8" x14ac:dyDescent="0.25">
      <c r="H17126" t="s">
        <v>15324</v>
      </c>
    </row>
    <row r="17127" spans="8:8" x14ac:dyDescent="0.25">
      <c r="H17127" t="s">
        <v>135</v>
      </c>
    </row>
    <row r="17128" spans="8:8" x14ac:dyDescent="0.25">
      <c r="H17128" t="s">
        <v>15325</v>
      </c>
    </row>
    <row r="17129" spans="8:8" x14ac:dyDescent="0.25">
      <c r="H17129" t="s">
        <v>30</v>
      </c>
    </row>
    <row r="17130" spans="8:8" x14ac:dyDescent="0.25">
      <c r="H17130" t="s">
        <v>136</v>
      </c>
    </row>
    <row r="17131" spans="8:8" x14ac:dyDescent="0.25">
      <c r="H17131" t="s">
        <v>15326</v>
      </c>
    </row>
    <row r="17132" spans="8:8" x14ac:dyDescent="0.25">
      <c r="H17132" t="s">
        <v>30</v>
      </c>
    </row>
    <row r="17133" spans="8:8" x14ac:dyDescent="0.25">
      <c r="H17133" t="s">
        <v>137</v>
      </c>
    </row>
    <row r="17134" spans="8:8" x14ac:dyDescent="0.25">
      <c r="H17134" t="s">
        <v>15327</v>
      </c>
    </row>
    <row r="17135" spans="8:8" x14ac:dyDescent="0.25">
      <c r="H17135" t="s">
        <v>30</v>
      </c>
    </row>
    <row r="17137" spans="8:8" x14ac:dyDescent="0.25">
      <c r="H17137" t="s">
        <v>15328</v>
      </c>
    </row>
    <row r="17138" spans="8:8" x14ac:dyDescent="0.25">
      <c r="H17138" t="s">
        <v>15329</v>
      </c>
    </row>
    <row r="17139" spans="8:8" x14ac:dyDescent="0.25">
      <c r="H17139" t="s">
        <v>135</v>
      </c>
    </row>
    <row r="17140" spans="8:8" x14ac:dyDescent="0.25">
      <c r="H17140" t="s">
        <v>23428</v>
      </c>
    </row>
    <row r="17141" spans="8:8" x14ac:dyDescent="0.25">
      <c r="H17141" t="s">
        <v>30</v>
      </c>
    </row>
    <row r="17143" spans="8:8" x14ac:dyDescent="0.25">
      <c r="H17143" t="s">
        <v>15330</v>
      </c>
    </row>
    <row r="17144" spans="8:8" x14ac:dyDescent="0.25">
      <c r="H17144" t="s">
        <v>15331</v>
      </c>
    </row>
    <row r="17145" spans="8:8" x14ac:dyDescent="0.25">
      <c r="H17145" t="s">
        <v>135</v>
      </c>
    </row>
    <row r="17146" spans="8:8" x14ac:dyDescent="0.25">
      <c r="H17146" t="s">
        <v>15332</v>
      </c>
    </row>
    <row r="17147" spans="8:8" x14ac:dyDescent="0.25">
      <c r="H17147" t="s">
        <v>30</v>
      </c>
    </row>
    <row r="17149" spans="8:8" x14ac:dyDescent="0.25">
      <c r="H17149" t="s">
        <v>15333</v>
      </c>
    </row>
    <row r="17150" spans="8:8" x14ac:dyDescent="0.25">
      <c r="H17150" t="s">
        <v>15334</v>
      </c>
    </row>
    <row r="17151" spans="8:8" x14ac:dyDescent="0.25">
      <c r="H17151" t="s">
        <v>135</v>
      </c>
    </row>
    <row r="17152" spans="8:8" x14ac:dyDescent="0.25">
      <c r="H17152" t="s">
        <v>15335</v>
      </c>
    </row>
    <row r="17153" spans="8:8" x14ac:dyDescent="0.25">
      <c r="H17153" t="s">
        <v>30</v>
      </c>
    </row>
    <row r="17155" spans="8:8" x14ac:dyDescent="0.25">
      <c r="H17155" t="s">
        <v>15336</v>
      </c>
    </row>
    <row r="17156" spans="8:8" x14ac:dyDescent="0.25">
      <c r="H17156" t="s">
        <v>15337</v>
      </c>
    </row>
    <row r="17157" spans="8:8" x14ac:dyDescent="0.25">
      <c r="H17157" t="s">
        <v>135</v>
      </c>
    </row>
    <row r="17158" spans="8:8" x14ac:dyDescent="0.25">
      <c r="H17158" t="s">
        <v>15338</v>
      </c>
    </row>
    <row r="17159" spans="8:8" x14ac:dyDescent="0.25">
      <c r="H17159" t="s">
        <v>30</v>
      </c>
    </row>
    <row r="17161" spans="8:8" x14ac:dyDescent="0.25">
      <c r="H17161" t="s">
        <v>15339</v>
      </c>
    </row>
    <row r="17162" spans="8:8" x14ac:dyDescent="0.25">
      <c r="H17162" t="s">
        <v>15340</v>
      </c>
    </row>
    <row r="17163" spans="8:8" x14ac:dyDescent="0.25">
      <c r="H17163" t="s">
        <v>135</v>
      </c>
    </row>
    <row r="17164" spans="8:8" x14ac:dyDescent="0.25">
      <c r="H17164" t="s">
        <v>15341</v>
      </c>
    </row>
    <row r="17165" spans="8:8" x14ac:dyDescent="0.25">
      <c r="H17165" t="s">
        <v>30</v>
      </c>
    </row>
    <row r="17166" spans="8:8" x14ac:dyDescent="0.25">
      <c r="H17166" t="s">
        <v>136</v>
      </c>
    </row>
    <row r="17167" spans="8:8" x14ac:dyDescent="0.25">
      <c r="H17167" t="s">
        <v>15342</v>
      </c>
    </row>
    <row r="17168" spans="8:8" x14ac:dyDescent="0.25">
      <c r="H17168" t="s">
        <v>30</v>
      </c>
    </row>
    <row r="17169" spans="8:8" x14ac:dyDescent="0.25">
      <c r="H17169" t="s">
        <v>137</v>
      </c>
    </row>
    <row r="17170" spans="8:8" x14ac:dyDescent="0.25">
      <c r="H17170" t="s">
        <v>15343</v>
      </c>
    </row>
    <row r="17171" spans="8:8" x14ac:dyDescent="0.25">
      <c r="H17171" t="s">
        <v>30</v>
      </c>
    </row>
    <row r="17173" spans="8:8" x14ac:dyDescent="0.25">
      <c r="H17173" t="s">
        <v>15344</v>
      </c>
    </row>
    <row r="17174" spans="8:8" x14ac:dyDescent="0.25">
      <c r="H17174" t="s">
        <v>15345</v>
      </c>
    </row>
    <row r="17175" spans="8:8" x14ac:dyDescent="0.25">
      <c r="H17175" t="s">
        <v>135</v>
      </c>
    </row>
    <row r="17176" spans="8:8" x14ac:dyDescent="0.25">
      <c r="H17176" t="s">
        <v>23429</v>
      </c>
    </row>
    <row r="17177" spans="8:8" x14ac:dyDescent="0.25">
      <c r="H17177" t="s">
        <v>30</v>
      </c>
    </row>
    <row r="17179" spans="8:8" x14ac:dyDescent="0.25">
      <c r="H17179" t="s">
        <v>15346</v>
      </c>
    </row>
    <row r="17180" spans="8:8" x14ac:dyDescent="0.25">
      <c r="H17180" t="s">
        <v>15347</v>
      </c>
    </row>
    <row r="17181" spans="8:8" x14ac:dyDescent="0.25">
      <c r="H17181" t="s">
        <v>135</v>
      </c>
    </row>
    <row r="17182" spans="8:8" x14ac:dyDescent="0.25">
      <c r="H17182" t="s">
        <v>15348</v>
      </c>
    </row>
    <row r="17183" spans="8:8" x14ac:dyDescent="0.25">
      <c r="H17183" t="s">
        <v>30</v>
      </c>
    </row>
    <row r="17185" spans="8:8" x14ac:dyDescent="0.25">
      <c r="H17185" t="s">
        <v>15349</v>
      </c>
    </row>
    <row r="17186" spans="8:8" x14ac:dyDescent="0.25">
      <c r="H17186" t="s">
        <v>15350</v>
      </c>
    </row>
    <row r="17187" spans="8:8" x14ac:dyDescent="0.25">
      <c r="H17187" t="s">
        <v>135</v>
      </c>
    </row>
    <row r="17188" spans="8:8" x14ac:dyDescent="0.25">
      <c r="H17188" t="s">
        <v>15351</v>
      </c>
    </row>
    <row r="17189" spans="8:8" x14ac:dyDescent="0.25">
      <c r="H17189" t="s">
        <v>30</v>
      </c>
    </row>
    <row r="17191" spans="8:8" x14ac:dyDescent="0.25">
      <c r="H17191" t="s">
        <v>15352</v>
      </c>
    </row>
    <row r="17192" spans="8:8" x14ac:dyDescent="0.25">
      <c r="H17192" t="s">
        <v>15353</v>
      </c>
    </row>
    <row r="17193" spans="8:8" x14ac:dyDescent="0.25">
      <c r="H17193" t="s">
        <v>135</v>
      </c>
    </row>
    <row r="17194" spans="8:8" x14ac:dyDescent="0.25">
      <c r="H17194" t="s">
        <v>15354</v>
      </c>
    </row>
    <row r="17195" spans="8:8" x14ac:dyDescent="0.25">
      <c r="H17195" t="s">
        <v>30</v>
      </c>
    </row>
    <row r="17197" spans="8:8" x14ac:dyDescent="0.25">
      <c r="H17197" t="s">
        <v>15355</v>
      </c>
    </row>
    <row r="17198" spans="8:8" x14ac:dyDescent="0.25">
      <c r="H17198" t="s">
        <v>15356</v>
      </c>
    </row>
    <row r="17199" spans="8:8" x14ac:dyDescent="0.25">
      <c r="H17199" t="s">
        <v>135</v>
      </c>
    </row>
    <row r="17200" spans="8:8" x14ac:dyDescent="0.25">
      <c r="H17200" t="s">
        <v>15357</v>
      </c>
    </row>
    <row r="17201" spans="8:8" x14ac:dyDescent="0.25">
      <c r="H17201" t="s">
        <v>30</v>
      </c>
    </row>
    <row r="17202" spans="8:8" x14ac:dyDescent="0.25">
      <c r="H17202" t="s">
        <v>136</v>
      </c>
    </row>
    <row r="17203" spans="8:8" x14ac:dyDescent="0.25">
      <c r="H17203" t="s">
        <v>15358</v>
      </c>
    </row>
    <row r="17204" spans="8:8" x14ac:dyDescent="0.25">
      <c r="H17204" t="s">
        <v>30</v>
      </c>
    </row>
    <row r="17205" spans="8:8" x14ac:dyDescent="0.25">
      <c r="H17205" t="s">
        <v>137</v>
      </c>
    </row>
    <row r="17206" spans="8:8" x14ac:dyDescent="0.25">
      <c r="H17206" t="s">
        <v>15359</v>
      </c>
    </row>
    <row r="17207" spans="8:8" x14ac:dyDescent="0.25">
      <c r="H17207" t="s">
        <v>30</v>
      </c>
    </row>
    <row r="17209" spans="8:8" x14ac:dyDescent="0.25">
      <c r="H17209" t="s">
        <v>15360</v>
      </c>
    </row>
    <row r="17210" spans="8:8" x14ac:dyDescent="0.25">
      <c r="H17210" t="s">
        <v>15361</v>
      </c>
    </row>
    <row r="17211" spans="8:8" x14ac:dyDescent="0.25">
      <c r="H17211" t="s">
        <v>135</v>
      </c>
    </row>
    <row r="17212" spans="8:8" x14ac:dyDescent="0.25">
      <c r="H17212" t="s">
        <v>23430</v>
      </c>
    </row>
    <row r="17213" spans="8:8" x14ac:dyDescent="0.25">
      <c r="H17213" t="s">
        <v>30</v>
      </c>
    </row>
    <row r="17215" spans="8:8" x14ac:dyDescent="0.25">
      <c r="H17215" t="s">
        <v>15362</v>
      </c>
    </row>
    <row r="17216" spans="8:8" x14ac:dyDescent="0.25">
      <c r="H17216" t="s">
        <v>15363</v>
      </c>
    </row>
    <row r="17217" spans="8:8" x14ac:dyDescent="0.25">
      <c r="H17217" t="s">
        <v>135</v>
      </c>
    </row>
    <row r="17218" spans="8:8" x14ac:dyDescent="0.25">
      <c r="H17218" t="s">
        <v>15364</v>
      </c>
    </row>
    <row r="17219" spans="8:8" x14ac:dyDescent="0.25">
      <c r="H17219" t="s">
        <v>30</v>
      </c>
    </row>
    <row r="17221" spans="8:8" x14ac:dyDescent="0.25">
      <c r="H17221" t="s">
        <v>15365</v>
      </c>
    </row>
    <row r="17222" spans="8:8" x14ac:dyDescent="0.25">
      <c r="H17222" t="s">
        <v>15366</v>
      </c>
    </row>
    <row r="17223" spans="8:8" x14ac:dyDescent="0.25">
      <c r="H17223" t="s">
        <v>135</v>
      </c>
    </row>
    <row r="17224" spans="8:8" x14ac:dyDescent="0.25">
      <c r="H17224" t="s">
        <v>15367</v>
      </c>
    </row>
    <row r="17225" spans="8:8" x14ac:dyDescent="0.25">
      <c r="H17225" t="s">
        <v>30</v>
      </c>
    </row>
    <row r="17227" spans="8:8" x14ac:dyDescent="0.25">
      <c r="H17227" t="s">
        <v>15368</v>
      </c>
    </row>
    <row r="17228" spans="8:8" x14ac:dyDescent="0.25">
      <c r="H17228" t="s">
        <v>15369</v>
      </c>
    </row>
    <row r="17229" spans="8:8" x14ac:dyDescent="0.25">
      <c r="H17229" t="s">
        <v>135</v>
      </c>
    </row>
    <row r="17230" spans="8:8" x14ac:dyDescent="0.25">
      <c r="H17230" t="s">
        <v>15370</v>
      </c>
    </row>
    <row r="17231" spans="8:8" x14ac:dyDescent="0.25">
      <c r="H17231" t="s">
        <v>30</v>
      </c>
    </row>
    <row r="17233" spans="8:8" x14ac:dyDescent="0.25">
      <c r="H17233" t="s">
        <v>15371</v>
      </c>
    </row>
    <row r="17234" spans="8:8" x14ac:dyDescent="0.25">
      <c r="H17234" t="s">
        <v>15372</v>
      </c>
    </row>
    <row r="17235" spans="8:8" x14ac:dyDescent="0.25">
      <c r="H17235" t="s">
        <v>135</v>
      </c>
    </row>
    <row r="17236" spans="8:8" x14ac:dyDescent="0.25">
      <c r="H17236" t="s">
        <v>15373</v>
      </c>
    </row>
    <row r="17237" spans="8:8" x14ac:dyDescent="0.25">
      <c r="H17237" t="s">
        <v>30</v>
      </c>
    </row>
    <row r="17238" spans="8:8" x14ac:dyDescent="0.25">
      <c r="H17238" t="s">
        <v>136</v>
      </c>
    </row>
    <row r="17239" spans="8:8" x14ac:dyDescent="0.25">
      <c r="H17239" t="s">
        <v>15374</v>
      </c>
    </row>
    <row r="17240" spans="8:8" x14ac:dyDescent="0.25">
      <c r="H17240" t="s">
        <v>30</v>
      </c>
    </row>
    <row r="17241" spans="8:8" x14ac:dyDescent="0.25">
      <c r="H17241" t="s">
        <v>137</v>
      </c>
    </row>
    <row r="17242" spans="8:8" x14ac:dyDescent="0.25">
      <c r="H17242" t="s">
        <v>15375</v>
      </c>
    </row>
    <row r="17243" spans="8:8" x14ac:dyDescent="0.25">
      <c r="H17243" t="s">
        <v>30</v>
      </c>
    </row>
    <row r="17245" spans="8:8" x14ac:dyDescent="0.25">
      <c r="H17245" t="s">
        <v>15376</v>
      </c>
    </row>
    <row r="17246" spans="8:8" x14ac:dyDescent="0.25">
      <c r="H17246" t="s">
        <v>15377</v>
      </c>
    </row>
    <row r="17247" spans="8:8" x14ac:dyDescent="0.25">
      <c r="H17247" t="s">
        <v>135</v>
      </c>
    </row>
    <row r="17248" spans="8:8" x14ac:dyDescent="0.25">
      <c r="H17248" t="s">
        <v>23431</v>
      </c>
    </row>
    <row r="17249" spans="8:8" x14ac:dyDescent="0.25">
      <c r="H17249" t="s">
        <v>30</v>
      </c>
    </row>
    <row r="17251" spans="8:8" x14ac:dyDescent="0.25">
      <c r="H17251" t="s">
        <v>15378</v>
      </c>
    </row>
    <row r="17252" spans="8:8" x14ac:dyDescent="0.25">
      <c r="H17252" t="s">
        <v>15379</v>
      </c>
    </row>
    <row r="17253" spans="8:8" x14ac:dyDescent="0.25">
      <c r="H17253" t="s">
        <v>135</v>
      </c>
    </row>
    <row r="17254" spans="8:8" x14ac:dyDescent="0.25">
      <c r="H17254" t="s">
        <v>15380</v>
      </c>
    </row>
    <row r="17255" spans="8:8" x14ac:dyDescent="0.25">
      <c r="H17255" t="s">
        <v>30</v>
      </c>
    </row>
    <row r="17257" spans="8:8" x14ac:dyDescent="0.25">
      <c r="H17257" t="s">
        <v>15381</v>
      </c>
    </row>
    <row r="17258" spans="8:8" x14ac:dyDescent="0.25">
      <c r="H17258" t="s">
        <v>15382</v>
      </c>
    </row>
    <row r="17259" spans="8:8" x14ac:dyDescent="0.25">
      <c r="H17259" t="s">
        <v>135</v>
      </c>
    </row>
    <row r="17260" spans="8:8" x14ac:dyDescent="0.25">
      <c r="H17260" t="s">
        <v>15383</v>
      </c>
    </row>
    <row r="17261" spans="8:8" x14ac:dyDescent="0.25">
      <c r="H17261" t="s">
        <v>30</v>
      </c>
    </row>
    <row r="17263" spans="8:8" x14ac:dyDescent="0.25">
      <c r="H17263" t="s">
        <v>15384</v>
      </c>
    </row>
    <row r="17264" spans="8:8" x14ac:dyDescent="0.25">
      <c r="H17264" t="s">
        <v>15385</v>
      </c>
    </row>
    <row r="17265" spans="8:8" x14ac:dyDescent="0.25">
      <c r="H17265" t="s">
        <v>135</v>
      </c>
    </row>
    <row r="17266" spans="8:8" x14ac:dyDescent="0.25">
      <c r="H17266" t="s">
        <v>15386</v>
      </c>
    </row>
    <row r="17267" spans="8:8" x14ac:dyDescent="0.25">
      <c r="H17267" t="s">
        <v>30</v>
      </c>
    </row>
    <row r="17269" spans="8:8" x14ac:dyDescent="0.25">
      <c r="H17269" t="s">
        <v>15387</v>
      </c>
    </row>
    <row r="17270" spans="8:8" x14ac:dyDescent="0.25">
      <c r="H17270" t="s">
        <v>15388</v>
      </c>
    </row>
    <row r="17271" spans="8:8" x14ac:dyDescent="0.25">
      <c r="H17271" t="s">
        <v>135</v>
      </c>
    </row>
    <row r="17272" spans="8:8" x14ac:dyDescent="0.25">
      <c r="H17272" t="s">
        <v>15389</v>
      </c>
    </row>
    <row r="17273" spans="8:8" x14ac:dyDescent="0.25">
      <c r="H17273" t="s">
        <v>30</v>
      </c>
    </row>
    <row r="17274" spans="8:8" x14ac:dyDescent="0.25">
      <c r="H17274" t="s">
        <v>136</v>
      </c>
    </row>
    <row r="17275" spans="8:8" x14ac:dyDescent="0.25">
      <c r="H17275" t="s">
        <v>15390</v>
      </c>
    </row>
    <row r="17276" spans="8:8" x14ac:dyDescent="0.25">
      <c r="H17276" t="s">
        <v>30</v>
      </c>
    </row>
    <row r="17277" spans="8:8" x14ac:dyDescent="0.25">
      <c r="H17277" t="s">
        <v>137</v>
      </c>
    </row>
    <row r="17278" spans="8:8" x14ac:dyDescent="0.25">
      <c r="H17278" t="s">
        <v>15391</v>
      </c>
    </row>
    <row r="17279" spans="8:8" x14ac:dyDescent="0.25">
      <c r="H17279" t="s">
        <v>30</v>
      </c>
    </row>
    <row r="17281" spans="8:8" x14ac:dyDescent="0.25">
      <c r="H17281" t="s">
        <v>15392</v>
      </c>
    </row>
    <row r="17282" spans="8:8" x14ac:dyDescent="0.25">
      <c r="H17282" t="s">
        <v>15393</v>
      </c>
    </row>
    <row r="17283" spans="8:8" x14ac:dyDescent="0.25">
      <c r="H17283" t="s">
        <v>135</v>
      </c>
    </row>
    <row r="17284" spans="8:8" x14ac:dyDescent="0.25">
      <c r="H17284" t="s">
        <v>23432</v>
      </c>
    </row>
    <row r="17285" spans="8:8" x14ac:dyDescent="0.25">
      <c r="H17285" t="s">
        <v>30</v>
      </c>
    </row>
    <row r="17287" spans="8:8" x14ac:dyDescent="0.25">
      <c r="H17287" t="s">
        <v>15394</v>
      </c>
    </row>
    <row r="17288" spans="8:8" x14ac:dyDescent="0.25">
      <c r="H17288" t="s">
        <v>15395</v>
      </c>
    </row>
    <row r="17289" spans="8:8" x14ac:dyDescent="0.25">
      <c r="H17289" t="s">
        <v>135</v>
      </c>
    </row>
    <row r="17290" spans="8:8" x14ac:dyDescent="0.25">
      <c r="H17290" t="s">
        <v>15396</v>
      </c>
    </row>
    <row r="17291" spans="8:8" x14ac:dyDescent="0.25">
      <c r="H17291" t="s">
        <v>30</v>
      </c>
    </row>
    <row r="17293" spans="8:8" x14ac:dyDescent="0.25">
      <c r="H17293" t="s">
        <v>15397</v>
      </c>
    </row>
    <row r="17294" spans="8:8" x14ac:dyDescent="0.25">
      <c r="H17294" t="s">
        <v>15398</v>
      </c>
    </row>
    <row r="17295" spans="8:8" x14ac:dyDescent="0.25">
      <c r="H17295" t="s">
        <v>135</v>
      </c>
    </row>
    <row r="17296" spans="8:8" x14ac:dyDescent="0.25">
      <c r="H17296" t="s">
        <v>15399</v>
      </c>
    </row>
    <row r="17297" spans="8:8" x14ac:dyDescent="0.25">
      <c r="H17297" t="s">
        <v>30</v>
      </c>
    </row>
    <row r="17299" spans="8:8" x14ac:dyDescent="0.25">
      <c r="H17299" t="s">
        <v>15400</v>
      </c>
    </row>
    <row r="17300" spans="8:8" x14ac:dyDescent="0.25">
      <c r="H17300" t="s">
        <v>15401</v>
      </c>
    </row>
    <row r="17301" spans="8:8" x14ac:dyDescent="0.25">
      <c r="H17301" t="s">
        <v>135</v>
      </c>
    </row>
    <row r="17302" spans="8:8" x14ac:dyDescent="0.25">
      <c r="H17302" t="s">
        <v>15402</v>
      </c>
    </row>
    <row r="17303" spans="8:8" x14ac:dyDescent="0.25">
      <c r="H17303" t="s">
        <v>30</v>
      </c>
    </row>
    <row r="17305" spans="8:8" x14ac:dyDescent="0.25">
      <c r="H17305" t="s">
        <v>15403</v>
      </c>
    </row>
    <row r="17306" spans="8:8" x14ac:dyDescent="0.25">
      <c r="H17306" t="s">
        <v>15404</v>
      </c>
    </row>
    <row r="17307" spans="8:8" x14ac:dyDescent="0.25">
      <c r="H17307" t="s">
        <v>135</v>
      </c>
    </row>
    <row r="17308" spans="8:8" x14ac:dyDescent="0.25">
      <c r="H17308" t="s">
        <v>15405</v>
      </c>
    </row>
    <row r="17309" spans="8:8" x14ac:dyDescent="0.25">
      <c r="H17309" t="s">
        <v>30</v>
      </c>
    </row>
    <row r="17310" spans="8:8" x14ac:dyDescent="0.25">
      <c r="H17310" t="s">
        <v>136</v>
      </c>
    </row>
    <row r="17311" spans="8:8" x14ac:dyDescent="0.25">
      <c r="H17311" t="s">
        <v>15406</v>
      </c>
    </row>
    <row r="17312" spans="8:8" x14ac:dyDescent="0.25">
      <c r="H17312" t="s">
        <v>30</v>
      </c>
    </row>
    <row r="17313" spans="8:8" x14ac:dyDescent="0.25">
      <c r="H17313" t="s">
        <v>137</v>
      </c>
    </row>
    <row r="17314" spans="8:8" x14ac:dyDescent="0.25">
      <c r="H17314" t="s">
        <v>15407</v>
      </c>
    </row>
    <row r="17315" spans="8:8" x14ac:dyDescent="0.25">
      <c r="H17315" t="s">
        <v>30</v>
      </c>
    </row>
    <row r="17317" spans="8:8" x14ac:dyDescent="0.25">
      <c r="H17317" t="s">
        <v>15408</v>
      </c>
    </row>
    <row r="17318" spans="8:8" x14ac:dyDescent="0.25">
      <c r="H17318" t="s">
        <v>15409</v>
      </c>
    </row>
    <row r="17319" spans="8:8" x14ac:dyDescent="0.25">
      <c r="H17319" t="s">
        <v>135</v>
      </c>
    </row>
    <row r="17320" spans="8:8" x14ac:dyDescent="0.25">
      <c r="H17320" t="s">
        <v>23433</v>
      </c>
    </row>
    <row r="17321" spans="8:8" x14ac:dyDescent="0.25">
      <c r="H17321" t="s">
        <v>30</v>
      </c>
    </row>
    <row r="17323" spans="8:8" x14ac:dyDescent="0.25">
      <c r="H17323" t="s">
        <v>15410</v>
      </c>
    </row>
    <row r="17324" spans="8:8" x14ac:dyDescent="0.25">
      <c r="H17324" t="s">
        <v>15411</v>
      </c>
    </row>
    <row r="17325" spans="8:8" x14ac:dyDescent="0.25">
      <c r="H17325" t="s">
        <v>135</v>
      </c>
    </row>
    <row r="17326" spans="8:8" x14ac:dyDescent="0.25">
      <c r="H17326" t="s">
        <v>15412</v>
      </c>
    </row>
    <row r="17327" spans="8:8" x14ac:dyDescent="0.25">
      <c r="H17327" t="s">
        <v>30</v>
      </c>
    </row>
    <row r="17329" spans="8:8" x14ac:dyDescent="0.25">
      <c r="H17329" t="s">
        <v>15413</v>
      </c>
    </row>
    <row r="17330" spans="8:8" x14ac:dyDescent="0.25">
      <c r="H17330" t="s">
        <v>15414</v>
      </c>
    </row>
    <row r="17331" spans="8:8" x14ac:dyDescent="0.25">
      <c r="H17331" t="s">
        <v>135</v>
      </c>
    </row>
    <row r="17332" spans="8:8" x14ac:dyDescent="0.25">
      <c r="H17332" t="s">
        <v>15415</v>
      </c>
    </row>
    <row r="17333" spans="8:8" x14ac:dyDescent="0.25">
      <c r="H17333" t="s">
        <v>30</v>
      </c>
    </row>
    <row r="17335" spans="8:8" x14ac:dyDescent="0.25">
      <c r="H17335" t="s">
        <v>15416</v>
      </c>
    </row>
    <row r="17336" spans="8:8" x14ac:dyDescent="0.25">
      <c r="H17336" t="s">
        <v>15417</v>
      </c>
    </row>
    <row r="17337" spans="8:8" x14ac:dyDescent="0.25">
      <c r="H17337" t="s">
        <v>135</v>
      </c>
    </row>
    <row r="17338" spans="8:8" x14ac:dyDescent="0.25">
      <c r="H17338" t="s">
        <v>15418</v>
      </c>
    </row>
    <row r="17339" spans="8:8" x14ac:dyDescent="0.25">
      <c r="H17339" t="s">
        <v>30</v>
      </c>
    </row>
    <row r="17340" spans="8:8" x14ac:dyDescent="0.25">
      <c r="H17340" t="s">
        <v>15419</v>
      </c>
    </row>
    <row r="17341" spans="8:8" x14ac:dyDescent="0.25">
      <c r="H17341" t="s">
        <v>136</v>
      </c>
    </row>
    <row r="17342" spans="8:8" x14ac:dyDescent="0.25">
      <c r="H17342" t="s">
        <v>15420</v>
      </c>
    </row>
    <row r="17343" spans="8:8" x14ac:dyDescent="0.25">
      <c r="H17343" t="s">
        <v>30</v>
      </c>
    </row>
    <row r="17345" spans="8:8" x14ac:dyDescent="0.25">
      <c r="H17345" t="s">
        <v>15421</v>
      </c>
    </row>
    <row r="17346" spans="8:8" x14ac:dyDescent="0.25">
      <c r="H17346" t="s">
        <v>15422</v>
      </c>
    </row>
    <row r="17347" spans="8:8" x14ac:dyDescent="0.25">
      <c r="H17347" t="s">
        <v>135</v>
      </c>
    </row>
    <row r="17348" spans="8:8" x14ac:dyDescent="0.25">
      <c r="H17348" t="s">
        <v>15423</v>
      </c>
    </row>
    <row r="17349" spans="8:8" x14ac:dyDescent="0.25">
      <c r="H17349" t="s">
        <v>30</v>
      </c>
    </row>
    <row r="17351" spans="8:8" x14ac:dyDescent="0.25">
      <c r="H17351" t="s">
        <v>15424</v>
      </c>
    </row>
    <row r="17352" spans="8:8" x14ac:dyDescent="0.25">
      <c r="H17352" t="s">
        <v>15425</v>
      </c>
    </row>
    <row r="17353" spans="8:8" x14ac:dyDescent="0.25">
      <c r="H17353" t="s">
        <v>135</v>
      </c>
    </row>
    <row r="17354" spans="8:8" x14ac:dyDescent="0.25">
      <c r="H17354" t="s">
        <v>15426</v>
      </c>
    </row>
    <row r="17355" spans="8:8" x14ac:dyDescent="0.25">
      <c r="H17355" t="s">
        <v>30</v>
      </c>
    </row>
    <row r="17357" spans="8:8" x14ac:dyDescent="0.25">
      <c r="H17357" t="s">
        <v>15427</v>
      </c>
    </row>
    <row r="17358" spans="8:8" x14ac:dyDescent="0.25">
      <c r="H17358" t="s">
        <v>15428</v>
      </c>
    </row>
    <row r="17359" spans="8:8" x14ac:dyDescent="0.25">
      <c r="H17359" t="s">
        <v>135</v>
      </c>
    </row>
    <row r="17360" spans="8:8" x14ac:dyDescent="0.25">
      <c r="H17360" t="s">
        <v>15429</v>
      </c>
    </row>
    <row r="17361" spans="8:8" x14ac:dyDescent="0.25">
      <c r="H17361" t="s">
        <v>30</v>
      </c>
    </row>
    <row r="17363" spans="8:8" x14ac:dyDescent="0.25">
      <c r="H17363" t="s">
        <v>15430</v>
      </c>
    </row>
    <row r="17364" spans="8:8" x14ac:dyDescent="0.25">
      <c r="H17364" t="s">
        <v>15431</v>
      </c>
    </row>
    <row r="17365" spans="8:8" x14ac:dyDescent="0.25">
      <c r="H17365" t="s">
        <v>135</v>
      </c>
    </row>
    <row r="17366" spans="8:8" x14ac:dyDescent="0.25">
      <c r="H17366" t="s">
        <v>15432</v>
      </c>
    </row>
    <row r="17367" spans="8:8" x14ac:dyDescent="0.25">
      <c r="H17367" t="s">
        <v>30</v>
      </c>
    </row>
    <row r="17369" spans="8:8" x14ac:dyDescent="0.25">
      <c r="H17369" t="s">
        <v>15433</v>
      </c>
    </row>
    <row r="17370" spans="8:8" x14ac:dyDescent="0.25">
      <c r="H17370" t="s">
        <v>15434</v>
      </c>
    </row>
    <row r="17371" spans="8:8" x14ac:dyDescent="0.25">
      <c r="H17371" t="s">
        <v>135</v>
      </c>
    </row>
    <row r="17372" spans="8:8" x14ac:dyDescent="0.25">
      <c r="H17372" t="s">
        <v>15435</v>
      </c>
    </row>
    <row r="17373" spans="8:8" x14ac:dyDescent="0.25">
      <c r="H17373" t="s">
        <v>30</v>
      </c>
    </row>
    <row r="17375" spans="8:8" x14ac:dyDescent="0.25">
      <c r="H17375" t="s">
        <v>15436</v>
      </c>
    </row>
    <row r="17376" spans="8:8" x14ac:dyDescent="0.25">
      <c r="H17376" t="s">
        <v>15437</v>
      </c>
    </row>
    <row r="17377" spans="8:8" x14ac:dyDescent="0.25">
      <c r="H17377" t="s">
        <v>135</v>
      </c>
    </row>
    <row r="17378" spans="8:8" x14ac:dyDescent="0.25">
      <c r="H17378" t="s">
        <v>15438</v>
      </c>
    </row>
    <row r="17379" spans="8:8" x14ac:dyDescent="0.25">
      <c r="H17379" t="s">
        <v>30</v>
      </c>
    </row>
    <row r="17381" spans="8:8" x14ac:dyDescent="0.25">
      <c r="H17381" t="s">
        <v>15439</v>
      </c>
    </row>
    <row r="17382" spans="8:8" x14ac:dyDescent="0.25">
      <c r="H17382" t="s">
        <v>15440</v>
      </c>
    </row>
    <row r="17383" spans="8:8" x14ac:dyDescent="0.25">
      <c r="H17383" t="s">
        <v>135</v>
      </c>
    </row>
    <row r="17384" spans="8:8" x14ac:dyDescent="0.25">
      <c r="H17384" t="s">
        <v>15441</v>
      </c>
    </row>
    <row r="17385" spans="8:8" x14ac:dyDescent="0.25">
      <c r="H17385" t="s">
        <v>30</v>
      </c>
    </row>
    <row r="17387" spans="8:8" x14ac:dyDescent="0.25">
      <c r="H17387" t="s">
        <v>15442</v>
      </c>
    </row>
    <row r="17388" spans="8:8" x14ac:dyDescent="0.25">
      <c r="H17388" t="s">
        <v>15443</v>
      </c>
    </row>
    <row r="17389" spans="8:8" x14ac:dyDescent="0.25">
      <c r="H17389" t="s">
        <v>135</v>
      </c>
    </row>
    <row r="17390" spans="8:8" x14ac:dyDescent="0.25">
      <c r="H17390" t="s">
        <v>15444</v>
      </c>
    </row>
    <row r="17391" spans="8:8" x14ac:dyDescent="0.25">
      <c r="H17391" t="s">
        <v>30</v>
      </c>
    </row>
    <row r="17393" spans="8:8" x14ac:dyDescent="0.25">
      <c r="H17393" t="s">
        <v>15445</v>
      </c>
    </row>
    <row r="17394" spans="8:8" x14ac:dyDescent="0.25">
      <c r="H17394" t="s">
        <v>15446</v>
      </c>
    </row>
    <row r="17395" spans="8:8" x14ac:dyDescent="0.25">
      <c r="H17395" t="s">
        <v>135</v>
      </c>
    </row>
    <row r="17396" spans="8:8" x14ac:dyDescent="0.25">
      <c r="H17396" t="s">
        <v>15447</v>
      </c>
    </row>
    <row r="17397" spans="8:8" x14ac:dyDescent="0.25">
      <c r="H17397" t="s">
        <v>30</v>
      </c>
    </row>
    <row r="17399" spans="8:8" x14ac:dyDescent="0.25">
      <c r="H17399" t="s">
        <v>15448</v>
      </c>
    </row>
    <row r="17400" spans="8:8" x14ac:dyDescent="0.25">
      <c r="H17400" t="s">
        <v>15449</v>
      </c>
    </row>
    <row r="17401" spans="8:8" x14ac:dyDescent="0.25">
      <c r="H17401" t="s">
        <v>135</v>
      </c>
    </row>
    <row r="17402" spans="8:8" x14ac:dyDescent="0.25">
      <c r="H17402" t="s">
        <v>15450</v>
      </c>
    </row>
    <row r="17403" spans="8:8" x14ac:dyDescent="0.25">
      <c r="H17403" t="s">
        <v>30</v>
      </c>
    </row>
    <row r="17405" spans="8:8" x14ac:dyDescent="0.25">
      <c r="H17405" t="s">
        <v>15451</v>
      </c>
    </row>
    <row r="17406" spans="8:8" x14ac:dyDescent="0.25">
      <c r="H17406" t="s">
        <v>15452</v>
      </c>
    </row>
    <row r="17407" spans="8:8" x14ac:dyDescent="0.25">
      <c r="H17407" t="s">
        <v>135</v>
      </c>
    </row>
    <row r="17408" spans="8:8" x14ac:dyDescent="0.25">
      <c r="H17408" t="s">
        <v>15453</v>
      </c>
    </row>
    <row r="17409" spans="8:8" x14ac:dyDescent="0.25">
      <c r="H17409" t="s">
        <v>30</v>
      </c>
    </row>
    <row r="17411" spans="8:8" x14ac:dyDescent="0.25">
      <c r="H17411" t="s">
        <v>15454</v>
      </c>
    </row>
    <row r="17412" spans="8:8" x14ac:dyDescent="0.25">
      <c r="H17412" t="s">
        <v>15455</v>
      </c>
    </row>
    <row r="17413" spans="8:8" x14ac:dyDescent="0.25">
      <c r="H17413" t="s">
        <v>135</v>
      </c>
    </row>
    <row r="17414" spans="8:8" x14ac:dyDescent="0.25">
      <c r="H17414" t="s">
        <v>15456</v>
      </c>
    </row>
    <row r="17415" spans="8:8" x14ac:dyDescent="0.25">
      <c r="H17415" t="s">
        <v>30</v>
      </c>
    </row>
    <row r="17417" spans="8:8" x14ac:dyDescent="0.25">
      <c r="H17417" t="s">
        <v>15457</v>
      </c>
    </row>
    <row r="17418" spans="8:8" x14ac:dyDescent="0.25">
      <c r="H17418" t="s">
        <v>15458</v>
      </c>
    </row>
    <row r="17419" spans="8:8" x14ac:dyDescent="0.25">
      <c r="H17419" t="s">
        <v>135</v>
      </c>
    </row>
    <row r="17420" spans="8:8" x14ac:dyDescent="0.25">
      <c r="H17420" t="s">
        <v>15459</v>
      </c>
    </row>
    <row r="17421" spans="8:8" x14ac:dyDescent="0.25">
      <c r="H17421" t="s">
        <v>30</v>
      </c>
    </row>
    <row r="17423" spans="8:8" x14ac:dyDescent="0.25">
      <c r="H17423" t="s">
        <v>15460</v>
      </c>
    </row>
    <row r="17424" spans="8:8" x14ac:dyDescent="0.25">
      <c r="H17424" t="s">
        <v>15461</v>
      </c>
    </row>
    <row r="17425" spans="8:8" x14ac:dyDescent="0.25">
      <c r="H17425" t="s">
        <v>135</v>
      </c>
    </row>
    <row r="17426" spans="8:8" x14ac:dyDescent="0.25">
      <c r="H17426" t="s">
        <v>15462</v>
      </c>
    </row>
    <row r="17427" spans="8:8" x14ac:dyDescent="0.25">
      <c r="H17427" t="s">
        <v>30</v>
      </c>
    </row>
    <row r="17429" spans="8:8" x14ac:dyDescent="0.25">
      <c r="H17429" t="s">
        <v>15463</v>
      </c>
    </row>
    <row r="17430" spans="8:8" x14ac:dyDescent="0.25">
      <c r="H17430" t="s">
        <v>15464</v>
      </c>
    </row>
    <row r="17431" spans="8:8" x14ac:dyDescent="0.25">
      <c r="H17431" t="s">
        <v>135</v>
      </c>
    </row>
    <row r="17432" spans="8:8" x14ac:dyDescent="0.25">
      <c r="H17432" t="s">
        <v>15465</v>
      </c>
    </row>
    <row r="17433" spans="8:8" x14ac:dyDescent="0.25">
      <c r="H17433" t="s">
        <v>30</v>
      </c>
    </row>
    <row r="17435" spans="8:8" x14ac:dyDescent="0.25">
      <c r="H17435" t="s">
        <v>15466</v>
      </c>
    </row>
    <row r="17436" spans="8:8" x14ac:dyDescent="0.25">
      <c r="H17436" t="s">
        <v>15467</v>
      </c>
    </row>
    <row r="17437" spans="8:8" x14ac:dyDescent="0.25">
      <c r="H17437" t="s">
        <v>135</v>
      </c>
    </row>
    <row r="17438" spans="8:8" x14ac:dyDescent="0.25">
      <c r="H17438" t="s">
        <v>15468</v>
      </c>
    </row>
    <row r="17439" spans="8:8" x14ac:dyDescent="0.25">
      <c r="H17439" t="s">
        <v>30</v>
      </c>
    </row>
    <row r="17441" spans="8:8" x14ac:dyDescent="0.25">
      <c r="H17441" t="s">
        <v>15469</v>
      </c>
    </row>
    <row r="17442" spans="8:8" x14ac:dyDescent="0.25">
      <c r="H17442" t="s">
        <v>15470</v>
      </c>
    </row>
    <row r="17443" spans="8:8" x14ac:dyDescent="0.25">
      <c r="H17443" t="s">
        <v>135</v>
      </c>
    </row>
    <row r="17444" spans="8:8" x14ac:dyDescent="0.25">
      <c r="H17444" t="s">
        <v>15471</v>
      </c>
    </row>
    <row r="17445" spans="8:8" x14ac:dyDescent="0.25">
      <c r="H17445" t="s">
        <v>30</v>
      </c>
    </row>
    <row r="17447" spans="8:8" x14ac:dyDescent="0.25">
      <c r="H17447" t="s">
        <v>15472</v>
      </c>
    </row>
    <row r="17448" spans="8:8" x14ac:dyDescent="0.25">
      <c r="H17448" t="s">
        <v>15473</v>
      </c>
    </row>
    <row r="17449" spans="8:8" x14ac:dyDescent="0.25">
      <c r="H17449" t="s">
        <v>135</v>
      </c>
    </row>
    <row r="17450" spans="8:8" x14ac:dyDescent="0.25">
      <c r="H17450" t="s">
        <v>15474</v>
      </c>
    </row>
    <row r="17451" spans="8:8" x14ac:dyDescent="0.25">
      <c r="H17451" t="s">
        <v>30</v>
      </c>
    </row>
    <row r="17453" spans="8:8" x14ac:dyDescent="0.25">
      <c r="H17453" t="s">
        <v>15475</v>
      </c>
    </row>
    <row r="17454" spans="8:8" x14ac:dyDescent="0.25">
      <c r="H17454" t="s">
        <v>15476</v>
      </c>
    </row>
    <row r="17455" spans="8:8" x14ac:dyDescent="0.25">
      <c r="H17455" t="s">
        <v>135</v>
      </c>
    </row>
    <row r="17456" spans="8:8" x14ac:dyDescent="0.25">
      <c r="H17456" t="s">
        <v>15477</v>
      </c>
    </row>
    <row r="17457" spans="8:8" x14ac:dyDescent="0.25">
      <c r="H17457" t="s">
        <v>30</v>
      </c>
    </row>
    <row r="17459" spans="8:8" x14ac:dyDescent="0.25">
      <c r="H17459" t="s">
        <v>15478</v>
      </c>
    </row>
    <row r="17460" spans="8:8" x14ac:dyDescent="0.25">
      <c r="H17460" t="s">
        <v>15479</v>
      </c>
    </row>
    <row r="17461" spans="8:8" x14ac:dyDescent="0.25">
      <c r="H17461" t="s">
        <v>135</v>
      </c>
    </row>
    <row r="17462" spans="8:8" x14ac:dyDescent="0.25">
      <c r="H17462" t="s">
        <v>15480</v>
      </c>
    </row>
    <row r="17463" spans="8:8" x14ac:dyDescent="0.25">
      <c r="H17463" t="s">
        <v>30</v>
      </c>
    </row>
    <row r="17465" spans="8:8" x14ac:dyDescent="0.25">
      <c r="H17465" t="s">
        <v>15481</v>
      </c>
    </row>
    <row r="17466" spans="8:8" x14ac:dyDescent="0.25">
      <c r="H17466" t="s">
        <v>15482</v>
      </c>
    </row>
    <row r="17467" spans="8:8" x14ac:dyDescent="0.25">
      <c r="H17467" t="s">
        <v>135</v>
      </c>
    </row>
    <row r="17468" spans="8:8" x14ac:dyDescent="0.25">
      <c r="H17468" t="s">
        <v>15483</v>
      </c>
    </row>
    <row r="17469" spans="8:8" x14ac:dyDescent="0.25">
      <c r="H17469" t="s">
        <v>30</v>
      </c>
    </row>
    <row r="17471" spans="8:8" x14ac:dyDescent="0.25">
      <c r="H17471" t="s">
        <v>15484</v>
      </c>
    </row>
    <row r="17472" spans="8:8" x14ac:dyDescent="0.25">
      <c r="H17472" t="s">
        <v>15485</v>
      </c>
    </row>
    <row r="17473" spans="8:8" x14ac:dyDescent="0.25">
      <c r="H17473" t="s">
        <v>135</v>
      </c>
    </row>
    <row r="17474" spans="8:8" x14ac:dyDescent="0.25">
      <c r="H17474" t="s">
        <v>15486</v>
      </c>
    </row>
    <row r="17475" spans="8:8" x14ac:dyDescent="0.25">
      <c r="H17475" t="s">
        <v>30</v>
      </c>
    </row>
    <row r="17477" spans="8:8" x14ac:dyDescent="0.25">
      <c r="H17477" t="s">
        <v>15487</v>
      </c>
    </row>
    <row r="17478" spans="8:8" x14ac:dyDescent="0.25">
      <c r="H17478" t="s">
        <v>15488</v>
      </c>
    </row>
    <row r="17479" spans="8:8" x14ac:dyDescent="0.25">
      <c r="H17479" t="s">
        <v>135</v>
      </c>
    </row>
    <row r="17480" spans="8:8" x14ac:dyDescent="0.25">
      <c r="H17480" t="s">
        <v>15489</v>
      </c>
    </row>
    <row r="17481" spans="8:8" x14ac:dyDescent="0.25">
      <c r="H17481" t="s">
        <v>30</v>
      </c>
    </row>
    <row r="17483" spans="8:8" x14ac:dyDescent="0.25">
      <c r="H17483" t="s">
        <v>15490</v>
      </c>
    </row>
    <row r="17484" spans="8:8" x14ac:dyDescent="0.25">
      <c r="H17484" t="s">
        <v>15491</v>
      </c>
    </row>
    <row r="17485" spans="8:8" x14ac:dyDescent="0.25">
      <c r="H17485" t="s">
        <v>135</v>
      </c>
    </row>
    <row r="17486" spans="8:8" x14ac:dyDescent="0.25">
      <c r="H17486" t="s">
        <v>15492</v>
      </c>
    </row>
    <row r="17487" spans="8:8" x14ac:dyDescent="0.25">
      <c r="H17487" t="s">
        <v>30</v>
      </c>
    </row>
    <row r="17489" spans="8:8" x14ac:dyDescent="0.25">
      <c r="H17489" t="s">
        <v>15493</v>
      </c>
    </row>
    <row r="17490" spans="8:8" x14ac:dyDescent="0.25">
      <c r="H17490" t="s">
        <v>15494</v>
      </c>
    </row>
    <row r="17491" spans="8:8" x14ac:dyDescent="0.25">
      <c r="H17491" t="s">
        <v>135</v>
      </c>
    </row>
    <row r="17492" spans="8:8" x14ac:dyDescent="0.25">
      <c r="H17492" t="s">
        <v>15495</v>
      </c>
    </row>
    <row r="17493" spans="8:8" x14ac:dyDescent="0.25">
      <c r="H17493" t="s">
        <v>30</v>
      </c>
    </row>
    <row r="17495" spans="8:8" x14ac:dyDescent="0.25">
      <c r="H17495" t="s">
        <v>15496</v>
      </c>
    </row>
    <row r="17496" spans="8:8" x14ac:dyDescent="0.25">
      <c r="H17496" t="s">
        <v>15497</v>
      </c>
    </row>
    <row r="17497" spans="8:8" x14ac:dyDescent="0.25">
      <c r="H17497" t="s">
        <v>135</v>
      </c>
    </row>
    <row r="17498" spans="8:8" x14ac:dyDescent="0.25">
      <c r="H17498" t="s">
        <v>15498</v>
      </c>
    </row>
    <row r="17499" spans="8:8" x14ac:dyDescent="0.25">
      <c r="H17499" t="s">
        <v>30</v>
      </c>
    </row>
    <row r="17501" spans="8:8" x14ac:dyDescent="0.25">
      <c r="H17501" t="s">
        <v>15499</v>
      </c>
    </row>
    <row r="17502" spans="8:8" x14ac:dyDescent="0.25">
      <c r="H17502" t="s">
        <v>15500</v>
      </c>
    </row>
    <row r="17503" spans="8:8" x14ac:dyDescent="0.25">
      <c r="H17503" t="s">
        <v>135</v>
      </c>
    </row>
    <row r="17504" spans="8:8" x14ac:dyDescent="0.25">
      <c r="H17504" t="s">
        <v>15501</v>
      </c>
    </row>
    <row r="17505" spans="8:8" x14ac:dyDescent="0.25">
      <c r="H17505" t="s">
        <v>30</v>
      </c>
    </row>
    <row r="17507" spans="8:8" x14ac:dyDescent="0.25">
      <c r="H17507" t="s">
        <v>15502</v>
      </c>
    </row>
    <row r="17508" spans="8:8" x14ac:dyDescent="0.25">
      <c r="H17508" t="s">
        <v>15503</v>
      </c>
    </row>
    <row r="17509" spans="8:8" x14ac:dyDescent="0.25">
      <c r="H17509" t="s">
        <v>135</v>
      </c>
    </row>
    <row r="17510" spans="8:8" x14ac:dyDescent="0.25">
      <c r="H17510" t="s">
        <v>15504</v>
      </c>
    </row>
    <row r="17511" spans="8:8" x14ac:dyDescent="0.25">
      <c r="H17511" t="s">
        <v>30</v>
      </c>
    </row>
    <row r="17513" spans="8:8" x14ac:dyDescent="0.25">
      <c r="H17513" t="s">
        <v>15505</v>
      </c>
    </row>
    <row r="17514" spans="8:8" x14ac:dyDescent="0.25">
      <c r="H17514" t="s">
        <v>15506</v>
      </c>
    </row>
    <row r="17515" spans="8:8" x14ac:dyDescent="0.25">
      <c r="H17515" t="s">
        <v>135</v>
      </c>
    </row>
    <row r="17516" spans="8:8" x14ac:dyDescent="0.25">
      <c r="H17516" t="s">
        <v>15507</v>
      </c>
    </row>
    <row r="17517" spans="8:8" x14ac:dyDescent="0.25">
      <c r="H17517" t="s">
        <v>30</v>
      </c>
    </row>
    <row r="17519" spans="8:8" x14ac:dyDescent="0.25">
      <c r="H17519" t="s">
        <v>15508</v>
      </c>
    </row>
    <row r="17520" spans="8:8" x14ac:dyDescent="0.25">
      <c r="H17520" t="s">
        <v>15509</v>
      </c>
    </row>
    <row r="17521" spans="8:8" x14ac:dyDescent="0.25">
      <c r="H17521" t="s">
        <v>135</v>
      </c>
    </row>
    <row r="17522" spans="8:8" x14ac:dyDescent="0.25">
      <c r="H17522" t="s">
        <v>15510</v>
      </c>
    </row>
    <row r="17523" spans="8:8" x14ac:dyDescent="0.25">
      <c r="H17523" t="s">
        <v>30</v>
      </c>
    </row>
    <row r="17525" spans="8:8" x14ac:dyDescent="0.25">
      <c r="H17525" t="s">
        <v>15511</v>
      </c>
    </row>
    <row r="17526" spans="8:8" x14ac:dyDescent="0.25">
      <c r="H17526" t="s">
        <v>15512</v>
      </c>
    </row>
    <row r="17527" spans="8:8" x14ac:dyDescent="0.25">
      <c r="H17527" t="s">
        <v>135</v>
      </c>
    </row>
    <row r="17528" spans="8:8" x14ac:dyDescent="0.25">
      <c r="H17528" t="s">
        <v>15513</v>
      </c>
    </row>
    <row r="17529" spans="8:8" x14ac:dyDescent="0.25">
      <c r="H17529" t="s">
        <v>30</v>
      </c>
    </row>
    <row r="17531" spans="8:8" x14ac:dyDescent="0.25">
      <c r="H17531" t="s">
        <v>15514</v>
      </c>
    </row>
    <row r="17532" spans="8:8" x14ac:dyDescent="0.25">
      <c r="H17532" t="s">
        <v>15515</v>
      </c>
    </row>
    <row r="17533" spans="8:8" x14ac:dyDescent="0.25">
      <c r="H17533" t="s">
        <v>135</v>
      </c>
    </row>
    <row r="17534" spans="8:8" x14ac:dyDescent="0.25">
      <c r="H17534" t="s">
        <v>15516</v>
      </c>
    </row>
    <row r="17535" spans="8:8" x14ac:dyDescent="0.25">
      <c r="H17535" t="s">
        <v>30</v>
      </c>
    </row>
    <row r="17537" spans="8:8" x14ac:dyDescent="0.25">
      <c r="H17537" t="s">
        <v>15517</v>
      </c>
    </row>
    <row r="17538" spans="8:8" x14ac:dyDescent="0.25">
      <c r="H17538" t="s">
        <v>15518</v>
      </c>
    </row>
    <row r="17539" spans="8:8" x14ac:dyDescent="0.25">
      <c r="H17539" t="s">
        <v>135</v>
      </c>
    </row>
    <row r="17540" spans="8:8" x14ac:dyDescent="0.25">
      <c r="H17540" t="s">
        <v>15519</v>
      </c>
    </row>
    <row r="17541" spans="8:8" x14ac:dyDescent="0.25">
      <c r="H17541" t="s">
        <v>30</v>
      </c>
    </row>
    <row r="17543" spans="8:8" x14ac:dyDescent="0.25">
      <c r="H17543" t="s">
        <v>15520</v>
      </c>
    </row>
    <row r="17544" spans="8:8" x14ac:dyDescent="0.25">
      <c r="H17544" t="s">
        <v>15521</v>
      </c>
    </row>
    <row r="17545" spans="8:8" x14ac:dyDescent="0.25">
      <c r="H17545" t="s">
        <v>135</v>
      </c>
    </row>
    <row r="17546" spans="8:8" x14ac:dyDescent="0.25">
      <c r="H17546" t="s">
        <v>15522</v>
      </c>
    </row>
    <row r="17547" spans="8:8" x14ac:dyDescent="0.25">
      <c r="H17547" t="s">
        <v>30</v>
      </c>
    </row>
    <row r="17549" spans="8:8" x14ac:dyDescent="0.25">
      <c r="H17549" t="s">
        <v>15523</v>
      </c>
    </row>
    <row r="17550" spans="8:8" x14ac:dyDescent="0.25">
      <c r="H17550" t="s">
        <v>15524</v>
      </c>
    </row>
    <row r="17551" spans="8:8" x14ac:dyDescent="0.25">
      <c r="H17551" t="s">
        <v>135</v>
      </c>
    </row>
    <row r="17552" spans="8:8" x14ac:dyDescent="0.25">
      <c r="H17552" t="s">
        <v>15525</v>
      </c>
    </row>
    <row r="17553" spans="8:8" x14ac:dyDescent="0.25">
      <c r="H17553" t="s">
        <v>30</v>
      </c>
    </row>
    <row r="17555" spans="8:8" x14ac:dyDescent="0.25">
      <c r="H17555" t="s">
        <v>15526</v>
      </c>
    </row>
    <row r="17556" spans="8:8" x14ac:dyDescent="0.25">
      <c r="H17556" t="s">
        <v>15527</v>
      </c>
    </row>
    <row r="17557" spans="8:8" x14ac:dyDescent="0.25">
      <c r="H17557" t="s">
        <v>135</v>
      </c>
    </row>
    <row r="17558" spans="8:8" x14ac:dyDescent="0.25">
      <c r="H17558" t="s">
        <v>15528</v>
      </c>
    </row>
    <row r="17559" spans="8:8" x14ac:dyDescent="0.25">
      <c r="H17559" t="s">
        <v>30</v>
      </c>
    </row>
    <row r="17561" spans="8:8" x14ac:dyDescent="0.25">
      <c r="H17561" t="s">
        <v>15529</v>
      </c>
    </row>
    <row r="17562" spans="8:8" x14ac:dyDescent="0.25">
      <c r="H17562" t="s">
        <v>15530</v>
      </c>
    </row>
    <row r="17563" spans="8:8" x14ac:dyDescent="0.25">
      <c r="H17563" t="s">
        <v>135</v>
      </c>
    </row>
    <row r="17564" spans="8:8" x14ac:dyDescent="0.25">
      <c r="H17564" t="s">
        <v>15531</v>
      </c>
    </row>
    <row r="17565" spans="8:8" x14ac:dyDescent="0.25">
      <c r="H17565" t="s">
        <v>30</v>
      </c>
    </row>
    <row r="17567" spans="8:8" x14ac:dyDescent="0.25">
      <c r="H17567" t="s">
        <v>15532</v>
      </c>
    </row>
    <row r="17568" spans="8:8" x14ac:dyDescent="0.25">
      <c r="H17568" t="s">
        <v>15533</v>
      </c>
    </row>
    <row r="17569" spans="8:8" x14ac:dyDescent="0.25">
      <c r="H17569" t="s">
        <v>135</v>
      </c>
    </row>
    <row r="17570" spans="8:8" x14ac:dyDescent="0.25">
      <c r="H17570" t="s">
        <v>15534</v>
      </c>
    </row>
    <row r="17571" spans="8:8" x14ac:dyDescent="0.25">
      <c r="H17571" t="s">
        <v>30</v>
      </c>
    </row>
    <row r="17573" spans="8:8" x14ac:dyDescent="0.25">
      <c r="H17573" t="s">
        <v>15535</v>
      </c>
    </row>
    <row r="17574" spans="8:8" x14ac:dyDescent="0.25">
      <c r="H17574" t="s">
        <v>15536</v>
      </c>
    </row>
    <row r="17575" spans="8:8" x14ac:dyDescent="0.25">
      <c r="H17575" t="s">
        <v>135</v>
      </c>
    </row>
    <row r="17576" spans="8:8" x14ac:dyDescent="0.25">
      <c r="H17576" t="s">
        <v>15537</v>
      </c>
    </row>
    <row r="17577" spans="8:8" x14ac:dyDescent="0.25">
      <c r="H17577" t="s">
        <v>30</v>
      </c>
    </row>
    <row r="17579" spans="8:8" x14ac:dyDescent="0.25">
      <c r="H17579" t="s">
        <v>15538</v>
      </c>
    </row>
    <row r="17580" spans="8:8" x14ac:dyDescent="0.25">
      <c r="H17580" t="s">
        <v>15539</v>
      </c>
    </row>
    <row r="17581" spans="8:8" x14ac:dyDescent="0.25">
      <c r="H17581" t="s">
        <v>135</v>
      </c>
    </row>
    <row r="17582" spans="8:8" x14ac:dyDescent="0.25">
      <c r="H17582" t="s">
        <v>15540</v>
      </c>
    </row>
    <row r="17583" spans="8:8" x14ac:dyDescent="0.25">
      <c r="H17583" t="s">
        <v>30</v>
      </c>
    </row>
    <row r="17585" spans="8:8" x14ac:dyDescent="0.25">
      <c r="H17585" t="s">
        <v>15541</v>
      </c>
    </row>
    <row r="17586" spans="8:8" x14ac:dyDescent="0.25">
      <c r="H17586" t="s">
        <v>15542</v>
      </c>
    </row>
    <row r="17587" spans="8:8" x14ac:dyDescent="0.25">
      <c r="H17587" t="s">
        <v>135</v>
      </c>
    </row>
    <row r="17588" spans="8:8" x14ac:dyDescent="0.25">
      <c r="H17588" t="s">
        <v>15543</v>
      </c>
    </row>
    <row r="17589" spans="8:8" x14ac:dyDescent="0.25">
      <c r="H17589" t="s">
        <v>30</v>
      </c>
    </row>
    <row r="17591" spans="8:8" x14ac:dyDescent="0.25">
      <c r="H17591" t="s">
        <v>15544</v>
      </c>
    </row>
    <row r="17592" spans="8:8" x14ac:dyDescent="0.25">
      <c r="H17592" t="s">
        <v>15545</v>
      </c>
    </row>
    <row r="17593" spans="8:8" x14ac:dyDescent="0.25">
      <c r="H17593" t="s">
        <v>135</v>
      </c>
    </row>
    <row r="17594" spans="8:8" x14ac:dyDescent="0.25">
      <c r="H17594" t="s">
        <v>15546</v>
      </c>
    </row>
    <row r="17595" spans="8:8" x14ac:dyDescent="0.25">
      <c r="H17595" t="s">
        <v>30</v>
      </c>
    </row>
    <row r="17597" spans="8:8" x14ac:dyDescent="0.25">
      <c r="H17597" t="s">
        <v>15547</v>
      </c>
    </row>
    <row r="17598" spans="8:8" x14ac:dyDescent="0.25">
      <c r="H17598" t="s">
        <v>15548</v>
      </c>
    </row>
    <row r="17599" spans="8:8" x14ac:dyDescent="0.25">
      <c r="H17599" t="s">
        <v>135</v>
      </c>
    </row>
    <row r="17600" spans="8:8" x14ac:dyDescent="0.25">
      <c r="H17600" t="s">
        <v>15549</v>
      </c>
    </row>
    <row r="17601" spans="8:8" x14ac:dyDescent="0.25">
      <c r="H17601" t="s">
        <v>30</v>
      </c>
    </row>
    <row r="17603" spans="8:8" x14ac:dyDescent="0.25">
      <c r="H17603" t="s">
        <v>15550</v>
      </c>
    </row>
    <row r="17604" spans="8:8" x14ac:dyDescent="0.25">
      <c r="H17604" t="s">
        <v>15551</v>
      </c>
    </row>
    <row r="17605" spans="8:8" x14ac:dyDescent="0.25">
      <c r="H17605" t="s">
        <v>135</v>
      </c>
    </row>
    <row r="17606" spans="8:8" x14ac:dyDescent="0.25">
      <c r="H17606" t="s">
        <v>15552</v>
      </c>
    </row>
    <row r="17607" spans="8:8" x14ac:dyDescent="0.25">
      <c r="H17607" t="s">
        <v>30</v>
      </c>
    </row>
    <row r="17609" spans="8:8" x14ac:dyDescent="0.25">
      <c r="H17609" t="s">
        <v>15553</v>
      </c>
    </row>
    <row r="17610" spans="8:8" x14ac:dyDescent="0.25">
      <c r="H17610" t="s">
        <v>15554</v>
      </c>
    </row>
    <row r="17611" spans="8:8" x14ac:dyDescent="0.25">
      <c r="H17611" t="s">
        <v>135</v>
      </c>
    </row>
    <row r="17612" spans="8:8" x14ac:dyDescent="0.25">
      <c r="H17612" t="s">
        <v>15555</v>
      </c>
    </row>
    <row r="17613" spans="8:8" x14ac:dyDescent="0.25">
      <c r="H17613" t="s">
        <v>30</v>
      </c>
    </row>
    <row r="17615" spans="8:8" x14ac:dyDescent="0.25">
      <c r="H17615" t="s">
        <v>15556</v>
      </c>
    </row>
    <row r="17616" spans="8:8" x14ac:dyDescent="0.25">
      <c r="H17616" t="s">
        <v>15557</v>
      </c>
    </row>
    <row r="17617" spans="8:8" x14ac:dyDescent="0.25">
      <c r="H17617" t="s">
        <v>135</v>
      </c>
    </row>
    <row r="17618" spans="8:8" x14ac:dyDescent="0.25">
      <c r="H17618" t="s">
        <v>15558</v>
      </c>
    </row>
    <row r="17619" spans="8:8" x14ac:dyDescent="0.25">
      <c r="H17619" t="s">
        <v>30</v>
      </c>
    </row>
    <row r="17621" spans="8:8" x14ac:dyDescent="0.25">
      <c r="H17621" t="s">
        <v>15559</v>
      </c>
    </row>
    <row r="17622" spans="8:8" x14ac:dyDescent="0.25">
      <c r="H17622" t="s">
        <v>15560</v>
      </c>
    </row>
    <row r="17623" spans="8:8" x14ac:dyDescent="0.25">
      <c r="H17623" t="s">
        <v>135</v>
      </c>
    </row>
    <row r="17624" spans="8:8" x14ac:dyDescent="0.25">
      <c r="H17624" t="s">
        <v>15561</v>
      </c>
    </row>
    <row r="17625" spans="8:8" x14ac:dyDescent="0.25">
      <c r="H17625" t="s">
        <v>30</v>
      </c>
    </row>
    <row r="17627" spans="8:8" x14ac:dyDescent="0.25">
      <c r="H17627" t="s">
        <v>15562</v>
      </c>
    </row>
    <row r="17628" spans="8:8" x14ac:dyDescent="0.25">
      <c r="H17628" t="s">
        <v>15563</v>
      </c>
    </row>
    <row r="17629" spans="8:8" x14ac:dyDescent="0.25">
      <c r="H17629" t="s">
        <v>135</v>
      </c>
    </row>
    <row r="17630" spans="8:8" x14ac:dyDescent="0.25">
      <c r="H17630" t="s">
        <v>15564</v>
      </c>
    </row>
    <row r="17631" spans="8:8" x14ac:dyDescent="0.25">
      <c r="H17631" t="s">
        <v>30</v>
      </c>
    </row>
    <row r="17633" spans="8:8" x14ac:dyDescent="0.25">
      <c r="H17633" t="s">
        <v>15565</v>
      </c>
    </row>
    <row r="17634" spans="8:8" x14ac:dyDescent="0.25">
      <c r="H17634" t="s">
        <v>15566</v>
      </c>
    </row>
    <row r="17635" spans="8:8" x14ac:dyDescent="0.25">
      <c r="H17635" t="s">
        <v>135</v>
      </c>
    </row>
    <row r="17636" spans="8:8" x14ac:dyDescent="0.25">
      <c r="H17636" t="s">
        <v>15567</v>
      </c>
    </row>
    <row r="17637" spans="8:8" x14ac:dyDescent="0.25">
      <c r="H17637" t="s">
        <v>30</v>
      </c>
    </row>
    <row r="17639" spans="8:8" x14ac:dyDescent="0.25">
      <c r="H17639" t="s">
        <v>15568</v>
      </c>
    </row>
    <row r="17640" spans="8:8" x14ac:dyDescent="0.25">
      <c r="H17640" t="s">
        <v>15569</v>
      </c>
    </row>
    <row r="17641" spans="8:8" x14ac:dyDescent="0.25">
      <c r="H17641" t="s">
        <v>135</v>
      </c>
    </row>
    <row r="17642" spans="8:8" x14ac:dyDescent="0.25">
      <c r="H17642" t="s">
        <v>15570</v>
      </c>
    </row>
    <row r="17643" spans="8:8" x14ac:dyDescent="0.25">
      <c r="H17643" t="s">
        <v>30</v>
      </c>
    </row>
    <row r="17645" spans="8:8" x14ac:dyDescent="0.25">
      <c r="H17645" t="s">
        <v>15571</v>
      </c>
    </row>
    <row r="17646" spans="8:8" x14ac:dyDescent="0.25">
      <c r="H17646" t="s">
        <v>15572</v>
      </c>
    </row>
    <row r="17647" spans="8:8" x14ac:dyDescent="0.25">
      <c r="H17647" t="s">
        <v>135</v>
      </c>
    </row>
    <row r="17648" spans="8:8" x14ac:dyDescent="0.25">
      <c r="H17648" t="s">
        <v>15573</v>
      </c>
    </row>
    <row r="17649" spans="8:8" x14ac:dyDescent="0.25">
      <c r="H17649" t="s">
        <v>30</v>
      </c>
    </row>
    <row r="17651" spans="8:8" x14ac:dyDescent="0.25">
      <c r="H17651" t="s">
        <v>15574</v>
      </c>
    </row>
    <row r="17652" spans="8:8" x14ac:dyDescent="0.25">
      <c r="H17652" t="s">
        <v>15575</v>
      </c>
    </row>
    <row r="17653" spans="8:8" x14ac:dyDescent="0.25">
      <c r="H17653" t="s">
        <v>135</v>
      </c>
    </row>
    <row r="17654" spans="8:8" x14ac:dyDescent="0.25">
      <c r="H17654" t="s">
        <v>15576</v>
      </c>
    </row>
    <row r="17655" spans="8:8" x14ac:dyDescent="0.25">
      <c r="H17655" t="s">
        <v>30</v>
      </c>
    </row>
    <row r="17657" spans="8:8" x14ac:dyDescent="0.25">
      <c r="H17657" t="s">
        <v>15577</v>
      </c>
    </row>
    <row r="17658" spans="8:8" x14ac:dyDescent="0.25">
      <c r="H17658" t="s">
        <v>15578</v>
      </c>
    </row>
    <row r="17659" spans="8:8" x14ac:dyDescent="0.25">
      <c r="H17659" t="s">
        <v>135</v>
      </c>
    </row>
    <row r="17660" spans="8:8" x14ac:dyDescent="0.25">
      <c r="H17660" t="s">
        <v>15579</v>
      </c>
    </row>
    <row r="17661" spans="8:8" x14ac:dyDescent="0.25">
      <c r="H17661" t="s">
        <v>30</v>
      </c>
    </row>
    <row r="17663" spans="8:8" x14ac:dyDescent="0.25">
      <c r="H17663" t="s">
        <v>15580</v>
      </c>
    </row>
    <row r="17664" spans="8:8" x14ac:dyDescent="0.25">
      <c r="H17664" t="s">
        <v>15581</v>
      </c>
    </row>
    <row r="17665" spans="8:8" x14ac:dyDescent="0.25">
      <c r="H17665" t="s">
        <v>135</v>
      </c>
    </row>
    <row r="17666" spans="8:8" x14ac:dyDescent="0.25">
      <c r="H17666" t="s">
        <v>15582</v>
      </c>
    </row>
    <row r="17667" spans="8:8" x14ac:dyDescent="0.25">
      <c r="H17667" t="s">
        <v>30</v>
      </c>
    </row>
    <row r="17669" spans="8:8" x14ac:dyDescent="0.25">
      <c r="H17669" t="s">
        <v>15583</v>
      </c>
    </row>
    <row r="17670" spans="8:8" x14ac:dyDescent="0.25">
      <c r="H17670" t="s">
        <v>15584</v>
      </c>
    </row>
    <row r="17671" spans="8:8" x14ac:dyDescent="0.25">
      <c r="H17671" t="s">
        <v>135</v>
      </c>
    </row>
    <row r="17672" spans="8:8" x14ac:dyDescent="0.25">
      <c r="H17672" t="s">
        <v>15585</v>
      </c>
    </row>
    <row r="17673" spans="8:8" x14ac:dyDescent="0.25">
      <c r="H17673" t="s">
        <v>30</v>
      </c>
    </row>
    <row r="17675" spans="8:8" x14ac:dyDescent="0.25">
      <c r="H17675" t="s">
        <v>15586</v>
      </c>
    </row>
    <row r="17676" spans="8:8" x14ac:dyDescent="0.25">
      <c r="H17676" t="s">
        <v>15587</v>
      </c>
    </row>
    <row r="17677" spans="8:8" x14ac:dyDescent="0.25">
      <c r="H17677" t="s">
        <v>135</v>
      </c>
    </row>
    <row r="17678" spans="8:8" x14ac:dyDescent="0.25">
      <c r="H17678" t="s">
        <v>15588</v>
      </c>
    </row>
    <row r="17679" spans="8:8" x14ac:dyDescent="0.25">
      <c r="H17679" t="s">
        <v>30</v>
      </c>
    </row>
    <row r="17681" spans="8:8" x14ac:dyDescent="0.25">
      <c r="H17681" t="s">
        <v>15589</v>
      </c>
    </row>
    <row r="17682" spans="8:8" x14ac:dyDescent="0.25">
      <c r="H17682" t="s">
        <v>15590</v>
      </c>
    </row>
    <row r="17683" spans="8:8" x14ac:dyDescent="0.25">
      <c r="H17683" t="s">
        <v>135</v>
      </c>
    </row>
    <row r="17684" spans="8:8" x14ac:dyDescent="0.25">
      <c r="H17684" t="s">
        <v>15591</v>
      </c>
    </row>
    <row r="17685" spans="8:8" x14ac:dyDescent="0.25">
      <c r="H17685" t="s">
        <v>30</v>
      </c>
    </row>
    <row r="17687" spans="8:8" x14ac:dyDescent="0.25">
      <c r="H17687" t="s">
        <v>15592</v>
      </c>
    </row>
    <row r="17688" spans="8:8" x14ac:dyDescent="0.25">
      <c r="H17688" t="s">
        <v>15593</v>
      </c>
    </row>
    <row r="17689" spans="8:8" x14ac:dyDescent="0.25">
      <c r="H17689" t="s">
        <v>135</v>
      </c>
    </row>
    <row r="17690" spans="8:8" x14ac:dyDescent="0.25">
      <c r="H17690" t="s">
        <v>15594</v>
      </c>
    </row>
    <row r="17691" spans="8:8" x14ac:dyDescent="0.25">
      <c r="H17691" t="s">
        <v>30</v>
      </c>
    </row>
    <row r="17693" spans="8:8" x14ac:dyDescent="0.25">
      <c r="H17693" t="s">
        <v>15595</v>
      </c>
    </row>
    <row r="17694" spans="8:8" x14ac:dyDescent="0.25">
      <c r="H17694" t="s">
        <v>15596</v>
      </c>
    </row>
    <row r="17695" spans="8:8" x14ac:dyDescent="0.25">
      <c r="H17695" t="s">
        <v>135</v>
      </c>
    </row>
    <row r="17696" spans="8:8" x14ac:dyDescent="0.25">
      <c r="H17696" t="s">
        <v>15597</v>
      </c>
    </row>
    <row r="17697" spans="8:8" x14ac:dyDescent="0.25">
      <c r="H17697" t="s">
        <v>30</v>
      </c>
    </row>
    <row r="17699" spans="8:8" x14ac:dyDescent="0.25">
      <c r="H17699" t="s">
        <v>15598</v>
      </c>
    </row>
    <row r="17700" spans="8:8" x14ac:dyDescent="0.25">
      <c r="H17700" t="s">
        <v>15599</v>
      </c>
    </row>
    <row r="17701" spans="8:8" x14ac:dyDescent="0.25">
      <c r="H17701" t="s">
        <v>135</v>
      </c>
    </row>
    <row r="17702" spans="8:8" x14ac:dyDescent="0.25">
      <c r="H17702" t="s">
        <v>15600</v>
      </c>
    </row>
    <row r="17703" spans="8:8" x14ac:dyDescent="0.25">
      <c r="H17703" t="s">
        <v>30</v>
      </c>
    </row>
    <row r="17705" spans="8:8" x14ac:dyDescent="0.25">
      <c r="H17705" t="s">
        <v>15601</v>
      </c>
    </row>
    <row r="17706" spans="8:8" x14ac:dyDescent="0.25">
      <c r="H17706" t="s">
        <v>15602</v>
      </c>
    </row>
    <row r="17707" spans="8:8" x14ac:dyDescent="0.25">
      <c r="H17707" t="s">
        <v>135</v>
      </c>
    </row>
    <row r="17708" spans="8:8" x14ac:dyDescent="0.25">
      <c r="H17708" t="s">
        <v>15603</v>
      </c>
    </row>
    <row r="17709" spans="8:8" x14ac:dyDescent="0.25">
      <c r="H17709" t="s">
        <v>30</v>
      </c>
    </row>
    <row r="17711" spans="8:8" x14ac:dyDescent="0.25">
      <c r="H17711" t="s">
        <v>15604</v>
      </c>
    </row>
    <row r="17712" spans="8:8" x14ac:dyDescent="0.25">
      <c r="H17712" t="s">
        <v>15605</v>
      </c>
    </row>
    <row r="17713" spans="8:8" x14ac:dyDescent="0.25">
      <c r="H17713" t="s">
        <v>135</v>
      </c>
    </row>
    <row r="17714" spans="8:8" x14ac:dyDescent="0.25">
      <c r="H17714" t="s">
        <v>15606</v>
      </c>
    </row>
    <row r="17715" spans="8:8" x14ac:dyDescent="0.25">
      <c r="H17715" t="s">
        <v>30</v>
      </c>
    </row>
    <row r="17717" spans="8:8" x14ac:dyDescent="0.25">
      <c r="H17717" t="s">
        <v>15607</v>
      </c>
    </row>
    <row r="17718" spans="8:8" x14ac:dyDescent="0.25">
      <c r="H17718" t="s">
        <v>15608</v>
      </c>
    </row>
    <row r="17719" spans="8:8" x14ac:dyDescent="0.25">
      <c r="H17719" t="s">
        <v>135</v>
      </c>
    </row>
    <row r="17720" spans="8:8" x14ac:dyDescent="0.25">
      <c r="H17720" t="s">
        <v>15609</v>
      </c>
    </row>
    <row r="17721" spans="8:8" x14ac:dyDescent="0.25">
      <c r="H17721" t="s">
        <v>30</v>
      </c>
    </row>
    <row r="17723" spans="8:8" x14ac:dyDescent="0.25">
      <c r="H17723" t="s">
        <v>15610</v>
      </c>
    </row>
    <row r="17724" spans="8:8" x14ac:dyDescent="0.25">
      <c r="H17724" t="s">
        <v>15611</v>
      </c>
    </row>
    <row r="17725" spans="8:8" x14ac:dyDescent="0.25">
      <c r="H17725" t="s">
        <v>135</v>
      </c>
    </row>
    <row r="17726" spans="8:8" x14ac:dyDescent="0.25">
      <c r="H17726" t="s">
        <v>15612</v>
      </c>
    </row>
    <row r="17727" spans="8:8" x14ac:dyDescent="0.25">
      <c r="H17727" t="s">
        <v>30</v>
      </c>
    </row>
    <row r="17729" spans="8:8" x14ac:dyDescent="0.25">
      <c r="H17729" t="s">
        <v>15613</v>
      </c>
    </row>
    <row r="17730" spans="8:8" x14ac:dyDescent="0.25">
      <c r="H17730" t="s">
        <v>15614</v>
      </c>
    </row>
    <row r="17731" spans="8:8" x14ac:dyDescent="0.25">
      <c r="H17731" t="s">
        <v>135</v>
      </c>
    </row>
    <row r="17732" spans="8:8" x14ac:dyDescent="0.25">
      <c r="H17732" t="s">
        <v>15615</v>
      </c>
    </row>
    <row r="17733" spans="8:8" x14ac:dyDescent="0.25">
      <c r="H17733" t="s">
        <v>30</v>
      </c>
    </row>
    <row r="17735" spans="8:8" x14ac:dyDescent="0.25">
      <c r="H17735" t="s">
        <v>15616</v>
      </c>
    </row>
    <row r="17736" spans="8:8" x14ac:dyDescent="0.25">
      <c r="H17736" t="s">
        <v>15617</v>
      </c>
    </row>
    <row r="17737" spans="8:8" x14ac:dyDescent="0.25">
      <c r="H17737" t="s">
        <v>135</v>
      </c>
    </row>
    <row r="17738" spans="8:8" x14ac:dyDescent="0.25">
      <c r="H17738" t="s">
        <v>15618</v>
      </c>
    </row>
    <row r="17739" spans="8:8" x14ac:dyDescent="0.25">
      <c r="H17739" t="s">
        <v>30</v>
      </c>
    </row>
    <row r="17741" spans="8:8" x14ac:dyDescent="0.25">
      <c r="H17741" t="s">
        <v>15619</v>
      </c>
    </row>
    <row r="17742" spans="8:8" x14ac:dyDescent="0.25">
      <c r="H17742" t="s">
        <v>15620</v>
      </c>
    </row>
    <row r="17743" spans="8:8" x14ac:dyDescent="0.25">
      <c r="H17743" t="s">
        <v>135</v>
      </c>
    </row>
    <row r="17744" spans="8:8" x14ac:dyDescent="0.25">
      <c r="H17744" t="s">
        <v>15621</v>
      </c>
    </row>
    <row r="17745" spans="8:8" x14ac:dyDescent="0.25">
      <c r="H17745" t="s">
        <v>30</v>
      </c>
    </row>
    <row r="17747" spans="8:8" x14ac:dyDescent="0.25">
      <c r="H17747" t="s">
        <v>15622</v>
      </c>
    </row>
    <row r="17748" spans="8:8" x14ac:dyDescent="0.25">
      <c r="H17748" t="s">
        <v>15623</v>
      </c>
    </row>
    <row r="17749" spans="8:8" x14ac:dyDescent="0.25">
      <c r="H17749" t="s">
        <v>135</v>
      </c>
    </row>
    <row r="17750" spans="8:8" x14ac:dyDescent="0.25">
      <c r="H17750" t="s">
        <v>15624</v>
      </c>
    </row>
    <row r="17751" spans="8:8" x14ac:dyDescent="0.25">
      <c r="H17751" t="s">
        <v>30</v>
      </c>
    </row>
    <row r="17753" spans="8:8" x14ac:dyDescent="0.25">
      <c r="H17753" t="s">
        <v>15625</v>
      </c>
    </row>
    <row r="17754" spans="8:8" x14ac:dyDescent="0.25">
      <c r="H17754" t="s">
        <v>15626</v>
      </c>
    </row>
    <row r="17755" spans="8:8" x14ac:dyDescent="0.25">
      <c r="H17755" t="s">
        <v>135</v>
      </c>
    </row>
    <row r="17756" spans="8:8" x14ac:dyDescent="0.25">
      <c r="H17756" t="s">
        <v>15627</v>
      </c>
    </row>
    <row r="17757" spans="8:8" x14ac:dyDescent="0.25">
      <c r="H17757" t="s">
        <v>30</v>
      </c>
    </row>
    <row r="17759" spans="8:8" x14ac:dyDescent="0.25">
      <c r="H17759" t="s">
        <v>15628</v>
      </c>
    </row>
    <row r="17760" spans="8:8" x14ac:dyDescent="0.25">
      <c r="H17760" t="s">
        <v>15629</v>
      </c>
    </row>
    <row r="17761" spans="8:8" x14ac:dyDescent="0.25">
      <c r="H17761" t="s">
        <v>135</v>
      </c>
    </row>
    <row r="17762" spans="8:8" x14ac:dyDescent="0.25">
      <c r="H17762" t="s">
        <v>15630</v>
      </c>
    </row>
    <row r="17763" spans="8:8" x14ac:dyDescent="0.25">
      <c r="H17763" t="s">
        <v>30</v>
      </c>
    </row>
    <row r="17765" spans="8:8" x14ac:dyDescent="0.25">
      <c r="H17765" t="s">
        <v>15631</v>
      </c>
    </row>
    <row r="17766" spans="8:8" x14ac:dyDescent="0.25">
      <c r="H17766" t="s">
        <v>15632</v>
      </c>
    </row>
    <row r="17767" spans="8:8" x14ac:dyDescent="0.25">
      <c r="H17767" t="s">
        <v>135</v>
      </c>
    </row>
    <row r="17768" spans="8:8" x14ac:dyDescent="0.25">
      <c r="H17768" t="s">
        <v>15633</v>
      </c>
    </row>
    <row r="17769" spans="8:8" x14ac:dyDescent="0.25">
      <c r="H17769" t="s">
        <v>30</v>
      </c>
    </row>
    <row r="17771" spans="8:8" x14ac:dyDescent="0.25">
      <c r="H17771" t="s">
        <v>15634</v>
      </c>
    </row>
    <row r="17772" spans="8:8" x14ac:dyDescent="0.25">
      <c r="H17772" t="s">
        <v>15635</v>
      </c>
    </row>
    <row r="17773" spans="8:8" x14ac:dyDescent="0.25">
      <c r="H17773" t="s">
        <v>135</v>
      </c>
    </row>
    <row r="17774" spans="8:8" x14ac:dyDescent="0.25">
      <c r="H17774" t="s">
        <v>15636</v>
      </c>
    </row>
    <row r="17775" spans="8:8" x14ac:dyDescent="0.25">
      <c r="H17775" t="s">
        <v>30</v>
      </c>
    </row>
    <row r="17777" spans="8:8" x14ac:dyDescent="0.25">
      <c r="H17777" t="s">
        <v>15637</v>
      </c>
    </row>
    <row r="17778" spans="8:8" x14ac:dyDescent="0.25">
      <c r="H17778" t="s">
        <v>15638</v>
      </c>
    </row>
    <row r="17779" spans="8:8" x14ac:dyDescent="0.25">
      <c r="H17779" t="s">
        <v>135</v>
      </c>
    </row>
    <row r="17780" spans="8:8" x14ac:dyDescent="0.25">
      <c r="H17780" t="s">
        <v>15639</v>
      </c>
    </row>
    <row r="17781" spans="8:8" x14ac:dyDescent="0.25">
      <c r="H17781" t="s">
        <v>30</v>
      </c>
    </row>
    <row r="17783" spans="8:8" x14ac:dyDescent="0.25">
      <c r="H17783" t="s">
        <v>15640</v>
      </c>
    </row>
    <row r="17784" spans="8:8" x14ac:dyDescent="0.25">
      <c r="H17784" t="s">
        <v>15641</v>
      </c>
    </row>
    <row r="17785" spans="8:8" x14ac:dyDescent="0.25">
      <c r="H17785" t="s">
        <v>135</v>
      </c>
    </row>
    <row r="17786" spans="8:8" x14ac:dyDescent="0.25">
      <c r="H17786" t="s">
        <v>15642</v>
      </c>
    </row>
    <row r="17787" spans="8:8" x14ac:dyDescent="0.25">
      <c r="H17787" t="s">
        <v>30</v>
      </c>
    </row>
    <row r="17789" spans="8:8" x14ac:dyDescent="0.25">
      <c r="H17789" t="s">
        <v>15643</v>
      </c>
    </row>
    <row r="17790" spans="8:8" x14ac:dyDescent="0.25">
      <c r="H17790" t="s">
        <v>15644</v>
      </c>
    </row>
    <row r="17791" spans="8:8" x14ac:dyDescent="0.25">
      <c r="H17791" t="s">
        <v>135</v>
      </c>
    </row>
    <row r="17792" spans="8:8" x14ac:dyDescent="0.25">
      <c r="H17792" t="s">
        <v>15645</v>
      </c>
    </row>
    <row r="17793" spans="8:8" x14ac:dyDescent="0.25">
      <c r="H17793" t="s">
        <v>30</v>
      </c>
    </row>
    <row r="17795" spans="8:8" x14ac:dyDescent="0.25">
      <c r="H17795" t="s">
        <v>15646</v>
      </c>
    </row>
    <row r="17796" spans="8:8" x14ac:dyDescent="0.25">
      <c r="H17796" t="s">
        <v>15647</v>
      </c>
    </row>
    <row r="17797" spans="8:8" x14ac:dyDescent="0.25">
      <c r="H17797" t="s">
        <v>135</v>
      </c>
    </row>
    <row r="17798" spans="8:8" x14ac:dyDescent="0.25">
      <c r="H17798" t="s">
        <v>15648</v>
      </c>
    </row>
    <row r="17799" spans="8:8" x14ac:dyDescent="0.25">
      <c r="H17799" t="s">
        <v>30</v>
      </c>
    </row>
    <row r="17801" spans="8:8" x14ac:dyDescent="0.25">
      <c r="H17801" t="s">
        <v>15649</v>
      </c>
    </row>
    <row r="17802" spans="8:8" x14ac:dyDescent="0.25">
      <c r="H17802" t="s">
        <v>15650</v>
      </c>
    </row>
    <row r="17803" spans="8:8" x14ac:dyDescent="0.25">
      <c r="H17803" t="s">
        <v>135</v>
      </c>
    </row>
    <row r="17804" spans="8:8" x14ac:dyDescent="0.25">
      <c r="H17804" t="s">
        <v>15651</v>
      </c>
    </row>
    <row r="17805" spans="8:8" x14ac:dyDescent="0.25">
      <c r="H17805" t="s">
        <v>30</v>
      </c>
    </row>
    <row r="17807" spans="8:8" x14ac:dyDescent="0.25">
      <c r="H17807" t="s">
        <v>15652</v>
      </c>
    </row>
    <row r="17808" spans="8:8" x14ac:dyDescent="0.25">
      <c r="H17808" t="s">
        <v>15653</v>
      </c>
    </row>
    <row r="17809" spans="8:8" x14ac:dyDescent="0.25">
      <c r="H17809" t="s">
        <v>135</v>
      </c>
    </row>
    <row r="17810" spans="8:8" x14ac:dyDescent="0.25">
      <c r="H17810" t="s">
        <v>15654</v>
      </c>
    </row>
    <row r="17811" spans="8:8" x14ac:dyDescent="0.25">
      <c r="H17811" t="s">
        <v>30</v>
      </c>
    </row>
    <row r="17813" spans="8:8" x14ac:dyDescent="0.25">
      <c r="H17813" t="s">
        <v>15655</v>
      </c>
    </row>
    <row r="17814" spans="8:8" x14ac:dyDescent="0.25">
      <c r="H17814" t="s">
        <v>15656</v>
      </c>
    </row>
    <row r="17815" spans="8:8" x14ac:dyDescent="0.25">
      <c r="H17815" t="s">
        <v>135</v>
      </c>
    </row>
    <row r="17816" spans="8:8" x14ac:dyDescent="0.25">
      <c r="H17816" t="s">
        <v>15657</v>
      </c>
    </row>
    <row r="17817" spans="8:8" x14ac:dyDescent="0.25">
      <c r="H17817" t="s">
        <v>30</v>
      </c>
    </row>
    <row r="17819" spans="8:8" x14ac:dyDescent="0.25">
      <c r="H17819" t="s">
        <v>15658</v>
      </c>
    </row>
    <row r="17820" spans="8:8" x14ac:dyDescent="0.25">
      <c r="H17820" t="s">
        <v>15659</v>
      </c>
    </row>
    <row r="17821" spans="8:8" x14ac:dyDescent="0.25">
      <c r="H17821" t="s">
        <v>135</v>
      </c>
    </row>
    <row r="17822" spans="8:8" x14ac:dyDescent="0.25">
      <c r="H17822" t="s">
        <v>15660</v>
      </c>
    </row>
    <row r="17823" spans="8:8" x14ac:dyDescent="0.25">
      <c r="H17823" t="s">
        <v>30</v>
      </c>
    </row>
    <row r="17825" spans="8:8" x14ac:dyDescent="0.25">
      <c r="H17825" t="s">
        <v>15661</v>
      </c>
    </row>
    <row r="17826" spans="8:8" x14ac:dyDescent="0.25">
      <c r="H17826" t="s">
        <v>15662</v>
      </c>
    </row>
    <row r="17827" spans="8:8" x14ac:dyDescent="0.25">
      <c r="H17827" t="s">
        <v>135</v>
      </c>
    </row>
    <row r="17828" spans="8:8" x14ac:dyDescent="0.25">
      <c r="H17828" t="s">
        <v>15663</v>
      </c>
    </row>
    <row r="17829" spans="8:8" x14ac:dyDescent="0.25">
      <c r="H17829" t="s">
        <v>30</v>
      </c>
    </row>
    <row r="17831" spans="8:8" x14ac:dyDescent="0.25">
      <c r="H17831" t="s">
        <v>15664</v>
      </c>
    </row>
    <row r="17832" spans="8:8" x14ac:dyDescent="0.25">
      <c r="H17832" t="s">
        <v>15665</v>
      </c>
    </row>
    <row r="17833" spans="8:8" x14ac:dyDescent="0.25">
      <c r="H17833" t="s">
        <v>135</v>
      </c>
    </row>
    <row r="17834" spans="8:8" x14ac:dyDescent="0.25">
      <c r="H17834" t="s">
        <v>15666</v>
      </c>
    </row>
    <row r="17835" spans="8:8" x14ac:dyDescent="0.25">
      <c r="H17835" t="s">
        <v>30</v>
      </c>
    </row>
    <row r="17837" spans="8:8" x14ac:dyDescent="0.25">
      <c r="H17837" t="s">
        <v>15667</v>
      </c>
    </row>
    <row r="17838" spans="8:8" x14ac:dyDescent="0.25">
      <c r="H17838" t="s">
        <v>15668</v>
      </c>
    </row>
    <row r="17839" spans="8:8" x14ac:dyDescent="0.25">
      <c r="H17839" t="s">
        <v>135</v>
      </c>
    </row>
    <row r="17840" spans="8:8" x14ac:dyDescent="0.25">
      <c r="H17840" t="s">
        <v>15669</v>
      </c>
    </row>
    <row r="17841" spans="8:8" x14ac:dyDescent="0.25">
      <c r="H17841" t="s">
        <v>30</v>
      </c>
    </row>
    <row r="17843" spans="8:8" x14ac:dyDescent="0.25">
      <c r="H17843" t="s">
        <v>15670</v>
      </c>
    </row>
    <row r="17844" spans="8:8" x14ac:dyDescent="0.25">
      <c r="H17844" t="s">
        <v>15671</v>
      </c>
    </row>
    <row r="17845" spans="8:8" x14ac:dyDescent="0.25">
      <c r="H17845" t="s">
        <v>135</v>
      </c>
    </row>
    <row r="17846" spans="8:8" x14ac:dyDescent="0.25">
      <c r="H17846" t="s">
        <v>15672</v>
      </c>
    </row>
    <row r="17847" spans="8:8" x14ac:dyDescent="0.25">
      <c r="H17847" t="s">
        <v>30</v>
      </c>
    </row>
    <row r="17849" spans="8:8" x14ac:dyDescent="0.25">
      <c r="H17849" t="s">
        <v>15673</v>
      </c>
    </row>
    <row r="17850" spans="8:8" x14ac:dyDescent="0.25">
      <c r="H17850" t="s">
        <v>15674</v>
      </c>
    </row>
    <row r="17851" spans="8:8" x14ac:dyDescent="0.25">
      <c r="H17851" t="s">
        <v>135</v>
      </c>
    </row>
    <row r="17852" spans="8:8" x14ac:dyDescent="0.25">
      <c r="H17852" t="s">
        <v>15675</v>
      </c>
    </row>
    <row r="17853" spans="8:8" x14ac:dyDescent="0.25">
      <c r="H17853" t="s">
        <v>30</v>
      </c>
    </row>
    <row r="17855" spans="8:8" x14ac:dyDescent="0.25">
      <c r="H17855" t="s">
        <v>15676</v>
      </c>
    </row>
    <row r="17856" spans="8:8" x14ac:dyDescent="0.25">
      <c r="H17856" t="s">
        <v>15677</v>
      </c>
    </row>
    <row r="17857" spans="8:8" x14ac:dyDescent="0.25">
      <c r="H17857" t="s">
        <v>135</v>
      </c>
    </row>
    <row r="17858" spans="8:8" x14ac:dyDescent="0.25">
      <c r="H17858" t="s">
        <v>15678</v>
      </c>
    </row>
    <row r="17859" spans="8:8" x14ac:dyDescent="0.25">
      <c r="H17859" t="s">
        <v>30</v>
      </c>
    </row>
    <row r="17861" spans="8:8" x14ac:dyDescent="0.25">
      <c r="H17861" t="s">
        <v>15679</v>
      </c>
    </row>
    <row r="17862" spans="8:8" x14ac:dyDescent="0.25">
      <c r="H17862" t="s">
        <v>15680</v>
      </c>
    </row>
    <row r="17863" spans="8:8" x14ac:dyDescent="0.25">
      <c r="H17863" t="s">
        <v>135</v>
      </c>
    </row>
    <row r="17864" spans="8:8" x14ac:dyDescent="0.25">
      <c r="H17864" t="s">
        <v>15681</v>
      </c>
    </row>
    <row r="17865" spans="8:8" x14ac:dyDescent="0.25">
      <c r="H17865" t="s">
        <v>30</v>
      </c>
    </row>
    <row r="17867" spans="8:8" x14ac:dyDescent="0.25">
      <c r="H17867" t="s">
        <v>15682</v>
      </c>
    </row>
    <row r="17868" spans="8:8" x14ac:dyDescent="0.25">
      <c r="H17868" t="s">
        <v>15683</v>
      </c>
    </row>
    <row r="17869" spans="8:8" x14ac:dyDescent="0.25">
      <c r="H17869" t="s">
        <v>135</v>
      </c>
    </row>
    <row r="17870" spans="8:8" x14ac:dyDescent="0.25">
      <c r="H17870" t="s">
        <v>15684</v>
      </c>
    </row>
    <row r="17871" spans="8:8" x14ac:dyDescent="0.25">
      <c r="H17871" t="s">
        <v>30</v>
      </c>
    </row>
    <row r="17873" spans="8:8" x14ac:dyDescent="0.25">
      <c r="H17873" t="s">
        <v>15685</v>
      </c>
    </row>
    <row r="17874" spans="8:8" x14ac:dyDescent="0.25">
      <c r="H17874" t="s">
        <v>15686</v>
      </c>
    </row>
    <row r="17875" spans="8:8" x14ac:dyDescent="0.25">
      <c r="H17875" t="s">
        <v>135</v>
      </c>
    </row>
    <row r="17876" spans="8:8" x14ac:dyDescent="0.25">
      <c r="H17876" t="s">
        <v>15687</v>
      </c>
    </row>
    <row r="17877" spans="8:8" x14ac:dyDescent="0.25">
      <c r="H17877" t="s">
        <v>30</v>
      </c>
    </row>
    <row r="17879" spans="8:8" x14ac:dyDescent="0.25">
      <c r="H17879" t="s">
        <v>15688</v>
      </c>
    </row>
    <row r="17880" spans="8:8" x14ac:dyDescent="0.25">
      <c r="H17880" t="s">
        <v>15689</v>
      </c>
    </row>
    <row r="17881" spans="8:8" x14ac:dyDescent="0.25">
      <c r="H17881" t="s">
        <v>135</v>
      </c>
    </row>
    <row r="17882" spans="8:8" x14ac:dyDescent="0.25">
      <c r="H17882" t="s">
        <v>15690</v>
      </c>
    </row>
    <row r="17883" spans="8:8" x14ac:dyDescent="0.25">
      <c r="H17883" t="s">
        <v>30</v>
      </c>
    </row>
    <row r="17885" spans="8:8" x14ac:dyDescent="0.25">
      <c r="H17885" t="s">
        <v>15691</v>
      </c>
    </row>
    <row r="17886" spans="8:8" x14ac:dyDescent="0.25">
      <c r="H17886" t="s">
        <v>15692</v>
      </c>
    </row>
    <row r="17887" spans="8:8" x14ac:dyDescent="0.25">
      <c r="H17887" t="s">
        <v>135</v>
      </c>
    </row>
    <row r="17888" spans="8:8" x14ac:dyDescent="0.25">
      <c r="H17888" t="s">
        <v>15693</v>
      </c>
    </row>
    <row r="17889" spans="8:8" x14ac:dyDescent="0.25">
      <c r="H17889" t="s">
        <v>30</v>
      </c>
    </row>
    <row r="17891" spans="8:8" x14ac:dyDescent="0.25">
      <c r="H17891" t="s">
        <v>15694</v>
      </c>
    </row>
    <row r="17892" spans="8:8" x14ac:dyDescent="0.25">
      <c r="H17892" t="s">
        <v>15695</v>
      </c>
    </row>
    <row r="17893" spans="8:8" x14ac:dyDescent="0.25">
      <c r="H17893" t="s">
        <v>135</v>
      </c>
    </row>
    <row r="17894" spans="8:8" x14ac:dyDescent="0.25">
      <c r="H17894" t="s">
        <v>15696</v>
      </c>
    </row>
    <row r="17895" spans="8:8" x14ac:dyDescent="0.25">
      <c r="H17895" t="s">
        <v>30</v>
      </c>
    </row>
    <row r="17897" spans="8:8" x14ac:dyDescent="0.25">
      <c r="H17897" t="s">
        <v>15697</v>
      </c>
    </row>
    <row r="17898" spans="8:8" x14ac:dyDescent="0.25">
      <c r="H17898" t="s">
        <v>15698</v>
      </c>
    </row>
    <row r="17899" spans="8:8" x14ac:dyDescent="0.25">
      <c r="H17899" t="s">
        <v>135</v>
      </c>
    </row>
    <row r="17900" spans="8:8" x14ac:dyDescent="0.25">
      <c r="H17900" t="s">
        <v>15699</v>
      </c>
    </row>
    <row r="17901" spans="8:8" x14ac:dyDescent="0.25">
      <c r="H17901" t="s">
        <v>30</v>
      </c>
    </row>
    <row r="17903" spans="8:8" x14ac:dyDescent="0.25">
      <c r="H17903" t="s">
        <v>15700</v>
      </c>
    </row>
    <row r="17904" spans="8:8" x14ac:dyDescent="0.25">
      <c r="H17904" t="s">
        <v>15701</v>
      </c>
    </row>
    <row r="17905" spans="8:8" x14ac:dyDescent="0.25">
      <c r="H17905" t="s">
        <v>135</v>
      </c>
    </row>
    <row r="17906" spans="8:8" x14ac:dyDescent="0.25">
      <c r="H17906" t="s">
        <v>15702</v>
      </c>
    </row>
    <row r="17907" spans="8:8" x14ac:dyDescent="0.25">
      <c r="H17907" t="s">
        <v>30</v>
      </c>
    </row>
    <row r="17909" spans="8:8" x14ac:dyDescent="0.25">
      <c r="H17909" t="s">
        <v>15703</v>
      </c>
    </row>
    <row r="17910" spans="8:8" x14ac:dyDescent="0.25">
      <c r="H17910" t="s">
        <v>15704</v>
      </c>
    </row>
    <row r="17911" spans="8:8" x14ac:dyDescent="0.25">
      <c r="H17911" t="s">
        <v>135</v>
      </c>
    </row>
    <row r="17912" spans="8:8" x14ac:dyDescent="0.25">
      <c r="H17912" t="s">
        <v>15705</v>
      </c>
    </row>
    <row r="17913" spans="8:8" x14ac:dyDescent="0.25">
      <c r="H17913" t="s">
        <v>30</v>
      </c>
    </row>
    <row r="17915" spans="8:8" x14ac:dyDescent="0.25">
      <c r="H17915" t="s">
        <v>15706</v>
      </c>
    </row>
    <row r="17916" spans="8:8" x14ac:dyDescent="0.25">
      <c r="H17916" t="s">
        <v>15707</v>
      </c>
    </row>
    <row r="17917" spans="8:8" x14ac:dyDescent="0.25">
      <c r="H17917" t="s">
        <v>135</v>
      </c>
    </row>
    <row r="17918" spans="8:8" x14ac:dyDescent="0.25">
      <c r="H17918" t="s">
        <v>15708</v>
      </c>
    </row>
    <row r="17919" spans="8:8" x14ac:dyDescent="0.25">
      <c r="H17919" t="s">
        <v>30</v>
      </c>
    </row>
    <row r="17921" spans="8:8" x14ac:dyDescent="0.25">
      <c r="H17921" t="s">
        <v>15709</v>
      </c>
    </row>
    <row r="17922" spans="8:8" x14ac:dyDescent="0.25">
      <c r="H17922" t="s">
        <v>15710</v>
      </c>
    </row>
    <row r="17923" spans="8:8" x14ac:dyDescent="0.25">
      <c r="H17923" t="s">
        <v>135</v>
      </c>
    </row>
    <row r="17924" spans="8:8" x14ac:dyDescent="0.25">
      <c r="H17924" t="s">
        <v>15711</v>
      </c>
    </row>
    <row r="17925" spans="8:8" x14ac:dyDescent="0.25">
      <c r="H17925" t="s">
        <v>30</v>
      </c>
    </row>
    <row r="17927" spans="8:8" x14ac:dyDescent="0.25">
      <c r="H17927" t="s">
        <v>15712</v>
      </c>
    </row>
    <row r="17928" spans="8:8" x14ac:dyDescent="0.25">
      <c r="H17928" t="s">
        <v>15713</v>
      </c>
    </row>
    <row r="17929" spans="8:8" x14ac:dyDescent="0.25">
      <c r="H17929" t="s">
        <v>135</v>
      </c>
    </row>
    <row r="17930" spans="8:8" x14ac:dyDescent="0.25">
      <c r="H17930" t="s">
        <v>15714</v>
      </c>
    </row>
    <row r="17931" spans="8:8" x14ac:dyDescent="0.25">
      <c r="H17931" t="s">
        <v>30</v>
      </c>
    </row>
    <row r="17933" spans="8:8" x14ac:dyDescent="0.25">
      <c r="H17933" t="s">
        <v>15715</v>
      </c>
    </row>
    <row r="17934" spans="8:8" x14ac:dyDescent="0.25">
      <c r="H17934" t="s">
        <v>15716</v>
      </c>
    </row>
    <row r="17935" spans="8:8" x14ac:dyDescent="0.25">
      <c r="H17935" t="s">
        <v>135</v>
      </c>
    </row>
    <row r="17936" spans="8:8" x14ac:dyDescent="0.25">
      <c r="H17936" t="s">
        <v>15717</v>
      </c>
    </row>
    <row r="17937" spans="8:8" x14ac:dyDescent="0.25">
      <c r="H17937" t="s">
        <v>30</v>
      </c>
    </row>
    <row r="17939" spans="8:8" x14ac:dyDescent="0.25">
      <c r="H17939" t="s">
        <v>15718</v>
      </c>
    </row>
    <row r="17940" spans="8:8" x14ac:dyDescent="0.25">
      <c r="H17940" t="s">
        <v>15719</v>
      </c>
    </row>
    <row r="17941" spans="8:8" x14ac:dyDescent="0.25">
      <c r="H17941" t="s">
        <v>135</v>
      </c>
    </row>
    <row r="17942" spans="8:8" x14ac:dyDescent="0.25">
      <c r="H17942" t="s">
        <v>15720</v>
      </c>
    </row>
    <row r="17943" spans="8:8" x14ac:dyDescent="0.25">
      <c r="H17943" t="s">
        <v>30</v>
      </c>
    </row>
    <row r="17945" spans="8:8" x14ac:dyDescent="0.25">
      <c r="H17945" t="s">
        <v>15721</v>
      </c>
    </row>
    <row r="17946" spans="8:8" x14ac:dyDescent="0.25">
      <c r="H17946" t="s">
        <v>15722</v>
      </c>
    </row>
    <row r="17947" spans="8:8" x14ac:dyDescent="0.25">
      <c r="H17947" t="s">
        <v>135</v>
      </c>
    </row>
    <row r="17948" spans="8:8" x14ac:dyDescent="0.25">
      <c r="H17948" t="s">
        <v>15723</v>
      </c>
    </row>
    <row r="17949" spans="8:8" x14ac:dyDescent="0.25">
      <c r="H17949" t="s">
        <v>30</v>
      </c>
    </row>
    <row r="17951" spans="8:8" x14ac:dyDescent="0.25">
      <c r="H17951" t="s">
        <v>15724</v>
      </c>
    </row>
    <row r="17952" spans="8:8" x14ac:dyDescent="0.25">
      <c r="H17952" t="s">
        <v>15725</v>
      </c>
    </row>
    <row r="17953" spans="8:8" x14ac:dyDescent="0.25">
      <c r="H17953" t="s">
        <v>135</v>
      </c>
    </row>
    <row r="17954" spans="8:8" x14ac:dyDescent="0.25">
      <c r="H17954" t="s">
        <v>15726</v>
      </c>
    </row>
    <row r="17955" spans="8:8" x14ac:dyDescent="0.25">
      <c r="H17955" t="s">
        <v>30</v>
      </c>
    </row>
    <row r="17957" spans="8:8" x14ac:dyDescent="0.25">
      <c r="H17957" t="s">
        <v>15727</v>
      </c>
    </row>
    <row r="17958" spans="8:8" x14ac:dyDescent="0.25">
      <c r="H17958" t="s">
        <v>15728</v>
      </c>
    </row>
    <row r="17959" spans="8:8" x14ac:dyDescent="0.25">
      <c r="H17959" t="s">
        <v>135</v>
      </c>
    </row>
    <row r="17960" spans="8:8" x14ac:dyDescent="0.25">
      <c r="H17960" t="s">
        <v>15729</v>
      </c>
    </row>
    <row r="17961" spans="8:8" x14ac:dyDescent="0.25">
      <c r="H17961" t="s">
        <v>30</v>
      </c>
    </row>
    <row r="17963" spans="8:8" x14ac:dyDescent="0.25">
      <c r="H17963" t="s">
        <v>15730</v>
      </c>
    </row>
    <row r="17964" spans="8:8" x14ac:dyDescent="0.25">
      <c r="H17964" t="s">
        <v>15731</v>
      </c>
    </row>
    <row r="17965" spans="8:8" x14ac:dyDescent="0.25">
      <c r="H17965" t="s">
        <v>135</v>
      </c>
    </row>
    <row r="17966" spans="8:8" x14ac:dyDescent="0.25">
      <c r="H17966" t="s">
        <v>15732</v>
      </c>
    </row>
    <row r="17967" spans="8:8" x14ac:dyDescent="0.25">
      <c r="H17967" t="s">
        <v>30</v>
      </c>
    </row>
    <row r="17969" spans="8:8" x14ac:dyDescent="0.25">
      <c r="H17969" t="s">
        <v>15733</v>
      </c>
    </row>
    <row r="17970" spans="8:8" x14ac:dyDescent="0.25">
      <c r="H17970" t="s">
        <v>15734</v>
      </c>
    </row>
    <row r="17971" spans="8:8" x14ac:dyDescent="0.25">
      <c r="H17971" t="s">
        <v>135</v>
      </c>
    </row>
    <row r="17972" spans="8:8" x14ac:dyDescent="0.25">
      <c r="H17972" t="s">
        <v>15735</v>
      </c>
    </row>
    <row r="17973" spans="8:8" x14ac:dyDescent="0.25">
      <c r="H17973" t="s">
        <v>30</v>
      </c>
    </row>
    <row r="17975" spans="8:8" x14ac:dyDescent="0.25">
      <c r="H17975" t="s">
        <v>15736</v>
      </c>
    </row>
    <row r="17976" spans="8:8" x14ac:dyDescent="0.25">
      <c r="H17976" t="s">
        <v>15737</v>
      </c>
    </row>
    <row r="17977" spans="8:8" x14ac:dyDescent="0.25">
      <c r="H17977" t="s">
        <v>135</v>
      </c>
    </row>
    <row r="17978" spans="8:8" x14ac:dyDescent="0.25">
      <c r="H17978" t="s">
        <v>15738</v>
      </c>
    </row>
    <row r="17979" spans="8:8" x14ac:dyDescent="0.25">
      <c r="H17979" t="s">
        <v>30</v>
      </c>
    </row>
    <row r="17981" spans="8:8" x14ac:dyDescent="0.25">
      <c r="H17981" t="s">
        <v>15739</v>
      </c>
    </row>
    <row r="17982" spans="8:8" x14ac:dyDescent="0.25">
      <c r="H17982" t="s">
        <v>15740</v>
      </c>
    </row>
    <row r="17983" spans="8:8" x14ac:dyDescent="0.25">
      <c r="H17983" t="s">
        <v>135</v>
      </c>
    </row>
    <row r="17984" spans="8:8" x14ac:dyDescent="0.25">
      <c r="H17984" t="s">
        <v>15741</v>
      </c>
    </row>
    <row r="17985" spans="8:8" x14ac:dyDescent="0.25">
      <c r="H17985" t="s">
        <v>30</v>
      </c>
    </row>
    <row r="17987" spans="8:8" x14ac:dyDescent="0.25">
      <c r="H17987" t="s">
        <v>15742</v>
      </c>
    </row>
    <row r="17988" spans="8:8" x14ac:dyDescent="0.25">
      <c r="H17988" t="s">
        <v>15743</v>
      </c>
    </row>
    <row r="17989" spans="8:8" x14ac:dyDescent="0.25">
      <c r="H17989" t="s">
        <v>135</v>
      </c>
    </row>
    <row r="17990" spans="8:8" x14ac:dyDescent="0.25">
      <c r="H17990" t="s">
        <v>15744</v>
      </c>
    </row>
    <row r="17991" spans="8:8" x14ac:dyDescent="0.25">
      <c r="H17991" t="s">
        <v>30</v>
      </c>
    </row>
    <row r="17993" spans="8:8" x14ac:dyDescent="0.25">
      <c r="H17993" t="s">
        <v>15745</v>
      </c>
    </row>
    <row r="17994" spans="8:8" x14ac:dyDescent="0.25">
      <c r="H17994" t="s">
        <v>15746</v>
      </c>
    </row>
    <row r="17995" spans="8:8" x14ac:dyDescent="0.25">
      <c r="H17995" t="s">
        <v>135</v>
      </c>
    </row>
    <row r="17996" spans="8:8" x14ac:dyDescent="0.25">
      <c r="H17996" t="s">
        <v>15747</v>
      </c>
    </row>
    <row r="17997" spans="8:8" x14ac:dyDescent="0.25">
      <c r="H17997" t="s">
        <v>30</v>
      </c>
    </row>
    <row r="17999" spans="8:8" x14ac:dyDescent="0.25">
      <c r="H17999" t="s">
        <v>15748</v>
      </c>
    </row>
    <row r="18000" spans="8:8" x14ac:dyDescent="0.25">
      <c r="H18000" t="s">
        <v>15749</v>
      </c>
    </row>
    <row r="18001" spans="8:8" x14ac:dyDescent="0.25">
      <c r="H18001" t="s">
        <v>135</v>
      </c>
    </row>
    <row r="18002" spans="8:8" x14ac:dyDescent="0.25">
      <c r="H18002" t="s">
        <v>15750</v>
      </c>
    </row>
    <row r="18003" spans="8:8" x14ac:dyDescent="0.25">
      <c r="H18003" t="s">
        <v>30</v>
      </c>
    </row>
    <row r="18005" spans="8:8" x14ac:dyDescent="0.25">
      <c r="H18005" t="s">
        <v>15751</v>
      </c>
    </row>
    <row r="18006" spans="8:8" x14ac:dyDescent="0.25">
      <c r="H18006" t="s">
        <v>15752</v>
      </c>
    </row>
    <row r="18007" spans="8:8" x14ac:dyDescent="0.25">
      <c r="H18007" t="s">
        <v>135</v>
      </c>
    </row>
    <row r="18008" spans="8:8" x14ac:dyDescent="0.25">
      <c r="H18008" t="s">
        <v>15753</v>
      </c>
    </row>
    <row r="18009" spans="8:8" x14ac:dyDescent="0.25">
      <c r="H18009" t="s">
        <v>30</v>
      </c>
    </row>
    <row r="18011" spans="8:8" x14ac:dyDescent="0.25">
      <c r="H18011" t="s">
        <v>15754</v>
      </c>
    </row>
    <row r="18012" spans="8:8" x14ac:dyDescent="0.25">
      <c r="H18012" t="s">
        <v>15755</v>
      </c>
    </row>
    <row r="18013" spans="8:8" x14ac:dyDescent="0.25">
      <c r="H18013" t="s">
        <v>135</v>
      </c>
    </row>
    <row r="18014" spans="8:8" x14ac:dyDescent="0.25">
      <c r="H18014" t="s">
        <v>15756</v>
      </c>
    </row>
    <row r="18015" spans="8:8" x14ac:dyDescent="0.25">
      <c r="H18015" t="s">
        <v>30</v>
      </c>
    </row>
    <row r="18017" spans="8:8" x14ac:dyDescent="0.25">
      <c r="H18017" t="s">
        <v>15757</v>
      </c>
    </row>
    <row r="18018" spans="8:8" x14ac:dyDescent="0.25">
      <c r="H18018" t="s">
        <v>15758</v>
      </c>
    </row>
    <row r="18019" spans="8:8" x14ac:dyDescent="0.25">
      <c r="H18019" t="s">
        <v>135</v>
      </c>
    </row>
    <row r="18020" spans="8:8" x14ac:dyDescent="0.25">
      <c r="H18020" t="s">
        <v>15759</v>
      </c>
    </row>
    <row r="18021" spans="8:8" x14ac:dyDescent="0.25">
      <c r="H18021" t="s">
        <v>30</v>
      </c>
    </row>
    <row r="18023" spans="8:8" x14ac:dyDescent="0.25">
      <c r="H18023" t="s">
        <v>15760</v>
      </c>
    </row>
    <row r="18024" spans="8:8" x14ac:dyDescent="0.25">
      <c r="H18024" t="s">
        <v>15761</v>
      </c>
    </row>
    <row r="18025" spans="8:8" x14ac:dyDescent="0.25">
      <c r="H18025" t="s">
        <v>135</v>
      </c>
    </row>
    <row r="18026" spans="8:8" x14ac:dyDescent="0.25">
      <c r="H18026" t="s">
        <v>15762</v>
      </c>
    </row>
    <row r="18027" spans="8:8" x14ac:dyDescent="0.25">
      <c r="H18027" t="s">
        <v>30</v>
      </c>
    </row>
    <row r="18029" spans="8:8" x14ac:dyDescent="0.25">
      <c r="H18029" t="s">
        <v>15763</v>
      </c>
    </row>
    <row r="18030" spans="8:8" x14ac:dyDescent="0.25">
      <c r="H18030" t="s">
        <v>15764</v>
      </c>
    </row>
    <row r="18031" spans="8:8" x14ac:dyDescent="0.25">
      <c r="H18031" t="s">
        <v>135</v>
      </c>
    </row>
    <row r="18032" spans="8:8" x14ac:dyDescent="0.25">
      <c r="H18032" t="s">
        <v>15765</v>
      </c>
    </row>
    <row r="18033" spans="8:8" x14ac:dyDescent="0.25">
      <c r="H18033" t="s">
        <v>30</v>
      </c>
    </row>
    <row r="18035" spans="8:8" x14ac:dyDescent="0.25">
      <c r="H18035" t="s">
        <v>15766</v>
      </c>
    </row>
    <row r="18036" spans="8:8" x14ac:dyDescent="0.25">
      <c r="H18036" t="s">
        <v>15767</v>
      </c>
    </row>
    <row r="18037" spans="8:8" x14ac:dyDescent="0.25">
      <c r="H18037" t="s">
        <v>135</v>
      </c>
    </row>
    <row r="18038" spans="8:8" x14ac:dyDescent="0.25">
      <c r="H18038" t="s">
        <v>15768</v>
      </c>
    </row>
    <row r="18039" spans="8:8" x14ac:dyDescent="0.25">
      <c r="H18039" t="s">
        <v>30</v>
      </c>
    </row>
    <row r="18041" spans="8:8" x14ac:dyDescent="0.25">
      <c r="H18041" t="s">
        <v>15769</v>
      </c>
    </row>
    <row r="18042" spans="8:8" x14ac:dyDescent="0.25">
      <c r="H18042" t="s">
        <v>15770</v>
      </c>
    </row>
    <row r="18043" spans="8:8" x14ac:dyDescent="0.25">
      <c r="H18043" t="s">
        <v>135</v>
      </c>
    </row>
    <row r="18044" spans="8:8" x14ac:dyDescent="0.25">
      <c r="H18044" t="s">
        <v>15771</v>
      </c>
    </row>
    <row r="18045" spans="8:8" x14ac:dyDescent="0.25">
      <c r="H18045" t="s">
        <v>30</v>
      </c>
    </row>
    <row r="18047" spans="8:8" x14ac:dyDescent="0.25">
      <c r="H18047" t="s">
        <v>15772</v>
      </c>
    </row>
    <row r="18048" spans="8:8" x14ac:dyDescent="0.25">
      <c r="H18048" t="s">
        <v>15773</v>
      </c>
    </row>
    <row r="18049" spans="8:8" x14ac:dyDescent="0.25">
      <c r="H18049" t="s">
        <v>135</v>
      </c>
    </row>
    <row r="18050" spans="8:8" x14ac:dyDescent="0.25">
      <c r="H18050" t="s">
        <v>15774</v>
      </c>
    </row>
    <row r="18051" spans="8:8" x14ac:dyDescent="0.25">
      <c r="H18051" t="s">
        <v>30</v>
      </c>
    </row>
    <row r="18053" spans="8:8" x14ac:dyDescent="0.25">
      <c r="H18053" t="s">
        <v>15775</v>
      </c>
    </row>
    <row r="18054" spans="8:8" x14ac:dyDescent="0.25">
      <c r="H18054" t="s">
        <v>15776</v>
      </c>
    </row>
    <row r="18055" spans="8:8" x14ac:dyDescent="0.25">
      <c r="H18055" t="s">
        <v>135</v>
      </c>
    </row>
    <row r="18056" spans="8:8" x14ac:dyDescent="0.25">
      <c r="H18056" t="s">
        <v>15777</v>
      </c>
    </row>
    <row r="18057" spans="8:8" x14ac:dyDescent="0.25">
      <c r="H18057" t="s">
        <v>30</v>
      </c>
    </row>
    <row r="18059" spans="8:8" x14ac:dyDescent="0.25">
      <c r="H18059" t="s">
        <v>15778</v>
      </c>
    </row>
    <row r="18060" spans="8:8" x14ac:dyDescent="0.25">
      <c r="H18060" t="s">
        <v>15779</v>
      </c>
    </row>
    <row r="18061" spans="8:8" x14ac:dyDescent="0.25">
      <c r="H18061" t="s">
        <v>135</v>
      </c>
    </row>
    <row r="18062" spans="8:8" x14ac:dyDescent="0.25">
      <c r="H18062" t="s">
        <v>15780</v>
      </c>
    </row>
    <row r="18063" spans="8:8" x14ac:dyDescent="0.25">
      <c r="H18063" t="s">
        <v>30</v>
      </c>
    </row>
    <row r="18065" spans="8:8" x14ac:dyDescent="0.25">
      <c r="H18065" t="s">
        <v>15781</v>
      </c>
    </row>
    <row r="18066" spans="8:8" x14ac:dyDescent="0.25">
      <c r="H18066" t="s">
        <v>15782</v>
      </c>
    </row>
    <row r="18067" spans="8:8" x14ac:dyDescent="0.25">
      <c r="H18067" t="s">
        <v>135</v>
      </c>
    </row>
    <row r="18068" spans="8:8" x14ac:dyDescent="0.25">
      <c r="H18068" t="s">
        <v>15783</v>
      </c>
    </row>
    <row r="18069" spans="8:8" x14ac:dyDescent="0.25">
      <c r="H18069" t="s">
        <v>30</v>
      </c>
    </row>
    <row r="18071" spans="8:8" x14ac:dyDescent="0.25">
      <c r="H18071" t="s">
        <v>15784</v>
      </c>
    </row>
    <row r="18072" spans="8:8" x14ac:dyDescent="0.25">
      <c r="H18072" t="s">
        <v>15785</v>
      </c>
    </row>
    <row r="18073" spans="8:8" x14ac:dyDescent="0.25">
      <c r="H18073" t="s">
        <v>135</v>
      </c>
    </row>
    <row r="18074" spans="8:8" x14ac:dyDescent="0.25">
      <c r="H18074" t="s">
        <v>15786</v>
      </c>
    </row>
    <row r="18075" spans="8:8" x14ac:dyDescent="0.25">
      <c r="H18075" t="s">
        <v>30</v>
      </c>
    </row>
    <row r="18077" spans="8:8" x14ac:dyDescent="0.25">
      <c r="H18077" t="s">
        <v>15787</v>
      </c>
    </row>
    <row r="18078" spans="8:8" x14ac:dyDescent="0.25">
      <c r="H18078" t="s">
        <v>15788</v>
      </c>
    </row>
    <row r="18079" spans="8:8" x14ac:dyDescent="0.25">
      <c r="H18079" t="s">
        <v>135</v>
      </c>
    </row>
    <row r="18080" spans="8:8" x14ac:dyDescent="0.25">
      <c r="H18080" t="s">
        <v>15789</v>
      </c>
    </row>
    <row r="18081" spans="8:8" x14ac:dyDescent="0.25">
      <c r="H18081" t="s">
        <v>30</v>
      </c>
    </row>
    <row r="18083" spans="8:8" x14ac:dyDescent="0.25">
      <c r="H18083" t="s">
        <v>15790</v>
      </c>
    </row>
    <row r="18084" spans="8:8" x14ac:dyDescent="0.25">
      <c r="H18084" t="s">
        <v>15791</v>
      </c>
    </row>
    <row r="18085" spans="8:8" x14ac:dyDescent="0.25">
      <c r="H18085" t="s">
        <v>135</v>
      </c>
    </row>
    <row r="18086" spans="8:8" x14ac:dyDescent="0.25">
      <c r="H18086" t="s">
        <v>15792</v>
      </c>
    </row>
    <row r="18087" spans="8:8" x14ac:dyDescent="0.25">
      <c r="H18087" t="s">
        <v>30</v>
      </c>
    </row>
    <row r="18089" spans="8:8" x14ac:dyDescent="0.25">
      <c r="H18089" t="s">
        <v>15793</v>
      </c>
    </row>
    <row r="18090" spans="8:8" x14ac:dyDescent="0.25">
      <c r="H18090" t="s">
        <v>15794</v>
      </c>
    </row>
    <row r="18091" spans="8:8" x14ac:dyDescent="0.25">
      <c r="H18091" t="s">
        <v>135</v>
      </c>
    </row>
    <row r="18092" spans="8:8" x14ac:dyDescent="0.25">
      <c r="H18092" t="s">
        <v>15795</v>
      </c>
    </row>
    <row r="18093" spans="8:8" x14ac:dyDescent="0.25">
      <c r="H18093" t="s">
        <v>30</v>
      </c>
    </row>
    <row r="18095" spans="8:8" x14ac:dyDescent="0.25">
      <c r="H18095" t="s">
        <v>15796</v>
      </c>
    </row>
    <row r="18096" spans="8:8" x14ac:dyDescent="0.25">
      <c r="H18096" t="s">
        <v>15797</v>
      </c>
    </row>
    <row r="18097" spans="8:8" x14ac:dyDescent="0.25">
      <c r="H18097" t="s">
        <v>135</v>
      </c>
    </row>
    <row r="18098" spans="8:8" x14ac:dyDescent="0.25">
      <c r="H18098" t="s">
        <v>15798</v>
      </c>
    </row>
    <row r="18099" spans="8:8" x14ac:dyDescent="0.25">
      <c r="H18099" t="s">
        <v>30</v>
      </c>
    </row>
    <row r="18101" spans="8:8" x14ac:dyDescent="0.25">
      <c r="H18101" t="s">
        <v>15799</v>
      </c>
    </row>
    <row r="18102" spans="8:8" x14ac:dyDescent="0.25">
      <c r="H18102" t="s">
        <v>15800</v>
      </c>
    </row>
    <row r="18103" spans="8:8" x14ac:dyDescent="0.25">
      <c r="H18103" t="s">
        <v>135</v>
      </c>
    </row>
    <row r="18104" spans="8:8" x14ac:dyDescent="0.25">
      <c r="H18104" t="s">
        <v>15801</v>
      </c>
    </row>
    <row r="18105" spans="8:8" x14ac:dyDescent="0.25">
      <c r="H18105" t="s">
        <v>30</v>
      </c>
    </row>
    <row r="18107" spans="8:8" x14ac:dyDescent="0.25">
      <c r="H18107" t="s">
        <v>15802</v>
      </c>
    </row>
    <row r="18108" spans="8:8" x14ac:dyDescent="0.25">
      <c r="H18108" t="s">
        <v>15803</v>
      </c>
    </row>
    <row r="18109" spans="8:8" x14ac:dyDescent="0.25">
      <c r="H18109" t="s">
        <v>135</v>
      </c>
    </row>
    <row r="18110" spans="8:8" x14ac:dyDescent="0.25">
      <c r="H18110" t="s">
        <v>15804</v>
      </c>
    </row>
    <row r="18111" spans="8:8" x14ac:dyDescent="0.25">
      <c r="H18111" t="s">
        <v>30</v>
      </c>
    </row>
    <row r="18113" spans="8:8" x14ac:dyDescent="0.25">
      <c r="H18113" t="s">
        <v>15805</v>
      </c>
    </row>
    <row r="18114" spans="8:8" x14ac:dyDescent="0.25">
      <c r="H18114" t="s">
        <v>15806</v>
      </c>
    </row>
    <row r="18115" spans="8:8" x14ac:dyDescent="0.25">
      <c r="H18115" t="s">
        <v>135</v>
      </c>
    </row>
    <row r="18116" spans="8:8" x14ac:dyDescent="0.25">
      <c r="H18116" t="s">
        <v>15807</v>
      </c>
    </row>
    <row r="18117" spans="8:8" x14ac:dyDescent="0.25">
      <c r="H18117" t="s">
        <v>30</v>
      </c>
    </row>
    <row r="18119" spans="8:8" x14ac:dyDescent="0.25">
      <c r="H18119" t="s">
        <v>15808</v>
      </c>
    </row>
    <row r="18120" spans="8:8" x14ac:dyDescent="0.25">
      <c r="H18120" t="s">
        <v>15809</v>
      </c>
    </row>
    <row r="18121" spans="8:8" x14ac:dyDescent="0.25">
      <c r="H18121" t="s">
        <v>135</v>
      </c>
    </row>
    <row r="18122" spans="8:8" x14ac:dyDescent="0.25">
      <c r="H18122" t="s">
        <v>15810</v>
      </c>
    </row>
    <row r="18123" spans="8:8" x14ac:dyDescent="0.25">
      <c r="H18123" t="s">
        <v>30</v>
      </c>
    </row>
    <row r="18125" spans="8:8" x14ac:dyDescent="0.25">
      <c r="H18125" t="s">
        <v>15811</v>
      </c>
    </row>
    <row r="18126" spans="8:8" x14ac:dyDescent="0.25">
      <c r="H18126" t="s">
        <v>15812</v>
      </c>
    </row>
    <row r="18127" spans="8:8" x14ac:dyDescent="0.25">
      <c r="H18127" t="s">
        <v>135</v>
      </c>
    </row>
    <row r="18128" spans="8:8" x14ac:dyDescent="0.25">
      <c r="H18128" t="s">
        <v>15813</v>
      </c>
    </row>
    <row r="18129" spans="8:8" x14ac:dyDescent="0.25">
      <c r="H18129" t="s">
        <v>30</v>
      </c>
    </row>
    <row r="18131" spans="8:8" x14ac:dyDescent="0.25">
      <c r="H18131" t="s">
        <v>15814</v>
      </c>
    </row>
    <row r="18132" spans="8:8" x14ac:dyDescent="0.25">
      <c r="H18132" t="s">
        <v>15815</v>
      </c>
    </row>
    <row r="18133" spans="8:8" x14ac:dyDescent="0.25">
      <c r="H18133" t="s">
        <v>135</v>
      </c>
    </row>
    <row r="18134" spans="8:8" x14ac:dyDescent="0.25">
      <c r="H18134" t="s">
        <v>15816</v>
      </c>
    </row>
    <row r="18135" spans="8:8" x14ac:dyDescent="0.25">
      <c r="H18135" t="s">
        <v>30</v>
      </c>
    </row>
    <row r="18137" spans="8:8" x14ac:dyDescent="0.25">
      <c r="H18137" t="s">
        <v>15817</v>
      </c>
    </row>
    <row r="18138" spans="8:8" x14ac:dyDescent="0.25">
      <c r="H18138" t="s">
        <v>15818</v>
      </c>
    </row>
    <row r="18139" spans="8:8" x14ac:dyDescent="0.25">
      <c r="H18139" t="s">
        <v>135</v>
      </c>
    </row>
    <row r="18140" spans="8:8" x14ac:dyDescent="0.25">
      <c r="H18140" t="s">
        <v>15819</v>
      </c>
    </row>
    <row r="18141" spans="8:8" x14ac:dyDescent="0.25">
      <c r="H18141" t="s">
        <v>30</v>
      </c>
    </row>
    <row r="18143" spans="8:8" x14ac:dyDescent="0.25">
      <c r="H18143" t="s">
        <v>15820</v>
      </c>
    </row>
    <row r="18144" spans="8:8" x14ac:dyDescent="0.25">
      <c r="H18144" t="s">
        <v>15821</v>
      </c>
    </row>
    <row r="18145" spans="8:8" x14ac:dyDescent="0.25">
      <c r="H18145" t="s">
        <v>135</v>
      </c>
    </row>
    <row r="18146" spans="8:8" x14ac:dyDescent="0.25">
      <c r="H18146" t="s">
        <v>15822</v>
      </c>
    </row>
    <row r="18147" spans="8:8" x14ac:dyDescent="0.25">
      <c r="H18147" t="s">
        <v>30</v>
      </c>
    </row>
    <row r="18149" spans="8:8" x14ac:dyDescent="0.25">
      <c r="H18149" t="s">
        <v>15823</v>
      </c>
    </row>
    <row r="18150" spans="8:8" x14ac:dyDescent="0.25">
      <c r="H18150" t="s">
        <v>15824</v>
      </c>
    </row>
    <row r="18151" spans="8:8" x14ac:dyDescent="0.25">
      <c r="H18151" t="s">
        <v>135</v>
      </c>
    </row>
    <row r="18152" spans="8:8" x14ac:dyDescent="0.25">
      <c r="H18152" t="s">
        <v>15825</v>
      </c>
    </row>
    <row r="18153" spans="8:8" x14ac:dyDescent="0.25">
      <c r="H18153" t="s">
        <v>30</v>
      </c>
    </row>
    <row r="18154" spans="8:8" x14ac:dyDescent="0.25">
      <c r="H18154" t="s">
        <v>15826</v>
      </c>
    </row>
    <row r="18155" spans="8:8" x14ac:dyDescent="0.25">
      <c r="H18155" t="s">
        <v>136</v>
      </c>
    </row>
    <row r="18156" spans="8:8" x14ac:dyDescent="0.25">
      <c r="H18156" t="s">
        <v>15827</v>
      </c>
    </row>
    <row r="18157" spans="8:8" x14ac:dyDescent="0.25">
      <c r="H18157" t="s">
        <v>30</v>
      </c>
    </row>
    <row r="18158" spans="8:8" x14ac:dyDescent="0.25">
      <c r="H18158" t="s">
        <v>15828</v>
      </c>
    </row>
    <row r="18159" spans="8:8" x14ac:dyDescent="0.25">
      <c r="H18159" t="s">
        <v>137</v>
      </c>
    </row>
    <row r="18160" spans="8:8" x14ac:dyDescent="0.25">
      <c r="H18160" t="s">
        <v>15829</v>
      </c>
    </row>
    <row r="18161" spans="8:8" x14ac:dyDescent="0.25">
      <c r="H18161" t="s">
        <v>30</v>
      </c>
    </row>
    <row r="18162" spans="8:8" x14ac:dyDescent="0.25">
      <c r="H18162" t="s">
        <v>138</v>
      </c>
    </row>
    <row r="18163" spans="8:8" x14ac:dyDescent="0.25">
      <c r="H18163" t="s">
        <v>15830</v>
      </c>
    </row>
    <row r="18164" spans="8:8" x14ac:dyDescent="0.25">
      <c r="H18164" t="s">
        <v>30</v>
      </c>
    </row>
    <row r="18166" spans="8:8" x14ac:dyDescent="0.25">
      <c r="H18166" t="s">
        <v>15831</v>
      </c>
    </row>
    <row r="18167" spans="8:8" x14ac:dyDescent="0.25">
      <c r="H18167" t="s">
        <v>15832</v>
      </c>
    </row>
    <row r="18168" spans="8:8" x14ac:dyDescent="0.25">
      <c r="H18168" t="s">
        <v>135</v>
      </c>
    </row>
    <row r="18169" spans="8:8" x14ac:dyDescent="0.25">
      <c r="H18169" t="s">
        <v>15833</v>
      </c>
    </row>
    <row r="18170" spans="8:8" x14ac:dyDescent="0.25">
      <c r="H18170" t="s">
        <v>30</v>
      </c>
    </row>
    <row r="18171" spans="8:8" x14ac:dyDescent="0.25">
      <c r="H18171" t="s">
        <v>136</v>
      </c>
    </row>
    <row r="18172" spans="8:8" x14ac:dyDescent="0.25">
      <c r="H18172" t="s">
        <v>15834</v>
      </c>
    </row>
    <row r="18173" spans="8:8" x14ac:dyDescent="0.25">
      <c r="H18173" t="s">
        <v>30</v>
      </c>
    </row>
    <row r="18174" spans="8:8" x14ac:dyDescent="0.25">
      <c r="H18174" t="s">
        <v>15835</v>
      </c>
    </row>
    <row r="18175" spans="8:8" x14ac:dyDescent="0.25">
      <c r="H18175" t="s">
        <v>137</v>
      </c>
    </row>
    <row r="18176" spans="8:8" x14ac:dyDescent="0.25">
      <c r="H18176" t="s">
        <v>15836</v>
      </c>
    </row>
    <row r="18177" spans="8:8" x14ac:dyDescent="0.25">
      <c r="H18177" t="s">
        <v>30</v>
      </c>
    </row>
    <row r="18178" spans="8:8" x14ac:dyDescent="0.25">
      <c r="H18178" t="s">
        <v>138</v>
      </c>
    </row>
    <row r="18179" spans="8:8" x14ac:dyDescent="0.25">
      <c r="H18179" t="s">
        <v>15837</v>
      </c>
    </row>
    <row r="18180" spans="8:8" x14ac:dyDescent="0.25">
      <c r="H18180" t="s">
        <v>30</v>
      </c>
    </row>
    <row r="18182" spans="8:8" x14ac:dyDescent="0.25">
      <c r="H18182" t="s">
        <v>15838</v>
      </c>
    </row>
    <row r="18183" spans="8:8" x14ac:dyDescent="0.25">
      <c r="H18183" t="s">
        <v>15839</v>
      </c>
    </row>
    <row r="18184" spans="8:8" x14ac:dyDescent="0.25">
      <c r="H18184" t="s">
        <v>135</v>
      </c>
    </row>
    <row r="18185" spans="8:8" x14ac:dyDescent="0.25">
      <c r="H18185" t="s">
        <v>15840</v>
      </c>
    </row>
    <row r="18186" spans="8:8" x14ac:dyDescent="0.25">
      <c r="H18186" t="s">
        <v>30</v>
      </c>
    </row>
    <row r="18187" spans="8:8" x14ac:dyDescent="0.25">
      <c r="H18187" t="s">
        <v>15841</v>
      </c>
    </row>
    <row r="18188" spans="8:8" x14ac:dyDescent="0.25">
      <c r="H18188" t="s">
        <v>137</v>
      </c>
    </row>
    <row r="18189" spans="8:8" x14ac:dyDescent="0.25">
      <c r="H18189" t="s">
        <v>15842</v>
      </c>
    </row>
    <row r="18190" spans="8:8" x14ac:dyDescent="0.25">
      <c r="H18190" t="s">
        <v>30</v>
      </c>
    </row>
    <row r="18191" spans="8:8" x14ac:dyDescent="0.25">
      <c r="H18191" t="s">
        <v>138</v>
      </c>
    </row>
    <row r="18192" spans="8:8" x14ac:dyDescent="0.25">
      <c r="H18192" t="s">
        <v>15843</v>
      </c>
    </row>
    <row r="18193" spans="8:8" x14ac:dyDescent="0.25">
      <c r="H18193" t="s">
        <v>30</v>
      </c>
    </row>
    <row r="18195" spans="8:8" x14ac:dyDescent="0.25">
      <c r="H18195" t="s">
        <v>28</v>
      </c>
    </row>
    <row r="18196" spans="8:8" x14ac:dyDescent="0.25">
      <c r="H18196" t="s">
        <v>119</v>
      </c>
    </row>
    <row r="18197" spans="8:8" x14ac:dyDescent="0.25">
      <c r="H18197" t="s">
        <v>139</v>
      </c>
    </row>
    <row r="18199" spans="8:8" x14ac:dyDescent="0.25">
      <c r="H18199" t="s">
        <v>29</v>
      </c>
    </row>
    <row r="18200" spans="8:8" x14ac:dyDescent="0.25">
      <c r="H18200" s="7" t="s">
        <v>84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18200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1"/>
    </row>
    <row r="2" spans="1:8" x14ac:dyDescent="0.25">
      <c r="B2" s="1" t="s">
        <v>17</v>
      </c>
      <c r="H2" s="1" t="s">
        <v>39</v>
      </c>
    </row>
    <row r="3" spans="1:8" x14ac:dyDescent="0.25">
      <c r="B3" t="s">
        <v>107</v>
      </c>
      <c r="H3" t="s">
        <v>37</v>
      </c>
    </row>
    <row r="4" spans="1:8" x14ac:dyDescent="0.25">
      <c r="H4" t="s">
        <v>110</v>
      </c>
    </row>
    <row r="5" spans="1:8" x14ac:dyDescent="0.25">
      <c r="B5" s="1" t="s">
        <v>18</v>
      </c>
      <c r="H5" t="s">
        <v>27</v>
      </c>
    </row>
    <row r="6" spans="1:8" x14ac:dyDescent="0.25">
      <c r="B6" t="s">
        <v>125</v>
      </c>
    </row>
    <row r="7" spans="1:8" x14ac:dyDescent="0.25">
      <c r="H7" t="s">
        <v>8304</v>
      </c>
    </row>
    <row r="8" spans="1:8" x14ac:dyDescent="0.25">
      <c r="B8" s="1" t="s">
        <v>19</v>
      </c>
      <c r="H8" t="s">
        <v>8305</v>
      </c>
    </row>
    <row r="9" spans="1:8" x14ac:dyDescent="0.25">
      <c r="B9" t="s">
        <v>126</v>
      </c>
      <c r="H9" t="s">
        <v>135</v>
      </c>
    </row>
    <row r="10" spans="1:8" x14ac:dyDescent="0.25">
      <c r="H10" t="s">
        <v>15844</v>
      </c>
    </row>
    <row r="11" spans="1:8" x14ac:dyDescent="0.25">
      <c r="B11" s="1" t="s">
        <v>12</v>
      </c>
      <c r="H11" t="s">
        <v>30</v>
      </c>
    </row>
    <row r="12" spans="1:8" x14ac:dyDescent="0.25">
      <c r="B12" t="s">
        <v>14</v>
      </c>
    </row>
    <row r="13" spans="1:8" x14ac:dyDescent="0.25">
      <c r="H13" t="s">
        <v>8307</v>
      </c>
    </row>
    <row r="14" spans="1:8" x14ac:dyDescent="0.25">
      <c r="B14" s="1" t="s">
        <v>35</v>
      </c>
      <c r="H14" t="s">
        <v>8308</v>
      </c>
    </row>
    <row r="15" spans="1:8" x14ac:dyDescent="0.25">
      <c r="B15" t="s">
        <v>34</v>
      </c>
      <c r="H15" t="s">
        <v>135</v>
      </c>
    </row>
    <row r="16" spans="1:8" x14ac:dyDescent="0.25">
      <c r="H16" t="s">
        <v>15845</v>
      </c>
    </row>
    <row r="17" spans="2:8" x14ac:dyDescent="0.25">
      <c r="B17" s="1" t="s">
        <v>20</v>
      </c>
      <c r="H17" t="s">
        <v>30</v>
      </c>
    </row>
    <row r="18" spans="2:8" x14ac:dyDescent="0.25">
      <c r="B18" t="s">
        <v>129</v>
      </c>
    </row>
    <row r="19" spans="2:8" x14ac:dyDescent="0.25">
      <c r="H19" t="s">
        <v>8310</v>
      </c>
    </row>
    <row r="20" spans="2:8" x14ac:dyDescent="0.25">
      <c r="B20" s="1"/>
      <c r="H20" t="s">
        <v>8311</v>
      </c>
    </row>
    <row r="21" spans="2:8" x14ac:dyDescent="0.25">
      <c r="H21" t="s">
        <v>135</v>
      </c>
    </row>
    <row r="22" spans="2:8" x14ac:dyDescent="0.25">
      <c r="H22" t="s">
        <v>15846</v>
      </c>
    </row>
    <row r="23" spans="2:8" x14ac:dyDescent="0.25">
      <c r="H23" t="s">
        <v>30</v>
      </c>
    </row>
    <row r="25" spans="2:8" x14ac:dyDescent="0.25">
      <c r="H25" t="s">
        <v>8313</v>
      </c>
    </row>
    <row r="26" spans="2:8" x14ac:dyDescent="0.25">
      <c r="H26" t="s">
        <v>8314</v>
      </c>
    </row>
    <row r="27" spans="2:8" x14ac:dyDescent="0.25">
      <c r="H27" t="s">
        <v>135</v>
      </c>
    </row>
    <row r="28" spans="2:8" x14ac:dyDescent="0.25">
      <c r="H28" t="s">
        <v>15847</v>
      </c>
    </row>
    <row r="29" spans="2:8" x14ac:dyDescent="0.25">
      <c r="H29" t="s">
        <v>30</v>
      </c>
    </row>
    <row r="31" spans="2:8" x14ac:dyDescent="0.25">
      <c r="H31" t="s">
        <v>8316</v>
      </c>
    </row>
    <row r="32" spans="2:8" x14ac:dyDescent="0.25">
      <c r="H32" t="s">
        <v>8317</v>
      </c>
    </row>
    <row r="33" spans="8:8" x14ac:dyDescent="0.25">
      <c r="H33" t="s">
        <v>135</v>
      </c>
    </row>
    <row r="34" spans="8:8" x14ac:dyDescent="0.25">
      <c r="H34" t="s">
        <v>15848</v>
      </c>
    </row>
    <row r="35" spans="8:8" x14ac:dyDescent="0.25">
      <c r="H35" t="s">
        <v>30</v>
      </c>
    </row>
    <row r="37" spans="8:8" x14ac:dyDescent="0.25">
      <c r="H37" t="s">
        <v>8319</v>
      </c>
    </row>
    <row r="38" spans="8:8" x14ac:dyDescent="0.25">
      <c r="H38" t="s">
        <v>8320</v>
      </c>
    </row>
    <row r="39" spans="8:8" x14ac:dyDescent="0.25">
      <c r="H39" t="s">
        <v>135</v>
      </c>
    </row>
    <row r="40" spans="8:8" x14ac:dyDescent="0.25">
      <c r="H40" t="s">
        <v>15849</v>
      </c>
    </row>
    <row r="41" spans="8:8" x14ac:dyDescent="0.25">
      <c r="H41" t="s">
        <v>30</v>
      </c>
    </row>
    <row r="43" spans="8:8" x14ac:dyDescent="0.25">
      <c r="H43" t="s">
        <v>8322</v>
      </c>
    </row>
    <row r="44" spans="8:8" x14ac:dyDescent="0.25">
      <c r="H44" t="s">
        <v>8323</v>
      </c>
    </row>
    <row r="45" spans="8:8" x14ac:dyDescent="0.25">
      <c r="H45" t="s">
        <v>135</v>
      </c>
    </row>
    <row r="46" spans="8:8" x14ac:dyDescent="0.25">
      <c r="H46" t="s">
        <v>15850</v>
      </c>
    </row>
    <row r="47" spans="8:8" x14ac:dyDescent="0.25">
      <c r="H47" t="s">
        <v>30</v>
      </c>
    </row>
    <row r="49" spans="8:8" x14ac:dyDescent="0.25">
      <c r="H49" t="s">
        <v>8325</v>
      </c>
    </row>
    <row r="50" spans="8:8" x14ac:dyDescent="0.25">
      <c r="H50" t="s">
        <v>8326</v>
      </c>
    </row>
    <row r="51" spans="8:8" x14ac:dyDescent="0.25">
      <c r="H51" t="s">
        <v>135</v>
      </c>
    </row>
    <row r="52" spans="8:8" x14ac:dyDescent="0.25">
      <c r="H52" t="s">
        <v>15851</v>
      </c>
    </row>
    <row r="53" spans="8:8" x14ac:dyDescent="0.25">
      <c r="H53" t="s">
        <v>30</v>
      </c>
    </row>
    <row r="55" spans="8:8" x14ac:dyDescent="0.25">
      <c r="H55" t="s">
        <v>8328</v>
      </c>
    </row>
    <row r="56" spans="8:8" x14ac:dyDescent="0.25">
      <c r="H56" t="s">
        <v>8329</v>
      </c>
    </row>
    <row r="57" spans="8:8" x14ac:dyDescent="0.25">
      <c r="H57" t="s">
        <v>135</v>
      </c>
    </row>
    <row r="58" spans="8:8" x14ac:dyDescent="0.25">
      <c r="H58" t="s">
        <v>15852</v>
      </c>
    </row>
    <row r="59" spans="8:8" x14ac:dyDescent="0.25">
      <c r="H59" t="s">
        <v>30</v>
      </c>
    </row>
    <row r="61" spans="8:8" x14ac:dyDescent="0.25">
      <c r="H61" t="s">
        <v>8331</v>
      </c>
    </row>
    <row r="62" spans="8:8" x14ac:dyDescent="0.25">
      <c r="H62" t="s">
        <v>8332</v>
      </c>
    </row>
    <row r="63" spans="8:8" x14ac:dyDescent="0.25">
      <c r="H63" t="s">
        <v>135</v>
      </c>
    </row>
    <row r="64" spans="8:8" x14ac:dyDescent="0.25">
      <c r="H64" t="s">
        <v>15853</v>
      </c>
    </row>
    <row r="65" spans="8:8" x14ac:dyDescent="0.25">
      <c r="H65" t="s">
        <v>30</v>
      </c>
    </row>
    <row r="66" spans="8:8" x14ac:dyDescent="0.25">
      <c r="H66" t="s">
        <v>136</v>
      </c>
    </row>
    <row r="67" spans="8:8" x14ac:dyDescent="0.25">
      <c r="H67" t="s">
        <v>15854</v>
      </c>
    </row>
    <row r="68" spans="8:8" x14ac:dyDescent="0.25">
      <c r="H68" t="s">
        <v>30</v>
      </c>
    </row>
    <row r="69" spans="8:8" x14ac:dyDescent="0.25">
      <c r="H69" t="s">
        <v>8335</v>
      </c>
    </row>
    <row r="70" spans="8:8" x14ac:dyDescent="0.25">
      <c r="H70" t="s">
        <v>137</v>
      </c>
    </row>
    <row r="71" spans="8:8" x14ac:dyDescent="0.25">
      <c r="H71" t="s">
        <v>15855</v>
      </c>
    </row>
    <row r="72" spans="8:8" x14ac:dyDescent="0.25">
      <c r="H72" t="s">
        <v>30</v>
      </c>
    </row>
    <row r="74" spans="8:8" x14ac:dyDescent="0.25">
      <c r="H74" t="s">
        <v>8337</v>
      </c>
    </row>
    <row r="75" spans="8:8" x14ac:dyDescent="0.25">
      <c r="H75" t="s">
        <v>8338</v>
      </c>
    </row>
    <row r="76" spans="8:8" x14ac:dyDescent="0.25">
      <c r="H76" t="s">
        <v>135</v>
      </c>
    </row>
    <row r="77" spans="8:8" x14ac:dyDescent="0.25">
      <c r="H77" t="s">
        <v>23456</v>
      </c>
    </row>
    <row r="78" spans="8:8" x14ac:dyDescent="0.25">
      <c r="H78" t="s">
        <v>30</v>
      </c>
    </row>
    <row r="80" spans="8:8" x14ac:dyDescent="0.25">
      <c r="H80" t="s">
        <v>8339</v>
      </c>
    </row>
    <row r="81" spans="8:8" x14ac:dyDescent="0.25">
      <c r="H81" t="s">
        <v>8340</v>
      </c>
    </row>
    <row r="82" spans="8:8" x14ac:dyDescent="0.25">
      <c r="H82" t="s">
        <v>135</v>
      </c>
    </row>
    <row r="83" spans="8:8" x14ac:dyDescent="0.25">
      <c r="H83" t="s">
        <v>15856</v>
      </c>
    </row>
    <row r="84" spans="8:8" x14ac:dyDescent="0.25">
      <c r="H84" t="s">
        <v>30</v>
      </c>
    </row>
    <row r="86" spans="8:8" x14ac:dyDescent="0.25">
      <c r="H86" t="s">
        <v>8342</v>
      </c>
    </row>
    <row r="87" spans="8:8" x14ac:dyDescent="0.25">
      <c r="H87" t="s">
        <v>8343</v>
      </c>
    </row>
    <row r="88" spans="8:8" x14ac:dyDescent="0.25">
      <c r="H88" t="s">
        <v>135</v>
      </c>
    </row>
    <row r="89" spans="8:8" x14ac:dyDescent="0.25">
      <c r="H89" t="s">
        <v>15857</v>
      </c>
    </row>
    <row r="90" spans="8:8" x14ac:dyDescent="0.25">
      <c r="H90" t="s">
        <v>30</v>
      </c>
    </row>
    <row r="92" spans="8:8" x14ac:dyDescent="0.25">
      <c r="H92" t="s">
        <v>8345</v>
      </c>
    </row>
    <row r="93" spans="8:8" x14ac:dyDescent="0.25">
      <c r="H93" t="s">
        <v>8346</v>
      </c>
    </row>
    <row r="94" spans="8:8" x14ac:dyDescent="0.25">
      <c r="H94" t="s">
        <v>135</v>
      </c>
    </row>
    <row r="95" spans="8:8" x14ac:dyDescent="0.25">
      <c r="H95" t="s">
        <v>15858</v>
      </c>
    </row>
    <row r="96" spans="8:8" x14ac:dyDescent="0.25">
      <c r="H96" t="s">
        <v>30</v>
      </c>
    </row>
    <row r="98" spans="8:8" x14ac:dyDescent="0.25">
      <c r="H98" t="s">
        <v>8348</v>
      </c>
    </row>
    <row r="99" spans="8:8" x14ac:dyDescent="0.25">
      <c r="H99" t="s">
        <v>8349</v>
      </c>
    </row>
    <row r="100" spans="8:8" x14ac:dyDescent="0.25">
      <c r="H100" t="s">
        <v>135</v>
      </c>
    </row>
    <row r="101" spans="8:8" x14ac:dyDescent="0.25">
      <c r="H101" t="s">
        <v>15859</v>
      </c>
    </row>
    <row r="102" spans="8:8" x14ac:dyDescent="0.25">
      <c r="H102" t="s">
        <v>30</v>
      </c>
    </row>
    <row r="104" spans="8:8" x14ac:dyDescent="0.25">
      <c r="H104" t="s">
        <v>8351</v>
      </c>
    </row>
    <row r="105" spans="8:8" x14ac:dyDescent="0.25">
      <c r="H105" t="s">
        <v>8352</v>
      </c>
    </row>
    <row r="106" spans="8:8" x14ac:dyDescent="0.25">
      <c r="H106" t="s">
        <v>135</v>
      </c>
    </row>
    <row r="107" spans="8:8" x14ac:dyDescent="0.25">
      <c r="H107" t="s">
        <v>15860</v>
      </c>
    </row>
    <row r="108" spans="8:8" x14ac:dyDescent="0.25">
      <c r="H108" t="s">
        <v>30</v>
      </c>
    </row>
    <row r="110" spans="8:8" x14ac:dyDescent="0.25">
      <c r="H110" t="s">
        <v>8354</v>
      </c>
    </row>
    <row r="111" spans="8:8" x14ac:dyDescent="0.25">
      <c r="H111" t="s">
        <v>8355</v>
      </c>
    </row>
    <row r="112" spans="8:8" x14ac:dyDescent="0.25">
      <c r="H112" t="s">
        <v>135</v>
      </c>
    </row>
    <row r="113" spans="8:8" x14ac:dyDescent="0.25">
      <c r="H113" t="s">
        <v>15861</v>
      </c>
    </row>
    <row r="114" spans="8:8" x14ac:dyDescent="0.25">
      <c r="H114" t="s">
        <v>30</v>
      </c>
    </row>
    <row r="115" spans="8:8" x14ac:dyDescent="0.25">
      <c r="H115" t="s">
        <v>136</v>
      </c>
    </row>
    <row r="116" spans="8:8" x14ac:dyDescent="0.25">
      <c r="H116" t="s">
        <v>15862</v>
      </c>
    </row>
    <row r="117" spans="8:8" x14ac:dyDescent="0.25">
      <c r="H117" t="s">
        <v>30</v>
      </c>
    </row>
    <row r="119" spans="8:8" x14ac:dyDescent="0.25">
      <c r="H119" t="s">
        <v>8358</v>
      </c>
    </row>
    <row r="120" spans="8:8" x14ac:dyDescent="0.25">
      <c r="H120" t="s">
        <v>8359</v>
      </c>
    </row>
    <row r="121" spans="8:8" x14ac:dyDescent="0.25">
      <c r="H121" t="s">
        <v>135</v>
      </c>
    </row>
    <row r="122" spans="8:8" x14ac:dyDescent="0.25">
      <c r="H122" t="s">
        <v>15863</v>
      </c>
    </row>
    <row r="123" spans="8:8" x14ac:dyDescent="0.25">
      <c r="H123" t="s">
        <v>30</v>
      </c>
    </row>
    <row r="124" spans="8:8" x14ac:dyDescent="0.25">
      <c r="H124" t="s">
        <v>136</v>
      </c>
    </row>
    <row r="125" spans="8:8" x14ac:dyDescent="0.25">
      <c r="H125" t="s">
        <v>15864</v>
      </c>
    </row>
    <row r="126" spans="8:8" x14ac:dyDescent="0.25">
      <c r="H126" t="s">
        <v>30</v>
      </c>
    </row>
    <row r="127" spans="8:8" x14ac:dyDescent="0.25">
      <c r="H127" t="s">
        <v>137</v>
      </c>
    </row>
    <row r="128" spans="8:8" x14ac:dyDescent="0.25">
      <c r="H128" t="s">
        <v>15865</v>
      </c>
    </row>
    <row r="129" spans="8:8" x14ac:dyDescent="0.25">
      <c r="H129" t="s">
        <v>30</v>
      </c>
    </row>
    <row r="130" spans="8:8" x14ac:dyDescent="0.25">
      <c r="H130" t="s">
        <v>138</v>
      </c>
    </row>
    <row r="131" spans="8:8" x14ac:dyDescent="0.25">
      <c r="H131" t="s">
        <v>15866</v>
      </c>
    </row>
    <row r="132" spans="8:8" x14ac:dyDescent="0.25">
      <c r="H132" t="s">
        <v>30</v>
      </c>
    </row>
    <row r="134" spans="8:8" x14ac:dyDescent="0.25">
      <c r="H134" t="s">
        <v>8364</v>
      </c>
    </row>
    <row r="135" spans="8:8" x14ac:dyDescent="0.25">
      <c r="H135" t="s">
        <v>8365</v>
      </c>
    </row>
    <row r="136" spans="8:8" x14ac:dyDescent="0.25">
      <c r="H136" t="s">
        <v>135</v>
      </c>
    </row>
    <row r="137" spans="8:8" x14ac:dyDescent="0.25">
      <c r="H137" t="s">
        <v>15867</v>
      </c>
    </row>
    <row r="138" spans="8:8" x14ac:dyDescent="0.25">
      <c r="H138" t="s">
        <v>30</v>
      </c>
    </row>
    <row r="140" spans="8:8" x14ac:dyDescent="0.25">
      <c r="H140" t="s">
        <v>8367</v>
      </c>
    </row>
    <row r="141" spans="8:8" x14ac:dyDescent="0.25">
      <c r="H141" t="s">
        <v>8368</v>
      </c>
    </row>
    <row r="142" spans="8:8" x14ac:dyDescent="0.25">
      <c r="H142" t="s">
        <v>135</v>
      </c>
    </row>
    <row r="143" spans="8:8" x14ac:dyDescent="0.25">
      <c r="H143" t="s">
        <v>15868</v>
      </c>
    </row>
    <row r="144" spans="8:8" x14ac:dyDescent="0.25">
      <c r="H144" t="s">
        <v>30</v>
      </c>
    </row>
    <row r="146" spans="8:8" x14ac:dyDescent="0.25">
      <c r="H146" t="s">
        <v>8370</v>
      </c>
    </row>
    <row r="147" spans="8:8" x14ac:dyDescent="0.25">
      <c r="H147" t="s">
        <v>8371</v>
      </c>
    </row>
    <row r="148" spans="8:8" x14ac:dyDescent="0.25">
      <c r="H148" t="s">
        <v>135</v>
      </c>
    </row>
    <row r="149" spans="8:8" x14ac:dyDescent="0.25">
      <c r="H149" t="s">
        <v>15869</v>
      </c>
    </row>
    <row r="150" spans="8:8" x14ac:dyDescent="0.25">
      <c r="H150" t="s">
        <v>30</v>
      </c>
    </row>
    <row r="152" spans="8:8" x14ac:dyDescent="0.25">
      <c r="H152" t="s">
        <v>8373</v>
      </c>
    </row>
    <row r="153" spans="8:8" x14ac:dyDescent="0.25">
      <c r="H153" t="s">
        <v>8374</v>
      </c>
    </row>
    <row r="154" spans="8:8" x14ac:dyDescent="0.25">
      <c r="H154" t="s">
        <v>135</v>
      </c>
    </row>
    <row r="155" spans="8:8" x14ac:dyDescent="0.25">
      <c r="H155" t="s">
        <v>15870</v>
      </c>
    </row>
    <row r="156" spans="8:8" x14ac:dyDescent="0.25">
      <c r="H156" t="s">
        <v>30</v>
      </c>
    </row>
    <row r="158" spans="8:8" x14ac:dyDescent="0.25">
      <c r="H158" t="s">
        <v>8376</v>
      </c>
    </row>
    <row r="159" spans="8:8" x14ac:dyDescent="0.25">
      <c r="H159" t="s">
        <v>8377</v>
      </c>
    </row>
    <row r="160" spans="8:8" x14ac:dyDescent="0.25">
      <c r="H160" t="s">
        <v>135</v>
      </c>
    </row>
    <row r="161" spans="8:8" x14ac:dyDescent="0.25">
      <c r="H161" t="s">
        <v>15871</v>
      </c>
    </row>
    <row r="162" spans="8:8" x14ac:dyDescent="0.25">
      <c r="H162" t="s">
        <v>30</v>
      </c>
    </row>
    <row r="164" spans="8:8" x14ac:dyDescent="0.25">
      <c r="H164" t="s">
        <v>8379</v>
      </c>
    </row>
    <row r="165" spans="8:8" x14ac:dyDescent="0.25">
      <c r="H165" t="s">
        <v>8380</v>
      </c>
    </row>
    <row r="166" spans="8:8" x14ac:dyDescent="0.25">
      <c r="H166" t="s">
        <v>135</v>
      </c>
    </row>
    <row r="167" spans="8:8" x14ac:dyDescent="0.25">
      <c r="H167" t="s">
        <v>15872</v>
      </c>
    </row>
    <row r="168" spans="8:8" x14ac:dyDescent="0.25">
      <c r="H168" t="s">
        <v>30</v>
      </c>
    </row>
    <row r="170" spans="8:8" x14ac:dyDescent="0.25">
      <c r="H170" t="s">
        <v>8382</v>
      </c>
    </row>
    <row r="171" spans="8:8" x14ac:dyDescent="0.25">
      <c r="H171" t="s">
        <v>8383</v>
      </c>
    </row>
    <row r="172" spans="8:8" x14ac:dyDescent="0.25">
      <c r="H172" t="s">
        <v>135</v>
      </c>
    </row>
    <row r="173" spans="8:8" x14ac:dyDescent="0.25">
      <c r="H173" t="s">
        <v>15873</v>
      </c>
    </row>
    <row r="174" spans="8:8" x14ac:dyDescent="0.25">
      <c r="H174" t="s">
        <v>30</v>
      </c>
    </row>
    <row r="176" spans="8:8" x14ac:dyDescent="0.25">
      <c r="H176" t="s">
        <v>8385</v>
      </c>
    </row>
    <row r="177" spans="8:8" x14ac:dyDescent="0.25">
      <c r="H177" t="s">
        <v>8386</v>
      </c>
    </row>
    <row r="178" spans="8:8" x14ac:dyDescent="0.25">
      <c r="H178" t="s">
        <v>135</v>
      </c>
    </row>
    <row r="179" spans="8:8" x14ac:dyDescent="0.25">
      <c r="H179" t="s">
        <v>15874</v>
      </c>
    </row>
    <row r="180" spans="8:8" x14ac:dyDescent="0.25">
      <c r="H180" t="s">
        <v>30</v>
      </c>
    </row>
    <row r="182" spans="8:8" x14ac:dyDescent="0.25">
      <c r="H182" t="s">
        <v>8388</v>
      </c>
    </row>
    <row r="183" spans="8:8" x14ac:dyDescent="0.25">
      <c r="H183" t="s">
        <v>8389</v>
      </c>
    </row>
    <row r="184" spans="8:8" x14ac:dyDescent="0.25">
      <c r="H184" t="s">
        <v>135</v>
      </c>
    </row>
    <row r="185" spans="8:8" x14ac:dyDescent="0.25">
      <c r="H185" t="s">
        <v>15875</v>
      </c>
    </row>
    <row r="186" spans="8:8" x14ac:dyDescent="0.25">
      <c r="H186" t="s">
        <v>30</v>
      </c>
    </row>
    <row r="188" spans="8:8" x14ac:dyDescent="0.25">
      <c r="H188" t="s">
        <v>8391</v>
      </c>
    </row>
    <row r="189" spans="8:8" x14ac:dyDescent="0.25">
      <c r="H189" t="s">
        <v>8392</v>
      </c>
    </row>
    <row r="190" spans="8:8" x14ac:dyDescent="0.25">
      <c r="H190" t="s">
        <v>135</v>
      </c>
    </row>
    <row r="191" spans="8:8" x14ac:dyDescent="0.25">
      <c r="H191" t="s">
        <v>15876</v>
      </c>
    </row>
    <row r="192" spans="8:8" x14ac:dyDescent="0.25">
      <c r="H192" t="s">
        <v>30</v>
      </c>
    </row>
    <row r="194" spans="8:8" x14ac:dyDescent="0.25">
      <c r="H194" t="s">
        <v>8394</v>
      </c>
    </row>
    <row r="195" spans="8:8" x14ac:dyDescent="0.25">
      <c r="H195" t="s">
        <v>8395</v>
      </c>
    </row>
    <row r="196" spans="8:8" x14ac:dyDescent="0.25">
      <c r="H196" t="s">
        <v>135</v>
      </c>
    </row>
    <row r="197" spans="8:8" x14ac:dyDescent="0.25">
      <c r="H197" t="s">
        <v>15877</v>
      </c>
    </row>
    <row r="198" spans="8:8" x14ac:dyDescent="0.25">
      <c r="H198" t="s">
        <v>30</v>
      </c>
    </row>
    <row r="200" spans="8:8" x14ac:dyDescent="0.25">
      <c r="H200" t="s">
        <v>8397</v>
      </c>
    </row>
    <row r="201" spans="8:8" x14ac:dyDescent="0.25">
      <c r="H201" t="s">
        <v>8398</v>
      </c>
    </row>
    <row r="202" spans="8:8" x14ac:dyDescent="0.25">
      <c r="H202" t="s">
        <v>135</v>
      </c>
    </row>
    <row r="203" spans="8:8" x14ac:dyDescent="0.25">
      <c r="H203" t="s">
        <v>15878</v>
      </c>
    </row>
    <row r="204" spans="8:8" x14ac:dyDescent="0.25">
      <c r="H204" t="s">
        <v>30</v>
      </c>
    </row>
    <row r="206" spans="8:8" x14ac:dyDescent="0.25">
      <c r="H206" t="s">
        <v>8400</v>
      </c>
    </row>
    <row r="207" spans="8:8" x14ac:dyDescent="0.25">
      <c r="H207" t="s">
        <v>8401</v>
      </c>
    </row>
    <row r="208" spans="8:8" x14ac:dyDescent="0.25">
      <c r="H208" t="s">
        <v>135</v>
      </c>
    </row>
    <row r="209" spans="8:8" x14ac:dyDescent="0.25">
      <c r="H209" t="s">
        <v>15879</v>
      </c>
    </row>
    <row r="210" spans="8:8" x14ac:dyDescent="0.25">
      <c r="H210" t="s">
        <v>30</v>
      </c>
    </row>
    <row r="212" spans="8:8" x14ac:dyDescent="0.25">
      <c r="H212" t="s">
        <v>8403</v>
      </c>
    </row>
    <row r="213" spans="8:8" x14ac:dyDescent="0.25">
      <c r="H213" t="s">
        <v>8404</v>
      </c>
    </row>
    <row r="214" spans="8:8" x14ac:dyDescent="0.25">
      <c r="H214" t="s">
        <v>135</v>
      </c>
    </row>
    <row r="215" spans="8:8" x14ac:dyDescent="0.25">
      <c r="H215" t="s">
        <v>15880</v>
      </c>
    </row>
    <row r="216" spans="8:8" x14ac:dyDescent="0.25">
      <c r="H216" t="s">
        <v>30</v>
      </c>
    </row>
    <row r="218" spans="8:8" x14ac:dyDescent="0.25">
      <c r="H218" t="s">
        <v>8406</v>
      </c>
    </row>
    <row r="219" spans="8:8" x14ac:dyDescent="0.25">
      <c r="H219" t="s">
        <v>8407</v>
      </c>
    </row>
    <row r="220" spans="8:8" x14ac:dyDescent="0.25">
      <c r="H220" t="s">
        <v>135</v>
      </c>
    </row>
    <row r="221" spans="8:8" x14ac:dyDescent="0.25">
      <c r="H221" t="s">
        <v>15881</v>
      </c>
    </row>
    <row r="222" spans="8:8" x14ac:dyDescent="0.25">
      <c r="H222" t="s">
        <v>30</v>
      </c>
    </row>
    <row r="224" spans="8:8" x14ac:dyDescent="0.25">
      <c r="H224" t="s">
        <v>8409</v>
      </c>
    </row>
    <row r="225" spans="8:8" x14ac:dyDescent="0.25">
      <c r="H225" t="s">
        <v>8410</v>
      </c>
    </row>
    <row r="226" spans="8:8" x14ac:dyDescent="0.25">
      <c r="H226" t="s">
        <v>135</v>
      </c>
    </row>
    <row r="227" spans="8:8" x14ac:dyDescent="0.25">
      <c r="H227" t="s">
        <v>15882</v>
      </c>
    </row>
    <row r="228" spans="8:8" x14ac:dyDescent="0.25">
      <c r="H228" t="s">
        <v>30</v>
      </c>
    </row>
    <row r="230" spans="8:8" x14ac:dyDescent="0.25">
      <c r="H230" t="s">
        <v>8412</v>
      </c>
    </row>
    <row r="231" spans="8:8" x14ac:dyDescent="0.25">
      <c r="H231" t="s">
        <v>8413</v>
      </c>
    </row>
    <row r="232" spans="8:8" x14ac:dyDescent="0.25">
      <c r="H232" t="s">
        <v>135</v>
      </c>
    </row>
    <row r="233" spans="8:8" x14ac:dyDescent="0.25">
      <c r="H233" t="s">
        <v>15883</v>
      </c>
    </row>
    <row r="234" spans="8:8" x14ac:dyDescent="0.25">
      <c r="H234" t="s">
        <v>30</v>
      </c>
    </row>
    <row r="236" spans="8:8" x14ac:dyDescent="0.25">
      <c r="H236" t="s">
        <v>8415</v>
      </c>
    </row>
    <row r="237" spans="8:8" x14ac:dyDescent="0.25">
      <c r="H237" t="s">
        <v>8416</v>
      </c>
    </row>
    <row r="238" spans="8:8" x14ac:dyDescent="0.25">
      <c r="H238" t="s">
        <v>135</v>
      </c>
    </row>
    <row r="239" spans="8:8" x14ac:dyDescent="0.25">
      <c r="H239" t="s">
        <v>15884</v>
      </c>
    </row>
    <row r="240" spans="8:8" x14ac:dyDescent="0.25">
      <c r="H240" t="s">
        <v>30</v>
      </c>
    </row>
    <row r="242" spans="8:8" x14ac:dyDescent="0.25">
      <c r="H242" t="s">
        <v>8418</v>
      </c>
    </row>
    <row r="243" spans="8:8" x14ac:dyDescent="0.25">
      <c r="H243" t="s">
        <v>8419</v>
      </c>
    </row>
    <row r="244" spans="8:8" x14ac:dyDescent="0.25">
      <c r="H244" t="s">
        <v>135</v>
      </c>
    </row>
    <row r="245" spans="8:8" x14ac:dyDescent="0.25">
      <c r="H245" t="s">
        <v>15885</v>
      </c>
    </row>
    <row r="246" spans="8:8" x14ac:dyDescent="0.25">
      <c r="H246" t="s">
        <v>30</v>
      </c>
    </row>
    <row r="248" spans="8:8" x14ac:dyDescent="0.25">
      <c r="H248" t="s">
        <v>8421</v>
      </c>
    </row>
    <row r="249" spans="8:8" x14ac:dyDescent="0.25">
      <c r="H249" t="s">
        <v>8422</v>
      </c>
    </row>
    <row r="250" spans="8:8" x14ac:dyDescent="0.25">
      <c r="H250" t="s">
        <v>135</v>
      </c>
    </row>
    <row r="251" spans="8:8" x14ac:dyDescent="0.25">
      <c r="H251" t="s">
        <v>15886</v>
      </c>
    </row>
    <row r="252" spans="8:8" x14ac:dyDescent="0.25">
      <c r="H252" t="s">
        <v>30</v>
      </c>
    </row>
    <row r="254" spans="8:8" x14ac:dyDescent="0.25">
      <c r="H254" t="s">
        <v>8424</v>
      </c>
    </row>
    <row r="255" spans="8:8" x14ac:dyDescent="0.25">
      <c r="H255" t="s">
        <v>8425</v>
      </c>
    </row>
    <row r="256" spans="8:8" x14ac:dyDescent="0.25">
      <c r="H256" t="s">
        <v>135</v>
      </c>
    </row>
    <row r="257" spans="8:8" x14ac:dyDescent="0.25">
      <c r="H257" t="s">
        <v>15887</v>
      </c>
    </row>
    <row r="258" spans="8:8" x14ac:dyDescent="0.25">
      <c r="H258" t="s">
        <v>30</v>
      </c>
    </row>
    <row r="260" spans="8:8" x14ac:dyDescent="0.25">
      <c r="H260" t="s">
        <v>8427</v>
      </c>
    </row>
    <row r="261" spans="8:8" x14ac:dyDescent="0.25">
      <c r="H261" t="s">
        <v>8428</v>
      </c>
    </row>
    <row r="262" spans="8:8" x14ac:dyDescent="0.25">
      <c r="H262" t="s">
        <v>135</v>
      </c>
    </row>
    <row r="263" spans="8:8" x14ac:dyDescent="0.25">
      <c r="H263" t="s">
        <v>15888</v>
      </c>
    </row>
    <row r="264" spans="8:8" x14ac:dyDescent="0.25">
      <c r="H264" t="s">
        <v>30</v>
      </c>
    </row>
    <row r="266" spans="8:8" x14ac:dyDescent="0.25">
      <c r="H266" t="s">
        <v>8430</v>
      </c>
    </row>
    <row r="267" spans="8:8" x14ac:dyDescent="0.25">
      <c r="H267" t="s">
        <v>8431</v>
      </c>
    </row>
    <row r="268" spans="8:8" x14ac:dyDescent="0.25">
      <c r="H268" t="s">
        <v>135</v>
      </c>
    </row>
    <row r="269" spans="8:8" x14ac:dyDescent="0.25">
      <c r="H269" t="s">
        <v>15889</v>
      </c>
    </row>
    <row r="270" spans="8:8" x14ac:dyDescent="0.25">
      <c r="H270" t="s">
        <v>30</v>
      </c>
    </row>
    <row r="272" spans="8:8" x14ac:dyDescent="0.25">
      <c r="H272" t="s">
        <v>8433</v>
      </c>
    </row>
    <row r="273" spans="8:8" x14ac:dyDescent="0.25">
      <c r="H273" t="s">
        <v>8434</v>
      </c>
    </row>
    <row r="274" spans="8:8" x14ac:dyDescent="0.25">
      <c r="H274" t="s">
        <v>135</v>
      </c>
    </row>
    <row r="275" spans="8:8" x14ac:dyDescent="0.25">
      <c r="H275" t="s">
        <v>15890</v>
      </c>
    </row>
    <row r="276" spans="8:8" x14ac:dyDescent="0.25">
      <c r="H276" t="s">
        <v>30</v>
      </c>
    </row>
    <row r="277" spans="8:8" x14ac:dyDescent="0.25">
      <c r="H277" t="s">
        <v>8436</v>
      </c>
    </row>
    <row r="278" spans="8:8" x14ac:dyDescent="0.25">
      <c r="H278" t="s">
        <v>136</v>
      </c>
    </row>
    <row r="279" spans="8:8" x14ac:dyDescent="0.25">
      <c r="H279" t="s">
        <v>15891</v>
      </c>
    </row>
    <row r="280" spans="8:8" x14ac:dyDescent="0.25">
      <c r="H280" t="s">
        <v>30</v>
      </c>
    </row>
    <row r="281" spans="8:8" x14ac:dyDescent="0.25">
      <c r="H281" t="s">
        <v>8438</v>
      </c>
    </row>
    <row r="282" spans="8:8" x14ac:dyDescent="0.25">
      <c r="H282" t="s">
        <v>137</v>
      </c>
    </row>
    <row r="283" spans="8:8" x14ac:dyDescent="0.25">
      <c r="H283" t="s">
        <v>15892</v>
      </c>
    </row>
    <row r="284" spans="8:8" x14ac:dyDescent="0.25">
      <c r="H284" t="s">
        <v>30</v>
      </c>
    </row>
    <row r="285" spans="8:8" x14ac:dyDescent="0.25">
      <c r="H285" t="s">
        <v>138</v>
      </c>
    </row>
    <row r="286" spans="8:8" x14ac:dyDescent="0.25">
      <c r="H286" t="s">
        <v>15893</v>
      </c>
    </row>
    <row r="287" spans="8:8" x14ac:dyDescent="0.25">
      <c r="H287" t="s">
        <v>30</v>
      </c>
    </row>
    <row r="289" spans="8:8" x14ac:dyDescent="0.25">
      <c r="H289" t="s">
        <v>8441</v>
      </c>
    </row>
    <row r="290" spans="8:8" x14ac:dyDescent="0.25">
      <c r="H290" t="s">
        <v>8442</v>
      </c>
    </row>
    <row r="291" spans="8:8" x14ac:dyDescent="0.25">
      <c r="H291" t="s">
        <v>135</v>
      </c>
    </row>
    <row r="292" spans="8:8" x14ac:dyDescent="0.25">
      <c r="H292" t="s">
        <v>15894</v>
      </c>
    </row>
    <row r="293" spans="8:8" x14ac:dyDescent="0.25">
      <c r="H293" t="s">
        <v>30</v>
      </c>
    </row>
    <row r="294" spans="8:8" x14ac:dyDescent="0.25">
      <c r="H294" t="s">
        <v>8444</v>
      </c>
    </row>
    <row r="295" spans="8:8" x14ac:dyDescent="0.25">
      <c r="H295" t="s">
        <v>137</v>
      </c>
    </row>
    <row r="296" spans="8:8" x14ac:dyDescent="0.25">
      <c r="H296" t="s">
        <v>15895</v>
      </c>
    </row>
    <row r="297" spans="8:8" x14ac:dyDescent="0.25">
      <c r="H297" t="s">
        <v>30</v>
      </c>
    </row>
    <row r="298" spans="8:8" x14ac:dyDescent="0.25">
      <c r="H298" t="s">
        <v>138</v>
      </c>
    </row>
    <row r="299" spans="8:8" x14ac:dyDescent="0.25">
      <c r="H299" t="s">
        <v>15896</v>
      </c>
    </row>
    <row r="300" spans="8:8" x14ac:dyDescent="0.25">
      <c r="H300" t="s">
        <v>30</v>
      </c>
    </row>
    <row r="302" spans="8:8" x14ac:dyDescent="0.25">
      <c r="H302" t="s">
        <v>8447</v>
      </c>
    </row>
    <row r="303" spans="8:8" x14ac:dyDescent="0.25">
      <c r="H303" t="s">
        <v>8448</v>
      </c>
    </row>
    <row r="304" spans="8:8" x14ac:dyDescent="0.25">
      <c r="H304" t="s">
        <v>135</v>
      </c>
    </row>
    <row r="305" spans="8:8" x14ac:dyDescent="0.25">
      <c r="H305" t="s">
        <v>15897</v>
      </c>
    </row>
    <row r="306" spans="8:8" x14ac:dyDescent="0.25">
      <c r="H306" t="s">
        <v>30</v>
      </c>
    </row>
    <row r="307" spans="8:8" x14ac:dyDescent="0.25">
      <c r="H307" t="s">
        <v>8450</v>
      </c>
    </row>
    <row r="308" spans="8:8" x14ac:dyDescent="0.25">
      <c r="H308" t="s">
        <v>136</v>
      </c>
    </row>
    <row r="309" spans="8:8" x14ac:dyDescent="0.25">
      <c r="H309" t="s">
        <v>15898</v>
      </c>
    </row>
    <row r="310" spans="8:8" x14ac:dyDescent="0.25">
      <c r="H310" t="s">
        <v>30</v>
      </c>
    </row>
    <row r="311" spans="8:8" x14ac:dyDescent="0.25">
      <c r="H311" t="s">
        <v>8452</v>
      </c>
    </row>
    <row r="312" spans="8:8" x14ac:dyDescent="0.25">
      <c r="H312" t="s">
        <v>137</v>
      </c>
    </row>
    <row r="313" spans="8:8" x14ac:dyDescent="0.25">
      <c r="H313" t="s">
        <v>15899</v>
      </c>
    </row>
    <row r="314" spans="8:8" x14ac:dyDescent="0.25">
      <c r="H314" t="s">
        <v>30</v>
      </c>
    </row>
    <row r="315" spans="8:8" x14ac:dyDescent="0.25">
      <c r="H315" t="s">
        <v>8454</v>
      </c>
    </row>
    <row r="316" spans="8:8" x14ac:dyDescent="0.25">
      <c r="H316" t="s">
        <v>138</v>
      </c>
    </row>
    <row r="317" spans="8:8" x14ac:dyDescent="0.25">
      <c r="H317" t="s">
        <v>15900</v>
      </c>
    </row>
    <row r="318" spans="8:8" x14ac:dyDescent="0.25">
      <c r="H318" t="s">
        <v>30</v>
      </c>
    </row>
    <row r="320" spans="8:8" x14ac:dyDescent="0.25">
      <c r="H320" t="s">
        <v>8456</v>
      </c>
    </row>
    <row r="321" spans="8:8" x14ac:dyDescent="0.25">
      <c r="H321" t="s">
        <v>8457</v>
      </c>
    </row>
    <row r="322" spans="8:8" x14ac:dyDescent="0.25">
      <c r="H322" t="s">
        <v>135</v>
      </c>
    </row>
    <row r="323" spans="8:8" x14ac:dyDescent="0.25">
      <c r="H323" t="s">
        <v>15901</v>
      </c>
    </row>
    <row r="324" spans="8:8" x14ac:dyDescent="0.25">
      <c r="H324" t="s">
        <v>30</v>
      </c>
    </row>
    <row r="326" spans="8:8" x14ac:dyDescent="0.25">
      <c r="H326" t="s">
        <v>8459</v>
      </c>
    </row>
    <row r="327" spans="8:8" x14ac:dyDescent="0.25">
      <c r="H327" t="s">
        <v>8460</v>
      </c>
    </row>
    <row r="328" spans="8:8" x14ac:dyDescent="0.25">
      <c r="H328" t="s">
        <v>135</v>
      </c>
    </row>
    <row r="329" spans="8:8" x14ac:dyDescent="0.25">
      <c r="H329" t="s">
        <v>15902</v>
      </c>
    </row>
    <row r="330" spans="8:8" x14ac:dyDescent="0.25">
      <c r="H330" t="s">
        <v>30</v>
      </c>
    </row>
    <row r="332" spans="8:8" x14ac:dyDescent="0.25">
      <c r="H332" t="s">
        <v>8462</v>
      </c>
    </row>
    <row r="333" spans="8:8" x14ac:dyDescent="0.25">
      <c r="H333" t="s">
        <v>8463</v>
      </c>
    </row>
    <row r="334" spans="8:8" x14ac:dyDescent="0.25">
      <c r="H334" t="s">
        <v>135</v>
      </c>
    </row>
    <row r="335" spans="8:8" x14ac:dyDescent="0.25">
      <c r="H335" t="s">
        <v>15903</v>
      </c>
    </row>
    <row r="336" spans="8:8" x14ac:dyDescent="0.25">
      <c r="H336" t="s">
        <v>30</v>
      </c>
    </row>
    <row r="338" spans="8:8" x14ac:dyDescent="0.25">
      <c r="H338" t="s">
        <v>8465</v>
      </c>
    </row>
    <row r="339" spans="8:8" x14ac:dyDescent="0.25">
      <c r="H339" t="s">
        <v>8466</v>
      </c>
    </row>
    <row r="340" spans="8:8" x14ac:dyDescent="0.25">
      <c r="H340" t="s">
        <v>135</v>
      </c>
    </row>
    <row r="341" spans="8:8" x14ac:dyDescent="0.25">
      <c r="H341" t="s">
        <v>15904</v>
      </c>
    </row>
    <row r="342" spans="8:8" x14ac:dyDescent="0.25">
      <c r="H342" t="s">
        <v>30</v>
      </c>
    </row>
    <row r="344" spans="8:8" x14ac:dyDescent="0.25">
      <c r="H344" t="s">
        <v>8468</v>
      </c>
    </row>
    <row r="345" spans="8:8" x14ac:dyDescent="0.25">
      <c r="H345" t="s">
        <v>8469</v>
      </c>
    </row>
    <row r="346" spans="8:8" x14ac:dyDescent="0.25">
      <c r="H346" t="s">
        <v>135</v>
      </c>
    </row>
    <row r="347" spans="8:8" x14ac:dyDescent="0.25">
      <c r="H347" t="s">
        <v>15905</v>
      </c>
    </row>
    <row r="348" spans="8:8" x14ac:dyDescent="0.25">
      <c r="H348" t="s">
        <v>30</v>
      </c>
    </row>
    <row r="350" spans="8:8" x14ac:dyDescent="0.25">
      <c r="H350" t="s">
        <v>8471</v>
      </c>
    </row>
    <row r="351" spans="8:8" x14ac:dyDescent="0.25">
      <c r="H351" t="s">
        <v>8472</v>
      </c>
    </row>
    <row r="352" spans="8:8" x14ac:dyDescent="0.25">
      <c r="H352" t="s">
        <v>135</v>
      </c>
    </row>
    <row r="353" spans="8:8" x14ac:dyDescent="0.25">
      <c r="H353" t="s">
        <v>15906</v>
      </c>
    </row>
    <row r="354" spans="8:8" x14ac:dyDescent="0.25">
      <c r="H354" t="s">
        <v>30</v>
      </c>
    </row>
    <row r="355" spans="8:8" x14ac:dyDescent="0.25">
      <c r="H355" t="s">
        <v>8474</v>
      </c>
    </row>
    <row r="356" spans="8:8" x14ac:dyDescent="0.25">
      <c r="H356" t="s">
        <v>137</v>
      </c>
    </row>
    <row r="357" spans="8:8" x14ac:dyDescent="0.25">
      <c r="H357" t="s">
        <v>15907</v>
      </c>
    </row>
    <row r="358" spans="8:8" x14ac:dyDescent="0.25">
      <c r="H358" t="s">
        <v>30</v>
      </c>
    </row>
    <row r="359" spans="8:8" x14ac:dyDescent="0.25">
      <c r="H359" t="s">
        <v>138</v>
      </c>
    </row>
    <row r="360" spans="8:8" x14ac:dyDescent="0.25">
      <c r="H360" t="s">
        <v>15908</v>
      </c>
    </row>
    <row r="361" spans="8:8" x14ac:dyDescent="0.25">
      <c r="H361" t="s">
        <v>30</v>
      </c>
    </row>
    <row r="363" spans="8:8" x14ac:dyDescent="0.25">
      <c r="H363" t="s">
        <v>8477</v>
      </c>
    </row>
    <row r="364" spans="8:8" x14ac:dyDescent="0.25">
      <c r="H364" t="s">
        <v>8478</v>
      </c>
    </row>
    <row r="365" spans="8:8" x14ac:dyDescent="0.25">
      <c r="H365" t="s">
        <v>135</v>
      </c>
    </row>
    <row r="366" spans="8:8" x14ac:dyDescent="0.25">
      <c r="H366" t="s">
        <v>15909</v>
      </c>
    </row>
    <row r="367" spans="8:8" x14ac:dyDescent="0.25">
      <c r="H367" t="s">
        <v>30</v>
      </c>
    </row>
    <row r="368" spans="8:8" x14ac:dyDescent="0.25">
      <c r="H368" t="s">
        <v>8480</v>
      </c>
    </row>
    <row r="369" spans="8:8" x14ac:dyDescent="0.25">
      <c r="H369" t="s">
        <v>137</v>
      </c>
    </row>
    <row r="370" spans="8:8" x14ac:dyDescent="0.25">
      <c r="H370" t="s">
        <v>15910</v>
      </c>
    </row>
    <row r="371" spans="8:8" x14ac:dyDescent="0.25">
      <c r="H371" t="s">
        <v>30</v>
      </c>
    </row>
    <row r="372" spans="8:8" x14ac:dyDescent="0.25">
      <c r="H372" t="s">
        <v>138</v>
      </c>
    </row>
    <row r="373" spans="8:8" x14ac:dyDescent="0.25">
      <c r="H373" t="s">
        <v>15911</v>
      </c>
    </row>
    <row r="374" spans="8:8" x14ac:dyDescent="0.25">
      <c r="H374" t="s">
        <v>30</v>
      </c>
    </row>
    <row r="376" spans="8:8" x14ac:dyDescent="0.25">
      <c r="H376" t="s">
        <v>8483</v>
      </c>
    </row>
    <row r="377" spans="8:8" x14ac:dyDescent="0.25">
      <c r="H377" t="s">
        <v>8484</v>
      </c>
    </row>
    <row r="378" spans="8:8" x14ac:dyDescent="0.25">
      <c r="H378" t="s">
        <v>135</v>
      </c>
    </row>
    <row r="379" spans="8:8" x14ac:dyDescent="0.25">
      <c r="H379" t="s">
        <v>15912</v>
      </c>
    </row>
    <row r="380" spans="8:8" x14ac:dyDescent="0.25">
      <c r="H380" t="s">
        <v>30</v>
      </c>
    </row>
    <row r="381" spans="8:8" x14ac:dyDescent="0.25">
      <c r="H381" t="s">
        <v>8486</v>
      </c>
    </row>
    <row r="382" spans="8:8" x14ac:dyDescent="0.25">
      <c r="H382" t="s">
        <v>137</v>
      </c>
    </row>
    <row r="383" spans="8:8" x14ac:dyDescent="0.25">
      <c r="H383" t="s">
        <v>15913</v>
      </c>
    </row>
    <row r="384" spans="8:8" x14ac:dyDescent="0.25">
      <c r="H384" t="s">
        <v>30</v>
      </c>
    </row>
    <row r="385" spans="8:8" x14ac:dyDescent="0.25">
      <c r="H385" t="s">
        <v>138</v>
      </c>
    </row>
    <row r="386" spans="8:8" x14ac:dyDescent="0.25">
      <c r="H386" t="s">
        <v>15914</v>
      </c>
    </row>
    <row r="387" spans="8:8" x14ac:dyDescent="0.25">
      <c r="H387" t="s">
        <v>30</v>
      </c>
    </row>
    <row r="389" spans="8:8" x14ac:dyDescent="0.25">
      <c r="H389" t="s">
        <v>8489</v>
      </c>
    </row>
    <row r="390" spans="8:8" x14ac:dyDescent="0.25">
      <c r="H390" t="s">
        <v>8490</v>
      </c>
    </row>
    <row r="391" spans="8:8" x14ac:dyDescent="0.25">
      <c r="H391" t="s">
        <v>135</v>
      </c>
    </row>
    <row r="392" spans="8:8" x14ac:dyDescent="0.25">
      <c r="H392" t="s">
        <v>15915</v>
      </c>
    </row>
    <row r="393" spans="8:8" x14ac:dyDescent="0.25">
      <c r="H393" t="s">
        <v>30</v>
      </c>
    </row>
    <row r="394" spans="8:8" x14ac:dyDescent="0.25">
      <c r="H394" t="s">
        <v>136</v>
      </c>
    </row>
    <row r="395" spans="8:8" x14ac:dyDescent="0.25">
      <c r="H395" t="s">
        <v>15916</v>
      </c>
    </row>
    <row r="396" spans="8:8" x14ac:dyDescent="0.25">
      <c r="H396" t="s">
        <v>30</v>
      </c>
    </row>
    <row r="398" spans="8:8" x14ac:dyDescent="0.25">
      <c r="H398" t="s">
        <v>8493</v>
      </c>
    </row>
    <row r="399" spans="8:8" x14ac:dyDescent="0.25">
      <c r="H399" t="s">
        <v>8494</v>
      </c>
    </row>
    <row r="400" spans="8:8" x14ac:dyDescent="0.25">
      <c r="H400" t="s">
        <v>135</v>
      </c>
    </row>
    <row r="401" spans="8:8" x14ac:dyDescent="0.25">
      <c r="H401" t="s">
        <v>15917</v>
      </c>
    </row>
    <row r="402" spans="8:8" x14ac:dyDescent="0.25">
      <c r="H402" t="s">
        <v>30</v>
      </c>
    </row>
    <row r="403" spans="8:8" x14ac:dyDescent="0.25">
      <c r="H403" t="s">
        <v>136</v>
      </c>
    </row>
    <row r="404" spans="8:8" x14ac:dyDescent="0.25">
      <c r="H404" t="s">
        <v>15918</v>
      </c>
    </row>
    <row r="405" spans="8:8" x14ac:dyDescent="0.25">
      <c r="H405" t="s">
        <v>30</v>
      </c>
    </row>
    <row r="406" spans="8:8" x14ac:dyDescent="0.25">
      <c r="H406" t="s">
        <v>137</v>
      </c>
    </row>
    <row r="407" spans="8:8" x14ac:dyDescent="0.25">
      <c r="H407" t="s">
        <v>15919</v>
      </c>
    </row>
    <row r="408" spans="8:8" x14ac:dyDescent="0.25">
      <c r="H408" t="s">
        <v>30</v>
      </c>
    </row>
    <row r="409" spans="8:8" x14ac:dyDescent="0.25">
      <c r="H409" t="s">
        <v>138</v>
      </c>
    </row>
    <row r="410" spans="8:8" x14ac:dyDescent="0.25">
      <c r="H410" t="s">
        <v>15920</v>
      </c>
    </row>
    <row r="411" spans="8:8" x14ac:dyDescent="0.25">
      <c r="H411" t="s">
        <v>30</v>
      </c>
    </row>
    <row r="413" spans="8:8" x14ac:dyDescent="0.25">
      <c r="H413" t="s">
        <v>8499</v>
      </c>
    </row>
    <row r="414" spans="8:8" x14ac:dyDescent="0.25">
      <c r="H414" t="s">
        <v>8500</v>
      </c>
    </row>
    <row r="415" spans="8:8" x14ac:dyDescent="0.25">
      <c r="H415" t="s">
        <v>135</v>
      </c>
    </row>
    <row r="416" spans="8:8" x14ac:dyDescent="0.25">
      <c r="H416" t="s">
        <v>15921</v>
      </c>
    </row>
    <row r="417" spans="8:8" x14ac:dyDescent="0.25">
      <c r="H417" t="s">
        <v>30</v>
      </c>
    </row>
    <row r="418" spans="8:8" x14ac:dyDescent="0.25">
      <c r="H418" t="s">
        <v>8502</v>
      </c>
    </row>
    <row r="419" spans="8:8" x14ac:dyDescent="0.25">
      <c r="H419" t="s">
        <v>136</v>
      </c>
    </row>
    <row r="420" spans="8:8" x14ac:dyDescent="0.25">
      <c r="H420" t="s">
        <v>15922</v>
      </c>
    </row>
    <row r="421" spans="8:8" x14ac:dyDescent="0.25">
      <c r="H421" t="s">
        <v>30</v>
      </c>
    </row>
    <row r="422" spans="8:8" x14ac:dyDescent="0.25">
      <c r="H422" t="s">
        <v>8504</v>
      </c>
    </row>
    <row r="423" spans="8:8" x14ac:dyDescent="0.25">
      <c r="H423" t="s">
        <v>137</v>
      </c>
    </row>
    <row r="424" spans="8:8" x14ac:dyDescent="0.25">
      <c r="H424" t="s">
        <v>15923</v>
      </c>
    </row>
    <row r="425" spans="8:8" x14ac:dyDescent="0.25">
      <c r="H425" t="s">
        <v>30</v>
      </c>
    </row>
    <row r="426" spans="8:8" x14ac:dyDescent="0.25">
      <c r="H426" t="s">
        <v>8506</v>
      </c>
    </row>
    <row r="427" spans="8:8" x14ac:dyDescent="0.25">
      <c r="H427" t="s">
        <v>138</v>
      </c>
    </row>
    <row r="428" spans="8:8" x14ac:dyDescent="0.25">
      <c r="H428" t="s">
        <v>15924</v>
      </c>
    </row>
    <row r="429" spans="8:8" x14ac:dyDescent="0.25">
      <c r="H429" t="s">
        <v>30</v>
      </c>
    </row>
    <row r="431" spans="8:8" x14ac:dyDescent="0.25">
      <c r="H431" t="s">
        <v>8508</v>
      </c>
    </row>
    <row r="432" spans="8:8" x14ac:dyDescent="0.25">
      <c r="H432" t="s">
        <v>8509</v>
      </c>
    </row>
    <row r="433" spans="8:8" x14ac:dyDescent="0.25">
      <c r="H433" t="s">
        <v>135</v>
      </c>
    </row>
    <row r="434" spans="8:8" x14ac:dyDescent="0.25">
      <c r="H434" t="s">
        <v>15925</v>
      </c>
    </row>
    <row r="435" spans="8:8" x14ac:dyDescent="0.25">
      <c r="H435" t="s">
        <v>30</v>
      </c>
    </row>
    <row r="436" spans="8:8" x14ac:dyDescent="0.25">
      <c r="H436" t="s">
        <v>8511</v>
      </c>
    </row>
    <row r="437" spans="8:8" x14ac:dyDescent="0.25">
      <c r="H437" t="s">
        <v>136</v>
      </c>
    </row>
    <row r="438" spans="8:8" x14ac:dyDescent="0.25">
      <c r="H438" t="s">
        <v>15926</v>
      </c>
    </row>
    <row r="439" spans="8:8" x14ac:dyDescent="0.25">
      <c r="H439" t="s">
        <v>30</v>
      </c>
    </row>
    <row r="440" spans="8:8" x14ac:dyDescent="0.25">
      <c r="H440" t="s">
        <v>8513</v>
      </c>
    </row>
    <row r="441" spans="8:8" x14ac:dyDescent="0.25">
      <c r="H441" t="s">
        <v>137</v>
      </c>
    </row>
    <row r="442" spans="8:8" x14ac:dyDescent="0.25">
      <c r="H442" t="s">
        <v>15927</v>
      </c>
    </row>
    <row r="443" spans="8:8" x14ac:dyDescent="0.25">
      <c r="H443" t="s">
        <v>30</v>
      </c>
    </row>
    <row r="444" spans="8:8" x14ac:dyDescent="0.25">
      <c r="H444" t="s">
        <v>8515</v>
      </c>
    </row>
    <row r="445" spans="8:8" x14ac:dyDescent="0.25">
      <c r="H445" t="s">
        <v>138</v>
      </c>
    </row>
    <row r="446" spans="8:8" x14ac:dyDescent="0.25">
      <c r="H446" t="s">
        <v>15928</v>
      </c>
    </row>
    <row r="447" spans="8:8" x14ac:dyDescent="0.25">
      <c r="H447" t="s">
        <v>30</v>
      </c>
    </row>
    <row r="449" spans="8:8" x14ac:dyDescent="0.25">
      <c r="H449" t="s">
        <v>8517</v>
      </c>
    </row>
    <row r="450" spans="8:8" x14ac:dyDescent="0.25">
      <c r="H450" t="s">
        <v>8518</v>
      </c>
    </row>
    <row r="451" spans="8:8" x14ac:dyDescent="0.25">
      <c r="H451" t="s">
        <v>135</v>
      </c>
    </row>
    <row r="452" spans="8:8" x14ac:dyDescent="0.25">
      <c r="H452" t="s">
        <v>15929</v>
      </c>
    </row>
    <row r="453" spans="8:8" x14ac:dyDescent="0.25">
      <c r="H453" t="s">
        <v>30</v>
      </c>
    </row>
    <row r="454" spans="8:8" x14ac:dyDescent="0.25">
      <c r="H454" t="s">
        <v>8520</v>
      </c>
    </row>
    <row r="455" spans="8:8" x14ac:dyDescent="0.25">
      <c r="H455" t="s">
        <v>136</v>
      </c>
    </row>
    <row r="456" spans="8:8" x14ac:dyDescent="0.25">
      <c r="H456" t="s">
        <v>15930</v>
      </c>
    </row>
    <row r="457" spans="8:8" x14ac:dyDescent="0.25">
      <c r="H457" t="s">
        <v>30</v>
      </c>
    </row>
    <row r="459" spans="8:8" x14ac:dyDescent="0.25">
      <c r="H459" t="s">
        <v>8522</v>
      </c>
    </row>
    <row r="460" spans="8:8" x14ac:dyDescent="0.25">
      <c r="H460" t="s">
        <v>8523</v>
      </c>
    </row>
    <row r="461" spans="8:8" x14ac:dyDescent="0.25">
      <c r="H461" t="s">
        <v>135</v>
      </c>
    </row>
    <row r="462" spans="8:8" x14ac:dyDescent="0.25">
      <c r="H462" t="s">
        <v>15931</v>
      </c>
    </row>
    <row r="463" spans="8:8" x14ac:dyDescent="0.25">
      <c r="H463" t="s">
        <v>30</v>
      </c>
    </row>
    <row r="464" spans="8:8" x14ac:dyDescent="0.25">
      <c r="H464" t="s">
        <v>136</v>
      </c>
    </row>
    <row r="465" spans="8:8" x14ac:dyDescent="0.25">
      <c r="H465" t="s">
        <v>15932</v>
      </c>
    </row>
    <row r="466" spans="8:8" x14ac:dyDescent="0.25">
      <c r="H466" t="s">
        <v>30</v>
      </c>
    </row>
    <row r="467" spans="8:8" x14ac:dyDescent="0.25">
      <c r="H467" t="s">
        <v>137</v>
      </c>
    </row>
    <row r="468" spans="8:8" x14ac:dyDescent="0.25">
      <c r="H468" t="s">
        <v>15933</v>
      </c>
    </row>
    <row r="469" spans="8:8" x14ac:dyDescent="0.25">
      <c r="H469" t="s">
        <v>30</v>
      </c>
    </row>
    <row r="470" spans="8:8" x14ac:dyDescent="0.25">
      <c r="H470" t="s">
        <v>138</v>
      </c>
    </row>
    <row r="471" spans="8:8" x14ac:dyDescent="0.25">
      <c r="H471" t="s">
        <v>15934</v>
      </c>
    </row>
    <row r="472" spans="8:8" x14ac:dyDescent="0.25">
      <c r="H472" t="s">
        <v>30</v>
      </c>
    </row>
    <row r="474" spans="8:8" x14ac:dyDescent="0.25">
      <c r="H474" t="s">
        <v>8528</v>
      </c>
    </row>
    <row r="475" spans="8:8" x14ac:dyDescent="0.25">
      <c r="H475" t="s">
        <v>8529</v>
      </c>
    </row>
    <row r="476" spans="8:8" x14ac:dyDescent="0.25">
      <c r="H476" t="s">
        <v>135</v>
      </c>
    </row>
    <row r="477" spans="8:8" x14ac:dyDescent="0.25">
      <c r="H477" t="s">
        <v>15935</v>
      </c>
    </row>
    <row r="478" spans="8:8" x14ac:dyDescent="0.25">
      <c r="H478" t="s">
        <v>30</v>
      </c>
    </row>
    <row r="479" spans="8:8" x14ac:dyDescent="0.25">
      <c r="H479" t="s">
        <v>136</v>
      </c>
    </row>
    <row r="480" spans="8:8" x14ac:dyDescent="0.25">
      <c r="H480" t="s">
        <v>15936</v>
      </c>
    </row>
    <row r="481" spans="8:8" x14ac:dyDescent="0.25">
      <c r="H481" t="s">
        <v>30</v>
      </c>
    </row>
    <row r="482" spans="8:8" x14ac:dyDescent="0.25">
      <c r="H482" t="s">
        <v>137</v>
      </c>
    </row>
    <row r="483" spans="8:8" x14ac:dyDescent="0.25">
      <c r="H483" t="s">
        <v>15937</v>
      </c>
    </row>
    <row r="484" spans="8:8" x14ac:dyDescent="0.25">
      <c r="H484" t="s">
        <v>30</v>
      </c>
    </row>
    <row r="485" spans="8:8" x14ac:dyDescent="0.25">
      <c r="H485" t="s">
        <v>138</v>
      </c>
    </row>
    <row r="486" spans="8:8" x14ac:dyDescent="0.25">
      <c r="H486" t="s">
        <v>15938</v>
      </c>
    </row>
    <row r="487" spans="8:8" x14ac:dyDescent="0.25">
      <c r="H487" t="s">
        <v>30</v>
      </c>
    </row>
    <row r="489" spans="8:8" x14ac:dyDescent="0.25">
      <c r="H489" t="s">
        <v>8534</v>
      </c>
    </row>
    <row r="490" spans="8:8" x14ac:dyDescent="0.25">
      <c r="H490" t="s">
        <v>8535</v>
      </c>
    </row>
    <row r="491" spans="8:8" x14ac:dyDescent="0.25">
      <c r="H491" t="s">
        <v>135</v>
      </c>
    </row>
    <row r="492" spans="8:8" x14ac:dyDescent="0.25">
      <c r="H492" t="s">
        <v>15939</v>
      </c>
    </row>
    <row r="493" spans="8:8" x14ac:dyDescent="0.25">
      <c r="H493" t="s">
        <v>30</v>
      </c>
    </row>
    <row r="494" spans="8:8" x14ac:dyDescent="0.25">
      <c r="H494" t="s">
        <v>136</v>
      </c>
    </row>
    <row r="495" spans="8:8" x14ac:dyDescent="0.25">
      <c r="H495" t="s">
        <v>15940</v>
      </c>
    </row>
    <row r="496" spans="8:8" x14ac:dyDescent="0.25">
      <c r="H496" t="s">
        <v>30</v>
      </c>
    </row>
    <row r="497" spans="8:8" x14ac:dyDescent="0.25">
      <c r="H497" t="s">
        <v>137</v>
      </c>
    </row>
    <row r="498" spans="8:8" x14ac:dyDescent="0.25">
      <c r="H498" t="s">
        <v>15941</v>
      </c>
    </row>
    <row r="499" spans="8:8" x14ac:dyDescent="0.25">
      <c r="H499" t="s">
        <v>30</v>
      </c>
    </row>
    <row r="500" spans="8:8" x14ac:dyDescent="0.25">
      <c r="H500" t="s">
        <v>138</v>
      </c>
    </row>
    <row r="501" spans="8:8" x14ac:dyDescent="0.25">
      <c r="H501" t="s">
        <v>15942</v>
      </c>
    </row>
    <row r="502" spans="8:8" x14ac:dyDescent="0.25">
      <c r="H502" t="s">
        <v>30</v>
      </c>
    </row>
    <row r="504" spans="8:8" x14ac:dyDescent="0.25">
      <c r="H504" t="s">
        <v>8540</v>
      </c>
    </row>
    <row r="505" spans="8:8" x14ac:dyDescent="0.25">
      <c r="H505" t="s">
        <v>8541</v>
      </c>
    </row>
    <row r="506" spans="8:8" x14ac:dyDescent="0.25">
      <c r="H506" t="s">
        <v>135</v>
      </c>
    </row>
    <row r="507" spans="8:8" x14ac:dyDescent="0.25">
      <c r="H507" t="s">
        <v>15943</v>
      </c>
    </row>
    <row r="508" spans="8:8" x14ac:dyDescent="0.25">
      <c r="H508" t="s">
        <v>30</v>
      </c>
    </row>
    <row r="509" spans="8:8" x14ac:dyDescent="0.25">
      <c r="H509" t="s">
        <v>136</v>
      </c>
    </row>
    <row r="510" spans="8:8" x14ac:dyDescent="0.25">
      <c r="H510" t="s">
        <v>15944</v>
      </c>
    </row>
    <row r="511" spans="8:8" x14ac:dyDescent="0.25">
      <c r="H511" t="s">
        <v>30</v>
      </c>
    </row>
    <row r="512" spans="8:8" x14ac:dyDescent="0.25">
      <c r="H512" t="s">
        <v>137</v>
      </c>
    </row>
    <row r="513" spans="8:8" x14ac:dyDescent="0.25">
      <c r="H513" t="s">
        <v>15945</v>
      </c>
    </row>
    <row r="514" spans="8:8" x14ac:dyDescent="0.25">
      <c r="H514" t="s">
        <v>30</v>
      </c>
    </row>
    <row r="515" spans="8:8" x14ac:dyDescent="0.25">
      <c r="H515" t="s">
        <v>138</v>
      </c>
    </row>
    <row r="516" spans="8:8" x14ac:dyDescent="0.25">
      <c r="H516" t="s">
        <v>15946</v>
      </c>
    </row>
    <row r="517" spans="8:8" x14ac:dyDescent="0.25">
      <c r="H517" t="s">
        <v>30</v>
      </c>
    </row>
    <row r="519" spans="8:8" x14ac:dyDescent="0.25">
      <c r="H519" t="s">
        <v>8546</v>
      </c>
    </row>
    <row r="520" spans="8:8" x14ac:dyDescent="0.25">
      <c r="H520" t="s">
        <v>8547</v>
      </c>
    </row>
    <row r="521" spans="8:8" x14ac:dyDescent="0.25">
      <c r="H521" t="s">
        <v>135</v>
      </c>
    </row>
    <row r="522" spans="8:8" x14ac:dyDescent="0.25">
      <c r="H522" t="s">
        <v>15947</v>
      </c>
    </row>
    <row r="523" spans="8:8" x14ac:dyDescent="0.25">
      <c r="H523" t="s">
        <v>30</v>
      </c>
    </row>
    <row r="524" spans="8:8" x14ac:dyDescent="0.25">
      <c r="H524" t="s">
        <v>136</v>
      </c>
    </row>
    <row r="525" spans="8:8" x14ac:dyDescent="0.25">
      <c r="H525" t="s">
        <v>15948</v>
      </c>
    </row>
    <row r="526" spans="8:8" x14ac:dyDescent="0.25">
      <c r="H526" t="s">
        <v>30</v>
      </c>
    </row>
    <row r="527" spans="8:8" x14ac:dyDescent="0.25">
      <c r="H527" t="s">
        <v>137</v>
      </c>
    </row>
    <row r="528" spans="8:8" x14ac:dyDescent="0.25">
      <c r="H528" t="s">
        <v>15949</v>
      </c>
    </row>
    <row r="529" spans="8:8" x14ac:dyDescent="0.25">
      <c r="H529" t="s">
        <v>30</v>
      </c>
    </row>
    <row r="530" spans="8:8" x14ac:dyDescent="0.25">
      <c r="H530" t="s">
        <v>138</v>
      </c>
    </row>
    <row r="531" spans="8:8" x14ac:dyDescent="0.25">
      <c r="H531" t="s">
        <v>15950</v>
      </c>
    </row>
    <row r="532" spans="8:8" x14ac:dyDescent="0.25">
      <c r="H532" t="s">
        <v>30</v>
      </c>
    </row>
    <row r="534" spans="8:8" x14ac:dyDescent="0.25">
      <c r="H534" t="s">
        <v>8552</v>
      </c>
    </row>
    <row r="535" spans="8:8" x14ac:dyDescent="0.25">
      <c r="H535" t="s">
        <v>8553</v>
      </c>
    </row>
    <row r="536" spans="8:8" x14ac:dyDescent="0.25">
      <c r="H536" t="s">
        <v>135</v>
      </c>
    </row>
    <row r="537" spans="8:8" x14ac:dyDescent="0.25">
      <c r="H537" t="s">
        <v>15951</v>
      </c>
    </row>
    <row r="538" spans="8:8" x14ac:dyDescent="0.25">
      <c r="H538" t="s">
        <v>30</v>
      </c>
    </row>
    <row r="539" spans="8:8" x14ac:dyDescent="0.25">
      <c r="H539" t="s">
        <v>136</v>
      </c>
    </row>
    <row r="540" spans="8:8" x14ac:dyDescent="0.25">
      <c r="H540" t="s">
        <v>15952</v>
      </c>
    </row>
    <row r="541" spans="8:8" x14ac:dyDescent="0.25">
      <c r="H541" t="s">
        <v>30</v>
      </c>
    </row>
    <row r="542" spans="8:8" x14ac:dyDescent="0.25">
      <c r="H542" t="s">
        <v>137</v>
      </c>
    </row>
    <row r="543" spans="8:8" x14ac:dyDescent="0.25">
      <c r="H543" t="s">
        <v>15953</v>
      </c>
    </row>
    <row r="544" spans="8:8" x14ac:dyDescent="0.25">
      <c r="H544" t="s">
        <v>30</v>
      </c>
    </row>
    <row r="545" spans="8:8" x14ac:dyDescent="0.25">
      <c r="H545" t="s">
        <v>138</v>
      </c>
    </row>
    <row r="546" spans="8:8" x14ac:dyDescent="0.25">
      <c r="H546" t="s">
        <v>15954</v>
      </c>
    </row>
    <row r="547" spans="8:8" x14ac:dyDescent="0.25">
      <c r="H547" t="s">
        <v>30</v>
      </c>
    </row>
    <row r="549" spans="8:8" x14ac:dyDescent="0.25">
      <c r="H549" t="s">
        <v>8558</v>
      </c>
    </row>
    <row r="550" spans="8:8" x14ac:dyDescent="0.25">
      <c r="H550" t="s">
        <v>8559</v>
      </c>
    </row>
    <row r="551" spans="8:8" x14ac:dyDescent="0.25">
      <c r="H551" t="s">
        <v>135</v>
      </c>
    </row>
    <row r="552" spans="8:8" x14ac:dyDescent="0.25">
      <c r="H552" t="s">
        <v>15955</v>
      </c>
    </row>
    <row r="553" spans="8:8" x14ac:dyDescent="0.25">
      <c r="H553" t="s">
        <v>30</v>
      </c>
    </row>
    <row r="554" spans="8:8" x14ac:dyDescent="0.25">
      <c r="H554" t="s">
        <v>136</v>
      </c>
    </row>
    <row r="555" spans="8:8" x14ac:dyDescent="0.25">
      <c r="H555" t="s">
        <v>15956</v>
      </c>
    </row>
    <row r="556" spans="8:8" x14ac:dyDescent="0.25">
      <c r="H556" t="s">
        <v>30</v>
      </c>
    </row>
    <row r="557" spans="8:8" x14ac:dyDescent="0.25">
      <c r="H557" t="s">
        <v>137</v>
      </c>
    </row>
    <row r="558" spans="8:8" x14ac:dyDescent="0.25">
      <c r="H558" t="s">
        <v>15957</v>
      </c>
    </row>
    <row r="559" spans="8:8" x14ac:dyDescent="0.25">
      <c r="H559" t="s">
        <v>30</v>
      </c>
    </row>
    <row r="560" spans="8:8" x14ac:dyDescent="0.25">
      <c r="H560" t="s">
        <v>138</v>
      </c>
    </row>
    <row r="561" spans="8:8" x14ac:dyDescent="0.25">
      <c r="H561" t="s">
        <v>15958</v>
      </c>
    </row>
    <row r="562" spans="8:8" x14ac:dyDescent="0.25">
      <c r="H562" t="s">
        <v>30</v>
      </c>
    </row>
    <row r="564" spans="8:8" x14ac:dyDescent="0.25">
      <c r="H564" t="s">
        <v>8564</v>
      </c>
    </row>
    <row r="565" spans="8:8" x14ac:dyDescent="0.25">
      <c r="H565" t="s">
        <v>8565</v>
      </c>
    </row>
    <row r="566" spans="8:8" x14ac:dyDescent="0.25">
      <c r="H566" t="s">
        <v>135</v>
      </c>
    </row>
    <row r="567" spans="8:8" x14ac:dyDescent="0.25">
      <c r="H567" t="s">
        <v>15959</v>
      </c>
    </row>
    <row r="568" spans="8:8" x14ac:dyDescent="0.25">
      <c r="H568" t="s">
        <v>30</v>
      </c>
    </row>
    <row r="569" spans="8:8" x14ac:dyDescent="0.25">
      <c r="H569" t="s">
        <v>136</v>
      </c>
    </row>
    <row r="570" spans="8:8" x14ac:dyDescent="0.25">
      <c r="H570" t="s">
        <v>15960</v>
      </c>
    </row>
    <row r="571" spans="8:8" x14ac:dyDescent="0.25">
      <c r="H571" t="s">
        <v>30</v>
      </c>
    </row>
    <row r="572" spans="8:8" x14ac:dyDescent="0.25">
      <c r="H572" t="s">
        <v>137</v>
      </c>
    </row>
    <row r="573" spans="8:8" x14ac:dyDescent="0.25">
      <c r="H573" t="s">
        <v>15961</v>
      </c>
    </row>
    <row r="574" spans="8:8" x14ac:dyDescent="0.25">
      <c r="H574" t="s">
        <v>30</v>
      </c>
    </row>
    <row r="575" spans="8:8" x14ac:dyDescent="0.25">
      <c r="H575" t="s">
        <v>138</v>
      </c>
    </row>
    <row r="576" spans="8:8" x14ac:dyDescent="0.25">
      <c r="H576" t="s">
        <v>15962</v>
      </c>
    </row>
    <row r="577" spans="8:8" x14ac:dyDescent="0.25">
      <c r="H577" t="s">
        <v>30</v>
      </c>
    </row>
    <row r="579" spans="8:8" x14ac:dyDescent="0.25">
      <c r="H579" t="s">
        <v>8570</v>
      </c>
    </row>
    <row r="580" spans="8:8" x14ac:dyDescent="0.25">
      <c r="H580" t="s">
        <v>8571</v>
      </c>
    </row>
    <row r="581" spans="8:8" x14ac:dyDescent="0.25">
      <c r="H581" t="s">
        <v>135</v>
      </c>
    </row>
    <row r="582" spans="8:8" x14ac:dyDescent="0.25">
      <c r="H582" t="s">
        <v>15963</v>
      </c>
    </row>
    <row r="583" spans="8:8" x14ac:dyDescent="0.25">
      <c r="H583" t="s">
        <v>30</v>
      </c>
    </row>
    <row r="584" spans="8:8" x14ac:dyDescent="0.25">
      <c r="H584" t="s">
        <v>136</v>
      </c>
    </row>
    <row r="585" spans="8:8" x14ac:dyDescent="0.25">
      <c r="H585" t="s">
        <v>15964</v>
      </c>
    </row>
    <row r="586" spans="8:8" x14ac:dyDescent="0.25">
      <c r="H586" t="s">
        <v>30</v>
      </c>
    </row>
    <row r="587" spans="8:8" x14ac:dyDescent="0.25">
      <c r="H587" t="s">
        <v>137</v>
      </c>
    </row>
    <row r="588" spans="8:8" x14ac:dyDescent="0.25">
      <c r="H588" t="s">
        <v>15965</v>
      </c>
    </row>
    <row r="589" spans="8:8" x14ac:dyDescent="0.25">
      <c r="H589" t="s">
        <v>30</v>
      </c>
    </row>
    <row r="590" spans="8:8" x14ac:dyDescent="0.25">
      <c r="H590" t="s">
        <v>138</v>
      </c>
    </row>
    <row r="591" spans="8:8" x14ac:dyDescent="0.25">
      <c r="H591" t="s">
        <v>15966</v>
      </c>
    </row>
    <row r="592" spans="8:8" x14ac:dyDescent="0.25">
      <c r="H592" t="s">
        <v>30</v>
      </c>
    </row>
    <row r="594" spans="8:8" x14ac:dyDescent="0.25">
      <c r="H594" t="s">
        <v>8576</v>
      </c>
    </row>
    <row r="595" spans="8:8" x14ac:dyDescent="0.25">
      <c r="H595" t="s">
        <v>8577</v>
      </c>
    </row>
    <row r="596" spans="8:8" x14ac:dyDescent="0.25">
      <c r="H596" t="s">
        <v>135</v>
      </c>
    </row>
    <row r="597" spans="8:8" x14ac:dyDescent="0.25">
      <c r="H597" t="s">
        <v>15967</v>
      </c>
    </row>
    <row r="598" spans="8:8" x14ac:dyDescent="0.25">
      <c r="H598" t="s">
        <v>30</v>
      </c>
    </row>
    <row r="599" spans="8:8" x14ac:dyDescent="0.25">
      <c r="H599" t="s">
        <v>136</v>
      </c>
    </row>
    <row r="600" spans="8:8" x14ac:dyDescent="0.25">
      <c r="H600" t="s">
        <v>15968</v>
      </c>
    </row>
    <row r="601" spans="8:8" x14ac:dyDescent="0.25">
      <c r="H601" t="s">
        <v>30</v>
      </c>
    </row>
    <row r="602" spans="8:8" x14ac:dyDescent="0.25">
      <c r="H602" t="s">
        <v>137</v>
      </c>
    </row>
    <row r="603" spans="8:8" x14ac:dyDescent="0.25">
      <c r="H603" t="s">
        <v>15969</v>
      </c>
    </row>
    <row r="604" spans="8:8" x14ac:dyDescent="0.25">
      <c r="H604" t="s">
        <v>30</v>
      </c>
    </row>
    <row r="605" spans="8:8" x14ac:dyDescent="0.25">
      <c r="H605" t="s">
        <v>138</v>
      </c>
    </row>
    <row r="606" spans="8:8" x14ac:dyDescent="0.25">
      <c r="H606" t="s">
        <v>15970</v>
      </c>
    </row>
    <row r="607" spans="8:8" x14ac:dyDescent="0.25">
      <c r="H607" t="s">
        <v>30</v>
      </c>
    </row>
    <row r="609" spans="8:8" x14ac:dyDescent="0.25">
      <c r="H609" t="s">
        <v>8582</v>
      </c>
    </row>
    <row r="610" spans="8:8" x14ac:dyDescent="0.25">
      <c r="H610" t="s">
        <v>8583</v>
      </c>
    </row>
    <row r="611" spans="8:8" x14ac:dyDescent="0.25">
      <c r="H611" t="s">
        <v>135</v>
      </c>
    </row>
    <row r="612" spans="8:8" x14ac:dyDescent="0.25">
      <c r="H612" t="s">
        <v>15971</v>
      </c>
    </row>
    <row r="613" spans="8:8" x14ac:dyDescent="0.25">
      <c r="H613" t="s">
        <v>30</v>
      </c>
    </row>
    <row r="614" spans="8:8" x14ac:dyDescent="0.25">
      <c r="H614" t="s">
        <v>136</v>
      </c>
    </row>
    <row r="615" spans="8:8" x14ac:dyDescent="0.25">
      <c r="H615" t="s">
        <v>15972</v>
      </c>
    </row>
    <row r="616" spans="8:8" x14ac:dyDescent="0.25">
      <c r="H616" t="s">
        <v>30</v>
      </c>
    </row>
    <row r="617" spans="8:8" x14ac:dyDescent="0.25">
      <c r="H617" t="s">
        <v>137</v>
      </c>
    </row>
    <row r="618" spans="8:8" x14ac:dyDescent="0.25">
      <c r="H618" t="s">
        <v>15973</v>
      </c>
    </row>
    <row r="619" spans="8:8" x14ac:dyDescent="0.25">
      <c r="H619" t="s">
        <v>30</v>
      </c>
    </row>
    <row r="620" spans="8:8" x14ac:dyDescent="0.25">
      <c r="H620" t="s">
        <v>138</v>
      </c>
    </row>
    <row r="621" spans="8:8" x14ac:dyDescent="0.25">
      <c r="H621" t="s">
        <v>15974</v>
      </c>
    </row>
    <row r="622" spans="8:8" x14ac:dyDescent="0.25">
      <c r="H622" t="s">
        <v>30</v>
      </c>
    </row>
    <row r="624" spans="8:8" x14ac:dyDescent="0.25">
      <c r="H624" t="s">
        <v>8588</v>
      </c>
    </row>
    <row r="625" spans="8:8" x14ac:dyDescent="0.25">
      <c r="H625" t="s">
        <v>8589</v>
      </c>
    </row>
    <row r="626" spans="8:8" x14ac:dyDescent="0.25">
      <c r="H626" t="s">
        <v>135</v>
      </c>
    </row>
    <row r="627" spans="8:8" x14ac:dyDescent="0.25">
      <c r="H627" t="s">
        <v>15975</v>
      </c>
    </row>
    <row r="628" spans="8:8" x14ac:dyDescent="0.25">
      <c r="H628" t="s">
        <v>30</v>
      </c>
    </row>
    <row r="629" spans="8:8" x14ac:dyDescent="0.25">
      <c r="H629" t="s">
        <v>136</v>
      </c>
    </row>
    <row r="630" spans="8:8" x14ac:dyDescent="0.25">
      <c r="H630" t="s">
        <v>15976</v>
      </c>
    </row>
    <row r="631" spans="8:8" x14ac:dyDescent="0.25">
      <c r="H631" t="s">
        <v>30</v>
      </c>
    </row>
    <row r="632" spans="8:8" x14ac:dyDescent="0.25">
      <c r="H632" t="s">
        <v>137</v>
      </c>
    </row>
    <row r="633" spans="8:8" x14ac:dyDescent="0.25">
      <c r="H633" t="s">
        <v>15977</v>
      </c>
    </row>
    <row r="634" spans="8:8" x14ac:dyDescent="0.25">
      <c r="H634" t="s">
        <v>30</v>
      </c>
    </row>
    <row r="635" spans="8:8" x14ac:dyDescent="0.25">
      <c r="H635" t="s">
        <v>138</v>
      </c>
    </row>
    <row r="636" spans="8:8" x14ac:dyDescent="0.25">
      <c r="H636" t="s">
        <v>15978</v>
      </c>
    </row>
    <row r="637" spans="8:8" x14ac:dyDescent="0.25">
      <c r="H637" t="s">
        <v>30</v>
      </c>
    </row>
    <row r="639" spans="8:8" x14ac:dyDescent="0.25">
      <c r="H639" t="s">
        <v>8594</v>
      </c>
    </row>
    <row r="640" spans="8:8" x14ac:dyDescent="0.25">
      <c r="H640" t="s">
        <v>8595</v>
      </c>
    </row>
    <row r="641" spans="8:8" x14ac:dyDescent="0.25">
      <c r="H641" t="s">
        <v>135</v>
      </c>
    </row>
    <row r="642" spans="8:8" x14ac:dyDescent="0.25">
      <c r="H642" t="s">
        <v>15979</v>
      </c>
    </row>
    <row r="643" spans="8:8" x14ac:dyDescent="0.25">
      <c r="H643" t="s">
        <v>30</v>
      </c>
    </row>
    <row r="644" spans="8:8" x14ac:dyDescent="0.25">
      <c r="H644" t="s">
        <v>136</v>
      </c>
    </row>
    <row r="645" spans="8:8" x14ac:dyDescent="0.25">
      <c r="H645" t="s">
        <v>15980</v>
      </c>
    </row>
    <row r="646" spans="8:8" x14ac:dyDescent="0.25">
      <c r="H646" t="s">
        <v>30</v>
      </c>
    </row>
    <row r="647" spans="8:8" x14ac:dyDescent="0.25">
      <c r="H647" t="s">
        <v>137</v>
      </c>
    </row>
    <row r="648" spans="8:8" x14ac:dyDescent="0.25">
      <c r="H648" t="s">
        <v>15981</v>
      </c>
    </row>
    <row r="649" spans="8:8" x14ac:dyDescent="0.25">
      <c r="H649" t="s">
        <v>30</v>
      </c>
    </row>
    <row r="650" spans="8:8" x14ac:dyDescent="0.25">
      <c r="H650" t="s">
        <v>138</v>
      </c>
    </row>
    <row r="651" spans="8:8" x14ac:dyDescent="0.25">
      <c r="H651" t="s">
        <v>15982</v>
      </c>
    </row>
    <row r="652" spans="8:8" x14ac:dyDescent="0.25">
      <c r="H652" t="s">
        <v>30</v>
      </c>
    </row>
    <row r="654" spans="8:8" x14ac:dyDescent="0.25">
      <c r="H654" t="s">
        <v>8600</v>
      </c>
    </row>
    <row r="655" spans="8:8" x14ac:dyDescent="0.25">
      <c r="H655" t="s">
        <v>8601</v>
      </c>
    </row>
    <row r="656" spans="8:8" x14ac:dyDescent="0.25">
      <c r="H656" t="s">
        <v>135</v>
      </c>
    </row>
    <row r="657" spans="8:8" x14ac:dyDescent="0.25">
      <c r="H657" t="s">
        <v>15983</v>
      </c>
    </row>
    <row r="658" spans="8:8" x14ac:dyDescent="0.25">
      <c r="H658" t="s">
        <v>30</v>
      </c>
    </row>
    <row r="659" spans="8:8" x14ac:dyDescent="0.25">
      <c r="H659" t="s">
        <v>136</v>
      </c>
    </row>
    <row r="660" spans="8:8" x14ac:dyDescent="0.25">
      <c r="H660" t="s">
        <v>15984</v>
      </c>
    </row>
    <row r="661" spans="8:8" x14ac:dyDescent="0.25">
      <c r="H661" t="s">
        <v>30</v>
      </c>
    </row>
    <row r="662" spans="8:8" x14ac:dyDescent="0.25">
      <c r="H662" t="s">
        <v>137</v>
      </c>
    </row>
    <row r="663" spans="8:8" x14ac:dyDescent="0.25">
      <c r="H663" t="s">
        <v>15985</v>
      </c>
    </row>
    <row r="664" spans="8:8" x14ac:dyDescent="0.25">
      <c r="H664" t="s">
        <v>30</v>
      </c>
    </row>
    <row r="665" spans="8:8" x14ac:dyDescent="0.25">
      <c r="H665" t="s">
        <v>138</v>
      </c>
    </row>
    <row r="666" spans="8:8" x14ac:dyDescent="0.25">
      <c r="H666" t="s">
        <v>15986</v>
      </c>
    </row>
    <row r="667" spans="8:8" x14ac:dyDescent="0.25">
      <c r="H667" t="s">
        <v>30</v>
      </c>
    </row>
    <row r="669" spans="8:8" x14ac:dyDescent="0.25">
      <c r="H669" t="s">
        <v>8606</v>
      </c>
    </row>
    <row r="670" spans="8:8" x14ac:dyDescent="0.25">
      <c r="H670" t="s">
        <v>8607</v>
      </c>
    </row>
    <row r="671" spans="8:8" x14ac:dyDescent="0.25">
      <c r="H671" t="s">
        <v>135</v>
      </c>
    </row>
    <row r="672" spans="8:8" x14ac:dyDescent="0.25">
      <c r="H672" t="s">
        <v>15987</v>
      </c>
    </row>
    <row r="673" spans="8:8" x14ac:dyDescent="0.25">
      <c r="H673" t="s">
        <v>30</v>
      </c>
    </row>
    <row r="674" spans="8:8" x14ac:dyDescent="0.25">
      <c r="H674" t="s">
        <v>136</v>
      </c>
    </row>
    <row r="675" spans="8:8" x14ac:dyDescent="0.25">
      <c r="H675" t="s">
        <v>15988</v>
      </c>
    </row>
    <row r="676" spans="8:8" x14ac:dyDescent="0.25">
      <c r="H676" t="s">
        <v>30</v>
      </c>
    </row>
    <row r="677" spans="8:8" x14ac:dyDescent="0.25">
      <c r="H677" t="s">
        <v>137</v>
      </c>
    </row>
    <row r="678" spans="8:8" x14ac:dyDescent="0.25">
      <c r="H678" t="s">
        <v>15989</v>
      </c>
    </row>
    <row r="679" spans="8:8" x14ac:dyDescent="0.25">
      <c r="H679" t="s">
        <v>30</v>
      </c>
    </row>
    <row r="680" spans="8:8" x14ac:dyDescent="0.25">
      <c r="H680" t="s">
        <v>138</v>
      </c>
    </row>
    <row r="681" spans="8:8" x14ac:dyDescent="0.25">
      <c r="H681" t="s">
        <v>15990</v>
      </c>
    </row>
    <row r="682" spans="8:8" x14ac:dyDescent="0.25">
      <c r="H682" t="s">
        <v>30</v>
      </c>
    </row>
    <row r="684" spans="8:8" x14ac:dyDescent="0.25">
      <c r="H684" t="s">
        <v>8612</v>
      </c>
    </row>
    <row r="685" spans="8:8" x14ac:dyDescent="0.25">
      <c r="H685" t="s">
        <v>8613</v>
      </c>
    </row>
    <row r="686" spans="8:8" x14ac:dyDescent="0.25">
      <c r="H686" t="s">
        <v>135</v>
      </c>
    </row>
    <row r="687" spans="8:8" x14ac:dyDescent="0.25">
      <c r="H687" t="s">
        <v>15991</v>
      </c>
    </row>
    <row r="688" spans="8:8" x14ac:dyDescent="0.25">
      <c r="H688" t="s">
        <v>30</v>
      </c>
    </row>
    <row r="689" spans="8:8" x14ac:dyDescent="0.25">
      <c r="H689" t="s">
        <v>136</v>
      </c>
    </row>
    <row r="690" spans="8:8" x14ac:dyDescent="0.25">
      <c r="H690" t="s">
        <v>15992</v>
      </c>
    </row>
    <row r="691" spans="8:8" x14ac:dyDescent="0.25">
      <c r="H691" t="s">
        <v>30</v>
      </c>
    </row>
    <row r="692" spans="8:8" x14ac:dyDescent="0.25">
      <c r="H692" t="s">
        <v>137</v>
      </c>
    </row>
    <row r="693" spans="8:8" x14ac:dyDescent="0.25">
      <c r="H693" t="s">
        <v>15993</v>
      </c>
    </row>
    <row r="694" spans="8:8" x14ac:dyDescent="0.25">
      <c r="H694" t="s">
        <v>30</v>
      </c>
    </row>
    <row r="695" spans="8:8" x14ac:dyDescent="0.25">
      <c r="H695" t="s">
        <v>138</v>
      </c>
    </row>
    <row r="696" spans="8:8" x14ac:dyDescent="0.25">
      <c r="H696" t="s">
        <v>15994</v>
      </c>
    </row>
    <row r="697" spans="8:8" x14ac:dyDescent="0.25">
      <c r="H697" t="s">
        <v>30</v>
      </c>
    </row>
    <row r="699" spans="8:8" x14ac:dyDescent="0.25">
      <c r="H699" t="s">
        <v>8618</v>
      </c>
    </row>
    <row r="700" spans="8:8" x14ac:dyDescent="0.25">
      <c r="H700" t="s">
        <v>8619</v>
      </c>
    </row>
    <row r="701" spans="8:8" x14ac:dyDescent="0.25">
      <c r="H701" t="s">
        <v>135</v>
      </c>
    </row>
    <row r="702" spans="8:8" x14ac:dyDescent="0.25">
      <c r="H702" t="s">
        <v>15995</v>
      </c>
    </row>
    <row r="703" spans="8:8" x14ac:dyDescent="0.25">
      <c r="H703" t="s">
        <v>30</v>
      </c>
    </row>
    <row r="704" spans="8:8" x14ac:dyDescent="0.25">
      <c r="H704" t="s">
        <v>136</v>
      </c>
    </row>
    <row r="705" spans="8:8" x14ac:dyDescent="0.25">
      <c r="H705" t="s">
        <v>15996</v>
      </c>
    </row>
    <row r="706" spans="8:8" x14ac:dyDescent="0.25">
      <c r="H706" t="s">
        <v>30</v>
      </c>
    </row>
    <row r="707" spans="8:8" x14ac:dyDescent="0.25">
      <c r="H707" t="s">
        <v>137</v>
      </c>
    </row>
    <row r="708" spans="8:8" x14ac:dyDescent="0.25">
      <c r="H708" t="s">
        <v>15997</v>
      </c>
    </row>
    <row r="709" spans="8:8" x14ac:dyDescent="0.25">
      <c r="H709" t="s">
        <v>30</v>
      </c>
    </row>
    <row r="710" spans="8:8" x14ac:dyDescent="0.25">
      <c r="H710" t="s">
        <v>138</v>
      </c>
    </row>
    <row r="711" spans="8:8" x14ac:dyDescent="0.25">
      <c r="H711" t="s">
        <v>15998</v>
      </c>
    </row>
    <row r="712" spans="8:8" x14ac:dyDescent="0.25">
      <c r="H712" t="s">
        <v>30</v>
      </c>
    </row>
    <row r="714" spans="8:8" x14ac:dyDescent="0.25">
      <c r="H714" t="s">
        <v>8624</v>
      </c>
    </row>
    <row r="715" spans="8:8" x14ac:dyDescent="0.25">
      <c r="H715" t="s">
        <v>8625</v>
      </c>
    </row>
    <row r="716" spans="8:8" x14ac:dyDescent="0.25">
      <c r="H716" t="s">
        <v>135</v>
      </c>
    </row>
    <row r="717" spans="8:8" x14ac:dyDescent="0.25">
      <c r="H717" t="s">
        <v>15999</v>
      </c>
    </row>
    <row r="718" spans="8:8" x14ac:dyDescent="0.25">
      <c r="H718" t="s">
        <v>30</v>
      </c>
    </row>
    <row r="719" spans="8:8" x14ac:dyDescent="0.25">
      <c r="H719" t="s">
        <v>136</v>
      </c>
    </row>
    <row r="720" spans="8:8" x14ac:dyDescent="0.25">
      <c r="H720" t="s">
        <v>16000</v>
      </c>
    </row>
    <row r="721" spans="8:8" x14ac:dyDescent="0.25">
      <c r="H721" t="s">
        <v>30</v>
      </c>
    </row>
    <row r="722" spans="8:8" x14ac:dyDescent="0.25">
      <c r="H722" t="s">
        <v>137</v>
      </c>
    </row>
    <row r="723" spans="8:8" x14ac:dyDescent="0.25">
      <c r="H723" t="s">
        <v>16001</v>
      </c>
    </row>
    <row r="724" spans="8:8" x14ac:dyDescent="0.25">
      <c r="H724" t="s">
        <v>30</v>
      </c>
    </row>
    <row r="725" spans="8:8" x14ac:dyDescent="0.25">
      <c r="H725" t="s">
        <v>138</v>
      </c>
    </row>
    <row r="726" spans="8:8" x14ac:dyDescent="0.25">
      <c r="H726" t="s">
        <v>16002</v>
      </c>
    </row>
    <row r="727" spans="8:8" x14ac:dyDescent="0.25">
      <c r="H727" t="s">
        <v>30</v>
      </c>
    </row>
    <row r="729" spans="8:8" x14ac:dyDescent="0.25">
      <c r="H729" t="s">
        <v>8630</v>
      </c>
    </row>
    <row r="730" spans="8:8" x14ac:dyDescent="0.25">
      <c r="H730" t="s">
        <v>8631</v>
      </c>
    </row>
    <row r="731" spans="8:8" x14ac:dyDescent="0.25">
      <c r="H731" t="s">
        <v>135</v>
      </c>
    </row>
    <row r="732" spans="8:8" x14ac:dyDescent="0.25">
      <c r="H732" t="s">
        <v>16003</v>
      </c>
    </row>
    <row r="733" spans="8:8" x14ac:dyDescent="0.25">
      <c r="H733" t="s">
        <v>30</v>
      </c>
    </row>
    <row r="734" spans="8:8" x14ac:dyDescent="0.25">
      <c r="H734" t="s">
        <v>136</v>
      </c>
    </row>
    <row r="735" spans="8:8" x14ac:dyDescent="0.25">
      <c r="H735" t="s">
        <v>16004</v>
      </c>
    </row>
    <row r="736" spans="8:8" x14ac:dyDescent="0.25">
      <c r="H736" t="s">
        <v>30</v>
      </c>
    </row>
    <row r="737" spans="8:8" x14ac:dyDescent="0.25">
      <c r="H737" t="s">
        <v>137</v>
      </c>
    </row>
    <row r="738" spans="8:8" x14ac:dyDescent="0.25">
      <c r="H738" t="s">
        <v>16005</v>
      </c>
    </row>
    <row r="739" spans="8:8" x14ac:dyDescent="0.25">
      <c r="H739" t="s">
        <v>30</v>
      </c>
    </row>
    <row r="740" spans="8:8" x14ac:dyDescent="0.25">
      <c r="H740" t="s">
        <v>138</v>
      </c>
    </row>
    <row r="741" spans="8:8" x14ac:dyDescent="0.25">
      <c r="H741" t="s">
        <v>16006</v>
      </c>
    </row>
    <row r="742" spans="8:8" x14ac:dyDescent="0.25">
      <c r="H742" t="s">
        <v>30</v>
      </c>
    </row>
    <row r="744" spans="8:8" x14ac:dyDescent="0.25">
      <c r="H744" t="s">
        <v>8636</v>
      </c>
    </row>
    <row r="745" spans="8:8" x14ac:dyDescent="0.25">
      <c r="H745" t="s">
        <v>8637</v>
      </c>
    </row>
    <row r="746" spans="8:8" x14ac:dyDescent="0.25">
      <c r="H746" t="s">
        <v>135</v>
      </c>
    </row>
    <row r="747" spans="8:8" x14ac:dyDescent="0.25">
      <c r="H747" t="s">
        <v>16007</v>
      </c>
    </row>
    <row r="748" spans="8:8" x14ac:dyDescent="0.25">
      <c r="H748" t="s">
        <v>30</v>
      </c>
    </row>
    <row r="749" spans="8:8" x14ac:dyDescent="0.25">
      <c r="H749" t="s">
        <v>136</v>
      </c>
    </row>
    <row r="750" spans="8:8" x14ac:dyDescent="0.25">
      <c r="H750" t="s">
        <v>16008</v>
      </c>
    </row>
    <row r="751" spans="8:8" x14ac:dyDescent="0.25">
      <c r="H751" t="s">
        <v>30</v>
      </c>
    </row>
    <row r="752" spans="8:8" x14ac:dyDescent="0.25">
      <c r="H752" t="s">
        <v>137</v>
      </c>
    </row>
    <row r="753" spans="8:8" x14ac:dyDescent="0.25">
      <c r="H753" t="s">
        <v>16009</v>
      </c>
    </row>
    <row r="754" spans="8:8" x14ac:dyDescent="0.25">
      <c r="H754" t="s">
        <v>30</v>
      </c>
    </row>
    <row r="755" spans="8:8" x14ac:dyDescent="0.25">
      <c r="H755" t="s">
        <v>138</v>
      </c>
    </row>
    <row r="756" spans="8:8" x14ac:dyDescent="0.25">
      <c r="H756" t="s">
        <v>16010</v>
      </c>
    </row>
    <row r="757" spans="8:8" x14ac:dyDescent="0.25">
      <c r="H757" t="s">
        <v>30</v>
      </c>
    </row>
    <row r="759" spans="8:8" x14ac:dyDescent="0.25">
      <c r="H759" t="s">
        <v>8642</v>
      </c>
    </row>
    <row r="760" spans="8:8" x14ac:dyDescent="0.25">
      <c r="H760" t="s">
        <v>8643</v>
      </c>
    </row>
    <row r="761" spans="8:8" x14ac:dyDescent="0.25">
      <c r="H761" t="s">
        <v>135</v>
      </c>
    </row>
    <row r="762" spans="8:8" x14ac:dyDescent="0.25">
      <c r="H762" t="s">
        <v>16011</v>
      </c>
    </row>
    <row r="763" spans="8:8" x14ac:dyDescent="0.25">
      <c r="H763" t="s">
        <v>30</v>
      </c>
    </row>
    <row r="764" spans="8:8" x14ac:dyDescent="0.25">
      <c r="H764" t="s">
        <v>136</v>
      </c>
    </row>
    <row r="765" spans="8:8" x14ac:dyDescent="0.25">
      <c r="H765" t="s">
        <v>16012</v>
      </c>
    </row>
    <row r="766" spans="8:8" x14ac:dyDescent="0.25">
      <c r="H766" t="s">
        <v>30</v>
      </c>
    </row>
    <row r="767" spans="8:8" x14ac:dyDescent="0.25">
      <c r="H767" t="s">
        <v>137</v>
      </c>
    </row>
    <row r="768" spans="8:8" x14ac:dyDescent="0.25">
      <c r="H768" t="s">
        <v>16013</v>
      </c>
    </row>
    <row r="769" spans="8:8" x14ac:dyDescent="0.25">
      <c r="H769" t="s">
        <v>30</v>
      </c>
    </row>
    <row r="770" spans="8:8" x14ac:dyDescent="0.25">
      <c r="H770" t="s">
        <v>138</v>
      </c>
    </row>
    <row r="771" spans="8:8" x14ac:dyDescent="0.25">
      <c r="H771" t="s">
        <v>16014</v>
      </c>
    </row>
    <row r="772" spans="8:8" x14ac:dyDescent="0.25">
      <c r="H772" t="s">
        <v>30</v>
      </c>
    </row>
    <row r="774" spans="8:8" x14ac:dyDescent="0.25">
      <c r="H774" t="s">
        <v>8648</v>
      </c>
    </row>
    <row r="775" spans="8:8" x14ac:dyDescent="0.25">
      <c r="H775" t="s">
        <v>8649</v>
      </c>
    </row>
    <row r="776" spans="8:8" x14ac:dyDescent="0.25">
      <c r="H776" t="s">
        <v>135</v>
      </c>
    </row>
    <row r="777" spans="8:8" x14ac:dyDescent="0.25">
      <c r="H777" t="s">
        <v>16015</v>
      </c>
    </row>
    <row r="778" spans="8:8" x14ac:dyDescent="0.25">
      <c r="H778" t="s">
        <v>30</v>
      </c>
    </row>
    <row r="779" spans="8:8" x14ac:dyDescent="0.25">
      <c r="H779" t="s">
        <v>136</v>
      </c>
    </row>
    <row r="780" spans="8:8" x14ac:dyDescent="0.25">
      <c r="H780" t="s">
        <v>16016</v>
      </c>
    </row>
    <row r="781" spans="8:8" x14ac:dyDescent="0.25">
      <c r="H781" t="s">
        <v>30</v>
      </c>
    </row>
    <row r="782" spans="8:8" x14ac:dyDescent="0.25">
      <c r="H782" t="s">
        <v>137</v>
      </c>
    </row>
    <row r="783" spans="8:8" x14ac:dyDescent="0.25">
      <c r="H783" t="s">
        <v>16017</v>
      </c>
    </row>
    <row r="784" spans="8:8" x14ac:dyDescent="0.25">
      <c r="H784" t="s">
        <v>30</v>
      </c>
    </row>
    <row r="785" spans="8:8" x14ac:dyDescent="0.25">
      <c r="H785" t="s">
        <v>138</v>
      </c>
    </row>
    <row r="786" spans="8:8" x14ac:dyDescent="0.25">
      <c r="H786" t="s">
        <v>16018</v>
      </c>
    </row>
    <row r="787" spans="8:8" x14ac:dyDescent="0.25">
      <c r="H787" t="s">
        <v>30</v>
      </c>
    </row>
    <row r="789" spans="8:8" x14ac:dyDescent="0.25">
      <c r="H789" t="s">
        <v>8654</v>
      </c>
    </row>
    <row r="790" spans="8:8" x14ac:dyDescent="0.25">
      <c r="H790" t="s">
        <v>8655</v>
      </c>
    </row>
    <row r="791" spans="8:8" x14ac:dyDescent="0.25">
      <c r="H791" t="s">
        <v>135</v>
      </c>
    </row>
    <row r="792" spans="8:8" x14ac:dyDescent="0.25">
      <c r="H792" t="s">
        <v>16019</v>
      </c>
    </row>
    <row r="793" spans="8:8" x14ac:dyDescent="0.25">
      <c r="H793" t="s">
        <v>30</v>
      </c>
    </row>
    <row r="794" spans="8:8" x14ac:dyDescent="0.25">
      <c r="H794" t="s">
        <v>136</v>
      </c>
    </row>
    <row r="795" spans="8:8" x14ac:dyDescent="0.25">
      <c r="H795" t="s">
        <v>16020</v>
      </c>
    </row>
    <row r="796" spans="8:8" x14ac:dyDescent="0.25">
      <c r="H796" t="s">
        <v>30</v>
      </c>
    </row>
    <row r="797" spans="8:8" x14ac:dyDescent="0.25">
      <c r="H797" t="s">
        <v>137</v>
      </c>
    </row>
    <row r="798" spans="8:8" x14ac:dyDescent="0.25">
      <c r="H798" t="s">
        <v>16021</v>
      </c>
    </row>
    <row r="799" spans="8:8" x14ac:dyDescent="0.25">
      <c r="H799" t="s">
        <v>30</v>
      </c>
    </row>
    <row r="800" spans="8:8" x14ac:dyDescent="0.25">
      <c r="H800" t="s">
        <v>138</v>
      </c>
    </row>
    <row r="801" spans="8:8" x14ac:dyDescent="0.25">
      <c r="H801" t="s">
        <v>16022</v>
      </c>
    </row>
    <row r="802" spans="8:8" x14ac:dyDescent="0.25">
      <c r="H802" t="s">
        <v>30</v>
      </c>
    </row>
    <row r="804" spans="8:8" x14ac:dyDescent="0.25">
      <c r="H804" t="s">
        <v>8660</v>
      </c>
    </row>
    <row r="805" spans="8:8" x14ac:dyDescent="0.25">
      <c r="H805" t="s">
        <v>8661</v>
      </c>
    </row>
    <row r="806" spans="8:8" x14ac:dyDescent="0.25">
      <c r="H806" t="s">
        <v>135</v>
      </c>
    </row>
    <row r="807" spans="8:8" x14ac:dyDescent="0.25">
      <c r="H807" t="s">
        <v>16023</v>
      </c>
    </row>
    <row r="808" spans="8:8" x14ac:dyDescent="0.25">
      <c r="H808" t="s">
        <v>30</v>
      </c>
    </row>
    <row r="809" spans="8:8" x14ac:dyDescent="0.25">
      <c r="H809" t="s">
        <v>136</v>
      </c>
    </row>
    <row r="810" spans="8:8" x14ac:dyDescent="0.25">
      <c r="H810" t="s">
        <v>16024</v>
      </c>
    </row>
    <row r="811" spans="8:8" x14ac:dyDescent="0.25">
      <c r="H811" t="s">
        <v>30</v>
      </c>
    </row>
    <row r="812" spans="8:8" x14ac:dyDescent="0.25">
      <c r="H812" t="s">
        <v>137</v>
      </c>
    </row>
    <row r="813" spans="8:8" x14ac:dyDescent="0.25">
      <c r="H813" t="s">
        <v>16025</v>
      </c>
    </row>
    <row r="814" spans="8:8" x14ac:dyDescent="0.25">
      <c r="H814" t="s">
        <v>30</v>
      </c>
    </row>
    <row r="815" spans="8:8" x14ac:dyDescent="0.25">
      <c r="H815" t="s">
        <v>138</v>
      </c>
    </row>
    <row r="816" spans="8:8" x14ac:dyDescent="0.25">
      <c r="H816" t="s">
        <v>16026</v>
      </c>
    </row>
    <row r="817" spans="8:8" x14ac:dyDescent="0.25">
      <c r="H817" t="s">
        <v>30</v>
      </c>
    </row>
    <row r="819" spans="8:8" x14ac:dyDescent="0.25">
      <c r="H819" t="s">
        <v>8666</v>
      </c>
    </row>
    <row r="820" spans="8:8" x14ac:dyDescent="0.25">
      <c r="H820" t="s">
        <v>8667</v>
      </c>
    </row>
    <row r="821" spans="8:8" x14ac:dyDescent="0.25">
      <c r="H821" t="s">
        <v>135</v>
      </c>
    </row>
    <row r="822" spans="8:8" x14ac:dyDescent="0.25">
      <c r="H822" t="s">
        <v>16027</v>
      </c>
    </row>
    <row r="823" spans="8:8" x14ac:dyDescent="0.25">
      <c r="H823" t="s">
        <v>30</v>
      </c>
    </row>
    <row r="824" spans="8:8" x14ac:dyDescent="0.25">
      <c r="H824" t="s">
        <v>136</v>
      </c>
    </row>
    <row r="825" spans="8:8" x14ac:dyDescent="0.25">
      <c r="H825" t="s">
        <v>16028</v>
      </c>
    </row>
    <row r="826" spans="8:8" x14ac:dyDescent="0.25">
      <c r="H826" t="s">
        <v>30</v>
      </c>
    </row>
    <row r="827" spans="8:8" x14ac:dyDescent="0.25">
      <c r="H827" t="s">
        <v>137</v>
      </c>
    </row>
    <row r="828" spans="8:8" x14ac:dyDescent="0.25">
      <c r="H828" t="s">
        <v>16029</v>
      </c>
    </row>
    <row r="829" spans="8:8" x14ac:dyDescent="0.25">
      <c r="H829" t="s">
        <v>30</v>
      </c>
    </row>
    <row r="830" spans="8:8" x14ac:dyDescent="0.25">
      <c r="H830" t="s">
        <v>138</v>
      </c>
    </row>
    <row r="831" spans="8:8" x14ac:dyDescent="0.25">
      <c r="H831" t="s">
        <v>16030</v>
      </c>
    </row>
    <row r="832" spans="8:8" x14ac:dyDescent="0.25">
      <c r="H832" t="s">
        <v>30</v>
      </c>
    </row>
    <row r="834" spans="8:8" x14ac:dyDescent="0.25">
      <c r="H834" t="s">
        <v>8672</v>
      </c>
    </row>
    <row r="835" spans="8:8" x14ac:dyDescent="0.25">
      <c r="H835" t="s">
        <v>8673</v>
      </c>
    </row>
    <row r="836" spans="8:8" x14ac:dyDescent="0.25">
      <c r="H836" t="s">
        <v>135</v>
      </c>
    </row>
    <row r="837" spans="8:8" x14ac:dyDescent="0.25">
      <c r="H837" t="s">
        <v>16031</v>
      </c>
    </row>
    <row r="838" spans="8:8" x14ac:dyDescent="0.25">
      <c r="H838" t="s">
        <v>30</v>
      </c>
    </row>
    <row r="839" spans="8:8" x14ac:dyDescent="0.25">
      <c r="H839" t="s">
        <v>136</v>
      </c>
    </row>
    <row r="840" spans="8:8" x14ac:dyDescent="0.25">
      <c r="H840" t="s">
        <v>16032</v>
      </c>
    </row>
    <row r="841" spans="8:8" x14ac:dyDescent="0.25">
      <c r="H841" t="s">
        <v>30</v>
      </c>
    </row>
    <row r="842" spans="8:8" x14ac:dyDescent="0.25">
      <c r="H842" t="s">
        <v>137</v>
      </c>
    </row>
    <row r="843" spans="8:8" x14ac:dyDescent="0.25">
      <c r="H843" t="s">
        <v>16033</v>
      </c>
    </row>
    <row r="844" spans="8:8" x14ac:dyDescent="0.25">
      <c r="H844" t="s">
        <v>30</v>
      </c>
    </row>
    <row r="845" spans="8:8" x14ac:dyDescent="0.25">
      <c r="H845" t="s">
        <v>138</v>
      </c>
    </row>
    <row r="846" spans="8:8" x14ac:dyDescent="0.25">
      <c r="H846" t="s">
        <v>16034</v>
      </c>
    </row>
    <row r="847" spans="8:8" x14ac:dyDescent="0.25">
      <c r="H847" t="s">
        <v>30</v>
      </c>
    </row>
    <row r="849" spans="8:8" x14ac:dyDescent="0.25">
      <c r="H849" t="s">
        <v>8678</v>
      </c>
    </row>
    <row r="850" spans="8:8" x14ac:dyDescent="0.25">
      <c r="H850" t="s">
        <v>8679</v>
      </c>
    </row>
    <row r="851" spans="8:8" x14ac:dyDescent="0.25">
      <c r="H851" t="s">
        <v>135</v>
      </c>
    </row>
    <row r="852" spans="8:8" x14ac:dyDescent="0.25">
      <c r="H852" t="s">
        <v>16035</v>
      </c>
    </row>
    <row r="853" spans="8:8" x14ac:dyDescent="0.25">
      <c r="H853" t="s">
        <v>30</v>
      </c>
    </row>
    <row r="854" spans="8:8" x14ac:dyDescent="0.25">
      <c r="H854" t="s">
        <v>136</v>
      </c>
    </row>
    <row r="855" spans="8:8" x14ac:dyDescent="0.25">
      <c r="H855" t="s">
        <v>16036</v>
      </c>
    </row>
    <row r="856" spans="8:8" x14ac:dyDescent="0.25">
      <c r="H856" t="s">
        <v>30</v>
      </c>
    </row>
    <row r="857" spans="8:8" x14ac:dyDescent="0.25">
      <c r="H857" t="s">
        <v>137</v>
      </c>
    </row>
    <row r="858" spans="8:8" x14ac:dyDescent="0.25">
      <c r="H858" t="s">
        <v>16037</v>
      </c>
    </row>
    <row r="859" spans="8:8" x14ac:dyDescent="0.25">
      <c r="H859" t="s">
        <v>30</v>
      </c>
    </row>
    <row r="860" spans="8:8" x14ac:dyDescent="0.25">
      <c r="H860" t="s">
        <v>138</v>
      </c>
    </row>
    <row r="861" spans="8:8" x14ac:dyDescent="0.25">
      <c r="H861" t="s">
        <v>16038</v>
      </c>
    </row>
    <row r="862" spans="8:8" x14ac:dyDescent="0.25">
      <c r="H862" t="s">
        <v>30</v>
      </c>
    </row>
    <row r="864" spans="8:8" x14ac:dyDescent="0.25">
      <c r="H864" t="s">
        <v>8684</v>
      </c>
    </row>
    <row r="865" spans="8:8" x14ac:dyDescent="0.25">
      <c r="H865" t="s">
        <v>8685</v>
      </c>
    </row>
    <row r="866" spans="8:8" x14ac:dyDescent="0.25">
      <c r="H866" t="s">
        <v>135</v>
      </c>
    </row>
    <row r="867" spans="8:8" x14ac:dyDescent="0.25">
      <c r="H867" t="s">
        <v>16039</v>
      </c>
    </row>
    <row r="868" spans="8:8" x14ac:dyDescent="0.25">
      <c r="H868" t="s">
        <v>30</v>
      </c>
    </row>
    <row r="869" spans="8:8" x14ac:dyDescent="0.25">
      <c r="H869" t="s">
        <v>136</v>
      </c>
    </row>
    <row r="870" spans="8:8" x14ac:dyDescent="0.25">
      <c r="H870" t="s">
        <v>16040</v>
      </c>
    </row>
    <row r="871" spans="8:8" x14ac:dyDescent="0.25">
      <c r="H871" t="s">
        <v>30</v>
      </c>
    </row>
    <row r="872" spans="8:8" x14ac:dyDescent="0.25">
      <c r="H872" t="s">
        <v>137</v>
      </c>
    </row>
    <row r="873" spans="8:8" x14ac:dyDescent="0.25">
      <c r="H873" t="s">
        <v>16041</v>
      </c>
    </row>
    <row r="874" spans="8:8" x14ac:dyDescent="0.25">
      <c r="H874" t="s">
        <v>30</v>
      </c>
    </row>
    <row r="875" spans="8:8" x14ac:dyDescent="0.25">
      <c r="H875" t="s">
        <v>138</v>
      </c>
    </row>
    <row r="876" spans="8:8" x14ac:dyDescent="0.25">
      <c r="H876" t="s">
        <v>16042</v>
      </c>
    </row>
    <row r="877" spans="8:8" x14ac:dyDescent="0.25">
      <c r="H877" t="s">
        <v>30</v>
      </c>
    </row>
    <row r="879" spans="8:8" x14ac:dyDescent="0.25">
      <c r="H879" t="s">
        <v>8690</v>
      </c>
    </row>
    <row r="880" spans="8:8" x14ac:dyDescent="0.25">
      <c r="H880" t="s">
        <v>8691</v>
      </c>
    </row>
    <row r="881" spans="8:8" x14ac:dyDescent="0.25">
      <c r="H881" t="s">
        <v>135</v>
      </c>
    </row>
    <row r="882" spans="8:8" x14ac:dyDescent="0.25">
      <c r="H882" t="s">
        <v>16043</v>
      </c>
    </row>
    <row r="883" spans="8:8" x14ac:dyDescent="0.25">
      <c r="H883" t="s">
        <v>30</v>
      </c>
    </row>
    <row r="884" spans="8:8" x14ac:dyDescent="0.25">
      <c r="H884" t="s">
        <v>136</v>
      </c>
    </row>
    <row r="885" spans="8:8" x14ac:dyDescent="0.25">
      <c r="H885" t="s">
        <v>16044</v>
      </c>
    </row>
    <row r="886" spans="8:8" x14ac:dyDescent="0.25">
      <c r="H886" t="s">
        <v>30</v>
      </c>
    </row>
    <row r="887" spans="8:8" x14ac:dyDescent="0.25">
      <c r="H887" t="s">
        <v>137</v>
      </c>
    </row>
    <row r="888" spans="8:8" x14ac:dyDescent="0.25">
      <c r="H888" t="s">
        <v>16045</v>
      </c>
    </row>
    <row r="889" spans="8:8" x14ac:dyDescent="0.25">
      <c r="H889" t="s">
        <v>30</v>
      </c>
    </row>
    <row r="890" spans="8:8" x14ac:dyDescent="0.25">
      <c r="H890" t="s">
        <v>138</v>
      </c>
    </row>
    <row r="891" spans="8:8" x14ac:dyDescent="0.25">
      <c r="H891" t="s">
        <v>16046</v>
      </c>
    </row>
    <row r="892" spans="8:8" x14ac:dyDescent="0.25">
      <c r="H892" t="s">
        <v>30</v>
      </c>
    </row>
    <row r="894" spans="8:8" x14ac:dyDescent="0.25">
      <c r="H894" t="s">
        <v>8696</v>
      </c>
    </row>
    <row r="895" spans="8:8" x14ac:dyDescent="0.25">
      <c r="H895" t="s">
        <v>8697</v>
      </c>
    </row>
    <row r="896" spans="8:8" x14ac:dyDescent="0.25">
      <c r="H896" t="s">
        <v>135</v>
      </c>
    </row>
    <row r="897" spans="8:8" x14ac:dyDescent="0.25">
      <c r="H897" t="s">
        <v>16047</v>
      </c>
    </row>
    <row r="898" spans="8:8" x14ac:dyDescent="0.25">
      <c r="H898" t="s">
        <v>30</v>
      </c>
    </row>
    <row r="899" spans="8:8" x14ac:dyDescent="0.25">
      <c r="H899" t="s">
        <v>136</v>
      </c>
    </row>
    <row r="900" spans="8:8" x14ac:dyDescent="0.25">
      <c r="H900" t="s">
        <v>16048</v>
      </c>
    </row>
    <row r="901" spans="8:8" x14ac:dyDescent="0.25">
      <c r="H901" t="s">
        <v>30</v>
      </c>
    </row>
    <row r="902" spans="8:8" x14ac:dyDescent="0.25">
      <c r="H902" t="s">
        <v>137</v>
      </c>
    </row>
    <row r="903" spans="8:8" x14ac:dyDescent="0.25">
      <c r="H903" t="s">
        <v>16049</v>
      </c>
    </row>
    <row r="904" spans="8:8" x14ac:dyDescent="0.25">
      <c r="H904" t="s">
        <v>30</v>
      </c>
    </row>
    <row r="905" spans="8:8" x14ac:dyDescent="0.25">
      <c r="H905" t="s">
        <v>138</v>
      </c>
    </row>
    <row r="906" spans="8:8" x14ac:dyDescent="0.25">
      <c r="H906" t="s">
        <v>16050</v>
      </c>
    </row>
    <row r="907" spans="8:8" x14ac:dyDescent="0.25">
      <c r="H907" t="s">
        <v>30</v>
      </c>
    </row>
    <row r="909" spans="8:8" x14ac:dyDescent="0.25">
      <c r="H909" t="s">
        <v>8702</v>
      </c>
    </row>
    <row r="910" spans="8:8" x14ac:dyDescent="0.25">
      <c r="H910" t="s">
        <v>8703</v>
      </c>
    </row>
    <row r="911" spans="8:8" x14ac:dyDescent="0.25">
      <c r="H911" t="s">
        <v>135</v>
      </c>
    </row>
    <row r="912" spans="8:8" x14ac:dyDescent="0.25">
      <c r="H912" t="s">
        <v>16051</v>
      </c>
    </row>
    <row r="913" spans="8:8" x14ac:dyDescent="0.25">
      <c r="H913" t="s">
        <v>30</v>
      </c>
    </row>
    <row r="914" spans="8:8" x14ac:dyDescent="0.25">
      <c r="H914" t="s">
        <v>136</v>
      </c>
    </row>
    <row r="915" spans="8:8" x14ac:dyDescent="0.25">
      <c r="H915" t="s">
        <v>16052</v>
      </c>
    </row>
    <row r="916" spans="8:8" x14ac:dyDescent="0.25">
      <c r="H916" t="s">
        <v>30</v>
      </c>
    </row>
    <row r="917" spans="8:8" x14ac:dyDescent="0.25">
      <c r="H917" t="s">
        <v>137</v>
      </c>
    </row>
    <row r="918" spans="8:8" x14ac:dyDescent="0.25">
      <c r="H918" t="s">
        <v>16053</v>
      </c>
    </row>
    <row r="919" spans="8:8" x14ac:dyDescent="0.25">
      <c r="H919" t="s">
        <v>30</v>
      </c>
    </row>
    <row r="920" spans="8:8" x14ac:dyDescent="0.25">
      <c r="H920" t="s">
        <v>138</v>
      </c>
    </row>
    <row r="921" spans="8:8" x14ac:dyDescent="0.25">
      <c r="H921" t="s">
        <v>16054</v>
      </c>
    </row>
    <row r="922" spans="8:8" x14ac:dyDescent="0.25">
      <c r="H922" t="s">
        <v>30</v>
      </c>
    </row>
    <row r="924" spans="8:8" x14ac:dyDescent="0.25">
      <c r="H924" t="s">
        <v>8708</v>
      </c>
    </row>
    <row r="925" spans="8:8" x14ac:dyDescent="0.25">
      <c r="H925" t="s">
        <v>8709</v>
      </c>
    </row>
    <row r="926" spans="8:8" x14ac:dyDescent="0.25">
      <c r="H926" t="s">
        <v>135</v>
      </c>
    </row>
    <row r="927" spans="8:8" x14ac:dyDescent="0.25">
      <c r="H927" t="s">
        <v>16055</v>
      </c>
    </row>
    <row r="928" spans="8:8" x14ac:dyDescent="0.25">
      <c r="H928" t="s">
        <v>30</v>
      </c>
    </row>
    <row r="929" spans="8:8" x14ac:dyDescent="0.25">
      <c r="H929" t="s">
        <v>136</v>
      </c>
    </row>
    <row r="930" spans="8:8" x14ac:dyDescent="0.25">
      <c r="H930" t="s">
        <v>16056</v>
      </c>
    </row>
    <row r="931" spans="8:8" x14ac:dyDescent="0.25">
      <c r="H931" t="s">
        <v>30</v>
      </c>
    </row>
    <row r="932" spans="8:8" x14ac:dyDescent="0.25">
      <c r="H932" t="s">
        <v>137</v>
      </c>
    </row>
    <row r="933" spans="8:8" x14ac:dyDescent="0.25">
      <c r="H933" t="s">
        <v>16057</v>
      </c>
    </row>
    <row r="934" spans="8:8" x14ac:dyDescent="0.25">
      <c r="H934" t="s">
        <v>30</v>
      </c>
    </row>
    <row r="935" spans="8:8" x14ac:dyDescent="0.25">
      <c r="H935" t="s">
        <v>138</v>
      </c>
    </row>
    <row r="936" spans="8:8" x14ac:dyDescent="0.25">
      <c r="H936" t="s">
        <v>16058</v>
      </c>
    </row>
    <row r="937" spans="8:8" x14ac:dyDescent="0.25">
      <c r="H937" t="s">
        <v>30</v>
      </c>
    </row>
    <row r="939" spans="8:8" x14ac:dyDescent="0.25">
      <c r="H939" t="s">
        <v>8714</v>
      </c>
    </row>
    <row r="940" spans="8:8" x14ac:dyDescent="0.25">
      <c r="H940" t="s">
        <v>8715</v>
      </c>
    </row>
    <row r="941" spans="8:8" x14ac:dyDescent="0.25">
      <c r="H941" t="s">
        <v>135</v>
      </c>
    </row>
    <row r="942" spans="8:8" x14ac:dyDescent="0.25">
      <c r="H942" t="s">
        <v>16059</v>
      </c>
    </row>
    <row r="943" spans="8:8" x14ac:dyDescent="0.25">
      <c r="H943" t="s">
        <v>30</v>
      </c>
    </row>
    <row r="944" spans="8:8" x14ac:dyDescent="0.25">
      <c r="H944" t="s">
        <v>136</v>
      </c>
    </row>
    <row r="945" spans="8:8" x14ac:dyDescent="0.25">
      <c r="H945" t="s">
        <v>16060</v>
      </c>
    </row>
    <row r="946" spans="8:8" x14ac:dyDescent="0.25">
      <c r="H946" t="s">
        <v>30</v>
      </c>
    </row>
    <row r="947" spans="8:8" x14ac:dyDescent="0.25">
      <c r="H947" t="s">
        <v>137</v>
      </c>
    </row>
    <row r="948" spans="8:8" x14ac:dyDescent="0.25">
      <c r="H948" t="s">
        <v>16061</v>
      </c>
    </row>
    <row r="949" spans="8:8" x14ac:dyDescent="0.25">
      <c r="H949" t="s">
        <v>30</v>
      </c>
    </row>
    <row r="950" spans="8:8" x14ac:dyDescent="0.25">
      <c r="H950" t="s">
        <v>138</v>
      </c>
    </row>
    <row r="951" spans="8:8" x14ac:dyDescent="0.25">
      <c r="H951" t="s">
        <v>16062</v>
      </c>
    </row>
    <row r="952" spans="8:8" x14ac:dyDescent="0.25">
      <c r="H952" t="s">
        <v>30</v>
      </c>
    </row>
    <row r="954" spans="8:8" x14ac:dyDescent="0.25">
      <c r="H954" t="s">
        <v>8720</v>
      </c>
    </row>
    <row r="955" spans="8:8" x14ac:dyDescent="0.25">
      <c r="H955" t="s">
        <v>8721</v>
      </c>
    </row>
    <row r="956" spans="8:8" x14ac:dyDescent="0.25">
      <c r="H956" t="s">
        <v>135</v>
      </c>
    </row>
    <row r="957" spans="8:8" x14ac:dyDescent="0.25">
      <c r="H957" t="s">
        <v>16063</v>
      </c>
    </row>
    <row r="958" spans="8:8" x14ac:dyDescent="0.25">
      <c r="H958" t="s">
        <v>30</v>
      </c>
    </row>
    <row r="959" spans="8:8" x14ac:dyDescent="0.25">
      <c r="H959" t="s">
        <v>136</v>
      </c>
    </row>
    <row r="960" spans="8:8" x14ac:dyDescent="0.25">
      <c r="H960" t="s">
        <v>16064</v>
      </c>
    </row>
    <row r="961" spans="8:8" x14ac:dyDescent="0.25">
      <c r="H961" t="s">
        <v>30</v>
      </c>
    </row>
    <row r="962" spans="8:8" x14ac:dyDescent="0.25">
      <c r="H962" t="s">
        <v>137</v>
      </c>
    </row>
    <row r="963" spans="8:8" x14ac:dyDescent="0.25">
      <c r="H963" t="s">
        <v>16065</v>
      </c>
    </row>
    <row r="964" spans="8:8" x14ac:dyDescent="0.25">
      <c r="H964" t="s">
        <v>30</v>
      </c>
    </row>
    <row r="965" spans="8:8" x14ac:dyDescent="0.25">
      <c r="H965" t="s">
        <v>138</v>
      </c>
    </row>
    <row r="966" spans="8:8" x14ac:dyDescent="0.25">
      <c r="H966" t="s">
        <v>16066</v>
      </c>
    </row>
    <row r="967" spans="8:8" x14ac:dyDescent="0.25">
      <c r="H967" t="s">
        <v>30</v>
      </c>
    </row>
    <row r="969" spans="8:8" x14ac:dyDescent="0.25">
      <c r="H969" t="s">
        <v>8726</v>
      </c>
    </row>
    <row r="970" spans="8:8" x14ac:dyDescent="0.25">
      <c r="H970" t="s">
        <v>8727</v>
      </c>
    </row>
    <row r="971" spans="8:8" x14ac:dyDescent="0.25">
      <c r="H971" t="s">
        <v>135</v>
      </c>
    </row>
    <row r="972" spans="8:8" x14ac:dyDescent="0.25">
      <c r="H972" t="s">
        <v>16067</v>
      </c>
    </row>
    <row r="973" spans="8:8" x14ac:dyDescent="0.25">
      <c r="H973" t="s">
        <v>30</v>
      </c>
    </row>
    <row r="974" spans="8:8" x14ac:dyDescent="0.25">
      <c r="H974" t="s">
        <v>136</v>
      </c>
    </row>
    <row r="975" spans="8:8" x14ac:dyDescent="0.25">
      <c r="H975" t="s">
        <v>16068</v>
      </c>
    </row>
    <row r="976" spans="8:8" x14ac:dyDescent="0.25">
      <c r="H976" t="s">
        <v>30</v>
      </c>
    </row>
    <row r="977" spans="8:8" x14ac:dyDescent="0.25">
      <c r="H977" t="s">
        <v>137</v>
      </c>
    </row>
    <row r="978" spans="8:8" x14ac:dyDescent="0.25">
      <c r="H978" t="s">
        <v>16069</v>
      </c>
    </row>
    <row r="979" spans="8:8" x14ac:dyDescent="0.25">
      <c r="H979" t="s">
        <v>30</v>
      </c>
    </row>
    <row r="980" spans="8:8" x14ac:dyDescent="0.25">
      <c r="H980" t="s">
        <v>138</v>
      </c>
    </row>
    <row r="981" spans="8:8" x14ac:dyDescent="0.25">
      <c r="H981" t="s">
        <v>16070</v>
      </c>
    </row>
    <row r="982" spans="8:8" x14ac:dyDescent="0.25">
      <c r="H982" t="s">
        <v>30</v>
      </c>
    </row>
    <row r="984" spans="8:8" x14ac:dyDescent="0.25">
      <c r="H984" t="s">
        <v>8732</v>
      </c>
    </row>
    <row r="985" spans="8:8" x14ac:dyDescent="0.25">
      <c r="H985" t="s">
        <v>8733</v>
      </c>
    </row>
    <row r="986" spans="8:8" x14ac:dyDescent="0.25">
      <c r="H986" t="s">
        <v>135</v>
      </c>
    </row>
    <row r="987" spans="8:8" x14ac:dyDescent="0.25">
      <c r="H987" t="s">
        <v>16071</v>
      </c>
    </row>
    <row r="988" spans="8:8" x14ac:dyDescent="0.25">
      <c r="H988" t="s">
        <v>30</v>
      </c>
    </row>
    <row r="989" spans="8:8" x14ac:dyDescent="0.25">
      <c r="H989" t="s">
        <v>136</v>
      </c>
    </row>
    <row r="990" spans="8:8" x14ac:dyDescent="0.25">
      <c r="H990" t="s">
        <v>16072</v>
      </c>
    </row>
    <row r="991" spans="8:8" x14ac:dyDescent="0.25">
      <c r="H991" t="s">
        <v>30</v>
      </c>
    </row>
    <row r="992" spans="8:8" x14ac:dyDescent="0.25">
      <c r="H992" t="s">
        <v>137</v>
      </c>
    </row>
    <row r="993" spans="8:8" x14ac:dyDescent="0.25">
      <c r="H993" t="s">
        <v>16073</v>
      </c>
    </row>
    <row r="994" spans="8:8" x14ac:dyDescent="0.25">
      <c r="H994" t="s">
        <v>30</v>
      </c>
    </row>
    <row r="995" spans="8:8" x14ac:dyDescent="0.25">
      <c r="H995" t="s">
        <v>138</v>
      </c>
    </row>
    <row r="996" spans="8:8" x14ac:dyDescent="0.25">
      <c r="H996" t="s">
        <v>16074</v>
      </c>
    </row>
    <row r="997" spans="8:8" x14ac:dyDescent="0.25">
      <c r="H997" t="s">
        <v>30</v>
      </c>
    </row>
    <row r="999" spans="8:8" x14ac:dyDescent="0.25">
      <c r="H999" t="s">
        <v>8738</v>
      </c>
    </row>
    <row r="1000" spans="8:8" x14ac:dyDescent="0.25">
      <c r="H1000" t="s">
        <v>8739</v>
      </c>
    </row>
    <row r="1001" spans="8:8" x14ac:dyDescent="0.25">
      <c r="H1001" t="s">
        <v>135</v>
      </c>
    </row>
    <row r="1002" spans="8:8" x14ac:dyDescent="0.25">
      <c r="H1002" t="s">
        <v>16075</v>
      </c>
    </row>
    <row r="1003" spans="8:8" x14ac:dyDescent="0.25">
      <c r="H1003" t="s">
        <v>30</v>
      </c>
    </row>
    <row r="1004" spans="8:8" x14ac:dyDescent="0.25">
      <c r="H1004" t="s">
        <v>136</v>
      </c>
    </row>
    <row r="1005" spans="8:8" x14ac:dyDescent="0.25">
      <c r="H1005" t="s">
        <v>16076</v>
      </c>
    </row>
    <row r="1006" spans="8:8" x14ac:dyDescent="0.25">
      <c r="H1006" t="s">
        <v>30</v>
      </c>
    </row>
    <row r="1007" spans="8:8" x14ac:dyDescent="0.25">
      <c r="H1007" t="s">
        <v>137</v>
      </c>
    </row>
    <row r="1008" spans="8:8" x14ac:dyDescent="0.25">
      <c r="H1008" t="s">
        <v>16077</v>
      </c>
    </row>
    <row r="1009" spans="8:8" x14ac:dyDescent="0.25">
      <c r="H1009" t="s">
        <v>30</v>
      </c>
    </row>
    <row r="1010" spans="8:8" x14ac:dyDescent="0.25">
      <c r="H1010" t="s">
        <v>138</v>
      </c>
    </row>
    <row r="1011" spans="8:8" x14ac:dyDescent="0.25">
      <c r="H1011" t="s">
        <v>16078</v>
      </c>
    </row>
    <row r="1012" spans="8:8" x14ac:dyDescent="0.25">
      <c r="H1012" t="s">
        <v>30</v>
      </c>
    </row>
    <row r="1014" spans="8:8" x14ac:dyDescent="0.25">
      <c r="H1014" t="s">
        <v>8744</v>
      </c>
    </row>
    <row r="1015" spans="8:8" x14ac:dyDescent="0.25">
      <c r="H1015" t="s">
        <v>8745</v>
      </c>
    </row>
    <row r="1016" spans="8:8" x14ac:dyDescent="0.25">
      <c r="H1016" t="s">
        <v>135</v>
      </c>
    </row>
    <row r="1017" spans="8:8" x14ac:dyDescent="0.25">
      <c r="H1017" t="s">
        <v>16079</v>
      </c>
    </row>
    <row r="1018" spans="8:8" x14ac:dyDescent="0.25">
      <c r="H1018" t="s">
        <v>30</v>
      </c>
    </row>
    <row r="1019" spans="8:8" x14ac:dyDescent="0.25">
      <c r="H1019" t="s">
        <v>136</v>
      </c>
    </row>
    <row r="1020" spans="8:8" x14ac:dyDescent="0.25">
      <c r="H1020" t="s">
        <v>16080</v>
      </c>
    </row>
    <row r="1021" spans="8:8" x14ac:dyDescent="0.25">
      <c r="H1021" t="s">
        <v>30</v>
      </c>
    </row>
    <row r="1022" spans="8:8" x14ac:dyDescent="0.25">
      <c r="H1022" t="s">
        <v>137</v>
      </c>
    </row>
    <row r="1023" spans="8:8" x14ac:dyDescent="0.25">
      <c r="H1023" t="s">
        <v>16081</v>
      </c>
    </row>
    <row r="1024" spans="8:8" x14ac:dyDescent="0.25">
      <c r="H1024" t="s">
        <v>30</v>
      </c>
    </row>
    <row r="1025" spans="8:8" x14ac:dyDescent="0.25">
      <c r="H1025" t="s">
        <v>138</v>
      </c>
    </row>
    <row r="1026" spans="8:8" x14ac:dyDescent="0.25">
      <c r="H1026" t="s">
        <v>16082</v>
      </c>
    </row>
    <row r="1027" spans="8:8" x14ac:dyDescent="0.25">
      <c r="H1027" t="s">
        <v>30</v>
      </c>
    </row>
    <row r="1029" spans="8:8" x14ac:dyDescent="0.25">
      <c r="H1029" t="s">
        <v>8750</v>
      </c>
    </row>
    <row r="1030" spans="8:8" x14ac:dyDescent="0.25">
      <c r="H1030" t="s">
        <v>8751</v>
      </c>
    </row>
    <row r="1031" spans="8:8" x14ac:dyDescent="0.25">
      <c r="H1031" t="s">
        <v>135</v>
      </c>
    </row>
    <row r="1032" spans="8:8" x14ac:dyDescent="0.25">
      <c r="H1032" t="s">
        <v>16083</v>
      </c>
    </row>
    <row r="1033" spans="8:8" x14ac:dyDescent="0.25">
      <c r="H1033" t="s">
        <v>30</v>
      </c>
    </row>
    <row r="1034" spans="8:8" x14ac:dyDescent="0.25">
      <c r="H1034" t="s">
        <v>136</v>
      </c>
    </row>
    <row r="1035" spans="8:8" x14ac:dyDescent="0.25">
      <c r="H1035" t="s">
        <v>16084</v>
      </c>
    </row>
    <row r="1036" spans="8:8" x14ac:dyDescent="0.25">
      <c r="H1036" t="s">
        <v>30</v>
      </c>
    </row>
    <row r="1037" spans="8:8" x14ac:dyDescent="0.25">
      <c r="H1037" t="s">
        <v>137</v>
      </c>
    </row>
    <row r="1038" spans="8:8" x14ac:dyDescent="0.25">
      <c r="H1038" t="s">
        <v>16085</v>
      </c>
    </row>
    <row r="1039" spans="8:8" x14ac:dyDescent="0.25">
      <c r="H1039" t="s">
        <v>30</v>
      </c>
    </row>
    <row r="1040" spans="8:8" x14ac:dyDescent="0.25">
      <c r="H1040" t="s">
        <v>138</v>
      </c>
    </row>
    <row r="1041" spans="8:8" x14ac:dyDescent="0.25">
      <c r="H1041" t="s">
        <v>16086</v>
      </c>
    </row>
    <row r="1042" spans="8:8" x14ac:dyDescent="0.25">
      <c r="H1042" t="s">
        <v>30</v>
      </c>
    </row>
    <row r="1044" spans="8:8" x14ac:dyDescent="0.25">
      <c r="H1044" t="s">
        <v>8756</v>
      </c>
    </row>
    <row r="1045" spans="8:8" x14ac:dyDescent="0.25">
      <c r="H1045" t="s">
        <v>8757</v>
      </c>
    </row>
    <row r="1046" spans="8:8" x14ac:dyDescent="0.25">
      <c r="H1046" t="s">
        <v>135</v>
      </c>
    </row>
    <row r="1047" spans="8:8" x14ac:dyDescent="0.25">
      <c r="H1047" t="s">
        <v>16087</v>
      </c>
    </row>
    <row r="1048" spans="8:8" x14ac:dyDescent="0.25">
      <c r="H1048" t="s">
        <v>30</v>
      </c>
    </row>
    <row r="1049" spans="8:8" x14ac:dyDescent="0.25">
      <c r="H1049" t="s">
        <v>136</v>
      </c>
    </row>
    <row r="1050" spans="8:8" x14ac:dyDescent="0.25">
      <c r="H1050" t="s">
        <v>16088</v>
      </c>
    </row>
    <row r="1051" spans="8:8" x14ac:dyDescent="0.25">
      <c r="H1051" t="s">
        <v>30</v>
      </c>
    </row>
    <row r="1052" spans="8:8" x14ac:dyDescent="0.25">
      <c r="H1052" t="s">
        <v>137</v>
      </c>
    </row>
    <row r="1053" spans="8:8" x14ac:dyDescent="0.25">
      <c r="H1053" t="s">
        <v>16089</v>
      </c>
    </row>
    <row r="1054" spans="8:8" x14ac:dyDescent="0.25">
      <c r="H1054" t="s">
        <v>30</v>
      </c>
    </row>
    <row r="1055" spans="8:8" x14ac:dyDescent="0.25">
      <c r="H1055" t="s">
        <v>138</v>
      </c>
    </row>
    <row r="1056" spans="8:8" x14ac:dyDescent="0.25">
      <c r="H1056" t="s">
        <v>16090</v>
      </c>
    </row>
    <row r="1057" spans="8:8" x14ac:dyDescent="0.25">
      <c r="H1057" t="s">
        <v>30</v>
      </c>
    </row>
    <row r="1059" spans="8:8" x14ac:dyDescent="0.25">
      <c r="H1059" t="s">
        <v>8762</v>
      </c>
    </row>
    <row r="1060" spans="8:8" x14ac:dyDescent="0.25">
      <c r="H1060" t="s">
        <v>8763</v>
      </c>
    </row>
    <row r="1061" spans="8:8" x14ac:dyDescent="0.25">
      <c r="H1061" t="s">
        <v>135</v>
      </c>
    </row>
    <row r="1062" spans="8:8" x14ac:dyDescent="0.25">
      <c r="H1062" t="s">
        <v>16091</v>
      </c>
    </row>
    <row r="1063" spans="8:8" x14ac:dyDescent="0.25">
      <c r="H1063" t="s">
        <v>30</v>
      </c>
    </row>
    <row r="1064" spans="8:8" x14ac:dyDescent="0.25">
      <c r="H1064" t="s">
        <v>136</v>
      </c>
    </row>
    <row r="1065" spans="8:8" x14ac:dyDescent="0.25">
      <c r="H1065" t="s">
        <v>16092</v>
      </c>
    </row>
    <row r="1066" spans="8:8" x14ac:dyDescent="0.25">
      <c r="H1066" t="s">
        <v>30</v>
      </c>
    </row>
    <row r="1067" spans="8:8" x14ac:dyDescent="0.25">
      <c r="H1067" t="s">
        <v>137</v>
      </c>
    </row>
    <row r="1068" spans="8:8" x14ac:dyDescent="0.25">
      <c r="H1068" t="s">
        <v>16093</v>
      </c>
    </row>
    <row r="1069" spans="8:8" x14ac:dyDescent="0.25">
      <c r="H1069" t="s">
        <v>30</v>
      </c>
    </row>
    <row r="1070" spans="8:8" x14ac:dyDescent="0.25">
      <c r="H1070" t="s">
        <v>138</v>
      </c>
    </row>
    <row r="1071" spans="8:8" x14ac:dyDescent="0.25">
      <c r="H1071" t="s">
        <v>16094</v>
      </c>
    </row>
    <row r="1072" spans="8:8" x14ac:dyDescent="0.25">
      <c r="H1072" t="s">
        <v>30</v>
      </c>
    </row>
    <row r="1074" spans="8:8" x14ac:dyDescent="0.25">
      <c r="H1074" t="s">
        <v>8768</v>
      </c>
    </row>
    <row r="1075" spans="8:8" x14ac:dyDescent="0.25">
      <c r="H1075" t="s">
        <v>8769</v>
      </c>
    </row>
    <row r="1076" spans="8:8" x14ac:dyDescent="0.25">
      <c r="H1076" t="s">
        <v>135</v>
      </c>
    </row>
    <row r="1077" spans="8:8" x14ac:dyDescent="0.25">
      <c r="H1077" t="s">
        <v>16095</v>
      </c>
    </row>
    <row r="1078" spans="8:8" x14ac:dyDescent="0.25">
      <c r="H1078" t="s">
        <v>30</v>
      </c>
    </row>
    <row r="1079" spans="8:8" x14ac:dyDescent="0.25">
      <c r="H1079" t="s">
        <v>136</v>
      </c>
    </row>
    <row r="1080" spans="8:8" x14ac:dyDescent="0.25">
      <c r="H1080" t="s">
        <v>16096</v>
      </c>
    </row>
    <row r="1081" spans="8:8" x14ac:dyDescent="0.25">
      <c r="H1081" t="s">
        <v>30</v>
      </c>
    </row>
    <row r="1082" spans="8:8" x14ac:dyDescent="0.25">
      <c r="H1082" t="s">
        <v>137</v>
      </c>
    </row>
    <row r="1083" spans="8:8" x14ac:dyDescent="0.25">
      <c r="H1083" t="s">
        <v>16097</v>
      </c>
    </row>
    <row r="1084" spans="8:8" x14ac:dyDescent="0.25">
      <c r="H1084" t="s">
        <v>30</v>
      </c>
    </row>
    <row r="1085" spans="8:8" x14ac:dyDescent="0.25">
      <c r="H1085" t="s">
        <v>138</v>
      </c>
    </row>
    <row r="1086" spans="8:8" x14ac:dyDescent="0.25">
      <c r="H1086" t="s">
        <v>16098</v>
      </c>
    </row>
    <row r="1087" spans="8:8" x14ac:dyDescent="0.25">
      <c r="H1087" t="s">
        <v>30</v>
      </c>
    </row>
    <row r="1089" spans="8:8" x14ac:dyDescent="0.25">
      <c r="H1089" t="s">
        <v>8774</v>
      </c>
    </row>
    <row r="1090" spans="8:8" x14ac:dyDescent="0.25">
      <c r="H1090" t="s">
        <v>8775</v>
      </c>
    </row>
    <row r="1091" spans="8:8" x14ac:dyDescent="0.25">
      <c r="H1091" t="s">
        <v>135</v>
      </c>
    </row>
    <row r="1092" spans="8:8" x14ac:dyDescent="0.25">
      <c r="H1092" t="s">
        <v>16099</v>
      </c>
    </row>
    <row r="1093" spans="8:8" x14ac:dyDescent="0.25">
      <c r="H1093" t="s">
        <v>30</v>
      </c>
    </row>
    <row r="1094" spans="8:8" x14ac:dyDescent="0.25">
      <c r="H1094" t="s">
        <v>136</v>
      </c>
    </row>
    <row r="1095" spans="8:8" x14ac:dyDescent="0.25">
      <c r="H1095" t="s">
        <v>16100</v>
      </c>
    </row>
    <row r="1096" spans="8:8" x14ac:dyDescent="0.25">
      <c r="H1096" t="s">
        <v>30</v>
      </c>
    </row>
    <row r="1097" spans="8:8" x14ac:dyDescent="0.25">
      <c r="H1097" t="s">
        <v>137</v>
      </c>
    </row>
    <row r="1098" spans="8:8" x14ac:dyDescent="0.25">
      <c r="H1098" t="s">
        <v>16101</v>
      </c>
    </row>
    <row r="1099" spans="8:8" x14ac:dyDescent="0.25">
      <c r="H1099" t="s">
        <v>30</v>
      </c>
    </row>
    <row r="1100" spans="8:8" x14ac:dyDescent="0.25">
      <c r="H1100" t="s">
        <v>138</v>
      </c>
    </row>
    <row r="1101" spans="8:8" x14ac:dyDescent="0.25">
      <c r="H1101" t="s">
        <v>16102</v>
      </c>
    </row>
    <row r="1102" spans="8:8" x14ac:dyDescent="0.25">
      <c r="H1102" t="s">
        <v>30</v>
      </c>
    </row>
    <row r="1104" spans="8:8" x14ac:dyDescent="0.25">
      <c r="H1104" t="s">
        <v>8780</v>
      </c>
    </row>
    <row r="1105" spans="8:8" x14ac:dyDescent="0.25">
      <c r="H1105" t="s">
        <v>8781</v>
      </c>
    </row>
    <row r="1106" spans="8:8" x14ac:dyDescent="0.25">
      <c r="H1106" t="s">
        <v>135</v>
      </c>
    </row>
    <row r="1107" spans="8:8" x14ac:dyDescent="0.25">
      <c r="H1107" t="s">
        <v>16103</v>
      </c>
    </row>
    <row r="1108" spans="8:8" x14ac:dyDescent="0.25">
      <c r="H1108" t="s">
        <v>30</v>
      </c>
    </row>
    <row r="1109" spans="8:8" x14ac:dyDescent="0.25">
      <c r="H1109" t="s">
        <v>136</v>
      </c>
    </row>
    <row r="1110" spans="8:8" x14ac:dyDescent="0.25">
      <c r="H1110" t="s">
        <v>16104</v>
      </c>
    </row>
    <row r="1111" spans="8:8" x14ac:dyDescent="0.25">
      <c r="H1111" t="s">
        <v>30</v>
      </c>
    </row>
    <row r="1112" spans="8:8" x14ac:dyDescent="0.25">
      <c r="H1112" t="s">
        <v>137</v>
      </c>
    </row>
    <row r="1113" spans="8:8" x14ac:dyDescent="0.25">
      <c r="H1113" t="s">
        <v>16105</v>
      </c>
    </row>
    <row r="1114" spans="8:8" x14ac:dyDescent="0.25">
      <c r="H1114" t="s">
        <v>30</v>
      </c>
    </row>
    <row r="1115" spans="8:8" x14ac:dyDescent="0.25">
      <c r="H1115" t="s">
        <v>138</v>
      </c>
    </row>
    <row r="1116" spans="8:8" x14ac:dyDescent="0.25">
      <c r="H1116" t="s">
        <v>16106</v>
      </c>
    </row>
    <row r="1117" spans="8:8" x14ac:dyDescent="0.25">
      <c r="H1117" t="s">
        <v>30</v>
      </c>
    </row>
    <row r="1119" spans="8:8" x14ac:dyDescent="0.25">
      <c r="H1119" t="s">
        <v>8786</v>
      </c>
    </row>
    <row r="1120" spans="8:8" x14ac:dyDescent="0.25">
      <c r="H1120" t="s">
        <v>8787</v>
      </c>
    </row>
    <row r="1121" spans="8:8" x14ac:dyDescent="0.25">
      <c r="H1121" t="s">
        <v>135</v>
      </c>
    </row>
    <row r="1122" spans="8:8" x14ac:dyDescent="0.25">
      <c r="H1122" t="s">
        <v>16107</v>
      </c>
    </row>
    <row r="1123" spans="8:8" x14ac:dyDescent="0.25">
      <c r="H1123" t="s">
        <v>30</v>
      </c>
    </row>
    <row r="1124" spans="8:8" x14ac:dyDescent="0.25">
      <c r="H1124" t="s">
        <v>136</v>
      </c>
    </row>
    <row r="1125" spans="8:8" x14ac:dyDescent="0.25">
      <c r="H1125" t="s">
        <v>16108</v>
      </c>
    </row>
    <row r="1126" spans="8:8" x14ac:dyDescent="0.25">
      <c r="H1126" t="s">
        <v>30</v>
      </c>
    </row>
    <row r="1127" spans="8:8" x14ac:dyDescent="0.25">
      <c r="H1127" t="s">
        <v>137</v>
      </c>
    </row>
    <row r="1128" spans="8:8" x14ac:dyDescent="0.25">
      <c r="H1128" t="s">
        <v>16109</v>
      </c>
    </row>
    <row r="1129" spans="8:8" x14ac:dyDescent="0.25">
      <c r="H1129" t="s">
        <v>30</v>
      </c>
    </row>
    <row r="1130" spans="8:8" x14ac:dyDescent="0.25">
      <c r="H1130" t="s">
        <v>138</v>
      </c>
    </row>
    <row r="1131" spans="8:8" x14ac:dyDescent="0.25">
      <c r="H1131" t="s">
        <v>16110</v>
      </c>
    </row>
    <row r="1132" spans="8:8" x14ac:dyDescent="0.25">
      <c r="H1132" t="s">
        <v>30</v>
      </c>
    </row>
    <row r="1134" spans="8:8" x14ac:dyDescent="0.25">
      <c r="H1134" t="s">
        <v>8792</v>
      </c>
    </row>
    <row r="1135" spans="8:8" x14ac:dyDescent="0.25">
      <c r="H1135" t="s">
        <v>8793</v>
      </c>
    </row>
    <row r="1136" spans="8:8" x14ac:dyDescent="0.25">
      <c r="H1136" t="s">
        <v>135</v>
      </c>
    </row>
    <row r="1137" spans="8:8" x14ac:dyDescent="0.25">
      <c r="H1137" t="s">
        <v>16111</v>
      </c>
    </row>
    <row r="1138" spans="8:8" x14ac:dyDescent="0.25">
      <c r="H1138" t="s">
        <v>30</v>
      </c>
    </row>
    <row r="1139" spans="8:8" x14ac:dyDescent="0.25">
      <c r="H1139" t="s">
        <v>136</v>
      </c>
    </row>
    <row r="1140" spans="8:8" x14ac:dyDescent="0.25">
      <c r="H1140" t="s">
        <v>16112</v>
      </c>
    </row>
    <row r="1141" spans="8:8" x14ac:dyDescent="0.25">
      <c r="H1141" t="s">
        <v>30</v>
      </c>
    </row>
    <row r="1142" spans="8:8" x14ac:dyDescent="0.25">
      <c r="H1142" t="s">
        <v>137</v>
      </c>
    </row>
    <row r="1143" spans="8:8" x14ac:dyDescent="0.25">
      <c r="H1143" t="s">
        <v>16113</v>
      </c>
    </row>
    <row r="1144" spans="8:8" x14ac:dyDescent="0.25">
      <c r="H1144" t="s">
        <v>30</v>
      </c>
    </row>
    <row r="1145" spans="8:8" x14ac:dyDescent="0.25">
      <c r="H1145" t="s">
        <v>138</v>
      </c>
    </row>
    <row r="1146" spans="8:8" x14ac:dyDescent="0.25">
      <c r="H1146" t="s">
        <v>16114</v>
      </c>
    </row>
    <row r="1147" spans="8:8" x14ac:dyDescent="0.25">
      <c r="H1147" t="s">
        <v>30</v>
      </c>
    </row>
    <row r="1149" spans="8:8" x14ac:dyDescent="0.25">
      <c r="H1149" t="s">
        <v>8798</v>
      </c>
    </row>
    <row r="1150" spans="8:8" x14ac:dyDescent="0.25">
      <c r="H1150" t="s">
        <v>8799</v>
      </c>
    </row>
    <row r="1151" spans="8:8" x14ac:dyDescent="0.25">
      <c r="H1151" t="s">
        <v>135</v>
      </c>
    </row>
    <row r="1152" spans="8:8" x14ac:dyDescent="0.25">
      <c r="H1152" t="s">
        <v>16115</v>
      </c>
    </row>
    <row r="1153" spans="8:8" x14ac:dyDescent="0.25">
      <c r="H1153" t="s">
        <v>30</v>
      </c>
    </row>
    <row r="1154" spans="8:8" x14ac:dyDescent="0.25">
      <c r="H1154" t="s">
        <v>136</v>
      </c>
    </row>
    <row r="1155" spans="8:8" x14ac:dyDescent="0.25">
      <c r="H1155" t="s">
        <v>16116</v>
      </c>
    </row>
    <row r="1156" spans="8:8" x14ac:dyDescent="0.25">
      <c r="H1156" t="s">
        <v>30</v>
      </c>
    </row>
    <row r="1157" spans="8:8" x14ac:dyDescent="0.25">
      <c r="H1157" t="s">
        <v>137</v>
      </c>
    </row>
    <row r="1158" spans="8:8" x14ac:dyDescent="0.25">
      <c r="H1158" t="s">
        <v>16117</v>
      </c>
    </row>
    <row r="1159" spans="8:8" x14ac:dyDescent="0.25">
      <c r="H1159" t="s">
        <v>30</v>
      </c>
    </row>
    <row r="1160" spans="8:8" x14ac:dyDescent="0.25">
      <c r="H1160" t="s">
        <v>138</v>
      </c>
    </row>
    <row r="1161" spans="8:8" x14ac:dyDescent="0.25">
      <c r="H1161" t="s">
        <v>16118</v>
      </c>
    </row>
    <row r="1162" spans="8:8" x14ac:dyDescent="0.25">
      <c r="H1162" t="s">
        <v>30</v>
      </c>
    </row>
    <row r="1164" spans="8:8" x14ac:dyDescent="0.25">
      <c r="H1164" t="s">
        <v>8804</v>
      </c>
    </row>
    <row r="1165" spans="8:8" x14ac:dyDescent="0.25">
      <c r="H1165" t="s">
        <v>8805</v>
      </c>
    </row>
    <row r="1166" spans="8:8" x14ac:dyDescent="0.25">
      <c r="H1166" t="s">
        <v>135</v>
      </c>
    </row>
    <row r="1167" spans="8:8" x14ac:dyDescent="0.25">
      <c r="H1167" t="s">
        <v>16119</v>
      </c>
    </row>
    <row r="1168" spans="8:8" x14ac:dyDescent="0.25">
      <c r="H1168" t="s">
        <v>30</v>
      </c>
    </row>
    <row r="1169" spans="8:8" x14ac:dyDescent="0.25">
      <c r="H1169" t="s">
        <v>136</v>
      </c>
    </row>
    <row r="1170" spans="8:8" x14ac:dyDescent="0.25">
      <c r="H1170" t="s">
        <v>16120</v>
      </c>
    </row>
    <row r="1171" spans="8:8" x14ac:dyDescent="0.25">
      <c r="H1171" t="s">
        <v>30</v>
      </c>
    </row>
    <row r="1172" spans="8:8" x14ac:dyDescent="0.25">
      <c r="H1172" t="s">
        <v>137</v>
      </c>
    </row>
    <row r="1173" spans="8:8" x14ac:dyDescent="0.25">
      <c r="H1173" t="s">
        <v>16121</v>
      </c>
    </row>
    <row r="1174" spans="8:8" x14ac:dyDescent="0.25">
      <c r="H1174" t="s">
        <v>30</v>
      </c>
    </row>
    <row r="1175" spans="8:8" x14ac:dyDescent="0.25">
      <c r="H1175" t="s">
        <v>138</v>
      </c>
    </row>
    <row r="1176" spans="8:8" x14ac:dyDescent="0.25">
      <c r="H1176" t="s">
        <v>16122</v>
      </c>
    </row>
    <row r="1177" spans="8:8" x14ac:dyDescent="0.25">
      <c r="H1177" t="s">
        <v>30</v>
      </c>
    </row>
    <row r="1179" spans="8:8" x14ac:dyDescent="0.25">
      <c r="H1179" t="s">
        <v>8810</v>
      </c>
    </row>
    <row r="1180" spans="8:8" x14ac:dyDescent="0.25">
      <c r="H1180" t="s">
        <v>8811</v>
      </c>
    </row>
    <row r="1181" spans="8:8" x14ac:dyDescent="0.25">
      <c r="H1181" t="s">
        <v>135</v>
      </c>
    </row>
    <row r="1182" spans="8:8" x14ac:dyDescent="0.25">
      <c r="H1182" t="s">
        <v>16123</v>
      </c>
    </row>
    <row r="1183" spans="8:8" x14ac:dyDescent="0.25">
      <c r="H1183" t="s">
        <v>30</v>
      </c>
    </row>
    <row r="1184" spans="8:8" x14ac:dyDescent="0.25">
      <c r="H1184" t="s">
        <v>136</v>
      </c>
    </row>
    <row r="1185" spans="8:8" x14ac:dyDescent="0.25">
      <c r="H1185" t="s">
        <v>16124</v>
      </c>
    </row>
    <row r="1186" spans="8:8" x14ac:dyDescent="0.25">
      <c r="H1186" t="s">
        <v>30</v>
      </c>
    </row>
    <row r="1187" spans="8:8" x14ac:dyDescent="0.25">
      <c r="H1187" t="s">
        <v>137</v>
      </c>
    </row>
    <row r="1188" spans="8:8" x14ac:dyDescent="0.25">
      <c r="H1188" t="s">
        <v>16125</v>
      </c>
    </row>
    <row r="1189" spans="8:8" x14ac:dyDescent="0.25">
      <c r="H1189" t="s">
        <v>30</v>
      </c>
    </row>
    <row r="1190" spans="8:8" x14ac:dyDescent="0.25">
      <c r="H1190" t="s">
        <v>138</v>
      </c>
    </row>
    <row r="1191" spans="8:8" x14ac:dyDescent="0.25">
      <c r="H1191" t="s">
        <v>16126</v>
      </c>
    </row>
    <row r="1192" spans="8:8" x14ac:dyDescent="0.25">
      <c r="H1192" t="s">
        <v>30</v>
      </c>
    </row>
    <row r="1194" spans="8:8" x14ac:dyDescent="0.25">
      <c r="H1194" t="s">
        <v>8816</v>
      </c>
    </row>
    <row r="1195" spans="8:8" x14ac:dyDescent="0.25">
      <c r="H1195" t="s">
        <v>8817</v>
      </c>
    </row>
    <row r="1196" spans="8:8" x14ac:dyDescent="0.25">
      <c r="H1196" t="s">
        <v>135</v>
      </c>
    </row>
    <row r="1197" spans="8:8" x14ac:dyDescent="0.25">
      <c r="H1197" t="s">
        <v>16127</v>
      </c>
    </row>
    <row r="1198" spans="8:8" x14ac:dyDescent="0.25">
      <c r="H1198" t="s">
        <v>30</v>
      </c>
    </row>
    <row r="1199" spans="8:8" x14ac:dyDescent="0.25">
      <c r="H1199" t="s">
        <v>136</v>
      </c>
    </row>
    <row r="1200" spans="8:8" x14ac:dyDescent="0.25">
      <c r="H1200" t="s">
        <v>16128</v>
      </c>
    </row>
    <row r="1201" spans="8:8" x14ac:dyDescent="0.25">
      <c r="H1201" t="s">
        <v>30</v>
      </c>
    </row>
    <row r="1202" spans="8:8" x14ac:dyDescent="0.25">
      <c r="H1202" t="s">
        <v>137</v>
      </c>
    </row>
    <row r="1203" spans="8:8" x14ac:dyDescent="0.25">
      <c r="H1203" t="s">
        <v>16129</v>
      </c>
    </row>
    <row r="1204" spans="8:8" x14ac:dyDescent="0.25">
      <c r="H1204" t="s">
        <v>30</v>
      </c>
    </row>
    <row r="1205" spans="8:8" x14ac:dyDescent="0.25">
      <c r="H1205" t="s">
        <v>138</v>
      </c>
    </row>
    <row r="1206" spans="8:8" x14ac:dyDescent="0.25">
      <c r="H1206" t="s">
        <v>16130</v>
      </c>
    </row>
    <row r="1207" spans="8:8" x14ac:dyDescent="0.25">
      <c r="H1207" t="s">
        <v>30</v>
      </c>
    </row>
    <row r="1209" spans="8:8" x14ac:dyDescent="0.25">
      <c r="H1209" t="s">
        <v>8822</v>
      </c>
    </row>
    <row r="1210" spans="8:8" x14ac:dyDescent="0.25">
      <c r="H1210" t="s">
        <v>8823</v>
      </c>
    </row>
    <row r="1211" spans="8:8" x14ac:dyDescent="0.25">
      <c r="H1211" t="s">
        <v>135</v>
      </c>
    </row>
    <row r="1212" spans="8:8" x14ac:dyDescent="0.25">
      <c r="H1212" t="s">
        <v>16131</v>
      </c>
    </row>
    <row r="1213" spans="8:8" x14ac:dyDescent="0.25">
      <c r="H1213" t="s">
        <v>30</v>
      </c>
    </row>
    <row r="1214" spans="8:8" x14ac:dyDescent="0.25">
      <c r="H1214" t="s">
        <v>136</v>
      </c>
    </row>
    <row r="1215" spans="8:8" x14ac:dyDescent="0.25">
      <c r="H1215" t="s">
        <v>16132</v>
      </c>
    </row>
    <row r="1216" spans="8:8" x14ac:dyDescent="0.25">
      <c r="H1216" t="s">
        <v>30</v>
      </c>
    </row>
    <row r="1217" spans="8:8" x14ac:dyDescent="0.25">
      <c r="H1217" t="s">
        <v>137</v>
      </c>
    </row>
    <row r="1218" spans="8:8" x14ac:dyDescent="0.25">
      <c r="H1218" t="s">
        <v>16133</v>
      </c>
    </row>
    <row r="1219" spans="8:8" x14ac:dyDescent="0.25">
      <c r="H1219" t="s">
        <v>30</v>
      </c>
    </row>
    <row r="1220" spans="8:8" x14ac:dyDescent="0.25">
      <c r="H1220" t="s">
        <v>138</v>
      </c>
    </row>
    <row r="1221" spans="8:8" x14ac:dyDescent="0.25">
      <c r="H1221" t="s">
        <v>16134</v>
      </c>
    </row>
    <row r="1222" spans="8:8" x14ac:dyDescent="0.25">
      <c r="H1222" t="s">
        <v>30</v>
      </c>
    </row>
    <row r="1224" spans="8:8" x14ac:dyDescent="0.25">
      <c r="H1224" t="s">
        <v>8828</v>
      </c>
    </row>
    <row r="1225" spans="8:8" x14ac:dyDescent="0.25">
      <c r="H1225" t="s">
        <v>8829</v>
      </c>
    </row>
    <row r="1226" spans="8:8" x14ac:dyDescent="0.25">
      <c r="H1226" t="s">
        <v>135</v>
      </c>
    </row>
    <row r="1227" spans="8:8" x14ac:dyDescent="0.25">
      <c r="H1227" t="s">
        <v>16135</v>
      </c>
    </row>
    <row r="1228" spans="8:8" x14ac:dyDescent="0.25">
      <c r="H1228" t="s">
        <v>30</v>
      </c>
    </row>
    <row r="1229" spans="8:8" x14ac:dyDescent="0.25">
      <c r="H1229" t="s">
        <v>136</v>
      </c>
    </row>
    <row r="1230" spans="8:8" x14ac:dyDescent="0.25">
      <c r="H1230" t="s">
        <v>16136</v>
      </c>
    </row>
    <row r="1231" spans="8:8" x14ac:dyDescent="0.25">
      <c r="H1231" t="s">
        <v>30</v>
      </c>
    </row>
    <row r="1232" spans="8:8" x14ac:dyDescent="0.25">
      <c r="H1232" t="s">
        <v>137</v>
      </c>
    </row>
    <row r="1233" spans="8:8" x14ac:dyDescent="0.25">
      <c r="H1233" t="s">
        <v>16137</v>
      </c>
    </row>
    <row r="1234" spans="8:8" x14ac:dyDescent="0.25">
      <c r="H1234" t="s">
        <v>30</v>
      </c>
    </row>
    <row r="1235" spans="8:8" x14ac:dyDescent="0.25">
      <c r="H1235" t="s">
        <v>138</v>
      </c>
    </row>
    <row r="1236" spans="8:8" x14ac:dyDescent="0.25">
      <c r="H1236" t="s">
        <v>16138</v>
      </c>
    </row>
    <row r="1237" spans="8:8" x14ac:dyDescent="0.25">
      <c r="H1237" t="s">
        <v>30</v>
      </c>
    </row>
    <row r="1239" spans="8:8" x14ac:dyDescent="0.25">
      <c r="H1239" t="s">
        <v>8834</v>
      </c>
    </row>
    <row r="1240" spans="8:8" x14ac:dyDescent="0.25">
      <c r="H1240" t="s">
        <v>8835</v>
      </c>
    </row>
    <row r="1241" spans="8:8" x14ac:dyDescent="0.25">
      <c r="H1241" t="s">
        <v>135</v>
      </c>
    </row>
    <row r="1242" spans="8:8" x14ac:dyDescent="0.25">
      <c r="H1242" t="s">
        <v>16139</v>
      </c>
    </row>
    <row r="1243" spans="8:8" x14ac:dyDescent="0.25">
      <c r="H1243" t="s">
        <v>30</v>
      </c>
    </row>
    <row r="1245" spans="8:8" x14ac:dyDescent="0.25">
      <c r="H1245" t="s">
        <v>8837</v>
      </c>
    </row>
    <row r="1246" spans="8:8" x14ac:dyDescent="0.25">
      <c r="H1246" t="s">
        <v>8838</v>
      </c>
    </row>
    <row r="1247" spans="8:8" x14ac:dyDescent="0.25">
      <c r="H1247" t="s">
        <v>135</v>
      </c>
    </row>
    <row r="1248" spans="8:8" x14ac:dyDescent="0.25">
      <c r="H1248" t="s">
        <v>16140</v>
      </c>
    </row>
    <row r="1249" spans="8:8" x14ac:dyDescent="0.25">
      <c r="H1249" t="s">
        <v>30</v>
      </c>
    </row>
    <row r="1251" spans="8:8" x14ac:dyDescent="0.25">
      <c r="H1251" t="s">
        <v>8840</v>
      </c>
    </row>
    <row r="1252" spans="8:8" x14ac:dyDescent="0.25">
      <c r="H1252" t="s">
        <v>8841</v>
      </c>
    </row>
    <row r="1253" spans="8:8" x14ac:dyDescent="0.25">
      <c r="H1253" t="s">
        <v>135</v>
      </c>
    </row>
    <row r="1254" spans="8:8" x14ac:dyDescent="0.25">
      <c r="H1254" t="s">
        <v>16141</v>
      </c>
    </row>
    <row r="1255" spans="8:8" x14ac:dyDescent="0.25">
      <c r="H1255" t="s">
        <v>30</v>
      </c>
    </row>
    <row r="1257" spans="8:8" x14ac:dyDescent="0.25">
      <c r="H1257" t="s">
        <v>8843</v>
      </c>
    </row>
    <row r="1258" spans="8:8" x14ac:dyDescent="0.25">
      <c r="H1258" t="s">
        <v>8844</v>
      </c>
    </row>
    <row r="1259" spans="8:8" x14ac:dyDescent="0.25">
      <c r="H1259" t="s">
        <v>135</v>
      </c>
    </row>
    <row r="1260" spans="8:8" x14ac:dyDescent="0.25">
      <c r="H1260" t="s">
        <v>16142</v>
      </c>
    </row>
    <row r="1261" spans="8:8" x14ac:dyDescent="0.25">
      <c r="H1261" t="s">
        <v>30</v>
      </c>
    </row>
    <row r="1263" spans="8:8" x14ac:dyDescent="0.25">
      <c r="H1263" t="s">
        <v>8846</v>
      </c>
    </row>
    <row r="1264" spans="8:8" x14ac:dyDescent="0.25">
      <c r="H1264" t="s">
        <v>8847</v>
      </c>
    </row>
    <row r="1265" spans="8:8" x14ac:dyDescent="0.25">
      <c r="H1265" t="s">
        <v>135</v>
      </c>
    </row>
    <row r="1266" spans="8:8" x14ac:dyDescent="0.25">
      <c r="H1266" t="s">
        <v>16143</v>
      </c>
    </row>
    <row r="1267" spans="8:8" x14ac:dyDescent="0.25">
      <c r="H1267" t="s">
        <v>30</v>
      </c>
    </row>
    <row r="1269" spans="8:8" x14ac:dyDescent="0.25">
      <c r="H1269" t="s">
        <v>8849</v>
      </c>
    </row>
    <row r="1270" spans="8:8" x14ac:dyDescent="0.25">
      <c r="H1270" t="s">
        <v>8850</v>
      </c>
    </row>
    <row r="1271" spans="8:8" x14ac:dyDescent="0.25">
      <c r="H1271" t="s">
        <v>135</v>
      </c>
    </row>
    <row r="1272" spans="8:8" x14ac:dyDescent="0.25">
      <c r="H1272" t="s">
        <v>16144</v>
      </c>
    </row>
    <row r="1273" spans="8:8" x14ac:dyDescent="0.25">
      <c r="H1273" t="s">
        <v>30</v>
      </c>
    </row>
    <row r="1275" spans="8:8" x14ac:dyDescent="0.25">
      <c r="H1275" t="s">
        <v>8852</v>
      </c>
    </row>
    <row r="1276" spans="8:8" x14ac:dyDescent="0.25">
      <c r="H1276" t="s">
        <v>8853</v>
      </c>
    </row>
    <row r="1277" spans="8:8" x14ac:dyDescent="0.25">
      <c r="H1277" t="s">
        <v>135</v>
      </c>
    </row>
    <row r="1278" spans="8:8" x14ac:dyDescent="0.25">
      <c r="H1278" t="s">
        <v>16145</v>
      </c>
    </row>
    <row r="1279" spans="8:8" x14ac:dyDescent="0.25">
      <c r="H1279" t="s">
        <v>30</v>
      </c>
    </row>
    <row r="1281" spans="8:8" x14ac:dyDescent="0.25">
      <c r="H1281" t="s">
        <v>8855</v>
      </c>
    </row>
    <row r="1282" spans="8:8" x14ac:dyDescent="0.25">
      <c r="H1282" t="s">
        <v>8856</v>
      </c>
    </row>
    <row r="1283" spans="8:8" x14ac:dyDescent="0.25">
      <c r="H1283" t="s">
        <v>135</v>
      </c>
    </row>
    <row r="1284" spans="8:8" x14ac:dyDescent="0.25">
      <c r="H1284" t="s">
        <v>16146</v>
      </c>
    </row>
    <row r="1285" spans="8:8" x14ac:dyDescent="0.25">
      <c r="H1285" t="s">
        <v>30</v>
      </c>
    </row>
    <row r="1287" spans="8:8" x14ac:dyDescent="0.25">
      <c r="H1287" t="s">
        <v>8858</v>
      </c>
    </row>
    <row r="1288" spans="8:8" x14ac:dyDescent="0.25">
      <c r="H1288" t="s">
        <v>8859</v>
      </c>
    </row>
    <row r="1289" spans="8:8" x14ac:dyDescent="0.25">
      <c r="H1289" t="s">
        <v>135</v>
      </c>
    </row>
    <row r="1290" spans="8:8" x14ac:dyDescent="0.25">
      <c r="H1290" t="s">
        <v>16147</v>
      </c>
    </row>
    <row r="1291" spans="8:8" x14ac:dyDescent="0.25">
      <c r="H1291" t="s">
        <v>30</v>
      </c>
    </row>
    <row r="1293" spans="8:8" x14ac:dyDescent="0.25">
      <c r="H1293" t="s">
        <v>8861</v>
      </c>
    </row>
    <row r="1294" spans="8:8" x14ac:dyDescent="0.25">
      <c r="H1294" t="s">
        <v>8862</v>
      </c>
    </row>
    <row r="1295" spans="8:8" x14ac:dyDescent="0.25">
      <c r="H1295" t="s">
        <v>135</v>
      </c>
    </row>
    <row r="1296" spans="8:8" x14ac:dyDescent="0.25">
      <c r="H1296" t="s">
        <v>16148</v>
      </c>
    </row>
    <row r="1297" spans="8:8" x14ac:dyDescent="0.25">
      <c r="H1297" t="s">
        <v>30</v>
      </c>
    </row>
    <row r="1298" spans="8:8" x14ac:dyDescent="0.25">
      <c r="H1298" t="s">
        <v>8864</v>
      </c>
    </row>
    <row r="1299" spans="8:8" x14ac:dyDescent="0.25">
      <c r="H1299" t="s">
        <v>136</v>
      </c>
    </row>
    <row r="1300" spans="8:8" x14ac:dyDescent="0.25">
      <c r="H1300" t="s">
        <v>16149</v>
      </c>
    </row>
    <row r="1301" spans="8:8" x14ac:dyDescent="0.25">
      <c r="H1301" t="s">
        <v>30</v>
      </c>
    </row>
    <row r="1302" spans="8:8" x14ac:dyDescent="0.25">
      <c r="H1302" t="s">
        <v>8866</v>
      </c>
    </row>
    <row r="1303" spans="8:8" x14ac:dyDescent="0.25">
      <c r="H1303" t="s">
        <v>137</v>
      </c>
    </row>
    <row r="1304" spans="8:8" x14ac:dyDescent="0.25">
      <c r="H1304" t="s">
        <v>16150</v>
      </c>
    </row>
    <row r="1305" spans="8:8" x14ac:dyDescent="0.25">
      <c r="H1305" t="s">
        <v>30</v>
      </c>
    </row>
    <row r="1306" spans="8:8" x14ac:dyDescent="0.25">
      <c r="H1306" t="s">
        <v>8868</v>
      </c>
    </row>
    <row r="1307" spans="8:8" x14ac:dyDescent="0.25">
      <c r="H1307" t="s">
        <v>138</v>
      </c>
    </row>
    <row r="1308" spans="8:8" x14ac:dyDescent="0.25">
      <c r="H1308" t="s">
        <v>16151</v>
      </c>
    </row>
    <row r="1309" spans="8:8" x14ac:dyDescent="0.25">
      <c r="H1309" t="s">
        <v>30</v>
      </c>
    </row>
    <row r="1311" spans="8:8" x14ac:dyDescent="0.25">
      <c r="H1311" t="s">
        <v>8870</v>
      </c>
    </row>
    <row r="1312" spans="8:8" x14ac:dyDescent="0.25">
      <c r="H1312" t="s">
        <v>8871</v>
      </c>
    </row>
    <row r="1313" spans="8:8" x14ac:dyDescent="0.25">
      <c r="H1313" t="s">
        <v>135</v>
      </c>
    </row>
    <row r="1314" spans="8:8" x14ac:dyDescent="0.25">
      <c r="H1314" t="s">
        <v>16152</v>
      </c>
    </row>
    <row r="1315" spans="8:8" x14ac:dyDescent="0.25">
      <c r="H1315" t="s">
        <v>30</v>
      </c>
    </row>
    <row r="1316" spans="8:8" x14ac:dyDescent="0.25">
      <c r="H1316" t="s">
        <v>8873</v>
      </c>
    </row>
    <row r="1317" spans="8:8" x14ac:dyDescent="0.25">
      <c r="H1317" t="s">
        <v>136</v>
      </c>
    </row>
    <row r="1318" spans="8:8" x14ac:dyDescent="0.25">
      <c r="H1318" t="s">
        <v>16153</v>
      </c>
    </row>
    <row r="1319" spans="8:8" x14ac:dyDescent="0.25">
      <c r="H1319" t="s">
        <v>30</v>
      </c>
    </row>
    <row r="1321" spans="8:8" x14ac:dyDescent="0.25">
      <c r="H1321" t="s">
        <v>8875</v>
      </c>
    </row>
    <row r="1322" spans="8:8" x14ac:dyDescent="0.25">
      <c r="H1322" t="s">
        <v>8876</v>
      </c>
    </row>
    <row r="1323" spans="8:8" x14ac:dyDescent="0.25">
      <c r="H1323" t="s">
        <v>135</v>
      </c>
    </row>
    <row r="1324" spans="8:8" x14ac:dyDescent="0.25">
      <c r="H1324" t="s">
        <v>16154</v>
      </c>
    </row>
    <row r="1325" spans="8:8" x14ac:dyDescent="0.25">
      <c r="H1325" t="s">
        <v>30</v>
      </c>
    </row>
    <row r="1327" spans="8:8" x14ac:dyDescent="0.25">
      <c r="H1327" t="s">
        <v>8878</v>
      </c>
    </row>
    <row r="1328" spans="8:8" x14ac:dyDescent="0.25">
      <c r="H1328" t="s">
        <v>8879</v>
      </c>
    </row>
    <row r="1329" spans="8:8" x14ac:dyDescent="0.25">
      <c r="H1329" t="s">
        <v>135</v>
      </c>
    </row>
    <row r="1330" spans="8:8" x14ac:dyDescent="0.25">
      <c r="H1330" t="s">
        <v>16155</v>
      </c>
    </row>
    <row r="1331" spans="8:8" x14ac:dyDescent="0.25">
      <c r="H1331" t="s">
        <v>30</v>
      </c>
    </row>
    <row r="1333" spans="8:8" x14ac:dyDescent="0.25">
      <c r="H1333" t="s">
        <v>8881</v>
      </c>
    </row>
    <row r="1334" spans="8:8" x14ac:dyDescent="0.25">
      <c r="H1334" t="s">
        <v>8882</v>
      </c>
    </row>
    <row r="1335" spans="8:8" x14ac:dyDescent="0.25">
      <c r="H1335" t="s">
        <v>135</v>
      </c>
    </row>
    <row r="1336" spans="8:8" x14ac:dyDescent="0.25">
      <c r="H1336" t="s">
        <v>16156</v>
      </c>
    </row>
    <row r="1337" spans="8:8" x14ac:dyDescent="0.25">
      <c r="H1337" t="s">
        <v>30</v>
      </c>
    </row>
    <row r="1339" spans="8:8" x14ac:dyDescent="0.25">
      <c r="H1339" t="s">
        <v>8884</v>
      </c>
    </row>
    <row r="1340" spans="8:8" x14ac:dyDescent="0.25">
      <c r="H1340" t="s">
        <v>8885</v>
      </c>
    </row>
    <row r="1341" spans="8:8" x14ac:dyDescent="0.25">
      <c r="H1341" t="s">
        <v>135</v>
      </c>
    </row>
    <row r="1342" spans="8:8" x14ac:dyDescent="0.25">
      <c r="H1342" t="s">
        <v>16157</v>
      </c>
    </row>
    <row r="1343" spans="8:8" x14ac:dyDescent="0.25">
      <c r="H1343" t="s">
        <v>30</v>
      </c>
    </row>
    <row r="1345" spans="8:8" x14ac:dyDescent="0.25">
      <c r="H1345" t="s">
        <v>8887</v>
      </c>
    </row>
    <row r="1346" spans="8:8" x14ac:dyDescent="0.25">
      <c r="H1346" t="s">
        <v>8888</v>
      </c>
    </row>
    <row r="1347" spans="8:8" x14ac:dyDescent="0.25">
      <c r="H1347" t="s">
        <v>135</v>
      </c>
    </row>
    <row r="1348" spans="8:8" x14ac:dyDescent="0.25">
      <c r="H1348" t="s">
        <v>16158</v>
      </c>
    </row>
    <row r="1349" spans="8:8" x14ac:dyDescent="0.25">
      <c r="H1349" t="s">
        <v>30</v>
      </c>
    </row>
    <row r="1351" spans="8:8" x14ac:dyDescent="0.25">
      <c r="H1351" t="s">
        <v>8890</v>
      </c>
    </row>
    <row r="1352" spans="8:8" x14ac:dyDescent="0.25">
      <c r="H1352" t="s">
        <v>8891</v>
      </c>
    </row>
    <row r="1353" spans="8:8" x14ac:dyDescent="0.25">
      <c r="H1353" t="s">
        <v>135</v>
      </c>
    </row>
    <row r="1354" spans="8:8" x14ac:dyDescent="0.25">
      <c r="H1354" t="s">
        <v>16159</v>
      </c>
    </row>
    <row r="1355" spans="8:8" x14ac:dyDescent="0.25">
      <c r="H1355" t="s">
        <v>30</v>
      </c>
    </row>
    <row r="1357" spans="8:8" x14ac:dyDescent="0.25">
      <c r="H1357" t="s">
        <v>8893</v>
      </c>
    </row>
    <row r="1358" spans="8:8" x14ac:dyDescent="0.25">
      <c r="H1358" t="s">
        <v>8894</v>
      </c>
    </row>
    <row r="1359" spans="8:8" x14ac:dyDescent="0.25">
      <c r="H1359" t="s">
        <v>135</v>
      </c>
    </row>
    <row r="1360" spans="8:8" x14ac:dyDescent="0.25">
      <c r="H1360" t="s">
        <v>16160</v>
      </c>
    </row>
    <row r="1361" spans="8:8" x14ac:dyDescent="0.25">
      <c r="H1361" t="s">
        <v>30</v>
      </c>
    </row>
    <row r="1363" spans="8:8" x14ac:dyDescent="0.25">
      <c r="H1363" t="s">
        <v>8896</v>
      </c>
    </row>
    <row r="1364" spans="8:8" x14ac:dyDescent="0.25">
      <c r="H1364" t="s">
        <v>8897</v>
      </c>
    </row>
    <row r="1365" spans="8:8" x14ac:dyDescent="0.25">
      <c r="H1365" t="s">
        <v>135</v>
      </c>
    </row>
    <row r="1366" spans="8:8" x14ac:dyDescent="0.25">
      <c r="H1366" t="s">
        <v>16161</v>
      </c>
    </row>
    <row r="1367" spans="8:8" x14ac:dyDescent="0.25">
      <c r="H1367" t="s">
        <v>30</v>
      </c>
    </row>
    <row r="1369" spans="8:8" x14ac:dyDescent="0.25">
      <c r="H1369" t="s">
        <v>8899</v>
      </c>
    </row>
    <row r="1370" spans="8:8" x14ac:dyDescent="0.25">
      <c r="H1370" t="s">
        <v>8900</v>
      </c>
    </row>
    <row r="1371" spans="8:8" x14ac:dyDescent="0.25">
      <c r="H1371" t="s">
        <v>135</v>
      </c>
    </row>
    <row r="1372" spans="8:8" x14ac:dyDescent="0.25">
      <c r="H1372" t="s">
        <v>16162</v>
      </c>
    </row>
    <row r="1373" spans="8:8" x14ac:dyDescent="0.25">
      <c r="H1373" t="s">
        <v>30</v>
      </c>
    </row>
    <row r="1375" spans="8:8" x14ac:dyDescent="0.25">
      <c r="H1375" t="s">
        <v>8902</v>
      </c>
    </row>
    <row r="1376" spans="8:8" x14ac:dyDescent="0.25">
      <c r="H1376" t="s">
        <v>8903</v>
      </c>
    </row>
    <row r="1377" spans="8:8" x14ac:dyDescent="0.25">
      <c r="H1377" t="s">
        <v>135</v>
      </c>
    </row>
    <row r="1378" spans="8:8" x14ac:dyDescent="0.25">
      <c r="H1378" t="s">
        <v>16163</v>
      </c>
    </row>
    <row r="1379" spans="8:8" x14ac:dyDescent="0.25">
      <c r="H1379" t="s">
        <v>30</v>
      </c>
    </row>
    <row r="1381" spans="8:8" x14ac:dyDescent="0.25">
      <c r="H1381" t="s">
        <v>8905</v>
      </c>
    </row>
    <row r="1382" spans="8:8" x14ac:dyDescent="0.25">
      <c r="H1382" t="s">
        <v>8906</v>
      </c>
    </row>
    <row r="1383" spans="8:8" x14ac:dyDescent="0.25">
      <c r="H1383" t="s">
        <v>135</v>
      </c>
    </row>
    <row r="1384" spans="8:8" x14ac:dyDescent="0.25">
      <c r="H1384" t="s">
        <v>16164</v>
      </c>
    </row>
    <row r="1385" spans="8:8" x14ac:dyDescent="0.25">
      <c r="H1385" t="s">
        <v>30</v>
      </c>
    </row>
    <row r="1387" spans="8:8" x14ac:dyDescent="0.25">
      <c r="H1387" t="s">
        <v>8908</v>
      </c>
    </row>
    <row r="1388" spans="8:8" x14ac:dyDescent="0.25">
      <c r="H1388" t="s">
        <v>8909</v>
      </c>
    </row>
    <row r="1389" spans="8:8" x14ac:dyDescent="0.25">
      <c r="H1389" t="s">
        <v>135</v>
      </c>
    </row>
    <row r="1390" spans="8:8" x14ac:dyDescent="0.25">
      <c r="H1390" t="s">
        <v>16165</v>
      </c>
    </row>
    <row r="1391" spans="8:8" x14ac:dyDescent="0.25">
      <c r="H1391" t="s">
        <v>30</v>
      </c>
    </row>
    <row r="1393" spans="8:8" x14ac:dyDescent="0.25">
      <c r="H1393" t="s">
        <v>8911</v>
      </c>
    </row>
    <row r="1394" spans="8:8" x14ac:dyDescent="0.25">
      <c r="H1394" t="s">
        <v>8912</v>
      </c>
    </row>
    <row r="1395" spans="8:8" x14ac:dyDescent="0.25">
      <c r="H1395" t="s">
        <v>135</v>
      </c>
    </row>
    <row r="1396" spans="8:8" x14ac:dyDescent="0.25">
      <c r="H1396" t="s">
        <v>16166</v>
      </c>
    </row>
    <row r="1397" spans="8:8" x14ac:dyDescent="0.25">
      <c r="H1397" t="s">
        <v>30</v>
      </c>
    </row>
    <row r="1399" spans="8:8" x14ac:dyDescent="0.25">
      <c r="H1399" t="s">
        <v>8914</v>
      </c>
    </row>
    <row r="1400" spans="8:8" x14ac:dyDescent="0.25">
      <c r="H1400" t="s">
        <v>8915</v>
      </c>
    </row>
    <row r="1401" spans="8:8" x14ac:dyDescent="0.25">
      <c r="H1401" t="s">
        <v>135</v>
      </c>
    </row>
    <row r="1402" spans="8:8" x14ac:dyDescent="0.25">
      <c r="H1402" t="s">
        <v>16167</v>
      </c>
    </row>
    <row r="1403" spans="8:8" x14ac:dyDescent="0.25">
      <c r="H1403" t="s">
        <v>30</v>
      </c>
    </row>
    <row r="1405" spans="8:8" x14ac:dyDescent="0.25">
      <c r="H1405" t="s">
        <v>8917</v>
      </c>
    </row>
    <row r="1406" spans="8:8" x14ac:dyDescent="0.25">
      <c r="H1406" t="s">
        <v>8918</v>
      </c>
    </row>
    <row r="1407" spans="8:8" x14ac:dyDescent="0.25">
      <c r="H1407" t="s">
        <v>135</v>
      </c>
    </row>
    <row r="1408" spans="8:8" x14ac:dyDescent="0.25">
      <c r="H1408" t="s">
        <v>16168</v>
      </c>
    </row>
    <row r="1409" spans="8:8" x14ac:dyDescent="0.25">
      <c r="H1409" t="s">
        <v>30</v>
      </c>
    </row>
    <row r="1411" spans="8:8" x14ac:dyDescent="0.25">
      <c r="H1411" t="s">
        <v>8920</v>
      </c>
    </row>
    <row r="1412" spans="8:8" x14ac:dyDescent="0.25">
      <c r="H1412" t="s">
        <v>8921</v>
      </c>
    </row>
    <row r="1413" spans="8:8" x14ac:dyDescent="0.25">
      <c r="H1413" t="s">
        <v>135</v>
      </c>
    </row>
    <row r="1414" spans="8:8" x14ac:dyDescent="0.25">
      <c r="H1414" t="s">
        <v>16169</v>
      </c>
    </row>
    <row r="1415" spans="8:8" x14ac:dyDescent="0.25">
      <c r="H1415" t="s">
        <v>30</v>
      </c>
    </row>
    <row r="1417" spans="8:8" x14ac:dyDescent="0.25">
      <c r="H1417" t="s">
        <v>8923</v>
      </c>
    </row>
    <row r="1418" spans="8:8" x14ac:dyDescent="0.25">
      <c r="H1418" t="s">
        <v>8924</v>
      </c>
    </row>
    <row r="1419" spans="8:8" x14ac:dyDescent="0.25">
      <c r="H1419" t="s">
        <v>135</v>
      </c>
    </row>
    <row r="1420" spans="8:8" x14ac:dyDescent="0.25">
      <c r="H1420" t="s">
        <v>16170</v>
      </c>
    </row>
    <row r="1421" spans="8:8" x14ac:dyDescent="0.25">
      <c r="H1421" t="s">
        <v>30</v>
      </c>
    </row>
    <row r="1423" spans="8:8" x14ac:dyDescent="0.25">
      <c r="H1423" t="s">
        <v>8926</v>
      </c>
    </row>
    <row r="1424" spans="8:8" x14ac:dyDescent="0.25">
      <c r="H1424" t="s">
        <v>8927</v>
      </c>
    </row>
    <row r="1425" spans="8:8" x14ac:dyDescent="0.25">
      <c r="H1425" t="s">
        <v>135</v>
      </c>
    </row>
    <row r="1426" spans="8:8" x14ac:dyDescent="0.25">
      <c r="H1426" t="s">
        <v>16171</v>
      </c>
    </row>
    <row r="1427" spans="8:8" x14ac:dyDescent="0.25">
      <c r="H1427" t="s">
        <v>30</v>
      </c>
    </row>
    <row r="1429" spans="8:8" x14ac:dyDescent="0.25">
      <c r="H1429" t="s">
        <v>8929</v>
      </c>
    </row>
    <row r="1430" spans="8:8" x14ac:dyDescent="0.25">
      <c r="H1430" t="s">
        <v>8930</v>
      </c>
    </row>
    <row r="1431" spans="8:8" x14ac:dyDescent="0.25">
      <c r="H1431" t="s">
        <v>135</v>
      </c>
    </row>
    <row r="1432" spans="8:8" x14ac:dyDescent="0.25">
      <c r="H1432" t="s">
        <v>16172</v>
      </c>
    </row>
    <row r="1433" spans="8:8" x14ac:dyDescent="0.25">
      <c r="H1433" t="s">
        <v>30</v>
      </c>
    </row>
    <row r="1435" spans="8:8" x14ac:dyDescent="0.25">
      <c r="H1435" t="s">
        <v>8932</v>
      </c>
    </row>
    <row r="1436" spans="8:8" x14ac:dyDescent="0.25">
      <c r="H1436" t="s">
        <v>8933</v>
      </c>
    </row>
    <row r="1437" spans="8:8" x14ac:dyDescent="0.25">
      <c r="H1437" t="s">
        <v>135</v>
      </c>
    </row>
    <row r="1438" spans="8:8" x14ac:dyDescent="0.25">
      <c r="H1438" t="s">
        <v>16173</v>
      </c>
    </row>
    <row r="1439" spans="8:8" x14ac:dyDescent="0.25">
      <c r="H1439" t="s">
        <v>30</v>
      </c>
    </row>
    <row r="1441" spans="8:8" x14ac:dyDescent="0.25">
      <c r="H1441" t="s">
        <v>8935</v>
      </c>
    </row>
    <row r="1442" spans="8:8" x14ac:dyDescent="0.25">
      <c r="H1442" t="s">
        <v>8936</v>
      </c>
    </row>
    <row r="1443" spans="8:8" x14ac:dyDescent="0.25">
      <c r="H1443" t="s">
        <v>135</v>
      </c>
    </row>
    <row r="1444" spans="8:8" x14ac:dyDescent="0.25">
      <c r="H1444" t="s">
        <v>16174</v>
      </c>
    </row>
    <row r="1445" spans="8:8" x14ac:dyDescent="0.25">
      <c r="H1445" t="s">
        <v>30</v>
      </c>
    </row>
    <row r="1447" spans="8:8" x14ac:dyDescent="0.25">
      <c r="H1447" t="s">
        <v>8938</v>
      </c>
    </row>
    <row r="1448" spans="8:8" x14ac:dyDescent="0.25">
      <c r="H1448" t="s">
        <v>8939</v>
      </c>
    </row>
    <row r="1449" spans="8:8" x14ac:dyDescent="0.25">
      <c r="H1449" t="s">
        <v>135</v>
      </c>
    </row>
    <row r="1450" spans="8:8" x14ac:dyDescent="0.25">
      <c r="H1450" t="s">
        <v>16175</v>
      </c>
    </row>
    <row r="1451" spans="8:8" x14ac:dyDescent="0.25">
      <c r="H1451" t="s">
        <v>30</v>
      </c>
    </row>
    <row r="1453" spans="8:8" x14ac:dyDescent="0.25">
      <c r="H1453" t="s">
        <v>8941</v>
      </c>
    </row>
    <row r="1454" spans="8:8" x14ac:dyDescent="0.25">
      <c r="H1454" t="s">
        <v>8942</v>
      </c>
    </row>
    <row r="1455" spans="8:8" x14ac:dyDescent="0.25">
      <c r="H1455" t="s">
        <v>135</v>
      </c>
    </row>
    <row r="1456" spans="8:8" x14ac:dyDescent="0.25">
      <c r="H1456" t="s">
        <v>16176</v>
      </c>
    </row>
    <row r="1457" spans="8:8" x14ac:dyDescent="0.25">
      <c r="H1457" t="s">
        <v>30</v>
      </c>
    </row>
    <row r="1459" spans="8:8" x14ac:dyDescent="0.25">
      <c r="H1459" t="s">
        <v>8944</v>
      </c>
    </row>
    <row r="1460" spans="8:8" x14ac:dyDescent="0.25">
      <c r="H1460" t="s">
        <v>8945</v>
      </c>
    </row>
    <row r="1461" spans="8:8" x14ac:dyDescent="0.25">
      <c r="H1461" t="s">
        <v>135</v>
      </c>
    </row>
    <row r="1462" spans="8:8" x14ac:dyDescent="0.25">
      <c r="H1462" t="s">
        <v>16177</v>
      </c>
    </row>
    <row r="1463" spans="8:8" x14ac:dyDescent="0.25">
      <c r="H1463" t="s">
        <v>30</v>
      </c>
    </row>
    <row r="1465" spans="8:8" x14ac:dyDescent="0.25">
      <c r="H1465" t="s">
        <v>8947</v>
      </c>
    </row>
    <row r="1466" spans="8:8" x14ac:dyDescent="0.25">
      <c r="H1466" t="s">
        <v>8948</v>
      </c>
    </row>
    <row r="1467" spans="8:8" x14ac:dyDescent="0.25">
      <c r="H1467" t="s">
        <v>135</v>
      </c>
    </row>
    <row r="1468" spans="8:8" x14ac:dyDescent="0.25">
      <c r="H1468" t="s">
        <v>16178</v>
      </c>
    </row>
    <row r="1469" spans="8:8" x14ac:dyDescent="0.25">
      <c r="H1469" t="s">
        <v>30</v>
      </c>
    </row>
    <row r="1471" spans="8:8" x14ac:dyDescent="0.25">
      <c r="H1471" t="s">
        <v>8950</v>
      </c>
    </row>
    <row r="1472" spans="8:8" x14ac:dyDescent="0.25">
      <c r="H1472" t="s">
        <v>8951</v>
      </c>
    </row>
    <row r="1473" spans="8:8" x14ac:dyDescent="0.25">
      <c r="H1473" t="s">
        <v>135</v>
      </c>
    </row>
    <row r="1474" spans="8:8" x14ac:dyDescent="0.25">
      <c r="H1474" t="s">
        <v>16179</v>
      </c>
    </row>
    <row r="1475" spans="8:8" x14ac:dyDescent="0.25">
      <c r="H1475" t="s">
        <v>30</v>
      </c>
    </row>
    <row r="1477" spans="8:8" x14ac:dyDescent="0.25">
      <c r="H1477" t="s">
        <v>8953</v>
      </c>
    </row>
    <row r="1478" spans="8:8" x14ac:dyDescent="0.25">
      <c r="H1478" t="s">
        <v>8954</v>
      </c>
    </row>
    <row r="1479" spans="8:8" x14ac:dyDescent="0.25">
      <c r="H1479" t="s">
        <v>135</v>
      </c>
    </row>
    <row r="1480" spans="8:8" x14ac:dyDescent="0.25">
      <c r="H1480" t="s">
        <v>16180</v>
      </c>
    </row>
    <row r="1481" spans="8:8" x14ac:dyDescent="0.25">
      <c r="H1481" t="s">
        <v>30</v>
      </c>
    </row>
    <row r="1483" spans="8:8" x14ac:dyDescent="0.25">
      <c r="H1483" t="s">
        <v>8956</v>
      </c>
    </row>
    <row r="1484" spans="8:8" x14ac:dyDescent="0.25">
      <c r="H1484" t="s">
        <v>8957</v>
      </c>
    </row>
    <row r="1485" spans="8:8" x14ac:dyDescent="0.25">
      <c r="H1485" t="s">
        <v>135</v>
      </c>
    </row>
    <row r="1486" spans="8:8" x14ac:dyDescent="0.25">
      <c r="H1486" t="s">
        <v>16181</v>
      </c>
    </row>
    <row r="1487" spans="8:8" x14ac:dyDescent="0.25">
      <c r="H1487" t="s">
        <v>30</v>
      </c>
    </row>
    <row r="1489" spans="8:8" x14ac:dyDescent="0.25">
      <c r="H1489" t="s">
        <v>8959</v>
      </c>
    </row>
    <row r="1490" spans="8:8" x14ac:dyDescent="0.25">
      <c r="H1490" t="s">
        <v>8960</v>
      </c>
    </row>
    <row r="1491" spans="8:8" x14ac:dyDescent="0.25">
      <c r="H1491" t="s">
        <v>135</v>
      </c>
    </row>
    <row r="1492" spans="8:8" x14ac:dyDescent="0.25">
      <c r="H1492" t="s">
        <v>16182</v>
      </c>
    </row>
    <row r="1493" spans="8:8" x14ac:dyDescent="0.25">
      <c r="H1493" t="s">
        <v>30</v>
      </c>
    </row>
    <row r="1495" spans="8:8" x14ac:dyDescent="0.25">
      <c r="H1495" t="s">
        <v>8962</v>
      </c>
    </row>
    <row r="1496" spans="8:8" x14ac:dyDescent="0.25">
      <c r="H1496" t="s">
        <v>8963</v>
      </c>
    </row>
    <row r="1497" spans="8:8" x14ac:dyDescent="0.25">
      <c r="H1497" t="s">
        <v>135</v>
      </c>
    </row>
    <row r="1498" spans="8:8" x14ac:dyDescent="0.25">
      <c r="H1498" t="s">
        <v>16183</v>
      </c>
    </row>
    <row r="1499" spans="8:8" x14ac:dyDescent="0.25">
      <c r="H1499" t="s">
        <v>30</v>
      </c>
    </row>
    <row r="1501" spans="8:8" x14ac:dyDescent="0.25">
      <c r="H1501" t="s">
        <v>8965</v>
      </c>
    </row>
    <row r="1502" spans="8:8" x14ac:dyDescent="0.25">
      <c r="H1502" t="s">
        <v>8966</v>
      </c>
    </row>
    <row r="1503" spans="8:8" x14ac:dyDescent="0.25">
      <c r="H1503" t="s">
        <v>135</v>
      </c>
    </row>
    <row r="1504" spans="8:8" x14ac:dyDescent="0.25">
      <c r="H1504" t="s">
        <v>16184</v>
      </c>
    </row>
    <row r="1505" spans="8:8" x14ac:dyDescent="0.25">
      <c r="H1505" t="s">
        <v>30</v>
      </c>
    </row>
    <row r="1507" spans="8:8" x14ac:dyDescent="0.25">
      <c r="H1507" t="s">
        <v>8968</v>
      </c>
    </row>
    <row r="1508" spans="8:8" x14ac:dyDescent="0.25">
      <c r="H1508" t="s">
        <v>8969</v>
      </c>
    </row>
    <row r="1509" spans="8:8" x14ac:dyDescent="0.25">
      <c r="H1509" t="s">
        <v>135</v>
      </c>
    </row>
    <row r="1510" spans="8:8" x14ac:dyDescent="0.25">
      <c r="H1510" t="s">
        <v>16185</v>
      </c>
    </row>
    <row r="1511" spans="8:8" x14ac:dyDescent="0.25">
      <c r="H1511" t="s">
        <v>30</v>
      </c>
    </row>
    <row r="1513" spans="8:8" x14ac:dyDescent="0.25">
      <c r="H1513" t="s">
        <v>8971</v>
      </c>
    </row>
    <row r="1514" spans="8:8" x14ac:dyDescent="0.25">
      <c r="H1514" t="s">
        <v>8972</v>
      </c>
    </row>
    <row r="1515" spans="8:8" x14ac:dyDescent="0.25">
      <c r="H1515" t="s">
        <v>135</v>
      </c>
    </row>
    <row r="1516" spans="8:8" x14ac:dyDescent="0.25">
      <c r="H1516" t="s">
        <v>16186</v>
      </c>
    </row>
    <row r="1517" spans="8:8" x14ac:dyDescent="0.25">
      <c r="H1517" t="s">
        <v>30</v>
      </c>
    </row>
    <row r="1519" spans="8:8" x14ac:dyDescent="0.25">
      <c r="H1519" t="s">
        <v>8974</v>
      </c>
    </row>
    <row r="1520" spans="8:8" x14ac:dyDescent="0.25">
      <c r="H1520" t="s">
        <v>8975</v>
      </c>
    </row>
    <row r="1521" spans="8:8" x14ac:dyDescent="0.25">
      <c r="H1521" t="s">
        <v>135</v>
      </c>
    </row>
    <row r="1522" spans="8:8" x14ac:dyDescent="0.25">
      <c r="H1522" t="s">
        <v>16187</v>
      </c>
    </row>
    <row r="1523" spans="8:8" x14ac:dyDescent="0.25">
      <c r="H1523" t="s">
        <v>30</v>
      </c>
    </row>
    <row r="1525" spans="8:8" x14ac:dyDescent="0.25">
      <c r="H1525" t="s">
        <v>8977</v>
      </c>
    </row>
    <row r="1526" spans="8:8" x14ac:dyDescent="0.25">
      <c r="H1526" t="s">
        <v>8978</v>
      </c>
    </row>
    <row r="1527" spans="8:8" x14ac:dyDescent="0.25">
      <c r="H1527" t="s">
        <v>135</v>
      </c>
    </row>
    <row r="1528" spans="8:8" x14ac:dyDescent="0.25">
      <c r="H1528" t="s">
        <v>16188</v>
      </c>
    </row>
    <row r="1529" spans="8:8" x14ac:dyDescent="0.25">
      <c r="H1529" t="s">
        <v>30</v>
      </c>
    </row>
    <row r="1531" spans="8:8" x14ac:dyDescent="0.25">
      <c r="H1531" t="s">
        <v>8980</v>
      </c>
    </row>
    <row r="1532" spans="8:8" x14ac:dyDescent="0.25">
      <c r="H1532" t="s">
        <v>8981</v>
      </c>
    </row>
    <row r="1533" spans="8:8" x14ac:dyDescent="0.25">
      <c r="H1533" t="s">
        <v>135</v>
      </c>
    </row>
    <row r="1534" spans="8:8" x14ac:dyDescent="0.25">
      <c r="H1534" t="s">
        <v>16189</v>
      </c>
    </row>
    <row r="1535" spans="8:8" x14ac:dyDescent="0.25">
      <c r="H1535" t="s">
        <v>30</v>
      </c>
    </row>
    <row r="1537" spans="8:8" x14ac:dyDescent="0.25">
      <c r="H1537" t="s">
        <v>8983</v>
      </c>
    </row>
    <row r="1538" spans="8:8" x14ac:dyDescent="0.25">
      <c r="H1538" t="s">
        <v>8984</v>
      </c>
    </row>
    <row r="1539" spans="8:8" x14ac:dyDescent="0.25">
      <c r="H1539" t="s">
        <v>135</v>
      </c>
    </row>
    <row r="1540" spans="8:8" x14ac:dyDescent="0.25">
      <c r="H1540" t="s">
        <v>16190</v>
      </c>
    </row>
    <row r="1541" spans="8:8" x14ac:dyDescent="0.25">
      <c r="H1541" t="s">
        <v>30</v>
      </c>
    </row>
    <row r="1543" spans="8:8" x14ac:dyDescent="0.25">
      <c r="H1543" t="s">
        <v>8986</v>
      </c>
    </row>
    <row r="1544" spans="8:8" x14ac:dyDescent="0.25">
      <c r="H1544" t="s">
        <v>8987</v>
      </c>
    </row>
    <row r="1545" spans="8:8" x14ac:dyDescent="0.25">
      <c r="H1545" t="s">
        <v>135</v>
      </c>
    </row>
    <row r="1546" spans="8:8" x14ac:dyDescent="0.25">
      <c r="H1546" t="s">
        <v>16191</v>
      </c>
    </row>
    <row r="1547" spans="8:8" x14ac:dyDescent="0.25">
      <c r="H1547" t="s">
        <v>30</v>
      </c>
    </row>
    <row r="1549" spans="8:8" x14ac:dyDescent="0.25">
      <c r="H1549" t="s">
        <v>8989</v>
      </c>
    </row>
    <row r="1550" spans="8:8" x14ac:dyDescent="0.25">
      <c r="H1550" t="s">
        <v>8990</v>
      </c>
    </row>
    <row r="1551" spans="8:8" x14ac:dyDescent="0.25">
      <c r="H1551" t="s">
        <v>135</v>
      </c>
    </row>
    <row r="1552" spans="8:8" x14ac:dyDescent="0.25">
      <c r="H1552" t="s">
        <v>16192</v>
      </c>
    </row>
    <row r="1553" spans="8:8" x14ac:dyDescent="0.25">
      <c r="H1553" t="s">
        <v>30</v>
      </c>
    </row>
    <row r="1555" spans="8:8" x14ac:dyDescent="0.25">
      <c r="H1555" t="s">
        <v>8992</v>
      </c>
    </row>
    <row r="1556" spans="8:8" x14ac:dyDescent="0.25">
      <c r="H1556" t="s">
        <v>8993</v>
      </c>
    </row>
    <row r="1557" spans="8:8" x14ac:dyDescent="0.25">
      <c r="H1557" t="s">
        <v>135</v>
      </c>
    </row>
    <row r="1558" spans="8:8" x14ac:dyDescent="0.25">
      <c r="H1558" t="s">
        <v>16193</v>
      </c>
    </row>
    <row r="1559" spans="8:8" x14ac:dyDescent="0.25">
      <c r="H1559" t="s">
        <v>30</v>
      </c>
    </row>
    <row r="1560" spans="8:8" x14ac:dyDescent="0.25">
      <c r="H1560" t="s">
        <v>136</v>
      </c>
    </row>
    <row r="1561" spans="8:8" x14ac:dyDescent="0.25">
      <c r="H1561" t="s">
        <v>16194</v>
      </c>
    </row>
    <row r="1562" spans="8:8" x14ac:dyDescent="0.25">
      <c r="H1562" t="s">
        <v>30</v>
      </c>
    </row>
    <row r="1563" spans="8:8" x14ac:dyDescent="0.25">
      <c r="H1563" t="s">
        <v>137</v>
      </c>
    </row>
    <row r="1564" spans="8:8" x14ac:dyDescent="0.25">
      <c r="H1564" t="s">
        <v>16195</v>
      </c>
    </row>
    <row r="1565" spans="8:8" x14ac:dyDescent="0.25">
      <c r="H1565" t="s">
        <v>30</v>
      </c>
    </row>
    <row r="1567" spans="8:8" x14ac:dyDescent="0.25">
      <c r="H1567" t="s">
        <v>8997</v>
      </c>
    </row>
    <row r="1568" spans="8:8" x14ac:dyDescent="0.25">
      <c r="H1568" t="s">
        <v>8998</v>
      </c>
    </row>
    <row r="1569" spans="8:8" x14ac:dyDescent="0.25">
      <c r="H1569" t="s">
        <v>135</v>
      </c>
    </row>
    <row r="1570" spans="8:8" x14ac:dyDescent="0.25">
      <c r="H1570" t="s">
        <v>16196</v>
      </c>
    </row>
    <row r="1571" spans="8:8" x14ac:dyDescent="0.25">
      <c r="H1571" t="s">
        <v>30</v>
      </c>
    </row>
    <row r="1573" spans="8:8" x14ac:dyDescent="0.25">
      <c r="H1573" t="s">
        <v>9000</v>
      </c>
    </row>
    <row r="1574" spans="8:8" x14ac:dyDescent="0.25">
      <c r="H1574" t="s">
        <v>9001</v>
      </c>
    </row>
    <row r="1575" spans="8:8" x14ac:dyDescent="0.25">
      <c r="H1575" t="s">
        <v>135</v>
      </c>
    </row>
    <row r="1576" spans="8:8" x14ac:dyDescent="0.25">
      <c r="H1576" t="s">
        <v>16197</v>
      </c>
    </row>
    <row r="1577" spans="8:8" x14ac:dyDescent="0.25">
      <c r="H1577" t="s">
        <v>30</v>
      </c>
    </row>
    <row r="1579" spans="8:8" x14ac:dyDescent="0.25">
      <c r="H1579" t="s">
        <v>9003</v>
      </c>
    </row>
    <row r="1580" spans="8:8" x14ac:dyDescent="0.25">
      <c r="H1580" t="s">
        <v>9004</v>
      </c>
    </row>
    <row r="1581" spans="8:8" x14ac:dyDescent="0.25">
      <c r="H1581" t="s">
        <v>135</v>
      </c>
    </row>
    <row r="1582" spans="8:8" x14ac:dyDescent="0.25">
      <c r="H1582" t="s">
        <v>16198</v>
      </c>
    </row>
    <row r="1583" spans="8:8" x14ac:dyDescent="0.25">
      <c r="H1583" t="s">
        <v>30</v>
      </c>
    </row>
    <row r="1585" spans="8:8" x14ac:dyDescent="0.25">
      <c r="H1585" t="s">
        <v>9006</v>
      </c>
    </row>
    <row r="1586" spans="8:8" x14ac:dyDescent="0.25">
      <c r="H1586" t="s">
        <v>9007</v>
      </c>
    </row>
    <row r="1587" spans="8:8" x14ac:dyDescent="0.25">
      <c r="H1587" t="s">
        <v>135</v>
      </c>
    </row>
    <row r="1588" spans="8:8" x14ac:dyDescent="0.25">
      <c r="H1588" t="s">
        <v>16199</v>
      </c>
    </row>
    <row r="1589" spans="8:8" x14ac:dyDescent="0.25">
      <c r="H1589" t="s">
        <v>30</v>
      </c>
    </row>
    <row r="1591" spans="8:8" x14ac:dyDescent="0.25">
      <c r="H1591" t="s">
        <v>9009</v>
      </c>
    </row>
    <row r="1592" spans="8:8" x14ac:dyDescent="0.25">
      <c r="H1592" t="s">
        <v>9010</v>
      </c>
    </row>
    <row r="1593" spans="8:8" x14ac:dyDescent="0.25">
      <c r="H1593" t="s">
        <v>135</v>
      </c>
    </row>
    <row r="1594" spans="8:8" x14ac:dyDescent="0.25">
      <c r="H1594" t="s">
        <v>16200</v>
      </c>
    </row>
    <row r="1595" spans="8:8" x14ac:dyDescent="0.25">
      <c r="H1595" t="s">
        <v>30</v>
      </c>
    </row>
    <row r="1597" spans="8:8" x14ac:dyDescent="0.25">
      <c r="H1597" t="s">
        <v>9012</v>
      </c>
    </row>
    <row r="1598" spans="8:8" x14ac:dyDescent="0.25">
      <c r="H1598" t="s">
        <v>9013</v>
      </c>
    </row>
    <row r="1599" spans="8:8" x14ac:dyDescent="0.25">
      <c r="H1599" t="s">
        <v>135</v>
      </c>
    </row>
    <row r="1600" spans="8:8" x14ac:dyDescent="0.25">
      <c r="H1600" t="s">
        <v>16201</v>
      </c>
    </row>
    <row r="1601" spans="8:8" x14ac:dyDescent="0.25">
      <c r="H1601" t="s">
        <v>30</v>
      </c>
    </row>
    <row r="1603" spans="8:8" x14ac:dyDescent="0.25">
      <c r="H1603" t="s">
        <v>9015</v>
      </c>
    </row>
    <row r="1604" spans="8:8" x14ac:dyDescent="0.25">
      <c r="H1604" t="s">
        <v>9016</v>
      </c>
    </row>
    <row r="1605" spans="8:8" x14ac:dyDescent="0.25">
      <c r="H1605" t="s">
        <v>135</v>
      </c>
    </row>
    <row r="1606" spans="8:8" x14ac:dyDescent="0.25">
      <c r="H1606" t="s">
        <v>16202</v>
      </c>
    </row>
    <row r="1607" spans="8:8" x14ac:dyDescent="0.25">
      <c r="H1607" t="s">
        <v>30</v>
      </c>
    </row>
    <row r="1609" spans="8:8" x14ac:dyDescent="0.25">
      <c r="H1609" t="s">
        <v>9018</v>
      </c>
    </row>
    <row r="1610" spans="8:8" x14ac:dyDescent="0.25">
      <c r="H1610" t="s">
        <v>9019</v>
      </c>
    </row>
    <row r="1611" spans="8:8" x14ac:dyDescent="0.25">
      <c r="H1611" t="s">
        <v>135</v>
      </c>
    </row>
    <row r="1612" spans="8:8" x14ac:dyDescent="0.25">
      <c r="H1612" t="s">
        <v>16203</v>
      </c>
    </row>
    <row r="1613" spans="8:8" x14ac:dyDescent="0.25">
      <c r="H1613" t="s">
        <v>30</v>
      </c>
    </row>
    <row r="1615" spans="8:8" x14ac:dyDescent="0.25">
      <c r="H1615" t="s">
        <v>9021</v>
      </c>
    </row>
    <row r="1616" spans="8:8" x14ac:dyDescent="0.25">
      <c r="H1616" t="s">
        <v>9022</v>
      </c>
    </row>
    <row r="1617" spans="8:8" x14ac:dyDescent="0.25">
      <c r="H1617" t="s">
        <v>135</v>
      </c>
    </row>
    <row r="1618" spans="8:8" x14ac:dyDescent="0.25">
      <c r="H1618" t="s">
        <v>16204</v>
      </c>
    </row>
    <row r="1619" spans="8:8" x14ac:dyDescent="0.25">
      <c r="H1619" t="s">
        <v>30</v>
      </c>
    </row>
    <row r="1621" spans="8:8" x14ac:dyDescent="0.25">
      <c r="H1621" t="s">
        <v>9024</v>
      </c>
    </row>
    <row r="1622" spans="8:8" x14ac:dyDescent="0.25">
      <c r="H1622" t="s">
        <v>9025</v>
      </c>
    </row>
    <row r="1623" spans="8:8" x14ac:dyDescent="0.25">
      <c r="H1623" t="s">
        <v>135</v>
      </c>
    </row>
    <row r="1624" spans="8:8" x14ac:dyDescent="0.25">
      <c r="H1624" t="s">
        <v>16205</v>
      </c>
    </row>
    <row r="1625" spans="8:8" x14ac:dyDescent="0.25">
      <c r="H1625" t="s">
        <v>30</v>
      </c>
    </row>
    <row r="1626" spans="8:8" x14ac:dyDescent="0.25">
      <c r="H1626" t="s">
        <v>9027</v>
      </c>
    </row>
    <row r="1627" spans="8:8" x14ac:dyDescent="0.25">
      <c r="H1627" t="s">
        <v>136</v>
      </c>
    </row>
    <row r="1628" spans="8:8" x14ac:dyDescent="0.25">
      <c r="H1628" t="s">
        <v>16206</v>
      </c>
    </row>
    <row r="1629" spans="8:8" x14ac:dyDescent="0.25">
      <c r="H1629" t="s">
        <v>30</v>
      </c>
    </row>
    <row r="1630" spans="8:8" x14ac:dyDescent="0.25">
      <c r="H1630" t="s">
        <v>9029</v>
      </c>
    </row>
    <row r="1631" spans="8:8" x14ac:dyDescent="0.25">
      <c r="H1631" t="s">
        <v>137</v>
      </c>
    </row>
    <row r="1632" spans="8:8" x14ac:dyDescent="0.25">
      <c r="H1632" t="s">
        <v>16207</v>
      </c>
    </row>
    <row r="1633" spans="8:8" x14ac:dyDescent="0.25">
      <c r="H1633" t="s">
        <v>30</v>
      </c>
    </row>
    <row r="1634" spans="8:8" x14ac:dyDescent="0.25">
      <c r="H1634" t="s">
        <v>9031</v>
      </c>
    </row>
    <row r="1635" spans="8:8" x14ac:dyDescent="0.25">
      <c r="H1635" t="s">
        <v>138</v>
      </c>
    </row>
    <row r="1636" spans="8:8" x14ac:dyDescent="0.25">
      <c r="H1636" t="s">
        <v>16208</v>
      </c>
    </row>
    <row r="1637" spans="8:8" x14ac:dyDescent="0.25">
      <c r="H1637" t="s">
        <v>30</v>
      </c>
    </row>
    <row r="1639" spans="8:8" x14ac:dyDescent="0.25">
      <c r="H1639" t="s">
        <v>9033</v>
      </c>
    </row>
    <row r="1640" spans="8:8" x14ac:dyDescent="0.25">
      <c r="H1640" t="s">
        <v>9034</v>
      </c>
    </row>
    <row r="1641" spans="8:8" x14ac:dyDescent="0.25">
      <c r="H1641" t="s">
        <v>135</v>
      </c>
    </row>
    <row r="1642" spans="8:8" x14ac:dyDescent="0.25">
      <c r="H1642" t="s">
        <v>16209</v>
      </c>
    </row>
    <row r="1643" spans="8:8" x14ac:dyDescent="0.25">
      <c r="H1643" t="s">
        <v>30</v>
      </c>
    </row>
    <row r="1644" spans="8:8" x14ac:dyDescent="0.25">
      <c r="H1644" t="s">
        <v>9036</v>
      </c>
    </row>
    <row r="1645" spans="8:8" x14ac:dyDescent="0.25">
      <c r="H1645" t="s">
        <v>136</v>
      </c>
    </row>
    <row r="1646" spans="8:8" x14ac:dyDescent="0.25">
      <c r="H1646" t="s">
        <v>16210</v>
      </c>
    </row>
    <row r="1647" spans="8:8" x14ac:dyDescent="0.25">
      <c r="H1647" t="s">
        <v>30</v>
      </c>
    </row>
    <row r="1649" spans="8:8" x14ac:dyDescent="0.25">
      <c r="H1649" t="s">
        <v>9038</v>
      </c>
    </row>
    <row r="1650" spans="8:8" x14ac:dyDescent="0.25">
      <c r="H1650" t="s">
        <v>9039</v>
      </c>
    </row>
    <row r="1651" spans="8:8" x14ac:dyDescent="0.25">
      <c r="H1651" t="s">
        <v>135</v>
      </c>
    </row>
    <row r="1652" spans="8:8" x14ac:dyDescent="0.25">
      <c r="H1652" t="s">
        <v>16211</v>
      </c>
    </row>
    <row r="1653" spans="8:8" x14ac:dyDescent="0.25">
      <c r="H1653" t="s">
        <v>30</v>
      </c>
    </row>
    <row r="1655" spans="8:8" x14ac:dyDescent="0.25">
      <c r="H1655" t="s">
        <v>9041</v>
      </c>
    </row>
    <row r="1656" spans="8:8" x14ac:dyDescent="0.25">
      <c r="H1656" t="s">
        <v>9042</v>
      </c>
    </row>
    <row r="1657" spans="8:8" x14ac:dyDescent="0.25">
      <c r="H1657" t="s">
        <v>135</v>
      </c>
    </row>
    <row r="1658" spans="8:8" x14ac:dyDescent="0.25">
      <c r="H1658" t="s">
        <v>16212</v>
      </c>
    </row>
    <row r="1659" spans="8:8" x14ac:dyDescent="0.25">
      <c r="H1659" t="s">
        <v>30</v>
      </c>
    </row>
    <row r="1661" spans="8:8" x14ac:dyDescent="0.25">
      <c r="H1661" t="s">
        <v>9044</v>
      </c>
    </row>
    <row r="1662" spans="8:8" x14ac:dyDescent="0.25">
      <c r="H1662" t="s">
        <v>9045</v>
      </c>
    </row>
    <row r="1663" spans="8:8" x14ac:dyDescent="0.25">
      <c r="H1663" t="s">
        <v>135</v>
      </c>
    </row>
    <row r="1664" spans="8:8" x14ac:dyDescent="0.25">
      <c r="H1664" t="s">
        <v>16213</v>
      </c>
    </row>
    <row r="1665" spans="8:8" x14ac:dyDescent="0.25">
      <c r="H1665" t="s">
        <v>30</v>
      </c>
    </row>
    <row r="1667" spans="8:8" x14ac:dyDescent="0.25">
      <c r="H1667" t="s">
        <v>9047</v>
      </c>
    </row>
    <row r="1668" spans="8:8" x14ac:dyDescent="0.25">
      <c r="H1668" t="s">
        <v>9048</v>
      </c>
    </row>
    <row r="1669" spans="8:8" x14ac:dyDescent="0.25">
      <c r="H1669" t="s">
        <v>135</v>
      </c>
    </row>
    <row r="1670" spans="8:8" x14ac:dyDescent="0.25">
      <c r="H1670" t="s">
        <v>16214</v>
      </c>
    </row>
    <row r="1671" spans="8:8" x14ac:dyDescent="0.25">
      <c r="H1671" t="s">
        <v>30</v>
      </c>
    </row>
    <row r="1673" spans="8:8" x14ac:dyDescent="0.25">
      <c r="H1673" t="s">
        <v>9050</v>
      </c>
    </row>
    <row r="1674" spans="8:8" x14ac:dyDescent="0.25">
      <c r="H1674" t="s">
        <v>9051</v>
      </c>
    </row>
    <row r="1675" spans="8:8" x14ac:dyDescent="0.25">
      <c r="H1675" t="s">
        <v>135</v>
      </c>
    </row>
    <row r="1676" spans="8:8" x14ac:dyDescent="0.25">
      <c r="H1676" t="s">
        <v>16215</v>
      </c>
    </row>
    <row r="1677" spans="8:8" x14ac:dyDescent="0.25">
      <c r="H1677" t="s">
        <v>30</v>
      </c>
    </row>
    <row r="1679" spans="8:8" x14ac:dyDescent="0.25">
      <c r="H1679" t="s">
        <v>9053</v>
      </c>
    </row>
    <row r="1680" spans="8:8" x14ac:dyDescent="0.25">
      <c r="H1680" t="s">
        <v>9054</v>
      </c>
    </row>
    <row r="1681" spans="8:8" x14ac:dyDescent="0.25">
      <c r="H1681" t="s">
        <v>135</v>
      </c>
    </row>
    <row r="1682" spans="8:8" x14ac:dyDescent="0.25">
      <c r="H1682" t="s">
        <v>16216</v>
      </c>
    </row>
    <row r="1683" spans="8:8" x14ac:dyDescent="0.25">
      <c r="H1683" t="s">
        <v>30</v>
      </c>
    </row>
    <row r="1685" spans="8:8" x14ac:dyDescent="0.25">
      <c r="H1685" t="s">
        <v>9056</v>
      </c>
    </row>
    <row r="1686" spans="8:8" x14ac:dyDescent="0.25">
      <c r="H1686" t="s">
        <v>9057</v>
      </c>
    </row>
    <row r="1687" spans="8:8" x14ac:dyDescent="0.25">
      <c r="H1687" t="s">
        <v>135</v>
      </c>
    </row>
    <row r="1688" spans="8:8" x14ac:dyDescent="0.25">
      <c r="H1688" t="s">
        <v>16217</v>
      </c>
    </row>
    <row r="1689" spans="8:8" x14ac:dyDescent="0.25">
      <c r="H1689" t="s">
        <v>30</v>
      </c>
    </row>
    <row r="1691" spans="8:8" x14ac:dyDescent="0.25">
      <c r="H1691" t="s">
        <v>9059</v>
      </c>
    </row>
    <row r="1692" spans="8:8" x14ac:dyDescent="0.25">
      <c r="H1692" t="s">
        <v>9060</v>
      </c>
    </row>
    <row r="1693" spans="8:8" x14ac:dyDescent="0.25">
      <c r="H1693" t="s">
        <v>135</v>
      </c>
    </row>
    <row r="1694" spans="8:8" x14ac:dyDescent="0.25">
      <c r="H1694" t="s">
        <v>16218</v>
      </c>
    </row>
    <row r="1695" spans="8:8" x14ac:dyDescent="0.25">
      <c r="H1695" t="s">
        <v>30</v>
      </c>
    </row>
    <row r="1697" spans="8:8" x14ac:dyDescent="0.25">
      <c r="H1697" t="s">
        <v>9062</v>
      </c>
    </row>
    <row r="1698" spans="8:8" x14ac:dyDescent="0.25">
      <c r="H1698" t="s">
        <v>9063</v>
      </c>
    </row>
    <row r="1699" spans="8:8" x14ac:dyDescent="0.25">
      <c r="H1699" t="s">
        <v>135</v>
      </c>
    </row>
    <row r="1700" spans="8:8" x14ac:dyDescent="0.25">
      <c r="H1700" t="s">
        <v>16219</v>
      </c>
    </row>
    <row r="1701" spans="8:8" x14ac:dyDescent="0.25">
      <c r="H1701" t="s">
        <v>30</v>
      </c>
    </row>
    <row r="1703" spans="8:8" x14ac:dyDescent="0.25">
      <c r="H1703" t="s">
        <v>9065</v>
      </c>
    </row>
    <row r="1704" spans="8:8" x14ac:dyDescent="0.25">
      <c r="H1704" t="s">
        <v>9066</v>
      </c>
    </row>
    <row r="1705" spans="8:8" x14ac:dyDescent="0.25">
      <c r="H1705" t="s">
        <v>135</v>
      </c>
    </row>
    <row r="1706" spans="8:8" x14ac:dyDescent="0.25">
      <c r="H1706" t="s">
        <v>16220</v>
      </c>
    </row>
    <row r="1707" spans="8:8" x14ac:dyDescent="0.25">
      <c r="H1707" t="s">
        <v>30</v>
      </c>
    </row>
    <row r="1709" spans="8:8" x14ac:dyDescent="0.25">
      <c r="H1709" t="s">
        <v>9068</v>
      </c>
    </row>
    <row r="1710" spans="8:8" x14ac:dyDescent="0.25">
      <c r="H1710" t="s">
        <v>9069</v>
      </c>
    </row>
    <row r="1711" spans="8:8" x14ac:dyDescent="0.25">
      <c r="H1711" t="s">
        <v>135</v>
      </c>
    </row>
    <row r="1712" spans="8:8" x14ac:dyDescent="0.25">
      <c r="H1712" t="s">
        <v>16221</v>
      </c>
    </row>
    <row r="1713" spans="8:8" x14ac:dyDescent="0.25">
      <c r="H1713" t="s">
        <v>30</v>
      </c>
    </row>
    <row r="1715" spans="8:8" x14ac:dyDescent="0.25">
      <c r="H1715" t="s">
        <v>9071</v>
      </c>
    </row>
    <row r="1716" spans="8:8" x14ac:dyDescent="0.25">
      <c r="H1716" t="s">
        <v>9072</v>
      </c>
    </row>
    <row r="1717" spans="8:8" x14ac:dyDescent="0.25">
      <c r="H1717" t="s">
        <v>135</v>
      </c>
    </row>
    <row r="1718" spans="8:8" x14ac:dyDescent="0.25">
      <c r="H1718" t="s">
        <v>16222</v>
      </c>
    </row>
    <row r="1719" spans="8:8" x14ac:dyDescent="0.25">
      <c r="H1719" t="s">
        <v>30</v>
      </c>
    </row>
    <row r="1721" spans="8:8" x14ac:dyDescent="0.25">
      <c r="H1721" t="s">
        <v>9074</v>
      </c>
    </row>
    <row r="1722" spans="8:8" x14ac:dyDescent="0.25">
      <c r="H1722" t="s">
        <v>9075</v>
      </c>
    </row>
    <row r="1723" spans="8:8" x14ac:dyDescent="0.25">
      <c r="H1723" t="s">
        <v>135</v>
      </c>
    </row>
    <row r="1724" spans="8:8" x14ac:dyDescent="0.25">
      <c r="H1724" t="s">
        <v>16223</v>
      </c>
    </row>
    <row r="1725" spans="8:8" x14ac:dyDescent="0.25">
      <c r="H1725" t="s">
        <v>30</v>
      </c>
    </row>
    <row r="1727" spans="8:8" x14ac:dyDescent="0.25">
      <c r="H1727" t="s">
        <v>9077</v>
      </c>
    </row>
    <row r="1728" spans="8:8" x14ac:dyDescent="0.25">
      <c r="H1728" t="s">
        <v>9078</v>
      </c>
    </row>
    <row r="1729" spans="8:8" x14ac:dyDescent="0.25">
      <c r="H1729" t="s">
        <v>135</v>
      </c>
    </row>
    <row r="1730" spans="8:8" x14ac:dyDescent="0.25">
      <c r="H1730" t="s">
        <v>16224</v>
      </c>
    </row>
    <row r="1731" spans="8:8" x14ac:dyDescent="0.25">
      <c r="H1731" t="s">
        <v>30</v>
      </c>
    </row>
    <row r="1733" spans="8:8" x14ac:dyDescent="0.25">
      <c r="H1733" t="s">
        <v>9080</v>
      </c>
    </row>
    <row r="1734" spans="8:8" x14ac:dyDescent="0.25">
      <c r="H1734" t="s">
        <v>9081</v>
      </c>
    </row>
    <row r="1735" spans="8:8" x14ac:dyDescent="0.25">
      <c r="H1735" t="s">
        <v>135</v>
      </c>
    </row>
    <row r="1736" spans="8:8" x14ac:dyDescent="0.25">
      <c r="H1736" t="s">
        <v>16225</v>
      </c>
    </row>
    <row r="1737" spans="8:8" x14ac:dyDescent="0.25">
      <c r="H1737" t="s">
        <v>30</v>
      </c>
    </row>
    <row r="1739" spans="8:8" x14ac:dyDescent="0.25">
      <c r="H1739" t="s">
        <v>9083</v>
      </c>
    </row>
    <row r="1740" spans="8:8" x14ac:dyDescent="0.25">
      <c r="H1740" t="s">
        <v>9084</v>
      </c>
    </row>
    <row r="1741" spans="8:8" x14ac:dyDescent="0.25">
      <c r="H1741" t="s">
        <v>135</v>
      </c>
    </row>
    <row r="1742" spans="8:8" x14ac:dyDescent="0.25">
      <c r="H1742" t="s">
        <v>16226</v>
      </c>
    </row>
    <row r="1743" spans="8:8" x14ac:dyDescent="0.25">
      <c r="H1743" t="s">
        <v>30</v>
      </c>
    </row>
    <row r="1745" spans="8:8" x14ac:dyDescent="0.25">
      <c r="H1745" t="s">
        <v>9086</v>
      </c>
    </row>
    <row r="1746" spans="8:8" x14ac:dyDescent="0.25">
      <c r="H1746" t="s">
        <v>9087</v>
      </c>
    </row>
    <row r="1747" spans="8:8" x14ac:dyDescent="0.25">
      <c r="H1747" t="s">
        <v>135</v>
      </c>
    </row>
    <row r="1748" spans="8:8" x14ac:dyDescent="0.25">
      <c r="H1748" t="s">
        <v>16227</v>
      </c>
    </row>
    <row r="1749" spans="8:8" x14ac:dyDescent="0.25">
      <c r="H1749" t="s">
        <v>30</v>
      </c>
    </row>
    <row r="1751" spans="8:8" x14ac:dyDescent="0.25">
      <c r="H1751" t="s">
        <v>9089</v>
      </c>
    </row>
    <row r="1752" spans="8:8" x14ac:dyDescent="0.25">
      <c r="H1752" t="s">
        <v>9090</v>
      </c>
    </row>
    <row r="1753" spans="8:8" x14ac:dyDescent="0.25">
      <c r="H1753" t="s">
        <v>135</v>
      </c>
    </row>
    <row r="1754" spans="8:8" x14ac:dyDescent="0.25">
      <c r="H1754" t="s">
        <v>16228</v>
      </c>
    </row>
    <row r="1755" spans="8:8" x14ac:dyDescent="0.25">
      <c r="H1755" t="s">
        <v>30</v>
      </c>
    </row>
    <row r="1757" spans="8:8" x14ac:dyDescent="0.25">
      <c r="H1757" t="s">
        <v>9092</v>
      </c>
    </row>
    <row r="1758" spans="8:8" x14ac:dyDescent="0.25">
      <c r="H1758" t="s">
        <v>9093</v>
      </c>
    </row>
    <row r="1759" spans="8:8" x14ac:dyDescent="0.25">
      <c r="H1759" t="s">
        <v>135</v>
      </c>
    </row>
    <row r="1760" spans="8:8" x14ac:dyDescent="0.25">
      <c r="H1760" t="s">
        <v>16229</v>
      </c>
    </row>
    <row r="1761" spans="8:8" x14ac:dyDescent="0.25">
      <c r="H1761" t="s">
        <v>30</v>
      </c>
    </row>
    <row r="1763" spans="8:8" x14ac:dyDescent="0.25">
      <c r="H1763" t="s">
        <v>9095</v>
      </c>
    </row>
    <row r="1764" spans="8:8" x14ac:dyDescent="0.25">
      <c r="H1764" t="s">
        <v>9096</v>
      </c>
    </row>
    <row r="1765" spans="8:8" x14ac:dyDescent="0.25">
      <c r="H1765" t="s">
        <v>135</v>
      </c>
    </row>
    <row r="1766" spans="8:8" x14ac:dyDescent="0.25">
      <c r="H1766" t="s">
        <v>16230</v>
      </c>
    </row>
    <row r="1767" spans="8:8" x14ac:dyDescent="0.25">
      <c r="H1767" t="s">
        <v>30</v>
      </c>
    </row>
    <row r="1769" spans="8:8" x14ac:dyDescent="0.25">
      <c r="H1769" t="s">
        <v>9098</v>
      </c>
    </row>
    <row r="1770" spans="8:8" x14ac:dyDescent="0.25">
      <c r="H1770" t="s">
        <v>9099</v>
      </c>
    </row>
    <row r="1771" spans="8:8" x14ac:dyDescent="0.25">
      <c r="H1771" t="s">
        <v>135</v>
      </c>
    </row>
    <row r="1772" spans="8:8" x14ac:dyDescent="0.25">
      <c r="H1772" t="s">
        <v>16231</v>
      </c>
    </row>
    <row r="1773" spans="8:8" x14ac:dyDescent="0.25">
      <c r="H1773" t="s">
        <v>30</v>
      </c>
    </row>
    <row r="1775" spans="8:8" x14ac:dyDescent="0.25">
      <c r="H1775" t="s">
        <v>9101</v>
      </c>
    </row>
    <row r="1776" spans="8:8" x14ac:dyDescent="0.25">
      <c r="H1776" t="s">
        <v>9102</v>
      </c>
    </row>
    <row r="1777" spans="8:8" x14ac:dyDescent="0.25">
      <c r="H1777" t="s">
        <v>135</v>
      </c>
    </row>
    <row r="1778" spans="8:8" x14ac:dyDescent="0.25">
      <c r="H1778" t="s">
        <v>16232</v>
      </c>
    </row>
    <row r="1779" spans="8:8" x14ac:dyDescent="0.25">
      <c r="H1779" t="s">
        <v>30</v>
      </c>
    </row>
    <row r="1781" spans="8:8" x14ac:dyDescent="0.25">
      <c r="H1781" t="s">
        <v>9104</v>
      </c>
    </row>
    <row r="1782" spans="8:8" x14ac:dyDescent="0.25">
      <c r="H1782" t="s">
        <v>9105</v>
      </c>
    </row>
    <row r="1783" spans="8:8" x14ac:dyDescent="0.25">
      <c r="H1783" t="s">
        <v>135</v>
      </c>
    </row>
    <row r="1784" spans="8:8" x14ac:dyDescent="0.25">
      <c r="H1784" t="s">
        <v>16233</v>
      </c>
    </row>
    <row r="1785" spans="8:8" x14ac:dyDescent="0.25">
      <c r="H1785" t="s">
        <v>30</v>
      </c>
    </row>
    <row r="1787" spans="8:8" x14ac:dyDescent="0.25">
      <c r="H1787" t="s">
        <v>9107</v>
      </c>
    </row>
    <row r="1788" spans="8:8" x14ac:dyDescent="0.25">
      <c r="H1788" t="s">
        <v>9108</v>
      </c>
    </row>
    <row r="1789" spans="8:8" x14ac:dyDescent="0.25">
      <c r="H1789" t="s">
        <v>135</v>
      </c>
    </row>
    <row r="1790" spans="8:8" x14ac:dyDescent="0.25">
      <c r="H1790" t="s">
        <v>16234</v>
      </c>
    </row>
    <row r="1791" spans="8:8" x14ac:dyDescent="0.25">
      <c r="H1791" t="s">
        <v>30</v>
      </c>
    </row>
    <row r="1793" spans="8:8" x14ac:dyDescent="0.25">
      <c r="H1793" t="s">
        <v>9110</v>
      </c>
    </row>
    <row r="1794" spans="8:8" x14ac:dyDescent="0.25">
      <c r="H1794" t="s">
        <v>9111</v>
      </c>
    </row>
    <row r="1795" spans="8:8" x14ac:dyDescent="0.25">
      <c r="H1795" t="s">
        <v>135</v>
      </c>
    </row>
    <row r="1796" spans="8:8" x14ac:dyDescent="0.25">
      <c r="H1796" t="s">
        <v>16235</v>
      </c>
    </row>
    <row r="1797" spans="8:8" x14ac:dyDescent="0.25">
      <c r="H1797" t="s">
        <v>30</v>
      </c>
    </row>
    <row r="1799" spans="8:8" x14ac:dyDescent="0.25">
      <c r="H1799" t="s">
        <v>9113</v>
      </c>
    </row>
    <row r="1800" spans="8:8" x14ac:dyDescent="0.25">
      <c r="H1800" t="s">
        <v>9114</v>
      </c>
    </row>
    <row r="1801" spans="8:8" x14ac:dyDescent="0.25">
      <c r="H1801" t="s">
        <v>135</v>
      </c>
    </row>
    <row r="1802" spans="8:8" x14ac:dyDescent="0.25">
      <c r="H1802" t="s">
        <v>16236</v>
      </c>
    </row>
    <row r="1803" spans="8:8" x14ac:dyDescent="0.25">
      <c r="H1803" t="s">
        <v>30</v>
      </c>
    </row>
    <row r="1805" spans="8:8" x14ac:dyDescent="0.25">
      <c r="H1805" t="s">
        <v>9116</v>
      </c>
    </row>
    <row r="1806" spans="8:8" x14ac:dyDescent="0.25">
      <c r="H1806" t="s">
        <v>9117</v>
      </c>
    </row>
    <row r="1807" spans="8:8" x14ac:dyDescent="0.25">
      <c r="H1807" t="s">
        <v>135</v>
      </c>
    </row>
    <row r="1808" spans="8:8" x14ac:dyDescent="0.25">
      <c r="H1808" t="s">
        <v>16237</v>
      </c>
    </row>
    <row r="1809" spans="8:8" x14ac:dyDescent="0.25">
      <c r="H1809" t="s">
        <v>30</v>
      </c>
    </row>
    <row r="1811" spans="8:8" x14ac:dyDescent="0.25">
      <c r="H1811" t="s">
        <v>9119</v>
      </c>
    </row>
    <row r="1812" spans="8:8" x14ac:dyDescent="0.25">
      <c r="H1812" t="s">
        <v>9120</v>
      </c>
    </row>
    <row r="1813" spans="8:8" x14ac:dyDescent="0.25">
      <c r="H1813" t="s">
        <v>135</v>
      </c>
    </row>
    <row r="1814" spans="8:8" x14ac:dyDescent="0.25">
      <c r="H1814" t="s">
        <v>16238</v>
      </c>
    </row>
    <row r="1815" spans="8:8" x14ac:dyDescent="0.25">
      <c r="H1815" t="s">
        <v>30</v>
      </c>
    </row>
    <row r="1817" spans="8:8" x14ac:dyDescent="0.25">
      <c r="H1817" t="s">
        <v>9122</v>
      </c>
    </row>
    <row r="1818" spans="8:8" x14ac:dyDescent="0.25">
      <c r="H1818" t="s">
        <v>9123</v>
      </c>
    </row>
    <row r="1819" spans="8:8" x14ac:dyDescent="0.25">
      <c r="H1819" t="s">
        <v>135</v>
      </c>
    </row>
    <row r="1820" spans="8:8" x14ac:dyDescent="0.25">
      <c r="H1820" t="s">
        <v>16239</v>
      </c>
    </row>
    <row r="1821" spans="8:8" x14ac:dyDescent="0.25">
      <c r="H1821" t="s">
        <v>30</v>
      </c>
    </row>
    <row r="1823" spans="8:8" x14ac:dyDescent="0.25">
      <c r="H1823" t="s">
        <v>9125</v>
      </c>
    </row>
    <row r="1824" spans="8:8" x14ac:dyDescent="0.25">
      <c r="H1824" t="s">
        <v>9126</v>
      </c>
    </row>
    <row r="1825" spans="8:8" x14ac:dyDescent="0.25">
      <c r="H1825" t="s">
        <v>135</v>
      </c>
    </row>
    <row r="1826" spans="8:8" x14ac:dyDescent="0.25">
      <c r="H1826" t="s">
        <v>16240</v>
      </c>
    </row>
    <row r="1827" spans="8:8" x14ac:dyDescent="0.25">
      <c r="H1827" t="s">
        <v>30</v>
      </c>
    </row>
    <row r="1829" spans="8:8" x14ac:dyDescent="0.25">
      <c r="H1829" t="s">
        <v>9128</v>
      </c>
    </row>
    <row r="1830" spans="8:8" x14ac:dyDescent="0.25">
      <c r="H1830" t="s">
        <v>9129</v>
      </c>
    </row>
    <row r="1831" spans="8:8" x14ac:dyDescent="0.25">
      <c r="H1831" t="s">
        <v>135</v>
      </c>
    </row>
    <row r="1832" spans="8:8" x14ac:dyDescent="0.25">
      <c r="H1832" t="s">
        <v>16241</v>
      </c>
    </row>
    <row r="1833" spans="8:8" x14ac:dyDescent="0.25">
      <c r="H1833" t="s">
        <v>30</v>
      </c>
    </row>
    <row r="1835" spans="8:8" x14ac:dyDescent="0.25">
      <c r="H1835" t="s">
        <v>9131</v>
      </c>
    </row>
    <row r="1836" spans="8:8" x14ac:dyDescent="0.25">
      <c r="H1836" t="s">
        <v>9132</v>
      </c>
    </row>
    <row r="1837" spans="8:8" x14ac:dyDescent="0.25">
      <c r="H1837" t="s">
        <v>135</v>
      </c>
    </row>
    <row r="1838" spans="8:8" x14ac:dyDescent="0.25">
      <c r="H1838" t="s">
        <v>16242</v>
      </c>
    </row>
    <row r="1839" spans="8:8" x14ac:dyDescent="0.25">
      <c r="H1839" t="s">
        <v>30</v>
      </c>
    </row>
    <row r="1841" spans="8:8" x14ac:dyDescent="0.25">
      <c r="H1841" t="s">
        <v>9134</v>
      </c>
    </row>
    <row r="1842" spans="8:8" x14ac:dyDescent="0.25">
      <c r="H1842" t="s">
        <v>9135</v>
      </c>
    </row>
    <row r="1843" spans="8:8" x14ac:dyDescent="0.25">
      <c r="H1843" t="s">
        <v>135</v>
      </c>
    </row>
    <row r="1844" spans="8:8" x14ac:dyDescent="0.25">
      <c r="H1844" t="s">
        <v>16243</v>
      </c>
    </row>
    <row r="1845" spans="8:8" x14ac:dyDescent="0.25">
      <c r="H1845" t="s">
        <v>30</v>
      </c>
    </row>
    <row r="1847" spans="8:8" x14ac:dyDescent="0.25">
      <c r="H1847" t="s">
        <v>9137</v>
      </c>
    </row>
    <row r="1848" spans="8:8" x14ac:dyDescent="0.25">
      <c r="H1848" t="s">
        <v>9138</v>
      </c>
    </row>
    <row r="1849" spans="8:8" x14ac:dyDescent="0.25">
      <c r="H1849" t="s">
        <v>135</v>
      </c>
    </row>
    <row r="1850" spans="8:8" x14ac:dyDescent="0.25">
      <c r="H1850" t="s">
        <v>16244</v>
      </c>
    </row>
    <row r="1851" spans="8:8" x14ac:dyDescent="0.25">
      <c r="H1851" t="s">
        <v>30</v>
      </c>
    </row>
    <row r="1853" spans="8:8" x14ac:dyDescent="0.25">
      <c r="H1853" t="s">
        <v>9140</v>
      </c>
    </row>
    <row r="1854" spans="8:8" x14ac:dyDescent="0.25">
      <c r="H1854" t="s">
        <v>9141</v>
      </c>
    </row>
    <row r="1855" spans="8:8" x14ac:dyDescent="0.25">
      <c r="H1855" t="s">
        <v>135</v>
      </c>
    </row>
    <row r="1856" spans="8:8" x14ac:dyDescent="0.25">
      <c r="H1856" t="s">
        <v>16245</v>
      </c>
    </row>
    <row r="1857" spans="8:8" x14ac:dyDescent="0.25">
      <c r="H1857" t="s">
        <v>30</v>
      </c>
    </row>
    <row r="1859" spans="8:8" x14ac:dyDescent="0.25">
      <c r="H1859" t="s">
        <v>9143</v>
      </c>
    </row>
    <row r="1860" spans="8:8" x14ac:dyDescent="0.25">
      <c r="H1860" t="s">
        <v>9144</v>
      </c>
    </row>
    <row r="1861" spans="8:8" x14ac:dyDescent="0.25">
      <c r="H1861" t="s">
        <v>135</v>
      </c>
    </row>
    <row r="1862" spans="8:8" x14ac:dyDescent="0.25">
      <c r="H1862" t="s">
        <v>16246</v>
      </c>
    </row>
    <row r="1863" spans="8:8" x14ac:dyDescent="0.25">
      <c r="H1863" t="s">
        <v>30</v>
      </c>
    </row>
    <row r="1865" spans="8:8" x14ac:dyDescent="0.25">
      <c r="H1865" t="s">
        <v>9146</v>
      </c>
    </row>
    <row r="1866" spans="8:8" x14ac:dyDescent="0.25">
      <c r="H1866" t="s">
        <v>9147</v>
      </c>
    </row>
    <row r="1867" spans="8:8" x14ac:dyDescent="0.25">
      <c r="H1867" t="s">
        <v>135</v>
      </c>
    </row>
    <row r="1868" spans="8:8" x14ac:dyDescent="0.25">
      <c r="H1868" t="s">
        <v>16247</v>
      </c>
    </row>
    <row r="1869" spans="8:8" x14ac:dyDescent="0.25">
      <c r="H1869" t="s">
        <v>30</v>
      </c>
    </row>
    <row r="1871" spans="8:8" x14ac:dyDescent="0.25">
      <c r="H1871" t="s">
        <v>9149</v>
      </c>
    </row>
    <row r="1872" spans="8:8" x14ac:dyDescent="0.25">
      <c r="H1872" t="s">
        <v>9150</v>
      </c>
    </row>
    <row r="1873" spans="8:8" x14ac:dyDescent="0.25">
      <c r="H1873" t="s">
        <v>135</v>
      </c>
    </row>
    <row r="1874" spans="8:8" x14ac:dyDescent="0.25">
      <c r="H1874" t="s">
        <v>16248</v>
      </c>
    </row>
    <row r="1875" spans="8:8" x14ac:dyDescent="0.25">
      <c r="H1875" t="s">
        <v>30</v>
      </c>
    </row>
    <row r="1877" spans="8:8" x14ac:dyDescent="0.25">
      <c r="H1877" t="s">
        <v>9152</v>
      </c>
    </row>
    <row r="1878" spans="8:8" x14ac:dyDescent="0.25">
      <c r="H1878" t="s">
        <v>9153</v>
      </c>
    </row>
    <row r="1879" spans="8:8" x14ac:dyDescent="0.25">
      <c r="H1879" t="s">
        <v>135</v>
      </c>
    </row>
    <row r="1880" spans="8:8" x14ac:dyDescent="0.25">
      <c r="H1880" t="s">
        <v>16249</v>
      </c>
    </row>
    <row r="1881" spans="8:8" x14ac:dyDescent="0.25">
      <c r="H1881" t="s">
        <v>30</v>
      </c>
    </row>
    <row r="1883" spans="8:8" x14ac:dyDescent="0.25">
      <c r="H1883" t="s">
        <v>9155</v>
      </c>
    </row>
    <row r="1884" spans="8:8" x14ac:dyDescent="0.25">
      <c r="H1884" t="s">
        <v>9156</v>
      </c>
    </row>
    <row r="1885" spans="8:8" x14ac:dyDescent="0.25">
      <c r="H1885" t="s">
        <v>135</v>
      </c>
    </row>
    <row r="1886" spans="8:8" x14ac:dyDescent="0.25">
      <c r="H1886" t="s">
        <v>16250</v>
      </c>
    </row>
    <row r="1887" spans="8:8" x14ac:dyDescent="0.25">
      <c r="H1887" t="s">
        <v>30</v>
      </c>
    </row>
    <row r="1888" spans="8:8" x14ac:dyDescent="0.25">
      <c r="H1888" t="s">
        <v>136</v>
      </c>
    </row>
    <row r="1889" spans="8:8" x14ac:dyDescent="0.25">
      <c r="H1889" t="s">
        <v>16251</v>
      </c>
    </row>
    <row r="1890" spans="8:8" x14ac:dyDescent="0.25">
      <c r="H1890" t="s">
        <v>30</v>
      </c>
    </row>
    <row r="1891" spans="8:8" x14ac:dyDescent="0.25">
      <c r="H1891" t="s">
        <v>137</v>
      </c>
    </row>
    <row r="1892" spans="8:8" x14ac:dyDescent="0.25">
      <c r="H1892" t="s">
        <v>16252</v>
      </c>
    </row>
    <row r="1893" spans="8:8" x14ac:dyDescent="0.25">
      <c r="H1893" t="s">
        <v>30</v>
      </c>
    </row>
    <row r="1895" spans="8:8" x14ac:dyDescent="0.25">
      <c r="H1895" t="s">
        <v>9160</v>
      </c>
    </row>
    <row r="1896" spans="8:8" x14ac:dyDescent="0.25">
      <c r="H1896" t="s">
        <v>9161</v>
      </c>
    </row>
    <row r="1897" spans="8:8" x14ac:dyDescent="0.25">
      <c r="H1897" t="s">
        <v>135</v>
      </c>
    </row>
    <row r="1898" spans="8:8" x14ac:dyDescent="0.25">
      <c r="H1898" t="s">
        <v>16253</v>
      </c>
    </row>
    <row r="1899" spans="8:8" x14ac:dyDescent="0.25">
      <c r="H1899" t="s">
        <v>30</v>
      </c>
    </row>
    <row r="1900" spans="8:8" x14ac:dyDescent="0.25">
      <c r="H1900" t="s">
        <v>136</v>
      </c>
    </row>
    <row r="1901" spans="8:8" x14ac:dyDescent="0.25">
      <c r="H1901" t="s">
        <v>16254</v>
      </c>
    </row>
    <row r="1902" spans="8:8" x14ac:dyDescent="0.25">
      <c r="H1902" t="s">
        <v>30</v>
      </c>
    </row>
    <row r="1903" spans="8:8" x14ac:dyDescent="0.25">
      <c r="H1903" t="s">
        <v>137</v>
      </c>
    </row>
    <row r="1904" spans="8:8" x14ac:dyDescent="0.25">
      <c r="H1904" t="s">
        <v>16255</v>
      </c>
    </row>
    <row r="1905" spans="8:8" x14ac:dyDescent="0.25">
      <c r="H1905" t="s">
        <v>30</v>
      </c>
    </row>
    <row r="1906" spans="8:8" x14ac:dyDescent="0.25">
      <c r="H1906" t="s">
        <v>138</v>
      </c>
    </row>
    <row r="1907" spans="8:8" x14ac:dyDescent="0.25">
      <c r="H1907" t="s">
        <v>16256</v>
      </c>
    </row>
    <row r="1908" spans="8:8" x14ac:dyDescent="0.25">
      <c r="H1908" t="s">
        <v>30</v>
      </c>
    </row>
    <row r="1910" spans="8:8" x14ac:dyDescent="0.25">
      <c r="H1910" t="s">
        <v>9166</v>
      </c>
    </row>
    <row r="1911" spans="8:8" x14ac:dyDescent="0.25">
      <c r="H1911" t="s">
        <v>9167</v>
      </c>
    </row>
    <row r="1912" spans="8:8" x14ac:dyDescent="0.25">
      <c r="H1912" t="s">
        <v>135</v>
      </c>
    </row>
    <row r="1913" spans="8:8" x14ac:dyDescent="0.25">
      <c r="H1913" t="s">
        <v>16257</v>
      </c>
    </row>
    <row r="1914" spans="8:8" x14ac:dyDescent="0.25">
      <c r="H1914" t="s">
        <v>30</v>
      </c>
    </row>
    <row r="1915" spans="8:8" x14ac:dyDescent="0.25">
      <c r="H1915" t="s">
        <v>136</v>
      </c>
    </row>
    <row r="1916" spans="8:8" x14ac:dyDescent="0.25">
      <c r="H1916" t="s">
        <v>16258</v>
      </c>
    </row>
    <row r="1917" spans="8:8" x14ac:dyDescent="0.25">
      <c r="H1917" t="s">
        <v>30</v>
      </c>
    </row>
    <row r="1918" spans="8:8" x14ac:dyDescent="0.25">
      <c r="H1918" t="s">
        <v>137</v>
      </c>
    </row>
    <row r="1919" spans="8:8" x14ac:dyDescent="0.25">
      <c r="H1919" t="s">
        <v>16259</v>
      </c>
    </row>
    <row r="1920" spans="8:8" x14ac:dyDescent="0.25">
      <c r="H1920" t="s">
        <v>30</v>
      </c>
    </row>
    <row r="1921" spans="8:8" x14ac:dyDescent="0.25">
      <c r="H1921" t="s">
        <v>138</v>
      </c>
    </row>
    <row r="1922" spans="8:8" x14ac:dyDescent="0.25">
      <c r="H1922" t="s">
        <v>16260</v>
      </c>
    </row>
    <row r="1923" spans="8:8" x14ac:dyDescent="0.25">
      <c r="H1923" t="s">
        <v>30</v>
      </c>
    </row>
    <row r="1925" spans="8:8" x14ac:dyDescent="0.25">
      <c r="H1925" t="s">
        <v>9172</v>
      </c>
    </row>
    <row r="1926" spans="8:8" x14ac:dyDescent="0.25">
      <c r="H1926" t="s">
        <v>9173</v>
      </c>
    </row>
    <row r="1927" spans="8:8" x14ac:dyDescent="0.25">
      <c r="H1927" t="s">
        <v>135</v>
      </c>
    </row>
    <row r="1928" spans="8:8" x14ac:dyDescent="0.25">
      <c r="H1928" t="s">
        <v>16261</v>
      </c>
    </row>
    <row r="1929" spans="8:8" x14ac:dyDescent="0.25">
      <c r="H1929" t="s">
        <v>30</v>
      </c>
    </row>
    <row r="1931" spans="8:8" x14ac:dyDescent="0.25">
      <c r="H1931" t="s">
        <v>9175</v>
      </c>
    </row>
    <row r="1932" spans="8:8" x14ac:dyDescent="0.25">
      <c r="H1932" t="s">
        <v>9176</v>
      </c>
    </row>
    <row r="1933" spans="8:8" x14ac:dyDescent="0.25">
      <c r="H1933" t="s">
        <v>135</v>
      </c>
    </row>
    <row r="1934" spans="8:8" x14ac:dyDescent="0.25">
      <c r="H1934" t="s">
        <v>16262</v>
      </c>
    </row>
    <row r="1935" spans="8:8" x14ac:dyDescent="0.25">
      <c r="H1935" t="s">
        <v>30</v>
      </c>
    </row>
    <row r="1937" spans="8:8" x14ac:dyDescent="0.25">
      <c r="H1937" t="s">
        <v>9178</v>
      </c>
    </row>
    <row r="1938" spans="8:8" x14ac:dyDescent="0.25">
      <c r="H1938" t="s">
        <v>9179</v>
      </c>
    </row>
    <row r="1939" spans="8:8" x14ac:dyDescent="0.25">
      <c r="H1939" t="s">
        <v>135</v>
      </c>
    </row>
    <row r="1940" spans="8:8" x14ac:dyDescent="0.25">
      <c r="H1940" t="s">
        <v>16263</v>
      </c>
    </row>
    <row r="1941" spans="8:8" x14ac:dyDescent="0.25">
      <c r="H1941" t="s">
        <v>30</v>
      </c>
    </row>
    <row r="1943" spans="8:8" x14ac:dyDescent="0.25">
      <c r="H1943" t="s">
        <v>9181</v>
      </c>
    </row>
    <row r="1944" spans="8:8" x14ac:dyDescent="0.25">
      <c r="H1944" t="s">
        <v>9182</v>
      </c>
    </row>
    <row r="1945" spans="8:8" x14ac:dyDescent="0.25">
      <c r="H1945" t="s">
        <v>135</v>
      </c>
    </row>
    <row r="1946" spans="8:8" x14ac:dyDescent="0.25">
      <c r="H1946" t="s">
        <v>16264</v>
      </c>
    </row>
    <row r="1947" spans="8:8" x14ac:dyDescent="0.25">
      <c r="H1947" t="s">
        <v>30</v>
      </c>
    </row>
    <row r="1949" spans="8:8" x14ac:dyDescent="0.25">
      <c r="H1949" t="s">
        <v>9184</v>
      </c>
    </row>
    <row r="1950" spans="8:8" x14ac:dyDescent="0.25">
      <c r="H1950" t="s">
        <v>9185</v>
      </c>
    </row>
    <row r="1951" spans="8:8" x14ac:dyDescent="0.25">
      <c r="H1951" t="s">
        <v>135</v>
      </c>
    </row>
    <row r="1952" spans="8:8" x14ac:dyDescent="0.25">
      <c r="H1952" t="s">
        <v>16265</v>
      </c>
    </row>
    <row r="1953" spans="8:8" x14ac:dyDescent="0.25">
      <c r="H1953" t="s">
        <v>30</v>
      </c>
    </row>
    <row r="1955" spans="8:8" x14ac:dyDescent="0.25">
      <c r="H1955" t="s">
        <v>9187</v>
      </c>
    </row>
    <row r="1956" spans="8:8" x14ac:dyDescent="0.25">
      <c r="H1956" t="s">
        <v>9188</v>
      </c>
    </row>
    <row r="1957" spans="8:8" x14ac:dyDescent="0.25">
      <c r="H1957" t="s">
        <v>135</v>
      </c>
    </row>
    <row r="1958" spans="8:8" x14ac:dyDescent="0.25">
      <c r="H1958" t="s">
        <v>16266</v>
      </c>
    </row>
    <row r="1959" spans="8:8" x14ac:dyDescent="0.25">
      <c r="H1959" t="s">
        <v>30</v>
      </c>
    </row>
    <row r="1961" spans="8:8" x14ac:dyDescent="0.25">
      <c r="H1961" t="s">
        <v>9190</v>
      </c>
    </row>
    <row r="1962" spans="8:8" x14ac:dyDescent="0.25">
      <c r="H1962" t="s">
        <v>9191</v>
      </c>
    </row>
    <row r="1963" spans="8:8" x14ac:dyDescent="0.25">
      <c r="H1963" t="s">
        <v>135</v>
      </c>
    </row>
    <row r="1964" spans="8:8" x14ac:dyDescent="0.25">
      <c r="H1964" t="s">
        <v>16267</v>
      </c>
    </row>
    <row r="1965" spans="8:8" x14ac:dyDescent="0.25">
      <c r="H1965" t="s">
        <v>30</v>
      </c>
    </row>
    <row r="1967" spans="8:8" x14ac:dyDescent="0.25">
      <c r="H1967" t="s">
        <v>9193</v>
      </c>
    </row>
    <row r="1968" spans="8:8" x14ac:dyDescent="0.25">
      <c r="H1968" t="s">
        <v>9194</v>
      </c>
    </row>
    <row r="1969" spans="8:8" x14ac:dyDescent="0.25">
      <c r="H1969" t="s">
        <v>135</v>
      </c>
    </row>
    <row r="1970" spans="8:8" x14ac:dyDescent="0.25">
      <c r="H1970" t="s">
        <v>16268</v>
      </c>
    </row>
    <row r="1971" spans="8:8" x14ac:dyDescent="0.25">
      <c r="H1971" t="s">
        <v>30</v>
      </c>
    </row>
    <row r="1973" spans="8:8" x14ac:dyDescent="0.25">
      <c r="H1973" t="s">
        <v>9196</v>
      </c>
    </row>
    <row r="1974" spans="8:8" x14ac:dyDescent="0.25">
      <c r="H1974" t="s">
        <v>9197</v>
      </c>
    </row>
    <row r="1975" spans="8:8" x14ac:dyDescent="0.25">
      <c r="H1975" t="s">
        <v>135</v>
      </c>
    </row>
    <row r="1976" spans="8:8" x14ac:dyDescent="0.25">
      <c r="H1976" t="s">
        <v>16269</v>
      </c>
    </row>
    <row r="1977" spans="8:8" x14ac:dyDescent="0.25">
      <c r="H1977" t="s">
        <v>30</v>
      </c>
    </row>
    <row r="1979" spans="8:8" x14ac:dyDescent="0.25">
      <c r="H1979" t="s">
        <v>9199</v>
      </c>
    </row>
    <row r="1980" spans="8:8" x14ac:dyDescent="0.25">
      <c r="H1980" t="s">
        <v>9200</v>
      </c>
    </row>
    <row r="1981" spans="8:8" x14ac:dyDescent="0.25">
      <c r="H1981" t="s">
        <v>135</v>
      </c>
    </row>
    <row r="1982" spans="8:8" x14ac:dyDescent="0.25">
      <c r="H1982" t="s">
        <v>16270</v>
      </c>
    </row>
    <row r="1983" spans="8:8" x14ac:dyDescent="0.25">
      <c r="H1983" t="s">
        <v>30</v>
      </c>
    </row>
    <row r="1985" spans="8:8" x14ac:dyDescent="0.25">
      <c r="H1985" t="s">
        <v>9202</v>
      </c>
    </row>
    <row r="1986" spans="8:8" x14ac:dyDescent="0.25">
      <c r="H1986" t="s">
        <v>9203</v>
      </c>
    </row>
    <row r="1987" spans="8:8" x14ac:dyDescent="0.25">
      <c r="H1987" t="s">
        <v>135</v>
      </c>
    </row>
    <row r="1988" spans="8:8" x14ac:dyDescent="0.25">
      <c r="H1988" t="s">
        <v>16271</v>
      </c>
    </row>
    <row r="1989" spans="8:8" x14ac:dyDescent="0.25">
      <c r="H1989" t="s">
        <v>30</v>
      </c>
    </row>
    <row r="1991" spans="8:8" x14ac:dyDescent="0.25">
      <c r="H1991" t="s">
        <v>9205</v>
      </c>
    </row>
    <row r="1992" spans="8:8" x14ac:dyDescent="0.25">
      <c r="H1992" t="s">
        <v>9206</v>
      </c>
    </row>
    <row r="1993" spans="8:8" x14ac:dyDescent="0.25">
      <c r="H1993" t="s">
        <v>135</v>
      </c>
    </row>
    <row r="1994" spans="8:8" x14ac:dyDescent="0.25">
      <c r="H1994" t="s">
        <v>16272</v>
      </c>
    </row>
    <row r="1995" spans="8:8" x14ac:dyDescent="0.25">
      <c r="H1995" t="s">
        <v>30</v>
      </c>
    </row>
    <row r="1997" spans="8:8" x14ac:dyDescent="0.25">
      <c r="H1997" t="s">
        <v>9208</v>
      </c>
    </row>
    <row r="1998" spans="8:8" x14ac:dyDescent="0.25">
      <c r="H1998" t="s">
        <v>9209</v>
      </c>
    </row>
    <row r="1999" spans="8:8" x14ac:dyDescent="0.25">
      <c r="H1999" t="s">
        <v>135</v>
      </c>
    </row>
    <row r="2000" spans="8:8" x14ac:dyDescent="0.25">
      <c r="H2000" t="s">
        <v>16273</v>
      </c>
    </row>
    <row r="2001" spans="8:8" x14ac:dyDescent="0.25">
      <c r="H2001" t="s">
        <v>30</v>
      </c>
    </row>
    <row r="2003" spans="8:8" x14ac:dyDescent="0.25">
      <c r="H2003" t="s">
        <v>9211</v>
      </c>
    </row>
    <row r="2004" spans="8:8" x14ac:dyDescent="0.25">
      <c r="H2004" t="s">
        <v>9212</v>
      </c>
    </row>
    <row r="2005" spans="8:8" x14ac:dyDescent="0.25">
      <c r="H2005" t="s">
        <v>135</v>
      </c>
    </row>
    <row r="2006" spans="8:8" x14ac:dyDescent="0.25">
      <c r="H2006" t="s">
        <v>16274</v>
      </c>
    </row>
    <row r="2007" spans="8:8" x14ac:dyDescent="0.25">
      <c r="H2007" t="s">
        <v>30</v>
      </c>
    </row>
    <row r="2009" spans="8:8" x14ac:dyDescent="0.25">
      <c r="H2009" t="s">
        <v>9214</v>
      </c>
    </row>
    <row r="2010" spans="8:8" x14ac:dyDescent="0.25">
      <c r="H2010" t="s">
        <v>9215</v>
      </c>
    </row>
    <row r="2011" spans="8:8" x14ac:dyDescent="0.25">
      <c r="H2011" t="s">
        <v>135</v>
      </c>
    </row>
    <row r="2012" spans="8:8" x14ac:dyDescent="0.25">
      <c r="H2012" t="s">
        <v>16275</v>
      </c>
    </row>
    <row r="2013" spans="8:8" x14ac:dyDescent="0.25">
      <c r="H2013" t="s">
        <v>30</v>
      </c>
    </row>
    <row r="2015" spans="8:8" x14ac:dyDescent="0.25">
      <c r="H2015" t="s">
        <v>9217</v>
      </c>
    </row>
    <row r="2016" spans="8:8" x14ac:dyDescent="0.25">
      <c r="H2016" t="s">
        <v>9218</v>
      </c>
    </row>
    <row r="2017" spans="8:8" x14ac:dyDescent="0.25">
      <c r="H2017" t="s">
        <v>135</v>
      </c>
    </row>
    <row r="2018" spans="8:8" x14ac:dyDescent="0.25">
      <c r="H2018" t="s">
        <v>16276</v>
      </c>
    </row>
    <row r="2019" spans="8:8" x14ac:dyDescent="0.25">
      <c r="H2019" t="s">
        <v>30</v>
      </c>
    </row>
    <row r="2021" spans="8:8" x14ac:dyDescent="0.25">
      <c r="H2021" t="s">
        <v>9220</v>
      </c>
    </row>
    <row r="2022" spans="8:8" x14ac:dyDescent="0.25">
      <c r="H2022" t="s">
        <v>9221</v>
      </c>
    </row>
    <row r="2023" spans="8:8" x14ac:dyDescent="0.25">
      <c r="H2023" t="s">
        <v>135</v>
      </c>
    </row>
    <row r="2024" spans="8:8" x14ac:dyDescent="0.25">
      <c r="H2024" t="s">
        <v>16277</v>
      </c>
    </row>
    <row r="2025" spans="8:8" x14ac:dyDescent="0.25">
      <c r="H2025" t="s">
        <v>30</v>
      </c>
    </row>
    <row r="2027" spans="8:8" x14ac:dyDescent="0.25">
      <c r="H2027" t="s">
        <v>9223</v>
      </c>
    </row>
    <row r="2028" spans="8:8" x14ac:dyDescent="0.25">
      <c r="H2028" t="s">
        <v>9224</v>
      </c>
    </row>
    <row r="2029" spans="8:8" x14ac:dyDescent="0.25">
      <c r="H2029" t="s">
        <v>135</v>
      </c>
    </row>
    <row r="2030" spans="8:8" x14ac:dyDescent="0.25">
      <c r="H2030" t="s">
        <v>16278</v>
      </c>
    </row>
    <row r="2031" spans="8:8" x14ac:dyDescent="0.25">
      <c r="H2031" t="s">
        <v>30</v>
      </c>
    </row>
    <row r="2033" spans="8:8" x14ac:dyDescent="0.25">
      <c r="H2033" t="s">
        <v>9226</v>
      </c>
    </row>
    <row r="2034" spans="8:8" x14ac:dyDescent="0.25">
      <c r="H2034" t="s">
        <v>9227</v>
      </c>
    </row>
    <row r="2035" spans="8:8" x14ac:dyDescent="0.25">
      <c r="H2035" t="s">
        <v>135</v>
      </c>
    </row>
    <row r="2036" spans="8:8" x14ac:dyDescent="0.25">
      <c r="H2036" t="s">
        <v>16279</v>
      </c>
    </row>
    <row r="2037" spans="8:8" x14ac:dyDescent="0.25">
      <c r="H2037" t="s">
        <v>30</v>
      </c>
    </row>
    <row r="2039" spans="8:8" x14ac:dyDescent="0.25">
      <c r="H2039" t="s">
        <v>9229</v>
      </c>
    </row>
    <row r="2040" spans="8:8" x14ac:dyDescent="0.25">
      <c r="H2040" t="s">
        <v>9230</v>
      </c>
    </row>
    <row r="2041" spans="8:8" x14ac:dyDescent="0.25">
      <c r="H2041" t="s">
        <v>135</v>
      </c>
    </row>
    <row r="2042" spans="8:8" x14ac:dyDescent="0.25">
      <c r="H2042" t="s">
        <v>16280</v>
      </c>
    </row>
    <row r="2043" spans="8:8" x14ac:dyDescent="0.25">
      <c r="H2043" t="s">
        <v>30</v>
      </c>
    </row>
    <row r="2045" spans="8:8" x14ac:dyDescent="0.25">
      <c r="H2045" t="s">
        <v>9232</v>
      </c>
    </row>
    <row r="2046" spans="8:8" x14ac:dyDescent="0.25">
      <c r="H2046" t="s">
        <v>9233</v>
      </c>
    </row>
    <row r="2047" spans="8:8" x14ac:dyDescent="0.25">
      <c r="H2047" t="s">
        <v>135</v>
      </c>
    </row>
    <row r="2048" spans="8:8" x14ac:dyDescent="0.25">
      <c r="H2048" t="s">
        <v>16281</v>
      </c>
    </row>
    <row r="2049" spans="8:8" x14ac:dyDescent="0.25">
      <c r="H2049" t="s">
        <v>30</v>
      </c>
    </row>
    <row r="2051" spans="8:8" x14ac:dyDescent="0.25">
      <c r="H2051" t="s">
        <v>9235</v>
      </c>
    </row>
    <row r="2052" spans="8:8" x14ac:dyDescent="0.25">
      <c r="H2052" t="s">
        <v>9236</v>
      </c>
    </row>
    <row r="2053" spans="8:8" x14ac:dyDescent="0.25">
      <c r="H2053" t="s">
        <v>135</v>
      </c>
    </row>
    <row r="2054" spans="8:8" x14ac:dyDescent="0.25">
      <c r="H2054" t="s">
        <v>16282</v>
      </c>
    </row>
    <row r="2055" spans="8:8" x14ac:dyDescent="0.25">
      <c r="H2055" t="s">
        <v>30</v>
      </c>
    </row>
    <row r="2057" spans="8:8" x14ac:dyDescent="0.25">
      <c r="H2057" t="s">
        <v>9238</v>
      </c>
    </row>
    <row r="2058" spans="8:8" x14ac:dyDescent="0.25">
      <c r="H2058" t="s">
        <v>9239</v>
      </c>
    </row>
    <row r="2059" spans="8:8" x14ac:dyDescent="0.25">
      <c r="H2059" t="s">
        <v>135</v>
      </c>
    </row>
    <row r="2060" spans="8:8" x14ac:dyDescent="0.25">
      <c r="H2060" t="s">
        <v>16283</v>
      </c>
    </row>
    <row r="2061" spans="8:8" x14ac:dyDescent="0.25">
      <c r="H2061" t="s">
        <v>30</v>
      </c>
    </row>
    <row r="2063" spans="8:8" x14ac:dyDescent="0.25">
      <c r="H2063" t="s">
        <v>9241</v>
      </c>
    </row>
    <row r="2064" spans="8:8" x14ac:dyDescent="0.25">
      <c r="H2064" t="s">
        <v>9242</v>
      </c>
    </row>
    <row r="2065" spans="8:8" x14ac:dyDescent="0.25">
      <c r="H2065" t="s">
        <v>135</v>
      </c>
    </row>
    <row r="2066" spans="8:8" x14ac:dyDescent="0.25">
      <c r="H2066" t="s">
        <v>16284</v>
      </c>
    </row>
    <row r="2067" spans="8:8" x14ac:dyDescent="0.25">
      <c r="H2067" t="s">
        <v>30</v>
      </c>
    </row>
    <row r="2069" spans="8:8" x14ac:dyDescent="0.25">
      <c r="H2069" t="s">
        <v>9244</v>
      </c>
    </row>
    <row r="2070" spans="8:8" x14ac:dyDescent="0.25">
      <c r="H2070" t="s">
        <v>9245</v>
      </c>
    </row>
    <row r="2071" spans="8:8" x14ac:dyDescent="0.25">
      <c r="H2071" t="s">
        <v>135</v>
      </c>
    </row>
    <row r="2072" spans="8:8" x14ac:dyDescent="0.25">
      <c r="H2072" t="s">
        <v>16285</v>
      </c>
    </row>
    <row r="2073" spans="8:8" x14ac:dyDescent="0.25">
      <c r="H2073" t="s">
        <v>30</v>
      </c>
    </row>
    <row r="2074" spans="8:8" x14ac:dyDescent="0.25">
      <c r="H2074" t="s">
        <v>9247</v>
      </c>
    </row>
    <row r="2075" spans="8:8" x14ac:dyDescent="0.25">
      <c r="H2075" t="s">
        <v>136</v>
      </c>
    </row>
    <row r="2076" spans="8:8" x14ac:dyDescent="0.25">
      <c r="H2076" t="s">
        <v>16286</v>
      </c>
    </row>
    <row r="2077" spans="8:8" x14ac:dyDescent="0.25">
      <c r="H2077" t="s">
        <v>30</v>
      </c>
    </row>
    <row r="2078" spans="8:8" x14ac:dyDescent="0.25">
      <c r="H2078" t="s">
        <v>9249</v>
      </c>
    </row>
    <row r="2079" spans="8:8" x14ac:dyDescent="0.25">
      <c r="H2079" t="s">
        <v>137</v>
      </c>
    </row>
    <row r="2080" spans="8:8" x14ac:dyDescent="0.25">
      <c r="H2080" t="s">
        <v>16287</v>
      </c>
    </row>
    <row r="2081" spans="8:8" x14ac:dyDescent="0.25">
      <c r="H2081" t="s">
        <v>30</v>
      </c>
    </row>
    <row r="2082" spans="8:8" x14ac:dyDescent="0.25">
      <c r="H2082" t="s">
        <v>9251</v>
      </c>
    </row>
    <row r="2083" spans="8:8" x14ac:dyDescent="0.25">
      <c r="H2083" t="s">
        <v>138</v>
      </c>
    </row>
    <row r="2084" spans="8:8" x14ac:dyDescent="0.25">
      <c r="H2084" t="s">
        <v>16288</v>
      </c>
    </row>
    <row r="2085" spans="8:8" x14ac:dyDescent="0.25">
      <c r="H2085" t="s">
        <v>30</v>
      </c>
    </row>
    <row r="2087" spans="8:8" x14ac:dyDescent="0.25">
      <c r="H2087" t="s">
        <v>9253</v>
      </c>
    </row>
    <row r="2088" spans="8:8" x14ac:dyDescent="0.25">
      <c r="H2088" t="s">
        <v>9254</v>
      </c>
    </row>
    <row r="2089" spans="8:8" x14ac:dyDescent="0.25">
      <c r="H2089" t="s">
        <v>135</v>
      </c>
    </row>
    <row r="2090" spans="8:8" x14ac:dyDescent="0.25">
      <c r="H2090" t="s">
        <v>16289</v>
      </c>
    </row>
    <row r="2091" spans="8:8" x14ac:dyDescent="0.25">
      <c r="H2091" t="s">
        <v>30</v>
      </c>
    </row>
    <row r="2092" spans="8:8" x14ac:dyDescent="0.25">
      <c r="H2092" t="s">
        <v>9256</v>
      </c>
    </row>
    <row r="2093" spans="8:8" x14ac:dyDescent="0.25">
      <c r="H2093" t="s">
        <v>136</v>
      </c>
    </row>
    <row r="2094" spans="8:8" x14ac:dyDescent="0.25">
      <c r="H2094" t="s">
        <v>16290</v>
      </c>
    </row>
    <row r="2095" spans="8:8" x14ac:dyDescent="0.25">
      <c r="H2095" t="s">
        <v>30</v>
      </c>
    </row>
    <row r="2096" spans="8:8" x14ac:dyDescent="0.25">
      <c r="H2096" t="s">
        <v>9258</v>
      </c>
    </row>
    <row r="2097" spans="8:8" x14ac:dyDescent="0.25">
      <c r="H2097" t="s">
        <v>137</v>
      </c>
    </row>
    <row r="2098" spans="8:8" x14ac:dyDescent="0.25">
      <c r="H2098" t="s">
        <v>16291</v>
      </c>
    </row>
    <row r="2099" spans="8:8" x14ac:dyDescent="0.25">
      <c r="H2099" t="s">
        <v>30</v>
      </c>
    </row>
    <row r="2100" spans="8:8" x14ac:dyDescent="0.25">
      <c r="H2100" t="s">
        <v>9260</v>
      </c>
    </row>
    <row r="2101" spans="8:8" x14ac:dyDescent="0.25">
      <c r="H2101" t="s">
        <v>138</v>
      </c>
    </row>
    <row r="2102" spans="8:8" x14ac:dyDescent="0.25">
      <c r="H2102" t="s">
        <v>16292</v>
      </c>
    </row>
    <row r="2103" spans="8:8" x14ac:dyDescent="0.25">
      <c r="H2103" t="s">
        <v>30</v>
      </c>
    </row>
    <row r="2105" spans="8:8" x14ac:dyDescent="0.25">
      <c r="H2105" t="s">
        <v>9262</v>
      </c>
    </row>
    <row r="2106" spans="8:8" x14ac:dyDescent="0.25">
      <c r="H2106" t="s">
        <v>9263</v>
      </c>
    </row>
    <row r="2107" spans="8:8" x14ac:dyDescent="0.25">
      <c r="H2107" t="s">
        <v>135</v>
      </c>
    </row>
    <row r="2108" spans="8:8" x14ac:dyDescent="0.25">
      <c r="H2108" t="s">
        <v>16293</v>
      </c>
    </row>
    <row r="2109" spans="8:8" x14ac:dyDescent="0.25">
      <c r="H2109" t="s">
        <v>30</v>
      </c>
    </row>
    <row r="2110" spans="8:8" x14ac:dyDescent="0.25">
      <c r="H2110" t="s">
        <v>9265</v>
      </c>
    </row>
    <row r="2111" spans="8:8" x14ac:dyDescent="0.25">
      <c r="H2111" t="s">
        <v>136</v>
      </c>
    </row>
    <row r="2112" spans="8:8" x14ac:dyDescent="0.25">
      <c r="H2112" t="s">
        <v>16294</v>
      </c>
    </row>
    <row r="2113" spans="8:8" x14ac:dyDescent="0.25">
      <c r="H2113" t="s">
        <v>30</v>
      </c>
    </row>
    <row r="2114" spans="8:8" x14ac:dyDescent="0.25">
      <c r="H2114" t="s">
        <v>9267</v>
      </c>
    </row>
    <row r="2115" spans="8:8" x14ac:dyDescent="0.25">
      <c r="H2115" t="s">
        <v>137</v>
      </c>
    </row>
    <row r="2116" spans="8:8" x14ac:dyDescent="0.25">
      <c r="H2116" t="s">
        <v>16295</v>
      </c>
    </row>
    <row r="2117" spans="8:8" x14ac:dyDescent="0.25">
      <c r="H2117" t="s">
        <v>30</v>
      </c>
    </row>
    <row r="2118" spans="8:8" x14ac:dyDescent="0.25">
      <c r="H2118" t="s">
        <v>9269</v>
      </c>
    </row>
    <row r="2119" spans="8:8" x14ac:dyDescent="0.25">
      <c r="H2119" t="s">
        <v>138</v>
      </c>
    </row>
    <row r="2120" spans="8:8" x14ac:dyDescent="0.25">
      <c r="H2120" t="s">
        <v>16296</v>
      </c>
    </row>
    <row r="2121" spans="8:8" x14ac:dyDescent="0.25">
      <c r="H2121" t="s">
        <v>30</v>
      </c>
    </row>
    <row r="2123" spans="8:8" x14ac:dyDescent="0.25">
      <c r="H2123" t="s">
        <v>9271</v>
      </c>
    </row>
    <row r="2124" spans="8:8" x14ac:dyDescent="0.25">
      <c r="H2124" t="s">
        <v>9272</v>
      </c>
    </row>
    <row r="2125" spans="8:8" x14ac:dyDescent="0.25">
      <c r="H2125" t="s">
        <v>135</v>
      </c>
    </row>
    <row r="2126" spans="8:8" x14ac:dyDescent="0.25">
      <c r="H2126" t="s">
        <v>16297</v>
      </c>
    </row>
    <row r="2127" spans="8:8" x14ac:dyDescent="0.25">
      <c r="H2127" t="s">
        <v>30</v>
      </c>
    </row>
    <row r="2128" spans="8:8" x14ac:dyDescent="0.25">
      <c r="H2128" t="s">
        <v>9274</v>
      </c>
    </row>
    <row r="2129" spans="8:8" x14ac:dyDescent="0.25">
      <c r="H2129" t="s">
        <v>136</v>
      </c>
    </row>
    <row r="2130" spans="8:8" x14ac:dyDescent="0.25">
      <c r="H2130" t="s">
        <v>16298</v>
      </c>
    </row>
    <row r="2131" spans="8:8" x14ac:dyDescent="0.25">
      <c r="H2131" t="s">
        <v>30</v>
      </c>
    </row>
    <row r="2132" spans="8:8" x14ac:dyDescent="0.25">
      <c r="H2132" t="s">
        <v>9276</v>
      </c>
    </row>
    <row r="2133" spans="8:8" x14ac:dyDescent="0.25">
      <c r="H2133" t="s">
        <v>137</v>
      </c>
    </row>
    <row r="2134" spans="8:8" x14ac:dyDescent="0.25">
      <c r="H2134" t="s">
        <v>16299</v>
      </c>
    </row>
    <row r="2135" spans="8:8" x14ac:dyDescent="0.25">
      <c r="H2135" t="s">
        <v>30</v>
      </c>
    </row>
    <row r="2137" spans="8:8" x14ac:dyDescent="0.25">
      <c r="H2137" t="s">
        <v>9278</v>
      </c>
    </row>
    <row r="2138" spans="8:8" x14ac:dyDescent="0.25">
      <c r="H2138" t="s">
        <v>9279</v>
      </c>
    </row>
    <row r="2139" spans="8:8" x14ac:dyDescent="0.25">
      <c r="H2139" t="s">
        <v>135</v>
      </c>
    </row>
    <row r="2140" spans="8:8" x14ac:dyDescent="0.25">
      <c r="H2140" t="s">
        <v>16300</v>
      </c>
    </row>
    <row r="2141" spans="8:8" x14ac:dyDescent="0.25">
      <c r="H2141" t="s">
        <v>30</v>
      </c>
    </row>
    <row r="2143" spans="8:8" x14ac:dyDescent="0.25">
      <c r="H2143" t="s">
        <v>9281</v>
      </c>
    </row>
    <row r="2144" spans="8:8" x14ac:dyDescent="0.25">
      <c r="H2144" t="s">
        <v>9282</v>
      </c>
    </row>
    <row r="2145" spans="8:8" x14ac:dyDescent="0.25">
      <c r="H2145" t="s">
        <v>135</v>
      </c>
    </row>
    <row r="2146" spans="8:8" x14ac:dyDescent="0.25">
      <c r="H2146" t="s">
        <v>16301</v>
      </c>
    </row>
    <row r="2147" spans="8:8" x14ac:dyDescent="0.25">
      <c r="H2147" t="s">
        <v>30</v>
      </c>
    </row>
    <row r="2149" spans="8:8" x14ac:dyDescent="0.25">
      <c r="H2149" t="s">
        <v>9284</v>
      </c>
    </row>
    <row r="2150" spans="8:8" x14ac:dyDescent="0.25">
      <c r="H2150" t="s">
        <v>9285</v>
      </c>
    </row>
    <row r="2151" spans="8:8" x14ac:dyDescent="0.25">
      <c r="H2151" t="s">
        <v>135</v>
      </c>
    </row>
    <row r="2152" spans="8:8" x14ac:dyDescent="0.25">
      <c r="H2152" t="s">
        <v>16302</v>
      </c>
    </row>
    <row r="2153" spans="8:8" x14ac:dyDescent="0.25">
      <c r="H2153" t="s">
        <v>30</v>
      </c>
    </row>
    <row r="2154" spans="8:8" x14ac:dyDescent="0.25">
      <c r="H2154" t="s">
        <v>136</v>
      </c>
    </row>
    <row r="2155" spans="8:8" x14ac:dyDescent="0.25">
      <c r="H2155" t="s">
        <v>16303</v>
      </c>
    </row>
    <row r="2156" spans="8:8" x14ac:dyDescent="0.25">
      <c r="H2156" t="s">
        <v>30</v>
      </c>
    </row>
    <row r="2158" spans="8:8" x14ac:dyDescent="0.25">
      <c r="H2158" t="s">
        <v>9288</v>
      </c>
    </row>
    <row r="2159" spans="8:8" x14ac:dyDescent="0.25">
      <c r="H2159" t="s">
        <v>9289</v>
      </c>
    </row>
    <row r="2160" spans="8:8" x14ac:dyDescent="0.25">
      <c r="H2160" t="s">
        <v>135</v>
      </c>
    </row>
    <row r="2161" spans="8:8" x14ac:dyDescent="0.25">
      <c r="H2161" t="s">
        <v>16304</v>
      </c>
    </row>
    <row r="2162" spans="8:8" x14ac:dyDescent="0.25">
      <c r="H2162" t="s">
        <v>30</v>
      </c>
    </row>
    <row r="2164" spans="8:8" x14ac:dyDescent="0.25">
      <c r="H2164" t="s">
        <v>9291</v>
      </c>
    </row>
    <row r="2165" spans="8:8" x14ac:dyDescent="0.25">
      <c r="H2165" t="s">
        <v>9292</v>
      </c>
    </row>
    <row r="2166" spans="8:8" x14ac:dyDescent="0.25">
      <c r="H2166" t="s">
        <v>135</v>
      </c>
    </row>
    <row r="2167" spans="8:8" x14ac:dyDescent="0.25">
      <c r="H2167" t="s">
        <v>16305</v>
      </c>
    </row>
    <row r="2168" spans="8:8" x14ac:dyDescent="0.25">
      <c r="H2168" t="s">
        <v>30</v>
      </c>
    </row>
    <row r="2170" spans="8:8" x14ac:dyDescent="0.25">
      <c r="H2170" t="s">
        <v>9294</v>
      </c>
    </row>
    <row r="2171" spans="8:8" x14ac:dyDescent="0.25">
      <c r="H2171" t="s">
        <v>9295</v>
      </c>
    </row>
    <row r="2172" spans="8:8" x14ac:dyDescent="0.25">
      <c r="H2172" t="s">
        <v>135</v>
      </c>
    </row>
    <row r="2173" spans="8:8" x14ac:dyDescent="0.25">
      <c r="H2173" t="s">
        <v>16306</v>
      </c>
    </row>
    <row r="2174" spans="8:8" x14ac:dyDescent="0.25">
      <c r="H2174" t="s">
        <v>30</v>
      </c>
    </row>
    <row r="2175" spans="8:8" x14ac:dyDescent="0.25">
      <c r="H2175" t="s">
        <v>136</v>
      </c>
    </row>
    <row r="2176" spans="8:8" x14ac:dyDescent="0.25">
      <c r="H2176" t="s">
        <v>16307</v>
      </c>
    </row>
    <row r="2177" spans="8:8" x14ac:dyDescent="0.25">
      <c r="H2177" t="s">
        <v>30</v>
      </c>
    </row>
    <row r="2178" spans="8:8" x14ac:dyDescent="0.25">
      <c r="H2178" t="s">
        <v>9298</v>
      </c>
    </row>
    <row r="2179" spans="8:8" x14ac:dyDescent="0.25">
      <c r="H2179" t="s">
        <v>137</v>
      </c>
    </row>
    <row r="2180" spans="8:8" x14ac:dyDescent="0.25">
      <c r="H2180" t="s">
        <v>16308</v>
      </c>
    </row>
    <row r="2181" spans="8:8" x14ac:dyDescent="0.25">
      <c r="H2181" t="s">
        <v>30</v>
      </c>
    </row>
    <row r="2182" spans="8:8" x14ac:dyDescent="0.25">
      <c r="H2182" t="s">
        <v>138</v>
      </c>
    </row>
    <row r="2183" spans="8:8" x14ac:dyDescent="0.25">
      <c r="H2183" t="s">
        <v>16309</v>
      </c>
    </row>
    <row r="2184" spans="8:8" x14ac:dyDescent="0.25">
      <c r="H2184" t="s">
        <v>30</v>
      </c>
    </row>
    <row r="2186" spans="8:8" x14ac:dyDescent="0.25">
      <c r="H2186" t="s">
        <v>9301</v>
      </c>
    </row>
    <row r="2187" spans="8:8" x14ac:dyDescent="0.25">
      <c r="H2187" t="s">
        <v>9302</v>
      </c>
    </row>
    <row r="2188" spans="8:8" x14ac:dyDescent="0.25">
      <c r="H2188" t="s">
        <v>135</v>
      </c>
    </row>
    <row r="2189" spans="8:8" x14ac:dyDescent="0.25">
      <c r="H2189" t="s">
        <v>16310</v>
      </c>
    </row>
    <row r="2190" spans="8:8" x14ac:dyDescent="0.25">
      <c r="H2190" t="s">
        <v>30</v>
      </c>
    </row>
    <row r="2191" spans="8:8" x14ac:dyDescent="0.25">
      <c r="H2191" t="s">
        <v>136</v>
      </c>
    </row>
    <row r="2192" spans="8:8" x14ac:dyDescent="0.25">
      <c r="H2192" t="s">
        <v>16311</v>
      </c>
    </row>
    <row r="2193" spans="8:8" x14ac:dyDescent="0.25">
      <c r="H2193" t="s">
        <v>30</v>
      </c>
    </row>
    <row r="2194" spans="8:8" x14ac:dyDescent="0.25">
      <c r="H2194" t="s">
        <v>137</v>
      </c>
    </row>
    <row r="2195" spans="8:8" x14ac:dyDescent="0.25">
      <c r="H2195" t="s">
        <v>16312</v>
      </c>
    </row>
    <row r="2196" spans="8:8" x14ac:dyDescent="0.25">
      <c r="H2196" t="s">
        <v>30</v>
      </c>
    </row>
    <row r="2197" spans="8:8" x14ac:dyDescent="0.25">
      <c r="H2197" t="s">
        <v>138</v>
      </c>
    </row>
    <row r="2198" spans="8:8" x14ac:dyDescent="0.25">
      <c r="H2198" t="s">
        <v>16313</v>
      </c>
    </row>
    <row r="2199" spans="8:8" x14ac:dyDescent="0.25">
      <c r="H2199" t="s">
        <v>30</v>
      </c>
    </row>
    <row r="2201" spans="8:8" x14ac:dyDescent="0.25">
      <c r="H2201" t="s">
        <v>9307</v>
      </c>
    </row>
    <row r="2202" spans="8:8" x14ac:dyDescent="0.25">
      <c r="H2202" t="s">
        <v>9308</v>
      </c>
    </row>
    <row r="2203" spans="8:8" x14ac:dyDescent="0.25">
      <c r="H2203" t="s">
        <v>135</v>
      </c>
    </row>
    <row r="2204" spans="8:8" x14ac:dyDescent="0.25">
      <c r="H2204" t="s">
        <v>16314</v>
      </c>
    </row>
    <row r="2205" spans="8:8" x14ac:dyDescent="0.25">
      <c r="H2205" t="s">
        <v>30</v>
      </c>
    </row>
    <row r="2206" spans="8:8" x14ac:dyDescent="0.25">
      <c r="H2206" t="s">
        <v>136</v>
      </c>
    </row>
    <row r="2207" spans="8:8" x14ac:dyDescent="0.25">
      <c r="H2207" t="s">
        <v>16315</v>
      </c>
    </row>
    <row r="2208" spans="8:8" x14ac:dyDescent="0.25">
      <c r="H2208" t="s">
        <v>30</v>
      </c>
    </row>
    <row r="2209" spans="8:8" x14ac:dyDescent="0.25">
      <c r="H2209" t="s">
        <v>137</v>
      </c>
    </row>
    <row r="2210" spans="8:8" x14ac:dyDescent="0.25">
      <c r="H2210" t="s">
        <v>16316</v>
      </c>
    </row>
    <row r="2211" spans="8:8" x14ac:dyDescent="0.25">
      <c r="H2211" t="s">
        <v>30</v>
      </c>
    </row>
    <row r="2212" spans="8:8" x14ac:dyDescent="0.25">
      <c r="H2212" t="s">
        <v>138</v>
      </c>
    </row>
    <row r="2213" spans="8:8" x14ac:dyDescent="0.25">
      <c r="H2213" t="s">
        <v>16317</v>
      </c>
    </row>
    <row r="2214" spans="8:8" x14ac:dyDescent="0.25">
      <c r="H2214" t="s">
        <v>30</v>
      </c>
    </row>
    <row r="2216" spans="8:8" x14ac:dyDescent="0.25">
      <c r="H2216" t="s">
        <v>9313</v>
      </c>
    </row>
    <row r="2217" spans="8:8" x14ac:dyDescent="0.25">
      <c r="H2217" t="s">
        <v>9314</v>
      </c>
    </row>
    <row r="2218" spans="8:8" x14ac:dyDescent="0.25">
      <c r="H2218" t="s">
        <v>135</v>
      </c>
    </row>
    <row r="2219" spans="8:8" x14ac:dyDescent="0.25">
      <c r="H2219" t="s">
        <v>16318</v>
      </c>
    </row>
    <row r="2220" spans="8:8" x14ac:dyDescent="0.25">
      <c r="H2220" t="s">
        <v>30</v>
      </c>
    </row>
    <row r="2221" spans="8:8" x14ac:dyDescent="0.25">
      <c r="H2221" t="s">
        <v>9316</v>
      </c>
    </row>
    <row r="2222" spans="8:8" x14ac:dyDescent="0.25">
      <c r="H2222" t="s">
        <v>137</v>
      </c>
    </row>
    <row r="2223" spans="8:8" x14ac:dyDescent="0.25">
      <c r="H2223" t="s">
        <v>16319</v>
      </c>
    </row>
    <row r="2224" spans="8:8" x14ac:dyDescent="0.25">
      <c r="H2224" t="s">
        <v>30</v>
      </c>
    </row>
    <row r="2225" spans="8:8" x14ac:dyDescent="0.25">
      <c r="H2225" t="s">
        <v>138</v>
      </c>
    </row>
    <row r="2226" spans="8:8" x14ac:dyDescent="0.25">
      <c r="H2226" t="s">
        <v>16320</v>
      </c>
    </row>
    <row r="2227" spans="8:8" x14ac:dyDescent="0.25">
      <c r="H2227" t="s">
        <v>30</v>
      </c>
    </row>
    <row r="2229" spans="8:8" x14ac:dyDescent="0.25">
      <c r="H2229" t="s">
        <v>9319</v>
      </c>
    </row>
    <row r="2230" spans="8:8" x14ac:dyDescent="0.25">
      <c r="H2230" t="s">
        <v>9320</v>
      </c>
    </row>
    <row r="2231" spans="8:8" x14ac:dyDescent="0.25">
      <c r="H2231" t="s">
        <v>135</v>
      </c>
    </row>
    <row r="2232" spans="8:8" x14ac:dyDescent="0.25">
      <c r="H2232" t="s">
        <v>16321</v>
      </c>
    </row>
    <row r="2233" spans="8:8" x14ac:dyDescent="0.25">
      <c r="H2233" t="s">
        <v>30</v>
      </c>
    </row>
    <row r="2235" spans="8:8" x14ac:dyDescent="0.25">
      <c r="H2235" t="s">
        <v>9322</v>
      </c>
    </row>
    <row r="2236" spans="8:8" x14ac:dyDescent="0.25">
      <c r="H2236" t="s">
        <v>9323</v>
      </c>
    </row>
    <row r="2237" spans="8:8" x14ac:dyDescent="0.25">
      <c r="H2237" t="s">
        <v>135</v>
      </c>
    </row>
    <row r="2238" spans="8:8" x14ac:dyDescent="0.25">
      <c r="H2238" t="s">
        <v>16322</v>
      </c>
    </row>
    <row r="2239" spans="8:8" x14ac:dyDescent="0.25">
      <c r="H2239" t="s">
        <v>30</v>
      </c>
    </row>
    <row r="2241" spans="8:8" x14ac:dyDescent="0.25">
      <c r="H2241" t="s">
        <v>9325</v>
      </c>
    </row>
    <row r="2242" spans="8:8" x14ac:dyDescent="0.25">
      <c r="H2242" t="s">
        <v>9326</v>
      </c>
    </row>
    <row r="2243" spans="8:8" x14ac:dyDescent="0.25">
      <c r="H2243" t="s">
        <v>135</v>
      </c>
    </row>
    <row r="2244" spans="8:8" x14ac:dyDescent="0.25">
      <c r="H2244" t="s">
        <v>16323</v>
      </c>
    </row>
    <row r="2245" spans="8:8" x14ac:dyDescent="0.25">
      <c r="H2245" t="s">
        <v>30</v>
      </c>
    </row>
    <row r="2246" spans="8:8" x14ac:dyDescent="0.25">
      <c r="H2246" t="s">
        <v>136</v>
      </c>
    </row>
    <row r="2247" spans="8:8" x14ac:dyDescent="0.25">
      <c r="H2247" t="s">
        <v>16324</v>
      </c>
    </row>
    <row r="2248" spans="8:8" x14ac:dyDescent="0.25">
      <c r="H2248" t="s">
        <v>30</v>
      </c>
    </row>
    <row r="2250" spans="8:8" x14ac:dyDescent="0.25">
      <c r="H2250" t="s">
        <v>9329</v>
      </c>
    </row>
    <row r="2251" spans="8:8" x14ac:dyDescent="0.25">
      <c r="H2251" t="s">
        <v>9330</v>
      </c>
    </row>
    <row r="2252" spans="8:8" x14ac:dyDescent="0.25">
      <c r="H2252" t="s">
        <v>135</v>
      </c>
    </row>
    <row r="2253" spans="8:8" x14ac:dyDescent="0.25">
      <c r="H2253" t="s">
        <v>16325</v>
      </c>
    </row>
    <row r="2254" spans="8:8" x14ac:dyDescent="0.25">
      <c r="H2254" t="s">
        <v>30</v>
      </c>
    </row>
    <row r="2256" spans="8:8" x14ac:dyDescent="0.25">
      <c r="H2256" t="s">
        <v>9332</v>
      </c>
    </row>
    <row r="2257" spans="8:8" x14ac:dyDescent="0.25">
      <c r="H2257" t="s">
        <v>9333</v>
      </c>
    </row>
    <row r="2258" spans="8:8" x14ac:dyDescent="0.25">
      <c r="H2258" t="s">
        <v>135</v>
      </c>
    </row>
    <row r="2259" spans="8:8" x14ac:dyDescent="0.25">
      <c r="H2259" t="s">
        <v>16326</v>
      </c>
    </row>
    <row r="2260" spans="8:8" x14ac:dyDescent="0.25">
      <c r="H2260" t="s">
        <v>30</v>
      </c>
    </row>
    <row r="2262" spans="8:8" x14ac:dyDescent="0.25">
      <c r="H2262" t="s">
        <v>9335</v>
      </c>
    </row>
    <row r="2263" spans="8:8" x14ac:dyDescent="0.25">
      <c r="H2263" t="s">
        <v>9336</v>
      </c>
    </row>
    <row r="2264" spans="8:8" x14ac:dyDescent="0.25">
      <c r="H2264" t="s">
        <v>135</v>
      </c>
    </row>
    <row r="2265" spans="8:8" x14ac:dyDescent="0.25">
      <c r="H2265" t="s">
        <v>16327</v>
      </c>
    </row>
    <row r="2266" spans="8:8" x14ac:dyDescent="0.25">
      <c r="H2266" t="s">
        <v>30</v>
      </c>
    </row>
    <row r="2267" spans="8:8" x14ac:dyDescent="0.25">
      <c r="H2267" t="s">
        <v>136</v>
      </c>
    </row>
    <row r="2268" spans="8:8" x14ac:dyDescent="0.25">
      <c r="H2268" t="s">
        <v>16328</v>
      </c>
    </row>
    <row r="2269" spans="8:8" x14ac:dyDescent="0.25">
      <c r="H2269" t="s">
        <v>30</v>
      </c>
    </row>
    <row r="2271" spans="8:8" x14ac:dyDescent="0.25">
      <c r="H2271" t="s">
        <v>9339</v>
      </c>
    </row>
    <row r="2272" spans="8:8" x14ac:dyDescent="0.25">
      <c r="H2272" t="s">
        <v>9340</v>
      </c>
    </row>
    <row r="2273" spans="8:8" x14ac:dyDescent="0.25">
      <c r="H2273" t="s">
        <v>135</v>
      </c>
    </row>
    <row r="2274" spans="8:8" x14ac:dyDescent="0.25">
      <c r="H2274" t="s">
        <v>16329</v>
      </c>
    </row>
    <row r="2275" spans="8:8" x14ac:dyDescent="0.25">
      <c r="H2275" t="s">
        <v>30</v>
      </c>
    </row>
    <row r="2277" spans="8:8" x14ac:dyDescent="0.25">
      <c r="H2277" t="s">
        <v>9342</v>
      </c>
    </row>
    <row r="2278" spans="8:8" x14ac:dyDescent="0.25">
      <c r="H2278" t="s">
        <v>9343</v>
      </c>
    </row>
    <row r="2279" spans="8:8" x14ac:dyDescent="0.25">
      <c r="H2279" t="s">
        <v>135</v>
      </c>
    </row>
    <row r="2280" spans="8:8" x14ac:dyDescent="0.25">
      <c r="H2280" t="s">
        <v>16330</v>
      </c>
    </row>
    <row r="2281" spans="8:8" x14ac:dyDescent="0.25">
      <c r="H2281" t="s">
        <v>30</v>
      </c>
    </row>
    <row r="2283" spans="8:8" x14ac:dyDescent="0.25">
      <c r="H2283" t="s">
        <v>9345</v>
      </c>
    </row>
    <row r="2284" spans="8:8" x14ac:dyDescent="0.25">
      <c r="H2284" t="s">
        <v>9346</v>
      </c>
    </row>
    <row r="2285" spans="8:8" x14ac:dyDescent="0.25">
      <c r="H2285" t="s">
        <v>135</v>
      </c>
    </row>
    <row r="2286" spans="8:8" x14ac:dyDescent="0.25">
      <c r="H2286" t="s">
        <v>16331</v>
      </c>
    </row>
    <row r="2287" spans="8:8" x14ac:dyDescent="0.25">
      <c r="H2287" t="s">
        <v>30</v>
      </c>
    </row>
    <row r="2288" spans="8:8" x14ac:dyDescent="0.25">
      <c r="H2288" t="s">
        <v>136</v>
      </c>
    </row>
    <row r="2289" spans="8:8" x14ac:dyDescent="0.25">
      <c r="H2289" t="s">
        <v>16332</v>
      </c>
    </row>
    <row r="2290" spans="8:8" x14ac:dyDescent="0.25">
      <c r="H2290" t="s">
        <v>30</v>
      </c>
    </row>
    <row r="2292" spans="8:8" x14ac:dyDescent="0.25">
      <c r="H2292" t="s">
        <v>9349</v>
      </c>
    </row>
    <row r="2293" spans="8:8" x14ac:dyDescent="0.25">
      <c r="H2293" t="s">
        <v>9350</v>
      </c>
    </row>
    <row r="2294" spans="8:8" x14ac:dyDescent="0.25">
      <c r="H2294" t="s">
        <v>135</v>
      </c>
    </row>
    <row r="2295" spans="8:8" x14ac:dyDescent="0.25">
      <c r="H2295" t="s">
        <v>16333</v>
      </c>
    </row>
    <row r="2296" spans="8:8" x14ac:dyDescent="0.25">
      <c r="H2296" t="s">
        <v>30</v>
      </c>
    </row>
    <row r="2298" spans="8:8" x14ac:dyDescent="0.25">
      <c r="H2298" t="s">
        <v>9352</v>
      </c>
    </row>
    <row r="2299" spans="8:8" x14ac:dyDescent="0.25">
      <c r="H2299" t="s">
        <v>9353</v>
      </c>
    </row>
    <row r="2300" spans="8:8" x14ac:dyDescent="0.25">
      <c r="H2300" t="s">
        <v>135</v>
      </c>
    </row>
    <row r="2301" spans="8:8" x14ac:dyDescent="0.25">
      <c r="H2301" t="s">
        <v>16334</v>
      </c>
    </row>
    <row r="2302" spans="8:8" x14ac:dyDescent="0.25">
      <c r="H2302" t="s">
        <v>30</v>
      </c>
    </row>
    <row r="2304" spans="8:8" x14ac:dyDescent="0.25">
      <c r="H2304" t="s">
        <v>9355</v>
      </c>
    </row>
    <row r="2305" spans="8:8" x14ac:dyDescent="0.25">
      <c r="H2305" t="s">
        <v>9356</v>
      </c>
    </row>
    <row r="2306" spans="8:8" x14ac:dyDescent="0.25">
      <c r="H2306" t="s">
        <v>135</v>
      </c>
    </row>
    <row r="2307" spans="8:8" x14ac:dyDescent="0.25">
      <c r="H2307" t="s">
        <v>16335</v>
      </c>
    </row>
    <row r="2308" spans="8:8" x14ac:dyDescent="0.25">
      <c r="H2308" t="s">
        <v>30</v>
      </c>
    </row>
    <row r="2309" spans="8:8" x14ac:dyDescent="0.25">
      <c r="H2309" t="s">
        <v>136</v>
      </c>
    </row>
    <row r="2310" spans="8:8" x14ac:dyDescent="0.25">
      <c r="H2310" t="s">
        <v>16336</v>
      </c>
    </row>
    <row r="2311" spans="8:8" x14ac:dyDescent="0.25">
      <c r="H2311" t="s">
        <v>30</v>
      </c>
    </row>
    <row r="2312" spans="8:8" x14ac:dyDescent="0.25">
      <c r="H2312" t="s">
        <v>9359</v>
      </c>
    </row>
    <row r="2313" spans="8:8" x14ac:dyDescent="0.25">
      <c r="H2313" t="s">
        <v>137</v>
      </c>
    </row>
    <row r="2314" spans="8:8" x14ac:dyDescent="0.25">
      <c r="H2314" t="s">
        <v>16337</v>
      </c>
    </row>
    <row r="2315" spans="8:8" x14ac:dyDescent="0.25">
      <c r="H2315" t="s">
        <v>30</v>
      </c>
    </row>
    <row r="2316" spans="8:8" x14ac:dyDescent="0.25">
      <c r="H2316" t="s">
        <v>138</v>
      </c>
    </row>
    <row r="2317" spans="8:8" x14ac:dyDescent="0.25">
      <c r="H2317" t="s">
        <v>16338</v>
      </c>
    </row>
    <row r="2318" spans="8:8" x14ac:dyDescent="0.25">
      <c r="H2318" t="s">
        <v>30</v>
      </c>
    </row>
    <row r="2320" spans="8:8" x14ac:dyDescent="0.25">
      <c r="H2320" t="s">
        <v>9362</v>
      </c>
    </row>
    <row r="2321" spans="8:8" x14ac:dyDescent="0.25">
      <c r="H2321" t="s">
        <v>9363</v>
      </c>
    </row>
    <row r="2322" spans="8:8" x14ac:dyDescent="0.25">
      <c r="H2322" t="s">
        <v>135</v>
      </c>
    </row>
    <row r="2323" spans="8:8" x14ac:dyDescent="0.25">
      <c r="H2323" t="s">
        <v>16339</v>
      </c>
    </row>
    <row r="2324" spans="8:8" x14ac:dyDescent="0.25">
      <c r="H2324" t="s">
        <v>30</v>
      </c>
    </row>
    <row r="2325" spans="8:8" x14ac:dyDescent="0.25">
      <c r="H2325" t="s">
        <v>136</v>
      </c>
    </row>
    <row r="2326" spans="8:8" x14ac:dyDescent="0.25">
      <c r="H2326" t="s">
        <v>16340</v>
      </c>
    </row>
    <row r="2327" spans="8:8" x14ac:dyDescent="0.25">
      <c r="H2327" t="s">
        <v>30</v>
      </c>
    </row>
    <row r="2329" spans="8:8" x14ac:dyDescent="0.25">
      <c r="H2329" t="s">
        <v>9366</v>
      </c>
    </row>
    <row r="2330" spans="8:8" x14ac:dyDescent="0.25">
      <c r="H2330" t="s">
        <v>9367</v>
      </c>
    </row>
    <row r="2331" spans="8:8" x14ac:dyDescent="0.25">
      <c r="H2331" t="s">
        <v>135</v>
      </c>
    </row>
    <row r="2332" spans="8:8" x14ac:dyDescent="0.25">
      <c r="H2332" t="s">
        <v>16341</v>
      </c>
    </row>
    <row r="2333" spans="8:8" x14ac:dyDescent="0.25">
      <c r="H2333" t="s">
        <v>30</v>
      </c>
    </row>
    <row r="2335" spans="8:8" x14ac:dyDescent="0.25">
      <c r="H2335" t="s">
        <v>9369</v>
      </c>
    </row>
    <row r="2336" spans="8:8" x14ac:dyDescent="0.25">
      <c r="H2336" t="s">
        <v>9370</v>
      </c>
    </row>
    <row r="2337" spans="8:8" x14ac:dyDescent="0.25">
      <c r="H2337" t="s">
        <v>135</v>
      </c>
    </row>
    <row r="2338" spans="8:8" x14ac:dyDescent="0.25">
      <c r="H2338" t="s">
        <v>16342</v>
      </c>
    </row>
    <row r="2339" spans="8:8" x14ac:dyDescent="0.25">
      <c r="H2339" t="s">
        <v>30</v>
      </c>
    </row>
    <row r="2341" spans="8:8" x14ac:dyDescent="0.25">
      <c r="H2341" t="s">
        <v>9372</v>
      </c>
    </row>
    <row r="2342" spans="8:8" x14ac:dyDescent="0.25">
      <c r="H2342" t="s">
        <v>9373</v>
      </c>
    </row>
    <row r="2343" spans="8:8" x14ac:dyDescent="0.25">
      <c r="H2343" t="s">
        <v>135</v>
      </c>
    </row>
    <row r="2344" spans="8:8" x14ac:dyDescent="0.25">
      <c r="H2344" t="s">
        <v>16343</v>
      </c>
    </row>
    <row r="2345" spans="8:8" x14ac:dyDescent="0.25">
      <c r="H2345" t="s">
        <v>30</v>
      </c>
    </row>
    <row r="2346" spans="8:8" x14ac:dyDescent="0.25">
      <c r="H2346" t="s">
        <v>136</v>
      </c>
    </row>
    <row r="2347" spans="8:8" x14ac:dyDescent="0.25">
      <c r="H2347" t="s">
        <v>16344</v>
      </c>
    </row>
    <row r="2348" spans="8:8" x14ac:dyDescent="0.25">
      <c r="H2348" t="s">
        <v>30</v>
      </c>
    </row>
    <row r="2349" spans="8:8" x14ac:dyDescent="0.25">
      <c r="H2349" t="s">
        <v>9376</v>
      </c>
    </row>
    <row r="2350" spans="8:8" x14ac:dyDescent="0.25">
      <c r="H2350" t="s">
        <v>137</v>
      </c>
    </row>
    <row r="2351" spans="8:8" x14ac:dyDescent="0.25">
      <c r="H2351" t="s">
        <v>16345</v>
      </c>
    </row>
    <row r="2352" spans="8:8" x14ac:dyDescent="0.25">
      <c r="H2352" t="s">
        <v>30</v>
      </c>
    </row>
    <row r="2354" spans="8:8" x14ac:dyDescent="0.25">
      <c r="H2354" t="s">
        <v>9378</v>
      </c>
    </row>
    <row r="2355" spans="8:8" x14ac:dyDescent="0.25">
      <c r="H2355" t="s">
        <v>9379</v>
      </c>
    </row>
    <row r="2356" spans="8:8" x14ac:dyDescent="0.25">
      <c r="H2356" t="s">
        <v>135</v>
      </c>
    </row>
    <row r="2357" spans="8:8" x14ac:dyDescent="0.25">
      <c r="H2357" t="s">
        <v>16346</v>
      </c>
    </row>
    <row r="2358" spans="8:8" x14ac:dyDescent="0.25">
      <c r="H2358" t="s">
        <v>30</v>
      </c>
    </row>
    <row r="2359" spans="8:8" x14ac:dyDescent="0.25">
      <c r="H2359" t="s">
        <v>136</v>
      </c>
    </row>
    <row r="2360" spans="8:8" x14ac:dyDescent="0.25">
      <c r="H2360" t="s">
        <v>16347</v>
      </c>
    </row>
    <row r="2361" spans="8:8" x14ac:dyDescent="0.25">
      <c r="H2361" t="s">
        <v>30</v>
      </c>
    </row>
    <row r="2362" spans="8:8" x14ac:dyDescent="0.25">
      <c r="H2362" t="s">
        <v>9382</v>
      </c>
    </row>
    <row r="2363" spans="8:8" x14ac:dyDescent="0.25">
      <c r="H2363" t="s">
        <v>137</v>
      </c>
    </row>
    <row r="2364" spans="8:8" x14ac:dyDescent="0.25">
      <c r="H2364" t="s">
        <v>16348</v>
      </c>
    </row>
    <row r="2365" spans="8:8" x14ac:dyDescent="0.25">
      <c r="H2365" t="s">
        <v>30</v>
      </c>
    </row>
    <row r="2367" spans="8:8" x14ac:dyDescent="0.25">
      <c r="H2367" t="s">
        <v>9384</v>
      </c>
    </row>
    <row r="2368" spans="8:8" x14ac:dyDescent="0.25">
      <c r="H2368" t="s">
        <v>9385</v>
      </c>
    </row>
    <row r="2369" spans="8:8" x14ac:dyDescent="0.25">
      <c r="H2369" t="s">
        <v>135</v>
      </c>
    </row>
    <row r="2370" spans="8:8" x14ac:dyDescent="0.25">
      <c r="H2370" t="s">
        <v>16349</v>
      </c>
    </row>
    <row r="2371" spans="8:8" x14ac:dyDescent="0.25">
      <c r="H2371" t="s">
        <v>30</v>
      </c>
    </row>
    <row r="2372" spans="8:8" x14ac:dyDescent="0.25">
      <c r="H2372" t="s">
        <v>136</v>
      </c>
    </row>
    <row r="2373" spans="8:8" x14ac:dyDescent="0.25">
      <c r="H2373" t="s">
        <v>16350</v>
      </c>
    </row>
    <row r="2374" spans="8:8" x14ac:dyDescent="0.25">
      <c r="H2374" t="s">
        <v>30</v>
      </c>
    </row>
    <row r="2375" spans="8:8" x14ac:dyDescent="0.25">
      <c r="H2375" t="s">
        <v>9388</v>
      </c>
    </row>
    <row r="2376" spans="8:8" x14ac:dyDescent="0.25">
      <c r="H2376" t="s">
        <v>137</v>
      </c>
    </row>
    <row r="2377" spans="8:8" x14ac:dyDescent="0.25">
      <c r="H2377" t="s">
        <v>16351</v>
      </c>
    </row>
    <row r="2378" spans="8:8" x14ac:dyDescent="0.25">
      <c r="H2378" t="s">
        <v>30</v>
      </c>
    </row>
    <row r="2380" spans="8:8" x14ac:dyDescent="0.25">
      <c r="H2380" t="s">
        <v>9390</v>
      </c>
    </row>
    <row r="2381" spans="8:8" x14ac:dyDescent="0.25">
      <c r="H2381" t="s">
        <v>9391</v>
      </c>
    </row>
    <row r="2382" spans="8:8" x14ac:dyDescent="0.25">
      <c r="H2382" t="s">
        <v>135</v>
      </c>
    </row>
    <row r="2383" spans="8:8" x14ac:dyDescent="0.25">
      <c r="H2383" t="s">
        <v>16352</v>
      </c>
    </row>
    <row r="2384" spans="8:8" x14ac:dyDescent="0.25">
      <c r="H2384" t="s">
        <v>30</v>
      </c>
    </row>
    <row r="2386" spans="8:8" x14ac:dyDescent="0.25">
      <c r="H2386" t="s">
        <v>9393</v>
      </c>
    </row>
    <row r="2387" spans="8:8" x14ac:dyDescent="0.25">
      <c r="H2387" t="s">
        <v>9394</v>
      </c>
    </row>
    <row r="2388" spans="8:8" x14ac:dyDescent="0.25">
      <c r="H2388" t="s">
        <v>135</v>
      </c>
    </row>
    <row r="2389" spans="8:8" x14ac:dyDescent="0.25">
      <c r="H2389" t="s">
        <v>16353</v>
      </c>
    </row>
    <row r="2390" spans="8:8" x14ac:dyDescent="0.25">
      <c r="H2390" t="s">
        <v>30</v>
      </c>
    </row>
    <row r="2392" spans="8:8" x14ac:dyDescent="0.25">
      <c r="H2392" t="s">
        <v>9396</v>
      </c>
    </row>
    <row r="2393" spans="8:8" x14ac:dyDescent="0.25">
      <c r="H2393" t="s">
        <v>9397</v>
      </c>
    </row>
    <row r="2394" spans="8:8" x14ac:dyDescent="0.25">
      <c r="H2394" t="s">
        <v>135</v>
      </c>
    </row>
    <row r="2395" spans="8:8" x14ac:dyDescent="0.25">
      <c r="H2395" t="s">
        <v>16354</v>
      </c>
    </row>
    <row r="2396" spans="8:8" x14ac:dyDescent="0.25">
      <c r="H2396" t="s">
        <v>30</v>
      </c>
    </row>
    <row r="2398" spans="8:8" x14ac:dyDescent="0.25">
      <c r="H2398" t="s">
        <v>9399</v>
      </c>
    </row>
    <row r="2399" spans="8:8" x14ac:dyDescent="0.25">
      <c r="H2399" t="s">
        <v>9400</v>
      </c>
    </row>
    <row r="2400" spans="8:8" x14ac:dyDescent="0.25">
      <c r="H2400" t="s">
        <v>135</v>
      </c>
    </row>
    <row r="2401" spans="8:8" x14ac:dyDescent="0.25">
      <c r="H2401" t="s">
        <v>16355</v>
      </c>
    </row>
    <row r="2402" spans="8:8" x14ac:dyDescent="0.25">
      <c r="H2402" t="s">
        <v>30</v>
      </c>
    </row>
    <row r="2403" spans="8:8" x14ac:dyDescent="0.25">
      <c r="H2403" t="s">
        <v>136</v>
      </c>
    </row>
    <row r="2404" spans="8:8" x14ac:dyDescent="0.25">
      <c r="H2404" t="s">
        <v>16356</v>
      </c>
    </row>
    <row r="2405" spans="8:8" x14ac:dyDescent="0.25">
      <c r="H2405" t="s">
        <v>30</v>
      </c>
    </row>
    <row r="2407" spans="8:8" x14ac:dyDescent="0.25">
      <c r="H2407" t="s">
        <v>9403</v>
      </c>
    </row>
    <row r="2408" spans="8:8" x14ac:dyDescent="0.25">
      <c r="H2408" t="s">
        <v>9404</v>
      </c>
    </row>
    <row r="2409" spans="8:8" x14ac:dyDescent="0.25">
      <c r="H2409" t="s">
        <v>135</v>
      </c>
    </row>
    <row r="2410" spans="8:8" x14ac:dyDescent="0.25">
      <c r="H2410" t="s">
        <v>16357</v>
      </c>
    </row>
    <row r="2411" spans="8:8" x14ac:dyDescent="0.25">
      <c r="H2411" t="s">
        <v>30</v>
      </c>
    </row>
    <row r="2412" spans="8:8" x14ac:dyDescent="0.25">
      <c r="H2412" t="s">
        <v>136</v>
      </c>
    </row>
    <row r="2413" spans="8:8" x14ac:dyDescent="0.25">
      <c r="H2413" t="s">
        <v>16358</v>
      </c>
    </row>
    <row r="2414" spans="8:8" x14ac:dyDescent="0.25">
      <c r="H2414" t="s">
        <v>30</v>
      </c>
    </row>
    <row r="2415" spans="8:8" x14ac:dyDescent="0.25">
      <c r="H2415" t="s">
        <v>137</v>
      </c>
    </row>
    <row r="2416" spans="8:8" x14ac:dyDescent="0.25">
      <c r="H2416" t="s">
        <v>16359</v>
      </c>
    </row>
    <row r="2417" spans="8:8" x14ac:dyDescent="0.25">
      <c r="H2417" t="s">
        <v>30</v>
      </c>
    </row>
    <row r="2418" spans="8:8" x14ac:dyDescent="0.25">
      <c r="H2418" t="s">
        <v>138</v>
      </c>
    </row>
    <row r="2419" spans="8:8" x14ac:dyDescent="0.25">
      <c r="H2419" t="s">
        <v>16360</v>
      </c>
    </row>
    <row r="2420" spans="8:8" x14ac:dyDescent="0.25">
      <c r="H2420" t="s">
        <v>30</v>
      </c>
    </row>
    <row r="2422" spans="8:8" x14ac:dyDescent="0.25">
      <c r="H2422" t="s">
        <v>9409</v>
      </c>
    </row>
    <row r="2423" spans="8:8" x14ac:dyDescent="0.25">
      <c r="H2423" t="s">
        <v>9410</v>
      </c>
    </row>
    <row r="2424" spans="8:8" x14ac:dyDescent="0.25">
      <c r="H2424" t="s">
        <v>135</v>
      </c>
    </row>
    <row r="2425" spans="8:8" x14ac:dyDescent="0.25">
      <c r="H2425" t="s">
        <v>16361</v>
      </c>
    </row>
    <row r="2426" spans="8:8" x14ac:dyDescent="0.25">
      <c r="H2426" t="s">
        <v>30</v>
      </c>
    </row>
    <row r="2427" spans="8:8" x14ac:dyDescent="0.25">
      <c r="H2427" t="s">
        <v>136</v>
      </c>
    </row>
    <row r="2428" spans="8:8" x14ac:dyDescent="0.25">
      <c r="H2428" t="s">
        <v>16362</v>
      </c>
    </row>
    <row r="2429" spans="8:8" x14ac:dyDescent="0.25">
      <c r="H2429" t="s">
        <v>30</v>
      </c>
    </row>
    <row r="2430" spans="8:8" x14ac:dyDescent="0.25">
      <c r="H2430" t="s">
        <v>137</v>
      </c>
    </row>
    <row r="2431" spans="8:8" x14ac:dyDescent="0.25">
      <c r="H2431" t="s">
        <v>16363</v>
      </c>
    </row>
    <row r="2432" spans="8:8" x14ac:dyDescent="0.25">
      <c r="H2432" t="s">
        <v>30</v>
      </c>
    </row>
    <row r="2433" spans="8:8" x14ac:dyDescent="0.25">
      <c r="H2433" t="s">
        <v>138</v>
      </c>
    </row>
    <row r="2434" spans="8:8" x14ac:dyDescent="0.25">
      <c r="H2434" t="s">
        <v>16364</v>
      </c>
    </row>
    <row r="2435" spans="8:8" x14ac:dyDescent="0.25">
      <c r="H2435" t="s">
        <v>30</v>
      </c>
    </row>
    <row r="2437" spans="8:8" x14ac:dyDescent="0.25">
      <c r="H2437" t="s">
        <v>9415</v>
      </c>
    </row>
    <row r="2438" spans="8:8" x14ac:dyDescent="0.25">
      <c r="H2438" t="s">
        <v>9416</v>
      </c>
    </row>
    <row r="2439" spans="8:8" x14ac:dyDescent="0.25">
      <c r="H2439" t="s">
        <v>135</v>
      </c>
    </row>
    <row r="2440" spans="8:8" x14ac:dyDescent="0.25">
      <c r="H2440" t="s">
        <v>16365</v>
      </c>
    </row>
    <row r="2441" spans="8:8" x14ac:dyDescent="0.25">
      <c r="H2441" t="s">
        <v>30</v>
      </c>
    </row>
    <row r="2442" spans="8:8" x14ac:dyDescent="0.25">
      <c r="H2442" t="s">
        <v>136</v>
      </c>
    </row>
    <row r="2443" spans="8:8" x14ac:dyDescent="0.25">
      <c r="H2443" t="s">
        <v>16366</v>
      </c>
    </row>
    <row r="2444" spans="8:8" x14ac:dyDescent="0.25">
      <c r="H2444" t="s">
        <v>30</v>
      </c>
    </row>
    <row r="2445" spans="8:8" x14ac:dyDescent="0.25">
      <c r="H2445" t="s">
        <v>137</v>
      </c>
    </row>
    <row r="2446" spans="8:8" x14ac:dyDescent="0.25">
      <c r="H2446" t="s">
        <v>16367</v>
      </c>
    </row>
    <row r="2447" spans="8:8" x14ac:dyDescent="0.25">
      <c r="H2447" t="s">
        <v>30</v>
      </c>
    </row>
    <row r="2448" spans="8:8" x14ac:dyDescent="0.25">
      <c r="H2448" t="s">
        <v>138</v>
      </c>
    </row>
    <row r="2449" spans="8:8" x14ac:dyDescent="0.25">
      <c r="H2449" t="s">
        <v>16368</v>
      </c>
    </row>
    <row r="2450" spans="8:8" x14ac:dyDescent="0.25">
      <c r="H2450" t="s">
        <v>30</v>
      </c>
    </row>
    <row r="2452" spans="8:8" x14ac:dyDescent="0.25">
      <c r="H2452" t="s">
        <v>9421</v>
      </c>
    </row>
    <row r="2453" spans="8:8" x14ac:dyDescent="0.25">
      <c r="H2453" t="s">
        <v>9422</v>
      </c>
    </row>
    <row r="2454" spans="8:8" x14ac:dyDescent="0.25">
      <c r="H2454" t="s">
        <v>135</v>
      </c>
    </row>
    <row r="2455" spans="8:8" x14ac:dyDescent="0.25">
      <c r="H2455" t="s">
        <v>16369</v>
      </c>
    </row>
    <row r="2456" spans="8:8" x14ac:dyDescent="0.25">
      <c r="H2456" t="s">
        <v>30</v>
      </c>
    </row>
    <row r="2457" spans="8:8" x14ac:dyDescent="0.25">
      <c r="H2457" t="s">
        <v>136</v>
      </c>
    </row>
    <row r="2458" spans="8:8" x14ac:dyDescent="0.25">
      <c r="H2458" t="s">
        <v>16370</v>
      </c>
    </row>
    <row r="2459" spans="8:8" x14ac:dyDescent="0.25">
      <c r="H2459" t="s">
        <v>30</v>
      </c>
    </row>
    <row r="2460" spans="8:8" x14ac:dyDescent="0.25">
      <c r="H2460" t="s">
        <v>137</v>
      </c>
    </row>
    <row r="2461" spans="8:8" x14ac:dyDescent="0.25">
      <c r="H2461" t="s">
        <v>16371</v>
      </c>
    </row>
    <row r="2462" spans="8:8" x14ac:dyDescent="0.25">
      <c r="H2462" t="s">
        <v>30</v>
      </c>
    </row>
    <row r="2463" spans="8:8" x14ac:dyDescent="0.25">
      <c r="H2463" t="s">
        <v>138</v>
      </c>
    </row>
    <row r="2464" spans="8:8" x14ac:dyDescent="0.25">
      <c r="H2464" t="s">
        <v>16372</v>
      </c>
    </row>
    <row r="2465" spans="8:8" x14ac:dyDescent="0.25">
      <c r="H2465" t="s">
        <v>30</v>
      </c>
    </row>
    <row r="2467" spans="8:8" x14ac:dyDescent="0.25">
      <c r="H2467" t="s">
        <v>9427</v>
      </c>
    </row>
    <row r="2468" spans="8:8" x14ac:dyDescent="0.25">
      <c r="H2468" t="s">
        <v>9428</v>
      </c>
    </row>
    <row r="2469" spans="8:8" x14ac:dyDescent="0.25">
      <c r="H2469" t="s">
        <v>135</v>
      </c>
    </row>
    <row r="2470" spans="8:8" x14ac:dyDescent="0.25">
      <c r="H2470" t="s">
        <v>16373</v>
      </c>
    </row>
    <row r="2471" spans="8:8" x14ac:dyDescent="0.25">
      <c r="H2471" t="s">
        <v>30</v>
      </c>
    </row>
    <row r="2472" spans="8:8" x14ac:dyDescent="0.25">
      <c r="H2472" t="s">
        <v>136</v>
      </c>
    </row>
    <row r="2473" spans="8:8" x14ac:dyDescent="0.25">
      <c r="H2473" t="s">
        <v>16374</v>
      </c>
    </row>
    <row r="2474" spans="8:8" x14ac:dyDescent="0.25">
      <c r="H2474" t="s">
        <v>30</v>
      </c>
    </row>
    <row r="2475" spans="8:8" x14ac:dyDescent="0.25">
      <c r="H2475" t="s">
        <v>137</v>
      </c>
    </row>
    <row r="2476" spans="8:8" x14ac:dyDescent="0.25">
      <c r="H2476" t="s">
        <v>16375</v>
      </c>
    </row>
    <row r="2477" spans="8:8" x14ac:dyDescent="0.25">
      <c r="H2477" t="s">
        <v>30</v>
      </c>
    </row>
    <row r="2478" spans="8:8" x14ac:dyDescent="0.25">
      <c r="H2478" t="s">
        <v>138</v>
      </c>
    </row>
    <row r="2479" spans="8:8" x14ac:dyDescent="0.25">
      <c r="H2479" t="s">
        <v>16376</v>
      </c>
    </row>
    <row r="2480" spans="8:8" x14ac:dyDescent="0.25">
      <c r="H2480" t="s">
        <v>30</v>
      </c>
    </row>
    <row r="2482" spans="8:8" x14ac:dyDescent="0.25">
      <c r="H2482" t="s">
        <v>9433</v>
      </c>
    </row>
    <row r="2483" spans="8:8" x14ac:dyDescent="0.25">
      <c r="H2483" t="s">
        <v>9434</v>
      </c>
    </row>
    <row r="2484" spans="8:8" x14ac:dyDescent="0.25">
      <c r="H2484" t="s">
        <v>135</v>
      </c>
    </row>
    <row r="2485" spans="8:8" x14ac:dyDescent="0.25">
      <c r="H2485" t="s">
        <v>16377</v>
      </c>
    </row>
    <row r="2486" spans="8:8" x14ac:dyDescent="0.25">
      <c r="H2486" t="s">
        <v>30</v>
      </c>
    </row>
    <row r="2487" spans="8:8" x14ac:dyDescent="0.25">
      <c r="H2487" t="s">
        <v>136</v>
      </c>
    </row>
    <row r="2488" spans="8:8" x14ac:dyDescent="0.25">
      <c r="H2488" t="s">
        <v>16378</v>
      </c>
    </row>
    <row r="2489" spans="8:8" x14ac:dyDescent="0.25">
      <c r="H2489" t="s">
        <v>30</v>
      </c>
    </row>
    <row r="2490" spans="8:8" x14ac:dyDescent="0.25">
      <c r="H2490" t="s">
        <v>137</v>
      </c>
    </row>
    <row r="2491" spans="8:8" x14ac:dyDescent="0.25">
      <c r="H2491" t="s">
        <v>16379</v>
      </c>
    </row>
    <row r="2492" spans="8:8" x14ac:dyDescent="0.25">
      <c r="H2492" t="s">
        <v>30</v>
      </c>
    </row>
    <row r="2493" spans="8:8" x14ac:dyDescent="0.25">
      <c r="H2493" t="s">
        <v>138</v>
      </c>
    </row>
    <row r="2494" spans="8:8" x14ac:dyDescent="0.25">
      <c r="H2494" t="s">
        <v>16380</v>
      </c>
    </row>
    <row r="2495" spans="8:8" x14ac:dyDescent="0.25">
      <c r="H2495" t="s">
        <v>30</v>
      </c>
    </row>
    <row r="2497" spans="8:8" x14ac:dyDescent="0.25">
      <c r="H2497" t="s">
        <v>9439</v>
      </c>
    </row>
    <row r="2498" spans="8:8" x14ac:dyDescent="0.25">
      <c r="H2498" t="s">
        <v>9440</v>
      </c>
    </row>
    <row r="2499" spans="8:8" x14ac:dyDescent="0.25">
      <c r="H2499" t="s">
        <v>135</v>
      </c>
    </row>
    <row r="2500" spans="8:8" x14ac:dyDescent="0.25">
      <c r="H2500" t="s">
        <v>16381</v>
      </c>
    </row>
    <row r="2501" spans="8:8" x14ac:dyDescent="0.25">
      <c r="H2501" t="s">
        <v>30</v>
      </c>
    </row>
    <row r="2502" spans="8:8" x14ac:dyDescent="0.25">
      <c r="H2502" t="s">
        <v>136</v>
      </c>
    </row>
    <row r="2503" spans="8:8" x14ac:dyDescent="0.25">
      <c r="H2503" t="s">
        <v>16382</v>
      </c>
    </row>
    <row r="2504" spans="8:8" x14ac:dyDescent="0.25">
      <c r="H2504" t="s">
        <v>30</v>
      </c>
    </row>
    <row r="2505" spans="8:8" x14ac:dyDescent="0.25">
      <c r="H2505" t="s">
        <v>137</v>
      </c>
    </row>
    <row r="2506" spans="8:8" x14ac:dyDescent="0.25">
      <c r="H2506" t="s">
        <v>16383</v>
      </c>
    </row>
    <row r="2507" spans="8:8" x14ac:dyDescent="0.25">
      <c r="H2507" t="s">
        <v>30</v>
      </c>
    </row>
    <row r="2508" spans="8:8" x14ac:dyDescent="0.25">
      <c r="H2508" t="s">
        <v>138</v>
      </c>
    </row>
    <row r="2509" spans="8:8" x14ac:dyDescent="0.25">
      <c r="H2509" t="s">
        <v>16384</v>
      </c>
    </row>
    <row r="2510" spans="8:8" x14ac:dyDescent="0.25">
      <c r="H2510" t="s">
        <v>30</v>
      </c>
    </row>
    <row r="2512" spans="8:8" x14ac:dyDescent="0.25">
      <c r="H2512" t="s">
        <v>9445</v>
      </c>
    </row>
    <row r="2513" spans="8:8" x14ac:dyDescent="0.25">
      <c r="H2513" t="s">
        <v>9446</v>
      </c>
    </row>
    <row r="2514" spans="8:8" x14ac:dyDescent="0.25">
      <c r="H2514" t="s">
        <v>135</v>
      </c>
    </row>
    <row r="2515" spans="8:8" x14ac:dyDescent="0.25">
      <c r="H2515" t="s">
        <v>16385</v>
      </c>
    </row>
    <row r="2516" spans="8:8" x14ac:dyDescent="0.25">
      <c r="H2516" t="s">
        <v>30</v>
      </c>
    </row>
    <row r="2517" spans="8:8" x14ac:dyDescent="0.25">
      <c r="H2517" t="s">
        <v>136</v>
      </c>
    </row>
    <row r="2518" spans="8:8" x14ac:dyDescent="0.25">
      <c r="H2518" t="s">
        <v>16386</v>
      </c>
    </row>
    <row r="2519" spans="8:8" x14ac:dyDescent="0.25">
      <c r="H2519" t="s">
        <v>30</v>
      </c>
    </row>
    <row r="2520" spans="8:8" x14ac:dyDescent="0.25">
      <c r="H2520" t="s">
        <v>137</v>
      </c>
    </row>
    <row r="2521" spans="8:8" x14ac:dyDescent="0.25">
      <c r="H2521" t="s">
        <v>16387</v>
      </c>
    </row>
    <row r="2522" spans="8:8" x14ac:dyDescent="0.25">
      <c r="H2522" t="s">
        <v>30</v>
      </c>
    </row>
    <row r="2523" spans="8:8" x14ac:dyDescent="0.25">
      <c r="H2523" t="s">
        <v>138</v>
      </c>
    </row>
    <row r="2524" spans="8:8" x14ac:dyDescent="0.25">
      <c r="H2524" t="s">
        <v>16388</v>
      </c>
    </row>
    <row r="2525" spans="8:8" x14ac:dyDescent="0.25">
      <c r="H2525" t="s">
        <v>30</v>
      </c>
    </row>
    <row r="2527" spans="8:8" x14ac:dyDescent="0.25">
      <c r="H2527" t="s">
        <v>9451</v>
      </c>
    </row>
    <row r="2528" spans="8:8" x14ac:dyDescent="0.25">
      <c r="H2528" t="s">
        <v>9452</v>
      </c>
    </row>
    <row r="2529" spans="8:8" x14ac:dyDescent="0.25">
      <c r="H2529" t="s">
        <v>135</v>
      </c>
    </row>
    <row r="2530" spans="8:8" x14ac:dyDescent="0.25">
      <c r="H2530" t="s">
        <v>16389</v>
      </c>
    </row>
    <row r="2531" spans="8:8" x14ac:dyDescent="0.25">
      <c r="H2531" t="s">
        <v>30</v>
      </c>
    </row>
    <row r="2532" spans="8:8" x14ac:dyDescent="0.25">
      <c r="H2532" t="s">
        <v>136</v>
      </c>
    </row>
    <row r="2533" spans="8:8" x14ac:dyDescent="0.25">
      <c r="H2533" t="s">
        <v>16390</v>
      </c>
    </row>
    <row r="2534" spans="8:8" x14ac:dyDescent="0.25">
      <c r="H2534" t="s">
        <v>30</v>
      </c>
    </row>
    <row r="2535" spans="8:8" x14ac:dyDescent="0.25">
      <c r="H2535" t="s">
        <v>137</v>
      </c>
    </row>
    <row r="2536" spans="8:8" x14ac:dyDescent="0.25">
      <c r="H2536" t="s">
        <v>16391</v>
      </c>
    </row>
    <row r="2537" spans="8:8" x14ac:dyDescent="0.25">
      <c r="H2537" t="s">
        <v>30</v>
      </c>
    </row>
    <row r="2538" spans="8:8" x14ac:dyDescent="0.25">
      <c r="H2538" t="s">
        <v>138</v>
      </c>
    </row>
    <row r="2539" spans="8:8" x14ac:dyDescent="0.25">
      <c r="H2539" t="s">
        <v>16392</v>
      </c>
    </row>
    <row r="2540" spans="8:8" x14ac:dyDescent="0.25">
      <c r="H2540" t="s">
        <v>30</v>
      </c>
    </row>
    <row r="2542" spans="8:8" x14ac:dyDescent="0.25">
      <c r="H2542" t="s">
        <v>9457</v>
      </c>
    </row>
    <row r="2543" spans="8:8" x14ac:dyDescent="0.25">
      <c r="H2543" t="s">
        <v>9458</v>
      </c>
    </row>
    <row r="2544" spans="8:8" x14ac:dyDescent="0.25">
      <c r="H2544" t="s">
        <v>135</v>
      </c>
    </row>
    <row r="2545" spans="8:8" x14ac:dyDescent="0.25">
      <c r="H2545" t="s">
        <v>16393</v>
      </c>
    </row>
    <row r="2546" spans="8:8" x14ac:dyDescent="0.25">
      <c r="H2546" t="s">
        <v>30</v>
      </c>
    </row>
    <row r="2547" spans="8:8" x14ac:dyDescent="0.25">
      <c r="H2547" t="s">
        <v>136</v>
      </c>
    </row>
    <row r="2548" spans="8:8" x14ac:dyDescent="0.25">
      <c r="H2548" t="s">
        <v>16394</v>
      </c>
    </row>
    <row r="2549" spans="8:8" x14ac:dyDescent="0.25">
      <c r="H2549" t="s">
        <v>30</v>
      </c>
    </row>
    <row r="2550" spans="8:8" x14ac:dyDescent="0.25">
      <c r="H2550" t="s">
        <v>137</v>
      </c>
    </row>
    <row r="2551" spans="8:8" x14ac:dyDescent="0.25">
      <c r="H2551" t="s">
        <v>16395</v>
      </c>
    </row>
    <row r="2552" spans="8:8" x14ac:dyDescent="0.25">
      <c r="H2552" t="s">
        <v>30</v>
      </c>
    </row>
    <row r="2553" spans="8:8" x14ac:dyDescent="0.25">
      <c r="H2553" t="s">
        <v>138</v>
      </c>
    </row>
    <row r="2554" spans="8:8" x14ac:dyDescent="0.25">
      <c r="H2554" t="s">
        <v>16396</v>
      </c>
    </row>
    <row r="2555" spans="8:8" x14ac:dyDescent="0.25">
      <c r="H2555" t="s">
        <v>30</v>
      </c>
    </row>
    <row r="2557" spans="8:8" x14ac:dyDescent="0.25">
      <c r="H2557" t="s">
        <v>9463</v>
      </c>
    </row>
    <row r="2558" spans="8:8" x14ac:dyDescent="0.25">
      <c r="H2558" t="s">
        <v>9464</v>
      </c>
    </row>
    <row r="2559" spans="8:8" x14ac:dyDescent="0.25">
      <c r="H2559" t="s">
        <v>135</v>
      </c>
    </row>
    <row r="2560" spans="8:8" x14ac:dyDescent="0.25">
      <c r="H2560" t="s">
        <v>16397</v>
      </c>
    </row>
    <row r="2561" spans="8:8" x14ac:dyDescent="0.25">
      <c r="H2561" t="s">
        <v>30</v>
      </c>
    </row>
    <row r="2562" spans="8:8" x14ac:dyDescent="0.25">
      <c r="H2562" t="s">
        <v>136</v>
      </c>
    </row>
    <row r="2563" spans="8:8" x14ac:dyDescent="0.25">
      <c r="H2563" t="s">
        <v>16398</v>
      </c>
    </row>
    <row r="2564" spans="8:8" x14ac:dyDescent="0.25">
      <c r="H2564" t="s">
        <v>30</v>
      </c>
    </row>
    <row r="2565" spans="8:8" x14ac:dyDescent="0.25">
      <c r="H2565" t="s">
        <v>137</v>
      </c>
    </row>
    <row r="2566" spans="8:8" x14ac:dyDescent="0.25">
      <c r="H2566" t="s">
        <v>16399</v>
      </c>
    </row>
    <row r="2567" spans="8:8" x14ac:dyDescent="0.25">
      <c r="H2567" t="s">
        <v>30</v>
      </c>
    </row>
    <row r="2568" spans="8:8" x14ac:dyDescent="0.25">
      <c r="H2568" t="s">
        <v>138</v>
      </c>
    </row>
    <row r="2569" spans="8:8" x14ac:dyDescent="0.25">
      <c r="H2569" t="s">
        <v>16400</v>
      </c>
    </row>
    <row r="2570" spans="8:8" x14ac:dyDescent="0.25">
      <c r="H2570" t="s">
        <v>30</v>
      </c>
    </row>
    <row r="2572" spans="8:8" x14ac:dyDescent="0.25">
      <c r="H2572" t="s">
        <v>9469</v>
      </c>
    </row>
    <row r="2573" spans="8:8" x14ac:dyDescent="0.25">
      <c r="H2573" t="s">
        <v>9470</v>
      </c>
    </row>
    <row r="2574" spans="8:8" x14ac:dyDescent="0.25">
      <c r="H2574" t="s">
        <v>135</v>
      </c>
    </row>
    <row r="2575" spans="8:8" x14ac:dyDescent="0.25">
      <c r="H2575" t="s">
        <v>16401</v>
      </c>
    </row>
    <row r="2576" spans="8:8" x14ac:dyDescent="0.25">
      <c r="H2576" t="s">
        <v>30</v>
      </c>
    </row>
    <row r="2577" spans="8:8" x14ac:dyDescent="0.25">
      <c r="H2577" t="s">
        <v>136</v>
      </c>
    </row>
    <row r="2578" spans="8:8" x14ac:dyDescent="0.25">
      <c r="H2578" t="s">
        <v>16402</v>
      </c>
    </row>
    <row r="2579" spans="8:8" x14ac:dyDescent="0.25">
      <c r="H2579" t="s">
        <v>30</v>
      </c>
    </row>
    <row r="2580" spans="8:8" x14ac:dyDescent="0.25">
      <c r="H2580" t="s">
        <v>137</v>
      </c>
    </row>
    <row r="2581" spans="8:8" x14ac:dyDescent="0.25">
      <c r="H2581" t="s">
        <v>16403</v>
      </c>
    </row>
    <row r="2582" spans="8:8" x14ac:dyDescent="0.25">
      <c r="H2582" t="s">
        <v>30</v>
      </c>
    </row>
    <row r="2583" spans="8:8" x14ac:dyDescent="0.25">
      <c r="H2583" t="s">
        <v>138</v>
      </c>
    </row>
    <row r="2584" spans="8:8" x14ac:dyDescent="0.25">
      <c r="H2584" t="s">
        <v>16404</v>
      </c>
    </row>
    <row r="2585" spans="8:8" x14ac:dyDescent="0.25">
      <c r="H2585" t="s">
        <v>30</v>
      </c>
    </row>
    <row r="2587" spans="8:8" x14ac:dyDescent="0.25">
      <c r="H2587" t="s">
        <v>9475</v>
      </c>
    </row>
    <row r="2588" spans="8:8" x14ac:dyDescent="0.25">
      <c r="H2588" t="s">
        <v>9476</v>
      </c>
    </row>
    <row r="2589" spans="8:8" x14ac:dyDescent="0.25">
      <c r="H2589" t="s">
        <v>135</v>
      </c>
    </row>
    <row r="2590" spans="8:8" x14ac:dyDescent="0.25">
      <c r="H2590" t="s">
        <v>16405</v>
      </c>
    </row>
    <row r="2591" spans="8:8" x14ac:dyDescent="0.25">
      <c r="H2591" t="s">
        <v>30</v>
      </c>
    </row>
    <row r="2592" spans="8:8" x14ac:dyDescent="0.25">
      <c r="H2592" t="s">
        <v>136</v>
      </c>
    </row>
    <row r="2593" spans="8:8" x14ac:dyDescent="0.25">
      <c r="H2593" t="s">
        <v>16406</v>
      </c>
    </row>
    <row r="2594" spans="8:8" x14ac:dyDescent="0.25">
      <c r="H2594" t="s">
        <v>30</v>
      </c>
    </row>
    <row r="2595" spans="8:8" x14ac:dyDescent="0.25">
      <c r="H2595" t="s">
        <v>137</v>
      </c>
    </row>
    <row r="2596" spans="8:8" x14ac:dyDescent="0.25">
      <c r="H2596" t="s">
        <v>16407</v>
      </c>
    </row>
    <row r="2597" spans="8:8" x14ac:dyDescent="0.25">
      <c r="H2597" t="s">
        <v>30</v>
      </c>
    </row>
    <row r="2598" spans="8:8" x14ac:dyDescent="0.25">
      <c r="H2598" t="s">
        <v>138</v>
      </c>
    </row>
    <row r="2599" spans="8:8" x14ac:dyDescent="0.25">
      <c r="H2599" t="s">
        <v>16408</v>
      </c>
    </row>
    <row r="2600" spans="8:8" x14ac:dyDescent="0.25">
      <c r="H2600" t="s">
        <v>30</v>
      </c>
    </row>
    <row r="2602" spans="8:8" x14ac:dyDescent="0.25">
      <c r="H2602" t="s">
        <v>9481</v>
      </c>
    </row>
    <row r="2603" spans="8:8" x14ac:dyDescent="0.25">
      <c r="H2603" t="s">
        <v>9482</v>
      </c>
    </row>
    <row r="2604" spans="8:8" x14ac:dyDescent="0.25">
      <c r="H2604" t="s">
        <v>135</v>
      </c>
    </row>
    <row r="2605" spans="8:8" x14ac:dyDescent="0.25">
      <c r="H2605" t="s">
        <v>16409</v>
      </c>
    </row>
    <row r="2606" spans="8:8" x14ac:dyDescent="0.25">
      <c r="H2606" t="s">
        <v>30</v>
      </c>
    </row>
    <row r="2607" spans="8:8" x14ac:dyDescent="0.25">
      <c r="H2607" t="s">
        <v>136</v>
      </c>
    </row>
    <row r="2608" spans="8:8" x14ac:dyDescent="0.25">
      <c r="H2608" t="s">
        <v>16410</v>
      </c>
    </row>
    <row r="2609" spans="8:8" x14ac:dyDescent="0.25">
      <c r="H2609" t="s">
        <v>30</v>
      </c>
    </row>
    <row r="2610" spans="8:8" x14ac:dyDescent="0.25">
      <c r="H2610" t="s">
        <v>137</v>
      </c>
    </row>
    <row r="2611" spans="8:8" x14ac:dyDescent="0.25">
      <c r="H2611" t="s">
        <v>16411</v>
      </c>
    </row>
    <row r="2612" spans="8:8" x14ac:dyDescent="0.25">
      <c r="H2612" t="s">
        <v>30</v>
      </c>
    </row>
    <row r="2613" spans="8:8" x14ac:dyDescent="0.25">
      <c r="H2613" t="s">
        <v>138</v>
      </c>
    </row>
    <row r="2614" spans="8:8" x14ac:dyDescent="0.25">
      <c r="H2614" t="s">
        <v>16412</v>
      </c>
    </row>
    <row r="2615" spans="8:8" x14ac:dyDescent="0.25">
      <c r="H2615" t="s">
        <v>30</v>
      </c>
    </row>
    <row r="2617" spans="8:8" x14ac:dyDescent="0.25">
      <c r="H2617" t="s">
        <v>9487</v>
      </c>
    </row>
    <row r="2618" spans="8:8" x14ac:dyDescent="0.25">
      <c r="H2618" t="s">
        <v>9488</v>
      </c>
    </row>
    <row r="2619" spans="8:8" x14ac:dyDescent="0.25">
      <c r="H2619" t="s">
        <v>135</v>
      </c>
    </row>
    <row r="2620" spans="8:8" x14ac:dyDescent="0.25">
      <c r="H2620" t="s">
        <v>16413</v>
      </c>
    </row>
    <row r="2621" spans="8:8" x14ac:dyDescent="0.25">
      <c r="H2621" t="s">
        <v>30</v>
      </c>
    </row>
    <row r="2622" spans="8:8" x14ac:dyDescent="0.25">
      <c r="H2622" t="s">
        <v>136</v>
      </c>
    </row>
    <row r="2623" spans="8:8" x14ac:dyDescent="0.25">
      <c r="H2623" t="s">
        <v>16414</v>
      </c>
    </row>
    <row r="2624" spans="8:8" x14ac:dyDescent="0.25">
      <c r="H2624" t="s">
        <v>30</v>
      </c>
    </row>
    <row r="2625" spans="8:8" x14ac:dyDescent="0.25">
      <c r="H2625" t="s">
        <v>137</v>
      </c>
    </row>
    <row r="2626" spans="8:8" x14ac:dyDescent="0.25">
      <c r="H2626" t="s">
        <v>16415</v>
      </c>
    </row>
    <row r="2627" spans="8:8" x14ac:dyDescent="0.25">
      <c r="H2627" t="s">
        <v>30</v>
      </c>
    </row>
    <row r="2628" spans="8:8" x14ac:dyDescent="0.25">
      <c r="H2628" t="s">
        <v>138</v>
      </c>
    </row>
    <row r="2629" spans="8:8" x14ac:dyDescent="0.25">
      <c r="H2629" t="s">
        <v>16416</v>
      </c>
    </row>
    <row r="2630" spans="8:8" x14ac:dyDescent="0.25">
      <c r="H2630" t="s">
        <v>30</v>
      </c>
    </row>
    <row r="2632" spans="8:8" x14ac:dyDescent="0.25">
      <c r="H2632" t="s">
        <v>9493</v>
      </c>
    </row>
    <row r="2633" spans="8:8" x14ac:dyDescent="0.25">
      <c r="H2633" t="s">
        <v>9494</v>
      </c>
    </row>
    <row r="2634" spans="8:8" x14ac:dyDescent="0.25">
      <c r="H2634" t="s">
        <v>135</v>
      </c>
    </row>
    <row r="2635" spans="8:8" x14ac:dyDescent="0.25">
      <c r="H2635" t="s">
        <v>16417</v>
      </c>
    </row>
    <row r="2636" spans="8:8" x14ac:dyDescent="0.25">
      <c r="H2636" t="s">
        <v>30</v>
      </c>
    </row>
    <row r="2637" spans="8:8" x14ac:dyDescent="0.25">
      <c r="H2637" t="s">
        <v>136</v>
      </c>
    </row>
    <row r="2638" spans="8:8" x14ac:dyDescent="0.25">
      <c r="H2638" t="s">
        <v>16418</v>
      </c>
    </row>
    <row r="2639" spans="8:8" x14ac:dyDescent="0.25">
      <c r="H2639" t="s">
        <v>30</v>
      </c>
    </row>
    <row r="2640" spans="8:8" x14ac:dyDescent="0.25">
      <c r="H2640" t="s">
        <v>137</v>
      </c>
    </row>
    <row r="2641" spans="8:8" x14ac:dyDescent="0.25">
      <c r="H2641" t="s">
        <v>16419</v>
      </c>
    </row>
    <row r="2642" spans="8:8" x14ac:dyDescent="0.25">
      <c r="H2642" t="s">
        <v>30</v>
      </c>
    </row>
    <row r="2643" spans="8:8" x14ac:dyDescent="0.25">
      <c r="H2643" t="s">
        <v>138</v>
      </c>
    </row>
    <row r="2644" spans="8:8" x14ac:dyDescent="0.25">
      <c r="H2644" t="s">
        <v>16420</v>
      </c>
    </row>
    <row r="2645" spans="8:8" x14ac:dyDescent="0.25">
      <c r="H2645" t="s">
        <v>30</v>
      </c>
    </row>
    <row r="2647" spans="8:8" x14ac:dyDescent="0.25">
      <c r="H2647" t="s">
        <v>9499</v>
      </c>
    </row>
    <row r="2648" spans="8:8" x14ac:dyDescent="0.25">
      <c r="H2648" t="s">
        <v>9500</v>
      </c>
    </row>
    <row r="2649" spans="8:8" x14ac:dyDescent="0.25">
      <c r="H2649" t="s">
        <v>135</v>
      </c>
    </row>
    <row r="2650" spans="8:8" x14ac:dyDescent="0.25">
      <c r="H2650" t="s">
        <v>16421</v>
      </c>
    </row>
    <row r="2651" spans="8:8" x14ac:dyDescent="0.25">
      <c r="H2651" t="s">
        <v>30</v>
      </c>
    </row>
    <row r="2652" spans="8:8" x14ac:dyDescent="0.25">
      <c r="H2652" t="s">
        <v>136</v>
      </c>
    </row>
    <row r="2653" spans="8:8" x14ac:dyDescent="0.25">
      <c r="H2653" t="s">
        <v>16422</v>
      </c>
    </row>
    <row r="2654" spans="8:8" x14ac:dyDescent="0.25">
      <c r="H2654" t="s">
        <v>30</v>
      </c>
    </row>
    <row r="2655" spans="8:8" x14ac:dyDescent="0.25">
      <c r="H2655" t="s">
        <v>137</v>
      </c>
    </row>
    <row r="2656" spans="8:8" x14ac:dyDescent="0.25">
      <c r="H2656" t="s">
        <v>16423</v>
      </c>
    </row>
    <row r="2657" spans="8:8" x14ac:dyDescent="0.25">
      <c r="H2657" t="s">
        <v>30</v>
      </c>
    </row>
    <row r="2658" spans="8:8" x14ac:dyDescent="0.25">
      <c r="H2658" t="s">
        <v>138</v>
      </c>
    </row>
    <row r="2659" spans="8:8" x14ac:dyDescent="0.25">
      <c r="H2659" t="s">
        <v>16424</v>
      </c>
    </row>
    <row r="2660" spans="8:8" x14ac:dyDescent="0.25">
      <c r="H2660" t="s">
        <v>30</v>
      </c>
    </row>
    <row r="2662" spans="8:8" x14ac:dyDescent="0.25">
      <c r="H2662" t="s">
        <v>9505</v>
      </c>
    </row>
    <row r="2663" spans="8:8" x14ac:dyDescent="0.25">
      <c r="H2663" t="s">
        <v>9506</v>
      </c>
    </row>
    <row r="2664" spans="8:8" x14ac:dyDescent="0.25">
      <c r="H2664" t="s">
        <v>135</v>
      </c>
    </row>
    <row r="2665" spans="8:8" x14ac:dyDescent="0.25">
      <c r="H2665" t="s">
        <v>16425</v>
      </c>
    </row>
    <row r="2666" spans="8:8" x14ac:dyDescent="0.25">
      <c r="H2666" t="s">
        <v>30</v>
      </c>
    </row>
    <row r="2667" spans="8:8" x14ac:dyDescent="0.25">
      <c r="H2667" t="s">
        <v>136</v>
      </c>
    </row>
    <row r="2668" spans="8:8" x14ac:dyDescent="0.25">
      <c r="H2668" t="s">
        <v>16426</v>
      </c>
    </row>
    <row r="2669" spans="8:8" x14ac:dyDescent="0.25">
      <c r="H2669" t="s">
        <v>30</v>
      </c>
    </row>
    <row r="2670" spans="8:8" x14ac:dyDescent="0.25">
      <c r="H2670" t="s">
        <v>137</v>
      </c>
    </row>
    <row r="2671" spans="8:8" x14ac:dyDescent="0.25">
      <c r="H2671" t="s">
        <v>16427</v>
      </c>
    </row>
    <row r="2672" spans="8:8" x14ac:dyDescent="0.25">
      <c r="H2672" t="s">
        <v>30</v>
      </c>
    </row>
    <row r="2673" spans="8:8" x14ac:dyDescent="0.25">
      <c r="H2673" t="s">
        <v>138</v>
      </c>
    </row>
    <row r="2674" spans="8:8" x14ac:dyDescent="0.25">
      <c r="H2674" t="s">
        <v>16428</v>
      </c>
    </row>
    <row r="2675" spans="8:8" x14ac:dyDescent="0.25">
      <c r="H2675" t="s">
        <v>30</v>
      </c>
    </row>
    <row r="2677" spans="8:8" x14ac:dyDescent="0.25">
      <c r="H2677" t="s">
        <v>9511</v>
      </c>
    </row>
    <row r="2678" spans="8:8" x14ac:dyDescent="0.25">
      <c r="H2678" t="s">
        <v>9512</v>
      </c>
    </row>
    <row r="2679" spans="8:8" x14ac:dyDescent="0.25">
      <c r="H2679" t="s">
        <v>135</v>
      </c>
    </row>
    <row r="2680" spans="8:8" x14ac:dyDescent="0.25">
      <c r="H2680" t="s">
        <v>16429</v>
      </c>
    </row>
    <row r="2681" spans="8:8" x14ac:dyDescent="0.25">
      <c r="H2681" t="s">
        <v>30</v>
      </c>
    </row>
    <row r="2682" spans="8:8" x14ac:dyDescent="0.25">
      <c r="H2682" t="s">
        <v>136</v>
      </c>
    </row>
    <row r="2683" spans="8:8" x14ac:dyDescent="0.25">
      <c r="H2683" t="s">
        <v>16430</v>
      </c>
    </row>
    <row r="2684" spans="8:8" x14ac:dyDescent="0.25">
      <c r="H2684" t="s">
        <v>30</v>
      </c>
    </row>
    <row r="2685" spans="8:8" x14ac:dyDescent="0.25">
      <c r="H2685" t="s">
        <v>137</v>
      </c>
    </row>
    <row r="2686" spans="8:8" x14ac:dyDescent="0.25">
      <c r="H2686" t="s">
        <v>16431</v>
      </c>
    </row>
    <row r="2687" spans="8:8" x14ac:dyDescent="0.25">
      <c r="H2687" t="s">
        <v>30</v>
      </c>
    </row>
    <row r="2688" spans="8:8" x14ac:dyDescent="0.25">
      <c r="H2688" t="s">
        <v>138</v>
      </c>
    </row>
    <row r="2689" spans="8:8" x14ac:dyDescent="0.25">
      <c r="H2689" t="s">
        <v>16432</v>
      </c>
    </row>
    <row r="2690" spans="8:8" x14ac:dyDescent="0.25">
      <c r="H2690" t="s">
        <v>30</v>
      </c>
    </row>
    <row r="2692" spans="8:8" x14ac:dyDescent="0.25">
      <c r="H2692" t="s">
        <v>9517</v>
      </c>
    </row>
    <row r="2693" spans="8:8" x14ac:dyDescent="0.25">
      <c r="H2693" t="s">
        <v>9518</v>
      </c>
    </row>
    <row r="2694" spans="8:8" x14ac:dyDescent="0.25">
      <c r="H2694" t="s">
        <v>135</v>
      </c>
    </row>
    <row r="2695" spans="8:8" x14ac:dyDescent="0.25">
      <c r="H2695" t="s">
        <v>16433</v>
      </c>
    </row>
    <row r="2696" spans="8:8" x14ac:dyDescent="0.25">
      <c r="H2696" t="s">
        <v>30</v>
      </c>
    </row>
    <row r="2697" spans="8:8" x14ac:dyDescent="0.25">
      <c r="H2697" t="s">
        <v>136</v>
      </c>
    </row>
    <row r="2698" spans="8:8" x14ac:dyDescent="0.25">
      <c r="H2698" t="s">
        <v>16434</v>
      </c>
    </row>
    <row r="2699" spans="8:8" x14ac:dyDescent="0.25">
      <c r="H2699" t="s">
        <v>30</v>
      </c>
    </row>
    <row r="2700" spans="8:8" x14ac:dyDescent="0.25">
      <c r="H2700" t="s">
        <v>137</v>
      </c>
    </row>
    <row r="2701" spans="8:8" x14ac:dyDescent="0.25">
      <c r="H2701" t="s">
        <v>16435</v>
      </c>
    </row>
    <row r="2702" spans="8:8" x14ac:dyDescent="0.25">
      <c r="H2702" t="s">
        <v>30</v>
      </c>
    </row>
    <row r="2703" spans="8:8" x14ac:dyDescent="0.25">
      <c r="H2703" t="s">
        <v>138</v>
      </c>
    </row>
    <row r="2704" spans="8:8" x14ac:dyDescent="0.25">
      <c r="H2704" t="s">
        <v>16436</v>
      </c>
    </row>
    <row r="2705" spans="8:8" x14ac:dyDescent="0.25">
      <c r="H2705" t="s">
        <v>30</v>
      </c>
    </row>
    <row r="2707" spans="8:8" x14ac:dyDescent="0.25">
      <c r="H2707" t="s">
        <v>9523</v>
      </c>
    </row>
    <row r="2708" spans="8:8" x14ac:dyDescent="0.25">
      <c r="H2708" t="s">
        <v>9524</v>
      </c>
    </row>
    <row r="2709" spans="8:8" x14ac:dyDescent="0.25">
      <c r="H2709" t="s">
        <v>135</v>
      </c>
    </row>
    <row r="2710" spans="8:8" x14ac:dyDescent="0.25">
      <c r="H2710" t="s">
        <v>16437</v>
      </c>
    </row>
    <row r="2711" spans="8:8" x14ac:dyDescent="0.25">
      <c r="H2711" t="s">
        <v>30</v>
      </c>
    </row>
    <row r="2712" spans="8:8" x14ac:dyDescent="0.25">
      <c r="H2712" t="s">
        <v>136</v>
      </c>
    </row>
    <row r="2713" spans="8:8" x14ac:dyDescent="0.25">
      <c r="H2713" t="s">
        <v>16438</v>
      </c>
    </row>
    <row r="2714" spans="8:8" x14ac:dyDescent="0.25">
      <c r="H2714" t="s">
        <v>30</v>
      </c>
    </row>
    <row r="2715" spans="8:8" x14ac:dyDescent="0.25">
      <c r="H2715" t="s">
        <v>137</v>
      </c>
    </row>
    <row r="2716" spans="8:8" x14ac:dyDescent="0.25">
      <c r="H2716" t="s">
        <v>16439</v>
      </c>
    </row>
    <row r="2717" spans="8:8" x14ac:dyDescent="0.25">
      <c r="H2717" t="s">
        <v>30</v>
      </c>
    </row>
    <row r="2718" spans="8:8" x14ac:dyDescent="0.25">
      <c r="H2718" t="s">
        <v>138</v>
      </c>
    </row>
    <row r="2719" spans="8:8" x14ac:dyDescent="0.25">
      <c r="H2719" t="s">
        <v>16440</v>
      </c>
    </row>
    <row r="2720" spans="8:8" x14ac:dyDescent="0.25">
      <c r="H2720" t="s">
        <v>30</v>
      </c>
    </row>
    <row r="2722" spans="8:8" x14ac:dyDescent="0.25">
      <c r="H2722" t="s">
        <v>9529</v>
      </c>
    </row>
    <row r="2723" spans="8:8" x14ac:dyDescent="0.25">
      <c r="H2723" t="s">
        <v>9530</v>
      </c>
    </row>
    <row r="2724" spans="8:8" x14ac:dyDescent="0.25">
      <c r="H2724" t="s">
        <v>135</v>
      </c>
    </row>
    <row r="2725" spans="8:8" x14ac:dyDescent="0.25">
      <c r="H2725" t="s">
        <v>16441</v>
      </c>
    </row>
    <row r="2726" spans="8:8" x14ac:dyDescent="0.25">
      <c r="H2726" t="s">
        <v>30</v>
      </c>
    </row>
    <row r="2727" spans="8:8" x14ac:dyDescent="0.25">
      <c r="H2727" t="s">
        <v>136</v>
      </c>
    </row>
    <row r="2728" spans="8:8" x14ac:dyDescent="0.25">
      <c r="H2728" t="s">
        <v>16442</v>
      </c>
    </row>
    <row r="2729" spans="8:8" x14ac:dyDescent="0.25">
      <c r="H2729" t="s">
        <v>30</v>
      </c>
    </row>
    <row r="2730" spans="8:8" x14ac:dyDescent="0.25">
      <c r="H2730" t="s">
        <v>137</v>
      </c>
    </row>
    <row r="2731" spans="8:8" x14ac:dyDescent="0.25">
      <c r="H2731" t="s">
        <v>16443</v>
      </c>
    </row>
    <row r="2732" spans="8:8" x14ac:dyDescent="0.25">
      <c r="H2732" t="s">
        <v>30</v>
      </c>
    </row>
    <row r="2733" spans="8:8" x14ac:dyDescent="0.25">
      <c r="H2733" t="s">
        <v>138</v>
      </c>
    </row>
    <row r="2734" spans="8:8" x14ac:dyDescent="0.25">
      <c r="H2734" t="s">
        <v>16444</v>
      </c>
    </row>
    <row r="2735" spans="8:8" x14ac:dyDescent="0.25">
      <c r="H2735" t="s">
        <v>30</v>
      </c>
    </row>
    <row r="2737" spans="8:8" x14ac:dyDescent="0.25">
      <c r="H2737" t="s">
        <v>9535</v>
      </c>
    </row>
    <row r="2738" spans="8:8" x14ac:dyDescent="0.25">
      <c r="H2738" t="s">
        <v>9536</v>
      </c>
    </row>
    <row r="2739" spans="8:8" x14ac:dyDescent="0.25">
      <c r="H2739" t="s">
        <v>135</v>
      </c>
    </row>
    <row r="2740" spans="8:8" x14ac:dyDescent="0.25">
      <c r="H2740" t="s">
        <v>16445</v>
      </c>
    </row>
    <row r="2741" spans="8:8" x14ac:dyDescent="0.25">
      <c r="H2741" t="s">
        <v>30</v>
      </c>
    </row>
    <row r="2742" spans="8:8" x14ac:dyDescent="0.25">
      <c r="H2742" t="s">
        <v>136</v>
      </c>
    </row>
    <row r="2743" spans="8:8" x14ac:dyDescent="0.25">
      <c r="H2743" t="s">
        <v>16446</v>
      </c>
    </row>
    <row r="2744" spans="8:8" x14ac:dyDescent="0.25">
      <c r="H2744" t="s">
        <v>30</v>
      </c>
    </row>
    <row r="2745" spans="8:8" x14ac:dyDescent="0.25">
      <c r="H2745" t="s">
        <v>137</v>
      </c>
    </row>
    <row r="2746" spans="8:8" x14ac:dyDescent="0.25">
      <c r="H2746" t="s">
        <v>16447</v>
      </c>
    </row>
    <row r="2747" spans="8:8" x14ac:dyDescent="0.25">
      <c r="H2747" t="s">
        <v>30</v>
      </c>
    </row>
    <row r="2748" spans="8:8" x14ac:dyDescent="0.25">
      <c r="H2748" t="s">
        <v>138</v>
      </c>
    </row>
    <row r="2749" spans="8:8" x14ac:dyDescent="0.25">
      <c r="H2749" t="s">
        <v>16448</v>
      </c>
    </row>
    <row r="2750" spans="8:8" x14ac:dyDescent="0.25">
      <c r="H2750" t="s">
        <v>30</v>
      </c>
    </row>
    <row r="2752" spans="8:8" x14ac:dyDescent="0.25">
      <c r="H2752" t="s">
        <v>9541</v>
      </c>
    </row>
    <row r="2753" spans="8:8" x14ac:dyDescent="0.25">
      <c r="H2753" t="s">
        <v>9542</v>
      </c>
    </row>
    <row r="2754" spans="8:8" x14ac:dyDescent="0.25">
      <c r="H2754" t="s">
        <v>135</v>
      </c>
    </row>
    <row r="2755" spans="8:8" x14ac:dyDescent="0.25">
      <c r="H2755" t="s">
        <v>16449</v>
      </c>
    </row>
    <row r="2756" spans="8:8" x14ac:dyDescent="0.25">
      <c r="H2756" t="s">
        <v>30</v>
      </c>
    </row>
    <row r="2757" spans="8:8" x14ac:dyDescent="0.25">
      <c r="H2757" t="s">
        <v>136</v>
      </c>
    </row>
    <row r="2758" spans="8:8" x14ac:dyDescent="0.25">
      <c r="H2758" t="s">
        <v>16450</v>
      </c>
    </row>
    <row r="2759" spans="8:8" x14ac:dyDescent="0.25">
      <c r="H2759" t="s">
        <v>30</v>
      </c>
    </row>
    <row r="2760" spans="8:8" x14ac:dyDescent="0.25">
      <c r="H2760" t="s">
        <v>137</v>
      </c>
    </row>
    <row r="2761" spans="8:8" x14ac:dyDescent="0.25">
      <c r="H2761" t="s">
        <v>16451</v>
      </c>
    </row>
    <row r="2762" spans="8:8" x14ac:dyDescent="0.25">
      <c r="H2762" t="s">
        <v>30</v>
      </c>
    </row>
    <row r="2763" spans="8:8" x14ac:dyDescent="0.25">
      <c r="H2763" t="s">
        <v>138</v>
      </c>
    </row>
    <row r="2764" spans="8:8" x14ac:dyDescent="0.25">
      <c r="H2764" t="s">
        <v>16452</v>
      </c>
    </row>
    <row r="2765" spans="8:8" x14ac:dyDescent="0.25">
      <c r="H2765" t="s">
        <v>30</v>
      </c>
    </row>
    <row r="2767" spans="8:8" x14ac:dyDescent="0.25">
      <c r="H2767" t="s">
        <v>9547</v>
      </c>
    </row>
    <row r="2768" spans="8:8" x14ac:dyDescent="0.25">
      <c r="H2768" t="s">
        <v>9548</v>
      </c>
    </row>
    <row r="2769" spans="8:8" x14ac:dyDescent="0.25">
      <c r="H2769" t="s">
        <v>135</v>
      </c>
    </row>
    <row r="2770" spans="8:8" x14ac:dyDescent="0.25">
      <c r="H2770" t="s">
        <v>16453</v>
      </c>
    </row>
    <row r="2771" spans="8:8" x14ac:dyDescent="0.25">
      <c r="H2771" t="s">
        <v>30</v>
      </c>
    </row>
    <row r="2772" spans="8:8" x14ac:dyDescent="0.25">
      <c r="H2772" t="s">
        <v>136</v>
      </c>
    </row>
    <row r="2773" spans="8:8" x14ac:dyDescent="0.25">
      <c r="H2773" t="s">
        <v>16454</v>
      </c>
    </row>
    <row r="2774" spans="8:8" x14ac:dyDescent="0.25">
      <c r="H2774" t="s">
        <v>30</v>
      </c>
    </row>
    <row r="2775" spans="8:8" x14ac:dyDescent="0.25">
      <c r="H2775" t="s">
        <v>137</v>
      </c>
    </row>
    <row r="2776" spans="8:8" x14ac:dyDescent="0.25">
      <c r="H2776" t="s">
        <v>16455</v>
      </c>
    </row>
    <row r="2777" spans="8:8" x14ac:dyDescent="0.25">
      <c r="H2777" t="s">
        <v>30</v>
      </c>
    </row>
    <row r="2778" spans="8:8" x14ac:dyDescent="0.25">
      <c r="H2778" t="s">
        <v>138</v>
      </c>
    </row>
    <row r="2779" spans="8:8" x14ac:dyDescent="0.25">
      <c r="H2779" t="s">
        <v>16456</v>
      </c>
    </row>
    <row r="2780" spans="8:8" x14ac:dyDescent="0.25">
      <c r="H2780" t="s">
        <v>30</v>
      </c>
    </row>
    <row r="2782" spans="8:8" x14ac:dyDescent="0.25">
      <c r="H2782" t="s">
        <v>9553</v>
      </c>
    </row>
    <row r="2783" spans="8:8" x14ac:dyDescent="0.25">
      <c r="H2783" t="s">
        <v>9554</v>
      </c>
    </row>
    <row r="2784" spans="8:8" x14ac:dyDescent="0.25">
      <c r="H2784" t="s">
        <v>135</v>
      </c>
    </row>
    <row r="2785" spans="8:8" x14ac:dyDescent="0.25">
      <c r="H2785" t="s">
        <v>16457</v>
      </c>
    </row>
    <row r="2786" spans="8:8" x14ac:dyDescent="0.25">
      <c r="H2786" t="s">
        <v>30</v>
      </c>
    </row>
    <row r="2787" spans="8:8" x14ac:dyDescent="0.25">
      <c r="H2787" t="s">
        <v>136</v>
      </c>
    </row>
    <row r="2788" spans="8:8" x14ac:dyDescent="0.25">
      <c r="H2788" t="s">
        <v>16458</v>
      </c>
    </row>
    <row r="2789" spans="8:8" x14ac:dyDescent="0.25">
      <c r="H2789" t="s">
        <v>30</v>
      </c>
    </row>
    <row r="2790" spans="8:8" x14ac:dyDescent="0.25">
      <c r="H2790" t="s">
        <v>137</v>
      </c>
    </row>
    <row r="2791" spans="8:8" x14ac:dyDescent="0.25">
      <c r="H2791" t="s">
        <v>16459</v>
      </c>
    </row>
    <row r="2792" spans="8:8" x14ac:dyDescent="0.25">
      <c r="H2792" t="s">
        <v>30</v>
      </c>
    </row>
    <row r="2793" spans="8:8" x14ac:dyDescent="0.25">
      <c r="H2793" t="s">
        <v>138</v>
      </c>
    </row>
    <row r="2794" spans="8:8" x14ac:dyDescent="0.25">
      <c r="H2794" t="s">
        <v>16460</v>
      </c>
    </row>
    <row r="2795" spans="8:8" x14ac:dyDescent="0.25">
      <c r="H2795" t="s">
        <v>30</v>
      </c>
    </row>
    <row r="2797" spans="8:8" x14ac:dyDescent="0.25">
      <c r="H2797" t="s">
        <v>9559</v>
      </c>
    </row>
    <row r="2798" spans="8:8" x14ac:dyDescent="0.25">
      <c r="H2798" t="s">
        <v>9560</v>
      </c>
    </row>
    <row r="2799" spans="8:8" x14ac:dyDescent="0.25">
      <c r="H2799" t="s">
        <v>135</v>
      </c>
    </row>
    <row r="2800" spans="8:8" x14ac:dyDescent="0.25">
      <c r="H2800" t="s">
        <v>16461</v>
      </c>
    </row>
    <row r="2801" spans="8:8" x14ac:dyDescent="0.25">
      <c r="H2801" t="s">
        <v>30</v>
      </c>
    </row>
    <row r="2802" spans="8:8" x14ac:dyDescent="0.25">
      <c r="H2802" t="s">
        <v>136</v>
      </c>
    </row>
    <row r="2803" spans="8:8" x14ac:dyDescent="0.25">
      <c r="H2803" t="s">
        <v>16462</v>
      </c>
    </row>
    <row r="2804" spans="8:8" x14ac:dyDescent="0.25">
      <c r="H2804" t="s">
        <v>30</v>
      </c>
    </row>
    <row r="2805" spans="8:8" x14ac:dyDescent="0.25">
      <c r="H2805" t="s">
        <v>137</v>
      </c>
    </row>
    <row r="2806" spans="8:8" x14ac:dyDescent="0.25">
      <c r="H2806" t="s">
        <v>16463</v>
      </c>
    </row>
    <row r="2807" spans="8:8" x14ac:dyDescent="0.25">
      <c r="H2807" t="s">
        <v>30</v>
      </c>
    </row>
    <row r="2808" spans="8:8" x14ac:dyDescent="0.25">
      <c r="H2808" t="s">
        <v>138</v>
      </c>
    </row>
    <row r="2809" spans="8:8" x14ac:dyDescent="0.25">
      <c r="H2809" t="s">
        <v>16464</v>
      </c>
    </row>
    <row r="2810" spans="8:8" x14ac:dyDescent="0.25">
      <c r="H2810" t="s">
        <v>30</v>
      </c>
    </row>
    <row r="2812" spans="8:8" x14ac:dyDescent="0.25">
      <c r="H2812" t="s">
        <v>9565</v>
      </c>
    </row>
    <row r="2813" spans="8:8" x14ac:dyDescent="0.25">
      <c r="H2813" t="s">
        <v>9566</v>
      </c>
    </row>
    <row r="2814" spans="8:8" x14ac:dyDescent="0.25">
      <c r="H2814" t="s">
        <v>135</v>
      </c>
    </row>
    <row r="2815" spans="8:8" x14ac:dyDescent="0.25">
      <c r="H2815" t="s">
        <v>16465</v>
      </c>
    </row>
    <row r="2816" spans="8:8" x14ac:dyDescent="0.25">
      <c r="H2816" t="s">
        <v>30</v>
      </c>
    </row>
    <row r="2817" spans="8:8" x14ac:dyDescent="0.25">
      <c r="H2817" t="s">
        <v>136</v>
      </c>
    </row>
    <row r="2818" spans="8:8" x14ac:dyDescent="0.25">
      <c r="H2818" t="s">
        <v>16466</v>
      </c>
    </row>
    <row r="2819" spans="8:8" x14ac:dyDescent="0.25">
      <c r="H2819" t="s">
        <v>30</v>
      </c>
    </row>
    <row r="2820" spans="8:8" x14ac:dyDescent="0.25">
      <c r="H2820" t="s">
        <v>137</v>
      </c>
    </row>
    <row r="2821" spans="8:8" x14ac:dyDescent="0.25">
      <c r="H2821" t="s">
        <v>16467</v>
      </c>
    </row>
    <row r="2822" spans="8:8" x14ac:dyDescent="0.25">
      <c r="H2822" t="s">
        <v>30</v>
      </c>
    </row>
    <row r="2823" spans="8:8" x14ac:dyDescent="0.25">
      <c r="H2823" t="s">
        <v>138</v>
      </c>
    </row>
    <row r="2824" spans="8:8" x14ac:dyDescent="0.25">
      <c r="H2824" t="s">
        <v>16468</v>
      </c>
    </row>
    <row r="2825" spans="8:8" x14ac:dyDescent="0.25">
      <c r="H2825" t="s">
        <v>30</v>
      </c>
    </row>
    <row r="2827" spans="8:8" x14ac:dyDescent="0.25">
      <c r="H2827" t="s">
        <v>9571</v>
      </c>
    </row>
    <row r="2828" spans="8:8" x14ac:dyDescent="0.25">
      <c r="H2828" t="s">
        <v>9572</v>
      </c>
    </row>
    <row r="2829" spans="8:8" x14ac:dyDescent="0.25">
      <c r="H2829" t="s">
        <v>135</v>
      </c>
    </row>
    <row r="2830" spans="8:8" x14ac:dyDescent="0.25">
      <c r="H2830" t="s">
        <v>16469</v>
      </c>
    </row>
    <row r="2831" spans="8:8" x14ac:dyDescent="0.25">
      <c r="H2831" t="s">
        <v>30</v>
      </c>
    </row>
    <row r="2832" spans="8:8" x14ac:dyDescent="0.25">
      <c r="H2832" t="s">
        <v>136</v>
      </c>
    </row>
    <row r="2833" spans="8:8" x14ac:dyDescent="0.25">
      <c r="H2833" t="s">
        <v>16470</v>
      </c>
    </row>
    <row r="2834" spans="8:8" x14ac:dyDescent="0.25">
      <c r="H2834" t="s">
        <v>30</v>
      </c>
    </row>
    <row r="2835" spans="8:8" x14ac:dyDescent="0.25">
      <c r="H2835" t="s">
        <v>137</v>
      </c>
    </row>
    <row r="2836" spans="8:8" x14ac:dyDescent="0.25">
      <c r="H2836" t="s">
        <v>16471</v>
      </c>
    </row>
    <row r="2837" spans="8:8" x14ac:dyDescent="0.25">
      <c r="H2837" t="s">
        <v>30</v>
      </c>
    </row>
    <row r="2838" spans="8:8" x14ac:dyDescent="0.25">
      <c r="H2838" t="s">
        <v>138</v>
      </c>
    </row>
    <row r="2839" spans="8:8" x14ac:dyDescent="0.25">
      <c r="H2839" t="s">
        <v>16472</v>
      </c>
    </row>
    <row r="2840" spans="8:8" x14ac:dyDescent="0.25">
      <c r="H2840" t="s">
        <v>30</v>
      </c>
    </row>
    <row r="2842" spans="8:8" x14ac:dyDescent="0.25">
      <c r="H2842" t="s">
        <v>9577</v>
      </c>
    </row>
    <row r="2843" spans="8:8" x14ac:dyDescent="0.25">
      <c r="H2843" t="s">
        <v>9578</v>
      </c>
    </row>
    <row r="2844" spans="8:8" x14ac:dyDescent="0.25">
      <c r="H2844" t="s">
        <v>135</v>
      </c>
    </row>
    <row r="2845" spans="8:8" x14ac:dyDescent="0.25">
      <c r="H2845" t="s">
        <v>16473</v>
      </c>
    </row>
    <row r="2846" spans="8:8" x14ac:dyDescent="0.25">
      <c r="H2846" t="s">
        <v>30</v>
      </c>
    </row>
    <row r="2847" spans="8:8" x14ac:dyDescent="0.25">
      <c r="H2847" t="s">
        <v>136</v>
      </c>
    </row>
    <row r="2848" spans="8:8" x14ac:dyDescent="0.25">
      <c r="H2848" t="s">
        <v>16474</v>
      </c>
    </row>
    <row r="2849" spans="8:8" x14ac:dyDescent="0.25">
      <c r="H2849" t="s">
        <v>30</v>
      </c>
    </row>
    <row r="2850" spans="8:8" x14ac:dyDescent="0.25">
      <c r="H2850" t="s">
        <v>137</v>
      </c>
    </row>
    <row r="2851" spans="8:8" x14ac:dyDescent="0.25">
      <c r="H2851" t="s">
        <v>16475</v>
      </c>
    </row>
    <row r="2852" spans="8:8" x14ac:dyDescent="0.25">
      <c r="H2852" t="s">
        <v>30</v>
      </c>
    </row>
    <row r="2853" spans="8:8" x14ac:dyDescent="0.25">
      <c r="H2853" t="s">
        <v>138</v>
      </c>
    </row>
    <row r="2854" spans="8:8" x14ac:dyDescent="0.25">
      <c r="H2854" t="s">
        <v>16476</v>
      </c>
    </row>
    <row r="2855" spans="8:8" x14ac:dyDescent="0.25">
      <c r="H2855" t="s">
        <v>30</v>
      </c>
    </row>
    <row r="2857" spans="8:8" x14ac:dyDescent="0.25">
      <c r="H2857" t="s">
        <v>9583</v>
      </c>
    </row>
    <row r="2858" spans="8:8" x14ac:dyDescent="0.25">
      <c r="H2858" t="s">
        <v>9584</v>
      </c>
    </row>
    <row r="2859" spans="8:8" x14ac:dyDescent="0.25">
      <c r="H2859" t="s">
        <v>135</v>
      </c>
    </row>
    <row r="2860" spans="8:8" x14ac:dyDescent="0.25">
      <c r="H2860" t="s">
        <v>16477</v>
      </c>
    </row>
    <row r="2861" spans="8:8" x14ac:dyDescent="0.25">
      <c r="H2861" t="s">
        <v>30</v>
      </c>
    </row>
    <row r="2862" spans="8:8" x14ac:dyDescent="0.25">
      <c r="H2862" t="s">
        <v>136</v>
      </c>
    </row>
    <row r="2863" spans="8:8" x14ac:dyDescent="0.25">
      <c r="H2863" t="s">
        <v>16478</v>
      </c>
    </row>
    <row r="2864" spans="8:8" x14ac:dyDescent="0.25">
      <c r="H2864" t="s">
        <v>30</v>
      </c>
    </row>
    <row r="2865" spans="8:8" x14ac:dyDescent="0.25">
      <c r="H2865" t="s">
        <v>137</v>
      </c>
    </row>
    <row r="2866" spans="8:8" x14ac:dyDescent="0.25">
      <c r="H2866" t="s">
        <v>16479</v>
      </c>
    </row>
    <row r="2867" spans="8:8" x14ac:dyDescent="0.25">
      <c r="H2867" t="s">
        <v>30</v>
      </c>
    </row>
    <row r="2868" spans="8:8" x14ac:dyDescent="0.25">
      <c r="H2868" t="s">
        <v>138</v>
      </c>
    </row>
    <row r="2869" spans="8:8" x14ac:dyDescent="0.25">
      <c r="H2869" t="s">
        <v>16480</v>
      </c>
    </row>
    <row r="2870" spans="8:8" x14ac:dyDescent="0.25">
      <c r="H2870" t="s">
        <v>30</v>
      </c>
    </row>
    <row r="2872" spans="8:8" x14ac:dyDescent="0.25">
      <c r="H2872" t="s">
        <v>9589</v>
      </c>
    </row>
    <row r="2873" spans="8:8" x14ac:dyDescent="0.25">
      <c r="H2873" t="s">
        <v>9590</v>
      </c>
    </row>
    <row r="2874" spans="8:8" x14ac:dyDescent="0.25">
      <c r="H2874" t="s">
        <v>135</v>
      </c>
    </row>
    <row r="2875" spans="8:8" x14ac:dyDescent="0.25">
      <c r="H2875" t="s">
        <v>16481</v>
      </c>
    </row>
    <row r="2876" spans="8:8" x14ac:dyDescent="0.25">
      <c r="H2876" t="s">
        <v>30</v>
      </c>
    </row>
    <row r="2877" spans="8:8" x14ac:dyDescent="0.25">
      <c r="H2877" t="s">
        <v>136</v>
      </c>
    </row>
    <row r="2878" spans="8:8" x14ac:dyDescent="0.25">
      <c r="H2878" t="s">
        <v>16482</v>
      </c>
    </row>
    <row r="2879" spans="8:8" x14ac:dyDescent="0.25">
      <c r="H2879" t="s">
        <v>30</v>
      </c>
    </row>
    <row r="2880" spans="8:8" x14ac:dyDescent="0.25">
      <c r="H2880" t="s">
        <v>137</v>
      </c>
    </row>
    <row r="2881" spans="8:8" x14ac:dyDescent="0.25">
      <c r="H2881" t="s">
        <v>16483</v>
      </c>
    </row>
    <row r="2882" spans="8:8" x14ac:dyDescent="0.25">
      <c r="H2882" t="s">
        <v>30</v>
      </c>
    </row>
    <row r="2883" spans="8:8" x14ac:dyDescent="0.25">
      <c r="H2883" t="s">
        <v>138</v>
      </c>
    </row>
    <row r="2884" spans="8:8" x14ac:dyDescent="0.25">
      <c r="H2884" t="s">
        <v>16484</v>
      </c>
    </row>
    <row r="2885" spans="8:8" x14ac:dyDescent="0.25">
      <c r="H2885" t="s">
        <v>30</v>
      </c>
    </row>
    <row r="2887" spans="8:8" x14ac:dyDescent="0.25">
      <c r="H2887" t="s">
        <v>9595</v>
      </c>
    </row>
    <row r="2888" spans="8:8" x14ac:dyDescent="0.25">
      <c r="H2888" t="s">
        <v>9596</v>
      </c>
    </row>
    <row r="2889" spans="8:8" x14ac:dyDescent="0.25">
      <c r="H2889" t="s">
        <v>135</v>
      </c>
    </row>
    <row r="2890" spans="8:8" x14ac:dyDescent="0.25">
      <c r="H2890" t="s">
        <v>16485</v>
      </c>
    </row>
    <row r="2891" spans="8:8" x14ac:dyDescent="0.25">
      <c r="H2891" t="s">
        <v>30</v>
      </c>
    </row>
    <row r="2892" spans="8:8" x14ac:dyDescent="0.25">
      <c r="H2892" t="s">
        <v>136</v>
      </c>
    </row>
    <row r="2893" spans="8:8" x14ac:dyDescent="0.25">
      <c r="H2893" t="s">
        <v>16486</v>
      </c>
    </row>
    <row r="2894" spans="8:8" x14ac:dyDescent="0.25">
      <c r="H2894" t="s">
        <v>30</v>
      </c>
    </row>
    <row r="2895" spans="8:8" x14ac:dyDescent="0.25">
      <c r="H2895" t="s">
        <v>137</v>
      </c>
    </row>
    <row r="2896" spans="8:8" x14ac:dyDescent="0.25">
      <c r="H2896" t="s">
        <v>16487</v>
      </c>
    </row>
    <row r="2897" spans="8:8" x14ac:dyDescent="0.25">
      <c r="H2897" t="s">
        <v>30</v>
      </c>
    </row>
    <row r="2898" spans="8:8" x14ac:dyDescent="0.25">
      <c r="H2898" t="s">
        <v>138</v>
      </c>
    </row>
    <row r="2899" spans="8:8" x14ac:dyDescent="0.25">
      <c r="H2899" t="s">
        <v>16488</v>
      </c>
    </row>
    <row r="2900" spans="8:8" x14ac:dyDescent="0.25">
      <c r="H2900" t="s">
        <v>30</v>
      </c>
    </row>
    <row r="2902" spans="8:8" x14ac:dyDescent="0.25">
      <c r="H2902" t="s">
        <v>9601</v>
      </c>
    </row>
    <row r="2903" spans="8:8" x14ac:dyDescent="0.25">
      <c r="H2903" t="s">
        <v>9602</v>
      </c>
    </row>
    <row r="2904" spans="8:8" x14ac:dyDescent="0.25">
      <c r="H2904" t="s">
        <v>135</v>
      </c>
    </row>
    <row r="2905" spans="8:8" x14ac:dyDescent="0.25">
      <c r="H2905" t="s">
        <v>16489</v>
      </c>
    </row>
    <row r="2906" spans="8:8" x14ac:dyDescent="0.25">
      <c r="H2906" t="s">
        <v>30</v>
      </c>
    </row>
    <row r="2907" spans="8:8" x14ac:dyDescent="0.25">
      <c r="H2907" t="s">
        <v>136</v>
      </c>
    </row>
    <row r="2908" spans="8:8" x14ac:dyDescent="0.25">
      <c r="H2908" t="s">
        <v>16490</v>
      </c>
    </row>
    <row r="2909" spans="8:8" x14ac:dyDescent="0.25">
      <c r="H2909" t="s">
        <v>30</v>
      </c>
    </row>
    <row r="2910" spans="8:8" x14ac:dyDescent="0.25">
      <c r="H2910" t="s">
        <v>137</v>
      </c>
    </row>
    <row r="2911" spans="8:8" x14ac:dyDescent="0.25">
      <c r="H2911" t="s">
        <v>16491</v>
      </c>
    </row>
    <row r="2912" spans="8:8" x14ac:dyDescent="0.25">
      <c r="H2912" t="s">
        <v>30</v>
      </c>
    </row>
    <row r="2913" spans="8:8" x14ac:dyDescent="0.25">
      <c r="H2913" t="s">
        <v>138</v>
      </c>
    </row>
    <row r="2914" spans="8:8" x14ac:dyDescent="0.25">
      <c r="H2914" t="s">
        <v>16492</v>
      </c>
    </row>
    <row r="2915" spans="8:8" x14ac:dyDescent="0.25">
      <c r="H2915" t="s">
        <v>30</v>
      </c>
    </row>
    <row r="2917" spans="8:8" x14ac:dyDescent="0.25">
      <c r="H2917" t="s">
        <v>9607</v>
      </c>
    </row>
    <row r="2918" spans="8:8" x14ac:dyDescent="0.25">
      <c r="H2918" t="s">
        <v>9608</v>
      </c>
    </row>
    <row r="2919" spans="8:8" x14ac:dyDescent="0.25">
      <c r="H2919" t="s">
        <v>135</v>
      </c>
    </row>
    <row r="2920" spans="8:8" x14ac:dyDescent="0.25">
      <c r="H2920" t="s">
        <v>16493</v>
      </c>
    </row>
    <row r="2921" spans="8:8" x14ac:dyDescent="0.25">
      <c r="H2921" t="s">
        <v>30</v>
      </c>
    </row>
    <row r="2922" spans="8:8" x14ac:dyDescent="0.25">
      <c r="H2922" t="s">
        <v>136</v>
      </c>
    </row>
    <row r="2923" spans="8:8" x14ac:dyDescent="0.25">
      <c r="H2923" t="s">
        <v>16494</v>
      </c>
    </row>
    <row r="2924" spans="8:8" x14ac:dyDescent="0.25">
      <c r="H2924" t="s">
        <v>30</v>
      </c>
    </row>
    <row r="2925" spans="8:8" x14ac:dyDescent="0.25">
      <c r="H2925" t="s">
        <v>137</v>
      </c>
    </row>
    <row r="2926" spans="8:8" x14ac:dyDescent="0.25">
      <c r="H2926" t="s">
        <v>16495</v>
      </c>
    </row>
    <row r="2927" spans="8:8" x14ac:dyDescent="0.25">
      <c r="H2927" t="s">
        <v>30</v>
      </c>
    </row>
    <row r="2928" spans="8:8" x14ac:dyDescent="0.25">
      <c r="H2928" t="s">
        <v>138</v>
      </c>
    </row>
    <row r="2929" spans="8:8" x14ac:dyDescent="0.25">
      <c r="H2929" t="s">
        <v>16496</v>
      </c>
    </row>
    <row r="2930" spans="8:8" x14ac:dyDescent="0.25">
      <c r="H2930" t="s">
        <v>30</v>
      </c>
    </row>
    <row r="2932" spans="8:8" x14ac:dyDescent="0.25">
      <c r="H2932" t="s">
        <v>9613</v>
      </c>
    </row>
    <row r="2933" spans="8:8" x14ac:dyDescent="0.25">
      <c r="H2933" t="s">
        <v>9614</v>
      </c>
    </row>
    <row r="2934" spans="8:8" x14ac:dyDescent="0.25">
      <c r="H2934" t="s">
        <v>135</v>
      </c>
    </row>
    <row r="2935" spans="8:8" x14ac:dyDescent="0.25">
      <c r="H2935" t="s">
        <v>16497</v>
      </c>
    </row>
    <row r="2936" spans="8:8" x14ac:dyDescent="0.25">
      <c r="H2936" t="s">
        <v>30</v>
      </c>
    </row>
    <row r="2937" spans="8:8" x14ac:dyDescent="0.25">
      <c r="H2937" t="s">
        <v>136</v>
      </c>
    </row>
    <row r="2938" spans="8:8" x14ac:dyDescent="0.25">
      <c r="H2938" t="s">
        <v>16498</v>
      </c>
    </row>
    <row r="2939" spans="8:8" x14ac:dyDescent="0.25">
      <c r="H2939" t="s">
        <v>30</v>
      </c>
    </row>
    <row r="2940" spans="8:8" x14ac:dyDescent="0.25">
      <c r="H2940" t="s">
        <v>137</v>
      </c>
    </row>
    <row r="2941" spans="8:8" x14ac:dyDescent="0.25">
      <c r="H2941" t="s">
        <v>16499</v>
      </c>
    </row>
    <row r="2942" spans="8:8" x14ac:dyDescent="0.25">
      <c r="H2942" t="s">
        <v>30</v>
      </c>
    </row>
    <row r="2943" spans="8:8" x14ac:dyDescent="0.25">
      <c r="H2943" t="s">
        <v>138</v>
      </c>
    </row>
    <row r="2944" spans="8:8" x14ac:dyDescent="0.25">
      <c r="H2944" t="s">
        <v>16500</v>
      </c>
    </row>
    <row r="2945" spans="8:8" x14ac:dyDescent="0.25">
      <c r="H2945" t="s">
        <v>30</v>
      </c>
    </row>
    <row r="2947" spans="8:8" x14ac:dyDescent="0.25">
      <c r="H2947" t="s">
        <v>9619</v>
      </c>
    </row>
    <row r="2948" spans="8:8" x14ac:dyDescent="0.25">
      <c r="H2948" t="s">
        <v>9620</v>
      </c>
    </row>
    <row r="2949" spans="8:8" x14ac:dyDescent="0.25">
      <c r="H2949" t="s">
        <v>135</v>
      </c>
    </row>
    <row r="2950" spans="8:8" x14ac:dyDescent="0.25">
      <c r="H2950" t="s">
        <v>16501</v>
      </c>
    </row>
    <row r="2951" spans="8:8" x14ac:dyDescent="0.25">
      <c r="H2951" t="s">
        <v>30</v>
      </c>
    </row>
    <row r="2952" spans="8:8" x14ac:dyDescent="0.25">
      <c r="H2952" t="s">
        <v>136</v>
      </c>
    </row>
    <row r="2953" spans="8:8" x14ac:dyDescent="0.25">
      <c r="H2953" t="s">
        <v>16502</v>
      </c>
    </row>
    <row r="2954" spans="8:8" x14ac:dyDescent="0.25">
      <c r="H2954" t="s">
        <v>30</v>
      </c>
    </row>
    <row r="2955" spans="8:8" x14ac:dyDescent="0.25">
      <c r="H2955" t="s">
        <v>137</v>
      </c>
    </row>
    <row r="2956" spans="8:8" x14ac:dyDescent="0.25">
      <c r="H2956" t="s">
        <v>16503</v>
      </c>
    </row>
    <row r="2957" spans="8:8" x14ac:dyDescent="0.25">
      <c r="H2957" t="s">
        <v>30</v>
      </c>
    </row>
    <row r="2958" spans="8:8" x14ac:dyDescent="0.25">
      <c r="H2958" t="s">
        <v>138</v>
      </c>
    </row>
    <row r="2959" spans="8:8" x14ac:dyDescent="0.25">
      <c r="H2959" t="s">
        <v>16504</v>
      </c>
    </row>
    <row r="2960" spans="8:8" x14ac:dyDescent="0.25">
      <c r="H2960" t="s">
        <v>30</v>
      </c>
    </row>
    <row r="2962" spans="8:8" x14ac:dyDescent="0.25">
      <c r="H2962" t="s">
        <v>9625</v>
      </c>
    </row>
    <row r="2963" spans="8:8" x14ac:dyDescent="0.25">
      <c r="H2963" t="s">
        <v>9626</v>
      </c>
    </row>
    <row r="2964" spans="8:8" x14ac:dyDescent="0.25">
      <c r="H2964" t="s">
        <v>135</v>
      </c>
    </row>
    <row r="2965" spans="8:8" x14ac:dyDescent="0.25">
      <c r="H2965" t="s">
        <v>16505</v>
      </c>
    </row>
    <row r="2966" spans="8:8" x14ac:dyDescent="0.25">
      <c r="H2966" t="s">
        <v>30</v>
      </c>
    </row>
    <row r="2967" spans="8:8" x14ac:dyDescent="0.25">
      <c r="H2967" t="s">
        <v>136</v>
      </c>
    </row>
    <row r="2968" spans="8:8" x14ac:dyDescent="0.25">
      <c r="H2968" t="s">
        <v>16506</v>
      </c>
    </row>
    <row r="2969" spans="8:8" x14ac:dyDescent="0.25">
      <c r="H2969" t="s">
        <v>30</v>
      </c>
    </row>
    <row r="2970" spans="8:8" x14ac:dyDescent="0.25">
      <c r="H2970" t="s">
        <v>137</v>
      </c>
    </row>
    <row r="2971" spans="8:8" x14ac:dyDescent="0.25">
      <c r="H2971" t="s">
        <v>16507</v>
      </c>
    </row>
    <row r="2972" spans="8:8" x14ac:dyDescent="0.25">
      <c r="H2972" t="s">
        <v>30</v>
      </c>
    </row>
    <row r="2973" spans="8:8" x14ac:dyDescent="0.25">
      <c r="H2973" t="s">
        <v>138</v>
      </c>
    </row>
    <row r="2974" spans="8:8" x14ac:dyDescent="0.25">
      <c r="H2974" t="s">
        <v>16508</v>
      </c>
    </row>
    <row r="2975" spans="8:8" x14ac:dyDescent="0.25">
      <c r="H2975" t="s">
        <v>30</v>
      </c>
    </row>
    <row r="2977" spans="8:8" x14ac:dyDescent="0.25">
      <c r="H2977" t="s">
        <v>9631</v>
      </c>
    </row>
    <row r="2978" spans="8:8" x14ac:dyDescent="0.25">
      <c r="H2978" t="s">
        <v>9632</v>
      </c>
    </row>
    <row r="2979" spans="8:8" x14ac:dyDescent="0.25">
      <c r="H2979" t="s">
        <v>135</v>
      </c>
    </row>
    <row r="2980" spans="8:8" x14ac:dyDescent="0.25">
      <c r="H2980" t="s">
        <v>16509</v>
      </c>
    </row>
    <row r="2981" spans="8:8" x14ac:dyDescent="0.25">
      <c r="H2981" t="s">
        <v>30</v>
      </c>
    </row>
    <row r="2982" spans="8:8" x14ac:dyDescent="0.25">
      <c r="H2982" t="s">
        <v>136</v>
      </c>
    </row>
    <row r="2983" spans="8:8" x14ac:dyDescent="0.25">
      <c r="H2983" t="s">
        <v>16510</v>
      </c>
    </row>
    <row r="2984" spans="8:8" x14ac:dyDescent="0.25">
      <c r="H2984" t="s">
        <v>30</v>
      </c>
    </row>
    <row r="2985" spans="8:8" x14ac:dyDescent="0.25">
      <c r="H2985" t="s">
        <v>137</v>
      </c>
    </row>
    <row r="2986" spans="8:8" x14ac:dyDescent="0.25">
      <c r="H2986" t="s">
        <v>16511</v>
      </c>
    </row>
    <row r="2987" spans="8:8" x14ac:dyDescent="0.25">
      <c r="H2987" t="s">
        <v>30</v>
      </c>
    </row>
    <row r="2988" spans="8:8" x14ac:dyDescent="0.25">
      <c r="H2988" t="s">
        <v>138</v>
      </c>
    </row>
    <row r="2989" spans="8:8" x14ac:dyDescent="0.25">
      <c r="H2989" t="s">
        <v>16512</v>
      </c>
    </row>
    <row r="2990" spans="8:8" x14ac:dyDescent="0.25">
      <c r="H2990" t="s">
        <v>30</v>
      </c>
    </row>
    <row r="2992" spans="8:8" x14ac:dyDescent="0.25">
      <c r="H2992" t="s">
        <v>9637</v>
      </c>
    </row>
    <row r="2993" spans="8:8" x14ac:dyDescent="0.25">
      <c r="H2993" t="s">
        <v>9638</v>
      </c>
    </row>
    <row r="2994" spans="8:8" x14ac:dyDescent="0.25">
      <c r="H2994" t="s">
        <v>135</v>
      </c>
    </row>
    <row r="2995" spans="8:8" x14ac:dyDescent="0.25">
      <c r="H2995" t="s">
        <v>16513</v>
      </c>
    </row>
    <row r="2996" spans="8:8" x14ac:dyDescent="0.25">
      <c r="H2996" t="s">
        <v>30</v>
      </c>
    </row>
    <row r="2997" spans="8:8" x14ac:dyDescent="0.25">
      <c r="H2997" t="s">
        <v>136</v>
      </c>
    </row>
    <row r="2998" spans="8:8" x14ac:dyDescent="0.25">
      <c r="H2998" t="s">
        <v>16514</v>
      </c>
    </row>
    <row r="2999" spans="8:8" x14ac:dyDescent="0.25">
      <c r="H2999" t="s">
        <v>30</v>
      </c>
    </row>
    <row r="3000" spans="8:8" x14ac:dyDescent="0.25">
      <c r="H3000" t="s">
        <v>137</v>
      </c>
    </row>
    <row r="3001" spans="8:8" x14ac:dyDescent="0.25">
      <c r="H3001" t="s">
        <v>16515</v>
      </c>
    </row>
    <row r="3002" spans="8:8" x14ac:dyDescent="0.25">
      <c r="H3002" t="s">
        <v>30</v>
      </c>
    </row>
    <row r="3003" spans="8:8" x14ac:dyDescent="0.25">
      <c r="H3003" t="s">
        <v>138</v>
      </c>
    </row>
    <row r="3004" spans="8:8" x14ac:dyDescent="0.25">
      <c r="H3004" t="s">
        <v>16516</v>
      </c>
    </row>
    <row r="3005" spans="8:8" x14ac:dyDescent="0.25">
      <c r="H3005" t="s">
        <v>30</v>
      </c>
    </row>
    <row r="3007" spans="8:8" x14ac:dyDescent="0.25">
      <c r="H3007" t="s">
        <v>9643</v>
      </c>
    </row>
    <row r="3008" spans="8:8" x14ac:dyDescent="0.25">
      <c r="H3008" t="s">
        <v>9644</v>
      </c>
    </row>
    <row r="3009" spans="8:8" x14ac:dyDescent="0.25">
      <c r="H3009" t="s">
        <v>135</v>
      </c>
    </row>
    <row r="3010" spans="8:8" x14ac:dyDescent="0.25">
      <c r="H3010" t="s">
        <v>16517</v>
      </c>
    </row>
    <row r="3011" spans="8:8" x14ac:dyDescent="0.25">
      <c r="H3011" t="s">
        <v>30</v>
      </c>
    </row>
    <row r="3012" spans="8:8" x14ac:dyDescent="0.25">
      <c r="H3012" t="s">
        <v>136</v>
      </c>
    </row>
    <row r="3013" spans="8:8" x14ac:dyDescent="0.25">
      <c r="H3013" t="s">
        <v>16518</v>
      </c>
    </row>
    <row r="3014" spans="8:8" x14ac:dyDescent="0.25">
      <c r="H3014" t="s">
        <v>30</v>
      </c>
    </row>
    <row r="3015" spans="8:8" x14ac:dyDescent="0.25">
      <c r="H3015" t="s">
        <v>137</v>
      </c>
    </row>
    <row r="3016" spans="8:8" x14ac:dyDescent="0.25">
      <c r="H3016" t="s">
        <v>16519</v>
      </c>
    </row>
    <row r="3017" spans="8:8" x14ac:dyDescent="0.25">
      <c r="H3017" t="s">
        <v>30</v>
      </c>
    </row>
    <row r="3018" spans="8:8" x14ac:dyDescent="0.25">
      <c r="H3018" t="s">
        <v>138</v>
      </c>
    </row>
    <row r="3019" spans="8:8" x14ac:dyDescent="0.25">
      <c r="H3019" t="s">
        <v>16520</v>
      </c>
    </row>
    <row r="3020" spans="8:8" x14ac:dyDescent="0.25">
      <c r="H3020" t="s">
        <v>30</v>
      </c>
    </row>
    <row r="3022" spans="8:8" x14ac:dyDescent="0.25">
      <c r="H3022" t="s">
        <v>9649</v>
      </c>
    </row>
    <row r="3023" spans="8:8" x14ac:dyDescent="0.25">
      <c r="H3023" t="s">
        <v>9650</v>
      </c>
    </row>
    <row r="3024" spans="8:8" x14ac:dyDescent="0.25">
      <c r="H3024" t="s">
        <v>135</v>
      </c>
    </row>
    <row r="3025" spans="8:8" x14ac:dyDescent="0.25">
      <c r="H3025" t="s">
        <v>16521</v>
      </c>
    </row>
    <row r="3026" spans="8:8" x14ac:dyDescent="0.25">
      <c r="H3026" t="s">
        <v>30</v>
      </c>
    </row>
    <row r="3027" spans="8:8" x14ac:dyDescent="0.25">
      <c r="H3027" t="s">
        <v>136</v>
      </c>
    </row>
    <row r="3028" spans="8:8" x14ac:dyDescent="0.25">
      <c r="H3028" t="s">
        <v>16522</v>
      </c>
    </row>
    <row r="3029" spans="8:8" x14ac:dyDescent="0.25">
      <c r="H3029" t="s">
        <v>30</v>
      </c>
    </row>
    <row r="3030" spans="8:8" x14ac:dyDescent="0.25">
      <c r="H3030" t="s">
        <v>137</v>
      </c>
    </row>
    <row r="3031" spans="8:8" x14ac:dyDescent="0.25">
      <c r="H3031" t="s">
        <v>16523</v>
      </c>
    </row>
    <row r="3032" spans="8:8" x14ac:dyDescent="0.25">
      <c r="H3032" t="s">
        <v>30</v>
      </c>
    </row>
    <row r="3033" spans="8:8" x14ac:dyDescent="0.25">
      <c r="H3033" t="s">
        <v>138</v>
      </c>
    </row>
    <row r="3034" spans="8:8" x14ac:dyDescent="0.25">
      <c r="H3034" t="s">
        <v>16524</v>
      </c>
    </row>
    <row r="3035" spans="8:8" x14ac:dyDescent="0.25">
      <c r="H3035" t="s">
        <v>30</v>
      </c>
    </row>
    <row r="3037" spans="8:8" x14ac:dyDescent="0.25">
      <c r="H3037" t="s">
        <v>9655</v>
      </c>
    </row>
    <row r="3038" spans="8:8" x14ac:dyDescent="0.25">
      <c r="H3038" t="s">
        <v>9656</v>
      </c>
    </row>
    <row r="3039" spans="8:8" x14ac:dyDescent="0.25">
      <c r="H3039" t="s">
        <v>135</v>
      </c>
    </row>
    <row r="3040" spans="8:8" x14ac:dyDescent="0.25">
      <c r="H3040" t="s">
        <v>16525</v>
      </c>
    </row>
    <row r="3041" spans="8:8" x14ac:dyDescent="0.25">
      <c r="H3041" t="s">
        <v>30</v>
      </c>
    </row>
    <row r="3042" spans="8:8" x14ac:dyDescent="0.25">
      <c r="H3042" t="s">
        <v>136</v>
      </c>
    </row>
    <row r="3043" spans="8:8" x14ac:dyDescent="0.25">
      <c r="H3043" t="s">
        <v>16526</v>
      </c>
    </row>
    <row r="3044" spans="8:8" x14ac:dyDescent="0.25">
      <c r="H3044" t="s">
        <v>30</v>
      </c>
    </row>
    <row r="3045" spans="8:8" x14ac:dyDescent="0.25">
      <c r="H3045" t="s">
        <v>137</v>
      </c>
    </row>
    <row r="3046" spans="8:8" x14ac:dyDescent="0.25">
      <c r="H3046" t="s">
        <v>16527</v>
      </c>
    </row>
    <row r="3047" spans="8:8" x14ac:dyDescent="0.25">
      <c r="H3047" t="s">
        <v>30</v>
      </c>
    </row>
    <row r="3048" spans="8:8" x14ac:dyDescent="0.25">
      <c r="H3048" t="s">
        <v>138</v>
      </c>
    </row>
    <row r="3049" spans="8:8" x14ac:dyDescent="0.25">
      <c r="H3049" t="s">
        <v>16528</v>
      </c>
    </row>
    <row r="3050" spans="8:8" x14ac:dyDescent="0.25">
      <c r="H3050" t="s">
        <v>30</v>
      </c>
    </row>
    <row r="3052" spans="8:8" x14ac:dyDescent="0.25">
      <c r="H3052" t="s">
        <v>9661</v>
      </c>
    </row>
    <row r="3053" spans="8:8" x14ac:dyDescent="0.25">
      <c r="H3053" t="s">
        <v>9662</v>
      </c>
    </row>
    <row r="3054" spans="8:8" x14ac:dyDescent="0.25">
      <c r="H3054" t="s">
        <v>135</v>
      </c>
    </row>
    <row r="3055" spans="8:8" x14ac:dyDescent="0.25">
      <c r="H3055" t="s">
        <v>16529</v>
      </c>
    </row>
    <row r="3056" spans="8:8" x14ac:dyDescent="0.25">
      <c r="H3056" t="s">
        <v>30</v>
      </c>
    </row>
    <row r="3057" spans="8:8" x14ac:dyDescent="0.25">
      <c r="H3057" t="s">
        <v>136</v>
      </c>
    </row>
    <row r="3058" spans="8:8" x14ac:dyDescent="0.25">
      <c r="H3058" t="s">
        <v>16530</v>
      </c>
    </row>
    <row r="3059" spans="8:8" x14ac:dyDescent="0.25">
      <c r="H3059" t="s">
        <v>30</v>
      </c>
    </row>
    <row r="3060" spans="8:8" x14ac:dyDescent="0.25">
      <c r="H3060" t="s">
        <v>137</v>
      </c>
    </row>
    <row r="3061" spans="8:8" x14ac:dyDescent="0.25">
      <c r="H3061" t="s">
        <v>16531</v>
      </c>
    </row>
    <row r="3062" spans="8:8" x14ac:dyDescent="0.25">
      <c r="H3062" t="s">
        <v>30</v>
      </c>
    </row>
    <row r="3063" spans="8:8" x14ac:dyDescent="0.25">
      <c r="H3063" t="s">
        <v>138</v>
      </c>
    </row>
    <row r="3064" spans="8:8" x14ac:dyDescent="0.25">
      <c r="H3064" t="s">
        <v>16532</v>
      </c>
    </row>
    <row r="3065" spans="8:8" x14ac:dyDescent="0.25">
      <c r="H3065" t="s">
        <v>30</v>
      </c>
    </row>
    <row r="3067" spans="8:8" x14ac:dyDescent="0.25">
      <c r="H3067" t="s">
        <v>9667</v>
      </c>
    </row>
    <row r="3068" spans="8:8" x14ac:dyDescent="0.25">
      <c r="H3068" t="s">
        <v>9668</v>
      </c>
    </row>
    <row r="3069" spans="8:8" x14ac:dyDescent="0.25">
      <c r="H3069" t="s">
        <v>135</v>
      </c>
    </row>
    <row r="3070" spans="8:8" x14ac:dyDescent="0.25">
      <c r="H3070" t="s">
        <v>16533</v>
      </c>
    </row>
    <row r="3071" spans="8:8" x14ac:dyDescent="0.25">
      <c r="H3071" t="s">
        <v>30</v>
      </c>
    </row>
    <row r="3072" spans="8:8" x14ac:dyDescent="0.25">
      <c r="H3072" t="s">
        <v>136</v>
      </c>
    </row>
    <row r="3073" spans="8:8" x14ac:dyDescent="0.25">
      <c r="H3073" t="s">
        <v>16534</v>
      </c>
    </row>
    <row r="3074" spans="8:8" x14ac:dyDescent="0.25">
      <c r="H3074" t="s">
        <v>30</v>
      </c>
    </row>
    <row r="3075" spans="8:8" x14ac:dyDescent="0.25">
      <c r="H3075" t="s">
        <v>137</v>
      </c>
    </row>
    <row r="3076" spans="8:8" x14ac:dyDescent="0.25">
      <c r="H3076" t="s">
        <v>16535</v>
      </c>
    </row>
    <row r="3077" spans="8:8" x14ac:dyDescent="0.25">
      <c r="H3077" t="s">
        <v>30</v>
      </c>
    </row>
    <row r="3078" spans="8:8" x14ac:dyDescent="0.25">
      <c r="H3078" t="s">
        <v>138</v>
      </c>
    </row>
    <row r="3079" spans="8:8" x14ac:dyDescent="0.25">
      <c r="H3079" t="s">
        <v>16536</v>
      </c>
    </row>
    <row r="3080" spans="8:8" x14ac:dyDescent="0.25">
      <c r="H3080" t="s">
        <v>30</v>
      </c>
    </row>
    <row r="3082" spans="8:8" x14ac:dyDescent="0.25">
      <c r="H3082" t="s">
        <v>9673</v>
      </c>
    </row>
    <row r="3083" spans="8:8" x14ac:dyDescent="0.25">
      <c r="H3083" t="s">
        <v>9674</v>
      </c>
    </row>
    <row r="3084" spans="8:8" x14ac:dyDescent="0.25">
      <c r="H3084" t="s">
        <v>135</v>
      </c>
    </row>
    <row r="3085" spans="8:8" x14ac:dyDescent="0.25">
      <c r="H3085" t="s">
        <v>16537</v>
      </c>
    </row>
    <row r="3086" spans="8:8" x14ac:dyDescent="0.25">
      <c r="H3086" t="s">
        <v>30</v>
      </c>
    </row>
    <row r="3087" spans="8:8" x14ac:dyDescent="0.25">
      <c r="H3087" t="s">
        <v>136</v>
      </c>
    </row>
    <row r="3088" spans="8:8" x14ac:dyDescent="0.25">
      <c r="H3088" t="s">
        <v>16538</v>
      </c>
    </row>
    <row r="3089" spans="8:8" x14ac:dyDescent="0.25">
      <c r="H3089" t="s">
        <v>30</v>
      </c>
    </row>
    <row r="3090" spans="8:8" x14ac:dyDescent="0.25">
      <c r="H3090" t="s">
        <v>137</v>
      </c>
    </row>
    <row r="3091" spans="8:8" x14ac:dyDescent="0.25">
      <c r="H3091" t="s">
        <v>16539</v>
      </c>
    </row>
    <row r="3092" spans="8:8" x14ac:dyDescent="0.25">
      <c r="H3092" t="s">
        <v>30</v>
      </c>
    </row>
    <row r="3093" spans="8:8" x14ac:dyDescent="0.25">
      <c r="H3093" t="s">
        <v>138</v>
      </c>
    </row>
    <row r="3094" spans="8:8" x14ac:dyDescent="0.25">
      <c r="H3094" t="s">
        <v>16540</v>
      </c>
    </row>
    <row r="3095" spans="8:8" x14ac:dyDescent="0.25">
      <c r="H3095" t="s">
        <v>30</v>
      </c>
    </row>
    <row r="3097" spans="8:8" x14ac:dyDescent="0.25">
      <c r="H3097" t="s">
        <v>9679</v>
      </c>
    </row>
    <row r="3098" spans="8:8" x14ac:dyDescent="0.25">
      <c r="H3098" t="s">
        <v>9680</v>
      </c>
    </row>
    <row r="3099" spans="8:8" x14ac:dyDescent="0.25">
      <c r="H3099" t="s">
        <v>135</v>
      </c>
    </row>
    <row r="3100" spans="8:8" x14ac:dyDescent="0.25">
      <c r="H3100" t="s">
        <v>16541</v>
      </c>
    </row>
    <row r="3101" spans="8:8" x14ac:dyDescent="0.25">
      <c r="H3101" t="s">
        <v>30</v>
      </c>
    </row>
    <row r="3102" spans="8:8" x14ac:dyDescent="0.25">
      <c r="H3102" t="s">
        <v>136</v>
      </c>
    </row>
    <row r="3103" spans="8:8" x14ac:dyDescent="0.25">
      <c r="H3103" t="s">
        <v>16542</v>
      </c>
    </row>
    <row r="3104" spans="8:8" x14ac:dyDescent="0.25">
      <c r="H3104" t="s">
        <v>30</v>
      </c>
    </row>
    <row r="3105" spans="8:8" x14ac:dyDescent="0.25">
      <c r="H3105" t="s">
        <v>137</v>
      </c>
    </row>
    <row r="3106" spans="8:8" x14ac:dyDescent="0.25">
      <c r="H3106" t="s">
        <v>16543</v>
      </c>
    </row>
    <row r="3107" spans="8:8" x14ac:dyDescent="0.25">
      <c r="H3107" t="s">
        <v>30</v>
      </c>
    </row>
    <row r="3108" spans="8:8" x14ac:dyDescent="0.25">
      <c r="H3108" t="s">
        <v>138</v>
      </c>
    </row>
    <row r="3109" spans="8:8" x14ac:dyDescent="0.25">
      <c r="H3109" t="s">
        <v>16544</v>
      </c>
    </row>
    <row r="3110" spans="8:8" x14ac:dyDescent="0.25">
      <c r="H3110" t="s">
        <v>30</v>
      </c>
    </row>
    <row r="3112" spans="8:8" x14ac:dyDescent="0.25">
      <c r="H3112" t="s">
        <v>9685</v>
      </c>
    </row>
    <row r="3113" spans="8:8" x14ac:dyDescent="0.25">
      <c r="H3113" t="s">
        <v>9686</v>
      </c>
    </row>
    <row r="3114" spans="8:8" x14ac:dyDescent="0.25">
      <c r="H3114" t="s">
        <v>135</v>
      </c>
    </row>
    <row r="3115" spans="8:8" x14ac:dyDescent="0.25">
      <c r="H3115" t="s">
        <v>16545</v>
      </c>
    </row>
    <row r="3116" spans="8:8" x14ac:dyDescent="0.25">
      <c r="H3116" t="s">
        <v>30</v>
      </c>
    </row>
    <row r="3117" spans="8:8" x14ac:dyDescent="0.25">
      <c r="H3117" t="s">
        <v>136</v>
      </c>
    </row>
    <row r="3118" spans="8:8" x14ac:dyDescent="0.25">
      <c r="H3118" t="s">
        <v>16546</v>
      </c>
    </row>
    <row r="3119" spans="8:8" x14ac:dyDescent="0.25">
      <c r="H3119" t="s">
        <v>30</v>
      </c>
    </row>
    <row r="3120" spans="8:8" x14ac:dyDescent="0.25">
      <c r="H3120" t="s">
        <v>137</v>
      </c>
    </row>
    <row r="3121" spans="8:8" x14ac:dyDescent="0.25">
      <c r="H3121" t="s">
        <v>16547</v>
      </c>
    </row>
    <row r="3122" spans="8:8" x14ac:dyDescent="0.25">
      <c r="H3122" t="s">
        <v>30</v>
      </c>
    </row>
    <row r="3123" spans="8:8" x14ac:dyDescent="0.25">
      <c r="H3123" t="s">
        <v>138</v>
      </c>
    </row>
    <row r="3124" spans="8:8" x14ac:dyDescent="0.25">
      <c r="H3124" t="s">
        <v>16548</v>
      </c>
    </row>
    <row r="3125" spans="8:8" x14ac:dyDescent="0.25">
      <c r="H3125" t="s">
        <v>30</v>
      </c>
    </row>
    <row r="3127" spans="8:8" x14ac:dyDescent="0.25">
      <c r="H3127" t="s">
        <v>9691</v>
      </c>
    </row>
    <row r="3128" spans="8:8" x14ac:dyDescent="0.25">
      <c r="H3128" t="s">
        <v>9692</v>
      </c>
    </row>
    <row r="3129" spans="8:8" x14ac:dyDescent="0.25">
      <c r="H3129" t="s">
        <v>135</v>
      </c>
    </row>
    <row r="3130" spans="8:8" x14ac:dyDescent="0.25">
      <c r="H3130" t="s">
        <v>16549</v>
      </c>
    </row>
    <row r="3131" spans="8:8" x14ac:dyDescent="0.25">
      <c r="H3131" t="s">
        <v>30</v>
      </c>
    </row>
    <row r="3132" spans="8:8" x14ac:dyDescent="0.25">
      <c r="H3132" t="s">
        <v>136</v>
      </c>
    </row>
    <row r="3133" spans="8:8" x14ac:dyDescent="0.25">
      <c r="H3133" t="s">
        <v>16550</v>
      </c>
    </row>
    <row r="3134" spans="8:8" x14ac:dyDescent="0.25">
      <c r="H3134" t="s">
        <v>30</v>
      </c>
    </row>
    <row r="3135" spans="8:8" x14ac:dyDescent="0.25">
      <c r="H3135" t="s">
        <v>137</v>
      </c>
    </row>
    <row r="3136" spans="8:8" x14ac:dyDescent="0.25">
      <c r="H3136" t="s">
        <v>16551</v>
      </c>
    </row>
    <row r="3137" spans="8:8" x14ac:dyDescent="0.25">
      <c r="H3137" t="s">
        <v>30</v>
      </c>
    </row>
    <row r="3138" spans="8:8" x14ac:dyDescent="0.25">
      <c r="H3138" t="s">
        <v>138</v>
      </c>
    </row>
    <row r="3139" spans="8:8" x14ac:dyDescent="0.25">
      <c r="H3139" t="s">
        <v>16552</v>
      </c>
    </row>
    <row r="3140" spans="8:8" x14ac:dyDescent="0.25">
      <c r="H3140" t="s">
        <v>30</v>
      </c>
    </row>
    <row r="3142" spans="8:8" x14ac:dyDescent="0.25">
      <c r="H3142" t="s">
        <v>9697</v>
      </c>
    </row>
    <row r="3143" spans="8:8" x14ac:dyDescent="0.25">
      <c r="H3143" t="s">
        <v>9698</v>
      </c>
    </row>
    <row r="3144" spans="8:8" x14ac:dyDescent="0.25">
      <c r="H3144" t="s">
        <v>135</v>
      </c>
    </row>
    <row r="3145" spans="8:8" x14ac:dyDescent="0.25">
      <c r="H3145" t="s">
        <v>16553</v>
      </c>
    </row>
    <row r="3146" spans="8:8" x14ac:dyDescent="0.25">
      <c r="H3146" t="s">
        <v>30</v>
      </c>
    </row>
    <row r="3147" spans="8:8" x14ac:dyDescent="0.25">
      <c r="H3147" t="s">
        <v>136</v>
      </c>
    </row>
    <row r="3148" spans="8:8" x14ac:dyDescent="0.25">
      <c r="H3148" t="s">
        <v>16554</v>
      </c>
    </row>
    <row r="3149" spans="8:8" x14ac:dyDescent="0.25">
      <c r="H3149" t="s">
        <v>30</v>
      </c>
    </row>
    <row r="3150" spans="8:8" x14ac:dyDescent="0.25">
      <c r="H3150" t="s">
        <v>137</v>
      </c>
    </row>
    <row r="3151" spans="8:8" x14ac:dyDescent="0.25">
      <c r="H3151" t="s">
        <v>16555</v>
      </c>
    </row>
    <row r="3152" spans="8:8" x14ac:dyDescent="0.25">
      <c r="H3152" t="s">
        <v>30</v>
      </c>
    </row>
    <row r="3153" spans="8:8" x14ac:dyDescent="0.25">
      <c r="H3153" t="s">
        <v>138</v>
      </c>
    </row>
    <row r="3154" spans="8:8" x14ac:dyDescent="0.25">
      <c r="H3154" t="s">
        <v>16556</v>
      </c>
    </row>
    <row r="3155" spans="8:8" x14ac:dyDescent="0.25">
      <c r="H3155" t="s">
        <v>30</v>
      </c>
    </row>
    <row r="3157" spans="8:8" x14ac:dyDescent="0.25">
      <c r="H3157" t="s">
        <v>9703</v>
      </c>
    </row>
    <row r="3158" spans="8:8" x14ac:dyDescent="0.25">
      <c r="H3158" t="s">
        <v>9704</v>
      </c>
    </row>
    <row r="3159" spans="8:8" x14ac:dyDescent="0.25">
      <c r="H3159" t="s">
        <v>135</v>
      </c>
    </row>
    <row r="3160" spans="8:8" x14ac:dyDescent="0.25">
      <c r="H3160" t="s">
        <v>16557</v>
      </c>
    </row>
    <row r="3161" spans="8:8" x14ac:dyDescent="0.25">
      <c r="H3161" t="s">
        <v>30</v>
      </c>
    </row>
    <row r="3162" spans="8:8" x14ac:dyDescent="0.25">
      <c r="H3162" t="s">
        <v>136</v>
      </c>
    </row>
    <row r="3163" spans="8:8" x14ac:dyDescent="0.25">
      <c r="H3163" t="s">
        <v>16558</v>
      </c>
    </row>
    <row r="3164" spans="8:8" x14ac:dyDescent="0.25">
      <c r="H3164" t="s">
        <v>30</v>
      </c>
    </row>
    <row r="3165" spans="8:8" x14ac:dyDescent="0.25">
      <c r="H3165" t="s">
        <v>137</v>
      </c>
    </row>
    <row r="3166" spans="8:8" x14ac:dyDescent="0.25">
      <c r="H3166" t="s">
        <v>16559</v>
      </c>
    </row>
    <row r="3167" spans="8:8" x14ac:dyDescent="0.25">
      <c r="H3167" t="s">
        <v>30</v>
      </c>
    </row>
    <row r="3168" spans="8:8" x14ac:dyDescent="0.25">
      <c r="H3168" t="s">
        <v>138</v>
      </c>
    </row>
    <row r="3169" spans="8:8" x14ac:dyDescent="0.25">
      <c r="H3169" t="s">
        <v>16560</v>
      </c>
    </row>
    <row r="3170" spans="8:8" x14ac:dyDescent="0.25">
      <c r="H3170" t="s">
        <v>30</v>
      </c>
    </row>
    <row r="3172" spans="8:8" x14ac:dyDescent="0.25">
      <c r="H3172" t="s">
        <v>9709</v>
      </c>
    </row>
    <row r="3173" spans="8:8" x14ac:dyDescent="0.25">
      <c r="H3173" t="s">
        <v>9710</v>
      </c>
    </row>
    <row r="3174" spans="8:8" x14ac:dyDescent="0.25">
      <c r="H3174" t="s">
        <v>135</v>
      </c>
    </row>
    <row r="3175" spans="8:8" x14ac:dyDescent="0.25">
      <c r="H3175" t="s">
        <v>16561</v>
      </c>
    </row>
    <row r="3176" spans="8:8" x14ac:dyDescent="0.25">
      <c r="H3176" t="s">
        <v>30</v>
      </c>
    </row>
    <row r="3177" spans="8:8" x14ac:dyDescent="0.25">
      <c r="H3177" t="s">
        <v>136</v>
      </c>
    </row>
    <row r="3178" spans="8:8" x14ac:dyDescent="0.25">
      <c r="H3178" t="s">
        <v>16562</v>
      </c>
    </row>
    <row r="3179" spans="8:8" x14ac:dyDescent="0.25">
      <c r="H3179" t="s">
        <v>30</v>
      </c>
    </row>
    <row r="3180" spans="8:8" x14ac:dyDescent="0.25">
      <c r="H3180" t="s">
        <v>137</v>
      </c>
    </row>
    <row r="3181" spans="8:8" x14ac:dyDescent="0.25">
      <c r="H3181" t="s">
        <v>16563</v>
      </c>
    </row>
    <row r="3182" spans="8:8" x14ac:dyDescent="0.25">
      <c r="H3182" t="s">
        <v>30</v>
      </c>
    </row>
    <row r="3183" spans="8:8" x14ac:dyDescent="0.25">
      <c r="H3183" t="s">
        <v>138</v>
      </c>
    </row>
    <row r="3184" spans="8:8" x14ac:dyDescent="0.25">
      <c r="H3184" t="s">
        <v>16564</v>
      </c>
    </row>
    <row r="3185" spans="8:8" x14ac:dyDescent="0.25">
      <c r="H3185" t="s">
        <v>30</v>
      </c>
    </row>
    <row r="3187" spans="8:8" x14ac:dyDescent="0.25">
      <c r="H3187" t="s">
        <v>9715</v>
      </c>
    </row>
    <row r="3188" spans="8:8" x14ac:dyDescent="0.25">
      <c r="H3188" t="s">
        <v>9716</v>
      </c>
    </row>
    <row r="3189" spans="8:8" x14ac:dyDescent="0.25">
      <c r="H3189" t="s">
        <v>135</v>
      </c>
    </row>
    <row r="3190" spans="8:8" x14ac:dyDescent="0.25">
      <c r="H3190" t="s">
        <v>16565</v>
      </c>
    </row>
    <row r="3191" spans="8:8" x14ac:dyDescent="0.25">
      <c r="H3191" t="s">
        <v>30</v>
      </c>
    </row>
    <row r="3192" spans="8:8" x14ac:dyDescent="0.25">
      <c r="H3192" t="s">
        <v>136</v>
      </c>
    </row>
    <row r="3193" spans="8:8" x14ac:dyDescent="0.25">
      <c r="H3193" t="s">
        <v>16566</v>
      </c>
    </row>
    <row r="3194" spans="8:8" x14ac:dyDescent="0.25">
      <c r="H3194" t="s">
        <v>30</v>
      </c>
    </row>
    <row r="3195" spans="8:8" x14ac:dyDescent="0.25">
      <c r="H3195" t="s">
        <v>137</v>
      </c>
    </row>
    <row r="3196" spans="8:8" x14ac:dyDescent="0.25">
      <c r="H3196" t="s">
        <v>16567</v>
      </c>
    </row>
    <row r="3197" spans="8:8" x14ac:dyDescent="0.25">
      <c r="H3197" t="s">
        <v>30</v>
      </c>
    </row>
    <row r="3198" spans="8:8" x14ac:dyDescent="0.25">
      <c r="H3198" t="s">
        <v>138</v>
      </c>
    </row>
    <row r="3199" spans="8:8" x14ac:dyDescent="0.25">
      <c r="H3199" t="s">
        <v>16568</v>
      </c>
    </row>
    <row r="3200" spans="8:8" x14ac:dyDescent="0.25">
      <c r="H3200" t="s">
        <v>30</v>
      </c>
    </row>
    <row r="3202" spans="8:8" x14ac:dyDescent="0.25">
      <c r="H3202" t="s">
        <v>9721</v>
      </c>
    </row>
    <row r="3203" spans="8:8" x14ac:dyDescent="0.25">
      <c r="H3203" t="s">
        <v>9722</v>
      </c>
    </row>
    <row r="3204" spans="8:8" x14ac:dyDescent="0.25">
      <c r="H3204" t="s">
        <v>135</v>
      </c>
    </row>
    <row r="3205" spans="8:8" x14ac:dyDescent="0.25">
      <c r="H3205" t="s">
        <v>16569</v>
      </c>
    </row>
    <row r="3206" spans="8:8" x14ac:dyDescent="0.25">
      <c r="H3206" t="s">
        <v>30</v>
      </c>
    </row>
    <row r="3207" spans="8:8" x14ac:dyDescent="0.25">
      <c r="H3207" t="s">
        <v>136</v>
      </c>
    </row>
    <row r="3208" spans="8:8" x14ac:dyDescent="0.25">
      <c r="H3208" t="s">
        <v>16570</v>
      </c>
    </row>
    <row r="3209" spans="8:8" x14ac:dyDescent="0.25">
      <c r="H3209" t="s">
        <v>30</v>
      </c>
    </row>
    <row r="3210" spans="8:8" x14ac:dyDescent="0.25">
      <c r="H3210" t="s">
        <v>137</v>
      </c>
    </row>
    <row r="3211" spans="8:8" x14ac:dyDescent="0.25">
      <c r="H3211" t="s">
        <v>16571</v>
      </c>
    </row>
    <row r="3212" spans="8:8" x14ac:dyDescent="0.25">
      <c r="H3212" t="s">
        <v>30</v>
      </c>
    </row>
    <row r="3213" spans="8:8" x14ac:dyDescent="0.25">
      <c r="H3213" t="s">
        <v>138</v>
      </c>
    </row>
    <row r="3214" spans="8:8" x14ac:dyDescent="0.25">
      <c r="H3214" t="s">
        <v>16572</v>
      </c>
    </row>
    <row r="3215" spans="8:8" x14ac:dyDescent="0.25">
      <c r="H3215" t="s">
        <v>30</v>
      </c>
    </row>
    <row r="3217" spans="8:8" x14ac:dyDescent="0.25">
      <c r="H3217" t="s">
        <v>9727</v>
      </c>
    </row>
    <row r="3218" spans="8:8" x14ac:dyDescent="0.25">
      <c r="H3218" t="s">
        <v>9728</v>
      </c>
    </row>
    <row r="3219" spans="8:8" x14ac:dyDescent="0.25">
      <c r="H3219" t="s">
        <v>135</v>
      </c>
    </row>
    <row r="3220" spans="8:8" x14ac:dyDescent="0.25">
      <c r="H3220" t="s">
        <v>16573</v>
      </c>
    </row>
    <row r="3221" spans="8:8" x14ac:dyDescent="0.25">
      <c r="H3221" t="s">
        <v>30</v>
      </c>
    </row>
    <row r="3222" spans="8:8" x14ac:dyDescent="0.25">
      <c r="H3222" t="s">
        <v>136</v>
      </c>
    </row>
    <row r="3223" spans="8:8" x14ac:dyDescent="0.25">
      <c r="H3223" t="s">
        <v>16574</v>
      </c>
    </row>
    <row r="3224" spans="8:8" x14ac:dyDescent="0.25">
      <c r="H3224" t="s">
        <v>30</v>
      </c>
    </row>
    <row r="3225" spans="8:8" x14ac:dyDescent="0.25">
      <c r="H3225" t="s">
        <v>137</v>
      </c>
    </row>
    <row r="3226" spans="8:8" x14ac:dyDescent="0.25">
      <c r="H3226" t="s">
        <v>16575</v>
      </c>
    </row>
    <row r="3227" spans="8:8" x14ac:dyDescent="0.25">
      <c r="H3227" t="s">
        <v>30</v>
      </c>
    </row>
    <row r="3228" spans="8:8" x14ac:dyDescent="0.25">
      <c r="H3228" t="s">
        <v>138</v>
      </c>
    </row>
    <row r="3229" spans="8:8" x14ac:dyDescent="0.25">
      <c r="H3229" t="s">
        <v>16576</v>
      </c>
    </row>
    <row r="3230" spans="8:8" x14ac:dyDescent="0.25">
      <c r="H3230" t="s">
        <v>30</v>
      </c>
    </row>
    <row r="3232" spans="8:8" x14ac:dyDescent="0.25">
      <c r="H3232" t="s">
        <v>9733</v>
      </c>
    </row>
    <row r="3233" spans="8:8" x14ac:dyDescent="0.25">
      <c r="H3233" t="s">
        <v>9734</v>
      </c>
    </row>
    <row r="3234" spans="8:8" x14ac:dyDescent="0.25">
      <c r="H3234" t="s">
        <v>135</v>
      </c>
    </row>
    <row r="3235" spans="8:8" x14ac:dyDescent="0.25">
      <c r="H3235" t="s">
        <v>16577</v>
      </c>
    </row>
    <row r="3236" spans="8:8" x14ac:dyDescent="0.25">
      <c r="H3236" t="s">
        <v>30</v>
      </c>
    </row>
    <row r="3237" spans="8:8" x14ac:dyDescent="0.25">
      <c r="H3237" t="s">
        <v>136</v>
      </c>
    </row>
    <row r="3238" spans="8:8" x14ac:dyDescent="0.25">
      <c r="H3238" t="s">
        <v>16578</v>
      </c>
    </row>
    <row r="3239" spans="8:8" x14ac:dyDescent="0.25">
      <c r="H3239" t="s">
        <v>30</v>
      </c>
    </row>
    <row r="3240" spans="8:8" x14ac:dyDescent="0.25">
      <c r="H3240" t="s">
        <v>137</v>
      </c>
    </row>
    <row r="3241" spans="8:8" x14ac:dyDescent="0.25">
      <c r="H3241" t="s">
        <v>16579</v>
      </c>
    </row>
    <row r="3242" spans="8:8" x14ac:dyDescent="0.25">
      <c r="H3242" t="s">
        <v>30</v>
      </c>
    </row>
    <row r="3243" spans="8:8" x14ac:dyDescent="0.25">
      <c r="H3243" t="s">
        <v>138</v>
      </c>
    </row>
    <row r="3244" spans="8:8" x14ac:dyDescent="0.25">
      <c r="H3244" t="s">
        <v>16580</v>
      </c>
    </row>
    <row r="3245" spans="8:8" x14ac:dyDescent="0.25">
      <c r="H3245" t="s">
        <v>30</v>
      </c>
    </row>
    <row r="3247" spans="8:8" x14ac:dyDescent="0.25">
      <c r="H3247" t="s">
        <v>9739</v>
      </c>
    </row>
    <row r="3248" spans="8:8" x14ac:dyDescent="0.25">
      <c r="H3248" t="s">
        <v>9740</v>
      </c>
    </row>
    <row r="3249" spans="8:8" x14ac:dyDescent="0.25">
      <c r="H3249" t="s">
        <v>135</v>
      </c>
    </row>
    <row r="3250" spans="8:8" x14ac:dyDescent="0.25">
      <c r="H3250" t="s">
        <v>16581</v>
      </c>
    </row>
    <row r="3251" spans="8:8" x14ac:dyDescent="0.25">
      <c r="H3251" t="s">
        <v>30</v>
      </c>
    </row>
    <row r="3252" spans="8:8" x14ac:dyDescent="0.25">
      <c r="H3252" t="s">
        <v>136</v>
      </c>
    </row>
    <row r="3253" spans="8:8" x14ac:dyDescent="0.25">
      <c r="H3253" t="s">
        <v>16582</v>
      </c>
    </row>
    <row r="3254" spans="8:8" x14ac:dyDescent="0.25">
      <c r="H3254" t="s">
        <v>30</v>
      </c>
    </row>
    <row r="3255" spans="8:8" x14ac:dyDescent="0.25">
      <c r="H3255" t="s">
        <v>137</v>
      </c>
    </row>
    <row r="3256" spans="8:8" x14ac:dyDescent="0.25">
      <c r="H3256" t="s">
        <v>16583</v>
      </c>
    </row>
    <row r="3257" spans="8:8" x14ac:dyDescent="0.25">
      <c r="H3257" t="s">
        <v>30</v>
      </c>
    </row>
    <row r="3258" spans="8:8" x14ac:dyDescent="0.25">
      <c r="H3258" t="s">
        <v>138</v>
      </c>
    </row>
    <row r="3259" spans="8:8" x14ac:dyDescent="0.25">
      <c r="H3259" t="s">
        <v>16584</v>
      </c>
    </row>
    <row r="3260" spans="8:8" x14ac:dyDescent="0.25">
      <c r="H3260" t="s">
        <v>30</v>
      </c>
    </row>
    <row r="3262" spans="8:8" x14ac:dyDescent="0.25">
      <c r="H3262" t="s">
        <v>9745</v>
      </c>
    </row>
    <row r="3263" spans="8:8" x14ac:dyDescent="0.25">
      <c r="H3263" t="s">
        <v>9746</v>
      </c>
    </row>
    <row r="3264" spans="8:8" x14ac:dyDescent="0.25">
      <c r="H3264" t="s">
        <v>135</v>
      </c>
    </row>
    <row r="3265" spans="8:8" x14ac:dyDescent="0.25">
      <c r="H3265" t="s">
        <v>16585</v>
      </c>
    </row>
    <row r="3266" spans="8:8" x14ac:dyDescent="0.25">
      <c r="H3266" t="s">
        <v>30</v>
      </c>
    </row>
    <row r="3267" spans="8:8" x14ac:dyDescent="0.25">
      <c r="H3267" t="s">
        <v>136</v>
      </c>
    </row>
    <row r="3268" spans="8:8" x14ac:dyDescent="0.25">
      <c r="H3268" t="s">
        <v>16586</v>
      </c>
    </row>
    <row r="3269" spans="8:8" x14ac:dyDescent="0.25">
      <c r="H3269" t="s">
        <v>30</v>
      </c>
    </row>
    <row r="3270" spans="8:8" x14ac:dyDescent="0.25">
      <c r="H3270" t="s">
        <v>137</v>
      </c>
    </row>
    <row r="3271" spans="8:8" x14ac:dyDescent="0.25">
      <c r="H3271" t="s">
        <v>16587</v>
      </c>
    </row>
    <row r="3272" spans="8:8" x14ac:dyDescent="0.25">
      <c r="H3272" t="s">
        <v>30</v>
      </c>
    </row>
    <row r="3273" spans="8:8" x14ac:dyDescent="0.25">
      <c r="H3273" t="s">
        <v>138</v>
      </c>
    </row>
    <row r="3274" spans="8:8" x14ac:dyDescent="0.25">
      <c r="H3274" t="s">
        <v>16588</v>
      </c>
    </row>
    <row r="3275" spans="8:8" x14ac:dyDescent="0.25">
      <c r="H3275" t="s">
        <v>30</v>
      </c>
    </row>
    <row r="3277" spans="8:8" x14ac:dyDescent="0.25">
      <c r="H3277" t="s">
        <v>9751</v>
      </c>
    </row>
    <row r="3278" spans="8:8" x14ac:dyDescent="0.25">
      <c r="H3278" t="s">
        <v>9752</v>
      </c>
    </row>
    <row r="3279" spans="8:8" x14ac:dyDescent="0.25">
      <c r="H3279" t="s">
        <v>135</v>
      </c>
    </row>
    <row r="3280" spans="8:8" x14ac:dyDescent="0.25">
      <c r="H3280" t="s">
        <v>16589</v>
      </c>
    </row>
    <row r="3281" spans="8:8" x14ac:dyDescent="0.25">
      <c r="H3281" t="s">
        <v>30</v>
      </c>
    </row>
    <row r="3282" spans="8:8" x14ac:dyDescent="0.25">
      <c r="H3282" t="s">
        <v>136</v>
      </c>
    </row>
    <row r="3283" spans="8:8" x14ac:dyDescent="0.25">
      <c r="H3283" t="s">
        <v>16590</v>
      </c>
    </row>
    <row r="3284" spans="8:8" x14ac:dyDescent="0.25">
      <c r="H3284" t="s">
        <v>30</v>
      </c>
    </row>
    <row r="3285" spans="8:8" x14ac:dyDescent="0.25">
      <c r="H3285" t="s">
        <v>137</v>
      </c>
    </row>
    <row r="3286" spans="8:8" x14ac:dyDescent="0.25">
      <c r="H3286" t="s">
        <v>16591</v>
      </c>
    </row>
    <row r="3287" spans="8:8" x14ac:dyDescent="0.25">
      <c r="H3287" t="s">
        <v>30</v>
      </c>
    </row>
    <row r="3288" spans="8:8" x14ac:dyDescent="0.25">
      <c r="H3288" t="s">
        <v>138</v>
      </c>
    </row>
    <row r="3289" spans="8:8" x14ac:dyDescent="0.25">
      <c r="H3289" t="s">
        <v>16592</v>
      </c>
    </row>
    <row r="3290" spans="8:8" x14ac:dyDescent="0.25">
      <c r="H3290" t="s">
        <v>30</v>
      </c>
    </row>
    <row r="3292" spans="8:8" x14ac:dyDescent="0.25">
      <c r="H3292" t="s">
        <v>9757</v>
      </c>
    </row>
    <row r="3293" spans="8:8" x14ac:dyDescent="0.25">
      <c r="H3293" t="s">
        <v>9758</v>
      </c>
    </row>
    <row r="3294" spans="8:8" x14ac:dyDescent="0.25">
      <c r="H3294" t="s">
        <v>135</v>
      </c>
    </row>
    <row r="3295" spans="8:8" x14ac:dyDescent="0.25">
      <c r="H3295" t="s">
        <v>16593</v>
      </c>
    </row>
    <row r="3296" spans="8:8" x14ac:dyDescent="0.25">
      <c r="H3296" t="s">
        <v>30</v>
      </c>
    </row>
    <row r="3297" spans="8:8" x14ac:dyDescent="0.25">
      <c r="H3297" t="s">
        <v>136</v>
      </c>
    </row>
    <row r="3298" spans="8:8" x14ac:dyDescent="0.25">
      <c r="H3298" t="s">
        <v>16594</v>
      </c>
    </row>
    <row r="3299" spans="8:8" x14ac:dyDescent="0.25">
      <c r="H3299" t="s">
        <v>30</v>
      </c>
    </row>
    <row r="3300" spans="8:8" x14ac:dyDescent="0.25">
      <c r="H3300" t="s">
        <v>137</v>
      </c>
    </row>
    <row r="3301" spans="8:8" x14ac:dyDescent="0.25">
      <c r="H3301" t="s">
        <v>16595</v>
      </c>
    </row>
    <row r="3302" spans="8:8" x14ac:dyDescent="0.25">
      <c r="H3302" t="s">
        <v>30</v>
      </c>
    </row>
    <row r="3303" spans="8:8" x14ac:dyDescent="0.25">
      <c r="H3303" t="s">
        <v>138</v>
      </c>
    </row>
    <row r="3304" spans="8:8" x14ac:dyDescent="0.25">
      <c r="H3304" t="s">
        <v>16596</v>
      </c>
    </row>
    <row r="3305" spans="8:8" x14ac:dyDescent="0.25">
      <c r="H3305" t="s">
        <v>30</v>
      </c>
    </row>
    <row r="3307" spans="8:8" x14ac:dyDescent="0.25">
      <c r="H3307" t="s">
        <v>9763</v>
      </c>
    </row>
    <row r="3308" spans="8:8" x14ac:dyDescent="0.25">
      <c r="H3308" t="s">
        <v>9764</v>
      </c>
    </row>
    <row r="3309" spans="8:8" x14ac:dyDescent="0.25">
      <c r="H3309" t="s">
        <v>135</v>
      </c>
    </row>
    <row r="3310" spans="8:8" x14ac:dyDescent="0.25">
      <c r="H3310" t="s">
        <v>16597</v>
      </c>
    </row>
    <row r="3311" spans="8:8" x14ac:dyDescent="0.25">
      <c r="H3311" t="s">
        <v>30</v>
      </c>
    </row>
    <row r="3312" spans="8:8" x14ac:dyDescent="0.25">
      <c r="H3312" t="s">
        <v>136</v>
      </c>
    </row>
    <row r="3313" spans="8:8" x14ac:dyDescent="0.25">
      <c r="H3313" t="s">
        <v>16598</v>
      </c>
    </row>
    <row r="3314" spans="8:8" x14ac:dyDescent="0.25">
      <c r="H3314" t="s">
        <v>30</v>
      </c>
    </row>
    <row r="3315" spans="8:8" x14ac:dyDescent="0.25">
      <c r="H3315" t="s">
        <v>137</v>
      </c>
    </row>
    <row r="3316" spans="8:8" x14ac:dyDescent="0.25">
      <c r="H3316" t="s">
        <v>16599</v>
      </c>
    </row>
    <row r="3317" spans="8:8" x14ac:dyDescent="0.25">
      <c r="H3317" t="s">
        <v>30</v>
      </c>
    </row>
    <row r="3318" spans="8:8" x14ac:dyDescent="0.25">
      <c r="H3318" t="s">
        <v>138</v>
      </c>
    </row>
    <row r="3319" spans="8:8" x14ac:dyDescent="0.25">
      <c r="H3319" t="s">
        <v>16600</v>
      </c>
    </row>
    <row r="3320" spans="8:8" x14ac:dyDescent="0.25">
      <c r="H3320" t="s">
        <v>30</v>
      </c>
    </row>
    <row r="3322" spans="8:8" x14ac:dyDescent="0.25">
      <c r="H3322" t="s">
        <v>9769</v>
      </c>
    </row>
    <row r="3323" spans="8:8" x14ac:dyDescent="0.25">
      <c r="H3323" t="s">
        <v>9770</v>
      </c>
    </row>
    <row r="3324" spans="8:8" x14ac:dyDescent="0.25">
      <c r="H3324" t="s">
        <v>135</v>
      </c>
    </row>
    <row r="3325" spans="8:8" x14ac:dyDescent="0.25">
      <c r="H3325" t="s">
        <v>16601</v>
      </c>
    </row>
    <row r="3326" spans="8:8" x14ac:dyDescent="0.25">
      <c r="H3326" t="s">
        <v>30</v>
      </c>
    </row>
    <row r="3327" spans="8:8" x14ac:dyDescent="0.25">
      <c r="H3327" t="s">
        <v>136</v>
      </c>
    </row>
    <row r="3328" spans="8:8" x14ac:dyDescent="0.25">
      <c r="H3328" t="s">
        <v>16602</v>
      </c>
    </row>
    <row r="3329" spans="8:8" x14ac:dyDescent="0.25">
      <c r="H3329" t="s">
        <v>30</v>
      </c>
    </row>
    <row r="3330" spans="8:8" x14ac:dyDescent="0.25">
      <c r="H3330" t="s">
        <v>137</v>
      </c>
    </row>
    <row r="3331" spans="8:8" x14ac:dyDescent="0.25">
      <c r="H3331" t="s">
        <v>16603</v>
      </c>
    </row>
    <row r="3332" spans="8:8" x14ac:dyDescent="0.25">
      <c r="H3332" t="s">
        <v>30</v>
      </c>
    </row>
    <row r="3333" spans="8:8" x14ac:dyDescent="0.25">
      <c r="H3333" t="s">
        <v>138</v>
      </c>
    </row>
    <row r="3334" spans="8:8" x14ac:dyDescent="0.25">
      <c r="H3334" t="s">
        <v>16604</v>
      </c>
    </row>
    <row r="3335" spans="8:8" x14ac:dyDescent="0.25">
      <c r="H3335" t="s">
        <v>30</v>
      </c>
    </row>
    <row r="3337" spans="8:8" x14ac:dyDescent="0.25">
      <c r="H3337" t="s">
        <v>9775</v>
      </c>
    </row>
    <row r="3338" spans="8:8" x14ac:dyDescent="0.25">
      <c r="H3338" t="s">
        <v>9776</v>
      </c>
    </row>
    <row r="3339" spans="8:8" x14ac:dyDescent="0.25">
      <c r="H3339" t="s">
        <v>135</v>
      </c>
    </row>
    <row r="3340" spans="8:8" x14ac:dyDescent="0.25">
      <c r="H3340" t="s">
        <v>16605</v>
      </c>
    </row>
    <row r="3341" spans="8:8" x14ac:dyDescent="0.25">
      <c r="H3341" t="s">
        <v>30</v>
      </c>
    </row>
    <row r="3342" spans="8:8" x14ac:dyDescent="0.25">
      <c r="H3342" t="s">
        <v>136</v>
      </c>
    </row>
    <row r="3343" spans="8:8" x14ac:dyDescent="0.25">
      <c r="H3343" t="s">
        <v>16606</v>
      </c>
    </row>
    <row r="3344" spans="8:8" x14ac:dyDescent="0.25">
      <c r="H3344" t="s">
        <v>30</v>
      </c>
    </row>
    <row r="3345" spans="8:8" x14ac:dyDescent="0.25">
      <c r="H3345" t="s">
        <v>137</v>
      </c>
    </row>
    <row r="3346" spans="8:8" x14ac:dyDescent="0.25">
      <c r="H3346" t="s">
        <v>16607</v>
      </c>
    </row>
    <row r="3347" spans="8:8" x14ac:dyDescent="0.25">
      <c r="H3347" t="s">
        <v>30</v>
      </c>
    </row>
    <row r="3348" spans="8:8" x14ac:dyDescent="0.25">
      <c r="H3348" t="s">
        <v>138</v>
      </c>
    </row>
    <row r="3349" spans="8:8" x14ac:dyDescent="0.25">
      <c r="H3349" t="s">
        <v>16608</v>
      </c>
    </row>
    <row r="3350" spans="8:8" x14ac:dyDescent="0.25">
      <c r="H3350" t="s">
        <v>30</v>
      </c>
    </row>
    <row r="3352" spans="8:8" x14ac:dyDescent="0.25">
      <c r="H3352" t="s">
        <v>9781</v>
      </c>
    </row>
    <row r="3353" spans="8:8" x14ac:dyDescent="0.25">
      <c r="H3353" t="s">
        <v>9782</v>
      </c>
    </row>
    <row r="3354" spans="8:8" x14ac:dyDescent="0.25">
      <c r="H3354" t="s">
        <v>135</v>
      </c>
    </row>
    <row r="3355" spans="8:8" x14ac:dyDescent="0.25">
      <c r="H3355" t="s">
        <v>16609</v>
      </c>
    </row>
    <row r="3356" spans="8:8" x14ac:dyDescent="0.25">
      <c r="H3356" t="s">
        <v>30</v>
      </c>
    </row>
    <row r="3357" spans="8:8" x14ac:dyDescent="0.25">
      <c r="H3357" t="s">
        <v>136</v>
      </c>
    </row>
    <row r="3358" spans="8:8" x14ac:dyDescent="0.25">
      <c r="H3358" t="s">
        <v>16610</v>
      </c>
    </row>
    <row r="3359" spans="8:8" x14ac:dyDescent="0.25">
      <c r="H3359" t="s">
        <v>30</v>
      </c>
    </row>
    <row r="3360" spans="8:8" x14ac:dyDescent="0.25">
      <c r="H3360" t="s">
        <v>137</v>
      </c>
    </row>
    <row r="3361" spans="8:8" x14ac:dyDescent="0.25">
      <c r="H3361" t="s">
        <v>16611</v>
      </c>
    </row>
    <row r="3362" spans="8:8" x14ac:dyDescent="0.25">
      <c r="H3362" t="s">
        <v>30</v>
      </c>
    </row>
    <row r="3363" spans="8:8" x14ac:dyDescent="0.25">
      <c r="H3363" t="s">
        <v>138</v>
      </c>
    </row>
    <row r="3364" spans="8:8" x14ac:dyDescent="0.25">
      <c r="H3364" t="s">
        <v>16612</v>
      </c>
    </row>
    <row r="3365" spans="8:8" x14ac:dyDescent="0.25">
      <c r="H3365" t="s">
        <v>30</v>
      </c>
    </row>
    <row r="3367" spans="8:8" x14ac:dyDescent="0.25">
      <c r="H3367" t="s">
        <v>9787</v>
      </c>
    </row>
    <row r="3368" spans="8:8" x14ac:dyDescent="0.25">
      <c r="H3368" t="s">
        <v>9788</v>
      </c>
    </row>
    <row r="3369" spans="8:8" x14ac:dyDescent="0.25">
      <c r="H3369" t="s">
        <v>135</v>
      </c>
    </row>
    <row r="3370" spans="8:8" x14ac:dyDescent="0.25">
      <c r="H3370" t="s">
        <v>16613</v>
      </c>
    </row>
    <row r="3371" spans="8:8" x14ac:dyDescent="0.25">
      <c r="H3371" t="s">
        <v>30</v>
      </c>
    </row>
    <row r="3372" spans="8:8" x14ac:dyDescent="0.25">
      <c r="H3372" t="s">
        <v>136</v>
      </c>
    </row>
    <row r="3373" spans="8:8" x14ac:dyDescent="0.25">
      <c r="H3373" t="s">
        <v>16614</v>
      </c>
    </row>
    <row r="3374" spans="8:8" x14ac:dyDescent="0.25">
      <c r="H3374" t="s">
        <v>30</v>
      </c>
    </row>
    <row r="3375" spans="8:8" x14ac:dyDescent="0.25">
      <c r="H3375" t="s">
        <v>137</v>
      </c>
    </row>
    <row r="3376" spans="8:8" x14ac:dyDescent="0.25">
      <c r="H3376" t="s">
        <v>16615</v>
      </c>
    </row>
    <row r="3377" spans="8:8" x14ac:dyDescent="0.25">
      <c r="H3377" t="s">
        <v>30</v>
      </c>
    </row>
    <row r="3378" spans="8:8" x14ac:dyDescent="0.25">
      <c r="H3378" t="s">
        <v>138</v>
      </c>
    </row>
    <row r="3379" spans="8:8" x14ac:dyDescent="0.25">
      <c r="H3379" t="s">
        <v>16616</v>
      </c>
    </row>
    <row r="3380" spans="8:8" x14ac:dyDescent="0.25">
      <c r="H3380" t="s">
        <v>30</v>
      </c>
    </row>
    <row r="3382" spans="8:8" x14ac:dyDescent="0.25">
      <c r="H3382" t="s">
        <v>9793</v>
      </c>
    </row>
    <row r="3383" spans="8:8" x14ac:dyDescent="0.25">
      <c r="H3383" t="s">
        <v>9794</v>
      </c>
    </row>
    <row r="3384" spans="8:8" x14ac:dyDescent="0.25">
      <c r="H3384" t="s">
        <v>135</v>
      </c>
    </row>
    <row r="3385" spans="8:8" x14ac:dyDescent="0.25">
      <c r="H3385" t="s">
        <v>16617</v>
      </c>
    </row>
    <row r="3386" spans="8:8" x14ac:dyDescent="0.25">
      <c r="H3386" t="s">
        <v>30</v>
      </c>
    </row>
    <row r="3387" spans="8:8" x14ac:dyDescent="0.25">
      <c r="H3387" t="s">
        <v>136</v>
      </c>
    </row>
    <row r="3388" spans="8:8" x14ac:dyDescent="0.25">
      <c r="H3388" t="s">
        <v>16618</v>
      </c>
    </row>
    <row r="3389" spans="8:8" x14ac:dyDescent="0.25">
      <c r="H3389" t="s">
        <v>30</v>
      </c>
    </row>
    <row r="3390" spans="8:8" x14ac:dyDescent="0.25">
      <c r="H3390" t="s">
        <v>137</v>
      </c>
    </row>
    <row r="3391" spans="8:8" x14ac:dyDescent="0.25">
      <c r="H3391" t="s">
        <v>16619</v>
      </c>
    </row>
    <row r="3392" spans="8:8" x14ac:dyDescent="0.25">
      <c r="H3392" t="s">
        <v>30</v>
      </c>
    </row>
    <row r="3393" spans="8:8" x14ac:dyDescent="0.25">
      <c r="H3393" t="s">
        <v>138</v>
      </c>
    </row>
    <row r="3394" spans="8:8" x14ac:dyDescent="0.25">
      <c r="H3394" t="s">
        <v>16620</v>
      </c>
    </row>
    <row r="3395" spans="8:8" x14ac:dyDescent="0.25">
      <c r="H3395" t="s">
        <v>30</v>
      </c>
    </row>
    <row r="3397" spans="8:8" x14ac:dyDescent="0.25">
      <c r="H3397" t="s">
        <v>9799</v>
      </c>
    </row>
    <row r="3398" spans="8:8" x14ac:dyDescent="0.25">
      <c r="H3398" t="s">
        <v>9800</v>
      </c>
    </row>
    <row r="3399" spans="8:8" x14ac:dyDescent="0.25">
      <c r="H3399" t="s">
        <v>135</v>
      </c>
    </row>
    <row r="3400" spans="8:8" x14ac:dyDescent="0.25">
      <c r="H3400" t="s">
        <v>16621</v>
      </c>
    </row>
    <row r="3401" spans="8:8" x14ac:dyDescent="0.25">
      <c r="H3401" t="s">
        <v>30</v>
      </c>
    </row>
    <row r="3402" spans="8:8" x14ac:dyDescent="0.25">
      <c r="H3402" t="s">
        <v>136</v>
      </c>
    </row>
    <row r="3403" spans="8:8" x14ac:dyDescent="0.25">
      <c r="H3403" t="s">
        <v>16622</v>
      </c>
    </row>
    <row r="3404" spans="8:8" x14ac:dyDescent="0.25">
      <c r="H3404" t="s">
        <v>30</v>
      </c>
    </row>
    <row r="3405" spans="8:8" x14ac:dyDescent="0.25">
      <c r="H3405" t="s">
        <v>137</v>
      </c>
    </row>
    <row r="3406" spans="8:8" x14ac:dyDescent="0.25">
      <c r="H3406" t="s">
        <v>16623</v>
      </c>
    </row>
    <row r="3407" spans="8:8" x14ac:dyDescent="0.25">
      <c r="H3407" t="s">
        <v>30</v>
      </c>
    </row>
    <row r="3408" spans="8:8" x14ac:dyDescent="0.25">
      <c r="H3408" t="s">
        <v>138</v>
      </c>
    </row>
    <row r="3409" spans="8:8" x14ac:dyDescent="0.25">
      <c r="H3409" t="s">
        <v>16624</v>
      </c>
    </row>
    <row r="3410" spans="8:8" x14ac:dyDescent="0.25">
      <c r="H3410" t="s">
        <v>30</v>
      </c>
    </row>
    <row r="3412" spans="8:8" x14ac:dyDescent="0.25">
      <c r="H3412" t="s">
        <v>9805</v>
      </c>
    </row>
    <row r="3413" spans="8:8" x14ac:dyDescent="0.25">
      <c r="H3413" t="s">
        <v>9806</v>
      </c>
    </row>
    <row r="3414" spans="8:8" x14ac:dyDescent="0.25">
      <c r="H3414" t="s">
        <v>135</v>
      </c>
    </row>
    <row r="3415" spans="8:8" x14ac:dyDescent="0.25">
      <c r="H3415" t="s">
        <v>16625</v>
      </c>
    </row>
    <row r="3416" spans="8:8" x14ac:dyDescent="0.25">
      <c r="H3416" t="s">
        <v>30</v>
      </c>
    </row>
    <row r="3417" spans="8:8" x14ac:dyDescent="0.25">
      <c r="H3417" t="s">
        <v>136</v>
      </c>
    </row>
    <row r="3418" spans="8:8" x14ac:dyDescent="0.25">
      <c r="H3418" t="s">
        <v>16626</v>
      </c>
    </row>
    <row r="3419" spans="8:8" x14ac:dyDescent="0.25">
      <c r="H3419" t="s">
        <v>30</v>
      </c>
    </row>
    <row r="3420" spans="8:8" x14ac:dyDescent="0.25">
      <c r="H3420" t="s">
        <v>137</v>
      </c>
    </row>
    <row r="3421" spans="8:8" x14ac:dyDescent="0.25">
      <c r="H3421" t="s">
        <v>16627</v>
      </c>
    </row>
    <row r="3422" spans="8:8" x14ac:dyDescent="0.25">
      <c r="H3422" t="s">
        <v>30</v>
      </c>
    </row>
    <row r="3423" spans="8:8" x14ac:dyDescent="0.25">
      <c r="H3423" t="s">
        <v>138</v>
      </c>
    </row>
    <row r="3424" spans="8:8" x14ac:dyDescent="0.25">
      <c r="H3424" t="s">
        <v>16628</v>
      </c>
    </row>
    <row r="3425" spans="8:8" x14ac:dyDescent="0.25">
      <c r="H3425" t="s">
        <v>30</v>
      </c>
    </row>
    <row r="3427" spans="8:8" x14ac:dyDescent="0.25">
      <c r="H3427" t="s">
        <v>9811</v>
      </c>
    </row>
    <row r="3428" spans="8:8" x14ac:dyDescent="0.25">
      <c r="H3428" t="s">
        <v>9812</v>
      </c>
    </row>
    <row r="3429" spans="8:8" x14ac:dyDescent="0.25">
      <c r="H3429" t="s">
        <v>135</v>
      </c>
    </row>
    <row r="3430" spans="8:8" x14ac:dyDescent="0.25">
      <c r="H3430" t="s">
        <v>16629</v>
      </c>
    </row>
    <row r="3431" spans="8:8" x14ac:dyDescent="0.25">
      <c r="H3431" t="s">
        <v>30</v>
      </c>
    </row>
    <row r="3432" spans="8:8" x14ac:dyDescent="0.25">
      <c r="H3432" t="s">
        <v>136</v>
      </c>
    </row>
    <row r="3433" spans="8:8" x14ac:dyDescent="0.25">
      <c r="H3433" t="s">
        <v>16630</v>
      </c>
    </row>
    <row r="3434" spans="8:8" x14ac:dyDescent="0.25">
      <c r="H3434" t="s">
        <v>30</v>
      </c>
    </row>
    <row r="3435" spans="8:8" x14ac:dyDescent="0.25">
      <c r="H3435" t="s">
        <v>137</v>
      </c>
    </row>
    <row r="3436" spans="8:8" x14ac:dyDescent="0.25">
      <c r="H3436" t="s">
        <v>16631</v>
      </c>
    </row>
    <row r="3437" spans="8:8" x14ac:dyDescent="0.25">
      <c r="H3437" t="s">
        <v>30</v>
      </c>
    </row>
    <row r="3438" spans="8:8" x14ac:dyDescent="0.25">
      <c r="H3438" t="s">
        <v>138</v>
      </c>
    </row>
    <row r="3439" spans="8:8" x14ac:dyDescent="0.25">
      <c r="H3439" t="s">
        <v>16632</v>
      </c>
    </row>
    <row r="3440" spans="8:8" x14ac:dyDescent="0.25">
      <c r="H3440" t="s">
        <v>30</v>
      </c>
    </row>
    <row r="3442" spans="8:8" x14ac:dyDescent="0.25">
      <c r="H3442" t="s">
        <v>9817</v>
      </c>
    </row>
    <row r="3443" spans="8:8" x14ac:dyDescent="0.25">
      <c r="H3443" t="s">
        <v>9818</v>
      </c>
    </row>
    <row r="3444" spans="8:8" x14ac:dyDescent="0.25">
      <c r="H3444" t="s">
        <v>135</v>
      </c>
    </row>
    <row r="3445" spans="8:8" x14ac:dyDescent="0.25">
      <c r="H3445" t="s">
        <v>16633</v>
      </c>
    </row>
    <row r="3446" spans="8:8" x14ac:dyDescent="0.25">
      <c r="H3446" t="s">
        <v>30</v>
      </c>
    </row>
    <row r="3447" spans="8:8" x14ac:dyDescent="0.25">
      <c r="H3447" t="s">
        <v>136</v>
      </c>
    </row>
    <row r="3448" spans="8:8" x14ac:dyDescent="0.25">
      <c r="H3448" t="s">
        <v>16634</v>
      </c>
    </row>
    <row r="3449" spans="8:8" x14ac:dyDescent="0.25">
      <c r="H3449" t="s">
        <v>30</v>
      </c>
    </row>
    <row r="3450" spans="8:8" x14ac:dyDescent="0.25">
      <c r="H3450" t="s">
        <v>137</v>
      </c>
    </row>
    <row r="3451" spans="8:8" x14ac:dyDescent="0.25">
      <c r="H3451" t="s">
        <v>16635</v>
      </c>
    </row>
    <row r="3452" spans="8:8" x14ac:dyDescent="0.25">
      <c r="H3452" t="s">
        <v>30</v>
      </c>
    </row>
    <row r="3453" spans="8:8" x14ac:dyDescent="0.25">
      <c r="H3453" t="s">
        <v>138</v>
      </c>
    </row>
    <row r="3454" spans="8:8" x14ac:dyDescent="0.25">
      <c r="H3454" t="s">
        <v>16636</v>
      </c>
    </row>
    <row r="3455" spans="8:8" x14ac:dyDescent="0.25">
      <c r="H3455" t="s">
        <v>30</v>
      </c>
    </row>
    <row r="3457" spans="8:8" x14ac:dyDescent="0.25">
      <c r="H3457" t="s">
        <v>9823</v>
      </c>
    </row>
    <row r="3458" spans="8:8" x14ac:dyDescent="0.25">
      <c r="H3458" t="s">
        <v>9824</v>
      </c>
    </row>
    <row r="3459" spans="8:8" x14ac:dyDescent="0.25">
      <c r="H3459" t="s">
        <v>135</v>
      </c>
    </row>
    <row r="3460" spans="8:8" x14ac:dyDescent="0.25">
      <c r="H3460" t="s">
        <v>16637</v>
      </c>
    </row>
    <row r="3461" spans="8:8" x14ac:dyDescent="0.25">
      <c r="H3461" t="s">
        <v>30</v>
      </c>
    </row>
    <row r="3462" spans="8:8" x14ac:dyDescent="0.25">
      <c r="H3462" t="s">
        <v>136</v>
      </c>
    </row>
    <row r="3463" spans="8:8" x14ac:dyDescent="0.25">
      <c r="H3463" t="s">
        <v>16638</v>
      </c>
    </row>
    <row r="3464" spans="8:8" x14ac:dyDescent="0.25">
      <c r="H3464" t="s">
        <v>30</v>
      </c>
    </row>
    <row r="3465" spans="8:8" x14ac:dyDescent="0.25">
      <c r="H3465" t="s">
        <v>137</v>
      </c>
    </row>
    <row r="3466" spans="8:8" x14ac:dyDescent="0.25">
      <c r="H3466" t="s">
        <v>16639</v>
      </c>
    </row>
    <row r="3467" spans="8:8" x14ac:dyDescent="0.25">
      <c r="H3467" t="s">
        <v>30</v>
      </c>
    </row>
    <row r="3468" spans="8:8" x14ac:dyDescent="0.25">
      <c r="H3468" t="s">
        <v>138</v>
      </c>
    </row>
    <row r="3469" spans="8:8" x14ac:dyDescent="0.25">
      <c r="H3469" t="s">
        <v>16640</v>
      </c>
    </row>
    <row r="3470" spans="8:8" x14ac:dyDescent="0.25">
      <c r="H3470" t="s">
        <v>30</v>
      </c>
    </row>
    <row r="3472" spans="8:8" x14ac:dyDescent="0.25">
      <c r="H3472" t="s">
        <v>9829</v>
      </c>
    </row>
    <row r="3473" spans="8:8" x14ac:dyDescent="0.25">
      <c r="H3473" t="s">
        <v>9830</v>
      </c>
    </row>
    <row r="3474" spans="8:8" x14ac:dyDescent="0.25">
      <c r="H3474" t="s">
        <v>135</v>
      </c>
    </row>
    <row r="3475" spans="8:8" x14ac:dyDescent="0.25">
      <c r="H3475" t="s">
        <v>16641</v>
      </c>
    </row>
    <row r="3476" spans="8:8" x14ac:dyDescent="0.25">
      <c r="H3476" t="s">
        <v>30</v>
      </c>
    </row>
    <row r="3477" spans="8:8" x14ac:dyDescent="0.25">
      <c r="H3477" t="s">
        <v>136</v>
      </c>
    </row>
    <row r="3478" spans="8:8" x14ac:dyDescent="0.25">
      <c r="H3478" t="s">
        <v>16642</v>
      </c>
    </row>
    <row r="3479" spans="8:8" x14ac:dyDescent="0.25">
      <c r="H3479" t="s">
        <v>30</v>
      </c>
    </row>
    <row r="3480" spans="8:8" x14ac:dyDescent="0.25">
      <c r="H3480" t="s">
        <v>137</v>
      </c>
    </row>
    <row r="3481" spans="8:8" x14ac:dyDescent="0.25">
      <c r="H3481" t="s">
        <v>16643</v>
      </c>
    </row>
    <row r="3482" spans="8:8" x14ac:dyDescent="0.25">
      <c r="H3482" t="s">
        <v>30</v>
      </c>
    </row>
    <row r="3483" spans="8:8" x14ac:dyDescent="0.25">
      <c r="H3483" t="s">
        <v>138</v>
      </c>
    </row>
    <row r="3484" spans="8:8" x14ac:dyDescent="0.25">
      <c r="H3484" t="s">
        <v>16644</v>
      </c>
    </row>
    <row r="3485" spans="8:8" x14ac:dyDescent="0.25">
      <c r="H3485" t="s">
        <v>30</v>
      </c>
    </row>
    <row r="3487" spans="8:8" x14ac:dyDescent="0.25">
      <c r="H3487" t="s">
        <v>9835</v>
      </c>
    </row>
    <row r="3488" spans="8:8" x14ac:dyDescent="0.25">
      <c r="H3488" t="s">
        <v>9836</v>
      </c>
    </row>
    <row r="3489" spans="8:8" x14ac:dyDescent="0.25">
      <c r="H3489" t="s">
        <v>135</v>
      </c>
    </row>
    <row r="3490" spans="8:8" x14ac:dyDescent="0.25">
      <c r="H3490" t="s">
        <v>16645</v>
      </c>
    </row>
    <row r="3491" spans="8:8" x14ac:dyDescent="0.25">
      <c r="H3491" t="s">
        <v>30</v>
      </c>
    </row>
    <row r="3492" spans="8:8" x14ac:dyDescent="0.25">
      <c r="H3492" t="s">
        <v>136</v>
      </c>
    </row>
    <row r="3493" spans="8:8" x14ac:dyDescent="0.25">
      <c r="H3493" t="s">
        <v>16646</v>
      </c>
    </row>
    <row r="3494" spans="8:8" x14ac:dyDescent="0.25">
      <c r="H3494" t="s">
        <v>30</v>
      </c>
    </row>
    <row r="3495" spans="8:8" x14ac:dyDescent="0.25">
      <c r="H3495" t="s">
        <v>137</v>
      </c>
    </row>
    <row r="3496" spans="8:8" x14ac:dyDescent="0.25">
      <c r="H3496" t="s">
        <v>16647</v>
      </c>
    </row>
    <row r="3497" spans="8:8" x14ac:dyDescent="0.25">
      <c r="H3497" t="s">
        <v>30</v>
      </c>
    </row>
    <row r="3498" spans="8:8" x14ac:dyDescent="0.25">
      <c r="H3498" t="s">
        <v>138</v>
      </c>
    </row>
    <row r="3499" spans="8:8" x14ac:dyDescent="0.25">
      <c r="H3499" t="s">
        <v>16648</v>
      </c>
    </row>
    <row r="3500" spans="8:8" x14ac:dyDescent="0.25">
      <c r="H3500" t="s">
        <v>30</v>
      </c>
    </row>
    <row r="3502" spans="8:8" x14ac:dyDescent="0.25">
      <c r="H3502" t="s">
        <v>9841</v>
      </c>
    </row>
    <row r="3503" spans="8:8" x14ac:dyDescent="0.25">
      <c r="H3503" t="s">
        <v>9842</v>
      </c>
    </row>
    <row r="3504" spans="8:8" x14ac:dyDescent="0.25">
      <c r="H3504" t="s">
        <v>135</v>
      </c>
    </row>
    <row r="3505" spans="8:8" x14ac:dyDescent="0.25">
      <c r="H3505" t="s">
        <v>16649</v>
      </c>
    </row>
    <row r="3506" spans="8:8" x14ac:dyDescent="0.25">
      <c r="H3506" t="s">
        <v>30</v>
      </c>
    </row>
    <row r="3507" spans="8:8" x14ac:dyDescent="0.25">
      <c r="H3507" t="s">
        <v>136</v>
      </c>
    </row>
    <row r="3508" spans="8:8" x14ac:dyDescent="0.25">
      <c r="H3508" t="s">
        <v>16650</v>
      </c>
    </row>
    <row r="3509" spans="8:8" x14ac:dyDescent="0.25">
      <c r="H3509" t="s">
        <v>30</v>
      </c>
    </row>
    <row r="3510" spans="8:8" x14ac:dyDescent="0.25">
      <c r="H3510" t="s">
        <v>137</v>
      </c>
    </row>
    <row r="3511" spans="8:8" x14ac:dyDescent="0.25">
      <c r="H3511" t="s">
        <v>16651</v>
      </c>
    </row>
    <row r="3512" spans="8:8" x14ac:dyDescent="0.25">
      <c r="H3512" t="s">
        <v>30</v>
      </c>
    </row>
    <row r="3513" spans="8:8" x14ac:dyDescent="0.25">
      <c r="H3513" t="s">
        <v>138</v>
      </c>
    </row>
    <row r="3514" spans="8:8" x14ac:dyDescent="0.25">
      <c r="H3514" t="s">
        <v>16652</v>
      </c>
    </row>
    <row r="3515" spans="8:8" x14ac:dyDescent="0.25">
      <c r="H3515" t="s">
        <v>30</v>
      </c>
    </row>
    <row r="3517" spans="8:8" x14ac:dyDescent="0.25">
      <c r="H3517" t="s">
        <v>9847</v>
      </c>
    </row>
    <row r="3518" spans="8:8" x14ac:dyDescent="0.25">
      <c r="H3518" t="s">
        <v>9848</v>
      </c>
    </row>
    <row r="3519" spans="8:8" x14ac:dyDescent="0.25">
      <c r="H3519" t="s">
        <v>135</v>
      </c>
    </row>
    <row r="3520" spans="8:8" x14ac:dyDescent="0.25">
      <c r="H3520" t="s">
        <v>16653</v>
      </c>
    </row>
    <row r="3521" spans="8:8" x14ac:dyDescent="0.25">
      <c r="H3521" t="s">
        <v>30</v>
      </c>
    </row>
    <row r="3522" spans="8:8" x14ac:dyDescent="0.25">
      <c r="H3522" t="s">
        <v>136</v>
      </c>
    </row>
    <row r="3523" spans="8:8" x14ac:dyDescent="0.25">
      <c r="H3523" t="s">
        <v>16654</v>
      </c>
    </row>
    <row r="3524" spans="8:8" x14ac:dyDescent="0.25">
      <c r="H3524" t="s">
        <v>30</v>
      </c>
    </row>
    <row r="3525" spans="8:8" x14ac:dyDescent="0.25">
      <c r="H3525" t="s">
        <v>137</v>
      </c>
    </row>
    <row r="3526" spans="8:8" x14ac:dyDescent="0.25">
      <c r="H3526" t="s">
        <v>16655</v>
      </c>
    </row>
    <row r="3527" spans="8:8" x14ac:dyDescent="0.25">
      <c r="H3527" t="s">
        <v>30</v>
      </c>
    </row>
    <row r="3528" spans="8:8" x14ac:dyDescent="0.25">
      <c r="H3528" t="s">
        <v>138</v>
      </c>
    </row>
    <row r="3529" spans="8:8" x14ac:dyDescent="0.25">
      <c r="H3529" t="s">
        <v>16656</v>
      </c>
    </row>
    <row r="3530" spans="8:8" x14ac:dyDescent="0.25">
      <c r="H3530" t="s">
        <v>30</v>
      </c>
    </row>
    <row r="3532" spans="8:8" x14ac:dyDescent="0.25">
      <c r="H3532" t="s">
        <v>9853</v>
      </c>
    </row>
    <row r="3533" spans="8:8" x14ac:dyDescent="0.25">
      <c r="H3533" t="s">
        <v>9854</v>
      </c>
    </row>
    <row r="3534" spans="8:8" x14ac:dyDescent="0.25">
      <c r="H3534" t="s">
        <v>135</v>
      </c>
    </row>
    <row r="3535" spans="8:8" x14ac:dyDescent="0.25">
      <c r="H3535" t="s">
        <v>16657</v>
      </c>
    </row>
    <row r="3536" spans="8:8" x14ac:dyDescent="0.25">
      <c r="H3536" t="s">
        <v>30</v>
      </c>
    </row>
    <row r="3537" spans="8:8" x14ac:dyDescent="0.25">
      <c r="H3537" t="s">
        <v>136</v>
      </c>
    </row>
    <row r="3538" spans="8:8" x14ac:dyDescent="0.25">
      <c r="H3538" t="s">
        <v>16658</v>
      </c>
    </row>
    <row r="3539" spans="8:8" x14ac:dyDescent="0.25">
      <c r="H3539" t="s">
        <v>30</v>
      </c>
    </row>
    <row r="3540" spans="8:8" x14ac:dyDescent="0.25">
      <c r="H3540" t="s">
        <v>137</v>
      </c>
    </row>
    <row r="3541" spans="8:8" x14ac:dyDescent="0.25">
      <c r="H3541" t="s">
        <v>16659</v>
      </c>
    </row>
    <row r="3542" spans="8:8" x14ac:dyDescent="0.25">
      <c r="H3542" t="s">
        <v>30</v>
      </c>
    </row>
    <row r="3543" spans="8:8" x14ac:dyDescent="0.25">
      <c r="H3543" t="s">
        <v>138</v>
      </c>
    </row>
    <row r="3544" spans="8:8" x14ac:dyDescent="0.25">
      <c r="H3544" t="s">
        <v>16660</v>
      </c>
    </row>
    <row r="3545" spans="8:8" x14ac:dyDescent="0.25">
      <c r="H3545" t="s">
        <v>30</v>
      </c>
    </row>
    <row r="3547" spans="8:8" x14ac:dyDescent="0.25">
      <c r="H3547" t="s">
        <v>9859</v>
      </c>
    </row>
    <row r="3548" spans="8:8" x14ac:dyDescent="0.25">
      <c r="H3548" t="s">
        <v>9860</v>
      </c>
    </row>
    <row r="3549" spans="8:8" x14ac:dyDescent="0.25">
      <c r="H3549" t="s">
        <v>135</v>
      </c>
    </row>
    <row r="3550" spans="8:8" x14ac:dyDescent="0.25">
      <c r="H3550" t="s">
        <v>16661</v>
      </c>
    </row>
    <row r="3551" spans="8:8" x14ac:dyDescent="0.25">
      <c r="H3551" t="s">
        <v>30</v>
      </c>
    </row>
    <row r="3552" spans="8:8" x14ac:dyDescent="0.25">
      <c r="H3552" t="s">
        <v>136</v>
      </c>
    </row>
    <row r="3553" spans="8:8" x14ac:dyDescent="0.25">
      <c r="H3553" t="s">
        <v>16662</v>
      </c>
    </row>
    <row r="3554" spans="8:8" x14ac:dyDescent="0.25">
      <c r="H3554" t="s">
        <v>30</v>
      </c>
    </row>
    <row r="3555" spans="8:8" x14ac:dyDescent="0.25">
      <c r="H3555" t="s">
        <v>137</v>
      </c>
    </row>
    <row r="3556" spans="8:8" x14ac:dyDescent="0.25">
      <c r="H3556" t="s">
        <v>16663</v>
      </c>
    </row>
    <row r="3557" spans="8:8" x14ac:dyDescent="0.25">
      <c r="H3557" t="s">
        <v>30</v>
      </c>
    </row>
    <row r="3558" spans="8:8" x14ac:dyDescent="0.25">
      <c r="H3558" t="s">
        <v>138</v>
      </c>
    </row>
    <row r="3559" spans="8:8" x14ac:dyDescent="0.25">
      <c r="H3559" t="s">
        <v>16664</v>
      </c>
    </row>
    <row r="3560" spans="8:8" x14ac:dyDescent="0.25">
      <c r="H3560" t="s">
        <v>30</v>
      </c>
    </row>
    <row r="3562" spans="8:8" x14ac:dyDescent="0.25">
      <c r="H3562" t="s">
        <v>9865</v>
      </c>
    </row>
    <row r="3563" spans="8:8" x14ac:dyDescent="0.25">
      <c r="H3563" t="s">
        <v>9866</v>
      </c>
    </row>
    <row r="3564" spans="8:8" x14ac:dyDescent="0.25">
      <c r="H3564" t="s">
        <v>135</v>
      </c>
    </row>
    <row r="3565" spans="8:8" x14ac:dyDescent="0.25">
      <c r="H3565" t="s">
        <v>16665</v>
      </c>
    </row>
    <row r="3566" spans="8:8" x14ac:dyDescent="0.25">
      <c r="H3566" t="s">
        <v>30</v>
      </c>
    </row>
    <row r="3567" spans="8:8" x14ac:dyDescent="0.25">
      <c r="H3567" t="s">
        <v>136</v>
      </c>
    </row>
    <row r="3568" spans="8:8" x14ac:dyDescent="0.25">
      <c r="H3568" t="s">
        <v>16666</v>
      </c>
    </row>
    <row r="3569" spans="8:8" x14ac:dyDescent="0.25">
      <c r="H3569" t="s">
        <v>30</v>
      </c>
    </row>
    <row r="3570" spans="8:8" x14ac:dyDescent="0.25">
      <c r="H3570" t="s">
        <v>137</v>
      </c>
    </row>
    <row r="3571" spans="8:8" x14ac:dyDescent="0.25">
      <c r="H3571" t="s">
        <v>16667</v>
      </c>
    </row>
    <row r="3572" spans="8:8" x14ac:dyDescent="0.25">
      <c r="H3572" t="s">
        <v>30</v>
      </c>
    </row>
    <row r="3573" spans="8:8" x14ac:dyDescent="0.25">
      <c r="H3573" t="s">
        <v>138</v>
      </c>
    </row>
    <row r="3574" spans="8:8" x14ac:dyDescent="0.25">
      <c r="H3574" t="s">
        <v>16668</v>
      </c>
    </row>
    <row r="3575" spans="8:8" x14ac:dyDescent="0.25">
      <c r="H3575" t="s">
        <v>30</v>
      </c>
    </row>
    <row r="3577" spans="8:8" x14ac:dyDescent="0.25">
      <c r="H3577" t="s">
        <v>9871</v>
      </c>
    </row>
    <row r="3578" spans="8:8" x14ac:dyDescent="0.25">
      <c r="H3578" t="s">
        <v>9872</v>
      </c>
    </row>
    <row r="3579" spans="8:8" x14ac:dyDescent="0.25">
      <c r="H3579" t="s">
        <v>135</v>
      </c>
    </row>
    <row r="3580" spans="8:8" x14ac:dyDescent="0.25">
      <c r="H3580" t="s">
        <v>16669</v>
      </c>
    </row>
    <row r="3581" spans="8:8" x14ac:dyDescent="0.25">
      <c r="H3581" t="s">
        <v>30</v>
      </c>
    </row>
    <row r="3582" spans="8:8" x14ac:dyDescent="0.25">
      <c r="H3582" t="s">
        <v>136</v>
      </c>
    </row>
    <row r="3583" spans="8:8" x14ac:dyDescent="0.25">
      <c r="H3583" t="s">
        <v>16670</v>
      </c>
    </row>
    <row r="3584" spans="8:8" x14ac:dyDescent="0.25">
      <c r="H3584" t="s">
        <v>30</v>
      </c>
    </row>
    <row r="3585" spans="8:8" x14ac:dyDescent="0.25">
      <c r="H3585" t="s">
        <v>137</v>
      </c>
    </row>
    <row r="3586" spans="8:8" x14ac:dyDescent="0.25">
      <c r="H3586" t="s">
        <v>16671</v>
      </c>
    </row>
    <row r="3587" spans="8:8" x14ac:dyDescent="0.25">
      <c r="H3587" t="s">
        <v>30</v>
      </c>
    </row>
    <row r="3588" spans="8:8" x14ac:dyDescent="0.25">
      <c r="H3588" t="s">
        <v>138</v>
      </c>
    </row>
    <row r="3589" spans="8:8" x14ac:dyDescent="0.25">
      <c r="H3589" t="s">
        <v>16672</v>
      </c>
    </row>
    <row r="3590" spans="8:8" x14ac:dyDescent="0.25">
      <c r="H3590" t="s">
        <v>30</v>
      </c>
    </row>
    <row r="3592" spans="8:8" x14ac:dyDescent="0.25">
      <c r="H3592" t="s">
        <v>9877</v>
      </c>
    </row>
    <row r="3593" spans="8:8" x14ac:dyDescent="0.25">
      <c r="H3593" t="s">
        <v>9878</v>
      </c>
    </row>
    <row r="3594" spans="8:8" x14ac:dyDescent="0.25">
      <c r="H3594" t="s">
        <v>135</v>
      </c>
    </row>
    <row r="3595" spans="8:8" x14ac:dyDescent="0.25">
      <c r="H3595" t="s">
        <v>16673</v>
      </c>
    </row>
    <row r="3596" spans="8:8" x14ac:dyDescent="0.25">
      <c r="H3596" t="s">
        <v>30</v>
      </c>
    </row>
    <row r="3597" spans="8:8" x14ac:dyDescent="0.25">
      <c r="H3597" t="s">
        <v>136</v>
      </c>
    </row>
    <row r="3598" spans="8:8" x14ac:dyDescent="0.25">
      <c r="H3598" t="s">
        <v>16674</v>
      </c>
    </row>
    <row r="3599" spans="8:8" x14ac:dyDescent="0.25">
      <c r="H3599" t="s">
        <v>30</v>
      </c>
    </row>
    <row r="3600" spans="8:8" x14ac:dyDescent="0.25">
      <c r="H3600" t="s">
        <v>137</v>
      </c>
    </row>
    <row r="3601" spans="8:8" x14ac:dyDescent="0.25">
      <c r="H3601" t="s">
        <v>16675</v>
      </c>
    </row>
    <row r="3602" spans="8:8" x14ac:dyDescent="0.25">
      <c r="H3602" t="s">
        <v>30</v>
      </c>
    </row>
    <row r="3603" spans="8:8" x14ac:dyDescent="0.25">
      <c r="H3603" t="s">
        <v>138</v>
      </c>
    </row>
    <row r="3604" spans="8:8" x14ac:dyDescent="0.25">
      <c r="H3604" t="s">
        <v>16676</v>
      </c>
    </row>
    <row r="3605" spans="8:8" x14ac:dyDescent="0.25">
      <c r="H3605" t="s">
        <v>30</v>
      </c>
    </row>
    <row r="3607" spans="8:8" x14ac:dyDescent="0.25">
      <c r="H3607" t="s">
        <v>9883</v>
      </c>
    </row>
    <row r="3608" spans="8:8" x14ac:dyDescent="0.25">
      <c r="H3608" t="s">
        <v>9884</v>
      </c>
    </row>
    <row r="3609" spans="8:8" x14ac:dyDescent="0.25">
      <c r="H3609" t="s">
        <v>135</v>
      </c>
    </row>
    <row r="3610" spans="8:8" x14ac:dyDescent="0.25">
      <c r="H3610" t="s">
        <v>16677</v>
      </c>
    </row>
    <row r="3611" spans="8:8" x14ac:dyDescent="0.25">
      <c r="H3611" t="s">
        <v>30</v>
      </c>
    </row>
    <row r="3612" spans="8:8" x14ac:dyDescent="0.25">
      <c r="H3612" t="s">
        <v>136</v>
      </c>
    </row>
    <row r="3613" spans="8:8" x14ac:dyDescent="0.25">
      <c r="H3613" t="s">
        <v>16678</v>
      </c>
    </row>
    <row r="3614" spans="8:8" x14ac:dyDescent="0.25">
      <c r="H3614" t="s">
        <v>30</v>
      </c>
    </row>
    <row r="3615" spans="8:8" x14ac:dyDescent="0.25">
      <c r="H3615" t="s">
        <v>137</v>
      </c>
    </row>
    <row r="3616" spans="8:8" x14ac:dyDescent="0.25">
      <c r="H3616" t="s">
        <v>16679</v>
      </c>
    </row>
    <row r="3617" spans="8:8" x14ac:dyDescent="0.25">
      <c r="H3617" t="s">
        <v>30</v>
      </c>
    </row>
    <row r="3618" spans="8:8" x14ac:dyDescent="0.25">
      <c r="H3618" t="s">
        <v>138</v>
      </c>
    </row>
    <row r="3619" spans="8:8" x14ac:dyDescent="0.25">
      <c r="H3619" t="s">
        <v>16680</v>
      </c>
    </row>
    <row r="3620" spans="8:8" x14ac:dyDescent="0.25">
      <c r="H3620" t="s">
        <v>30</v>
      </c>
    </row>
    <row r="3622" spans="8:8" x14ac:dyDescent="0.25">
      <c r="H3622" t="s">
        <v>9889</v>
      </c>
    </row>
    <row r="3623" spans="8:8" x14ac:dyDescent="0.25">
      <c r="H3623" t="s">
        <v>9890</v>
      </c>
    </row>
    <row r="3624" spans="8:8" x14ac:dyDescent="0.25">
      <c r="H3624" t="s">
        <v>135</v>
      </c>
    </row>
    <row r="3625" spans="8:8" x14ac:dyDescent="0.25">
      <c r="H3625" t="s">
        <v>16681</v>
      </c>
    </row>
    <row r="3626" spans="8:8" x14ac:dyDescent="0.25">
      <c r="H3626" t="s">
        <v>30</v>
      </c>
    </row>
    <row r="3627" spans="8:8" x14ac:dyDescent="0.25">
      <c r="H3627" t="s">
        <v>136</v>
      </c>
    </row>
    <row r="3628" spans="8:8" x14ac:dyDescent="0.25">
      <c r="H3628" t="s">
        <v>16682</v>
      </c>
    </row>
    <row r="3629" spans="8:8" x14ac:dyDescent="0.25">
      <c r="H3629" t="s">
        <v>30</v>
      </c>
    </row>
    <row r="3630" spans="8:8" x14ac:dyDescent="0.25">
      <c r="H3630" t="s">
        <v>137</v>
      </c>
    </row>
    <row r="3631" spans="8:8" x14ac:dyDescent="0.25">
      <c r="H3631" t="s">
        <v>16683</v>
      </c>
    </row>
    <row r="3632" spans="8:8" x14ac:dyDescent="0.25">
      <c r="H3632" t="s">
        <v>30</v>
      </c>
    </row>
    <row r="3633" spans="8:8" x14ac:dyDescent="0.25">
      <c r="H3633" t="s">
        <v>138</v>
      </c>
    </row>
    <row r="3634" spans="8:8" x14ac:dyDescent="0.25">
      <c r="H3634" t="s">
        <v>16684</v>
      </c>
    </row>
    <row r="3635" spans="8:8" x14ac:dyDescent="0.25">
      <c r="H3635" t="s">
        <v>30</v>
      </c>
    </row>
    <row r="3637" spans="8:8" x14ac:dyDescent="0.25">
      <c r="H3637" t="s">
        <v>9895</v>
      </c>
    </row>
    <row r="3638" spans="8:8" x14ac:dyDescent="0.25">
      <c r="H3638" t="s">
        <v>9896</v>
      </c>
    </row>
    <row r="3639" spans="8:8" x14ac:dyDescent="0.25">
      <c r="H3639" t="s">
        <v>135</v>
      </c>
    </row>
    <row r="3640" spans="8:8" x14ac:dyDescent="0.25">
      <c r="H3640" t="s">
        <v>16685</v>
      </c>
    </row>
    <row r="3641" spans="8:8" x14ac:dyDescent="0.25">
      <c r="H3641" t="s">
        <v>30</v>
      </c>
    </row>
    <row r="3642" spans="8:8" x14ac:dyDescent="0.25">
      <c r="H3642" t="s">
        <v>136</v>
      </c>
    </row>
    <row r="3643" spans="8:8" x14ac:dyDescent="0.25">
      <c r="H3643" t="s">
        <v>16686</v>
      </c>
    </row>
    <row r="3644" spans="8:8" x14ac:dyDescent="0.25">
      <c r="H3644" t="s">
        <v>30</v>
      </c>
    </row>
    <row r="3645" spans="8:8" x14ac:dyDescent="0.25">
      <c r="H3645" t="s">
        <v>137</v>
      </c>
    </row>
    <row r="3646" spans="8:8" x14ac:dyDescent="0.25">
      <c r="H3646" t="s">
        <v>16687</v>
      </c>
    </row>
    <row r="3647" spans="8:8" x14ac:dyDescent="0.25">
      <c r="H3647" t="s">
        <v>30</v>
      </c>
    </row>
    <row r="3648" spans="8:8" x14ac:dyDescent="0.25">
      <c r="H3648" t="s">
        <v>138</v>
      </c>
    </row>
    <row r="3649" spans="8:8" x14ac:dyDescent="0.25">
      <c r="H3649" t="s">
        <v>16688</v>
      </c>
    </row>
    <row r="3650" spans="8:8" x14ac:dyDescent="0.25">
      <c r="H3650" t="s">
        <v>30</v>
      </c>
    </row>
    <row r="3652" spans="8:8" x14ac:dyDescent="0.25">
      <c r="H3652" t="s">
        <v>9901</v>
      </c>
    </row>
    <row r="3653" spans="8:8" x14ac:dyDescent="0.25">
      <c r="H3653" t="s">
        <v>9902</v>
      </c>
    </row>
    <row r="3654" spans="8:8" x14ac:dyDescent="0.25">
      <c r="H3654" t="s">
        <v>135</v>
      </c>
    </row>
    <row r="3655" spans="8:8" x14ac:dyDescent="0.25">
      <c r="H3655" t="s">
        <v>16689</v>
      </c>
    </row>
    <row r="3656" spans="8:8" x14ac:dyDescent="0.25">
      <c r="H3656" t="s">
        <v>30</v>
      </c>
    </row>
    <row r="3657" spans="8:8" x14ac:dyDescent="0.25">
      <c r="H3657" t="s">
        <v>136</v>
      </c>
    </row>
    <row r="3658" spans="8:8" x14ac:dyDescent="0.25">
      <c r="H3658" t="s">
        <v>16690</v>
      </c>
    </row>
    <row r="3659" spans="8:8" x14ac:dyDescent="0.25">
      <c r="H3659" t="s">
        <v>30</v>
      </c>
    </row>
    <row r="3660" spans="8:8" x14ac:dyDescent="0.25">
      <c r="H3660" t="s">
        <v>137</v>
      </c>
    </row>
    <row r="3661" spans="8:8" x14ac:dyDescent="0.25">
      <c r="H3661" t="s">
        <v>16691</v>
      </c>
    </row>
    <row r="3662" spans="8:8" x14ac:dyDescent="0.25">
      <c r="H3662" t="s">
        <v>30</v>
      </c>
    </row>
    <row r="3663" spans="8:8" x14ac:dyDescent="0.25">
      <c r="H3663" t="s">
        <v>138</v>
      </c>
    </row>
    <row r="3664" spans="8:8" x14ac:dyDescent="0.25">
      <c r="H3664" t="s">
        <v>16692</v>
      </c>
    </row>
    <row r="3665" spans="8:8" x14ac:dyDescent="0.25">
      <c r="H3665" t="s">
        <v>30</v>
      </c>
    </row>
    <row r="3667" spans="8:8" x14ac:dyDescent="0.25">
      <c r="H3667" t="s">
        <v>9907</v>
      </c>
    </row>
    <row r="3668" spans="8:8" x14ac:dyDescent="0.25">
      <c r="H3668" t="s">
        <v>9908</v>
      </c>
    </row>
    <row r="3669" spans="8:8" x14ac:dyDescent="0.25">
      <c r="H3669" t="s">
        <v>135</v>
      </c>
    </row>
    <row r="3670" spans="8:8" x14ac:dyDescent="0.25">
      <c r="H3670" t="s">
        <v>16693</v>
      </c>
    </row>
    <row r="3671" spans="8:8" x14ac:dyDescent="0.25">
      <c r="H3671" t="s">
        <v>30</v>
      </c>
    </row>
    <row r="3672" spans="8:8" x14ac:dyDescent="0.25">
      <c r="H3672" t="s">
        <v>136</v>
      </c>
    </row>
    <row r="3673" spans="8:8" x14ac:dyDescent="0.25">
      <c r="H3673" t="s">
        <v>16694</v>
      </c>
    </row>
    <row r="3674" spans="8:8" x14ac:dyDescent="0.25">
      <c r="H3674" t="s">
        <v>30</v>
      </c>
    </row>
    <row r="3675" spans="8:8" x14ac:dyDescent="0.25">
      <c r="H3675" t="s">
        <v>137</v>
      </c>
    </row>
    <row r="3676" spans="8:8" x14ac:dyDescent="0.25">
      <c r="H3676" t="s">
        <v>16695</v>
      </c>
    </row>
    <row r="3677" spans="8:8" x14ac:dyDescent="0.25">
      <c r="H3677" t="s">
        <v>30</v>
      </c>
    </row>
    <row r="3678" spans="8:8" x14ac:dyDescent="0.25">
      <c r="H3678" t="s">
        <v>138</v>
      </c>
    </row>
    <row r="3679" spans="8:8" x14ac:dyDescent="0.25">
      <c r="H3679" t="s">
        <v>16696</v>
      </c>
    </row>
    <row r="3680" spans="8:8" x14ac:dyDescent="0.25">
      <c r="H3680" t="s">
        <v>30</v>
      </c>
    </row>
    <row r="3682" spans="8:8" x14ac:dyDescent="0.25">
      <c r="H3682" t="s">
        <v>9913</v>
      </c>
    </row>
    <row r="3683" spans="8:8" x14ac:dyDescent="0.25">
      <c r="H3683" t="s">
        <v>9914</v>
      </c>
    </row>
    <row r="3684" spans="8:8" x14ac:dyDescent="0.25">
      <c r="H3684" t="s">
        <v>135</v>
      </c>
    </row>
    <row r="3685" spans="8:8" x14ac:dyDescent="0.25">
      <c r="H3685" t="s">
        <v>16697</v>
      </c>
    </row>
    <row r="3686" spans="8:8" x14ac:dyDescent="0.25">
      <c r="H3686" t="s">
        <v>30</v>
      </c>
    </row>
    <row r="3687" spans="8:8" x14ac:dyDescent="0.25">
      <c r="H3687" t="s">
        <v>136</v>
      </c>
    </row>
    <row r="3688" spans="8:8" x14ac:dyDescent="0.25">
      <c r="H3688" t="s">
        <v>16698</v>
      </c>
    </row>
    <row r="3689" spans="8:8" x14ac:dyDescent="0.25">
      <c r="H3689" t="s">
        <v>30</v>
      </c>
    </row>
    <row r="3690" spans="8:8" x14ac:dyDescent="0.25">
      <c r="H3690" t="s">
        <v>137</v>
      </c>
    </row>
    <row r="3691" spans="8:8" x14ac:dyDescent="0.25">
      <c r="H3691" t="s">
        <v>16699</v>
      </c>
    </row>
    <row r="3692" spans="8:8" x14ac:dyDescent="0.25">
      <c r="H3692" t="s">
        <v>30</v>
      </c>
    </row>
    <row r="3693" spans="8:8" x14ac:dyDescent="0.25">
      <c r="H3693" t="s">
        <v>138</v>
      </c>
    </row>
    <row r="3694" spans="8:8" x14ac:dyDescent="0.25">
      <c r="H3694" t="s">
        <v>16700</v>
      </c>
    </row>
    <row r="3695" spans="8:8" x14ac:dyDescent="0.25">
      <c r="H3695" t="s">
        <v>30</v>
      </c>
    </row>
    <row r="3697" spans="8:8" x14ac:dyDescent="0.25">
      <c r="H3697" t="s">
        <v>9919</v>
      </c>
    </row>
    <row r="3698" spans="8:8" x14ac:dyDescent="0.25">
      <c r="H3698" t="s">
        <v>9920</v>
      </c>
    </row>
    <row r="3699" spans="8:8" x14ac:dyDescent="0.25">
      <c r="H3699" t="s">
        <v>135</v>
      </c>
    </row>
    <row r="3700" spans="8:8" x14ac:dyDescent="0.25">
      <c r="H3700" t="s">
        <v>16701</v>
      </c>
    </row>
    <row r="3701" spans="8:8" x14ac:dyDescent="0.25">
      <c r="H3701" t="s">
        <v>30</v>
      </c>
    </row>
    <row r="3702" spans="8:8" x14ac:dyDescent="0.25">
      <c r="H3702" t="s">
        <v>136</v>
      </c>
    </row>
    <row r="3703" spans="8:8" x14ac:dyDescent="0.25">
      <c r="H3703" t="s">
        <v>16702</v>
      </c>
    </row>
    <row r="3704" spans="8:8" x14ac:dyDescent="0.25">
      <c r="H3704" t="s">
        <v>30</v>
      </c>
    </row>
    <row r="3705" spans="8:8" x14ac:dyDescent="0.25">
      <c r="H3705" t="s">
        <v>137</v>
      </c>
    </row>
    <row r="3706" spans="8:8" x14ac:dyDescent="0.25">
      <c r="H3706" t="s">
        <v>16703</v>
      </c>
    </row>
    <row r="3707" spans="8:8" x14ac:dyDescent="0.25">
      <c r="H3707" t="s">
        <v>30</v>
      </c>
    </row>
    <row r="3708" spans="8:8" x14ac:dyDescent="0.25">
      <c r="H3708" t="s">
        <v>138</v>
      </c>
    </row>
    <row r="3709" spans="8:8" x14ac:dyDescent="0.25">
      <c r="H3709" t="s">
        <v>16704</v>
      </c>
    </row>
    <row r="3710" spans="8:8" x14ac:dyDescent="0.25">
      <c r="H3710" t="s">
        <v>30</v>
      </c>
    </row>
    <row r="3712" spans="8:8" x14ac:dyDescent="0.25">
      <c r="H3712" t="s">
        <v>9925</v>
      </c>
    </row>
    <row r="3713" spans="8:8" x14ac:dyDescent="0.25">
      <c r="H3713" t="s">
        <v>9926</v>
      </c>
    </row>
    <row r="3714" spans="8:8" x14ac:dyDescent="0.25">
      <c r="H3714" t="s">
        <v>135</v>
      </c>
    </row>
    <row r="3715" spans="8:8" x14ac:dyDescent="0.25">
      <c r="H3715" t="s">
        <v>16705</v>
      </c>
    </row>
    <row r="3716" spans="8:8" x14ac:dyDescent="0.25">
      <c r="H3716" t="s">
        <v>30</v>
      </c>
    </row>
    <row r="3717" spans="8:8" x14ac:dyDescent="0.25">
      <c r="H3717" t="s">
        <v>136</v>
      </c>
    </row>
    <row r="3718" spans="8:8" x14ac:dyDescent="0.25">
      <c r="H3718" t="s">
        <v>16706</v>
      </c>
    </row>
    <row r="3719" spans="8:8" x14ac:dyDescent="0.25">
      <c r="H3719" t="s">
        <v>30</v>
      </c>
    </row>
    <row r="3720" spans="8:8" x14ac:dyDescent="0.25">
      <c r="H3720" t="s">
        <v>137</v>
      </c>
    </row>
    <row r="3721" spans="8:8" x14ac:dyDescent="0.25">
      <c r="H3721" t="s">
        <v>16707</v>
      </c>
    </row>
    <row r="3722" spans="8:8" x14ac:dyDescent="0.25">
      <c r="H3722" t="s">
        <v>30</v>
      </c>
    </row>
    <row r="3723" spans="8:8" x14ac:dyDescent="0.25">
      <c r="H3723" t="s">
        <v>138</v>
      </c>
    </row>
    <row r="3724" spans="8:8" x14ac:dyDescent="0.25">
      <c r="H3724" t="s">
        <v>16708</v>
      </c>
    </row>
    <row r="3725" spans="8:8" x14ac:dyDescent="0.25">
      <c r="H3725" t="s">
        <v>30</v>
      </c>
    </row>
    <row r="3727" spans="8:8" x14ac:dyDescent="0.25">
      <c r="H3727" t="s">
        <v>9931</v>
      </c>
    </row>
    <row r="3728" spans="8:8" x14ac:dyDescent="0.25">
      <c r="H3728" t="s">
        <v>9932</v>
      </c>
    </row>
    <row r="3729" spans="8:8" x14ac:dyDescent="0.25">
      <c r="H3729" t="s">
        <v>135</v>
      </c>
    </row>
    <row r="3730" spans="8:8" x14ac:dyDescent="0.25">
      <c r="H3730" t="s">
        <v>16709</v>
      </c>
    </row>
    <row r="3731" spans="8:8" x14ac:dyDescent="0.25">
      <c r="H3731" t="s">
        <v>30</v>
      </c>
    </row>
    <row r="3732" spans="8:8" x14ac:dyDescent="0.25">
      <c r="H3732" t="s">
        <v>136</v>
      </c>
    </row>
    <row r="3733" spans="8:8" x14ac:dyDescent="0.25">
      <c r="H3733" t="s">
        <v>16710</v>
      </c>
    </row>
    <row r="3734" spans="8:8" x14ac:dyDescent="0.25">
      <c r="H3734" t="s">
        <v>30</v>
      </c>
    </row>
    <row r="3735" spans="8:8" x14ac:dyDescent="0.25">
      <c r="H3735" t="s">
        <v>137</v>
      </c>
    </row>
    <row r="3736" spans="8:8" x14ac:dyDescent="0.25">
      <c r="H3736" t="s">
        <v>16711</v>
      </c>
    </row>
    <row r="3737" spans="8:8" x14ac:dyDescent="0.25">
      <c r="H3737" t="s">
        <v>30</v>
      </c>
    </row>
    <row r="3738" spans="8:8" x14ac:dyDescent="0.25">
      <c r="H3738" t="s">
        <v>138</v>
      </c>
    </row>
    <row r="3739" spans="8:8" x14ac:dyDescent="0.25">
      <c r="H3739" t="s">
        <v>16712</v>
      </c>
    </row>
    <row r="3740" spans="8:8" x14ac:dyDescent="0.25">
      <c r="H3740" t="s">
        <v>30</v>
      </c>
    </row>
    <row r="3742" spans="8:8" x14ac:dyDescent="0.25">
      <c r="H3742" t="s">
        <v>9937</v>
      </c>
    </row>
    <row r="3743" spans="8:8" x14ac:dyDescent="0.25">
      <c r="H3743" t="s">
        <v>9938</v>
      </c>
    </row>
    <row r="3744" spans="8:8" x14ac:dyDescent="0.25">
      <c r="H3744" t="s">
        <v>135</v>
      </c>
    </row>
    <row r="3745" spans="8:8" x14ac:dyDescent="0.25">
      <c r="H3745" t="s">
        <v>16713</v>
      </c>
    </row>
    <row r="3746" spans="8:8" x14ac:dyDescent="0.25">
      <c r="H3746" t="s">
        <v>30</v>
      </c>
    </row>
    <row r="3747" spans="8:8" x14ac:dyDescent="0.25">
      <c r="H3747" t="s">
        <v>136</v>
      </c>
    </row>
    <row r="3748" spans="8:8" x14ac:dyDescent="0.25">
      <c r="H3748" t="s">
        <v>16714</v>
      </c>
    </row>
    <row r="3749" spans="8:8" x14ac:dyDescent="0.25">
      <c r="H3749" t="s">
        <v>30</v>
      </c>
    </row>
    <row r="3750" spans="8:8" x14ac:dyDescent="0.25">
      <c r="H3750" t="s">
        <v>137</v>
      </c>
    </row>
    <row r="3751" spans="8:8" x14ac:dyDescent="0.25">
      <c r="H3751" t="s">
        <v>16715</v>
      </c>
    </row>
    <row r="3752" spans="8:8" x14ac:dyDescent="0.25">
      <c r="H3752" t="s">
        <v>30</v>
      </c>
    </row>
    <row r="3753" spans="8:8" x14ac:dyDescent="0.25">
      <c r="H3753" t="s">
        <v>138</v>
      </c>
    </row>
    <row r="3754" spans="8:8" x14ac:dyDescent="0.25">
      <c r="H3754" t="s">
        <v>16716</v>
      </c>
    </row>
    <row r="3755" spans="8:8" x14ac:dyDescent="0.25">
      <c r="H3755" t="s">
        <v>30</v>
      </c>
    </row>
    <row r="3757" spans="8:8" x14ac:dyDescent="0.25">
      <c r="H3757" t="s">
        <v>9943</v>
      </c>
    </row>
    <row r="3758" spans="8:8" x14ac:dyDescent="0.25">
      <c r="H3758" t="s">
        <v>9944</v>
      </c>
    </row>
    <row r="3759" spans="8:8" x14ac:dyDescent="0.25">
      <c r="H3759" t="s">
        <v>135</v>
      </c>
    </row>
    <row r="3760" spans="8:8" x14ac:dyDescent="0.25">
      <c r="H3760" t="s">
        <v>16717</v>
      </c>
    </row>
    <row r="3761" spans="8:8" x14ac:dyDescent="0.25">
      <c r="H3761" t="s">
        <v>30</v>
      </c>
    </row>
    <row r="3762" spans="8:8" x14ac:dyDescent="0.25">
      <c r="H3762" t="s">
        <v>136</v>
      </c>
    </row>
    <row r="3763" spans="8:8" x14ac:dyDescent="0.25">
      <c r="H3763" t="s">
        <v>16718</v>
      </c>
    </row>
    <row r="3764" spans="8:8" x14ac:dyDescent="0.25">
      <c r="H3764" t="s">
        <v>30</v>
      </c>
    </row>
    <row r="3765" spans="8:8" x14ac:dyDescent="0.25">
      <c r="H3765" t="s">
        <v>137</v>
      </c>
    </row>
    <row r="3766" spans="8:8" x14ac:dyDescent="0.25">
      <c r="H3766" t="s">
        <v>16719</v>
      </c>
    </row>
    <row r="3767" spans="8:8" x14ac:dyDescent="0.25">
      <c r="H3767" t="s">
        <v>30</v>
      </c>
    </row>
    <row r="3768" spans="8:8" x14ac:dyDescent="0.25">
      <c r="H3768" t="s">
        <v>138</v>
      </c>
    </row>
    <row r="3769" spans="8:8" x14ac:dyDescent="0.25">
      <c r="H3769" t="s">
        <v>16720</v>
      </c>
    </row>
    <row r="3770" spans="8:8" x14ac:dyDescent="0.25">
      <c r="H3770" t="s">
        <v>30</v>
      </c>
    </row>
    <row r="3772" spans="8:8" x14ac:dyDescent="0.25">
      <c r="H3772" t="s">
        <v>9949</v>
      </c>
    </row>
    <row r="3773" spans="8:8" x14ac:dyDescent="0.25">
      <c r="H3773" t="s">
        <v>9950</v>
      </c>
    </row>
    <row r="3774" spans="8:8" x14ac:dyDescent="0.25">
      <c r="H3774" t="s">
        <v>135</v>
      </c>
    </row>
    <row r="3775" spans="8:8" x14ac:dyDescent="0.25">
      <c r="H3775" t="s">
        <v>16721</v>
      </c>
    </row>
    <row r="3776" spans="8:8" x14ac:dyDescent="0.25">
      <c r="H3776" t="s">
        <v>30</v>
      </c>
    </row>
    <row r="3777" spans="8:8" x14ac:dyDescent="0.25">
      <c r="H3777" t="s">
        <v>136</v>
      </c>
    </row>
    <row r="3778" spans="8:8" x14ac:dyDescent="0.25">
      <c r="H3778" t="s">
        <v>16722</v>
      </c>
    </row>
    <row r="3779" spans="8:8" x14ac:dyDescent="0.25">
      <c r="H3779" t="s">
        <v>30</v>
      </c>
    </row>
    <row r="3780" spans="8:8" x14ac:dyDescent="0.25">
      <c r="H3780" t="s">
        <v>137</v>
      </c>
    </row>
    <row r="3781" spans="8:8" x14ac:dyDescent="0.25">
      <c r="H3781" t="s">
        <v>16723</v>
      </c>
    </row>
    <row r="3782" spans="8:8" x14ac:dyDescent="0.25">
      <c r="H3782" t="s">
        <v>30</v>
      </c>
    </row>
    <row r="3783" spans="8:8" x14ac:dyDescent="0.25">
      <c r="H3783" t="s">
        <v>138</v>
      </c>
    </row>
    <row r="3784" spans="8:8" x14ac:dyDescent="0.25">
      <c r="H3784" t="s">
        <v>16724</v>
      </c>
    </row>
    <row r="3785" spans="8:8" x14ac:dyDescent="0.25">
      <c r="H3785" t="s">
        <v>30</v>
      </c>
    </row>
    <row r="3787" spans="8:8" x14ac:dyDescent="0.25">
      <c r="H3787" t="s">
        <v>9955</v>
      </c>
    </row>
    <row r="3788" spans="8:8" x14ac:dyDescent="0.25">
      <c r="H3788" t="s">
        <v>9956</v>
      </c>
    </row>
    <row r="3789" spans="8:8" x14ac:dyDescent="0.25">
      <c r="H3789" t="s">
        <v>135</v>
      </c>
    </row>
    <row r="3790" spans="8:8" x14ac:dyDescent="0.25">
      <c r="H3790" t="s">
        <v>16725</v>
      </c>
    </row>
    <row r="3791" spans="8:8" x14ac:dyDescent="0.25">
      <c r="H3791" t="s">
        <v>30</v>
      </c>
    </row>
    <row r="3792" spans="8:8" x14ac:dyDescent="0.25">
      <c r="H3792" t="s">
        <v>136</v>
      </c>
    </row>
    <row r="3793" spans="8:8" x14ac:dyDescent="0.25">
      <c r="H3793" t="s">
        <v>16726</v>
      </c>
    </row>
    <row r="3794" spans="8:8" x14ac:dyDescent="0.25">
      <c r="H3794" t="s">
        <v>30</v>
      </c>
    </row>
    <row r="3795" spans="8:8" x14ac:dyDescent="0.25">
      <c r="H3795" t="s">
        <v>137</v>
      </c>
    </row>
    <row r="3796" spans="8:8" x14ac:dyDescent="0.25">
      <c r="H3796" t="s">
        <v>16727</v>
      </c>
    </row>
    <row r="3797" spans="8:8" x14ac:dyDescent="0.25">
      <c r="H3797" t="s">
        <v>30</v>
      </c>
    </row>
    <row r="3798" spans="8:8" x14ac:dyDescent="0.25">
      <c r="H3798" t="s">
        <v>138</v>
      </c>
    </row>
    <row r="3799" spans="8:8" x14ac:dyDescent="0.25">
      <c r="H3799" t="s">
        <v>16728</v>
      </c>
    </row>
    <row r="3800" spans="8:8" x14ac:dyDescent="0.25">
      <c r="H3800" t="s">
        <v>30</v>
      </c>
    </row>
    <row r="3802" spans="8:8" x14ac:dyDescent="0.25">
      <c r="H3802" t="s">
        <v>9961</v>
      </c>
    </row>
    <row r="3803" spans="8:8" x14ac:dyDescent="0.25">
      <c r="H3803" t="s">
        <v>9962</v>
      </c>
    </row>
    <row r="3804" spans="8:8" x14ac:dyDescent="0.25">
      <c r="H3804" t="s">
        <v>135</v>
      </c>
    </row>
    <row r="3805" spans="8:8" x14ac:dyDescent="0.25">
      <c r="H3805" t="s">
        <v>16729</v>
      </c>
    </row>
    <row r="3806" spans="8:8" x14ac:dyDescent="0.25">
      <c r="H3806" t="s">
        <v>30</v>
      </c>
    </row>
    <row r="3807" spans="8:8" x14ac:dyDescent="0.25">
      <c r="H3807" t="s">
        <v>136</v>
      </c>
    </row>
    <row r="3808" spans="8:8" x14ac:dyDescent="0.25">
      <c r="H3808" t="s">
        <v>16730</v>
      </c>
    </row>
    <row r="3809" spans="8:8" x14ac:dyDescent="0.25">
      <c r="H3809" t="s">
        <v>30</v>
      </c>
    </row>
    <row r="3810" spans="8:8" x14ac:dyDescent="0.25">
      <c r="H3810" t="s">
        <v>137</v>
      </c>
    </row>
    <row r="3811" spans="8:8" x14ac:dyDescent="0.25">
      <c r="H3811" t="s">
        <v>16731</v>
      </c>
    </row>
    <row r="3812" spans="8:8" x14ac:dyDescent="0.25">
      <c r="H3812" t="s">
        <v>30</v>
      </c>
    </row>
    <row r="3813" spans="8:8" x14ac:dyDescent="0.25">
      <c r="H3813" t="s">
        <v>138</v>
      </c>
    </row>
    <row r="3814" spans="8:8" x14ac:dyDescent="0.25">
      <c r="H3814" t="s">
        <v>16732</v>
      </c>
    </row>
    <row r="3815" spans="8:8" x14ac:dyDescent="0.25">
      <c r="H3815" t="s">
        <v>30</v>
      </c>
    </row>
    <row r="3817" spans="8:8" x14ac:dyDescent="0.25">
      <c r="H3817" t="s">
        <v>9967</v>
      </c>
    </row>
    <row r="3818" spans="8:8" x14ac:dyDescent="0.25">
      <c r="H3818" t="s">
        <v>9968</v>
      </c>
    </row>
    <row r="3819" spans="8:8" x14ac:dyDescent="0.25">
      <c r="H3819" t="s">
        <v>135</v>
      </c>
    </row>
    <row r="3820" spans="8:8" x14ac:dyDescent="0.25">
      <c r="H3820" t="s">
        <v>16733</v>
      </c>
    </row>
    <row r="3821" spans="8:8" x14ac:dyDescent="0.25">
      <c r="H3821" t="s">
        <v>30</v>
      </c>
    </row>
    <row r="3822" spans="8:8" x14ac:dyDescent="0.25">
      <c r="H3822" t="s">
        <v>136</v>
      </c>
    </row>
    <row r="3823" spans="8:8" x14ac:dyDescent="0.25">
      <c r="H3823" t="s">
        <v>16734</v>
      </c>
    </row>
    <row r="3824" spans="8:8" x14ac:dyDescent="0.25">
      <c r="H3824" t="s">
        <v>30</v>
      </c>
    </row>
    <row r="3825" spans="8:8" x14ac:dyDescent="0.25">
      <c r="H3825" t="s">
        <v>137</v>
      </c>
    </row>
    <row r="3826" spans="8:8" x14ac:dyDescent="0.25">
      <c r="H3826" t="s">
        <v>16735</v>
      </c>
    </row>
    <row r="3827" spans="8:8" x14ac:dyDescent="0.25">
      <c r="H3827" t="s">
        <v>30</v>
      </c>
    </row>
    <row r="3828" spans="8:8" x14ac:dyDescent="0.25">
      <c r="H3828" t="s">
        <v>138</v>
      </c>
    </row>
    <row r="3829" spans="8:8" x14ac:dyDescent="0.25">
      <c r="H3829" t="s">
        <v>16736</v>
      </c>
    </row>
    <row r="3830" spans="8:8" x14ac:dyDescent="0.25">
      <c r="H3830" t="s">
        <v>30</v>
      </c>
    </row>
    <row r="3832" spans="8:8" x14ac:dyDescent="0.25">
      <c r="H3832" t="s">
        <v>9973</v>
      </c>
    </row>
    <row r="3833" spans="8:8" x14ac:dyDescent="0.25">
      <c r="H3833" t="s">
        <v>9974</v>
      </c>
    </row>
    <row r="3834" spans="8:8" x14ac:dyDescent="0.25">
      <c r="H3834" t="s">
        <v>135</v>
      </c>
    </row>
    <row r="3835" spans="8:8" x14ac:dyDescent="0.25">
      <c r="H3835" t="s">
        <v>16737</v>
      </c>
    </row>
    <row r="3836" spans="8:8" x14ac:dyDescent="0.25">
      <c r="H3836" t="s">
        <v>30</v>
      </c>
    </row>
    <row r="3837" spans="8:8" x14ac:dyDescent="0.25">
      <c r="H3837" t="s">
        <v>136</v>
      </c>
    </row>
    <row r="3838" spans="8:8" x14ac:dyDescent="0.25">
      <c r="H3838" t="s">
        <v>16738</v>
      </c>
    </row>
    <row r="3839" spans="8:8" x14ac:dyDescent="0.25">
      <c r="H3839" t="s">
        <v>30</v>
      </c>
    </row>
    <row r="3840" spans="8:8" x14ac:dyDescent="0.25">
      <c r="H3840" t="s">
        <v>137</v>
      </c>
    </row>
    <row r="3841" spans="8:8" x14ac:dyDescent="0.25">
      <c r="H3841" t="s">
        <v>16739</v>
      </c>
    </row>
    <row r="3842" spans="8:8" x14ac:dyDescent="0.25">
      <c r="H3842" t="s">
        <v>30</v>
      </c>
    </row>
    <row r="3843" spans="8:8" x14ac:dyDescent="0.25">
      <c r="H3843" t="s">
        <v>138</v>
      </c>
    </row>
    <row r="3844" spans="8:8" x14ac:dyDescent="0.25">
      <c r="H3844" t="s">
        <v>16740</v>
      </c>
    </row>
    <row r="3845" spans="8:8" x14ac:dyDescent="0.25">
      <c r="H3845" t="s">
        <v>30</v>
      </c>
    </row>
    <row r="3847" spans="8:8" x14ac:dyDescent="0.25">
      <c r="H3847" t="s">
        <v>9979</v>
      </c>
    </row>
    <row r="3848" spans="8:8" x14ac:dyDescent="0.25">
      <c r="H3848" t="s">
        <v>9980</v>
      </c>
    </row>
    <row r="3849" spans="8:8" x14ac:dyDescent="0.25">
      <c r="H3849" t="s">
        <v>135</v>
      </c>
    </row>
    <row r="3850" spans="8:8" x14ac:dyDescent="0.25">
      <c r="H3850" t="s">
        <v>16741</v>
      </c>
    </row>
    <row r="3851" spans="8:8" x14ac:dyDescent="0.25">
      <c r="H3851" t="s">
        <v>30</v>
      </c>
    </row>
    <row r="3852" spans="8:8" x14ac:dyDescent="0.25">
      <c r="H3852" t="s">
        <v>136</v>
      </c>
    </row>
    <row r="3853" spans="8:8" x14ac:dyDescent="0.25">
      <c r="H3853" t="s">
        <v>16742</v>
      </c>
    </row>
    <row r="3854" spans="8:8" x14ac:dyDescent="0.25">
      <c r="H3854" t="s">
        <v>30</v>
      </c>
    </row>
    <row r="3855" spans="8:8" x14ac:dyDescent="0.25">
      <c r="H3855" t="s">
        <v>137</v>
      </c>
    </row>
    <row r="3856" spans="8:8" x14ac:dyDescent="0.25">
      <c r="H3856" t="s">
        <v>16743</v>
      </c>
    </row>
    <row r="3857" spans="8:8" x14ac:dyDescent="0.25">
      <c r="H3857" t="s">
        <v>30</v>
      </c>
    </row>
    <row r="3858" spans="8:8" x14ac:dyDescent="0.25">
      <c r="H3858" t="s">
        <v>138</v>
      </c>
    </row>
    <row r="3859" spans="8:8" x14ac:dyDescent="0.25">
      <c r="H3859" t="s">
        <v>16744</v>
      </c>
    </row>
    <row r="3860" spans="8:8" x14ac:dyDescent="0.25">
      <c r="H3860" t="s">
        <v>30</v>
      </c>
    </row>
    <row r="3862" spans="8:8" x14ac:dyDescent="0.25">
      <c r="H3862" t="s">
        <v>9985</v>
      </c>
    </row>
    <row r="3863" spans="8:8" x14ac:dyDescent="0.25">
      <c r="H3863" t="s">
        <v>9986</v>
      </c>
    </row>
    <row r="3864" spans="8:8" x14ac:dyDescent="0.25">
      <c r="H3864" t="s">
        <v>135</v>
      </c>
    </row>
    <row r="3865" spans="8:8" x14ac:dyDescent="0.25">
      <c r="H3865" t="s">
        <v>16745</v>
      </c>
    </row>
    <row r="3866" spans="8:8" x14ac:dyDescent="0.25">
      <c r="H3866" t="s">
        <v>30</v>
      </c>
    </row>
    <row r="3867" spans="8:8" x14ac:dyDescent="0.25">
      <c r="H3867" t="s">
        <v>136</v>
      </c>
    </row>
    <row r="3868" spans="8:8" x14ac:dyDescent="0.25">
      <c r="H3868" t="s">
        <v>16746</v>
      </c>
    </row>
    <row r="3869" spans="8:8" x14ac:dyDescent="0.25">
      <c r="H3869" t="s">
        <v>30</v>
      </c>
    </row>
    <row r="3870" spans="8:8" x14ac:dyDescent="0.25">
      <c r="H3870" t="s">
        <v>137</v>
      </c>
    </row>
    <row r="3871" spans="8:8" x14ac:dyDescent="0.25">
      <c r="H3871" t="s">
        <v>16747</v>
      </c>
    </row>
    <row r="3872" spans="8:8" x14ac:dyDescent="0.25">
      <c r="H3872" t="s">
        <v>30</v>
      </c>
    </row>
    <row r="3873" spans="8:8" x14ac:dyDescent="0.25">
      <c r="H3873" t="s">
        <v>138</v>
      </c>
    </row>
    <row r="3874" spans="8:8" x14ac:dyDescent="0.25">
      <c r="H3874" t="s">
        <v>16748</v>
      </c>
    </row>
    <row r="3875" spans="8:8" x14ac:dyDescent="0.25">
      <c r="H3875" t="s">
        <v>30</v>
      </c>
    </row>
    <row r="3877" spans="8:8" x14ac:dyDescent="0.25">
      <c r="H3877" t="s">
        <v>9991</v>
      </c>
    </row>
    <row r="3878" spans="8:8" x14ac:dyDescent="0.25">
      <c r="H3878" t="s">
        <v>9992</v>
      </c>
    </row>
    <row r="3879" spans="8:8" x14ac:dyDescent="0.25">
      <c r="H3879" t="s">
        <v>135</v>
      </c>
    </row>
    <row r="3880" spans="8:8" x14ac:dyDescent="0.25">
      <c r="H3880" t="s">
        <v>16749</v>
      </c>
    </row>
    <row r="3881" spans="8:8" x14ac:dyDescent="0.25">
      <c r="H3881" t="s">
        <v>30</v>
      </c>
    </row>
    <row r="3882" spans="8:8" x14ac:dyDescent="0.25">
      <c r="H3882" t="s">
        <v>136</v>
      </c>
    </row>
    <row r="3883" spans="8:8" x14ac:dyDescent="0.25">
      <c r="H3883" t="s">
        <v>16750</v>
      </c>
    </row>
    <row r="3884" spans="8:8" x14ac:dyDescent="0.25">
      <c r="H3884" t="s">
        <v>30</v>
      </c>
    </row>
    <row r="3885" spans="8:8" x14ac:dyDescent="0.25">
      <c r="H3885" t="s">
        <v>137</v>
      </c>
    </row>
    <row r="3886" spans="8:8" x14ac:dyDescent="0.25">
      <c r="H3886" t="s">
        <v>16751</v>
      </c>
    </row>
    <row r="3887" spans="8:8" x14ac:dyDescent="0.25">
      <c r="H3887" t="s">
        <v>30</v>
      </c>
    </row>
    <row r="3888" spans="8:8" x14ac:dyDescent="0.25">
      <c r="H3888" t="s">
        <v>138</v>
      </c>
    </row>
    <row r="3889" spans="8:8" x14ac:dyDescent="0.25">
      <c r="H3889" t="s">
        <v>16752</v>
      </c>
    </row>
    <row r="3890" spans="8:8" x14ac:dyDescent="0.25">
      <c r="H3890" t="s">
        <v>30</v>
      </c>
    </row>
    <row r="3892" spans="8:8" x14ac:dyDescent="0.25">
      <c r="H3892" t="s">
        <v>9997</v>
      </c>
    </row>
    <row r="3893" spans="8:8" x14ac:dyDescent="0.25">
      <c r="H3893" t="s">
        <v>9998</v>
      </c>
    </row>
    <row r="3894" spans="8:8" x14ac:dyDescent="0.25">
      <c r="H3894" t="s">
        <v>135</v>
      </c>
    </row>
    <row r="3895" spans="8:8" x14ac:dyDescent="0.25">
      <c r="H3895" t="s">
        <v>16753</v>
      </c>
    </row>
    <row r="3896" spans="8:8" x14ac:dyDescent="0.25">
      <c r="H3896" t="s">
        <v>30</v>
      </c>
    </row>
    <row r="3897" spans="8:8" x14ac:dyDescent="0.25">
      <c r="H3897" t="s">
        <v>136</v>
      </c>
    </row>
    <row r="3898" spans="8:8" x14ac:dyDescent="0.25">
      <c r="H3898" t="s">
        <v>16754</v>
      </c>
    </row>
    <row r="3899" spans="8:8" x14ac:dyDescent="0.25">
      <c r="H3899" t="s">
        <v>30</v>
      </c>
    </row>
    <row r="3900" spans="8:8" x14ac:dyDescent="0.25">
      <c r="H3900" t="s">
        <v>137</v>
      </c>
    </row>
    <row r="3901" spans="8:8" x14ac:dyDescent="0.25">
      <c r="H3901" t="s">
        <v>16755</v>
      </c>
    </row>
    <row r="3902" spans="8:8" x14ac:dyDescent="0.25">
      <c r="H3902" t="s">
        <v>30</v>
      </c>
    </row>
    <row r="3903" spans="8:8" x14ac:dyDescent="0.25">
      <c r="H3903" t="s">
        <v>138</v>
      </c>
    </row>
    <row r="3904" spans="8:8" x14ac:dyDescent="0.25">
      <c r="H3904" t="s">
        <v>16756</v>
      </c>
    </row>
    <row r="3905" spans="8:8" x14ac:dyDescent="0.25">
      <c r="H3905" t="s">
        <v>30</v>
      </c>
    </row>
    <row r="3907" spans="8:8" x14ac:dyDescent="0.25">
      <c r="H3907" t="s">
        <v>10003</v>
      </c>
    </row>
    <row r="3908" spans="8:8" x14ac:dyDescent="0.25">
      <c r="H3908" t="s">
        <v>10004</v>
      </c>
    </row>
    <row r="3909" spans="8:8" x14ac:dyDescent="0.25">
      <c r="H3909" t="s">
        <v>135</v>
      </c>
    </row>
    <row r="3910" spans="8:8" x14ac:dyDescent="0.25">
      <c r="H3910" t="s">
        <v>16757</v>
      </c>
    </row>
    <row r="3911" spans="8:8" x14ac:dyDescent="0.25">
      <c r="H3911" t="s">
        <v>30</v>
      </c>
    </row>
    <row r="3912" spans="8:8" x14ac:dyDescent="0.25">
      <c r="H3912" t="s">
        <v>136</v>
      </c>
    </row>
    <row r="3913" spans="8:8" x14ac:dyDescent="0.25">
      <c r="H3913" t="s">
        <v>16758</v>
      </c>
    </row>
    <row r="3914" spans="8:8" x14ac:dyDescent="0.25">
      <c r="H3914" t="s">
        <v>30</v>
      </c>
    </row>
    <row r="3915" spans="8:8" x14ac:dyDescent="0.25">
      <c r="H3915" t="s">
        <v>137</v>
      </c>
    </row>
    <row r="3916" spans="8:8" x14ac:dyDescent="0.25">
      <c r="H3916" t="s">
        <v>16759</v>
      </c>
    </row>
    <row r="3917" spans="8:8" x14ac:dyDescent="0.25">
      <c r="H3917" t="s">
        <v>30</v>
      </c>
    </row>
    <row r="3918" spans="8:8" x14ac:dyDescent="0.25">
      <c r="H3918" t="s">
        <v>138</v>
      </c>
    </row>
    <row r="3919" spans="8:8" x14ac:dyDescent="0.25">
      <c r="H3919" t="s">
        <v>16760</v>
      </c>
    </row>
    <row r="3920" spans="8:8" x14ac:dyDescent="0.25">
      <c r="H3920" t="s">
        <v>30</v>
      </c>
    </row>
    <row r="3922" spans="8:8" x14ac:dyDescent="0.25">
      <c r="H3922" t="s">
        <v>10009</v>
      </c>
    </row>
    <row r="3923" spans="8:8" x14ac:dyDescent="0.25">
      <c r="H3923" t="s">
        <v>10010</v>
      </c>
    </row>
    <row r="3924" spans="8:8" x14ac:dyDescent="0.25">
      <c r="H3924" t="s">
        <v>135</v>
      </c>
    </row>
    <row r="3925" spans="8:8" x14ac:dyDescent="0.25">
      <c r="H3925" t="s">
        <v>16761</v>
      </c>
    </row>
    <row r="3926" spans="8:8" x14ac:dyDescent="0.25">
      <c r="H3926" t="s">
        <v>30</v>
      </c>
    </row>
    <row r="3927" spans="8:8" x14ac:dyDescent="0.25">
      <c r="H3927" t="s">
        <v>136</v>
      </c>
    </row>
    <row r="3928" spans="8:8" x14ac:dyDescent="0.25">
      <c r="H3928" t="s">
        <v>16762</v>
      </c>
    </row>
    <row r="3929" spans="8:8" x14ac:dyDescent="0.25">
      <c r="H3929" t="s">
        <v>30</v>
      </c>
    </row>
    <row r="3930" spans="8:8" x14ac:dyDescent="0.25">
      <c r="H3930" t="s">
        <v>137</v>
      </c>
    </row>
    <row r="3931" spans="8:8" x14ac:dyDescent="0.25">
      <c r="H3931" t="s">
        <v>16763</v>
      </c>
    </row>
    <row r="3932" spans="8:8" x14ac:dyDescent="0.25">
      <c r="H3932" t="s">
        <v>30</v>
      </c>
    </row>
    <row r="3933" spans="8:8" x14ac:dyDescent="0.25">
      <c r="H3933" t="s">
        <v>138</v>
      </c>
    </row>
    <row r="3934" spans="8:8" x14ac:dyDescent="0.25">
      <c r="H3934" t="s">
        <v>16764</v>
      </c>
    </row>
    <row r="3935" spans="8:8" x14ac:dyDescent="0.25">
      <c r="H3935" t="s">
        <v>30</v>
      </c>
    </row>
    <row r="3937" spans="8:8" x14ac:dyDescent="0.25">
      <c r="H3937" t="s">
        <v>10015</v>
      </c>
    </row>
    <row r="3938" spans="8:8" x14ac:dyDescent="0.25">
      <c r="H3938" t="s">
        <v>10016</v>
      </c>
    </row>
    <row r="3939" spans="8:8" x14ac:dyDescent="0.25">
      <c r="H3939" t="s">
        <v>135</v>
      </c>
    </row>
    <row r="3940" spans="8:8" x14ac:dyDescent="0.25">
      <c r="H3940" t="s">
        <v>16765</v>
      </c>
    </row>
    <row r="3941" spans="8:8" x14ac:dyDescent="0.25">
      <c r="H3941" t="s">
        <v>30</v>
      </c>
    </row>
    <row r="3942" spans="8:8" x14ac:dyDescent="0.25">
      <c r="H3942" t="s">
        <v>136</v>
      </c>
    </row>
    <row r="3943" spans="8:8" x14ac:dyDescent="0.25">
      <c r="H3943" t="s">
        <v>16766</v>
      </c>
    </row>
    <row r="3944" spans="8:8" x14ac:dyDescent="0.25">
      <c r="H3944" t="s">
        <v>30</v>
      </c>
    </row>
    <row r="3945" spans="8:8" x14ac:dyDescent="0.25">
      <c r="H3945" t="s">
        <v>137</v>
      </c>
    </row>
    <row r="3946" spans="8:8" x14ac:dyDescent="0.25">
      <c r="H3946" t="s">
        <v>16767</v>
      </c>
    </row>
    <row r="3947" spans="8:8" x14ac:dyDescent="0.25">
      <c r="H3947" t="s">
        <v>30</v>
      </c>
    </row>
    <row r="3948" spans="8:8" x14ac:dyDescent="0.25">
      <c r="H3948" t="s">
        <v>138</v>
      </c>
    </row>
    <row r="3949" spans="8:8" x14ac:dyDescent="0.25">
      <c r="H3949" t="s">
        <v>16768</v>
      </c>
    </row>
    <row r="3950" spans="8:8" x14ac:dyDescent="0.25">
      <c r="H3950" t="s">
        <v>30</v>
      </c>
    </row>
    <row r="3952" spans="8:8" x14ac:dyDescent="0.25">
      <c r="H3952" t="s">
        <v>10021</v>
      </c>
    </row>
    <row r="3953" spans="8:8" x14ac:dyDescent="0.25">
      <c r="H3953" t="s">
        <v>10022</v>
      </c>
    </row>
    <row r="3954" spans="8:8" x14ac:dyDescent="0.25">
      <c r="H3954" t="s">
        <v>135</v>
      </c>
    </row>
    <row r="3955" spans="8:8" x14ac:dyDescent="0.25">
      <c r="H3955" t="s">
        <v>16769</v>
      </c>
    </row>
    <row r="3956" spans="8:8" x14ac:dyDescent="0.25">
      <c r="H3956" t="s">
        <v>30</v>
      </c>
    </row>
    <row r="3957" spans="8:8" x14ac:dyDescent="0.25">
      <c r="H3957" t="s">
        <v>136</v>
      </c>
    </row>
    <row r="3958" spans="8:8" x14ac:dyDescent="0.25">
      <c r="H3958" t="s">
        <v>16770</v>
      </c>
    </row>
    <row r="3959" spans="8:8" x14ac:dyDescent="0.25">
      <c r="H3959" t="s">
        <v>30</v>
      </c>
    </row>
    <row r="3960" spans="8:8" x14ac:dyDescent="0.25">
      <c r="H3960" t="s">
        <v>137</v>
      </c>
    </row>
    <row r="3961" spans="8:8" x14ac:dyDescent="0.25">
      <c r="H3961" t="s">
        <v>16771</v>
      </c>
    </row>
    <row r="3962" spans="8:8" x14ac:dyDescent="0.25">
      <c r="H3962" t="s">
        <v>30</v>
      </c>
    </row>
    <row r="3963" spans="8:8" x14ac:dyDescent="0.25">
      <c r="H3963" t="s">
        <v>138</v>
      </c>
    </row>
    <row r="3964" spans="8:8" x14ac:dyDescent="0.25">
      <c r="H3964" t="s">
        <v>16772</v>
      </c>
    </row>
    <row r="3965" spans="8:8" x14ac:dyDescent="0.25">
      <c r="H3965" t="s">
        <v>30</v>
      </c>
    </row>
    <row r="3967" spans="8:8" x14ac:dyDescent="0.25">
      <c r="H3967" t="s">
        <v>10027</v>
      </c>
    </row>
    <row r="3968" spans="8:8" x14ac:dyDescent="0.25">
      <c r="H3968" t="s">
        <v>10028</v>
      </c>
    </row>
    <row r="3969" spans="8:8" x14ac:dyDescent="0.25">
      <c r="H3969" t="s">
        <v>135</v>
      </c>
    </row>
    <row r="3970" spans="8:8" x14ac:dyDescent="0.25">
      <c r="H3970" t="s">
        <v>16773</v>
      </c>
    </row>
    <row r="3971" spans="8:8" x14ac:dyDescent="0.25">
      <c r="H3971" t="s">
        <v>30</v>
      </c>
    </row>
    <row r="3972" spans="8:8" x14ac:dyDescent="0.25">
      <c r="H3972" t="s">
        <v>136</v>
      </c>
    </row>
    <row r="3973" spans="8:8" x14ac:dyDescent="0.25">
      <c r="H3973" t="s">
        <v>16774</v>
      </c>
    </row>
    <row r="3974" spans="8:8" x14ac:dyDescent="0.25">
      <c r="H3974" t="s">
        <v>30</v>
      </c>
    </row>
    <row r="3975" spans="8:8" x14ac:dyDescent="0.25">
      <c r="H3975" t="s">
        <v>137</v>
      </c>
    </row>
    <row r="3976" spans="8:8" x14ac:dyDescent="0.25">
      <c r="H3976" t="s">
        <v>16775</v>
      </c>
    </row>
    <row r="3977" spans="8:8" x14ac:dyDescent="0.25">
      <c r="H3977" t="s">
        <v>30</v>
      </c>
    </row>
    <row r="3978" spans="8:8" x14ac:dyDescent="0.25">
      <c r="H3978" t="s">
        <v>138</v>
      </c>
    </row>
    <row r="3979" spans="8:8" x14ac:dyDescent="0.25">
      <c r="H3979" t="s">
        <v>16776</v>
      </c>
    </row>
    <row r="3980" spans="8:8" x14ac:dyDescent="0.25">
      <c r="H3980" t="s">
        <v>30</v>
      </c>
    </row>
    <row r="3982" spans="8:8" x14ac:dyDescent="0.25">
      <c r="H3982" t="s">
        <v>10033</v>
      </c>
    </row>
    <row r="3983" spans="8:8" x14ac:dyDescent="0.25">
      <c r="H3983" t="s">
        <v>10034</v>
      </c>
    </row>
    <row r="3984" spans="8:8" x14ac:dyDescent="0.25">
      <c r="H3984" t="s">
        <v>135</v>
      </c>
    </row>
    <row r="3985" spans="8:8" x14ac:dyDescent="0.25">
      <c r="H3985" t="s">
        <v>16777</v>
      </c>
    </row>
    <row r="3986" spans="8:8" x14ac:dyDescent="0.25">
      <c r="H3986" t="s">
        <v>30</v>
      </c>
    </row>
    <row r="3987" spans="8:8" x14ac:dyDescent="0.25">
      <c r="H3987" t="s">
        <v>136</v>
      </c>
    </row>
    <row r="3988" spans="8:8" x14ac:dyDescent="0.25">
      <c r="H3988" t="s">
        <v>16778</v>
      </c>
    </row>
    <row r="3989" spans="8:8" x14ac:dyDescent="0.25">
      <c r="H3989" t="s">
        <v>30</v>
      </c>
    </row>
    <row r="3990" spans="8:8" x14ac:dyDescent="0.25">
      <c r="H3990" t="s">
        <v>137</v>
      </c>
    </row>
    <row r="3991" spans="8:8" x14ac:dyDescent="0.25">
      <c r="H3991" t="s">
        <v>16779</v>
      </c>
    </row>
    <row r="3992" spans="8:8" x14ac:dyDescent="0.25">
      <c r="H3992" t="s">
        <v>30</v>
      </c>
    </row>
    <row r="3993" spans="8:8" x14ac:dyDescent="0.25">
      <c r="H3993" t="s">
        <v>138</v>
      </c>
    </row>
    <row r="3994" spans="8:8" x14ac:dyDescent="0.25">
      <c r="H3994" t="s">
        <v>16780</v>
      </c>
    </row>
    <row r="3995" spans="8:8" x14ac:dyDescent="0.25">
      <c r="H3995" t="s">
        <v>30</v>
      </c>
    </row>
    <row r="3997" spans="8:8" x14ac:dyDescent="0.25">
      <c r="H3997" t="s">
        <v>10039</v>
      </c>
    </row>
    <row r="3998" spans="8:8" x14ac:dyDescent="0.25">
      <c r="H3998" t="s">
        <v>10040</v>
      </c>
    </row>
    <row r="3999" spans="8:8" x14ac:dyDescent="0.25">
      <c r="H3999" t="s">
        <v>135</v>
      </c>
    </row>
    <row r="4000" spans="8:8" x14ac:dyDescent="0.25">
      <c r="H4000" t="s">
        <v>16781</v>
      </c>
    </row>
    <row r="4001" spans="8:8" x14ac:dyDescent="0.25">
      <c r="H4001" t="s">
        <v>30</v>
      </c>
    </row>
    <row r="4002" spans="8:8" x14ac:dyDescent="0.25">
      <c r="H4002" t="s">
        <v>136</v>
      </c>
    </row>
    <row r="4003" spans="8:8" x14ac:dyDescent="0.25">
      <c r="H4003" t="s">
        <v>16782</v>
      </c>
    </row>
    <row r="4004" spans="8:8" x14ac:dyDescent="0.25">
      <c r="H4004" t="s">
        <v>30</v>
      </c>
    </row>
    <row r="4005" spans="8:8" x14ac:dyDescent="0.25">
      <c r="H4005" t="s">
        <v>137</v>
      </c>
    </row>
    <row r="4006" spans="8:8" x14ac:dyDescent="0.25">
      <c r="H4006" t="s">
        <v>16783</v>
      </c>
    </row>
    <row r="4007" spans="8:8" x14ac:dyDescent="0.25">
      <c r="H4007" t="s">
        <v>30</v>
      </c>
    </row>
    <row r="4008" spans="8:8" x14ac:dyDescent="0.25">
      <c r="H4008" t="s">
        <v>138</v>
      </c>
    </row>
    <row r="4009" spans="8:8" x14ac:dyDescent="0.25">
      <c r="H4009" t="s">
        <v>16784</v>
      </c>
    </row>
    <row r="4010" spans="8:8" x14ac:dyDescent="0.25">
      <c r="H4010" t="s">
        <v>30</v>
      </c>
    </row>
    <row r="4012" spans="8:8" x14ac:dyDescent="0.25">
      <c r="H4012" t="s">
        <v>10045</v>
      </c>
    </row>
    <row r="4013" spans="8:8" x14ac:dyDescent="0.25">
      <c r="H4013" t="s">
        <v>10046</v>
      </c>
    </row>
    <row r="4014" spans="8:8" x14ac:dyDescent="0.25">
      <c r="H4014" t="s">
        <v>135</v>
      </c>
    </row>
    <row r="4015" spans="8:8" x14ac:dyDescent="0.25">
      <c r="H4015" t="s">
        <v>16785</v>
      </c>
    </row>
    <row r="4016" spans="8:8" x14ac:dyDescent="0.25">
      <c r="H4016" t="s">
        <v>30</v>
      </c>
    </row>
    <row r="4017" spans="8:8" x14ac:dyDescent="0.25">
      <c r="H4017" t="s">
        <v>136</v>
      </c>
    </row>
    <row r="4018" spans="8:8" x14ac:dyDescent="0.25">
      <c r="H4018" t="s">
        <v>16786</v>
      </c>
    </row>
    <row r="4019" spans="8:8" x14ac:dyDescent="0.25">
      <c r="H4019" t="s">
        <v>30</v>
      </c>
    </row>
    <row r="4020" spans="8:8" x14ac:dyDescent="0.25">
      <c r="H4020" t="s">
        <v>137</v>
      </c>
    </row>
    <row r="4021" spans="8:8" x14ac:dyDescent="0.25">
      <c r="H4021" t="s">
        <v>16787</v>
      </c>
    </row>
    <row r="4022" spans="8:8" x14ac:dyDescent="0.25">
      <c r="H4022" t="s">
        <v>30</v>
      </c>
    </row>
    <row r="4023" spans="8:8" x14ac:dyDescent="0.25">
      <c r="H4023" t="s">
        <v>138</v>
      </c>
    </row>
    <row r="4024" spans="8:8" x14ac:dyDescent="0.25">
      <c r="H4024" t="s">
        <v>16788</v>
      </c>
    </row>
    <row r="4025" spans="8:8" x14ac:dyDescent="0.25">
      <c r="H4025" t="s">
        <v>30</v>
      </c>
    </row>
    <row r="4027" spans="8:8" x14ac:dyDescent="0.25">
      <c r="H4027" t="s">
        <v>10051</v>
      </c>
    </row>
    <row r="4028" spans="8:8" x14ac:dyDescent="0.25">
      <c r="H4028" t="s">
        <v>10052</v>
      </c>
    </row>
    <row r="4029" spans="8:8" x14ac:dyDescent="0.25">
      <c r="H4029" t="s">
        <v>135</v>
      </c>
    </row>
    <row r="4030" spans="8:8" x14ac:dyDescent="0.25">
      <c r="H4030" t="s">
        <v>16789</v>
      </c>
    </row>
    <row r="4031" spans="8:8" x14ac:dyDescent="0.25">
      <c r="H4031" t="s">
        <v>30</v>
      </c>
    </row>
    <row r="4032" spans="8:8" x14ac:dyDescent="0.25">
      <c r="H4032" t="s">
        <v>136</v>
      </c>
    </row>
    <row r="4033" spans="8:8" x14ac:dyDescent="0.25">
      <c r="H4033" t="s">
        <v>16790</v>
      </c>
    </row>
    <row r="4034" spans="8:8" x14ac:dyDescent="0.25">
      <c r="H4034" t="s">
        <v>30</v>
      </c>
    </row>
    <row r="4035" spans="8:8" x14ac:dyDescent="0.25">
      <c r="H4035" t="s">
        <v>137</v>
      </c>
    </row>
    <row r="4036" spans="8:8" x14ac:dyDescent="0.25">
      <c r="H4036" t="s">
        <v>16791</v>
      </c>
    </row>
    <row r="4037" spans="8:8" x14ac:dyDescent="0.25">
      <c r="H4037" t="s">
        <v>30</v>
      </c>
    </row>
    <row r="4038" spans="8:8" x14ac:dyDescent="0.25">
      <c r="H4038" t="s">
        <v>138</v>
      </c>
    </row>
    <row r="4039" spans="8:8" x14ac:dyDescent="0.25">
      <c r="H4039" t="s">
        <v>16792</v>
      </c>
    </row>
    <row r="4040" spans="8:8" x14ac:dyDescent="0.25">
      <c r="H4040" t="s">
        <v>30</v>
      </c>
    </row>
    <row r="4042" spans="8:8" x14ac:dyDescent="0.25">
      <c r="H4042" t="s">
        <v>10057</v>
      </c>
    </row>
    <row r="4043" spans="8:8" x14ac:dyDescent="0.25">
      <c r="H4043" t="s">
        <v>10058</v>
      </c>
    </row>
    <row r="4044" spans="8:8" x14ac:dyDescent="0.25">
      <c r="H4044" t="s">
        <v>135</v>
      </c>
    </row>
    <row r="4045" spans="8:8" x14ac:dyDescent="0.25">
      <c r="H4045" t="s">
        <v>16793</v>
      </c>
    </row>
    <row r="4046" spans="8:8" x14ac:dyDescent="0.25">
      <c r="H4046" t="s">
        <v>30</v>
      </c>
    </row>
    <row r="4047" spans="8:8" x14ac:dyDescent="0.25">
      <c r="H4047" t="s">
        <v>136</v>
      </c>
    </row>
    <row r="4048" spans="8:8" x14ac:dyDescent="0.25">
      <c r="H4048" t="s">
        <v>16794</v>
      </c>
    </row>
    <row r="4049" spans="8:8" x14ac:dyDescent="0.25">
      <c r="H4049" t="s">
        <v>30</v>
      </c>
    </row>
    <row r="4050" spans="8:8" x14ac:dyDescent="0.25">
      <c r="H4050" t="s">
        <v>137</v>
      </c>
    </row>
    <row r="4051" spans="8:8" x14ac:dyDescent="0.25">
      <c r="H4051" t="s">
        <v>16795</v>
      </c>
    </row>
    <row r="4052" spans="8:8" x14ac:dyDescent="0.25">
      <c r="H4052" t="s">
        <v>30</v>
      </c>
    </row>
    <row r="4053" spans="8:8" x14ac:dyDescent="0.25">
      <c r="H4053" t="s">
        <v>138</v>
      </c>
    </row>
    <row r="4054" spans="8:8" x14ac:dyDescent="0.25">
      <c r="H4054" t="s">
        <v>16796</v>
      </c>
    </row>
    <row r="4055" spans="8:8" x14ac:dyDescent="0.25">
      <c r="H4055" t="s">
        <v>30</v>
      </c>
    </row>
    <row r="4057" spans="8:8" x14ac:dyDescent="0.25">
      <c r="H4057" t="s">
        <v>10063</v>
      </c>
    </row>
    <row r="4058" spans="8:8" x14ac:dyDescent="0.25">
      <c r="H4058" t="s">
        <v>10064</v>
      </c>
    </row>
    <row r="4059" spans="8:8" x14ac:dyDescent="0.25">
      <c r="H4059" t="s">
        <v>135</v>
      </c>
    </row>
    <row r="4060" spans="8:8" x14ac:dyDescent="0.25">
      <c r="H4060" t="s">
        <v>16797</v>
      </c>
    </row>
    <row r="4061" spans="8:8" x14ac:dyDescent="0.25">
      <c r="H4061" t="s">
        <v>30</v>
      </c>
    </row>
    <row r="4062" spans="8:8" x14ac:dyDescent="0.25">
      <c r="H4062" t="s">
        <v>136</v>
      </c>
    </row>
    <row r="4063" spans="8:8" x14ac:dyDescent="0.25">
      <c r="H4063" t="s">
        <v>16798</v>
      </c>
    </row>
    <row r="4064" spans="8:8" x14ac:dyDescent="0.25">
      <c r="H4064" t="s">
        <v>30</v>
      </c>
    </row>
    <row r="4065" spans="8:8" x14ac:dyDescent="0.25">
      <c r="H4065" t="s">
        <v>137</v>
      </c>
    </row>
    <row r="4066" spans="8:8" x14ac:dyDescent="0.25">
      <c r="H4066" t="s">
        <v>16799</v>
      </c>
    </row>
    <row r="4067" spans="8:8" x14ac:dyDescent="0.25">
      <c r="H4067" t="s">
        <v>30</v>
      </c>
    </row>
    <row r="4068" spans="8:8" x14ac:dyDescent="0.25">
      <c r="H4068" t="s">
        <v>138</v>
      </c>
    </row>
    <row r="4069" spans="8:8" x14ac:dyDescent="0.25">
      <c r="H4069" t="s">
        <v>16800</v>
      </c>
    </row>
    <row r="4070" spans="8:8" x14ac:dyDescent="0.25">
      <c r="H4070" t="s">
        <v>30</v>
      </c>
    </row>
    <row r="4072" spans="8:8" x14ac:dyDescent="0.25">
      <c r="H4072" t="s">
        <v>10069</v>
      </c>
    </row>
    <row r="4073" spans="8:8" x14ac:dyDescent="0.25">
      <c r="H4073" t="s">
        <v>10070</v>
      </c>
    </row>
    <row r="4074" spans="8:8" x14ac:dyDescent="0.25">
      <c r="H4074" t="s">
        <v>135</v>
      </c>
    </row>
    <row r="4075" spans="8:8" x14ac:dyDescent="0.25">
      <c r="H4075" t="s">
        <v>16801</v>
      </c>
    </row>
    <row r="4076" spans="8:8" x14ac:dyDescent="0.25">
      <c r="H4076" t="s">
        <v>30</v>
      </c>
    </row>
    <row r="4077" spans="8:8" x14ac:dyDescent="0.25">
      <c r="H4077" t="s">
        <v>136</v>
      </c>
    </row>
    <row r="4078" spans="8:8" x14ac:dyDescent="0.25">
      <c r="H4078" t="s">
        <v>16802</v>
      </c>
    </row>
    <row r="4079" spans="8:8" x14ac:dyDescent="0.25">
      <c r="H4079" t="s">
        <v>30</v>
      </c>
    </row>
    <row r="4080" spans="8:8" x14ac:dyDescent="0.25">
      <c r="H4080" t="s">
        <v>137</v>
      </c>
    </row>
    <row r="4081" spans="8:8" x14ac:dyDescent="0.25">
      <c r="H4081" t="s">
        <v>16803</v>
      </c>
    </row>
    <row r="4082" spans="8:8" x14ac:dyDescent="0.25">
      <c r="H4082" t="s">
        <v>30</v>
      </c>
    </row>
    <row r="4083" spans="8:8" x14ac:dyDescent="0.25">
      <c r="H4083" t="s">
        <v>138</v>
      </c>
    </row>
    <row r="4084" spans="8:8" x14ac:dyDescent="0.25">
      <c r="H4084" t="s">
        <v>16804</v>
      </c>
    </row>
    <row r="4085" spans="8:8" x14ac:dyDescent="0.25">
      <c r="H4085" t="s">
        <v>30</v>
      </c>
    </row>
    <row r="4087" spans="8:8" x14ac:dyDescent="0.25">
      <c r="H4087" t="s">
        <v>10075</v>
      </c>
    </row>
    <row r="4088" spans="8:8" x14ac:dyDescent="0.25">
      <c r="H4088" t="s">
        <v>10076</v>
      </c>
    </row>
    <row r="4089" spans="8:8" x14ac:dyDescent="0.25">
      <c r="H4089" t="s">
        <v>135</v>
      </c>
    </row>
    <row r="4090" spans="8:8" x14ac:dyDescent="0.25">
      <c r="H4090" t="s">
        <v>16805</v>
      </c>
    </row>
    <row r="4091" spans="8:8" x14ac:dyDescent="0.25">
      <c r="H4091" t="s">
        <v>30</v>
      </c>
    </row>
    <row r="4092" spans="8:8" x14ac:dyDescent="0.25">
      <c r="H4092" t="s">
        <v>136</v>
      </c>
    </row>
    <row r="4093" spans="8:8" x14ac:dyDescent="0.25">
      <c r="H4093" t="s">
        <v>16806</v>
      </c>
    </row>
    <row r="4094" spans="8:8" x14ac:dyDescent="0.25">
      <c r="H4094" t="s">
        <v>30</v>
      </c>
    </row>
    <row r="4095" spans="8:8" x14ac:dyDescent="0.25">
      <c r="H4095" t="s">
        <v>137</v>
      </c>
    </row>
    <row r="4096" spans="8:8" x14ac:dyDescent="0.25">
      <c r="H4096" t="s">
        <v>16807</v>
      </c>
    </row>
    <row r="4097" spans="8:8" x14ac:dyDescent="0.25">
      <c r="H4097" t="s">
        <v>30</v>
      </c>
    </row>
    <row r="4098" spans="8:8" x14ac:dyDescent="0.25">
      <c r="H4098" t="s">
        <v>138</v>
      </c>
    </row>
    <row r="4099" spans="8:8" x14ac:dyDescent="0.25">
      <c r="H4099" t="s">
        <v>16808</v>
      </c>
    </row>
    <row r="4100" spans="8:8" x14ac:dyDescent="0.25">
      <c r="H4100" t="s">
        <v>30</v>
      </c>
    </row>
    <row r="4102" spans="8:8" x14ac:dyDescent="0.25">
      <c r="H4102" t="s">
        <v>10081</v>
      </c>
    </row>
    <row r="4103" spans="8:8" x14ac:dyDescent="0.25">
      <c r="H4103" t="s">
        <v>10082</v>
      </c>
    </row>
    <row r="4104" spans="8:8" x14ac:dyDescent="0.25">
      <c r="H4104" t="s">
        <v>135</v>
      </c>
    </row>
    <row r="4105" spans="8:8" x14ac:dyDescent="0.25">
      <c r="H4105" t="s">
        <v>16809</v>
      </c>
    </row>
    <row r="4106" spans="8:8" x14ac:dyDescent="0.25">
      <c r="H4106" t="s">
        <v>30</v>
      </c>
    </row>
    <row r="4107" spans="8:8" x14ac:dyDescent="0.25">
      <c r="H4107" t="s">
        <v>136</v>
      </c>
    </row>
    <row r="4108" spans="8:8" x14ac:dyDescent="0.25">
      <c r="H4108" t="s">
        <v>16810</v>
      </c>
    </row>
    <row r="4109" spans="8:8" x14ac:dyDescent="0.25">
      <c r="H4109" t="s">
        <v>30</v>
      </c>
    </row>
    <row r="4110" spans="8:8" x14ac:dyDescent="0.25">
      <c r="H4110" t="s">
        <v>137</v>
      </c>
    </row>
    <row r="4111" spans="8:8" x14ac:dyDescent="0.25">
      <c r="H4111" t="s">
        <v>16811</v>
      </c>
    </row>
    <row r="4112" spans="8:8" x14ac:dyDescent="0.25">
      <c r="H4112" t="s">
        <v>30</v>
      </c>
    </row>
    <row r="4113" spans="8:8" x14ac:dyDescent="0.25">
      <c r="H4113" t="s">
        <v>138</v>
      </c>
    </row>
    <row r="4114" spans="8:8" x14ac:dyDescent="0.25">
      <c r="H4114" t="s">
        <v>16812</v>
      </c>
    </row>
    <row r="4115" spans="8:8" x14ac:dyDescent="0.25">
      <c r="H4115" t="s">
        <v>30</v>
      </c>
    </row>
    <row r="4117" spans="8:8" x14ac:dyDescent="0.25">
      <c r="H4117" t="s">
        <v>10087</v>
      </c>
    </row>
    <row r="4118" spans="8:8" x14ac:dyDescent="0.25">
      <c r="H4118" t="s">
        <v>10088</v>
      </c>
    </row>
    <row r="4119" spans="8:8" x14ac:dyDescent="0.25">
      <c r="H4119" t="s">
        <v>135</v>
      </c>
    </row>
    <row r="4120" spans="8:8" x14ac:dyDescent="0.25">
      <c r="H4120" t="s">
        <v>16813</v>
      </c>
    </row>
    <row r="4121" spans="8:8" x14ac:dyDescent="0.25">
      <c r="H4121" t="s">
        <v>30</v>
      </c>
    </row>
    <row r="4122" spans="8:8" x14ac:dyDescent="0.25">
      <c r="H4122" t="s">
        <v>136</v>
      </c>
    </row>
    <row r="4123" spans="8:8" x14ac:dyDescent="0.25">
      <c r="H4123" t="s">
        <v>16814</v>
      </c>
    </row>
    <row r="4124" spans="8:8" x14ac:dyDescent="0.25">
      <c r="H4124" t="s">
        <v>30</v>
      </c>
    </row>
    <row r="4125" spans="8:8" x14ac:dyDescent="0.25">
      <c r="H4125" t="s">
        <v>137</v>
      </c>
    </row>
    <row r="4126" spans="8:8" x14ac:dyDescent="0.25">
      <c r="H4126" t="s">
        <v>16815</v>
      </c>
    </row>
    <row r="4127" spans="8:8" x14ac:dyDescent="0.25">
      <c r="H4127" t="s">
        <v>30</v>
      </c>
    </row>
    <row r="4128" spans="8:8" x14ac:dyDescent="0.25">
      <c r="H4128" t="s">
        <v>138</v>
      </c>
    </row>
    <row r="4129" spans="8:8" x14ac:dyDescent="0.25">
      <c r="H4129" t="s">
        <v>16816</v>
      </c>
    </row>
    <row r="4130" spans="8:8" x14ac:dyDescent="0.25">
      <c r="H4130" t="s">
        <v>30</v>
      </c>
    </row>
    <row r="4132" spans="8:8" x14ac:dyDescent="0.25">
      <c r="H4132" t="s">
        <v>10093</v>
      </c>
    </row>
    <row r="4133" spans="8:8" x14ac:dyDescent="0.25">
      <c r="H4133" t="s">
        <v>10094</v>
      </c>
    </row>
    <row r="4134" spans="8:8" x14ac:dyDescent="0.25">
      <c r="H4134" t="s">
        <v>135</v>
      </c>
    </row>
    <row r="4135" spans="8:8" x14ac:dyDescent="0.25">
      <c r="H4135" t="s">
        <v>16817</v>
      </c>
    </row>
    <row r="4136" spans="8:8" x14ac:dyDescent="0.25">
      <c r="H4136" t="s">
        <v>30</v>
      </c>
    </row>
    <row r="4137" spans="8:8" x14ac:dyDescent="0.25">
      <c r="H4137" t="s">
        <v>136</v>
      </c>
    </row>
    <row r="4138" spans="8:8" x14ac:dyDescent="0.25">
      <c r="H4138" t="s">
        <v>16818</v>
      </c>
    </row>
    <row r="4139" spans="8:8" x14ac:dyDescent="0.25">
      <c r="H4139" t="s">
        <v>30</v>
      </c>
    </row>
    <row r="4140" spans="8:8" x14ac:dyDescent="0.25">
      <c r="H4140" t="s">
        <v>137</v>
      </c>
    </row>
    <row r="4141" spans="8:8" x14ac:dyDescent="0.25">
      <c r="H4141" t="s">
        <v>16819</v>
      </c>
    </row>
    <row r="4142" spans="8:8" x14ac:dyDescent="0.25">
      <c r="H4142" t="s">
        <v>30</v>
      </c>
    </row>
    <row r="4143" spans="8:8" x14ac:dyDescent="0.25">
      <c r="H4143" t="s">
        <v>138</v>
      </c>
    </row>
    <row r="4144" spans="8:8" x14ac:dyDescent="0.25">
      <c r="H4144" t="s">
        <v>16820</v>
      </c>
    </row>
    <row r="4145" spans="8:8" x14ac:dyDescent="0.25">
      <c r="H4145" t="s">
        <v>30</v>
      </c>
    </row>
    <row r="4147" spans="8:8" x14ac:dyDescent="0.25">
      <c r="H4147" t="s">
        <v>10099</v>
      </c>
    </row>
    <row r="4148" spans="8:8" x14ac:dyDescent="0.25">
      <c r="H4148" t="s">
        <v>10100</v>
      </c>
    </row>
    <row r="4149" spans="8:8" x14ac:dyDescent="0.25">
      <c r="H4149" t="s">
        <v>135</v>
      </c>
    </row>
    <row r="4150" spans="8:8" x14ac:dyDescent="0.25">
      <c r="H4150" t="s">
        <v>16821</v>
      </c>
    </row>
    <row r="4151" spans="8:8" x14ac:dyDescent="0.25">
      <c r="H4151" t="s">
        <v>30</v>
      </c>
    </row>
    <row r="4152" spans="8:8" x14ac:dyDescent="0.25">
      <c r="H4152" t="s">
        <v>136</v>
      </c>
    </row>
    <row r="4153" spans="8:8" x14ac:dyDescent="0.25">
      <c r="H4153" t="s">
        <v>16822</v>
      </c>
    </row>
    <row r="4154" spans="8:8" x14ac:dyDescent="0.25">
      <c r="H4154" t="s">
        <v>30</v>
      </c>
    </row>
    <row r="4155" spans="8:8" x14ac:dyDescent="0.25">
      <c r="H4155" t="s">
        <v>137</v>
      </c>
    </row>
    <row r="4156" spans="8:8" x14ac:dyDescent="0.25">
      <c r="H4156" t="s">
        <v>16823</v>
      </c>
    </row>
    <row r="4157" spans="8:8" x14ac:dyDescent="0.25">
      <c r="H4157" t="s">
        <v>30</v>
      </c>
    </row>
    <row r="4158" spans="8:8" x14ac:dyDescent="0.25">
      <c r="H4158" t="s">
        <v>138</v>
      </c>
    </row>
    <row r="4159" spans="8:8" x14ac:dyDescent="0.25">
      <c r="H4159" t="s">
        <v>16824</v>
      </c>
    </row>
    <row r="4160" spans="8:8" x14ac:dyDescent="0.25">
      <c r="H4160" t="s">
        <v>30</v>
      </c>
    </row>
    <row r="4162" spans="8:8" x14ac:dyDescent="0.25">
      <c r="H4162" t="s">
        <v>10105</v>
      </c>
    </row>
    <row r="4163" spans="8:8" x14ac:dyDescent="0.25">
      <c r="H4163" t="s">
        <v>10106</v>
      </c>
    </row>
    <row r="4164" spans="8:8" x14ac:dyDescent="0.25">
      <c r="H4164" t="s">
        <v>135</v>
      </c>
    </row>
    <row r="4165" spans="8:8" x14ac:dyDescent="0.25">
      <c r="H4165" t="s">
        <v>16825</v>
      </c>
    </row>
    <row r="4166" spans="8:8" x14ac:dyDescent="0.25">
      <c r="H4166" t="s">
        <v>30</v>
      </c>
    </row>
    <row r="4167" spans="8:8" x14ac:dyDescent="0.25">
      <c r="H4167" t="s">
        <v>136</v>
      </c>
    </row>
    <row r="4168" spans="8:8" x14ac:dyDescent="0.25">
      <c r="H4168" t="s">
        <v>16826</v>
      </c>
    </row>
    <row r="4169" spans="8:8" x14ac:dyDescent="0.25">
      <c r="H4169" t="s">
        <v>30</v>
      </c>
    </row>
    <row r="4170" spans="8:8" x14ac:dyDescent="0.25">
      <c r="H4170" t="s">
        <v>137</v>
      </c>
    </row>
    <row r="4171" spans="8:8" x14ac:dyDescent="0.25">
      <c r="H4171" t="s">
        <v>16827</v>
      </c>
    </row>
    <row r="4172" spans="8:8" x14ac:dyDescent="0.25">
      <c r="H4172" t="s">
        <v>30</v>
      </c>
    </row>
    <row r="4173" spans="8:8" x14ac:dyDescent="0.25">
      <c r="H4173" t="s">
        <v>138</v>
      </c>
    </row>
    <row r="4174" spans="8:8" x14ac:dyDescent="0.25">
      <c r="H4174" t="s">
        <v>16828</v>
      </c>
    </row>
    <row r="4175" spans="8:8" x14ac:dyDescent="0.25">
      <c r="H4175" t="s">
        <v>30</v>
      </c>
    </row>
    <row r="4177" spans="8:8" x14ac:dyDescent="0.25">
      <c r="H4177" t="s">
        <v>10111</v>
      </c>
    </row>
    <row r="4178" spans="8:8" x14ac:dyDescent="0.25">
      <c r="H4178" t="s">
        <v>10112</v>
      </c>
    </row>
    <row r="4179" spans="8:8" x14ac:dyDescent="0.25">
      <c r="H4179" t="s">
        <v>135</v>
      </c>
    </row>
    <row r="4180" spans="8:8" x14ac:dyDescent="0.25">
      <c r="H4180" t="s">
        <v>16829</v>
      </c>
    </row>
    <row r="4181" spans="8:8" x14ac:dyDescent="0.25">
      <c r="H4181" t="s">
        <v>30</v>
      </c>
    </row>
    <row r="4182" spans="8:8" x14ac:dyDescent="0.25">
      <c r="H4182" t="s">
        <v>136</v>
      </c>
    </row>
    <row r="4183" spans="8:8" x14ac:dyDescent="0.25">
      <c r="H4183" t="s">
        <v>16830</v>
      </c>
    </row>
    <row r="4184" spans="8:8" x14ac:dyDescent="0.25">
      <c r="H4184" t="s">
        <v>30</v>
      </c>
    </row>
    <row r="4185" spans="8:8" x14ac:dyDescent="0.25">
      <c r="H4185" t="s">
        <v>137</v>
      </c>
    </row>
    <row r="4186" spans="8:8" x14ac:dyDescent="0.25">
      <c r="H4186" t="s">
        <v>16831</v>
      </c>
    </row>
    <row r="4187" spans="8:8" x14ac:dyDescent="0.25">
      <c r="H4187" t="s">
        <v>30</v>
      </c>
    </row>
    <row r="4188" spans="8:8" x14ac:dyDescent="0.25">
      <c r="H4188" t="s">
        <v>138</v>
      </c>
    </row>
    <row r="4189" spans="8:8" x14ac:dyDescent="0.25">
      <c r="H4189" t="s">
        <v>16832</v>
      </c>
    </row>
    <row r="4190" spans="8:8" x14ac:dyDescent="0.25">
      <c r="H4190" t="s">
        <v>30</v>
      </c>
    </row>
    <row r="4192" spans="8:8" x14ac:dyDescent="0.25">
      <c r="H4192" t="s">
        <v>10117</v>
      </c>
    </row>
    <row r="4193" spans="8:8" x14ac:dyDescent="0.25">
      <c r="H4193" t="s">
        <v>10118</v>
      </c>
    </row>
    <row r="4194" spans="8:8" x14ac:dyDescent="0.25">
      <c r="H4194" t="s">
        <v>135</v>
      </c>
    </row>
    <row r="4195" spans="8:8" x14ac:dyDescent="0.25">
      <c r="H4195" t="s">
        <v>16833</v>
      </c>
    </row>
    <row r="4196" spans="8:8" x14ac:dyDescent="0.25">
      <c r="H4196" t="s">
        <v>30</v>
      </c>
    </row>
    <row r="4197" spans="8:8" x14ac:dyDescent="0.25">
      <c r="H4197" t="s">
        <v>136</v>
      </c>
    </row>
    <row r="4198" spans="8:8" x14ac:dyDescent="0.25">
      <c r="H4198" t="s">
        <v>16834</v>
      </c>
    </row>
    <row r="4199" spans="8:8" x14ac:dyDescent="0.25">
      <c r="H4199" t="s">
        <v>30</v>
      </c>
    </row>
    <row r="4200" spans="8:8" x14ac:dyDescent="0.25">
      <c r="H4200" t="s">
        <v>137</v>
      </c>
    </row>
    <row r="4201" spans="8:8" x14ac:dyDescent="0.25">
      <c r="H4201" t="s">
        <v>16835</v>
      </c>
    </row>
    <row r="4202" spans="8:8" x14ac:dyDescent="0.25">
      <c r="H4202" t="s">
        <v>30</v>
      </c>
    </row>
    <row r="4203" spans="8:8" x14ac:dyDescent="0.25">
      <c r="H4203" t="s">
        <v>138</v>
      </c>
    </row>
    <row r="4204" spans="8:8" x14ac:dyDescent="0.25">
      <c r="H4204" t="s">
        <v>16836</v>
      </c>
    </row>
    <row r="4205" spans="8:8" x14ac:dyDescent="0.25">
      <c r="H4205" t="s">
        <v>30</v>
      </c>
    </row>
    <row r="4207" spans="8:8" x14ac:dyDescent="0.25">
      <c r="H4207" t="s">
        <v>10123</v>
      </c>
    </row>
    <row r="4208" spans="8:8" x14ac:dyDescent="0.25">
      <c r="H4208" t="s">
        <v>10124</v>
      </c>
    </row>
    <row r="4209" spans="8:8" x14ac:dyDescent="0.25">
      <c r="H4209" t="s">
        <v>135</v>
      </c>
    </row>
    <row r="4210" spans="8:8" x14ac:dyDescent="0.25">
      <c r="H4210" t="s">
        <v>16837</v>
      </c>
    </row>
    <row r="4211" spans="8:8" x14ac:dyDescent="0.25">
      <c r="H4211" t="s">
        <v>30</v>
      </c>
    </row>
    <row r="4212" spans="8:8" x14ac:dyDescent="0.25">
      <c r="H4212" t="s">
        <v>136</v>
      </c>
    </row>
    <row r="4213" spans="8:8" x14ac:dyDescent="0.25">
      <c r="H4213" t="s">
        <v>16838</v>
      </c>
    </row>
    <row r="4214" spans="8:8" x14ac:dyDescent="0.25">
      <c r="H4214" t="s">
        <v>30</v>
      </c>
    </row>
    <row r="4215" spans="8:8" x14ac:dyDescent="0.25">
      <c r="H4215" t="s">
        <v>137</v>
      </c>
    </row>
    <row r="4216" spans="8:8" x14ac:dyDescent="0.25">
      <c r="H4216" t="s">
        <v>16839</v>
      </c>
    </row>
    <row r="4217" spans="8:8" x14ac:dyDescent="0.25">
      <c r="H4217" t="s">
        <v>30</v>
      </c>
    </row>
    <row r="4218" spans="8:8" x14ac:dyDescent="0.25">
      <c r="H4218" t="s">
        <v>138</v>
      </c>
    </row>
    <row r="4219" spans="8:8" x14ac:dyDescent="0.25">
      <c r="H4219" t="s">
        <v>16840</v>
      </c>
    </row>
    <row r="4220" spans="8:8" x14ac:dyDescent="0.25">
      <c r="H4220" t="s">
        <v>30</v>
      </c>
    </row>
    <row r="4222" spans="8:8" x14ac:dyDescent="0.25">
      <c r="H4222" t="s">
        <v>10129</v>
      </c>
    </row>
    <row r="4223" spans="8:8" x14ac:dyDescent="0.25">
      <c r="H4223" t="s">
        <v>10130</v>
      </c>
    </row>
    <row r="4224" spans="8:8" x14ac:dyDescent="0.25">
      <c r="H4224" t="s">
        <v>135</v>
      </c>
    </row>
    <row r="4225" spans="8:8" x14ac:dyDescent="0.25">
      <c r="H4225" t="s">
        <v>16841</v>
      </c>
    </row>
    <row r="4226" spans="8:8" x14ac:dyDescent="0.25">
      <c r="H4226" t="s">
        <v>30</v>
      </c>
    </row>
    <row r="4227" spans="8:8" x14ac:dyDescent="0.25">
      <c r="H4227" t="s">
        <v>136</v>
      </c>
    </row>
    <row r="4228" spans="8:8" x14ac:dyDescent="0.25">
      <c r="H4228" t="s">
        <v>16842</v>
      </c>
    </row>
    <row r="4229" spans="8:8" x14ac:dyDescent="0.25">
      <c r="H4229" t="s">
        <v>30</v>
      </c>
    </row>
    <row r="4230" spans="8:8" x14ac:dyDescent="0.25">
      <c r="H4230" t="s">
        <v>137</v>
      </c>
    </row>
    <row r="4231" spans="8:8" x14ac:dyDescent="0.25">
      <c r="H4231" t="s">
        <v>16843</v>
      </c>
    </row>
    <row r="4232" spans="8:8" x14ac:dyDescent="0.25">
      <c r="H4232" t="s">
        <v>30</v>
      </c>
    </row>
    <row r="4233" spans="8:8" x14ac:dyDescent="0.25">
      <c r="H4233" t="s">
        <v>138</v>
      </c>
    </row>
    <row r="4234" spans="8:8" x14ac:dyDescent="0.25">
      <c r="H4234" t="s">
        <v>16844</v>
      </c>
    </row>
    <row r="4235" spans="8:8" x14ac:dyDescent="0.25">
      <c r="H4235" t="s">
        <v>30</v>
      </c>
    </row>
    <row r="4237" spans="8:8" x14ac:dyDescent="0.25">
      <c r="H4237" t="s">
        <v>10135</v>
      </c>
    </row>
    <row r="4238" spans="8:8" x14ac:dyDescent="0.25">
      <c r="H4238" t="s">
        <v>10136</v>
      </c>
    </row>
    <row r="4239" spans="8:8" x14ac:dyDescent="0.25">
      <c r="H4239" t="s">
        <v>135</v>
      </c>
    </row>
    <row r="4240" spans="8:8" x14ac:dyDescent="0.25">
      <c r="H4240" t="s">
        <v>16845</v>
      </c>
    </row>
    <row r="4241" spans="8:8" x14ac:dyDescent="0.25">
      <c r="H4241" t="s">
        <v>30</v>
      </c>
    </row>
    <row r="4242" spans="8:8" x14ac:dyDescent="0.25">
      <c r="H4242" t="s">
        <v>136</v>
      </c>
    </row>
    <row r="4243" spans="8:8" x14ac:dyDescent="0.25">
      <c r="H4243" t="s">
        <v>16846</v>
      </c>
    </row>
    <row r="4244" spans="8:8" x14ac:dyDescent="0.25">
      <c r="H4244" t="s">
        <v>30</v>
      </c>
    </row>
    <row r="4245" spans="8:8" x14ac:dyDescent="0.25">
      <c r="H4245" t="s">
        <v>137</v>
      </c>
    </row>
    <row r="4246" spans="8:8" x14ac:dyDescent="0.25">
      <c r="H4246" t="s">
        <v>16847</v>
      </c>
    </row>
    <row r="4247" spans="8:8" x14ac:dyDescent="0.25">
      <c r="H4247" t="s">
        <v>30</v>
      </c>
    </row>
    <row r="4248" spans="8:8" x14ac:dyDescent="0.25">
      <c r="H4248" t="s">
        <v>138</v>
      </c>
    </row>
    <row r="4249" spans="8:8" x14ac:dyDescent="0.25">
      <c r="H4249" t="s">
        <v>16848</v>
      </c>
    </row>
    <row r="4250" spans="8:8" x14ac:dyDescent="0.25">
      <c r="H4250" t="s">
        <v>30</v>
      </c>
    </row>
    <row r="4252" spans="8:8" x14ac:dyDescent="0.25">
      <c r="H4252" t="s">
        <v>10141</v>
      </c>
    </row>
    <row r="4253" spans="8:8" x14ac:dyDescent="0.25">
      <c r="H4253" t="s">
        <v>10142</v>
      </c>
    </row>
    <row r="4254" spans="8:8" x14ac:dyDescent="0.25">
      <c r="H4254" t="s">
        <v>135</v>
      </c>
    </row>
    <row r="4255" spans="8:8" x14ac:dyDescent="0.25">
      <c r="H4255" t="s">
        <v>16849</v>
      </c>
    </row>
    <row r="4256" spans="8:8" x14ac:dyDescent="0.25">
      <c r="H4256" t="s">
        <v>30</v>
      </c>
    </row>
    <row r="4257" spans="8:8" x14ac:dyDescent="0.25">
      <c r="H4257" t="s">
        <v>136</v>
      </c>
    </row>
    <row r="4258" spans="8:8" x14ac:dyDescent="0.25">
      <c r="H4258" t="s">
        <v>16850</v>
      </c>
    </row>
    <row r="4259" spans="8:8" x14ac:dyDescent="0.25">
      <c r="H4259" t="s">
        <v>30</v>
      </c>
    </row>
    <row r="4260" spans="8:8" x14ac:dyDescent="0.25">
      <c r="H4260" t="s">
        <v>137</v>
      </c>
    </row>
    <row r="4261" spans="8:8" x14ac:dyDescent="0.25">
      <c r="H4261" t="s">
        <v>16851</v>
      </c>
    </row>
    <row r="4262" spans="8:8" x14ac:dyDescent="0.25">
      <c r="H4262" t="s">
        <v>30</v>
      </c>
    </row>
    <row r="4263" spans="8:8" x14ac:dyDescent="0.25">
      <c r="H4263" t="s">
        <v>138</v>
      </c>
    </row>
    <row r="4264" spans="8:8" x14ac:dyDescent="0.25">
      <c r="H4264" t="s">
        <v>16852</v>
      </c>
    </row>
    <row r="4265" spans="8:8" x14ac:dyDescent="0.25">
      <c r="H4265" t="s">
        <v>30</v>
      </c>
    </row>
    <row r="4267" spans="8:8" x14ac:dyDescent="0.25">
      <c r="H4267" t="s">
        <v>10147</v>
      </c>
    </row>
    <row r="4268" spans="8:8" x14ac:dyDescent="0.25">
      <c r="H4268" t="s">
        <v>10148</v>
      </c>
    </row>
    <row r="4269" spans="8:8" x14ac:dyDescent="0.25">
      <c r="H4269" t="s">
        <v>135</v>
      </c>
    </row>
    <row r="4270" spans="8:8" x14ac:dyDescent="0.25">
      <c r="H4270" t="s">
        <v>16853</v>
      </c>
    </row>
    <row r="4271" spans="8:8" x14ac:dyDescent="0.25">
      <c r="H4271" t="s">
        <v>30</v>
      </c>
    </row>
    <row r="4272" spans="8:8" x14ac:dyDescent="0.25">
      <c r="H4272" t="s">
        <v>136</v>
      </c>
    </row>
    <row r="4273" spans="8:8" x14ac:dyDescent="0.25">
      <c r="H4273" t="s">
        <v>16854</v>
      </c>
    </row>
    <row r="4274" spans="8:8" x14ac:dyDescent="0.25">
      <c r="H4274" t="s">
        <v>30</v>
      </c>
    </row>
    <row r="4275" spans="8:8" x14ac:dyDescent="0.25">
      <c r="H4275" t="s">
        <v>137</v>
      </c>
    </row>
    <row r="4276" spans="8:8" x14ac:dyDescent="0.25">
      <c r="H4276" t="s">
        <v>16855</v>
      </c>
    </row>
    <row r="4277" spans="8:8" x14ac:dyDescent="0.25">
      <c r="H4277" t="s">
        <v>30</v>
      </c>
    </row>
    <row r="4278" spans="8:8" x14ac:dyDescent="0.25">
      <c r="H4278" t="s">
        <v>138</v>
      </c>
    </row>
    <row r="4279" spans="8:8" x14ac:dyDescent="0.25">
      <c r="H4279" t="s">
        <v>16856</v>
      </c>
    </row>
    <row r="4280" spans="8:8" x14ac:dyDescent="0.25">
      <c r="H4280" t="s">
        <v>30</v>
      </c>
    </row>
    <row r="4282" spans="8:8" x14ac:dyDescent="0.25">
      <c r="H4282" t="s">
        <v>10153</v>
      </c>
    </row>
    <row r="4283" spans="8:8" x14ac:dyDescent="0.25">
      <c r="H4283" t="s">
        <v>10154</v>
      </c>
    </row>
    <row r="4284" spans="8:8" x14ac:dyDescent="0.25">
      <c r="H4284" t="s">
        <v>135</v>
      </c>
    </row>
    <row r="4285" spans="8:8" x14ac:dyDescent="0.25">
      <c r="H4285" t="s">
        <v>16857</v>
      </c>
    </row>
    <row r="4286" spans="8:8" x14ac:dyDescent="0.25">
      <c r="H4286" t="s">
        <v>30</v>
      </c>
    </row>
    <row r="4287" spans="8:8" x14ac:dyDescent="0.25">
      <c r="H4287" t="s">
        <v>136</v>
      </c>
    </row>
    <row r="4288" spans="8:8" x14ac:dyDescent="0.25">
      <c r="H4288" t="s">
        <v>16858</v>
      </c>
    </row>
    <row r="4289" spans="8:8" x14ac:dyDescent="0.25">
      <c r="H4289" t="s">
        <v>30</v>
      </c>
    </row>
    <row r="4290" spans="8:8" x14ac:dyDescent="0.25">
      <c r="H4290" t="s">
        <v>137</v>
      </c>
    </row>
    <row r="4291" spans="8:8" x14ac:dyDescent="0.25">
      <c r="H4291" t="s">
        <v>16859</v>
      </c>
    </row>
    <row r="4292" spans="8:8" x14ac:dyDescent="0.25">
      <c r="H4292" t="s">
        <v>30</v>
      </c>
    </row>
    <row r="4293" spans="8:8" x14ac:dyDescent="0.25">
      <c r="H4293" t="s">
        <v>138</v>
      </c>
    </row>
    <row r="4294" spans="8:8" x14ac:dyDescent="0.25">
      <c r="H4294" t="s">
        <v>16860</v>
      </c>
    </row>
    <row r="4295" spans="8:8" x14ac:dyDescent="0.25">
      <c r="H4295" t="s">
        <v>30</v>
      </c>
    </row>
    <row r="4297" spans="8:8" x14ac:dyDescent="0.25">
      <c r="H4297" t="s">
        <v>10159</v>
      </c>
    </row>
    <row r="4298" spans="8:8" x14ac:dyDescent="0.25">
      <c r="H4298" t="s">
        <v>10160</v>
      </c>
    </row>
    <row r="4299" spans="8:8" x14ac:dyDescent="0.25">
      <c r="H4299" t="s">
        <v>135</v>
      </c>
    </row>
    <row r="4300" spans="8:8" x14ac:dyDescent="0.25">
      <c r="H4300" t="s">
        <v>16861</v>
      </c>
    </row>
    <row r="4301" spans="8:8" x14ac:dyDescent="0.25">
      <c r="H4301" t="s">
        <v>30</v>
      </c>
    </row>
    <row r="4302" spans="8:8" x14ac:dyDescent="0.25">
      <c r="H4302" t="s">
        <v>136</v>
      </c>
    </row>
    <row r="4303" spans="8:8" x14ac:dyDescent="0.25">
      <c r="H4303" t="s">
        <v>16862</v>
      </c>
    </row>
    <row r="4304" spans="8:8" x14ac:dyDescent="0.25">
      <c r="H4304" t="s">
        <v>30</v>
      </c>
    </row>
    <row r="4305" spans="8:8" x14ac:dyDescent="0.25">
      <c r="H4305" t="s">
        <v>137</v>
      </c>
    </row>
    <row r="4306" spans="8:8" x14ac:dyDescent="0.25">
      <c r="H4306" t="s">
        <v>16863</v>
      </c>
    </row>
    <row r="4307" spans="8:8" x14ac:dyDescent="0.25">
      <c r="H4307" t="s">
        <v>30</v>
      </c>
    </row>
    <row r="4308" spans="8:8" x14ac:dyDescent="0.25">
      <c r="H4308" t="s">
        <v>138</v>
      </c>
    </row>
    <row r="4309" spans="8:8" x14ac:dyDescent="0.25">
      <c r="H4309" t="s">
        <v>16864</v>
      </c>
    </row>
    <row r="4310" spans="8:8" x14ac:dyDescent="0.25">
      <c r="H4310" t="s">
        <v>30</v>
      </c>
    </row>
    <row r="4312" spans="8:8" x14ac:dyDescent="0.25">
      <c r="H4312" t="s">
        <v>10165</v>
      </c>
    </row>
    <row r="4313" spans="8:8" x14ac:dyDescent="0.25">
      <c r="H4313" t="s">
        <v>10166</v>
      </c>
    </row>
    <row r="4314" spans="8:8" x14ac:dyDescent="0.25">
      <c r="H4314" t="s">
        <v>135</v>
      </c>
    </row>
    <row r="4315" spans="8:8" x14ac:dyDescent="0.25">
      <c r="H4315" t="s">
        <v>16865</v>
      </c>
    </row>
    <row r="4316" spans="8:8" x14ac:dyDescent="0.25">
      <c r="H4316" t="s">
        <v>30</v>
      </c>
    </row>
    <row r="4317" spans="8:8" x14ac:dyDescent="0.25">
      <c r="H4317" t="s">
        <v>136</v>
      </c>
    </row>
    <row r="4318" spans="8:8" x14ac:dyDescent="0.25">
      <c r="H4318" t="s">
        <v>16866</v>
      </c>
    </row>
    <row r="4319" spans="8:8" x14ac:dyDescent="0.25">
      <c r="H4319" t="s">
        <v>30</v>
      </c>
    </row>
    <row r="4320" spans="8:8" x14ac:dyDescent="0.25">
      <c r="H4320" t="s">
        <v>137</v>
      </c>
    </row>
    <row r="4321" spans="8:8" x14ac:dyDescent="0.25">
      <c r="H4321" t="s">
        <v>16867</v>
      </c>
    </row>
    <row r="4322" spans="8:8" x14ac:dyDescent="0.25">
      <c r="H4322" t="s">
        <v>30</v>
      </c>
    </row>
    <row r="4323" spans="8:8" x14ac:dyDescent="0.25">
      <c r="H4323" t="s">
        <v>138</v>
      </c>
    </row>
    <row r="4324" spans="8:8" x14ac:dyDescent="0.25">
      <c r="H4324" t="s">
        <v>16868</v>
      </c>
    </row>
    <row r="4325" spans="8:8" x14ac:dyDescent="0.25">
      <c r="H4325" t="s">
        <v>30</v>
      </c>
    </row>
    <row r="4327" spans="8:8" x14ac:dyDescent="0.25">
      <c r="H4327" t="s">
        <v>10171</v>
      </c>
    </row>
    <row r="4328" spans="8:8" x14ac:dyDescent="0.25">
      <c r="H4328" t="s">
        <v>10172</v>
      </c>
    </row>
    <row r="4329" spans="8:8" x14ac:dyDescent="0.25">
      <c r="H4329" t="s">
        <v>135</v>
      </c>
    </row>
    <row r="4330" spans="8:8" x14ac:dyDescent="0.25">
      <c r="H4330" t="s">
        <v>16869</v>
      </c>
    </row>
    <row r="4331" spans="8:8" x14ac:dyDescent="0.25">
      <c r="H4331" t="s">
        <v>30</v>
      </c>
    </row>
    <row r="4332" spans="8:8" x14ac:dyDescent="0.25">
      <c r="H4332" t="s">
        <v>136</v>
      </c>
    </row>
    <row r="4333" spans="8:8" x14ac:dyDescent="0.25">
      <c r="H4333" t="s">
        <v>16870</v>
      </c>
    </row>
    <row r="4334" spans="8:8" x14ac:dyDescent="0.25">
      <c r="H4334" t="s">
        <v>30</v>
      </c>
    </row>
    <row r="4335" spans="8:8" x14ac:dyDescent="0.25">
      <c r="H4335" t="s">
        <v>137</v>
      </c>
    </row>
    <row r="4336" spans="8:8" x14ac:dyDescent="0.25">
      <c r="H4336" t="s">
        <v>16871</v>
      </c>
    </row>
    <row r="4337" spans="8:8" x14ac:dyDescent="0.25">
      <c r="H4337" t="s">
        <v>30</v>
      </c>
    </row>
    <row r="4338" spans="8:8" x14ac:dyDescent="0.25">
      <c r="H4338" t="s">
        <v>138</v>
      </c>
    </row>
    <row r="4339" spans="8:8" x14ac:dyDescent="0.25">
      <c r="H4339" t="s">
        <v>16872</v>
      </c>
    </row>
    <row r="4340" spans="8:8" x14ac:dyDescent="0.25">
      <c r="H4340" t="s">
        <v>30</v>
      </c>
    </row>
    <row r="4342" spans="8:8" x14ac:dyDescent="0.25">
      <c r="H4342" t="s">
        <v>10177</v>
      </c>
    </row>
    <row r="4343" spans="8:8" x14ac:dyDescent="0.25">
      <c r="H4343" t="s">
        <v>10178</v>
      </c>
    </row>
    <row r="4344" spans="8:8" x14ac:dyDescent="0.25">
      <c r="H4344" t="s">
        <v>135</v>
      </c>
    </row>
    <row r="4345" spans="8:8" x14ac:dyDescent="0.25">
      <c r="H4345" t="s">
        <v>16873</v>
      </c>
    </row>
    <row r="4346" spans="8:8" x14ac:dyDescent="0.25">
      <c r="H4346" t="s">
        <v>30</v>
      </c>
    </row>
    <row r="4347" spans="8:8" x14ac:dyDescent="0.25">
      <c r="H4347" t="s">
        <v>136</v>
      </c>
    </row>
    <row r="4348" spans="8:8" x14ac:dyDescent="0.25">
      <c r="H4348" t="s">
        <v>16874</v>
      </c>
    </row>
    <row r="4349" spans="8:8" x14ac:dyDescent="0.25">
      <c r="H4349" t="s">
        <v>30</v>
      </c>
    </row>
    <row r="4350" spans="8:8" x14ac:dyDescent="0.25">
      <c r="H4350" t="s">
        <v>137</v>
      </c>
    </row>
    <row r="4351" spans="8:8" x14ac:dyDescent="0.25">
      <c r="H4351" t="s">
        <v>16875</v>
      </c>
    </row>
    <row r="4352" spans="8:8" x14ac:dyDescent="0.25">
      <c r="H4352" t="s">
        <v>30</v>
      </c>
    </row>
    <row r="4353" spans="8:8" x14ac:dyDescent="0.25">
      <c r="H4353" t="s">
        <v>138</v>
      </c>
    </row>
    <row r="4354" spans="8:8" x14ac:dyDescent="0.25">
      <c r="H4354" t="s">
        <v>16876</v>
      </c>
    </row>
    <row r="4355" spans="8:8" x14ac:dyDescent="0.25">
      <c r="H4355" t="s">
        <v>30</v>
      </c>
    </row>
    <row r="4357" spans="8:8" x14ac:dyDescent="0.25">
      <c r="H4357" t="s">
        <v>10183</v>
      </c>
    </row>
    <row r="4358" spans="8:8" x14ac:dyDescent="0.25">
      <c r="H4358" t="s">
        <v>10184</v>
      </c>
    </row>
    <row r="4359" spans="8:8" x14ac:dyDescent="0.25">
      <c r="H4359" t="s">
        <v>135</v>
      </c>
    </row>
    <row r="4360" spans="8:8" x14ac:dyDescent="0.25">
      <c r="H4360" t="s">
        <v>16877</v>
      </c>
    </row>
    <row r="4361" spans="8:8" x14ac:dyDescent="0.25">
      <c r="H4361" t="s">
        <v>30</v>
      </c>
    </row>
    <row r="4362" spans="8:8" x14ac:dyDescent="0.25">
      <c r="H4362" t="s">
        <v>136</v>
      </c>
    </row>
    <row r="4363" spans="8:8" x14ac:dyDescent="0.25">
      <c r="H4363" t="s">
        <v>16878</v>
      </c>
    </row>
    <row r="4364" spans="8:8" x14ac:dyDescent="0.25">
      <c r="H4364" t="s">
        <v>30</v>
      </c>
    </row>
    <row r="4365" spans="8:8" x14ac:dyDescent="0.25">
      <c r="H4365" t="s">
        <v>137</v>
      </c>
    </row>
    <row r="4366" spans="8:8" x14ac:dyDescent="0.25">
      <c r="H4366" t="s">
        <v>16879</v>
      </c>
    </row>
    <row r="4367" spans="8:8" x14ac:dyDescent="0.25">
      <c r="H4367" t="s">
        <v>30</v>
      </c>
    </row>
    <row r="4368" spans="8:8" x14ac:dyDescent="0.25">
      <c r="H4368" t="s">
        <v>138</v>
      </c>
    </row>
    <row r="4369" spans="8:8" x14ac:dyDescent="0.25">
      <c r="H4369" t="s">
        <v>16880</v>
      </c>
    </row>
    <row r="4370" spans="8:8" x14ac:dyDescent="0.25">
      <c r="H4370" t="s">
        <v>30</v>
      </c>
    </row>
    <row r="4372" spans="8:8" x14ac:dyDescent="0.25">
      <c r="H4372" t="s">
        <v>10189</v>
      </c>
    </row>
    <row r="4373" spans="8:8" x14ac:dyDescent="0.25">
      <c r="H4373" t="s">
        <v>10190</v>
      </c>
    </row>
    <row r="4374" spans="8:8" x14ac:dyDescent="0.25">
      <c r="H4374" t="s">
        <v>135</v>
      </c>
    </row>
    <row r="4375" spans="8:8" x14ac:dyDescent="0.25">
      <c r="H4375" t="s">
        <v>16881</v>
      </c>
    </row>
    <row r="4376" spans="8:8" x14ac:dyDescent="0.25">
      <c r="H4376" t="s">
        <v>30</v>
      </c>
    </row>
    <row r="4377" spans="8:8" x14ac:dyDescent="0.25">
      <c r="H4377" t="s">
        <v>136</v>
      </c>
    </row>
    <row r="4378" spans="8:8" x14ac:dyDescent="0.25">
      <c r="H4378" t="s">
        <v>16882</v>
      </c>
    </row>
    <row r="4379" spans="8:8" x14ac:dyDescent="0.25">
      <c r="H4379" t="s">
        <v>30</v>
      </c>
    </row>
    <row r="4380" spans="8:8" x14ac:dyDescent="0.25">
      <c r="H4380" t="s">
        <v>137</v>
      </c>
    </row>
    <row r="4381" spans="8:8" x14ac:dyDescent="0.25">
      <c r="H4381" t="s">
        <v>16883</v>
      </c>
    </row>
    <row r="4382" spans="8:8" x14ac:dyDescent="0.25">
      <c r="H4382" t="s">
        <v>30</v>
      </c>
    </row>
    <row r="4383" spans="8:8" x14ac:dyDescent="0.25">
      <c r="H4383" t="s">
        <v>138</v>
      </c>
    </row>
    <row r="4384" spans="8:8" x14ac:dyDescent="0.25">
      <c r="H4384" t="s">
        <v>16884</v>
      </c>
    </row>
    <row r="4385" spans="8:8" x14ac:dyDescent="0.25">
      <c r="H4385" t="s">
        <v>30</v>
      </c>
    </row>
    <row r="4387" spans="8:8" x14ac:dyDescent="0.25">
      <c r="H4387" t="s">
        <v>10195</v>
      </c>
    </row>
    <row r="4388" spans="8:8" x14ac:dyDescent="0.25">
      <c r="H4388" t="s">
        <v>10196</v>
      </c>
    </row>
    <row r="4389" spans="8:8" x14ac:dyDescent="0.25">
      <c r="H4389" t="s">
        <v>135</v>
      </c>
    </row>
    <row r="4390" spans="8:8" x14ac:dyDescent="0.25">
      <c r="H4390" t="s">
        <v>16885</v>
      </c>
    </row>
    <row r="4391" spans="8:8" x14ac:dyDescent="0.25">
      <c r="H4391" t="s">
        <v>30</v>
      </c>
    </row>
    <row r="4392" spans="8:8" x14ac:dyDescent="0.25">
      <c r="H4392" t="s">
        <v>136</v>
      </c>
    </row>
    <row r="4393" spans="8:8" x14ac:dyDescent="0.25">
      <c r="H4393" t="s">
        <v>16886</v>
      </c>
    </row>
    <row r="4394" spans="8:8" x14ac:dyDescent="0.25">
      <c r="H4394" t="s">
        <v>30</v>
      </c>
    </row>
    <row r="4395" spans="8:8" x14ac:dyDescent="0.25">
      <c r="H4395" t="s">
        <v>137</v>
      </c>
    </row>
    <row r="4396" spans="8:8" x14ac:dyDescent="0.25">
      <c r="H4396" t="s">
        <v>16887</v>
      </c>
    </row>
    <row r="4397" spans="8:8" x14ac:dyDescent="0.25">
      <c r="H4397" t="s">
        <v>30</v>
      </c>
    </row>
    <row r="4398" spans="8:8" x14ac:dyDescent="0.25">
      <c r="H4398" t="s">
        <v>138</v>
      </c>
    </row>
    <row r="4399" spans="8:8" x14ac:dyDescent="0.25">
      <c r="H4399" t="s">
        <v>16888</v>
      </c>
    </row>
    <row r="4400" spans="8:8" x14ac:dyDescent="0.25">
      <c r="H4400" t="s">
        <v>30</v>
      </c>
    </row>
    <row r="4402" spans="8:8" x14ac:dyDescent="0.25">
      <c r="H4402" t="s">
        <v>10201</v>
      </c>
    </row>
    <row r="4403" spans="8:8" x14ac:dyDescent="0.25">
      <c r="H4403" t="s">
        <v>10202</v>
      </c>
    </row>
    <row r="4404" spans="8:8" x14ac:dyDescent="0.25">
      <c r="H4404" t="s">
        <v>135</v>
      </c>
    </row>
    <row r="4405" spans="8:8" x14ac:dyDescent="0.25">
      <c r="H4405" t="s">
        <v>16889</v>
      </c>
    </row>
    <row r="4406" spans="8:8" x14ac:dyDescent="0.25">
      <c r="H4406" t="s">
        <v>30</v>
      </c>
    </row>
    <row r="4407" spans="8:8" x14ac:dyDescent="0.25">
      <c r="H4407" t="s">
        <v>136</v>
      </c>
    </row>
    <row r="4408" spans="8:8" x14ac:dyDescent="0.25">
      <c r="H4408" t="s">
        <v>16890</v>
      </c>
    </row>
    <row r="4409" spans="8:8" x14ac:dyDescent="0.25">
      <c r="H4409" t="s">
        <v>30</v>
      </c>
    </row>
    <row r="4410" spans="8:8" x14ac:dyDescent="0.25">
      <c r="H4410" t="s">
        <v>137</v>
      </c>
    </row>
    <row r="4411" spans="8:8" x14ac:dyDescent="0.25">
      <c r="H4411" t="s">
        <v>16891</v>
      </c>
    </row>
    <row r="4412" spans="8:8" x14ac:dyDescent="0.25">
      <c r="H4412" t="s">
        <v>30</v>
      </c>
    </row>
    <row r="4413" spans="8:8" x14ac:dyDescent="0.25">
      <c r="H4413" t="s">
        <v>138</v>
      </c>
    </row>
    <row r="4414" spans="8:8" x14ac:dyDescent="0.25">
      <c r="H4414" t="s">
        <v>16892</v>
      </c>
    </row>
    <row r="4415" spans="8:8" x14ac:dyDescent="0.25">
      <c r="H4415" t="s">
        <v>30</v>
      </c>
    </row>
    <row r="4417" spans="8:8" x14ac:dyDescent="0.25">
      <c r="H4417" t="s">
        <v>10207</v>
      </c>
    </row>
    <row r="4418" spans="8:8" x14ac:dyDescent="0.25">
      <c r="H4418" t="s">
        <v>10208</v>
      </c>
    </row>
    <row r="4419" spans="8:8" x14ac:dyDescent="0.25">
      <c r="H4419" t="s">
        <v>135</v>
      </c>
    </row>
    <row r="4420" spans="8:8" x14ac:dyDescent="0.25">
      <c r="H4420" t="s">
        <v>16893</v>
      </c>
    </row>
    <row r="4421" spans="8:8" x14ac:dyDescent="0.25">
      <c r="H4421" t="s">
        <v>30</v>
      </c>
    </row>
    <row r="4422" spans="8:8" x14ac:dyDescent="0.25">
      <c r="H4422" t="s">
        <v>136</v>
      </c>
    </row>
    <row r="4423" spans="8:8" x14ac:dyDescent="0.25">
      <c r="H4423" t="s">
        <v>16894</v>
      </c>
    </row>
    <row r="4424" spans="8:8" x14ac:dyDescent="0.25">
      <c r="H4424" t="s">
        <v>30</v>
      </c>
    </row>
    <row r="4425" spans="8:8" x14ac:dyDescent="0.25">
      <c r="H4425" t="s">
        <v>137</v>
      </c>
    </row>
    <row r="4426" spans="8:8" x14ac:dyDescent="0.25">
      <c r="H4426" t="s">
        <v>16895</v>
      </c>
    </row>
    <row r="4427" spans="8:8" x14ac:dyDescent="0.25">
      <c r="H4427" t="s">
        <v>30</v>
      </c>
    </row>
    <row r="4428" spans="8:8" x14ac:dyDescent="0.25">
      <c r="H4428" t="s">
        <v>138</v>
      </c>
    </row>
    <row r="4429" spans="8:8" x14ac:dyDescent="0.25">
      <c r="H4429" t="s">
        <v>16896</v>
      </c>
    </row>
    <row r="4430" spans="8:8" x14ac:dyDescent="0.25">
      <c r="H4430" t="s">
        <v>30</v>
      </c>
    </row>
    <row r="4432" spans="8:8" x14ac:dyDescent="0.25">
      <c r="H4432" t="s">
        <v>10213</v>
      </c>
    </row>
    <row r="4433" spans="8:8" x14ac:dyDescent="0.25">
      <c r="H4433" t="s">
        <v>10214</v>
      </c>
    </row>
    <row r="4434" spans="8:8" x14ac:dyDescent="0.25">
      <c r="H4434" t="s">
        <v>135</v>
      </c>
    </row>
    <row r="4435" spans="8:8" x14ac:dyDescent="0.25">
      <c r="H4435" t="s">
        <v>16897</v>
      </c>
    </row>
    <row r="4436" spans="8:8" x14ac:dyDescent="0.25">
      <c r="H4436" t="s">
        <v>30</v>
      </c>
    </row>
    <row r="4437" spans="8:8" x14ac:dyDescent="0.25">
      <c r="H4437" t="s">
        <v>136</v>
      </c>
    </row>
    <row r="4438" spans="8:8" x14ac:dyDescent="0.25">
      <c r="H4438" t="s">
        <v>16898</v>
      </c>
    </row>
    <row r="4439" spans="8:8" x14ac:dyDescent="0.25">
      <c r="H4439" t="s">
        <v>30</v>
      </c>
    </row>
    <row r="4440" spans="8:8" x14ac:dyDescent="0.25">
      <c r="H4440" t="s">
        <v>137</v>
      </c>
    </row>
    <row r="4441" spans="8:8" x14ac:dyDescent="0.25">
      <c r="H4441" t="s">
        <v>16899</v>
      </c>
    </row>
    <row r="4442" spans="8:8" x14ac:dyDescent="0.25">
      <c r="H4442" t="s">
        <v>30</v>
      </c>
    </row>
    <row r="4443" spans="8:8" x14ac:dyDescent="0.25">
      <c r="H4443" t="s">
        <v>138</v>
      </c>
    </row>
    <row r="4444" spans="8:8" x14ac:dyDescent="0.25">
      <c r="H4444" t="s">
        <v>16900</v>
      </c>
    </row>
    <row r="4445" spans="8:8" x14ac:dyDescent="0.25">
      <c r="H4445" t="s">
        <v>30</v>
      </c>
    </row>
    <row r="4447" spans="8:8" x14ac:dyDescent="0.25">
      <c r="H4447" t="s">
        <v>10219</v>
      </c>
    </row>
    <row r="4448" spans="8:8" x14ac:dyDescent="0.25">
      <c r="H4448" t="s">
        <v>10220</v>
      </c>
    </row>
    <row r="4449" spans="8:8" x14ac:dyDescent="0.25">
      <c r="H4449" t="s">
        <v>135</v>
      </c>
    </row>
    <row r="4450" spans="8:8" x14ac:dyDescent="0.25">
      <c r="H4450" t="s">
        <v>16901</v>
      </c>
    </row>
    <row r="4451" spans="8:8" x14ac:dyDescent="0.25">
      <c r="H4451" t="s">
        <v>30</v>
      </c>
    </row>
    <row r="4452" spans="8:8" x14ac:dyDescent="0.25">
      <c r="H4452" t="s">
        <v>136</v>
      </c>
    </row>
    <row r="4453" spans="8:8" x14ac:dyDescent="0.25">
      <c r="H4453" t="s">
        <v>16902</v>
      </c>
    </row>
    <row r="4454" spans="8:8" x14ac:dyDescent="0.25">
      <c r="H4454" t="s">
        <v>30</v>
      </c>
    </row>
    <row r="4455" spans="8:8" x14ac:dyDescent="0.25">
      <c r="H4455" t="s">
        <v>137</v>
      </c>
    </row>
    <row r="4456" spans="8:8" x14ac:dyDescent="0.25">
      <c r="H4456" t="s">
        <v>16903</v>
      </c>
    </row>
    <row r="4457" spans="8:8" x14ac:dyDescent="0.25">
      <c r="H4457" t="s">
        <v>30</v>
      </c>
    </row>
    <row r="4458" spans="8:8" x14ac:dyDescent="0.25">
      <c r="H4458" t="s">
        <v>138</v>
      </c>
    </row>
    <row r="4459" spans="8:8" x14ac:dyDescent="0.25">
      <c r="H4459" t="s">
        <v>16904</v>
      </c>
    </row>
    <row r="4460" spans="8:8" x14ac:dyDescent="0.25">
      <c r="H4460" t="s">
        <v>30</v>
      </c>
    </row>
    <row r="4462" spans="8:8" x14ac:dyDescent="0.25">
      <c r="H4462" t="s">
        <v>10225</v>
      </c>
    </row>
    <row r="4463" spans="8:8" x14ac:dyDescent="0.25">
      <c r="H4463" t="s">
        <v>10226</v>
      </c>
    </row>
    <row r="4464" spans="8:8" x14ac:dyDescent="0.25">
      <c r="H4464" t="s">
        <v>135</v>
      </c>
    </row>
    <row r="4465" spans="8:8" x14ac:dyDescent="0.25">
      <c r="H4465" t="s">
        <v>16905</v>
      </c>
    </row>
    <row r="4466" spans="8:8" x14ac:dyDescent="0.25">
      <c r="H4466" t="s">
        <v>30</v>
      </c>
    </row>
    <row r="4467" spans="8:8" x14ac:dyDescent="0.25">
      <c r="H4467" t="s">
        <v>136</v>
      </c>
    </row>
    <row r="4468" spans="8:8" x14ac:dyDescent="0.25">
      <c r="H4468" t="s">
        <v>16906</v>
      </c>
    </row>
    <row r="4469" spans="8:8" x14ac:dyDescent="0.25">
      <c r="H4469" t="s">
        <v>30</v>
      </c>
    </row>
    <row r="4470" spans="8:8" x14ac:dyDescent="0.25">
      <c r="H4470" t="s">
        <v>137</v>
      </c>
    </row>
    <row r="4471" spans="8:8" x14ac:dyDescent="0.25">
      <c r="H4471" t="s">
        <v>16907</v>
      </c>
    </row>
    <row r="4472" spans="8:8" x14ac:dyDescent="0.25">
      <c r="H4472" t="s">
        <v>30</v>
      </c>
    </row>
    <row r="4473" spans="8:8" x14ac:dyDescent="0.25">
      <c r="H4473" t="s">
        <v>138</v>
      </c>
    </row>
    <row r="4474" spans="8:8" x14ac:dyDescent="0.25">
      <c r="H4474" t="s">
        <v>16908</v>
      </c>
    </row>
    <row r="4475" spans="8:8" x14ac:dyDescent="0.25">
      <c r="H4475" t="s">
        <v>30</v>
      </c>
    </row>
    <row r="4477" spans="8:8" x14ac:dyDescent="0.25">
      <c r="H4477" t="s">
        <v>10231</v>
      </c>
    </row>
    <row r="4478" spans="8:8" x14ac:dyDescent="0.25">
      <c r="H4478" t="s">
        <v>10232</v>
      </c>
    </row>
    <row r="4479" spans="8:8" x14ac:dyDescent="0.25">
      <c r="H4479" t="s">
        <v>135</v>
      </c>
    </row>
    <row r="4480" spans="8:8" x14ac:dyDescent="0.25">
      <c r="H4480" t="s">
        <v>16909</v>
      </c>
    </row>
    <row r="4481" spans="8:8" x14ac:dyDescent="0.25">
      <c r="H4481" t="s">
        <v>30</v>
      </c>
    </row>
    <row r="4482" spans="8:8" x14ac:dyDescent="0.25">
      <c r="H4482" t="s">
        <v>136</v>
      </c>
    </row>
    <row r="4483" spans="8:8" x14ac:dyDescent="0.25">
      <c r="H4483" t="s">
        <v>16910</v>
      </c>
    </row>
    <row r="4484" spans="8:8" x14ac:dyDescent="0.25">
      <c r="H4484" t="s">
        <v>30</v>
      </c>
    </row>
    <row r="4485" spans="8:8" x14ac:dyDescent="0.25">
      <c r="H4485" t="s">
        <v>137</v>
      </c>
    </row>
    <row r="4486" spans="8:8" x14ac:dyDescent="0.25">
      <c r="H4486" t="s">
        <v>16911</v>
      </c>
    </row>
    <row r="4487" spans="8:8" x14ac:dyDescent="0.25">
      <c r="H4487" t="s">
        <v>30</v>
      </c>
    </row>
    <row r="4488" spans="8:8" x14ac:dyDescent="0.25">
      <c r="H4488" t="s">
        <v>138</v>
      </c>
    </row>
    <row r="4489" spans="8:8" x14ac:dyDescent="0.25">
      <c r="H4489" t="s">
        <v>16912</v>
      </c>
    </row>
    <row r="4490" spans="8:8" x14ac:dyDescent="0.25">
      <c r="H4490" t="s">
        <v>30</v>
      </c>
    </row>
    <row r="4492" spans="8:8" x14ac:dyDescent="0.25">
      <c r="H4492" t="s">
        <v>10237</v>
      </c>
    </row>
    <row r="4493" spans="8:8" x14ac:dyDescent="0.25">
      <c r="H4493" t="s">
        <v>10238</v>
      </c>
    </row>
    <row r="4494" spans="8:8" x14ac:dyDescent="0.25">
      <c r="H4494" t="s">
        <v>135</v>
      </c>
    </row>
    <row r="4495" spans="8:8" x14ac:dyDescent="0.25">
      <c r="H4495" t="s">
        <v>16913</v>
      </c>
    </row>
    <row r="4496" spans="8:8" x14ac:dyDescent="0.25">
      <c r="H4496" t="s">
        <v>30</v>
      </c>
    </row>
    <row r="4497" spans="8:8" x14ac:dyDescent="0.25">
      <c r="H4497" t="s">
        <v>136</v>
      </c>
    </row>
    <row r="4498" spans="8:8" x14ac:dyDescent="0.25">
      <c r="H4498" t="s">
        <v>16914</v>
      </c>
    </row>
    <row r="4499" spans="8:8" x14ac:dyDescent="0.25">
      <c r="H4499" t="s">
        <v>30</v>
      </c>
    </row>
    <row r="4500" spans="8:8" x14ac:dyDescent="0.25">
      <c r="H4500" t="s">
        <v>137</v>
      </c>
    </row>
    <row r="4501" spans="8:8" x14ac:dyDescent="0.25">
      <c r="H4501" t="s">
        <v>16915</v>
      </c>
    </row>
    <row r="4502" spans="8:8" x14ac:dyDescent="0.25">
      <c r="H4502" t="s">
        <v>30</v>
      </c>
    </row>
    <row r="4503" spans="8:8" x14ac:dyDescent="0.25">
      <c r="H4503" t="s">
        <v>138</v>
      </c>
    </row>
    <row r="4504" spans="8:8" x14ac:dyDescent="0.25">
      <c r="H4504" t="s">
        <v>16916</v>
      </c>
    </row>
    <row r="4505" spans="8:8" x14ac:dyDescent="0.25">
      <c r="H4505" t="s">
        <v>30</v>
      </c>
    </row>
    <row r="4507" spans="8:8" x14ac:dyDescent="0.25">
      <c r="H4507" t="s">
        <v>10243</v>
      </c>
    </row>
    <row r="4508" spans="8:8" x14ac:dyDescent="0.25">
      <c r="H4508" t="s">
        <v>10244</v>
      </c>
    </row>
    <row r="4509" spans="8:8" x14ac:dyDescent="0.25">
      <c r="H4509" t="s">
        <v>135</v>
      </c>
    </row>
    <row r="4510" spans="8:8" x14ac:dyDescent="0.25">
      <c r="H4510" t="s">
        <v>16917</v>
      </c>
    </row>
    <row r="4511" spans="8:8" x14ac:dyDescent="0.25">
      <c r="H4511" t="s">
        <v>30</v>
      </c>
    </row>
    <row r="4512" spans="8:8" x14ac:dyDescent="0.25">
      <c r="H4512" t="s">
        <v>136</v>
      </c>
    </row>
    <row r="4513" spans="8:8" x14ac:dyDescent="0.25">
      <c r="H4513" t="s">
        <v>16918</v>
      </c>
    </row>
    <row r="4514" spans="8:8" x14ac:dyDescent="0.25">
      <c r="H4514" t="s">
        <v>30</v>
      </c>
    </row>
    <row r="4515" spans="8:8" x14ac:dyDescent="0.25">
      <c r="H4515" t="s">
        <v>137</v>
      </c>
    </row>
    <row r="4516" spans="8:8" x14ac:dyDescent="0.25">
      <c r="H4516" t="s">
        <v>16919</v>
      </c>
    </row>
    <row r="4517" spans="8:8" x14ac:dyDescent="0.25">
      <c r="H4517" t="s">
        <v>30</v>
      </c>
    </row>
    <row r="4518" spans="8:8" x14ac:dyDescent="0.25">
      <c r="H4518" t="s">
        <v>138</v>
      </c>
    </row>
    <row r="4519" spans="8:8" x14ac:dyDescent="0.25">
      <c r="H4519" t="s">
        <v>16920</v>
      </c>
    </row>
    <row r="4520" spans="8:8" x14ac:dyDescent="0.25">
      <c r="H4520" t="s">
        <v>30</v>
      </c>
    </row>
    <row r="4522" spans="8:8" x14ac:dyDescent="0.25">
      <c r="H4522" t="s">
        <v>10249</v>
      </c>
    </row>
    <row r="4523" spans="8:8" x14ac:dyDescent="0.25">
      <c r="H4523" t="s">
        <v>10250</v>
      </c>
    </row>
    <row r="4524" spans="8:8" x14ac:dyDescent="0.25">
      <c r="H4524" t="s">
        <v>135</v>
      </c>
    </row>
    <row r="4525" spans="8:8" x14ac:dyDescent="0.25">
      <c r="H4525" t="s">
        <v>16921</v>
      </c>
    </row>
    <row r="4526" spans="8:8" x14ac:dyDescent="0.25">
      <c r="H4526" t="s">
        <v>30</v>
      </c>
    </row>
    <row r="4527" spans="8:8" x14ac:dyDescent="0.25">
      <c r="H4527" t="s">
        <v>136</v>
      </c>
    </row>
    <row r="4528" spans="8:8" x14ac:dyDescent="0.25">
      <c r="H4528" t="s">
        <v>16922</v>
      </c>
    </row>
    <row r="4529" spans="8:8" x14ac:dyDescent="0.25">
      <c r="H4529" t="s">
        <v>30</v>
      </c>
    </row>
    <row r="4530" spans="8:8" x14ac:dyDescent="0.25">
      <c r="H4530" t="s">
        <v>137</v>
      </c>
    </row>
    <row r="4531" spans="8:8" x14ac:dyDescent="0.25">
      <c r="H4531" t="s">
        <v>16923</v>
      </c>
    </row>
    <row r="4532" spans="8:8" x14ac:dyDescent="0.25">
      <c r="H4532" t="s">
        <v>30</v>
      </c>
    </row>
    <row r="4533" spans="8:8" x14ac:dyDescent="0.25">
      <c r="H4533" t="s">
        <v>138</v>
      </c>
    </row>
    <row r="4534" spans="8:8" x14ac:dyDescent="0.25">
      <c r="H4534" t="s">
        <v>16924</v>
      </c>
    </row>
    <row r="4535" spans="8:8" x14ac:dyDescent="0.25">
      <c r="H4535" t="s">
        <v>30</v>
      </c>
    </row>
    <row r="4537" spans="8:8" x14ac:dyDescent="0.25">
      <c r="H4537" t="s">
        <v>10255</v>
      </c>
    </row>
    <row r="4538" spans="8:8" x14ac:dyDescent="0.25">
      <c r="H4538" t="s">
        <v>10256</v>
      </c>
    </row>
    <row r="4539" spans="8:8" x14ac:dyDescent="0.25">
      <c r="H4539" t="s">
        <v>135</v>
      </c>
    </row>
    <row r="4540" spans="8:8" x14ac:dyDescent="0.25">
      <c r="H4540" t="s">
        <v>16925</v>
      </c>
    </row>
    <row r="4541" spans="8:8" x14ac:dyDescent="0.25">
      <c r="H4541" t="s">
        <v>30</v>
      </c>
    </row>
    <row r="4542" spans="8:8" x14ac:dyDescent="0.25">
      <c r="H4542" t="s">
        <v>136</v>
      </c>
    </row>
    <row r="4543" spans="8:8" x14ac:dyDescent="0.25">
      <c r="H4543" t="s">
        <v>16926</v>
      </c>
    </row>
    <row r="4544" spans="8:8" x14ac:dyDescent="0.25">
      <c r="H4544" t="s">
        <v>30</v>
      </c>
    </row>
    <row r="4545" spans="8:8" x14ac:dyDescent="0.25">
      <c r="H4545" t="s">
        <v>137</v>
      </c>
    </row>
    <row r="4546" spans="8:8" x14ac:dyDescent="0.25">
      <c r="H4546" t="s">
        <v>16927</v>
      </c>
    </row>
    <row r="4547" spans="8:8" x14ac:dyDescent="0.25">
      <c r="H4547" t="s">
        <v>30</v>
      </c>
    </row>
    <row r="4548" spans="8:8" x14ac:dyDescent="0.25">
      <c r="H4548" t="s">
        <v>138</v>
      </c>
    </row>
    <row r="4549" spans="8:8" x14ac:dyDescent="0.25">
      <c r="H4549" t="s">
        <v>16928</v>
      </c>
    </row>
    <row r="4550" spans="8:8" x14ac:dyDescent="0.25">
      <c r="H4550" t="s">
        <v>30</v>
      </c>
    </row>
    <row r="4552" spans="8:8" x14ac:dyDescent="0.25">
      <c r="H4552" t="s">
        <v>10261</v>
      </c>
    </row>
    <row r="4553" spans="8:8" x14ac:dyDescent="0.25">
      <c r="H4553" t="s">
        <v>10262</v>
      </c>
    </row>
    <row r="4554" spans="8:8" x14ac:dyDescent="0.25">
      <c r="H4554" t="s">
        <v>135</v>
      </c>
    </row>
    <row r="4555" spans="8:8" x14ac:dyDescent="0.25">
      <c r="H4555" t="s">
        <v>16929</v>
      </c>
    </row>
    <row r="4556" spans="8:8" x14ac:dyDescent="0.25">
      <c r="H4556" t="s">
        <v>30</v>
      </c>
    </row>
    <row r="4557" spans="8:8" x14ac:dyDescent="0.25">
      <c r="H4557" t="s">
        <v>136</v>
      </c>
    </row>
    <row r="4558" spans="8:8" x14ac:dyDescent="0.25">
      <c r="H4558" t="s">
        <v>16930</v>
      </c>
    </row>
    <row r="4559" spans="8:8" x14ac:dyDescent="0.25">
      <c r="H4559" t="s">
        <v>30</v>
      </c>
    </row>
    <row r="4560" spans="8:8" x14ac:dyDescent="0.25">
      <c r="H4560" t="s">
        <v>137</v>
      </c>
    </row>
    <row r="4561" spans="8:8" x14ac:dyDescent="0.25">
      <c r="H4561" t="s">
        <v>16931</v>
      </c>
    </row>
    <row r="4562" spans="8:8" x14ac:dyDescent="0.25">
      <c r="H4562" t="s">
        <v>30</v>
      </c>
    </row>
    <row r="4563" spans="8:8" x14ac:dyDescent="0.25">
      <c r="H4563" t="s">
        <v>138</v>
      </c>
    </row>
    <row r="4564" spans="8:8" x14ac:dyDescent="0.25">
      <c r="H4564" t="s">
        <v>16932</v>
      </c>
    </row>
    <row r="4565" spans="8:8" x14ac:dyDescent="0.25">
      <c r="H4565" t="s">
        <v>30</v>
      </c>
    </row>
    <row r="4567" spans="8:8" x14ac:dyDescent="0.25">
      <c r="H4567" t="s">
        <v>10267</v>
      </c>
    </row>
    <row r="4568" spans="8:8" x14ac:dyDescent="0.25">
      <c r="H4568" t="s">
        <v>10268</v>
      </c>
    </row>
    <row r="4569" spans="8:8" x14ac:dyDescent="0.25">
      <c r="H4569" t="s">
        <v>135</v>
      </c>
    </row>
    <row r="4570" spans="8:8" x14ac:dyDescent="0.25">
      <c r="H4570" t="s">
        <v>16933</v>
      </c>
    </row>
    <row r="4571" spans="8:8" x14ac:dyDescent="0.25">
      <c r="H4571" t="s">
        <v>30</v>
      </c>
    </row>
    <row r="4572" spans="8:8" x14ac:dyDescent="0.25">
      <c r="H4572" t="s">
        <v>136</v>
      </c>
    </row>
    <row r="4573" spans="8:8" x14ac:dyDescent="0.25">
      <c r="H4573" t="s">
        <v>16934</v>
      </c>
    </row>
    <row r="4574" spans="8:8" x14ac:dyDescent="0.25">
      <c r="H4574" t="s">
        <v>30</v>
      </c>
    </row>
    <row r="4575" spans="8:8" x14ac:dyDescent="0.25">
      <c r="H4575" t="s">
        <v>137</v>
      </c>
    </row>
    <row r="4576" spans="8:8" x14ac:dyDescent="0.25">
      <c r="H4576" t="s">
        <v>16935</v>
      </c>
    </row>
    <row r="4577" spans="8:8" x14ac:dyDescent="0.25">
      <c r="H4577" t="s">
        <v>30</v>
      </c>
    </row>
    <row r="4578" spans="8:8" x14ac:dyDescent="0.25">
      <c r="H4578" t="s">
        <v>138</v>
      </c>
    </row>
    <row r="4579" spans="8:8" x14ac:dyDescent="0.25">
      <c r="H4579" t="s">
        <v>16936</v>
      </c>
    </row>
    <row r="4580" spans="8:8" x14ac:dyDescent="0.25">
      <c r="H4580" t="s">
        <v>30</v>
      </c>
    </row>
    <row r="4582" spans="8:8" x14ac:dyDescent="0.25">
      <c r="H4582" t="s">
        <v>10273</v>
      </c>
    </row>
    <row r="4583" spans="8:8" x14ac:dyDescent="0.25">
      <c r="H4583" t="s">
        <v>10274</v>
      </c>
    </row>
    <row r="4584" spans="8:8" x14ac:dyDescent="0.25">
      <c r="H4584" t="s">
        <v>135</v>
      </c>
    </row>
    <row r="4585" spans="8:8" x14ac:dyDescent="0.25">
      <c r="H4585" t="s">
        <v>16937</v>
      </c>
    </row>
    <row r="4586" spans="8:8" x14ac:dyDescent="0.25">
      <c r="H4586" t="s">
        <v>30</v>
      </c>
    </row>
    <row r="4587" spans="8:8" x14ac:dyDescent="0.25">
      <c r="H4587" t="s">
        <v>136</v>
      </c>
    </row>
    <row r="4588" spans="8:8" x14ac:dyDescent="0.25">
      <c r="H4588" t="s">
        <v>16938</v>
      </c>
    </row>
    <row r="4589" spans="8:8" x14ac:dyDescent="0.25">
      <c r="H4589" t="s">
        <v>30</v>
      </c>
    </row>
    <row r="4590" spans="8:8" x14ac:dyDescent="0.25">
      <c r="H4590" t="s">
        <v>137</v>
      </c>
    </row>
    <row r="4591" spans="8:8" x14ac:dyDescent="0.25">
      <c r="H4591" t="s">
        <v>16939</v>
      </c>
    </row>
    <row r="4592" spans="8:8" x14ac:dyDescent="0.25">
      <c r="H4592" t="s">
        <v>30</v>
      </c>
    </row>
    <row r="4593" spans="8:8" x14ac:dyDescent="0.25">
      <c r="H4593" t="s">
        <v>138</v>
      </c>
    </row>
    <row r="4594" spans="8:8" x14ac:dyDescent="0.25">
      <c r="H4594" t="s">
        <v>16940</v>
      </c>
    </row>
    <row r="4595" spans="8:8" x14ac:dyDescent="0.25">
      <c r="H4595" t="s">
        <v>30</v>
      </c>
    </row>
    <row r="4597" spans="8:8" x14ac:dyDescent="0.25">
      <c r="H4597" t="s">
        <v>10279</v>
      </c>
    </row>
    <row r="4598" spans="8:8" x14ac:dyDescent="0.25">
      <c r="H4598" t="s">
        <v>10280</v>
      </c>
    </row>
    <row r="4599" spans="8:8" x14ac:dyDescent="0.25">
      <c r="H4599" t="s">
        <v>135</v>
      </c>
    </row>
    <row r="4600" spans="8:8" x14ac:dyDescent="0.25">
      <c r="H4600" t="s">
        <v>16941</v>
      </c>
    </row>
    <row r="4601" spans="8:8" x14ac:dyDescent="0.25">
      <c r="H4601" t="s">
        <v>30</v>
      </c>
    </row>
    <row r="4602" spans="8:8" x14ac:dyDescent="0.25">
      <c r="H4602" t="s">
        <v>136</v>
      </c>
    </row>
    <row r="4603" spans="8:8" x14ac:dyDescent="0.25">
      <c r="H4603" t="s">
        <v>16942</v>
      </c>
    </row>
    <row r="4604" spans="8:8" x14ac:dyDescent="0.25">
      <c r="H4604" t="s">
        <v>30</v>
      </c>
    </row>
    <row r="4605" spans="8:8" x14ac:dyDescent="0.25">
      <c r="H4605" t="s">
        <v>137</v>
      </c>
    </row>
    <row r="4606" spans="8:8" x14ac:dyDescent="0.25">
      <c r="H4606" t="s">
        <v>16943</v>
      </c>
    </row>
    <row r="4607" spans="8:8" x14ac:dyDescent="0.25">
      <c r="H4607" t="s">
        <v>30</v>
      </c>
    </row>
    <row r="4608" spans="8:8" x14ac:dyDescent="0.25">
      <c r="H4608" t="s">
        <v>138</v>
      </c>
    </row>
    <row r="4609" spans="8:8" x14ac:dyDescent="0.25">
      <c r="H4609" t="s">
        <v>16944</v>
      </c>
    </row>
    <row r="4610" spans="8:8" x14ac:dyDescent="0.25">
      <c r="H4610" t="s">
        <v>30</v>
      </c>
    </row>
    <row r="4612" spans="8:8" x14ac:dyDescent="0.25">
      <c r="H4612" t="s">
        <v>10285</v>
      </c>
    </row>
    <row r="4613" spans="8:8" x14ac:dyDescent="0.25">
      <c r="H4613" t="s">
        <v>10286</v>
      </c>
    </row>
    <row r="4614" spans="8:8" x14ac:dyDescent="0.25">
      <c r="H4614" t="s">
        <v>135</v>
      </c>
    </row>
    <row r="4615" spans="8:8" x14ac:dyDescent="0.25">
      <c r="H4615" t="s">
        <v>16945</v>
      </c>
    </row>
    <row r="4616" spans="8:8" x14ac:dyDescent="0.25">
      <c r="H4616" t="s">
        <v>30</v>
      </c>
    </row>
    <row r="4617" spans="8:8" x14ac:dyDescent="0.25">
      <c r="H4617" t="s">
        <v>136</v>
      </c>
    </row>
    <row r="4618" spans="8:8" x14ac:dyDescent="0.25">
      <c r="H4618" t="s">
        <v>16946</v>
      </c>
    </row>
    <row r="4619" spans="8:8" x14ac:dyDescent="0.25">
      <c r="H4619" t="s">
        <v>30</v>
      </c>
    </row>
    <row r="4620" spans="8:8" x14ac:dyDescent="0.25">
      <c r="H4620" t="s">
        <v>137</v>
      </c>
    </row>
    <row r="4621" spans="8:8" x14ac:dyDescent="0.25">
      <c r="H4621" t="s">
        <v>16947</v>
      </c>
    </row>
    <row r="4622" spans="8:8" x14ac:dyDescent="0.25">
      <c r="H4622" t="s">
        <v>30</v>
      </c>
    </row>
    <row r="4623" spans="8:8" x14ac:dyDescent="0.25">
      <c r="H4623" t="s">
        <v>138</v>
      </c>
    </row>
    <row r="4624" spans="8:8" x14ac:dyDescent="0.25">
      <c r="H4624" t="s">
        <v>16948</v>
      </c>
    </row>
    <row r="4625" spans="8:8" x14ac:dyDescent="0.25">
      <c r="H4625" t="s">
        <v>30</v>
      </c>
    </row>
    <row r="4627" spans="8:8" x14ac:dyDescent="0.25">
      <c r="H4627" t="s">
        <v>10291</v>
      </c>
    </row>
    <row r="4628" spans="8:8" x14ac:dyDescent="0.25">
      <c r="H4628" t="s">
        <v>10292</v>
      </c>
    </row>
    <row r="4629" spans="8:8" x14ac:dyDescent="0.25">
      <c r="H4629" t="s">
        <v>135</v>
      </c>
    </row>
    <row r="4630" spans="8:8" x14ac:dyDescent="0.25">
      <c r="H4630" t="s">
        <v>16949</v>
      </c>
    </row>
    <row r="4631" spans="8:8" x14ac:dyDescent="0.25">
      <c r="H4631" t="s">
        <v>30</v>
      </c>
    </row>
    <row r="4632" spans="8:8" x14ac:dyDescent="0.25">
      <c r="H4632" t="s">
        <v>136</v>
      </c>
    </row>
    <row r="4633" spans="8:8" x14ac:dyDescent="0.25">
      <c r="H4633" t="s">
        <v>16950</v>
      </c>
    </row>
    <row r="4634" spans="8:8" x14ac:dyDescent="0.25">
      <c r="H4634" t="s">
        <v>30</v>
      </c>
    </row>
    <row r="4635" spans="8:8" x14ac:dyDescent="0.25">
      <c r="H4635" t="s">
        <v>137</v>
      </c>
    </row>
    <row r="4636" spans="8:8" x14ac:dyDescent="0.25">
      <c r="H4636" t="s">
        <v>16951</v>
      </c>
    </row>
    <row r="4637" spans="8:8" x14ac:dyDescent="0.25">
      <c r="H4637" t="s">
        <v>30</v>
      </c>
    </row>
    <row r="4638" spans="8:8" x14ac:dyDescent="0.25">
      <c r="H4638" t="s">
        <v>138</v>
      </c>
    </row>
    <row r="4639" spans="8:8" x14ac:dyDescent="0.25">
      <c r="H4639" t="s">
        <v>16952</v>
      </c>
    </row>
    <row r="4640" spans="8:8" x14ac:dyDescent="0.25">
      <c r="H4640" t="s">
        <v>30</v>
      </c>
    </row>
    <row r="4642" spans="8:8" x14ac:dyDescent="0.25">
      <c r="H4642" t="s">
        <v>10297</v>
      </c>
    </row>
    <row r="4643" spans="8:8" x14ac:dyDescent="0.25">
      <c r="H4643" t="s">
        <v>10298</v>
      </c>
    </row>
    <row r="4644" spans="8:8" x14ac:dyDescent="0.25">
      <c r="H4644" t="s">
        <v>135</v>
      </c>
    </row>
    <row r="4645" spans="8:8" x14ac:dyDescent="0.25">
      <c r="H4645" t="s">
        <v>16953</v>
      </c>
    </row>
    <row r="4646" spans="8:8" x14ac:dyDescent="0.25">
      <c r="H4646" t="s">
        <v>30</v>
      </c>
    </row>
    <row r="4647" spans="8:8" x14ac:dyDescent="0.25">
      <c r="H4647" t="s">
        <v>136</v>
      </c>
    </row>
    <row r="4648" spans="8:8" x14ac:dyDescent="0.25">
      <c r="H4648" t="s">
        <v>16954</v>
      </c>
    </row>
    <row r="4649" spans="8:8" x14ac:dyDescent="0.25">
      <c r="H4649" t="s">
        <v>30</v>
      </c>
    </row>
    <row r="4650" spans="8:8" x14ac:dyDescent="0.25">
      <c r="H4650" t="s">
        <v>137</v>
      </c>
    </row>
    <row r="4651" spans="8:8" x14ac:dyDescent="0.25">
      <c r="H4651" t="s">
        <v>16955</v>
      </c>
    </row>
    <row r="4652" spans="8:8" x14ac:dyDescent="0.25">
      <c r="H4652" t="s">
        <v>30</v>
      </c>
    </row>
    <row r="4653" spans="8:8" x14ac:dyDescent="0.25">
      <c r="H4653" t="s">
        <v>138</v>
      </c>
    </row>
    <row r="4654" spans="8:8" x14ac:dyDescent="0.25">
      <c r="H4654" t="s">
        <v>16956</v>
      </c>
    </row>
    <row r="4655" spans="8:8" x14ac:dyDescent="0.25">
      <c r="H4655" t="s">
        <v>30</v>
      </c>
    </row>
    <row r="4657" spans="8:8" x14ac:dyDescent="0.25">
      <c r="H4657" t="s">
        <v>10303</v>
      </c>
    </row>
    <row r="4658" spans="8:8" x14ac:dyDescent="0.25">
      <c r="H4658" t="s">
        <v>10304</v>
      </c>
    </row>
    <row r="4659" spans="8:8" x14ac:dyDescent="0.25">
      <c r="H4659" t="s">
        <v>135</v>
      </c>
    </row>
    <row r="4660" spans="8:8" x14ac:dyDescent="0.25">
      <c r="H4660" t="s">
        <v>16957</v>
      </c>
    </row>
    <row r="4661" spans="8:8" x14ac:dyDescent="0.25">
      <c r="H4661" t="s">
        <v>30</v>
      </c>
    </row>
    <row r="4662" spans="8:8" x14ac:dyDescent="0.25">
      <c r="H4662" t="s">
        <v>136</v>
      </c>
    </row>
    <row r="4663" spans="8:8" x14ac:dyDescent="0.25">
      <c r="H4663" t="s">
        <v>16958</v>
      </c>
    </row>
    <row r="4664" spans="8:8" x14ac:dyDescent="0.25">
      <c r="H4664" t="s">
        <v>30</v>
      </c>
    </row>
    <row r="4665" spans="8:8" x14ac:dyDescent="0.25">
      <c r="H4665" t="s">
        <v>137</v>
      </c>
    </row>
    <row r="4666" spans="8:8" x14ac:dyDescent="0.25">
      <c r="H4666" t="s">
        <v>16959</v>
      </c>
    </row>
    <row r="4667" spans="8:8" x14ac:dyDescent="0.25">
      <c r="H4667" t="s">
        <v>30</v>
      </c>
    </row>
    <row r="4668" spans="8:8" x14ac:dyDescent="0.25">
      <c r="H4668" t="s">
        <v>138</v>
      </c>
    </row>
    <row r="4669" spans="8:8" x14ac:dyDescent="0.25">
      <c r="H4669" t="s">
        <v>16960</v>
      </c>
    </row>
    <row r="4670" spans="8:8" x14ac:dyDescent="0.25">
      <c r="H4670" t="s">
        <v>30</v>
      </c>
    </row>
    <row r="4672" spans="8:8" x14ac:dyDescent="0.25">
      <c r="H4672" t="s">
        <v>10309</v>
      </c>
    </row>
    <row r="4673" spans="8:8" x14ac:dyDescent="0.25">
      <c r="H4673" t="s">
        <v>10310</v>
      </c>
    </row>
    <row r="4674" spans="8:8" x14ac:dyDescent="0.25">
      <c r="H4674" t="s">
        <v>135</v>
      </c>
    </row>
    <row r="4675" spans="8:8" x14ac:dyDescent="0.25">
      <c r="H4675" t="s">
        <v>16961</v>
      </c>
    </row>
    <row r="4676" spans="8:8" x14ac:dyDescent="0.25">
      <c r="H4676" t="s">
        <v>30</v>
      </c>
    </row>
    <row r="4677" spans="8:8" x14ac:dyDescent="0.25">
      <c r="H4677" t="s">
        <v>136</v>
      </c>
    </row>
    <row r="4678" spans="8:8" x14ac:dyDescent="0.25">
      <c r="H4678" t="s">
        <v>16962</v>
      </c>
    </row>
    <row r="4679" spans="8:8" x14ac:dyDescent="0.25">
      <c r="H4679" t="s">
        <v>30</v>
      </c>
    </row>
    <row r="4680" spans="8:8" x14ac:dyDescent="0.25">
      <c r="H4680" t="s">
        <v>137</v>
      </c>
    </row>
    <row r="4681" spans="8:8" x14ac:dyDescent="0.25">
      <c r="H4681" t="s">
        <v>16963</v>
      </c>
    </row>
    <row r="4682" spans="8:8" x14ac:dyDescent="0.25">
      <c r="H4682" t="s">
        <v>30</v>
      </c>
    </row>
    <row r="4683" spans="8:8" x14ac:dyDescent="0.25">
      <c r="H4683" t="s">
        <v>138</v>
      </c>
    </row>
    <row r="4684" spans="8:8" x14ac:dyDescent="0.25">
      <c r="H4684" t="s">
        <v>16964</v>
      </c>
    </row>
    <row r="4685" spans="8:8" x14ac:dyDescent="0.25">
      <c r="H4685" t="s">
        <v>30</v>
      </c>
    </row>
    <row r="4687" spans="8:8" x14ac:dyDescent="0.25">
      <c r="H4687" t="s">
        <v>10315</v>
      </c>
    </row>
    <row r="4688" spans="8:8" x14ac:dyDescent="0.25">
      <c r="H4688" t="s">
        <v>10316</v>
      </c>
    </row>
    <row r="4689" spans="8:8" x14ac:dyDescent="0.25">
      <c r="H4689" t="s">
        <v>135</v>
      </c>
    </row>
    <row r="4690" spans="8:8" x14ac:dyDescent="0.25">
      <c r="H4690" t="s">
        <v>16965</v>
      </c>
    </row>
    <row r="4691" spans="8:8" x14ac:dyDescent="0.25">
      <c r="H4691" t="s">
        <v>30</v>
      </c>
    </row>
    <row r="4692" spans="8:8" x14ac:dyDescent="0.25">
      <c r="H4692" t="s">
        <v>136</v>
      </c>
    </row>
    <row r="4693" spans="8:8" x14ac:dyDescent="0.25">
      <c r="H4693" t="s">
        <v>16966</v>
      </c>
    </row>
    <row r="4694" spans="8:8" x14ac:dyDescent="0.25">
      <c r="H4694" t="s">
        <v>30</v>
      </c>
    </row>
    <row r="4695" spans="8:8" x14ac:dyDescent="0.25">
      <c r="H4695" t="s">
        <v>137</v>
      </c>
    </row>
    <row r="4696" spans="8:8" x14ac:dyDescent="0.25">
      <c r="H4696" t="s">
        <v>16967</v>
      </c>
    </row>
    <row r="4697" spans="8:8" x14ac:dyDescent="0.25">
      <c r="H4697" t="s">
        <v>30</v>
      </c>
    </row>
    <row r="4698" spans="8:8" x14ac:dyDescent="0.25">
      <c r="H4698" t="s">
        <v>138</v>
      </c>
    </row>
    <row r="4699" spans="8:8" x14ac:dyDescent="0.25">
      <c r="H4699" t="s">
        <v>16968</v>
      </c>
    </row>
    <row r="4700" spans="8:8" x14ac:dyDescent="0.25">
      <c r="H4700" t="s">
        <v>30</v>
      </c>
    </row>
    <row r="4702" spans="8:8" x14ac:dyDescent="0.25">
      <c r="H4702" t="s">
        <v>10321</v>
      </c>
    </row>
    <row r="4703" spans="8:8" x14ac:dyDescent="0.25">
      <c r="H4703" t="s">
        <v>10322</v>
      </c>
    </row>
    <row r="4704" spans="8:8" x14ac:dyDescent="0.25">
      <c r="H4704" t="s">
        <v>135</v>
      </c>
    </row>
    <row r="4705" spans="8:8" x14ac:dyDescent="0.25">
      <c r="H4705" t="s">
        <v>16969</v>
      </c>
    </row>
    <row r="4706" spans="8:8" x14ac:dyDescent="0.25">
      <c r="H4706" t="s">
        <v>30</v>
      </c>
    </row>
    <row r="4707" spans="8:8" x14ac:dyDescent="0.25">
      <c r="H4707" t="s">
        <v>136</v>
      </c>
    </row>
    <row r="4708" spans="8:8" x14ac:dyDescent="0.25">
      <c r="H4708" t="s">
        <v>16970</v>
      </c>
    </row>
    <row r="4709" spans="8:8" x14ac:dyDescent="0.25">
      <c r="H4709" t="s">
        <v>30</v>
      </c>
    </row>
    <row r="4710" spans="8:8" x14ac:dyDescent="0.25">
      <c r="H4710" t="s">
        <v>137</v>
      </c>
    </row>
    <row r="4711" spans="8:8" x14ac:dyDescent="0.25">
      <c r="H4711" t="s">
        <v>16971</v>
      </c>
    </row>
    <row r="4712" spans="8:8" x14ac:dyDescent="0.25">
      <c r="H4712" t="s">
        <v>30</v>
      </c>
    </row>
    <row r="4713" spans="8:8" x14ac:dyDescent="0.25">
      <c r="H4713" t="s">
        <v>138</v>
      </c>
    </row>
    <row r="4714" spans="8:8" x14ac:dyDescent="0.25">
      <c r="H4714" t="s">
        <v>16972</v>
      </c>
    </row>
    <row r="4715" spans="8:8" x14ac:dyDescent="0.25">
      <c r="H4715" t="s">
        <v>30</v>
      </c>
    </row>
    <row r="4717" spans="8:8" x14ac:dyDescent="0.25">
      <c r="H4717" t="s">
        <v>10327</v>
      </c>
    </row>
    <row r="4718" spans="8:8" x14ac:dyDescent="0.25">
      <c r="H4718" t="s">
        <v>10328</v>
      </c>
    </row>
    <row r="4719" spans="8:8" x14ac:dyDescent="0.25">
      <c r="H4719" t="s">
        <v>135</v>
      </c>
    </row>
    <row r="4720" spans="8:8" x14ac:dyDescent="0.25">
      <c r="H4720" t="s">
        <v>16973</v>
      </c>
    </row>
    <row r="4721" spans="8:8" x14ac:dyDescent="0.25">
      <c r="H4721" t="s">
        <v>30</v>
      </c>
    </row>
    <row r="4722" spans="8:8" x14ac:dyDescent="0.25">
      <c r="H4722" t="s">
        <v>136</v>
      </c>
    </row>
    <row r="4723" spans="8:8" x14ac:dyDescent="0.25">
      <c r="H4723" t="s">
        <v>16974</v>
      </c>
    </row>
    <row r="4724" spans="8:8" x14ac:dyDescent="0.25">
      <c r="H4724" t="s">
        <v>30</v>
      </c>
    </row>
    <row r="4725" spans="8:8" x14ac:dyDescent="0.25">
      <c r="H4725" t="s">
        <v>137</v>
      </c>
    </row>
    <row r="4726" spans="8:8" x14ac:dyDescent="0.25">
      <c r="H4726" t="s">
        <v>16975</v>
      </c>
    </row>
    <row r="4727" spans="8:8" x14ac:dyDescent="0.25">
      <c r="H4727" t="s">
        <v>30</v>
      </c>
    </row>
    <row r="4728" spans="8:8" x14ac:dyDescent="0.25">
      <c r="H4728" t="s">
        <v>138</v>
      </c>
    </row>
    <row r="4729" spans="8:8" x14ac:dyDescent="0.25">
      <c r="H4729" t="s">
        <v>16976</v>
      </c>
    </row>
    <row r="4730" spans="8:8" x14ac:dyDescent="0.25">
      <c r="H4730" t="s">
        <v>30</v>
      </c>
    </row>
    <row r="4732" spans="8:8" x14ac:dyDescent="0.25">
      <c r="H4732" t="s">
        <v>10333</v>
      </c>
    </row>
    <row r="4733" spans="8:8" x14ac:dyDescent="0.25">
      <c r="H4733" t="s">
        <v>10334</v>
      </c>
    </row>
    <row r="4734" spans="8:8" x14ac:dyDescent="0.25">
      <c r="H4734" t="s">
        <v>135</v>
      </c>
    </row>
    <row r="4735" spans="8:8" x14ac:dyDescent="0.25">
      <c r="H4735" t="s">
        <v>16977</v>
      </c>
    </row>
    <row r="4736" spans="8:8" x14ac:dyDescent="0.25">
      <c r="H4736" t="s">
        <v>30</v>
      </c>
    </row>
    <row r="4737" spans="8:8" x14ac:dyDescent="0.25">
      <c r="H4737" t="s">
        <v>136</v>
      </c>
    </row>
    <row r="4738" spans="8:8" x14ac:dyDescent="0.25">
      <c r="H4738" t="s">
        <v>16978</v>
      </c>
    </row>
    <row r="4739" spans="8:8" x14ac:dyDescent="0.25">
      <c r="H4739" t="s">
        <v>30</v>
      </c>
    </row>
    <row r="4740" spans="8:8" x14ac:dyDescent="0.25">
      <c r="H4740" t="s">
        <v>137</v>
      </c>
    </row>
    <row r="4741" spans="8:8" x14ac:dyDescent="0.25">
      <c r="H4741" t="s">
        <v>16979</v>
      </c>
    </row>
    <row r="4742" spans="8:8" x14ac:dyDescent="0.25">
      <c r="H4742" t="s">
        <v>30</v>
      </c>
    </row>
    <row r="4743" spans="8:8" x14ac:dyDescent="0.25">
      <c r="H4743" t="s">
        <v>138</v>
      </c>
    </row>
    <row r="4744" spans="8:8" x14ac:dyDescent="0.25">
      <c r="H4744" t="s">
        <v>16980</v>
      </c>
    </row>
    <row r="4745" spans="8:8" x14ac:dyDescent="0.25">
      <c r="H4745" t="s">
        <v>30</v>
      </c>
    </row>
    <row r="4747" spans="8:8" x14ac:dyDescent="0.25">
      <c r="H4747" t="s">
        <v>10339</v>
      </c>
    </row>
    <row r="4748" spans="8:8" x14ac:dyDescent="0.25">
      <c r="H4748" t="s">
        <v>10340</v>
      </c>
    </row>
    <row r="4749" spans="8:8" x14ac:dyDescent="0.25">
      <c r="H4749" t="s">
        <v>135</v>
      </c>
    </row>
    <row r="4750" spans="8:8" x14ac:dyDescent="0.25">
      <c r="H4750" t="s">
        <v>16981</v>
      </c>
    </row>
    <row r="4751" spans="8:8" x14ac:dyDescent="0.25">
      <c r="H4751" t="s">
        <v>30</v>
      </c>
    </row>
    <row r="4752" spans="8:8" x14ac:dyDescent="0.25">
      <c r="H4752" t="s">
        <v>136</v>
      </c>
    </row>
    <row r="4753" spans="8:8" x14ac:dyDescent="0.25">
      <c r="H4753" t="s">
        <v>16982</v>
      </c>
    </row>
    <row r="4754" spans="8:8" x14ac:dyDescent="0.25">
      <c r="H4754" t="s">
        <v>30</v>
      </c>
    </row>
    <row r="4755" spans="8:8" x14ac:dyDescent="0.25">
      <c r="H4755" t="s">
        <v>137</v>
      </c>
    </row>
    <row r="4756" spans="8:8" x14ac:dyDescent="0.25">
      <c r="H4756" t="s">
        <v>16983</v>
      </c>
    </row>
    <row r="4757" spans="8:8" x14ac:dyDescent="0.25">
      <c r="H4757" t="s">
        <v>30</v>
      </c>
    </row>
    <row r="4758" spans="8:8" x14ac:dyDescent="0.25">
      <c r="H4758" t="s">
        <v>138</v>
      </c>
    </row>
    <row r="4759" spans="8:8" x14ac:dyDescent="0.25">
      <c r="H4759" t="s">
        <v>16984</v>
      </c>
    </row>
    <row r="4760" spans="8:8" x14ac:dyDescent="0.25">
      <c r="H4760" t="s">
        <v>30</v>
      </c>
    </row>
    <row r="4762" spans="8:8" x14ac:dyDescent="0.25">
      <c r="H4762" t="s">
        <v>10345</v>
      </c>
    </row>
    <row r="4763" spans="8:8" x14ac:dyDescent="0.25">
      <c r="H4763" t="s">
        <v>10346</v>
      </c>
    </row>
    <row r="4764" spans="8:8" x14ac:dyDescent="0.25">
      <c r="H4764" t="s">
        <v>135</v>
      </c>
    </row>
    <row r="4765" spans="8:8" x14ac:dyDescent="0.25">
      <c r="H4765" t="s">
        <v>16985</v>
      </c>
    </row>
    <row r="4766" spans="8:8" x14ac:dyDescent="0.25">
      <c r="H4766" t="s">
        <v>30</v>
      </c>
    </row>
    <row r="4767" spans="8:8" x14ac:dyDescent="0.25">
      <c r="H4767" t="s">
        <v>136</v>
      </c>
    </row>
    <row r="4768" spans="8:8" x14ac:dyDescent="0.25">
      <c r="H4768" t="s">
        <v>16986</v>
      </c>
    </row>
    <row r="4769" spans="8:8" x14ac:dyDescent="0.25">
      <c r="H4769" t="s">
        <v>30</v>
      </c>
    </row>
    <row r="4770" spans="8:8" x14ac:dyDescent="0.25">
      <c r="H4770" t="s">
        <v>137</v>
      </c>
    </row>
    <row r="4771" spans="8:8" x14ac:dyDescent="0.25">
      <c r="H4771" t="s">
        <v>16987</v>
      </c>
    </row>
    <row r="4772" spans="8:8" x14ac:dyDescent="0.25">
      <c r="H4772" t="s">
        <v>30</v>
      </c>
    </row>
    <row r="4773" spans="8:8" x14ac:dyDescent="0.25">
      <c r="H4773" t="s">
        <v>138</v>
      </c>
    </row>
    <row r="4774" spans="8:8" x14ac:dyDescent="0.25">
      <c r="H4774" t="s">
        <v>16988</v>
      </c>
    </row>
    <row r="4775" spans="8:8" x14ac:dyDescent="0.25">
      <c r="H4775" t="s">
        <v>30</v>
      </c>
    </row>
    <row r="4777" spans="8:8" x14ac:dyDescent="0.25">
      <c r="H4777" t="s">
        <v>10351</v>
      </c>
    </row>
    <row r="4778" spans="8:8" x14ac:dyDescent="0.25">
      <c r="H4778" t="s">
        <v>10352</v>
      </c>
    </row>
    <row r="4779" spans="8:8" x14ac:dyDescent="0.25">
      <c r="H4779" t="s">
        <v>135</v>
      </c>
    </row>
    <row r="4780" spans="8:8" x14ac:dyDescent="0.25">
      <c r="H4780" t="s">
        <v>16989</v>
      </c>
    </row>
    <row r="4781" spans="8:8" x14ac:dyDescent="0.25">
      <c r="H4781" t="s">
        <v>30</v>
      </c>
    </row>
    <row r="4782" spans="8:8" x14ac:dyDescent="0.25">
      <c r="H4782" t="s">
        <v>136</v>
      </c>
    </row>
    <row r="4783" spans="8:8" x14ac:dyDescent="0.25">
      <c r="H4783" t="s">
        <v>16990</v>
      </c>
    </row>
    <row r="4784" spans="8:8" x14ac:dyDescent="0.25">
      <c r="H4784" t="s">
        <v>30</v>
      </c>
    </row>
    <row r="4785" spans="8:8" x14ac:dyDescent="0.25">
      <c r="H4785" t="s">
        <v>137</v>
      </c>
    </row>
    <row r="4786" spans="8:8" x14ac:dyDescent="0.25">
      <c r="H4786" t="s">
        <v>16991</v>
      </c>
    </row>
    <row r="4787" spans="8:8" x14ac:dyDescent="0.25">
      <c r="H4787" t="s">
        <v>30</v>
      </c>
    </row>
    <row r="4788" spans="8:8" x14ac:dyDescent="0.25">
      <c r="H4788" t="s">
        <v>138</v>
      </c>
    </row>
    <row r="4789" spans="8:8" x14ac:dyDescent="0.25">
      <c r="H4789" t="s">
        <v>16992</v>
      </c>
    </row>
    <row r="4790" spans="8:8" x14ac:dyDescent="0.25">
      <c r="H4790" t="s">
        <v>30</v>
      </c>
    </row>
    <row r="4792" spans="8:8" x14ac:dyDescent="0.25">
      <c r="H4792" t="s">
        <v>10357</v>
      </c>
    </row>
    <row r="4793" spans="8:8" x14ac:dyDescent="0.25">
      <c r="H4793" t="s">
        <v>10358</v>
      </c>
    </row>
    <row r="4794" spans="8:8" x14ac:dyDescent="0.25">
      <c r="H4794" t="s">
        <v>135</v>
      </c>
    </row>
    <row r="4795" spans="8:8" x14ac:dyDescent="0.25">
      <c r="H4795" t="s">
        <v>16993</v>
      </c>
    </row>
    <row r="4796" spans="8:8" x14ac:dyDescent="0.25">
      <c r="H4796" t="s">
        <v>30</v>
      </c>
    </row>
    <row r="4797" spans="8:8" x14ac:dyDescent="0.25">
      <c r="H4797" t="s">
        <v>136</v>
      </c>
    </row>
    <row r="4798" spans="8:8" x14ac:dyDescent="0.25">
      <c r="H4798" t="s">
        <v>16994</v>
      </c>
    </row>
    <row r="4799" spans="8:8" x14ac:dyDescent="0.25">
      <c r="H4799" t="s">
        <v>30</v>
      </c>
    </row>
    <row r="4800" spans="8:8" x14ac:dyDescent="0.25">
      <c r="H4800" t="s">
        <v>137</v>
      </c>
    </row>
    <row r="4801" spans="8:8" x14ac:dyDescent="0.25">
      <c r="H4801" t="s">
        <v>16995</v>
      </c>
    </row>
    <row r="4802" spans="8:8" x14ac:dyDescent="0.25">
      <c r="H4802" t="s">
        <v>30</v>
      </c>
    </row>
    <row r="4803" spans="8:8" x14ac:dyDescent="0.25">
      <c r="H4803" t="s">
        <v>138</v>
      </c>
    </row>
    <row r="4804" spans="8:8" x14ac:dyDescent="0.25">
      <c r="H4804" t="s">
        <v>16996</v>
      </c>
    </row>
    <row r="4805" spans="8:8" x14ac:dyDescent="0.25">
      <c r="H4805" t="s">
        <v>30</v>
      </c>
    </row>
    <row r="4807" spans="8:8" x14ac:dyDescent="0.25">
      <c r="H4807" t="s">
        <v>10363</v>
      </c>
    </row>
    <row r="4808" spans="8:8" x14ac:dyDescent="0.25">
      <c r="H4808" t="s">
        <v>10364</v>
      </c>
    </row>
    <row r="4809" spans="8:8" x14ac:dyDescent="0.25">
      <c r="H4809" t="s">
        <v>135</v>
      </c>
    </row>
    <row r="4810" spans="8:8" x14ac:dyDescent="0.25">
      <c r="H4810" t="s">
        <v>16997</v>
      </c>
    </row>
    <row r="4811" spans="8:8" x14ac:dyDescent="0.25">
      <c r="H4811" t="s">
        <v>30</v>
      </c>
    </row>
    <row r="4812" spans="8:8" x14ac:dyDescent="0.25">
      <c r="H4812" t="s">
        <v>136</v>
      </c>
    </row>
    <row r="4813" spans="8:8" x14ac:dyDescent="0.25">
      <c r="H4813" t="s">
        <v>16998</v>
      </c>
    </row>
    <row r="4814" spans="8:8" x14ac:dyDescent="0.25">
      <c r="H4814" t="s">
        <v>30</v>
      </c>
    </row>
    <row r="4815" spans="8:8" x14ac:dyDescent="0.25">
      <c r="H4815" t="s">
        <v>137</v>
      </c>
    </row>
    <row r="4816" spans="8:8" x14ac:dyDescent="0.25">
      <c r="H4816" t="s">
        <v>16999</v>
      </c>
    </row>
    <row r="4817" spans="8:8" x14ac:dyDescent="0.25">
      <c r="H4817" t="s">
        <v>30</v>
      </c>
    </row>
    <row r="4818" spans="8:8" x14ac:dyDescent="0.25">
      <c r="H4818" t="s">
        <v>138</v>
      </c>
    </row>
    <row r="4819" spans="8:8" x14ac:dyDescent="0.25">
      <c r="H4819" t="s">
        <v>17000</v>
      </c>
    </row>
    <row r="4820" spans="8:8" x14ac:dyDescent="0.25">
      <c r="H4820" t="s">
        <v>30</v>
      </c>
    </row>
    <row r="4822" spans="8:8" x14ac:dyDescent="0.25">
      <c r="H4822" t="s">
        <v>10369</v>
      </c>
    </row>
    <row r="4823" spans="8:8" x14ac:dyDescent="0.25">
      <c r="H4823" t="s">
        <v>10370</v>
      </c>
    </row>
    <row r="4824" spans="8:8" x14ac:dyDescent="0.25">
      <c r="H4824" t="s">
        <v>135</v>
      </c>
    </row>
    <row r="4825" spans="8:8" x14ac:dyDescent="0.25">
      <c r="H4825" t="s">
        <v>17001</v>
      </c>
    </row>
    <row r="4826" spans="8:8" x14ac:dyDescent="0.25">
      <c r="H4826" t="s">
        <v>30</v>
      </c>
    </row>
    <row r="4827" spans="8:8" x14ac:dyDescent="0.25">
      <c r="H4827" t="s">
        <v>136</v>
      </c>
    </row>
    <row r="4828" spans="8:8" x14ac:dyDescent="0.25">
      <c r="H4828" t="s">
        <v>17002</v>
      </c>
    </row>
    <row r="4829" spans="8:8" x14ac:dyDescent="0.25">
      <c r="H4829" t="s">
        <v>30</v>
      </c>
    </row>
    <row r="4830" spans="8:8" x14ac:dyDescent="0.25">
      <c r="H4830" t="s">
        <v>137</v>
      </c>
    </row>
    <row r="4831" spans="8:8" x14ac:dyDescent="0.25">
      <c r="H4831" t="s">
        <v>17003</v>
      </c>
    </row>
    <row r="4832" spans="8:8" x14ac:dyDescent="0.25">
      <c r="H4832" t="s">
        <v>30</v>
      </c>
    </row>
    <row r="4833" spans="8:8" x14ac:dyDescent="0.25">
      <c r="H4833" t="s">
        <v>138</v>
      </c>
    </row>
    <row r="4834" spans="8:8" x14ac:dyDescent="0.25">
      <c r="H4834" t="s">
        <v>17004</v>
      </c>
    </row>
    <row r="4835" spans="8:8" x14ac:dyDescent="0.25">
      <c r="H4835" t="s">
        <v>30</v>
      </c>
    </row>
    <row r="4837" spans="8:8" x14ac:dyDescent="0.25">
      <c r="H4837" t="s">
        <v>10375</v>
      </c>
    </row>
    <row r="4838" spans="8:8" x14ac:dyDescent="0.25">
      <c r="H4838" t="s">
        <v>10376</v>
      </c>
    </row>
    <row r="4839" spans="8:8" x14ac:dyDescent="0.25">
      <c r="H4839" t="s">
        <v>135</v>
      </c>
    </row>
    <row r="4840" spans="8:8" x14ac:dyDescent="0.25">
      <c r="H4840" t="s">
        <v>17005</v>
      </c>
    </row>
    <row r="4841" spans="8:8" x14ac:dyDescent="0.25">
      <c r="H4841" t="s">
        <v>30</v>
      </c>
    </row>
    <row r="4842" spans="8:8" x14ac:dyDescent="0.25">
      <c r="H4842" t="s">
        <v>136</v>
      </c>
    </row>
    <row r="4843" spans="8:8" x14ac:dyDescent="0.25">
      <c r="H4843" t="s">
        <v>17006</v>
      </c>
    </row>
    <row r="4844" spans="8:8" x14ac:dyDescent="0.25">
      <c r="H4844" t="s">
        <v>30</v>
      </c>
    </row>
    <row r="4845" spans="8:8" x14ac:dyDescent="0.25">
      <c r="H4845" t="s">
        <v>137</v>
      </c>
    </row>
    <row r="4846" spans="8:8" x14ac:dyDescent="0.25">
      <c r="H4846" t="s">
        <v>17007</v>
      </c>
    </row>
    <row r="4847" spans="8:8" x14ac:dyDescent="0.25">
      <c r="H4847" t="s">
        <v>30</v>
      </c>
    </row>
    <row r="4848" spans="8:8" x14ac:dyDescent="0.25">
      <c r="H4848" t="s">
        <v>138</v>
      </c>
    </row>
    <row r="4849" spans="8:8" x14ac:dyDescent="0.25">
      <c r="H4849" t="s">
        <v>17008</v>
      </c>
    </row>
    <row r="4850" spans="8:8" x14ac:dyDescent="0.25">
      <c r="H4850" t="s">
        <v>30</v>
      </c>
    </row>
    <row r="4852" spans="8:8" x14ac:dyDescent="0.25">
      <c r="H4852" t="s">
        <v>10381</v>
      </c>
    </row>
    <row r="4853" spans="8:8" x14ac:dyDescent="0.25">
      <c r="H4853" t="s">
        <v>10382</v>
      </c>
    </row>
    <row r="4854" spans="8:8" x14ac:dyDescent="0.25">
      <c r="H4854" t="s">
        <v>135</v>
      </c>
    </row>
    <row r="4855" spans="8:8" x14ac:dyDescent="0.25">
      <c r="H4855" t="s">
        <v>17009</v>
      </c>
    </row>
    <row r="4856" spans="8:8" x14ac:dyDescent="0.25">
      <c r="H4856" t="s">
        <v>30</v>
      </c>
    </row>
    <row r="4857" spans="8:8" x14ac:dyDescent="0.25">
      <c r="H4857" t="s">
        <v>136</v>
      </c>
    </row>
    <row r="4858" spans="8:8" x14ac:dyDescent="0.25">
      <c r="H4858" t="s">
        <v>17010</v>
      </c>
    </row>
    <row r="4859" spans="8:8" x14ac:dyDescent="0.25">
      <c r="H4859" t="s">
        <v>30</v>
      </c>
    </row>
    <row r="4860" spans="8:8" x14ac:dyDescent="0.25">
      <c r="H4860" t="s">
        <v>137</v>
      </c>
    </row>
    <row r="4861" spans="8:8" x14ac:dyDescent="0.25">
      <c r="H4861" t="s">
        <v>17011</v>
      </c>
    </row>
    <row r="4862" spans="8:8" x14ac:dyDescent="0.25">
      <c r="H4862" t="s">
        <v>30</v>
      </c>
    </row>
    <row r="4863" spans="8:8" x14ac:dyDescent="0.25">
      <c r="H4863" t="s">
        <v>138</v>
      </c>
    </row>
    <row r="4864" spans="8:8" x14ac:dyDescent="0.25">
      <c r="H4864" t="s">
        <v>17012</v>
      </c>
    </row>
    <row r="4865" spans="8:8" x14ac:dyDescent="0.25">
      <c r="H4865" t="s">
        <v>30</v>
      </c>
    </row>
    <row r="4867" spans="8:8" x14ac:dyDescent="0.25">
      <c r="H4867" t="s">
        <v>10387</v>
      </c>
    </row>
    <row r="4868" spans="8:8" x14ac:dyDescent="0.25">
      <c r="H4868" t="s">
        <v>10388</v>
      </c>
    </row>
    <row r="4869" spans="8:8" x14ac:dyDescent="0.25">
      <c r="H4869" t="s">
        <v>135</v>
      </c>
    </row>
    <row r="4870" spans="8:8" x14ac:dyDescent="0.25">
      <c r="H4870" t="s">
        <v>17013</v>
      </c>
    </row>
    <row r="4871" spans="8:8" x14ac:dyDescent="0.25">
      <c r="H4871" t="s">
        <v>30</v>
      </c>
    </row>
    <row r="4872" spans="8:8" x14ac:dyDescent="0.25">
      <c r="H4872" t="s">
        <v>136</v>
      </c>
    </row>
    <row r="4873" spans="8:8" x14ac:dyDescent="0.25">
      <c r="H4873" t="s">
        <v>17014</v>
      </c>
    </row>
    <row r="4874" spans="8:8" x14ac:dyDescent="0.25">
      <c r="H4874" t="s">
        <v>30</v>
      </c>
    </row>
    <row r="4875" spans="8:8" x14ac:dyDescent="0.25">
      <c r="H4875" t="s">
        <v>137</v>
      </c>
    </row>
    <row r="4876" spans="8:8" x14ac:dyDescent="0.25">
      <c r="H4876" t="s">
        <v>17015</v>
      </c>
    </row>
    <row r="4877" spans="8:8" x14ac:dyDescent="0.25">
      <c r="H4877" t="s">
        <v>30</v>
      </c>
    </row>
    <row r="4878" spans="8:8" x14ac:dyDescent="0.25">
      <c r="H4878" t="s">
        <v>138</v>
      </c>
    </row>
    <row r="4879" spans="8:8" x14ac:dyDescent="0.25">
      <c r="H4879" t="s">
        <v>17016</v>
      </c>
    </row>
    <row r="4880" spans="8:8" x14ac:dyDescent="0.25">
      <c r="H4880" t="s">
        <v>30</v>
      </c>
    </row>
    <row r="4882" spans="8:8" x14ac:dyDescent="0.25">
      <c r="H4882" t="s">
        <v>10393</v>
      </c>
    </row>
    <row r="4883" spans="8:8" x14ac:dyDescent="0.25">
      <c r="H4883" t="s">
        <v>10394</v>
      </c>
    </row>
    <row r="4884" spans="8:8" x14ac:dyDescent="0.25">
      <c r="H4884" t="s">
        <v>135</v>
      </c>
    </row>
    <row r="4885" spans="8:8" x14ac:dyDescent="0.25">
      <c r="H4885" t="s">
        <v>17017</v>
      </c>
    </row>
    <row r="4886" spans="8:8" x14ac:dyDescent="0.25">
      <c r="H4886" t="s">
        <v>30</v>
      </c>
    </row>
    <row r="4887" spans="8:8" x14ac:dyDescent="0.25">
      <c r="H4887" t="s">
        <v>136</v>
      </c>
    </row>
    <row r="4888" spans="8:8" x14ac:dyDescent="0.25">
      <c r="H4888" t="s">
        <v>17018</v>
      </c>
    </row>
    <row r="4889" spans="8:8" x14ac:dyDescent="0.25">
      <c r="H4889" t="s">
        <v>30</v>
      </c>
    </row>
    <row r="4890" spans="8:8" x14ac:dyDescent="0.25">
      <c r="H4890" t="s">
        <v>137</v>
      </c>
    </row>
    <row r="4891" spans="8:8" x14ac:dyDescent="0.25">
      <c r="H4891" t="s">
        <v>17019</v>
      </c>
    </row>
    <row r="4892" spans="8:8" x14ac:dyDescent="0.25">
      <c r="H4892" t="s">
        <v>30</v>
      </c>
    </row>
    <row r="4893" spans="8:8" x14ac:dyDescent="0.25">
      <c r="H4893" t="s">
        <v>138</v>
      </c>
    </row>
    <row r="4894" spans="8:8" x14ac:dyDescent="0.25">
      <c r="H4894" t="s">
        <v>17020</v>
      </c>
    </row>
    <row r="4895" spans="8:8" x14ac:dyDescent="0.25">
      <c r="H4895" t="s">
        <v>30</v>
      </c>
    </row>
    <row r="4897" spans="8:8" x14ac:dyDescent="0.25">
      <c r="H4897" t="s">
        <v>10399</v>
      </c>
    </row>
    <row r="4898" spans="8:8" x14ac:dyDescent="0.25">
      <c r="H4898" t="s">
        <v>10400</v>
      </c>
    </row>
    <row r="4899" spans="8:8" x14ac:dyDescent="0.25">
      <c r="H4899" t="s">
        <v>135</v>
      </c>
    </row>
    <row r="4900" spans="8:8" x14ac:dyDescent="0.25">
      <c r="H4900" t="s">
        <v>17021</v>
      </c>
    </row>
    <row r="4901" spans="8:8" x14ac:dyDescent="0.25">
      <c r="H4901" t="s">
        <v>30</v>
      </c>
    </row>
    <row r="4902" spans="8:8" x14ac:dyDescent="0.25">
      <c r="H4902" t="s">
        <v>136</v>
      </c>
    </row>
    <row r="4903" spans="8:8" x14ac:dyDescent="0.25">
      <c r="H4903" t="s">
        <v>17022</v>
      </c>
    </row>
    <row r="4904" spans="8:8" x14ac:dyDescent="0.25">
      <c r="H4904" t="s">
        <v>30</v>
      </c>
    </row>
    <row r="4905" spans="8:8" x14ac:dyDescent="0.25">
      <c r="H4905" t="s">
        <v>137</v>
      </c>
    </row>
    <row r="4906" spans="8:8" x14ac:dyDescent="0.25">
      <c r="H4906" t="s">
        <v>17023</v>
      </c>
    </row>
    <row r="4907" spans="8:8" x14ac:dyDescent="0.25">
      <c r="H4907" t="s">
        <v>30</v>
      </c>
    </row>
    <row r="4908" spans="8:8" x14ac:dyDescent="0.25">
      <c r="H4908" t="s">
        <v>138</v>
      </c>
    </row>
    <row r="4909" spans="8:8" x14ac:dyDescent="0.25">
      <c r="H4909" t="s">
        <v>17024</v>
      </c>
    </row>
    <row r="4910" spans="8:8" x14ac:dyDescent="0.25">
      <c r="H4910" t="s">
        <v>30</v>
      </c>
    </row>
    <row r="4912" spans="8:8" x14ac:dyDescent="0.25">
      <c r="H4912" t="s">
        <v>10405</v>
      </c>
    </row>
    <row r="4913" spans="8:8" x14ac:dyDescent="0.25">
      <c r="H4913" t="s">
        <v>10406</v>
      </c>
    </row>
    <row r="4914" spans="8:8" x14ac:dyDescent="0.25">
      <c r="H4914" t="s">
        <v>135</v>
      </c>
    </row>
    <row r="4915" spans="8:8" x14ac:dyDescent="0.25">
      <c r="H4915" t="s">
        <v>17025</v>
      </c>
    </row>
    <row r="4916" spans="8:8" x14ac:dyDescent="0.25">
      <c r="H4916" t="s">
        <v>30</v>
      </c>
    </row>
    <row r="4917" spans="8:8" x14ac:dyDescent="0.25">
      <c r="H4917" t="s">
        <v>136</v>
      </c>
    </row>
    <row r="4918" spans="8:8" x14ac:dyDescent="0.25">
      <c r="H4918" t="s">
        <v>17026</v>
      </c>
    </row>
    <row r="4919" spans="8:8" x14ac:dyDescent="0.25">
      <c r="H4919" t="s">
        <v>30</v>
      </c>
    </row>
    <row r="4920" spans="8:8" x14ac:dyDescent="0.25">
      <c r="H4920" t="s">
        <v>137</v>
      </c>
    </row>
    <row r="4921" spans="8:8" x14ac:dyDescent="0.25">
      <c r="H4921" t="s">
        <v>17027</v>
      </c>
    </row>
    <row r="4922" spans="8:8" x14ac:dyDescent="0.25">
      <c r="H4922" t="s">
        <v>30</v>
      </c>
    </row>
    <row r="4923" spans="8:8" x14ac:dyDescent="0.25">
      <c r="H4923" t="s">
        <v>138</v>
      </c>
    </row>
    <row r="4924" spans="8:8" x14ac:dyDescent="0.25">
      <c r="H4924" t="s">
        <v>17028</v>
      </c>
    </row>
    <row r="4925" spans="8:8" x14ac:dyDescent="0.25">
      <c r="H4925" t="s">
        <v>30</v>
      </c>
    </row>
    <row r="4927" spans="8:8" x14ac:dyDescent="0.25">
      <c r="H4927" t="s">
        <v>10411</v>
      </c>
    </row>
    <row r="4928" spans="8:8" x14ac:dyDescent="0.25">
      <c r="H4928" t="s">
        <v>10412</v>
      </c>
    </row>
    <row r="4929" spans="8:8" x14ac:dyDescent="0.25">
      <c r="H4929" t="s">
        <v>135</v>
      </c>
    </row>
    <row r="4930" spans="8:8" x14ac:dyDescent="0.25">
      <c r="H4930" t="s">
        <v>17029</v>
      </c>
    </row>
    <row r="4931" spans="8:8" x14ac:dyDescent="0.25">
      <c r="H4931" t="s">
        <v>30</v>
      </c>
    </row>
    <row r="4932" spans="8:8" x14ac:dyDescent="0.25">
      <c r="H4932" t="s">
        <v>136</v>
      </c>
    </row>
    <row r="4933" spans="8:8" x14ac:dyDescent="0.25">
      <c r="H4933" t="s">
        <v>17030</v>
      </c>
    </row>
    <row r="4934" spans="8:8" x14ac:dyDescent="0.25">
      <c r="H4934" t="s">
        <v>30</v>
      </c>
    </row>
    <row r="4935" spans="8:8" x14ac:dyDescent="0.25">
      <c r="H4935" t="s">
        <v>137</v>
      </c>
    </row>
    <row r="4936" spans="8:8" x14ac:dyDescent="0.25">
      <c r="H4936" t="s">
        <v>17031</v>
      </c>
    </row>
    <row r="4937" spans="8:8" x14ac:dyDescent="0.25">
      <c r="H4937" t="s">
        <v>30</v>
      </c>
    </row>
    <row r="4938" spans="8:8" x14ac:dyDescent="0.25">
      <c r="H4938" t="s">
        <v>138</v>
      </c>
    </row>
    <row r="4939" spans="8:8" x14ac:dyDescent="0.25">
      <c r="H4939" t="s">
        <v>17032</v>
      </c>
    </row>
    <row r="4940" spans="8:8" x14ac:dyDescent="0.25">
      <c r="H4940" t="s">
        <v>30</v>
      </c>
    </row>
    <row r="4942" spans="8:8" x14ac:dyDescent="0.25">
      <c r="H4942" t="s">
        <v>10417</v>
      </c>
    </row>
    <row r="4943" spans="8:8" x14ac:dyDescent="0.25">
      <c r="H4943" t="s">
        <v>10418</v>
      </c>
    </row>
    <row r="4944" spans="8:8" x14ac:dyDescent="0.25">
      <c r="H4944" t="s">
        <v>135</v>
      </c>
    </row>
    <row r="4945" spans="8:8" x14ac:dyDescent="0.25">
      <c r="H4945" t="s">
        <v>17033</v>
      </c>
    </row>
    <row r="4946" spans="8:8" x14ac:dyDescent="0.25">
      <c r="H4946" t="s">
        <v>30</v>
      </c>
    </row>
    <row r="4947" spans="8:8" x14ac:dyDescent="0.25">
      <c r="H4947" t="s">
        <v>136</v>
      </c>
    </row>
    <row r="4948" spans="8:8" x14ac:dyDescent="0.25">
      <c r="H4948" t="s">
        <v>17034</v>
      </c>
    </row>
    <row r="4949" spans="8:8" x14ac:dyDescent="0.25">
      <c r="H4949" t="s">
        <v>30</v>
      </c>
    </row>
    <row r="4950" spans="8:8" x14ac:dyDescent="0.25">
      <c r="H4950" t="s">
        <v>137</v>
      </c>
    </row>
    <row r="4951" spans="8:8" x14ac:dyDescent="0.25">
      <c r="H4951" t="s">
        <v>17035</v>
      </c>
    </row>
    <row r="4952" spans="8:8" x14ac:dyDescent="0.25">
      <c r="H4952" t="s">
        <v>30</v>
      </c>
    </row>
    <row r="4953" spans="8:8" x14ac:dyDescent="0.25">
      <c r="H4953" t="s">
        <v>138</v>
      </c>
    </row>
    <row r="4954" spans="8:8" x14ac:dyDescent="0.25">
      <c r="H4954" t="s">
        <v>17036</v>
      </c>
    </row>
    <row r="4955" spans="8:8" x14ac:dyDescent="0.25">
      <c r="H4955" t="s">
        <v>30</v>
      </c>
    </row>
    <row r="4957" spans="8:8" x14ac:dyDescent="0.25">
      <c r="H4957" t="s">
        <v>10423</v>
      </c>
    </row>
    <row r="4958" spans="8:8" x14ac:dyDescent="0.25">
      <c r="H4958" t="s">
        <v>10424</v>
      </c>
    </row>
    <row r="4959" spans="8:8" x14ac:dyDescent="0.25">
      <c r="H4959" t="s">
        <v>135</v>
      </c>
    </row>
    <row r="4960" spans="8:8" x14ac:dyDescent="0.25">
      <c r="H4960" t="s">
        <v>17037</v>
      </c>
    </row>
    <row r="4961" spans="8:8" x14ac:dyDescent="0.25">
      <c r="H4961" t="s">
        <v>30</v>
      </c>
    </row>
    <row r="4962" spans="8:8" x14ac:dyDescent="0.25">
      <c r="H4962" t="s">
        <v>136</v>
      </c>
    </row>
    <row r="4963" spans="8:8" x14ac:dyDescent="0.25">
      <c r="H4963" t="s">
        <v>17038</v>
      </c>
    </row>
    <row r="4964" spans="8:8" x14ac:dyDescent="0.25">
      <c r="H4964" t="s">
        <v>30</v>
      </c>
    </row>
    <row r="4965" spans="8:8" x14ac:dyDescent="0.25">
      <c r="H4965" t="s">
        <v>137</v>
      </c>
    </row>
    <row r="4966" spans="8:8" x14ac:dyDescent="0.25">
      <c r="H4966" t="s">
        <v>17039</v>
      </c>
    </row>
    <row r="4967" spans="8:8" x14ac:dyDescent="0.25">
      <c r="H4967" t="s">
        <v>30</v>
      </c>
    </row>
    <row r="4968" spans="8:8" x14ac:dyDescent="0.25">
      <c r="H4968" t="s">
        <v>138</v>
      </c>
    </row>
    <row r="4969" spans="8:8" x14ac:dyDescent="0.25">
      <c r="H4969" t="s">
        <v>17040</v>
      </c>
    </row>
    <row r="4970" spans="8:8" x14ac:dyDescent="0.25">
      <c r="H4970" t="s">
        <v>30</v>
      </c>
    </row>
    <row r="4972" spans="8:8" x14ac:dyDescent="0.25">
      <c r="H4972" t="s">
        <v>10429</v>
      </c>
    </row>
    <row r="4973" spans="8:8" x14ac:dyDescent="0.25">
      <c r="H4973" t="s">
        <v>10430</v>
      </c>
    </row>
    <row r="4974" spans="8:8" x14ac:dyDescent="0.25">
      <c r="H4974" t="s">
        <v>135</v>
      </c>
    </row>
    <row r="4975" spans="8:8" x14ac:dyDescent="0.25">
      <c r="H4975" t="s">
        <v>17041</v>
      </c>
    </row>
    <row r="4976" spans="8:8" x14ac:dyDescent="0.25">
      <c r="H4976" t="s">
        <v>30</v>
      </c>
    </row>
    <row r="4977" spans="8:8" x14ac:dyDescent="0.25">
      <c r="H4977" t="s">
        <v>136</v>
      </c>
    </row>
    <row r="4978" spans="8:8" x14ac:dyDescent="0.25">
      <c r="H4978" t="s">
        <v>17042</v>
      </c>
    </row>
    <row r="4979" spans="8:8" x14ac:dyDescent="0.25">
      <c r="H4979" t="s">
        <v>30</v>
      </c>
    </row>
    <row r="4980" spans="8:8" x14ac:dyDescent="0.25">
      <c r="H4980" t="s">
        <v>137</v>
      </c>
    </row>
    <row r="4981" spans="8:8" x14ac:dyDescent="0.25">
      <c r="H4981" t="s">
        <v>17043</v>
      </c>
    </row>
    <row r="4982" spans="8:8" x14ac:dyDescent="0.25">
      <c r="H4982" t="s">
        <v>30</v>
      </c>
    </row>
    <row r="4983" spans="8:8" x14ac:dyDescent="0.25">
      <c r="H4983" t="s">
        <v>138</v>
      </c>
    </row>
    <row r="4984" spans="8:8" x14ac:dyDescent="0.25">
      <c r="H4984" t="s">
        <v>17044</v>
      </c>
    </row>
    <row r="4985" spans="8:8" x14ac:dyDescent="0.25">
      <c r="H4985" t="s">
        <v>30</v>
      </c>
    </row>
    <row r="4987" spans="8:8" x14ac:dyDescent="0.25">
      <c r="H4987" t="s">
        <v>10435</v>
      </c>
    </row>
    <row r="4988" spans="8:8" x14ac:dyDescent="0.25">
      <c r="H4988" t="s">
        <v>10436</v>
      </c>
    </row>
    <row r="4989" spans="8:8" x14ac:dyDescent="0.25">
      <c r="H4989" t="s">
        <v>135</v>
      </c>
    </row>
    <row r="4990" spans="8:8" x14ac:dyDescent="0.25">
      <c r="H4990" t="s">
        <v>17045</v>
      </c>
    </row>
    <row r="4991" spans="8:8" x14ac:dyDescent="0.25">
      <c r="H4991" t="s">
        <v>30</v>
      </c>
    </row>
    <row r="4992" spans="8:8" x14ac:dyDescent="0.25">
      <c r="H4992" t="s">
        <v>136</v>
      </c>
    </row>
    <row r="4993" spans="8:8" x14ac:dyDescent="0.25">
      <c r="H4993" t="s">
        <v>17046</v>
      </c>
    </row>
    <row r="4994" spans="8:8" x14ac:dyDescent="0.25">
      <c r="H4994" t="s">
        <v>30</v>
      </c>
    </row>
    <row r="4995" spans="8:8" x14ac:dyDescent="0.25">
      <c r="H4995" t="s">
        <v>137</v>
      </c>
    </row>
    <row r="4996" spans="8:8" x14ac:dyDescent="0.25">
      <c r="H4996" t="s">
        <v>17047</v>
      </c>
    </row>
    <row r="4997" spans="8:8" x14ac:dyDescent="0.25">
      <c r="H4997" t="s">
        <v>30</v>
      </c>
    </row>
    <row r="4998" spans="8:8" x14ac:dyDescent="0.25">
      <c r="H4998" t="s">
        <v>138</v>
      </c>
    </row>
    <row r="4999" spans="8:8" x14ac:dyDescent="0.25">
      <c r="H4999" t="s">
        <v>17048</v>
      </c>
    </row>
    <row r="5000" spans="8:8" x14ac:dyDescent="0.25">
      <c r="H5000" t="s">
        <v>30</v>
      </c>
    </row>
    <row r="5002" spans="8:8" x14ac:dyDescent="0.25">
      <c r="H5002" t="s">
        <v>10441</v>
      </c>
    </row>
    <row r="5003" spans="8:8" x14ac:dyDescent="0.25">
      <c r="H5003" t="s">
        <v>10442</v>
      </c>
    </row>
    <row r="5004" spans="8:8" x14ac:dyDescent="0.25">
      <c r="H5004" t="s">
        <v>135</v>
      </c>
    </row>
    <row r="5005" spans="8:8" x14ac:dyDescent="0.25">
      <c r="H5005" t="s">
        <v>17049</v>
      </c>
    </row>
    <row r="5006" spans="8:8" x14ac:dyDescent="0.25">
      <c r="H5006" t="s">
        <v>30</v>
      </c>
    </row>
    <row r="5007" spans="8:8" x14ac:dyDescent="0.25">
      <c r="H5007" t="s">
        <v>136</v>
      </c>
    </row>
    <row r="5008" spans="8:8" x14ac:dyDescent="0.25">
      <c r="H5008" t="s">
        <v>17050</v>
      </c>
    </row>
    <row r="5009" spans="8:8" x14ac:dyDescent="0.25">
      <c r="H5009" t="s">
        <v>30</v>
      </c>
    </row>
    <row r="5010" spans="8:8" x14ac:dyDescent="0.25">
      <c r="H5010" t="s">
        <v>137</v>
      </c>
    </row>
    <row r="5011" spans="8:8" x14ac:dyDescent="0.25">
      <c r="H5011" t="s">
        <v>17051</v>
      </c>
    </row>
    <row r="5012" spans="8:8" x14ac:dyDescent="0.25">
      <c r="H5012" t="s">
        <v>30</v>
      </c>
    </row>
    <row r="5013" spans="8:8" x14ac:dyDescent="0.25">
      <c r="H5013" t="s">
        <v>138</v>
      </c>
    </row>
    <row r="5014" spans="8:8" x14ac:dyDescent="0.25">
      <c r="H5014" t="s">
        <v>17052</v>
      </c>
    </row>
    <row r="5015" spans="8:8" x14ac:dyDescent="0.25">
      <c r="H5015" t="s">
        <v>30</v>
      </c>
    </row>
    <row r="5017" spans="8:8" x14ac:dyDescent="0.25">
      <c r="H5017" t="s">
        <v>10447</v>
      </c>
    </row>
    <row r="5018" spans="8:8" x14ac:dyDescent="0.25">
      <c r="H5018" t="s">
        <v>10448</v>
      </c>
    </row>
    <row r="5019" spans="8:8" x14ac:dyDescent="0.25">
      <c r="H5019" t="s">
        <v>135</v>
      </c>
    </row>
    <row r="5020" spans="8:8" x14ac:dyDescent="0.25">
      <c r="H5020" t="s">
        <v>17053</v>
      </c>
    </row>
    <row r="5021" spans="8:8" x14ac:dyDescent="0.25">
      <c r="H5021" t="s">
        <v>30</v>
      </c>
    </row>
    <row r="5022" spans="8:8" x14ac:dyDescent="0.25">
      <c r="H5022" t="s">
        <v>136</v>
      </c>
    </row>
    <row r="5023" spans="8:8" x14ac:dyDescent="0.25">
      <c r="H5023" t="s">
        <v>17054</v>
      </c>
    </row>
    <row r="5024" spans="8:8" x14ac:dyDescent="0.25">
      <c r="H5024" t="s">
        <v>30</v>
      </c>
    </row>
    <row r="5025" spans="8:8" x14ac:dyDescent="0.25">
      <c r="H5025" t="s">
        <v>137</v>
      </c>
    </row>
    <row r="5026" spans="8:8" x14ac:dyDescent="0.25">
      <c r="H5026" t="s">
        <v>17055</v>
      </c>
    </row>
    <row r="5027" spans="8:8" x14ac:dyDescent="0.25">
      <c r="H5027" t="s">
        <v>30</v>
      </c>
    </row>
    <row r="5028" spans="8:8" x14ac:dyDescent="0.25">
      <c r="H5028" t="s">
        <v>138</v>
      </c>
    </row>
    <row r="5029" spans="8:8" x14ac:dyDescent="0.25">
      <c r="H5029" t="s">
        <v>17056</v>
      </c>
    </row>
    <row r="5030" spans="8:8" x14ac:dyDescent="0.25">
      <c r="H5030" t="s">
        <v>30</v>
      </c>
    </row>
    <row r="5032" spans="8:8" x14ac:dyDescent="0.25">
      <c r="H5032" t="s">
        <v>10453</v>
      </c>
    </row>
    <row r="5033" spans="8:8" x14ac:dyDescent="0.25">
      <c r="H5033" t="s">
        <v>10454</v>
      </c>
    </row>
    <row r="5034" spans="8:8" x14ac:dyDescent="0.25">
      <c r="H5034" t="s">
        <v>135</v>
      </c>
    </row>
    <row r="5035" spans="8:8" x14ac:dyDescent="0.25">
      <c r="H5035" t="s">
        <v>17057</v>
      </c>
    </row>
    <row r="5036" spans="8:8" x14ac:dyDescent="0.25">
      <c r="H5036" t="s">
        <v>30</v>
      </c>
    </row>
    <row r="5037" spans="8:8" x14ac:dyDescent="0.25">
      <c r="H5037" t="s">
        <v>136</v>
      </c>
    </row>
    <row r="5038" spans="8:8" x14ac:dyDescent="0.25">
      <c r="H5038" t="s">
        <v>17058</v>
      </c>
    </row>
    <row r="5039" spans="8:8" x14ac:dyDescent="0.25">
      <c r="H5039" t="s">
        <v>30</v>
      </c>
    </row>
    <row r="5040" spans="8:8" x14ac:dyDescent="0.25">
      <c r="H5040" t="s">
        <v>137</v>
      </c>
    </row>
    <row r="5041" spans="8:8" x14ac:dyDescent="0.25">
      <c r="H5041" t="s">
        <v>17059</v>
      </c>
    </row>
    <row r="5042" spans="8:8" x14ac:dyDescent="0.25">
      <c r="H5042" t="s">
        <v>30</v>
      </c>
    </row>
    <row r="5043" spans="8:8" x14ac:dyDescent="0.25">
      <c r="H5043" t="s">
        <v>138</v>
      </c>
    </row>
    <row r="5044" spans="8:8" x14ac:dyDescent="0.25">
      <c r="H5044" t="s">
        <v>17060</v>
      </c>
    </row>
    <row r="5045" spans="8:8" x14ac:dyDescent="0.25">
      <c r="H5045" t="s">
        <v>30</v>
      </c>
    </row>
    <row r="5047" spans="8:8" x14ac:dyDescent="0.25">
      <c r="H5047" t="s">
        <v>10459</v>
      </c>
    </row>
    <row r="5048" spans="8:8" x14ac:dyDescent="0.25">
      <c r="H5048" t="s">
        <v>10460</v>
      </c>
    </row>
    <row r="5049" spans="8:8" x14ac:dyDescent="0.25">
      <c r="H5049" t="s">
        <v>135</v>
      </c>
    </row>
    <row r="5050" spans="8:8" x14ac:dyDescent="0.25">
      <c r="H5050" t="s">
        <v>17061</v>
      </c>
    </row>
    <row r="5051" spans="8:8" x14ac:dyDescent="0.25">
      <c r="H5051" t="s">
        <v>30</v>
      </c>
    </row>
    <row r="5052" spans="8:8" x14ac:dyDescent="0.25">
      <c r="H5052" t="s">
        <v>136</v>
      </c>
    </row>
    <row r="5053" spans="8:8" x14ac:dyDescent="0.25">
      <c r="H5053" t="s">
        <v>17062</v>
      </c>
    </row>
    <row r="5054" spans="8:8" x14ac:dyDescent="0.25">
      <c r="H5054" t="s">
        <v>30</v>
      </c>
    </row>
    <row r="5055" spans="8:8" x14ac:dyDescent="0.25">
      <c r="H5055" t="s">
        <v>137</v>
      </c>
    </row>
    <row r="5056" spans="8:8" x14ac:dyDescent="0.25">
      <c r="H5056" t="s">
        <v>17063</v>
      </c>
    </row>
    <row r="5057" spans="8:8" x14ac:dyDescent="0.25">
      <c r="H5057" t="s">
        <v>30</v>
      </c>
    </row>
    <row r="5058" spans="8:8" x14ac:dyDescent="0.25">
      <c r="H5058" t="s">
        <v>138</v>
      </c>
    </row>
    <row r="5059" spans="8:8" x14ac:dyDescent="0.25">
      <c r="H5059" t="s">
        <v>17064</v>
      </c>
    </row>
    <row r="5060" spans="8:8" x14ac:dyDescent="0.25">
      <c r="H5060" t="s">
        <v>30</v>
      </c>
    </row>
    <row r="5062" spans="8:8" x14ac:dyDescent="0.25">
      <c r="H5062" t="s">
        <v>10465</v>
      </c>
    </row>
    <row r="5063" spans="8:8" x14ac:dyDescent="0.25">
      <c r="H5063" t="s">
        <v>10466</v>
      </c>
    </row>
    <row r="5064" spans="8:8" x14ac:dyDescent="0.25">
      <c r="H5064" t="s">
        <v>135</v>
      </c>
    </row>
    <row r="5065" spans="8:8" x14ac:dyDescent="0.25">
      <c r="H5065" t="s">
        <v>17065</v>
      </c>
    </row>
    <row r="5066" spans="8:8" x14ac:dyDescent="0.25">
      <c r="H5066" t="s">
        <v>30</v>
      </c>
    </row>
    <row r="5067" spans="8:8" x14ac:dyDescent="0.25">
      <c r="H5067" t="s">
        <v>136</v>
      </c>
    </row>
    <row r="5068" spans="8:8" x14ac:dyDescent="0.25">
      <c r="H5068" t="s">
        <v>17066</v>
      </c>
    </row>
    <row r="5069" spans="8:8" x14ac:dyDescent="0.25">
      <c r="H5069" t="s">
        <v>30</v>
      </c>
    </row>
    <row r="5070" spans="8:8" x14ac:dyDescent="0.25">
      <c r="H5070" t="s">
        <v>137</v>
      </c>
    </row>
    <row r="5071" spans="8:8" x14ac:dyDescent="0.25">
      <c r="H5071" t="s">
        <v>17067</v>
      </c>
    </row>
    <row r="5072" spans="8:8" x14ac:dyDescent="0.25">
      <c r="H5072" t="s">
        <v>30</v>
      </c>
    </row>
    <row r="5073" spans="8:8" x14ac:dyDescent="0.25">
      <c r="H5073" t="s">
        <v>138</v>
      </c>
    </row>
    <row r="5074" spans="8:8" x14ac:dyDescent="0.25">
      <c r="H5074" t="s">
        <v>17068</v>
      </c>
    </row>
    <row r="5075" spans="8:8" x14ac:dyDescent="0.25">
      <c r="H5075" t="s">
        <v>30</v>
      </c>
    </row>
    <row r="5077" spans="8:8" x14ac:dyDescent="0.25">
      <c r="H5077" t="s">
        <v>10471</v>
      </c>
    </row>
    <row r="5078" spans="8:8" x14ac:dyDescent="0.25">
      <c r="H5078" t="s">
        <v>10472</v>
      </c>
    </row>
    <row r="5079" spans="8:8" x14ac:dyDescent="0.25">
      <c r="H5079" t="s">
        <v>135</v>
      </c>
    </row>
    <row r="5080" spans="8:8" x14ac:dyDescent="0.25">
      <c r="H5080" t="s">
        <v>17069</v>
      </c>
    </row>
    <row r="5081" spans="8:8" x14ac:dyDescent="0.25">
      <c r="H5081" t="s">
        <v>30</v>
      </c>
    </row>
    <row r="5082" spans="8:8" x14ac:dyDescent="0.25">
      <c r="H5082" t="s">
        <v>136</v>
      </c>
    </row>
    <row r="5083" spans="8:8" x14ac:dyDescent="0.25">
      <c r="H5083" t="s">
        <v>17070</v>
      </c>
    </row>
    <row r="5084" spans="8:8" x14ac:dyDescent="0.25">
      <c r="H5084" t="s">
        <v>30</v>
      </c>
    </row>
    <row r="5085" spans="8:8" x14ac:dyDescent="0.25">
      <c r="H5085" t="s">
        <v>137</v>
      </c>
    </row>
    <row r="5086" spans="8:8" x14ac:dyDescent="0.25">
      <c r="H5086" t="s">
        <v>17071</v>
      </c>
    </row>
    <row r="5087" spans="8:8" x14ac:dyDescent="0.25">
      <c r="H5087" t="s">
        <v>30</v>
      </c>
    </row>
    <row r="5088" spans="8:8" x14ac:dyDescent="0.25">
      <c r="H5088" t="s">
        <v>138</v>
      </c>
    </row>
    <row r="5089" spans="8:8" x14ac:dyDescent="0.25">
      <c r="H5089" t="s">
        <v>17072</v>
      </c>
    </row>
    <row r="5090" spans="8:8" x14ac:dyDescent="0.25">
      <c r="H5090" t="s">
        <v>30</v>
      </c>
    </row>
    <row r="5092" spans="8:8" x14ac:dyDescent="0.25">
      <c r="H5092" t="s">
        <v>10477</v>
      </c>
    </row>
    <row r="5093" spans="8:8" x14ac:dyDescent="0.25">
      <c r="H5093" t="s">
        <v>10478</v>
      </c>
    </row>
    <row r="5094" spans="8:8" x14ac:dyDescent="0.25">
      <c r="H5094" t="s">
        <v>135</v>
      </c>
    </row>
    <row r="5095" spans="8:8" x14ac:dyDescent="0.25">
      <c r="H5095" t="s">
        <v>17073</v>
      </c>
    </row>
    <row r="5096" spans="8:8" x14ac:dyDescent="0.25">
      <c r="H5096" t="s">
        <v>30</v>
      </c>
    </row>
    <row r="5097" spans="8:8" x14ac:dyDescent="0.25">
      <c r="H5097" t="s">
        <v>136</v>
      </c>
    </row>
    <row r="5098" spans="8:8" x14ac:dyDescent="0.25">
      <c r="H5098" t="s">
        <v>17074</v>
      </c>
    </row>
    <row r="5099" spans="8:8" x14ac:dyDescent="0.25">
      <c r="H5099" t="s">
        <v>30</v>
      </c>
    </row>
    <row r="5100" spans="8:8" x14ac:dyDescent="0.25">
      <c r="H5100" t="s">
        <v>137</v>
      </c>
    </row>
    <row r="5101" spans="8:8" x14ac:dyDescent="0.25">
      <c r="H5101" t="s">
        <v>17075</v>
      </c>
    </row>
    <row r="5102" spans="8:8" x14ac:dyDescent="0.25">
      <c r="H5102" t="s">
        <v>30</v>
      </c>
    </row>
    <row r="5103" spans="8:8" x14ac:dyDescent="0.25">
      <c r="H5103" t="s">
        <v>138</v>
      </c>
    </row>
    <row r="5104" spans="8:8" x14ac:dyDescent="0.25">
      <c r="H5104" t="s">
        <v>17076</v>
      </c>
    </row>
    <row r="5105" spans="8:8" x14ac:dyDescent="0.25">
      <c r="H5105" t="s">
        <v>30</v>
      </c>
    </row>
    <row r="5107" spans="8:8" x14ac:dyDescent="0.25">
      <c r="H5107" t="s">
        <v>10483</v>
      </c>
    </row>
    <row r="5108" spans="8:8" x14ac:dyDescent="0.25">
      <c r="H5108" t="s">
        <v>10484</v>
      </c>
    </row>
    <row r="5109" spans="8:8" x14ac:dyDescent="0.25">
      <c r="H5109" t="s">
        <v>135</v>
      </c>
    </row>
    <row r="5110" spans="8:8" x14ac:dyDescent="0.25">
      <c r="H5110" t="s">
        <v>17077</v>
      </c>
    </row>
    <row r="5111" spans="8:8" x14ac:dyDescent="0.25">
      <c r="H5111" t="s">
        <v>30</v>
      </c>
    </row>
    <row r="5112" spans="8:8" x14ac:dyDescent="0.25">
      <c r="H5112" t="s">
        <v>136</v>
      </c>
    </row>
    <row r="5113" spans="8:8" x14ac:dyDescent="0.25">
      <c r="H5113" t="s">
        <v>17078</v>
      </c>
    </row>
    <row r="5114" spans="8:8" x14ac:dyDescent="0.25">
      <c r="H5114" t="s">
        <v>30</v>
      </c>
    </row>
    <row r="5115" spans="8:8" x14ac:dyDescent="0.25">
      <c r="H5115" t="s">
        <v>137</v>
      </c>
    </row>
    <row r="5116" spans="8:8" x14ac:dyDescent="0.25">
      <c r="H5116" t="s">
        <v>17079</v>
      </c>
    </row>
    <row r="5117" spans="8:8" x14ac:dyDescent="0.25">
      <c r="H5117" t="s">
        <v>30</v>
      </c>
    </row>
    <row r="5118" spans="8:8" x14ac:dyDescent="0.25">
      <c r="H5118" t="s">
        <v>138</v>
      </c>
    </row>
    <row r="5119" spans="8:8" x14ac:dyDescent="0.25">
      <c r="H5119" t="s">
        <v>17080</v>
      </c>
    </row>
    <row r="5120" spans="8:8" x14ac:dyDescent="0.25">
      <c r="H5120" t="s">
        <v>30</v>
      </c>
    </row>
    <row r="5122" spans="8:8" x14ac:dyDescent="0.25">
      <c r="H5122" t="s">
        <v>10489</v>
      </c>
    </row>
    <row r="5123" spans="8:8" x14ac:dyDescent="0.25">
      <c r="H5123" t="s">
        <v>10490</v>
      </c>
    </row>
    <row r="5124" spans="8:8" x14ac:dyDescent="0.25">
      <c r="H5124" t="s">
        <v>135</v>
      </c>
    </row>
    <row r="5125" spans="8:8" x14ac:dyDescent="0.25">
      <c r="H5125" t="s">
        <v>17081</v>
      </c>
    </row>
    <row r="5126" spans="8:8" x14ac:dyDescent="0.25">
      <c r="H5126" t="s">
        <v>30</v>
      </c>
    </row>
    <row r="5127" spans="8:8" x14ac:dyDescent="0.25">
      <c r="H5127" t="s">
        <v>136</v>
      </c>
    </row>
    <row r="5128" spans="8:8" x14ac:dyDescent="0.25">
      <c r="H5128" t="s">
        <v>17082</v>
      </c>
    </row>
    <row r="5129" spans="8:8" x14ac:dyDescent="0.25">
      <c r="H5129" t="s">
        <v>30</v>
      </c>
    </row>
    <row r="5130" spans="8:8" x14ac:dyDescent="0.25">
      <c r="H5130" t="s">
        <v>137</v>
      </c>
    </row>
    <row r="5131" spans="8:8" x14ac:dyDescent="0.25">
      <c r="H5131" t="s">
        <v>17083</v>
      </c>
    </row>
    <row r="5132" spans="8:8" x14ac:dyDescent="0.25">
      <c r="H5132" t="s">
        <v>30</v>
      </c>
    </row>
    <row r="5133" spans="8:8" x14ac:dyDescent="0.25">
      <c r="H5133" t="s">
        <v>138</v>
      </c>
    </row>
    <row r="5134" spans="8:8" x14ac:dyDescent="0.25">
      <c r="H5134" t="s">
        <v>17084</v>
      </c>
    </row>
    <row r="5135" spans="8:8" x14ac:dyDescent="0.25">
      <c r="H5135" t="s">
        <v>30</v>
      </c>
    </row>
    <row r="5137" spans="8:8" x14ac:dyDescent="0.25">
      <c r="H5137" t="s">
        <v>10495</v>
      </c>
    </row>
    <row r="5138" spans="8:8" x14ac:dyDescent="0.25">
      <c r="H5138" t="s">
        <v>10496</v>
      </c>
    </row>
    <row r="5139" spans="8:8" x14ac:dyDescent="0.25">
      <c r="H5139" t="s">
        <v>135</v>
      </c>
    </row>
    <row r="5140" spans="8:8" x14ac:dyDescent="0.25">
      <c r="H5140" t="s">
        <v>17085</v>
      </c>
    </row>
    <row r="5141" spans="8:8" x14ac:dyDescent="0.25">
      <c r="H5141" t="s">
        <v>30</v>
      </c>
    </row>
    <row r="5142" spans="8:8" x14ac:dyDescent="0.25">
      <c r="H5142" t="s">
        <v>136</v>
      </c>
    </row>
    <row r="5143" spans="8:8" x14ac:dyDescent="0.25">
      <c r="H5143" t="s">
        <v>17086</v>
      </c>
    </row>
    <row r="5144" spans="8:8" x14ac:dyDescent="0.25">
      <c r="H5144" t="s">
        <v>30</v>
      </c>
    </row>
    <row r="5145" spans="8:8" x14ac:dyDescent="0.25">
      <c r="H5145" t="s">
        <v>137</v>
      </c>
    </row>
    <row r="5146" spans="8:8" x14ac:dyDescent="0.25">
      <c r="H5146" t="s">
        <v>17087</v>
      </c>
    </row>
    <row r="5147" spans="8:8" x14ac:dyDescent="0.25">
      <c r="H5147" t="s">
        <v>30</v>
      </c>
    </row>
    <row r="5148" spans="8:8" x14ac:dyDescent="0.25">
      <c r="H5148" t="s">
        <v>138</v>
      </c>
    </row>
    <row r="5149" spans="8:8" x14ac:dyDescent="0.25">
      <c r="H5149" t="s">
        <v>17088</v>
      </c>
    </row>
    <row r="5150" spans="8:8" x14ac:dyDescent="0.25">
      <c r="H5150" t="s">
        <v>30</v>
      </c>
    </row>
    <row r="5152" spans="8:8" x14ac:dyDescent="0.25">
      <c r="H5152" t="s">
        <v>10501</v>
      </c>
    </row>
    <row r="5153" spans="8:8" x14ac:dyDescent="0.25">
      <c r="H5153" t="s">
        <v>10502</v>
      </c>
    </row>
    <row r="5154" spans="8:8" x14ac:dyDescent="0.25">
      <c r="H5154" t="s">
        <v>135</v>
      </c>
    </row>
    <row r="5155" spans="8:8" x14ac:dyDescent="0.25">
      <c r="H5155" t="s">
        <v>17089</v>
      </c>
    </row>
    <row r="5156" spans="8:8" x14ac:dyDescent="0.25">
      <c r="H5156" t="s">
        <v>30</v>
      </c>
    </row>
    <row r="5157" spans="8:8" x14ac:dyDescent="0.25">
      <c r="H5157" t="s">
        <v>136</v>
      </c>
    </row>
    <row r="5158" spans="8:8" x14ac:dyDescent="0.25">
      <c r="H5158" t="s">
        <v>17090</v>
      </c>
    </row>
    <row r="5159" spans="8:8" x14ac:dyDescent="0.25">
      <c r="H5159" t="s">
        <v>30</v>
      </c>
    </row>
    <row r="5160" spans="8:8" x14ac:dyDescent="0.25">
      <c r="H5160" t="s">
        <v>137</v>
      </c>
    </row>
    <row r="5161" spans="8:8" x14ac:dyDescent="0.25">
      <c r="H5161" t="s">
        <v>17091</v>
      </c>
    </row>
    <row r="5162" spans="8:8" x14ac:dyDescent="0.25">
      <c r="H5162" t="s">
        <v>30</v>
      </c>
    </row>
    <row r="5163" spans="8:8" x14ac:dyDescent="0.25">
      <c r="H5163" t="s">
        <v>138</v>
      </c>
    </row>
    <row r="5164" spans="8:8" x14ac:dyDescent="0.25">
      <c r="H5164" t="s">
        <v>17092</v>
      </c>
    </row>
    <row r="5165" spans="8:8" x14ac:dyDescent="0.25">
      <c r="H5165" t="s">
        <v>30</v>
      </c>
    </row>
    <row r="5167" spans="8:8" x14ac:dyDescent="0.25">
      <c r="H5167" t="s">
        <v>10507</v>
      </c>
    </row>
    <row r="5168" spans="8:8" x14ac:dyDescent="0.25">
      <c r="H5168" t="s">
        <v>10508</v>
      </c>
    </row>
    <row r="5169" spans="8:8" x14ac:dyDescent="0.25">
      <c r="H5169" t="s">
        <v>135</v>
      </c>
    </row>
    <row r="5170" spans="8:8" x14ac:dyDescent="0.25">
      <c r="H5170" t="s">
        <v>17093</v>
      </c>
    </row>
    <row r="5171" spans="8:8" x14ac:dyDescent="0.25">
      <c r="H5171" t="s">
        <v>30</v>
      </c>
    </row>
    <row r="5172" spans="8:8" x14ac:dyDescent="0.25">
      <c r="H5172" t="s">
        <v>136</v>
      </c>
    </row>
    <row r="5173" spans="8:8" x14ac:dyDescent="0.25">
      <c r="H5173" t="s">
        <v>17094</v>
      </c>
    </row>
    <row r="5174" spans="8:8" x14ac:dyDescent="0.25">
      <c r="H5174" t="s">
        <v>30</v>
      </c>
    </row>
    <row r="5175" spans="8:8" x14ac:dyDescent="0.25">
      <c r="H5175" t="s">
        <v>137</v>
      </c>
    </row>
    <row r="5176" spans="8:8" x14ac:dyDescent="0.25">
      <c r="H5176" t="s">
        <v>17095</v>
      </c>
    </row>
    <row r="5177" spans="8:8" x14ac:dyDescent="0.25">
      <c r="H5177" t="s">
        <v>30</v>
      </c>
    </row>
    <row r="5178" spans="8:8" x14ac:dyDescent="0.25">
      <c r="H5178" t="s">
        <v>138</v>
      </c>
    </row>
    <row r="5179" spans="8:8" x14ac:dyDescent="0.25">
      <c r="H5179" t="s">
        <v>17096</v>
      </c>
    </row>
    <row r="5180" spans="8:8" x14ac:dyDescent="0.25">
      <c r="H5180" t="s">
        <v>30</v>
      </c>
    </row>
    <row r="5182" spans="8:8" x14ac:dyDescent="0.25">
      <c r="H5182" t="s">
        <v>10513</v>
      </c>
    </row>
    <row r="5183" spans="8:8" x14ac:dyDescent="0.25">
      <c r="H5183" t="s">
        <v>10514</v>
      </c>
    </row>
    <row r="5184" spans="8:8" x14ac:dyDescent="0.25">
      <c r="H5184" t="s">
        <v>135</v>
      </c>
    </row>
    <row r="5185" spans="8:8" x14ac:dyDescent="0.25">
      <c r="H5185" t="s">
        <v>17097</v>
      </c>
    </row>
    <row r="5186" spans="8:8" x14ac:dyDescent="0.25">
      <c r="H5186" t="s">
        <v>30</v>
      </c>
    </row>
    <row r="5187" spans="8:8" x14ac:dyDescent="0.25">
      <c r="H5187" t="s">
        <v>136</v>
      </c>
    </row>
    <row r="5188" spans="8:8" x14ac:dyDescent="0.25">
      <c r="H5188" t="s">
        <v>17098</v>
      </c>
    </row>
    <row r="5189" spans="8:8" x14ac:dyDescent="0.25">
      <c r="H5189" t="s">
        <v>30</v>
      </c>
    </row>
    <row r="5190" spans="8:8" x14ac:dyDescent="0.25">
      <c r="H5190" t="s">
        <v>137</v>
      </c>
    </row>
    <row r="5191" spans="8:8" x14ac:dyDescent="0.25">
      <c r="H5191" t="s">
        <v>17099</v>
      </c>
    </row>
    <row r="5192" spans="8:8" x14ac:dyDescent="0.25">
      <c r="H5192" t="s">
        <v>30</v>
      </c>
    </row>
    <row r="5193" spans="8:8" x14ac:dyDescent="0.25">
      <c r="H5193" t="s">
        <v>138</v>
      </c>
    </row>
    <row r="5194" spans="8:8" x14ac:dyDescent="0.25">
      <c r="H5194" t="s">
        <v>17100</v>
      </c>
    </row>
    <row r="5195" spans="8:8" x14ac:dyDescent="0.25">
      <c r="H5195" t="s">
        <v>30</v>
      </c>
    </row>
    <row r="5197" spans="8:8" x14ac:dyDescent="0.25">
      <c r="H5197" t="s">
        <v>10519</v>
      </c>
    </row>
    <row r="5198" spans="8:8" x14ac:dyDescent="0.25">
      <c r="H5198" t="s">
        <v>10520</v>
      </c>
    </row>
    <row r="5199" spans="8:8" x14ac:dyDescent="0.25">
      <c r="H5199" t="s">
        <v>135</v>
      </c>
    </row>
    <row r="5200" spans="8:8" x14ac:dyDescent="0.25">
      <c r="H5200" t="s">
        <v>17101</v>
      </c>
    </row>
    <row r="5201" spans="8:8" x14ac:dyDescent="0.25">
      <c r="H5201" t="s">
        <v>30</v>
      </c>
    </row>
    <row r="5202" spans="8:8" x14ac:dyDescent="0.25">
      <c r="H5202" t="s">
        <v>136</v>
      </c>
    </row>
    <row r="5203" spans="8:8" x14ac:dyDescent="0.25">
      <c r="H5203" t="s">
        <v>17102</v>
      </c>
    </row>
    <row r="5204" spans="8:8" x14ac:dyDescent="0.25">
      <c r="H5204" t="s">
        <v>30</v>
      </c>
    </row>
    <row r="5205" spans="8:8" x14ac:dyDescent="0.25">
      <c r="H5205" t="s">
        <v>137</v>
      </c>
    </row>
    <row r="5206" spans="8:8" x14ac:dyDescent="0.25">
      <c r="H5206" t="s">
        <v>17103</v>
      </c>
    </row>
    <row r="5207" spans="8:8" x14ac:dyDescent="0.25">
      <c r="H5207" t="s">
        <v>30</v>
      </c>
    </row>
    <row r="5208" spans="8:8" x14ac:dyDescent="0.25">
      <c r="H5208" t="s">
        <v>138</v>
      </c>
    </row>
    <row r="5209" spans="8:8" x14ac:dyDescent="0.25">
      <c r="H5209" t="s">
        <v>17104</v>
      </c>
    </row>
    <row r="5210" spans="8:8" x14ac:dyDescent="0.25">
      <c r="H5210" t="s">
        <v>30</v>
      </c>
    </row>
    <row r="5212" spans="8:8" x14ac:dyDescent="0.25">
      <c r="H5212" t="s">
        <v>10525</v>
      </c>
    </row>
    <row r="5213" spans="8:8" x14ac:dyDescent="0.25">
      <c r="H5213" t="s">
        <v>10526</v>
      </c>
    </row>
    <row r="5214" spans="8:8" x14ac:dyDescent="0.25">
      <c r="H5214" t="s">
        <v>135</v>
      </c>
    </row>
    <row r="5215" spans="8:8" x14ac:dyDescent="0.25">
      <c r="H5215" t="s">
        <v>17105</v>
      </c>
    </row>
    <row r="5216" spans="8:8" x14ac:dyDescent="0.25">
      <c r="H5216" t="s">
        <v>30</v>
      </c>
    </row>
    <row r="5217" spans="8:8" x14ac:dyDescent="0.25">
      <c r="H5217" t="s">
        <v>136</v>
      </c>
    </row>
    <row r="5218" spans="8:8" x14ac:dyDescent="0.25">
      <c r="H5218" t="s">
        <v>17106</v>
      </c>
    </row>
    <row r="5219" spans="8:8" x14ac:dyDescent="0.25">
      <c r="H5219" t="s">
        <v>30</v>
      </c>
    </row>
    <row r="5220" spans="8:8" x14ac:dyDescent="0.25">
      <c r="H5220" t="s">
        <v>137</v>
      </c>
    </row>
    <row r="5221" spans="8:8" x14ac:dyDescent="0.25">
      <c r="H5221" t="s">
        <v>17107</v>
      </c>
    </row>
    <row r="5222" spans="8:8" x14ac:dyDescent="0.25">
      <c r="H5222" t="s">
        <v>30</v>
      </c>
    </row>
    <row r="5223" spans="8:8" x14ac:dyDescent="0.25">
      <c r="H5223" t="s">
        <v>138</v>
      </c>
    </row>
    <row r="5224" spans="8:8" x14ac:dyDescent="0.25">
      <c r="H5224" t="s">
        <v>17108</v>
      </c>
    </row>
    <row r="5225" spans="8:8" x14ac:dyDescent="0.25">
      <c r="H5225" t="s">
        <v>30</v>
      </c>
    </row>
    <row r="5227" spans="8:8" x14ac:dyDescent="0.25">
      <c r="H5227" t="s">
        <v>10531</v>
      </c>
    </row>
    <row r="5228" spans="8:8" x14ac:dyDescent="0.25">
      <c r="H5228" t="s">
        <v>10532</v>
      </c>
    </row>
    <row r="5229" spans="8:8" x14ac:dyDescent="0.25">
      <c r="H5229" t="s">
        <v>135</v>
      </c>
    </row>
    <row r="5230" spans="8:8" x14ac:dyDescent="0.25">
      <c r="H5230" t="s">
        <v>17109</v>
      </c>
    </row>
    <row r="5231" spans="8:8" x14ac:dyDescent="0.25">
      <c r="H5231" t="s">
        <v>30</v>
      </c>
    </row>
    <row r="5232" spans="8:8" x14ac:dyDescent="0.25">
      <c r="H5232" t="s">
        <v>136</v>
      </c>
    </row>
    <row r="5233" spans="8:8" x14ac:dyDescent="0.25">
      <c r="H5233" t="s">
        <v>17110</v>
      </c>
    </row>
    <row r="5234" spans="8:8" x14ac:dyDescent="0.25">
      <c r="H5234" t="s">
        <v>30</v>
      </c>
    </row>
    <row r="5235" spans="8:8" x14ac:dyDescent="0.25">
      <c r="H5235" t="s">
        <v>137</v>
      </c>
    </row>
    <row r="5236" spans="8:8" x14ac:dyDescent="0.25">
      <c r="H5236" t="s">
        <v>17111</v>
      </c>
    </row>
    <row r="5237" spans="8:8" x14ac:dyDescent="0.25">
      <c r="H5237" t="s">
        <v>30</v>
      </c>
    </row>
    <row r="5238" spans="8:8" x14ac:dyDescent="0.25">
      <c r="H5238" t="s">
        <v>138</v>
      </c>
    </row>
    <row r="5239" spans="8:8" x14ac:dyDescent="0.25">
      <c r="H5239" t="s">
        <v>17112</v>
      </c>
    </row>
    <row r="5240" spans="8:8" x14ac:dyDescent="0.25">
      <c r="H5240" t="s">
        <v>30</v>
      </c>
    </row>
    <row r="5242" spans="8:8" x14ac:dyDescent="0.25">
      <c r="H5242" t="s">
        <v>10537</v>
      </c>
    </row>
    <row r="5243" spans="8:8" x14ac:dyDescent="0.25">
      <c r="H5243" t="s">
        <v>10538</v>
      </c>
    </row>
    <row r="5244" spans="8:8" x14ac:dyDescent="0.25">
      <c r="H5244" t="s">
        <v>135</v>
      </c>
    </row>
    <row r="5245" spans="8:8" x14ac:dyDescent="0.25">
      <c r="H5245" t="s">
        <v>17113</v>
      </c>
    </row>
    <row r="5246" spans="8:8" x14ac:dyDescent="0.25">
      <c r="H5246" t="s">
        <v>30</v>
      </c>
    </row>
    <row r="5247" spans="8:8" x14ac:dyDescent="0.25">
      <c r="H5247" t="s">
        <v>136</v>
      </c>
    </row>
    <row r="5248" spans="8:8" x14ac:dyDescent="0.25">
      <c r="H5248" t="s">
        <v>17114</v>
      </c>
    </row>
    <row r="5249" spans="8:8" x14ac:dyDescent="0.25">
      <c r="H5249" t="s">
        <v>30</v>
      </c>
    </row>
    <row r="5250" spans="8:8" x14ac:dyDescent="0.25">
      <c r="H5250" t="s">
        <v>137</v>
      </c>
    </row>
    <row r="5251" spans="8:8" x14ac:dyDescent="0.25">
      <c r="H5251" t="s">
        <v>17115</v>
      </c>
    </row>
    <row r="5252" spans="8:8" x14ac:dyDescent="0.25">
      <c r="H5252" t="s">
        <v>30</v>
      </c>
    </row>
    <row r="5253" spans="8:8" x14ac:dyDescent="0.25">
      <c r="H5253" t="s">
        <v>138</v>
      </c>
    </row>
    <row r="5254" spans="8:8" x14ac:dyDescent="0.25">
      <c r="H5254" t="s">
        <v>17116</v>
      </c>
    </row>
    <row r="5255" spans="8:8" x14ac:dyDescent="0.25">
      <c r="H5255" t="s">
        <v>30</v>
      </c>
    </row>
    <row r="5257" spans="8:8" x14ac:dyDescent="0.25">
      <c r="H5257" t="s">
        <v>10543</v>
      </c>
    </row>
    <row r="5258" spans="8:8" x14ac:dyDescent="0.25">
      <c r="H5258" t="s">
        <v>10544</v>
      </c>
    </row>
    <row r="5259" spans="8:8" x14ac:dyDescent="0.25">
      <c r="H5259" t="s">
        <v>135</v>
      </c>
    </row>
    <row r="5260" spans="8:8" x14ac:dyDescent="0.25">
      <c r="H5260" t="s">
        <v>17117</v>
      </c>
    </row>
    <row r="5261" spans="8:8" x14ac:dyDescent="0.25">
      <c r="H5261" t="s">
        <v>30</v>
      </c>
    </row>
    <row r="5262" spans="8:8" x14ac:dyDescent="0.25">
      <c r="H5262" t="s">
        <v>136</v>
      </c>
    </row>
    <row r="5263" spans="8:8" x14ac:dyDescent="0.25">
      <c r="H5263" t="s">
        <v>17118</v>
      </c>
    </row>
    <row r="5264" spans="8:8" x14ac:dyDescent="0.25">
      <c r="H5264" t="s">
        <v>30</v>
      </c>
    </row>
    <row r="5265" spans="8:8" x14ac:dyDescent="0.25">
      <c r="H5265" t="s">
        <v>137</v>
      </c>
    </row>
    <row r="5266" spans="8:8" x14ac:dyDescent="0.25">
      <c r="H5266" t="s">
        <v>17119</v>
      </c>
    </row>
    <row r="5267" spans="8:8" x14ac:dyDescent="0.25">
      <c r="H5267" t="s">
        <v>30</v>
      </c>
    </row>
    <row r="5268" spans="8:8" x14ac:dyDescent="0.25">
      <c r="H5268" t="s">
        <v>138</v>
      </c>
    </row>
    <row r="5269" spans="8:8" x14ac:dyDescent="0.25">
      <c r="H5269" t="s">
        <v>17120</v>
      </c>
    </row>
    <row r="5270" spans="8:8" x14ac:dyDescent="0.25">
      <c r="H5270" t="s">
        <v>30</v>
      </c>
    </row>
    <row r="5272" spans="8:8" x14ac:dyDescent="0.25">
      <c r="H5272" t="s">
        <v>10549</v>
      </c>
    </row>
    <row r="5273" spans="8:8" x14ac:dyDescent="0.25">
      <c r="H5273" t="s">
        <v>10550</v>
      </c>
    </row>
    <row r="5274" spans="8:8" x14ac:dyDescent="0.25">
      <c r="H5274" t="s">
        <v>135</v>
      </c>
    </row>
    <row r="5275" spans="8:8" x14ac:dyDescent="0.25">
      <c r="H5275" t="s">
        <v>17121</v>
      </c>
    </row>
    <row r="5276" spans="8:8" x14ac:dyDescent="0.25">
      <c r="H5276" t="s">
        <v>30</v>
      </c>
    </row>
    <row r="5277" spans="8:8" x14ac:dyDescent="0.25">
      <c r="H5277" t="s">
        <v>136</v>
      </c>
    </row>
    <row r="5278" spans="8:8" x14ac:dyDescent="0.25">
      <c r="H5278" t="s">
        <v>17122</v>
      </c>
    </row>
    <row r="5279" spans="8:8" x14ac:dyDescent="0.25">
      <c r="H5279" t="s">
        <v>30</v>
      </c>
    </row>
    <row r="5280" spans="8:8" x14ac:dyDescent="0.25">
      <c r="H5280" t="s">
        <v>137</v>
      </c>
    </row>
    <row r="5281" spans="8:8" x14ac:dyDescent="0.25">
      <c r="H5281" t="s">
        <v>17123</v>
      </c>
    </row>
    <row r="5282" spans="8:8" x14ac:dyDescent="0.25">
      <c r="H5282" t="s">
        <v>30</v>
      </c>
    </row>
    <row r="5283" spans="8:8" x14ac:dyDescent="0.25">
      <c r="H5283" t="s">
        <v>138</v>
      </c>
    </row>
    <row r="5284" spans="8:8" x14ac:dyDescent="0.25">
      <c r="H5284" t="s">
        <v>17124</v>
      </c>
    </row>
    <row r="5285" spans="8:8" x14ac:dyDescent="0.25">
      <c r="H5285" t="s">
        <v>30</v>
      </c>
    </row>
    <row r="5287" spans="8:8" x14ac:dyDescent="0.25">
      <c r="H5287" t="s">
        <v>10555</v>
      </c>
    </row>
    <row r="5288" spans="8:8" x14ac:dyDescent="0.25">
      <c r="H5288" t="s">
        <v>10556</v>
      </c>
    </row>
    <row r="5289" spans="8:8" x14ac:dyDescent="0.25">
      <c r="H5289" t="s">
        <v>135</v>
      </c>
    </row>
    <row r="5290" spans="8:8" x14ac:dyDescent="0.25">
      <c r="H5290" t="s">
        <v>17125</v>
      </c>
    </row>
    <row r="5291" spans="8:8" x14ac:dyDescent="0.25">
      <c r="H5291" t="s">
        <v>30</v>
      </c>
    </row>
    <row r="5292" spans="8:8" x14ac:dyDescent="0.25">
      <c r="H5292" t="s">
        <v>136</v>
      </c>
    </row>
    <row r="5293" spans="8:8" x14ac:dyDescent="0.25">
      <c r="H5293" t="s">
        <v>17126</v>
      </c>
    </row>
    <row r="5294" spans="8:8" x14ac:dyDescent="0.25">
      <c r="H5294" t="s">
        <v>30</v>
      </c>
    </row>
    <row r="5295" spans="8:8" x14ac:dyDescent="0.25">
      <c r="H5295" t="s">
        <v>137</v>
      </c>
    </row>
    <row r="5296" spans="8:8" x14ac:dyDescent="0.25">
      <c r="H5296" t="s">
        <v>17127</v>
      </c>
    </row>
    <row r="5297" spans="8:8" x14ac:dyDescent="0.25">
      <c r="H5297" t="s">
        <v>30</v>
      </c>
    </row>
    <row r="5298" spans="8:8" x14ac:dyDescent="0.25">
      <c r="H5298" t="s">
        <v>138</v>
      </c>
    </row>
    <row r="5299" spans="8:8" x14ac:dyDescent="0.25">
      <c r="H5299" t="s">
        <v>17128</v>
      </c>
    </row>
    <row r="5300" spans="8:8" x14ac:dyDescent="0.25">
      <c r="H5300" t="s">
        <v>30</v>
      </c>
    </row>
    <row r="5302" spans="8:8" x14ac:dyDescent="0.25">
      <c r="H5302" t="s">
        <v>10561</v>
      </c>
    </row>
    <row r="5303" spans="8:8" x14ac:dyDescent="0.25">
      <c r="H5303" t="s">
        <v>10562</v>
      </c>
    </row>
    <row r="5304" spans="8:8" x14ac:dyDescent="0.25">
      <c r="H5304" t="s">
        <v>135</v>
      </c>
    </row>
    <row r="5305" spans="8:8" x14ac:dyDescent="0.25">
      <c r="H5305" t="s">
        <v>17129</v>
      </c>
    </row>
    <row r="5306" spans="8:8" x14ac:dyDescent="0.25">
      <c r="H5306" t="s">
        <v>30</v>
      </c>
    </row>
    <row r="5307" spans="8:8" x14ac:dyDescent="0.25">
      <c r="H5307" t="s">
        <v>136</v>
      </c>
    </row>
    <row r="5308" spans="8:8" x14ac:dyDescent="0.25">
      <c r="H5308" t="s">
        <v>17130</v>
      </c>
    </row>
    <row r="5309" spans="8:8" x14ac:dyDescent="0.25">
      <c r="H5309" t="s">
        <v>30</v>
      </c>
    </row>
    <row r="5310" spans="8:8" x14ac:dyDescent="0.25">
      <c r="H5310" t="s">
        <v>137</v>
      </c>
    </row>
    <row r="5311" spans="8:8" x14ac:dyDescent="0.25">
      <c r="H5311" t="s">
        <v>17131</v>
      </c>
    </row>
    <row r="5312" spans="8:8" x14ac:dyDescent="0.25">
      <c r="H5312" t="s">
        <v>30</v>
      </c>
    </row>
    <row r="5313" spans="8:8" x14ac:dyDescent="0.25">
      <c r="H5313" t="s">
        <v>138</v>
      </c>
    </row>
    <row r="5314" spans="8:8" x14ac:dyDescent="0.25">
      <c r="H5314" t="s">
        <v>17132</v>
      </c>
    </row>
    <row r="5315" spans="8:8" x14ac:dyDescent="0.25">
      <c r="H5315" t="s">
        <v>30</v>
      </c>
    </row>
    <row r="5317" spans="8:8" x14ac:dyDescent="0.25">
      <c r="H5317" t="s">
        <v>10567</v>
      </c>
    </row>
    <row r="5318" spans="8:8" x14ac:dyDescent="0.25">
      <c r="H5318" t="s">
        <v>10568</v>
      </c>
    </row>
    <row r="5319" spans="8:8" x14ac:dyDescent="0.25">
      <c r="H5319" t="s">
        <v>135</v>
      </c>
    </row>
    <row r="5320" spans="8:8" x14ac:dyDescent="0.25">
      <c r="H5320" t="s">
        <v>17133</v>
      </c>
    </row>
    <row r="5321" spans="8:8" x14ac:dyDescent="0.25">
      <c r="H5321" t="s">
        <v>30</v>
      </c>
    </row>
    <row r="5322" spans="8:8" x14ac:dyDescent="0.25">
      <c r="H5322" t="s">
        <v>136</v>
      </c>
    </row>
    <row r="5323" spans="8:8" x14ac:dyDescent="0.25">
      <c r="H5323" t="s">
        <v>17134</v>
      </c>
    </row>
    <row r="5324" spans="8:8" x14ac:dyDescent="0.25">
      <c r="H5324" t="s">
        <v>30</v>
      </c>
    </row>
    <row r="5325" spans="8:8" x14ac:dyDescent="0.25">
      <c r="H5325" t="s">
        <v>137</v>
      </c>
    </row>
    <row r="5326" spans="8:8" x14ac:dyDescent="0.25">
      <c r="H5326" t="s">
        <v>17135</v>
      </c>
    </row>
    <row r="5327" spans="8:8" x14ac:dyDescent="0.25">
      <c r="H5327" t="s">
        <v>30</v>
      </c>
    </row>
    <row r="5328" spans="8:8" x14ac:dyDescent="0.25">
      <c r="H5328" t="s">
        <v>138</v>
      </c>
    </row>
    <row r="5329" spans="8:8" x14ac:dyDescent="0.25">
      <c r="H5329" t="s">
        <v>17136</v>
      </c>
    </row>
    <row r="5330" spans="8:8" x14ac:dyDescent="0.25">
      <c r="H5330" t="s">
        <v>30</v>
      </c>
    </row>
    <row r="5332" spans="8:8" x14ac:dyDescent="0.25">
      <c r="H5332" t="s">
        <v>10573</v>
      </c>
    </row>
    <row r="5333" spans="8:8" x14ac:dyDescent="0.25">
      <c r="H5333" t="s">
        <v>10574</v>
      </c>
    </row>
    <row r="5334" spans="8:8" x14ac:dyDescent="0.25">
      <c r="H5334" t="s">
        <v>135</v>
      </c>
    </row>
    <row r="5335" spans="8:8" x14ac:dyDescent="0.25">
      <c r="H5335" t="s">
        <v>17137</v>
      </c>
    </row>
    <row r="5336" spans="8:8" x14ac:dyDescent="0.25">
      <c r="H5336" t="s">
        <v>30</v>
      </c>
    </row>
    <row r="5337" spans="8:8" x14ac:dyDescent="0.25">
      <c r="H5337" t="s">
        <v>136</v>
      </c>
    </row>
    <row r="5338" spans="8:8" x14ac:dyDescent="0.25">
      <c r="H5338" t="s">
        <v>17138</v>
      </c>
    </row>
    <row r="5339" spans="8:8" x14ac:dyDescent="0.25">
      <c r="H5339" t="s">
        <v>30</v>
      </c>
    </row>
    <row r="5340" spans="8:8" x14ac:dyDescent="0.25">
      <c r="H5340" t="s">
        <v>137</v>
      </c>
    </row>
    <row r="5341" spans="8:8" x14ac:dyDescent="0.25">
      <c r="H5341" t="s">
        <v>17139</v>
      </c>
    </row>
    <row r="5342" spans="8:8" x14ac:dyDescent="0.25">
      <c r="H5342" t="s">
        <v>30</v>
      </c>
    </row>
    <row r="5343" spans="8:8" x14ac:dyDescent="0.25">
      <c r="H5343" t="s">
        <v>138</v>
      </c>
    </row>
    <row r="5344" spans="8:8" x14ac:dyDescent="0.25">
      <c r="H5344" t="s">
        <v>17140</v>
      </c>
    </row>
    <row r="5345" spans="8:8" x14ac:dyDescent="0.25">
      <c r="H5345" t="s">
        <v>30</v>
      </c>
    </row>
    <row r="5347" spans="8:8" x14ac:dyDescent="0.25">
      <c r="H5347" t="s">
        <v>10579</v>
      </c>
    </row>
    <row r="5348" spans="8:8" x14ac:dyDescent="0.25">
      <c r="H5348" t="s">
        <v>10580</v>
      </c>
    </row>
    <row r="5349" spans="8:8" x14ac:dyDescent="0.25">
      <c r="H5349" t="s">
        <v>135</v>
      </c>
    </row>
    <row r="5350" spans="8:8" x14ac:dyDescent="0.25">
      <c r="H5350" t="s">
        <v>17141</v>
      </c>
    </row>
    <row r="5351" spans="8:8" x14ac:dyDescent="0.25">
      <c r="H5351" t="s">
        <v>30</v>
      </c>
    </row>
    <row r="5352" spans="8:8" x14ac:dyDescent="0.25">
      <c r="H5352" t="s">
        <v>136</v>
      </c>
    </row>
    <row r="5353" spans="8:8" x14ac:dyDescent="0.25">
      <c r="H5353" t="s">
        <v>17142</v>
      </c>
    </row>
    <row r="5354" spans="8:8" x14ac:dyDescent="0.25">
      <c r="H5354" t="s">
        <v>30</v>
      </c>
    </row>
    <row r="5355" spans="8:8" x14ac:dyDescent="0.25">
      <c r="H5355" t="s">
        <v>137</v>
      </c>
    </row>
    <row r="5356" spans="8:8" x14ac:dyDescent="0.25">
      <c r="H5356" t="s">
        <v>17143</v>
      </c>
    </row>
    <row r="5357" spans="8:8" x14ac:dyDescent="0.25">
      <c r="H5357" t="s">
        <v>30</v>
      </c>
    </row>
    <row r="5358" spans="8:8" x14ac:dyDescent="0.25">
      <c r="H5358" t="s">
        <v>138</v>
      </c>
    </row>
    <row r="5359" spans="8:8" x14ac:dyDescent="0.25">
      <c r="H5359" t="s">
        <v>17144</v>
      </c>
    </row>
    <row r="5360" spans="8:8" x14ac:dyDescent="0.25">
      <c r="H5360" t="s">
        <v>30</v>
      </c>
    </row>
    <row r="5362" spans="8:8" x14ac:dyDescent="0.25">
      <c r="H5362" t="s">
        <v>10585</v>
      </c>
    </row>
    <row r="5363" spans="8:8" x14ac:dyDescent="0.25">
      <c r="H5363" t="s">
        <v>10586</v>
      </c>
    </row>
    <row r="5364" spans="8:8" x14ac:dyDescent="0.25">
      <c r="H5364" t="s">
        <v>135</v>
      </c>
    </row>
    <row r="5365" spans="8:8" x14ac:dyDescent="0.25">
      <c r="H5365" t="s">
        <v>17145</v>
      </c>
    </row>
    <row r="5366" spans="8:8" x14ac:dyDescent="0.25">
      <c r="H5366" t="s">
        <v>30</v>
      </c>
    </row>
    <row r="5367" spans="8:8" x14ac:dyDescent="0.25">
      <c r="H5367" t="s">
        <v>136</v>
      </c>
    </row>
    <row r="5368" spans="8:8" x14ac:dyDescent="0.25">
      <c r="H5368" t="s">
        <v>17146</v>
      </c>
    </row>
    <row r="5369" spans="8:8" x14ac:dyDescent="0.25">
      <c r="H5369" t="s">
        <v>30</v>
      </c>
    </row>
    <row r="5370" spans="8:8" x14ac:dyDescent="0.25">
      <c r="H5370" t="s">
        <v>137</v>
      </c>
    </row>
    <row r="5371" spans="8:8" x14ac:dyDescent="0.25">
      <c r="H5371" t="s">
        <v>17147</v>
      </c>
    </row>
    <row r="5372" spans="8:8" x14ac:dyDescent="0.25">
      <c r="H5372" t="s">
        <v>30</v>
      </c>
    </row>
    <row r="5373" spans="8:8" x14ac:dyDescent="0.25">
      <c r="H5373" t="s">
        <v>138</v>
      </c>
    </row>
    <row r="5374" spans="8:8" x14ac:dyDescent="0.25">
      <c r="H5374" t="s">
        <v>17148</v>
      </c>
    </row>
    <row r="5375" spans="8:8" x14ac:dyDescent="0.25">
      <c r="H5375" t="s">
        <v>30</v>
      </c>
    </row>
    <row r="5377" spans="8:8" x14ac:dyDescent="0.25">
      <c r="H5377" t="s">
        <v>10591</v>
      </c>
    </row>
    <row r="5378" spans="8:8" x14ac:dyDescent="0.25">
      <c r="H5378" t="s">
        <v>10592</v>
      </c>
    </row>
    <row r="5379" spans="8:8" x14ac:dyDescent="0.25">
      <c r="H5379" t="s">
        <v>135</v>
      </c>
    </row>
    <row r="5380" spans="8:8" x14ac:dyDescent="0.25">
      <c r="H5380" t="s">
        <v>17149</v>
      </c>
    </row>
    <row r="5381" spans="8:8" x14ac:dyDescent="0.25">
      <c r="H5381" t="s">
        <v>30</v>
      </c>
    </row>
    <row r="5382" spans="8:8" x14ac:dyDescent="0.25">
      <c r="H5382" t="s">
        <v>136</v>
      </c>
    </row>
    <row r="5383" spans="8:8" x14ac:dyDescent="0.25">
      <c r="H5383" t="s">
        <v>17150</v>
      </c>
    </row>
    <row r="5384" spans="8:8" x14ac:dyDescent="0.25">
      <c r="H5384" t="s">
        <v>30</v>
      </c>
    </row>
    <row r="5385" spans="8:8" x14ac:dyDescent="0.25">
      <c r="H5385" t="s">
        <v>137</v>
      </c>
    </row>
    <row r="5386" spans="8:8" x14ac:dyDescent="0.25">
      <c r="H5386" t="s">
        <v>17151</v>
      </c>
    </row>
    <row r="5387" spans="8:8" x14ac:dyDescent="0.25">
      <c r="H5387" t="s">
        <v>30</v>
      </c>
    </row>
    <row r="5388" spans="8:8" x14ac:dyDescent="0.25">
      <c r="H5388" t="s">
        <v>138</v>
      </c>
    </row>
    <row r="5389" spans="8:8" x14ac:dyDescent="0.25">
      <c r="H5389" t="s">
        <v>17152</v>
      </c>
    </row>
    <row r="5390" spans="8:8" x14ac:dyDescent="0.25">
      <c r="H5390" t="s">
        <v>30</v>
      </c>
    </row>
    <row r="5392" spans="8:8" x14ac:dyDescent="0.25">
      <c r="H5392" t="s">
        <v>10597</v>
      </c>
    </row>
    <row r="5393" spans="8:8" x14ac:dyDescent="0.25">
      <c r="H5393" t="s">
        <v>10598</v>
      </c>
    </row>
    <row r="5394" spans="8:8" x14ac:dyDescent="0.25">
      <c r="H5394" t="s">
        <v>135</v>
      </c>
    </row>
    <row r="5395" spans="8:8" x14ac:dyDescent="0.25">
      <c r="H5395" t="s">
        <v>17153</v>
      </c>
    </row>
    <row r="5396" spans="8:8" x14ac:dyDescent="0.25">
      <c r="H5396" t="s">
        <v>30</v>
      </c>
    </row>
    <row r="5397" spans="8:8" x14ac:dyDescent="0.25">
      <c r="H5397" t="s">
        <v>136</v>
      </c>
    </row>
    <row r="5398" spans="8:8" x14ac:dyDescent="0.25">
      <c r="H5398" t="s">
        <v>17154</v>
      </c>
    </row>
    <row r="5399" spans="8:8" x14ac:dyDescent="0.25">
      <c r="H5399" t="s">
        <v>30</v>
      </c>
    </row>
    <row r="5400" spans="8:8" x14ac:dyDescent="0.25">
      <c r="H5400" t="s">
        <v>137</v>
      </c>
    </row>
    <row r="5401" spans="8:8" x14ac:dyDescent="0.25">
      <c r="H5401" t="s">
        <v>17155</v>
      </c>
    </row>
    <row r="5402" spans="8:8" x14ac:dyDescent="0.25">
      <c r="H5402" t="s">
        <v>30</v>
      </c>
    </row>
    <row r="5403" spans="8:8" x14ac:dyDescent="0.25">
      <c r="H5403" t="s">
        <v>138</v>
      </c>
    </row>
    <row r="5404" spans="8:8" x14ac:dyDescent="0.25">
      <c r="H5404" t="s">
        <v>17156</v>
      </c>
    </row>
    <row r="5405" spans="8:8" x14ac:dyDescent="0.25">
      <c r="H5405" t="s">
        <v>30</v>
      </c>
    </row>
    <row r="5407" spans="8:8" x14ac:dyDescent="0.25">
      <c r="H5407" t="s">
        <v>10603</v>
      </c>
    </row>
    <row r="5408" spans="8:8" x14ac:dyDescent="0.25">
      <c r="H5408" t="s">
        <v>10604</v>
      </c>
    </row>
    <row r="5409" spans="8:8" x14ac:dyDescent="0.25">
      <c r="H5409" t="s">
        <v>135</v>
      </c>
    </row>
    <row r="5410" spans="8:8" x14ac:dyDescent="0.25">
      <c r="H5410" t="s">
        <v>17157</v>
      </c>
    </row>
    <row r="5411" spans="8:8" x14ac:dyDescent="0.25">
      <c r="H5411" t="s">
        <v>30</v>
      </c>
    </row>
    <row r="5412" spans="8:8" x14ac:dyDescent="0.25">
      <c r="H5412" t="s">
        <v>136</v>
      </c>
    </row>
    <row r="5413" spans="8:8" x14ac:dyDescent="0.25">
      <c r="H5413" t="s">
        <v>17158</v>
      </c>
    </row>
    <row r="5414" spans="8:8" x14ac:dyDescent="0.25">
      <c r="H5414" t="s">
        <v>30</v>
      </c>
    </row>
    <row r="5415" spans="8:8" x14ac:dyDescent="0.25">
      <c r="H5415" t="s">
        <v>137</v>
      </c>
    </row>
    <row r="5416" spans="8:8" x14ac:dyDescent="0.25">
      <c r="H5416" t="s">
        <v>17159</v>
      </c>
    </row>
    <row r="5417" spans="8:8" x14ac:dyDescent="0.25">
      <c r="H5417" t="s">
        <v>30</v>
      </c>
    </row>
    <row r="5418" spans="8:8" x14ac:dyDescent="0.25">
      <c r="H5418" t="s">
        <v>138</v>
      </c>
    </row>
    <row r="5419" spans="8:8" x14ac:dyDescent="0.25">
      <c r="H5419" t="s">
        <v>17160</v>
      </c>
    </row>
    <row r="5420" spans="8:8" x14ac:dyDescent="0.25">
      <c r="H5420" t="s">
        <v>30</v>
      </c>
    </row>
    <row r="5422" spans="8:8" x14ac:dyDescent="0.25">
      <c r="H5422" t="s">
        <v>10609</v>
      </c>
    </row>
    <row r="5423" spans="8:8" x14ac:dyDescent="0.25">
      <c r="H5423" t="s">
        <v>10610</v>
      </c>
    </row>
    <row r="5424" spans="8:8" x14ac:dyDescent="0.25">
      <c r="H5424" t="s">
        <v>135</v>
      </c>
    </row>
    <row r="5425" spans="8:8" x14ac:dyDescent="0.25">
      <c r="H5425" t="s">
        <v>17161</v>
      </c>
    </row>
    <row r="5426" spans="8:8" x14ac:dyDescent="0.25">
      <c r="H5426" t="s">
        <v>30</v>
      </c>
    </row>
    <row r="5427" spans="8:8" x14ac:dyDescent="0.25">
      <c r="H5427" t="s">
        <v>136</v>
      </c>
    </row>
    <row r="5428" spans="8:8" x14ac:dyDescent="0.25">
      <c r="H5428" t="s">
        <v>17162</v>
      </c>
    </row>
    <row r="5429" spans="8:8" x14ac:dyDescent="0.25">
      <c r="H5429" t="s">
        <v>30</v>
      </c>
    </row>
    <row r="5430" spans="8:8" x14ac:dyDescent="0.25">
      <c r="H5430" t="s">
        <v>137</v>
      </c>
    </row>
    <row r="5431" spans="8:8" x14ac:dyDescent="0.25">
      <c r="H5431" t="s">
        <v>17163</v>
      </c>
    </row>
    <row r="5432" spans="8:8" x14ac:dyDescent="0.25">
      <c r="H5432" t="s">
        <v>30</v>
      </c>
    </row>
    <row r="5433" spans="8:8" x14ac:dyDescent="0.25">
      <c r="H5433" t="s">
        <v>138</v>
      </c>
    </row>
    <row r="5434" spans="8:8" x14ac:dyDescent="0.25">
      <c r="H5434" t="s">
        <v>17164</v>
      </c>
    </row>
    <row r="5435" spans="8:8" x14ac:dyDescent="0.25">
      <c r="H5435" t="s">
        <v>30</v>
      </c>
    </row>
    <row r="5437" spans="8:8" x14ac:dyDescent="0.25">
      <c r="H5437" t="s">
        <v>10615</v>
      </c>
    </row>
    <row r="5438" spans="8:8" x14ac:dyDescent="0.25">
      <c r="H5438" t="s">
        <v>10616</v>
      </c>
    </row>
    <row r="5439" spans="8:8" x14ac:dyDescent="0.25">
      <c r="H5439" t="s">
        <v>135</v>
      </c>
    </row>
    <row r="5440" spans="8:8" x14ac:dyDescent="0.25">
      <c r="H5440" t="s">
        <v>17165</v>
      </c>
    </row>
    <row r="5441" spans="8:8" x14ac:dyDescent="0.25">
      <c r="H5441" t="s">
        <v>30</v>
      </c>
    </row>
    <row r="5442" spans="8:8" x14ac:dyDescent="0.25">
      <c r="H5442" t="s">
        <v>136</v>
      </c>
    </row>
    <row r="5443" spans="8:8" x14ac:dyDescent="0.25">
      <c r="H5443" t="s">
        <v>17166</v>
      </c>
    </row>
    <row r="5444" spans="8:8" x14ac:dyDescent="0.25">
      <c r="H5444" t="s">
        <v>30</v>
      </c>
    </row>
    <row r="5445" spans="8:8" x14ac:dyDescent="0.25">
      <c r="H5445" t="s">
        <v>137</v>
      </c>
    </row>
    <row r="5446" spans="8:8" x14ac:dyDescent="0.25">
      <c r="H5446" t="s">
        <v>17167</v>
      </c>
    </row>
    <row r="5447" spans="8:8" x14ac:dyDescent="0.25">
      <c r="H5447" t="s">
        <v>30</v>
      </c>
    </row>
    <row r="5448" spans="8:8" x14ac:dyDescent="0.25">
      <c r="H5448" t="s">
        <v>138</v>
      </c>
    </row>
    <row r="5449" spans="8:8" x14ac:dyDescent="0.25">
      <c r="H5449" t="s">
        <v>17168</v>
      </c>
    </row>
    <row r="5450" spans="8:8" x14ac:dyDescent="0.25">
      <c r="H5450" t="s">
        <v>30</v>
      </c>
    </row>
    <row r="5452" spans="8:8" x14ac:dyDescent="0.25">
      <c r="H5452" t="s">
        <v>10621</v>
      </c>
    </row>
    <row r="5453" spans="8:8" x14ac:dyDescent="0.25">
      <c r="H5453" t="s">
        <v>10622</v>
      </c>
    </row>
    <row r="5454" spans="8:8" x14ac:dyDescent="0.25">
      <c r="H5454" t="s">
        <v>135</v>
      </c>
    </row>
    <row r="5455" spans="8:8" x14ac:dyDescent="0.25">
      <c r="H5455" t="s">
        <v>17169</v>
      </c>
    </row>
    <row r="5456" spans="8:8" x14ac:dyDescent="0.25">
      <c r="H5456" t="s">
        <v>30</v>
      </c>
    </row>
    <row r="5457" spans="8:8" x14ac:dyDescent="0.25">
      <c r="H5457" t="s">
        <v>136</v>
      </c>
    </row>
    <row r="5458" spans="8:8" x14ac:dyDescent="0.25">
      <c r="H5458" t="s">
        <v>17170</v>
      </c>
    </row>
    <row r="5459" spans="8:8" x14ac:dyDescent="0.25">
      <c r="H5459" t="s">
        <v>30</v>
      </c>
    </row>
    <row r="5460" spans="8:8" x14ac:dyDescent="0.25">
      <c r="H5460" t="s">
        <v>137</v>
      </c>
    </row>
    <row r="5461" spans="8:8" x14ac:dyDescent="0.25">
      <c r="H5461" t="s">
        <v>17171</v>
      </c>
    </row>
    <row r="5462" spans="8:8" x14ac:dyDescent="0.25">
      <c r="H5462" t="s">
        <v>30</v>
      </c>
    </row>
    <row r="5463" spans="8:8" x14ac:dyDescent="0.25">
      <c r="H5463" t="s">
        <v>138</v>
      </c>
    </row>
    <row r="5464" spans="8:8" x14ac:dyDescent="0.25">
      <c r="H5464" t="s">
        <v>17172</v>
      </c>
    </row>
    <row r="5465" spans="8:8" x14ac:dyDescent="0.25">
      <c r="H5465" t="s">
        <v>30</v>
      </c>
    </row>
    <row r="5467" spans="8:8" x14ac:dyDescent="0.25">
      <c r="H5467" t="s">
        <v>10627</v>
      </c>
    </row>
    <row r="5468" spans="8:8" x14ac:dyDescent="0.25">
      <c r="H5468" t="s">
        <v>10628</v>
      </c>
    </row>
    <row r="5469" spans="8:8" x14ac:dyDescent="0.25">
      <c r="H5469" t="s">
        <v>135</v>
      </c>
    </row>
    <row r="5470" spans="8:8" x14ac:dyDescent="0.25">
      <c r="H5470" t="s">
        <v>17173</v>
      </c>
    </row>
    <row r="5471" spans="8:8" x14ac:dyDescent="0.25">
      <c r="H5471" t="s">
        <v>30</v>
      </c>
    </row>
    <row r="5472" spans="8:8" x14ac:dyDescent="0.25">
      <c r="H5472" t="s">
        <v>136</v>
      </c>
    </row>
    <row r="5473" spans="8:8" x14ac:dyDescent="0.25">
      <c r="H5473" t="s">
        <v>17174</v>
      </c>
    </row>
    <row r="5474" spans="8:8" x14ac:dyDescent="0.25">
      <c r="H5474" t="s">
        <v>30</v>
      </c>
    </row>
    <row r="5475" spans="8:8" x14ac:dyDescent="0.25">
      <c r="H5475" t="s">
        <v>137</v>
      </c>
    </row>
    <row r="5476" spans="8:8" x14ac:dyDescent="0.25">
      <c r="H5476" t="s">
        <v>17175</v>
      </c>
    </row>
    <row r="5477" spans="8:8" x14ac:dyDescent="0.25">
      <c r="H5477" t="s">
        <v>30</v>
      </c>
    </row>
    <row r="5478" spans="8:8" x14ac:dyDescent="0.25">
      <c r="H5478" t="s">
        <v>138</v>
      </c>
    </row>
    <row r="5479" spans="8:8" x14ac:dyDescent="0.25">
      <c r="H5479" t="s">
        <v>17176</v>
      </c>
    </row>
    <row r="5480" spans="8:8" x14ac:dyDescent="0.25">
      <c r="H5480" t="s">
        <v>30</v>
      </c>
    </row>
    <row r="5482" spans="8:8" x14ac:dyDescent="0.25">
      <c r="H5482" t="s">
        <v>10633</v>
      </c>
    </row>
    <row r="5483" spans="8:8" x14ac:dyDescent="0.25">
      <c r="H5483" t="s">
        <v>10634</v>
      </c>
    </row>
    <row r="5484" spans="8:8" x14ac:dyDescent="0.25">
      <c r="H5484" t="s">
        <v>135</v>
      </c>
    </row>
    <row r="5485" spans="8:8" x14ac:dyDescent="0.25">
      <c r="H5485" t="s">
        <v>17177</v>
      </c>
    </row>
    <row r="5486" spans="8:8" x14ac:dyDescent="0.25">
      <c r="H5486" t="s">
        <v>30</v>
      </c>
    </row>
    <row r="5487" spans="8:8" x14ac:dyDescent="0.25">
      <c r="H5487" t="s">
        <v>136</v>
      </c>
    </row>
    <row r="5488" spans="8:8" x14ac:dyDescent="0.25">
      <c r="H5488" t="s">
        <v>17178</v>
      </c>
    </row>
    <row r="5489" spans="8:8" x14ac:dyDescent="0.25">
      <c r="H5489" t="s">
        <v>30</v>
      </c>
    </row>
    <row r="5490" spans="8:8" x14ac:dyDescent="0.25">
      <c r="H5490" t="s">
        <v>137</v>
      </c>
    </row>
    <row r="5491" spans="8:8" x14ac:dyDescent="0.25">
      <c r="H5491" t="s">
        <v>17179</v>
      </c>
    </row>
    <row r="5492" spans="8:8" x14ac:dyDescent="0.25">
      <c r="H5492" t="s">
        <v>30</v>
      </c>
    </row>
    <row r="5493" spans="8:8" x14ac:dyDescent="0.25">
      <c r="H5493" t="s">
        <v>138</v>
      </c>
    </row>
    <row r="5494" spans="8:8" x14ac:dyDescent="0.25">
      <c r="H5494" t="s">
        <v>17180</v>
      </c>
    </row>
    <row r="5495" spans="8:8" x14ac:dyDescent="0.25">
      <c r="H5495" t="s">
        <v>30</v>
      </c>
    </row>
    <row r="5497" spans="8:8" x14ac:dyDescent="0.25">
      <c r="H5497" t="s">
        <v>10639</v>
      </c>
    </row>
    <row r="5498" spans="8:8" x14ac:dyDescent="0.25">
      <c r="H5498" t="s">
        <v>10640</v>
      </c>
    </row>
    <row r="5499" spans="8:8" x14ac:dyDescent="0.25">
      <c r="H5499" t="s">
        <v>135</v>
      </c>
    </row>
    <row r="5500" spans="8:8" x14ac:dyDescent="0.25">
      <c r="H5500" t="s">
        <v>17181</v>
      </c>
    </row>
    <row r="5501" spans="8:8" x14ac:dyDescent="0.25">
      <c r="H5501" t="s">
        <v>30</v>
      </c>
    </row>
    <row r="5502" spans="8:8" x14ac:dyDescent="0.25">
      <c r="H5502" t="s">
        <v>136</v>
      </c>
    </row>
    <row r="5503" spans="8:8" x14ac:dyDescent="0.25">
      <c r="H5503" t="s">
        <v>17182</v>
      </c>
    </row>
    <row r="5504" spans="8:8" x14ac:dyDescent="0.25">
      <c r="H5504" t="s">
        <v>30</v>
      </c>
    </row>
    <row r="5505" spans="8:8" x14ac:dyDescent="0.25">
      <c r="H5505" t="s">
        <v>137</v>
      </c>
    </row>
    <row r="5506" spans="8:8" x14ac:dyDescent="0.25">
      <c r="H5506" t="s">
        <v>17183</v>
      </c>
    </row>
    <row r="5507" spans="8:8" x14ac:dyDescent="0.25">
      <c r="H5507" t="s">
        <v>30</v>
      </c>
    </row>
    <row r="5508" spans="8:8" x14ac:dyDescent="0.25">
      <c r="H5508" t="s">
        <v>138</v>
      </c>
    </row>
    <row r="5509" spans="8:8" x14ac:dyDescent="0.25">
      <c r="H5509" t="s">
        <v>17184</v>
      </c>
    </row>
    <row r="5510" spans="8:8" x14ac:dyDescent="0.25">
      <c r="H5510" t="s">
        <v>30</v>
      </c>
    </row>
    <row r="5512" spans="8:8" x14ac:dyDescent="0.25">
      <c r="H5512" t="s">
        <v>10645</v>
      </c>
    </row>
    <row r="5513" spans="8:8" x14ac:dyDescent="0.25">
      <c r="H5513" t="s">
        <v>10646</v>
      </c>
    </row>
    <row r="5514" spans="8:8" x14ac:dyDescent="0.25">
      <c r="H5514" t="s">
        <v>135</v>
      </c>
    </row>
    <row r="5515" spans="8:8" x14ac:dyDescent="0.25">
      <c r="H5515" t="s">
        <v>17185</v>
      </c>
    </row>
    <row r="5516" spans="8:8" x14ac:dyDescent="0.25">
      <c r="H5516" t="s">
        <v>30</v>
      </c>
    </row>
    <row r="5517" spans="8:8" x14ac:dyDescent="0.25">
      <c r="H5517" t="s">
        <v>136</v>
      </c>
    </row>
    <row r="5518" spans="8:8" x14ac:dyDescent="0.25">
      <c r="H5518" t="s">
        <v>17186</v>
      </c>
    </row>
    <row r="5519" spans="8:8" x14ac:dyDescent="0.25">
      <c r="H5519" t="s">
        <v>30</v>
      </c>
    </row>
    <row r="5520" spans="8:8" x14ac:dyDescent="0.25">
      <c r="H5520" t="s">
        <v>137</v>
      </c>
    </row>
    <row r="5521" spans="8:8" x14ac:dyDescent="0.25">
      <c r="H5521" t="s">
        <v>17187</v>
      </c>
    </row>
    <row r="5522" spans="8:8" x14ac:dyDescent="0.25">
      <c r="H5522" t="s">
        <v>30</v>
      </c>
    </row>
    <row r="5523" spans="8:8" x14ac:dyDescent="0.25">
      <c r="H5523" t="s">
        <v>138</v>
      </c>
    </row>
    <row r="5524" spans="8:8" x14ac:dyDescent="0.25">
      <c r="H5524" t="s">
        <v>17188</v>
      </c>
    </row>
    <row r="5525" spans="8:8" x14ac:dyDescent="0.25">
      <c r="H5525" t="s">
        <v>30</v>
      </c>
    </row>
    <row r="5527" spans="8:8" x14ac:dyDescent="0.25">
      <c r="H5527" t="s">
        <v>10651</v>
      </c>
    </row>
    <row r="5528" spans="8:8" x14ac:dyDescent="0.25">
      <c r="H5528" t="s">
        <v>10652</v>
      </c>
    </row>
    <row r="5529" spans="8:8" x14ac:dyDescent="0.25">
      <c r="H5529" t="s">
        <v>135</v>
      </c>
    </row>
    <row r="5530" spans="8:8" x14ac:dyDescent="0.25">
      <c r="H5530" t="s">
        <v>17189</v>
      </c>
    </row>
    <row r="5531" spans="8:8" x14ac:dyDescent="0.25">
      <c r="H5531" t="s">
        <v>30</v>
      </c>
    </row>
    <row r="5532" spans="8:8" x14ac:dyDescent="0.25">
      <c r="H5532" t="s">
        <v>136</v>
      </c>
    </row>
    <row r="5533" spans="8:8" x14ac:dyDescent="0.25">
      <c r="H5533" t="s">
        <v>17190</v>
      </c>
    </row>
    <row r="5534" spans="8:8" x14ac:dyDescent="0.25">
      <c r="H5534" t="s">
        <v>30</v>
      </c>
    </row>
    <row r="5535" spans="8:8" x14ac:dyDescent="0.25">
      <c r="H5535" t="s">
        <v>137</v>
      </c>
    </row>
    <row r="5536" spans="8:8" x14ac:dyDescent="0.25">
      <c r="H5536" t="s">
        <v>17191</v>
      </c>
    </row>
    <row r="5537" spans="8:8" x14ac:dyDescent="0.25">
      <c r="H5537" t="s">
        <v>30</v>
      </c>
    </row>
    <row r="5538" spans="8:8" x14ac:dyDescent="0.25">
      <c r="H5538" t="s">
        <v>138</v>
      </c>
    </row>
    <row r="5539" spans="8:8" x14ac:dyDescent="0.25">
      <c r="H5539" t="s">
        <v>17192</v>
      </c>
    </row>
    <row r="5540" spans="8:8" x14ac:dyDescent="0.25">
      <c r="H5540" t="s">
        <v>30</v>
      </c>
    </row>
    <row r="5542" spans="8:8" x14ac:dyDescent="0.25">
      <c r="H5542" t="s">
        <v>10657</v>
      </c>
    </row>
    <row r="5543" spans="8:8" x14ac:dyDescent="0.25">
      <c r="H5543" t="s">
        <v>10658</v>
      </c>
    </row>
    <row r="5544" spans="8:8" x14ac:dyDescent="0.25">
      <c r="H5544" t="s">
        <v>135</v>
      </c>
    </row>
    <row r="5545" spans="8:8" x14ac:dyDescent="0.25">
      <c r="H5545" t="s">
        <v>17193</v>
      </c>
    </row>
    <row r="5546" spans="8:8" x14ac:dyDescent="0.25">
      <c r="H5546" t="s">
        <v>30</v>
      </c>
    </row>
    <row r="5547" spans="8:8" x14ac:dyDescent="0.25">
      <c r="H5547" t="s">
        <v>136</v>
      </c>
    </row>
    <row r="5548" spans="8:8" x14ac:dyDescent="0.25">
      <c r="H5548" t="s">
        <v>17194</v>
      </c>
    </row>
    <row r="5549" spans="8:8" x14ac:dyDescent="0.25">
      <c r="H5549" t="s">
        <v>30</v>
      </c>
    </row>
    <row r="5550" spans="8:8" x14ac:dyDescent="0.25">
      <c r="H5550" t="s">
        <v>137</v>
      </c>
    </row>
    <row r="5551" spans="8:8" x14ac:dyDescent="0.25">
      <c r="H5551" t="s">
        <v>17195</v>
      </c>
    </row>
    <row r="5552" spans="8:8" x14ac:dyDescent="0.25">
      <c r="H5552" t="s">
        <v>30</v>
      </c>
    </row>
    <row r="5553" spans="8:8" x14ac:dyDescent="0.25">
      <c r="H5553" t="s">
        <v>138</v>
      </c>
    </row>
    <row r="5554" spans="8:8" x14ac:dyDescent="0.25">
      <c r="H5554" t="s">
        <v>17196</v>
      </c>
    </row>
    <row r="5555" spans="8:8" x14ac:dyDescent="0.25">
      <c r="H5555" t="s">
        <v>30</v>
      </c>
    </row>
    <row r="5557" spans="8:8" x14ac:dyDescent="0.25">
      <c r="H5557" t="s">
        <v>10663</v>
      </c>
    </row>
    <row r="5558" spans="8:8" x14ac:dyDescent="0.25">
      <c r="H5558" t="s">
        <v>10664</v>
      </c>
    </row>
    <row r="5559" spans="8:8" x14ac:dyDescent="0.25">
      <c r="H5559" t="s">
        <v>135</v>
      </c>
    </row>
    <row r="5560" spans="8:8" x14ac:dyDescent="0.25">
      <c r="H5560" t="s">
        <v>17197</v>
      </c>
    </row>
    <row r="5561" spans="8:8" x14ac:dyDescent="0.25">
      <c r="H5561" t="s">
        <v>30</v>
      </c>
    </row>
    <row r="5562" spans="8:8" x14ac:dyDescent="0.25">
      <c r="H5562" t="s">
        <v>136</v>
      </c>
    </row>
    <row r="5563" spans="8:8" x14ac:dyDescent="0.25">
      <c r="H5563" t="s">
        <v>17198</v>
      </c>
    </row>
    <row r="5564" spans="8:8" x14ac:dyDescent="0.25">
      <c r="H5564" t="s">
        <v>30</v>
      </c>
    </row>
    <row r="5565" spans="8:8" x14ac:dyDescent="0.25">
      <c r="H5565" t="s">
        <v>137</v>
      </c>
    </row>
    <row r="5566" spans="8:8" x14ac:dyDescent="0.25">
      <c r="H5566" t="s">
        <v>17199</v>
      </c>
    </row>
    <row r="5567" spans="8:8" x14ac:dyDescent="0.25">
      <c r="H5567" t="s">
        <v>30</v>
      </c>
    </row>
    <row r="5568" spans="8:8" x14ac:dyDescent="0.25">
      <c r="H5568" t="s">
        <v>138</v>
      </c>
    </row>
    <row r="5569" spans="8:8" x14ac:dyDescent="0.25">
      <c r="H5569" t="s">
        <v>17200</v>
      </c>
    </row>
    <row r="5570" spans="8:8" x14ac:dyDescent="0.25">
      <c r="H5570" t="s">
        <v>30</v>
      </c>
    </row>
    <row r="5572" spans="8:8" x14ac:dyDescent="0.25">
      <c r="H5572" t="s">
        <v>10669</v>
      </c>
    </row>
    <row r="5573" spans="8:8" x14ac:dyDescent="0.25">
      <c r="H5573" t="s">
        <v>10670</v>
      </c>
    </row>
    <row r="5574" spans="8:8" x14ac:dyDescent="0.25">
      <c r="H5574" t="s">
        <v>135</v>
      </c>
    </row>
    <row r="5575" spans="8:8" x14ac:dyDescent="0.25">
      <c r="H5575" t="s">
        <v>17201</v>
      </c>
    </row>
    <row r="5576" spans="8:8" x14ac:dyDescent="0.25">
      <c r="H5576" t="s">
        <v>30</v>
      </c>
    </row>
    <row r="5577" spans="8:8" x14ac:dyDescent="0.25">
      <c r="H5577" t="s">
        <v>136</v>
      </c>
    </row>
    <row r="5578" spans="8:8" x14ac:dyDescent="0.25">
      <c r="H5578" t="s">
        <v>17202</v>
      </c>
    </row>
    <row r="5579" spans="8:8" x14ac:dyDescent="0.25">
      <c r="H5579" t="s">
        <v>30</v>
      </c>
    </row>
    <row r="5580" spans="8:8" x14ac:dyDescent="0.25">
      <c r="H5580" t="s">
        <v>137</v>
      </c>
    </row>
    <row r="5581" spans="8:8" x14ac:dyDescent="0.25">
      <c r="H5581" t="s">
        <v>17203</v>
      </c>
    </row>
    <row r="5582" spans="8:8" x14ac:dyDescent="0.25">
      <c r="H5582" t="s">
        <v>30</v>
      </c>
    </row>
    <row r="5583" spans="8:8" x14ac:dyDescent="0.25">
      <c r="H5583" t="s">
        <v>138</v>
      </c>
    </row>
    <row r="5584" spans="8:8" x14ac:dyDescent="0.25">
      <c r="H5584" t="s">
        <v>17204</v>
      </c>
    </row>
    <row r="5585" spans="8:8" x14ac:dyDescent="0.25">
      <c r="H5585" t="s">
        <v>30</v>
      </c>
    </row>
    <row r="5587" spans="8:8" x14ac:dyDescent="0.25">
      <c r="H5587" t="s">
        <v>10675</v>
      </c>
    </row>
    <row r="5588" spans="8:8" x14ac:dyDescent="0.25">
      <c r="H5588" t="s">
        <v>10676</v>
      </c>
    </row>
    <row r="5589" spans="8:8" x14ac:dyDescent="0.25">
      <c r="H5589" t="s">
        <v>135</v>
      </c>
    </row>
    <row r="5590" spans="8:8" x14ac:dyDescent="0.25">
      <c r="H5590" t="s">
        <v>17205</v>
      </c>
    </row>
    <row r="5591" spans="8:8" x14ac:dyDescent="0.25">
      <c r="H5591" t="s">
        <v>30</v>
      </c>
    </row>
    <row r="5592" spans="8:8" x14ac:dyDescent="0.25">
      <c r="H5592" t="s">
        <v>136</v>
      </c>
    </row>
    <row r="5593" spans="8:8" x14ac:dyDescent="0.25">
      <c r="H5593" t="s">
        <v>17206</v>
      </c>
    </row>
    <row r="5594" spans="8:8" x14ac:dyDescent="0.25">
      <c r="H5594" t="s">
        <v>30</v>
      </c>
    </row>
    <row r="5595" spans="8:8" x14ac:dyDescent="0.25">
      <c r="H5595" t="s">
        <v>137</v>
      </c>
    </row>
    <row r="5596" spans="8:8" x14ac:dyDescent="0.25">
      <c r="H5596" t="s">
        <v>17207</v>
      </c>
    </row>
    <row r="5597" spans="8:8" x14ac:dyDescent="0.25">
      <c r="H5597" t="s">
        <v>30</v>
      </c>
    </row>
    <row r="5598" spans="8:8" x14ac:dyDescent="0.25">
      <c r="H5598" t="s">
        <v>138</v>
      </c>
    </row>
    <row r="5599" spans="8:8" x14ac:dyDescent="0.25">
      <c r="H5599" t="s">
        <v>17208</v>
      </c>
    </row>
    <row r="5600" spans="8:8" x14ac:dyDescent="0.25">
      <c r="H5600" t="s">
        <v>30</v>
      </c>
    </row>
    <row r="5602" spans="8:8" x14ac:dyDescent="0.25">
      <c r="H5602" t="s">
        <v>10681</v>
      </c>
    </row>
    <row r="5603" spans="8:8" x14ac:dyDescent="0.25">
      <c r="H5603" t="s">
        <v>10682</v>
      </c>
    </row>
    <row r="5604" spans="8:8" x14ac:dyDescent="0.25">
      <c r="H5604" t="s">
        <v>135</v>
      </c>
    </row>
    <row r="5605" spans="8:8" x14ac:dyDescent="0.25">
      <c r="H5605" t="s">
        <v>17209</v>
      </c>
    </row>
    <row r="5606" spans="8:8" x14ac:dyDescent="0.25">
      <c r="H5606" t="s">
        <v>30</v>
      </c>
    </row>
    <row r="5607" spans="8:8" x14ac:dyDescent="0.25">
      <c r="H5607" t="s">
        <v>136</v>
      </c>
    </row>
    <row r="5608" spans="8:8" x14ac:dyDescent="0.25">
      <c r="H5608" t="s">
        <v>17210</v>
      </c>
    </row>
    <row r="5609" spans="8:8" x14ac:dyDescent="0.25">
      <c r="H5609" t="s">
        <v>30</v>
      </c>
    </row>
    <row r="5610" spans="8:8" x14ac:dyDescent="0.25">
      <c r="H5610" t="s">
        <v>137</v>
      </c>
    </row>
    <row r="5611" spans="8:8" x14ac:dyDescent="0.25">
      <c r="H5611" t="s">
        <v>17211</v>
      </c>
    </row>
    <row r="5612" spans="8:8" x14ac:dyDescent="0.25">
      <c r="H5612" t="s">
        <v>30</v>
      </c>
    </row>
    <row r="5613" spans="8:8" x14ac:dyDescent="0.25">
      <c r="H5613" t="s">
        <v>138</v>
      </c>
    </row>
    <row r="5614" spans="8:8" x14ac:dyDescent="0.25">
      <c r="H5614" t="s">
        <v>17212</v>
      </c>
    </row>
    <row r="5615" spans="8:8" x14ac:dyDescent="0.25">
      <c r="H5615" t="s">
        <v>30</v>
      </c>
    </row>
    <row r="5617" spans="8:8" x14ac:dyDescent="0.25">
      <c r="H5617" t="s">
        <v>10687</v>
      </c>
    </row>
    <row r="5618" spans="8:8" x14ac:dyDescent="0.25">
      <c r="H5618" t="s">
        <v>10688</v>
      </c>
    </row>
    <row r="5619" spans="8:8" x14ac:dyDescent="0.25">
      <c r="H5619" t="s">
        <v>135</v>
      </c>
    </row>
    <row r="5620" spans="8:8" x14ac:dyDescent="0.25">
      <c r="H5620" t="s">
        <v>17213</v>
      </c>
    </row>
    <row r="5621" spans="8:8" x14ac:dyDescent="0.25">
      <c r="H5621" t="s">
        <v>30</v>
      </c>
    </row>
    <row r="5622" spans="8:8" x14ac:dyDescent="0.25">
      <c r="H5622" t="s">
        <v>136</v>
      </c>
    </row>
    <row r="5623" spans="8:8" x14ac:dyDescent="0.25">
      <c r="H5623" t="s">
        <v>17214</v>
      </c>
    </row>
    <row r="5624" spans="8:8" x14ac:dyDescent="0.25">
      <c r="H5624" t="s">
        <v>30</v>
      </c>
    </row>
    <row r="5625" spans="8:8" x14ac:dyDescent="0.25">
      <c r="H5625" t="s">
        <v>137</v>
      </c>
    </row>
    <row r="5626" spans="8:8" x14ac:dyDescent="0.25">
      <c r="H5626" t="s">
        <v>17215</v>
      </c>
    </row>
    <row r="5627" spans="8:8" x14ac:dyDescent="0.25">
      <c r="H5627" t="s">
        <v>30</v>
      </c>
    </row>
    <row r="5628" spans="8:8" x14ac:dyDescent="0.25">
      <c r="H5628" t="s">
        <v>138</v>
      </c>
    </row>
    <row r="5629" spans="8:8" x14ac:dyDescent="0.25">
      <c r="H5629" t="s">
        <v>17216</v>
      </c>
    </row>
    <row r="5630" spans="8:8" x14ac:dyDescent="0.25">
      <c r="H5630" t="s">
        <v>30</v>
      </c>
    </row>
    <row r="5632" spans="8:8" x14ac:dyDescent="0.25">
      <c r="H5632" t="s">
        <v>10693</v>
      </c>
    </row>
    <row r="5633" spans="8:8" x14ac:dyDescent="0.25">
      <c r="H5633" t="s">
        <v>10694</v>
      </c>
    </row>
    <row r="5634" spans="8:8" x14ac:dyDescent="0.25">
      <c r="H5634" t="s">
        <v>135</v>
      </c>
    </row>
    <row r="5635" spans="8:8" x14ac:dyDescent="0.25">
      <c r="H5635" t="s">
        <v>17217</v>
      </c>
    </row>
    <row r="5636" spans="8:8" x14ac:dyDescent="0.25">
      <c r="H5636" t="s">
        <v>30</v>
      </c>
    </row>
    <row r="5637" spans="8:8" x14ac:dyDescent="0.25">
      <c r="H5637" t="s">
        <v>136</v>
      </c>
    </row>
    <row r="5638" spans="8:8" x14ac:dyDescent="0.25">
      <c r="H5638" t="s">
        <v>17218</v>
      </c>
    </row>
    <row r="5639" spans="8:8" x14ac:dyDescent="0.25">
      <c r="H5639" t="s">
        <v>30</v>
      </c>
    </row>
    <row r="5640" spans="8:8" x14ac:dyDescent="0.25">
      <c r="H5640" t="s">
        <v>137</v>
      </c>
    </row>
    <row r="5641" spans="8:8" x14ac:dyDescent="0.25">
      <c r="H5641" t="s">
        <v>17219</v>
      </c>
    </row>
    <row r="5642" spans="8:8" x14ac:dyDescent="0.25">
      <c r="H5642" t="s">
        <v>30</v>
      </c>
    </row>
    <row r="5643" spans="8:8" x14ac:dyDescent="0.25">
      <c r="H5643" t="s">
        <v>138</v>
      </c>
    </row>
    <row r="5644" spans="8:8" x14ac:dyDescent="0.25">
      <c r="H5644" t="s">
        <v>17220</v>
      </c>
    </row>
    <row r="5645" spans="8:8" x14ac:dyDescent="0.25">
      <c r="H5645" t="s">
        <v>30</v>
      </c>
    </row>
    <row r="5647" spans="8:8" x14ac:dyDescent="0.25">
      <c r="H5647" t="s">
        <v>10699</v>
      </c>
    </row>
    <row r="5648" spans="8:8" x14ac:dyDescent="0.25">
      <c r="H5648" t="s">
        <v>10700</v>
      </c>
    </row>
    <row r="5649" spans="8:8" x14ac:dyDescent="0.25">
      <c r="H5649" t="s">
        <v>135</v>
      </c>
    </row>
    <row r="5650" spans="8:8" x14ac:dyDescent="0.25">
      <c r="H5650" t="s">
        <v>17221</v>
      </c>
    </row>
    <row r="5651" spans="8:8" x14ac:dyDescent="0.25">
      <c r="H5651" t="s">
        <v>30</v>
      </c>
    </row>
    <row r="5652" spans="8:8" x14ac:dyDescent="0.25">
      <c r="H5652" t="s">
        <v>136</v>
      </c>
    </row>
    <row r="5653" spans="8:8" x14ac:dyDescent="0.25">
      <c r="H5653" t="s">
        <v>17222</v>
      </c>
    </row>
    <row r="5654" spans="8:8" x14ac:dyDescent="0.25">
      <c r="H5654" t="s">
        <v>30</v>
      </c>
    </row>
    <row r="5655" spans="8:8" x14ac:dyDescent="0.25">
      <c r="H5655" t="s">
        <v>137</v>
      </c>
    </row>
    <row r="5656" spans="8:8" x14ac:dyDescent="0.25">
      <c r="H5656" t="s">
        <v>17223</v>
      </c>
    </row>
    <row r="5657" spans="8:8" x14ac:dyDescent="0.25">
      <c r="H5657" t="s">
        <v>30</v>
      </c>
    </row>
    <row r="5658" spans="8:8" x14ac:dyDescent="0.25">
      <c r="H5658" t="s">
        <v>138</v>
      </c>
    </row>
    <row r="5659" spans="8:8" x14ac:dyDescent="0.25">
      <c r="H5659" t="s">
        <v>17224</v>
      </c>
    </row>
    <row r="5660" spans="8:8" x14ac:dyDescent="0.25">
      <c r="H5660" t="s">
        <v>30</v>
      </c>
    </row>
    <row r="5662" spans="8:8" x14ac:dyDescent="0.25">
      <c r="H5662" t="s">
        <v>10705</v>
      </c>
    </row>
    <row r="5663" spans="8:8" x14ac:dyDescent="0.25">
      <c r="H5663" t="s">
        <v>10706</v>
      </c>
    </row>
    <row r="5664" spans="8:8" x14ac:dyDescent="0.25">
      <c r="H5664" t="s">
        <v>135</v>
      </c>
    </row>
    <row r="5665" spans="8:8" x14ac:dyDescent="0.25">
      <c r="H5665" t="s">
        <v>17225</v>
      </c>
    </row>
    <row r="5666" spans="8:8" x14ac:dyDescent="0.25">
      <c r="H5666" t="s">
        <v>30</v>
      </c>
    </row>
    <row r="5667" spans="8:8" x14ac:dyDescent="0.25">
      <c r="H5667" t="s">
        <v>136</v>
      </c>
    </row>
    <row r="5668" spans="8:8" x14ac:dyDescent="0.25">
      <c r="H5668" t="s">
        <v>17226</v>
      </c>
    </row>
    <row r="5669" spans="8:8" x14ac:dyDescent="0.25">
      <c r="H5669" t="s">
        <v>30</v>
      </c>
    </row>
    <row r="5670" spans="8:8" x14ac:dyDescent="0.25">
      <c r="H5670" t="s">
        <v>137</v>
      </c>
    </row>
    <row r="5671" spans="8:8" x14ac:dyDescent="0.25">
      <c r="H5671" t="s">
        <v>17227</v>
      </c>
    </row>
    <row r="5672" spans="8:8" x14ac:dyDescent="0.25">
      <c r="H5672" t="s">
        <v>30</v>
      </c>
    </row>
    <row r="5673" spans="8:8" x14ac:dyDescent="0.25">
      <c r="H5673" t="s">
        <v>138</v>
      </c>
    </row>
    <row r="5674" spans="8:8" x14ac:dyDescent="0.25">
      <c r="H5674" t="s">
        <v>17228</v>
      </c>
    </row>
    <row r="5675" spans="8:8" x14ac:dyDescent="0.25">
      <c r="H5675" t="s">
        <v>30</v>
      </c>
    </row>
    <row r="5677" spans="8:8" x14ac:dyDescent="0.25">
      <c r="H5677" t="s">
        <v>10711</v>
      </c>
    </row>
    <row r="5678" spans="8:8" x14ac:dyDescent="0.25">
      <c r="H5678" t="s">
        <v>10712</v>
      </c>
    </row>
    <row r="5679" spans="8:8" x14ac:dyDescent="0.25">
      <c r="H5679" t="s">
        <v>135</v>
      </c>
    </row>
    <row r="5680" spans="8:8" x14ac:dyDescent="0.25">
      <c r="H5680" t="s">
        <v>17229</v>
      </c>
    </row>
    <row r="5681" spans="8:8" x14ac:dyDescent="0.25">
      <c r="H5681" t="s">
        <v>30</v>
      </c>
    </row>
    <row r="5682" spans="8:8" x14ac:dyDescent="0.25">
      <c r="H5682" t="s">
        <v>136</v>
      </c>
    </row>
    <row r="5683" spans="8:8" x14ac:dyDescent="0.25">
      <c r="H5683" t="s">
        <v>17230</v>
      </c>
    </row>
    <row r="5684" spans="8:8" x14ac:dyDescent="0.25">
      <c r="H5684" t="s">
        <v>30</v>
      </c>
    </row>
    <row r="5685" spans="8:8" x14ac:dyDescent="0.25">
      <c r="H5685" t="s">
        <v>137</v>
      </c>
    </row>
    <row r="5686" spans="8:8" x14ac:dyDescent="0.25">
      <c r="H5686" t="s">
        <v>17231</v>
      </c>
    </row>
    <row r="5687" spans="8:8" x14ac:dyDescent="0.25">
      <c r="H5687" t="s">
        <v>30</v>
      </c>
    </row>
    <row r="5688" spans="8:8" x14ac:dyDescent="0.25">
      <c r="H5688" t="s">
        <v>138</v>
      </c>
    </row>
    <row r="5689" spans="8:8" x14ac:dyDescent="0.25">
      <c r="H5689" t="s">
        <v>17232</v>
      </c>
    </row>
    <row r="5690" spans="8:8" x14ac:dyDescent="0.25">
      <c r="H5690" t="s">
        <v>30</v>
      </c>
    </row>
    <row r="5692" spans="8:8" x14ac:dyDescent="0.25">
      <c r="H5692" t="s">
        <v>10717</v>
      </c>
    </row>
    <row r="5693" spans="8:8" x14ac:dyDescent="0.25">
      <c r="H5693" t="s">
        <v>10718</v>
      </c>
    </row>
    <row r="5694" spans="8:8" x14ac:dyDescent="0.25">
      <c r="H5694" t="s">
        <v>135</v>
      </c>
    </row>
    <row r="5695" spans="8:8" x14ac:dyDescent="0.25">
      <c r="H5695" t="s">
        <v>17233</v>
      </c>
    </row>
    <row r="5696" spans="8:8" x14ac:dyDescent="0.25">
      <c r="H5696" t="s">
        <v>30</v>
      </c>
    </row>
    <row r="5697" spans="8:8" x14ac:dyDescent="0.25">
      <c r="H5697" t="s">
        <v>136</v>
      </c>
    </row>
    <row r="5698" spans="8:8" x14ac:dyDescent="0.25">
      <c r="H5698" t="s">
        <v>17234</v>
      </c>
    </row>
    <row r="5699" spans="8:8" x14ac:dyDescent="0.25">
      <c r="H5699" t="s">
        <v>30</v>
      </c>
    </row>
    <row r="5700" spans="8:8" x14ac:dyDescent="0.25">
      <c r="H5700" t="s">
        <v>137</v>
      </c>
    </row>
    <row r="5701" spans="8:8" x14ac:dyDescent="0.25">
      <c r="H5701" t="s">
        <v>17235</v>
      </c>
    </row>
    <row r="5702" spans="8:8" x14ac:dyDescent="0.25">
      <c r="H5702" t="s">
        <v>30</v>
      </c>
    </row>
    <row r="5703" spans="8:8" x14ac:dyDescent="0.25">
      <c r="H5703" t="s">
        <v>138</v>
      </c>
    </row>
    <row r="5704" spans="8:8" x14ac:dyDescent="0.25">
      <c r="H5704" t="s">
        <v>17236</v>
      </c>
    </row>
    <row r="5705" spans="8:8" x14ac:dyDescent="0.25">
      <c r="H5705" t="s">
        <v>30</v>
      </c>
    </row>
    <row r="5707" spans="8:8" x14ac:dyDescent="0.25">
      <c r="H5707" t="s">
        <v>10723</v>
      </c>
    </row>
    <row r="5708" spans="8:8" x14ac:dyDescent="0.25">
      <c r="H5708" t="s">
        <v>10724</v>
      </c>
    </row>
    <row r="5709" spans="8:8" x14ac:dyDescent="0.25">
      <c r="H5709" t="s">
        <v>135</v>
      </c>
    </row>
    <row r="5710" spans="8:8" x14ac:dyDescent="0.25">
      <c r="H5710" t="s">
        <v>17237</v>
      </c>
    </row>
    <row r="5711" spans="8:8" x14ac:dyDescent="0.25">
      <c r="H5711" t="s">
        <v>30</v>
      </c>
    </row>
    <row r="5712" spans="8:8" x14ac:dyDescent="0.25">
      <c r="H5712" t="s">
        <v>136</v>
      </c>
    </row>
    <row r="5713" spans="8:8" x14ac:dyDescent="0.25">
      <c r="H5713" t="s">
        <v>17238</v>
      </c>
    </row>
    <row r="5714" spans="8:8" x14ac:dyDescent="0.25">
      <c r="H5714" t="s">
        <v>30</v>
      </c>
    </row>
    <row r="5715" spans="8:8" x14ac:dyDescent="0.25">
      <c r="H5715" t="s">
        <v>137</v>
      </c>
    </row>
    <row r="5716" spans="8:8" x14ac:dyDescent="0.25">
      <c r="H5716" t="s">
        <v>17239</v>
      </c>
    </row>
    <row r="5717" spans="8:8" x14ac:dyDescent="0.25">
      <c r="H5717" t="s">
        <v>30</v>
      </c>
    </row>
    <row r="5718" spans="8:8" x14ac:dyDescent="0.25">
      <c r="H5718" t="s">
        <v>138</v>
      </c>
    </row>
    <row r="5719" spans="8:8" x14ac:dyDescent="0.25">
      <c r="H5719" t="s">
        <v>17240</v>
      </c>
    </row>
    <row r="5720" spans="8:8" x14ac:dyDescent="0.25">
      <c r="H5720" t="s">
        <v>30</v>
      </c>
    </row>
    <row r="5722" spans="8:8" x14ac:dyDescent="0.25">
      <c r="H5722" t="s">
        <v>10729</v>
      </c>
    </row>
    <row r="5723" spans="8:8" x14ac:dyDescent="0.25">
      <c r="H5723" t="s">
        <v>10730</v>
      </c>
    </row>
    <row r="5724" spans="8:8" x14ac:dyDescent="0.25">
      <c r="H5724" t="s">
        <v>135</v>
      </c>
    </row>
    <row r="5725" spans="8:8" x14ac:dyDescent="0.25">
      <c r="H5725" t="s">
        <v>17241</v>
      </c>
    </row>
    <row r="5726" spans="8:8" x14ac:dyDescent="0.25">
      <c r="H5726" t="s">
        <v>30</v>
      </c>
    </row>
    <row r="5727" spans="8:8" x14ac:dyDescent="0.25">
      <c r="H5727" t="s">
        <v>136</v>
      </c>
    </row>
    <row r="5728" spans="8:8" x14ac:dyDescent="0.25">
      <c r="H5728" t="s">
        <v>17242</v>
      </c>
    </row>
    <row r="5729" spans="8:8" x14ac:dyDescent="0.25">
      <c r="H5729" t="s">
        <v>30</v>
      </c>
    </row>
    <row r="5730" spans="8:8" x14ac:dyDescent="0.25">
      <c r="H5730" t="s">
        <v>137</v>
      </c>
    </row>
    <row r="5731" spans="8:8" x14ac:dyDescent="0.25">
      <c r="H5731" t="s">
        <v>17243</v>
      </c>
    </row>
    <row r="5732" spans="8:8" x14ac:dyDescent="0.25">
      <c r="H5732" t="s">
        <v>30</v>
      </c>
    </row>
    <row r="5733" spans="8:8" x14ac:dyDescent="0.25">
      <c r="H5733" t="s">
        <v>138</v>
      </c>
    </row>
    <row r="5734" spans="8:8" x14ac:dyDescent="0.25">
      <c r="H5734" t="s">
        <v>17244</v>
      </c>
    </row>
    <row r="5735" spans="8:8" x14ac:dyDescent="0.25">
      <c r="H5735" t="s">
        <v>30</v>
      </c>
    </row>
    <row r="5737" spans="8:8" x14ac:dyDescent="0.25">
      <c r="H5737" t="s">
        <v>10735</v>
      </c>
    </row>
    <row r="5738" spans="8:8" x14ac:dyDescent="0.25">
      <c r="H5738" t="s">
        <v>10736</v>
      </c>
    </row>
    <row r="5739" spans="8:8" x14ac:dyDescent="0.25">
      <c r="H5739" t="s">
        <v>135</v>
      </c>
    </row>
    <row r="5740" spans="8:8" x14ac:dyDescent="0.25">
      <c r="H5740" t="s">
        <v>17245</v>
      </c>
    </row>
    <row r="5741" spans="8:8" x14ac:dyDescent="0.25">
      <c r="H5741" t="s">
        <v>30</v>
      </c>
    </row>
    <row r="5742" spans="8:8" x14ac:dyDescent="0.25">
      <c r="H5742" t="s">
        <v>136</v>
      </c>
    </row>
    <row r="5743" spans="8:8" x14ac:dyDescent="0.25">
      <c r="H5743" t="s">
        <v>17246</v>
      </c>
    </row>
    <row r="5744" spans="8:8" x14ac:dyDescent="0.25">
      <c r="H5744" t="s">
        <v>30</v>
      </c>
    </row>
    <row r="5745" spans="8:8" x14ac:dyDescent="0.25">
      <c r="H5745" t="s">
        <v>137</v>
      </c>
    </row>
    <row r="5746" spans="8:8" x14ac:dyDescent="0.25">
      <c r="H5746" t="s">
        <v>17247</v>
      </c>
    </row>
    <row r="5747" spans="8:8" x14ac:dyDescent="0.25">
      <c r="H5747" t="s">
        <v>30</v>
      </c>
    </row>
    <row r="5748" spans="8:8" x14ac:dyDescent="0.25">
      <c r="H5748" t="s">
        <v>138</v>
      </c>
    </row>
    <row r="5749" spans="8:8" x14ac:dyDescent="0.25">
      <c r="H5749" t="s">
        <v>17248</v>
      </c>
    </row>
    <row r="5750" spans="8:8" x14ac:dyDescent="0.25">
      <c r="H5750" t="s">
        <v>30</v>
      </c>
    </row>
    <row r="5752" spans="8:8" x14ac:dyDescent="0.25">
      <c r="H5752" t="s">
        <v>10741</v>
      </c>
    </row>
    <row r="5753" spans="8:8" x14ac:dyDescent="0.25">
      <c r="H5753" t="s">
        <v>10742</v>
      </c>
    </row>
    <row r="5754" spans="8:8" x14ac:dyDescent="0.25">
      <c r="H5754" t="s">
        <v>135</v>
      </c>
    </row>
    <row r="5755" spans="8:8" x14ac:dyDescent="0.25">
      <c r="H5755" t="s">
        <v>17249</v>
      </c>
    </row>
    <row r="5756" spans="8:8" x14ac:dyDescent="0.25">
      <c r="H5756" t="s">
        <v>30</v>
      </c>
    </row>
    <row r="5757" spans="8:8" x14ac:dyDescent="0.25">
      <c r="H5757" t="s">
        <v>136</v>
      </c>
    </row>
    <row r="5758" spans="8:8" x14ac:dyDescent="0.25">
      <c r="H5758" t="s">
        <v>17250</v>
      </c>
    </row>
    <row r="5759" spans="8:8" x14ac:dyDescent="0.25">
      <c r="H5759" t="s">
        <v>30</v>
      </c>
    </row>
    <row r="5760" spans="8:8" x14ac:dyDescent="0.25">
      <c r="H5760" t="s">
        <v>137</v>
      </c>
    </row>
    <row r="5761" spans="8:8" x14ac:dyDescent="0.25">
      <c r="H5761" t="s">
        <v>17251</v>
      </c>
    </row>
    <row r="5762" spans="8:8" x14ac:dyDescent="0.25">
      <c r="H5762" t="s">
        <v>30</v>
      </c>
    </row>
    <row r="5763" spans="8:8" x14ac:dyDescent="0.25">
      <c r="H5763" t="s">
        <v>138</v>
      </c>
    </row>
    <row r="5764" spans="8:8" x14ac:dyDescent="0.25">
      <c r="H5764" t="s">
        <v>17252</v>
      </c>
    </row>
    <row r="5765" spans="8:8" x14ac:dyDescent="0.25">
      <c r="H5765" t="s">
        <v>30</v>
      </c>
    </row>
    <row r="5767" spans="8:8" x14ac:dyDescent="0.25">
      <c r="H5767" t="s">
        <v>10747</v>
      </c>
    </row>
    <row r="5768" spans="8:8" x14ac:dyDescent="0.25">
      <c r="H5768" t="s">
        <v>10748</v>
      </c>
    </row>
    <row r="5769" spans="8:8" x14ac:dyDescent="0.25">
      <c r="H5769" t="s">
        <v>135</v>
      </c>
    </row>
    <row r="5770" spans="8:8" x14ac:dyDescent="0.25">
      <c r="H5770" t="s">
        <v>17253</v>
      </c>
    </row>
    <row r="5771" spans="8:8" x14ac:dyDescent="0.25">
      <c r="H5771" t="s">
        <v>30</v>
      </c>
    </row>
    <row r="5772" spans="8:8" x14ac:dyDescent="0.25">
      <c r="H5772" t="s">
        <v>136</v>
      </c>
    </row>
    <row r="5773" spans="8:8" x14ac:dyDescent="0.25">
      <c r="H5773" t="s">
        <v>17254</v>
      </c>
    </row>
    <row r="5774" spans="8:8" x14ac:dyDescent="0.25">
      <c r="H5774" t="s">
        <v>30</v>
      </c>
    </row>
    <row r="5775" spans="8:8" x14ac:dyDescent="0.25">
      <c r="H5775" t="s">
        <v>137</v>
      </c>
    </row>
    <row r="5776" spans="8:8" x14ac:dyDescent="0.25">
      <c r="H5776" t="s">
        <v>17255</v>
      </c>
    </row>
    <row r="5777" spans="8:8" x14ac:dyDescent="0.25">
      <c r="H5777" t="s">
        <v>30</v>
      </c>
    </row>
    <row r="5778" spans="8:8" x14ac:dyDescent="0.25">
      <c r="H5778" t="s">
        <v>138</v>
      </c>
    </row>
    <row r="5779" spans="8:8" x14ac:dyDescent="0.25">
      <c r="H5779" t="s">
        <v>17256</v>
      </c>
    </row>
    <row r="5780" spans="8:8" x14ac:dyDescent="0.25">
      <c r="H5780" t="s">
        <v>30</v>
      </c>
    </row>
    <row r="5782" spans="8:8" x14ac:dyDescent="0.25">
      <c r="H5782" t="s">
        <v>10753</v>
      </c>
    </row>
    <row r="5783" spans="8:8" x14ac:dyDescent="0.25">
      <c r="H5783" t="s">
        <v>10754</v>
      </c>
    </row>
    <row r="5784" spans="8:8" x14ac:dyDescent="0.25">
      <c r="H5784" t="s">
        <v>135</v>
      </c>
    </row>
    <row r="5785" spans="8:8" x14ac:dyDescent="0.25">
      <c r="H5785" t="s">
        <v>17257</v>
      </c>
    </row>
    <row r="5786" spans="8:8" x14ac:dyDescent="0.25">
      <c r="H5786" t="s">
        <v>30</v>
      </c>
    </row>
    <row r="5787" spans="8:8" x14ac:dyDescent="0.25">
      <c r="H5787" t="s">
        <v>136</v>
      </c>
    </row>
    <row r="5788" spans="8:8" x14ac:dyDescent="0.25">
      <c r="H5788" t="s">
        <v>17258</v>
      </c>
    </row>
    <row r="5789" spans="8:8" x14ac:dyDescent="0.25">
      <c r="H5789" t="s">
        <v>30</v>
      </c>
    </row>
    <row r="5790" spans="8:8" x14ac:dyDescent="0.25">
      <c r="H5790" t="s">
        <v>137</v>
      </c>
    </row>
    <row r="5791" spans="8:8" x14ac:dyDescent="0.25">
      <c r="H5791" t="s">
        <v>17259</v>
      </c>
    </row>
    <row r="5792" spans="8:8" x14ac:dyDescent="0.25">
      <c r="H5792" t="s">
        <v>30</v>
      </c>
    </row>
    <row r="5793" spans="8:8" x14ac:dyDescent="0.25">
      <c r="H5793" t="s">
        <v>138</v>
      </c>
    </row>
    <row r="5794" spans="8:8" x14ac:dyDescent="0.25">
      <c r="H5794" t="s">
        <v>17260</v>
      </c>
    </row>
    <row r="5795" spans="8:8" x14ac:dyDescent="0.25">
      <c r="H5795" t="s">
        <v>30</v>
      </c>
    </row>
    <row r="5797" spans="8:8" x14ac:dyDescent="0.25">
      <c r="H5797" t="s">
        <v>10759</v>
      </c>
    </row>
    <row r="5798" spans="8:8" x14ac:dyDescent="0.25">
      <c r="H5798" t="s">
        <v>10760</v>
      </c>
    </row>
    <row r="5799" spans="8:8" x14ac:dyDescent="0.25">
      <c r="H5799" t="s">
        <v>135</v>
      </c>
    </row>
    <row r="5800" spans="8:8" x14ac:dyDescent="0.25">
      <c r="H5800" t="s">
        <v>17261</v>
      </c>
    </row>
    <row r="5801" spans="8:8" x14ac:dyDescent="0.25">
      <c r="H5801" t="s">
        <v>30</v>
      </c>
    </row>
    <row r="5802" spans="8:8" x14ac:dyDescent="0.25">
      <c r="H5802" t="s">
        <v>136</v>
      </c>
    </row>
    <row r="5803" spans="8:8" x14ac:dyDescent="0.25">
      <c r="H5803" t="s">
        <v>17262</v>
      </c>
    </row>
    <row r="5804" spans="8:8" x14ac:dyDescent="0.25">
      <c r="H5804" t="s">
        <v>30</v>
      </c>
    </row>
    <row r="5805" spans="8:8" x14ac:dyDescent="0.25">
      <c r="H5805" t="s">
        <v>137</v>
      </c>
    </row>
    <row r="5806" spans="8:8" x14ac:dyDescent="0.25">
      <c r="H5806" t="s">
        <v>17263</v>
      </c>
    </row>
    <row r="5807" spans="8:8" x14ac:dyDescent="0.25">
      <c r="H5807" t="s">
        <v>30</v>
      </c>
    </row>
    <row r="5808" spans="8:8" x14ac:dyDescent="0.25">
      <c r="H5808" t="s">
        <v>138</v>
      </c>
    </row>
    <row r="5809" spans="8:8" x14ac:dyDescent="0.25">
      <c r="H5809" t="s">
        <v>17264</v>
      </c>
    </row>
    <row r="5810" spans="8:8" x14ac:dyDescent="0.25">
      <c r="H5810" t="s">
        <v>30</v>
      </c>
    </row>
    <row r="5812" spans="8:8" x14ac:dyDescent="0.25">
      <c r="H5812" t="s">
        <v>10765</v>
      </c>
    </row>
    <row r="5813" spans="8:8" x14ac:dyDescent="0.25">
      <c r="H5813" t="s">
        <v>10766</v>
      </c>
    </row>
    <row r="5814" spans="8:8" x14ac:dyDescent="0.25">
      <c r="H5814" t="s">
        <v>135</v>
      </c>
    </row>
    <row r="5815" spans="8:8" x14ac:dyDescent="0.25">
      <c r="H5815" t="s">
        <v>17265</v>
      </c>
    </row>
    <row r="5816" spans="8:8" x14ac:dyDescent="0.25">
      <c r="H5816" t="s">
        <v>30</v>
      </c>
    </row>
    <row r="5817" spans="8:8" x14ac:dyDescent="0.25">
      <c r="H5817" t="s">
        <v>136</v>
      </c>
    </row>
    <row r="5818" spans="8:8" x14ac:dyDescent="0.25">
      <c r="H5818" t="s">
        <v>17266</v>
      </c>
    </row>
    <row r="5819" spans="8:8" x14ac:dyDescent="0.25">
      <c r="H5819" t="s">
        <v>30</v>
      </c>
    </row>
    <row r="5820" spans="8:8" x14ac:dyDescent="0.25">
      <c r="H5820" t="s">
        <v>137</v>
      </c>
    </row>
    <row r="5821" spans="8:8" x14ac:dyDescent="0.25">
      <c r="H5821" t="s">
        <v>17267</v>
      </c>
    </row>
    <row r="5822" spans="8:8" x14ac:dyDescent="0.25">
      <c r="H5822" t="s">
        <v>30</v>
      </c>
    </row>
    <row r="5823" spans="8:8" x14ac:dyDescent="0.25">
      <c r="H5823" t="s">
        <v>138</v>
      </c>
    </row>
    <row r="5824" spans="8:8" x14ac:dyDescent="0.25">
      <c r="H5824" t="s">
        <v>17268</v>
      </c>
    </row>
    <row r="5825" spans="8:8" x14ac:dyDescent="0.25">
      <c r="H5825" t="s">
        <v>30</v>
      </c>
    </row>
    <row r="5827" spans="8:8" x14ac:dyDescent="0.25">
      <c r="H5827" t="s">
        <v>10771</v>
      </c>
    </row>
    <row r="5828" spans="8:8" x14ac:dyDescent="0.25">
      <c r="H5828" t="s">
        <v>10772</v>
      </c>
    </row>
    <row r="5829" spans="8:8" x14ac:dyDescent="0.25">
      <c r="H5829" t="s">
        <v>135</v>
      </c>
    </row>
    <row r="5830" spans="8:8" x14ac:dyDescent="0.25">
      <c r="H5830" t="s">
        <v>17269</v>
      </c>
    </row>
    <row r="5831" spans="8:8" x14ac:dyDescent="0.25">
      <c r="H5831" t="s">
        <v>30</v>
      </c>
    </row>
    <row r="5832" spans="8:8" x14ac:dyDescent="0.25">
      <c r="H5832" t="s">
        <v>136</v>
      </c>
    </row>
    <row r="5833" spans="8:8" x14ac:dyDescent="0.25">
      <c r="H5833" t="s">
        <v>17270</v>
      </c>
    </row>
    <row r="5834" spans="8:8" x14ac:dyDescent="0.25">
      <c r="H5834" t="s">
        <v>30</v>
      </c>
    </row>
    <row r="5835" spans="8:8" x14ac:dyDescent="0.25">
      <c r="H5835" t="s">
        <v>137</v>
      </c>
    </row>
    <row r="5836" spans="8:8" x14ac:dyDescent="0.25">
      <c r="H5836" t="s">
        <v>17271</v>
      </c>
    </row>
    <row r="5837" spans="8:8" x14ac:dyDescent="0.25">
      <c r="H5837" t="s">
        <v>30</v>
      </c>
    </row>
    <row r="5838" spans="8:8" x14ac:dyDescent="0.25">
      <c r="H5838" t="s">
        <v>138</v>
      </c>
    </row>
    <row r="5839" spans="8:8" x14ac:dyDescent="0.25">
      <c r="H5839" t="s">
        <v>17272</v>
      </c>
    </row>
    <row r="5840" spans="8:8" x14ac:dyDescent="0.25">
      <c r="H5840" t="s">
        <v>30</v>
      </c>
    </row>
    <row r="5842" spans="8:8" x14ac:dyDescent="0.25">
      <c r="H5842" t="s">
        <v>10777</v>
      </c>
    </row>
    <row r="5843" spans="8:8" x14ac:dyDescent="0.25">
      <c r="H5843" t="s">
        <v>10778</v>
      </c>
    </row>
    <row r="5844" spans="8:8" x14ac:dyDescent="0.25">
      <c r="H5844" t="s">
        <v>135</v>
      </c>
    </row>
    <row r="5845" spans="8:8" x14ac:dyDescent="0.25">
      <c r="H5845" t="s">
        <v>17273</v>
      </c>
    </row>
    <row r="5846" spans="8:8" x14ac:dyDescent="0.25">
      <c r="H5846" t="s">
        <v>30</v>
      </c>
    </row>
    <row r="5847" spans="8:8" x14ac:dyDescent="0.25">
      <c r="H5847" t="s">
        <v>136</v>
      </c>
    </row>
    <row r="5848" spans="8:8" x14ac:dyDescent="0.25">
      <c r="H5848" t="s">
        <v>17274</v>
      </c>
    </row>
    <row r="5849" spans="8:8" x14ac:dyDescent="0.25">
      <c r="H5849" t="s">
        <v>30</v>
      </c>
    </row>
    <row r="5850" spans="8:8" x14ac:dyDescent="0.25">
      <c r="H5850" t="s">
        <v>137</v>
      </c>
    </row>
    <row r="5851" spans="8:8" x14ac:dyDescent="0.25">
      <c r="H5851" t="s">
        <v>17275</v>
      </c>
    </row>
    <row r="5852" spans="8:8" x14ac:dyDescent="0.25">
      <c r="H5852" t="s">
        <v>30</v>
      </c>
    </row>
    <row r="5853" spans="8:8" x14ac:dyDescent="0.25">
      <c r="H5853" t="s">
        <v>138</v>
      </c>
    </row>
    <row r="5854" spans="8:8" x14ac:dyDescent="0.25">
      <c r="H5854" t="s">
        <v>17276</v>
      </c>
    </row>
    <row r="5855" spans="8:8" x14ac:dyDescent="0.25">
      <c r="H5855" t="s">
        <v>30</v>
      </c>
    </row>
    <row r="5857" spans="8:8" x14ac:dyDescent="0.25">
      <c r="H5857" t="s">
        <v>10783</v>
      </c>
    </row>
    <row r="5858" spans="8:8" x14ac:dyDescent="0.25">
      <c r="H5858" t="s">
        <v>10784</v>
      </c>
    </row>
    <row r="5859" spans="8:8" x14ac:dyDescent="0.25">
      <c r="H5859" t="s">
        <v>135</v>
      </c>
    </row>
    <row r="5860" spans="8:8" x14ac:dyDescent="0.25">
      <c r="H5860" t="s">
        <v>17277</v>
      </c>
    </row>
    <row r="5861" spans="8:8" x14ac:dyDescent="0.25">
      <c r="H5861" t="s">
        <v>30</v>
      </c>
    </row>
    <row r="5862" spans="8:8" x14ac:dyDescent="0.25">
      <c r="H5862" t="s">
        <v>136</v>
      </c>
    </row>
    <row r="5863" spans="8:8" x14ac:dyDescent="0.25">
      <c r="H5863" t="s">
        <v>17278</v>
      </c>
    </row>
    <row r="5864" spans="8:8" x14ac:dyDescent="0.25">
      <c r="H5864" t="s">
        <v>30</v>
      </c>
    </row>
    <row r="5865" spans="8:8" x14ac:dyDescent="0.25">
      <c r="H5865" t="s">
        <v>137</v>
      </c>
    </row>
    <row r="5866" spans="8:8" x14ac:dyDescent="0.25">
      <c r="H5866" t="s">
        <v>17279</v>
      </c>
    </row>
    <row r="5867" spans="8:8" x14ac:dyDescent="0.25">
      <c r="H5867" t="s">
        <v>30</v>
      </c>
    </row>
    <row r="5868" spans="8:8" x14ac:dyDescent="0.25">
      <c r="H5868" t="s">
        <v>138</v>
      </c>
    </row>
    <row r="5869" spans="8:8" x14ac:dyDescent="0.25">
      <c r="H5869" t="s">
        <v>17280</v>
      </c>
    </row>
    <row r="5870" spans="8:8" x14ac:dyDescent="0.25">
      <c r="H5870" t="s">
        <v>30</v>
      </c>
    </row>
    <row r="5872" spans="8:8" x14ac:dyDescent="0.25">
      <c r="H5872" t="s">
        <v>10789</v>
      </c>
    </row>
    <row r="5873" spans="8:8" x14ac:dyDescent="0.25">
      <c r="H5873" t="s">
        <v>10790</v>
      </c>
    </row>
    <row r="5874" spans="8:8" x14ac:dyDescent="0.25">
      <c r="H5874" t="s">
        <v>135</v>
      </c>
    </row>
    <row r="5875" spans="8:8" x14ac:dyDescent="0.25">
      <c r="H5875" t="s">
        <v>17281</v>
      </c>
    </row>
    <row r="5876" spans="8:8" x14ac:dyDescent="0.25">
      <c r="H5876" t="s">
        <v>30</v>
      </c>
    </row>
    <row r="5877" spans="8:8" x14ac:dyDescent="0.25">
      <c r="H5877" t="s">
        <v>136</v>
      </c>
    </row>
    <row r="5878" spans="8:8" x14ac:dyDescent="0.25">
      <c r="H5878" t="s">
        <v>17282</v>
      </c>
    </row>
    <row r="5879" spans="8:8" x14ac:dyDescent="0.25">
      <c r="H5879" t="s">
        <v>30</v>
      </c>
    </row>
    <row r="5880" spans="8:8" x14ac:dyDescent="0.25">
      <c r="H5880" t="s">
        <v>137</v>
      </c>
    </row>
    <row r="5881" spans="8:8" x14ac:dyDescent="0.25">
      <c r="H5881" t="s">
        <v>17283</v>
      </c>
    </row>
    <row r="5882" spans="8:8" x14ac:dyDescent="0.25">
      <c r="H5882" t="s">
        <v>30</v>
      </c>
    </row>
    <row r="5883" spans="8:8" x14ac:dyDescent="0.25">
      <c r="H5883" t="s">
        <v>138</v>
      </c>
    </row>
    <row r="5884" spans="8:8" x14ac:dyDescent="0.25">
      <c r="H5884" t="s">
        <v>17284</v>
      </c>
    </row>
    <row r="5885" spans="8:8" x14ac:dyDescent="0.25">
      <c r="H5885" t="s">
        <v>30</v>
      </c>
    </row>
    <row r="5887" spans="8:8" x14ac:dyDescent="0.25">
      <c r="H5887" t="s">
        <v>10795</v>
      </c>
    </row>
    <row r="5888" spans="8:8" x14ac:dyDescent="0.25">
      <c r="H5888" t="s">
        <v>10796</v>
      </c>
    </row>
    <row r="5889" spans="8:8" x14ac:dyDescent="0.25">
      <c r="H5889" t="s">
        <v>135</v>
      </c>
    </row>
    <row r="5890" spans="8:8" x14ac:dyDescent="0.25">
      <c r="H5890" t="s">
        <v>17285</v>
      </c>
    </row>
    <row r="5891" spans="8:8" x14ac:dyDescent="0.25">
      <c r="H5891" t="s">
        <v>30</v>
      </c>
    </row>
    <row r="5892" spans="8:8" x14ac:dyDescent="0.25">
      <c r="H5892" t="s">
        <v>136</v>
      </c>
    </row>
    <row r="5893" spans="8:8" x14ac:dyDescent="0.25">
      <c r="H5893" t="s">
        <v>17286</v>
      </c>
    </row>
    <row r="5894" spans="8:8" x14ac:dyDescent="0.25">
      <c r="H5894" t="s">
        <v>30</v>
      </c>
    </row>
    <row r="5895" spans="8:8" x14ac:dyDescent="0.25">
      <c r="H5895" t="s">
        <v>137</v>
      </c>
    </row>
    <row r="5896" spans="8:8" x14ac:dyDescent="0.25">
      <c r="H5896" t="s">
        <v>17287</v>
      </c>
    </row>
    <row r="5897" spans="8:8" x14ac:dyDescent="0.25">
      <c r="H5897" t="s">
        <v>30</v>
      </c>
    </row>
    <row r="5898" spans="8:8" x14ac:dyDescent="0.25">
      <c r="H5898" t="s">
        <v>138</v>
      </c>
    </row>
    <row r="5899" spans="8:8" x14ac:dyDescent="0.25">
      <c r="H5899" t="s">
        <v>17288</v>
      </c>
    </row>
    <row r="5900" spans="8:8" x14ac:dyDescent="0.25">
      <c r="H5900" t="s">
        <v>30</v>
      </c>
    </row>
    <row r="5902" spans="8:8" x14ac:dyDescent="0.25">
      <c r="H5902" t="s">
        <v>10801</v>
      </c>
    </row>
    <row r="5903" spans="8:8" x14ac:dyDescent="0.25">
      <c r="H5903" t="s">
        <v>10802</v>
      </c>
    </row>
    <row r="5904" spans="8:8" x14ac:dyDescent="0.25">
      <c r="H5904" t="s">
        <v>135</v>
      </c>
    </row>
    <row r="5905" spans="8:8" x14ac:dyDescent="0.25">
      <c r="H5905" t="s">
        <v>17289</v>
      </c>
    </row>
    <row r="5906" spans="8:8" x14ac:dyDescent="0.25">
      <c r="H5906" t="s">
        <v>30</v>
      </c>
    </row>
    <row r="5907" spans="8:8" x14ac:dyDescent="0.25">
      <c r="H5907" t="s">
        <v>136</v>
      </c>
    </row>
    <row r="5908" spans="8:8" x14ac:dyDescent="0.25">
      <c r="H5908" t="s">
        <v>17290</v>
      </c>
    </row>
    <row r="5909" spans="8:8" x14ac:dyDescent="0.25">
      <c r="H5909" t="s">
        <v>30</v>
      </c>
    </row>
    <row r="5910" spans="8:8" x14ac:dyDescent="0.25">
      <c r="H5910" t="s">
        <v>137</v>
      </c>
    </row>
    <row r="5911" spans="8:8" x14ac:dyDescent="0.25">
      <c r="H5911" t="s">
        <v>17291</v>
      </c>
    </row>
    <row r="5912" spans="8:8" x14ac:dyDescent="0.25">
      <c r="H5912" t="s">
        <v>30</v>
      </c>
    </row>
    <row r="5913" spans="8:8" x14ac:dyDescent="0.25">
      <c r="H5913" t="s">
        <v>138</v>
      </c>
    </row>
    <row r="5914" spans="8:8" x14ac:dyDescent="0.25">
      <c r="H5914" t="s">
        <v>17292</v>
      </c>
    </row>
    <row r="5915" spans="8:8" x14ac:dyDescent="0.25">
      <c r="H5915" t="s">
        <v>30</v>
      </c>
    </row>
    <row r="5917" spans="8:8" x14ac:dyDescent="0.25">
      <c r="H5917" t="s">
        <v>10807</v>
      </c>
    </row>
    <row r="5918" spans="8:8" x14ac:dyDescent="0.25">
      <c r="H5918" t="s">
        <v>10808</v>
      </c>
    </row>
    <row r="5919" spans="8:8" x14ac:dyDescent="0.25">
      <c r="H5919" t="s">
        <v>135</v>
      </c>
    </row>
    <row r="5920" spans="8:8" x14ac:dyDescent="0.25">
      <c r="H5920" t="s">
        <v>17293</v>
      </c>
    </row>
    <row r="5921" spans="8:8" x14ac:dyDescent="0.25">
      <c r="H5921" t="s">
        <v>30</v>
      </c>
    </row>
    <row r="5922" spans="8:8" x14ac:dyDescent="0.25">
      <c r="H5922" t="s">
        <v>136</v>
      </c>
    </row>
    <row r="5923" spans="8:8" x14ac:dyDescent="0.25">
      <c r="H5923" t="s">
        <v>17294</v>
      </c>
    </row>
    <row r="5924" spans="8:8" x14ac:dyDescent="0.25">
      <c r="H5924" t="s">
        <v>30</v>
      </c>
    </row>
    <row r="5925" spans="8:8" x14ac:dyDescent="0.25">
      <c r="H5925" t="s">
        <v>137</v>
      </c>
    </row>
    <row r="5926" spans="8:8" x14ac:dyDescent="0.25">
      <c r="H5926" t="s">
        <v>17295</v>
      </c>
    </row>
    <row r="5927" spans="8:8" x14ac:dyDescent="0.25">
      <c r="H5927" t="s">
        <v>30</v>
      </c>
    </row>
    <row r="5928" spans="8:8" x14ac:dyDescent="0.25">
      <c r="H5928" t="s">
        <v>138</v>
      </c>
    </row>
    <row r="5929" spans="8:8" x14ac:dyDescent="0.25">
      <c r="H5929" t="s">
        <v>17296</v>
      </c>
    </row>
    <row r="5930" spans="8:8" x14ac:dyDescent="0.25">
      <c r="H5930" t="s">
        <v>30</v>
      </c>
    </row>
    <row r="5932" spans="8:8" x14ac:dyDescent="0.25">
      <c r="H5932" t="s">
        <v>10813</v>
      </c>
    </row>
    <row r="5933" spans="8:8" x14ac:dyDescent="0.25">
      <c r="H5933" t="s">
        <v>10814</v>
      </c>
    </row>
    <row r="5934" spans="8:8" x14ac:dyDescent="0.25">
      <c r="H5934" t="s">
        <v>135</v>
      </c>
    </row>
    <row r="5935" spans="8:8" x14ac:dyDescent="0.25">
      <c r="H5935" t="s">
        <v>17297</v>
      </c>
    </row>
    <row r="5936" spans="8:8" x14ac:dyDescent="0.25">
      <c r="H5936" t="s">
        <v>30</v>
      </c>
    </row>
    <row r="5937" spans="8:8" x14ac:dyDescent="0.25">
      <c r="H5937" t="s">
        <v>136</v>
      </c>
    </row>
    <row r="5938" spans="8:8" x14ac:dyDescent="0.25">
      <c r="H5938" t="s">
        <v>17298</v>
      </c>
    </row>
    <row r="5939" spans="8:8" x14ac:dyDescent="0.25">
      <c r="H5939" t="s">
        <v>30</v>
      </c>
    </row>
    <row r="5940" spans="8:8" x14ac:dyDescent="0.25">
      <c r="H5940" t="s">
        <v>137</v>
      </c>
    </row>
    <row r="5941" spans="8:8" x14ac:dyDescent="0.25">
      <c r="H5941" t="s">
        <v>17299</v>
      </c>
    </row>
    <row r="5942" spans="8:8" x14ac:dyDescent="0.25">
      <c r="H5942" t="s">
        <v>30</v>
      </c>
    </row>
    <row r="5943" spans="8:8" x14ac:dyDescent="0.25">
      <c r="H5943" t="s">
        <v>138</v>
      </c>
    </row>
    <row r="5944" spans="8:8" x14ac:dyDescent="0.25">
      <c r="H5944" t="s">
        <v>17300</v>
      </c>
    </row>
    <row r="5945" spans="8:8" x14ac:dyDescent="0.25">
      <c r="H5945" t="s">
        <v>30</v>
      </c>
    </row>
    <row r="5947" spans="8:8" x14ac:dyDescent="0.25">
      <c r="H5947" t="s">
        <v>10819</v>
      </c>
    </row>
    <row r="5948" spans="8:8" x14ac:dyDescent="0.25">
      <c r="H5948" t="s">
        <v>10820</v>
      </c>
    </row>
    <row r="5949" spans="8:8" x14ac:dyDescent="0.25">
      <c r="H5949" t="s">
        <v>135</v>
      </c>
    </row>
    <row r="5950" spans="8:8" x14ac:dyDescent="0.25">
      <c r="H5950" t="s">
        <v>17301</v>
      </c>
    </row>
    <row r="5951" spans="8:8" x14ac:dyDescent="0.25">
      <c r="H5951" t="s">
        <v>30</v>
      </c>
    </row>
    <row r="5952" spans="8:8" x14ac:dyDescent="0.25">
      <c r="H5952" t="s">
        <v>136</v>
      </c>
    </row>
    <row r="5953" spans="8:8" x14ac:dyDescent="0.25">
      <c r="H5953" t="s">
        <v>17302</v>
      </c>
    </row>
    <row r="5954" spans="8:8" x14ac:dyDescent="0.25">
      <c r="H5954" t="s">
        <v>30</v>
      </c>
    </row>
    <row r="5955" spans="8:8" x14ac:dyDescent="0.25">
      <c r="H5955" t="s">
        <v>137</v>
      </c>
    </row>
    <row r="5956" spans="8:8" x14ac:dyDescent="0.25">
      <c r="H5956" t="s">
        <v>17303</v>
      </c>
    </row>
    <row r="5957" spans="8:8" x14ac:dyDescent="0.25">
      <c r="H5957" t="s">
        <v>30</v>
      </c>
    </row>
    <row r="5958" spans="8:8" x14ac:dyDescent="0.25">
      <c r="H5958" t="s">
        <v>138</v>
      </c>
    </row>
    <row r="5959" spans="8:8" x14ac:dyDescent="0.25">
      <c r="H5959" t="s">
        <v>17304</v>
      </c>
    </row>
    <row r="5960" spans="8:8" x14ac:dyDescent="0.25">
      <c r="H5960" t="s">
        <v>30</v>
      </c>
    </row>
    <row r="5962" spans="8:8" x14ac:dyDescent="0.25">
      <c r="H5962" t="s">
        <v>10825</v>
      </c>
    </row>
    <row r="5963" spans="8:8" x14ac:dyDescent="0.25">
      <c r="H5963" t="s">
        <v>10826</v>
      </c>
    </row>
    <row r="5964" spans="8:8" x14ac:dyDescent="0.25">
      <c r="H5964" t="s">
        <v>135</v>
      </c>
    </row>
    <row r="5965" spans="8:8" x14ac:dyDescent="0.25">
      <c r="H5965" t="s">
        <v>17305</v>
      </c>
    </row>
    <row r="5966" spans="8:8" x14ac:dyDescent="0.25">
      <c r="H5966" t="s">
        <v>30</v>
      </c>
    </row>
    <row r="5967" spans="8:8" x14ac:dyDescent="0.25">
      <c r="H5967" t="s">
        <v>136</v>
      </c>
    </row>
    <row r="5968" spans="8:8" x14ac:dyDescent="0.25">
      <c r="H5968" t="s">
        <v>17306</v>
      </c>
    </row>
    <row r="5969" spans="8:8" x14ac:dyDescent="0.25">
      <c r="H5969" t="s">
        <v>30</v>
      </c>
    </row>
    <row r="5970" spans="8:8" x14ac:dyDescent="0.25">
      <c r="H5970" t="s">
        <v>137</v>
      </c>
    </row>
    <row r="5971" spans="8:8" x14ac:dyDescent="0.25">
      <c r="H5971" t="s">
        <v>17307</v>
      </c>
    </row>
    <row r="5972" spans="8:8" x14ac:dyDescent="0.25">
      <c r="H5972" t="s">
        <v>30</v>
      </c>
    </row>
    <row r="5973" spans="8:8" x14ac:dyDescent="0.25">
      <c r="H5973" t="s">
        <v>138</v>
      </c>
    </row>
    <row r="5974" spans="8:8" x14ac:dyDescent="0.25">
      <c r="H5974" t="s">
        <v>17308</v>
      </c>
    </row>
    <row r="5975" spans="8:8" x14ac:dyDescent="0.25">
      <c r="H5975" t="s">
        <v>30</v>
      </c>
    </row>
    <row r="5977" spans="8:8" x14ac:dyDescent="0.25">
      <c r="H5977" t="s">
        <v>10831</v>
      </c>
    </row>
    <row r="5978" spans="8:8" x14ac:dyDescent="0.25">
      <c r="H5978" t="s">
        <v>10832</v>
      </c>
    </row>
    <row r="5979" spans="8:8" x14ac:dyDescent="0.25">
      <c r="H5979" t="s">
        <v>135</v>
      </c>
    </row>
    <row r="5980" spans="8:8" x14ac:dyDescent="0.25">
      <c r="H5980" t="s">
        <v>17309</v>
      </c>
    </row>
    <row r="5981" spans="8:8" x14ac:dyDescent="0.25">
      <c r="H5981" t="s">
        <v>30</v>
      </c>
    </row>
    <row r="5982" spans="8:8" x14ac:dyDescent="0.25">
      <c r="H5982" t="s">
        <v>136</v>
      </c>
    </row>
    <row r="5983" spans="8:8" x14ac:dyDescent="0.25">
      <c r="H5983" t="s">
        <v>17310</v>
      </c>
    </row>
    <row r="5984" spans="8:8" x14ac:dyDescent="0.25">
      <c r="H5984" t="s">
        <v>30</v>
      </c>
    </row>
    <row r="5985" spans="8:8" x14ac:dyDescent="0.25">
      <c r="H5985" t="s">
        <v>137</v>
      </c>
    </row>
    <row r="5986" spans="8:8" x14ac:dyDescent="0.25">
      <c r="H5986" t="s">
        <v>17311</v>
      </c>
    </row>
    <row r="5987" spans="8:8" x14ac:dyDescent="0.25">
      <c r="H5987" t="s">
        <v>30</v>
      </c>
    </row>
    <row r="5988" spans="8:8" x14ac:dyDescent="0.25">
      <c r="H5988" t="s">
        <v>138</v>
      </c>
    </row>
    <row r="5989" spans="8:8" x14ac:dyDescent="0.25">
      <c r="H5989" t="s">
        <v>17312</v>
      </c>
    </row>
    <row r="5990" spans="8:8" x14ac:dyDescent="0.25">
      <c r="H5990" t="s">
        <v>30</v>
      </c>
    </row>
    <row r="5992" spans="8:8" x14ac:dyDescent="0.25">
      <c r="H5992" t="s">
        <v>10837</v>
      </c>
    </row>
    <row r="5993" spans="8:8" x14ac:dyDescent="0.25">
      <c r="H5993" t="s">
        <v>10838</v>
      </c>
    </row>
    <row r="5994" spans="8:8" x14ac:dyDescent="0.25">
      <c r="H5994" t="s">
        <v>135</v>
      </c>
    </row>
    <row r="5995" spans="8:8" x14ac:dyDescent="0.25">
      <c r="H5995" t="s">
        <v>17313</v>
      </c>
    </row>
    <row r="5996" spans="8:8" x14ac:dyDescent="0.25">
      <c r="H5996" t="s">
        <v>30</v>
      </c>
    </row>
    <row r="5997" spans="8:8" x14ac:dyDescent="0.25">
      <c r="H5997" t="s">
        <v>136</v>
      </c>
    </row>
    <row r="5998" spans="8:8" x14ac:dyDescent="0.25">
      <c r="H5998" t="s">
        <v>17314</v>
      </c>
    </row>
    <row r="5999" spans="8:8" x14ac:dyDescent="0.25">
      <c r="H5999" t="s">
        <v>30</v>
      </c>
    </row>
    <row r="6000" spans="8:8" x14ac:dyDescent="0.25">
      <c r="H6000" t="s">
        <v>137</v>
      </c>
    </row>
    <row r="6001" spans="8:8" x14ac:dyDescent="0.25">
      <c r="H6001" t="s">
        <v>17315</v>
      </c>
    </row>
    <row r="6002" spans="8:8" x14ac:dyDescent="0.25">
      <c r="H6002" t="s">
        <v>30</v>
      </c>
    </row>
    <row r="6003" spans="8:8" x14ac:dyDescent="0.25">
      <c r="H6003" t="s">
        <v>138</v>
      </c>
    </row>
    <row r="6004" spans="8:8" x14ac:dyDescent="0.25">
      <c r="H6004" t="s">
        <v>17316</v>
      </c>
    </row>
    <row r="6005" spans="8:8" x14ac:dyDescent="0.25">
      <c r="H6005" t="s">
        <v>30</v>
      </c>
    </row>
    <row r="6007" spans="8:8" x14ac:dyDescent="0.25">
      <c r="H6007" t="s">
        <v>10843</v>
      </c>
    </row>
    <row r="6008" spans="8:8" x14ac:dyDescent="0.25">
      <c r="H6008" t="s">
        <v>10844</v>
      </c>
    </row>
    <row r="6009" spans="8:8" x14ac:dyDescent="0.25">
      <c r="H6009" t="s">
        <v>135</v>
      </c>
    </row>
    <row r="6010" spans="8:8" x14ac:dyDescent="0.25">
      <c r="H6010" t="s">
        <v>17317</v>
      </c>
    </row>
    <row r="6011" spans="8:8" x14ac:dyDescent="0.25">
      <c r="H6011" t="s">
        <v>30</v>
      </c>
    </row>
    <row r="6012" spans="8:8" x14ac:dyDescent="0.25">
      <c r="H6012" t="s">
        <v>136</v>
      </c>
    </row>
    <row r="6013" spans="8:8" x14ac:dyDescent="0.25">
      <c r="H6013" t="s">
        <v>17318</v>
      </c>
    </row>
    <row r="6014" spans="8:8" x14ac:dyDescent="0.25">
      <c r="H6014" t="s">
        <v>30</v>
      </c>
    </row>
    <row r="6015" spans="8:8" x14ac:dyDescent="0.25">
      <c r="H6015" t="s">
        <v>137</v>
      </c>
    </row>
    <row r="6016" spans="8:8" x14ac:dyDescent="0.25">
      <c r="H6016" t="s">
        <v>17319</v>
      </c>
    </row>
    <row r="6017" spans="8:8" x14ac:dyDescent="0.25">
      <c r="H6017" t="s">
        <v>30</v>
      </c>
    </row>
    <row r="6018" spans="8:8" x14ac:dyDescent="0.25">
      <c r="H6018" t="s">
        <v>138</v>
      </c>
    </row>
    <row r="6019" spans="8:8" x14ac:dyDescent="0.25">
      <c r="H6019" t="s">
        <v>17320</v>
      </c>
    </row>
    <row r="6020" spans="8:8" x14ac:dyDescent="0.25">
      <c r="H6020" t="s">
        <v>30</v>
      </c>
    </row>
    <row r="6022" spans="8:8" x14ac:dyDescent="0.25">
      <c r="H6022" t="s">
        <v>10849</v>
      </c>
    </row>
    <row r="6023" spans="8:8" x14ac:dyDescent="0.25">
      <c r="H6023" t="s">
        <v>10850</v>
      </c>
    </row>
    <row r="6024" spans="8:8" x14ac:dyDescent="0.25">
      <c r="H6024" t="s">
        <v>135</v>
      </c>
    </row>
    <row r="6025" spans="8:8" x14ac:dyDescent="0.25">
      <c r="H6025" t="s">
        <v>17321</v>
      </c>
    </row>
    <row r="6026" spans="8:8" x14ac:dyDescent="0.25">
      <c r="H6026" t="s">
        <v>30</v>
      </c>
    </row>
    <row r="6027" spans="8:8" x14ac:dyDescent="0.25">
      <c r="H6027" t="s">
        <v>136</v>
      </c>
    </row>
    <row r="6028" spans="8:8" x14ac:dyDescent="0.25">
      <c r="H6028" t="s">
        <v>17322</v>
      </c>
    </row>
    <row r="6029" spans="8:8" x14ac:dyDescent="0.25">
      <c r="H6029" t="s">
        <v>30</v>
      </c>
    </row>
    <row r="6030" spans="8:8" x14ac:dyDescent="0.25">
      <c r="H6030" t="s">
        <v>137</v>
      </c>
    </row>
    <row r="6031" spans="8:8" x14ac:dyDescent="0.25">
      <c r="H6031" t="s">
        <v>17323</v>
      </c>
    </row>
    <row r="6032" spans="8:8" x14ac:dyDescent="0.25">
      <c r="H6032" t="s">
        <v>30</v>
      </c>
    </row>
    <row r="6033" spans="8:8" x14ac:dyDescent="0.25">
      <c r="H6033" t="s">
        <v>138</v>
      </c>
    </row>
    <row r="6034" spans="8:8" x14ac:dyDescent="0.25">
      <c r="H6034" t="s">
        <v>17324</v>
      </c>
    </row>
    <row r="6035" spans="8:8" x14ac:dyDescent="0.25">
      <c r="H6035" t="s">
        <v>30</v>
      </c>
    </row>
    <row r="6037" spans="8:8" x14ac:dyDescent="0.25">
      <c r="H6037" t="s">
        <v>10855</v>
      </c>
    </row>
    <row r="6038" spans="8:8" x14ac:dyDescent="0.25">
      <c r="H6038" t="s">
        <v>10856</v>
      </c>
    </row>
    <row r="6039" spans="8:8" x14ac:dyDescent="0.25">
      <c r="H6039" t="s">
        <v>135</v>
      </c>
    </row>
    <row r="6040" spans="8:8" x14ac:dyDescent="0.25">
      <c r="H6040" t="s">
        <v>17325</v>
      </c>
    </row>
    <row r="6041" spans="8:8" x14ac:dyDescent="0.25">
      <c r="H6041" t="s">
        <v>30</v>
      </c>
    </row>
    <row r="6042" spans="8:8" x14ac:dyDescent="0.25">
      <c r="H6042" t="s">
        <v>136</v>
      </c>
    </row>
    <row r="6043" spans="8:8" x14ac:dyDescent="0.25">
      <c r="H6043" t="s">
        <v>17326</v>
      </c>
    </row>
    <row r="6044" spans="8:8" x14ac:dyDescent="0.25">
      <c r="H6044" t="s">
        <v>30</v>
      </c>
    </row>
    <row r="6045" spans="8:8" x14ac:dyDescent="0.25">
      <c r="H6045" t="s">
        <v>137</v>
      </c>
    </row>
    <row r="6046" spans="8:8" x14ac:dyDescent="0.25">
      <c r="H6046" t="s">
        <v>17327</v>
      </c>
    </row>
    <row r="6047" spans="8:8" x14ac:dyDescent="0.25">
      <c r="H6047" t="s">
        <v>30</v>
      </c>
    </row>
    <row r="6048" spans="8:8" x14ac:dyDescent="0.25">
      <c r="H6048" t="s">
        <v>138</v>
      </c>
    </row>
    <row r="6049" spans="8:8" x14ac:dyDescent="0.25">
      <c r="H6049" t="s">
        <v>17328</v>
      </c>
    </row>
    <row r="6050" spans="8:8" x14ac:dyDescent="0.25">
      <c r="H6050" t="s">
        <v>30</v>
      </c>
    </row>
    <row r="6052" spans="8:8" x14ac:dyDescent="0.25">
      <c r="H6052" t="s">
        <v>10861</v>
      </c>
    </row>
    <row r="6053" spans="8:8" x14ac:dyDescent="0.25">
      <c r="H6053" t="s">
        <v>10862</v>
      </c>
    </row>
    <row r="6054" spans="8:8" x14ac:dyDescent="0.25">
      <c r="H6054" t="s">
        <v>135</v>
      </c>
    </row>
    <row r="6055" spans="8:8" x14ac:dyDescent="0.25">
      <c r="H6055" t="s">
        <v>17329</v>
      </c>
    </row>
    <row r="6056" spans="8:8" x14ac:dyDescent="0.25">
      <c r="H6056" t="s">
        <v>30</v>
      </c>
    </row>
    <row r="6057" spans="8:8" x14ac:dyDescent="0.25">
      <c r="H6057" t="s">
        <v>136</v>
      </c>
    </row>
    <row r="6058" spans="8:8" x14ac:dyDescent="0.25">
      <c r="H6058" t="s">
        <v>17330</v>
      </c>
    </row>
    <row r="6059" spans="8:8" x14ac:dyDescent="0.25">
      <c r="H6059" t="s">
        <v>30</v>
      </c>
    </row>
    <row r="6060" spans="8:8" x14ac:dyDescent="0.25">
      <c r="H6060" t="s">
        <v>137</v>
      </c>
    </row>
    <row r="6061" spans="8:8" x14ac:dyDescent="0.25">
      <c r="H6061" t="s">
        <v>17331</v>
      </c>
    </row>
    <row r="6062" spans="8:8" x14ac:dyDescent="0.25">
      <c r="H6062" t="s">
        <v>30</v>
      </c>
    </row>
    <row r="6063" spans="8:8" x14ac:dyDescent="0.25">
      <c r="H6063" t="s">
        <v>138</v>
      </c>
    </row>
    <row r="6064" spans="8:8" x14ac:dyDescent="0.25">
      <c r="H6064" t="s">
        <v>17332</v>
      </c>
    </row>
    <row r="6065" spans="8:8" x14ac:dyDescent="0.25">
      <c r="H6065" t="s">
        <v>30</v>
      </c>
    </row>
    <row r="6067" spans="8:8" x14ac:dyDescent="0.25">
      <c r="H6067" t="s">
        <v>10867</v>
      </c>
    </row>
    <row r="6068" spans="8:8" x14ac:dyDescent="0.25">
      <c r="H6068" t="s">
        <v>10868</v>
      </c>
    </row>
    <row r="6069" spans="8:8" x14ac:dyDescent="0.25">
      <c r="H6069" t="s">
        <v>135</v>
      </c>
    </row>
    <row r="6070" spans="8:8" x14ac:dyDescent="0.25">
      <c r="H6070" t="s">
        <v>17333</v>
      </c>
    </row>
    <row r="6071" spans="8:8" x14ac:dyDescent="0.25">
      <c r="H6071" t="s">
        <v>30</v>
      </c>
    </row>
    <row r="6072" spans="8:8" x14ac:dyDescent="0.25">
      <c r="H6072" t="s">
        <v>136</v>
      </c>
    </row>
    <row r="6073" spans="8:8" x14ac:dyDescent="0.25">
      <c r="H6073" t="s">
        <v>17334</v>
      </c>
    </row>
    <row r="6074" spans="8:8" x14ac:dyDescent="0.25">
      <c r="H6074" t="s">
        <v>30</v>
      </c>
    </row>
    <row r="6075" spans="8:8" x14ac:dyDescent="0.25">
      <c r="H6075" t="s">
        <v>137</v>
      </c>
    </row>
    <row r="6076" spans="8:8" x14ac:dyDescent="0.25">
      <c r="H6076" t="s">
        <v>17335</v>
      </c>
    </row>
    <row r="6077" spans="8:8" x14ac:dyDescent="0.25">
      <c r="H6077" t="s">
        <v>30</v>
      </c>
    </row>
    <row r="6078" spans="8:8" x14ac:dyDescent="0.25">
      <c r="H6078" t="s">
        <v>138</v>
      </c>
    </row>
    <row r="6079" spans="8:8" x14ac:dyDescent="0.25">
      <c r="H6079" t="s">
        <v>17336</v>
      </c>
    </row>
    <row r="6080" spans="8:8" x14ac:dyDescent="0.25">
      <c r="H6080" t="s">
        <v>30</v>
      </c>
    </row>
    <row r="6082" spans="8:8" x14ac:dyDescent="0.25">
      <c r="H6082" t="s">
        <v>10873</v>
      </c>
    </row>
    <row r="6083" spans="8:8" x14ac:dyDescent="0.25">
      <c r="H6083" t="s">
        <v>10874</v>
      </c>
    </row>
    <row r="6084" spans="8:8" x14ac:dyDescent="0.25">
      <c r="H6084" t="s">
        <v>135</v>
      </c>
    </row>
    <row r="6085" spans="8:8" x14ac:dyDescent="0.25">
      <c r="H6085" t="s">
        <v>17337</v>
      </c>
    </row>
    <row r="6086" spans="8:8" x14ac:dyDescent="0.25">
      <c r="H6086" t="s">
        <v>30</v>
      </c>
    </row>
    <row r="6087" spans="8:8" x14ac:dyDescent="0.25">
      <c r="H6087" t="s">
        <v>136</v>
      </c>
    </row>
    <row r="6088" spans="8:8" x14ac:dyDescent="0.25">
      <c r="H6088" t="s">
        <v>17338</v>
      </c>
    </row>
    <row r="6089" spans="8:8" x14ac:dyDescent="0.25">
      <c r="H6089" t="s">
        <v>30</v>
      </c>
    </row>
    <row r="6090" spans="8:8" x14ac:dyDescent="0.25">
      <c r="H6090" t="s">
        <v>137</v>
      </c>
    </row>
    <row r="6091" spans="8:8" x14ac:dyDescent="0.25">
      <c r="H6091" t="s">
        <v>17339</v>
      </c>
    </row>
    <row r="6092" spans="8:8" x14ac:dyDescent="0.25">
      <c r="H6092" t="s">
        <v>30</v>
      </c>
    </row>
    <row r="6093" spans="8:8" x14ac:dyDescent="0.25">
      <c r="H6093" t="s">
        <v>138</v>
      </c>
    </row>
    <row r="6094" spans="8:8" x14ac:dyDescent="0.25">
      <c r="H6094" t="s">
        <v>17340</v>
      </c>
    </row>
    <row r="6095" spans="8:8" x14ac:dyDescent="0.25">
      <c r="H6095" t="s">
        <v>30</v>
      </c>
    </row>
    <row r="6097" spans="8:8" x14ac:dyDescent="0.25">
      <c r="H6097" t="s">
        <v>10879</v>
      </c>
    </row>
    <row r="6098" spans="8:8" x14ac:dyDescent="0.25">
      <c r="H6098" t="s">
        <v>10880</v>
      </c>
    </row>
    <row r="6099" spans="8:8" x14ac:dyDescent="0.25">
      <c r="H6099" t="s">
        <v>135</v>
      </c>
    </row>
    <row r="6100" spans="8:8" x14ac:dyDescent="0.25">
      <c r="H6100" t="s">
        <v>17341</v>
      </c>
    </row>
    <row r="6101" spans="8:8" x14ac:dyDescent="0.25">
      <c r="H6101" t="s">
        <v>30</v>
      </c>
    </row>
    <row r="6102" spans="8:8" x14ac:dyDescent="0.25">
      <c r="H6102" t="s">
        <v>136</v>
      </c>
    </row>
    <row r="6103" spans="8:8" x14ac:dyDescent="0.25">
      <c r="H6103" t="s">
        <v>17342</v>
      </c>
    </row>
    <row r="6104" spans="8:8" x14ac:dyDescent="0.25">
      <c r="H6104" t="s">
        <v>30</v>
      </c>
    </row>
    <row r="6105" spans="8:8" x14ac:dyDescent="0.25">
      <c r="H6105" t="s">
        <v>137</v>
      </c>
    </row>
    <row r="6106" spans="8:8" x14ac:dyDescent="0.25">
      <c r="H6106" t="s">
        <v>17343</v>
      </c>
    </row>
    <row r="6107" spans="8:8" x14ac:dyDescent="0.25">
      <c r="H6107" t="s">
        <v>30</v>
      </c>
    </row>
    <row r="6108" spans="8:8" x14ac:dyDescent="0.25">
      <c r="H6108" t="s">
        <v>138</v>
      </c>
    </row>
    <row r="6109" spans="8:8" x14ac:dyDescent="0.25">
      <c r="H6109" t="s">
        <v>17344</v>
      </c>
    </row>
    <row r="6110" spans="8:8" x14ac:dyDescent="0.25">
      <c r="H6110" t="s">
        <v>30</v>
      </c>
    </row>
    <row r="6112" spans="8:8" x14ac:dyDescent="0.25">
      <c r="H6112" t="s">
        <v>10885</v>
      </c>
    </row>
    <row r="6113" spans="8:8" x14ac:dyDescent="0.25">
      <c r="H6113" t="s">
        <v>10886</v>
      </c>
    </row>
    <row r="6114" spans="8:8" x14ac:dyDescent="0.25">
      <c r="H6114" t="s">
        <v>135</v>
      </c>
    </row>
    <row r="6115" spans="8:8" x14ac:dyDescent="0.25">
      <c r="H6115" t="s">
        <v>17345</v>
      </c>
    </row>
    <row r="6116" spans="8:8" x14ac:dyDescent="0.25">
      <c r="H6116" t="s">
        <v>30</v>
      </c>
    </row>
    <row r="6117" spans="8:8" x14ac:dyDescent="0.25">
      <c r="H6117" t="s">
        <v>136</v>
      </c>
    </row>
    <row r="6118" spans="8:8" x14ac:dyDescent="0.25">
      <c r="H6118" t="s">
        <v>17346</v>
      </c>
    </row>
    <row r="6119" spans="8:8" x14ac:dyDescent="0.25">
      <c r="H6119" t="s">
        <v>30</v>
      </c>
    </row>
    <row r="6120" spans="8:8" x14ac:dyDescent="0.25">
      <c r="H6120" t="s">
        <v>137</v>
      </c>
    </row>
    <row r="6121" spans="8:8" x14ac:dyDescent="0.25">
      <c r="H6121" t="s">
        <v>17347</v>
      </c>
    </row>
    <row r="6122" spans="8:8" x14ac:dyDescent="0.25">
      <c r="H6122" t="s">
        <v>30</v>
      </c>
    </row>
    <row r="6123" spans="8:8" x14ac:dyDescent="0.25">
      <c r="H6123" t="s">
        <v>138</v>
      </c>
    </row>
    <row r="6124" spans="8:8" x14ac:dyDescent="0.25">
      <c r="H6124" t="s">
        <v>17348</v>
      </c>
    </row>
    <row r="6125" spans="8:8" x14ac:dyDescent="0.25">
      <c r="H6125" t="s">
        <v>30</v>
      </c>
    </row>
    <row r="6127" spans="8:8" x14ac:dyDescent="0.25">
      <c r="H6127" t="s">
        <v>10891</v>
      </c>
    </row>
    <row r="6128" spans="8:8" x14ac:dyDescent="0.25">
      <c r="H6128" t="s">
        <v>10892</v>
      </c>
    </row>
    <row r="6129" spans="8:8" x14ac:dyDescent="0.25">
      <c r="H6129" t="s">
        <v>135</v>
      </c>
    </row>
    <row r="6130" spans="8:8" x14ac:dyDescent="0.25">
      <c r="H6130" t="s">
        <v>17349</v>
      </c>
    </row>
    <row r="6131" spans="8:8" x14ac:dyDescent="0.25">
      <c r="H6131" t="s">
        <v>30</v>
      </c>
    </row>
    <row r="6132" spans="8:8" x14ac:dyDescent="0.25">
      <c r="H6132" t="s">
        <v>136</v>
      </c>
    </row>
    <row r="6133" spans="8:8" x14ac:dyDescent="0.25">
      <c r="H6133" t="s">
        <v>17350</v>
      </c>
    </row>
    <row r="6134" spans="8:8" x14ac:dyDescent="0.25">
      <c r="H6134" t="s">
        <v>30</v>
      </c>
    </row>
    <row r="6135" spans="8:8" x14ac:dyDescent="0.25">
      <c r="H6135" t="s">
        <v>137</v>
      </c>
    </row>
    <row r="6136" spans="8:8" x14ac:dyDescent="0.25">
      <c r="H6136" t="s">
        <v>17351</v>
      </c>
    </row>
    <row r="6137" spans="8:8" x14ac:dyDescent="0.25">
      <c r="H6137" t="s">
        <v>30</v>
      </c>
    </row>
    <row r="6138" spans="8:8" x14ac:dyDescent="0.25">
      <c r="H6138" t="s">
        <v>138</v>
      </c>
    </row>
    <row r="6139" spans="8:8" x14ac:dyDescent="0.25">
      <c r="H6139" t="s">
        <v>17352</v>
      </c>
    </row>
    <row r="6140" spans="8:8" x14ac:dyDescent="0.25">
      <c r="H6140" t="s">
        <v>30</v>
      </c>
    </row>
    <row r="6142" spans="8:8" x14ac:dyDescent="0.25">
      <c r="H6142" t="s">
        <v>10897</v>
      </c>
    </row>
    <row r="6143" spans="8:8" x14ac:dyDescent="0.25">
      <c r="H6143" t="s">
        <v>10898</v>
      </c>
    </row>
    <row r="6144" spans="8:8" x14ac:dyDescent="0.25">
      <c r="H6144" t="s">
        <v>135</v>
      </c>
    </row>
    <row r="6145" spans="8:8" x14ac:dyDescent="0.25">
      <c r="H6145" t="s">
        <v>17353</v>
      </c>
    </row>
    <row r="6146" spans="8:8" x14ac:dyDescent="0.25">
      <c r="H6146" t="s">
        <v>30</v>
      </c>
    </row>
    <row r="6147" spans="8:8" x14ac:dyDescent="0.25">
      <c r="H6147" t="s">
        <v>136</v>
      </c>
    </row>
    <row r="6148" spans="8:8" x14ac:dyDescent="0.25">
      <c r="H6148" t="s">
        <v>17354</v>
      </c>
    </row>
    <row r="6149" spans="8:8" x14ac:dyDescent="0.25">
      <c r="H6149" t="s">
        <v>30</v>
      </c>
    </row>
    <row r="6150" spans="8:8" x14ac:dyDescent="0.25">
      <c r="H6150" t="s">
        <v>137</v>
      </c>
    </row>
    <row r="6151" spans="8:8" x14ac:dyDescent="0.25">
      <c r="H6151" t="s">
        <v>17355</v>
      </c>
    </row>
    <row r="6152" spans="8:8" x14ac:dyDescent="0.25">
      <c r="H6152" t="s">
        <v>30</v>
      </c>
    </row>
    <row r="6153" spans="8:8" x14ac:dyDescent="0.25">
      <c r="H6153" t="s">
        <v>138</v>
      </c>
    </row>
    <row r="6154" spans="8:8" x14ac:dyDescent="0.25">
      <c r="H6154" t="s">
        <v>17356</v>
      </c>
    </row>
    <row r="6155" spans="8:8" x14ac:dyDescent="0.25">
      <c r="H6155" t="s">
        <v>30</v>
      </c>
    </row>
    <row r="6157" spans="8:8" x14ac:dyDescent="0.25">
      <c r="H6157" t="s">
        <v>10903</v>
      </c>
    </row>
    <row r="6158" spans="8:8" x14ac:dyDescent="0.25">
      <c r="H6158" t="s">
        <v>10904</v>
      </c>
    </row>
    <row r="6159" spans="8:8" x14ac:dyDescent="0.25">
      <c r="H6159" t="s">
        <v>135</v>
      </c>
    </row>
    <row r="6160" spans="8:8" x14ac:dyDescent="0.25">
      <c r="H6160" t="s">
        <v>17357</v>
      </c>
    </row>
    <row r="6161" spans="8:8" x14ac:dyDescent="0.25">
      <c r="H6161" t="s">
        <v>30</v>
      </c>
    </row>
    <row r="6162" spans="8:8" x14ac:dyDescent="0.25">
      <c r="H6162" t="s">
        <v>136</v>
      </c>
    </row>
    <row r="6163" spans="8:8" x14ac:dyDescent="0.25">
      <c r="H6163" t="s">
        <v>17358</v>
      </c>
    </row>
    <row r="6164" spans="8:8" x14ac:dyDescent="0.25">
      <c r="H6164" t="s">
        <v>30</v>
      </c>
    </row>
    <row r="6165" spans="8:8" x14ac:dyDescent="0.25">
      <c r="H6165" t="s">
        <v>137</v>
      </c>
    </row>
    <row r="6166" spans="8:8" x14ac:dyDescent="0.25">
      <c r="H6166" t="s">
        <v>17359</v>
      </c>
    </row>
    <row r="6167" spans="8:8" x14ac:dyDescent="0.25">
      <c r="H6167" t="s">
        <v>30</v>
      </c>
    </row>
    <row r="6168" spans="8:8" x14ac:dyDescent="0.25">
      <c r="H6168" t="s">
        <v>138</v>
      </c>
    </row>
    <row r="6169" spans="8:8" x14ac:dyDescent="0.25">
      <c r="H6169" t="s">
        <v>17360</v>
      </c>
    </row>
    <row r="6170" spans="8:8" x14ac:dyDescent="0.25">
      <c r="H6170" t="s">
        <v>30</v>
      </c>
    </row>
    <row r="6172" spans="8:8" x14ac:dyDescent="0.25">
      <c r="H6172" t="s">
        <v>10909</v>
      </c>
    </row>
    <row r="6173" spans="8:8" x14ac:dyDescent="0.25">
      <c r="H6173" t="s">
        <v>10910</v>
      </c>
    </row>
    <row r="6174" spans="8:8" x14ac:dyDescent="0.25">
      <c r="H6174" t="s">
        <v>135</v>
      </c>
    </row>
    <row r="6175" spans="8:8" x14ac:dyDescent="0.25">
      <c r="H6175" t="s">
        <v>17361</v>
      </c>
    </row>
    <row r="6176" spans="8:8" x14ac:dyDescent="0.25">
      <c r="H6176" t="s">
        <v>30</v>
      </c>
    </row>
    <row r="6177" spans="8:8" x14ac:dyDescent="0.25">
      <c r="H6177" t="s">
        <v>136</v>
      </c>
    </row>
    <row r="6178" spans="8:8" x14ac:dyDescent="0.25">
      <c r="H6178" t="s">
        <v>17362</v>
      </c>
    </row>
    <row r="6179" spans="8:8" x14ac:dyDescent="0.25">
      <c r="H6179" t="s">
        <v>30</v>
      </c>
    </row>
    <row r="6180" spans="8:8" x14ac:dyDescent="0.25">
      <c r="H6180" t="s">
        <v>137</v>
      </c>
    </row>
    <row r="6181" spans="8:8" x14ac:dyDescent="0.25">
      <c r="H6181" t="s">
        <v>17363</v>
      </c>
    </row>
    <row r="6182" spans="8:8" x14ac:dyDescent="0.25">
      <c r="H6182" t="s">
        <v>30</v>
      </c>
    </row>
    <row r="6183" spans="8:8" x14ac:dyDescent="0.25">
      <c r="H6183" t="s">
        <v>138</v>
      </c>
    </row>
    <row r="6184" spans="8:8" x14ac:dyDescent="0.25">
      <c r="H6184" t="s">
        <v>17364</v>
      </c>
    </row>
    <row r="6185" spans="8:8" x14ac:dyDescent="0.25">
      <c r="H6185" t="s">
        <v>30</v>
      </c>
    </row>
    <row r="6187" spans="8:8" x14ac:dyDescent="0.25">
      <c r="H6187" t="s">
        <v>10915</v>
      </c>
    </row>
    <row r="6188" spans="8:8" x14ac:dyDescent="0.25">
      <c r="H6188" t="s">
        <v>10916</v>
      </c>
    </row>
    <row r="6189" spans="8:8" x14ac:dyDescent="0.25">
      <c r="H6189" t="s">
        <v>135</v>
      </c>
    </row>
    <row r="6190" spans="8:8" x14ac:dyDescent="0.25">
      <c r="H6190" t="s">
        <v>17365</v>
      </c>
    </row>
    <row r="6191" spans="8:8" x14ac:dyDescent="0.25">
      <c r="H6191" t="s">
        <v>30</v>
      </c>
    </row>
    <row r="6192" spans="8:8" x14ac:dyDescent="0.25">
      <c r="H6192" t="s">
        <v>136</v>
      </c>
    </row>
    <row r="6193" spans="8:8" x14ac:dyDescent="0.25">
      <c r="H6193" t="s">
        <v>17366</v>
      </c>
    </row>
    <row r="6194" spans="8:8" x14ac:dyDescent="0.25">
      <c r="H6194" t="s">
        <v>30</v>
      </c>
    </row>
    <row r="6195" spans="8:8" x14ac:dyDescent="0.25">
      <c r="H6195" t="s">
        <v>137</v>
      </c>
    </row>
    <row r="6196" spans="8:8" x14ac:dyDescent="0.25">
      <c r="H6196" t="s">
        <v>17367</v>
      </c>
    </row>
    <row r="6197" spans="8:8" x14ac:dyDescent="0.25">
      <c r="H6197" t="s">
        <v>30</v>
      </c>
    </row>
    <row r="6198" spans="8:8" x14ac:dyDescent="0.25">
      <c r="H6198" t="s">
        <v>138</v>
      </c>
    </row>
    <row r="6199" spans="8:8" x14ac:dyDescent="0.25">
      <c r="H6199" t="s">
        <v>17368</v>
      </c>
    </row>
    <row r="6200" spans="8:8" x14ac:dyDescent="0.25">
      <c r="H6200" t="s">
        <v>30</v>
      </c>
    </row>
    <row r="6202" spans="8:8" x14ac:dyDescent="0.25">
      <c r="H6202" t="s">
        <v>10921</v>
      </c>
    </row>
    <row r="6203" spans="8:8" x14ac:dyDescent="0.25">
      <c r="H6203" t="s">
        <v>10922</v>
      </c>
    </row>
    <row r="6204" spans="8:8" x14ac:dyDescent="0.25">
      <c r="H6204" t="s">
        <v>135</v>
      </c>
    </row>
    <row r="6205" spans="8:8" x14ac:dyDescent="0.25">
      <c r="H6205" t="s">
        <v>17369</v>
      </c>
    </row>
    <row r="6206" spans="8:8" x14ac:dyDescent="0.25">
      <c r="H6206" t="s">
        <v>30</v>
      </c>
    </row>
    <row r="6207" spans="8:8" x14ac:dyDescent="0.25">
      <c r="H6207" t="s">
        <v>136</v>
      </c>
    </row>
    <row r="6208" spans="8:8" x14ac:dyDescent="0.25">
      <c r="H6208" t="s">
        <v>17370</v>
      </c>
    </row>
    <row r="6209" spans="8:8" x14ac:dyDescent="0.25">
      <c r="H6209" t="s">
        <v>30</v>
      </c>
    </row>
    <row r="6210" spans="8:8" x14ac:dyDescent="0.25">
      <c r="H6210" t="s">
        <v>137</v>
      </c>
    </row>
    <row r="6211" spans="8:8" x14ac:dyDescent="0.25">
      <c r="H6211" t="s">
        <v>17371</v>
      </c>
    </row>
    <row r="6212" spans="8:8" x14ac:dyDescent="0.25">
      <c r="H6212" t="s">
        <v>30</v>
      </c>
    </row>
    <row r="6213" spans="8:8" x14ac:dyDescent="0.25">
      <c r="H6213" t="s">
        <v>138</v>
      </c>
    </row>
    <row r="6214" spans="8:8" x14ac:dyDescent="0.25">
      <c r="H6214" t="s">
        <v>17372</v>
      </c>
    </row>
    <row r="6215" spans="8:8" x14ac:dyDescent="0.25">
      <c r="H6215" t="s">
        <v>30</v>
      </c>
    </row>
    <row r="6217" spans="8:8" x14ac:dyDescent="0.25">
      <c r="H6217" t="s">
        <v>10927</v>
      </c>
    </row>
    <row r="6218" spans="8:8" x14ac:dyDescent="0.25">
      <c r="H6218" t="s">
        <v>10928</v>
      </c>
    </row>
    <row r="6219" spans="8:8" x14ac:dyDescent="0.25">
      <c r="H6219" t="s">
        <v>135</v>
      </c>
    </row>
    <row r="6220" spans="8:8" x14ac:dyDescent="0.25">
      <c r="H6220" t="s">
        <v>17373</v>
      </c>
    </row>
    <row r="6221" spans="8:8" x14ac:dyDescent="0.25">
      <c r="H6221" t="s">
        <v>30</v>
      </c>
    </row>
    <row r="6222" spans="8:8" x14ac:dyDescent="0.25">
      <c r="H6222" t="s">
        <v>136</v>
      </c>
    </row>
    <row r="6223" spans="8:8" x14ac:dyDescent="0.25">
      <c r="H6223" t="s">
        <v>17374</v>
      </c>
    </row>
    <row r="6224" spans="8:8" x14ac:dyDescent="0.25">
      <c r="H6224" t="s">
        <v>30</v>
      </c>
    </row>
    <row r="6225" spans="8:8" x14ac:dyDescent="0.25">
      <c r="H6225" t="s">
        <v>137</v>
      </c>
    </row>
    <row r="6226" spans="8:8" x14ac:dyDescent="0.25">
      <c r="H6226" t="s">
        <v>17375</v>
      </c>
    </row>
    <row r="6227" spans="8:8" x14ac:dyDescent="0.25">
      <c r="H6227" t="s">
        <v>30</v>
      </c>
    </row>
    <row r="6228" spans="8:8" x14ac:dyDescent="0.25">
      <c r="H6228" t="s">
        <v>138</v>
      </c>
    </row>
    <row r="6229" spans="8:8" x14ac:dyDescent="0.25">
      <c r="H6229" t="s">
        <v>17376</v>
      </c>
    </row>
    <row r="6230" spans="8:8" x14ac:dyDescent="0.25">
      <c r="H6230" t="s">
        <v>30</v>
      </c>
    </row>
    <row r="6232" spans="8:8" x14ac:dyDescent="0.25">
      <c r="H6232" t="s">
        <v>10933</v>
      </c>
    </row>
    <row r="6233" spans="8:8" x14ac:dyDescent="0.25">
      <c r="H6233" t="s">
        <v>10934</v>
      </c>
    </row>
    <row r="6234" spans="8:8" x14ac:dyDescent="0.25">
      <c r="H6234" t="s">
        <v>135</v>
      </c>
    </row>
    <row r="6235" spans="8:8" x14ac:dyDescent="0.25">
      <c r="H6235" t="s">
        <v>17377</v>
      </c>
    </row>
    <row r="6236" spans="8:8" x14ac:dyDescent="0.25">
      <c r="H6236" t="s">
        <v>30</v>
      </c>
    </row>
    <row r="6237" spans="8:8" x14ac:dyDescent="0.25">
      <c r="H6237" t="s">
        <v>136</v>
      </c>
    </row>
    <row r="6238" spans="8:8" x14ac:dyDescent="0.25">
      <c r="H6238" t="s">
        <v>17378</v>
      </c>
    </row>
    <row r="6239" spans="8:8" x14ac:dyDescent="0.25">
      <c r="H6239" t="s">
        <v>30</v>
      </c>
    </row>
    <row r="6240" spans="8:8" x14ac:dyDescent="0.25">
      <c r="H6240" t="s">
        <v>137</v>
      </c>
    </row>
    <row r="6241" spans="8:8" x14ac:dyDescent="0.25">
      <c r="H6241" t="s">
        <v>17379</v>
      </c>
    </row>
    <row r="6242" spans="8:8" x14ac:dyDescent="0.25">
      <c r="H6242" t="s">
        <v>30</v>
      </c>
    </row>
    <row r="6243" spans="8:8" x14ac:dyDescent="0.25">
      <c r="H6243" t="s">
        <v>138</v>
      </c>
    </row>
    <row r="6244" spans="8:8" x14ac:dyDescent="0.25">
      <c r="H6244" t="s">
        <v>17380</v>
      </c>
    </row>
    <row r="6245" spans="8:8" x14ac:dyDescent="0.25">
      <c r="H6245" t="s">
        <v>30</v>
      </c>
    </row>
    <row r="6247" spans="8:8" x14ac:dyDescent="0.25">
      <c r="H6247" t="s">
        <v>10939</v>
      </c>
    </row>
    <row r="6248" spans="8:8" x14ac:dyDescent="0.25">
      <c r="H6248" t="s">
        <v>10940</v>
      </c>
    </row>
    <row r="6249" spans="8:8" x14ac:dyDescent="0.25">
      <c r="H6249" t="s">
        <v>135</v>
      </c>
    </row>
    <row r="6250" spans="8:8" x14ac:dyDescent="0.25">
      <c r="H6250" t="s">
        <v>17381</v>
      </c>
    </row>
    <row r="6251" spans="8:8" x14ac:dyDescent="0.25">
      <c r="H6251" t="s">
        <v>30</v>
      </c>
    </row>
    <row r="6252" spans="8:8" x14ac:dyDescent="0.25">
      <c r="H6252" t="s">
        <v>136</v>
      </c>
    </row>
    <row r="6253" spans="8:8" x14ac:dyDescent="0.25">
      <c r="H6253" t="s">
        <v>17382</v>
      </c>
    </row>
    <row r="6254" spans="8:8" x14ac:dyDescent="0.25">
      <c r="H6254" t="s">
        <v>30</v>
      </c>
    </row>
    <row r="6255" spans="8:8" x14ac:dyDescent="0.25">
      <c r="H6255" t="s">
        <v>137</v>
      </c>
    </row>
    <row r="6256" spans="8:8" x14ac:dyDescent="0.25">
      <c r="H6256" t="s">
        <v>17383</v>
      </c>
    </row>
    <row r="6257" spans="8:8" x14ac:dyDescent="0.25">
      <c r="H6257" t="s">
        <v>30</v>
      </c>
    </row>
    <row r="6258" spans="8:8" x14ac:dyDescent="0.25">
      <c r="H6258" t="s">
        <v>138</v>
      </c>
    </row>
    <row r="6259" spans="8:8" x14ac:dyDescent="0.25">
      <c r="H6259" t="s">
        <v>17384</v>
      </c>
    </row>
    <row r="6260" spans="8:8" x14ac:dyDescent="0.25">
      <c r="H6260" t="s">
        <v>30</v>
      </c>
    </row>
    <row r="6262" spans="8:8" x14ac:dyDescent="0.25">
      <c r="H6262" t="s">
        <v>10945</v>
      </c>
    </row>
    <row r="6263" spans="8:8" x14ac:dyDescent="0.25">
      <c r="H6263" t="s">
        <v>10946</v>
      </c>
    </row>
    <row r="6264" spans="8:8" x14ac:dyDescent="0.25">
      <c r="H6264" t="s">
        <v>135</v>
      </c>
    </row>
    <row r="6265" spans="8:8" x14ac:dyDescent="0.25">
      <c r="H6265" t="s">
        <v>17385</v>
      </c>
    </row>
    <row r="6266" spans="8:8" x14ac:dyDescent="0.25">
      <c r="H6266" t="s">
        <v>30</v>
      </c>
    </row>
    <row r="6267" spans="8:8" x14ac:dyDescent="0.25">
      <c r="H6267" t="s">
        <v>136</v>
      </c>
    </row>
    <row r="6268" spans="8:8" x14ac:dyDescent="0.25">
      <c r="H6268" t="s">
        <v>17386</v>
      </c>
    </row>
    <row r="6269" spans="8:8" x14ac:dyDescent="0.25">
      <c r="H6269" t="s">
        <v>30</v>
      </c>
    </row>
    <row r="6270" spans="8:8" x14ac:dyDescent="0.25">
      <c r="H6270" t="s">
        <v>137</v>
      </c>
    </row>
    <row r="6271" spans="8:8" x14ac:dyDescent="0.25">
      <c r="H6271" t="s">
        <v>17387</v>
      </c>
    </row>
    <row r="6272" spans="8:8" x14ac:dyDescent="0.25">
      <c r="H6272" t="s">
        <v>30</v>
      </c>
    </row>
    <row r="6273" spans="8:8" x14ac:dyDescent="0.25">
      <c r="H6273" t="s">
        <v>138</v>
      </c>
    </row>
    <row r="6274" spans="8:8" x14ac:dyDescent="0.25">
      <c r="H6274" t="s">
        <v>17388</v>
      </c>
    </row>
    <row r="6275" spans="8:8" x14ac:dyDescent="0.25">
      <c r="H6275" t="s">
        <v>30</v>
      </c>
    </row>
    <row r="6277" spans="8:8" x14ac:dyDescent="0.25">
      <c r="H6277" t="s">
        <v>10951</v>
      </c>
    </row>
    <row r="6278" spans="8:8" x14ac:dyDescent="0.25">
      <c r="H6278" t="s">
        <v>10952</v>
      </c>
    </row>
    <row r="6279" spans="8:8" x14ac:dyDescent="0.25">
      <c r="H6279" t="s">
        <v>135</v>
      </c>
    </row>
    <row r="6280" spans="8:8" x14ac:dyDescent="0.25">
      <c r="H6280" t="s">
        <v>17389</v>
      </c>
    </row>
    <row r="6281" spans="8:8" x14ac:dyDescent="0.25">
      <c r="H6281" t="s">
        <v>30</v>
      </c>
    </row>
    <row r="6282" spans="8:8" x14ac:dyDescent="0.25">
      <c r="H6282" t="s">
        <v>136</v>
      </c>
    </row>
    <row r="6283" spans="8:8" x14ac:dyDescent="0.25">
      <c r="H6283" t="s">
        <v>17390</v>
      </c>
    </row>
    <row r="6284" spans="8:8" x14ac:dyDescent="0.25">
      <c r="H6284" t="s">
        <v>30</v>
      </c>
    </row>
    <row r="6285" spans="8:8" x14ac:dyDescent="0.25">
      <c r="H6285" t="s">
        <v>137</v>
      </c>
    </row>
    <row r="6286" spans="8:8" x14ac:dyDescent="0.25">
      <c r="H6286" t="s">
        <v>17391</v>
      </c>
    </row>
    <row r="6287" spans="8:8" x14ac:dyDescent="0.25">
      <c r="H6287" t="s">
        <v>30</v>
      </c>
    </row>
    <row r="6288" spans="8:8" x14ac:dyDescent="0.25">
      <c r="H6288" t="s">
        <v>138</v>
      </c>
    </row>
    <row r="6289" spans="8:8" x14ac:dyDescent="0.25">
      <c r="H6289" t="s">
        <v>17392</v>
      </c>
    </row>
    <row r="6290" spans="8:8" x14ac:dyDescent="0.25">
      <c r="H6290" t="s">
        <v>30</v>
      </c>
    </row>
    <row r="6292" spans="8:8" x14ac:dyDescent="0.25">
      <c r="H6292" t="s">
        <v>10957</v>
      </c>
    </row>
    <row r="6293" spans="8:8" x14ac:dyDescent="0.25">
      <c r="H6293" t="s">
        <v>10958</v>
      </c>
    </row>
    <row r="6294" spans="8:8" x14ac:dyDescent="0.25">
      <c r="H6294" t="s">
        <v>135</v>
      </c>
    </row>
    <row r="6295" spans="8:8" x14ac:dyDescent="0.25">
      <c r="H6295" t="s">
        <v>17393</v>
      </c>
    </row>
    <row r="6296" spans="8:8" x14ac:dyDescent="0.25">
      <c r="H6296" t="s">
        <v>30</v>
      </c>
    </row>
    <row r="6297" spans="8:8" x14ac:dyDescent="0.25">
      <c r="H6297" t="s">
        <v>136</v>
      </c>
    </row>
    <row r="6298" spans="8:8" x14ac:dyDescent="0.25">
      <c r="H6298" t="s">
        <v>17394</v>
      </c>
    </row>
    <row r="6299" spans="8:8" x14ac:dyDescent="0.25">
      <c r="H6299" t="s">
        <v>30</v>
      </c>
    </row>
    <row r="6300" spans="8:8" x14ac:dyDescent="0.25">
      <c r="H6300" t="s">
        <v>137</v>
      </c>
    </row>
    <row r="6301" spans="8:8" x14ac:dyDescent="0.25">
      <c r="H6301" t="s">
        <v>17395</v>
      </c>
    </row>
    <row r="6302" spans="8:8" x14ac:dyDescent="0.25">
      <c r="H6302" t="s">
        <v>30</v>
      </c>
    </row>
    <row r="6303" spans="8:8" x14ac:dyDescent="0.25">
      <c r="H6303" t="s">
        <v>138</v>
      </c>
    </row>
    <row r="6304" spans="8:8" x14ac:dyDescent="0.25">
      <c r="H6304" t="s">
        <v>17396</v>
      </c>
    </row>
    <row r="6305" spans="8:8" x14ac:dyDescent="0.25">
      <c r="H6305" t="s">
        <v>30</v>
      </c>
    </row>
    <row r="6307" spans="8:8" x14ac:dyDescent="0.25">
      <c r="H6307" t="s">
        <v>10963</v>
      </c>
    </row>
    <row r="6308" spans="8:8" x14ac:dyDescent="0.25">
      <c r="H6308" t="s">
        <v>10964</v>
      </c>
    </row>
    <row r="6309" spans="8:8" x14ac:dyDescent="0.25">
      <c r="H6309" t="s">
        <v>135</v>
      </c>
    </row>
    <row r="6310" spans="8:8" x14ac:dyDescent="0.25">
      <c r="H6310" t="s">
        <v>17397</v>
      </c>
    </row>
    <row r="6311" spans="8:8" x14ac:dyDescent="0.25">
      <c r="H6311" t="s">
        <v>30</v>
      </c>
    </row>
    <row r="6312" spans="8:8" x14ac:dyDescent="0.25">
      <c r="H6312" t="s">
        <v>136</v>
      </c>
    </row>
    <row r="6313" spans="8:8" x14ac:dyDescent="0.25">
      <c r="H6313" t="s">
        <v>17398</v>
      </c>
    </row>
    <row r="6314" spans="8:8" x14ac:dyDescent="0.25">
      <c r="H6314" t="s">
        <v>30</v>
      </c>
    </row>
    <row r="6315" spans="8:8" x14ac:dyDescent="0.25">
      <c r="H6315" t="s">
        <v>137</v>
      </c>
    </row>
    <row r="6316" spans="8:8" x14ac:dyDescent="0.25">
      <c r="H6316" t="s">
        <v>17399</v>
      </c>
    </row>
    <row r="6317" spans="8:8" x14ac:dyDescent="0.25">
      <c r="H6317" t="s">
        <v>30</v>
      </c>
    </row>
    <row r="6318" spans="8:8" x14ac:dyDescent="0.25">
      <c r="H6318" t="s">
        <v>138</v>
      </c>
    </row>
    <row r="6319" spans="8:8" x14ac:dyDescent="0.25">
      <c r="H6319" t="s">
        <v>17400</v>
      </c>
    </row>
    <row r="6320" spans="8:8" x14ac:dyDescent="0.25">
      <c r="H6320" t="s">
        <v>30</v>
      </c>
    </row>
    <row r="6322" spans="8:8" x14ac:dyDescent="0.25">
      <c r="H6322" t="s">
        <v>10969</v>
      </c>
    </row>
    <row r="6323" spans="8:8" x14ac:dyDescent="0.25">
      <c r="H6323" t="s">
        <v>10970</v>
      </c>
    </row>
    <row r="6324" spans="8:8" x14ac:dyDescent="0.25">
      <c r="H6324" t="s">
        <v>135</v>
      </c>
    </row>
    <row r="6325" spans="8:8" x14ac:dyDescent="0.25">
      <c r="H6325" t="s">
        <v>17401</v>
      </c>
    </row>
    <row r="6326" spans="8:8" x14ac:dyDescent="0.25">
      <c r="H6326" t="s">
        <v>30</v>
      </c>
    </row>
    <row r="6327" spans="8:8" x14ac:dyDescent="0.25">
      <c r="H6327" t="s">
        <v>136</v>
      </c>
    </row>
    <row r="6328" spans="8:8" x14ac:dyDescent="0.25">
      <c r="H6328" t="s">
        <v>17402</v>
      </c>
    </row>
    <row r="6329" spans="8:8" x14ac:dyDescent="0.25">
      <c r="H6329" t="s">
        <v>30</v>
      </c>
    </row>
    <row r="6330" spans="8:8" x14ac:dyDescent="0.25">
      <c r="H6330" t="s">
        <v>137</v>
      </c>
    </row>
    <row r="6331" spans="8:8" x14ac:dyDescent="0.25">
      <c r="H6331" t="s">
        <v>17403</v>
      </c>
    </row>
    <row r="6332" spans="8:8" x14ac:dyDescent="0.25">
      <c r="H6332" t="s">
        <v>30</v>
      </c>
    </row>
    <row r="6333" spans="8:8" x14ac:dyDescent="0.25">
      <c r="H6333" t="s">
        <v>138</v>
      </c>
    </row>
    <row r="6334" spans="8:8" x14ac:dyDescent="0.25">
      <c r="H6334" t="s">
        <v>17404</v>
      </c>
    </row>
    <row r="6335" spans="8:8" x14ac:dyDescent="0.25">
      <c r="H6335" t="s">
        <v>30</v>
      </c>
    </row>
    <row r="6337" spans="8:8" x14ac:dyDescent="0.25">
      <c r="H6337" t="s">
        <v>10975</v>
      </c>
    </row>
    <row r="6338" spans="8:8" x14ac:dyDescent="0.25">
      <c r="H6338" t="s">
        <v>10976</v>
      </c>
    </row>
    <row r="6339" spans="8:8" x14ac:dyDescent="0.25">
      <c r="H6339" t="s">
        <v>135</v>
      </c>
    </row>
    <row r="6340" spans="8:8" x14ac:dyDescent="0.25">
      <c r="H6340" t="s">
        <v>17405</v>
      </c>
    </row>
    <row r="6341" spans="8:8" x14ac:dyDescent="0.25">
      <c r="H6341" t="s">
        <v>30</v>
      </c>
    </row>
    <row r="6342" spans="8:8" x14ac:dyDescent="0.25">
      <c r="H6342" t="s">
        <v>136</v>
      </c>
    </row>
    <row r="6343" spans="8:8" x14ac:dyDescent="0.25">
      <c r="H6343" t="s">
        <v>17406</v>
      </c>
    </row>
    <row r="6344" spans="8:8" x14ac:dyDescent="0.25">
      <c r="H6344" t="s">
        <v>30</v>
      </c>
    </row>
    <row r="6345" spans="8:8" x14ac:dyDescent="0.25">
      <c r="H6345" t="s">
        <v>137</v>
      </c>
    </row>
    <row r="6346" spans="8:8" x14ac:dyDescent="0.25">
      <c r="H6346" t="s">
        <v>17407</v>
      </c>
    </row>
    <row r="6347" spans="8:8" x14ac:dyDescent="0.25">
      <c r="H6347" t="s">
        <v>30</v>
      </c>
    </row>
    <row r="6348" spans="8:8" x14ac:dyDescent="0.25">
      <c r="H6348" t="s">
        <v>138</v>
      </c>
    </row>
    <row r="6349" spans="8:8" x14ac:dyDescent="0.25">
      <c r="H6349" t="s">
        <v>17408</v>
      </c>
    </row>
    <row r="6350" spans="8:8" x14ac:dyDescent="0.25">
      <c r="H6350" t="s">
        <v>30</v>
      </c>
    </row>
    <row r="6352" spans="8:8" x14ac:dyDescent="0.25">
      <c r="H6352" t="s">
        <v>10981</v>
      </c>
    </row>
    <row r="6353" spans="8:8" x14ac:dyDescent="0.25">
      <c r="H6353" t="s">
        <v>10982</v>
      </c>
    </row>
    <row r="6354" spans="8:8" x14ac:dyDescent="0.25">
      <c r="H6354" t="s">
        <v>135</v>
      </c>
    </row>
    <row r="6355" spans="8:8" x14ac:dyDescent="0.25">
      <c r="H6355" t="s">
        <v>17409</v>
      </c>
    </row>
    <row r="6356" spans="8:8" x14ac:dyDescent="0.25">
      <c r="H6356" t="s">
        <v>30</v>
      </c>
    </row>
    <row r="6357" spans="8:8" x14ac:dyDescent="0.25">
      <c r="H6357" t="s">
        <v>136</v>
      </c>
    </row>
    <row r="6358" spans="8:8" x14ac:dyDescent="0.25">
      <c r="H6358" t="s">
        <v>17410</v>
      </c>
    </row>
    <row r="6359" spans="8:8" x14ac:dyDescent="0.25">
      <c r="H6359" t="s">
        <v>30</v>
      </c>
    </row>
    <row r="6360" spans="8:8" x14ac:dyDescent="0.25">
      <c r="H6360" t="s">
        <v>137</v>
      </c>
    </row>
    <row r="6361" spans="8:8" x14ac:dyDescent="0.25">
      <c r="H6361" t="s">
        <v>17411</v>
      </c>
    </row>
    <row r="6362" spans="8:8" x14ac:dyDescent="0.25">
      <c r="H6362" t="s">
        <v>30</v>
      </c>
    </row>
    <row r="6363" spans="8:8" x14ac:dyDescent="0.25">
      <c r="H6363" t="s">
        <v>138</v>
      </c>
    </row>
    <row r="6364" spans="8:8" x14ac:dyDescent="0.25">
      <c r="H6364" t="s">
        <v>17412</v>
      </c>
    </row>
    <row r="6365" spans="8:8" x14ac:dyDescent="0.25">
      <c r="H6365" t="s">
        <v>30</v>
      </c>
    </row>
    <row r="6367" spans="8:8" x14ac:dyDescent="0.25">
      <c r="H6367" t="s">
        <v>10987</v>
      </c>
    </row>
    <row r="6368" spans="8:8" x14ac:dyDescent="0.25">
      <c r="H6368" t="s">
        <v>10988</v>
      </c>
    </row>
    <row r="6369" spans="8:8" x14ac:dyDescent="0.25">
      <c r="H6369" t="s">
        <v>135</v>
      </c>
    </row>
    <row r="6370" spans="8:8" x14ac:dyDescent="0.25">
      <c r="H6370" t="s">
        <v>17413</v>
      </c>
    </row>
    <row r="6371" spans="8:8" x14ac:dyDescent="0.25">
      <c r="H6371" t="s">
        <v>30</v>
      </c>
    </row>
    <row r="6372" spans="8:8" x14ac:dyDescent="0.25">
      <c r="H6372" t="s">
        <v>136</v>
      </c>
    </row>
    <row r="6373" spans="8:8" x14ac:dyDescent="0.25">
      <c r="H6373" t="s">
        <v>17414</v>
      </c>
    </row>
    <row r="6374" spans="8:8" x14ac:dyDescent="0.25">
      <c r="H6374" t="s">
        <v>30</v>
      </c>
    </row>
    <row r="6375" spans="8:8" x14ac:dyDescent="0.25">
      <c r="H6375" t="s">
        <v>137</v>
      </c>
    </row>
    <row r="6376" spans="8:8" x14ac:dyDescent="0.25">
      <c r="H6376" t="s">
        <v>17415</v>
      </c>
    </row>
    <row r="6377" spans="8:8" x14ac:dyDescent="0.25">
      <c r="H6377" t="s">
        <v>30</v>
      </c>
    </row>
    <row r="6378" spans="8:8" x14ac:dyDescent="0.25">
      <c r="H6378" t="s">
        <v>138</v>
      </c>
    </row>
    <row r="6379" spans="8:8" x14ac:dyDescent="0.25">
      <c r="H6379" t="s">
        <v>17416</v>
      </c>
    </row>
    <row r="6380" spans="8:8" x14ac:dyDescent="0.25">
      <c r="H6380" t="s">
        <v>30</v>
      </c>
    </row>
    <row r="6382" spans="8:8" x14ac:dyDescent="0.25">
      <c r="H6382" t="s">
        <v>10993</v>
      </c>
    </row>
    <row r="6383" spans="8:8" x14ac:dyDescent="0.25">
      <c r="H6383" t="s">
        <v>10994</v>
      </c>
    </row>
    <row r="6384" spans="8:8" x14ac:dyDescent="0.25">
      <c r="H6384" t="s">
        <v>135</v>
      </c>
    </row>
    <row r="6385" spans="8:8" x14ac:dyDescent="0.25">
      <c r="H6385" t="s">
        <v>17417</v>
      </c>
    </row>
    <row r="6386" spans="8:8" x14ac:dyDescent="0.25">
      <c r="H6386" t="s">
        <v>30</v>
      </c>
    </row>
    <row r="6387" spans="8:8" x14ac:dyDescent="0.25">
      <c r="H6387" t="s">
        <v>136</v>
      </c>
    </row>
    <row r="6388" spans="8:8" x14ac:dyDescent="0.25">
      <c r="H6388" t="s">
        <v>17418</v>
      </c>
    </row>
    <row r="6389" spans="8:8" x14ac:dyDescent="0.25">
      <c r="H6389" t="s">
        <v>30</v>
      </c>
    </row>
    <row r="6390" spans="8:8" x14ac:dyDescent="0.25">
      <c r="H6390" t="s">
        <v>137</v>
      </c>
    </row>
    <row r="6391" spans="8:8" x14ac:dyDescent="0.25">
      <c r="H6391" t="s">
        <v>17419</v>
      </c>
    </row>
    <row r="6392" spans="8:8" x14ac:dyDescent="0.25">
      <c r="H6392" t="s">
        <v>30</v>
      </c>
    </row>
    <row r="6393" spans="8:8" x14ac:dyDescent="0.25">
      <c r="H6393" t="s">
        <v>138</v>
      </c>
    </row>
    <row r="6394" spans="8:8" x14ac:dyDescent="0.25">
      <c r="H6394" t="s">
        <v>17420</v>
      </c>
    </row>
    <row r="6395" spans="8:8" x14ac:dyDescent="0.25">
      <c r="H6395" t="s">
        <v>30</v>
      </c>
    </row>
    <row r="6397" spans="8:8" x14ac:dyDescent="0.25">
      <c r="H6397" t="s">
        <v>10999</v>
      </c>
    </row>
    <row r="6398" spans="8:8" x14ac:dyDescent="0.25">
      <c r="H6398" t="s">
        <v>11000</v>
      </c>
    </row>
    <row r="6399" spans="8:8" x14ac:dyDescent="0.25">
      <c r="H6399" t="s">
        <v>135</v>
      </c>
    </row>
    <row r="6400" spans="8:8" x14ac:dyDescent="0.25">
      <c r="H6400" t="s">
        <v>17421</v>
      </c>
    </row>
    <row r="6401" spans="8:8" x14ac:dyDescent="0.25">
      <c r="H6401" t="s">
        <v>30</v>
      </c>
    </row>
    <row r="6402" spans="8:8" x14ac:dyDescent="0.25">
      <c r="H6402" t="s">
        <v>136</v>
      </c>
    </row>
    <row r="6403" spans="8:8" x14ac:dyDescent="0.25">
      <c r="H6403" t="s">
        <v>17422</v>
      </c>
    </row>
    <row r="6404" spans="8:8" x14ac:dyDescent="0.25">
      <c r="H6404" t="s">
        <v>30</v>
      </c>
    </row>
    <row r="6405" spans="8:8" x14ac:dyDescent="0.25">
      <c r="H6405" t="s">
        <v>137</v>
      </c>
    </row>
    <row r="6406" spans="8:8" x14ac:dyDescent="0.25">
      <c r="H6406" t="s">
        <v>17423</v>
      </c>
    </row>
    <row r="6407" spans="8:8" x14ac:dyDescent="0.25">
      <c r="H6407" t="s">
        <v>30</v>
      </c>
    </row>
    <row r="6408" spans="8:8" x14ac:dyDescent="0.25">
      <c r="H6408" t="s">
        <v>138</v>
      </c>
    </row>
    <row r="6409" spans="8:8" x14ac:dyDescent="0.25">
      <c r="H6409" t="s">
        <v>17424</v>
      </c>
    </row>
    <row r="6410" spans="8:8" x14ac:dyDescent="0.25">
      <c r="H6410" t="s">
        <v>30</v>
      </c>
    </row>
    <row r="6412" spans="8:8" x14ac:dyDescent="0.25">
      <c r="H6412" t="s">
        <v>11005</v>
      </c>
    </row>
    <row r="6413" spans="8:8" x14ac:dyDescent="0.25">
      <c r="H6413" t="s">
        <v>11006</v>
      </c>
    </row>
    <row r="6414" spans="8:8" x14ac:dyDescent="0.25">
      <c r="H6414" t="s">
        <v>135</v>
      </c>
    </row>
    <row r="6415" spans="8:8" x14ac:dyDescent="0.25">
      <c r="H6415" t="s">
        <v>17425</v>
      </c>
    </row>
    <row r="6416" spans="8:8" x14ac:dyDescent="0.25">
      <c r="H6416" t="s">
        <v>30</v>
      </c>
    </row>
    <row r="6417" spans="8:8" x14ac:dyDescent="0.25">
      <c r="H6417" t="s">
        <v>136</v>
      </c>
    </row>
    <row r="6418" spans="8:8" x14ac:dyDescent="0.25">
      <c r="H6418" t="s">
        <v>17426</v>
      </c>
    </row>
    <row r="6419" spans="8:8" x14ac:dyDescent="0.25">
      <c r="H6419" t="s">
        <v>30</v>
      </c>
    </row>
    <row r="6420" spans="8:8" x14ac:dyDescent="0.25">
      <c r="H6420" t="s">
        <v>137</v>
      </c>
    </row>
    <row r="6421" spans="8:8" x14ac:dyDescent="0.25">
      <c r="H6421" t="s">
        <v>17427</v>
      </c>
    </row>
    <row r="6422" spans="8:8" x14ac:dyDescent="0.25">
      <c r="H6422" t="s">
        <v>30</v>
      </c>
    </row>
    <row r="6423" spans="8:8" x14ac:dyDescent="0.25">
      <c r="H6423" t="s">
        <v>138</v>
      </c>
    </row>
    <row r="6424" spans="8:8" x14ac:dyDescent="0.25">
      <c r="H6424" t="s">
        <v>17428</v>
      </c>
    </row>
    <row r="6425" spans="8:8" x14ac:dyDescent="0.25">
      <c r="H6425" t="s">
        <v>30</v>
      </c>
    </row>
    <row r="6427" spans="8:8" x14ac:dyDescent="0.25">
      <c r="H6427" t="s">
        <v>11011</v>
      </c>
    </row>
    <row r="6428" spans="8:8" x14ac:dyDescent="0.25">
      <c r="H6428" t="s">
        <v>11012</v>
      </c>
    </row>
    <row r="6429" spans="8:8" x14ac:dyDescent="0.25">
      <c r="H6429" t="s">
        <v>135</v>
      </c>
    </row>
    <row r="6430" spans="8:8" x14ac:dyDescent="0.25">
      <c r="H6430" t="s">
        <v>17429</v>
      </c>
    </row>
    <row r="6431" spans="8:8" x14ac:dyDescent="0.25">
      <c r="H6431" t="s">
        <v>30</v>
      </c>
    </row>
    <row r="6432" spans="8:8" x14ac:dyDescent="0.25">
      <c r="H6432" t="s">
        <v>136</v>
      </c>
    </row>
    <row r="6433" spans="8:8" x14ac:dyDescent="0.25">
      <c r="H6433" t="s">
        <v>17430</v>
      </c>
    </row>
    <row r="6434" spans="8:8" x14ac:dyDescent="0.25">
      <c r="H6434" t="s">
        <v>30</v>
      </c>
    </row>
    <row r="6435" spans="8:8" x14ac:dyDescent="0.25">
      <c r="H6435" t="s">
        <v>137</v>
      </c>
    </row>
    <row r="6436" spans="8:8" x14ac:dyDescent="0.25">
      <c r="H6436" t="s">
        <v>17431</v>
      </c>
    </row>
    <row r="6437" spans="8:8" x14ac:dyDescent="0.25">
      <c r="H6437" t="s">
        <v>30</v>
      </c>
    </row>
    <row r="6438" spans="8:8" x14ac:dyDescent="0.25">
      <c r="H6438" t="s">
        <v>138</v>
      </c>
    </row>
    <row r="6439" spans="8:8" x14ac:dyDescent="0.25">
      <c r="H6439" t="s">
        <v>17432</v>
      </c>
    </row>
    <row r="6440" spans="8:8" x14ac:dyDescent="0.25">
      <c r="H6440" t="s">
        <v>30</v>
      </c>
    </row>
    <row r="6442" spans="8:8" x14ac:dyDescent="0.25">
      <c r="H6442" t="s">
        <v>11017</v>
      </c>
    </row>
    <row r="6443" spans="8:8" x14ac:dyDescent="0.25">
      <c r="H6443" t="s">
        <v>11018</v>
      </c>
    </row>
    <row r="6444" spans="8:8" x14ac:dyDescent="0.25">
      <c r="H6444" t="s">
        <v>135</v>
      </c>
    </row>
    <row r="6445" spans="8:8" x14ac:dyDescent="0.25">
      <c r="H6445" t="s">
        <v>17433</v>
      </c>
    </row>
    <row r="6446" spans="8:8" x14ac:dyDescent="0.25">
      <c r="H6446" t="s">
        <v>30</v>
      </c>
    </row>
    <row r="6447" spans="8:8" x14ac:dyDescent="0.25">
      <c r="H6447" t="s">
        <v>136</v>
      </c>
    </row>
    <row r="6448" spans="8:8" x14ac:dyDescent="0.25">
      <c r="H6448" t="s">
        <v>17434</v>
      </c>
    </row>
    <row r="6449" spans="8:8" x14ac:dyDescent="0.25">
      <c r="H6449" t="s">
        <v>30</v>
      </c>
    </row>
    <row r="6450" spans="8:8" x14ac:dyDescent="0.25">
      <c r="H6450" t="s">
        <v>137</v>
      </c>
    </row>
    <row r="6451" spans="8:8" x14ac:dyDescent="0.25">
      <c r="H6451" t="s">
        <v>17435</v>
      </c>
    </row>
    <row r="6452" spans="8:8" x14ac:dyDescent="0.25">
      <c r="H6452" t="s">
        <v>30</v>
      </c>
    </row>
    <row r="6453" spans="8:8" x14ac:dyDescent="0.25">
      <c r="H6453" t="s">
        <v>138</v>
      </c>
    </row>
    <row r="6454" spans="8:8" x14ac:dyDescent="0.25">
      <c r="H6454" t="s">
        <v>17436</v>
      </c>
    </row>
    <row r="6455" spans="8:8" x14ac:dyDescent="0.25">
      <c r="H6455" t="s">
        <v>30</v>
      </c>
    </row>
    <row r="6457" spans="8:8" x14ac:dyDescent="0.25">
      <c r="H6457" t="s">
        <v>11023</v>
      </c>
    </row>
    <row r="6458" spans="8:8" x14ac:dyDescent="0.25">
      <c r="H6458" t="s">
        <v>11024</v>
      </c>
    </row>
    <row r="6459" spans="8:8" x14ac:dyDescent="0.25">
      <c r="H6459" t="s">
        <v>135</v>
      </c>
    </row>
    <row r="6460" spans="8:8" x14ac:dyDescent="0.25">
      <c r="H6460" t="s">
        <v>17437</v>
      </c>
    </row>
    <row r="6461" spans="8:8" x14ac:dyDescent="0.25">
      <c r="H6461" t="s">
        <v>30</v>
      </c>
    </row>
    <row r="6462" spans="8:8" x14ac:dyDescent="0.25">
      <c r="H6462" t="s">
        <v>136</v>
      </c>
    </row>
    <row r="6463" spans="8:8" x14ac:dyDescent="0.25">
      <c r="H6463" t="s">
        <v>17438</v>
      </c>
    </row>
    <row r="6464" spans="8:8" x14ac:dyDescent="0.25">
      <c r="H6464" t="s">
        <v>30</v>
      </c>
    </row>
    <row r="6465" spans="8:8" x14ac:dyDescent="0.25">
      <c r="H6465" t="s">
        <v>137</v>
      </c>
    </row>
    <row r="6466" spans="8:8" x14ac:dyDescent="0.25">
      <c r="H6466" t="s">
        <v>17439</v>
      </c>
    </row>
    <row r="6467" spans="8:8" x14ac:dyDescent="0.25">
      <c r="H6467" t="s">
        <v>30</v>
      </c>
    </row>
    <row r="6468" spans="8:8" x14ac:dyDescent="0.25">
      <c r="H6468" t="s">
        <v>138</v>
      </c>
    </row>
    <row r="6469" spans="8:8" x14ac:dyDescent="0.25">
      <c r="H6469" t="s">
        <v>17440</v>
      </c>
    </row>
    <row r="6470" spans="8:8" x14ac:dyDescent="0.25">
      <c r="H6470" t="s">
        <v>30</v>
      </c>
    </row>
    <row r="6472" spans="8:8" x14ac:dyDescent="0.25">
      <c r="H6472" t="s">
        <v>11029</v>
      </c>
    </row>
    <row r="6473" spans="8:8" x14ac:dyDescent="0.25">
      <c r="H6473" t="s">
        <v>11030</v>
      </c>
    </row>
    <row r="6474" spans="8:8" x14ac:dyDescent="0.25">
      <c r="H6474" t="s">
        <v>135</v>
      </c>
    </row>
    <row r="6475" spans="8:8" x14ac:dyDescent="0.25">
      <c r="H6475" t="s">
        <v>17441</v>
      </c>
    </row>
    <row r="6476" spans="8:8" x14ac:dyDescent="0.25">
      <c r="H6476" t="s">
        <v>30</v>
      </c>
    </row>
    <row r="6477" spans="8:8" x14ac:dyDescent="0.25">
      <c r="H6477" t="s">
        <v>136</v>
      </c>
    </row>
    <row r="6478" spans="8:8" x14ac:dyDescent="0.25">
      <c r="H6478" t="s">
        <v>17442</v>
      </c>
    </row>
    <row r="6479" spans="8:8" x14ac:dyDescent="0.25">
      <c r="H6479" t="s">
        <v>30</v>
      </c>
    </row>
    <row r="6480" spans="8:8" x14ac:dyDescent="0.25">
      <c r="H6480" t="s">
        <v>137</v>
      </c>
    </row>
    <row r="6481" spans="8:8" x14ac:dyDescent="0.25">
      <c r="H6481" t="s">
        <v>17443</v>
      </c>
    </row>
    <row r="6482" spans="8:8" x14ac:dyDescent="0.25">
      <c r="H6482" t="s">
        <v>30</v>
      </c>
    </row>
    <row r="6483" spans="8:8" x14ac:dyDescent="0.25">
      <c r="H6483" t="s">
        <v>138</v>
      </c>
    </row>
    <row r="6484" spans="8:8" x14ac:dyDescent="0.25">
      <c r="H6484" t="s">
        <v>17444</v>
      </c>
    </row>
    <row r="6485" spans="8:8" x14ac:dyDescent="0.25">
      <c r="H6485" t="s">
        <v>30</v>
      </c>
    </row>
    <row r="6487" spans="8:8" x14ac:dyDescent="0.25">
      <c r="H6487" t="s">
        <v>11035</v>
      </c>
    </row>
    <row r="6488" spans="8:8" x14ac:dyDescent="0.25">
      <c r="H6488" t="s">
        <v>11036</v>
      </c>
    </row>
    <row r="6489" spans="8:8" x14ac:dyDescent="0.25">
      <c r="H6489" t="s">
        <v>135</v>
      </c>
    </row>
    <row r="6490" spans="8:8" x14ac:dyDescent="0.25">
      <c r="H6490" t="s">
        <v>17445</v>
      </c>
    </row>
    <row r="6491" spans="8:8" x14ac:dyDescent="0.25">
      <c r="H6491" t="s">
        <v>30</v>
      </c>
    </row>
    <row r="6492" spans="8:8" x14ac:dyDescent="0.25">
      <c r="H6492" t="s">
        <v>136</v>
      </c>
    </row>
    <row r="6493" spans="8:8" x14ac:dyDescent="0.25">
      <c r="H6493" t="s">
        <v>17446</v>
      </c>
    </row>
    <row r="6494" spans="8:8" x14ac:dyDescent="0.25">
      <c r="H6494" t="s">
        <v>30</v>
      </c>
    </row>
    <row r="6495" spans="8:8" x14ac:dyDescent="0.25">
      <c r="H6495" t="s">
        <v>137</v>
      </c>
    </row>
    <row r="6496" spans="8:8" x14ac:dyDescent="0.25">
      <c r="H6496" t="s">
        <v>17447</v>
      </c>
    </row>
    <row r="6497" spans="8:8" x14ac:dyDescent="0.25">
      <c r="H6497" t="s">
        <v>30</v>
      </c>
    </row>
    <row r="6498" spans="8:8" x14ac:dyDescent="0.25">
      <c r="H6498" t="s">
        <v>138</v>
      </c>
    </row>
    <row r="6499" spans="8:8" x14ac:dyDescent="0.25">
      <c r="H6499" t="s">
        <v>17448</v>
      </c>
    </row>
    <row r="6500" spans="8:8" x14ac:dyDescent="0.25">
      <c r="H6500" t="s">
        <v>30</v>
      </c>
    </row>
    <row r="6502" spans="8:8" x14ac:dyDescent="0.25">
      <c r="H6502" t="s">
        <v>11041</v>
      </c>
    </row>
    <row r="6503" spans="8:8" x14ac:dyDescent="0.25">
      <c r="H6503" t="s">
        <v>11042</v>
      </c>
    </row>
    <row r="6504" spans="8:8" x14ac:dyDescent="0.25">
      <c r="H6504" t="s">
        <v>135</v>
      </c>
    </row>
    <row r="6505" spans="8:8" x14ac:dyDescent="0.25">
      <c r="H6505" t="s">
        <v>17449</v>
      </c>
    </row>
    <row r="6506" spans="8:8" x14ac:dyDescent="0.25">
      <c r="H6506" t="s">
        <v>30</v>
      </c>
    </row>
    <row r="6507" spans="8:8" x14ac:dyDescent="0.25">
      <c r="H6507" t="s">
        <v>136</v>
      </c>
    </row>
    <row r="6508" spans="8:8" x14ac:dyDescent="0.25">
      <c r="H6508" t="s">
        <v>17450</v>
      </c>
    </row>
    <row r="6509" spans="8:8" x14ac:dyDescent="0.25">
      <c r="H6509" t="s">
        <v>30</v>
      </c>
    </row>
    <row r="6510" spans="8:8" x14ac:dyDescent="0.25">
      <c r="H6510" t="s">
        <v>137</v>
      </c>
    </row>
    <row r="6511" spans="8:8" x14ac:dyDescent="0.25">
      <c r="H6511" t="s">
        <v>17451</v>
      </c>
    </row>
    <row r="6512" spans="8:8" x14ac:dyDescent="0.25">
      <c r="H6512" t="s">
        <v>30</v>
      </c>
    </row>
    <row r="6513" spans="8:8" x14ac:dyDescent="0.25">
      <c r="H6513" t="s">
        <v>138</v>
      </c>
    </row>
    <row r="6514" spans="8:8" x14ac:dyDescent="0.25">
      <c r="H6514" t="s">
        <v>17452</v>
      </c>
    </row>
    <row r="6515" spans="8:8" x14ac:dyDescent="0.25">
      <c r="H6515" t="s">
        <v>30</v>
      </c>
    </row>
    <row r="6517" spans="8:8" x14ac:dyDescent="0.25">
      <c r="H6517" t="s">
        <v>11047</v>
      </c>
    </row>
    <row r="6518" spans="8:8" x14ac:dyDescent="0.25">
      <c r="H6518" t="s">
        <v>11048</v>
      </c>
    </row>
    <row r="6519" spans="8:8" x14ac:dyDescent="0.25">
      <c r="H6519" t="s">
        <v>135</v>
      </c>
    </row>
    <row r="6520" spans="8:8" x14ac:dyDescent="0.25">
      <c r="H6520" t="s">
        <v>17453</v>
      </c>
    </row>
    <row r="6521" spans="8:8" x14ac:dyDescent="0.25">
      <c r="H6521" t="s">
        <v>30</v>
      </c>
    </row>
    <row r="6522" spans="8:8" x14ac:dyDescent="0.25">
      <c r="H6522" t="s">
        <v>136</v>
      </c>
    </row>
    <row r="6523" spans="8:8" x14ac:dyDescent="0.25">
      <c r="H6523" t="s">
        <v>17454</v>
      </c>
    </row>
    <row r="6524" spans="8:8" x14ac:dyDescent="0.25">
      <c r="H6524" t="s">
        <v>30</v>
      </c>
    </row>
    <row r="6525" spans="8:8" x14ac:dyDescent="0.25">
      <c r="H6525" t="s">
        <v>137</v>
      </c>
    </row>
    <row r="6526" spans="8:8" x14ac:dyDescent="0.25">
      <c r="H6526" t="s">
        <v>17455</v>
      </c>
    </row>
    <row r="6527" spans="8:8" x14ac:dyDescent="0.25">
      <c r="H6527" t="s">
        <v>30</v>
      </c>
    </row>
    <row r="6528" spans="8:8" x14ac:dyDescent="0.25">
      <c r="H6528" t="s">
        <v>138</v>
      </c>
    </row>
    <row r="6529" spans="8:8" x14ac:dyDescent="0.25">
      <c r="H6529" t="s">
        <v>17456</v>
      </c>
    </row>
    <row r="6530" spans="8:8" x14ac:dyDescent="0.25">
      <c r="H6530" t="s">
        <v>30</v>
      </c>
    </row>
    <row r="6532" spans="8:8" x14ac:dyDescent="0.25">
      <c r="H6532" t="s">
        <v>11053</v>
      </c>
    </row>
    <row r="6533" spans="8:8" x14ac:dyDescent="0.25">
      <c r="H6533" t="s">
        <v>11054</v>
      </c>
    </row>
    <row r="6534" spans="8:8" x14ac:dyDescent="0.25">
      <c r="H6534" t="s">
        <v>135</v>
      </c>
    </row>
    <row r="6535" spans="8:8" x14ac:dyDescent="0.25">
      <c r="H6535" t="s">
        <v>17457</v>
      </c>
    </row>
    <row r="6536" spans="8:8" x14ac:dyDescent="0.25">
      <c r="H6536" t="s">
        <v>30</v>
      </c>
    </row>
    <row r="6537" spans="8:8" x14ac:dyDescent="0.25">
      <c r="H6537" t="s">
        <v>136</v>
      </c>
    </row>
    <row r="6538" spans="8:8" x14ac:dyDescent="0.25">
      <c r="H6538" t="s">
        <v>17458</v>
      </c>
    </row>
    <row r="6539" spans="8:8" x14ac:dyDescent="0.25">
      <c r="H6539" t="s">
        <v>30</v>
      </c>
    </row>
    <row r="6540" spans="8:8" x14ac:dyDescent="0.25">
      <c r="H6540" t="s">
        <v>137</v>
      </c>
    </row>
    <row r="6541" spans="8:8" x14ac:dyDescent="0.25">
      <c r="H6541" t="s">
        <v>17459</v>
      </c>
    </row>
    <row r="6542" spans="8:8" x14ac:dyDescent="0.25">
      <c r="H6542" t="s">
        <v>30</v>
      </c>
    </row>
    <row r="6543" spans="8:8" x14ac:dyDescent="0.25">
      <c r="H6543" t="s">
        <v>138</v>
      </c>
    </row>
    <row r="6544" spans="8:8" x14ac:dyDescent="0.25">
      <c r="H6544" t="s">
        <v>17460</v>
      </c>
    </row>
    <row r="6545" spans="8:8" x14ac:dyDescent="0.25">
      <c r="H6545" t="s">
        <v>30</v>
      </c>
    </row>
    <row r="6547" spans="8:8" x14ac:dyDescent="0.25">
      <c r="H6547" t="s">
        <v>11059</v>
      </c>
    </row>
    <row r="6548" spans="8:8" x14ac:dyDescent="0.25">
      <c r="H6548" t="s">
        <v>11060</v>
      </c>
    </row>
    <row r="6549" spans="8:8" x14ac:dyDescent="0.25">
      <c r="H6549" t="s">
        <v>135</v>
      </c>
    </row>
    <row r="6550" spans="8:8" x14ac:dyDescent="0.25">
      <c r="H6550" t="s">
        <v>17461</v>
      </c>
    </row>
    <row r="6551" spans="8:8" x14ac:dyDescent="0.25">
      <c r="H6551" t="s">
        <v>30</v>
      </c>
    </row>
    <row r="6552" spans="8:8" x14ac:dyDescent="0.25">
      <c r="H6552" t="s">
        <v>136</v>
      </c>
    </row>
    <row r="6553" spans="8:8" x14ac:dyDescent="0.25">
      <c r="H6553" t="s">
        <v>17462</v>
      </c>
    </row>
    <row r="6554" spans="8:8" x14ac:dyDescent="0.25">
      <c r="H6554" t="s">
        <v>30</v>
      </c>
    </row>
    <row r="6555" spans="8:8" x14ac:dyDescent="0.25">
      <c r="H6555" t="s">
        <v>137</v>
      </c>
    </row>
    <row r="6556" spans="8:8" x14ac:dyDescent="0.25">
      <c r="H6556" t="s">
        <v>17463</v>
      </c>
    </row>
    <row r="6557" spans="8:8" x14ac:dyDescent="0.25">
      <c r="H6557" t="s">
        <v>30</v>
      </c>
    </row>
    <row r="6558" spans="8:8" x14ac:dyDescent="0.25">
      <c r="H6558" t="s">
        <v>138</v>
      </c>
    </row>
    <row r="6559" spans="8:8" x14ac:dyDescent="0.25">
      <c r="H6559" t="s">
        <v>17464</v>
      </c>
    </row>
    <row r="6560" spans="8:8" x14ac:dyDescent="0.25">
      <c r="H6560" t="s">
        <v>30</v>
      </c>
    </row>
    <row r="6562" spans="8:8" x14ac:dyDescent="0.25">
      <c r="H6562" t="s">
        <v>11065</v>
      </c>
    </row>
    <row r="6563" spans="8:8" x14ac:dyDescent="0.25">
      <c r="H6563" t="s">
        <v>11066</v>
      </c>
    </row>
    <row r="6564" spans="8:8" x14ac:dyDescent="0.25">
      <c r="H6564" t="s">
        <v>135</v>
      </c>
    </row>
    <row r="6565" spans="8:8" x14ac:dyDescent="0.25">
      <c r="H6565" t="s">
        <v>17465</v>
      </c>
    </row>
    <row r="6566" spans="8:8" x14ac:dyDescent="0.25">
      <c r="H6566" t="s">
        <v>30</v>
      </c>
    </row>
    <row r="6567" spans="8:8" x14ac:dyDescent="0.25">
      <c r="H6567" t="s">
        <v>136</v>
      </c>
    </row>
    <row r="6568" spans="8:8" x14ac:dyDescent="0.25">
      <c r="H6568" t="s">
        <v>17466</v>
      </c>
    </row>
    <row r="6569" spans="8:8" x14ac:dyDescent="0.25">
      <c r="H6569" t="s">
        <v>30</v>
      </c>
    </row>
    <row r="6570" spans="8:8" x14ac:dyDescent="0.25">
      <c r="H6570" t="s">
        <v>137</v>
      </c>
    </row>
    <row r="6571" spans="8:8" x14ac:dyDescent="0.25">
      <c r="H6571" t="s">
        <v>17467</v>
      </c>
    </row>
    <row r="6572" spans="8:8" x14ac:dyDescent="0.25">
      <c r="H6572" t="s">
        <v>30</v>
      </c>
    </row>
    <row r="6573" spans="8:8" x14ac:dyDescent="0.25">
      <c r="H6573" t="s">
        <v>138</v>
      </c>
    </row>
    <row r="6574" spans="8:8" x14ac:dyDescent="0.25">
      <c r="H6574" t="s">
        <v>17468</v>
      </c>
    </row>
    <row r="6575" spans="8:8" x14ac:dyDescent="0.25">
      <c r="H6575" t="s">
        <v>30</v>
      </c>
    </row>
    <row r="6577" spans="8:8" x14ac:dyDescent="0.25">
      <c r="H6577" t="s">
        <v>11071</v>
      </c>
    </row>
    <row r="6578" spans="8:8" x14ac:dyDescent="0.25">
      <c r="H6578" t="s">
        <v>11072</v>
      </c>
    </row>
    <row r="6579" spans="8:8" x14ac:dyDescent="0.25">
      <c r="H6579" t="s">
        <v>135</v>
      </c>
    </row>
    <row r="6580" spans="8:8" x14ac:dyDescent="0.25">
      <c r="H6580" t="s">
        <v>17469</v>
      </c>
    </row>
    <row r="6581" spans="8:8" x14ac:dyDescent="0.25">
      <c r="H6581" t="s">
        <v>30</v>
      </c>
    </row>
    <row r="6582" spans="8:8" x14ac:dyDescent="0.25">
      <c r="H6582" t="s">
        <v>136</v>
      </c>
    </row>
    <row r="6583" spans="8:8" x14ac:dyDescent="0.25">
      <c r="H6583" t="s">
        <v>17470</v>
      </c>
    </row>
    <row r="6584" spans="8:8" x14ac:dyDescent="0.25">
      <c r="H6584" t="s">
        <v>30</v>
      </c>
    </row>
    <row r="6585" spans="8:8" x14ac:dyDescent="0.25">
      <c r="H6585" t="s">
        <v>137</v>
      </c>
    </row>
    <row r="6586" spans="8:8" x14ac:dyDescent="0.25">
      <c r="H6586" t="s">
        <v>17471</v>
      </c>
    </row>
    <row r="6587" spans="8:8" x14ac:dyDescent="0.25">
      <c r="H6587" t="s">
        <v>30</v>
      </c>
    </row>
    <row r="6588" spans="8:8" x14ac:dyDescent="0.25">
      <c r="H6588" t="s">
        <v>138</v>
      </c>
    </row>
    <row r="6589" spans="8:8" x14ac:dyDescent="0.25">
      <c r="H6589" t="s">
        <v>17472</v>
      </c>
    </row>
    <row r="6590" spans="8:8" x14ac:dyDescent="0.25">
      <c r="H6590" t="s">
        <v>30</v>
      </c>
    </row>
    <row r="6592" spans="8:8" x14ac:dyDescent="0.25">
      <c r="H6592" t="s">
        <v>11077</v>
      </c>
    </row>
    <row r="6593" spans="8:8" x14ac:dyDescent="0.25">
      <c r="H6593" t="s">
        <v>11078</v>
      </c>
    </row>
    <row r="6594" spans="8:8" x14ac:dyDescent="0.25">
      <c r="H6594" t="s">
        <v>135</v>
      </c>
    </row>
    <row r="6595" spans="8:8" x14ac:dyDescent="0.25">
      <c r="H6595" t="s">
        <v>17473</v>
      </c>
    </row>
    <row r="6596" spans="8:8" x14ac:dyDescent="0.25">
      <c r="H6596" t="s">
        <v>30</v>
      </c>
    </row>
    <row r="6597" spans="8:8" x14ac:dyDescent="0.25">
      <c r="H6597" t="s">
        <v>136</v>
      </c>
    </row>
    <row r="6598" spans="8:8" x14ac:dyDescent="0.25">
      <c r="H6598" t="s">
        <v>17474</v>
      </c>
    </row>
    <row r="6599" spans="8:8" x14ac:dyDescent="0.25">
      <c r="H6599" t="s">
        <v>30</v>
      </c>
    </row>
    <row r="6600" spans="8:8" x14ac:dyDescent="0.25">
      <c r="H6600" t="s">
        <v>137</v>
      </c>
    </row>
    <row r="6601" spans="8:8" x14ac:dyDescent="0.25">
      <c r="H6601" t="s">
        <v>17475</v>
      </c>
    </row>
    <row r="6602" spans="8:8" x14ac:dyDescent="0.25">
      <c r="H6602" t="s">
        <v>30</v>
      </c>
    </row>
    <row r="6603" spans="8:8" x14ac:dyDescent="0.25">
      <c r="H6603" t="s">
        <v>138</v>
      </c>
    </row>
    <row r="6604" spans="8:8" x14ac:dyDescent="0.25">
      <c r="H6604" t="s">
        <v>17476</v>
      </c>
    </row>
    <row r="6605" spans="8:8" x14ac:dyDescent="0.25">
      <c r="H6605" t="s">
        <v>30</v>
      </c>
    </row>
    <row r="6607" spans="8:8" x14ac:dyDescent="0.25">
      <c r="H6607" t="s">
        <v>11083</v>
      </c>
    </row>
    <row r="6608" spans="8:8" x14ac:dyDescent="0.25">
      <c r="H6608" t="s">
        <v>11084</v>
      </c>
    </row>
    <row r="6609" spans="8:8" x14ac:dyDescent="0.25">
      <c r="H6609" t="s">
        <v>135</v>
      </c>
    </row>
    <row r="6610" spans="8:8" x14ac:dyDescent="0.25">
      <c r="H6610" t="s">
        <v>17477</v>
      </c>
    </row>
    <row r="6611" spans="8:8" x14ac:dyDescent="0.25">
      <c r="H6611" t="s">
        <v>30</v>
      </c>
    </row>
    <row r="6612" spans="8:8" x14ac:dyDescent="0.25">
      <c r="H6612" t="s">
        <v>136</v>
      </c>
    </row>
    <row r="6613" spans="8:8" x14ac:dyDescent="0.25">
      <c r="H6613" t="s">
        <v>17478</v>
      </c>
    </row>
    <row r="6614" spans="8:8" x14ac:dyDescent="0.25">
      <c r="H6614" t="s">
        <v>30</v>
      </c>
    </row>
    <row r="6615" spans="8:8" x14ac:dyDescent="0.25">
      <c r="H6615" t="s">
        <v>137</v>
      </c>
    </row>
    <row r="6616" spans="8:8" x14ac:dyDescent="0.25">
      <c r="H6616" t="s">
        <v>17479</v>
      </c>
    </row>
    <row r="6617" spans="8:8" x14ac:dyDescent="0.25">
      <c r="H6617" t="s">
        <v>30</v>
      </c>
    </row>
    <row r="6618" spans="8:8" x14ac:dyDescent="0.25">
      <c r="H6618" t="s">
        <v>138</v>
      </c>
    </row>
    <row r="6619" spans="8:8" x14ac:dyDescent="0.25">
      <c r="H6619" t="s">
        <v>17480</v>
      </c>
    </row>
    <row r="6620" spans="8:8" x14ac:dyDescent="0.25">
      <c r="H6620" t="s">
        <v>30</v>
      </c>
    </row>
    <row r="6622" spans="8:8" x14ac:dyDescent="0.25">
      <c r="H6622" t="s">
        <v>11089</v>
      </c>
    </row>
    <row r="6623" spans="8:8" x14ac:dyDescent="0.25">
      <c r="H6623" t="s">
        <v>11090</v>
      </c>
    </row>
    <row r="6624" spans="8:8" x14ac:dyDescent="0.25">
      <c r="H6624" t="s">
        <v>135</v>
      </c>
    </row>
    <row r="6625" spans="8:8" x14ac:dyDescent="0.25">
      <c r="H6625" t="s">
        <v>17481</v>
      </c>
    </row>
    <row r="6626" spans="8:8" x14ac:dyDescent="0.25">
      <c r="H6626" t="s">
        <v>30</v>
      </c>
    </row>
    <row r="6627" spans="8:8" x14ac:dyDescent="0.25">
      <c r="H6627" t="s">
        <v>136</v>
      </c>
    </row>
    <row r="6628" spans="8:8" x14ac:dyDescent="0.25">
      <c r="H6628" t="s">
        <v>17482</v>
      </c>
    </row>
    <row r="6629" spans="8:8" x14ac:dyDescent="0.25">
      <c r="H6629" t="s">
        <v>30</v>
      </c>
    </row>
    <row r="6630" spans="8:8" x14ac:dyDescent="0.25">
      <c r="H6630" t="s">
        <v>137</v>
      </c>
    </row>
    <row r="6631" spans="8:8" x14ac:dyDescent="0.25">
      <c r="H6631" t="s">
        <v>17483</v>
      </c>
    </row>
    <row r="6632" spans="8:8" x14ac:dyDescent="0.25">
      <c r="H6632" t="s">
        <v>30</v>
      </c>
    </row>
    <row r="6633" spans="8:8" x14ac:dyDescent="0.25">
      <c r="H6633" t="s">
        <v>138</v>
      </c>
    </row>
    <row r="6634" spans="8:8" x14ac:dyDescent="0.25">
      <c r="H6634" t="s">
        <v>17484</v>
      </c>
    </row>
    <row r="6635" spans="8:8" x14ac:dyDescent="0.25">
      <c r="H6635" t="s">
        <v>30</v>
      </c>
    </row>
    <row r="6637" spans="8:8" x14ac:dyDescent="0.25">
      <c r="H6637" t="s">
        <v>11095</v>
      </c>
    </row>
    <row r="6638" spans="8:8" x14ac:dyDescent="0.25">
      <c r="H6638" t="s">
        <v>11096</v>
      </c>
    </row>
    <row r="6639" spans="8:8" x14ac:dyDescent="0.25">
      <c r="H6639" t="s">
        <v>135</v>
      </c>
    </row>
    <row r="6640" spans="8:8" x14ac:dyDescent="0.25">
      <c r="H6640" t="s">
        <v>17485</v>
      </c>
    </row>
    <row r="6641" spans="8:8" x14ac:dyDescent="0.25">
      <c r="H6641" t="s">
        <v>30</v>
      </c>
    </row>
    <row r="6642" spans="8:8" x14ac:dyDescent="0.25">
      <c r="H6642" t="s">
        <v>136</v>
      </c>
    </row>
    <row r="6643" spans="8:8" x14ac:dyDescent="0.25">
      <c r="H6643" t="s">
        <v>17486</v>
      </c>
    </row>
    <row r="6644" spans="8:8" x14ac:dyDescent="0.25">
      <c r="H6644" t="s">
        <v>30</v>
      </c>
    </row>
    <row r="6645" spans="8:8" x14ac:dyDescent="0.25">
      <c r="H6645" t="s">
        <v>137</v>
      </c>
    </row>
    <row r="6646" spans="8:8" x14ac:dyDescent="0.25">
      <c r="H6646" t="s">
        <v>17487</v>
      </c>
    </row>
    <row r="6647" spans="8:8" x14ac:dyDescent="0.25">
      <c r="H6647" t="s">
        <v>30</v>
      </c>
    </row>
    <row r="6648" spans="8:8" x14ac:dyDescent="0.25">
      <c r="H6648" t="s">
        <v>138</v>
      </c>
    </row>
    <row r="6649" spans="8:8" x14ac:dyDescent="0.25">
      <c r="H6649" t="s">
        <v>17488</v>
      </c>
    </row>
    <row r="6650" spans="8:8" x14ac:dyDescent="0.25">
      <c r="H6650" t="s">
        <v>30</v>
      </c>
    </row>
    <row r="6652" spans="8:8" x14ac:dyDescent="0.25">
      <c r="H6652" t="s">
        <v>11101</v>
      </c>
    </row>
    <row r="6653" spans="8:8" x14ac:dyDescent="0.25">
      <c r="H6653" t="s">
        <v>11102</v>
      </c>
    </row>
    <row r="6654" spans="8:8" x14ac:dyDescent="0.25">
      <c r="H6654" t="s">
        <v>135</v>
      </c>
    </row>
    <row r="6655" spans="8:8" x14ac:dyDescent="0.25">
      <c r="H6655" t="s">
        <v>17489</v>
      </c>
    </row>
    <row r="6656" spans="8:8" x14ac:dyDescent="0.25">
      <c r="H6656" t="s">
        <v>30</v>
      </c>
    </row>
    <row r="6657" spans="8:8" x14ac:dyDescent="0.25">
      <c r="H6657" t="s">
        <v>136</v>
      </c>
    </row>
    <row r="6658" spans="8:8" x14ac:dyDescent="0.25">
      <c r="H6658" t="s">
        <v>17490</v>
      </c>
    </row>
    <row r="6659" spans="8:8" x14ac:dyDescent="0.25">
      <c r="H6659" t="s">
        <v>30</v>
      </c>
    </row>
    <row r="6660" spans="8:8" x14ac:dyDescent="0.25">
      <c r="H6660" t="s">
        <v>137</v>
      </c>
    </row>
    <row r="6661" spans="8:8" x14ac:dyDescent="0.25">
      <c r="H6661" t="s">
        <v>17491</v>
      </c>
    </row>
    <row r="6662" spans="8:8" x14ac:dyDescent="0.25">
      <c r="H6662" t="s">
        <v>30</v>
      </c>
    </row>
    <row r="6663" spans="8:8" x14ac:dyDescent="0.25">
      <c r="H6663" t="s">
        <v>138</v>
      </c>
    </row>
    <row r="6664" spans="8:8" x14ac:dyDescent="0.25">
      <c r="H6664" t="s">
        <v>17492</v>
      </c>
    </row>
    <row r="6665" spans="8:8" x14ac:dyDescent="0.25">
      <c r="H6665" t="s">
        <v>30</v>
      </c>
    </row>
    <row r="6667" spans="8:8" x14ac:dyDescent="0.25">
      <c r="H6667" t="s">
        <v>11107</v>
      </c>
    </row>
    <row r="6668" spans="8:8" x14ac:dyDescent="0.25">
      <c r="H6668" t="s">
        <v>11108</v>
      </c>
    </row>
    <row r="6669" spans="8:8" x14ac:dyDescent="0.25">
      <c r="H6669" t="s">
        <v>135</v>
      </c>
    </row>
    <row r="6670" spans="8:8" x14ac:dyDescent="0.25">
      <c r="H6670" t="s">
        <v>17493</v>
      </c>
    </row>
    <row r="6671" spans="8:8" x14ac:dyDescent="0.25">
      <c r="H6671" t="s">
        <v>30</v>
      </c>
    </row>
    <row r="6672" spans="8:8" x14ac:dyDescent="0.25">
      <c r="H6672" t="s">
        <v>136</v>
      </c>
    </row>
    <row r="6673" spans="8:8" x14ac:dyDescent="0.25">
      <c r="H6673" t="s">
        <v>17494</v>
      </c>
    </row>
    <row r="6674" spans="8:8" x14ac:dyDescent="0.25">
      <c r="H6674" t="s">
        <v>30</v>
      </c>
    </row>
    <row r="6675" spans="8:8" x14ac:dyDescent="0.25">
      <c r="H6675" t="s">
        <v>137</v>
      </c>
    </row>
    <row r="6676" spans="8:8" x14ac:dyDescent="0.25">
      <c r="H6676" t="s">
        <v>17495</v>
      </c>
    </row>
    <row r="6677" spans="8:8" x14ac:dyDescent="0.25">
      <c r="H6677" t="s">
        <v>30</v>
      </c>
    </row>
    <row r="6678" spans="8:8" x14ac:dyDescent="0.25">
      <c r="H6678" t="s">
        <v>138</v>
      </c>
    </row>
    <row r="6679" spans="8:8" x14ac:dyDescent="0.25">
      <c r="H6679" t="s">
        <v>17496</v>
      </c>
    </row>
    <row r="6680" spans="8:8" x14ac:dyDescent="0.25">
      <c r="H6680" t="s">
        <v>30</v>
      </c>
    </row>
    <row r="6682" spans="8:8" x14ac:dyDescent="0.25">
      <c r="H6682" t="s">
        <v>11113</v>
      </c>
    </row>
    <row r="6683" spans="8:8" x14ac:dyDescent="0.25">
      <c r="H6683" t="s">
        <v>11114</v>
      </c>
    </row>
    <row r="6684" spans="8:8" x14ac:dyDescent="0.25">
      <c r="H6684" t="s">
        <v>135</v>
      </c>
    </row>
    <row r="6685" spans="8:8" x14ac:dyDescent="0.25">
      <c r="H6685" t="s">
        <v>17497</v>
      </c>
    </row>
    <row r="6686" spans="8:8" x14ac:dyDescent="0.25">
      <c r="H6686" t="s">
        <v>30</v>
      </c>
    </row>
    <row r="6687" spans="8:8" x14ac:dyDescent="0.25">
      <c r="H6687" t="s">
        <v>136</v>
      </c>
    </row>
    <row r="6688" spans="8:8" x14ac:dyDescent="0.25">
      <c r="H6688" t="s">
        <v>17498</v>
      </c>
    </row>
    <row r="6689" spans="8:8" x14ac:dyDescent="0.25">
      <c r="H6689" t="s">
        <v>30</v>
      </c>
    </row>
    <row r="6690" spans="8:8" x14ac:dyDescent="0.25">
      <c r="H6690" t="s">
        <v>137</v>
      </c>
    </row>
    <row r="6691" spans="8:8" x14ac:dyDescent="0.25">
      <c r="H6691" t="s">
        <v>17499</v>
      </c>
    </row>
    <row r="6692" spans="8:8" x14ac:dyDescent="0.25">
      <c r="H6692" t="s">
        <v>30</v>
      </c>
    </row>
    <row r="6693" spans="8:8" x14ac:dyDescent="0.25">
      <c r="H6693" t="s">
        <v>138</v>
      </c>
    </row>
    <row r="6694" spans="8:8" x14ac:dyDescent="0.25">
      <c r="H6694" t="s">
        <v>17500</v>
      </c>
    </row>
    <row r="6695" spans="8:8" x14ac:dyDescent="0.25">
      <c r="H6695" t="s">
        <v>30</v>
      </c>
    </row>
    <row r="6697" spans="8:8" x14ac:dyDescent="0.25">
      <c r="H6697" t="s">
        <v>11119</v>
      </c>
    </row>
    <row r="6698" spans="8:8" x14ac:dyDescent="0.25">
      <c r="H6698" t="s">
        <v>11120</v>
      </c>
    </row>
    <row r="6699" spans="8:8" x14ac:dyDescent="0.25">
      <c r="H6699" t="s">
        <v>135</v>
      </c>
    </row>
    <row r="6700" spans="8:8" x14ac:dyDescent="0.25">
      <c r="H6700" t="s">
        <v>17501</v>
      </c>
    </row>
    <row r="6701" spans="8:8" x14ac:dyDescent="0.25">
      <c r="H6701" t="s">
        <v>30</v>
      </c>
    </row>
    <row r="6702" spans="8:8" x14ac:dyDescent="0.25">
      <c r="H6702" t="s">
        <v>136</v>
      </c>
    </row>
    <row r="6703" spans="8:8" x14ac:dyDescent="0.25">
      <c r="H6703" t="s">
        <v>17502</v>
      </c>
    </row>
    <row r="6704" spans="8:8" x14ac:dyDescent="0.25">
      <c r="H6704" t="s">
        <v>30</v>
      </c>
    </row>
    <row r="6705" spans="8:8" x14ac:dyDescent="0.25">
      <c r="H6705" t="s">
        <v>137</v>
      </c>
    </row>
    <row r="6706" spans="8:8" x14ac:dyDescent="0.25">
      <c r="H6706" t="s">
        <v>17503</v>
      </c>
    </row>
    <row r="6707" spans="8:8" x14ac:dyDescent="0.25">
      <c r="H6707" t="s">
        <v>30</v>
      </c>
    </row>
    <row r="6708" spans="8:8" x14ac:dyDescent="0.25">
      <c r="H6708" t="s">
        <v>138</v>
      </c>
    </row>
    <row r="6709" spans="8:8" x14ac:dyDescent="0.25">
      <c r="H6709" t="s">
        <v>17504</v>
      </c>
    </row>
    <row r="6710" spans="8:8" x14ac:dyDescent="0.25">
      <c r="H6710" t="s">
        <v>30</v>
      </c>
    </row>
    <row r="6712" spans="8:8" x14ac:dyDescent="0.25">
      <c r="H6712" t="s">
        <v>11125</v>
      </c>
    </row>
    <row r="6713" spans="8:8" x14ac:dyDescent="0.25">
      <c r="H6713" t="s">
        <v>11126</v>
      </c>
    </row>
    <row r="6714" spans="8:8" x14ac:dyDescent="0.25">
      <c r="H6714" t="s">
        <v>135</v>
      </c>
    </row>
    <row r="6715" spans="8:8" x14ac:dyDescent="0.25">
      <c r="H6715" t="s">
        <v>17505</v>
      </c>
    </row>
    <row r="6716" spans="8:8" x14ac:dyDescent="0.25">
      <c r="H6716" t="s">
        <v>30</v>
      </c>
    </row>
    <row r="6717" spans="8:8" x14ac:dyDescent="0.25">
      <c r="H6717" t="s">
        <v>136</v>
      </c>
    </row>
    <row r="6718" spans="8:8" x14ac:dyDescent="0.25">
      <c r="H6718" t="s">
        <v>17506</v>
      </c>
    </row>
    <row r="6719" spans="8:8" x14ac:dyDescent="0.25">
      <c r="H6719" t="s">
        <v>30</v>
      </c>
    </row>
    <row r="6720" spans="8:8" x14ac:dyDescent="0.25">
      <c r="H6720" t="s">
        <v>137</v>
      </c>
    </row>
    <row r="6721" spans="8:8" x14ac:dyDescent="0.25">
      <c r="H6721" t="s">
        <v>17507</v>
      </c>
    </row>
    <row r="6722" spans="8:8" x14ac:dyDescent="0.25">
      <c r="H6722" t="s">
        <v>30</v>
      </c>
    </row>
    <row r="6723" spans="8:8" x14ac:dyDescent="0.25">
      <c r="H6723" t="s">
        <v>138</v>
      </c>
    </row>
    <row r="6724" spans="8:8" x14ac:dyDescent="0.25">
      <c r="H6724" t="s">
        <v>17508</v>
      </c>
    </row>
    <row r="6725" spans="8:8" x14ac:dyDescent="0.25">
      <c r="H6725" t="s">
        <v>30</v>
      </c>
    </row>
    <row r="6727" spans="8:8" x14ac:dyDescent="0.25">
      <c r="H6727" t="s">
        <v>11131</v>
      </c>
    </row>
    <row r="6728" spans="8:8" x14ac:dyDescent="0.25">
      <c r="H6728" t="s">
        <v>11132</v>
      </c>
    </row>
    <row r="6729" spans="8:8" x14ac:dyDescent="0.25">
      <c r="H6729" t="s">
        <v>135</v>
      </c>
    </row>
    <row r="6730" spans="8:8" x14ac:dyDescent="0.25">
      <c r="H6730" t="s">
        <v>17509</v>
      </c>
    </row>
    <row r="6731" spans="8:8" x14ac:dyDescent="0.25">
      <c r="H6731" t="s">
        <v>30</v>
      </c>
    </row>
    <row r="6732" spans="8:8" x14ac:dyDescent="0.25">
      <c r="H6732" t="s">
        <v>136</v>
      </c>
    </row>
    <row r="6733" spans="8:8" x14ac:dyDescent="0.25">
      <c r="H6733" t="s">
        <v>17510</v>
      </c>
    </row>
    <row r="6734" spans="8:8" x14ac:dyDescent="0.25">
      <c r="H6734" t="s">
        <v>30</v>
      </c>
    </row>
    <row r="6735" spans="8:8" x14ac:dyDescent="0.25">
      <c r="H6735" t="s">
        <v>137</v>
      </c>
    </row>
    <row r="6736" spans="8:8" x14ac:dyDescent="0.25">
      <c r="H6736" t="s">
        <v>17511</v>
      </c>
    </row>
    <row r="6737" spans="8:8" x14ac:dyDescent="0.25">
      <c r="H6737" t="s">
        <v>30</v>
      </c>
    </row>
    <row r="6738" spans="8:8" x14ac:dyDescent="0.25">
      <c r="H6738" t="s">
        <v>138</v>
      </c>
    </row>
    <row r="6739" spans="8:8" x14ac:dyDescent="0.25">
      <c r="H6739" t="s">
        <v>17512</v>
      </c>
    </row>
    <row r="6740" spans="8:8" x14ac:dyDescent="0.25">
      <c r="H6740" t="s">
        <v>30</v>
      </c>
    </row>
    <row r="6742" spans="8:8" x14ac:dyDescent="0.25">
      <c r="H6742" t="s">
        <v>11137</v>
      </c>
    </row>
    <row r="6743" spans="8:8" x14ac:dyDescent="0.25">
      <c r="H6743" t="s">
        <v>11138</v>
      </c>
    </row>
    <row r="6744" spans="8:8" x14ac:dyDescent="0.25">
      <c r="H6744" t="s">
        <v>135</v>
      </c>
    </row>
    <row r="6745" spans="8:8" x14ac:dyDescent="0.25">
      <c r="H6745" t="s">
        <v>17513</v>
      </c>
    </row>
    <row r="6746" spans="8:8" x14ac:dyDescent="0.25">
      <c r="H6746" t="s">
        <v>30</v>
      </c>
    </row>
    <row r="6747" spans="8:8" x14ac:dyDescent="0.25">
      <c r="H6747" t="s">
        <v>136</v>
      </c>
    </row>
    <row r="6748" spans="8:8" x14ac:dyDescent="0.25">
      <c r="H6748" t="s">
        <v>17514</v>
      </c>
    </row>
    <row r="6749" spans="8:8" x14ac:dyDescent="0.25">
      <c r="H6749" t="s">
        <v>30</v>
      </c>
    </row>
    <row r="6750" spans="8:8" x14ac:dyDescent="0.25">
      <c r="H6750" t="s">
        <v>137</v>
      </c>
    </row>
    <row r="6751" spans="8:8" x14ac:dyDescent="0.25">
      <c r="H6751" t="s">
        <v>17515</v>
      </c>
    </row>
    <row r="6752" spans="8:8" x14ac:dyDescent="0.25">
      <c r="H6752" t="s">
        <v>30</v>
      </c>
    </row>
    <row r="6753" spans="8:8" x14ac:dyDescent="0.25">
      <c r="H6753" t="s">
        <v>138</v>
      </c>
    </row>
    <row r="6754" spans="8:8" x14ac:dyDescent="0.25">
      <c r="H6754" t="s">
        <v>17516</v>
      </c>
    </row>
    <row r="6755" spans="8:8" x14ac:dyDescent="0.25">
      <c r="H6755" t="s">
        <v>30</v>
      </c>
    </row>
    <row r="6757" spans="8:8" x14ac:dyDescent="0.25">
      <c r="H6757" t="s">
        <v>11143</v>
      </c>
    </row>
    <row r="6758" spans="8:8" x14ac:dyDescent="0.25">
      <c r="H6758" t="s">
        <v>11144</v>
      </c>
    </row>
    <row r="6759" spans="8:8" x14ac:dyDescent="0.25">
      <c r="H6759" t="s">
        <v>135</v>
      </c>
    </row>
    <row r="6760" spans="8:8" x14ac:dyDescent="0.25">
      <c r="H6760" t="s">
        <v>17517</v>
      </c>
    </row>
    <row r="6761" spans="8:8" x14ac:dyDescent="0.25">
      <c r="H6761" t="s">
        <v>30</v>
      </c>
    </row>
    <row r="6762" spans="8:8" x14ac:dyDescent="0.25">
      <c r="H6762" t="s">
        <v>136</v>
      </c>
    </row>
    <row r="6763" spans="8:8" x14ac:dyDescent="0.25">
      <c r="H6763" t="s">
        <v>17518</v>
      </c>
    </row>
    <row r="6764" spans="8:8" x14ac:dyDescent="0.25">
      <c r="H6764" t="s">
        <v>30</v>
      </c>
    </row>
    <row r="6765" spans="8:8" x14ac:dyDescent="0.25">
      <c r="H6765" t="s">
        <v>137</v>
      </c>
    </row>
    <row r="6766" spans="8:8" x14ac:dyDescent="0.25">
      <c r="H6766" t="s">
        <v>17519</v>
      </c>
    </row>
    <row r="6767" spans="8:8" x14ac:dyDescent="0.25">
      <c r="H6767" t="s">
        <v>30</v>
      </c>
    </row>
    <row r="6768" spans="8:8" x14ac:dyDescent="0.25">
      <c r="H6768" t="s">
        <v>138</v>
      </c>
    </row>
    <row r="6769" spans="8:8" x14ac:dyDescent="0.25">
      <c r="H6769" t="s">
        <v>17520</v>
      </c>
    </row>
    <row r="6770" spans="8:8" x14ac:dyDescent="0.25">
      <c r="H6770" t="s">
        <v>30</v>
      </c>
    </row>
    <row r="6772" spans="8:8" x14ac:dyDescent="0.25">
      <c r="H6772" t="s">
        <v>11149</v>
      </c>
    </row>
    <row r="6773" spans="8:8" x14ac:dyDescent="0.25">
      <c r="H6773" t="s">
        <v>11150</v>
      </c>
    </row>
    <row r="6774" spans="8:8" x14ac:dyDescent="0.25">
      <c r="H6774" t="s">
        <v>135</v>
      </c>
    </row>
    <row r="6775" spans="8:8" x14ac:dyDescent="0.25">
      <c r="H6775" t="s">
        <v>17521</v>
      </c>
    </row>
    <row r="6776" spans="8:8" x14ac:dyDescent="0.25">
      <c r="H6776" t="s">
        <v>30</v>
      </c>
    </row>
    <row r="6777" spans="8:8" x14ac:dyDescent="0.25">
      <c r="H6777" t="s">
        <v>136</v>
      </c>
    </row>
    <row r="6778" spans="8:8" x14ac:dyDescent="0.25">
      <c r="H6778" t="s">
        <v>17522</v>
      </c>
    </row>
    <row r="6779" spans="8:8" x14ac:dyDescent="0.25">
      <c r="H6779" t="s">
        <v>30</v>
      </c>
    </row>
    <row r="6780" spans="8:8" x14ac:dyDescent="0.25">
      <c r="H6780" t="s">
        <v>137</v>
      </c>
    </row>
    <row r="6781" spans="8:8" x14ac:dyDescent="0.25">
      <c r="H6781" t="s">
        <v>17523</v>
      </c>
    </row>
    <row r="6782" spans="8:8" x14ac:dyDescent="0.25">
      <c r="H6782" t="s">
        <v>30</v>
      </c>
    </row>
    <row r="6783" spans="8:8" x14ac:dyDescent="0.25">
      <c r="H6783" t="s">
        <v>138</v>
      </c>
    </row>
    <row r="6784" spans="8:8" x14ac:dyDescent="0.25">
      <c r="H6784" t="s">
        <v>17524</v>
      </c>
    </row>
    <row r="6785" spans="8:8" x14ac:dyDescent="0.25">
      <c r="H6785" t="s">
        <v>30</v>
      </c>
    </row>
    <row r="6787" spans="8:8" x14ac:dyDescent="0.25">
      <c r="H6787" t="s">
        <v>11155</v>
      </c>
    </row>
    <row r="6788" spans="8:8" x14ac:dyDescent="0.25">
      <c r="H6788" t="s">
        <v>11156</v>
      </c>
    </row>
    <row r="6789" spans="8:8" x14ac:dyDescent="0.25">
      <c r="H6789" t="s">
        <v>135</v>
      </c>
    </row>
    <row r="6790" spans="8:8" x14ac:dyDescent="0.25">
      <c r="H6790" t="s">
        <v>17525</v>
      </c>
    </row>
    <row r="6791" spans="8:8" x14ac:dyDescent="0.25">
      <c r="H6791" t="s">
        <v>30</v>
      </c>
    </row>
    <row r="6792" spans="8:8" x14ac:dyDescent="0.25">
      <c r="H6792" t="s">
        <v>136</v>
      </c>
    </row>
    <row r="6793" spans="8:8" x14ac:dyDescent="0.25">
      <c r="H6793" t="s">
        <v>17526</v>
      </c>
    </row>
    <row r="6794" spans="8:8" x14ac:dyDescent="0.25">
      <c r="H6794" t="s">
        <v>30</v>
      </c>
    </row>
    <row r="6795" spans="8:8" x14ac:dyDescent="0.25">
      <c r="H6795" t="s">
        <v>137</v>
      </c>
    </row>
    <row r="6796" spans="8:8" x14ac:dyDescent="0.25">
      <c r="H6796" t="s">
        <v>17527</v>
      </c>
    </row>
    <row r="6797" spans="8:8" x14ac:dyDescent="0.25">
      <c r="H6797" t="s">
        <v>30</v>
      </c>
    </row>
    <row r="6798" spans="8:8" x14ac:dyDescent="0.25">
      <c r="H6798" t="s">
        <v>138</v>
      </c>
    </row>
    <row r="6799" spans="8:8" x14ac:dyDescent="0.25">
      <c r="H6799" t="s">
        <v>17528</v>
      </c>
    </row>
    <row r="6800" spans="8:8" x14ac:dyDescent="0.25">
      <c r="H6800" t="s">
        <v>30</v>
      </c>
    </row>
    <row r="6802" spans="8:8" x14ac:dyDescent="0.25">
      <c r="H6802" t="s">
        <v>11161</v>
      </c>
    </row>
    <row r="6803" spans="8:8" x14ac:dyDescent="0.25">
      <c r="H6803" t="s">
        <v>11162</v>
      </c>
    </row>
    <row r="6804" spans="8:8" x14ac:dyDescent="0.25">
      <c r="H6804" t="s">
        <v>135</v>
      </c>
    </row>
    <row r="6805" spans="8:8" x14ac:dyDescent="0.25">
      <c r="H6805" t="s">
        <v>17529</v>
      </c>
    </row>
    <row r="6806" spans="8:8" x14ac:dyDescent="0.25">
      <c r="H6806" t="s">
        <v>30</v>
      </c>
    </row>
    <row r="6807" spans="8:8" x14ac:dyDescent="0.25">
      <c r="H6807" t="s">
        <v>136</v>
      </c>
    </row>
    <row r="6808" spans="8:8" x14ac:dyDescent="0.25">
      <c r="H6808" t="s">
        <v>17530</v>
      </c>
    </row>
    <row r="6809" spans="8:8" x14ac:dyDescent="0.25">
      <c r="H6809" t="s">
        <v>30</v>
      </c>
    </row>
    <row r="6810" spans="8:8" x14ac:dyDescent="0.25">
      <c r="H6810" t="s">
        <v>137</v>
      </c>
    </row>
    <row r="6811" spans="8:8" x14ac:dyDescent="0.25">
      <c r="H6811" t="s">
        <v>17531</v>
      </c>
    </row>
    <row r="6812" spans="8:8" x14ac:dyDescent="0.25">
      <c r="H6812" t="s">
        <v>30</v>
      </c>
    </row>
    <row r="6813" spans="8:8" x14ac:dyDescent="0.25">
      <c r="H6813" t="s">
        <v>138</v>
      </c>
    </row>
    <row r="6814" spans="8:8" x14ac:dyDescent="0.25">
      <c r="H6814" t="s">
        <v>17532</v>
      </c>
    </row>
    <row r="6815" spans="8:8" x14ac:dyDescent="0.25">
      <c r="H6815" t="s">
        <v>30</v>
      </c>
    </row>
    <row r="6817" spans="8:8" x14ac:dyDescent="0.25">
      <c r="H6817" t="s">
        <v>11167</v>
      </c>
    </row>
    <row r="6818" spans="8:8" x14ac:dyDescent="0.25">
      <c r="H6818" t="s">
        <v>11168</v>
      </c>
    </row>
    <row r="6819" spans="8:8" x14ac:dyDescent="0.25">
      <c r="H6819" t="s">
        <v>135</v>
      </c>
    </row>
    <row r="6820" spans="8:8" x14ac:dyDescent="0.25">
      <c r="H6820" t="s">
        <v>17533</v>
      </c>
    </row>
    <row r="6821" spans="8:8" x14ac:dyDescent="0.25">
      <c r="H6821" t="s">
        <v>30</v>
      </c>
    </row>
    <row r="6822" spans="8:8" x14ac:dyDescent="0.25">
      <c r="H6822" t="s">
        <v>136</v>
      </c>
    </row>
    <row r="6823" spans="8:8" x14ac:dyDescent="0.25">
      <c r="H6823" t="s">
        <v>17534</v>
      </c>
    </row>
    <row r="6824" spans="8:8" x14ac:dyDescent="0.25">
      <c r="H6824" t="s">
        <v>30</v>
      </c>
    </row>
    <row r="6825" spans="8:8" x14ac:dyDescent="0.25">
      <c r="H6825" t="s">
        <v>137</v>
      </c>
    </row>
    <row r="6826" spans="8:8" x14ac:dyDescent="0.25">
      <c r="H6826" t="s">
        <v>17535</v>
      </c>
    </row>
    <row r="6827" spans="8:8" x14ac:dyDescent="0.25">
      <c r="H6827" t="s">
        <v>30</v>
      </c>
    </row>
    <row r="6828" spans="8:8" x14ac:dyDescent="0.25">
      <c r="H6828" t="s">
        <v>138</v>
      </c>
    </row>
    <row r="6829" spans="8:8" x14ac:dyDescent="0.25">
      <c r="H6829" t="s">
        <v>17536</v>
      </c>
    </row>
    <row r="6830" spans="8:8" x14ac:dyDescent="0.25">
      <c r="H6830" t="s">
        <v>30</v>
      </c>
    </row>
    <row r="6832" spans="8:8" x14ac:dyDescent="0.25">
      <c r="H6832" t="s">
        <v>11173</v>
      </c>
    </row>
    <row r="6833" spans="8:8" x14ac:dyDescent="0.25">
      <c r="H6833" t="s">
        <v>11174</v>
      </c>
    </row>
    <row r="6834" spans="8:8" x14ac:dyDescent="0.25">
      <c r="H6834" t="s">
        <v>135</v>
      </c>
    </row>
    <row r="6835" spans="8:8" x14ac:dyDescent="0.25">
      <c r="H6835" t="s">
        <v>17537</v>
      </c>
    </row>
    <row r="6836" spans="8:8" x14ac:dyDescent="0.25">
      <c r="H6836" t="s">
        <v>30</v>
      </c>
    </row>
    <row r="6837" spans="8:8" x14ac:dyDescent="0.25">
      <c r="H6837" t="s">
        <v>136</v>
      </c>
    </row>
    <row r="6838" spans="8:8" x14ac:dyDescent="0.25">
      <c r="H6838" t="s">
        <v>17538</v>
      </c>
    </row>
    <row r="6839" spans="8:8" x14ac:dyDescent="0.25">
      <c r="H6839" t="s">
        <v>30</v>
      </c>
    </row>
    <row r="6840" spans="8:8" x14ac:dyDescent="0.25">
      <c r="H6840" t="s">
        <v>137</v>
      </c>
    </row>
    <row r="6841" spans="8:8" x14ac:dyDescent="0.25">
      <c r="H6841" t="s">
        <v>17539</v>
      </c>
    </row>
    <row r="6842" spans="8:8" x14ac:dyDescent="0.25">
      <c r="H6842" t="s">
        <v>30</v>
      </c>
    </row>
    <row r="6843" spans="8:8" x14ac:dyDescent="0.25">
      <c r="H6843" t="s">
        <v>138</v>
      </c>
    </row>
    <row r="6844" spans="8:8" x14ac:dyDescent="0.25">
      <c r="H6844" t="s">
        <v>17540</v>
      </c>
    </row>
    <row r="6845" spans="8:8" x14ac:dyDescent="0.25">
      <c r="H6845" t="s">
        <v>30</v>
      </c>
    </row>
    <row r="6847" spans="8:8" x14ac:dyDescent="0.25">
      <c r="H6847" t="s">
        <v>11179</v>
      </c>
    </row>
    <row r="6848" spans="8:8" x14ac:dyDescent="0.25">
      <c r="H6848" t="s">
        <v>11180</v>
      </c>
    </row>
    <row r="6849" spans="8:8" x14ac:dyDescent="0.25">
      <c r="H6849" t="s">
        <v>135</v>
      </c>
    </row>
    <row r="6850" spans="8:8" x14ac:dyDescent="0.25">
      <c r="H6850" t="s">
        <v>17541</v>
      </c>
    </row>
    <row r="6851" spans="8:8" x14ac:dyDescent="0.25">
      <c r="H6851" t="s">
        <v>30</v>
      </c>
    </row>
    <row r="6852" spans="8:8" x14ac:dyDescent="0.25">
      <c r="H6852" t="s">
        <v>136</v>
      </c>
    </row>
    <row r="6853" spans="8:8" x14ac:dyDescent="0.25">
      <c r="H6853" t="s">
        <v>17542</v>
      </c>
    </row>
    <row r="6854" spans="8:8" x14ac:dyDescent="0.25">
      <c r="H6854" t="s">
        <v>30</v>
      </c>
    </row>
    <row r="6855" spans="8:8" x14ac:dyDescent="0.25">
      <c r="H6855" t="s">
        <v>137</v>
      </c>
    </row>
    <row r="6856" spans="8:8" x14ac:dyDescent="0.25">
      <c r="H6856" t="s">
        <v>17543</v>
      </c>
    </row>
    <row r="6857" spans="8:8" x14ac:dyDescent="0.25">
      <c r="H6857" t="s">
        <v>30</v>
      </c>
    </row>
    <row r="6858" spans="8:8" x14ac:dyDescent="0.25">
      <c r="H6858" t="s">
        <v>138</v>
      </c>
    </row>
    <row r="6859" spans="8:8" x14ac:dyDescent="0.25">
      <c r="H6859" t="s">
        <v>17544</v>
      </c>
    </row>
    <row r="6860" spans="8:8" x14ac:dyDescent="0.25">
      <c r="H6860" t="s">
        <v>30</v>
      </c>
    </row>
    <row r="6862" spans="8:8" x14ac:dyDescent="0.25">
      <c r="H6862" t="s">
        <v>11185</v>
      </c>
    </row>
    <row r="6863" spans="8:8" x14ac:dyDescent="0.25">
      <c r="H6863" t="s">
        <v>11186</v>
      </c>
    </row>
    <row r="6864" spans="8:8" x14ac:dyDescent="0.25">
      <c r="H6864" t="s">
        <v>135</v>
      </c>
    </row>
    <row r="6865" spans="8:8" x14ac:dyDescent="0.25">
      <c r="H6865" t="s">
        <v>17545</v>
      </c>
    </row>
    <row r="6866" spans="8:8" x14ac:dyDescent="0.25">
      <c r="H6866" t="s">
        <v>30</v>
      </c>
    </row>
    <row r="6867" spans="8:8" x14ac:dyDescent="0.25">
      <c r="H6867" t="s">
        <v>136</v>
      </c>
    </row>
    <row r="6868" spans="8:8" x14ac:dyDescent="0.25">
      <c r="H6868" t="s">
        <v>17546</v>
      </c>
    </row>
    <row r="6869" spans="8:8" x14ac:dyDescent="0.25">
      <c r="H6869" t="s">
        <v>30</v>
      </c>
    </row>
    <row r="6870" spans="8:8" x14ac:dyDescent="0.25">
      <c r="H6870" t="s">
        <v>137</v>
      </c>
    </row>
    <row r="6871" spans="8:8" x14ac:dyDescent="0.25">
      <c r="H6871" t="s">
        <v>17547</v>
      </c>
    </row>
    <row r="6872" spans="8:8" x14ac:dyDescent="0.25">
      <c r="H6872" t="s">
        <v>30</v>
      </c>
    </row>
    <row r="6873" spans="8:8" x14ac:dyDescent="0.25">
      <c r="H6873" t="s">
        <v>138</v>
      </c>
    </row>
    <row r="6874" spans="8:8" x14ac:dyDescent="0.25">
      <c r="H6874" t="s">
        <v>17548</v>
      </c>
    </row>
    <row r="6875" spans="8:8" x14ac:dyDescent="0.25">
      <c r="H6875" t="s">
        <v>30</v>
      </c>
    </row>
    <row r="6877" spans="8:8" x14ac:dyDescent="0.25">
      <c r="H6877" t="s">
        <v>11191</v>
      </c>
    </row>
    <row r="6878" spans="8:8" x14ac:dyDescent="0.25">
      <c r="H6878" t="s">
        <v>11192</v>
      </c>
    </row>
    <row r="6879" spans="8:8" x14ac:dyDescent="0.25">
      <c r="H6879" t="s">
        <v>135</v>
      </c>
    </row>
    <row r="6880" spans="8:8" x14ac:dyDescent="0.25">
      <c r="H6880" t="s">
        <v>17549</v>
      </c>
    </row>
    <row r="6881" spans="8:8" x14ac:dyDescent="0.25">
      <c r="H6881" t="s">
        <v>30</v>
      </c>
    </row>
    <row r="6882" spans="8:8" x14ac:dyDescent="0.25">
      <c r="H6882" t="s">
        <v>136</v>
      </c>
    </row>
    <row r="6883" spans="8:8" x14ac:dyDescent="0.25">
      <c r="H6883" t="s">
        <v>17550</v>
      </c>
    </row>
    <row r="6884" spans="8:8" x14ac:dyDescent="0.25">
      <c r="H6884" t="s">
        <v>30</v>
      </c>
    </row>
    <row r="6885" spans="8:8" x14ac:dyDescent="0.25">
      <c r="H6885" t="s">
        <v>137</v>
      </c>
    </row>
    <row r="6886" spans="8:8" x14ac:dyDescent="0.25">
      <c r="H6886" t="s">
        <v>17551</v>
      </c>
    </row>
    <row r="6887" spans="8:8" x14ac:dyDescent="0.25">
      <c r="H6887" t="s">
        <v>30</v>
      </c>
    </row>
    <row r="6888" spans="8:8" x14ac:dyDescent="0.25">
      <c r="H6888" t="s">
        <v>138</v>
      </c>
    </row>
    <row r="6889" spans="8:8" x14ac:dyDescent="0.25">
      <c r="H6889" t="s">
        <v>17552</v>
      </c>
    </row>
    <row r="6890" spans="8:8" x14ac:dyDescent="0.25">
      <c r="H6890" t="s">
        <v>30</v>
      </c>
    </row>
    <row r="6892" spans="8:8" x14ac:dyDescent="0.25">
      <c r="H6892" t="s">
        <v>11197</v>
      </c>
    </row>
    <row r="6893" spans="8:8" x14ac:dyDescent="0.25">
      <c r="H6893" t="s">
        <v>11198</v>
      </c>
    </row>
    <row r="6894" spans="8:8" x14ac:dyDescent="0.25">
      <c r="H6894" t="s">
        <v>135</v>
      </c>
    </row>
    <row r="6895" spans="8:8" x14ac:dyDescent="0.25">
      <c r="H6895" t="s">
        <v>17553</v>
      </c>
    </row>
    <row r="6896" spans="8:8" x14ac:dyDescent="0.25">
      <c r="H6896" t="s">
        <v>30</v>
      </c>
    </row>
    <row r="6897" spans="8:8" x14ac:dyDescent="0.25">
      <c r="H6897" t="s">
        <v>136</v>
      </c>
    </row>
    <row r="6898" spans="8:8" x14ac:dyDescent="0.25">
      <c r="H6898" t="s">
        <v>17554</v>
      </c>
    </row>
    <row r="6899" spans="8:8" x14ac:dyDescent="0.25">
      <c r="H6899" t="s">
        <v>30</v>
      </c>
    </row>
    <row r="6900" spans="8:8" x14ac:dyDescent="0.25">
      <c r="H6900" t="s">
        <v>137</v>
      </c>
    </row>
    <row r="6901" spans="8:8" x14ac:dyDescent="0.25">
      <c r="H6901" t="s">
        <v>17555</v>
      </c>
    </row>
    <row r="6902" spans="8:8" x14ac:dyDescent="0.25">
      <c r="H6902" t="s">
        <v>30</v>
      </c>
    </row>
    <row r="6903" spans="8:8" x14ac:dyDescent="0.25">
      <c r="H6903" t="s">
        <v>138</v>
      </c>
    </row>
    <row r="6904" spans="8:8" x14ac:dyDescent="0.25">
      <c r="H6904" t="s">
        <v>17556</v>
      </c>
    </row>
    <row r="6905" spans="8:8" x14ac:dyDescent="0.25">
      <c r="H6905" t="s">
        <v>30</v>
      </c>
    </row>
    <row r="6907" spans="8:8" x14ac:dyDescent="0.25">
      <c r="H6907" t="s">
        <v>11203</v>
      </c>
    </row>
    <row r="6908" spans="8:8" x14ac:dyDescent="0.25">
      <c r="H6908" t="s">
        <v>11204</v>
      </c>
    </row>
    <row r="6909" spans="8:8" x14ac:dyDescent="0.25">
      <c r="H6909" t="s">
        <v>135</v>
      </c>
    </row>
    <row r="6910" spans="8:8" x14ac:dyDescent="0.25">
      <c r="H6910" t="s">
        <v>17557</v>
      </c>
    </row>
    <row r="6911" spans="8:8" x14ac:dyDescent="0.25">
      <c r="H6911" t="s">
        <v>30</v>
      </c>
    </row>
    <row r="6912" spans="8:8" x14ac:dyDescent="0.25">
      <c r="H6912" t="s">
        <v>136</v>
      </c>
    </row>
    <row r="6913" spans="8:8" x14ac:dyDescent="0.25">
      <c r="H6913" t="s">
        <v>17558</v>
      </c>
    </row>
    <row r="6914" spans="8:8" x14ac:dyDescent="0.25">
      <c r="H6914" t="s">
        <v>30</v>
      </c>
    </row>
    <row r="6915" spans="8:8" x14ac:dyDescent="0.25">
      <c r="H6915" t="s">
        <v>137</v>
      </c>
    </row>
    <row r="6916" spans="8:8" x14ac:dyDescent="0.25">
      <c r="H6916" t="s">
        <v>17559</v>
      </c>
    </row>
    <row r="6917" spans="8:8" x14ac:dyDescent="0.25">
      <c r="H6917" t="s">
        <v>30</v>
      </c>
    </row>
    <row r="6918" spans="8:8" x14ac:dyDescent="0.25">
      <c r="H6918" t="s">
        <v>138</v>
      </c>
    </row>
    <row r="6919" spans="8:8" x14ac:dyDescent="0.25">
      <c r="H6919" t="s">
        <v>17560</v>
      </c>
    </row>
    <row r="6920" spans="8:8" x14ac:dyDescent="0.25">
      <c r="H6920" t="s">
        <v>30</v>
      </c>
    </row>
    <row r="6922" spans="8:8" x14ac:dyDescent="0.25">
      <c r="H6922" t="s">
        <v>11209</v>
      </c>
    </row>
    <row r="6923" spans="8:8" x14ac:dyDescent="0.25">
      <c r="H6923" t="s">
        <v>11210</v>
      </c>
    </row>
    <row r="6924" spans="8:8" x14ac:dyDescent="0.25">
      <c r="H6924" t="s">
        <v>135</v>
      </c>
    </row>
    <row r="6925" spans="8:8" x14ac:dyDescent="0.25">
      <c r="H6925" t="s">
        <v>17561</v>
      </c>
    </row>
    <row r="6926" spans="8:8" x14ac:dyDescent="0.25">
      <c r="H6926" t="s">
        <v>30</v>
      </c>
    </row>
    <row r="6927" spans="8:8" x14ac:dyDescent="0.25">
      <c r="H6927" t="s">
        <v>136</v>
      </c>
    </row>
    <row r="6928" spans="8:8" x14ac:dyDescent="0.25">
      <c r="H6928" t="s">
        <v>17562</v>
      </c>
    </row>
    <row r="6929" spans="8:8" x14ac:dyDescent="0.25">
      <c r="H6929" t="s">
        <v>30</v>
      </c>
    </row>
    <row r="6930" spans="8:8" x14ac:dyDescent="0.25">
      <c r="H6930" t="s">
        <v>137</v>
      </c>
    </row>
    <row r="6931" spans="8:8" x14ac:dyDescent="0.25">
      <c r="H6931" t="s">
        <v>17563</v>
      </c>
    </row>
    <row r="6932" spans="8:8" x14ac:dyDescent="0.25">
      <c r="H6932" t="s">
        <v>30</v>
      </c>
    </row>
    <row r="6933" spans="8:8" x14ac:dyDescent="0.25">
      <c r="H6933" t="s">
        <v>138</v>
      </c>
    </row>
    <row r="6934" spans="8:8" x14ac:dyDescent="0.25">
      <c r="H6934" t="s">
        <v>17564</v>
      </c>
    </row>
    <row r="6935" spans="8:8" x14ac:dyDescent="0.25">
      <c r="H6935" t="s">
        <v>30</v>
      </c>
    </row>
    <row r="6937" spans="8:8" x14ac:dyDescent="0.25">
      <c r="H6937" t="s">
        <v>11215</v>
      </c>
    </row>
    <row r="6938" spans="8:8" x14ac:dyDescent="0.25">
      <c r="H6938" t="s">
        <v>11216</v>
      </c>
    </row>
    <row r="6939" spans="8:8" x14ac:dyDescent="0.25">
      <c r="H6939" t="s">
        <v>135</v>
      </c>
    </row>
    <row r="6940" spans="8:8" x14ac:dyDescent="0.25">
      <c r="H6940" t="s">
        <v>17565</v>
      </c>
    </row>
    <row r="6941" spans="8:8" x14ac:dyDescent="0.25">
      <c r="H6941" t="s">
        <v>30</v>
      </c>
    </row>
    <row r="6942" spans="8:8" x14ac:dyDescent="0.25">
      <c r="H6942" t="s">
        <v>136</v>
      </c>
    </row>
    <row r="6943" spans="8:8" x14ac:dyDescent="0.25">
      <c r="H6943" t="s">
        <v>17566</v>
      </c>
    </row>
    <row r="6944" spans="8:8" x14ac:dyDescent="0.25">
      <c r="H6944" t="s">
        <v>30</v>
      </c>
    </row>
    <row r="6945" spans="8:8" x14ac:dyDescent="0.25">
      <c r="H6945" t="s">
        <v>137</v>
      </c>
    </row>
    <row r="6946" spans="8:8" x14ac:dyDescent="0.25">
      <c r="H6946" t="s">
        <v>17567</v>
      </c>
    </row>
    <row r="6947" spans="8:8" x14ac:dyDescent="0.25">
      <c r="H6947" t="s">
        <v>30</v>
      </c>
    </row>
    <row r="6948" spans="8:8" x14ac:dyDescent="0.25">
      <c r="H6948" t="s">
        <v>138</v>
      </c>
    </row>
    <row r="6949" spans="8:8" x14ac:dyDescent="0.25">
      <c r="H6949" t="s">
        <v>17568</v>
      </c>
    </row>
    <row r="6950" spans="8:8" x14ac:dyDescent="0.25">
      <c r="H6950" t="s">
        <v>30</v>
      </c>
    </row>
    <row r="6952" spans="8:8" x14ac:dyDescent="0.25">
      <c r="H6952" t="s">
        <v>11221</v>
      </c>
    </row>
    <row r="6953" spans="8:8" x14ac:dyDescent="0.25">
      <c r="H6953" t="s">
        <v>11222</v>
      </c>
    </row>
    <row r="6954" spans="8:8" x14ac:dyDescent="0.25">
      <c r="H6954" t="s">
        <v>135</v>
      </c>
    </row>
    <row r="6955" spans="8:8" x14ac:dyDescent="0.25">
      <c r="H6955" t="s">
        <v>17569</v>
      </c>
    </row>
    <row r="6956" spans="8:8" x14ac:dyDescent="0.25">
      <c r="H6956" t="s">
        <v>30</v>
      </c>
    </row>
    <row r="6957" spans="8:8" x14ac:dyDescent="0.25">
      <c r="H6957" t="s">
        <v>136</v>
      </c>
    </row>
    <row r="6958" spans="8:8" x14ac:dyDescent="0.25">
      <c r="H6958" t="s">
        <v>17570</v>
      </c>
    </row>
    <row r="6959" spans="8:8" x14ac:dyDescent="0.25">
      <c r="H6959" t="s">
        <v>30</v>
      </c>
    </row>
    <row r="6960" spans="8:8" x14ac:dyDescent="0.25">
      <c r="H6960" t="s">
        <v>137</v>
      </c>
    </row>
    <row r="6961" spans="8:8" x14ac:dyDescent="0.25">
      <c r="H6961" t="s">
        <v>17571</v>
      </c>
    </row>
    <row r="6962" spans="8:8" x14ac:dyDescent="0.25">
      <c r="H6962" t="s">
        <v>30</v>
      </c>
    </row>
    <row r="6963" spans="8:8" x14ac:dyDescent="0.25">
      <c r="H6963" t="s">
        <v>138</v>
      </c>
    </row>
    <row r="6964" spans="8:8" x14ac:dyDescent="0.25">
      <c r="H6964" t="s">
        <v>17572</v>
      </c>
    </row>
    <row r="6965" spans="8:8" x14ac:dyDescent="0.25">
      <c r="H6965" t="s">
        <v>30</v>
      </c>
    </row>
    <row r="6967" spans="8:8" x14ac:dyDescent="0.25">
      <c r="H6967" t="s">
        <v>11227</v>
      </c>
    </row>
    <row r="6968" spans="8:8" x14ac:dyDescent="0.25">
      <c r="H6968" t="s">
        <v>11228</v>
      </c>
    </row>
    <row r="6969" spans="8:8" x14ac:dyDescent="0.25">
      <c r="H6969" t="s">
        <v>135</v>
      </c>
    </row>
    <row r="6970" spans="8:8" x14ac:dyDescent="0.25">
      <c r="H6970" t="s">
        <v>17573</v>
      </c>
    </row>
    <row r="6971" spans="8:8" x14ac:dyDescent="0.25">
      <c r="H6971" t="s">
        <v>30</v>
      </c>
    </row>
    <row r="6972" spans="8:8" x14ac:dyDescent="0.25">
      <c r="H6972" t="s">
        <v>136</v>
      </c>
    </row>
    <row r="6973" spans="8:8" x14ac:dyDescent="0.25">
      <c r="H6973" t="s">
        <v>17574</v>
      </c>
    </row>
    <row r="6974" spans="8:8" x14ac:dyDescent="0.25">
      <c r="H6974" t="s">
        <v>30</v>
      </c>
    </row>
    <row r="6975" spans="8:8" x14ac:dyDescent="0.25">
      <c r="H6975" t="s">
        <v>137</v>
      </c>
    </row>
    <row r="6976" spans="8:8" x14ac:dyDescent="0.25">
      <c r="H6976" t="s">
        <v>17575</v>
      </c>
    </row>
    <row r="6977" spans="8:8" x14ac:dyDescent="0.25">
      <c r="H6977" t="s">
        <v>30</v>
      </c>
    </row>
    <row r="6978" spans="8:8" x14ac:dyDescent="0.25">
      <c r="H6978" t="s">
        <v>138</v>
      </c>
    </row>
    <row r="6979" spans="8:8" x14ac:dyDescent="0.25">
      <c r="H6979" t="s">
        <v>17576</v>
      </c>
    </row>
    <row r="6980" spans="8:8" x14ac:dyDescent="0.25">
      <c r="H6980" t="s">
        <v>30</v>
      </c>
    </row>
    <row r="6982" spans="8:8" x14ac:dyDescent="0.25">
      <c r="H6982" t="s">
        <v>11233</v>
      </c>
    </row>
    <row r="6983" spans="8:8" x14ac:dyDescent="0.25">
      <c r="H6983" t="s">
        <v>11234</v>
      </c>
    </row>
    <row r="6984" spans="8:8" x14ac:dyDescent="0.25">
      <c r="H6984" t="s">
        <v>135</v>
      </c>
    </row>
    <row r="6985" spans="8:8" x14ac:dyDescent="0.25">
      <c r="H6985" t="s">
        <v>17577</v>
      </c>
    </row>
    <row r="6986" spans="8:8" x14ac:dyDescent="0.25">
      <c r="H6986" t="s">
        <v>30</v>
      </c>
    </row>
    <row r="6987" spans="8:8" x14ac:dyDescent="0.25">
      <c r="H6987" t="s">
        <v>136</v>
      </c>
    </row>
    <row r="6988" spans="8:8" x14ac:dyDescent="0.25">
      <c r="H6988" t="s">
        <v>17578</v>
      </c>
    </row>
    <row r="6989" spans="8:8" x14ac:dyDescent="0.25">
      <c r="H6989" t="s">
        <v>30</v>
      </c>
    </row>
    <row r="6990" spans="8:8" x14ac:dyDescent="0.25">
      <c r="H6990" t="s">
        <v>137</v>
      </c>
    </row>
    <row r="6991" spans="8:8" x14ac:dyDescent="0.25">
      <c r="H6991" t="s">
        <v>17579</v>
      </c>
    </row>
    <row r="6992" spans="8:8" x14ac:dyDescent="0.25">
      <c r="H6992" t="s">
        <v>30</v>
      </c>
    </row>
    <row r="6993" spans="8:8" x14ac:dyDescent="0.25">
      <c r="H6993" t="s">
        <v>138</v>
      </c>
    </row>
    <row r="6994" spans="8:8" x14ac:dyDescent="0.25">
      <c r="H6994" t="s">
        <v>17580</v>
      </c>
    </row>
    <row r="6995" spans="8:8" x14ac:dyDescent="0.25">
      <c r="H6995" t="s">
        <v>30</v>
      </c>
    </row>
    <row r="6997" spans="8:8" x14ac:dyDescent="0.25">
      <c r="H6997" t="s">
        <v>11239</v>
      </c>
    </row>
    <row r="6998" spans="8:8" x14ac:dyDescent="0.25">
      <c r="H6998" t="s">
        <v>11240</v>
      </c>
    </row>
    <row r="6999" spans="8:8" x14ac:dyDescent="0.25">
      <c r="H6999" t="s">
        <v>135</v>
      </c>
    </row>
    <row r="7000" spans="8:8" x14ac:dyDescent="0.25">
      <c r="H7000" t="s">
        <v>17581</v>
      </c>
    </row>
    <row r="7001" spans="8:8" x14ac:dyDescent="0.25">
      <c r="H7001" t="s">
        <v>30</v>
      </c>
    </row>
    <row r="7002" spans="8:8" x14ac:dyDescent="0.25">
      <c r="H7002" t="s">
        <v>136</v>
      </c>
    </row>
    <row r="7003" spans="8:8" x14ac:dyDescent="0.25">
      <c r="H7003" t="s">
        <v>17582</v>
      </c>
    </row>
    <row r="7004" spans="8:8" x14ac:dyDescent="0.25">
      <c r="H7004" t="s">
        <v>30</v>
      </c>
    </row>
    <row r="7005" spans="8:8" x14ac:dyDescent="0.25">
      <c r="H7005" t="s">
        <v>137</v>
      </c>
    </row>
    <row r="7006" spans="8:8" x14ac:dyDescent="0.25">
      <c r="H7006" t="s">
        <v>17583</v>
      </c>
    </row>
    <row r="7007" spans="8:8" x14ac:dyDescent="0.25">
      <c r="H7007" t="s">
        <v>30</v>
      </c>
    </row>
    <row r="7008" spans="8:8" x14ac:dyDescent="0.25">
      <c r="H7008" t="s">
        <v>138</v>
      </c>
    </row>
    <row r="7009" spans="8:8" x14ac:dyDescent="0.25">
      <c r="H7009" t="s">
        <v>17584</v>
      </c>
    </row>
    <row r="7010" spans="8:8" x14ac:dyDescent="0.25">
      <c r="H7010" t="s">
        <v>30</v>
      </c>
    </row>
    <row r="7012" spans="8:8" x14ac:dyDescent="0.25">
      <c r="H7012" t="s">
        <v>11245</v>
      </c>
    </row>
    <row r="7013" spans="8:8" x14ac:dyDescent="0.25">
      <c r="H7013" t="s">
        <v>11246</v>
      </c>
    </row>
    <row r="7014" spans="8:8" x14ac:dyDescent="0.25">
      <c r="H7014" t="s">
        <v>135</v>
      </c>
    </row>
    <row r="7015" spans="8:8" x14ac:dyDescent="0.25">
      <c r="H7015" t="s">
        <v>17585</v>
      </c>
    </row>
    <row r="7016" spans="8:8" x14ac:dyDescent="0.25">
      <c r="H7016" t="s">
        <v>30</v>
      </c>
    </row>
    <row r="7017" spans="8:8" x14ac:dyDescent="0.25">
      <c r="H7017" t="s">
        <v>136</v>
      </c>
    </row>
    <row r="7018" spans="8:8" x14ac:dyDescent="0.25">
      <c r="H7018" t="s">
        <v>17586</v>
      </c>
    </row>
    <row r="7019" spans="8:8" x14ac:dyDescent="0.25">
      <c r="H7019" t="s">
        <v>30</v>
      </c>
    </row>
    <row r="7020" spans="8:8" x14ac:dyDescent="0.25">
      <c r="H7020" t="s">
        <v>137</v>
      </c>
    </row>
    <row r="7021" spans="8:8" x14ac:dyDescent="0.25">
      <c r="H7021" t="s">
        <v>17587</v>
      </c>
    </row>
    <row r="7022" spans="8:8" x14ac:dyDescent="0.25">
      <c r="H7022" t="s">
        <v>30</v>
      </c>
    </row>
    <row r="7023" spans="8:8" x14ac:dyDescent="0.25">
      <c r="H7023" t="s">
        <v>138</v>
      </c>
    </row>
    <row r="7024" spans="8:8" x14ac:dyDescent="0.25">
      <c r="H7024" t="s">
        <v>17588</v>
      </c>
    </row>
    <row r="7025" spans="8:8" x14ac:dyDescent="0.25">
      <c r="H7025" t="s">
        <v>30</v>
      </c>
    </row>
    <row r="7027" spans="8:8" x14ac:dyDescent="0.25">
      <c r="H7027" t="s">
        <v>11251</v>
      </c>
    </row>
    <row r="7028" spans="8:8" x14ac:dyDescent="0.25">
      <c r="H7028" t="s">
        <v>11252</v>
      </c>
    </row>
    <row r="7029" spans="8:8" x14ac:dyDescent="0.25">
      <c r="H7029" t="s">
        <v>135</v>
      </c>
    </row>
    <row r="7030" spans="8:8" x14ac:dyDescent="0.25">
      <c r="H7030" t="s">
        <v>17589</v>
      </c>
    </row>
    <row r="7031" spans="8:8" x14ac:dyDescent="0.25">
      <c r="H7031" t="s">
        <v>30</v>
      </c>
    </row>
    <row r="7032" spans="8:8" x14ac:dyDescent="0.25">
      <c r="H7032" t="s">
        <v>136</v>
      </c>
    </row>
    <row r="7033" spans="8:8" x14ac:dyDescent="0.25">
      <c r="H7033" t="s">
        <v>17590</v>
      </c>
    </row>
    <row r="7034" spans="8:8" x14ac:dyDescent="0.25">
      <c r="H7034" t="s">
        <v>30</v>
      </c>
    </row>
    <row r="7035" spans="8:8" x14ac:dyDescent="0.25">
      <c r="H7035" t="s">
        <v>137</v>
      </c>
    </row>
    <row r="7036" spans="8:8" x14ac:dyDescent="0.25">
      <c r="H7036" t="s">
        <v>17591</v>
      </c>
    </row>
    <row r="7037" spans="8:8" x14ac:dyDescent="0.25">
      <c r="H7037" t="s">
        <v>30</v>
      </c>
    </row>
    <row r="7038" spans="8:8" x14ac:dyDescent="0.25">
      <c r="H7038" t="s">
        <v>138</v>
      </c>
    </row>
    <row r="7039" spans="8:8" x14ac:dyDescent="0.25">
      <c r="H7039" t="s">
        <v>17592</v>
      </c>
    </row>
    <row r="7040" spans="8:8" x14ac:dyDescent="0.25">
      <c r="H7040" t="s">
        <v>30</v>
      </c>
    </row>
    <row r="7042" spans="8:8" x14ac:dyDescent="0.25">
      <c r="H7042" t="s">
        <v>11257</v>
      </c>
    </row>
    <row r="7043" spans="8:8" x14ac:dyDescent="0.25">
      <c r="H7043" t="s">
        <v>11258</v>
      </c>
    </row>
    <row r="7044" spans="8:8" x14ac:dyDescent="0.25">
      <c r="H7044" t="s">
        <v>135</v>
      </c>
    </row>
    <row r="7045" spans="8:8" x14ac:dyDescent="0.25">
      <c r="H7045" t="s">
        <v>17593</v>
      </c>
    </row>
    <row r="7046" spans="8:8" x14ac:dyDescent="0.25">
      <c r="H7046" t="s">
        <v>30</v>
      </c>
    </row>
    <row r="7047" spans="8:8" x14ac:dyDescent="0.25">
      <c r="H7047" t="s">
        <v>136</v>
      </c>
    </row>
    <row r="7048" spans="8:8" x14ac:dyDescent="0.25">
      <c r="H7048" t="s">
        <v>17594</v>
      </c>
    </row>
    <row r="7049" spans="8:8" x14ac:dyDescent="0.25">
      <c r="H7049" t="s">
        <v>30</v>
      </c>
    </row>
    <row r="7050" spans="8:8" x14ac:dyDescent="0.25">
      <c r="H7050" t="s">
        <v>137</v>
      </c>
    </row>
    <row r="7051" spans="8:8" x14ac:dyDescent="0.25">
      <c r="H7051" t="s">
        <v>17595</v>
      </c>
    </row>
    <row r="7052" spans="8:8" x14ac:dyDescent="0.25">
      <c r="H7052" t="s">
        <v>30</v>
      </c>
    </row>
    <row r="7053" spans="8:8" x14ac:dyDescent="0.25">
      <c r="H7053" t="s">
        <v>138</v>
      </c>
    </row>
    <row r="7054" spans="8:8" x14ac:dyDescent="0.25">
      <c r="H7054" t="s">
        <v>17596</v>
      </c>
    </row>
    <row r="7055" spans="8:8" x14ac:dyDescent="0.25">
      <c r="H7055" t="s">
        <v>30</v>
      </c>
    </row>
    <row r="7057" spans="8:8" x14ac:dyDescent="0.25">
      <c r="H7057" t="s">
        <v>11263</v>
      </c>
    </row>
    <row r="7058" spans="8:8" x14ac:dyDescent="0.25">
      <c r="H7058" t="s">
        <v>11264</v>
      </c>
    </row>
    <row r="7059" spans="8:8" x14ac:dyDescent="0.25">
      <c r="H7059" t="s">
        <v>135</v>
      </c>
    </row>
    <row r="7060" spans="8:8" x14ac:dyDescent="0.25">
      <c r="H7060" t="s">
        <v>17597</v>
      </c>
    </row>
    <row r="7061" spans="8:8" x14ac:dyDescent="0.25">
      <c r="H7061" t="s">
        <v>30</v>
      </c>
    </row>
    <row r="7062" spans="8:8" x14ac:dyDescent="0.25">
      <c r="H7062" t="s">
        <v>136</v>
      </c>
    </row>
    <row r="7063" spans="8:8" x14ac:dyDescent="0.25">
      <c r="H7063" t="s">
        <v>17598</v>
      </c>
    </row>
    <row r="7064" spans="8:8" x14ac:dyDescent="0.25">
      <c r="H7064" t="s">
        <v>30</v>
      </c>
    </row>
    <row r="7065" spans="8:8" x14ac:dyDescent="0.25">
      <c r="H7065" t="s">
        <v>137</v>
      </c>
    </row>
    <row r="7066" spans="8:8" x14ac:dyDescent="0.25">
      <c r="H7066" t="s">
        <v>17599</v>
      </c>
    </row>
    <row r="7067" spans="8:8" x14ac:dyDescent="0.25">
      <c r="H7067" t="s">
        <v>30</v>
      </c>
    </row>
    <row r="7068" spans="8:8" x14ac:dyDescent="0.25">
      <c r="H7068" t="s">
        <v>138</v>
      </c>
    </row>
    <row r="7069" spans="8:8" x14ac:dyDescent="0.25">
      <c r="H7069" t="s">
        <v>17600</v>
      </c>
    </row>
    <row r="7070" spans="8:8" x14ac:dyDescent="0.25">
      <c r="H7070" t="s">
        <v>30</v>
      </c>
    </row>
    <row r="7072" spans="8:8" x14ac:dyDescent="0.25">
      <c r="H7072" t="s">
        <v>11269</v>
      </c>
    </row>
    <row r="7073" spans="8:8" x14ac:dyDescent="0.25">
      <c r="H7073" t="s">
        <v>11270</v>
      </c>
    </row>
    <row r="7074" spans="8:8" x14ac:dyDescent="0.25">
      <c r="H7074" t="s">
        <v>135</v>
      </c>
    </row>
    <row r="7075" spans="8:8" x14ac:dyDescent="0.25">
      <c r="H7075" t="s">
        <v>17601</v>
      </c>
    </row>
    <row r="7076" spans="8:8" x14ac:dyDescent="0.25">
      <c r="H7076" t="s">
        <v>30</v>
      </c>
    </row>
    <row r="7077" spans="8:8" x14ac:dyDescent="0.25">
      <c r="H7077" t="s">
        <v>136</v>
      </c>
    </row>
    <row r="7078" spans="8:8" x14ac:dyDescent="0.25">
      <c r="H7078" t="s">
        <v>17602</v>
      </c>
    </row>
    <row r="7079" spans="8:8" x14ac:dyDescent="0.25">
      <c r="H7079" t="s">
        <v>30</v>
      </c>
    </row>
    <row r="7080" spans="8:8" x14ac:dyDescent="0.25">
      <c r="H7080" t="s">
        <v>137</v>
      </c>
    </row>
    <row r="7081" spans="8:8" x14ac:dyDescent="0.25">
      <c r="H7081" t="s">
        <v>17603</v>
      </c>
    </row>
    <row r="7082" spans="8:8" x14ac:dyDescent="0.25">
      <c r="H7082" t="s">
        <v>30</v>
      </c>
    </row>
    <row r="7083" spans="8:8" x14ac:dyDescent="0.25">
      <c r="H7083" t="s">
        <v>138</v>
      </c>
    </row>
    <row r="7084" spans="8:8" x14ac:dyDescent="0.25">
      <c r="H7084" t="s">
        <v>17604</v>
      </c>
    </row>
    <row r="7085" spans="8:8" x14ac:dyDescent="0.25">
      <c r="H7085" t="s">
        <v>30</v>
      </c>
    </row>
    <row r="7087" spans="8:8" x14ac:dyDescent="0.25">
      <c r="H7087" t="s">
        <v>11275</v>
      </c>
    </row>
    <row r="7088" spans="8:8" x14ac:dyDescent="0.25">
      <c r="H7088" t="s">
        <v>11276</v>
      </c>
    </row>
    <row r="7089" spans="8:8" x14ac:dyDescent="0.25">
      <c r="H7089" t="s">
        <v>135</v>
      </c>
    </row>
    <row r="7090" spans="8:8" x14ac:dyDescent="0.25">
      <c r="H7090" t="s">
        <v>17605</v>
      </c>
    </row>
    <row r="7091" spans="8:8" x14ac:dyDescent="0.25">
      <c r="H7091" t="s">
        <v>30</v>
      </c>
    </row>
    <row r="7092" spans="8:8" x14ac:dyDescent="0.25">
      <c r="H7092" t="s">
        <v>136</v>
      </c>
    </row>
    <row r="7093" spans="8:8" x14ac:dyDescent="0.25">
      <c r="H7093" t="s">
        <v>17606</v>
      </c>
    </row>
    <row r="7094" spans="8:8" x14ac:dyDescent="0.25">
      <c r="H7094" t="s">
        <v>30</v>
      </c>
    </row>
    <row r="7095" spans="8:8" x14ac:dyDescent="0.25">
      <c r="H7095" t="s">
        <v>137</v>
      </c>
    </row>
    <row r="7096" spans="8:8" x14ac:dyDescent="0.25">
      <c r="H7096" t="s">
        <v>17607</v>
      </c>
    </row>
    <row r="7097" spans="8:8" x14ac:dyDescent="0.25">
      <c r="H7097" t="s">
        <v>30</v>
      </c>
    </row>
    <row r="7098" spans="8:8" x14ac:dyDescent="0.25">
      <c r="H7098" t="s">
        <v>138</v>
      </c>
    </row>
    <row r="7099" spans="8:8" x14ac:dyDescent="0.25">
      <c r="H7099" t="s">
        <v>17608</v>
      </c>
    </row>
    <row r="7100" spans="8:8" x14ac:dyDescent="0.25">
      <c r="H7100" t="s">
        <v>30</v>
      </c>
    </row>
    <row r="7102" spans="8:8" x14ac:dyDescent="0.25">
      <c r="H7102" t="s">
        <v>11281</v>
      </c>
    </row>
    <row r="7103" spans="8:8" x14ac:dyDescent="0.25">
      <c r="H7103" t="s">
        <v>11282</v>
      </c>
    </row>
    <row r="7104" spans="8:8" x14ac:dyDescent="0.25">
      <c r="H7104" t="s">
        <v>135</v>
      </c>
    </row>
    <row r="7105" spans="8:8" x14ac:dyDescent="0.25">
      <c r="H7105" t="s">
        <v>17609</v>
      </c>
    </row>
    <row r="7106" spans="8:8" x14ac:dyDescent="0.25">
      <c r="H7106" t="s">
        <v>30</v>
      </c>
    </row>
    <row r="7107" spans="8:8" x14ac:dyDescent="0.25">
      <c r="H7107" t="s">
        <v>136</v>
      </c>
    </row>
    <row r="7108" spans="8:8" x14ac:dyDescent="0.25">
      <c r="H7108" t="s">
        <v>17610</v>
      </c>
    </row>
    <row r="7109" spans="8:8" x14ac:dyDescent="0.25">
      <c r="H7109" t="s">
        <v>30</v>
      </c>
    </row>
    <row r="7110" spans="8:8" x14ac:dyDescent="0.25">
      <c r="H7110" t="s">
        <v>137</v>
      </c>
    </row>
    <row r="7111" spans="8:8" x14ac:dyDescent="0.25">
      <c r="H7111" t="s">
        <v>17611</v>
      </c>
    </row>
    <row r="7112" spans="8:8" x14ac:dyDescent="0.25">
      <c r="H7112" t="s">
        <v>30</v>
      </c>
    </row>
    <row r="7113" spans="8:8" x14ac:dyDescent="0.25">
      <c r="H7113" t="s">
        <v>138</v>
      </c>
    </row>
    <row r="7114" spans="8:8" x14ac:dyDescent="0.25">
      <c r="H7114" t="s">
        <v>17612</v>
      </c>
    </row>
    <row r="7115" spans="8:8" x14ac:dyDescent="0.25">
      <c r="H7115" t="s">
        <v>30</v>
      </c>
    </row>
    <row r="7117" spans="8:8" x14ac:dyDescent="0.25">
      <c r="H7117" t="s">
        <v>11287</v>
      </c>
    </row>
    <row r="7118" spans="8:8" x14ac:dyDescent="0.25">
      <c r="H7118" t="s">
        <v>11288</v>
      </c>
    </row>
    <row r="7119" spans="8:8" x14ac:dyDescent="0.25">
      <c r="H7119" t="s">
        <v>135</v>
      </c>
    </row>
    <row r="7120" spans="8:8" x14ac:dyDescent="0.25">
      <c r="H7120" t="s">
        <v>17613</v>
      </c>
    </row>
    <row r="7121" spans="8:8" x14ac:dyDescent="0.25">
      <c r="H7121" t="s">
        <v>30</v>
      </c>
    </row>
    <row r="7122" spans="8:8" x14ac:dyDescent="0.25">
      <c r="H7122" t="s">
        <v>136</v>
      </c>
    </row>
    <row r="7123" spans="8:8" x14ac:dyDescent="0.25">
      <c r="H7123" t="s">
        <v>17614</v>
      </c>
    </row>
    <row r="7124" spans="8:8" x14ac:dyDescent="0.25">
      <c r="H7124" t="s">
        <v>30</v>
      </c>
    </row>
    <row r="7125" spans="8:8" x14ac:dyDescent="0.25">
      <c r="H7125" t="s">
        <v>137</v>
      </c>
    </row>
    <row r="7126" spans="8:8" x14ac:dyDescent="0.25">
      <c r="H7126" t="s">
        <v>17615</v>
      </c>
    </row>
    <row r="7127" spans="8:8" x14ac:dyDescent="0.25">
      <c r="H7127" t="s">
        <v>30</v>
      </c>
    </row>
    <row r="7128" spans="8:8" x14ac:dyDescent="0.25">
      <c r="H7128" t="s">
        <v>138</v>
      </c>
    </row>
    <row r="7129" spans="8:8" x14ac:dyDescent="0.25">
      <c r="H7129" t="s">
        <v>17616</v>
      </c>
    </row>
    <row r="7130" spans="8:8" x14ac:dyDescent="0.25">
      <c r="H7130" t="s">
        <v>30</v>
      </c>
    </row>
    <row r="7132" spans="8:8" x14ac:dyDescent="0.25">
      <c r="H7132" t="s">
        <v>11293</v>
      </c>
    </row>
    <row r="7133" spans="8:8" x14ac:dyDescent="0.25">
      <c r="H7133" t="s">
        <v>11294</v>
      </c>
    </row>
    <row r="7134" spans="8:8" x14ac:dyDescent="0.25">
      <c r="H7134" t="s">
        <v>135</v>
      </c>
    </row>
    <row r="7135" spans="8:8" x14ac:dyDescent="0.25">
      <c r="H7135" t="s">
        <v>17617</v>
      </c>
    </row>
    <row r="7136" spans="8:8" x14ac:dyDescent="0.25">
      <c r="H7136" t="s">
        <v>30</v>
      </c>
    </row>
    <row r="7137" spans="8:8" x14ac:dyDescent="0.25">
      <c r="H7137" t="s">
        <v>136</v>
      </c>
    </row>
    <row r="7138" spans="8:8" x14ac:dyDescent="0.25">
      <c r="H7138" t="s">
        <v>17618</v>
      </c>
    </row>
    <row r="7139" spans="8:8" x14ac:dyDescent="0.25">
      <c r="H7139" t="s">
        <v>30</v>
      </c>
    </row>
    <row r="7140" spans="8:8" x14ac:dyDescent="0.25">
      <c r="H7140" t="s">
        <v>137</v>
      </c>
    </row>
    <row r="7141" spans="8:8" x14ac:dyDescent="0.25">
      <c r="H7141" t="s">
        <v>17619</v>
      </c>
    </row>
    <row r="7142" spans="8:8" x14ac:dyDescent="0.25">
      <c r="H7142" t="s">
        <v>30</v>
      </c>
    </row>
    <row r="7143" spans="8:8" x14ac:dyDescent="0.25">
      <c r="H7143" t="s">
        <v>138</v>
      </c>
    </row>
    <row r="7144" spans="8:8" x14ac:dyDescent="0.25">
      <c r="H7144" t="s">
        <v>17620</v>
      </c>
    </row>
    <row r="7145" spans="8:8" x14ac:dyDescent="0.25">
      <c r="H7145" t="s">
        <v>30</v>
      </c>
    </row>
    <row r="7147" spans="8:8" x14ac:dyDescent="0.25">
      <c r="H7147" t="s">
        <v>11299</v>
      </c>
    </row>
    <row r="7148" spans="8:8" x14ac:dyDescent="0.25">
      <c r="H7148" t="s">
        <v>11300</v>
      </c>
    </row>
    <row r="7149" spans="8:8" x14ac:dyDescent="0.25">
      <c r="H7149" t="s">
        <v>135</v>
      </c>
    </row>
    <row r="7150" spans="8:8" x14ac:dyDescent="0.25">
      <c r="H7150" t="s">
        <v>17621</v>
      </c>
    </row>
    <row r="7151" spans="8:8" x14ac:dyDescent="0.25">
      <c r="H7151" t="s">
        <v>30</v>
      </c>
    </row>
    <row r="7152" spans="8:8" x14ac:dyDescent="0.25">
      <c r="H7152" t="s">
        <v>136</v>
      </c>
    </row>
    <row r="7153" spans="8:8" x14ac:dyDescent="0.25">
      <c r="H7153" t="s">
        <v>17622</v>
      </c>
    </row>
    <row r="7154" spans="8:8" x14ac:dyDescent="0.25">
      <c r="H7154" t="s">
        <v>30</v>
      </c>
    </row>
    <row r="7155" spans="8:8" x14ac:dyDescent="0.25">
      <c r="H7155" t="s">
        <v>137</v>
      </c>
    </row>
    <row r="7156" spans="8:8" x14ac:dyDescent="0.25">
      <c r="H7156" t="s">
        <v>17623</v>
      </c>
    </row>
    <row r="7157" spans="8:8" x14ac:dyDescent="0.25">
      <c r="H7157" t="s">
        <v>30</v>
      </c>
    </row>
    <row r="7158" spans="8:8" x14ac:dyDescent="0.25">
      <c r="H7158" t="s">
        <v>138</v>
      </c>
    </row>
    <row r="7159" spans="8:8" x14ac:dyDescent="0.25">
      <c r="H7159" t="s">
        <v>17624</v>
      </c>
    </row>
    <row r="7160" spans="8:8" x14ac:dyDescent="0.25">
      <c r="H7160" t="s">
        <v>30</v>
      </c>
    </row>
    <row r="7162" spans="8:8" x14ac:dyDescent="0.25">
      <c r="H7162" t="s">
        <v>11305</v>
      </c>
    </row>
    <row r="7163" spans="8:8" x14ac:dyDescent="0.25">
      <c r="H7163" t="s">
        <v>11306</v>
      </c>
    </row>
    <row r="7164" spans="8:8" x14ac:dyDescent="0.25">
      <c r="H7164" t="s">
        <v>135</v>
      </c>
    </row>
    <row r="7165" spans="8:8" x14ac:dyDescent="0.25">
      <c r="H7165" t="s">
        <v>17625</v>
      </c>
    </row>
    <row r="7166" spans="8:8" x14ac:dyDescent="0.25">
      <c r="H7166" t="s">
        <v>30</v>
      </c>
    </row>
    <row r="7167" spans="8:8" x14ac:dyDescent="0.25">
      <c r="H7167" t="s">
        <v>136</v>
      </c>
    </row>
    <row r="7168" spans="8:8" x14ac:dyDescent="0.25">
      <c r="H7168" t="s">
        <v>17626</v>
      </c>
    </row>
    <row r="7169" spans="8:8" x14ac:dyDescent="0.25">
      <c r="H7169" t="s">
        <v>30</v>
      </c>
    </row>
    <row r="7170" spans="8:8" x14ac:dyDescent="0.25">
      <c r="H7170" t="s">
        <v>137</v>
      </c>
    </row>
    <row r="7171" spans="8:8" x14ac:dyDescent="0.25">
      <c r="H7171" t="s">
        <v>17627</v>
      </c>
    </row>
    <row r="7172" spans="8:8" x14ac:dyDescent="0.25">
      <c r="H7172" t="s">
        <v>30</v>
      </c>
    </row>
    <row r="7173" spans="8:8" x14ac:dyDescent="0.25">
      <c r="H7173" t="s">
        <v>138</v>
      </c>
    </row>
    <row r="7174" spans="8:8" x14ac:dyDescent="0.25">
      <c r="H7174" t="s">
        <v>17628</v>
      </c>
    </row>
    <row r="7175" spans="8:8" x14ac:dyDescent="0.25">
      <c r="H7175" t="s">
        <v>30</v>
      </c>
    </row>
    <row r="7177" spans="8:8" x14ac:dyDescent="0.25">
      <c r="H7177" t="s">
        <v>11311</v>
      </c>
    </row>
    <row r="7178" spans="8:8" x14ac:dyDescent="0.25">
      <c r="H7178" t="s">
        <v>11312</v>
      </c>
    </row>
    <row r="7179" spans="8:8" x14ac:dyDescent="0.25">
      <c r="H7179" t="s">
        <v>135</v>
      </c>
    </row>
    <row r="7180" spans="8:8" x14ac:dyDescent="0.25">
      <c r="H7180" t="s">
        <v>17629</v>
      </c>
    </row>
    <row r="7181" spans="8:8" x14ac:dyDescent="0.25">
      <c r="H7181" t="s">
        <v>30</v>
      </c>
    </row>
    <row r="7182" spans="8:8" x14ac:dyDescent="0.25">
      <c r="H7182" t="s">
        <v>136</v>
      </c>
    </row>
    <row r="7183" spans="8:8" x14ac:dyDescent="0.25">
      <c r="H7183" t="s">
        <v>17630</v>
      </c>
    </row>
    <row r="7184" spans="8:8" x14ac:dyDescent="0.25">
      <c r="H7184" t="s">
        <v>30</v>
      </c>
    </row>
    <row r="7185" spans="8:8" x14ac:dyDescent="0.25">
      <c r="H7185" t="s">
        <v>137</v>
      </c>
    </row>
    <row r="7186" spans="8:8" x14ac:dyDescent="0.25">
      <c r="H7186" t="s">
        <v>17631</v>
      </c>
    </row>
    <row r="7187" spans="8:8" x14ac:dyDescent="0.25">
      <c r="H7187" t="s">
        <v>30</v>
      </c>
    </row>
    <row r="7188" spans="8:8" x14ac:dyDescent="0.25">
      <c r="H7188" t="s">
        <v>138</v>
      </c>
    </row>
    <row r="7189" spans="8:8" x14ac:dyDescent="0.25">
      <c r="H7189" t="s">
        <v>17632</v>
      </c>
    </row>
    <row r="7190" spans="8:8" x14ac:dyDescent="0.25">
      <c r="H7190" t="s">
        <v>30</v>
      </c>
    </row>
    <row r="7192" spans="8:8" x14ac:dyDescent="0.25">
      <c r="H7192" t="s">
        <v>11317</v>
      </c>
    </row>
    <row r="7193" spans="8:8" x14ac:dyDescent="0.25">
      <c r="H7193" t="s">
        <v>11318</v>
      </c>
    </row>
    <row r="7194" spans="8:8" x14ac:dyDescent="0.25">
      <c r="H7194" t="s">
        <v>135</v>
      </c>
    </row>
    <row r="7195" spans="8:8" x14ac:dyDescent="0.25">
      <c r="H7195" t="s">
        <v>17633</v>
      </c>
    </row>
    <row r="7196" spans="8:8" x14ac:dyDescent="0.25">
      <c r="H7196" t="s">
        <v>30</v>
      </c>
    </row>
    <row r="7197" spans="8:8" x14ac:dyDescent="0.25">
      <c r="H7197" t="s">
        <v>136</v>
      </c>
    </row>
    <row r="7198" spans="8:8" x14ac:dyDescent="0.25">
      <c r="H7198" t="s">
        <v>17634</v>
      </c>
    </row>
    <row r="7199" spans="8:8" x14ac:dyDescent="0.25">
      <c r="H7199" t="s">
        <v>30</v>
      </c>
    </row>
    <row r="7200" spans="8:8" x14ac:dyDescent="0.25">
      <c r="H7200" t="s">
        <v>137</v>
      </c>
    </row>
    <row r="7201" spans="8:8" x14ac:dyDescent="0.25">
      <c r="H7201" t="s">
        <v>17635</v>
      </c>
    </row>
    <row r="7202" spans="8:8" x14ac:dyDescent="0.25">
      <c r="H7202" t="s">
        <v>30</v>
      </c>
    </row>
    <row r="7203" spans="8:8" x14ac:dyDescent="0.25">
      <c r="H7203" t="s">
        <v>138</v>
      </c>
    </row>
    <row r="7204" spans="8:8" x14ac:dyDescent="0.25">
      <c r="H7204" t="s">
        <v>17636</v>
      </c>
    </row>
    <row r="7205" spans="8:8" x14ac:dyDescent="0.25">
      <c r="H7205" t="s">
        <v>30</v>
      </c>
    </row>
    <row r="7207" spans="8:8" x14ac:dyDescent="0.25">
      <c r="H7207" t="s">
        <v>11323</v>
      </c>
    </row>
    <row r="7208" spans="8:8" x14ac:dyDescent="0.25">
      <c r="H7208" t="s">
        <v>11324</v>
      </c>
    </row>
    <row r="7209" spans="8:8" x14ac:dyDescent="0.25">
      <c r="H7209" t="s">
        <v>135</v>
      </c>
    </row>
    <row r="7210" spans="8:8" x14ac:dyDescent="0.25">
      <c r="H7210" t="s">
        <v>17637</v>
      </c>
    </row>
    <row r="7211" spans="8:8" x14ac:dyDescent="0.25">
      <c r="H7211" t="s">
        <v>30</v>
      </c>
    </row>
    <row r="7212" spans="8:8" x14ac:dyDescent="0.25">
      <c r="H7212" t="s">
        <v>136</v>
      </c>
    </row>
    <row r="7213" spans="8:8" x14ac:dyDescent="0.25">
      <c r="H7213" t="s">
        <v>17638</v>
      </c>
    </row>
    <row r="7214" spans="8:8" x14ac:dyDescent="0.25">
      <c r="H7214" t="s">
        <v>30</v>
      </c>
    </row>
    <row r="7215" spans="8:8" x14ac:dyDescent="0.25">
      <c r="H7215" t="s">
        <v>137</v>
      </c>
    </row>
    <row r="7216" spans="8:8" x14ac:dyDescent="0.25">
      <c r="H7216" t="s">
        <v>17639</v>
      </c>
    </row>
    <row r="7217" spans="8:8" x14ac:dyDescent="0.25">
      <c r="H7217" t="s">
        <v>30</v>
      </c>
    </row>
    <row r="7218" spans="8:8" x14ac:dyDescent="0.25">
      <c r="H7218" t="s">
        <v>138</v>
      </c>
    </row>
    <row r="7219" spans="8:8" x14ac:dyDescent="0.25">
      <c r="H7219" t="s">
        <v>17640</v>
      </c>
    </row>
    <row r="7220" spans="8:8" x14ac:dyDescent="0.25">
      <c r="H7220" t="s">
        <v>30</v>
      </c>
    </row>
    <row r="7222" spans="8:8" x14ac:dyDescent="0.25">
      <c r="H7222" t="s">
        <v>11329</v>
      </c>
    </row>
    <row r="7223" spans="8:8" x14ac:dyDescent="0.25">
      <c r="H7223" t="s">
        <v>11330</v>
      </c>
    </row>
    <row r="7224" spans="8:8" x14ac:dyDescent="0.25">
      <c r="H7224" t="s">
        <v>135</v>
      </c>
    </row>
    <row r="7225" spans="8:8" x14ac:dyDescent="0.25">
      <c r="H7225" t="s">
        <v>17641</v>
      </c>
    </row>
    <row r="7226" spans="8:8" x14ac:dyDescent="0.25">
      <c r="H7226" t="s">
        <v>30</v>
      </c>
    </row>
    <row r="7227" spans="8:8" x14ac:dyDescent="0.25">
      <c r="H7227" t="s">
        <v>136</v>
      </c>
    </row>
    <row r="7228" spans="8:8" x14ac:dyDescent="0.25">
      <c r="H7228" t="s">
        <v>17642</v>
      </c>
    </row>
    <row r="7229" spans="8:8" x14ac:dyDescent="0.25">
      <c r="H7229" t="s">
        <v>30</v>
      </c>
    </row>
    <row r="7230" spans="8:8" x14ac:dyDescent="0.25">
      <c r="H7230" t="s">
        <v>137</v>
      </c>
    </row>
    <row r="7231" spans="8:8" x14ac:dyDescent="0.25">
      <c r="H7231" t="s">
        <v>17643</v>
      </c>
    </row>
    <row r="7232" spans="8:8" x14ac:dyDescent="0.25">
      <c r="H7232" t="s">
        <v>30</v>
      </c>
    </row>
    <row r="7233" spans="8:8" x14ac:dyDescent="0.25">
      <c r="H7233" t="s">
        <v>138</v>
      </c>
    </row>
    <row r="7234" spans="8:8" x14ac:dyDescent="0.25">
      <c r="H7234" t="s">
        <v>17644</v>
      </c>
    </row>
    <row r="7235" spans="8:8" x14ac:dyDescent="0.25">
      <c r="H7235" t="s">
        <v>30</v>
      </c>
    </row>
    <row r="7237" spans="8:8" x14ac:dyDescent="0.25">
      <c r="H7237" t="s">
        <v>11335</v>
      </c>
    </row>
    <row r="7238" spans="8:8" x14ac:dyDescent="0.25">
      <c r="H7238" t="s">
        <v>11336</v>
      </c>
    </row>
    <row r="7239" spans="8:8" x14ac:dyDescent="0.25">
      <c r="H7239" t="s">
        <v>135</v>
      </c>
    </row>
    <row r="7240" spans="8:8" x14ac:dyDescent="0.25">
      <c r="H7240" t="s">
        <v>17645</v>
      </c>
    </row>
    <row r="7241" spans="8:8" x14ac:dyDescent="0.25">
      <c r="H7241" t="s">
        <v>30</v>
      </c>
    </row>
    <row r="7242" spans="8:8" x14ac:dyDescent="0.25">
      <c r="H7242" t="s">
        <v>136</v>
      </c>
    </row>
    <row r="7243" spans="8:8" x14ac:dyDescent="0.25">
      <c r="H7243" t="s">
        <v>17646</v>
      </c>
    </row>
    <row r="7244" spans="8:8" x14ac:dyDescent="0.25">
      <c r="H7244" t="s">
        <v>30</v>
      </c>
    </row>
    <row r="7245" spans="8:8" x14ac:dyDescent="0.25">
      <c r="H7245" t="s">
        <v>137</v>
      </c>
    </row>
    <row r="7246" spans="8:8" x14ac:dyDescent="0.25">
      <c r="H7246" t="s">
        <v>17647</v>
      </c>
    </row>
    <row r="7247" spans="8:8" x14ac:dyDescent="0.25">
      <c r="H7247" t="s">
        <v>30</v>
      </c>
    </row>
    <row r="7248" spans="8:8" x14ac:dyDescent="0.25">
      <c r="H7248" t="s">
        <v>138</v>
      </c>
    </row>
    <row r="7249" spans="8:8" x14ac:dyDescent="0.25">
      <c r="H7249" t="s">
        <v>17648</v>
      </c>
    </row>
    <row r="7250" spans="8:8" x14ac:dyDescent="0.25">
      <c r="H7250" t="s">
        <v>30</v>
      </c>
    </row>
    <row r="7252" spans="8:8" x14ac:dyDescent="0.25">
      <c r="H7252" t="s">
        <v>11341</v>
      </c>
    </row>
    <row r="7253" spans="8:8" x14ac:dyDescent="0.25">
      <c r="H7253" t="s">
        <v>11342</v>
      </c>
    </row>
    <row r="7254" spans="8:8" x14ac:dyDescent="0.25">
      <c r="H7254" t="s">
        <v>135</v>
      </c>
    </row>
    <row r="7255" spans="8:8" x14ac:dyDescent="0.25">
      <c r="H7255" t="s">
        <v>17649</v>
      </c>
    </row>
    <row r="7256" spans="8:8" x14ac:dyDescent="0.25">
      <c r="H7256" t="s">
        <v>30</v>
      </c>
    </row>
    <row r="7257" spans="8:8" x14ac:dyDescent="0.25">
      <c r="H7257" t="s">
        <v>136</v>
      </c>
    </row>
    <row r="7258" spans="8:8" x14ac:dyDescent="0.25">
      <c r="H7258" t="s">
        <v>17650</v>
      </c>
    </row>
    <row r="7259" spans="8:8" x14ac:dyDescent="0.25">
      <c r="H7259" t="s">
        <v>30</v>
      </c>
    </row>
    <row r="7260" spans="8:8" x14ac:dyDescent="0.25">
      <c r="H7260" t="s">
        <v>137</v>
      </c>
    </row>
    <row r="7261" spans="8:8" x14ac:dyDescent="0.25">
      <c r="H7261" t="s">
        <v>17651</v>
      </c>
    </row>
    <row r="7262" spans="8:8" x14ac:dyDescent="0.25">
      <c r="H7262" t="s">
        <v>30</v>
      </c>
    </row>
    <row r="7263" spans="8:8" x14ac:dyDescent="0.25">
      <c r="H7263" t="s">
        <v>138</v>
      </c>
    </row>
    <row r="7264" spans="8:8" x14ac:dyDescent="0.25">
      <c r="H7264" t="s">
        <v>17652</v>
      </c>
    </row>
    <row r="7265" spans="8:8" x14ac:dyDescent="0.25">
      <c r="H7265" t="s">
        <v>30</v>
      </c>
    </row>
    <row r="7267" spans="8:8" x14ac:dyDescent="0.25">
      <c r="H7267" t="s">
        <v>11347</v>
      </c>
    </row>
    <row r="7268" spans="8:8" x14ac:dyDescent="0.25">
      <c r="H7268" t="s">
        <v>11348</v>
      </c>
    </row>
    <row r="7269" spans="8:8" x14ac:dyDescent="0.25">
      <c r="H7269" t="s">
        <v>135</v>
      </c>
    </row>
    <row r="7270" spans="8:8" x14ac:dyDescent="0.25">
      <c r="H7270" t="s">
        <v>17653</v>
      </c>
    </row>
    <row r="7271" spans="8:8" x14ac:dyDescent="0.25">
      <c r="H7271" t="s">
        <v>30</v>
      </c>
    </row>
    <row r="7272" spans="8:8" x14ac:dyDescent="0.25">
      <c r="H7272" t="s">
        <v>136</v>
      </c>
    </row>
    <row r="7273" spans="8:8" x14ac:dyDescent="0.25">
      <c r="H7273" t="s">
        <v>17654</v>
      </c>
    </row>
    <row r="7274" spans="8:8" x14ac:dyDescent="0.25">
      <c r="H7274" t="s">
        <v>30</v>
      </c>
    </row>
    <row r="7275" spans="8:8" x14ac:dyDescent="0.25">
      <c r="H7275" t="s">
        <v>137</v>
      </c>
    </row>
    <row r="7276" spans="8:8" x14ac:dyDescent="0.25">
      <c r="H7276" t="s">
        <v>17655</v>
      </c>
    </row>
    <row r="7277" spans="8:8" x14ac:dyDescent="0.25">
      <c r="H7277" t="s">
        <v>30</v>
      </c>
    </row>
    <row r="7278" spans="8:8" x14ac:dyDescent="0.25">
      <c r="H7278" t="s">
        <v>138</v>
      </c>
    </row>
    <row r="7279" spans="8:8" x14ac:dyDescent="0.25">
      <c r="H7279" t="s">
        <v>17656</v>
      </c>
    </row>
    <row r="7280" spans="8:8" x14ac:dyDescent="0.25">
      <c r="H7280" t="s">
        <v>30</v>
      </c>
    </row>
    <row r="7282" spans="8:8" x14ac:dyDescent="0.25">
      <c r="H7282" t="s">
        <v>11353</v>
      </c>
    </row>
    <row r="7283" spans="8:8" x14ac:dyDescent="0.25">
      <c r="H7283" t="s">
        <v>11354</v>
      </c>
    </row>
    <row r="7284" spans="8:8" x14ac:dyDescent="0.25">
      <c r="H7284" t="s">
        <v>135</v>
      </c>
    </row>
    <row r="7285" spans="8:8" x14ac:dyDescent="0.25">
      <c r="H7285" t="s">
        <v>17657</v>
      </c>
    </row>
    <row r="7286" spans="8:8" x14ac:dyDescent="0.25">
      <c r="H7286" t="s">
        <v>30</v>
      </c>
    </row>
    <row r="7287" spans="8:8" x14ac:dyDescent="0.25">
      <c r="H7287" t="s">
        <v>136</v>
      </c>
    </row>
    <row r="7288" spans="8:8" x14ac:dyDescent="0.25">
      <c r="H7288" t="s">
        <v>17658</v>
      </c>
    </row>
    <row r="7289" spans="8:8" x14ac:dyDescent="0.25">
      <c r="H7289" t="s">
        <v>30</v>
      </c>
    </row>
    <row r="7290" spans="8:8" x14ac:dyDescent="0.25">
      <c r="H7290" t="s">
        <v>137</v>
      </c>
    </row>
    <row r="7291" spans="8:8" x14ac:dyDescent="0.25">
      <c r="H7291" t="s">
        <v>17659</v>
      </c>
    </row>
    <row r="7292" spans="8:8" x14ac:dyDescent="0.25">
      <c r="H7292" t="s">
        <v>30</v>
      </c>
    </row>
    <row r="7293" spans="8:8" x14ac:dyDescent="0.25">
      <c r="H7293" t="s">
        <v>138</v>
      </c>
    </row>
    <row r="7294" spans="8:8" x14ac:dyDescent="0.25">
      <c r="H7294" t="s">
        <v>17660</v>
      </c>
    </row>
    <row r="7295" spans="8:8" x14ac:dyDescent="0.25">
      <c r="H7295" t="s">
        <v>30</v>
      </c>
    </row>
    <row r="7297" spans="8:8" x14ac:dyDescent="0.25">
      <c r="H7297" t="s">
        <v>11359</v>
      </c>
    </row>
    <row r="7298" spans="8:8" x14ac:dyDescent="0.25">
      <c r="H7298" t="s">
        <v>11360</v>
      </c>
    </row>
    <row r="7299" spans="8:8" x14ac:dyDescent="0.25">
      <c r="H7299" t="s">
        <v>135</v>
      </c>
    </row>
    <row r="7300" spans="8:8" x14ac:dyDescent="0.25">
      <c r="H7300" t="s">
        <v>17661</v>
      </c>
    </row>
    <row r="7301" spans="8:8" x14ac:dyDescent="0.25">
      <c r="H7301" t="s">
        <v>30</v>
      </c>
    </row>
    <row r="7302" spans="8:8" x14ac:dyDescent="0.25">
      <c r="H7302" t="s">
        <v>136</v>
      </c>
    </row>
    <row r="7303" spans="8:8" x14ac:dyDescent="0.25">
      <c r="H7303" t="s">
        <v>17662</v>
      </c>
    </row>
    <row r="7304" spans="8:8" x14ac:dyDescent="0.25">
      <c r="H7304" t="s">
        <v>30</v>
      </c>
    </row>
    <row r="7305" spans="8:8" x14ac:dyDescent="0.25">
      <c r="H7305" t="s">
        <v>137</v>
      </c>
    </row>
    <row r="7306" spans="8:8" x14ac:dyDescent="0.25">
      <c r="H7306" t="s">
        <v>17663</v>
      </c>
    </row>
    <row r="7307" spans="8:8" x14ac:dyDescent="0.25">
      <c r="H7307" t="s">
        <v>30</v>
      </c>
    </row>
    <row r="7308" spans="8:8" x14ac:dyDescent="0.25">
      <c r="H7308" t="s">
        <v>138</v>
      </c>
    </row>
    <row r="7309" spans="8:8" x14ac:dyDescent="0.25">
      <c r="H7309" t="s">
        <v>17664</v>
      </c>
    </row>
    <row r="7310" spans="8:8" x14ac:dyDescent="0.25">
      <c r="H7310" t="s">
        <v>30</v>
      </c>
    </row>
    <row r="7312" spans="8:8" x14ac:dyDescent="0.25">
      <c r="H7312" t="s">
        <v>11365</v>
      </c>
    </row>
    <row r="7313" spans="8:8" x14ac:dyDescent="0.25">
      <c r="H7313" t="s">
        <v>11366</v>
      </c>
    </row>
    <row r="7314" spans="8:8" x14ac:dyDescent="0.25">
      <c r="H7314" t="s">
        <v>135</v>
      </c>
    </row>
    <row r="7315" spans="8:8" x14ac:dyDescent="0.25">
      <c r="H7315" t="s">
        <v>17665</v>
      </c>
    </row>
    <row r="7316" spans="8:8" x14ac:dyDescent="0.25">
      <c r="H7316" t="s">
        <v>30</v>
      </c>
    </row>
    <row r="7317" spans="8:8" x14ac:dyDescent="0.25">
      <c r="H7317" t="s">
        <v>136</v>
      </c>
    </row>
    <row r="7318" spans="8:8" x14ac:dyDescent="0.25">
      <c r="H7318" t="s">
        <v>17666</v>
      </c>
    </row>
    <row r="7319" spans="8:8" x14ac:dyDescent="0.25">
      <c r="H7319" t="s">
        <v>30</v>
      </c>
    </row>
    <row r="7320" spans="8:8" x14ac:dyDescent="0.25">
      <c r="H7320" t="s">
        <v>137</v>
      </c>
    </row>
    <row r="7321" spans="8:8" x14ac:dyDescent="0.25">
      <c r="H7321" t="s">
        <v>17667</v>
      </c>
    </row>
    <row r="7322" spans="8:8" x14ac:dyDescent="0.25">
      <c r="H7322" t="s">
        <v>30</v>
      </c>
    </row>
    <row r="7323" spans="8:8" x14ac:dyDescent="0.25">
      <c r="H7323" t="s">
        <v>138</v>
      </c>
    </row>
    <row r="7324" spans="8:8" x14ac:dyDescent="0.25">
      <c r="H7324" t="s">
        <v>17668</v>
      </c>
    </row>
    <row r="7325" spans="8:8" x14ac:dyDescent="0.25">
      <c r="H7325" t="s">
        <v>30</v>
      </c>
    </row>
    <row r="7327" spans="8:8" x14ac:dyDescent="0.25">
      <c r="H7327" t="s">
        <v>11371</v>
      </c>
    </row>
    <row r="7328" spans="8:8" x14ac:dyDescent="0.25">
      <c r="H7328" t="s">
        <v>11372</v>
      </c>
    </row>
    <row r="7329" spans="8:8" x14ac:dyDescent="0.25">
      <c r="H7329" t="s">
        <v>135</v>
      </c>
    </row>
    <row r="7330" spans="8:8" x14ac:dyDescent="0.25">
      <c r="H7330" t="s">
        <v>17669</v>
      </c>
    </row>
    <row r="7331" spans="8:8" x14ac:dyDescent="0.25">
      <c r="H7331" t="s">
        <v>30</v>
      </c>
    </row>
    <row r="7332" spans="8:8" x14ac:dyDescent="0.25">
      <c r="H7332" t="s">
        <v>136</v>
      </c>
    </row>
    <row r="7333" spans="8:8" x14ac:dyDescent="0.25">
      <c r="H7333" t="s">
        <v>17670</v>
      </c>
    </row>
    <row r="7334" spans="8:8" x14ac:dyDescent="0.25">
      <c r="H7334" t="s">
        <v>30</v>
      </c>
    </row>
    <row r="7335" spans="8:8" x14ac:dyDescent="0.25">
      <c r="H7335" t="s">
        <v>137</v>
      </c>
    </row>
    <row r="7336" spans="8:8" x14ac:dyDescent="0.25">
      <c r="H7336" t="s">
        <v>17671</v>
      </c>
    </row>
    <row r="7337" spans="8:8" x14ac:dyDescent="0.25">
      <c r="H7337" t="s">
        <v>30</v>
      </c>
    </row>
    <row r="7338" spans="8:8" x14ac:dyDescent="0.25">
      <c r="H7338" t="s">
        <v>138</v>
      </c>
    </row>
    <row r="7339" spans="8:8" x14ac:dyDescent="0.25">
      <c r="H7339" t="s">
        <v>17672</v>
      </c>
    </row>
    <row r="7340" spans="8:8" x14ac:dyDescent="0.25">
      <c r="H7340" t="s">
        <v>30</v>
      </c>
    </row>
    <row r="7342" spans="8:8" x14ac:dyDescent="0.25">
      <c r="H7342" t="s">
        <v>11377</v>
      </c>
    </row>
    <row r="7343" spans="8:8" x14ac:dyDescent="0.25">
      <c r="H7343" t="s">
        <v>11378</v>
      </c>
    </row>
    <row r="7344" spans="8:8" x14ac:dyDescent="0.25">
      <c r="H7344" t="s">
        <v>135</v>
      </c>
    </row>
    <row r="7345" spans="8:8" x14ac:dyDescent="0.25">
      <c r="H7345" t="s">
        <v>17673</v>
      </c>
    </row>
    <row r="7346" spans="8:8" x14ac:dyDescent="0.25">
      <c r="H7346" t="s">
        <v>30</v>
      </c>
    </row>
    <row r="7347" spans="8:8" x14ac:dyDescent="0.25">
      <c r="H7347" t="s">
        <v>136</v>
      </c>
    </row>
    <row r="7348" spans="8:8" x14ac:dyDescent="0.25">
      <c r="H7348" t="s">
        <v>17674</v>
      </c>
    </row>
    <row r="7349" spans="8:8" x14ac:dyDescent="0.25">
      <c r="H7349" t="s">
        <v>30</v>
      </c>
    </row>
    <row r="7350" spans="8:8" x14ac:dyDescent="0.25">
      <c r="H7350" t="s">
        <v>137</v>
      </c>
    </row>
    <row r="7351" spans="8:8" x14ac:dyDescent="0.25">
      <c r="H7351" t="s">
        <v>17675</v>
      </c>
    </row>
    <row r="7352" spans="8:8" x14ac:dyDescent="0.25">
      <c r="H7352" t="s">
        <v>30</v>
      </c>
    </row>
    <row r="7353" spans="8:8" x14ac:dyDescent="0.25">
      <c r="H7353" t="s">
        <v>138</v>
      </c>
    </row>
    <row r="7354" spans="8:8" x14ac:dyDescent="0.25">
      <c r="H7354" t="s">
        <v>17676</v>
      </c>
    </row>
    <row r="7355" spans="8:8" x14ac:dyDescent="0.25">
      <c r="H7355" t="s">
        <v>30</v>
      </c>
    </row>
    <row r="7357" spans="8:8" x14ac:dyDescent="0.25">
      <c r="H7357" t="s">
        <v>11383</v>
      </c>
    </row>
    <row r="7358" spans="8:8" x14ac:dyDescent="0.25">
      <c r="H7358" t="s">
        <v>11384</v>
      </c>
    </row>
    <row r="7359" spans="8:8" x14ac:dyDescent="0.25">
      <c r="H7359" t="s">
        <v>135</v>
      </c>
    </row>
    <row r="7360" spans="8:8" x14ac:dyDescent="0.25">
      <c r="H7360" t="s">
        <v>17677</v>
      </c>
    </row>
    <row r="7361" spans="8:8" x14ac:dyDescent="0.25">
      <c r="H7361" t="s">
        <v>30</v>
      </c>
    </row>
    <row r="7362" spans="8:8" x14ac:dyDescent="0.25">
      <c r="H7362" t="s">
        <v>136</v>
      </c>
    </row>
    <row r="7363" spans="8:8" x14ac:dyDescent="0.25">
      <c r="H7363" t="s">
        <v>17678</v>
      </c>
    </row>
    <row r="7364" spans="8:8" x14ac:dyDescent="0.25">
      <c r="H7364" t="s">
        <v>30</v>
      </c>
    </row>
    <row r="7365" spans="8:8" x14ac:dyDescent="0.25">
      <c r="H7365" t="s">
        <v>137</v>
      </c>
    </row>
    <row r="7366" spans="8:8" x14ac:dyDescent="0.25">
      <c r="H7366" t="s">
        <v>17679</v>
      </c>
    </row>
    <row r="7367" spans="8:8" x14ac:dyDescent="0.25">
      <c r="H7367" t="s">
        <v>30</v>
      </c>
    </row>
    <row r="7368" spans="8:8" x14ac:dyDescent="0.25">
      <c r="H7368" t="s">
        <v>138</v>
      </c>
    </row>
    <row r="7369" spans="8:8" x14ac:dyDescent="0.25">
      <c r="H7369" t="s">
        <v>17680</v>
      </c>
    </row>
    <row r="7370" spans="8:8" x14ac:dyDescent="0.25">
      <c r="H7370" t="s">
        <v>30</v>
      </c>
    </row>
    <row r="7372" spans="8:8" x14ac:dyDescent="0.25">
      <c r="H7372" t="s">
        <v>11389</v>
      </c>
    </row>
    <row r="7373" spans="8:8" x14ac:dyDescent="0.25">
      <c r="H7373" t="s">
        <v>11390</v>
      </c>
    </row>
    <row r="7374" spans="8:8" x14ac:dyDescent="0.25">
      <c r="H7374" t="s">
        <v>135</v>
      </c>
    </row>
    <row r="7375" spans="8:8" x14ac:dyDescent="0.25">
      <c r="H7375" t="s">
        <v>17681</v>
      </c>
    </row>
    <row r="7376" spans="8:8" x14ac:dyDescent="0.25">
      <c r="H7376" t="s">
        <v>30</v>
      </c>
    </row>
    <row r="7377" spans="8:8" x14ac:dyDescent="0.25">
      <c r="H7377" t="s">
        <v>136</v>
      </c>
    </row>
    <row r="7378" spans="8:8" x14ac:dyDescent="0.25">
      <c r="H7378" t="s">
        <v>17682</v>
      </c>
    </row>
    <row r="7379" spans="8:8" x14ac:dyDescent="0.25">
      <c r="H7379" t="s">
        <v>30</v>
      </c>
    </row>
    <row r="7380" spans="8:8" x14ac:dyDescent="0.25">
      <c r="H7380" t="s">
        <v>137</v>
      </c>
    </row>
    <row r="7381" spans="8:8" x14ac:dyDescent="0.25">
      <c r="H7381" t="s">
        <v>17683</v>
      </c>
    </row>
    <row r="7382" spans="8:8" x14ac:dyDescent="0.25">
      <c r="H7382" t="s">
        <v>30</v>
      </c>
    </row>
    <row r="7383" spans="8:8" x14ac:dyDescent="0.25">
      <c r="H7383" t="s">
        <v>138</v>
      </c>
    </row>
    <row r="7384" spans="8:8" x14ac:dyDescent="0.25">
      <c r="H7384" t="s">
        <v>17684</v>
      </c>
    </row>
    <row r="7385" spans="8:8" x14ac:dyDescent="0.25">
      <c r="H7385" t="s">
        <v>30</v>
      </c>
    </row>
    <row r="7387" spans="8:8" x14ac:dyDescent="0.25">
      <c r="H7387" t="s">
        <v>11395</v>
      </c>
    </row>
    <row r="7388" spans="8:8" x14ac:dyDescent="0.25">
      <c r="H7388" t="s">
        <v>11396</v>
      </c>
    </row>
    <row r="7389" spans="8:8" x14ac:dyDescent="0.25">
      <c r="H7389" t="s">
        <v>135</v>
      </c>
    </row>
    <row r="7390" spans="8:8" x14ac:dyDescent="0.25">
      <c r="H7390" t="s">
        <v>17685</v>
      </c>
    </row>
    <row r="7391" spans="8:8" x14ac:dyDescent="0.25">
      <c r="H7391" t="s">
        <v>30</v>
      </c>
    </row>
    <row r="7392" spans="8:8" x14ac:dyDescent="0.25">
      <c r="H7392" t="s">
        <v>136</v>
      </c>
    </row>
    <row r="7393" spans="8:8" x14ac:dyDescent="0.25">
      <c r="H7393" t="s">
        <v>17686</v>
      </c>
    </row>
    <row r="7394" spans="8:8" x14ac:dyDescent="0.25">
      <c r="H7394" t="s">
        <v>30</v>
      </c>
    </row>
    <row r="7395" spans="8:8" x14ac:dyDescent="0.25">
      <c r="H7395" t="s">
        <v>137</v>
      </c>
    </row>
    <row r="7396" spans="8:8" x14ac:dyDescent="0.25">
      <c r="H7396" t="s">
        <v>17687</v>
      </c>
    </row>
    <row r="7397" spans="8:8" x14ac:dyDescent="0.25">
      <c r="H7397" t="s">
        <v>30</v>
      </c>
    </row>
    <row r="7398" spans="8:8" x14ac:dyDescent="0.25">
      <c r="H7398" t="s">
        <v>138</v>
      </c>
    </row>
    <row r="7399" spans="8:8" x14ac:dyDescent="0.25">
      <c r="H7399" t="s">
        <v>17688</v>
      </c>
    </row>
    <row r="7400" spans="8:8" x14ac:dyDescent="0.25">
      <c r="H7400" t="s">
        <v>30</v>
      </c>
    </row>
    <row r="7402" spans="8:8" x14ac:dyDescent="0.25">
      <c r="H7402" t="s">
        <v>11401</v>
      </c>
    </row>
    <row r="7403" spans="8:8" x14ac:dyDescent="0.25">
      <c r="H7403" t="s">
        <v>11402</v>
      </c>
    </row>
    <row r="7404" spans="8:8" x14ac:dyDescent="0.25">
      <c r="H7404" t="s">
        <v>135</v>
      </c>
    </row>
    <row r="7405" spans="8:8" x14ac:dyDescent="0.25">
      <c r="H7405" t="s">
        <v>17689</v>
      </c>
    </row>
    <row r="7406" spans="8:8" x14ac:dyDescent="0.25">
      <c r="H7406" t="s">
        <v>30</v>
      </c>
    </row>
    <row r="7407" spans="8:8" x14ac:dyDescent="0.25">
      <c r="H7407" t="s">
        <v>136</v>
      </c>
    </row>
    <row r="7408" spans="8:8" x14ac:dyDescent="0.25">
      <c r="H7408" t="s">
        <v>17690</v>
      </c>
    </row>
    <row r="7409" spans="8:8" x14ac:dyDescent="0.25">
      <c r="H7409" t="s">
        <v>30</v>
      </c>
    </row>
    <row r="7410" spans="8:8" x14ac:dyDescent="0.25">
      <c r="H7410" t="s">
        <v>137</v>
      </c>
    </row>
    <row r="7411" spans="8:8" x14ac:dyDescent="0.25">
      <c r="H7411" t="s">
        <v>17691</v>
      </c>
    </row>
    <row r="7412" spans="8:8" x14ac:dyDescent="0.25">
      <c r="H7412" t="s">
        <v>30</v>
      </c>
    </row>
    <row r="7413" spans="8:8" x14ac:dyDescent="0.25">
      <c r="H7413" t="s">
        <v>138</v>
      </c>
    </row>
    <row r="7414" spans="8:8" x14ac:dyDescent="0.25">
      <c r="H7414" t="s">
        <v>17692</v>
      </c>
    </row>
    <row r="7415" spans="8:8" x14ac:dyDescent="0.25">
      <c r="H7415" t="s">
        <v>30</v>
      </c>
    </row>
    <row r="7417" spans="8:8" x14ac:dyDescent="0.25">
      <c r="H7417" t="s">
        <v>11407</v>
      </c>
    </row>
    <row r="7418" spans="8:8" x14ac:dyDescent="0.25">
      <c r="H7418" t="s">
        <v>11408</v>
      </c>
    </row>
    <row r="7419" spans="8:8" x14ac:dyDescent="0.25">
      <c r="H7419" t="s">
        <v>135</v>
      </c>
    </row>
    <row r="7420" spans="8:8" x14ac:dyDescent="0.25">
      <c r="H7420" t="s">
        <v>17693</v>
      </c>
    </row>
    <row r="7421" spans="8:8" x14ac:dyDescent="0.25">
      <c r="H7421" t="s">
        <v>30</v>
      </c>
    </row>
    <row r="7422" spans="8:8" x14ac:dyDescent="0.25">
      <c r="H7422" t="s">
        <v>136</v>
      </c>
    </row>
    <row r="7423" spans="8:8" x14ac:dyDescent="0.25">
      <c r="H7423" t="s">
        <v>17694</v>
      </c>
    </row>
    <row r="7424" spans="8:8" x14ac:dyDescent="0.25">
      <c r="H7424" t="s">
        <v>30</v>
      </c>
    </row>
    <row r="7425" spans="8:8" x14ac:dyDescent="0.25">
      <c r="H7425" t="s">
        <v>137</v>
      </c>
    </row>
    <row r="7426" spans="8:8" x14ac:dyDescent="0.25">
      <c r="H7426" t="s">
        <v>17695</v>
      </c>
    </row>
    <row r="7427" spans="8:8" x14ac:dyDescent="0.25">
      <c r="H7427" t="s">
        <v>30</v>
      </c>
    </row>
    <row r="7428" spans="8:8" x14ac:dyDescent="0.25">
      <c r="H7428" t="s">
        <v>138</v>
      </c>
    </row>
    <row r="7429" spans="8:8" x14ac:dyDescent="0.25">
      <c r="H7429" t="s">
        <v>17696</v>
      </c>
    </row>
    <row r="7430" spans="8:8" x14ac:dyDescent="0.25">
      <c r="H7430" t="s">
        <v>30</v>
      </c>
    </row>
    <row r="7432" spans="8:8" x14ac:dyDescent="0.25">
      <c r="H7432" t="s">
        <v>11413</v>
      </c>
    </row>
    <row r="7433" spans="8:8" x14ac:dyDescent="0.25">
      <c r="H7433" t="s">
        <v>11414</v>
      </c>
    </row>
    <row r="7434" spans="8:8" x14ac:dyDescent="0.25">
      <c r="H7434" t="s">
        <v>135</v>
      </c>
    </row>
    <row r="7435" spans="8:8" x14ac:dyDescent="0.25">
      <c r="H7435" t="s">
        <v>17697</v>
      </c>
    </row>
    <row r="7436" spans="8:8" x14ac:dyDescent="0.25">
      <c r="H7436" t="s">
        <v>30</v>
      </c>
    </row>
    <row r="7437" spans="8:8" x14ac:dyDescent="0.25">
      <c r="H7437" t="s">
        <v>136</v>
      </c>
    </row>
    <row r="7438" spans="8:8" x14ac:dyDescent="0.25">
      <c r="H7438" t="s">
        <v>17698</v>
      </c>
    </row>
    <row r="7439" spans="8:8" x14ac:dyDescent="0.25">
      <c r="H7439" t="s">
        <v>30</v>
      </c>
    </row>
    <row r="7440" spans="8:8" x14ac:dyDescent="0.25">
      <c r="H7440" t="s">
        <v>137</v>
      </c>
    </row>
    <row r="7441" spans="8:8" x14ac:dyDescent="0.25">
      <c r="H7441" t="s">
        <v>17699</v>
      </c>
    </row>
    <row r="7442" spans="8:8" x14ac:dyDescent="0.25">
      <c r="H7442" t="s">
        <v>30</v>
      </c>
    </row>
    <row r="7443" spans="8:8" x14ac:dyDescent="0.25">
      <c r="H7443" t="s">
        <v>138</v>
      </c>
    </row>
    <row r="7444" spans="8:8" x14ac:dyDescent="0.25">
      <c r="H7444" t="s">
        <v>17700</v>
      </c>
    </row>
    <row r="7445" spans="8:8" x14ac:dyDescent="0.25">
      <c r="H7445" t="s">
        <v>30</v>
      </c>
    </row>
    <row r="7447" spans="8:8" x14ac:dyDescent="0.25">
      <c r="H7447" t="s">
        <v>11419</v>
      </c>
    </row>
    <row r="7448" spans="8:8" x14ac:dyDescent="0.25">
      <c r="H7448" t="s">
        <v>11420</v>
      </c>
    </row>
    <row r="7449" spans="8:8" x14ac:dyDescent="0.25">
      <c r="H7449" t="s">
        <v>135</v>
      </c>
    </row>
    <row r="7450" spans="8:8" x14ac:dyDescent="0.25">
      <c r="H7450" t="s">
        <v>17701</v>
      </c>
    </row>
    <row r="7451" spans="8:8" x14ac:dyDescent="0.25">
      <c r="H7451" t="s">
        <v>30</v>
      </c>
    </row>
    <row r="7452" spans="8:8" x14ac:dyDescent="0.25">
      <c r="H7452" t="s">
        <v>136</v>
      </c>
    </row>
    <row r="7453" spans="8:8" x14ac:dyDescent="0.25">
      <c r="H7453" t="s">
        <v>17702</v>
      </c>
    </row>
    <row r="7454" spans="8:8" x14ac:dyDescent="0.25">
      <c r="H7454" t="s">
        <v>30</v>
      </c>
    </row>
    <row r="7455" spans="8:8" x14ac:dyDescent="0.25">
      <c r="H7455" t="s">
        <v>137</v>
      </c>
    </row>
    <row r="7456" spans="8:8" x14ac:dyDescent="0.25">
      <c r="H7456" t="s">
        <v>17703</v>
      </c>
    </row>
    <row r="7457" spans="8:8" x14ac:dyDescent="0.25">
      <c r="H7457" t="s">
        <v>30</v>
      </c>
    </row>
    <row r="7458" spans="8:8" x14ac:dyDescent="0.25">
      <c r="H7458" t="s">
        <v>138</v>
      </c>
    </row>
    <row r="7459" spans="8:8" x14ac:dyDescent="0.25">
      <c r="H7459" t="s">
        <v>17704</v>
      </c>
    </row>
    <row r="7460" spans="8:8" x14ac:dyDescent="0.25">
      <c r="H7460" t="s">
        <v>30</v>
      </c>
    </row>
    <row r="7462" spans="8:8" x14ac:dyDescent="0.25">
      <c r="H7462" t="s">
        <v>11425</v>
      </c>
    </row>
    <row r="7463" spans="8:8" x14ac:dyDescent="0.25">
      <c r="H7463" t="s">
        <v>11426</v>
      </c>
    </row>
    <row r="7464" spans="8:8" x14ac:dyDescent="0.25">
      <c r="H7464" t="s">
        <v>135</v>
      </c>
    </row>
    <row r="7465" spans="8:8" x14ac:dyDescent="0.25">
      <c r="H7465" t="s">
        <v>17705</v>
      </c>
    </row>
    <row r="7466" spans="8:8" x14ac:dyDescent="0.25">
      <c r="H7466" t="s">
        <v>30</v>
      </c>
    </row>
    <row r="7467" spans="8:8" x14ac:dyDescent="0.25">
      <c r="H7467" t="s">
        <v>136</v>
      </c>
    </row>
    <row r="7468" spans="8:8" x14ac:dyDescent="0.25">
      <c r="H7468" t="s">
        <v>17706</v>
      </c>
    </row>
    <row r="7469" spans="8:8" x14ac:dyDescent="0.25">
      <c r="H7469" t="s">
        <v>30</v>
      </c>
    </row>
    <row r="7470" spans="8:8" x14ac:dyDescent="0.25">
      <c r="H7470" t="s">
        <v>137</v>
      </c>
    </row>
    <row r="7471" spans="8:8" x14ac:dyDescent="0.25">
      <c r="H7471" t="s">
        <v>17707</v>
      </c>
    </row>
    <row r="7472" spans="8:8" x14ac:dyDescent="0.25">
      <c r="H7472" t="s">
        <v>30</v>
      </c>
    </row>
    <row r="7473" spans="8:8" x14ac:dyDescent="0.25">
      <c r="H7473" t="s">
        <v>138</v>
      </c>
    </row>
    <row r="7474" spans="8:8" x14ac:dyDescent="0.25">
      <c r="H7474" t="s">
        <v>17708</v>
      </c>
    </row>
    <row r="7475" spans="8:8" x14ac:dyDescent="0.25">
      <c r="H7475" t="s">
        <v>30</v>
      </c>
    </row>
    <row r="7477" spans="8:8" x14ac:dyDescent="0.25">
      <c r="H7477" t="s">
        <v>11431</v>
      </c>
    </row>
    <row r="7478" spans="8:8" x14ac:dyDescent="0.25">
      <c r="H7478" t="s">
        <v>11432</v>
      </c>
    </row>
    <row r="7479" spans="8:8" x14ac:dyDescent="0.25">
      <c r="H7479" t="s">
        <v>135</v>
      </c>
    </row>
    <row r="7480" spans="8:8" x14ac:dyDescent="0.25">
      <c r="H7480" t="s">
        <v>17709</v>
      </c>
    </row>
    <row r="7481" spans="8:8" x14ac:dyDescent="0.25">
      <c r="H7481" t="s">
        <v>30</v>
      </c>
    </row>
    <row r="7482" spans="8:8" x14ac:dyDescent="0.25">
      <c r="H7482" t="s">
        <v>136</v>
      </c>
    </row>
    <row r="7483" spans="8:8" x14ac:dyDescent="0.25">
      <c r="H7483" t="s">
        <v>17710</v>
      </c>
    </row>
    <row r="7484" spans="8:8" x14ac:dyDescent="0.25">
      <c r="H7484" t="s">
        <v>30</v>
      </c>
    </row>
    <row r="7485" spans="8:8" x14ac:dyDescent="0.25">
      <c r="H7485" t="s">
        <v>137</v>
      </c>
    </row>
    <row r="7486" spans="8:8" x14ac:dyDescent="0.25">
      <c r="H7486" t="s">
        <v>17711</v>
      </c>
    </row>
    <row r="7487" spans="8:8" x14ac:dyDescent="0.25">
      <c r="H7487" t="s">
        <v>30</v>
      </c>
    </row>
    <row r="7488" spans="8:8" x14ac:dyDescent="0.25">
      <c r="H7488" t="s">
        <v>138</v>
      </c>
    </row>
    <row r="7489" spans="8:8" x14ac:dyDescent="0.25">
      <c r="H7489" t="s">
        <v>17712</v>
      </c>
    </row>
    <row r="7490" spans="8:8" x14ac:dyDescent="0.25">
      <c r="H7490" t="s">
        <v>30</v>
      </c>
    </row>
    <row r="7492" spans="8:8" x14ac:dyDescent="0.25">
      <c r="H7492" t="s">
        <v>11437</v>
      </c>
    </row>
    <row r="7493" spans="8:8" x14ac:dyDescent="0.25">
      <c r="H7493" t="s">
        <v>11438</v>
      </c>
    </row>
    <row r="7494" spans="8:8" x14ac:dyDescent="0.25">
      <c r="H7494" t="s">
        <v>135</v>
      </c>
    </row>
    <row r="7495" spans="8:8" x14ac:dyDescent="0.25">
      <c r="H7495" t="s">
        <v>17713</v>
      </c>
    </row>
    <row r="7496" spans="8:8" x14ac:dyDescent="0.25">
      <c r="H7496" t="s">
        <v>30</v>
      </c>
    </row>
    <row r="7497" spans="8:8" x14ac:dyDescent="0.25">
      <c r="H7497" t="s">
        <v>136</v>
      </c>
    </row>
    <row r="7498" spans="8:8" x14ac:dyDescent="0.25">
      <c r="H7498" t="s">
        <v>17714</v>
      </c>
    </row>
    <row r="7499" spans="8:8" x14ac:dyDescent="0.25">
      <c r="H7499" t="s">
        <v>30</v>
      </c>
    </row>
    <row r="7500" spans="8:8" x14ac:dyDescent="0.25">
      <c r="H7500" t="s">
        <v>137</v>
      </c>
    </row>
    <row r="7501" spans="8:8" x14ac:dyDescent="0.25">
      <c r="H7501" t="s">
        <v>17715</v>
      </c>
    </row>
    <row r="7502" spans="8:8" x14ac:dyDescent="0.25">
      <c r="H7502" t="s">
        <v>30</v>
      </c>
    </row>
    <row r="7503" spans="8:8" x14ac:dyDescent="0.25">
      <c r="H7503" t="s">
        <v>138</v>
      </c>
    </row>
    <row r="7504" spans="8:8" x14ac:dyDescent="0.25">
      <c r="H7504" t="s">
        <v>17716</v>
      </c>
    </row>
    <row r="7505" spans="8:8" x14ac:dyDescent="0.25">
      <c r="H7505" t="s">
        <v>30</v>
      </c>
    </row>
    <row r="7507" spans="8:8" x14ac:dyDescent="0.25">
      <c r="H7507" t="s">
        <v>11443</v>
      </c>
    </row>
    <row r="7508" spans="8:8" x14ac:dyDescent="0.25">
      <c r="H7508" t="s">
        <v>11444</v>
      </c>
    </row>
    <row r="7509" spans="8:8" x14ac:dyDescent="0.25">
      <c r="H7509" t="s">
        <v>135</v>
      </c>
    </row>
    <row r="7510" spans="8:8" x14ac:dyDescent="0.25">
      <c r="H7510" t="s">
        <v>17717</v>
      </c>
    </row>
    <row r="7511" spans="8:8" x14ac:dyDescent="0.25">
      <c r="H7511" t="s">
        <v>30</v>
      </c>
    </row>
    <row r="7512" spans="8:8" x14ac:dyDescent="0.25">
      <c r="H7512" t="s">
        <v>136</v>
      </c>
    </row>
    <row r="7513" spans="8:8" x14ac:dyDescent="0.25">
      <c r="H7513" t="s">
        <v>17718</v>
      </c>
    </row>
    <row r="7514" spans="8:8" x14ac:dyDescent="0.25">
      <c r="H7514" t="s">
        <v>30</v>
      </c>
    </row>
    <row r="7515" spans="8:8" x14ac:dyDescent="0.25">
      <c r="H7515" t="s">
        <v>137</v>
      </c>
    </row>
    <row r="7516" spans="8:8" x14ac:dyDescent="0.25">
      <c r="H7516" t="s">
        <v>17719</v>
      </c>
    </row>
    <row r="7517" spans="8:8" x14ac:dyDescent="0.25">
      <c r="H7517" t="s">
        <v>30</v>
      </c>
    </row>
    <row r="7518" spans="8:8" x14ac:dyDescent="0.25">
      <c r="H7518" t="s">
        <v>138</v>
      </c>
    </row>
    <row r="7519" spans="8:8" x14ac:dyDescent="0.25">
      <c r="H7519" t="s">
        <v>17720</v>
      </c>
    </row>
    <row r="7520" spans="8:8" x14ac:dyDescent="0.25">
      <c r="H7520" t="s">
        <v>30</v>
      </c>
    </row>
    <row r="7522" spans="8:8" x14ac:dyDescent="0.25">
      <c r="H7522" t="s">
        <v>11449</v>
      </c>
    </row>
    <row r="7523" spans="8:8" x14ac:dyDescent="0.25">
      <c r="H7523" t="s">
        <v>11450</v>
      </c>
    </row>
    <row r="7524" spans="8:8" x14ac:dyDescent="0.25">
      <c r="H7524" t="s">
        <v>135</v>
      </c>
    </row>
    <row r="7525" spans="8:8" x14ac:dyDescent="0.25">
      <c r="H7525" t="s">
        <v>17721</v>
      </c>
    </row>
    <row r="7526" spans="8:8" x14ac:dyDescent="0.25">
      <c r="H7526" t="s">
        <v>30</v>
      </c>
    </row>
    <row r="7527" spans="8:8" x14ac:dyDescent="0.25">
      <c r="H7527" t="s">
        <v>136</v>
      </c>
    </row>
    <row r="7528" spans="8:8" x14ac:dyDescent="0.25">
      <c r="H7528" t="s">
        <v>17722</v>
      </c>
    </row>
    <row r="7529" spans="8:8" x14ac:dyDescent="0.25">
      <c r="H7529" t="s">
        <v>30</v>
      </c>
    </row>
    <row r="7530" spans="8:8" x14ac:dyDescent="0.25">
      <c r="H7530" t="s">
        <v>137</v>
      </c>
    </row>
    <row r="7531" spans="8:8" x14ac:dyDescent="0.25">
      <c r="H7531" t="s">
        <v>17723</v>
      </c>
    </row>
    <row r="7532" spans="8:8" x14ac:dyDescent="0.25">
      <c r="H7532" t="s">
        <v>30</v>
      </c>
    </row>
    <row r="7533" spans="8:8" x14ac:dyDescent="0.25">
      <c r="H7533" t="s">
        <v>138</v>
      </c>
    </row>
    <row r="7534" spans="8:8" x14ac:dyDescent="0.25">
      <c r="H7534" t="s">
        <v>17724</v>
      </c>
    </row>
    <row r="7535" spans="8:8" x14ac:dyDescent="0.25">
      <c r="H7535" t="s">
        <v>30</v>
      </c>
    </row>
    <row r="7537" spans="8:8" x14ac:dyDescent="0.25">
      <c r="H7537" t="s">
        <v>11455</v>
      </c>
    </row>
    <row r="7538" spans="8:8" x14ac:dyDescent="0.25">
      <c r="H7538" t="s">
        <v>11456</v>
      </c>
    </row>
    <row r="7539" spans="8:8" x14ac:dyDescent="0.25">
      <c r="H7539" t="s">
        <v>135</v>
      </c>
    </row>
    <row r="7540" spans="8:8" x14ac:dyDescent="0.25">
      <c r="H7540" t="s">
        <v>17725</v>
      </c>
    </row>
    <row r="7541" spans="8:8" x14ac:dyDescent="0.25">
      <c r="H7541" t="s">
        <v>30</v>
      </c>
    </row>
    <row r="7542" spans="8:8" x14ac:dyDescent="0.25">
      <c r="H7542" t="s">
        <v>136</v>
      </c>
    </row>
    <row r="7543" spans="8:8" x14ac:dyDescent="0.25">
      <c r="H7543" t="s">
        <v>17726</v>
      </c>
    </row>
    <row r="7544" spans="8:8" x14ac:dyDescent="0.25">
      <c r="H7544" t="s">
        <v>30</v>
      </c>
    </row>
    <row r="7545" spans="8:8" x14ac:dyDescent="0.25">
      <c r="H7545" t="s">
        <v>137</v>
      </c>
    </row>
    <row r="7546" spans="8:8" x14ac:dyDescent="0.25">
      <c r="H7546" t="s">
        <v>17727</v>
      </c>
    </row>
    <row r="7547" spans="8:8" x14ac:dyDescent="0.25">
      <c r="H7547" t="s">
        <v>30</v>
      </c>
    </row>
    <row r="7548" spans="8:8" x14ac:dyDescent="0.25">
      <c r="H7548" t="s">
        <v>138</v>
      </c>
    </row>
    <row r="7549" spans="8:8" x14ac:dyDescent="0.25">
      <c r="H7549" t="s">
        <v>17728</v>
      </c>
    </row>
    <row r="7550" spans="8:8" x14ac:dyDescent="0.25">
      <c r="H7550" t="s">
        <v>30</v>
      </c>
    </row>
    <row r="7552" spans="8:8" x14ac:dyDescent="0.25">
      <c r="H7552" t="s">
        <v>11461</v>
      </c>
    </row>
    <row r="7553" spans="8:8" x14ac:dyDescent="0.25">
      <c r="H7553" t="s">
        <v>11462</v>
      </c>
    </row>
    <row r="7554" spans="8:8" x14ac:dyDescent="0.25">
      <c r="H7554" t="s">
        <v>135</v>
      </c>
    </row>
    <row r="7555" spans="8:8" x14ac:dyDescent="0.25">
      <c r="H7555" t="s">
        <v>17729</v>
      </c>
    </row>
    <row r="7556" spans="8:8" x14ac:dyDescent="0.25">
      <c r="H7556" t="s">
        <v>30</v>
      </c>
    </row>
    <row r="7557" spans="8:8" x14ac:dyDescent="0.25">
      <c r="H7557" t="s">
        <v>136</v>
      </c>
    </row>
    <row r="7558" spans="8:8" x14ac:dyDescent="0.25">
      <c r="H7558" t="s">
        <v>17730</v>
      </c>
    </row>
    <row r="7559" spans="8:8" x14ac:dyDescent="0.25">
      <c r="H7559" t="s">
        <v>30</v>
      </c>
    </row>
    <row r="7560" spans="8:8" x14ac:dyDescent="0.25">
      <c r="H7560" t="s">
        <v>137</v>
      </c>
    </row>
    <row r="7561" spans="8:8" x14ac:dyDescent="0.25">
      <c r="H7561" t="s">
        <v>17731</v>
      </c>
    </row>
    <row r="7562" spans="8:8" x14ac:dyDescent="0.25">
      <c r="H7562" t="s">
        <v>30</v>
      </c>
    </row>
    <row r="7563" spans="8:8" x14ac:dyDescent="0.25">
      <c r="H7563" t="s">
        <v>138</v>
      </c>
    </row>
    <row r="7564" spans="8:8" x14ac:dyDescent="0.25">
      <c r="H7564" t="s">
        <v>17732</v>
      </c>
    </row>
    <row r="7565" spans="8:8" x14ac:dyDescent="0.25">
      <c r="H7565" t="s">
        <v>30</v>
      </c>
    </row>
    <row r="7567" spans="8:8" x14ac:dyDescent="0.25">
      <c r="H7567" t="s">
        <v>11467</v>
      </c>
    </row>
    <row r="7568" spans="8:8" x14ac:dyDescent="0.25">
      <c r="H7568" t="s">
        <v>11468</v>
      </c>
    </row>
    <row r="7569" spans="8:8" x14ac:dyDescent="0.25">
      <c r="H7569" t="s">
        <v>135</v>
      </c>
    </row>
    <row r="7570" spans="8:8" x14ac:dyDescent="0.25">
      <c r="H7570" t="s">
        <v>17733</v>
      </c>
    </row>
    <row r="7571" spans="8:8" x14ac:dyDescent="0.25">
      <c r="H7571" t="s">
        <v>30</v>
      </c>
    </row>
    <row r="7572" spans="8:8" x14ac:dyDescent="0.25">
      <c r="H7572" t="s">
        <v>136</v>
      </c>
    </row>
    <row r="7573" spans="8:8" x14ac:dyDescent="0.25">
      <c r="H7573" t="s">
        <v>17734</v>
      </c>
    </row>
    <row r="7574" spans="8:8" x14ac:dyDescent="0.25">
      <c r="H7574" t="s">
        <v>30</v>
      </c>
    </row>
    <row r="7575" spans="8:8" x14ac:dyDescent="0.25">
      <c r="H7575" t="s">
        <v>137</v>
      </c>
    </row>
    <row r="7576" spans="8:8" x14ac:dyDescent="0.25">
      <c r="H7576" t="s">
        <v>17735</v>
      </c>
    </row>
    <row r="7577" spans="8:8" x14ac:dyDescent="0.25">
      <c r="H7577" t="s">
        <v>30</v>
      </c>
    </row>
    <row r="7578" spans="8:8" x14ac:dyDescent="0.25">
      <c r="H7578" t="s">
        <v>138</v>
      </c>
    </row>
    <row r="7579" spans="8:8" x14ac:dyDescent="0.25">
      <c r="H7579" t="s">
        <v>17736</v>
      </c>
    </row>
    <row r="7580" spans="8:8" x14ac:dyDescent="0.25">
      <c r="H7580" t="s">
        <v>30</v>
      </c>
    </row>
    <row r="7582" spans="8:8" x14ac:dyDescent="0.25">
      <c r="H7582" t="s">
        <v>11473</v>
      </c>
    </row>
    <row r="7583" spans="8:8" x14ac:dyDescent="0.25">
      <c r="H7583" t="s">
        <v>11474</v>
      </c>
    </row>
    <row r="7584" spans="8:8" x14ac:dyDescent="0.25">
      <c r="H7584" t="s">
        <v>135</v>
      </c>
    </row>
    <row r="7585" spans="8:8" x14ac:dyDescent="0.25">
      <c r="H7585" t="s">
        <v>17737</v>
      </c>
    </row>
    <row r="7586" spans="8:8" x14ac:dyDescent="0.25">
      <c r="H7586" t="s">
        <v>30</v>
      </c>
    </row>
    <row r="7587" spans="8:8" x14ac:dyDescent="0.25">
      <c r="H7587" t="s">
        <v>136</v>
      </c>
    </row>
    <row r="7588" spans="8:8" x14ac:dyDescent="0.25">
      <c r="H7588" t="s">
        <v>17738</v>
      </c>
    </row>
    <row r="7589" spans="8:8" x14ac:dyDescent="0.25">
      <c r="H7589" t="s">
        <v>30</v>
      </c>
    </row>
    <row r="7590" spans="8:8" x14ac:dyDescent="0.25">
      <c r="H7590" t="s">
        <v>137</v>
      </c>
    </row>
    <row r="7591" spans="8:8" x14ac:dyDescent="0.25">
      <c r="H7591" t="s">
        <v>17739</v>
      </c>
    </row>
    <row r="7592" spans="8:8" x14ac:dyDescent="0.25">
      <c r="H7592" t="s">
        <v>30</v>
      </c>
    </row>
    <row r="7593" spans="8:8" x14ac:dyDescent="0.25">
      <c r="H7593" t="s">
        <v>138</v>
      </c>
    </row>
    <row r="7594" spans="8:8" x14ac:dyDescent="0.25">
      <c r="H7594" t="s">
        <v>17740</v>
      </c>
    </row>
    <row r="7595" spans="8:8" x14ac:dyDescent="0.25">
      <c r="H7595" t="s">
        <v>30</v>
      </c>
    </row>
    <row r="7597" spans="8:8" x14ac:dyDescent="0.25">
      <c r="H7597" t="s">
        <v>11479</v>
      </c>
    </row>
    <row r="7598" spans="8:8" x14ac:dyDescent="0.25">
      <c r="H7598" t="s">
        <v>11480</v>
      </c>
    </row>
    <row r="7599" spans="8:8" x14ac:dyDescent="0.25">
      <c r="H7599" t="s">
        <v>135</v>
      </c>
    </row>
    <row r="7600" spans="8:8" x14ac:dyDescent="0.25">
      <c r="H7600" t="s">
        <v>17741</v>
      </c>
    </row>
    <row r="7601" spans="8:8" x14ac:dyDescent="0.25">
      <c r="H7601" t="s">
        <v>30</v>
      </c>
    </row>
    <row r="7602" spans="8:8" x14ac:dyDescent="0.25">
      <c r="H7602" t="s">
        <v>136</v>
      </c>
    </row>
    <row r="7603" spans="8:8" x14ac:dyDescent="0.25">
      <c r="H7603" t="s">
        <v>17742</v>
      </c>
    </row>
    <row r="7604" spans="8:8" x14ac:dyDescent="0.25">
      <c r="H7604" t="s">
        <v>30</v>
      </c>
    </row>
    <row r="7605" spans="8:8" x14ac:dyDescent="0.25">
      <c r="H7605" t="s">
        <v>137</v>
      </c>
    </row>
    <row r="7606" spans="8:8" x14ac:dyDescent="0.25">
      <c r="H7606" t="s">
        <v>17743</v>
      </c>
    </row>
    <row r="7607" spans="8:8" x14ac:dyDescent="0.25">
      <c r="H7607" t="s">
        <v>30</v>
      </c>
    </row>
    <row r="7608" spans="8:8" x14ac:dyDescent="0.25">
      <c r="H7608" t="s">
        <v>138</v>
      </c>
    </row>
    <row r="7609" spans="8:8" x14ac:dyDescent="0.25">
      <c r="H7609" t="s">
        <v>17744</v>
      </c>
    </row>
    <row r="7610" spans="8:8" x14ac:dyDescent="0.25">
      <c r="H7610" t="s">
        <v>30</v>
      </c>
    </row>
    <row r="7612" spans="8:8" x14ac:dyDescent="0.25">
      <c r="H7612" t="s">
        <v>11485</v>
      </c>
    </row>
    <row r="7613" spans="8:8" x14ac:dyDescent="0.25">
      <c r="H7613" t="s">
        <v>11486</v>
      </c>
    </row>
    <row r="7614" spans="8:8" x14ac:dyDescent="0.25">
      <c r="H7614" t="s">
        <v>135</v>
      </c>
    </row>
    <row r="7615" spans="8:8" x14ac:dyDescent="0.25">
      <c r="H7615" t="s">
        <v>17745</v>
      </c>
    </row>
    <row r="7616" spans="8:8" x14ac:dyDescent="0.25">
      <c r="H7616" t="s">
        <v>30</v>
      </c>
    </row>
    <row r="7617" spans="8:8" x14ac:dyDescent="0.25">
      <c r="H7617" t="s">
        <v>136</v>
      </c>
    </row>
    <row r="7618" spans="8:8" x14ac:dyDescent="0.25">
      <c r="H7618" t="s">
        <v>17746</v>
      </c>
    </row>
    <row r="7619" spans="8:8" x14ac:dyDescent="0.25">
      <c r="H7619" t="s">
        <v>30</v>
      </c>
    </row>
    <row r="7620" spans="8:8" x14ac:dyDescent="0.25">
      <c r="H7620" t="s">
        <v>137</v>
      </c>
    </row>
    <row r="7621" spans="8:8" x14ac:dyDescent="0.25">
      <c r="H7621" t="s">
        <v>17747</v>
      </c>
    </row>
    <row r="7622" spans="8:8" x14ac:dyDescent="0.25">
      <c r="H7622" t="s">
        <v>30</v>
      </c>
    </row>
    <row r="7623" spans="8:8" x14ac:dyDescent="0.25">
      <c r="H7623" t="s">
        <v>138</v>
      </c>
    </row>
    <row r="7624" spans="8:8" x14ac:dyDescent="0.25">
      <c r="H7624" t="s">
        <v>17748</v>
      </c>
    </row>
    <row r="7625" spans="8:8" x14ac:dyDescent="0.25">
      <c r="H7625" t="s">
        <v>30</v>
      </c>
    </row>
    <row r="7627" spans="8:8" x14ac:dyDescent="0.25">
      <c r="H7627" t="s">
        <v>11491</v>
      </c>
    </row>
    <row r="7628" spans="8:8" x14ac:dyDescent="0.25">
      <c r="H7628" t="s">
        <v>11492</v>
      </c>
    </row>
    <row r="7629" spans="8:8" x14ac:dyDescent="0.25">
      <c r="H7629" t="s">
        <v>135</v>
      </c>
    </row>
    <row r="7630" spans="8:8" x14ac:dyDescent="0.25">
      <c r="H7630" t="s">
        <v>17749</v>
      </c>
    </row>
    <row r="7631" spans="8:8" x14ac:dyDescent="0.25">
      <c r="H7631" t="s">
        <v>30</v>
      </c>
    </row>
    <row r="7632" spans="8:8" x14ac:dyDescent="0.25">
      <c r="H7632" t="s">
        <v>136</v>
      </c>
    </row>
    <row r="7633" spans="8:8" x14ac:dyDescent="0.25">
      <c r="H7633" t="s">
        <v>17750</v>
      </c>
    </row>
    <row r="7634" spans="8:8" x14ac:dyDescent="0.25">
      <c r="H7634" t="s">
        <v>30</v>
      </c>
    </row>
    <row r="7635" spans="8:8" x14ac:dyDescent="0.25">
      <c r="H7635" t="s">
        <v>137</v>
      </c>
    </row>
    <row r="7636" spans="8:8" x14ac:dyDescent="0.25">
      <c r="H7636" t="s">
        <v>17751</v>
      </c>
    </row>
    <row r="7637" spans="8:8" x14ac:dyDescent="0.25">
      <c r="H7637" t="s">
        <v>30</v>
      </c>
    </row>
    <row r="7638" spans="8:8" x14ac:dyDescent="0.25">
      <c r="H7638" t="s">
        <v>138</v>
      </c>
    </row>
    <row r="7639" spans="8:8" x14ac:dyDescent="0.25">
      <c r="H7639" t="s">
        <v>17752</v>
      </c>
    </row>
    <row r="7640" spans="8:8" x14ac:dyDescent="0.25">
      <c r="H7640" t="s">
        <v>30</v>
      </c>
    </row>
    <row r="7642" spans="8:8" x14ac:dyDescent="0.25">
      <c r="H7642" t="s">
        <v>11497</v>
      </c>
    </row>
    <row r="7643" spans="8:8" x14ac:dyDescent="0.25">
      <c r="H7643" t="s">
        <v>11498</v>
      </c>
    </row>
    <row r="7644" spans="8:8" x14ac:dyDescent="0.25">
      <c r="H7644" t="s">
        <v>135</v>
      </c>
    </row>
    <row r="7645" spans="8:8" x14ac:dyDescent="0.25">
      <c r="H7645" t="s">
        <v>17753</v>
      </c>
    </row>
    <row r="7646" spans="8:8" x14ac:dyDescent="0.25">
      <c r="H7646" t="s">
        <v>30</v>
      </c>
    </row>
    <row r="7647" spans="8:8" x14ac:dyDescent="0.25">
      <c r="H7647" t="s">
        <v>136</v>
      </c>
    </row>
    <row r="7648" spans="8:8" x14ac:dyDescent="0.25">
      <c r="H7648" t="s">
        <v>17754</v>
      </c>
    </row>
    <row r="7649" spans="8:8" x14ac:dyDescent="0.25">
      <c r="H7649" t="s">
        <v>30</v>
      </c>
    </row>
    <row r="7650" spans="8:8" x14ac:dyDescent="0.25">
      <c r="H7650" t="s">
        <v>137</v>
      </c>
    </row>
    <row r="7651" spans="8:8" x14ac:dyDescent="0.25">
      <c r="H7651" t="s">
        <v>17755</v>
      </c>
    </row>
    <row r="7652" spans="8:8" x14ac:dyDescent="0.25">
      <c r="H7652" t="s">
        <v>30</v>
      </c>
    </row>
    <row r="7653" spans="8:8" x14ac:dyDescent="0.25">
      <c r="H7653" t="s">
        <v>138</v>
      </c>
    </row>
    <row r="7654" spans="8:8" x14ac:dyDescent="0.25">
      <c r="H7654" t="s">
        <v>17756</v>
      </c>
    </row>
    <row r="7655" spans="8:8" x14ac:dyDescent="0.25">
      <c r="H7655" t="s">
        <v>30</v>
      </c>
    </row>
    <row r="7657" spans="8:8" x14ac:dyDescent="0.25">
      <c r="H7657" t="s">
        <v>11503</v>
      </c>
    </row>
    <row r="7658" spans="8:8" x14ac:dyDescent="0.25">
      <c r="H7658" t="s">
        <v>11504</v>
      </c>
    </row>
    <row r="7659" spans="8:8" x14ac:dyDescent="0.25">
      <c r="H7659" t="s">
        <v>135</v>
      </c>
    </row>
    <row r="7660" spans="8:8" x14ac:dyDescent="0.25">
      <c r="H7660" t="s">
        <v>17757</v>
      </c>
    </row>
    <row r="7661" spans="8:8" x14ac:dyDescent="0.25">
      <c r="H7661" t="s">
        <v>30</v>
      </c>
    </row>
    <row r="7662" spans="8:8" x14ac:dyDescent="0.25">
      <c r="H7662" t="s">
        <v>136</v>
      </c>
    </row>
    <row r="7663" spans="8:8" x14ac:dyDescent="0.25">
      <c r="H7663" t="s">
        <v>17758</v>
      </c>
    </row>
    <row r="7664" spans="8:8" x14ac:dyDescent="0.25">
      <c r="H7664" t="s">
        <v>30</v>
      </c>
    </row>
    <row r="7665" spans="8:8" x14ac:dyDescent="0.25">
      <c r="H7665" t="s">
        <v>137</v>
      </c>
    </row>
    <row r="7666" spans="8:8" x14ac:dyDescent="0.25">
      <c r="H7666" t="s">
        <v>17759</v>
      </c>
    </row>
    <row r="7667" spans="8:8" x14ac:dyDescent="0.25">
      <c r="H7667" t="s">
        <v>30</v>
      </c>
    </row>
    <row r="7668" spans="8:8" x14ac:dyDescent="0.25">
      <c r="H7668" t="s">
        <v>138</v>
      </c>
    </row>
    <row r="7669" spans="8:8" x14ac:dyDescent="0.25">
      <c r="H7669" t="s">
        <v>17760</v>
      </c>
    </row>
    <row r="7670" spans="8:8" x14ac:dyDescent="0.25">
      <c r="H7670" t="s">
        <v>30</v>
      </c>
    </row>
    <row r="7672" spans="8:8" x14ac:dyDescent="0.25">
      <c r="H7672" t="s">
        <v>11509</v>
      </c>
    </row>
    <row r="7673" spans="8:8" x14ac:dyDescent="0.25">
      <c r="H7673" t="s">
        <v>11510</v>
      </c>
    </row>
    <row r="7674" spans="8:8" x14ac:dyDescent="0.25">
      <c r="H7674" t="s">
        <v>135</v>
      </c>
    </row>
    <row r="7675" spans="8:8" x14ac:dyDescent="0.25">
      <c r="H7675" t="s">
        <v>17761</v>
      </c>
    </row>
    <row r="7676" spans="8:8" x14ac:dyDescent="0.25">
      <c r="H7676" t="s">
        <v>30</v>
      </c>
    </row>
    <row r="7677" spans="8:8" x14ac:dyDescent="0.25">
      <c r="H7677" t="s">
        <v>136</v>
      </c>
    </row>
    <row r="7678" spans="8:8" x14ac:dyDescent="0.25">
      <c r="H7678" t="s">
        <v>17762</v>
      </c>
    </row>
    <row r="7679" spans="8:8" x14ac:dyDescent="0.25">
      <c r="H7679" t="s">
        <v>30</v>
      </c>
    </row>
    <row r="7680" spans="8:8" x14ac:dyDescent="0.25">
      <c r="H7680" t="s">
        <v>137</v>
      </c>
    </row>
    <row r="7681" spans="8:8" x14ac:dyDescent="0.25">
      <c r="H7681" t="s">
        <v>17763</v>
      </c>
    </row>
    <row r="7682" spans="8:8" x14ac:dyDescent="0.25">
      <c r="H7682" t="s">
        <v>30</v>
      </c>
    </row>
    <row r="7683" spans="8:8" x14ac:dyDescent="0.25">
      <c r="H7683" t="s">
        <v>138</v>
      </c>
    </row>
    <row r="7684" spans="8:8" x14ac:dyDescent="0.25">
      <c r="H7684" t="s">
        <v>17764</v>
      </c>
    </row>
    <row r="7685" spans="8:8" x14ac:dyDescent="0.25">
      <c r="H7685" t="s">
        <v>30</v>
      </c>
    </row>
    <row r="7687" spans="8:8" x14ac:dyDescent="0.25">
      <c r="H7687" t="s">
        <v>11515</v>
      </c>
    </row>
    <row r="7688" spans="8:8" x14ac:dyDescent="0.25">
      <c r="H7688" t="s">
        <v>11516</v>
      </c>
    </row>
    <row r="7689" spans="8:8" x14ac:dyDescent="0.25">
      <c r="H7689" t="s">
        <v>135</v>
      </c>
    </row>
    <row r="7690" spans="8:8" x14ac:dyDescent="0.25">
      <c r="H7690" t="s">
        <v>17765</v>
      </c>
    </row>
    <row r="7691" spans="8:8" x14ac:dyDescent="0.25">
      <c r="H7691" t="s">
        <v>30</v>
      </c>
    </row>
    <row r="7692" spans="8:8" x14ac:dyDescent="0.25">
      <c r="H7692" t="s">
        <v>136</v>
      </c>
    </row>
    <row r="7693" spans="8:8" x14ac:dyDescent="0.25">
      <c r="H7693" t="s">
        <v>17766</v>
      </c>
    </row>
    <row r="7694" spans="8:8" x14ac:dyDescent="0.25">
      <c r="H7694" t="s">
        <v>30</v>
      </c>
    </row>
    <row r="7695" spans="8:8" x14ac:dyDescent="0.25">
      <c r="H7695" t="s">
        <v>137</v>
      </c>
    </row>
    <row r="7696" spans="8:8" x14ac:dyDescent="0.25">
      <c r="H7696" t="s">
        <v>17767</v>
      </c>
    </row>
    <row r="7697" spans="8:8" x14ac:dyDescent="0.25">
      <c r="H7697" t="s">
        <v>30</v>
      </c>
    </row>
    <row r="7698" spans="8:8" x14ac:dyDescent="0.25">
      <c r="H7698" t="s">
        <v>138</v>
      </c>
    </row>
    <row r="7699" spans="8:8" x14ac:dyDescent="0.25">
      <c r="H7699" t="s">
        <v>17768</v>
      </c>
    </row>
    <row r="7700" spans="8:8" x14ac:dyDescent="0.25">
      <c r="H7700" t="s">
        <v>30</v>
      </c>
    </row>
    <row r="7702" spans="8:8" x14ac:dyDescent="0.25">
      <c r="H7702" t="s">
        <v>11521</v>
      </c>
    </row>
    <row r="7703" spans="8:8" x14ac:dyDescent="0.25">
      <c r="H7703" t="s">
        <v>11522</v>
      </c>
    </row>
    <row r="7704" spans="8:8" x14ac:dyDescent="0.25">
      <c r="H7704" t="s">
        <v>135</v>
      </c>
    </row>
    <row r="7705" spans="8:8" x14ac:dyDescent="0.25">
      <c r="H7705" t="s">
        <v>17769</v>
      </c>
    </row>
    <row r="7706" spans="8:8" x14ac:dyDescent="0.25">
      <c r="H7706" t="s">
        <v>30</v>
      </c>
    </row>
    <row r="7707" spans="8:8" x14ac:dyDescent="0.25">
      <c r="H7707" t="s">
        <v>136</v>
      </c>
    </row>
    <row r="7708" spans="8:8" x14ac:dyDescent="0.25">
      <c r="H7708" t="s">
        <v>17770</v>
      </c>
    </row>
    <row r="7709" spans="8:8" x14ac:dyDescent="0.25">
      <c r="H7709" t="s">
        <v>30</v>
      </c>
    </row>
    <row r="7710" spans="8:8" x14ac:dyDescent="0.25">
      <c r="H7710" t="s">
        <v>137</v>
      </c>
    </row>
    <row r="7711" spans="8:8" x14ac:dyDescent="0.25">
      <c r="H7711" t="s">
        <v>17771</v>
      </c>
    </row>
    <row r="7712" spans="8:8" x14ac:dyDescent="0.25">
      <c r="H7712" t="s">
        <v>30</v>
      </c>
    </row>
    <row r="7713" spans="8:8" x14ac:dyDescent="0.25">
      <c r="H7713" t="s">
        <v>138</v>
      </c>
    </row>
    <row r="7714" spans="8:8" x14ac:dyDescent="0.25">
      <c r="H7714" t="s">
        <v>17772</v>
      </c>
    </row>
    <row r="7715" spans="8:8" x14ac:dyDescent="0.25">
      <c r="H7715" t="s">
        <v>30</v>
      </c>
    </row>
    <row r="7717" spans="8:8" x14ac:dyDescent="0.25">
      <c r="H7717" t="s">
        <v>11527</v>
      </c>
    </row>
    <row r="7718" spans="8:8" x14ac:dyDescent="0.25">
      <c r="H7718" t="s">
        <v>11528</v>
      </c>
    </row>
    <row r="7719" spans="8:8" x14ac:dyDescent="0.25">
      <c r="H7719" t="s">
        <v>135</v>
      </c>
    </row>
    <row r="7720" spans="8:8" x14ac:dyDescent="0.25">
      <c r="H7720" t="s">
        <v>17773</v>
      </c>
    </row>
    <row r="7721" spans="8:8" x14ac:dyDescent="0.25">
      <c r="H7721" t="s">
        <v>30</v>
      </c>
    </row>
    <row r="7722" spans="8:8" x14ac:dyDescent="0.25">
      <c r="H7722" t="s">
        <v>136</v>
      </c>
    </row>
    <row r="7723" spans="8:8" x14ac:dyDescent="0.25">
      <c r="H7723" t="s">
        <v>17774</v>
      </c>
    </row>
    <row r="7724" spans="8:8" x14ac:dyDescent="0.25">
      <c r="H7724" t="s">
        <v>30</v>
      </c>
    </row>
    <row r="7725" spans="8:8" x14ac:dyDescent="0.25">
      <c r="H7725" t="s">
        <v>137</v>
      </c>
    </row>
    <row r="7726" spans="8:8" x14ac:dyDescent="0.25">
      <c r="H7726" t="s">
        <v>17775</v>
      </c>
    </row>
    <row r="7727" spans="8:8" x14ac:dyDescent="0.25">
      <c r="H7727" t="s">
        <v>30</v>
      </c>
    </row>
    <row r="7728" spans="8:8" x14ac:dyDescent="0.25">
      <c r="H7728" t="s">
        <v>138</v>
      </c>
    </row>
    <row r="7729" spans="8:8" x14ac:dyDescent="0.25">
      <c r="H7729" t="s">
        <v>17776</v>
      </c>
    </row>
    <row r="7730" spans="8:8" x14ac:dyDescent="0.25">
      <c r="H7730" t="s">
        <v>30</v>
      </c>
    </row>
    <row r="7732" spans="8:8" x14ac:dyDescent="0.25">
      <c r="H7732" t="s">
        <v>11533</v>
      </c>
    </row>
    <row r="7733" spans="8:8" x14ac:dyDescent="0.25">
      <c r="H7733" t="s">
        <v>11534</v>
      </c>
    </row>
    <row r="7734" spans="8:8" x14ac:dyDescent="0.25">
      <c r="H7734" t="s">
        <v>135</v>
      </c>
    </row>
    <row r="7735" spans="8:8" x14ac:dyDescent="0.25">
      <c r="H7735" t="s">
        <v>17777</v>
      </c>
    </row>
    <row r="7736" spans="8:8" x14ac:dyDescent="0.25">
      <c r="H7736" t="s">
        <v>30</v>
      </c>
    </row>
    <row r="7737" spans="8:8" x14ac:dyDescent="0.25">
      <c r="H7737" t="s">
        <v>136</v>
      </c>
    </row>
    <row r="7738" spans="8:8" x14ac:dyDescent="0.25">
      <c r="H7738" t="s">
        <v>17778</v>
      </c>
    </row>
    <row r="7739" spans="8:8" x14ac:dyDescent="0.25">
      <c r="H7739" t="s">
        <v>30</v>
      </c>
    </row>
    <row r="7740" spans="8:8" x14ac:dyDescent="0.25">
      <c r="H7740" t="s">
        <v>137</v>
      </c>
    </row>
    <row r="7741" spans="8:8" x14ac:dyDescent="0.25">
      <c r="H7741" t="s">
        <v>17779</v>
      </c>
    </row>
    <row r="7742" spans="8:8" x14ac:dyDescent="0.25">
      <c r="H7742" t="s">
        <v>30</v>
      </c>
    </row>
    <row r="7743" spans="8:8" x14ac:dyDescent="0.25">
      <c r="H7743" t="s">
        <v>138</v>
      </c>
    </row>
    <row r="7744" spans="8:8" x14ac:dyDescent="0.25">
      <c r="H7744" t="s">
        <v>17780</v>
      </c>
    </row>
    <row r="7745" spans="8:8" x14ac:dyDescent="0.25">
      <c r="H7745" t="s">
        <v>30</v>
      </c>
    </row>
    <row r="7747" spans="8:8" x14ac:dyDescent="0.25">
      <c r="H7747" t="s">
        <v>11539</v>
      </c>
    </row>
    <row r="7748" spans="8:8" x14ac:dyDescent="0.25">
      <c r="H7748" t="s">
        <v>11540</v>
      </c>
    </row>
    <row r="7749" spans="8:8" x14ac:dyDescent="0.25">
      <c r="H7749" t="s">
        <v>135</v>
      </c>
    </row>
    <row r="7750" spans="8:8" x14ac:dyDescent="0.25">
      <c r="H7750" t="s">
        <v>17781</v>
      </c>
    </row>
    <row r="7751" spans="8:8" x14ac:dyDescent="0.25">
      <c r="H7751" t="s">
        <v>30</v>
      </c>
    </row>
    <row r="7752" spans="8:8" x14ac:dyDescent="0.25">
      <c r="H7752" t="s">
        <v>136</v>
      </c>
    </row>
    <row r="7753" spans="8:8" x14ac:dyDescent="0.25">
      <c r="H7753" t="s">
        <v>17782</v>
      </c>
    </row>
    <row r="7754" spans="8:8" x14ac:dyDescent="0.25">
      <c r="H7754" t="s">
        <v>30</v>
      </c>
    </row>
    <row r="7755" spans="8:8" x14ac:dyDescent="0.25">
      <c r="H7755" t="s">
        <v>137</v>
      </c>
    </row>
    <row r="7756" spans="8:8" x14ac:dyDescent="0.25">
      <c r="H7756" t="s">
        <v>17783</v>
      </c>
    </row>
    <row r="7757" spans="8:8" x14ac:dyDescent="0.25">
      <c r="H7757" t="s">
        <v>30</v>
      </c>
    </row>
    <row r="7758" spans="8:8" x14ac:dyDescent="0.25">
      <c r="H7758" t="s">
        <v>138</v>
      </c>
    </row>
    <row r="7759" spans="8:8" x14ac:dyDescent="0.25">
      <c r="H7759" t="s">
        <v>17784</v>
      </c>
    </row>
    <row r="7760" spans="8:8" x14ac:dyDescent="0.25">
      <c r="H7760" t="s">
        <v>30</v>
      </c>
    </row>
    <row r="7762" spans="8:8" x14ac:dyDescent="0.25">
      <c r="H7762" t="s">
        <v>11545</v>
      </c>
    </row>
    <row r="7763" spans="8:8" x14ac:dyDescent="0.25">
      <c r="H7763" t="s">
        <v>11546</v>
      </c>
    </row>
    <row r="7764" spans="8:8" x14ac:dyDescent="0.25">
      <c r="H7764" t="s">
        <v>135</v>
      </c>
    </row>
    <row r="7765" spans="8:8" x14ac:dyDescent="0.25">
      <c r="H7765" t="s">
        <v>17785</v>
      </c>
    </row>
    <row r="7766" spans="8:8" x14ac:dyDescent="0.25">
      <c r="H7766" t="s">
        <v>30</v>
      </c>
    </row>
    <row r="7767" spans="8:8" x14ac:dyDescent="0.25">
      <c r="H7767" t="s">
        <v>136</v>
      </c>
    </row>
    <row r="7768" spans="8:8" x14ac:dyDescent="0.25">
      <c r="H7768" t="s">
        <v>17786</v>
      </c>
    </row>
    <row r="7769" spans="8:8" x14ac:dyDescent="0.25">
      <c r="H7769" t="s">
        <v>30</v>
      </c>
    </row>
    <row r="7770" spans="8:8" x14ac:dyDescent="0.25">
      <c r="H7770" t="s">
        <v>137</v>
      </c>
    </row>
    <row r="7771" spans="8:8" x14ac:dyDescent="0.25">
      <c r="H7771" t="s">
        <v>17787</v>
      </c>
    </row>
    <row r="7772" spans="8:8" x14ac:dyDescent="0.25">
      <c r="H7772" t="s">
        <v>30</v>
      </c>
    </row>
    <row r="7773" spans="8:8" x14ac:dyDescent="0.25">
      <c r="H7773" t="s">
        <v>138</v>
      </c>
    </row>
    <row r="7774" spans="8:8" x14ac:dyDescent="0.25">
      <c r="H7774" t="s">
        <v>17788</v>
      </c>
    </row>
    <row r="7775" spans="8:8" x14ac:dyDescent="0.25">
      <c r="H7775" t="s">
        <v>30</v>
      </c>
    </row>
    <row r="7777" spans="8:8" x14ac:dyDescent="0.25">
      <c r="H7777" t="s">
        <v>11551</v>
      </c>
    </row>
    <row r="7778" spans="8:8" x14ac:dyDescent="0.25">
      <c r="H7778" t="s">
        <v>11552</v>
      </c>
    </row>
    <row r="7779" spans="8:8" x14ac:dyDescent="0.25">
      <c r="H7779" t="s">
        <v>135</v>
      </c>
    </row>
    <row r="7780" spans="8:8" x14ac:dyDescent="0.25">
      <c r="H7780" t="s">
        <v>17789</v>
      </c>
    </row>
    <row r="7781" spans="8:8" x14ac:dyDescent="0.25">
      <c r="H7781" t="s">
        <v>30</v>
      </c>
    </row>
    <row r="7782" spans="8:8" x14ac:dyDescent="0.25">
      <c r="H7782" t="s">
        <v>136</v>
      </c>
    </row>
    <row r="7783" spans="8:8" x14ac:dyDescent="0.25">
      <c r="H7783" t="s">
        <v>17790</v>
      </c>
    </row>
    <row r="7784" spans="8:8" x14ac:dyDescent="0.25">
      <c r="H7784" t="s">
        <v>30</v>
      </c>
    </row>
    <row r="7785" spans="8:8" x14ac:dyDescent="0.25">
      <c r="H7785" t="s">
        <v>137</v>
      </c>
    </row>
    <row r="7786" spans="8:8" x14ac:dyDescent="0.25">
      <c r="H7786" t="s">
        <v>17791</v>
      </c>
    </row>
    <row r="7787" spans="8:8" x14ac:dyDescent="0.25">
      <c r="H7787" t="s">
        <v>30</v>
      </c>
    </row>
    <row r="7788" spans="8:8" x14ac:dyDescent="0.25">
      <c r="H7788" t="s">
        <v>138</v>
      </c>
    </row>
    <row r="7789" spans="8:8" x14ac:dyDescent="0.25">
      <c r="H7789" t="s">
        <v>17792</v>
      </c>
    </row>
    <row r="7790" spans="8:8" x14ac:dyDescent="0.25">
      <c r="H7790" t="s">
        <v>30</v>
      </c>
    </row>
    <row r="7792" spans="8:8" x14ac:dyDescent="0.25">
      <c r="H7792" t="s">
        <v>11557</v>
      </c>
    </row>
    <row r="7793" spans="8:8" x14ac:dyDescent="0.25">
      <c r="H7793" t="s">
        <v>11558</v>
      </c>
    </row>
    <row r="7794" spans="8:8" x14ac:dyDescent="0.25">
      <c r="H7794" t="s">
        <v>135</v>
      </c>
    </row>
    <row r="7795" spans="8:8" x14ac:dyDescent="0.25">
      <c r="H7795" t="s">
        <v>17793</v>
      </c>
    </row>
    <row r="7796" spans="8:8" x14ac:dyDescent="0.25">
      <c r="H7796" t="s">
        <v>30</v>
      </c>
    </row>
    <row r="7797" spans="8:8" x14ac:dyDescent="0.25">
      <c r="H7797" t="s">
        <v>136</v>
      </c>
    </row>
    <row r="7798" spans="8:8" x14ac:dyDescent="0.25">
      <c r="H7798" t="s">
        <v>17794</v>
      </c>
    </row>
    <row r="7799" spans="8:8" x14ac:dyDescent="0.25">
      <c r="H7799" t="s">
        <v>30</v>
      </c>
    </row>
    <row r="7800" spans="8:8" x14ac:dyDescent="0.25">
      <c r="H7800" t="s">
        <v>137</v>
      </c>
    </row>
    <row r="7801" spans="8:8" x14ac:dyDescent="0.25">
      <c r="H7801" t="s">
        <v>17795</v>
      </c>
    </row>
    <row r="7802" spans="8:8" x14ac:dyDescent="0.25">
      <c r="H7802" t="s">
        <v>30</v>
      </c>
    </row>
    <row r="7803" spans="8:8" x14ac:dyDescent="0.25">
      <c r="H7803" t="s">
        <v>138</v>
      </c>
    </row>
    <row r="7804" spans="8:8" x14ac:dyDescent="0.25">
      <c r="H7804" t="s">
        <v>17796</v>
      </c>
    </row>
    <row r="7805" spans="8:8" x14ac:dyDescent="0.25">
      <c r="H7805" t="s">
        <v>30</v>
      </c>
    </row>
    <row r="7807" spans="8:8" x14ac:dyDescent="0.25">
      <c r="H7807" t="s">
        <v>11563</v>
      </c>
    </row>
    <row r="7808" spans="8:8" x14ac:dyDescent="0.25">
      <c r="H7808" t="s">
        <v>11564</v>
      </c>
    </row>
    <row r="7809" spans="8:8" x14ac:dyDescent="0.25">
      <c r="H7809" t="s">
        <v>135</v>
      </c>
    </row>
    <row r="7810" spans="8:8" x14ac:dyDescent="0.25">
      <c r="H7810" t="s">
        <v>17797</v>
      </c>
    </row>
    <row r="7811" spans="8:8" x14ac:dyDescent="0.25">
      <c r="H7811" t="s">
        <v>30</v>
      </c>
    </row>
    <row r="7812" spans="8:8" x14ac:dyDescent="0.25">
      <c r="H7812" t="s">
        <v>136</v>
      </c>
    </row>
    <row r="7813" spans="8:8" x14ac:dyDescent="0.25">
      <c r="H7813" t="s">
        <v>17798</v>
      </c>
    </row>
    <row r="7814" spans="8:8" x14ac:dyDescent="0.25">
      <c r="H7814" t="s">
        <v>30</v>
      </c>
    </row>
    <row r="7815" spans="8:8" x14ac:dyDescent="0.25">
      <c r="H7815" t="s">
        <v>137</v>
      </c>
    </row>
    <row r="7816" spans="8:8" x14ac:dyDescent="0.25">
      <c r="H7816" t="s">
        <v>17799</v>
      </c>
    </row>
    <row r="7817" spans="8:8" x14ac:dyDescent="0.25">
      <c r="H7817" t="s">
        <v>30</v>
      </c>
    </row>
    <row r="7818" spans="8:8" x14ac:dyDescent="0.25">
      <c r="H7818" t="s">
        <v>138</v>
      </c>
    </row>
    <row r="7819" spans="8:8" x14ac:dyDescent="0.25">
      <c r="H7819" t="s">
        <v>17800</v>
      </c>
    </row>
    <row r="7820" spans="8:8" x14ac:dyDescent="0.25">
      <c r="H7820" t="s">
        <v>30</v>
      </c>
    </row>
    <row r="7822" spans="8:8" x14ac:dyDescent="0.25">
      <c r="H7822" t="s">
        <v>11569</v>
      </c>
    </row>
    <row r="7823" spans="8:8" x14ac:dyDescent="0.25">
      <c r="H7823" t="s">
        <v>11570</v>
      </c>
    </row>
    <row r="7824" spans="8:8" x14ac:dyDescent="0.25">
      <c r="H7824" t="s">
        <v>135</v>
      </c>
    </row>
    <row r="7825" spans="8:8" x14ac:dyDescent="0.25">
      <c r="H7825" t="s">
        <v>17801</v>
      </c>
    </row>
    <row r="7826" spans="8:8" x14ac:dyDescent="0.25">
      <c r="H7826" t="s">
        <v>30</v>
      </c>
    </row>
    <row r="7827" spans="8:8" x14ac:dyDescent="0.25">
      <c r="H7827" t="s">
        <v>136</v>
      </c>
    </row>
    <row r="7828" spans="8:8" x14ac:dyDescent="0.25">
      <c r="H7828" t="s">
        <v>17802</v>
      </c>
    </row>
    <row r="7829" spans="8:8" x14ac:dyDescent="0.25">
      <c r="H7829" t="s">
        <v>30</v>
      </c>
    </row>
    <row r="7830" spans="8:8" x14ac:dyDescent="0.25">
      <c r="H7830" t="s">
        <v>137</v>
      </c>
    </row>
    <row r="7831" spans="8:8" x14ac:dyDescent="0.25">
      <c r="H7831" t="s">
        <v>17803</v>
      </c>
    </row>
    <row r="7832" spans="8:8" x14ac:dyDescent="0.25">
      <c r="H7832" t="s">
        <v>30</v>
      </c>
    </row>
    <row r="7833" spans="8:8" x14ac:dyDescent="0.25">
      <c r="H7833" t="s">
        <v>138</v>
      </c>
    </row>
    <row r="7834" spans="8:8" x14ac:dyDescent="0.25">
      <c r="H7834" t="s">
        <v>17804</v>
      </c>
    </row>
    <row r="7835" spans="8:8" x14ac:dyDescent="0.25">
      <c r="H7835" t="s">
        <v>30</v>
      </c>
    </row>
    <row r="7837" spans="8:8" x14ac:dyDescent="0.25">
      <c r="H7837" t="s">
        <v>11575</v>
      </c>
    </row>
    <row r="7838" spans="8:8" x14ac:dyDescent="0.25">
      <c r="H7838" t="s">
        <v>11576</v>
      </c>
    </row>
    <row r="7839" spans="8:8" x14ac:dyDescent="0.25">
      <c r="H7839" t="s">
        <v>135</v>
      </c>
    </row>
    <row r="7840" spans="8:8" x14ac:dyDescent="0.25">
      <c r="H7840" t="s">
        <v>17805</v>
      </c>
    </row>
    <row r="7841" spans="8:8" x14ac:dyDescent="0.25">
      <c r="H7841" t="s">
        <v>30</v>
      </c>
    </row>
    <row r="7842" spans="8:8" x14ac:dyDescent="0.25">
      <c r="H7842" t="s">
        <v>136</v>
      </c>
    </row>
    <row r="7843" spans="8:8" x14ac:dyDescent="0.25">
      <c r="H7843" t="s">
        <v>17806</v>
      </c>
    </row>
    <row r="7844" spans="8:8" x14ac:dyDescent="0.25">
      <c r="H7844" t="s">
        <v>30</v>
      </c>
    </row>
    <row r="7845" spans="8:8" x14ac:dyDescent="0.25">
      <c r="H7845" t="s">
        <v>137</v>
      </c>
    </row>
    <row r="7846" spans="8:8" x14ac:dyDescent="0.25">
      <c r="H7846" t="s">
        <v>17807</v>
      </c>
    </row>
    <row r="7847" spans="8:8" x14ac:dyDescent="0.25">
      <c r="H7847" t="s">
        <v>30</v>
      </c>
    </row>
    <row r="7848" spans="8:8" x14ac:dyDescent="0.25">
      <c r="H7848" t="s">
        <v>138</v>
      </c>
    </row>
    <row r="7849" spans="8:8" x14ac:dyDescent="0.25">
      <c r="H7849" t="s">
        <v>17808</v>
      </c>
    </row>
    <row r="7850" spans="8:8" x14ac:dyDescent="0.25">
      <c r="H7850" t="s">
        <v>30</v>
      </c>
    </row>
    <row r="7852" spans="8:8" x14ac:dyDescent="0.25">
      <c r="H7852" t="s">
        <v>11581</v>
      </c>
    </row>
    <row r="7853" spans="8:8" x14ac:dyDescent="0.25">
      <c r="H7853" t="s">
        <v>11582</v>
      </c>
    </row>
    <row r="7854" spans="8:8" x14ac:dyDescent="0.25">
      <c r="H7854" t="s">
        <v>135</v>
      </c>
    </row>
    <row r="7855" spans="8:8" x14ac:dyDescent="0.25">
      <c r="H7855" t="s">
        <v>17809</v>
      </c>
    </row>
    <row r="7856" spans="8:8" x14ac:dyDescent="0.25">
      <c r="H7856" t="s">
        <v>30</v>
      </c>
    </row>
    <row r="7857" spans="8:8" x14ac:dyDescent="0.25">
      <c r="H7857" t="s">
        <v>136</v>
      </c>
    </row>
    <row r="7858" spans="8:8" x14ac:dyDescent="0.25">
      <c r="H7858" t="s">
        <v>17810</v>
      </c>
    </row>
    <row r="7859" spans="8:8" x14ac:dyDescent="0.25">
      <c r="H7859" t="s">
        <v>30</v>
      </c>
    </row>
    <row r="7860" spans="8:8" x14ac:dyDescent="0.25">
      <c r="H7860" t="s">
        <v>137</v>
      </c>
    </row>
    <row r="7861" spans="8:8" x14ac:dyDescent="0.25">
      <c r="H7861" t="s">
        <v>17811</v>
      </c>
    </row>
    <row r="7862" spans="8:8" x14ac:dyDescent="0.25">
      <c r="H7862" t="s">
        <v>30</v>
      </c>
    </row>
    <row r="7863" spans="8:8" x14ac:dyDescent="0.25">
      <c r="H7863" t="s">
        <v>138</v>
      </c>
    </row>
    <row r="7864" spans="8:8" x14ac:dyDescent="0.25">
      <c r="H7864" t="s">
        <v>17812</v>
      </c>
    </row>
    <row r="7865" spans="8:8" x14ac:dyDescent="0.25">
      <c r="H7865" t="s">
        <v>30</v>
      </c>
    </row>
    <row r="7867" spans="8:8" x14ac:dyDescent="0.25">
      <c r="H7867" t="s">
        <v>11587</v>
      </c>
    </row>
    <row r="7868" spans="8:8" x14ac:dyDescent="0.25">
      <c r="H7868" t="s">
        <v>11588</v>
      </c>
    </row>
    <row r="7869" spans="8:8" x14ac:dyDescent="0.25">
      <c r="H7869" t="s">
        <v>135</v>
      </c>
    </row>
    <row r="7870" spans="8:8" x14ac:dyDescent="0.25">
      <c r="H7870" t="s">
        <v>17813</v>
      </c>
    </row>
    <row r="7871" spans="8:8" x14ac:dyDescent="0.25">
      <c r="H7871" t="s">
        <v>30</v>
      </c>
    </row>
    <row r="7872" spans="8:8" x14ac:dyDescent="0.25">
      <c r="H7872" t="s">
        <v>136</v>
      </c>
    </row>
    <row r="7873" spans="8:8" x14ac:dyDescent="0.25">
      <c r="H7873" t="s">
        <v>17814</v>
      </c>
    </row>
    <row r="7874" spans="8:8" x14ac:dyDescent="0.25">
      <c r="H7874" t="s">
        <v>30</v>
      </c>
    </row>
    <row r="7875" spans="8:8" x14ac:dyDescent="0.25">
      <c r="H7875" t="s">
        <v>137</v>
      </c>
    </row>
    <row r="7876" spans="8:8" x14ac:dyDescent="0.25">
      <c r="H7876" t="s">
        <v>17815</v>
      </c>
    </row>
    <row r="7877" spans="8:8" x14ac:dyDescent="0.25">
      <c r="H7877" t="s">
        <v>30</v>
      </c>
    </row>
    <row r="7878" spans="8:8" x14ac:dyDescent="0.25">
      <c r="H7878" t="s">
        <v>138</v>
      </c>
    </row>
    <row r="7879" spans="8:8" x14ac:dyDescent="0.25">
      <c r="H7879" t="s">
        <v>17816</v>
      </c>
    </row>
    <row r="7880" spans="8:8" x14ac:dyDescent="0.25">
      <c r="H7880" t="s">
        <v>30</v>
      </c>
    </row>
    <row r="7882" spans="8:8" x14ac:dyDescent="0.25">
      <c r="H7882" t="s">
        <v>11593</v>
      </c>
    </row>
    <row r="7883" spans="8:8" x14ac:dyDescent="0.25">
      <c r="H7883" t="s">
        <v>11594</v>
      </c>
    </row>
    <row r="7884" spans="8:8" x14ac:dyDescent="0.25">
      <c r="H7884" t="s">
        <v>135</v>
      </c>
    </row>
    <row r="7885" spans="8:8" x14ac:dyDescent="0.25">
      <c r="H7885" t="s">
        <v>17817</v>
      </c>
    </row>
    <row r="7886" spans="8:8" x14ac:dyDescent="0.25">
      <c r="H7886" t="s">
        <v>30</v>
      </c>
    </row>
    <row r="7887" spans="8:8" x14ac:dyDescent="0.25">
      <c r="H7887" t="s">
        <v>136</v>
      </c>
    </row>
    <row r="7888" spans="8:8" x14ac:dyDescent="0.25">
      <c r="H7888" t="s">
        <v>17818</v>
      </c>
    </row>
    <row r="7889" spans="8:8" x14ac:dyDescent="0.25">
      <c r="H7889" t="s">
        <v>30</v>
      </c>
    </row>
    <row r="7890" spans="8:8" x14ac:dyDescent="0.25">
      <c r="H7890" t="s">
        <v>137</v>
      </c>
    </row>
    <row r="7891" spans="8:8" x14ac:dyDescent="0.25">
      <c r="H7891" t="s">
        <v>17819</v>
      </c>
    </row>
    <row r="7892" spans="8:8" x14ac:dyDescent="0.25">
      <c r="H7892" t="s">
        <v>30</v>
      </c>
    </row>
    <row r="7893" spans="8:8" x14ac:dyDescent="0.25">
      <c r="H7893" t="s">
        <v>138</v>
      </c>
    </row>
    <row r="7894" spans="8:8" x14ac:dyDescent="0.25">
      <c r="H7894" t="s">
        <v>17820</v>
      </c>
    </row>
    <row r="7895" spans="8:8" x14ac:dyDescent="0.25">
      <c r="H7895" t="s">
        <v>30</v>
      </c>
    </row>
    <row r="7897" spans="8:8" x14ac:dyDescent="0.25">
      <c r="H7897" t="s">
        <v>11599</v>
      </c>
    </row>
    <row r="7898" spans="8:8" x14ac:dyDescent="0.25">
      <c r="H7898" t="s">
        <v>11600</v>
      </c>
    </row>
    <row r="7899" spans="8:8" x14ac:dyDescent="0.25">
      <c r="H7899" t="s">
        <v>135</v>
      </c>
    </row>
    <row r="7900" spans="8:8" x14ac:dyDescent="0.25">
      <c r="H7900" t="s">
        <v>17821</v>
      </c>
    </row>
    <row r="7901" spans="8:8" x14ac:dyDescent="0.25">
      <c r="H7901" t="s">
        <v>30</v>
      </c>
    </row>
    <row r="7902" spans="8:8" x14ac:dyDescent="0.25">
      <c r="H7902" t="s">
        <v>136</v>
      </c>
    </row>
    <row r="7903" spans="8:8" x14ac:dyDescent="0.25">
      <c r="H7903" t="s">
        <v>17822</v>
      </c>
    </row>
    <row r="7904" spans="8:8" x14ac:dyDescent="0.25">
      <c r="H7904" t="s">
        <v>30</v>
      </c>
    </row>
    <row r="7905" spans="8:8" x14ac:dyDescent="0.25">
      <c r="H7905" t="s">
        <v>137</v>
      </c>
    </row>
    <row r="7906" spans="8:8" x14ac:dyDescent="0.25">
      <c r="H7906" t="s">
        <v>17823</v>
      </c>
    </row>
    <row r="7907" spans="8:8" x14ac:dyDescent="0.25">
      <c r="H7907" t="s">
        <v>30</v>
      </c>
    </row>
    <row r="7908" spans="8:8" x14ac:dyDescent="0.25">
      <c r="H7908" t="s">
        <v>138</v>
      </c>
    </row>
    <row r="7909" spans="8:8" x14ac:dyDescent="0.25">
      <c r="H7909" t="s">
        <v>17824</v>
      </c>
    </row>
    <row r="7910" spans="8:8" x14ac:dyDescent="0.25">
      <c r="H7910" t="s">
        <v>30</v>
      </c>
    </row>
    <row r="7912" spans="8:8" x14ac:dyDescent="0.25">
      <c r="H7912" t="s">
        <v>11605</v>
      </c>
    </row>
    <row r="7913" spans="8:8" x14ac:dyDescent="0.25">
      <c r="H7913" t="s">
        <v>11606</v>
      </c>
    </row>
    <row r="7914" spans="8:8" x14ac:dyDescent="0.25">
      <c r="H7914" t="s">
        <v>135</v>
      </c>
    </row>
    <row r="7915" spans="8:8" x14ac:dyDescent="0.25">
      <c r="H7915" t="s">
        <v>17825</v>
      </c>
    </row>
    <row r="7916" spans="8:8" x14ac:dyDescent="0.25">
      <c r="H7916" t="s">
        <v>30</v>
      </c>
    </row>
    <row r="7917" spans="8:8" x14ac:dyDescent="0.25">
      <c r="H7917" t="s">
        <v>136</v>
      </c>
    </row>
    <row r="7918" spans="8:8" x14ac:dyDescent="0.25">
      <c r="H7918" t="s">
        <v>17826</v>
      </c>
    </row>
    <row r="7919" spans="8:8" x14ac:dyDescent="0.25">
      <c r="H7919" t="s">
        <v>30</v>
      </c>
    </row>
    <row r="7920" spans="8:8" x14ac:dyDescent="0.25">
      <c r="H7920" t="s">
        <v>137</v>
      </c>
    </row>
    <row r="7921" spans="8:8" x14ac:dyDescent="0.25">
      <c r="H7921" t="s">
        <v>17827</v>
      </c>
    </row>
    <row r="7922" spans="8:8" x14ac:dyDescent="0.25">
      <c r="H7922" t="s">
        <v>30</v>
      </c>
    </row>
    <row r="7923" spans="8:8" x14ac:dyDescent="0.25">
      <c r="H7923" t="s">
        <v>138</v>
      </c>
    </row>
    <row r="7924" spans="8:8" x14ac:dyDescent="0.25">
      <c r="H7924" t="s">
        <v>17828</v>
      </c>
    </row>
    <row r="7925" spans="8:8" x14ac:dyDescent="0.25">
      <c r="H7925" t="s">
        <v>30</v>
      </c>
    </row>
    <row r="7927" spans="8:8" x14ac:dyDescent="0.25">
      <c r="H7927" t="s">
        <v>11611</v>
      </c>
    </row>
    <row r="7928" spans="8:8" x14ac:dyDescent="0.25">
      <c r="H7928" t="s">
        <v>11612</v>
      </c>
    </row>
    <row r="7929" spans="8:8" x14ac:dyDescent="0.25">
      <c r="H7929" t="s">
        <v>135</v>
      </c>
    </row>
    <row r="7930" spans="8:8" x14ac:dyDescent="0.25">
      <c r="H7930" t="s">
        <v>17829</v>
      </c>
    </row>
    <row r="7931" spans="8:8" x14ac:dyDescent="0.25">
      <c r="H7931" t="s">
        <v>30</v>
      </c>
    </row>
    <row r="7932" spans="8:8" x14ac:dyDescent="0.25">
      <c r="H7932" t="s">
        <v>136</v>
      </c>
    </row>
    <row r="7933" spans="8:8" x14ac:dyDescent="0.25">
      <c r="H7933" t="s">
        <v>17830</v>
      </c>
    </row>
    <row r="7934" spans="8:8" x14ac:dyDescent="0.25">
      <c r="H7934" t="s">
        <v>30</v>
      </c>
    </row>
    <row r="7935" spans="8:8" x14ac:dyDescent="0.25">
      <c r="H7935" t="s">
        <v>137</v>
      </c>
    </row>
    <row r="7936" spans="8:8" x14ac:dyDescent="0.25">
      <c r="H7936" t="s">
        <v>17831</v>
      </c>
    </row>
    <row r="7937" spans="8:8" x14ac:dyDescent="0.25">
      <c r="H7937" t="s">
        <v>30</v>
      </c>
    </row>
    <row r="7938" spans="8:8" x14ac:dyDescent="0.25">
      <c r="H7938" t="s">
        <v>138</v>
      </c>
    </row>
    <row r="7939" spans="8:8" x14ac:dyDescent="0.25">
      <c r="H7939" t="s">
        <v>17832</v>
      </c>
    </row>
    <row r="7940" spans="8:8" x14ac:dyDescent="0.25">
      <c r="H7940" t="s">
        <v>30</v>
      </c>
    </row>
    <row r="7942" spans="8:8" x14ac:dyDescent="0.25">
      <c r="H7942" t="s">
        <v>11617</v>
      </c>
    </row>
    <row r="7943" spans="8:8" x14ac:dyDescent="0.25">
      <c r="H7943" t="s">
        <v>11618</v>
      </c>
    </row>
    <row r="7944" spans="8:8" x14ac:dyDescent="0.25">
      <c r="H7944" t="s">
        <v>135</v>
      </c>
    </row>
    <row r="7945" spans="8:8" x14ac:dyDescent="0.25">
      <c r="H7945" t="s">
        <v>17833</v>
      </c>
    </row>
    <row r="7946" spans="8:8" x14ac:dyDescent="0.25">
      <c r="H7946" t="s">
        <v>30</v>
      </c>
    </row>
    <row r="7947" spans="8:8" x14ac:dyDescent="0.25">
      <c r="H7947" t="s">
        <v>136</v>
      </c>
    </row>
    <row r="7948" spans="8:8" x14ac:dyDescent="0.25">
      <c r="H7948" t="s">
        <v>17834</v>
      </c>
    </row>
    <row r="7949" spans="8:8" x14ac:dyDescent="0.25">
      <c r="H7949" t="s">
        <v>30</v>
      </c>
    </row>
    <row r="7950" spans="8:8" x14ac:dyDescent="0.25">
      <c r="H7950" t="s">
        <v>137</v>
      </c>
    </row>
    <row r="7951" spans="8:8" x14ac:dyDescent="0.25">
      <c r="H7951" t="s">
        <v>17835</v>
      </c>
    </row>
    <row r="7952" spans="8:8" x14ac:dyDescent="0.25">
      <c r="H7952" t="s">
        <v>30</v>
      </c>
    </row>
    <row r="7953" spans="8:8" x14ac:dyDescent="0.25">
      <c r="H7953" t="s">
        <v>138</v>
      </c>
    </row>
    <row r="7954" spans="8:8" x14ac:dyDescent="0.25">
      <c r="H7954" t="s">
        <v>17836</v>
      </c>
    </row>
    <row r="7955" spans="8:8" x14ac:dyDescent="0.25">
      <c r="H7955" t="s">
        <v>30</v>
      </c>
    </row>
    <row r="7957" spans="8:8" x14ac:dyDescent="0.25">
      <c r="H7957" t="s">
        <v>11623</v>
      </c>
    </row>
    <row r="7958" spans="8:8" x14ac:dyDescent="0.25">
      <c r="H7958" t="s">
        <v>11624</v>
      </c>
    </row>
    <row r="7959" spans="8:8" x14ac:dyDescent="0.25">
      <c r="H7959" t="s">
        <v>135</v>
      </c>
    </row>
    <row r="7960" spans="8:8" x14ac:dyDescent="0.25">
      <c r="H7960" t="s">
        <v>17837</v>
      </c>
    </row>
    <row r="7961" spans="8:8" x14ac:dyDescent="0.25">
      <c r="H7961" t="s">
        <v>30</v>
      </c>
    </row>
    <row r="7962" spans="8:8" x14ac:dyDescent="0.25">
      <c r="H7962" t="s">
        <v>136</v>
      </c>
    </row>
    <row r="7963" spans="8:8" x14ac:dyDescent="0.25">
      <c r="H7963" t="s">
        <v>17838</v>
      </c>
    </row>
    <row r="7964" spans="8:8" x14ac:dyDescent="0.25">
      <c r="H7964" t="s">
        <v>30</v>
      </c>
    </row>
    <row r="7965" spans="8:8" x14ac:dyDescent="0.25">
      <c r="H7965" t="s">
        <v>137</v>
      </c>
    </row>
    <row r="7966" spans="8:8" x14ac:dyDescent="0.25">
      <c r="H7966" t="s">
        <v>17839</v>
      </c>
    </row>
    <row r="7967" spans="8:8" x14ac:dyDescent="0.25">
      <c r="H7967" t="s">
        <v>30</v>
      </c>
    </row>
    <row r="7968" spans="8:8" x14ac:dyDescent="0.25">
      <c r="H7968" t="s">
        <v>138</v>
      </c>
    </row>
    <row r="7969" spans="8:8" x14ac:dyDescent="0.25">
      <c r="H7969" t="s">
        <v>17840</v>
      </c>
    </row>
    <row r="7970" spans="8:8" x14ac:dyDescent="0.25">
      <c r="H7970" t="s">
        <v>30</v>
      </c>
    </row>
    <row r="7972" spans="8:8" x14ac:dyDescent="0.25">
      <c r="H7972" t="s">
        <v>11629</v>
      </c>
    </row>
    <row r="7973" spans="8:8" x14ac:dyDescent="0.25">
      <c r="H7973" t="s">
        <v>11630</v>
      </c>
    </row>
    <row r="7974" spans="8:8" x14ac:dyDescent="0.25">
      <c r="H7974" t="s">
        <v>135</v>
      </c>
    </row>
    <row r="7975" spans="8:8" x14ac:dyDescent="0.25">
      <c r="H7975" t="s">
        <v>17841</v>
      </c>
    </row>
    <row r="7976" spans="8:8" x14ac:dyDescent="0.25">
      <c r="H7976" t="s">
        <v>30</v>
      </c>
    </row>
    <row r="7977" spans="8:8" x14ac:dyDescent="0.25">
      <c r="H7977" t="s">
        <v>136</v>
      </c>
    </row>
    <row r="7978" spans="8:8" x14ac:dyDescent="0.25">
      <c r="H7978" t="s">
        <v>17842</v>
      </c>
    </row>
    <row r="7979" spans="8:8" x14ac:dyDescent="0.25">
      <c r="H7979" t="s">
        <v>30</v>
      </c>
    </row>
    <row r="7980" spans="8:8" x14ac:dyDescent="0.25">
      <c r="H7980" t="s">
        <v>137</v>
      </c>
    </row>
    <row r="7981" spans="8:8" x14ac:dyDescent="0.25">
      <c r="H7981" t="s">
        <v>17843</v>
      </c>
    </row>
    <row r="7982" spans="8:8" x14ac:dyDescent="0.25">
      <c r="H7982" t="s">
        <v>30</v>
      </c>
    </row>
    <row r="7983" spans="8:8" x14ac:dyDescent="0.25">
      <c r="H7983" t="s">
        <v>138</v>
      </c>
    </row>
    <row r="7984" spans="8:8" x14ac:dyDescent="0.25">
      <c r="H7984" t="s">
        <v>17844</v>
      </c>
    </row>
    <row r="7985" spans="8:8" x14ac:dyDescent="0.25">
      <c r="H7985" t="s">
        <v>30</v>
      </c>
    </row>
    <row r="7987" spans="8:8" x14ac:dyDescent="0.25">
      <c r="H7987" t="s">
        <v>11635</v>
      </c>
    </row>
    <row r="7988" spans="8:8" x14ac:dyDescent="0.25">
      <c r="H7988" t="s">
        <v>11636</v>
      </c>
    </row>
    <row r="7989" spans="8:8" x14ac:dyDescent="0.25">
      <c r="H7989" t="s">
        <v>135</v>
      </c>
    </row>
    <row r="7990" spans="8:8" x14ac:dyDescent="0.25">
      <c r="H7990" t="s">
        <v>17845</v>
      </c>
    </row>
    <row r="7991" spans="8:8" x14ac:dyDescent="0.25">
      <c r="H7991" t="s">
        <v>30</v>
      </c>
    </row>
    <row r="7992" spans="8:8" x14ac:dyDescent="0.25">
      <c r="H7992" t="s">
        <v>136</v>
      </c>
    </row>
    <row r="7993" spans="8:8" x14ac:dyDescent="0.25">
      <c r="H7993" t="s">
        <v>17846</v>
      </c>
    </row>
    <row r="7994" spans="8:8" x14ac:dyDescent="0.25">
      <c r="H7994" t="s">
        <v>30</v>
      </c>
    </row>
    <row r="7995" spans="8:8" x14ac:dyDescent="0.25">
      <c r="H7995" t="s">
        <v>137</v>
      </c>
    </row>
    <row r="7996" spans="8:8" x14ac:dyDescent="0.25">
      <c r="H7996" t="s">
        <v>17847</v>
      </c>
    </row>
    <row r="7997" spans="8:8" x14ac:dyDescent="0.25">
      <c r="H7997" t="s">
        <v>30</v>
      </c>
    </row>
    <row r="7998" spans="8:8" x14ac:dyDescent="0.25">
      <c r="H7998" t="s">
        <v>138</v>
      </c>
    </row>
    <row r="7999" spans="8:8" x14ac:dyDescent="0.25">
      <c r="H7999" t="s">
        <v>17848</v>
      </c>
    </row>
    <row r="8000" spans="8:8" x14ac:dyDescent="0.25">
      <c r="H8000" t="s">
        <v>30</v>
      </c>
    </row>
    <row r="8002" spans="8:8" x14ac:dyDescent="0.25">
      <c r="H8002" t="s">
        <v>11641</v>
      </c>
    </row>
    <row r="8003" spans="8:8" x14ac:dyDescent="0.25">
      <c r="H8003" t="s">
        <v>11642</v>
      </c>
    </row>
    <row r="8004" spans="8:8" x14ac:dyDescent="0.25">
      <c r="H8004" t="s">
        <v>135</v>
      </c>
    </row>
    <row r="8005" spans="8:8" x14ac:dyDescent="0.25">
      <c r="H8005" t="s">
        <v>17849</v>
      </c>
    </row>
    <row r="8006" spans="8:8" x14ac:dyDescent="0.25">
      <c r="H8006" t="s">
        <v>30</v>
      </c>
    </row>
    <row r="8007" spans="8:8" x14ac:dyDescent="0.25">
      <c r="H8007" t="s">
        <v>136</v>
      </c>
    </row>
    <row r="8008" spans="8:8" x14ac:dyDescent="0.25">
      <c r="H8008" t="s">
        <v>17850</v>
      </c>
    </row>
    <row r="8009" spans="8:8" x14ac:dyDescent="0.25">
      <c r="H8009" t="s">
        <v>30</v>
      </c>
    </row>
    <row r="8010" spans="8:8" x14ac:dyDescent="0.25">
      <c r="H8010" t="s">
        <v>137</v>
      </c>
    </row>
    <row r="8011" spans="8:8" x14ac:dyDescent="0.25">
      <c r="H8011" t="s">
        <v>17851</v>
      </c>
    </row>
    <row r="8012" spans="8:8" x14ac:dyDescent="0.25">
      <c r="H8012" t="s">
        <v>30</v>
      </c>
    </row>
    <row r="8013" spans="8:8" x14ac:dyDescent="0.25">
      <c r="H8013" t="s">
        <v>138</v>
      </c>
    </row>
    <row r="8014" spans="8:8" x14ac:dyDescent="0.25">
      <c r="H8014" t="s">
        <v>17852</v>
      </c>
    </row>
    <row r="8015" spans="8:8" x14ac:dyDescent="0.25">
      <c r="H8015" t="s">
        <v>30</v>
      </c>
    </row>
    <row r="8017" spans="8:8" x14ac:dyDescent="0.25">
      <c r="H8017" t="s">
        <v>11647</v>
      </c>
    </row>
    <row r="8018" spans="8:8" x14ac:dyDescent="0.25">
      <c r="H8018" t="s">
        <v>11648</v>
      </c>
    </row>
    <row r="8019" spans="8:8" x14ac:dyDescent="0.25">
      <c r="H8019" t="s">
        <v>135</v>
      </c>
    </row>
    <row r="8020" spans="8:8" x14ac:dyDescent="0.25">
      <c r="H8020" t="s">
        <v>17853</v>
      </c>
    </row>
    <row r="8021" spans="8:8" x14ac:dyDescent="0.25">
      <c r="H8021" t="s">
        <v>30</v>
      </c>
    </row>
    <row r="8022" spans="8:8" x14ac:dyDescent="0.25">
      <c r="H8022" t="s">
        <v>136</v>
      </c>
    </row>
    <row r="8023" spans="8:8" x14ac:dyDescent="0.25">
      <c r="H8023" t="s">
        <v>17854</v>
      </c>
    </row>
    <row r="8024" spans="8:8" x14ac:dyDescent="0.25">
      <c r="H8024" t="s">
        <v>30</v>
      </c>
    </row>
    <row r="8025" spans="8:8" x14ac:dyDescent="0.25">
      <c r="H8025" t="s">
        <v>137</v>
      </c>
    </row>
    <row r="8026" spans="8:8" x14ac:dyDescent="0.25">
      <c r="H8026" t="s">
        <v>17855</v>
      </c>
    </row>
    <row r="8027" spans="8:8" x14ac:dyDescent="0.25">
      <c r="H8027" t="s">
        <v>30</v>
      </c>
    </row>
    <row r="8028" spans="8:8" x14ac:dyDescent="0.25">
      <c r="H8028" t="s">
        <v>138</v>
      </c>
    </row>
    <row r="8029" spans="8:8" x14ac:dyDescent="0.25">
      <c r="H8029" t="s">
        <v>17856</v>
      </c>
    </row>
    <row r="8030" spans="8:8" x14ac:dyDescent="0.25">
      <c r="H8030" t="s">
        <v>30</v>
      </c>
    </row>
    <row r="8032" spans="8:8" x14ac:dyDescent="0.25">
      <c r="H8032" t="s">
        <v>11653</v>
      </c>
    </row>
    <row r="8033" spans="8:8" x14ac:dyDescent="0.25">
      <c r="H8033" t="s">
        <v>11654</v>
      </c>
    </row>
    <row r="8034" spans="8:8" x14ac:dyDescent="0.25">
      <c r="H8034" t="s">
        <v>135</v>
      </c>
    </row>
    <row r="8035" spans="8:8" x14ac:dyDescent="0.25">
      <c r="H8035" t="s">
        <v>17857</v>
      </c>
    </row>
    <row r="8036" spans="8:8" x14ac:dyDescent="0.25">
      <c r="H8036" t="s">
        <v>30</v>
      </c>
    </row>
    <row r="8037" spans="8:8" x14ac:dyDescent="0.25">
      <c r="H8037" t="s">
        <v>136</v>
      </c>
    </row>
    <row r="8038" spans="8:8" x14ac:dyDescent="0.25">
      <c r="H8038" t="s">
        <v>17858</v>
      </c>
    </row>
    <row r="8039" spans="8:8" x14ac:dyDescent="0.25">
      <c r="H8039" t="s">
        <v>30</v>
      </c>
    </row>
    <row r="8040" spans="8:8" x14ac:dyDescent="0.25">
      <c r="H8040" t="s">
        <v>137</v>
      </c>
    </row>
    <row r="8041" spans="8:8" x14ac:dyDescent="0.25">
      <c r="H8041" t="s">
        <v>17859</v>
      </c>
    </row>
    <row r="8042" spans="8:8" x14ac:dyDescent="0.25">
      <c r="H8042" t="s">
        <v>30</v>
      </c>
    </row>
    <row r="8043" spans="8:8" x14ac:dyDescent="0.25">
      <c r="H8043" t="s">
        <v>138</v>
      </c>
    </row>
    <row r="8044" spans="8:8" x14ac:dyDescent="0.25">
      <c r="H8044" t="s">
        <v>17860</v>
      </c>
    </row>
    <row r="8045" spans="8:8" x14ac:dyDescent="0.25">
      <c r="H8045" t="s">
        <v>30</v>
      </c>
    </row>
    <row r="8047" spans="8:8" x14ac:dyDescent="0.25">
      <c r="H8047" t="s">
        <v>11659</v>
      </c>
    </row>
    <row r="8048" spans="8:8" x14ac:dyDescent="0.25">
      <c r="H8048" t="s">
        <v>11660</v>
      </c>
    </row>
    <row r="8049" spans="8:8" x14ac:dyDescent="0.25">
      <c r="H8049" t="s">
        <v>135</v>
      </c>
    </row>
    <row r="8050" spans="8:8" x14ac:dyDescent="0.25">
      <c r="H8050" t="s">
        <v>17861</v>
      </c>
    </row>
    <row r="8051" spans="8:8" x14ac:dyDescent="0.25">
      <c r="H8051" t="s">
        <v>30</v>
      </c>
    </row>
    <row r="8052" spans="8:8" x14ac:dyDescent="0.25">
      <c r="H8052" t="s">
        <v>136</v>
      </c>
    </row>
    <row r="8053" spans="8:8" x14ac:dyDescent="0.25">
      <c r="H8053" t="s">
        <v>17862</v>
      </c>
    </row>
    <row r="8054" spans="8:8" x14ac:dyDescent="0.25">
      <c r="H8054" t="s">
        <v>30</v>
      </c>
    </row>
    <row r="8055" spans="8:8" x14ac:dyDescent="0.25">
      <c r="H8055" t="s">
        <v>137</v>
      </c>
    </row>
    <row r="8056" spans="8:8" x14ac:dyDescent="0.25">
      <c r="H8056" t="s">
        <v>17863</v>
      </c>
    </row>
    <row r="8057" spans="8:8" x14ac:dyDescent="0.25">
      <c r="H8057" t="s">
        <v>30</v>
      </c>
    </row>
    <row r="8058" spans="8:8" x14ac:dyDescent="0.25">
      <c r="H8058" t="s">
        <v>138</v>
      </c>
    </row>
    <row r="8059" spans="8:8" x14ac:dyDescent="0.25">
      <c r="H8059" t="s">
        <v>17864</v>
      </c>
    </row>
    <row r="8060" spans="8:8" x14ac:dyDescent="0.25">
      <c r="H8060" t="s">
        <v>30</v>
      </c>
    </row>
    <row r="8062" spans="8:8" x14ac:dyDescent="0.25">
      <c r="H8062" t="s">
        <v>11665</v>
      </c>
    </row>
    <row r="8063" spans="8:8" x14ac:dyDescent="0.25">
      <c r="H8063" t="s">
        <v>11666</v>
      </c>
    </row>
    <row r="8064" spans="8:8" x14ac:dyDescent="0.25">
      <c r="H8064" t="s">
        <v>135</v>
      </c>
    </row>
    <row r="8065" spans="8:8" x14ac:dyDescent="0.25">
      <c r="H8065" t="s">
        <v>17865</v>
      </c>
    </row>
    <row r="8066" spans="8:8" x14ac:dyDescent="0.25">
      <c r="H8066" t="s">
        <v>30</v>
      </c>
    </row>
    <row r="8067" spans="8:8" x14ac:dyDescent="0.25">
      <c r="H8067" t="s">
        <v>136</v>
      </c>
    </row>
    <row r="8068" spans="8:8" x14ac:dyDescent="0.25">
      <c r="H8068" t="s">
        <v>17866</v>
      </c>
    </row>
    <row r="8069" spans="8:8" x14ac:dyDescent="0.25">
      <c r="H8069" t="s">
        <v>30</v>
      </c>
    </row>
    <row r="8070" spans="8:8" x14ac:dyDescent="0.25">
      <c r="H8070" t="s">
        <v>137</v>
      </c>
    </row>
    <row r="8071" spans="8:8" x14ac:dyDescent="0.25">
      <c r="H8071" t="s">
        <v>17867</v>
      </c>
    </row>
    <row r="8072" spans="8:8" x14ac:dyDescent="0.25">
      <c r="H8072" t="s">
        <v>30</v>
      </c>
    </row>
    <row r="8073" spans="8:8" x14ac:dyDescent="0.25">
      <c r="H8073" t="s">
        <v>138</v>
      </c>
    </row>
    <row r="8074" spans="8:8" x14ac:dyDescent="0.25">
      <c r="H8074" t="s">
        <v>17868</v>
      </c>
    </row>
    <row r="8075" spans="8:8" x14ac:dyDescent="0.25">
      <c r="H8075" t="s">
        <v>30</v>
      </c>
    </row>
    <row r="8077" spans="8:8" x14ac:dyDescent="0.25">
      <c r="H8077" t="s">
        <v>11671</v>
      </c>
    </row>
    <row r="8078" spans="8:8" x14ac:dyDescent="0.25">
      <c r="H8078" t="s">
        <v>11672</v>
      </c>
    </row>
    <row r="8079" spans="8:8" x14ac:dyDescent="0.25">
      <c r="H8079" t="s">
        <v>135</v>
      </c>
    </row>
    <row r="8080" spans="8:8" x14ac:dyDescent="0.25">
      <c r="H8080" t="s">
        <v>17869</v>
      </c>
    </row>
    <row r="8081" spans="8:8" x14ac:dyDescent="0.25">
      <c r="H8081" t="s">
        <v>30</v>
      </c>
    </row>
    <row r="8082" spans="8:8" x14ac:dyDescent="0.25">
      <c r="H8082" t="s">
        <v>136</v>
      </c>
    </row>
    <row r="8083" spans="8:8" x14ac:dyDescent="0.25">
      <c r="H8083" t="s">
        <v>17870</v>
      </c>
    </row>
    <row r="8084" spans="8:8" x14ac:dyDescent="0.25">
      <c r="H8084" t="s">
        <v>30</v>
      </c>
    </row>
    <row r="8085" spans="8:8" x14ac:dyDescent="0.25">
      <c r="H8085" t="s">
        <v>137</v>
      </c>
    </row>
    <row r="8086" spans="8:8" x14ac:dyDescent="0.25">
      <c r="H8086" t="s">
        <v>17871</v>
      </c>
    </row>
    <row r="8087" spans="8:8" x14ac:dyDescent="0.25">
      <c r="H8087" t="s">
        <v>30</v>
      </c>
    </row>
    <row r="8088" spans="8:8" x14ac:dyDescent="0.25">
      <c r="H8088" t="s">
        <v>138</v>
      </c>
    </row>
    <row r="8089" spans="8:8" x14ac:dyDescent="0.25">
      <c r="H8089" t="s">
        <v>17872</v>
      </c>
    </row>
    <row r="8090" spans="8:8" x14ac:dyDescent="0.25">
      <c r="H8090" t="s">
        <v>30</v>
      </c>
    </row>
    <row r="8092" spans="8:8" x14ac:dyDescent="0.25">
      <c r="H8092" t="s">
        <v>11677</v>
      </c>
    </row>
    <row r="8093" spans="8:8" x14ac:dyDescent="0.25">
      <c r="H8093" t="s">
        <v>11678</v>
      </c>
    </row>
    <row r="8094" spans="8:8" x14ac:dyDescent="0.25">
      <c r="H8094" t="s">
        <v>135</v>
      </c>
    </row>
    <row r="8095" spans="8:8" x14ac:dyDescent="0.25">
      <c r="H8095" t="s">
        <v>17873</v>
      </c>
    </row>
    <row r="8096" spans="8:8" x14ac:dyDescent="0.25">
      <c r="H8096" t="s">
        <v>30</v>
      </c>
    </row>
    <row r="8097" spans="8:8" x14ac:dyDescent="0.25">
      <c r="H8097" t="s">
        <v>136</v>
      </c>
    </row>
    <row r="8098" spans="8:8" x14ac:dyDescent="0.25">
      <c r="H8098" t="s">
        <v>17874</v>
      </c>
    </row>
    <row r="8099" spans="8:8" x14ac:dyDescent="0.25">
      <c r="H8099" t="s">
        <v>30</v>
      </c>
    </row>
    <row r="8100" spans="8:8" x14ac:dyDescent="0.25">
      <c r="H8100" t="s">
        <v>137</v>
      </c>
    </row>
    <row r="8101" spans="8:8" x14ac:dyDescent="0.25">
      <c r="H8101" t="s">
        <v>17875</v>
      </c>
    </row>
    <row r="8102" spans="8:8" x14ac:dyDescent="0.25">
      <c r="H8102" t="s">
        <v>30</v>
      </c>
    </row>
    <row r="8103" spans="8:8" x14ac:dyDescent="0.25">
      <c r="H8103" t="s">
        <v>138</v>
      </c>
    </row>
    <row r="8104" spans="8:8" x14ac:dyDescent="0.25">
      <c r="H8104" t="s">
        <v>17876</v>
      </c>
    </row>
    <row r="8105" spans="8:8" x14ac:dyDescent="0.25">
      <c r="H8105" t="s">
        <v>30</v>
      </c>
    </row>
    <row r="8107" spans="8:8" x14ac:dyDescent="0.25">
      <c r="H8107" t="s">
        <v>11683</v>
      </c>
    </row>
    <row r="8108" spans="8:8" x14ac:dyDescent="0.25">
      <c r="H8108" t="s">
        <v>11684</v>
      </c>
    </row>
    <row r="8109" spans="8:8" x14ac:dyDescent="0.25">
      <c r="H8109" t="s">
        <v>135</v>
      </c>
    </row>
    <row r="8110" spans="8:8" x14ac:dyDescent="0.25">
      <c r="H8110" t="s">
        <v>17877</v>
      </c>
    </row>
    <row r="8111" spans="8:8" x14ac:dyDescent="0.25">
      <c r="H8111" t="s">
        <v>30</v>
      </c>
    </row>
    <row r="8112" spans="8:8" x14ac:dyDescent="0.25">
      <c r="H8112" t="s">
        <v>136</v>
      </c>
    </row>
    <row r="8113" spans="8:8" x14ac:dyDescent="0.25">
      <c r="H8113" t="s">
        <v>17878</v>
      </c>
    </row>
    <row r="8114" spans="8:8" x14ac:dyDescent="0.25">
      <c r="H8114" t="s">
        <v>30</v>
      </c>
    </row>
    <row r="8115" spans="8:8" x14ac:dyDescent="0.25">
      <c r="H8115" t="s">
        <v>137</v>
      </c>
    </row>
    <row r="8116" spans="8:8" x14ac:dyDescent="0.25">
      <c r="H8116" t="s">
        <v>17879</v>
      </c>
    </row>
    <row r="8117" spans="8:8" x14ac:dyDescent="0.25">
      <c r="H8117" t="s">
        <v>30</v>
      </c>
    </row>
    <row r="8118" spans="8:8" x14ac:dyDescent="0.25">
      <c r="H8118" t="s">
        <v>138</v>
      </c>
    </row>
    <row r="8119" spans="8:8" x14ac:dyDescent="0.25">
      <c r="H8119" t="s">
        <v>17880</v>
      </c>
    </row>
    <row r="8120" spans="8:8" x14ac:dyDescent="0.25">
      <c r="H8120" t="s">
        <v>30</v>
      </c>
    </row>
    <row r="8122" spans="8:8" x14ac:dyDescent="0.25">
      <c r="H8122" t="s">
        <v>11689</v>
      </c>
    </row>
    <row r="8123" spans="8:8" x14ac:dyDescent="0.25">
      <c r="H8123" t="s">
        <v>11690</v>
      </c>
    </row>
    <row r="8124" spans="8:8" x14ac:dyDescent="0.25">
      <c r="H8124" t="s">
        <v>135</v>
      </c>
    </row>
    <row r="8125" spans="8:8" x14ac:dyDescent="0.25">
      <c r="H8125" t="s">
        <v>17881</v>
      </c>
    </row>
    <row r="8126" spans="8:8" x14ac:dyDescent="0.25">
      <c r="H8126" t="s">
        <v>30</v>
      </c>
    </row>
    <row r="8127" spans="8:8" x14ac:dyDescent="0.25">
      <c r="H8127" t="s">
        <v>136</v>
      </c>
    </row>
    <row r="8128" spans="8:8" x14ac:dyDescent="0.25">
      <c r="H8128" t="s">
        <v>17882</v>
      </c>
    </row>
    <row r="8129" spans="8:8" x14ac:dyDescent="0.25">
      <c r="H8129" t="s">
        <v>30</v>
      </c>
    </row>
    <row r="8130" spans="8:8" x14ac:dyDescent="0.25">
      <c r="H8130" t="s">
        <v>137</v>
      </c>
    </row>
    <row r="8131" spans="8:8" x14ac:dyDescent="0.25">
      <c r="H8131" t="s">
        <v>17883</v>
      </c>
    </row>
    <row r="8132" spans="8:8" x14ac:dyDescent="0.25">
      <c r="H8132" t="s">
        <v>30</v>
      </c>
    </row>
    <row r="8133" spans="8:8" x14ac:dyDescent="0.25">
      <c r="H8133" t="s">
        <v>138</v>
      </c>
    </row>
    <row r="8134" spans="8:8" x14ac:dyDescent="0.25">
      <c r="H8134" t="s">
        <v>17884</v>
      </c>
    </row>
    <row r="8135" spans="8:8" x14ac:dyDescent="0.25">
      <c r="H8135" t="s">
        <v>30</v>
      </c>
    </row>
    <row r="8137" spans="8:8" x14ac:dyDescent="0.25">
      <c r="H8137" t="s">
        <v>11695</v>
      </c>
    </row>
    <row r="8138" spans="8:8" x14ac:dyDescent="0.25">
      <c r="H8138" t="s">
        <v>11696</v>
      </c>
    </row>
    <row r="8139" spans="8:8" x14ac:dyDescent="0.25">
      <c r="H8139" t="s">
        <v>135</v>
      </c>
    </row>
    <row r="8140" spans="8:8" x14ac:dyDescent="0.25">
      <c r="H8140" t="s">
        <v>17885</v>
      </c>
    </row>
    <row r="8141" spans="8:8" x14ac:dyDescent="0.25">
      <c r="H8141" t="s">
        <v>30</v>
      </c>
    </row>
    <row r="8142" spans="8:8" x14ac:dyDescent="0.25">
      <c r="H8142" t="s">
        <v>136</v>
      </c>
    </row>
    <row r="8143" spans="8:8" x14ac:dyDescent="0.25">
      <c r="H8143" t="s">
        <v>17886</v>
      </c>
    </row>
    <row r="8144" spans="8:8" x14ac:dyDescent="0.25">
      <c r="H8144" t="s">
        <v>30</v>
      </c>
    </row>
    <row r="8145" spans="8:8" x14ac:dyDescent="0.25">
      <c r="H8145" t="s">
        <v>137</v>
      </c>
    </row>
    <row r="8146" spans="8:8" x14ac:dyDescent="0.25">
      <c r="H8146" t="s">
        <v>17887</v>
      </c>
    </row>
    <row r="8147" spans="8:8" x14ac:dyDescent="0.25">
      <c r="H8147" t="s">
        <v>30</v>
      </c>
    </row>
    <row r="8148" spans="8:8" x14ac:dyDescent="0.25">
      <c r="H8148" t="s">
        <v>138</v>
      </c>
    </row>
    <row r="8149" spans="8:8" x14ac:dyDescent="0.25">
      <c r="H8149" t="s">
        <v>17888</v>
      </c>
    </row>
    <row r="8150" spans="8:8" x14ac:dyDescent="0.25">
      <c r="H8150" t="s">
        <v>30</v>
      </c>
    </row>
    <row r="8152" spans="8:8" x14ac:dyDescent="0.25">
      <c r="H8152" t="s">
        <v>11701</v>
      </c>
    </row>
    <row r="8153" spans="8:8" x14ac:dyDescent="0.25">
      <c r="H8153" t="s">
        <v>11702</v>
      </c>
    </row>
    <row r="8154" spans="8:8" x14ac:dyDescent="0.25">
      <c r="H8154" t="s">
        <v>135</v>
      </c>
    </row>
    <row r="8155" spans="8:8" x14ac:dyDescent="0.25">
      <c r="H8155" t="s">
        <v>17889</v>
      </c>
    </row>
    <row r="8156" spans="8:8" x14ac:dyDescent="0.25">
      <c r="H8156" t="s">
        <v>30</v>
      </c>
    </row>
    <row r="8157" spans="8:8" x14ac:dyDescent="0.25">
      <c r="H8157" t="s">
        <v>136</v>
      </c>
    </row>
    <row r="8158" spans="8:8" x14ac:dyDescent="0.25">
      <c r="H8158" t="s">
        <v>17890</v>
      </c>
    </row>
    <row r="8159" spans="8:8" x14ac:dyDescent="0.25">
      <c r="H8159" t="s">
        <v>30</v>
      </c>
    </row>
    <row r="8160" spans="8:8" x14ac:dyDescent="0.25">
      <c r="H8160" t="s">
        <v>137</v>
      </c>
    </row>
    <row r="8161" spans="8:8" x14ac:dyDescent="0.25">
      <c r="H8161" t="s">
        <v>17891</v>
      </c>
    </row>
    <row r="8162" spans="8:8" x14ac:dyDescent="0.25">
      <c r="H8162" t="s">
        <v>30</v>
      </c>
    </row>
    <row r="8163" spans="8:8" x14ac:dyDescent="0.25">
      <c r="H8163" t="s">
        <v>138</v>
      </c>
    </row>
    <row r="8164" spans="8:8" x14ac:dyDescent="0.25">
      <c r="H8164" t="s">
        <v>17892</v>
      </c>
    </row>
    <row r="8165" spans="8:8" x14ac:dyDescent="0.25">
      <c r="H8165" t="s">
        <v>30</v>
      </c>
    </row>
    <row r="8167" spans="8:8" x14ac:dyDescent="0.25">
      <c r="H8167" t="s">
        <v>11707</v>
      </c>
    </row>
    <row r="8168" spans="8:8" x14ac:dyDescent="0.25">
      <c r="H8168" t="s">
        <v>11708</v>
      </c>
    </row>
    <row r="8169" spans="8:8" x14ac:dyDescent="0.25">
      <c r="H8169" t="s">
        <v>135</v>
      </c>
    </row>
    <row r="8170" spans="8:8" x14ac:dyDescent="0.25">
      <c r="H8170" t="s">
        <v>17893</v>
      </c>
    </row>
    <row r="8171" spans="8:8" x14ac:dyDescent="0.25">
      <c r="H8171" t="s">
        <v>30</v>
      </c>
    </row>
    <row r="8172" spans="8:8" x14ac:dyDescent="0.25">
      <c r="H8172" t="s">
        <v>136</v>
      </c>
    </row>
    <row r="8173" spans="8:8" x14ac:dyDescent="0.25">
      <c r="H8173" t="s">
        <v>17894</v>
      </c>
    </row>
    <row r="8174" spans="8:8" x14ac:dyDescent="0.25">
      <c r="H8174" t="s">
        <v>30</v>
      </c>
    </row>
    <row r="8175" spans="8:8" x14ac:dyDescent="0.25">
      <c r="H8175" t="s">
        <v>137</v>
      </c>
    </row>
    <row r="8176" spans="8:8" x14ac:dyDescent="0.25">
      <c r="H8176" t="s">
        <v>17895</v>
      </c>
    </row>
    <row r="8177" spans="8:8" x14ac:dyDescent="0.25">
      <c r="H8177" t="s">
        <v>30</v>
      </c>
    </row>
    <row r="8178" spans="8:8" x14ac:dyDescent="0.25">
      <c r="H8178" t="s">
        <v>138</v>
      </c>
    </row>
    <row r="8179" spans="8:8" x14ac:dyDescent="0.25">
      <c r="H8179" t="s">
        <v>17896</v>
      </c>
    </row>
    <row r="8180" spans="8:8" x14ac:dyDescent="0.25">
      <c r="H8180" t="s">
        <v>30</v>
      </c>
    </row>
    <row r="8182" spans="8:8" x14ac:dyDescent="0.25">
      <c r="H8182" t="s">
        <v>11713</v>
      </c>
    </row>
    <row r="8183" spans="8:8" x14ac:dyDescent="0.25">
      <c r="H8183" t="s">
        <v>11714</v>
      </c>
    </row>
    <row r="8184" spans="8:8" x14ac:dyDescent="0.25">
      <c r="H8184" t="s">
        <v>135</v>
      </c>
    </row>
    <row r="8185" spans="8:8" x14ac:dyDescent="0.25">
      <c r="H8185" t="s">
        <v>17897</v>
      </c>
    </row>
    <row r="8186" spans="8:8" x14ac:dyDescent="0.25">
      <c r="H8186" t="s">
        <v>30</v>
      </c>
    </row>
    <row r="8187" spans="8:8" x14ac:dyDescent="0.25">
      <c r="H8187" t="s">
        <v>136</v>
      </c>
    </row>
    <row r="8188" spans="8:8" x14ac:dyDescent="0.25">
      <c r="H8188" t="s">
        <v>17898</v>
      </c>
    </row>
    <row r="8189" spans="8:8" x14ac:dyDescent="0.25">
      <c r="H8189" t="s">
        <v>30</v>
      </c>
    </row>
    <row r="8190" spans="8:8" x14ac:dyDescent="0.25">
      <c r="H8190" t="s">
        <v>137</v>
      </c>
    </row>
    <row r="8191" spans="8:8" x14ac:dyDescent="0.25">
      <c r="H8191" t="s">
        <v>17899</v>
      </c>
    </row>
    <row r="8192" spans="8:8" x14ac:dyDescent="0.25">
      <c r="H8192" t="s">
        <v>30</v>
      </c>
    </row>
    <row r="8193" spans="8:8" x14ac:dyDescent="0.25">
      <c r="H8193" t="s">
        <v>138</v>
      </c>
    </row>
    <row r="8194" spans="8:8" x14ac:dyDescent="0.25">
      <c r="H8194" t="s">
        <v>17900</v>
      </c>
    </row>
    <row r="8195" spans="8:8" x14ac:dyDescent="0.25">
      <c r="H8195" t="s">
        <v>30</v>
      </c>
    </row>
    <row r="8197" spans="8:8" x14ac:dyDescent="0.25">
      <c r="H8197" t="s">
        <v>11719</v>
      </c>
    </row>
    <row r="8198" spans="8:8" x14ac:dyDescent="0.25">
      <c r="H8198" t="s">
        <v>11720</v>
      </c>
    </row>
    <row r="8199" spans="8:8" x14ac:dyDescent="0.25">
      <c r="H8199" t="s">
        <v>135</v>
      </c>
    </row>
    <row r="8200" spans="8:8" x14ac:dyDescent="0.25">
      <c r="H8200" t="s">
        <v>17901</v>
      </c>
    </row>
    <row r="8201" spans="8:8" x14ac:dyDescent="0.25">
      <c r="H8201" t="s">
        <v>30</v>
      </c>
    </row>
    <row r="8202" spans="8:8" x14ac:dyDescent="0.25">
      <c r="H8202" t="s">
        <v>136</v>
      </c>
    </row>
    <row r="8203" spans="8:8" x14ac:dyDescent="0.25">
      <c r="H8203" t="s">
        <v>17902</v>
      </c>
    </row>
    <row r="8204" spans="8:8" x14ac:dyDescent="0.25">
      <c r="H8204" t="s">
        <v>30</v>
      </c>
    </row>
    <row r="8205" spans="8:8" x14ac:dyDescent="0.25">
      <c r="H8205" t="s">
        <v>137</v>
      </c>
    </row>
    <row r="8206" spans="8:8" x14ac:dyDescent="0.25">
      <c r="H8206" t="s">
        <v>17903</v>
      </c>
    </row>
    <row r="8207" spans="8:8" x14ac:dyDescent="0.25">
      <c r="H8207" t="s">
        <v>30</v>
      </c>
    </row>
    <row r="8208" spans="8:8" x14ac:dyDescent="0.25">
      <c r="H8208" t="s">
        <v>138</v>
      </c>
    </row>
    <row r="8209" spans="8:8" x14ac:dyDescent="0.25">
      <c r="H8209" t="s">
        <v>17904</v>
      </c>
    </row>
    <row r="8210" spans="8:8" x14ac:dyDescent="0.25">
      <c r="H8210" t="s">
        <v>30</v>
      </c>
    </row>
    <row r="8212" spans="8:8" x14ac:dyDescent="0.25">
      <c r="H8212" t="s">
        <v>11725</v>
      </c>
    </row>
    <row r="8213" spans="8:8" x14ac:dyDescent="0.25">
      <c r="H8213" t="s">
        <v>11726</v>
      </c>
    </row>
    <row r="8214" spans="8:8" x14ac:dyDescent="0.25">
      <c r="H8214" t="s">
        <v>135</v>
      </c>
    </row>
    <row r="8215" spans="8:8" x14ac:dyDescent="0.25">
      <c r="H8215" t="s">
        <v>17905</v>
      </c>
    </row>
    <row r="8216" spans="8:8" x14ac:dyDescent="0.25">
      <c r="H8216" t="s">
        <v>30</v>
      </c>
    </row>
    <row r="8217" spans="8:8" x14ac:dyDescent="0.25">
      <c r="H8217" t="s">
        <v>136</v>
      </c>
    </row>
    <row r="8218" spans="8:8" x14ac:dyDescent="0.25">
      <c r="H8218" t="s">
        <v>17906</v>
      </c>
    </row>
    <row r="8219" spans="8:8" x14ac:dyDescent="0.25">
      <c r="H8219" t="s">
        <v>30</v>
      </c>
    </row>
    <row r="8220" spans="8:8" x14ac:dyDescent="0.25">
      <c r="H8220" t="s">
        <v>137</v>
      </c>
    </row>
    <row r="8221" spans="8:8" x14ac:dyDescent="0.25">
      <c r="H8221" t="s">
        <v>17907</v>
      </c>
    </row>
    <row r="8222" spans="8:8" x14ac:dyDescent="0.25">
      <c r="H8222" t="s">
        <v>30</v>
      </c>
    </row>
    <row r="8223" spans="8:8" x14ac:dyDescent="0.25">
      <c r="H8223" t="s">
        <v>138</v>
      </c>
    </row>
    <row r="8224" spans="8:8" x14ac:dyDescent="0.25">
      <c r="H8224" t="s">
        <v>17908</v>
      </c>
    </row>
    <row r="8225" spans="8:8" x14ac:dyDescent="0.25">
      <c r="H8225" t="s">
        <v>30</v>
      </c>
    </row>
    <row r="8227" spans="8:8" x14ac:dyDescent="0.25">
      <c r="H8227" t="s">
        <v>11731</v>
      </c>
    </row>
    <row r="8228" spans="8:8" x14ac:dyDescent="0.25">
      <c r="H8228" t="s">
        <v>11732</v>
      </c>
    </row>
    <row r="8229" spans="8:8" x14ac:dyDescent="0.25">
      <c r="H8229" t="s">
        <v>135</v>
      </c>
    </row>
    <row r="8230" spans="8:8" x14ac:dyDescent="0.25">
      <c r="H8230" t="s">
        <v>17909</v>
      </c>
    </row>
    <row r="8231" spans="8:8" x14ac:dyDescent="0.25">
      <c r="H8231" t="s">
        <v>30</v>
      </c>
    </row>
    <row r="8232" spans="8:8" x14ac:dyDescent="0.25">
      <c r="H8232" t="s">
        <v>136</v>
      </c>
    </row>
    <row r="8233" spans="8:8" x14ac:dyDescent="0.25">
      <c r="H8233" t="s">
        <v>17910</v>
      </c>
    </row>
    <row r="8234" spans="8:8" x14ac:dyDescent="0.25">
      <c r="H8234" t="s">
        <v>30</v>
      </c>
    </row>
    <row r="8235" spans="8:8" x14ac:dyDescent="0.25">
      <c r="H8235" t="s">
        <v>137</v>
      </c>
    </row>
    <row r="8236" spans="8:8" x14ac:dyDescent="0.25">
      <c r="H8236" t="s">
        <v>17911</v>
      </c>
    </row>
    <row r="8237" spans="8:8" x14ac:dyDescent="0.25">
      <c r="H8237" t="s">
        <v>30</v>
      </c>
    </row>
    <row r="8238" spans="8:8" x14ac:dyDescent="0.25">
      <c r="H8238" t="s">
        <v>138</v>
      </c>
    </row>
    <row r="8239" spans="8:8" x14ac:dyDescent="0.25">
      <c r="H8239" t="s">
        <v>17912</v>
      </c>
    </row>
    <row r="8240" spans="8:8" x14ac:dyDescent="0.25">
      <c r="H8240" t="s">
        <v>30</v>
      </c>
    </row>
    <row r="8242" spans="8:8" x14ac:dyDescent="0.25">
      <c r="H8242" t="s">
        <v>11737</v>
      </c>
    </row>
    <row r="8243" spans="8:8" x14ac:dyDescent="0.25">
      <c r="H8243" t="s">
        <v>11738</v>
      </c>
    </row>
    <row r="8244" spans="8:8" x14ac:dyDescent="0.25">
      <c r="H8244" t="s">
        <v>135</v>
      </c>
    </row>
    <row r="8245" spans="8:8" x14ac:dyDescent="0.25">
      <c r="H8245" t="s">
        <v>17913</v>
      </c>
    </row>
    <row r="8246" spans="8:8" x14ac:dyDescent="0.25">
      <c r="H8246" t="s">
        <v>30</v>
      </c>
    </row>
    <row r="8247" spans="8:8" x14ac:dyDescent="0.25">
      <c r="H8247" t="s">
        <v>136</v>
      </c>
    </row>
    <row r="8248" spans="8:8" x14ac:dyDescent="0.25">
      <c r="H8248" t="s">
        <v>17914</v>
      </c>
    </row>
    <row r="8249" spans="8:8" x14ac:dyDescent="0.25">
      <c r="H8249" t="s">
        <v>30</v>
      </c>
    </row>
    <row r="8250" spans="8:8" x14ac:dyDescent="0.25">
      <c r="H8250" t="s">
        <v>137</v>
      </c>
    </row>
    <row r="8251" spans="8:8" x14ac:dyDescent="0.25">
      <c r="H8251" t="s">
        <v>17915</v>
      </c>
    </row>
    <row r="8252" spans="8:8" x14ac:dyDescent="0.25">
      <c r="H8252" t="s">
        <v>30</v>
      </c>
    </row>
    <row r="8253" spans="8:8" x14ac:dyDescent="0.25">
      <c r="H8253" t="s">
        <v>138</v>
      </c>
    </row>
    <row r="8254" spans="8:8" x14ac:dyDescent="0.25">
      <c r="H8254" t="s">
        <v>17916</v>
      </c>
    </row>
    <row r="8255" spans="8:8" x14ac:dyDescent="0.25">
      <c r="H8255" t="s">
        <v>30</v>
      </c>
    </row>
    <row r="8257" spans="8:8" x14ac:dyDescent="0.25">
      <c r="H8257" t="s">
        <v>11743</v>
      </c>
    </row>
    <row r="8258" spans="8:8" x14ac:dyDescent="0.25">
      <c r="H8258" t="s">
        <v>11744</v>
      </c>
    </row>
    <row r="8259" spans="8:8" x14ac:dyDescent="0.25">
      <c r="H8259" t="s">
        <v>135</v>
      </c>
    </row>
    <row r="8260" spans="8:8" x14ac:dyDescent="0.25">
      <c r="H8260" t="s">
        <v>17917</v>
      </c>
    </row>
    <row r="8261" spans="8:8" x14ac:dyDescent="0.25">
      <c r="H8261" t="s">
        <v>30</v>
      </c>
    </row>
    <row r="8262" spans="8:8" x14ac:dyDescent="0.25">
      <c r="H8262" t="s">
        <v>136</v>
      </c>
    </row>
    <row r="8263" spans="8:8" x14ac:dyDescent="0.25">
      <c r="H8263" t="s">
        <v>17918</v>
      </c>
    </row>
    <row r="8264" spans="8:8" x14ac:dyDescent="0.25">
      <c r="H8264" t="s">
        <v>30</v>
      </c>
    </row>
    <row r="8265" spans="8:8" x14ac:dyDescent="0.25">
      <c r="H8265" t="s">
        <v>137</v>
      </c>
    </row>
    <row r="8266" spans="8:8" x14ac:dyDescent="0.25">
      <c r="H8266" t="s">
        <v>17919</v>
      </c>
    </row>
    <row r="8267" spans="8:8" x14ac:dyDescent="0.25">
      <c r="H8267" t="s">
        <v>30</v>
      </c>
    </row>
    <row r="8268" spans="8:8" x14ac:dyDescent="0.25">
      <c r="H8268" t="s">
        <v>138</v>
      </c>
    </row>
    <row r="8269" spans="8:8" x14ac:dyDescent="0.25">
      <c r="H8269" t="s">
        <v>17920</v>
      </c>
    </row>
    <row r="8270" spans="8:8" x14ac:dyDescent="0.25">
      <c r="H8270" t="s">
        <v>30</v>
      </c>
    </row>
    <row r="8272" spans="8:8" x14ac:dyDescent="0.25">
      <c r="H8272" t="s">
        <v>11749</v>
      </c>
    </row>
    <row r="8273" spans="8:8" x14ac:dyDescent="0.25">
      <c r="H8273" t="s">
        <v>11750</v>
      </c>
    </row>
    <row r="8274" spans="8:8" x14ac:dyDescent="0.25">
      <c r="H8274" t="s">
        <v>135</v>
      </c>
    </row>
    <row r="8275" spans="8:8" x14ac:dyDescent="0.25">
      <c r="H8275" t="s">
        <v>17921</v>
      </c>
    </row>
    <row r="8276" spans="8:8" x14ac:dyDescent="0.25">
      <c r="H8276" t="s">
        <v>30</v>
      </c>
    </row>
    <row r="8277" spans="8:8" x14ac:dyDescent="0.25">
      <c r="H8277" t="s">
        <v>136</v>
      </c>
    </row>
    <row r="8278" spans="8:8" x14ac:dyDescent="0.25">
      <c r="H8278" t="s">
        <v>17922</v>
      </c>
    </row>
    <row r="8279" spans="8:8" x14ac:dyDescent="0.25">
      <c r="H8279" t="s">
        <v>30</v>
      </c>
    </row>
    <row r="8280" spans="8:8" x14ac:dyDescent="0.25">
      <c r="H8280" t="s">
        <v>137</v>
      </c>
    </row>
    <row r="8281" spans="8:8" x14ac:dyDescent="0.25">
      <c r="H8281" t="s">
        <v>17923</v>
      </c>
    </row>
    <row r="8282" spans="8:8" x14ac:dyDescent="0.25">
      <c r="H8282" t="s">
        <v>30</v>
      </c>
    </row>
    <row r="8283" spans="8:8" x14ac:dyDescent="0.25">
      <c r="H8283" t="s">
        <v>138</v>
      </c>
    </row>
    <row r="8284" spans="8:8" x14ac:dyDescent="0.25">
      <c r="H8284" t="s">
        <v>17924</v>
      </c>
    </row>
    <row r="8285" spans="8:8" x14ac:dyDescent="0.25">
      <c r="H8285" t="s">
        <v>30</v>
      </c>
    </row>
    <row r="8287" spans="8:8" x14ac:dyDescent="0.25">
      <c r="H8287" t="s">
        <v>11755</v>
      </c>
    </row>
    <row r="8288" spans="8:8" x14ac:dyDescent="0.25">
      <c r="H8288" t="s">
        <v>11756</v>
      </c>
    </row>
    <row r="8289" spans="8:8" x14ac:dyDescent="0.25">
      <c r="H8289" t="s">
        <v>135</v>
      </c>
    </row>
    <row r="8290" spans="8:8" x14ac:dyDescent="0.25">
      <c r="H8290" t="s">
        <v>17925</v>
      </c>
    </row>
    <row r="8291" spans="8:8" x14ac:dyDescent="0.25">
      <c r="H8291" t="s">
        <v>30</v>
      </c>
    </row>
    <row r="8292" spans="8:8" x14ac:dyDescent="0.25">
      <c r="H8292" t="s">
        <v>136</v>
      </c>
    </row>
    <row r="8293" spans="8:8" x14ac:dyDescent="0.25">
      <c r="H8293" t="s">
        <v>17926</v>
      </c>
    </row>
    <row r="8294" spans="8:8" x14ac:dyDescent="0.25">
      <c r="H8294" t="s">
        <v>30</v>
      </c>
    </row>
    <row r="8295" spans="8:8" x14ac:dyDescent="0.25">
      <c r="H8295" t="s">
        <v>137</v>
      </c>
    </row>
    <row r="8296" spans="8:8" x14ac:dyDescent="0.25">
      <c r="H8296" t="s">
        <v>17927</v>
      </c>
    </row>
    <row r="8297" spans="8:8" x14ac:dyDescent="0.25">
      <c r="H8297" t="s">
        <v>30</v>
      </c>
    </row>
    <row r="8298" spans="8:8" x14ac:dyDescent="0.25">
      <c r="H8298" t="s">
        <v>138</v>
      </c>
    </row>
    <row r="8299" spans="8:8" x14ac:dyDescent="0.25">
      <c r="H8299" t="s">
        <v>17928</v>
      </c>
    </row>
    <row r="8300" spans="8:8" x14ac:dyDescent="0.25">
      <c r="H8300" t="s">
        <v>30</v>
      </c>
    </row>
    <row r="8302" spans="8:8" x14ac:dyDescent="0.25">
      <c r="H8302" t="s">
        <v>11761</v>
      </c>
    </row>
    <row r="8303" spans="8:8" x14ac:dyDescent="0.25">
      <c r="H8303" t="s">
        <v>11762</v>
      </c>
    </row>
    <row r="8304" spans="8:8" x14ac:dyDescent="0.25">
      <c r="H8304" t="s">
        <v>135</v>
      </c>
    </row>
    <row r="8305" spans="8:8" x14ac:dyDescent="0.25">
      <c r="H8305" t="s">
        <v>17929</v>
      </c>
    </row>
    <row r="8306" spans="8:8" x14ac:dyDescent="0.25">
      <c r="H8306" t="s">
        <v>30</v>
      </c>
    </row>
    <row r="8307" spans="8:8" x14ac:dyDescent="0.25">
      <c r="H8307" t="s">
        <v>136</v>
      </c>
    </row>
    <row r="8308" spans="8:8" x14ac:dyDescent="0.25">
      <c r="H8308" t="s">
        <v>17930</v>
      </c>
    </row>
    <row r="8309" spans="8:8" x14ac:dyDescent="0.25">
      <c r="H8309" t="s">
        <v>30</v>
      </c>
    </row>
    <row r="8310" spans="8:8" x14ac:dyDescent="0.25">
      <c r="H8310" t="s">
        <v>137</v>
      </c>
    </row>
    <row r="8311" spans="8:8" x14ac:dyDescent="0.25">
      <c r="H8311" t="s">
        <v>17931</v>
      </c>
    </row>
    <row r="8312" spans="8:8" x14ac:dyDescent="0.25">
      <c r="H8312" t="s">
        <v>30</v>
      </c>
    </row>
    <row r="8313" spans="8:8" x14ac:dyDescent="0.25">
      <c r="H8313" t="s">
        <v>138</v>
      </c>
    </row>
    <row r="8314" spans="8:8" x14ac:dyDescent="0.25">
      <c r="H8314" t="s">
        <v>17932</v>
      </c>
    </row>
    <row r="8315" spans="8:8" x14ac:dyDescent="0.25">
      <c r="H8315" t="s">
        <v>30</v>
      </c>
    </row>
    <row r="8317" spans="8:8" x14ac:dyDescent="0.25">
      <c r="H8317" t="s">
        <v>11767</v>
      </c>
    </row>
    <row r="8318" spans="8:8" x14ac:dyDescent="0.25">
      <c r="H8318" t="s">
        <v>11768</v>
      </c>
    </row>
    <row r="8319" spans="8:8" x14ac:dyDescent="0.25">
      <c r="H8319" t="s">
        <v>135</v>
      </c>
    </row>
    <row r="8320" spans="8:8" x14ac:dyDescent="0.25">
      <c r="H8320" t="s">
        <v>17933</v>
      </c>
    </row>
    <row r="8321" spans="8:8" x14ac:dyDescent="0.25">
      <c r="H8321" t="s">
        <v>30</v>
      </c>
    </row>
    <row r="8322" spans="8:8" x14ac:dyDescent="0.25">
      <c r="H8322" t="s">
        <v>136</v>
      </c>
    </row>
    <row r="8323" spans="8:8" x14ac:dyDescent="0.25">
      <c r="H8323" t="s">
        <v>17934</v>
      </c>
    </row>
    <row r="8324" spans="8:8" x14ac:dyDescent="0.25">
      <c r="H8324" t="s">
        <v>30</v>
      </c>
    </row>
    <row r="8325" spans="8:8" x14ac:dyDescent="0.25">
      <c r="H8325" t="s">
        <v>137</v>
      </c>
    </row>
    <row r="8326" spans="8:8" x14ac:dyDescent="0.25">
      <c r="H8326" t="s">
        <v>17935</v>
      </c>
    </row>
    <row r="8327" spans="8:8" x14ac:dyDescent="0.25">
      <c r="H8327" t="s">
        <v>30</v>
      </c>
    </row>
    <row r="8328" spans="8:8" x14ac:dyDescent="0.25">
      <c r="H8328" t="s">
        <v>138</v>
      </c>
    </row>
    <row r="8329" spans="8:8" x14ac:dyDescent="0.25">
      <c r="H8329" t="s">
        <v>17936</v>
      </c>
    </row>
    <row r="8330" spans="8:8" x14ac:dyDescent="0.25">
      <c r="H8330" t="s">
        <v>30</v>
      </c>
    </row>
    <row r="8332" spans="8:8" x14ac:dyDescent="0.25">
      <c r="H8332" t="s">
        <v>11773</v>
      </c>
    </row>
    <row r="8333" spans="8:8" x14ac:dyDescent="0.25">
      <c r="H8333" t="s">
        <v>11774</v>
      </c>
    </row>
    <row r="8334" spans="8:8" x14ac:dyDescent="0.25">
      <c r="H8334" t="s">
        <v>135</v>
      </c>
    </row>
    <row r="8335" spans="8:8" x14ac:dyDescent="0.25">
      <c r="H8335" t="s">
        <v>17937</v>
      </c>
    </row>
    <row r="8336" spans="8:8" x14ac:dyDescent="0.25">
      <c r="H8336" t="s">
        <v>30</v>
      </c>
    </row>
    <row r="8337" spans="8:8" x14ac:dyDescent="0.25">
      <c r="H8337" t="s">
        <v>136</v>
      </c>
    </row>
    <row r="8338" spans="8:8" x14ac:dyDescent="0.25">
      <c r="H8338" t="s">
        <v>17938</v>
      </c>
    </row>
    <row r="8339" spans="8:8" x14ac:dyDescent="0.25">
      <c r="H8339" t="s">
        <v>30</v>
      </c>
    </row>
    <row r="8340" spans="8:8" x14ac:dyDescent="0.25">
      <c r="H8340" t="s">
        <v>137</v>
      </c>
    </row>
    <row r="8341" spans="8:8" x14ac:dyDescent="0.25">
      <c r="H8341" t="s">
        <v>17939</v>
      </c>
    </row>
    <row r="8342" spans="8:8" x14ac:dyDescent="0.25">
      <c r="H8342" t="s">
        <v>30</v>
      </c>
    </row>
    <row r="8343" spans="8:8" x14ac:dyDescent="0.25">
      <c r="H8343" t="s">
        <v>138</v>
      </c>
    </row>
    <row r="8344" spans="8:8" x14ac:dyDescent="0.25">
      <c r="H8344" t="s">
        <v>17940</v>
      </c>
    </row>
    <row r="8345" spans="8:8" x14ac:dyDescent="0.25">
      <c r="H8345" t="s">
        <v>30</v>
      </c>
    </row>
    <row r="8347" spans="8:8" x14ac:dyDescent="0.25">
      <c r="H8347" t="s">
        <v>11779</v>
      </c>
    </row>
    <row r="8348" spans="8:8" x14ac:dyDescent="0.25">
      <c r="H8348" t="s">
        <v>11780</v>
      </c>
    </row>
    <row r="8349" spans="8:8" x14ac:dyDescent="0.25">
      <c r="H8349" t="s">
        <v>135</v>
      </c>
    </row>
    <row r="8350" spans="8:8" x14ac:dyDescent="0.25">
      <c r="H8350" t="s">
        <v>17941</v>
      </c>
    </row>
    <row r="8351" spans="8:8" x14ac:dyDescent="0.25">
      <c r="H8351" t="s">
        <v>30</v>
      </c>
    </row>
    <row r="8352" spans="8:8" x14ac:dyDescent="0.25">
      <c r="H8352" t="s">
        <v>136</v>
      </c>
    </row>
    <row r="8353" spans="8:8" x14ac:dyDescent="0.25">
      <c r="H8353" t="s">
        <v>17942</v>
      </c>
    </row>
    <row r="8354" spans="8:8" x14ac:dyDescent="0.25">
      <c r="H8354" t="s">
        <v>30</v>
      </c>
    </row>
    <row r="8355" spans="8:8" x14ac:dyDescent="0.25">
      <c r="H8355" t="s">
        <v>137</v>
      </c>
    </row>
    <row r="8356" spans="8:8" x14ac:dyDescent="0.25">
      <c r="H8356" t="s">
        <v>17943</v>
      </c>
    </row>
    <row r="8357" spans="8:8" x14ac:dyDescent="0.25">
      <c r="H8357" t="s">
        <v>30</v>
      </c>
    </row>
    <row r="8358" spans="8:8" x14ac:dyDescent="0.25">
      <c r="H8358" t="s">
        <v>138</v>
      </c>
    </row>
    <row r="8359" spans="8:8" x14ac:dyDescent="0.25">
      <c r="H8359" t="s">
        <v>17944</v>
      </c>
    </row>
    <row r="8360" spans="8:8" x14ac:dyDescent="0.25">
      <c r="H8360" t="s">
        <v>30</v>
      </c>
    </row>
    <row r="8362" spans="8:8" x14ac:dyDescent="0.25">
      <c r="H8362" t="s">
        <v>11785</v>
      </c>
    </row>
    <row r="8363" spans="8:8" x14ac:dyDescent="0.25">
      <c r="H8363" t="s">
        <v>11786</v>
      </c>
    </row>
    <row r="8364" spans="8:8" x14ac:dyDescent="0.25">
      <c r="H8364" t="s">
        <v>135</v>
      </c>
    </row>
    <row r="8365" spans="8:8" x14ac:dyDescent="0.25">
      <c r="H8365" t="s">
        <v>17945</v>
      </c>
    </row>
    <row r="8366" spans="8:8" x14ac:dyDescent="0.25">
      <c r="H8366" t="s">
        <v>30</v>
      </c>
    </row>
    <row r="8367" spans="8:8" x14ac:dyDescent="0.25">
      <c r="H8367" t="s">
        <v>136</v>
      </c>
    </row>
    <row r="8368" spans="8:8" x14ac:dyDescent="0.25">
      <c r="H8368" t="s">
        <v>17946</v>
      </c>
    </row>
    <row r="8369" spans="8:8" x14ac:dyDescent="0.25">
      <c r="H8369" t="s">
        <v>30</v>
      </c>
    </row>
    <row r="8370" spans="8:8" x14ac:dyDescent="0.25">
      <c r="H8370" t="s">
        <v>137</v>
      </c>
    </row>
    <row r="8371" spans="8:8" x14ac:dyDescent="0.25">
      <c r="H8371" t="s">
        <v>17947</v>
      </c>
    </row>
    <row r="8372" spans="8:8" x14ac:dyDescent="0.25">
      <c r="H8372" t="s">
        <v>30</v>
      </c>
    </row>
    <row r="8373" spans="8:8" x14ac:dyDescent="0.25">
      <c r="H8373" t="s">
        <v>138</v>
      </c>
    </row>
    <row r="8374" spans="8:8" x14ac:dyDescent="0.25">
      <c r="H8374" t="s">
        <v>17948</v>
      </c>
    </row>
    <row r="8375" spans="8:8" x14ac:dyDescent="0.25">
      <c r="H8375" t="s">
        <v>30</v>
      </c>
    </row>
    <row r="8377" spans="8:8" x14ac:dyDescent="0.25">
      <c r="H8377" t="s">
        <v>11791</v>
      </c>
    </row>
    <row r="8378" spans="8:8" x14ac:dyDescent="0.25">
      <c r="H8378" t="s">
        <v>11792</v>
      </c>
    </row>
    <row r="8379" spans="8:8" x14ac:dyDescent="0.25">
      <c r="H8379" t="s">
        <v>135</v>
      </c>
    </row>
    <row r="8380" spans="8:8" x14ac:dyDescent="0.25">
      <c r="H8380" t="s">
        <v>17949</v>
      </c>
    </row>
    <row r="8381" spans="8:8" x14ac:dyDescent="0.25">
      <c r="H8381" t="s">
        <v>30</v>
      </c>
    </row>
    <row r="8382" spans="8:8" x14ac:dyDescent="0.25">
      <c r="H8382" t="s">
        <v>136</v>
      </c>
    </row>
    <row r="8383" spans="8:8" x14ac:dyDescent="0.25">
      <c r="H8383" t="s">
        <v>17950</v>
      </c>
    </row>
    <row r="8384" spans="8:8" x14ac:dyDescent="0.25">
      <c r="H8384" t="s">
        <v>30</v>
      </c>
    </row>
    <row r="8385" spans="8:8" x14ac:dyDescent="0.25">
      <c r="H8385" t="s">
        <v>137</v>
      </c>
    </row>
    <row r="8386" spans="8:8" x14ac:dyDescent="0.25">
      <c r="H8386" t="s">
        <v>17951</v>
      </c>
    </row>
    <row r="8387" spans="8:8" x14ac:dyDescent="0.25">
      <c r="H8387" t="s">
        <v>30</v>
      </c>
    </row>
    <row r="8388" spans="8:8" x14ac:dyDescent="0.25">
      <c r="H8388" t="s">
        <v>138</v>
      </c>
    </row>
    <row r="8389" spans="8:8" x14ac:dyDescent="0.25">
      <c r="H8389" t="s">
        <v>17952</v>
      </c>
    </row>
    <row r="8390" spans="8:8" x14ac:dyDescent="0.25">
      <c r="H8390" t="s">
        <v>30</v>
      </c>
    </row>
    <row r="8392" spans="8:8" x14ac:dyDescent="0.25">
      <c r="H8392" t="s">
        <v>11797</v>
      </c>
    </row>
    <row r="8393" spans="8:8" x14ac:dyDescent="0.25">
      <c r="H8393" t="s">
        <v>11798</v>
      </c>
    </row>
    <row r="8394" spans="8:8" x14ac:dyDescent="0.25">
      <c r="H8394" t="s">
        <v>135</v>
      </c>
    </row>
    <row r="8395" spans="8:8" x14ac:dyDescent="0.25">
      <c r="H8395" t="s">
        <v>17953</v>
      </c>
    </row>
    <row r="8396" spans="8:8" x14ac:dyDescent="0.25">
      <c r="H8396" t="s">
        <v>30</v>
      </c>
    </row>
    <row r="8397" spans="8:8" x14ac:dyDescent="0.25">
      <c r="H8397" t="s">
        <v>136</v>
      </c>
    </row>
    <row r="8398" spans="8:8" x14ac:dyDescent="0.25">
      <c r="H8398" t="s">
        <v>17954</v>
      </c>
    </row>
    <row r="8399" spans="8:8" x14ac:dyDescent="0.25">
      <c r="H8399" t="s">
        <v>30</v>
      </c>
    </row>
    <row r="8400" spans="8:8" x14ac:dyDescent="0.25">
      <c r="H8400" t="s">
        <v>137</v>
      </c>
    </row>
    <row r="8401" spans="8:8" x14ac:dyDescent="0.25">
      <c r="H8401" t="s">
        <v>17955</v>
      </c>
    </row>
    <row r="8402" spans="8:8" x14ac:dyDescent="0.25">
      <c r="H8402" t="s">
        <v>30</v>
      </c>
    </row>
    <row r="8403" spans="8:8" x14ac:dyDescent="0.25">
      <c r="H8403" t="s">
        <v>138</v>
      </c>
    </row>
    <row r="8404" spans="8:8" x14ac:dyDescent="0.25">
      <c r="H8404" t="s">
        <v>17956</v>
      </c>
    </row>
    <row r="8405" spans="8:8" x14ac:dyDescent="0.25">
      <c r="H8405" t="s">
        <v>30</v>
      </c>
    </row>
    <row r="8407" spans="8:8" x14ac:dyDescent="0.25">
      <c r="H8407" t="s">
        <v>11803</v>
      </c>
    </row>
    <row r="8408" spans="8:8" x14ac:dyDescent="0.25">
      <c r="H8408" t="s">
        <v>11804</v>
      </c>
    </row>
    <row r="8409" spans="8:8" x14ac:dyDescent="0.25">
      <c r="H8409" t="s">
        <v>135</v>
      </c>
    </row>
    <row r="8410" spans="8:8" x14ac:dyDescent="0.25">
      <c r="H8410" t="s">
        <v>17957</v>
      </c>
    </row>
    <row r="8411" spans="8:8" x14ac:dyDescent="0.25">
      <c r="H8411" t="s">
        <v>30</v>
      </c>
    </row>
    <row r="8412" spans="8:8" x14ac:dyDescent="0.25">
      <c r="H8412" t="s">
        <v>136</v>
      </c>
    </row>
    <row r="8413" spans="8:8" x14ac:dyDescent="0.25">
      <c r="H8413" t="s">
        <v>17958</v>
      </c>
    </row>
    <row r="8414" spans="8:8" x14ac:dyDescent="0.25">
      <c r="H8414" t="s">
        <v>30</v>
      </c>
    </row>
    <row r="8415" spans="8:8" x14ac:dyDescent="0.25">
      <c r="H8415" t="s">
        <v>137</v>
      </c>
    </row>
    <row r="8416" spans="8:8" x14ac:dyDescent="0.25">
      <c r="H8416" t="s">
        <v>17959</v>
      </c>
    </row>
    <row r="8417" spans="8:8" x14ac:dyDescent="0.25">
      <c r="H8417" t="s">
        <v>30</v>
      </c>
    </row>
    <row r="8418" spans="8:8" x14ac:dyDescent="0.25">
      <c r="H8418" t="s">
        <v>138</v>
      </c>
    </row>
    <row r="8419" spans="8:8" x14ac:dyDescent="0.25">
      <c r="H8419" t="s">
        <v>17960</v>
      </c>
    </row>
    <row r="8420" spans="8:8" x14ac:dyDescent="0.25">
      <c r="H8420" t="s">
        <v>30</v>
      </c>
    </row>
    <row r="8422" spans="8:8" x14ac:dyDescent="0.25">
      <c r="H8422" t="s">
        <v>11809</v>
      </c>
    </row>
    <row r="8423" spans="8:8" x14ac:dyDescent="0.25">
      <c r="H8423" t="s">
        <v>11810</v>
      </c>
    </row>
    <row r="8424" spans="8:8" x14ac:dyDescent="0.25">
      <c r="H8424" t="s">
        <v>135</v>
      </c>
    </row>
    <row r="8425" spans="8:8" x14ac:dyDescent="0.25">
      <c r="H8425" t="s">
        <v>17961</v>
      </c>
    </row>
    <row r="8426" spans="8:8" x14ac:dyDescent="0.25">
      <c r="H8426" t="s">
        <v>30</v>
      </c>
    </row>
    <row r="8427" spans="8:8" x14ac:dyDescent="0.25">
      <c r="H8427" t="s">
        <v>136</v>
      </c>
    </row>
    <row r="8428" spans="8:8" x14ac:dyDescent="0.25">
      <c r="H8428" t="s">
        <v>17962</v>
      </c>
    </row>
    <row r="8429" spans="8:8" x14ac:dyDescent="0.25">
      <c r="H8429" t="s">
        <v>30</v>
      </c>
    </row>
    <row r="8430" spans="8:8" x14ac:dyDescent="0.25">
      <c r="H8430" t="s">
        <v>137</v>
      </c>
    </row>
    <row r="8431" spans="8:8" x14ac:dyDescent="0.25">
      <c r="H8431" t="s">
        <v>17963</v>
      </c>
    </row>
    <row r="8432" spans="8:8" x14ac:dyDescent="0.25">
      <c r="H8432" t="s">
        <v>30</v>
      </c>
    </row>
    <row r="8433" spans="8:8" x14ac:dyDescent="0.25">
      <c r="H8433" t="s">
        <v>138</v>
      </c>
    </row>
    <row r="8434" spans="8:8" x14ac:dyDescent="0.25">
      <c r="H8434" t="s">
        <v>17964</v>
      </c>
    </row>
    <row r="8435" spans="8:8" x14ac:dyDescent="0.25">
      <c r="H8435" t="s">
        <v>30</v>
      </c>
    </row>
    <row r="8437" spans="8:8" x14ac:dyDescent="0.25">
      <c r="H8437" t="s">
        <v>11815</v>
      </c>
    </row>
    <row r="8438" spans="8:8" x14ac:dyDescent="0.25">
      <c r="H8438" t="s">
        <v>11816</v>
      </c>
    </row>
    <row r="8439" spans="8:8" x14ac:dyDescent="0.25">
      <c r="H8439" t="s">
        <v>135</v>
      </c>
    </row>
    <row r="8440" spans="8:8" x14ac:dyDescent="0.25">
      <c r="H8440" t="s">
        <v>17965</v>
      </c>
    </row>
    <row r="8441" spans="8:8" x14ac:dyDescent="0.25">
      <c r="H8441" t="s">
        <v>30</v>
      </c>
    </row>
    <row r="8442" spans="8:8" x14ac:dyDescent="0.25">
      <c r="H8442" t="s">
        <v>136</v>
      </c>
    </row>
    <row r="8443" spans="8:8" x14ac:dyDescent="0.25">
      <c r="H8443" t="s">
        <v>17966</v>
      </c>
    </row>
    <row r="8444" spans="8:8" x14ac:dyDescent="0.25">
      <c r="H8444" t="s">
        <v>30</v>
      </c>
    </row>
    <row r="8445" spans="8:8" x14ac:dyDescent="0.25">
      <c r="H8445" t="s">
        <v>137</v>
      </c>
    </row>
    <row r="8446" spans="8:8" x14ac:dyDescent="0.25">
      <c r="H8446" t="s">
        <v>17967</v>
      </c>
    </row>
    <row r="8447" spans="8:8" x14ac:dyDescent="0.25">
      <c r="H8447" t="s">
        <v>30</v>
      </c>
    </row>
    <row r="8448" spans="8:8" x14ac:dyDescent="0.25">
      <c r="H8448" t="s">
        <v>138</v>
      </c>
    </row>
    <row r="8449" spans="8:8" x14ac:dyDescent="0.25">
      <c r="H8449" t="s">
        <v>17968</v>
      </c>
    </row>
    <row r="8450" spans="8:8" x14ac:dyDescent="0.25">
      <c r="H8450" t="s">
        <v>30</v>
      </c>
    </row>
    <row r="8452" spans="8:8" x14ac:dyDescent="0.25">
      <c r="H8452" t="s">
        <v>11821</v>
      </c>
    </row>
    <row r="8453" spans="8:8" x14ac:dyDescent="0.25">
      <c r="H8453" t="s">
        <v>11822</v>
      </c>
    </row>
    <row r="8454" spans="8:8" x14ac:dyDescent="0.25">
      <c r="H8454" t="s">
        <v>135</v>
      </c>
    </row>
    <row r="8455" spans="8:8" x14ac:dyDescent="0.25">
      <c r="H8455" t="s">
        <v>17969</v>
      </c>
    </row>
    <row r="8456" spans="8:8" x14ac:dyDescent="0.25">
      <c r="H8456" t="s">
        <v>30</v>
      </c>
    </row>
    <row r="8457" spans="8:8" x14ac:dyDescent="0.25">
      <c r="H8457" t="s">
        <v>136</v>
      </c>
    </row>
    <row r="8458" spans="8:8" x14ac:dyDescent="0.25">
      <c r="H8458" t="s">
        <v>17970</v>
      </c>
    </row>
    <row r="8459" spans="8:8" x14ac:dyDescent="0.25">
      <c r="H8459" t="s">
        <v>30</v>
      </c>
    </row>
    <row r="8460" spans="8:8" x14ac:dyDescent="0.25">
      <c r="H8460" t="s">
        <v>137</v>
      </c>
    </row>
    <row r="8461" spans="8:8" x14ac:dyDescent="0.25">
      <c r="H8461" t="s">
        <v>17971</v>
      </c>
    </row>
    <row r="8462" spans="8:8" x14ac:dyDescent="0.25">
      <c r="H8462" t="s">
        <v>30</v>
      </c>
    </row>
    <row r="8463" spans="8:8" x14ac:dyDescent="0.25">
      <c r="H8463" t="s">
        <v>138</v>
      </c>
    </row>
    <row r="8464" spans="8:8" x14ac:dyDescent="0.25">
      <c r="H8464" t="s">
        <v>17972</v>
      </c>
    </row>
    <row r="8465" spans="8:8" x14ac:dyDescent="0.25">
      <c r="H8465" t="s">
        <v>30</v>
      </c>
    </row>
    <row r="8467" spans="8:8" x14ac:dyDescent="0.25">
      <c r="H8467" t="s">
        <v>11827</v>
      </c>
    </row>
    <row r="8468" spans="8:8" x14ac:dyDescent="0.25">
      <c r="H8468" t="s">
        <v>11828</v>
      </c>
    </row>
    <row r="8469" spans="8:8" x14ac:dyDescent="0.25">
      <c r="H8469" t="s">
        <v>135</v>
      </c>
    </row>
    <row r="8470" spans="8:8" x14ac:dyDescent="0.25">
      <c r="H8470" t="s">
        <v>17973</v>
      </c>
    </row>
    <row r="8471" spans="8:8" x14ac:dyDescent="0.25">
      <c r="H8471" t="s">
        <v>30</v>
      </c>
    </row>
    <row r="8472" spans="8:8" x14ac:dyDescent="0.25">
      <c r="H8472" t="s">
        <v>136</v>
      </c>
    </row>
    <row r="8473" spans="8:8" x14ac:dyDescent="0.25">
      <c r="H8473" t="s">
        <v>17974</v>
      </c>
    </row>
    <row r="8474" spans="8:8" x14ac:dyDescent="0.25">
      <c r="H8474" t="s">
        <v>30</v>
      </c>
    </row>
    <row r="8475" spans="8:8" x14ac:dyDescent="0.25">
      <c r="H8475" t="s">
        <v>137</v>
      </c>
    </row>
    <row r="8476" spans="8:8" x14ac:dyDescent="0.25">
      <c r="H8476" t="s">
        <v>17975</v>
      </c>
    </row>
    <row r="8477" spans="8:8" x14ac:dyDescent="0.25">
      <c r="H8477" t="s">
        <v>30</v>
      </c>
    </row>
    <row r="8478" spans="8:8" x14ac:dyDescent="0.25">
      <c r="H8478" t="s">
        <v>138</v>
      </c>
    </row>
    <row r="8479" spans="8:8" x14ac:dyDescent="0.25">
      <c r="H8479" t="s">
        <v>17976</v>
      </c>
    </row>
    <row r="8480" spans="8:8" x14ac:dyDescent="0.25">
      <c r="H8480" t="s">
        <v>30</v>
      </c>
    </row>
    <row r="8482" spans="8:8" x14ac:dyDescent="0.25">
      <c r="H8482" t="s">
        <v>11833</v>
      </c>
    </row>
    <row r="8483" spans="8:8" x14ac:dyDescent="0.25">
      <c r="H8483" t="s">
        <v>11834</v>
      </c>
    </row>
    <row r="8484" spans="8:8" x14ac:dyDescent="0.25">
      <c r="H8484" t="s">
        <v>135</v>
      </c>
    </row>
    <row r="8485" spans="8:8" x14ac:dyDescent="0.25">
      <c r="H8485" t="s">
        <v>17977</v>
      </c>
    </row>
    <row r="8486" spans="8:8" x14ac:dyDescent="0.25">
      <c r="H8486" t="s">
        <v>30</v>
      </c>
    </row>
    <row r="8487" spans="8:8" x14ac:dyDescent="0.25">
      <c r="H8487" t="s">
        <v>136</v>
      </c>
    </row>
    <row r="8488" spans="8:8" x14ac:dyDescent="0.25">
      <c r="H8488" t="s">
        <v>17978</v>
      </c>
    </row>
    <row r="8489" spans="8:8" x14ac:dyDescent="0.25">
      <c r="H8489" t="s">
        <v>30</v>
      </c>
    </row>
    <row r="8490" spans="8:8" x14ac:dyDescent="0.25">
      <c r="H8490" t="s">
        <v>137</v>
      </c>
    </row>
    <row r="8491" spans="8:8" x14ac:dyDescent="0.25">
      <c r="H8491" t="s">
        <v>17979</v>
      </c>
    </row>
    <row r="8492" spans="8:8" x14ac:dyDescent="0.25">
      <c r="H8492" t="s">
        <v>30</v>
      </c>
    </row>
    <row r="8493" spans="8:8" x14ac:dyDescent="0.25">
      <c r="H8493" t="s">
        <v>138</v>
      </c>
    </row>
    <row r="8494" spans="8:8" x14ac:dyDescent="0.25">
      <c r="H8494" t="s">
        <v>17980</v>
      </c>
    </row>
    <row r="8495" spans="8:8" x14ac:dyDescent="0.25">
      <c r="H8495" t="s">
        <v>30</v>
      </c>
    </row>
    <row r="8497" spans="8:8" x14ac:dyDescent="0.25">
      <c r="H8497" t="s">
        <v>11839</v>
      </c>
    </row>
    <row r="8498" spans="8:8" x14ac:dyDescent="0.25">
      <c r="H8498" t="s">
        <v>11840</v>
      </c>
    </row>
    <row r="8499" spans="8:8" x14ac:dyDescent="0.25">
      <c r="H8499" t="s">
        <v>135</v>
      </c>
    </row>
    <row r="8500" spans="8:8" x14ac:dyDescent="0.25">
      <c r="H8500" t="s">
        <v>17981</v>
      </c>
    </row>
    <row r="8501" spans="8:8" x14ac:dyDescent="0.25">
      <c r="H8501" t="s">
        <v>30</v>
      </c>
    </row>
    <row r="8502" spans="8:8" x14ac:dyDescent="0.25">
      <c r="H8502" t="s">
        <v>136</v>
      </c>
    </row>
    <row r="8503" spans="8:8" x14ac:dyDescent="0.25">
      <c r="H8503" t="s">
        <v>17982</v>
      </c>
    </row>
    <row r="8504" spans="8:8" x14ac:dyDescent="0.25">
      <c r="H8504" t="s">
        <v>30</v>
      </c>
    </row>
    <row r="8505" spans="8:8" x14ac:dyDescent="0.25">
      <c r="H8505" t="s">
        <v>137</v>
      </c>
    </row>
    <row r="8506" spans="8:8" x14ac:dyDescent="0.25">
      <c r="H8506" t="s">
        <v>17983</v>
      </c>
    </row>
    <row r="8507" spans="8:8" x14ac:dyDescent="0.25">
      <c r="H8507" t="s">
        <v>30</v>
      </c>
    </row>
    <row r="8508" spans="8:8" x14ac:dyDescent="0.25">
      <c r="H8508" t="s">
        <v>138</v>
      </c>
    </row>
    <row r="8509" spans="8:8" x14ac:dyDescent="0.25">
      <c r="H8509" t="s">
        <v>17984</v>
      </c>
    </row>
    <row r="8510" spans="8:8" x14ac:dyDescent="0.25">
      <c r="H8510" t="s">
        <v>30</v>
      </c>
    </row>
    <row r="8512" spans="8:8" x14ac:dyDescent="0.25">
      <c r="H8512" t="s">
        <v>11845</v>
      </c>
    </row>
    <row r="8513" spans="8:8" x14ac:dyDescent="0.25">
      <c r="H8513" t="s">
        <v>11846</v>
      </c>
    </row>
    <row r="8514" spans="8:8" x14ac:dyDescent="0.25">
      <c r="H8514" t="s">
        <v>135</v>
      </c>
    </row>
    <row r="8515" spans="8:8" x14ac:dyDescent="0.25">
      <c r="H8515" t="s">
        <v>17985</v>
      </c>
    </row>
    <row r="8516" spans="8:8" x14ac:dyDescent="0.25">
      <c r="H8516" t="s">
        <v>30</v>
      </c>
    </row>
    <row r="8517" spans="8:8" x14ac:dyDescent="0.25">
      <c r="H8517" t="s">
        <v>136</v>
      </c>
    </row>
    <row r="8518" spans="8:8" x14ac:dyDescent="0.25">
      <c r="H8518" t="s">
        <v>17986</v>
      </c>
    </row>
    <row r="8519" spans="8:8" x14ac:dyDescent="0.25">
      <c r="H8519" t="s">
        <v>30</v>
      </c>
    </row>
    <row r="8520" spans="8:8" x14ac:dyDescent="0.25">
      <c r="H8520" t="s">
        <v>137</v>
      </c>
    </row>
    <row r="8521" spans="8:8" x14ac:dyDescent="0.25">
      <c r="H8521" t="s">
        <v>17987</v>
      </c>
    </row>
    <row r="8522" spans="8:8" x14ac:dyDescent="0.25">
      <c r="H8522" t="s">
        <v>30</v>
      </c>
    </row>
    <row r="8523" spans="8:8" x14ac:dyDescent="0.25">
      <c r="H8523" t="s">
        <v>138</v>
      </c>
    </row>
    <row r="8524" spans="8:8" x14ac:dyDescent="0.25">
      <c r="H8524" t="s">
        <v>17988</v>
      </c>
    </row>
    <row r="8525" spans="8:8" x14ac:dyDescent="0.25">
      <c r="H8525" t="s">
        <v>30</v>
      </c>
    </row>
    <row r="8527" spans="8:8" x14ac:dyDescent="0.25">
      <c r="H8527" t="s">
        <v>11851</v>
      </c>
    </row>
    <row r="8528" spans="8:8" x14ac:dyDescent="0.25">
      <c r="H8528" t="s">
        <v>11852</v>
      </c>
    </row>
    <row r="8529" spans="8:8" x14ac:dyDescent="0.25">
      <c r="H8529" t="s">
        <v>135</v>
      </c>
    </row>
    <row r="8530" spans="8:8" x14ac:dyDescent="0.25">
      <c r="H8530" t="s">
        <v>17989</v>
      </c>
    </row>
    <row r="8531" spans="8:8" x14ac:dyDescent="0.25">
      <c r="H8531" t="s">
        <v>30</v>
      </c>
    </row>
    <row r="8532" spans="8:8" x14ac:dyDescent="0.25">
      <c r="H8532" t="s">
        <v>136</v>
      </c>
    </row>
    <row r="8533" spans="8:8" x14ac:dyDescent="0.25">
      <c r="H8533" t="s">
        <v>17990</v>
      </c>
    </row>
    <row r="8534" spans="8:8" x14ac:dyDescent="0.25">
      <c r="H8534" t="s">
        <v>30</v>
      </c>
    </row>
    <row r="8535" spans="8:8" x14ac:dyDescent="0.25">
      <c r="H8535" t="s">
        <v>137</v>
      </c>
    </row>
    <row r="8536" spans="8:8" x14ac:dyDescent="0.25">
      <c r="H8536" t="s">
        <v>17991</v>
      </c>
    </row>
    <row r="8537" spans="8:8" x14ac:dyDescent="0.25">
      <c r="H8537" t="s">
        <v>30</v>
      </c>
    </row>
    <row r="8538" spans="8:8" x14ac:dyDescent="0.25">
      <c r="H8538" t="s">
        <v>138</v>
      </c>
    </row>
    <row r="8539" spans="8:8" x14ac:dyDescent="0.25">
      <c r="H8539" t="s">
        <v>17992</v>
      </c>
    </row>
    <row r="8540" spans="8:8" x14ac:dyDescent="0.25">
      <c r="H8540" t="s">
        <v>30</v>
      </c>
    </row>
    <row r="8542" spans="8:8" x14ac:dyDescent="0.25">
      <c r="H8542" t="s">
        <v>11857</v>
      </c>
    </row>
    <row r="8543" spans="8:8" x14ac:dyDescent="0.25">
      <c r="H8543" t="s">
        <v>11858</v>
      </c>
    </row>
    <row r="8544" spans="8:8" x14ac:dyDescent="0.25">
      <c r="H8544" t="s">
        <v>135</v>
      </c>
    </row>
    <row r="8545" spans="8:8" x14ac:dyDescent="0.25">
      <c r="H8545" t="s">
        <v>17993</v>
      </c>
    </row>
    <row r="8546" spans="8:8" x14ac:dyDescent="0.25">
      <c r="H8546" t="s">
        <v>30</v>
      </c>
    </row>
    <row r="8547" spans="8:8" x14ac:dyDescent="0.25">
      <c r="H8547" t="s">
        <v>136</v>
      </c>
    </row>
    <row r="8548" spans="8:8" x14ac:dyDescent="0.25">
      <c r="H8548" t="s">
        <v>17994</v>
      </c>
    </row>
    <row r="8549" spans="8:8" x14ac:dyDescent="0.25">
      <c r="H8549" t="s">
        <v>30</v>
      </c>
    </row>
    <row r="8550" spans="8:8" x14ac:dyDescent="0.25">
      <c r="H8550" t="s">
        <v>137</v>
      </c>
    </row>
    <row r="8551" spans="8:8" x14ac:dyDescent="0.25">
      <c r="H8551" t="s">
        <v>17995</v>
      </c>
    </row>
    <row r="8552" spans="8:8" x14ac:dyDescent="0.25">
      <c r="H8552" t="s">
        <v>30</v>
      </c>
    </row>
    <row r="8553" spans="8:8" x14ac:dyDescent="0.25">
      <c r="H8553" t="s">
        <v>138</v>
      </c>
    </row>
    <row r="8554" spans="8:8" x14ac:dyDescent="0.25">
      <c r="H8554" t="s">
        <v>17996</v>
      </c>
    </row>
    <row r="8555" spans="8:8" x14ac:dyDescent="0.25">
      <c r="H8555" t="s">
        <v>30</v>
      </c>
    </row>
    <row r="8557" spans="8:8" x14ac:dyDescent="0.25">
      <c r="H8557" t="s">
        <v>11863</v>
      </c>
    </row>
    <row r="8558" spans="8:8" x14ac:dyDescent="0.25">
      <c r="H8558" t="s">
        <v>11864</v>
      </c>
    </row>
    <row r="8559" spans="8:8" x14ac:dyDescent="0.25">
      <c r="H8559" t="s">
        <v>135</v>
      </c>
    </row>
    <row r="8560" spans="8:8" x14ac:dyDescent="0.25">
      <c r="H8560" t="s">
        <v>17997</v>
      </c>
    </row>
    <row r="8561" spans="8:8" x14ac:dyDescent="0.25">
      <c r="H8561" t="s">
        <v>30</v>
      </c>
    </row>
    <row r="8562" spans="8:8" x14ac:dyDescent="0.25">
      <c r="H8562" t="s">
        <v>136</v>
      </c>
    </row>
    <row r="8563" spans="8:8" x14ac:dyDescent="0.25">
      <c r="H8563" t="s">
        <v>17998</v>
      </c>
    </row>
    <row r="8564" spans="8:8" x14ac:dyDescent="0.25">
      <c r="H8564" t="s">
        <v>30</v>
      </c>
    </row>
    <row r="8565" spans="8:8" x14ac:dyDescent="0.25">
      <c r="H8565" t="s">
        <v>137</v>
      </c>
    </row>
    <row r="8566" spans="8:8" x14ac:dyDescent="0.25">
      <c r="H8566" t="s">
        <v>17999</v>
      </c>
    </row>
    <row r="8567" spans="8:8" x14ac:dyDescent="0.25">
      <c r="H8567" t="s">
        <v>30</v>
      </c>
    </row>
    <row r="8568" spans="8:8" x14ac:dyDescent="0.25">
      <c r="H8568" t="s">
        <v>138</v>
      </c>
    </row>
    <row r="8569" spans="8:8" x14ac:dyDescent="0.25">
      <c r="H8569" t="s">
        <v>18000</v>
      </c>
    </row>
    <row r="8570" spans="8:8" x14ac:dyDescent="0.25">
      <c r="H8570" t="s">
        <v>30</v>
      </c>
    </row>
    <row r="8572" spans="8:8" x14ac:dyDescent="0.25">
      <c r="H8572" t="s">
        <v>11869</v>
      </c>
    </row>
    <row r="8573" spans="8:8" x14ac:dyDescent="0.25">
      <c r="H8573" t="s">
        <v>11870</v>
      </c>
    </row>
    <row r="8574" spans="8:8" x14ac:dyDescent="0.25">
      <c r="H8574" t="s">
        <v>135</v>
      </c>
    </row>
    <row r="8575" spans="8:8" x14ac:dyDescent="0.25">
      <c r="H8575" t="s">
        <v>18001</v>
      </c>
    </row>
    <row r="8576" spans="8:8" x14ac:dyDescent="0.25">
      <c r="H8576" t="s">
        <v>30</v>
      </c>
    </row>
    <row r="8577" spans="8:8" x14ac:dyDescent="0.25">
      <c r="H8577" t="s">
        <v>136</v>
      </c>
    </row>
    <row r="8578" spans="8:8" x14ac:dyDescent="0.25">
      <c r="H8578" t="s">
        <v>18002</v>
      </c>
    </row>
    <row r="8579" spans="8:8" x14ac:dyDescent="0.25">
      <c r="H8579" t="s">
        <v>30</v>
      </c>
    </row>
    <row r="8580" spans="8:8" x14ac:dyDescent="0.25">
      <c r="H8580" t="s">
        <v>137</v>
      </c>
    </row>
    <row r="8581" spans="8:8" x14ac:dyDescent="0.25">
      <c r="H8581" t="s">
        <v>18003</v>
      </c>
    </row>
    <row r="8582" spans="8:8" x14ac:dyDescent="0.25">
      <c r="H8582" t="s">
        <v>30</v>
      </c>
    </row>
    <row r="8583" spans="8:8" x14ac:dyDescent="0.25">
      <c r="H8583" t="s">
        <v>138</v>
      </c>
    </row>
    <row r="8584" spans="8:8" x14ac:dyDescent="0.25">
      <c r="H8584" t="s">
        <v>18004</v>
      </c>
    </row>
    <row r="8585" spans="8:8" x14ac:dyDescent="0.25">
      <c r="H8585" t="s">
        <v>30</v>
      </c>
    </row>
    <row r="8587" spans="8:8" x14ac:dyDescent="0.25">
      <c r="H8587" t="s">
        <v>11875</v>
      </c>
    </row>
    <row r="8588" spans="8:8" x14ac:dyDescent="0.25">
      <c r="H8588" t="s">
        <v>11876</v>
      </c>
    </row>
    <row r="8589" spans="8:8" x14ac:dyDescent="0.25">
      <c r="H8589" t="s">
        <v>135</v>
      </c>
    </row>
    <row r="8590" spans="8:8" x14ac:dyDescent="0.25">
      <c r="H8590" t="s">
        <v>18005</v>
      </c>
    </row>
    <row r="8591" spans="8:8" x14ac:dyDescent="0.25">
      <c r="H8591" t="s">
        <v>30</v>
      </c>
    </row>
    <row r="8592" spans="8:8" x14ac:dyDescent="0.25">
      <c r="H8592" t="s">
        <v>136</v>
      </c>
    </row>
    <row r="8593" spans="8:8" x14ac:dyDescent="0.25">
      <c r="H8593" t="s">
        <v>18006</v>
      </c>
    </row>
    <row r="8594" spans="8:8" x14ac:dyDescent="0.25">
      <c r="H8594" t="s">
        <v>30</v>
      </c>
    </row>
    <row r="8595" spans="8:8" x14ac:dyDescent="0.25">
      <c r="H8595" t="s">
        <v>137</v>
      </c>
    </row>
    <row r="8596" spans="8:8" x14ac:dyDescent="0.25">
      <c r="H8596" t="s">
        <v>18007</v>
      </c>
    </row>
    <row r="8597" spans="8:8" x14ac:dyDescent="0.25">
      <c r="H8597" t="s">
        <v>30</v>
      </c>
    </row>
    <row r="8598" spans="8:8" x14ac:dyDescent="0.25">
      <c r="H8598" t="s">
        <v>138</v>
      </c>
    </row>
    <row r="8599" spans="8:8" x14ac:dyDescent="0.25">
      <c r="H8599" t="s">
        <v>18008</v>
      </c>
    </row>
    <row r="8600" spans="8:8" x14ac:dyDescent="0.25">
      <c r="H8600" t="s">
        <v>30</v>
      </c>
    </row>
    <row r="8602" spans="8:8" x14ac:dyDescent="0.25">
      <c r="H8602" t="s">
        <v>11881</v>
      </c>
    </row>
    <row r="8603" spans="8:8" x14ac:dyDescent="0.25">
      <c r="H8603" t="s">
        <v>11882</v>
      </c>
    </row>
    <row r="8604" spans="8:8" x14ac:dyDescent="0.25">
      <c r="H8604" t="s">
        <v>135</v>
      </c>
    </row>
    <row r="8605" spans="8:8" x14ac:dyDescent="0.25">
      <c r="H8605" t="s">
        <v>18009</v>
      </c>
    </row>
    <row r="8606" spans="8:8" x14ac:dyDescent="0.25">
      <c r="H8606" t="s">
        <v>30</v>
      </c>
    </row>
    <row r="8607" spans="8:8" x14ac:dyDescent="0.25">
      <c r="H8607" t="s">
        <v>136</v>
      </c>
    </row>
    <row r="8608" spans="8:8" x14ac:dyDescent="0.25">
      <c r="H8608" t="s">
        <v>18010</v>
      </c>
    </row>
    <row r="8609" spans="8:8" x14ac:dyDescent="0.25">
      <c r="H8609" t="s">
        <v>30</v>
      </c>
    </row>
    <row r="8610" spans="8:8" x14ac:dyDescent="0.25">
      <c r="H8610" t="s">
        <v>137</v>
      </c>
    </row>
    <row r="8611" spans="8:8" x14ac:dyDescent="0.25">
      <c r="H8611" t="s">
        <v>18011</v>
      </c>
    </row>
    <row r="8612" spans="8:8" x14ac:dyDescent="0.25">
      <c r="H8612" t="s">
        <v>30</v>
      </c>
    </row>
    <row r="8613" spans="8:8" x14ac:dyDescent="0.25">
      <c r="H8613" t="s">
        <v>138</v>
      </c>
    </row>
    <row r="8614" spans="8:8" x14ac:dyDescent="0.25">
      <c r="H8614" t="s">
        <v>18012</v>
      </c>
    </row>
    <row r="8615" spans="8:8" x14ac:dyDescent="0.25">
      <c r="H8615" t="s">
        <v>30</v>
      </c>
    </row>
    <row r="8617" spans="8:8" x14ac:dyDescent="0.25">
      <c r="H8617" t="s">
        <v>11887</v>
      </c>
    </row>
    <row r="8618" spans="8:8" x14ac:dyDescent="0.25">
      <c r="H8618" t="s">
        <v>11888</v>
      </c>
    </row>
    <row r="8619" spans="8:8" x14ac:dyDescent="0.25">
      <c r="H8619" t="s">
        <v>135</v>
      </c>
    </row>
    <row r="8620" spans="8:8" x14ac:dyDescent="0.25">
      <c r="H8620" t="s">
        <v>18013</v>
      </c>
    </row>
    <row r="8621" spans="8:8" x14ac:dyDescent="0.25">
      <c r="H8621" t="s">
        <v>30</v>
      </c>
    </row>
    <row r="8622" spans="8:8" x14ac:dyDescent="0.25">
      <c r="H8622" t="s">
        <v>136</v>
      </c>
    </row>
    <row r="8623" spans="8:8" x14ac:dyDescent="0.25">
      <c r="H8623" t="s">
        <v>18014</v>
      </c>
    </row>
    <row r="8624" spans="8:8" x14ac:dyDescent="0.25">
      <c r="H8624" t="s">
        <v>30</v>
      </c>
    </row>
    <row r="8625" spans="8:8" x14ac:dyDescent="0.25">
      <c r="H8625" t="s">
        <v>137</v>
      </c>
    </row>
    <row r="8626" spans="8:8" x14ac:dyDescent="0.25">
      <c r="H8626" t="s">
        <v>18015</v>
      </c>
    </row>
    <row r="8627" spans="8:8" x14ac:dyDescent="0.25">
      <c r="H8627" t="s">
        <v>30</v>
      </c>
    </row>
    <row r="8628" spans="8:8" x14ac:dyDescent="0.25">
      <c r="H8628" t="s">
        <v>138</v>
      </c>
    </row>
    <row r="8629" spans="8:8" x14ac:dyDescent="0.25">
      <c r="H8629" t="s">
        <v>18016</v>
      </c>
    </row>
    <row r="8630" spans="8:8" x14ac:dyDescent="0.25">
      <c r="H8630" t="s">
        <v>30</v>
      </c>
    </row>
    <row r="8632" spans="8:8" x14ac:dyDescent="0.25">
      <c r="H8632" t="s">
        <v>11893</v>
      </c>
    </row>
    <row r="8633" spans="8:8" x14ac:dyDescent="0.25">
      <c r="H8633" t="s">
        <v>11894</v>
      </c>
    </row>
    <row r="8634" spans="8:8" x14ac:dyDescent="0.25">
      <c r="H8634" t="s">
        <v>135</v>
      </c>
    </row>
    <row r="8635" spans="8:8" x14ac:dyDescent="0.25">
      <c r="H8635" t="s">
        <v>18017</v>
      </c>
    </row>
    <row r="8636" spans="8:8" x14ac:dyDescent="0.25">
      <c r="H8636" t="s">
        <v>30</v>
      </c>
    </row>
    <row r="8637" spans="8:8" x14ac:dyDescent="0.25">
      <c r="H8637" t="s">
        <v>136</v>
      </c>
    </row>
    <row r="8638" spans="8:8" x14ac:dyDescent="0.25">
      <c r="H8638" t="s">
        <v>18018</v>
      </c>
    </row>
    <row r="8639" spans="8:8" x14ac:dyDescent="0.25">
      <c r="H8639" t="s">
        <v>30</v>
      </c>
    </row>
    <row r="8640" spans="8:8" x14ac:dyDescent="0.25">
      <c r="H8640" t="s">
        <v>137</v>
      </c>
    </row>
    <row r="8641" spans="8:8" x14ac:dyDescent="0.25">
      <c r="H8641" t="s">
        <v>18019</v>
      </c>
    </row>
    <row r="8642" spans="8:8" x14ac:dyDescent="0.25">
      <c r="H8642" t="s">
        <v>30</v>
      </c>
    </row>
    <row r="8643" spans="8:8" x14ac:dyDescent="0.25">
      <c r="H8643" t="s">
        <v>138</v>
      </c>
    </row>
    <row r="8644" spans="8:8" x14ac:dyDescent="0.25">
      <c r="H8644" t="s">
        <v>18020</v>
      </c>
    </row>
    <row r="8645" spans="8:8" x14ac:dyDescent="0.25">
      <c r="H8645" t="s">
        <v>30</v>
      </c>
    </row>
    <row r="8647" spans="8:8" x14ac:dyDescent="0.25">
      <c r="H8647" t="s">
        <v>11899</v>
      </c>
    </row>
    <row r="8648" spans="8:8" x14ac:dyDescent="0.25">
      <c r="H8648" t="s">
        <v>11900</v>
      </c>
    </row>
    <row r="8649" spans="8:8" x14ac:dyDescent="0.25">
      <c r="H8649" t="s">
        <v>135</v>
      </c>
    </row>
    <row r="8650" spans="8:8" x14ac:dyDescent="0.25">
      <c r="H8650" t="s">
        <v>18021</v>
      </c>
    </row>
    <row r="8651" spans="8:8" x14ac:dyDescent="0.25">
      <c r="H8651" t="s">
        <v>30</v>
      </c>
    </row>
    <row r="8652" spans="8:8" x14ac:dyDescent="0.25">
      <c r="H8652" t="s">
        <v>136</v>
      </c>
    </row>
    <row r="8653" spans="8:8" x14ac:dyDescent="0.25">
      <c r="H8653" t="s">
        <v>18022</v>
      </c>
    </row>
    <row r="8654" spans="8:8" x14ac:dyDescent="0.25">
      <c r="H8654" t="s">
        <v>30</v>
      </c>
    </row>
    <row r="8655" spans="8:8" x14ac:dyDescent="0.25">
      <c r="H8655" t="s">
        <v>137</v>
      </c>
    </row>
    <row r="8656" spans="8:8" x14ac:dyDescent="0.25">
      <c r="H8656" t="s">
        <v>18023</v>
      </c>
    </row>
    <row r="8657" spans="8:8" x14ac:dyDescent="0.25">
      <c r="H8657" t="s">
        <v>30</v>
      </c>
    </row>
    <row r="8658" spans="8:8" x14ac:dyDescent="0.25">
      <c r="H8658" t="s">
        <v>138</v>
      </c>
    </row>
    <row r="8659" spans="8:8" x14ac:dyDescent="0.25">
      <c r="H8659" t="s">
        <v>18024</v>
      </c>
    </row>
    <row r="8660" spans="8:8" x14ac:dyDescent="0.25">
      <c r="H8660" t="s">
        <v>30</v>
      </c>
    </row>
    <row r="8662" spans="8:8" x14ac:dyDescent="0.25">
      <c r="H8662" t="s">
        <v>11905</v>
      </c>
    </row>
    <row r="8663" spans="8:8" x14ac:dyDescent="0.25">
      <c r="H8663" t="s">
        <v>11906</v>
      </c>
    </row>
    <row r="8664" spans="8:8" x14ac:dyDescent="0.25">
      <c r="H8664" t="s">
        <v>135</v>
      </c>
    </row>
    <row r="8665" spans="8:8" x14ac:dyDescent="0.25">
      <c r="H8665" t="s">
        <v>18025</v>
      </c>
    </row>
    <row r="8666" spans="8:8" x14ac:dyDescent="0.25">
      <c r="H8666" t="s">
        <v>30</v>
      </c>
    </row>
    <row r="8667" spans="8:8" x14ac:dyDescent="0.25">
      <c r="H8667" t="s">
        <v>136</v>
      </c>
    </row>
    <row r="8668" spans="8:8" x14ac:dyDescent="0.25">
      <c r="H8668" t="s">
        <v>18026</v>
      </c>
    </row>
    <row r="8669" spans="8:8" x14ac:dyDescent="0.25">
      <c r="H8669" t="s">
        <v>30</v>
      </c>
    </row>
    <row r="8670" spans="8:8" x14ac:dyDescent="0.25">
      <c r="H8670" t="s">
        <v>137</v>
      </c>
    </row>
    <row r="8671" spans="8:8" x14ac:dyDescent="0.25">
      <c r="H8671" t="s">
        <v>18027</v>
      </c>
    </row>
    <row r="8672" spans="8:8" x14ac:dyDescent="0.25">
      <c r="H8672" t="s">
        <v>30</v>
      </c>
    </row>
    <row r="8673" spans="8:8" x14ac:dyDescent="0.25">
      <c r="H8673" t="s">
        <v>138</v>
      </c>
    </row>
    <row r="8674" spans="8:8" x14ac:dyDescent="0.25">
      <c r="H8674" t="s">
        <v>18028</v>
      </c>
    </row>
    <row r="8675" spans="8:8" x14ac:dyDescent="0.25">
      <c r="H8675" t="s">
        <v>30</v>
      </c>
    </row>
    <row r="8677" spans="8:8" x14ac:dyDescent="0.25">
      <c r="H8677" t="s">
        <v>11911</v>
      </c>
    </row>
    <row r="8678" spans="8:8" x14ac:dyDescent="0.25">
      <c r="H8678" t="s">
        <v>11912</v>
      </c>
    </row>
    <row r="8679" spans="8:8" x14ac:dyDescent="0.25">
      <c r="H8679" t="s">
        <v>135</v>
      </c>
    </row>
    <row r="8680" spans="8:8" x14ac:dyDescent="0.25">
      <c r="H8680" t="s">
        <v>18029</v>
      </c>
    </row>
    <row r="8681" spans="8:8" x14ac:dyDescent="0.25">
      <c r="H8681" t="s">
        <v>30</v>
      </c>
    </row>
    <row r="8682" spans="8:8" x14ac:dyDescent="0.25">
      <c r="H8682" t="s">
        <v>136</v>
      </c>
    </row>
    <row r="8683" spans="8:8" x14ac:dyDescent="0.25">
      <c r="H8683" t="s">
        <v>18030</v>
      </c>
    </row>
    <row r="8684" spans="8:8" x14ac:dyDescent="0.25">
      <c r="H8684" t="s">
        <v>30</v>
      </c>
    </row>
    <row r="8685" spans="8:8" x14ac:dyDescent="0.25">
      <c r="H8685" t="s">
        <v>137</v>
      </c>
    </row>
    <row r="8686" spans="8:8" x14ac:dyDescent="0.25">
      <c r="H8686" t="s">
        <v>18031</v>
      </c>
    </row>
    <row r="8687" spans="8:8" x14ac:dyDescent="0.25">
      <c r="H8687" t="s">
        <v>30</v>
      </c>
    </row>
    <row r="8688" spans="8:8" x14ac:dyDescent="0.25">
      <c r="H8688" t="s">
        <v>138</v>
      </c>
    </row>
    <row r="8689" spans="8:8" x14ac:dyDescent="0.25">
      <c r="H8689" t="s">
        <v>18032</v>
      </c>
    </row>
    <row r="8690" spans="8:8" x14ac:dyDescent="0.25">
      <c r="H8690" t="s">
        <v>30</v>
      </c>
    </row>
    <row r="8692" spans="8:8" x14ac:dyDescent="0.25">
      <c r="H8692" t="s">
        <v>11917</v>
      </c>
    </row>
    <row r="8693" spans="8:8" x14ac:dyDescent="0.25">
      <c r="H8693" t="s">
        <v>11918</v>
      </c>
    </row>
    <row r="8694" spans="8:8" x14ac:dyDescent="0.25">
      <c r="H8694" t="s">
        <v>135</v>
      </c>
    </row>
    <row r="8695" spans="8:8" x14ac:dyDescent="0.25">
      <c r="H8695" t="s">
        <v>18033</v>
      </c>
    </row>
    <row r="8696" spans="8:8" x14ac:dyDescent="0.25">
      <c r="H8696" t="s">
        <v>30</v>
      </c>
    </row>
    <row r="8697" spans="8:8" x14ac:dyDescent="0.25">
      <c r="H8697" t="s">
        <v>136</v>
      </c>
    </row>
    <row r="8698" spans="8:8" x14ac:dyDescent="0.25">
      <c r="H8698" t="s">
        <v>18034</v>
      </c>
    </row>
    <row r="8699" spans="8:8" x14ac:dyDescent="0.25">
      <c r="H8699" t="s">
        <v>30</v>
      </c>
    </row>
    <row r="8700" spans="8:8" x14ac:dyDescent="0.25">
      <c r="H8700" t="s">
        <v>137</v>
      </c>
    </row>
    <row r="8701" spans="8:8" x14ac:dyDescent="0.25">
      <c r="H8701" t="s">
        <v>18035</v>
      </c>
    </row>
    <row r="8702" spans="8:8" x14ac:dyDescent="0.25">
      <c r="H8702" t="s">
        <v>30</v>
      </c>
    </row>
    <row r="8703" spans="8:8" x14ac:dyDescent="0.25">
      <c r="H8703" t="s">
        <v>138</v>
      </c>
    </row>
    <row r="8704" spans="8:8" x14ac:dyDescent="0.25">
      <c r="H8704" t="s">
        <v>18036</v>
      </c>
    </row>
    <row r="8705" spans="8:8" x14ac:dyDescent="0.25">
      <c r="H8705" t="s">
        <v>30</v>
      </c>
    </row>
    <row r="8707" spans="8:8" x14ac:dyDescent="0.25">
      <c r="H8707" t="s">
        <v>11923</v>
      </c>
    </row>
    <row r="8708" spans="8:8" x14ac:dyDescent="0.25">
      <c r="H8708" t="s">
        <v>11924</v>
      </c>
    </row>
    <row r="8709" spans="8:8" x14ac:dyDescent="0.25">
      <c r="H8709" t="s">
        <v>135</v>
      </c>
    </row>
    <row r="8710" spans="8:8" x14ac:dyDescent="0.25">
      <c r="H8710" t="s">
        <v>18037</v>
      </c>
    </row>
    <row r="8711" spans="8:8" x14ac:dyDescent="0.25">
      <c r="H8711" t="s">
        <v>30</v>
      </c>
    </row>
    <row r="8712" spans="8:8" x14ac:dyDescent="0.25">
      <c r="H8712" t="s">
        <v>136</v>
      </c>
    </row>
    <row r="8713" spans="8:8" x14ac:dyDescent="0.25">
      <c r="H8713" t="s">
        <v>18038</v>
      </c>
    </row>
    <row r="8714" spans="8:8" x14ac:dyDescent="0.25">
      <c r="H8714" t="s">
        <v>30</v>
      </c>
    </row>
    <row r="8715" spans="8:8" x14ac:dyDescent="0.25">
      <c r="H8715" t="s">
        <v>137</v>
      </c>
    </row>
    <row r="8716" spans="8:8" x14ac:dyDescent="0.25">
      <c r="H8716" t="s">
        <v>18039</v>
      </c>
    </row>
    <row r="8717" spans="8:8" x14ac:dyDescent="0.25">
      <c r="H8717" t="s">
        <v>30</v>
      </c>
    </row>
    <row r="8718" spans="8:8" x14ac:dyDescent="0.25">
      <c r="H8718" t="s">
        <v>138</v>
      </c>
    </row>
    <row r="8719" spans="8:8" x14ac:dyDescent="0.25">
      <c r="H8719" t="s">
        <v>18040</v>
      </c>
    </row>
    <row r="8720" spans="8:8" x14ac:dyDescent="0.25">
      <c r="H8720" t="s">
        <v>30</v>
      </c>
    </row>
    <row r="8722" spans="8:8" x14ac:dyDescent="0.25">
      <c r="H8722" t="s">
        <v>11929</v>
      </c>
    </row>
    <row r="8723" spans="8:8" x14ac:dyDescent="0.25">
      <c r="H8723" t="s">
        <v>11930</v>
      </c>
    </row>
    <row r="8724" spans="8:8" x14ac:dyDescent="0.25">
      <c r="H8724" t="s">
        <v>135</v>
      </c>
    </row>
    <row r="8725" spans="8:8" x14ac:dyDescent="0.25">
      <c r="H8725" t="s">
        <v>18041</v>
      </c>
    </row>
    <row r="8726" spans="8:8" x14ac:dyDescent="0.25">
      <c r="H8726" t="s">
        <v>30</v>
      </c>
    </row>
    <row r="8727" spans="8:8" x14ac:dyDescent="0.25">
      <c r="H8727" t="s">
        <v>136</v>
      </c>
    </row>
    <row r="8728" spans="8:8" x14ac:dyDescent="0.25">
      <c r="H8728" t="s">
        <v>18042</v>
      </c>
    </row>
    <row r="8729" spans="8:8" x14ac:dyDescent="0.25">
      <c r="H8729" t="s">
        <v>30</v>
      </c>
    </row>
    <row r="8730" spans="8:8" x14ac:dyDescent="0.25">
      <c r="H8730" t="s">
        <v>137</v>
      </c>
    </row>
    <row r="8731" spans="8:8" x14ac:dyDescent="0.25">
      <c r="H8731" t="s">
        <v>18043</v>
      </c>
    </row>
    <row r="8732" spans="8:8" x14ac:dyDescent="0.25">
      <c r="H8732" t="s">
        <v>30</v>
      </c>
    </row>
    <row r="8733" spans="8:8" x14ac:dyDescent="0.25">
      <c r="H8733" t="s">
        <v>138</v>
      </c>
    </row>
    <row r="8734" spans="8:8" x14ac:dyDescent="0.25">
      <c r="H8734" t="s">
        <v>18044</v>
      </c>
    </row>
    <row r="8735" spans="8:8" x14ac:dyDescent="0.25">
      <c r="H8735" t="s">
        <v>30</v>
      </c>
    </row>
    <row r="8737" spans="8:8" x14ac:dyDescent="0.25">
      <c r="H8737" t="s">
        <v>11935</v>
      </c>
    </row>
    <row r="8738" spans="8:8" x14ac:dyDescent="0.25">
      <c r="H8738" t="s">
        <v>11936</v>
      </c>
    </row>
    <row r="8739" spans="8:8" x14ac:dyDescent="0.25">
      <c r="H8739" t="s">
        <v>135</v>
      </c>
    </row>
    <row r="8740" spans="8:8" x14ac:dyDescent="0.25">
      <c r="H8740" t="s">
        <v>18045</v>
      </c>
    </row>
    <row r="8741" spans="8:8" x14ac:dyDescent="0.25">
      <c r="H8741" t="s">
        <v>30</v>
      </c>
    </row>
    <row r="8742" spans="8:8" x14ac:dyDescent="0.25">
      <c r="H8742" t="s">
        <v>136</v>
      </c>
    </row>
    <row r="8743" spans="8:8" x14ac:dyDescent="0.25">
      <c r="H8743" t="s">
        <v>18046</v>
      </c>
    </row>
    <row r="8744" spans="8:8" x14ac:dyDescent="0.25">
      <c r="H8744" t="s">
        <v>30</v>
      </c>
    </row>
    <row r="8745" spans="8:8" x14ac:dyDescent="0.25">
      <c r="H8745" t="s">
        <v>137</v>
      </c>
    </row>
    <row r="8746" spans="8:8" x14ac:dyDescent="0.25">
      <c r="H8746" t="s">
        <v>18047</v>
      </c>
    </row>
    <row r="8747" spans="8:8" x14ac:dyDescent="0.25">
      <c r="H8747" t="s">
        <v>30</v>
      </c>
    </row>
    <row r="8748" spans="8:8" x14ac:dyDescent="0.25">
      <c r="H8748" t="s">
        <v>138</v>
      </c>
    </row>
    <row r="8749" spans="8:8" x14ac:dyDescent="0.25">
      <c r="H8749" t="s">
        <v>18048</v>
      </c>
    </row>
    <row r="8750" spans="8:8" x14ac:dyDescent="0.25">
      <c r="H8750" t="s">
        <v>30</v>
      </c>
    </row>
    <row r="8752" spans="8:8" x14ac:dyDescent="0.25">
      <c r="H8752" t="s">
        <v>11941</v>
      </c>
    </row>
    <row r="8753" spans="8:8" x14ac:dyDescent="0.25">
      <c r="H8753" t="s">
        <v>11942</v>
      </c>
    </row>
    <row r="8754" spans="8:8" x14ac:dyDescent="0.25">
      <c r="H8754" t="s">
        <v>135</v>
      </c>
    </row>
    <row r="8755" spans="8:8" x14ac:dyDescent="0.25">
      <c r="H8755" t="s">
        <v>18049</v>
      </c>
    </row>
    <row r="8756" spans="8:8" x14ac:dyDescent="0.25">
      <c r="H8756" t="s">
        <v>30</v>
      </c>
    </row>
    <row r="8757" spans="8:8" x14ac:dyDescent="0.25">
      <c r="H8757" t="s">
        <v>136</v>
      </c>
    </row>
    <row r="8758" spans="8:8" x14ac:dyDescent="0.25">
      <c r="H8758" t="s">
        <v>18050</v>
      </c>
    </row>
    <row r="8759" spans="8:8" x14ac:dyDescent="0.25">
      <c r="H8759" t="s">
        <v>30</v>
      </c>
    </row>
    <row r="8760" spans="8:8" x14ac:dyDescent="0.25">
      <c r="H8760" t="s">
        <v>137</v>
      </c>
    </row>
    <row r="8761" spans="8:8" x14ac:dyDescent="0.25">
      <c r="H8761" t="s">
        <v>18051</v>
      </c>
    </row>
    <row r="8762" spans="8:8" x14ac:dyDescent="0.25">
      <c r="H8762" t="s">
        <v>30</v>
      </c>
    </row>
    <row r="8763" spans="8:8" x14ac:dyDescent="0.25">
      <c r="H8763" t="s">
        <v>138</v>
      </c>
    </row>
    <row r="8764" spans="8:8" x14ac:dyDescent="0.25">
      <c r="H8764" t="s">
        <v>18052</v>
      </c>
    </row>
    <row r="8765" spans="8:8" x14ac:dyDescent="0.25">
      <c r="H8765" t="s">
        <v>30</v>
      </c>
    </row>
    <row r="8767" spans="8:8" x14ac:dyDescent="0.25">
      <c r="H8767" t="s">
        <v>11947</v>
      </c>
    </row>
    <row r="8768" spans="8:8" x14ac:dyDescent="0.25">
      <c r="H8768" t="s">
        <v>11948</v>
      </c>
    </row>
    <row r="8769" spans="8:8" x14ac:dyDescent="0.25">
      <c r="H8769" t="s">
        <v>135</v>
      </c>
    </row>
    <row r="8770" spans="8:8" x14ac:dyDescent="0.25">
      <c r="H8770" t="s">
        <v>18053</v>
      </c>
    </row>
    <row r="8771" spans="8:8" x14ac:dyDescent="0.25">
      <c r="H8771" t="s">
        <v>30</v>
      </c>
    </row>
    <row r="8772" spans="8:8" x14ac:dyDescent="0.25">
      <c r="H8772" t="s">
        <v>136</v>
      </c>
    </row>
    <row r="8773" spans="8:8" x14ac:dyDescent="0.25">
      <c r="H8773" t="s">
        <v>18054</v>
      </c>
    </row>
    <row r="8774" spans="8:8" x14ac:dyDescent="0.25">
      <c r="H8774" t="s">
        <v>30</v>
      </c>
    </row>
    <row r="8775" spans="8:8" x14ac:dyDescent="0.25">
      <c r="H8775" t="s">
        <v>137</v>
      </c>
    </row>
    <row r="8776" spans="8:8" x14ac:dyDescent="0.25">
      <c r="H8776" t="s">
        <v>18055</v>
      </c>
    </row>
    <row r="8777" spans="8:8" x14ac:dyDescent="0.25">
      <c r="H8777" t="s">
        <v>30</v>
      </c>
    </row>
    <row r="8778" spans="8:8" x14ac:dyDescent="0.25">
      <c r="H8778" t="s">
        <v>138</v>
      </c>
    </row>
    <row r="8779" spans="8:8" x14ac:dyDescent="0.25">
      <c r="H8779" t="s">
        <v>18056</v>
      </c>
    </row>
    <row r="8780" spans="8:8" x14ac:dyDescent="0.25">
      <c r="H8780" t="s">
        <v>30</v>
      </c>
    </row>
    <row r="8782" spans="8:8" x14ac:dyDescent="0.25">
      <c r="H8782" t="s">
        <v>11953</v>
      </c>
    </row>
    <row r="8783" spans="8:8" x14ac:dyDescent="0.25">
      <c r="H8783" t="s">
        <v>11954</v>
      </c>
    </row>
    <row r="8784" spans="8:8" x14ac:dyDescent="0.25">
      <c r="H8784" t="s">
        <v>135</v>
      </c>
    </row>
    <row r="8785" spans="8:8" x14ac:dyDescent="0.25">
      <c r="H8785" t="s">
        <v>18057</v>
      </c>
    </row>
    <row r="8786" spans="8:8" x14ac:dyDescent="0.25">
      <c r="H8786" t="s">
        <v>30</v>
      </c>
    </row>
    <row r="8787" spans="8:8" x14ac:dyDescent="0.25">
      <c r="H8787" t="s">
        <v>136</v>
      </c>
    </row>
    <row r="8788" spans="8:8" x14ac:dyDescent="0.25">
      <c r="H8788" t="s">
        <v>18058</v>
      </c>
    </row>
    <row r="8789" spans="8:8" x14ac:dyDescent="0.25">
      <c r="H8789" t="s">
        <v>30</v>
      </c>
    </row>
    <row r="8790" spans="8:8" x14ac:dyDescent="0.25">
      <c r="H8790" t="s">
        <v>137</v>
      </c>
    </row>
    <row r="8791" spans="8:8" x14ac:dyDescent="0.25">
      <c r="H8791" t="s">
        <v>18059</v>
      </c>
    </row>
    <row r="8792" spans="8:8" x14ac:dyDescent="0.25">
      <c r="H8792" t="s">
        <v>30</v>
      </c>
    </row>
    <row r="8793" spans="8:8" x14ac:dyDescent="0.25">
      <c r="H8793" t="s">
        <v>138</v>
      </c>
    </row>
    <row r="8794" spans="8:8" x14ac:dyDescent="0.25">
      <c r="H8794" t="s">
        <v>18060</v>
      </c>
    </row>
    <row r="8795" spans="8:8" x14ac:dyDescent="0.25">
      <c r="H8795" t="s">
        <v>30</v>
      </c>
    </row>
    <row r="8797" spans="8:8" x14ac:dyDescent="0.25">
      <c r="H8797" t="s">
        <v>11959</v>
      </c>
    </row>
    <row r="8798" spans="8:8" x14ac:dyDescent="0.25">
      <c r="H8798" t="s">
        <v>11960</v>
      </c>
    </row>
    <row r="8799" spans="8:8" x14ac:dyDescent="0.25">
      <c r="H8799" t="s">
        <v>135</v>
      </c>
    </row>
    <row r="8800" spans="8:8" x14ac:dyDescent="0.25">
      <c r="H8800" t="s">
        <v>18061</v>
      </c>
    </row>
    <row r="8801" spans="8:8" x14ac:dyDescent="0.25">
      <c r="H8801" t="s">
        <v>30</v>
      </c>
    </row>
    <row r="8802" spans="8:8" x14ac:dyDescent="0.25">
      <c r="H8802" t="s">
        <v>136</v>
      </c>
    </row>
    <row r="8803" spans="8:8" x14ac:dyDescent="0.25">
      <c r="H8803" t="s">
        <v>18062</v>
      </c>
    </row>
    <row r="8804" spans="8:8" x14ac:dyDescent="0.25">
      <c r="H8804" t="s">
        <v>30</v>
      </c>
    </row>
    <row r="8805" spans="8:8" x14ac:dyDescent="0.25">
      <c r="H8805" t="s">
        <v>137</v>
      </c>
    </row>
    <row r="8806" spans="8:8" x14ac:dyDescent="0.25">
      <c r="H8806" t="s">
        <v>18063</v>
      </c>
    </row>
    <row r="8807" spans="8:8" x14ac:dyDescent="0.25">
      <c r="H8807" t="s">
        <v>30</v>
      </c>
    </row>
    <row r="8808" spans="8:8" x14ac:dyDescent="0.25">
      <c r="H8808" t="s">
        <v>138</v>
      </c>
    </row>
    <row r="8809" spans="8:8" x14ac:dyDescent="0.25">
      <c r="H8809" t="s">
        <v>18064</v>
      </c>
    </row>
    <row r="8810" spans="8:8" x14ac:dyDescent="0.25">
      <c r="H8810" t="s">
        <v>30</v>
      </c>
    </row>
    <row r="8812" spans="8:8" x14ac:dyDescent="0.25">
      <c r="H8812" t="s">
        <v>11965</v>
      </c>
    </row>
    <row r="8813" spans="8:8" x14ac:dyDescent="0.25">
      <c r="H8813" t="s">
        <v>11966</v>
      </c>
    </row>
    <row r="8814" spans="8:8" x14ac:dyDescent="0.25">
      <c r="H8814" t="s">
        <v>135</v>
      </c>
    </row>
    <row r="8815" spans="8:8" x14ac:dyDescent="0.25">
      <c r="H8815" t="s">
        <v>18065</v>
      </c>
    </row>
    <row r="8816" spans="8:8" x14ac:dyDescent="0.25">
      <c r="H8816" t="s">
        <v>30</v>
      </c>
    </row>
    <row r="8817" spans="8:8" x14ac:dyDescent="0.25">
      <c r="H8817" t="s">
        <v>136</v>
      </c>
    </row>
    <row r="8818" spans="8:8" x14ac:dyDescent="0.25">
      <c r="H8818" t="s">
        <v>18066</v>
      </c>
    </row>
    <row r="8819" spans="8:8" x14ac:dyDescent="0.25">
      <c r="H8819" t="s">
        <v>30</v>
      </c>
    </row>
    <row r="8820" spans="8:8" x14ac:dyDescent="0.25">
      <c r="H8820" t="s">
        <v>137</v>
      </c>
    </row>
    <row r="8821" spans="8:8" x14ac:dyDescent="0.25">
      <c r="H8821" t="s">
        <v>18067</v>
      </c>
    </row>
    <row r="8822" spans="8:8" x14ac:dyDescent="0.25">
      <c r="H8822" t="s">
        <v>30</v>
      </c>
    </row>
    <row r="8823" spans="8:8" x14ac:dyDescent="0.25">
      <c r="H8823" t="s">
        <v>138</v>
      </c>
    </row>
    <row r="8824" spans="8:8" x14ac:dyDescent="0.25">
      <c r="H8824" t="s">
        <v>18068</v>
      </c>
    </row>
    <row r="8825" spans="8:8" x14ac:dyDescent="0.25">
      <c r="H8825" t="s">
        <v>30</v>
      </c>
    </row>
    <row r="8827" spans="8:8" x14ac:dyDescent="0.25">
      <c r="H8827" t="s">
        <v>11971</v>
      </c>
    </row>
    <row r="8828" spans="8:8" x14ac:dyDescent="0.25">
      <c r="H8828" t="s">
        <v>11972</v>
      </c>
    </row>
    <row r="8829" spans="8:8" x14ac:dyDescent="0.25">
      <c r="H8829" t="s">
        <v>135</v>
      </c>
    </row>
    <row r="8830" spans="8:8" x14ac:dyDescent="0.25">
      <c r="H8830" t="s">
        <v>18069</v>
      </c>
    </row>
    <row r="8831" spans="8:8" x14ac:dyDescent="0.25">
      <c r="H8831" t="s">
        <v>30</v>
      </c>
    </row>
    <row r="8832" spans="8:8" x14ac:dyDescent="0.25">
      <c r="H8832" t="s">
        <v>136</v>
      </c>
    </row>
    <row r="8833" spans="8:8" x14ac:dyDescent="0.25">
      <c r="H8833" t="s">
        <v>18070</v>
      </c>
    </row>
    <row r="8834" spans="8:8" x14ac:dyDescent="0.25">
      <c r="H8834" t="s">
        <v>30</v>
      </c>
    </row>
    <row r="8835" spans="8:8" x14ac:dyDescent="0.25">
      <c r="H8835" t="s">
        <v>137</v>
      </c>
    </row>
    <row r="8836" spans="8:8" x14ac:dyDescent="0.25">
      <c r="H8836" t="s">
        <v>18071</v>
      </c>
    </row>
    <row r="8837" spans="8:8" x14ac:dyDescent="0.25">
      <c r="H8837" t="s">
        <v>30</v>
      </c>
    </row>
    <row r="8838" spans="8:8" x14ac:dyDescent="0.25">
      <c r="H8838" t="s">
        <v>138</v>
      </c>
    </row>
    <row r="8839" spans="8:8" x14ac:dyDescent="0.25">
      <c r="H8839" t="s">
        <v>18072</v>
      </c>
    </row>
    <row r="8840" spans="8:8" x14ac:dyDescent="0.25">
      <c r="H8840" t="s">
        <v>30</v>
      </c>
    </row>
    <row r="8842" spans="8:8" x14ac:dyDescent="0.25">
      <c r="H8842" t="s">
        <v>11977</v>
      </c>
    </row>
    <row r="8843" spans="8:8" x14ac:dyDescent="0.25">
      <c r="H8843" t="s">
        <v>11978</v>
      </c>
    </row>
    <row r="8844" spans="8:8" x14ac:dyDescent="0.25">
      <c r="H8844" t="s">
        <v>135</v>
      </c>
    </row>
    <row r="8845" spans="8:8" x14ac:dyDescent="0.25">
      <c r="H8845" t="s">
        <v>18073</v>
      </c>
    </row>
    <row r="8846" spans="8:8" x14ac:dyDescent="0.25">
      <c r="H8846" t="s">
        <v>30</v>
      </c>
    </row>
    <row r="8847" spans="8:8" x14ac:dyDescent="0.25">
      <c r="H8847" t="s">
        <v>136</v>
      </c>
    </row>
    <row r="8848" spans="8:8" x14ac:dyDescent="0.25">
      <c r="H8848" t="s">
        <v>18074</v>
      </c>
    </row>
    <row r="8849" spans="8:8" x14ac:dyDescent="0.25">
      <c r="H8849" t="s">
        <v>30</v>
      </c>
    </row>
    <row r="8850" spans="8:8" x14ac:dyDescent="0.25">
      <c r="H8850" t="s">
        <v>137</v>
      </c>
    </row>
    <row r="8851" spans="8:8" x14ac:dyDescent="0.25">
      <c r="H8851" t="s">
        <v>18075</v>
      </c>
    </row>
    <row r="8852" spans="8:8" x14ac:dyDescent="0.25">
      <c r="H8852" t="s">
        <v>30</v>
      </c>
    </row>
    <row r="8853" spans="8:8" x14ac:dyDescent="0.25">
      <c r="H8853" t="s">
        <v>138</v>
      </c>
    </row>
    <row r="8854" spans="8:8" x14ac:dyDescent="0.25">
      <c r="H8854" t="s">
        <v>18076</v>
      </c>
    </row>
    <row r="8855" spans="8:8" x14ac:dyDescent="0.25">
      <c r="H8855" t="s">
        <v>30</v>
      </c>
    </row>
    <row r="8857" spans="8:8" x14ac:dyDescent="0.25">
      <c r="H8857" t="s">
        <v>11983</v>
      </c>
    </row>
    <row r="8858" spans="8:8" x14ac:dyDescent="0.25">
      <c r="H8858" t="s">
        <v>11984</v>
      </c>
    </row>
    <row r="8859" spans="8:8" x14ac:dyDescent="0.25">
      <c r="H8859" t="s">
        <v>135</v>
      </c>
    </row>
    <row r="8860" spans="8:8" x14ac:dyDescent="0.25">
      <c r="H8860" t="s">
        <v>18077</v>
      </c>
    </row>
    <row r="8861" spans="8:8" x14ac:dyDescent="0.25">
      <c r="H8861" t="s">
        <v>30</v>
      </c>
    </row>
    <row r="8862" spans="8:8" x14ac:dyDescent="0.25">
      <c r="H8862" t="s">
        <v>136</v>
      </c>
    </row>
    <row r="8863" spans="8:8" x14ac:dyDescent="0.25">
      <c r="H8863" t="s">
        <v>18078</v>
      </c>
    </row>
    <row r="8864" spans="8:8" x14ac:dyDescent="0.25">
      <c r="H8864" t="s">
        <v>30</v>
      </c>
    </row>
    <row r="8865" spans="8:8" x14ac:dyDescent="0.25">
      <c r="H8865" t="s">
        <v>137</v>
      </c>
    </row>
    <row r="8866" spans="8:8" x14ac:dyDescent="0.25">
      <c r="H8866" t="s">
        <v>18079</v>
      </c>
    </row>
    <row r="8867" spans="8:8" x14ac:dyDescent="0.25">
      <c r="H8867" t="s">
        <v>30</v>
      </c>
    </row>
    <row r="8868" spans="8:8" x14ac:dyDescent="0.25">
      <c r="H8868" t="s">
        <v>138</v>
      </c>
    </row>
    <row r="8869" spans="8:8" x14ac:dyDescent="0.25">
      <c r="H8869" t="s">
        <v>18080</v>
      </c>
    </row>
    <row r="8870" spans="8:8" x14ac:dyDescent="0.25">
      <c r="H8870" t="s">
        <v>30</v>
      </c>
    </row>
    <row r="8872" spans="8:8" x14ac:dyDescent="0.25">
      <c r="H8872" t="s">
        <v>11989</v>
      </c>
    </row>
    <row r="8873" spans="8:8" x14ac:dyDescent="0.25">
      <c r="H8873" t="s">
        <v>11990</v>
      </c>
    </row>
    <row r="8874" spans="8:8" x14ac:dyDescent="0.25">
      <c r="H8874" t="s">
        <v>135</v>
      </c>
    </row>
    <row r="8875" spans="8:8" x14ac:dyDescent="0.25">
      <c r="H8875" t="s">
        <v>18081</v>
      </c>
    </row>
    <row r="8876" spans="8:8" x14ac:dyDescent="0.25">
      <c r="H8876" t="s">
        <v>30</v>
      </c>
    </row>
    <row r="8877" spans="8:8" x14ac:dyDescent="0.25">
      <c r="H8877" t="s">
        <v>136</v>
      </c>
    </row>
    <row r="8878" spans="8:8" x14ac:dyDescent="0.25">
      <c r="H8878" t="s">
        <v>18082</v>
      </c>
    </row>
    <row r="8879" spans="8:8" x14ac:dyDescent="0.25">
      <c r="H8879" t="s">
        <v>30</v>
      </c>
    </row>
    <row r="8880" spans="8:8" x14ac:dyDescent="0.25">
      <c r="H8880" t="s">
        <v>137</v>
      </c>
    </row>
    <row r="8881" spans="8:8" x14ac:dyDescent="0.25">
      <c r="H8881" t="s">
        <v>18083</v>
      </c>
    </row>
    <row r="8882" spans="8:8" x14ac:dyDescent="0.25">
      <c r="H8882" t="s">
        <v>30</v>
      </c>
    </row>
    <row r="8883" spans="8:8" x14ac:dyDescent="0.25">
      <c r="H8883" t="s">
        <v>138</v>
      </c>
    </row>
    <row r="8884" spans="8:8" x14ac:dyDescent="0.25">
      <c r="H8884" t="s">
        <v>18084</v>
      </c>
    </row>
    <row r="8885" spans="8:8" x14ac:dyDescent="0.25">
      <c r="H8885" t="s">
        <v>30</v>
      </c>
    </row>
    <row r="8887" spans="8:8" x14ac:dyDescent="0.25">
      <c r="H8887" t="s">
        <v>11995</v>
      </c>
    </row>
    <row r="8888" spans="8:8" x14ac:dyDescent="0.25">
      <c r="H8888" t="s">
        <v>11996</v>
      </c>
    </row>
    <row r="8889" spans="8:8" x14ac:dyDescent="0.25">
      <c r="H8889" t="s">
        <v>135</v>
      </c>
    </row>
    <row r="8890" spans="8:8" x14ac:dyDescent="0.25">
      <c r="H8890" t="s">
        <v>18085</v>
      </c>
    </row>
    <row r="8891" spans="8:8" x14ac:dyDescent="0.25">
      <c r="H8891" t="s">
        <v>30</v>
      </c>
    </row>
    <row r="8892" spans="8:8" x14ac:dyDescent="0.25">
      <c r="H8892" t="s">
        <v>136</v>
      </c>
    </row>
    <row r="8893" spans="8:8" x14ac:dyDescent="0.25">
      <c r="H8893" t="s">
        <v>18086</v>
      </c>
    </row>
    <row r="8894" spans="8:8" x14ac:dyDescent="0.25">
      <c r="H8894" t="s">
        <v>30</v>
      </c>
    </row>
    <row r="8895" spans="8:8" x14ac:dyDescent="0.25">
      <c r="H8895" t="s">
        <v>137</v>
      </c>
    </row>
    <row r="8896" spans="8:8" x14ac:dyDescent="0.25">
      <c r="H8896" t="s">
        <v>18087</v>
      </c>
    </row>
    <row r="8897" spans="8:8" x14ac:dyDescent="0.25">
      <c r="H8897" t="s">
        <v>30</v>
      </c>
    </row>
    <row r="8898" spans="8:8" x14ac:dyDescent="0.25">
      <c r="H8898" t="s">
        <v>138</v>
      </c>
    </row>
    <row r="8899" spans="8:8" x14ac:dyDescent="0.25">
      <c r="H8899" t="s">
        <v>18088</v>
      </c>
    </row>
    <row r="8900" spans="8:8" x14ac:dyDescent="0.25">
      <c r="H8900" t="s">
        <v>30</v>
      </c>
    </row>
    <row r="8902" spans="8:8" x14ac:dyDescent="0.25">
      <c r="H8902" t="s">
        <v>12001</v>
      </c>
    </row>
    <row r="8903" spans="8:8" x14ac:dyDescent="0.25">
      <c r="H8903" t="s">
        <v>12002</v>
      </c>
    </row>
    <row r="8904" spans="8:8" x14ac:dyDescent="0.25">
      <c r="H8904" t="s">
        <v>135</v>
      </c>
    </row>
    <row r="8905" spans="8:8" x14ac:dyDescent="0.25">
      <c r="H8905" t="s">
        <v>18089</v>
      </c>
    </row>
    <row r="8906" spans="8:8" x14ac:dyDescent="0.25">
      <c r="H8906" t="s">
        <v>30</v>
      </c>
    </row>
    <row r="8907" spans="8:8" x14ac:dyDescent="0.25">
      <c r="H8907" t="s">
        <v>136</v>
      </c>
    </row>
    <row r="8908" spans="8:8" x14ac:dyDescent="0.25">
      <c r="H8908" t="s">
        <v>18090</v>
      </c>
    </row>
    <row r="8909" spans="8:8" x14ac:dyDescent="0.25">
      <c r="H8909" t="s">
        <v>30</v>
      </c>
    </row>
    <row r="8910" spans="8:8" x14ac:dyDescent="0.25">
      <c r="H8910" t="s">
        <v>137</v>
      </c>
    </row>
    <row r="8911" spans="8:8" x14ac:dyDescent="0.25">
      <c r="H8911" t="s">
        <v>18091</v>
      </c>
    </row>
    <row r="8912" spans="8:8" x14ac:dyDescent="0.25">
      <c r="H8912" t="s">
        <v>30</v>
      </c>
    </row>
    <row r="8913" spans="8:8" x14ac:dyDescent="0.25">
      <c r="H8913" t="s">
        <v>138</v>
      </c>
    </row>
    <row r="8914" spans="8:8" x14ac:dyDescent="0.25">
      <c r="H8914" t="s">
        <v>18092</v>
      </c>
    </row>
    <row r="8915" spans="8:8" x14ac:dyDescent="0.25">
      <c r="H8915" t="s">
        <v>30</v>
      </c>
    </row>
    <row r="8917" spans="8:8" x14ac:dyDescent="0.25">
      <c r="H8917" t="s">
        <v>12007</v>
      </c>
    </row>
    <row r="8918" spans="8:8" x14ac:dyDescent="0.25">
      <c r="H8918" t="s">
        <v>12008</v>
      </c>
    </row>
    <row r="8919" spans="8:8" x14ac:dyDescent="0.25">
      <c r="H8919" t="s">
        <v>135</v>
      </c>
    </row>
    <row r="8920" spans="8:8" x14ac:dyDescent="0.25">
      <c r="H8920" t="s">
        <v>18093</v>
      </c>
    </row>
    <row r="8921" spans="8:8" x14ac:dyDescent="0.25">
      <c r="H8921" t="s">
        <v>30</v>
      </c>
    </row>
    <row r="8922" spans="8:8" x14ac:dyDescent="0.25">
      <c r="H8922" t="s">
        <v>136</v>
      </c>
    </row>
    <row r="8923" spans="8:8" x14ac:dyDescent="0.25">
      <c r="H8923" t="s">
        <v>18094</v>
      </c>
    </row>
    <row r="8924" spans="8:8" x14ac:dyDescent="0.25">
      <c r="H8924" t="s">
        <v>30</v>
      </c>
    </row>
    <row r="8925" spans="8:8" x14ac:dyDescent="0.25">
      <c r="H8925" t="s">
        <v>137</v>
      </c>
    </row>
    <row r="8926" spans="8:8" x14ac:dyDescent="0.25">
      <c r="H8926" t="s">
        <v>18095</v>
      </c>
    </row>
    <row r="8927" spans="8:8" x14ac:dyDescent="0.25">
      <c r="H8927" t="s">
        <v>30</v>
      </c>
    </row>
    <row r="8928" spans="8:8" x14ac:dyDescent="0.25">
      <c r="H8928" t="s">
        <v>138</v>
      </c>
    </row>
    <row r="8929" spans="8:8" x14ac:dyDescent="0.25">
      <c r="H8929" t="s">
        <v>18096</v>
      </c>
    </row>
    <row r="8930" spans="8:8" x14ac:dyDescent="0.25">
      <c r="H8930" t="s">
        <v>30</v>
      </c>
    </row>
    <row r="8932" spans="8:8" x14ac:dyDescent="0.25">
      <c r="H8932" t="s">
        <v>12013</v>
      </c>
    </row>
    <row r="8933" spans="8:8" x14ac:dyDescent="0.25">
      <c r="H8933" t="s">
        <v>12014</v>
      </c>
    </row>
    <row r="8934" spans="8:8" x14ac:dyDescent="0.25">
      <c r="H8934" t="s">
        <v>135</v>
      </c>
    </row>
    <row r="8935" spans="8:8" x14ac:dyDescent="0.25">
      <c r="H8935" t="s">
        <v>18097</v>
      </c>
    </row>
    <row r="8936" spans="8:8" x14ac:dyDescent="0.25">
      <c r="H8936" t="s">
        <v>30</v>
      </c>
    </row>
    <row r="8937" spans="8:8" x14ac:dyDescent="0.25">
      <c r="H8937" t="s">
        <v>136</v>
      </c>
    </row>
    <row r="8938" spans="8:8" x14ac:dyDescent="0.25">
      <c r="H8938" t="s">
        <v>18098</v>
      </c>
    </row>
    <row r="8939" spans="8:8" x14ac:dyDescent="0.25">
      <c r="H8939" t="s">
        <v>30</v>
      </c>
    </row>
    <row r="8940" spans="8:8" x14ac:dyDescent="0.25">
      <c r="H8940" t="s">
        <v>137</v>
      </c>
    </row>
    <row r="8941" spans="8:8" x14ac:dyDescent="0.25">
      <c r="H8941" t="s">
        <v>18099</v>
      </c>
    </row>
    <row r="8942" spans="8:8" x14ac:dyDescent="0.25">
      <c r="H8942" t="s">
        <v>30</v>
      </c>
    </row>
    <row r="8943" spans="8:8" x14ac:dyDescent="0.25">
      <c r="H8943" t="s">
        <v>138</v>
      </c>
    </row>
    <row r="8944" spans="8:8" x14ac:dyDescent="0.25">
      <c r="H8944" t="s">
        <v>18100</v>
      </c>
    </row>
    <row r="8945" spans="8:8" x14ac:dyDescent="0.25">
      <c r="H8945" t="s">
        <v>30</v>
      </c>
    </row>
    <row r="8947" spans="8:8" x14ac:dyDescent="0.25">
      <c r="H8947" t="s">
        <v>12019</v>
      </c>
    </row>
    <row r="8948" spans="8:8" x14ac:dyDescent="0.25">
      <c r="H8948" t="s">
        <v>12020</v>
      </c>
    </row>
    <row r="8949" spans="8:8" x14ac:dyDescent="0.25">
      <c r="H8949" t="s">
        <v>135</v>
      </c>
    </row>
    <row r="8950" spans="8:8" x14ac:dyDescent="0.25">
      <c r="H8950" t="s">
        <v>18101</v>
      </c>
    </row>
    <row r="8951" spans="8:8" x14ac:dyDescent="0.25">
      <c r="H8951" t="s">
        <v>30</v>
      </c>
    </row>
    <row r="8952" spans="8:8" x14ac:dyDescent="0.25">
      <c r="H8952" t="s">
        <v>136</v>
      </c>
    </row>
    <row r="8953" spans="8:8" x14ac:dyDescent="0.25">
      <c r="H8953" t="s">
        <v>18102</v>
      </c>
    </row>
    <row r="8954" spans="8:8" x14ac:dyDescent="0.25">
      <c r="H8954" t="s">
        <v>30</v>
      </c>
    </row>
    <row r="8955" spans="8:8" x14ac:dyDescent="0.25">
      <c r="H8955" t="s">
        <v>137</v>
      </c>
    </row>
    <row r="8956" spans="8:8" x14ac:dyDescent="0.25">
      <c r="H8956" t="s">
        <v>18103</v>
      </c>
    </row>
    <row r="8957" spans="8:8" x14ac:dyDescent="0.25">
      <c r="H8957" t="s">
        <v>30</v>
      </c>
    </row>
    <row r="8958" spans="8:8" x14ac:dyDescent="0.25">
      <c r="H8958" t="s">
        <v>138</v>
      </c>
    </row>
    <row r="8959" spans="8:8" x14ac:dyDescent="0.25">
      <c r="H8959" t="s">
        <v>18104</v>
      </c>
    </row>
    <row r="8960" spans="8:8" x14ac:dyDescent="0.25">
      <c r="H8960" t="s">
        <v>30</v>
      </c>
    </row>
    <row r="8962" spans="8:8" x14ac:dyDescent="0.25">
      <c r="H8962" t="s">
        <v>12025</v>
      </c>
    </row>
    <row r="8963" spans="8:8" x14ac:dyDescent="0.25">
      <c r="H8963" t="s">
        <v>12026</v>
      </c>
    </row>
    <row r="8964" spans="8:8" x14ac:dyDescent="0.25">
      <c r="H8964" t="s">
        <v>135</v>
      </c>
    </row>
    <row r="8965" spans="8:8" x14ac:dyDescent="0.25">
      <c r="H8965" t="s">
        <v>18105</v>
      </c>
    </row>
    <row r="8966" spans="8:8" x14ac:dyDescent="0.25">
      <c r="H8966" t="s">
        <v>30</v>
      </c>
    </row>
    <row r="8967" spans="8:8" x14ac:dyDescent="0.25">
      <c r="H8967" t="s">
        <v>136</v>
      </c>
    </row>
    <row r="8968" spans="8:8" x14ac:dyDescent="0.25">
      <c r="H8968" t="s">
        <v>18106</v>
      </c>
    </row>
    <row r="8969" spans="8:8" x14ac:dyDescent="0.25">
      <c r="H8969" t="s">
        <v>30</v>
      </c>
    </row>
    <row r="8970" spans="8:8" x14ac:dyDescent="0.25">
      <c r="H8970" t="s">
        <v>137</v>
      </c>
    </row>
    <row r="8971" spans="8:8" x14ac:dyDescent="0.25">
      <c r="H8971" t="s">
        <v>18107</v>
      </c>
    </row>
    <row r="8972" spans="8:8" x14ac:dyDescent="0.25">
      <c r="H8972" t="s">
        <v>30</v>
      </c>
    </row>
    <row r="8973" spans="8:8" x14ac:dyDescent="0.25">
      <c r="H8973" t="s">
        <v>138</v>
      </c>
    </row>
    <row r="8974" spans="8:8" x14ac:dyDescent="0.25">
      <c r="H8974" t="s">
        <v>18108</v>
      </c>
    </row>
    <row r="8975" spans="8:8" x14ac:dyDescent="0.25">
      <c r="H8975" t="s">
        <v>30</v>
      </c>
    </row>
    <row r="8977" spans="8:8" x14ac:dyDescent="0.25">
      <c r="H8977" t="s">
        <v>12031</v>
      </c>
    </row>
    <row r="8978" spans="8:8" x14ac:dyDescent="0.25">
      <c r="H8978" t="s">
        <v>12032</v>
      </c>
    </row>
    <row r="8979" spans="8:8" x14ac:dyDescent="0.25">
      <c r="H8979" t="s">
        <v>135</v>
      </c>
    </row>
    <row r="8980" spans="8:8" x14ac:dyDescent="0.25">
      <c r="H8980" t="s">
        <v>18109</v>
      </c>
    </row>
    <row r="8981" spans="8:8" x14ac:dyDescent="0.25">
      <c r="H8981" t="s">
        <v>30</v>
      </c>
    </row>
    <row r="8982" spans="8:8" x14ac:dyDescent="0.25">
      <c r="H8982" t="s">
        <v>136</v>
      </c>
    </row>
    <row r="8983" spans="8:8" x14ac:dyDescent="0.25">
      <c r="H8983" t="s">
        <v>18110</v>
      </c>
    </row>
    <row r="8984" spans="8:8" x14ac:dyDescent="0.25">
      <c r="H8984" t="s">
        <v>30</v>
      </c>
    </row>
    <row r="8985" spans="8:8" x14ac:dyDescent="0.25">
      <c r="H8985" t="s">
        <v>137</v>
      </c>
    </row>
    <row r="8986" spans="8:8" x14ac:dyDescent="0.25">
      <c r="H8986" t="s">
        <v>18111</v>
      </c>
    </row>
    <row r="8987" spans="8:8" x14ac:dyDescent="0.25">
      <c r="H8987" t="s">
        <v>30</v>
      </c>
    </row>
    <row r="8988" spans="8:8" x14ac:dyDescent="0.25">
      <c r="H8988" t="s">
        <v>138</v>
      </c>
    </row>
    <row r="8989" spans="8:8" x14ac:dyDescent="0.25">
      <c r="H8989" t="s">
        <v>18112</v>
      </c>
    </row>
    <row r="8990" spans="8:8" x14ac:dyDescent="0.25">
      <c r="H8990" t="s">
        <v>30</v>
      </c>
    </row>
    <row r="8992" spans="8:8" x14ac:dyDescent="0.25">
      <c r="H8992" t="s">
        <v>12037</v>
      </c>
    </row>
    <row r="8993" spans="8:8" x14ac:dyDescent="0.25">
      <c r="H8993" t="s">
        <v>12038</v>
      </c>
    </row>
    <row r="8994" spans="8:8" x14ac:dyDescent="0.25">
      <c r="H8994" t="s">
        <v>135</v>
      </c>
    </row>
    <row r="8995" spans="8:8" x14ac:dyDescent="0.25">
      <c r="H8995" t="s">
        <v>18113</v>
      </c>
    </row>
    <row r="8996" spans="8:8" x14ac:dyDescent="0.25">
      <c r="H8996" t="s">
        <v>30</v>
      </c>
    </row>
    <row r="8997" spans="8:8" x14ac:dyDescent="0.25">
      <c r="H8997" t="s">
        <v>136</v>
      </c>
    </row>
    <row r="8998" spans="8:8" x14ac:dyDescent="0.25">
      <c r="H8998" t="s">
        <v>18114</v>
      </c>
    </row>
    <row r="8999" spans="8:8" x14ac:dyDescent="0.25">
      <c r="H8999" t="s">
        <v>30</v>
      </c>
    </row>
    <row r="9000" spans="8:8" x14ac:dyDescent="0.25">
      <c r="H9000" t="s">
        <v>137</v>
      </c>
    </row>
    <row r="9001" spans="8:8" x14ac:dyDescent="0.25">
      <c r="H9001" t="s">
        <v>18115</v>
      </c>
    </row>
    <row r="9002" spans="8:8" x14ac:dyDescent="0.25">
      <c r="H9002" t="s">
        <v>30</v>
      </c>
    </row>
    <row r="9003" spans="8:8" x14ac:dyDescent="0.25">
      <c r="H9003" t="s">
        <v>138</v>
      </c>
    </row>
    <row r="9004" spans="8:8" x14ac:dyDescent="0.25">
      <c r="H9004" t="s">
        <v>18116</v>
      </c>
    </row>
    <row r="9005" spans="8:8" x14ac:dyDescent="0.25">
      <c r="H9005" t="s">
        <v>30</v>
      </c>
    </row>
    <row r="9007" spans="8:8" x14ac:dyDescent="0.25">
      <c r="H9007" t="s">
        <v>12043</v>
      </c>
    </row>
    <row r="9008" spans="8:8" x14ac:dyDescent="0.25">
      <c r="H9008" t="s">
        <v>12044</v>
      </c>
    </row>
    <row r="9009" spans="8:8" x14ac:dyDescent="0.25">
      <c r="H9009" t="s">
        <v>135</v>
      </c>
    </row>
    <row r="9010" spans="8:8" x14ac:dyDescent="0.25">
      <c r="H9010" t="s">
        <v>18117</v>
      </c>
    </row>
    <row r="9011" spans="8:8" x14ac:dyDescent="0.25">
      <c r="H9011" t="s">
        <v>30</v>
      </c>
    </row>
    <row r="9012" spans="8:8" x14ac:dyDescent="0.25">
      <c r="H9012" t="s">
        <v>136</v>
      </c>
    </row>
    <row r="9013" spans="8:8" x14ac:dyDescent="0.25">
      <c r="H9013" t="s">
        <v>18118</v>
      </c>
    </row>
    <row r="9014" spans="8:8" x14ac:dyDescent="0.25">
      <c r="H9014" t="s">
        <v>30</v>
      </c>
    </row>
    <row r="9015" spans="8:8" x14ac:dyDescent="0.25">
      <c r="H9015" t="s">
        <v>137</v>
      </c>
    </row>
    <row r="9016" spans="8:8" x14ac:dyDescent="0.25">
      <c r="H9016" t="s">
        <v>18119</v>
      </c>
    </row>
    <row r="9017" spans="8:8" x14ac:dyDescent="0.25">
      <c r="H9017" t="s">
        <v>30</v>
      </c>
    </row>
    <row r="9018" spans="8:8" x14ac:dyDescent="0.25">
      <c r="H9018" t="s">
        <v>138</v>
      </c>
    </row>
    <row r="9019" spans="8:8" x14ac:dyDescent="0.25">
      <c r="H9019" t="s">
        <v>18120</v>
      </c>
    </row>
    <row r="9020" spans="8:8" x14ac:dyDescent="0.25">
      <c r="H9020" t="s">
        <v>30</v>
      </c>
    </row>
    <row r="9022" spans="8:8" x14ac:dyDescent="0.25">
      <c r="H9022" t="s">
        <v>12049</v>
      </c>
    </row>
    <row r="9023" spans="8:8" x14ac:dyDescent="0.25">
      <c r="H9023" t="s">
        <v>12050</v>
      </c>
    </row>
    <row r="9024" spans="8:8" x14ac:dyDescent="0.25">
      <c r="H9024" t="s">
        <v>135</v>
      </c>
    </row>
    <row r="9025" spans="8:8" x14ac:dyDescent="0.25">
      <c r="H9025" t="s">
        <v>18121</v>
      </c>
    </row>
    <row r="9026" spans="8:8" x14ac:dyDescent="0.25">
      <c r="H9026" t="s">
        <v>30</v>
      </c>
    </row>
    <row r="9027" spans="8:8" x14ac:dyDescent="0.25">
      <c r="H9027" t="s">
        <v>136</v>
      </c>
    </row>
    <row r="9028" spans="8:8" x14ac:dyDescent="0.25">
      <c r="H9028" t="s">
        <v>18122</v>
      </c>
    </row>
    <row r="9029" spans="8:8" x14ac:dyDescent="0.25">
      <c r="H9029" t="s">
        <v>30</v>
      </c>
    </row>
    <row r="9030" spans="8:8" x14ac:dyDescent="0.25">
      <c r="H9030" t="s">
        <v>137</v>
      </c>
    </row>
    <row r="9031" spans="8:8" x14ac:dyDescent="0.25">
      <c r="H9031" t="s">
        <v>18123</v>
      </c>
    </row>
    <row r="9032" spans="8:8" x14ac:dyDescent="0.25">
      <c r="H9032" t="s">
        <v>30</v>
      </c>
    </row>
    <row r="9033" spans="8:8" x14ac:dyDescent="0.25">
      <c r="H9033" t="s">
        <v>138</v>
      </c>
    </row>
    <row r="9034" spans="8:8" x14ac:dyDescent="0.25">
      <c r="H9034" t="s">
        <v>18124</v>
      </c>
    </row>
    <row r="9035" spans="8:8" x14ac:dyDescent="0.25">
      <c r="H9035" t="s">
        <v>30</v>
      </c>
    </row>
    <row r="9037" spans="8:8" x14ac:dyDescent="0.25">
      <c r="H9037" t="s">
        <v>12055</v>
      </c>
    </row>
    <row r="9038" spans="8:8" x14ac:dyDescent="0.25">
      <c r="H9038" t="s">
        <v>12056</v>
      </c>
    </row>
    <row r="9039" spans="8:8" x14ac:dyDescent="0.25">
      <c r="H9039" t="s">
        <v>135</v>
      </c>
    </row>
    <row r="9040" spans="8:8" x14ac:dyDescent="0.25">
      <c r="H9040" t="s">
        <v>18125</v>
      </c>
    </row>
    <row r="9041" spans="8:8" x14ac:dyDescent="0.25">
      <c r="H9041" t="s">
        <v>30</v>
      </c>
    </row>
    <row r="9042" spans="8:8" x14ac:dyDescent="0.25">
      <c r="H9042" t="s">
        <v>136</v>
      </c>
    </row>
    <row r="9043" spans="8:8" x14ac:dyDescent="0.25">
      <c r="H9043" t="s">
        <v>18126</v>
      </c>
    </row>
    <row r="9044" spans="8:8" x14ac:dyDescent="0.25">
      <c r="H9044" t="s">
        <v>30</v>
      </c>
    </row>
    <row r="9045" spans="8:8" x14ac:dyDescent="0.25">
      <c r="H9045" t="s">
        <v>137</v>
      </c>
    </row>
    <row r="9046" spans="8:8" x14ac:dyDescent="0.25">
      <c r="H9046" t="s">
        <v>18127</v>
      </c>
    </row>
    <row r="9047" spans="8:8" x14ac:dyDescent="0.25">
      <c r="H9047" t="s">
        <v>30</v>
      </c>
    </row>
    <row r="9048" spans="8:8" x14ac:dyDescent="0.25">
      <c r="H9048" t="s">
        <v>138</v>
      </c>
    </row>
    <row r="9049" spans="8:8" x14ac:dyDescent="0.25">
      <c r="H9049" t="s">
        <v>18128</v>
      </c>
    </row>
    <row r="9050" spans="8:8" x14ac:dyDescent="0.25">
      <c r="H9050" t="s">
        <v>30</v>
      </c>
    </row>
    <row r="9052" spans="8:8" x14ac:dyDescent="0.25">
      <c r="H9052" t="s">
        <v>12061</v>
      </c>
    </row>
    <row r="9053" spans="8:8" x14ac:dyDescent="0.25">
      <c r="H9053" t="s">
        <v>12062</v>
      </c>
    </row>
    <row r="9054" spans="8:8" x14ac:dyDescent="0.25">
      <c r="H9054" t="s">
        <v>135</v>
      </c>
    </row>
    <row r="9055" spans="8:8" x14ac:dyDescent="0.25">
      <c r="H9055" t="s">
        <v>18129</v>
      </c>
    </row>
    <row r="9056" spans="8:8" x14ac:dyDescent="0.25">
      <c r="H9056" t="s">
        <v>30</v>
      </c>
    </row>
    <row r="9057" spans="8:8" x14ac:dyDescent="0.25">
      <c r="H9057" t="s">
        <v>136</v>
      </c>
    </row>
    <row r="9058" spans="8:8" x14ac:dyDescent="0.25">
      <c r="H9058" t="s">
        <v>18130</v>
      </c>
    </row>
    <row r="9059" spans="8:8" x14ac:dyDescent="0.25">
      <c r="H9059" t="s">
        <v>30</v>
      </c>
    </row>
    <row r="9060" spans="8:8" x14ac:dyDescent="0.25">
      <c r="H9060" t="s">
        <v>137</v>
      </c>
    </row>
    <row r="9061" spans="8:8" x14ac:dyDescent="0.25">
      <c r="H9061" t="s">
        <v>18131</v>
      </c>
    </row>
    <row r="9062" spans="8:8" x14ac:dyDescent="0.25">
      <c r="H9062" t="s">
        <v>30</v>
      </c>
    </row>
    <row r="9063" spans="8:8" x14ac:dyDescent="0.25">
      <c r="H9063" t="s">
        <v>138</v>
      </c>
    </row>
    <row r="9064" spans="8:8" x14ac:dyDescent="0.25">
      <c r="H9064" t="s">
        <v>18132</v>
      </c>
    </row>
    <row r="9065" spans="8:8" x14ac:dyDescent="0.25">
      <c r="H9065" t="s">
        <v>30</v>
      </c>
    </row>
    <row r="9067" spans="8:8" x14ac:dyDescent="0.25">
      <c r="H9067" t="s">
        <v>12067</v>
      </c>
    </row>
    <row r="9068" spans="8:8" x14ac:dyDescent="0.25">
      <c r="H9068" t="s">
        <v>12068</v>
      </c>
    </row>
    <row r="9069" spans="8:8" x14ac:dyDescent="0.25">
      <c r="H9069" t="s">
        <v>135</v>
      </c>
    </row>
    <row r="9070" spans="8:8" x14ac:dyDescent="0.25">
      <c r="H9070" t="s">
        <v>18133</v>
      </c>
    </row>
    <row r="9071" spans="8:8" x14ac:dyDescent="0.25">
      <c r="H9071" t="s">
        <v>30</v>
      </c>
    </row>
    <row r="9072" spans="8:8" x14ac:dyDescent="0.25">
      <c r="H9072" t="s">
        <v>136</v>
      </c>
    </row>
    <row r="9073" spans="8:8" x14ac:dyDescent="0.25">
      <c r="H9073" t="s">
        <v>18134</v>
      </c>
    </row>
    <row r="9074" spans="8:8" x14ac:dyDescent="0.25">
      <c r="H9074" t="s">
        <v>30</v>
      </c>
    </row>
    <row r="9075" spans="8:8" x14ac:dyDescent="0.25">
      <c r="H9075" t="s">
        <v>137</v>
      </c>
    </row>
    <row r="9076" spans="8:8" x14ac:dyDescent="0.25">
      <c r="H9076" t="s">
        <v>18135</v>
      </c>
    </row>
    <row r="9077" spans="8:8" x14ac:dyDescent="0.25">
      <c r="H9077" t="s">
        <v>30</v>
      </c>
    </row>
    <row r="9078" spans="8:8" x14ac:dyDescent="0.25">
      <c r="H9078" t="s">
        <v>138</v>
      </c>
    </row>
    <row r="9079" spans="8:8" x14ac:dyDescent="0.25">
      <c r="H9079" t="s">
        <v>18136</v>
      </c>
    </row>
    <row r="9080" spans="8:8" x14ac:dyDescent="0.25">
      <c r="H9080" t="s">
        <v>30</v>
      </c>
    </row>
    <row r="9082" spans="8:8" x14ac:dyDescent="0.25">
      <c r="H9082" t="s">
        <v>12073</v>
      </c>
    </row>
    <row r="9083" spans="8:8" x14ac:dyDescent="0.25">
      <c r="H9083" t="s">
        <v>12074</v>
      </c>
    </row>
    <row r="9084" spans="8:8" x14ac:dyDescent="0.25">
      <c r="H9084" t="s">
        <v>135</v>
      </c>
    </row>
    <row r="9085" spans="8:8" x14ac:dyDescent="0.25">
      <c r="H9085" t="s">
        <v>18137</v>
      </c>
    </row>
    <row r="9086" spans="8:8" x14ac:dyDescent="0.25">
      <c r="H9086" t="s">
        <v>30</v>
      </c>
    </row>
    <row r="9087" spans="8:8" x14ac:dyDescent="0.25">
      <c r="H9087" t="s">
        <v>136</v>
      </c>
    </row>
    <row r="9088" spans="8:8" x14ac:dyDescent="0.25">
      <c r="H9088" t="s">
        <v>18138</v>
      </c>
    </row>
    <row r="9089" spans="8:8" x14ac:dyDescent="0.25">
      <c r="H9089" t="s">
        <v>30</v>
      </c>
    </row>
    <row r="9090" spans="8:8" x14ac:dyDescent="0.25">
      <c r="H9090" t="s">
        <v>137</v>
      </c>
    </row>
    <row r="9091" spans="8:8" x14ac:dyDescent="0.25">
      <c r="H9091" t="s">
        <v>18139</v>
      </c>
    </row>
    <row r="9092" spans="8:8" x14ac:dyDescent="0.25">
      <c r="H9092" t="s">
        <v>30</v>
      </c>
    </row>
    <row r="9093" spans="8:8" x14ac:dyDescent="0.25">
      <c r="H9093" t="s">
        <v>138</v>
      </c>
    </row>
    <row r="9094" spans="8:8" x14ac:dyDescent="0.25">
      <c r="H9094" t="s">
        <v>18140</v>
      </c>
    </row>
    <row r="9095" spans="8:8" x14ac:dyDescent="0.25">
      <c r="H9095" t="s">
        <v>30</v>
      </c>
    </row>
    <row r="9097" spans="8:8" x14ac:dyDescent="0.25">
      <c r="H9097" t="s">
        <v>12079</v>
      </c>
    </row>
    <row r="9098" spans="8:8" x14ac:dyDescent="0.25">
      <c r="H9098" t="s">
        <v>12080</v>
      </c>
    </row>
    <row r="9099" spans="8:8" x14ac:dyDescent="0.25">
      <c r="H9099" t="s">
        <v>135</v>
      </c>
    </row>
    <row r="9100" spans="8:8" x14ac:dyDescent="0.25">
      <c r="H9100" t="s">
        <v>18141</v>
      </c>
    </row>
    <row r="9101" spans="8:8" x14ac:dyDescent="0.25">
      <c r="H9101" t="s">
        <v>30</v>
      </c>
    </row>
    <row r="9102" spans="8:8" x14ac:dyDescent="0.25">
      <c r="H9102" t="s">
        <v>136</v>
      </c>
    </row>
    <row r="9103" spans="8:8" x14ac:dyDescent="0.25">
      <c r="H9103" t="s">
        <v>18142</v>
      </c>
    </row>
    <row r="9104" spans="8:8" x14ac:dyDescent="0.25">
      <c r="H9104" t="s">
        <v>30</v>
      </c>
    </row>
    <row r="9105" spans="8:8" x14ac:dyDescent="0.25">
      <c r="H9105" t="s">
        <v>137</v>
      </c>
    </row>
    <row r="9106" spans="8:8" x14ac:dyDescent="0.25">
      <c r="H9106" t="s">
        <v>18143</v>
      </c>
    </row>
    <row r="9107" spans="8:8" x14ac:dyDescent="0.25">
      <c r="H9107" t="s">
        <v>30</v>
      </c>
    </row>
    <row r="9108" spans="8:8" x14ac:dyDescent="0.25">
      <c r="H9108" t="s">
        <v>138</v>
      </c>
    </row>
    <row r="9109" spans="8:8" x14ac:dyDescent="0.25">
      <c r="H9109" t="s">
        <v>18144</v>
      </c>
    </row>
    <row r="9110" spans="8:8" x14ac:dyDescent="0.25">
      <c r="H9110" t="s">
        <v>30</v>
      </c>
    </row>
    <row r="9112" spans="8:8" x14ac:dyDescent="0.25">
      <c r="H9112" t="s">
        <v>12085</v>
      </c>
    </row>
    <row r="9113" spans="8:8" x14ac:dyDescent="0.25">
      <c r="H9113" t="s">
        <v>12086</v>
      </c>
    </row>
    <row r="9114" spans="8:8" x14ac:dyDescent="0.25">
      <c r="H9114" t="s">
        <v>135</v>
      </c>
    </row>
    <row r="9115" spans="8:8" x14ac:dyDescent="0.25">
      <c r="H9115" t="s">
        <v>18145</v>
      </c>
    </row>
    <row r="9116" spans="8:8" x14ac:dyDescent="0.25">
      <c r="H9116" t="s">
        <v>30</v>
      </c>
    </row>
    <row r="9117" spans="8:8" x14ac:dyDescent="0.25">
      <c r="H9117" t="s">
        <v>136</v>
      </c>
    </row>
    <row r="9118" spans="8:8" x14ac:dyDescent="0.25">
      <c r="H9118" t="s">
        <v>18146</v>
      </c>
    </row>
    <row r="9119" spans="8:8" x14ac:dyDescent="0.25">
      <c r="H9119" t="s">
        <v>30</v>
      </c>
    </row>
    <row r="9120" spans="8:8" x14ac:dyDescent="0.25">
      <c r="H9120" t="s">
        <v>137</v>
      </c>
    </row>
    <row r="9121" spans="8:8" x14ac:dyDescent="0.25">
      <c r="H9121" t="s">
        <v>18147</v>
      </c>
    </row>
    <row r="9122" spans="8:8" x14ac:dyDescent="0.25">
      <c r="H9122" t="s">
        <v>30</v>
      </c>
    </row>
    <row r="9123" spans="8:8" x14ac:dyDescent="0.25">
      <c r="H9123" t="s">
        <v>138</v>
      </c>
    </row>
    <row r="9124" spans="8:8" x14ac:dyDescent="0.25">
      <c r="H9124" t="s">
        <v>18148</v>
      </c>
    </row>
    <row r="9125" spans="8:8" x14ac:dyDescent="0.25">
      <c r="H9125" t="s">
        <v>30</v>
      </c>
    </row>
    <row r="9127" spans="8:8" x14ac:dyDescent="0.25">
      <c r="H9127" t="s">
        <v>12091</v>
      </c>
    </row>
    <row r="9128" spans="8:8" x14ac:dyDescent="0.25">
      <c r="H9128" t="s">
        <v>12092</v>
      </c>
    </row>
    <row r="9129" spans="8:8" x14ac:dyDescent="0.25">
      <c r="H9129" t="s">
        <v>135</v>
      </c>
    </row>
    <row r="9130" spans="8:8" x14ac:dyDescent="0.25">
      <c r="H9130" t="s">
        <v>18149</v>
      </c>
    </row>
    <row r="9131" spans="8:8" x14ac:dyDescent="0.25">
      <c r="H9131" t="s">
        <v>30</v>
      </c>
    </row>
    <row r="9132" spans="8:8" x14ac:dyDescent="0.25">
      <c r="H9132" t="s">
        <v>136</v>
      </c>
    </row>
    <row r="9133" spans="8:8" x14ac:dyDescent="0.25">
      <c r="H9133" t="s">
        <v>18150</v>
      </c>
    </row>
    <row r="9134" spans="8:8" x14ac:dyDescent="0.25">
      <c r="H9134" t="s">
        <v>30</v>
      </c>
    </row>
    <row r="9135" spans="8:8" x14ac:dyDescent="0.25">
      <c r="H9135" t="s">
        <v>137</v>
      </c>
    </row>
    <row r="9136" spans="8:8" x14ac:dyDescent="0.25">
      <c r="H9136" t="s">
        <v>18151</v>
      </c>
    </row>
    <row r="9137" spans="8:8" x14ac:dyDescent="0.25">
      <c r="H9137" t="s">
        <v>30</v>
      </c>
    </row>
    <row r="9138" spans="8:8" x14ac:dyDescent="0.25">
      <c r="H9138" t="s">
        <v>138</v>
      </c>
    </row>
    <row r="9139" spans="8:8" x14ac:dyDescent="0.25">
      <c r="H9139" t="s">
        <v>18152</v>
      </c>
    </row>
    <row r="9140" spans="8:8" x14ac:dyDescent="0.25">
      <c r="H9140" t="s">
        <v>30</v>
      </c>
    </row>
    <row r="9142" spans="8:8" x14ac:dyDescent="0.25">
      <c r="H9142" t="s">
        <v>12097</v>
      </c>
    </row>
    <row r="9143" spans="8:8" x14ac:dyDescent="0.25">
      <c r="H9143" t="s">
        <v>12098</v>
      </c>
    </row>
    <row r="9144" spans="8:8" x14ac:dyDescent="0.25">
      <c r="H9144" t="s">
        <v>135</v>
      </c>
    </row>
    <row r="9145" spans="8:8" x14ac:dyDescent="0.25">
      <c r="H9145" t="s">
        <v>18153</v>
      </c>
    </row>
    <row r="9146" spans="8:8" x14ac:dyDescent="0.25">
      <c r="H9146" t="s">
        <v>30</v>
      </c>
    </row>
    <row r="9147" spans="8:8" x14ac:dyDescent="0.25">
      <c r="H9147" t="s">
        <v>136</v>
      </c>
    </row>
    <row r="9148" spans="8:8" x14ac:dyDescent="0.25">
      <c r="H9148" t="s">
        <v>18154</v>
      </c>
    </row>
    <row r="9149" spans="8:8" x14ac:dyDescent="0.25">
      <c r="H9149" t="s">
        <v>30</v>
      </c>
    </row>
    <row r="9150" spans="8:8" x14ac:dyDescent="0.25">
      <c r="H9150" t="s">
        <v>137</v>
      </c>
    </row>
    <row r="9151" spans="8:8" x14ac:dyDescent="0.25">
      <c r="H9151" t="s">
        <v>18155</v>
      </c>
    </row>
    <row r="9152" spans="8:8" x14ac:dyDescent="0.25">
      <c r="H9152" t="s">
        <v>30</v>
      </c>
    </row>
    <row r="9153" spans="8:8" x14ac:dyDescent="0.25">
      <c r="H9153" t="s">
        <v>138</v>
      </c>
    </row>
    <row r="9154" spans="8:8" x14ac:dyDescent="0.25">
      <c r="H9154" t="s">
        <v>18156</v>
      </c>
    </row>
    <row r="9155" spans="8:8" x14ac:dyDescent="0.25">
      <c r="H9155" t="s">
        <v>30</v>
      </c>
    </row>
    <row r="9157" spans="8:8" x14ac:dyDescent="0.25">
      <c r="H9157" t="s">
        <v>12103</v>
      </c>
    </row>
    <row r="9158" spans="8:8" x14ac:dyDescent="0.25">
      <c r="H9158" t="s">
        <v>12104</v>
      </c>
    </row>
    <row r="9159" spans="8:8" x14ac:dyDescent="0.25">
      <c r="H9159" t="s">
        <v>135</v>
      </c>
    </row>
    <row r="9160" spans="8:8" x14ac:dyDescent="0.25">
      <c r="H9160" t="s">
        <v>18157</v>
      </c>
    </row>
    <row r="9161" spans="8:8" x14ac:dyDescent="0.25">
      <c r="H9161" t="s">
        <v>30</v>
      </c>
    </row>
    <row r="9162" spans="8:8" x14ac:dyDescent="0.25">
      <c r="H9162" t="s">
        <v>136</v>
      </c>
    </row>
    <row r="9163" spans="8:8" x14ac:dyDescent="0.25">
      <c r="H9163" t="s">
        <v>18158</v>
      </c>
    </row>
    <row r="9164" spans="8:8" x14ac:dyDescent="0.25">
      <c r="H9164" t="s">
        <v>30</v>
      </c>
    </row>
    <row r="9165" spans="8:8" x14ac:dyDescent="0.25">
      <c r="H9165" t="s">
        <v>137</v>
      </c>
    </row>
    <row r="9166" spans="8:8" x14ac:dyDescent="0.25">
      <c r="H9166" t="s">
        <v>18159</v>
      </c>
    </row>
    <row r="9167" spans="8:8" x14ac:dyDescent="0.25">
      <c r="H9167" t="s">
        <v>30</v>
      </c>
    </row>
    <row r="9168" spans="8:8" x14ac:dyDescent="0.25">
      <c r="H9168" t="s">
        <v>138</v>
      </c>
    </row>
    <row r="9169" spans="8:8" x14ac:dyDescent="0.25">
      <c r="H9169" t="s">
        <v>18160</v>
      </c>
    </row>
    <row r="9170" spans="8:8" x14ac:dyDescent="0.25">
      <c r="H9170" t="s">
        <v>30</v>
      </c>
    </row>
    <row r="9172" spans="8:8" x14ac:dyDescent="0.25">
      <c r="H9172" t="s">
        <v>12109</v>
      </c>
    </row>
    <row r="9173" spans="8:8" x14ac:dyDescent="0.25">
      <c r="H9173" t="s">
        <v>12110</v>
      </c>
    </row>
    <row r="9174" spans="8:8" x14ac:dyDescent="0.25">
      <c r="H9174" t="s">
        <v>135</v>
      </c>
    </row>
    <row r="9175" spans="8:8" x14ac:dyDescent="0.25">
      <c r="H9175" t="s">
        <v>18161</v>
      </c>
    </row>
    <row r="9176" spans="8:8" x14ac:dyDescent="0.25">
      <c r="H9176" t="s">
        <v>30</v>
      </c>
    </row>
    <row r="9177" spans="8:8" x14ac:dyDescent="0.25">
      <c r="H9177" t="s">
        <v>136</v>
      </c>
    </row>
    <row r="9178" spans="8:8" x14ac:dyDescent="0.25">
      <c r="H9178" t="s">
        <v>18162</v>
      </c>
    </row>
    <row r="9179" spans="8:8" x14ac:dyDescent="0.25">
      <c r="H9179" t="s">
        <v>30</v>
      </c>
    </row>
    <row r="9180" spans="8:8" x14ac:dyDescent="0.25">
      <c r="H9180" t="s">
        <v>137</v>
      </c>
    </row>
    <row r="9181" spans="8:8" x14ac:dyDescent="0.25">
      <c r="H9181" t="s">
        <v>18163</v>
      </c>
    </row>
    <row r="9182" spans="8:8" x14ac:dyDescent="0.25">
      <c r="H9182" t="s">
        <v>30</v>
      </c>
    </row>
    <row r="9183" spans="8:8" x14ac:dyDescent="0.25">
      <c r="H9183" t="s">
        <v>138</v>
      </c>
    </row>
    <row r="9184" spans="8:8" x14ac:dyDescent="0.25">
      <c r="H9184" t="s">
        <v>18164</v>
      </c>
    </row>
    <row r="9185" spans="8:8" x14ac:dyDescent="0.25">
      <c r="H9185" t="s">
        <v>30</v>
      </c>
    </row>
    <row r="9187" spans="8:8" x14ac:dyDescent="0.25">
      <c r="H9187" t="s">
        <v>12115</v>
      </c>
    </row>
    <row r="9188" spans="8:8" x14ac:dyDescent="0.25">
      <c r="H9188" t="s">
        <v>12116</v>
      </c>
    </row>
    <row r="9189" spans="8:8" x14ac:dyDescent="0.25">
      <c r="H9189" t="s">
        <v>135</v>
      </c>
    </row>
    <row r="9190" spans="8:8" x14ac:dyDescent="0.25">
      <c r="H9190" t="s">
        <v>18165</v>
      </c>
    </row>
    <row r="9191" spans="8:8" x14ac:dyDescent="0.25">
      <c r="H9191" t="s">
        <v>30</v>
      </c>
    </row>
    <row r="9192" spans="8:8" x14ac:dyDescent="0.25">
      <c r="H9192" t="s">
        <v>136</v>
      </c>
    </row>
    <row r="9193" spans="8:8" x14ac:dyDescent="0.25">
      <c r="H9193" t="s">
        <v>18166</v>
      </c>
    </row>
    <row r="9194" spans="8:8" x14ac:dyDescent="0.25">
      <c r="H9194" t="s">
        <v>30</v>
      </c>
    </row>
    <row r="9195" spans="8:8" x14ac:dyDescent="0.25">
      <c r="H9195" t="s">
        <v>137</v>
      </c>
    </row>
    <row r="9196" spans="8:8" x14ac:dyDescent="0.25">
      <c r="H9196" t="s">
        <v>18167</v>
      </c>
    </row>
    <row r="9197" spans="8:8" x14ac:dyDescent="0.25">
      <c r="H9197" t="s">
        <v>30</v>
      </c>
    </row>
    <row r="9198" spans="8:8" x14ac:dyDescent="0.25">
      <c r="H9198" t="s">
        <v>138</v>
      </c>
    </row>
    <row r="9199" spans="8:8" x14ac:dyDescent="0.25">
      <c r="H9199" t="s">
        <v>18168</v>
      </c>
    </row>
    <row r="9200" spans="8:8" x14ac:dyDescent="0.25">
      <c r="H9200" t="s">
        <v>30</v>
      </c>
    </row>
    <row r="9202" spans="8:8" x14ac:dyDescent="0.25">
      <c r="H9202" t="s">
        <v>12121</v>
      </c>
    </row>
    <row r="9203" spans="8:8" x14ac:dyDescent="0.25">
      <c r="H9203" t="s">
        <v>12122</v>
      </c>
    </row>
    <row r="9204" spans="8:8" x14ac:dyDescent="0.25">
      <c r="H9204" t="s">
        <v>135</v>
      </c>
    </row>
    <row r="9205" spans="8:8" x14ac:dyDescent="0.25">
      <c r="H9205" t="s">
        <v>18169</v>
      </c>
    </row>
    <row r="9206" spans="8:8" x14ac:dyDescent="0.25">
      <c r="H9206" t="s">
        <v>30</v>
      </c>
    </row>
    <row r="9207" spans="8:8" x14ac:dyDescent="0.25">
      <c r="H9207" t="s">
        <v>136</v>
      </c>
    </row>
    <row r="9208" spans="8:8" x14ac:dyDescent="0.25">
      <c r="H9208" t="s">
        <v>18170</v>
      </c>
    </row>
    <row r="9209" spans="8:8" x14ac:dyDescent="0.25">
      <c r="H9209" t="s">
        <v>30</v>
      </c>
    </row>
    <row r="9210" spans="8:8" x14ac:dyDescent="0.25">
      <c r="H9210" t="s">
        <v>137</v>
      </c>
    </row>
    <row r="9211" spans="8:8" x14ac:dyDescent="0.25">
      <c r="H9211" t="s">
        <v>18171</v>
      </c>
    </row>
    <row r="9212" spans="8:8" x14ac:dyDescent="0.25">
      <c r="H9212" t="s">
        <v>30</v>
      </c>
    </row>
    <row r="9213" spans="8:8" x14ac:dyDescent="0.25">
      <c r="H9213" t="s">
        <v>138</v>
      </c>
    </row>
    <row r="9214" spans="8:8" x14ac:dyDescent="0.25">
      <c r="H9214" t="s">
        <v>18172</v>
      </c>
    </row>
    <row r="9215" spans="8:8" x14ac:dyDescent="0.25">
      <c r="H9215" t="s">
        <v>30</v>
      </c>
    </row>
    <row r="9217" spans="8:8" x14ac:dyDescent="0.25">
      <c r="H9217" t="s">
        <v>12127</v>
      </c>
    </row>
    <row r="9218" spans="8:8" x14ac:dyDescent="0.25">
      <c r="H9218" t="s">
        <v>12128</v>
      </c>
    </row>
    <row r="9219" spans="8:8" x14ac:dyDescent="0.25">
      <c r="H9219" t="s">
        <v>135</v>
      </c>
    </row>
    <row r="9220" spans="8:8" x14ac:dyDescent="0.25">
      <c r="H9220" t="s">
        <v>18173</v>
      </c>
    </row>
    <row r="9221" spans="8:8" x14ac:dyDescent="0.25">
      <c r="H9221" t="s">
        <v>30</v>
      </c>
    </row>
    <row r="9222" spans="8:8" x14ac:dyDescent="0.25">
      <c r="H9222" t="s">
        <v>136</v>
      </c>
    </row>
    <row r="9223" spans="8:8" x14ac:dyDescent="0.25">
      <c r="H9223" t="s">
        <v>18174</v>
      </c>
    </row>
    <row r="9224" spans="8:8" x14ac:dyDescent="0.25">
      <c r="H9224" t="s">
        <v>30</v>
      </c>
    </row>
    <row r="9225" spans="8:8" x14ac:dyDescent="0.25">
      <c r="H9225" t="s">
        <v>137</v>
      </c>
    </row>
    <row r="9226" spans="8:8" x14ac:dyDescent="0.25">
      <c r="H9226" t="s">
        <v>18175</v>
      </c>
    </row>
    <row r="9227" spans="8:8" x14ac:dyDescent="0.25">
      <c r="H9227" t="s">
        <v>30</v>
      </c>
    </row>
    <row r="9228" spans="8:8" x14ac:dyDescent="0.25">
      <c r="H9228" t="s">
        <v>138</v>
      </c>
    </row>
    <row r="9229" spans="8:8" x14ac:dyDescent="0.25">
      <c r="H9229" t="s">
        <v>18176</v>
      </c>
    </row>
    <row r="9230" spans="8:8" x14ac:dyDescent="0.25">
      <c r="H9230" t="s">
        <v>30</v>
      </c>
    </row>
    <row r="9232" spans="8:8" x14ac:dyDescent="0.25">
      <c r="H9232" t="s">
        <v>12133</v>
      </c>
    </row>
    <row r="9233" spans="8:8" x14ac:dyDescent="0.25">
      <c r="H9233" t="s">
        <v>12134</v>
      </c>
    </row>
    <row r="9234" spans="8:8" x14ac:dyDescent="0.25">
      <c r="H9234" t="s">
        <v>135</v>
      </c>
    </row>
    <row r="9235" spans="8:8" x14ac:dyDescent="0.25">
      <c r="H9235" t="s">
        <v>18177</v>
      </c>
    </row>
    <row r="9236" spans="8:8" x14ac:dyDescent="0.25">
      <c r="H9236" t="s">
        <v>30</v>
      </c>
    </row>
    <row r="9237" spans="8:8" x14ac:dyDescent="0.25">
      <c r="H9237" t="s">
        <v>136</v>
      </c>
    </row>
    <row r="9238" spans="8:8" x14ac:dyDescent="0.25">
      <c r="H9238" t="s">
        <v>18178</v>
      </c>
    </row>
    <row r="9239" spans="8:8" x14ac:dyDescent="0.25">
      <c r="H9239" t="s">
        <v>30</v>
      </c>
    </row>
    <row r="9240" spans="8:8" x14ac:dyDescent="0.25">
      <c r="H9240" t="s">
        <v>137</v>
      </c>
    </row>
    <row r="9241" spans="8:8" x14ac:dyDescent="0.25">
      <c r="H9241" t="s">
        <v>18179</v>
      </c>
    </row>
    <row r="9242" spans="8:8" x14ac:dyDescent="0.25">
      <c r="H9242" t="s">
        <v>30</v>
      </c>
    </row>
    <row r="9243" spans="8:8" x14ac:dyDescent="0.25">
      <c r="H9243" t="s">
        <v>138</v>
      </c>
    </row>
    <row r="9244" spans="8:8" x14ac:dyDescent="0.25">
      <c r="H9244" t="s">
        <v>18180</v>
      </c>
    </row>
    <row r="9245" spans="8:8" x14ac:dyDescent="0.25">
      <c r="H9245" t="s">
        <v>30</v>
      </c>
    </row>
    <row r="9247" spans="8:8" x14ac:dyDescent="0.25">
      <c r="H9247" t="s">
        <v>12139</v>
      </c>
    </row>
    <row r="9248" spans="8:8" x14ac:dyDescent="0.25">
      <c r="H9248" t="s">
        <v>12140</v>
      </c>
    </row>
    <row r="9249" spans="8:8" x14ac:dyDescent="0.25">
      <c r="H9249" t="s">
        <v>135</v>
      </c>
    </row>
    <row r="9250" spans="8:8" x14ac:dyDescent="0.25">
      <c r="H9250" t="s">
        <v>18181</v>
      </c>
    </row>
    <row r="9251" spans="8:8" x14ac:dyDescent="0.25">
      <c r="H9251" t="s">
        <v>30</v>
      </c>
    </row>
    <row r="9252" spans="8:8" x14ac:dyDescent="0.25">
      <c r="H9252" t="s">
        <v>136</v>
      </c>
    </row>
    <row r="9253" spans="8:8" x14ac:dyDescent="0.25">
      <c r="H9253" t="s">
        <v>18182</v>
      </c>
    </row>
    <row r="9254" spans="8:8" x14ac:dyDescent="0.25">
      <c r="H9254" t="s">
        <v>30</v>
      </c>
    </row>
    <row r="9255" spans="8:8" x14ac:dyDescent="0.25">
      <c r="H9255" t="s">
        <v>137</v>
      </c>
    </row>
    <row r="9256" spans="8:8" x14ac:dyDescent="0.25">
      <c r="H9256" t="s">
        <v>18183</v>
      </c>
    </row>
    <row r="9257" spans="8:8" x14ac:dyDescent="0.25">
      <c r="H9257" t="s">
        <v>30</v>
      </c>
    </row>
    <row r="9258" spans="8:8" x14ac:dyDescent="0.25">
      <c r="H9258" t="s">
        <v>138</v>
      </c>
    </row>
    <row r="9259" spans="8:8" x14ac:dyDescent="0.25">
      <c r="H9259" t="s">
        <v>18184</v>
      </c>
    </row>
    <row r="9260" spans="8:8" x14ac:dyDescent="0.25">
      <c r="H9260" t="s">
        <v>30</v>
      </c>
    </row>
    <row r="9262" spans="8:8" x14ac:dyDescent="0.25">
      <c r="H9262" t="s">
        <v>12145</v>
      </c>
    </row>
    <row r="9263" spans="8:8" x14ac:dyDescent="0.25">
      <c r="H9263" t="s">
        <v>12146</v>
      </c>
    </row>
    <row r="9264" spans="8:8" x14ac:dyDescent="0.25">
      <c r="H9264" t="s">
        <v>135</v>
      </c>
    </row>
    <row r="9265" spans="8:8" x14ac:dyDescent="0.25">
      <c r="H9265" t="s">
        <v>18185</v>
      </c>
    </row>
    <row r="9266" spans="8:8" x14ac:dyDescent="0.25">
      <c r="H9266" t="s">
        <v>30</v>
      </c>
    </row>
    <row r="9267" spans="8:8" x14ac:dyDescent="0.25">
      <c r="H9267" t="s">
        <v>136</v>
      </c>
    </row>
    <row r="9268" spans="8:8" x14ac:dyDescent="0.25">
      <c r="H9268" t="s">
        <v>18186</v>
      </c>
    </row>
    <row r="9269" spans="8:8" x14ac:dyDescent="0.25">
      <c r="H9269" t="s">
        <v>30</v>
      </c>
    </row>
    <row r="9270" spans="8:8" x14ac:dyDescent="0.25">
      <c r="H9270" t="s">
        <v>137</v>
      </c>
    </row>
    <row r="9271" spans="8:8" x14ac:dyDescent="0.25">
      <c r="H9271" t="s">
        <v>18187</v>
      </c>
    </row>
    <row r="9272" spans="8:8" x14ac:dyDescent="0.25">
      <c r="H9272" t="s">
        <v>30</v>
      </c>
    </row>
    <row r="9273" spans="8:8" x14ac:dyDescent="0.25">
      <c r="H9273" t="s">
        <v>138</v>
      </c>
    </row>
    <row r="9274" spans="8:8" x14ac:dyDescent="0.25">
      <c r="H9274" t="s">
        <v>18188</v>
      </c>
    </row>
    <row r="9275" spans="8:8" x14ac:dyDescent="0.25">
      <c r="H9275" t="s">
        <v>30</v>
      </c>
    </row>
    <row r="9277" spans="8:8" x14ac:dyDescent="0.25">
      <c r="H9277" t="s">
        <v>12151</v>
      </c>
    </row>
    <row r="9278" spans="8:8" x14ac:dyDescent="0.25">
      <c r="H9278" t="s">
        <v>12152</v>
      </c>
    </row>
    <row r="9279" spans="8:8" x14ac:dyDescent="0.25">
      <c r="H9279" t="s">
        <v>135</v>
      </c>
    </row>
    <row r="9280" spans="8:8" x14ac:dyDescent="0.25">
      <c r="H9280" t="s">
        <v>18189</v>
      </c>
    </row>
    <row r="9281" spans="8:8" x14ac:dyDescent="0.25">
      <c r="H9281" t="s">
        <v>30</v>
      </c>
    </row>
    <row r="9282" spans="8:8" x14ac:dyDescent="0.25">
      <c r="H9282" t="s">
        <v>136</v>
      </c>
    </row>
    <row r="9283" spans="8:8" x14ac:dyDescent="0.25">
      <c r="H9283" t="s">
        <v>18190</v>
      </c>
    </row>
    <row r="9284" spans="8:8" x14ac:dyDescent="0.25">
      <c r="H9284" t="s">
        <v>30</v>
      </c>
    </row>
    <row r="9285" spans="8:8" x14ac:dyDescent="0.25">
      <c r="H9285" t="s">
        <v>137</v>
      </c>
    </row>
    <row r="9286" spans="8:8" x14ac:dyDescent="0.25">
      <c r="H9286" t="s">
        <v>18191</v>
      </c>
    </row>
    <row r="9287" spans="8:8" x14ac:dyDescent="0.25">
      <c r="H9287" t="s">
        <v>30</v>
      </c>
    </row>
    <row r="9288" spans="8:8" x14ac:dyDescent="0.25">
      <c r="H9288" t="s">
        <v>138</v>
      </c>
    </row>
    <row r="9289" spans="8:8" x14ac:dyDescent="0.25">
      <c r="H9289" t="s">
        <v>18192</v>
      </c>
    </row>
    <row r="9290" spans="8:8" x14ac:dyDescent="0.25">
      <c r="H9290" t="s">
        <v>30</v>
      </c>
    </row>
    <row r="9292" spans="8:8" x14ac:dyDescent="0.25">
      <c r="H9292" t="s">
        <v>12157</v>
      </c>
    </row>
    <row r="9293" spans="8:8" x14ac:dyDescent="0.25">
      <c r="H9293" t="s">
        <v>12158</v>
      </c>
    </row>
    <row r="9294" spans="8:8" x14ac:dyDescent="0.25">
      <c r="H9294" t="s">
        <v>135</v>
      </c>
    </row>
    <row r="9295" spans="8:8" x14ac:dyDescent="0.25">
      <c r="H9295" t="s">
        <v>18193</v>
      </c>
    </row>
    <row r="9296" spans="8:8" x14ac:dyDescent="0.25">
      <c r="H9296" t="s">
        <v>30</v>
      </c>
    </row>
    <row r="9297" spans="8:8" x14ac:dyDescent="0.25">
      <c r="H9297" t="s">
        <v>136</v>
      </c>
    </row>
    <row r="9298" spans="8:8" x14ac:dyDescent="0.25">
      <c r="H9298" t="s">
        <v>18194</v>
      </c>
    </row>
    <row r="9299" spans="8:8" x14ac:dyDescent="0.25">
      <c r="H9299" t="s">
        <v>30</v>
      </c>
    </row>
    <row r="9300" spans="8:8" x14ac:dyDescent="0.25">
      <c r="H9300" t="s">
        <v>137</v>
      </c>
    </row>
    <row r="9301" spans="8:8" x14ac:dyDescent="0.25">
      <c r="H9301" t="s">
        <v>18195</v>
      </c>
    </row>
    <row r="9302" spans="8:8" x14ac:dyDescent="0.25">
      <c r="H9302" t="s">
        <v>30</v>
      </c>
    </row>
    <row r="9303" spans="8:8" x14ac:dyDescent="0.25">
      <c r="H9303" t="s">
        <v>138</v>
      </c>
    </row>
    <row r="9304" spans="8:8" x14ac:dyDescent="0.25">
      <c r="H9304" t="s">
        <v>18196</v>
      </c>
    </row>
    <row r="9305" spans="8:8" x14ac:dyDescent="0.25">
      <c r="H9305" t="s">
        <v>30</v>
      </c>
    </row>
    <row r="9307" spans="8:8" x14ac:dyDescent="0.25">
      <c r="H9307" t="s">
        <v>12163</v>
      </c>
    </row>
    <row r="9308" spans="8:8" x14ac:dyDescent="0.25">
      <c r="H9308" t="s">
        <v>12164</v>
      </c>
    </row>
    <row r="9309" spans="8:8" x14ac:dyDescent="0.25">
      <c r="H9309" t="s">
        <v>135</v>
      </c>
    </row>
    <row r="9310" spans="8:8" x14ac:dyDescent="0.25">
      <c r="H9310" t="s">
        <v>18197</v>
      </c>
    </row>
    <row r="9311" spans="8:8" x14ac:dyDescent="0.25">
      <c r="H9311" t="s">
        <v>30</v>
      </c>
    </row>
    <row r="9312" spans="8:8" x14ac:dyDescent="0.25">
      <c r="H9312" t="s">
        <v>136</v>
      </c>
    </row>
    <row r="9313" spans="8:8" x14ac:dyDescent="0.25">
      <c r="H9313" t="s">
        <v>18198</v>
      </c>
    </row>
    <row r="9314" spans="8:8" x14ac:dyDescent="0.25">
      <c r="H9314" t="s">
        <v>30</v>
      </c>
    </row>
    <row r="9315" spans="8:8" x14ac:dyDescent="0.25">
      <c r="H9315" t="s">
        <v>137</v>
      </c>
    </row>
    <row r="9316" spans="8:8" x14ac:dyDescent="0.25">
      <c r="H9316" t="s">
        <v>18199</v>
      </c>
    </row>
    <row r="9317" spans="8:8" x14ac:dyDescent="0.25">
      <c r="H9317" t="s">
        <v>30</v>
      </c>
    </row>
    <row r="9318" spans="8:8" x14ac:dyDescent="0.25">
      <c r="H9318" t="s">
        <v>138</v>
      </c>
    </row>
    <row r="9319" spans="8:8" x14ac:dyDescent="0.25">
      <c r="H9319" t="s">
        <v>18200</v>
      </c>
    </row>
    <row r="9320" spans="8:8" x14ac:dyDescent="0.25">
      <c r="H9320" t="s">
        <v>30</v>
      </c>
    </row>
    <row r="9322" spans="8:8" x14ac:dyDescent="0.25">
      <c r="H9322" t="s">
        <v>12169</v>
      </c>
    </row>
    <row r="9323" spans="8:8" x14ac:dyDescent="0.25">
      <c r="H9323" t="s">
        <v>12170</v>
      </c>
    </row>
    <row r="9324" spans="8:8" x14ac:dyDescent="0.25">
      <c r="H9324" t="s">
        <v>135</v>
      </c>
    </row>
    <row r="9325" spans="8:8" x14ac:dyDescent="0.25">
      <c r="H9325" t="s">
        <v>18201</v>
      </c>
    </row>
    <row r="9326" spans="8:8" x14ac:dyDescent="0.25">
      <c r="H9326" t="s">
        <v>30</v>
      </c>
    </row>
    <row r="9327" spans="8:8" x14ac:dyDescent="0.25">
      <c r="H9327" t="s">
        <v>136</v>
      </c>
    </row>
    <row r="9328" spans="8:8" x14ac:dyDescent="0.25">
      <c r="H9328" t="s">
        <v>18202</v>
      </c>
    </row>
    <row r="9329" spans="8:8" x14ac:dyDescent="0.25">
      <c r="H9329" t="s">
        <v>30</v>
      </c>
    </row>
    <row r="9330" spans="8:8" x14ac:dyDescent="0.25">
      <c r="H9330" t="s">
        <v>137</v>
      </c>
    </row>
    <row r="9331" spans="8:8" x14ac:dyDescent="0.25">
      <c r="H9331" t="s">
        <v>18203</v>
      </c>
    </row>
    <row r="9332" spans="8:8" x14ac:dyDescent="0.25">
      <c r="H9332" t="s">
        <v>30</v>
      </c>
    </row>
    <row r="9333" spans="8:8" x14ac:dyDescent="0.25">
      <c r="H9333" t="s">
        <v>138</v>
      </c>
    </row>
    <row r="9334" spans="8:8" x14ac:dyDescent="0.25">
      <c r="H9334" t="s">
        <v>18204</v>
      </c>
    </row>
    <row r="9335" spans="8:8" x14ac:dyDescent="0.25">
      <c r="H9335" t="s">
        <v>30</v>
      </c>
    </row>
    <row r="9337" spans="8:8" x14ac:dyDescent="0.25">
      <c r="H9337" t="s">
        <v>12175</v>
      </c>
    </row>
    <row r="9338" spans="8:8" x14ac:dyDescent="0.25">
      <c r="H9338" t="s">
        <v>12176</v>
      </c>
    </row>
    <row r="9339" spans="8:8" x14ac:dyDescent="0.25">
      <c r="H9339" t="s">
        <v>135</v>
      </c>
    </row>
    <row r="9340" spans="8:8" x14ac:dyDescent="0.25">
      <c r="H9340" t="s">
        <v>18205</v>
      </c>
    </row>
    <row r="9341" spans="8:8" x14ac:dyDescent="0.25">
      <c r="H9341" t="s">
        <v>30</v>
      </c>
    </row>
    <row r="9342" spans="8:8" x14ac:dyDescent="0.25">
      <c r="H9342" t="s">
        <v>136</v>
      </c>
    </row>
    <row r="9343" spans="8:8" x14ac:dyDescent="0.25">
      <c r="H9343" t="s">
        <v>18206</v>
      </c>
    </row>
    <row r="9344" spans="8:8" x14ac:dyDescent="0.25">
      <c r="H9344" t="s">
        <v>30</v>
      </c>
    </row>
    <row r="9345" spans="8:8" x14ac:dyDescent="0.25">
      <c r="H9345" t="s">
        <v>137</v>
      </c>
    </row>
    <row r="9346" spans="8:8" x14ac:dyDescent="0.25">
      <c r="H9346" t="s">
        <v>18207</v>
      </c>
    </row>
    <row r="9347" spans="8:8" x14ac:dyDescent="0.25">
      <c r="H9347" t="s">
        <v>30</v>
      </c>
    </row>
    <row r="9348" spans="8:8" x14ac:dyDescent="0.25">
      <c r="H9348" t="s">
        <v>138</v>
      </c>
    </row>
    <row r="9349" spans="8:8" x14ac:dyDescent="0.25">
      <c r="H9349" t="s">
        <v>18208</v>
      </c>
    </row>
    <row r="9350" spans="8:8" x14ac:dyDescent="0.25">
      <c r="H9350" t="s">
        <v>30</v>
      </c>
    </row>
    <row r="9352" spans="8:8" x14ac:dyDescent="0.25">
      <c r="H9352" t="s">
        <v>12181</v>
      </c>
    </row>
    <row r="9353" spans="8:8" x14ac:dyDescent="0.25">
      <c r="H9353" t="s">
        <v>12182</v>
      </c>
    </row>
    <row r="9354" spans="8:8" x14ac:dyDescent="0.25">
      <c r="H9354" t="s">
        <v>135</v>
      </c>
    </row>
    <row r="9355" spans="8:8" x14ac:dyDescent="0.25">
      <c r="H9355" t="s">
        <v>18209</v>
      </c>
    </row>
    <row r="9356" spans="8:8" x14ac:dyDescent="0.25">
      <c r="H9356" t="s">
        <v>30</v>
      </c>
    </row>
    <row r="9357" spans="8:8" x14ac:dyDescent="0.25">
      <c r="H9357" t="s">
        <v>136</v>
      </c>
    </row>
    <row r="9358" spans="8:8" x14ac:dyDescent="0.25">
      <c r="H9358" t="s">
        <v>18210</v>
      </c>
    </row>
    <row r="9359" spans="8:8" x14ac:dyDescent="0.25">
      <c r="H9359" t="s">
        <v>30</v>
      </c>
    </row>
    <row r="9360" spans="8:8" x14ac:dyDescent="0.25">
      <c r="H9360" t="s">
        <v>137</v>
      </c>
    </row>
    <row r="9361" spans="8:8" x14ac:dyDescent="0.25">
      <c r="H9361" t="s">
        <v>18211</v>
      </c>
    </row>
    <row r="9362" spans="8:8" x14ac:dyDescent="0.25">
      <c r="H9362" t="s">
        <v>30</v>
      </c>
    </row>
    <row r="9363" spans="8:8" x14ac:dyDescent="0.25">
      <c r="H9363" t="s">
        <v>138</v>
      </c>
    </row>
    <row r="9364" spans="8:8" x14ac:dyDescent="0.25">
      <c r="H9364" t="s">
        <v>18212</v>
      </c>
    </row>
    <row r="9365" spans="8:8" x14ac:dyDescent="0.25">
      <c r="H9365" t="s">
        <v>30</v>
      </c>
    </row>
    <row r="9367" spans="8:8" x14ac:dyDescent="0.25">
      <c r="H9367" t="s">
        <v>12187</v>
      </c>
    </row>
    <row r="9368" spans="8:8" x14ac:dyDescent="0.25">
      <c r="H9368" t="s">
        <v>12188</v>
      </c>
    </row>
    <row r="9369" spans="8:8" x14ac:dyDescent="0.25">
      <c r="H9369" t="s">
        <v>135</v>
      </c>
    </row>
    <row r="9370" spans="8:8" x14ac:dyDescent="0.25">
      <c r="H9370" t="s">
        <v>18213</v>
      </c>
    </row>
    <row r="9371" spans="8:8" x14ac:dyDescent="0.25">
      <c r="H9371" t="s">
        <v>30</v>
      </c>
    </row>
    <row r="9372" spans="8:8" x14ac:dyDescent="0.25">
      <c r="H9372" t="s">
        <v>136</v>
      </c>
    </row>
    <row r="9373" spans="8:8" x14ac:dyDescent="0.25">
      <c r="H9373" t="s">
        <v>18214</v>
      </c>
    </row>
    <row r="9374" spans="8:8" x14ac:dyDescent="0.25">
      <c r="H9374" t="s">
        <v>30</v>
      </c>
    </row>
    <row r="9375" spans="8:8" x14ac:dyDescent="0.25">
      <c r="H9375" t="s">
        <v>137</v>
      </c>
    </row>
    <row r="9376" spans="8:8" x14ac:dyDescent="0.25">
      <c r="H9376" t="s">
        <v>18215</v>
      </c>
    </row>
    <row r="9377" spans="8:8" x14ac:dyDescent="0.25">
      <c r="H9377" t="s">
        <v>30</v>
      </c>
    </row>
    <row r="9378" spans="8:8" x14ac:dyDescent="0.25">
      <c r="H9378" t="s">
        <v>138</v>
      </c>
    </row>
    <row r="9379" spans="8:8" x14ac:dyDescent="0.25">
      <c r="H9379" t="s">
        <v>18216</v>
      </c>
    </row>
    <row r="9380" spans="8:8" x14ac:dyDescent="0.25">
      <c r="H9380" t="s">
        <v>30</v>
      </c>
    </row>
    <row r="9382" spans="8:8" x14ac:dyDescent="0.25">
      <c r="H9382" t="s">
        <v>12193</v>
      </c>
    </row>
    <row r="9383" spans="8:8" x14ac:dyDescent="0.25">
      <c r="H9383" t="s">
        <v>12194</v>
      </c>
    </row>
    <row r="9384" spans="8:8" x14ac:dyDescent="0.25">
      <c r="H9384" t="s">
        <v>135</v>
      </c>
    </row>
    <row r="9385" spans="8:8" x14ac:dyDescent="0.25">
      <c r="H9385" t="s">
        <v>18217</v>
      </c>
    </row>
    <row r="9386" spans="8:8" x14ac:dyDescent="0.25">
      <c r="H9386" t="s">
        <v>30</v>
      </c>
    </row>
    <row r="9387" spans="8:8" x14ac:dyDescent="0.25">
      <c r="H9387" t="s">
        <v>136</v>
      </c>
    </row>
    <row r="9388" spans="8:8" x14ac:dyDescent="0.25">
      <c r="H9388" t="s">
        <v>18218</v>
      </c>
    </row>
    <row r="9389" spans="8:8" x14ac:dyDescent="0.25">
      <c r="H9389" t="s">
        <v>30</v>
      </c>
    </row>
    <row r="9390" spans="8:8" x14ac:dyDescent="0.25">
      <c r="H9390" t="s">
        <v>137</v>
      </c>
    </row>
    <row r="9391" spans="8:8" x14ac:dyDescent="0.25">
      <c r="H9391" t="s">
        <v>18219</v>
      </c>
    </row>
    <row r="9392" spans="8:8" x14ac:dyDescent="0.25">
      <c r="H9392" t="s">
        <v>30</v>
      </c>
    </row>
    <row r="9393" spans="8:8" x14ac:dyDescent="0.25">
      <c r="H9393" t="s">
        <v>138</v>
      </c>
    </row>
    <row r="9394" spans="8:8" x14ac:dyDescent="0.25">
      <c r="H9394" t="s">
        <v>18220</v>
      </c>
    </row>
    <row r="9395" spans="8:8" x14ac:dyDescent="0.25">
      <c r="H9395" t="s">
        <v>30</v>
      </c>
    </row>
    <row r="9397" spans="8:8" x14ac:dyDescent="0.25">
      <c r="H9397" t="s">
        <v>12199</v>
      </c>
    </row>
    <row r="9398" spans="8:8" x14ac:dyDescent="0.25">
      <c r="H9398" t="s">
        <v>12200</v>
      </c>
    </row>
    <row r="9399" spans="8:8" x14ac:dyDescent="0.25">
      <c r="H9399" t="s">
        <v>135</v>
      </c>
    </row>
    <row r="9400" spans="8:8" x14ac:dyDescent="0.25">
      <c r="H9400" t="s">
        <v>18221</v>
      </c>
    </row>
    <row r="9401" spans="8:8" x14ac:dyDescent="0.25">
      <c r="H9401" t="s">
        <v>30</v>
      </c>
    </row>
    <row r="9402" spans="8:8" x14ac:dyDescent="0.25">
      <c r="H9402" t="s">
        <v>136</v>
      </c>
    </row>
    <row r="9403" spans="8:8" x14ac:dyDescent="0.25">
      <c r="H9403" t="s">
        <v>18222</v>
      </c>
    </row>
    <row r="9404" spans="8:8" x14ac:dyDescent="0.25">
      <c r="H9404" t="s">
        <v>30</v>
      </c>
    </row>
    <row r="9405" spans="8:8" x14ac:dyDescent="0.25">
      <c r="H9405" t="s">
        <v>137</v>
      </c>
    </row>
    <row r="9406" spans="8:8" x14ac:dyDescent="0.25">
      <c r="H9406" t="s">
        <v>18223</v>
      </c>
    </row>
    <row r="9407" spans="8:8" x14ac:dyDescent="0.25">
      <c r="H9407" t="s">
        <v>30</v>
      </c>
    </row>
    <row r="9408" spans="8:8" x14ac:dyDescent="0.25">
      <c r="H9408" t="s">
        <v>138</v>
      </c>
    </row>
    <row r="9409" spans="8:8" x14ac:dyDescent="0.25">
      <c r="H9409" t="s">
        <v>18224</v>
      </c>
    </row>
    <row r="9410" spans="8:8" x14ac:dyDescent="0.25">
      <c r="H9410" t="s">
        <v>30</v>
      </c>
    </row>
    <row r="9412" spans="8:8" x14ac:dyDescent="0.25">
      <c r="H9412" t="s">
        <v>12205</v>
      </c>
    </row>
    <row r="9413" spans="8:8" x14ac:dyDescent="0.25">
      <c r="H9413" t="s">
        <v>12206</v>
      </c>
    </row>
    <row r="9414" spans="8:8" x14ac:dyDescent="0.25">
      <c r="H9414" t="s">
        <v>135</v>
      </c>
    </row>
    <row r="9415" spans="8:8" x14ac:dyDescent="0.25">
      <c r="H9415" t="s">
        <v>18225</v>
      </c>
    </row>
    <row r="9416" spans="8:8" x14ac:dyDescent="0.25">
      <c r="H9416" t="s">
        <v>30</v>
      </c>
    </row>
    <row r="9417" spans="8:8" x14ac:dyDescent="0.25">
      <c r="H9417" t="s">
        <v>136</v>
      </c>
    </row>
    <row r="9418" spans="8:8" x14ac:dyDescent="0.25">
      <c r="H9418" t="s">
        <v>18226</v>
      </c>
    </row>
    <row r="9419" spans="8:8" x14ac:dyDescent="0.25">
      <c r="H9419" t="s">
        <v>30</v>
      </c>
    </row>
    <row r="9420" spans="8:8" x14ac:dyDescent="0.25">
      <c r="H9420" t="s">
        <v>137</v>
      </c>
    </row>
    <row r="9421" spans="8:8" x14ac:dyDescent="0.25">
      <c r="H9421" t="s">
        <v>18227</v>
      </c>
    </row>
    <row r="9422" spans="8:8" x14ac:dyDescent="0.25">
      <c r="H9422" t="s">
        <v>30</v>
      </c>
    </row>
    <row r="9423" spans="8:8" x14ac:dyDescent="0.25">
      <c r="H9423" t="s">
        <v>138</v>
      </c>
    </row>
    <row r="9424" spans="8:8" x14ac:dyDescent="0.25">
      <c r="H9424" t="s">
        <v>18228</v>
      </c>
    </row>
    <row r="9425" spans="8:8" x14ac:dyDescent="0.25">
      <c r="H9425" t="s">
        <v>30</v>
      </c>
    </row>
    <row r="9427" spans="8:8" x14ac:dyDescent="0.25">
      <c r="H9427" t="s">
        <v>12211</v>
      </c>
    </row>
    <row r="9428" spans="8:8" x14ac:dyDescent="0.25">
      <c r="H9428" t="s">
        <v>12212</v>
      </c>
    </row>
    <row r="9429" spans="8:8" x14ac:dyDescent="0.25">
      <c r="H9429" t="s">
        <v>135</v>
      </c>
    </row>
    <row r="9430" spans="8:8" x14ac:dyDescent="0.25">
      <c r="H9430" t="s">
        <v>18229</v>
      </c>
    </row>
    <row r="9431" spans="8:8" x14ac:dyDescent="0.25">
      <c r="H9431" t="s">
        <v>30</v>
      </c>
    </row>
    <row r="9432" spans="8:8" x14ac:dyDescent="0.25">
      <c r="H9432" t="s">
        <v>136</v>
      </c>
    </row>
    <row r="9433" spans="8:8" x14ac:dyDescent="0.25">
      <c r="H9433" t="s">
        <v>18230</v>
      </c>
    </row>
    <row r="9434" spans="8:8" x14ac:dyDescent="0.25">
      <c r="H9434" t="s">
        <v>30</v>
      </c>
    </row>
    <row r="9435" spans="8:8" x14ac:dyDescent="0.25">
      <c r="H9435" t="s">
        <v>137</v>
      </c>
    </row>
    <row r="9436" spans="8:8" x14ac:dyDescent="0.25">
      <c r="H9436" t="s">
        <v>18231</v>
      </c>
    </row>
    <row r="9437" spans="8:8" x14ac:dyDescent="0.25">
      <c r="H9437" t="s">
        <v>30</v>
      </c>
    </row>
    <row r="9438" spans="8:8" x14ac:dyDescent="0.25">
      <c r="H9438" t="s">
        <v>138</v>
      </c>
    </row>
    <row r="9439" spans="8:8" x14ac:dyDescent="0.25">
      <c r="H9439" t="s">
        <v>18232</v>
      </c>
    </row>
    <row r="9440" spans="8:8" x14ac:dyDescent="0.25">
      <c r="H9440" t="s">
        <v>30</v>
      </c>
    </row>
    <row r="9442" spans="8:8" x14ac:dyDescent="0.25">
      <c r="H9442" t="s">
        <v>12217</v>
      </c>
    </row>
    <row r="9443" spans="8:8" x14ac:dyDescent="0.25">
      <c r="H9443" t="s">
        <v>12218</v>
      </c>
    </row>
    <row r="9444" spans="8:8" x14ac:dyDescent="0.25">
      <c r="H9444" t="s">
        <v>135</v>
      </c>
    </row>
    <row r="9445" spans="8:8" x14ac:dyDescent="0.25">
      <c r="H9445" t="s">
        <v>18233</v>
      </c>
    </row>
    <row r="9446" spans="8:8" x14ac:dyDescent="0.25">
      <c r="H9446" t="s">
        <v>30</v>
      </c>
    </row>
    <row r="9447" spans="8:8" x14ac:dyDescent="0.25">
      <c r="H9447" t="s">
        <v>136</v>
      </c>
    </row>
    <row r="9448" spans="8:8" x14ac:dyDescent="0.25">
      <c r="H9448" t="s">
        <v>18234</v>
      </c>
    </row>
    <row r="9449" spans="8:8" x14ac:dyDescent="0.25">
      <c r="H9449" t="s">
        <v>30</v>
      </c>
    </row>
    <row r="9450" spans="8:8" x14ac:dyDescent="0.25">
      <c r="H9450" t="s">
        <v>137</v>
      </c>
    </row>
    <row r="9451" spans="8:8" x14ac:dyDescent="0.25">
      <c r="H9451" t="s">
        <v>18235</v>
      </c>
    </row>
    <row r="9452" spans="8:8" x14ac:dyDescent="0.25">
      <c r="H9452" t="s">
        <v>30</v>
      </c>
    </row>
    <row r="9453" spans="8:8" x14ac:dyDescent="0.25">
      <c r="H9453" t="s">
        <v>138</v>
      </c>
    </row>
    <row r="9454" spans="8:8" x14ac:dyDescent="0.25">
      <c r="H9454" t="s">
        <v>18236</v>
      </c>
    </row>
    <row r="9455" spans="8:8" x14ac:dyDescent="0.25">
      <c r="H9455" t="s">
        <v>30</v>
      </c>
    </row>
    <row r="9457" spans="8:8" x14ac:dyDescent="0.25">
      <c r="H9457" t="s">
        <v>12223</v>
      </c>
    </row>
    <row r="9458" spans="8:8" x14ac:dyDescent="0.25">
      <c r="H9458" t="s">
        <v>12224</v>
      </c>
    </row>
    <row r="9459" spans="8:8" x14ac:dyDescent="0.25">
      <c r="H9459" t="s">
        <v>135</v>
      </c>
    </row>
    <row r="9460" spans="8:8" x14ac:dyDescent="0.25">
      <c r="H9460" t="s">
        <v>18237</v>
      </c>
    </row>
    <row r="9461" spans="8:8" x14ac:dyDescent="0.25">
      <c r="H9461" t="s">
        <v>30</v>
      </c>
    </row>
    <row r="9462" spans="8:8" x14ac:dyDescent="0.25">
      <c r="H9462" t="s">
        <v>136</v>
      </c>
    </row>
    <row r="9463" spans="8:8" x14ac:dyDescent="0.25">
      <c r="H9463" t="s">
        <v>18238</v>
      </c>
    </row>
    <row r="9464" spans="8:8" x14ac:dyDescent="0.25">
      <c r="H9464" t="s">
        <v>30</v>
      </c>
    </row>
    <row r="9465" spans="8:8" x14ac:dyDescent="0.25">
      <c r="H9465" t="s">
        <v>137</v>
      </c>
    </row>
    <row r="9466" spans="8:8" x14ac:dyDescent="0.25">
      <c r="H9466" t="s">
        <v>18239</v>
      </c>
    </row>
    <row r="9467" spans="8:8" x14ac:dyDescent="0.25">
      <c r="H9467" t="s">
        <v>30</v>
      </c>
    </row>
    <row r="9468" spans="8:8" x14ac:dyDescent="0.25">
      <c r="H9468" t="s">
        <v>138</v>
      </c>
    </row>
    <row r="9469" spans="8:8" x14ac:dyDescent="0.25">
      <c r="H9469" t="s">
        <v>18240</v>
      </c>
    </row>
    <row r="9470" spans="8:8" x14ac:dyDescent="0.25">
      <c r="H9470" t="s">
        <v>30</v>
      </c>
    </row>
    <row r="9472" spans="8:8" x14ac:dyDescent="0.25">
      <c r="H9472" t="s">
        <v>12229</v>
      </c>
    </row>
    <row r="9473" spans="8:8" x14ac:dyDescent="0.25">
      <c r="H9473" t="s">
        <v>12230</v>
      </c>
    </row>
    <row r="9474" spans="8:8" x14ac:dyDescent="0.25">
      <c r="H9474" t="s">
        <v>135</v>
      </c>
    </row>
    <row r="9475" spans="8:8" x14ac:dyDescent="0.25">
      <c r="H9475" t="s">
        <v>18241</v>
      </c>
    </row>
    <row r="9476" spans="8:8" x14ac:dyDescent="0.25">
      <c r="H9476" t="s">
        <v>30</v>
      </c>
    </row>
    <row r="9477" spans="8:8" x14ac:dyDescent="0.25">
      <c r="H9477" t="s">
        <v>136</v>
      </c>
    </row>
    <row r="9478" spans="8:8" x14ac:dyDescent="0.25">
      <c r="H9478" t="s">
        <v>18242</v>
      </c>
    </row>
    <row r="9479" spans="8:8" x14ac:dyDescent="0.25">
      <c r="H9479" t="s">
        <v>30</v>
      </c>
    </row>
    <row r="9480" spans="8:8" x14ac:dyDescent="0.25">
      <c r="H9480" t="s">
        <v>137</v>
      </c>
    </row>
    <row r="9481" spans="8:8" x14ac:dyDescent="0.25">
      <c r="H9481" t="s">
        <v>18243</v>
      </c>
    </row>
    <row r="9482" spans="8:8" x14ac:dyDescent="0.25">
      <c r="H9482" t="s">
        <v>30</v>
      </c>
    </row>
    <row r="9483" spans="8:8" x14ac:dyDescent="0.25">
      <c r="H9483" t="s">
        <v>138</v>
      </c>
    </row>
    <row r="9484" spans="8:8" x14ac:dyDescent="0.25">
      <c r="H9484" t="s">
        <v>18244</v>
      </c>
    </row>
    <row r="9485" spans="8:8" x14ac:dyDescent="0.25">
      <c r="H9485" t="s">
        <v>30</v>
      </c>
    </row>
    <row r="9487" spans="8:8" x14ac:dyDescent="0.25">
      <c r="H9487" t="s">
        <v>12235</v>
      </c>
    </row>
    <row r="9488" spans="8:8" x14ac:dyDescent="0.25">
      <c r="H9488" t="s">
        <v>12236</v>
      </c>
    </row>
    <row r="9489" spans="8:8" x14ac:dyDescent="0.25">
      <c r="H9489" t="s">
        <v>135</v>
      </c>
    </row>
    <row r="9490" spans="8:8" x14ac:dyDescent="0.25">
      <c r="H9490" t="s">
        <v>18245</v>
      </c>
    </row>
    <row r="9491" spans="8:8" x14ac:dyDescent="0.25">
      <c r="H9491" t="s">
        <v>30</v>
      </c>
    </row>
    <row r="9492" spans="8:8" x14ac:dyDescent="0.25">
      <c r="H9492" t="s">
        <v>136</v>
      </c>
    </row>
    <row r="9493" spans="8:8" x14ac:dyDescent="0.25">
      <c r="H9493" t="s">
        <v>18246</v>
      </c>
    </row>
    <row r="9494" spans="8:8" x14ac:dyDescent="0.25">
      <c r="H9494" t="s">
        <v>30</v>
      </c>
    </row>
    <row r="9495" spans="8:8" x14ac:dyDescent="0.25">
      <c r="H9495" t="s">
        <v>137</v>
      </c>
    </row>
    <row r="9496" spans="8:8" x14ac:dyDescent="0.25">
      <c r="H9496" t="s">
        <v>18247</v>
      </c>
    </row>
    <row r="9497" spans="8:8" x14ac:dyDescent="0.25">
      <c r="H9497" t="s">
        <v>30</v>
      </c>
    </row>
    <row r="9498" spans="8:8" x14ac:dyDescent="0.25">
      <c r="H9498" t="s">
        <v>138</v>
      </c>
    </row>
    <row r="9499" spans="8:8" x14ac:dyDescent="0.25">
      <c r="H9499" t="s">
        <v>18248</v>
      </c>
    </row>
    <row r="9500" spans="8:8" x14ac:dyDescent="0.25">
      <c r="H9500" t="s">
        <v>30</v>
      </c>
    </row>
    <row r="9502" spans="8:8" x14ac:dyDescent="0.25">
      <c r="H9502" t="s">
        <v>12241</v>
      </c>
    </row>
    <row r="9503" spans="8:8" x14ac:dyDescent="0.25">
      <c r="H9503" t="s">
        <v>12242</v>
      </c>
    </row>
    <row r="9504" spans="8:8" x14ac:dyDescent="0.25">
      <c r="H9504" t="s">
        <v>135</v>
      </c>
    </row>
    <row r="9505" spans="8:8" x14ac:dyDescent="0.25">
      <c r="H9505" t="s">
        <v>18249</v>
      </c>
    </row>
    <row r="9506" spans="8:8" x14ac:dyDescent="0.25">
      <c r="H9506" t="s">
        <v>30</v>
      </c>
    </row>
    <row r="9507" spans="8:8" x14ac:dyDescent="0.25">
      <c r="H9507" t="s">
        <v>136</v>
      </c>
    </row>
    <row r="9508" spans="8:8" x14ac:dyDescent="0.25">
      <c r="H9508" t="s">
        <v>18250</v>
      </c>
    </row>
    <row r="9509" spans="8:8" x14ac:dyDescent="0.25">
      <c r="H9509" t="s">
        <v>30</v>
      </c>
    </row>
    <row r="9510" spans="8:8" x14ac:dyDescent="0.25">
      <c r="H9510" t="s">
        <v>137</v>
      </c>
    </row>
    <row r="9511" spans="8:8" x14ac:dyDescent="0.25">
      <c r="H9511" t="s">
        <v>18251</v>
      </c>
    </row>
    <row r="9512" spans="8:8" x14ac:dyDescent="0.25">
      <c r="H9512" t="s">
        <v>30</v>
      </c>
    </row>
    <row r="9513" spans="8:8" x14ac:dyDescent="0.25">
      <c r="H9513" t="s">
        <v>138</v>
      </c>
    </row>
    <row r="9514" spans="8:8" x14ac:dyDescent="0.25">
      <c r="H9514" t="s">
        <v>18252</v>
      </c>
    </row>
    <row r="9515" spans="8:8" x14ac:dyDescent="0.25">
      <c r="H9515" t="s">
        <v>30</v>
      </c>
    </row>
    <row r="9517" spans="8:8" x14ac:dyDescent="0.25">
      <c r="H9517" t="s">
        <v>12247</v>
      </c>
    </row>
    <row r="9518" spans="8:8" x14ac:dyDescent="0.25">
      <c r="H9518" t="s">
        <v>12248</v>
      </c>
    </row>
    <row r="9519" spans="8:8" x14ac:dyDescent="0.25">
      <c r="H9519" t="s">
        <v>135</v>
      </c>
    </row>
    <row r="9520" spans="8:8" x14ac:dyDescent="0.25">
      <c r="H9520" t="s">
        <v>18253</v>
      </c>
    </row>
    <row r="9521" spans="8:8" x14ac:dyDescent="0.25">
      <c r="H9521" t="s">
        <v>30</v>
      </c>
    </row>
    <row r="9522" spans="8:8" x14ac:dyDescent="0.25">
      <c r="H9522" t="s">
        <v>136</v>
      </c>
    </row>
    <row r="9523" spans="8:8" x14ac:dyDescent="0.25">
      <c r="H9523" t="s">
        <v>18254</v>
      </c>
    </row>
    <row r="9524" spans="8:8" x14ac:dyDescent="0.25">
      <c r="H9524" t="s">
        <v>30</v>
      </c>
    </row>
    <row r="9525" spans="8:8" x14ac:dyDescent="0.25">
      <c r="H9525" t="s">
        <v>137</v>
      </c>
    </row>
    <row r="9526" spans="8:8" x14ac:dyDescent="0.25">
      <c r="H9526" t="s">
        <v>18255</v>
      </c>
    </row>
    <row r="9527" spans="8:8" x14ac:dyDescent="0.25">
      <c r="H9527" t="s">
        <v>30</v>
      </c>
    </row>
    <row r="9528" spans="8:8" x14ac:dyDescent="0.25">
      <c r="H9528" t="s">
        <v>138</v>
      </c>
    </row>
    <row r="9529" spans="8:8" x14ac:dyDescent="0.25">
      <c r="H9529" t="s">
        <v>18256</v>
      </c>
    </row>
    <row r="9530" spans="8:8" x14ac:dyDescent="0.25">
      <c r="H9530" t="s">
        <v>30</v>
      </c>
    </row>
    <row r="9532" spans="8:8" x14ac:dyDescent="0.25">
      <c r="H9532" t="s">
        <v>12253</v>
      </c>
    </row>
    <row r="9533" spans="8:8" x14ac:dyDescent="0.25">
      <c r="H9533" t="s">
        <v>12254</v>
      </c>
    </row>
    <row r="9534" spans="8:8" x14ac:dyDescent="0.25">
      <c r="H9534" t="s">
        <v>135</v>
      </c>
    </row>
    <row r="9535" spans="8:8" x14ac:dyDescent="0.25">
      <c r="H9535" t="s">
        <v>18257</v>
      </c>
    </row>
    <row r="9536" spans="8:8" x14ac:dyDescent="0.25">
      <c r="H9536" t="s">
        <v>30</v>
      </c>
    </row>
    <row r="9537" spans="8:8" x14ac:dyDescent="0.25">
      <c r="H9537" t="s">
        <v>136</v>
      </c>
    </row>
    <row r="9538" spans="8:8" x14ac:dyDescent="0.25">
      <c r="H9538" t="s">
        <v>18258</v>
      </c>
    </row>
    <row r="9539" spans="8:8" x14ac:dyDescent="0.25">
      <c r="H9539" t="s">
        <v>30</v>
      </c>
    </row>
    <row r="9540" spans="8:8" x14ac:dyDescent="0.25">
      <c r="H9540" t="s">
        <v>137</v>
      </c>
    </row>
    <row r="9541" spans="8:8" x14ac:dyDescent="0.25">
      <c r="H9541" t="s">
        <v>18259</v>
      </c>
    </row>
    <row r="9542" spans="8:8" x14ac:dyDescent="0.25">
      <c r="H9542" t="s">
        <v>30</v>
      </c>
    </row>
    <row r="9543" spans="8:8" x14ac:dyDescent="0.25">
      <c r="H9543" t="s">
        <v>138</v>
      </c>
    </row>
    <row r="9544" spans="8:8" x14ac:dyDescent="0.25">
      <c r="H9544" t="s">
        <v>18260</v>
      </c>
    </row>
    <row r="9545" spans="8:8" x14ac:dyDescent="0.25">
      <c r="H9545" t="s">
        <v>30</v>
      </c>
    </row>
    <row r="9547" spans="8:8" x14ac:dyDescent="0.25">
      <c r="H9547" t="s">
        <v>12259</v>
      </c>
    </row>
    <row r="9548" spans="8:8" x14ac:dyDescent="0.25">
      <c r="H9548" t="s">
        <v>12260</v>
      </c>
    </row>
    <row r="9549" spans="8:8" x14ac:dyDescent="0.25">
      <c r="H9549" t="s">
        <v>135</v>
      </c>
    </row>
    <row r="9550" spans="8:8" x14ac:dyDescent="0.25">
      <c r="H9550" t="s">
        <v>18261</v>
      </c>
    </row>
    <row r="9551" spans="8:8" x14ac:dyDescent="0.25">
      <c r="H9551" t="s">
        <v>30</v>
      </c>
    </row>
    <row r="9552" spans="8:8" x14ac:dyDescent="0.25">
      <c r="H9552" t="s">
        <v>136</v>
      </c>
    </row>
    <row r="9553" spans="8:8" x14ac:dyDescent="0.25">
      <c r="H9553" t="s">
        <v>18262</v>
      </c>
    </row>
    <row r="9554" spans="8:8" x14ac:dyDescent="0.25">
      <c r="H9554" t="s">
        <v>30</v>
      </c>
    </row>
    <row r="9555" spans="8:8" x14ac:dyDescent="0.25">
      <c r="H9555" t="s">
        <v>137</v>
      </c>
    </row>
    <row r="9556" spans="8:8" x14ac:dyDescent="0.25">
      <c r="H9556" t="s">
        <v>18263</v>
      </c>
    </row>
    <row r="9557" spans="8:8" x14ac:dyDescent="0.25">
      <c r="H9557" t="s">
        <v>30</v>
      </c>
    </row>
    <row r="9558" spans="8:8" x14ac:dyDescent="0.25">
      <c r="H9558" t="s">
        <v>138</v>
      </c>
    </row>
    <row r="9559" spans="8:8" x14ac:dyDescent="0.25">
      <c r="H9559" t="s">
        <v>18264</v>
      </c>
    </row>
    <row r="9560" spans="8:8" x14ac:dyDescent="0.25">
      <c r="H9560" t="s">
        <v>30</v>
      </c>
    </row>
    <row r="9562" spans="8:8" x14ac:dyDescent="0.25">
      <c r="H9562" t="s">
        <v>12265</v>
      </c>
    </row>
    <row r="9563" spans="8:8" x14ac:dyDescent="0.25">
      <c r="H9563" t="s">
        <v>12266</v>
      </c>
    </row>
    <row r="9564" spans="8:8" x14ac:dyDescent="0.25">
      <c r="H9564" t="s">
        <v>135</v>
      </c>
    </row>
    <row r="9565" spans="8:8" x14ac:dyDescent="0.25">
      <c r="H9565" t="s">
        <v>18265</v>
      </c>
    </row>
    <row r="9566" spans="8:8" x14ac:dyDescent="0.25">
      <c r="H9566" t="s">
        <v>30</v>
      </c>
    </row>
    <row r="9567" spans="8:8" x14ac:dyDescent="0.25">
      <c r="H9567" t="s">
        <v>136</v>
      </c>
    </row>
    <row r="9568" spans="8:8" x14ac:dyDescent="0.25">
      <c r="H9568" t="s">
        <v>18266</v>
      </c>
    </row>
    <row r="9569" spans="8:8" x14ac:dyDescent="0.25">
      <c r="H9569" t="s">
        <v>30</v>
      </c>
    </row>
    <row r="9570" spans="8:8" x14ac:dyDescent="0.25">
      <c r="H9570" t="s">
        <v>137</v>
      </c>
    </row>
    <row r="9571" spans="8:8" x14ac:dyDescent="0.25">
      <c r="H9571" t="s">
        <v>18267</v>
      </c>
    </row>
    <row r="9572" spans="8:8" x14ac:dyDescent="0.25">
      <c r="H9572" t="s">
        <v>30</v>
      </c>
    </row>
    <row r="9573" spans="8:8" x14ac:dyDescent="0.25">
      <c r="H9573" t="s">
        <v>138</v>
      </c>
    </row>
    <row r="9574" spans="8:8" x14ac:dyDescent="0.25">
      <c r="H9574" t="s">
        <v>18268</v>
      </c>
    </row>
    <row r="9575" spans="8:8" x14ac:dyDescent="0.25">
      <c r="H9575" t="s">
        <v>30</v>
      </c>
    </row>
    <row r="9577" spans="8:8" x14ac:dyDescent="0.25">
      <c r="H9577" t="s">
        <v>12271</v>
      </c>
    </row>
    <row r="9578" spans="8:8" x14ac:dyDescent="0.25">
      <c r="H9578" t="s">
        <v>12272</v>
      </c>
    </row>
    <row r="9579" spans="8:8" x14ac:dyDescent="0.25">
      <c r="H9579" t="s">
        <v>135</v>
      </c>
    </row>
    <row r="9580" spans="8:8" x14ac:dyDescent="0.25">
      <c r="H9580" t="s">
        <v>18269</v>
      </c>
    </row>
    <row r="9581" spans="8:8" x14ac:dyDescent="0.25">
      <c r="H9581" t="s">
        <v>30</v>
      </c>
    </row>
    <row r="9582" spans="8:8" x14ac:dyDescent="0.25">
      <c r="H9582" t="s">
        <v>136</v>
      </c>
    </row>
    <row r="9583" spans="8:8" x14ac:dyDescent="0.25">
      <c r="H9583" t="s">
        <v>18270</v>
      </c>
    </row>
    <row r="9584" spans="8:8" x14ac:dyDescent="0.25">
      <c r="H9584" t="s">
        <v>30</v>
      </c>
    </row>
    <row r="9585" spans="8:8" x14ac:dyDescent="0.25">
      <c r="H9585" t="s">
        <v>137</v>
      </c>
    </row>
    <row r="9586" spans="8:8" x14ac:dyDescent="0.25">
      <c r="H9586" t="s">
        <v>18271</v>
      </c>
    </row>
    <row r="9587" spans="8:8" x14ac:dyDescent="0.25">
      <c r="H9587" t="s">
        <v>30</v>
      </c>
    </row>
    <row r="9588" spans="8:8" x14ac:dyDescent="0.25">
      <c r="H9588" t="s">
        <v>138</v>
      </c>
    </row>
    <row r="9589" spans="8:8" x14ac:dyDescent="0.25">
      <c r="H9589" t="s">
        <v>18272</v>
      </c>
    </row>
    <row r="9590" spans="8:8" x14ac:dyDescent="0.25">
      <c r="H9590" t="s">
        <v>30</v>
      </c>
    </row>
    <row r="9592" spans="8:8" x14ac:dyDescent="0.25">
      <c r="H9592" t="s">
        <v>12277</v>
      </c>
    </row>
    <row r="9593" spans="8:8" x14ac:dyDescent="0.25">
      <c r="H9593" t="s">
        <v>12278</v>
      </c>
    </row>
    <row r="9594" spans="8:8" x14ac:dyDescent="0.25">
      <c r="H9594" t="s">
        <v>135</v>
      </c>
    </row>
    <row r="9595" spans="8:8" x14ac:dyDescent="0.25">
      <c r="H9595" t="s">
        <v>18273</v>
      </c>
    </row>
    <row r="9596" spans="8:8" x14ac:dyDescent="0.25">
      <c r="H9596" t="s">
        <v>30</v>
      </c>
    </row>
    <row r="9597" spans="8:8" x14ac:dyDescent="0.25">
      <c r="H9597" t="s">
        <v>136</v>
      </c>
    </row>
    <row r="9598" spans="8:8" x14ac:dyDescent="0.25">
      <c r="H9598" t="s">
        <v>18274</v>
      </c>
    </row>
    <row r="9599" spans="8:8" x14ac:dyDescent="0.25">
      <c r="H9599" t="s">
        <v>30</v>
      </c>
    </row>
    <row r="9600" spans="8:8" x14ac:dyDescent="0.25">
      <c r="H9600" t="s">
        <v>137</v>
      </c>
    </row>
    <row r="9601" spans="8:8" x14ac:dyDescent="0.25">
      <c r="H9601" t="s">
        <v>18275</v>
      </c>
    </row>
    <row r="9602" spans="8:8" x14ac:dyDescent="0.25">
      <c r="H9602" t="s">
        <v>30</v>
      </c>
    </row>
    <row r="9603" spans="8:8" x14ac:dyDescent="0.25">
      <c r="H9603" t="s">
        <v>138</v>
      </c>
    </row>
    <row r="9604" spans="8:8" x14ac:dyDescent="0.25">
      <c r="H9604" t="s">
        <v>18276</v>
      </c>
    </row>
    <row r="9605" spans="8:8" x14ac:dyDescent="0.25">
      <c r="H9605" t="s">
        <v>30</v>
      </c>
    </row>
    <row r="9607" spans="8:8" x14ac:dyDescent="0.25">
      <c r="H9607" t="s">
        <v>12283</v>
      </c>
    </row>
    <row r="9608" spans="8:8" x14ac:dyDescent="0.25">
      <c r="H9608" t="s">
        <v>12284</v>
      </c>
    </row>
    <row r="9609" spans="8:8" x14ac:dyDescent="0.25">
      <c r="H9609" t="s">
        <v>135</v>
      </c>
    </row>
    <row r="9610" spans="8:8" x14ac:dyDescent="0.25">
      <c r="H9610" t="s">
        <v>18277</v>
      </c>
    </row>
    <row r="9611" spans="8:8" x14ac:dyDescent="0.25">
      <c r="H9611" t="s">
        <v>30</v>
      </c>
    </row>
    <row r="9612" spans="8:8" x14ac:dyDescent="0.25">
      <c r="H9612" t="s">
        <v>136</v>
      </c>
    </row>
    <row r="9613" spans="8:8" x14ac:dyDescent="0.25">
      <c r="H9613" t="s">
        <v>18278</v>
      </c>
    </row>
    <row r="9614" spans="8:8" x14ac:dyDescent="0.25">
      <c r="H9614" t="s">
        <v>30</v>
      </c>
    </row>
    <row r="9615" spans="8:8" x14ac:dyDescent="0.25">
      <c r="H9615" t="s">
        <v>137</v>
      </c>
    </row>
    <row r="9616" spans="8:8" x14ac:dyDescent="0.25">
      <c r="H9616" t="s">
        <v>18279</v>
      </c>
    </row>
    <row r="9617" spans="8:8" x14ac:dyDescent="0.25">
      <c r="H9617" t="s">
        <v>30</v>
      </c>
    </row>
    <row r="9618" spans="8:8" x14ac:dyDescent="0.25">
      <c r="H9618" t="s">
        <v>138</v>
      </c>
    </row>
    <row r="9619" spans="8:8" x14ac:dyDescent="0.25">
      <c r="H9619" t="s">
        <v>18280</v>
      </c>
    </row>
    <row r="9620" spans="8:8" x14ac:dyDescent="0.25">
      <c r="H9620" t="s">
        <v>30</v>
      </c>
    </row>
    <row r="9622" spans="8:8" x14ac:dyDescent="0.25">
      <c r="H9622" t="s">
        <v>12289</v>
      </c>
    </row>
    <row r="9623" spans="8:8" x14ac:dyDescent="0.25">
      <c r="H9623" t="s">
        <v>12290</v>
      </c>
    </row>
    <row r="9624" spans="8:8" x14ac:dyDescent="0.25">
      <c r="H9624" t="s">
        <v>135</v>
      </c>
    </row>
    <row r="9625" spans="8:8" x14ac:dyDescent="0.25">
      <c r="H9625" t="s">
        <v>18281</v>
      </c>
    </row>
    <row r="9626" spans="8:8" x14ac:dyDescent="0.25">
      <c r="H9626" t="s">
        <v>30</v>
      </c>
    </row>
    <row r="9627" spans="8:8" x14ac:dyDescent="0.25">
      <c r="H9627" t="s">
        <v>136</v>
      </c>
    </row>
    <row r="9628" spans="8:8" x14ac:dyDescent="0.25">
      <c r="H9628" t="s">
        <v>18282</v>
      </c>
    </row>
    <row r="9629" spans="8:8" x14ac:dyDescent="0.25">
      <c r="H9629" t="s">
        <v>30</v>
      </c>
    </row>
    <row r="9630" spans="8:8" x14ac:dyDescent="0.25">
      <c r="H9630" t="s">
        <v>137</v>
      </c>
    </row>
    <row r="9631" spans="8:8" x14ac:dyDescent="0.25">
      <c r="H9631" t="s">
        <v>18283</v>
      </c>
    </row>
    <row r="9632" spans="8:8" x14ac:dyDescent="0.25">
      <c r="H9632" t="s">
        <v>30</v>
      </c>
    </row>
    <row r="9633" spans="8:8" x14ac:dyDescent="0.25">
      <c r="H9633" t="s">
        <v>138</v>
      </c>
    </row>
    <row r="9634" spans="8:8" x14ac:dyDescent="0.25">
      <c r="H9634" t="s">
        <v>18284</v>
      </c>
    </row>
    <row r="9635" spans="8:8" x14ac:dyDescent="0.25">
      <c r="H9635" t="s">
        <v>30</v>
      </c>
    </row>
    <row r="9637" spans="8:8" x14ac:dyDescent="0.25">
      <c r="H9637" t="s">
        <v>12295</v>
      </c>
    </row>
    <row r="9638" spans="8:8" x14ac:dyDescent="0.25">
      <c r="H9638" t="s">
        <v>12296</v>
      </c>
    </row>
    <row r="9639" spans="8:8" x14ac:dyDescent="0.25">
      <c r="H9639" t="s">
        <v>135</v>
      </c>
    </row>
    <row r="9640" spans="8:8" x14ac:dyDescent="0.25">
      <c r="H9640" t="s">
        <v>18285</v>
      </c>
    </row>
    <row r="9641" spans="8:8" x14ac:dyDescent="0.25">
      <c r="H9641" t="s">
        <v>30</v>
      </c>
    </row>
    <row r="9642" spans="8:8" x14ac:dyDescent="0.25">
      <c r="H9642" t="s">
        <v>136</v>
      </c>
    </row>
    <row r="9643" spans="8:8" x14ac:dyDescent="0.25">
      <c r="H9643" t="s">
        <v>18286</v>
      </c>
    </row>
    <row r="9644" spans="8:8" x14ac:dyDescent="0.25">
      <c r="H9644" t="s">
        <v>30</v>
      </c>
    </row>
    <row r="9645" spans="8:8" x14ac:dyDescent="0.25">
      <c r="H9645" t="s">
        <v>137</v>
      </c>
    </row>
    <row r="9646" spans="8:8" x14ac:dyDescent="0.25">
      <c r="H9646" t="s">
        <v>18287</v>
      </c>
    </row>
    <row r="9647" spans="8:8" x14ac:dyDescent="0.25">
      <c r="H9647" t="s">
        <v>30</v>
      </c>
    </row>
    <row r="9648" spans="8:8" x14ac:dyDescent="0.25">
      <c r="H9648" t="s">
        <v>138</v>
      </c>
    </row>
    <row r="9649" spans="8:8" x14ac:dyDescent="0.25">
      <c r="H9649" t="s">
        <v>18288</v>
      </c>
    </row>
    <row r="9650" spans="8:8" x14ac:dyDescent="0.25">
      <c r="H9650" t="s">
        <v>30</v>
      </c>
    </row>
    <row r="9652" spans="8:8" x14ac:dyDescent="0.25">
      <c r="H9652" t="s">
        <v>12301</v>
      </c>
    </row>
    <row r="9653" spans="8:8" x14ac:dyDescent="0.25">
      <c r="H9653" t="s">
        <v>12302</v>
      </c>
    </row>
    <row r="9654" spans="8:8" x14ac:dyDescent="0.25">
      <c r="H9654" t="s">
        <v>135</v>
      </c>
    </row>
    <row r="9655" spans="8:8" x14ac:dyDescent="0.25">
      <c r="H9655" t="s">
        <v>18289</v>
      </c>
    </row>
    <row r="9656" spans="8:8" x14ac:dyDescent="0.25">
      <c r="H9656" t="s">
        <v>30</v>
      </c>
    </row>
    <row r="9657" spans="8:8" x14ac:dyDescent="0.25">
      <c r="H9657" t="s">
        <v>136</v>
      </c>
    </row>
    <row r="9658" spans="8:8" x14ac:dyDescent="0.25">
      <c r="H9658" t="s">
        <v>18290</v>
      </c>
    </row>
    <row r="9659" spans="8:8" x14ac:dyDescent="0.25">
      <c r="H9659" t="s">
        <v>30</v>
      </c>
    </row>
    <row r="9660" spans="8:8" x14ac:dyDescent="0.25">
      <c r="H9660" t="s">
        <v>137</v>
      </c>
    </row>
    <row r="9661" spans="8:8" x14ac:dyDescent="0.25">
      <c r="H9661" t="s">
        <v>18291</v>
      </c>
    </row>
    <row r="9662" spans="8:8" x14ac:dyDescent="0.25">
      <c r="H9662" t="s">
        <v>30</v>
      </c>
    </row>
    <row r="9663" spans="8:8" x14ac:dyDescent="0.25">
      <c r="H9663" t="s">
        <v>138</v>
      </c>
    </row>
    <row r="9664" spans="8:8" x14ac:dyDescent="0.25">
      <c r="H9664" t="s">
        <v>18292</v>
      </c>
    </row>
    <row r="9665" spans="8:8" x14ac:dyDescent="0.25">
      <c r="H9665" t="s">
        <v>30</v>
      </c>
    </row>
    <row r="9667" spans="8:8" x14ac:dyDescent="0.25">
      <c r="H9667" t="s">
        <v>12307</v>
      </c>
    </row>
    <row r="9668" spans="8:8" x14ac:dyDescent="0.25">
      <c r="H9668" t="s">
        <v>12308</v>
      </c>
    </row>
    <row r="9669" spans="8:8" x14ac:dyDescent="0.25">
      <c r="H9669" t="s">
        <v>135</v>
      </c>
    </row>
    <row r="9670" spans="8:8" x14ac:dyDescent="0.25">
      <c r="H9670" t="s">
        <v>18293</v>
      </c>
    </row>
    <row r="9671" spans="8:8" x14ac:dyDescent="0.25">
      <c r="H9671" t="s">
        <v>30</v>
      </c>
    </row>
    <row r="9672" spans="8:8" x14ac:dyDescent="0.25">
      <c r="H9672" t="s">
        <v>136</v>
      </c>
    </row>
    <row r="9673" spans="8:8" x14ac:dyDescent="0.25">
      <c r="H9673" t="s">
        <v>18294</v>
      </c>
    </row>
    <row r="9674" spans="8:8" x14ac:dyDescent="0.25">
      <c r="H9674" t="s">
        <v>30</v>
      </c>
    </row>
    <row r="9675" spans="8:8" x14ac:dyDescent="0.25">
      <c r="H9675" t="s">
        <v>137</v>
      </c>
    </row>
    <row r="9676" spans="8:8" x14ac:dyDescent="0.25">
      <c r="H9676" t="s">
        <v>18295</v>
      </c>
    </row>
    <row r="9677" spans="8:8" x14ac:dyDescent="0.25">
      <c r="H9677" t="s">
        <v>30</v>
      </c>
    </row>
    <row r="9678" spans="8:8" x14ac:dyDescent="0.25">
      <c r="H9678" t="s">
        <v>138</v>
      </c>
    </row>
    <row r="9679" spans="8:8" x14ac:dyDescent="0.25">
      <c r="H9679" t="s">
        <v>18296</v>
      </c>
    </row>
    <row r="9680" spans="8:8" x14ac:dyDescent="0.25">
      <c r="H9680" t="s">
        <v>30</v>
      </c>
    </row>
    <row r="9682" spans="8:8" x14ac:dyDescent="0.25">
      <c r="H9682" t="s">
        <v>12313</v>
      </c>
    </row>
    <row r="9683" spans="8:8" x14ac:dyDescent="0.25">
      <c r="H9683" t="s">
        <v>12314</v>
      </c>
    </row>
    <row r="9684" spans="8:8" x14ac:dyDescent="0.25">
      <c r="H9684" t="s">
        <v>135</v>
      </c>
    </row>
    <row r="9685" spans="8:8" x14ac:dyDescent="0.25">
      <c r="H9685" t="s">
        <v>18297</v>
      </c>
    </row>
    <row r="9686" spans="8:8" x14ac:dyDescent="0.25">
      <c r="H9686" t="s">
        <v>30</v>
      </c>
    </row>
    <row r="9687" spans="8:8" x14ac:dyDescent="0.25">
      <c r="H9687" t="s">
        <v>136</v>
      </c>
    </row>
    <row r="9688" spans="8:8" x14ac:dyDescent="0.25">
      <c r="H9688" t="s">
        <v>18298</v>
      </c>
    </row>
    <row r="9689" spans="8:8" x14ac:dyDescent="0.25">
      <c r="H9689" t="s">
        <v>30</v>
      </c>
    </row>
    <row r="9690" spans="8:8" x14ac:dyDescent="0.25">
      <c r="H9690" t="s">
        <v>137</v>
      </c>
    </row>
    <row r="9691" spans="8:8" x14ac:dyDescent="0.25">
      <c r="H9691" t="s">
        <v>18299</v>
      </c>
    </row>
    <row r="9692" spans="8:8" x14ac:dyDescent="0.25">
      <c r="H9692" t="s">
        <v>30</v>
      </c>
    </row>
    <row r="9693" spans="8:8" x14ac:dyDescent="0.25">
      <c r="H9693" t="s">
        <v>138</v>
      </c>
    </row>
    <row r="9694" spans="8:8" x14ac:dyDescent="0.25">
      <c r="H9694" t="s">
        <v>18300</v>
      </c>
    </row>
    <row r="9695" spans="8:8" x14ac:dyDescent="0.25">
      <c r="H9695" t="s">
        <v>30</v>
      </c>
    </row>
    <row r="9697" spans="8:8" x14ac:dyDescent="0.25">
      <c r="H9697" t="s">
        <v>12319</v>
      </c>
    </row>
    <row r="9698" spans="8:8" x14ac:dyDescent="0.25">
      <c r="H9698" t="s">
        <v>12320</v>
      </c>
    </row>
    <row r="9699" spans="8:8" x14ac:dyDescent="0.25">
      <c r="H9699" t="s">
        <v>135</v>
      </c>
    </row>
    <row r="9700" spans="8:8" x14ac:dyDescent="0.25">
      <c r="H9700" t="s">
        <v>18301</v>
      </c>
    </row>
    <row r="9701" spans="8:8" x14ac:dyDescent="0.25">
      <c r="H9701" t="s">
        <v>30</v>
      </c>
    </row>
    <row r="9702" spans="8:8" x14ac:dyDescent="0.25">
      <c r="H9702" t="s">
        <v>136</v>
      </c>
    </row>
    <row r="9703" spans="8:8" x14ac:dyDescent="0.25">
      <c r="H9703" t="s">
        <v>18302</v>
      </c>
    </row>
    <row r="9704" spans="8:8" x14ac:dyDescent="0.25">
      <c r="H9704" t="s">
        <v>30</v>
      </c>
    </row>
    <row r="9705" spans="8:8" x14ac:dyDescent="0.25">
      <c r="H9705" t="s">
        <v>137</v>
      </c>
    </row>
    <row r="9706" spans="8:8" x14ac:dyDescent="0.25">
      <c r="H9706" t="s">
        <v>18303</v>
      </c>
    </row>
    <row r="9707" spans="8:8" x14ac:dyDescent="0.25">
      <c r="H9707" t="s">
        <v>30</v>
      </c>
    </row>
    <row r="9708" spans="8:8" x14ac:dyDescent="0.25">
      <c r="H9708" t="s">
        <v>138</v>
      </c>
    </row>
    <row r="9709" spans="8:8" x14ac:dyDescent="0.25">
      <c r="H9709" t="s">
        <v>18304</v>
      </c>
    </row>
    <row r="9710" spans="8:8" x14ac:dyDescent="0.25">
      <c r="H9710" t="s">
        <v>30</v>
      </c>
    </row>
    <row r="9712" spans="8:8" x14ac:dyDescent="0.25">
      <c r="H9712" t="s">
        <v>12325</v>
      </c>
    </row>
    <row r="9713" spans="8:8" x14ac:dyDescent="0.25">
      <c r="H9713" t="s">
        <v>12326</v>
      </c>
    </row>
    <row r="9714" spans="8:8" x14ac:dyDescent="0.25">
      <c r="H9714" t="s">
        <v>135</v>
      </c>
    </row>
    <row r="9715" spans="8:8" x14ac:dyDescent="0.25">
      <c r="H9715" t="s">
        <v>18305</v>
      </c>
    </row>
    <row r="9716" spans="8:8" x14ac:dyDescent="0.25">
      <c r="H9716" t="s">
        <v>30</v>
      </c>
    </row>
    <row r="9717" spans="8:8" x14ac:dyDescent="0.25">
      <c r="H9717" t="s">
        <v>136</v>
      </c>
    </row>
    <row r="9718" spans="8:8" x14ac:dyDescent="0.25">
      <c r="H9718" t="s">
        <v>18306</v>
      </c>
    </row>
    <row r="9719" spans="8:8" x14ac:dyDescent="0.25">
      <c r="H9719" t="s">
        <v>30</v>
      </c>
    </row>
    <row r="9720" spans="8:8" x14ac:dyDescent="0.25">
      <c r="H9720" t="s">
        <v>137</v>
      </c>
    </row>
    <row r="9721" spans="8:8" x14ac:dyDescent="0.25">
      <c r="H9721" t="s">
        <v>18307</v>
      </c>
    </row>
    <row r="9722" spans="8:8" x14ac:dyDescent="0.25">
      <c r="H9722" t="s">
        <v>30</v>
      </c>
    </row>
    <row r="9723" spans="8:8" x14ac:dyDescent="0.25">
      <c r="H9723" t="s">
        <v>138</v>
      </c>
    </row>
    <row r="9724" spans="8:8" x14ac:dyDescent="0.25">
      <c r="H9724" t="s">
        <v>18308</v>
      </c>
    </row>
    <row r="9725" spans="8:8" x14ac:dyDescent="0.25">
      <c r="H9725" t="s">
        <v>30</v>
      </c>
    </row>
    <row r="9727" spans="8:8" x14ac:dyDescent="0.25">
      <c r="H9727" t="s">
        <v>12331</v>
      </c>
    </row>
    <row r="9728" spans="8:8" x14ac:dyDescent="0.25">
      <c r="H9728" t="s">
        <v>12332</v>
      </c>
    </row>
    <row r="9729" spans="8:8" x14ac:dyDescent="0.25">
      <c r="H9729" t="s">
        <v>135</v>
      </c>
    </row>
    <row r="9730" spans="8:8" x14ac:dyDescent="0.25">
      <c r="H9730" t="s">
        <v>18309</v>
      </c>
    </row>
    <row r="9731" spans="8:8" x14ac:dyDescent="0.25">
      <c r="H9731" t="s">
        <v>30</v>
      </c>
    </row>
    <row r="9732" spans="8:8" x14ac:dyDescent="0.25">
      <c r="H9732" t="s">
        <v>136</v>
      </c>
    </row>
    <row r="9733" spans="8:8" x14ac:dyDescent="0.25">
      <c r="H9733" t="s">
        <v>18310</v>
      </c>
    </row>
    <row r="9734" spans="8:8" x14ac:dyDescent="0.25">
      <c r="H9734" t="s">
        <v>30</v>
      </c>
    </row>
    <row r="9735" spans="8:8" x14ac:dyDescent="0.25">
      <c r="H9735" t="s">
        <v>137</v>
      </c>
    </row>
    <row r="9736" spans="8:8" x14ac:dyDescent="0.25">
      <c r="H9736" t="s">
        <v>18311</v>
      </c>
    </row>
    <row r="9737" spans="8:8" x14ac:dyDescent="0.25">
      <c r="H9737" t="s">
        <v>30</v>
      </c>
    </row>
    <row r="9738" spans="8:8" x14ac:dyDescent="0.25">
      <c r="H9738" t="s">
        <v>138</v>
      </c>
    </row>
    <row r="9739" spans="8:8" x14ac:dyDescent="0.25">
      <c r="H9739" t="s">
        <v>18312</v>
      </c>
    </row>
    <row r="9740" spans="8:8" x14ac:dyDescent="0.25">
      <c r="H9740" t="s">
        <v>30</v>
      </c>
    </row>
    <row r="9742" spans="8:8" x14ac:dyDescent="0.25">
      <c r="H9742" t="s">
        <v>12337</v>
      </c>
    </row>
    <row r="9743" spans="8:8" x14ac:dyDescent="0.25">
      <c r="H9743" t="s">
        <v>12338</v>
      </c>
    </row>
    <row r="9744" spans="8:8" x14ac:dyDescent="0.25">
      <c r="H9744" t="s">
        <v>135</v>
      </c>
    </row>
    <row r="9745" spans="8:8" x14ac:dyDescent="0.25">
      <c r="H9745" t="s">
        <v>18313</v>
      </c>
    </row>
    <row r="9746" spans="8:8" x14ac:dyDescent="0.25">
      <c r="H9746" t="s">
        <v>30</v>
      </c>
    </row>
    <row r="9747" spans="8:8" x14ac:dyDescent="0.25">
      <c r="H9747" t="s">
        <v>136</v>
      </c>
    </row>
    <row r="9748" spans="8:8" x14ac:dyDescent="0.25">
      <c r="H9748" t="s">
        <v>18314</v>
      </c>
    </row>
    <row r="9749" spans="8:8" x14ac:dyDescent="0.25">
      <c r="H9749" t="s">
        <v>30</v>
      </c>
    </row>
    <row r="9750" spans="8:8" x14ac:dyDescent="0.25">
      <c r="H9750" t="s">
        <v>137</v>
      </c>
    </row>
    <row r="9751" spans="8:8" x14ac:dyDescent="0.25">
      <c r="H9751" t="s">
        <v>18315</v>
      </c>
    </row>
    <row r="9752" spans="8:8" x14ac:dyDescent="0.25">
      <c r="H9752" t="s">
        <v>30</v>
      </c>
    </row>
    <row r="9753" spans="8:8" x14ac:dyDescent="0.25">
      <c r="H9753" t="s">
        <v>138</v>
      </c>
    </row>
    <row r="9754" spans="8:8" x14ac:dyDescent="0.25">
      <c r="H9754" t="s">
        <v>18316</v>
      </c>
    </row>
    <row r="9755" spans="8:8" x14ac:dyDescent="0.25">
      <c r="H9755" t="s">
        <v>30</v>
      </c>
    </row>
    <row r="9757" spans="8:8" x14ac:dyDescent="0.25">
      <c r="H9757" t="s">
        <v>12343</v>
      </c>
    </row>
    <row r="9758" spans="8:8" x14ac:dyDescent="0.25">
      <c r="H9758" t="s">
        <v>12344</v>
      </c>
    </row>
    <row r="9759" spans="8:8" x14ac:dyDescent="0.25">
      <c r="H9759" t="s">
        <v>135</v>
      </c>
    </row>
    <row r="9760" spans="8:8" x14ac:dyDescent="0.25">
      <c r="H9760" t="s">
        <v>18317</v>
      </c>
    </row>
    <row r="9761" spans="8:8" x14ac:dyDescent="0.25">
      <c r="H9761" t="s">
        <v>30</v>
      </c>
    </row>
    <row r="9762" spans="8:8" x14ac:dyDescent="0.25">
      <c r="H9762" t="s">
        <v>136</v>
      </c>
    </row>
    <row r="9763" spans="8:8" x14ac:dyDescent="0.25">
      <c r="H9763" t="s">
        <v>18318</v>
      </c>
    </row>
    <row r="9764" spans="8:8" x14ac:dyDescent="0.25">
      <c r="H9764" t="s">
        <v>30</v>
      </c>
    </row>
    <row r="9765" spans="8:8" x14ac:dyDescent="0.25">
      <c r="H9765" t="s">
        <v>137</v>
      </c>
    </row>
    <row r="9766" spans="8:8" x14ac:dyDescent="0.25">
      <c r="H9766" t="s">
        <v>18319</v>
      </c>
    </row>
    <row r="9767" spans="8:8" x14ac:dyDescent="0.25">
      <c r="H9767" t="s">
        <v>30</v>
      </c>
    </row>
    <row r="9768" spans="8:8" x14ac:dyDescent="0.25">
      <c r="H9768" t="s">
        <v>138</v>
      </c>
    </row>
    <row r="9769" spans="8:8" x14ac:dyDescent="0.25">
      <c r="H9769" t="s">
        <v>18320</v>
      </c>
    </row>
    <row r="9770" spans="8:8" x14ac:dyDescent="0.25">
      <c r="H9770" t="s">
        <v>30</v>
      </c>
    </row>
    <row r="9772" spans="8:8" x14ac:dyDescent="0.25">
      <c r="H9772" t="s">
        <v>12349</v>
      </c>
    </row>
    <row r="9773" spans="8:8" x14ac:dyDescent="0.25">
      <c r="H9773" t="s">
        <v>12350</v>
      </c>
    </row>
    <row r="9774" spans="8:8" x14ac:dyDescent="0.25">
      <c r="H9774" t="s">
        <v>135</v>
      </c>
    </row>
    <row r="9775" spans="8:8" x14ac:dyDescent="0.25">
      <c r="H9775" t="s">
        <v>18321</v>
      </c>
    </row>
    <row r="9776" spans="8:8" x14ac:dyDescent="0.25">
      <c r="H9776" t="s">
        <v>30</v>
      </c>
    </row>
    <row r="9777" spans="8:8" x14ac:dyDescent="0.25">
      <c r="H9777" t="s">
        <v>136</v>
      </c>
    </row>
    <row r="9778" spans="8:8" x14ac:dyDescent="0.25">
      <c r="H9778" t="s">
        <v>18322</v>
      </c>
    </row>
    <row r="9779" spans="8:8" x14ac:dyDescent="0.25">
      <c r="H9779" t="s">
        <v>30</v>
      </c>
    </row>
    <row r="9780" spans="8:8" x14ac:dyDescent="0.25">
      <c r="H9780" t="s">
        <v>137</v>
      </c>
    </row>
    <row r="9781" spans="8:8" x14ac:dyDescent="0.25">
      <c r="H9781" t="s">
        <v>18323</v>
      </c>
    </row>
    <row r="9782" spans="8:8" x14ac:dyDescent="0.25">
      <c r="H9782" t="s">
        <v>30</v>
      </c>
    </row>
    <row r="9783" spans="8:8" x14ac:dyDescent="0.25">
      <c r="H9783" t="s">
        <v>138</v>
      </c>
    </row>
    <row r="9784" spans="8:8" x14ac:dyDescent="0.25">
      <c r="H9784" t="s">
        <v>18324</v>
      </c>
    </row>
    <row r="9785" spans="8:8" x14ac:dyDescent="0.25">
      <c r="H9785" t="s">
        <v>30</v>
      </c>
    </row>
    <row r="9787" spans="8:8" x14ac:dyDescent="0.25">
      <c r="H9787" t="s">
        <v>12355</v>
      </c>
    </row>
    <row r="9788" spans="8:8" x14ac:dyDescent="0.25">
      <c r="H9788" t="s">
        <v>12356</v>
      </c>
    </row>
    <row r="9789" spans="8:8" x14ac:dyDescent="0.25">
      <c r="H9789" t="s">
        <v>135</v>
      </c>
    </row>
    <row r="9790" spans="8:8" x14ac:dyDescent="0.25">
      <c r="H9790" t="s">
        <v>18325</v>
      </c>
    </row>
    <row r="9791" spans="8:8" x14ac:dyDescent="0.25">
      <c r="H9791" t="s">
        <v>30</v>
      </c>
    </row>
    <row r="9792" spans="8:8" x14ac:dyDescent="0.25">
      <c r="H9792" t="s">
        <v>136</v>
      </c>
    </row>
    <row r="9793" spans="8:8" x14ac:dyDescent="0.25">
      <c r="H9793" t="s">
        <v>18326</v>
      </c>
    </row>
    <row r="9794" spans="8:8" x14ac:dyDescent="0.25">
      <c r="H9794" t="s">
        <v>30</v>
      </c>
    </row>
    <row r="9795" spans="8:8" x14ac:dyDescent="0.25">
      <c r="H9795" t="s">
        <v>137</v>
      </c>
    </row>
    <row r="9796" spans="8:8" x14ac:dyDescent="0.25">
      <c r="H9796" t="s">
        <v>18327</v>
      </c>
    </row>
    <row r="9797" spans="8:8" x14ac:dyDescent="0.25">
      <c r="H9797" t="s">
        <v>30</v>
      </c>
    </row>
    <row r="9798" spans="8:8" x14ac:dyDescent="0.25">
      <c r="H9798" t="s">
        <v>138</v>
      </c>
    </row>
    <row r="9799" spans="8:8" x14ac:dyDescent="0.25">
      <c r="H9799" t="s">
        <v>18328</v>
      </c>
    </row>
    <row r="9800" spans="8:8" x14ac:dyDescent="0.25">
      <c r="H9800" t="s">
        <v>30</v>
      </c>
    </row>
    <row r="9802" spans="8:8" x14ac:dyDescent="0.25">
      <c r="H9802" t="s">
        <v>12361</v>
      </c>
    </row>
    <row r="9803" spans="8:8" x14ac:dyDescent="0.25">
      <c r="H9803" t="s">
        <v>12362</v>
      </c>
    </row>
    <row r="9804" spans="8:8" x14ac:dyDescent="0.25">
      <c r="H9804" t="s">
        <v>135</v>
      </c>
    </row>
    <row r="9805" spans="8:8" x14ac:dyDescent="0.25">
      <c r="H9805" t="s">
        <v>18329</v>
      </c>
    </row>
    <row r="9806" spans="8:8" x14ac:dyDescent="0.25">
      <c r="H9806" t="s">
        <v>30</v>
      </c>
    </row>
    <row r="9807" spans="8:8" x14ac:dyDescent="0.25">
      <c r="H9807" t="s">
        <v>136</v>
      </c>
    </row>
    <row r="9808" spans="8:8" x14ac:dyDescent="0.25">
      <c r="H9808" t="s">
        <v>18330</v>
      </c>
    </row>
    <row r="9809" spans="8:8" x14ac:dyDescent="0.25">
      <c r="H9809" t="s">
        <v>30</v>
      </c>
    </row>
    <row r="9810" spans="8:8" x14ac:dyDescent="0.25">
      <c r="H9810" t="s">
        <v>137</v>
      </c>
    </row>
    <row r="9811" spans="8:8" x14ac:dyDescent="0.25">
      <c r="H9811" t="s">
        <v>18331</v>
      </c>
    </row>
    <row r="9812" spans="8:8" x14ac:dyDescent="0.25">
      <c r="H9812" t="s">
        <v>30</v>
      </c>
    </row>
    <row r="9813" spans="8:8" x14ac:dyDescent="0.25">
      <c r="H9813" t="s">
        <v>138</v>
      </c>
    </row>
    <row r="9814" spans="8:8" x14ac:dyDescent="0.25">
      <c r="H9814" t="s">
        <v>18332</v>
      </c>
    </row>
    <row r="9815" spans="8:8" x14ac:dyDescent="0.25">
      <c r="H9815" t="s">
        <v>30</v>
      </c>
    </row>
    <row r="9817" spans="8:8" x14ac:dyDescent="0.25">
      <c r="H9817" t="s">
        <v>12367</v>
      </c>
    </row>
    <row r="9818" spans="8:8" x14ac:dyDescent="0.25">
      <c r="H9818" t="s">
        <v>12368</v>
      </c>
    </row>
    <row r="9819" spans="8:8" x14ac:dyDescent="0.25">
      <c r="H9819" t="s">
        <v>135</v>
      </c>
    </row>
    <row r="9820" spans="8:8" x14ac:dyDescent="0.25">
      <c r="H9820" t="s">
        <v>18333</v>
      </c>
    </row>
    <row r="9821" spans="8:8" x14ac:dyDescent="0.25">
      <c r="H9821" t="s">
        <v>30</v>
      </c>
    </row>
    <row r="9822" spans="8:8" x14ac:dyDescent="0.25">
      <c r="H9822" t="s">
        <v>136</v>
      </c>
    </row>
    <row r="9823" spans="8:8" x14ac:dyDescent="0.25">
      <c r="H9823" t="s">
        <v>18334</v>
      </c>
    </row>
    <row r="9824" spans="8:8" x14ac:dyDescent="0.25">
      <c r="H9824" t="s">
        <v>30</v>
      </c>
    </row>
    <row r="9825" spans="8:8" x14ac:dyDescent="0.25">
      <c r="H9825" t="s">
        <v>137</v>
      </c>
    </row>
    <row r="9826" spans="8:8" x14ac:dyDescent="0.25">
      <c r="H9826" t="s">
        <v>18335</v>
      </c>
    </row>
    <row r="9827" spans="8:8" x14ac:dyDescent="0.25">
      <c r="H9827" t="s">
        <v>30</v>
      </c>
    </row>
    <row r="9828" spans="8:8" x14ac:dyDescent="0.25">
      <c r="H9828" t="s">
        <v>138</v>
      </c>
    </row>
    <row r="9829" spans="8:8" x14ac:dyDescent="0.25">
      <c r="H9829" t="s">
        <v>18336</v>
      </c>
    </row>
    <row r="9830" spans="8:8" x14ac:dyDescent="0.25">
      <c r="H9830" t="s">
        <v>30</v>
      </c>
    </row>
    <row r="9832" spans="8:8" x14ac:dyDescent="0.25">
      <c r="H9832" t="s">
        <v>12373</v>
      </c>
    </row>
    <row r="9833" spans="8:8" x14ac:dyDescent="0.25">
      <c r="H9833" t="s">
        <v>12374</v>
      </c>
    </row>
    <row r="9834" spans="8:8" x14ac:dyDescent="0.25">
      <c r="H9834" t="s">
        <v>135</v>
      </c>
    </row>
    <row r="9835" spans="8:8" x14ac:dyDescent="0.25">
      <c r="H9835" t="s">
        <v>18337</v>
      </c>
    </row>
    <row r="9836" spans="8:8" x14ac:dyDescent="0.25">
      <c r="H9836" t="s">
        <v>30</v>
      </c>
    </row>
    <row r="9837" spans="8:8" x14ac:dyDescent="0.25">
      <c r="H9837" t="s">
        <v>136</v>
      </c>
    </row>
    <row r="9838" spans="8:8" x14ac:dyDescent="0.25">
      <c r="H9838" t="s">
        <v>18338</v>
      </c>
    </row>
    <row r="9839" spans="8:8" x14ac:dyDescent="0.25">
      <c r="H9839" t="s">
        <v>30</v>
      </c>
    </row>
    <row r="9840" spans="8:8" x14ac:dyDescent="0.25">
      <c r="H9840" t="s">
        <v>137</v>
      </c>
    </row>
    <row r="9841" spans="8:8" x14ac:dyDescent="0.25">
      <c r="H9841" t="s">
        <v>18339</v>
      </c>
    </row>
    <row r="9842" spans="8:8" x14ac:dyDescent="0.25">
      <c r="H9842" t="s">
        <v>30</v>
      </c>
    </row>
    <row r="9843" spans="8:8" x14ac:dyDescent="0.25">
      <c r="H9843" t="s">
        <v>138</v>
      </c>
    </row>
    <row r="9844" spans="8:8" x14ac:dyDescent="0.25">
      <c r="H9844" t="s">
        <v>18340</v>
      </c>
    </row>
    <row r="9845" spans="8:8" x14ac:dyDescent="0.25">
      <c r="H9845" t="s">
        <v>30</v>
      </c>
    </row>
    <row r="9847" spans="8:8" x14ac:dyDescent="0.25">
      <c r="H9847" t="s">
        <v>12379</v>
      </c>
    </row>
    <row r="9848" spans="8:8" x14ac:dyDescent="0.25">
      <c r="H9848" t="s">
        <v>12380</v>
      </c>
    </row>
    <row r="9849" spans="8:8" x14ac:dyDescent="0.25">
      <c r="H9849" t="s">
        <v>135</v>
      </c>
    </row>
    <row r="9850" spans="8:8" x14ac:dyDescent="0.25">
      <c r="H9850" t="s">
        <v>18341</v>
      </c>
    </row>
    <row r="9851" spans="8:8" x14ac:dyDescent="0.25">
      <c r="H9851" t="s">
        <v>30</v>
      </c>
    </row>
    <row r="9852" spans="8:8" x14ac:dyDescent="0.25">
      <c r="H9852" t="s">
        <v>136</v>
      </c>
    </row>
    <row r="9853" spans="8:8" x14ac:dyDescent="0.25">
      <c r="H9853" t="s">
        <v>18342</v>
      </c>
    </row>
    <row r="9854" spans="8:8" x14ac:dyDescent="0.25">
      <c r="H9854" t="s">
        <v>30</v>
      </c>
    </row>
    <row r="9855" spans="8:8" x14ac:dyDescent="0.25">
      <c r="H9855" t="s">
        <v>137</v>
      </c>
    </row>
    <row r="9856" spans="8:8" x14ac:dyDescent="0.25">
      <c r="H9856" t="s">
        <v>18343</v>
      </c>
    </row>
    <row r="9857" spans="8:8" x14ac:dyDescent="0.25">
      <c r="H9857" t="s">
        <v>30</v>
      </c>
    </row>
    <row r="9858" spans="8:8" x14ac:dyDescent="0.25">
      <c r="H9858" t="s">
        <v>138</v>
      </c>
    </row>
    <row r="9859" spans="8:8" x14ac:dyDescent="0.25">
      <c r="H9859" t="s">
        <v>18344</v>
      </c>
    </row>
    <row r="9860" spans="8:8" x14ac:dyDescent="0.25">
      <c r="H9860" t="s">
        <v>30</v>
      </c>
    </row>
    <row r="9862" spans="8:8" x14ac:dyDescent="0.25">
      <c r="H9862" t="s">
        <v>12385</v>
      </c>
    </row>
    <row r="9863" spans="8:8" x14ac:dyDescent="0.25">
      <c r="H9863" t="s">
        <v>12386</v>
      </c>
    </row>
    <row r="9864" spans="8:8" x14ac:dyDescent="0.25">
      <c r="H9864" t="s">
        <v>135</v>
      </c>
    </row>
    <row r="9865" spans="8:8" x14ac:dyDescent="0.25">
      <c r="H9865" t="s">
        <v>18345</v>
      </c>
    </row>
    <row r="9866" spans="8:8" x14ac:dyDescent="0.25">
      <c r="H9866" t="s">
        <v>30</v>
      </c>
    </row>
    <row r="9867" spans="8:8" x14ac:dyDescent="0.25">
      <c r="H9867" t="s">
        <v>136</v>
      </c>
    </row>
    <row r="9868" spans="8:8" x14ac:dyDescent="0.25">
      <c r="H9868" t="s">
        <v>18346</v>
      </c>
    </row>
    <row r="9869" spans="8:8" x14ac:dyDescent="0.25">
      <c r="H9869" t="s">
        <v>30</v>
      </c>
    </row>
    <row r="9870" spans="8:8" x14ac:dyDescent="0.25">
      <c r="H9870" t="s">
        <v>137</v>
      </c>
    </row>
    <row r="9871" spans="8:8" x14ac:dyDescent="0.25">
      <c r="H9871" t="s">
        <v>18347</v>
      </c>
    </row>
    <row r="9872" spans="8:8" x14ac:dyDescent="0.25">
      <c r="H9872" t="s">
        <v>30</v>
      </c>
    </row>
    <row r="9873" spans="8:8" x14ac:dyDescent="0.25">
      <c r="H9873" t="s">
        <v>138</v>
      </c>
    </row>
    <row r="9874" spans="8:8" x14ac:dyDescent="0.25">
      <c r="H9874" t="s">
        <v>18348</v>
      </c>
    </row>
    <row r="9875" spans="8:8" x14ac:dyDescent="0.25">
      <c r="H9875" t="s">
        <v>30</v>
      </c>
    </row>
    <row r="9877" spans="8:8" x14ac:dyDescent="0.25">
      <c r="H9877" t="s">
        <v>12391</v>
      </c>
    </row>
    <row r="9878" spans="8:8" x14ac:dyDescent="0.25">
      <c r="H9878" t="s">
        <v>12392</v>
      </c>
    </row>
    <row r="9879" spans="8:8" x14ac:dyDescent="0.25">
      <c r="H9879" t="s">
        <v>135</v>
      </c>
    </row>
    <row r="9880" spans="8:8" x14ac:dyDescent="0.25">
      <c r="H9880" t="s">
        <v>18349</v>
      </c>
    </row>
    <row r="9881" spans="8:8" x14ac:dyDescent="0.25">
      <c r="H9881" t="s">
        <v>30</v>
      </c>
    </row>
    <row r="9882" spans="8:8" x14ac:dyDescent="0.25">
      <c r="H9882" t="s">
        <v>136</v>
      </c>
    </row>
    <row r="9883" spans="8:8" x14ac:dyDescent="0.25">
      <c r="H9883" t="s">
        <v>18350</v>
      </c>
    </row>
    <row r="9884" spans="8:8" x14ac:dyDescent="0.25">
      <c r="H9884" t="s">
        <v>30</v>
      </c>
    </row>
    <row r="9885" spans="8:8" x14ac:dyDescent="0.25">
      <c r="H9885" t="s">
        <v>137</v>
      </c>
    </row>
    <row r="9886" spans="8:8" x14ac:dyDescent="0.25">
      <c r="H9886" t="s">
        <v>18351</v>
      </c>
    </row>
    <row r="9887" spans="8:8" x14ac:dyDescent="0.25">
      <c r="H9887" t="s">
        <v>30</v>
      </c>
    </row>
    <row r="9888" spans="8:8" x14ac:dyDescent="0.25">
      <c r="H9888" t="s">
        <v>138</v>
      </c>
    </row>
    <row r="9889" spans="8:8" x14ac:dyDescent="0.25">
      <c r="H9889" t="s">
        <v>18352</v>
      </c>
    </row>
    <row r="9890" spans="8:8" x14ac:dyDescent="0.25">
      <c r="H9890" t="s">
        <v>30</v>
      </c>
    </row>
    <row r="9892" spans="8:8" x14ac:dyDescent="0.25">
      <c r="H9892" t="s">
        <v>12397</v>
      </c>
    </row>
    <row r="9893" spans="8:8" x14ac:dyDescent="0.25">
      <c r="H9893" t="s">
        <v>12398</v>
      </c>
    </row>
    <row r="9894" spans="8:8" x14ac:dyDescent="0.25">
      <c r="H9894" t="s">
        <v>135</v>
      </c>
    </row>
    <row r="9895" spans="8:8" x14ac:dyDescent="0.25">
      <c r="H9895" t="s">
        <v>18353</v>
      </c>
    </row>
    <row r="9896" spans="8:8" x14ac:dyDescent="0.25">
      <c r="H9896" t="s">
        <v>30</v>
      </c>
    </row>
    <row r="9897" spans="8:8" x14ac:dyDescent="0.25">
      <c r="H9897" t="s">
        <v>136</v>
      </c>
    </row>
    <row r="9898" spans="8:8" x14ac:dyDescent="0.25">
      <c r="H9898" t="s">
        <v>18354</v>
      </c>
    </row>
    <row r="9899" spans="8:8" x14ac:dyDescent="0.25">
      <c r="H9899" t="s">
        <v>30</v>
      </c>
    </row>
    <row r="9900" spans="8:8" x14ac:dyDescent="0.25">
      <c r="H9900" t="s">
        <v>137</v>
      </c>
    </row>
    <row r="9901" spans="8:8" x14ac:dyDescent="0.25">
      <c r="H9901" t="s">
        <v>18355</v>
      </c>
    </row>
    <row r="9902" spans="8:8" x14ac:dyDescent="0.25">
      <c r="H9902" t="s">
        <v>30</v>
      </c>
    </row>
    <row r="9903" spans="8:8" x14ac:dyDescent="0.25">
      <c r="H9903" t="s">
        <v>138</v>
      </c>
    </row>
    <row r="9904" spans="8:8" x14ac:dyDescent="0.25">
      <c r="H9904" t="s">
        <v>18356</v>
      </c>
    </row>
    <row r="9905" spans="8:8" x14ac:dyDescent="0.25">
      <c r="H9905" t="s">
        <v>30</v>
      </c>
    </row>
    <row r="9907" spans="8:8" x14ac:dyDescent="0.25">
      <c r="H9907" t="s">
        <v>12403</v>
      </c>
    </row>
    <row r="9908" spans="8:8" x14ac:dyDescent="0.25">
      <c r="H9908" t="s">
        <v>12404</v>
      </c>
    </row>
    <row r="9909" spans="8:8" x14ac:dyDescent="0.25">
      <c r="H9909" t="s">
        <v>135</v>
      </c>
    </row>
    <row r="9910" spans="8:8" x14ac:dyDescent="0.25">
      <c r="H9910" t="s">
        <v>18357</v>
      </c>
    </row>
    <row r="9911" spans="8:8" x14ac:dyDescent="0.25">
      <c r="H9911" t="s">
        <v>30</v>
      </c>
    </row>
    <row r="9912" spans="8:8" x14ac:dyDescent="0.25">
      <c r="H9912" t="s">
        <v>136</v>
      </c>
    </row>
    <row r="9913" spans="8:8" x14ac:dyDescent="0.25">
      <c r="H9913" t="s">
        <v>18358</v>
      </c>
    </row>
    <row r="9914" spans="8:8" x14ac:dyDescent="0.25">
      <c r="H9914" t="s">
        <v>30</v>
      </c>
    </row>
    <row r="9915" spans="8:8" x14ac:dyDescent="0.25">
      <c r="H9915" t="s">
        <v>137</v>
      </c>
    </row>
    <row r="9916" spans="8:8" x14ac:dyDescent="0.25">
      <c r="H9916" t="s">
        <v>18359</v>
      </c>
    </row>
    <row r="9917" spans="8:8" x14ac:dyDescent="0.25">
      <c r="H9917" t="s">
        <v>30</v>
      </c>
    </row>
    <row r="9918" spans="8:8" x14ac:dyDescent="0.25">
      <c r="H9918" t="s">
        <v>138</v>
      </c>
    </row>
    <row r="9919" spans="8:8" x14ac:dyDescent="0.25">
      <c r="H9919" t="s">
        <v>18360</v>
      </c>
    </row>
    <row r="9920" spans="8:8" x14ac:dyDescent="0.25">
      <c r="H9920" t="s">
        <v>30</v>
      </c>
    </row>
    <row r="9922" spans="8:8" x14ac:dyDescent="0.25">
      <c r="H9922" t="s">
        <v>12409</v>
      </c>
    </row>
    <row r="9923" spans="8:8" x14ac:dyDescent="0.25">
      <c r="H9923" t="s">
        <v>12410</v>
      </c>
    </row>
    <row r="9924" spans="8:8" x14ac:dyDescent="0.25">
      <c r="H9924" t="s">
        <v>135</v>
      </c>
    </row>
    <row r="9925" spans="8:8" x14ac:dyDescent="0.25">
      <c r="H9925" t="s">
        <v>18361</v>
      </c>
    </row>
    <row r="9926" spans="8:8" x14ac:dyDescent="0.25">
      <c r="H9926" t="s">
        <v>30</v>
      </c>
    </row>
    <row r="9927" spans="8:8" x14ac:dyDescent="0.25">
      <c r="H9927" t="s">
        <v>136</v>
      </c>
    </row>
    <row r="9928" spans="8:8" x14ac:dyDescent="0.25">
      <c r="H9928" t="s">
        <v>18362</v>
      </c>
    </row>
    <row r="9929" spans="8:8" x14ac:dyDescent="0.25">
      <c r="H9929" t="s">
        <v>30</v>
      </c>
    </row>
    <row r="9930" spans="8:8" x14ac:dyDescent="0.25">
      <c r="H9930" t="s">
        <v>137</v>
      </c>
    </row>
    <row r="9931" spans="8:8" x14ac:dyDescent="0.25">
      <c r="H9931" t="s">
        <v>18363</v>
      </c>
    </row>
    <row r="9932" spans="8:8" x14ac:dyDescent="0.25">
      <c r="H9932" t="s">
        <v>30</v>
      </c>
    </row>
    <row r="9933" spans="8:8" x14ac:dyDescent="0.25">
      <c r="H9933" t="s">
        <v>138</v>
      </c>
    </row>
    <row r="9934" spans="8:8" x14ac:dyDescent="0.25">
      <c r="H9934" t="s">
        <v>18364</v>
      </c>
    </row>
    <row r="9935" spans="8:8" x14ac:dyDescent="0.25">
      <c r="H9935" t="s">
        <v>30</v>
      </c>
    </row>
    <row r="9937" spans="8:8" x14ac:dyDescent="0.25">
      <c r="H9937" t="s">
        <v>12415</v>
      </c>
    </row>
    <row r="9938" spans="8:8" x14ac:dyDescent="0.25">
      <c r="H9938" t="s">
        <v>12416</v>
      </c>
    </row>
    <row r="9939" spans="8:8" x14ac:dyDescent="0.25">
      <c r="H9939" t="s">
        <v>135</v>
      </c>
    </row>
    <row r="9940" spans="8:8" x14ac:dyDescent="0.25">
      <c r="H9940" t="s">
        <v>18365</v>
      </c>
    </row>
    <row r="9941" spans="8:8" x14ac:dyDescent="0.25">
      <c r="H9941" t="s">
        <v>30</v>
      </c>
    </row>
    <row r="9942" spans="8:8" x14ac:dyDescent="0.25">
      <c r="H9942" t="s">
        <v>136</v>
      </c>
    </row>
    <row r="9943" spans="8:8" x14ac:dyDescent="0.25">
      <c r="H9943" t="s">
        <v>18366</v>
      </c>
    </row>
    <row r="9944" spans="8:8" x14ac:dyDescent="0.25">
      <c r="H9944" t="s">
        <v>30</v>
      </c>
    </row>
    <row r="9945" spans="8:8" x14ac:dyDescent="0.25">
      <c r="H9945" t="s">
        <v>137</v>
      </c>
    </row>
    <row r="9946" spans="8:8" x14ac:dyDescent="0.25">
      <c r="H9946" t="s">
        <v>18367</v>
      </c>
    </row>
    <row r="9947" spans="8:8" x14ac:dyDescent="0.25">
      <c r="H9947" t="s">
        <v>30</v>
      </c>
    </row>
    <row r="9948" spans="8:8" x14ac:dyDescent="0.25">
      <c r="H9948" t="s">
        <v>138</v>
      </c>
    </row>
    <row r="9949" spans="8:8" x14ac:dyDescent="0.25">
      <c r="H9949" t="s">
        <v>18368</v>
      </c>
    </row>
    <row r="9950" spans="8:8" x14ac:dyDescent="0.25">
      <c r="H9950" t="s">
        <v>30</v>
      </c>
    </row>
    <row r="9952" spans="8:8" x14ac:dyDescent="0.25">
      <c r="H9952" t="s">
        <v>12421</v>
      </c>
    </row>
    <row r="9953" spans="8:8" x14ac:dyDescent="0.25">
      <c r="H9953" t="s">
        <v>12422</v>
      </c>
    </row>
    <row r="9954" spans="8:8" x14ac:dyDescent="0.25">
      <c r="H9954" t="s">
        <v>135</v>
      </c>
    </row>
    <row r="9955" spans="8:8" x14ac:dyDescent="0.25">
      <c r="H9955" t="s">
        <v>18369</v>
      </c>
    </row>
    <row r="9956" spans="8:8" x14ac:dyDescent="0.25">
      <c r="H9956" t="s">
        <v>30</v>
      </c>
    </row>
    <row r="9957" spans="8:8" x14ac:dyDescent="0.25">
      <c r="H9957" t="s">
        <v>136</v>
      </c>
    </row>
    <row r="9958" spans="8:8" x14ac:dyDescent="0.25">
      <c r="H9958" t="s">
        <v>18370</v>
      </c>
    </row>
    <row r="9959" spans="8:8" x14ac:dyDescent="0.25">
      <c r="H9959" t="s">
        <v>30</v>
      </c>
    </row>
    <row r="9960" spans="8:8" x14ac:dyDescent="0.25">
      <c r="H9960" t="s">
        <v>137</v>
      </c>
    </row>
    <row r="9961" spans="8:8" x14ac:dyDescent="0.25">
      <c r="H9961" t="s">
        <v>18371</v>
      </c>
    </row>
    <row r="9962" spans="8:8" x14ac:dyDescent="0.25">
      <c r="H9962" t="s">
        <v>30</v>
      </c>
    </row>
    <row r="9963" spans="8:8" x14ac:dyDescent="0.25">
      <c r="H9963" t="s">
        <v>138</v>
      </c>
    </row>
    <row r="9964" spans="8:8" x14ac:dyDescent="0.25">
      <c r="H9964" t="s">
        <v>18372</v>
      </c>
    </row>
    <row r="9965" spans="8:8" x14ac:dyDescent="0.25">
      <c r="H9965" t="s">
        <v>30</v>
      </c>
    </row>
    <row r="9967" spans="8:8" x14ac:dyDescent="0.25">
      <c r="H9967" t="s">
        <v>12427</v>
      </c>
    </row>
    <row r="9968" spans="8:8" x14ac:dyDescent="0.25">
      <c r="H9968" t="s">
        <v>12428</v>
      </c>
    </row>
    <row r="9969" spans="8:8" x14ac:dyDescent="0.25">
      <c r="H9969" t="s">
        <v>135</v>
      </c>
    </row>
    <row r="9970" spans="8:8" x14ac:dyDescent="0.25">
      <c r="H9970" t="s">
        <v>18373</v>
      </c>
    </row>
    <row r="9971" spans="8:8" x14ac:dyDescent="0.25">
      <c r="H9971" t="s">
        <v>30</v>
      </c>
    </row>
    <row r="9972" spans="8:8" x14ac:dyDescent="0.25">
      <c r="H9972" t="s">
        <v>136</v>
      </c>
    </row>
    <row r="9973" spans="8:8" x14ac:dyDescent="0.25">
      <c r="H9973" t="s">
        <v>18374</v>
      </c>
    </row>
    <row r="9974" spans="8:8" x14ac:dyDescent="0.25">
      <c r="H9974" t="s">
        <v>30</v>
      </c>
    </row>
    <row r="9975" spans="8:8" x14ac:dyDescent="0.25">
      <c r="H9975" t="s">
        <v>137</v>
      </c>
    </row>
    <row r="9976" spans="8:8" x14ac:dyDescent="0.25">
      <c r="H9976" t="s">
        <v>18375</v>
      </c>
    </row>
    <row r="9977" spans="8:8" x14ac:dyDescent="0.25">
      <c r="H9977" t="s">
        <v>30</v>
      </c>
    </row>
    <row r="9978" spans="8:8" x14ac:dyDescent="0.25">
      <c r="H9978" t="s">
        <v>138</v>
      </c>
    </row>
    <row r="9979" spans="8:8" x14ac:dyDescent="0.25">
      <c r="H9979" t="s">
        <v>18376</v>
      </c>
    </row>
    <row r="9980" spans="8:8" x14ac:dyDescent="0.25">
      <c r="H9980" t="s">
        <v>30</v>
      </c>
    </row>
    <row r="9982" spans="8:8" x14ac:dyDescent="0.25">
      <c r="H9982" t="s">
        <v>12433</v>
      </c>
    </row>
    <row r="9983" spans="8:8" x14ac:dyDescent="0.25">
      <c r="H9983" t="s">
        <v>12434</v>
      </c>
    </row>
    <row r="9984" spans="8:8" x14ac:dyDescent="0.25">
      <c r="H9984" t="s">
        <v>135</v>
      </c>
    </row>
    <row r="9985" spans="8:8" x14ac:dyDescent="0.25">
      <c r="H9985" t="s">
        <v>18377</v>
      </c>
    </row>
    <row r="9986" spans="8:8" x14ac:dyDescent="0.25">
      <c r="H9986" t="s">
        <v>30</v>
      </c>
    </row>
    <row r="9987" spans="8:8" x14ac:dyDescent="0.25">
      <c r="H9987" t="s">
        <v>136</v>
      </c>
    </row>
    <row r="9988" spans="8:8" x14ac:dyDescent="0.25">
      <c r="H9988" t="s">
        <v>18378</v>
      </c>
    </row>
    <row r="9989" spans="8:8" x14ac:dyDescent="0.25">
      <c r="H9989" t="s">
        <v>30</v>
      </c>
    </row>
    <row r="9990" spans="8:8" x14ac:dyDescent="0.25">
      <c r="H9990" t="s">
        <v>137</v>
      </c>
    </row>
    <row r="9991" spans="8:8" x14ac:dyDescent="0.25">
      <c r="H9991" t="s">
        <v>18379</v>
      </c>
    </row>
    <row r="9992" spans="8:8" x14ac:dyDescent="0.25">
      <c r="H9992" t="s">
        <v>30</v>
      </c>
    </row>
    <row r="9993" spans="8:8" x14ac:dyDescent="0.25">
      <c r="H9993" t="s">
        <v>138</v>
      </c>
    </row>
    <row r="9994" spans="8:8" x14ac:dyDescent="0.25">
      <c r="H9994" t="s">
        <v>18380</v>
      </c>
    </row>
    <row r="9995" spans="8:8" x14ac:dyDescent="0.25">
      <c r="H9995" t="s">
        <v>30</v>
      </c>
    </row>
    <row r="9997" spans="8:8" x14ac:dyDescent="0.25">
      <c r="H9997" t="s">
        <v>12439</v>
      </c>
    </row>
    <row r="9998" spans="8:8" x14ac:dyDescent="0.25">
      <c r="H9998" t="s">
        <v>12440</v>
      </c>
    </row>
    <row r="9999" spans="8:8" x14ac:dyDescent="0.25">
      <c r="H9999" t="s">
        <v>135</v>
      </c>
    </row>
    <row r="10000" spans="8:8" x14ac:dyDescent="0.25">
      <c r="H10000" t="s">
        <v>18381</v>
      </c>
    </row>
    <row r="10001" spans="8:8" x14ac:dyDescent="0.25">
      <c r="H10001" t="s">
        <v>30</v>
      </c>
    </row>
    <row r="10002" spans="8:8" x14ac:dyDescent="0.25">
      <c r="H10002" t="s">
        <v>136</v>
      </c>
    </row>
    <row r="10003" spans="8:8" x14ac:dyDescent="0.25">
      <c r="H10003" t="s">
        <v>18382</v>
      </c>
    </row>
    <row r="10004" spans="8:8" x14ac:dyDescent="0.25">
      <c r="H10004" t="s">
        <v>30</v>
      </c>
    </row>
    <row r="10005" spans="8:8" x14ac:dyDescent="0.25">
      <c r="H10005" t="s">
        <v>137</v>
      </c>
    </row>
    <row r="10006" spans="8:8" x14ac:dyDescent="0.25">
      <c r="H10006" t="s">
        <v>18383</v>
      </c>
    </row>
    <row r="10007" spans="8:8" x14ac:dyDescent="0.25">
      <c r="H10007" t="s">
        <v>30</v>
      </c>
    </row>
    <row r="10008" spans="8:8" x14ac:dyDescent="0.25">
      <c r="H10008" t="s">
        <v>138</v>
      </c>
    </row>
    <row r="10009" spans="8:8" x14ac:dyDescent="0.25">
      <c r="H10009" t="s">
        <v>18384</v>
      </c>
    </row>
    <row r="10010" spans="8:8" x14ac:dyDescent="0.25">
      <c r="H10010" t="s">
        <v>30</v>
      </c>
    </row>
    <row r="10012" spans="8:8" x14ac:dyDescent="0.25">
      <c r="H10012" t="s">
        <v>12445</v>
      </c>
    </row>
    <row r="10013" spans="8:8" x14ac:dyDescent="0.25">
      <c r="H10013" t="s">
        <v>12446</v>
      </c>
    </row>
    <row r="10014" spans="8:8" x14ac:dyDescent="0.25">
      <c r="H10014" t="s">
        <v>135</v>
      </c>
    </row>
    <row r="10015" spans="8:8" x14ac:dyDescent="0.25">
      <c r="H10015" t="s">
        <v>18385</v>
      </c>
    </row>
    <row r="10016" spans="8:8" x14ac:dyDescent="0.25">
      <c r="H10016" t="s">
        <v>30</v>
      </c>
    </row>
    <row r="10017" spans="8:8" x14ac:dyDescent="0.25">
      <c r="H10017" t="s">
        <v>136</v>
      </c>
    </row>
    <row r="10018" spans="8:8" x14ac:dyDescent="0.25">
      <c r="H10018" t="s">
        <v>18386</v>
      </c>
    </row>
    <row r="10019" spans="8:8" x14ac:dyDescent="0.25">
      <c r="H10019" t="s">
        <v>30</v>
      </c>
    </row>
    <row r="10020" spans="8:8" x14ac:dyDescent="0.25">
      <c r="H10020" t="s">
        <v>137</v>
      </c>
    </row>
    <row r="10021" spans="8:8" x14ac:dyDescent="0.25">
      <c r="H10021" t="s">
        <v>18387</v>
      </c>
    </row>
    <row r="10022" spans="8:8" x14ac:dyDescent="0.25">
      <c r="H10022" t="s">
        <v>30</v>
      </c>
    </row>
    <row r="10023" spans="8:8" x14ac:dyDescent="0.25">
      <c r="H10023" t="s">
        <v>138</v>
      </c>
    </row>
    <row r="10024" spans="8:8" x14ac:dyDescent="0.25">
      <c r="H10024" t="s">
        <v>18388</v>
      </c>
    </row>
    <row r="10025" spans="8:8" x14ac:dyDescent="0.25">
      <c r="H10025" t="s">
        <v>30</v>
      </c>
    </row>
    <row r="10027" spans="8:8" x14ac:dyDescent="0.25">
      <c r="H10027" t="s">
        <v>12451</v>
      </c>
    </row>
    <row r="10028" spans="8:8" x14ac:dyDescent="0.25">
      <c r="H10028" t="s">
        <v>12452</v>
      </c>
    </row>
    <row r="10029" spans="8:8" x14ac:dyDescent="0.25">
      <c r="H10029" t="s">
        <v>135</v>
      </c>
    </row>
    <row r="10030" spans="8:8" x14ac:dyDescent="0.25">
      <c r="H10030" t="s">
        <v>18389</v>
      </c>
    </row>
    <row r="10031" spans="8:8" x14ac:dyDescent="0.25">
      <c r="H10031" t="s">
        <v>30</v>
      </c>
    </row>
    <row r="10032" spans="8:8" x14ac:dyDescent="0.25">
      <c r="H10032" t="s">
        <v>136</v>
      </c>
    </row>
    <row r="10033" spans="8:8" x14ac:dyDescent="0.25">
      <c r="H10033" t="s">
        <v>18390</v>
      </c>
    </row>
    <row r="10034" spans="8:8" x14ac:dyDescent="0.25">
      <c r="H10034" t="s">
        <v>30</v>
      </c>
    </row>
    <row r="10035" spans="8:8" x14ac:dyDescent="0.25">
      <c r="H10035" t="s">
        <v>137</v>
      </c>
    </row>
    <row r="10036" spans="8:8" x14ac:dyDescent="0.25">
      <c r="H10036" t="s">
        <v>18391</v>
      </c>
    </row>
    <row r="10037" spans="8:8" x14ac:dyDescent="0.25">
      <c r="H10037" t="s">
        <v>30</v>
      </c>
    </row>
    <row r="10038" spans="8:8" x14ac:dyDescent="0.25">
      <c r="H10038" t="s">
        <v>138</v>
      </c>
    </row>
    <row r="10039" spans="8:8" x14ac:dyDescent="0.25">
      <c r="H10039" t="s">
        <v>18392</v>
      </c>
    </row>
    <row r="10040" spans="8:8" x14ac:dyDescent="0.25">
      <c r="H10040" t="s">
        <v>30</v>
      </c>
    </row>
    <row r="10042" spans="8:8" x14ac:dyDescent="0.25">
      <c r="H10042" t="s">
        <v>12457</v>
      </c>
    </row>
    <row r="10043" spans="8:8" x14ac:dyDescent="0.25">
      <c r="H10043" t="s">
        <v>12458</v>
      </c>
    </row>
    <row r="10044" spans="8:8" x14ac:dyDescent="0.25">
      <c r="H10044" t="s">
        <v>135</v>
      </c>
    </row>
    <row r="10045" spans="8:8" x14ac:dyDescent="0.25">
      <c r="H10045" t="s">
        <v>18393</v>
      </c>
    </row>
    <row r="10046" spans="8:8" x14ac:dyDescent="0.25">
      <c r="H10046" t="s">
        <v>30</v>
      </c>
    </row>
    <row r="10047" spans="8:8" x14ac:dyDescent="0.25">
      <c r="H10047" t="s">
        <v>136</v>
      </c>
    </row>
    <row r="10048" spans="8:8" x14ac:dyDescent="0.25">
      <c r="H10048" t="s">
        <v>18394</v>
      </c>
    </row>
    <row r="10049" spans="8:8" x14ac:dyDescent="0.25">
      <c r="H10049" t="s">
        <v>30</v>
      </c>
    </row>
    <row r="10050" spans="8:8" x14ac:dyDescent="0.25">
      <c r="H10050" t="s">
        <v>137</v>
      </c>
    </row>
    <row r="10051" spans="8:8" x14ac:dyDescent="0.25">
      <c r="H10051" t="s">
        <v>18395</v>
      </c>
    </row>
    <row r="10052" spans="8:8" x14ac:dyDescent="0.25">
      <c r="H10052" t="s">
        <v>30</v>
      </c>
    </row>
    <row r="10053" spans="8:8" x14ac:dyDescent="0.25">
      <c r="H10053" t="s">
        <v>138</v>
      </c>
    </row>
    <row r="10054" spans="8:8" x14ac:dyDescent="0.25">
      <c r="H10054" t="s">
        <v>18396</v>
      </c>
    </row>
    <row r="10055" spans="8:8" x14ac:dyDescent="0.25">
      <c r="H10055" t="s">
        <v>30</v>
      </c>
    </row>
    <row r="10057" spans="8:8" x14ac:dyDescent="0.25">
      <c r="H10057" t="s">
        <v>12463</v>
      </c>
    </row>
    <row r="10058" spans="8:8" x14ac:dyDescent="0.25">
      <c r="H10058" t="s">
        <v>12464</v>
      </c>
    </row>
    <row r="10059" spans="8:8" x14ac:dyDescent="0.25">
      <c r="H10059" t="s">
        <v>135</v>
      </c>
    </row>
    <row r="10060" spans="8:8" x14ac:dyDescent="0.25">
      <c r="H10060" t="s">
        <v>18397</v>
      </c>
    </row>
    <row r="10061" spans="8:8" x14ac:dyDescent="0.25">
      <c r="H10061" t="s">
        <v>30</v>
      </c>
    </row>
    <row r="10062" spans="8:8" x14ac:dyDescent="0.25">
      <c r="H10062" t="s">
        <v>136</v>
      </c>
    </row>
    <row r="10063" spans="8:8" x14ac:dyDescent="0.25">
      <c r="H10063" t="s">
        <v>18398</v>
      </c>
    </row>
    <row r="10064" spans="8:8" x14ac:dyDescent="0.25">
      <c r="H10064" t="s">
        <v>30</v>
      </c>
    </row>
    <row r="10065" spans="8:8" x14ac:dyDescent="0.25">
      <c r="H10065" t="s">
        <v>137</v>
      </c>
    </row>
    <row r="10066" spans="8:8" x14ac:dyDescent="0.25">
      <c r="H10066" t="s">
        <v>18399</v>
      </c>
    </row>
    <row r="10067" spans="8:8" x14ac:dyDescent="0.25">
      <c r="H10067" t="s">
        <v>30</v>
      </c>
    </row>
    <row r="10068" spans="8:8" x14ac:dyDescent="0.25">
      <c r="H10068" t="s">
        <v>138</v>
      </c>
    </row>
    <row r="10069" spans="8:8" x14ac:dyDescent="0.25">
      <c r="H10069" t="s">
        <v>18400</v>
      </c>
    </row>
    <row r="10070" spans="8:8" x14ac:dyDescent="0.25">
      <c r="H10070" t="s">
        <v>30</v>
      </c>
    </row>
    <row r="10072" spans="8:8" x14ac:dyDescent="0.25">
      <c r="H10072" t="s">
        <v>12469</v>
      </c>
    </row>
    <row r="10073" spans="8:8" x14ac:dyDescent="0.25">
      <c r="H10073" t="s">
        <v>12470</v>
      </c>
    </row>
    <row r="10074" spans="8:8" x14ac:dyDescent="0.25">
      <c r="H10074" t="s">
        <v>135</v>
      </c>
    </row>
    <row r="10075" spans="8:8" x14ac:dyDescent="0.25">
      <c r="H10075" t="s">
        <v>18401</v>
      </c>
    </row>
    <row r="10076" spans="8:8" x14ac:dyDescent="0.25">
      <c r="H10076" t="s">
        <v>30</v>
      </c>
    </row>
    <row r="10077" spans="8:8" x14ac:dyDescent="0.25">
      <c r="H10077" t="s">
        <v>136</v>
      </c>
    </row>
    <row r="10078" spans="8:8" x14ac:dyDescent="0.25">
      <c r="H10078" t="s">
        <v>18402</v>
      </c>
    </row>
    <row r="10079" spans="8:8" x14ac:dyDescent="0.25">
      <c r="H10079" t="s">
        <v>30</v>
      </c>
    </row>
    <row r="10080" spans="8:8" x14ac:dyDescent="0.25">
      <c r="H10080" t="s">
        <v>137</v>
      </c>
    </row>
    <row r="10081" spans="8:8" x14ac:dyDescent="0.25">
      <c r="H10081" t="s">
        <v>18403</v>
      </c>
    </row>
    <row r="10082" spans="8:8" x14ac:dyDescent="0.25">
      <c r="H10082" t="s">
        <v>30</v>
      </c>
    </row>
    <row r="10083" spans="8:8" x14ac:dyDescent="0.25">
      <c r="H10083" t="s">
        <v>138</v>
      </c>
    </row>
    <row r="10084" spans="8:8" x14ac:dyDescent="0.25">
      <c r="H10084" t="s">
        <v>18404</v>
      </c>
    </row>
    <row r="10085" spans="8:8" x14ac:dyDescent="0.25">
      <c r="H10085" t="s">
        <v>30</v>
      </c>
    </row>
    <row r="10087" spans="8:8" x14ac:dyDescent="0.25">
      <c r="H10087" t="s">
        <v>12475</v>
      </c>
    </row>
    <row r="10088" spans="8:8" x14ac:dyDescent="0.25">
      <c r="H10088" t="s">
        <v>12476</v>
      </c>
    </row>
    <row r="10089" spans="8:8" x14ac:dyDescent="0.25">
      <c r="H10089" t="s">
        <v>135</v>
      </c>
    </row>
    <row r="10090" spans="8:8" x14ac:dyDescent="0.25">
      <c r="H10090" t="s">
        <v>18405</v>
      </c>
    </row>
    <row r="10091" spans="8:8" x14ac:dyDescent="0.25">
      <c r="H10091" t="s">
        <v>30</v>
      </c>
    </row>
    <row r="10092" spans="8:8" x14ac:dyDescent="0.25">
      <c r="H10092" t="s">
        <v>136</v>
      </c>
    </row>
    <row r="10093" spans="8:8" x14ac:dyDescent="0.25">
      <c r="H10093" t="s">
        <v>18406</v>
      </c>
    </row>
    <row r="10094" spans="8:8" x14ac:dyDescent="0.25">
      <c r="H10094" t="s">
        <v>30</v>
      </c>
    </row>
    <row r="10095" spans="8:8" x14ac:dyDescent="0.25">
      <c r="H10095" t="s">
        <v>137</v>
      </c>
    </row>
    <row r="10096" spans="8:8" x14ac:dyDescent="0.25">
      <c r="H10096" t="s">
        <v>18407</v>
      </c>
    </row>
    <row r="10097" spans="8:8" x14ac:dyDescent="0.25">
      <c r="H10097" t="s">
        <v>30</v>
      </c>
    </row>
    <row r="10098" spans="8:8" x14ac:dyDescent="0.25">
      <c r="H10098" t="s">
        <v>138</v>
      </c>
    </row>
    <row r="10099" spans="8:8" x14ac:dyDescent="0.25">
      <c r="H10099" t="s">
        <v>18408</v>
      </c>
    </row>
    <row r="10100" spans="8:8" x14ac:dyDescent="0.25">
      <c r="H10100" t="s">
        <v>30</v>
      </c>
    </row>
    <row r="10102" spans="8:8" x14ac:dyDescent="0.25">
      <c r="H10102" t="s">
        <v>12481</v>
      </c>
    </row>
    <row r="10103" spans="8:8" x14ac:dyDescent="0.25">
      <c r="H10103" t="s">
        <v>12482</v>
      </c>
    </row>
    <row r="10104" spans="8:8" x14ac:dyDescent="0.25">
      <c r="H10104" t="s">
        <v>135</v>
      </c>
    </row>
    <row r="10105" spans="8:8" x14ac:dyDescent="0.25">
      <c r="H10105" t="s">
        <v>18409</v>
      </c>
    </row>
    <row r="10106" spans="8:8" x14ac:dyDescent="0.25">
      <c r="H10106" t="s">
        <v>30</v>
      </c>
    </row>
    <row r="10107" spans="8:8" x14ac:dyDescent="0.25">
      <c r="H10107" t="s">
        <v>136</v>
      </c>
    </row>
    <row r="10108" spans="8:8" x14ac:dyDescent="0.25">
      <c r="H10108" t="s">
        <v>18410</v>
      </c>
    </row>
    <row r="10109" spans="8:8" x14ac:dyDescent="0.25">
      <c r="H10109" t="s">
        <v>30</v>
      </c>
    </row>
    <row r="10110" spans="8:8" x14ac:dyDescent="0.25">
      <c r="H10110" t="s">
        <v>137</v>
      </c>
    </row>
    <row r="10111" spans="8:8" x14ac:dyDescent="0.25">
      <c r="H10111" t="s">
        <v>18411</v>
      </c>
    </row>
    <row r="10112" spans="8:8" x14ac:dyDescent="0.25">
      <c r="H10112" t="s">
        <v>30</v>
      </c>
    </row>
    <row r="10113" spans="8:8" x14ac:dyDescent="0.25">
      <c r="H10113" t="s">
        <v>138</v>
      </c>
    </row>
    <row r="10114" spans="8:8" x14ac:dyDescent="0.25">
      <c r="H10114" t="s">
        <v>18412</v>
      </c>
    </row>
    <row r="10115" spans="8:8" x14ac:dyDescent="0.25">
      <c r="H10115" t="s">
        <v>30</v>
      </c>
    </row>
    <row r="10117" spans="8:8" x14ac:dyDescent="0.25">
      <c r="H10117" t="s">
        <v>12487</v>
      </c>
    </row>
    <row r="10118" spans="8:8" x14ac:dyDescent="0.25">
      <c r="H10118" t="s">
        <v>12488</v>
      </c>
    </row>
    <row r="10119" spans="8:8" x14ac:dyDescent="0.25">
      <c r="H10119" t="s">
        <v>135</v>
      </c>
    </row>
    <row r="10120" spans="8:8" x14ac:dyDescent="0.25">
      <c r="H10120" t="s">
        <v>18413</v>
      </c>
    </row>
    <row r="10121" spans="8:8" x14ac:dyDescent="0.25">
      <c r="H10121" t="s">
        <v>30</v>
      </c>
    </row>
    <row r="10122" spans="8:8" x14ac:dyDescent="0.25">
      <c r="H10122" t="s">
        <v>136</v>
      </c>
    </row>
    <row r="10123" spans="8:8" x14ac:dyDescent="0.25">
      <c r="H10123" t="s">
        <v>18414</v>
      </c>
    </row>
    <row r="10124" spans="8:8" x14ac:dyDescent="0.25">
      <c r="H10124" t="s">
        <v>30</v>
      </c>
    </row>
    <row r="10125" spans="8:8" x14ac:dyDescent="0.25">
      <c r="H10125" t="s">
        <v>137</v>
      </c>
    </row>
    <row r="10126" spans="8:8" x14ac:dyDescent="0.25">
      <c r="H10126" t="s">
        <v>18415</v>
      </c>
    </row>
    <row r="10127" spans="8:8" x14ac:dyDescent="0.25">
      <c r="H10127" t="s">
        <v>30</v>
      </c>
    </row>
    <row r="10128" spans="8:8" x14ac:dyDescent="0.25">
      <c r="H10128" t="s">
        <v>138</v>
      </c>
    </row>
    <row r="10129" spans="8:8" x14ac:dyDescent="0.25">
      <c r="H10129" t="s">
        <v>18416</v>
      </c>
    </row>
    <row r="10130" spans="8:8" x14ac:dyDescent="0.25">
      <c r="H10130" t="s">
        <v>30</v>
      </c>
    </row>
    <row r="10132" spans="8:8" x14ac:dyDescent="0.25">
      <c r="H10132" t="s">
        <v>12493</v>
      </c>
    </row>
    <row r="10133" spans="8:8" x14ac:dyDescent="0.25">
      <c r="H10133" t="s">
        <v>12494</v>
      </c>
    </row>
    <row r="10134" spans="8:8" x14ac:dyDescent="0.25">
      <c r="H10134" t="s">
        <v>135</v>
      </c>
    </row>
    <row r="10135" spans="8:8" x14ac:dyDescent="0.25">
      <c r="H10135" t="s">
        <v>18417</v>
      </c>
    </row>
    <row r="10136" spans="8:8" x14ac:dyDescent="0.25">
      <c r="H10136" t="s">
        <v>30</v>
      </c>
    </row>
    <row r="10137" spans="8:8" x14ac:dyDescent="0.25">
      <c r="H10137" t="s">
        <v>136</v>
      </c>
    </row>
    <row r="10138" spans="8:8" x14ac:dyDescent="0.25">
      <c r="H10138" t="s">
        <v>18418</v>
      </c>
    </row>
    <row r="10139" spans="8:8" x14ac:dyDescent="0.25">
      <c r="H10139" t="s">
        <v>30</v>
      </c>
    </row>
    <row r="10140" spans="8:8" x14ac:dyDescent="0.25">
      <c r="H10140" t="s">
        <v>137</v>
      </c>
    </row>
    <row r="10141" spans="8:8" x14ac:dyDescent="0.25">
      <c r="H10141" t="s">
        <v>18419</v>
      </c>
    </row>
    <row r="10142" spans="8:8" x14ac:dyDescent="0.25">
      <c r="H10142" t="s">
        <v>30</v>
      </c>
    </row>
    <row r="10143" spans="8:8" x14ac:dyDescent="0.25">
      <c r="H10143" t="s">
        <v>138</v>
      </c>
    </row>
    <row r="10144" spans="8:8" x14ac:dyDescent="0.25">
      <c r="H10144" t="s">
        <v>18420</v>
      </c>
    </row>
    <row r="10145" spans="8:8" x14ac:dyDescent="0.25">
      <c r="H10145" t="s">
        <v>30</v>
      </c>
    </row>
    <row r="10147" spans="8:8" x14ac:dyDescent="0.25">
      <c r="H10147" t="s">
        <v>12499</v>
      </c>
    </row>
    <row r="10148" spans="8:8" x14ac:dyDescent="0.25">
      <c r="H10148" t="s">
        <v>12500</v>
      </c>
    </row>
    <row r="10149" spans="8:8" x14ac:dyDescent="0.25">
      <c r="H10149" t="s">
        <v>135</v>
      </c>
    </row>
    <row r="10150" spans="8:8" x14ac:dyDescent="0.25">
      <c r="H10150" t="s">
        <v>18421</v>
      </c>
    </row>
    <row r="10151" spans="8:8" x14ac:dyDescent="0.25">
      <c r="H10151" t="s">
        <v>30</v>
      </c>
    </row>
    <row r="10152" spans="8:8" x14ac:dyDescent="0.25">
      <c r="H10152" t="s">
        <v>136</v>
      </c>
    </row>
    <row r="10153" spans="8:8" x14ac:dyDescent="0.25">
      <c r="H10153" t="s">
        <v>18422</v>
      </c>
    </row>
    <row r="10154" spans="8:8" x14ac:dyDescent="0.25">
      <c r="H10154" t="s">
        <v>30</v>
      </c>
    </row>
    <row r="10155" spans="8:8" x14ac:dyDescent="0.25">
      <c r="H10155" t="s">
        <v>137</v>
      </c>
    </row>
    <row r="10156" spans="8:8" x14ac:dyDescent="0.25">
      <c r="H10156" t="s">
        <v>18423</v>
      </c>
    </row>
    <row r="10157" spans="8:8" x14ac:dyDescent="0.25">
      <c r="H10157" t="s">
        <v>30</v>
      </c>
    </row>
    <row r="10158" spans="8:8" x14ac:dyDescent="0.25">
      <c r="H10158" t="s">
        <v>138</v>
      </c>
    </row>
    <row r="10159" spans="8:8" x14ac:dyDescent="0.25">
      <c r="H10159" t="s">
        <v>18424</v>
      </c>
    </row>
    <row r="10160" spans="8:8" x14ac:dyDescent="0.25">
      <c r="H10160" t="s">
        <v>30</v>
      </c>
    </row>
    <row r="10162" spans="8:8" x14ac:dyDescent="0.25">
      <c r="H10162" t="s">
        <v>12505</v>
      </c>
    </row>
    <row r="10163" spans="8:8" x14ac:dyDescent="0.25">
      <c r="H10163" t="s">
        <v>12506</v>
      </c>
    </row>
    <row r="10164" spans="8:8" x14ac:dyDescent="0.25">
      <c r="H10164" t="s">
        <v>135</v>
      </c>
    </row>
    <row r="10165" spans="8:8" x14ac:dyDescent="0.25">
      <c r="H10165" t="s">
        <v>18425</v>
      </c>
    </row>
    <row r="10166" spans="8:8" x14ac:dyDescent="0.25">
      <c r="H10166" t="s">
        <v>30</v>
      </c>
    </row>
    <row r="10167" spans="8:8" x14ac:dyDescent="0.25">
      <c r="H10167" t="s">
        <v>136</v>
      </c>
    </row>
    <row r="10168" spans="8:8" x14ac:dyDescent="0.25">
      <c r="H10168" t="s">
        <v>18426</v>
      </c>
    </row>
    <row r="10169" spans="8:8" x14ac:dyDescent="0.25">
      <c r="H10169" t="s">
        <v>30</v>
      </c>
    </row>
    <row r="10170" spans="8:8" x14ac:dyDescent="0.25">
      <c r="H10170" t="s">
        <v>137</v>
      </c>
    </row>
    <row r="10171" spans="8:8" x14ac:dyDescent="0.25">
      <c r="H10171" t="s">
        <v>18427</v>
      </c>
    </row>
    <row r="10172" spans="8:8" x14ac:dyDescent="0.25">
      <c r="H10172" t="s">
        <v>30</v>
      </c>
    </row>
    <row r="10173" spans="8:8" x14ac:dyDescent="0.25">
      <c r="H10173" t="s">
        <v>138</v>
      </c>
    </row>
    <row r="10174" spans="8:8" x14ac:dyDescent="0.25">
      <c r="H10174" t="s">
        <v>18428</v>
      </c>
    </row>
    <row r="10175" spans="8:8" x14ac:dyDescent="0.25">
      <c r="H10175" t="s">
        <v>30</v>
      </c>
    </row>
    <row r="10177" spans="8:8" x14ac:dyDescent="0.25">
      <c r="H10177" t="s">
        <v>12511</v>
      </c>
    </row>
    <row r="10178" spans="8:8" x14ac:dyDescent="0.25">
      <c r="H10178" t="s">
        <v>12512</v>
      </c>
    </row>
    <row r="10179" spans="8:8" x14ac:dyDescent="0.25">
      <c r="H10179" t="s">
        <v>135</v>
      </c>
    </row>
    <row r="10180" spans="8:8" x14ac:dyDescent="0.25">
      <c r="H10180" t="s">
        <v>18429</v>
      </c>
    </row>
    <row r="10181" spans="8:8" x14ac:dyDescent="0.25">
      <c r="H10181" t="s">
        <v>30</v>
      </c>
    </row>
    <row r="10182" spans="8:8" x14ac:dyDescent="0.25">
      <c r="H10182" t="s">
        <v>136</v>
      </c>
    </row>
    <row r="10183" spans="8:8" x14ac:dyDescent="0.25">
      <c r="H10183" t="s">
        <v>18430</v>
      </c>
    </row>
    <row r="10184" spans="8:8" x14ac:dyDescent="0.25">
      <c r="H10184" t="s">
        <v>30</v>
      </c>
    </row>
    <row r="10185" spans="8:8" x14ac:dyDescent="0.25">
      <c r="H10185" t="s">
        <v>137</v>
      </c>
    </row>
    <row r="10186" spans="8:8" x14ac:dyDescent="0.25">
      <c r="H10186" t="s">
        <v>18431</v>
      </c>
    </row>
    <row r="10187" spans="8:8" x14ac:dyDescent="0.25">
      <c r="H10187" t="s">
        <v>30</v>
      </c>
    </row>
    <row r="10188" spans="8:8" x14ac:dyDescent="0.25">
      <c r="H10188" t="s">
        <v>138</v>
      </c>
    </row>
    <row r="10189" spans="8:8" x14ac:dyDescent="0.25">
      <c r="H10189" t="s">
        <v>18432</v>
      </c>
    </row>
    <row r="10190" spans="8:8" x14ac:dyDescent="0.25">
      <c r="H10190" t="s">
        <v>30</v>
      </c>
    </row>
    <row r="10192" spans="8:8" x14ac:dyDescent="0.25">
      <c r="H10192" t="s">
        <v>12517</v>
      </c>
    </row>
    <row r="10193" spans="8:8" x14ac:dyDescent="0.25">
      <c r="H10193" t="s">
        <v>12518</v>
      </c>
    </row>
    <row r="10194" spans="8:8" x14ac:dyDescent="0.25">
      <c r="H10194" t="s">
        <v>135</v>
      </c>
    </row>
    <row r="10195" spans="8:8" x14ac:dyDescent="0.25">
      <c r="H10195" t="s">
        <v>18433</v>
      </c>
    </row>
    <row r="10196" spans="8:8" x14ac:dyDescent="0.25">
      <c r="H10196" t="s">
        <v>30</v>
      </c>
    </row>
    <row r="10197" spans="8:8" x14ac:dyDescent="0.25">
      <c r="H10197" t="s">
        <v>136</v>
      </c>
    </row>
    <row r="10198" spans="8:8" x14ac:dyDescent="0.25">
      <c r="H10198" t="s">
        <v>18434</v>
      </c>
    </row>
    <row r="10199" spans="8:8" x14ac:dyDescent="0.25">
      <c r="H10199" t="s">
        <v>30</v>
      </c>
    </row>
    <row r="10200" spans="8:8" x14ac:dyDescent="0.25">
      <c r="H10200" t="s">
        <v>137</v>
      </c>
    </row>
    <row r="10201" spans="8:8" x14ac:dyDescent="0.25">
      <c r="H10201" t="s">
        <v>18435</v>
      </c>
    </row>
    <row r="10202" spans="8:8" x14ac:dyDescent="0.25">
      <c r="H10202" t="s">
        <v>30</v>
      </c>
    </row>
    <row r="10203" spans="8:8" x14ac:dyDescent="0.25">
      <c r="H10203" t="s">
        <v>138</v>
      </c>
    </row>
    <row r="10204" spans="8:8" x14ac:dyDescent="0.25">
      <c r="H10204" t="s">
        <v>18436</v>
      </c>
    </row>
    <row r="10205" spans="8:8" x14ac:dyDescent="0.25">
      <c r="H10205" t="s">
        <v>30</v>
      </c>
    </row>
    <row r="10207" spans="8:8" x14ac:dyDescent="0.25">
      <c r="H10207" t="s">
        <v>12523</v>
      </c>
    </row>
    <row r="10208" spans="8:8" x14ac:dyDescent="0.25">
      <c r="H10208" t="s">
        <v>12524</v>
      </c>
    </row>
    <row r="10209" spans="8:8" x14ac:dyDescent="0.25">
      <c r="H10209" t="s">
        <v>135</v>
      </c>
    </row>
    <row r="10210" spans="8:8" x14ac:dyDescent="0.25">
      <c r="H10210" t="s">
        <v>18437</v>
      </c>
    </row>
    <row r="10211" spans="8:8" x14ac:dyDescent="0.25">
      <c r="H10211" t="s">
        <v>30</v>
      </c>
    </row>
    <row r="10212" spans="8:8" x14ac:dyDescent="0.25">
      <c r="H10212" t="s">
        <v>136</v>
      </c>
    </row>
    <row r="10213" spans="8:8" x14ac:dyDescent="0.25">
      <c r="H10213" t="s">
        <v>18438</v>
      </c>
    </row>
    <row r="10214" spans="8:8" x14ac:dyDescent="0.25">
      <c r="H10214" t="s">
        <v>30</v>
      </c>
    </row>
    <row r="10215" spans="8:8" x14ac:dyDescent="0.25">
      <c r="H10215" t="s">
        <v>137</v>
      </c>
    </row>
    <row r="10216" spans="8:8" x14ac:dyDescent="0.25">
      <c r="H10216" t="s">
        <v>18439</v>
      </c>
    </row>
    <row r="10217" spans="8:8" x14ac:dyDescent="0.25">
      <c r="H10217" t="s">
        <v>30</v>
      </c>
    </row>
    <row r="10218" spans="8:8" x14ac:dyDescent="0.25">
      <c r="H10218" t="s">
        <v>138</v>
      </c>
    </row>
    <row r="10219" spans="8:8" x14ac:dyDescent="0.25">
      <c r="H10219" t="s">
        <v>18440</v>
      </c>
    </row>
    <row r="10220" spans="8:8" x14ac:dyDescent="0.25">
      <c r="H10220" t="s">
        <v>30</v>
      </c>
    </row>
    <row r="10222" spans="8:8" x14ac:dyDescent="0.25">
      <c r="H10222" t="s">
        <v>12529</v>
      </c>
    </row>
    <row r="10223" spans="8:8" x14ac:dyDescent="0.25">
      <c r="H10223" t="s">
        <v>12530</v>
      </c>
    </row>
    <row r="10224" spans="8:8" x14ac:dyDescent="0.25">
      <c r="H10224" t="s">
        <v>135</v>
      </c>
    </row>
    <row r="10225" spans="8:8" x14ac:dyDescent="0.25">
      <c r="H10225" t="s">
        <v>18441</v>
      </c>
    </row>
    <row r="10226" spans="8:8" x14ac:dyDescent="0.25">
      <c r="H10226" t="s">
        <v>30</v>
      </c>
    </row>
    <row r="10227" spans="8:8" x14ac:dyDescent="0.25">
      <c r="H10227" t="s">
        <v>136</v>
      </c>
    </row>
    <row r="10228" spans="8:8" x14ac:dyDescent="0.25">
      <c r="H10228" t="s">
        <v>18442</v>
      </c>
    </row>
    <row r="10229" spans="8:8" x14ac:dyDescent="0.25">
      <c r="H10229" t="s">
        <v>30</v>
      </c>
    </row>
    <row r="10230" spans="8:8" x14ac:dyDescent="0.25">
      <c r="H10230" t="s">
        <v>137</v>
      </c>
    </row>
    <row r="10231" spans="8:8" x14ac:dyDescent="0.25">
      <c r="H10231" t="s">
        <v>18443</v>
      </c>
    </row>
    <row r="10232" spans="8:8" x14ac:dyDescent="0.25">
      <c r="H10232" t="s">
        <v>30</v>
      </c>
    </row>
    <row r="10233" spans="8:8" x14ac:dyDescent="0.25">
      <c r="H10233" t="s">
        <v>138</v>
      </c>
    </row>
    <row r="10234" spans="8:8" x14ac:dyDescent="0.25">
      <c r="H10234" t="s">
        <v>18444</v>
      </c>
    </row>
    <row r="10235" spans="8:8" x14ac:dyDescent="0.25">
      <c r="H10235" t="s">
        <v>30</v>
      </c>
    </row>
    <row r="10237" spans="8:8" x14ac:dyDescent="0.25">
      <c r="H10237" t="s">
        <v>12535</v>
      </c>
    </row>
    <row r="10238" spans="8:8" x14ac:dyDescent="0.25">
      <c r="H10238" t="s">
        <v>12536</v>
      </c>
    </row>
    <row r="10239" spans="8:8" x14ac:dyDescent="0.25">
      <c r="H10239" t="s">
        <v>135</v>
      </c>
    </row>
    <row r="10240" spans="8:8" x14ac:dyDescent="0.25">
      <c r="H10240" t="s">
        <v>18445</v>
      </c>
    </row>
    <row r="10241" spans="8:8" x14ac:dyDescent="0.25">
      <c r="H10241" t="s">
        <v>30</v>
      </c>
    </row>
    <row r="10242" spans="8:8" x14ac:dyDescent="0.25">
      <c r="H10242" t="s">
        <v>136</v>
      </c>
    </row>
    <row r="10243" spans="8:8" x14ac:dyDescent="0.25">
      <c r="H10243" t="s">
        <v>18446</v>
      </c>
    </row>
    <row r="10244" spans="8:8" x14ac:dyDescent="0.25">
      <c r="H10244" t="s">
        <v>30</v>
      </c>
    </row>
    <row r="10245" spans="8:8" x14ac:dyDescent="0.25">
      <c r="H10245" t="s">
        <v>137</v>
      </c>
    </row>
    <row r="10246" spans="8:8" x14ac:dyDescent="0.25">
      <c r="H10246" t="s">
        <v>18447</v>
      </c>
    </row>
    <row r="10247" spans="8:8" x14ac:dyDescent="0.25">
      <c r="H10247" t="s">
        <v>30</v>
      </c>
    </row>
    <row r="10248" spans="8:8" x14ac:dyDescent="0.25">
      <c r="H10248" t="s">
        <v>138</v>
      </c>
    </row>
    <row r="10249" spans="8:8" x14ac:dyDescent="0.25">
      <c r="H10249" t="s">
        <v>18448</v>
      </c>
    </row>
    <row r="10250" spans="8:8" x14ac:dyDescent="0.25">
      <c r="H10250" t="s">
        <v>30</v>
      </c>
    </row>
    <row r="10252" spans="8:8" x14ac:dyDescent="0.25">
      <c r="H10252" t="s">
        <v>12541</v>
      </c>
    </row>
    <row r="10253" spans="8:8" x14ac:dyDescent="0.25">
      <c r="H10253" t="s">
        <v>12542</v>
      </c>
    </row>
    <row r="10254" spans="8:8" x14ac:dyDescent="0.25">
      <c r="H10254" t="s">
        <v>135</v>
      </c>
    </row>
    <row r="10255" spans="8:8" x14ac:dyDescent="0.25">
      <c r="H10255" t="s">
        <v>18449</v>
      </c>
    </row>
    <row r="10256" spans="8:8" x14ac:dyDescent="0.25">
      <c r="H10256" t="s">
        <v>30</v>
      </c>
    </row>
    <row r="10257" spans="8:8" x14ac:dyDescent="0.25">
      <c r="H10257" t="s">
        <v>136</v>
      </c>
    </row>
    <row r="10258" spans="8:8" x14ac:dyDescent="0.25">
      <c r="H10258" t="s">
        <v>18450</v>
      </c>
    </row>
    <row r="10259" spans="8:8" x14ac:dyDescent="0.25">
      <c r="H10259" t="s">
        <v>30</v>
      </c>
    </row>
    <row r="10260" spans="8:8" x14ac:dyDescent="0.25">
      <c r="H10260" t="s">
        <v>137</v>
      </c>
    </row>
    <row r="10261" spans="8:8" x14ac:dyDescent="0.25">
      <c r="H10261" t="s">
        <v>18451</v>
      </c>
    </row>
    <row r="10262" spans="8:8" x14ac:dyDescent="0.25">
      <c r="H10262" t="s">
        <v>30</v>
      </c>
    </row>
    <row r="10263" spans="8:8" x14ac:dyDescent="0.25">
      <c r="H10263" t="s">
        <v>138</v>
      </c>
    </row>
    <row r="10264" spans="8:8" x14ac:dyDescent="0.25">
      <c r="H10264" t="s">
        <v>18452</v>
      </c>
    </row>
    <row r="10265" spans="8:8" x14ac:dyDescent="0.25">
      <c r="H10265" t="s">
        <v>30</v>
      </c>
    </row>
    <row r="10267" spans="8:8" x14ac:dyDescent="0.25">
      <c r="H10267" t="s">
        <v>12547</v>
      </c>
    </row>
    <row r="10268" spans="8:8" x14ac:dyDescent="0.25">
      <c r="H10268" t="s">
        <v>12548</v>
      </c>
    </row>
    <row r="10269" spans="8:8" x14ac:dyDescent="0.25">
      <c r="H10269" t="s">
        <v>135</v>
      </c>
    </row>
    <row r="10270" spans="8:8" x14ac:dyDescent="0.25">
      <c r="H10270" t="s">
        <v>18453</v>
      </c>
    </row>
    <row r="10271" spans="8:8" x14ac:dyDescent="0.25">
      <c r="H10271" t="s">
        <v>30</v>
      </c>
    </row>
    <row r="10272" spans="8:8" x14ac:dyDescent="0.25">
      <c r="H10272" t="s">
        <v>136</v>
      </c>
    </row>
    <row r="10273" spans="8:8" x14ac:dyDescent="0.25">
      <c r="H10273" t="s">
        <v>18454</v>
      </c>
    </row>
    <row r="10274" spans="8:8" x14ac:dyDescent="0.25">
      <c r="H10274" t="s">
        <v>30</v>
      </c>
    </row>
    <row r="10275" spans="8:8" x14ac:dyDescent="0.25">
      <c r="H10275" t="s">
        <v>137</v>
      </c>
    </row>
    <row r="10276" spans="8:8" x14ac:dyDescent="0.25">
      <c r="H10276" t="s">
        <v>18455</v>
      </c>
    </row>
    <row r="10277" spans="8:8" x14ac:dyDescent="0.25">
      <c r="H10277" t="s">
        <v>30</v>
      </c>
    </row>
    <row r="10278" spans="8:8" x14ac:dyDescent="0.25">
      <c r="H10278" t="s">
        <v>138</v>
      </c>
    </row>
    <row r="10279" spans="8:8" x14ac:dyDescent="0.25">
      <c r="H10279" t="s">
        <v>18456</v>
      </c>
    </row>
    <row r="10280" spans="8:8" x14ac:dyDescent="0.25">
      <c r="H10280" t="s">
        <v>30</v>
      </c>
    </row>
    <row r="10282" spans="8:8" x14ac:dyDescent="0.25">
      <c r="H10282" t="s">
        <v>12553</v>
      </c>
    </row>
    <row r="10283" spans="8:8" x14ac:dyDescent="0.25">
      <c r="H10283" t="s">
        <v>12554</v>
      </c>
    </row>
    <row r="10284" spans="8:8" x14ac:dyDescent="0.25">
      <c r="H10284" t="s">
        <v>135</v>
      </c>
    </row>
    <row r="10285" spans="8:8" x14ac:dyDescent="0.25">
      <c r="H10285" t="s">
        <v>18457</v>
      </c>
    </row>
    <row r="10286" spans="8:8" x14ac:dyDescent="0.25">
      <c r="H10286" t="s">
        <v>30</v>
      </c>
    </row>
    <row r="10287" spans="8:8" x14ac:dyDescent="0.25">
      <c r="H10287" t="s">
        <v>136</v>
      </c>
    </row>
    <row r="10288" spans="8:8" x14ac:dyDescent="0.25">
      <c r="H10288" t="s">
        <v>18458</v>
      </c>
    </row>
    <row r="10289" spans="8:8" x14ac:dyDescent="0.25">
      <c r="H10289" t="s">
        <v>30</v>
      </c>
    </row>
    <row r="10290" spans="8:8" x14ac:dyDescent="0.25">
      <c r="H10290" t="s">
        <v>137</v>
      </c>
    </row>
    <row r="10291" spans="8:8" x14ac:dyDescent="0.25">
      <c r="H10291" t="s">
        <v>18459</v>
      </c>
    </row>
    <row r="10292" spans="8:8" x14ac:dyDescent="0.25">
      <c r="H10292" t="s">
        <v>30</v>
      </c>
    </row>
    <row r="10293" spans="8:8" x14ac:dyDescent="0.25">
      <c r="H10293" t="s">
        <v>138</v>
      </c>
    </row>
    <row r="10294" spans="8:8" x14ac:dyDescent="0.25">
      <c r="H10294" t="s">
        <v>18460</v>
      </c>
    </row>
    <row r="10295" spans="8:8" x14ac:dyDescent="0.25">
      <c r="H10295" t="s">
        <v>30</v>
      </c>
    </row>
    <row r="10297" spans="8:8" x14ac:dyDescent="0.25">
      <c r="H10297" t="s">
        <v>12559</v>
      </c>
    </row>
    <row r="10298" spans="8:8" x14ac:dyDescent="0.25">
      <c r="H10298" t="s">
        <v>12560</v>
      </c>
    </row>
    <row r="10299" spans="8:8" x14ac:dyDescent="0.25">
      <c r="H10299" t="s">
        <v>135</v>
      </c>
    </row>
    <row r="10300" spans="8:8" x14ac:dyDescent="0.25">
      <c r="H10300" t="s">
        <v>18461</v>
      </c>
    </row>
    <row r="10301" spans="8:8" x14ac:dyDescent="0.25">
      <c r="H10301" t="s">
        <v>30</v>
      </c>
    </row>
    <row r="10302" spans="8:8" x14ac:dyDescent="0.25">
      <c r="H10302" t="s">
        <v>136</v>
      </c>
    </row>
    <row r="10303" spans="8:8" x14ac:dyDescent="0.25">
      <c r="H10303" t="s">
        <v>18462</v>
      </c>
    </row>
    <row r="10304" spans="8:8" x14ac:dyDescent="0.25">
      <c r="H10304" t="s">
        <v>30</v>
      </c>
    </row>
    <row r="10305" spans="8:8" x14ac:dyDescent="0.25">
      <c r="H10305" t="s">
        <v>137</v>
      </c>
    </row>
    <row r="10306" spans="8:8" x14ac:dyDescent="0.25">
      <c r="H10306" t="s">
        <v>18463</v>
      </c>
    </row>
    <row r="10307" spans="8:8" x14ac:dyDescent="0.25">
      <c r="H10307" t="s">
        <v>30</v>
      </c>
    </row>
    <row r="10308" spans="8:8" x14ac:dyDescent="0.25">
      <c r="H10308" t="s">
        <v>138</v>
      </c>
    </row>
    <row r="10309" spans="8:8" x14ac:dyDescent="0.25">
      <c r="H10309" t="s">
        <v>18464</v>
      </c>
    </row>
    <row r="10310" spans="8:8" x14ac:dyDescent="0.25">
      <c r="H10310" t="s">
        <v>30</v>
      </c>
    </row>
    <row r="10312" spans="8:8" x14ac:dyDescent="0.25">
      <c r="H10312" t="s">
        <v>12565</v>
      </c>
    </row>
    <row r="10313" spans="8:8" x14ac:dyDescent="0.25">
      <c r="H10313" t="s">
        <v>12566</v>
      </c>
    </row>
    <row r="10314" spans="8:8" x14ac:dyDescent="0.25">
      <c r="H10314" t="s">
        <v>135</v>
      </c>
    </row>
    <row r="10315" spans="8:8" x14ac:dyDescent="0.25">
      <c r="H10315" t="s">
        <v>18465</v>
      </c>
    </row>
    <row r="10316" spans="8:8" x14ac:dyDescent="0.25">
      <c r="H10316" t="s">
        <v>30</v>
      </c>
    </row>
    <row r="10317" spans="8:8" x14ac:dyDescent="0.25">
      <c r="H10317" t="s">
        <v>136</v>
      </c>
    </row>
    <row r="10318" spans="8:8" x14ac:dyDescent="0.25">
      <c r="H10318" t="s">
        <v>18466</v>
      </c>
    </row>
    <row r="10319" spans="8:8" x14ac:dyDescent="0.25">
      <c r="H10319" t="s">
        <v>30</v>
      </c>
    </row>
    <row r="10320" spans="8:8" x14ac:dyDescent="0.25">
      <c r="H10320" t="s">
        <v>137</v>
      </c>
    </row>
    <row r="10321" spans="8:8" x14ac:dyDescent="0.25">
      <c r="H10321" t="s">
        <v>18467</v>
      </c>
    </row>
    <row r="10322" spans="8:8" x14ac:dyDescent="0.25">
      <c r="H10322" t="s">
        <v>30</v>
      </c>
    </row>
    <row r="10323" spans="8:8" x14ac:dyDescent="0.25">
      <c r="H10323" t="s">
        <v>138</v>
      </c>
    </row>
    <row r="10324" spans="8:8" x14ac:dyDescent="0.25">
      <c r="H10324" t="s">
        <v>18468</v>
      </c>
    </row>
    <row r="10325" spans="8:8" x14ac:dyDescent="0.25">
      <c r="H10325" t="s">
        <v>30</v>
      </c>
    </row>
    <row r="10327" spans="8:8" x14ac:dyDescent="0.25">
      <c r="H10327" t="s">
        <v>12571</v>
      </c>
    </row>
    <row r="10328" spans="8:8" x14ac:dyDescent="0.25">
      <c r="H10328" t="s">
        <v>12572</v>
      </c>
    </row>
    <row r="10329" spans="8:8" x14ac:dyDescent="0.25">
      <c r="H10329" t="s">
        <v>135</v>
      </c>
    </row>
    <row r="10330" spans="8:8" x14ac:dyDescent="0.25">
      <c r="H10330" t="s">
        <v>18469</v>
      </c>
    </row>
    <row r="10331" spans="8:8" x14ac:dyDescent="0.25">
      <c r="H10331" t="s">
        <v>30</v>
      </c>
    </row>
    <row r="10332" spans="8:8" x14ac:dyDescent="0.25">
      <c r="H10332" t="s">
        <v>136</v>
      </c>
    </row>
    <row r="10333" spans="8:8" x14ac:dyDescent="0.25">
      <c r="H10333" t="s">
        <v>18470</v>
      </c>
    </row>
    <row r="10334" spans="8:8" x14ac:dyDescent="0.25">
      <c r="H10334" t="s">
        <v>30</v>
      </c>
    </row>
    <row r="10335" spans="8:8" x14ac:dyDescent="0.25">
      <c r="H10335" t="s">
        <v>137</v>
      </c>
    </row>
    <row r="10336" spans="8:8" x14ac:dyDescent="0.25">
      <c r="H10336" t="s">
        <v>18471</v>
      </c>
    </row>
    <row r="10337" spans="8:8" x14ac:dyDescent="0.25">
      <c r="H10337" t="s">
        <v>30</v>
      </c>
    </row>
    <row r="10338" spans="8:8" x14ac:dyDescent="0.25">
      <c r="H10338" t="s">
        <v>138</v>
      </c>
    </row>
    <row r="10339" spans="8:8" x14ac:dyDescent="0.25">
      <c r="H10339" t="s">
        <v>18472</v>
      </c>
    </row>
    <row r="10340" spans="8:8" x14ac:dyDescent="0.25">
      <c r="H10340" t="s">
        <v>30</v>
      </c>
    </row>
    <row r="10342" spans="8:8" x14ac:dyDescent="0.25">
      <c r="H10342" t="s">
        <v>12577</v>
      </c>
    </row>
    <row r="10343" spans="8:8" x14ac:dyDescent="0.25">
      <c r="H10343" t="s">
        <v>12578</v>
      </c>
    </row>
    <row r="10344" spans="8:8" x14ac:dyDescent="0.25">
      <c r="H10344" t="s">
        <v>135</v>
      </c>
    </row>
    <row r="10345" spans="8:8" x14ac:dyDescent="0.25">
      <c r="H10345" t="s">
        <v>18473</v>
      </c>
    </row>
    <row r="10346" spans="8:8" x14ac:dyDescent="0.25">
      <c r="H10346" t="s">
        <v>30</v>
      </c>
    </row>
    <row r="10347" spans="8:8" x14ac:dyDescent="0.25">
      <c r="H10347" t="s">
        <v>136</v>
      </c>
    </row>
    <row r="10348" spans="8:8" x14ac:dyDescent="0.25">
      <c r="H10348" t="s">
        <v>18474</v>
      </c>
    </row>
    <row r="10349" spans="8:8" x14ac:dyDescent="0.25">
      <c r="H10349" t="s">
        <v>30</v>
      </c>
    </row>
    <row r="10350" spans="8:8" x14ac:dyDescent="0.25">
      <c r="H10350" t="s">
        <v>137</v>
      </c>
    </row>
    <row r="10351" spans="8:8" x14ac:dyDescent="0.25">
      <c r="H10351" t="s">
        <v>18475</v>
      </c>
    </row>
    <row r="10352" spans="8:8" x14ac:dyDescent="0.25">
      <c r="H10352" t="s">
        <v>30</v>
      </c>
    </row>
    <row r="10353" spans="8:8" x14ac:dyDescent="0.25">
      <c r="H10353" t="s">
        <v>138</v>
      </c>
    </row>
    <row r="10354" spans="8:8" x14ac:dyDescent="0.25">
      <c r="H10354" t="s">
        <v>18476</v>
      </c>
    </row>
    <row r="10355" spans="8:8" x14ac:dyDescent="0.25">
      <c r="H10355" t="s">
        <v>30</v>
      </c>
    </row>
    <row r="10357" spans="8:8" x14ac:dyDescent="0.25">
      <c r="H10357" t="s">
        <v>12583</v>
      </c>
    </row>
    <row r="10358" spans="8:8" x14ac:dyDescent="0.25">
      <c r="H10358" t="s">
        <v>12584</v>
      </c>
    </row>
    <row r="10359" spans="8:8" x14ac:dyDescent="0.25">
      <c r="H10359" t="s">
        <v>135</v>
      </c>
    </row>
    <row r="10360" spans="8:8" x14ac:dyDescent="0.25">
      <c r="H10360" t="s">
        <v>18477</v>
      </c>
    </row>
    <row r="10361" spans="8:8" x14ac:dyDescent="0.25">
      <c r="H10361" t="s">
        <v>30</v>
      </c>
    </row>
    <row r="10362" spans="8:8" x14ac:dyDescent="0.25">
      <c r="H10362" t="s">
        <v>136</v>
      </c>
    </row>
    <row r="10363" spans="8:8" x14ac:dyDescent="0.25">
      <c r="H10363" t="s">
        <v>18478</v>
      </c>
    </row>
    <row r="10364" spans="8:8" x14ac:dyDescent="0.25">
      <c r="H10364" t="s">
        <v>30</v>
      </c>
    </row>
    <row r="10365" spans="8:8" x14ac:dyDescent="0.25">
      <c r="H10365" t="s">
        <v>137</v>
      </c>
    </row>
    <row r="10366" spans="8:8" x14ac:dyDescent="0.25">
      <c r="H10366" t="s">
        <v>18479</v>
      </c>
    </row>
    <row r="10367" spans="8:8" x14ac:dyDescent="0.25">
      <c r="H10367" t="s">
        <v>30</v>
      </c>
    </row>
    <row r="10368" spans="8:8" x14ac:dyDescent="0.25">
      <c r="H10368" t="s">
        <v>138</v>
      </c>
    </row>
    <row r="10369" spans="8:8" x14ac:dyDescent="0.25">
      <c r="H10369" t="s">
        <v>18480</v>
      </c>
    </row>
    <row r="10370" spans="8:8" x14ac:dyDescent="0.25">
      <c r="H10370" t="s">
        <v>30</v>
      </c>
    </row>
    <row r="10372" spans="8:8" x14ac:dyDescent="0.25">
      <c r="H10372" t="s">
        <v>12589</v>
      </c>
    </row>
    <row r="10373" spans="8:8" x14ac:dyDescent="0.25">
      <c r="H10373" t="s">
        <v>12590</v>
      </c>
    </row>
    <row r="10374" spans="8:8" x14ac:dyDescent="0.25">
      <c r="H10374" t="s">
        <v>135</v>
      </c>
    </row>
    <row r="10375" spans="8:8" x14ac:dyDescent="0.25">
      <c r="H10375" t="s">
        <v>18481</v>
      </c>
    </row>
    <row r="10376" spans="8:8" x14ac:dyDescent="0.25">
      <c r="H10376" t="s">
        <v>30</v>
      </c>
    </row>
    <row r="10377" spans="8:8" x14ac:dyDescent="0.25">
      <c r="H10377" t="s">
        <v>136</v>
      </c>
    </row>
    <row r="10378" spans="8:8" x14ac:dyDescent="0.25">
      <c r="H10378" t="s">
        <v>18482</v>
      </c>
    </row>
    <row r="10379" spans="8:8" x14ac:dyDescent="0.25">
      <c r="H10379" t="s">
        <v>30</v>
      </c>
    </row>
    <row r="10380" spans="8:8" x14ac:dyDescent="0.25">
      <c r="H10380" t="s">
        <v>137</v>
      </c>
    </row>
    <row r="10381" spans="8:8" x14ac:dyDescent="0.25">
      <c r="H10381" t="s">
        <v>18483</v>
      </c>
    </row>
    <row r="10382" spans="8:8" x14ac:dyDescent="0.25">
      <c r="H10382" t="s">
        <v>30</v>
      </c>
    </row>
    <row r="10383" spans="8:8" x14ac:dyDescent="0.25">
      <c r="H10383" t="s">
        <v>138</v>
      </c>
    </row>
    <row r="10384" spans="8:8" x14ac:dyDescent="0.25">
      <c r="H10384" t="s">
        <v>18484</v>
      </c>
    </row>
    <row r="10385" spans="8:8" x14ac:dyDescent="0.25">
      <c r="H10385" t="s">
        <v>30</v>
      </c>
    </row>
    <row r="10387" spans="8:8" x14ac:dyDescent="0.25">
      <c r="H10387" t="s">
        <v>12595</v>
      </c>
    </row>
    <row r="10388" spans="8:8" x14ac:dyDescent="0.25">
      <c r="H10388" t="s">
        <v>12596</v>
      </c>
    </row>
    <row r="10389" spans="8:8" x14ac:dyDescent="0.25">
      <c r="H10389" t="s">
        <v>135</v>
      </c>
    </row>
    <row r="10390" spans="8:8" x14ac:dyDescent="0.25">
      <c r="H10390" t="s">
        <v>18485</v>
      </c>
    </row>
    <row r="10391" spans="8:8" x14ac:dyDescent="0.25">
      <c r="H10391" t="s">
        <v>30</v>
      </c>
    </row>
    <row r="10392" spans="8:8" x14ac:dyDescent="0.25">
      <c r="H10392" t="s">
        <v>136</v>
      </c>
    </row>
    <row r="10393" spans="8:8" x14ac:dyDescent="0.25">
      <c r="H10393" t="s">
        <v>18486</v>
      </c>
    </row>
    <row r="10394" spans="8:8" x14ac:dyDescent="0.25">
      <c r="H10394" t="s">
        <v>30</v>
      </c>
    </row>
    <row r="10395" spans="8:8" x14ac:dyDescent="0.25">
      <c r="H10395" t="s">
        <v>137</v>
      </c>
    </row>
    <row r="10396" spans="8:8" x14ac:dyDescent="0.25">
      <c r="H10396" t="s">
        <v>18487</v>
      </c>
    </row>
    <row r="10397" spans="8:8" x14ac:dyDescent="0.25">
      <c r="H10397" t="s">
        <v>30</v>
      </c>
    </row>
    <row r="10398" spans="8:8" x14ac:dyDescent="0.25">
      <c r="H10398" t="s">
        <v>138</v>
      </c>
    </row>
    <row r="10399" spans="8:8" x14ac:dyDescent="0.25">
      <c r="H10399" t="s">
        <v>18488</v>
      </c>
    </row>
    <row r="10400" spans="8:8" x14ac:dyDescent="0.25">
      <c r="H10400" t="s">
        <v>30</v>
      </c>
    </row>
    <row r="10402" spans="8:8" x14ac:dyDescent="0.25">
      <c r="H10402" t="s">
        <v>12601</v>
      </c>
    </row>
    <row r="10403" spans="8:8" x14ac:dyDescent="0.25">
      <c r="H10403" t="s">
        <v>12602</v>
      </c>
    </row>
    <row r="10404" spans="8:8" x14ac:dyDescent="0.25">
      <c r="H10404" t="s">
        <v>135</v>
      </c>
    </row>
    <row r="10405" spans="8:8" x14ac:dyDescent="0.25">
      <c r="H10405" t="s">
        <v>18489</v>
      </c>
    </row>
    <row r="10406" spans="8:8" x14ac:dyDescent="0.25">
      <c r="H10406" t="s">
        <v>30</v>
      </c>
    </row>
    <row r="10407" spans="8:8" x14ac:dyDescent="0.25">
      <c r="H10407" t="s">
        <v>136</v>
      </c>
    </row>
    <row r="10408" spans="8:8" x14ac:dyDescent="0.25">
      <c r="H10408" t="s">
        <v>18490</v>
      </c>
    </row>
    <row r="10409" spans="8:8" x14ac:dyDescent="0.25">
      <c r="H10409" t="s">
        <v>30</v>
      </c>
    </row>
    <row r="10410" spans="8:8" x14ac:dyDescent="0.25">
      <c r="H10410" t="s">
        <v>137</v>
      </c>
    </row>
    <row r="10411" spans="8:8" x14ac:dyDescent="0.25">
      <c r="H10411" t="s">
        <v>18491</v>
      </c>
    </row>
    <row r="10412" spans="8:8" x14ac:dyDescent="0.25">
      <c r="H10412" t="s">
        <v>30</v>
      </c>
    </row>
    <row r="10413" spans="8:8" x14ac:dyDescent="0.25">
      <c r="H10413" t="s">
        <v>138</v>
      </c>
    </row>
    <row r="10414" spans="8:8" x14ac:dyDescent="0.25">
      <c r="H10414" t="s">
        <v>18492</v>
      </c>
    </row>
    <row r="10415" spans="8:8" x14ac:dyDescent="0.25">
      <c r="H10415" t="s">
        <v>30</v>
      </c>
    </row>
    <row r="10417" spans="8:8" x14ac:dyDescent="0.25">
      <c r="H10417" t="s">
        <v>12607</v>
      </c>
    </row>
    <row r="10418" spans="8:8" x14ac:dyDescent="0.25">
      <c r="H10418" t="s">
        <v>12608</v>
      </c>
    </row>
    <row r="10419" spans="8:8" x14ac:dyDescent="0.25">
      <c r="H10419" t="s">
        <v>135</v>
      </c>
    </row>
    <row r="10420" spans="8:8" x14ac:dyDescent="0.25">
      <c r="H10420" t="s">
        <v>18493</v>
      </c>
    </row>
    <row r="10421" spans="8:8" x14ac:dyDescent="0.25">
      <c r="H10421" t="s">
        <v>30</v>
      </c>
    </row>
    <row r="10422" spans="8:8" x14ac:dyDescent="0.25">
      <c r="H10422" t="s">
        <v>136</v>
      </c>
    </row>
    <row r="10423" spans="8:8" x14ac:dyDescent="0.25">
      <c r="H10423" t="s">
        <v>18494</v>
      </c>
    </row>
    <row r="10424" spans="8:8" x14ac:dyDescent="0.25">
      <c r="H10424" t="s">
        <v>30</v>
      </c>
    </row>
    <row r="10425" spans="8:8" x14ac:dyDescent="0.25">
      <c r="H10425" t="s">
        <v>137</v>
      </c>
    </row>
    <row r="10426" spans="8:8" x14ac:dyDescent="0.25">
      <c r="H10426" t="s">
        <v>18495</v>
      </c>
    </row>
    <row r="10427" spans="8:8" x14ac:dyDescent="0.25">
      <c r="H10427" t="s">
        <v>30</v>
      </c>
    </row>
    <row r="10428" spans="8:8" x14ac:dyDescent="0.25">
      <c r="H10428" t="s">
        <v>138</v>
      </c>
    </row>
    <row r="10429" spans="8:8" x14ac:dyDescent="0.25">
      <c r="H10429" t="s">
        <v>18496</v>
      </c>
    </row>
    <row r="10430" spans="8:8" x14ac:dyDescent="0.25">
      <c r="H10430" t="s">
        <v>30</v>
      </c>
    </row>
    <row r="10432" spans="8:8" x14ac:dyDescent="0.25">
      <c r="H10432" t="s">
        <v>12613</v>
      </c>
    </row>
    <row r="10433" spans="8:8" x14ac:dyDescent="0.25">
      <c r="H10433" t="s">
        <v>12614</v>
      </c>
    </row>
    <row r="10434" spans="8:8" x14ac:dyDescent="0.25">
      <c r="H10434" t="s">
        <v>135</v>
      </c>
    </row>
    <row r="10435" spans="8:8" x14ac:dyDescent="0.25">
      <c r="H10435" t="s">
        <v>18497</v>
      </c>
    </row>
    <row r="10436" spans="8:8" x14ac:dyDescent="0.25">
      <c r="H10436" t="s">
        <v>30</v>
      </c>
    </row>
    <row r="10437" spans="8:8" x14ac:dyDescent="0.25">
      <c r="H10437" t="s">
        <v>136</v>
      </c>
    </row>
    <row r="10438" spans="8:8" x14ac:dyDescent="0.25">
      <c r="H10438" t="s">
        <v>18498</v>
      </c>
    </row>
    <row r="10439" spans="8:8" x14ac:dyDescent="0.25">
      <c r="H10439" t="s">
        <v>30</v>
      </c>
    </row>
    <row r="10440" spans="8:8" x14ac:dyDescent="0.25">
      <c r="H10440" t="s">
        <v>137</v>
      </c>
    </row>
    <row r="10441" spans="8:8" x14ac:dyDescent="0.25">
      <c r="H10441" t="s">
        <v>18499</v>
      </c>
    </row>
    <row r="10442" spans="8:8" x14ac:dyDescent="0.25">
      <c r="H10442" t="s">
        <v>30</v>
      </c>
    </row>
    <row r="10443" spans="8:8" x14ac:dyDescent="0.25">
      <c r="H10443" t="s">
        <v>138</v>
      </c>
    </row>
    <row r="10444" spans="8:8" x14ac:dyDescent="0.25">
      <c r="H10444" t="s">
        <v>18500</v>
      </c>
    </row>
    <row r="10445" spans="8:8" x14ac:dyDescent="0.25">
      <c r="H10445" t="s">
        <v>30</v>
      </c>
    </row>
    <row r="10447" spans="8:8" x14ac:dyDescent="0.25">
      <c r="H10447" t="s">
        <v>12619</v>
      </c>
    </row>
    <row r="10448" spans="8:8" x14ac:dyDescent="0.25">
      <c r="H10448" t="s">
        <v>12620</v>
      </c>
    </row>
    <row r="10449" spans="8:8" x14ac:dyDescent="0.25">
      <c r="H10449" t="s">
        <v>135</v>
      </c>
    </row>
    <row r="10450" spans="8:8" x14ac:dyDescent="0.25">
      <c r="H10450" t="s">
        <v>18501</v>
      </c>
    </row>
    <row r="10451" spans="8:8" x14ac:dyDescent="0.25">
      <c r="H10451" t="s">
        <v>30</v>
      </c>
    </row>
    <row r="10452" spans="8:8" x14ac:dyDescent="0.25">
      <c r="H10452" t="s">
        <v>136</v>
      </c>
    </row>
    <row r="10453" spans="8:8" x14ac:dyDescent="0.25">
      <c r="H10453" t="s">
        <v>18502</v>
      </c>
    </row>
    <row r="10454" spans="8:8" x14ac:dyDescent="0.25">
      <c r="H10454" t="s">
        <v>30</v>
      </c>
    </row>
    <row r="10455" spans="8:8" x14ac:dyDescent="0.25">
      <c r="H10455" t="s">
        <v>137</v>
      </c>
    </row>
    <row r="10456" spans="8:8" x14ac:dyDescent="0.25">
      <c r="H10456" t="s">
        <v>18503</v>
      </c>
    </row>
    <row r="10457" spans="8:8" x14ac:dyDescent="0.25">
      <c r="H10457" t="s">
        <v>30</v>
      </c>
    </row>
    <row r="10458" spans="8:8" x14ac:dyDescent="0.25">
      <c r="H10458" t="s">
        <v>138</v>
      </c>
    </row>
    <row r="10459" spans="8:8" x14ac:dyDescent="0.25">
      <c r="H10459" t="s">
        <v>18504</v>
      </c>
    </row>
    <row r="10460" spans="8:8" x14ac:dyDescent="0.25">
      <c r="H10460" t="s">
        <v>30</v>
      </c>
    </row>
    <row r="10462" spans="8:8" x14ac:dyDescent="0.25">
      <c r="H10462" t="s">
        <v>12625</v>
      </c>
    </row>
    <row r="10463" spans="8:8" x14ac:dyDescent="0.25">
      <c r="H10463" t="s">
        <v>12626</v>
      </c>
    </row>
    <row r="10464" spans="8:8" x14ac:dyDescent="0.25">
      <c r="H10464" t="s">
        <v>135</v>
      </c>
    </row>
    <row r="10465" spans="8:8" x14ac:dyDescent="0.25">
      <c r="H10465" t="s">
        <v>18505</v>
      </c>
    </row>
    <row r="10466" spans="8:8" x14ac:dyDescent="0.25">
      <c r="H10466" t="s">
        <v>30</v>
      </c>
    </row>
    <row r="10467" spans="8:8" x14ac:dyDescent="0.25">
      <c r="H10467" t="s">
        <v>136</v>
      </c>
    </row>
    <row r="10468" spans="8:8" x14ac:dyDescent="0.25">
      <c r="H10468" t="s">
        <v>18506</v>
      </c>
    </row>
    <row r="10469" spans="8:8" x14ac:dyDescent="0.25">
      <c r="H10469" t="s">
        <v>30</v>
      </c>
    </row>
    <row r="10470" spans="8:8" x14ac:dyDescent="0.25">
      <c r="H10470" t="s">
        <v>137</v>
      </c>
    </row>
    <row r="10471" spans="8:8" x14ac:dyDescent="0.25">
      <c r="H10471" t="s">
        <v>18507</v>
      </c>
    </row>
    <row r="10472" spans="8:8" x14ac:dyDescent="0.25">
      <c r="H10472" t="s">
        <v>30</v>
      </c>
    </row>
    <row r="10473" spans="8:8" x14ac:dyDescent="0.25">
      <c r="H10473" t="s">
        <v>138</v>
      </c>
    </row>
    <row r="10474" spans="8:8" x14ac:dyDescent="0.25">
      <c r="H10474" t="s">
        <v>18508</v>
      </c>
    </row>
    <row r="10475" spans="8:8" x14ac:dyDescent="0.25">
      <c r="H10475" t="s">
        <v>30</v>
      </c>
    </row>
    <row r="10477" spans="8:8" x14ac:dyDescent="0.25">
      <c r="H10477" t="s">
        <v>12631</v>
      </c>
    </row>
    <row r="10478" spans="8:8" x14ac:dyDescent="0.25">
      <c r="H10478" t="s">
        <v>12632</v>
      </c>
    </row>
    <row r="10479" spans="8:8" x14ac:dyDescent="0.25">
      <c r="H10479" t="s">
        <v>135</v>
      </c>
    </row>
    <row r="10480" spans="8:8" x14ac:dyDescent="0.25">
      <c r="H10480" t="s">
        <v>18509</v>
      </c>
    </row>
    <row r="10481" spans="8:8" x14ac:dyDescent="0.25">
      <c r="H10481" t="s">
        <v>30</v>
      </c>
    </row>
    <row r="10482" spans="8:8" x14ac:dyDescent="0.25">
      <c r="H10482" t="s">
        <v>136</v>
      </c>
    </row>
    <row r="10483" spans="8:8" x14ac:dyDescent="0.25">
      <c r="H10483" t="s">
        <v>18510</v>
      </c>
    </row>
    <row r="10484" spans="8:8" x14ac:dyDescent="0.25">
      <c r="H10484" t="s">
        <v>30</v>
      </c>
    </row>
    <row r="10485" spans="8:8" x14ac:dyDescent="0.25">
      <c r="H10485" t="s">
        <v>137</v>
      </c>
    </row>
    <row r="10486" spans="8:8" x14ac:dyDescent="0.25">
      <c r="H10486" t="s">
        <v>18511</v>
      </c>
    </row>
    <row r="10487" spans="8:8" x14ac:dyDescent="0.25">
      <c r="H10487" t="s">
        <v>30</v>
      </c>
    </row>
    <row r="10488" spans="8:8" x14ac:dyDescent="0.25">
      <c r="H10488" t="s">
        <v>138</v>
      </c>
    </row>
    <row r="10489" spans="8:8" x14ac:dyDescent="0.25">
      <c r="H10489" t="s">
        <v>18512</v>
      </c>
    </row>
    <row r="10490" spans="8:8" x14ac:dyDescent="0.25">
      <c r="H10490" t="s">
        <v>30</v>
      </c>
    </row>
    <row r="10492" spans="8:8" x14ac:dyDescent="0.25">
      <c r="H10492" t="s">
        <v>12637</v>
      </c>
    </row>
    <row r="10493" spans="8:8" x14ac:dyDescent="0.25">
      <c r="H10493" t="s">
        <v>12638</v>
      </c>
    </row>
    <row r="10494" spans="8:8" x14ac:dyDescent="0.25">
      <c r="H10494" t="s">
        <v>135</v>
      </c>
    </row>
    <row r="10495" spans="8:8" x14ac:dyDescent="0.25">
      <c r="H10495" t="s">
        <v>18513</v>
      </c>
    </row>
    <row r="10496" spans="8:8" x14ac:dyDescent="0.25">
      <c r="H10496" t="s">
        <v>30</v>
      </c>
    </row>
    <row r="10497" spans="8:8" x14ac:dyDescent="0.25">
      <c r="H10497" t="s">
        <v>136</v>
      </c>
    </row>
    <row r="10498" spans="8:8" x14ac:dyDescent="0.25">
      <c r="H10498" t="s">
        <v>18514</v>
      </c>
    </row>
    <row r="10499" spans="8:8" x14ac:dyDescent="0.25">
      <c r="H10499" t="s">
        <v>30</v>
      </c>
    </row>
    <row r="10500" spans="8:8" x14ac:dyDescent="0.25">
      <c r="H10500" t="s">
        <v>137</v>
      </c>
    </row>
    <row r="10501" spans="8:8" x14ac:dyDescent="0.25">
      <c r="H10501" t="s">
        <v>18515</v>
      </c>
    </row>
    <row r="10502" spans="8:8" x14ac:dyDescent="0.25">
      <c r="H10502" t="s">
        <v>30</v>
      </c>
    </row>
    <row r="10503" spans="8:8" x14ac:dyDescent="0.25">
      <c r="H10503" t="s">
        <v>138</v>
      </c>
    </row>
    <row r="10504" spans="8:8" x14ac:dyDescent="0.25">
      <c r="H10504" t="s">
        <v>18516</v>
      </c>
    </row>
    <row r="10505" spans="8:8" x14ac:dyDescent="0.25">
      <c r="H10505" t="s">
        <v>30</v>
      </c>
    </row>
    <row r="10507" spans="8:8" x14ac:dyDescent="0.25">
      <c r="H10507" t="s">
        <v>12643</v>
      </c>
    </row>
    <row r="10508" spans="8:8" x14ac:dyDescent="0.25">
      <c r="H10508" t="s">
        <v>12644</v>
      </c>
    </row>
    <row r="10509" spans="8:8" x14ac:dyDescent="0.25">
      <c r="H10509" t="s">
        <v>135</v>
      </c>
    </row>
    <row r="10510" spans="8:8" x14ac:dyDescent="0.25">
      <c r="H10510" t="s">
        <v>18517</v>
      </c>
    </row>
    <row r="10511" spans="8:8" x14ac:dyDescent="0.25">
      <c r="H10511" t="s">
        <v>30</v>
      </c>
    </row>
    <row r="10512" spans="8:8" x14ac:dyDescent="0.25">
      <c r="H10512" t="s">
        <v>136</v>
      </c>
    </row>
    <row r="10513" spans="8:8" x14ac:dyDescent="0.25">
      <c r="H10513" t="s">
        <v>18518</v>
      </c>
    </row>
    <row r="10514" spans="8:8" x14ac:dyDescent="0.25">
      <c r="H10514" t="s">
        <v>30</v>
      </c>
    </row>
    <row r="10515" spans="8:8" x14ac:dyDescent="0.25">
      <c r="H10515" t="s">
        <v>137</v>
      </c>
    </row>
    <row r="10516" spans="8:8" x14ac:dyDescent="0.25">
      <c r="H10516" t="s">
        <v>18519</v>
      </c>
    </row>
    <row r="10517" spans="8:8" x14ac:dyDescent="0.25">
      <c r="H10517" t="s">
        <v>30</v>
      </c>
    </row>
    <row r="10518" spans="8:8" x14ac:dyDescent="0.25">
      <c r="H10518" t="s">
        <v>138</v>
      </c>
    </row>
    <row r="10519" spans="8:8" x14ac:dyDescent="0.25">
      <c r="H10519" t="s">
        <v>18520</v>
      </c>
    </row>
    <row r="10520" spans="8:8" x14ac:dyDescent="0.25">
      <c r="H10520" t="s">
        <v>30</v>
      </c>
    </row>
    <row r="10522" spans="8:8" x14ac:dyDescent="0.25">
      <c r="H10522" t="s">
        <v>12649</v>
      </c>
    </row>
    <row r="10523" spans="8:8" x14ac:dyDescent="0.25">
      <c r="H10523" t="s">
        <v>12650</v>
      </c>
    </row>
    <row r="10524" spans="8:8" x14ac:dyDescent="0.25">
      <c r="H10524" t="s">
        <v>135</v>
      </c>
    </row>
    <row r="10525" spans="8:8" x14ac:dyDescent="0.25">
      <c r="H10525" t="s">
        <v>18521</v>
      </c>
    </row>
    <row r="10526" spans="8:8" x14ac:dyDescent="0.25">
      <c r="H10526" t="s">
        <v>30</v>
      </c>
    </row>
    <row r="10527" spans="8:8" x14ac:dyDescent="0.25">
      <c r="H10527" t="s">
        <v>136</v>
      </c>
    </row>
    <row r="10528" spans="8:8" x14ac:dyDescent="0.25">
      <c r="H10528" t="s">
        <v>18522</v>
      </c>
    </row>
    <row r="10529" spans="8:8" x14ac:dyDescent="0.25">
      <c r="H10529" t="s">
        <v>30</v>
      </c>
    </row>
    <row r="10530" spans="8:8" x14ac:dyDescent="0.25">
      <c r="H10530" t="s">
        <v>137</v>
      </c>
    </row>
    <row r="10531" spans="8:8" x14ac:dyDescent="0.25">
      <c r="H10531" t="s">
        <v>18523</v>
      </c>
    </row>
    <row r="10532" spans="8:8" x14ac:dyDescent="0.25">
      <c r="H10532" t="s">
        <v>30</v>
      </c>
    </row>
    <row r="10533" spans="8:8" x14ac:dyDescent="0.25">
      <c r="H10533" t="s">
        <v>138</v>
      </c>
    </row>
    <row r="10534" spans="8:8" x14ac:dyDescent="0.25">
      <c r="H10534" t="s">
        <v>18524</v>
      </c>
    </row>
    <row r="10535" spans="8:8" x14ac:dyDescent="0.25">
      <c r="H10535" t="s">
        <v>30</v>
      </c>
    </row>
    <row r="10537" spans="8:8" x14ac:dyDescent="0.25">
      <c r="H10537" t="s">
        <v>12655</v>
      </c>
    </row>
    <row r="10538" spans="8:8" x14ac:dyDescent="0.25">
      <c r="H10538" t="s">
        <v>12656</v>
      </c>
    </row>
    <row r="10539" spans="8:8" x14ac:dyDescent="0.25">
      <c r="H10539" t="s">
        <v>135</v>
      </c>
    </row>
    <row r="10540" spans="8:8" x14ac:dyDescent="0.25">
      <c r="H10540" t="s">
        <v>18525</v>
      </c>
    </row>
    <row r="10541" spans="8:8" x14ac:dyDescent="0.25">
      <c r="H10541" t="s">
        <v>30</v>
      </c>
    </row>
    <row r="10542" spans="8:8" x14ac:dyDescent="0.25">
      <c r="H10542" t="s">
        <v>136</v>
      </c>
    </row>
    <row r="10543" spans="8:8" x14ac:dyDescent="0.25">
      <c r="H10543" t="s">
        <v>18526</v>
      </c>
    </row>
    <row r="10544" spans="8:8" x14ac:dyDescent="0.25">
      <c r="H10544" t="s">
        <v>30</v>
      </c>
    </row>
    <row r="10545" spans="8:8" x14ac:dyDescent="0.25">
      <c r="H10545" t="s">
        <v>137</v>
      </c>
    </row>
    <row r="10546" spans="8:8" x14ac:dyDescent="0.25">
      <c r="H10546" t="s">
        <v>18527</v>
      </c>
    </row>
    <row r="10547" spans="8:8" x14ac:dyDescent="0.25">
      <c r="H10547" t="s">
        <v>30</v>
      </c>
    </row>
    <row r="10548" spans="8:8" x14ac:dyDescent="0.25">
      <c r="H10548" t="s">
        <v>138</v>
      </c>
    </row>
    <row r="10549" spans="8:8" x14ac:dyDescent="0.25">
      <c r="H10549" t="s">
        <v>18528</v>
      </c>
    </row>
    <row r="10550" spans="8:8" x14ac:dyDescent="0.25">
      <c r="H10550" t="s">
        <v>30</v>
      </c>
    </row>
    <row r="10552" spans="8:8" x14ac:dyDescent="0.25">
      <c r="H10552" t="s">
        <v>12661</v>
      </c>
    </row>
    <row r="10553" spans="8:8" x14ac:dyDescent="0.25">
      <c r="H10553" t="s">
        <v>12662</v>
      </c>
    </row>
    <row r="10554" spans="8:8" x14ac:dyDescent="0.25">
      <c r="H10554" t="s">
        <v>135</v>
      </c>
    </row>
    <row r="10555" spans="8:8" x14ac:dyDescent="0.25">
      <c r="H10555" t="s">
        <v>18529</v>
      </c>
    </row>
    <row r="10556" spans="8:8" x14ac:dyDescent="0.25">
      <c r="H10556" t="s">
        <v>30</v>
      </c>
    </row>
    <row r="10557" spans="8:8" x14ac:dyDescent="0.25">
      <c r="H10557" t="s">
        <v>136</v>
      </c>
    </row>
    <row r="10558" spans="8:8" x14ac:dyDescent="0.25">
      <c r="H10558" t="s">
        <v>18530</v>
      </c>
    </row>
    <row r="10559" spans="8:8" x14ac:dyDescent="0.25">
      <c r="H10559" t="s">
        <v>30</v>
      </c>
    </row>
    <row r="10560" spans="8:8" x14ac:dyDescent="0.25">
      <c r="H10560" t="s">
        <v>137</v>
      </c>
    </row>
    <row r="10561" spans="8:8" x14ac:dyDescent="0.25">
      <c r="H10561" t="s">
        <v>18531</v>
      </c>
    </row>
    <row r="10562" spans="8:8" x14ac:dyDescent="0.25">
      <c r="H10562" t="s">
        <v>30</v>
      </c>
    </row>
    <row r="10563" spans="8:8" x14ac:dyDescent="0.25">
      <c r="H10563" t="s">
        <v>138</v>
      </c>
    </row>
    <row r="10564" spans="8:8" x14ac:dyDescent="0.25">
      <c r="H10564" t="s">
        <v>18532</v>
      </c>
    </row>
    <row r="10565" spans="8:8" x14ac:dyDescent="0.25">
      <c r="H10565" t="s">
        <v>30</v>
      </c>
    </row>
    <row r="10567" spans="8:8" x14ac:dyDescent="0.25">
      <c r="H10567" t="s">
        <v>12667</v>
      </c>
    </row>
    <row r="10568" spans="8:8" x14ac:dyDescent="0.25">
      <c r="H10568" t="s">
        <v>12668</v>
      </c>
    </row>
    <row r="10569" spans="8:8" x14ac:dyDescent="0.25">
      <c r="H10569" t="s">
        <v>135</v>
      </c>
    </row>
    <row r="10570" spans="8:8" x14ac:dyDescent="0.25">
      <c r="H10570" t="s">
        <v>18533</v>
      </c>
    </row>
    <row r="10571" spans="8:8" x14ac:dyDescent="0.25">
      <c r="H10571" t="s">
        <v>30</v>
      </c>
    </row>
    <row r="10572" spans="8:8" x14ac:dyDescent="0.25">
      <c r="H10572" t="s">
        <v>136</v>
      </c>
    </row>
    <row r="10573" spans="8:8" x14ac:dyDescent="0.25">
      <c r="H10573" t="s">
        <v>18534</v>
      </c>
    </row>
    <row r="10574" spans="8:8" x14ac:dyDescent="0.25">
      <c r="H10574" t="s">
        <v>30</v>
      </c>
    </row>
    <row r="10575" spans="8:8" x14ac:dyDescent="0.25">
      <c r="H10575" t="s">
        <v>137</v>
      </c>
    </row>
    <row r="10576" spans="8:8" x14ac:dyDescent="0.25">
      <c r="H10576" t="s">
        <v>18535</v>
      </c>
    </row>
    <row r="10577" spans="8:8" x14ac:dyDescent="0.25">
      <c r="H10577" t="s">
        <v>30</v>
      </c>
    </row>
    <row r="10578" spans="8:8" x14ac:dyDescent="0.25">
      <c r="H10578" t="s">
        <v>138</v>
      </c>
    </row>
    <row r="10579" spans="8:8" x14ac:dyDescent="0.25">
      <c r="H10579" t="s">
        <v>18536</v>
      </c>
    </row>
    <row r="10580" spans="8:8" x14ac:dyDescent="0.25">
      <c r="H10580" t="s">
        <v>30</v>
      </c>
    </row>
    <row r="10582" spans="8:8" x14ac:dyDescent="0.25">
      <c r="H10582" t="s">
        <v>12673</v>
      </c>
    </row>
    <row r="10583" spans="8:8" x14ac:dyDescent="0.25">
      <c r="H10583" t="s">
        <v>12674</v>
      </c>
    </row>
    <row r="10584" spans="8:8" x14ac:dyDescent="0.25">
      <c r="H10584" t="s">
        <v>135</v>
      </c>
    </row>
    <row r="10585" spans="8:8" x14ac:dyDescent="0.25">
      <c r="H10585" t="s">
        <v>18537</v>
      </c>
    </row>
    <row r="10586" spans="8:8" x14ac:dyDescent="0.25">
      <c r="H10586" t="s">
        <v>30</v>
      </c>
    </row>
    <row r="10587" spans="8:8" x14ac:dyDescent="0.25">
      <c r="H10587" t="s">
        <v>136</v>
      </c>
    </row>
    <row r="10588" spans="8:8" x14ac:dyDescent="0.25">
      <c r="H10588" t="s">
        <v>18538</v>
      </c>
    </row>
    <row r="10589" spans="8:8" x14ac:dyDescent="0.25">
      <c r="H10589" t="s">
        <v>30</v>
      </c>
    </row>
    <row r="10590" spans="8:8" x14ac:dyDescent="0.25">
      <c r="H10590" t="s">
        <v>137</v>
      </c>
    </row>
    <row r="10591" spans="8:8" x14ac:dyDescent="0.25">
      <c r="H10591" t="s">
        <v>18539</v>
      </c>
    </row>
    <row r="10592" spans="8:8" x14ac:dyDescent="0.25">
      <c r="H10592" t="s">
        <v>30</v>
      </c>
    </row>
    <row r="10593" spans="8:8" x14ac:dyDescent="0.25">
      <c r="H10593" t="s">
        <v>138</v>
      </c>
    </row>
    <row r="10594" spans="8:8" x14ac:dyDescent="0.25">
      <c r="H10594" t="s">
        <v>18540</v>
      </c>
    </row>
    <row r="10595" spans="8:8" x14ac:dyDescent="0.25">
      <c r="H10595" t="s">
        <v>30</v>
      </c>
    </row>
    <row r="10597" spans="8:8" x14ac:dyDescent="0.25">
      <c r="H10597" t="s">
        <v>12679</v>
      </c>
    </row>
    <row r="10598" spans="8:8" x14ac:dyDescent="0.25">
      <c r="H10598" t="s">
        <v>12680</v>
      </c>
    </row>
    <row r="10599" spans="8:8" x14ac:dyDescent="0.25">
      <c r="H10599" t="s">
        <v>135</v>
      </c>
    </row>
    <row r="10600" spans="8:8" x14ac:dyDescent="0.25">
      <c r="H10600" t="s">
        <v>18541</v>
      </c>
    </row>
    <row r="10601" spans="8:8" x14ac:dyDescent="0.25">
      <c r="H10601" t="s">
        <v>30</v>
      </c>
    </row>
    <row r="10602" spans="8:8" x14ac:dyDescent="0.25">
      <c r="H10602" t="s">
        <v>136</v>
      </c>
    </row>
    <row r="10603" spans="8:8" x14ac:dyDescent="0.25">
      <c r="H10603" t="s">
        <v>18542</v>
      </c>
    </row>
    <row r="10604" spans="8:8" x14ac:dyDescent="0.25">
      <c r="H10604" t="s">
        <v>30</v>
      </c>
    </row>
    <row r="10605" spans="8:8" x14ac:dyDescent="0.25">
      <c r="H10605" t="s">
        <v>137</v>
      </c>
    </row>
    <row r="10606" spans="8:8" x14ac:dyDescent="0.25">
      <c r="H10606" t="s">
        <v>18543</v>
      </c>
    </row>
    <row r="10607" spans="8:8" x14ac:dyDescent="0.25">
      <c r="H10607" t="s">
        <v>30</v>
      </c>
    </row>
    <row r="10608" spans="8:8" x14ac:dyDescent="0.25">
      <c r="H10608" t="s">
        <v>138</v>
      </c>
    </row>
    <row r="10609" spans="8:8" x14ac:dyDescent="0.25">
      <c r="H10609" t="s">
        <v>18544</v>
      </c>
    </row>
    <row r="10610" spans="8:8" x14ac:dyDescent="0.25">
      <c r="H10610" t="s">
        <v>30</v>
      </c>
    </row>
    <row r="10612" spans="8:8" x14ac:dyDescent="0.25">
      <c r="H10612" t="s">
        <v>12685</v>
      </c>
    </row>
    <row r="10613" spans="8:8" x14ac:dyDescent="0.25">
      <c r="H10613" t="s">
        <v>12686</v>
      </c>
    </row>
    <row r="10614" spans="8:8" x14ac:dyDescent="0.25">
      <c r="H10614" t="s">
        <v>135</v>
      </c>
    </row>
    <row r="10615" spans="8:8" x14ac:dyDescent="0.25">
      <c r="H10615" t="s">
        <v>18545</v>
      </c>
    </row>
    <row r="10616" spans="8:8" x14ac:dyDescent="0.25">
      <c r="H10616" t="s">
        <v>30</v>
      </c>
    </row>
    <row r="10617" spans="8:8" x14ac:dyDescent="0.25">
      <c r="H10617" t="s">
        <v>136</v>
      </c>
    </row>
    <row r="10618" spans="8:8" x14ac:dyDescent="0.25">
      <c r="H10618" t="s">
        <v>18546</v>
      </c>
    </row>
    <row r="10619" spans="8:8" x14ac:dyDescent="0.25">
      <c r="H10619" t="s">
        <v>30</v>
      </c>
    </row>
    <row r="10620" spans="8:8" x14ac:dyDescent="0.25">
      <c r="H10620" t="s">
        <v>137</v>
      </c>
    </row>
    <row r="10621" spans="8:8" x14ac:dyDescent="0.25">
      <c r="H10621" t="s">
        <v>18547</v>
      </c>
    </row>
    <row r="10622" spans="8:8" x14ac:dyDescent="0.25">
      <c r="H10622" t="s">
        <v>30</v>
      </c>
    </row>
    <row r="10623" spans="8:8" x14ac:dyDescent="0.25">
      <c r="H10623" t="s">
        <v>138</v>
      </c>
    </row>
    <row r="10624" spans="8:8" x14ac:dyDescent="0.25">
      <c r="H10624" t="s">
        <v>18548</v>
      </c>
    </row>
    <row r="10625" spans="8:8" x14ac:dyDescent="0.25">
      <c r="H10625" t="s">
        <v>30</v>
      </c>
    </row>
    <row r="10627" spans="8:8" x14ac:dyDescent="0.25">
      <c r="H10627" t="s">
        <v>12691</v>
      </c>
    </row>
    <row r="10628" spans="8:8" x14ac:dyDescent="0.25">
      <c r="H10628" t="s">
        <v>12692</v>
      </c>
    </row>
    <row r="10629" spans="8:8" x14ac:dyDescent="0.25">
      <c r="H10629" t="s">
        <v>135</v>
      </c>
    </row>
    <row r="10630" spans="8:8" x14ac:dyDescent="0.25">
      <c r="H10630" t="s">
        <v>18549</v>
      </c>
    </row>
    <row r="10631" spans="8:8" x14ac:dyDescent="0.25">
      <c r="H10631" t="s">
        <v>30</v>
      </c>
    </row>
    <row r="10632" spans="8:8" x14ac:dyDescent="0.25">
      <c r="H10632" t="s">
        <v>136</v>
      </c>
    </row>
    <row r="10633" spans="8:8" x14ac:dyDescent="0.25">
      <c r="H10633" t="s">
        <v>18550</v>
      </c>
    </row>
    <row r="10634" spans="8:8" x14ac:dyDescent="0.25">
      <c r="H10634" t="s">
        <v>30</v>
      </c>
    </row>
    <row r="10635" spans="8:8" x14ac:dyDescent="0.25">
      <c r="H10635" t="s">
        <v>137</v>
      </c>
    </row>
    <row r="10636" spans="8:8" x14ac:dyDescent="0.25">
      <c r="H10636" t="s">
        <v>18551</v>
      </c>
    </row>
    <row r="10637" spans="8:8" x14ac:dyDescent="0.25">
      <c r="H10637" t="s">
        <v>30</v>
      </c>
    </row>
    <row r="10638" spans="8:8" x14ac:dyDescent="0.25">
      <c r="H10638" t="s">
        <v>138</v>
      </c>
    </row>
    <row r="10639" spans="8:8" x14ac:dyDescent="0.25">
      <c r="H10639" t="s">
        <v>18552</v>
      </c>
    </row>
    <row r="10640" spans="8:8" x14ac:dyDescent="0.25">
      <c r="H10640" t="s">
        <v>30</v>
      </c>
    </row>
    <row r="10642" spans="8:8" x14ac:dyDescent="0.25">
      <c r="H10642" t="s">
        <v>12697</v>
      </c>
    </row>
    <row r="10643" spans="8:8" x14ac:dyDescent="0.25">
      <c r="H10643" t="s">
        <v>12698</v>
      </c>
    </row>
    <row r="10644" spans="8:8" x14ac:dyDescent="0.25">
      <c r="H10644" t="s">
        <v>135</v>
      </c>
    </row>
    <row r="10645" spans="8:8" x14ac:dyDescent="0.25">
      <c r="H10645" t="s">
        <v>18553</v>
      </c>
    </row>
    <row r="10646" spans="8:8" x14ac:dyDescent="0.25">
      <c r="H10646" t="s">
        <v>30</v>
      </c>
    </row>
    <row r="10647" spans="8:8" x14ac:dyDescent="0.25">
      <c r="H10647" t="s">
        <v>136</v>
      </c>
    </row>
    <row r="10648" spans="8:8" x14ac:dyDescent="0.25">
      <c r="H10648" t="s">
        <v>18554</v>
      </c>
    </row>
    <row r="10649" spans="8:8" x14ac:dyDescent="0.25">
      <c r="H10649" t="s">
        <v>30</v>
      </c>
    </row>
    <row r="10650" spans="8:8" x14ac:dyDescent="0.25">
      <c r="H10650" t="s">
        <v>137</v>
      </c>
    </row>
    <row r="10651" spans="8:8" x14ac:dyDescent="0.25">
      <c r="H10651" t="s">
        <v>18555</v>
      </c>
    </row>
    <row r="10652" spans="8:8" x14ac:dyDescent="0.25">
      <c r="H10652" t="s">
        <v>30</v>
      </c>
    </row>
    <row r="10653" spans="8:8" x14ac:dyDescent="0.25">
      <c r="H10653" t="s">
        <v>138</v>
      </c>
    </row>
    <row r="10654" spans="8:8" x14ac:dyDescent="0.25">
      <c r="H10654" t="s">
        <v>18556</v>
      </c>
    </row>
    <row r="10655" spans="8:8" x14ac:dyDescent="0.25">
      <c r="H10655" t="s">
        <v>30</v>
      </c>
    </row>
    <row r="10657" spans="8:8" x14ac:dyDescent="0.25">
      <c r="H10657" t="s">
        <v>12703</v>
      </c>
    </row>
    <row r="10658" spans="8:8" x14ac:dyDescent="0.25">
      <c r="H10658" t="s">
        <v>12704</v>
      </c>
    </row>
    <row r="10659" spans="8:8" x14ac:dyDescent="0.25">
      <c r="H10659" t="s">
        <v>135</v>
      </c>
    </row>
    <row r="10660" spans="8:8" x14ac:dyDescent="0.25">
      <c r="H10660" t="s">
        <v>18557</v>
      </c>
    </row>
    <row r="10661" spans="8:8" x14ac:dyDescent="0.25">
      <c r="H10661" t="s">
        <v>30</v>
      </c>
    </row>
    <row r="10662" spans="8:8" x14ac:dyDescent="0.25">
      <c r="H10662" t="s">
        <v>136</v>
      </c>
    </row>
    <row r="10663" spans="8:8" x14ac:dyDescent="0.25">
      <c r="H10663" t="s">
        <v>18558</v>
      </c>
    </row>
    <row r="10664" spans="8:8" x14ac:dyDescent="0.25">
      <c r="H10664" t="s">
        <v>30</v>
      </c>
    </row>
    <row r="10665" spans="8:8" x14ac:dyDescent="0.25">
      <c r="H10665" t="s">
        <v>137</v>
      </c>
    </row>
    <row r="10666" spans="8:8" x14ac:dyDescent="0.25">
      <c r="H10666" t="s">
        <v>18559</v>
      </c>
    </row>
    <row r="10667" spans="8:8" x14ac:dyDescent="0.25">
      <c r="H10667" t="s">
        <v>30</v>
      </c>
    </row>
    <row r="10668" spans="8:8" x14ac:dyDescent="0.25">
      <c r="H10668" t="s">
        <v>138</v>
      </c>
    </row>
    <row r="10669" spans="8:8" x14ac:dyDescent="0.25">
      <c r="H10669" t="s">
        <v>18560</v>
      </c>
    </row>
    <row r="10670" spans="8:8" x14ac:dyDescent="0.25">
      <c r="H10670" t="s">
        <v>30</v>
      </c>
    </row>
    <row r="10672" spans="8:8" x14ac:dyDescent="0.25">
      <c r="H10672" t="s">
        <v>12709</v>
      </c>
    </row>
    <row r="10673" spans="8:8" x14ac:dyDescent="0.25">
      <c r="H10673" t="s">
        <v>12710</v>
      </c>
    </row>
    <row r="10674" spans="8:8" x14ac:dyDescent="0.25">
      <c r="H10674" t="s">
        <v>135</v>
      </c>
    </row>
    <row r="10675" spans="8:8" x14ac:dyDescent="0.25">
      <c r="H10675" t="s">
        <v>18561</v>
      </c>
    </row>
    <row r="10676" spans="8:8" x14ac:dyDescent="0.25">
      <c r="H10676" t="s">
        <v>30</v>
      </c>
    </row>
    <row r="10677" spans="8:8" x14ac:dyDescent="0.25">
      <c r="H10677" t="s">
        <v>136</v>
      </c>
    </row>
    <row r="10678" spans="8:8" x14ac:dyDescent="0.25">
      <c r="H10678" t="s">
        <v>18562</v>
      </c>
    </row>
    <row r="10679" spans="8:8" x14ac:dyDescent="0.25">
      <c r="H10679" t="s">
        <v>30</v>
      </c>
    </row>
    <row r="10680" spans="8:8" x14ac:dyDescent="0.25">
      <c r="H10680" t="s">
        <v>137</v>
      </c>
    </row>
    <row r="10681" spans="8:8" x14ac:dyDescent="0.25">
      <c r="H10681" t="s">
        <v>18563</v>
      </c>
    </row>
    <row r="10682" spans="8:8" x14ac:dyDescent="0.25">
      <c r="H10682" t="s">
        <v>30</v>
      </c>
    </row>
    <row r="10683" spans="8:8" x14ac:dyDescent="0.25">
      <c r="H10683" t="s">
        <v>138</v>
      </c>
    </row>
    <row r="10684" spans="8:8" x14ac:dyDescent="0.25">
      <c r="H10684" t="s">
        <v>18564</v>
      </c>
    </row>
    <row r="10685" spans="8:8" x14ac:dyDescent="0.25">
      <c r="H10685" t="s">
        <v>30</v>
      </c>
    </row>
    <row r="10687" spans="8:8" x14ac:dyDescent="0.25">
      <c r="H10687" t="s">
        <v>12715</v>
      </c>
    </row>
    <row r="10688" spans="8:8" x14ac:dyDescent="0.25">
      <c r="H10688" t="s">
        <v>12716</v>
      </c>
    </row>
    <row r="10689" spans="8:8" x14ac:dyDescent="0.25">
      <c r="H10689" t="s">
        <v>135</v>
      </c>
    </row>
    <row r="10690" spans="8:8" x14ac:dyDescent="0.25">
      <c r="H10690" t="s">
        <v>18565</v>
      </c>
    </row>
    <row r="10691" spans="8:8" x14ac:dyDescent="0.25">
      <c r="H10691" t="s">
        <v>30</v>
      </c>
    </row>
    <row r="10692" spans="8:8" x14ac:dyDescent="0.25">
      <c r="H10692" t="s">
        <v>136</v>
      </c>
    </row>
    <row r="10693" spans="8:8" x14ac:dyDescent="0.25">
      <c r="H10693" t="s">
        <v>18566</v>
      </c>
    </row>
    <row r="10694" spans="8:8" x14ac:dyDescent="0.25">
      <c r="H10694" t="s">
        <v>30</v>
      </c>
    </row>
    <row r="10695" spans="8:8" x14ac:dyDescent="0.25">
      <c r="H10695" t="s">
        <v>137</v>
      </c>
    </row>
    <row r="10696" spans="8:8" x14ac:dyDescent="0.25">
      <c r="H10696" t="s">
        <v>18567</v>
      </c>
    </row>
    <row r="10697" spans="8:8" x14ac:dyDescent="0.25">
      <c r="H10697" t="s">
        <v>30</v>
      </c>
    </row>
    <row r="10698" spans="8:8" x14ac:dyDescent="0.25">
      <c r="H10698" t="s">
        <v>138</v>
      </c>
    </row>
    <row r="10699" spans="8:8" x14ac:dyDescent="0.25">
      <c r="H10699" t="s">
        <v>18568</v>
      </c>
    </row>
    <row r="10700" spans="8:8" x14ac:dyDescent="0.25">
      <c r="H10700" t="s">
        <v>30</v>
      </c>
    </row>
    <row r="10702" spans="8:8" x14ac:dyDescent="0.25">
      <c r="H10702" t="s">
        <v>12721</v>
      </c>
    </row>
    <row r="10703" spans="8:8" x14ac:dyDescent="0.25">
      <c r="H10703" t="s">
        <v>12722</v>
      </c>
    </row>
    <row r="10704" spans="8:8" x14ac:dyDescent="0.25">
      <c r="H10704" t="s">
        <v>135</v>
      </c>
    </row>
    <row r="10705" spans="8:8" x14ac:dyDescent="0.25">
      <c r="H10705" t="s">
        <v>18569</v>
      </c>
    </row>
    <row r="10706" spans="8:8" x14ac:dyDescent="0.25">
      <c r="H10706" t="s">
        <v>30</v>
      </c>
    </row>
    <row r="10707" spans="8:8" x14ac:dyDescent="0.25">
      <c r="H10707" t="s">
        <v>136</v>
      </c>
    </row>
    <row r="10708" spans="8:8" x14ac:dyDescent="0.25">
      <c r="H10708" t="s">
        <v>18570</v>
      </c>
    </row>
    <row r="10709" spans="8:8" x14ac:dyDescent="0.25">
      <c r="H10709" t="s">
        <v>30</v>
      </c>
    </row>
    <row r="10710" spans="8:8" x14ac:dyDescent="0.25">
      <c r="H10710" t="s">
        <v>137</v>
      </c>
    </row>
    <row r="10711" spans="8:8" x14ac:dyDescent="0.25">
      <c r="H10711" t="s">
        <v>18571</v>
      </c>
    </row>
    <row r="10712" spans="8:8" x14ac:dyDescent="0.25">
      <c r="H10712" t="s">
        <v>30</v>
      </c>
    </row>
    <row r="10713" spans="8:8" x14ac:dyDescent="0.25">
      <c r="H10713" t="s">
        <v>138</v>
      </c>
    </row>
    <row r="10714" spans="8:8" x14ac:dyDescent="0.25">
      <c r="H10714" t="s">
        <v>18572</v>
      </c>
    </row>
    <row r="10715" spans="8:8" x14ac:dyDescent="0.25">
      <c r="H10715" t="s">
        <v>30</v>
      </c>
    </row>
    <row r="10717" spans="8:8" x14ac:dyDescent="0.25">
      <c r="H10717" t="s">
        <v>12727</v>
      </c>
    </row>
    <row r="10718" spans="8:8" x14ac:dyDescent="0.25">
      <c r="H10718" t="s">
        <v>12728</v>
      </c>
    </row>
    <row r="10719" spans="8:8" x14ac:dyDescent="0.25">
      <c r="H10719" t="s">
        <v>135</v>
      </c>
    </row>
    <row r="10720" spans="8:8" x14ac:dyDescent="0.25">
      <c r="H10720" t="s">
        <v>18573</v>
      </c>
    </row>
    <row r="10721" spans="8:8" x14ac:dyDescent="0.25">
      <c r="H10721" t="s">
        <v>30</v>
      </c>
    </row>
    <row r="10722" spans="8:8" x14ac:dyDescent="0.25">
      <c r="H10722" t="s">
        <v>136</v>
      </c>
    </row>
    <row r="10723" spans="8:8" x14ac:dyDescent="0.25">
      <c r="H10723" t="s">
        <v>18574</v>
      </c>
    </row>
    <row r="10724" spans="8:8" x14ac:dyDescent="0.25">
      <c r="H10724" t="s">
        <v>30</v>
      </c>
    </row>
    <row r="10725" spans="8:8" x14ac:dyDescent="0.25">
      <c r="H10725" t="s">
        <v>137</v>
      </c>
    </row>
    <row r="10726" spans="8:8" x14ac:dyDescent="0.25">
      <c r="H10726" t="s">
        <v>18575</v>
      </c>
    </row>
    <row r="10727" spans="8:8" x14ac:dyDescent="0.25">
      <c r="H10727" t="s">
        <v>30</v>
      </c>
    </row>
    <row r="10728" spans="8:8" x14ac:dyDescent="0.25">
      <c r="H10728" t="s">
        <v>138</v>
      </c>
    </row>
    <row r="10729" spans="8:8" x14ac:dyDescent="0.25">
      <c r="H10729" t="s">
        <v>18576</v>
      </c>
    </row>
    <row r="10730" spans="8:8" x14ac:dyDescent="0.25">
      <c r="H10730" t="s">
        <v>30</v>
      </c>
    </row>
    <row r="10732" spans="8:8" x14ac:dyDescent="0.25">
      <c r="H10732" t="s">
        <v>12733</v>
      </c>
    </row>
    <row r="10733" spans="8:8" x14ac:dyDescent="0.25">
      <c r="H10733" t="s">
        <v>12734</v>
      </c>
    </row>
    <row r="10734" spans="8:8" x14ac:dyDescent="0.25">
      <c r="H10734" t="s">
        <v>135</v>
      </c>
    </row>
    <row r="10735" spans="8:8" x14ac:dyDescent="0.25">
      <c r="H10735" t="s">
        <v>18577</v>
      </c>
    </row>
    <row r="10736" spans="8:8" x14ac:dyDescent="0.25">
      <c r="H10736" t="s">
        <v>30</v>
      </c>
    </row>
    <row r="10737" spans="8:8" x14ac:dyDescent="0.25">
      <c r="H10737" t="s">
        <v>136</v>
      </c>
    </row>
    <row r="10738" spans="8:8" x14ac:dyDescent="0.25">
      <c r="H10738" t="s">
        <v>18578</v>
      </c>
    </row>
    <row r="10739" spans="8:8" x14ac:dyDescent="0.25">
      <c r="H10739" t="s">
        <v>30</v>
      </c>
    </row>
    <row r="10740" spans="8:8" x14ac:dyDescent="0.25">
      <c r="H10740" t="s">
        <v>137</v>
      </c>
    </row>
    <row r="10741" spans="8:8" x14ac:dyDescent="0.25">
      <c r="H10741" t="s">
        <v>18579</v>
      </c>
    </row>
    <row r="10742" spans="8:8" x14ac:dyDescent="0.25">
      <c r="H10742" t="s">
        <v>30</v>
      </c>
    </row>
    <row r="10743" spans="8:8" x14ac:dyDescent="0.25">
      <c r="H10743" t="s">
        <v>138</v>
      </c>
    </row>
    <row r="10744" spans="8:8" x14ac:dyDescent="0.25">
      <c r="H10744" t="s">
        <v>18580</v>
      </c>
    </row>
    <row r="10745" spans="8:8" x14ac:dyDescent="0.25">
      <c r="H10745" t="s">
        <v>30</v>
      </c>
    </row>
    <row r="10747" spans="8:8" x14ac:dyDescent="0.25">
      <c r="H10747" t="s">
        <v>12739</v>
      </c>
    </row>
    <row r="10748" spans="8:8" x14ac:dyDescent="0.25">
      <c r="H10748" t="s">
        <v>12740</v>
      </c>
    </row>
    <row r="10749" spans="8:8" x14ac:dyDescent="0.25">
      <c r="H10749" t="s">
        <v>135</v>
      </c>
    </row>
    <row r="10750" spans="8:8" x14ac:dyDescent="0.25">
      <c r="H10750" t="s">
        <v>18581</v>
      </c>
    </row>
    <row r="10751" spans="8:8" x14ac:dyDescent="0.25">
      <c r="H10751" t="s">
        <v>30</v>
      </c>
    </row>
    <row r="10752" spans="8:8" x14ac:dyDescent="0.25">
      <c r="H10752" t="s">
        <v>136</v>
      </c>
    </row>
    <row r="10753" spans="8:8" x14ac:dyDescent="0.25">
      <c r="H10753" t="s">
        <v>18582</v>
      </c>
    </row>
    <row r="10754" spans="8:8" x14ac:dyDescent="0.25">
      <c r="H10754" t="s">
        <v>30</v>
      </c>
    </row>
    <row r="10755" spans="8:8" x14ac:dyDescent="0.25">
      <c r="H10755" t="s">
        <v>137</v>
      </c>
    </row>
    <row r="10756" spans="8:8" x14ac:dyDescent="0.25">
      <c r="H10756" t="s">
        <v>18583</v>
      </c>
    </row>
    <row r="10757" spans="8:8" x14ac:dyDescent="0.25">
      <c r="H10757" t="s">
        <v>30</v>
      </c>
    </row>
    <row r="10758" spans="8:8" x14ac:dyDescent="0.25">
      <c r="H10758" t="s">
        <v>138</v>
      </c>
    </row>
    <row r="10759" spans="8:8" x14ac:dyDescent="0.25">
      <c r="H10759" t="s">
        <v>18584</v>
      </c>
    </row>
    <row r="10760" spans="8:8" x14ac:dyDescent="0.25">
      <c r="H10760" t="s">
        <v>30</v>
      </c>
    </row>
    <row r="10762" spans="8:8" x14ac:dyDescent="0.25">
      <c r="H10762" t="s">
        <v>12745</v>
      </c>
    </row>
    <row r="10763" spans="8:8" x14ac:dyDescent="0.25">
      <c r="H10763" t="s">
        <v>12746</v>
      </c>
    </row>
    <row r="10764" spans="8:8" x14ac:dyDescent="0.25">
      <c r="H10764" t="s">
        <v>135</v>
      </c>
    </row>
    <row r="10765" spans="8:8" x14ac:dyDescent="0.25">
      <c r="H10765" t="s">
        <v>18585</v>
      </c>
    </row>
    <row r="10766" spans="8:8" x14ac:dyDescent="0.25">
      <c r="H10766" t="s">
        <v>30</v>
      </c>
    </row>
    <row r="10767" spans="8:8" x14ac:dyDescent="0.25">
      <c r="H10767" t="s">
        <v>136</v>
      </c>
    </row>
    <row r="10768" spans="8:8" x14ac:dyDescent="0.25">
      <c r="H10768" t="s">
        <v>18586</v>
      </c>
    </row>
    <row r="10769" spans="8:8" x14ac:dyDescent="0.25">
      <c r="H10769" t="s">
        <v>30</v>
      </c>
    </row>
    <row r="10770" spans="8:8" x14ac:dyDescent="0.25">
      <c r="H10770" t="s">
        <v>137</v>
      </c>
    </row>
    <row r="10771" spans="8:8" x14ac:dyDescent="0.25">
      <c r="H10771" t="s">
        <v>18587</v>
      </c>
    </row>
    <row r="10772" spans="8:8" x14ac:dyDescent="0.25">
      <c r="H10772" t="s">
        <v>30</v>
      </c>
    </row>
    <row r="10773" spans="8:8" x14ac:dyDescent="0.25">
      <c r="H10773" t="s">
        <v>138</v>
      </c>
    </row>
    <row r="10774" spans="8:8" x14ac:dyDescent="0.25">
      <c r="H10774" t="s">
        <v>18588</v>
      </c>
    </row>
    <row r="10775" spans="8:8" x14ac:dyDescent="0.25">
      <c r="H10775" t="s">
        <v>30</v>
      </c>
    </row>
    <row r="10777" spans="8:8" x14ac:dyDescent="0.25">
      <c r="H10777" t="s">
        <v>12751</v>
      </c>
    </row>
    <row r="10778" spans="8:8" x14ac:dyDescent="0.25">
      <c r="H10778" t="s">
        <v>12752</v>
      </c>
    </row>
    <row r="10779" spans="8:8" x14ac:dyDescent="0.25">
      <c r="H10779" t="s">
        <v>135</v>
      </c>
    </row>
    <row r="10780" spans="8:8" x14ac:dyDescent="0.25">
      <c r="H10780" t="s">
        <v>18589</v>
      </c>
    </row>
    <row r="10781" spans="8:8" x14ac:dyDescent="0.25">
      <c r="H10781" t="s">
        <v>30</v>
      </c>
    </row>
    <row r="10782" spans="8:8" x14ac:dyDescent="0.25">
      <c r="H10782" t="s">
        <v>136</v>
      </c>
    </row>
    <row r="10783" spans="8:8" x14ac:dyDescent="0.25">
      <c r="H10783" t="s">
        <v>18590</v>
      </c>
    </row>
    <row r="10784" spans="8:8" x14ac:dyDescent="0.25">
      <c r="H10784" t="s">
        <v>30</v>
      </c>
    </row>
    <row r="10785" spans="8:8" x14ac:dyDescent="0.25">
      <c r="H10785" t="s">
        <v>137</v>
      </c>
    </row>
    <row r="10786" spans="8:8" x14ac:dyDescent="0.25">
      <c r="H10786" t="s">
        <v>18591</v>
      </c>
    </row>
    <row r="10787" spans="8:8" x14ac:dyDescent="0.25">
      <c r="H10787" t="s">
        <v>30</v>
      </c>
    </row>
    <row r="10788" spans="8:8" x14ac:dyDescent="0.25">
      <c r="H10788" t="s">
        <v>138</v>
      </c>
    </row>
    <row r="10789" spans="8:8" x14ac:dyDescent="0.25">
      <c r="H10789" t="s">
        <v>18592</v>
      </c>
    </row>
    <row r="10790" spans="8:8" x14ac:dyDescent="0.25">
      <c r="H10790" t="s">
        <v>30</v>
      </c>
    </row>
    <row r="10792" spans="8:8" x14ac:dyDescent="0.25">
      <c r="H10792" t="s">
        <v>12757</v>
      </c>
    </row>
    <row r="10793" spans="8:8" x14ac:dyDescent="0.25">
      <c r="H10793" t="s">
        <v>12758</v>
      </c>
    </row>
    <row r="10794" spans="8:8" x14ac:dyDescent="0.25">
      <c r="H10794" t="s">
        <v>135</v>
      </c>
    </row>
    <row r="10795" spans="8:8" x14ac:dyDescent="0.25">
      <c r="H10795" t="s">
        <v>18593</v>
      </c>
    </row>
    <row r="10796" spans="8:8" x14ac:dyDescent="0.25">
      <c r="H10796" t="s">
        <v>30</v>
      </c>
    </row>
    <row r="10797" spans="8:8" x14ac:dyDescent="0.25">
      <c r="H10797" t="s">
        <v>136</v>
      </c>
    </row>
    <row r="10798" spans="8:8" x14ac:dyDescent="0.25">
      <c r="H10798" t="s">
        <v>18594</v>
      </c>
    </row>
    <row r="10799" spans="8:8" x14ac:dyDescent="0.25">
      <c r="H10799" t="s">
        <v>30</v>
      </c>
    </row>
    <row r="10800" spans="8:8" x14ac:dyDescent="0.25">
      <c r="H10800" t="s">
        <v>137</v>
      </c>
    </row>
    <row r="10801" spans="8:8" x14ac:dyDescent="0.25">
      <c r="H10801" t="s">
        <v>18595</v>
      </c>
    </row>
    <row r="10802" spans="8:8" x14ac:dyDescent="0.25">
      <c r="H10802" t="s">
        <v>30</v>
      </c>
    </row>
    <row r="10803" spans="8:8" x14ac:dyDescent="0.25">
      <c r="H10803" t="s">
        <v>138</v>
      </c>
    </row>
    <row r="10804" spans="8:8" x14ac:dyDescent="0.25">
      <c r="H10804" t="s">
        <v>18596</v>
      </c>
    </row>
    <row r="10805" spans="8:8" x14ac:dyDescent="0.25">
      <c r="H10805" t="s">
        <v>30</v>
      </c>
    </row>
    <row r="10807" spans="8:8" x14ac:dyDescent="0.25">
      <c r="H10807" t="s">
        <v>12763</v>
      </c>
    </row>
    <row r="10808" spans="8:8" x14ac:dyDescent="0.25">
      <c r="H10808" t="s">
        <v>12764</v>
      </c>
    </row>
    <row r="10809" spans="8:8" x14ac:dyDescent="0.25">
      <c r="H10809" t="s">
        <v>135</v>
      </c>
    </row>
    <row r="10810" spans="8:8" x14ac:dyDescent="0.25">
      <c r="H10810" t="s">
        <v>18597</v>
      </c>
    </row>
    <row r="10811" spans="8:8" x14ac:dyDescent="0.25">
      <c r="H10811" t="s">
        <v>30</v>
      </c>
    </row>
    <row r="10812" spans="8:8" x14ac:dyDescent="0.25">
      <c r="H10812" t="s">
        <v>136</v>
      </c>
    </row>
    <row r="10813" spans="8:8" x14ac:dyDescent="0.25">
      <c r="H10813" t="s">
        <v>18598</v>
      </c>
    </row>
    <row r="10814" spans="8:8" x14ac:dyDescent="0.25">
      <c r="H10814" t="s">
        <v>30</v>
      </c>
    </row>
    <row r="10815" spans="8:8" x14ac:dyDescent="0.25">
      <c r="H10815" t="s">
        <v>137</v>
      </c>
    </row>
    <row r="10816" spans="8:8" x14ac:dyDescent="0.25">
      <c r="H10816" t="s">
        <v>18599</v>
      </c>
    </row>
    <row r="10817" spans="8:8" x14ac:dyDescent="0.25">
      <c r="H10817" t="s">
        <v>30</v>
      </c>
    </row>
    <row r="10818" spans="8:8" x14ac:dyDescent="0.25">
      <c r="H10818" t="s">
        <v>138</v>
      </c>
    </row>
    <row r="10819" spans="8:8" x14ac:dyDescent="0.25">
      <c r="H10819" t="s">
        <v>18600</v>
      </c>
    </row>
    <row r="10820" spans="8:8" x14ac:dyDescent="0.25">
      <c r="H10820" t="s">
        <v>30</v>
      </c>
    </row>
    <row r="10822" spans="8:8" x14ac:dyDescent="0.25">
      <c r="H10822" t="s">
        <v>12769</v>
      </c>
    </row>
    <row r="10823" spans="8:8" x14ac:dyDescent="0.25">
      <c r="H10823" t="s">
        <v>12770</v>
      </c>
    </row>
    <row r="10824" spans="8:8" x14ac:dyDescent="0.25">
      <c r="H10824" t="s">
        <v>135</v>
      </c>
    </row>
    <row r="10825" spans="8:8" x14ac:dyDescent="0.25">
      <c r="H10825" t="s">
        <v>18601</v>
      </c>
    </row>
    <row r="10826" spans="8:8" x14ac:dyDescent="0.25">
      <c r="H10826" t="s">
        <v>30</v>
      </c>
    </row>
    <row r="10827" spans="8:8" x14ac:dyDescent="0.25">
      <c r="H10827" t="s">
        <v>136</v>
      </c>
    </row>
    <row r="10828" spans="8:8" x14ac:dyDescent="0.25">
      <c r="H10828" t="s">
        <v>18602</v>
      </c>
    </row>
    <row r="10829" spans="8:8" x14ac:dyDescent="0.25">
      <c r="H10829" t="s">
        <v>30</v>
      </c>
    </row>
    <row r="10830" spans="8:8" x14ac:dyDescent="0.25">
      <c r="H10830" t="s">
        <v>137</v>
      </c>
    </row>
    <row r="10831" spans="8:8" x14ac:dyDescent="0.25">
      <c r="H10831" t="s">
        <v>18603</v>
      </c>
    </row>
    <row r="10832" spans="8:8" x14ac:dyDescent="0.25">
      <c r="H10832" t="s">
        <v>30</v>
      </c>
    </row>
    <row r="10833" spans="8:8" x14ac:dyDescent="0.25">
      <c r="H10833" t="s">
        <v>138</v>
      </c>
    </row>
    <row r="10834" spans="8:8" x14ac:dyDescent="0.25">
      <c r="H10834" t="s">
        <v>18604</v>
      </c>
    </row>
    <row r="10835" spans="8:8" x14ac:dyDescent="0.25">
      <c r="H10835" t="s">
        <v>30</v>
      </c>
    </row>
    <row r="10837" spans="8:8" x14ac:dyDescent="0.25">
      <c r="H10837" t="s">
        <v>12775</v>
      </c>
    </row>
    <row r="10838" spans="8:8" x14ac:dyDescent="0.25">
      <c r="H10838" t="s">
        <v>12776</v>
      </c>
    </row>
    <row r="10839" spans="8:8" x14ac:dyDescent="0.25">
      <c r="H10839" t="s">
        <v>135</v>
      </c>
    </row>
    <row r="10840" spans="8:8" x14ac:dyDescent="0.25">
      <c r="H10840" t="s">
        <v>18605</v>
      </c>
    </row>
    <row r="10841" spans="8:8" x14ac:dyDescent="0.25">
      <c r="H10841" t="s">
        <v>30</v>
      </c>
    </row>
    <row r="10842" spans="8:8" x14ac:dyDescent="0.25">
      <c r="H10842" t="s">
        <v>136</v>
      </c>
    </row>
    <row r="10843" spans="8:8" x14ac:dyDescent="0.25">
      <c r="H10843" t="s">
        <v>18606</v>
      </c>
    </row>
    <row r="10844" spans="8:8" x14ac:dyDescent="0.25">
      <c r="H10844" t="s">
        <v>30</v>
      </c>
    </row>
    <row r="10845" spans="8:8" x14ac:dyDescent="0.25">
      <c r="H10845" t="s">
        <v>137</v>
      </c>
    </row>
    <row r="10846" spans="8:8" x14ac:dyDescent="0.25">
      <c r="H10846" t="s">
        <v>18607</v>
      </c>
    </row>
    <row r="10847" spans="8:8" x14ac:dyDescent="0.25">
      <c r="H10847" t="s">
        <v>30</v>
      </c>
    </row>
    <row r="10848" spans="8:8" x14ac:dyDescent="0.25">
      <c r="H10848" t="s">
        <v>138</v>
      </c>
    </row>
    <row r="10849" spans="8:8" x14ac:dyDescent="0.25">
      <c r="H10849" t="s">
        <v>18608</v>
      </c>
    </row>
    <row r="10850" spans="8:8" x14ac:dyDescent="0.25">
      <c r="H10850" t="s">
        <v>30</v>
      </c>
    </row>
    <row r="10852" spans="8:8" x14ac:dyDescent="0.25">
      <c r="H10852" t="s">
        <v>12781</v>
      </c>
    </row>
    <row r="10853" spans="8:8" x14ac:dyDescent="0.25">
      <c r="H10853" t="s">
        <v>12782</v>
      </c>
    </row>
    <row r="10854" spans="8:8" x14ac:dyDescent="0.25">
      <c r="H10854" t="s">
        <v>135</v>
      </c>
    </row>
    <row r="10855" spans="8:8" x14ac:dyDescent="0.25">
      <c r="H10855" t="s">
        <v>18609</v>
      </c>
    </row>
    <row r="10856" spans="8:8" x14ac:dyDescent="0.25">
      <c r="H10856" t="s">
        <v>30</v>
      </c>
    </row>
    <row r="10857" spans="8:8" x14ac:dyDescent="0.25">
      <c r="H10857" t="s">
        <v>136</v>
      </c>
    </row>
    <row r="10858" spans="8:8" x14ac:dyDescent="0.25">
      <c r="H10858" t="s">
        <v>18610</v>
      </c>
    </row>
    <row r="10859" spans="8:8" x14ac:dyDescent="0.25">
      <c r="H10859" t="s">
        <v>30</v>
      </c>
    </row>
    <row r="10860" spans="8:8" x14ac:dyDescent="0.25">
      <c r="H10860" t="s">
        <v>137</v>
      </c>
    </row>
    <row r="10861" spans="8:8" x14ac:dyDescent="0.25">
      <c r="H10861" t="s">
        <v>18611</v>
      </c>
    </row>
    <row r="10862" spans="8:8" x14ac:dyDescent="0.25">
      <c r="H10862" t="s">
        <v>30</v>
      </c>
    </row>
    <row r="10863" spans="8:8" x14ac:dyDescent="0.25">
      <c r="H10863" t="s">
        <v>138</v>
      </c>
    </row>
    <row r="10864" spans="8:8" x14ac:dyDescent="0.25">
      <c r="H10864" t="s">
        <v>18612</v>
      </c>
    </row>
    <row r="10865" spans="8:8" x14ac:dyDescent="0.25">
      <c r="H10865" t="s">
        <v>30</v>
      </c>
    </row>
    <row r="10867" spans="8:8" x14ac:dyDescent="0.25">
      <c r="H10867" t="s">
        <v>12787</v>
      </c>
    </row>
    <row r="10868" spans="8:8" x14ac:dyDescent="0.25">
      <c r="H10868" t="s">
        <v>12788</v>
      </c>
    </row>
    <row r="10869" spans="8:8" x14ac:dyDescent="0.25">
      <c r="H10869" t="s">
        <v>135</v>
      </c>
    </row>
    <row r="10870" spans="8:8" x14ac:dyDescent="0.25">
      <c r="H10870" t="s">
        <v>18613</v>
      </c>
    </row>
    <row r="10871" spans="8:8" x14ac:dyDescent="0.25">
      <c r="H10871" t="s">
        <v>30</v>
      </c>
    </row>
    <row r="10872" spans="8:8" x14ac:dyDescent="0.25">
      <c r="H10872" t="s">
        <v>136</v>
      </c>
    </row>
    <row r="10873" spans="8:8" x14ac:dyDescent="0.25">
      <c r="H10873" t="s">
        <v>18614</v>
      </c>
    </row>
    <row r="10874" spans="8:8" x14ac:dyDescent="0.25">
      <c r="H10874" t="s">
        <v>30</v>
      </c>
    </row>
    <row r="10875" spans="8:8" x14ac:dyDescent="0.25">
      <c r="H10875" t="s">
        <v>137</v>
      </c>
    </row>
    <row r="10876" spans="8:8" x14ac:dyDescent="0.25">
      <c r="H10876" t="s">
        <v>18615</v>
      </c>
    </row>
    <row r="10877" spans="8:8" x14ac:dyDescent="0.25">
      <c r="H10877" t="s">
        <v>30</v>
      </c>
    </row>
    <row r="10878" spans="8:8" x14ac:dyDescent="0.25">
      <c r="H10878" t="s">
        <v>138</v>
      </c>
    </row>
    <row r="10879" spans="8:8" x14ac:dyDescent="0.25">
      <c r="H10879" t="s">
        <v>18616</v>
      </c>
    </row>
    <row r="10880" spans="8:8" x14ac:dyDescent="0.25">
      <c r="H10880" t="s">
        <v>30</v>
      </c>
    </row>
    <row r="10882" spans="8:8" x14ac:dyDescent="0.25">
      <c r="H10882" t="s">
        <v>12793</v>
      </c>
    </row>
    <row r="10883" spans="8:8" x14ac:dyDescent="0.25">
      <c r="H10883" t="s">
        <v>12794</v>
      </c>
    </row>
    <row r="10884" spans="8:8" x14ac:dyDescent="0.25">
      <c r="H10884" t="s">
        <v>135</v>
      </c>
    </row>
    <row r="10885" spans="8:8" x14ac:dyDescent="0.25">
      <c r="H10885" t="s">
        <v>18617</v>
      </c>
    </row>
    <row r="10886" spans="8:8" x14ac:dyDescent="0.25">
      <c r="H10886" t="s">
        <v>30</v>
      </c>
    </row>
    <row r="10887" spans="8:8" x14ac:dyDescent="0.25">
      <c r="H10887" t="s">
        <v>136</v>
      </c>
    </row>
    <row r="10888" spans="8:8" x14ac:dyDescent="0.25">
      <c r="H10888" t="s">
        <v>18618</v>
      </c>
    </row>
    <row r="10889" spans="8:8" x14ac:dyDescent="0.25">
      <c r="H10889" t="s">
        <v>30</v>
      </c>
    </row>
    <row r="10890" spans="8:8" x14ac:dyDescent="0.25">
      <c r="H10890" t="s">
        <v>137</v>
      </c>
    </row>
    <row r="10891" spans="8:8" x14ac:dyDescent="0.25">
      <c r="H10891" t="s">
        <v>18619</v>
      </c>
    </row>
    <row r="10892" spans="8:8" x14ac:dyDescent="0.25">
      <c r="H10892" t="s">
        <v>30</v>
      </c>
    </row>
    <row r="10893" spans="8:8" x14ac:dyDescent="0.25">
      <c r="H10893" t="s">
        <v>138</v>
      </c>
    </row>
    <row r="10894" spans="8:8" x14ac:dyDescent="0.25">
      <c r="H10894" t="s">
        <v>18620</v>
      </c>
    </row>
    <row r="10895" spans="8:8" x14ac:dyDescent="0.25">
      <c r="H10895" t="s">
        <v>30</v>
      </c>
    </row>
    <row r="10897" spans="8:8" x14ac:dyDescent="0.25">
      <c r="H10897" t="s">
        <v>12799</v>
      </c>
    </row>
    <row r="10898" spans="8:8" x14ac:dyDescent="0.25">
      <c r="H10898" t="s">
        <v>12800</v>
      </c>
    </row>
    <row r="10899" spans="8:8" x14ac:dyDescent="0.25">
      <c r="H10899" t="s">
        <v>135</v>
      </c>
    </row>
    <row r="10900" spans="8:8" x14ac:dyDescent="0.25">
      <c r="H10900" t="s">
        <v>18621</v>
      </c>
    </row>
    <row r="10901" spans="8:8" x14ac:dyDescent="0.25">
      <c r="H10901" t="s">
        <v>30</v>
      </c>
    </row>
    <row r="10902" spans="8:8" x14ac:dyDescent="0.25">
      <c r="H10902" t="s">
        <v>136</v>
      </c>
    </row>
    <row r="10903" spans="8:8" x14ac:dyDescent="0.25">
      <c r="H10903" t="s">
        <v>18622</v>
      </c>
    </row>
    <row r="10904" spans="8:8" x14ac:dyDescent="0.25">
      <c r="H10904" t="s">
        <v>30</v>
      </c>
    </row>
    <row r="10905" spans="8:8" x14ac:dyDescent="0.25">
      <c r="H10905" t="s">
        <v>137</v>
      </c>
    </row>
    <row r="10906" spans="8:8" x14ac:dyDescent="0.25">
      <c r="H10906" t="s">
        <v>18623</v>
      </c>
    </row>
    <row r="10907" spans="8:8" x14ac:dyDescent="0.25">
      <c r="H10907" t="s">
        <v>30</v>
      </c>
    </row>
    <row r="10908" spans="8:8" x14ac:dyDescent="0.25">
      <c r="H10908" t="s">
        <v>138</v>
      </c>
    </row>
    <row r="10909" spans="8:8" x14ac:dyDescent="0.25">
      <c r="H10909" t="s">
        <v>18624</v>
      </c>
    </row>
    <row r="10910" spans="8:8" x14ac:dyDescent="0.25">
      <c r="H10910" t="s">
        <v>30</v>
      </c>
    </row>
    <row r="10912" spans="8:8" x14ac:dyDescent="0.25">
      <c r="H10912" t="s">
        <v>12805</v>
      </c>
    </row>
    <row r="10913" spans="8:8" x14ac:dyDescent="0.25">
      <c r="H10913" t="s">
        <v>12806</v>
      </c>
    </row>
    <row r="10914" spans="8:8" x14ac:dyDescent="0.25">
      <c r="H10914" t="s">
        <v>135</v>
      </c>
    </row>
    <row r="10915" spans="8:8" x14ac:dyDescent="0.25">
      <c r="H10915" t="s">
        <v>18625</v>
      </c>
    </row>
    <row r="10916" spans="8:8" x14ac:dyDescent="0.25">
      <c r="H10916" t="s">
        <v>30</v>
      </c>
    </row>
    <row r="10917" spans="8:8" x14ac:dyDescent="0.25">
      <c r="H10917" t="s">
        <v>136</v>
      </c>
    </row>
    <row r="10918" spans="8:8" x14ac:dyDescent="0.25">
      <c r="H10918" t="s">
        <v>18626</v>
      </c>
    </row>
    <row r="10919" spans="8:8" x14ac:dyDescent="0.25">
      <c r="H10919" t="s">
        <v>30</v>
      </c>
    </row>
    <row r="10920" spans="8:8" x14ac:dyDescent="0.25">
      <c r="H10920" t="s">
        <v>137</v>
      </c>
    </row>
    <row r="10921" spans="8:8" x14ac:dyDescent="0.25">
      <c r="H10921" t="s">
        <v>18627</v>
      </c>
    </row>
    <row r="10922" spans="8:8" x14ac:dyDescent="0.25">
      <c r="H10922" t="s">
        <v>30</v>
      </c>
    </row>
    <row r="10923" spans="8:8" x14ac:dyDescent="0.25">
      <c r="H10923" t="s">
        <v>138</v>
      </c>
    </row>
    <row r="10924" spans="8:8" x14ac:dyDescent="0.25">
      <c r="H10924" t="s">
        <v>18628</v>
      </c>
    </row>
    <row r="10925" spans="8:8" x14ac:dyDescent="0.25">
      <c r="H10925" t="s">
        <v>30</v>
      </c>
    </row>
    <row r="10927" spans="8:8" x14ac:dyDescent="0.25">
      <c r="H10927" t="s">
        <v>12811</v>
      </c>
    </row>
    <row r="10928" spans="8:8" x14ac:dyDescent="0.25">
      <c r="H10928" t="s">
        <v>12812</v>
      </c>
    </row>
    <row r="10929" spans="8:8" x14ac:dyDescent="0.25">
      <c r="H10929" t="s">
        <v>135</v>
      </c>
    </row>
    <row r="10930" spans="8:8" x14ac:dyDescent="0.25">
      <c r="H10930" t="s">
        <v>18629</v>
      </c>
    </row>
    <row r="10931" spans="8:8" x14ac:dyDescent="0.25">
      <c r="H10931" t="s">
        <v>30</v>
      </c>
    </row>
    <row r="10932" spans="8:8" x14ac:dyDescent="0.25">
      <c r="H10932" t="s">
        <v>136</v>
      </c>
    </row>
    <row r="10933" spans="8:8" x14ac:dyDescent="0.25">
      <c r="H10933" t="s">
        <v>18630</v>
      </c>
    </row>
    <row r="10934" spans="8:8" x14ac:dyDescent="0.25">
      <c r="H10934" t="s">
        <v>30</v>
      </c>
    </row>
    <row r="10935" spans="8:8" x14ac:dyDescent="0.25">
      <c r="H10935" t="s">
        <v>137</v>
      </c>
    </row>
    <row r="10936" spans="8:8" x14ac:dyDescent="0.25">
      <c r="H10936" t="s">
        <v>18631</v>
      </c>
    </row>
    <row r="10937" spans="8:8" x14ac:dyDescent="0.25">
      <c r="H10937" t="s">
        <v>30</v>
      </c>
    </row>
    <row r="10938" spans="8:8" x14ac:dyDescent="0.25">
      <c r="H10938" t="s">
        <v>138</v>
      </c>
    </row>
    <row r="10939" spans="8:8" x14ac:dyDescent="0.25">
      <c r="H10939" t="s">
        <v>18632</v>
      </c>
    </row>
    <row r="10940" spans="8:8" x14ac:dyDescent="0.25">
      <c r="H10940" t="s">
        <v>30</v>
      </c>
    </row>
    <row r="10942" spans="8:8" x14ac:dyDescent="0.25">
      <c r="H10942" t="s">
        <v>12817</v>
      </c>
    </row>
    <row r="10943" spans="8:8" x14ac:dyDescent="0.25">
      <c r="H10943" t="s">
        <v>12818</v>
      </c>
    </row>
    <row r="10944" spans="8:8" x14ac:dyDescent="0.25">
      <c r="H10944" t="s">
        <v>135</v>
      </c>
    </row>
    <row r="10945" spans="8:8" x14ac:dyDescent="0.25">
      <c r="H10945" t="s">
        <v>18633</v>
      </c>
    </row>
    <row r="10946" spans="8:8" x14ac:dyDescent="0.25">
      <c r="H10946" t="s">
        <v>30</v>
      </c>
    </row>
    <row r="10947" spans="8:8" x14ac:dyDescent="0.25">
      <c r="H10947" t="s">
        <v>136</v>
      </c>
    </row>
    <row r="10948" spans="8:8" x14ac:dyDescent="0.25">
      <c r="H10948" t="s">
        <v>18634</v>
      </c>
    </row>
    <row r="10949" spans="8:8" x14ac:dyDescent="0.25">
      <c r="H10949" t="s">
        <v>30</v>
      </c>
    </row>
    <row r="10950" spans="8:8" x14ac:dyDescent="0.25">
      <c r="H10950" t="s">
        <v>137</v>
      </c>
    </row>
    <row r="10951" spans="8:8" x14ac:dyDescent="0.25">
      <c r="H10951" t="s">
        <v>18635</v>
      </c>
    </row>
    <row r="10952" spans="8:8" x14ac:dyDescent="0.25">
      <c r="H10952" t="s">
        <v>30</v>
      </c>
    </row>
    <row r="10953" spans="8:8" x14ac:dyDescent="0.25">
      <c r="H10953" t="s">
        <v>138</v>
      </c>
    </row>
    <row r="10954" spans="8:8" x14ac:dyDescent="0.25">
      <c r="H10954" t="s">
        <v>18636</v>
      </c>
    </row>
    <row r="10955" spans="8:8" x14ac:dyDescent="0.25">
      <c r="H10955" t="s">
        <v>30</v>
      </c>
    </row>
    <row r="10957" spans="8:8" x14ac:dyDescent="0.25">
      <c r="H10957" t="s">
        <v>12823</v>
      </c>
    </row>
    <row r="10958" spans="8:8" x14ac:dyDescent="0.25">
      <c r="H10958" t="s">
        <v>12824</v>
      </c>
    </row>
    <row r="10959" spans="8:8" x14ac:dyDescent="0.25">
      <c r="H10959" t="s">
        <v>135</v>
      </c>
    </row>
    <row r="10960" spans="8:8" x14ac:dyDescent="0.25">
      <c r="H10960" t="s">
        <v>18637</v>
      </c>
    </row>
    <row r="10961" spans="8:8" x14ac:dyDescent="0.25">
      <c r="H10961" t="s">
        <v>30</v>
      </c>
    </row>
    <row r="10962" spans="8:8" x14ac:dyDescent="0.25">
      <c r="H10962" t="s">
        <v>136</v>
      </c>
    </row>
    <row r="10963" spans="8:8" x14ac:dyDescent="0.25">
      <c r="H10963" t="s">
        <v>18638</v>
      </c>
    </row>
    <row r="10964" spans="8:8" x14ac:dyDescent="0.25">
      <c r="H10964" t="s">
        <v>30</v>
      </c>
    </row>
    <row r="10965" spans="8:8" x14ac:dyDescent="0.25">
      <c r="H10965" t="s">
        <v>137</v>
      </c>
    </row>
    <row r="10966" spans="8:8" x14ac:dyDescent="0.25">
      <c r="H10966" t="s">
        <v>18639</v>
      </c>
    </row>
    <row r="10967" spans="8:8" x14ac:dyDescent="0.25">
      <c r="H10967" t="s">
        <v>30</v>
      </c>
    </row>
    <row r="10968" spans="8:8" x14ac:dyDescent="0.25">
      <c r="H10968" t="s">
        <v>138</v>
      </c>
    </row>
    <row r="10969" spans="8:8" x14ac:dyDescent="0.25">
      <c r="H10969" t="s">
        <v>18640</v>
      </c>
    </row>
    <row r="10970" spans="8:8" x14ac:dyDescent="0.25">
      <c r="H10970" t="s">
        <v>30</v>
      </c>
    </row>
    <row r="10972" spans="8:8" x14ac:dyDescent="0.25">
      <c r="H10972" t="s">
        <v>12829</v>
      </c>
    </row>
    <row r="10973" spans="8:8" x14ac:dyDescent="0.25">
      <c r="H10973" t="s">
        <v>12830</v>
      </c>
    </row>
    <row r="10974" spans="8:8" x14ac:dyDescent="0.25">
      <c r="H10974" t="s">
        <v>135</v>
      </c>
    </row>
    <row r="10975" spans="8:8" x14ac:dyDescent="0.25">
      <c r="H10975" t="s">
        <v>18641</v>
      </c>
    </row>
    <row r="10976" spans="8:8" x14ac:dyDescent="0.25">
      <c r="H10976" t="s">
        <v>30</v>
      </c>
    </row>
    <row r="10977" spans="8:8" x14ac:dyDescent="0.25">
      <c r="H10977" t="s">
        <v>136</v>
      </c>
    </row>
    <row r="10978" spans="8:8" x14ac:dyDescent="0.25">
      <c r="H10978" t="s">
        <v>18642</v>
      </c>
    </row>
    <row r="10979" spans="8:8" x14ac:dyDescent="0.25">
      <c r="H10979" t="s">
        <v>30</v>
      </c>
    </row>
    <row r="10980" spans="8:8" x14ac:dyDescent="0.25">
      <c r="H10980" t="s">
        <v>137</v>
      </c>
    </row>
    <row r="10981" spans="8:8" x14ac:dyDescent="0.25">
      <c r="H10981" t="s">
        <v>18643</v>
      </c>
    </row>
    <row r="10982" spans="8:8" x14ac:dyDescent="0.25">
      <c r="H10982" t="s">
        <v>30</v>
      </c>
    </row>
    <row r="10983" spans="8:8" x14ac:dyDescent="0.25">
      <c r="H10983" t="s">
        <v>138</v>
      </c>
    </row>
    <row r="10984" spans="8:8" x14ac:dyDescent="0.25">
      <c r="H10984" t="s">
        <v>18644</v>
      </c>
    </row>
    <row r="10985" spans="8:8" x14ac:dyDescent="0.25">
      <c r="H10985" t="s">
        <v>30</v>
      </c>
    </row>
    <row r="10987" spans="8:8" x14ac:dyDescent="0.25">
      <c r="H10987" t="s">
        <v>12835</v>
      </c>
    </row>
    <row r="10988" spans="8:8" x14ac:dyDescent="0.25">
      <c r="H10988" t="s">
        <v>12836</v>
      </c>
    </row>
    <row r="10989" spans="8:8" x14ac:dyDescent="0.25">
      <c r="H10989" t="s">
        <v>135</v>
      </c>
    </row>
    <row r="10990" spans="8:8" x14ac:dyDescent="0.25">
      <c r="H10990" t="s">
        <v>18645</v>
      </c>
    </row>
    <row r="10991" spans="8:8" x14ac:dyDescent="0.25">
      <c r="H10991" t="s">
        <v>30</v>
      </c>
    </row>
    <row r="10992" spans="8:8" x14ac:dyDescent="0.25">
      <c r="H10992" t="s">
        <v>136</v>
      </c>
    </row>
    <row r="10993" spans="8:8" x14ac:dyDescent="0.25">
      <c r="H10993" t="s">
        <v>18646</v>
      </c>
    </row>
    <row r="10994" spans="8:8" x14ac:dyDescent="0.25">
      <c r="H10994" t="s">
        <v>30</v>
      </c>
    </row>
    <row r="10995" spans="8:8" x14ac:dyDescent="0.25">
      <c r="H10995" t="s">
        <v>137</v>
      </c>
    </row>
    <row r="10996" spans="8:8" x14ac:dyDescent="0.25">
      <c r="H10996" t="s">
        <v>18647</v>
      </c>
    </row>
    <row r="10997" spans="8:8" x14ac:dyDescent="0.25">
      <c r="H10997" t="s">
        <v>30</v>
      </c>
    </row>
    <row r="10998" spans="8:8" x14ac:dyDescent="0.25">
      <c r="H10998" t="s">
        <v>138</v>
      </c>
    </row>
    <row r="10999" spans="8:8" x14ac:dyDescent="0.25">
      <c r="H10999" t="s">
        <v>18648</v>
      </c>
    </row>
    <row r="11000" spans="8:8" x14ac:dyDescent="0.25">
      <c r="H11000" t="s">
        <v>30</v>
      </c>
    </row>
    <row r="11002" spans="8:8" x14ac:dyDescent="0.25">
      <c r="H11002" t="s">
        <v>12841</v>
      </c>
    </row>
    <row r="11003" spans="8:8" x14ac:dyDescent="0.25">
      <c r="H11003" t="s">
        <v>12842</v>
      </c>
    </row>
    <row r="11004" spans="8:8" x14ac:dyDescent="0.25">
      <c r="H11004" t="s">
        <v>135</v>
      </c>
    </row>
    <row r="11005" spans="8:8" x14ac:dyDescent="0.25">
      <c r="H11005" t="s">
        <v>18649</v>
      </c>
    </row>
    <row r="11006" spans="8:8" x14ac:dyDescent="0.25">
      <c r="H11006" t="s">
        <v>30</v>
      </c>
    </row>
    <row r="11007" spans="8:8" x14ac:dyDescent="0.25">
      <c r="H11007" t="s">
        <v>136</v>
      </c>
    </row>
    <row r="11008" spans="8:8" x14ac:dyDescent="0.25">
      <c r="H11008" t="s">
        <v>18650</v>
      </c>
    </row>
    <row r="11009" spans="8:8" x14ac:dyDescent="0.25">
      <c r="H11009" t="s">
        <v>30</v>
      </c>
    </row>
    <row r="11010" spans="8:8" x14ac:dyDescent="0.25">
      <c r="H11010" t="s">
        <v>137</v>
      </c>
    </row>
    <row r="11011" spans="8:8" x14ac:dyDescent="0.25">
      <c r="H11011" t="s">
        <v>18651</v>
      </c>
    </row>
    <row r="11012" spans="8:8" x14ac:dyDescent="0.25">
      <c r="H11012" t="s">
        <v>30</v>
      </c>
    </row>
    <row r="11013" spans="8:8" x14ac:dyDescent="0.25">
      <c r="H11013" t="s">
        <v>138</v>
      </c>
    </row>
    <row r="11014" spans="8:8" x14ac:dyDescent="0.25">
      <c r="H11014" t="s">
        <v>18652</v>
      </c>
    </row>
    <row r="11015" spans="8:8" x14ac:dyDescent="0.25">
      <c r="H11015" t="s">
        <v>30</v>
      </c>
    </row>
    <row r="11017" spans="8:8" x14ac:dyDescent="0.25">
      <c r="H11017" t="s">
        <v>12847</v>
      </c>
    </row>
    <row r="11018" spans="8:8" x14ac:dyDescent="0.25">
      <c r="H11018" t="s">
        <v>12848</v>
      </c>
    </row>
    <row r="11019" spans="8:8" x14ac:dyDescent="0.25">
      <c r="H11019" t="s">
        <v>135</v>
      </c>
    </row>
    <row r="11020" spans="8:8" x14ac:dyDescent="0.25">
      <c r="H11020" t="s">
        <v>18653</v>
      </c>
    </row>
    <row r="11021" spans="8:8" x14ac:dyDescent="0.25">
      <c r="H11021" t="s">
        <v>30</v>
      </c>
    </row>
    <row r="11022" spans="8:8" x14ac:dyDescent="0.25">
      <c r="H11022" t="s">
        <v>136</v>
      </c>
    </row>
    <row r="11023" spans="8:8" x14ac:dyDescent="0.25">
      <c r="H11023" t="s">
        <v>18654</v>
      </c>
    </row>
    <row r="11024" spans="8:8" x14ac:dyDescent="0.25">
      <c r="H11024" t="s">
        <v>30</v>
      </c>
    </row>
    <row r="11025" spans="8:8" x14ac:dyDescent="0.25">
      <c r="H11025" t="s">
        <v>137</v>
      </c>
    </row>
    <row r="11026" spans="8:8" x14ac:dyDescent="0.25">
      <c r="H11026" t="s">
        <v>18655</v>
      </c>
    </row>
    <row r="11027" spans="8:8" x14ac:dyDescent="0.25">
      <c r="H11027" t="s">
        <v>30</v>
      </c>
    </row>
    <row r="11028" spans="8:8" x14ac:dyDescent="0.25">
      <c r="H11028" t="s">
        <v>138</v>
      </c>
    </row>
    <row r="11029" spans="8:8" x14ac:dyDescent="0.25">
      <c r="H11029" t="s">
        <v>18656</v>
      </c>
    </row>
    <row r="11030" spans="8:8" x14ac:dyDescent="0.25">
      <c r="H11030" t="s">
        <v>30</v>
      </c>
    </row>
    <row r="11032" spans="8:8" x14ac:dyDescent="0.25">
      <c r="H11032" t="s">
        <v>12853</v>
      </c>
    </row>
    <row r="11033" spans="8:8" x14ac:dyDescent="0.25">
      <c r="H11033" t="s">
        <v>12854</v>
      </c>
    </row>
    <row r="11034" spans="8:8" x14ac:dyDescent="0.25">
      <c r="H11034" t="s">
        <v>135</v>
      </c>
    </row>
    <row r="11035" spans="8:8" x14ac:dyDescent="0.25">
      <c r="H11035" t="s">
        <v>18657</v>
      </c>
    </row>
    <row r="11036" spans="8:8" x14ac:dyDescent="0.25">
      <c r="H11036" t="s">
        <v>30</v>
      </c>
    </row>
    <row r="11037" spans="8:8" x14ac:dyDescent="0.25">
      <c r="H11037" t="s">
        <v>136</v>
      </c>
    </row>
    <row r="11038" spans="8:8" x14ac:dyDescent="0.25">
      <c r="H11038" t="s">
        <v>18658</v>
      </c>
    </row>
    <row r="11039" spans="8:8" x14ac:dyDescent="0.25">
      <c r="H11039" t="s">
        <v>30</v>
      </c>
    </row>
    <row r="11040" spans="8:8" x14ac:dyDescent="0.25">
      <c r="H11040" t="s">
        <v>137</v>
      </c>
    </row>
    <row r="11041" spans="8:8" x14ac:dyDescent="0.25">
      <c r="H11041" t="s">
        <v>18659</v>
      </c>
    </row>
    <row r="11042" spans="8:8" x14ac:dyDescent="0.25">
      <c r="H11042" t="s">
        <v>30</v>
      </c>
    </row>
    <row r="11043" spans="8:8" x14ac:dyDescent="0.25">
      <c r="H11043" t="s">
        <v>138</v>
      </c>
    </row>
    <row r="11044" spans="8:8" x14ac:dyDescent="0.25">
      <c r="H11044" t="s">
        <v>18660</v>
      </c>
    </row>
    <row r="11045" spans="8:8" x14ac:dyDescent="0.25">
      <c r="H11045" t="s">
        <v>30</v>
      </c>
    </row>
    <row r="11047" spans="8:8" x14ac:dyDescent="0.25">
      <c r="H11047" t="s">
        <v>12859</v>
      </c>
    </row>
    <row r="11048" spans="8:8" x14ac:dyDescent="0.25">
      <c r="H11048" t="s">
        <v>12860</v>
      </c>
    </row>
    <row r="11049" spans="8:8" x14ac:dyDescent="0.25">
      <c r="H11049" t="s">
        <v>135</v>
      </c>
    </row>
    <row r="11050" spans="8:8" x14ac:dyDescent="0.25">
      <c r="H11050" t="s">
        <v>18661</v>
      </c>
    </row>
    <row r="11051" spans="8:8" x14ac:dyDescent="0.25">
      <c r="H11051" t="s">
        <v>30</v>
      </c>
    </row>
    <row r="11052" spans="8:8" x14ac:dyDescent="0.25">
      <c r="H11052" t="s">
        <v>136</v>
      </c>
    </row>
    <row r="11053" spans="8:8" x14ac:dyDescent="0.25">
      <c r="H11053" t="s">
        <v>18662</v>
      </c>
    </row>
    <row r="11054" spans="8:8" x14ac:dyDescent="0.25">
      <c r="H11054" t="s">
        <v>30</v>
      </c>
    </row>
    <row r="11055" spans="8:8" x14ac:dyDescent="0.25">
      <c r="H11055" t="s">
        <v>137</v>
      </c>
    </row>
    <row r="11056" spans="8:8" x14ac:dyDescent="0.25">
      <c r="H11056" t="s">
        <v>18663</v>
      </c>
    </row>
    <row r="11057" spans="8:8" x14ac:dyDescent="0.25">
      <c r="H11057" t="s">
        <v>30</v>
      </c>
    </row>
    <row r="11058" spans="8:8" x14ac:dyDescent="0.25">
      <c r="H11058" t="s">
        <v>138</v>
      </c>
    </row>
    <row r="11059" spans="8:8" x14ac:dyDescent="0.25">
      <c r="H11059" t="s">
        <v>18664</v>
      </c>
    </row>
    <row r="11060" spans="8:8" x14ac:dyDescent="0.25">
      <c r="H11060" t="s">
        <v>30</v>
      </c>
    </row>
    <row r="11062" spans="8:8" x14ac:dyDescent="0.25">
      <c r="H11062" t="s">
        <v>12865</v>
      </c>
    </row>
    <row r="11063" spans="8:8" x14ac:dyDescent="0.25">
      <c r="H11063" t="s">
        <v>12866</v>
      </c>
    </row>
    <row r="11064" spans="8:8" x14ac:dyDescent="0.25">
      <c r="H11064" t="s">
        <v>135</v>
      </c>
    </row>
    <row r="11065" spans="8:8" x14ac:dyDescent="0.25">
      <c r="H11065" t="s">
        <v>18665</v>
      </c>
    </row>
    <row r="11066" spans="8:8" x14ac:dyDescent="0.25">
      <c r="H11066" t="s">
        <v>30</v>
      </c>
    </row>
    <row r="11067" spans="8:8" x14ac:dyDescent="0.25">
      <c r="H11067" t="s">
        <v>136</v>
      </c>
    </row>
    <row r="11068" spans="8:8" x14ac:dyDescent="0.25">
      <c r="H11068" t="s">
        <v>18666</v>
      </c>
    </row>
    <row r="11069" spans="8:8" x14ac:dyDescent="0.25">
      <c r="H11069" t="s">
        <v>30</v>
      </c>
    </row>
    <row r="11070" spans="8:8" x14ac:dyDescent="0.25">
      <c r="H11070" t="s">
        <v>137</v>
      </c>
    </row>
    <row r="11071" spans="8:8" x14ac:dyDescent="0.25">
      <c r="H11071" t="s">
        <v>18667</v>
      </c>
    </row>
    <row r="11072" spans="8:8" x14ac:dyDescent="0.25">
      <c r="H11072" t="s">
        <v>30</v>
      </c>
    </row>
    <row r="11073" spans="8:8" x14ac:dyDescent="0.25">
      <c r="H11073" t="s">
        <v>138</v>
      </c>
    </row>
    <row r="11074" spans="8:8" x14ac:dyDescent="0.25">
      <c r="H11074" t="s">
        <v>18668</v>
      </c>
    </row>
    <row r="11075" spans="8:8" x14ac:dyDescent="0.25">
      <c r="H11075" t="s">
        <v>30</v>
      </c>
    </row>
    <row r="11077" spans="8:8" x14ac:dyDescent="0.25">
      <c r="H11077" t="s">
        <v>12871</v>
      </c>
    </row>
    <row r="11078" spans="8:8" x14ac:dyDescent="0.25">
      <c r="H11078" t="s">
        <v>12872</v>
      </c>
    </row>
    <row r="11079" spans="8:8" x14ac:dyDescent="0.25">
      <c r="H11079" t="s">
        <v>135</v>
      </c>
    </row>
    <row r="11080" spans="8:8" x14ac:dyDescent="0.25">
      <c r="H11080" t="s">
        <v>18669</v>
      </c>
    </row>
    <row r="11081" spans="8:8" x14ac:dyDescent="0.25">
      <c r="H11081" t="s">
        <v>30</v>
      </c>
    </row>
    <row r="11082" spans="8:8" x14ac:dyDescent="0.25">
      <c r="H11082" t="s">
        <v>136</v>
      </c>
    </row>
    <row r="11083" spans="8:8" x14ac:dyDescent="0.25">
      <c r="H11083" t="s">
        <v>18670</v>
      </c>
    </row>
    <row r="11084" spans="8:8" x14ac:dyDescent="0.25">
      <c r="H11084" t="s">
        <v>30</v>
      </c>
    </row>
    <row r="11085" spans="8:8" x14ac:dyDescent="0.25">
      <c r="H11085" t="s">
        <v>137</v>
      </c>
    </row>
    <row r="11086" spans="8:8" x14ac:dyDescent="0.25">
      <c r="H11086" t="s">
        <v>18671</v>
      </c>
    </row>
    <row r="11087" spans="8:8" x14ac:dyDescent="0.25">
      <c r="H11087" t="s">
        <v>30</v>
      </c>
    </row>
    <row r="11088" spans="8:8" x14ac:dyDescent="0.25">
      <c r="H11088" t="s">
        <v>138</v>
      </c>
    </row>
    <row r="11089" spans="8:8" x14ac:dyDescent="0.25">
      <c r="H11089" t="s">
        <v>18672</v>
      </c>
    </row>
    <row r="11090" spans="8:8" x14ac:dyDescent="0.25">
      <c r="H11090" t="s">
        <v>30</v>
      </c>
    </row>
    <row r="11092" spans="8:8" x14ac:dyDescent="0.25">
      <c r="H11092" t="s">
        <v>12877</v>
      </c>
    </row>
    <row r="11093" spans="8:8" x14ac:dyDescent="0.25">
      <c r="H11093" t="s">
        <v>12878</v>
      </c>
    </row>
    <row r="11094" spans="8:8" x14ac:dyDescent="0.25">
      <c r="H11094" t="s">
        <v>135</v>
      </c>
    </row>
    <row r="11095" spans="8:8" x14ac:dyDescent="0.25">
      <c r="H11095" t="s">
        <v>18673</v>
      </c>
    </row>
    <row r="11096" spans="8:8" x14ac:dyDescent="0.25">
      <c r="H11096" t="s">
        <v>30</v>
      </c>
    </row>
    <row r="11097" spans="8:8" x14ac:dyDescent="0.25">
      <c r="H11097" t="s">
        <v>136</v>
      </c>
    </row>
    <row r="11098" spans="8:8" x14ac:dyDescent="0.25">
      <c r="H11098" t="s">
        <v>18674</v>
      </c>
    </row>
    <row r="11099" spans="8:8" x14ac:dyDescent="0.25">
      <c r="H11099" t="s">
        <v>30</v>
      </c>
    </row>
    <row r="11100" spans="8:8" x14ac:dyDescent="0.25">
      <c r="H11100" t="s">
        <v>137</v>
      </c>
    </row>
    <row r="11101" spans="8:8" x14ac:dyDescent="0.25">
      <c r="H11101" t="s">
        <v>18675</v>
      </c>
    </row>
    <row r="11102" spans="8:8" x14ac:dyDescent="0.25">
      <c r="H11102" t="s">
        <v>30</v>
      </c>
    </row>
    <row r="11103" spans="8:8" x14ac:dyDescent="0.25">
      <c r="H11103" t="s">
        <v>138</v>
      </c>
    </row>
    <row r="11104" spans="8:8" x14ac:dyDescent="0.25">
      <c r="H11104" t="s">
        <v>18676</v>
      </c>
    </row>
    <row r="11105" spans="8:8" x14ac:dyDescent="0.25">
      <c r="H11105" t="s">
        <v>30</v>
      </c>
    </row>
    <row r="11107" spans="8:8" x14ac:dyDescent="0.25">
      <c r="H11107" t="s">
        <v>12883</v>
      </c>
    </row>
    <row r="11108" spans="8:8" x14ac:dyDescent="0.25">
      <c r="H11108" t="s">
        <v>12884</v>
      </c>
    </row>
    <row r="11109" spans="8:8" x14ac:dyDescent="0.25">
      <c r="H11109" t="s">
        <v>135</v>
      </c>
    </row>
    <row r="11110" spans="8:8" x14ac:dyDescent="0.25">
      <c r="H11110" t="s">
        <v>18677</v>
      </c>
    </row>
    <row r="11111" spans="8:8" x14ac:dyDescent="0.25">
      <c r="H11111" t="s">
        <v>30</v>
      </c>
    </row>
    <row r="11112" spans="8:8" x14ac:dyDescent="0.25">
      <c r="H11112" t="s">
        <v>136</v>
      </c>
    </row>
    <row r="11113" spans="8:8" x14ac:dyDescent="0.25">
      <c r="H11113" t="s">
        <v>18678</v>
      </c>
    </row>
    <row r="11114" spans="8:8" x14ac:dyDescent="0.25">
      <c r="H11114" t="s">
        <v>30</v>
      </c>
    </row>
    <row r="11115" spans="8:8" x14ac:dyDescent="0.25">
      <c r="H11115" t="s">
        <v>137</v>
      </c>
    </row>
    <row r="11116" spans="8:8" x14ac:dyDescent="0.25">
      <c r="H11116" t="s">
        <v>18679</v>
      </c>
    </row>
    <row r="11117" spans="8:8" x14ac:dyDescent="0.25">
      <c r="H11117" t="s">
        <v>30</v>
      </c>
    </row>
    <row r="11118" spans="8:8" x14ac:dyDescent="0.25">
      <c r="H11118" t="s">
        <v>138</v>
      </c>
    </row>
    <row r="11119" spans="8:8" x14ac:dyDescent="0.25">
      <c r="H11119" t="s">
        <v>18680</v>
      </c>
    </row>
    <row r="11120" spans="8:8" x14ac:dyDescent="0.25">
      <c r="H11120" t="s">
        <v>30</v>
      </c>
    </row>
    <row r="11122" spans="8:8" x14ac:dyDescent="0.25">
      <c r="H11122" t="s">
        <v>12889</v>
      </c>
    </row>
    <row r="11123" spans="8:8" x14ac:dyDescent="0.25">
      <c r="H11123" t="s">
        <v>12890</v>
      </c>
    </row>
    <row r="11124" spans="8:8" x14ac:dyDescent="0.25">
      <c r="H11124" t="s">
        <v>135</v>
      </c>
    </row>
    <row r="11125" spans="8:8" x14ac:dyDescent="0.25">
      <c r="H11125" t="s">
        <v>18681</v>
      </c>
    </row>
    <row r="11126" spans="8:8" x14ac:dyDescent="0.25">
      <c r="H11126" t="s">
        <v>30</v>
      </c>
    </row>
    <row r="11127" spans="8:8" x14ac:dyDescent="0.25">
      <c r="H11127" t="s">
        <v>136</v>
      </c>
    </row>
    <row r="11128" spans="8:8" x14ac:dyDescent="0.25">
      <c r="H11128" t="s">
        <v>18682</v>
      </c>
    </row>
    <row r="11129" spans="8:8" x14ac:dyDescent="0.25">
      <c r="H11129" t="s">
        <v>30</v>
      </c>
    </row>
    <row r="11130" spans="8:8" x14ac:dyDescent="0.25">
      <c r="H11130" t="s">
        <v>137</v>
      </c>
    </row>
    <row r="11131" spans="8:8" x14ac:dyDescent="0.25">
      <c r="H11131" t="s">
        <v>18683</v>
      </c>
    </row>
    <row r="11132" spans="8:8" x14ac:dyDescent="0.25">
      <c r="H11132" t="s">
        <v>30</v>
      </c>
    </row>
    <row r="11133" spans="8:8" x14ac:dyDescent="0.25">
      <c r="H11133" t="s">
        <v>138</v>
      </c>
    </row>
    <row r="11134" spans="8:8" x14ac:dyDescent="0.25">
      <c r="H11134" t="s">
        <v>18684</v>
      </c>
    </row>
    <row r="11135" spans="8:8" x14ac:dyDescent="0.25">
      <c r="H11135" t="s">
        <v>30</v>
      </c>
    </row>
    <row r="11137" spans="8:8" x14ac:dyDescent="0.25">
      <c r="H11137" t="s">
        <v>12895</v>
      </c>
    </row>
    <row r="11138" spans="8:8" x14ac:dyDescent="0.25">
      <c r="H11138" t="s">
        <v>12896</v>
      </c>
    </row>
    <row r="11139" spans="8:8" x14ac:dyDescent="0.25">
      <c r="H11139" t="s">
        <v>135</v>
      </c>
    </row>
    <row r="11140" spans="8:8" x14ac:dyDescent="0.25">
      <c r="H11140" t="s">
        <v>18685</v>
      </c>
    </row>
    <row r="11141" spans="8:8" x14ac:dyDescent="0.25">
      <c r="H11141" t="s">
        <v>30</v>
      </c>
    </row>
    <row r="11142" spans="8:8" x14ac:dyDescent="0.25">
      <c r="H11142" t="s">
        <v>136</v>
      </c>
    </row>
    <row r="11143" spans="8:8" x14ac:dyDescent="0.25">
      <c r="H11143" t="s">
        <v>18686</v>
      </c>
    </row>
    <row r="11144" spans="8:8" x14ac:dyDescent="0.25">
      <c r="H11144" t="s">
        <v>30</v>
      </c>
    </row>
    <row r="11145" spans="8:8" x14ac:dyDescent="0.25">
      <c r="H11145" t="s">
        <v>137</v>
      </c>
    </row>
    <row r="11146" spans="8:8" x14ac:dyDescent="0.25">
      <c r="H11146" t="s">
        <v>18687</v>
      </c>
    </row>
    <row r="11147" spans="8:8" x14ac:dyDescent="0.25">
      <c r="H11147" t="s">
        <v>30</v>
      </c>
    </row>
    <row r="11148" spans="8:8" x14ac:dyDescent="0.25">
      <c r="H11148" t="s">
        <v>138</v>
      </c>
    </row>
    <row r="11149" spans="8:8" x14ac:dyDescent="0.25">
      <c r="H11149" t="s">
        <v>18688</v>
      </c>
    </row>
    <row r="11150" spans="8:8" x14ac:dyDescent="0.25">
      <c r="H11150" t="s">
        <v>30</v>
      </c>
    </row>
    <row r="11152" spans="8:8" x14ac:dyDescent="0.25">
      <c r="H11152" t="s">
        <v>12901</v>
      </c>
    </row>
    <row r="11153" spans="8:8" x14ac:dyDescent="0.25">
      <c r="H11153" t="s">
        <v>12902</v>
      </c>
    </row>
    <row r="11154" spans="8:8" x14ac:dyDescent="0.25">
      <c r="H11154" t="s">
        <v>135</v>
      </c>
    </row>
    <row r="11155" spans="8:8" x14ac:dyDescent="0.25">
      <c r="H11155" t="s">
        <v>18689</v>
      </c>
    </row>
    <row r="11156" spans="8:8" x14ac:dyDescent="0.25">
      <c r="H11156" t="s">
        <v>30</v>
      </c>
    </row>
    <row r="11157" spans="8:8" x14ac:dyDescent="0.25">
      <c r="H11157" t="s">
        <v>136</v>
      </c>
    </row>
    <row r="11158" spans="8:8" x14ac:dyDescent="0.25">
      <c r="H11158" t="s">
        <v>18690</v>
      </c>
    </row>
    <row r="11159" spans="8:8" x14ac:dyDescent="0.25">
      <c r="H11159" t="s">
        <v>30</v>
      </c>
    </row>
    <row r="11160" spans="8:8" x14ac:dyDescent="0.25">
      <c r="H11160" t="s">
        <v>137</v>
      </c>
    </row>
    <row r="11161" spans="8:8" x14ac:dyDescent="0.25">
      <c r="H11161" t="s">
        <v>18691</v>
      </c>
    </row>
    <row r="11162" spans="8:8" x14ac:dyDescent="0.25">
      <c r="H11162" t="s">
        <v>30</v>
      </c>
    </row>
    <row r="11163" spans="8:8" x14ac:dyDescent="0.25">
      <c r="H11163" t="s">
        <v>138</v>
      </c>
    </row>
    <row r="11164" spans="8:8" x14ac:dyDescent="0.25">
      <c r="H11164" t="s">
        <v>18692</v>
      </c>
    </row>
    <row r="11165" spans="8:8" x14ac:dyDescent="0.25">
      <c r="H11165" t="s">
        <v>30</v>
      </c>
    </row>
    <row r="11167" spans="8:8" x14ac:dyDescent="0.25">
      <c r="H11167" t="s">
        <v>12907</v>
      </c>
    </row>
    <row r="11168" spans="8:8" x14ac:dyDescent="0.25">
      <c r="H11168" t="s">
        <v>12908</v>
      </c>
    </row>
    <row r="11169" spans="8:8" x14ac:dyDescent="0.25">
      <c r="H11169" t="s">
        <v>135</v>
      </c>
    </row>
    <row r="11170" spans="8:8" x14ac:dyDescent="0.25">
      <c r="H11170" t="s">
        <v>18693</v>
      </c>
    </row>
    <row r="11171" spans="8:8" x14ac:dyDescent="0.25">
      <c r="H11171" t="s">
        <v>30</v>
      </c>
    </row>
    <row r="11172" spans="8:8" x14ac:dyDescent="0.25">
      <c r="H11172" t="s">
        <v>136</v>
      </c>
    </row>
    <row r="11173" spans="8:8" x14ac:dyDescent="0.25">
      <c r="H11173" t="s">
        <v>18694</v>
      </c>
    </row>
    <row r="11174" spans="8:8" x14ac:dyDescent="0.25">
      <c r="H11174" t="s">
        <v>30</v>
      </c>
    </row>
    <row r="11175" spans="8:8" x14ac:dyDescent="0.25">
      <c r="H11175" t="s">
        <v>137</v>
      </c>
    </row>
    <row r="11176" spans="8:8" x14ac:dyDescent="0.25">
      <c r="H11176" t="s">
        <v>18695</v>
      </c>
    </row>
    <row r="11177" spans="8:8" x14ac:dyDescent="0.25">
      <c r="H11177" t="s">
        <v>30</v>
      </c>
    </row>
    <row r="11178" spans="8:8" x14ac:dyDescent="0.25">
      <c r="H11178" t="s">
        <v>138</v>
      </c>
    </row>
    <row r="11179" spans="8:8" x14ac:dyDescent="0.25">
      <c r="H11179" t="s">
        <v>18696</v>
      </c>
    </row>
    <row r="11180" spans="8:8" x14ac:dyDescent="0.25">
      <c r="H11180" t="s">
        <v>30</v>
      </c>
    </row>
    <row r="11182" spans="8:8" x14ac:dyDescent="0.25">
      <c r="H11182" t="s">
        <v>12913</v>
      </c>
    </row>
    <row r="11183" spans="8:8" x14ac:dyDescent="0.25">
      <c r="H11183" t="s">
        <v>12914</v>
      </c>
    </row>
    <row r="11184" spans="8:8" x14ac:dyDescent="0.25">
      <c r="H11184" t="s">
        <v>135</v>
      </c>
    </row>
    <row r="11185" spans="8:8" x14ac:dyDescent="0.25">
      <c r="H11185" t="s">
        <v>18697</v>
      </c>
    </row>
    <row r="11186" spans="8:8" x14ac:dyDescent="0.25">
      <c r="H11186" t="s">
        <v>30</v>
      </c>
    </row>
    <row r="11187" spans="8:8" x14ac:dyDescent="0.25">
      <c r="H11187" t="s">
        <v>136</v>
      </c>
    </row>
    <row r="11188" spans="8:8" x14ac:dyDescent="0.25">
      <c r="H11188" t="s">
        <v>18698</v>
      </c>
    </row>
    <row r="11189" spans="8:8" x14ac:dyDescent="0.25">
      <c r="H11189" t="s">
        <v>30</v>
      </c>
    </row>
    <row r="11190" spans="8:8" x14ac:dyDescent="0.25">
      <c r="H11190" t="s">
        <v>137</v>
      </c>
    </row>
    <row r="11191" spans="8:8" x14ac:dyDescent="0.25">
      <c r="H11191" t="s">
        <v>18699</v>
      </c>
    </row>
    <row r="11192" spans="8:8" x14ac:dyDescent="0.25">
      <c r="H11192" t="s">
        <v>30</v>
      </c>
    </row>
    <row r="11193" spans="8:8" x14ac:dyDescent="0.25">
      <c r="H11193" t="s">
        <v>138</v>
      </c>
    </row>
    <row r="11194" spans="8:8" x14ac:dyDescent="0.25">
      <c r="H11194" t="s">
        <v>18700</v>
      </c>
    </row>
    <row r="11195" spans="8:8" x14ac:dyDescent="0.25">
      <c r="H11195" t="s">
        <v>30</v>
      </c>
    </row>
    <row r="11197" spans="8:8" x14ac:dyDescent="0.25">
      <c r="H11197" t="s">
        <v>12919</v>
      </c>
    </row>
    <row r="11198" spans="8:8" x14ac:dyDescent="0.25">
      <c r="H11198" t="s">
        <v>12920</v>
      </c>
    </row>
    <row r="11199" spans="8:8" x14ac:dyDescent="0.25">
      <c r="H11199" t="s">
        <v>135</v>
      </c>
    </row>
    <row r="11200" spans="8:8" x14ac:dyDescent="0.25">
      <c r="H11200" t="s">
        <v>18701</v>
      </c>
    </row>
    <row r="11201" spans="8:8" x14ac:dyDescent="0.25">
      <c r="H11201" t="s">
        <v>30</v>
      </c>
    </row>
    <row r="11202" spans="8:8" x14ac:dyDescent="0.25">
      <c r="H11202" t="s">
        <v>136</v>
      </c>
    </row>
    <row r="11203" spans="8:8" x14ac:dyDescent="0.25">
      <c r="H11203" t="s">
        <v>18702</v>
      </c>
    </row>
    <row r="11204" spans="8:8" x14ac:dyDescent="0.25">
      <c r="H11204" t="s">
        <v>30</v>
      </c>
    </row>
    <row r="11205" spans="8:8" x14ac:dyDescent="0.25">
      <c r="H11205" t="s">
        <v>137</v>
      </c>
    </row>
    <row r="11206" spans="8:8" x14ac:dyDescent="0.25">
      <c r="H11206" t="s">
        <v>18703</v>
      </c>
    </row>
    <row r="11207" spans="8:8" x14ac:dyDescent="0.25">
      <c r="H11207" t="s">
        <v>30</v>
      </c>
    </row>
    <row r="11208" spans="8:8" x14ac:dyDescent="0.25">
      <c r="H11208" t="s">
        <v>138</v>
      </c>
    </row>
    <row r="11209" spans="8:8" x14ac:dyDescent="0.25">
      <c r="H11209" t="s">
        <v>18704</v>
      </c>
    </row>
    <row r="11210" spans="8:8" x14ac:dyDescent="0.25">
      <c r="H11210" t="s">
        <v>30</v>
      </c>
    </row>
    <row r="11212" spans="8:8" x14ac:dyDescent="0.25">
      <c r="H11212" t="s">
        <v>12925</v>
      </c>
    </row>
    <row r="11213" spans="8:8" x14ac:dyDescent="0.25">
      <c r="H11213" t="s">
        <v>12926</v>
      </c>
    </row>
    <row r="11214" spans="8:8" x14ac:dyDescent="0.25">
      <c r="H11214" t="s">
        <v>135</v>
      </c>
    </row>
    <row r="11215" spans="8:8" x14ac:dyDescent="0.25">
      <c r="H11215" t="s">
        <v>18705</v>
      </c>
    </row>
    <row r="11216" spans="8:8" x14ac:dyDescent="0.25">
      <c r="H11216" t="s">
        <v>30</v>
      </c>
    </row>
    <row r="11217" spans="8:8" x14ac:dyDescent="0.25">
      <c r="H11217" t="s">
        <v>136</v>
      </c>
    </row>
    <row r="11218" spans="8:8" x14ac:dyDescent="0.25">
      <c r="H11218" t="s">
        <v>18706</v>
      </c>
    </row>
    <row r="11219" spans="8:8" x14ac:dyDescent="0.25">
      <c r="H11219" t="s">
        <v>30</v>
      </c>
    </row>
    <row r="11220" spans="8:8" x14ac:dyDescent="0.25">
      <c r="H11220" t="s">
        <v>137</v>
      </c>
    </row>
    <row r="11221" spans="8:8" x14ac:dyDescent="0.25">
      <c r="H11221" t="s">
        <v>18707</v>
      </c>
    </row>
    <row r="11222" spans="8:8" x14ac:dyDescent="0.25">
      <c r="H11222" t="s">
        <v>30</v>
      </c>
    </row>
    <row r="11223" spans="8:8" x14ac:dyDescent="0.25">
      <c r="H11223" t="s">
        <v>138</v>
      </c>
    </row>
    <row r="11224" spans="8:8" x14ac:dyDescent="0.25">
      <c r="H11224" t="s">
        <v>18708</v>
      </c>
    </row>
    <row r="11225" spans="8:8" x14ac:dyDescent="0.25">
      <c r="H11225" t="s">
        <v>30</v>
      </c>
    </row>
    <row r="11227" spans="8:8" x14ac:dyDescent="0.25">
      <c r="H11227" t="s">
        <v>12931</v>
      </c>
    </row>
    <row r="11228" spans="8:8" x14ac:dyDescent="0.25">
      <c r="H11228" t="s">
        <v>12932</v>
      </c>
    </row>
    <row r="11229" spans="8:8" x14ac:dyDescent="0.25">
      <c r="H11229" t="s">
        <v>135</v>
      </c>
    </row>
    <row r="11230" spans="8:8" x14ac:dyDescent="0.25">
      <c r="H11230" t="s">
        <v>18709</v>
      </c>
    </row>
    <row r="11231" spans="8:8" x14ac:dyDescent="0.25">
      <c r="H11231" t="s">
        <v>30</v>
      </c>
    </row>
    <row r="11232" spans="8:8" x14ac:dyDescent="0.25">
      <c r="H11232" t="s">
        <v>136</v>
      </c>
    </row>
    <row r="11233" spans="8:8" x14ac:dyDescent="0.25">
      <c r="H11233" t="s">
        <v>18710</v>
      </c>
    </row>
    <row r="11234" spans="8:8" x14ac:dyDescent="0.25">
      <c r="H11234" t="s">
        <v>30</v>
      </c>
    </row>
    <row r="11235" spans="8:8" x14ac:dyDescent="0.25">
      <c r="H11235" t="s">
        <v>137</v>
      </c>
    </row>
    <row r="11236" spans="8:8" x14ac:dyDescent="0.25">
      <c r="H11236" t="s">
        <v>18711</v>
      </c>
    </row>
    <row r="11237" spans="8:8" x14ac:dyDescent="0.25">
      <c r="H11237" t="s">
        <v>30</v>
      </c>
    </row>
    <row r="11238" spans="8:8" x14ac:dyDescent="0.25">
      <c r="H11238" t="s">
        <v>138</v>
      </c>
    </row>
    <row r="11239" spans="8:8" x14ac:dyDescent="0.25">
      <c r="H11239" t="s">
        <v>18712</v>
      </c>
    </row>
    <row r="11240" spans="8:8" x14ac:dyDescent="0.25">
      <c r="H11240" t="s">
        <v>30</v>
      </c>
    </row>
    <row r="11242" spans="8:8" x14ac:dyDescent="0.25">
      <c r="H11242" t="s">
        <v>12937</v>
      </c>
    </row>
    <row r="11243" spans="8:8" x14ac:dyDescent="0.25">
      <c r="H11243" t="s">
        <v>12938</v>
      </c>
    </row>
    <row r="11244" spans="8:8" x14ac:dyDescent="0.25">
      <c r="H11244" t="s">
        <v>135</v>
      </c>
    </row>
    <row r="11245" spans="8:8" x14ac:dyDescent="0.25">
      <c r="H11245" t="s">
        <v>18713</v>
      </c>
    </row>
    <row r="11246" spans="8:8" x14ac:dyDescent="0.25">
      <c r="H11246" t="s">
        <v>30</v>
      </c>
    </row>
    <row r="11247" spans="8:8" x14ac:dyDescent="0.25">
      <c r="H11247" t="s">
        <v>136</v>
      </c>
    </row>
    <row r="11248" spans="8:8" x14ac:dyDescent="0.25">
      <c r="H11248" t="s">
        <v>18714</v>
      </c>
    </row>
    <row r="11249" spans="8:8" x14ac:dyDescent="0.25">
      <c r="H11249" t="s">
        <v>30</v>
      </c>
    </row>
    <row r="11250" spans="8:8" x14ac:dyDescent="0.25">
      <c r="H11250" t="s">
        <v>137</v>
      </c>
    </row>
    <row r="11251" spans="8:8" x14ac:dyDescent="0.25">
      <c r="H11251" t="s">
        <v>18715</v>
      </c>
    </row>
    <row r="11252" spans="8:8" x14ac:dyDescent="0.25">
      <c r="H11252" t="s">
        <v>30</v>
      </c>
    </row>
    <row r="11253" spans="8:8" x14ac:dyDescent="0.25">
      <c r="H11253" t="s">
        <v>138</v>
      </c>
    </row>
    <row r="11254" spans="8:8" x14ac:dyDescent="0.25">
      <c r="H11254" t="s">
        <v>18716</v>
      </c>
    </row>
    <row r="11255" spans="8:8" x14ac:dyDescent="0.25">
      <c r="H11255" t="s">
        <v>30</v>
      </c>
    </row>
    <row r="11257" spans="8:8" x14ac:dyDescent="0.25">
      <c r="H11257" t="s">
        <v>12943</v>
      </c>
    </row>
    <row r="11258" spans="8:8" x14ac:dyDescent="0.25">
      <c r="H11258" t="s">
        <v>12944</v>
      </c>
    </row>
    <row r="11259" spans="8:8" x14ac:dyDescent="0.25">
      <c r="H11259" t="s">
        <v>135</v>
      </c>
    </row>
    <row r="11260" spans="8:8" x14ac:dyDescent="0.25">
      <c r="H11260" t="s">
        <v>18717</v>
      </c>
    </row>
    <row r="11261" spans="8:8" x14ac:dyDescent="0.25">
      <c r="H11261" t="s">
        <v>30</v>
      </c>
    </row>
    <row r="11262" spans="8:8" x14ac:dyDescent="0.25">
      <c r="H11262" t="s">
        <v>136</v>
      </c>
    </row>
    <row r="11263" spans="8:8" x14ac:dyDescent="0.25">
      <c r="H11263" t="s">
        <v>18718</v>
      </c>
    </row>
    <row r="11264" spans="8:8" x14ac:dyDescent="0.25">
      <c r="H11264" t="s">
        <v>30</v>
      </c>
    </row>
    <row r="11265" spans="8:8" x14ac:dyDescent="0.25">
      <c r="H11265" t="s">
        <v>137</v>
      </c>
    </row>
    <row r="11266" spans="8:8" x14ac:dyDescent="0.25">
      <c r="H11266" t="s">
        <v>18719</v>
      </c>
    </row>
    <row r="11267" spans="8:8" x14ac:dyDescent="0.25">
      <c r="H11267" t="s">
        <v>30</v>
      </c>
    </row>
    <row r="11268" spans="8:8" x14ac:dyDescent="0.25">
      <c r="H11268" t="s">
        <v>138</v>
      </c>
    </row>
    <row r="11269" spans="8:8" x14ac:dyDescent="0.25">
      <c r="H11269" t="s">
        <v>18720</v>
      </c>
    </row>
    <row r="11270" spans="8:8" x14ac:dyDescent="0.25">
      <c r="H11270" t="s">
        <v>30</v>
      </c>
    </row>
    <row r="11272" spans="8:8" x14ac:dyDescent="0.25">
      <c r="H11272" t="s">
        <v>12949</v>
      </c>
    </row>
    <row r="11273" spans="8:8" x14ac:dyDescent="0.25">
      <c r="H11273" t="s">
        <v>12950</v>
      </c>
    </row>
    <row r="11274" spans="8:8" x14ac:dyDescent="0.25">
      <c r="H11274" t="s">
        <v>135</v>
      </c>
    </row>
    <row r="11275" spans="8:8" x14ac:dyDescent="0.25">
      <c r="H11275" t="s">
        <v>18721</v>
      </c>
    </row>
    <row r="11276" spans="8:8" x14ac:dyDescent="0.25">
      <c r="H11276" t="s">
        <v>30</v>
      </c>
    </row>
    <row r="11277" spans="8:8" x14ac:dyDescent="0.25">
      <c r="H11277" t="s">
        <v>136</v>
      </c>
    </row>
    <row r="11278" spans="8:8" x14ac:dyDescent="0.25">
      <c r="H11278" t="s">
        <v>18722</v>
      </c>
    </row>
    <row r="11279" spans="8:8" x14ac:dyDescent="0.25">
      <c r="H11279" t="s">
        <v>30</v>
      </c>
    </row>
    <row r="11280" spans="8:8" x14ac:dyDescent="0.25">
      <c r="H11280" t="s">
        <v>137</v>
      </c>
    </row>
    <row r="11281" spans="8:8" x14ac:dyDescent="0.25">
      <c r="H11281" t="s">
        <v>18723</v>
      </c>
    </row>
    <row r="11282" spans="8:8" x14ac:dyDescent="0.25">
      <c r="H11282" t="s">
        <v>30</v>
      </c>
    </row>
    <row r="11283" spans="8:8" x14ac:dyDescent="0.25">
      <c r="H11283" t="s">
        <v>138</v>
      </c>
    </row>
    <row r="11284" spans="8:8" x14ac:dyDescent="0.25">
      <c r="H11284" t="s">
        <v>18724</v>
      </c>
    </row>
    <row r="11285" spans="8:8" x14ac:dyDescent="0.25">
      <c r="H11285" t="s">
        <v>30</v>
      </c>
    </row>
    <row r="11287" spans="8:8" x14ac:dyDescent="0.25">
      <c r="H11287" t="s">
        <v>12955</v>
      </c>
    </row>
    <row r="11288" spans="8:8" x14ac:dyDescent="0.25">
      <c r="H11288" t="s">
        <v>12956</v>
      </c>
    </row>
    <row r="11289" spans="8:8" x14ac:dyDescent="0.25">
      <c r="H11289" t="s">
        <v>135</v>
      </c>
    </row>
    <row r="11290" spans="8:8" x14ac:dyDescent="0.25">
      <c r="H11290" t="s">
        <v>18725</v>
      </c>
    </row>
    <row r="11291" spans="8:8" x14ac:dyDescent="0.25">
      <c r="H11291" t="s">
        <v>30</v>
      </c>
    </row>
    <row r="11292" spans="8:8" x14ac:dyDescent="0.25">
      <c r="H11292" t="s">
        <v>136</v>
      </c>
    </row>
    <row r="11293" spans="8:8" x14ac:dyDescent="0.25">
      <c r="H11293" t="s">
        <v>18726</v>
      </c>
    </row>
    <row r="11294" spans="8:8" x14ac:dyDescent="0.25">
      <c r="H11294" t="s">
        <v>30</v>
      </c>
    </row>
    <row r="11295" spans="8:8" x14ac:dyDescent="0.25">
      <c r="H11295" t="s">
        <v>137</v>
      </c>
    </row>
    <row r="11296" spans="8:8" x14ac:dyDescent="0.25">
      <c r="H11296" t="s">
        <v>18727</v>
      </c>
    </row>
    <row r="11297" spans="8:8" x14ac:dyDescent="0.25">
      <c r="H11297" t="s">
        <v>30</v>
      </c>
    </row>
    <row r="11298" spans="8:8" x14ac:dyDescent="0.25">
      <c r="H11298" t="s">
        <v>138</v>
      </c>
    </row>
    <row r="11299" spans="8:8" x14ac:dyDescent="0.25">
      <c r="H11299" t="s">
        <v>18728</v>
      </c>
    </row>
    <row r="11300" spans="8:8" x14ac:dyDescent="0.25">
      <c r="H11300" t="s">
        <v>30</v>
      </c>
    </row>
    <row r="11302" spans="8:8" x14ac:dyDescent="0.25">
      <c r="H11302" t="s">
        <v>12961</v>
      </c>
    </row>
    <row r="11303" spans="8:8" x14ac:dyDescent="0.25">
      <c r="H11303" t="s">
        <v>12962</v>
      </c>
    </row>
    <row r="11304" spans="8:8" x14ac:dyDescent="0.25">
      <c r="H11304" t="s">
        <v>135</v>
      </c>
    </row>
    <row r="11305" spans="8:8" x14ac:dyDescent="0.25">
      <c r="H11305" t="s">
        <v>18729</v>
      </c>
    </row>
    <row r="11306" spans="8:8" x14ac:dyDescent="0.25">
      <c r="H11306" t="s">
        <v>30</v>
      </c>
    </row>
    <row r="11307" spans="8:8" x14ac:dyDescent="0.25">
      <c r="H11307" t="s">
        <v>136</v>
      </c>
    </row>
    <row r="11308" spans="8:8" x14ac:dyDescent="0.25">
      <c r="H11308" t="s">
        <v>18730</v>
      </c>
    </row>
    <row r="11309" spans="8:8" x14ac:dyDescent="0.25">
      <c r="H11309" t="s">
        <v>30</v>
      </c>
    </row>
    <row r="11310" spans="8:8" x14ac:dyDescent="0.25">
      <c r="H11310" t="s">
        <v>137</v>
      </c>
    </row>
    <row r="11311" spans="8:8" x14ac:dyDescent="0.25">
      <c r="H11311" t="s">
        <v>18731</v>
      </c>
    </row>
    <row r="11312" spans="8:8" x14ac:dyDescent="0.25">
      <c r="H11312" t="s">
        <v>30</v>
      </c>
    </row>
    <row r="11313" spans="8:8" x14ac:dyDescent="0.25">
      <c r="H11313" t="s">
        <v>138</v>
      </c>
    </row>
    <row r="11314" spans="8:8" x14ac:dyDescent="0.25">
      <c r="H11314" t="s">
        <v>18732</v>
      </c>
    </row>
    <row r="11315" spans="8:8" x14ac:dyDescent="0.25">
      <c r="H11315" t="s">
        <v>30</v>
      </c>
    </row>
    <row r="11317" spans="8:8" x14ac:dyDescent="0.25">
      <c r="H11317" t="s">
        <v>12967</v>
      </c>
    </row>
    <row r="11318" spans="8:8" x14ac:dyDescent="0.25">
      <c r="H11318" t="s">
        <v>12968</v>
      </c>
    </row>
    <row r="11319" spans="8:8" x14ac:dyDescent="0.25">
      <c r="H11319" t="s">
        <v>135</v>
      </c>
    </row>
    <row r="11320" spans="8:8" x14ac:dyDescent="0.25">
      <c r="H11320" t="s">
        <v>18733</v>
      </c>
    </row>
    <row r="11321" spans="8:8" x14ac:dyDescent="0.25">
      <c r="H11321" t="s">
        <v>30</v>
      </c>
    </row>
    <row r="11322" spans="8:8" x14ac:dyDescent="0.25">
      <c r="H11322" t="s">
        <v>136</v>
      </c>
    </row>
    <row r="11323" spans="8:8" x14ac:dyDescent="0.25">
      <c r="H11323" t="s">
        <v>18734</v>
      </c>
    </row>
    <row r="11324" spans="8:8" x14ac:dyDescent="0.25">
      <c r="H11324" t="s">
        <v>30</v>
      </c>
    </row>
    <row r="11325" spans="8:8" x14ac:dyDescent="0.25">
      <c r="H11325" t="s">
        <v>137</v>
      </c>
    </row>
    <row r="11326" spans="8:8" x14ac:dyDescent="0.25">
      <c r="H11326" t="s">
        <v>18735</v>
      </c>
    </row>
    <row r="11327" spans="8:8" x14ac:dyDescent="0.25">
      <c r="H11327" t="s">
        <v>30</v>
      </c>
    </row>
    <row r="11328" spans="8:8" x14ac:dyDescent="0.25">
      <c r="H11328" t="s">
        <v>138</v>
      </c>
    </row>
    <row r="11329" spans="8:8" x14ac:dyDescent="0.25">
      <c r="H11329" t="s">
        <v>18736</v>
      </c>
    </row>
    <row r="11330" spans="8:8" x14ac:dyDescent="0.25">
      <c r="H11330" t="s">
        <v>30</v>
      </c>
    </row>
    <row r="11332" spans="8:8" x14ac:dyDescent="0.25">
      <c r="H11332" t="s">
        <v>12973</v>
      </c>
    </row>
    <row r="11333" spans="8:8" x14ac:dyDescent="0.25">
      <c r="H11333" t="s">
        <v>12974</v>
      </c>
    </row>
    <row r="11334" spans="8:8" x14ac:dyDescent="0.25">
      <c r="H11334" t="s">
        <v>135</v>
      </c>
    </row>
    <row r="11335" spans="8:8" x14ac:dyDescent="0.25">
      <c r="H11335" t="s">
        <v>18737</v>
      </c>
    </row>
    <row r="11336" spans="8:8" x14ac:dyDescent="0.25">
      <c r="H11336" t="s">
        <v>30</v>
      </c>
    </row>
    <row r="11337" spans="8:8" x14ac:dyDescent="0.25">
      <c r="H11337" t="s">
        <v>136</v>
      </c>
    </row>
    <row r="11338" spans="8:8" x14ac:dyDescent="0.25">
      <c r="H11338" t="s">
        <v>18738</v>
      </c>
    </row>
    <row r="11339" spans="8:8" x14ac:dyDescent="0.25">
      <c r="H11339" t="s">
        <v>30</v>
      </c>
    </row>
    <row r="11340" spans="8:8" x14ac:dyDescent="0.25">
      <c r="H11340" t="s">
        <v>137</v>
      </c>
    </row>
    <row r="11341" spans="8:8" x14ac:dyDescent="0.25">
      <c r="H11341" t="s">
        <v>18739</v>
      </c>
    </row>
    <row r="11342" spans="8:8" x14ac:dyDescent="0.25">
      <c r="H11342" t="s">
        <v>30</v>
      </c>
    </row>
    <row r="11343" spans="8:8" x14ac:dyDescent="0.25">
      <c r="H11343" t="s">
        <v>138</v>
      </c>
    </row>
    <row r="11344" spans="8:8" x14ac:dyDescent="0.25">
      <c r="H11344" t="s">
        <v>18740</v>
      </c>
    </row>
    <row r="11345" spans="8:8" x14ac:dyDescent="0.25">
      <c r="H11345" t="s">
        <v>30</v>
      </c>
    </row>
    <row r="11347" spans="8:8" x14ac:dyDescent="0.25">
      <c r="H11347" t="s">
        <v>12979</v>
      </c>
    </row>
    <row r="11348" spans="8:8" x14ac:dyDescent="0.25">
      <c r="H11348" t="s">
        <v>12980</v>
      </c>
    </row>
    <row r="11349" spans="8:8" x14ac:dyDescent="0.25">
      <c r="H11349" t="s">
        <v>135</v>
      </c>
    </row>
    <row r="11350" spans="8:8" x14ac:dyDescent="0.25">
      <c r="H11350" t="s">
        <v>18741</v>
      </c>
    </row>
    <row r="11351" spans="8:8" x14ac:dyDescent="0.25">
      <c r="H11351" t="s">
        <v>30</v>
      </c>
    </row>
    <row r="11352" spans="8:8" x14ac:dyDescent="0.25">
      <c r="H11352" t="s">
        <v>136</v>
      </c>
    </row>
    <row r="11353" spans="8:8" x14ac:dyDescent="0.25">
      <c r="H11353" t="s">
        <v>18742</v>
      </c>
    </row>
    <row r="11354" spans="8:8" x14ac:dyDescent="0.25">
      <c r="H11354" t="s">
        <v>30</v>
      </c>
    </row>
    <row r="11355" spans="8:8" x14ac:dyDescent="0.25">
      <c r="H11355" t="s">
        <v>137</v>
      </c>
    </row>
    <row r="11356" spans="8:8" x14ac:dyDescent="0.25">
      <c r="H11356" t="s">
        <v>18743</v>
      </c>
    </row>
    <row r="11357" spans="8:8" x14ac:dyDescent="0.25">
      <c r="H11357" t="s">
        <v>30</v>
      </c>
    </row>
    <row r="11358" spans="8:8" x14ac:dyDescent="0.25">
      <c r="H11358" t="s">
        <v>138</v>
      </c>
    </row>
    <row r="11359" spans="8:8" x14ac:dyDescent="0.25">
      <c r="H11359" t="s">
        <v>18744</v>
      </c>
    </row>
    <row r="11360" spans="8:8" x14ac:dyDescent="0.25">
      <c r="H11360" t="s">
        <v>30</v>
      </c>
    </row>
    <row r="11362" spans="8:8" x14ac:dyDescent="0.25">
      <c r="H11362" t="s">
        <v>12985</v>
      </c>
    </row>
    <row r="11363" spans="8:8" x14ac:dyDescent="0.25">
      <c r="H11363" t="s">
        <v>12986</v>
      </c>
    </row>
    <row r="11364" spans="8:8" x14ac:dyDescent="0.25">
      <c r="H11364" t="s">
        <v>135</v>
      </c>
    </row>
    <row r="11365" spans="8:8" x14ac:dyDescent="0.25">
      <c r="H11365" t="s">
        <v>18745</v>
      </c>
    </row>
    <row r="11366" spans="8:8" x14ac:dyDescent="0.25">
      <c r="H11366" t="s">
        <v>30</v>
      </c>
    </row>
    <row r="11367" spans="8:8" x14ac:dyDescent="0.25">
      <c r="H11367" t="s">
        <v>136</v>
      </c>
    </row>
    <row r="11368" spans="8:8" x14ac:dyDescent="0.25">
      <c r="H11368" t="s">
        <v>18746</v>
      </c>
    </row>
    <row r="11369" spans="8:8" x14ac:dyDescent="0.25">
      <c r="H11369" t="s">
        <v>30</v>
      </c>
    </row>
    <row r="11370" spans="8:8" x14ac:dyDescent="0.25">
      <c r="H11370" t="s">
        <v>137</v>
      </c>
    </row>
    <row r="11371" spans="8:8" x14ac:dyDescent="0.25">
      <c r="H11371" t="s">
        <v>18747</v>
      </c>
    </row>
    <row r="11372" spans="8:8" x14ac:dyDescent="0.25">
      <c r="H11372" t="s">
        <v>30</v>
      </c>
    </row>
    <row r="11373" spans="8:8" x14ac:dyDescent="0.25">
      <c r="H11373" t="s">
        <v>138</v>
      </c>
    </row>
    <row r="11374" spans="8:8" x14ac:dyDescent="0.25">
      <c r="H11374" t="s">
        <v>18748</v>
      </c>
    </row>
    <row r="11375" spans="8:8" x14ac:dyDescent="0.25">
      <c r="H11375" t="s">
        <v>30</v>
      </c>
    </row>
    <row r="11377" spans="8:8" x14ac:dyDescent="0.25">
      <c r="H11377" t="s">
        <v>12991</v>
      </c>
    </row>
    <row r="11378" spans="8:8" x14ac:dyDescent="0.25">
      <c r="H11378" t="s">
        <v>12992</v>
      </c>
    </row>
    <row r="11379" spans="8:8" x14ac:dyDescent="0.25">
      <c r="H11379" t="s">
        <v>135</v>
      </c>
    </row>
    <row r="11380" spans="8:8" x14ac:dyDescent="0.25">
      <c r="H11380" t="s">
        <v>18749</v>
      </c>
    </row>
    <row r="11381" spans="8:8" x14ac:dyDescent="0.25">
      <c r="H11381" t="s">
        <v>30</v>
      </c>
    </row>
    <row r="11382" spans="8:8" x14ac:dyDescent="0.25">
      <c r="H11382" t="s">
        <v>136</v>
      </c>
    </row>
    <row r="11383" spans="8:8" x14ac:dyDescent="0.25">
      <c r="H11383" t="s">
        <v>18750</v>
      </c>
    </row>
    <row r="11384" spans="8:8" x14ac:dyDescent="0.25">
      <c r="H11384" t="s">
        <v>30</v>
      </c>
    </row>
    <row r="11385" spans="8:8" x14ac:dyDescent="0.25">
      <c r="H11385" t="s">
        <v>137</v>
      </c>
    </row>
    <row r="11386" spans="8:8" x14ac:dyDescent="0.25">
      <c r="H11386" t="s">
        <v>18751</v>
      </c>
    </row>
    <row r="11387" spans="8:8" x14ac:dyDescent="0.25">
      <c r="H11387" t="s">
        <v>30</v>
      </c>
    </row>
    <row r="11388" spans="8:8" x14ac:dyDescent="0.25">
      <c r="H11388" t="s">
        <v>138</v>
      </c>
    </row>
    <row r="11389" spans="8:8" x14ac:dyDescent="0.25">
      <c r="H11389" t="s">
        <v>18752</v>
      </c>
    </row>
    <row r="11390" spans="8:8" x14ac:dyDescent="0.25">
      <c r="H11390" t="s">
        <v>30</v>
      </c>
    </row>
    <row r="11392" spans="8:8" x14ac:dyDescent="0.25">
      <c r="H11392" t="s">
        <v>12997</v>
      </c>
    </row>
    <row r="11393" spans="8:8" x14ac:dyDescent="0.25">
      <c r="H11393" t="s">
        <v>12998</v>
      </c>
    </row>
    <row r="11394" spans="8:8" x14ac:dyDescent="0.25">
      <c r="H11394" t="s">
        <v>135</v>
      </c>
    </row>
    <row r="11395" spans="8:8" x14ac:dyDescent="0.25">
      <c r="H11395" t="s">
        <v>18753</v>
      </c>
    </row>
    <row r="11396" spans="8:8" x14ac:dyDescent="0.25">
      <c r="H11396" t="s">
        <v>30</v>
      </c>
    </row>
    <row r="11397" spans="8:8" x14ac:dyDescent="0.25">
      <c r="H11397" t="s">
        <v>136</v>
      </c>
    </row>
    <row r="11398" spans="8:8" x14ac:dyDescent="0.25">
      <c r="H11398" t="s">
        <v>18754</v>
      </c>
    </row>
    <row r="11399" spans="8:8" x14ac:dyDescent="0.25">
      <c r="H11399" t="s">
        <v>30</v>
      </c>
    </row>
    <row r="11400" spans="8:8" x14ac:dyDescent="0.25">
      <c r="H11400" t="s">
        <v>137</v>
      </c>
    </row>
    <row r="11401" spans="8:8" x14ac:dyDescent="0.25">
      <c r="H11401" t="s">
        <v>18755</v>
      </c>
    </row>
    <row r="11402" spans="8:8" x14ac:dyDescent="0.25">
      <c r="H11402" t="s">
        <v>30</v>
      </c>
    </row>
    <row r="11403" spans="8:8" x14ac:dyDescent="0.25">
      <c r="H11403" t="s">
        <v>138</v>
      </c>
    </row>
    <row r="11404" spans="8:8" x14ac:dyDescent="0.25">
      <c r="H11404" t="s">
        <v>18756</v>
      </c>
    </row>
    <row r="11405" spans="8:8" x14ac:dyDescent="0.25">
      <c r="H11405" t="s">
        <v>30</v>
      </c>
    </row>
    <row r="11407" spans="8:8" x14ac:dyDescent="0.25">
      <c r="H11407" t="s">
        <v>13003</v>
      </c>
    </row>
    <row r="11408" spans="8:8" x14ac:dyDescent="0.25">
      <c r="H11408" t="s">
        <v>13004</v>
      </c>
    </row>
    <row r="11409" spans="8:8" x14ac:dyDescent="0.25">
      <c r="H11409" t="s">
        <v>135</v>
      </c>
    </row>
    <row r="11410" spans="8:8" x14ac:dyDescent="0.25">
      <c r="H11410" t="s">
        <v>18757</v>
      </c>
    </row>
    <row r="11411" spans="8:8" x14ac:dyDescent="0.25">
      <c r="H11411" t="s">
        <v>30</v>
      </c>
    </row>
    <row r="11412" spans="8:8" x14ac:dyDescent="0.25">
      <c r="H11412" t="s">
        <v>136</v>
      </c>
    </row>
    <row r="11413" spans="8:8" x14ac:dyDescent="0.25">
      <c r="H11413" t="s">
        <v>18758</v>
      </c>
    </row>
    <row r="11414" spans="8:8" x14ac:dyDescent="0.25">
      <c r="H11414" t="s">
        <v>30</v>
      </c>
    </row>
    <row r="11415" spans="8:8" x14ac:dyDescent="0.25">
      <c r="H11415" t="s">
        <v>137</v>
      </c>
    </row>
    <row r="11416" spans="8:8" x14ac:dyDescent="0.25">
      <c r="H11416" t="s">
        <v>18759</v>
      </c>
    </row>
    <row r="11417" spans="8:8" x14ac:dyDescent="0.25">
      <c r="H11417" t="s">
        <v>30</v>
      </c>
    </row>
    <row r="11418" spans="8:8" x14ac:dyDescent="0.25">
      <c r="H11418" t="s">
        <v>138</v>
      </c>
    </row>
    <row r="11419" spans="8:8" x14ac:dyDescent="0.25">
      <c r="H11419" t="s">
        <v>18760</v>
      </c>
    </row>
    <row r="11420" spans="8:8" x14ac:dyDescent="0.25">
      <c r="H11420" t="s">
        <v>30</v>
      </c>
    </row>
    <row r="11422" spans="8:8" x14ac:dyDescent="0.25">
      <c r="H11422" t="s">
        <v>13009</v>
      </c>
    </row>
    <row r="11423" spans="8:8" x14ac:dyDescent="0.25">
      <c r="H11423" t="s">
        <v>13010</v>
      </c>
    </row>
    <row r="11424" spans="8:8" x14ac:dyDescent="0.25">
      <c r="H11424" t="s">
        <v>135</v>
      </c>
    </row>
    <row r="11425" spans="8:8" x14ac:dyDescent="0.25">
      <c r="H11425" t="s">
        <v>18761</v>
      </c>
    </row>
    <row r="11426" spans="8:8" x14ac:dyDescent="0.25">
      <c r="H11426" t="s">
        <v>30</v>
      </c>
    </row>
    <row r="11427" spans="8:8" x14ac:dyDescent="0.25">
      <c r="H11427" t="s">
        <v>136</v>
      </c>
    </row>
    <row r="11428" spans="8:8" x14ac:dyDescent="0.25">
      <c r="H11428" t="s">
        <v>18762</v>
      </c>
    </row>
    <row r="11429" spans="8:8" x14ac:dyDescent="0.25">
      <c r="H11429" t="s">
        <v>30</v>
      </c>
    </row>
    <row r="11430" spans="8:8" x14ac:dyDescent="0.25">
      <c r="H11430" t="s">
        <v>137</v>
      </c>
    </row>
    <row r="11431" spans="8:8" x14ac:dyDescent="0.25">
      <c r="H11431" t="s">
        <v>18763</v>
      </c>
    </row>
    <row r="11432" spans="8:8" x14ac:dyDescent="0.25">
      <c r="H11432" t="s">
        <v>30</v>
      </c>
    </row>
    <row r="11433" spans="8:8" x14ac:dyDescent="0.25">
      <c r="H11433" t="s">
        <v>138</v>
      </c>
    </row>
    <row r="11434" spans="8:8" x14ac:dyDescent="0.25">
      <c r="H11434" t="s">
        <v>18764</v>
      </c>
    </row>
    <row r="11435" spans="8:8" x14ac:dyDescent="0.25">
      <c r="H11435" t="s">
        <v>30</v>
      </c>
    </row>
    <row r="11437" spans="8:8" x14ac:dyDescent="0.25">
      <c r="H11437" t="s">
        <v>13015</v>
      </c>
    </row>
    <row r="11438" spans="8:8" x14ac:dyDescent="0.25">
      <c r="H11438" t="s">
        <v>13016</v>
      </c>
    </row>
    <row r="11439" spans="8:8" x14ac:dyDescent="0.25">
      <c r="H11439" t="s">
        <v>135</v>
      </c>
    </row>
    <row r="11440" spans="8:8" x14ac:dyDescent="0.25">
      <c r="H11440" t="s">
        <v>18765</v>
      </c>
    </row>
    <row r="11441" spans="8:8" x14ac:dyDescent="0.25">
      <c r="H11441" t="s">
        <v>30</v>
      </c>
    </row>
    <row r="11442" spans="8:8" x14ac:dyDescent="0.25">
      <c r="H11442" t="s">
        <v>136</v>
      </c>
    </row>
    <row r="11443" spans="8:8" x14ac:dyDescent="0.25">
      <c r="H11443" t="s">
        <v>18766</v>
      </c>
    </row>
    <row r="11444" spans="8:8" x14ac:dyDescent="0.25">
      <c r="H11444" t="s">
        <v>30</v>
      </c>
    </row>
    <row r="11445" spans="8:8" x14ac:dyDescent="0.25">
      <c r="H11445" t="s">
        <v>137</v>
      </c>
    </row>
    <row r="11446" spans="8:8" x14ac:dyDescent="0.25">
      <c r="H11446" t="s">
        <v>18767</v>
      </c>
    </row>
    <row r="11447" spans="8:8" x14ac:dyDescent="0.25">
      <c r="H11447" t="s">
        <v>30</v>
      </c>
    </row>
    <row r="11448" spans="8:8" x14ac:dyDescent="0.25">
      <c r="H11448" t="s">
        <v>138</v>
      </c>
    </row>
    <row r="11449" spans="8:8" x14ac:dyDescent="0.25">
      <c r="H11449" t="s">
        <v>18768</v>
      </c>
    </row>
    <row r="11450" spans="8:8" x14ac:dyDescent="0.25">
      <c r="H11450" t="s">
        <v>30</v>
      </c>
    </row>
    <row r="11452" spans="8:8" x14ac:dyDescent="0.25">
      <c r="H11452" t="s">
        <v>13021</v>
      </c>
    </row>
    <row r="11453" spans="8:8" x14ac:dyDescent="0.25">
      <c r="H11453" t="s">
        <v>13022</v>
      </c>
    </row>
    <row r="11454" spans="8:8" x14ac:dyDescent="0.25">
      <c r="H11454" t="s">
        <v>135</v>
      </c>
    </row>
    <row r="11455" spans="8:8" x14ac:dyDescent="0.25">
      <c r="H11455" t="s">
        <v>18769</v>
      </c>
    </row>
    <row r="11456" spans="8:8" x14ac:dyDescent="0.25">
      <c r="H11456" t="s">
        <v>30</v>
      </c>
    </row>
    <row r="11457" spans="8:8" x14ac:dyDescent="0.25">
      <c r="H11457" t="s">
        <v>136</v>
      </c>
    </row>
    <row r="11458" spans="8:8" x14ac:dyDescent="0.25">
      <c r="H11458" t="s">
        <v>18770</v>
      </c>
    </row>
    <row r="11459" spans="8:8" x14ac:dyDescent="0.25">
      <c r="H11459" t="s">
        <v>30</v>
      </c>
    </row>
    <row r="11460" spans="8:8" x14ac:dyDescent="0.25">
      <c r="H11460" t="s">
        <v>137</v>
      </c>
    </row>
    <row r="11461" spans="8:8" x14ac:dyDescent="0.25">
      <c r="H11461" t="s">
        <v>18771</v>
      </c>
    </row>
    <row r="11462" spans="8:8" x14ac:dyDescent="0.25">
      <c r="H11462" t="s">
        <v>30</v>
      </c>
    </row>
    <row r="11463" spans="8:8" x14ac:dyDescent="0.25">
      <c r="H11463" t="s">
        <v>138</v>
      </c>
    </row>
    <row r="11464" spans="8:8" x14ac:dyDescent="0.25">
      <c r="H11464" t="s">
        <v>18772</v>
      </c>
    </row>
    <row r="11465" spans="8:8" x14ac:dyDescent="0.25">
      <c r="H11465" t="s">
        <v>30</v>
      </c>
    </row>
    <row r="11467" spans="8:8" x14ac:dyDescent="0.25">
      <c r="H11467" t="s">
        <v>13027</v>
      </c>
    </row>
    <row r="11468" spans="8:8" x14ac:dyDescent="0.25">
      <c r="H11468" t="s">
        <v>13028</v>
      </c>
    </row>
    <row r="11469" spans="8:8" x14ac:dyDescent="0.25">
      <c r="H11469" t="s">
        <v>135</v>
      </c>
    </row>
    <row r="11470" spans="8:8" x14ac:dyDescent="0.25">
      <c r="H11470" t="s">
        <v>18773</v>
      </c>
    </row>
    <row r="11471" spans="8:8" x14ac:dyDescent="0.25">
      <c r="H11471" t="s">
        <v>30</v>
      </c>
    </row>
    <row r="11472" spans="8:8" x14ac:dyDescent="0.25">
      <c r="H11472" t="s">
        <v>136</v>
      </c>
    </row>
    <row r="11473" spans="8:8" x14ac:dyDescent="0.25">
      <c r="H11473" t="s">
        <v>18774</v>
      </c>
    </row>
    <row r="11474" spans="8:8" x14ac:dyDescent="0.25">
      <c r="H11474" t="s">
        <v>30</v>
      </c>
    </row>
    <row r="11475" spans="8:8" x14ac:dyDescent="0.25">
      <c r="H11475" t="s">
        <v>137</v>
      </c>
    </row>
    <row r="11476" spans="8:8" x14ac:dyDescent="0.25">
      <c r="H11476" t="s">
        <v>18775</v>
      </c>
    </row>
    <row r="11477" spans="8:8" x14ac:dyDescent="0.25">
      <c r="H11477" t="s">
        <v>30</v>
      </c>
    </row>
    <row r="11478" spans="8:8" x14ac:dyDescent="0.25">
      <c r="H11478" t="s">
        <v>138</v>
      </c>
    </row>
    <row r="11479" spans="8:8" x14ac:dyDescent="0.25">
      <c r="H11479" t="s">
        <v>18776</v>
      </c>
    </row>
    <row r="11480" spans="8:8" x14ac:dyDescent="0.25">
      <c r="H11480" t="s">
        <v>30</v>
      </c>
    </row>
    <row r="11482" spans="8:8" x14ac:dyDescent="0.25">
      <c r="H11482" t="s">
        <v>13033</v>
      </c>
    </row>
    <row r="11483" spans="8:8" x14ac:dyDescent="0.25">
      <c r="H11483" t="s">
        <v>13034</v>
      </c>
    </row>
    <row r="11484" spans="8:8" x14ac:dyDescent="0.25">
      <c r="H11484" t="s">
        <v>135</v>
      </c>
    </row>
    <row r="11485" spans="8:8" x14ac:dyDescent="0.25">
      <c r="H11485" t="s">
        <v>18777</v>
      </c>
    </row>
    <row r="11486" spans="8:8" x14ac:dyDescent="0.25">
      <c r="H11486" t="s">
        <v>30</v>
      </c>
    </row>
    <row r="11487" spans="8:8" x14ac:dyDescent="0.25">
      <c r="H11487" t="s">
        <v>136</v>
      </c>
    </row>
    <row r="11488" spans="8:8" x14ac:dyDescent="0.25">
      <c r="H11488" t="s">
        <v>18778</v>
      </c>
    </row>
    <row r="11489" spans="8:8" x14ac:dyDescent="0.25">
      <c r="H11489" t="s">
        <v>30</v>
      </c>
    </row>
    <row r="11490" spans="8:8" x14ac:dyDescent="0.25">
      <c r="H11490" t="s">
        <v>137</v>
      </c>
    </row>
    <row r="11491" spans="8:8" x14ac:dyDescent="0.25">
      <c r="H11491" t="s">
        <v>18779</v>
      </c>
    </row>
    <row r="11492" spans="8:8" x14ac:dyDescent="0.25">
      <c r="H11492" t="s">
        <v>30</v>
      </c>
    </row>
    <row r="11493" spans="8:8" x14ac:dyDescent="0.25">
      <c r="H11493" t="s">
        <v>138</v>
      </c>
    </row>
    <row r="11494" spans="8:8" x14ac:dyDescent="0.25">
      <c r="H11494" t="s">
        <v>18780</v>
      </c>
    </row>
    <row r="11495" spans="8:8" x14ac:dyDescent="0.25">
      <c r="H11495" t="s">
        <v>30</v>
      </c>
    </row>
    <row r="11497" spans="8:8" x14ac:dyDescent="0.25">
      <c r="H11497" t="s">
        <v>13039</v>
      </c>
    </row>
    <row r="11498" spans="8:8" x14ac:dyDescent="0.25">
      <c r="H11498" t="s">
        <v>13040</v>
      </c>
    </row>
    <row r="11499" spans="8:8" x14ac:dyDescent="0.25">
      <c r="H11499" t="s">
        <v>135</v>
      </c>
    </row>
    <row r="11500" spans="8:8" x14ac:dyDescent="0.25">
      <c r="H11500" t="s">
        <v>18781</v>
      </c>
    </row>
    <row r="11501" spans="8:8" x14ac:dyDescent="0.25">
      <c r="H11501" t="s">
        <v>30</v>
      </c>
    </row>
    <row r="11502" spans="8:8" x14ac:dyDescent="0.25">
      <c r="H11502" t="s">
        <v>136</v>
      </c>
    </row>
    <row r="11503" spans="8:8" x14ac:dyDescent="0.25">
      <c r="H11503" t="s">
        <v>18782</v>
      </c>
    </row>
    <row r="11504" spans="8:8" x14ac:dyDescent="0.25">
      <c r="H11504" t="s">
        <v>30</v>
      </c>
    </row>
    <row r="11505" spans="8:8" x14ac:dyDescent="0.25">
      <c r="H11505" t="s">
        <v>137</v>
      </c>
    </row>
    <row r="11506" spans="8:8" x14ac:dyDescent="0.25">
      <c r="H11506" t="s">
        <v>18783</v>
      </c>
    </row>
    <row r="11507" spans="8:8" x14ac:dyDescent="0.25">
      <c r="H11507" t="s">
        <v>30</v>
      </c>
    </row>
    <row r="11508" spans="8:8" x14ac:dyDescent="0.25">
      <c r="H11508" t="s">
        <v>138</v>
      </c>
    </row>
    <row r="11509" spans="8:8" x14ac:dyDescent="0.25">
      <c r="H11509" t="s">
        <v>18784</v>
      </c>
    </row>
    <row r="11510" spans="8:8" x14ac:dyDescent="0.25">
      <c r="H11510" t="s">
        <v>30</v>
      </c>
    </row>
    <row r="11512" spans="8:8" x14ac:dyDescent="0.25">
      <c r="H11512" t="s">
        <v>13045</v>
      </c>
    </row>
    <row r="11513" spans="8:8" x14ac:dyDescent="0.25">
      <c r="H11513" t="s">
        <v>13046</v>
      </c>
    </row>
    <row r="11514" spans="8:8" x14ac:dyDescent="0.25">
      <c r="H11514" t="s">
        <v>135</v>
      </c>
    </row>
    <row r="11515" spans="8:8" x14ac:dyDescent="0.25">
      <c r="H11515" t="s">
        <v>18785</v>
      </c>
    </row>
    <row r="11516" spans="8:8" x14ac:dyDescent="0.25">
      <c r="H11516" t="s">
        <v>30</v>
      </c>
    </row>
    <row r="11517" spans="8:8" x14ac:dyDescent="0.25">
      <c r="H11517" t="s">
        <v>136</v>
      </c>
    </row>
    <row r="11518" spans="8:8" x14ac:dyDescent="0.25">
      <c r="H11518" t="s">
        <v>18786</v>
      </c>
    </row>
    <row r="11519" spans="8:8" x14ac:dyDescent="0.25">
      <c r="H11519" t="s">
        <v>30</v>
      </c>
    </row>
    <row r="11520" spans="8:8" x14ac:dyDescent="0.25">
      <c r="H11520" t="s">
        <v>137</v>
      </c>
    </row>
    <row r="11521" spans="8:8" x14ac:dyDescent="0.25">
      <c r="H11521" t="s">
        <v>18787</v>
      </c>
    </row>
    <row r="11522" spans="8:8" x14ac:dyDescent="0.25">
      <c r="H11522" t="s">
        <v>30</v>
      </c>
    </row>
    <row r="11523" spans="8:8" x14ac:dyDescent="0.25">
      <c r="H11523" t="s">
        <v>138</v>
      </c>
    </row>
    <row r="11524" spans="8:8" x14ac:dyDescent="0.25">
      <c r="H11524" t="s">
        <v>18788</v>
      </c>
    </row>
    <row r="11525" spans="8:8" x14ac:dyDescent="0.25">
      <c r="H11525" t="s">
        <v>30</v>
      </c>
    </row>
    <row r="11527" spans="8:8" x14ac:dyDescent="0.25">
      <c r="H11527" t="s">
        <v>13051</v>
      </c>
    </row>
    <row r="11528" spans="8:8" x14ac:dyDescent="0.25">
      <c r="H11528" t="s">
        <v>13052</v>
      </c>
    </row>
    <row r="11529" spans="8:8" x14ac:dyDescent="0.25">
      <c r="H11529" t="s">
        <v>135</v>
      </c>
    </row>
    <row r="11530" spans="8:8" x14ac:dyDescent="0.25">
      <c r="H11530" t="s">
        <v>18789</v>
      </c>
    </row>
    <row r="11531" spans="8:8" x14ac:dyDescent="0.25">
      <c r="H11531" t="s">
        <v>30</v>
      </c>
    </row>
    <row r="11532" spans="8:8" x14ac:dyDescent="0.25">
      <c r="H11532" t="s">
        <v>136</v>
      </c>
    </row>
    <row r="11533" spans="8:8" x14ac:dyDescent="0.25">
      <c r="H11533" t="s">
        <v>18790</v>
      </c>
    </row>
    <row r="11534" spans="8:8" x14ac:dyDescent="0.25">
      <c r="H11534" t="s">
        <v>30</v>
      </c>
    </row>
    <row r="11535" spans="8:8" x14ac:dyDescent="0.25">
      <c r="H11535" t="s">
        <v>137</v>
      </c>
    </row>
    <row r="11536" spans="8:8" x14ac:dyDescent="0.25">
      <c r="H11536" t="s">
        <v>18791</v>
      </c>
    </row>
    <row r="11537" spans="8:8" x14ac:dyDescent="0.25">
      <c r="H11537" t="s">
        <v>30</v>
      </c>
    </row>
    <row r="11538" spans="8:8" x14ac:dyDescent="0.25">
      <c r="H11538" t="s">
        <v>138</v>
      </c>
    </row>
    <row r="11539" spans="8:8" x14ac:dyDescent="0.25">
      <c r="H11539" t="s">
        <v>18792</v>
      </c>
    </row>
    <row r="11540" spans="8:8" x14ac:dyDescent="0.25">
      <c r="H11540" t="s">
        <v>30</v>
      </c>
    </row>
    <row r="11542" spans="8:8" x14ac:dyDescent="0.25">
      <c r="H11542" t="s">
        <v>13057</v>
      </c>
    </row>
    <row r="11543" spans="8:8" x14ac:dyDescent="0.25">
      <c r="H11543" t="s">
        <v>13058</v>
      </c>
    </row>
    <row r="11544" spans="8:8" x14ac:dyDescent="0.25">
      <c r="H11544" t="s">
        <v>135</v>
      </c>
    </row>
    <row r="11545" spans="8:8" x14ac:dyDescent="0.25">
      <c r="H11545" t="s">
        <v>18793</v>
      </c>
    </row>
    <row r="11546" spans="8:8" x14ac:dyDescent="0.25">
      <c r="H11546" t="s">
        <v>30</v>
      </c>
    </row>
    <row r="11547" spans="8:8" x14ac:dyDescent="0.25">
      <c r="H11547" t="s">
        <v>136</v>
      </c>
    </row>
    <row r="11548" spans="8:8" x14ac:dyDescent="0.25">
      <c r="H11548" t="s">
        <v>18794</v>
      </c>
    </row>
    <row r="11549" spans="8:8" x14ac:dyDescent="0.25">
      <c r="H11549" t="s">
        <v>30</v>
      </c>
    </row>
    <row r="11550" spans="8:8" x14ac:dyDescent="0.25">
      <c r="H11550" t="s">
        <v>137</v>
      </c>
    </row>
    <row r="11551" spans="8:8" x14ac:dyDescent="0.25">
      <c r="H11551" t="s">
        <v>18795</v>
      </c>
    </row>
    <row r="11552" spans="8:8" x14ac:dyDescent="0.25">
      <c r="H11552" t="s">
        <v>30</v>
      </c>
    </row>
    <row r="11553" spans="8:8" x14ac:dyDescent="0.25">
      <c r="H11553" t="s">
        <v>138</v>
      </c>
    </row>
    <row r="11554" spans="8:8" x14ac:dyDescent="0.25">
      <c r="H11554" t="s">
        <v>18796</v>
      </c>
    </row>
    <row r="11555" spans="8:8" x14ac:dyDescent="0.25">
      <c r="H11555" t="s">
        <v>30</v>
      </c>
    </row>
    <row r="11557" spans="8:8" x14ac:dyDescent="0.25">
      <c r="H11557" t="s">
        <v>13063</v>
      </c>
    </row>
    <row r="11558" spans="8:8" x14ac:dyDescent="0.25">
      <c r="H11558" t="s">
        <v>13064</v>
      </c>
    </row>
    <row r="11559" spans="8:8" x14ac:dyDescent="0.25">
      <c r="H11559" t="s">
        <v>135</v>
      </c>
    </row>
    <row r="11560" spans="8:8" x14ac:dyDescent="0.25">
      <c r="H11560" t="s">
        <v>18797</v>
      </c>
    </row>
    <row r="11561" spans="8:8" x14ac:dyDescent="0.25">
      <c r="H11561" t="s">
        <v>30</v>
      </c>
    </row>
    <row r="11562" spans="8:8" x14ac:dyDescent="0.25">
      <c r="H11562" t="s">
        <v>136</v>
      </c>
    </row>
    <row r="11563" spans="8:8" x14ac:dyDescent="0.25">
      <c r="H11563" t="s">
        <v>18798</v>
      </c>
    </row>
    <row r="11564" spans="8:8" x14ac:dyDescent="0.25">
      <c r="H11564" t="s">
        <v>30</v>
      </c>
    </row>
    <row r="11565" spans="8:8" x14ac:dyDescent="0.25">
      <c r="H11565" t="s">
        <v>137</v>
      </c>
    </row>
    <row r="11566" spans="8:8" x14ac:dyDescent="0.25">
      <c r="H11566" t="s">
        <v>18799</v>
      </c>
    </row>
    <row r="11567" spans="8:8" x14ac:dyDescent="0.25">
      <c r="H11567" t="s">
        <v>30</v>
      </c>
    </row>
    <row r="11568" spans="8:8" x14ac:dyDescent="0.25">
      <c r="H11568" t="s">
        <v>138</v>
      </c>
    </row>
    <row r="11569" spans="8:8" x14ac:dyDescent="0.25">
      <c r="H11569" t="s">
        <v>18800</v>
      </c>
    </row>
    <row r="11570" spans="8:8" x14ac:dyDescent="0.25">
      <c r="H11570" t="s">
        <v>30</v>
      </c>
    </row>
    <row r="11572" spans="8:8" x14ac:dyDescent="0.25">
      <c r="H11572" t="s">
        <v>13069</v>
      </c>
    </row>
    <row r="11573" spans="8:8" x14ac:dyDescent="0.25">
      <c r="H11573" t="s">
        <v>13070</v>
      </c>
    </row>
    <row r="11574" spans="8:8" x14ac:dyDescent="0.25">
      <c r="H11574" t="s">
        <v>135</v>
      </c>
    </row>
    <row r="11575" spans="8:8" x14ac:dyDescent="0.25">
      <c r="H11575" t="s">
        <v>18801</v>
      </c>
    </row>
    <row r="11576" spans="8:8" x14ac:dyDescent="0.25">
      <c r="H11576" t="s">
        <v>30</v>
      </c>
    </row>
    <row r="11577" spans="8:8" x14ac:dyDescent="0.25">
      <c r="H11577" t="s">
        <v>136</v>
      </c>
    </row>
    <row r="11578" spans="8:8" x14ac:dyDescent="0.25">
      <c r="H11578" t="s">
        <v>18802</v>
      </c>
    </row>
    <row r="11579" spans="8:8" x14ac:dyDescent="0.25">
      <c r="H11579" t="s">
        <v>30</v>
      </c>
    </row>
    <row r="11580" spans="8:8" x14ac:dyDescent="0.25">
      <c r="H11580" t="s">
        <v>137</v>
      </c>
    </row>
    <row r="11581" spans="8:8" x14ac:dyDescent="0.25">
      <c r="H11581" t="s">
        <v>18803</v>
      </c>
    </row>
    <row r="11582" spans="8:8" x14ac:dyDescent="0.25">
      <c r="H11582" t="s">
        <v>30</v>
      </c>
    </row>
    <row r="11583" spans="8:8" x14ac:dyDescent="0.25">
      <c r="H11583" t="s">
        <v>138</v>
      </c>
    </row>
    <row r="11584" spans="8:8" x14ac:dyDescent="0.25">
      <c r="H11584" t="s">
        <v>18804</v>
      </c>
    </row>
    <row r="11585" spans="8:8" x14ac:dyDescent="0.25">
      <c r="H11585" t="s">
        <v>30</v>
      </c>
    </row>
    <row r="11587" spans="8:8" x14ac:dyDescent="0.25">
      <c r="H11587" t="s">
        <v>13075</v>
      </c>
    </row>
    <row r="11588" spans="8:8" x14ac:dyDescent="0.25">
      <c r="H11588" t="s">
        <v>13076</v>
      </c>
    </row>
    <row r="11589" spans="8:8" x14ac:dyDescent="0.25">
      <c r="H11589" t="s">
        <v>135</v>
      </c>
    </row>
    <row r="11590" spans="8:8" x14ac:dyDescent="0.25">
      <c r="H11590" t="s">
        <v>18805</v>
      </c>
    </row>
    <row r="11591" spans="8:8" x14ac:dyDescent="0.25">
      <c r="H11591" t="s">
        <v>30</v>
      </c>
    </row>
    <row r="11592" spans="8:8" x14ac:dyDescent="0.25">
      <c r="H11592" t="s">
        <v>136</v>
      </c>
    </row>
    <row r="11593" spans="8:8" x14ac:dyDescent="0.25">
      <c r="H11593" t="s">
        <v>18806</v>
      </c>
    </row>
    <row r="11594" spans="8:8" x14ac:dyDescent="0.25">
      <c r="H11594" t="s">
        <v>30</v>
      </c>
    </row>
    <row r="11595" spans="8:8" x14ac:dyDescent="0.25">
      <c r="H11595" t="s">
        <v>137</v>
      </c>
    </row>
    <row r="11596" spans="8:8" x14ac:dyDescent="0.25">
      <c r="H11596" t="s">
        <v>18807</v>
      </c>
    </row>
    <row r="11597" spans="8:8" x14ac:dyDescent="0.25">
      <c r="H11597" t="s">
        <v>30</v>
      </c>
    </row>
    <row r="11598" spans="8:8" x14ac:dyDescent="0.25">
      <c r="H11598" t="s">
        <v>138</v>
      </c>
    </row>
    <row r="11599" spans="8:8" x14ac:dyDescent="0.25">
      <c r="H11599" t="s">
        <v>18808</v>
      </c>
    </row>
    <row r="11600" spans="8:8" x14ac:dyDescent="0.25">
      <c r="H11600" t="s">
        <v>30</v>
      </c>
    </row>
    <row r="11602" spans="8:8" x14ac:dyDescent="0.25">
      <c r="H11602" t="s">
        <v>13081</v>
      </c>
    </row>
    <row r="11603" spans="8:8" x14ac:dyDescent="0.25">
      <c r="H11603" t="s">
        <v>13082</v>
      </c>
    </row>
    <row r="11604" spans="8:8" x14ac:dyDescent="0.25">
      <c r="H11604" t="s">
        <v>135</v>
      </c>
    </row>
    <row r="11605" spans="8:8" x14ac:dyDescent="0.25">
      <c r="H11605" t="s">
        <v>18809</v>
      </c>
    </row>
    <row r="11606" spans="8:8" x14ac:dyDescent="0.25">
      <c r="H11606" t="s">
        <v>30</v>
      </c>
    </row>
    <row r="11607" spans="8:8" x14ac:dyDescent="0.25">
      <c r="H11607" t="s">
        <v>136</v>
      </c>
    </row>
    <row r="11608" spans="8:8" x14ac:dyDescent="0.25">
      <c r="H11608" t="s">
        <v>18810</v>
      </c>
    </row>
    <row r="11609" spans="8:8" x14ac:dyDescent="0.25">
      <c r="H11609" t="s">
        <v>30</v>
      </c>
    </row>
    <row r="11610" spans="8:8" x14ac:dyDescent="0.25">
      <c r="H11610" t="s">
        <v>137</v>
      </c>
    </row>
    <row r="11611" spans="8:8" x14ac:dyDescent="0.25">
      <c r="H11611" t="s">
        <v>18811</v>
      </c>
    </row>
    <row r="11612" spans="8:8" x14ac:dyDescent="0.25">
      <c r="H11612" t="s">
        <v>30</v>
      </c>
    </row>
    <row r="11613" spans="8:8" x14ac:dyDescent="0.25">
      <c r="H11613" t="s">
        <v>138</v>
      </c>
    </row>
    <row r="11614" spans="8:8" x14ac:dyDescent="0.25">
      <c r="H11614" t="s">
        <v>18812</v>
      </c>
    </row>
    <row r="11615" spans="8:8" x14ac:dyDescent="0.25">
      <c r="H11615" t="s">
        <v>30</v>
      </c>
    </row>
    <row r="11617" spans="8:8" x14ac:dyDescent="0.25">
      <c r="H11617" t="s">
        <v>13087</v>
      </c>
    </row>
    <row r="11618" spans="8:8" x14ac:dyDescent="0.25">
      <c r="H11618" t="s">
        <v>13088</v>
      </c>
    </row>
    <row r="11619" spans="8:8" x14ac:dyDescent="0.25">
      <c r="H11619" t="s">
        <v>135</v>
      </c>
    </row>
    <row r="11620" spans="8:8" x14ac:dyDescent="0.25">
      <c r="H11620" t="s">
        <v>18813</v>
      </c>
    </row>
    <row r="11621" spans="8:8" x14ac:dyDescent="0.25">
      <c r="H11621" t="s">
        <v>30</v>
      </c>
    </row>
    <row r="11622" spans="8:8" x14ac:dyDescent="0.25">
      <c r="H11622" t="s">
        <v>136</v>
      </c>
    </row>
    <row r="11623" spans="8:8" x14ac:dyDescent="0.25">
      <c r="H11623" t="s">
        <v>18814</v>
      </c>
    </row>
    <row r="11624" spans="8:8" x14ac:dyDescent="0.25">
      <c r="H11624" t="s">
        <v>30</v>
      </c>
    </row>
    <row r="11625" spans="8:8" x14ac:dyDescent="0.25">
      <c r="H11625" t="s">
        <v>137</v>
      </c>
    </row>
    <row r="11626" spans="8:8" x14ac:dyDescent="0.25">
      <c r="H11626" t="s">
        <v>18815</v>
      </c>
    </row>
    <row r="11627" spans="8:8" x14ac:dyDescent="0.25">
      <c r="H11627" t="s">
        <v>30</v>
      </c>
    </row>
    <row r="11628" spans="8:8" x14ac:dyDescent="0.25">
      <c r="H11628" t="s">
        <v>138</v>
      </c>
    </row>
    <row r="11629" spans="8:8" x14ac:dyDescent="0.25">
      <c r="H11629" t="s">
        <v>18816</v>
      </c>
    </row>
    <row r="11630" spans="8:8" x14ac:dyDescent="0.25">
      <c r="H11630" t="s">
        <v>30</v>
      </c>
    </row>
    <row r="11632" spans="8:8" x14ac:dyDescent="0.25">
      <c r="H11632" t="s">
        <v>13093</v>
      </c>
    </row>
    <row r="11633" spans="8:8" x14ac:dyDescent="0.25">
      <c r="H11633" t="s">
        <v>13094</v>
      </c>
    </row>
    <row r="11634" spans="8:8" x14ac:dyDescent="0.25">
      <c r="H11634" t="s">
        <v>135</v>
      </c>
    </row>
    <row r="11635" spans="8:8" x14ac:dyDescent="0.25">
      <c r="H11635" t="s">
        <v>18817</v>
      </c>
    </row>
    <row r="11636" spans="8:8" x14ac:dyDescent="0.25">
      <c r="H11636" t="s">
        <v>30</v>
      </c>
    </row>
    <row r="11637" spans="8:8" x14ac:dyDescent="0.25">
      <c r="H11637" t="s">
        <v>136</v>
      </c>
    </row>
    <row r="11638" spans="8:8" x14ac:dyDescent="0.25">
      <c r="H11638" t="s">
        <v>18818</v>
      </c>
    </row>
    <row r="11639" spans="8:8" x14ac:dyDescent="0.25">
      <c r="H11639" t="s">
        <v>30</v>
      </c>
    </row>
    <row r="11640" spans="8:8" x14ac:dyDescent="0.25">
      <c r="H11640" t="s">
        <v>137</v>
      </c>
    </row>
    <row r="11641" spans="8:8" x14ac:dyDescent="0.25">
      <c r="H11641" t="s">
        <v>18819</v>
      </c>
    </row>
    <row r="11642" spans="8:8" x14ac:dyDescent="0.25">
      <c r="H11642" t="s">
        <v>30</v>
      </c>
    </row>
    <row r="11643" spans="8:8" x14ac:dyDescent="0.25">
      <c r="H11643" t="s">
        <v>138</v>
      </c>
    </row>
    <row r="11644" spans="8:8" x14ac:dyDescent="0.25">
      <c r="H11644" t="s">
        <v>18820</v>
      </c>
    </row>
    <row r="11645" spans="8:8" x14ac:dyDescent="0.25">
      <c r="H11645" t="s">
        <v>30</v>
      </c>
    </row>
    <row r="11647" spans="8:8" x14ac:dyDescent="0.25">
      <c r="H11647" t="s">
        <v>13099</v>
      </c>
    </row>
    <row r="11648" spans="8:8" x14ac:dyDescent="0.25">
      <c r="H11648" t="s">
        <v>13100</v>
      </c>
    </row>
    <row r="11649" spans="8:8" x14ac:dyDescent="0.25">
      <c r="H11649" t="s">
        <v>135</v>
      </c>
    </row>
    <row r="11650" spans="8:8" x14ac:dyDescent="0.25">
      <c r="H11650" t="s">
        <v>18821</v>
      </c>
    </row>
    <row r="11651" spans="8:8" x14ac:dyDescent="0.25">
      <c r="H11651" t="s">
        <v>30</v>
      </c>
    </row>
    <row r="11652" spans="8:8" x14ac:dyDescent="0.25">
      <c r="H11652" t="s">
        <v>136</v>
      </c>
    </row>
    <row r="11653" spans="8:8" x14ac:dyDescent="0.25">
      <c r="H11653" t="s">
        <v>18822</v>
      </c>
    </row>
    <row r="11654" spans="8:8" x14ac:dyDescent="0.25">
      <c r="H11654" t="s">
        <v>30</v>
      </c>
    </row>
    <row r="11655" spans="8:8" x14ac:dyDescent="0.25">
      <c r="H11655" t="s">
        <v>137</v>
      </c>
    </row>
    <row r="11656" spans="8:8" x14ac:dyDescent="0.25">
      <c r="H11656" t="s">
        <v>18823</v>
      </c>
    </row>
    <row r="11657" spans="8:8" x14ac:dyDescent="0.25">
      <c r="H11657" t="s">
        <v>30</v>
      </c>
    </row>
    <row r="11658" spans="8:8" x14ac:dyDescent="0.25">
      <c r="H11658" t="s">
        <v>138</v>
      </c>
    </row>
    <row r="11659" spans="8:8" x14ac:dyDescent="0.25">
      <c r="H11659" t="s">
        <v>18824</v>
      </c>
    </row>
    <row r="11660" spans="8:8" x14ac:dyDescent="0.25">
      <c r="H11660" t="s">
        <v>30</v>
      </c>
    </row>
    <row r="11662" spans="8:8" x14ac:dyDescent="0.25">
      <c r="H11662" t="s">
        <v>13105</v>
      </c>
    </row>
    <row r="11663" spans="8:8" x14ac:dyDescent="0.25">
      <c r="H11663" t="s">
        <v>13106</v>
      </c>
    </row>
    <row r="11664" spans="8:8" x14ac:dyDescent="0.25">
      <c r="H11664" t="s">
        <v>135</v>
      </c>
    </row>
    <row r="11665" spans="8:8" x14ac:dyDescent="0.25">
      <c r="H11665" t="s">
        <v>18825</v>
      </c>
    </row>
    <row r="11666" spans="8:8" x14ac:dyDescent="0.25">
      <c r="H11666" t="s">
        <v>30</v>
      </c>
    </row>
    <row r="11667" spans="8:8" x14ac:dyDescent="0.25">
      <c r="H11667" t="s">
        <v>136</v>
      </c>
    </row>
    <row r="11668" spans="8:8" x14ac:dyDescent="0.25">
      <c r="H11668" t="s">
        <v>18826</v>
      </c>
    </row>
    <row r="11669" spans="8:8" x14ac:dyDescent="0.25">
      <c r="H11669" t="s">
        <v>30</v>
      </c>
    </row>
    <row r="11670" spans="8:8" x14ac:dyDescent="0.25">
      <c r="H11670" t="s">
        <v>137</v>
      </c>
    </row>
    <row r="11671" spans="8:8" x14ac:dyDescent="0.25">
      <c r="H11671" t="s">
        <v>18827</v>
      </c>
    </row>
    <row r="11672" spans="8:8" x14ac:dyDescent="0.25">
      <c r="H11672" t="s">
        <v>30</v>
      </c>
    </row>
    <row r="11673" spans="8:8" x14ac:dyDescent="0.25">
      <c r="H11673" t="s">
        <v>138</v>
      </c>
    </row>
    <row r="11674" spans="8:8" x14ac:dyDescent="0.25">
      <c r="H11674" t="s">
        <v>18828</v>
      </c>
    </row>
    <row r="11675" spans="8:8" x14ac:dyDescent="0.25">
      <c r="H11675" t="s">
        <v>30</v>
      </c>
    </row>
    <row r="11677" spans="8:8" x14ac:dyDescent="0.25">
      <c r="H11677" t="s">
        <v>13111</v>
      </c>
    </row>
    <row r="11678" spans="8:8" x14ac:dyDescent="0.25">
      <c r="H11678" t="s">
        <v>13112</v>
      </c>
    </row>
    <row r="11679" spans="8:8" x14ac:dyDescent="0.25">
      <c r="H11679" t="s">
        <v>135</v>
      </c>
    </row>
    <row r="11680" spans="8:8" x14ac:dyDescent="0.25">
      <c r="H11680" t="s">
        <v>18829</v>
      </c>
    </row>
    <row r="11681" spans="8:8" x14ac:dyDescent="0.25">
      <c r="H11681" t="s">
        <v>30</v>
      </c>
    </row>
    <row r="11682" spans="8:8" x14ac:dyDescent="0.25">
      <c r="H11682" t="s">
        <v>136</v>
      </c>
    </row>
    <row r="11683" spans="8:8" x14ac:dyDescent="0.25">
      <c r="H11683" t="s">
        <v>18830</v>
      </c>
    </row>
    <row r="11684" spans="8:8" x14ac:dyDescent="0.25">
      <c r="H11684" t="s">
        <v>30</v>
      </c>
    </row>
    <row r="11685" spans="8:8" x14ac:dyDescent="0.25">
      <c r="H11685" t="s">
        <v>137</v>
      </c>
    </row>
    <row r="11686" spans="8:8" x14ac:dyDescent="0.25">
      <c r="H11686" t="s">
        <v>18831</v>
      </c>
    </row>
    <row r="11687" spans="8:8" x14ac:dyDescent="0.25">
      <c r="H11687" t="s">
        <v>30</v>
      </c>
    </row>
    <row r="11688" spans="8:8" x14ac:dyDescent="0.25">
      <c r="H11688" t="s">
        <v>138</v>
      </c>
    </row>
    <row r="11689" spans="8:8" x14ac:dyDescent="0.25">
      <c r="H11689" t="s">
        <v>18832</v>
      </c>
    </row>
    <row r="11690" spans="8:8" x14ac:dyDescent="0.25">
      <c r="H11690" t="s">
        <v>30</v>
      </c>
    </row>
    <row r="11692" spans="8:8" x14ac:dyDescent="0.25">
      <c r="H11692" t="s">
        <v>13117</v>
      </c>
    </row>
    <row r="11693" spans="8:8" x14ac:dyDescent="0.25">
      <c r="H11693" t="s">
        <v>13118</v>
      </c>
    </row>
    <row r="11694" spans="8:8" x14ac:dyDescent="0.25">
      <c r="H11694" t="s">
        <v>135</v>
      </c>
    </row>
    <row r="11695" spans="8:8" x14ac:dyDescent="0.25">
      <c r="H11695" t="s">
        <v>18833</v>
      </c>
    </row>
    <row r="11696" spans="8:8" x14ac:dyDescent="0.25">
      <c r="H11696" t="s">
        <v>30</v>
      </c>
    </row>
    <row r="11697" spans="8:8" x14ac:dyDescent="0.25">
      <c r="H11697" t="s">
        <v>136</v>
      </c>
    </row>
    <row r="11698" spans="8:8" x14ac:dyDescent="0.25">
      <c r="H11698" t="s">
        <v>18834</v>
      </c>
    </row>
    <row r="11699" spans="8:8" x14ac:dyDescent="0.25">
      <c r="H11699" t="s">
        <v>30</v>
      </c>
    </row>
    <row r="11700" spans="8:8" x14ac:dyDescent="0.25">
      <c r="H11700" t="s">
        <v>137</v>
      </c>
    </row>
    <row r="11701" spans="8:8" x14ac:dyDescent="0.25">
      <c r="H11701" t="s">
        <v>18835</v>
      </c>
    </row>
    <row r="11702" spans="8:8" x14ac:dyDescent="0.25">
      <c r="H11702" t="s">
        <v>30</v>
      </c>
    </row>
    <row r="11703" spans="8:8" x14ac:dyDescent="0.25">
      <c r="H11703" t="s">
        <v>138</v>
      </c>
    </row>
    <row r="11704" spans="8:8" x14ac:dyDescent="0.25">
      <c r="H11704" t="s">
        <v>18836</v>
      </c>
    </row>
    <row r="11705" spans="8:8" x14ac:dyDescent="0.25">
      <c r="H11705" t="s">
        <v>30</v>
      </c>
    </row>
    <row r="11707" spans="8:8" x14ac:dyDescent="0.25">
      <c r="H11707" t="s">
        <v>13123</v>
      </c>
    </row>
    <row r="11708" spans="8:8" x14ac:dyDescent="0.25">
      <c r="H11708" t="s">
        <v>13124</v>
      </c>
    </row>
    <row r="11709" spans="8:8" x14ac:dyDescent="0.25">
      <c r="H11709" t="s">
        <v>135</v>
      </c>
    </row>
    <row r="11710" spans="8:8" x14ac:dyDescent="0.25">
      <c r="H11710" t="s">
        <v>18837</v>
      </c>
    </row>
    <row r="11711" spans="8:8" x14ac:dyDescent="0.25">
      <c r="H11711" t="s">
        <v>30</v>
      </c>
    </row>
    <row r="11712" spans="8:8" x14ac:dyDescent="0.25">
      <c r="H11712" t="s">
        <v>136</v>
      </c>
    </row>
    <row r="11713" spans="8:8" x14ac:dyDescent="0.25">
      <c r="H11713" t="s">
        <v>18838</v>
      </c>
    </row>
    <row r="11714" spans="8:8" x14ac:dyDescent="0.25">
      <c r="H11714" t="s">
        <v>30</v>
      </c>
    </row>
    <row r="11715" spans="8:8" x14ac:dyDescent="0.25">
      <c r="H11715" t="s">
        <v>137</v>
      </c>
    </row>
    <row r="11716" spans="8:8" x14ac:dyDescent="0.25">
      <c r="H11716" t="s">
        <v>18839</v>
      </c>
    </row>
    <row r="11717" spans="8:8" x14ac:dyDescent="0.25">
      <c r="H11717" t="s">
        <v>30</v>
      </c>
    </row>
    <row r="11718" spans="8:8" x14ac:dyDescent="0.25">
      <c r="H11718" t="s">
        <v>138</v>
      </c>
    </row>
    <row r="11719" spans="8:8" x14ac:dyDescent="0.25">
      <c r="H11719" t="s">
        <v>18840</v>
      </c>
    </row>
    <row r="11720" spans="8:8" x14ac:dyDescent="0.25">
      <c r="H11720" t="s">
        <v>30</v>
      </c>
    </row>
    <row r="11722" spans="8:8" x14ac:dyDescent="0.25">
      <c r="H11722" t="s">
        <v>13129</v>
      </c>
    </row>
    <row r="11723" spans="8:8" x14ac:dyDescent="0.25">
      <c r="H11723" t="s">
        <v>13130</v>
      </c>
    </row>
    <row r="11724" spans="8:8" x14ac:dyDescent="0.25">
      <c r="H11724" t="s">
        <v>135</v>
      </c>
    </row>
    <row r="11725" spans="8:8" x14ac:dyDescent="0.25">
      <c r="H11725" t="s">
        <v>18841</v>
      </c>
    </row>
    <row r="11726" spans="8:8" x14ac:dyDescent="0.25">
      <c r="H11726" t="s">
        <v>30</v>
      </c>
    </row>
    <row r="11727" spans="8:8" x14ac:dyDescent="0.25">
      <c r="H11727" t="s">
        <v>136</v>
      </c>
    </row>
    <row r="11728" spans="8:8" x14ac:dyDescent="0.25">
      <c r="H11728" t="s">
        <v>18842</v>
      </c>
    </row>
    <row r="11729" spans="8:8" x14ac:dyDescent="0.25">
      <c r="H11729" t="s">
        <v>30</v>
      </c>
    </row>
    <row r="11730" spans="8:8" x14ac:dyDescent="0.25">
      <c r="H11730" t="s">
        <v>137</v>
      </c>
    </row>
    <row r="11731" spans="8:8" x14ac:dyDescent="0.25">
      <c r="H11731" t="s">
        <v>18843</v>
      </c>
    </row>
    <row r="11732" spans="8:8" x14ac:dyDescent="0.25">
      <c r="H11732" t="s">
        <v>30</v>
      </c>
    </row>
    <row r="11733" spans="8:8" x14ac:dyDescent="0.25">
      <c r="H11733" t="s">
        <v>138</v>
      </c>
    </row>
    <row r="11734" spans="8:8" x14ac:dyDescent="0.25">
      <c r="H11734" t="s">
        <v>18844</v>
      </c>
    </row>
    <row r="11735" spans="8:8" x14ac:dyDescent="0.25">
      <c r="H11735" t="s">
        <v>30</v>
      </c>
    </row>
    <row r="11737" spans="8:8" x14ac:dyDescent="0.25">
      <c r="H11737" t="s">
        <v>13135</v>
      </c>
    </row>
    <row r="11738" spans="8:8" x14ac:dyDescent="0.25">
      <c r="H11738" t="s">
        <v>13136</v>
      </c>
    </row>
    <row r="11739" spans="8:8" x14ac:dyDescent="0.25">
      <c r="H11739" t="s">
        <v>135</v>
      </c>
    </row>
    <row r="11740" spans="8:8" x14ac:dyDescent="0.25">
      <c r="H11740" t="s">
        <v>18845</v>
      </c>
    </row>
    <row r="11741" spans="8:8" x14ac:dyDescent="0.25">
      <c r="H11741" t="s">
        <v>30</v>
      </c>
    </row>
    <row r="11742" spans="8:8" x14ac:dyDescent="0.25">
      <c r="H11742" t="s">
        <v>136</v>
      </c>
    </row>
    <row r="11743" spans="8:8" x14ac:dyDescent="0.25">
      <c r="H11743" t="s">
        <v>18846</v>
      </c>
    </row>
    <row r="11744" spans="8:8" x14ac:dyDescent="0.25">
      <c r="H11744" t="s">
        <v>30</v>
      </c>
    </row>
    <row r="11745" spans="8:8" x14ac:dyDescent="0.25">
      <c r="H11745" t="s">
        <v>137</v>
      </c>
    </row>
    <row r="11746" spans="8:8" x14ac:dyDescent="0.25">
      <c r="H11746" t="s">
        <v>18847</v>
      </c>
    </row>
    <row r="11747" spans="8:8" x14ac:dyDescent="0.25">
      <c r="H11747" t="s">
        <v>30</v>
      </c>
    </row>
    <row r="11748" spans="8:8" x14ac:dyDescent="0.25">
      <c r="H11748" t="s">
        <v>138</v>
      </c>
    </row>
    <row r="11749" spans="8:8" x14ac:dyDescent="0.25">
      <c r="H11749" t="s">
        <v>18848</v>
      </c>
    </row>
    <row r="11750" spans="8:8" x14ac:dyDescent="0.25">
      <c r="H11750" t="s">
        <v>30</v>
      </c>
    </row>
    <row r="11752" spans="8:8" x14ac:dyDescent="0.25">
      <c r="H11752" t="s">
        <v>13141</v>
      </c>
    </row>
    <row r="11753" spans="8:8" x14ac:dyDescent="0.25">
      <c r="H11753" t="s">
        <v>13142</v>
      </c>
    </row>
    <row r="11754" spans="8:8" x14ac:dyDescent="0.25">
      <c r="H11754" t="s">
        <v>135</v>
      </c>
    </row>
    <row r="11755" spans="8:8" x14ac:dyDescent="0.25">
      <c r="H11755" t="s">
        <v>18849</v>
      </c>
    </row>
    <row r="11756" spans="8:8" x14ac:dyDescent="0.25">
      <c r="H11756" t="s">
        <v>30</v>
      </c>
    </row>
    <row r="11757" spans="8:8" x14ac:dyDescent="0.25">
      <c r="H11757" t="s">
        <v>136</v>
      </c>
    </row>
    <row r="11758" spans="8:8" x14ac:dyDescent="0.25">
      <c r="H11758" t="s">
        <v>18850</v>
      </c>
    </row>
    <row r="11759" spans="8:8" x14ac:dyDescent="0.25">
      <c r="H11759" t="s">
        <v>30</v>
      </c>
    </row>
    <row r="11760" spans="8:8" x14ac:dyDescent="0.25">
      <c r="H11760" t="s">
        <v>137</v>
      </c>
    </row>
    <row r="11761" spans="8:8" x14ac:dyDescent="0.25">
      <c r="H11761" t="s">
        <v>18851</v>
      </c>
    </row>
    <row r="11762" spans="8:8" x14ac:dyDescent="0.25">
      <c r="H11762" t="s">
        <v>30</v>
      </c>
    </row>
    <row r="11763" spans="8:8" x14ac:dyDescent="0.25">
      <c r="H11763" t="s">
        <v>138</v>
      </c>
    </row>
    <row r="11764" spans="8:8" x14ac:dyDescent="0.25">
      <c r="H11764" t="s">
        <v>18852</v>
      </c>
    </row>
    <row r="11765" spans="8:8" x14ac:dyDescent="0.25">
      <c r="H11765" t="s">
        <v>30</v>
      </c>
    </row>
    <row r="11767" spans="8:8" x14ac:dyDescent="0.25">
      <c r="H11767" t="s">
        <v>13147</v>
      </c>
    </row>
    <row r="11768" spans="8:8" x14ac:dyDescent="0.25">
      <c r="H11768" t="s">
        <v>13148</v>
      </c>
    </row>
    <row r="11769" spans="8:8" x14ac:dyDescent="0.25">
      <c r="H11769" t="s">
        <v>135</v>
      </c>
    </row>
    <row r="11770" spans="8:8" x14ac:dyDescent="0.25">
      <c r="H11770" t="s">
        <v>18853</v>
      </c>
    </row>
    <row r="11771" spans="8:8" x14ac:dyDescent="0.25">
      <c r="H11771" t="s">
        <v>30</v>
      </c>
    </row>
    <row r="11772" spans="8:8" x14ac:dyDescent="0.25">
      <c r="H11772" t="s">
        <v>136</v>
      </c>
    </row>
    <row r="11773" spans="8:8" x14ac:dyDescent="0.25">
      <c r="H11773" t="s">
        <v>18854</v>
      </c>
    </row>
    <row r="11774" spans="8:8" x14ac:dyDescent="0.25">
      <c r="H11774" t="s">
        <v>30</v>
      </c>
    </row>
    <row r="11775" spans="8:8" x14ac:dyDescent="0.25">
      <c r="H11775" t="s">
        <v>137</v>
      </c>
    </row>
    <row r="11776" spans="8:8" x14ac:dyDescent="0.25">
      <c r="H11776" t="s">
        <v>18855</v>
      </c>
    </row>
    <row r="11777" spans="8:8" x14ac:dyDescent="0.25">
      <c r="H11777" t="s">
        <v>30</v>
      </c>
    </row>
    <row r="11778" spans="8:8" x14ac:dyDescent="0.25">
      <c r="H11778" t="s">
        <v>138</v>
      </c>
    </row>
    <row r="11779" spans="8:8" x14ac:dyDescent="0.25">
      <c r="H11779" t="s">
        <v>18856</v>
      </c>
    </row>
    <row r="11780" spans="8:8" x14ac:dyDescent="0.25">
      <c r="H11780" t="s">
        <v>30</v>
      </c>
    </row>
    <row r="11782" spans="8:8" x14ac:dyDescent="0.25">
      <c r="H11782" t="s">
        <v>13153</v>
      </c>
    </row>
    <row r="11783" spans="8:8" x14ac:dyDescent="0.25">
      <c r="H11783" t="s">
        <v>13154</v>
      </c>
    </row>
    <row r="11784" spans="8:8" x14ac:dyDescent="0.25">
      <c r="H11784" t="s">
        <v>135</v>
      </c>
    </row>
    <row r="11785" spans="8:8" x14ac:dyDescent="0.25">
      <c r="H11785" t="s">
        <v>18857</v>
      </c>
    </row>
    <row r="11786" spans="8:8" x14ac:dyDescent="0.25">
      <c r="H11786" t="s">
        <v>30</v>
      </c>
    </row>
    <row r="11787" spans="8:8" x14ac:dyDescent="0.25">
      <c r="H11787" t="s">
        <v>136</v>
      </c>
    </row>
    <row r="11788" spans="8:8" x14ac:dyDescent="0.25">
      <c r="H11788" t="s">
        <v>18858</v>
      </c>
    </row>
    <row r="11789" spans="8:8" x14ac:dyDescent="0.25">
      <c r="H11789" t="s">
        <v>30</v>
      </c>
    </row>
    <row r="11790" spans="8:8" x14ac:dyDescent="0.25">
      <c r="H11790" t="s">
        <v>137</v>
      </c>
    </row>
    <row r="11791" spans="8:8" x14ac:dyDescent="0.25">
      <c r="H11791" t="s">
        <v>18859</v>
      </c>
    </row>
    <row r="11792" spans="8:8" x14ac:dyDescent="0.25">
      <c r="H11792" t="s">
        <v>30</v>
      </c>
    </row>
    <row r="11793" spans="8:8" x14ac:dyDescent="0.25">
      <c r="H11793" t="s">
        <v>138</v>
      </c>
    </row>
    <row r="11794" spans="8:8" x14ac:dyDescent="0.25">
      <c r="H11794" t="s">
        <v>18860</v>
      </c>
    </row>
    <row r="11795" spans="8:8" x14ac:dyDescent="0.25">
      <c r="H11795" t="s">
        <v>30</v>
      </c>
    </row>
    <row r="11797" spans="8:8" x14ac:dyDescent="0.25">
      <c r="H11797" t="s">
        <v>13159</v>
      </c>
    </row>
    <row r="11798" spans="8:8" x14ac:dyDescent="0.25">
      <c r="H11798" t="s">
        <v>13160</v>
      </c>
    </row>
    <row r="11799" spans="8:8" x14ac:dyDescent="0.25">
      <c r="H11799" t="s">
        <v>135</v>
      </c>
    </row>
    <row r="11800" spans="8:8" x14ac:dyDescent="0.25">
      <c r="H11800" t="s">
        <v>18861</v>
      </c>
    </row>
    <row r="11801" spans="8:8" x14ac:dyDescent="0.25">
      <c r="H11801" t="s">
        <v>30</v>
      </c>
    </row>
    <row r="11802" spans="8:8" x14ac:dyDescent="0.25">
      <c r="H11802" t="s">
        <v>136</v>
      </c>
    </row>
    <row r="11803" spans="8:8" x14ac:dyDescent="0.25">
      <c r="H11803" t="s">
        <v>18862</v>
      </c>
    </row>
    <row r="11804" spans="8:8" x14ac:dyDescent="0.25">
      <c r="H11804" t="s">
        <v>30</v>
      </c>
    </row>
    <row r="11805" spans="8:8" x14ac:dyDescent="0.25">
      <c r="H11805" t="s">
        <v>137</v>
      </c>
    </row>
    <row r="11806" spans="8:8" x14ac:dyDescent="0.25">
      <c r="H11806" t="s">
        <v>18863</v>
      </c>
    </row>
    <row r="11807" spans="8:8" x14ac:dyDescent="0.25">
      <c r="H11807" t="s">
        <v>30</v>
      </c>
    </row>
    <row r="11808" spans="8:8" x14ac:dyDescent="0.25">
      <c r="H11808" t="s">
        <v>138</v>
      </c>
    </row>
    <row r="11809" spans="8:8" x14ac:dyDescent="0.25">
      <c r="H11809" t="s">
        <v>18864</v>
      </c>
    </row>
    <row r="11810" spans="8:8" x14ac:dyDescent="0.25">
      <c r="H11810" t="s">
        <v>30</v>
      </c>
    </row>
    <row r="11812" spans="8:8" x14ac:dyDescent="0.25">
      <c r="H11812" t="s">
        <v>13165</v>
      </c>
    </row>
    <row r="11813" spans="8:8" x14ac:dyDescent="0.25">
      <c r="H11813" t="s">
        <v>13166</v>
      </c>
    </row>
    <row r="11814" spans="8:8" x14ac:dyDescent="0.25">
      <c r="H11814" t="s">
        <v>135</v>
      </c>
    </row>
    <row r="11815" spans="8:8" x14ac:dyDescent="0.25">
      <c r="H11815" t="s">
        <v>18865</v>
      </c>
    </row>
    <row r="11816" spans="8:8" x14ac:dyDescent="0.25">
      <c r="H11816" t="s">
        <v>30</v>
      </c>
    </row>
    <row r="11817" spans="8:8" x14ac:dyDescent="0.25">
      <c r="H11817" t="s">
        <v>136</v>
      </c>
    </row>
    <row r="11818" spans="8:8" x14ac:dyDescent="0.25">
      <c r="H11818" t="s">
        <v>18866</v>
      </c>
    </row>
    <row r="11819" spans="8:8" x14ac:dyDescent="0.25">
      <c r="H11819" t="s">
        <v>30</v>
      </c>
    </row>
    <row r="11820" spans="8:8" x14ac:dyDescent="0.25">
      <c r="H11820" t="s">
        <v>137</v>
      </c>
    </row>
    <row r="11821" spans="8:8" x14ac:dyDescent="0.25">
      <c r="H11821" t="s">
        <v>18867</v>
      </c>
    </row>
    <row r="11822" spans="8:8" x14ac:dyDescent="0.25">
      <c r="H11822" t="s">
        <v>30</v>
      </c>
    </row>
    <row r="11823" spans="8:8" x14ac:dyDescent="0.25">
      <c r="H11823" t="s">
        <v>138</v>
      </c>
    </row>
    <row r="11824" spans="8:8" x14ac:dyDescent="0.25">
      <c r="H11824" t="s">
        <v>18868</v>
      </c>
    </row>
    <row r="11825" spans="8:8" x14ac:dyDescent="0.25">
      <c r="H11825" t="s">
        <v>30</v>
      </c>
    </row>
    <row r="11827" spans="8:8" x14ac:dyDescent="0.25">
      <c r="H11827" t="s">
        <v>13171</v>
      </c>
    </row>
    <row r="11828" spans="8:8" x14ac:dyDescent="0.25">
      <c r="H11828" t="s">
        <v>13172</v>
      </c>
    </row>
    <row r="11829" spans="8:8" x14ac:dyDescent="0.25">
      <c r="H11829" t="s">
        <v>135</v>
      </c>
    </row>
    <row r="11830" spans="8:8" x14ac:dyDescent="0.25">
      <c r="H11830" t="s">
        <v>18869</v>
      </c>
    </row>
    <row r="11831" spans="8:8" x14ac:dyDescent="0.25">
      <c r="H11831" t="s">
        <v>30</v>
      </c>
    </row>
    <row r="11832" spans="8:8" x14ac:dyDescent="0.25">
      <c r="H11832" t="s">
        <v>136</v>
      </c>
    </row>
    <row r="11833" spans="8:8" x14ac:dyDescent="0.25">
      <c r="H11833" t="s">
        <v>18870</v>
      </c>
    </row>
    <row r="11834" spans="8:8" x14ac:dyDescent="0.25">
      <c r="H11834" t="s">
        <v>30</v>
      </c>
    </row>
    <row r="11835" spans="8:8" x14ac:dyDescent="0.25">
      <c r="H11835" t="s">
        <v>137</v>
      </c>
    </row>
    <row r="11836" spans="8:8" x14ac:dyDescent="0.25">
      <c r="H11836" t="s">
        <v>18871</v>
      </c>
    </row>
    <row r="11837" spans="8:8" x14ac:dyDescent="0.25">
      <c r="H11837" t="s">
        <v>30</v>
      </c>
    </row>
    <row r="11838" spans="8:8" x14ac:dyDescent="0.25">
      <c r="H11838" t="s">
        <v>138</v>
      </c>
    </row>
    <row r="11839" spans="8:8" x14ac:dyDescent="0.25">
      <c r="H11839" t="s">
        <v>18872</v>
      </c>
    </row>
    <row r="11840" spans="8:8" x14ac:dyDescent="0.25">
      <c r="H11840" t="s">
        <v>30</v>
      </c>
    </row>
    <row r="11842" spans="8:8" x14ac:dyDescent="0.25">
      <c r="H11842" t="s">
        <v>13177</v>
      </c>
    </row>
    <row r="11843" spans="8:8" x14ac:dyDescent="0.25">
      <c r="H11843" t="s">
        <v>13178</v>
      </c>
    </row>
    <row r="11844" spans="8:8" x14ac:dyDescent="0.25">
      <c r="H11844" t="s">
        <v>135</v>
      </c>
    </row>
    <row r="11845" spans="8:8" x14ac:dyDescent="0.25">
      <c r="H11845" t="s">
        <v>18873</v>
      </c>
    </row>
    <row r="11846" spans="8:8" x14ac:dyDescent="0.25">
      <c r="H11846" t="s">
        <v>30</v>
      </c>
    </row>
    <row r="11847" spans="8:8" x14ac:dyDescent="0.25">
      <c r="H11847" t="s">
        <v>136</v>
      </c>
    </row>
    <row r="11848" spans="8:8" x14ac:dyDescent="0.25">
      <c r="H11848" t="s">
        <v>18874</v>
      </c>
    </row>
    <row r="11849" spans="8:8" x14ac:dyDescent="0.25">
      <c r="H11849" t="s">
        <v>30</v>
      </c>
    </row>
    <row r="11850" spans="8:8" x14ac:dyDescent="0.25">
      <c r="H11850" t="s">
        <v>137</v>
      </c>
    </row>
    <row r="11851" spans="8:8" x14ac:dyDescent="0.25">
      <c r="H11851" t="s">
        <v>18875</v>
      </c>
    </row>
    <row r="11852" spans="8:8" x14ac:dyDescent="0.25">
      <c r="H11852" t="s">
        <v>30</v>
      </c>
    </row>
    <row r="11853" spans="8:8" x14ac:dyDescent="0.25">
      <c r="H11853" t="s">
        <v>138</v>
      </c>
    </row>
    <row r="11854" spans="8:8" x14ac:dyDescent="0.25">
      <c r="H11854" t="s">
        <v>18876</v>
      </c>
    </row>
    <row r="11855" spans="8:8" x14ac:dyDescent="0.25">
      <c r="H11855" t="s">
        <v>30</v>
      </c>
    </row>
    <row r="11857" spans="8:8" x14ac:dyDescent="0.25">
      <c r="H11857" t="s">
        <v>13183</v>
      </c>
    </row>
    <row r="11858" spans="8:8" x14ac:dyDescent="0.25">
      <c r="H11858" t="s">
        <v>13184</v>
      </c>
    </row>
    <row r="11859" spans="8:8" x14ac:dyDescent="0.25">
      <c r="H11859" t="s">
        <v>135</v>
      </c>
    </row>
    <row r="11860" spans="8:8" x14ac:dyDescent="0.25">
      <c r="H11860" t="s">
        <v>18877</v>
      </c>
    </row>
    <row r="11861" spans="8:8" x14ac:dyDescent="0.25">
      <c r="H11861" t="s">
        <v>30</v>
      </c>
    </row>
    <row r="11862" spans="8:8" x14ac:dyDescent="0.25">
      <c r="H11862" t="s">
        <v>136</v>
      </c>
    </row>
    <row r="11863" spans="8:8" x14ac:dyDescent="0.25">
      <c r="H11863" t="s">
        <v>18878</v>
      </c>
    </row>
    <row r="11864" spans="8:8" x14ac:dyDescent="0.25">
      <c r="H11864" t="s">
        <v>30</v>
      </c>
    </row>
    <row r="11865" spans="8:8" x14ac:dyDescent="0.25">
      <c r="H11865" t="s">
        <v>137</v>
      </c>
    </row>
    <row r="11866" spans="8:8" x14ac:dyDescent="0.25">
      <c r="H11866" t="s">
        <v>18879</v>
      </c>
    </row>
    <row r="11867" spans="8:8" x14ac:dyDescent="0.25">
      <c r="H11867" t="s">
        <v>30</v>
      </c>
    </row>
    <row r="11868" spans="8:8" x14ac:dyDescent="0.25">
      <c r="H11868" t="s">
        <v>138</v>
      </c>
    </row>
    <row r="11869" spans="8:8" x14ac:dyDescent="0.25">
      <c r="H11869" t="s">
        <v>18880</v>
      </c>
    </row>
    <row r="11870" spans="8:8" x14ac:dyDescent="0.25">
      <c r="H11870" t="s">
        <v>30</v>
      </c>
    </row>
    <row r="11872" spans="8:8" x14ac:dyDescent="0.25">
      <c r="H11872" t="s">
        <v>13189</v>
      </c>
    </row>
    <row r="11873" spans="8:8" x14ac:dyDescent="0.25">
      <c r="H11873" t="s">
        <v>13190</v>
      </c>
    </row>
    <row r="11874" spans="8:8" x14ac:dyDescent="0.25">
      <c r="H11874" t="s">
        <v>135</v>
      </c>
    </row>
    <row r="11875" spans="8:8" x14ac:dyDescent="0.25">
      <c r="H11875" t="s">
        <v>18881</v>
      </c>
    </row>
    <row r="11876" spans="8:8" x14ac:dyDescent="0.25">
      <c r="H11876" t="s">
        <v>30</v>
      </c>
    </row>
    <row r="11877" spans="8:8" x14ac:dyDescent="0.25">
      <c r="H11877" t="s">
        <v>136</v>
      </c>
    </row>
    <row r="11878" spans="8:8" x14ac:dyDescent="0.25">
      <c r="H11878" t="s">
        <v>18882</v>
      </c>
    </row>
    <row r="11879" spans="8:8" x14ac:dyDescent="0.25">
      <c r="H11879" t="s">
        <v>30</v>
      </c>
    </row>
    <row r="11880" spans="8:8" x14ac:dyDescent="0.25">
      <c r="H11880" t="s">
        <v>137</v>
      </c>
    </row>
    <row r="11881" spans="8:8" x14ac:dyDescent="0.25">
      <c r="H11881" t="s">
        <v>18883</v>
      </c>
    </row>
    <row r="11882" spans="8:8" x14ac:dyDescent="0.25">
      <c r="H11882" t="s">
        <v>30</v>
      </c>
    </row>
    <row r="11883" spans="8:8" x14ac:dyDescent="0.25">
      <c r="H11883" t="s">
        <v>138</v>
      </c>
    </row>
    <row r="11884" spans="8:8" x14ac:dyDescent="0.25">
      <c r="H11884" t="s">
        <v>18884</v>
      </c>
    </row>
    <row r="11885" spans="8:8" x14ac:dyDescent="0.25">
      <c r="H11885" t="s">
        <v>30</v>
      </c>
    </row>
    <row r="11887" spans="8:8" x14ac:dyDescent="0.25">
      <c r="H11887" t="s">
        <v>13195</v>
      </c>
    </row>
    <row r="11888" spans="8:8" x14ac:dyDescent="0.25">
      <c r="H11888" t="s">
        <v>13196</v>
      </c>
    </row>
    <row r="11889" spans="8:8" x14ac:dyDescent="0.25">
      <c r="H11889" t="s">
        <v>135</v>
      </c>
    </row>
    <row r="11890" spans="8:8" x14ac:dyDescent="0.25">
      <c r="H11890" t="s">
        <v>18885</v>
      </c>
    </row>
    <row r="11891" spans="8:8" x14ac:dyDescent="0.25">
      <c r="H11891" t="s">
        <v>30</v>
      </c>
    </row>
    <row r="11892" spans="8:8" x14ac:dyDescent="0.25">
      <c r="H11892" t="s">
        <v>136</v>
      </c>
    </row>
    <row r="11893" spans="8:8" x14ac:dyDescent="0.25">
      <c r="H11893" t="s">
        <v>18886</v>
      </c>
    </row>
    <row r="11894" spans="8:8" x14ac:dyDescent="0.25">
      <c r="H11894" t="s">
        <v>30</v>
      </c>
    </row>
    <row r="11895" spans="8:8" x14ac:dyDescent="0.25">
      <c r="H11895" t="s">
        <v>137</v>
      </c>
    </row>
    <row r="11896" spans="8:8" x14ac:dyDescent="0.25">
      <c r="H11896" t="s">
        <v>18887</v>
      </c>
    </row>
    <row r="11897" spans="8:8" x14ac:dyDescent="0.25">
      <c r="H11897" t="s">
        <v>30</v>
      </c>
    </row>
    <row r="11898" spans="8:8" x14ac:dyDescent="0.25">
      <c r="H11898" t="s">
        <v>138</v>
      </c>
    </row>
    <row r="11899" spans="8:8" x14ac:dyDescent="0.25">
      <c r="H11899" t="s">
        <v>18888</v>
      </c>
    </row>
    <row r="11900" spans="8:8" x14ac:dyDescent="0.25">
      <c r="H11900" t="s">
        <v>30</v>
      </c>
    </row>
    <row r="11902" spans="8:8" x14ac:dyDescent="0.25">
      <c r="H11902" t="s">
        <v>13201</v>
      </c>
    </row>
    <row r="11903" spans="8:8" x14ac:dyDescent="0.25">
      <c r="H11903" t="s">
        <v>13202</v>
      </c>
    </row>
    <row r="11904" spans="8:8" x14ac:dyDescent="0.25">
      <c r="H11904" t="s">
        <v>135</v>
      </c>
    </row>
    <row r="11905" spans="8:8" x14ac:dyDescent="0.25">
      <c r="H11905" t="s">
        <v>18889</v>
      </c>
    </row>
    <row r="11906" spans="8:8" x14ac:dyDescent="0.25">
      <c r="H11906" t="s">
        <v>30</v>
      </c>
    </row>
    <row r="11907" spans="8:8" x14ac:dyDescent="0.25">
      <c r="H11907" t="s">
        <v>136</v>
      </c>
    </row>
    <row r="11908" spans="8:8" x14ac:dyDescent="0.25">
      <c r="H11908" t="s">
        <v>18890</v>
      </c>
    </row>
    <row r="11909" spans="8:8" x14ac:dyDescent="0.25">
      <c r="H11909" t="s">
        <v>30</v>
      </c>
    </row>
    <row r="11910" spans="8:8" x14ac:dyDescent="0.25">
      <c r="H11910" t="s">
        <v>137</v>
      </c>
    </row>
    <row r="11911" spans="8:8" x14ac:dyDescent="0.25">
      <c r="H11911" t="s">
        <v>18891</v>
      </c>
    </row>
    <row r="11912" spans="8:8" x14ac:dyDescent="0.25">
      <c r="H11912" t="s">
        <v>30</v>
      </c>
    </row>
    <row r="11913" spans="8:8" x14ac:dyDescent="0.25">
      <c r="H11913" t="s">
        <v>138</v>
      </c>
    </row>
    <row r="11914" spans="8:8" x14ac:dyDescent="0.25">
      <c r="H11914" t="s">
        <v>18892</v>
      </c>
    </row>
    <row r="11915" spans="8:8" x14ac:dyDescent="0.25">
      <c r="H11915" t="s">
        <v>30</v>
      </c>
    </row>
    <row r="11917" spans="8:8" x14ac:dyDescent="0.25">
      <c r="H11917" t="s">
        <v>13207</v>
      </c>
    </row>
    <row r="11918" spans="8:8" x14ac:dyDescent="0.25">
      <c r="H11918" t="s">
        <v>13208</v>
      </c>
    </row>
    <row r="11919" spans="8:8" x14ac:dyDescent="0.25">
      <c r="H11919" t="s">
        <v>135</v>
      </c>
    </row>
    <row r="11920" spans="8:8" x14ac:dyDescent="0.25">
      <c r="H11920" t="s">
        <v>18893</v>
      </c>
    </row>
    <row r="11921" spans="8:8" x14ac:dyDescent="0.25">
      <c r="H11921" t="s">
        <v>30</v>
      </c>
    </row>
    <row r="11922" spans="8:8" x14ac:dyDescent="0.25">
      <c r="H11922" t="s">
        <v>136</v>
      </c>
    </row>
    <row r="11923" spans="8:8" x14ac:dyDescent="0.25">
      <c r="H11923" t="s">
        <v>18894</v>
      </c>
    </row>
    <row r="11924" spans="8:8" x14ac:dyDescent="0.25">
      <c r="H11924" t="s">
        <v>30</v>
      </c>
    </row>
    <row r="11925" spans="8:8" x14ac:dyDescent="0.25">
      <c r="H11925" t="s">
        <v>137</v>
      </c>
    </row>
    <row r="11926" spans="8:8" x14ac:dyDescent="0.25">
      <c r="H11926" t="s">
        <v>18895</v>
      </c>
    </row>
    <row r="11927" spans="8:8" x14ac:dyDescent="0.25">
      <c r="H11927" t="s">
        <v>30</v>
      </c>
    </row>
    <row r="11928" spans="8:8" x14ac:dyDescent="0.25">
      <c r="H11928" t="s">
        <v>138</v>
      </c>
    </row>
    <row r="11929" spans="8:8" x14ac:dyDescent="0.25">
      <c r="H11929" t="s">
        <v>18896</v>
      </c>
    </row>
    <row r="11930" spans="8:8" x14ac:dyDescent="0.25">
      <c r="H11930" t="s">
        <v>30</v>
      </c>
    </row>
    <row r="11932" spans="8:8" x14ac:dyDescent="0.25">
      <c r="H11932" t="s">
        <v>13213</v>
      </c>
    </row>
    <row r="11933" spans="8:8" x14ac:dyDescent="0.25">
      <c r="H11933" t="s">
        <v>13214</v>
      </c>
    </row>
    <row r="11934" spans="8:8" x14ac:dyDescent="0.25">
      <c r="H11934" t="s">
        <v>135</v>
      </c>
    </row>
    <row r="11935" spans="8:8" x14ac:dyDescent="0.25">
      <c r="H11935" t="s">
        <v>18897</v>
      </c>
    </row>
    <row r="11936" spans="8:8" x14ac:dyDescent="0.25">
      <c r="H11936" t="s">
        <v>30</v>
      </c>
    </row>
    <row r="11937" spans="8:8" x14ac:dyDescent="0.25">
      <c r="H11937" t="s">
        <v>136</v>
      </c>
    </row>
    <row r="11938" spans="8:8" x14ac:dyDescent="0.25">
      <c r="H11938" t="s">
        <v>18898</v>
      </c>
    </row>
    <row r="11939" spans="8:8" x14ac:dyDescent="0.25">
      <c r="H11939" t="s">
        <v>30</v>
      </c>
    </row>
    <row r="11940" spans="8:8" x14ac:dyDescent="0.25">
      <c r="H11940" t="s">
        <v>137</v>
      </c>
    </row>
    <row r="11941" spans="8:8" x14ac:dyDescent="0.25">
      <c r="H11941" t="s">
        <v>18899</v>
      </c>
    </row>
    <row r="11942" spans="8:8" x14ac:dyDescent="0.25">
      <c r="H11942" t="s">
        <v>30</v>
      </c>
    </row>
    <row r="11943" spans="8:8" x14ac:dyDescent="0.25">
      <c r="H11943" t="s">
        <v>138</v>
      </c>
    </row>
    <row r="11944" spans="8:8" x14ac:dyDescent="0.25">
      <c r="H11944" t="s">
        <v>18900</v>
      </c>
    </row>
    <row r="11945" spans="8:8" x14ac:dyDescent="0.25">
      <c r="H11945" t="s">
        <v>30</v>
      </c>
    </row>
    <row r="11947" spans="8:8" x14ac:dyDescent="0.25">
      <c r="H11947" t="s">
        <v>13219</v>
      </c>
    </row>
    <row r="11948" spans="8:8" x14ac:dyDescent="0.25">
      <c r="H11948" t="s">
        <v>13220</v>
      </c>
    </row>
    <row r="11949" spans="8:8" x14ac:dyDescent="0.25">
      <c r="H11949" t="s">
        <v>135</v>
      </c>
    </row>
    <row r="11950" spans="8:8" x14ac:dyDescent="0.25">
      <c r="H11950" t="s">
        <v>18901</v>
      </c>
    </row>
    <row r="11951" spans="8:8" x14ac:dyDescent="0.25">
      <c r="H11951" t="s">
        <v>30</v>
      </c>
    </row>
    <row r="11952" spans="8:8" x14ac:dyDescent="0.25">
      <c r="H11952" t="s">
        <v>136</v>
      </c>
    </row>
    <row r="11953" spans="8:8" x14ac:dyDescent="0.25">
      <c r="H11953" t="s">
        <v>18902</v>
      </c>
    </row>
    <row r="11954" spans="8:8" x14ac:dyDescent="0.25">
      <c r="H11954" t="s">
        <v>30</v>
      </c>
    </row>
    <row r="11955" spans="8:8" x14ac:dyDescent="0.25">
      <c r="H11955" t="s">
        <v>137</v>
      </c>
    </row>
    <row r="11956" spans="8:8" x14ac:dyDescent="0.25">
      <c r="H11956" t="s">
        <v>18903</v>
      </c>
    </row>
    <row r="11957" spans="8:8" x14ac:dyDescent="0.25">
      <c r="H11957" t="s">
        <v>30</v>
      </c>
    </row>
    <row r="11958" spans="8:8" x14ac:dyDescent="0.25">
      <c r="H11958" t="s">
        <v>138</v>
      </c>
    </row>
    <row r="11959" spans="8:8" x14ac:dyDescent="0.25">
      <c r="H11959" t="s">
        <v>18904</v>
      </c>
    </row>
    <row r="11960" spans="8:8" x14ac:dyDescent="0.25">
      <c r="H11960" t="s">
        <v>30</v>
      </c>
    </row>
    <row r="11962" spans="8:8" x14ac:dyDescent="0.25">
      <c r="H11962" t="s">
        <v>13225</v>
      </c>
    </row>
    <row r="11963" spans="8:8" x14ac:dyDescent="0.25">
      <c r="H11963" t="s">
        <v>13226</v>
      </c>
    </row>
    <row r="11964" spans="8:8" x14ac:dyDescent="0.25">
      <c r="H11964" t="s">
        <v>135</v>
      </c>
    </row>
    <row r="11965" spans="8:8" x14ac:dyDescent="0.25">
      <c r="H11965" t="s">
        <v>18905</v>
      </c>
    </row>
    <row r="11966" spans="8:8" x14ac:dyDescent="0.25">
      <c r="H11966" t="s">
        <v>30</v>
      </c>
    </row>
    <row r="11967" spans="8:8" x14ac:dyDescent="0.25">
      <c r="H11967" t="s">
        <v>136</v>
      </c>
    </row>
    <row r="11968" spans="8:8" x14ac:dyDescent="0.25">
      <c r="H11968" t="s">
        <v>18906</v>
      </c>
    </row>
    <row r="11969" spans="8:8" x14ac:dyDescent="0.25">
      <c r="H11969" t="s">
        <v>30</v>
      </c>
    </row>
    <row r="11970" spans="8:8" x14ac:dyDescent="0.25">
      <c r="H11970" t="s">
        <v>137</v>
      </c>
    </row>
    <row r="11971" spans="8:8" x14ac:dyDescent="0.25">
      <c r="H11971" t="s">
        <v>18907</v>
      </c>
    </row>
    <row r="11972" spans="8:8" x14ac:dyDescent="0.25">
      <c r="H11972" t="s">
        <v>30</v>
      </c>
    </row>
    <row r="11973" spans="8:8" x14ac:dyDescent="0.25">
      <c r="H11973" t="s">
        <v>138</v>
      </c>
    </row>
    <row r="11974" spans="8:8" x14ac:dyDescent="0.25">
      <c r="H11974" t="s">
        <v>18908</v>
      </c>
    </row>
    <row r="11975" spans="8:8" x14ac:dyDescent="0.25">
      <c r="H11975" t="s">
        <v>30</v>
      </c>
    </row>
    <row r="11977" spans="8:8" x14ac:dyDescent="0.25">
      <c r="H11977" t="s">
        <v>13231</v>
      </c>
    </row>
    <row r="11978" spans="8:8" x14ac:dyDescent="0.25">
      <c r="H11978" t="s">
        <v>13232</v>
      </c>
    </row>
    <row r="11979" spans="8:8" x14ac:dyDescent="0.25">
      <c r="H11979" t="s">
        <v>135</v>
      </c>
    </row>
    <row r="11980" spans="8:8" x14ac:dyDescent="0.25">
      <c r="H11980" t="s">
        <v>18909</v>
      </c>
    </row>
    <row r="11981" spans="8:8" x14ac:dyDescent="0.25">
      <c r="H11981" t="s">
        <v>30</v>
      </c>
    </row>
    <row r="11982" spans="8:8" x14ac:dyDescent="0.25">
      <c r="H11982" t="s">
        <v>136</v>
      </c>
    </row>
    <row r="11983" spans="8:8" x14ac:dyDescent="0.25">
      <c r="H11983" t="s">
        <v>18910</v>
      </c>
    </row>
    <row r="11984" spans="8:8" x14ac:dyDescent="0.25">
      <c r="H11984" t="s">
        <v>30</v>
      </c>
    </row>
    <row r="11985" spans="8:8" x14ac:dyDescent="0.25">
      <c r="H11985" t="s">
        <v>137</v>
      </c>
    </row>
    <row r="11986" spans="8:8" x14ac:dyDescent="0.25">
      <c r="H11986" t="s">
        <v>18911</v>
      </c>
    </row>
    <row r="11987" spans="8:8" x14ac:dyDescent="0.25">
      <c r="H11987" t="s">
        <v>30</v>
      </c>
    </row>
    <row r="11988" spans="8:8" x14ac:dyDescent="0.25">
      <c r="H11988" t="s">
        <v>138</v>
      </c>
    </row>
    <row r="11989" spans="8:8" x14ac:dyDescent="0.25">
      <c r="H11989" t="s">
        <v>18912</v>
      </c>
    </row>
    <row r="11990" spans="8:8" x14ac:dyDescent="0.25">
      <c r="H11990" t="s">
        <v>30</v>
      </c>
    </row>
    <row r="11992" spans="8:8" x14ac:dyDescent="0.25">
      <c r="H11992" t="s">
        <v>13237</v>
      </c>
    </row>
    <row r="11993" spans="8:8" x14ac:dyDescent="0.25">
      <c r="H11993" t="s">
        <v>13238</v>
      </c>
    </row>
    <row r="11994" spans="8:8" x14ac:dyDescent="0.25">
      <c r="H11994" t="s">
        <v>135</v>
      </c>
    </row>
    <row r="11995" spans="8:8" x14ac:dyDescent="0.25">
      <c r="H11995" t="s">
        <v>18913</v>
      </c>
    </row>
    <row r="11996" spans="8:8" x14ac:dyDescent="0.25">
      <c r="H11996" t="s">
        <v>30</v>
      </c>
    </row>
    <row r="11997" spans="8:8" x14ac:dyDescent="0.25">
      <c r="H11997" t="s">
        <v>136</v>
      </c>
    </row>
    <row r="11998" spans="8:8" x14ac:dyDescent="0.25">
      <c r="H11998" t="s">
        <v>18914</v>
      </c>
    </row>
    <row r="11999" spans="8:8" x14ac:dyDescent="0.25">
      <c r="H11999" t="s">
        <v>30</v>
      </c>
    </row>
    <row r="12000" spans="8:8" x14ac:dyDescent="0.25">
      <c r="H12000" t="s">
        <v>137</v>
      </c>
    </row>
    <row r="12001" spans="8:8" x14ac:dyDescent="0.25">
      <c r="H12001" t="s">
        <v>18915</v>
      </c>
    </row>
    <row r="12002" spans="8:8" x14ac:dyDescent="0.25">
      <c r="H12002" t="s">
        <v>30</v>
      </c>
    </row>
    <row r="12003" spans="8:8" x14ac:dyDescent="0.25">
      <c r="H12003" t="s">
        <v>138</v>
      </c>
    </row>
    <row r="12004" spans="8:8" x14ac:dyDescent="0.25">
      <c r="H12004" t="s">
        <v>18916</v>
      </c>
    </row>
    <row r="12005" spans="8:8" x14ac:dyDescent="0.25">
      <c r="H12005" t="s">
        <v>30</v>
      </c>
    </row>
    <row r="12007" spans="8:8" x14ac:dyDescent="0.25">
      <c r="H12007" t="s">
        <v>13243</v>
      </c>
    </row>
    <row r="12008" spans="8:8" x14ac:dyDescent="0.25">
      <c r="H12008" t="s">
        <v>13244</v>
      </c>
    </row>
    <row r="12009" spans="8:8" x14ac:dyDescent="0.25">
      <c r="H12009" t="s">
        <v>135</v>
      </c>
    </row>
    <row r="12010" spans="8:8" x14ac:dyDescent="0.25">
      <c r="H12010" t="s">
        <v>18917</v>
      </c>
    </row>
    <row r="12011" spans="8:8" x14ac:dyDescent="0.25">
      <c r="H12011" t="s">
        <v>30</v>
      </c>
    </row>
    <row r="12012" spans="8:8" x14ac:dyDescent="0.25">
      <c r="H12012" t="s">
        <v>136</v>
      </c>
    </row>
    <row r="12013" spans="8:8" x14ac:dyDescent="0.25">
      <c r="H12013" t="s">
        <v>18918</v>
      </c>
    </row>
    <row r="12014" spans="8:8" x14ac:dyDescent="0.25">
      <c r="H12014" t="s">
        <v>30</v>
      </c>
    </row>
    <row r="12015" spans="8:8" x14ac:dyDescent="0.25">
      <c r="H12015" t="s">
        <v>137</v>
      </c>
    </row>
    <row r="12016" spans="8:8" x14ac:dyDescent="0.25">
      <c r="H12016" t="s">
        <v>18919</v>
      </c>
    </row>
    <row r="12017" spans="8:8" x14ac:dyDescent="0.25">
      <c r="H12017" t="s">
        <v>30</v>
      </c>
    </row>
    <row r="12018" spans="8:8" x14ac:dyDescent="0.25">
      <c r="H12018" t="s">
        <v>138</v>
      </c>
    </row>
    <row r="12019" spans="8:8" x14ac:dyDescent="0.25">
      <c r="H12019" t="s">
        <v>18920</v>
      </c>
    </row>
    <row r="12020" spans="8:8" x14ac:dyDescent="0.25">
      <c r="H12020" t="s">
        <v>30</v>
      </c>
    </row>
    <row r="12022" spans="8:8" x14ac:dyDescent="0.25">
      <c r="H12022" t="s">
        <v>13249</v>
      </c>
    </row>
    <row r="12023" spans="8:8" x14ac:dyDescent="0.25">
      <c r="H12023" t="s">
        <v>13250</v>
      </c>
    </row>
    <row r="12024" spans="8:8" x14ac:dyDescent="0.25">
      <c r="H12024" t="s">
        <v>135</v>
      </c>
    </row>
    <row r="12025" spans="8:8" x14ac:dyDescent="0.25">
      <c r="H12025" t="s">
        <v>18921</v>
      </c>
    </row>
    <row r="12026" spans="8:8" x14ac:dyDescent="0.25">
      <c r="H12026" t="s">
        <v>30</v>
      </c>
    </row>
    <row r="12027" spans="8:8" x14ac:dyDescent="0.25">
      <c r="H12027" t="s">
        <v>136</v>
      </c>
    </row>
    <row r="12028" spans="8:8" x14ac:dyDescent="0.25">
      <c r="H12028" t="s">
        <v>18922</v>
      </c>
    </row>
    <row r="12029" spans="8:8" x14ac:dyDescent="0.25">
      <c r="H12029" t="s">
        <v>30</v>
      </c>
    </row>
    <row r="12030" spans="8:8" x14ac:dyDescent="0.25">
      <c r="H12030" t="s">
        <v>137</v>
      </c>
    </row>
    <row r="12031" spans="8:8" x14ac:dyDescent="0.25">
      <c r="H12031" t="s">
        <v>18923</v>
      </c>
    </row>
    <row r="12032" spans="8:8" x14ac:dyDescent="0.25">
      <c r="H12032" t="s">
        <v>30</v>
      </c>
    </row>
    <row r="12033" spans="8:8" x14ac:dyDescent="0.25">
      <c r="H12033" t="s">
        <v>138</v>
      </c>
    </row>
    <row r="12034" spans="8:8" x14ac:dyDescent="0.25">
      <c r="H12034" t="s">
        <v>18924</v>
      </c>
    </row>
    <row r="12035" spans="8:8" x14ac:dyDescent="0.25">
      <c r="H12035" t="s">
        <v>30</v>
      </c>
    </row>
    <row r="12037" spans="8:8" x14ac:dyDescent="0.25">
      <c r="H12037" t="s">
        <v>13255</v>
      </c>
    </row>
    <row r="12038" spans="8:8" x14ac:dyDescent="0.25">
      <c r="H12038" t="s">
        <v>13256</v>
      </c>
    </row>
    <row r="12039" spans="8:8" x14ac:dyDescent="0.25">
      <c r="H12039" t="s">
        <v>135</v>
      </c>
    </row>
    <row r="12040" spans="8:8" x14ac:dyDescent="0.25">
      <c r="H12040" t="s">
        <v>18925</v>
      </c>
    </row>
    <row r="12041" spans="8:8" x14ac:dyDescent="0.25">
      <c r="H12041" t="s">
        <v>30</v>
      </c>
    </row>
    <row r="12042" spans="8:8" x14ac:dyDescent="0.25">
      <c r="H12042" t="s">
        <v>136</v>
      </c>
    </row>
    <row r="12043" spans="8:8" x14ac:dyDescent="0.25">
      <c r="H12043" t="s">
        <v>18926</v>
      </c>
    </row>
    <row r="12044" spans="8:8" x14ac:dyDescent="0.25">
      <c r="H12044" t="s">
        <v>30</v>
      </c>
    </row>
    <row r="12045" spans="8:8" x14ac:dyDescent="0.25">
      <c r="H12045" t="s">
        <v>137</v>
      </c>
    </row>
    <row r="12046" spans="8:8" x14ac:dyDescent="0.25">
      <c r="H12046" t="s">
        <v>18927</v>
      </c>
    </row>
    <row r="12047" spans="8:8" x14ac:dyDescent="0.25">
      <c r="H12047" t="s">
        <v>30</v>
      </c>
    </row>
    <row r="12048" spans="8:8" x14ac:dyDescent="0.25">
      <c r="H12048" t="s">
        <v>138</v>
      </c>
    </row>
    <row r="12049" spans="8:8" x14ac:dyDescent="0.25">
      <c r="H12049" t="s">
        <v>18928</v>
      </c>
    </row>
    <row r="12050" spans="8:8" x14ac:dyDescent="0.25">
      <c r="H12050" t="s">
        <v>30</v>
      </c>
    </row>
    <row r="12052" spans="8:8" x14ac:dyDescent="0.25">
      <c r="H12052" t="s">
        <v>13261</v>
      </c>
    </row>
    <row r="12053" spans="8:8" x14ac:dyDescent="0.25">
      <c r="H12053" t="s">
        <v>13262</v>
      </c>
    </row>
    <row r="12054" spans="8:8" x14ac:dyDescent="0.25">
      <c r="H12054" t="s">
        <v>135</v>
      </c>
    </row>
    <row r="12055" spans="8:8" x14ac:dyDescent="0.25">
      <c r="H12055" t="s">
        <v>18929</v>
      </c>
    </row>
    <row r="12056" spans="8:8" x14ac:dyDescent="0.25">
      <c r="H12056" t="s">
        <v>30</v>
      </c>
    </row>
    <row r="12057" spans="8:8" x14ac:dyDescent="0.25">
      <c r="H12057" t="s">
        <v>136</v>
      </c>
    </row>
    <row r="12058" spans="8:8" x14ac:dyDescent="0.25">
      <c r="H12058" t="s">
        <v>18930</v>
      </c>
    </row>
    <row r="12059" spans="8:8" x14ac:dyDescent="0.25">
      <c r="H12059" t="s">
        <v>30</v>
      </c>
    </row>
    <row r="12060" spans="8:8" x14ac:dyDescent="0.25">
      <c r="H12060" t="s">
        <v>137</v>
      </c>
    </row>
    <row r="12061" spans="8:8" x14ac:dyDescent="0.25">
      <c r="H12061" t="s">
        <v>18931</v>
      </c>
    </row>
    <row r="12062" spans="8:8" x14ac:dyDescent="0.25">
      <c r="H12062" t="s">
        <v>30</v>
      </c>
    </row>
    <row r="12063" spans="8:8" x14ac:dyDescent="0.25">
      <c r="H12063" t="s">
        <v>138</v>
      </c>
    </row>
    <row r="12064" spans="8:8" x14ac:dyDescent="0.25">
      <c r="H12064" t="s">
        <v>18932</v>
      </c>
    </row>
    <row r="12065" spans="8:8" x14ac:dyDescent="0.25">
      <c r="H12065" t="s">
        <v>30</v>
      </c>
    </row>
    <row r="12067" spans="8:8" x14ac:dyDescent="0.25">
      <c r="H12067" t="s">
        <v>13267</v>
      </c>
    </row>
    <row r="12068" spans="8:8" x14ac:dyDescent="0.25">
      <c r="H12068" t="s">
        <v>13268</v>
      </c>
    </row>
    <row r="12069" spans="8:8" x14ac:dyDescent="0.25">
      <c r="H12069" t="s">
        <v>135</v>
      </c>
    </row>
    <row r="12070" spans="8:8" x14ac:dyDescent="0.25">
      <c r="H12070" t="s">
        <v>18933</v>
      </c>
    </row>
    <row r="12071" spans="8:8" x14ac:dyDescent="0.25">
      <c r="H12071" t="s">
        <v>30</v>
      </c>
    </row>
    <row r="12072" spans="8:8" x14ac:dyDescent="0.25">
      <c r="H12072" t="s">
        <v>136</v>
      </c>
    </row>
    <row r="12073" spans="8:8" x14ac:dyDescent="0.25">
      <c r="H12073" t="s">
        <v>18934</v>
      </c>
    </row>
    <row r="12074" spans="8:8" x14ac:dyDescent="0.25">
      <c r="H12074" t="s">
        <v>30</v>
      </c>
    </row>
    <row r="12075" spans="8:8" x14ac:dyDescent="0.25">
      <c r="H12075" t="s">
        <v>137</v>
      </c>
    </row>
    <row r="12076" spans="8:8" x14ac:dyDescent="0.25">
      <c r="H12076" t="s">
        <v>18935</v>
      </c>
    </row>
    <row r="12077" spans="8:8" x14ac:dyDescent="0.25">
      <c r="H12077" t="s">
        <v>30</v>
      </c>
    </row>
    <row r="12078" spans="8:8" x14ac:dyDescent="0.25">
      <c r="H12078" t="s">
        <v>138</v>
      </c>
    </row>
    <row r="12079" spans="8:8" x14ac:dyDescent="0.25">
      <c r="H12079" t="s">
        <v>18936</v>
      </c>
    </row>
    <row r="12080" spans="8:8" x14ac:dyDescent="0.25">
      <c r="H12080" t="s">
        <v>30</v>
      </c>
    </row>
    <row r="12082" spans="8:8" x14ac:dyDescent="0.25">
      <c r="H12082" t="s">
        <v>13273</v>
      </c>
    </row>
    <row r="12083" spans="8:8" x14ac:dyDescent="0.25">
      <c r="H12083" t="s">
        <v>13274</v>
      </c>
    </row>
    <row r="12084" spans="8:8" x14ac:dyDescent="0.25">
      <c r="H12084" t="s">
        <v>135</v>
      </c>
    </row>
    <row r="12085" spans="8:8" x14ac:dyDescent="0.25">
      <c r="H12085" t="s">
        <v>18937</v>
      </c>
    </row>
    <row r="12086" spans="8:8" x14ac:dyDescent="0.25">
      <c r="H12086" t="s">
        <v>30</v>
      </c>
    </row>
    <row r="12087" spans="8:8" x14ac:dyDescent="0.25">
      <c r="H12087" t="s">
        <v>136</v>
      </c>
    </row>
    <row r="12088" spans="8:8" x14ac:dyDescent="0.25">
      <c r="H12088" t="s">
        <v>18938</v>
      </c>
    </row>
    <row r="12089" spans="8:8" x14ac:dyDescent="0.25">
      <c r="H12089" t="s">
        <v>30</v>
      </c>
    </row>
    <row r="12090" spans="8:8" x14ac:dyDescent="0.25">
      <c r="H12090" t="s">
        <v>137</v>
      </c>
    </row>
    <row r="12091" spans="8:8" x14ac:dyDescent="0.25">
      <c r="H12091" t="s">
        <v>18939</v>
      </c>
    </row>
    <row r="12092" spans="8:8" x14ac:dyDescent="0.25">
      <c r="H12092" t="s">
        <v>30</v>
      </c>
    </row>
    <row r="12093" spans="8:8" x14ac:dyDescent="0.25">
      <c r="H12093" t="s">
        <v>138</v>
      </c>
    </row>
    <row r="12094" spans="8:8" x14ac:dyDescent="0.25">
      <c r="H12094" t="s">
        <v>18940</v>
      </c>
    </row>
    <row r="12095" spans="8:8" x14ac:dyDescent="0.25">
      <c r="H12095" t="s">
        <v>30</v>
      </c>
    </row>
    <row r="12097" spans="8:8" x14ac:dyDescent="0.25">
      <c r="H12097" t="s">
        <v>13279</v>
      </c>
    </row>
    <row r="12098" spans="8:8" x14ac:dyDescent="0.25">
      <c r="H12098" t="s">
        <v>13280</v>
      </c>
    </row>
    <row r="12099" spans="8:8" x14ac:dyDescent="0.25">
      <c r="H12099" t="s">
        <v>135</v>
      </c>
    </row>
    <row r="12100" spans="8:8" x14ac:dyDescent="0.25">
      <c r="H12100" t="s">
        <v>18941</v>
      </c>
    </row>
    <row r="12101" spans="8:8" x14ac:dyDescent="0.25">
      <c r="H12101" t="s">
        <v>30</v>
      </c>
    </row>
    <row r="12102" spans="8:8" x14ac:dyDescent="0.25">
      <c r="H12102" t="s">
        <v>136</v>
      </c>
    </row>
    <row r="12103" spans="8:8" x14ac:dyDescent="0.25">
      <c r="H12103" t="s">
        <v>18942</v>
      </c>
    </row>
    <row r="12104" spans="8:8" x14ac:dyDescent="0.25">
      <c r="H12104" t="s">
        <v>30</v>
      </c>
    </row>
    <row r="12105" spans="8:8" x14ac:dyDescent="0.25">
      <c r="H12105" t="s">
        <v>137</v>
      </c>
    </row>
    <row r="12106" spans="8:8" x14ac:dyDescent="0.25">
      <c r="H12106" t="s">
        <v>18943</v>
      </c>
    </row>
    <row r="12107" spans="8:8" x14ac:dyDescent="0.25">
      <c r="H12107" t="s">
        <v>30</v>
      </c>
    </row>
    <row r="12108" spans="8:8" x14ac:dyDescent="0.25">
      <c r="H12108" t="s">
        <v>138</v>
      </c>
    </row>
    <row r="12109" spans="8:8" x14ac:dyDescent="0.25">
      <c r="H12109" t="s">
        <v>18944</v>
      </c>
    </row>
    <row r="12110" spans="8:8" x14ac:dyDescent="0.25">
      <c r="H12110" t="s">
        <v>30</v>
      </c>
    </row>
    <row r="12112" spans="8:8" x14ac:dyDescent="0.25">
      <c r="H12112" t="s">
        <v>13285</v>
      </c>
    </row>
    <row r="12113" spans="8:8" x14ac:dyDescent="0.25">
      <c r="H12113" t="s">
        <v>13286</v>
      </c>
    </row>
    <row r="12114" spans="8:8" x14ac:dyDescent="0.25">
      <c r="H12114" t="s">
        <v>135</v>
      </c>
    </row>
    <row r="12115" spans="8:8" x14ac:dyDescent="0.25">
      <c r="H12115" t="s">
        <v>18945</v>
      </c>
    </row>
    <row r="12116" spans="8:8" x14ac:dyDescent="0.25">
      <c r="H12116" t="s">
        <v>30</v>
      </c>
    </row>
    <row r="12117" spans="8:8" x14ac:dyDescent="0.25">
      <c r="H12117" t="s">
        <v>136</v>
      </c>
    </row>
    <row r="12118" spans="8:8" x14ac:dyDescent="0.25">
      <c r="H12118" t="s">
        <v>18946</v>
      </c>
    </row>
    <row r="12119" spans="8:8" x14ac:dyDescent="0.25">
      <c r="H12119" t="s">
        <v>30</v>
      </c>
    </row>
    <row r="12120" spans="8:8" x14ac:dyDescent="0.25">
      <c r="H12120" t="s">
        <v>137</v>
      </c>
    </row>
    <row r="12121" spans="8:8" x14ac:dyDescent="0.25">
      <c r="H12121" t="s">
        <v>18947</v>
      </c>
    </row>
    <row r="12122" spans="8:8" x14ac:dyDescent="0.25">
      <c r="H12122" t="s">
        <v>30</v>
      </c>
    </row>
    <row r="12123" spans="8:8" x14ac:dyDescent="0.25">
      <c r="H12123" t="s">
        <v>138</v>
      </c>
    </row>
    <row r="12124" spans="8:8" x14ac:dyDescent="0.25">
      <c r="H12124" t="s">
        <v>18948</v>
      </c>
    </row>
    <row r="12125" spans="8:8" x14ac:dyDescent="0.25">
      <c r="H12125" t="s">
        <v>30</v>
      </c>
    </row>
    <row r="12127" spans="8:8" x14ac:dyDescent="0.25">
      <c r="H12127" t="s">
        <v>13291</v>
      </c>
    </row>
    <row r="12128" spans="8:8" x14ac:dyDescent="0.25">
      <c r="H12128" t="s">
        <v>13292</v>
      </c>
    </row>
    <row r="12129" spans="8:8" x14ac:dyDescent="0.25">
      <c r="H12129" t="s">
        <v>135</v>
      </c>
    </row>
    <row r="12130" spans="8:8" x14ac:dyDescent="0.25">
      <c r="H12130" t="s">
        <v>18949</v>
      </c>
    </row>
    <row r="12131" spans="8:8" x14ac:dyDescent="0.25">
      <c r="H12131" t="s">
        <v>30</v>
      </c>
    </row>
    <row r="12132" spans="8:8" x14ac:dyDescent="0.25">
      <c r="H12132" t="s">
        <v>136</v>
      </c>
    </row>
    <row r="12133" spans="8:8" x14ac:dyDescent="0.25">
      <c r="H12133" t="s">
        <v>18950</v>
      </c>
    </row>
    <row r="12134" spans="8:8" x14ac:dyDescent="0.25">
      <c r="H12134" t="s">
        <v>30</v>
      </c>
    </row>
    <row r="12135" spans="8:8" x14ac:dyDescent="0.25">
      <c r="H12135" t="s">
        <v>137</v>
      </c>
    </row>
    <row r="12136" spans="8:8" x14ac:dyDescent="0.25">
      <c r="H12136" t="s">
        <v>18951</v>
      </c>
    </row>
    <row r="12137" spans="8:8" x14ac:dyDescent="0.25">
      <c r="H12137" t="s">
        <v>30</v>
      </c>
    </row>
    <row r="12138" spans="8:8" x14ac:dyDescent="0.25">
      <c r="H12138" t="s">
        <v>138</v>
      </c>
    </row>
    <row r="12139" spans="8:8" x14ac:dyDescent="0.25">
      <c r="H12139" t="s">
        <v>18952</v>
      </c>
    </row>
    <row r="12140" spans="8:8" x14ac:dyDescent="0.25">
      <c r="H12140" t="s">
        <v>30</v>
      </c>
    </row>
    <row r="12142" spans="8:8" x14ac:dyDescent="0.25">
      <c r="H12142" t="s">
        <v>13297</v>
      </c>
    </row>
    <row r="12143" spans="8:8" x14ac:dyDescent="0.25">
      <c r="H12143" t="s">
        <v>13298</v>
      </c>
    </row>
    <row r="12144" spans="8:8" x14ac:dyDescent="0.25">
      <c r="H12144" t="s">
        <v>135</v>
      </c>
    </row>
    <row r="12145" spans="8:8" x14ac:dyDescent="0.25">
      <c r="H12145" t="s">
        <v>18953</v>
      </c>
    </row>
    <row r="12146" spans="8:8" x14ac:dyDescent="0.25">
      <c r="H12146" t="s">
        <v>30</v>
      </c>
    </row>
    <row r="12147" spans="8:8" x14ac:dyDescent="0.25">
      <c r="H12147" t="s">
        <v>136</v>
      </c>
    </row>
    <row r="12148" spans="8:8" x14ac:dyDescent="0.25">
      <c r="H12148" t="s">
        <v>18954</v>
      </c>
    </row>
    <row r="12149" spans="8:8" x14ac:dyDescent="0.25">
      <c r="H12149" t="s">
        <v>30</v>
      </c>
    </row>
    <row r="12150" spans="8:8" x14ac:dyDescent="0.25">
      <c r="H12150" t="s">
        <v>137</v>
      </c>
    </row>
    <row r="12151" spans="8:8" x14ac:dyDescent="0.25">
      <c r="H12151" t="s">
        <v>18955</v>
      </c>
    </row>
    <row r="12152" spans="8:8" x14ac:dyDescent="0.25">
      <c r="H12152" t="s">
        <v>30</v>
      </c>
    </row>
    <row r="12153" spans="8:8" x14ac:dyDescent="0.25">
      <c r="H12153" t="s">
        <v>138</v>
      </c>
    </row>
    <row r="12154" spans="8:8" x14ac:dyDescent="0.25">
      <c r="H12154" t="s">
        <v>18956</v>
      </c>
    </row>
    <row r="12155" spans="8:8" x14ac:dyDescent="0.25">
      <c r="H12155" t="s">
        <v>30</v>
      </c>
    </row>
    <row r="12157" spans="8:8" x14ac:dyDescent="0.25">
      <c r="H12157" t="s">
        <v>13303</v>
      </c>
    </row>
    <row r="12158" spans="8:8" x14ac:dyDescent="0.25">
      <c r="H12158" t="s">
        <v>13304</v>
      </c>
    </row>
    <row r="12159" spans="8:8" x14ac:dyDescent="0.25">
      <c r="H12159" t="s">
        <v>135</v>
      </c>
    </row>
    <row r="12160" spans="8:8" x14ac:dyDescent="0.25">
      <c r="H12160" t="s">
        <v>18957</v>
      </c>
    </row>
    <row r="12161" spans="8:8" x14ac:dyDescent="0.25">
      <c r="H12161" t="s">
        <v>30</v>
      </c>
    </row>
    <row r="12162" spans="8:8" x14ac:dyDescent="0.25">
      <c r="H12162" t="s">
        <v>136</v>
      </c>
    </row>
    <row r="12163" spans="8:8" x14ac:dyDescent="0.25">
      <c r="H12163" t="s">
        <v>18958</v>
      </c>
    </row>
    <row r="12164" spans="8:8" x14ac:dyDescent="0.25">
      <c r="H12164" t="s">
        <v>30</v>
      </c>
    </row>
    <row r="12165" spans="8:8" x14ac:dyDescent="0.25">
      <c r="H12165" t="s">
        <v>137</v>
      </c>
    </row>
    <row r="12166" spans="8:8" x14ac:dyDescent="0.25">
      <c r="H12166" t="s">
        <v>18959</v>
      </c>
    </row>
    <row r="12167" spans="8:8" x14ac:dyDescent="0.25">
      <c r="H12167" t="s">
        <v>30</v>
      </c>
    </row>
    <row r="12168" spans="8:8" x14ac:dyDescent="0.25">
      <c r="H12168" t="s">
        <v>138</v>
      </c>
    </row>
    <row r="12169" spans="8:8" x14ac:dyDescent="0.25">
      <c r="H12169" t="s">
        <v>18960</v>
      </c>
    </row>
    <row r="12170" spans="8:8" x14ac:dyDescent="0.25">
      <c r="H12170" t="s">
        <v>30</v>
      </c>
    </row>
    <row r="12172" spans="8:8" x14ac:dyDescent="0.25">
      <c r="H12172" t="s">
        <v>13309</v>
      </c>
    </row>
    <row r="12173" spans="8:8" x14ac:dyDescent="0.25">
      <c r="H12173" t="s">
        <v>13310</v>
      </c>
    </row>
    <row r="12174" spans="8:8" x14ac:dyDescent="0.25">
      <c r="H12174" t="s">
        <v>135</v>
      </c>
    </row>
    <row r="12175" spans="8:8" x14ac:dyDescent="0.25">
      <c r="H12175" t="s">
        <v>18961</v>
      </c>
    </row>
    <row r="12176" spans="8:8" x14ac:dyDescent="0.25">
      <c r="H12176" t="s">
        <v>30</v>
      </c>
    </row>
    <row r="12177" spans="8:8" x14ac:dyDescent="0.25">
      <c r="H12177" t="s">
        <v>136</v>
      </c>
    </row>
    <row r="12178" spans="8:8" x14ac:dyDescent="0.25">
      <c r="H12178" t="s">
        <v>18962</v>
      </c>
    </row>
    <row r="12179" spans="8:8" x14ac:dyDescent="0.25">
      <c r="H12179" t="s">
        <v>30</v>
      </c>
    </row>
    <row r="12180" spans="8:8" x14ac:dyDescent="0.25">
      <c r="H12180" t="s">
        <v>137</v>
      </c>
    </row>
    <row r="12181" spans="8:8" x14ac:dyDescent="0.25">
      <c r="H12181" t="s">
        <v>18963</v>
      </c>
    </row>
    <row r="12182" spans="8:8" x14ac:dyDescent="0.25">
      <c r="H12182" t="s">
        <v>30</v>
      </c>
    </row>
    <row r="12183" spans="8:8" x14ac:dyDescent="0.25">
      <c r="H12183" t="s">
        <v>138</v>
      </c>
    </row>
    <row r="12184" spans="8:8" x14ac:dyDescent="0.25">
      <c r="H12184" t="s">
        <v>18964</v>
      </c>
    </row>
    <row r="12185" spans="8:8" x14ac:dyDescent="0.25">
      <c r="H12185" t="s">
        <v>30</v>
      </c>
    </row>
    <row r="12187" spans="8:8" x14ac:dyDescent="0.25">
      <c r="H12187" t="s">
        <v>13315</v>
      </c>
    </row>
    <row r="12188" spans="8:8" x14ac:dyDescent="0.25">
      <c r="H12188" t="s">
        <v>13316</v>
      </c>
    </row>
    <row r="12189" spans="8:8" x14ac:dyDescent="0.25">
      <c r="H12189" t="s">
        <v>135</v>
      </c>
    </row>
    <row r="12190" spans="8:8" x14ac:dyDescent="0.25">
      <c r="H12190" t="s">
        <v>18965</v>
      </c>
    </row>
    <row r="12191" spans="8:8" x14ac:dyDescent="0.25">
      <c r="H12191" t="s">
        <v>30</v>
      </c>
    </row>
    <row r="12192" spans="8:8" x14ac:dyDescent="0.25">
      <c r="H12192" t="s">
        <v>136</v>
      </c>
    </row>
    <row r="12193" spans="8:8" x14ac:dyDescent="0.25">
      <c r="H12193" t="s">
        <v>18966</v>
      </c>
    </row>
    <row r="12194" spans="8:8" x14ac:dyDescent="0.25">
      <c r="H12194" t="s">
        <v>30</v>
      </c>
    </row>
    <row r="12195" spans="8:8" x14ac:dyDescent="0.25">
      <c r="H12195" t="s">
        <v>137</v>
      </c>
    </row>
    <row r="12196" spans="8:8" x14ac:dyDescent="0.25">
      <c r="H12196" t="s">
        <v>18967</v>
      </c>
    </row>
    <row r="12197" spans="8:8" x14ac:dyDescent="0.25">
      <c r="H12197" t="s">
        <v>30</v>
      </c>
    </row>
    <row r="12198" spans="8:8" x14ac:dyDescent="0.25">
      <c r="H12198" t="s">
        <v>138</v>
      </c>
    </row>
    <row r="12199" spans="8:8" x14ac:dyDescent="0.25">
      <c r="H12199" t="s">
        <v>18968</v>
      </c>
    </row>
    <row r="12200" spans="8:8" x14ac:dyDescent="0.25">
      <c r="H12200" t="s">
        <v>30</v>
      </c>
    </row>
    <row r="12202" spans="8:8" x14ac:dyDescent="0.25">
      <c r="H12202" t="s">
        <v>13321</v>
      </c>
    </row>
    <row r="12203" spans="8:8" x14ac:dyDescent="0.25">
      <c r="H12203" t="s">
        <v>13322</v>
      </c>
    </row>
    <row r="12204" spans="8:8" x14ac:dyDescent="0.25">
      <c r="H12204" t="s">
        <v>135</v>
      </c>
    </row>
    <row r="12205" spans="8:8" x14ac:dyDescent="0.25">
      <c r="H12205" t="s">
        <v>18969</v>
      </c>
    </row>
    <row r="12206" spans="8:8" x14ac:dyDescent="0.25">
      <c r="H12206" t="s">
        <v>30</v>
      </c>
    </row>
    <row r="12207" spans="8:8" x14ac:dyDescent="0.25">
      <c r="H12207" t="s">
        <v>136</v>
      </c>
    </row>
    <row r="12208" spans="8:8" x14ac:dyDescent="0.25">
      <c r="H12208" t="s">
        <v>18970</v>
      </c>
    </row>
    <row r="12209" spans="8:8" x14ac:dyDescent="0.25">
      <c r="H12209" t="s">
        <v>30</v>
      </c>
    </row>
    <row r="12210" spans="8:8" x14ac:dyDescent="0.25">
      <c r="H12210" t="s">
        <v>137</v>
      </c>
    </row>
    <row r="12211" spans="8:8" x14ac:dyDescent="0.25">
      <c r="H12211" t="s">
        <v>18971</v>
      </c>
    </row>
    <row r="12212" spans="8:8" x14ac:dyDescent="0.25">
      <c r="H12212" t="s">
        <v>30</v>
      </c>
    </row>
    <row r="12213" spans="8:8" x14ac:dyDescent="0.25">
      <c r="H12213" t="s">
        <v>138</v>
      </c>
    </row>
    <row r="12214" spans="8:8" x14ac:dyDescent="0.25">
      <c r="H12214" t="s">
        <v>18972</v>
      </c>
    </row>
    <row r="12215" spans="8:8" x14ac:dyDescent="0.25">
      <c r="H12215" t="s">
        <v>30</v>
      </c>
    </row>
    <row r="12217" spans="8:8" x14ac:dyDescent="0.25">
      <c r="H12217" t="s">
        <v>13327</v>
      </c>
    </row>
    <row r="12218" spans="8:8" x14ac:dyDescent="0.25">
      <c r="H12218" t="s">
        <v>13328</v>
      </c>
    </row>
    <row r="12219" spans="8:8" x14ac:dyDescent="0.25">
      <c r="H12219" t="s">
        <v>135</v>
      </c>
    </row>
    <row r="12220" spans="8:8" x14ac:dyDescent="0.25">
      <c r="H12220" t="s">
        <v>18973</v>
      </c>
    </row>
    <row r="12221" spans="8:8" x14ac:dyDescent="0.25">
      <c r="H12221" t="s">
        <v>30</v>
      </c>
    </row>
    <row r="12222" spans="8:8" x14ac:dyDescent="0.25">
      <c r="H12222" t="s">
        <v>136</v>
      </c>
    </row>
    <row r="12223" spans="8:8" x14ac:dyDescent="0.25">
      <c r="H12223" t="s">
        <v>18974</v>
      </c>
    </row>
    <row r="12224" spans="8:8" x14ac:dyDescent="0.25">
      <c r="H12224" t="s">
        <v>30</v>
      </c>
    </row>
    <row r="12225" spans="8:8" x14ac:dyDescent="0.25">
      <c r="H12225" t="s">
        <v>137</v>
      </c>
    </row>
    <row r="12226" spans="8:8" x14ac:dyDescent="0.25">
      <c r="H12226" t="s">
        <v>18975</v>
      </c>
    </row>
    <row r="12227" spans="8:8" x14ac:dyDescent="0.25">
      <c r="H12227" t="s">
        <v>30</v>
      </c>
    </row>
    <row r="12228" spans="8:8" x14ac:dyDescent="0.25">
      <c r="H12228" t="s">
        <v>138</v>
      </c>
    </row>
    <row r="12229" spans="8:8" x14ac:dyDescent="0.25">
      <c r="H12229" t="s">
        <v>18976</v>
      </c>
    </row>
    <row r="12230" spans="8:8" x14ac:dyDescent="0.25">
      <c r="H12230" t="s">
        <v>30</v>
      </c>
    </row>
    <row r="12232" spans="8:8" x14ac:dyDescent="0.25">
      <c r="H12232" t="s">
        <v>13333</v>
      </c>
    </row>
    <row r="12233" spans="8:8" x14ac:dyDescent="0.25">
      <c r="H12233" t="s">
        <v>13334</v>
      </c>
    </row>
    <row r="12234" spans="8:8" x14ac:dyDescent="0.25">
      <c r="H12234" t="s">
        <v>135</v>
      </c>
    </row>
    <row r="12235" spans="8:8" x14ac:dyDescent="0.25">
      <c r="H12235" t="s">
        <v>18977</v>
      </c>
    </row>
    <row r="12236" spans="8:8" x14ac:dyDescent="0.25">
      <c r="H12236" t="s">
        <v>30</v>
      </c>
    </row>
    <row r="12237" spans="8:8" x14ac:dyDescent="0.25">
      <c r="H12237" t="s">
        <v>136</v>
      </c>
    </row>
    <row r="12238" spans="8:8" x14ac:dyDescent="0.25">
      <c r="H12238" t="s">
        <v>18978</v>
      </c>
    </row>
    <row r="12239" spans="8:8" x14ac:dyDescent="0.25">
      <c r="H12239" t="s">
        <v>30</v>
      </c>
    </row>
    <row r="12240" spans="8:8" x14ac:dyDescent="0.25">
      <c r="H12240" t="s">
        <v>137</v>
      </c>
    </row>
    <row r="12241" spans="8:8" x14ac:dyDescent="0.25">
      <c r="H12241" t="s">
        <v>18979</v>
      </c>
    </row>
    <row r="12242" spans="8:8" x14ac:dyDescent="0.25">
      <c r="H12242" t="s">
        <v>30</v>
      </c>
    </row>
    <row r="12243" spans="8:8" x14ac:dyDescent="0.25">
      <c r="H12243" t="s">
        <v>138</v>
      </c>
    </row>
    <row r="12244" spans="8:8" x14ac:dyDescent="0.25">
      <c r="H12244" t="s">
        <v>18980</v>
      </c>
    </row>
    <row r="12245" spans="8:8" x14ac:dyDescent="0.25">
      <c r="H12245" t="s">
        <v>30</v>
      </c>
    </row>
    <row r="12247" spans="8:8" x14ac:dyDescent="0.25">
      <c r="H12247" t="s">
        <v>13339</v>
      </c>
    </row>
    <row r="12248" spans="8:8" x14ac:dyDescent="0.25">
      <c r="H12248" t="s">
        <v>13340</v>
      </c>
    </row>
    <row r="12249" spans="8:8" x14ac:dyDescent="0.25">
      <c r="H12249" t="s">
        <v>135</v>
      </c>
    </row>
    <row r="12250" spans="8:8" x14ac:dyDescent="0.25">
      <c r="H12250" t="s">
        <v>18981</v>
      </c>
    </row>
    <row r="12251" spans="8:8" x14ac:dyDescent="0.25">
      <c r="H12251" t="s">
        <v>30</v>
      </c>
    </row>
    <row r="12252" spans="8:8" x14ac:dyDescent="0.25">
      <c r="H12252" t="s">
        <v>136</v>
      </c>
    </row>
    <row r="12253" spans="8:8" x14ac:dyDescent="0.25">
      <c r="H12253" t="s">
        <v>18982</v>
      </c>
    </row>
    <row r="12254" spans="8:8" x14ac:dyDescent="0.25">
      <c r="H12254" t="s">
        <v>30</v>
      </c>
    </row>
    <row r="12255" spans="8:8" x14ac:dyDescent="0.25">
      <c r="H12255" t="s">
        <v>137</v>
      </c>
    </row>
    <row r="12256" spans="8:8" x14ac:dyDescent="0.25">
      <c r="H12256" t="s">
        <v>18983</v>
      </c>
    </row>
    <row r="12257" spans="8:8" x14ac:dyDescent="0.25">
      <c r="H12257" t="s">
        <v>30</v>
      </c>
    </row>
    <row r="12258" spans="8:8" x14ac:dyDescent="0.25">
      <c r="H12258" t="s">
        <v>138</v>
      </c>
    </row>
    <row r="12259" spans="8:8" x14ac:dyDescent="0.25">
      <c r="H12259" t="s">
        <v>18984</v>
      </c>
    </row>
    <row r="12260" spans="8:8" x14ac:dyDescent="0.25">
      <c r="H12260" t="s">
        <v>30</v>
      </c>
    </row>
    <row r="12262" spans="8:8" x14ac:dyDescent="0.25">
      <c r="H12262" t="s">
        <v>13345</v>
      </c>
    </row>
    <row r="12263" spans="8:8" x14ac:dyDescent="0.25">
      <c r="H12263" t="s">
        <v>13346</v>
      </c>
    </row>
    <row r="12264" spans="8:8" x14ac:dyDescent="0.25">
      <c r="H12264" t="s">
        <v>135</v>
      </c>
    </row>
    <row r="12265" spans="8:8" x14ac:dyDescent="0.25">
      <c r="H12265" t="s">
        <v>18985</v>
      </c>
    </row>
    <row r="12266" spans="8:8" x14ac:dyDescent="0.25">
      <c r="H12266" t="s">
        <v>30</v>
      </c>
    </row>
    <row r="12267" spans="8:8" x14ac:dyDescent="0.25">
      <c r="H12267" t="s">
        <v>136</v>
      </c>
    </row>
    <row r="12268" spans="8:8" x14ac:dyDescent="0.25">
      <c r="H12268" t="s">
        <v>18986</v>
      </c>
    </row>
    <row r="12269" spans="8:8" x14ac:dyDescent="0.25">
      <c r="H12269" t="s">
        <v>30</v>
      </c>
    </row>
    <row r="12270" spans="8:8" x14ac:dyDescent="0.25">
      <c r="H12270" t="s">
        <v>137</v>
      </c>
    </row>
    <row r="12271" spans="8:8" x14ac:dyDescent="0.25">
      <c r="H12271" t="s">
        <v>18987</v>
      </c>
    </row>
    <row r="12272" spans="8:8" x14ac:dyDescent="0.25">
      <c r="H12272" t="s">
        <v>30</v>
      </c>
    </row>
    <row r="12273" spans="8:8" x14ac:dyDescent="0.25">
      <c r="H12273" t="s">
        <v>138</v>
      </c>
    </row>
    <row r="12274" spans="8:8" x14ac:dyDescent="0.25">
      <c r="H12274" t="s">
        <v>18988</v>
      </c>
    </row>
    <row r="12275" spans="8:8" x14ac:dyDescent="0.25">
      <c r="H12275" t="s">
        <v>30</v>
      </c>
    </row>
    <row r="12277" spans="8:8" x14ac:dyDescent="0.25">
      <c r="H12277" t="s">
        <v>13351</v>
      </c>
    </row>
    <row r="12278" spans="8:8" x14ac:dyDescent="0.25">
      <c r="H12278" t="s">
        <v>13352</v>
      </c>
    </row>
    <row r="12279" spans="8:8" x14ac:dyDescent="0.25">
      <c r="H12279" t="s">
        <v>135</v>
      </c>
    </row>
    <row r="12280" spans="8:8" x14ac:dyDescent="0.25">
      <c r="H12280" t="s">
        <v>18989</v>
      </c>
    </row>
    <row r="12281" spans="8:8" x14ac:dyDescent="0.25">
      <c r="H12281" t="s">
        <v>30</v>
      </c>
    </row>
    <row r="12282" spans="8:8" x14ac:dyDescent="0.25">
      <c r="H12282" t="s">
        <v>136</v>
      </c>
    </row>
    <row r="12283" spans="8:8" x14ac:dyDescent="0.25">
      <c r="H12283" t="s">
        <v>18990</v>
      </c>
    </row>
    <row r="12284" spans="8:8" x14ac:dyDescent="0.25">
      <c r="H12284" t="s">
        <v>30</v>
      </c>
    </row>
    <row r="12285" spans="8:8" x14ac:dyDescent="0.25">
      <c r="H12285" t="s">
        <v>137</v>
      </c>
    </row>
    <row r="12286" spans="8:8" x14ac:dyDescent="0.25">
      <c r="H12286" t="s">
        <v>18991</v>
      </c>
    </row>
    <row r="12287" spans="8:8" x14ac:dyDescent="0.25">
      <c r="H12287" t="s">
        <v>30</v>
      </c>
    </row>
    <row r="12288" spans="8:8" x14ac:dyDescent="0.25">
      <c r="H12288" t="s">
        <v>138</v>
      </c>
    </row>
    <row r="12289" spans="8:8" x14ac:dyDescent="0.25">
      <c r="H12289" t="s">
        <v>18992</v>
      </c>
    </row>
    <row r="12290" spans="8:8" x14ac:dyDescent="0.25">
      <c r="H12290" t="s">
        <v>30</v>
      </c>
    </row>
    <row r="12292" spans="8:8" x14ac:dyDescent="0.25">
      <c r="H12292" t="s">
        <v>13357</v>
      </c>
    </row>
    <row r="12293" spans="8:8" x14ac:dyDescent="0.25">
      <c r="H12293" t="s">
        <v>13358</v>
      </c>
    </row>
    <row r="12294" spans="8:8" x14ac:dyDescent="0.25">
      <c r="H12294" t="s">
        <v>135</v>
      </c>
    </row>
    <row r="12295" spans="8:8" x14ac:dyDescent="0.25">
      <c r="H12295" t="s">
        <v>18993</v>
      </c>
    </row>
    <row r="12296" spans="8:8" x14ac:dyDescent="0.25">
      <c r="H12296" t="s">
        <v>30</v>
      </c>
    </row>
    <row r="12297" spans="8:8" x14ac:dyDescent="0.25">
      <c r="H12297" t="s">
        <v>136</v>
      </c>
    </row>
    <row r="12298" spans="8:8" x14ac:dyDescent="0.25">
      <c r="H12298" t="s">
        <v>18994</v>
      </c>
    </row>
    <row r="12299" spans="8:8" x14ac:dyDescent="0.25">
      <c r="H12299" t="s">
        <v>30</v>
      </c>
    </row>
    <row r="12300" spans="8:8" x14ac:dyDescent="0.25">
      <c r="H12300" t="s">
        <v>137</v>
      </c>
    </row>
    <row r="12301" spans="8:8" x14ac:dyDescent="0.25">
      <c r="H12301" t="s">
        <v>18995</v>
      </c>
    </row>
    <row r="12302" spans="8:8" x14ac:dyDescent="0.25">
      <c r="H12302" t="s">
        <v>30</v>
      </c>
    </row>
    <row r="12303" spans="8:8" x14ac:dyDescent="0.25">
      <c r="H12303" t="s">
        <v>138</v>
      </c>
    </row>
    <row r="12304" spans="8:8" x14ac:dyDescent="0.25">
      <c r="H12304" t="s">
        <v>18996</v>
      </c>
    </row>
    <row r="12305" spans="8:8" x14ac:dyDescent="0.25">
      <c r="H12305" t="s">
        <v>30</v>
      </c>
    </row>
    <row r="12307" spans="8:8" x14ac:dyDescent="0.25">
      <c r="H12307" t="s">
        <v>13363</v>
      </c>
    </row>
    <row r="12308" spans="8:8" x14ac:dyDescent="0.25">
      <c r="H12308" t="s">
        <v>13364</v>
      </c>
    </row>
    <row r="12309" spans="8:8" x14ac:dyDescent="0.25">
      <c r="H12309" t="s">
        <v>135</v>
      </c>
    </row>
    <row r="12310" spans="8:8" x14ac:dyDescent="0.25">
      <c r="H12310" t="s">
        <v>18997</v>
      </c>
    </row>
    <row r="12311" spans="8:8" x14ac:dyDescent="0.25">
      <c r="H12311" t="s">
        <v>30</v>
      </c>
    </row>
    <row r="12312" spans="8:8" x14ac:dyDescent="0.25">
      <c r="H12312" t="s">
        <v>136</v>
      </c>
    </row>
    <row r="12313" spans="8:8" x14ac:dyDescent="0.25">
      <c r="H12313" t="s">
        <v>18998</v>
      </c>
    </row>
    <row r="12314" spans="8:8" x14ac:dyDescent="0.25">
      <c r="H12314" t="s">
        <v>30</v>
      </c>
    </row>
    <row r="12315" spans="8:8" x14ac:dyDescent="0.25">
      <c r="H12315" t="s">
        <v>137</v>
      </c>
    </row>
    <row r="12316" spans="8:8" x14ac:dyDescent="0.25">
      <c r="H12316" t="s">
        <v>18999</v>
      </c>
    </row>
    <row r="12317" spans="8:8" x14ac:dyDescent="0.25">
      <c r="H12317" t="s">
        <v>30</v>
      </c>
    </row>
    <row r="12318" spans="8:8" x14ac:dyDescent="0.25">
      <c r="H12318" t="s">
        <v>138</v>
      </c>
    </row>
    <row r="12319" spans="8:8" x14ac:dyDescent="0.25">
      <c r="H12319" t="s">
        <v>19000</v>
      </c>
    </row>
    <row r="12320" spans="8:8" x14ac:dyDescent="0.25">
      <c r="H12320" t="s">
        <v>30</v>
      </c>
    </row>
    <row r="12322" spans="8:8" x14ac:dyDescent="0.25">
      <c r="H12322" t="s">
        <v>13369</v>
      </c>
    </row>
    <row r="12323" spans="8:8" x14ac:dyDescent="0.25">
      <c r="H12323" t="s">
        <v>13370</v>
      </c>
    </row>
    <row r="12324" spans="8:8" x14ac:dyDescent="0.25">
      <c r="H12324" t="s">
        <v>135</v>
      </c>
    </row>
    <row r="12325" spans="8:8" x14ac:dyDescent="0.25">
      <c r="H12325" t="s">
        <v>19001</v>
      </c>
    </row>
    <row r="12326" spans="8:8" x14ac:dyDescent="0.25">
      <c r="H12326" t="s">
        <v>30</v>
      </c>
    </row>
    <row r="12327" spans="8:8" x14ac:dyDescent="0.25">
      <c r="H12327" t="s">
        <v>136</v>
      </c>
    </row>
    <row r="12328" spans="8:8" x14ac:dyDescent="0.25">
      <c r="H12328" t="s">
        <v>19002</v>
      </c>
    </row>
    <row r="12329" spans="8:8" x14ac:dyDescent="0.25">
      <c r="H12329" t="s">
        <v>30</v>
      </c>
    </row>
    <row r="12330" spans="8:8" x14ac:dyDescent="0.25">
      <c r="H12330" t="s">
        <v>137</v>
      </c>
    </row>
    <row r="12331" spans="8:8" x14ac:dyDescent="0.25">
      <c r="H12331" t="s">
        <v>19003</v>
      </c>
    </row>
    <row r="12332" spans="8:8" x14ac:dyDescent="0.25">
      <c r="H12332" t="s">
        <v>30</v>
      </c>
    </row>
    <row r="12333" spans="8:8" x14ac:dyDescent="0.25">
      <c r="H12333" t="s">
        <v>138</v>
      </c>
    </row>
    <row r="12334" spans="8:8" x14ac:dyDescent="0.25">
      <c r="H12334" t="s">
        <v>19004</v>
      </c>
    </row>
    <row r="12335" spans="8:8" x14ac:dyDescent="0.25">
      <c r="H12335" t="s">
        <v>30</v>
      </c>
    </row>
    <row r="12337" spans="8:8" x14ac:dyDescent="0.25">
      <c r="H12337" t="s">
        <v>13375</v>
      </c>
    </row>
    <row r="12338" spans="8:8" x14ac:dyDescent="0.25">
      <c r="H12338" t="s">
        <v>13376</v>
      </c>
    </row>
    <row r="12339" spans="8:8" x14ac:dyDescent="0.25">
      <c r="H12339" t="s">
        <v>135</v>
      </c>
    </row>
    <row r="12340" spans="8:8" x14ac:dyDescent="0.25">
      <c r="H12340" t="s">
        <v>19005</v>
      </c>
    </row>
    <row r="12341" spans="8:8" x14ac:dyDescent="0.25">
      <c r="H12341" t="s">
        <v>30</v>
      </c>
    </row>
    <row r="12342" spans="8:8" x14ac:dyDescent="0.25">
      <c r="H12342" t="s">
        <v>136</v>
      </c>
    </row>
    <row r="12343" spans="8:8" x14ac:dyDescent="0.25">
      <c r="H12343" t="s">
        <v>19006</v>
      </c>
    </row>
    <row r="12344" spans="8:8" x14ac:dyDescent="0.25">
      <c r="H12344" t="s">
        <v>30</v>
      </c>
    </row>
    <row r="12345" spans="8:8" x14ac:dyDescent="0.25">
      <c r="H12345" t="s">
        <v>137</v>
      </c>
    </row>
    <row r="12346" spans="8:8" x14ac:dyDescent="0.25">
      <c r="H12346" t="s">
        <v>19007</v>
      </c>
    </row>
    <row r="12347" spans="8:8" x14ac:dyDescent="0.25">
      <c r="H12347" t="s">
        <v>30</v>
      </c>
    </row>
    <row r="12348" spans="8:8" x14ac:dyDescent="0.25">
      <c r="H12348" t="s">
        <v>138</v>
      </c>
    </row>
    <row r="12349" spans="8:8" x14ac:dyDescent="0.25">
      <c r="H12349" t="s">
        <v>19008</v>
      </c>
    </row>
    <row r="12350" spans="8:8" x14ac:dyDescent="0.25">
      <c r="H12350" t="s">
        <v>30</v>
      </c>
    </row>
    <row r="12352" spans="8:8" x14ac:dyDescent="0.25">
      <c r="H12352" t="s">
        <v>13381</v>
      </c>
    </row>
    <row r="12353" spans="8:8" x14ac:dyDescent="0.25">
      <c r="H12353" t="s">
        <v>13382</v>
      </c>
    </row>
    <row r="12354" spans="8:8" x14ac:dyDescent="0.25">
      <c r="H12354" t="s">
        <v>135</v>
      </c>
    </row>
    <row r="12355" spans="8:8" x14ac:dyDescent="0.25">
      <c r="H12355" t="s">
        <v>19009</v>
      </c>
    </row>
    <row r="12356" spans="8:8" x14ac:dyDescent="0.25">
      <c r="H12356" t="s">
        <v>30</v>
      </c>
    </row>
    <row r="12357" spans="8:8" x14ac:dyDescent="0.25">
      <c r="H12357" t="s">
        <v>136</v>
      </c>
    </row>
    <row r="12358" spans="8:8" x14ac:dyDescent="0.25">
      <c r="H12358" t="s">
        <v>19010</v>
      </c>
    </row>
    <row r="12359" spans="8:8" x14ac:dyDescent="0.25">
      <c r="H12359" t="s">
        <v>30</v>
      </c>
    </row>
    <row r="12360" spans="8:8" x14ac:dyDescent="0.25">
      <c r="H12360" t="s">
        <v>137</v>
      </c>
    </row>
    <row r="12361" spans="8:8" x14ac:dyDescent="0.25">
      <c r="H12361" t="s">
        <v>19011</v>
      </c>
    </row>
    <row r="12362" spans="8:8" x14ac:dyDescent="0.25">
      <c r="H12362" t="s">
        <v>30</v>
      </c>
    </row>
    <row r="12363" spans="8:8" x14ac:dyDescent="0.25">
      <c r="H12363" t="s">
        <v>138</v>
      </c>
    </row>
    <row r="12364" spans="8:8" x14ac:dyDescent="0.25">
      <c r="H12364" t="s">
        <v>19012</v>
      </c>
    </row>
    <row r="12365" spans="8:8" x14ac:dyDescent="0.25">
      <c r="H12365" t="s">
        <v>30</v>
      </c>
    </row>
    <row r="12367" spans="8:8" x14ac:dyDescent="0.25">
      <c r="H12367" t="s">
        <v>13387</v>
      </c>
    </row>
    <row r="12368" spans="8:8" x14ac:dyDescent="0.25">
      <c r="H12368" t="s">
        <v>13388</v>
      </c>
    </row>
    <row r="12369" spans="8:8" x14ac:dyDescent="0.25">
      <c r="H12369" t="s">
        <v>135</v>
      </c>
    </row>
    <row r="12370" spans="8:8" x14ac:dyDescent="0.25">
      <c r="H12370" t="s">
        <v>19013</v>
      </c>
    </row>
    <row r="12371" spans="8:8" x14ac:dyDescent="0.25">
      <c r="H12371" t="s">
        <v>30</v>
      </c>
    </row>
    <row r="12372" spans="8:8" x14ac:dyDescent="0.25">
      <c r="H12372" t="s">
        <v>136</v>
      </c>
    </row>
    <row r="12373" spans="8:8" x14ac:dyDescent="0.25">
      <c r="H12373" t="s">
        <v>19014</v>
      </c>
    </row>
    <row r="12374" spans="8:8" x14ac:dyDescent="0.25">
      <c r="H12374" t="s">
        <v>30</v>
      </c>
    </row>
    <row r="12375" spans="8:8" x14ac:dyDescent="0.25">
      <c r="H12375" t="s">
        <v>137</v>
      </c>
    </row>
    <row r="12376" spans="8:8" x14ac:dyDescent="0.25">
      <c r="H12376" t="s">
        <v>19015</v>
      </c>
    </row>
    <row r="12377" spans="8:8" x14ac:dyDescent="0.25">
      <c r="H12377" t="s">
        <v>30</v>
      </c>
    </row>
    <row r="12378" spans="8:8" x14ac:dyDescent="0.25">
      <c r="H12378" t="s">
        <v>138</v>
      </c>
    </row>
    <row r="12379" spans="8:8" x14ac:dyDescent="0.25">
      <c r="H12379" t="s">
        <v>19016</v>
      </c>
    </row>
    <row r="12380" spans="8:8" x14ac:dyDescent="0.25">
      <c r="H12380" t="s">
        <v>30</v>
      </c>
    </row>
    <row r="12382" spans="8:8" x14ac:dyDescent="0.25">
      <c r="H12382" t="s">
        <v>13393</v>
      </c>
    </row>
    <row r="12383" spans="8:8" x14ac:dyDescent="0.25">
      <c r="H12383" t="s">
        <v>13394</v>
      </c>
    </row>
    <row r="12384" spans="8:8" x14ac:dyDescent="0.25">
      <c r="H12384" t="s">
        <v>135</v>
      </c>
    </row>
    <row r="12385" spans="8:8" x14ac:dyDescent="0.25">
      <c r="H12385" t="s">
        <v>19017</v>
      </c>
    </row>
    <row r="12386" spans="8:8" x14ac:dyDescent="0.25">
      <c r="H12386" t="s">
        <v>30</v>
      </c>
    </row>
    <row r="12387" spans="8:8" x14ac:dyDescent="0.25">
      <c r="H12387" t="s">
        <v>136</v>
      </c>
    </row>
    <row r="12388" spans="8:8" x14ac:dyDescent="0.25">
      <c r="H12388" t="s">
        <v>19018</v>
      </c>
    </row>
    <row r="12389" spans="8:8" x14ac:dyDescent="0.25">
      <c r="H12389" t="s">
        <v>30</v>
      </c>
    </row>
    <row r="12390" spans="8:8" x14ac:dyDescent="0.25">
      <c r="H12390" t="s">
        <v>137</v>
      </c>
    </row>
    <row r="12391" spans="8:8" x14ac:dyDescent="0.25">
      <c r="H12391" t="s">
        <v>19019</v>
      </c>
    </row>
    <row r="12392" spans="8:8" x14ac:dyDescent="0.25">
      <c r="H12392" t="s">
        <v>30</v>
      </c>
    </row>
    <row r="12393" spans="8:8" x14ac:dyDescent="0.25">
      <c r="H12393" t="s">
        <v>138</v>
      </c>
    </row>
    <row r="12394" spans="8:8" x14ac:dyDescent="0.25">
      <c r="H12394" t="s">
        <v>19020</v>
      </c>
    </row>
    <row r="12395" spans="8:8" x14ac:dyDescent="0.25">
      <c r="H12395" t="s">
        <v>30</v>
      </c>
    </row>
    <row r="12397" spans="8:8" x14ac:dyDescent="0.25">
      <c r="H12397" t="s">
        <v>13399</v>
      </c>
    </row>
    <row r="12398" spans="8:8" x14ac:dyDescent="0.25">
      <c r="H12398" t="s">
        <v>13400</v>
      </c>
    </row>
    <row r="12399" spans="8:8" x14ac:dyDescent="0.25">
      <c r="H12399" t="s">
        <v>135</v>
      </c>
    </row>
    <row r="12400" spans="8:8" x14ac:dyDescent="0.25">
      <c r="H12400" t="s">
        <v>19021</v>
      </c>
    </row>
    <row r="12401" spans="8:8" x14ac:dyDescent="0.25">
      <c r="H12401" t="s">
        <v>30</v>
      </c>
    </row>
    <row r="12402" spans="8:8" x14ac:dyDescent="0.25">
      <c r="H12402" t="s">
        <v>136</v>
      </c>
    </row>
    <row r="12403" spans="8:8" x14ac:dyDescent="0.25">
      <c r="H12403" t="s">
        <v>19022</v>
      </c>
    </row>
    <row r="12404" spans="8:8" x14ac:dyDescent="0.25">
      <c r="H12404" t="s">
        <v>30</v>
      </c>
    </row>
    <row r="12405" spans="8:8" x14ac:dyDescent="0.25">
      <c r="H12405" t="s">
        <v>137</v>
      </c>
    </row>
    <row r="12406" spans="8:8" x14ac:dyDescent="0.25">
      <c r="H12406" t="s">
        <v>19023</v>
      </c>
    </row>
    <row r="12407" spans="8:8" x14ac:dyDescent="0.25">
      <c r="H12407" t="s">
        <v>30</v>
      </c>
    </row>
    <row r="12408" spans="8:8" x14ac:dyDescent="0.25">
      <c r="H12408" t="s">
        <v>138</v>
      </c>
    </row>
    <row r="12409" spans="8:8" x14ac:dyDescent="0.25">
      <c r="H12409" t="s">
        <v>19024</v>
      </c>
    </row>
    <row r="12410" spans="8:8" x14ac:dyDescent="0.25">
      <c r="H12410" t="s">
        <v>30</v>
      </c>
    </row>
    <row r="12412" spans="8:8" x14ac:dyDescent="0.25">
      <c r="H12412" t="s">
        <v>13405</v>
      </c>
    </row>
    <row r="12413" spans="8:8" x14ac:dyDescent="0.25">
      <c r="H12413" t="s">
        <v>13406</v>
      </c>
    </row>
    <row r="12414" spans="8:8" x14ac:dyDescent="0.25">
      <c r="H12414" t="s">
        <v>135</v>
      </c>
    </row>
    <row r="12415" spans="8:8" x14ac:dyDescent="0.25">
      <c r="H12415" t="s">
        <v>19025</v>
      </c>
    </row>
    <row r="12416" spans="8:8" x14ac:dyDescent="0.25">
      <c r="H12416" t="s">
        <v>30</v>
      </c>
    </row>
    <row r="12417" spans="8:8" x14ac:dyDescent="0.25">
      <c r="H12417" t="s">
        <v>136</v>
      </c>
    </row>
    <row r="12418" spans="8:8" x14ac:dyDescent="0.25">
      <c r="H12418" t="s">
        <v>19026</v>
      </c>
    </row>
    <row r="12419" spans="8:8" x14ac:dyDescent="0.25">
      <c r="H12419" t="s">
        <v>30</v>
      </c>
    </row>
    <row r="12420" spans="8:8" x14ac:dyDescent="0.25">
      <c r="H12420" t="s">
        <v>137</v>
      </c>
    </row>
    <row r="12421" spans="8:8" x14ac:dyDescent="0.25">
      <c r="H12421" t="s">
        <v>19027</v>
      </c>
    </row>
    <row r="12422" spans="8:8" x14ac:dyDescent="0.25">
      <c r="H12422" t="s">
        <v>30</v>
      </c>
    </row>
    <row r="12423" spans="8:8" x14ac:dyDescent="0.25">
      <c r="H12423" t="s">
        <v>138</v>
      </c>
    </row>
    <row r="12424" spans="8:8" x14ac:dyDescent="0.25">
      <c r="H12424" t="s">
        <v>19028</v>
      </c>
    </row>
    <row r="12425" spans="8:8" x14ac:dyDescent="0.25">
      <c r="H12425" t="s">
        <v>30</v>
      </c>
    </row>
    <row r="12427" spans="8:8" x14ac:dyDescent="0.25">
      <c r="H12427" t="s">
        <v>13411</v>
      </c>
    </row>
    <row r="12428" spans="8:8" x14ac:dyDescent="0.25">
      <c r="H12428" t="s">
        <v>13412</v>
      </c>
    </row>
    <row r="12429" spans="8:8" x14ac:dyDescent="0.25">
      <c r="H12429" t="s">
        <v>135</v>
      </c>
    </row>
    <row r="12430" spans="8:8" x14ac:dyDescent="0.25">
      <c r="H12430" t="s">
        <v>19029</v>
      </c>
    </row>
    <row r="12431" spans="8:8" x14ac:dyDescent="0.25">
      <c r="H12431" t="s">
        <v>30</v>
      </c>
    </row>
    <row r="12432" spans="8:8" x14ac:dyDescent="0.25">
      <c r="H12432" t="s">
        <v>136</v>
      </c>
    </row>
    <row r="12433" spans="8:8" x14ac:dyDescent="0.25">
      <c r="H12433" t="s">
        <v>19030</v>
      </c>
    </row>
    <row r="12434" spans="8:8" x14ac:dyDescent="0.25">
      <c r="H12434" t="s">
        <v>30</v>
      </c>
    </row>
    <row r="12435" spans="8:8" x14ac:dyDescent="0.25">
      <c r="H12435" t="s">
        <v>137</v>
      </c>
    </row>
    <row r="12436" spans="8:8" x14ac:dyDescent="0.25">
      <c r="H12436" t="s">
        <v>19031</v>
      </c>
    </row>
    <row r="12437" spans="8:8" x14ac:dyDescent="0.25">
      <c r="H12437" t="s">
        <v>30</v>
      </c>
    </row>
    <row r="12438" spans="8:8" x14ac:dyDescent="0.25">
      <c r="H12438" t="s">
        <v>138</v>
      </c>
    </row>
    <row r="12439" spans="8:8" x14ac:dyDescent="0.25">
      <c r="H12439" t="s">
        <v>19032</v>
      </c>
    </row>
    <row r="12440" spans="8:8" x14ac:dyDescent="0.25">
      <c r="H12440" t="s">
        <v>30</v>
      </c>
    </row>
    <row r="12442" spans="8:8" x14ac:dyDescent="0.25">
      <c r="H12442" t="s">
        <v>13417</v>
      </c>
    </row>
    <row r="12443" spans="8:8" x14ac:dyDescent="0.25">
      <c r="H12443" t="s">
        <v>13418</v>
      </c>
    </row>
    <row r="12444" spans="8:8" x14ac:dyDescent="0.25">
      <c r="H12444" t="s">
        <v>135</v>
      </c>
    </row>
    <row r="12445" spans="8:8" x14ac:dyDescent="0.25">
      <c r="H12445" t="s">
        <v>19033</v>
      </c>
    </row>
    <row r="12446" spans="8:8" x14ac:dyDescent="0.25">
      <c r="H12446" t="s">
        <v>30</v>
      </c>
    </row>
    <row r="12447" spans="8:8" x14ac:dyDescent="0.25">
      <c r="H12447" t="s">
        <v>136</v>
      </c>
    </row>
    <row r="12448" spans="8:8" x14ac:dyDescent="0.25">
      <c r="H12448" t="s">
        <v>19034</v>
      </c>
    </row>
    <row r="12449" spans="8:8" x14ac:dyDescent="0.25">
      <c r="H12449" t="s">
        <v>30</v>
      </c>
    </row>
    <row r="12450" spans="8:8" x14ac:dyDescent="0.25">
      <c r="H12450" t="s">
        <v>137</v>
      </c>
    </row>
    <row r="12451" spans="8:8" x14ac:dyDescent="0.25">
      <c r="H12451" t="s">
        <v>19035</v>
      </c>
    </row>
    <row r="12452" spans="8:8" x14ac:dyDescent="0.25">
      <c r="H12452" t="s">
        <v>30</v>
      </c>
    </row>
    <row r="12453" spans="8:8" x14ac:dyDescent="0.25">
      <c r="H12453" t="s">
        <v>138</v>
      </c>
    </row>
    <row r="12454" spans="8:8" x14ac:dyDescent="0.25">
      <c r="H12454" t="s">
        <v>19036</v>
      </c>
    </row>
    <row r="12455" spans="8:8" x14ac:dyDescent="0.25">
      <c r="H12455" t="s">
        <v>30</v>
      </c>
    </row>
    <row r="12457" spans="8:8" x14ac:dyDescent="0.25">
      <c r="H12457" t="s">
        <v>13423</v>
      </c>
    </row>
    <row r="12458" spans="8:8" x14ac:dyDescent="0.25">
      <c r="H12458" t="s">
        <v>13424</v>
      </c>
    </row>
    <row r="12459" spans="8:8" x14ac:dyDescent="0.25">
      <c r="H12459" t="s">
        <v>135</v>
      </c>
    </row>
    <row r="12460" spans="8:8" x14ac:dyDescent="0.25">
      <c r="H12460" t="s">
        <v>19037</v>
      </c>
    </row>
    <row r="12461" spans="8:8" x14ac:dyDescent="0.25">
      <c r="H12461" t="s">
        <v>30</v>
      </c>
    </row>
    <row r="12462" spans="8:8" x14ac:dyDescent="0.25">
      <c r="H12462" t="s">
        <v>136</v>
      </c>
    </row>
    <row r="12463" spans="8:8" x14ac:dyDescent="0.25">
      <c r="H12463" t="s">
        <v>19038</v>
      </c>
    </row>
    <row r="12464" spans="8:8" x14ac:dyDescent="0.25">
      <c r="H12464" t="s">
        <v>30</v>
      </c>
    </row>
    <row r="12465" spans="8:8" x14ac:dyDescent="0.25">
      <c r="H12465" t="s">
        <v>137</v>
      </c>
    </row>
    <row r="12466" spans="8:8" x14ac:dyDescent="0.25">
      <c r="H12466" t="s">
        <v>19039</v>
      </c>
    </row>
    <row r="12467" spans="8:8" x14ac:dyDescent="0.25">
      <c r="H12467" t="s">
        <v>30</v>
      </c>
    </row>
    <row r="12468" spans="8:8" x14ac:dyDescent="0.25">
      <c r="H12468" t="s">
        <v>138</v>
      </c>
    </row>
    <row r="12469" spans="8:8" x14ac:dyDescent="0.25">
      <c r="H12469" t="s">
        <v>19040</v>
      </c>
    </row>
    <row r="12470" spans="8:8" x14ac:dyDescent="0.25">
      <c r="H12470" t="s">
        <v>30</v>
      </c>
    </row>
    <row r="12472" spans="8:8" x14ac:dyDescent="0.25">
      <c r="H12472" t="s">
        <v>13429</v>
      </c>
    </row>
    <row r="12473" spans="8:8" x14ac:dyDescent="0.25">
      <c r="H12473" t="s">
        <v>13430</v>
      </c>
    </row>
    <row r="12474" spans="8:8" x14ac:dyDescent="0.25">
      <c r="H12474" t="s">
        <v>135</v>
      </c>
    </row>
    <row r="12475" spans="8:8" x14ac:dyDescent="0.25">
      <c r="H12475" t="s">
        <v>19041</v>
      </c>
    </row>
    <row r="12476" spans="8:8" x14ac:dyDescent="0.25">
      <c r="H12476" t="s">
        <v>30</v>
      </c>
    </row>
    <row r="12477" spans="8:8" x14ac:dyDescent="0.25">
      <c r="H12477" t="s">
        <v>136</v>
      </c>
    </row>
    <row r="12478" spans="8:8" x14ac:dyDescent="0.25">
      <c r="H12478" t="s">
        <v>19042</v>
      </c>
    </row>
    <row r="12479" spans="8:8" x14ac:dyDescent="0.25">
      <c r="H12479" t="s">
        <v>30</v>
      </c>
    </row>
    <row r="12480" spans="8:8" x14ac:dyDescent="0.25">
      <c r="H12480" t="s">
        <v>137</v>
      </c>
    </row>
    <row r="12481" spans="8:8" x14ac:dyDescent="0.25">
      <c r="H12481" t="s">
        <v>19043</v>
      </c>
    </row>
    <row r="12482" spans="8:8" x14ac:dyDescent="0.25">
      <c r="H12482" t="s">
        <v>30</v>
      </c>
    </row>
    <row r="12483" spans="8:8" x14ac:dyDescent="0.25">
      <c r="H12483" t="s">
        <v>138</v>
      </c>
    </row>
    <row r="12484" spans="8:8" x14ac:dyDescent="0.25">
      <c r="H12484" t="s">
        <v>19044</v>
      </c>
    </row>
    <row r="12485" spans="8:8" x14ac:dyDescent="0.25">
      <c r="H12485" t="s">
        <v>30</v>
      </c>
    </row>
    <row r="12487" spans="8:8" x14ac:dyDescent="0.25">
      <c r="H12487" t="s">
        <v>13435</v>
      </c>
    </row>
    <row r="12488" spans="8:8" x14ac:dyDescent="0.25">
      <c r="H12488" t="s">
        <v>13436</v>
      </c>
    </row>
    <row r="12489" spans="8:8" x14ac:dyDescent="0.25">
      <c r="H12489" t="s">
        <v>135</v>
      </c>
    </row>
    <row r="12490" spans="8:8" x14ac:dyDescent="0.25">
      <c r="H12490" t="s">
        <v>19045</v>
      </c>
    </row>
    <row r="12491" spans="8:8" x14ac:dyDescent="0.25">
      <c r="H12491" t="s">
        <v>30</v>
      </c>
    </row>
    <row r="12492" spans="8:8" x14ac:dyDescent="0.25">
      <c r="H12492" t="s">
        <v>136</v>
      </c>
    </row>
    <row r="12493" spans="8:8" x14ac:dyDescent="0.25">
      <c r="H12493" t="s">
        <v>19046</v>
      </c>
    </row>
    <row r="12494" spans="8:8" x14ac:dyDescent="0.25">
      <c r="H12494" t="s">
        <v>30</v>
      </c>
    </row>
    <row r="12495" spans="8:8" x14ac:dyDescent="0.25">
      <c r="H12495" t="s">
        <v>137</v>
      </c>
    </row>
    <row r="12496" spans="8:8" x14ac:dyDescent="0.25">
      <c r="H12496" t="s">
        <v>19047</v>
      </c>
    </row>
    <row r="12497" spans="8:8" x14ac:dyDescent="0.25">
      <c r="H12497" t="s">
        <v>30</v>
      </c>
    </row>
    <row r="12498" spans="8:8" x14ac:dyDescent="0.25">
      <c r="H12498" t="s">
        <v>138</v>
      </c>
    </row>
    <row r="12499" spans="8:8" x14ac:dyDescent="0.25">
      <c r="H12499" t="s">
        <v>19048</v>
      </c>
    </row>
    <row r="12500" spans="8:8" x14ac:dyDescent="0.25">
      <c r="H12500" t="s">
        <v>30</v>
      </c>
    </row>
    <row r="12502" spans="8:8" x14ac:dyDescent="0.25">
      <c r="H12502" t="s">
        <v>13441</v>
      </c>
    </row>
    <row r="12503" spans="8:8" x14ac:dyDescent="0.25">
      <c r="H12503" t="s">
        <v>13442</v>
      </c>
    </row>
    <row r="12504" spans="8:8" x14ac:dyDescent="0.25">
      <c r="H12504" t="s">
        <v>135</v>
      </c>
    </row>
    <row r="12505" spans="8:8" x14ac:dyDescent="0.25">
      <c r="H12505" t="s">
        <v>19049</v>
      </c>
    </row>
    <row r="12506" spans="8:8" x14ac:dyDescent="0.25">
      <c r="H12506" t="s">
        <v>30</v>
      </c>
    </row>
    <row r="12507" spans="8:8" x14ac:dyDescent="0.25">
      <c r="H12507" t="s">
        <v>136</v>
      </c>
    </row>
    <row r="12508" spans="8:8" x14ac:dyDescent="0.25">
      <c r="H12508" t="s">
        <v>19050</v>
      </c>
    </row>
    <row r="12509" spans="8:8" x14ac:dyDescent="0.25">
      <c r="H12509" t="s">
        <v>30</v>
      </c>
    </row>
    <row r="12510" spans="8:8" x14ac:dyDescent="0.25">
      <c r="H12510" t="s">
        <v>137</v>
      </c>
    </row>
    <row r="12511" spans="8:8" x14ac:dyDescent="0.25">
      <c r="H12511" t="s">
        <v>19051</v>
      </c>
    </row>
    <row r="12512" spans="8:8" x14ac:dyDescent="0.25">
      <c r="H12512" t="s">
        <v>30</v>
      </c>
    </row>
    <row r="12513" spans="8:8" x14ac:dyDescent="0.25">
      <c r="H12513" t="s">
        <v>138</v>
      </c>
    </row>
    <row r="12514" spans="8:8" x14ac:dyDescent="0.25">
      <c r="H12514" t="s">
        <v>19052</v>
      </c>
    </row>
    <row r="12515" spans="8:8" x14ac:dyDescent="0.25">
      <c r="H12515" t="s">
        <v>30</v>
      </c>
    </row>
    <row r="12517" spans="8:8" x14ac:dyDescent="0.25">
      <c r="H12517" t="s">
        <v>13447</v>
      </c>
    </row>
    <row r="12518" spans="8:8" x14ac:dyDescent="0.25">
      <c r="H12518" t="s">
        <v>13448</v>
      </c>
    </row>
    <row r="12519" spans="8:8" x14ac:dyDescent="0.25">
      <c r="H12519" t="s">
        <v>135</v>
      </c>
    </row>
    <row r="12520" spans="8:8" x14ac:dyDescent="0.25">
      <c r="H12520" t="s">
        <v>19053</v>
      </c>
    </row>
    <row r="12521" spans="8:8" x14ac:dyDescent="0.25">
      <c r="H12521" t="s">
        <v>30</v>
      </c>
    </row>
    <row r="12522" spans="8:8" x14ac:dyDescent="0.25">
      <c r="H12522" t="s">
        <v>136</v>
      </c>
    </row>
    <row r="12523" spans="8:8" x14ac:dyDescent="0.25">
      <c r="H12523" t="s">
        <v>19054</v>
      </c>
    </row>
    <row r="12524" spans="8:8" x14ac:dyDescent="0.25">
      <c r="H12524" t="s">
        <v>30</v>
      </c>
    </row>
    <row r="12525" spans="8:8" x14ac:dyDescent="0.25">
      <c r="H12525" t="s">
        <v>137</v>
      </c>
    </row>
    <row r="12526" spans="8:8" x14ac:dyDescent="0.25">
      <c r="H12526" t="s">
        <v>19055</v>
      </c>
    </row>
    <row r="12527" spans="8:8" x14ac:dyDescent="0.25">
      <c r="H12527" t="s">
        <v>30</v>
      </c>
    </row>
    <row r="12528" spans="8:8" x14ac:dyDescent="0.25">
      <c r="H12528" t="s">
        <v>138</v>
      </c>
    </row>
    <row r="12529" spans="8:8" x14ac:dyDescent="0.25">
      <c r="H12529" t="s">
        <v>19056</v>
      </c>
    </row>
    <row r="12530" spans="8:8" x14ac:dyDescent="0.25">
      <c r="H12530" t="s">
        <v>30</v>
      </c>
    </row>
    <row r="12532" spans="8:8" x14ac:dyDescent="0.25">
      <c r="H12532" t="s">
        <v>13453</v>
      </c>
    </row>
    <row r="12533" spans="8:8" x14ac:dyDescent="0.25">
      <c r="H12533" t="s">
        <v>13454</v>
      </c>
    </row>
    <row r="12534" spans="8:8" x14ac:dyDescent="0.25">
      <c r="H12534" t="s">
        <v>135</v>
      </c>
    </row>
    <row r="12535" spans="8:8" x14ac:dyDescent="0.25">
      <c r="H12535" t="s">
        <v>19057</v>
      </c>
    </row>
    <row r="12536" spans="8:8" x14ac:dyDescent="0.25">
      <c r="H12536" t="s">
        <v>30</v>
      </c>
    </row>
    <row r="12537" spans="8:8" x14ac:dyDescent="0.25">
      <c r="H12537" t="s">
        <v>136</v>
      </c>
    </row>
    <row r="12538" spans="8:8" x14ac:dyDescent="0.25">
      <c r="H12538" t="s">
        <v>19058</v>
      </c>
    </row>
    <row r="12539" spans="8:8" x14ac:dyDescent="0.25">
      <c r="H12539" t="s">
        <v>30</v>
      </c>
    </row>
    <row r="12540" spans="8:8" x14ac:dyDescent="0.25">
      <c r="H12540" t="s">
        <v>137</v>
      </c>
    </row>
    <row r="12541" spans="8:8" x14ac:dyDescent="0.25">
      <c r="H12541" t="s">
        <v>19059</v>
      </c>
    </row>
    <row r="12542" spans="8:8" x14ac:dyDescent="0.25">
      <c r="H12542" t="s">
        <v>30</v>
      </c>
    </row>
    <row r="12543" spans="8:8" x14ac:dyDescent="0.25">
      <c r="H12543" t="s">
        <v>138</v>
      </c>
    </row>
    <row r="12544" spans="8:8" x14ac:dyDescent="0.25">
      <c r="H12544" t="s">
        <v>19060</v>
      </c>
    </row>
    <row r="12545" spans="8:8" x14ac:dyDescent="0.25">
      <c r="H12545" t="s">
        <v>30</v>
      </c>
    </row>
    <row r="12547" spans="8:8" x14ac:dyDescent="0.25">
      <c r="H12547" t="s">
        <v>13459</v>
      </c>
    </row>
    <row r="12548" spans="8:8" x14ac:dyDescent="0.25">
      <c r="H12548" t="s">
        <v>13460</v>
      </c>
    </row>
    <row r="12549" spans="8:8" x14ac:dyDescent="0.25">
      <c r="H12549" t="s">
        <v>135</v>
      </c>
    </row>
    <row r="12550" spans="8:8" x14ac:dyDescent="0.25">
      <c r="H12550" t="s">
        <v>19061</v>
      </c>
    </row>
    <row r="12551" spans="8:8" x14ac:dyDescent="0.25">
      <c r="H12551" t="s">
        <v>30</v>
      </c>
    </row>
    <row r="12552" spans="8:8" x14ac:dyDescent="0.25">
      <c r="H12552" t="s">
        <v>136</v>
      </c>
    </row>
    <row r="12553" spans="8:8" x14ac:dyDescent="0.25">
      <c r="H12553" t="s">
        <v>19062</v>
      </c>
    </row>
    <row r="12554" spans="8:8" x14ac:dyDescent="0.25">
      <c r="H12554" t="s">
        <v>30</v>
      </c>
    </row>
    <row r="12555" spans="8:8" x14ac:dyDescent="0.25">
      <c r="H12555" t="s">
        <v>137</v>
      </c>
    </row>
    <row r="12556" spans="8:8" x14ac:dyDescent="0.25">
      <c r="H12556" t="s">
        <v>19063</v>
      </c>
    </row>
    <row r="12557" spans="8:8" x14ac:dyDescent="0.25">
      <c r="H12557" t="s">
        <v>30</v>
      </c>
    </row>
    <row r="12558" spans="8:8" x14ac:dyDescent="0.25">
      <c r="H12558" t="s">
        <v>138</v>
      </c>
    </row>
    <row r="12559" spans="8:8" x14ac:dyDescent="0.25">
      <c r="H12559" t="s">
        <v>19064</v>
      </c>
    </row>
    <row r="12560" spans="8:8" x14ac:dyDescent="0.25">
      <c r="H12560" t="s">
        <v>30</v>
      </c>
    </row>
    <row r="12562" spans="8:8" x14ac:dyDescent="0.25">
      <c r="H12562" t="s">
        <v>13465</v>
      </c>
    </row>
    <row r="12563" spans="8:8" x14ac:dyDescent="0.25">
      <c r="H12563" t="s">
        <v>13466</v>
      </c>
    </row>
    <row r="12564" spans="8:8" x14ac:dyDescent="0.25">
      <c r="H12564" t="s">
        <v>135</v>
      </c>
    </row>
    <row r="12565" spans="8:8" x14ac:dyDescent="0.25">
      <c r="H12565" t="s">
        <v>19065</v>
      </c>
    </row>
    <row r="12566" spans="8:8" x14ac:dyDescent="0.25">
      <c r="H12566" t="s">
        <v>30</v>
      </c>
    </row>
    <row r="12567" spans="8:8" x14ac:dyDescent="0.25">
      <c r="H12567" t="s">
        <v>136</v>
      </c>
    </row>
    <row r="12568" spans="8:8" x14ac:dyDescent="0.25">
      <c r="H12568" t="s">
        <v>19066</v>
      </c>
    </row>
    <row r="12569" spans="8:8" x14ac:dyDescent="0.25">
      <c r="H12569" t="s">
        <v>30</v>
      </c>
    </row>
    <row r="12570" spans="8:8" x14ac:dyDescent="0.25">
      <c r="H12570" t="s">
        <v>137</v>
      </c>
    </row>
    <row r="12571" spans="8:8" x14ac:dyDescent="0.25">
      <c r="H12571" t="s">
        <v>19067</v>
      </c>
    </row>
    <row r="12572" spans="8:8" x14ac:dyDescent="0.25">
      <c r="H12572" t="s">
        <v>30</v>
      </c>
    </row>
    <row r="12573" spans="8:8" x14ac:dyDescent="0.25">
      <c r="H12573" t="s">
        <v>138</v>
      </c>
    </row>
    <row r="12574" spans="8:8" x14ac:dyDescent="0.25">
      <c r="H12574" t="s">
        <v>19068</v>
      </c>
    </row>
    <row r="12575" spans="8:8" x14ac:dyDescent="0.25">
      <c r="H12575" t="s">
        <v>30</v>
      </c>
    </row>
    <row r="12577" spans="8:8" x14ac:dyDescent="0.25">
      <c r="H12577" t="s">
        <v>13471</v>
      </c>
    </row>
    <row r="12578" spans="8:8" x14ac:dyDescent="0.25">
      <c r="H12578" t="s">
        <v>13472</v>
      </c>
    </row>
    <row r="12579" spans="8:8" x14ac:dyDescent="0.25">
      <c r="H12579" t="s">
        <v>135</v>
      </c>
    </row>
    <row r="12580" spans="8:8" x14ac:dyDescent="0.25">
      <c r="H12580" t="s">
        <v>19069</v>
      </c>
    </row>
    <row r="12581" spans="8:8" x14ac:dyDescent="0.25">
      <c r="H12581" t="s">
        <v>30</v>
      </c>
    </row>
    <row r="12582" spans="8:8" x14ac:dyDescent="0.25">
      <c r="H12582" t="s">
        <v>136</v>
      </c>
    </row>
    <row r="12583" spans="8:8" x14ac:dyDescent="0.25">
      <c r="H12583" t="s">
        <v>19070</v>
      </c>
    </row>
    <row r="12584" spans="8:8" x14ac:dyDescent="0.25">
      <c r="H12584" t="s">
        <v>30</v>
      </c>
    </row>
    <row r="12585" spans="8:8" x14ac:dyDescent="0.25">
      <c r="H12585" t="s">
        <v>137</v>
      </c>
    </row>
    <row r="12586" spans="8:8" x14ac:dyDescent="0.25">
      <c r="H12586" t="s">
        <v>19071</v>
      </c>
    </row>
    <row r="12587" spans="8:8" x14ac:dyDescent="0.25">
      <c r="H12587" t="s">
        <v>30</v>
      </c>
    </row>
    <row r="12588" spans="8:8" x14ac:dyDescent="0.25">
      <c r="H12588" t="s">
        <v>138</v>
      </c>
    </row>
    <row r="12589" spans="8:8" x14ac:dyDescent="0.25">
      <c r="H12589" t="s">
        <v>19072</v>
      </c>
    </row>
    <row r="12590" spans="8:8" x14ac:dyDescent="0.25">
      <c r="H12590" t="s">
        <v>30</v>
      </c>
    </row>
    <row r="12592" spans="8:8" x14ac:dyDescent="0.25">
      <c r="H12592" t="s">
        <v>13477</v>
      </c>
    </row>
    <row r="12593" spans="8:8" x14ac:dyDescent="0.25">
      <c r="H12593" t="s">
        <v>13478</v>
      </c>
    </row>
    <row r="12594" spans="8:8" x14ac:dyDescent="0.25">
      <c r="H12594" t="s">
        <v>135</v>
      </c>
    </row>
    <row r="12595" spans="8:8" x14ac:dyDescent="0.25">
      <c r="H12595" t="s">
        <v>19073</v>
      </c>
    </row>
    <row r="12596" spans="8:8" x14ac:dyDescent="0.25">
      <c r="H12596" t="s">
        <v>30</v>
      </c>
    </row>
    <row r="12597" spans="8:8" x14ac:dyDescent="0.25">
      <c r="H12597" t="s">
        <v>136</v>
      </c>
    </row>
    <row r="12598" spans="8:8" x14ac:dyDescent="0.25">
      <c r="H12598" t="s">
        <v>19074</v>
      </c>
    </row>
    <row r="12599" spans="8:8" x14ac:dyDescent="0.25">
      <c r="H12599" t="s">
        <v>30</v>
      </c>
    </row>
    <row r="12600" spans="8:8" x14ac:dyDescent="0.25">
      <c r="H12600" t="s">
        <v>137</v>
      </c>
    </row>
    <row r="12601" spans="8:8" x14ac:dyDescent="0.25">
      <c r="H12601" t="s">
        <v>19075</v>
      </c>
    </row>
    <row r="12602" spans="8:8" x14ac:dyDescent="0.25">
      <c r="H12602" t="s">
        <v>30</v>
      </c>
    </row>
    <row r="12603" spans="8:8" x14ac:dyDescent="0.25">
      <c r="H12603" t="s">
        <v>138</v>
      </c>
    </row>
    <row r="12604" spans="8:8" x14ac:dyDescent="0.25">
      <c r="H12604" t="s">
        <v>19076</v>
      </c>
    </row>
    <row r="12605" spans="8:8" x14ac:dyDescent="0.25">
      <c r="H12605" t="s">
        <v>30</v>
      </c>
    </row>
    <row r="12607" spans="8:8" x14ac:dyDescent="0.25">
      <c r="H12607" t="s">
        <v>13483</v>
      </c>
    </row>
    <row r="12608" spans="8:8" x14ac:dyDescent="0.25">
      <c r="H12608" t="s">
        <v>13484</v>
      </c>
    </row>
    <row r="12609" spans="8:8" x14ac:dyDescent="0.25">
      <c r="H12609" t="s">
        <v>135</v>
      </c>
    </row>
    <row r="12610" spans="8:8" x14ac:dyDescent="0.25">
      <c r="H12610" t="s">
        <v>19077</v>
      </c>
    </row>
    <row r="12611" spans="8:8" x14ac:dyDescent="0.25">
      <c r="H12611" t="s">
        <v>30</v>
      </c>
    </row>
    <row r="12612" spans="8:8" x14ac:dyDescent="0.25">
      <c r="H12612" t="s">
        <v>136</v>
      </c>
    </row>
    <row r="12613" spans="8:8" x14ac:dyDescent="0.25">
      <c r="H12613" t="s">
        <v>19078</v>
      </c>
    </row>
    <row r="12614" spans="8:8" x14ac:dyDescent="0.25">
      <c r="H12614" t="s">
        <v>30</v>
      </c>
    </row>
    <row r="12615" spans="8:8" x14ac:dyDescent="0.25">
      <c r="H12615" t="s">
        <v>137</v>
      </c>
    </row>
    <row r="12616" spans="8:8" x14ac:dyDescent="0.25">
      <c r="H12616" t="s">
        <v>19079</v>
      </c>
    </row>
    <row r="12617" spans="8:8" x14ac:dyDescent="0.25">
      <c r="H12617" t="s">
        <v>30</v>
      </c>
    </row>
    <row r="12618" spans="8:8" x14ac:dyDescent="0.25">
      <c r="H12618" t="s">
        <v>138</v>
      </c>
    </row>
    <row r="12619" spans="8:8" x14ac:dyDescent="0.25">
      <c r="H12619" t="s">
        <v>19080</v>
      </c>
    </row>
    <row r="12620" spans="8:8" x14ac:dyDescent="0.25">
      <c r="H12620" t="s">
        <v>30</v>
      </c>
    </row>
    <row r="12622" spans="8:8" x14ac:dyDescent="0.25">
      <c r="H12622" t="s">
        <v>13489</v>
      </c>
    </row>
    <row r="12623" spans="8:8" x14ac:dyDescent="0.25">
      <c r="H12623" t="s">
        <v>13490</v>
      </c>
    </row>
    <row r="12624" spans="8:8" x14ac:dyDescent="0.25">
      <c r="H12624" t="s">
        <v>135</v>
      </c>
    </row>
    <row r="12625" spans="8:8" x14ac:dyDescent="0.25">
      <c r="H12625" t="s">
        <v>19081</v>
      </c>
    </row>
    <row r="12626" spans="8:8" x14ac:dyDescent="0.25">
      <c r="H12626" t="s">
        <v>30</v>
      </c>
    </row>
    <row r="12627" spans="8:8" x14ac:dyDescent="0.25">
      <c r="H12627" t="s">
        <v>136</v>
      </c>
    </row>
    <row r="12628" spans="8:8" x14ac:dyDescent="0.25">
      <c r="H12628" t="s">
        <v>19082</v>
      </c>
    </row>
    <row r="12629" spans="8:8" x14ac:dyDescent="0.25">
      <c r="H12629" t="s">
        <v>30</v>
      </c>
    </row>
    <row r="12630" spans="8:8" x14ac:dyDescent="0.25">
      <c r="H12630" t="s">
        <v>137</v>
      </c>
    </row>
    <row r="12631" spans="8:8" x14ac:dyDescent="0.25">
      <c r="H12631" t="s">
        <v>19083</v>
      </c>
    </row>
    <row r="12632" spans="8:8" x14ac:dyDescent="0.25">
      <c r="H12632" t="s">
        <v>30</v>
      </c>
    </row>
    <row r="12633" spans="8:8" x14ac:dyDescent="0.25">
      <c r="H12633" t="s">
        <v>138</v>
      </c>
    </row>
    <row r="12634" spans="8:8" x14ac:dyDescent="0.25">
      <c r="H12634" t="s">
        <v>19084</v>
      </c>
    </row>
    <row r="12635" spans="8:8" x14ac:dyDescent="0.25">
      <c r="H12635" t="s">
        <v>30</v>
      </c>
    </row>
    <row r="12637" spans="8:8" x14ac:dyDescent="0.25">
      <c r="H12637" t="s">
        <v>13495</v>
      </c>
    </row>
    <row r="12638" spans="8:8" x14ac:dyDescent="0.25">
      <c r="H12638" t="s">
        <v>13496</v>
      </c>
    </row>
    <row r="12639" spans="8:8" x14ac:dyDescent="0.25">
      <c r="H12639" t="s">
        <v>135</v>
      </c>
    </row>
    <row r="12640" spans="8:8" x14ac:dyDescent="0.25">
      <c r="H12640" t="s">
        <v>19085</v>
      </c>
    </row>
    <row r="12641" spans="8:8" x14ac:dyDescent="0.25">
      <c r="H12641" t="s">
        <v>30</v>
      </c>
    </row>
    <row r="12642" spans="8:8" x14ac:dyDescent="0.25">
      <c r="H12642" t="s">
        <v>136</v>
      </c>
    </row>
    <row r="12643" spans="8:8" x14ac:dyDescent="0.25">
      <c r="H12643" t="s">
        <v>19086</v>
      </c>
    </row>
    <row r="12644" spans="8:8" x14ac:dyDescent="0.25">
      <c r="H12644" t="s">
        <v>30</v>
      </c>
    </row>
    <row r="12645" spans="8:8" x14ac:dyDescent="0.25">
      <c r="H12645" t="s">
        <v>137</v>
      </c>
    </row>
    <row r="12646" spans="8:8" x14ac:dyDescent="0.25">
      <c r="H12646" t="s">
        <v>19087</v>
      </c>
    </row>
    <row r="12647" spans="8:8" x14ac:dyDescent="0.25">
      <c r="H12647" t="s">
        <v>30</v>
      </c>
    </row>
    <row r="12648" spans="8:8" x14ac:dyDescent="0.25">
      <c r="H12648" t="s">
        <v>138</v>
      </c>
    </row>
    <row r="12649" spans="8:8" x14ac:dyDescent="0.25">
      <c r="H12649" t="s">
        <v>19088</v>
      </c>
    </row>
    <row r="12650" spans="8:8" x14ac:dyDescent="0.25">
      <c r="H12650" t="s">
        <v>30</v>
      </c>
    </row>
    <row r="12652" spans="8:8" x14ac:dyDescent="0.25">
      <c r="H12652" t="s">
        <v>13501</v>
      </c>
    </row>
    <row r="12653" spans="8:8" x14ac:dyDescent="0.25">
      <c r="H12653" t="s">
        <v>13502</v>
      </c>
    </row>
    <row r="12654" spans="8:8" x14ac:dyDescent="0.25">
      <c r="H12654" t="s">
        <v>135</v>
      </c>
    </row>
    <row r="12655" spans="8:8" x14ac:dyDescent="0.25">
      <c r="H12655" t="s">
        <v>19089</v>
      </c>
    </row>
    <row r="12656" spans="8:8" x14ac:dyDescent="0.25">
      <c r="H12656" t="s">
        <v>30</v>
      </c>
    </row>
    <row r="12657" spans="8:8" x14ac:dyDescent="0.25">
      <c r="H12657" t="s">
        <v>136</v>
      </c>
    </row>
    <row r="12658" spans="8:8" x14ac:dyDescent="0.25">
      <c r="H12658" t="s">
        <v>19090</v>
      </c>
    </row>
    <row r="12659" spans="8:8" x14ac:dyDescent="0.25">
      <c r="H12659" t="s">
        <v>30</v>
      </c>
    </row>
    <row r="12660" spans="8:8" x14ac:dyDescent="0.25">
      <c r="H12660" t="s">
        <v>137</v>
      </c>
    </row>
    <row r="12661" spans="8:8" x14ac:dyDescent="0.25">
      <c r="H12661" t="s">
        <v>19091</v>
      </c>
    </row>
    <row r="12662" spans="8:8" x14ac:dyDescent="0.25">
      <c r="H12662" t="s">
        <v>30</v>
      </c>
    </row>
    <row r="12663" spans="8:8" x14ac:dyDescent="0.25">
      <c r="H12663" t="s">
        <v>138</v>
      </c>
    </row>
    <row r="12664" spans="8:8" x14ac:dyDescent="0.25">
      <c r="H12664" t="s">
        <v>19092</v>
      </c>
    </row>
    <row r="12665" spans="8:8" x14ac:dyDescent="0.25">
      <c r="H12665" t="s">
        <v>30</v>
      </c>
    </row>
    <row r="12667" spans="8:8" x14ac:dyDescent="0.25">
      <c r="H12667" t="s">
        <v>13507</v>
      </c>
    </row>
    <row r="12668" spans="8:8" x14ac:dyDescent="0.25">
      <c r="H12668" t="s">
        <v>13508</v>
      </c>
    </row>
    <row r="12669" spans="8:8" x14ac:dyDescent="0.25">
      <c r="H12669" t="s">
        <v>135</v>
      </c>
    </row>
    <row r="12670" spans="8:8" x14ac:dyDescent="0.25">
      <c r="H12670" t="s">
        <v>19093</v>
      </c>
    </row>
    <row r="12671" spans="8:8" x14ac:dyDescent="0.25">
      <c r="H12671" t="s">
        <v>30</v>
      </c>
    </row>
    <row r="12672" spans="8:8" x14ac:dyDescent="0.25">
      <c r="H12672" t="s">
        <v>136</v>
      </c>
    </row>
    <row r="12673" spans="8:8" x14ac:dyDescent="0.25">
      <c r="H12673" t="s">
        <v>19094</v>
      </c>
    </row>
    <row r="12674" spans="8:8" x14ac:dyDescent="0.25">
      <c r="H12674" t="s">
        <v>30</v>
      </c>
    </row>
    <row r="12675" spans="8:8" x14ac:dyDescent="0.25">
      <c r="H12675" t="s">
        <v>137</v>
      </c>
    </row>
    <row r="12676" spans="8:8" x14ac:dyDescent="0.25">
      <c r="H12676" t="s">
        <v>19095</v>
      </c>
    </row>
    <row r="12677" spans="8:8" x14ac:dyDescent="0.25">
      <c r="H12677" t="s">
        <v>30</v>
      </c>
    </row>
    <row r="12678" spans="8:8" x14ac:dyDescent="0.25">
      <c r="H12678" t="s">
        <v>138</v>
      </c>
    </row>
    <row r="12679" spans="8:8" x14ac:dyDescent="0.25">
      <c r="H12679" t="s">
        <v>19096</v>
      </c>
    </row>
    <row r="12680" spans="8:8" x14ac:dyDescent="0.25">
      <c r="H12680" t="s">
        <v>30</v>
      </c>
    </row>
    <row r="12682" spans="8:8" x14ac:dyDescent="0.25">
      <c r="H12682" t="s">
        <v>13513</v>
      </c>
    </row>
    <row r="12683" spans="8:8" x14ac:dyDescent="0.25">
      <c r="H12683" t="s">
        <v>13514</v>
      </c>
    </row>
    <row r="12684" spans="8:8" x14ac:dyDescent="0.25">
      <c r="H12684" t="s">
        <v>135</v>
      </c>
    </row>
    <row r="12685" spans="8:8" x14ac:dyDescent="0.25">
      <c r="H12685" t="s">
        <v>19097</v>
      </c>
    </row>
    <row r="12686" spans="8:8" x14ac:dyDescent="0.25">
      <c r="H12686" t="s">
        <v>30</v>
      </c>
    </row>
    <row r="12687" spans="8:8" x14ac:dyDescent="0.25">
      <c r="H12687" t="s">
        <v>136</v>
      </c>
    </row>
    <row r="12688" spans="8:8" x14ac:dyDescent="0.25">
      <c r="H12688" t="s">
        <v>19098</v>
      </c>
    </row>
    <row r="12689" spans="8:8" x14ac:dyDescent="0.25">
      <c r="H12689" t="s">
        <v>30</v>
      </c>
    </row>
    <row r="12690" spans="8:8" x14ac:dyDescent="0.25">
      <c r="H12690" t="s">
        <v>137</v>
      </c>
    </row>
    <row r="12691" spans="8:8" x14ac:dyDescent="0.25">
      <c r="H12691" t="s">
        <v>19099</v>
      </c>
    </row>
    <row r="12692" spans="8:8" x14ac:dyDescent="0.25">
      <c r="H12692" t="s">
        <v>30</v>
      </c>
    </row>
    <row r="12693" spans="8:8" x14ac:dyDescent="0.25">
      <c r="H12693" t="s">
        <v>138</v>
      </c>
    </row>
    <row r="12694" spans="8:8" x14ac:dyDescent="0.25">
      <c r="H12694" t="s">
        <v>19100</v>
      </c>
    </row>
    <row r="12695" spans="8:8" x14ac:dyDescent="0.25">
      <c r="H12695" t="s">
        <v>30</v>
      </c>
    </row>
    <row r="12697" spans="8:8" x14ac:dyDescent="0.25">
      <c r="H12697" t="s">
        <v>13519</v>
      </c>
    </row>
    <row r="12698" spans="8:8" x14ac:dyDescent="0.25">
      <c r="H12698" t="s">
        <v>13520</v>
      </c>
    </row>
    <row r="12699" spans="8:8" x14ac:dyDescent="0.25">
      <c r="H12699" t="s">
        <v>135</v>
      </c>
    </row>
    <row r="12700" spans="8:8" x14ac:dyDescent="0.25">
      <c r="H12700" t="s">
        <v>19101</v>
      </c>
    </row>
    <row r="12701" spans="8:8" x14ac:dyDescent="0.25">
      <c r="H12701" t="s">
        <v>30</v>
      </c>
    </row>
    <row r="12702" spans="8:8" x14ac:dyDescent="0.25">
      <c r="H12702" t="s">
        <v>136</v>
      </c>
    </row>
    <row r="12703" spans="8:8" x14ac:dyDescent="0.25">
      <c r="H12703" t="s">
        <v>19102</v>
      </c>
    </row>
    <row r="12704" spans="8:8" x14ac:dyDescent="0.25">
      <c r="H12704" t="s">
        <v>30</v>
      </c>
    </row>
    <row r="12705" spans="8:8" x14ac:dyDescent="0.25">
      <c r="H12705" t="s">
        <v>137</v>
      </c>
    </row>
    <row r="12706" spans="8:8" x14ac:dyDescent="0.25">
      <c r="H12706" t="s">
        <v>19103</v>
      </c>
    </row>
    <row r="12707" spans="8:8" x14ac:dyDescent="0.25">
      <c r="H12707" t="s">
        <v>30</v>
      </c>
    </row>
    <row r="12708" spans="8:8" x14ac:dyDescent="0.25">
      <c r="H12708" t="s">
        <v>138</v>
      </c>
    </row>
    <row r="12709" spans="8:8" x14ac:dyDescent="0.25">
      <c r="H12709" t="s">
        <v>19104</v>
      </c>
    </row>
    <row r="12710" spans="8:8" x14ac:dyDescent="0.25">
      <c r="H12710" t="s">
        <v>30</v>
      </c>
    </row>
    <row r="12712" spans="8:8" x14ac:dyDescent="0.25">
      <c r="H12712" t="s">
        <v>13525</v>
      </c>
    </row>
    <row r="12713" spans="8:8" x14ac:dyDescent="0.25">
      <c r="H12713" t="s">
        <v>13526</v>
      </c>
    </row>
    <row r="12714" spans="8:8" x14ac:dyDescent="0.25">
      <c r="H12714" t="s">
        <v>135</v>
      </c>
    </row>
    <row r="12715" spans="8:8" x14ac:dyDescent="0.25">
      <c r="H12715" t="s">
        <v>19105</v>
      </c>
    </row>
    <row r="12716" spans="8:8" x14ac:dyDescent="0.25">
      <c r="H12716" t="s">
        <v>30</v>
      </c>
    </row>
    <row r="12717" spans="8:8" x14ac:dyDescent="0.25">
      <c r="H12717" t="s">
        <v>136</v>
      </c>
    </row>
    <row r="12718" spans="8:8" x14ac:dyDescent="0.25">
      <c r="H12718" t="s">
        <v>19106</v>
      </c>
    </row>
    <row r="12719" spans="8:8" x14ac:dyDescent="0.25">
      <c r="H12719" t="s">
        <v>30</v>
      </c>
    </row>
    <row r="12720" spans="8:8" x14ac:dyDescent="0.25">
      <c r="H12720" t="s">
        <v>137</v>
      </c>
    </row>
    <row r="12721" spans="8:8" x14ac:dyDescent="0.25">
      <c r="H12721" t="s">
        <v>19107</v>
      </c>
    </row>
    <row r="12722" spans="8:8" x14ac:dyDescent="0.25">
      <c r="H12722" t="s">
        <v>30</v>
      </c>
    </row>
    <row r="12723" spans="8:8" x14ac:dyDescent="0.25">
      <c r="H12723" t="s">
        <v>138</v>
      </c>
    </row>
    <row r="12724" spans="8:8" x14ac:dyDescent="0.25">
      <c r="H12724" t="s">
        <v>19108</v>
      </c>
    </row>
    <row r="12725" spans="8:8" x14ac:dyDescent="0.25">
      <c r="H12725" t="s">
        <v>30</v>
      </c>
    </row>
    <row r="12727" spans="8:8" x14ac:dyDescent="0.25">
      <c r="H12727" t="s">
        <v>13531</v>
      </c>
    </row>
    <row r="12728" spans="8:8" x14ac:dyDescent="0.25">
      <c r="H12728" t="s">
        <v>13532</v>
      </c>
    </row>
    <row r="12729" spans="8:8" x14ac:dyDescent="0.25">
      <c r="H12729" t="s">
        <v>135</v>
      </c>
    </row>
    <row r="12730" spans="8:8" x14ac:dyDescent="0.25">
      <c r="H12730" t="s">
        <v>19109</v>
      </c>
    </row>
    <row r="12731" spans="8:8" x14ac:dyDescent="0.25">
      <c r="H12731" t="s">
        <v>30</v>
      </c>
    </row>
    <row r="12732" spans="8:8" x14ac:dyDescent="0.25">
      <c r="H12732" t="s">
        <v>136</v>
      </c>
    </row>
    <row r="12733" spans="8:8" x14ac:dyDescent="0.25">
      <c r="H12733" t="s">
        <v>19110</v>
      </c>
    </row>
    <row r="12734" spans="8:8" x14ac:dyDescent="0.25">
      <c r="H12734" t="s">
        <v>30</v>
      </c>
    </row>
    <row r="12735" spans="8:8" x14ac:dyDescent="0.25">
      <c r="H12735" t="s">
        <v>137</v>
      </c>
    </row>
    <row r="12736" spans="8:8" x14ac:dyDescent="0.25">
      <c r="H12736" t="s">
        <v>19111</v>
      </c>
    </row>
    <row r="12737" spans="8:8" x14ac:dyDescent="0.25">
      <c r="H12737" t="s">
        <v>30</v>
      </c>
    </row>
    <row r="12738" spans="8:8" x14ac:dyDescent="0.25">
      <c r="H12738" t="s">
        <v>138</v>
      </c>
    </row>
    <row r="12739" spans="8:8" x14ac:dyDescent="0.25">
      <c r="H12739" t="s">
        <v>19112</v>
      </c>
    </row>
    <row r="12740" spans="8:8" x14ac:dyDescent="0.25">
      <c r="H12740" t="s">
        <v>30</v>
      </c>
    </row>
    <row r="12742" spans="8:8" x14ac:dyDescent="0.25">
      <c r="H12742" t="s">
        <v>13537</v>
      </c>
    </row>
    <row r="12743" spans="8:8" x14ac:dyDescent="0.25">
      <c r="H12743" t="s">
        <v>13538</v>
      </c>
    </row>
    <row r="12744" spans="8:8" x14ac:dyDescent="0.25">
      <c r="H12744" t="s">
        <v>135</v>
      </c>
    </row>
    <row r="12745" spans="8:8" x14ac:dyDescent="0.25">
      <c r="H12745" t="s">
        <v>19113</v>
      </c>
    </row>
    <row r="12746" spans="8:8" x14ac:dyDescent="0.25">
      <c r="H12746" t="s">
        <v>30</v>
      </c>
    </row>
    <row r="12747" spans="8:8" x14ac:dyDescent="0.25">
      <c r="H12747" t="s">
        <v>136</v>
      </c>
    </row>
    <row r="12748" spans="8:8" x14ac:dyDescent="0.25">
      <c r="H12748" t="s">
        <v>19114</v>
      </c>
    </row>
    <row r="12749" spans="8:8" x14ac:dyDescent="0.25">
      <c r="H12749" t="s">
        <v>30</v>
      </c>
    </row>
    <row r="12750" spans="8:8" x14ac:dyDescent="0.25">
      <c r="H12750" t="s">
        <v>137</v>
      </c>
    </row>
    <row r="12751" spans="8:8" x14ac:dyDescent="0.25">
      <c r="H12751" t="s">
        <v>19115</v>
      </c>
    </row>
    <row r="12752" spans="8:8" x14ac:dyDescent="0.25">
      <c r="H12752" t="s">
        <v>30</v>
      </c>
    </row>
    <row r="12753" spans="8:8" x14ac:dyDescent="0.25">
      <c r="H12753" t="s">
        <v>138</v>
      </c>
    </row>
    <row r="12754" spans="8:8" x14ac:dyDescent="0.25">
      <c r="H12754" t="s">
        <v>19116</v>
      </c>
    </row>
    <row r="12755" spans="8:8" x14ac:dyDescent="0.25">
      <c r="H12755" t="s">
        <v>30</v>
      </c>
    </row>
    <row r="12757" spans="8:8" x14ac:dyDescent="0.25">
      <c r="H12757" t="s">
        <v>13543</v>
      </c>
    </row>
    <row r="12758" spans="8:8" x14ac:dyDescent="0.25">
      <c r="H12758" t="s">
        <v>13544</v>
      </c>
    </row>
    <row r="12759" spans="8:8" x14ac:dyDescent="0.25">
      <c r="H12759" t="s">
        <v>135</v>
      </c>
    </row>
    <row r="12760" spans="8:8" x14ac:dyDescent="0.25">
      <c r="H12760" t="s">
        <v>19117</v>
      </c>
    </row>
    <row r="12761" spans="8:8" x14ac:dyDescent="0.25">
      <c r="H12761" t="s">
        <v>30</v>
      </c>
    </row>
    <row r="12762" spans="8:8" x14ac:dyDescent="0.25">
      <c r="H12762" t="s">
        <v>136</v>
      </c>
    </row>
    <row r="12763" spans="8:8" x14ac:dyDescent="0.25">
      <c r="H12763" t="s">
        <v>19118</v>
      </c>
    </row>
    <row r="12764" spans="8:8" x14ac:dyDescent="0.25">
      <c r="H12764" t="s">
        <v>30</v>
      </c>
    </row>
    <row r="12765" spans="8:8" x14ac:dyDescent="0.25">
      <c r="H12765" t="s">
        <v>137</v>
      </c>
    </row>
    <row r="12766" spans="8:8" x14ac:dyDescent="0.25">
      <c r="H12766" t="s">
        <v>19119</v>
      </c>
    </row>
    <row r="12767" spans="8:8" x14ac:dyDescent="0.25">
      <c r="H12767" t="s">
        <v>30</v>
      </c>
    </row>
    <row r="12768" spans="8:8" x14ac:dyDescent="0.25">
      <c r="H12768" t="s">
        <v>138</v>
      </c>
    </row>
    <row r="12769" spans="8:8" x14ac:dyDescent="0.25">
      <c r="H12769" t="s">
        <v>19120</v>
      </c>
    </row>
    <row r="12770" spans="8:8" x14ac:dyDescent="0.25">
      <c r="H12770" t="s">
        <v>30</v>
      </c>
    </row>
    <row r="12772" spans="8:8" x14ac:dyDescent="0.25">
      <c r="H12772" t="s">
        <v>13549</v>
      </c>
    </row>
    <row r="12773" spans="8:8" x14ac:dyDescent="0.25">
      <c r="H12773" t="s">
        <v>13550</v>
      </c>
    </row>
    <row r="12774" spans="8:8" x14ac:dyDescent="0.25">
      <c r="H12774" t="s">
        <v>135</v>
      </c>
    </row>
    <row r="12775" spans="8:8" x14ac:dyDescent="0.25">
      <c r="H12775" t="s">
        <v>19121</v>
      </c>
    </row>
    <row r="12776" spans="8:8" x14ac:dyDescent="0.25">
      <c r="H12776" t="s">
        <v>30</v>
      </c>
    </row>
    <row r="12777" spans="8:8" x14ac:dyDescent="0.25">
      <c r="H12777" t="s">
        <v>136</v>
      </c>
    </row>
    <row r="12778" spans="8:8" x14ac:dyDescent="0.25">
      <c r="H12778" t="s">
        <v>19122</v>
      </c>
    </row>
    <row r="12779" spans="8:8" x14ac:dyDescent="0.25">
      <c r="H12779" t="s">
        <v>30</v>
      </c>
    </row>
    <row r="12780" spans="8:8" x14ac:dyDescent="0.25">
      <c r="H12780" t="s">
        <v>137</v>
      </c>
    </row>
    <row r="12781" spans="8:8" x14ac:dyDescent="0.25">
      <c r="H12781" t="s">
        <v>19123</v>
      </c>
    </row>
    <row r="12782" spans="8:8" x14ac:dyDescent="0.25">
      <c r="H12782" t="s">
        <v>30</v>
      </c>
    </row>
    <row r="12783" spans="8:8" x14ac:dyDescent="0.25">
      <c r="H12783" t="s">
        <v>138</v>
      </c>
    </row>
    <row r="12784" spans="8:8" x14ac:dyDescent="0.25">
      <c r="H12784" t="s">
        <v>19124</v>
      </c>
    </row>
    <row r="12785" spans="8:8" x14ac:dyDescent="0.25">
      <c r="H12785" t="s">
        <v>30</v>
      </c>
    </row>
    <row r="12787" spans="8:8" x14ac:dyDescent="0.25">
      <c r="H12787" t="s">
        <v>13555</v>
      </c>
    </row>
    <row r="12788" spans="8:8" x14ac:dyDescent="0.25">
      <c r="H12788" t="s">
        <v>13556</v>
      </c>
    </row>
    <row r="12789" spans="8:8" x14ac:dyDescent="0.25">
      <c r="H12789" t="s">
        <v>135</v>
      </c>
    </row>
    <row r="12790" spans="8:8" x14ac:dyDescent="0.25">
      <c r="H12790" t="s">
        <v>19125</v>
      </c>
    </row>
    <row r="12791" spans="8:8" x14ac:dyDescent="0.25">
      <c r="H12791" t="s">
        <v>30</v>
      </c>
    </row>
    <row r="12792" spans="8:8" x14ac:dyDescent="0.25">
      <c r="H12792" t="s">
        <v>136</v>
      </c>
    </row>
    <row r="12793" spans="8:8" x14ac:dyDescent="0.25">
      <c r="H12793" t="s">
        <v>19126</v>
      </c>
    </row>
    <row r="12794" spans="8:8" x14ac:dyDescent="0.25">
      <c r="H12794" t="s">
        <v>30</v>
      </c>
    </row>
    <row r="12795" spans="8:8" x14ac:dyDescent="0.25">
      <c r="H12795" t="s">
        <v>137</v>
      </c>
    </row>
    <row r="12796" spans="8:8" x14ac:dyDescent="0.25">
      <c r="H12796" t="s">
        <v>19127</v>
      </c>
    </row>
    <row r="12797" spans="8:8" x14ac:dyDescent="0.25">
      <c r="H12797" t="s">
        <v>30</v>
      </c>
    </row>
    <row r="12798" spans="8:8" x14ac:dyDescent="0.25">
      <c r="H12798" t="s">
        <v>138</v>
      </c>
    </row>
    <row r="12799" spans="8:8" x14ac:dyDescent="0.25">
      <c r="H12799" t="s">
        <v>19128</v>
      </c>
    </row>
    <row r="12800" spans="8:8" x14ac:dyDescent="0.25">
      <c r="H12800" t="s">
        <v>30</v>
      </c>
    </row>
    <row r="12802" spans="8:8" x14ac:dyDescent="0.25">
      <c r="H12802" t="s">
        <v>13561</v>
      </c>
    </row>
    <row r="12803" spans="8:8" x14ac:dyDescent="0.25">
      <c r="H12803" t="s">
        <v>13562</v>
      </c>
    </row>
    <row r="12804" spans="8:8" x14ac:dyDescent="0.25">
      <c r="H12804" t="s">
        <v>135</v>
      </c>
    </row>
    <row r="12805" spans="8:8" x14ac:dyDescent="0.25">
      <c r="H12805" t="s">
        <v>19129</v>
      </c>
    </row>
    <row r="12806" spans="8:8" x14ac:dyDescent="0.25">
      <c r="H12806" t="s">
        <v>30</v>
      </c>
    </row>
    <row r="12807" spans="8:8" x14ac:dyDescent="0.25">
      <c r="H12807" t="s">
        <v>136</v>
      </c>
    </row>
    <row r="12808" spans="8:8" x14ac:dyDescent="0.25">
      <c r="H12808" t="s">
        <v>19130</v>
      </c>
    </row>
    <row r="12809" spans="8:8" x14ac:dyDescent="0.25">
      <c r="H12809" t="s">
        <v>30</v>
      </c>
    </row>
    <row r="12810" spans="8:8" x14ac:dyDescent="0.25">
      <c r="H12810" t="s">
        <v>137</v>
      </c>
    </row>
    <row r="12811" spans="8:8" x14ac:dyDescent="0.25">
      <c r="H12811" t="s">
        <v>19131</v>
      </c>
    </row>
    <row r="12812" spans="8:8" x14ac:dyDescent="0.25">
      <c r="H12812" t="s">
        <v>30</v>
      </c>
    </row>
    <row r="12813" spans="8:8" x14ac:dyDescent="0.25">
      <c r="H12813" t="s">
        <v>138</v>
      </c>
    </row>
    <row r="12814" spans="8:8" x14ac:dyDescent="0.25">
      <c r="H12814" t="s">
        <v>19132</v>
      </c>
    </row>
    <row r="12815" spans="8:8" x14ac:dyDescent="0.25">
      <c r="H12815" t="s">
        <v>30</v>
      </c>
    </row>
    <row r="12817" spans="8:8" x14ac:dyDescent="0.25">
      <c r="H12817" t="s">
        <v>13567</v>
      </c>
    </row>
    <row r="12818" spans="8:8" x14ac:dyDescent="0.25">
      <c r="H12818" t="s">
        <v>13568</v>
      </c>
    </row>
    <row r="12819" spans="8:8" x14ac:dyDescent="0.25">
      <c r="H12819" t="s">
        <v>135</v>
      </c>
    </row>
    <row r="12820" spans="8:8" x14ac:dyDescent="0.25">
      <c r="H12820" t="s">
        <v>19133</v>
      </c>
    </row>
    <row r="12821" spans="8:8" x14ac:dyDescent="0.25">
      <c r="H12821" t="s">
        <v>30</v>
      </c>
    </row>
    <row r="12822" spans="8:8" x14ac:dyDescent="0.25">
      <c r="H12822" t="s">
        <v>136</v>
      </c>
    </row>
    <row r="12823" spans="8:8" x14ac:dyDescent="0.25">
      <c r="H12823" t="s">
        <v>19134</v>
      </c>
    </row>
    <row r="12824" spans="8:8" x14ac:dyDescent="0.25">
      <c r="H12824" t="s">
        <v>30</v>
      </c>
    </row>
    <row r="12825" spans="8:8" x14ac:dyDescent="0.25">
      <c r="H12825" t="s">
        <v>137</v>
      </c>
    </row>
    <row r="12826" spans="8:8" x14ac:dyDescent="0.25">
      <c r="H12826" t="s">
        <v>19135</v>
      </c>
    </row>
    <row r="12827" spans="8:8" x14ac:dyDescent="0.25">
      <c r="H12827" t="s">
        <v>30</v>
      </c>
    </row>
    <row r="12828" spans="8:8" x14ac:dyDescent="0.25">
      <c r="H12828" t="s">
        <v>138</v>
      </c>
    </row>
    <row r="12829" spans="8:8" x14ac:dyDescent="0.25">
      <c r="H12829" t="s">
        <v>19136</v>
      </c>
    </row>
    <row r="12830" spans="8:8" x14ac:dyDescent="0.25">
      <c r="H12830" t="s">
        <v>30</v>
      </c>
    </row>
    <row r="12832" spans="8:8" x14ac:dyDescent="0.25">
      <c r="H12832" t="s">
        <v>13573</v>
      </c>
    </row>
    <row r="12833" spans="8:8" x14ac:dyDescent="0.25">
      <c r="H12833" t="s">
        <v>13574</v>
      </c>
    </row>
    <row r="12834" spans="8:8" x14ac:dyDescent="0.25">
      <c r="H12834" t="s">
        <v>135</v>
      </c>
    </row>
    <row r="12835" spans="8:8" x14ac:dyDescent="0.25">
      <c r="H12835" t="s">
        <v>19137</v>
      </c>
    </row>
    <row r="12836" spans="8:8" x14ac:dyDescent="0.25">
      <c r="H12836" t="s">
        <v>30</v>
      </c>
    </row>
    <row r="12837" spans="8:8" x14ac:dyDescent="0.25">
      <c r="H12837" t="s">
        <v>136</v>
      </c>
    </row>
    <row r="12838" spans="8:8" x14ac:dyDescent="0.25">
      <c r="H12838" t="s">
        <v>19138</v>
      </c>
    </row>
    <row r="12839" spans="8:8" x14ac:dyDescent="0.25">
      <c r="H12839" t="s">
        <v>30</v>
      </c>
    </row>
    <row r="12840" spans="8:8" x14ac:dyDescent="0.25">
      <c r="H12840" t="s">
        <v>137</v>
      </c>
    </row>
    <row r="12841" spans="8:8" x14ac:dyDescent="0.25">
      <c r="H12841" t="s">
        <v>19139</v>
      </c>
    </row>
    <row r="12842" spans="8:8" x14ac:dyDescent="0.25">
      <c r="H12842" t="s">
        <v>30</v>
      </c>
    </row>
    <row r="12843" spans="8:8" x14ac:dyDescent="0.25">
      <c r="H12843" t="s">
        <v>138</v>
      </c>
    </row>
    <row r="12844" spans="8:8" x14ac:dyDescent="0.25">
      <c r="H12844" t="s">
        <v>19140</v>
      </c>
    </row>
    <row r="12845" spans="8:8" x14ac:dyDescent="0.25">
      <c r="H12845" t="s">
        <v>30</v>
      </c>
    </row>
    <row r="12847" spans="8:8" x14ac:dyDescent="0.25">
      <c r="H12847" t="s">
        <v>13579</v>
      </c>
    </row>
    <row r="12848" spans="8:8" x14ac:dyDescent="0.25">
      <c r="H12848" t="s">
        <v>13580</v>
      </c>
    </row>
    <row r="12849" spans="8:8" x14ac:dyDescent="0.25">
      <c r="H12849" t="s">
        <v>135</v>
      </c>
    </row>
    <row r="12850" spans="8:8" x14ac:dyDescent="0.25">
      <c r="H12850" t="s">
        <v>19141</v>
      </c>
    </row>
    <row r="12851" spans="8:8" x14ac:dyDescent="0.25">
      <c r="H12851" t="s">
        <v>30</v>
      </c>
    </row>
    <row r="12852" spans="8:8" x14ac:dyDescent="0.25">
      <c r="H12852" t="s">
        <v>136</v>
      </c>
    </row>
    <row r="12853" spans="8:8" x14ac:dyDescent="0.25">
      <c r="H12853" t="s">
        <v>19142</v>
      </c>
    </row>
    <row r="12854" spans="8:8" x14ac:dyDescent="0.25">
      <c r="H12854" t="s">
        <v>30</v>
      </c>
    </row>
    <row r="12855" spans="8:8" x14ac:dyDescent="0.25">
      <c r="H12855" t="s">
        <v>137</v>
      </c>
    </row>
    <row r="12856" spans="8:8" x14ac:dyDescent="0.25">
      <c r="H12856" t="s">
        <v>19143</v>
      </c>
    </row>
    <row r="12857" spans="8:8" x14ac:dyDescent="0.25">
      <c r="H12857" t="s">
        <v>30</v>
      </c>
    </row>
    <row r="12858" spans="8:8" x14ac:dyDescent="0.25">
      <c r="H12858" t="s">
        <v>138</v>
      </c>
    </row>
    <row r="12859" spans="8:8" x14ac:dyDescent="0.25">
      <c r="H12859" t="s">
        <v>19144</v>
      </c>
    </row>
    <row r="12860" spans="8:8" x14ac:dyDescent="0.25">
      <c r="H12860" t="s">
        <v>30</v>
      </c>
    </row>
    <row r="12862" spans="8:8" x14ac:dyDescent="0.25">
      <c r="H12862" t="s">
        <v>13585</v>
      </c>
    </row>
    <row r="12863" spans="8:8" x14ac:dyDescent="0.25">
      <c r="H12863" t="s">
        <v>13586</v>
      </c>
    </row>
    <row r="12864" spans="8:8" x14ac:dyDescent="0.25">
      <c r="H12864" t="s">
        <v>135</v>
      </c>
    </row>
    <row r="12865" spans="8:8" x14ac:dyDescent="0.25">
      <c r="H12865" t="s">
        <v>19145</v>
      </c>
    </row>
    <row r="12866" spans="8:8" x14ac:dyDescent="0.25">
      <c r="H12866" t="s">
        <v>30</v>
      </c>
    </row>
    <row r="12867" spans="8:8" x14ac:dyDescent="0.25">
      <c r="H12867" t="s">
        <v>136</v>
      </c>
    </row>
    <row r="12868" spans="8:8" x14ac:dyDescent="0.25">
      <c r="H12868" t="s">
        <v>19146</v>
      </c>
    </row>
    <row r="12869" spans="8:8" x14ac:dyDescent="0.25">
      <c r="H12869" t="s">
        <v>30</v>
      </c>
    </row>
    <row r="12870" spans="8:8" x14ac:dyDescent="0.25">
      <c r="H12870" t="s">
        <v>137</v>
      </c>
    </row>
    <row r="12871" spans="8:8" x14ac:dyDescent="0.25">
      <c r="H12871" t="s">
        <v>19147</v>
      </c>
    </row>
    <row r="12872" spans="8:8" x14ac:dyDescent="0.25">
      <c r="H12872" t="s">
        <v>30</v>
      </c>
    </row>
    <row r="12873" spans="8:8" x14ac:dyDescent="0.25">
      <c r="H12873" t="s">
        <v>138</v>
      </c>
    </row>
    <row r="12874" spans="8:8" x14ac:dyDescent="0.25">
      <c r="H12874" t="s">
        <v>19148</v>
      </c>
    </row>
    <row r="12875" spans="8:8" x14ac:dyDescent="0.25">
      <c r="H12875" t="s">
        <v>30</v>
      </c>
    </row>
    <row r="12877" spans="8:8" x14ac:dyDescent="0.25">
      <c r="H12877" t="s">
        <v>13591</v>
      </c>
    </row>
    <row r="12878" spans="8:8" x14ac:dyDescent="0.25">
      <c r="H12878" t="s">
        <v>13592</v>
      </c>
    </row>
    <row r="12879" spans="8:8" x14ac:dyDescent="0.25">
      <c r="H12879" t="s">
        <v>135</v>
      </c>
    </row>
    <row r="12880" spans="8:8" x14ac:dyDescent="0.25">
      <c r="H12880" t="s">
        <v>19149</v>
      </c>
    </row>
    <row r="12881" spans="8:8" x14ac:dyDescent="0.25">
      <c r="H12881" t="s">
        <v>30</v>
      </c>
    </row>
    <row r="12882" spans="8:8" x14ac:dyDescent="0.25">
      <c r="H12882" t="s">
        <v>136</v>
      </c>
    </row>
    <row r="12883" spans="8:8" x14ac:dyDescent="0.25">
      <c r="H12883" t="s">
        <v>19150</v>
      </c>
    </row>
    <row r="12884" spans="8:8" x14ac:dyDescent="0.25">
      <c r="H12884" t="s">
        <v>30</v>
      </c>
    </row>
    <row r="12885" spans="8:8" x14ac:dyDescent="0.25">
      <c r="H12885" t="s">
        <v>137</v>
      </c>
    </row>
    <row r="12886" spans="8:8" x14ac:dyDescent="0.25">
      <c r="H12886" t="s">
        <v>19151</v>
      </c>
    </row>
    <row r="12887" spans="8:8" x14ac:dyDescent="0.25">
      <c r="H12887" t="s">
        <v>30</v>
      </c>
    </row>
    <row r="12888" spans="8:8" x14ac:dyDescent="0.25">
      <c r="H12888" t="s">
        <v>138</v>
      </c>
    </row>
    <row r="12889" spans="8:8" x14ac:dyDescent="0.25">
      <c r="H12889" t="s">
        <v>19152</v>
      </c>
    </row>
    <row r="12890" spans="8:8" x14ac:dyDescent="0.25">
      <c r="H12890" t="s">
        <v>30</v>
      </c>
    </row>
    <row r="12892" spans="8:8" x14ac:dyDescent="0.25">
      <c r="H12892" t="s">
        <v>13597</v>
      </c>
    </row>
    <row r="12893" spans="8:8" x14ac:dyDescent="0.25">
      <c r="H12893" t="s">
        <v>13598</v>
      </c>
    </row>
    <row r="12894" spans="8:8" x14ac:dyDescent="0.25">
      <c r="H12894" t="s">
        <v>135</v>
      </c>
    </row>
    <row r="12895" spans="8:8" x14ac:dyDescent="0.25">
      <c r="H12895" t="s">
        <v>19153</v>
      </c>
    </row>
    <row r="12896" spans="8:8" x14ac:dyDescent="0.25">
      <c r="H12896" t="s">
        <v>30</v>
      </c>
    </row>
    <row r="12897" spans="8:8" x14ac:dyDescent="0.25">
      <c r="H12897" t="s">
        <v>136</v>
      </c>
    </row>
    <row r="12898" spans="8:8" x14ac:dyDescent="0.25">
      <c r="H12898" t="s">
        <v>19154</v>
      </c>
    </row>
    <row r="12899" spans="8:8" x14ac:dyDescent="0.25">
      <c r="H12899" t="s">
        <v>30</v>
      </c>
    </row>
    <row r="12900" spans="8:8" x14ac:dyDescent="0.25">
      <c r="H12900" t="s">
        <v>137</v>
      </c>
    </row>
    <row r="12901" spans="8:8" x14ac:dyDescent="0.25">
      <c r="H12901" t="s">
        <v>19155</v>
      </c>
    </row>
    <row r="12902" spans="8:8" x14ac:dyDescent="0.25">
      <c r="H12902" t="s">
        <v>30</v>
      </c>
    </row>
    <row r="12903" spans="8:8" x14ac:dyDescent="0.25">
      <c r="H12903" t="s">
        <v>138</v>
      </c>
    </row>
    <row r="12904" spans="8:8" x14ac:dyDescent="0.25">
      <c r="H12904" t="s">
        <v>19156</v>
      </c>
    </row>
    <row r="12905" spans="8:8" x14ac:dyDescent="0.25">
      <c r="H12905" t="s">
        <v>30</v>
      </c>
    </row>
    <row r="12907" spans="8:8" x14ac:dyDescent="0.25">
      <c r="H12907" t="s">
        <v>13603</v>
      </c>
    </row>
    <row r="12908" spans="8:8" x14ac:dyDescent="0.25">
      <c r="H12908" t="s">
        <v>13604</v>
      </c>
    </row>
    <row r="12909" spans="8:8" x14ac:dyDescent="0.25">
      <c r="H12909" t="s">
        <v>135</v>
      </c>
    </row>
    <row r="12910" spans="8:8" x14ac:dyDescent="0.25">
      <c r="H12910" t="s">
        <v>19157</v>
      </c>
    </row>
    <row r="12911" spans="8:8" x14ac:dyDescent="0.25">
      <c r="H12911" t="s">
        <v>30</v>
      </c>
    </row>
    <row r="12912" spans="8:8" x14ac:dyDescent="0.25">
      <c r="H12912" t="s">
        <v>136</v>
      </c>
    </row>
    <row r="12913" spans="8:8" x14ac:dyDescent="0.25">
      <c r="H12913" t="s">
        <v>19158</v>
      </c>
    </row>
    <row r="12914" spans="8:8" x14ac:dyDescent="0.25">
      <c r="H12914" t="s">
        <v>30</v>
      </c>
    </row>
    <row r="12915" spans="8:8" x14ac:dyDescent="0.25">
      <c r="H12915" t="s">
        <v>137</v>
      </c>
    </row>
    <row r="12916" spans="8:8" x14ac:dyDescent="0.25">
      <c r="H12916" t="s">
        <v>19159</v>
      </c>
    </row>
    <row r="12917" spans="8:8" x14ac:dyDescent="0.25">
      <c r="H12917" t="s">
        <v>30</v>
      </c>
    </row>
    <row r="12918" spans="8:8" x14ac:dyDescent="0.25">
      <c r="H12918" t="s">
        <v>138</v>
      </c>
    </row>
    <row r="12919" spans="8:8" x14ac:dyDescent="0.25">
      <c r="H12919" t="s">
        <v>19160</v>
      </c>
    </row>
    <row r="12920" spans="8:8" x14ac:dyDescent="0.25">
      <c r="H12920" t="s">
        <v>30</v>
      </c>
    </row>
    <row r="12922" spans="8:8" x14ac:dyDescent="0.25">
      <c r="H12922" t="s">
        <v>13609</v>
      </c>
    </row>
    <row r="12923" spans="8:8" x14ac:dyDescent="0.25">
      <c r="H12923" t="s">
        <v>13610</v>
      </c>
    </row>
    <row r="12924" spans="8:8" x14ac:dyDescent="0.25">
      <c r="H12924" t="s">
        <v>135</v>
      </c>
    </row>
    <row r="12925" spans="8:8" x14ac:dyDescent="0.25">
      <c r="H12925" t="s">
        <v>19161</v>
      </c>
    </row>
    <row r="12926" spans="8:8" x14ac:dyDescent="0.25">
      <c r="H12926" t="s">
        <v>30</v>
      </c>
    </row>
    <row r="12927" spans="8:8" x14ac:dyDescent="0.25">
      <c r="H12927" t="s">
        <v>136</v>
      </c>
    </row>
    <row r="12928" spans="8:8" x14ac:dyDescent="0.25">
      <c r="H12928" t="s">
        <v>19162</v>
      </c>
    </row>
    <row r="12929" spans="8:8" x14ac:dyDescent="0.25">
      <c r="H12929" t="s">
        <v>30</v>
      </c>
    </row>
    <row r="12930" spans="8:8" x14ac:dyDescent="0.25">
      <c r="H12930" t="s">
        <v>137</v>
      </c>
    </row>
    <row r="12931" spans="8:8" x14ac:dyDescent="0.25">
      <c r="H12931" t="s">
        <v>19163</v>
      </c>
    </row>
    <row r="12932" spans="8:8" x14ac:dyDescent="0.25">
      <c r="H12932" t="s">
        <v>30</v>
      </c>
    </row>
    <row r="12933" spans="8:8" x14ac:dyDescent="0.25">
      <c r="H12933" t="s">
        <v>138</v>
      </c>
    </row>
    <row r="12934" spans="8:8" x14ac:dyDescent="0.25">
      <c r="H12934" t="s">
        <v>19164</v>
      </c>
    </row>
    <row r="12935" spans="8:8" x14ac:dyDescent="0.25">
      <c r="H12935" t="s">
        <v>30</v>
      </c>
    </row>
    <row r="12937" spans="8:8" x14ac:dyDescent="0.25">
      <c r="H12937" t="s">
        <v>13615</v>
      </c>
    </row>
    <row r="12938" spans="8:8" x14ac:dyDescent="0.25">
      <c r="H12938" t="s">
        <v>13616</v>
      </c>
    </row>
    <row r="12939" spans="8:8" x14ac:dyDescent="0.25">
      <c r="H12939" t="s">
        <v>135</v>
      </c>
    </row>
    <row r="12940" spans="8:8" x14ac:dyDescent="0.25">
      <c r="H12940" t="s">
        <v>19165</v>
      </c>
    </row>
    <row r="12941" spans="8:8" x14ac:dyDescent="0.25">
      <c r="H12941" t="s">
        <v>30</v>
      </c>
    </row>
    <row r="12942" spans="8:8" x14ac:dyDescent="0.25">
      <c r="H12942" t="s">
        <v>136</v>
      </c>
    </row>
    <row r="12943" spans="8:8" x14ac:dyDescent="0.25">
      <c r="H12943" t="s">
        <v>19166</v>
      </c>
    </row>
    <row r="12944" spans="8:8" x14ac:dyDescent="0.25">
      <c r="H12944" t="s">
        <v>30</v>
      </c>
    </row>
    <row r="12945" spans="8:8" x14ac:dyDescent="0.25">
      <c r="H12945" t="s">
        <v>137</v>
      </c>
    </row>
    <row r="12946" spans="8:8" x14ac:dyDescent="0.25">
      <c r="H12946" t="s">
        <v>19167</v>
      </c>
    </row>
    <row r="12947" spans="8:8" x14ac:dyDescent="0.25">
      <c r="H12947" t="s">
        <v>30</v>
      </c>
    </row>
    <row r="12948" spans="8:8" x14ac:dyDescent="0.25">
      <c r="H12948" t="s">
        <v>138</v>
      </c>
    </row>
    <row r="12949" spans="8:8" x14ac:dyDescent="0.25">
      <c r="H12949" t="s">
        <v>19168</v>
      </c>
    </row>
    <row r="12950" spans="8:8" x14ac:dyDescent="0.25">
      <c r="H12950" t="s">
        <v>30</v>
      </c>
    </row>
    <row r="12952" spans="8:8" x14ac:dyDescent="0.25">
      <c r="H12952" t="s">
        <v>13621</v>
      </c>
    </row>
    <row r="12953" spans="8:8" x14ac:dyDescent="0.25">
      <c r="H12953" t="s">
        <v>13622</v>
      </c>
    </row>
    <row r="12954" spans="8:8" x14ac:dyDescent="0.25">
      <c r="H12954" t="s">
        <v>135</v>
      </c>
    </row>
    <row r="12955" spans="8:8" x14ac:dyDescent="0.25">
      <c r="H12955" t="s">
        <v>19169</v>
      </c>
    </row>
    <row r="12956" spans="8:8" x14ac:dyDescent="0.25">
      <c r="H12956" t="s">
        <v>30</v>
      </c>
    </row>
    <row r="12957" spans="8:8" x14ac:dyDescent="0.25">
      <c r="H12957" t="s">
        <v>136</v>
      </c>
    </row>
    <row r="12958" spans="8:8" x14ac:dyDescent="0.25">
      <c r="H12958" t="s">
        <v>19170</v>
      </c>
    </row>
    <row r="12959" spans="8:8" x14ac:dyDescent="0.25">
      <c r="H12959" t="s">
        <v>30</v>
      </c>
    </row>
    <row r="12960" spans="8:8" x14ac:dyDescent="0.25">
      <c r="H12960" t="s">
        <v>137</v>
      </c>
    </row>
    <row r="12961" spans="8:8" x14ac:dyDescent="0.25">
      <c r="H12961" t="s">
        <v>19171</v>
      </c>
    </row>
    <row r="12962" spans="8:8" x14ac:dyDescent="0.25">
      <c r="H12962" t="s">
        <v>30</v>
      </c>
    </row>
    <row r="12963" spans="8:8" x14ac:dyDescent="0.25">
      <c r="H12963" t="s">
        <v>138</v>
      </c>
    </row>
    <row r="12964" spans="8:8" x14ac:dyDescent="0.25">
      <c r="H12964" t="s">
        <v>19172</v>
      </c>
    </row>
    <row r="12965" spans="8:8" x14ac:dyDescent="0.25">
      <c r="H12965" t="s">
        <v>30</v>
      </c>
    </row>
    <row r="12967" spans="8:8" x14ac:dyDescent="0.25">
      <c r="H12967" t="s">
        <v>13627</v>
      </c>
    </row>
    <row r="12968" spans="8:8" x14ac:dyDescent="0.25">
      <c r="H12968" t="s">
        <v>13628</v>
      </c>
    </row>
    <row r="12969" spans="8:8" x14ac:dyDescent="0.25">
      <c r="H12969" t="s">
        <v>135</v>
      </c>
    </row>
    <row r="12970" spans="8:8" x14ac:dyDescent="0.25">
      <c r="H12970" t="s">
        <v>19173</v>
      </c>
    </row>
    <row r="12971" spans="8:8" x14ac:dyDescent="0.25">
      <c r="H12971" t="s">
        <v>30</v>
      </c>
    </row>
    <row r="12972" spans="8:8" x14ac:dyDescent="0.25">
      <c r="H12972" t="s">
        <v>136</v>
      </c>
    </row>
    <row r="12973" spans="8:8" x14ac:dyDescent="0.25">
      <c r="H12973" t="s">
        <v>19174</v>
      </c>
    </row>
    <row r="12974" spans="8:8" x14ac:dyDescent="0.25">
      <c r="H12974" t="s">
        <v>30</v>
      </c>
    </row>
    <row r="12975" spans="8:8" x14ac:dyDescent="0.25">
      <c r="H12975" t="s">
        <v>137</v>
      </c>
    </row>
    <row r="12976" spans="8:8" x14ac:dyDescent="0.25">
      <c r="H12976" t="s">
        <v>19175</v>
      </c>
    </row>
    <row r="12977" spans="8:8" x14ac:dyDescent="0.25">
      <c r="H12977" t="s">
        <v>30</v>
      </c>
    </row>
    <row r="12978" spans="8:8" x14ac:dyDescent="0.25">
      <c r="H12978" t="s">
        <v>138</v>
      </c>
    </row>
    <row r="12979" spans="8:8" x14ac:dyDescent="0.25">
      <c r="H12979" t="s">
        <v>19176</v>
      </c>
    </row>
    <row r="12980" spans="8:8" x14ac:dyDescent="0.25">
      <c r="H12980" t="s">
        <v>30</v>
      </c>
    </row>
    <row r="12982" spans="8:8" x14ac:dyDescent="0.25">
      <c r="H12982" t="s">
        <v>13633</v>
      </c>
    </row>
    <row r="12983" spans="8:8" x14ac:dyDescent="0.25">
      <c r="H12983" t="s">
        <v>13634</v>
      </c>
    </row>
    <row r="12984" spans="8:8" x14ac:dyDescent="0.25">
      <c r="H12984" t="s">
        <v>135</v>
      </c>
    </row>
    <row r="12985" spans="8:8" x14ac:dyDescent="0.25">
      <c r="H12985" t="s">
        <v>19177</v>
      </c>
    </row>
    <row r="12986" spans="8:8" x14ac:dyDescent="0.25">
      <c r="H12986" t="s">
        <v>30</v>
      </c>
    </row>
    <row r="12987" spans="8:8" x14ac:dyDescent="0.25">
      <c r="H12987" t="s">
        <v>136</v>
      </c>
    </row>
    <row r="12988" spans="8:8" x14ac:dyDescent="0.25">
      <c r="H12988" t="s">
        <v>19178</v>
      </c>
    </row>
    <row r="12989" spans="8:8" x14ac:dyDescent="0.25">
      <c r="H12989" t="s">
        <v>30</v>
      </c>
    </row>
    <row r="12990" spans="8:8" x14ac:dyDescent="0.25">
      <c r="H12990" t="s">
        <v>137</v>
      </c>
    </row>
    <row r="12991" spans="8:8" x14ac:dyDescent="0.25">
      <c r="H12991" t="s">
        <v>19179</v>
      </c>
    </row>
    <row r="12992" spans="8:8" x14ac:dyDescent="0.25">
      <c r="H12992" t="s">
        <v>30</v>
      </c>
    </row>
    <row r="12993" spans="8:8" x14ac:dyDescent="0.25">
      <c r="H12993" t="s">
        <v>138</v>
      </c>
    </row>
    <row r="12994" spans="8:8" x14ac:dyDescent="0.25">
      <c r="H12994" t="s">
        <v>19180</v>
      </c>
    </row>
    <row r="12995" spans="8:8" x14ac:dyDescent="0.25">
      <c r="H12995" t="s">
        <v>30</v>
      </c>
    </row>
    <row r="12997" spans="8:8" x14ac:dyDescent="0.25">
      <c r="H12997" t="s">
        <v>13639</v>
      </c>
    </row>
    <row r="12998" spans="8:8" x14ac:dyDescent="0.25">
      <c r="H12998" t="s">
        <v>13640</v>
      </c>
    </row>
    <row r="12999" spans="8:8" x14ac:dyDescent="0.25">
      <c r="H12999" t="s">
        <v>135</v>
      </c>
    </row>
    <row r="13000" spans="8:8" x14ac:dyDescent="0.25">
      <c r="H13000" t="s">
        <v>19181</v>
      </c>
    </row>
    <row r="13001" spans="8:8" x14ac:dyDescent="0.25">
      <c r="H13001" t="s">
        <v>30</v>
      </c>
    </row>
    <row r="13002" spans="8:8" x14ac:dyDescent="0.25">
      <c r="H13002" t="s">
        <v>136</v>
      </c>
    </row>
    <row r="13003" spans="8:8" x14ac:dyDescent="0.25">
      <c r="H13003" t="s">
        <v>19182</v>
      </c>
    </row>
    <row r="13004" spans="8:8" x14ac:dyDescent="0.25">
      <c r="H13004" t="s">
        <v>30</v>
      </c>
    </row>
    <row r="13005" spans="8:8" x14ac:dyDescent="0.25">
      <c r="H13005" t="s">
        <v>137</v>
      </c>
    </row>
    <row r="13006" spans="8:8" x14ac:dyDescent="0.25">
      <c r="H13006" t="s">
        <v>19183</v>
      </c>
    </row>
    <row r="13007" spans="8:8" x14ac:dyDescent="0.25">
      <c r="H13007" t="s">
        <v>30</v>
      </c>
    </row>
    <row r="13008" spans="8:8" x14ac:dyDescent="0.25">
      <c r="H13008" t="s">
        <v>138</v>
      </c>
    </row>
    <row r="13009" spans="8:8" x14ac:dyDescent="0.25">
      <c r="H13009" t="s">
        <v>19184</v>
      </c>
    </row>
    <row r="13010" spans="8:8" x14ac:dyDescent="0.25">
      <c r="H13010" t="s">
        <v>30</v>
      </c>
    </row>
    <row r="13012" spans="8:8" x14ac:dyDescent="0.25">
      <c r="H13012" t="s">
        <v>13645</v>
      </c>
    </row>
    <row r="13013" spans="8:8" x14ac:dyDescent="0.25">
      <c r="H13013" t="s">
        <v>13646</v>
      </c>
    </row>
    <row r="13014" spans="8:8" x14ac:dyDescent="0.25">
      <c r="H13014" t="s">
        <v>135</v>
      </c>
    </row>
    <row r="13015" spans="8:8" x14ac:dyDescent="0.25">
      <c r="H13015" t="s">
        <v>19185</v>
      </c>
    </row>
    <row r="13016" spans="8:8" x14ac:dyDescent="0.25">
      <c r="H13016" t="s">
        <v>30</v>
      </c>
    </row>
    <row r="13017" spans="8:8" x14ac:dyDescent="0.25">
      <c r="H13017" t="s">
        <v>136</v>
      </c>
    </row>
    <row r="13018" spans="8:8" x14ac:dyDescent="0.25">
      <c r="H13018" t="s">
        <v>19186</v>
      </c>
    </row>
    <row r="13019" spans="8:8" x14ac:dyDescent="0.25">
      <c r="H13019" t="s">
        <v>30</v>
      </c>
    </row>
    <row r="13020" spans="8:8" x14ac:dyDescent="0.25">
      <c r="H13020" t="s">
        <v>137</v>
      </c>
    </row>
    <row r="13021" spans="8:8" x14ac:dyDescent="0.25">
      <c r="H13021" t="s">
        <v>19187</v>
      </c>
    </row>
    <row r="13022" spans="8:8" x14ac:dyDescent="0.25">
      <c r="H13022" t="s">
        <v>30</v>
      </c>
    </row>
    <row r="13023" spans="8:8" x14ac:dyDescent="0.25">
      <c r="H13023" t="s">
        <v>138</v>
      </c>
    </row>
    <row r="13024" spans="8:8" x14ac:dyDescent="0.25">
      <c r="H13024" t="s">
        <v>19188</v>
      </c>
    </row>
    <row r="13025" spans="8:8" x14ac:dyDescent="0.25">
      <c r="H13025" t="s">
        <v>30</v>
      </c>
    </row>
    <row r="13027" spans="8:8" x14ac:dyDescent="0.25">
      <c r="H13027" t="s">
        <v>13651</v>
      </c>
    </row>
    <row r="13028" spans="8:8" x14ac:dyDescent="0.25">
      <c r="H13028" t="s">
        <v>13652</v>
      </c>
    </row>
    <row r="13029" spans="8:8" x14ac:dyDescent="0.25">
      <c r="H13029" t="s">
        <v>135</v>
      </c>
    </row>
    <row r="13030" spans="8:8" x14ac:dyDescent="0.25">
      <c r="H13030" t="s">
        <v>19189</v>
      </c>
    </row>
    <row r="13031" spans="8:8" x14ac:dyDescent="0.25">
      <c r="H13031" t="s">
        <v>30</v>
      </c>
    </row>
    <row r="13032" spans="8:8" x14ac:dyDescent="0.25">
      <c r="H13032" t="s">
        <v>136</v>
      </c>
    </row>
    <row r="13033" spans="8:8" x14ac:dyDescent="0.25">
      <c r="H13033" t="s">
        <v>19190</v>
      </c>
    </row>
    <row r="13034" spans="8:8" x14ac:dyDescent="0.25">
      <c r="H13034" t="s">
        <v>30</v>
      </c>
    </row>
    <row r="13035" spans="8:8" x14ac:dyDescent="0.25">
      <c r="H13035" t="s">
        <v>137</v>
      </c>
    </row>
    <row r="13036" spans="8:8" x14ac:dyDescent="0.25">
      <c r="H13036" t="s">
        <v>19191</v>
      </c>
    </row>
    <row r="13037" spans="8:8" x14ac:dyDescent="0.25">
      <c r="H13037" t="s">
        <v>30</v>
      </c>
    </row>
    <row r="13038" spans="8:8" x14ac:dyDescent="0.25">
      <c r="H13038" t="s">
        <v>138</v>
      </c>
    </row>
    <row r="13039" spans="8:8" x14ac:dyDescent="0.25">
      <c r="H13039" t="s">
        <v>19192</v>
      </c>
    </row>
    <row r="13040" spans="8:8" x14ac:dyDescent="0.25">
      <c r="H13040" t="s">
        <v>30</v>
      </c>
    </row>
    <row r="13042" spans="8:8" x14ac:dyDescent="0.25">
      <c r="H13042" t="s">
        <v>13657</v>
      </c>
    </row>
    <row r="13043" spans="8:8" x14ac:dyDescent="0.25">
      <c r="H13043" t="s">
        <v>13658</v>
      </c>
    </row>
    <row r="13044" spans="8:8" x14ac:dyDescent="0.25">
      <c r="H13044" t="s">
        <v>135</v>
      </c>
    </row>
    <row r="13045" spans="8:8" x14ac:dyDescent="0.25">
      <c r="H13045" t="s">
        <v>19193</v>
      </c>
    </row>
    <row r="13046" spans="8:8" x14ac:dyDescent="0.25">
      <c r="H13046" t="s">
        <v>30</v>
      </c>
    </row>
    <row r="13047" spans="8:8" x14ac:dyDescent="0.25">
      <c r="H13047" t="s">
        <v>136</v>
      </c>
    </row>
    <row r="13048" spans="8:8" x14ac:dyDescent="0.25">
      <c r="H13048" t="s">
        <v>19194</v>
      </c>
    </row>
    <row r="13049" spans="8:8" x14ac:dyDescent="0.25">
      <c r="H13049" t="s">
        <v>30</v>
      </c>
    </row>
    <row r="13050" spans="8:8" x14ac:dyDescent="0.25">
      <c r="H13050" t="s">
        <v>137</v>
      </c>
    </row>
    <row r="13051" spans="8:8" x14ac:dyDescent="0.25">
      <c r="H13051" t="s">
        <v>19195</v>
      </c>
    </row>
    <row r="13052" spans="8:8" x14ac:dyDescent="0.25">
      <c r="H13052" t="s">
        <v>30</v>
      </c>
    </row>
    <row r="13053" spans="8:8" x14ac:dyDescent="0.25">
      <c r="H13053" t="s">
        <v>138</v>
      </c>
    </row>
    <row r="13054" spans="8:8" x14ac:dyDescent="0.25">
      <c r="H13054" t="s">
        <v>19196</v>
      </c>
    </row>
    <row r="13055" spans="8:8" x14ac:dyDescent="0.25">
      <c r="H13055" t="s">
        <v>30</v>
      </c>
    </row>
    <row r="13057" spans="8:8" x14ac:dyDescent="0.25">
      <c r="H13057" t="s">
        <v>13663</v>
      </c>
    </row>
    <row r="13058" spans="8:8" x14ac:dyDescent="0.25">
      <c r="H13058" t="s">
        <v>13664</v>
      </c>
    </row>
    <row r="13059" spans="8:8" x14ac:dyDescent="0.25">
      <c r="H13059" t="s">
        <v>135</v>
      </c>
    </row>
    <row r="13060" spans="8:8" x14ac:dyDescent="0.25">
      <c r="H13060" t="s">
        <v>19197</v>
      </c>
    </row>
    <row r="13061" spans="8:8" x14ac:dyDescent="0.25">
      <c r="H13061" t="s">
        <v>30</v>
      </c>
    </row>
    <row r="13062" spans="8:8" x14ac:dyDescent="0.25">
      <c r="H13062" t="s">
        <v>136</v>
      </c>
    </row>
    <row r="13063" spans="8:8" x14ac:dyDescent="0.25">
      <c r="H13063" t="s">
        <v>19198</v>
      </c>
    </row>
    <row r="13064" spans="8:8" x14ac:dyDescent="0.25">
      <c r="H13064" t="s">
        <v>30</v>
      </c>
    </row>
    <row r="13065" spans="8:8" x14ac:dyDescent="0.25">
      <c r="H13065" t="s">
        <v>137</v>
      </c>
    </row>
    <row r="13066" spans="8:8" x14ac:dyDescent="0.25">
      <c r="H13066" t="s">
        <v>19199</v>
      </c>
    </row>
    <row r="13067" spans="8:8" x14ac:dyDescent="0.25">
      <c r="H13067" t="s">
        <v>30</v>
      </c>
    </row>
    <row r="13068" spans="8:8" x14ac:dyDescent="0.25">
      <c r="H13068" t="s">
        <v>138</v>
      </c>
    </row>
    <row r="13069" spans="8:8" x14ac:dyDescent="0.25">
      <c r="H13069" t="s">
        <v>19200</v>
      </c>
    </row>
    <row r="13070" spans="8:8" x14ac:dyDescent="0.25">
      <c r="H13070" t="s">
        <v>30</v>
      </c>
    </row>
    <row r="13072" spans="8:8" x14ac:dyDescent="0.25">
      <c r="H13072" t="s">
        <v>13669</v>
      </c>
    </row>
    <row r="13073" spans="8:8" x14ac:dyDescent="0.25">
      <c r="H13073" t="s">
        <v>13670</v>
      </c>
    </row>
    <row r="13074" spans="8:8" x14ac:dyDescent="0.25">
      <c r="H13074" t="s">
        <v>135</v>
      </c>
    </row>
    <row r="13075" spans="8:8" x14ac:dyDescent="0.25">
      <c r="H13075" t="s">
        <v>19201</v>
      </c>
    </row>
    <row r="13076" spans="8:8" x14ac:dyDescent="0.25">
      <c r="H13076" t="s">
        <v>30</v>
      </c>
    </row>
    <row r="13077" spans="8:8" x14ac:dyDescent="0.25">
      <c r="H13077" t="s">
        <v>136</v>
      </c>
    </row>
    <row r="13078" spans="8:8" x14ac:dyDescent="0.25">
      <c r="H13078" t="s">
        <v>19202</v>
      </c>
    </row>
    <row r="13079" spans="8:8" x14ac:dyDescent="0.25">
      <c r="H13079" t="s">
        <v>30</v>
      </c>
    </row>
    <row r="13080" spans="8:8" x14ac:dyDescent="0.25">
      <c r="H13080" t="s">
        <v>137</v>
      </c>
    </row>
    <row r="13081" spans="8:8" x14ac:dyDescent="0.25">
      <c r="H13081" t="s">
        <v>19203</v>
      </c>
    </row>
    <row r="13082" spans="8:8" x14ac:dyDescent="0.25">
      <c r="H13082" t="s">
        <v>30</v>
      </c>
    </row>
    <row r="13083" spans="8:8" x14ac:dyDescent="0.25">
      <c r="H13083" t="s">
        <v>138</v>
      </c>
    </row>
    <row r="13084" spans="8:8" x14ac:dyDescent="0.25">
      <c r="H13084" t="s">
        <v>19204</v>
      </c>
    </row>
    <row r="13085" spans="8:8" x14ac:dyDescent="0.25">
      <c r="H13085" t="s">
        <v>30</v>
      </c>
    </row>
    <row r="13087" spans="8:8" x14ac:dyDescent="0.25">
      <c r="H13087" t="s">
        <v>13675</v>
      </c>
    </row>
    <row r="13088" spans="8:8" x14ac:dyDescent="0.25">
      <c r="H13088" t="s">
        <v>13676</v>
      </c>
    </row>
    <row r="13089" spans="8:8" x14ac:dyDescent="0.25">
      <c r="H13089" t="s">
        <v>135</v>
      </c>
    </row>
    <row r="13090" spans="8:8" x14ac:dyDescent="0.25">
      <c r="H13090" t="s">
        <v>19205</v>
      </c>
    </row>
    <row r="13091" spans="8:8" x14ac:dyDescent="0.25">
      <c r="H13091" t="s">
        <v>30</v>
      </c>
    </row>
    <row r="13092" spans="8:8" x14ac:dyDescent="0.25">
      <c r="H13092" t="s">
        <v>136</v>
      </c>
    </row>
    <row r="13093" spans="8:8" x14ac:dyDescent="0.25">
      <c r="H13093" t="s">
        <v>19206</v>
      </c>
    </row>
    <row r="13094" spans="8:8" x14ac:dyDescent="0.25">
      <c r="H13094" t="s">
        <v>30</v>
      </c>
    </row>
    <row r="13095" spans="8:8" x14ac:dyDescent="0.25">
      <c r="H13095" t="s">
        <v>137</v>
      </c>
    </row>
    <row r="13096" spans="8:8" x14ac:dyDescent="0.25">
      <c r="H13096" t="s">
        <v>19207</v>
      </c>
    </row>
    <row r="13097" spans="8:8" x14ac:dyDescent="0.25">
      <c r="H13097" t="s">
        <v>30</v>
      </c>
    </row>
    <row r="13098" spans="8:8" x14ac:dyDescent="0.25">
      <c r="H13098" t="s">
        <v>138</v>
      </c>
    </row>
    <row r="13099" spans="8:8" x14ac:dyDescent="0.25">
      <c r="H13099" t="s">
        <v>19208</v>
      </c>
    </row>
    <row r="13100" spans="8:8" x14ac:dyDescent="0.25">
      <c r="H13100" t="s">
        <v>30</v>
      </c>
    </row>
    <row r="13102" spans="8:8" x14ac:dyDescent="0.25">
      <c r="H13102" t="s">
        <v>13681</v>
      </c>
    </row>
    <row r="13103" spans="8:8" x14ac:dyDescent="0.25">
      <c r="H13103" t="s">
        <v>13682</v>
      </c>
    </row>
    <row r="13104" spans="8:8" x14ac:dyDescent="0.25">
      <c r="H13104" t="s">
        <v>135</v>
      </c>
    </row>
    <row r="13105" spans="8:8" x14ac:dyDescent="0.25">
      <c r="H13105" t="s">
        <v>19209</v>
      </c>
    </row>
    <row r="13106" spans="8:8" x14ac:dyDescent="0.25">
      <c r="H13106" t="s">
        <v>30</v>
      </c>
    </row>
    <row r="13107" spans="8:8" x14ac:dyDescent="0.25">
      <c r="H13107" t="s">
        <v>136</v>
      </c>
    </row>
    <row r="13108" spans="8:8" x14ac:dyDescent="0.25">
      <c r="H13108" t="s">
        <v>19210</v>
      </c>
    </row>
    <row r="13109" spans="8:8" x14ac:dyDescent="0.25">
      <c r="H13109" t="s">
        <v>30</v>
      </c>
    </row>
    <row r="13110" spans="8:8" x14ac:dyDescent="0.25">
      <c r="H13110" t="s">
        <v>137</v>
      </c>
    </row>
    <row r="13111" spans="8:8" x14ac:dyDescent="0.25">
      <c r="H13111" t="s">
        <v>19211</v>
      </c>
    </row>
    <row r="13112" spans="8:8" x14ac:dyDescent="0.25">
      <c r="H13112" t="s">
        <v>30</v>
      </c>
    </row>
    <row r="13113" spans="8:8" x14ac:dyDescent="0.25">
      <c r="H13113" t="s">
        <v>138</v>
      </c>
    </row>
    <row r="13114" spans="8:8" x14ac:dyDescent="0.25">
      <c r="H13114" t="s">
        <v>19212</v>
      </c>
    </row>
    <row r="13115" spans="8:8" x14ac:dyDescent="0.25">
      <c r="H13115" t="s">
        <v>30</v>
      </c>
    </row>
    <row r="13117" spans="8:8" x14ac:dyDescent="0.25">
      <c r="H13117" t="s">
        <v>13687</v>
      </c>
    </row>
    <row r="13118" spans="8:8" x14ac:dyDescent="0.25">
      <c r="H13118" t="s">
        <v>13688</v>
      </c>
    </row>
    <row r="13119" spans="8:8" x14ac:dyDescent="0.25">
      <c r="H13119" t="s">
        <v>135</v>
      </c>
    </row>
    <row r="13120" spans="8:8" x14ac:dyDescent="0.25">
      <c r="H13120" t="s">
        <v>19213</v>
      </c>
    </row>
    <row r="13121" spans="8:8" x14ac:dyDescent="0.25">
      <c r="H13121" t="s">
        <v>30</v>
      </c>
    </row>
    <row r="13122" spans="8:8" x14ac:dyDescent="0.25">
      <c r="H13122" t="s">
        <v>136</v>
      </c>
    </row>
    <row r="13123" spans="8:8" x14ac:dyDescent="0.25">
      <c r="H13123" t="s">
        <v>19214</v>
      </c>
    </row>
    <row r="13124" spans="8:8" x14ac:dyDescent="0.25">
      <c r="H13124" t="s">
        <v>30</v>
      </c>
    </row>
    <row r="13125" spans="8:8" x14ac:dyDescent="0.25">
      <c r="H13125" t="s">
        <v>137</v>
      </c>
    </row>
    <row r="13126" spans="8:8" x14ac:dyDescent="0.25">
      <c r="H13126" t="s">
        <v>19215</v>
      </c>
    </row>
    <row r="13127" spans="8:8" x14ac:dyDescent="0.25">
      <c r="H13127" t="s">
        <v>30</v>
      </c>
    </row>
    <row r="13128" spans="8:8" x14ac:dyDescent="0.25">
      <c r="H13128" t="s">
        <v>138</v>
      </c>
    </row>
    <row r="13129" spans="8:8" x14ac:dyDescent="0.25">
      <c r="H13129" t="s">
        <v>19216</v>
      </c>
    </row>
    <row r="13130" spans="8:8" x14ac:dyDescent="0.25">
      <c r="H13130" t="s">
        <v>30</v>
      </c>
    </row>
    <row r="13132" spans="8:8" x14ac:dyDescent="0.25">
      <c r="H13132" t="s">
        <v>13693</v>
      </c>
    </row>
    <row r="13133" spans="8:8" x14ac:dyDescent="0.25">
      <c r="H13133" t="s">
        <v>13694</v>
      </c>
    </row>
    <row r="13134" spans="8:8" x14ac:dyDescent="0.25">
      <c r="H13134" t="s">
        <v>135</v>
      </c>
    </row>
    <row r="13135" spans="8:8" x14ac:dyDescent="0.25">
      <c r="H13135" t="s">
        <v>19217</v>
      </c>
    </row>
    <row r="13136" spans="8:8" x14ac:dyDescent="0.25">
      <c r="H13136" t="s">
        <v>30</v>
      </c>
    </row>
    <row r="13137" spans="8:8" x14ac:dyDescent="0.25">
      <c r="H13137" t="s">
        <v>136</v>
      </c>
    </row>
    <row r="13138" spans="8:8" x14ac:dyDescent="0.25">
      <c r="H13138" t="s">
        <v>19218</v>
      </c>
    </row>
    <row r="13139" spans="8:8" x14ac:dyDescent="0.25">
      <c r="H13139" t="s">
        <v>30</v>
      </c>
    </row>
    <row r="13140" spans="8:8" x14ac:dyDescent="0.25">
      <c r="H13140" t="s">
        <v>137</v>
      </c>
    </row>
    <row r="13141" spans="8:8" x14ac:dyDescent="0.25">
      <c r="H13141" t="s">
        <v>19219</v>
      </c>
    </row>
    <row r="13142" spans="8:8" x14ac:dyDescent="0.25">
      <c r="H13142" t="s">
        <v>30</v>
      </c>
    </row>
    <row r="13143" spans="8:8" x14ac:dyDescent="0.25">
      <c r="H13143" t="s">
        <v>138</v>
      </c>
    </row>
    <row r="13144" spans="8:8" x14ac:dyDescent="0.25">
      <c r="H13144" t="s">
        <v>19220</v>
      </c>
    </row>
    <row r="13145" spans="8:8" x14ac:dyDescent="0.25">
      <c r="H13145" t="s">
        <v>30</v>
      </c>
    </row>
    <row r="13147" spans="8:8" x14ac:dyDescent="0.25">
      <c r="H13147" t="s">
        <v>13699</v>
      </c>
    </row>
    <row r="13148" spans="8:8" x14ac:dyDescent="0.25">
      <c r="H13148" t="s">
        <v>13700</v>
      </c>
    </row>
    <row r="13149" spans="8:8" x14ac:dyDescent="0.25">
      <c r="H13149" t="s">
        <v>135</v>
      </c>
    </row>
    <row r="13150" spans="8:8" x14ac:dyDescent="0.25">
      <c r="H13150" t="s">
        <v>19221</v>
      </c>
    </row>
    <row r="13151" spans="8:8" x14ac:dyDescent="0.25">
      <c r="H13151" t="s">
        <v>30</v>
      </c>
    </row>
    <row r="13152" spans="8:8" x14ac:dyDescent="0.25">
      <c r="H13152" t="s">
        <v>136</v>
      </c>
    </row>
    <row r="13153" spans="8:8" x14ac:dyDescent="0.25">
      <c r="H13153" t="s">
        <v>19222</v>
      </c>
    </row>
    <row r="13154" spans="8:8" x14ac:dyDescent="0.25">
      <c r="H13154" t="s">
        <v>30</v>
      </c>
    </row>
    <row r="13155" spans="8:8" x14ac:dyDescent="0.25">
      <c r="H13155" t="s">
        <v>137</v>
      </c>
    </row>
    <row r="13156" spans="8:8" x14ac:dyDescent="0.25">
      <c r="H13156" t="s">
        <v>19223</v>
      </c>
    </row>
    <row r="13157" spans="8:8" x14ac:dyDescent="0.25">
      <c r="H13157" t="s">
        <v>30</v>
      </c>
    </row>
    <row r="13158" spans="8:8" x14ac:dyDescent="0.25">
      <c r="H13158" t="s">
        <v>138</v>
      </c>
    </row>
    <row r="13159" spans="8:8" x14ac:dyDescent="0.25">
      <c r="H13159" t="s">
        <v>19224</v>
      </c>
    </row>
    <row r="13160" spans="8:8" x14ac:dyDescent="0.25">
      <c r="H13160" t="s">
        <v>30</v>
      </c>
    </row>
    <row r="13162" spans="8:8" x14ac:dyDescent="0.25">
      <c r="H13162" t="s">
        <v>13705</v>
      </c>
    </row>
    <row r="13163" spans="8:8" x14ac:dyDescent="0.25">
      <c r="H13163" t="s">
        <v>13706</v>
      </c>
    </row>
    <row r="13164" spans="8:8" x14ac:dyDescent="0.25">
      <c r="H13164" t="s">
        <v>135</v>
      </c>
    </row>
    <row r="13165" spans="8:8" x14ac:dyDescent="0.25">
      <c r="H13165" t="s">
        <v>19225</v>
      </c>
    </row>
    <row r="13166" spans="8:8" x14ac:dyDescent="0.25">
      <c r="H13166" t="s">
        <v>30</v>
      </c>
    </row>
    <row r="13167" spans="8:8" x14ac:dyDescent="0.25">
      <c r="H13167" t="s">
        <v>136</v>
      </c>
    </row>
    <row r="13168" spans="8:8" x14ac:dyDescent="0.25">
      <c r="H13168" t="s">
        <v>19226</v>
      </c>
    </row>
    <row r="13169" spans="8:8" x14ac:dyDescent="0.25">
      <c r="H13169" t="s">
        <v>30</v>
      </c>
    </row>
    <row r="13170" spans="8:8" x14ac:dyDescent="0.25">
      <c r="H13170" t="s">
        <v>137</v>
      </c>
    </row>
    <row r="13171" spans="8:8" x14ac:dyDescent="0.25">
      <c r="H13171" t="s">
        <v>19227</v>
      </c>
    </row>
    <row r="13172" spans="8:8" x14ac:dyDescent="0.25">
      <c r="H13172" t="s">
        <v>30</v>
      </c>
    </row>
    <row r="13173" spans="8:8" x14ac:dyDescent="0.25">
      <c r="H13173" t="s">
        <v>138</v>
      </c>
    </row>
    <row r="13174" spans="8:8" x14ac:dyDescent="0.25">
      <c r="H13174" t="s">
        <v>19228</v>
      </c>
    </row>
    <row r="13175" spans="8:8" x14ac:dyDescent="0.25">
      <c r="H13175" t="s">
        <v>30</v>
      </c>
    </row>
    <row r="13177" spans="8:8" x14ac:dyDescent="0.25">
      <c r="H13177" t="s">
        <v>13711</v>
      </c>
    </row>
    <row r="13178" spans="8:8" x14ac:dyDescent="0.25">
      <c r="H13178" t="s">
        <v>13712</v>
      </c>
    </row>
    <row r="13179" spans="8:8" x14ac:dyDescent="0.25">
      <c r="H13179" t="s">
        <v>135</v>
      </c>
    </row>
    <row r="13180" spans="8:8" x14ac:dyDescent="0.25">
      <c r="H13180" t="s">
        <v>19229</v>
      </c>
    </row>
    <row r="13181" spans="8:8" x14ac:dyDescent="0.25">
      <c r="H13181" t="s">
        <v>30</v>
      </c>
    </row>
    <row r="13182" spans="8:8" x14ac:dyDescent="0.25">
      <c r="H13182" t="s">
        <v>136</v>
      </c>
    </row>
    <row r="13183" spans="8:8" x14ac:dyDescent="0.25">
      <c r="H13183" t="s">
        <v>19230</v>
      </c>
    </row>
    <row r="13184" spans="8:8" x14ac:dyDescent="0.25">
      <c r="H13184" t="s">
        <v>30</v>
      </c>
    </row>
    <row r="13185" spans="8:8" x14ac:dyDescent="0.25">
      <c r="H13185" t="s">
        <v>137</v>
      </c>
    </row>
    <row r="13186" spans="8:8" x14ac:dyDescent="0.25">
      <c r="H13186" t="s">
        <v>19231</v>
      </c>
    </row>
    <row r="13187" spans="8:8" x14ac:dyDescent="0.25">
      <c r="H13187" t="s">
        <v>30</v>
      </c>
    </row>
    <row r="13188" spans="8:8" x14ac:dyDescent="0.25">
      <c r="H13188" t="s">
        <v>138</v>
      </c>
    </row>
    <row r="13189" spans="8:8" x14ac:dyDescent="0.25">
      <c r="H13189" t="s">
        <v>19232</v>
      </c>
    </row>
    <row r="13190" spans="8:8" x14ac:dyDescent="0.25">
      <c r="H13190" t="s">
        <v>30</v>
      </c>
    </row>
    <row r="13192" spans="8:8" x14ac:dyDescent="0.25">
      <c r="H13192" t="s">
        <v>13717</v>
      </c>
    </row>
    <row r="13193" spans="8:8" x14ac:dyDescent="0.25">
      <c r="H13193" t="s">
        <v>13718</v>
      </c>
    </row>
    <row r="13194" spans="8:8" x14ac:dyDescent="0.25">
      <c r="H13194" t="s">
        <v>135</v>
      </c>
    </row>
    <row r="13195" spans="8:8" x14ac:dyDescent="0.25">
      <c r="H13195" t="s">
        <v>19233</v>
      </c>
    </row>
    <row r="13196" spans="8:8" x14ac:dyDescent="0.25">
      <c r="H13196" t="s">
        <v>30</v>
      </c>
    </row>
    <row r="13197" spans="8:8" x14ac:dyDescent="0.25">
      <c r="H13197" t="s">
        <v>136</v>
      </c>
    </row>
    <row r="13198" spans="8:8" x14ac:dyDescent="0.25">
      <c r="H13198" t="s">
        <v>19234</v>
      </c>
    </row>
    <row r="13199" spans="8:8" x14ac:dyDescent="0.25">
      <c r="H13199" t="s">
        <v>30</v>
      </c>
    </row>
    <row r="13200" spans="8:8" x14ac:dyDescent="0.25">
      <c r="H13200" t="s">
        <v>137</v>
      </c>
    </row>
    <row r="13201" spans="8:8" x14ac:dyDescent="0.25">
      <c r="H13201" t="s">
        <v>19235</v>
      </c>
    </row>
    <row r="13202" spans="8:8" x14ac:dyDescent="0.25">
      <c r="H13202" t="s">
        <v>30</v>
      </c>
    </row>
    <row r="13203" spans="8:8" x14ac:dyDescent="0.25">
      <c r="H13203" t="s">
        <v>138</v>
      </c>
    </row>
    <row r="13204" spans="8:8" x14ac:dyDescent="0.25">
      <c r="H13204" t="s">
        <v>19236</v>
      </c>
    </row>
    <row r="13205" spans="8:8" x14ac:dyDescent="0.25">
      <c r="H13205" t="s">
        <v>30</v>
      </c>
    </row>
    <row r="13207" spans="8:8" x14ac:dyDescent="0.25">
      <c r="H13207" t="s">
        <v>13723</v>
      </c>
    </row>
    <row r="13208" spans="8:8" x14ac:dyDescent="0.25">
      <c r="H13208" t="s">
        <v>13724</v>
      </c>
    </row>
    <row r="13209" spans="8:8" x14ac:dyDescent="0.25">
      <c r="H13209" t="s">
        <v>135</v>
      </c>
    </row>
    <row r="13210" spans="8:8" x14ac:dyDescent="0.25">
      <c r="H13210" t="s">
        <v>19237</v>
      </c>
    </row>
    <row r="13211" spans="8:8" x14ac:dyDescent="0.25">
      <c r="H13211" t="s">
        <v>30</v>
      </c>
    </row>
    <row r="13212" spans="8:8" x14ac:dyDescent="0.25">
      <c r="H13212" t="s">
        <v>136</v>
      </c>
    </row>
    <row r="13213" spans="8:8" x14ac:dyDescent="0.25">
      <c r="H13213" t="s">
        <v>19238</v>
      </c>
    </row>
    <row r="13214" spans="8:8" x14ac:dyDescent="0.25">
      <c r="H13214" t="s">
        <v>30</v>
      </c>
    </row>
    <row r="13215" spans="8:8" x14ac:dyDescent="0.25">
      <c r="H13215" t="s">
        <v>137</v>
      </c>
    </row>
    <row r="13216" spans="8:8" x14ac:dyDescent="0.25">
      <c r="H13216" t="s">
        <v>19239</v>
      </c>
    </row>
    <row r="13217" spans="8:8" x14ac:dyDescent="0.25">
      <c r="H13217" t="s">
        <v>30</v>
      </c>
    </row>
    <row r="13218" spans="8:8" x14ac:dyDescent="0.25">
      <c r="H13218" t="s">
        <v>138</v>
      </c>
    </row>
    <row r="13219" spans="8:8" x14ac:dyDescent="0.25">
      <c r="H13219" t="s">
        <v>19240</v>
      </c>
    </row>
    <row r="13220" spans="8:8" x14ac:dyDescent="0.25">
      <c r="H13220" t="s">
        <v>30</v>
      </c>
    </row>
    <row r="13222" spans="8:8" x14ac:dyDescent="0.25">
      <c r="H13222" t="s">
        <v>13729</v>
      </c>
    </row>
    <row r="13223" spans="8:8" x14ac:dyDescent="0.25">
      <c r="H13223" t="s">
        <v>13730</v>
      </c>
    </row>
    <row r="13224" spans="8:8" x14ac:dyDescent="0.25">
      <c r="H13224" t="s">
        <v>135</v>
      </c>
    </row>
    <row r="13225" spans="8:8" x14ac:dyDescent="0.25">
      <c r="H13225" t="s">
        <v>19241</v>
      </c>
    </row>
    <row r="13226" spans="8:8" x14ac:dyDescent="0.25">
      <c r="H13226" t="s">
        <v>30</v>
      </c>
    </row>
    <row r="13227" spans="8:8" x14ac:dyDescent="0.25">
      <c r="H13227" t="s">
        <v>136</v>
      </c>
    </row>
    <row r="13228" spans="8:8" x14ac:dyDescent="0.25">
      <c r="H13228" t="s">
        <v>19242</v>
      </c>
    </row>
    <row r="13229" spans="8:8" x14ac:dyDescent="0.25">
      <c r="H13229" t="s">
        <v>30</v>
      </c>
    </row>
    <row r="13230" spans="8:8" x14ac:dyDescent="0.25">
      <c r="H13230" t="s">
        <v>137</v>
      </c>
    </row>
    <row r="13231" spans="8:8" x14ac:dyDescent="0.25">
      <c r="H13231" t="s">
        <v>19243</v>
      </c>
    </row>
    <row r="13232" spans="8:8" x14ac:dyDescent="0.25">
      <c r="H13232" t="s">
        <v>30</v>
      </c>
    </row>
    <row r="13233" spans="8:8" x14ac:dyDescent="0.25">
      <c r="H13233" t="s">
        <v>138</v>
      </c>
    </row>
    <row r="13234" spans="8:8" x14ac:dyDescent="0.25">
      <c r="H13234" t="s">
        <v>19244</v>
      </c>
    </row>
    <row r="13235" spans="8:8" x14ac:dyDescent="0.25">
      <c r="H13235" t="s">
        <v>30</v>
      </c>
    </row>
    <row r="13237" spans="8:8" x14ac:dyDescent="0.25">
      <c r="H13237" t="s">
        <v>13735</v>
      </c>
    </row>
    <row r="13238" spans="8:8" x14ac:dyDescent="0.25">
      <c r="H13238" t="s">
        <v>13736</v>
      </c>
    </row>
    <row r="13239" spans="8:8" x14ac:dyDescent="0.25">
      <c r="H13239" t="s">
        <v>135</v>
      </c>
    </row>
    <row r="13240" spans="8:8" x14ac:dyDescent="0.25">
      <c r="H13240" t="s">
        <v>19245</v>
      </c>
    </row>
    <row r="13241" spans="8:8" x14ac:dyDescent="0.25">
      <c r="H13241" t="s">
        <v>30</v>
      </c>
    </row>
    <row r="13242" spans="8:8" x14ac:dyDescent="0.25">
      <c r="H13242" t="s">
        <v>136</v>
      </c>
    </row>
    <row r="13243" spans="8:8" x14ac:dyDescent="0.25">
      <c r="H13243" t="s">
        <v>19246</v>
      </c>
    </row>
    <row r="13244" spans="8:8" x14ac:dyDescent="0.25">
      <c r="H13244" t="s">
        <v>30</v>
      </c>
    </row>
    <row r="13245" spans="8:8" x14ac:dyDescent="0.25">
      <c r="H13245" t="s">
        <v>137</v>
      </c>
    </row>
    <row r="13246" spans="8:8" x14ac:dyDescent="0.25">
      <c r="H13246" t="s">
        <v>19247</v>
      </c>
    </row>
    <row r="13247" spans="8:8" x14ac:dyDescent="0.25">
      <c r="H13247" t="s">
        <v>30</v>
      </c>
    </row>
    <row r="13248" spans="8:8" x14ac:dyDescent="0.25">
      <c r="H13248" t="s">
        <v>138</v>
      </c>
    </row>
    <row r="13249" spans="8:8" x14ac:dyDescent="0.25">
      <c r="H13249" t="s">
        <v>19248</v>
      </c>
    </row>
    <row r="13250" spans="8:8" x14ac:dyDescent="0.25">
      <c r="H13250" t="s">
        <v>30</v>
      </c>
    </row>
    <row r="13252" spans="8:8" x14ac:dyDescent="0.25">
      <c r="H13252" t="s">
        <v>13741</v>
      </c>
    </row>
    <row r="13253" spans="8:8" x14ac:dyDescent="0.25">
      <c r="H13253" t="s">
        <v>13742</v>
      </c>
    </row>
    <row r="13254" spans="8:8" x14ac:dyDescent="0.25">
      <c r="H13254" t="s">
        <v>135</v>
      </c>
    </row>
    <row r="13255" spans="8:8" x14ac:dyDescent="0.25">
      <c r="H13255" t="s">
        <v>19249</v>
      </c>
    </row>
    <row r="13256" spans="8:8" x14ac:dyDescent="0.25">
      <c r="H13256" t="s">
        <v>30</v>
      </c>
    </row>
    <row r="13257" spans="8:8" x14ac:dyDescent="0.25">
      <c r="H13257" t="s">
        <v>136</v>
      </c>
    </row>
    <row r="13258" spans="8:8" x14ac:dyDescent="0.25">
      <c r="H13258" t="s">
        <v>19250</v>
      </c>
    </row>
    <row r="13259" spans="8:8" x14ac:dyDescent="0.25">
      <c r="H13259" t="s">
        <v>30</v>
      </c>
    </row>
    <row r="13260" spans="8:8" x14ac:dyDescent="0.25">
      <c r="H13260" t="s">
        <v>137</v>
      </c>
    </row>
    <row r="13261" spans="8:8" x14ac:dyDescent="0.25">
      <c r="H13261" t="s">
        <v>19251</v>
      </c>
    </row>
    <row r="13262" spans="8:8" x14ac:dyDescent="0.25">
      <c r="H13262" t="s">
        <v>30</v>
      </c>
    </row>
    <row r="13263" spans="8:8" x14ac:dyDescent="0.25">
      <c r="H13263" t="s">
        <v>138</v>
      </c>
    </row>
    <row r="13264" spans="8:8" x14ac:dyDescent="0.25">
      <c r="H13264" t="s">
        <v>19252</v>
      </c>
    </row>
    <row r="13265" spans="8:8" x14ac:dyDescent="0.25">
      <c r="H13265" t="s">
        <v>30</v>
      </c>
    </row>
    <row r="13267" spans="8:8" x14ac:dyDescent="0.25">
      <c r="H13267" t="s">
        <v>13747</v>
      </c>
    </row>
    <row r="13268" spans="8:8" x14ac:dyDescent="0.25">
      <c r="H13268" t="s">
        <v>13748</v>
      </c>
    </row>
    <row r="13269" spans="8:8" x14ac:dyDescent="0.25">
      <c r="H13269" t="s">
        <v>135</v>
      </c>
    </row>
    <row r="13270" spans="8:8" x14ac:dyDescent="0.25">
      <c r="H13270" t="s">
        <v>19253</v>
      </c>
    </row>
    <row r="13271" spans="8:8" x14ac:dyDescent="0.25">
      <c r="H13271" t="s">
        <v>30</v>
      </c>
    </row>
    <row r="13272" spans="8:8" x14ac:dyDescent="0.25">
      <c r="H13272" t="s">
        <v>136</v>
      </c>
    </row>
    <row r="13273" spans="8:8" x14ac:dyDescent="0.25">
      <c r="H13273" t="s">
        <v>19254</v>
      </c>
    </row>
    <row r="13274" spans="8:8" x14ac:dyDescent="0.25">
      <c r="H13274" t="s">
        <v>30</v>
      </c>
    </row>
    <row r="13275" spans="8:8" x14ac:dyDescent="0.25">
      <c r="H13275" t="s">
        <v>137</v>
      </c>
    </row>
    <row r="13276" spans="8:8" x14ac:dyDescent="0.25">
      <c r="H13276" t="s">
        <v>19255</v>
      </c>
    </row>
    <row r="13277" spans="8:8" x14ac:dyDescent="0.25">
      <c r="H13277" t="s">
        <v>30</v>
      </c>
    </row>
    <row r="13278" spans="8:8" x14ac:dyDescent="0.25">
      <c r="H13278" t="s">
        <v>138</v>
      </c>
    </row>
    <row r="13279" spans="8:8" x14ac:dyDescent="0.25">
      <c r="H13279" t="s">
        <v>19256</v>
      </c>
    </row>
    <row r="13280" spans="8:8" x14ac:dyDescent="0.25">
      <c r="H13280" t="s">
        <v>30</v>
      </c>
    </row>
    <row r="13282" spans="8:8" x14ac:dyDescent="0.25">
      <c r="H13282" t="s">
        <v>13753</v>
      </c>
    </row>
    <row r="13283" spans="8:8" x14ac:dyDescent="0.25">
      <c r="H13283" t="s">
        <v>13754</v>
      </c>
    </row>
    <row r="13284" spans="8:8" x14ac:dyDescent="0.25">
      <c r="H13284" t="s">
        <v>135</v>
      </c>
    </row>
    <row r="13285" spans="8:8" x14ac:dyDescent="0.25">
      <c r="H13285" t="s">
        <v>19257</v>
      </c>
    </row>
    <row r="13286" spans="8:8" x14ac:dyDescent="0.25">
      <c r="H13286" t="s">
        <v>30</v>
      </c>
    </row>
    <row r="13287" spans="8:8" x14ac:dyDescent="0.25">
      <c r="H13287" t="s">
        <v>136</v>
      </c>
    </row>
    <row r="13288" spans="8:8" x14ac:dyDescent="0.25">
      <c r="H13288" t="s">
        <v>19258</v>
      </c>
    </row>
    <row r="13289" spans="8:8" x14ac:dyDescent="0.25">
      <c r="H13289" t="s">
        <v>30</v>
      </c>
    </row>
    <row r="13290" spans="8:8" x14ac:dyDescent="0.25">
      <c r="H13290" t="s">
        <v>137</v>
      </c>
    </row>
    <row r="13291" spans="8:8" x14ac:dyDescent="0.25">
      <c r="H13291" t="s">
        <v>19259</v>
      </c>
    </row>
    <row r="13292" spans="8:8" x14ac:dyDescent="0.25">
      <c r="H13292" t="s">
        <v>30</v>
      </c>
    </row>
    <row r="13293" spans="8:8" x14ac:dyDescent="0.25">
      <c r="H13293" t="s">
        <v>138</v>
      </c>
    </row>
    <row r="13294" spans="8:8" x14ac:dyDescent="0.25">
      <c r="H13294" t="s">
        <v>19260</v>
      </c>
    </row>
    <row r="13295" spans="8:8" x14ac:dyDescent="0.25">
      <c r="H13295" t="s">
        <v>30</v>
      </c>
    </row>
    <row r="13297" spans="8:8" x14ac:dyDescent="0.25">
      <c r="H13297" t="s">
        <v>13759</v>
      </c>
    </row>
    <row r="13298" spans="8:8" x14ac:dyDescent="0.25">
      <c r="H13298" t="s">
        <v>13760</v>
      </c>
    </row>
    <row r="13299" spans="8:8" x14ac:dyDescent="0.25">
      <c r="H13299" t="s">
        <v>135</v>
      </c>
    </row>
    <row r="13300" spans="8:8" x14ac:dyDescent="0.25">
      <c r="H13300" t="s">
        <v>19261</v>
      </c>
    </row>
    <row r="13301" spans="8:8" x14ac:dyDescent="0.25">
      <c r="H13301" t="s">
        <v>30</v>
      </c>
    </row>
    <row r="13302" spans="8:8" x14ac:dyDescent="0.25">
      <c r="H13302" t="s">
        <v>136</v>
      </c>
    </row>
    <row r="13303" spans="8:8" x14ac:dyDescent="0.25">
      <c r="H13303" t="s">
        <v>19262</v>
      </c>
    </row>
    <row r="13304" spans="8:8" x14ac:dyDescent="0.25">
      <c r="H13304" t="s">
        <v>30</v>
      </c>
    </row>
    <row r="13305" spans="8:8" x14ac:dyDescent="0.25">
      <c r="H13305" t="s">
        <v>137</v>
      </c>
    </row>
    <row r="13306" spans="8:8" x14ac:dyDescent="0.25">
      <c r="H13306" t="s">
        <v>19263</v>
      </c>
    </row>
    <row r="13307" spans="8:8" x14ac:dyDescent="0.25">
      <c r="H13307" t="s">
        <v>30</v>
      </c>
    </row>
    <row r="13308" spans="8:8" x14ac:dyDescent="0.25">
      <c r="H13308" t="s">
        <v>138</v>
      </c>
    </row>
    <row r="13309" spans="8:8" x14ac:dyDescent="0.25">
      <c r="H13309" t="s">
        <v>19264</v>
      </c>
    </row>
    <row r="13310" spans="8:8" x14ac:dyDescent="0.25">
      <c r="H13310" t="s">
        <v>30</v>
      </c>
    </row>
    <row r="13312" spans="8:8" x14ac:dyDescent="0.25">
      <c r="H13312" t="s">
        <v>13765</v>
      </c>
    </row>
    <row r="13313" spans="8:8" x14ac:dyDescent="0.25">
      <c r="H13313" t="s">
        <v>13766</v>
      </c>
    </row>
    <row r="13314" spans="8:8" x14ac:dyDescent="0.25">
      <c r="H13314" t="s">
        <v>135</v>
      </c>
    </row>
    <row r="13315" spans="8:8" x14ac:dyDescent="0.25">
      <c r="H13315" t="s">
        <v>19265</v>
      </c>
    </row>
    <row r="13316" spans="8:8" x14ac:dyDescent="0.25">
      <c r="H13316" t="s">
        <v>30</v>
      </c>
    </row>
    <row r="13317" spans="8:8" x14ac:dyDescent="0.25">
      <c r="H13317" t="s">
        <v>136</v>
      </c>
    </row>
    <row r="13318" spans="8:8" x14ac:dyDescent="0.25">
      <c r="H13318" t="s">
        <v>19266</v>
      </c>
    </row>
    <row r="13319" spans="8:8" x14ac:dyDescent="0.25">
      <c r="H13319" t="s">
        <v>30</v>
      </c>
    </row>
    <row r="13320" spans="8:8" x14ac:dyDescent="0.25">
      <c r="H13320" t="s">
        <v>137</v>
      </c>
    </row>
    <row r="13321" spans="8:8" x14ac:dyDescent="0.25">
      <c r="H13321" t="s">
        <v>19267</v>
      </c>
    </row>
    <row r="13322" spans="8:8" x14ac:dyDescent="0.25">
      <c r="H13322" t="s">
        <v>30</v>
      </c>
    </row>
    <row r="13323" spans="8:8" x14ac:dyDescent="0.25">
      <c r="H13323" t="s">
        <v>138</v>
      </c>
    </row>
    <row r="13324" spans="8:8" x14ac:dyDescent="0.25">
      <c r="H13324" t="s">
        <v>19268</v>
      </c>
    </row>
    <row r="13325" spans="8:8" x14ac:dyDescent="0.25">
      <c r="H13325" t="s">
        <v>30</v>
      </c>
    </row>
    <row r="13327" spans="8:8" x14ac:dyDescent="0.25">
      <c r="H13327" t="s">
        <v>13771</v>
      </c>
    </row>
    <row r="13328" spans="8:8" x14ac:dyDescent="0.25">
      <c r="H13328" t="s">
        <v>13772</v>
      </c>
    </row>
    <row r="13329" spans="8:8" x14ac:dyDescent="0.25">
      <c r="H13329" t="s">
        <v>135</v>
      </c>
    </row>
    <row r="13330" spans="8:8" x14ac:dyDescent="0.25">
      <c r="H13330" t="s">
        <v>19269</v>
      </c>
    </row>
    <row r="13331" spans="8:8" x14ac:dyDescent="0.25">
      <c r="H13331" t="s">
        <v>30</v>
      </c>
    </row>
    <row r="13332" spans="8:8" x14ac:dyDescent="0.25">
      <c r="H13332" t="s">
        <v>136</v>
      </c>
    </row>
    <row r="13333" spans="8:8" x14ac:dyDescent="0.25">
      <c r="H13333" t="s">
        <v>19270</v>
      </c>
    </row>
    <row r="13334" spans="8:8" x14ac:dyDescent="0.25">
      <c r="H13334" t="s">
        <v>30</v>
      </c>
    </row>
    <row r="13335" spans="8:8" x14ac:dyDescent="0.25">
      <c r="H13335" t="s">
        <v>137</v>
      </c>
    </row>
    <row r="13336" spans="8:8" x14ac:dyDescent="0.25">
      <c r="H13336" t="s">
        <v>19271</v>
      </c>
    </row>
    <row r="13337" spans="8:8" x14ac:dyDescent="0.25">
      <c r="H13337" t="s">
        <v>30</v>
      </c>
    </row>
    <row r="13338" spans="8:8" x14ac:dyDescent="0.25">
      <c r="H13338" t="s">
        <v>138</v>
      </c>
    </row>
    <row r="13339" spans="8:8" x14ac:dyDescent="0.25">
      <c r="H13339" t="s">
        <v>19272</v>
      </c>
    </row>
    <row r="13340" spans="8:8" x14ac:dyDescent="0.25">
      <c r="H13340" t="s">
        <v>30</v>
      </c>
    </row>
    <row r="13342" spans="8:8" x14ac:dyDescent="0.25">
      <c r="H13342" t="s">
        <v>13777</v>
      </c>
    </row>
    <row r="13343" spans="8:8" x14ac:dyDescent="0.25">
      <c r="H13343" t="s">
        <v>13778</v>
      </c>
    </row>
    <row r="13344" spans="8:8" x14ac:dyDescent="0.25">
      <c r="H13344" t="s">
        <v>135</v>
      </c>
    </row>
    <row r="13345" spans="8:8" x14ac:dyDescent="0.25">
      <c r="H13345" t="s">
        <v>19273</v>
      </c>
    </row>
    <row r="13346" spans="8:8" x14ac:dyDescent="0.25">
      <c r="H13346" t="s">
        <v>30</v>
      </c>
    </row>
    <row r="13347" spans="8:8" x14ac:dyDescent="0.25">
      <c r="H13347" t="s">
        <v>136</v>
      </c>
    </row>
    <row r="13348" spans="8:8" x14ac:dyDescent="0.25">
      <c r="H13348" t="s">
        <v>19274</v>
      </c>
    </row>
    <row r="13349" spans="8:8" x14ac:dyDescent="0.25">
      <c r="H13349" t="s">
        <v>30</v>
      </c>
    </row>
    <row r="13350" spans="8:8" x14ac:dyDescent="0.25">
      <c r="H13350" t="s">
        <v>137</v>
      </c>
    </row>
    <row r="13351" spans="8:8" x14ac:dyDescent="0.25">
      <c r="H13351" t="s">
        <v>19275</v>
      </c>
    </row>
    <row r="13352" spans="8:8" x14ac:dyDescent="0.25">
      <c r="H13352" t="s">
        <v>30</v>
      </c>
    </row>
    <row r="13353" spans="8:8" x14ac:dyDescent="0.25">
      <c r="H13353" t="s">
        <v>138</v>
      </c>
    </row>
    <row r="13354" spans="8:8" x14ac:dyDescent="0.25">
      <c r="H13354" t="s">
        <v>19276</v>
      </c>
    </row>
    <row r="13355" spans="8:8" x14ac:dyDescent="0.25">
      <c r="H13355" t="s">
        <v>30</v>
      </c>
    </row>
    <row r="13357" spans="8:8" x14ac:dyDescent="0.25">
      <c r="H13357" t="s">
        <v>13783</v>
      </c>
    </row>
    <row r="13358" spans="8:8" x14ac:dyDescent="0.25">
      <c r="H13358" t="s">
        <v>13784</v>
      </c>
    </row>
    <row r="13359" spans="8:8" x14ac:dyDescent="0.25">
      <c r="H13359" t="s">
        <v>135</v>
      </c>
    </row>
    <row r="13360" spans="8:8" x14ac:dyDescent="0.25">
      <c r="H13360" t="s">
        <v>19277</v>
      </c>
    </row>
    <row r="13361" spans="8:8" x14ac:dyDescent="0.25">
      <c r="H13361" t="s">
        <v>30</v>
      </c>
    </row>
    <row r="13362" spans="8:8" x14ac:dyDescent="0.25">
      <c r="H13362" t="s">
        <v>136</v>
      </c>
    </row>
    <row r="13363" spans="8:8" x14ac:dyDescent="0.25">
      <c r="H13363" t="s">
        <v>19278</v>
      </c>
    </row>
    <row r="13364" spans="8:8" x14ac:dyDescent="0.25">
      <c r="H13364" t="s">
        <v>30</v>
      </c>
    </row>
    <row r="13365" spans="8:8" x14ac:dyDescent="0.25">
      <c r="H13365" t="s">
        <v>137</v>
      </c>
    </row>
    <row r="13366" spans="8:8" x14ac:dyDescent="0.25">
      <c r="H13366" t="s">
        <v>19279</v>
      </c>
    </row>
    <row r="13367" spans="8:8" x14ac:dyDescent="0.25">
      <c r="H13367" t="s">
        <v>30</v>
      </c>
    </row>
    <row r="13368" spans="8:8" x14ac:dyDescent="0.25">
      <c r="H13368" t="s">
        <v>138</v>
      </c>
    </row>
    <row r="13369" spans="8:8" x14ac:dyDescent="0.25">
      <c r="H13369" t="s">
        <v>19280</v>
      </c>
    </row>
    <row r="13370" spans="8:8" x14ac:dyDescent="0.25">
      <c r="H13370" t="s">
        <v>30</v>
      </c>
    </row>
    <row r="13372" spans="8:8" x14ac:dyDescent="0.25">
      <c r="H13372" t="s">
        <v>13789</v>
      </c>
    </row>
    <row r="13373" spans="8:8" x14ac:dyDescent="0.25">
      <c r="H13373" t="s">
        <v>13790</v>
      </c>
    </row>
    <row r="13374" spans="8:8" x14ac:dyDescent="0.25">
      <c r="H13374" t="s">
        <v>135</v>
      </c>
    </row>
    <row r="13375" spans="8:8" x14ac:dyDescent="0.25">
      <c r="H13375" t="s">
        <v>19281</v>
      </c>
    </row>
    <row r="13376" spans="8:8" x14ac:dyDescent="0.25">
      <c r="H13376" t="s">
        <v>30</v>
      </c>
    </row>
    <row r="13377" spans="8:8" x14ac:dyDescent="0.25">
      <c r="H13377" t="s">
        <v>136</v>
      </c>
    </row>
    <row r="13378" spans="8:8" x14ac:dyDescent="0.25">
      <c r="H13378" t="s">
        <v>19282</v>
      </c>
    </row>
    <row r="13379" spans="8:8" x14ac:dyDescent="0.25">
      <c r="H13379" t="s">
        <v>30</v>
      </c>
    </row>
    <row r="13380" spans="8:8" x14ac:dyDescent="0.25">
      <c r="H13380" t="s">
        <v>137</v>
      </c>
    </row>
    <row r="13381" spans="8:8" x14ac:dyDescent="0.25">
      <c r="H13381" t="s">
        <v>19283</v>
      </c>
    </row>
    <row r="13382" spans="8:8" x14ac:dyDescent="0.25">
      <c r="H13382" t="s">
        <v>30</v>
      </c>
    </row>
    <row r="13383" spans="8:8" x14ac:dyDescent="0.25">
      <c r="H13383" t="s">
        <v>138</v>
      </c>
    </row>
    <row r="13384" spans="8:8" x14ac:dyDescent="0.25">
      <c r="H13384" t="s">
        <v>19284</v>
      </c>
    </row>
    <row r="13385" spans="8:8" x14ac:dyDescent="0.25">
      <c r="H13385" t="s">
        <v>30</v>
      </c>
    </row>
    <row r="13387" spans="8:8" x14ac:dyDescent="0.25">
      <c r="H13387" t="s">
        <v>13795</v>
      </c>
    </row>
    <row r="13388" spans="8:8" x14ac:dyDescent="0.25">
      <c r="H13388" t="s">
        <v>13796</v>
      </c>
    </row>
    <row r="13389" spans="8:8" x14ac:dyDescent="0.25">
      <c r="H13389" t="s">
        <v>135</v>
      </c>
    </row>
    <row r="13390" spans="8:8" x14ac:dyDescent="0.25">
      <c r="H13390" t="s">
        <v>19285</v>
      </c>
    </row>
    <row r="13391" spans="8:8" x14ac:dyDescent="0.25">
      <c r="H13391" t="s">
        <v>30</v>
      </c>
    </row>
    <row r="13392" spans="8:8" x14ac:dyDescent="0.25">
      <c r="H13392" t="s">
        <v>136</v>
      </c>
    </row>
    <row r="13393" spans="8:8" x14ac:dyDescent="0.25">
      <c r="H13393" t="s">
        <v>19286</v>
      </c>
    </row>
    <row r="13394" spans="8:8" x14ac:dyDescent="0.25">
      <c r="H13394" t="s">
        <v>30</v>
      </c>
    </row>
    <row r="13395" spans="8:8" x14ac:dyDescent="0.25">
      <c r="H13395" t="s">
        <v>137</v>
      </c>
    </row>
    <row r="13396" spans="8:8" x14ac:dyDescent="0.25">
      <c r="H13396" t="s">
        <v>19287</v>
      </c>
    </row>
    <row r="13397" spans="8:8" x14ac:dyDescent="0.25">
      <c r="H13397" t="s">
        <v>30</v>
      </c>
    </row>
    <row r="13398" spans="8:8" x14ac:dyDescent="0.25">
      <c r="H13398" t="s">
        <v>138</v>
      </c>
    </row>
    <row r="13399" spans="8:8" x14ac:dyDescent="0.25">
      <c r="H13399" t="s">
        <v>19288</v>
      </c>
    </row>
    <row r="13400" spans="8:8" x14ac:dyDescent="0.25">
      <c r="H13400" t="s">
        <v>30</v>
      </c>
    </row>
    <row r="13402" spans="8:8" x14ac:dyDescent="0.25">
      <c r="H13402" t="s">
        <v>13801</v>
      </c>
    </row>
    <row r="13403" spans="8:8" x14ac:dyDescent="0.25">
      <c r="H13403" t="s">
        <v>13802</v>
      </c>
    </row>
    <row r="13404" spans="8:8" x14ac:dyDescent="0.25">
      <c r="H13404" t="s">
        <v>135</v>
      </c>
    </row>
    <row r="13405" spans="8:8" x14ac:dyDescent="0.25">
      <c r="H13405" t="s">
        <v>19289</v>
      </c>
    </row>
    <row r="13406" spans="8:8" x14ac:dyDescent="0.25">
      <c r="H13406" t="s">
        <v>30</v>
      </c>
    </row>
    <row r="13407" spans="8:8" x14ac:dyDescent="0.25">
      <c r="H13407" t="s">
        <v>136</v>
      </c>
    </row>
    <row r="13408" spans="8:8" x14ac:dyDescent="0.25">
      <c r="H13408" t="s">
        <v>19290</v>
      </c>
    </row>
    <row r="13409" spans="8:8" x14ac:dyDescent="0.25">
      <c r="H13409" t="s">
        <v>30</v>
      </c>
    </row>
    <row r="13410" spans="8:8" x14ac:dyDescent="0.25">
      <c r="H13410" t="s">
        <v>137</v>
      </c>
    </row>
    <row r="13411" spans="8:8" x14ac:dyDescent="0.25">
      <c r="H13411" t="s">
        <v>19291</v>
      </c>
    </row>
    <row r="13412" spans="8:8" x14ac:dyDescent="0.25">
      <c r="H13412" t="s">
        <v>30</v>
      </c>
    </row>
    <row r="13413" spans="8:8" x14ac:dyDescent="0.25">
      <c r="H13413" t="s">
        <v>138</v>
      </c>
    </row>
    <row r="13414" spans="8:8" x14ac:dyDescent="0.25">
      <c r="H13414" t="s">
        <v>19292</v>
      </c>
    </row>
    <row r="13415" spans="8:8" x14ac:dyDescent="0.25">
      <c r="H13415" t="s">
        <v>30</v>
      </c>
    </row>
    <row r="13417" spans="8:8" x14ac:dyDescent="0.25">
      <c r="H13417" t="s">
        <v>13807</v>
      </c>
    </row>
    <row r="13418" spans="8:8" x14ac:dyDescent="0.25">
      <c r="H13418" t="s">
        <v>13808</v>
      </c>
    </row>
    <row r="13419" spans="8:8" x14ac:dyDescent="0.25">
      <c r="H13419" t="s">
        <v>135</v>
      </c>
    </row>
    <row r="13420" spans="8:8" x14ac:dyDescent="0.25">
      <c r="H13420" t="s">
        <v>19293</v>
      </c>
    </row>
    <row r="13421" spans="8:8" x14ac:dyDescent="0.25">
      <c r="H13421" t="s">
        <v>30</v>
      </c>
    </row>
    <row r="13422" spans="8:8" x14ac:dyDescent="0.25">
      <c r="H13422" t="s">
        <v>136</v>
      </c>
    </row>
    <row r="13423" spans="8:8" x14ac:dyDescent="0.25">
      <c r="H13423" t="s">
        <v>19294</v>
      </c>
    </row>
    <row r="13424" spans="8:8" x14ac:dyDescent="0.25">
      <c r="H13424" t="s">
        <v>30</v>
      </c>
    </row>
    <row r="13425" spans="8:8" x14ac:dyDescent="0.25">
      <c r="H13425" t="s">
        <v>137</v>
      </c>
    </row>
    <row r="13426" spans="8:8" x14ac:dyDescent="0.25">
      <c r="H13426" t="s">
        <v>19295</v>
      </c>
    </row>
    <row r="13427" spans="8:8" x14ac:dyDescent="0.25">
      <c r="H13427" t="s">
        <v>30</v>
      </c>
    </row>
    <row r="13428" spans="8:8" x14ac:dyDescent="0.25">
      <c r="H13428" t="s">
        <v>138</v>
      </c>
    </row>
    <row r="13429" spans="8:8" x14ac:dyDescent="0.25">
      <c r="H13429" t="s">
        <v>19296</v>
      </c>
    </row>
    <row r="13430" spans="8:8" x14ac:dyDescent="0.25">
      <c r="H13430" t="s">
        <v>30</v>
      </c>
    </row>
    <row r="13432" spans="8:8" x14ac:dyDescent="0.25">
      <c r="H13432" t="s">
        <v>13813</v>
      </c>
    </row>
    <row r="13433" spans="8:8" x14ac:dyDescent="0.25">
      <c r="H13433" t="s">
        <v>13814</v>
      </c>
    </row>
    <row r="13434" spans="8:8" x14ac:dyDescent="0.25">
      <c r="H13434" t="s">
        <v>135</v>
      </c>
    </row>
    <row r="13435" spans="8:8" x14ac:dyDescent="0.25">
      <c r="H13435" t="s">
        <v>19297</v>
      </c>
    </row>
    <row r="13436" spans="8:8" x14ac:dyDescent="0.25">
      <c r="H13436" t="s">
        <v>30</v>
      </c>
    </row>
    <row r="13437" spans="8:8" x14ac:dyDescent="0.25">
      <c r="H13437" t="s">
        <v>136</v>
      </c>
    </row>
    <row r="13438" spans="8:8" x14ac:dyDescent="0.25">
      <c r="H13438" t="s">
        <v>19298</v>
      </c>
    </row>
    <row r="13439" spans="8:8" x14ac:dyDescent="0.25">
      <c r="H13439" t="s">
        <v>30</v>
      </c>
    </row>
    <row r="13440" spans="8:8" x14ac:dyDescent="0.25">
      <c r="H13440" t="s">
        <v>137</v>
      </c>
    </row>
    <row r="13441" spans="8:8" x14ac:dyDescent="0.25">
      <c r="H13441" t="s">
        <v>19299</v>
      </c>
    </row>
    <row r="13442" spans="8:8" x14ac:dyDescent="0.25">
      <c r="H13442" t="s">
        <v>30</v>
      </c>
    </row>
    <row r="13443" spans="8:8" x14ac:dyDescent="0.25">
      <c r="H13443" t="s">
        <v>138</v>
      </c>
    </row>
    <row r="13444" spans="8:8" x14ac:dyDescent="0.25">
      <c r="H13444" t="s">
        <v>19300</v>
      </c>
    </row>
    <row r="13445" spans="8:8" x14ac:dyDescent="0.25">
      <c r="H13445" t="s">
        <v>30</v>
      </c>
    </row>
    <row r="13447" spans="8:8" x14ac:dyDescent="0.25">
      <c r="H13447" t="s">
        <v>13819</v>
      </c>
    </row>
    <row r="13448" spans="8:8" x14ac:dyDescent="0.25">
      <c r="H13448" t="s">
        <v>13820</v>
      </c>
    </row>
    <row r="13449" spans="8:8" x14ac:dyDescent="0.25">
      <c r="H13449" t="s">
        <v>135</v>
      </c>
    </row>
    <row r="13450" spans="8:8" x14ac:dyDescent="0.25">
      <c r="H13450" t="s">
        <v>19301</v>
      </c>
    </row>
    <row r="13451" spans="8:8" x14ac:dyDescent="0.25">
      <c r="H13451" t="s">
        <v>30</v>
      </c>
    </row>
    <row r="13452" spans="8:8" x14ac:dyDescent="0.25">
      <c r="H13452" t="s">
        <v>136</v>
      </c>
    </row>
    <row r="13453" spans="8:8" x14ac:dyDescent="0.25">
      <c r="H13453" t="s">
        <v>19302</v>
      </c>
    </row>
    <row r="13454" spans="8:8" x14ac:dyDescent="0.25">
      <c r="H13454" t="s">
        <v>30</v>
      </c>
    </row>
    <row r="13455" spans="8:8" x14ac:dyDescent="0.25">
      <c r="H13455" t="s">
        <v>137</v>
      </c>
    </row>
    <row r="13456" spans="8:8" x14ac:dyDescent="0.25">
      <c r="H13456" t="s">
        <v>19303</v>
      </c>
    </row>
    <row r="13457" spans="8:8" x14ac:dyDescent="0.25">
      <c r="H13457" t="s">
        <v>30</v>
      </c>
    </row>
    <row r="13458" spans="8:8" x14ac:dyDescent="0.25">
      <c r="H13458" t="s">
        <v>138</v>
      </c>
    </row>
    <row r="13459" spans="8:8" x14ac:dyDescent="0.25">
      <c r="H13459" t="s">
        <v>19304</v>
      </c>
    </row>
    <row r="13460" spans="8:8" x14ac:dyDescent="0.25">
      <c r="H13460" t="s">
        <v>30</v>
      </c>
    </row>
    <row r="13462" spans="8:8" x14ac:dyDescent="0.25">
      <c r="H13462" t="s">
        <v>13825</v>
      </c>
    </row>
    <row r="13463" spans="8:8" x14ac:dyDescent="0.25">
      <c r="H13463" t="s">
        <v>13826</v>
      </c>
    </row>
    <row r="13464" spans="8:8" x14ac:dyDescent="0.25">
      <c r="H13464" t="s">
        <v>135</v>
      </c>
    </row>
    <row r="13465" spans="8:8" x14ac:dyDescent="0.25">
      <c r="H13465" t="s">
        <v>19305</v>
      </c>
    </row>
    <row r="13466" spans="8:8" x14ac:dyDescent="0.25">
      <c r="H13466" t="s">
        <v>30</v>
      </c>
    </row>
    <row r="13467" spans="8:8" x14ac:dyDescent="0.25">
      <c r="H13467" t="s">
        <v>136</v>
      </c>
    </row>
    <row r="13468" spans="8:8" x14ac:dyDescent="0.25">
      <c r="H13468" t="s">
        <v>19306</v>
      </c>
    </row>
    <row r="13469" spans="8:8" x14ac:dyDescent="0.25">
      <c r="H13469" t="s">
        <v>30</v>
      </c>
    </row>
    <row r="13470" spans="8:8" x14ac:dyDescent="0.25">
      <c r="H13470" t="s">
        <v>137</v>
      </c>
    </row>
    <row r="13471" spans="8:8" x14ac:dyDescent="0.25">
      <c r="H13471" t="s">
        <v>19307</v>
      </c>
    </row>
    <row r="13472" spans="8:8" x14ac:dyDescent="0.25">
      <c r="H13472" t="s">
        <v>30</v>
      </c>
    </row>
    <row r="13473" spans="8:8" x14ac:dyDescent="0.25">
      <c r="H13473" t="s">
        <v>138</v>
      </c>
    </row>
    <row r="13474" spans="8:8" x14ac:dyDescent="0.25">
      <c r="H13474" t="s">
        <v>19308</v>
      </c>
    </row>
    <row r="13475" spans="8:8" x14ac:dyDescent="0.25">
      <c r="H13475" t="s">
        <v>30</v>
      </c>
    </row>
    <row r="13477" spans="8:8" x14ac:dyDescent="0.25">
      <c r="H13477" t="s">
        <v>13831</v>
      </c>
    </row>
    <row r="13478" spans="8:8" x14ac:dyDescent="0.25">
      <c r="H13478" t="s">
        <v>13832</v>
      </c>
    </row>
    <row r="13479" spans="8:8" x14ac:dyDescent="0.25">
      <c r="H13479" t="s">
        <v>135</v>
      </c>
    </row>
    <row r="13480" spans="8:8" x14ac:dyDescent="0.25">
      <c r="H13480" t="s">
        <v>19309</v>
      </c>
    </row>
    <row r="13481" spans="8:8" x14ac:dyDescent="0.25">
      <c r="H13481" t="s">
        <v>30</v>
      </c>
    </row>
    <row r="13482" spans="8:8" x14ac:dyDescent="0.25">
      <c r="H13482" t="s">
        <v>136</v>
      </c>
    </row>
    <row r="13483" spans="8:8" x14ac:dyDescent="0.25">
      <c r="H13483" t="s">
        <v>19310</v>
      </c>
    </row>
    <row r="13484" spans="8:8" x14ac:dyDescent="0.25">
      <c r="H13484" t="s">
        <v>30</v>
      </c>
    </row>
    <row r="13485" spans="8:8" x14ac:dyDescent="0.25">
      <c r="H13485" t="s">
        <v>137</v>
      </c>
    </row>
    <row r="13486" spans="8:8" x14ac:dyDescent="0.25">
      <c r="H13486" t="s">
        <v>19311</v>
      </c>
    </row>
    <row r="13487" spans="8:8" x14ac:dyDescent="0.25">
      <c r="H13487" t="s">
        <v>30</v>
      </c>
    </row>
    <row r="13488" spans="8:8" x14ac:dyDescent="0.25">
      <c r="H13488" t="s">
        <v>138</v>
      </c>
    </row>
    <row r="13489" spans="8:8" x14ac:dyDescent="0.25">
      <c r="H13489" t="s">
        <v>19312</v>
      </c>
    </row>
    <row r="13490" spans="8:8" x14ac:dyDescent="0.25">
      <c r="H13490" t="s">
        <v>30</v>
      </c>
    </row>
    <row r="13492" spans="8:8" x14ac:dyDescent="0.25">
      <c r="H13492" t="s">
        <v>13837</v>
      </c>
    </row>
    <row r="13493" spans="8:8" x14ac:dyDescent="0.25">
      <c r="H13493" t="s">
        <v>13838</v>
      </c>
    </row>
    <row r="13494" spans="8:8" x14ac:dyDescent="0.25">
      <c r="H13494" t="s">
        <v>135</v>
      </c>
    </row>
    <row r="13495" spans="8:8" x14ac:dyDescent="0.25">
      <c r="H13495" t="s">
        <v>19313</v>
      </c>
    </row>
    <row r="13496" spans="8:8" x14ac:dyDescent="0.25">
      <c r="H13496" t="s">
        <v>30</v>
      </c>
    </row>
    <row r="13497" spans="8:8" x14ac:dyDescent="0.25">
      <c r="H13497" t="s">
        <v>136</v>
      </c>
    </row>
    <row r="13498" spans="8:8" x14ac:dyDescent="0.25">
      <c r="H13498" t="s">
        <v>19314</v>
      </c>
    </row>
    <row r="13499" spans="8:8" x14ac:dyDescent="0.25">
      <c r="H13499" t="s">
        <v>30</v>
      </c>
    </row>
    <row r="13500" spans="8:8" x14ac:dyDescent="0.25">
      <c r="H13500" t="s">
        <v>137</v>
      </c>
    </row>
    <row r="13501" spans="8:8" x14ac:dyDescent="0.25">
      <c r="H13501" t="s">
        <v>19315</v>
      </c>
    </row>
    <row r="13502" spans="8:8" x14ac:dyDescent="0.25">
      <c r="H13502" t="s">
        <v>30</v>
      </c>
    </row>
    <row r="13503" spans="8:8" x14ac:dyDescent="0.25">
      <c r="H13503" t="s">
        <v>138</v>
      </c>
    </row>
    <row r="13504" spans="8:8" x14ac:dyDescent="0.25">
      <c r="H13504" t="s">
        <v>19316</v>
      </c>
    </row>
    <row r="13505" spans="8:8" x14ac:dyDescent="0.25">
      <c r="H13505" t="s">
        <v>30</v>
      </c>
    </row>
    <row r="13507" spans="8:8" x14ac:dyDescent="0.25">
      <c r="H13507" t="s">
        <v>13843</v>
      </c>
    </row>
    <row r="13508" spans="8:8" x14ac:dyDescent="0.25">
      <c r="H13508" t="s">
        <v>13844</v>
      </c>
    </row>
    <row r="13509" spans="8:8" x14ac:dyDescent="0.25">
      <c r="H13509" t="s">
        <v>135</v>
      </c>
    </row>
    <row r="13510" spans="8:8" x14ac:dyDescent="0.25">
      <c r="H13510" t="s">
        <v>19317</v>
      </c>
    </row>
    <row r="13511" spans="8:8" x14ac:dyDescent="0.25">
      <c r="H13511" t="s">
        <v>30</v>
      </c>
    </row>
    <row r="13512" spans="8:8" x14ac:dyDescent="0.25">
      <c r="H13512" t="s">
        <v>136</v>
      </c>
    </row>
    <row r="13513" spans="8:8" x14ac:dyDescent="0.25">
      <c r="H13513" t="s">
        <v>19318</v>
      </c>
    </row>
    <row r="13514" spans="8:8" x14ac:dyDescent="0.25">
      <c r="H13514" t="s">
        <v>30</v>
      </c>
    </row>
    <row r="13515" spans="8:8" x14ac:dyDescent="0.25">
      <c r="H13515" t="s">
        <v>137</v>
      </c>
    </row>
    <row r="13516" spans="8:8" x14ac:dyDescent="0.25">
      <c r="H13516" t="s">
        <v>19319</v>
      </c>
    </row>
    <row r="13517" spans="8:8" x14ac:dyDescent="0.25">
      <c r="H13517" t="s">
        <v>30</v>
      </c>
    </row>
    <row r="13518" spans="8:8" x14ac:dyDescent="0.25">
      <c r="H13518" t="s">
        <v>138</v>
      </c>
    </row>
    <row r="13519" spans="8:8" x14ac:dyDescent="0.25">
      <c r="H13519" t="s">
        <v>19320</v>
      </c>
    </row>
    <row r="13520" spans="8:8" x14ac:dyDescent="0.25">
      <c r="H13520" t="s">
        <v>30</v>
      </c>
    </row>
    <row r="13522" spans="8:8" x14ac:dyDescent="0.25">
      <c r="H13522" t="s">
        <v>13849</v>
      </c>
    </row>
    <row r="13523" spans="8:8" x14ac:dyDescent="0.25">
      <c r="H13523" t="s">
        <v>13850</v>
      </c>
    </row>
    <row r="13524" spans="8:8" x14ac:dyDescent="0.25">
      <c r="H13524" t="s">
        <v>135</v>
      </c>
    </row>
    <row r="13525" spans="8:8" x14ac:dyDescent="0.25">
      <c r="H13525" t="s">
        <v>19321</v>
      </c>
    </row>
    <row r="13526" spans="8:8" x14ac:dyDescent="0.25">
      <c r="H13526" t="s">
        <v>30</v>
      </c>
    </row>
    <row r="13527" spans="8:8" x14ac:dyDescent="0.25">
      <c r="H13527" t="s">
        <v>136</v>
      </c>
    </row>
    <row r="13528" spans="8:8" x14ac:dyDescent="0.25">
      <c r="H13528" t="s">
        <v>19322</v>
      </c>
    </row>
    <row r="13529" spans="8:8" x14ac:dyDescent="0.25">
      <c r="H13529" t="s">
        <v>30</v>
      </c>
    </row>
    <row r="13530" spans="8:8" x14ac:dyDescent="0.25">
      <c r="H13530" t="s">
        <v>137</v>
      </c>
    </row>
    <row r="13531" spans="8:8" x14ac:dyDescent="0.25">
      <c r="H13531" t="s">
        <v>19323</v>
      </c>
    </row>
    <row r="13532" spans="8:8" x14ac:dyDescent="0.25">
      <c r="H13532" t="s">
        <v>30</v>
      </c>
    </row>
    <row r="13533" spans="8:8" x14ac:dyDescent="0.25">
      <c r="H13533" t="s">
        <v>138</v>
      </c>
    </row>
    <row r="13534" spans="8:8" x14ac:dyDescent="0.25">
      <c r="H13534" t="s">
        <v>19324</v>
      </c>
    </row>
    <row r="13535" spans="8:8" x14ac:dyDescent="0.25">
      <c r="H13535" t="s">
        <v>30</v>
      </c>
    </row>
    <row r="13537" spans="8:8" x14ac:dyDescent="0.25">
      <c r="H13537" t="s">
        <v>13855</v>
      </c>
    </row>
    <row r="13538" spans="8:8" x14ac:dyDescent="0.25">
      <c r="H13538" t="s">
        <v>13856</v>
      </c>
    </row>
    <row r="13539" spans="8:8" x14ac:dyDescent="0.25">
      <c r="H13539" t="s">
        <v>135</v>
      </c>
    </row>
    <row r="13540" spans="8:8" x14ac:dyDescent="0.25">
      <c r="H13540" t="s">
        <v>19325</v>
      </c>
    </row>
    <row r="13541" spans="8:8" x14ac:dyDescent="0.25">
      <c r="H13541" t="s">
        <v>30</v>
      </c>
    </row>
    <row r="13542" spans="8:8" x14ac:dyDescent="0.25">
      <c r="H13542" t="s">
        <v>136</v>
      </c>
    </row>
    <row r="13543" spans="8:8" x14ac:dyDescent="0.25">
      <c r="H13543" t="s">
        <v>19326</v>
      </c>
    </row>
    <row r="13544" spans="8:8" x14ac:dyDescent="0.25">
      <c r="H13544" t="s">
        <v>30</v>
      </c>
    </row>
    <row r="13545" spans="8:8" x14ac:dyDescent="0.25">
      <c r="H13545" t="s">
        <v>137</v>
      </c>
    </row>
    <row r="13546" spans="8:8" x14ac:dyDescent="0.25">
      <c r="H13546" t="s">
        <v>19327</v>
      </c>
    </row>
    <row r="13547" spans="8:8" x14ac:dyDescent="0.25">
      <c r="H13547" t="s">
        <v>30</v>
      </c>
    </row>
    <row r="13548" spans="8:8" x14ac:dyDescent="0.25">
      <c r="H13548" t="s">
        <v>138</v>
      </c>
    </row>
    <row r="13549" spans="8:8" x14ac:dyDescent="0.25">
      <c r="H13549" t="s">
        <v>19328</v>
      </c>
    </row>
    <row r="13550" spans="8:8" x14ac:dyDescent="0.25">
      <c r="H13550" t="s">
        <v>30</v>
      </c>
    </row>
    <row r="13552" spans="8:8" x14ac:dyDescent="0.25">
      <c r="H13552" t="s">
        <v>13861</v>
      </c>
    </row>
    <row r="13553" spans="8:8" x14ac:dyDescent="0.25">
      <c r="H13553" t="s">
        <v>13862</v>
      </c>
    </row>
    <row r="13554" spans="8:8" x14ac:dyDescent="0.25">
      <c r="H13554" t="s">
        <v>135</v>
      </c>
    </row>
    <row r="13555" spans="8:8" x14ac:dyDescent="0.25">
      <c r="H13555" t="s">
        <v>19329</v>
      </c>
    </row>
    <row r="13556" spans="8:8" x14ac:dyDescent="0.25">
      <c r="H13556" t="s">
        <v>30</v>
      </c>
    </row>
    <row r="13557" spans="8:8" x14ac:dyDescent="0.25">
      <c r="H13557" t="s">
        <v>136</v>
      </c>
    </row>
    <row r="13558" spans="8:8" x14ac:dyDescent="0.25">
      <c r="H13558" t="s">
        <v>19330</v>
      </c>
    </row>
    <row r="13559" spans="8:8" x14ac:dyDescent="0.25">
      <c r="H13559" t="s">
        <v>30</v>
      </c>
    </row>
    <row r="13560" spans="8:8" x14ac:dyDescent="0.25">
      <c r="H13560" t="s">
        <v>137</v>
      </c>
    </row>
    <row r="13561" spans="8:8" x14ac:dyDescent="0.25">
      <c r="H13561" t="s">
        <v>19331</v>
      </c>
    </row>
    <row r="13562" spans="8:8" x14ac:dyDescent="0.25">
      <c r="H13562" t="s">
        <v>30</v>
      </c>
    </row>
    <row r="13563" spans="8:8" x14ac:dyDescent="0.25">
      <c r="H13563" t="s">
        <v>138</v>
      </c>
    </row>
    <row r="13564" spans="8:8" x14ac:dyDescent="0.25">
      <c r="H13564" t="s">
        <v>19332</v>
      </c>
    </row>
    <row r="13565" spans="8:8" x14ac:dyDescent="0.25">
      <c r="H13565" t="s">
        <v>30</v>
      </c>
    </row>
    <row r="13567" spans="8:8" x14ac:dyDescent="0.25">
      <c r="H13567" t="s">
        <v>13867</v>
      </c>
    </row>
    <row r="13568" spans="8:8" x14ac:dyDescent="0.25">
      <c r="H13568" t="s">
        <v>13868</v>
      </c>
    </row>
    <row r="13569" spans="8:8" x14ac:dyDescent="0.25">
      <c r="H13569" t="s">
        <v>135</v>
      </c>
    </row>
    <row r="13570" spans="8:8" x14ac:dyDescent="0.25">
      <c r="H13570" t="s">
        <v>19333</v>
      </c>
    </row>
    <row r="13571" spans="8:8" x14ac:dyDescent="0.25">
      <c r="H13571" t="s">
        <v>30</v>
      </c>
    </row>
    <row r="13572" spans="8:8" x14ac:dyDescent="0.25">
      <c r="H13572" t="s">
        <v>136</v>
      </c>
    </row>
    <row r="13573" spans="8:8" x14ac:dyDescent="0.25">
      <c r="H13573" t="s">
        <v>19334</v>
      </c>
    </row>
    <row r="13574" spans="8:8" x14ac:dyDescent="0.25">
      <c r="H13574" t="s">
        <v>30</v>
      </c>
    </row>
    <row r="13575" spans="8:8" x14ac:dyDescent="0.25">
      <c r="H13575" t="s">
        <v>137</v>
      </c>
    </row>
    <row r="13576" spans="8:8" x14ac:dyDescent="0.25">
      <c r="H13576" t="s">
        <v>19335</v>
      </c>
    </row>
    <row r="13577" spans="8:8" x14ac:dyDescent="0.25">
      <c r="H13577" t="s">
        <v>30</v>
      </c>
    </row>
    <row r="13578" spans="8:8" x14ac:dyDescent="0.25">
      <c r="H13578" t="s">
        <v>138</v>
      </c>
    </row>
    <row r="13579" spans="8:8" x14ac:dyDescent="0.25">
      <c r="H13579" t="s">
        <v>19336</v>
      </c>
    </row>
    <row r="13580" spans="8:8" x14ac:dyDescent="0.25">
      <c r="H13580" t="s">
        <v>30</v>
      </c>
    </row>
    <row r="13582" spans="8:8" x14ac:dyDescent="0.25">
      <c r="H13582" t="s">
        <v>13873</v>
      </c>
    </row>
    <row r="13583" spans="8:8" x14ac:dyDescent="0.25">
      <c r="H13583" t="s">
        <v>13874</v>
      </c>
    </row>
    <row r="13584" spans="8:8" x14ac:dyDescent="0.25">
      <c r="H13584" t="s">
        <v>135</v>
      </c>
    </row>
    <row r="13585" spans="8:8" x14ac:dyDescent="0.25">
      <c r="H13585" t="s">
        <v>19337</v>
      </c>
    </row>
    <row r="13586" spans="8:8" x14ac:dyDescent="0.25">
      <c r="H13586" t="s">
        <v>30</v>
      </c>
    </row>
    <row r="13587" spans="8:8" x14ac:dyDescent="0.25">
      <c r="H13587" t="s">
        <v>136</v>
      </c>
    </row>
    <row r="13588" spans="8:8" x14ac:dyDescent="0.25">
      <c r="H13588" t="s">
        <v>19338</v>
      </c>
    </row>
    <row r="13589" spans="8:8" x14ac:dyDescent="0.25">
      <c r="H13589" t="s">
        <v>30</v>
      </c>
    </row>
    <row r="13590" spans="8:8" x14ac:dyDescent="0.25">
      <c r="H13590" t="s">
        <v>137</v>
      </c>
    </row>
    <row r="13591" spans="8:8" x14ac:dyDescent="0.25">
      <c r="H13591" t="s">
        <v>19339</v>
      </c>
    </row>
    <row r="13592" spans="8:8" x14ac:dyDescent="0.25">
      <c r="H13592" t="s">
        <v>30</v>
      </c>
    </row>
    <row r="13593" spans="8:8" x14ac:dyDescent="0.25">
      <c r="H13593" t="s">
        <v>138</v>
      </c>
    </row>
    <row r="13594" spans="8:8" x14ac:dyDescent="0.25">
      <c r="H13594" t="s">
        <v>19340</v>
      </c>
    </row>
    <row r="13595" spans="8:8" x14ac:dyDescent="0.25">
      <c r="H13595" t="s">
        <v>30</v>
      </c>
    </row>
    <row r="13597" spans="8:8" x14ac:dyDescent="0.25">
      <c r="H13597" t="s">
        <v>13879</v>
      </c>
    </row>
    <row r="13598" spans="8:8" x14ac:dyDescent="0.25">
      <c r="H13598" t="s">
        <v>13880</v>
      </c>
    </row>
    <row r="13599" spans="8:8" x14ac:dyDescent="0.25">
      <c r="H13599" t="s">
        <v>135</v>
      </c>
    </row>
    <row r="13600" spans="8:8" x14ac:dyDescent="0.25">
      <c r="H13600" t="s">
        <v>19341</v>
      </c>
    </row>
    <row r="13601" spans="8:8" x14ac:dyDescent="0.25">
      <c r="H13601" t="s">
        <v>30</v>
      </c>
    </row>
    <row r="13602" spans="8:8" x14ac:dyDescent="0.25">
      <c r="H13602" t="s">
        <v>136</v>
      </c>
    </row>
    <row r="13603" spans="8:8" x14ac:dyDescent="0.25">
      <c r="H13603" t="s">
        <v>19342</v>
      </c>
    </row>
    <row r="13604" spans="8:8" x14ac:dyDescent="0.25">
      <c r="H13604" t="s">
        <v>30</v>
      </c>
    </row>
    <row r="13605" spans="8:8" x14ac:dyDescent="0.25">
      <c r="H13605" t="s">
        <v>137</v>
      </c>
    </row>
    <row r="13606" spans="8:8" x14ac:dyDescent="0.25">
      <c r="H13606" t="s">
        <v>19343</v>
      </c>
    </row>
    <row r="13607" spans="8:8" x14ac:dyDescent="0.25">
      <c r="H13607" t="s">
        <v>30</v>
      </c>
    </row>
    <row r="13608" spans="8:8" x14ac:dyDescent="0.25">
      <c r="H13608" t="s">
        <v>138</v>
      </c>
    </row>
    <row r="13609" spans="8:8" x14ac:dyDescent="0.25">
      <c r="H13609" t="s">
        <v>19344</v>
      </c>
    </row>
    <row r="13610" spans="8:8" x14ac:dyDescent="0.25">
      <c r="H13610" t="s">
        <v>30</v>
      </c>
    </row>
    <row r="13612" spans="8:8" x14ac:dyDescent="0.25">
      <c r="H13612" t="s">
        <v>13885</v>
      </c>
    </row>
    <row r="13613" spans="8:8" x14ac:dyDescent="0.25">
      <c r="H13613" t="s">
        <v>13886</v>
      </c>
    </row>
    <row r="13614" spans="8:8" x14ac:dyDescent="0.25">
      <c r="H13614" t="s">
        <v>135</v>
      </c>
    </row>
    <row r="13615" spans="8:8" x14ac:dyDescent="0.25">
      <c r="H13615" t="s">
        <v>19345</v>
      </c>
    </row>
    <row r="13616" spans="8:8" x14ac:dyDescent="0.25">
      <c r="H13616" t="s">
        <v>30</v>
      </c>
    </row>
    <row r="13617" spans="8:8" x14ac:dyDescent="0.25">
      <c r="H13617" t="s">
        <v>136</v>
      </c>
    </row>
    <row r="13618" spans="8:8" x14ac:dyDescent="0.25">
      <c r="H13618" t="s">
        <v>19346</v>
      </c>
    </row>
    <row r="13619" spans="8:8" x14ac:dyDescent="0.25">
      <c r="H13619" t="s">
        <v>30</v>
      </c>
    </row>
    <row r="13620" spans="8:8" x14ac:dyDescent="0.25">
      <c r="H13620" t="s">
        <v>137</v>
      </c>
    </row>
    <row r="13621" spans="8:8" x14ac:dyDescent="0.25">
      <c r="H13621" t="s">
        <v>19347</v>
      </c>
    </row>
    <row r="13622" spans="8:8" x14ac:dyDescent="0.25">
      <c r="H13622" t="s">
        <v>30</v>
      </c>
    </row>
    <row r="13623" spans="8:8" x14ac:dyDescent="0.25">
      <c r="H13623" t="s">
        <v>138</v>
      </c>
    </row>
    <row r="13624" spans="8:8" x14ac:dyDescent="0.25">
      <c r="H13624" t="s">
        <v>19348</v>
      </c>
    </row>
    <row r="13625" spans="8:8" x14ac:dyDescent="0.25">
      <c r="H13625" t="s">
        <v>30</v>
      </c>
    </row>
    <row r="13627" spans="8:8" x14ac:dyDescent="0.25">
      <c r="H13627" t="s">
        <v>13891</v>
      </c>
    </row>
    <row r="13628" spans="8:8" x14ac:dyDescent="0.25">
      <c r="H13628" t="s">
        <v>13892</v>
      </c>
    </row>
    <row r="13629" spans="8:8" x14ac:dyDescent="0.25">
      <c r="H13629" t="s">
        <v>135</v>
      </c>
    </row>
    <row r="13630" spans="8:8" x14ac:dyDescent="0.25">
      <c r="H13630" t="s">
        <v>19349</v>
      </c>
    </row>
    <row r="13631" spans="8:8" x14ac:dyDescent="0.25">
      <c r="H13631" t="s">
        <v>30</v>
      </c>
    </row>
    <row r="13632" spans="8:8" x14ac:dyDescent="0.25">
      <c r="H13632" t="s">
        <v>136</v>
      </c>
    </row>
    <row r="13633" spans="8:8" x14ac:dyDescent="0.25">
      <c r="H13633" t="s">
        <v>19350</v>
      </c>
    </row>
    <row r="13634" spans="8:8" x14ac:dyDescent="0.25">
      <c r="H13634" t="s">
        <v>30</v>
      </c>
    </row>
    <row r="13635" spans="8:8" x14ac:dyDescent="0.25">
      <c r="H13635" t="s">
        <v>137</v>
      </c>
    </row>
    <row r="13636" spans="8:8" x14ac:dyDescent="0.25">
      <c r="H13636" t="s">
        <v>19351</v>
      </c>
    </row>
    <row r="13637" spans="8:8" x14ac:dyDescent="0.25">
      <c r="H13637" t="s">
        <v>30</v>
      </c>
    </row>
    <row r="13638" spans="8:8" x14ac:dyDescent="0.25">
      <c r="H13638" t="s">
        <v>138</v>
      </c>
    </row>
    <row r="13639" spans="8:8" x14ac:dyDescent="0.25">
      <c r="H13639" t="s">
        <v>19352</v>
      </c>
    </row>
    <row r="13640" spans="8:8" x14ac:dyDescent="0.25">
      <c r="H13640" t="s">
        <v>30</v>
      </c>
    </row>
    <row r="13642" spans="8:8" x14ac:dyDescent="0.25">
      <c r="H13642" t="s">
        <v>13897</v>
      </c>
    </row>
    <row r="13643" spans="8:8" x14ac:dyDescent="0.25">
      <c r="H13643" t="s">
        <v>13898</v>
      </c>
    </row>
    <row r="13644" spans="8:8" x14ac:dyDescent="0.25">
      <c r="H13644" t="s">
        <v>135</v>
      </c>
    </row>
    <row r="13645" spans="8:8" x14ac:dyDescent="0.25">
      <c r="H13645" t="s">
        <v>19353</v>
      </c>
    </row>
    <row r="13646" spans="8:8" x14ac:dyDescent="0.25">
      <c r="H13646" t="s">
        <v>30</v>
      </c>
    </row>
    <row r="13647" spans="8:8" x14ac:dyDescent="0.25">
      <c r="H13647" t="s">
        <v>136</v>
      </c>
    </row>
    <row r="13648" spans="8:8" x14ac:dyDescent="0.25">
      <c r="H13648" t="s">
        <v>19354</v>
      </c>
    </row>
    <row r="13649" spans="8:8" x14ac:dyDescent="0.25">
      <c r="H13649" t="s">
        <v>30</v>
      </c>
    </row>
    <row r="13650" spans="8:8" x14ac:dyDescent="0.25">
      <c r="H13650" t="s">
        <v>137</v>
      </c>
    </row>
    <row r="13651" spans="8:8" x14ac:dyDescent="0.25">
      <c r="H13651" t="s">
        <v>19355</v>
      </c>
    </row>
    <row r="13652" spans="8:8" x14ac:dyDescent="0.25">
      <c r="H13652" t="s">
        <v>30</v>
      </c>
    </row>
    <row r="13653" spans="8:8" x14ac:dyDescent="0.25">
      <c r="H13653" t="s">
        <v>138</v>
      </c>
    </row>
    <row r="13654" spans="8:8" x14ac:dyDescent="0.25">
      <c r="H13654" t="s">
        <v>19356</v>
      </c>
    </row>
    <row r="13655" spans="8:8" x14ac:dyDescent="0.25">
      <c r="H13655" t="s">
        <v>30</v>
      </c>
    </row>
    <row r="13657" spans="8:8" x14ac:dyDescent="0.25">
      <c r="H13657" t="s">
        <v>13903</v>
      </c>
    </row>
    <row r="13658" spans="8:8" x14ac:dyDescent="0.25">
      <c r="H13658" t="s">
        <v>13904</v>
      </c>
    </row>
    <row r="13659" spans="8:8" x14ac:dyDescent="0.25">
      <c r="H13659" t="s">
        <v>135</v>
      </c>
    </row>
    <row r="13660" spans="8:8" x14ac:dyDescent="0.25">
      <c r="H13660" t="s">
        <v>19357</v>
      </c>
    </row>
    <row r="13661" spans="8:8" x14ac:dyDescent="0.25">
      <c r="H13661" t="s">
        <v>30</v>
      </c>
    </row>
    <row r="13662" spans="8:8" x14ac:dyDescent="0.25">
      <c r="H13662" t="s">
        <v>136</v>
      </c>
    </row>
    <row r="13663" spans="8:8" x14ac:dyDescent="0.25">
      <c r="H13663" t="s">
        <v>19358</v>
      </c>
    </row>
    <row r="13664" spans="8:8" x14ac:dyDescent="0.25">
      <c r="H13664" t="s">
        <v>30</v>
      </c>
    </row>
    <row r="13665" spans="8:8" x14ac:dyDescent="0.25">
      <c r="H13665" t="s">
        <v>137</v>
      </c>
    </row>
    <row r="13666" spans="8:8" x14ac:dyDescent="0.25">
      <c r="H13666" t="s">
        <v>19359</v>
      </c>
    </row>
    <row r="13667" spans="8:8" x14ac:dyDescent="0.25">
      <c r="H13667" t="s">
        <v>30</v>
      </c>
    </row>
    <row r="13668" spans="8:8" x14ac:dyDescent="0.25">
      <c r="H13668" t="s">
        <v>138</v>
      </c>
    </row>
    <row r="13669" spans="8:8" x14ac:dyDescent="0.25">
      <c r="H13669" t="s">
        <v>19360</v>
      </c>
    </row>
    <row r="13670" spans="8:8" x14ac:dyDescent="0.25">
      <c r="H13670" t="s">
        <v>30</v>
      </c>
    </row>
    <row r="13672" spans="8:8" x14ac:dyDescent="0.25">
      <c r="H13672" t="s">
        <v>13909</v>
      </c>
    </row>
    <row r="13673" spans="8:8" x14ac:dyDescent="0.25">
      <c r="H13673" t="s">
        <v>13910</v>
      </c>
    </row>
    <row r="13674" spans="8:8" x14ac:dyDescent="0.25">
      <c r="H13674" t="s">
        <v>135</v>
      </c>
    </row>
    <row r="13675" spans="8:8" x14ac:dyDescent="0.25">
      <c r="H13675" t="s">
        <v>19361</v>
      </c>
    </row>
    <row r="13676" spans="8:8" x14ac:dyDescent="0.25">
      <c r="H13676" t="s">
        <v>30</v>
      </c>
    </row>
    <row r="13677" spans="8:8" x14ac:dyDescent="0.25">
      <c r="H13677" t="s">
        <v>136</v>
      </c>
    </row>
    <row r="13678" spans="8:8" x14ac:dyDescent="0.25">
      <c r="H13678" t="s">
        <v>19362</v>
      </c>
    </row>
    <row r="13679" spans="8:8" x14ac:dyDescent="0.25">
      <c r="H13679" t="s">
        <v>30</v>
      </c>
    </row>
    <row r="13680" spans="8:8" x14ac:dyDescent="0.25">
      <c r="H13680" t="s">
        <v>137</v>
      </c>
    </row>
    <row r="13681" spans="8:8" x14ac:dyDescent="0.25">
      <c r="H13681" t="s">
        <v>19363</v>
      </c>
    </row>
    <row r="13682" spans="8:8" x14ac:dyDescent="0.25">
      <c r="H13682" t="s">
        <v>30</v>
      </c>
    </row>
    <row r="13683" spans="8:8" x14ac:dyDescent="0.25">
      <c r="H13683" t="s">
        <v>138</v>
      </c>
    </row>
    <row r="13684" spans="8:8" x14ac:dyDescent="0.25">
      <c r="H13684" t="s">
        <v>19364</v>
      </c>
    </row>
    <row r="13685" spans="8:8" x14ac:dyDescent="0.25">
      <c r="H13685" t="s">
        <v>30</v>
      </c>
    </row>
    <row r="13687" spans="8:8" x14ac:dyDescent="0.25">
      <c r="H13687" t="s">
        <v>13915</v>
      </c>
    </row>
    <row r="13688" spans="8:8" x14ac:dyDescent="0.25">
      <c r="H13688" t="s">
        <v>13916</v>
      </c>
    </row>
    <row r="13689" spans="8:8" x14ac:dyDescent="0.25">
      <c r="H13689" t="s">
        <v>135</v>
      </c>
    </row>
    <row r="13690" spans="8:8" x14ac:dyDescent="0.25">
      <c r="H13690" t="s">
        <v>19365</v>
      </c>
    </row>
    <row r="13691" spans="8:8" x14ac:dyDescent="0.25">
      <c r="H13691" t="s">
        <v>30</v>
      </c>
    </row>
    <row r="13692" spans="8:8" x14ac:dyDescent="0.25">
      <c r="H13692" t="s">
        <v>136</v>
      </c>
    </row>
    <row r="13693" spans="8:8" x14ac:dyDescent="0.25">
      <c r="H13693" t="s">
        <v>19366</v>
      </c>
    </row>
    <row r="13694" spans="8:8" x14ac:dyDescent="0.25">
      <c r="H13694" t="s">
        <v>30</v>
      </c>
    </row>
    <row r="13695" spans="8:8" x14ac:dyDescent="0.25">
      <c r="H13695" t="s">
        <v>137</v>
      </c>
    </row>
    <row r="13696" spans="8:8" x14ac:dyDescent="0.25">
      <c r="H13696" t="s">
        <v>19367</v>
      </c>
    </row>
    <row r="13697" spans="8:8" x14ac:dyDescent="0.25">
      <c r="H13697" t="s">
        <v>30</v>
      </c>
    </row>
    <row r="13698" spans="8:8" x14ac:dyDescent="0.25">
      <c r="H13698" t="s">
        <v>138</v>
      </c>
    </row>
    <row r="13699" spans="8:8" x14ac:dyDescent="0.25">
      <c r="H13699" t="s">
        <v>19368</v>
      </c>
    </row>
    <row r="13700" spans="8:8" x14ac:dyDescent="0.25">
      <c r="H13700" t="s">
        <v>30</v>
      </c>
    </row>
    <row r="13702" spans="8:8" x14ac:dyDescent="0.25">
      <c r="H13702" t="s">
        <v>13921</v>
      </c>
    </row>
    <row r="13703" spans="8:8" x14ac:dyDescent="0.25">
      <c r="H13703" t="s">
        <v>13922</v>
      </c>
    </row>
    <row r="13704" spans="8:8" x14ac:dyDescent="0.25">
      <c r="H13704" t="s">
        <v>135</v>
      </c>
    </row>
    <row r="13705" spans="8:8" x14ac:dyDescent="0.25">
      <c r="H13705" t="s">
        <v>19369</v>
      </c>
    </row>
    <row r="13706" spans="8:8" x14ac:dyDescent="0.25">
      <c r="H13706" t="s">
        <v>30</v>
      </c>
    </row>
    <row r="13707" spans="8:8" x14ac:dyDescent="0.25">
      <c r="H13707" t="s">
        <v>136</v>
      </c>
    </row>
    <row r="13708" spans="8:8" x14ac:dyDescent="0.25">
      <c r="H13708" t="s">
        <v>19370</v>
      </c>
    </row>
    <row r="13709" spans="8:8" x14ac:dyDescent="0.25">
      <c r="H13709" t="s">
        <v>30</v>
      </c>
    </row>
    <row r="13710" spans="8:8" x14ac:dyDescent="0.25">
      <c r="H13710" t="s">
        <v>137</v>
      </c>
    </row>
    <row r="13711" spans="8:8" x14ac:dyDescent="0.25">
      <c r="H13711" t="s">
        <v>19371</v>
      </c>
    </row>
    <row r="13712" spans="8:8" x14ac:dyDescent="0.25">
      <c r="H13712" t="s">
        <v>30</v>
      </c>
    </row>
    <row r="13713" spans="8:8" x14ac:dyDescent="0.25">
      <c r="H13713" t="s">
        <v>138</v>
      </c>
    </row>
    <row r="13714" spans="8:8" x14ac:dyDescent="0.25">
      <c r="H13714" t="s">
        <v>19372</v>
      </c>
    </row>
    <row r="13715" spans="8:8" x14ac:dyDescent="0.25">
      <c r="H13715" t="s">
        <v>30</v>
      </c>
    </row>
    <row r="13717" spans="8:8" x14ac:dyDescent="0.25">
      <c r="H13717" t="s">
        <v>13927</v>
      </c>
    </row>
    <row r="13718" spans="8:8" x14ac:dyDescent="0.25">
      <c r="H13718" t="s">
        <v>13928</v>
      </c>
    </row>
    <row r="13719" spans="8:8" x14ac:dyDescent="0.25">
      <c r="H13719" t="s">
        <v>135</v>
      </c>
    </row>
    <row r="13720" spans="8:8" x14ac:dyDescent="0.25">
      <c r="H13720" t="s">
        <v>19373</v>
      </c>
    </row>
    <row r="13721" spans="8:8" x14ac:dyDescent="0.25">
      <c r="H13721" t="s">
        <v>30</v>
      </c>
    </row>
    <row r="13722" spans="8:8" x14ac:dyDescent="0.25">
      <c r="H13722" t="s">
        <v>136</v>
      </c>
    </row>
    <row r="13723" spans="8:8" x14ac:dyDescent="0.25">
      <c r="H13723" t="s">
        <v>19374</v>
      </c>
    </row>
    <row r="13724" spans="8:8" x14ac:dyDescent="0.25">
      <c r="H13724" t="s">
        <v>30</v>
      </c>
    </row>
    <row r="13725" spans="8:8" x14ac:dyDescent="0.25">
      <c r="H13725" t="s">
        <v>137</v>
      </c>
    </row>
    <row r="13726" spans="8:8" x14ac:dyDescent="0.25">
      <c r="H13726" t="s">
        <v>19375</v>
      </c>
    </row>
    <row r="13727" spans="8:8" x14ac:dyDescent="0.25">
      <c r="H13727" t="s">
        <v>30</v>
      </c>
    </row>
    <row r="13728" spans="8:8" x14ac:dyDescent="0.25">
      <c r="H13728" t="s">
        <v>138</v>
      </c>
    </row>
    <row r="13729" spans="8:8" x14ac:dyDescent="0.25">
      <c r="H13729" t="s">
        <v>19376</v>
      </c>
    </row>
    <row r="13730" spans="8:8" x14ac:dyDescent="0.25">
      <c r="H13730" t="s">
        <v>30</v>
      </c>
    </row>
    <row r="13732" spans="8:8" x14ac:dyDescent="0.25">
      <c r="H13732" t="s">
        <v>13933</v>
      </c>
    </row>
    <row r="13733" spans="8:8" x14ac:dyDescent="0.25">
      <c r="H13733" t="s">
        <v>13934</v>
      </c>
    </row>
    <row r="13734" spans="8:8" x14ac:dyDescent="0.25">
      <c r="H13734" t="s">
        <v>135</v>
      </c>
    </row>
    <row r="13735" spans="8:8" x14ac:dyDescent="0.25">
      <c r="H13735" t="s">
        <v>19377</v>
      </c>
    </row>
    <row r="13736" spans="8:8" x14ac:dyDescent="0.25">
      <c r="H13736" t="s">
        <v>30</v>
      </c>
    </row>
    <row r="13737" spans="8:8" x14ac:dyDescent="0.25">
      <c r="H13737" t="s">
        <v>136</v>
      </c>
    </row>
    <row r="13738" spans="8:8" x14ac:dyDescent="0.25">
      <c r="H13738" t="s">
        <v>19378</v>
      </c>
    </row>
    <row r="13739" spans="8:8" x14ac:dyDescent="0.25">
      <c r="H13739" t="s">
        <v>30</v>
      </c>
    </row>
    <row r="13740" spans="8:8" x14ac:dyDescent="0.25">
      <c r="H13740" t="s">
        <v>137</v>
      </c>
    </row>
    <row r="13741" spans="8:8" x14ac:dyDescent="0.25">
      <c r="H13741" t="s">
        <v>19379</v>
      </c>
    </row>
    <row r="13742" spans="8:8" x14ac:dyDescent="0.25">
      <c r="H13742" t="s">
        <v>30</v>
      </c>
    </row>
    <row r="13743" spans="8:8" x14ac:dyDescent="0.25">
      <c r="H13743" t="s">
        <v>138</v>
      </c>
    </row>
    <row r="13744" spans="8:8" x14ac:dyDescent="0.25">
      <c r="H13744" t="s">
        <v>19380</v>
      </c>
    </row>
    <row r="13745" spans="8:8" x14ac:dyDescent="0.25">
      <c r="H13745" t="s">
        <v>30</v>
      </c>
    </row>
    <row r="13747" spans="8:8" x14ac:dyDescent="0.25">
      <c r="H13747" t="s">
        <v>13939</v>
      </c>
    </row>
    <row r="13748" spans="8:8" x14ac:dyDescent="0.25">
      <c r="H13748" t="s">
        <v>13940</v>
      </c>
    </row>
    <row r="13749" spans="8:8" x14ac:dyDescent="0.25">
      <c r="H13749" t="s">
        <v>135</v>
      </c>
    </row>
    <row r="13750" spans="8:8" x14ac:dyDescent="0.25">
      <c r="H13750" t="s">
        <v>19381</v>
      </c>
    </row>
    <row r="13751" spans="8:8" x14ac:dyDescent="0.25">
      <c r="H13751" t="s">
        <v>30</v>
      </c>
    </row>
    <row r="13752" spans="8:8" x14ac:dyDescent="0.25">
      <c r="H13752" t="s">
        <v>136</v>
      </c>
    </row>
    <row r="13753" spans="8:8" x14ac:dyDescent="0.25">
      <c r="H13753" t="s">
        <v>19382</v>
      </c>
    </row>
    <row r="13754" spans="8:8" x14ac:dyDescent="0.25">
      <c r="H13754" t="s">
        <v>30</v>
      </c>
    </row>
    <row r="13755" spans="8:8" x14ac:dyDescent="0.25">
      <c r="H13755" t="s">
        <v>137</v>
      </c>
    </row>
    <row r="13756" spans="8:8" x14ac:dyDescent="0.25">
      <c r="H13756" t="s">
        <v>19383</v>
      </c>
    </row>
    <row r="13757" spans="8:8" x14ac:dyDescent="0.25">
      <c r="H13757" t="s">
        <v>30</v>
      </c>
    </row>
    <row r="13758" spans="8:8" x14ac:dyDescent="0.25">
      <c r="H13758" t="s">
        <v>138</v>
      </c>
    </row>
    <row r="13759" spans="8:8" x14ac:dyDescent="0.25">
      <c r="H13759" t="s">
        <v>19384</v>
      </c>
    </row>
    <row r="13760" spans="8:8" x14ac:dyDescent="0.25">
      <c r="H13760" t="s">
        <v>30</v>
      </c>
    </row>
    <row r="13762" spans="8:8" x14ac:dyDescent="0.25">
      <c r="H13762" t="s">
        <v>13945</v>
      </c>
    </row>
    <row r="13763" spans="8:8" x14ac:dyDescent="0.25">
      <c r="H13763" t="s">
        <v>13946</v>
      </c>
    </row>
    <row r="13764" spans="8:8" x14ac:dyDescent="0.25">
      <c r="H13764" t="s">
        <v>135</v>
      </c>
    </row>
    <row r="13765" spans="8:8" x14ac:dyDescent="0.25">
      <c r="H13765" t="s">
        <v>19385</v>
      </c>
    </row>
    <row r="13766" spans="8:8" x14ac:dyDescent="0.25">
      <c r="H13766" t="s">
        <v>30</v>
      </c>
    </row>
    <row r="13767" spans="8:8" x14ac:dyDescent="0.25">
      <c r="H13767" t="s">
        <v>136</v>
      </c>
    </row>
    <row r="13768" spans="8:8" x14ac:dyDescent="0.25">
      <c r="H13768" t="s">
        <v>19386</v>
      </c>
    </row>
    <row r="13769" spans="8:8" x14ac:dyDescent="0.25">
      <c r="H13769" t="s">
        <v>30</v>
      </c>
    </row>
    <row r="13770" spans="8:8" x14ac:dyDescent="0.25">
      <c r="H13770" t="s">
        <v>137</v>
      </c>
    </row>
    <row r="13771" spans="8:8" x14ac:dyDescent="0.25">
      <c r="H13771" t="s">
        <v>19387</v>
      </c>
    </row>
    <row r="13772" spans="8:8" x14ac:dyDescent="0.25">
      <c r="H13772" t="s">
        <v>30</v>
      </c>
    </row>
    <row r="13773" spans="8:8" x14ac:dyDescent="0.25">
      <c r="H13773" t="s">
        <v>138</v>
      </c>
    </row>
    <row r="13774" spans="8:8" x14ac:dyDescent="0.25">
      <c r="H13774" t="s">
        <v>19388</v>
      </c>
    </row>
    <row r="13775" spans="8:8" x14ac:dyDescent="0.25">
      <c r="H13775" t="s">
        <v>30</v>
      </c>
    </row>
    <row r="13777" spans="8:8" x14ac:dyDescent="0.25">
      <c r="H13777" t="s">
        <v>13951</v>
      </c>
    </row>
    <row r="13778" spans="8:8" x14ac:dyDescent="0.25">
      <c r="H13778" t="s">
        <v>13952</v>
      </c>
    </row>
    <row r="13779" spans="8:8" x14ac:dyDescent="0.25">
      <c r="H13779" t="s">
        <v>135</v>
      </c>
    </row>
    <row r="13780" spans="8:8" x14ac:dyDescent="0.25">
      <c r="H13780" t="s">
        <v>19389</v>
      </c>
    </row>
    <row r="13781" spans="8:8" x14ac:dyDescent="0.25">
      <c r="H13781" t="s">
        <v>30</v>
      </c>
    </row>
    <row r="13782" spans="8:8" x14ac:dyDescent="0.25">
      <c r="H13782" t="s">
        <v>136</v>
      </c>
    </row>
    <row r="13783" spans="8:8" x14ac:dyDescent="0.25">
      <c r="H13783" t="s">
        <v>19390</v>
      </c>
    </row>
    <row r="13784" spans="8:8" x14ac:dyDescent="0.25">
      <c r="H13784" t="s">
        <v>30</v>
      </c>
    </row>
    <row r="13785" spans="8:8" x14ac:dyDescent="0.25">
      <c r="H13785" t="s">
        <v>137</v>
      </c>
    </row>
    <row r="13786" spans="8:8" x14ac:dyDescent="0.25">
      <c r="H13786" t="s">
        <v>19391</v>
      </c>
    </row>
    <row r="13787" spans="8:8" x14ac:dyDescent="0.25">
      <c r="H13787" t="s">
        <v>30</v>
      </c>
    </row>
    <row r="13788" spans="8:8" x14ac:dyDescent="0.25">
      <c r="H13788" t="s">
        <v>138</v>
      </c>
    </row>
    <row r="13789" spans="8:8" x14ac:dyDescent="0.25">
      <c r="H13789" t="s">
        <v>19392</v>
      </c>
    </row>
    <row r="13790" spans="8:8" x14ac:dyDescent="0.25">
      <c r="H13790" t="s">
        <v>30</v>
      </c>
    </row>
    <row r="13792" spans="8:8" x14ac:dyDescent="0.25">
      <c r="H13792" t="s">
        <v>13957</v>
      </c>
    </row>
    <row r="13793" spans="8:8" x14ac:dyDescent="0.25">
      <c r="H13793" t="s">
        <v>13958</v>
      </c>
    </row>
    <row r="13794" spans="8:8" x14ac:dyDescent="0.25">
      <c r="H13794" t="s">
        <v>135</v>
      </c>
    </row>
    <row r="13795" spans="8:8" x14ac:dyDescent="0.25">
      <c r="H13795" t="s">
        <v>19393</v>
      </c>
    </row>
    <row r="13796" spans="8:8" x14ac:dyDescent="0.25">
      <c r="H13796" t="s">
        <v>30</v>
      </c>
    </row>
    <row r="13797" spans="8:8" x14ac:dyDescent="0.25">
      <c r="H13797" t="s">
        <v>136</v>
      </c>
    </row>
    <row r="13798" spans="8:8" x14ac:dyDescent="0.25">
      <c r="H13798" t="s">
        <v>19394</v>
      </c>
    </row>
    <row r="13799" spans="8:8" x14ac:dyDescent="0.25">
      <c r="H13799" t="s">
        <v>30</v>
      </c>
    </row>
    <row r="13800" spans="8:8" x14ac:dyDescent="0.25">
      <c r="H13800" t="s">
        <v>137</v>
      </c>
    </row>
    <row r="13801" spans="8:8" x14ac:dyDescent="0.25">
      <c r="H13801" t="s">
        <v>19395</v>
      </c>
    </row>
    <row r="13802" spans="8:8" x14ac:dyDescent="0.25">
      <c r="H13802" t="s">
        <v>30</v>
      </c>
    </row>
    <row r="13803" spans="8:8" x14ac:dyDescent="0.25">
      <c r="H13803" t="s">
        <v>138</v>
      </c>
    </row>
    <row r="13804" spans="8:8" x14ac:dyDescent="0.25">
      <c r="H13804" t="s">
        <v>19396</v>
      </c>
    </row>
    <row r="13805" spans="8:8" x14ac:dyDescent="0.25">
      <c r="H13805" t="s">
        <v>30</v>
      </c>
    </row>
    <row r="13807" spans="8:8" x14ac:dyDescent="0.25">
      <c r="H13807" t="s">
        <v>13963</v>
      </c>
    </row>
    <row r="13808" spans="8:8" x14ac:dyDescent="0.25">
      <c r="H13808" t="s">
        <v>13964</v>
      </c>
    </row>
    <row r="13809" spans="8:8" x14ac:dyDescent="0.25">
      <c r="H13809" t="s">
        <v>135</v>
      </c>
    </row>
    <row r="13810" spans="8:8" x14ac:dyDescent="0.25">
      <c r="H13810" t="s">
        <v>19397</v>
      </c>
    </row>
    <row r="13811" spans="8:8" x14ac:dyDescent="0.25">
      <c r="H13811" t="s">
        <v>30</v>
      </c>
    </row>
    <row r="13812" spans="8:8" x14ac:dyDescent="0.25">
      <c r="H13812" t="s">
        <v>136</v>
      </c>
    </row>
    <row r="13813" spans="8:8" x14ac:dyDescent="0.25">
      <c r="H13813" t="s">
        <v>19398</v>
      </c>
    </row>
    <row r="13814" spans="8:8" x14ac:dyDescent="0.25">
      <c r="H13814" t="s">
        <v>30</v>
      </c>
    </row>
    <row r="13815" spans="8:8" x14ac:dyDescent="0.25">
      <c r="H13815" t="s">
        <v>137</v>
      </c>
    </row>
    <row r="13816" spans="8:8" x14ac:dyDescent="0.25">
      <c r="H13816" t="s">
        <v>19399</v>
      </c>
    </row>
    <row r="13817" spans="8:8" x14ac:dyDescent="0.25">
      <c r="H13817" t="s">
        <v>30</v>
      </c>
    </row>
    <row r="13818" spans="8:8" x14ac:dyDescent="0.25">
      <c r="H13818" t="s">
        <v>138</v>
      </c>
    </row>
    <row r="13819" spans="8:8" x14ac:dyDescent="0.25">
      <c r="H13819" t="s">
        <v>19400</v>
      </c>
    </row>
    <row r="13820" spans="8:8" x14ac:dyDescent="0.25">
      <c r="H13820" t="s">
        <v>30</v>
      </c>
    </row>
    <row r="13822" spans="8:8" x14ac:dyDescent="0.25">
      <c r="H13822" t="s">
        <v>13969</v>
      </c>
    </row>
    <row r="13823" spans="8:8" x14ac:dyDescent="0.25">
      <c r="H13823" t="s">
        <v>13970</v>
      </c>
    </row>
    <row r="13824" spans="8:8" x14ac:dyDescent="0.25">
      <c r="H13824" t="s">
        <v>135</v>
      </c>
    </row>
    <row r="13825" spans="8:8" x14ac:dyDescent="0.25">
      <c r="H13825" t="s">
        <v>19401</v>
      </c>
    </row>
    <row r="13826" spans="8:8" x14ac:dyDescent="0.25">
      <c r="H13826" t="s">
        <v>30</v>
      </c>
    </row>
    <row r="13827" spans="8:8" x14ac:dyDescent="0.25">
      <c r="H13827" t="s">
        <v>136</v>
      </c>
    </row>
    <row r="13828" spans="8:8" x14ac:dyDescent="0.25">
      <c r="H13828" t="s">
        <v>19402</v>
      </c>
    </row>
    <row r="13829" spans="8:8" x14ac:dyDescent="0.25">
      <c r="H13829" t="s">
        <v>30</v>
      </c>
    </row>
    <row r="13830" spans="8:8" x14ac:dyDescent="0.25">
      <c r="H13830" t="s">
        <v>137</v>
      </c>
    </row>
    <row r="13831" spans="8:8" x14ac:dyDescent="0.25">
      <c r="H13831" t="s">
        <v>19403</v>
      </c>
    </row>
    <row r="13832" spans="8:8" x14ac:dyDescent="0.25">
      <c r="H13832" t="s">
        <v>30</v>
      </c>
    </row>
    <row r="13833" spans="8:8" x14ac:dyDescent="0.25">
      <c r="H13833" t="s">
        <v>138</v>
      </c>
    </row>
    <row r="13834" spans="8:8" x14ac:dyDescent="0.25">
      <c r="H13834" t="s">
        <v>19404</v>
      </c>
    </row>
    <row r="13835" spans="8:8" x14ac:dyDescent="0.25">
      <c r="H13835" t="s">
        <v>30</v>
      </c>
    </row>
    <row r="13837" spans="8:8" x14ac:dyDescent="0.25">
      <c r="H13837" t="s">
        <v>13975</v>
      </c>
    </row>
    <row r="13838" spans="8:8" x14ac:dyDescent="0.25">
      <c r="H13838" t="s">
        <v>13976</v>
      </c>
    </row>
    <row r="13839" spans="8:8" x14ac:dyDescent="0.25">
      <c r="H13839" t="s">
        <v>135</v>
      </c>
    </row>
    <row r="13840" spans="8:8" x14ac:dyDescent="0.25">
      <c r="H13840" t="s">
        <v>19405</v>
      </c>
    </row>
    <row r="13841" spans="8:8" x14ac:dyDescent="0.25">
      <c r="H13841" t="s">
        <v>30</v>
      </c>
    </row>
    <row r="13842" spans="8:8" x14ac:dyDescent="0.25">
      <c r="H13842" t="s">
        <v>136</v>
      </c>
    </row>
    <row r="13843" spans="8:8" x14ac:dyDescent="0.25">
      <c r="H13843" t="s">
        <v>19406</v>
      </c>
    </row>
    <row r="13844" spans="8:8" x14ac:dyDescent="0.25">
      <c r="H13844" t="s">
        <v>30</v>
      </c>
    </row>
    <row r="13845" spans="8:8" x14ac:dyDescent="0.25">
      <c r="H13845" t="s">
        <v>137</v>
      </c>
    </row>
    <row r="13846" spans="8:8" x14ac:dyDescent="0.25">
      <c r="H13846" t="s">
        <v>19407</v>
      </c>
    </row>
    <row r="13847" spans="8:8" x14ac:dyDescent="0.25">
      <c r="H13847" t="s">
        <v>30</v>
      </c>
    </row>
    <row r="13848" spans="8:8" x14ac:dyDescent="0.25">
      <c r="H13848" t="s">
        <v>138</v>
      </c>
    </row>
    <row r="13849" spans="8:8" x14ac:dyDescent="0.25">
      <c r="H13849" t="s">
        <v>19408</v>
      </c>
    </row>
    <row r="13850" spans="8:8" x14ac:dyDescent="0.25">
      <c r="H13850" t="s">
        <v>30</v>
      </c>
    </row>
    <row r="13852" spans="8:8" x14ac:dyDescent="0.25">
      <c r="H13852" t="s">
        <v>13981</v>
      </c>
    </row>
    <row r="13853" spans="8:8" x14ac:dyDescent="0.25">
      <c r="H13853" t="s">
        <v>13982</v>
      </c>
    </row>
    <row r="13854" spans="8:8" x14ac:dyDescent="0.25">
      <c r="H13854" t="s">
        <v>135</v>
      </c>
    </row>
    <row r="13855" spans="8:8" x14ac:dyDescent="0.25">
      <c r="H13855" t="s">
        <v>19409</v>
      </c>
    </row>
    <row r="13856" spans="8:8" x14ac:dyDescent="0.25">
      <c r="H13856" t="s">
        <v>30</v>
      </c>
    </row>
    <row r="13857" spans="8:8" x14ac:dyDescent="0.25">
      <c r="H13857" t="s">
        <v>136</v>
      </c>
    </row>
    <row r="13858" spans="8:8" x14ac:dyDescent="0.25">
      <c r="H13858" t="s">
        <v>19410</v>
      </c>
    </row>
    <row r="13859" spans="8:8" x14ac:dyDescent="0.25">
      <c r="H13859" t="s">
        <v>30</v>
      </c>
    </row>
    <row r="13860" spans="8:8" x14ac:dyDescent="0.25">
      <c r="H13860" t="s">
        <v>137</v>
      </c>
    </row>
    <row r="13861" spans="8:8" x14ac:dyDescent="0.25">
      <c r="H13861" t="s">
        <v>19411</v>
      </c>
    </row>
    <row r="13862" spans="8:8" x14ac:dyDescent="0.25">
      <c r="H13862" t="s">
        <v>30</v>
      </c>
    </row>
    <row r="13863" spans="8:8" x14ac:dyDescent="0.25">
      <c r="H13863" t="s">
        <v>138</v>
      </c>
    </row>
    <row r="13864" spans="8:8" x14ac:dyDescent="0.25">
      <c r="H13864" t="s">
        <v>19412</v>
      </c>
    </row>
    <row r="13865" spans="8:8" x14ac:dyDescent="0.25">
      <c r="H13865" t="s">
        <v>30</v>
      </c>
    </row>
    <row r="13867" spans="8:8" x14ac:dyDescent="0.25">
      <c r="H13867" t="s">
        <v>13987</v>
      </c>
    </row>
    <row r="13868" spans="8:8" x14ac:dyDescent="0.25">
      <c r="H13868" t="s">
        <v>13988</v>
      </c>
    </row>
    <row r="13869" spans="8:8" x14ac:dyDescent="0.25">
      <c r="H13869" t="s">
        <v>135</v>
      </c>
    </row>
    <row r="13870" spans="8:8" x14ac:dyDescent="0.25">
      <c r="H13870" t="s">
        <v>19413</v>
      </c>
    </row>
    <row r="13871" spans="8:8" x14ac:dyDescent="0.25">
      <c r="H13871" t="s">
        <v>30</v>
      </c>
    </row>
    <row r="13872" spans="8:8" x14ac:dyDescent="0.25">
      <c r="H13872" t="s">
        <v>136</v>
      </c>
    </row>
    <row r="13873" spans="8:8" x14ac:dyDescent="0.25">
      <c r="H13873" t="s">
        <v>19414</v>
      </c>
    </row>
    <row r="13874" spans="8:8" x14ac:dyDescent="0.25">
      <c r="H13874" t="s">
        <v>30</v>
      </c>
    </row>
    <row r="13875" spans="8:8" x14ac:dyDescent="0.25">
      <c r="H13875" t="s">
        <v>137</v>
      </c>
    </row>
    <row r="13876" spans="8:8" x14ac:dyDescent="0.25">
      <c r="H13876" t="s">
        <v>19415</v>
      </c>
    </row>
    <row r="13877" spans="8:8" x14ac:dyDescent="0.25">
      <c r="H13877" t="s">
        <v>30</v>
      </c>
    </row>
    <row r="13878" spans="8:8" x14ac:dyDescent="0.25">
      <c r="H13878" t="s">
        <v>138</v>
      </c>
    </row>
    <row r="13879" spans="8:8" x14ac:dyDescent="0.25">
      <c r="H13879" t="s">
        <v>19416</v>
      </c>
    </row>
    <row r="13880" spans="8:8" x14ac:dyDescent="0.25">
      <c r="H13880" t="s">
        <v>30</v>
      </c>
    </row>
    <row r="13882" spans="8:8" x14ac:dyDescent="0.25">
      <c r="H13882" t="s">
        <v>13993</v>
      </c>
    </row>
    <row r="13883" spans="8:8" x14ac:dyDescent="0.25">
      <c r="H13883" t="s">
        <v>13994</v>
      </c>
    </row>
    <row r="13884" spans="8:8" x14ac:dyDescent="0.25">
      <c r="H13884" t="s">
        <v>135</v>
      </c>
    </row>
    <row r="13885" spans="8:8" x14ac:dyDescent="0.25">
      <c r="H13885" t="s">
        <v>19417</v>
      </c>
    </row>
    <row r="13886" spans="8:8" x14ac:dyDescent="0.25">
      <c r="H13886" t="s">
        <v>30</v>
      </c>
    </row>
    <row r="13887" spans="8:8" x14ac:dyDescent="0.25">
      <c r="H13887" t="s">
        <v>136</v>
      </c>
    </row>
    <row r="13888" spans="8:8" x14ac:dyDescent="0.25">
      <c r="H13888" t="s">
        <v>19418</v>
      </c>
    </row>
    <row r="13889" spans="8:8" x14ac:dyDescent="0.25">
      <c r="H13889" t="s">
        <v>30</v>
      </c>
    </row>
    <row r="13890" spans="8:8" x14ac:dyDescent="0.25">
      <c r="H13890" t="s">
        <v>137</v>
      </c>
    </row>
    <row r="13891" spans="8:8" x14ac:dyDescent="0.25">
      <c r="H13891" t="s">
        <v>19419</v>
      </c>
    </row>
    <row r="13892" spans="8:8" x14ac:dyDescent="0.25">
      <c r="H13892" t="s">
        <v>30</v>
      </c>
    </row>
    <row r="13893" spans="8:8" x14ac:dyDescent="0.25">
      <c r="H13893" t="s">
        <v>138</v>
      </c>
    </row>
    <row r="13894" spans="8:8" x14ac:dyDescent="0.25">
      <c r="H13894" t="s">
        <v>19420</v>
      </c>
    </row>
    <row r="13895" spans="8:8" x14ac:dyDescent="0.25">
      <c r="H13895" t="s">
        <v>30</v>
      </c>
    </row>
    <row r="13897" spans="8:8" x14ac:dyDescent="0.25">
      <c r="H13897" t="s">
        <v>13999</v>
      </c>
    </row>
    <row r="13898" spans="8:8" x14ac:dyDescent="0.25">
      <c r="H13898" t="s">
        <v>14000</v>
      </c>
    </row>
    <row r="13899" spans="8:8" x14ac:dyDescent="0.25">
      <c r="H13899" t="s">
        <v>135</v>
      </c>
    </row>
    <row r="13900" spans="8:8" x14ac:dyDescent="0.25">
      <c r="H13900" t="s">
        <v>19421</v>
      </c>
    </row>
    <row r="13901" spans="8:8" x14ac:dyDescent="0.25">
      <c r="H13901" t="s">
        <v>30</v>
      </c>
    </row>
    <row r="13902" spans="8:8" x14ac:dyDescent="0.25">
      <c r="H13902" t="s">
        <v>136</v>
      </c>
    </row>
    <row r="13903" spans="8:8" x14ac:dyDescent="0.25">
      <c r="H13903" t="s">
        <v>19422</v>
      </c>
    </row>
    <row r="13904" spans="8:8" x14ac:dyDescent="0.25">
      <c r="H13904" t="s">
        <v>30</v>
      </c>
    </row>
    <row r="13905" spans="8:8" x14ac:dyDescent="0.25">
      <c r="H13905" t="s">
        <v>137</v>
      </c>
    </row>
    <row r="13906" spans="8:8" x14ac:dyDescent="0.25">
      <c r="H13906" t="s">
        <v>19423</v>
      </c>
    </row>
    <row r="13907" spans="8:8" x14ac:dyDescent="0.25">
      <c r="H13907" t="s">
        <v>30</v>
      </c>
    </row>
    <row r="13908" spans="8:8" x14ac:dyDescent="0.25">
      <c r="H13908" t="s">
        <v>138</v>
      </c>
    </row>
    <row r="13909" spans="8:8" x14ac:dyDescent="0.25">
      <c r="H13909" t="s">
        <v>19424</v>
      </c>
    </row>
    <row r="13910" spans="8:8" x14ac:dyDescent="0.25">
      <c r="H13910" t="s">
        <v>30</v>
      </c>
    </row>
    <row r="13912" spans="8:8" x14ac:dyDescent="0.25">
      <c r="H13912" t="s">
        <v>14005</v>
      </c>
    </row>
    <row r="13913" spans="8:8" x14ac:dyDescent="0.25">
      <c r="H13913" t="s">
        <v>14006</v>
      </c>
    </row>
    <row r="13914" spans="8:8" x14ac:dyDescent="0.25">
      <c r="H13914" t="s">
        <v>135</v>
      </c>
    </row>
    <row r="13915" spans="8:8" x14ac:dyDescent="0.25">
      <c r="H13915" t="s">
        <v>19425</v>
      </c>
    </row>
    <row r="13916" spans="8:8" x14ac:dyDescent="0.25">
      <c r="H13916" t="s">
        <v>30</v>
      </c>
    </row>
    <row r="13917" spans="8:8" x14ac:dyDescent="0.25">
      <c r="H13917" t="s">
        <v>136</v>
      </c>
    </row>
    <row r="13918" spans="8:8" x14ac:dyDescent="0.25">
      <c r="H13918" t="s">
        <v>19426</v>
      </c>
    </row>
    <row r="13919" spans="8:8" x14ac:dyDescent="0.25">
      <c r="H13919" t="s">
        <v>30</v>
      </c>
    </row>
    <row r="13920" spans="8:8" x14ac:dyDescent="0.25">
      <c r="H13920" t="s">
        <v>137</v>
      </c>
    </row>
    <row r="13921" spans="8:8" x14ac:dyDescent="0.25">
      <c r="H13921" t="s">
        <v>19427</v>
      </c>
    </row>
    <row r="13922" spans="8:8" x14ac:dyDescent="0.25">
      <c r="H13922" t="s">
        <v>30</v>
      </c>
    </row>
    <row r="13923" spans="8:8" x14ac:dyDescent="0.25">
      <c r="H13923" t="s">
        <v>138</v>
      </c>
    </row>
    <row r="13924" spans="8:8" x14ac:dyDescent="0.25">
      <c r="H13924" t="s">
        <v>19428</v>
      </c>
    </row>
    <row r="13925" spans="8:8" x14ac:dyDescent="0.25">
      <c r="H13925" t="s">
        <v>30</v>
      </c>
    </row>
    <row r="13927" spans="8:8" x14ac:dyDescent="0.25">
      <c r="H13927" t="s">
        <v>14011</v>
      </c>
    </row>
    <row r="13928" spans="8:8" x14ac:dyDescent="0.25">
      <c r="H13928" t="s">
        <v>14012</v>
      </c>
    </row>
    <row r="13929" spans="8:8" x14ac:dyDescent="0.25">
      <c r="H13929" t="s">
        <v>135</v>
      </c>
    </row>
    <row r="13930" spans="8:8" x14ac:dyDescent="0.25">
      <c r="H13930" t="s">
        <v>19429</v>
      </c>
    </row>
    <row r="13931" spans="8:8" x14ac:dyDescent="0.25">
      <c r="H13931" t="s">
        <v>30</v>
      </c>
    </row>
    <row r="13932" spans="8:8" x14ac:dyDescent="0.25">
      <c r="H13932" t="s">
        <v>136</v>
      </c>
    </row>
    <row r="13933" spans="8:8" x14ac:dyDescent="0.25">
      <c r="H13933" t="s">
        <v>19430</v>
      </c>
    </row>
    <row r="13934" spans="8:8" x14ac:dyDescent="0.25">
      <c r="H13934" t="s">
        <v>30</v>
      </c>
    </row>
    <row r="13935" spans="8:8" x14ac:dyDescent="0.25">
      <c r="H13935" t="s">
        <v>137</v>
      </c>
    </row>
    <row r="13936" spans="8:8" x14ac:dyDescent="0.25">
      <c r="H13936" t="s">
        <v>19431</v>
      </c>
    </row>
    <row r="13937" spans="8:8" x14ac:dyDescent="0.25">
      <c r="H13937" t="s">
        <v>30</v>
      </c>
    </row>
    <row r="13938" spans="8:8" x14ac:dyDescent="0.25">
      <c r="H13938" t="s">
        <v>138</v>
      </c>
    </row>
    <row r="13939" spans="8:8" x14ac:dyDescent="0.25">
      <c r="H13939" t="s">
        <v>19432</v>
      </c>
    </row>
    <row r="13940" spans="8:8" x14ac:dyDescent="0.25">
      <c r="H13940" t="s">
        <v>30</v>
      </c>
    </row>
    <row r="13942" spans="8:8" x14ac:dyDescent="0.25">
      <c r="H13942" t="s">
        <v>14017</v>
      </c>
    </row>
    <row r="13943" spans="8:8" x14ac:dyDescent="0.25">
      <c r="H13943" t="s">
        <v>14018</v>
      </c>
    </row>
    <row r="13944" spans="8:8" x14ac:dyDescent="0.25">
      <c r="H13944" t="s">
        <v>135</v>
      </c>
    </row>
    <row r="13945" spans="8:8" x14ac:dyDescent="0.25">
      <c r="H13945" t="s">
        <v>19433</v>
      </c>
    </row>
    <row r="13946" spans="8:8" x14ac:dyDescent="0.25">
      <c r="H13946" t="s">
        <v>30</v>
      </c>
    </row>
    <row r="13947" spans="8:8" x14ac:dyDescent="0.25">
      <c r="H13947" t="s">
        <v>136</v>
      </c>
    </row>
    <row r="13948" spans="8:8" x14ac:dyDescent="0.25">
      <c r="H13948" t="s">
        <v>19434</v>
      </c>
    </row>
    <row r="13949" spans="8:8" x14ac:dyDescent="0.25">
      <c r="H13949" t="s">
        <v>30</v>
      </c>
    </row>
    <row r="13950" spans="8:8" x14ac:dyDescent="0.25">
      <c r="H13950" t="s">
        <v>137</v>
      </c>
    </row>
    <row r="13951" spans="8:8" x14ac:dyDescent="0.25">
      <c r="H13951" t="s">
        <v>19435</v>
      </c>
    </row>
    <row r="13952" spans="8:8" x14ac:dyDescent="0.25">
      <c r="H13952" t="s">
        <v>30</v>
      </c>
    </row>
    <row r="13953" spans="8:8" x14ac:dyDescent="0.25">
      <c r="H13953" t="s">
        <v>138</v>
      </c>
    </row>
    <row r="13954" spans="8:8" x14ac:dyDescent="0.25">
      <c r="H13954" t="s">
        <v>19436</v>
      </c>
    </row>
    <row r="13955" spans="8:8" x14ac:dyDescent="0.25">
      <c r="H13955" t="s">
        <v>30</v>
      </c>
    </row>
    <row r="13957" spans="8:8" x14ac:dyDescent="0.25">
      <c r="H13957" t="s">
        <v>14023</v>
      </c>
    </row>
    <row r="13958" spans="8:8" x14ac:dyDescent="0.25">
      <c r="H13958" t="s">
        <v>14024</v>
      </c>
    </row>
    <row r="13959" spans="8:8" x14ac:dyDescent="0.25">
      <c r="H13959" t="s">
        <v>135</v>
      </c>
    </row>
    <row r="13960" spans="8:8" x14ac:dyDescent="0.25">
      <c r="H13960" t="s">
        <v>19437</v>
      </c>
    </row>
    <row r="13961" spans="8:8" x14ac:dyDescent="0.25">
      <c r="H13961" t="s">
        <v>30</v>
      </c>
    </row>
    <row r="13962" spans="8:8" x14ac:dyDescent="0.25">
      <c r="H13962" t="s">
        <v>136</v>
      </c>
    </row>
    <row r="13963" spans="8:8" x14ac:dyDescent="0.25">
      <c r="H13963" t="s">
        <v>19438</v>
      </c>
    </row>
    <row r="13964" spans="8:8" x14ac:dyDescent="0.25">
      <c r="H13964" t="s">
        <v>30</v>
      </c>
    </row>
    <row r="13965" spans="8:8" x14ac:dyDescent="0.25">
      <c r="H13965" t="s">
        <v>137</v>
      </c>
    </row>
    <row r="13966" spans="8:8" x14ac:dyDescent="0.25">
      <c r="H13966" t="s">
        <v>19439</v>
      </c>
    </row>
    <row r="13967" spans="8:8" x14ac:dyDescent="0.25">
      <c r="H13967" t="s">
        <v>30</v>
      </c>
    </row>
    <row r="13968" spans="8:8" x14ac:dyDescent="0.25">
      <c r="H13968" t="s">
        <v>138</v>
      </c>
    </row>
    <row r="13969" spans="8:8" x14ac:dyDescent="0.25">
      <c r="H13969" t="s">
        <v>19440</v>
      </c>
    </row>
    <row r="13970" spans="8:8" x14ac:dyDescent="0.25">
      <c r="H13970" t="s">
        <v>30</v>
      </c>
    </row>
    <row r="13972" spans="8:8" x14ac:dyDescent="0.25">
      <c r="H13972" t="s">
        <v>14029</v>
      </c>
    </row>
    <row r="13973" spans="8:8" x14ac:dyDescent="0.25">
      <c r="H13973" t="s">
        <v>14030</v>
      </c>
    </row>
    <row r="13974" spans="8:8" x14ac:dyDescent="0.25">
      <c r="H13974" t="s">
        <v>135</v>
      </c>
    </row>
    <row r="13975" spans="8:8" x14ac:dyDescent="0.25">
      <c r="H13975" t="s">
        <v>19441</v>
      </c>
    </row>
    <row r="13976" spans="8:8" x14ac:dyDescent="0.25">
      <c r="H13976" t="s">
        <v>30</v>
      </c>
    </row>
    <row r="13977" spans="8:8" x14ac:dyDescent="0.25">
      <c r="H13977" t="s">
        <v>136</v>
      </c>
    </row>
    <row r="13978" spans="8:8" x14ac:dyDescent="0.25">
      <c r="H13978" t="s">
        <v>19442</v>
      </c>
    </row>
    <row r="13979" spans="8:8" x14ac:dyDescent="0.25">
      <c r="H13979" t="s">
        <v>30</v>
      </c>
    </row>
    <row r="13980" spans="8:8" x14ac:dyDescent="0.25">
      <c r="H13980" t="s">
        <v>137</v>
      </c>
    </row>
    <row r="13981" spans="8:8" x14ac:dyDescent="0.25">
      <c r="H13981" t="s">
        <v>19443</v>
      </c>
    </row>
    <row r="13982" spans="8:8" x14ac:dyDescent="0.25">
      <c r="H13982" t="s">
        <v>30</v>
      </c>
    </row>
    <row r="13983" spans="8:8" x14ac:dyDescent="0.25">
      <c r="H13983" t="s">
        <v>138</v>
      </c>
    </row>
    <row r="13984" spans="8:8" x14ac:dyDescent="0.25">
      <c r="H13984" t="s">
        <v>19444</v>
      </c>
    </row>
    <row r="13985" spans="8:8" x14ac:dyDescent="0.25">
      <c r="H13985" t="s">
        <v>30</v>
      </c>
    </row>
    <row r="13987" spans="8:8" x14ac:dyDescent="0.25">
      <c r="H13987" t="s">
        <v>14035</v>
      </c>
    </row>
    <row r="13988" spans="8:8" x14ac:dyDescent="0.25">
      <c r="H13988" t="s">
        <v>14036</v>
      </c>
    </row>
    <row r="13989" spans="8:8" x14ac:dyDescent="0.25">
      <c r="H13989" t="s">
        <v>135</v>
      </c>
    </row>
    <row r="13990" spans="8:8" x14ac:dyDescent="0.25">
      <c r="H13990" t="s">
        <v>19445</v>
      </c>
    </row>
    <row r="13991" spans="8:8" x14ac:dyDescent="0.25">
      <c r="H13991" t="s">
        <v>30</v>
      </c>
    </row>
    <row r="13992" spans="8:8" x14ac:dyDescent="0.25">
      <c r="H13992" t="s">
        <v>136</v>
      </c>
    </row>
    <row r="13993" spans="8:8" x14ac:dyDescent="0.25">
      <c r="H13993" t="s">
        <v>19446</v>
      </c>
    </row>
    <row r="13994" spans="8:8" x14ac:dyDescent="0.25">
      <c r="H13994" t="s">
        <v>30</v>
      </c>
    </row>
    <row r="13995" spans="8:8" x14ac:dyDescent="0.25">
      <c r="H13995" t="s">
        <v>137</v>
      </c>
    </row>
    <row r="13996" spans="8:8" x14ac:dyDescent="0.25">
      <c r="H13996" t="s">
        <v>19447</v>
      </c>
    </row>
    <row r="13997" spans="8:8" x14ac:dyDescent="0.25">
      <c r="H13997" t="s">
        <v>30</v>
      </c>
    </row>
    <row r="13998" spans="8:8" x14ac:dyDescent="0.25">
      <c r="H13998" t="s">
        <v>138</v>
      </c>
    </row>
    <row r="13999" spans="8:8" x14ac:dyDescent="0.25">
      <c r="H13999" t="s">
        <v>19448</v>
      </c>
    </row>
    <row r="14000" spans="8:8" x14ac:dyDescent="0.25">
      <c r="H14000" t="s">
        <v>30</v>
      </c>
    </row>
    <row r="14002" spans="8:8" x14ac:dyDescent="0.25">
      <c r="H14002" t="s">
        <v>14041</v>
      </c>
    </row>
    <row r="14003" spans="8:8" x14ac:dyDescent="0.25">
      <c r="H14003" t="s">
        <v>14042</v>
      </c>
    </row>
    <row r="14004" spans="8:8" x14ac:dyDescent="0.25">
      <c r="H14004" t="s">
        <v>135</v>
      </c>
    </row>
    <row r="14005" spans="8:8" x14ac:dyDescent="0.25">
      <c r="H14005" t="s">
        <v>19449</v>
      </c>
    </row>
    <row r="14006" spans="8:8" x14ac:dyDescent="0.25">
      <c r="H14006" t="s">
        <v>30</v>
      </c>
    </row>
    <row r="14007" spans="8:8" x14ac:dyDescent="0.25">
      <c r="H14007" t="s">
        <v>136</v>
      </c>
    </row>
    <row r="14008" spans="8:8" x14ac:dyDescent="0.25">
      <c r="H14008" t="s">
        <v>19450</v>
      </c>
    </row>
    <row r="14009" spans="8:8" x14ac:dyDescent="0.25">
      <c r="H14009" t="s">
        <v>30</v>
      </c>
    </row>
    <row r="14010" spans="8:8" x14ac:dyDescent="0.25">
      <c r="H14010" t="s">
        <v>137</v>
      </c>
    </row>
    <row r="14011" spans="8:8" x14ac:dyDescent="0.25">
      <c r="H14011" t="s">
        <v>19451</v>
      </c>
    </row>
    <row r="14012" spans="8:8" x14ac:dyDescent="0.25">
      <c r="H14012" t="s">
        <v>30</v>
      </c>
    </row>
    <row r="14013" spans="8:8" x14ac:dyDescent="0.25">
      <c r="H14013" t="s">
        <v>138</v>
      </c>
    </row>
    <row r="14014" spans="8:8" x14ac:dyDescent="0.25">
      <c r="H14014" t="s">
        <v>19452</v>
      </c>
    </row>
    <row r="14015" spans="8:8" x14ac:dyDescent="0.25">
      <c r="H14015" t="s">
        <v>30</v>
      </c>
    </row>
    <row r="14017" spans="8:8" x14ac:dyDescent="0.25">
      <c r="H14017" t="s">
        <v>14047</v>
      </c>
    </row>
    <row r="14018" spans="8:8" x14ac:dyDescent="0.25">
      <c r="H14018" t="s">
        <v>14048</v>
      </c>
    </row>
    <row r="14019" spans="8:8" x14ac:dyDescent="0.25">
      <c r="H14019" t="s">
        <v>135</v>
      </c>
    </row>
    <row r="14020" spans="8:8" x14ac:dyDescent="0.25">
      <c r="H14020" t="s">
        <v>19453</v>
      </c>
    </row>
    <row r="14021" spans="8:8" x14ac:dyDescent="0.25">
      <c r="H14021" t="s">
        <v>30</v>
      </c>
    </row>
    <row r="14022" spans="8:8" x14ac:dyDescent="0.25">
      <c r="H14022" t="s">
        <v>136</v>
      </c>
    </row>
    <row r="14023" spans="8:8" x14ac:dyDescent="0.25">
      <c r="H14023" t="s">
        <v>19454</v>
      </c>
    </row>
    <row r="14024" spans="8:8" x14ac:dyDescent="0.25">
      <c r="H14024" t="s">
        <v>30</v>
      </c>
    </row>
    <row r="14025" spans="8:8" x14ac:dyDescent="0.25">
      <c r="H14025" t="s">
        <v>137</v>
      </c>
    </row>
    <row r="14026" spans="8:8" x14ac:dyDescent="0.25">
      <c r="H14026" t="s">
        <v>19455</v>
      </c>
    </row>
    <row r="14027" spans="8:8" x14ac:dyDescent="0.25">
      <c r="H14027" t="s">
        <v>30</v>
      </c>
    </row>
    <row r="14028" spans="8:8" x14ac:dyDescent="0.25">
      <c r="H14028" t="s">
        <v>138</v>
      </c>
    </row>
    <row r="14029" spans="8:8" x14ac:dyDescent="0.25">
      <c r="H14029" t="s">
        <v>19456</v>
      </c>
    </row>
    <row r="14030" spans="8:8" x14ac:dyDescent="0.25">
      <c r="H14030" t="s">
        <v>30</v>
      </c>
    </row>
    <row r="14032" spans="8:8" x14ac:dyDescent="0.25">
      <c r="H14032" t="s">
        <v>14053</v>
      </c>
    </row>
    <row r="14033" spans="8:8" x14ac:dyDescent="0.25">
      <c r="H14033" t="s">
        <v>14054</v>
      </c>
    </row>
    <row r="14034" spans="8:8" x14ac:dyDescent="0.25">
      <c r="H14034" t="s">
        <v>135</v>
      </c>
    </row>
    <row r="14035" spans="8:8" x14ac:dyDescent="0.25">
      <c r="H14035" t="s">
        <v>19457</v>
      </c>
    </row>
    <row r="14036" spans="8:8" x14ac:dyDescent="0.25">
      <c r="H14036" t="s">
        <v>30</v>
      </c>
    </row>
    <row r="14037" spans="8:8" x14ac:dyDescent="0.25">
      <c r="H14037" t="s">
        <v>136</v>
      </c>
    </row>
    <row r="14038" spans="8:8" x14ac:dyDescent="0.25">
      <c r="H14038" t="s">
        <v>19458</v>
      </c>
    </row>
    <row r="14039" spans="8:8" x14ac:dyDescent="0.25">
      <c r="H14039" t="s">
        <v>30</v>
      </c>
    </row>
    <row r="14040" spans="8:8" x14ac:dyDescent="0.25">
      <c r="H14040" t="s">
        <v>137</v>
      </c>
    </row>
    <row r="14041" spans="8:8" x14ac:dyDescent="0.25">
      <c r="H14041" t="s">
        <v>19459</v>
      </c>
    </row>
    <row r="14042" spans="8:8" x14ac:dyDescent="0.25">
      <c r="H14042" t="s">
        <v>30</v>
      </c>
    </row>
    <row r="14043" spans="8:8" x14ac:dyDescent="0.25">
      <c r="H14043" t="s">
        <v>138</v>
      </c>
    </row>
    <row r="14044" spans="8:8" x14ac:dyDescent="0.25">
      <c r="H14044" t="s">
        <v>19460</v>
      </c>
    </row>
    <row r="14045" spans="8:8" x14ac:dyDescent="0.25">
      <c r="H14045" t="s">
        <v>30</v>
      </c>
    </row>
    <row r="14047" spans="8:8" x14ac:dyDescent="0.25">
      <c r="H14047" t="s">
        <v>14059</v>
      </c>
    </row>
    <row r="14048" spans="8:8" x14ac:dyDescent="0.25">
      <c r="H14048" t="s">
        <v>14060</v>
      </c>
    </row>
    <row r="14049" spans="8:8" x14ac:dyDescent="0.25">
      <c r="H14049" t="s">
        <v>135</v>
      </c>
    </row>
    <row r="14050" spans="8:8" x14ac:dyDescent="0.25">
      <c r="H14050" t="s">
        <v>19461</v>
      </c>
    </row>
    <row r="14051" spans="8:8" x14ac:dyDescent="0.25">
      <c r="H14051" t="s">
        <v>30</v>
      </c>
    </row>
    <row r="14052" spans="8:8" x14ac:dyDescent="0.25">
      <c r="H14052" t="s">
        <v>136</v>
      </c>
    </row>
    <row r="14053" spans="8:8" x14ac:dyDescent="0.25">
      <c r="H14053" t="s">
        <v>19462</v>
      </c>
    </row>
    <row r="14054" spans="8:8" x14ac:dyDescent="0.25">
      <c r="H14054" t="s">
        <v>30</v>
      </c>
    </row>
    <row r="14055" spans="8:8" x14ac:dyDescent="0.25">
      <c r="H14055" t="s">
        <v>137</v>
      </c>
    </row>
    <row r="14056" spans="8:8" x14ac:dyDescent="0.25">
      <c r="H14056" t="s">
        <v>19463</v>
      </c>
    </row>
    <row r="14057" spans="8:8" x14ac:dyDescent="0.25">
      <c r="H14057" t="s">
        <v>30</v>
      </c>
    </row>
    <row r="14058" spans="8:8" x14ac:dyDescent="0.25">
      <c r="H14058" t="s">
        <v>138</v>
      </c>
    </row>
    <row r="14059" spans="8:8" x14ac:dyDescent="0.25">
      <c r="H14059" t="s">
        <v>19464</v>
      </c>
    </row>
    <row r="14060" spans="8:8" x14ac:dyDescent="0.25">
      <c r="H14060" t="s">
        <v>30</v>
      </c>
    </row>
    <row r="14062" spans="8:8" x14ac:dyDescent="0.25">
      <c r="H14062" t="s">
        <v>14065</v>
      </c>
    </row>
    <row r="14063" spans="8:8" x14ac:dyDescent="0.25">
      <c r="H14063" t="s">
        <v>14066</v>
      </c>
    </row>
    <row r="14064" spans="8:8" x14ac:dyDescent="0.25">
      <c r="H14064" t="s">
        <v>135</v>
      </c>
    </row>
    <row r="14065" spans="8:8" x14ac:dyDescent="0.25">
      <c r="H14065" t="s">
        <v>19465</v>
      </c>
    </row>
    <row r="14066" spans="8:8" x14ac:dyDescent="0.25">
      <c r="H14066" t="s">
        <v>30</v>
      </c>
    </row>
    <row r="14067" spans="8:8" x14ac:dyDescent="0.25">
      <c r="H14067" t="s">
        <v>136</v>
      </c>
    </row>
    <row r="14068" spans="8:8" x14ac:dyDescent="0.25">
      <c r="H14068" t="s">
        <v>19466</v>
      </c>
    </row>
    <row r="14069" spans="8:8" x14ac:dyDescent="0.25">
      <c r="H14069" t="s">
        <v>30</v>
      </c>
    </row>
    <row r="14070" spans="8:8" x14ac:dyDescent="0.25">
      <c r="H14070" t="s">
        <v>137</v>
      </c>
    </row>
    <row r="14071" spans="8:8" x14ac:dyDescent="0.25">
      <c r="H14071" t="s">
        <v>19467</v>
      </c>
    </row>
    <row r="14072" spans="8:8" x14ac:dyDescent="0.25">
      <c r="H14072" t="s">
        <v>30</v>
      </c>
    </row>
    <row r="14073" spans="8:8" x14ac:dyDescent="0.25">
      <c r="H14073" t="s">
        <v>138</v>
      </c>
    </row>
    <row r="14074" spans="8:8" x14ac:dyDescent="0.25">
      <c r="H14074" t="s">
        <v>19468</v>
      </c>
    </row>
    <row r="14075" spans="8:8" x14ac:dyDescent="0.25">
      <c r="H14075" t="s">
        <v>30</v>
      </c>
    </row>
    <row r="14077" spans="8:8" x14ac:dyDescent="0.25">
      <c r="H14077" t="s">
        <v>14071</v>
      </c>
    </row>
    <row r="14078" spans="8:8" x14ac:dyDescent="0.25">
      <c r="H14078" t="s">
        <v>14072</v>
      </c>
    </row>
    <row r="14079" spans="8:8" x14ac:dyDescent="0.25">
      <c r="H14079" t="s">
        <v>135</v>
      </c>
    </row>
    <row r="14080" spans="8:8" x14ac:dyDescent="0.25">
      <c r="H14080" t="s">
        <v>19469</v>
      </c>
    </row>
    <row r="14081" spans="8:8" x14ac:dyDescent="0.25">
      <c r="H14081" t="s">
        <v>30</v>
      </c>
    </row>
    <row r="14082" spans="8:8" x14ac:dyDescent="0.25">
      <c r="H14082" t="s">
        <v>136</v>
      </c>
    </row>
    <row r="14083" spans="8:8" x14ac:dyDescent="0.25">
      <c r="H14083" t="s">
        <v>19470</v>
      </c>
    </row>
    <row r="14084" spans="8:8" x14ac:dyDescent="0.25">
      <c r="H14084" t="s">
        <v>30</v>
      </c>
    </row>
    <row r="14085" spans="8:8" x14ac:dyDescent="0.25">
      <c r="H14085" t="s">
        <v>137</v>
      </c>
    </row>
    <row r="14086" spans="8:8" x14ac:dyDescent="0.25">
      <c r="H14086" t="s">
        <v>19471</v>
      </c>
    </row>
    <row r="14087" spans="8:8" x14ac:dyDescent="0.25">
      <c r="H14087" t="s">
        <v>30</v>
      </c>
    </row>
    <row r="14088" spans="8:8" x14ac:dyDescent="0.25">
      <c r="H14088" t="s">
        <v>138</v>
      </c>
    </row>
    <row r="14089" spans="8:8" x14ac:dyDescent="0.25">
      <c r="H14089" t="s">
        <v>19472</v>
      </c>
    </row>
    <row r="14090" spans="8:8" x14ac:dyDescent="0.25">
      <c r="H14090" t="s">
        <v>30</v>
      </c>
    </row>
    <row r="14092" spans="8:8" x14ac:dyDescent="0.25">
      <c r="H14092" t="s">
        <v>14077</v>
      </c>
    </row>
    <row r="14093" spans="8:8" x14ac:dyDescent="0.25">
      <c r="H14093" t="s">
        <v>14078</v>
      </c>
    </row>
    <row r="14094" spans="8:8" x14ac:dyDescent="0.25">
      <c r="H14094" t="s">
        <v>135</v>
      </c>
    </row>
    <row r="14095" spans="8:8" x14ac:dyDescent="0.25">
      <c r="H14095" t="s">
        <v>19473</v>
      </c>
    </row>
    <row r="14096" spans="8:8" x14ac:dyDescent="0.25">
      <c r="H14096" t="s">
        <v>30</v>
      </c>
    </row>
    <row r="14097" spans="8:8" x14ac:dyDescent="0.25">
      <c r="H14097" t="s">
        <v>136</v>
      </c>
    </row>
    <row r="14098" spans="8:8" x14ac:dyDescent="0.25">
      <c r="H14098" t="s">
        <v>19474</v>
      </c>
    </row>
    <row r="14099" spans="8:8" x14ac:dyDescent="0.25">
      <c r="H14099" t="s">
        <v>30</v>
      </c>
    </row>
    <row r="14100" spans="8:8" x14ac:dyDescent="0.25">
      <c r="H14100" t="s">
        <v>137</v>
      </c>
    </row>
    <row r="14101" spans="8:8" x14ac:dyDescent="0.25">
      <c r="H14101" t="s">
        <v>19475</v>
      </c>
    </row>
    <row r="14102" spans="8:8" x14ac:dyDescent="0.25">
      <c r="H14102" t="s">
        <v>30</v>
      </c>
    </row>
    <row r="14103" spans="8:8" x14ac:dyDescent="0.25">
      <c r="H14103" t="s">
        <v>138</v>
      </c>
    </row>
    <row r="14104" spans="8:8" x14ac:dyDescent="0.25">
      <c r="H14104" t="s">
        <v>19476</v>
      </c>
    </row>
    <row r="14105" spans="8:8" x14ac:dyDescent="0.25">
      <c r="H14105" t="s">
        <v>30</v>
      </c>
    </row>
    <row r="14107" spans="8:8" x14ac:dyDescent="0.25">
      <c r="H14107" t="s">
        <v>14083</v>
      </c>
    </row>
    <row r="14108" spans="8:8" x14ac:dyDescent="0.25">
      <c r="H14108" t="s">
        <v>14084</v>
      </c>
    </row>
    <row r="14109" spans="8:8" x14ac:dyDescent="0.25">
      <c r="H14109" t="s">
        <v>135</v>
      </c>
    </row>
    <row r="14110" spans="8:8" x14ac:dyDescent="0.25">
      <c r="H14110" t="s">
        <v>19477</v>
      </c>
    </row>
    <row r="14111" spans="8:8" x14ac:dyDescent="0.25">
      <c r="H14111" t="s">
        <v>30</v>
      </c>
    </row>
    <row r="14112" spans="8:8" x14ac:dyDescent="0.25">
      <c r="H14112" t="s">
        <v>136</v>
      </c>
    </row>
    <row r="14113" spans="8:8" x14ac:dyDescent="0.25">
      <c r="H14113" t="s">
        <v>19478</v>
      </c>
    </row>
    <row r="14114" spans="8:8" x14ac:dyDescent="0.25">
      <c r="H14114" t="s">
        <v>30</v>
      </c>
    </row>
    <row r="14115" spans="8:8" x14ac:dyDescent="0.25">
      <c r="H14115" t="s">
        <v>137</v>
      </c>
    </row>
    <row r="14116" spans="8:8" x14ac:dyDescent="0.25">
      <c r="H14116" t="s">
        <v>19479</v>
      </c>
    </row>
    <row r="14117" spans="8:8" x14ac:dyDescent="0.25">
      <c r="H14117" t="s">
        <v>30</v>
      </c>
    </row>
    <row r="14118" spans="8:8" x14ac:dyDescent="0.25">
      <c r="H14118" t="s">
        <v>138</v>
      </c>
    </row>
    <row r="14119" spans="8:8" x14ac:dyDescent="0.25">
      <c r="H14119" t="s">
        <v>19480</v>
      </c>
    </row>
    <row r="14120" spans="8:8" x14ac:dyDescent="0.25">
      <c r="H14120" t="s">
        <v>30</v>
      </c>
    </row>
    <row r="14122" spans="8:8" x14ac:dyDescent="0.25">
      <c r="H14122" t="s">
        <v>14089</v>
      </c>
    </row>
    <row r="14123" spans="8:8" x14ac:dyDescent="0.25">
      <c r="H14123" t="s">
        <v>14090</v>
      </c>
    </row>
    <row r="14124" spans="8:8" x14ac:dyDescent="0.25">
      <c r="H14124" t="s">
        <v>135</v>
      </c>
    </row>
    <row r="14125" spans="8:8" x14ac:dyDescent="0.25">
      <c r="H14125" t="s">
        <v>19481</v>
      </c>
    </row>
    <row r="14126" spans="8:8" x14ac:dyDescent="0.25">
      <c r="H14126" t="s">
        <v>30</v>
      </c>
    </row>
    <row r="14127" spans="8:8" x14ac:dyDescent="0.25">
      <c r="H14127" t="s">
        <v>136</v>
      </c>
    </row>
    <row r="14128" spans="8:8" x14ac:dyDescent="0.25">
      <c r="H14128" t="s">
        <v>19482</v>
      </c>
    </row>
    <row r="14129" spans="8:8" x14ac:dyDescent="0.25">
      <c r="H14129" t="s">
        <v>30</v>
      </c>
    </row>
    <row r="14130" spans="8:8" x14ac:dyDescent="0.25">
      <c r="H14130" t="s">
        <v>137</v>
      </c>
    </row>
    <row r="14131" spans="8:8" x14ac:dyDescent="0.25">
      <c r="H14131" t="s">
        <v>19483</v>
      </c>
    </row>
    <row r="14132" spans="8:8" x14ac:dyDescent="0.25">
      <c r="H14132" t="s">
        <v>30</v>
      </c>
    </row>
    <row r="14133" spans="8:8" x14ac:dyDescent="0.25">
      <c r="H14133" t="s">
        <v>138</v>
      </c>
    </row>
    <row r="14134" spans="8:8" x14ac:dyDescent="0.25">
      <c r="H14134" t="s">
        <v>19484</v>
      </c>
    </row>
    <row r="14135" spans="8:8" x14ac:dyDescent="0.25">
      <c r="H14135" t="s">
        <v>30</v>
      </c>
    </row>
    <row r="14137" spans="8:8" x14ac:dyDescent="0.25">
      <c r="H14137" t="s">
        <v>14095</v>
      </c>
    </row>
    <row r="14138" spans="8:8" x14ac:dyDescent="0.25">
      <c r="H14138" t="s">
        <v>14096</v>
      </c>
    </row>
    <row r="14139" spans="8:8" x14ac:dyDescent="0.25">
      <c r="H14139" t="s">
        <v>135</v>
      </c>
    </row>
    <row r="14140" spans="8:8" x14ac:dyDescent="0.25">
      <c r="H14140" t="s">
        <v>19485</v>
      </c>
    </row>
    <row r="14141" spans="8:8" x14ac:dyDescent="0.25">
      <c r="H14141" t="s">
        <v>30</v>
      </c>
    </row>
    <row r="14142" spans="8:8" x14ac:dyDescent="0.25">
      <c r="H14142" t="s">
        <v>136</v>
      </c>
    </row>
    <row r="14143" spans="8:8" x14ac:dyDescent="0.25">
      <c r="H14143" t="s">
        <v>19486</v>
      </c>
    </row>
    <row r="14144" spans="8:8" x14ac:dyDescent="0.25">
      <c r="H14144" t="s">
        <v>30</v>
      </c>
    </row>
    <row r="14145" spans="8:8" x14ac:dyDescent="0.25">
      <c r="H14145" t="s">
        <v>137</v>
      </c>
    </row>
    <row r="14146" spans="8:8" x14ac:dyDescent="0.25">
      <c r="H14146" t="s">
        <v>19487</v>
      </c>
    </row>
    <row r="14147" spans="8:8" x14ac:dyDescent="0.25">
      <c r="H14147" t="s">
        <v>30</v>
      </c>
    </row>
    <row r="14148" spans="8:8" x14ac:dyDescent="0.25">
      <c r="H14148" t="s">
        <v>138</v>
      </c>
    </row>
    <row r="14149" spans="8:8" x14ac:dyDescent="0.25">
      <c r="H14149" t="s">
        <v>19488</v>
      </c>
    </row>
    <row r="14150" spans="8:8" x14ac:dyDescent="0.25">
      <c r="H14150" t="s">
        <v>30</v>
      </c>
    </row>
    <row r="14152" spans="8:8" x14ac:dyDescent="0.25">
      <c r="H14152" t="s">
        <v>14101</v>
      </c>
    </row>
    <row r="14153" spans="8:8" x14ac:dyDescent="0.25">
      <c r="H14153" t="s">
        <v>14102</v>
      </c>
    </row>
    <row r="14154" spans="8:8" x14ac:dyDescent="0.25">
      <c r="H14154" t="s">
        <v>135</v>
      </c>
    </row>
    <row r="14155" spans="8:8" x14ac:dyDescent="0.25">
      <c r="H14155" t="s">
        <v>19489</v>
      </c>
    </row>
    <row r="14156" spans="8:8" x14ac:dyDescent="0.25">
      <c r="H14156" t="s">
        <v>30</v>
      </c>
    </row>
    <row r="14157" spans="8:8" x14ac:dyDescent="0.25">
      <c r="H14157" t="s">
        <v>136</v>
      </c>
    </row>
    <row r="14158" spans="8:8" x14ac:dyDescent="0.25">
      <c r="H14158" t="s">
        <v>19490</v>
      </c>
    </row>
    <row r="14159" spans="8:8" x14ac:dyDescent="0.25">
      <c r="H14159" t="s">
        <v>30</v>
      </c>
    </row>
    <row r="14160" spans="8:8" x14ac:dyDescent="0.25">
      <c r="H14160" t="s">
        <v>137</v>
      </c>
    </row>
    <row r="14161" spans="8:8" x14ac:dyDescent="0.25">
      <c r="H14161" t="s">
        <v>19491</v>
      </c>
    </row>
    <row r="14162" spans="8:8" x14ac:dyDescent="0.25">
      <c r="H14162" t="s">
        <v>30</v>
      </c>
    </row>
    <row r="14163" spans="8:8" x14ac:dyDescent="0.25">
      <c r="H14163" t="s">
        <v>138</v>
      </c>
    </row>
    <row r="14164" spans="8:8" x14ac:dyDescent="0.25">
      <c r="H14164" t="s">
        <v>19492</v>
      </c>
    </row>
    <row r="14165" spans="8:8" x14ac:dyDescent="0.25">
      <c r="H14165" t="s">
        <v>30</v>
      </c>
    </row>
    <row r="14167" spans="8:8" x14ac:dyDescent="0.25">
      <c r="H14167" t="s">
        <v>14107</v>
      </c>
    </row>
    <row r="14168" spans="8:8" x14ac:dyDescent="0.25">
      <c r="H14168" t="s">
        <v>14108</v>
      </c>
    </row>
    <row r="14169" spans="8:8" x14ac:dyDescent="0.25">
      <c r="H14169" t="s">
        <v>135</v>
      </c>
    </row>
    <row r="14170" spans="8:8" x14ac:dyDescent="0.25">
      <c r="H14170" t="s">
        <v>19493</v>
      </c>
    </row>
    <row r="14171" spans="8:8" x14ac:dyDescent="0.25">
      <c r="H14171" t="s">
        <v>30</v>
      </c>
    </row>
    <row r="14172" spans="8:8" x14ac:dyDescent="0.25">
      <c r="H14172" t="s">
        <v>136</v>
      </c>
    </row>
    <row r="14173" spans="8:8" x14ac:dyDescent="0.25">
      <c r="H14173" t="s">
        <v>19494</v>
      </c>
    </row>
    <row r="14174" spans="8:8" x14ac:dyDescent="0.25">
      <c r="H14174" t="s">
        <v>30</v>
      </c>
    </row>
    <row r="14175" spans="8:8" x14ac:dyDescent="0.25">
      <c r="H14175" t="s">
        <v>137</v>
      </c>
    </row>
    <row r="14176" spans="8:8" x14ac:dyDescent="0.25">
      <c r="H14176" t="s">
        <v>19495</v>
      </c>
    </row>
    <row r="14177" spans="8:8" x14ac:dyDescent="0.25">
      <c r="H14177" t="s">
        <v>30</v>
      </c>
    </row>
    <row r="14178" spans="8:8" x14ac:dyDescent="0.25">
      <c r="H14178" t="s">
        <v>138</v>
      </c>
    </row>
    <row r="14179" spans="8:8" x14ac:dyDescent="0.25">
      <c r="H14179" t="s">
        <v>19496</v>
      </c>
    </row>
    <row r="14180" spans="8:8" x14ac:dyDescent="0.25">
      <c r="H14180" t="s">
        <v>30</v>
      </c>
    </row>
    <row r="14182" spans="8:8" x14ac:dyDescent="0.25">
      <c r="H14182" t="s">
        <v>14113</v>
      </c>
    </row>
    <row r="14183" spans="8:8" x14ac:dyDescent="0.25">
      <c r="H14183" t="s">
        <v>14114</v>
      </c>
    </row>
    <row r="14184" spans="8:8" x14ac:dyDescent="0.25">
      <c r="H14184" t="s">
        <v>135</v>
      </c>
    </row>
    <row r="14185" spans="8:8" x14ac:dyDescent="0.25">
      <c r="H14185" t="s">
        <v>19497</v>
      </c>
    </row>
    <row r="14186" spans="8:8" x14ac:dyDescent="0.25">
      <c r="H14186" t="s">
        <v>30</v>
      </c>
    </row>
    <row r="14187" spans="8:8" x14ac:dyDescent="0.25">
      <c r="H14187" t="s">
        <v>136</v>
      </c>
    </row>
    <row r="14188" spans="8:8" x14ac:dyDescent="0.25">
      <c r="H14188" t="s">
        <v>19498</v>
      </c>
    </row>
    <row r="14189" spans="8:8" x14ac:dyDescent="0.25">
      <c r="H14189" t="s">
        <v>30</v>
      </c>
    </row>
    <row r="14190" spans="8:8" x14ac:dyDescent="0.25">
      <c r="H14190" t="s">
        <v>137</v>
      </c>
    </row>
    <row r="14191" spans="8:8" x14ac:dyDescent="0.25">
      <c r="H14191" t="s">
        <v>19499</v>
      </c>
    </row>
    <row r="14192" spans="8:8" x14ac:dyDescent="0.25">
      <c r="H14192" t="s">
        <v>30</v>
      </c>
    </row>
    <row r="14193" spans="8:8" x14ac:dyDescent="0.25">
      <c r="H14193" t="s">
        <v>138</v>
      </c>
    </row>
    <row r="14194" spans="8:8" x14ac:dyDescent="0.25">
      <c r="H14194" t="s">
        <v>19500</v>
      </c>
    </row>
    <row r="14195" spans="8:8" x14ac:dyDescent="0.25">
      <c r="H14195" t="s">
        <v>30</v>
      </c>
    </row>
    <row r="14197" spans="8:8" x14ac:dyDescent="0.25">
      <c r="H14197" t="s">
        <v>14119</v>
      </c>
    </row>
    <row r="14198" spans="8:8" x14ac:dyDescent="0.25">
      <c r="H14198" t="s">
        <v>14120</v>
      </c>
    </row>
    <row r="14199" spans="8:8" x14ac:dyDescent="0.25">
      <c r="H14199" t="s">
        <v>135</v>
      </c>
    </row>
    <row r="14200" spans="8:8" x14ac:dyDescent="0.25">
      <c r="H14200" t="s">
        <v>19501</v>
      </c>
    </row>
    <row r="14201" spans="8:8" x14ac:dyDescent="0.25">
      <c r="H14201" t="s">
        <v>30</v>
      </c>
    </row>
    <row r="14202" spans="8:8" x14ac:dyDescent="0.25">
      <c r="H14202" t="s">
        <v>136</v>
      </c>
    </row>
    <row r="14203" spans="8:8" x14ac:dyDescent="0.25">
      <c r="H14203" t="s">
        <v>19502</v>
      </c>
    </row>
    <row r="14204" spans="8:8" x14ac:dyDescent="0.25">
      <c r="H14204" t="s">
        <v>30</v>
      </c>
    </row>
    <row r="14205" spans="8:8" x14ac:dyDescent="0.25">
      <c r="H14205" t="s">
        <v>137</v>
      </c>
    </row>
    <row r="14206" spans="8:8" x14ac:dyDescent="0.25">
      <c r="H14206" t="s">
        <v>19503</v>
      </c>
    </row>
    <row r="14207" spans="8:8" x14ac:dyDescent="0.25">
      <c r="H14207" t="s">
        <v>30</v>
      </c>
    </row>
    <row r="14208" spans="8:8" x14ac:dyDescent="0.25">
      <c r="H14208" t="s">
        <v>138</v>
      </c>
    </row>
    <row r="14209" spans="8:8" x14ac:dyDescent="0.25">
      <c r="H14209" t="s">
        <v>19504</v>
      </c>
    </row>
    <row r="14210" spans="8:8" x14ac:dyDescent="0.25">
      <c r="H14210" t="s">
        <v>30</v>
      </c>
    </row>
    <row r="14212" spans="8:8" x14ac:dyDescent="0.25">
      <c r="H14212" t="s">
        <v>14125</v>
      </c>
    </row>
    <row r="14213" spans="8:8" x14ac:dyDescent="0.25">
      <c r="H14213" t="s">
        <v>14126</v>
      </c>
    </row>
    <row r="14214" spans="8:8" x14ac:dyDescent="0.25">
      <c r="H14214" t="s">
        <v>135</v>
      </c>
    </row>
    <row r="14215" spans="8:8" x14ac:dyDescent="0.25">
      <c r="H14215" t="s">
        <v>19505</v>
      </c>
    </row>
    <row r="14216" spans="8:8" x14ac:dyDescent="0.25">
      <c r="H14216" t="s">
        <v>30</v>
      </c>
    </row>
    <row r="14217" spans="8:8" x14ac:dyDescent="0.25">
      <c r="H14217" t="s">
        <v>136</v>
      </c>
    </row>
    <row r="14218" spans="8:8" x14ac:dyDescent="0.25">
      <c r="H14218" t="s">
        <v>19506</v>
      </c>
    </row>
    <row r="14219" spans="8:8" x14ac:dyDescent="0.25">
      <c r="H14219" t="s">
        <v>30</v>
      </c>
    </row>
    <row r="14220" spans="8:8" x14ac:dyDescent="0.25">
      <c r="H14220" t="s">
        <v>137</v>
      </c>
    </row>
    <row r="14221" spans="8:8" x14ac:dyDescent="0.25">
      <c r="H14221" t="s">
        <v>19507</v>
      </c>
    </row>
    <row r="14222" spans="8:8" x14ac:dyDescent="0.25">
      <c r="H14222" t="s">
        <v>30</v>
      </c>
    </row>
    <row r="14223" spans="8:8" x14ac:dyDescent="0.25">
      <c r="H14223" t="s">
        <v>138</v>
      </c>
    </row>
    <row r="14224" spans="8:8" x14ac:dyDescent="0.25">
      <c r="H14224" t="s">
        <v>19508</v>
      </c>
    </row>
    <row r="14225" spans="8:8" x14ac:dyDescent="0.25">
      <c r="H14225" t="s">
        <v>30</v>
      </c>
    </row>
    <row r="14227" spans="8:8" x14ac:dyDescent="0.25">
      <c r="H14227" t="s">
        <v>14131</v>
      </c>
    </row>
    <row r="14228" spans="8:8" x14ac:dyDescent="0.25">
      <c r="H14228" t="s">
        <v>14132</v>
      </c>
    </row>
    <row r="14229" spans="8:8" x14ac:dyDescent="0.25">
      <c r="H14229" t="s">
        <v>135</v>
      </c>
    </row>
    <row r="14230" spans="8:8" x14ac:dyDescent="0.25">
      <c r="H14230" t="s">
        <v>19509</v>
      </c>
    </row>
    <row r="14231" spans="8:8" x14ac:dyDescent="0.25">
      <c r="H14231" t="s">
        <v>30</v>
      </c>
    </row>
    <row r="14232" spans="8:8" x14ac:dyDescent="0.25">
      <c r="H14232" t="s">
        <v>136</v>
      </c>
    </row>
    <row r="14233" spans="8:8" x14ac:dyDescent="0.25">
      <c r="H14233" t="s">
        <v>19510</v>
      </c>
    </row>
    <row r="14234" spans="8:8" x14ac:dyDescent="0.25">
      <c r="H14234" t="s">
        <v>30</v>
      </c>
    </row>
    <row r="14235" spans="8:8" x14ac:dyDescent="0.25">
      <c r="H14235" t="s">
        <v>137</v>
      </c>
    </row>
    <row r="14236" spans="8:8" x14ac:dyDescent="0.25">
      <c r="H14236" t="s">
        <v>19511</v>
      </c>
    </row>
    <row r="14237" spans="8:8" x14ac:dyDescent="0.25">
      <c r="H14237" t="s">
        <v>30</v>
      </c>
    </row>
    <row r="14238" spans="8:8" x14ac:dyDescent="0.25">
      <c r="H14238" t="s">
        <v>138</v>
      </c>
    </row>
    <row r="14239" spans="8:8" x14ac:dyDescent="0.25">
      <c r="H14239" t="s">
        <v>19512</v>
      </c>
    </row>
    <row r="14240" spans="8:8" x14ac:dyDescent="0.25">
      <c r="H14240" t="s">
        <v>30</v>
      </c>
    </row>
    <row r="14242" spans="8:8" x14ac:dyDescent="0.25">
      <c r="H14242" t="s">
        <v>14137</v>
      </c>
    </row>
    <row r="14243" spans="8:8" x14ac:dyDescent="0.25">
      <c r="H14243" t="s">
        <v>14138</v>
      </c>
    </row>
    <row r="14244" spans="8:8" x14ac:dyDescent="0.25">
      <c r="H14244" t="s">
        <v>135</v>
      </c>
    </row>
    <row r="14245" spans="8:8" x14ac:dyDescent="0.25">
      <c r="H14245" t="s">
        <v>19513</v>
      </c>
    </row>
    <row r="14246" spans="8:8" x14ac:dyDescent="0.25">
      <c r="H14246" t="s">
        <v>30</v>
      </c>
    </row>
    <row r="14247" spans="8:8" x14ac:dyDescent="0.25">
      <c r="H14247" t="s">
        <v>136</v>
      </c>
    </row>
    <row r="14248" spans="8:8" x14ac:dyDescent="0.25">
      <c r="H14248" t="s">
        <v>19514</v>
      </c>
    </row>
    <row r="14249" spans="8:8" x14ac:dyDescent="0.25">
      <c r="H14249" t="s">
        <v>30</v>
      </c>
    </row>
    <row r="14250" spans="8:8" x14ac:dyDescent="0.25">
      <c r="H14250" t="s">
        <v>137</v>
      </c>
    </row>
    <row r="14251" spans="8:8" x14ac:dyDescent="0.25">
      <c r="H14251" t="s">
        <v>19515</v>
      </c>
    </row>
    <row r="14252" spans="8:8" x14ac:dyDescent="0.25">
      <c r="H14252" t="s">
        <v>30</v>
      </c>
    </row>
    <row r="14253" spans="8:8" x14ac:dyDescent="0.25">
      <c r="H14253" t="s">
        <v>138</v>
      </c>
    </row>
    <row r="14254" spans="8:8" x14ac:dyDescent="0.25">
      <c r="H14254" t="s">
        <v>19516</v>
      </c>
    </row>
    <row r="14255" spans="8:8" x14ac:dyDescent="0.25">
      <c r="H14255" t="s">
        <v>30</v>
      </c>
    </row>
    <row r="14257" spans="8:8" x14ac:dyDescent="0.25">
      <c r="H14257" t="s">
        <v>14143</v>
      </c>
    </row>
    <row r="14258" spans="8:8" x14ac:dyDescent="0.25">
      <c r="H14258" t="s">
        <v>14144</v>
      </c>
    </row>
    <row r="14259" spans="8:8" x14ac:dyDescent="0.25">
      <c r="H14259" t="s">
        <v>135</v>
      </c>
    </row>
    <row r="14260" spans="8:8" x14ac:dyDescent="0.25">
      <c r="H14260" t="s">
        <v>19517</v>
      </c>
    </row>
    <row r="14261" spans="8:8" x14ac:dyDescent="0.25">
      <c r="H14261" t="s">
        <v>30</v>
      </c>
    </row>
    <row r="14262" spans="8:8" x14ac:dyDescent="0.25">
      <c r="H14262" t="s">
        <v>136</v>
      </c>
    </row>
    <row r="14263" spans="8:8" x14ac:dyDescent="0.25">
      <c r="H14263" t="s">
        <v>19518</v>
      </c>
    </row>
    <row r="14264" spans="8:8" x14ac:dyDescent="0.25">
      <c r="H14264" t="s">
        <v>30</v>
      </c>
    </row>
    <row r="14265" spans="8:8" x14ac:dyDescent="0.25">
      <c r="H14265" t="s">
        <v>137</v>
      </c>
    </row>
    <row r="14266" spans="8:8" x14ac:dyDescent="0.25">
      <c r="H14266" t="s">
        <v>19519</v>
      </c>
    </row>
    <row r="14267" spans="8:8" x14ac:dyDescent="0.25">
      <c r="H14267" t="s">
        <v>30</v>
      </c>
    </row>
    <row r="14268" spans="8:8" x14ac:dyDescent="0.25">
      <c r="H14268" t="s">
        <v>138</v>
      </c>
    </row>
    <row r="14269" spans="8:8" x14ac:dyDescent="0.25">
      <c r="H14269" t="s">
        <v>19520</v>
      </c>
    </row>
    <row r="14270" spans="8:8" x14ac:dyDescent="0.25">
      <c r="H14270" t="s">
        <v>30</v>
      </c>
    </row>
    <row r="14272" spans="8:8" x14ac:dyDescent="0.25">
      <c r="H14272" t="s">
        <v>14149</v>
      </c>
    </row>
    <row r="14273" spans="8:8" x14ac:dyDescent="0.25">
      <c r="H14273" t="s">
        <v>14150</v>
      </c>
    </row>
    <row r="14274" spans="8:8" x14ac:dyDescent="0.25">
      <c r="H14274" t="s">
        <v>135</v>
      </c>
    </row>
    <row r="14275" spans="8:8" x14ac:dyDescent="0.25">
      <c r="H14275" t="s">
        <v>19521</v>
      </c>
    </row>
    <row r="14276" spans="8:8" x14ac:dyDescent="0.25">
      <c r="H14276" t="s">
        <v>30</v>
      </c>
    </row>
    <row r="14277" spans="8:8" x14ac:dyDescent="0.25">
      <c r="H14277" t="s">
        <v>136</v>
      </c>
    </row>
    <row r="14278" spans="8:8" x14ac:dyDescent="0.25">
      <c r="H14278" t="s">
        <v>19522</v>
      </c>
    </row>
    <row r="14279" spans="8:8" x14ac:dyDescent="0.25">
      <c r="H14279" t="s">
        <v>30</v>
      </c>
    </row>
    <row r="14280" spans="8:8" x14ac:dyDescent="0.25">
      <c r="H14280" t="s">
        <v>137</v>
      </c>
    </row>
    <row r="14281" spans="8:8" x14ac:dyDescent="0.25">
      <c r="H14281" t="s">
        <v>19523</v>
      </c>
    </row>
    <row r="14282" spans="8:8" x14ac:dyDescent="0.25">
      <c r="H14282" t="s">
        <v>30</v>
      </c>
    </row>
    <row r="14283" spans="8:8" x14ac:dyDescent="0.25">
      <c r="H14283" t="s">
        <v>138</v>
      </c>
    </row>
    <row r="14284" spans="8:8" x14ac:dyDescent="0.25">
      <c r="H14284" t="s">
        <v>19524</v>
      </c>
    </row>
    <row r="14285" spans="8:8" x14ac:dyDescent="0.25">
      <c r="H14285" t="s">
        <v>30</v>
      </c>
    </row>
    <row r="14287" spans="8:8" x14ac:dyDescent="0.25">
      <c r="H14287" t="s">
        <v>14155</v>
      </c>
    </row>
    <row r="14288" spans="8:8" x14ac:dyDescent="0.25">
      <c r="H14288" t="s">
        <v>14156</v>
      </c>
    </row>
    <row r="14289" spans="8:8" x14ac:dyDescent="0.25">
      <c r="H14289" t="s">
        <v>135</v>
      </c>
    </row>
    <row r="14290" spans="8:8" x14ac:dyDescent="0.25">
      <c r="H14290" t="s">
        <v>19525</v>
      </c>
    </row>
    <row r="14291" spans="8:8" x14ac:dyDescent="0.25">
      <c r="H14291" t="s">
        <v>30</v>
      </c>
    </row>
    <row r="14292" spans="8:8" x14ac:dyDescent="0.25">
      <c r="H14292" t="s">
        <v>136</v>
      </c>
    </row>
    <row r="14293" spans="8:8" x14ac:dyDescent="0.25">
      <c r="H14293" t="s">
        <v>19526</v>
      </c>
    </row>
    <row r="14294" spans="8:8" x14ac:dyDescent="0.25">
      <c r="H14294" t="s">
        <v>30</v>
      </c>
    </row>
    <row r="14295" spans="8:8" x14ac:dyDescent="0.25">
      <c r="H14295" t="s">
        <v>137</v>
      </c>
    </row>
    <row r="14296" spans="8:8" x14ac:dyDescent="0.25">
      <c r="H14296" t="s">
        <v>19527</v>
      </c>
    </row>
    <row r="14297" spans="8:8" x14ac:dyDescent="0.25">
      <c r="H14297" t="s">
        <v>30</v>
      </c>
    </row>
    <row r="14298" spans="8:8" x14ac:dyDescent="0.25">
      <c r="H14298" t="s">
        <v>138</v>
      </c>
    </row>
    <row r="14299" spans="8:8" x14ac:dyDescent="0.25">
      <c r="H14299" t="s">
        <v>19528</v>
      </c>
    </row>
    <row r="14300" spans="8:8" x14ac:dyDescent="0.25">
      <c r="H14300" t="s">
        <v>30</v>
      </c>
    </row>
    <row r="14302" spans="8:8" x14ac:dyDescent="0.25">
      <c r="H14302" t="s">
        <v>14161</v>
      </c>
    </row>
    <row r="14303" spans="8:8" x14ac:dyDescent="0.25">
      <c r="H14303" t="s">
        <v>14162</v>
      </c>
    </row>
    <row r="14304" spans="8:8" x14ac:dyDescent="0.25">
      <c r="H14304" t="s">
        <v>135</v>
      </c>
    </row>
    <row r="14305" spans="8:8" x14ac:dyDescent="0.25">
      <c r="H14305" t="s">
        <v>19529</v>
      </c>
    </row>
    <row r="14306" spans="8:8" x14ac:dyDescent="0.25">
      <c r="H14306" t="s">
        <v>30</v>
      </c>
    </row>
    <row r="14307" spans="8:8" x14ac:dyDescent="0.25">
      <c r="H14307" t="s">
        <v>136</v>
      </c>
    </row>
    <row r="14308" spans="8:8" x14ac:dyDescent="0.25">
      <c r="H14308" t="s">
        <v>19530</v>
      </c>
    </row>
    <row r="14309" spans="8:8" x14ac:dyDescent="0.25">
      <c r="H14309" t="s">
        <v>30</v>
      </c>
    </row>
    <row r="14310" spans="8:8" x14ac:dyDescent="0.25">
      <c r="H14310" t="s">
        <v>137</v>
      </c>
    </row>
    <row r="14311" spans="8:8" x14ac:dyDescent="0.25">
      <c r="H14311" t="s">
        <v>19531</v>
      </c>
    </row>
    <row r="14312" spans="8:8" x14ac:dyDescent="0.25">
      <c r="H14312" t="s">
        <v>30</v>
      </c>
    </row>
    <row r="14313" spans="8:8" x14ac:dyDescent="0.25">
      <c r="H14313" t="s">
        <v>138</v>
      </c>
    </row>
    <row r="14314" spans="8:8" x14ac:dyDescent="0.25">
      <c r="H14314" t="s">
        <v>19532</v>
      </c>
    </row>
    <row r="14315" spans="8:8" x14ac:dyDescent="0.25">
      <c r="H14315" t="s">
        <v>30</v>
      </c>
    </row>
    <row r="14317" spans="8:8" x14ac:dyDescent="0.25">
      <c r="H14317" t="s">
        <v>14167</v>
      </c>
    </row>
    <row r="14318" spans="8:8" x14ac:dyDescent="0.25">
      <c r="H14318" t="s">
        <v>14168</v>
      </c>
    </row>
    <row r="14319" spans="8:8" x14ac:dyDescent="0.25">
      <c r="H14319" t="s">
        <v>135</v>
      </c>
    </row>
    <row r="14320" spans="8:8" x14ac:dyDescent="0.25">
      <c r="H14320" t="s">
        <v>19533</v>
      </c>
    </row>
    <row r="14321" spans="8:8" x14ac:dyDescent="0.25">
      <c r="H14321" t="s">
        <v>30</v>
      </c>
    </row>
    <row r="14322" spans="8:8" x14ac:dyDescent="0.25">
      <c r="H14322" t="s">
        <v>136</v>
      </c>
    </row>
    <row r="14323" spans="8:8" x14ac:dyDescent="0.25">
      <c r="H14323" t="s">
        <v>19534</v>
      </c>
    </row>
    <row r="14324" spans="8:8" x14ac:dyDescent="0.25">
      <c r="H14324" t="s">
        <v>30</v>
      </c>
    </row>
    <row r="14325" spans="8:8" x14ac:dyDescent="0.25">
      <c r="H14325" t="s">
        <v>137</v>
      </c>
    </row>
    <row r="14326" spans="8:8" x14ac:dyDescent="0.25">
      <c r="H14326" t="s">
        <v>19535</v>
      </c>
    </row>
    <row r="14327" spans="8:8" x14ac:dyDescent="0.25">
      <c r="H14327" t="s">
        <v>30</v>
      </c>
    </row>
    <row r="14328" spans="8:8" x14ac:dyDescent="0.25">
      <c r="H14328" t="s">
        <v>138</v>
      </c>
    </row>
    <row r="14329" spans="8:8" x14ac:dyDescent="0.25">
      <c r="H14329" t="s">
        <v>19536</v>
      </c>
    </row>
    <row r="14330" spans="8:8" x14ac:dyDescent="0.25">
      <c r="H14330" t="s">
        <v>30</v>
      </c>
    </row>
    <row r="14332" spans="8:8" x14ac:dyDescent="0.25">
      <c r="H14332" t="s">
        <v>14173</v>
      </c>
    </row>
    <row r="14333" spans="8:8" x14ac:dyDescent="0.25">
      <c r="H14333" t="s">
        <v>14174</v>
      </c>
    </row>
    <row r="14334" spans="8:8" x14ac:dyDescent="0.25">
      <c r="H14334" t="s">
        <v>135</v>
      </c>
    </row>
    <row r="14335" spans="8:8" x14ac:dyDescent="0.25">
      <c r="H14335" t="s">
        <v>19537</v>
      </c>
    </row>
    <row r="14336" spans="8:8" x14ac:dyDescent="0.25">
      <c r="H14336" t="s">
        <v>30</v>
      </c>
    </row>
    <row r="14337" spans="8:8" x14ac:dyDescent="0.25">
      <c r="H14337" t="s">
        <v>136</v>
      </c>
    </row>
    <row r="14338" spans="8:8" x14ac:dyDescent="0.25">
      <c r="H14338" t="s">
        <v>19538</v>
      </c>
    </row>
    <row r="14339" spans="8:8" x14ac:dyDescent="0.25">
      <c r="H14339" t="s">
        <v>30</v>
      </c>
    </row>
    <row r="14340" spans="8:8" x14ac:dyDescent="0.25">
      <c r="H14340" t="s">
        <v>137</v>
      </c>
    </row>
    <row r="14341" spans="8:8" x14ac:dyDescent="0.25">
      <c r="H14341" t="s">
        <v>19539</v>
      </c>
    </row>
    <row r="14342" spans="8:8" x14ac:dyDescent="0.25">
      <c r="H14342" t="s">
        <v>30</v>
      </c>
    </row>
    <row r="14343" spans="8:8" x14ac:dyDescent="0.25">
      <c r="H14343" t="s">
        <v>138</v>
      </c>
    </row>
    <row r="14344" spans="8:8" x14ac:dyDescent="0.25">
      <c r="H14344" t="s">
        <v>19540</v>
      </c>
    </row>
    <row r="14345" spans="8:8" x14ac:dyDescent="0.25">
      <c r="H14345" t="s">
        <v>30</v>
      </c>
    </row>
    <row r="14347" spans="8:8" x14ac:dyDescent="0.25">
      <c r="H14347" t="s">
        <v>14179</v>
      </c>
    </row>
    <row r="14348" spans="8:8" x14ac:dyDescent="0.25">
      <c r="H14348" t="s">
        <v>14180</v>
      </c>
    </row>
    <row r="14349" spans="8:8" x14ac:dyDescent="0.25">
      <c r="H14349" t="s">
        <v>135</v>
      </c>
    </row>
    <row r="14350" spans="8:8" x14ac:dyDescent="0.25">
      <c r="H14350" t="s">
        <v>19541</v>
      </c>
    </row>
    <row r="14351" spans="8:8" x14ac:dyDescent="0.25">
      <c r="H14351" t="s">
        <v>30</v>
      </c>
    </row>
    <row r="14352" spans="8:8" x14ac:dyDescent="0.25">
      <c r="H14352" t="s">
        <v>136</v>
      </c>
    </row>
    <row r="14353" spans="8:8" x14ac:dyDescent="0.25">
      <c r="H14353" t="s">
        <v>19542</v>
      </c>
    </row>
    <row r="14354" spans="8:8" x14ac:dyDescent="0.25">
      <c r="H14354" t="s">
        <v>30</v>
      </c>
    </row>
    <row r="14355" spans="8:8" x14ac:dyDescent="0.25">
      <c r="H14355" t="s">
        <v>137</v>
      </c>
    </row>
    <row r="14356" spans="8:8" x14ac:dyDescent="0.25">
      <c r="H14356" t="s">
        <v>19543</v>
      </c>
    </row>
    <row r="14357" spans="8:8" x14ac:dyDescent="0.25">
      <c r="H14357" t="s">
        <v>30</v>
      </c>
    </row>
    <row r="14358" spans="8:8" x14ac:dyDescent="0.25">
      <c r="H14358" t="s">
        <v>138</v>
      </c>
    </row>
    <row r="14359" spans="8:8" x14ac:dyDescent="0.25">
      <c r="H14359" t="s">
        <v>19544</v>
      </c>
    </row>
    <row r="14360" spans="8:8" x14ac:dyDescent="0.25">
      <c r="H14360" t="s">
        <v>30</v>
      </c>
    </row>
    <row r="14362" spans="8:8" x14ac:dyDescent="0.25">
      <c r="H14362" t="s">
        <v>14185</v>
      </c>
    </row>
    <row r="14363" spans="8:8" x14ac:dyDescent="0.25">
      <c r="H14363" t="s">
        <v>14186</v>
      </c>
    </row>
    <row r="14364" spans="8:8" x14ac:dyDescent="0.25">
      <c r="H14364" t="s">
        <v>135</v>
      </c>
    </row>
    <row r="14365" spans="8:8" x14ac:dyDescent="0.25">
      <c r="H14365" t="s">
        <v>19545</v>
      </c>
    </row>
    <row r="14366" spans="8:8" x14ac:dyDescent="0.25">
      <c r="H14366" t="s">
        <v>30</v>
      </c>
    </row>
    <row r="14367" spans="8:8" x14ac:dyDescent="0.25">
      <c r="H14367" t="s">
        <v>136</v>
      </c>
    </row>
    <row r="14368" spans="8:8" x14ac:dyDescent="0.25">
      <c r="H14368" t="s">
        <v>19546</v>
      </c>
    </row>
    <row r="14369" spans="8:8" x14ac:dyDescent="0.25">
      <c r="H14369" t="s">
        <v>30</v>
      </c>
    </row>
    <row r="14370" spans="8:8" x14ac:dyDescent="0.25">
      <c r="H14370" t="s">
        <v>137</v>
      </c>
    </row>
    <row r="14371" spans="8:8" x14ac:dyDescent="0.25">
      <c r="H14371" t="s">
        <v>19547</v>
      </c>
    </row>
    <row r="14372" spans="8:8" x14ac:dyDescent="0.25">
      <c r="H14372" t="s">
        <v>30</v>
      </c>
    </row>
    <row r="14373" spans="8:8" x14ac:dyDescent="0.25">
      <c r="H14373" t="s">
        <v>138</v>
      </c>
    </row>
    <row r="14374" spans="8:8" x14ac:dyDescent="0.25">
      <c r="H14374" t="s">
        <v>19548</v>
      </c>
    </row>
    <row r="14375" spans="8:8" x14ac:dyDescent="0.25">
      <c r="H14375" t="s">
        <v>30</v>
      </c>
    </row>
    <row r="14377" spans="8:8" x14ac:dyDescent="0.25">
      <c r="H14377" t="s">
        <v>14191</v>
      </c>
    </row>
    <row r="14378" spans="8:8" x14ac:dyDescent="0.25">
      <c r="H14378" t="s">
        <v>14192</v>
      </c>
    </row>
    <row r="14379" spans="8:8" x14ac:dyDescent="0.25">
      <c r="H14379" t="s">
        <v>135</v>
      </c>
    </row>
    <row r="14380" spans="8:8" x14ac:dyDescent="0.25">
      <c r="H14380" t="s">
        <v>19549</v>
      </c>
    </row>
    <row r="14381" spans="8:8" x14ac:dyDescent="0.25">
      <c r="H14381" t="s">
        <v>30</v>
      </c>
    </row>
    <row r="14382" spans="8:8" x14ac:dyDescent="0.25">
      <c r="H14382" t="s">
        <v>136</v>
      </c>
    </row>
    <row r="14383" spans="8:8" x14ac:dyDescent="0.25">
      <c r="H14383" t="s">
        <v>19550</v>
      </c>
    </row>
    <row r="14384" spans="8:8" x14ac:dyDescent="0.25">
      <c r="H14384" t="s">
        <v>30</v>
      </c>
    </row>
    <row r="14385" spans="8:8" x14ac:dyDescent="0.25">
      <c r="H14385" t="s">
        <v>137</v>
      </c>
    </row>
    <row r="14386" spans="8:8" x14ac:dyDescent="0.25">
      <c r="H14386" t="s">
        <v>19551</v>
      </c>
    </row>
    <row r="14387" spans="8:8" x14ac:dyDescent="0.25">
      <c r="H14387" t="s">
        <v>30</v>
      </c>
    </row>
    <row r="14388" spans="8:8" x14ac:dyDescent="0.25">
      <c r="H14388" t="s">
        <v>138</v>
      </c>
    </row>
    <row r="14389" spans="8:8" x14ac:dyDescent="0.25">
      <c r="H14389" t="s">
        <v>19552</v>
      </c>
    </row>
    <row r="14390" spans="8:8" x14ac:dyDescent="0.25">
      <c r="H14390" t="s">
        <v>30</v>
      </c>
    </row>
    <row r="14392" spans="8:8" x14ac:dyDescent="0.25">
      <c r="H14392" t="s">
        <v>14197</v>
      </c>
    </row>
    <row r="14393" spans="8:8" x14ac:dyDescent="0.25">
      <c r="H14393" t="s">
        <v>14198</v>
      </c>
    </row>
    <row r="14394" spans="8:8" x14ac:dyDescent="0.25">
      <c r="H14394" t="s">
        <v>135</v>
      </c>
    </row>
    <row r="14395" spans="8:8" x14ac:dyDescent="0.25">
      <c r="H14395" t="s">
        <v>19553</v>
      </c>
    </row>
    <row r="14396" spans="8:8" x14ac:dyDescent="0.25">
      <c r="H14396" t="s">
        <v>30</v>
      </c>
    </row>
    <row r="14397" spans="8:8" x14ac:dyDescent="0.25">
      <c r="H14397" t="s">
        <v>136</v>
      </c>
    </row>
    <row r="14398" spans="8:8" x14ac:dyDescent="0.25">
      <c r="H14398" t="s">
        <v>19554</v>
      </c>
    </row>
    <row r="14399" spans="8:8" x14ac:dyDescent="0.25">
      <c r="H14399" t="s">
        <v>30</v>
      </c>
    </row>
    <row r="14400" spans="8:8" x14ac:dyDescent="0.25">
      <c r="H14400" t="s">
        <v>137</v>
      </c>
    </row>
    <row r="14401" spans="8:8" x14ac:dyDescent="0.25">
      <c r="H14401" t="s">
        <v>19555</v>
      </c>
    </row>
    <row r="14402" spans="8:8" x14ac:dyDescent="0.25">
      <c r="H14402" t="s">
        <v>30</v>
      </c>
    </row>
    <row r="14403" spans="8:8" x14ac:dyDescent="0.25">
      <c r="H14403" t="s">
        <v>138</v>
      </c>
    </row>
    <row r="14404" spans="8:8" x14ac:dyDescent="0.25">
      <c r="H14404" t="s">
        <v>19556</v>
      </c>
    </row>
    <row r="14405" spans="8:8" x14ac:dyDescent="0.25">
      <c r="H14405" t="s">
        <v>30</v>
      </c>
    </row>
    <row r="14407" spans="8:8" x14ac:dyDescent="0.25">
      <c r="H14407" t="s">
        <v>14203</v>
      </c>
    </row>
    <row r="14408" spans="8:8" x14ac:dyDescent="0.25">
      <c r="H14408" t="s">
        <v>14204</v>
      </c>
    </row>
    <row r="14409" spans="8:8" x14ac:dyDescent="0.25">
      <c r="H14409" t="s">
        <v>135</v>
      </c>
    </row>
    <row r="14410" spans="8:8" x14ac:dyDescent="0.25">
      <c r="H14410" t="s">
        <v>19557</v>
      </c>
    </row>
    <row r="14411" spans="8:8" x14ac:dyDescent="0.25">
      <c r="H14411" t="s">
        <v>30</v>
      </c>
    </row>
    <row r="14412" spans="8:8" x14ac:dyDescent="0.25">
      <c r="H14412" t="s">
        <v>136</v>
      </c>
    </row>
    <row r="14413" spans="8:8" x14ac:dyDescent="0.25">
      <c r="H14413" t="s">
        <v>19558</v>
      </c>
    </row>
    <row r="14414" spans="8:8" x14ac:dyDescent="0.25">
      <c r="H14414" t="s">
        <v>30</v>
      </c>
    </row>
    <row r="14415" spans="8:8" x14ac:dyDescent="0.25">
      <c r="H14415" t="s">
        <v>137</v>
      </c>
    </row>
    <row r="14416" spans="8:8" x14ac:dyDescent="0.25">
      <c r="H14416" t="s">
        <v>19559</v>
      </c>
    </row>
    <row r="14417" spans="8:8" x14ac:dyDescent="0.25">
      <c r="H14417" t="s">
        <v>30</v>
      </c>
    </row>
    <row r="14418" spans="8:8" x14ac:dyDescent="0.25">
      <c r="H14418" t="s">
        <v>138</v>
      </c>
    </row>
    <row r="14419" spans="8:8" x14ac:dyDescent="0.25">
      <c r="H14419" t="s">
        <v>19560</v>
      </c>
    </row>
    <row r="14420" spans="8:8" x14ac:dyDescent="0.25">
      <c r="H14420" t="s">
        <v>30</v>
      </c>
    </row>
    <row r="14422" spans="8:8" x14ac:dyDescent="0.25">
      <c r="H14422" t="s">
        <v>14209</v>
      </c>
    </row>
    <row r="14423" spans="8:8" x14ac:dyDescent="0.25">
      <c r="H14423" t="s">
        <v>14210</v>
      </c>
    </row>
    <row r="14424" spans="8:8" x14ac:dyDescent="0.25">
      <c r="H14424" t="s">
        <v>135</v>
      </c>
    </row>
    <row r="14425" spans="8:8" x14ac:dyDescent="0.25">
      <c r="H14425" t="s">
        <v>19561</v>
      </c>
    </row>
    <row r="14426" spans="8:8" x14ac:dyDescent="0.25">
      <c r="H14426" t="s">
        <v>30</v>
      </c>
    </row>
    <row r="14427" spans="8:8" x14ac:dyDescent="0.25">
      <c r="H14427" t="s">
        <v>136</v>
      </c>
    </row>
    <row r="14428" spans="8:8" x14ac:dyDescent="0.25">
      <c r="H14428" t="s">
        <v>19562</v>
      </c>
    </row>
    <row r="14429" spans="8:8" x14ac:dyDescent="0.25">
      <c r="H14429" t="s">
        <v>30</v>
      </c>
    </row>
    <row r="14430" spans="8:8" x14ac:dyDescent="0.25">
      <c r="H14430" t="s">
        <v>137</v>
      </c>
    </row>
    <row r="14431" spans="8:8" x14ac:dyDescent="0.25">
      <c r="H14431" t="s">
        <v>19563</v>
      </c>
    </row>
    <row r="14432" spans="8:8" x14ac:dyDescent="0.25">
      <c r="H14432" t="s">
        <v>30</v>
      </c>
    </row>
    <row r="14433" spans="8:8" x14ac:dyDescent="0.25">
      <c r="H14433" t="s">
        <v>138</v>
      </c>
    </row>
    <row r="14434" spans="8:8" x14ac:dyDescent="0.25">
      <c r="H14434" t="s">
        <v>19564</v>
      </c>
    </row>
    <row r="14435" spans="8:8" x14ac:dyDescent="0.25">
      <c r="H14435" t="s">
        <v>30</v>
      </c>
    </row>
    <row r="14437" spans="8:8" x14ac:dyDescent="0.25">
      <c r="H14437" t="s">
        <v>14215</v>
      </c>
    </row>
    <row r="14438" spans="8:8" x14ac:dyDescent="0.25">
      <c r="H14438" t="s">
        <v>14216</v>
      </c>
    </row>
    <row r="14439" spans="8:8" x14ac:dyDescent="0.25">
      <c r="H14439" t="s">
        <v>135</v>
      </c>
    </row>
    <row r="14440" spans="8:8" x14ac:dyDescent="0.25">
      <c r="H14440" t="s">
        <v>19565</v>
      </c>
    </row>
    <row r="14441" spans="8:8" x14ac:dyDescent="0.25">
      <c r="H14441" t="s">
        <v>30</v>
      </c>
    </row>
    <row r="14442" spans="8:8" x14ac:dyDescent="0.25">
      <c r="H14442" t="s">
        <v>136</v>
      </c>
    </row>
    <row r="14443" spans="8:8" x14ac:dyDescent="0.25">
      <c r="H14443" t="s">
        <v>19566</v>
      </c>
    </row>
    <row r="14444" spans="8:8" x14ac:dyDescent="0.25">
      <c r="H14444" t="s">
        <v>30</v>
      </c>
    </row>
    <row r="14445" spans="8:8" x14ac:dyDescent="0.25">
      <c r="H14445" t="s">
        <v>137</v>
      </c>
    </row>
    <row r="14446" spans="8:8" x14ac:dyDescent="0.25">
      <c r="H14446" t="s">
        <v>19567</v>
      </c>
    </row>
    <row r="14447" spans="8:8" x14ac:dyDescent="0.25">
      <c r="H14447" t="s">
        <v>30</v>
      </c>
    </row>
    <row r="14448" spans="8:8" x14ac:dyDescent="0.25">
      <c r="H14448" t="s">
        <v>138</v>
      </c>
    </row>
    <row r="14449" spans="8:8" x14ac:dyDescent="0.25">
      <c r="H14449" t="s">
        <v>19568</v>
      </c>
    </row>
    <row r="14450" spans="8:8" x14ac:dyDescent="0.25">
      <c r="H14450" t="s">
        <v>30</v>
      </c>
    </row>
    <row r="14452" spans="8:8" x14ac:dyDescent="0.25">
      <c r="H14452" t="s">
        <v>14221</v>
      </c>
    </row>
    <row r="14453" spans="8:8" x14ac:dyDescent="0.25">
      <c r="H14453" t="s">
        <v>14222</v>
      </c>
    </row>
    <row r="14454" spans="8:8" x14ac:dyDescent="0.25">
      <c r="H14454" t="s">
        <v>135</v>
      </c>
    </row>
    <row r="14455" spans="8:8" x14ac:dyDescent="0.25">
      <c r="H14455" t="s">
        <v>19569</v>
      </c>
    </row>
    <row r="14456" spans="8:8" x14ac:dyDescent="0.25">
      <c r="H14456" t="s">
        <v>30</v>
      </c>
    </row>
    <row r="14457" spans="8:8" x14ac:dyDescent="0.25">
      <c r="H14457" t="s">
        <v>136</v>
      </c>
    </row>
    <row r="14458" spans="8:8" x14ac:dyDescent="0.25">
      <c r="H14458" t="s">
        <v>19570</v>
      </c>
    </row>
    <row r="14459" spans="8:8" x14ac:dyDescent="0.25">
      <c r="H14459" t="s">
        <v>30</v>
      </c>
    </row>
    <row r="14460" spans="8:8" x14ac:dyDescent="0.25">
      <c r="H14460" t="s">
        <v>137</v>
      </c>
    </row>
    <row r="14461" spans="8:8" x14ac:dyDescent="0.25">
      <c r="H14461" t="s">
        <v>19571</v>
      </c>
    </row>
    <row r="14462" spans="8:8" x14ac:dyDescent="0.25">
      <c r="H14462" t="s">
        <v>30</v>
      </c>
    </row>
    <row r="14463" spans="8:8" x14ac:dyDescent="0.25">
      <c r="H14463" t="s">
        <v>138</v>
      </c>
    </row>
    <row r="14464" spans="8:8" x14ac:dyDescent="0.25">
      <c r="H14464" t="s">
        <v>19572</v>
      </c>
    </row>
    <row r="14465" spans="8:8" x14ac:dyDescent="0.25">
      <c r="H14465" t="s">
        <v>30</v>
      </c>
    </row>
    <row r="14467" spans="8:8" x14ac:dyDescent="0.25">
      <c r="H14467" t="s">
        <v>14227</v>
      </c>
    </row>
    <row r="14468" spans="8:8" x14ac:dyDescent="0.25">
      <c r="H14468" t="s">
        <v>14228</v>
      </c>
    </row>
    <row r="14469" spans="8:8" x14ac:dyDescent="0.25">
      <c r="H14469" t="s">
        <v>135</v>
      </c>
    </row>
    <row r="14470" spans="8:8" x14ac:dyDescent="0.25">
      <c r="H14470" t="s">
        <v>19573</v>
      </c>
    </row>
    <row r="14471" spans="8:8" x14ac:dyDescent="0.25">
      <c r="H14471" t="s">
        <v>30</v>
      </c>
    </row>
    <row r="14472" spans="8:8" x14ac:dyDescent="0.25">
      <c r="H14472" t="s">
        <v>136</v>
      </c>
    </row>
    <row r="14473" spans="8:8" x14ac:dyDescent="0.25">
      <c r="H14473" t="s">
        <v>19574</v>
      </c>
    </row>
    <row r="14474" spans="8:8" x14ac:dyDescent="0.25">
      <c r="H14474" t="s">
        <v>30</v>
      </c>
    </row>
    <row r="14475" spans="8:8" x14ac:dyDescent="0.25">
      <c r="H14475" t="s">
        <v>137</v>
      </c>
    </row>
    <row r="14476" spans="8:8" x14ac:dyDescent="0.25">
      <c r="H14476" t="s">
        <v>19575</v>
      </c>
    </row>
    <row r="14477" spans="8:8" x14ac:dyDescent="0.25">
      <c r="H14477" t="s">
        <v>30</v>
      </c>
    </row>
    <row r="14478" spans="8:8" x14ac:dyDescent="0.25">
      <c r="H14478" t="s">
        <v>138</v>
      </c>
    </row>
    <row r="14479" spans="8:8" x14ac:dyDescent="0.25">
      <c r="H14479" t="s">
        <v>19576</v>
      </c>
    </row>
    <row r="14480" spans="8:8" x14ac:dyDescent="0.25">
      <c r="H14480" t="s">
        <v>30</v>
      </c>
    </row>
    <row r="14482" spans="8:8" x14ac:dyDescent="0.25">
      <c r="H14482" t="s">
        <v>14233</v>
      </c>
    </row>
    <row r="14483" spans="8:8" x14ac:dyDescent="0.25">
      <c r="H14483" t="s">
        <v>14234</v>
      </c>
    </row>
    <row r="14484" spans="8:8" x14ac:dyDescent="0.25">
      <c r="H14484" t="s">
        <v>135</v>
      </c>
    </row>
    <row r="14485" spans="8:8" x14ac:dyDescent="0.25">
      <c r="H14485" t="s">
        <v>19577</v>
      </c>
    </row>
    <row r="14486" spans="8:8" x14ac:dyDescent="0.25">
      <c r="H14486" t="s">
        <v>30</v>
      </c>
    </row>
    <row r="14487" spans="8:8" x14ac:dyDescent="0.25">
      <c r="H14487" t="s">
        <v>136</v>
      </c>
    </row>
    <row r="14488" spans="8:8" x14ac:dyDescent="0.25">
      <c r="H14488" t="s">
        <v>19578</v>
      </c>
    </row>
    <row r="14489" spans="8:8" x14ac:dyDescent="0.25">
      <c r="H14489" t="s">
        <v>30</v>
      </c>
    </row>
    <row r="14490" spans="8:8" x14ac:dyDescent="0.25">
      <c r="H14490" t="s">
        <v>137</v>
      </c>
    </row>
    <row r="14491" spans="8:8" x14ac:dyDescent="0.25">
      <c r="H14491" t="s">
        <v>19579</v>
      </c>
    </row>
    <row r="14492" spans="8:8" x14ac:dyDescent="0.25">
      <c r="H14492" t="s">
        <v>30</v>
      </c>
    </row>
    <row r="14493" spans="8:8" x14ac:dyDescent="0.25">
      <c r="H14493" t="s">
        <v>138</v>
      </c>
    </row>
    <row r="14494" spans="8:8" x14ac:dyDescent="0.25">
      <c r="H14494" t="s">
        <v>19580</v>
      </c>
    </row>
    <row r="14495" spans="8:8" x14ac:dyDescent="0.25">
      <c r="H14495" t="s">
        <v>30</v>
      </c>
    </row>
    <row r="14497" spans="8:8" x14ac:dyDescent="0.25">
      <c r="H14497" t="s">
        <v>14239</v>
      </c>
    </row>
    <row r="14498" spans="8:8" x14ac:dyDescent="0.25">
      <c r="H14498" t="s">
        <v>14240</v>
      </c>
    </row>
    <row r="14499" spans="8:8" x14ac:dyDescent="0.25">
      <c r="H14499" t="s">
        <v>135</v>
      </c>
    </row>
    <row r="14500" spans="8:8" x14ac:dyDescent="0.25">
      <c r="H14500" t="s">
        <v>19581</v>
      </c>
    </row>
    <row r="14501" spans="8:8" x14ac:dyDescent="0.25">
      <c r="H14501" t="s">
        <v>30</v>
      </c>
    </row>
    <row r="14502" spans="8:8" x14ac:dyDescent="0.25">
      <c r="H14502" t="s">
        <v>136</v>
      </c>
    </row>
    <row r="14503" spans="8:8" x14ac:dyDescent="0.25">
      <c r="H14503" t="s">
        <v>19582</v>
      </c>
    </row>
    <row r="14504" spans="8:8" x14ac:dyDescent="0.25">
      <c r="H14504" t="s">
        <v>30</v>
      </c>
    </row>
    <row r="14505" spans="8:8" x14ac:dyDescent="0.25">
      <c r="H14505" t="s">
        <v>137</v>
      </c>
    </row>
    <row r="14506" spans="8:8" x14ac:dyDescent="0.25">
      <c r="H14506" t="s">
        <v>19583</v>
      </c>
    </row>
    <row r="14507" spans="8:8" x14ac:dyDescent="0.25">
      <c r="H14507" t="s">
        <v>30</v>
      </c>
    </row>
    <row r="14508" spans="8:8" x14ac:dyDescent="0.25">
      <c r="H14508" t="s">
        <v>138</v>
      </c>
    </row>
    <row r="14509" spans="8:8" x14ac:dyDescent="0.25">
      <c r="H14509" t="s">
        <v>19584</v>
      </c>
    </row>
    <row r="14510" spans="8:8" x14ac:dyDescent="0.25">
      <c r="H14510" t="s">
        <v>30</v>
      </c>
    </row>
    <row r="14512" spans="8:8" x14ac:dyDescent="0.25">
      <c r="H14512" t="s">
        <v>14245</v>
      </c>
    </row>
    <row r="14513" spans="8:8" x14ac:dyDescent="0.25">
      <c r="H14513" t="s">
        <v>14246</v>
      </c>
    </row>
    <row r="14514" spans="8:8" x14ac:dyDescent="0.25">
      <c r="H14514" t="s">
        <v>135</v>
      </c>
    </row>
    <row r="14515" spans="8:8" x14ac:dyDescent="0.25">
      <c r="H14515" t="s">
        <v>19585</v>
      </c>
    </row>
    <row r="14516" spans="8:8" x14ac:dyDescent="0.25">
      <c r="H14516" t="s">
        <v>30</v>
      </c>
    </row>
    <row r="14517" spans="8:8" x14ac:dyDescent="0.25">
      <c r="H14517" t="s">
        <v>136</v>
      </c>
    </row>
    <row r="14518" spans="8:8" x14ac:dyDescent="0.25">
      <c r="H14518" t="s">
        <v>19586</v>
      </c>
    </row>
    <row r="14519" spans="8:8" x14ac:dyDescent="0.25">
      <c r="H14519" t="s">
        <v>30</v>
      </c>
    </row>
    <row r="14520" spans="8:8" x14ac:dyDescent="0.25">
      <c r="H14520" t="s">
        <v>137</v>
      </c>
    </row>
    <row r="14521" spans="8:8" x14ac:dyDescent="0.25">
      <c r="H14521" t="s">
        <v>19587</v>
      </c>
    </row>
    <row r="14522" spans="8:8" x14ac:dyDescent="0.25">
      <c r="H14522" t="s">
        <v>30</v>
      </c>
    </row>
    <row r="14523" spans="8:8" x14ac:dyDescent="0.25">
      <c r="H14523" t="s">
        <v>138</v>
      </c>
    </row>
    <row r="14524" spans="8:8" x14ac:dyDescent="0.25">
      <c r="H14524" t="s">
        <v>19588</v>
      </c>
    </row>
    <row r="14525" spans="8:8" x14ac:dyDescent="0.25">
      <c r="H14525" t="s">
        <v>30</v>
      </c>
    </row>
    <row r="14527" spans="8:8" x14ac:dyDescent="0.25">
      <c r="H14527" t="s">
        <v>14251</v>
      </c>
    </row>
    <row r="14528" spans="8:8" x14ac:dyDescent="0.25">
      <c r="H14528" t="s">
        <v>14252</v>
      </c>
    </row>
    <row r="14529" spans="8:8" x14ac:dyDescent="0.25">
      <c r="H14529" t="s">
        <v>135</v>
      </c>
    </row>
    <row r="14530" spans="8:8" x14ac:dyDescent="0.25">
      <c r="H14530" t="s">
        <v>19589</v>
      </c>
    </row>
    <row r="14531" spans="8:8" x14ac:dyDescent="0.25">
      <c r="H14531" t="s">
        <v>30</v>
      </c>
    </row>
    <row r="14532" spans="8:8" x14ac:dyDescent="0.25">
      <c r="H14532" t="s">
        <v>136</v>
      </c>
    </row>
    <row r="14533" spans="8:8" x14ac:dyDescent="0.25">
      <c r="H14533" t="s">
        <v>19590</v>
      </c>
    </row>
    <row r="14534" spans="8:8" x14ac:dyDescent="0.25">
      <c r="H14534" t="s">
        <v>30</v>
      </c>
    </row>
    <row r="14535" spans="8:8" x14ac:dyDescent="0.25">
      <c r="H14535" t="s">
        <v>137</v>
      </c>
    </row>
    <row r="14536" spans="8:8" x14ac:dyDescent="0.25">
      <c r="H14536" t="s">
        <v>19591</v>
      </c>
    </row>
    <row r="14537" spans="8:8" x14ac:dyDescent="0.25">
      <c r="H14537" t="s">
        <v>30</v>
      </c>
    </row>
    <row r="14538" spans="8:8" x14ac:dyDescent="0.25">
      <c r="H14538" t="s">
        <v>138</v>
      </c>
    </row>
    <row r="14539" spans="8:8" x14ac:dyDescent="0.25">
      <c r="H14539" t="s">
        <v>19592</v>
      </c>
    </row>
    <row r="14540" spans="8:8" x14ac:dyDescent="0.25">
      <c r="H14540" t="s">
        <v>30</v>
      </c>
    </row>
    <row r="14542" spans="8:8" x14ac:dyDescent="0.25">
      <c r="H14542" t="s">
        <v>14257</v>
      </c>
    </row>
    <row r="14543" spans="8:8" x14ac:dyDescent="0.25">
      <c r="H14543" t="s">
        <v>14258</v>
      </c>
    </row>
    <row r="14544" spans="8:8" x14ac:dyDescent="0.25">
      <c r="H14544" t="s">
        <v>135</v>
      </c>
    </row>
    <row r="14545" spans="8:8" x14ac:dyDescent="0.25">
      <c r="H14545" t="s">
        <v>19593</v>
      </c>
    </row>
    <row r="14546" spans="8:8" x14ac:dyDescent="0.25">
      <c r="H14546" t="s">
        <v>30</v>
      </c>
    </row>
    <row r="14547" spans="8:8" x14ac:dyDescent="0.25">
      <c r="H14547" t="s">
        <v>136</v>
      </c>
    </row>
    <row r="14548" spans="8:8" x14ac:dyDescent="0.25">
      <c r="H14548" t="s">
        <v>19594</v>
      </c>
    </row>
    <row r="14549" spans="8:8" x14ac:dyDescent="0.25">
      <c r="H14549" t="s">
        <v>30</v>
      </c>
    </row>
    <row r="14550" spans="8:8" x14ac:dyDescent="0.25">
      <c r="H14550" t="s">
        <v>137</v>
      </c>
    </row>
    <row r="14551" spans="8:8" x14ac:dyDescent="0.25">
      <c r="H14551" t="s">
        <v>19595</v>
      </c>
    </row>
    <row r="14552" spans="8:8" x14ac:dyDescent="0.25">
      <c r="H14552" t="s">
        <v>30</v>
      </c>
    </row>
    <row r="14553" spans="8:8" x14ac:dyDescent="0.25">
      <c r="H14553" t="s">
        <v>138</v>
      </c>
    </row>
    <row r="14554" spans="8:8" x14ac:dyDescent="0.25">
      <c r="H14554" t="s">
        <v>19596</v>
      </c>
    </row>
    <row r="14555" spans="8:8" x14ac:dyDescent="0.25">
      <c r="H14555" t="s">
        <v>30</v>
      </c>
    </row>
    <row r="14557" spans="8:8" x14ac:dyDescent="0.25">
      <c r="H14557" t="s">
        <v>14263</v>
      </c>
    </row>
    <row r="14558" spans="8:8" x14ac:dyDescent="0.25">
      <c r="H14558" t="s">
        <v>14264</v>
      </c>
    </row>
    <row r="14559" spans="8:8" x14ac:dyDescent="0.25">
      <c r="H14559" t="s">
        <v>135</v>
      </c>
    </row>
    <row r="14560" spans="8:8" x14ac:dyDescent="0.25">
      <c r="H14560" t="s">
        <v>19597</v>
      </c>
    </row>
    <row r="14561" spans="8:8" x14ac:dyDescent="0.25">
      <c r="H14561" t="s">
        <v>30</v>
      </c>
    </row>
    <row r="14562" spans="8:8" x14ac:dyDescent="0.25">
      <c r="H14562" t="s">
        <v>136</v>
      </c>
    </row>
    <row r="14563" spans="8:8" x14ac:dyDescent="0.25">
      <c r="H14563" t="s">
        <v>19598</v>
      </c>
    </row>
    <row r="14564" spans="8:8" x14ac:dyDescent="0.25">
      <c r="H14564" t="s">
        <v>30</v>
      </c>
    </row>
    <row r="14565" spans="8:8" x14ac:dyDescent="0.25">
      <c r="H14565" t="s">
        <v>137</v>
      </c>
    </row>
    <row r="14566" spans="8:8" x14ac:dyDescent="0.25">
      <c r="H14566" t="s">
        <v>19599</v>
      </c>
    </row>
    <row r="14567" spans="8:8" x14ac:dyDescent="0.25">
      <c r="H14567" t="s">
        <v>30</v>
      </c>
    </row>
    <row r="14568" spans="8:8" x14ac:dyDescent="0.25">
      <c r="H14568" t="s">
        <v>138</v>
      </c>
    </row>
    <row r="14569" spans="8:8" x14ac:dyDescent="0.25">
      <c r="H14569" t="s">
        <v>19600</v>
      </c>
    </row>
    <row r="14570" spans="8:8" x14ac:dyDescent="0.25">
      <c r="H14570" t="s">
        <v>30</v>
      </c>
    </row>
    <row r="14572" spans="8:8" x14ac:dyDescent="0.25">
      <c r="H14572" t="s">
        <v>14269</v>
      </c>
    </row>
    <row r="14573" spans="8:8" x14ac:dyDescent="0.25">
      <c r="H14573" t="s">
        <v>14270</v>
      </c>
    </row>
    <row r="14574" spans="8:8" x14ac:dyDescent="0.25">
      <c r="H14574" t="s">
        <v>135</v>
      </c>
    </row>
    <row r="14575" spans="8:8" x14ac:dyDescent="0.25">
      <c r="H14575" t="s">
        <v>19601</v>
      </c>
    </row>
    <row r="14576" spans="8:8" x14ac:dyDescent="0.25">
      <c r="H14576" t="s">
        <v>30</v>
      </c>
    </row>
    <row r="14577" spans="8:8" x14ac:dyDescent="0.25">
      <c r="H14577" t="s">
        <v>136</v>
      </c>
    </row>
    <row r="14578" spans="8:8" x14ac:dyDescent="0.25">
      <c r="H14578" t="s">
        <v>19602</v>
      </c>
    </row>
    <row r="14579" spans="8:8" x14ac:dyDescent="0.25">
      <c r="H14579" t="s">
        <v>30</v>
      </c>
    </row>
    <row r="14580" spans="8:8" x14ac:dyDescent="0.25">
      <c r="H14580" t="s">
        <v>137</v>
      </c>
    </row>
    <row r="14581" spans="8:8" x14ac:dyDescent="0.25">
      <c r="H14581" t="s">
        <v>19603</v>
      </c>
    </row>
    <row r="14582" spans="8:8" x14ac:dyDescent="0.25">
      <c r="H14582" t="s">
        <v>30</v>
      </c>
    </row>
    <row r="14583" spans="8:8" x14ac:dyDescent="0.25">
      <c r="H14583" t="s">
        <v>138</v>
      </c>
    </row>
    <row r="14584" spans="8:8" x14ac:dyDescent="0.25">
      <c r="H14584" t="s">
        <v>19604</v>
      </c>
    </row>
    <row r="14585" spans="8:8" x14ac:dyDescent="0.25">
      <c r="H14585" t="s">
        <v>30</v>
      </c>
    </row>
    <row r="14587" spans="8:8" x14ac:dyDescent="0.25">
      <c r="H14587" t="s">
        <v>14275</v>
      </c>
    </row>
    <row r="14588" spans="8:8" x14ac:dyDescent="0.25">
      <c r="H14588" t="s">
        <v>14276</v>
      </c>
    </row>
    <row r="14589" spans="8:8" x14ac:dyDescent="0.25">
      <c r="H14589" t="s">
        <v>135</v>
      </c>
    </row>
    <row r="14590" spans="8:8" x14ac:dyDescent="0.25">
      <c r="H14590" t="s">
        <v>19605</v>
      </c>
    </row>
    <row r="14591" spans="8:8" x14ac:dyDescent="0.25">
      <c r="H14591" t="s">
        <v>30</v>
      </c>
    </row>
    <row r="14592" spans="8:8" x14ac:dyDescent="0.25">
      <c r="H14592" t="s">
        <v>136</v>
      </c>
    </row>
    <row r="14593" spans="8:8" x14ac:dyDescent="0.25">
      <c r="H14593" t="s">
        <v>19606</v>
      </c>
    </row>
    <row r="14594" spans="8:8" x14ac:dyDescent="0.25">
      <c r="H14594" t="s">
        <v>30</v>
      </c>
    </row>
    <row r="14595" spans="8:8" x14ac:dyDescent="0.25">
      <c r="H14595" t="s">
        <v>137</v>
      </c>
    </row>
    <row r="14596" spans="8:8" x14ac:dyDescent="0.25">
      <c r="H14596" t="s">
        <v>19607</v>
      </c>
    </row>
    <row r="14597" spans="8:8" x14ac:dyDescent="0.25">
      <c r="H14597" t="s">
        <v>30</v>
      </c>
    </row>
    <row r="14598" spans="8:8" x14ac:dyDescent="0.25">
      <c r="H14598" t="s">
        <v>138</v>
      </c>
    </row>
    <row r="14599" spans="8:8" x14ac:dyDescent="0.25">
      <c r="H14599" t="s">
        <v>19608</v>
      </c>
    </row>
    <row r="14600" spans="8:8" x14ac:dyDescent="0.25">
      <c r="H14600" t="s">
        <v>30</v>
      </c>
    </row>
    <row r="14602" spans="8:8" x14ac:dyDescent="0.25">
      <c r="H14602" t="s">
        <v>14281</v>
      </c>
    </row>
    <row r="14603" spans="8:8" x14ac:dyDescent="0.25">
      <c r="H14603" t="s">
        <v>14282</v>
      </c>
    </row>
    <row r="14604" spans="8:8" x14ac:dyDescent="0.25">
      <c r="H14604" t="s">
        <v>135</v>
      </c>
    </row>
    <row r="14605" spans="8:8" x14ac:dyDescent="0.25">
      <c r="H14605" t="s">
        <v>19609</v>
      </c>
    </row>
    <row r="14606" spans="8:8" x14ac:dyDescent="0.25">
      <c r="H14606" t="s">
        <v>30</v>
      </c>
    </row>
    <row r="14607" spans="8:8" x14ac:dyDescent="0.25">
      <c r="H14607" t="s">
        <v>136</v>
      </c>
    </row>
    <row r="14608" spans="8:8" x14ac:dyDescent="0.25">
      <c r="H14608" t="s">
        <v>19610</v>
      </c>
    </row>
    <row r="14609" spans="8:8" x14ac:dyDescent="0.25">
      <c r="H14609" t="s">
        <v>30</v>
      </c>
    </row>
    <row r="14610" spans="8:8" x14ac:dyDescent="0.25">
      <c r="H14610" t="s">
        <v>137</v>
      </c>
    </row>
    <row r="14611" spans="8:8" x14ac:dyDescent="0.25">
      <c r="H14611" t="s">
        <v>19611</v>
      </c>
    </row>
    <row r="14612" spans="8:8" x14ac:dyDescent="0.25">
      <c r="H14612" t="s">
        <v>30</v>
      </c>
    </row>
    <row r="14613" spans="8:8" x14ac:dyDescent="0.25">
      <c r="H14613" t="s">
        <v>138</v>
      </c>
    </row>
    <row r="14614" spans="8:8" x14ac:dyDescent="0.25">
      <c r="H14614" t="s">
        <v>19612</v>
      </c>
    </row>
    <row r="14615" spans="8:8" x14ac:dyDescent="0.25">
      <c r="H14615" t="s">
        <v>30</v>
      </c>
    </row>
    <row r="14617" spans="8:8" x14ac:dyDescent="0.25">
      <c r="H14617" t="s">
        <v>14287</v>
      </c>
    </row>
    <row r="14618" spans="8:8" x14ac:dyDescent="0.25">
      <c r="H14618" t="s">
        <v>14288</v>
      </c>
    </row>
    <row r="14619" spans="8:8" x14ac:dyDescent="0.25">
      <c r="H14619" t="s">
        <v>135</v>
      </c>
    </row>
    <row r="14620" spans="8:8" x14ac:dyDescent="0.25">
      <c r="H14620" t="s">
        <v>19613</v>
      </c>
    </row>
    <row r="14621" spans="8:8" x14ac:dyDescent="0.25">
      <c r="H14621" t="s">
        <v>30</v>
      </c>
    </row>
    <row r="14622" spans="8:8" x14ac:dyDescent="0.25">
      <c r="H14622" t="s">
        <v>136</v>
      </c>
    </row>
    <row r="14623" spans="8:8" x14ac:dyDescent="0.25">
      <c r="H14623" t="s">
        <v>19614</v>
      </c>
    </row>
    <row r="14624" spans="8:8" x14ac:dyDescent="0.25">
      <c r="H14624" t="s">
        <v>30</v>
      </c>
    </row>
    <row r="14625" spans="8:8" x14ac:dyDescent="0.25">
      <c r="H14625" t="s">
        <v>137</v>
      </c>
    </row>
    <row r="14626" spans="8:8" x14ac:dyDescent="0.25">
      <c r="H14626" t="s">
        <v>19615</v>
      </c>
    </row>
    <row r="14627" spans="8:8" x14ac:dyDescent="0.25">
      <c r="H14627" t="s">
        <v>30</v>
      </c>
    </row>
    <row r="14628" spans="8:8" x14ac:dyDescent="0.25">
      <c r="H14628" t="s">
        <v>138</v>
      </c>
    </row>
    <row r="14629" spans="8:8" x14ac:dyDescent="0.25">
      <c r="H14629" t="s">
        <v>19616</v>
      </c>
    </row>
    <row r="14630" spans="8:8" x14ac:dyDescent="0.25">
      <c r="H14630" t="s">
        <v>30</v>
      </c>
    </row>
    <row r="14632" spans="8:8" x14ac:dyDescent="0.25">
      <c r="H14632" t="s">
        <v>14293</v>
      </c>
    </row>
    <row r="14633" spans="8:8" x14ac:dyDescent="0.25">
      <c r="H14633" t="s">
        <v>14294</v>
      </c>
    </row>
    <row r="14634" spans="8:8" x14ac:dyDescent="0.25">
      <c r="H14634" t="s">
        <v>135</v>
      </c>
    </row>
    <row r="14635" spans="8:8" x14ac:dyDescent="0.25">
      <c r="H14635" t="s">
        <v>19617</v>
      </c>
    </row>
    <row r="14636" spans="8:8" x14ac:dyDescent="0.25">
      <c r="H14636" t="s">
        <v>30</v>
      </c>
    </row>
    <row r="14637" spans="8:8" x14ac:dyDescent="0.25">
      <c r="H14637" t="s">
        <v>136</v>
      </c>
    </row>
    <row r="14638" spans="8:8" x14ac:dyDescent="0.25">
      <c r="H14638" t="s">
        <v>19618</v>
      </c>
    </row>
    <row r="14639" spans="8:8" x14ac:dyDescent="0.25">
      <c r="H14639" t="s">
        <v>30</v>
      </c>
    </row>
    <row r="14640" spans="8:8" x14ac:dyDescent="0.25">
      <c r="H14640" t="s">
        <v>137</v>
      </c>
    </row>
    <row r="14641" spans="8:8" x14ac:dyDescent="0.25">
      <c r="H14641" t="s">
        <v>19619</v>
      </c>
    </row>
    <row r="14642" spans="8:8" x14ac:dyDescent="0.25">
      <c r="H14642" t="s">
        <v>30</v>
      </c>
    </row>
    <row r="14643" spans="8:8" x14ac:dyDescent="0.25">
      <c r="H14643" t="s">
        <v>138</v>
      </c>
    </row>
    <row r="14644" spans="8:8" x14ac:dyDescent="0.25">
      <c r="H14644" t="s">
        <v>19620</v>
      </c>
    </row>
    <row r="14645" spans="8:8" x14ac:dyDescent="0.25">
      <c r="H14645" t="s">
        <v>30</v>
      </c>
    </row>
    <row r="14647" spans="8:8" x14ac:dyDescent="0.25">
      <c r="H14647" t="s">
        <v>14299</v>
      </c>
    </row>
    <row r="14648" spans="8:8" x14ac:dyDescent="0.25">
      <c r="H14648" t="s">
        <v>14300</v>
      </c>
    </row>
    <row r="14649" spans="8:8" x14ac:dyDescent="0.25">
      <c r="H14649" t="s">
        <v>135</v>
      </c>
    </row>
    <row r="14650" spans="8:8" x14ac:dyDescent="0.25">
      <c r="H14650" t="s">
        <v>19621</v>
      </c>
    </row>
    <row r="14651" spans="8:8" x14ac:dyDescent="0.25">
      <c r="H14651" t="s">
        <v>30</v>
      </c>
    </row>
    <row r="14652" spans="8:8" x14ac:dyDescent="0.25">
      <c r="H14652" t="s">
        <v>136</v>
      </c>
    </row>
    <row r="14653" spans="8:8" x14ac:dyDescent="0.25">
      <c r="H14653" t="s">
        <v>19622</v>
      </c>
    </row>
    <row r="14654" spans="8:8" x14ac:dyDescent="0.25">
      <c r="H14654" t="s">
        <v>30</v>
      </c>
    </row>
    <row r="14655" spans="8:8" x14ac:dyDescent="0.25">
      <c r="H14655" t="s">
        <v>137</v>
      </c>
    </row>
    <row r="14656" spans="8:8" x14ac:dyDescent="0.25">
      <c r="H14656" t="s">
        <v>19623</v>
      </c>
    </row>
    <row r="14657" spans="8:8" x14ac:dyDescent="0.25">
      <c r="H14657" t="s">
        <v>30</v>
      </c>
    </row>
    <row r="14658" spans="8:8" x14ac:dyDescent="0.25">
      <c r="H14658" t="s">
        <v>138</v>
      </c>
    </row>
    <row r="14659" spans="8:8" x14ac:dyDescent="0.25">
      <c r="H14659" t="s">
        <v>19624</v>
      </c>
    </row>
    <row r="14660" spans="8:8" x14ac:dyDescent="0.25">
      <c r="H14660" t="s">
        <v>30</v>
      </c>
    </row>
    <row r="14662" spans="8:8" x14ac:dyDescent="0.25">
      <c r="H14662" t="s">
        <v>14305</v>
      </c>
    </row>
    <row r="14663" spans="8:8" x14ac:dyDescent="0.25">
      <c r="H14663" t="s">
        <v>14306</v>
      </c>
    </row>
    <row r="14664" spans="8:8" x14ac:dyDescent="0.25">
      <c r="H14664" t="s">
        <v>135</v>
      </c>
    </row>
    <row r="14665" spans="8:8" x14ac:dyDescent="0.25">
      <c r="H14665" t="s">
        <v>19625</v>
      </c>
    </row>
    <row r="14666" spans="8:8" x14ac:dyDescent="0.25">
      <c r="H14666" t="s">
        <v>30</v>
      </c>
    </row>
    <row r="14667" spans="8:8" x14ac:dyDescent="0.25">
      <c r="H14667" t="s">
        <v>136</v>
      </c>
    </row>
    <row r="14668" spans="8:8" x14ac:dyDescent="0.25">
      <c r="H14668" t="s">
        <v>19626</v>
      </c>
    </row>
    <row r="14669" spans="8:8" x14ac:dyDescent="0.25">
      <c r="H14669" t="s">
        <v>30</v>
      </c>
    </row>
    <row r="14670" spans="8:8" x14ac:dyDescent="0.25">
      <c r="H14670" t="s">
        <v>137</v>
      </c>
    </row>
    <row r="14671" spans="8:8" x14ac:dyDescent="0.25">
      <c r="H14671" t="s">
        <v>19627</v>
      </c>
    </row>
    <row r="14672" spans="8:8" x14ac:dyDescent="0.25">
      <c r="H14672" t="s">
        <v>30</v>
      </c>
    </row>
    <row r="14673" spans="8:8" x14ac:dyDescent="0.25">
      <c r="H14673" t="s">
        <v>138</v>
      </c>
    </row>
    <row r="14674" spans="8:8" x14ac:dyDescent="0.25">
      <c r="H14674" t="s">
        <v>19628</v>
      </c>
    </row>
    <row r="14675" spans="8:8" x14ac:dyDescent="0.25">
      <c r="H14675" t="s">
        <v>30</v>
      </c>
    </row>
    <row r="14677" spans="8:8" x14ac:dyDescent="0.25">
      <c r="H14677" t="s">
        <v>14311</v>
      </c>
    </row>
    <row r="14678" spans="8:8" x14ac:dyDescent="0.25">
      <c r="H14678" t="s">
        <v>14312</v>
      </c>
    </row>
    <row r="14679" spans="8:8" x14ac:dyDescent="0.25">
      <c r="H14679" t="s">
        <v>135</v>
      </c>
    </row>
    <row r="14680" spans="8:8" x14ac:dyDescent="0.25">
      <c r="H14680" t="s">
        <v>19629</v>
      </c>
    </row>
    <row r="14681" spans="8:8" x14ac:dyDescent="0.25">
      <c r="H14681" t="s">
        <v>30</v>
      </c>
    </row>
    <row r="14682" spans="8:8" x14ac:dyDescent="0.25">
      <c r="H14682" t="s">
        <v>136</v>
      </c>
    </row>
    <row r="14683" spans="8:8" x14ac:dyDescent="0.25">
      <c r="H14683" t="s">
        <v>19630</v>
      </c>
    </row>
    <row r="14684" spans="8:8" x14ac:dyDescent="0.25">
      <c r="H14684" t="s">
        <v>30</v>
      </c>
    </row>
    <row r="14685" spans="8:8" x14ac:dyDescent="0.25">
      <c r="H14685" t="s">
        <v>137</v>
      </c>
    </row>
    <row r="14686" spans="8:8" x14ac:dyDescent="0.25">
      <c r="H14686" t="s">
        <v>19631</v>
      </c>
    </row>
    <row r="14687" spans="8:8" x14ac:dyDescent="0.25">
      <c r="H14687" t="s">
        <v>30</v>
      </c>
    </row>
    <row r="14688" spans="8:8" x14ac:dyDescent="0.25">
      <c r="H14688" t="s">
        <v>138</v>
      </c>
    </row>
    <row r="14689" spans="8:8" x14ac:dyDescent="0.25">
      <c r="H14689" t="s">
        <v>19632</v>
      </c>
    </row>
    <row r="14690" spans="8:8" x14ac:dyDescent="0.25">
      <c r="H14690" t="s">
        <v>30</v>
      </c>
    </row>
    <row r="14692" spans="8:8" x14ac:dyDescent="0.25">
      <c r="H14692" t="s">
        <v>14317</v>
      </c>
    </row>
    <row r="14693" spans="8:8" x14ac:dyDescent="0.25">
      <c r="H14693" t="s">
        <v>14318</v>
      </c>
    </row>
    <row r="14694" spans="8:8" x14ac:dyDescent="0.25">
      <c r="H14694" t="s">
        <v>135</v>
      </c>
    </row>
    <row r="14695" spans="8:8" x14ac:dyDescent="0.25">
      <c r="H14695" t="s">
        <v>19633</v>
      </c>
    </row>
    <row r="14696" spans="8:8" x14ac:dyDescent="0.25">
      <c r="H14696" t="s">
        <v>30</v>
      </c>
    </row>
    <row r="14697" spans="8:8" x14ac:dyDescent="0.25">
      <c r="H14697" t="s">
        <v>136</v>
      </c>
    </row>
    <row r="14698" spans="8:8" x14ac:dyDescent="0.25">
      <c r="H14698" t="s">
        <v>19634</v>
      </c>
    </row>
    <row r="14699" spans="8:8" x14ac:dyDescent="0.25">
      <c r="H14699" t="s">
        <v>30</v>
      </c>
    </row>
    <row r="14700" spans="8:8" x14ac:dyDescent="0.25">
      <c r="H14700" t="s">
        <v>137</v>
      </c>
    </row>
    <row r="14701" spans="8:8" x14ac:dyDescent="0.25">
      <c r="H14701" t="s">
        <v>19635</v>
      </c>
    </row>
    <row r="14702" spans="8:8" x14ac:dyDescent="0.25">
      <c r="H14702" t="s">
        <v>30</v>
      </c>
    </row>
    <row r="14703" spans="8:8" x14ac:dyDescent="0.25">
      <c r="H14703" t="s">
        <v>138</v>
      </c>
    </row>
    <row r="14704" spans="8:8" x14ac:dyDescent="0.25">
      <c r="H14704" t="s">
        <v>19636</v>
      </c>
    </row>
    <row r="14705" spans="8:8" x14ac:dyDescent="0.25">
      <c r="H14705" t="s">
        <v>30</v>
      </c>
    </row>
    <row r="14707" spans="8:8" x14ac:dyDescent="0.25">
      <c r="H14707" t="s">
        <v>14323</v>
      </c>
    </row>
    <row r="14708" spans="8:8" x14ac:dyDescent="0.25">
      <c r="H14708" t="s">
        <v>14324</v>
      </c>
    </row>
    <row r="14709" spans="8:8" x14ac:dyDescent="0.25">
      <c r="H14709" t="s">
        <v>135</v>
      </c>
    </row>
    <row r="14710" spans="8:8" x14ac:dyDescent="0.25">
      <c r="H14710" t="s">
        <v>19637</v>
      </c>
    </row>
    <row r="14711" spans="8:8" x14ac:dyDescent="0.25">
      <c r="H14711" t="s">
        <v>30</v>
      </c>
    </row>
    <row r="14712" spans="8:8" x14ac:dyDescent="0.25">
      <c r="H14712" t="s">
        <v>136</v>
      </c>
    </row>
    <row r="14713" spans="8:8" x14ac:dyDescent="0.25">
      <c r="H14713" t="s">
        <v>19638</v>
      </c>
    </row>
    <row r="14714" spans="8:8" x14ac:dyDescent="0.25">
      <c r="H14714" t="s">
        <v>30</v>
      </c>
    </row>
    <row r="14715" spans="8:8" x14ac:dyDescent="0.25">
      <c r="H14715" t="s">
        <v>137</v>
      </c>
    </row>
    <row r="14716" spans="8:8" x14ac:dyDescent="0.25">
      <c r="H14716" t="s">
        <v>19639</v>
      </c>
    </row>
    <row r="14717" spans="8:8" x14ac:dyDescent="0.25">
      <c r="H14717" t="s">
        <v>30</v>
      </c>
    </row>
    <row r="14718" spans="8:8" x14ac:dyDescent="0.25">
      <c r="H14718" t="s">
        <v>138</v>
      </c>
    </row>
    <row r="14719" spans="8:8" x14ac:dyDescent="0.25">
      <c r="H14719" t="s">
        <v>19640</v>
      </c>
    </row>
    <row r="14720" spans="8:8" x14ac:dyDescent="0.25">
      <c r="H14720" t="s">
        <v>30</v>
      </c>
    </row>
    <row r="14722" spans="8:8" x14ac:dyDescent="0.25">
      <c r="H14722" t="s">
        <v>14329</v>
      </c>
    </row>
    <row r="14723" spans="8:8" x14ac:dyDescent="0.25">
      <c r="H14723" t="s">
        <v>14330</v>
      </c>
    </row>
    <row r="14724" spans="8:8" x14ac:dyDescent="0.25">
      <c r="H14724" t="s">
        <v>135</v>
      </c>
    </row>
    <row r="14725" spans="8:8" x14ac:dyDescent="0.25">
      <c r="H14725" t="s">
        <v>19641</v>
      </c>
    </row>
    <row r="14726" spans="8:8" x14ac:dyDescent="0.25">
      <c r="H14726" t="s">
        <v>30</v>
      </c>
    </row>
    <row r="14727" spans="8:8" x14ac:dyDescent="0.25">
      <c r="H14727" t="s">
        <v>136</v>
      </c>
    </row>
    <row r="14728" spans="8:8" x14ac:dyDescent="0.25">
      <c r="H14728" t="s">
        <v>19642</v>
      </c>
    </row>
    <row r="14729" spans="8:8" x14ac:dyDescent="0.25">
      <c r="H14729" t="s">
        <v>30</v>
      </c>
    </row>
    <row r="14730" spans="8:8" x14ac:dyDescent="0.25">
      <c r="H14730" t="s">
        <v>137</v>
      </c>
    </row>
    <row r="14731" spans="8:8" x14ac:dyDescent="0.25">
      <c r="H14731" t="s">
        <v>19643</v>
      </c>
    </row>
    <row r="14732" spans="8:8" x14ac:dyDescent="0.25">
      <c r="H14732" t="s">
        <v>30</v>
      </c>
    </row>
    <row r="14733" spans="8:8" x14ac:dyDescent="0.25">
      <c r="H14733" t="s">
        <v>138</v>
      </c>
    </row>
    <row r="14734" spans="8:8" x14ac:dyDescent="0.25">
      <c r="H14734" t="s">
        <v>19644</v>
      </c>
    </row>
    <row r="14735" spans="8:8" x14ac:dyDescent="0.25">
      <c r="H14735" t="s">
        <v>30</v>
      </c>
    </row>
    <row r="14737" spans="8:8" x14ac:dyDescent="0.25">
      <c r="H14737" t="s">
        <v>14335</v>
      </c>
    </row>
    <row r="14738" spans="8:8" x14ac:dyDescent="0.25">
      <c r="H14738" t="s">
        <v>14336</v>
      </c>
    </row>
    <row r="14739" spans="8:8" x14ac:dyDescent="0.25">
      <c r="H14739" t="s">
        <v>135</v>
      </c>
    </row>
    <row r="14740" spans="8:8" x14ac:dyDescent="0.25">
      <c r="H14740" t="s">
        <v>19645</v>
      </c>
    </row>
    <row r="14741" spans="8:8" x14ac:dyDescent="0.25">
      <c r="H14741" t="s">
        <v>30</v>
      </c>
    </row>
    <row r="14742" spans="8:8" x14ac:dyDescent="0.25">
      <c r="H14742" t="s">
        <v>136</v>
      </c>
    </row>
    <row r="14743" spans="8:8" x14ac:dyDescent="0.25">
      <c r="H14743" t="s">
        <v>19646</v>
      </c>
    </row>
    <row r="14744" spans="8:8" x14ac:dyDescent="0.25">
      <c r="H14744" t="s">
        <v>30</v>
      </c>
    </row>
    <row r="14745" spans="8:8" x14ac:dyDescent="0.25">
      <c r="H14745" t="s">
        <v>137</v>
      </c>
    </row>
    <row r="14746" spans="8:8" x14ac:dyDescent="0.25">
      <c r="H14746" t="s">
        <v>19647</v>
      </c>
    </row>
    <row r="14747" spans="8:8" x14ac:dyDescent="0.25">
      <c r="H14747" t="s">
        <v>30</v>
      </c>
    </row>
    <row r="14748" spans="8:8" x14ac:dyDescent="0.25">
      <c r="H14748" t="s">
        <v>138</v>
      </c>
    </row>
    <row r="14749" spans="8:8" x14ac:dyDescent="0.25">
      <c r="H14749" t="s">
        <v>19648</v>
      </c>
    </row>
    <row r="14750" spans="8:8" x14ac:dyDescent="0.25">
      <c r="H14750" t="s">
        <v>30</v>
      </c>
    </row>
    <row r="14752" spans="8:8" x14ac:dyDescent="0.25">
      <c r="H14752" t="s">
        <v>14341</v>
      </c>
    </row>
    <row r="14753" spans="8:8" x14ac:dyDescent="0.25">
      <c r="H14753" t="s">
        <v>14342</v>
      </c>
    </row>
    <row r="14754" spans="8:8" x14ac:dyDescent="0.25">
      <c r="H14754" t="s">
        <v>135</v>
      </c>
    </row>
    <row r="14755" spans="8:8" x14ac:dyDescent="0.25">
      <c r="H14755" t="s">
        <v>19649</v>
      </c>
    </row>
    <row r="14756" spans="8:8" x14ac:dyDescent="0.25">
      <c r="H14756" t="s">
        <v>30</v>
      </c>
    </row>
    <row r="14757" spans="8:8" x14ac:dyDescent="0.25">
      <c r="H14757" t="s">
        <v>136</v>
      </c>
    </row>
    <row r="14758" spans="8:8" x14ac:dyDescent="0.25">
      <c r="H14758" t="s">
        <v>19650</v>
      </c>
    </row>
    <row r="14759" spans="8:8" x14ac:dyDescent="0.25">
      <c r="H14759" t="s">
        <v>30</v>
      </c>
    </row>
    <row r="14760" spans="8:8" x14ac:dyDescent="0.25">
      <c r="H14760" t="s">
        <v>137</v>
      </c>
    </row>
    <row r="14761" spans="8:8" x14ac:dyDescent="0.25">
      <c r="H14761" t="s">
        <v>19651</v>
      </c>
    </row>
    <row r="14762" spans="8:8" x14ac:dyDescent="0.25">
      <c r="H14762" t="s">
        <v>30</v>
      </c>
    </row>
    <row r="14763" spans="8:8" x14ac:dyDescent="0.25">
      <c r="H14763" t="s">
        <v>138</v>
      </c>
    </row>
    <row r="14764" spans="8:8" x14ac:dyDescent="0.25">
      <c r="H14764" t="s">
        <v>19652</v>
      </c>
    </row>
    <row r="14765" spans="8:8" x14ac:dyDescent="0.25">
      <c r="H14765" t="s">
        <v>30</v>
      </c>
    </row>
    <row r="14767" spans="8:8" x14ac:dyDescent="0.25">
      <c r="H14767" t="s">
        <v>14347</v>
      </c>
    </row>
    <row r="14768" spans="8:8" x14ac:dyDescent="0.25">
      <c r="H14768" t="s">
        <v>14348</v>
      </c>
    </row>
    <row r="14769" spans="8:8" x14ac:dyDescent="0.25">
      <c r="H14769" t="s">
        <v>135</v>
      </c>
    </row>
    <row r="14770" spans="8:8" x14ac:dyDescent="0.25">
      <c r="H14770" t="s">
        <v>19653</v>
      </c>
    </row>
    <row r="14771" spans="8:8" x14ac:dyDescent="0.25">
      <c r="H14771" t="s">
        <v>30</v>
      </c>
    </row>
    <row r="14772" spans="8:8" x14ac:dyDescent="0.25">
      <c r="H14772" t="s">
        <v>136</v>
      </c>
    </row>
    <row r="14773" spans="8:8" x14ac:dyDescent="0.25">
      <c r="H14773" t="s">
        <v>19654</v>
      </c>
    </row>
    <row r="14774" spans="8:8" x14ac:dyDescent="0.25">
      <c r="H14774" t="s">
        <v>30</v>
      </c>
    </row>
    <row r="14775" spans="8:8" x14ac:dyDescent="0.25">
      <c r="H14775" t="s">
        <v>137</v>
      </c>
    </row>
    <row r="14776" spans="8:8" x14ac:dyDescent="0.25">
      <c r="H14776" t="s">
        <v>19655</v>
      </c>
    </row>
    <row r="14777" spans="8:8" x14ac:dyDescent="0.25">
      <c r="H14777" t="s">
        <v>30</v>
      </c>
    </row>
    <row r="14778" spans="8:8" x14ac:dyDescent="0.25">
      <c r="H14778" t="s">
        <v>138</v>
      </c>
    </row>
    <row r="14779" spans="8:8" x14ac:dyDescent="0.25">
      <c r="H14779" t="s">
        <v>19656</v>
      </c>
    </row>
    <row r="14780" spans="8:8" x14ac:dyDescent="0.25">
      <c r="H14780" t="s">
        <v>30</v>
      </c>
    </row>
    <row r="14782" spans="8:8" x14ac:dyDescent="0.25">
      <c r="H14782" t="s">
        <v>14353</v>
      </c>
    </row>
    <row r="14783" spans="8:8" x14ac:dyDescent="0.25">
      <c r="H14783" t="s">
        <v>14354</v>
      </c>
    </row>
    <row r="14784" spans="8:8" x14ac:dyDescent="0.25">
      <c r="H14784" t="s">
        <v>135</v>
      </c>
    </row>
    <row r="14785" spans="8:8" x14ac:dyDescent="0.25">
      <c r="H14785" t="s">
        <v>19657</v>
      </c>
    </row>
    <row r="14786" spans="8:8" x14ac:dyDescent="0.25">
      <c r="H14786" t="s">
        <v>30</v>
      </c>
    </row>
    <row r="14787" spans="8:8" x14ac:dyDescent="0.25">
      <c r="H14787" t="s">
        <v>136</v>
      </c>
    </row>
    <row r="14788" spans="8:8" x14ac:dyDescent="0.25">
      <c r="H14788" t="s">
        <v>19658</v>
      </c>
    </row>
    <row r="14789" spans="8:8" x14ac:dyDescent="0.25">
      <c r="H14789" t="s">
        <v>30</v>
      </c>
    </row>
    <row r="14790" spans="8:8" x14ac:dyDescent="0.25">
      <c r="H14790" t="s">
        <v>137</v>
      </c>
    </row>
    <row r="14791" spans="8:8" x14ac:dyDescent="0.25">
      <c r="H14791" t="s">
        <v>19659</v>
      </c>
    </row>
    <row r="14792" spans="8:8" x14ac:dyDescent="0.25">
      <c r="H14792" t="s">
        <v>30</v>
      </c>
    </row>
    <row r="14793" spans="8:8" x14ac:dyDescent="0.25">
      <c r="H14793" t="s">
        <v>138</v>
      </c>
    </row>
    <row r="14794" spans="8:8" x14ac:dyDescent="0.25">
      <c r="H14794" t="s">
        <v>19660</v>
      </c>
    </row>
    <row r="14795" spans="8:8" x14ac:dyDescent="0.25">
      <c r="H14795" t="s">
        <v>30</v>
      </c>
    </row>
    <row r="14797" spans="8:8" x14ac:dyDescent="0.25">
      <c r="H14797" t="s">
        <v>14359</v>
      </c>
    </row>
    <row r="14798" spans="8:8" x14ac:dyDescent="0.25">
      <c r="H14798" t="s">
        <v>14360</v>
      </c>
    </row>
    <row r="14799" spans="8:8" x14ac:dyDescent="0.25">
      <c r="H14799" t="s">
        <v>135</v>
      </c>
    </row>
    <row r="14800" spans="8:8" x14ac:dyDescent="0.25">
      <c r="H14800" t="s">
        <v>19661</v>
      </c>
    </row>
    <row r="14801" spans="8:8" x14ac:dyDescent="0.25">
      <c r="H14801" t="s">
        <v>30</v>
      </c>
    </row>
    <row r="14802" spans="8:8" x14ac:dyDescent="0.25">
      <c r="H14802" t="s">
        <v>136</v>
      </c>
    </row>
    <row r="14803" spans="8:8" x14ac:dyDescent="0.25">
      <c r="H14803" t="s">
        <v>19662</v>
      </c>
    </row>
    <row r="14804" spans="8:8" x14ac:dyDescent="0.25">
      <c r="H14804" t="s">
        <v>30</v>
      </c>
    </row>
    <row r="14805" spans="8:8" x14ac:dyDescent="0.25">
      <c r="H14805" t="s">
        <v>137</v>
      </c>
    </row>
    <row r="14806" spans="8:8" x14ac:dyDescent="0.25">
      <c r="H14806" t="s">
        <v>19663</v>
      </c>
    </row>
    <row r="14807" spans="8:8" x14ac:dyDescent="0.25">
      <c r="H14807" t="s">
        <v>30</v>
      </c>
    </row>
    <row r="14808" spans="8:8" x14ac:dyDescent="0.25">
      <c r="H14808" t="s">
        <v>138</v>
      </c>
    </row>
    <row r="14809" spans="8:8" x14ac:dyDescent="0.25">
      <c r="H14809" t="s">
        <v>19664</v>
      </c>
    </row>
    <row r="14810" spans="8:8" x14ac:dyDescent="0.25">
      <c r="H14810" t="s">
        <v>30</v>
      </c>
    </row>
    <row r="14812" spans="8:8" x14ac:dyDescent="0.25">
      <c r="H14812" t="s">
        <v>14365</v>
      </c>
    </row>
    <row r="14813" spans="8:8" x14ac:dyDescent="0.25">
      <c r="H14813" t="s">
        <v>14366</v>
      </c>
    </row>
    <row r="14814" spans="8:8" x14ac:dyDescent="0.25">
      <c r="H14814" t="s">
        <v>135</v>
      </c>
    </row>
    <row r="14815" spans="8:8" x14ac:dyDescent="0.25">
      <c r="H14815" t="s">
        <v>19665</v>
      </c>
    </row>
    <row r="14816" spans="8:8" x14ac:dyDescent="0.25">
      <c r="H14816" t="s">
        <v>30</v>
      </c>
    </row>
    <row r="14817" spans="8:8" x14ac:dyDescent="0.25">
      <c r="H14817" t="s">
        <v>136</v>
      </c>
    </row>
    <row r="14818" spans="8:8" x14ac:dyDescent="0.25">
      <c r="H14818" t="s">
        <v>19666</v>
      </c>
    </row>
    <row r="14819" spans="8:8" x14ac:dyDescent="0.25">
      <c r="H14819" t="s">
        <v>30</v>
      </c>
    </row>
    <row r="14820" spans="8:8" x14ac:dyDescent="0.25">
      <c r="H14820" t="s">
        <v>137</v>
      </c>
    </row>
    <row r="14821" spans="8:8" x14ac:dyDescent="0.25">
      <c r="H14821" t="s">
        <v>19667</v>
      </c>
    </row>
    <row r="14822" spans="8:8" x14ac:dyDescent="0.25">
      <c r="H14822" t="s">
        <v>30</v>
      </c>
    </row>
    <row r="14823" spans="8:8" x14ac:dyDescent="0.25">
      <c r="H14823" t="s">
        <v>138</v>
      </c>
    </row>
    <row r="14824" spans="8:8" x14ac:dyDescent="0.25">
      <c r="H14824" t="s">
        <v>19668</v>
      </c>
    </row>
    <row r="14825" spans="8:8" x14ac:dyDescent="0.25">
      <c r="H14825" t="s">
        <v>30</v>
      </c>
    </row>
    <row r="14827" spans="8:8" x14ac:dyDescent="0.25">
      <c r="H14827" t="s">
        <v>14371</v>
      </c>
    </row>
    <row r="14828" spans="8:8" x14ac:dyDescent="0.25">
      <c r="H14828" t="s">
        <v>14372</v>
      </c>
    </row>
    <row r="14829" spans="8:8" x14ac:dyDescent="0.25">
      <c r="H14829" t="s">
        <v>135</v>
      </c>
    </row>
    <row r="14830" spans="8:8" x14ac:dyDescent="0.25">
      <c r="H14830" t="s">
        <v>19669</v>
      </c>
    </row>
    <row r="14831" spans="8:8" x14ac:dyDescent="0.25">
      <c r="H14831" t="s">
        <v>30</v>
      </c>
    </row>
    <row r="14832" spans="8:8" x14ac:dyDescent="0.25">
      <c r="H14832" t="s">
        <v>136</v>
      </c>
    </row>
    <row r="14833" spans="8:8" x14ac:dyDescent="0.25">
      <c r="H14833" t="s">
        <v>19670</v>
      </c>
    </row>
    <row r="14834" spans="8:8" x14ac:dyDescent="0.25">
      <c r="H14834" t="s">
        <v>30</v>
      </c>
    </row>
    <row r="14835" spans="8:8" x14ac:dyDescent="0.25">
      <c r="H14835" t="s">
        <v>137</v>
      </c>
    </row>
    <row r="14836" spans="8:8" x14ac:dyDescent="0.25">
      <c r="H14836" t="s">
        <v>19671</v>
      </c>
    </row>
    <row r="14837" spans="8:8" x14ac:dyDescent="0.25">
      <c r="H14837" t="s">
        <v>30</v>
      </c>
    </row>
    <row r="14838" spans="8:8" x14ac:dyDescent="0.25">
      <c r="H14838" t="s">
        <v>138</v>
      </c>
    </row>
    <row r="14839" spans="8:8" x14ac:dyDescent="0.25">
      <c r="H14839" t="s">
        <v>19672</v>
      </c>
    </row>
    <row r="14840" spans="8:8" x14ac:dyDescent="0.25">
      <c r="H14840" t="s">
        <v>30</v>
      </c>
    </row>
    <row r="14842" spans="8:8" x14ac:dyDescent="0.25">
      <c r="H14842" t="s">
        <v>14377</v>
      </c>
    </row>
    <row r="14843" spans="8:8" x14ac:dyDescent="0.25">
      <c r="H14843" t="s">
        <v>14378</v>
      </c>
    </row>
    <row r="14844" spans="8:8" x14ac:dyDescent="0.25">
      <c r="H14844" t="s">
        <v>135</v>
      </c>
    </row>
    <row r="14845" spans="8:8" x14ac:dyDescent="0.25">
      <c r="H14845" t="s">
        <v>19673</v>
      </c>
    </row>
    <row r="14846" spans="8:8" x14ac:dyDescent="0.25">
      <c r="H14846" t="s">
        <v>30</v>
      </c>
    </row>
    <row r="14847" spans="8:8" x14ac:dyDescent="0.25">
      <c r="H14847" t="s">
        <v>136</v>
      </c>
    </row>
    <row r="14848" spans="8:8" x14ac:dyDescent="0.25">
      <c r="H14848" t="s">
        <v>19674</v>
      </c>
    </row>
    <row r="14849" spans="8:8" x14ac:dyDescent="0.25">
      <c r="H14849" t="s">
        <v>30</v>
      </c>
    </row>
    <row r="14850" spans="8:8" x14ac:dyDescent="0.25">
      <c r="H14850" t="s">
        <v>137</v>
      </c>
    </row>
    <row r="14851" spans="8:8" x14ac:dyDescent="0.25">
      <c r="H14851" t="s">
        <v>19675</v>
      </c>
    </row>
    <row r="14852" spans="8:8" x14ac:dyDescent="0.25">
      <c r="H14852" t="s">
        <v>30</v>
      </c>
    </row>
    <row r="14853" spans="8:8" x14ac:dyDescent="0.25">
      <c r="H14853" t="s">
        <v>138</v>
      </c>
    </row>
    <row r="14854" spans="8:8" x14ac:dyDescent="0.25">
      <c r="H14854" t="s">
        <v>19676</v>
      </c>
    </row>
    <row r="14855" spans="8:8" x14ac:dyDescent="0.25">
      <c r="H14855" t="s">
        <v>30</v>
      </c>
    </row>
    <row r="14857" spans="8:8" x14ac:dyDescent="0.25">
      <c r="H14857" t="s">
        <v>14383</v>
      </c>
    </row>
    <row r="14858" spans="8:8" x14ac:dyDescent="0.25">
      <c r="H14858" t="s">
        <v>14384</v>
      </c>
    </row>
    <row r="14859" spans="8:8" x14ac:dyDescent="0.25">
      <c r="H14859" t="s">
        <v>135</v>
      </c>
    </row>
    <row r="14860" spans="8:8" x14ac:dyDescent="0.25">
      <c r="H14860" t="s">
        <v>19677</v>
      </c>
    </row>
    <row r="14861" spans="8:8" x14ac:dyDescent="0.25">
      <c r="H14861" t="s">
        <v>30</v>
      </c>
    </row>
    <row r="14862" spans="8:8" x14ac:dyDescent="0.25">
      <c r="H14862" t="s">
        <v>136</v>
      </c>
    </row>
    <row r="14863" spans="8:8" x14ac:dyDescent="0.25">
      <c r="H14863" t="s">
        <v>19678</v>
      </c>
    </row>
    <row r="14864" spans="8:8" x14ac:dyDescent="0.25">
      <c r="H14864" t="s">
        <v>30</v>
      </c>
    </row>
    <row r="14865" spans="8:8" x14ac:dyDescent="0.25">
      <c r="H14865" t="s">
        <v>137</v>
      </c>
    </row>
    <row r="14866" spans="8:8" x14ac:dyDescent="0.25">
      <c r="H14866" t="s">
        <v>19679</v>
      </c>
    </row>
    <row r="14867" spans="8:8" x14ac:dyDescent="0.25">
      <c r="H14867" t="s">
        <v>30</v>
      </c>
    </row>
    <row r="14868" spans="8:8" x14ac:dyDescent="0.25">
      <c r="H14868" t="s">
        <v>138</v>
      </c>
    </row>
    <row r="14869" spans="8:8" x14ac:dyDescent="0.25">
      <c r="H14869" t="s">
        <v>19680</v>
      </c>
    </row>
    <row r="14870" spans="8:8" x14ac:dyDescent="0.25">
      <c r="H14870" t="s">
        <v>30</v>
      </c>
    </row>
    <row r="14872" spans="8:8" x14ac:dyDescent="0.25">
      <c r="H14872" t="s">
        <v>14389</v>
      </c>
    </row>
    <row r="14873" spans="8:8" x14ac:dyDescent="0.25">
      <c r="H14873" t="s">
        <v>14390</v>
      </c>
    </row>
    <row r="14874" spans="8:8" x14ac:dyDescent="0.25">
      <c r="H14874" t="s">
        <v>135</v>
      </c>
    </row>
    <row r="14875" spans="8:8" x14ac:dyDescent="0.25">
      <c r="H14875" t="s">
        <v>19681</v>
      </c>
    </row>
    <row r="14876" spans="8:8" x14ac:dyDescent="0.25">
      <c r="H14876" t="s">
        <v>30</v>
      </c>
    </row>
    <row r="14877" spans="8:8" x14ac:dyDescent="0.25">
      <c r="H14877" t="s">
        <v>136</v>
      </c>
    </row>
    <row r="14878" spans="8:8" x14ac:dyDescent="0.25">
      <c r="H14878" t="s">
        <v>19682</v>
      </c>
    </row>
    <row r="14879" spans="8:8" x14ac:dyDescent="0.25">
      <c r="H14879" t="s">
        <v>30</v>
      </c>
    </row>
    <row r="14880" spans="8:8" x14ac:dyDescent="0.25">
      <c r="H14880" t="s">
        <v>137</v>
      </c>
    </row>
    <row r="14881" spans="8:8" x14ac:dyDescent="0.25">
      <c r="H14881" t="s">
        <v>19683</v>
      </c>
    </row>
    <row r="14882" spans="8:8" x14ac:dyDescent="0.25">
      <c r="H14882" t="s">
        <v>30</v>
      </c>
    </row>
    <row r="14883" spans="8:8" x14ac:dyDescent="0.25">
      <c r="H14883" t="s">
        <v>138</v>
      </c>
    </row>
    <row r="14884" spans="8:8" x14ac:dyDescent="0.25">
      <c r="H14884" t="s">
        <v>19684</v>
      </c>
    </row>
    <row r="14885" spans="8:8" x14ac:dyDescent="0.25">
      <c r="H14885" t="s">
        <v>30</v>
      </c>
    </row>
    <row r="14887" spans="8:8" x14ac:dyDescent="0.25">
      <c r="H14887" t="s">
        <v>14395</v>
      </c>
    </row>
    <row r="14888" spans="8:8" x14ac:dyDescent="0.25">
      <c r="H14888" t="s">
        <v>14396</v>
      </c>
    </row>
    <row r="14889" spans="8:8" x14ac:dyDescent="0.25">
      <c r="H14889" t="s">
        <v>135</v>
      </c>
    </row>
    <row r="14890" spans="8:8" x14ac:dyDescent="0.25">
      <c r="H14890" t="s">
        <v>19685</v>
      </c>
    </row>
    <row r="14891" spans="8:8" x14ac:dyDescent="0.25">
      <c r="H14891" t="s">
        <v>30</v>
      </c>
    </row>
    <row r="14892" spans="8:8" x14ac:dyDescent="0.25">
      <c r="H14892" t="s">
        <v>136</v>
      </c>
    </row>
    <row r="14893" spans="8:8" x14ac:dyDescent="0.25">
      <c r="H14893" t="s">
        <v>19686</v>
      </c>
    </row>
    <row r="14894" spans="8:8" x14ac:dyDescent="0.25">
      <c r="H14894" t="s">
        <v>30</v>
      </c>
    </row>
    <row r="14895" spans="8:8" x14ac:dyDescent="0.25">
      <c r="H14895" t="s">
        <v>137</v>
      </c>
    </row>
    <row r="14896" spans="8:8" x14ac:dyDescent="0.25">
      <c r="H14896" t="s">
        <v>19687</v>
      </c>
    </row>
    <row r="14897" spans="8:8" x14ac:dyDescent="0.25">
      <c r="H14897" t="s">
        <v>30</v>
      </c>
    </row>
    <row r="14898" spans="8:8" x14ac:dyDescent="0.25">
      <c r="H14898" t="s">
        <v>138</v>
      </c>
    </row>
    <row r="14899" spans="8:8" x14ac:dyDescent="0.25">
      <c r="H14899" t="s">
        <v>19688</v>
      </c>
    </row>
    <row r="14900" spans="8:8" x14ac:dyDescent="0.25">
      <c r="H14900" t="s">
        <v>30</v>
      </c>
    </row>
    <row r="14902" spans="8:8" x14ac:dyDescent="0.25">
      <c r="H14902" t="s">
        <v>14401</v>
      </c>
    </row>
    <row r="14903" spans="8:8" x14ac:dyDescent="0.25">
      <c r="H14903" t="s">
        <v>14402</v>
      </c>
    </row>
    <row r="14904" spans="8:8" x14ac:dyDescent="0.25">
      <c r="H14904" t="s">
        <v>135</v>
      </c>
    </row>
    <row r="14905" spans="8:8" x14ac:dyDescent="0.25">
      <c r="H14905" t="s">
        <v>19689</v>
      </c>
    </row>
    <row r="14906" spans="8:8" x14ac:dyDescent="0.25">
      <c r="H14906" t="s">
        <v>30</v>
      </c>
    </row>
    <row r="14907" spans="8:8" x14ac:dyDescent="0.25">
      <c r="H14907" t="s">
        <v>136</v>
      </c>
    </row>
    <row r="14908" spans="8:8" x14ac:dyDescent="0.25">
      <c r="H14908" t="s">
        <v>19690</v>
      </c>
    </row>
    <row r="14909" spans="8:8" x14ac:dyDescent="0.25">
      <c r="H14909" t="s">
        <v>30</v>
      </c>
    </row>
    <row r="14910" spans="8:8" x14ac:dyDescent="0.25">
      <c r="H14910" t="s">
        <v>137</v>
      </c>
    </row>
    <row r="14911" spans="8:8" x14ac:dyDescent="0.25">
      <c r="H14911" t="s">
        <v>19691</v>
      </c>
    </row>
    <row r="14912" spans="8:8" x14ac:dyDescent="0.25">
      <c r="H14912" t="s">
        <v>30</v>
      </c>
    </row>
    <row r="14913" spans="8:8" x14ac:dyDescent="0.25">
      <c r="H14913" t="s">
        <v>138</v>
      </c>
    </row>
    <row r="14914" spans="8:8" x14ac:dyDescent="0.25">
      <c r="H14914" t="s">
        <v>19692</v>
      </c>
    </row>
    <row r="14915" spans="8:8" x14ac:dyDescent="0.25">
      <c r="H14915" t="s">
        <v>30</v>
      </c>
    </row>
    <row r="14917" spans="8:8" x14ac:dyDescent="0.25">
      <c r="H14917" t="s">
        <v>14407</v>
      </c>
    </row>
    <row r="14918" spans="8:8" x14ac:dyDescent="0.25">
      <c r="H14918" t="s">
        <v>14408</v>
      </c>
    </row>
    <row r="14919" spans="8:8" x14ac:dyDescent="0.25">
      <c r="H14919" t="s">
        <v>135</v>
      </c>
    </row>
    <row r="14920" spans="8:8" x14ac:dyDescent="0.25">
      <c r="H14920" t="s">
        <v>19693</v>
      </c>
    </row>
    <row r="14921" spans="8:8" x14ac:dyDescent="0.25">
      <c r="H14921" t="s">
        <v>30</v>
      </c>
    </row>
    <row r="14922" spans="8:8" x14ac:dyDescent="0.25">
      <c r="H14922" t="s">
        <v>136</v>
      </c>
    </row>
    <row r="14923" spans="8:8" x14ac:dyDescent="0.25">
      <c r="H14923" t="s">
        <v>19694</v>
      </c>
    </row>
    <row r="14924" spans="8:8" x14ac:dyDescent="0.25">
      <c r="H14924" t="s">
        <v>30</v>
      </c>
    </row>
    <row r="14925" spans="8:8" x14ac:dyDescent="0.25">
      <c r="H14925" t="s">
        <v>137</v>
      </c>
    </row>
    <row r="14926" spans="8:8" x14ac:dyDescent="0.25">
      <c r="H14926" t="s">
        <v>19695</v>
      </c>
    </row>
    <row r="14927" spans="8:8" x14ac:dyDescent="0.25">
      <c r="H14927" t="s">
        <v>30</v>
      </c>
    </row>
    <row r="14928" spans="8:8" x14ac:dyDescent="0.25">
      <c r="H14928" t="s">
        <v>138</v>
      </c>
    </row>
    <row r="14929" spans="8:8" x14ac:dyDescent="0.25">
      <c r="H14929" t="s">
        <v>19696</v>
      </c>
    </row>
    <row r="14930" spans="8:8" x14ac:dyDescent="0.25">
      <c r="H14930" t="s">
        <v>30</v>
      </c>
    </row>
    <row r="14932" spans="8:8" x14ac:dyDescent="0.25">
      <c r="H14932" t="s">
        <v>14413</v>
      </c>
    </row>
    <row r="14933" spans="8:8" x14ac:dyDescent="0.25">
      <c r="H14933" t="s">
        <v>14414</v>
      </c>
    </row>
    <row r="14934" spans="8:8" x14ac:dyDescent="0.25">
      <c r="H14934" t="s">
        <v>135</v>
      </c>
    </row>
    <row r="14935" spans="8:8" x14ac:dyDescent="0.25">
      <c r="H14935" t="s">
        <v>19697</v>
      </c>
    </row>
    <row r="14936" spans="8:8" x14ac:dyDescent="0.25">
      <c r="H14936" t="s">
        <v>30</v>
      </c>
    </row>
    <row r="14937" spans="8:8" x14ac:dyDescent="0.25">
      <c r="H14937" t="s">
        <v>136</v>
      </c>
    </row>
    <row r="14938" spans="8:8" x14ac:dyDescent="0.25">
      <c r="H14938" t="s">
        <v>19698</v>
      </c>
    </row>
    <row r="14939" spans="8:8" x14ac:dyDescent="0.25">
      <c r="H14939" t="s">
        <v>30</v>
      </c>
    </row>
    <row r="14940" spans="8:8" x14ac:dyDescent="0.25">
      <c r="H14940" t="s">
        <v>137</v>
      </c>
    </row>
    <row r="14941" spans="8:8" x14ac:dyDescent="0.25">
      <c r="H14941" t="s">
        <v>19699</v>
      </c>
    </row>
    <row r="14942" spans="8:8" x14ac:dyDescent="0.25">
      <c r="H14942" t="s">
        <v>30</v>
      </c>
    </row>
    <row r="14943" spans="8:8" x14ac:dyDescent="0.25">
      <c r="H14943" t="s">
        <v>138</v>
      </c>
    </row>
    <row r="14944" spans="8:8" x14ac:dyDescent="0.25">
      <c r="H14944" t="s">
        <v>19700</v>
      </c>
    </row>
    <row r="14945" spans="8:8" x14ac:dyDescent="0.25">
      <c r="H14945" t="s">
        <v>30</v>
      </c>
    </row>
    <row r="14947" spans="8:8" x14ac:dyDescent="0.25">
      <c r="H14947" t="s">
        <v>14419</v>
      </c>
    </row>
    <row r="14948" spans="8:8" x14ac:dyDescent="0.25">
      <c r="H14948" t="s">
        <v>14420</v>
      </c>
    </row>
    <row r="14949" spans="8:8" x14ac:dyDescent="0.25">
      <c r="H14949" t="s">
        <v>135</v>
      </c>
    </row>
    <row r="14950" spans="8:8" x14ac:dyDescent="0.25">
      <c r="H14950" t="s">
        <v>19701</v>
      </c>
    </row>
    <row r="14951" spans="8:8" x14ac:dyDescent="0.25">
      <c r="H14951" t="s">
        <v>30</v>
      </c>
    </row>
    <row r="14952" spans="8:8" x14ac:dyDescent="0.25">
      <c r="H14952" t="s">
        <v>136</v>
      </c>
    </row>
    <row r="14953" spans="8:8" x14ac:dyDescent="0.25">
      <c r="H14953" t="s">
        <v>19702</v>
      </c>
    </row>
    <row r="14954" spans="8:8" x14ac:dyDescent="0.25">
      <c r="H14954" t="s">
        <v>30</v>
      </c>
    </row>
    <row r="14955" spans="8:8" x14ac:dyDescent="0.25">
      <c r="H14955" t="s">
        <v>137</v>
      </c>
    </row>
    <row r="14956" spans="8:8" x14ac:dyDescent="0.25">
      <c r="H14956" t="s">
        <v>19703</v>
      </c>
    </row>
    <row r="14957" spans="8:8" x14ac:dyDescent="0.25">
      <c r="H14957" t="s">
        <v>30</v>
      </c>
    </row>
    <row r="14958" spans="8:8" x14ac:dyDescent="0.25">
      <c r="H14958" t="s">
        <v>138</v>
      </c>
    </row>
    <row r="14959" spans="8:8" x14ac:dyDescent="0.25">
      <c r="H14959" t="s">
        <v>19704</v>
      </c>
    </row>
    <row r="14960" spans="8:8" x14ac:dyDescent="0.25">
      <c r="H14960" t="s">
        <v>30</v>
      </c>
    </row>
    <row r="14962" spans="8:8" x14ac:dyDescent="0.25">
      <c r="H14962" t="s">
        <v>14425</v>
      </c>
    </row>
    <row r="14963" spans="8:8" x14ac:dyDescent="0.25">
      <c r="H14963" t="s">
        <v>14426</v>
      </c>
    </row>
    <row r="14964" spans="8:8" x14ac:dyDescent="0.25">
      <c r="H14964" t="s">
        <v>135</v>
      </c>
    </row>
    <row r="14965" spans="8:8" x14ac:dyDescent="0.25">
      <c r="H14965" t="s">
        <v>19705</v>
      </c>
    </row>
    <row r="14966" spans="8:8" x14ac:dyDescent="0.25">
      <c r="H14966" t="s">
        <v>30</v>
      </c>
    </row>
    <row r="14967" spans="8:8" x14ac:dyDescent="0.25">
      <c r="H14967" t="s">
        <v>136</v>
      </c>
    </row>
    <row r="14968" spans="8:8" x14ac:dyDescent="0.25">
      <c r="H14968" t="s">
        <v>19706</v>
      </c>
    </row>
    <row r="14969" spans="8:8" x14ac:dyDescent="0.25">
      <c r="H14969" t="s">
        <v>30</v>
      </c>
    </row>
    <row r="14970" spans="8:8" x14ac:dyDescent="0.25">
      <c r="H14970" t="s">
        <v>137</v>
      </c>
    </row>
    <row r="14971" spans="8:8" x14ac:dyDescent="0.25">
      <c r="H14971" t="s">
        <v>19707</v>
      </c>
    </row>
    <row r="14972" spans="8:8" x14ac:dyDescent="0.25">
      <c r="H14972" t="s">
        <v>30</v>
      </c>
    </row>
    <row r="14973" spans="8:8" x14ac:dyDescent="0.25">
      <c r="H14973" t="s">
        <v>138</v>
      </c>
    </row>
    <row r="14974" spans="8:8" x14ac:dyDescent="0.25">
      <c r="H14974" t="s">
        <v>19708</v>
      </c>
    </row>
    <row r="14975" spans="8:8" x14ac:dyDescent="0.25">
      <c r="H14975" t="s">
        <v>30</v>
      </c>
    </row>
    <row r="14977" spans="8:8" x14ac:dyDescent="0.25">
      <c r="H14977" t="s">
        <v>14431</v>
      </c>
    </row>
    <row r="14978" spans="8:8" x14ac:dyDescent="0.25">
      <c r="H14978" t="s">
        <v>14432</v>
      </c>
    </row>
    <row r="14979" spans="8:8" x14ac:dyDescent="0.25">
      <c r="H14979" t="s">
        <v>135</v>
      </c>
    </row>
    <row r="14980" spans="8:8" x14ac:dyDescent="0.25">
      <c r="H14980" t="s">
        <v>19709</v>
      </c>
    </row>
    <row r="14981" spans="8:8" x14ac:dyDescent="0.25">
      <c r="H14981" t="s">
        <v>30</v>
      </c>
    </row>
    <row r="14982" spans="8:8" x14ac:dyDescent="0.25">
      <c r="H14982" t="s">
        <v>136</v>
      </c>
    </row>
    <row r="14983" spans="8:8" x14ac:dyDescent="0.25">
      <c r="H14983" t="s">
        <v>19710</v>
      </c>
    </row>
    <row r="14984" spans="8:8" x14ac:dyDescent="0.25">
      <c r="H14984" t="s">
        <v>30</v>
      </c>
    </row>
    <row r="14985" spans="8:8" x14ac:dyDescent="0.25">
      <c r="H14985" t="s">
        <v>137</v>
      </c>
    </row>
    <row r="14986" spans="8:8" x14ac:dyDescent="0.25">
      <c r="H14986" t="s">
        <v>19711</v>
      </c>
    </row>
    <row r="14987" spans="8:8" x14ac:dyDescent="0.25">
      <c r="H14987" t="s">
        <v>30</v>
      </c>
    </row>
    <row r="14988" spans="8:8" x14ac:dyDescent="0.25">
      <c r="H14988" t="s">
        <v>138</v>
      </c>
    </row>
    <row r="14989" spans="8:8" x14ac:dyDescent="0.25">
      <c r="H14989" t="s">
        <v>19712</v>
      </c>
    </row>
    <row r="14990" spans="8:8" x14ac:dyDescent="0.25">
      <c r="H14990" t="s">
        <v>30</v>
      </c>
    </row>
    <row r="14992" spans="8:8" x14ac:dyDescent="0.25">
      <c r="H14992" t="s">
        <v>14437</v>
      </c>
    </row>
    <row r="14993" spans="8:8" x14ac:dyDescent="0.25">
      <c r="H14993" t="s">
        <v>14438</v>
      </c>
    </row>
    <row r="14994" spans="8:8" x14ac:dyDescent="0.25">
      <c r="H14994" t="s">
        <v>135</v>
      </c>
    </row>
    <row r="14995" spans="8:8" x14ac:dyDescent="0.25">
      <c r="H14995" t="s">
        <v>19713</v>
      </c>
    </row>
    <row r="14996" spans="8:8" x14ac:dyDescent="0.25">
      <c r="H14996" t="s">
        <v>30</v>
      </c>
    </row>
    <row r="14997" spans="8:8" x14ac:dyDescent="0.25">
      <c r="H14997" t="s">
        <v>136</v>
      </c>
    </row>
    <row r="14998" spans="8:8" x14ac:dyDescent="0.25">
      <c r="H14998" t="s">
        <v>19714</v>
      </c>
    </row>
    <row r="14999" spans="8:8" x14ac:dyDescent="0.25">
      <c r="H14999" t="s">
        <v>30</v>
      </c>
    </row>
    <row r="15000" spans="8:8" x14ac:dyDescent="0.25">
      <c r="H15000" t="s">
        <v>137</v>
      </c>
    </row>
    <row r="15001" spans="8:8" x14ac:dyDescent="0.25">
      <c r="H15001" t="s">
        <v>19715</v>
      </c>
    </row>
    <row r="15002" spans="8:8" x14ac:dyDescent="0.25">
      <c r="H15002" t="s">
        <v>30</v>
      </c>
    </row>
    <row r="15003" spans="8:8" x14ac:dyDescent="0.25">
      <c r="H15003" t="s">
        <v>138</v>
      </c>
    </row>
    <row r="15004" spans="8:8" x14ac:dyDescent="0.25">
      <c r="H15004" t="s">
        <v>19716</v>
      </c>
    </row>
    <row r="15005" spans="8:8" x14ac:dyDescent="0.25">
      <c r="H15005" t="s">
        <v>30</v>
      </c>
    </row>
    <row r="15007" spans="8:8" x14ac:dyDescent="0.25">
      <c r="H15007" t="s">
        <v>14443</v>
      </c>
    </row>
    <row r="15008" spans="8:8" x14ac:dyDescent="0.25">
      <c r="H15008" t="s">
        <v>14444</v>
      </c>
    </row>
    <row r="15009" spans="8:8" x14ac:dyDescent="0.25">
      <c r="H15009" t="s">
        <v>135</v>
      </c>
    </row>
    <row r="15010" spans="8:8" x14ac:dyDescent="0.25">
      <c r="H15010" t="s">
        <v>19717</v>
      </c>
    </row>
    <row r="15011" spans="8:8" x14ac:dyDescent="0.25">
      <c r="H15011" t="s">
        <v>30</v>
      </c>
    </row>
    <row r="15012" spans="8:8" x14ac:dyDescent="0.25">
      <c r="H15012" t="s">
        <v>136</v>
      </c>
    </row>
    <row r="15013" spans="8:8" x14ac:dyDescent="0.25">
      <c r="H15013" t="s">
        <v>19718</v>
      </c>
    </row>
    <row r="15014" spans="8:8" x14ac:dyDescent="0.25">
      <c r="H15014" t="s">
        <v>30</v>
      </c>
    </row>
    <row r="15015" spans="8:8" x14ac:dyDescent="0.25">
      <c r="H15015" t="s">
        <v>137</v>
      </c>
    </row>
    <row r="15016" spans="8:8" x14ac:dyDescent="0.25">
      <c r="H15016" t="s">
        <v>19719</v>
      </c>
    </row>
    <row r="15017" spans="8:8" x14ac:dyDescent="0.25">
      <c r="H15017" t="s">
        <v>30</v>
      </c>
    </row>
    <row r="15018" spans="8:8" x14ac:dyDescent="0.25">
      <c r="H15018" t="s">
        <v>138</v>
      </c>
    </row>
    <row r="15019" spans="8:8" x14ac:dyDescent="0.25">
      <c r="H15019" t="s">
        <v>19720</v>
      </c>
    </row>
    <row r="15020" spans="8:8" x14ac:dyDescent="0.25">
      <c r="H15020" t="s">
        <v>30</v>
      </c>
    </row>
    <row r="15022" spans="8:8" x14ac:dyDescent="0.25">
      <c r="H15022" t="s">
        <v>14449</v>
      </c>
    </row>
    <row r="15023" spans="8:8" x14ac:dyDescent="0.25">
      <c r="H15023" t="s">
        <v>14450</v>
      </c>
    </row>
    <row r="15024" spans="8:8" x14ac:dyDescent="0.25">
      <c r="H15024" t="s">
        <v>135</v>
      </c>
    </row>
    <row r="15025" spans="8:8" x14ac:dyDescent="0.25">
      <c r="H15025" t="s">
        <v>19721</v>
      </c>
    </row>
    <row r="15026" spans="8:8" x14ac:dyDescent="0.25">
      <c r="H15026" t="s">
        <v>30</v>
      </c>
    </row>
    <row r="15027" spans="8:8" x14ac:dyDescent="0.25">
      <c r="H15027" t="s">
        <v>136</v>
      </c>
    </row>
    <row r="15028" spans="8:8" x14ac:dyDescent="0.25">
      <c r="H15028" t="s">
        <v>19722</v>
      </c>
    </row>
    <row r="15029" spans="8:8" x14ac:dyDescent="0.25">
      <c r="H15029" t="s">
        <v>30</v>
      </c>
    </row>
    <row r="15030" spans="8:8" x14ac:dyDescent="0.25">
      <c r="H15030" t="s">
        <v>137</v>
      </c>
    </row>
    <row r="15031" spans="8:8" x14ac:dyDescent="0.25">
      <c r="H15031" t="s">
        <v>19723</v>
      </c>
    </row>
    <row r="15032" spans="8:8" x14ac:dyDescent="0.25">
      <c r="H15032" t="s">
        <v>30</v>
      </c>
    </row>
    <row r="15033" spans="8:8" x14ac:dyDescent="0.25">
      <c r="H15033" t="s">
        <v>138</v>
      </c>
    </row>
    <row r="15034" spans="8:8" x14ac:dyDescent="0.25">
      <c r="H15034" t="s">
        <v>19724</v>
      </c>
    </row>
    <row r="15035" spans="8:8" x14ac:dyDescent="0.25">
      <c r="H15035" t="s">
        <v>30</v>
      </c>
    </row>
    <row r="15037" spans="8:8" x14ac:dyDescent="0.25">
      <c r="H15037" t="s">
        <v>14455</v>
      </c>
    </row>
    <row r="15038" spans="8:8" x14ac:dyDescent="0.25">
      <c r="H15038" t="s">
        <v>14456</v>
      </c>
    </row>
    <row r="15039" spans="8:8" x14ac:dyDescent="0.25">
      <c r="H15039" t="s">
        <v>135</v>
      </c>
    </row>
    <row r="15040" spans="8:8" x14ac:dyDescent="0.25">
      <c r="H15040" t="s">
        <v>19725</v>
      </c>
    </row>
    <row r="15041" spans="8:8" x14ac:dyDescent="0.25">
      <c r="H15041" t="s">
        <v>30</v>
      </c>
    </row>
    <row r="15042" spans="8:8" x14ac:dyDescent="0.25">
      <c r="H15042" t="s">
        <v>136</v>
      </c>
    </row>
    <row r="15043" spans="8:8" x14ac:dyDescent="0.25">
      <c r="H15043" t="s">
        <v>19726</v>
      </c>
    </row>
    <row r="15044" spans="8:8" x14ac:dyDescent="0.25">
      <c r="H15044" t="s">
        <v>30</v>
      </c>
    </row>
    <row r="15045" spans="8:8" x14ac:dyDescent="0.25">
      <c r="H15045" t="s">
        <v>137</v>
      </c>
    </row>
    <row r="15046" spans="8:8" x14ac:dyDescent="0.25">
      <c r="H15046" t="s">
        <v>19727</v>
      </c>
    </row>
    <row r="15047" spans="8:8" x14ac:dyDescent="0.25">
      <c r="H15047" t="s">
        <v>30</v>
      </c>
    </row>
    <row r="15048" spans="8:8" x14ac:dyDescent="0.25">
      <c r="H15048" t="s">
        <v>138</v>
      </c>
    </row>
    <row r="15049" spans="8:8" x14ac:dyDescent="0.25">
      <c r="H15049" t="s">
        <v>19728</v>
      </c>
    </row>
    <row r="15050" spans="8:8" x14ac:dyDescent="0.25">
      <c r="H15050" t="s">
        <v>30</v>
      </c>
    </row>
    <row r="15052" spans="8:8" x14ac:dyDescent="0.25">
      <c r="H15052" t="s">
        <v>14461</v>
      </c>
    </row>
    <row r="15053" spans="8:8" x14ac:dyDescent="0.25">
      <c r="H15053" t="s">
        <v>14462</v>
      </c>
    </row>
    <row r="15054" spans="8:8" x14ac:dyDescent="0.25">
      <c r="H15054" t="s">
        <v>135</v>
      </c>
    </row>
    <row r="15055" spans="8:8" x14ac:dyDescent="0.25">
      <c r="H15055" t="s">
        <v>19729</v>
      </c>
    </row>
    <row r="15056" spans="8:8" x14ac:dyDescent="0.25">
      <c r="H15056" t="s">
        <v>30</v>
      </c>
    </row>
    <row r="15057" spans="8:8" x14ac:dyDescent="0.25">
      <c r="H15057" t="s">
        <v>136</v>
      </c>
    </row>
    <row r="15058" spans="8:8" x14ac:dyDescent="0.25">
      <c r="H15058" t="s">
        <v>19730</v>
      </c>
    </row>
    <row r="15059" spans="8:8" x14ac:dyDescent="0.25">
      <c r="H15059" t="s">
        <v>30</v>
      </c>
    </row>
    <row r="15060" spans="8:8" x14ac:dyDescent="0.25">
      <c r="H15060" t="s">
        <v>137</v>
      </c>
    </row>
    <row r="15061" spans="8:8" x14ac:dyDescent="0.25">
      <c r="H15061" t="s">
        <v>19731</v>
      </c>
    </row>
    <row r="15062" spans="8:8" x14ac:dyDescent="0.25">
      <c r="H15062" t="s">
        <v>30</v>
      </c>
    </row>
    <row r="15063" spans="8:8" x14ac:dyDescent="0.25">
      <c r="H15063" t="s">
        <v>138</v>
      </c>
    </row>
    <row r="15064" spans="8:8" x14ac:dyDescent="0.25">
      <c r="H15064" t="s">
        <v>19732</v>
      </c>
    </row>
    <row r="15065" spans="8:8" x14ac:dyDescent="0.25">
      <c r="H15065" t="s">
        <v>30</v>
      </c>
    </row>
    <row r="15067" spans="8:8" x14ac:dyDescent="0.25">
      <c r="H15067" t="s">
        <v>14467</v>
      </c>
    </row>
    <row r="15068" spans="8:8" x14ac:dyDescent="0.25">
      <c r="H15068" t="s">
        <v>14468</v>
      </c>
    </row>
    <row r="15069" spans="8:8" x14ac:dyDescent="0.25">
      <c r="H15069" t="s">
        <v>135</v>
      </c>
    </row>
    <row r="15070" spans="8:8" x14ac:dyDescent="0.25">
      <c r="H15070" t="s">
        <v>19733</v>
      </c>
    </row>
    <row r="15071" spans="8:8" x14ac:dyDescent="0.25">
      <c r="H15071" t="s">
        <v>30</v>
      </c>
    </row>
    <row r="15072" spans="8:8" x14ac:dyDescent="0.25">
      <c r="H15072" t="s">
        <v>136</v>
      </c>
    </row>
    <row r="15073" spans="8:8" x14ac:dyDescent="0.25">
      <c r="H15073" t="s">
        <v>19734</v>
      </c>
    </row>
    <row r="15074" spans="8:8" x14ac:dyDescent="0.25">
      <c r="H15074" t="s">
        <v>30</v>
      </c>
    </row>
    <row r="15075" spans="8:8" x14ac:dyDescent="0.25">
      <c r="H15075" t="s">
        <v>137</v>
      </c>
    </row>
    <row r="15076" spans="8:8" x14ac:dyDescent="0.25">
      <c r="H15076" t="s">
        <v>19735</v>
      </c>
    </row>
    <row r="15077" spans="8:8" x14ac:dyDescent="0.25">
      <c r="H15077" t="s">
        <v>30</v>
      </c>
    </row>
    <row r="15078" spans="8:8" x14ac:dyDescent="0.25">
      <c r="H15078" t="s">
        <v>138</v>
      </c>
    </row>
    <row r="15079" spans="8:8" x14ac:dyDescent="0.25">
      <c r="H15079" t="s">
        <v>19736</v>
      </c>
    </row>
    <row r="15080" spans="8:8" x14ac:dyDescent="0.25">
      <c r="H15080" t="s">
        <v>30</v>
      </c>
    </row>
    <row r="15082" spans="8:8" x14ac:dyDescent="0.25">
      <c r="H15082" t="s">
        <v>14473</v>
      </c>
    </row>
    <row r="15083" spans="8:8" x14ac:dyDescent="0.25">
      <c r="H15083" t="s">
        <v>14474</v>
      </c>
    </row>
    <row r="15084" spans="8:8" x14ac:dyDescent="0.25">
      <c r="H15084" t="s">
        <v>135</v>
      </c>
    </row>
    <row r="15085" spans="8:8" x14ac:dyDescent="0.25">
      <c r="H15085" t="s">
        <v>19737</v>
      </c>
    </row>
    <row r="15086" spans="8:8" x14ac:dyDescent="0.25">
      <c r="H15086" t="s">
        <v>30</v>
      </c>
    </row>
    <row r="15087" spans="8:8" x14ac:dyDescent="0.25">
      <c r="H15087" t="s">
        <v>136</v>
      </c>
    </row>
    <row r="15088" spans="8:8" x14ac:dyDescent="0.25">
      <c r="H15088" t="s">
        <v>19738</v>
      </c>
    </row>
    <row r="15089" spans="8:8" x14ac:dyDescent="0.25">
      <c r="H15089" t="s">
        <v>30</v>
      </c>
    </row>
    <row r="15090" spans="8:8" x14ac:dyDescent="0.25">
      <c r="H15090" t="s">
        <v>137</v>
      </c>
    </row>
    <row r="15091" spans="8:8" x14ac:dyDescent="0.25">
      <c r="H15091" t="s">
        <v>19739</v>
      </c>
    </row>
    <row r="15092" spans="8:8" x14ac:dyDescent="0.25">
      <c r="H15092" t="s">
        <v>30</v>
      </c>
    </row>
    <row r="15093" spans="8:8" x14ac:dyDescent="0.25">
      <c r="H15093" t="s">
        <v>138</v>
      </c>
    </row>
    <row r="15094" spans="8:8" x14ac:dyDescent="0.25">
      <c r="H15094" t="s">
        <v>19740</v>
      </c>
    </row>
    <row r="15095" spans="8:8" x14ac:dyDescent="0.25">
      <c r="H15095" t="s">
        <v>30</v>
      </c>
    </row>
    <row r="15097" spans="8:8" x14ac:dyDescent="0.25">
      <c r="H15097" t="s">
        <v>14479</v>
      </c>
    </row>
    <row r="15098" spans="8:8" x14ac:dyDescent="0.25">
      <c r="H15098" t="s">
        <v>14480</v>
      </c>
    </row>
    <row r="15099" spans="8:8" x14ac:dyDescent="0.25">
      <c r="H15099" t="s">
        <v>135</v>
      </c>
    </row>
    <row r="15100" spans="8:8" x14ac:dyDescent="0.25">
      <c r="H15100" t="s">
        <v>19741</v>
      </c>
    </row>
    <row r="15101" spans="8:8" x14ac:dyDescent="0.25">
      <c r="H15101" t="s">
        <v>30</v>
      </c>
    </row>
    <row r="15102" spans="8:8" x14ac:dyDescent="0.25">
      <c r="H15102" t="s">
        <v>136</v>
      </c>
    </row>
    <row r="15103" spans="8:8" x14ac:dyDescent="0.25">
      <c r="H15103" t="s">
        <v>19742</v>
      </c>
    </row>
    <row r="15104" spans="8:8" x14ac:dyDescent="0.25">
      <c r="H15104" t="s">
        <v>30</v>
      </c>
    </row>
    <row r="15105" spans="8:8" x14ac:dyDescent="0.25">
      <c r="H15105" t="s">
        <v>137</v>
      </c>
    </row>
    <row r="15106" spans="8:8" x14ac:dyDescent="0.25">
      <c r="H15106" t="s">
        <v>19743</v>
      </c>
    </row>
    <row r="15107" spans="8:8" x14ac:dyDescent="0.25">
      <c r="H15107" t="s">
        <v>30</v>
      </c>
    </row>
    <row r="15108" spans="8:8" x14ac:dyDescent="0.25">
      <c r="H15108" t="s">
        <v>138</v>
      </c>
    </row>
    <row r="15109" spans="8:8" x14ac:dyDescent="0.25">
      <c r="H15109" t="s">
        <v>19744</v>
      </c>
    </row>
    <row r="15110" spans="8:8" x14ac:dyDescent="0.25">
      <c r="H15110" t="s">
        <v>30</v>
      </c>
    </row>
    <row r="15112" spans="8:8" x14ac:dyDescent="0.25">
      <c r="H15112" t="s">
        <v>14485</v>
      </c>
    </row>
    <row r="15113" spans="8:8" x14ac:dyDescent="0.25">
      <c r="H15113" t="s">
        <v>14486</v>
      </c>
    </row>
    <row r="15114" spans="8:8" x14ac:dyDescent="0.25">
      <c r="H15114" t="s">
        <v>135</v>
      </c>
    </row>
    <row r="15115" spans="8:8" x14ac:dyDescent="0.25">
      <c r="H15115" t="s">
        <v>19745</v>
      </c>
    </row>
    <row r="15116" spans="8:8" x14ac:dyDescent="0.25">
      <c r="H15116" t="s">
        <v>30</v>
      </c>
    </row>
    <row r="15117" spans="8:8" x14ac:dyDescent="0.25">
      <c r="H15117" t="s">
        <v>136</v>
      </c>
    </row>
    <row r="15118" spans="8:8" x14ac:dyDescent="0.25">
      <c r="H15118" t="s">
        <v>19746</v>
      </c>
    </row>
    <row r="15119" spans="8:8" x14ac:dyDescent="0.25">
      <c r="H15119" t="s">
        <v>30</v>
      </c>
    </row>
    <row r="15120" spans="8:8" x14ac:dyDescent="0.25">
      <c r="H15120" t="s">
        <v>137</v>
      </c>
    </row>
    <row r="15121" spans="8:8" x14ac:dyDescent="0.25">
      <c r="H15121" t="s">
        <v>19747</v>
      </c>
    </row>
    <row r="15122" spans="8:8" x14ac:dyDescent="0.25">
      <c r="H15122" t="s">
        <v>30</v>
      </c>
    </row>
    <row r="15123" spans="8:8" x14ac:dyDescent="0.25">
      <c r="H15123" t="s">
        <v>138</v>
      </c>
    </row>
    <row r="15124" spans="8:8" x14ac:dyDescent="0.25">
      <c r="H15124" t="s">
        <v>19748</v>
      </c>
    </row>
    <row r="15125" spans="8:8" x14ac:dyDescent="0.25">
      <c r="H15125" t="s">
        <v>30</v>
      </c>
    </row>
    <row r="15127" spans="8:8" x14ac:dyDescent="0.25">
      <c r="H15127" t="s">
        <v>14491</v>
      </c>
    </row>
    <row r="15128" spans="8:8" x14ac:dyDescent="0.25">
      <c r="H15128" t="s">
        <v>14492</v>
      </c>
    </row>
    <row r="15129" spans="8:8" x14ac:dyDescent="0.25">
      <c r="H15129" t="s">
        <v>135</v>
      </c>
    </row>
    <row r="15130" spans="8:8" x14ac:dyDescent="0.25">
      <c r="H15130" t="s">
        <v>19749</v>
      </c>
    </row>
    <row r="15131" spans="8:8" x14ac:dyDescent="0.25">
      <c r="H15131" t="s">
        <v>30</v>
      </c>
    </row>
    <row r="15132" spans="8:8" x14ac:dyDescent="0.25">
      <c r="H15132" t="s">
        <v>136</v>
      </c>
    </row>
    <row r="15133" spans="8:8" x14ac:dyDescent="0.25">
      <c r="H15133" t="s">
        <v>19750</v>
      </c>
    </row>
    <row r="15134" spans="8:8" x14ac:dyDescent="0.25">
      <c r="H15134" t="s">
        <v>30</v>
      </c>
    </row>
    <row r="15135" spans="8:8" x14ac:dyDescent="0.25">
      <c r="H15135" t="s">
        <v>137</v>
      </c>
    </row>
    <row r="15136" spans="8:8" x14ac:dyDescent="0.25">
      <c r="H15136" t="s">
        <v>19751</v>
      </c>
    </row>
    <row r="15137" spans="8:8" x14ac:dyDescent="0.25">
      <c r="H15137" t="s">
        <v>30</v>
      </c>
    </row>
    <row r="15138" spans="8:8" x14ac:dyDescent="0.25">
      <c r="H15138" t="s">
        <v>138</v>
      </c>
    </row>
    <row r="15139" spans="8:8" x14ac:dyDescent="0.25">
      <c r="H15139" t="s">
        <v>19752</v>
      </c>
    </row>
    <row r="15140" spans="8:8" x14ac:dyDescent="0.25">
      <c r="H15140" t="s">
        <v>30</v>
      </c>
    </row>
    <row r="15142" spans="8:8" x14ac:dyDescent="0.25">
      <c r="H15142" t="s">
        <v>14497</v>
      </c>
    </row>
    <row r="15143" spans="8:8" x14ac:dyDescent="0.25">
      <c r="H15143" t="s">
        <v>14498</v>
      </c>
    </row>
    <row r="15144" spans="8:8" x14ac:dyDescent="0.25">
      <c r="H15144" t="s">
        <v>135</v>
      </c>
    </row>
    <row r="15145" spans="8:8" x14ac:dyDescent="0.25">
      <c r="H15145" t="s">
        <v>19753</v>
      </c>
    </row>
    <row r="15146" spans="8:8" x14ac:dyDescent="0.25">
      <c r="H15146" t="s">
        <v>30</v>
      </c>
    </row>
    <row r="15147" spans="8:8" x14ac:dyDescent="0.25">
      <c r="H15147" t="s">
        <v>136</v>
      </c>
    </row>
    <row r="15148" spans="8:8" x14ac:dyDescent="0.25">
      <c r="H15148" t="s">
        <v>19754</v>
      </c>
    </row>
    <row r="15149" spans="8:8" x14ac:dyDescent="0.25">
      <c r="H15149" t="s">
        <v>30</v>
      </c>
    </row>
    <row r="15150" spans="8:8" x14ac:dyDescent="0.25">
      <c r="H15150" t="s">
        <v>137</v>
      </c>
    </row>
    <row r="15151" spans="8:8" x14ac:dyDescent="0.25">
      <c r="H15151" t="s">
        <v>19755</v>
      </c>
    </row>
    <row r="15152" spans="8:8" x14ac:dyDescent="0.25">
      <c r="H15152" t="s">
        <v>30</v>
      </c>
    </row>
    <row r="15153" spans="8:8" x14ac:dyDescent="0.25">
      <c r="H15153" t="s">
        <v>138</v>
      </c>
    </row>
    <row r="15154" spans="8:8" x14ac:dyDescent="0.25">
      <c r="H15154" t="s">
        <v>19756</v>
      </c>
    </row>
    <row r="15155" spans="8:8" x14ac:dyDescent="0.25">
      <c r="H15155" t="s">
        <v>30</v>
      </c>
    </row>
    <row r="15157" spans="8:8" x14ac:dyDescent="0.25">
      <c r="H15157" t="s">
        <v>14503</v>
      </c>
    </row>
    <row r="15158" spans="8:8" x14ac:dyDescent="0.25">
      <c r="H15158" t="s">
        <v>14504</v>
      </c>
    </row>
    <row r="15159" spans="8:8" x14ac:dyDescent="0.25">
      <c r="H15159" t="s">
        <v>135</v>
      </c>
    </row>
    <row r="15160" spans="8:8" x14ac:dyDescent="0.25">
      <c r="H15160" t="s">
        <v>19757</v>
      </c>
    </row>
    <row r="15161" spans="8:8" x14ac:dyDescent="0.25">
      <c r="H15161" t="s">
        <v>30</v>
      </c>
    </row>
    <row r="15162" spans="8:8" x14ac:dyDescent="0.25">
      <c r="H15162" t="s">
        <v>136</v>
      </c>
    </row>
    <row r="15163" spans="8:8" x14ac:dyDescent="0.25">
      <c r="H15163" t="s">
        <v>19758</v>
      </c>
    </row>
    <row r="15164" spans="8:8" x14ac:dyDescent="0.25">
      <c r="H15164" t="s">
        <v>30</v>
      </c>
    </row>
    <row r="15165" spans="8:8" x14ac:dyDescent="0.25">
      <c r="H15165" t="s">
        <v>137</v>
      </c>
    </row>
    <row r="15166" spans="8:8" x14ac:dyDescent="0.25">
      <c r="H15166" t="s">
        <v>19759</v>
      </c>
    </row>
    <row r="15167" spans="8:8" x14ac:dyDescent="0.25">
      <c r="H15167" t="s">
        <v>30</v>
      </c>
    </row>
    <row r="15168" spans="8:8" x14ac:dyDescent="0.25">
      <c r="H15168" t="s">
        <v>138</v>
      </c>
    </row>
    <row r="15169" spans="8:8" x14ac:dyDescent="0.25">
      <c r="H15169" t="s">
        <v>19760</v>
      </c>
    </row>
    <row r="15170" spans="8:8" x14ac:dyDescent="0.25">
      <c r="H15170" t="s">
        <v>30</v>
      </c>
    </row>
    <row r="15172" spans="8:8" x14ac:dyDescent="0.25">
      <c r="H15172" t="s">
        <v>14509</v>
      </c>
    </row>
    <row r="15173" spans="8:8" x14ac:dyDescent="0.25">
      <c r="H15173" t="s">
        <v>14510</v>
      </c>
    </row>
    <row r="15174" spans="8:8" x14ac:dyDescent="0.25">
      <c r="H15174" t="s">
        <v>135</v>
      </c>
    </row>
    <row r="15175" spans="8:8" x14ac:dyDescent="0.25">
      <c r="H15175" t="s">
        <v>19761</v>
      </c>
    </row>
    <row r="15176" spans="8:8" x14ac:dyDescent="0.25">
      <c r="H15176" t="s">
        <v>30</v>
      </c>
    </row>
    <row r="15177" spans="8:8" x14ac:dyDescent="0.25">
      <c r="H15177" t="s">
        <v>136</v>
      </c>
    </row>
    <row r="15178" spans="8:8" x14ac:dyDescent="0.25">
      <c r="H15178" t="s">
        <v>19762</v>
      </c>
    </row>
    <row r="15179" spans="8:8" x14ac:dyDescent="0.25">
      <c r="H15179" t="s">
        <v>30</v>
      </c>
    </row>
    <row r="15180" spans="8:8" x14ac:dyDescent="0.25">
      <c r="H15180" t="s">
        <v>137</v>
      </c>
    </row>
    <row r="15181" spans="8:8" x14ac:dyDescent="0.25">
      <c r="H15181" t="s">
        <v>19763</v>
      </c>
    </row>
    <row r="15182" spans="8:8" x14ac:dyDescent="0.25">
      <c r="H15182" t="s">
        <v>30</v>
      </c>
    </row>
    <row r="15183" spans="8:8" x14ac:dyDescent="0.25">
      <c r="H15183" t="s">
        <v>138</v>
      </c>
    </row>
    <row r="15184" spans="8:8" x14ac:dyDescent="0.25">
      <c r="H15184" t="s">
        <v>19764</v>
      </c>
    </row>
    <row r="15185" spans="8:8" x14ac:dyDescent="0.25">
      <c r="H15185" t="s">
        <v>30</v>
      </c>
    </row>
    <row r="15187" spans="8:8" x14ac:dyDescent="0.25">
      <c r="H15187" t="s">
        <v>14515</v>
      </c>
    </row>
    <row r="15188" spans="8:8" x14ac:dyDescent="0.25">
      <c r="H15188" t="s">
        <v>14516</v>
      </c>
    </row>
    <row r="15189" spans="8:8" x14ac:dyDescent="0.25">
      <c r="H15189" t="s">
        <v>135</v>
      </c>
    </row>
    <row r="15190" spans="8:8" x14ac:dyDescent="0.25">
      <c r="H15190" t="s">
        <v>19765</v>
      </c>
    </row>
    <row r="15191" spans="8:8" x14ac:dyDescent="0.25">
      <c r="H15191" t="s">
        <v>30</v>
      </c>
    </row>
    <row r="15192" spans="8:8" x14ac:dyDescent="0.25">
      <c r="H15192" t="s">
        <v>136</v>
      </c>
    </row>
    <row r="15193" spans="8:8" x14ac:dyDescent="0.25">
      <c r="H15193" t="s">
        <v>19766</v>
      </c>
    </row>
    <row r="15194" spans="8:8" x14ac:dyDescent="0.25">
      <c r="H15194" t="s">
        <v>30</v>
      </c>
    </row>
    <row r="15195" spans="8:8" x14ac:dyDescent="0.25">
      <c r="H15195" t="s">
        <v>137</v>
      </c>
    </row>
    <row r="15196" spans="8:8" x14ac:dyDescent="0.25">
      <c r="H15196" t="s">
        <v>19767</v>
      </c>
    </row>
    <row r="15197" spans="8:8" x14ac:dyDescent="0.25">
      <c r="H15197" t="s">
        <v>30</v>
      </c>
    </row>
    <row r="15198" spans="8:8" x14ac:dyDescent="0.25">
      <c r="H15198" t="s">
        <v>138</v>
      </c>
    </row>
    <row r="15199" spans="8:8" x14ac:dyDescent="0.25">
      <c r="H15199" t="s">
        <v>19768</v>
      </c>
    </row>
    <row r="15200" spans="8:8" x14ac:dyDescent="0.25">
      <c r="H15200" t="s">
        <v>30</v>
      </c>
    </row>
    <row r="15202" spans="8:8" x14ac:dyDescent="0.25">
      <c r="H15202" t="s">
        <v>14521</v>
      </c>
    </row>
    <row r="15203" spans="8:8" x14ac:dyDescent="0.25">
      <c r="H15203" t="s">
        <v>14522</v>
      </c>
    </row>
    <row r="15204" spans="8:8" x14ac:dyDescent="0.25">
      <c r="H15204" t="s">
        <v>135</v>
      </c>
    </row>
    <row r="15205" spans="8:8" x14ac:dyDescent="0.25">
      <c r="H15205" t="s">
        <v>19769</v>
      </c>
    </row>
    <row r="15206" spans="8:8" x14ac:dyDescent="0.25">
      <c r="H15206" t="s">
        <v>30</v>
      </c>
    </row>
    <row r="15207" spans="8:8" x14ac:dyDescent="0.25">
      <c r="H15207" t="s">
        <v>136</v>
      </c>
    </row>
    <row r="15208" spans="8:8" x14ac:dyDescent="0.25">
      <c r="H15208" t="s">
        <v>19770</v>
      </c>
    </row>
    <row r="15209" spans="8:8" x14ac:dyDescent="0.25">
      <c r="H15209" t="s">
        <v>30</v>
      </c>
    </row>
    <row r="15210" spans="8:8" x14ac:dyDescent="0.25">
      <c r="H15210" t="s">
        <v>137</v>
      </c>
    </row>
    <row r="15211" spans="8:8" x14ac:dyDescent="0.25">
      <c r="H15211" t="s">
        <v>19771</v>
      </c>
    </row>
    <row r="15212" spans="8:8" x14ac:dyDescent="0.25">
      <c r="H15212" t="s">
        <v>30</v>
      </c>
    </row>
    <row r="15213" spans="8:8" x14ac:dyDescent="0.25">
      <c r="H15213" t="s">
        <v>138</v>
      </c>
    </row>
    <row r="15214" spans="8:8" x14ac:dyDescent="0.25">
      <c r="H15214" t="s">
        <v>19772</v>
      </c>
    </row>
    <row r="15215" spans="8:8" x14ac:dyDescent="0.25">
      <c r="H15215" t="s">
        <v>30</v>
      </c>
    </row>
    <row r="15217" spans="8:8" x14ac:dyDescent="0.25">
      <c r="H15217" t="s">
        <v>14527</v>
      </c>
    </row>
    <row r="15218" spans="8:8" x14ac:dyDescent="0.25">
      <c r="H15218" t="s">
        <v>14528</v>
      </c>
    </row>
    <row r="15219" spans="8:8" x14ac:dyDescent="0.25">
      <c r="H15219" t="s">
        <v>135</v>
      </c>
    </row>
    <row r="15220" spans="8:8" x14ac:dyDescent="0.25">
      <c r="H15220" t="s">
        <v>19773</v>
      </c>
    </row>
    <row r="15221" spans="8:8" x14ac:dyDescent="0.25">
      <c r="H15221" t="s">
        <v>30</v>
      </c>
    </row>
    <row r="15222" spans="8:8" x14ac:dyDescent="0.25">
      <c r="H15222" t="s">
        <v>136</v>
      </c>
    </row>
    <row r="15223" spans="8:8" x14ac:dyDescent="0.25">
      <c r="H15223" t="s">
        <v>19774</v>
      </c>
    </row>
    <row r="15224" spans="8:8" x14ac:dyDescent="0.25">
      <c r="H15224" t="s">
        <v>30</v>
      </c>
    </row>
    <row r="15225" spans="8:8" x14ac:dyDescent="0.25">
      <c r="H15225" t="s">
        <v>137</v>
      </c>
    </row>
    <row r="15226" spans="8:8" x14ac:dyDescent="0.25">
      <c r="H15226" t="s">
        <v>19775</v>
      </c>
    </row>
    <row r="15227" spans="8:8" x14ac:dyDescent="0.25">
      <c r="H15227" t="s">
        <v>30</v>
      </c>
    </row>
    <row r="15228" spans="8:8" x14ac:dyDescent="0.25">
      <c r="H15228" t="s">
        <v>138</v>
      </c>
    </row>
    <row r="15229" spans="8:8" x14ac:dyDescent="0.25">
      <c r="H15229" t="s">
        <v>19776</v>
      </c>
    </row>
    <row r="15230" spans="8:8" x14ac:dyDescent="0.25">
      <c r="H15230" t="s">
        <v>30</v>
      </c>
    </row>
    <row r="15232" spans="8:8" x14ac:dyDescent="0.25">
      <c r="H15232" t="s">
        <v>14533</v>
      </c>
    </row>
    <row r="15233" spans="8:8" x14ac:dyDescent="0.25">
      <c r="H15233" t="s">
        <v>14534</v>
      </c>
    </row>
    <row r="15234" spans="8:8" x14ac:dyDescent="0.25">
      <c r="H15234" t="s">
        <v>135</v>
      </c>
    </row>
    <row r="15235" spans="8:8" x14ac:dyDescent="0.25">
      <c r="H15235" t="s">
        <v>19777</v>
      </c>
    </row>
    <row r="15236" spans="8:8" x14ac:dyDescent="0.25">
      <c r="H15236" t="s">
        <v>30</v>
      </c>
    </row>
    <row r="15237" spans="8:8" x14ac:dyDescent="0.25">
      <c r="H15237" t="s">
        <v>136</v>
      </c>
    </row>
    <row r="15238" spans="8:8" x14ac:dyDescent="0.25">
      <c r="H15238" t="s">
        <v>19778</v>
      </c>
    </row>
    <row r="15239" spans="8:8" x14ac:dyDescent="0.25">
      <c r="H15239" t="s">
        <v>30</v>
      </c>
    </row>
    <row r="15240" spans="8:8" x14ac:dyDescent="0.25">
      <c r="H15240" t="s">
        <v>137</v>
      </c>
    </row>
    <row r="15241" spans="8:8" x14ac:dyDescent="0.25">
      <c r="H15241" t="s">
        <v>19779</v>
      </c>
    </row>
    <row r="15242" spans="8:8" x14ac:dyDescent="0.25">
      <c r="H15242" t="s">
        <v>30</v>
      </c>
    </row>
    <row r="15243" spans="8:8" x14ac:dyDescent="0.25">
      <c r="H15243" t="s">
        <v>138</v>
      </c>
    </row>
    <row r="15244" spans="8:8" x14ac:dyDescent="0.25">
      <c r="H15244" t="s">
        <v>19780</v>
      </c>
    </row>
    <row r="15245" spans="8:8" x14ac:dyDescent="0.25">
      <c r="H15245" t="s">
        <v>30</v>
      </c>
    </row>
    <row r="15247" spans="8:8" x14ac:dyDescent="0.25">
      <c r="H15247" t="s">
        <v>14539</v>
      </c>
    </row>
    <row r="15248" spans="8:8" x14ac:dyDescent="0.25">
      <c r="H15248" t="s">
        <v>14540</v>
      </c>
    </row>
    <row r="15249" spans="8:8" x14ac:dyDescent="0.25">
      <c r="H15249" t="s">
        <v>135</v>
      </c>
    </row>
    <row r="15250" spans="8:8" x14ac:dyDescent="0.25">
      <c r="H15250" t="s">
        <v>19781</v>
      </c>
    </row>
    <row r="15251" spans="8:8" x14ac:dyDescent="0.25">
      <c r="H15251" t="s">
        <v>30</v>
      </c>
    </row>
    <row r="15252" spans="8:8" x14ac:dyDescent="0.25">
      <c r="H15252" t="s">
        <v>136</v>
      </c>
    </row>
    <row r="15253" spans="8:8" x14ac:dyDescent="0.25">
      <c r="H15253" t="s">
        <v>19782</v>
      </c>
    </row>
    <row r="15254" spans="8:8" x14ac:dyDescent="0.25">
      <c r="H15254" t="s">
        <v>30</v>
      </c>
    </row>
    <row r="15255" spans="8:8" x14ac:dyDescent="0.25">
      <c r="H15255" t="s">
        <v>137</v>
      </c>
    </row>
    <row r="15256" spans="8:8" x14ac:dyDescent="0.25">
      <c r="H15256" t="s">
        <v>19783</v>
      </c>
    </row>
    <row r="15257" spans="8:8" x14ac:dyDescent="0.25">
      <c r="H15257" t="s">
        <v>30</v>
      </c>
    </row>
    <row r="15258" spans="8:8" x14ac:dyDescent="0.25">
      <c r="H15258" t="s">
        <v>138</v>
      </c>
    </row>
    <row r="15259" spans="8:8" x14ac:dyDescent="0.25">
      <c r="H15259" t="s">
        <v>19784</v>
      </c>
    </row>
    <row r="15260" spans="8:8" x14ac:dyDescent="0.25">
      <c r="H15260" t="s">
        <v>30</v>
      </c>
    </row>
    <row r="15262" spans="8:8" x14ac:dyDescent="0.25">
      <c r="H15262" t="s">
        <v>14545</v>
      </c>
    </row>
    <row r="15263" spans="8:8" x14ac:dyDescent="0.25">
      <c r="H15263" t="s">
        <v>14546</v>
      </c>
    </row>
    <row r="15264" spans="8:8" x14ac:dyDescent="0.25">
      <c r="H15264" t="s">
        <v>135</v>
      </c>
    </row>
    <row r="15265" spans="8:8" x14ac:dyDescent="0.25">
      <c r="H15265" t="s">
        <v>19785</v>
      </c>
    </row>
    <row r="15266" spans="8:8" x14ac:dyDescent="0.25">
      <c r="H15266" t="s">
        <v>30</v>
      </c>
    </row>
    <row r="15267" spans="8:8" x14ac:dyDescent="0.25">
      <c r="H15267" t="s">
        <v>136</v>
      </c>
    </row>
    <row r="15268" spans="8:8" x14ac:dyDescent="0.25">
      <c r="H15268" t="s">
        <v>19786</v>
      </c>
    </row>
    <row r="15269" spans="8:8" x14ac:dyDescent="0.25">
      <c r="H15269" t="s">
        <v>30</v>
      </c>
    </row>
    <row r="15270" spans="8:8" x14ac:dyDescent="0.25">
      <c r="H15270" t="s">
        <v>137</v>
      </c>
    </row>
    <row r="15271" spans="8:8" x14ac:dyDescent="0.25">
      <c r="H15271" t="s">
        <v>19787</v>
      </c>
    </row>
    <row r="15272" spans="8:8" x14ac:dyDescent="0.25">
      <c r="H15272" t="s">
        <v>30</v>
      </c>
    </row>
    <row r="15273" spans="8:8" x14ac:dyDescent="0.25">
      <c r="H15273" t="s">
        <v>138</v>
      </c>
    </row>
    <row r="15274" spans="8:8" x14ac:dyDescent="0.25">
      <c r="H15274" t="s">
        <v>19788</v>
      </c>
    </row>
    <row r="15275" spans="8:8" x14ac:dyDescent="0.25">
      <c r="H15275" t="s">
        <v>30</v>
      </c>
    </row>
    <row r="15277" spans="8:8" x14ac:dyDescent="0.25">
      <c r="H15277" t="s">
        <v>14551</v>
      </c>
    </row>
    <row r="15278" spans="8:8" x14ac:dyDescent="0.25">
      <c r="H15278" t="s">
        <v>14552</v>
      </c>
    </row>
    <row r="15279" spans="8:8" x14ac:dyDescent="0.25">
      <c r="H15279" t="s">
        <v>135</v>
      </c>
    </row>
    <row r="15280" spans="8:8" x14ac:dyDescent="0.25">
      <c r="H15280" t="s">
        <v>19789</v>
      </c>
    </row>
    <row r="15281" spans="8:8" x14ac:dyDescent="0.25">
      <c r="H15281" t="s">
        <v>30</v>
      </c>
    </row>
    <row r="15282" spans="8:8" x14ac:dyDescent="0.25">
      <c r="H15282" t="s">
        <v>136</v>
      </c>
    </row>
    <row r="15283" spans="8:8" x14ac:dyDescent="0.25">
      <c r="H15283" t="s">
        <v>19790</v>
      </c>
    </row>
    <row r="15284" spans="8:8" x14ac:dyDescent="0.25">
      <c r="H15284" t="s">
        <v>30</v>
      </c>
    </row>
    <row r="15285" spans="8:8" x14ac:dyDescent="0.25">
      <c r="H15285" t="s">
        <v>137</v>
      </c>
    </row>
    <row r="15286" spans="8:8" x14ac:dyDescent="0.25">
      <c r="H15286" t="s">
        <v>19791</v>
      </c>
    </row>
    <row r="15287" spans="8:8" x14ac:dyDescent="0.25">
      <c r="H15287" t="s">
        <v>30</v>
      </c>
    </row>
    <row r="15288" spans="8:8" x14ac:dyDescent="0.25">
      <c r="H15288" t="s">
        <v>138</v>
      </c>
    </row>
    <row r="15289" spans="8:8" x14ac:dyDescent="0.25">
      <c r="H15289" t="s">
        <v>19792</v>
      </c>
    </row>
    <row r="15290" spans="8:8" x14ac:dyDescent="0.25">
      <c r="H15290" t="s">
        <v>30</v>
      </c>
    </row>
    <row r="15292" spans="8:8" x14ac:dyDescent="0.25">
      <c r="H15292" t="s">
        <v>14557</v>
      </c>
    </row>
    <row r="15293" spans="8:8" x14ac:dyDescent="0.25">
      <c r="H15293" t="s">
        <v>14558</v>
      </c>
    </row>
    <row r="15294" spans="8:8" x14ac:dyDescent="0.25">
      <c r="H15294" t="s">
        <v>135</v>
      </c>
    </row>
    <row r="15295" spans="8:8" x14ac:dyDescent="0.25">
      <c r="H15295" t="s">
        <v>19793</v>
      </c>
    </row>
    <row r="15296" spans="8:8" x14ac:dyDescent="0.25">
      <c r="H15296" t="s">
        <v>30</v>
      </c>
    </row>
    <row r="15297" spans="8:8" x14ac:dyDescent="0.25">
      <c r="H15297" t="s">
        <v>136</v>
      </c>
    </row>
    <row r="15298" spans="8:8" x14ac:dyDescent="0.25">
      <c r="H15298" t="s">
        <v>19794</v>
      </c>
    </row>
    <row r="15299" spans="8:8" x14ac:dyDescent="0.25">
      <c r="H15299" t="s">
        <v>30</v>
      </c>
    </row>
    <row r="15300" spans="8:8" x14ac:dyDescent="0.25">
      <c r="H15300" t="s">
        <v>137</v>
      </c>
    </row>
    <row r="15301" spans="8:8" x14ac:dyDescent="0.25">
      <c r="H15301" t="s">
        <v>19795</v>
      </c>
    </row>
    <row r="15302" spans="8:8" x14ac:dyDescent="0.25">
      <c r="H15302" t="s">
        <v>30</v>
      </c>
    </row>
    <row r="15303" spans="8:8" x14ac:dyDescent="0.25">
      <c r="H15303" t="s">
        <v>138</v>
      </c>
    </row>
    <row r="15304" spans="8:8" x14ac:dyDescent="0.25">
      <c r="H15304" t="s">
        <v>19796</v>
      </c>
    </row>
    <row r="15305" spans="8:8" x14ac:dyDescent="0.25">
      <c r="H15305" t="s">
        <v>30</v>
      </c>
    </row>
    <row r="15307" spans="8:8" x14ac:dyDescent="0.25">
      <c r="H15307" t="s">
        <v>14563</v>
      </c>
    </row>
    <row r="15308" spans="8:8" x14ac:dyDescent="0.25">
      <c r="H15308" t="s">
        <v>14564</v>
      </c>
    </row>
    <row r="15309" spans="8:8" x14ac:dyDescent="0.25">
      <c r="H15309" t="s">
        <v>135</v>
      </c>
    </row>
    <row r="15310" spans="8:8" x14ac:dyDescent="0.25">
      <c r="H15310" t="s">
        <v>19797</v>
      </c>
    </row>
    <row r="15311" spans="8:8" x14ac:dyDescent="0.25">
      <c r="H15311" t="s">
        <v>30</v>
      </c>
    </row>
    <row r="15312" spans="8:8" x14ac:dyDescent="0.25">
      <c r="H15312" t="s">
        <v>136</v>
      </c>
    </row>
    <row r="15313" spans="8:8" x14ac:dyDescent="0.25">
      <c r="H15313" t="s">
        <v>19798</v>
      </c>
    </row>
    <row r="15314" spans="8:8" x14ac:dyDescent="0.25">
      <c r="H15314" t="s">
        <v>30</v>
      </c>
    </row>
    <row r="15315" spans="8:8" x14ac:dyDescent="0.25">
      <c r="H15315" t="s">
        <v>137</v>
      </c>
    </row>
    <row r="15316" spans="8:8" x14ac:dyDescent="0.25">
      <c r="H15316" t="s">
        <v>19799</v>
      </c>
    </row>
    <row r="15317" spans="8:8" x14ac:dyDescent="0.25">
      <c r="H15317" t="s">
        <v>30</v>
      </c>
    </row>
    <row r="15318" spans="8:8" x14ac:dyDescent="0.25">
      <c r="H15318" t="s">
        <v>138</v>
      </c>
    </row>
    <row r="15319" spans="8:8" x14ac:dyDescent="0.25">
      <c r="H15319" t="s">
        <v>19800</v>
      </c>
    </row>
    <row r="15320" spans="8:8" x14ac:dyDescent="0.25">
      <c r="H15320" t="s">
        <v>30</v>
      </c>
    </row>
    <row r="15322" spans="8:8" x14ac:dyDescent="0.25">
      <c r="H15322" t="s">
        <v>14569</v>
      </c>
    </row>
    <row r="15323" spans="8:8" x14ac:dyDescent="0.25">
      <c r="H15323" t="s">
        <v>14570</v>
      </c>
    </row>
    <row r="15324" spans="8:8" x14ac:dyDescent="0.25">
      <c r="H15324" t="s">
        <v>135</v>
      </c>
    </row>
    <row r="15325" spans="8:8" x14ac:dyDescent="0.25">
      <c r="H15325" t="s">
        <v>19801</v>
      </c>
    </row>
    <row r="15326" spans="8:8" x14ac:dyDescent="0.25">
      <c r="H15326" t="s">
        <v>30</v>
      </c>
    </row>
    <row r="15327" spans="8:8" x14ac:dyDescent="0.25">
      <c r="H15327" t="s">
        <v>136</v>
      </c>
    </row>
    <row r="15328" spans="8:8" x14ac:dyDescent="0.25">
      <c r="H15328" t="s">
        <v>19802</v>
      </c>
    </row>
    <row r="15329" spans="8:8" x14ac:dyDescent="0.25">
      <c r="H15329" t="s">
        <v>30</v>
      </c>
    </row>
    <row r="15330" spans="8:8" x14ac:dyDescent="0.25">
      <c r="H15330" t="s">
        <v>137</v>
      </c>
    </row>
    <row r="15331" spans="8:8" x14ac:dyDescent="0.25">
      <c r="H15331" t="s">
        <v>19803</v>
      </c>
    </row>
    <row r="15332" spans="8:8" x14ac:dyDescent="0.25">
      <c r="H15332" t="s">
        <v>30</v>
      </c>
    </row>
    <row r="15333" spans="8:8" x14ac:dyDescent="0.25">
      <c r="H15333" t="s">
        <v>138</v>
      </c>
    </row>
    <row r="15334" spans="8:8" x14ac:dyDescent="0.25">
      <c r="H15334" t="s">
        <v>19804</v>
      </c>
    </row>
    <row r="15335" spans="8:8" x14ac:dyDescent="0.25">
      <c r="H15335" t="s">
        <v>30</v>
      </c>
    </row>
    <row r="15337" spans="8:8" x14ac:dyDescent="0.25">
      <c r="H15337" t="s">
        <v>14575</v>
      </c>
    </row>
    <row r="15338" spans="8:8" x14ac:dyDescent="0.25">
      <c r="H15338" t="s">
        <v>14576</v>
      </c>
    </row>
    <row r="15339" spans="8:8" x14ac:dyDescent="0.25">
      <c r="H15339" t="s">
        <v>135</v>
      </c>
    </row>
    <row r="15340" spans="8:8" x14ac:dyDescent="0.25">
      <c r="H15340" t="s">
        <v>19805</v>
      </c>
    </row>
    <row r="15341" spans="8:8" x14ac:dyDescent="0.25">
      <c r="H15341" t="s">
        <v>30</v>
      </c>
    </row>
    <row r="15342" spans="8:8" x14ac:dyDescent="0.25">
      <c r="H15342" t="s">
        <v>136</v>
      </c>
    </row>
    <row r="15343" spans="8:8" x14ac:dyDescent="0.25">
      <c r="H15343" t="s">
        <v>19806</v>
      </c>
    </row>
    <row r="15344" spans="8:8" x14ac:dyDescent="0.25">
      <c r="H15344" t="s">
        <v>30</v>
      </c>
    </row>
    <row r="15345" spans="8:8" x14ac:dyDescent="0.25">
      <c r="H15345" t="s">
        <v>137</v>
      </c>
    </row>
    <row r="15346" spans="8:8" x14ac:dyDescent="0.25">
      <c r="H15346" t="s">
        <v>19807</v>
      </c>
    </row>
    <row r="15347" spans="8:8" x14ac:dyDescent="0.25">
      <c r="H15347" t="s">
        <v>30</v>
      </c>
    </row>
    <row r="15348" spans="8:8" x14ac:dyDescent="0.25">
      <c r="H15348" t="s">
        <v>138</v>
      </c>
    </row>
    <row r="15349" spans="8:8" x14ac:dyDescent="0.25">
      <c r="H15349" t="s">
        <v>19808</v>
      </c>
    </row>
    <row r="15350" spans="8:8" x14ac:dyDescent="0.25">
      <c r="H15350" t="s">
        <v>30</v>
      </c>
    </row>
    <row r="15352" spans="8:8" x14ac:dyDescent="0.25">
      <c r="H15352" t="s">
        <v>14581</v>
      </c>
    </row>
    <row r="15353" spans="8:8" x14ac:dyDescent="0.25">
      <c r="H15353" t="s">
        <v>14582</v>
      </c>
    </row>
    <row r="15354" spans="8:8" x14ac:dyDescent="0.25">
      <c r="H15354" t="s">
        <v>135</v>
      </c>
    </row>
    <row r="15355" spans="8:8" x14ac:dyDescent="0.25">
      <c r="H15355" t="s">
        <v>19809</v>
      </c>
    </row>
    <row r="15356" spans="8:8" x14ac:dyDescent="0.25">
      <c r="H15356" t="s">
        <v>30</v>
      </c>
    </row>
    <row r="15357" spans="8:8" x14ac:dyDescent="0.25">
      <c r="H15357" t="s">
        <v>136</v>
      </c>
    </row>
    <row r="15358" spans="8:8" x14ac:dyDescent="0.25">
      <c r="H15358" t="s">
        <v>19810</v>
      </c>
    </row>
    <row r="15359" spans="8:8" x14ac:dyDescent="0.25">
      <c r="H15359" t="s">
        <v>30</v>
      </c>
    </row>
    <row r="15360" spans="8:8" x14ac:dyDescent="0.25">
      <c r="H15360" t="s">
        <v>137</v>
      </c>
    </row>
    <row r="15361" spans="8:8" x14ac:dyDescent="0.25">
      <c r="H15361" t="s">
        <v>19811</v>
      </c>
    </row>
    <row r="15362" spans="8:8" x14ac:dyDescent="0.25">
      <c r="H15362" t="s">
        <v>30</v>
      </c>
    </row>
    <row r="15363" spans="8:8" x14ac:dyDescent="0.25">
      <c r="H15363" t="s">
        <v>138</v>
      </c>
    </row>
    <row r="15364" spans="8:8" x14ac:dyDescent="0.25">
      <c r="H15364" t="s">
        <v>19812</v>
      </c>
    </row>
    <row r="15365" spans="8:8" x14ac:dyDescent="0.25">
      <c r="H15365" t="s">
        <v>30</v>
      </c>
    </row>
    <row r="15367" spans="8:8" x14ac:dyDescent="0.25">
      <c r="H15367" t="s">
        <v>14587</v>
      </c>
    </row>
    <row r="15368" spans="8:8" x14ac:dyDescent="0.25">
      <c r="H15368" t="s">
        <v>14588</v>
      </c>
    </row>
    <row r="15369" spans="8:8" x14ac:dyDescent="0.25">
      <c r="H15369" t="s">
        <v>135</v>
      </c>
    </row>
    <row r="15370" spans="8:8" x14ac:dyDescent="0.25">
      <c r="H15370" t="s">
        <v>19813</v>
      </c>
    </row>
    <row r="15371" spans="8:8" x14ac:dyDescent="0.25">
      <c r="H15371" t="s">
        <v>30</v>
      </c>
    </row>
    <row r="15372" spans="8:8" x14ac:dyDescent="0.25">
      <c r="H15372" t="s">
        <v>136</v>
      </c>
    </row>
    <row r="15373" spans="8:8" x14ac:dyDescent="0.25">
      <c r="H15373" t="s">
        <v>19814</v>
      </c>
    </row>
    <row r="15374" spans="8:8" x14ac:dyDescent="0.25">
      <c r="H15374" t="s">
        <v>30</v>
      </c>
    </row>
    <row r="15375" spans="8:8" x14ac:dyDescent="0.25">
      <c r="H15375" t="s">
        <v>137</v>
      </c>
    </row>
    <row r="15376" spans="8:8" x14ac:dyDescent="0.25">
      <c r="H15376" t="s">
        <v>19815</v>
      </c>
    </row>
    <row r="15377" spans="8:8" x14ac:dyDescent="0.25">
      <c r="H15377" t="s">
        <v>30</v>
      </c>
    </row>
    <row r="15378" spans="8:8" x14ac:dyDescent="0.25">
      <c r="H15378" t="s">
        <v>138</v>
      </c>
    </row>
    <row r="15379" spans="8:8" x14ac:dyDescent="0.25">
      <c r="H15379" t="s">
        <v>19816</v>
      </c>
    </row>
    <row r="15380" spans="8:8" x14ac:dyDescent="0.25">
      <c r="H15380" t="s">
        <v>30</v>
      </c>
    </row>
    <row r="15382" spans="8:8" x14ac:dyDescent="0.25">
      <c r="H15382" t="s">
        <v>14593</v>
      </c>
    </row>
    <row r="15383" spans="8:8" x14ac:dyDescent="0.25">
      <c r="H15383" t="s">
        <v>14594</v>
      </c>
    </row>
    <row r="15384" spans="8:8" x14ac:dyDescent="0.25">
      <c r="H15384" t="s">
        <v>135</v>
      </c>
    </row>
    <row r="15385" spans="8:8" x14ac:dyDescent="0.25">
      <c r="H15385" t="s">
        <v>19817</v>
      </c>
    </row>
    <row r="15386" spans="8:8" x14ac:dyDescent="0.25">
      <c r="H15386" t="s">
        <v>30</v>
      </c>
    </row>
    <row r="15387" spans="8:8" x14ac:dyDescent="0.25">
      <c r="H15387" t="s">
        <v>136</v>
      </c>
    </row>
    <row r="15388" spans="8:8" x14ac:dyDescent="0.25">
      <c r="H15388" t="s">
        <v>19818</v>
      </c>
    </row>
    <row r="15389" spans="8:8" x14ac:dyDescent="0.25">
      <c r="H15389" t="s">
        <v>30</v>
      </c>
    </row>
    <row r="15390" spans="8:8" x14ac:dyDescent="0.25">
      <c r="H15390" t="s">
        <v>137</v>
      </c>
    </row>
    <row r="15391" spans="8:8" x14ac:dyDescent="0.25">
      <c r="H15391" t="s">
        <v>19819</v>
      </c>
    </row>
    <row r="15392" spans="8:8" x14ac:dyDescent="0.25">
      <c r="H15392" t="s">
        <v>30</v>
      </c>
    </row>
    <row r="15393" spans="8:8" x14ac:dyDescent="0.25">
      <c r="H15393" t="s">
        <v>138</v>
      </c>
    </row>
    <row r="15394" spans="8:8" x14ac:dyDescent="0.25">
      <c r="H15394" t="s">
        <v>19820</v>
      </c>
    </row>
    <row r="15395" spans="8:8" x14ac:dyDescent="0.25">
      <c r="H15395" t="s">
        <v>30</v>
      </c>
    </row>
    <row r="15397" spans="8:8" x14ac:dyDescent="0.25">
      <c r="H15397" t="s">
        <v>14599</v>
      </c>
    </row>
    <row r="15398" spans="8:8" x14ac:dyDescent="0.25">
      <c r="H15398" t="s">
        <v>14600</v>
      </c>
    </row>
    <row r="15399" spans="8:8" x14ac:dyDescent="0.25">
      <c r="H15399" t="s">
        <v>135</v>
      </c>
    </row>
    <row r="15400" spans="8:8" x14ac:dyDescent="0.25">
      <c r="H15400" t="s">
        <v>19821</v>
      </c>
    </row>
    <row r="15401" spans="8:8" x14ac:dyDescent="0.25">
      <c r="H15401" t="s">
        <v>30</v>
      </c>
    </row>
    <row r="15402" spans="8:8" x14ac:dyDescent="0.25">
      <c r="H15402" t="s">
        <v>136</v>
      </c>
    </row>
    <row r="15403" spans="8:8" x14ac:dyDescent="0.25">
      <c r="H15403" t="s">
        <v>19822</v>
      </c>
    </row>
    <row r="15404" spans="8:8" x14ac:dyDescent="0.25">
      <c r="H15404" t="s">
        <v>30</v>
      </c>
    </row>
    <row r="15405" spans="8:8" x14ac:dyDescent="0.25">
      <c r="H15405" t="s">
        <v>137</v>
      </c>
    </row>
    <row r="15406" spans="8:8" x14ac:dyDescent="0.25">
      <c r="H15406" t="s">
        <v>19823</v>
      </c>
    </row>
    <row r="15407" spans="8:8" x14ac:dyDescent="0.25">
      <c r="H15407" t="s">
        <v>30</v>
      </c>
    </row>
    <row r="15408" spans="8:8" x14ac:dyDescent="0.25">
      <c r="H15408" t="s">
        <v>138</v>
      </c>
    </row>
    <row r="15409" spans="8:8" x14ac:dyDescent="0.25">
      <c r="H15409" t="s">
        <v>19824</v>
      </c>
    </row>
    <row r="15410" spans="8:8" x14ac:dyDescent="0.25">
      <c r="H15410" t="s">
        <v>30</v>
      </c>
    </row>
    <row r="15412" spans="8:8" x14ac:dyDescent="0.25">
      <c r="H15412" t="s">
        <v>14605</v>
      </c>
    </row>
    <row r="15413" spans="8:8" x14ac:dyDescent="0.25">
      <c r="H15413" t="s">
        <v>14606</v>
      </c>
    </row>
    <row r="15414" spans="8:8" x14ac:dyDescent="0.25">
      <c r="H15414" t="s">
        <v>135</v>
      </c>
    </row>
    <row r="15415" spans="8:8" x14ac:dyDescent="0.25">
      <c r="H15415" t="s">
        <v>19825</v>
      </c>
    </row>
    <row r="15416" spans="8:8" x14ac:dyDescent="0.25">
      <c r="H15416" t="s">
        <v>30</v>
      </c>
    </row>
    <row r="15417" spans="8:8" x14ac:dyDescent="0.25">
      <c r="H15417" t="s">
        <v>136</v>
      </c>
    </row>
    <row r="15418" spans="8:8" x14ac:dyDescent="0.25">
      <c r="H15418" t="s">
        <v>19826</v>
      </c>
    </row>
    <row r="15419" spans="8:8" x14ac:dyDescent="0.25">
      <c r="H15419" t="s">
        <v>30</v>
      </c>
    </row>
    <row r="15420" spans="8:8" x14ac:dyDescent="0.25">
      <c r="H15420" t="s">
        <v>137</v>
      </c>
    </row>
    <row r="15421" spans="8:8" x14ac:dyDescent="0.25">
      <c r="H15421" t="s">
        <v>19827</v>
      </c>
    </row>
    <row r="15422" spans="8:8" x14ac:dyDescent="0.25">
      <c r="H15422" t="s">
        <v>30</v>
      </c>
    </row>
    <row r="15423" spans="8:8" x14ac:dyDescent="0.25">
      <c r="H15423" t="s">
        <v>138</v>
      </c>
    </row>
    <row r="15424" spans="8:8" x14ac:dyDescent="0.25">
      <c r="H15424" t="s">
        <v>19828</v>
      </c>
    </row>
    <row r="15425" spans="8:8" x14ac:dyDescent="0.25">
      <c r="H15425" t="s">
        <v>30</v>
      </c>
    </row>
    <row r="15427" spans="8:8" x14ac:dyDescent="0.25">
      <c r="H15427" t="s">
        <v>14611</v>
      </c>
    </row>
    <row r="15428" spans="8:8" x14ac:dyDescent="0.25">
      <c r="H15428" t="s">
        <v>14612</v>
      </c>
    </row>
    <row r="15429" spans="8:8" x14ac:dyDescent="0.25">
      <c r="H15429" t="s">
        <v>135</v>
      </c>
    </row>
    <row r="15430" spans="8:8" x14ac:dyDescent="0.25">
      <c r="H15430" t="s">
        <v>19829</v>
      </c>
    </row>
    <row r="15431" spans="8:8" x14ac:dyDescent="0.25">
      <c r="H15431" t="s">
        <v>30</v>
      </c>
    </row>
    <row r="15432" spans="8:8" x14ac:dyDescent="0.25">
      <c r="H15432" t="s">
        <v>136</v>
      </c>
    </row>
    <row r="15433" spans="8:8" x14ac:dyDescent="0.25">
      <c r="H15433" t="s">
        <v>19830</v>
      </c>
    </row>
    <row r="15434" spans="8:8" x14ac:dyDescent="0.25">
      <c r="H15434" t="s">
        <v>30</v>
      </c>
    </row>
    <row r="15435" spans="8:8" x14ac:dyDescent="0.25">
      <c r="H15435" t="s">
        <v>137</v>
      </c>
    </row>
    <row r="15436" spans="8:8" x14ac:dyDescent="0.25">
      <c r="H15436" t="s">
        <v>19831</v>
      </c>
    </row>
    <row r="15437" spans="8:8" x14ac:dyDescent="0.25">
      <c r="H15437" t="s">
        <v>30</v>
      </c>
    </row>
    <row r="15438" spans="8:8" x14ac:dyDescent="0.25">
      <c r="H15438" t="s">
        <v>138</v>
      </c>
    </row>
    <row r="15439" spans="8:8" x14ac:dyDescent="0.25">
      <c r="H15439" t="s">
        <v>19832</v>
      </c>
    </row>
    <row r="15440" spans="8:8" x14ac:dyDescent="0.25">
      <c r="H15440" t="s">
        <v>30</v>
      </c>
    </row>
    <row r="15442" spans="8:8" x14ac:dyDescent="0.25">
      <c r="H15442" t="s">
        <v>14617</v>
      </c>
    </row>
    <row r="15443" spans="8:8" x14ac:dyDescent="0.25">
      <c r="H15443" t="s">
        <v>14618</v>
      </c>
    </row>
    <row r="15444" spans="8:8" x14ac:dyDescent="0.25">
      <c r="H15444" t="s">
        <v>135</v>
      </c>
    </row>
    <row r="15445" spans="8:8" x14ac:dyDescent="0.25">
      <c r="H15445" t="s">
        <v>19833</v>
      </c>
    </row>
    <row r="15446" spans="8:8" x14ac:dyDescent="0.25">
      <c r="H15446" t="s">
        <v>30</v>
      </c>
    </row>
    <row r="15447" spans="8:8" x14ac:dyDescent="0.25">
      <c r="H15447" t="s">
        <v>136</v>
      </c>
    </row>
    <row r="15448" spans="8:8" x14ac:dyDescent="0.25">
      <c r="H15448" t="s">
        <v>19834</v>
      </c>
    </row>
    <row r="15449" spans="8:8" x14ac:dyDescent="0.25">
      <c r="H15449" t="s">
        <v>30</v>
      </c>
    </row>
    <row r="15450" spans="8:8" x14ac:dyDescent="0.25">
      <c r="H15450" t="s">
        <v>137</v>
      </c>
    </row>
    <row r="15451" spans="8:8" x14ac:dyDescent="0.25">
      <c r="H15451" t="s">
        <v>19835</v>
      </c>
    </row>
    <row r="15452" spans="8:8" x14ac:dyDescent="0.25">
      <c r="H15452" t="s">
        <v>30</v>
      </c>
    </row>
    <row r="15453" spans="8:8" x14ac:dyDescent="0.25">
      <c r="H15453" t="s">
        <v>138</v>
      </c>
    </row>
    <row r="15454" spans="8:8" x14ac:dyDescent="0.25">
      <c r="H15454" t="s">
        <v>19836</v>
      </c>
    </row>
    <row r="15455" spans="8:8" x14ac:dyDescent="0.25">
      <c r="H15455" t="s">
        <v>30</v>
      </c>
    </row>
    <row r="15457" spans="8:8" x14ac:dyDescent="0.25">
      <c r="H15457" t="s">
        <v>14623</v>
      </c>
    </row>
    <row r="15458" spans="8:8" x14ac:dyDescent="0.25">
      <c r="H15458" t="s">
        <v>14624</v>
      </c>
    </row>
    <row r="15459" spans="8:8" x14ac:dyDescent="0.25">
      <c r="H15459" t="s">
        <v>135</v>
      </c>
    </row>
    <row r="15460" spans="8:8" x14ac:dyDescent="0.25">
      <c r="H15460" t="s">
        <v>19837</v>
      </c>
    </row>
    <row r="15461" spans="8:8" x14ac:dyDescent="0.25">
      <c r="H15461" t="s">
        <v>30</v>
      </c>
    </row>
    <row r="15462" spans="8:8" x14ac:dyDescent="0.25">
      <c r="H15462" t="s">
        <v>136</v>
      </c>
    </row>
    <row r="15463" spans="8:8" x14ac:dyDescent="0.25">
      <c r="H15463" t="s">
        <v>19838</v>
      </c>
    </row>
    <row r="15464" spans="8:8" x14ac:dyDescent="0.25">
      <c r="H15464" t="s">
        <v>30</v>
      </c>
    </row>
    <row r="15465" spans="8:8" x14ac:dyDescent="0.25">
      <c r="H15465" t="s">
        <v>137</v>
      </c>
    </row>
    <row r="15466" spans="8:8" x14ac:dyDescent="0.25">
      <c r="H15466" t="s">
        <v>19839</v>
      </c>
    </row>
    <row r="15467" spans="8:8" x14ac:dyDescent="0.25">
      <c r="H15467" t="s">
        <v>30</v>
      </c>
    </row>
    <row r="15468" spans="8:8" x14ac:dyDescent="0.25">
      <c r="H15468" t="s">
        <v>138</v>
      </c>
    </row>
    <row r="15469" spans="8:8" x14ac:dyDescent="0.25">
      <c r="H15469" t="s">
        <v>19840</v>
      </c>
    </row>
    <row r="15470" spans="8:8" x14ac:dyDescent="0.25">
      <c r="H15470" t="s">
        <v>30</v>
      </c>
    </row>
    <row r="15472" spans="8:8" x14ac:dyDescent="0.25">
      <c r="H15472" t="s">
        <v>14629</v>
      </c>
    </row>
    <row r="15473" spans="8:8" x14ac:dyDescent="0.25">
      <c r="H15473" t="s">
        <v>14630</v>
      </c>
    </row>
    <row r="15474" spans="8:8" x14ac:dyDescent="0.25">
      <c r="H15474" t="s">
        <v>135</v>
      </c>
    </row>
    <row r="15475" spans="8:8" x14ac:dyDescent="0.25">
      <c r="H15475" t="s">
        <v>19841</v>
      </c>
    </row>
    <row r="15476" spans="8:8" x14ac:dyDescent="0.25">
      <c r="H15476" t="s">
        <v>30</v>
      </c>
    </row>
    <row r="15477" spans="8:8" x14ac:dyDescent="0.25">
      <c r="H15477" t="s">
        <v>136</v>
      </c>
    </row>
    <row r="15478" spans="8:8" x14ac:dyDescent="0.25">
      <c r="H15478" t="s">
        <v>19842</v>
      </c>
    </row>
    <row r="15479" spans="8:8" x14ac:dyDescent="0.25">
      <c r="H15479" t="s">
        <v>30</v>
      </c>
    </row>
    <row r="15480" spans="8:8" x14ac:dyDescent="0.25">
      <c r="H15480" t="s">
        <v>137</v>
      </c>
    </row>
    <row r="15481" spans="8:8" x14ac:dyDescent="0.25">
      <c r="H15481" t="s">
        <v>19843</v>
      </c>
    </row>
    <row r="15482" spans="8:8" x14ac:dyDescent="0.25">
      <c r="H15482" t="s">
        <v>30</v>
      </c>
    </row>
    <row r="15483" spans="8:8" x14ac:dyDescent="0.25">
      <c r="H15483" t="s">
        <v>138</v>
      </c>
    </row>
    <row r="15484" spans="8:8" x14ac:dyDescent="0.25">
      <c r="H15484" t="s">
        <v>19844</v>
      </c>
    </row>
    <row r="15485" spans="8:8" x14ac:dyDescent="0.25">
      <c r="H15485" t="s">
        <v>30</v>
      </c>
    </row>
    <row r="15487" spans="8:8" x14ac:dyDescent="0.25">
      <c r="H15487" t="s">
        <v>14635</v>
      </c>
    </row>
    <row r="15488" spans="8:8" x14ac:dyDescent="0.25">
      <c r="H15488" t="s">
        <v>14636</v>
      </c>
    </row>
    <row r="15489" spans="8:8" x14ac:dyDescent="0.25">
      <c r="H15489" t="s">
        <v>135</v>
      </c>
    </row>
    <row r="15490" spans="8:8" x14ac:dyDescent="0.25">
      <c r="H15490" t="s">
        <v>19845</v>
      </c>
    </row>
    <row r="15491" spans="8:8" x14ac:dyDescent="0.25">
      <c r="H15491" t="s">
        <v>30</v>
      </c>
    </row>
    <row r="15492" spans="8:8" x14ac:dyDescent="0.25">
      <c r="H15492" t="s">
        <v>136</v>
      </c>
    </row>
    <row r="15493" spans="8:8" x14ac:dyDescent="0.25">
      <c r="H15493" t="s">
        <v>19846</v>
      </c>
    </row>
    <row r="15494" spans="8:8" x14ac:dyDescent="0.25">
      <c r="H15494" t="s">
        <v>30</v>
      </c>
    </row>
    <row r="15495" spans="8:8" x14ac:dyDescent="0.25">
      <c r="H15495" t="s">
        <v>137</v>
      </c>
    </row>
    <row r="15496" spans="8:8" x14ac:dyDescent="0.25">
      <c r="H15496" t="s">
        <v>19847</v>
      </c>
    </row>
    <row r="15497" spans="8:8" x14ac:dyDescent="0.25">
      <c r="H15497" t="s">
        <v>30</v>
      </c>
    </row>
    <row r="15498" spans="8:8" x14ac:dyDescent="0.25">
      <c r="H15498" t="s">
        <v>138</v>
      </c>
    </row>
    <row r="15499" spans="8:8" x14ac:dyDescent="0.25">
      <c r="H15499" t="s">
        <v>19848</v>
      </c>
    </row>
    <row r="15500" spans="8:8" x14ac:dyDescent="0.25">
      <c r="H15500" t="s">
        <v>30</v>
      </c>
    </row>
    <row r="15502" spans="8:8" x14ac:dyDescent="0.25">
      <c r="H15502" t="s">
        <v>14641</v>
      </c>
    </row>
    <row r="15503" spans="8:8" x14ac:dyDescent="0.25">
      <c r="H15503" t="s">
        <v>14642</v>
      </c>
    </row>
    <row r="15504" spans="8:8" x14ac:dyDescent="0.25">
      <c r="H15504" t="s">
        <v>135</v>
      </c>
    </row>
    <row r="15505" spans="8:8" x14ac:dyDescent="0.25">
      <c r="H15505" t="s">
        <v>19849</v>
      </c>
    </row>
    <row r="15506" spans="8:8" x14ac:dyDescent="0.25">
      <c r="H15506" t="s">
        <v>30</v>
      </c>
    </row>
    <row r="15507" spans="8:8" x14ac:dyDescent="0.25">
      <c r="H15507" t="s">
        <v>136</v>
      </c>
    </row>
    <row r="15508" spans="8:8" x14ac:dyDescent="0.25">
      <c r="H15508" t="s">
        <v>19850</v>
      </c>
    </row>
    <row r="15509" spans="8:8" x14ac:dyDescent="0.25">
      <c r="H15509" t="s">
        <v>30</v>
      </c>
    </row>
    <row r="15510" spans="8:8" x14ac:dyDescent="0.25">
      <c r="H15510" t="s">
        <v>137</v>
      </c>
    </row>
    <row r="15511" spans="8:8" x14ac:dyDescent="0.25">
      <c r="H15511" t="s">
        <v>19851</v>
      </c>
    </row>
    <row r="15512" spans="8:8" x14ac:dyDescent="0.25">
      <c r="H15512" t="s">
        <v>30</v>
      </c>
    </row>
    <row r="15513" spans="8:8" x14ac:dyDescent="0.25">
      <c r="H15513" t="s">
        <v>138</v>
      </c>
    </row>
    <row r="15514" spans="8:8" x14ac:dyDescent="0.25">
      <c r="H15514" t="s">
        <v>19852</v>
      </c>
    </row>
    <row r="15515" spans="8:8" x14ac:dyDescent="0.25">
      <c r="H15515" t="s">
        <v>30</v>
      </c>
    </row>
    <row r="15517" spans="8:8" x14ac:dyDescent="0.25">
      <c r="H15517" t="s">
        <v>14647</v>
      </c>
    </row>
    <row r="15518" spans="8:8" x14ac:dyDescent="0.25">
      <c r="H15518" t="s">
        <v>14648</v>
      </c>
    </row>
    <row r="15519" spans="8:8" x14ac:dyDescent="0.25">
      <c r="H15519" t="s">
        <v>135</v>
      </c>
    </row>
    <row r="15520" spans="8:8" x14ac:dyDescent="0.25">
      <c r="H15520" t="s">
        <v>19853</v>
      </c>
    </row>
    <row r="15521" spans="8:8" x14ac:dyDescent="0.25">
      <c r="H15521" t="s">
        <v>30</v>
      </c>
    </row>
    <row r="15522" spans="8:8" x14ac:dyDescent="0.25">
      <c r="H15522" t="s">
        <v>136</v>
      </c>
    </row>
    <row r="15523" spans="8:8" x14ac:dyDescent="0.25">
      <c r="H15523" t="s">
        <v>19854</v>
      </c>
    </row>
    <row r="15524" spans="8:8" x14ac:dyDescent="0.25">
      <c r="H15524" t="s">
        <v>30</v>
      </c>
    </row>
    <row r="15525" spans="8:8" x14ac:dyDescent="0.25">
      <c r="H15525" t="s">
        <v>137</v>
      </c>
    </row>
    <row r="15526" spans="8:8" x14ac:dyDescent="0.25">
      <c r="H15526" t="s">
        <v>19855</v>
      </c>
    </row>
    <row r="15527" spans="8:8" x14ac:dyDescent="0.25">
      <c r="H15527" t="s">
        <v>30</v>
      </c>
    </row>
    <row r="15528" spans="8:8" x14ac:dyDescent="0.25">
      <c r="H15528" t="s">
        <v>138</v>
      </c>
    </row>
    <row r="15529" spans="8:8" x14ac:dyDescent="0.25">
      <c r="H15529" t="s">
        <v>19856</v>
      </c>
    </row>
    <row r="15530" spans="8:8" x14ac:dyDescent="0.25">
      <c r="H15530" t="s">
        <v>30</v>
      </c>
    </row>
    <row r="15532" spans="8:8" x14ac:dyDescent="0.25">
      <c r="H15532" t="s">
        <v>14653</v>
      </c>
    </row>
    <row r="15533" spans="8:8" x14ac:dyDescent="0.25">
      <c r="H15533" t="s">
        <v>14654</v>
      </c>
    </row>
    <row r="15534" spans="8:8" x14ac:dyDescent="0.25">
      <c r="H15534" t="s">
        <v>135</v>
      </c>
    </row>
    <row r="15535" spans="8:8" x14ac:dyDescent="0.25">
      <c r="H15535" t="s">
        <v>19857</v>
      </c>
    </row>
    <row r="15536" spans="8:8" x14ac:dyDescent="0.25">
      <c r="H15536" t="s">
        <v>30</v>
      </c>
    </row>
    <row r="15537" spans="8:8" x14ac:dyDescent="0.25">
      <c r="H15537" t="s">
        <v>136</v>
      </c>
    </row>
    <row r="15538" spans="8:8" x14ac:dyDescent="0.25">
      <c r="H15538" t="s">
        <v>19858</v>
      </c>
    </row>
    <row r="15539" spans="8:8" x14ac:dyDescent="0.25">
      <c r="H15539" t="s">
        <v>30</v>
      </c>
    </row>
    <row r="15540" spans="8:8" x14ac:dyDescent="0.25">
      <c r="H15540" t="s">
        <v>137</v>
      </c>
    </row>
    <row r="15541" spans="8:8" x14ac:dyDescent="0.25">
      <c r="H15541" t="s">
        <v>19859</v>
      </c>
    </row>
    <row r="15542" spans="8:8" x14ac:dyDescent="0.25">
      <c r="H15542" t="s">
        <v>30</v>
      </c>
    </row>
    <row r="15543" spans="8:8" x14ac:dyDescent="0.25">
      <c r="H15543" t="s">
        <v>138</v>
      </c>
    </row>
    <row r="15544" spans="8:8" x14ac:dyDescent="0.25">
      <c r="H15544" t="s">
        <v>19860</v>
      </c>
    </row>
    <row r="15545" spans="8:8" x14ac:dyDescent="0.25">
      <c r="H15545" t="s">
        <v>30</v>
      </c>
    </row>
    <row r="15547" spans="8:8" x14ac:dyDescent="0.25">
      <c r="H15547" t="s">
        <v>14659</v>
      </c>
    </row>
    <row r="15548" spans="8:8" x14ac:dyDescent="0.25">
      <c r="H15548" t="s">
        <v>14660</v>
      </c>
    </row>
    <row r="15549" spans="8:8" x14ac:dyDescent="0.25">
      <c r="H15549" t="s">
        <v>135</v>
      </c>
    </row>
    <row r="15550" spans="8:8" x14ac:dyDescent="0.25">
      <c r="H15550" t="s">
        <v>19861</v>
      </c>
    </row>
    <row r="15551" spans="8:8" x14ac:dyDescent="0.25">
      <c r="H15551" t="s">
        <v>30</v>
      </c>
    </row>
    <row r="15552" spans="8:8" x14ac:dyDescent="0.25">
      <c r="H15552" t="s">
        <v>136</v>
      </c>
    </row>
    <row r="15553" spans="8:8" x14ac:dyDescent="0.25">
      <c r="H15553" t="s">
        <v>19862</v>
      </c>
    </row>
    <row r="15554" spans="8:8" x14ac:dyDescent="0.25">
      <c r="H15554" t="s">
        <v>30</v>
      </c>
    </row>
    <row r="15555" spans="8:8" x14ac:dyDescent="0.25">
      <c r="H15555" t="s">
        <v>137</v>
      </c>
    </row>
    <row r="15556" spans="8:8" x14ac:dyDescent="0.25">
      <c r="H15556" t="s">
        <v>19863</v>
      </c>
    </row>
    <row r="15557" spans="8:8" x14ac:dyDescent="0.25">
      <c r="H15557" t="s">
        <v>30</v>
      </c>
    </row>
    <row r="15558" spans="8:8" x14ac:dyDescent="0.25">
      <c r="H15558" t="s">
        <v>138</v>
      </c>
    </row>
    <row r="15559" spans="8:8" x14ac:dyDescent="0.25">
      <c r="H15559" t="s">
        <v>19864</v>
      </c>
    </row>
    <row r="15560" spans="8:8" x14ac:dyDescent="0.25">
      <c r="H15560" t="s">
        <v>30</v>
      </c>
    </row>
    <row r="15562" spans="8:8" x14ac:dyDescent="0.25">
      <c r="H15562" t="s">
        <v>14665</v>
      </c>
    </row>
    <row r="15563" spans="8:8" x14ac:dyDescent="0.25">
      <c r="H15563" t="s">
        <v>14666</v>
      </c>
    </row>
    <row r="15564" spans="8:8" x14ac:dyDescent="0.25">
      <c r="H15564" t="s">
        <v>135</v>
      </c>
    </row>
    <row r="15565" spans="8:8" x14ac:dyDescent="0.25">
      <c r="H15565" t="s">
        <v>19865</v>
      </c>
    </row>
    <row r="15566" spans="8:8" x14ac:dyDescent="0.25">
      <c r="H15566" t="s">
        <v>30</v>
      </c>
    </row>
    <row r="15567" spans="8:8" x14ac:dyDescent="0.25">
      <c r="H15567" t="s">
        <v>136</v>
      </c>
    </row>
    <row r="15568" spans="8:8" x14ac:dyDescent="0.25">
      <c r="H15568" t="s">
        <v>19866</v>
      </c>
    </row>
    <row r="15569" spans="8:8" x14ac:dyDescent="0.25">
      <c r="H15569" t="s">
        <v>30</v>
      </c>
    </row>
    <row r="15570" spans="8:8" x14ac:dyDescent="0.25">
      <c r="H15570" t="s">
        <v>137</v>
      </c>
    </row>
    <row r="15571" spans="8:8" x14ac:dyDescent="0.25">
      <c r="H15571" t="s">
        <v>19867</v>
      </c>
    </row>
    <row r="15572" spans="8:8" x14ac:dyDescent="0.25">
      <c r="H15572" t="s">
        <v>30</v>
      </c>
    </row>
    <row r="15573" spans="8:8" x14ac:dyDescent="0.25">
      <c r="H15573" t="s">
        <v>138</v>
      </c>
    </row>
    <row r="15574" spans="8:8" x14ac:dyDescent="0.25">
      <c r="H15574" t="s">
        <v>19868</v>
      </c>
    </row>
    <row r="15575" spans="8:8" x14ac:dyDescent="0.25">
      <c r="H15575" t="s">
        <v>30</v>
      </c>
    </row>
    <row r="15577" spans="8:8" x14ac:dyDescent="0.25">
      <c r="H15577" t="s">
        <v>14671</v>
      </c>
    </row>
    <row r="15578" spans="8:8" x14ac:dyDescent="0.25">
      <c r="H15578" t="s">
        <v>14672</v>
      </c>
    </row>
    <row r="15579" spans="8:8" x14ac:dyDescent="0.25">
      <c r="H15579" t="s">
        <v>135</v>
      </c>
    </row>
    <row r="15580" spans="8:8" x14ac:dyDescent="0.25">
      <c r="H15580" t="s">
        <v>19869</v>
      </c>
    </row>
    <row r="15581" spans="8:8" x14ac:dyDescent="0.25">
      <c r="H15581" t="s">
        <v>30</v>
      </c>
    </row>
    <row r="15582" spans="8:8" x14ac:dyDescent="0.25">
      <c r="H15582" t="s">
        <v>136</v>
      </c>
    </row>
    <row r="15583" spans="8:8" x14ac:dyDescent="0.25">
      <c r="H15583" t="s">
        <v>19870</v>
      </c>
    </row>
    <row r="15584" spans="8:8" x14ac:dyDescent="0.25">
      <c r="H15584" t="s">
        <v>30</v>
      </c>
    </row>
    <row r="15585" spans="8:8" x14ac:dyDescent="0.25">
      <c r="H15585" t="s">
        <v>137</v>
      </c>
    </row>
    <row r="15586" spans="8:8" x14ac:dyDescent="0.25">
      <c r="H15586" t="s">
        <v>19871</v>
      </c>
    </row>
    <row r="15587" spans="8:8" x14ac:dyDescent="0.25">
      <c r="H15587" t="s">
        <v>30</v>
      </c>
    </row>
    <row r="15588" spans="8:8" x14ac:dyDescent="0.25">
      <c r="H15588" t="s">
        <v>138</v>
      </c>
    </row>
    <row r="15589" spans="8:8" x14ac:dyDescent="0.25">
      <c r="H15589" t="s">
        <v>19872</v>
      </c>
    </row>
    <row r="15590" spans="8:8" x14ac:dyDescent="0.25">
      <c r="H15590" t="s">
        <v>30</v>
      </c>
    </row>
    <row r="15592" spans="8:8" x14ac:dyDescent="0.25">
      <c r="H15592" t="s">
        <v>14677</v>
      </c>
    </row>
    <row r="15593" spans="8:8" x14ac:dyDescent="0.25">
      <c r="H15593" t="s">
        <v>14678</v>
      </c>
    </row>
    <row r="15594" spans="8:8" x14ac:dyDescent="0.25">
      <c r="H15594" t="s">
        <v>135</v>
      </c>
    </row>
    <row r="15595" spans="8:8" x14ac:dyDescent="0.25">
      <c r="H15595" t="s">
        <v>19873</v>
      </c>
    </row>
    <row r="15596" spans="8:8" x14ac:dyDescent="0.25">
      <c r="H15596" t="s">
        <v>30</v>
      </c>
    </row>
    <row r="15597" spans="8:8" x14ac:dyDescent="0.25">
      <c r="H15597" t="s">
        <v>136</v>
      </c>
    </row>
    <row r="15598" spans="8:8" x14ac:dyDescent="0.25">
      <c r="H15598" t="s">
        <v>19874</v>
      </c>
    </row>
    <row r="15599" spans="8:8" x14ac:dyDescent="0.25">
      <c r="H15599" t="s">
        <v>30</v>
      </c>
    </row>
    <row r="15600" spans="8:8" x14ac:dyDescent="0.25">
      <c r="H15600" t="s">
        <v>137</v>
      </c>
    </row>
    <row r="15601" spans="8:8" x14ac:dyDescent="0.25">
      <c r="H15601" t="s">
        <v>19875</v>
      </c>
    </row>
    <row r="15602" spans="8:8" x14ac:dyDescent="0.25">
      <c r="H15602" t="s">
        <v>30</v>
      </c>
    </row>
    <row r="15603" spans="8:8" x14ac:dyDescent="0.25">
      <c r="H15603" t="s">
        <v>138</v>
      </c>
    </row>
    <row r="15604" spans="8:8" x14ac:dyDescent="0.25">
      <c r="H15604" t="s">
        <v>19876</v>
      </c>
    </row>
    <row r="15605" spans="8:8" x14ac:dyDescent="0.25">
      <c r="H15605" t="s">
        <v>30</v>
      </c>
    </row>
    <row r="15607" spans="8:8" x14ac:dyDescent="0.25">
      <c r="H15607" t="s">
        <v>14683</v>
      </c>
    </row>
    <row r="15608" spans="8:8" x14ac:dyDescent="0.25">
      <c r="H15608" t="s">
        <v>14684</v>
      </c>
    </row>
    <row r="15609" spans="8:8" x14ac:dyDescent="0.25">
      <c r="H15609" t="s">
        <v>135</v>
      </c>
    </row>
    <row r="15610" spans="8:8" x14ac:dyDescent="0.25">
      <c r="H15610" t="s">
        <v>19877</v>
      </c>
    </row>
    <row r="15611" spans="8:8" x14ac:dyDescent="0.25">
      <c r="H15611" t="s">
        <v>30</v>
      </c>
    </row>
    <row r="15612" spans="8:8" x14ac:dyDescent="0.25">
      <c r="H15612" t="s">
        <v>136</v>
      </c>
    </row>
    <row r="15613" spans="8:8" x14ac:dyDescent="0.25">
      <c r="H15613" t="s">
        <v>19878</v>
      </c>
    </row>
    <row r="15614" spans="8:8" x14ac:dyDescent="0.25">
      <c r="H15614" t="s">
        <v>30</v>
      </c>
    </row>
    <row r="15615" spans="8:8" x14ac:dyDescent="0.25">
      <c r="H15615" t="s">
        <v>137</v>
      </c>
    </row>
    <row r="15616" spans="8:8" x14ac:dyDescent="0.25">
      <c r="H15616" t="s">
        <v>19879</v>
      </c>
    </row>
    <row r="15617" spans="8:8" x14ac:dyDescent="0.25">
      <c r="H15617" t="s">
        <v>30</v>
      </c>
    </row>
    <row r="15618" spans="8:8" x14ac:dyDescent="0.25">
      <c r="H15618" t="s">
        <v>138</v>
      </c>
    </row>
    <row r="15619" spans="8:8" x14ac:dyDescent="0.25">
      <c r="H15619" t="s">
        <v>19880</v>
      </c>
    </row>
    <row r="15620" spans="8:8" x14ac:dyDescent="0.25">
      <c r="H15620" t="s">
        <v>30</v>
      </c>
    </row>
    <row r="15622" spans="8:8" x14ac:dyDescent="0.25">
      <c r="H15622" t="s">
        <v>14689</v>
      </c>
    </row>
    <row r="15623" spans="8:8" x14ac:dyDescent="0.25">
      <c r="H15623" t="s">
        <v>14690</v>
      </c>
    </row>
    <row r="15624" spans="8:8" x14ac:dyDescent="0.25">
      <c r="H15624" t="s">
        <v>135</v>
      </c>
    </row>
    <row r="15625" spans="8:8" x14ac:dyDescent="0.25">
      <c r="H15625" t="s">
        <v>19881</v>
      </c>
    </row>
    <row r="15626" spans="8:8" x14ac:dyDescent="0.25">
      <c r="H15626" t="s">
        <v>30</v>
      </c>
    </row>
    <row r="15627" spans="8:8" x14ac:dyDescent="0.25">
      <c r="H15627" t="s">
        <v>136</v>
      </c>
    </row>
    <row r="15628" spans="8:8" x14ac:dyDescent="0.25">
      <c r="H15628" t="s">
        <v>19882</v>
      </c>
    </row>
    <row r="15629" spans="8:8" x14ac:dyDescent="0.25">
      <c r="H15629" t="s">
        <v>30</v>
      </c>
    </row>
    <row r="15630" spans="8:8" x14ac:dyDescent="0.25">
      <c r="H15630" t="s">
        <v>137</v>
      </c>
    </row>
    <row r="15631" spans="8:8" x14ac:dyDescent="0.25">
      <c r="H15631" t="s">
        <v>19883</v>
      </c>
    </row>
    <row r="15632" spans="8:8" x14ac:dyDescent="0.25">
      <c r="H15632" t="s">
        <v>30</v>
      </c>
    </row>
    <row r="15633" spans="8:8" x14ac:dyDescent="0.25">
      <c r="H15633" t="s">
        <v>138</v>
      </c>
    </row>
    <row r="15634" spans="8:8" x14ac:dyDescent="0.25">
      <c r="H15634" t="s">
        <v>19884</v>
      </c>
    </row>
    <row r="15635" spans="8:8" x14ac:dyDescent="0.25">
      <c r="H15635" t="s">
        <v>30</v>
      </c>
    </row>
    <row r="15637" spans="8:8" x14ac:dyDescent="0.25">
      <c r="H15637" t="s">
        <v>14695</v>
      </c>
    </row>
    <row r="15638" spans="8:8" x14ac:dyDescent="0.25">
      <c r="H15638" t="s">
        <v>14696</v>
      </c>
    </row>
    <row r="15639" spans="8:8" x14ac:dyDescent="0.25">
      <c r="H15639" t="s">
        <v>135</v>
      </c>
    </row>
    <row r="15640" spans="8:8" x14ac:dyDescent="0.25">
      <c r="H15640" t="s">
        <v>19885</v>
      </c>
    </row>
    <row r="15641" spans="8:8" x14ac:dyDescent="0.25">
      <c r="H15641" t="s">
        <v>30</v>
      </c>
    </row>
    <row r="15642" spans="8:8" x14ac:dyDescent="0.25">
      <c r="H15642" t="s">
        <v>136</v>
      </c>
    </row>
    <row r="15643" spans="8:8" x14ac:dyDescent="0.25">
      <c r="H15643" t="s">
        <v>19886</v>
      </c>
    </row>
    <row r="15644" spans="8:8" x14ac:dyDescent="0.25">
      <c r="H15644" t="s">
        <v>30</v>
      </c>
    </row>
    <row r="15645" spans="8:8" x14ac:dyDescent="0.25">
      <c r="H15645" t="s">
        <v>137</v>
      </c>
    </row>
    <row r="15646" spans="8:8" x14ac:dyDescent="0.25">
      <c r="H15646" t="s">
        <v>19887</v>
      </c>
    </row>
    <row r="15647" spans="8:8" x14ac:dyDescent="0.25">
      <c r="H15647" t="s">
        <v>30</v>
      </c>
    </row>
    <row r="15648" spans="8:8" x14ac:dyDescent="0.25">
      <c r="H15648" t="s">
        <v>138</v>
      </c>
    </row>
    <row r="15649" spans="8:8" x14ac:dyDescent="0.25">
      <c r="H15649" t="s">
        <v>19888</v>
      </c>
    </row>
    <row r="15650" spans="8:8" x14ac:dyDescent="0.25">
      <c r="H15650" t="s">
        <v>30</v>
      </c>
    </row>
    <row r="15652" spans="8:8" x14ac:dyDescent="0.25">
      <c r="H15652" t="s">
        <v>14701</v>
      </c>
    </row>
    <row r="15653" spans="8:8" x14ac:dyDescent="0.25">
      <c r="H15653" t="s">
        <v>14702</v>
      </c>
    </row>
    <row r="15654" spans="8:8" x14ac:dyDescent="0.25">
      <c r="H15654" t="s">
        <v>135</v>
      </c>
    </row>
    <row r="15655" spans="8:8" x14ac:dyDescent="0.25">
      <c r="H15655" t="s">
        <v>19889</v>
      </c>
    </row>
    <row r="15656" spans="8:8" x14ac:dyDescent="0.25">
      <c r="H15656" t="s">
        <v>30</v>
      </c>
    </row>
    <row r="15657" spans="8:8" x14ac:dyDescent="0.25">
      <c r="H15657" t="s">
        <v>136</v>
      </c>
    </row>
    <row r="15658" spans="8:8" x14ac:dyDescent="0.25">
      <c r="H15658" t="s">
        <v>19890</v>
      </c>
    </row>
    <row r="15659" spans="8:8" x14ac:dyDescent="0.25">
      <c r="H15659" t="s">
        <v>30</v>
      </c>
    </row>
    <row r="15660" spans="8:8" x14ac:dyDescent="0.25">
      <c r="H15660" t="s">
        <v>137</v>
      </c>
    </row>
    <row r="15661" spans="8:8" x14ac:dyDescent="0.25">
      <c r="H15661" t="s">
        <v>19891</v>
      </c>
    </row>
    <row r="15662" spans="8:8" x14ac:dyDescent="0.25">
      <c r="H15662" t="s">
        <v>30</v>
      </c>
    </row>
    <row r="15663" spans="8:8" x14ac:dyDescent="0.25">
      <c r="H15663" t="s">
        <v>138</v>
      </c>
    </row>
    <row r="15664" spans="8:8" x14ac:dyDescent="0.25">
      <c r="H15664" t="s">
        <v>19892</v>
      </c>
    </row>
    <row r="15665" spans="8:8" x14ac:dyDescent="0.25">
      <c r="H15665" t="s">
        <v>30</v>
      </c>
    </row>
    <row r="15667" spans="8:8" x14ac:dyDescent="0.25">
      <c r="H15667" t="s">
        <v>14707</v>
      </c>
    </row>
    <row r="15668" spans="8:8" x14ac:dyDescent="0.25">
      <c r="H15668" t="s">
        <v>14708</v>
      </c>
    </row>
    <row r="15669" spans="8:8" x14ac:dyDescent="0.25">
      <c r="H15669" t="s">
        <v>135</v>
      </c>
    </row>
    <row r="15670" spans="8:8" x14ac:dyDescent="0.25">
      <c r="H15670" t="s">
        <v>19893</v>
      </c>
    </row>
    <row r="15671" spans="8:8" x14ac:dyDescent="0.25">
      <c r="H15671" t="s">
        <v>30</v>
      </c>
    </row>
    <row r="15672" spans="8:8" x14ac:dyDescent="0.25">
      <c r="H15672" t="s">
        <v>136</v>
      </c>
    </row>
    <row r="15673" spans="8:8" x14ac:dyDescent="0.25">
      <c r="H15673" t="s">
        <v>19894</v>
      </c>
    </row>
    <row r="15674" spans="8:8" x14ac:dyDescent="0.25">
      <c r="H15674" t="s">
        <v>30</v>
      </c>
    </row>
    <row r="15675" spans="8:8" x14ac:dyDescent="0.25">
      <c r="H15675" t="s">
        <v>137</v>
      </c>
    </row>
    <row r="15676" spans="8:8" x14ac:dyDescent="0.25">
      <c r="H15676" t="s">
        <v>19895</v>
      </c>
    </row>
    <row r="15677" spans="8:8" x14ac:dyDescent="0.25">
      <c r="H15677" t="s">
        <v>30</v>
      </c>
    </row>
    <row r="15678" spans="8:8" x14ac:dyDescent="0.25">
      <c r="H15678" t="s">
        <v>138</v>
      </c>
    </row>
    <row r="15679" spans="8:8" x14ac:dyDescent="0.25">
      <c r="H15679" t="s">
        <v>19896</v>
      </c>
    </row>
    <row r="15680" spans="8:8" x14ac:dyDescent="0.25">
      <c r="H15680" t="s">
        <v>30</v>
      </c>
    </row>
    <row r="15682" spans="8:8" x14ac:dyDescent="0.25">
      <c r="H15682" t="s">
        <v>14713</v>
      </c>
    </row>
    <row r="15683" spans="8:8" x14ac:dyDescent="0.25">
      <c r="H15683" t="s">
        <v>14714</v>
      </c>
    </row>
    <row r="15684" spans="8:8" x14ac:dyDescent="0.25">
      <c r="H15684" t="s">
        <v>135</v>
      </c>
    </row>
    <row r="15685" spans="8:8" x14ac:dyDescent="0.25">
      <c r="H15685" t="s">
        <v>19897</v>
      </c>
    </row>
    <row r="15686" spans="8:8" x14ac:dyDescent="0.25">
      <c r="H15686" t="s">
        <v>30</v>
      </c>
    </row>
    <row r="15687" spans="8:8" x14ac:dyDescent="0.25">
      <c r="H15687" t="s">
        <v>136</v>
      </c>
    </row>
    <row r="15688" spans="8:8" x14ac:dyDescent="0.25">
      <c r="H15688" t="s">
        <v>19898</v>
      </c>
    </row>
    <row r="15689" spans="8:8" x14ac:dyDescent="0.25">
      <c r="H15689" t="s">
        <v>30</v>
      </c>
    </row>
    <row r="15690" spans="8:8" x14ac:dyDescent="0.25">
      <c r="H15690" t="s">
        <v>137</v>
      </c>
    </row>
    <row r="15691" spans="8:8" x14ac:dyDescent="0.25">
      <c r="H15691" t="s">
        <v>19899</v>
      </c>
    </row>
    <row r="15692" spans="8:8" x14ac:dyDescent="0.25">
      <c r="H15692" t="s">
        <v>30</v>
      </c>
    </row>
    <row r="15693" spans="8:8" x14ac:dyDescent="0.25">
      <c r="H15693" t="s">
        <v>138</v>
      </c>
    </row>
    <row r="15694" spans="8:8" x14ac:dyDescent="0.25">
      <c r="H15694" t="s">
        <v>19900</v>
      </c>
    </row>
    <row r="15695" spans="8:8" x14ac:dyDescent="0.25">
      <c r="H15695" t="s">
        <v>30</v>
      </c>
    </row>
    <row r="15697" spans="8:8" x14ac:dyDescent="0.25">
      <c r="H15697" t="s">
        <v>14719</v>
      </c>
    </row>
    <row r="15698" spans="8:8" x14ac:dyDescent="0.25">
      <c r="H15698" t="s">
        <v>14720</v>
      </c>
    </row>
    <row r="15699" spans="8:8" x14ac:dyDescent="0.25">
      <c r="H15699" t="s">
        <v>135</v>
      </c>
    </row>
    <row r="15700" spans="8:8" x14ac:dyDescent="0.25">
      <c r="H15700" t="s">
        <v>19901</v>
      </c>
    </row>
    <row r="15701" spans="8:8" x14ac:dyDescent="0.25">
      <c r="H15701" t="s">
        <v>30</v>
      </c>
    </row>
    <row r="15702" spans="8:8" x14ac:dyDescent="0.25">
      <c r="H15702" t="s">
        <v>136</v>
      </c>
    </row>
    <row r="15703" spans="8:8" x14ac:dyDescent="0.25">
      <c r="H15703" t="s">
        <v>19902</v>
      </c>
    </row>
    <row r="15704" spans="8:8" x14ac:dyDescent="0.25">
      <c r="H15704" t="s">
        <v>30</v>
      </c>
    </row>
    <row r="15705" spans="8:8" x14ac:dyDescent="0.25">
      <c r="H15705" t="s">
        <v>137</v>
      </c>
    </row>
    <row r="15706" spans="8:8" x14ac:dyDescent="0.25">
      <c r="H15706" t="s">
        <v>19903</v>
      </c>
    </row>
    <row r="15707" spans="8:8" x14ac:dyDescent="0.25">
      <c r="H15707" t="s">
        <v>30</v>
      </c>
    </row>
    <row r="15708" spans="8:8" x14ac:dyDescent="0.25">
      <c r="H15708" t="s">
        <v>138</v>
      </c>
    </row>
    <row r="15709" spans="8:8" x14ac:dyDescent="0.25">
      <c r="H15709" t="s">
        <v>19904</v>
      </c>
    </row>
    <row r="15710" spans="8:8" x14ac:dyDescent="0.25">
      <c r="H15710" t="s">
        <v>30</v>
      </c>
    </row>
    <row r="15712" spans="8:8" x14ac:dyDescent="0.25">
      <c r="H15712" t="s">
        <v>14725</v>
      </c>
    </row>
    <row r="15713" spans="8:8" x14ac:dyDescent="0.25">
      <c r="H15713" t="s">
        <v>14726</v>
      </c>
    </row>
    <row r="15714" spans="8:8" x14ac:dyDescent="0.25">
      <c r="H15714" t="s">
        <v>135</v>
      </c>
    </row>
    <row r="15715" spans="8:8" x14ac:dyDescent="0.25">
      <c r="H15715" t="s">
        <v>19905</v>
      </c>
    </row>
    <row r="15716" spans="8:8" x14ac:dyDescent="0.25">
      <c r="H15716" t="s">
        <v>30</v>
      </c>
    </row>
    <row r="15717" spans="8:8" x14ac:dyDescent="0.25">
      <c r="H15717" t="s">
        <v>136</v>
      </c>
    </row>
    <row r="15718" spans="8:8" x14ac:dyDescent="0.25">
      <c r="H15718" t="s">
        <v>19906</v>
      </c>
    </row>
    <row r="15719" spans="8:8" x14ac:dyDescent="0.25">
      <c r="H15719" t="s">
        <v>30</v>
      </c>
    </row>
    <row r="15720" spans="8:8" x14ac:dyDescent="0.25">
      <c r="H15720" t="s">
        <v>137</v>
      </c>
    </row>
    <row r="15721" spans="8:8" x14ac:dyDescent="0.25">
      <c r="H15721" t="s">
        <v>19907</v>
      </c>
    </row>
    <row r="15722" spans="8:8" x14ac:dyDescent="0.25">
      <c r="H15722" t="s">
        <v>30</v>
      </c>
    </row>
    <row r="15723" spans="8:8" x14ac:dyDescent="0.25">
      <c r="H15723" t="s">
        <v>138</v>
      </c>
    </row>
    <row r="15724" spans="8:8" x14ac:dyDescent="0.25">
      <c r="H15724" t="s">
        <v>19908</v>
      </c>
    </row>
    <row r="15725" spans="8:8" x14ac:dyDescent="0.25">
      <c r="H15725" t="s">
        <v>30</v>
      </c>
    </row>
    <row r="15727" spans="8:8" x14ac:dyDescent="0.25">
      <c r="H15727" t="s">
        <v>14731</v>
      </c>
    </row>
    <row r="15728" spans="8:8" x14ac:dyDescent="0.25">
      <c r="H15728" t="s">
        <v>14732</v>
      </c>
    </row>
    <row r="15729" spans="8:8" x14ac:dyDescent="0.25">
      <c r="H15729" t="s">
        <v>135</v>
      </c>
    </row>
    <row r="15730" spans="8:8" x14ac:dyDescent="0.25">
      <c r="H15730" t="s">
        <v>19909</v>
      </c>
    </row>
    <row r="15731" spans="8:8" x14ac:dyDescent="0.25">
      <c r="H15731" t="s">
        <v>30</v>
      </c>
    </row>
    <row r="15732" spans="8:8" x14ac:dyDescent="0.25">
      <c r="H15732" t="s">
        <v>136</v>
      </c>
    </row>
    <row r="15733" spans="8:8" x14ac:dyDescent="0.25">
      <c r="H15733" t="s">
        <v>19910</v>
      </c>
    </row>
    <row r="15734" spans="8:8" x14ac:dyDescent="0.25">
      <c r="H15734" t="s">
        <v>30</v>
      </c>
    </row>
    <row r="15735" spans="8:8" x14ac:dyDescent="0.25">
      <c r="H15735" t="s">
        <v>137</v>
      </c>
    </row>
    <row r="15736" spans="8:8" x14ac:dyDescent="0.25">
      <c r="H15736" t="s">
        <v>19911</v>
      </c>
    </row>
    <row r="15737" spans="8:8" x14ac:dyDescent="0.25">
      <c r="H15737" t="s">
        <v>30</v>
      </c>
    </row>
    <row r="15738" spans="8:8" x14ac:dyDescent="0.25">
      <c r="H15738" t="s">
        <v>138</v>
      </c>
    </row>
    <row r="15739" spans="8:8" x14ac:dyDescent="0.25">
      <c r="H15739" t="s">
        <v>19912</v>
      </c>
    </row>
    <row r="15740" spans="8:8" x14ac:dyDescent="0.25">
      <c r="H15740" t="s">
        <v>30</v>
      </c>
    </row>
    <row r="15742" spans="8:8" x14ac:dyDescent="0.25">
      <c r="H15742" t="s">
        <v>14737</v>
      </c>
    </row>
    <row r="15743" spans="8:8" x14ac:dyDescent="0.25">
      <c r="H15743" t="s">
        <v>14738</v>
      </c>
    </row>
    <row r="15744" spans="8:8" x14ac:dyDescent="0.25">
      <c r="H15744" t="s">
        <v>135</v>
      </c>
    </row>
    <row r="15745" spans="8:8" x14ac:dyDescent="0.25">
      <c r="H15745" t="s">
        <v>19913</v>
      </c>
    </row>
    <row r="15746" spans="8:8" x14ac:dyDescent="0.25">
      <c r="H15746" t="s">
        <v>30</v>
      </c>
    </row>
    <row r="15747" spans="8:8" x14ac:dyDescent="0.25">
      <c r="H15747" t="s">
        <v>136</v>
      </c>
    </row>
    <row r="15748" spans="8:8" x14ac:dyDescent="0.25">
      <c r="H15748" t="s">
        <v>19914</v>
      </c>
    </row>
    <row r="15749" spans="8:8" x14ac:dyDescent="0.25">
      <c r="H15749" t="s">
        <v>30</v>
      </c>
    </row>
    <row r="15750" spans="8:8" x14ac:dyDescent="0.25">
      <c r="H15750" t="s">
        <v>137</v>
      </c>
    </row>
    <row r="15751" spans="8:8" x14ac:dyDescent="0.25">
      <c r="H15751" t="s">
        <v>19915</v>
      </c>
    </row>
    <row r="15752" spans="8:8" x14ac:dyDescent="0.25">
      <c r="H15752" t="s">
        <v>30</v>
      </c>
    </row>
    <row r="15753" spans="8:8" x14ac:dyDescent="0.25">
      <c r="H15753" t="s">
        <v>138</v>
      </c>
    </row>
    <row r="15754" spans="8:8" x14ac:dyDescent="0.25">
      <c r="H15754" t="s">
        <v>19916</v>
      </c>
    </row>
    <row r="15755" spans="8:8" x14ac:dyDescent="0.25">
      <c r="H15755" t="s">
        <v>30</v>
      </c>
    </row>
    <row r="15757" spans="8:8" x14ac:dyDescent="0.25">
      <c r="H15757" t="s">
        <v>14743</v>
      </c>
    </row>
    <row r="15758" spans="8:8" x14ac:dyDescent="0.25">
      <c r="H15758" t="s">
        <v>14744</v>
      </c>
    </row>
    <row r="15759" spans="8:8" x14ac:dyDescent="0.25">
      <c r="H15759" t="s">
        <v>135</v>
      </c>
    </row>
    <row r="15760" spans="8:8" x14ac:dyDescent="0.25">
      <c r="H15760" t="s">
        <v>19917</v>
      </c>
    </row>
    <row r="15761" spans="8:8" x14ac:dyDescent="0.25">
      <c r="H15761" t="s">
        <v>30</v>
      </c>
    </row>
    <row r="15762" spans="8:8" x14ac:dyDescent="0.25">
      <c r="H15762" t="s">
        <v>136</v>
      </c>
    </row>
    <row r="15763" spans="8:8" x14ac:dyDescent="0.25">
      <c r="H15763" t="s">
        <v>19918</v>
      </c>
    </row>
    <row r="15764" spans="8:8" x14ac:dyDescent="0.25">
      <c r="H15764" t="s">
        <v>30</v>
      </c>
    </row>
    <row r="15765" spans="8:8" x14ac:dyDescent="0.25">
      <c r="H15765" t="s">
        <v>137</v>
      </c>
    </row>
    <row r="15766" spans="8:8" x14ac:dyDescent="0.25">
      <c r="H15766" t="s">
        <v>19919</v>
      </c>
    </row>
    <row r="15767" spans="8:8" x14ac:dyDescent="0.25">
      <c r="H15767" t="s">
        <v>30</v>
      </c>
    </row>
    <row r="15768" spans="8:8" x14ac:dyDescent="0.25">
      <c r="H15768" t="s">
        <v>138</v>
      </c>
    </row>
    <row r="15769" spans="8:8" x14ac:dyDescent="0.25">
      <c r="H15769" t="s">
        <v>19920</v>
      </c>
    </row>
    <row r="15770" spans="8:8" x14ac:dyDescent="0.25">
      <c r="H15770" t="s">
        <v>30</v>
      </c>
    </row>
    <row r="15772" spans="8:8" x14ac:dyDescent="0.25">
      <c r="H15772" t="s">
        <v>14749</v>
      </c>
    </row>
    <row r="15773" spans="8:8" x14ac:dyDescent="0.25">
      <c r="H15773" t="s">
        <v>14750</v>
      </c>
    </row>
    <row r="15774" spans="8:8" x14ac:dyDescent="0.25">
      <c r="H15774" t="s">
        <v>135</v>
      </c>
    </row>
    <row r="15775" spans="8:8" x14ac:dyDescent="0.25">
      <c r="H15775" t="s">
        <v>19921</v>
      </c>
    </row>
    <row r="15776" spans="8:8" x14ac:dyDescent="0.25">
      <c r="H15776" t="s">
        <v>30</v>
      </c>
    </row>
    <row r="15777" spans="8:8" x14ac:dyDescent="0.25">
      <c r="H15777" t="s">
        <v>136</v>
      </c>
    </row>
    <row r="15778" spans="8:8" x14ac:dyDescent="0.25">
      <c r="H15778" t="s">
        <v>19922</v>
      </c>
    </row>
    <row r="15779" spans="8:8" x14ac:dyDescent="0.25">
      <c r="H15779" t="s">
        <v>30</v>
      </c>
    </row>
    <row r="15780" spans="8:8" x14ac:dyDescent="0.25">
      <c r="H15780" t="s">
        <v>137</v>
      </c>
    </row>
    <row r="15781" spans="8:8" x14ac:dyDescent="0.25">
      <c r="H15781" t="s">
        <v>19923</v>
      </c>
    </row>
    <row r="15782" spans="8:8" x14ac:dyDescent="0.25">
      <c r="H15782" t="s">
        <v>30</v>
      </c>
    </row>
    <row r="15783" spans="8:8" x14ac:dyDescent="0.25">
      <c r="H15783" t="s">
        <v>138</v>
      </c>
    </row>
    <row r="15784" spans="8:8" x14ac:dyDescent="0.25">
      <c r="H15784" t="s">
        <v>19924</v>
      </c>
    </row>
    <row r="15785" spans="8:8" x14ac:dyDescent="0.25">
      <c r="H15785" t="s">
        <v>30</v>
      </c>
    </row>
    <row r="15787" spans="8:8" x14ac:dyDescent="0.25">
      <c r="H15787" t="s">
        <v>14755</v>
      </c>
    </row>
    <row r="15788" spans="8:8" x14ac:dyDescent="0.25">
      <c r="H15788" t="s">
        <v>14756</v>
      </c>
    </row>
    <row r="15789" spans="8:8" x14ac:dyDescent="0.25">
      <c r="H15789" t="s">
        <v>135</v>
      </c>
    </row>
    <row r="15790" spans="8:8" x14ac:dyDescent="0.25">
      <c r="H15790" t="s">
        <v>19925</v>
      </c>
    </row>
    <row r="15791" spans="8:8" x14ac:dyDescent="0.25">
      <c r="H15791" t="s">
        <v>30</v>
      </c>
    </row>
    <row r="15792" spans="8:8" x14ac:dyDescent="0.25">
      <c r="H15792" t="s">
        <v>136</v>
      </c>
    </row>
    <row r="15793" spans="8:8" x14ac:dyDescent="0.25">
      <c r="H15793" t="s">
        <v>19926</v>
      </c>
    </row>
    <row r="15794" spans="8:8" x14ac:dyDescent="0.25">
      <c r="H15794" t="s">
        <v>30</v>
      </c>
    </row>
    <row r="15795" spans="8:8" x14ac:dyDescent="0.25">
      <c r="H15795" t="s">
        <v>137</v>
      </c>
    </row>
    <row r="15796" spans="8:8" x14ac:dyDescent="0.25">
      <c r="H15796" t="s">
        <v>19927</v>
      </c>
    </row>
    <row r="15797" spans="8:8" x14ac:dyDescent="0.25">
      <c r="H15797" t="s">
        <v>30</v>
      </c>
    </row>
    <row r="15798" spans="8:8" x14ac:dyDescent="0.25">
      <c r="H15798" t="s">
        <v>138</v>
      </c>
    </row>
    <row r="15799" spans="8:8" x14ac:dyDescent="0.25">
      <c r="H15799" t="s">
        <v>19928</v>
      </c>
    </row>
    <row r="15800" spans="8:8" x14ac:dyDescent="0.25">
      <c r="H15800" t="s">
        <v>30</v>
      </c>
    </row>
    <row r="15802" spans="8:8" x14ac:dyDescent="0.25">
      <c r="H15802" t="s">
        <v>14761</v>
      </c>
    </row>
    <row r="15803" spans="8:8" x14ac:dyDescent="0.25">
      <c r="H15803" t="s">
        <v>14762</v>
      </c>
    </row>
    <row r="15804" spans="8:8" x14ac:dyDescent="0.25">
      <c r="H15804" t="s">
        <v>135</v>
      </c>
    </row>
    <row r="15805" spans="8:8" x14ac:dyDescent="0.25">
      <c r="H15805" t="s">
        <v>19929</v>
      </c>
    </row>
    <row r="15806" spans="8:8" x14ac:dyDescent="0.25">
      <c r="H15806" t="s">
        <v>30</v>
      </c>
    </row>
    <row r="15807" spans="8:8" x14ac:dyDescent="0.25">
      <c r="H15807" t="s">
        <v>136</v>
      </c>
    </row>
    <row r="15808" spans="8:8" x14ac:dyDescent="0.25">
      <c r="H15808" t="s">
        <v>19930</v>
      </c>
    </row>
    <row r="15809" spans="8:8" x14ac:dyDescent="0.25">
      <c r="H15809" t="s">
        <v>30</v>
      </c>
    </row>
    <row r="15810" spans="8:8" x14ac:dyDescent="0.25">
      <c r="H15810" t="s">
        <v>137</v>
      </c>
    </row>
    <row r="15811" spans="8:8" x14ac:dyDescent="0.25">
      <c r="H15811" t="s">
        <v>19931</v>
      </c>
    </row>
    <row r="15812" spans="8:8" x14ac:dyDescent="0.25">
      <c r="H15812" t="s">
        <v>30</v>
      </c>
    </row>
    <row r="15813" spans="8:8" x14ac:dyDescent="0.25">
      <c r="H15813" t="s">
        <v>138</v>
      </c>
    </row>
    <row r="15814" spans="8:8" x14ac:dyDescent="0.25">
      <c r="H15814" t="s">
        <v>19932</v>
      </c>
    </row>
    <row r="15815" spans="8:8" x14ac:dyDescent="0.25">
      <c r="H15815" t="s">
        <v>30</v>
      </c>
    </row>
    <row r="15817" spans="8:8" x14ac:dyDescent="0.25">
      <c r="H15817" t="s">
        <v>14767</v>
      </c>
    </row>
    <row r="15818" spans="8:8" x14ac:dyDescent="0.25">
      <c r="H15818" t="s">
        <v>14768</v>
      </c>
    </row>
    <row r="15819" spans="8:8" x14ac:dyDescent="0.25">
      <c r="H15819" t="s">
        <v>135</v>
      </c>
    </row>
    <row r="15820" spans="8:8" x14ac:dyDescent="0.25">
      <c r="H15820" t="s">
        <v>19933</v>
      </c>
    </row>
    <row r="15821" spans="8:8" x14ac:dyDescent="0.25">
      <c r="H15821" t="s">
        <v>30</v>
      </c>
    </row>
    <row r="15822" spans="8:8" x14ac:dyDescent="0.25">
      <c r="H15822" t="s">
        <v>136</v>
      </c>
    </row>
    <row r="15823" spans="8:8" x14ac:dyDescent="0.25">
      <c r="H15823" t="s">
        <v>19934</v>
      </c>
    </row>
    <row r="15824" spans="8:8" x14ac:dyDescent="0.25">
      <c r="H15824" t="s">
        <v>30</v>
      </c>
    </row>
    <row r="15825" spans="8:8" x14ac:dyDescent="0.25">
      <c r="H15825" t="s">
        <v>137</v>
      </c>
    </row>
    <row r="15826" spans="8:8" x14ac:dyDescent="0.25">
      <c r="H15826" t="s">
        <v>19935</v>
      </c>
    </row>
    <row r="15827" spans="8:8" x14ac:dyDescent="0.25">
      <c r="H15827" t="s">
        <v>30</v>
      </c>
    </row>
    <row r="15828" spans="8:8" x14ac:dyDescent="0.25">
      <c r="H15828" t="s">
        <v>138</v>
      </c>
    </row>
    <row r="15829" spans="8:8" x14ac:dyDescent="0.25">
      <c r="H15829" t="s">
        <v>19936</v>
      </c>
    </row>
    <row r="15830" spans="8:8" x14ac:dyDescent="0.25">
      <c r="H15830" t="s">
        <v>30</v>
      </c>
    </row>
    <row r="15832" spans="8:8" x14ac:dyDescent="0.25">
      <c r="H15832" t="s">
        <v>14773</v>
      </c>
    </row>
    <row r="15833" spans="8:8" x14ac:dyDescent="0.25">
      <c r="H15833" t="s">
        <v>14774</v>
      </c>
    </row>
    <row r="15834" spans="8:8" x14ac:dyDescent="0.25">
      <c r="H15834" t="s">
        <v>135</v>
      </c>
    </row>
    <row r="15835" spans="8:8" x14ac:dyDescent="0.25">
      <c r="H15835" t="s">
        <v>19937</v>
      </c>
    </row>
    <row r="15836" spans="8:8" x14ac:dyDescent="0.25">
      <c r="H15836" t="s">
        <v>30</v>
      </c>
    </row>
    <row r="15837" spans="8:8" x14ac:dyDescent="0.25">
      <c r="H15837" t="s">
        <v>136</v>
      </c>
    </row>
    <row r="15838" spans="8:8" x14ac:dyDescent="0.25">
      <c r="H15838" t="s">
        <v>19938</v>
      </c>
    </row>
    <row r="15839" spans="8:8" x14ac:dyDescent="0.25">
      <c r="H15839" t="s">
        <v>30</v>
      </c>
    </row>
    <row r="15840" spans="8:8" x14ac:dyDescent="0.25">
      <c r="H15840" t="s">
        <v>137</v>
      </c>
    </row>
    <row r="15841" spans="8:8" x14ac:dyDescent="0.25">
      <c r="H15841" t="s">
        <v>19939</v>
      </c>
    </row>
    <row r="15842" spans="8:8" x14ac:dyDescent="0.25">
      <c r="H15842" t="s">
        <v>30</v>
      </c>
    </row>
    <row r="15843" spans="8:8" x14ac:dyDescent="0.25">
      <c r="H15843" t="s">
        <v>138</v>
      </c>
    </row>
    <row r="15844" spans="8:8" x14ac:dyDescent="0.25">
      <c r="H15844" t="s">
        <v>19940</v>
      </c>
    </row>
    <row r="15845" spans="8:8" x14ac:dyDescent="0.25">
      <c r="H15845" t="s">
        <v>30</v>
      </c>
    </row>
    <row r="15847" spans="8:8" x14ac:dyDescent="0.25">
      <c r="H15847" t="s">
        <v>14779</v>
      </c>
    </row>
    <row r="15848" spans="8:8" x14ac:dyDescent="0.25">
      <c r="H15848" t="s">
        <v>14780</v>
      </c>
    </row>
    <row r="15849" spans="8:8" x14ac:dyDescent="0.25">
      <c r="H15849" t="s">
        <v>135</v>
      </c>
    </row>
    <row r="15850" spans="8:8" x14ac:dyDescent="0.25">
      <c r="H15850" t="s">
        <v>19941</v>
      </c>
    </row>
    <row r="15851" spans="8:8" x14ac:dyDescent="0.25">
      <c r="H15851" t="s">
        <v>30</v>
      </c>
    </row>
    <row r="15852" spans="8:8" x14ac:dyDescent="0.25">
      <c r="H15852" t="s">
        <v>136</v>
      </c>
    </row>
    <row r="15853" spans="8:8" x14ac:dyDescent="0.25">
      <c r="H15853" t="s">
        <v>19942</v>
      </c>
    </row>
    <row r="15854" spans="8:8" x14ac:dyDescent="0.25">
      <c r="H15854" t="s">
        <v>30</v>
      </c>
    </row>
    <row r="15855" spans="8:8" x14ac:dyDescent="0.25">
      <c r="H15855" t="s">
        <v>137</v>
      </c>
    </row>
    <row r="15856" spans="8:8" x14ac:dyDescent="0.25">
      <c r="H15856" t="s">
        <v>19943</v>
      </c>
    </row>
    <row r="15857" spans="8:8" x14ac:dyDescent="0.25">
      <c r="H15857" t="s">
        <v>30</v>
      </c>
    </row>
    <row r="15858" spans="8:8" x14ac:dyDescent="0.25">
      <c r="H15858" t="s">
        <v>138</v>
      </c>
    </row>
    <row r="15859" spans="8:8" x14ac:dyDescent="0.25">
      <c r="H15859" t="s">
        <v>19944</v>
      </c>
    </row>
    <row r="15860" spans="8:8" x14ac:dyDescent="0.25">
      <c r="H15860" t="s">
        <v>30</v>
      </c>
    </row>
    <row r="15862" spans="8:8" x14ac:dyDescent="0.25">
      <c r="H15862" t="s">
        <v>14785</v>
      </c>
    </row>
    <row r="15863" spans="8:8" x14ac:dyDescent="0.25">
      <c r="H15863" t="s">
        <v>14786</v>
      </c>
    </row>
    <row r="15864" spans="8:8" x14ac:dyDescent="0.25">
      <c r="H15864" t="s">
        <v>135</v>
      </c>
    </row>
    <row r="15865" spans="8:8" x14ac:dyDescent="0.25">
      <c r="H15865" t="s">
        <v>19945</v>
      </c>
    </row>
    <row r="15866" spans="8:8" x14ac:dyDescent="0.25">
      <c r="H15866" t="s">
        <v>30</v>
      </c>
    </row>
    <row r="15867" spans="8:8" x14ac:dyDescent="0.25">
      <c r="H15867" t="s">
        <v>136</v>
      </c>
    </row>
    <row r="15868" spans="8:8" x14ac:dyDescent="0.25">
      <c r="H15868" t="s">
        <v>19946</v>
      </c>
    </row>
    <row r="15869" spans="8:8" x14ac:dyDescent="0.25">
      <c r="H15869" t="s">
        <v>30</v>
      </c>
    </row>
    <row r="15870" spans="8:8" x14ac:dyDescent="0.25">
      <c r="H15870" t="s">
        <v>137</v>
      </c>
    </row>
    <row r="15871" spans="8:8" x14ac:dyDescent="0.25">
      <c r="H15871" t="s">
        <v>19947</v>
      </c>
    </row>
    <row r="15872" spans="8:8" x14ac:dyDescent="0.25">
      <c r="H15872" t="s">
        <v>30</v>
      </c>
    </row>
    <row r="15873" spans="8:8" x14ac:dyDescent="0.25">
      <c r="H15873" t="s">
        <v>138</v>
      </c>
    </row>
    <row r="15874" spans="8:8" x14ac:dyDescent="0.25">
      <c r="H15874" t="s">
        <v>19948</v>
      </c>
    </row>
    <row r="15875" spans="8:8" x14ac:dyDescent="0.25">
      <c r="H15875" t="s">
        <v>30</v>
      </c>
    </row>
    <row r="15877" spans="8:8" x14ac:dyDescent="0.25">
      <c r="H15877" t="s">
        <v>14791</v>
      </c>
    </row>
    <row r="15878" spans="8:8" x14ac:dyDescent="0.25">
      <c r="H15878" t="s">
        <v>14792</v>
      </c>
    </row>
    <row r="15879" spans="8:8" x14ac:dyDescent="0.25">
      <c r="H15879" t="s">
        <v>135</v>
      </c>
    </row>
    <row r="15880" spans="8:8" x14ac:dyDescent="0.25">
      <c r="H15880" t="s">
        <v>19949</v>
      </c>
    </row>
    <row r="15881" spans="8:8" x14ac:dyDescent="0.25">
      <c r="H15881" t="s">
        <v>30</v>
      </c>
    </row>
    <row r="15882" spans="8:8" x14ac:dyDescent="0.25">
      <c r="H15882" t="s">
        <v>136</v>
      </c>
    </row>
    <row r="15883" spans="8:8" x14ac:dyDescent="0.25">
      <c r="H15883" t="s">
        <v>19950</v>
      </c>
    </row>
    <row r="15884" spans="8:8" x14ac:dyDescent="0.25">
      <c r="H15884" t="s">
        <v>30</v>
      </c>
    </row>
    <row r="15885" spans="8:8" x14ac:dyDescent="0.25">
      <c r="H15885" t="s">
        <v>137</v>
      </c>
    </row>
    <row r="15886" spans="8:8" x14ac:dyDescent="0.25">
      <c r="H15886" t="s">
        <v>19951</v>
      </c>
    </row>
    <row r="15887" spans="8:8" x14ac:dyDescent="0.25">
      <c r="H15887" t="s">
        <v>30</v>
      </c>
    </row>
    <row r="15888" spans="8:8" x14ac:dyDescent="0.25">
      <c r="H15888" t="s">
        <v>138</v>
      </c>
    </row>
    <row r="15889" spans="8:8" x14ac:dyDescent="0.25">
      <c r="H15889" t="s">
        <v>19952</v>
      </c>
    </row>
    <row r="15890" spans="8:8" x14ac:dyDescent="0.25">
      <c r="H15890" t="s">
        <v>30</v>
      </c>
    </row>
    <row r="15892" spans="8:8" x14ac:dyDescent="0.25">
      <c r="H15892" t="s">
        <v>14797</v>
      </c>
    </row>
    <row r="15893" spans="8:8" x14ac:dyDescent="0.25">
      <c r="H15893" t="s">
        <v>14798</v>
      </c>
    </row>
    <row r="15894" spans="8:8" x14ac:dyDescent="0.25">
      <c r="H15894" t="s">
        <v>135</v>
      </c>
    </row>
    <row r="15895" spans="8:8" x14ac:dyDescent="0.25">
      <c r="H15895" t="s">
        <v>19953</v>
      </c>
    </row>
    <row r="15896" spans="8:8" x14ac:dyDescent="0.25">
      <c r="H15896" t="s">
        <v>30</v>
      </c>
    </row>
    <row r="15897" spans="8:8" x14ac:dyDescent="0.25">
      <c r="H15897" t="s">
        <v>136</v>
      </c>
    </row>
    <row r="15898" spans="8:8" x14ac:dyDescent="0.25">
      <c r="H15898" t="s">
        <v>19954</v>
      </c>
    </row>
    <row r="15899" spans="8:8" x14ac:dyDescent="0.25">
      <c r="H15899" t="s">
        <v>30</v>
      </c>
    </row>
    <row r="15900" spans="8:8" x14ac:dyDescent="0.25">
      <c r="H15900" t="s">
        <v>137</v>
      </c>
    </row>
    <row r="15901" spans="8:8" x14ac:dyDescent="0.25">
      <c r="H15901" t="s">
        <v>19955</v>
      </c>
    </row>
    <row r="15902" spans="8:8" x14ac:dyDescent="0.25">
      <c r="H15902" t="s">
        <v>30</v>
      </c>
    </row>
    <row r="15903" spans="8:8" x14ac:dyDescent="0.25">
      <c r="H15903" t="s">
        <v>138</v>
      </c>
    </row>
    <row r="15904" spans="8:8" x14ac:dyDescent="0.25">
      <c r="H15904" t="s">
        <v>19956</v>
      </c>
    </row>
    <row r="15905" spans="8:8" x14ac:dyDescent="0.25">
      <c r="H15905" t="s">
        <v>30</v>
      </c>
    </row>
    <row r="15907" spans="8:8" x14ac:dyDescent="0.25">
      <c r="H15907" t="s">
        <v>14803</v>
      </c>
    </row>
    <row r="15908" spans="8:8" x14ac:dyDescent="0.25">
      <c r="H15908" t="s">
        <v>14804</v>
      </c>
    </row>
    <row r="15909" spans="8:8" x14ac:dyDescent="0.25">
      <c r="H15909" t="s">
        <v>135</v>
      </c>
    </row>
    <row r="15910" spans="8:8" x14ac:dyDescent="0.25">
      <c r="H15910" t="s">
        <v>19957</v>
      </c>
    </row>
    <row r="15911" spans="8:8" x14ac:dyDescent="0.25">
      <c r="H15911" t="s">
        <v>30</v>
      </c>
    </row>
    <row r="15912" spans="8:8" x14ac:dyDescent="0.25">
      <c r="H15912" t="s">
        <v>136</v>
      </c>
    </row>
    <row r="15913" spans="8:8" x14ac:dyDescent="0.25">
      <c r="H15913" t="s">
        <v>19958</v>
      </c>
    </row>
    <row r="15914" spans="8:8" x14ac:dyDescent="0.25">
      <c r="H15914" t="s">
        <v>30</v>
      </c>
    </row>
    <row r="15915" spans="8:8" x14ac:dyDescent="0.25">
      <c r="H15915" t="s">
        <v>137</v>
      </c>
    </row>
    <row r="15916" spans="8:8" x14ac:dyDescent="0.25">
      <c r="H15916" t="s">
        <v>19959</v>
      </c>
    </row>
    <row r="15917" spans="8:8" x14ac:dyDescent="0.25">
      <c r="H15917" t="s">
        <v>30</v>
      </c>
    </row>
    <row r="15918" spans="8:8" x14ac:dyDescent="0.25">
      <c r="H15918" t="s">
        <v>138</v>
      </c>
    </row>
    <row r="15919" spans="8:8" x14ac:dyDescent="0.25">
      <c r="H15919" t="s">
        <v>19960</v>
      </c>
    </row>
    <row r="15920" spans="8:8" x14ac:dyDescent="0.25">
      <c r="H15920" t="s">
        <v>30</v>
      </c>
    </row>
    <row r="15922" spans="8:8" x14ac:dyDescent="0.25">
      <c r="H15922" t="s">
        <v>14809</v>
      </c>
    </row>
    <row r="15923" spans="8:8" x14ac:dyDescent="0.25">
      <c r="H15923" t="s">
        <v>14810</v>
      </c>
    </row>
    <row r="15924" spans="8:8" x14ac:dyDescent="0.25">
      <c r="H15924" t="s">
        <v>135</v>
      </c>
    </row>
    <row r="15925" spans="8:8" x14ac:dyDescent="0.25">
      <c r="H15925" t="s">
        <v>19961</v>
      </c>
    </row>
    <row r="15926" spans="8:8" x14ac:dyDescent="0.25">
      <c r="H15926" t="s">
        <v>30</v>
      </c>
    </row>
    <row r="15927" spans="8:8" x14ac:dyDescent="0.25">
      <c r="H15927" t="s">
        <v>136</v>
      </c>
    </row>
    <row r="15928" spans="8:8" x14ac:dyDescent="0.25">
      <c r="H15928" t="s">
        <v>19962</v>
      </c>
    </row>
    <row r="15929" spans="8:8" x14ac:dyDescent="0.25">
      <c r="H15929" t="s">
        <v>30</v>
      </c>
    </row>
    <row r="15930" spans="8:8" x14ac:dyDescent="0.25">
      <c r="H15930" t="s">
        <v>137</v>
      </c>
    </row>
    <row r="15931" spans="8:8" x14ac:dyDescent="0.25">
      <c r="H15931" t="s">
        <v>19963</v>
      </c>
    </row>
    <row r="15932" spans="8:8" x14ac:dyDescent="0.25">
      <c r="H15932" t="s">
        <v>30</v>
      </c>
    </row>
    <row r="15933" spans="8:8" x14ac:dyDescent="0.25">
      <c r="H15933" t="s">
        <v>138</v>
      </c>
    </row>
    <row r="15934" spans="8:8" x14ac:dyDescent="0.25">
      <c r="H15934" t="s">
        <v>19964</v>
      </c>
    </row>
    <row r="15935" spans="8:8" x14ac:dyDescent="0.25">
      <c r="H15935" t="s">
        <v>30</v>
      </c>
    </row>
    <row r="15937" spans="8:8" x14ac:dyDescent="0.25">
      <c r="H15937" t="s">
        <v>14815</v>
      </c>
    </row>
    <row r="15938" spans="8:8" x14ac:dyDescent="0.25">
      <c r="H15938" t="s">
        <v>14816</v>
      </c>
    </row>
    <row r="15939" spans="8:8" x14ac:dyDescent="0.25">
      <c r="H15939" t="s">
        <v>135</v>
      </c>
    </row>
    <row r="15940" spans="8:8" x14ac:dyDescent="0.25">
      <c r="H15940" t="s">
        <v>19965</v>
      </c>
    </row>
    <row r="15941" spans="8:8" x14ac:dyDescent="0.25">
      <c r="H15941" t="s">
        <v>30</v>
      </c>
    </row>
    <row r="15942" spans="8:8" x14ac:dyDescent="0.25">
      <c r="H15942" t="s">
        <v>136</v>
      </c>
    </row>
    <row r="15943" spans="8:8" x14ac:dyDescent="0.25">
      <c r="H15943" t="s">
        <v>19966</v>
      </c>
    </row>
    <row r="15944" spans="8:8" x14ac:dyDescent="0.25">
      <c r="H15944" t="s">
        <v>30</v>
      </c>
    </row>
    <row r="15945" spans="8:8" x14ac:dyDescent="0.25">
      <c r="H15945" t="s">
        <v>137</v>
      </c>
    </row>
    <row r="15946" spans="8:8" x14ac:dyDescent="0.25">
      <c r="H15946" t="s">
        <v>19967</v>
      </c>
    </row>
    <row r="15947" spans="8:8" x14ac:dyDescent="0.25">
      <c r="H15947" t="s">
        <v>30</v>
      </c>
    </row>
    <row r="15948" spans="8:8" x14ac:dyDescent="0.25">
      <c r="H15948" t="s">
        <v>138</v>
      </c>
    </row>
    <row r="15949" spans="8:8" x14ac:dyDescent="0.25">
      <c r="H15949" t="s">
        <v>19968</v>
      </c>
    </row>
    <row r="15950" spans="8:8" x14ac:dyDescent="0.25">
      <c r="H15950" t="s">
        <v>30</v>
      </c>
    </row>
    <row r="15952" spans="8:8" x14ac:dyDescent="0.25">
      <c r="H15952" t="s">
        <v>14821</v>
      </c>
    </row>
    <row r="15953" spans="8:8" x14ac:dyDescent="0.25">
      <c r="H15953" t="s">
        <v>14822</v>
      </c>
    </row>
    <row r="15954" spans="8:8" x14ac:dyDescent="0.25">
      <c r="H15954" t="s">
        <v>135</v>
      </c>
    </row>
    <row r="15955" spans="8:8" x14ac:dyDescent="0.25">
      <c r="H15955" t="s">
        <v>19969</v>
      </c>
    </row>
    <row r="15956" spans="8:8" x14ac:dyDescent="0.25">
      <c r="H15956" t="s">
        <v>30</v>
      </c>
    </row>
    <row r="15957" spans="8:8" x14ac:dyDescent="0.25">
      <c r="H15957" t="s">
        <v>136</v>
      </c>
    </row>
    <row r="15958" spans="8:8" x14ac:dyDescent="0.25">
      <c r="H15958" t="s">
        <v>19970</v>
      </c>
    </row>
    <row r="15959" spans="8:8" x14ac:dyDescent="0.25">
      <c r="H15959" t="s">
        <v>30</v>
      </c>
    </row>
    <row r="15960" spans="8:8" x14ac:dyDescent="0.25">
      <c r="H15960" t="s">
        <v>137</v>
      </c>
    </row>
    <row r="15961" spans="8:8" x14ac:dyDescent="0.25">
      <c r="H15961" t="s">
        <v>19971</v>
      </c>
    </row>
    <row r="15962" spans="8:8" x14ac:dyDescent="0.25">
      <c r="H15962" t="s">
        <v>30</v>
      </c>
    </row>
    <row r="15963" spans="8:8" x14ac:dyDescent="0.25">
      <c r="H15963" t="s">
        <v>138</v>
      </c>
    </row>
    <row r="15964" spans="8:8" x14ac:dyDescent="0.25">
      <c r="H15964" t="s">
        <v>19972</v>
      </c>
    </row>
    <row r="15965" spans="8:8" x14ac:dyDescent="0.25">
      <c r="H15965" t="s">
        <v>30</v>
      </c>
    </row>
    <row r="15967" spans="8:8" x14ac:dyDescent="0.25">
      <c r="H15967" t="s">
        <v>14827</v>
      </c>
    </row>
    <row r="15968" spans="8:8" x14ac:dyDescent="0.25">
      <c r="H15968" t="s">
        <v>14828</v>
      </c>
    </row>
    <row r="15969" spans="8:8" x14ac:dyDescent="0.25">
      <c r="H15969" t="s">
        <v>135</v>
      </c>
    </row>
    <row r="15970" spans="8:8" x14ac:dyDescent="0.25">
      <c r="H15970" t="s">
        <v>19973</v>
      </c>
    </row>
    <row r="15971" spans="8:8" x14ac:dyDescent="0.25">
      <c r="H15971" t="s">
        <v>30</v>
      </c>
    </row>
    <row r="15972" spans="8:8" x14ac:dyDescent="0.25">
      <c r="H15972" t="s">
        <v>136</v>
      </c>
    </row>
    <row r="15973" spans="8:8" x14ac:dyDescent="0.25">
      <c r="H15973" t="s">
        <v>19974</v>
      </c>
    </row>
    <row r="15974" spans="8:8" x14ac:dyDescent="0.25">
      <c r="H15974" t="s">
        <v>30</v>
      </c>
    </row>
    <row r="15975" spans="8:8" x14ac:dyDescent="0.25">
      <c r="H15975" t="s">
        <v>137</v>
      </c>
    </row>
    <row r="15976" spans="8:8" x14ac:dyDescent="0.25">
      <c r="H15976" t="s">
        <v>19975</v>
      </c>
    </row>
    <row r="15977" spans="8:8" x14ac:dyDescent="0.25">
      <c r="H15977" t="s">
        <v>30</v>
      </c>
    </row>
    <row r="15978" spans="8:8" x14ac:dyDescent="0.25">
      <c r="H15978" t="s">
        <v>138</v>
      </c>
    </row>
    <row r="15979" spans="8:8" x14ac:dyDescent="0.25">
      <c r="H15979" t="s">
        <v>19976</v>
      </c>
    </row>
    <row r="15980" spans="8:8" x14ac:dyDescent="0.25">
      <c r="H15980" t="s">
        <v>30</v>
      </c>
    </row>
    <row r="15982" spans="8:8" x14ac:dyDescent="0.25">
      <c r="H15982" t="s">
        <v>14833</v>
      </c>
    </row>
    <row r="15983" spans="8:8" x14ac:dyDescent="0.25">
      <c r="H15983" t="s">
        <v>14834</v>
      </c>
    </row>
    <row r="15984" spans="8:8" x14ac:dyDescent="0.25">
      <c r="H15984" t="s">
        <v>135</v>
      </c>
    </row>
    <row r="15985" spans="8:8" x14ac:dyDescent="0.25">
      <c r="H15985" t="s">
        <v>19977</v>
      </c>
    </row>
    <row r="15986" spans="8:8" x14ac:dyDescent="0.25">
      <c r="H15986" t="s">
        <v>30</v>
      </c>
    </row>
    <row r="15987" spans="8:8" x14ac:dyDescent="0.25">
      <c r="H15987" t="s">
        <v>136</v>
      </c>
    </row>
    <row r="15988" spans="8:8" x14ac:dyDescent="0.25">
      <c r="H15988" t="s">
        <v>19978</v>
      </c>
    </row>
    <row r="15989" spans="8:8" x14ac:dyDescent="0.25">
      <c r="H15989" t="s">
        <v>30</v>
      </c>
    </row>
    <row r="15990" spans="8:8" x14ac:dyDescent="0.25">
      <c r="H15990" t="s">
        <v>137</v>
      </c>
    </row>
    <row r="15991" spans="8:8" x14ac:dyDescent="0.25">
      <c r="H15991" t="s">
        <v>19979</v>
      </c>
    </row>
    <row r="15992" spans="8:8" x14ac:dyDescent="0.25">
      <c r="H15992" t="s">
        <v>30</v>
      </c>
    </row>
    <row r="15993" spans="8:8" x14ac:dyDescent="0.25">
      <c r="H15993" t="s">
        <v>138</v>
      </c>
    </row>
    <row r="15994" spans="8:8" x14ac:dyDescent="0.25">
      <c r="H15994" t="s">
        <v>19980</v>
      </c>
    </row>
    <row r="15995" spans="8:8" x14ac:dyDescent="0.25">
      <c r="H15995" t="s">
        <v>30</v>
      </c>
    </row>
    <row r="15997" spans="8:8" x14ac:dyDescent="0.25">
      <c r="H15997" t="s">
        <v>14839</v>
      </c>
    </row>
    <row r="15998" spans="8:8" x14ac:dyDescent="0.25">
      <c r="H15998" t="s">
        <v>14840</v>
      </c>
    </row>
    <row r="15999" spans="8:8" x14ac:dyDescent="0.25">
      <c r="H15999" t="s">
        <v>135</v>
      </c>
    </row>
    <row r="16000" spans="8:8" x14ac:dyDescent="0.25">
      <c r="H16000" t="s">
        <v>19981</v>
      </c>
    </row>
    <row r="16001" spans="8:8" x14ac:dyDescent="0.25">
      <c r="H16001" t="s">
        <v>30</v>
      </c>
    </row>
    <row r="16002" spans="8:8" x14ac:dyDescent="0.25">
      <c r="H16002" t="s">
        <v>136</v>
      </c>
    </row>
    <row r="16003" spans="8:8" x14ac:dyDescent="0.25">
      <c r="H16003" t="s">
        <v>19982</v>
      </c>
    </row>
    <row r="16004" spans="8:8" x14ac:dyDescent="0.25">
      <c r="H16004" t="s">
        <v>30</v>
      </c>
    </row>
    <row r="16005" spans="8:8" x14ac:dyDescent="0.25">
      <c r="H16005" t="s">
        <v>137</v>
      </c>
    </row>
    <row r="16006" spans="8:8" x14ac:dyDescent="0.25">
      <c r="H16006" t="s">
        <v>19983</v>
      </c>
    </row>
    <row r="16007" spans="8:8" x14ac:dyDescent="0.25">
      <c r="H16007" t="s">
        <v>30</v>
      </c>
    </row>
    <row r="16008" spans="8:8" x14ac:dyDescent="0.25">
      <c r="H16008" t="s">
        <v>138</v>
      </c>
    </row>
    <row r="16009" spans="8:8" x14ac:dyDescent="0.25">
      <c r="H16009" t="s">
        <v>19984</v>
      </c>
    </row>
    <row r="16010" spans="8:8" x14ac:dyDescent="0.25">
      <c r="H16010" t="s">
        <v>30</v>
      </c>
    </row>
    <row r="16012" spans="8:8" x14ac:dyDescent="0.25">
      <c r="H16012" t="s">
        <v>14845</v>
      </c>
    </row>
    <row r="16013" spans="8:8" x14ac:dyDescent="0.25">
      <c r="H16013" t="s">
        <v>14846</v>
      </c>
    </row>
    <row r="16014" spans="8:8" x14ac:dyDescent="0.25">
      <c r="H16014" t="s">
        <v>135</v>
      </c>
    </row>
    <row r="16015" spans="8:8" x14ac:dyDescent="0.25">
      <c r="H16015" t="s">
        <v>19985</v>
      </c>
    </row>
    <row r="16016" spans="8:8" x14ac:dyDescent="0.25">
      <c r="H16016" t="s">
        <v>30</v>
      </c>
    </row>
    <row r="16017" spans="8:8" x14ac:dyDescent="0.25">
      <c r="H16017" t="s">
        <v>136</v>
      </c>
    </row>
    <row r="16018" spans="8:8" x14ac:dyDescent="0.25">
      <c r="H16018" t="s">
        <v>19986</v>
      </c>
    </row>
    <row r="16019" spans="8:8" x14ac:dyDescent="0.25">
      <c r="H16019" t="s">
        <v>30</v>
      </c>
    </row>
    <row r="16020" spans="8:8" x14ac:dyDescent="0.25">
      <c r="H16020" t="s">
        <v>137</v>
      </c>
    </row>
    <row r="16021" spans="8:8" x14ac:dyDescent="0.25">
      <c r="H16021" t="s">
        <v>19987</v>
      </c>
    </row>
    <row r="16022" spans="8:8" x14ac:dyDescent="0.25">
      <c r="H16022" t="s">
        <v>30</v>
      </c>
    </row>
    <row r="16023" spans="8:8" x14ac:dyDescent="0.25">
      <c r="H16023" t="s">
        <v>138</v>
      </c>
    </row>
    <row r="16024" spans="8:8" x14ac:dyDescent="0.25">
      <c r="H16024" t="s">
        <v>19988</v>
      </c>
    </row>
    <row r="16025" spans="8:8" x14ac:dyDescent="0.25">
      <c r="H16025" t="s">
        <v>30</v>
      </c>
    </row>
    <row r="16027" spans="8:8" x14ac:dyDescent="0.25">
      <c r="H16027" t="s">
        <v>14851</v>
      </c>
    </row>
    <row r="16028" spans="8:8" x14ac:dyDescent="0.25">
      <c r="H16028" t="s">
        <v>14852</v>
      </c>
    </row>
    <row r="16029" spans="8:8" x14ac:dyDescent="0.25">
      <c r="H16029" t="s">
        <v>135</v>
      </c>
    </row>
    <row r="16030" spans="8:8" x14ac:dyDescent="0.25">
      <c r="H16030" t="s">
        <v>19989</v>
      </c>
    </row>
    <row r="16031" spans="8:8" x14ac:dyDescent="0.25">
      <c r="H16031" t="s">
        <v>30</v>
      </c>
    </row>
    <row r="16032" spans="8:8" x14ac:dyDescent="0.25">
      <c r="H16032" t="s">
        <v>136</v>
      </c>
    </row>
    <row r="16033" spans="8:8" x14ac:dyDescent="0.25">
      <c r="H16033" t="s">
        <v>19990</v>
      </c>
    </row>
    <row r="16034" spans="8:8" x14ac:dyDescent="0.25">
      <c r="H16034" t="s">
        <v>30</v>
      </c>
    </row>
    <row r="16035" spans="8:8" x14ac:dyDescent="0.25">
      <c r="H16035" t="s">
        <v>137</v>
      </c>
    </row>
    <row r="16036" spans="8:8" x14ac:dyDescent="0.25">
      <c r="H16036" t="s">
        <v>19991</v>
      </c>
    </row>
    <row r="16037" spans="8:8" x14ac:dyDescent="0.25">
      <c r="H16037" t="s">
        <v>30</v>
      </c>
    </row>
    <row r="16038" spans="8:8" x14ac:dyDescent="0.25">
      <c r="H16038" t="s">
        <v>138</v>
      </c>
    </row>
    <row r="16039" spans="8:8" x14ac:dyDescent="0.25">
      <c r="H16039" t="s">
        <v>19992</v>
      </c>
    </row>
    <row r="16040" spans="8:8" x14ac:dyDescent="0.25">
      <c r="H16040" t="s">
        <v>30</v>
      </c>
    </row>
    <row r="16042" spans="8:8" x14ac:dyDescent="0.25">
      <c r="H16042" t="s">
        <v>14857</v>
      </c>
    </row>
    <row r="16043" spans="8:8" x14ac:dyDescent="0.25">
      <c r="H16043" t="s">
        <v>14858</v>
      </c>
    </row>
    <row r="16044" spans="8:8" x14ac:dyDescent="0.25">
      <c r="H16044" t="s">
        <v>135</v>
      </c>
    </row>
    <row r="16045" spans="8:8" x14ac:dyDescent="0.25">
      <c r="H16045" t="s">
        <v>19993</v>
      </c>
    </row>
    <row r="16046" spans="8:8" x14ac:dyDescent="0.25">
      <c r="H16046" t="s">
        <v>30</v>
      </c>
    </row>
    <row r="16047" spans="8:8" x14ac:dyDescent="0.25">
      <c r="H16047" t="s">
        <v>136</v>
      </c>
    </row>
    <row r="16048" spans="8:8" x14ac:dyDescent="0.25">
      <c r="H16048" t="s">
        <v>19994</v>
      </c>
    </row>
    <row r="16049" spans="8:8" x14ac:dyDescent="0.25">
      <c r="H16049" t="s">
        <v>30</v>
      </c>
    </row>
    <row r="16050" spans="8:8" x14ac:dyDescent="0.25">
      <c r="H16050" t="s">
        <v>137</v>
      </c>
    </row>
    <row r="16051" spans="8:8" x14ac:dyDescent="0.25">
      <c r="H16051" t="s">
        <v>19995</v>
      </c>
    </row>
    <row r="16052" spans="8:8" x14ac:dyDescent="0.25">
      <c r="H16052" t="s">
        <v>30</v>
      </c>
    </row>
    <row r="16053" spans="8:8" x14ac:dyDescent="0.25">
      <c r="H16053" t="s">
        <v>138</v>
      </c>
    </row>
    <row r="16054" spans="8:8" x14ac:dyDescent="0.25">
      <c r="H16054" t="s">
        <v>19996</v>
      </c>
    </row>
    <row r="16055" spans="8:8" x14ac:dyDescent="0.25">
      <c r="H16055" t="s">
        <v>30</v>
      </c>
    </row>
    <row r="16057" spans="8:8" x14ac:dyDescent="0.25">
      <c r="H16057" t="s">
        <v>14863</v>
      </c>
    </row>
    <row r="16058" spans="8:8" x14ac:dyDescent="0.25">
      <c r="H16058" t="s">
        <v>14864</v>
      </c>
    </row>
    <row r="16059" spans="8:8" x14ac:dyDescent="0.25">
      <c r="H16059" t="s">
        <v>135</v>
      </c>
    </row>
    <row r="16060" spans="8:8" x14ac:dyDescent="0.25">
      <c r="H16060" t="s">
        <v>19997</v>
      </c>
    </row>
    <row r="16061" spans="8:8" x14ac:dyDescent="0.25">
      <c r="H16061" t="s">
        <v>30</v>
      </c>
    </row>
    <row r="16062" spans="8:8" x14ac:dyDescent="0.25">
      <c r="H16062" t="s">
        <v>136</v>
      </c>
    </row>
    <row r="16063" spans="8:8" x14ac:dyDescent="0.25">
      <c r="H16063" t="s">
        <v>19998</v>
      </c>
    </row>
    <row r="16064" spans="8:8" x14ac:dyDescent="0.25">
      <c r="H16064" t="s">
        <v>30</v>
      </c>
    </row>
    <row r="16065" spans="8:8" x14ac:dyDescent="0.25">
      <c r="H16065" t="s">
        <v>137</v>
      </c>
    </row>
    <row r="16066" spans="8:8" x14ac:dyDescent="0.25">
      <c r="H16066" t="s">
        <v>19999</v>
      </c>
    </row>
    <row r="16067" spans="8:8" x14ac:dyDescent="0.25">
      <c r="H16067" t="s">
        <v>30</v>
      </c>
    </row>
    <row r="16068" spans="8:8" x14ac:dyDescent="0.25">
      <c r="H16068" t="s">
        <v>138</v>
      </c>
    </row>
    <row r="16069" spans="8:8" x14ac:dyDescent="0.25">
      <c r="H16069" t="s">
        <v>20000</v>
      </c>
    </row>
    <row r="16070" spans="8:8" x14ac:dyDescent="0.25">
      <c r="H16070" t="s">
        <v>30</v>
      </c>
    </row>
    <row r="16072" spans="8:8" x14ac:dyDescent="0.25">
      <c r="H16072" t="s">
        <v>14869</v>
      </c>
    </row>
    <row r="16073" spans="8:8" x14ac:dyDescent="0.25">
      <c r="H16073" t="s">
        <v>14870</v>
      </c>
    </row>
    <row r="16074" spans="8:8" x14ac:dyDescent="0.25">
      <c r="H16074" t="s">
        <v>135</v>
      </c>
    </row>
    <row r="16075" spans="8:8" x14ac:dyDescent="0.25">
      <c r="H16075" t="s">
        <v>20001</v>
      </c>
    </row>
    <row r="16076" spans="8:8" x14ac:dyDescent="0.25">
      <c r="H16076" t="s">
        <v>30</v>
      </c>
    </row>
    <row r="16077" spans="8:8" x14ac:dyDescent="0.25">
      <c r="H16077" t="s">
        <v>136</v>
      </c>
    </row>
    <row r="16078" spans="8:8" x14ac:dyDescent="0.25">
      <c r="H16078" t="s">
        <v>20002</v>
      </c>
    </row>
    <row r="16079" spans="8:8" x14ac:dyDescent="0.25">
      <c r="H16079" t="s">
        <v>30</v>
      </c>
    </row>
    <row r="16080" spans="8:8" x14ac:dyDescent="0.25">
      <c r="H16080" t="s">
        <v>137</v>
      </c>
    </row>
    <row r="16081" spans="8:8" x14ac:dyDescent="0.25">
      <c r="H16081" t="s">
        <v>20003</v>
      </c>
    </row>
    <row r="16082" spans="8:8" x14ac:dyDescent="0.25">
      <c r="H16082" t="s">
        <v>30</v>
      </c>
    </row>
    <row r="16083" spans="8:8" x14ac:dyDescent="0.25">
      <c r="H16083" t="s">
        <v>138</v>
      </c>
    </row>
    <row r="16084" spans="8:8" x14ac:dyDescent="0.25">
      <c r="H16084" t="s">
        <v>20004</v>
      </c>
    </row>
    <row r="16085" spans="8:8" x14ac:dyDescent="0.25">
      <c r="H16085" t="s">
        <v>30</v>
      </c>
    </row>
    <row r="16087" spans="8:8" x14ac:dyDescent="0.25">
      <c r="H16087" t="s">
        <v>14875</v>
      </c>
    </row>
    <row r="16088" spans="8:8" x14ac:dyDescent="0.25">
      <c r="H16088" t="s">
        <v>14876</v>
      </c>
    </row>
    <row r="16089" spans="8:8" x14ac:dyDescent="0.25">
      <c r="H16089" t="s">
        <v>135</v>
      </c>
    </row>
    <row r="16090" spans="8:8" x14ac:dyDescent="0.25">
      <c r="H16090" t="s">
        <v>20005</v>
      </c>
    </row>
    <row r="16091" spans="8:8" x14ac:dyDescent="0.25">
      <c r="H16091" t="s">
        <v>30</v>
      </c>
    </row>
    <row r="16092" spans="8:8" x14ac:dyDescent="0.25">
      <c r="H16092" t="s">
        <v>136</v>
      </c>
    </row>
    <row r="16093" spans="8:8" x14ac:dyDescent="0.25">
      <c r="H16093" t="s">
        <v>20006</v>
      </c>
    </row>
    <row r="16094" spans="8:8" x14ac:dyDescent="0.25">
      <c r="H16094" t="s">
        <v>30</v>
      </c>
    </row>
    <row r="16095" spans="8:8" x14ac:dyDescent="0.25">
      <c r="H16095" t="s">
        <v>137</v>
      </c>
    </row>
    <row r="16096" spans="8:8" x14ac:dyDescent="0.25">
      <c r="H16096" t="s">
        <v>20007</v>
      </c>
    </row>
    <row r="16097" spans="8:8" x14ac:dyDescent="0.25">
      <c r="H16097" t="s">
        <v>30</v>
      </c>
    </row>
    <row r="16098" spans="8:8" x14ac:dyDescent="0.25">
      <c r="H16098" t="s">
        <v>138</v>
      </c>
    </row>
    <row r="16099" spans="8:8" x14ac:dyDescent="0.25">
      <c r="H16099" t="s">
        <v>20008</v>
      </c>
    </row>
    <row r="16100" spans="8:8" x14ac:dyDescent="0.25">
      <c r="H16100" t="s">
        <v>30</v>
      </c>
    </row>
    <row r="16102" spans="8:8" x14ac:dyDescent="0.25">
      <c r="H16102" t="s">
        <v>14881</v>
      </c>
    </row>
    <row r="16103" spans="8:8" x14ac:dyDescent="0.25">
      <c r="H16103" t="s">
        <v>14882</v>
      </c>
    </row>
    <row r="16104" spans="8:8" x14ac:dyDescent="0.25">
      <c r="H16104" t="s">
        <v>135</v>
      </c>
    </row>
    <row r="16105" spans="8:8" x14ac:dyDescent="0.25">
      <c r="H16105" t="s">
        <v>20009</v>
      </c>
    </row>
    <row r="16106" spans="8:8" x14ac:dyDescent="0.25">
      <c r="H16106" t="s">
        <v>30</v>
      </c>
    </row>
    <row r="16107" spans="8:8" x14ac:dyDescent="0.25">
      <c r="H16107" t="s">
        <v>136</v>
      </c>
    </row>
    <row r="16108" spans="8:8" x14ac:dyDescent="0.25">
      <c r="H16108" t="s">
        <v>20010</v>
      </c>
    </row>
    <row r="16109" spans="8:8" x14ac:dyDescent="0.25">
      <c r="H16109" t="s">
        <v>30</v>
      </c>
    </row>
    <row r="16110" spans="8:8" x14ac:dyDescent="0.25">
      <c r="H16110" t="s">
        <v>137</v>
      </c>
    </row>
    <row r="16111" spans="8:8" x14ac:dyDescent="0.25">
      <c r="H16111" t="s">
        <v>20011</v>
      </c>
    </row>
    <row r="16112" spans="8:8" x14ac:dyDescent="0.25">
      <c r="H16112" t="s">
        <v>30</v>
      </c>
    </row>
    <row r="16113" spans="8:8" x14ac:dyDescent="0.25">
      <c r="H16113" t="s">
        <v>138</v>
      </c>
    </row>
    <row r="16114" spans="8:8" x14ac:dyDescent="0.25">
      <c r="H16114" t="s">
        <v>20012</v>
      </c>
    </row>
    <row r="16115" spans="8:8" x14ac:dyDescent="0.25">
      <c r="H16115" t="s">
        <v>30</v>
      </c>
    </row>
    <row r="16117" spans="8:8" x14ac:dyDescent="0.25">
      <c r="H16117" t="s">
        <v>14887</v>
      </c>
    </row>
    <row r="16118" spans="8:8" x14ac:dyDescent="0.25">
      <c r="H16118" t="s">
        <v>14888</v>
      </c>
    </row>
    <row r="16119" spans="8:8" x14ac:dyDescent="0.25">
      <c r="H16119" t="s">
        <v>135</v>
      </c>
    </row>
    <row r="16120" spans="8:8" x14ac:dyDescent="0.25">
      <c r="H16120" t="s">
        <v>20013</v>
      </c>
    </row>
    <row r="16121" spans="8:8" x14ac:dyDescent="0.25">
      <c r="H16121" t="s">
        <v>30</v>
      </c>
    </row>
    <row r="16122" spans="8:8" x14ac:dyDescent="0.25">
      <c r="H16122" t="s">
        <v>136</v>
      </c>
    </row>
    <row r="16123" spans="8:8" x14ac:dyDescent="0.25">
      <c r="H16123" t="s">
        <v>20014</v>
      </c>
    </row>
    <row r="16124" spans="8:8" x14ac:dyDescent="0.25">
      <c r="H16124" t="s">
        <v>30</v>
      </c>
    </row>
    <row r="16125" spans="8:8" x14ac:dyDescent="0.25">
      <c r="H16125" t="s">
        <v>137</v>
      </c>
    </row>
    <row r="16126" spans="8:8" x14ac:dyDescent="0.25">
      <c r="H16126" t="s">
        <v>20015</v>
      </c>
    </row>
    <row r="16127" spans="8:8" x14ac:dyDescent="0.25">
      <c r="H16127" t="s">
        <v>30</v>
      </c>
    </row>
    <row r="16128" spans="8:8" x14ac:dyDescent="0.25">
      <c r="H16128" t="s">
        <v>138</v>
      </c>
    </row>
    <row r="16129" spans="8:8" x14ac:dyDescent="0.25">
      <c r="H16129" t="s">
        <v>20016</v>
      </c>
    </row>
    <row r="16130" spans="8:8" x14ac:dyDescent="0.25">
      <c r="H16130" t="s">
        <v>30</v>
      </c>
    </row>
    <row r="16132" spans="8:8" x14ac:dyDescent="0.25">
      <c r="H16132" t="s">
        <v>14893</v>
      </c>
    </row>
    <row r="16133" spans="8:8" x14ac:dyDescent="0.25">
      <c r="H16133" t="s">
        <v>14894</v>
      </c>
    </row>
    <row r="16134" spans="8:8" x14ac:dyDescent="0.25">
      <c r="H16134" t="s">
        <v>135</v>
      </c>
    </row>
    <row r="16135" spans="8:8" x14ac:dyDescent="0.25">
      <c r="H16135" t="s">
        <v>20017</v>
      </c>
    </row>
    <row r="16136" spans="8:8" x14ac:dyDescent="0.25">
      <c r="H16136" t="s">
        <v>30</v>
      </c>
    </row>
    <row r="16137" spans="8:8" x14ac:dyDescent="0.25">
      <c r="H16137" t="s">
        <v>136</v>
      </c>
    </row>
    <row r="16138" spans="8:8" x14ac:dyDescent="0.25">
      <c r="H16138" t="s">
        <v>20018</v>
      </c>
    </row>
    <row r="16139" spans="8:8" x14ac:dyDescent="0.25">
      <c r="H16139" t="s">
        <v>30</v>
      </c>
    </row>
    <row r="16140" spans="8:8" x14ac:dyDescent="0.25">
      <c r="H16140" t="s">
        <v>137</v>
      </c>
    </row>
    <row r="16141" spans="8:8" x14ac:dyDescent="0.25">
      <c r="H16141" t="s">
        <v>20019</v>
      </c>
    </row>
    <row r="16142" spans="8:8" x14ac:dyDescent="0.25">
      <c r="H16142" t="s">
        <v>30</v>
      </c>
    </row>
    <row r="16143" spans="8:8" x14ac:dyDescent="0.25">
      <c r="H16143" t="s">
        <v>138</v>
      </c>
    </row>
    <row r="16144" spans="8:8" x14ac:dyDescent="0.25">
      <c r="H16144" t="s">
        <v>20020</v>
      </c>
    </row>
    <row r="16145" spans="8:8" x14ac:dyDescent="0.25">
      <c r="H16145" t="s">
        <v>30</v>
      </c>
    </row>
    <row r="16147" spans="8:8" x14ac:dyDescent="0.25">
      <c r="H16147" t="s">
        <v>14899</v>
      </c>
    </row>
    <row r="16148" spans="8:8" x14ac:dyDescent="0.25">
      <c r="H16148" t="s">
        <v>14900</v>
      </c>
    </row>
    <row r="16149" spans="8:8" x14ac:dyDescent="0.25">
      <c r="H16149" t="s">
        <v>135</v>
      </c>
    </row>
    <row r="16150" spans="8:8" x14ac:dyDescent="0.25">
      <c r="H16150" t="s">
        <v>20021</v>
      </c>
    </row>
    <row r="16151" spans="8:8" x14ac:dyDescent="0.25">
      <c r="H16151" t="s">
        <v>30</v>
      </c>
    </row>
    <row r="16152" spans="8:8" x14ac:dyDescent="0.25">
      <c r="H16152" t="s">
        <v>136</v>
      </c>
    </row>
    <row r="16153" spans="8:8" x14ac:dyDescent="0.25">
      <c r="H16153" t="s">
        <v>20022</v>
      </c>
    </row>
    <row r="16154" spans="8:8" x14ac:dyDescent="0.25">
      <c r="H16154" t="s">
        <v>30</v>
      </c>
    </row>
    <row r="16155" spans="8:8" x14ac:dyDescent="0.25">
      <c r="H16155" t="s">
        <v>137</v>
      </c>
    </row>
    <row r="16156" spans="8:8" x14ac:dyDescent="0.25">
      <c r="H16156" t="s">
        <v>20023</v>
      </c>
    </row>
    <row r="16157" spans="8:8" x14ac:dyDescent="0.25">
      <c r="H16157" t="s">
        <v>30</v>
      </c>
    </row>
    <row r="16158" spans="8:8" x14ac:dyDescent="0.25">
      <c r="H16158" t="s">
        <v>138</v>
      </c>
    </row>
    <row r="16159" spans="8:8" x14ac:dyDescent="0.25">
      <c r="H16159" t="s">
        <v>20024</v>
      </c>
    </row>
    <row r="16160" spans="8:8" x14ac:dyDescent="0.25">
      <c r="H16160" t="s">
        <v>30</v>
      </c>
    </row>
    <row r="16162" spans="8:8" x14ac:dyDescent="0.25">
      <c r="H16162" t="s">
        <v>14905</v>
      </c>
    </row>
    <row r="16163" spans="8:8" x14ac:dyDescent="0.25">
      <c r="H16163" t="s">
        <v>14906</v>
      </c>
    </row>
    <row r="16164" spans="8:8" x14ac:dyDescent="0.25">
      <c r="H16164" t="s">
        <v>135</v>
      </c>
    </row>
    <row r="16165" spans="8:8" x14ac:dyDescent="0.25">
      <c r="H16165" t="s">
        <v>20025</v>
      </c>
    </row>
    <row r="16166" spans="8:8" x14ac:dyDescent="0.25">
      <c r="H16166" t="s">
        <v>30</v>
      </c>
    </row>
    <row r="16167" spans="8:8" x14ac:dyDescent="0.25">
      <c r="H16167" t="s">
        <v>136</v>
      </c>
    </row>
    <row r="16168" spans="8:8" x14ac:dyDescent="0.25">
      <c r="H16168" t="s">
        <v>20026</v>
      </c>
    </row>
    <row r="16169" spans="8:8" x14ac:dyDescent="0.25">
      <c r="H16169" t="s">
        <v>30</v>
      </c>
    </row>
    <row r="16170" spans="8:8" x14ac:dyDescent="0.25">
      <c r="H16170" t="s">
        <v>137</v>
      </c>
    </row>
    <row r="16171" spans="8:8" x14ac:dyDescent="0.25">
      <c r="H16171" t="s">
        <v>20027</v>
      </c>
    </row>
    <row r="16172" spans="8:8" x14ac:dyDescent="0.25">
      <c r="H16172" t="s">
        <v>30</v>
      </c>
    </row>
    <row r="16173" spans="8:8" x14ac:dyDescent="0.25">
      <c r="H16173" t="s">
        <v>138</v>
      </c>
    </row>
    <row r="16174" spans="8:8" x14ac:dyDescent="0.25">
      <c r="H16174" t="s">
        <v>20028</v>
      </c>
    </row>
    <row r="16175" spans="8:8" x14ac:dyDescent="0.25">
      <c r="H16175" t="s">
        <v>30</v>
      </c>
    </row>
    <row r="16177" spans="8:8" x14ac:dyDescent="0.25">
      <c r="H16177" t="s">
        <v>14911</v>
      </c>
    </row>
    <row r="16178" spans="8:8" x14ac:dyDescent="0.25">
      <c r="H16178" t="s">
        <v>14912</v>
      </c>
    </row>
    <row r="16179" spans="8:8" x14ac:dyDescent="0.25">
      <c r="H16179" t="s">
        <v>135</v>
      </c>
    </row>
    <row r="16180" spans="8:8" x14ac:dyDescent="0.25">
      <c r="H16180" t="s">
        <v>20029</v>
      </c>
    </row>
    <row r="16181" spans="8:8" x14ac:dyDescent="0.25">
      <c r="H16181" t="s">
        <v>30</v>
      </c>
    </row>
    <row r="16182" spans="8:8" x14ac:dyDescent="0.25">
      <c r="H16182" t="s">
        <v>136</v>
      </c>
    </row>
    <row r="16183" spans="8:8" x14ac:dyDescent="0.25">
      <c r="H16183" t="s">
        <v>20030</v>
      </c>
    </row>
    <row r="16184" spans="8:8" x14ac:dyDescent="0.25">
      <c r="H16184" t="s">
        <v>30</v>
      </c>
    </row>
    <row r="16185" spans="8:8" x14ac:dyDescent="0.25">
      <c r="H16185" t="s">
        <v>137</v>
      </c>
    </row>
    <row r="16186" spans="8:8" x14ac:dyDescent="0.25">
      <c r="H16186" t="s">
        <v>20031</v>
      </c>
    </row>
    <row r="16187" spans="8:8" x14ac:dyDescent="0.25">
      <c r="H16187" t="s">
        <v>30</v>
      </c>
    </row>
    <row r="16188" spans="8:8" x14ac:dyDescent="0.25">
      <c r="H16188" t="s">
        <v>138</v>
      </c>
    </row>
    <row r="16189" spans="8:8" x14ac:dyDescent="0.25">
      <c r="H16189" t="s">
        <v>20032</v>
      </c>
    </row>
    <row r="16190" spans="8:8" x14ac:dyDescent="0.25">
      <c r="H16190" t="s">
        <v>30</v>
      </c>
    </row>
    <row r="16192" spans="8:8" x14ac:dyDescent="0.25">
      <c r="H16192" t="s">
        <v>14917</v>
      </c>
    </row>
    <row r="16193" spans="8:8" x14ac:dyDescent="0.25">
      <c r="H16193" t="s">
        <v>14918</v>
      </c>
    </row>
    <row r="16194" spans="8:8" x14ac:dyDescent="0.25">
      <c r="H16194" t="s">
        <v>135</v>
      </c>
    </row>
    <row r="16195" spans="8:8" x14ac:dyDescent="0.25">
      <c r="H16195" t="s">
        <v>20033</v>
      </c>
    </row>
    <row r="16196" spans="8:8" x14ac:dyDescent="0.25">
      <c r="H16196" t="s">
        <v>30</v>
      </c>
    </row>
    <row r="16197" spans="8:8" x14ac:dyDescent="0.25">
      <c r="H16197" t="s">
        <v>136</v>
      </c>
    </row>
    <row r="16198" spans="8:8" x14ac:dyDescent="0.25">
      <c r="H16198" t="s">
        <v>20034</v>
      </c>
    </row>
    <row r="16199" spans="8:8" x14ac:dyDescent="0.25">
      <c r="H16199" t="s">
        <v>30</v>
      </c>
    </row>
    <row r="16200" spans="8:8" x14ac:dyDescent="0.25">
      <c r="H16200" t="s">
        <v>137</v>
      </c>
    </row>
    <row r="16201" spans="8:8" x14ac:dyDescent="0.25">
      <c r="H16201" t="s">
        <v>20035</v>
      </c>
    </row>
    <row r="16202" spans="8:8" x14ac:dyDescent="0.25">
      <c r="H16202" t="s">
        <v>30</v>
      </c>
    </row>
    <row r="16203" spans="8:8" x14ac:dyDescent="0.25">
      <c r="H16203" t="s">
        <v>138</v>
      </c>
    </row>
    <row r="16204" spans="8:8" x14ac:dyDescent="0.25">
      <c r="H16204" t="s">
        <v>20036</v>
      </c>
    </row>
    <row r="16205" spans="8:8" x14ac:dyDescent="0.25">
      <c r="H16205" t="s">
        <v>30</v>
      </c>
    </row>
    <row r="16207" spans="8:8" x14ac:dyDescent="0.25">
      <c r="H16207" t="s">
        <v>14923</v>
      </c>
    </row>
    <row r="16208" spans="8:8" x14ac:dyDescent="0.25">
      <c r="H16208" t="s">
        <v>14924</v>
      </c>
    </row>
    <row r="16209" spans="8:8" x14ac:dyDescent="0.25">
      <c r="H16209" t="s">
        <v>135</v>
      </c>
    </row>
    <row r="16210" spans="8:8" x14ac:dyDescent="0.25">
      <c r="H16210" t="s">
        <v>20037</v>
      </c>
    </row>
    <row r="16211" spans="8:8" x14ac:dyDescent="0.25">
      <c r="H16211" t="s">
        <v>30</v>
      </c>
    </row>
    <row r="16212" spans="8:8" x14ac:dyDescent="0.25">
      <c r="H16212" t="s">
        <v>136</v>
      </c>
    </row>
    <row r="16213" spans="8:8" x14ac:dyDescent="0.25">
      <c r="H16213" t="s">
        <v>20038</v>
      </c>
    </row>
    <row r="16214" spans="8:8" x14ac:dyDescent="0.25">
      <c r="H16214" t="s">
        <v>30</v>
      </c>
    </row>
    <row r="16215" spans="8:8" x14ac:dyDescent="0.25">
      <c r="H16215" t="s">
        <v>137</v>
      </c>
    </row>
    <row r="16216" spans="8:8" x14ac:dyDescent="0.25">
      <c r="H16216" t="s">
        <v>20039</v>
      </c>
    </row>
    <row r="16217" spans="8:8" x14ac:dyDescent="0.25">
      <c r="H16217" t="s">
        <v>30</v>
      </c>
    </row>
    <row r="16218" spans="8:8" x14ac:dyDescent="0.25">
      <c r="H16218" t="s">
        <v>138</v>
      </c>
    </row>
    <row r="16219" spans="8:8" x14ac:dyDescent="0.25">
      <c r="H16219" t="s">
        <v>20040</v>
      </c>
    </row>
    <row r="16220" spans="8:8" x14ac:dyDescent="0.25">
      <c r="H16220" t="s">
        <v>30</v>
      </c>
    </row>
    <row r="16222" spans="8:8" x14ac:dyDescent="0.25">
      <c r="H16222" t="s">
        <v>14929</v>
      </c>
    </row>
    <row r="16223" spans="8:8" x14ac:dyDescent="0.25">
      <c r="H16223" t="s">
        <v>14930</v>
      </c>
    </row>
    <row r="16224" spans="8:8" x14ac:dyDescent="0.25">
      <c r="H16224" t="s">
        <v>135</v>
      </c>
    </row>
    <row r="16225" spans="8:8" x14ac:dyDescent="0.25">
      <c r="H16225" t="s">
        <v>20041</v>
      </c>
    </row>
    <row r="16226" spans="8:8" x14ac:dyDescent="0.25">
      <c r="H16226" t="s">
        <v>30</v>
      </c>
    </row>
    <row r="16227" spans="8:8" x14ac:dyDescent="0.25">
      <c r="H16227" t="s">
        <v>136</v>
      </c>
    </row>
    <row r="16228" spans="8:8" x14ac:dyDescent="0.25">
      <c r="H16228" t="s">
        <v>20042</v>
      </c>
    </row>
    <row r="16229" spans="8:8" x14ac:dyDescent="0.25">
      <c r="H16229" t="s">
        <v>30</v>
      </c>
    </row>
    <row r="16230" spans="8:8" x14ac:dyDescent="0.25">
      <c r="H16230" t="s">
        <v>137</v>
      </c>
    </row>
    <row r="16231" spans="8:8" x14ac:dyDescent="0.25">
      <c r="H16231" t="s">
        <v>20043</v>
      </c>
    </row>
    <row r="16232" spans="8:8" x14ac:dyDescent="0.25">
      <c r="H16232" t="s">
        <v>30</v>
      </c>
    </row>
    <row r="16233" spans="8:8" x14ac:dyDescent="0.25">
      <c r="H16233" t="s">
        <v>138</v>
      </c>
    </row>
    <row r="16234" spans="8:8" x14ac:dyDescent="0.25">
      <c r="H16234" t="s">
        <v>20044</v>
      </c>
    </row>
    <row r="16235" spans="8:8" x14ac:dyDescent="0.25">
      <c r="H16235" t="s">
        <v>30</v>
      </c>
    </row>
    <row r="16237" spans="8:8" x14ac:dyDescent="0.25">
      <c r="H16237" t="s">
        <v>14935</v>
      </c>
    </row>
    <row r="16238" spans="8:8" x14ac:dyDescent="0.25">
      <c r="H16238" t="s">
        <v>14936</v>
      </c>
    </row>
    <row r="16239" spans="8:8" x14ac:dyDescent="0.25">
      <c r="H16239" t="s">
        <v>135</v>
      </c>
    </row>
    <row r="16240" spans="8:8" x14ac:dyDescent="0.25">
      <c r="H16240" t="s">
        <v>20045</v>
      </c>
    </row>
    <row r="16241" spans="8:8" x14ac:dyDescent="0.25">
      <c r="H16241" t="s">
        <v>30</v>
      </c>
    </row>
    <row r="16242" spans="8:8" x14ac:dyDescent="0.25">
      <c r="H16242" t="s">
        <v>136</v>
      </c>
    </row>
    <row r="16243" spans="8:8" x14ac:dyDescent="0.25">
      <c r="H16243" t="s">
        <v>20046</v>
      </c>
    </row>
    <row r="16244" spans="8:8" x14ac:dyDescent="0.25">
      <c r="H16244" t="s">
        <v>30</v>
      </c>
    </row>
    <row r="16245" spans="8:8" x14ac:dyDescent="0.25">
      <c r="H16245" t="s">
        <v>137</v>
      </c>
    </row>
    <row r="16246" spans="8:8" x14ac:dyDescent="0.25">
      <c r="H16246" t="s">
        <v>20047</v>
      </c>
    </row>
    <row r="16247" spans="8:8" x14ac:dyDescent="0.25">
      <c r="H16247" t="s">
        <v>30</v>
      </c>
    </row>
    <row r="16248" spans="8:8" x14ac:dyDescent="0.25">
      <c r="H16248" t="s">
        <v>138</v>
      </c>
    </row>
    <row r="16249" spans="8:8" x14ac:dyDescent="0.25">
      <c r="H16249" t="s">
        <v>20048</v>
      </c>
    </row>
    <row r="16250" spans="8:8" x14ac:dyDescent="0.25">
      <c r="H16250" t="s">
        <v>30</v>
      </c>
    </row>
    <row r="16252" spans="8:8" x14ac:dyDescent="0.25">
      <c r="H16252" t="s">
        <v>14941</v>
      </c>
    </row>
    <row r="16253" spans="8:8" x14ac:dyDescent="0.25">
      <c r="H16253" t="s">
        <v>14942</v>
      </c>
    </row>
    <row r="16254" spans="8:8" x14ac:dyDescent="0.25">
      <c r="H16254" t="s">
        <v>135</v>
      </c>
    </row>
    <row r="16255" spans="8:8" x14ac:dyDescent="0.25">
      <c r="H16255" t="s">
        <v>20049</v>
      </c>
    </row>
    <row r="16256" spans="8:8" x14ac:dyDescent="0.25">
      <c r="H16256" t="s">
        <v>30</v>
      </c>
    </row>
    <row r="16257" spans="8:8" x14ac:dyDescent="0.25">
      <c r="H16257" t="s">
        <v>136</v>
      </c>
    </row>
    <row r="16258" spans="8:8" x14ac:dyDescent="0.25">
      <c r="H16258" t="s">
        <v>20050</v>
      </c>
    </row>
    <row r="16259" spans="8:8" x14ac:dyDescent="0.25">
      <c r="H16259" t="s">
        <v>30</v>
      </c>
    </row>
    <row r="16260" spans="8:8" x14ac:dyDescent="0.25">
      <c r="H16260" t="s">
        <v>137</v>
      </c>
    </row>
    <row r="16261" spans="8:8" x14ac:dyDescent="0.25">
      <c r="H16261" t="s">
        <v>20051</v>
      </c>
    </row>
    <row r="16262" spans="8:8" x14ac:dyDescent="0.25">
      <c r="H16262" t="s">
        <v>30</v>
      </c>
    </row>
    <row r="16263" spans="8:8" x14ac:dyDescent="0.25">
      <c r="H16263" t="s">
        <v>138</v>
      </c>
    </row>
    <row r="16264" spans="8:8" x14ac:dyDescent="0.25">
      <c r="H16264" t="s">
        <v>20052</v>
      </c>
    </row>
    <row r="16265" spans="8:8" x14ac:dyDescent="0.25">
      <c r="H16265" t="s">
        <v>30</v>
      </c>
    </row>
    <row r="16267" spans="8:8" x14ac:dyDescent="0.25">
      <c r="H16267" t="s">
        <v>14947</v>
      </c>
    </row>
    <row r="16268" spans="8:8" x14ac:dyDescent="0.25">
      <c r="H16268" t="s">
        <v>14948</v>
      </c>
    </row>
    <row r="16269" spans="8:8" x14ac:dyDescent="0.25">
      <c r="H16269" t="s">
        <v>135</v>
      </c>
    </row>
    <row r="16270" spans="8:8" x14ac:dyDescent="0.25">
      <c r="H16270" t="s">
        <v>20053</v>
      </c>
    </row>
    <row r="16271" spans="8:8" x14ac:dyDescent="0.25">
      <c r="H16271" t="s">
        <v>30</v>
      </c>
    </row>
    <row r="16272" spans="8:8" x14ac:dyDescent="0.25">
      <c r="H16272" t="s">
        <v>136</v>
      </c>
    </row>
    <row r="16273" spans="8:8" x14ac:dyDescent="0.25">
      <c r="H16273" t="s">
        <v>20054</v>
      </c>
    </row>
    <row r="16274" spans="8:8" x14ac:dyDescent="0.25">
      <c r="H16274" t="s">
        <v>30</v>
      </c>
    </row>
    <row r="16275" spans="8:8" x14ac:dyDescent="0.25">
      <c r="H16275" t="s">
        <v>137</v>
      </c>
    </row>
    <row r="16276" spans="8:8" x14ac:dyDescent="0.25">
      <c r="H16276" t="s">
        <v>20055</v>
      </c>
    </row>
    <row r="16277" spans="8:8" x14ac:dyDescent="0.25">
      <c r="H16277" t="s">
        <v>30</v>
      </c>
    </row>
    <row r="16278" spans="8:8" x14ac:dyDescent="0.25">
      <c r="H16278" t="s">
        <v>138</v>
      </c>
    </row>
    <row r="16279" spans="8:8" x14ac:dyDescent="0.25">
      <c r="H16279" t="s">
        <v>20056</v>
      </c>
    </row>
    <row r="16280" spans="8:8" x14ac:dyDescent="0.25">
      <c r="H16280" t="s">
        <v>30</v>
      </c>
    </row>
    <row r="16282" spans="8:8" x14ac:dyDescent="0.25">
      <c r="H16282" t="s">
        <v>14953</v>
      </c>
    </row>
    <row r="16283" spans="8:8" x14ac:dyDescent="0.25">
      <c r="H16283" t="s">
        <v>14954</v>
      </c>
    </row>
    <row r="16284" spans="8:8" x14ac:dyDescent="0.25">
      <c r="H16284" t="s">
        <v>135</v>
      </c>
    </row>
    <row r="16285" spans="8:8" x14ac:dyDescent="0.25">
      <c r="H16285" t="s">
        <v>20057</v>
      </c>
    </row>
    <row r="16286" spans="8:8" x14ac:dyDescent="0.25">
      <c r="H16286" t="s">
        <v>30</v>
      </c>
    </row>
    <row r="16287" spans="8:8" x14ac:dyDescent="0.25">
      <c r="H16287" t="s">
        <v>136</v>
      </c>
    </row>
    <row r="16288" spans="8:8" x14ac:dyDescent="0.25">
      <c r="H16288" t="s">
        <v>20058</v>
      </c>
    </row>
    <row r="16289" spans="8:8" x14ac:dyDescent="0.25">
      <c r="H16289" t="s">
        <v>30</v>
      </c>
    </row>
    <row r="16290" spans="8:8" x14ac:dyDescent="0.25">
      <c r="H16290" t="s">
        <v>137</v>
      </c>
    </row>
    <row r="16291" spans="8:8" x14ac:dyDescent="0.25">
      <c r="H16291" t="s">
        <v>20059</v>
      </c>
    </row>
    <row r="16292" spans="8:8" x14ac:dyDescent="0.25">
      <c r="H16292" t="s">
        <v>30</v>
      </c>
    </row>
    <row r="16293" spans="8:8" x14ac:dyDescent="0.25">
      <c r="H16293" t="s">
        <v>138</v>
      </c>
    </row>
    <row r="16294" spans="8:8" x14ac:dyDescent="0.25">
      <c r="H16294" t="s">
        <v>20060</v>
      </c>
    </row>
    <row r="16295" spans="8:8" x14ac:dyDescent="0.25">
      <c r="H16295" t="s">
        <v>30</v>
      </c>
    </row>
    <row r="16297" spans="8:8" x14ac:dyDescent="0.25">
      <c r="H16297" t="s">
        <v>14959</v>
      </c>
    </row>
    <row r="16298" spans="8:8" x14ac:dyDescent="0.25">
      <c r="H16298" t="s">
        <v>14960</v>
      </c>
    </row>
    <row r="16299" spans="8:8" x14ac:dyDescent="0.25">
      <c r="H16299" t="s">
        <v>135</v>
      </c>
    </row>
    <row r="16300" spans="8:8" x14ac:dyDescent="0.25">
      <c r="H16300" t="s">
        <v>20061</v>
      </c>
    </row>
    <row r="16301" spans="8:8" x14ac:dyDescent="0.25">
      <c r="H16301" t="s">
        <v>30</v>
      </c>
    </row>
    <row r="16302" spans="8:8" x14ac:dyDescent="0.25">
      <c r="H16302" t="s">
        <v>136</v>
      </c>
    </row>
    <row r="16303" spans="8:8" x14ac:dyDescent="0.25">
      <c r="H16303" t="s">
        <v>20062</v>
      </c>
    </row>
    <row r="16304" spans="8:8" x14ac:dyDescent="0.25">
      <c r="H16304" t="s">
        <v>30</v>
      </c>
    </row>
    <row r="16305" spans="8:8" x14ac:dyDescent="0.25">
      <c r="H16305" t="s">
        <v>137</v>
      </c>
    </row>
    <row r="16306" spans="8:8" x14ac:dyDescent="0.25">
      <c r="H16306" t="s">
        <v>20063</v>
      </c>
    </row>
    <row r="16307" spans="8:8" x14ac:dyDescent="0.25">
      <c r="H16307" t="s">
        <v>30</v>
      </c>
    </row>
    <row r="16308" spans="8:8" x14ac:dyDescent="0.25">
      <c r="H16308" t="s">
        <v>138</v>
      </c>
    </row>
    <row r="16309" spans="8:8" x14ac:dyDescent="0.25">
      <c r="H16309" t="s">
        <v>20064</v>
      </c>
    </row>
    <row r="16310" spans="8:8" x14ac:dyDescent="0.25">
      <c r="H16310" t="s">
        <v>30</v>
      </c>
    </row>
    <row r="16312" spans="8:8" x14ac:dyDescent="0.25">
      <c r="H16312" t="s">
        <v>14965</v>
      </c>
    </row>
    <row r="16313" spans="8:8" x14ac:dyDescent="0.25">
      <c r="H16313" t="s">
        <v>14966</v>
      </c>
    </row>
    <row r="16314" spans="8:8" x14ac:dyDescent="0.25">
      <c r="H16314" t="s">
        <v>135</v>
      </c>
    </row>
    <row r="16315" spans="8:8" x14ac:dyDescent="0.25">
      <c r="H16315" t="s">
        <v>20065</v>
      </c>
    </row>
    <row r="16316" spans="8:8" x14ac:dyDescent="0.25">
      <c r="H16316" t="s">
        <v>30</v>
      </c>
    </row>
    <row r="16317" spans="8:8" x14ac:dyDescent="0.25">
      <c r="H16317" t="s">
        <v>136</v>
      </c>
    </row>
    <row r="16318" spans="8:8" x14ac:dyDescent="0.25">
      <c r="H16318" t="s">
        <v>20066</v>
      </c>
    </row>
    <row r="16319" spans="8:8" x14ac:dyDescent="0.25">
      <c r="H16319" t="s">
        <v>30</v>
      </c>
    </row>
    <row r="16320" spans="8:8" x14ac:dyDescent="0.25">
      <c r="H16320" t="s">
        <v>137</v>
      </c>
    </row>
    <row r="16321" spans="8:8" x14ac:dyDescent="0.25">
      <c r="H16321" t="s">
        <v>20067</v>
      </c>
    </row>
    <row r="16322" spans="8:8" x14ac:dyDescent="0.25">
      <c r="H16322" t="s">
        <v>30</v>
      </c>
    </row>
    <row r="16323" spans="8:8" x14ac:dyDescent="0.25">
      <c r="H16323" t="s">
        <v>138</v>
      </c>
    </row>
    <row r="16324" spans="8:8" x14ac:dyDescent="0.25">
      <c r="H16324" t="s">
        <v>20068</v>
      </c>
    </row>
    <row r="16325" spans="8:8" x14ac:dyDescent="0.25">
      <c r="H16325" t="s">
        <v>30</v>
      </c>
    </row>
    <row r="16327" spans="8:8" x14ac:dyDescent="0.25">
      <c r="H16327" t="s">
        <v>14971</v>
      </c>
    </row>
    <row r="16328" spans="8:8" x14ac:dyDescent="0.25">
      <c r="H16328" t="s">
        <v>14972</v>
      </c>
    </row>
    <row r="16329" spans="8:8" x14ac:dyDescent="0.25">
      <c r="H16329" t="s">
        <v>135</v>
      </c>
    </row>
    <row r="16330" spans="8:8" x14ac:dyDescent="0.25">
      <c r="H16330" t="s">
        <v>20069</v>
      </c>
    </row>
    <row r="16331" spans="8:8" x14ac:dyDescent="0.25">
      <c r="H16331" t="s">
        <v>30</v>
      </c>
    </row>
    <row r="16332" spans="8:8" x14ac:dyDescent="0.25">
      <c r="H16332" t="s">
        <v>136</v>
      </c>
    </row>
    <row r="16333" spans="8:8" x14ac:dyDescent="0.25">
      <c r="H16333" t="s">
        <v>20070</v>
      </c>
    </row>
    <row r="16334" spans="8:8" x14ac:dyDescent="0.25">
      <c r="H16334" t="s">
        <v>30</v>
      </c>
    </row>
    <row r="16335" spans="8:8" x14ac:dyDescent="0.25">
      <c r="H16335" t="s">
        <v>137</v>
      </c>
    </row>
    <row r="16336" spans="8:8" x14ac:dyDescent="0.25">
      <c r="H16336" t="s">
        <v>20071</v>
      </c>
    </row>
    <row r="16337" spans="8:8" x14ac:dyDescent="0.25">
      <c r="H16337" t="s">
        <v>30</v>
      </c>
    </row>
    <row r="16338" spans="8:8" x14ac:dyDescent="0.25">
      <c r="H16338" t="s">
        <v>138</v>
      </c>
    </row>
    <row r="16339" spans="8:8" x14ac:dyDescent="0.25">
      <c r="H16339" t="s">
        <v>20072</v>
      </c>
    </row>
    <row r="16340" spans="8:8" x14ac:dyDescent="0.25">
      <c r="H16340" t="s">
        <v>30</v>
      </c>
    </row>
    <row r="16342" spans="8:8" x14ac:dyDescent="0.25">
      <c r="H16342" t="s">
        <v>14977</v>
      </c>
    </row>
    <row r="16343" spans="8:8" x14ac:dyDescent="0.25">
      <c r="H16343" t="s">
        <v>14978</v>
      </c>
    </row>
    <row r="16344" spans="8:8" x14ac:dyDescent="0.25">
      <c r="H16344" t="s">
        <v>135</v>
      </c>
    </row>
    <row r="16345" spans="8:8" x14ac:dyDescent="0.25">
      <c r="H16345" t="s">
        <v>20073</v>
      </c>
    </row>
    <row r="16346" spans="8:8" x14ac:dyDescent="0.25">
      <c r="H16346" t="s">
        <v>30</v>
      </c>
    </row>
    <row r="16347" spans="8:8" x14ac:dyDescent="0.25">
      <c r="H16347" t="s">
        <v>136</v>
      </c>
    </row>
    <row r="16348" spans="8:8" x14ac:dyDescent="0.25">
      <c r="H16348" t="s">
        <v>20074</v>
      </c>
    </row>
    <row r="16349" spans="8:8" x14ac:dyDescent="0.25">
      <c r="H16349" t="s">
        <v>30</v>
      </c>
    </row>
    <row r="16350" spans="8:8" x14ac:dyDescent="0.25">
      <c r="H16350" t="s">
        <v>137</v>
      </c>
    </row>
    <row r="16351" spans="8:8" x14ac:dyDescent="0.25">
      <c r="H16351" t="s">
        <v>20075</v>
      </c>
    </row>
    <row r="16352" spans="8:8" x14ac:dyDescent="0.25">
      <c r="H16352" t="s">
        <v>30</v>
      </c>
    </row>
    <row r="16353" spans="8:8" x14ac:dyDescent="0.25">
      <c r="H16353" t="s">
        <v>138</v>
      </c>
    </row>
    <row r="16354" spans="8:8" x14ac:dyDescent="0.25">
      <c r="H16354" t="s">
        <v>20076</v>
      </c>
    </row>
    <row r="16355" spans="8:8" x14ac:dyDescent="0.25">
      <c r="H16355" t="s">
        <v>30</v>
      </c>
    </row>
    <row r="16357" spans="8:8" x14ac:dyDescent="0.25">
      <c r="H16357" t="s">
        <v>14983</v>
      </c>
    </row>
    <row r="16358" spans="8:8" x14ac:dyDescent="0.25">
      <c r="H16358" t="s">
        <v>14984</v>
      </c>
    </row>
    <row r="16359" spans="8:8" x14ac:dyDescent="0.25">
      <c r="H16359" t="s">
        <v>135</v>
      </c>
    </row>
    <row r="16360" spans="8:8" x14ac:dyDescent="0.25">
      <c r="H16360" t="s">
        <v>20077</v>
      </c>
    </row>
    <row r="16361" spans="8:8" x14ac:dyDescent="0.25">
      <c r="H16361" t="s">
        <v>30</v>
      </c>
    </row>
    <row r="16362" spans="8:8" x14ac:dyDescent="0.25">
      <c r="H16362" t="s">
        <v>136</v>
      </c>
    </row>
    <row r="16363" spans="8:8" x14ac:dyDescent="0.25">
      <c r="H16363" t="s">
        <v>20078</v>
      </c>
    </row>
    <row r="16364" spans="8:8" x14ac:dyDescent="0.25">
      <c r="H16364" t="s">
        <v>30</v>
      </c>
    </row>
    <row r="16365" spans="8:8" x14ac:dyDescent="0.25">
      <c r="H16365" t="s">
        <v>137</v>
      </c>
    </row>
    <row r="16366" spans="8:8" x14ac:dyDescent="0.25">
      <c r="H16366" t="s">
        <v>20079</v>
      </c>
    </row>
    <row r="16367" spans="8:8" x14ac:dyDescent="0.25">
      <c r="H16367" t="s">
        <v>30</v>
      </c>
    </row>
    <row r="16368" spans="8:8" x14ac:dyDescent="0.25">
      <c r="H16368" t="s">
        <v>138</v>
      </c>
    </row>
    <row r="16369" spans="8:8" x14ac:dyDescent="0.25">
      <c r="H16369" t="s">
        <v>20080</v>
      </c>
    </row>
    <row r="16370" spans="8:8" x14ac:dyDescent="0.25">
      <c r="H16370" t="s">
        <v>30</v>
      </c>
    </row>
    <row r="16372" spans="8:8" x14ac:dyDescent="0.25">
      <c r="H16372" t="s">
        <v>14989</v>
      </c>
    </row>
    <row r="16373" spans="8:8" x14ac:dyDescent="0.25">
      <c r="H16373" t="s">
        <v>14990</v>
      </c>
    </row>
    <row r="16374" spans="8:8" x14ac:dyDescent="0.25">
      <c r="H16374" t="s">
        <v>135</v>
      </c>
    </row>
    <row r="16375" spans="8:8" x14ac:dyDescent="0.25">
      <c r="H16375" t="s">
        <v>20081</v>
      </c>
    </row>
    <row r="16376" spans="8:8" x14ac:dyDescent="0.25">
      <c r="H16376" t="s">
        <v>30</v>
      </c>
    </row>
    <row r="16377" spans="8:8" x14ac:dyDescent="0.25">
      <c r="H16377" t="s">
        <v>136</v>
      </c>
    </row>
    <row r="16378" spans="8:8" x14ac:dyDescent="0.25">
      <c r="H16378" t="s">
        <v>20082</v>
      </c>
    </row>
    <row r="16379" spans="8:8" x14ac:dyDescent="0.25">
      <c r="H16379" t="s">
        <v>30</v>
      </c>
    </row>
    <row r="16380" spans="8:8" x14ac:dyDescent="0.25">
      <c r="H16380" t="s">
        <v>137</v>
      </c>
    </row>
    <row r="16381" spans="8:8" x14ac:dyDescent="0.25">
      <c r="H16381" t="s">
        <v>20083</v>
      </c>
    </row>
    <row r="16382" spans="8:8" x14ac:dyDescent="0.25">
      <c r="H16382" t="s">
        <v>30</v>
      </c>
    </row>
    <row r="16383" spans="8:8" x14ac:dyDescent="0.25">
      <c r="H16383" t="s">
        <v>138</v>
      </c>
    </row>
    <row r="16384" spans="8:8" x14ac:dyDescent="0.25">
      <c r="H16384" t="s">
        <v>20084</v>
      </c>
    </row>
    <row r="16385" spans="8:8" x14ac:dyDescent="0.25">
      <c r="H16385" t="s">
        <v>30</v>
      </c>
    </row>
    <row r="16387" spans="8:8" x14ac:dyDescent="0.25">
      <c r="H16387" t="s">
        <v>14995</v>
      </c>
    </row>
    <row r="16388" spans="8:8" x14ac:dyDescent="0.25">
      <c r="H16388" t="s">
        <v>14996</v>
      </c>
    </row>
    <row r="16389" spans="8:8" x14ac:dyDescent="0.25">
      <c r="H16389" t="s">
        <v>135</v>
      </c>
    </row>
    <row r="16390" spans="8:8" x14ac:dyDescent="0.25">
      <c r="H16390" t="s">
        <v>20085</v>
      </c>
    </row>
    <row r="16391" spans="8:8" x14ac:dyDescent="0.25">
      <c r="H16391" t="s">
        <v>30</v>
      </c>
    </row>
    <row r="16392" spans="8:8" x14ac:dyDescent="0.25">
      <c r="H16392" t="s">
        <v>136</v>
      </c>
    </row>
    <row r="16393" spans="8:8" x14ac:dyDescent="0.25">
      <c r="H16393" t="s">
        <v>20086</v>
      </c>
    </row>
    <row r="16394" spans="8:8" x14ac:dyDescent="0.25">
      <c r="H16394" t="s">
        <v>30</v>
      </c>
    </row>
    <row r="16395" spans="8:8" x14ac:dyDescent="0.25">
      <c r="H16395" t="s">
        <v>137</v>
      </c>
    </row>
    <row r="16396" spans="8:8" x14ac:dyDescent="0.25">
      <c r="H16396" t="s">
        <v>20087</v>
      </c>
    </row>
    <row r="16397" spans="8:8" x14ac:dyDescent="0.25">
      <c r="H16397" t="s">
        <v>30</v>
      </c>
    </row>
    <row r="16398" spans="8:8" x14ac:dyDescent="0.25">
      <c r="H16398" t="s">
        <v>138</v>
      </c>
    </row>
    <row r="16399" spans="8:8" x14ac:dyDescent="0.25">
      <c r="H16399" t="s">
        <v>20088</v>
      </c>
    </row>
    <row r="16400" spans="8:8" x14ac:dyDescent="0.25">
      <c r="H16400" t="s">
        <v>30</v>
      </c>
    </row>
    <row r="16402" spans="8:8" x14ac:dyDescent="0.25">
      <c r="H16402" t="s">
        <v>15001</v>
      </c>
    </row>
    <row r="16403" spans="8:8" x14ac:dyDescent="0.25">
      <c r="H16403" t="s">
        <v>15002</v>
      </c>
    </row>
    <row r="16404" spans="8:8" x14ac:dyDescent="0.25">
      <c r="H16404" t="s">
        <v>135</v>
      </c>
    </row>
    <row r="16405" spans="8:8" x14ac:dyDescent="0.25">
      <c r="H16405" t="s">
        <v>20089</v>
      </c>
    </row>
    <row r="16406" spans="8:8" x14ac:dyDescent="0.25">
      <c r="H16406" t="s">
        <v>30</v>
      </c>
    </row>
    <row r="16407" spans="8:8" x14ac:dyDescent="0.25">
      <c r="H16407" t="s">
        <v>136</v>
      </c>
    </row>
    <row r="16408" spans="8:8" x14ac:dyDescent="0.25">
      <c r="H16408" t="s">
        <v>20090</v>
      </c>
    </row>
    <row r="16409" spans="8:8" x14ac:dyDescent="0.25">
      <c r="H16409" t="s">
        <v>30</v>
      </c>
    </row>
    <row r="16410" spans="8:8" x14ac:dyDescent="0.25">
      <c r="H16410" t="s">
        <v>137</v>
      </c>
    </row>
    <row r="16411" spans="8:8" x14ac:dyDescent="0.25">
      <c r="H16411" t="s">
        <v>20091</v>
      </c>
    </row>
    <row r="16412" spans="8:8" x14ac:dyDescent="0.25">
      <c r="H16412" t="s">
        <v>30</v>
      </c>
    </row>
    <row r="16413" spans="8:8" x14ac:dyDescent="0.25">
      <c r="H16413" t="s">
        <v>138</v>
      </c>
    </row>
    <row r="16414" spans="8:8" x14ac:dyDescent="0.25">
      <c r="H16414" t="s">
        <v>20092</v>
      </c>
    </row>
    <row r="16415" spans="8:8" x14ac:dyDescent="0.25">
      <c r="H16415" t="s">
        <v>30</v>
      </c>
    </row>
    <row r="16417" spans="8:8" x14ac:dyDescent="0.25">
      <c r="H16417" t="s">
        <v>15007</v>
      </c>
    </row>
    <row r="16418" spans="8:8" x14ac:dyDescent="0.25">
      <c r="H16418" t="s">
        <v>15008</v>
      </c>
    </row>
    <row r="16419" spans="8:8" x14ac:dyDescent="0.25">
      <c r="H16419" t="s">
        <v>135</v>
      </c>
    </row>
    <row r="16420" spans="8:8" x14ac:dyDescent="0.25">
      <c r="H16420" t="s">
        <v>20093</v>
      </c>
    </row>
    <row r="16421" spans="8:8" x14ac:dyDescent="0.25">
      <c r="H16421" t="s">
        <v>30</v>
      </c>
    </row>
    <row r="16422" spans="8:8" x14ac:dyDescent="0.25">
      <c r="H16422" t="s">
        <v>136</v>
      </c>
    </row>
    <row r="16423" spans="8:8" x14ac:dyDescent="0.25">
      <c r="H16423" t="s">
        <v>20094</v>
      </c>
    </row>
    <row r="16424" spans="8:8" x14ac:dyDescent="0.25">
      <c r="H16424" t="s">
        <v>30</v>
      </c>
    </row>
    <row r="16425" spans="8:8" x14ac:dyDescent="0.25">
      <c r="H16425" t="s">
        <v>137</v>
      </c>
    </row>
    <row r="16426" spans="8:8" x14ac:dyDescent="0.25">
      <c r="H16426" t="s">
        <v>20095</v>
      </c>
    </row>
    <row r="16427" spans="8:8" x14ac:dyDescent="0.25">
      <c r="H16427" t="s">
        <v>30</v>
      </c>
    </row>
    <row r="16428" spans="8:8" x14ac:dyDescent="0.25">
      <c r="H16428" t="s">
        <v>138</v>
      </c>
    </row>
    <row r="16429" spans="8:8" x14ac:dyDescent="0.25">
      <c r="H16429" t="s">
        <v>20096</v>
      </c>
    </row>
    <row r="16430" spans="8:8" x14ac:dyDescent="0.25">
      <c r="H16430" t="s">
        <v>30</v>
      </c>
    </row>
    <row r="16432" spans="8:8" x14ac:dyDescent="0.25">
      <c r="H16432" t="s">
        <v>15013</v>
      </c>
    </row>
    <row r="16433" spans="8:8" x14ac:dyDescent="0.25">
      <c r="H16433" t="s">
        <v>15014</v>
      </c>
    </row>
    <row r="16434" spans="8:8" x14ac:dyDescent="0.25">
      <c r="H16434" t="s">
        <v>135</v>
      </c>
    </row>
    <row r="16435" spans="8:8" x14ac:dyDescent="0.25">
      <c r="H16435" t="s">
        <v>20097</v>
      </c>
    </row>
    <row r="16436" spans="8:8" x14ac:dyDescent="0.25">
      <c r="H16436" t="s">
        <v>30</v>
      </c>
    </row>
    <row r="16437" spans="8:8" x14ac:dyDescent="0.25">
      <c r="H16437" t="s">
        <v>136</v>
      </c>
    </row>
    <row r="16438" spans="8:8" x14ac:dyDescent="0.25">
      <c r="H16438" t="s">
        <v>20098</v>
      </c>
    </row>
    <row r="16439" spans="8:8" x14ac:dyDescent="0.25">
      <c r="H16439" t="s">
        <v>30</v>
      </c>
    </row>
    <row r="16440" spans="8:8" x14ac:dyDescent="0.25">
      <c r="H16440" t="s">
        <v>137</v>
      </c>
    </row>
    <row r="16441" spans="8:8" x14ac:dyDescent="0.25">
      <c r="H16441" t="s">
        <v>20099</v>
      </c>
    </row>
    <row r="16442" spans="8:8" x14ac:dyDescent="0.25">
      <c r="H16442" t="s">
        <v>30</v>
      </c>
    </row>
    <row r="16443" spans="8:8" x14ac:dyDescent="0.25">
      <c r="H16443" t="s">
        <v>138</v>
      </c>
    </row>
    <row r="16444" spans="8:8" x14ac:dyDescent="0.25">
      <c r="H16444" t="s">
        <v>20100</v>
      </c>
    </row>
    <row r="16445" spans="8:8" x14ac:dyDescent="0.25">
      <c r="H16445" t="s">
        <v>30</v>
      </c>
    </row>
    <row r="16447" spans="8:8" x14ac:dyDescent="0.25">
      <c r="H16447" t="s">
        <v>15019</v>
      </c>
    </row>
    <row r="16448" spans="8:8" x14ac:dyDescent="0.25">
      <c r="H16448" t="s">
        <v>15020</v>
      </c>
    </row>
    <row r="16449" spans="8:8" x14ac:dyDescent="0.25">
      <c r="H16449" t="s">
        <v>135</v>
      </c>
    </row>
    <row r="16450" spans="8:8" x14ac:dyDescent="0.25">
      <c r="H16450" t="s">
        <v>20101</v>
      </c>
    </row>
    <row r="16451" spans="8:8" x14ac:dyDescent="0.25">
      <c r="H16451" t="s">
        <v>30</v>
      </c>
    </row>
    <row r="16452" spans="8:8" x14ac:dyDescent="0.25">
      <c r="H16452" t="s">
        <v>136</v>
      </c>
    </row>
    <row r="16453" spans="8:8" x14ac:dyDescent="0.25">
      <c r="H16453" t="s">
        <v>20102</v>
      </c>
    </row>
    <row r="16454" spans="8:8" x14ac:dyDescent="0.25">
      <c r="H16454" t="s">
        <v>30</v>
      </c>
    </row>
    <row r="16455" spans="8:8" x14ac:dyDescent="0.25">
      <c r="H16455" t="s">
        <v>137</v>
      </c>
    </row>
    <row r="16456" spans="8:8" x14ac:dyDescent="0.25">
      <c r="H16456" t="s">
        <v>20103</v>
      </c>
    </row>
    <row r="16457" spans="8:8" x14ac:dyDescent="0.25">
      <c r="H16457" t="s">
        <v>30</v>
      </c>
    </row>
    <row r="16458" spans="8:8" x14ac:dyDescent="0.25">
      <c r="H16458" t="s">
        <v>138</v>
      </c>
    </row>
    <row r="16459" spans="8:8" x14ac:dyDescent="0.25">
      <c r="H16459" t="s">
        <v>20104</v>
      </c>
    </row>
    <row r="16460" spans="8:8" x14ac:dyDescent="0.25">
      <c r="H16460" t="s">
        <v>30</v>
      </c>
    </row>
    <row r="16462" spans="8:8" x14ac:dyDescent="0.25">
      <c r="H16462" t="s">
        <v>15025</v>
      </c>
    </row>
    <row r="16463" spans="8:8" x14ac:dyDescent="0.25">
      <c r="H16463" t="s">
        <v>15026</v>
      </c>
    </row>
    <row r="16464" spans="8:8" x14ac:dyDescent="0.25">
      <c r="H16464" t="s">
        <v>135</v>
      </c>
    </row>
    <row r="16465" spans="8:8" x14ac:dyDescent="0.25">
      <c r="H16465" t="s">
        <v>20105</v>
      </c>
    </row>
    <row r="16466" spans="8:8" x14ac:dyDescent="0.25">
      <c r="H16466" t="s">
        <v>30</v>
      </c>
    </row>
    <row r="16467" spans="8:8" x14ac:dyDescent="0.25">
      <c r="H16467" t="s">
        <v>136</v>
      </c>
    </row>
    <row r="16468" spans="8:8" x14ac:dyDescent="0.25">
      <c r="H16468" t="s">
        <v>20106</v>
      </c>
    </row>
    <row r="16469" spans="8:8" x14ac:dyDescent="0.25">
      <c r="H16469" t="s">
        <v>30</v>
      </c>
    </row>
    <row r="16470" spans="8:8" x14ac:dyDescent="0.25">
      <c r="H16470" t="s">
        <v>137</v>
      </c>
    </row>
    <row r="16471" spans="8:8" x14ac:dyDescent="0.25">
      <c r="H16471" t="s">
        <v>20107</v>
      </c>
    </row>
    <row r="16472" spans="8:8" x14ac:dyDescent="0.25">
      <c r="H16472" t="s">
        <v>30</v>
      </c>
    </row>
    <row r="16473" spans="8:8" x14ac:dyDescent="0.25">
      <c r="H16473" t="s">
        <v>138</v>
      </c>
    </row>
    <row r="16474" spans="8:8" x14ac:dyDescent="0.25">
      <c r="H16474" t="s">
        <v>20108</v>
      </c>
    </row>
    <row r="16475" spans="8:8" x14ac:dyDescent="0.25">
      <c r="H16475" t="s">
        <v>30</v>
      </c>
    </row>
    <row r="16477" spans="8:8" x14ac:dyDescent="0.25">
      <c r="H16477" t="s">
        <v>15031</v>
      </c>
    </row>
    <row r="16478" spans="8:8" x14ac:dyDescent="0.25">
      <c r="H16478" t="s">
        <v>15032</v>
      </c>
    </row>
    <row r="16479" spans="8:8" x14ac:dyDescent="0.25">
      <c r="H16479" t="s">
        <v>135</v>
      </c>
    </row>
    <row r="16480" spans="8:8" x14ac:dyDescent="0.25">
      <c r="H16480" t="s">
        <v>20109</v>
      </c>
    </row>
    <row r="16481" spans="8:8" x14ac:dyDescent="0.25">
      <c r="H16481" t="s">
        <v>30</v>
      </c>
    </row>
    <row r="16483" spans="8:8" x14ac:dyDescent="0.25">
      <c r="H16483" t="s">
        <v>15034</v>
      </c>
    </row>
    <row r="16484" spans="8:8" x14ac:dyDescent="0.25">
      <c r="H16484" t="s">
        <v>15035</v>
      </c>
    </row>
    <row r="16485" spans="8:8" x14ac:dyDescent="0.25">
      <c r="H16485" t="s">
        <v>135</v>
      </c>
    </row>
    <row r="16486" spans="8:8" x14ac:dyDescent="0.25">
      <c r="H16486" t="s">
        <v>20110</v>
      </c>
    </row>
    <row r="16487" spans="8:8" x14ac:dyDescent="0.25">
      <c r="H16487" t="s">
        <v>30</v>
      </c>
    </row>
    <row r="16489" spans="8:8" x14ac:dyDescent="0.25">
      <c r="H16489" t="s">
        <v>15037</v>
      </c>
    </row>
    <row r="16490" spans="8:8" x14ac:dyDescent="0.25">
      <c r="H16490" t="s">
        <v>15038</v>
      </c>
    </row>
    <row r="16491" spans="8:8" x14ac:dyDescent="0.25">
      <c r="H16491" t="s">
        <v>135</v>
      </c>
    </row>
    <row r="16492" spans="8:8" x14ac:dyDescent="0.25">
      <c r="H16492" t="s">
        <v>20111</v>
      </c>
    </row>
    <row r="16493" spans="8:8" x14ac:dyDescent="0.25">
      <c r="H16493" t="s">
        <v>30</v>
      </c>
    </row>
    <row r="16495" spans="8:8" x14ac:dyDescent="0.25">
      <c r="H16495" t="s">
        <v>15040</v>
      </c>
    </row>
    <row r="16496" spans="8:8" x14ac:dyDescent="0.25">
      <c r="H16496" t="s">
        <v>15041</v>
      </c>
    </row>
    <row r="16497" spans="8:8" x14ac:dyDescent="0.25">
      <c r="H16497" t="s">
        <v>135</v>
      </c>
    </row>
    <row r="16498" spans="8:8" x14ac:dyDescent="0.25">
      <c r="H16498" t="s">
        <v>20112</v>
      </c>
    </row>
    <row r="16499" spans="8:8" x14ac:dyDescent="0.25">
      <c r="H16499" t="s">
        <v>30</v>
      </c>
    </row>
    <row r="16501" spans="8:8" x14ac:dyDescent="0.25">
      <c r="H16501" t="s">
        <v>15043</v>
      </c>
    </row>
    <row r="16502" spans="8:8" x14ac:dyDescent="0.25">
      <c r="H16502" t="s">
        <v>15044</v>
      </c>
    </row>
    <row r="16503" spans="8:8" x14ac:dyDescent="0.25">
      <c r="H16503" t="s">
        <v>135</v>
      </c>
    </row>
    <row r="16504" spans="8:8" x14ac:dyDescent="0.25">
      <c r="H16504" t="s">
        <v>20113</v>
      </c>
    </row>
    <row r="16505" spans="8:8" x14ac:dyDescent="0.25">
      <c r="H16505" t="s">
        <v>30</v>
      </c>
    </row>
    <row r="16507" spans="8:8" x14ac:dyDescent="0.25">
      <c r="H16507" t="s">
        <v>15046</v>
      </c>
    </row>
    <row r="16508" spans="8:8" x14ac:dyDescent="0.25">
      <c r="H16508" t="s">
        <v>15047</v>
      </c>
    </row>
    <row r="16509" spans="8:8" x14ac:dyDescent="0.25">
      <c r="H16509" t="s">
        <v>135</v>
      </c>
    </row>
    <row r="16510" spans="8:8" x14ac:dyDescent="0.25">
      <c r="H16510" t="s">
        <v>20114</v>
      </c>
    </row>
    <row r="16511" spans="8:8" x14ac:dyDescent="0.25">
      <c r="H16511" t="s">
        <v>30</v>
      </c>
    </row>
    <row r="16513" spans="8:8" x14ac:dyDescent="0.25">
      <c r="H16513" t="s">
        <v>15049</v>
      </c>
    </row>
    <row r="16514" spans="8:8" x14ac:dyDescent="0.25">
      <c r="H16514" t="s">
        <v>15050</v>
      </c>
    </row>
    <row r="16515" spans="8:8" x14ac:dyDescent="0.25">
      <c r="H16515" t="s">
        <v>135</v>
      </c>
    </row>
    <row r="16516" spans="8:8" x14ac:dyDescent="0.25">
      <c r="H16516" t="s">
        <v>20115</v>
      </c>
    </row>
    <row r="16517" spans="8:8" x14ac:dyDescent="0.25">
      <c r="H16517" t="s">
        <v>30</v>
      </c>
    </row>
    <row r="16519" spans="8:8" x14ac:dyDescent="0.25">
      <c r="H16519" t="s">
        <v>15052</v>
      </c>
    </row>
    <row r="16520" spans="8:8" x14ac:dyDescent="0.25">
      <c r="H16520" t="s">
        <v>15053</v>
      </c>
    </row>
    <row r="16521" spans="8:8" x14ac:dyDescent="0.25">
      <c r="H16521" t="s">
        <v>135</v>
      </c>
    </row>
    <row r="16522" spans="8:8" x14ac:dyDescent="0.25">
      <c r="H16522" t="s">
        <v>20116</v>
      </c>
    </row>
    <row r="16523" spans="8:8" x14ac:dyDescent="0.25">
      <c r="H16523" t="s">
        <v>30</v>
      </c>
    </row>
    <row r="16525" spans="8:8" x14ac:dyDescent="0.25">
      <c r="H16525" t="s">
        <v>15055</v>
      </c>
    </row>
    <row r="16526" spans="8:8" x14ac:dyDescent="0.25">
      <c r="H16526" t="s">
        <v>15056</v>
      </c>
    </row>
    <row r="16527" spans="8:8" x14ac:dyDescent="0.25">
      <c r="H16527" t="s">
        <v>135</v>
      </c>
    </row>
    <row r="16528" spans="8:8" x14ac:dyDescent="0.25">
      <c r="H16528" t="s">
        <v>20117</v>
      </c>
    </row>
    <row r="16529" spans="8:8" x14ac:dyDescent="0.25">
      <c r="H16529" t="s">
        <v>30</v>
      </c>
    </row>
    <row r="16531" spans="8:8" x14ac:dyDescent="0.25">
      <c r="H16531" t="s">
        <v>15058</v>
      </c>
    </row>
    <row r="16532" spans="8:8" x14ac:dyDescent="0.25">
      <c r="H16532" t="s">
        <v>15059</v>
      </c>
    </row>
    <row r="16533" spans="8:8" x14ac:dyDescent="0.25">
      <c r="H16533" t="s">
        <v>135</v>
      </c>
    </row>
    <row r="16534" spans="8:8" x14ac:dyDescent="0.25">
      <c r="H16534" t="s">
        <v>20118</v>
      </c>
    </row>
    <row r="16535" spans="8:8" x14ac:dyDescent="0.25">
      <c r="H16535" t="s">
        <v>30</v>
      </c>
    </row>
    <row r="16537" spans="8:8" x14ac:dyDescent="0.25">
      <c r="H16537" t="s">
        <v>15061</v>
      </c>
    </row>
    <row r="16538" spans="8:8" x14ac:dyDescent="0.25">
      <c r="H16538" t="s">
        <v>15062</v>
      </c>
    </row>
    <row r="16539" spans="8:8" x14ac:dyDescent="0.25">
      <c r="H16539" t="s">
        <v>135</v>
      </c>
    </row>
    <row r="16540" spans="8:8" x14ac:dyDescent="0.25">
      <c r="H16540" t="s">
        <v>20119</v>
      </c>
    </row>
    <row r="16541" spans="8:8" x14ac:dyDescent="0.25">
      <c r="H16541" t="s">
        <v>30</v>
      </c>
    </row>
    <row r="16543" spans="8:8" x14ac:dyDescent="0.25">
      <c r="H16543" t="s">
        <v>15064</v>
      </c>
    </row>
    <row r="16544" spans="8:8" x14ac:dyDescent="0.25">
      <c r="H16544" t="s">
        <v>15065</v>
      </c>
    </row>
    <row r="16545" spans="8:8" x14ac:dyDescent="0.25">
      <c r="H16545" t="s">
        <v>135</v>
      </c>
    </row>
    <row r="16546" spans="8:8" x14ac:dyDescent="0.25">
      <c r="H16546" t="s">
        <v>20120</v>
      </c>
    </row>
    <row r="16547" spans="8:8" x14ac:dyDescent="0.25">
      <c r="H16547" t="s">
        <v>30</v>
      </c>
    </row>
    <row r="16549" spans="8:8" x14ac:dyDescent="0.25">
      <c r="H16549" t="s">
        <v>15067</v>
      </c>
    </row>
    <row r="16550" spans="8:8" x14ac:dyDescent="0.25">
      <c r="H16550" t="s">
        <v>15068</v>
      </c>
    </row>
    <row r="16551" spans="8:8" x14ac:dyDescent="0.25">
      <c r="H16551" t="s">
        <v>135</v>
      </c>
    </row>
    <row r="16552" spans="8:8" x14ac:dyDescent="0.25">
      <c r="H16552" t="s">
        <v>20121</v>
      </c>
    </row>
    <row r="16553" spans="8:8" x14ac:dyDescent="0.25">
      <c r="H16553" t="s">
        <v>30</v>
      </c>
    </row>
    <row r="16555" spans="8:8" x14ac:dyDescent="0.25">
      <c r="H16555" t="s">
        <v>15070</v>
      </c>
    </row>
    <row r="16556" spans="8:8" x14ac:dyDescent="0.25">
      <c r="H16556" t="s">
        <v>15071</v>
      </c>
    </row>
    <row r="16557" spans="8:8" x14ac:dyDescent="0.25">
      <c r="H16557" t="s">
        <v>135</v>
      </c>
    </row>
    <row r="16558" spans="8:8" x14ac:dyDescent="0.25">
      <c r="H16558" t="s">
        <v>20122</v>
      </c>
    </row>
    <row r="16559" spans="8:8" x14ac:dyDescent="0.25">
      <c r="H16559" t="s">
        <v>30</v>
      </c>
    </row>
    <row r="16561" spans="8:8" x14ac:dyDescent="0.25">
      <c r="H16561" t="s">
        <v>15073</v>
      </c>
    </row>
    <row r="16562" spans="8:8" x14ac:dyDescent="0.25">
      <c r="H16562" t="s">
        <v>15074</v>
      </c>
    </row>
    <row r="16563" spans="8:8" x14ac:dyDescent="0.25">
      <c r="H16563" t="s">
        <v>135</v>
      </c>
    </row>
    <row r="16564" spans="8:8" x14ac:dyDescent="0.25">
      <c r="H16564" t="s">
        <v>20123</v>
      </c>
    </row>
    <row r="16565" spans="8:8" x14ac:dyDescent="0.25">
      <c r="H16565" t="s">
        <v>30</v>
      </c>
    </row>
    <row r="16567" spans="8:8" x14ac:dyDescent="0.25">
      <c r="H16567" t="s">
        <v>15076</v>
      </c>
    </row>
    <row r="16568" spans="8:8" x14ac:dyDescent="0.25">
      <c r="H16568" t="s">
        <v>15077</v>
      </c>
    </row>
    <row r="16569" spans="8:8" x14ac:dyDescent="0.25">
      <c r="H16569" t="s">
        <v>135</v>
      </c>
    </row>
    <row r="16570" spans="8:8" x14ac:dyDescent="0.25">
      <c r="H16570" t="s">
        <v>20124</v>
      </c>
    </row>
    <row r="16571" spans="8:8" x14ac:dyDescent="0.25">
      <c r="H16571" t="s">
        <v>30</v>
      </c>
    </row>
    <row r="16572" spans="8:8" x14ac:dyDescent="0.25">
      <c r="H16572" t="s">
        <v>136</v>
      </c>
    </row>
    <row r="16573" spans="8:8" x14ac:dyDescent="0.25">
      <c r="H16573" t="s">
        <v>20125</v>
      </c>
    </row>
    <row r="16574" spans="8:8" x14ac:dyDescent="0.25">
      <c r="H16574" t="s">
        <v>30</v>
      </c>
    </row>
    <row r="16575" spans="8:8" x14ac:dyDescent="0.25">
      <c r="H16575" t="s">
        <v>137</v>
      </c>
    </row>
    <row r="16576" spans="8:8" x14ac:dyDescent="0.25">
      <c r="H16576" t="s">
        <v>20126</v>
      </c>
    </row>
    <row r="16577" spans="8:8" x14ac:dyDescent="0.25">
      <c r="H16577" t="s">
        <v>30</v>
      </c>
    </row>
    <row r="16578" spans="8:8" x14ac:dyDescent="0.25">
      <c r="H16578" t="s">
        <v>138</v>
      </c>
    </row>
    <row r="16579" spans="8:8" x14ac:dyDescent="0.25">
      <c r="H16579" t="s">
        <v>20127</v>
      </c>
    </row>
    <row r="16580" spans="8:8" x14ac:dyDescent="0.25">
      <c r="H16580" t="s">
        <v>30</v>
      </c>
    </row>
    <row r="16582" spans="8:8" x14ac:dyDescent="0.25">
      <c r="H16582" t="s">
        <v>15082</v>
      </c>
    </row>
    <row r="16583" spans="8:8" x14ac:dyDescent="0.25">
      <c r="H16583" t="s">
        <v>15083</v>
      </c>
    </row>
    <row r="16584" spans="8:8" x14ac:dyDescent="0.25">
      <c r="H16584" t="s">
        <v>135</v>
      </c>
    </row>
    <row r="16585" spans="8:8" x14ac:dyDescent="0.25">
      <c r="H16585" t="s">
        <v>20128</v>
      </c>
    </row>
    <row r="16586" spans="8:8" x14ac:dyDescent="0.25">
      <c r="H16586" t="s">
        <v>30</v>
      </c>
    </row>
    <row r="16587" spans="8:8" x14ac:dyDescent="0.25">
      <c r="H16587" t="s">
        <v>136</v>
      </c>
    </row>
    <row r="16588" spans="8:8" x14ac:dyDescent="0.25">
      <c r="H16588" t="s">
        <v>20129</v>
      </c>
    </row>
    <row r="16589" spans="8:8" x14ac:dyDescent="0.25">
      <c r="H16589" t="s">
        <v>30</v>
      </c>
    </row>
    <row r="16590" spans="8:8" x14ac:dyDescent="0.25">
      <c r="H16590" t="s">
        <v>137</v>
      </c>
    </row>
    <row r="16591" spans="8:8" x14ac:dyDescent="0.25">
      <c r="H16591" t="s">
        <v>20130</v>
      </c>
    </row>
    <row r="16592" spans="8:8" x14ac:dyDescent="0.25">
      <c r="H16592" t="s">
        <v>30</v>
      </c>
    </row>
    <row r="16593" spans="8:8" x14ac:dyDescent="0.25">
      <c r="H16593" t="s">
        <v>138</v>
      </c>
    </row>
    <row r="16594" spans="8:8" x14ac:dyDescent="0.25">
      <c r="H16594" t="s">
        <v>20131</v>
      </c>
    </row>
    <row r="16595" spans="8:8" x14ac:dyDescent="0.25">
      <c r="H16595" t="s">
        <v>30</v>
      </c>
    </row>
    <row r="16597" spans="8:8" x14ac:dyDescent="0.25">
      <c r="H16597" t="s">
        <v>15088</v>
      </c>
    </row>
    <row r="16598" spans="8:8" x14ac:dyDescent="0.25">
      <c r="H16598" t="s">
        <v>15089</v>
      </c>
    </row>
    <row r="16599" spans="8:8" x14ac:dyDescent="0.25">
      <c r="H16599" t="s">
        <v>135</v>
      </c>
    </row>
    <row r="16600" spans="8:8" x14ac:dyDescent="0.25">
      <c r="H16600" t="s">
        <v>23457</v>
      </c>
    </row>
    <row r="16601" spans="8:8" x14ac:dyDescent="0.25">
      <c r="H16601" t="s">
        <v>30</v>
      </c>
    </row>
    <row r="16603" spans="8:8" x14ac:dyDescent="0.25">
      <c r="H16603" t="s">
        <v>15090</v>
      </c>
    </row>
    <row r="16604" spans="8:8" x14ac:dyDescent="0.25">
      <c r="H16604" t="s">
        <v>15091</v>
      </c>
    </row>
    <row r="16605" spans="8:8" x14ac:dyDescent="0.25">
      <c r="H16605" t="s">
        <v>135</v>
      </c>
    </row>
    <row r="16606" spans="8:8" x14ac:dyDescent="0.25">
      <c r="H16606" t="s">
        <v>20132</v>
      </c>
    </row>
    <row r="16607" spans="8:8" x14ac:dyDescent="0.25">
      <c r="H16607" t="s">
        <v>30</v>
      </c>
    </row>
    <row r="16609" spans="8:8" x14ac:dyDescent="0.25">
      <c r="H16609" t="s">
        <v>15093</v>
      </c>
    </row>
    <row r="16610" spans="8:8" x14ac:dyDescent="0.25">
      <c r="H16610" t="s">
        <v>15094</v>
      </c>
    </row>
    <row r="16611" spans="8:8" x14ac:dyDescent="0.25">
      <c r="H16611" t="s">
        <v>135</v>
      </c>
    </row>
    <row r="16612" spans="8:8" x14ac:dyDescent="0.25">
      <c r="H16612" t="s">
        <v>20133</v>
      </c>
    </row>
    <row r="16613" spans="8:8" x14ac:dyDescent="0.25">
      <c r="H16613" t="s">
        <v>30</v>
      </c>
    </row>
    <row r="16615" spans="8:8" x14ac:dyDescent="0.25">
      <c r="H16615" t="s">
        <v>15096</v>
      </c>
    </row>
    <row r="16616" spans="8:8" x14ac:dyDescent="0.25">
      <c r="H16616" t="s">
        <v>15097</v>
      </c>
    </row>
    <row r="16617" spans="8:8" x14ac:dyDescent="0.25">
      <c r="H16617" t="s">
        <v>135</v>
      </c>
    </row>
    <row r="16618" spans="8:8" x14ac:dyDescent="0.25">
      <c r="H16618" t="s">
        <v>20134</v>
      </c>
    </row>
    <row r="16619" spans="8:8" x14ac:dyDescent="0.25">
      <c r="H16619" t="s">
        <v>30</v>
      </c>
    </row>
    <row r="16621" spans="8:8" x14ac:dyDescent="0.25">
      <c r="H16621" t="s">
        <v>15099</v>
      </c>
    </row>
    <row r="16622" spans="8:8" x14ac:dyDescent="0.25">
      <c r="H16622" t="s">
        <v>15100</v>
      </c>
    </row>
    <row r="16623" spans="8:8" x14ac:dyDescent="0.25">
      <c r="H16623" t="s">
        <v>135</v>
      </c>
    </row>
    <row r="16624" spans="8:8" x14ac:dyDescent="0.25">
      <c r="H16624" t="s">
        <v>20135</v>
      </c>
    </row>
    <row r="16625" spans="8:8" x14ac:dyDescent="0.25">
      <c r="H16625" t="s">
        <v>30</v>
      </c>
    </row>
    <row r="16626" spans="8:8" x14ac:dyDescent="0.25">
      <c r="H16626" t="s">
        <v>136</v>
      </c>
    </row>
    <row r="16627" spans="8:8" x14ac:dyDescent="0.25">
      <c r="H16627" t="s">
        <v>20136</v>
      </c>
    </row>
    <row r="16628" spans="8:8" x14ac:dyDescent="0.25">
      <c r="H16628" t="s">
        <v>30</v>
      </c>
    </row>
    <row r="16629" spans="8:8" x14ac:dyDescent="0.25">
      <c r="H16629" t="s">
        <v>137</v>
      </c>
    </row>
    <row r="16630" spans="8:8" x14ac:dyDescent="0.25">
      <c r="H16630" t="s">
        <v>20137</v>
      </c>
    </row>
    <row r="16631" spans="8:8" x14ac:dyDescent="0.25">
      <c r="H16631" t="s">
        <v>30</v>
      </c>
    </row>
    <row r="16633" spans="8:8" x14ac:dyDescent="0.25">
      <c r="H16633" t="s">
        <v>15104</v>
      </c>
    </row>
    <row r="16634" spans="8:8" x14ac:dyDescent="0.25">
      <c r="H16634" t="s">
        <v>15105</v>
      </c>
    </row>
    <row r="16635" spans="8:8" x14ac:dyDescent="0.25">
      <c r="H16635" t="s">
        <v>135</v>
      </c>
    </row>
    <row r="16636" spans="8:8" x14ac:dyDescent="0.25">
      <c r="H16636" t="s">
        <v>23458</v>
      </c>
    </row>
    <row r="16637" spans="8:8" x14ac:dyDescent="0.25">
      <c r="H16637" t="s">
        <v>30</v>
      </c>
    </row>
    <row r="16639" spans="8:8" x14ac:dyDescent="0.25">
      <c r="H16639" t="s">
        <v>15106</v>
      </c>
    </row>
    <row r="16640" spans="8:8" x14ac:dyDescent="0.25">
      <c r="H16640" t="s">
        <v>15107</v>
      </c>
    </row>
    <row r="16641" spans="8:8" x14ac:dyDescent="0.25">
      <c r="H16641" t="s">
        <v>135</v>
      </c>
    </row>
    <row r="16642" spans="8:8" x14ac:dyDescent="0.25">
      <c r="H16642" t="s">
        <v>20138</v>
      </c>
    </row>
    <row r="16643" spans="8:8" x14ac:dyDescent="0.25">
      <c r="H16643" t="s">
        <v>30</v>
      </c>
    </row>
    <row r="16645" spans="8:8" x14ac:dyDescent="0.25">
      <c r="H16645" t="s">
        <v>15109</v>
      </c>
    </row>
    <row r="16646" spans="8:8" x14ac:dyDescent="0.25">
      <c r="H16646" t="s">
        <v>15110</v>
      </c>
    </row>
    <row r="16647" spans="8:8" x14ac:dyDescent="0.25">
      <c r="H16647" t="s">
        <v>135</v>
      </c>
    </row>
    <row r="16648" spans="8:8" x14ac:dyDescent="0.25">
      <c r="H16648" t="s">
        <v>20139</v>
      </c>
    </row>
    <row r="16649" spans="8:8" x14ac:dyDescent="0.25">
      <c r="H16649" t="s">
        <v>30</v>
      </c>
    </row>
    <row r="16651" spans="8:8" x14ac:dyDescent="0.25">
      <c r="H16651" t="s">
        <v>15112</v>
      </c>
    </row>
    <row r="16652" spans="8:8" x14ac:dyDescent="0.25">
      <c r="H16652" t="s">
        <v>15113</v>
      </c>
    </row>
    <row r="16653" spans="8:8" x14ac:dyDescent="0.25">
      <c r="H16653" t="s">
        <v>135</v>
      </c>
    </row>
    <row r="16654" spans="8:8" x14ac:dyDescent="0.25">
      <c r="H16654" t="s">
        <v>20140</v>
      </c>
    </row>
    <row r="16655" spans="8:8" x14ac:dyDescent="0.25">
      <c r="H16655" t="s">
        <v>30</v>
      </c>
    </row>
    <row r="16657" spans="8:8" x14ac:dyDescent="0.25">
      <c r="H16657" t="s">
        <v>15115</v>
      </c>
    </row>
    <row r="16658" spans="8:8" x14ac:dyDescent="0.25">
      <c r="H16658" t="s">
        <v>15116</v>
      </c>
    </row>
    <row r="16659" spans="8:8" x14ac:dyDescent="0.25">
      <c r="H16659" t="s">
        <v>135</v>
      </c>
    </row>
    <row r="16660" spans="8:8" x14ac:dyDescent="0.25">
      <c r="H16660" t="s">
        <v>20141</v>
      </c>
    </row>
    <row r="16661" spans="8:8" x14ac:dyDescent="0.25">
      <c r="H16661" t="s">
        <v>30</v>
      </c>
    </row>
    <row r="16662" spans="8:8" x14ac:dyDescent="0.25">
      <c r="H16662" t="s">
        <v>136</v>
      </c>
    </row>
    <row r="16663" spans="8:8" x14ac:dyDescent="0.25">
      <c r="H16663" t="s">
        <v>20142</v>
      </c>
    </row>
    <row r="16664" spans="8:8" x14ac:dyDescent="0.25">
      <c r="H16664" t="s">
        <v>30</v>
      </c>
    </row>
    <row r="16665" spans="8:8" x14ac:dyDescent="0.25">
      <c r="H16665" t="s">
        <v>137</v>
      </c>
    </row>
    <row r="16666" spans="8:8" x14ac:dyDescent="0.25">
      <c r="H16666" t="s">
        <v>20143</v>
      </c>
    </row>
    <row r="16667" spans="8:8" x14ac:dyDescent="0.25">
      <c r="H16667" t="s">
        <v>30</v>
      </c>
    </row>
    <row r="16669" spans="8:8" x14ac:dyDescent="0.25">
      <c r="H16669" t="s">
        <v>15120</v>
      </c>
    </row>
    <row r="16670" spans="8:8" x14ac:dyDescent="0.25">
      <c r="H16670" t="s">
        <v>15121</v>
      </c>
    </row>
    <row r="16671" spans="8:8" x14ac:dyDescent="0.25">
      <c r="H16671" t="s">
        <v>135</v>
      </c>
    </row>
    <row r="16672" spans="8:8" x14ac:dyDescent="0.25">
      <c r="H16672" t="s">
        <v>23459</v>
      </c>
    </row>
    <row r="16673" spans="8:8" x14ac:dyDescent="0.25">
      <c r="H16673" t="s">
        <v>30</v>
      </c>
    </row>
    <row r="16675" spans="8:8" x14ac:dyDescent="0.25">
      <c r="H16675" t="s">
        <v>15122</v>
      </c>
    </row>
    <row r="16676" spans="8:8" x14ac:dyDescent="0.25">
      <c r="H16676" t="s">
        <v>15123</v>
      </c>
    </row>
    <row r="16677" spans="8:8" x14ac:dyDescent="0.25">
      <c r="H16677" t="s">
        <v>135</v>
      </c>
    </row>
    <row r="16678" spans="8:8" x14ac:dyDescent="0.25">
      <c r="H16678" t="s">
        <v>20144</v>
      </c>
    </row>
    <row r="16679" spans="8:8" x14ac:dyDescent="0.25">
      <c r="H16679" t="s">
        <v>30</v>
      </c>
    </row>
    <row r="16681" spans="8:8" x14ac:dyDescent="0.25">
      <c r="H16681" t="s">
        <v>15125</v>
      </c>
    </row>
    <row r="16682" spans="8:8" x14ac:dyDescent="0.25">
      <c r="H16682" t="s">
        <v>15126</v>
      </c>
    </row>
    <row r="16683" spans="8:8" x14ac:dyDescent="0.25">
      <c r="H16683" t="s">
        <v>135</v>
      </c>
    </row>
    <row r="16684" spans="8:8" x14ac:dyDescent="0.25">
      <c r="H16684" t="s">
        <v>20145</v>
      </c>
    </row>
    <row r="16685" spans="8:8" x14ac:dyDescent="0.25">
      <c r="H16685" t="s">
        <v>30</v>
      </c>
    </row>
    <row r="16687" spans="8:8" x14ac:dyDescent="0.25">
      <c r="H16687" t="s">
        <v>15128</v>
      </c>
    </row>
    <row r="16688" spans="8:8" x14ac:dyDescent="0.25">
      <c r="H16688" t="s">
        <v>15129</v>
      </c>
    </row>
    <row r="16689" spans="8:8" x14ac:dyDescent="0.25">
      <c r="H16689" t="s">
        <v>135</v>
      </c>
    </row>
    <row r="16690" spans="8:8" x14ac:dyDescent="0.25">
      <c r="H16690" t="s">
        <v>20146</v>
      </c>
    </row>
    <row r="16691" spans="8:8" x14ac:dyDescent="0.25">
      <c r="H16691" t="s">
        <v>30</v>
      </c>
    </row>
    <row r="16693" spans="8:8" x14ac:dyDescent="0.25">
      <c r="H16693" t="s">
        <v>15131</v>
      </c>
    </row>
    <row r="16694" spans="8:8" x14ac:dyDescent="0.25">
      <c r="H16694" t="s">
        <v>15132</v>
      </c>
    </row>
    <row r="16695" spans="8:8" x14ac:dyDescent="0.25">
      <c r="H16695" t="s">
        <v>135</v>
      </c>
    </row>
    <row r="16696" spans="8:8" x14ac:dyDescent="0.25">
      <c r="H16696" t="s">
        <v>20147</v>
      </c>
    </row>
    <row r="16697" spans="8:8" x14ac:dyDescent="0.25">
      <c r="H16697" t="s">
        <v>30</v>
      </c>
    </row>
    <row r="16698" spans="8:8" x14ac:dyDescent="0.25">
      <c r="H16698" t="s">
        <v>136</v>
      </c>
    </row>
    <row r="16699" spans="8:8" x14ac:dyDescent="0.25">
      <c r="H16699" t="s">
        <v>20148</v>
      </c>
    </row>
    <row r="16700" spans="8:8" x14ac:dyDescent="0.25">
      <c r="H16700" t="s">
        <v>30</v>
      </c>
    </row>
    <row r="16701" spans="8:8" x14ac:dyDescent="0.25">
      <c r="H16701" t="s">
        <v>137</v>
      </c>
    </row>
    <row r="16702" spans="8:8" x14ac:dyDescent="0.25">
      <c r="H16702" t="s">
        <v>20149</v>
      </c>
    </row>
    <row r="16703" spans="8:8" x14ac:dyDescent="0.25">
      <c r="H16703" t="s">
        <v>30</v>
      </c>
    </row>
    <row r="16705" spans="8:8" x14ac:dyDescent="0.25">
      <c r="H16705" t="s">
        <v>15136</v>
      </c>
    </row>
    <row r="16706" spans="8:8" x14ac:dyDescent="0.25">
      <c r="H16706" t="s">
        <v>15137</v>
      </c>
    </row>
    <row r="16707" spans="8:8" x14ac:dyDescent="0.25">
      <c r="H16707" t="s">
        <v>135</v>
      </c>
    </row>
    <row r="16708" spans="8:8" x14ac:dyDescent="0.25">
      <c r="H16708" t="s">
        <v>23460</v>
      </c>
    </row>
    <row r="16709" spans="8:8" x14ac:dyDescent="0.25">
      <c r="H16709" t="s">
        <v>30</v>
      </c>
    </row>
    <row r="16711" spans="8:8" x14ac:dyDescent="0.25">
      <c r="H16711" t="s">
        <v>15138</v>
      </c>
    </row>
    <row r="16712" spans="8:8" x14ac:dyDescent="0.25">
      <c r="H16712" t="s">
        <v>15139</v>
      </c>
    </row>
    <row r="16713" spans="8:8" x14ac:dyDescent="0.25">
      <c r="H16713" t="s">
        <v>135</v>
      </c>
    </row>
    <row r="16714" spans="8:8" x14ac:dyDescent="0.25">
      <c r="H16714" t="s">
        <v>20150</v>
      </c>
    </row>
    <row r="16715" spans="8:8" x14ac:dyDescent="0.25">
      <c r="H16715" t="s">
        <v>30</v>
      </c>
    </row>
    <row r="16717" spans="8:8" x14ac:dyDescent="0.25">
      <c r="H16717" t="s">
        <v>15141</v>
      </c>
    </row>
    <row r="16718" spans="8:8" x14ac:dyDescent="0.25">
      <c r="H16718" t="s">
        <v>15142</v>
      </c>
    </row>
    <row r="16719" spans="8:8" x14ac:dyDescent="0.25">
      <c r="H16719" t="s">
        <v>135</v>
      </c>
    </row>
    <row r="16720" spans="8:8" x14ac:dyDescent="0.25">
      <c r="H16720" t="s">
        <v>20151</v>
      </c>
    </row>
    <row r="16721" spans="8:8" x14ac:dyDescent="0.25">
      <c r="H16721" t="s">
        <v>30</v>
      </c>
    </row>
    <row r="16723" spans="8:8" x14ac:dyDescent="0.25">
      <c r="H16723" t="s">
        <v>15144</v>
      </c>
    </row>
    <row r="16724" spans="8:8" x14ac:dyDescent="0.25">
      <c r="H16724" t="s">
        <v>15145</v>
      </c>
    </row>
    <row r="16725" spans="8:8" x14ac:dyDescent="0.25">
      <c r="H16725" t="s">
        <v>135</v>
      </c>
    </row>
    <row r="16726" spans="8:8" x14ac:dyDescent="0.25">
      <c r="H16726" t="s">
        <v>20152</v>
      </c>
    </row>
    <row r="16727" spans="8:8" x14ac:dyDescent="0.25">
      <c r="H16727" t="s">
        <v>30</v>
      </c>
    </row>
    <row r="16729" spans="8:8" x14ac:dyDescent="0.25">
      <c r="H16729" t="s">
        <v>15147</v>
      </c>
    </row>
    <row r="16730" spans="8:8" x14ac:dyDescent="0.25">
      <c r="H16730" t="s">
        <v>15148</v>
      </c>
    </row>
    <row r="16731" spans="8:8" x14ac:dyDescent="0.25">
      <c r="H16731" t="s">
        <v>135</v>
      </c>
    </row>
    <row r="16732" spans="8:8" x14ac:dyDescent="0.25">
      <c r="H16732" t="s">
        <v>20153</v>
      </c>
    </row>
    <row r="16733" spans="8:8" x14ac:dyDescent="0.25">
      <c r="H16733" t="s">
        <v>30</v>
      </c>
    </row>
    <row r="16734" spans="8:8" x14ac:dyDescent="0.25">
      <c r="H16734" t="s">
        <v>136</v>
      </c>
    </row>
    <row r="16735" spans="8:8" x14ac:dyDescent="0.25">
      <c r="H16735" t="s">
        <v>20154</v>
      </c>
    </row>
    <row r="16736" spans="8:8" x14ac:dyDescent="0.25">
      <c r="H16736" t="s">
        <v>30</v>
      </c>
    </row>
    <row r="16737" spans="8:8" x14ac:dyDescent="0.25">
      <c r="H16737" t="s">
        <v>137</v>
      </c>
    </row>
    <row r="16738" spans="8:8" x14ac:dyDescent="0.25">
      <c r="H16738" t="s">
        <v>20155</v>
      </c>
    </row>
    <row r="16739" spans="8:8" x14ac:dyDescent="0.25">
      <c r="H16739" t="s">
        <v>30</v>
      </c>
    </row>
    <row r="16741" spans="8:8" x14ac:dyDescent="0.25">
      <c r="H16741" t="s">
        <v>15152</v>
      </c>
    </row>
    <row r="16742" spans="8:8" x14ac:dyDescent="0.25">
      <c r="H16742" t="s">
        <v>15153</v>
      </c>
    </row>
    <row r="16743" spans="8:8" x14ac:dyDescent="0.25">
      <c r="H16743" t="s">
        <v>135</v>
      </c>
    </row>
    <row r="16744" spans="8:8" x14ac:dyDescent="0.25">
      <c r="H16744" t="s">
        <v>23461</v>
      </c>
    </row>
    <row r="16745" spans="8:8" x14ac:dyDescent="0.25">
      <c r="H16745" t="s">
        <v>30</v>
      </c>
    </row>
    <row r="16747" spans="8:8" x14ac:dyDescent="0.25">
      <c r="H16747" t="s">
        <v>15154</v>
      </c>
    </row>
    <row r="16748" spans="8:8" x14ac:dyDescent="0.25">
      <c r="H16748" t="s">
        <v>15155</v>
      </c>
    </row>
    <row r="16749" spans="8:8" x14ac:dyDescent="0.25">
      <c r="H16749" t="s">
        <v>135</v>
      </c>
    </row>
    <row r="16750" spans="8:8" x14ac:dyDescent="0.25">
      <c r="H16750" t="s">
        <v>20156</v>
      </c>
    </row>
    <row r="16751" spans="8:8" x14ac:dyDescent="0.25">
      <c r="H16751" t="s">
        <v>30</v>
      </c>
    </row>
    <row r="16753" spans="8:8" x14ac:dyDescent="0.25">
      <c r="H16753" t="s">
        <v>15157</v>
      </c>
    </row>
    <row r="16754" spans="8:8" x14ac:dyDescent="0.25">
      <c r="H16754" t="s">
        <v>15158</v>
      </c>
    </row>
    <row r="16755" spans="8:8" x14ac:dyDescent="0.25">
      <c r="H16755" t="s">
        <v>135</v>
      </c>
    </row>
    <row r="16756" spans="8:8" x14ac:dyDescent="0.25">
      <c r="H16756" t="s">
        <v>20157</v>
      </c>
    </row>
    <row r="16757" spans="8:8" x14ac:dyDescent="0.25">
      <c r="H16757" t="s">
        <v>30</v>
      </c>
    </row>
    <row r="16759" spans="8:8" x14ac:dyDescent="0.25">
      <c r="H16759" t="s">
        <v>15160</v>
      </c>
    </row>
    <row r="16760" spans="8:8" x14ac:dyDescent="0.25">
      <c r="H16760" t="s">
        <v>15161</v>
      </c>
    </row>
    <row r="16761" spans="8:8" x14ac:dyDescent="0.25">
      <c r="H16761" t="s">
        <v>135</v>
      </c>
    </row>
    <row r="16762" spans="8:8" x14ac:dyDescent="0.25">
      <c r="H16762" t="s">
        <v>20158</v>
      </c>
    </row>
    <row r="16763" spans="8:8" x14ac:dyDescent="0.25">
      <c r="H16763" t="s">
        <v>30</v>
      </c>
    </row>
    <row r="16765" spans="8:8" x14ac:dyDescent="0.25">
      <c r="H16765" t="s">
        <v>15163</v>
      </c>
    </row>
    <row r="16766" spans="8:8" x14ac:dyDescent="0.25">
      <c r="H16766" t="s">
        <v>15164</v>
      </c>
    </row>
    <row r="16767" spans="8:8" x14ac:dyDescent="0.25">
      <c r="H16767" t="s">
        <v>135</v>
      </c>
    </row>
    <row r="16768" spans="8:8" x14ac:dyDescent="0.25">
      <c r="H16768" t="s">
        <v>20159</v>
      </c>
    </row>
    <row r="16769" spans="8:8" x14ac:dyDescent="0.25">
      <c r="H16769" t="s">
        <v>30</v>
      </c>
    </row>
    <row r="16770" spans="8:8" x14ac:dyDescent="0.25">
      <c r="H16770" t="s">
        <v>136</v>
      </c>
    </row>
    <row r="16771" spans="8:8" x14ac:dyDescent="0.25">
      <c r="H16771" t="s">
        <v>20160</v>
      </c>
    </row>
    <row r="16772" spans="8:8" x14ac:dyDescent="0.25">
      <c r="H16772" t="s">
        <v>30</v>
      </c>
    </row>
    <row r="16773" spans="8:8" x14ac:dyDescent="0.25">
      <c r="H16773" t="s">
        <v>137</v>
      </c>
    </row>
    <row r="16774" spans="8:8" x14ac:dyDescent="0.25">
      <c r="H16774" t="s">
        <v>20161</v>
      </c>
    </row>
    <row r="16775" spans="8:8" x14ac:dyDescent="0.25">
      <c r="H16775" t="s">
        <v>30</v>
      </c>
    </row>
    <row r="16777" spans="8:8" x14ac:dyDescent="0.25">
      <c r="H16777" t="s">
        <v>15168</v>
      </c>
    </row>
    <row r="16778" spans="8:8" x14ac:dyDescent="0.25">
      <c r="H16778" t="s">
        <v>15169</v>
      </c>
    </row>
    <row r="16779" spans="8:8" x14ac:dyDescent="0.25">
      <c r="H16779" t="s">
        <v>135</v>
      </c>
    </row>
    <row r="16780" spans="8:8" x14ac:dyDescent="0.25">
      <c r="H16780" t="s">
        <v>23462</v>
      </c>
    </row>
    <row r="16781" spans="8:8" x14ac:dyDescent="0.25">
      <c r="H16781" t="s">
        <v>30</v>
      </c>
    </row>
    <row r="16783" spans="8:8" x14ac:dyDescent="0.25">
      <c r="H16783" t="s">
        <v>15170</v>
      </c>
    </row>
    <row r="16784" spans="8:8" x14ac:dyDescent="0.25">
      <c r="H16784" t="s">
        <v>15171</v>
      </c>
    </row>
    <row r="16785" spans="8:8" x14ac:dyDescent="0.25">
      <c r="H16785" t="s">
        <v>135</v>
      </c>
    </row>
    <row r="16786" spans="8:8" x14ac:dyDescent="0.25">
      <c r="H16786" t="s">
        <v>20162</v>
      </c>
    </row>
    <row r="16787" spans="8:8" x14ac:dyDescent="0.25">
      <c r="H16787" t="s">
        <v>30</v>
      </c>
    </row>
    <row r="16789" spans="8:8" x14ac:dyDescent="0.25">
      <c r="H16789" t="s">
        <v>15173</v>
      </c>
    </row>
    <row r="16790" spans="8:8" x14ac:dyDescent="0.25">
      <c r="H16790" t="s">
        <v>15174</v>
      </c>
    </row>
    <row r="16791" spans="8:8" x14ac:dyDescent="0.25">
      <c r="H16791" t="s">
        <v>135</v>
      </c>
    </row>
    <row r="16792" spans="8:8" x14ac:dyDescent="0.25">
      <c r="H16792" t="s">
        <v>20163</v>
      </c>
    </row>
    <row r="16793" spans="8:8" x14ac:dyDescent="0.25">
      <c r="H16793" t="s">
        <v>30</v>
      </c>
    </row>
    <row r="16795" spans="8:8" x14ac:dyDescent="0.25">
      <c r="H16795" t="s">
        <v>15176</v>
      </c>
    </row>
    <row r="16796" spans="8:8" x14ac:dyDescent="0.25">
      <c r="H16796" t="s">
        <v>15177</v>
      </c>
    </row>
    <row r="16797" spans="8:8" x14ac:dyDescent="0.25">
      <c r="H16797" t="s">
        <v>135</v>
      </c>
    </row>
    <row r="16798" spans="8:8" x14ac:dyDescent="0.25">
      <c r="H16798" t="s">
        <v>20164</v>
      </c>
    </row>
    <row r="16799" spans="8:8" x14ac:dyDescent="0.25">
      <c r="H16799" t="s">
        <v>30</v>
      </c>
    </row>
    <row r="16801" spans="8:8" x14ac:dyDescent="0.25">
      <c r="H16801" t="s">
        <v>15179</v>
      </c>
    </row>
    <row r="16802" spans="8:8" x14ac:dyDescent="0.25">
      <c r="H16802" t="s">
        <v>15180</v>
      </c>
    </row>
    <row r="16803" spans="8:8" x14ac:dyDescent="0.25">
      <c r="H16803" t="s">
        <v>135</v>
      </c>
    </row>
    <row r="16804" spans="8:8" x14ac:dyDescent="0.25">
      <c r="H16804" t="s">
        <v>20165</v>
      </c>
    </row>
    <row r="16805" spans="8:8" x14ac:dyDescent="0.25">
      <c r="H16805" t="s">
        <v>30</v>
      </c>
    </row>
    <row r="16806" spans="8:8" x14ac:dyDescent="0.25">
      <c r="H16806" t="s">
        <v>136</v>
      </c>
    </row>
    <row r="16807" spans="8:8" x14ac:dyDescent="0.25">
      <c r="H16807" t="s">
        <v>20166</v>
      </c>
    </row>
    <row r="16808" spans="8:8" x14ac:dyDescent="0.25">
      <c r="H16808" t="s">
        <v>30</v>
      </c>
    </row>
    <row r="16809" spans="8:8" x14ac:dyDescent="0.25">
      <c r="H16809" t="s">
        <v>137</v>
      </c>
    </row>
    <row r="16810" spans="8:8" x14ac:dyDescent="0.25">
      <c r="H16810" t="s">
        <v>20167</v>
      </c>
    </row>
    <row r="16811" spans="8:8" x14ac:dyDescent="0.25">
      <c r="H16811" t="s">
        <v>30</v>
      </c>
    </row>
    <row r="16813" spans="8:8" x14ac:dyDescent="0.25">
      <c r="H16813" t="s">
        <v>15184</v>
      </c>
    </row>
    <row r="16814" spans="8:8" x14ac:dyDescent="0.25">
      <c r="H16814" t="s">
        <v>15185</v>
      </c>
    </row>
    <row r="16815" spans="8:8" x14ac:dyDescent="0.25">
      <c r="H16815" t="s">
        <v>135</v>
      </c>
    </row>
    <row r="16816" spans="8:8" x14ac:dyDescent="0.25">
      <c r="H16816" t="s">
        <v>23463</v>
      </c>
    </row>
    <row r="16817" spans="8:8" x14ac:dyDescent="0.25">
      <c r="H16817" t="s">
        <v>30</v>
      </c>
    </row>
    <row r="16819" spans="8:8" x14ac:dyDescent="0.25">
      <c r="H16819" t="s">
        <v>15186</v>
      </c>
    </row>
    <row r="16820" spans="8:8" x14ac:dyDescent="0.25">
      <c r="H16820" t="s">
        <v>15187</v>
      </c>
    </row>
    <row r="16821" spans="8:8" x14ac:dyDescent="0.25">
      <c r="H16821" t="s">
        <v>135</v>
      </c>
    </row>
    <row r="16822" spans="8:8" x14ac:dyDescent="0.25">
      <c r="H16822" t="s">
        <v>20168</v>
      </c>
    </row>
    <row r="16823" spans="8:8" x14ac:dyDescent="0.25">
      <c r="H16823" t="s">
        <v>30</v>
      </c>
    </row>
    <row r="16825" spans="8:8" x14ac:dyDescent="0.25">
      <c r="H16825" t="s">
        <v>15189</v>
      </c>
    </row>
    <row r="16826" spans="8:8" x14ac:dyDescent="0.25">
      <c r="H16826" t="s">
        <v>15190</v>
      </c>
    </row>
    <row r="16827" spans="8:8" x14ac:dyDescent="0.25">
      <c r="H16827" t="s">
        <v>135</v>
      </c>
    </row>
    <row r="16828" spans="8:8" x14ac:dyDescent="0.25">
      <c r="H16828" t="s">
        <v>20169</v>
      </c>
    </row>
    <row r="16829" spans="8:8" x14ac:dyDescent="0.25">
      <c r="H16829" t="s">
        <v>30</v>
      </c>
    </row>
    <row r="16831" spans="8:8" x14ac:dyDescent="0.25">
      <c r="H16831" t="s">
        <v>15192</v>
      </c>
    </row>
    <row r="16832" spans="8:8" x14ac:dyDescent="0.25">
      <c r="H16832" t="s">
        <v>15193</v>
      </c>
    </row>
    <row r="16833" spans="8:8" x14ac:dyDescent="0.25">
      <c r="H16833" t="s">
        <v>135</v>
      </c>
    </row>
    <row r="16834" spans="8:8" x14ac:dyDescent="0.25">
      <c r="H16834" t="s">
        <v>20170</v>
      </c>
    </row>
    <row r="16835" spans="8:8" x14ac:dyDescent="0.25">
      <c r="H16835" t="s">
        <v>30</v>
      </c>
    </row>
    <row r="16837" spans="8:8" x14ac:dyDescent="0.25">
      <c r="H16837" t="s">
        <v>15195</v>
      </c>
    </row>
    <row r="16838" spans="8:8" x14ac:dyDescent="0.25">
      <c r="H16838" t="s">
        <v>15196</v>
      </c>
    </row>
    <row r="16839" spans="8:8" x14ac:dyDescent="0.25">
      <c r="H16839" t="s">
        <v>135</v>
      </c>
    </row>
    <row r="16840" spans="8:8" x14ac:dyDescent="0.25">
      <c r="H16840" t="s">
        <v>20171</v>
      </c>
    </row>
    <row r="16841" spans="8:8" x14ac:dyDescent="0.25">
      <c r="H16841" t="s">
        <v>30</v>
      </c>
    </row>
    <row r="16842" spans="8:8" x14ac:dyDescent="0.25">
      <c r="H16842" t="s">
        <v>136</v>
      </c>
    </row>
    <row r="16843" spans="8:8" x14ac:dyDescent="0.25">
      <c r="H16843" t="s">
        <v>20172</v>
      </c>
    </row>
    <row r="16844" spans="8:8" x14ac:dyDescent="0.25">
      <c r="H16844" t="s">
        <v>30</v>
      </c>
    </row>
    <row r="16845" spans="8:8" x14ac:dyDescent="0.25">
      <c r="H16845" t="s">
        <v>137</v>
      </c>
    </row>
    <row r="16846" spans="8:8" x14ac:dyDescent="0.25">
      <c r="H16846" t="s">
        <v>20173</v>
      </c>
    </row>
    <row r="16847" spans="8:8" x14ac:dyDescent="0.25">
      <c r="H16847" t="s">
        <v>30</v>
      </c>
    </row>
    <row r="16849" spans="8:8" x14ac:dyDescent="0.25">
      <c r="H16849" t="s">
        <v>15200</v>
      </c>
    </row>
    <row r="16850" spans="8:8" x14ac:dyDescent="0.25">
      <c r="H16850" t="s">
        <v>15201</v>
      </c>
    </row>
    <row r="16851" spans="8:8" x14ac:dyDescent="0.25">
      <c r="H16851" t="s">
        <v>135</v>
      </c>
    </row>
    <row r="16852" spans="8:8" x14ac:dyDescent="0.25">
      <c r="H16852" t="s">
        <v>23464</v>
      </c>
    </row>
    <row r="16853" spans="8:8" x14ac:dyDescent="0.25">
      <c r="H16853" t="s">
        <v>30</v>
      </c>
    </row>
    <row r="16855" spans="8:8" x14ac:dyDescent="0.25">
      <c r="H16855" t="s">
        <v>15202</v>
      </c>
    </row>
    <row r="16856" spans="8:8" x14ac:dyDescent="0.25">
      <c r="H16856" t="s">
        <v>15203</v>
      </c>
    </row>
    <row r="16857" spans="8:8" x14ac:dyDescent="0.25">
      <c r="H16857" t="s">
        <v>135</v>
      </c>
    </row>
    <row r="16858" spans="8:8" x14ac:dyDescent="0.25">
      <c r="H16858" t="s">
        <v>20174</v>
      </c>
    </row>
    <row r="16859" spans="8:8" x14ac:dyDescent="0.25">
      <c r="H16859" t="s">
        <v>30</v>
      </c>
    </row>
    <row r="16861" spans="8:8" x14ac:dyDescent="0.25">
      <c r="H16861" t="s">
        <v>15205</v>
      </c>
    </row>
    <row r="16862" spans="8:8" x14ac:dyDescent="0.25">
      <c r="H16862" t="s">
        <v>15206</v>
      </c>
    </row>
    <row r="16863" spans="8:8" x14ac:dyDescent="0.25">
      <c r="H16863" t="s">
        <v>135</v>
      </c>
    </row>
    <row r="16864" spans="8:8" x14ac:dyDescent="0.25">
      <c r="H16864" t="s">
        <v>20175</v>
      </c>
    </row>
    <row r="16865" spans="8:8" x14ac:dyDescent="0.25">
      <c r="H16865" t="s">
        <v>30</v>
      </c>
    </row>
    <row r="16867" spans="8:8" x14ac:dyDescent="0.25">
      <c r="H16867" t="s">
        <v>15208</v>
      </c>
    </row>
    <row r="16868" spans="8:8" x14ac:dyDescent="0.25">
      <c r="H16868" t="s">
        <v>15209</v>
      </c>
    </row>
    <row r="16869" spans="8:8" x14ac:dyDescent="0.25">
      <c r="H16869" t="s">
        <v>135</v>
      </c>
    </row>
    <row r="16870" spans="8:8" x14ac:dyDescent="0.25">
      <c r="H16870" t="s">
        <v>20176</v>
      </c>
    </row>
    <row r="16871" spans="8:8" x14ac:dyDescent="0.25">
      <c r="H16871" t="s">
        <v>30</v>
      </c>
    </row>
    <row r="16873" spans="8:8" x14ac:dyDescent="0.25">
      <c r="H16873" t="s">
        <v>15211</v>
      </c>
    </row>
    <row r="16874" spans="8:8" x14ac:dyDescent="0.25">
      <c r="H16874" t="s">
        <v>15212</v>
      </c>
    </row>
    <row r="16875" spans="8:8" x14ac:dyDescent="0.25">
      <c r="H16875" t="s">
        <v>135</v>
      </c>
    </row>
    <row r="16876" spans="8:8" x14ac:dyDescent="0.25">
      <c r="H16876" t="s">
        <v>20177</v>
      </c>
    </row>
    <row r="16877" spans="8:8" x14ac:dyDescent="0.25">
      <c r="H16877" t="s">
        <v>30</v>
      </c>
    </row>
    <row r="16878" spans="8:8" x14ac:dyDescent="0.25">
      <c r="H16878" t="s">
        <v>136</v>
      </c>
    </row>
    <row r="16879" spans="8:8" x14ac:dyDescent="0.25">
      <c r="H16879" t="s">
        <v>20178</v>
      </c>
    </row>
    <row r="16880" spans="8:8" x14ac:dyDescent="0.25">
      <c r="H16880" t="s">
        <v>30</v>
      </c>
    </row>
    <row r="16881" spans="8:8" x14ac:dyDescent="0.25">
      <c r="H16881" t="s">
        <v>137</v>
      </c>
    </row>
    <row r="16882" spans="8:8" x14ac:dyDescent="0.25">
      <c r="H16882" t="s">
        <v>20179</v>
      </c>
    </row>
    <row r="16883" spans="8:8" x14ac:dyDescent="0.25">
      <c r="H16883" t="s">
        <v>30</v>
      </c>
    </row>
    <row r="16885" spans="8:8" x14ac:dyDescent="0.25">
      <c r="H16885" t="s">
        <v>15216</v>
      </c>
    </row>
    <row r="16886" spans="8:8" x14ac:dyDescent="0.25">
      <c r="H16886" t="s">
        <v>15217</v>
      </c>
    </row>
    <row r="16887" spans="8:8" x14ac:dyDescent="0.25">
      <c r="H16887" t="s">
        <v>135</v>
      </c>
    </row>
    <row r="16888" spans="8:8" x14ac:dyDescent="0.25">
      <c r="H16888" t="s">
        <v>23465</v>
      </c>
    </row>
    <row r="16889" spans="8:8" x14ac:dyDescent="0.25">
      <c r="H16889" t="s">
        <v>30</v>
      </c>
    </row>
    <row r="16891" spans="8:8" x14ac:dyDescent="0.25">
      <c r="H16891" t="s">
        <v>15218</v>
      </c>
    </row>
    <row r="16892" spans="8:8" x14ac:dyDescent="0.25">
      <c r="H16892" t="s">
        <v>15219</v>
      </c>
    </row>
    <row r="16893" spans="8:8" x14ac:dyDescent="0.25">
      <c r="H16893" t="s">
        <v>135</v>
      </c>
    </row>
    <row r="16894" spans="8:8" x14ac:dyDescent="0.25">
      <c r="H16894" t="s">
        <v>20180</v>
      </c>
    </row>
    <row r="16895" spans="8:8" x14ac:dyDescent="0.25">
      <c r="H16895" t="s">
        <v>30</v>
      </c>
    </row>
    <row r="16897" spans="8:8" x14ac:dyDescent="0.25">
      <c r="H16897" t="s">
        <v>15221</v>
      </c>
    </row>
    <row r="16898" spans="8:8" x14ac:dyDescent="0.25">
      <c r="H16898" t="s">
        <v>15222</v>
      </c>
    </row>
    <row r="16899" spans="8:8" x14ac:dyDescent="0.25">
      <c r="H16899" t="s">
        <v>135</v>
      </c>
    </row>
    <row r="16900" spans="8:8" x14ac:dyDescent="0.25">
      <c r="H16900" t="s">
        <v>20181</v>
      </c>
    </row>
    <row r="16901" spans="8:8" x14ac:dyDescent="0.25">
      <c r="H16901" t="s">
        <v>30</v>
      </c>
    </row>
    <row r="16903" spans="8:8" x14ac:dyDescent="0.25">
      <c r="H16903" t="s">
        <v>15224</v>
      </c>
    </row>
    <row r="16904" spans="8:8" x14ac:dyDescent="0.25">
      <c r="H16904" t="s">
        <v>15225</v>
      </c>
    </row>
    <row r="16905" spans="8:8" x14ac:dyDescent="0.25">
      <c r="H16905" t="s">
        <v>135</v>
      </c>
    </row>
    <row r="16906" spans="8:8" x14ac:dyDescent="0.25">
      <c r="H16906" t="s">
        <v>20182</v>
      </c>
    </row>
    <row r="16907" spans="8:8" x14ac:dyDescent="0.25">
      <c r="H16907" t="s">
        <v>30</v>
      </c>
    </row>
    <row r="16909" spans="8:8" x14ac:dyDescent="0.25">
      <c r="H16909" t="s">
        <v>15227</v>
      </c>
    </row>
    <row r="16910" spans="8:8" x14ac:dyDescent="0.25">
      <c r="H16910" t="s">
        <v>15228</v>
      </c>
    </row>
    <row r="16911" spans="8:8" x14ac:dyDescent="0.25">
      <c r="H16911" t="s">
        <v>135</v>
      </c>
    </row>
    <row r="16912" spans="8:8" x14ac:dyDescent="0.25">
      <c r="H16912" t="s">
        <v>20183</v>
      </c>
    </row>
    <row r="16913" spans="8:8" x14ac:dyDescent="0.25">
      <c r="H16913" t="s">
        <v>30</v>
      </c>
    </row>
    <row r="16914" spans="8:8" x14ac:dyDescent="0.25">
      <c r="H16914" t="s">
        <v>136</v>
      </c>
    </row>
    <row r="16915" spans="8:8" x14ac:dyDescent="0.25">
      <c r="H16915" t="s">
        <v>20184</v>
      </c>
    </row>
    <row r="16916" spans="8:8" x14ac:dyDescent="0.25">
      <c r="H16916" t="s">
        <v>30</v>
      </c>
    </row>
    <row r="16917" spans="8:8" x14ac:dyDescent="0.25">
      <c r="H16917" t="s">
        <v>137</v>
      </c>
    </row>
    <row r="16918" spans="8:8" x14ac:dyDescent="0.25">
      <c r="H16918" t="s">
        <v>20185</v>
      </c>
    </row>
    <row r="16919" spans="8:8" x14ac:dyDescent="0.25">
      <c r="H16919" t="s">
        <v>30</v>
      </c>
    </row>
    <row r="16921" spans="8:8" x14ac:dyDescent="0.25">
      <c r="H16921" t="s">
        <v>15232</v>
      </c>
    </row>
    <row r="16922" spans="8:8" x14ac:dyDescent="0.25">
      <c r="H16922" t="s">
        <v>15233</v>
      </c>
    </row>
    <row r="16923" spans="8:8" x14ac:dyDescent="0.25">
      <c r="H16923" t="s">
        <v>135</v>
      </c>
    </row>
    <row r="16924" spans="8:8" x14ac:dyDescent="0.25">
      <c r="H16924" t="s">
        <v>23466</v>
      </c>
    </row>
    <row r="16925" spans="8:8" x14ac:dyDescent="0.25">
      <c r="H16925" t="s">
        <v>30</v>
      </c>
    </row>
    <row r="16927" spans="8:8" x14ac:dyDescent="0.25">
      <c r="H16927" t="s">
        <v>15234</v>
      </c>
    </row>
    <row r="16928" spans="8:8" x14ac:dyDescent="0.25">
      <c r="H16928" t="s">
        <v>15235</v>
      </c>
    </row>
    <row r="16929" spans="8:8" x14ac:dyDescent="0.25">
      <c r="H16929" t="s">
        <v>135</v>
      </c>
    </row>
    <row r="16930" spans="8:8" x14ac:dyDescent="0.25">
      <c r="H16930" t="s">
        <v>20186</v>
      </c>
    </row>
    <row r="16931" spans="8:8" x14ac:dyDescent="0.25">
      <c r="H16931" t="s">
        <v>30</v>
      </c>
    </row>
    <row r="16933" spans="8:8" x14ac:dyDescent="0.25">
      <c r="H16933" t="s">
        <v>15237</v>
      </c>
    </row>
    <row r="16934" spans="8:8" x14ac:dyDescent="0.25">
      <c r="H16934" t="s">
        <v>15238</v>
      </c>
    </row>
    <row r="16935" spans="8:8" x14ac:dyDescent="0.25">
      <c r="H16935" t="s">
        <v>135</v>
      </c>
    </row>
    <row r="16936" spans="8:8" x14ac:dyDescent="0.25">
      <c r="H16936" t="s">
        <v>20187</v>
      </c>
    </row>
    <row r="16937" spans="8:8" x14ac:dyDescent="0.25">
      <c r="H16937" t="s">
        <v>30</v>
      </c>
    </row>
    <row r="16939" spans="8:8" x14ac:dyDescent="0.25">
      <c r="H16939" t="s">
        <v>15240</v>
      </c>
    </row>
    <row r="16940" spans="8:8" x14ac:dyDescent="0.25">
      <c r="H16940" t="s">
        <v>15241</v>
      </c>
    </row>
    <row r="16941" spans="8:8" x14ac:dyDescent="0.25">
      <c r="H16941" t="s">
        <v>135</v>
      </c>
    </row>
    <row r="16942" spans="8:8" x14ac:dyDescent="0.25">
      <c r="H16942" t="s">
        <v>20188</v>
      </c>
    </row>
    <row r="16943" spans="8:8" x14ac:dyDescent="0.25">
      <c r="H16943" t="s">
        <v>30</v>
      </c>
    </row>
    <row r="16945" spans="8:8" x14ac:dyDescent="0.25">
      <c r="H16945" t="s">
        <v>15243</v>
      </c>
    </row>
    <row r="16946" spans="8:8" x14ac:dyDescent="0.25">
      <c r="H16946" t="s">
        <v>15244</v>
      </c>
    </row>
    <row r="16947" spans="8:8" x14ac:dyDescent="0.25">
      <c r="H16947" t="s">
        <v>135</v>
      </c>
    </row>
    <row r="16948" spans="8:8" x14ac:dyDescent="0.25">
      <c r="H16948" t="s">
        <v>20189</v>
      </c>
    </row>
    <row r="16949" spans="8:8" x14ac:dyDescent="0.25">
      <c r="H16949" t="s">
        <v>30</v>
      </c>
    </row>
    <row r="16950" spans="8:8" x14ac:dyDescent="0.25">
      <c r="H16950" t="s">
        <v>136</v>
      </c>
    </row>
    <row r="16951" spans="8:8" x14ac:dyDescent="0.25">
      <c r="H16951" t="s">
        <v>20190</v>
      </c>
    </row>
    <row r="16952" spans="8:8" x14ac:dyDescent="0.25">
      <c r="H16952" t="s">
        <v>30</v>
      </c>
    </row>
    <row r="16953" spans="8:8" x14ac:dyDescent="0.25">
      <c r="H16953" t="s">
        <v>137</v>
      </c>
    </row>
    <row r="16954" spans="8:8" x14ac:dyDescent="0.25">
      <c r="H16954" t="s">
        <v>20191</v>
      </c>
    </row>
    <row r="16955" spans="8:8" x14ac:dyDescent="0.25">
      <c r="H16955" t="s">
        <v>30</v>
      </c>
    </row>
    <row r="16957" spans="8:8" x14ac:dyDescent="0.25">
      <c r="H16957" t="s">
        <v>15248</v>
      </c>
    </row>
    <row r="16958" spans="8:8" x14ac:dyDescent="0.25">
      <c r="H16958" t="s">
        <v>15249</v>
      </c>
    </row>
    <row r="16959" spans="8:8" x14ac:dyDescent="0.25">
      <c r="H16959" t="s">
        <v>135</v>
      </c>
    </row>
    <row r="16960" spans="8:8" x14ac:dyDescent="0.25">
      <c r="H16960" t="s">
        <v>23467</v>
      </c>
    </row>
    <row r="16961" spans="8:8" x14ac:dyDescent="0.25">
      <c r="H16961" t="s">
        <v>30</v>
      </c>
    </row>
    <row r="16963" spans="8:8" x14ac:dyDescent="0.25">
      <c r="H16963" t="s">
        <v>15250</v>
      </c>
    </row>
    <row r="16964" spans="8:8" x14ac:dyDescent="0.25">
      <c r="H16964" t="s">
        <v>15251</v>
      </c>
    </row>
    <row r="16965" spans="8:8" x14ac:dyDescent="0.25">
      <c r="H16965" t="s">
        <v>135</v>
      </c>
    </row>
    <row r="16966" spans="8:8" x14ac:dyDescent="0.25">
      <c r="H16966" t="s">
        <v>20192</v>
      </c>
    </row>
    <row r="16967" spans="8:8" x14ac:dyDescent="0.25">
      <c r="H16967" t="s">
        <v>30</v>
      </c>
    </row>
    <row r="16969" spans="8:8" x14ac:dyDescent="0.25">
      <c r="H16969" t="s">
        <v>15253</v>
      </c>
    </row>
    <row r="16970" spans="8:8" x14ac:dyDescent="0.25">
      <c r="H16970" t="s">
        <v>15254</v>
      </c>
    </row>
    <row r="16971" spans="8:8" x14ac:dyDescent="0.25">
      <c r="H16971" t="s">
        <v>135</v>
      </c>
    </row>
    <row r="16972" spans="8:8" x14ac:dyDescent="0.25">
      <c r="H16972" t="s">
        <v>20193</v>
      </c>
    </row>
    <row r="16973" spans="8:8" x14ac:dyDescent="0.25">
      <c r="H16973" t="s">
        <v>30</v>
      </c>
    </row>
    <row r="16975" spans="8:8" x14ac:dyDescent="0.25">
      <c r="H16975" t="s">
        <v>15256</v>
      </c>
    </row>
    <row r="16976" spans="8:8" x14ac:dyDescent="0.25">
      <c r="H16976" t="s">
        <v>15257</v>
      </c>
    </row>
    <row r="16977" spans="8:8" x14ac:dyDescent="0.25">
      <c r="H16977" t="s">
        <v>135</v>
      </c>
    </row>
    <row r="16978" spans="8:8" x14ac:dyDescent="0.25">
      <c r="H16978" t="s">
        <v>20194</v>
      </c>
    </row>
    <row r="16979" spans="8:8" x14ac:dyDescent="0.25">
      <c r="H16979" t="s">
        <v>30</v>
      </c>
    </row>
    <row r="16981" spans="8:8" x14ac:dyDescent="0.25">
      <c r="H16981" t="s">
        <v>15259</v>
      </c>
    </row>
    <row r="16982" spans="8:8" x14ac:dyDescent="0.25">
      <c r="H16982" t="s">
        <v>15260</v>
      </c>
    </row>
    <row r="16983" spans="8:8" x14ac:dyDescent="0.25">
      <c r="H16983" t="s">
        <v>135</v>
      </c>
    </row>
    <row r="16984" spans="8:8" x14ac:dyDescent="0.25">
      <c r="H16984" t="s">
        <v>20195</v>
      </c>
    </row>
    <row r="16985" spans="8:8" x14ac:dyDescent="0.25">
      <c r="H16985" t="s">
        <v>30</v>
      </c>
    </row>
    <row r="16986" spans="8:8" x14ac:dyDescent="0.25">
      <c r="H16986" t="s">
        <v>136</v>
      </c>
    </row>
    <row r="16987" spans="8:8" x14ac:dyDescent="0.25">
      <c r="H16987" t="s">
        <v>20196</v>
      </c>
    </row>
    <row r="16988" spans="8:8" x14ac:dyDescent="0.25">
      <c r="H16988" t="s">
        <v>30</v>
      </c>
    </row>
    <row r="16989" spans="8:8" x14ac:dyDescent="0.25">
      <c r="H16989" t="s">
        <v>137</v>
      </c>
    </row>
    <row r="16990" spans="8:8" x14ac:dyDescent="0.25">
      <c r="H16990" t="s">
        <v>20197</v>
      </c>
    </row>
    <row r="16991" spans="8:8" x14ac:dyDescent="0.25">
      <c r="H16991" t="s">
        <v>30</v>
      </c>
    </row>
    <row r="16993" spans="8:8" x14ac:dyDescent="0.25">
      <c r="H16993" t="s">
        <v>15264</v>
      </c>
    </row>
    <row r="16994" spans="8:8" x14ac:dyDescent="0.25">
      <c r="H16994" t="s">
        <v>15265</v>
      </c>
    </row>
    <row r="16995" spans="8:8" x14ac:dyDescent="0.25">
      <c r="H16995" t="s">
        <v>135</v>
      </c>
    </row>
    <row r="16996" spans="8:8" x14ac:dyDescent="0.25">
      <c r="H16996" t="s">
        <v>23468</v>
      </c>
    </row>
    <row r="16997" spans="8:8" x14ac:dyDescent="0.25">
      <c r="H16997" t="s">
        <v>30</v>
      </c>
    </row>
    <row r="16999" spans="8:8" x14ac:dyDescent="0.25">
      <c r="H16999" t="s">
        <v>15266</v>
      </c>
    </row>
    <row r="17000" spans="8:8" x14ac:dyDescent="0.25">
      <c r="H17000" t="s">
        <v>15267</v>
      </c>
    </row>
    <row r="17001" spans="8:8" x14ac:dyDescent="0.25">
      <c r="H17001" t="s">
        <v>135</v>
      </c>
    </row>
    <row r="17002" spans="8:8" x14ac:dyDescent="0.25">
      <c r="H17002" t="s">
        <v>20198</v>
      </c>
    </row>
    <row r="17003" spans="8:8" x14ac:dyDescent="0.25">
      <c r="H17003" t="s">
        <v>30</v>
      </c>
    </row>
    <row r="17005" spans="8:8" x14ac:dyDescent="0.25">
      <c r="H17005" t="s">
        <v>15269</v>
      </c>
    </row>
    <row r="17006" spans="8:8" x14ac:dyDescent="0.25">
      <c r="H17006" t="s">
        <v>15270</v>
      </c>
    </row>
    <row r="17007" spans="8:8" x14ac:dyDescent="0.25">
      <c r="H17007" t="s">
        <v>135</v>
      </c>
    </row>
    <row r="17008" spans="8:8" x14ac:dyDescent="0.25">
      <c r="H17008" t="s">
        <v>20199</v>
      </c>
    </row>
    <row r="17009" spans="8:8" x14ac:dyDescent="0.25">
      <c r="H17009" t="s">
        <v>30</v>
      </c>
    </row>
    <row r="17011" spans="8:8" x14ac:dyDescent="0.25">
      <c r="H17011" t="s">
        <v>15272</v>
      </c>
    </row>
    <row r="17012" spans="8:8" x14ac:dyDescent="0.25">
      <c r="H17012" t="s">
        <v>15273</v>
      </c>
    </row>
    <row r="17013" spans="8:8" x14ac:dyDescent="0.25">
      <c r="H17013" t="s">
        <v>135</v>
      </c>
    </row>
    <row r="17014" spans="8:8" x14ac:dyDescent="0.25">
      <c r="H17014" t="s">
        <v>20200</v>
      </c>
    </row>
    <row r="17015" spans="8:8" x14ac:dyDescent="0.25">
      <c r="H17015" t="s">
        <v>30</v>
      </c>
    </row>
    <row r="17017" spans="8:8" x14ac:dyDescent="0.25">
      <c r="H17017" t="s">
        <v>15275</v>
      </c>
    </row>
    <row r="17018" spans="8:8" x14ac:dyDescent="0.25">
      <c r="H17018" t="s">
        <v>15276</v>
      </c>
    </row>
    <row r="17019" spans="8:8" x14ac:dyDescent="0.25">
      <c r="H17019" t="s">
        <v>135</v>
      </c>
    </row>
    <row r="17020" spans="8:8" x14ac:dyDescent="0.25">
      <c r="H17020" t="s">
        <v>20201</v>
      </c>
    </row>
    <row r="17021" spans="8:8" x14ac:dyDescent="0.25">
      <c r="H17021" t="s">
        <v>30</v>
      </c>
    </row>
    <row r="17022" spans="8:8" x14ac:dyDescent="0.25">
      <c r="H17022" t="s">
        <v>136</v>
      </c>
    </row>
    <row r="17023" spans="8:8" x14ac:dyDescent="0.25">
      <c r="H17023" t="s">
        <v>20202</v>
      </c>
    </row>
    <row r="17024" spans="8:8" x14ac:dyDescent="0.25">
      <c r="H17024" t="s">
        <v>30</v>
      </c>
    </row>
    <row r="17025" spans="8:8" x14ac:dyDescent="0.25">
      <c r="H17025" t="s">
        <v>137</v>
      </c>
    </row>
    <row r="17026" spans="8:8" x14ac:dyDescent="0.25">
      <c r="H17026" t="s">
        <v>20203</v>
      </c>
    </row>
    <row r="17027" spans="8:8" x14ac:dyDescent="0.25">
      <c r="H17027" t="s">
        <v>30</v>
      </c>
    </row>
    <row r="17029" spans="8:8" x14ac:dyDescent="0.25">
      <c r="H17029" t="s">
        <v>15280</v>
      </c>
    </row>
    <row r="17030" spans="8:8" x14ac:dyDescent="0.25">
      <c r="H17030" t="s">
        <v>15281</v>
      </c>
    </row>
    <row r="17031" spans="8:8" x14ac:dyDescent="0.25">
      <c r="H17031" t="s">
        <v>135</v>
      </c>
    </row>
    <row r="17032" spans="8:8" x14ac:dyDescent="0.25">
      <c r="H17032" t="s">
        <v>23469</v>
      </c>
    </row>
    <row r="17033" spans="8:8" x14ac:dyDescent="0.25">
      <c r="H17033" t="s">
        <v>30</v>
      </c>
    </row>
    <row r="17035" spans="8:8" x14ac:dyDescent="0.25">
      <c r="H17035" t="s">
        <v>15282</v>
      </c>
    </row>
    <row r="17036" spans="8:8" x14ac:dyDescent="0.25">
      <c r="H17036" t="s">
        <v>15283</v>
      </c>
    </row>
    <row r="17037" spans="8:8" x14ac:dyDescent="0.25">
      <c r="H17037" t="s">
        <v>135</v>
      </c>
    </row>
    <row r="17038" spans="8:8" x14ac:dyDescent="0.25">
      <c r="H17038" t="s">
        <v>20204</v>
      </c>
    </row>
    <row r="17039" spans="8:8" x14ac:dyDescent="0.25">
      <c r="H17039" t="s">
        <v>30</v>
      </c>
    </row>
    <row r="17041" spans="8:8" x14ac:dyDescent="0.25">
      <c r="H17041" t="s">
        <v>15285</v>
      </c>
    </row>
    <row r="17042" spans="8:8" x14ac:dyDescent="0.25">
      <c r="H17042" t="s">
        <v>15286</v>
      </c>
    </row>
    <row r="17043" spans="8:8" x14ac:dyDescent="0.25">
      <c r="H17043" t="s">
        <v>135</v>
      </c>
    </row>
    <row r="17044" spans="8:8" x14ac:dyDescent="0.25">
      <c r="H17044" t="s">
        <v>20205</v>
      </c>
    </row>
    <row r="17045" spans="8:8" x14ac:dyDescent="0.25">
      <c r="H17045" t="s">
        <v>30</v>
      </c>
    </row>
    <row r="17047" spans="8:8" x14ac:dyDescent="0.25">
      <c r="H17047" t="s">
        <v>15288</v>
      </c>
    </row>
    <row r="17048" spans="8:8" x14ac:dyDescent="0.25">
      <c r="H17048" t="s">
        <v>15289</v>
      </c>
    </row>
    <row r="17049" spans="8:8" x14ac:dyDescent="0.25">
      <c r="H17049" t="s">
        <v>135</v>
      </c>
    </row>
    <row r="17050" spans="8:8" x14ac:dyDescent="0.25">
      <c r="H17050" t="s">
        <v>20206</v>
      </c>
    </row>
    <row r="17051" spans="8:8" x14ac:dyDescent="0.25">
      <c r="H17051" t="s">
        <v>30</v>
      </c>
    </row>
    <row r="17053" spans="8:8" x14ac:dyDescent="0.25">
      <c r="H17053" t="s">
        <v>15291</v>
      </c>
    </row>
    <row r="17054" spans="8:8" x14ac:dyDescent="0.25">
      <c r="H17054" t="s">
        <v>15292</v>
      </c>
    </row>
    <row r="17055" spans="8:8" x14ac:dyDescent="0.25">
      <c r="H17055" t="s">
        <v>135</v>
      </c>
    </row>
    <row r="17056" spans="8:8" x14ac:dyDescent="0.25">
      <c r="H17056" t="s">
        <v>20207</v>
      </c>
    </row>
    <row r="17057" spans="8:8" x14ac:dyDescent="0.25">
      <c r="H17057" t="s">
        <v>30</v>
      </c>
    </row>
    <row r="17058" spans="8:8" x14ac:dyDescent="0.25">
      <c r="H17058" t="s">
        <v>136</v>
      </c>
    </row>
    <row r="17059" spans="8:8" x14ac:dyDescent="0.25">
      <c r="H17059" t="s">
        <v>20208</v>
      </c>
    </row>
    <row r="17060" spans="8:8" x14ac:dyDescent="0.25">
      <c r="H17060" t="s">
        <v>30</v>
      </c>
    </row>
    <row r="17061" spans="8:8" x14ac:dyDescent="0.25">
      <c r="H17061" t="s">
        <v>137</v>
      </c>
    </row>
    <row r="17062" spans="8:8" x14ac:dyDescent="0.25">
      <c r="H17062" t="s">
        <v>20209</v>
      </c>
    </row>
    <row r="17063" spans="8:8" x14ac:dyDescent="0.25">
      <c r="H17063" t="s">
        <v>30</v>
      </c>
    </row>
    <row r="17065" spans="8:8" x14ac:dyDescent="0.25">
      <c r="H17065" t="s">
        <v>15296</v>
      </c>
    </row>
    <row r="17066" spans="8:8" x14ac:dyDescent="0.25">
      <c r="H17066" t="s">
        <v>15297</v>
      </c>
    </row>
    <row r="17067" spans="8:8" x14ac:dyDescent="0.25">
      <c r="H17067" t="s">
        <v>135</v>
      </c>
    </row>
    <row r="17068" spans="8:8" x14ac:dyDescent="0.25">
      <c r="H17068" t="s">
        <v>23470</v>
      </c>
    </row>
    <row r="17069" spans="8:8" x14ac:dyDescent="0.25">
      <c r="H17069" t="s">
        <v>30</v>
      </c>
    </row>
    <row r="17071" spans="8:8" x14ac:dyDescent="0.25">
      <c r="H17071" t="s">
        <v>15298</v>
      </c>
    </row>
    <row r="17072" spans="8:8" x14ac:dyDescent="0.25">
      <c r="H17072" t="s">
        <v>15299</v>
      </c>
    </row>
    <row r="17073" spans="8:8" x14ac:dyDescent="0.25">
      <c r="H17073" t="s">
        <v>135</v>
      </c>
    </row>
    <row r="17074" spans="8:8" x14ac:dyDescent="0.25">
      <c r="H17074" t="s">
        <v>20210</v>
      </c>
    </row>
    <row r="17075" spans="8:8" x14ac:dyDescent="0.25">
      <c r="H17075" t="s">
        <v>30</v>
      </c>
    </row>
    <row r="17077" spans="8:8" x14ac:dyDescent="0.25">
      <c r="H17077" t="s">
        <v>15301</v>
      </c>
    </row>
    <row r="17078" spans="8:8" x14ac:dyDescent="0.25">
      <c r="H17078" t="s">
        <v>15302</v>
      </c>
    </row>
    <row r="17079" spans="8:8" x14ac:dyDescent="0.25">
      <c r="H17079" t="s">
        <v>135</v>
      </c>
    </row>
    <row r="17080" spans="8:8" x14ac:dyDescent="0.25">
      <c r="H17080" t="s">
        <v>20211</v>
      </c>
    </row>
    <row r="17081" spans="8:8" x14ac:dyDescent="0.25">
      <c r="H17081" t="s">
        <v>30</v>
      </c>
    </row>
    <row r="17083" spans="8:8" x14ac:dyDescent="0.25">
      <c r="H17083" t="s">
        <v>15304</v>
      </c>
    </row>
    <row r="17084" spans="8:8" x14ac:dyDescent="0.25">
      <c r="H17084" t="s">
        <v>15305</v>
      </c>
    </row>
    <row r="17085" spans="8:8" x14ac:dyDescent="0.25">
      <c r="H17085" t="s">
        <v>135</v>
      </c>
    </row>
    <row r="17086" spans="8:8" x14ac:dyDescent="0.25">
      <c r="H17086" t="s">
        <v>20212</v>
      </c>
    </row>
    <row r="17087" spans="8:8" x14ac:dyDescent="0.25">
      <c r="H17087" t="s">
        <v>30</v>
      </c>
    </row>
    <row r="17089" spans="8:8" x14ac:dyDescent="0.25">
      <c r="H17089" t="s">
        <v>15307</v>
      </c>
    </row>
    <row r="17090" spans="8:8" x14ac:dyDescent="0.25">
      <c r="H17090" t="s">
        <v>15308</v>
      </c>
    </row>
    <row r="17091" spans="8:8" x14ac:dyDescent="0.25">
      <c r="H17091" t="s">
        <v>135</v>
      </c>
    </row>
    <row r="17092" spans="8:8" x14ac:dyDescent="0.25">
      <c r="H17092" t="s">
        <v>20213</v>
      </c>
    </row>
    <row r="17093" spans="8:8" x14ac:dyDescent="0.25">
      <c r="H17093" t="s">
        <v>30</v>
      </c>
    </row>
    <row r="17094" spans="8:8" x14ac:dyDescent="0.25">
      <c r="H17094" t="s">
        <v>136</v>
      </c>
    </row>
    <row r="17095" spans="8:8" x14ac:dyDescent="0.25">
      <c r="H17095" t="s">
        <v>20214</v>
      </c>
    </row>
    <row r="17096" spans="8:8" x14ac:dyDescent="0.25">
      <c r="H17096" t="s">
        <v>30</v>
      </c>
    </row>
    <row r="17097" spans="8:8" x14ac:dyDescent="0.25">
      <c r="H17097" t="s">
        <v>137</v>
      </c>
    </row>
    <row r="17098" spans="8:8" x14ac:dyDescent="0.25">
      <c r="H17098" t="s">
        <v>20215</v>
      </c>
    </row>
    <row r="17099" spans="8:8" x14ac:dyDescent="0.25">
      <c r="H17099" t="s">
        <v>30</v>
      </c>
    </row>
    <row r="17101" spans="8:8" x14ac:dyDescent="0.25">
      <c r="H17101" t="s">
        <v>15312</v>
      </c>
    </row>
    <row r="17102" spans="8:8" x14ac:dyDescent="0.25">
      <c r="H17102" t="s">
        <v>15313</v>
      </c>
    </row>
    <row r="17103" spans="8:8" x14ac:dyDescent="0.25">
      <c r="H17103" t="s">
        <v>135</v>
      </c>
    </row>
    <row r="17104" spans="8:8" x14ac:dyDescent="0.25">
      <c r="H17104" t="s">
        <v>23471</v>
      </c>
    </row>
    <row r="17105" spans="8:8" x14ac:dyDescent="0.25">
      <c r="H17105" t="s">
        <v>30</v>
      </c>
    </row>
    <row r="17107" spans="8:8" x14ac:dyDescent="0.25">
      <c r="H17107" t="s">
        <v>15314</v>
      </c>
    </row>
    <row r="17108" spans="8:8" x14ac:dyDescent="0.25">
      <c r="H17108" t="s">
        <v>15315</v>
      </c>
    </row>
    <row r="17109" spans="8:8" x14ac:dyDescent="0.25">
      <c r="H17109" t="s">
        <v>135</v>
      </c>
    </row>
    <row r="17110" spans="8:8" x14ac:dyDescent="0.25">
      <c r="H17110" t="s">
        <v>20216</v>
      </c>
    </row>
    <row r="17111" spans="8:8" x14ac:dyDescent="0.25">
      <c r="H17111" t="s">
        <v>30</v>
      </c>
    </row>
    <row r="17113" spans="8:8" x14ac:dyDescent="0.25">
      <c r="H17113" t="s">
        <v>15317</v>
      </c>
    </row>
    <row r="17114" spans="8:8" x14ac:dyDescent="0.25">
      <c r="H17114" t="s">
        <v>15318</v>
      </c>
    </row>
    <row r="17115" spans="8:8" x14ac:dyDescent="0.25">
      <c r="H17115" t="s">
        <v>135</v>
      </c>
    </row>
    <row r="17116" spans="8:8" x14ac:dyDescent="0.25">
      <c r="H17116" t="s">
        <v>20217</v>
      </c>
    </row>
    <row r="17117" spans="8:8" x14ac:dyDescent="0.25">
      <c r="H17117" t="s">
        <v>30</v>
      </c>
    </row>
    <row r="17119" spans="8:8" x14ac:dyDescent="0.25">
      <c r="H17119" t="s">
        <v>15320</v>
      </c>
    </row>
    <row r="17120" spans="8:8" x14ac:dyDescent="0.25">
      <c r="H17120" t="s">
        <v>15321</v>
      </c>
    </row>
    <row r="17121" spans="8:8" x14ac:dyDescent="0.25">
      <c r="H17121" t="s">
        <v>135</v>
      </c>
    </row>
    <row r="17122" spans="8:8" x14ac:dyDescent="0.25">
      <c r="H17122" t="s">
        <v>20218</v>
      </c>
    </row>
    <row r="17123" spans="8:8" x14ac:dyDescent="0.25">
      <c r="H17123" t="s">
        <v>30</v>
      </c>
    </row>
    <row r="17125" spans="8:8" x14ac:dyDescent="0.25">
      <c r="H17125" t="s">
        <v>15323</v>
      </c>
    </row>
    <row r="17126" spans="8:8" x14ac:dyDescent="0.25">
      <c r="H17126" t="s">
        <v>15324</v>
      </c>
    </row>
    <row r="17127" spans="8:8" x14ac:dyDescent="0.25">
      <c r="H17127" t="s">
        <v>135</v>
      </c>
    </row>
    <row r="17128" spans="8:8" x14ac:dyDescent="0.25">
      <c r="H17128" t="s">
        <v>20219</v>
      </c>
    </row>
    <row r="17129" spans="8:8" x14ac:dyDescent="0.25">
      <c r="H17129" t="s">
        <v>30</v>
      </c>
    </row>
    <row r="17130" spans="8:8" x14ac:dyDescent="0.25">
      <c r="H17130" t="s">
        <v>136</v>
      </c>
    </row>
    <row r="17131" spans="8:8" x14ac:dyDescent="0.25">
      <c r="H17131" t="s">
        <v>20220</v>
      </c>
    </row>
    <row r="17132" spans="8:8" x14ac:dyDescent="0.25">
      <c r="H17132" t="s">
        <v>30</v>
      </c>
    </row>
    <row r="17133" spans="8:8" x14ac:dyDescent="0.25">
      <c r="H17133" t="s">
        <v>137</v>
      </c>
    </row>
    <row r="17134" spans="8:8" x14ac:dyDescent="0.25">
      <c r="H17134" t="s">
        <v>20221</v>
      </c>
    </row>
    <row r="17135" spans="8:8" x14ac:dyDescent="0.25">
      <c r="H17135" t="s">
        <v>30</v>
      </c>
    </row>
    <row r="17137" spans="8:8" x14ac:dyDescent="0.25">
      <c r="H17137" t="s">
        <v>15328</v>
      </c>
    </row>
    <row r="17138" spans="8:8" x14ac:dyDescent="0.25">
      <c r="H17138" t="s">
        <v>15329</v>
      </c>
    </row>
    <row r="17139" spans="8:8" x14ac:dyDescent="0.25">
      <c r="H17139" t="s">
        <v>135</v>
      </c>
    </row>
    <row r="17140" spans="8:8" x14ac:dyDescent="0.25">
      <c r="H17140" t="s">
        <v>23472</v>
      </c>
    </row>
    <row r="17141" spans="8:8" x14ac:dyDescent="0.25">
      <c r="H17141" t="s">
        <v>30</v>
      </c>
    </row>
    <row r="17143" spans="8:8" x14ac:dyDescent="0.25">
      <c r="H17143" t="s">
        <v>15330</v>
      </c>
    </row>
    <row r="17144" spans="8:8" x14ac:dyDescent="0.25">
      <c r="H17144" t="s">
        <v>15331</v>
      </c>
    </row>
    <row r="17145" spans="8:8" x14ac:dyDescent="0.25">
      <c r="H17145" t="s">
        <v>135</v>
      </c>
    </row>
    <row r="17146" spans="8:8" x14ac:dyDescent="0.25">
      <c r="H17146" t="s">
        <v>20222</v>
      </c>
    </row>
    <row r="17147" spans="8:8" x14ac:dyDescent="0.25">
      <c r="H17147" t="s">
        <v>30</v>
      </c>
    </row>
    <row r="17149" spans="8:8" x14ac:dyDescent="0.25">
      <c r="H17149" t="s">
        <v>15333</v>
      </c>
    </row>
    <row r="17150" spans="8:8" x14ac:dyDescent="0.25">
      <c r="H17150" t="s">
        <v>15334</v>
      </c>
    </row>
    <row r="17151" spans="8:8" x14ac:dyDescent="0.25">
      <c r="H17151" t="s">
        <v>135</v>
      </c>
    </row>
    <row r="17152" spans="8:8" x14ac:dyDescent="0.25">
      <c r="H17152" t="s">
        <v>20223</v>
      </c>
    </row>
    <row r="17153" spans="8:8" x14ac:dyDescent="0.25">
      <c r="H17153" t="s">
        <v>30</v>
      </c>
    </row>
    <row r="17155" spans="8:8" x14ac:dyDescent="0.25">
      <c r="H17155" t="s">
        <v>15336</v>
      </c>
    </row>
    <row r="17156" spans="8:8" x14ac:dyDescent="0.25">
      <c r="H17156" t="s">
        <v>15337</v>
      </c>
    </row>
    <row r="17157" spans="8:8" x14ac:dyDescent="0.25">
      <c r="H17157" t="s">
        <v>135</v>
      </c>
    </row>
    <row r="17158" spans="8:8" x14ac:dyDescent="0.25">
      <c r="H17158" t="s">
        <v>20224</v>
      </c>
    </row>
    <row r="17159" spans="8:8" x14ac:dyDescent="0.25">
      <c r="H17159" t="s">
        <v>30</v>
      </c>
    </row>
    <row r="17161" spans="8:8" x14ac:dyDescent="0.25">
      <c r="H17161" t="s">
        <v>15339</v>
      </c>
    </row>
    <row r="17162" spans="8:8" x14ac:dyDescent="0.25">
      <c r="H17162" t="s">
        <v>15340</v>
      </c>
    </row>
    <row r="17163" spans="8:8" x14ac:dyDescent="0.25">
      <c r="H17163" t="s">
        <v>135</v>
      </c>
    </row>
    <row r="17164" spans="8:8" x14ac:dyDescent="0.25">
      <c r="H17164" t="s">
        <v>20225</v>
      </c>
    </row>
    <row r="17165" spans="8:8" x14ac:dyDescent="0.25">
      <c r="H17165" t="s">
        <v>30</v>
      </c>
    </row>
    <row r="17166" spans="8:8" x14ac:dyDescent="0.25">
      <c r="H17166" t="s">
        <v>136</v>
      </c>
    </row>
    <row r="17167" spans="8:8" x14ac:dyDescent="0.25">
      <c r="H17167" t="s">
        <v>20226</v>
      </c>
    </row>
    <row r="17168" spans="8:8" x14ac:dyDescent="0.25">
      <c r="H17168" t="s">
        <v>30</v>
      </c>
    </row>
    <row r="17169" spans="8:8" x14ac:dyDescent="0.25">
      <c r="H17169" t="s">
        <v>137</v>
      </c>
    </row>
    <row r="17170" spans="8:8" x14ac:dyDescent="0.25">
      <c r="H17170" t="s">
        <v>20227</v>
      </c>
    </row>
    <row r="17171" spans="8:8" x14ac:dyDescent="0.25">
      <c r="H17171" t="s">
        <v>30</v>
      </c>
    </row>
    <row r="17173" spans="8:8" x14ac:dyDescent="0.25">
      <c r="H17173" t="s">
        <v>15344</v>
      </c>
    </row>
    <row r="17174" spans="8:8" x14ac:dyDescent="0.25">
      <c r="H17174" t="s">
        <v>15345</v>
      </c>
    </row>
    <row r="17175" spans="8:8" x14ac:dyDescent="0.25">
      <c r="H17175" t="s">
        <v>135</v>
      </c>
    </row>
    <row r="17176" spans="8:8" x14ac:dyDescent="0.25">
      <c r="H17176" t="s">
        <v>23473</v>
      </c>
    </row>
    <row r="17177" spans="8:8" x14ac:dyDescent="0.25">
      <c r="H17177" t="s">
        <v>30</v>
      </c>
    </row>
    <row r="17179" spans="8:8" x14ac:dyDescent="0.25">
      <c r="H17179" t="s">
        <v>15346</v>
      </c>
    </row>
    <row r="17180" spans="8:8" x14ac:dyDescent="0.25">
      <c r="H17180" t="s">
        <v>15347</v>
      </c>
    </row>
    <row r="17181" spans="8:8" x14ac:dyDescent="0.25">
      <c r="H17181" t="s">
        <v>135</v>
      </c>
    </row>
    <row r="17182" spans="8:8" x14ac:dyDescent="0.25">
      <c r="H17182" t="s">
        <v>20228</v>
      </c>
    </row>
    <row r="17183" spans="8:8" x14ac:dyDescent="0.25">
      <c r="H17183" t="s">
        <v>30</v>
      </c>
    </row>
    <row r="17185" spans="8:8" x14ac:dyDescent="0.25">
      <c r="H17185" t="s">
        <v>15349</v>
      </c>
    </row>
    <row r="17186" spans="8:8" x14ac:dyDescent="0.25">
      <c r="H17186" t="s">
        <v>15350</v>
      </c>
    </row>
    <row r="17187" spans="8:8" x14ac:dyDescent="0.25">
      <c r="H17187" t="s">
        <v>135</v>
      </c>
    </row>
    <row r="17188" spans="8:8" x14ac:dyDescent="0.25">
      <c r="H17188" t="s">
        <v>20229</v>
      </c>
    </row>
    <row r="17189" spans="8:8" x14ac:dyDescent="0.25">
      <c r="H17189" t="s">
        <v>30</v>
      </c>
    </row>
    <row r="17191" spans="8:8" x14ac:dyDescent="0.25">
      <c r="H17191" t="s">
        <v>15352</v>
      </c>
    </row>
    <row r="17192" spans="8:8" x14ac:dyDescent="0.25">
      <c r="H17192" t="s">
        <v>15353</v>
      </c>
    </row>
    <row r="17193" spans="8:8" x14ac:dyDescent="0.25">
      <c r="H17193" t="s">
        <v>135</v>
      </c>
    </row>
    <row r="17194" spans="8:8" x14ac:dyDescent="0.25">
      <c r="H17194" t="s">
        <v>20230</v>
      </c>
    </row>
    <row r="17195" spans="8:8" x14ac:dyDescent="0.25">
      <c r="H17195" t="s">
        <v>30</v>
      </c>
    </row>
    <row r="17197" spans="8:8" x14ac:dyDescent="0.25">
      <c r="H17197" t="s">
        <v>15355</v>
      </c>
    </row>
    <row r="17198" spans="8:8" x14ac:dyDescent="0.25">
      <c r="H17198" t="s">
        <v>15356</v>
      </c>
    </row>
    <row r="17199" spans="8:8" x14ac:dyDescent="0.25">
      <c r="H17199" t="s">
        <v>135</v>
      </c>
    </row>
    <row r="17200" spans="8:8" x14ac:dyDescent="0.25">
      <c r="H17200" t="s">
        <v>20231</v>
      </c>
    </row>
    <row r="17201" spans="8:8" x14ac:dyDescent="0.25">
      <c r="H17201" t="s">
        <v>30</v>
      </c>
    </row>
    <row r="17202" spans="8:8" x14ac:dyDescent="0.25">
      <c r="H17202" t="s">
        <v>136</v>
      </c>
    </row>
    <row r="17203" spans="8:8" x14ac:dyDescent="0.25">
      <c r="H17203" t="s">
        <v>20232</v>
      </c>
    </row>
    <row r="17204" spans="8:8" x14ac:dyDescent="0.25">
      <c r="H17204" t="s">
        <v>30</v>
      </c>
    </row>
    <row r="17205" spans="8:8" x14ac:dyDescent="0.25">
      <c r="H17205" t="s">
        <v>137</v>
      </c>
    </row>
    <row r="17206" spans="8:8" x14ac:dyDescent="0.25">
      <c r="H17206" t="s">
        <v>20233</v>
      </c>
    </row>
    <row r="17207" spans="8:8" x14ac:dyDescent="0.25">
      <c r="H17207" t="s">
        <v>30</v>
      </c>
    </row>
    <row r="17209" spans="8:8" x14ac:dyDescent="0.25">
      <c r="H17209" t="s">
        <v>15360</v>
      </c>
    </row>
    <row r="17210" spans="8:8" x14ac:dyDescent="0.25">
      <c r="H17210" t="s">
        <v>15361</v>
      </c>
    </row>
    <row r="17211" spans="8:8" x14ac:dyDescent="0.25">
      <c r="H17211" t="s">
        <v>135</v>
      </c>
    </row>
    <row r="17212" spans="8:8" x14ac:dyDescent="0.25">
      <c r="H17212" t="s">
        <v>23474</v>
      </c>
    </row>
    <row r="17213" spans="8:8" x14ac:dyDescent="0.25">
      <c r="H17213" t="s">
        <v>30</v>
      </c>
    </row>
    <row r="17215" spans="8:8" x14ac:dyDescent="0.25">
      <c r="H17215" t="s">
        <v>15362</v>
      </c>
    </row>
    <row r="17216" spans="8:8" x14ac:dyDescent="0.25">
      <c r="H17216" t="s">
        <v>15363</v>
      </c>
    </row>
    <row r="17217" spans="8:8" x14ac:dyDescent="0.25">
      <c r="H17217" t="s">
        <v>135</v>
      </c>
    </row>
    <row r="17218" spans="8:8" x14ac:dyDescent="0.25">
      <c r="H17218" t="s">
        <v>20234</v>
      </c>
    </row>
    <row r="17219" spans="8:8" x14ac:dyDescent="0.25">
      <c r="H17219" t="s">
        <v>30</v>
      </c>
    </row>
    <row r="17221" spans="8:8" x14ac:dyDescent="0.25">
      <c r="H17221" t="s">
        <v>15365</v>
      </c>
    </row>
    <row r="17222" spans="8:8" x14ac:dyDescent="0.25">
      <c r="H17222" t="s">
        <v>15366</v>
      </c>
    </row>
    <row r="17223" spans="8:8" x14ac:dyDescent="0.25">
      <c r="H17223" t="s">
        <v>135</v>
      </c>
    </row>
    <row r="17224" spans="8:8" x14ac:dyDescent="0.25">
      <c r="H17224" t="s">
        <v>20235</v>
      </c>
    </row>
    <row r="17225" spans="8:8" x14ac:dyDescent="0.25">
      <c r="H17225" t="s">
        <v>30</v>
      </c>
    </row>
    <row r="17227" spans="8:8" x14ac:dyDescent="0.25">
      <c r="H17227" t="s">
        <v>15368</v>
      </c>
    </row>
    <row r="17228" spans="8:8" x14ac:dyDescent="0.25">
      <c r="H17228" t="s">
        <v>15369</v>
      </c>
    </row>
    <row r="17229" spans="8:8" x14ac:dyDescent="0.25">
      <c r="H17229" t="s">
        <v>135</v>
      </c>
    </row>
    <row r="17230" spans="8:8" x14ac:dyDescent="0.25">
      <c r="H17230" t="s">
        <v>20236</v>
      </c>
    </row>
    <row r="17231" spans="8:8" x14ac:dyDescent="0.25">
      <c r="H17231" t="s">
        <v>30</v>
      </c>
    </row>
    <row r="17233" spans="8:8" x14ac:dyDescent="0.25">
      <c r="H17233" t="s">
        <v>15371</v>
      </c>
    </row>
    <row r="17234" spans="8:8" x14ac:dyDescent="0.25">
      <c r="H17234" t="s">
        <v>15372</v>
      </c>
    </row>
    <row r="17235" spans="8:8" x14ac:dyDescent="0.25">
      <c r="H17235" t="s">
        <v>135</v>
      </c>
    </row>
    <row r="17236" spans="8:8" x14ac:dyDescent="0.25">
      <c r="H17236" t="s">
        <v>20237</v>
      </c>
    </row>
    <row r="17237" spans="8:8" x14ac:dyDescent="0.25">
      <c r="H17237" t="s">
        <v>30</v>
      </c>
    </row>
    <row r="17238" spans="8:8" x14ac:dyDescent="0.25">
      <c r="H17238" t="s">
        <v>136</v>
      </c>
    </row>
    <row r="17239" spans="8:8" x14ac:dyDescent="0.25">
      <c r="H17239" t="s">
        <v>20238</v>
      </c>
    </row>
    <row r="17240" spans="8:8" x14ac:dyDescent="0.25">
      <c r="H17240" t="s">
        <v>30</v>
      </c>
    </row>
    <row r="17241" spans="8:8" x14ac:dyDescent="0.25">
      <c r="H17241" t="s">
        <v>137</v>
      </c>
    </row>
    <row r="17242" spans="8:8" x14ac:dyDescent="0.25">
      <c r="H17242" t="s">
        <v>20239</v>
      </c>
    </row>
    <row r="17243" spans="8:8" x14ac:dyDescent="0.25">
      <c r="H17243" t="s">
        <v>30</v>
      </c>
    </row>
    <row r="17245" spans="8:8" x14ac:dyDescent="0.25">
      <c r="H17245" t="s">
        <v>15376</v>
      </c>
    </row>
    <row r="17246" spans="8:8" x14ac:dyDescent="0.25">
      <c r="H17246" t="s">
        <v>15377</v>
      </c>
    </row>
    <row r="17247" spans="8:8" x14ac:dyDescent="0.25">
      <c r="H17247" t="s">
        <v>135</v>
      </c>
    </row>
    <row r="17248" spans="8:8" x14ac:dyDescent="0.25">
      <c r="H17248" t="s">
        <v>23475</v>
      </c>
    </row>
    <row r="17249" spans="8:8" x14ac:dyDescent="0.25">
      <c r="H17249" t="s">
        <v>30</v>
      </c>
    </row>
    <row r="17251" spans="8:8" x14ac:dyDescent="0.25">
      <c r="H17251" t="s">
        <v>15378</v>
      </c>
    </row>
    <row r="17252" spans="8:8" x14ac:dyDescent="0.25">
      <c r="H17252" t="s">
        <v>15379</v>
      </c>
    </row>
    <row r="17253" spans="8:8" x14ac:dyDescent="0.25">
      <c r="H17253" t="s">
        <v>135</v>
      </c>
    </row>
    <row r="17254" spans="8:8" x14ac:dyDescent="0.25">
      <c r="H17254" t="s">
        <v>20240</v>
      </c>
    </row>
    <row r="17255" spans="8:8" x14ac:dyDescent="0.25">
      <c r="H17255" t="s">
        <v>30</v>
      </c>
    </row>
    <row r="17257" spans="8:8" x14ac:dyDescent="0.25">
      <c r="H17257" t="s">
        <v>15381</v>
      </c>
    </row>
    <row r="17258" spans="8:8" x14ac:dyDescent="0.25">
      <c r="H17258" t="s">
        <v>15382</v>
      </c>
    </row>
    <row r="17259" spans="8:8" x14ac:dyDescent="0.25">
      <c r="H17259" t="s">
        <v>135</v>
      </c>
    </row>
    <row r="17260" spans="8:8" x14ac:dyDescent="0.25">
      <c r="H17260" t="s">
        <v>20241</v>
      </c>
    </row>
    <row r="17261" spans="8:8" x14ac:dyDescent="0.25">
      <c r="H17261" t="s">
        <v>30</v>
      </c>
    </row>
    <row r="17263" spans="8:8" x14ac:dyDescent="0.25">
      <c r="H17263" t="s">
        <v>15384</v>
      </c>
    </row>
    <row r="17264" spans="8:8" x14ac:dyDescent="0.25">
      <c r="H17264" t="s">
        <v>15385</v>
      </c>
    </row>
    <row r="17265" spans="8:8" x14ac:dyDescent="0.25">
      <c r="H17265" t="s">
        <v>135</v>
      </c>
    </row>
    <row r="17266" spans="8:8" x14ac:dyDescent="0.25">
      <c r="H17266" t="s">
        <v>20242</v>
      </c>
    </row>
    <row r="17267" spans="8:8" x14ac:dyDescent="0.25">
      <c r="H17267" t="s">
        <v>30</v>
      </c>
    </row>
    <row r="17269" spans="8:8" x14ac:dyDescent="0.25">
      <c r="H17269" t="s">
        <v>15387</v>
      </c>
    </row>
    <row r="17270" spans="8:8" x14ac:dyDescent="0.25">
      <c r="H17270" t="s">
        <v>15388</v>
      </c>
    </row>
    <row r="17271" spans="8:8" x14ac:dyDescent="0.25">
      <c r="H17271" t="s">
        <v>135</v>
      </c>
    </row>
    <row r="17272" spans="8:8" x14ac:dyDescent="0.25">
      <c r="H17272" t="s">
        <v>20243</v>
      </c>
    </row>
    <row r="17273" spans="8:8" x14ac:dyDescent="0.25">
      <c r="H17273" t="s">
        <v>30</v>
      </c>
    </row>
    <row r="17274" spans="8:8" x14ac:dyDescent="0.25">
      <c r="H17274" t="s">
        <v>136</v>
      </c>
    </row>
    <row r="17275" spans="8:8" x14ac:dyDescent="0.25">
      <c r="H17275" t="s">
        <v>20244</v>
      </c>
    </row>
    <row r="17276" spans="8:8" x14ac:dyDescent="0.25">
      <c r="H17276" t="s">
        <v>30</v>
      </c>
    </row>
    <row r="17277" spans="8:8" x14ac:dyDescent="0.25">
      <c r="H17277" t="s">
        <v>137</v>
      </c>
    </row>
    <row r="17278" spans="8:8" x14ac:dyDescent="0.25">
      <c r="H17278" t="s">
        <v>20245</v>
      </c>
    </row>
    <row r="17279" spans="8:8" x14ac:dyDescent="0.25">
      <c r="H17279" t="s">
        <v>30</v>
      </c>
    </row>
    <row r="17281" spans="8:8" x14ac:dyDescent="0.25">
      <c r="H17281" t="s">
        <v>15392</v>
      </c>
    </row>
    <row r="17282" spans="8:8" x14ac:dyDescent="0.25">
      <c r="H17282" t="s">
        <v>15393</v>
      </c>
    </row>
    <row r="17283" spans="8:8" x14ac:dyDescent="0.25">
      <c r="H17283" t="s">
        <v>135</v>
      </c>
    </row>
    <row r="17284" spans="8:8" x14ac:dyDescent="0.25">
      <c r="H17284" t="s">
        <v>23476</v>
      </c>
    </row>
    <row r="17285" spans="8:8" x14ac:dyDescent="0.25">
      <c r="H17285" t="s">
        <v>30</v>
      </c>
    </row>
    <row r="17287" spans="8:8" x14ac:dyDescent="0.25">
      <c r="H17287" t="s">
        <v>15394</v>
      </c>
    </row>
    <row r="17288" spans="8:8" x14ac:dyDescent="0.25">
      <c r="H17288" t="s">
        <v>15395</v>
      </c>
    </row>
    <row r="17289" spans="8:8" x14ac:dyDescent="0.25">
      <c r="H17289" t="s">
        <v>135</v>
      </c>
    </row>
    <row r="17290" spans="8:8" x14ac:dyDescent="0.25">
      <c r="H17290" t="s">
        <v>20246</v>
      </c>
    </row>
    <row r="17291" spans="8:8" x14ac:dyDescent="0.25">
      <c r="H17291" t="s">
        <v>30</v>
      </c>
    </row>
    <row r="17293" spans="8:8" x14ac:dyDescent="0.25">
      <c r="H17293" t="s">
        <v>15397</v>
      </c>
    </row>
    <row r="17294" spans="8:8" x14ac:dyDescent="0.25">
      <c r="H17294" t="s">
        <v>15398</v>
      </c>
    </row>
    <row r="17295" spans="8:8" x14ac:dyDescent="0.25">
      <c r="H17295" t="s">
        <v>135</v>
      </c>
    </row>
    <row r="17296" spans="8:8" x14ac:dyDescent="0.25">
      <c r="H17296" t="s">
        <v>20247</v>
      </c>
    </row>
    <row r="17297" spans="8:8" x14ac:dyDescent="0.25">
      <c r="H17297" t="s">
        <v>30</v>
      </c>
    </row>
    <row r="17299" spans="8:8" x14ac:dyDescent="0.25">
      <c r="H17299" t="s">
        <v>15400</v>
      </c>
    </row>
    <row r="17300" spans="8:8" x14ac:dyDescent="0.25">
      <c r="H17300" t="s">
        <v>15401</v>
      </c>
    </row>
    <row r="17301" spans="8:8" x14ac:dyDescent="0.25">
      <c r="H17301" t="s">
        <v>135</v>
      </c>
    </row>
    <row r="17302" spans="8:8" x14ac:dyDescent="0.25">
      <c r="H17302" t="s">
        <v>20248</v>
      </c>
    </row>
    <row r="17303" spans="8:8" x14ac:dyDescent="0.25">
      <c r="H17303" t="s">
        <v>30</v>
      </c>
    </row>
    <row r="17305" spans="8:8" x14ac:dyDescent="0.25">
      <c r="H17305" t="s">
        <v>15403</v>
      </c>
    </row>
    <row r="17306" spans="8:8" x14ac:dyDescent="0.25">
      <c r="H17306" t="s">
        <v>15404</v>
      </c>
    </row>
    <row r="17307" spans="8:8" x14ac:dyDescent="0.25">
      <c r="H17307" t="s">
        <v>135</v>
      </c>
    </row>
    <row r="17308" spans="8:8" x14ac:dyDescent="0.25">
      <c r="H17308" t="s">
        <v>20249</v>
      </c>
    </row>
    <row r="17309" spans="8:8" x14ac:dyDescent="0.25">
      <c r="H17309" t="s">
        <v>30</v>
      </c>
    </row>
    <row r="17310" spans="8:8" x14ac:dyDescent="0.25">
      <c r="H17310" t="s">
        <v>136</v>
      </c>
    </row>
    <row r="17311" spans="8:8" x14ac:dyDescent="0.25">
      <c r="H17311" t="s">
        <v>20250</v>
      </c>
    </row>
    <row r="17312" spans="8:8" x14ac:dyDescent="0.25">
      <c r="H17312" t="s">
        <v>30</v>
      </c>
    </row>
    <row r="17313" spans="8:8" x14ac:dyDescent="0.25">
      <c r="H17313" t="s">
        <v>137</v>
      </c>
    </row>
    <row r="17314" spans="8:8" x14ac:dyDescent="0.25">
      <c r="H17314" t="s">
        <v>20251</v>
      </c>
    </row>
    <row r="17315" spans="8:8" x14ac:dyDescent="0.25">
      <c r="H17315" t="s">
        <v>30</v>
      </c>
    </row>
    <row r="17317" spans="8:8" x14ac:dyDescent="0.25">
      <c r="H17317" t="s">
        <v>15408</v>
      </c>
    </row>
    <row r="17318" spans="8:8" x14ac:dyDescent="0.25">
      <c r="H17318" t="s">
        <v>15409</v>
      </c>
    </row>
    <row r="17319" spans="8:8" x14ac:dyDescent="0.25">
      <c r="H17319" t="s">
        <v>135</v>
      </c>
    </row>
    <row r="17320" spans="8:8" x14ac:dyDescent="0.25">
      <c r="H17320" t="s">
        <v>23477</v>
      </c>
    </row>
    <row r="17321" spans="8:8" x14ac:dyDescent="0.25">
      <c r="H17321" t="s">
        <v>30</v>
      </c>
    </row>
    <row r="17323" spans="8:8" x14ac:dyDescent="0.25">
      <c r="H17323" t="s">
        <v>15410</v>
      </c>
    </row>
    <row r="17324" spans="8:8" x14ac:dyDescent="0.25">
      <c r="H17324" t="s">
        <v>15411</v>
      </c>
    </row>
    <row r="17325" spans="8:8" x14ac:dyDescent="0.25">
      <c r="H17325" t="s">
        <v>135</v>
      </c>
    </row>
    <row r="17326" spans="8:8" x14ac:dyDescent="0.25">
      <c r="H17326" t="s">
        <v>20252</v>
      </c>
    </row>
    <row r="17327" spans="8:8" x14ac:dyDescent="0.25">
      <c r="H17327" t="s">
        <v>30</v>
      </c>
    </row>
    <row r="17329" spans="8:8" x14ac:dyDescent="0.25">
      <c r="H17329" t="s">
        <v>15413</v>
      </c>
    </row>
    <row r="17330" spans="8:8" x14ac:dyDescent="0.25">
      <c r="H17330" t="s">
        <v>15414</v>
      </c>
    </row>
    <row r="17331" spans="8:8" x14ac:dyDescent="0.25">
      <c r="H17331" t="s">
        <v>135</v>
      </c>
    </row>
    <row r="17332" spans="8:8" x14ac:dyDescent="0.25">
      <c r="H17332" t="s">
        <v>20253</v>
      </c>
    </row>
    <row r="17333" spans="8:8" x14ac:dyDescent="0.25">
      <c r="H17333" t="s">
        <v>30</v>
      </c>
    </row>
    <row r="17335" spans="8:8" x14ac:dyDescent="0.25">
      <c r="H17335" t="s">
        <v>15416</v>
      </c>
    </row>
    <row r="17336" spans="8:8" x14ac:dyDescent="0.25">
      <c r="H17336" t="s">
        <v>15417</v>
      </c>
    </row>
    <row r="17337" spans="8:8" x14ac:dyDescent="0.25">
      <c r="H17337" t="s">
        <v>135</v>
      </c>
    </row>
    <row r="17338" spans="8:8" x14ac:dyDescent="0.25">
      <c r="H17338" t="s">
        <v>20254</v>
      </c>
    </row>
    <row r="17339" spans="8:8" x14ac:dyDescent="0.25">
      <c r="H17339" t="s">
        <v>30</v>
      </c>
    </row>
    <row r="17340" spans="8:8" x14ac:dyDescent="0.25">
      <c r="H17340" t="s">
        <v>15419</v>
      </c>
    </row>
    <row r="17341" spans="8:8" x14ac:dyDescent="0.25">
      <c r="H17341" t="s">
        <v>136</v>
      </c>
    </row>
    <row r="17342" spans="8:8" x14ac:dyDescent="0.25">
      <c r="H17342" t="s">
        <v>20255</v>
      </c>
    </row>
    <row r="17343" spans="8:8" x14ac:dyDescent="0.25">
      <c r="H17343" t="s">
        <v>30</v>
      </c>
    </row>
    <row r="17345" spans="8:8" x14ac:dyDescent="0.25">
      <c r="H17345" t="s">
        <v>15421</v>
      </c>
    </row>
    <row r="17346" spans="8:8" x14ac:dyDescent="0.25">
      <c r="H17346" t="s">
        <v>15422</v>
      </c>
    </row>
    <row r="17347" spans="8:8" x14ac:dyDescent="0.25">
      <c r="H17347" t="s">
        <v>135</v>
      </c>
    </row>
    <row r="17348" spans="8:8" x14ac:dyDescent="0.25">
      <c r="H17348" t="s">
        <v>20256</v>
      </c>
    </row>
    <row r="17349" spans="8:8" x14ac:dyDescent="0.25">
      <c r="H17349" t="s">
        <v>30</v>
      </c>
    </row>
    <row r="17351" spans="8:8" x14ac:dyDescent="0.25">
      <c r="H17351" t="s">
        <v>15424</v>
      </c>
    </row>
    <row r="17352" spans="8:8" x14ac:dyDescent="0.25">
      <c r="H17352" t="s">
        <v>15425</v>
      </c>
    </row>
    <row r="17353" spans="8:8" x14ac:dyDescent="0.25">
      <c r="H17353" t="s">
        <v>135</v>
      </c>
    </row>
    <row r="17354" spans="8:8" x14ac:dyDescent="0.25">
      <c r="H17354" t="s">
        <v>20257</v>
      </c>
    </row>
    <row r="17355" spans="8:8" x14ac:dyDescent="0.25">
      <c r="H17355" t="s">
        <v>30</v>
      </c>
    </row>
    <row r="17357" spans="8:8" x14ac:dyDescent="0.25">
      <c r="H17357" t="s">
        <v>15427</v>
      </c>
    </row>
    <row r="17358" spans="8:8" x14ac:dyDescent="0.25">
      <c r="H17358" t="s">
        <v>15428</v>
      </c>
    </row>
    <row r="17359" spans="8:8" x14ac:dyDescent="0.25">
      <c r="H17359" t="s">
        <v>135</v>
      </c>
    </row>
    <row r="17360" spans="8:8" x14ac:dyDescent="0.25">
      <c r="H17360" t="s">
        <v>20258</v>
      </c>
    </row>
    <row r="17361" spans="8:8" x14ac:dyDescent="0.25">
      <c r="H17361" t="s">
        <v>30</v>
      </c>
    </row>
    <row r="17363" spans="8:8" x14ac:dyDescent="0.25">
      <c r="H17363" t="s">
        <v>15430</v>
      </c>
    </row>
    <row r="17364" spans="8:8" x14ac:dyDescent="0.25">
      <c r="H17364" t="s">
        <v>15431</v>
      </c>
    </row>
    <row r="17365" spans="8:8" x14ac:dyDescent="0.25">
      <c r="H17365" t="s">
        <v>135</v>
      </c>
    </row>
    <row r="17366" spans="8:8" x14ac:dyDescent="0.25">
      <c r="H17366" t="s">
        <v>20259</v>
      </c>
    </row>
    <row r="17367" spans="8:8" x14ac:dyDescent="0.25">
      <c r="H17367" t="s">
        <v>30</v>
      </c>
    </row>
    <row r="17369" spans="8:8" x14ac:dyDescent="0.25">
      <c r="H17369" t="s">
        <v>15433</v>
      </c>
    </row>
    <row r="17370" spans="8:8" x14ac:dyDescent="0.25">
      <c r="H17370" t="s">
        <v>15434</v>
      </c>
    </row>
    <row r="17371" spans="8:8" x14ac:dyDescent="0.25">
      <c r="H17371" t="s">
        <v>135</v>
      </c>
    </row>
    <row r="17372" spans="8:8" x14ac:dyDescent="0.25">
      <c r="H17372" t="s">
        <v>20260</v>
      </c>
    </row>
    <row r="17373" spans="8:8" x14ac:dyDescent="0.25">
      <c r="H17373" t="s">
        <v>30</v>
      </c>
    </row>
    <row r="17375" spans="8:8" x14ac:dyDescent="0.25">
      <c r="H17375" t="s">
        <v>15436</v>
      </c>
    </row>
    <row r="17376" spans="8:8" x14ac:dyDescent="0.25">
      <c r="H17376" t="s">
        <v>15437</v>
      </c>
    </row>
    <row r="17377" spans="8:8" x14ac:dyDescent="0.25">
      <c r="H17377" t="s">
        <v>135</v>
      </c>
    </row>
    <row r="17378" spans="8:8" x14ac:dyDescent="0.25">
      <c r="H17378" t="s">
        <v>20261</v>
      </c>
    </row>
    <row r="17379" spans="8:8" x14ac:dyDescent="0.25">
      <c r="H17379" t="s">
        <v>30</v>
      </c>
    </row>
    <row r="17381" spans="8:8" x14ac:dyDescent="0.25">
      <c r="H17381" t="s">
        <v>15439</v>
      </c>
    </row>
    <row r="17382" spans="8:8" x14ac:dyDescent="0.25">
      <c r="H17382" t="s">
        <v>15440</v>
      </c>
    </row>
    <row r="17383" spans="8:8" x14ac:dyDescent="0.25">
      <c r="H17383" t="s">
        <v>135</v>
      </c>
    </row>
    <row r="17384" spans="8:8" x14ac:dyDescent="0.25">
      <c r="H17384" t="s">
        <v>20262</v>
      </c>
    </row>
    <row r="17385" spans="8:8" x14ac:dyDescent="0.25">
      <c r="H17385" t="s">
        <v>30</v>
      </c>
    </row>
    <row r="17387" spans="8:8" x14ac:dyDescent="0.25">
      <c r="H17387" t="s">
        <v>15442</v>
      </c>
    </row>
    <row r="17388" spans="8:8" x14ac:dyDescent="0.25">
      <c r="H17388" t="s">
        <v>15443</v>
      </c>
    </row>
    <row r="17389" spans="8:8" x14ac:dyDescent="0.25">
      <c r="H17389" t="s">
        <v>135</v>
      </c>
    </row>
    <row r="17390" spans="8:8" x14ac:dyDescent="0.25">
      <c r="H17390" t="s">
        <v>20263</v>
      </c>
    </row>
    <row r="17391" spans="8:8" x14ac:dyDescent="0.25">
      <c r="H17391" t="s">
        <v>30</v>
      </c>
    </row>
    <row r="17393" spans="8:8" x14ac:dyDescent="0.25">
      <c r="H17393" t="s">
        <v>15445</v>
      </c>
    </row>
    <row r="17394" spans="8:8" x14ac:dyDescent="0.25">
      <c r="H17394" t="s">
        <v>15446</v>
      </c>
    </row>
    <row r="17395" spans="8:8" x14ac:dyDescent="0.25">
      <c r="H17395" t="s">
        <v>135</v>
      </c>
    </row>
    <row r="17396" spans="8:8" x14ac:dyDescent="0.25">
      <c r="H17396" t="s">
        <v>20264</v>
      </c>
    </row>
    <row r="17397" spans="8:8" x14ac:dyDescent="0.25">
      <c r="H17397" t="s">
        <v>30</v>
      </c>
    </row>
    <row r="17399" spans="8:8" x14ac:dyDescent="0.25">
      <c r="H17399" t="s">
        <v>15448</v>
      </c>
    </row>
    <row r="17400" spans="8:8" x14ac:dyDescent="0.25">
      <c r="H17400" t="s">
        <v>15449</v>
      </c>
    </row>
    <row r="17401" spans="8:8" x14ac:dyDescent="0.25">
      <c r="H17401" t="s">
        <v>135</v>
      </c>
    </row>
    <row r="17402" spans="8:8" x14ac:dyDescent="0.25">
      <c r="H17402" t="s">
        <v>20265</v>
      </c>
    </row>
    <row r="17403" spans="8:8" x14ac:dyDescent="0.25">
      <c r="H17403" t="s">
        <v>30</v>
      </c>
    </row>
    <row r="17405" spans="8:8" x14ac:dyDescent="0.25">
      <c r="H17405" t="s">
        <v>15451</v>
      </c>
    </row>
    <row r="17406" spans="8:8" x14ac:dyDescent="0.25">
      <c r="H17406" t="s">
        <v>15452</v>
      </c>
    </row>
    <row r="17407" spans="8:8" x14ac:dyDescent="0.25">
      <c r="H17407" t="s">
        <v>135</v>
      </c>
    </row>
    <row r="17408" spans="8:8" x14ac:dyDescent="0.25">
      <c r="H17408" t="s">
        <v>20266</v>
      </c>
    </row>
    <row r="17409" spans="8:8" x14ac:dyDescent="0.25">
      <c r="H17409" t="s">
        <v>30</v>
      </c>
    </row>
    <row r="17411" spans="8:8" x14ac:dyDescent="0.25">
      <c r="H17411" t="s">
        <v>15454</v>
      </c>
    </row>
    <row r="17412" spans="8:8" x14ac:dyDescent="0.25">
      <c r="H17412" t="s">
        <v>15455</v>
      </c>
    </row>
    <row r="17413" spans="8:8" x14ac:dyDescent="0.25">
      <c r="H17413" t="s">
        <v>135</v>
      </c>
    </row>
    <row r="17414" spans="8:8" x14ac:dyDescent="0.25">
      <c r="H17414" t="s">
        <v>20267</v>
      </c>
    </row>
    <row r="17415" spans="8:8" x14ac:dyDescent="0.25">
      <c r="H17415" t="s">
        <v>30</v>
      </c>
    </row>
    <row r="17417" spans="8:8" x14ac:dyDescent="0.25">
      <c r="H17417" t="s">
        <v>15457</v>
      </c>
    </row>
    <row r="17418" spans="8:8" x14ac:dyDescent="0.25">
      <c r="H17418" t="s">
        <v>15458</v>
      </c>
    </row>
    <row r="17419" spans="8:8" x14ac:dyDescent="0.25">
      <c r="H17419" t="s">
        <v>135</v>
      </c>
    </row>
    <row r="17420" spans="8:8" x14ac:dyDescent="0.25">
      <c r="H17420" t="s">
        <v>20268</v>
      </c>
    </row>
    <row r="17421" spans="8:8" x14ac:dyDescent="0.25">
      <c r="H17421" t="s">
        <v>30</v>
      </c>
    </row>
    <row r="17423" spans="8:8" x14ac:dyDescent="0.25">
      <c r="H17423" t="s">
        <v>15460</v>
      </c>
    </row>
    <row r="17424" spans="8:8" x14ac:dyDescent="0.25">
      <c r="H17424" t="s">
        <v>15461</v>
      </c>
    </row>
    <row r="17425" spans="8:8" x14ac:dyDescent="0.25">
      <c r="H17425" t="s">
        <v>135</v>
      </c>
    </row>
    <row r="17426" spans="8:8" x14ac:dyDescent="0.25">
      <c r="H17426" t="s">
        <v>20269</v>
      </c>
    </row>
    <row r="17427" spans="8:8" x14ac:dyDescent="0.25">
      <c r="H17427" t="s">
        <v>30</v>
      </c>
    </row>
    <row r="17429" spans="8:8" x14ac:dyDescent="0.25">
      <c r="H17429" t="s">
        <v>15463</v>
      </c>
    </row>
    <row r="17430" spans="8:8" x14ac:dyDescent="0.25">
      <c r="H17430" t="s">
        <v>15464</v>
      </c>
    </row>
    <row r="17431" spans="8:8" x14ac:dyDescent="0.25">
      <c r="H17431" t="s">
        <v>135</v>
      </c>
    </row>
    <row r="17432" spans="8:8" x14ac:dyDescent="0.25">
      <c r="H17432" t="s">
        <v>20270</v>
      </c>
    </row>
    <row r="17433" spans="8:8" x14ac:dyDescent="0.25">
      <c r="H17433" t="s">
        <v>30</v>
      </c>
    </row>
    <row r="17435" spans="8:8" x14ac:dyDescent="0.25">
      <c r="H17435" t="s">
        <v>15466</v>
      </c>
    </row>
    <row r="17436" spans="8:8" x14ac:dyDescent="0.25">
      <c r="H17436" t="s">
        <v>15467</v>
      </c>
    </row>
    <row r="17437" spans="8:8" x14ac:dyDescent="0.25">
      <c r="H17437" t="s">
        <v>135</v>
      </c>
    </row>
    <row r="17438" spans="8:8" x14ac:dyDescent="0.25">
      <c r="H17438" t="s">
        <v>20271</v>
      </c>
    </row>
    <row r="17439" spans="8:8" x14ac:dyDescent="0.25">
      <c r="H17439" t="s">
        <v>30</v>
      </c>
    </row>
    <row r="17441" spans="8:8" x14ac:dyDescent="0.25">
      <c r="H17441" t="s">
        <v>15469</v>
      </c>
    </row>
    <row r="17442" spans="8:8" x14ac:dyDescent="0.25">
      <c r="H17442" t="s">
        <v>15470</v>
      </c>
    </row>
    <row r="17443" spans="8:8" x14ac:dyDescent="0.25">
      <c r="H17443" t="s">
        <v>135</v>
      </c>
    </row>
    <row r="17444" spans="8:8" x14ac:dyDescent="0.25">
      <c r="H17444" t="s">
        <v>20272</v>
      </c>
    </row>
    <row r="17445" spans="8:8" x14ac:dyDescent="0.25">
      <c r="H17445" t="s">
        <v>30</v>
      </c>
    </row>
    <row r="17447" spans="8:8" x14ac:dyDescent="0.25">
      <c r="H17447" t="s">
        <v>15472</v>
      </c>
    </row>
    <row r="17448" spans="8:8" x14ac:dyDescent="0.25">
      <c r="H17448" t="s">
        <v>15473</v>
      </c>
    </row>
    <row r="17449" spans="8:8" x14ac:dyDescent="0.25">
      <c r="H17449" t="s">
        <v>135</v>
      </c>
    </row>
    <row r="17450" spans="8:8" x14ac:dyDescent="0.25">
      <c r="H17450" t="s">
        <v>20273</v>
      </c>
    </row>
    <row r="17451" spans="8:8" x14ac:dyDescent="0.25">
      <c r="H17451" t="s">
        <v>30</v>
      </c>
    </row>
    <row r="17453" spans="8:8" x14ac:dyDescent="0.25">
      <c r="H17453" t="s">
        <v>15475</v>
      </c>
    </row>
    <row r="17454" spans="8:8" x14ac:dyDescent="0.25">
      <c r="H17454" t="s">
        <v>15476</v>
      </c>
    </row>
    <row r="17455" spans="8:8" x14ac:dyDescent="0.25">
      <c r="H17455" t="s">
        <v>135</v>
      </c>
    </row>
    <row r="17456" spans="8:8" x14ac:dyDescent="0.25">
      <c r="H17456" t="s">
        <v>20274</v>
      </c>
    </row>
    <row r="17457" spans="8:8" x14ac:dyDescent="0.25">
      <c r="H17457" t="s">
        <v>30</v>
      </c>
    </row>
    <row r="17459" spans="8:8" x14ac:dyDescent="0.25">
      <c r="H17459" t="s">
        <v>15478</v>
      </c>
    </row>
    <row r="17460" spans="8:8" x14ac:dyDescent="0.25">
      <c r="H17460" t="s">
        <v>15479</v>
      </c>
    </row>
    <row r="17461" spans="8:8" x14ac:dyDescent="0.25">
      <c r="H17461" t="s">
        <v>135</v>
      </c>
    </row>
    <row r="17462" spans="8:8" x14ac:dyDescent="0.25">
      <c r="H17462" t="s">
        <v>20275</v>
      </c>
    </row>
    <row r="17463" spans="8:8" x14ac:dyDescent="0.25">
      <c r="H17463" t="s">
        <v>30</v>
      </c>
    </row>
    <row r="17465" spans="8:8" x14ac:dyDescent="0.25">
      <c r="H17465" t="s">
        <v>15481</v>
      </c>
    </row>
    <row r="17466" spans="8:8" x14ac:dyDescent="0.25">
      <c r="H17466" t="s">
        <v>15482</v>
      </c>
    </row>
    <row r="17467" spans="8:8" x14ac:dyDescent="0.25">
      <c r="H17467" t="s">
        <v>135</v>
      </c>
    </row>
    <row r="17468" spans="8:8" x14ac:dyDescent="0.25">
      <c r="H17468" t="s">
        <v>20276</v>
      </c>
    </row>
    <row r="17469" spans="8:8" x14ac:dyDescent="0.25">
      <c r="H17469" t="s">
        <v>30</v>
      </c>
    </row>
    <row r="17471" spans="8:8" x14ac:dyDescent="0.25">
      <c r="H17471" t="s">
        <v>15484</v>
      </c>
    </row>
    <row r="17472" spans="8:8" x14ac:dyDescent="0.25">
      <c r="H17472" t="s">
        <v>15485</v>
      </c>
    </row>
    <row r="17473" spans="8:8" x14ac:dyDescent="0.25">
      <c r="H17473" t="s">
        <v>135</v>
      </c>
    </row>
    <row r="17474" spans="8:8" x14ac:dyDescent="0.25">
      <c r="H17474" t="s">
        <v>20277</v>
      </c>
    </row>
    <row r="17475" spans="8:8" x14ac:dyDescent="0.25">
      <c r="H17475" t="s">
        <v>30</v>
      </c>
    </row>
    <row r="17477" spans="8:8" x14ac:dyDescent="0.25">
      <c r="H17477" t="s">
        <v>15487</v>
      </c>
    </row>
    <row r="17478" spans="8:8" x14ac:dyDescent="0.25">
      <c r="H17478" t="s">
        <v>15488</v>
      </c>
    </row>
    <row r="17479" spans="8:8" x14ac:dyDescent="0.25">
      <c r="H17479" t="s">
        <v>135</v>
      </c>
    </row>
    <row r="17480" spans="8:8" x14ac:dyDescent="0.25">
      <c r="H17480" t="s">
        <v>20278</v>
      </c>
    </row>
    <row r="17481" spans="8:8" x14ac:dyDescent="0.25">
      <c r="H17481" t="s">
        <v>30</v>
      </c>
    </row>
    <row r="17483" spans="8:8" x14ac:dyDescent="0.25">
      <c r="H17483" t="s">
        <v>15490</v>
      </c>
    </row>
    <row r="17484" spans="8:8" x14ac:dyDescent="0.25">
      <c r="H17484" t="s">
        <v>15491</v>
      </c>
    </row>
    <row r="17485" spans="8:8" x14ac:dyDescent="0.25">
      <c r="H17485" t="s">
        <v>135</v>
      </c>
    </row>
    <row r="17486" spans="8:8" x14ac:dyDescent="0.25">
      <c r="H17486" t="s">
        <v>20279</v>
      </c>
    </row>
    <row r="17487" spans="8:8" x14ac:dyDescent="0.25">
      <c r="H17487" t="s">
        <v>30</v>
      </c>
    </row>
    <row r="17489" spans="8:8" x14ac:dyDescent="0.25">
      <c r="H17489" t="s">
        <v>15493</v>
      </c>
    </row>
    <row r="17490" spans="8:8" x14ac:dyDescent="0.25">
      <c r="H17490" t="s">
        <v>15494</v>
      </c>
    </row>
    <row r="17491" spans="8:8" x14ac:dyDescent="0.25">
      <c r="H17491" t="s">
        <v>135</v>
      </c>
    </row>
    <row r="17492" spans="8:8" x14ac:dyDescent="0.25">
      <c r="H17492" t="s">
        <v>20280</v>
      </c>
    </row>
    <row r="17493" spans="8:8" x14ac:dyDescent="0.25">
      <c r="H17493" t="s">
        <v>30</v>
      </c>
    </row>
    <row r="17495" spans="8:8" x14ac:dyDescent="0.25">
      <c r="H17495" t="s">
        <v>15496</v>
      </c>
    </row>
    <row r="17496" spans="8:8" x14ac:dyDescent="0.25">
      <c r="H17496" t="s">
        <v>15497</v>
      </c>
    </row>
    <row r="17497" spans="8:8" x14ac:dyDescent="0.25">
      <c r="H17497" t="s">
        <v>135</v>
      </c>
    </row>
    <row r="17498" spans="8:8" x14ac:dyDescent="0.25">
      <c r="H17498" t="s">
        <v>20281</v>
      </c>
    </row>
    <row r="17499" spans="8:8" x14ac:dyDescent="0.25">
      <c r="H17499" t="s">
        <v>30</v>
      </c>
    </row>
    <row r="17501" spans="8:8" x14ac:dyDescent="0.25">
      <c r="H17501" t="s">
        <v>15499</v>
      </c>
    </row>
    <row r="17502" spans="8:8" x14ac:dyDescent="0.25">
      <c r="H17502" t="s">
        <v>15500</v>
      </c>
    </row>
    <row r="17503" spans="8:8" x14ac:dyDescent="0.25">
      <c r="H17503" t="s">
        <v>135</v>
      </c>
    </row>
    <row r="17504" spans="8:8" x14ac:dyDescent="0.25">
      <c r="H17504" t="s">
        <v>20282</v>
      </c>
    </row>
    <row r="17505" spans="8:8" x14ac:dyDescent="0.25">
      <c r="H17505" t="s">
        <v>30</v>
      </c>
    </row>
    <row r="17507" spans="8:8" x14ac:dyDescent="0.25">
      <c r="H17507" t="s">
        <v>15502</v>
      </c>
    </row>
    <row r="17508" spans="8:8" x14ac:dyDescent="0.25">
      <c r="H17508" t="s">
        <v>15503</v>
      </c>
    </row>
    <row r="17509" spans="8:8" x14ac:dyDescent="0.25">
      <c r="H17509" t="s">
        <v>135</v>
      </c>
    </row>
    <row r="17510" spans="8:8" x14ac:dyDescent="0.25">
      <c r="H17510" t="s">
        <v>20283</v>
      </c>
    </row>
    <row r="17511" spans="8:8" x14ac:dyDescent="0.25">
      <c r="H17511" t="s">
        <v>30</v>
      </c>
    </row>
    <row r="17513" spans="8:8" x14ac:dyDescent="0.25">
      <c r="H17513" t="s">
        <v>15505</v>
      </c>
    </row>
    <row r="17514" spans="8:8" x14ac:dyDescent="0.25">
      <c r="H17514" t="s">
        <v>15506</v>
      </c>
    </row>
    <row r="17515" spans="8:8" x14ac:dyDescent="0.25">
      <c r="H17515" t="s">
        <v>135</v>
      </c>
    </row>
    <row r="17516" spans="8:8" x14ac:dyDescent="0.25">
      <c r="H17516" t="s">
        <v>20284</v>
      </c>
    </row>
    <row r="17517" spans="8:8" x14ac:dyDescent="0.25">
      <c r="H17517" t="s">
        <v>30</v>
      </c>
    </row>
    <row r="17519" spans="8:8" x14ac:dyDescent="0.25">
      <c r="H17519" t="s">
        <v>15508</v>
      </c>
    </row>
    <row r="17520" spans="8:8" x14ac:dyDescent="0.25">
      <c r="H17520" t="s">
        <v>15509</v>
      </c>
    </row>
    <row r="17521" spans="8:8" x14ac:dyDescent="0.25">
      <c r="H17521" t="s">
        <v>135</v>
      </c>
    </row>
    <row r="17522" spans="8:8" x14ac:dyDescent="0.25">
      <c r="H17522" t="s">
        <v>20285</v>
      </c>
    </row>
    <row r="17523" spans="8:8" x14ac:dyDescent="0.25">
      <c r="H17523" t="s">
        <v>30</v>
      </c>
    </row>
    <row r="17525" spans="8:8" x14ac:dyDescent="0.25">
      <c r="H17525" t="s">
        <v>15511</v>
      </c>
    </row>
    <row r="17526" spans="8:8" x14ac:dyDescent="0.25">
      <c r="H17526" t="s">
        <v>15512</v>
      </c>
    </row>
    <row r="17527" spans="8:8" x14ac:dyDescent="0.25">
      <c r="H17527" t="s">
        <v>135</v>
      </c>
    </row>
    <row r="17528" spans="8:8" x14ac:dyDescent="0.25">
      <c r="H17528" t="s">
        <v>20286</v>
      </c>
    </row>
    <row r="17529" spans="8:8" x14ac:dyDescent="0.25">
      <c r="H17529" t="s">
        <v>30</v>
      </c>
    </row>
    <row r="17531" spans="8:8" x14ac:dyDescent="0.25">
      <c r="H17531" t="s">
        <v>15514</v>
      </c>
    </row>
    <row r="17532" spans="8:8" x14ac:dyDescent="0.25">
      <c r="H17532" t="s">
        <v>15515</v>
      </c>
    </row>
    <row r="17533" spans="8:8" x14ac:dyDescent="0.25">
      <c r="H17533" t="s">
        <v>135</v>
      </c>
    </row>
    <row r="17534" spans="8:8" x14ac:dyDescent="0.25">
      <c r="H17534" t="s">
        <v>20287</v>
      </c>
    </row>
    <row r="17535" spans="8:8" x14ac:dyDescent="0.25">
      <c r="H17535" t="s">
        <v>30</v>
      </c>
    </row>
    <row r="17537" spans="8:8" x14ac:dyDescent="0.25">
      <c r="H17537" t="s">
        <v>15517</v>
      </c>
    </row>
    <row r="17538" spans="8:8" x14ac:dyDescent="0.25">
      <c r="H17538" t="s">
        <v>15518</v>
      </c>
    </row>
    <row r="17539" spans="8:8" x14ac:dyDescent="0.25">
      <c r="H17539" t="s">
        <v>135</v>
      </c>
    </row>
    <row r="17540" spans="8:8" x14ac:dyDescent="0.25">
      <c r="H17540" t="s">
        <v>20288</v>
      </c>
    </row>
    <row r="17541" spans="8:8" x14ac:dyDescent="0.25">
      <c r="H17541" t="s">
        <v>30</v>
      </c>
    </row>
    <row r="17543" spans="8:8" x14ac:dyDescent="0.25">
      <c r="H17543" t="s">
        <v>15520</v>
      </c>
    </row>
    <row r="17544" spans="8:8" x14ac:dyDescent="0.25">
      <c r="H17544" t="s">
        <v>15521</v>
      </c>
    </row>
    <row r="17545" spans="8:8" x14ac:dyDescent="0.25">
      <c r="H17545" t="s">
        <v>135</v>
      </c>
    </row>
    <row r="17546" spans="8:8" x14ac:dyDescent="0.25">
      <c r="H17546" t="s">
        <v>20289</v>
      </c>
    </row>
    <row r="17547" spans="8:8" x14ac:dyDescent="0.25">
      <c r="H17547" t="s">
        <v>30</v>
      </c>
    </row>
    <row r="17549" spans="8:8" x14ac:dyDescent="0.25">
      <c r="H17549" t="s">
        <v>15523</v>
      </c>
    </row>
    <row r="17550" spans="8:8" x14ac:dyDescent="0.25">
      <c r="H17550" t="s">
        <v>15524</v>
      </c>
    </row>
    <row r="17551" spans="8:8" x14ac:dyDescent="0.25">
      <c r="H17551" t="s">
        <v>135</v>
      </c>
    </row>
    <row r="17552" spans="8:8" x14ac:dyDescent="0.25">
      <c r="H17552" t="s">
        <v>20290</v>
      </c>
    </row>
    <row r="17553" spans="8:8" x14ac:dyDescent="0.25">
      <c r="H17553" t="s">
        <v>30</v>
      </c>
    </row>
    <row r="17555" spans="8:8" x14ac:dyDescent="0.25">
      <c r="H17555" t="s">
        <v>15526</v>
      </c>
    </row>
    <row r="17556" spans="8:8" x14ac:dyDescent="0.25">
      <c r="H17556" t="s">
        <v>15527</v>
      </c>
    </row>
    <row r="17557" spans="8:8" x14ac:dyDescent="0.25">
      <c r="H17557" t="s">
        <v>135</v>
      </c>
    </row>
    <row r="17558" spans="8:8" x14ac:dyDescent="0.25">
      <c r="H17558" t="s">
        <v>20291</v>
      </c>
    </row>
    <row r="17559" spans="8:8" x14ac:dyDescent="0.25">
      <c r="H17559" t="s">
        <v>30</v>
      </c>
    </row>
    <row r="17561" spans="8:8" x14ac:dyDescent="0.25">
      <c r="H17561" t="s">
        <v>15529</v>
      </c>
    </row>
    <row r="17562" spans="8:8" x14ac:dyDescent="0.25">
      <c r="H17562" t="s">
        <v>15530</v>
      </c>
    </row>
    <row r="17563" spans="8:8" x14ac:dyDescent="0.25">
      <c r="H17563" t="s">
        <v>135</v>
      </c>
    </row>
    <row r="17564" spans="8:8" x14ac:dyDescent="0.25">
      <c r="H17564" t="s">
        <v>20292</v>
      </c>
    </row>
    <row r="17565" spans="8:8" x14ac:dyDescent="0.25">
      <c r="H17565" t="s">
        <v>30</v>
      </c>
    </row>
    <row r="17567" spans="8:8" x14ac:dyDescent="0.25">
      <c r="H17567" t="s">
        <v>15532</v>
      </c>
    </row>
    <row r="17568" spans="8:8" x14ac:dyDescent="0.25">
      <c r="H17568" t="s">
        <v>15533</v>
      </c>
    </row>
    <row r="17569" spans="8:8" x14ac:dyDescent="0.25">
      <c r="H17569" t="s">
        <v>135</v>
      </c>
    </row>
    <row r="17570" spans="8:8" x14ac:dyDescent="0.25">
      <c r="H17570" t="s">
        <v>20293</v>
      </c>
    </row>
    <row r="17571" spans="8:8" x14ac:dyDescent="0.25">
      <c r="H17571" t="s">
        <v>30</v>
      </c>
    </row>
    <row r="17573" spans="8:8" x14ac:dyDescent="0.25">
      <c r="H17573" t="s">
        <v>15535</v>
      </c>
    </row>
    <row r="17574" spans="8:8" x14ac:dyDescent="0.25">
      <c r="H17574" t="s">
        <v>15536</v>
      </c>
    </row>
    <row r="17575" spans="8:8" x14ac:dyDescent="0.25">
      <c r="H17575" t="s">
        <v>135</v>
      </c>
    </row>
    <row r="17576" spans="8:8" x14ac:dyDescent="0.25">
      <c r="H17576" t="s">
        <v>20294</v>
      </c>
    </row>
    <row r="17577" spans="8:8" x14ac:dyDescent="0.25">
      <c r="H17577" t="s">
        <v>30</v>
      </c>
    </row>
    <row r="17579" spans="8:8" x14ac:dyDescent="0.25">
      <c r="H17579" t="s">
        <v>15538</v>
      </c>
    </row>
    <row r="17580" spans="8:8" x14ac:dyDescent="0.25">
      <c r="H17580" t="s">
        <v>15539</v>
      </c>
    </row>
    <row r="17581" spans="8:8" x14ac:dyDescent="0.25">
      <c r="H17581" t="s">
        <v>135</v>
      </c>
    </row>
    <row r="17582" spans="8:8" x14ac:dyDescent="0.25">
      <c r="H17582" t="s">
        <v>20295</v>
      </c>
    </row>
    <row r="17583" spans="8:8" x14ac:dyDescent="0.25">
      <c r="H17583" t="s">
        <v>30</v>
      </c>
    </row>
    <row r="17585" spans="8:8" x14ac:dyDescent="0.25">
      <c r="H17585" t="s">
        <v>15541</v>
      </c>
    </row>
    <row r="17586" spans="8:8" x14ac:dyDescent="0.25">
      <c r="H17586" t="s">
        <v>15542</v>
      </c>
    </row>
    <row r="17587" spans="8:8" x14ac:dyDescent="0.25">
      <c r="H17587" t="s">
        <v>135</v>
      </c>
    </row>
    <row r="17588" spans="8:8" x14ac:dyDescent="0.25">
      <c r="H17588" t="s">
        <v>20296</v>
      </c>
    </row>
    <row r="17589" spans="8:8" x14ac:dyDescent="0.25">
      <c r="H17589" t="s">
        <v>30</v>
      </c>
    </row>
    <row r="17591" spans="8:8" x14ac:dyDescent="0.25">
      <c r="H17591" t="s">
        <v>15544</v>
      </c>
    </row>
    <row r="17592" spans="8:8" x14ac:dyDescent="0.25">
      <c r="H17592" t="s">
        <v>15545</v>
      </c>
    </row>
    <row r="17593" spans="8:8" x14ac:dyDescent="0.25">
      <c r="H17593" t="s">
        <v>135</v>
      </c>
    </row>
    <row r="17594" spans="8:8" x14ac:dyDescent="0.25">
      <c r="H17594" t="s">
        <v>20297</v>
      </c>
    </row>
    <row r="17595" spans="8:8" x14ac:dyDescent="0.25">
      <c r="H17595" t="s">
        <v>30</v>
      </c>
    </row>
    <row r="17597" spans="8:8" x14ac:dyDescent="0.25">
      <c r="H17597" t="s">
        <v>15547</v>
      </c>
    </row>
    <row r="17598" spans="8:8" x14ac:dyDescent="0.25">
      <c r="H17598" t="s">
        <v>15548</v>
      </c>
    </row>
    <row r="17599" spans="8:8" x14ac:dyDescent="0.25">
      <c r="H17599" t="s">
        <v>135</v>
      </c>
    </row>
    <row r="17600" spans="8:8" x14ac:dyDescent="0.25">
      <c r="H17600" t="s">
        <v>20298</v>
      </c>
    </row>
    <row r="17601" spans="8:8" x14ac:dyDescent="0.25">
      <c r="H17601" t="s">
        <v>30</v>
      </c>
    </row>
    <row r="17603" spans="8:8" x14ac:dyDescent="0.25">
      <c r="H17603" t="s">
        <v>15550</v>
      </c>
    </row>
    <row r="17604" spans="8:8" x14ac:dyDescent="0.25">
      <c r="H17604" t="s">
        <v>15551</v>
      </c>
    </row>
    <row r="17605" spans="8:8" x14ac:dyDescent="0.25">
      <c r="H17605" t="s">
        <v>135</v>
      </c>
    </row>
    <row r="17606" spans="8:8" x14ac:dyDescent="0.25">
      <c r="H17606" t="s">
        <v>20299</v>
      </c>
    </row>
    <row r="17607" spans="8:8" x14ac:dyDescent="0.25">
      <c r="H17607" t="s">
        <v>30</v>
      </c>
    </row>
    <row r="17609" spans="8:8" x14ac:dyDescent="0.25">
      <c r="H17609" t="s">
        <v>15553</v>
      </c>
    </row>
    <row r="17610" spans="8:8" x14ac:dyDescent="0.25">
      <c r="H17610" t="s">
        <v>15554</v>
      </c>
    </row>
    <row r="17611" spans="8:8" x14ac:dyDescent="0.25">
      <c r="H17611" t="s">
        <v>135</v>
      </c>
    </row>
    <row r="17612" spans="8:8" x14ac:dyDescent="0.25">
      <c r="H17612" t="s">
        <v>20300</v>
      </c>
    </row>
    <row r="17613" spans="8:8" x14ac:dyDescent="0.25">
      <c r="H17613" t="s">
        <v>30</v>
      </c>
    </row>
    <row r="17615" spans="8:8" x14ac:dyDescent="0.25">
      <c r="H17615" t="s">
        <v>15556</v>
      </c>
    </row>
    <row r="17616" spans="8:8" x14ac:dyDescent="0.25">
      <c r="H17616" t="s">
        <v>15557</v>
      </c>
    </row>
    <row r="17617" spans="8:8" x14ac:dyDescent="0.25">
      <c r="H17617" t="s">
        <v>135</v>
      </c>
    </row>
    <row r="17618" spans="8:8" x14ac:dyDescent="0.25">
      <c r="H17618" t="s">
        <v>20301</v>
      </c>
    </row>
    <row r="17619" spans="8:8" x14ac:dyDescent="0.25">
      <c r="H17619" t="s">
        <v>30</v>
      </c>
    </row>
    <row r="17621" spans="8:8" x14ac:dyDescent="0.25">
      <c r="H17621" t="s">
        <v>15559</v>
      </c>
    </row>
    <row r="17622" spans="8:8" x14ac:dyDescent="0.25">
      <c r="H17622" t="s">
        <v>15560</v>
      </c>
    </row>
    <row r="17623" spans="8:8" x14ac:dyDescent="0.25">
      <c r="H17623" t="s">
        <v>135</v>
      </c>
    </row>
    <row r="17624" spans="8:8" x14ac:dyDescent="0.25">
      <c r="H17624" t="s">
        <v>20302</v>
      </c>
    </row>
    <row r="17625" spans="8:8" x14ac:dyDescent="0.25">
      <c r="H17625" t="s">
        <v>30</v>
      </c>
    </row>
    <row r="17627" spans="8:8" x14ac:dyDescent="0.25">
      <c r="H17627" t="s">
        <v>15562</v>
      </c>
    </row>
    <row r="17628" spans="8:8" x14ac:dyDescent="0.25">
      <c r="H17628" t="s">
        <v>15563</v>
      </c>
    </row>
    <row r="17629" spans="8:8" x14ac:dyDescent="0.25">
      <c r="H17629" t="s">
        <v>135</v>
      </c>
    </row>
    <row r="17630" spans="8:8" x14ac:dyDescent="0.25">
      <c r="H17630" t="s">
        <v>20303</v>
      </c>
    </row>
    <row r="17631" spans="8:8" x14ac:dyDescent="0.25">
      <c r="H17631" t="s">
        <v>30</v>
      </c>
    </row>
    <row r="17633" spans="8:8" x14ac:dyDescent="0.25">
      <c r="H17633" t="s">
        <v>15565</v>
      </c>
    </row>
    <row r="17634" spans="8:8" x14ac:dyDescent="0.25">
      <c r="H17634" t="s">
        <v>15566</v>
      </c>
    </row>
    <row r="17635" spans="8:8" x14ac:dyDescent="0.25">
      <c r="H17635" t="s">
        <v>135</v>
      </c>
    </row>
    <row r="17636" spans="8:8" x14ac:dyDescent="0.25">
      <c r="H17636" t="s">
        <v>20304</v>
      </c>
    </row>
    <row r="17637" spans="8:8" x14ac:dyDescent="0.25">
      <c r="H17637" t="s">
        <v>30</v>
      </c>
    </row>
    <row r="17639" spans="8:8" x14ac:dyDescent="0.25">
      <c r="H17639" t="s">
        <v>15568</v>
      </c>
    </row>
    <row r="17640" spans="8:8" x14ac:dyDescent="0.25">
      <c r="H17640" t="s">
        <v>15569</v>
      </c>
    </row>
    <row r="17641" spans="8:8" x14ac:dyDescent="0.25">
      <c r="H17641" t="s">
        <v>135</v>
      </c>
    </row>
    <row r="17642" spans="8:8" x14ac:dyDescent="0.25">
      <c r="H17642" t="s">
        <v>20305</v>
      </c>
    </row>
    <row r="17643" spans="8:8" x14ac:dyDescent="0.25">
      <c r="H17643" t="s">
        <v>30</v>
      </c>
    </row>
    <row r="17645" spans="8:8" x14ac:dyDescent="0.25">
      <c r="H17645" t="s">
        <v>15571</v>
      </c>
    </row>
    <row r="17646" spans="8:8" x14ac:dyDescent="0.25">
      <c r="H17646" t="s">
        <v>15572</v>
      </c>
    </row>
    <row r="17647" spans="8:8" x14ac:dyDescent="0.25">
      <c r="H17647" t="s">
        <v>135</v>
      </c>
    </row>
    <row r="17648" spans="8:8" x14ac:dyDescent="0.25">
      <c r="H17648" t="s">
        <v>20306</v>
      </c>
    </row>
    <row r="17649" spans="8:8" x14ac:dyDescent="0.25">
      <c r="H17649" t="s">
        <v>30</v>
      </c>
    </row>
    <row r="17651" spans="8:8" x14ac:dyDescent="0.25">
      <c r="H17651" t="s">
        <v>15574</v>
      </c>
    </row>
    <row r="17652" spans="8:8" x14ac:dyDescent="0.25">
      <c r="H17652" t="s">
        <v>15575</v>
      </c>
    </row>
    <row r="17653" spans="8:8" x14ac:dyDescent="0.25">
      <c r="H17653" t="s">
        <v>135</v>
      </c>
    </row>
    <row r="17654" spans="8:8" x14ac:dyDescent="0.25">
      <c r="H17654" t="s">
        <v>20307</v>
      </c>
    </row>
    <row r="17655" spans="8:8" x14ac:dyDescent="0.25">
      <c r="H17655" t="s">
        <v>30</v>
      </c>
    </row>
    <row r="17657" spans="8:8" x14ac:dyDescent="0.25">
      <c r="H17657" t="s">
        <v>15577</v>
      </c>
    </row>
    <row r="17658" spans="8:8" x14ac:dyDescent="0.25">
      <c r="H17658" t="s">
        <v>15578</v>
      </c>
    </row>
    <row r="17659" spans="8:8" x14ac:dyDescent="0.25">
      <c r="H17659" t="s">
        <v>135</v>
      </c>
    </row>
    <row r="17660" spans="8:8" x14ac:dyDescent="0.25">
      <c r="H17660" t="s">
        <v>20308</v>
      </c>
    </row>
    <row r="17661" spans="8:8" x14ac:dyDescent="0.25">
      <c r="H17661" t="s">
        <v>30</v>
      </c>
    </row>
    <row r="17663" spans="8:8" x14ac:dyDescent="0.25">
      <c r="H17663" t="s">
        <v>15580</v>
      </c>
    </row>
    <row r="17664" spans="8:8" x14ac:dyDescent="0.25">
      <c r="H17664" t="s">
        <v>15581</v>
      </c>
    </row>
    <row r="17665" spans="8:8" x14ac:dyDescent="0.25">
      <c r="H17665" t="s">
        <v>135</v>
      </c>
    </row>
    <row r="17666" spans="8:8" x14ac:dyDescent="0.25">
      <c r="H17666" t="s">
        <v>20309</v>
      </c>
    </row>
    <row r="17667" spans="8:8" x14ac:dyDescent="0.25">
      <c r="H17667" t="s">
        <v>30</v>
      </c>
    </row>
    <row r="17669" spans="8:8" x14ac:dyDescent="0.25">
      <c r="H17669" t="s">
        <v>15583</v>
      </c>
    </row>
    <row r="17670" spans="8:8" x14ac:dyDescent="0.25">
      <c r="H17670" t="s">
        <v>15584</v>
      </c>
    </row>
    <row r="17671" spans="8:8" x14ac:dyDescent="0.25">
      <c r="H17671" t="s">
        <v>135</v>
      </c>
    </row>
    <row r="17672" spans="8:8" x14ac:dyDescent="0.25">
      <c r="H17672" t="s">
        <v>20310</v>
      </c>
    </row>
    <row r="17673" spans="8:8" x14ac:dyDescent="0.25">
      <c r="H17673" t="s">
        <v>30</v>
      </c>
    </row>
    <row r="17675" spans="8:8" x14ac:dyDescent="0.25">
      <c r="H17675" t="s">
        <v>15586</v>
      </c>
    </row>
    <row r="17676" spans="8:8" x14ac:dyDescent="0.25">
      <c r="H17676" t="s">
        <v>15587</v>
      </c>
    </row>
    <row r="17677" spans="8:8" x14ac:dyDescent="0.25">
      <c r="H17677" t="s">
        <v>135</v>
      </c>
    </row>
    <row r="17678" spans="8:8" x14ac:dyDescent="0.25">
      <c r="H17678" t="s">
        <v>20311</v>
      </c>
    </row>
    <row r="17679" spans="8:8" x14ac:dyDescent="0.25">
      <c r="H17679" t="s">
        <v>30</v>
      </c>
    </row>
    <row r="17681" spans="8:8" x14ac:dyDescent="0.25">
      <c r="H17681" t="s">
        <v>15589</v>
      </c>
    </row>
    <row r="17682" spans="8:8" x14ac:dyDescent="0.25">
      <c r="H17682" t="s">
        <v>15590</v>
      </c>
    </row>
    <row r="17683" spans="8:8" x14ac:dyDescent="0.25">
      <c r="H17683" t="s">
        <v>135</v>
      </c>
    </row>
    <row r="17684" spans="8:8" x14ac:dyDescent="0.25">
      <c r="H17684" t="s">
        <v>20312</v>
      </c>
    </row>
    <row r="17685" spans="8:8" x14ac:dyDescent="0.25">
      <c r="H17685" t="s">
        <v>30</v>
      </c>
    </row>
    <row r="17687" spans="8:8" x14ac:dyDescent="0.25">
      <c r="H17687" t="s">
        <v>15592</v>
      </c>
    </row>
    <row r="17688" spans="8:8" x14ac:dyDescent="0.25">
      <c r="H17688" t="s">
        <v>15593</v>
      </c>
    </row>
    <row r="17689" spans="8:8" x14ac:dyDescent="0.25">
      <c r="H17689" t="s">
        <v>135</v>
      </c>
    </row>
    <row r="17690" spans="8:8" x14ac:dyDescent="0.25">
      <c r="H17690" t="s">
        <v>20313</v>
      </c>
    </row>
    <row r="17691" spans="8:8" x14ac:dyDescent="0.25">
      <c r="H17691" t="s">
        <v>30</v>
      </c>
    </row>
    <row r="17693" spans="8:8" x14ac:dyDescent="0.25">
      <c r="H17693" t="s">
        <v>15595</v>
      </c>
    </row>
    <row r="17694" spans="8:8" x14ac:dyDescent="0.25">
      <c r="H17694" t="s">
        <v>15596</v>
      </c>
    </row>
    <row r="17695" spans="8:8" x14ac:dyDescent="0.25">
      <c r="H17695" t="s">
        <v>135</v>
      </c>
    </row>
    <row r="17696" spans="8:8" x14ac:dyDescent="0.25">
      <c r="H17696" t="s">
        <v>20314</v>
      </c>
    </row>
    <row r="17697" spans="8:8" x14ac:dyDescent="0.25">
      <c r="H17697" t="s">
        <v>30</v>
      </c>
    </row>
    <row r="17699" spans="8:8" x14ac:dyDescent="0.25">
      <c r="H17699" t="s">
        <v>15598</v>
      </c>
    </row>
    <row r="17700" spans="8:8" x14ac:dyDescent="0.25">
      <c r="H17700" t="s">
        <v>15599</v>
      </c>
    </row>
    <row r="17701" spans="8:8" x14ac:dyDescent="0.25">
      <c r="H17701" t="s">
        <v>135</v>
      </c>
    </row>
    <row r="17702" spans="8:8" x14ac:dyDescent="0.25">
      <c r="H17702" t="s">
        <v>20315</v>
      </c>
    </row>
    <row r="17703" spans="8:8" x14ac:dyDescent="0.25">
      <c r="H17703" t="s">
        <v>30</v>
      </c>
    </row>
    <row r="17705" spans="8:8" x14ac:dyDescent="0.25">
      <c r="H17705" t="s">
        <v>15601</v>
      </c>
    </row>
    <row r="17706" spans="8:8" x14ac:dyDescent="0.25">
      <c r="H17706" t="s">
        <v>15602</v>
      </c>
    </row>
    <row r="17707" spans="8:8" x14ac:dyDescent="0.25">
      <c r="H17707" t="s">
        <v>135</v>
      </c>
    </row>
    <row r="17708" spans="8:8" x14ac:dyDescent="0.25">
      <c r="H17708" t="s">
        <v>20316</v>
      </c>
    </row>
    <row r="17709" spans="8:8" x14ac:dyDescent="0.25">
      <c r="H17709" t="s">
        <v>30</v>
      </c>
    </row>
    <row r="17711" spans="8:8" x14ac:dyDescent="0.25">
      <c r="H17711" t="s">
        <v>15604</v>
      </c>
    </row>
    <row r="17712" spans="8:8" x14ac:dyDescent="0.25">
      <c r="H17712" t="s">
        <v>15605</v>
      </c>
    </row>
    <row r="17713" spans="8:8" x14ac:dyDescent="0.25">
      <c r="H17713" t="s">
        <v>135</v>
      </c>
    </row>
    <row r="17714" spans="8:8" x14ac:dyDescent="0.25">
      <c r="H17714" t="s">
        <v>20317</v>
      </c>
    </row>
    <row r="17715" spans="8:8" x14ac:dyDescent="0.25">
      <c r="H17715" t="s">
        <v>30</v>
      </c>
    </row>
    <row r="17717" spans="8:8" x14ac:dyDescent="0.25">
      <c r="H17717" t="s">
        <v>15607</v>
      </c>
    </row>
    <row r="17718" spans="8:8" x14ac:dyDescent="0.25">
      <c r="H17718" t="s">
        <v>15608</v>
      </c>
    </row>
    <row r="17719" spans="8:8" x14ac:dyDescent="0.25">
      <c r="H17719" t="s">
        <v>135</v>
      </c>
    </row>
    <row r="17720" spans="8:8" x14ac:dyDescent="0.25">
      <c r="H17720" t="s">
        <v>20318</v>
      </c>
    </row>
    <row r="17721" spans="8:8" x14ac:dyDescent="0.25">
      <c r="H17721" t="s">
        <v>30</v>
      </c>
    </row>
    <row r="17723" spans="8:8" x14ac:dyDescent="0.25">
      <c r="H17723" t="s">
        <v>15610</v>
      </c>
    </row>
    <row r="17724" spans="8:8" x14ac:dyDescent="0.25">
      <c r="H17724" t="s">
        <v>15611</v>
      </c>
    </row>
    <row r="17725" spans="8:8" x14ac:dyDescent="0.25">
      <c r="H17725" t="s">
        <v>135</v>
      </c>
    </row>
    <row r="17726" spans="8:8" x14ac:dyDescent="0.25">
      <c r="H17726" t="s">
        <v>20319</v>
      </c>
    </row>
    <row r="17727" spans="8:8" x14ac:dyDescent="0.25">
      <c r="H17727" t="s">
        <v>30</v>
      </c>
    </row>
    <row r="17729" spans="8:8" x14ac:dyDescent="0.25">
      <c r="H17729" t="s">
        <v>15613</v>
      </c>
    </row>
    <row r="17730" spans="8:8" x14ac:dyDescent="0.25">
      <c r="H17730" t="s">
        <v>15614</v>
      </c>
    </row>
    <row r="17731" spans="8:8" x14ac:dyDescent="0.25">
      <c r="H17731" t="s">
        <v>135</v>
      </c>
    </row>
    <row r="17732" spans="8:8" x14ac:dyDescent="0.25">
      <c r="H17732" t="s">
        <v>20320</v>
      </c>
    </row>
    <row r="17733" spans="8:8" x14ac:dyDescent="0.25">
      <c r="H17733" t="s">
        <v>30</v>
      </c>
    </row>
    <row r="17735" spans="8:8" x14ac:dyDescent="0.25">
      <c r="H17735" t="s">
        <v>15616</v>
      </c>
    </row>
    <row r="17736" spans="8:8" x14ac:dyDescent="0.25">
      <c r="H17736" t="s">
        <v>15617</v>
      </c>
    </row>
    <row r="17737" spans="8:8" x14ac:dyDescent="0.25">
      <c r="H17737" t="s">
        <v>135</v>
      </c>
    </row>
    <row r="17738" spans="8:8" x14ac:dyDescent="0.25">
      <c r="H17738" t="s">
        <v>20321</v>
      </c>
    </row>
    <row r="17739" spans="8:8" x14ac:dyDescent="0.25">
      <c r="H17739" t="s">
        <v>30</v>
      </c>
    </row>
    <row r="17741" spans="8:8" x14ac:dyDescent="0.25">
      <c r="H17741" t="s">
        <v>15619</v>
      </c>
    </row>
    <row r="17742" spans="8:8" x14ac:dyDescent="0.25">
      <c r="H17742" t="s">
        <v>15620</v>
      </c>
    </row>
    <row r="17743" spans="8:8" x14ac:dyDescent="0.25">
      <c r="H17743" t="s">
        <v>135</v>
      </c>
    </row>
    <row r="17744" spans="8:8" x14ac:dyDescent="0.25">
      <c r="H17744" t="s">
        <v>20322</v>
      </c>
    </row>
    <row r="17745" spans="8:8" x14ac:dyDescent="0.25">
      <c r="H17745" t="s">
        <v>30</v>
      </c>
    </row>
    <row r="17747" spans="8:8" x14ac:dyDescent="0.25">
      <c r="H17747" t="s">
        <v>15622</v>
      </c>
    </row>
    <row r="17748" spans="8:8" x14ac:dyDescent="0.25">
      <c r="H17748" t="s">
        <v>15623</v>
      </c>
    </row>
    <row r="17749" spans="8:8" x14ac:dyDescent="0.25">
      <c r="H17749" t="s">
        <v>135</v>
      </c>
    </row>
    <row r="17750" spans="8:8" x14ac:dyDescent="0.25">
      <c r="H17750" t="s">
        <v>20323</v>
      </c>
    </row>
    <row r="17751" spans="8:8" x14ac:dyDescent="0.25">
      <c r="H17751" t="s">
        <v>30</v>
      </c>
    </row>
    <row r="17753" spans="8:8" x14ac:dyDescent="0.25">
      <c r="H17753" t="s">
        <v>15625</v>
      </c>
    </row>
    <row r="17754" spans="8:8" x14ac:dyDescent="0.25">
      <c r="H17754" t="s">
        <v>15626</v>
      </c>
    </row>
    <row r="17755" spans="8:8" x14ac:dyDescent="0.25">
      <c r="H17755" t="s">
        <v>135</v>
      </c>
    </row>
    <row r="17756" spans="8:8" x14ac:dyDescent="0.25">
      <c r="H17756" t="s">
        <v>20324</v>
      </c>
    </row>
    <row r="17757" spans="8:8" x14ac:dyDescent="0.25">
      <c r="H17757" t="s">
        <v>30</v>
      </c>
    </row>
    <row r="17759" spans="8:8" x14ac:dyDescent="0.25">
      <c r="H17759" t="s">
        <v>15628</v>
      </c>
    </row>
    <row r="17760" spans="8:8" x14ac:dyDescent="0.25">
      <c r="H17760" t="s">
        <v>15629</v>
      </c>
    </row>
    <row r="17761" spans="8:8" x14ac:dyDescent="0.25">
      <c r="H17761" t="s">
        <v>135</v>
      </c>
    </row>
    <row r="17762" spans="8:8" x14ac:dyDescent="0.25">
      <c r="H17762" t="s">
        <v>20325</v>
      </c>
    </row>
    <row r="17763" spans="8:8" x14ac:dyDescent="0.25">
      <c r="H17763" t="s">
        <v>30</v>
      </c>
    </row>
    <row r="17765" spans="8:8" x14ac:dyDescent="0.25">
      <c r="H17765" t="s">
        <v>15631</v>
      </c>
    </row>
    <row r="17766" spans="8:8" x14ac:dyDescent="0.25">
      <c r="H17766" t="s">
        <v>15632</v>
      </c>
    </row>
    <row r="17767" spans="8:8" x14ac:dyDescent="0.25">
      <c r="H17767" t="s">
        <v>135</v>
      </c>
    </row>
    <row r="17768" spans="8:8" x14ac:dyDescent="0.25">
      <c r="H17768" t="s">
        <v>20326</v>
      </c>
    </row>
    <row r="17769" spans="8:8" x14ac:dyDescent="0.25">
      <c r="H17769" t="s">
        <v>30</v>
      </c>
    </row>
    <row r="17771" spans="8:8" x14ac:dyDescent="0.25">
      <c r="H17771" t="s">
        <v>15634</v>
      </c>
    </row>
    <row r="17772" spans="8:8" x14ac:dyDescent="0.25">
      <c r="H17772" t="s">
        <v>15635</v>
      </c>
    </row>
    <row r="17773" spans="8:8" x14ac:dyDescent="0.25">
      <c r="H17773" t="s">
        <v>135</v>
      </c>
    </row>
    <row r="17774" spans="8:8" x14ac:dyDescent="0.25">
      <c r="H17774" t="s">
        <v>20327</v>
      </c>
    </row>
    <row r="17775" spans="8:8" x14ac:dyDescent="0.25">
      <c r="H17775" t="s">
        <v>30</v>
      </c>
    </row>
    <row r="17777" spans="8:8" x14ac:dyDescent="0.25">
      <c r="H17777" t="s">
        <v>15637</v>
      </c>
    </row>
    <row r="17778" spans="8:8" x14ac:dyDescent="0.25">
      <c r="H17778" t="s">
        <v>15638</v>
      </c>
    </row>
    <row r="17779" spans="8:8" x14ac:dyDescent="0.25">
      <c r="H17779" t="s">
        <v>135</v>
      </c>
    </row>
    <row r="17780" spans="8:8" x14ac:dyDescent="0.25">
      <c r="H17780" t="s">
        <v>20328</v>
      </c>
    </row>
    <row r="17781" spans="8:8" x14ac:dyDescent="0.25">
      <c r="H17781" t="s">
        <v>30</v>
      </c>
    </row>
    <row r="17783" spans="8:8" x14ac:dyDescent="0.25">
      <c r="H17783" t="s">
        <v>15640</v>
      </c>
    </row>
    <row r="17784" spans="8:8" x14ac:dyDescent="0.25">
      <c r="H17784" t="s">
        <v>15641</v>
      </c>
    </row>
    <row r="17785" spans="8:8" x14ac:dyDescent="0.25">
      <c r="H17785" t="s">
        <v>135</v>
      </c>
    </row>
    <row r="17786" spans="8:8" x14ac:dyDescent="0.25">
      <c r="H17786" t="s">
        <v>20329</v>
      </c>
    </row>
    <row r="17787" spans="8:8" x14ac:dyDescent="0.25">
      <c r="H17787" t="s">
        <v>30</v>
      </c>
    </row>
    <row r="17789" spans="8:8" x14ac:dyDescent="0.25">
      <c r="H17789" t="s">
        <v>15643</v>
      </c>
    </row>
    <row r="17790" spans="8:8" x14ac:dyDescent="0.25">
      <c r="H17790" t="s">
        <v>15644</v>
      </c>
    </row>
    <row r="17791" spans="8:8" x14ac:dyDescent="0.25">
      <c r="H17791" t="s">
        <v>135</v>
      </c>
    </row>
    <row r="17792" spans="8:8" x14ac:dyDescent="0.25">
      <c r="H17792" t="s">
        <v>20330</v>
      </c>
    </row>
    <row r="17793" spans="8:8" x14ac:dyDescent="0.25">
      <c r="H17793" t="s">
        <v>30</v>
      </c>
    </row>
    <row r="17795" spans="8:8" x14ac:dyDescent="0.25">
      <c r="H17795" t="s">
        <v>15646</v>
      </c>
    </row>
    <row r="17796" spans="8:8" x14ac:dyDescent="0.25">
      <c r="H17796" t="s">
        <v>15647</v>
      </c>
    </row>
    <row r="17797" spans="8:8" x14ac:dyDescent="0.25">
      <c r="H17797" t="s">
        <v>135</v>
      </c>
    </row>
    <row r="17798" spans="8:8" x14ac:dyDescent="0.25">
      <c r="H17798" t="s">
        <v>20331</v>
      </c>
    </row>
    <row r="17799" spans="8:8" x14ac:dyDescent="0.25">
      <c r="H17799" t="s">
        <v>30</v>
      </c>
    </row>
    <row r="17801" spans="8:8" x14ac:dyDescent="0.25">
      <c r="H17801" t="s">
        <v>15649</v>
      </c>
    </row>
    <row r="17802" spans="8:8" x14ac:dyDescent="0.25">
      <c r="H17802" t="s">
        <v>15650</v>
      </c>
    </row>
    <row r="17803" spans="8:8" x14ac:dyDescent="0.25">
      <c r="H17803" t="s">
        <v>135</v>
      </c>
    </row>
    <row r="17804" spans="8:8" x14ac:dyDescent="0.25">
      <c r="H17804" t="s">
        <v>20332</v>
      </c>
    </row>
    <row r="17805" spans="8:8" x14ac:dyDescent="0.25">
      <c r="H17805" t="s">
        <v>30</v>
      </c>
    </row>
    <row r="17807" spans="8:8" x14ac:dyDescent="0.25">
      <c r="H17807" t="s">
        <v>15652</v>
      </c>
    </row>
    <row r="17808" spans="8:8" x14ac:dyDescent="0.25">
      <c r="H17808" t="s">
        <v>15653</v>
      </c>
    </row>
    <row r="17809" spans="8:8" x14ac:dyDescent="0.25">
      <c r="H17809" t="s">
        <v>135</v>
      </c>
    </row>
    <row r="17810" spans="8:8" x14ac:dyDescent="0.25">
      <c r="H17810" t="s">
        <v>20333</v>
      </c>
    </row>
    <row r="17811" spans="8:8" x14ac:dyDescent="0.25">
      <c r="H17811" t="s">
        <v>30</v>
      </c>
    </row>
    <row r="17813" spans="8:8" x14ac:dyDescent="0.25">
      <c r="H17813" t="s">
        <v>15655</v>
      </c>
    </row>
    <row r="17814" spans="8:8" x14ac:dyDescent="0.25">
      <c r="H17814" t="s">
        <v>15656</v>
      </c>
    </row>
    <row r="17815" spans="8:8" x14ac:dyDescent="0.25">
      <c r="H17815" t="s">
        <v>135</v>
      </c>
    </row>
    <row r="17816" spans="8:8" x14ac:dyDescent="0.25">
      <c r="H17816" t="s">
        <v>20334</v>
      </c>
    </row>
    <row r="17817" spans="8:8" x14ac:dyDescent="0.25">
      <c r="H17817" t="s">
        <v>30</v>
      </c>
    </row>
    <row r="17819" spans="8:8" x14ac:dyDescent="0.25">
      <c r="H17819" t="s">
        <v>15658</v>
      </c>
    </row>
    <row r="17820" spans="8:8" x14ac:dyDescent="0.25">
      <c r="H17820" t="s">
        <v>15659</v>
      </c>
    </row>
    <row r="17821" spans="8:8" x14ac:dyDescent="0.25">
      <c r="H17821" t="s">
        <v>135</v>
      </c>
    </row>
    <row r="17822" spans="8:8" x14ac:dyDescent="0.25">
      <c r="H17822" t="s">
        <v>20335</v>
      </c>
    </row>
    <row r="17823" spans="8:8" x14ac:dyDescent="0.25">
      <c r="H17823" t="s">
        <v>30</v>
      </c>
    </row>
    <row r="17825" spans="8:8" x14ac:dyDescent="0.25">
      <c r="H17825" t="s">
        <v>15661</v>
      </c>
    </row>
    <row r="17826" spans="8:8" x14ac:dyDescent="0.25">
      <c r="H17826" t="s">
        <v>15662</v>
      </c>
    </row>
    <row r="17827" spans="8:8" x14ac:dyDescent="0.25">
      <c r="H17827" t="s">
        <v>135</v>
      </c>
    </row>
    <row r="17828" spans="8:8" x14ac:dyDescent="0.25">
      <c r="H17828" t="s">
        <v>20336</v>
      </c>
    </row>
    <row r="17829" spans="8:8" x14ac:dyDescent="0.25">
      <c r="H17829" t="s">
        <v>30</v>
      </c>
    </row>
    <row r="17831" spans="8:8" x14ac:dyDescent="0.25">
      <c r="H17831" t="s">
        <v>15664</v>
      </c>
    </row>
    <row r="17832" spans="8:8" x14ac:dyDescent="0.25">
      <c r="H17832" t="s">
        <v>15665</v>
      </c>
    </row>
    <row r="17833" spans="8:8" x14ac:dyDescent="0.25">
      <c r="H17833" t="s">
        <v>135</v>
      </c>
    </row>
    <row r="17834" spans="8:8" x14ac:dyDescent="0.25">
      <c r="H17834" t="s">
        <v>20337</v>
      </c>
    </row>
    <row r="17835" spans="8:8" x14ac:dyDescent="0.25">
      <c r="H17835" t="s">
        <v>30</v>
      </c>
    </row>
    <row r="17837" spans="8:8" x14ac:dyDescent="0.25">
      <c r="H17837" t="s">
        <v>15667</v>
      </c>
    </row>
    <row r="17838" spans="8:8" x14ac:dyDescent="0.25">
      <c r="H17838" t="s">
        <v>15668</v>
      </c>
    </row>
    <row r="17839" spans="8:8" x14ac:dyDescent="0.25">
      <c r="H17839" t="s">
        <v>135</v>
      </c>
    </row>
    <row r="17840" spans="8:8" x14ac:dyDescent="0.25">
      <c r="H17840" t="s">
        <v>20338</v>
      </c>
    </row>
    <row r="17841" spans="8:8" x14ac:dyDescent="0.25">
      <c r="H17841" t="s">
        <v>30</v>
      </c>
    </row>
    <row r="17843" spans="8:8" x14ac:dyDescent="0.25">
      <c r="H17843" t="s">
        <v>15670</v>
      </c>
    </row>
    <row r="17844" spans="8:8" x14ac:dyDescent="0.25">
      <c r="H17844" t="s">
        <v>15671</v>
      </c>
    </row>
    <row r="17845" spans="8:8" x14ac:dyDescent="0.25">
      <c r="H17845" t="s">
        <v>135</v>
      </c>
    </row>
    <row r="17846" spans="8:8" x14ac:dyDescent="0.25">
      <c r="H17846" t="s">
        <v>20339</v>
      </c>
    </row>
    <row r="17847" spans="8:8" x14ac:dyDescent="0.25">
      <c r="H17847" t="s">
        <v>30</v>
      </c>
    </row>
    <row r="17849" spans="8:8" x14ac:dyDescent="0.25">
      <c r="H17849" t="s">
        <v>15673</v>
      </c>
    </row>
    <row r="17850" spans="8:8" x14ac:dyDescent="0.25">
      <c r="H17850" t="s">
        <v>15674</v>
      </c>
    </row>
    <row r="17851" spans="8:8" x14ac:dyDescent="0.25">
      <c r="H17851" t="s">
        <v>135</v>
      </c>
    </row>
    <row r="17852" spans="8:8" x14ac:dyDescent="0.25">
      <c r="H17852" t="s">
        <v>20340</v>
      </c>
    </row>
    <row r="17853" spans="8:8" x14ac:dyDescent="0.25">
      <c r="H17853" t="s">
        <v>30</v>
      </c>
    </row>
    <row r="17855" spans="8:8" x14ac:dyDescent="0.25">
      <c r="H17855" t="s">
        <v>15676</v>
      </c>
    </row>
    <row r="17856" spans="8:8" x14ac:dyDescent="0.25">
      <c r="H17856" t="s">
        <v>15677</v>
      </c>
    </row>
    <row r="17857" spans="8:8" x14ac:dyDescent="0.25">
      <c r="H17857" t="s">
        <v>135</v>
      </c>
    </row>
    <row r="17858" spans="8:8" x14ac:dyDescent="0.25">
      <c r="H17858" t="s">
        <v>20341</v>
      </c>
    </row>
    <row r="17859" spans="8:8" x14ac:dyDescent="0.25">
      <c r="H17859" t="s">
        <v>30</v>
      </c>
    </row>
    <row r="17861" spans="8:8" x14ac:dyDescent="0.25">
      <c r="H17861" t="s">
        <v>15679</v>
      </c>
    </row>
    <row r="17862" spans="8:8" x14ac:dyDescent="0.25">
      <c r="H17862" t="s">
        <v>15680</v>
      </c>
    </row>
    <row r="17863" spans="8:8" x14ac:dyDescent="0.25">
      <c r="H17863" t="s">
        <v>135</v>
      </c>
    </row>
    <row r="17864" spans="8:8" x14ac:dyDescent="0.25">
      <c r="H17864" t="s">
        <v>20342</v>
      </c>
    </row>
    <row r="17865" spans="8:8" x14ac:dyDescent="0.25">
      <c r="H17865" t="s">
        <v>30</v>
      </c>
    </row>
    <row r="17867" spans="8:8" x14ac:dyDescent="0.25">
      <c r="H17867" t="s">
        <v>15682</v>
      </c>
    </row>
    <row r="17868" spans="8:8" x14ac:dyDescent="0.25">
      <c r="H17868" t="s">
        <v>15683</v>
      </c>
    </row>
    <row r="17869" spans="8:8" x14ac:dyDescent="0.25">
      <c r="H17869" t="s">
        <v>135</v>
      </c>
    </row>
    <row r="17870" spans="8:8" x14ac:dyDescent="0.25">
      <c r="H17870" t="s">
        <v>20343</v>
      </c>
    </row>
    <row r="17871" spans="8:8" x14ac:dyDescent="0.25">
      <c r="H17871" t="s">
        <v>30</v>
      </c>
    </row>
    <row r="17873" spans="8:8" x14ac:dyDescent="0.25">
      <c r="H17873" t="s">
        <v>15685</v>
      </c>
    </row>
    <row r="17874" spans="8:8" x14ac:dyDescent="0.25">
      <c r="H17874" t="s">
        <v>15686</v>
      </c>
    </row>
    <row r="17875" spans="8:8" x14ac:dyDescent="0.25">
      <c r="H17875" t="s">
        <v>135</v>
      </c>
    </row>
    <row r="17876" spans="8:8" x14ac:dyDescent="0.25">
      <c r="H17876" t="s">
        <v>20344</v>
      </c>
    </row>
    <row r="17877" spans="8:8" x14ac:dyDescent="0.25">
      <c r="H17877" t="s">
        <v>30</v>
      </c>
    </row>
    <row r="17879" spans="8:8" x14ac:dyDescent="0.25">
      <c r="H17879" t="s">
        <v>15688</v>
      </c>
    </row>
    <row r="17880" spans="8:8" x14ac:dyDescent="0.25">
      <c r="H17880" t="s">
        <v>15689</v>
      </c>
    </row>
    <row r="17881" spans="8:8" x14ac:dyDescent="0.25">
      <c r="H17881" t="s">
        <v>135</v>
      </c>
    </row>
    <row r="17882" spans="8:8" x14ac:dyDescent="0.25">
      <c r="H17882" t="s">
        <v>20345</v>
      </c>
    </row>
    <row r="17883" spans="8:8" x14ac:dyDescent="0.25">
      <c r="H17883" t="s">
        <v>30</v>
      </c>
    </row>
    <row r="17885" spans="8:8" x14ac:dyDescent="0.25">
      <c r="H17885" t="s">
        <v>15691</v>
      </c>
    </row>
    <row r="17886" spans="8:8" x14ac:dyDescent="0.25">
      <c r="H17886" t="s">
        <v>15692</v>
      </c>
    </row>
    <row r="17887" spans="8:8" x14ac:dyDescent="0.25">
      <c r="H17887" t="s">
        <v>135</v>
      </c>
    </row>
    <row r="17888" spans="8:8" x14ac:dyDescent="0.25">
      <c r="H17888" t="s">
        <v>20346</v>
      </c>
    </row>
    <row r="17889" spans="8:8" x14ac:dyDescent="0.25">
      <c r="H17889" t="s">
        <v>30</v>
      </c>
    </row>
    <row r="17891" spans="8:8" x14ac:dyDescent="0.25">
      <c r="H17891" t="s">
        <v>15694</v>
      </c>
    </row>
    <row r="17892" spans="8:8" x14ac:dyDescent="0.25">
      <c r="H17892" t="s">
        <v>15695</v>
      </c>
    </row>
    <row r="17893" spans="8:8" x14ac:dyDescent="0.25">
      <c r="H17893" t="s">
        <v>135</v>
      </c>
    </row>
    <row r="17894" spans="8:8" x14ac:dyDescent="0.25">
      <c r="H17894" t="s">
        <v>20347</v>
      </c>
    </row>
    <row r="17895" spans="8:8" x14ac:dyDescent="0.25">
      <c r="H17895" t="s">
        <v>30</v>
      </c>
    </row>
    <row r="17897" spans="8:8" x14ac:dyDescent="0.25">
      <c r="H17897" t="s">
        <v>15697</v>
      </c>
    </row>
    <row r="17898" spans="8:8" x14ac:dyDescent="0.25">
      <c r="H17898" t="s">
        <v>15698</v>
      </c>
    </row>
    <row r="17899" spans="8:8" x14ac:dyDescent="0.25">
      <c r="H17899" t="s">
        <v>135</v>
      </c>
    </row>
    <row r="17900" spans="8:8" x14ac:dyDescent="0.25">
      <c r="H17900" t="s">
        <v>20348</v>
      </c>
    </row>
    <row r="17901" spans="8:8" x14ac:dyDescent="0.25">
      <c r="H17901" t="s">
        <v>30</v>
      </c>
    </row>
    <row r="17903" spans="8:8" x14ac:dyDescent="0.25">
      <c r="H17903" t="s">
        <v>15700</v>
      </c>
    </row>
    <row r="17904" spans="8:8" x14ac:dyDescent="0.25">
      <c r="H17904" t="s">
        <v>15701</v>
      </c>
    </row>
    <row r="17905" spans="8:8" x14ac:dyDescent="0.25">
      <c r="H17905" t="s">
        <v>135</v>
      </c>
    </row>
    <row r="17906" spans="8:8" x14ac:dyDescent="0.25">
      <c r="H17906" t="s">
        <v>20349</v>
      </c>
    </row>
    <row r="17907" spans="8:8" x14ac:dyDescent="0.25">
      <c r="H17907" t="s">
        <v>30</v>
      </c>
    </row>
    <row r="17909" spans="8:8" x14ac:dyDescent="0.25">
      <c r="H17909" t="s">
        <v>15703</v>
      </c>
    </row>
    <row r="17910" spans="8:8" x14ac:dyDescent="0.25">
      <c r="H17910" t="s">
        <v>15704</v>
      </c>
    </row>
    <row r="17911" spans="8:8" x14ac:dyDescent="0.25">
      <c r="H17911" t="s">
        <v>135</v>
      </c>
    </row>
    <row r="17912" spans="8:8" x14ac:dyDescent="0.25">
      <c r="H17912" t="s">
        <v>20350</v>
      </c>
    </row>
    <row r="17913" spans="8:8" x14ac:dyDescent="0.25">
      <c r="H17913" t="s">
        <v>30</v>
      </c>
    </row>
    <row r="17915" spans="8:8" x14ac:dyDescent="0.25">
      <c r="H17915" t="s">
        <v>15706</v>
      </c>
    </row>
    <row r="17916" spans="8:8" x14ac:dyDescent="0.25">
      <c r="H17916" t="s">
        <v>15707</v>
      </c>
    </row>
    <row r="17917" spans="8:8" x14ac:dyDescent="0.25">
      <c r="H17917" t="s">
        <v>135</v>
      </c>
    </row>
    <row r="17918" spans="8:8" x14ac:dyDescent="0.25">
      <c r="H17918" t="s">
        <v>20351</v>
      </c>
    </row>
    <row r="17919" spans="8:8" x14ac:dyDescent="0.25">
      <c r="H17919" t="s">
        <v>30</v>
      </c>
    </row>
    <row r="17921" spans="8:8" x14ac:dyDescent="0.25">
      <c r="H17921" t="s">
        <v>15709</v>
      </c>
    </row>
    <row r="17922" spans="8:8" x14ac:dyDescent="0.25">
      <c r="H17922" t="s">
        <v>15710</v>
      </c>
    </row>
    <row r="17923" spans="8:8" x14ac:dyDescent="0.25">
      <c r="H17923" t="s">
        <v>135</v>
      </c>
    </row>
    <row r="17924" spans="8:8" x14ac:dyDescent="0.25">
      <c r="H17924" t="s">
        <v>20352</v>
      </c>
    </row>
    <row r="17925" spans="8:8" x14ac:dyDescent="0.25">
      <c r="H17925" t="s">
        <v>30</v>
      </c>
    </row>
    <row r="17927" spans="8:8" x14ac:dyDescent="0.25">
      <c r="H17927" t="s">
        <v>15712</v>
      </c>
    </row>
    <row r="17928" spans="8:8" x14ac:dyDescent="0.25">
      <c r="H17928" t="s">
        <v>15713</v>
      </c>
    </row>
    <row r="17929" spans="8:8" x14ac:dyDescent="0.25">
      <c r="H17929" t="s">
        <v>135</v>
      </c>
    </row>
    <row r="17930" spans="8:8" x14ac:dyDescent="0.25">
      <c r="H17930" t="s">
        <v>20353</v>
      </c>
    </row>
    <row r="17931" spans="8:8" x14ac:dyDescent="0.25">
      <c r="H17931" t="s">
        <v>30</v>
      </c>
    </row>
    <row r="17933" spans="8:8" x14ac:dyDescent="0.25">
      <c r="H17933" t="s">
        <v>15715</v>
      </c>
    </row>
    <row r="17934" spans="8:8" x14ac:dyDescent="0.25">
      <c r="H17934" t="s">
        <v>15716</v>
      </c>
    </row>
    <row r="17935" spans="8:8" x14ac:dyDescent="0.25">
      <c r="H17935" t="s">
        <v>135</v>
      </c>
    </row>
    <row r="17936" spans="8:8" x14ac:dyDescent="0.25">
      <c r="H17936" t="s">
        <v>20354</v>
      </c>
    </row>
    <row r="17937" spans="8:8" x14ac:dyDescent="0.25">
      <c r="H17937" t="s">
        <v>30</v>
      </c>
    </row>
    <row r="17939" spans="8:8" x14ac:dyDescent="0.25">
      <c r="H17939" t="s">
        <v>15718</v>
      </c>
    </row>
    <row r="17940" spans="8:8" x14ac:dyDescent="0.25">
      <c r="H17940" t="s">
        <v>15719</v>
      </c>
    </row>
    <row r="17941" spans="8:8" x14ac:dyDescent="0.25">
      <c r="H17941" t="s">
        <v>135</v>
      </c>
    </row>
    <row r="17942" spans="8:8" x14ac:dyDescent="0.25">
      <c r="H17942" t="s">
        <v>20355</v>
      </c>
    </row>
    <row r="17943" spans="8:8" x14ac:dyDescent="0.25">
      <c r="H17943" t="s">
        <v>30</v>
      </c>
    </row>
    <row r="17945" spans="8:8" x14ac:dyDescent="0.25">
      <c r="H17945" t="s">
        <v>15721</v>
      </c>
    </row>
    <row r="17946" spans="8:8" x14ac:dyDescent="0.25">
      <c r="H17946" t="s">
        <v>15722</v>
      </c>
    </row>
    <row r="17947" spans="8:8" x14ac:dyDescent="0.25">
      <c r="H17947" t="s">
        <v>135</v>
      </c>
    </row>
    <row r="17948" spans="8:8" x14ac:dyDescent="0.25">
      <c r="H17948" t="s">
        <v>20356</v>
      </c>
    </row>
    <row r="17949" spans="8:8" x14ac:dyDescent="0.25">
      <c r="H17949" t="s">
        <v>30</v>
      </c>
    </row>
    <row r="17951" spans="8:8" x14ac:dyDescent="0.25">
      <c r="H17951" t="s">
        <v>15724</v>
      </c>
    </row>
    <row r="17952" spans="8:8" x14ac:dyDescent="0.25">
      <c r="H17952" t="s">
        <v>15725</v>
      </c>
    </row>
    <row r="17953" spans="8:8" x14ac:dyDescent="0.25">
      <c r="H17953" t="s">
        <v>135</v>
      </c>
    </row>
    <row r="17954" spans="8:8" x14ac:dyDescent="0.25">
      <c r="H17954" t="s">
        <v>20357</v>
      </c>
    </row>
    <row r="17955" spans="8:8" x14ac:dyDescent="0.25">
      <c r="H17955" t="s">
        <v>30</v>
      </c>
    </row>
    <row r="17957" spans="8:8" x14ac:dyDescent="0.25">
      <c r="H17957" t="s">
        <v>15727</v>
      </c>
    </row>
    <row r="17958" spans="8:8" x14ac:dyDescent="0.25">
      <c r="H17958" t="s">
        <v>15728</v>
      </c>
    </row>
    <row r="17959" spans="8:8" x14ac:dyDescent="0.25">
      <c r="H17959" t="s">
        <v>135</v>
      </c>
    </row>
    <row r="17960" spans="8:8" x14ac:dyDescent="0.25">
      <c r="H17960" t="s">
        <v>20358</v>
      </c>
    </row>
    <row r="17961" spans="8:8" x14ac:dyDescent="0.25">
      <c r="H17961" t="s">
        <v>30</v>
      </c>
    </row>
    <row r="17963" spans="8:8" x14ac:dyDescent="0.25">
      <c r="H17963" t="s">
        <v>15730</v>
      </c>
    </row>
    <row r="17964" spans="8:8" x14ac:dyDescent="0.25">
      <c r="H17964" t="s">
        <v>15731</v>
      </c>
    </row>
    <row r="17965" spans="8:8" x14ac:dyDescent="0.25">
      <c r="H17965" t="s">
        <v>135</v>
      </c>
    </row>
    <row r="17966" spans="8:8" x14ac:dyDescent="0.25">
      <c r="H17966" t="s">
        <v>20359</v>
      </c>
    </row>
    <row r="17967" spans="8:8" x14ac:dyDescent="0.25">
      <c r="H17967" t="s">
        <v>30</v>
      </c>
    </row>
    <row r="17969" spans="8:8" x14ac:dyDescent="0.25">
      <c r="H17969" t="s">
        <v>15733</v>
      </c>
    </row>
    <row r="17970" spans="8:8" x14ac:dyDescent="0.25">
      <c r="H17970" t="s">
        <v>15734</v>
      </c>
    </row>
    <row r="17971" spans="8:8" x14ac:dyDescent="0.25">
      <c r="H17971" t="s">
        <v>135</v>
      </c>
    </row>
    <row r="17972" spans="8:8" x14ac:dyDescent="0.25">
      <c r="H17972" t="s">
        <v>20360</v>
      </c>
    </row>
    <row r="17973" spans="8:8" x14ac:dyDescent="0.25">
      <c r="H17973" t="s">
        <v>30</v>
      </c>
    </row>
    <row r="17975" spans="8:8" x14ac:dyDescent="0.25">
      <c r="H17975" t="s">
        <v>15736</v>
      </c>
    </row>
    <row r="17976" spans="8:8" x14ac:dyDescent="0.25">
      <c r="H17976" t="s">
        <v>15737</v>
      </c>
    </row>
    <row r="17977" spans="8:8" x14ac:dyDescent="0.25">
      <c r="H17977" t="s">
        <v>135</v>
      </c>
    </row>
    <row r="17978" spans="8:8" x14ac:dyDescent="0.25">
      <c r="H17978" t="s">
        <v>20361</v>
      </c>
    </row>
    <row r="17979" spans="8:8" x14ac:dyDescent="0.25">
      <c r="H17979" t="s">
        <v>30</v>
      </c>
    </row>
    <row r="17981" spans="8:8" x14ac:dyDescent="0.25">
      <c r="H17981" t="s">
        <v>15739</v>
      </c>
    </row>
    <row r="17982" spans="8:8" x14ac:dyDescent="0.25">
      <c r="H17982" t="s">
        <v>15740</v>
      </c>
    </row>
    <row r="17983" spans="8:8" x14ac:dyDescent="0.25">
      <c r="H17983" t="s">
        <v>135</v>
      </c>
    </row>
    <row r="17984" spans="8:8" x14ac:dyDescent="0.25">
      <c r="H17984" t="s">
        <v>20362</v>
      </c>
    </row>
    <row r="17985" spans="8:8" x14ac:dyDescent="0.25">
      <c r="H17985" t="s">
        <v>30</v>
      </c>
    </row>
    <row r="17987" spans="8:8" x14ac:dyDescent="0.25">
      <c r="H17987" t="s">
        <v>15742</v>
      </c>
    </row>
    <row r="17988" spans="8:8" x14ac:dyDescent="0.25">
      <c r="H17988" t="s">
        <v>15743</v>
      </c>
    </row>
    <row r="17989" spans="8:8" x14ac:dyDescent="0.25">
      <c r="H17989" t="s">
        <v>135</v>
      </c>
    </row>
    <row r="17990" spans="8:8" x14ac:dyDescent="0.25">
      <c r="H17990" t="s">
        <v>20363</v>
      </c>
    </row>
    <row r="17991" spans="8:8" x14ac:dyDescent="0.25">
      <c r="H17991" t="s">
        <v>30</v>
      </c>
    </row>
    <row r="17993" spans="8:8" x14ac:dyDescent="0.25">
      <c r="H17993" t="s">
        <v>15745</v>
      </c>
    </row>
    <row r="17994" spans="8:8" x14ac:dyDescent="0.25">
      <c r="H17994" t="s">
        <v>15746</v>
      </c>
    </row>
    <row r="17995" spans="8:8" x14ac:dyDescent="0.25">
      <c r="H17995" t="s">
        <v>135</v>
      </c>
    </row>
    <row r="17996" spans="8:8" x14ac:dyDescent="0.25">
      <c r="H17996" t="s">
        <v>20364</v>
      </c>
    </row>
    <row r="17997" spans="8:8" x14ac:dyDescent="0.25">
      <c r="H17997" t="s">
        <v>30</v>
      </c>
    </row>
    <row r="17999" spans="8:8" x14ac:dyDescent="0.25">
      <c r="H17999" t="s">
        <v>15748</v>
      </c>
    </row>
    <row r="18000" spans="8:8" x14ac:dyDescent="0.25">
      <c r="H18000" t="s">
        <v>15749</v>
      </c>
    </row>
    <row r="18001" spans="8:8" x14ac:dyDescent="0.25">
      <c r="H18001" t="s">
        <v>135</v>
      </c>
    </row>
    <row r="18002" spans="8:8" x14ac:dyDescent="0.25">
      <c r="H18002" t="s">
        <v>20365</v>
      </c>
    </row>
    <row r="18003" spans="8:8" x14ac:dyDescent="0.25">
      <c r="H18003" t="s">
        <v>30</v>
      </c>
    </row>
    <row r="18005" spans="8:8" x14ac:dyDescent="0.25">
      <c r="H18005" t="s">
        <v>15751</v>
      </c>
    </row>
    <row r="18006" spans="8:8" x14ac:dyDescent="0.25">
      <c r="H18006" t="s">
        <v>15752</v>
      </c>
    </row>
    <row r="18007" spans="8:8" x14ac:dyDescent="0.25">
      <c r="H18007" t="s">
        <v>135</v>
      </c>
    </row>
    <row r="18008" spans="8:8" x14ac:dyDescent="0.25">
      <c r="H18008" t="s">
        <v>20366</v>
      </c>
    </row>
    <row r="18009" spans="8:8" x14ac:dyDescent="0.25">
      <c r="H18009" t="s">
        <v>30</v>
      </c>
    </row>
    <row r="18011" spans="8:8" x14ac:dyDescent="0.25">
      <c r="H18011" t="s">
        <v>15754</v>
      </c>
    </row>
    <row r="18012" spans="8:8" x14ac:dyDescent="0.25">
      <c r="H18012" t="s">
        <v>15755</v>
      </c>
    </row>
    <row r="18013" spans="8:8" x14ac:dyDescent="0.25">
      <c r="H18013" t="s">
        <v>135</v>
      </c>
    </row>
    <row r="18014" spans="8:8" x14ac:dyDescent="0.25">
      <c r="H18014" t="s">
        <v>20367</v>
      </c>
    </row>
    <row r="18015" spans="8:8" x14ac:dyDescent="0.25">
      <c r="H18015" t="s">
        <v>30</v>
      </c>
    </row>
    <row r="18017" spans="8:8" x14ac:dyDescent="0.25">
      <c r="H18017" t="s">
        <v>15757</v>
      </c>
    </row>
    <row r="18018" spans="8:8" x14ac:dyDescent="0.25">
      <c r="H18018" t="s">
        <v>15758</v>
      </c>
    </row>
    <row r="18019" spans="8:8" x14ac:dyDescent="0.25">
      <c r="H18019" t="s">
        <v>135</v>
      </c>
    </row>
    <row r="18020" spans="8:8" x14ac:dyDescent="0.25">
      <c r="H18020" t="s">
        <v>20368</v>
      </c>
    </row>
    <row r="18021" spans="8:8" x14ac:dyDescent="0.25">
      <c r="H18021" t="s">
        <v>30</v>
      </c>
    </row>
    <row r="18023" spans="8:8" x14ac:dyDescent="0.25">
      <c r="H18023" t="s">
        <v>15760</v>
      </c>
    </row>
    <row r="18024" spans="8:8" x14ac:dyDescent="0.25">
      <c r="H18024" t="s">
        <v>15761</v>
      </c>
    </row>
    <row r="18025" spans="8:8" x14ac:dyDescent="0.25">
      <c r="H18025" t="s">
        <v>135</v>
      </c>
    </row>
    <row r="18026" spans="8:8" x14ac:dyDescent="0.25">
      <c r="H18026" t="s">
        <v>20369</v>
      </c>
    </row>
    <row r="18027" spans="8:8" x14ac:dyDescent="0.25">
      <c r="H18027" t="s">
        <v>30</v>
      </c>
    </row>
    <row r="18029" spans="8:8" x14ac:dyDescent="0.25">
      <c r="H18029" t="s">
        <v>15763</v>
      </c>
    </row>
    <row r="18030" spans="8:8" x14ac:dyDescent="0.25">
      <c r="H18030" t="s">
        <v>15764</v>
      </c>
    </row>
    <row r="18031" spans="8:8" x14ac:dyDescent="0.25">
      <c r="H18031" t="s">
        <v>135</v>
      </c>
    </row>
    <row r="18032" spans="8:8" x14ac:dyDescent="0.25">
      <c r="H18032" t="s">
        <v>20370</v>
      </c>
    </row>
    <row r="18033" spans="8:8" x14ac:dyDescent="0.25">
      <c r="H18033" t="s">
        <v>30</v>
      </c>
    </row>
    <row r="18035" spans="8:8" x14ac:dyDescent="0.25">
      <c r="H18035" t="s">
        <v>15766</v>
      </c>
    </row>
    <row r="18036" spans="8:8" x14ac:dyDescent="0.25">
      <c r="H18036" t="s">
        <v>15767</v>
      </c>
    </row>
    <row r="18037" spans="8:8" x14ac:dyDescent="0.25">
      <c r="H18037" t="s">
        <v>135</v>
      </c>
    </row>
    <row r="18038" spans="8:8" x14ac:dyDescent="0.25">
      <c r="H18038" t="s">
        <v>20371</v>
      </c>
    </row>
    <row r="18039" spans="8:8" x14ac:dyDescent="0.25">
      <c r="H18039" t="s">
        <v>30</v>
      </c>
    </row>
    <row r="18041" spans="8:8" x14ac:dyDescent="0.25">
      <c r="H18041" t="s">
        <v>15769</v>
      </c>
    </row>
    <row r="18042" spans="8:8" x14ac:dyDescent="0.25">
      <c r="H18042" t="s">
        <v>15770</v>
      </c>
    </row>
    <row r="18043" spans="8:8" x14ac:dyDescent="0.25">
      <c r="H18043" t="s">
        <v>135</v>
      </c>
    </row>
    <row r="18044" spans="8:8" x14ac:dyDescent="0.25">
      <c r="H18044" t="s">
        <v>20372</v>
      </c>
    </row>
    <row r="18045" spans="8:8" x14ac:dyDescent="0.25">
      <c r="H18045" t="s">
        <v>30</v>
      </c>
    </row>
    <row r="18047" spans="8:8" x14ac:dyDescent="0.25">
      <c r="H18047" t="s">
        <v>15772</v>
      </c>
    </row>
    <row r="18048" spans="8:8" x14ac:dyDescent="0.25">
      <c r="H18048" t="s">
        <v>15773</v>
      </c>
    </row>
    <row r="18049" spans="8:8" x14ac:dyDescent="0.25">
      <c r="H18049" t="s">
        <v>135</v>
      </c>
    </row>
    <row r="18050" spans="8:8" x14ac:dyDescent="0.25">
      <c r="H18050" t="s">
        <v>20373</v>
      </c>
    </row>
    <row r="18051" spans="8:8" x14ac:dyDescent="0.25">
      <c r="H18051" t="s">
        <v>30</v>
      </c>
    </row>
    <row r="18053" spans="8:8" x14ac:dyDescent="0.25">
      <c r="H18053" t="s">
        <v>15775</v>
      </c>
    </row>
    <row r="18054" spans="8:8" x14ac:dyDescent="0.25">
      <c r="H18054" t="s">
        <v>15776</v>
      </c>
    </row>
    <row r="18055" spans="8:8" x14ac:dyDescent="0.25">
      <c r="H18055" t="s">
        <v>135</v>
      </c>
    </row>
    <row r="18056" spans="8:8" x14ac:dyDescent="0.25">
      <c r="H18056" t="s">
        <v>20374</v>
      </c>
    </row>
    <row r="18057" spans="8:8" x14ac:dyDescent="0.25">
      <c r="H18057" t="s">
        <v>30</v>
      </c>
    </row>
    <row r="18059" spans="8:8" x14ac:dyDescent="0.25">
      <c r="H18059" t="s">
        <v>15778</v>
      </c>
    </row>
    <row r="18060" spans="8:8" x14ac:dyDescent="0.25">
      <c r="H18060" t="s">
        <v>15779</v>
      </c>
    </row>
    <row r="18061" spans="8:8" x14ac:dyDescent="0.25">
      <c r="H18061" t="s">
        <v>135</v>
      </c>
    </row>
    <row r="18062" spans="8:8" x14ac:dyDescent="0.25">
      <c r="H18062" t="s">
        <v>20375</v>
      </c>
    </row>
    <row r="18063" spans="8:8" x14ac:dyDescent="0.25">
      <c r="H18063" t="s">
        <v>30</v>
      </c>
    </row>
    <row r="18065" spans="8:8" x14ac:dyDescent="0.25">
      <c r="H18065" t="s">
        <v>15781</v>
      </c>
    </row>
    <row r="18066" spans="8:8" x14ac:dyDescent="0.25">
      <c r="H18066" t="s">
        <v>15782</v>
      </c>
    </row>
    <row r="18067" spans="8:8" x14ac:dyDescent="0.25">
      <c r="H18067" t="s">
        <v>135</v>
      </c>
    </row>
    <row r="18068" spans="8:8" x14ac:dyDescent="0.25">
      <c r="H18068" t="s">
        <v>20376</v>
      </c>
    </row>
    <row r="18069" spans="8:8" x14ac:dyDescent="0.25">
      <c r="H18069" t="s">
        <v>30</v>
      </c>
    </row>
    <row r="18071" spans="8:8" x14ac:dyDescent="0.25">
      <c r="H18071" t="s">
        <v>15784</v>
      </c>
    </row>
    <row r="18072" spans="8:8" x14ac:dyDescent="0.25">
      <c r="H18072" t="s">
        <v>15785</v>
      </c>
    </row>
    <row r="18073" spans="8:8" x14ac:dyDescent="0.25">
      <c r="H18073" t="s">
        <v>135</v>
      </c>
    </row>
    <row r="18074" spans="8:8" x14ac:dyDescent="0.25">
      <c r="H18074" t="s">
        <v>20377</v>
      </c>
    </row>
    <row r="18075" spans="8:8" x14ac:dyDescent="0.25">
      <c r="H18075" t="s">
        <v>30</v>
      </c>
    </row>
    <row r="18077" spans="8:8" x14ac:dyDescent="0.25">
      <c r="H18077" t="s">
        <v>15787</v>
      </c>
    </row>
    <row r="18078" spans="8:8" x14ac:dyDescent="0.25">
      <c r="H18078" t="s">
        <v>15788</v>
      </c>
    </row>
    <row r="18079" spans="8:8" x14ac:dyDescent="0.25">
      <c r="H18079" t="s">
        <v>135</v>
      </c>
    </row>
    <row r="18080" spans="8:8" x14ac:dyDescent="0.25">
      <c r="H18080" t="s">
        <v>20378</v>
      </c>
    </row>
    <row r="18081" spans="8:8" x14ac:dyDescent="0.25">
      <c r="H18081" t="s">
        <v>30</v>
      </c>
    </row>
    <row r="18083" spans="8:8" x14ac:dyDescent="0.25">
      <c r="H18083" t="s">
        <v>15790</v>
      </c>
    </row>
    <row r="18084" spans="8:8" x14ac:dyDescent="0.25">
      <c r="H18084" t="s">
        <v>15791</v>
      </c>
    </row>
    <row r="18085" spans="8:8" x14ac:dyDescent="0.25">
      <c r="H18085" t="s">
        <v>135</v>
      </c>
    </row>
    <row r="18086" spans="8:8" x14ac:dyDescent="0.25">
      <c r="H18086" t="s">
        <v>20379</v>
      </c>
    </row>
    <row r="18087" spans="8:8" x14ac:dyDescent="0.25">
      <c r="H18087" t="s">
        <v>30</v>
      </c>
    </row>
    <row r="18089" spans="8:8" x14ac:dyDescent="0.25">
      <c r="H18089" t="s">
        <v>15793</v>
      </c>
    </row>
    <row r="18090" spans="8:8" x14ac:dyDescent="0.25">
      <c r="H18090" t="s">
        <v>15794</v>
      </c>
    </row>
    <row r="18091" spans="8:8" x14ac:dyDescent="0.25">
      <c r="H18091" t="s">
        <v>135</v>
      </c>
    </row>
    <row r="18092" spans="8:8" x14ac:dyDescent="0.25">
      <c r="H18092" t="s">
        <v>20380</v>
      </c>
    </row>
    <row r="18093" spans="8:8" x14ac:dyDescent="0.25">
      <c r="H18093" t="s">
        <v>30</v>
      </c>
    </row>
    <row r="18095" spans="8:8" x14ac:dyDescent="0.25">
      <c r="H18095" t="s">
        <v>15796</v>
      </c>
    </row>
    <row r="18096" spans="8:8" x14ac:dyDescent="0.25">
      <c r="H18096" t="s">
        <v>15797</v>
      </c>
    </row>
    <row r="18097" spans="8:8" x14ac:dyDescent="0.25">
      <c r="H18097" t="s">
        <v>135</v>
      </c>
    </row>
    <row r="18098" spans="8:8" x14ac:dyDescent="0.25">
      <c r="H18098" t="s">
        <v>20381</v>
      </c>
    </row>
    <row r="18099" spans="8:8" x14ac:dyDescent="0.25">
      <c r="H18099" t="s">
        <v>30</v>
      </c>
    </row>
    <row r="18101" spans="8:8" x14ac:dyDescent="0.25">
      <c r="H18101" t="s">
        <v>15799</v>
      </c>
    </row>
    <row r="18102" spans="8:8" x14ac:dyDescent="0.25">
      <c r="H18102" t="s">
        <v>15800</v>
      </c>
    </row>
    <row r="18103" spans="8:8" x14ac:dyDescent="0.25">
      <c r="H18103" t="s">
        <v>135</v>
      </c>
    </row>
    <row r="18104" spans="8:8" x14ac:dyDescent="0.25">
      <c r="H18104" t="s">
        <v>20382</v>
      </c>
    </row>
    <row r="18105" spans="8:8" x14ac:dyDescent="0.25">
      <c r="H18105" t="s">
        <v>30</v>
      </c>
    </row>
    <row r="18107" spans="8:8" x14ac:dyDescent="0.25">
      <c r="H18107" t="s">
        <v>15802</v>
      </c>
    </row>
    <row r="18108" spans="8:8" x14ac:dyDescent="0.25">
      <c r="H18108" t="s">
        <v>15803</v>
      </c>
    </row>
    <row r="18109" spans="8:8" x14ac:dyDescent="0.25">
      <c r="H18109" t="s">
        <v>135</v>
      </c>
    </row>
    <row r="18110" spans="8:8" x14ac:dyDescent="0.25">
      <c r="H18110" t="s">
        <v>20383</v>
      </c>
    </row>
    <row r="18111" spans="8:8" x14ac:dyDescent="0.25">
      <c r="H18111" t="s">
        <v>30</v>
      </c>
    </row>
    <row r="18113" spans="8:8" x14ac:dyDescent="0.25">
      <c r="H18113" t="s">
        <v>15805</v>
      </c>
    </row>
    <row r="18114" spans="8:8" x14ac:dyDescent="0.25">
      <c r="H18114" t="s">
        <v>15806</v>
      </c>
    </row>
    <row r="18115" spans="8:8" x14ac:dyDescent="0.25">
      <c r="H18115" t="s">
        <v>135</v>
      </c>
    </row>
    <row r="18116" spans="8:8" x14ac:dyDescent="0.25">
      <c r="H18116" t="s">
        <v>20384</v>
      </c>
    </row>
    <row r="18117" spans="8:8" x14ac:dyDescent="0.25">
      <c r="H18117" t="s">
        <v>30</v>
      </c>
    </row>
    <row r="18119" spans="8:8" x14ac:dyDescent="0.25">
      <c r="H18119" t="s">
        <v>15808</v>
      </c>
    </row>
    <row r="18120" spans="8:8" x14ac:dyDescent="0.25">
      <c r="H18120" t="s">
        <v>15809</v>
      </c>
    </row>
    <row r="18121" spans="8:8" x14ac:dyDescent="0.25">
      <c r="H18121" t="s">
        <v>135</v>
      </c>
    </row>
    <row r="18122" spans="8:8" x14ac:dyDescent="0.25">
      <c r="H18122" t="s">
        <v>20385</v>
      </c>
    </row>
    <row r="18123" spans="8:8" x14ac:dyDescent="0.25">
      <c r="H18123" t="s">
        <v>30</v>
      </c>
    </row>
    <row r="18125" spans="8:8" x14ac:dyDescent="0.25">
      <c r="H18125" t="s">
        <v>15811</v>
      </c>
    </row>
    <row r="18126" spans="8:8" x14ac:dyDescent="0.25">
      <c r="H18126" t="s">
        <v>15812</v>
      </c>
    </row>
    <row r="18127" spans="8:8" x14ac:dyDescent="0.25">
      <c r="H18127" t="s">
        <v>135</v>
      </c>
    </row>
    <row r="18128" spans="8:8" x14ac:dyDescent="0.25">
      <c r="H18128" t="s">
        <v>20386</v>
      </c>
    </row>
    <row r="18129" spans="8:8" x14ac:dyDescent="0.25">
      <c r="H18129" t="s">
        <v>30</v>
      </c>
    </row>
    <row r="18131" spans="8:8" x14ac:dyDescent="0.25">
      <c r="H18131" t="s">
        <v>15814</v>
      </c>
    </row>
    <row r="18132" spans="8:8" x14ac:dyDescent="0.25">
      <c r="H18132" t="s">
        <v>15815</v>
      </c>
    </row>
    <row r="18133" spans="8:8" x14ac:dyDescent="0.25">
      <c r="H18133" t="s">
        <v>135</v>
      </c>
    </row>
    <row r="18134" spans="8:8" x14ac:dyDescent="0.25">
      <c r="H18134" t="s">
        <v>20387</v>
      </c>
    </row>
    <row r="18135" spans="8:8" x14ac:dyDescent="0.25">
      <c r="H18135" t="s">
        <v>30</v>
      </c>
    </row>
    <row r="18137" spans="8:8" x14ac:dyDescent="0.25">
      <c r="H18137" t="s">
        <v>15817</v>
      </c>
    </row>
    <row r="18138" spans="8:8" x14ac:dyDescent="0.25">
      <c r="H18138" t="s">
        <v>15818</v>
      </c>
    </row>
    <row r="18139" spans="8:8" x14ac:dyDescent="0.25">
      <c r="H18139" t="s">
        <v>135</v>
      </c>
    </row>
    <row r="18140" spans="8:8" x14ac:dyDescent="0.25">
      <c r="H18140" t="s">
        <v>20388</v>
      </c>
    </row>
    <row r="18141" spans="8:8" x14ac:dyDescent="0.25">
      <c r="H18141" t="s">
        <v>30</v>
      </c>
    </row>
    <row r="18143" spans="8:8" x14ac:dyDescent="0.25">
      <c r="H18143" t="s">
        <v>15820</v>
      </c>
    </row>
    <row r="18144" spans="8:8" x14ac:dyDescent="0.25">
      <c r="H18144" t="s">
        <v>15821</v>
      </c>
    </row>
    <row r="18145" spans="8:8" x14ac:dyDescent="0.25">
      <c r="H18145" t="s">
        <v>135</v>
      </c>
    </row>
    <row r="18146" spans="8:8" x14ac:dyDescent="0.25">
      <c r="H18146" t="s">
        <v>20389</v>
      </c>
    </row>
    <row r="18147" spans="8:8" x14ac:dyDescent="0.25">
      <c r="H18147" t="s">
        <v>30</v>
      </c>
    </row>
    <row r="18149" spans="8:8" x14ac:dyDescent="0.25">
      <c r="H18149" t="s">
        <v>15823</v>
      </c>
    </row>
    <row r="18150" spans="8:8" x14ac:dyDescent="0.25">
      <c r="H18150" t="s">
        <v>15824</v>
      </c>
    </row>
    <row r="18151" spans="8:8" x14ac:dyDescent="0.25">
      <c r="H18151" t="s">
        <v>135</v>
      </c>
    </row>
    <row r="18152" spans="8:8" x14ac:dyDescent="0.25">
      <c r="H18152" t="s">
        <v>20390</v>
      </c>
    </row>
    <row r="18153" spans="8:8" x14ac:dyDescent="0.25">
      <c r="H18153" t="s">
        <v>30</v>
      </c>
    </row>
    <row r="18154" spans="8:8" x14ac:dyDescent="0.25">
      <c r="H18154" t="s">
        <v>15826</v>
      </c>
    </row>
    <row r="18155" spans="8:8" x14ac:dyDescent="0.25">
      <c r="H18155" t="s">
        <v>136</v>
      </c>
    </row>
    <row r="18156" spans="8:8" x14ac:dyDescent="0.25">
      <c r="H18156" t="s">
        <v>20391</v>
      </c>
    </row>
    <row r="18157" spans="8:8" x14ac:dyDescent="0.25">
      <c r="H18157" t="s">
        <v>30</v>
      </c>
    </row>
    <row r="18158" spans="8:8" x14ac:dyDescent="0.25">
      <c r="H18158" t="s">
        <v>15828</v>
      </c>
    </row>
    <row r="18159" spans="8:8" x14ac:dyDescent="0.25">
      <c r="H18159" t="s">
        <v>137</v>
      </c>
    </row>
    <row r="18160" spans="8:8" x14ac:dyDescent="0.25">
      <c r="H18160" t="s">
        <v>20392</v>
      </c>
    </row>
    <row r="18161" spans="8:8" x14ac:dyDescent="0.25">
      <c r="H18161" t="s">
        <v>30</v>
      </c>
    </row>
    <row r="18162" spans="8:8" x14ac:dyDescent="0.25">
      <c r="H18162" t="s">
        <v>138</v>
      </c>
    </row>
    <row r="18163" spans="8:8" x14ac:dyDescent="0.25">
      <c r="H18163" t="s">
        <v>20393</v>
      </c>
    </row>
    <row r="18164" spans="8:8" x14ac:dyDescent="0.25">
      <c r="H18164" t="s">
        <v>30</v>
      </c>
    </row>
    <row r="18166" spans="8:8" x14ac:dyDescent="0.25">
      <c r="H18166" t="s">
        <v>15831</v>
      </c>
    </row>
    <row r="18167" spans="8:8" x14ac:dyDescent="0.25">
      <c r="H18167" t="s">
        <v>15832</v>
      </c>
    </row>
    <row r="18168" spans="8:8" x14ac:dyDescent="0.25">
      <c r="H18168" t="s">
        <v>135</v>
      </c>
    </row>
    <row r="18169" spans="8:8" x14ac:dyDescent="0.25">
      <c r="H18169" t="s">
        <v>20394</v>
      </c>
    </row>
    <row r="18170" spans="8:8" x14ac:dyDescent="0.25">
      <c r="H18170" t="s">
        <v>30</v>
      </c>
    </row>
    <row r="18171" spans="8:8" x14ac:dyDescent="0.25">
      <c r="H18171" t="s">
        <v>136</v>
      </c>
    </row>
    <row r="18172" spans="8:8" x14ac:dyDescent="0.25">
      <c r="H18172" t="s">
        <v>20395</v>
      </c>
    </row>
    <row r="18173" spans="8:8" x14ac:dyDescent="0.25">
      <c r="H18173" t="s">
        <v>30</v>
      </c>
    </row>
    <row r="18174" spans="8:8" x14ac:dyDescent="0.25">
      <c r="H18174" t="s">
        <v>15835</v>
      </c>
    </row>
    <row r="18175" spans="8:8" x14ac:dyDescent="0.25">
      <c r="H18175" t="s">
        <v>137</v>
      </c>
    </row>
    <row r="18176" spans="8:8" x14ac:dyDescent="0.25">
      <c r="H18176" t="s">
        <v>20396</v>
      </c>
    </row>
    <row r="18177" spans="8:8" x14ac:dyDescent="0.25">
      <c r="H18177" t="s">
        <v>30</v>
      </c>
    </row>
    <row r="18178" spans="8:8" x14ac:dyDescent="0.25">
      <c r="H18178" t="s">
        <v>138</v>
      </c>
    </row>
    <row r="18179" spans="8:8" x14ac:dyDescent="0.25">
      <c r="H18179" t="s">
        <v>20397</v>
      </c>
    </row>
    <row r="18180" spans="8:8" x14ac:dyDescent="0.25">
      <c r="H18180" t="s">
        <v>30</v>
      </c>
    </row>
    <row r="18182" spans="8:8" x14ac:dyDescent="0.25">
      <c r="H18182" t="s">
        <v>15838</v>
      </c>
    </row>
    <row r="18183" spans="8:8" x14ac:dyDescent="0.25">
      <c r="H18183" t="s">
        <v>15839</v>
      </c>
    </row>
    <row r="18184" spans="8:8" x14ac:dyDescent="0.25">
      <c r="H18184" t="s">
        <v>135</v>
      </c>
    </row>
    <row r="18185" spans="8:8" x14ac:dyDescent="0.25">
      <c r="H18185" t="s">
        <v>20398</v>
      </c>
    </row>
    <row r="18186" spans="8:8" x14ac:dyDescent="0.25">
      <c r="H18186" t="s">
        <v>30</v>
      </c>
    </row>
    <row r="18187" spans="8:8" x14ac:dyDescent="0.25">
      <c r="H18187" t="s">
        <v>15841</v>
      </c>
    </row>
    <row r="18188" spans="8:8" x14ac:dyDescent="0.25">
      <c r="H18188" t="s">
        <v>137</v>
      </c>
    </row>
    <row r="18189" spans="8:8" x14ac:dyDescent="0.25">
      <c r="H18189" t="s">
        <v>20399</v>
      </c>
    </row>
    <row r="18190" spans="8:8" x14ac:dyDescent="0.25">
      <c r="H18190" t="s">
        <v>30</v>
      </c>
    </row>
    <row r="18191" spans="8:8" x14ac:dyDescent="0.25">
      <c r="H18191" t="s">
        <v>138</v>
      </c>
    </row>
    <row r="18192" spans="8:8" x14ac:dyDescent="0.25">
      <c r="H18192" t="s">
        <v>20400</v>
      </c>
    </row>
    <row r="18193" spans="8:8" x14ac:dyDescent="0.25">
      <c r="H18193" t="s">
        <v>30</v>
      </c>
    </row>
    <row r="18195" spans="8:8" x14ac:dyDescent="0.25">
      <c r="H18195" t="s">
        <v>28</v>
      </c>
    </row>
    <row r="18196" spans="8:8" x14ac:dyDescent="0.25">
      <c r="H18196" t="s">
        <v>120</v>
      </c>
    </row>
    <row r="18197" spans="8:8" x14ac:dyDescent="0.25">
      <c r="H18197" t="s">
        <v>38</v>
      </c>
    </row>
    <row r="18199" spans="8:8" x14ac:dyDescent="0.25">
      <c r="H18199" t="s">
        <v>29</v>
      </c>
    </row>
    <row r="18200" spans="8:8" x14ac:dyDescent="0.25">
      <c r="H18200" s="7" t="s">
        <v>84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3035"/>
  <sheetViews>
    <sheetView zoomScaleNormal="100"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17</v>
      </c>
      <c r="H2" s="1" t="s">
        <v>88</v>
      </c>
      <c r="I2" s="1" t="s">
        <v>89</v>
      </c>
    </row>
    <row r="3" spans="2:9" x14ac:dyDescent="0.25">
      <c r="B3" t="s">
        <v>107</v>
      </c>
      <c r="H3" t="s">
        <v>117</v>
      </c>
      <c r="I3" t="s">
        <v>118</v>
      </c>
    </row>
    <row r="5" spans="2:9" x14ac:dyDescent="0.25">
      <c r="B5" s="1" t="s">
        <v>18</v>
      </c>
      <c r="H5" t="s">
        <v>20401</v>
      </c>
      <c r="I5" s="7" t="s">
        <v>84</v>
      </c>
    </row>
    <row r="6" spans="2:9" x14ac:dyDescent="0.25">
      <c r="B6" t="s">
        <v>125</v>
      </c>
      <c r="H6" t="s">
        <v>20402</v>
      </c>
    </row>
    <row r="7" spans="2:9" x14ac:dyDescent="0.25">
      <c r="H7" t="s">
        <v>20403</v>
      </c>
    </row>
    <row r="8" spans="2:9" x14ac:dyDescent="0.25">
      <c r="B8" s="1" t="s">
        <v>19</v>
      </c>
      <c r="H8" t="s">
        <v>20404</v>
      </c>
    </row>
    <row r="9" spans="2:9" x14ac:dyDescent="0.25">
      <c r="B9" t="s">
        <v>126</v>
      </c>
      <c r="H9" t="s">
        <v>20405</v>
      </c>
    </row>
    <row r="10" spans="2:9" x14ac:dyDescent="0.25">
      <c r="H10" t="s">
        <v>20406</v>
      </c>
    </row>
    <row r="11" spans="2:9" x14ac:dyDescent="0.25">
      <c r="B11" s="1" t="s">
        <v>12</v>
      </c>
      <c r="H11" t="s">
        <v>20407</v>
      </c>
    </row>
    <row r="12" spans="2:9" x14ac:dyDescent="0.25">
      <c r="B12" t="s">
        <v>14</v>
      </c>
      <c r="H12" t="s">
        <v>20408</v>
      </c>
    </row>
    <row r="13" spans="2:9" x14ac:dyDescent="0.25">
      <c r="H13" t="s">
        <v>20409</v>
      </c>
    </row>
    <row r="14" spans="2:9" x14ac:dyDescent="0.25">
      <c r="B14" s="1" t="s">
        <v>35</v>
      </c>
      <c r="H14" t="s">
        <v>23478</v>
      </c>
    </row>
    <row r="15" spans="2:9" x14ac:dyDescent="0.25">
      <c r="B15" t="s">
        <v>34</v>
      </c>
      <c r="H15" t="s">
        <v>20410</v>
      </c>
    </row>
    <row r="16" spans="2:9" x14ac:dyDescent="0.25">
      <c r="H16" t="s">
        <v>20411</v>
      </c>
    </row>
    <row r="17" spans="2:8" x14ac:dyDescent="0.25">
      <c r="B17" s="1" t="s">
        <v>20</v>
      </c>
      <c r="H17" t="s">
        <v>20412</v>
      </c>
    </row>
    <row r="18" spans="2:8" x14ac:dyDescent="0.25">
      <c r="B18" t="s">
        <v>129</v>
      </c>
      <c r="H18" t="s">
        <v>20413</v>
      </c>
    </row>
    <row r="19" spans="2:8" x14ac:dyDescent="0.25">
      <c r="H19" t="s">
        <v>20414</v>
      </c>
    </row>
    <row r="20" spans="2:8" x14ac:dyDescent="0.25">
      <c r="B20" s="1"/>
      <c r="H20" t="s">
        <v>20415</v>
      </c>
    </row>
    <row r="21" spans="2:8" x14ac:dyDescent="0.25">
      <c r="H21" t="s">
        <v>20416</v>
      </c>
    </row>
    <row r="22" spans="2:8" x14ac:dyDescent="0.25">
      <c r="H22" t="s">
        <v>20417</v>
      </c>
    </row>
    <row r="23" spans="2:8" x14ac:dyDescent="0.25">
      <c r="H23" t="s">
        <v>20418</v>
      </c>
    </row>
    <row r="24" spans="2:8" x14ac:dyDescent="0.25">
      <c r="H24" t="s">
        <v>20419</v>
      </c>
    </row>
    <row r="25" spans="2:8" x14ac:dyDescent="0.25">
      <c r="H25" t="s">
        <v>20420</v>
      </c>
    </row>
    <row r="26" spans="2:8" x14ac:dyDescent="0.25">
      <c r="H26" t="s">
        <v>20421</v>
      </c>
    </row>
    <row r="27" spans="2:8" x14ac:dyDescent="0.25">
      <c r="H27" t="s">
        <v>20422</v>
      </c>
    </row>
    <row r="28" spans="2:8" x14ac:dyDescent="0.25">
      <c r="H28" t="s">
        <v>23434</v>
      </c>
    </row>
    <row r="29" spans="2:8" x14ac:dyDescent="0.25">
      <c r="H29" t="s">
        <v>20423</v>
      </c>
    </row>
    <row r="30" spans="2:8" x14ac:dyDescent="0.25">
      <c r="H30" t="s">
        <v>20424</v>
      </c>
    </row>
    <row r="31" spans="2:8" x14ac:dyDescent="0.25">
      <c r="H31" t="s">
        <v>20425</v>
      </c>
    </row>
    <row r="32" spans="2:8" x14ac:dyDescent="0.25">
      <c r="H32" t="s">
        <v>23479</v>
      </c>
    </row>
    <row r="33" spans="8:8" x14ac:dyDescent="0.25">
      <c r="H33" t="s">
        <v>20426</v>
      </c>
    </row>
    <row r="34" spans="8:8" x14ac:dyDescent="0.25">
      <c r="H34" t="s">
        <v>20427</v>
      </c>
    </row>
    <row r="35" spans="8:8" x14ac:dyDescent="0.25">
      <c r="H35" t="s">
        <v>20428</v>
      </c>
    </row>
    <row r="36" spans="8:8" x14ac:dyDescent="0.25">
      <c r="H36" t="s">
        <v>20429</v>
      </c>
    </row>
    <row r="37" spans="8:8" x14ac:dyDescent="0.25">
      <c r="H37" t="s">
        <v>20430</v>
      </c>
    </row>
    <row r="38" spans="8:8" x14ac:dyDescent="0.25">
      <c r="H38" t="s">
        <v>20431</v>
      </c>
    </row>
    <row r="39" spans="8:8" x14ac:dyDescent="0.25">
      <c r="H39" t="s">
        <v>20432</v>
      </c>
    </row>
    <row r="40" spans="8:8" x14ac:dyDescent="0.25">
      <c r="H40" t="s">
        <v>20433</v>
      </c>
    </row>
    <row r="41" spans="8:8" x14ac:dyDescent="0.25">
      <c r="H41" t="s">
        <v>20434</v>
      </c>
    </row>
    <row r="42" spans="8:8" x14ac:dyDescent="0.25">
      <c r="H42" t="s">
        <v>20435</v>
      </c>
    </row>
    <row r="43" spans="8:8" x14ac:dyDescent="0.25">
      <c r="H43" t="s">
        <v>20436</v>
      </c>
    </row>
    <row r="44" spans="8:8" x14ac:dyDescent="0.25">
      <c r="H44" t="s">
        <v>20437</v>
      </c>
    </row>
    <row r="45" spans="8:8" x14ac:dyDescent="0.25">
      <c r="H45" t="s">
        <v>20438</v>
      </c>
    </row>
    <row r="46" spans="8:8" x14ac:dyDescent="0.25">
      <c r="H46" t="s">
        <v>23480</v>
      </c>
    </row>
    <row r="47" spans="8:8" x14ac:dyDescent="0.25">
      <c r="H47" t="s">
        <v>20439</v>
      </c>
    </row>
    <row r="48" spans="8:8" x14ac:dyDescent="0.25">
      <c r="H48" t="s">
        <v>20440</v>
      </c>
    </row>
    <row r="49" spans="8:8" x14ac:dyDescent="0.25">
      <c r="H49" t="s">
        <v>20441</v>
      </c>
    </row>
    <row r="50" spans="8:8" x14ac:dyDescent="0.25">
      <c r="H50" t="s">
        <v>20442</v>
      </c>
    </row>
    <row r="51" spans="8:8" x14ac:dyDescent="0.25">
      <c r="H51" t="s">
        <v>20443</v>
      </c>
    </row>
    <row r="52" spans="8:8" x14ac:dyDescent="0.25">
      <c r="H52" t="s">
        <v>20444</v>
      </c>
    </row>
    <row r="53" spans="8:8" x14ac:dyDescent="0.25">
      <c r="H53" t="s">
        <v>20445</v>
      </c>
    </row>
    <row r="54" spans="8:8" x14ac:dyDescent="0.25">
      <c r="H54" t="s">
        <v>20446</v>
      </c>
    </row>
    <row r="55" spans="8:8" x14ac:dyDescent="0.25">
      <c r="H55" t="s">
        <v>20447</v>
      </c>
    </row>
    <row r="56" spans="8:8" x14ac:dyDescent="0.25">
      <c r="H56" t="s">
        <v>20448</v>
      </c>
    </row>
    <row r="57" spans="8:8" x14ac:dyDescent="0.25">
      <c r="H57" t="s">
        <v>20449</v>
      </c>
    </row>
    <row r="58" spans="8:8" x14ac:dyDescent="0.25">
      <c r="H58" t="s">
        <v>20450</v>
      </c>
    </row>
    <row r="59" spans="8:8" x14ac:dyDescent="0.25">
      <c r="H59" t="s">
        <v>20451</v>
      </c>
    </row>
    <row r="60" spans="8:8" x14ac:dyDescent="0.25">
      <c r="H60" t="s">
        <v>20452</v>
      </c>
    </row>
    <row r="61" spans="8:8" x14ac:dyDescent="0.25">
      <c r="H61" t="s">
        <v>20453</v>
      </c>
    </row>
    <row r="62" spans="8:8" x14ac:dyDescent="0.25">
      <c r="H62" t="s">
        <v>20454</v>
      </c>
    </row>
    <row r="63" spans="8:8" x14ac:dyDescent="0.25">
      <c r="H63" t="s">
        <v>20455</v>
      </c>
    </row>
    <row r="64" spans="8:8" x14ac:dyDescent="0.25">
      <c r="H64" t="s">
        <v>20456</v>
      </c>
    </row>
    <row r="65" spans="8:8" x14ac:dyDescent="0.25">
      <c r="H65" t="s">
        <v>20457</v>
      </c>
    </row>
    <row r="66" spans="8:8" x14ac:dyDescent="0.25">
      <c r="H66" t="s">
        <v>20458</v>
      </c>
    </row>
    <row r="67" spans="8:8" x14ac:dyDescent="0.25">
      <c r="H67" t="s">
        <v>20459</v>
      </c>
    </row>
    <row r="68" spans="8:8" x14ac:dyDescent="0.25">
      <c r="H68" t="s">
        <v>20460</v>
      </c>
    </row>
    <row r="69" spans="8:8" x14ac:dyDescent="0.25">
      <c r="H69" t="s">
        <v>20461</v>
      </c>
    </row>
    <row r="70" spans="8:8" x14ac:dyDescent="0.25">
      <c r="H70" t="s">
        <v>20462</v>
      </c>
    </row>
    <row r="71" spans="8:8" x14ac:dyDescent="0.25">
      <c r="H71" t="s">
        <v>20463</v>
      </c>
    </row>
    <row r="72" spans="8:8" x14ac:dyDescent="0.25">
      <c r="H72" t="s">
        <v>20464</v>
      </c>
    </row>
    <row r="73" spans="8:8" x14ac:dyDescent="0.25">
      <c r="H73" t="s">
        <v>20465</v>
      </c>
    </row>
    <row r="74" spans="8:8" x14ac:dyDescent="0.25">
      <c r="H74" t="s">
        <v>20466</v>
      </c>
    </row>
    <row r="75" spans="8:8" x14ac:dyDescent="0.25">
      <c r="H75" t="s">
        <v>20467</v>
      </c>
    </row>
    <row r="76" spans="8:8" x14ac:dyDescent="0.25">
      <c r="H76" t="s">
        <v>20468</v>
      </c>
    </row>
    <row r="77" spans="8:8" x14ac:dyDescent="0.25">
      <c r="H77" t="s">
        <v>20469</v>
      </c>
    </row>
    <row r="78" spans="8:8" x14ac:dyDescent="0.25">
      <c r="H78" t="s">
        <v>20470</v>
      </c>
    </row>
    <row r="79" spans="8:8" x14ac:dyDescent="0.25">
      <c r="H79" t="s">
        <v>20471</v>
      </c>
    </row>
    <row r="80" spans="8:8" x14ac:dyDescent="0.25">
      <c r="H80" t="s">
        <v>20472</v>
      </c>
    </row>
    <row r="81" spans="8:8" x14ac:dyDescent="0.25">
      <c r="H81" t="s">
        <v>20473</v>
      </c>
    </row>
    <row r="82" spans="8:8" x14ac:dyDescent="0.25">
      <c r="H82" t="s">
        <v>20474</v>
      </c>
    </row>
    <row r="83" spans="8:8" x14ac:dyDescent="0.25">
      <c r="H83" t="s">
        <v>20475</v>
      </c>
    </row>
    <row r="84" spans="8:8" x14ac:dyDescent="0.25">
      <c r="H84" t="s">
        <v>20476</v>
      </c>
    </row>
    <row r="85" spans="8:8" x14ac:dyDescent="0.25">
      <c r="H85" t="s">
        <v>20477</v>
      </c>
    </row>
    <row r="86" spans="8:8" x14ac:dyDescent="0.25">
      <c r="H86" t="s">
        <v>20478</v>
      </c>
    </row>
    <row r="87" spans="8:8" x14ac:dyDescent="0.25">
      <c r="H87" t="s">
        <v>20479</v>
      </c>
    </row>
    <row r="88" spans="8:8" x14ac:dyDescent="0.25">
      <c r="H88" t="s">
        <v>20480</v>
      </c>
    </row>
    <row r="89" spans="8:8" x14ac:dyDescent="0.25">
      <c r="H89" t="s">
        <v>20481</v>
      </c>
    </row>
    <row r="90" spans="8:8" x14ac:dyDescent="0.25">
      <c r="H90" t="s">
        <v>20482</v>
      </c>
    </row>
    <row r="91" spans="8:8" x14ac:dyDescent="0.25">
      <c r="H91" t="s">
        <v>20483</v>
      </c>
    </row>
    <row r="92" spans="8:8" x14ac:dyDescent="0.25">
      <c r="H92" t="s">
        <v>20484</v>
      </c>
    </row>
    <row r="93" spans="8:8" x14ac:dyDescent="0.25">
      <c r="H93" t="s">
        <v>20485</v>
      </c>
    </row>
    <row r="94" spans="8:8" x14ac:dyDescent="0.25">
      <c r="H94" t="s">
        <v>20486</v>
      </c>
    </row>
    <row r="95" spans="8:8" x14ac:dyDescent="0.25">
      <c r="H95" t="s">
        <v>20487</v>
      </c>
    </row>
    <row r="96" spans="8:8" x14ac:dyDescent="0.25">
      <c r="H96" t="s">
        <v>23481</v>
      </c>
    </row>
    <row r="97" spans="8:8" x14ac:dyDescent="0.25">
      <c r="H97" t="s">
        <v>20488</v>
      </c>
    </row>
    <row r="98" spans="8:8" x14ac:dyDescent="0.25">
      <c r="H98" t="s">
        <v>20489</v>
      </c>
    </row>
    <row r="99" spans="8:8" x14ac:dyDescent="0.25">
      <c r="H99" t="s">
        <v>20490</v>
      </c>
    </row>
    <row r="100" spans="8:8" x14ac:dyDescent="0.25">
      <c r="H100" t="s">
        <v>20491</v>
      </c>
    </row>
    <row r="101" spans="8:8" x14ac:dyDescent="0.25">
      <c r="H101" t="s">
        <v>20492</v>
      </c>
    </row>
    <row r="102" spans="8:8" x14ac:dyDescent="0.25">
      <c r="H102" t="s">
        <v>20493</v>
      </c>
    </row>
    <row r="103" spans="8:8" x14ac:dyDescent="0.25">
      <c r="H103" t="s">
        <v>20494</v>
      </c>
    </row>
    <row r="104" spans="8:8" x14ac:dyDescent="0.25">
      <c r="H104" t="s">
        <v>20495</v>
      </c>
    </row>
    <row r="105" spans="8:8" x14ac:dyDescent="0.25">
      <c r="H105" t="s">
        <v>20496</v>
      </c>
    </row>
    <row r="106" spans="8:8" x14ac:dyDescent="0.25">
      <c r="H106" t="s">
        <v>23482</v>
      </c>
    </row>
    <row r="107" spans="8:8" x14ac:dyDescent="0.25">
      <c r="H107" t="s">
        <v>20497</v>
      </c>
    </row>
    <row r="108" spans="8:8" x14ac:dyDescent="0.25">
      <c r="H108" t="s">
        <v>20498</v>
      </c>
    </row>
    <row r="109" spans="8:8" x14ac:dyDescent="0.25">
      <c r="H109" t="s">
        <v>20499</v>
      </c>
    </row>
    <row r="110" spans="8:8" x14ac:dyDescent="0.25">
      <c r="H110" t="s">
        <v>20500</v>
      </c>
    </row>
    <row r="111" spans="8:8" x14ac:dyDescent="0.25">
      <c r="H111" t="s">
        <v>20501</v>
      </c>
    </row>
    <row r="112" spans="8:8" x14ac:dyDescent="0.25">
      <c r="H112" t="s">
        <v>20502</v>
      </c>
    </row>
    <row r="113" spans="8:8" x14ac:dyDescent="0.25">
      <c r="H113" t="s">
        <v>20503</v>
      </c>
    </row>
    <row r="114" spans="8:8" x14ac:dyDescent="0.25">
      <c r="H114" t="s">
        <v>20504</v>
      </c>
    </row>
    <row r="115" spans="8:8" x14ac:dyDescent="0.25">
      <c r="H115" t="s">
        <v>20505</v>
      </c>
    </row>
    <row r="116" spans="8:8" x14ac:dyDescent="0.25">
      <c r="H116" t="s">
        <v>20506</v>
      </c>
    </row>
    <row r="117" spans="8:8" x14ac:dyDescent="0.25">
      <c r="H117" t="s">
        <v>20507</v>
      </c>
    </row>
    <row r="118" spans="8:8" x14ac:dyDescent="0.25">
      <c r="H118" t="s">
        <v>20508</v>
      </c>
    </row>
    <row r="119" spans="8:8" x14ac:dyDescent="0.25">
      <c r="H119" t="s">
        <v>20509</v>
      </c>
    </row>
    <row r="120" spans="8:8" x14ac:dyDescent="0.25">
      <c r="H120" t="s">
        <v>20510</v>
      </c>
    </row>
    <row r="121" spans="8:8" x14ac:dyDescent="0.25">
      <c r="H121" t="s">
        <v>20511</v>
      </c>
    </row>
    <row r="122" spans="8:8" x14ac:dyDescent="0.25">
      <c r="H122" t="s">
        <v>23483</v>
      </c>
    </row>
    <row r="123" spans="8:8" x14ac:dyDescent="0.25">
      <c r="H123" t="s">
        <v>20512</v>
      </c>
    </row>
    <row r="124" spans="8:8" x14ac:dyDescent="0.25">
      <c r="H124" t="s">
        <v>20513</v>
      </c>
    </row>
    <row r="125" spans="8:8" x14ac:dyDescent="0.25">
      <c r="H125" t="s">
        <v>20514</v>
      </c>
    </row>
    <row r="126" spans="8:8" x14ac:dyDescent="0.25">
      <c r="H126" t="s">
        <v>20515</v>
      </c>
    </row>
    <row r="127" spans="8:8" x14ac:dyDescent="0.25">
      <c r="H127" t="s">
        <v>20516</v>
      </c>
    </row>
    <row r="128" spans="8:8" x14ac:dyDescent="0.25">
      <c r="H128" t="s">
        <v>20517</v>
      </c>
    </row>
    <row r="129" spans="8:8" x14ac:dyDescent="0.25">
      <c r="H129" t="s">
        <v>20518</v>
      </c>
    </row>
    <row r="130" spans="8:8" x14ac:dyDescent="0.25">
      <c r="H130" t="s">
        <v>20519</v>
      </c>
    </row>
    <row r="131" spans="8:8" x14ac:dyDescent="0.25">
      <c r="H131" t="s">
        <v>20520</v>
      </c>
    </row>
    <row r="132" spans="8:8" x14ac:dyDescent="0.25">
      <c r="H132" t="s">
        <v>20521</v>
      </c>
    </row>
    <row r="133" spans="8:8" x14ac:dyDescent="0.25">
      <c r="H133" t="s">
        <v>20522</v>
      </c>
    </row>
    <row r="134" spans="8:8" x14ac:dyDescent="0.25">
      <c r="H134" t="s">
        <v>20523</v>
      </c>
    </row>
    <row r="135" spans="8:8" x14ac:dyDescent="0.25">
      <c r="H135" t="s">
        <v>20524</v>
      </c>
    </row>
    <row r="136" spans="8:8" x14ac:dyDescent="0.25">
      <c r="H136" t="s">
        <v>20525</v>
      </c>
    </row>
    <row r="137" spans="8:8" x14ac:dyDescent="0.25">
      <c r="H137" t="s">
        <v>20526</v>
      </c>
    </row>
    <row r="138" spans="8:8" x14ac:dyDescent="0.25">
      <c r="H138" t="s">
        <v>20527</v>
      </c>
    </row>
    <row r="139" spans="8:8" x14ac:dyDescent="0.25">
      <c r="H139" t="s">
        <v>20528</v>
      </c>
    </row>
    <row r="140" spans="8:8" x14ac:dyDescent="0.25">
      <c r="H140" t="s">
        <v>20529</v>
      </c>
    </row>
    <row r="141" spans="8:8" x14ac:dyDescent="0.25">
      <c r="H141" t="s">
        <v>20530</v>
      </c>
    </row>
    <row r="142" spans="8:8" x14ac:dyDescent="0.25">
      <c r="H142" t="s">
        <v>20531</v>
      </c>
    </row>
    <row r="143" spans="8:8" x14ac:dyDescent="0.25">
      <c r="H143" t="s">
        <v>20532</v>
      </c>
    </row>
    <row r="144" spans="8:8" x14ac:dyDescent="0.25">
      <c r="H144" t="s">
        <v>20533</v>
      </c>
    </row>
    <row r="145" spans="8:8" x14ac:dyDescent="0.25">
      <c r="H145" t="s">
        <v>20534</v>
      </c>
    </row>
    <row r="146" spans="8:8" x14ac:dyDescent="0.25">
      <c r="H146" t="s">
        <v>20535</v>
      </c>
    </row>
    <row r="147" spans="8:8" x14ac:dyDescent="0.25">
      <c r="H147" t="s">
        <v>20536</v>
      </c>
    </row>
    <row r="148" spans="8:8" x14ac:dyDescent="0.25">
      <c r="H148" t="s">
        <v>20537</v>
      </c>
    </row>
    <row r="149" spans="8:8" x14ac:dyDescent="0.25">
      <c r="H149" t="s">
        <v>20538</v>
      </c>
    </row>
    <row r="150" spans="8:8" x14ac:dyDescent="0.25">
      <c r="H150" t="s">
        <v>20539</v>
      </c>
    </row>
    <row r="151" spans="8:8" x14ac:dyDescent="0.25">
      <c r="H151" t="s">
        <v>20540</v>
      </c>
    </row>
    <row r="152" spans="8:8" x14ac:dyDescent="0.25">
      <c r="H152" t="s">
        <v>20541</v>
      </c>
    </row>
    <row r="153" spans="8:8" x14ac:dyDescent="0.25">
      <c r="H153" t="s">
        <v>20542</v>
      </c>
    </row>
    <row r="154" spans="8:8" x14ac:dyDescent="0.25">
      <c r="H154" t="s">
        <v>20543</v>
      </c>
    </row>
    <row r="155" spans="8:8" x14ac:dyDescent="0.25">
      <c r="H155" t="s">
        <v>20544</v>
      </c>
    </row>
    <row r="156" spans="8:8" x14ac:dyDescent="0.25">
      <c r="H156" t="s">
        <v>20545</v>
      </c>
    </row>
    <row r="157" spans="8:8" x14ac:dyDescent="0.25">
      <c r="H157" t="s">
        <v>20546</v>
      </c>
    </row>
    <row r="158" spans="8:8" x14ac:dyDescent="0.25">
      <c r="H158" t="s">
        <v>20547</v>
      </c>
    </row>
    <row r="159" spans="8:8" x14ac:dyDescent="0.25">
      <c r="H159" t="s">
        <v>20548</v>
      </c>
    </row>
    <row r="160" spans="8:8" x14ac:dyDescent="0.25">
      <c r="H160" t="s">
        <v>20549</v>
      </c>
    </row>
    <row r="161" spans="8:8" x14ac:dyDescent="0.25">
      <c r="H161" t="s">
        <v>20550</v>
      </c>
    </row>
    <row r="162" spans="8:8" x14ac:dyDescent="0.25">
      <c r="H162" t="s">
        <v>20551</v>
      </c>
    </row>
    <row r="163" spans="8:8" x14ac:dyDescent="0.25">
      <c r="H163" t="s">
        <v>20552</v>
      </c>
    </row>
    <row r="164" spans="8:8" x14ac:dyDescent="0.25">
      <c r="H164" t="s">
        <v>20553</v>
      </c>
    </row>
    <row r="165" spans="8:8" x14ac:dyDescent="0.25">
      <c r="H165" t="s">
        <v>20554</v>
      </c>
    </row>
    <row r="166" spans="8:8" x14ac:dyDescent="0.25">
      <c r="H166" t="s">
        <v>20555</v>
      </c>
    </row>
    <row r="167" spans="8:8" x14ac:dyDescent="0.25">
      <c r="H167" t="s">
        <v>20556</v>
      </c>
    </row>
    <row r="168" spans="8:8" x14ac:dyDescent="0.25">
      <c r="H168" t="s">
        <v>20557</v>
      </c>
    </row>
    <row r="169" spans="8:8" x14ac:dyDescent="0.25">
      <c r="H169" t="s">
        <v>20558</v>
      </c>
    </row>
    <row r="170" spans="8:8" x14ac:dyDescent="0.25">
      <c r="H170" t="s">
        <v>20559</v>
      </c>
    </row>
    <row r="171" spans="8:8" x14ac:dyDescent="0.25">
      <c r="H171" t="s">
        <v>20560</v>
      </c>
    </row>
    <row r="172" spans="8:8" x14ac:dyDescent="0.25">
      <c r="H172" t="s">
        <v>20561</v>
      </c>
    </row>
    <row r="173" spans="8:8" x14ac:dyDescent="0.25">
      <c r="H173" t="s">
        <v>20562</v>
      </c>
    </row>
    <row r="174" spans="8:8" x14ac:dyDescent="0.25">
      <c r="H174" t="s">
        <v>20563</v>
      </c>
    </row>
    <row r="175" spans="8:8" x14ac:dyDescent="0.25">
      <c r="H175" t="s">
        <v>20564</v>
      </c>
    </row>
    <row r="176" spans="8:8" x14ac:dyDescent="0.25">
      <c r="H176" t="s">
        <v>20565</v>
      </c>
    </row>
    <row r="177" spans="8:8" x14ac:dyDescent="0.25">
      <c r="H177" t="s">
        <v>20566</v>
      </c>
    </row>
    <row r="178" spans="8:8" x14ac:dyDescent="0.25">
      <c r="H178" t="s">
        <v>20567</v>
      </c>
    </row>
    <row r="179" spans="8:8" x14ac:dyDescent="0.25">
      <c r="H179" t="s">
        <v>20568</v>
      </c>
    </row>
    <row r="180" spans="8:8" x14ac:dyDescent="0.25">
      <c r="H180" t="s">
        <v>20569</v>
      </c>
    </row>
    <row r="181" spans="8:8" x14ac:dyDescent="0.25">
      <c r="H181" t="s">
        <v>20570</v>
      </c>
    </row>
    <row r="182" spans="8:8" x14ac:dyDescent="0.25">
      <c r="H182" t="s">
        <v>20571</v>
      </c>
    </row>
    <row r="183" spans="8:8" x14ac:dyDescent="0.25">
      <c r="H183" t="s">
        <v>20572</v>
      </c>
    </row>
    <row r="184" spans="8:8" x14ac:dyDescent="0.25">
      <c r="H184" t="s">
        <v>20573</v>
      </c>
    </row>
    <row r="185" spans="8:8" x14ac:dyDescent="0.25">
      <c r="H185" t="s">
        <v>20574</v>
      </c>
    </row>
    <row r="186" spans="8:8" x14ac:dyDescent="0.25">
      <c r="H186" t="s">
        <v>20575</v>
      </c>
    </row>
    <row r="187" spans="8:8" x14ac:dyDescent="0.25">
      <c r="H187" t="s">
        <v>20576</v>
      </c>
    </row>
    <row r="188" spans="8:8" x14ac:dyDescent="0.25">
      <c r="H188" t="s">
        <v>20577</v>
      </c>
    </row>
    <row r="189" spans="8:8" x14ac:dyDescent="0.25">
      <c r="H189" t="s">
        <v>20578</v>
      </c>
    </row>
    <row r="190" spans="8:8" x14ac:dyDescent="0.25">
      <c r="H190" t="s">
        <v>20579</v>
      </c>
    </row>
    <row r="191" spans="8:8" x14ac:dyDescent="0.25">
      <c r="H191" t="s">
        <v>20580</v>
      </c>
    </row>
    <row r="192" spans="8:8" x14ac:dyDescent="0.25">
      <c r="H192" t="s">
        <v>20581</v>
      </c>
    </row>
    <row r="193" spans="8:8" x14ac:dyDescent="0.25">
      <c r="H193" t="s">
        <v>20582</v>
      </c>
    </row>
    <row r="194" spans="8:8" x14ac:dyDescent="0.25">
      <c r="H194" t="s">
        <v>20583</v>
      </c>
    </row>
    <row r="195" spans="8:8" x14ac:dyDescent="0.25">
      <c r="H195" t="s">
        <v>20584</v>
      </c>
    </row>
    <row r="196" spans="8:8" x14ac:dyDescent="0.25">
      <c r="H196" t="s">
        <v>20585</v>
      </c>
    </row>
    <row r="197" spans="8:8" x14ac:dyDescent="0.25">
      <c r="H197" t="s">
        <v>20586</v>
      </c>
    </row>
    <row r="198" spans="8:8" x14ac:dyDescent="0.25">
      <c r="H198" t="s">
        <v>20587</v>
      </c>
    </row>
    <row r="199" spans="8:8" x14ac:dyDescent="0.25">
      <c r="H199" t="s">
        <v>20588</v>
      </c>
    </row>
    <row r="200" spans="8:8" x14ac:dyDescent="0.25">
      <c r="H200" t="s">
        <v>20589</v>
      </c>
    </row>
    <row r="201" spans="8:8" x14ac:dyDescent="0.25">
      <c r="H201" t="s">
        <v>20590</v>
      </c>
    </row>
    <row r="202" spans="8:8" x14ac:dyDescent="0.25">
      <c r="H202" t="s">
        <v>20591</v>
      </c>
    </row>
    <row r="203" spans="8:8" x14ac:dyDescent="0.25">
      <c r="H203" t="s">
        <v>20592</v>
      </c>
    </row>
    <row r="204" spans="8:8" x14ac:dyDescent="0.25">
      <c r="H204" t="s">
        <v>20593</v>
      </c>
    </row>
    <row r="205" spans="8:8" x14ac:dyDescent="0.25">
      <c r="H205" t="s">
        <v>20594</v>
      </c>
    </row>
    <row r="206" spans="8:8" x14ac:dyDescent="0.25">
      <c r="H206" t="s">
        <v>20595</v>
      </c>
    </row>
    <row r="207" spans="8:8" x14ac:dyDescent="0.25">
      <c r="H207" t="s">
        <v>20596</v>
      </c>
    </row>
    <row r="208" spans="8:8" x14ac:dyDescent="0.25">
      <c r="H208" t="s">
        <v>20597</v>
      </c>
    </row>
    <row r="209" spans="8:8" x14ac:dyDescent="0.25">
      <c r="H209" t="s">
        <v>20598</v>
      </c>
    </row>
    <row r="210" spans="8:8" x14ac:dyDescent="0.25">
      <c r="H210" t="s">
        <v>20599</v>
      </c>
    </row>
    <row r="211" spans="8:8" x14ac:dyDescent="0.25">
      <c r="H211" t="s">
        <v>20600</v>
      </c>
    </row>
    <row r="212" spans="8:8" x14ac:dyDescent="0.25">
      <c r="H212" t="s">
        <v>20601</v>
      </c>
    </row>
    <row r="213" spans="8:8" x14ac:dyDescent="0.25">
      <c r="H213" t="s">
        <v>20602</v>
      </c>
    </row>
    <row r="214" spans="8:8" x14ac:dyDescent="0.25">
      <c r="H214" t="s">
        <v>20603</v>
      </c>
    </row>
    <row r="215" spans="8:8" x14ac:dyDescent="0.25">
      <c r="H215" t="s">
        <v>20604</v>
      </c>
    </row>
    <row r="216" spans="8:8" x14ac:dyDescent="0.25">
      <c r="H216" t="s">
        <v>20605</v>
      </c>
    </row>
    <row r="217" spans="8:8" x14ac:dyDescent="0.25">
      <c r="H217" t="s">
        <v>20606</v>
      </c>
    </row>
    <row r="218" spans="8:8" x14ac:dyDescent="0.25">
      <c r="H218" t="s">
        <v>20607</v>
      </c>
    </row>
    <row r="219" spans="8:8" x14ac:dyDescent="0.25">
      <c r="H219" t="s">
        <v>20608</v>
      </c>
    </row>
    <row r="220" spans="8:8" x14ac:dyDescent="0.25">
      <c r="H220" t="s">
        <v>20609</v>
      </c>
    </row>
    <row r="221" spans="8:8" x14ac:dyDescent="0.25">
      <c r="H221" t="s">
        <v>20610</v>
      </c>
    </row>
    <row r="222" spans="8:8" x14ac:dyDescent="0.25">
      <c r="H222" t="s">
        <v>20611</v>
      </c>
    </row>
    <row r="223" spans="8:8" x14ac:dyDescent="0.25">
      <c r="H223" t="s">
        <v>20612</v>
      </c>
    </row>
    <row r="224" spans="8:8" x14ac:dyDescent="0.25">
      <c r="H224" t="s">
        <v>20613</v>
      </c>
    </row>
    <row r="225" spans="8:8" x14ac:dyDescent="0.25">
      <c r="H225" t="s">
        <v>20614</v>
      </c>
    </row>
    <row r="226" spans="8:8" x14ac:dyDescent="0.25">
      <c r="H226" t="s">
        <v>20615</v>
      </c>
    </row>
    <row r="227" spans="8:8" x14ac:dyDescent="0.25">
      <c r="H227" t="s">
        <v>20616</v>
      </c>
    </row>
    <row r="228" spans="8:8" x14ac:dyDescent="0.25">
      <c r="H228" t="s">
        <v>20617</v>
      </c>
    </row>
    <row r="229" spans="8:8" x14ac:dyDescent="0.25">
      <c r="H229" t="s">
        <v>20618</v>
      </c>
    </row>
    <row r="230" spans="8:8" x14ac:dyDescent="0.25">
      <c r="H230" t="s">
        <v>20619</v>
      </c>
    </row>
    <row r="231" spans="8:8" x14ac:dyDescent="0.25">
      <c r="H231" t="s">
        <v>20620</v>
      </c>
    </row>
    <row r="232" spans="8:8" x14ac:dyDescent="0.25">
      <c r="H232" t="s">
        <v>20621</v>
      </c>
    </row>
    <row r="233" spans="8:8" x14ac:dyDescent="0.25">
      <c r="H233" t="s">
        <v>20622</v>
      </c>
    </row>
    <row r="234" spans="8:8" x14ac:dyDescent="0.25">
      <c r="H234" t="s">
        <v>20623</v>
      </c>
    </row>
    <row r="235" spans="8:8" x14ac:dyDescent="0.25">
      <c r="H235" t="s">
        <v>20624</v>
      </c>
    </row>
    <row r="236" spans="8:8" x14ac:dyDescent="0.25">
      <c r="H236" t="s">
        <v>20625</v>
      </c>
    </row>
    <row r="237" spans="8:8" x14ac:dyDescent="0.25">
      <c r="H237" t="s">
        <v>20626</v>
      </c>
    </row>
    <row r="238" spans="8:8" x14ac:dyDescent="0.25">
      <c r="H238" t="s">
        <v>20627</v>
      </c>
    </row>
    <row r="239" spans="8:8" x14ac:dyDescent="0.25">
      <c r="H239" t="s">
        <v>20628</v>
      </c>
    </row>
    <row r="240" spans="8:8" x14ac:dyDescent="0.25">
      <c r="H240" t="s">
        <v>20629</v>
      </c>
    </row>
    <row r="241" spans="8:8" x14ac:dyDescent="0.25">
      <c r="H241" t="s">
        <v>20630</v>
      </c>
    </row>
    <row r="242" spans="8:8" x14ac:dyDescent="0.25">
      <c r="H242" t="s">
        <v>20631</v>
      </c>
    </row>
    <row r="243" spans="8:8" x14ac:dyDescent="0.25">
      <c r="H243" t="s">
        <v>20632</v>
      </c>
    </row>
    <row r="244" spans="8:8" x14ac:dyDescent="0.25">
      <c r="H244" t="s">
        <v>20633</v>
      </c>
    </row>
    <row r="245" spans="8:8" x14ac:dyDescent="0.25">
      <c r="H245" t="s">
        <v>20634</v>
      </c>
    </row>
    <row r="246" spans="8:8" x14ac:dyDescent="0.25">
      <c r="H246" t="s">
        <v>20635</v>
      </c>
    </row>
    <row r="247" spans="8:8" x14ac:dyDescent="0.25">
      <c r="H247" t="s">
        <v>20636</v>
      </c>
    </row>
    <row r="248" spans="8:8" x14ac:dyDescent="0.25">
      <c r="H248" t="s">
        <v>20637</v>
      </c>
    </row>
    <row r="249" spans="8:8" x14ac:dyDescent="0.25">
      <c r="H249" t="s">
        <v>20638</v>
      </c>
    </row>
    <row r="250" spans="8:8" x14ac:dyDescent="0.25">
      <c r="H250" t="s">
        <v>20639</v>
      </c>
    </row>
    <row r="251" spans="8:8" x14ac:dyDescent="0.25">
      <c r="H251" t="s">
        <v>20640</v>
      </c>
    </row>
    <row r="252" spans="8:8" x14ac:dyDescent="0.25">
      <c r="H252" t="s">
        <v>20641</v>
      </c>
    </row>
    <row r="253" spans="8:8" x14ac:dyDescent="0.25">
      <c r="H253" t="s">
        <v>20642</v>
      </c>
    </row>
    <row r="254" spans="8:8" x14ac:dyDescent="0.25">
      <c r="H254" t="s">
        <v>20643</v>
      </c>
    </row>
    <row r="255" spans="8:8" x14ac:dyDescent="0.25">
      <c r="H255" t="s">
        <v>20644</v>
      </c>
    </row>
    <row r="256" spans="8:8" x14ac:dyDescent="0.25">
      <c r="H256" t="s">
        <v>20645</v>
      </c>
    </row>
    <row r="257" spans="8:8" x14ac:dyDescent="0.25">
      <c r="H257" t="s">
        <v>20646</v>
      </c>
    </row>
    <row r="258" spans="8:8" x14ac:dyDescent="0.25">
      <c r="H258" t="s">
        <v>20647</v>
      </c>
    </row>
    <row r="259" spans="8:8" x14ac:dyDescent="0.25">
      <c r="H259" t="s">
        <v>20648</v>
      </c>
    </row>
    <row r="260" spans="8:8" x14ac:dyDescent="0.25">
      <c r="H260" t="s">
        <v>20649</v>
      </c>
    </row>
    <row r="261" spans="8:8" x14ac:dyDescent="0.25">
      <c r="H261" t="s">
        <v>20650</v>
      </c>
    </row>
    <row r="262" spans="8:8" x14ac:dyDescent="0.25">
      <c r="H262" t="s">
        <v>20651</v>
      </c>
    </row>
    <row r="263" spans="8:8" x14ac:dyDescent="0.25">
      <c r="H263" t="s">
        <v>20652</v>
      </c>
    </row>
    <row r="264" spans="8:8" x14ac:dyDescent="0.25">
      <c r="H264" t="s">
        <v>20653</v>
      </c>
    </row>
    <row r="265" spans="8:8" x14ac:dyDescent="0.25">
      <c r="H265" t="s">
        <v>20654</v>
      </c>
    </row>
    <row r="266" spans="8:8" x14ac:dyDescent="0.25">
      <c r="H266" t="s">
        <v>20655</v>
      </c>
    </row>
    <row r="267" spans="8:8" x14ac:dyDescent="0.25">
      <c r="H267" t="s">
        <v>20656</v>
      </c>
    </row>
    <row r="268" spans="8:8" x14ac:dyDescent="0.25">
      <c r="H268" t="s">
        <v>20657</v>
      </c>
    </row>
    <row r="269" spans="8:8" x14ac:dyDescent="0.25">
      <c r="H269" t="s">
        <v>20658</v>
      </c>
    </row>
    <row r="270" spans="8:8" x14ac:dyDescent="0.25">
      <c r="H270" t="s">
        <v>20659</v>
      </c>
    </row>
    <row r="271" spans="8:8" x14ac:dyDescent="0.25">
      <c r="H271" t="s">
        <v>20660</v>
      </c>
    </row>
    <row r="272" spans="8:8" x14ac:dyDescent="0.25">
      <c r="H272" t="s">
        <v>20661</v>
      </c>
    </row>
    <row r="273" spans="8:8" x14ac:dyDescent="0.25">
      <c r="H273" t="s">
        <v>20662</v>
      </c>
    </row>
    <row r="274" spans="8:8" x14ac:dyDescent="0.25">
      <c r="H274" t="s">
        <v>20663</v>
      </c>
    </row>
    <row r="275" spans="8:8" x14ac:dyDescent="0.25">
      <c r="H275" t="s">
        <v>20664</v>
      </c>
    </row>
    <row r="276" spans="8:8" x14ac:dyDescent="0.25">
      <c r="H276" t="s">
        <v>20665</v>
      </c>
    </row>
    <row r="277" spans="8:8" x14ac:dyDescent="0.25">
      <c r="H277" t="s">
        <v>20666</v>
      </c>
    </row>
    <row r="278" spans="8:8" x14ac:dyDescent="0.25">
      <c r="H278" t="s">
        <v>20667</v>
      </c>
    </row>
    <row r="279" spans="8:8" x14ac:dyDescent="0.25">
      <c r="H279" t="s">
        <v>20668</v>
      </c>
    </row>
    <row r="280" spans="8:8" x14ac:dyDescent="0.25">
      <c r="H280" t="s">
        <v>20669</v>
      </c>
    </row>
    <row r="281" spans="8:8" x14ac:dyDescent="0.25">
      <c r="H281" t="s">
        <v>20670</v>
      </c>
    </row>
    <row r="282" spans="8:8" x14ac:dyDescent="0.25">
      <c r="H282" t="s">
        <v>20671</v>
      </c>
    </row>
    <row r="283" spans="8:8" x14ac:dyDescent="0.25">
      <c r="H283" t="s">
        <v>20672</v>
      </c>
    </row>
    <row r="284" spans="8:8" x14ac:dyDescent="0.25">
      <c r="H284" t="s">
        <v>20673</v>
      </c>
    </row>
    <row r="285" spans="8:8" x14ac:dyDescent="0.25">
      <c r="H285" t="s">
        <v>20674</v>
      </c>
    </row>
    <row r="286" spans="8:8" x14ac:dyDescent="0.25">
      <c r="H286" t="s">
        <v>20675</v>
      </c>
    </row>
    <row r="287" spans="8:8" x14ac:dyDescent="0.25">
      <c r="H287" t="s">
        <v>20676</v>
      </c>
    </row>
    <row r="288" spans="8:8" x14ac:dyDescent="0.25">
      <c r="H288" t="s">
        <v>20677</v>
      </c>
    </row>
    <row r="289" spans="8:8" x14ac:dyDescent="0.25">
      <c r="H289" t="s">
        <v>20678</v>
      </c>
    </row>
    <row r="290" spans="8:8" x14ac:dyDescent="0.25">
      <c r="H290" t="s">
        <v>20679</v>
      </c>
    </row>
    <row r="291" spans="8:8" x14ac:dyDescent="0.25">
      <c r="H291" t="s">
        <v>20680</v>
      </c>
    </row>
    <row r="292" spans="8:8" x14ac:dyDescent="0.25">
      <c r="H292" t="s">
        <v>20681</v>
      </c>
    </row>
    <row r="293" spans="8:8" x14ac:dyDescent="0.25">
      <c r="H293" t="s">
        <v>20682</v>
      </c>
    </row>
    <row r="294" spans="8:8" x14ac:dyDescent="0.25">
      <c r="H294" t="s">
        <v>20683</v>
      </c>
    </row>
    <row r="295" spans="8:8" x14ac:dyDescent="0.25">
      <c r="H295" t="s">
        <v>20684</v>
      </c>
    </row>
    <row r="296" spans="8:8" x14ac:dyDescent="0.25">
      <c r="H296" t="s">
        <v>20685</v>
      </c>
    </row>
    <row r="297" spans="8:8" x14ac:dyDescent="0.25">
      <c r="H297" t="s">
        <v>20686</v>
      </c>
    </row>
    <row r="298" spans="8:8" x14ac:dyDescent="0.25">
      <c r="H298" t="s">
        <v>20687</v>
      </c>
    </row>
    <row r="299" spans="8:8" x14ac:dyDescent="0.25">
      <c r="H299" t="s">
        <v>20688</v>
      </c>
    </row>
    <row r="300" spans="8:8" x14ac:dyDescent="0.25">
      <c r="H300" t="s">
        <v>20689</v>
      </c>
    </row>
    <row r="301" spans="8:8" x14ac:dyDescent="0.25">
      <c r="H301" t="s">
        <v>20690</v>
      </c>
    </row>
    <row r="302" spans="8:8" x14ac:dyDescent="0.25">
      <c r="H302" t="s">
        <v>20691</v>
      </c>
    </row>
    <row r="303" spans="8:8" x14ac:dyDescent="0.25">
      <c r="H303" t="s">
        <v>20692</v>
      </c>
    </row>
    <row r="304" spans="8:8" x14ac:dyDescent="0.25">
      <c r="H304" t="s">
        <v>20693</v>
      </c>
    </row>
    <row r="305" spans="8:8" x14ac:dyDescent="0.25">
      <c r="H305" t="s">
        <v>20694</v>
      </c>
    </row>
    <row r="306" spans="8:8" x14ac:dyDescent="0.25">
      <c r="H306" t="s">
        <v>20695</v>
      </c>
    </row>
    <row r="307" spans="8:8" x14ac:dyDescent="0.25">
      <c r="H307" t="s">
        <v>20696</v>
      </c>
    </row>
    <row r="308" spans="8:8" x14ac:dyDescent="0.25">
      <c r="H308" t="s">
        <v>20697</v>
      </c>
    </row>
    <row r="309" spans="8:8" x14ac:dyDescent="0.25">
      <c r="H309" t="s">
        <v>20698</v>
      </c>
    </row>
    <row r="310" spans="8:8" x14ac:dyDescent="0.25">
      <c r="H310" t="s">
        <v>20699</v>
      </c>
    </row>
    <row r="311" spans="8:8" x14ac:dyDescent="0.25">
      <c r="H311" t="s">
        <v>20700</v>
      </c>
    </row>
    <row r="312" spans="8:8" x14ac:dyDescent="0.25">
      <c r="H312" t="s">
        <v>20701</v>
      </c>
    </row>
    <row r="313" spans="8:8" x14ac:dyDescent="0.25">
      <c r="H313" t="s">
        <v>20702</v>
      </c>
    </row>
    <row r="314" spans="8:8" x14ac:dyDescent="0.25">
      <c r="H314" t="s">
        <v>20703</v>
      </c>
    </row>
    <row r="315" spans="8:8" x14ac:dyDescent="0.25">
      <c r="H315" t="s">
        <v>20704</v>
      </c>
    </row>
    <row r="316" spans="8:8" x14ac:dyDescent="0.25">
      <c r="H316" t="s">
        <v>20705</v>
      </c>
    </row>
    <row r="317" spans="8:8" x14ac:dyDescent="0.25">
      <c r="H317" t="s">
        <v>20706</v>
      </c>
    </row>
    <row r="318" spans="8:8" x14ac:dyDescent="0.25">
      <c r="H318" t="s">
        <v>20707</v>
      </c>
    </row>
    <row r="319" spans="8:8" x14ac:dyDescent="0.25">
      <c r="H319" t="s">
        <v>20708</v>
      </c>
    </row>
    <row r="320" spans="8:8" x14ac:dyDescent="0.25">
      <c r="H320" t="s">
        <v>20709</v>
      </c>
    </row>
    <row r="321" spans="8:8" x14ac:dyDescent="0.25">
      <c r="H321" t="s">
        <v>20710</v>
      </c>
    </row>
    <row r="322" spans="8:8" x14ac:dyDescent="0.25">
      <c r="H322" t="s">
        <v>20711</v>
      </c>
    </row>
    <row r="323" spans="8:8" x14ac:dyDescent="0.25">
      <c r="H323" t="s">
        <v>20712</v>
      </c>
    </row>
    <row r="324" spans="8:8" x14ac:dyDescent="0.25">
      <c r="H324" t="s">
        <v>20713</v>
      </c>
    </row>
    <row r="325" spans="8:8" x14ac:dyDescent="0.25">
      <c r="H325" t="s">
        <v>20714</v>
      </c>
    </row>
    <row r="326" spans="8:8" x14ac:dyDescent="0.25">
      <c r="H326" t="s">
        <v>20715</v>
      </c>
    </row>
    <row r="327" spans="8:8" x14ac:dyDescent="0.25">
      <c r="H327" t="s">
        <v>20716</v>
      </c>
    </row>
    <row r="328" spans="8:8" x14ac:dyDescent="0.25">
      <c r="H328" t="s">
        <v>20717</v>
      </c>
    </row>
    <row r="329" spans="8:8" x14ac:dyDescent="0.25">
      <c r="H329" t="s">
        <v>20718</v>
      </c>
    </row>
    <row r="330" spans="8:8" x14ac:dyDescent="0.25">
      <c r="H330" t="s">
        <v>20719</v>
      </c>
    </row>
    <row r="331" spans="8:8" x14ac:dyDescent="0.25">
      <c r="H331" t="s">
        <v>20720</v>
      </c>
    </row>
    <row r="332" spans="8:8" x14ac:dyDescent="0.25">
      <c r="H332" t="s">
        <v>20721</v>
      </c>
    </row>
    <row r="333" spans="8:8" x14ac:dyDescent="0.25">
      <c r="H333" t="s">
        <v>20722</v>
      </c>
    </row>
    <row r="334" spans="8:8" x14ac:dyDescent="0.25">
      <c r="H334" t="s">
        <v>20723</v>
      </c>
    </row>
    <row r="335" spans="8:8" x14ac:dyDescent="0.25">
      <c r="H335" t="s">
        <v>20724</v>
      </c>
    </row>
    <row r="336" spans="8:8" x14ac:dyDescent="0.25">
      <c r="H336" t="s">
        <v>20725</v>
      </c>
    </row>
    <row r="337" spans="8:8" x14ac:dyDescent="0.25">
      <c r="H337" t="s">
        <v>20726</v>
      </c>
    </row>
    <row r="338" spans="8:8" x14ac:dyDescent="0.25">
      <c r="H338" t="s">
        <v>20727</v>
      </c>
    </row>
    <row r="339" spans="8:8" x14ac:dyDescent="0.25">
      <c r="H339" t="s">
        <v>20728</v>
      </c>
    </row>
    <row r="340" spans="8:8" x14ac:dyDescent="0.25">
      <c r="H340" t="s">
        <v>20729</v>
      </c>
    </row>
    <row r="341" spans="8:8" x14ac:dyDescent="0.25">
      <c r="H341" t="s">
        <v>20730</v>
      </c>
    </row>
    <row r="342" spans="8:8" x14ac:dyDescent="0.25">
      <c r="H342" t="s">
        <v>20731</v>
      </c>
    </row>
    <row r="343" spans="8:8" x14ac:dyDescent="0.25">
      <c r="H343" t="s">
        <v>20732</v>
      </c>
    </row>
    <row r="344" spans="8:8" x14ac:dyDescent="0.25">
      <c r="H344" t="s">
        <v>20733</v>
      </c>
    </row>
    <row r="345" spans="8:8" x14ac:dyDescent="0.25">
      <c r="H345" t="s">
        <v>20734</v>
      </c>
    </row>
    <row r="346" spans="8:8" x14ac:dyDescent="0.25">
      <c r="H346" t="s">
        <v>20735</v>
      </c>
    </row>
    <row r="347" spans="8:8" x14ac:dyDescent="0.25">
      <c r="H347" t="s">
        <v>20736</v>
      </c>
    </row>
    <row r="348" spans="8:8" x14ac:dyDescent="0.25">
      <c r="H348" t="s">
        <v>20737</v>
      </c>
    </row>
    <row r="349" spans="8:8" x14ac:dyDescent="0.25">
      <c r="H349" t="s">
        <v>20738</v>
      </c>
    </row>
    <row r="350" spans="8:8" x14ac:dyDescent="0.25">
      <c r="H350" t="s">
        <v>20739</v>
      </c>
    </row>
    <row r="351" spans="8:8" x14ac:dyDescent="0.25">
      <c r="H351" t="s">
        <v>20740</v>
      </c>
    </row>
    <row r="352" spans="8:8" x14ac:dyDescent="0.25">
      <c r="H352" t="s">
        <v>20741</v>
      </c>
    </row>
    <row r="353" spans="8:8" x14ac:dyDescent="0.25">
      <c r="H353" t="s">
        <v>20742</v>
      </c>
    </row>
    <row r="354" spans="8:8" x14ac:dyDescent="0.25">
      <c r="H354" t="s">
        <v>20743</v>
      </c>
    </row>
    <row r="355" spans="8:8" x14ac:dyDescent="0.25">
      <c r="H355" t="s">
        <v>20744</v>
      </c>
    </row>
    <row r="356" spans="8:8" x14ac:dyDescent="0.25">
      <c r="H356" t="s">
        <v>20745</v>
      </c>
    </row>
    <row r="357" spans="8:8" x14ac:dyDescent="0.25">
      <c r="H357" t="s">
        <v>20746</v>
      </c>
    </row>
    <row r="358" spans="8:8" x14ac:dyDescent="0.25">
      <c r="H358" t="s">
        <v>20747</v>
      </c>
    </row>
    <row r="359" spans="8:8" x14ac:dyDescent="0.25">
      <c r="H359" t="s">
        <v>20748</v>
      </c>
    </row>
    <row r="360" spans="8:8" x14ac:dyDescent="0.25">
      <c r="H360" t="s">
        <v>20749</v>
      </c>
    </row>
    <row r="361" spans="8:8" x14ac:dyDescent="0.25">
      <c r="H361" t="s">
        <v>20750</v>
      </c>
    </row>
    <row r="362" spans="8:8" x14ac:dyDescent="0.25">
      <c r="H362" t="s">
        <v>20751</v>
      </c>
    </row>
    <row r="363" spans="8:8" x14ac:dyDescent="0.25">
      <c r="H363" t="s">
        <v>20752</v>
      </c>
    </row>
    <row r="364" spans="8:8" x14ac:dyDescent="0.25">
      <c r="H364" t="s">
        <v>20753</v>
      </c>
    </row>
    <row r="365" spans="8:8" x14ac:dyDescent="0.25">
      <c r="H365" t="s">
        <v>20754</v>
      </c>
    </row>
    <row r="366" spans="8:8" x14ac:dyDescent="0.25">
      <c r="H366" t="s">
        <v>20755</v>
      </c>
    </row>
    <row r="367" spans="8:8" x14ac:dyDescent="0.25">
      <c r="H367" t="s">
        <v>20756</v>
      </c>
    </row>
    <row r="368" spans="8:8" x14ac:dyDescent="0.25">
      <c r="H368" t="s">
        <v>20757</v>
      </c>
    </row>
    <row r="369" spans="8:8" x14ac:dyDescent="0.25">
      <c r="H369" t="s">
        <v>20758</v>
      </c>
    </row>
    <row r="370" spans="8:8" x14ac:dyDescent="0.25">
      <c r="H370" t="s">
        <v>20759</v>
      </c>
    </row>
    <row r="371" spans="8:8" x14ac:dyDescent="0.25">
      <c r="H371" t="s">
        <v>20760</v>
      </c>
    </row>
    <row r="372" spans="8:8" x14ac:dyDescent="0.25">
      <c r="H372" t="s">
        <v>20761</v>
      </c>
    </row>
    <row r="373" spans="8:8" x14ac:dyDescent="0.25">
      <c r="H373" t="s">
        <v>20762</v>
      </c>
    </row>
    <row r="374" spans="8:8" x14ac:dyDescent="0.25">
      <c r="H374" t="s">
        <v>20763</v>
      </c>
    </row>
    <row r="375" spans="8:8" x14ac:dyDescent="0.25">
      <c r="H375" t="s">
        <v>20764</v>
      </c>
    </row>
    <row r="376" spans="8:8" x14ac:dyDescent="0.25">
      <c r="H376" t="s">
        <v>20765</v>
      </c>
    </row>
    <row r="377" spans="8:8" x14ac:dyDescent="0.25">
      <c r="H377" t="s">
        <v>20766</v>
      </c>
    </row>
    <row r="378" spans="8:8" x14ac:dyDescent="0.25">
      <c r="H378" t="s">
        <v>20767</v>
      </c>
    </row>
    <row r="379" spans="8:8" x14ac:dyDescent="0.25">
      <c r="H379" t="s">
        <v>20768</v>
      </c>
    </row>
    <row r="380" spans="8:8" x14ac:dyDescent="0.25">
      <c r="H380" t="s">
        <v>20769</v>
      </c>
    </row>
    <row r="381" spans="8:8" x14ac:dyDescent="0.25">
      <c r="H381" t="s">
        <v>20770</v>
      </c>
    </row>
    <row r="382" spans="8:8" x14ac:dyDescent="0.25">
      <c r="H382" t="s">
        <v>20771</v>
      </c>
    </row>
    <row r="383" spans="8:8" x14ac:dyDescent="0.25">
      <c r="H383" t="s">
        <v>20772</v>
      </c>
    </row>
    <row r="384" spans="8:8" x14ac:dyDescent="0.25">
      <c r="H384" t="s">
        <v>20773</v>
      </c>
    </row>
    <row r="385" spans="8:8" x14ac:dyDescent="0.25">
      <c r="H385" t="s">
        <v>20774</v>
      </c>
    </row>
    <row r="386" spans="8:8" x14ac:dyDescent="0.25">
      <c r="H386" t="s">
        <v>20775</v>
      </c>
    </row>
    <row r="387" spans="8:8" x14ac:dyDescent="0.25">
      <c r="H387" t="s">
        <v>20776</v>
      </c>
    </row>
    <row r="388" spans="8:8" x14ac:dyDescent="0.25">
      <c r="H388" t="s">
        <v>20777</v>
      </c>
    </row>
    <row r="389" spans="8:8" x14ac:dyDescent="0.25">
      <c r="H389" t="s">
        <v>20778</v>
      </c>
    </row>
    <row r="390" spans="8:8" x14ac:dyDescent="0.25">
      <c r="H390" t="s">
        <v>20779</v>
      </c>
    </row>
    <row r="391" spans="8:8" x14ac:dyDescent="0.25">
      <c r="H391" t="s">
        <v>20780</v>
      </c>
    </row>
    <row r="392" spans="8:8" x14ac:dyDescent="0.25">
      <c r="H392" t="s">
        <v>20781</v>
      </c>
    </row>
    <row r="393" spans="8:8" x14ac:dyDescent="0.25">
      <c r="H393" t="s">
        <v>20782</v>
      </c>
    </row>
    <row r="394" spans="8:8" x14ac:dyDescent="0.25">
      <c r="H394" t="s">
        <v>20783</v>
      </c>
    </row>
    <row r="395" spans="8:8" x14ac:dyDescent="0.25">
      <c r="H395" t="s">
        <v>20784</v>
      </c>
    </row>
    <row r="396" spans="8:8" x14ac:dyDescent="0.25">
      <c r="H396" t="s">
        <v>20785</v>
      </c>
    </row>
    <row r="397" spans="8:8" x14ac:dyDescent="0.25">
      <c r="H397" t="s">
        <v>20786</v>
      </c>
    </row>
    <row r="398" spans="8:8" x14ac:dyDescent="0.25">
      <c r="H398" t="s">
        <v>20787</v>
      </c>
    </row>
    <row r="399" spans="8:8" x14ac:dyDescent="0.25">
      <c r="H399" t="s">
        <v>20788</v>
      </c>
    </row>
    <row r="400" spans="8:8" x14ac:dyDescent="0.25">
      <c r="H400" t="s">
        <v>20789</v>
      </c>
    </row>
    <row r="401" spans="8:8" x14ac:dyDescent="0.25">
      <c r="H401" t="s">
        <v>20790</v>
      </c>
    </row>
    <row r="402" spans="8:8" x14ac:dyDescent="0.25">
      <c r="H402" t="s">
        <v>20791</v>
      </c>
    </row>
    <row r="403" spans="8:8" x14ac:dyDescent="0.25">
      <c r="H403" t="s">
        <v>20792</v>
      </c>
    </row>
    <row r="404" spans="8:8" x14ac:dyDescent="0.25">
      <c r="H404" t="s">
        <v>20793</v>
      </c>
    </row>
    <row r="405" spans="8:8" x14ac:dyDescent="0.25">
      <c r="H405" t="s">
        <v>20794</v>
      </c>
    </row>
    <row r="406" spans="8:8" x14ac:dyDescent="0.25">
      <c r="H406" t="s">
        <v>20795</v>
      </c>
    </row>
    <row r="407" spans="8:8" x14ac:dyDescent="0.25">
      <c r="H407" t="s">
        <v>20796</v>
      </c>
    </row>
    <row r="408" spans="8:8" x14ac:dyDescent="0.25">
      <c r="H408" t="s">
        <v>20797</v>
      </c>
    </row>
    <row r="409" spans="8:8" x14ac:dyDescent="0.25">
      <c r="H409" t="s">
        <v>20798</v>
      </c>
    </row>
    <row r="410" spans="8:8" x14ac:dyDescent="0.25">
      <c r="H410" t="s">
        <v>20799</v>
      </c>
    </row>
    <row r="411" spans="8:8" x14ac:dyDescent="0.25">
      <c r="H411" t="s">
        <v>20800</v>
      </c>
    </row>
    <row r="412" spans="8:8" x14ac:dyDescent="0.25">
      <c r="H412" t="s">
        <v>20801</v>
      </c>
    </row>
    <row r="413" spans="8:8" x14ac:dyDescent="0.25">
      <c r="H413" t="s">
        <v>20802</v>
      </c>
    </row>
    <row r="414" spans="8:8" x14ac:dyDescent="0.25">
      <c r="H414" t="s">
        <v>20803</v>
      </c>
    </row>
    <row r="415" spans="8:8" x14ac:dyDescent="0.25">
      <c r="H415" t="s">
        <v>20804</v>
      </c>
    </row>
    <row r="416" spans="8:8" x14ac:dyDescent="0.25">
      <c r="H416" t="s">
        <v>20805</v>
      </c>
    </row>
    <row r="417" spans="8:8" x14ac:dyDescent="0.25">
      <c r="H417" t="s">
        <v>20806</v>
      </c>
    </row>
    <row r="418" spans="8:8" x14ac:dyDescent="0.25">
      <c r="H418" t="s">
        <v>20807</v>
      </c>
    </row>
    <row r="419" spans="8:8" x14ac:dyDescent="0.25">
      <c r="H419" t="s">
        <v>20808</v>
      </c>
    </row>
    <row r="420" spans="8:8" x14ac:dyDescent="0.25">
      <c r="H420" t="s">
        <v>20809</v>
      </c>
    </row>
    <row r="421" spans="8:8" x14ac:dyDescent="0.25">
      <c r="H421" t="s">
        <v>20810</v>
      </c>
    </row>
    <row r="422" spans="8:8" x14ac:dyDescent="0.25">
      <c r="H422" t="s">
        <v>20811</v>
      </c>
    </row>
    <row r="423" spans="8:8" x14ac:dyDescent="0.25">
      <c r="H423" t="s">
        <v>20812</v>
      </c>
    </row>
    <row r="424" spans="8:8" x14ac:dyDescent="0.25">
      <c r="H424" t="s">
        <v>20813</v>
      </c>
    </row>
    <row r="425" spans="8:8" x14ac:dyDescent="0.25">
      <c r="H425" t="s">
        <v>20814</v>
      </c>
    </row>
    <row r="426" spans="8:8" x14ac:dyDescent="0.25">
      <c r="H426" t="s">
        <v>20815</v>
      </c>
    </row>
    <row r="427" spans="8:8" x14ac:dyDescent="0.25">
      <c r="H427" t="s">
        <v>20816</v>
      </c>
    </row>
    <row r="428" spans="8:8" x14ac:dyDescent="0.25">
      <c r="H428" t="s">
        <v>20817</v>
      </c>
    </row>
    <row r="429" spans="8:8" x14ac:dyDescent="0.25">
      <c r="H429" t="s">
        <v>20818</v>
      </c>
    </row>
    <row r="430" spans="8:8" x14ac:dyDescent="0.25">
      <c r="H430" t="s">
        <v>20819</v>
      </c>
    </row>
    <row r="431" spans="8:8" x14ac:dyDescent="0.25">
      <c r="H431" t="s">
        <v>20820</v>
      </c>
    </row>
    <row r="432" spans="8:8" x14ac:dyDescent="0.25">
      <c r="H432" t="s">
        <v>20821</v>
      </c>
    </row>
    <row r="433" spans="8:8" x14ac:dyDescent="0.25">
      <c r="H433" t="s">
        <v>20822</v>
      </c>
    </row>
    <row r="434" spans="8:8" x14ac:dyDescent="0.25">
      <c r="H434" t="s">
        <v>20823</v>
      </c>
    </row>
    <row r="435" spans="8:8" x14ac:dyDescent="0.25">
      <c r="H435" t="s">
        <v>20824</v>
      </c>
    </row>
    <row r="436" spans="8:8" x14ac:dyDescent="0.25">
      <c r="H436" t="s">
        <v>20825</v>
      </c>
    </row>
    <row r="437" spans="8:8" x14ac:dyDescent="0.25">
      <c r="H437" t="s">
        <v>20826</v>
      </c>
    </row>
    <row r="438" spans="8:8" x14ac:dyDescent="0.25">
      <c r="H438" t="s">
        <v>20827</v>
      </c>
    </row>
    <row r="439" spans="8:8" x14ac:dyDescent="0.25">
      <c r="H439" t="s">
        <v>20828</v>
      </c>
    </row>
    <row r="440" spans="8:8" x14ac:dyDescent="0.25">
      <c r="H440" t="s">
        <v>20829</v>
      </c>
    </row>
    <row r="441" spans="8:8" x14ac:dyDescent="0.25">
      <c r="H441" t="s">
        <v>20830</v>
      </c>
    </row>
    <row r="442" spans="8:8" x14ac:dyDescent="0.25">
      <c r="H442" t="s">
        <v>20831</v>
      </c>
    </row>
    <row r="443" spans="8:8" x14ac:dyDescent="0.25">
      <c r="H443" t="s">
        <v>20832</v>
      </c>
    </row>
    <row r="444" spans="8:8" x14ac:dyDescent="0.25">
      <c r="H444" t="s">
        <v>20833</v>
      </c>
    </row>
    <row r="445" spans="8:8" x14ac:dyDescent="0.25">
      <c r="H445" t="s">
        <v>20834</v>
      </c>
    </row>
    <row r="446" spans="8:8" x14ac:dyDescent="0.25">
      <c r="H446" t="s">
        <v>20835</v>
      </c>
    </row>
    <row r="447" spans="8:8" x14ac:dyDescent="0.25">
      <c r="H447" t="s">
        <v>20836</v>
      </c>
    </row>
    <row r="448" spans="8:8" x14ac:dyDescent="0.25">
      <c r="H448" t="s">
        <v>20837</v>
      </c>
    </row>
    <row r="449" spans="8:8" x14ac:dyDescent="0.25">
      <c r="H449" t="s">
        <v>20838</v>
      </c>
    </row>
    <row r="450" spans="8:8" x14ac:dyDescent="0.25">
      <c r="H450" t="s">
        <v>20839</v>
      </c>
    </row>
    <row r="451" spans="8:8" x14ac:dyDescent="0.25">
      <c r="H451" t="s">
        <v>20840</v>
      </c>
    </row>
    <row r="452" spans="8:8" x14ac:dyDescent="0.25">
      <c r="H452" t="s">
        <v>20841</v>
      </c>
    </row>
    <row r="453" spans="8:8" x14ac:dyDescent="0.25">
      <c r="H453" t="s">
        <v>20842</v>
      </c>
    </row>
    <row r="454" spans="8:8" x14ac:dyDescent="0.25">
      <c r="H454" t="s">
        <v>20843</v>
      </c>
    </row>
    <row r="455" spans="8:8" x14ac:dyDescent="0.25">
      <c r="H455" t="s">
        <v>20844</v>
      </c>
    </row>
    <row r="456" spans="8:8" x14ac:dyDescent="0.25">
      <c r="H456" t="s">
        <v>20845</v>
      </c>
    </row>
    <row r="457" spans="8:8" x14ac:dyDescent="0.25">
      <c r="H457" t="s">
        <v>20846</v>
      </c>
    </row>
    <row r="458" spans="8:8" x14ac:dyDescent="0.25">
      <c r="H458" t="s">
        <v>20847</v>
      </c>
    </row>
    <row r="459" spans="8:8" x14ac:dyDescent="0.25">
      <c r="H459" t="s">
        <v>20848</v>
      </c>
    </row>
    <row r="460" spans="8:8" x14ac:dyDescent="0.25">
      <c r="H460" t="s">
        <v>20849</v>
      </c>
    </row>
    <row r="461" spans="8:8" x14ac:dyDescent="0.25">
      <c r="H461" t="s">
        <v>20850</v>
      </c>
    </row>
    <row r="462" spans="8:8" x14ac:dyDescent="0.25">
      <c r="H462" t="s">
        <v>20851</v>
      </c>
    </row>
    <row r="463" spans="8:8" x14ac:dyDescent="0.25">
      <c r="H463" t="s">
        <v>20852</v>
      </c>
    </row>
    <row r="464" spans="8:8" x14ac:dyDescent="0.25">
      <c r="H464" t="s">
        <v>20853</v>
      </c>
    </row>
    <row r="465" spans="8:8" x14ac:dyDescent="0.25">
      <c r="H465" t="s">
        <v>20854</v>
      </c>
    </row>
    <row r="466" spans="8:8" x14ac:dyDescent="0.25">
      <c r="H466" t="s">
        <v>20855</v>
      </c>
    </row>
    <row r="467" spans="8:8" x14ac:dyDescent="0.25">
      <c r="H467" t="s">
        <v>20856</v>
      </c>
    </row>
    <row r="468" spans="8:8" x14ac:dyDescent="0.25">
      <c r="H468" t="s">
        <v>20857</v>
      </c>
    </row>
    <row r="469" spans="8:8" x14ac:dyDescent="0.25">
      <c r="H469" t="s">
        <v>20858</v>
      </c>
    </row>
    <row r="470" spans="8:8" x14ac:dyDescent="0.25">
      <c r="H470" t="s">
        <v>20859</v>
      </c>
    </row>
    <row r="471" spans="8:8" x14ac:dyDescent="0.25">
      <c r="H471" t="s">
        <v>20860</v>
      </c>
    </row>
    <row r="472" spans="8:8" x14ac:dyDescent="0.25">
      <c r="H472" t="s">
        <v>20861</v>
      </c>
    </row>
    <row r="473" spans="8:8" x14ac:dyDescent="0.25">
      <c r="H473" t="s">
        <v>20862</v>
      </c>
    </row>
    <row r="474" spans="8:8" x14ac:dyDescent="0.25">
      <c r="H474" t="s">
        <v>20863</v>
      </c>
    </row>
    <row r="475" spans="8:8" x14ac:dyDescent="0.25">
      <c r="H475" t="s">
        <v>20864</v>
      </c>
    </row>
    <row r="476" spans="8:8" x14ac:dyDescent="0.25">
      <c r="H476" t="s">
        <v>20865</v>
      </c>
    </row>
    <row r="477" spans="8:8" x14ac:dyDescent="0.25">
      <c r="H477" t="s">
        <v>20866</v>
      </c>
    </row>
    <row r="478" spans="8:8" x14ac:dyDescent="0.25">
      <c r="H478" t="s">
        <v>20867</v>
      </c>
    </row>
    <row r="479" spans="8:8" x14ac:dyDescent="0.25">
      <c r="H479" t="s">
        <v>20868</v>
      </c>
    </row>
    <row r="480" spans="8:8" x14ac:dyDescent="0.25">
      <c r="H480" t="s">
        <v>20869</v>
      </c>
    </row>
    <row r="481" spans="8:8" x14ac:dyDescent="0.25">
      <c r="H481" t="s">
        <v>20870</v>
      </c>
    </row>
    <row r="482" spans="8:8" x14ac:dyDescent="0.25">
      <c r="H482" t="s">
        <v>20871</v>
      </c>
    </row>
    <row r="483" spans="8:8" x14ac:dyDescent="0.25">
      <c r="H483" t="s">
        <v>20872</v>
      </c>
    </row>
    <row r="484" spans="8:8" x14ac:dyDescent="0.25">
      <c r="H484" t="s">
        <v>20873</v>
      </c>
    </row>
    <row r="485" spans="8:8" x14ac:dyDescent="0.25">
      <c r="H485" t="s">
        <v>20874</v>
      </c>
    </row>
    <row r="486" spans="8:8" x14ac:dyDescent="0.25">
      <c r="H486" t="s">
        <v>20875</v>
      </c>
    </row>
    <row r="487" spans="8:8" x14ac:dyDescent="0.25">
      <c r="H487" t="s">
        <v>20876</v>
      </c>
    </row>
    <row r="488" spans="8:8" x14ac:dyDescent="0.25">
      <c r="H488" t="s">
        <v>20877</v>
      </c>
    </row>
    <row r="489" spans="8:8" x14ac:dyDescent="0.25">
      <c r="H489" t="s">
        <v>20878</v>
      </c>
    </row>
    <row r="490" spans="8:8" x14ac:dyDescent="0.25">
      <c r="H490" t="s">
        <v>20879</v>
      </c>
    </row>
    <row r="491" spans="8:8" x14ac:dyDescent="0.25">
      <c r="H491" t="s">
        <v>20880</v>
      </c>
    </row>
    <row r="492" spans="8:8" x14ac:dyDescent="0.25">
      <c r="H492" t="s">
        <v>20881</v>
      </c>
    </row>
    <row r="493" spans="8:8" x14ac:dyDescent="0.25">
      <c r="H493" t="s">
        <v>20882</v>
      </c>
    </row>
    <row r="494" spans="8:8" x14ac:dyDescent="0.25">
      <c r="H494" t="s">
        <v>20883</v>
      </c>
    </row>
    <row r="495" spans="8:8" x14ac:dyDescent="0.25">
      <c r="H495" t="s">
        <v>20884</v>
      </c>
    </row>
    <row r="496" spans="8:8" x14ac:dyDescent="0.25">
      <c r="H496" t="s">
        <v>20885</v>
      </c>
    </row>
    <row r="497" spans="8:8" x14ac:dyDescent="0.25">
      <c r="H497" t="s">
        <v>20886</v>
      </c>
    </row>
    <row r="498" spans="8:8" x14ac:dyDescent="0.25">
      <c r="H498" t="s">
        <v>20887</v>
      </c>
    </row>
    <row r="499" spans="8:8" x14ac:dyDescent="0.25">
      <c r="H499" t="s">
        <v>20888</v>
      </c>
    </row>
    <row r="500" spans="8:8" x14ac:dyDescent="0.25">
      <c r="H500" t="s">
        <v>20889</v>
      </c>
    </row>
    <row r="501" spans="8:8" x14ac:dyDescent="0.25">
      <c r="H501" t="s">
        <v>20890</v>
      </c>
    </row>
    <row r="502" spans="8:8" x14ac:dyDescent="0.25">
      <c r="H502" t="s">
        <v>20891</v>
      </c>
    </row>
    <row r="503" spans="8:8" x14ac:dyDescent="0.25">
      <c r="H503" t="s">
        <v>20892</v>
      </c>
    </row>
    <row r="504" spans="8:8" x14ac:dyDescent="0.25">
      <c r="H504" t="s">
        <v>20893</v>
      </c>
    </row>
    <row r="505" spans="8:8" x14ac:dyDescent="0.25">
      <c r="H505" t="s">
        <v>20894</v>
      </c>
    </row>
    <row r="506" spans="8:8" x14ac:dyDescent="0.25">
      <c r="H506" t="s">
        <v>20895</v>
      </c>
    </row>
    <row r="507" spans="8:8" x14ac:dyDescent="0.25">
      <c r="H507" t="s">
        <v>20896</v>
      </c>
    </row>
    <row r="508" spans="8:8" x14ac:dyDescent="0.25">
      <c r="H508" t="s">
        <v>20897</v>
      </c>
    </row>
    <row r="509" spans="8:8" x14ac:dyDescent="0.25">
      <c r="H509" t="s">
        <v>20898</v>
      </c>
    </row>
    <row r="510" spans="8:8" x14ac:dyDescent="0.25">
      <c r="H510" t="s">
        <v>20899</v>
      </c>
    </row>
    <row r="511" spans="8:8" x14ac:dyDescent="0.25">
      <c r="H511" t="s">
        <v>20900</v>
      </c>
    </row>
    <row r="512" spans="8:8" x14ac:dyDescent="0.25">
      <c r="H512" t="s">
        <v>20901</v>
      </c>
    </row>
    <row r="513" spans="8:8" x14ac:dyDescent="0.25">
      <c r="H513" t="s">
        <v>20902</v>
      </c>
    </row>
    <row r="514" spans="8:8" x14ac:dyDescent="0.25">
      <c r="H514" t="s">
        <v>20903</v>
      </c>
    </row>
    <row r="515" spans="8:8" x14ac:dyDescent="0.25">
      <c r="H515" t="s">
        <v>20904</v>
      </c>
    </row>
    <row r="516" spans="8:8" x14ac:dyDescent="0.25">
      <c r="H516" t="s">
        <v>20905</v>
      </c>
    </row>
    <row r="517" spans="8:8" x14ac:dyDescent="0.25">
      <c r="H517" t="s">
        <v>20906</v>
      </c>
    </row>
    <row r="518" spans="8:8" x14ac:dyDescent="0.25">
      <c r="H518" t="s">
        <v>20907</v>
      </c>
    </row>
    <row r="519" spans="8:8" x14ac:dyDescent="0.25">
      <c r="H519" t="s">
        <v>20908</v>
      </c>
    </row>
    <row r="520" spans="8:8" x14ac:dyDescent="0.25">
      <c r="H520" t="s">
        <v>20909</v>
      </c>
    </row>
    <row r="521" spans="8:8" x14ac:dyDescent="0.25">
      <c r="H521" t="s">
        <v>20910</v>
      </c>
    </row>
    <row r="522" spans="8:8" x14ac:dyDescent="0.25">
      <c r="H522" t="s">
        <v>20911</v>
      </c>
    </row>
    <row r="523" spans="8:8" x14ac:dyDescent="0.25">
      <c r="H523" t="s">
        <v>20912</v>
      </c>
    </row>
    <row r="524" spans="8:8" x14ac:dyDescent="0.25">
      <c r="H524" t="s">
        <v>20913</v>
      </c>
    </row>
    <row r="525" spans="8:8" x14ac:dyDescent="0.25">
      <c r="H525" t="s">
        <v>20914</v>
      </c>
    </row>
    <row r="526" spans="8:8" x14ac:dyDescent="0.25">
      <c r="H526" t="s">
        <v>20915</v>
      </c>
    </row>
    <row r="527" spans="8:8" x14ac:dyDescent="0.25">
      <c r="H527" t="s">
        <v>20916</v>
      </c>
    </row>
    <row r="528" spans="8:8" x14ac:dyDescent="0.25">
      <c r="H528" t="s">
        <v>20917</v>
      </c>
    </row>
    <row r="529" spans="8:8" x14ac:dyDescent="0.25">
      <c r="H529" t="s">
        <v>20918</v>
      </c>
    </row>
    <row r="530" spans="8:8" x14ac:dyDescent="0.25">
      <c r="H530" t="s">
        <v>20919</v>
      </c>
    </row>
    <row r="531" spans="8:8" x14ac:dyDescent="0.25">
      <c r="H531" t="s">
        <v>20920</v>
      </c>
    </row>
    <row r="532" spans="8:8" x14ac:dyDescent="0.25">
      <c r="H532" t="s">
        <v>20921</v>
      </c>
    </row>
    <row r="533" spans="8:8" x14ac:dyDescent="0.25">
      <c r="H533" t="s">
        <v>20922</v>
      </c>
    </row>
    <row r="534" spans="8:8" x14ac:dyDescent="0.25">
      <c r="H534" t="s">
        <v>20923</v>
      </c>
    </row>
    <row r="535" spans="8:8" x14ac:dyDescent="0.25">
      <c r="H535" t="s">
        <v>20924</v>
      </c>
    </row>
    <row r="536" spans="8:8" x14ac:dyDescent="0.25">
      <c r="H536" t="s">
        <v>20925</v>
      </c>
    </row>
    <row r="537" spans="8:8" x14ac:dyDescent="0.25">
      <c r="H537" t="s">
        <v>20926</v>
      </c>
    </row>
    <row r="538" spans="8:8" x14ac:dyDescent="0.25">
      <c r="H538" t="s">
        <v>20927</v>
      </c>
    </row>
    <row r="539" spans="8:8" x14ac:dyDescent="0.25">
      <c r="H539" t="s">
        <v>20928</v>
      </c>
    </row>
    <row r="540" spans="8:8" x14ac:dyDescent="0.25">
      <c r="H540" t="s">
        <v>20929</v>
      </c>
    </row>
    <row r="541" spans="8:8" x14ac:dyDescent="0.25">
      <c r="H541" t="s">
        <v>20930</v>
      </c>
    </row>
    <row r="542" spans="8:8" x14ac:dyDescent="0.25">
      <c r="H542" t="s">
        <v>20931</v>
      </c>
    </row>
    <row r="543" spans="8:8" x14ac:dyDescent="0.25">
      <c r="H543" t="s">
        <v>20932</v>
      </c>
    </row>
    <row r="544" spans="8:8" x14ac:dyDescent="0.25">
      <c r="H544" t="s">
        <v>20933</v>
      </c>
    </row>
    <row r="545" spans="8:8" x14ac:dyDescent="0.25">
      <c r="H545" t="s">
        <v>20934</v>
      </c>
    </row>
    <row r="546" spans="8:8" x14ac:dyDescent="0.25">
      <c r="H546" t="s">
        <v>20935</v>
      </c>
    </row>
    <row r="547" spans="8:8" x14ac:dyDescent="0.25">
      <c r="H547" t="s">
        <v>20936</v>
      </c>
    </row>
    <row r="548" spans="8:8" x14ac:dyDescent="0.25">
      <c r="H548" t="s">
        <v>20937</v>
      </c>
    </row>
    <row r="549" spans="8:8" x14ac:dyDescent="0.25">
      <c r="H549" t="s">
        <v>20938</v>
      </c>
    </row>
    <row r="550" spans="8:8" x14ac:dyDescent="0.25">
      <c r="H550" t="s">
        <v>20939</v>
      </c>
    </row>
    <row r="551" spans="8:8" x14ac:dyDescent="0.25">
      <c r="H551" t="s">
        <v>20940</v>
      </c>
    </row>
    <row r="552" spans="8:8" x14ac:dyDescent="0.25">
      <c r="H552" t="s">
        <v>20941</v>
      </c>
    </row>
    <row r="553" spans="8:8" x14ac:dyDescent="0.25">
      <c r="H553" t="s">
        <v>20942</v>
      </c>
    </row>
    <row r="554" spans="8:8" x14ac:dyDescent="0.25">
      <c r="H554" t="s">
        <v>20943</v>
      </c>
    </row>
    <row r="555" spans="8:8" x14ac:dyDescent="0.25">
      <c r="H555" t="s">
        <v>20944</v>
      </c>
    </row>
    <row r="556" spans="8:8" x14ac:dyDescent="0.25">
      <c r="H556" t="s">
        <v>20945</v>
      </c>
    </row>
    <row r="557" spans="8:8" x14ac:dyDescent="0.25">
      <c r="H557" t="s">
        <v>20946</v>
      </c>
    </row>
    <row r="558" spans="8:8" x14ac:dyDescent="0.25">
      <c r="H558" t="s">
        <v>20947</v>
      </c>
    </row>
    <row r="559" spans="8:8" x14ac:dyDescent="0.25">
      <c r="H559" t="s">
        <v>20948</v>
      </c>
    </row>
    <row r="560" spans="8:8" x14ac:dyDescent="0.25">
      <c r="H560" t="s">
        <v>20949</v>
      </c>
    </row>
    <row r="561" spans="8:8" x14ac:dyDescent="0.25">
      <c r="H561" t="s">
        <v>20950</v>
      </c>
    </row>
    <row r="562" spans="8:8" x14ac:dyDescent="0.25">
      <c r="H562" t="s">
        <v>20951</v>
      </c>
    </row>
    <row r="563" spans="8:8" x14ac:dyDescent="0.25">
      <c r="H563" t="s">
        <v>20952</v>
      </c>
    </row>
    <row r="564" spans="8:8" x14ac:dyDescent="0.25">
      <c r="H564" t="s">
        <v>20953</v>
      </c>
    </row>
    <row r="565" spans="8:8" x14ac:dyDescent="0.25">
      <c r="H565" t="s">
        <v>20954</v>
      </c>
    </row>
    <row r="566" spans="8:8" x14ac:dyDescent="0.25">
      <c r="H566" t="s">
        <v>20955</v>
      </c>
    </row>
    <row r="567" spans="8:8" x14ac:dyDescent="0.25">
      <c r="H567" t="s">
        <v>20956</v>
      </c>
    </row>
    <row r="568" spans="8:8" x14ac:dyDescent="0.25">
      <c r="H568" t="s">
        <v>20957</v>
      </c>
    </row>
    <row r="569" spans="8:8" x14ac:dyDescent="0.25">
      <c r="H569" t="s">
        <v>20958</v>
      </c>
    </row>
    <row r="570" spans="8:8" x14ac:dyDescent="0.25">
      <c r="H570" t="s">
        <v>20959</v>
      </c>
    </row>
    <row r="571" spans="8:8" x14ac:dyDescent="0.25">
      <c r="H571" t="s">
        <v>20960</v>
      </c>
    </row>
    <row r="572" spans="8:8" x14ac:dyDescent="0.25">
      <c r="H572" t="s">
        <v>20961</v>
      </c>
    </row>
    <row r="573" spans="8:8" x14ac:dyDescent="0.25">
      <c r="H573" t="s">
        <v>20962</v>
      </c>
    </row>
    <row r="574" spans="8:8" x14ac:dyDescent="0.25">
      <c r="H574" t="s">
        <v>20963</v>
      </c>
    </row>
    <row r="575" spans="8:8" x14ac:dyDescent="0.25">
      <c r="H575" t="s">
        <v>20964</v>
      </c>
    </row>
    <row r="576" spans="8:8" x14ac:dyDescent="0.25">
      <c r="H576" t="s">
        <v>20965</v>
      </c>
    </row>
    <row r="577" spans="8:8" x14ac:dyDescent="0.25">
      <c r="H577" t="s">
        <v>20966</v>
      </c>
    </row>
    <row r="578" spans="8:8" x14ac:dyDescent="0.25">
      <c r="H578" t="s">
        <v>20967</v>
      </c>
    </row>
    <row r="579" spans="8:8" x14ac:dyDescent="0.25">
      <c r="H579" t="s">
        <v>20968</v>
      </c>
    </row>
    <row r="580" spans="8:8" x14ac:dyDescent="0.25">
      <c r="H580" t="s">
        <v>20969</v>
      </c>
    </row>
    <row r="581" spans="8:8" x14ac:dyDescent="0.25">
      <c r="H581" t="s">
        <v>20970</v>
      </c>
    </row>
    <row r="582" spans="8:8" x14ac:dyDescent="0.25">
      <c r="H582" t="s">
        <v>20971</v>
      </c>
    </row>
    <row r="583" spans="8:8" x14ac:dyDescent="0.25">
      <c r="H583" t="s">
        <v>20972</v>
      </c>
    </row>
    <row r="584" spans="8:8" x14ac:dyDescent="0.25">
      <c r="H584" t="s">
        <v>20973</v>
      </c>
    </row>
    <row r="585" spans="8:8" x14ac:dyDescent="0.25">
      <c r="H585" t="s">
        <v>20974</v>
      </c>
    </row>
    <row r="586" spans="8:8" x14ac:dyDescent="0.25">
      <c r="H586" t="s">
        <v>20975</v>
      </c>
    </row>
    <row r="587" spans="8:8" x14ac:dyDescent="0.25">
      <c r="H587" t="s">
        <v>20976</v>
      </c>
    </row>
    <row r="588" spans="8:8" x14ac:dyDescent="0.25">
      <c r="H588" t="s">
        <v>20977</v>
      </c>
    </row>
    <row r="589" spans="8:8" x14ac:dyDescent="0.25">
      <c r="H589" t="s">
        <v>20978</v>
      </c>
    </row>
    <row r="590" spans="8:8" x14ac:dyDescent="0.25">
      <c r="H590" t="s">
        <v>20979</v>
      </c>
    </row>
    <row r="591" spans="8:8" x14ac:dyDescent="0.25">
      <c r="H591" t="s">
        <v>20980</v>
      </c>
    </row>
    <row r="592" spans="8:8" x14ac:dyDescent="0.25">
      <c r="H592" t="s">
        <v>20981</v>
      </c>
    </row>
    <row r="593" spans="8:8" x14ac:dyDescent="0.25">
      <c r="H593" t="s">
        <v>20982</v>
      </c>
    </row>
    <row r="594" spans="8:8" x14ac:dyDescent="0.25">
      <c r="H594" t="s">
        <v>20983</v>
      </c>
    </row>
    <row r="595" spans="8:8" x14ac:dyDescent="0.25">
      <c r="H595" t="s">
        <v>20984</v>
      </c>
    </row>
    <row r="596" spans="8:8" x14ac:dyDescent="0.25">
      <c r="H596" t="s">
        <v>20985</v>
      </c>
    </row>
    <row r="597" spans="8:8" x14ac:dyDescent="0.25">
      <c r="H597" t="s">
        <v>20986</v>
      </c>
    </row>
    <row r="598" spans="8:8" x14ac:dyDescent="0.25">
      <c r="H598" t="s">
        <v>20987</v>
      </c>
    </row>
    <row r="599" spans="8:8" x14ac:dyDescent="0.25">
      <c r="H599" t="s">
        <v>20988</v>
      </c>
    </row>
    <row r="600" spans="8:8" x14ac:dyDescent="0.25">
      <c r="H600" t="s">
        <v>20989</v>
      </c>
    </row>
    <row r="601" spans="8:8" x14ac:dyDescent="0.25">
      <c r="H601" t="s">
        <v>20990</v>
      </c>
    </row>
    <row r="602" spans="8:8" x14ac:dyDescent="0.25">
      <c r="H602" t="s">
        <v>20991</v>
      </c>
    </row>
    <row r="603" spans="8:8" x14ac:dyDescent="0.25">
      <c r="H603" t="s">
        <v>20992</v>
      </c>
    </row>
    <row r="604" spans="8:8" x14ac:dyDescent="0.25">
      <c r="H604" t="s">
        <v>20993</v>
      </c>
    </row>
    <row r="605" spans="8:8" x14ac:dyDescent="0.25">
      <c r="H605" t="s">
        <v>20994</v>
      </c>
    </row>
    <row r="606" spans="8:8" x14ac:dyDescent="0.25">
      <c r="H606" t="s">
        <v>20995</v>
      </c>
    </row>
    <row r="607" spans="8:8" x14ac:dyDescent="0.25">
      <c r="H607" t="s">
        <v>20996</v>
      </c>
    </row>
    <row r="608" spans="8:8" x14ac:dyDescent="0.25">
      <c r="H608" t="s">
        <v>20997</v>
      </c>
    </row>
    <row r="609" spans="8:8" x14ac:dyDescent="0.25">
      <c r="H609" t="s">
        <v>20998</v>
      </c>
    </row>
    <row r="610" spans="8:8" x14ac:dyDescent="0.25">
      <c r="H610" t="s">
        <v>20999</v>
      </c>
    </row>
    <row r="611" spans="8:8" x14ac:dyDescent="0.25">
      <c r="H611" t="s">
        <v>21000</v>
      </c>
    </row>
    <row r="612" spans="8:8" x14ac:dyDescent="0.25">
      <c r="H612" t="s">
        <v>21001</v>
      </c>
    </row>
    <row r="613" spans="8:8" x14ac:dyDescent="0.25">
      <c r="H613" t="s">
        <v>21002</v>
      </c>
    </row>
    <row r="614" spans="8:8" x14ac:dyDescent="0.25">
      <c r="H614" t="s">
        <v>21003</v>
      </c>
    </row>
    <row r="615" spans="8:8" x14ac:dyDescent="0.25">
      <c r="H615" t="s">
        <v>21004</v>
      </c>
    </row>
    <row r="616" spans="8:8" x14ac:dyDescent="0.25">
      <c r="H616" t="s">
        <v>21005</v>
      </c>
    </row>
    <row r="617" spans="8:8" x14ac:dyDescent="0.25">
      <c r="H617" t="s">
        <v>21006</v>
      </c>
    </row>
    <row r="618" spans="8:8" x14ac:dyDescent="0.25">
      <c r="H618" t="s">
        <v>21007</v>
      </c>
    </row>
    <row r="619" spans="8:8" x14ac:dyDescent="0.25">
      <c r="H619" t="s">
        <v>21008</v>
      </c>
    </row>
    <row r="620" spans="8:8" x14ac:dyDescent="0.25">
      <c r="H620" t="s">
        <v>21009</v>
      </c>
    </row>
    <row r="621" spans="8:8" x14ac:dyDescent="0.25">
      <c r="H621" t="s">
        <v>21010</v>
      </c>
    </row>
    <row r="622" spans="8:8" x14ac:dyDescent="0.25">
      <c r="H622" t="s">
        <v>21011</v>
      </c>
    </row>
    <row r="623" spans="8:8" x14ac:dyDescent="0.25">
      <c r="H623" t="s">
        <v>21012</v>
      </c>
    </row>
    <row r="624" spans="8:8" x14ac:dyDescent="0.25">
      <c r="H624" t="s">
        <v>21013</v>
      </c>
    </row>
    <row r="625" spans="8:8" x14ac:dyDescent="0.25">
      <c r="H625" t="s">
        <v>21014</v>
      </c>
    </row>
    <row r="626" spans="8:8" x14ac:dyDescent="0.25">
      <c r="H626" t="s">
        <v>21015</v>
      </c>
    </row>
    <row r="627" spans="8:8" x14ac:dyDescent="0.25">
      <c r="H627" t="s">
        <v>21016</v>
      </c>
    </row>
    <row r="628" spans="8:8" x14ac:dyDescent="0.25">
      <c r="H628" t="s">
        <v>21017</v>
      </c>
    </row>
    <row r="629" spans="8:8" x14ac:dyDescent="0.25">
      <c r="H629" t="s">
        <v>21018</v>
      </c>
    </row>
    <row r="630" spans="8:8" x14ac:dyDescent="0.25">
      <c r="H630" t="s">
        <v>21019</v>
      </c>
    </row>
    <row r="631" spans="8:8" x14ac:dyDescent="0.25">
      <c r="H631" t="s">
        <v>21020</v>
      </c>
    </row>
    <row r="632" spans="8:8" x14ac:dyDescent="0.25">
      <c r="H632" t="s">
        <v>21021</v>
      </c>
    </row>
    <row r="633" spans="8:8" x14ac:dyDescent="0.25">
      <c r="H633" t="s">
        <v>21022</v>
      </c>
    </row>
    <row r="634" spans="8:8" x14ac:dyDescent="0.25">
      <c r="H634" t="s">
        <v>21023</v>
      </c>
    </row>
    <row r="635" spans="8:8" x14ac:dyDescent="0.25">
      <c r="H635" t="s">
        <v>21024</v>
      </c>
    </row>
    <row r="636" spans="8:8" x14ac:dyDescent="0.25">
      <c r="H636" t="s">
        <v>21025</v>
      </c>
    </row>
    <row r="637" spans="8:8" x14ac:dyDescent="0.25">
      <c r="H637" t="s">
        <v>21026</v>
      </c>
    </row>
    <row r="638" spans="8:8" x14ac:dyDescent="0.25">
      <c r="H638" t="s">
        <v>21027</v>
      </c>
    </row>
    <row r="639" spans="8:8" x14ac:dyDescent="0.25">
      <c r="H639" t="s">
        <v>21028</v>
      </c>
    </row>
    <row r="640" spans="8:8" x14ac:dyDescent="0.25">
      <c r="H640" t="s">
        <v>21029</v>
      </c>
    </row>
    <row r="641" spans="8:8" x14ac:dyDescent="0.25">
      <c r="H641" t="s">
        <v>21030</v>
      </c>
    </row>
    <row r="642" spans="8:8" x14ac:dyDescent="0.25">
      <c r="H642" t="s">
        <v>21031</v>
      </c>
    </row>
    <row r="643" spans="8:8" x14ac:dyDescent="0.25">
      <c r="H643" t="s">
        <v>21032</v>
      </c>
    </row>
    <row r="644" spans="8:8" x14ac:dyDescent="0.25">
      <c r="H644" t="s">
        <v>21033</v>
      </c>
    </row>
    <row r="645" spans="8:8" x14ac:dyDescent="0.25">
      <c r="H645" t="s">
        <v>21034</v>
      </c>
    </row>
    <row r="646" spans="8:8" x14ac:dyDescent="0.25">
      <c r="H646" t="s">
        <v>21035</v>
      </c>
    </row>
    <row r="647" spans="8:8" x14ac:dyDescent="0.25">
      <c r="H647" t="s">
        <v>21036</v>
      </c>
    </row>
    <row r="648" spans="8:8" x14ac:dyDescent="0.25">
      <c r="H648" t="s">
        <v>21037</v>
      </c>
    </row>
    <row r="649" spans="8:8" x14ac:dyDescent="0.25">
      <c r="H649" t="s">
        <v>21038</v>
      </c>
    </row>
    <row r="650" spans="8:8" x14ac:dyDescent="0.25">
      <c r="H650" t="s">
        <v>21039</v>
      </c>
    </row>
    <row r="651" spans="8:8" x14ac:dyDescent="0.25">
      <c r="H651" t="s">
        <v>21040</v>
      </c>
    </row>
    <row r="652" spans="8:8" x14ac:dyDescent="0.25">
      <c r="H652" t="s">
        <v>21041</v>
      </c>
    </row>
    <row r="653" spans="8:8" x14ac:dyDescent="0.25">
      <c r="H653" t="s">
        <v>21042</v>
      </c>
    </row>
    <row r="654" spans="8:8" x14ac:dyDescent="0.25">
      <c r="H654" t="s">
        <v>21043</v>
      </c>
    </row>
    <row r="655" spans="8:8" x14ac:dyDescent="0.25">
      <c r="H655" t="s">
        <v>21044</v>
      </c>
    </row>
    <row r="656" spans="8:8" x14ac:dyDescent="0.25">
      <c r="H656" t="s">
        <v>21045</v>
      </c>
    </row>
    <row r="657" spans="8:8" x14ac:dyDescent="0.25">
      <c r="H657" t="s">
        <v>21046</v>
      </c>
    </row>
    <row r="658" spans="8:8" x14ac:dyDescent="0.25">
      <c r="H658" t="s">
        <v>21047</v>
      </c>
    </row>
    <row r="659" spans="8:8" x14ac:dyDescent="0.25">
      <c r="H659" t="s">
        <v>21048</v>
      </c>
    </row>
    <row r="660" spans="8:8" x14ac:dyDescent="0.25">
      <c r="H660" t="s">
        <v>21049</v>
      </c>
    </row>
    <row r="661" spans="8:8" x14ac:dyDescent="0.25">
      <c r="H661" t="s">
        <v>21050</v>
      </c>
    </row>
    <row r="662" spans="8:8" x14ac:dyDescent="0.25">
      <c r="H662" t="s">
        <v>21051</v>
      </c>
    </row>
    <row r="663" spans="8:8" x14ac:dyDescent="0.25">
      <c r="H663" t="s">
        <v>21052</v>
      </c>
    </row>
    <row r="664" spans="8:8" x14ac:dyDescent="0.25">
      <c r="H664" t="s">
        <v>21053</v>
      </c>
    </row>
    <row r="665" spans="8:8" x14ac:dyDescent="0.25">
      <c r="H665" t="s">
        <v>21054</v>
      </c>
    </row>
    <row r="666" spans="8:8" x14ac:dyDescent="0.25">
      <c r="H666" t="s">
        <v>21055</v>
      </c>
    </row>
    <row r="667" spans="8:8" x14ac:dyDescent="0.25">
      <c r="H667" t="s">
        <v>21056</v>
      </c>
    </row>
    <row r="668" spans="8:8" x14ac:dyDescent="0.25">
      <c r="H668" t="s">
        <v>21057</v>
      </c>
    </row>
    <row r="669" spans="8:8" x14ac:dyDescent="0.25">
      <c r="H669" t="s">
        <v>21058</v>
      </c>
    </row>
    <row r="670" spans="8:8" x14ac:dyDescent="0.25">
      <c r="H670" t="s">
        <v>21059</v>
      </c>
    </row>
    <row r="671" spans="8:8" x14ac:dyDescent="0.25">
      <c r="H671" t="s">
        <v>21060</v>
      </c>
    </row>
    <row r="672" spans="8:8" x14ac:dyDescent="0.25">
      <c r="H672" t="s">
        <v>21061</v>
      </c>
    </row>
    <row r="673" spans="8:8" x14ac:dyDescent="0.25">
      <c r="H673" t="s">
        <v>21062</v>
      </c>
    </row>
    <row r="674" spans="8:8" x14ac:dyDescent="0.25">
      <c r="H674" t="s">
        <v>21063</v>
      </c>
    </row>
    <row r="675" spans="8:8" x14ac:dyDescent="0.25">
      <c r="H675" t="s">
        <v>21064</v>
      </c>
    </row>
    <row r="676" spans="8:8" x14ac:dyDescent="0.25">
      <c r="H676" t="s">
        <v>21065</v>
      </c>
    </row>
    <row r="677" spans="8:8" x14ac:dyDescent="0.25">
      <c r="H677" t="s">
        <v>21066</v>
      </c>
    </row>
    <row r="678" spans="8:8" x14ac:dyDescent="0.25">
      <c r="H678" t="s">
        <v>21067</v>
      </c>
    </row>
    <row r="679" spans="8:8" x14ac:dyDescent="0.25">
      <c r="H679" t="s">
        <v>21068</v>
      </c>
    </row>
    <row r="680" spans="8:8" x14ac:dyDescent="0.25">
      <c r="H680" t="s">
        <v>21069</v>
      </c>
    </row>
    <row r="681" spans="8:8" x14ac:dyDescent="0.25">
      <c r="H681" t="s">
        <v>21070</v>
      </c>
    </row>
    <row r="682" spans="8:8" x14ac:dyDescent="0.25">
      <c r="H682" t="s">
        <v>21071</v>
      </c>
    </row>
    <row r="683" spans="8:8" x14ac:dyDescent="0.25">
      <c r="H683" t="s">
        <v>21072</v>
      </c>
    </row>
    <row r="684" spans="8:8" x14ac:dyDescent="0.25">
      <c r="H684" t="s">
        <v>21073</v>
      </c>
    </row>
    <row r="685" spans="8:8" x14ac:dyDescent="0.25">
      <c r="H685" t="s">
        <v>21074</v>
      </c>
    </row>
    <row r="686" spans="8:8" x14ac:dyDescent="0.25">
      <c r="H686" t="s">
        <v>21075</v>
      </c>
    </row>
    <row r="687" spans="8:8" x14ac:dyDescent="0.25">
      <c r="H687" t="s">
        <v>21076</v>
      </c>
    </row>
    <row r="688" spans="8:8" x14ac:dyDescent="0.25">
      <c r="H688" t="s">
        <v>21077</v>
      </c>
    </row>
    <row r="689" spans="8:8" x14ac:dyDescent="0.25">
      <c r="H689" t="s">
        <v>21078</v>
      </c>
    </row>
    <row r="690" spans="8:8" x14ac:dyDescent="0.25">
      <c r="H690" t="s">
        <v>21079</v>
      </c>
    </row>
    <row r="691" spans="8:8" x14ac:dyDescent="0.25">
      <c r="H691" t="s">
        <v>21080</v>
      </c>
    </row>
    <row r="692" spans="8:8" x14ac:dyDescent="0.25">
      <c r="H692" t="s">
        <v>21081</v>
      </c>
    </row>
    <row r="693" spans="8:8" x14ac:dyDescent="0.25">
      <c r="H693" t="s">
        <v>21082</v>
      </c>
    </row>
    <row r="694" spans="8:8" x14ac:dyDescent="0.25">
      <c r="H694" t="s">
        <v>21083</v>
      </c>
    </row>
    <row r="695" spans="8:8" x14ac:dyDescent="0.25">
      <c r="H695" t="s">
        <v>21084</v>
      </c>
    </row>
    <row r="696" spans="8:8" x14ac:dyDescent="0.25">
      <c r="H696" t="s">
        <v>21085</v>
      </c>
    </row>
    <row r="697" spans="8:8" x14ac:dyDescent="0.25">
      <c r="H697" t="s">
        <v>21086</v>
      </c>
    </row>
    <row r="698" spans="8:8" x14ac:dyDescent="0.25">
      <c r="H698" t="s">
        <v>21087</v>
      </c>
    </row>
    <row r="699" spans="8:8" x14ac:dyDescent="0.25">
      <c r="H699" t="s">
        <v>21088</v>
      </c>
    </row>
    <row r="700" spans="8:8" x14ac:dyDescent="0.25">
      <c r="H700" t="s">
        <v>21089</v>
      </c>
    </row>
    <row r="701" spans="8:8" x14ac:dyDescent="0.25">
      <c r="H701" t="s">
        <v>21090</v>
      </c>
    </row>
    <row r="702" spans="8:8" x14ac:dyDescent="0.25">
      <c r="H702" t="s">
        <v>21091</v>
      </c>
    </row>
    <row r="703" spans="8:8" x14ac:dyDescent="0.25">
      <c r="H703" t="s">
        <v>21092</v>
      </c>
    </row>
    <row r="704" spans="8:8" x14ac:dyDescent="0.25">
      <c r="H704" t="s">
        <v>21093</v>
      </c>
    </row>
    <row r="705" spans="8:8" x14ac:dyDescent="0.25">
      <c r="H705" t="s">
        <v>21094</v>
      </c>
    </row>
    <row r="706" spans="8:8" x14ac:dyDescent="0.25">
      <c r="H706" t="s">
        <v>21095</v>
      </c>
    </row>
    <row r="707" spans="8:8" x14ac:dyDescent="0.25">
      <c r="H707" t="s">
        <v>21096</v>
      </c>
    </row>
    <row r="708" spans="8:8" x14ac:dyDescent="0.25">
      <c r="H708" t="s">
        <v>21097</v>
      </c>
    </row>
    <row r="709" spans="8:8" x14ac:dyDescent="0.25">
      <c r="H709" t="s">
        <v>21098</v>
      </c>
    </row>
    <row r="710" spans="8:8" x14ac:dyDescent="0.25">
      <c r="H710" t="s">
        <v>21099</v>
      </c>
    </row>
    <row r="711" spans="8:8" x14ac:dyDescent="0.25">
      <c r="H711" t="s">
        <v>21100</v>
      </c>
    </row>
    <row r="712" spans="8:8" x14ac:dyDescent="0.25">
      <c r="H712" t="s">
        <v>21101</v>
      </c>
    </row>
    <row r="713" spans="8:8" x14ac:dyDescent="0.25">
      <c r="H713" t="s">
        <v>21102</v>
      </c>
    </row>
    <row r="714" spans="8:8" x14ac:dyDescent="0.25">
      <c r="H714" t="s">
        <v>21103</v>
      </c>
    </row>
    <row r="715" spans="8:8" x14ac:dyDescent="0.25">
      <c r="H715" t="s">
        <v>21104</v>
      </c>
    </row>
    <row r="716" spans="8:8" x14ac:dyDescent="0.25">
      <c r="H716" t="s">
        <v>21105</v>
      </c>
    </row>
    <row r="717" spans="8:8" x14ac:dyDescent="0.25">
      <c r="H717" t="s">
        <v>21106</v>
      </c>
    </row>
    <row r="718" spans="8:8" x14ac:dyDescent="0.25">
      <c r="H718" t="s">
        <v>21107</v>
      </c>
    </row>
    <row r="719" spans="8:8" x14ac:dyDescent="0.25">
      <c r="H719" t="s">
        <v>21108</v>
      </c>
    </row>
    <row r="720" spans="8:8" x14ac:dyDescent="0.25">
      <c r="H720" t="s">
        <v>21109</v>
      </c>
    </row>
    <row r="721" spans="8:8" x14ac:dyDescent="0.25">
      <c r="H721" t="s">
        <v>21110</v>
      </c>
    </row>
    <row r="722" spans="8:8" x14ac:dyDescent="0.25">
      <c r="H722" t="s">
        <v>21111</v>
      </c>
    </row>
    <row r="723" spans="8:8" x14ac:dyDescent="0.25">
      <c r="H723" t="s">
        <v>21112</v>
      </c>
    </row>
    <row r="724" spans="8:8" x14ac:dyDescent="0.25">
      <c r="H724" t="s">
        <v>21113</v>
      </c>
    </row>
    <row r="725" spans="8:8" x14ac:dyDescent="0.25">
      <c r="H725" t="s">
        <v>21114</v>
      </c>
    </row>
    <row r="726" spans="8:8" x14ac:dyDescent="0.25">
      <c r="H726" t="s">
        <v>21115</v>
      </c>
    </row>
    <row r="727" spans="8:8" x14ac:dyDescent="0.25">
      <c r="H727" t="s">
        <v>21116</v>
      </c>
    </row>
    <row r="728" spans="8:8" x14ac:dyDescent="0.25">
      <c r="H728" t="s">
        <v>21117</v>
      </c>
    </row>
    <row r="729" spans="8:8" x14ac:dyDescent="0.25">
      <c r="H729" t="s">
        <v>21118</v>
      </c>
    </row>
    <row r="730" spans="8:8" x14ac:dyDescent="0.25">
      <c r="H730" t="s">
        <v>21119</v>
      </c>
    </row>
    <row r="731" spans="8:8" x14ac:dyDescent="0.25">
      <c r="H731" t="s">
        <v>21120</v>
      </c>
    </row>
    <row r="732" spans="8:8" x14ac:dyDescent="0.25">
      <c r="H732" t="s">
        <v>21121</v>
      </c>
    </row>
    <row r="733" spans="8:8" x14ac:dyDescent="0.25">
      <c r="H733" t="s">
        <v>21122</v>
      </c>
    </row>
    <row r="734" spans="8:8" x14ac:dyDescent="0.25">
      <c r="H734" t="s">
        <v>21123</v>
      </c>
    </row>
    <row r="735" spans="8:8" x14ac:dyDescent="0.25">
      <c r="H735" t="s">
        <v>21124</v>
      </c>
    </row>
    <row r="736" spans="8:8" x14ac:dyDescent="0.25">
      <c r="H736" t="s">
        <v>21125</v>
      </c>
    </row>
    <row r="737" spans="8:8" x14ac:dyDescent="0.25">
      <c r="H737" t="s">
        <v>21126</v>
      </c>
    </row>
    <row r="738" spans="8:8" x14ac:dyDescent="0.25">
      <c r="H738" t="s">
        <v>21127</v>
      </c>
    </row>
    <row r="739" spans="8:8" x14ac:dyDescent="0.25">
      <c r="H739" t="s">
        <v>21128</v>
      </c>
    </row>
    <row r="740" spans="8:8" x14ac:dyDescent="0.25">
      <c r="H740" t="s">
        <v>21129</v>
      </c>
    </row>
    <row r="741" spans="8:8" x14ac:dyDescent="0.25">
      <c r="H741" t="s">
        <v>21130</v>
      </c>
    </row>
    <row r="742" spans="8:8" x14ac:dyDescent="0.25">
      <c r="H742" t="s">
        <v>21131</v>
      </c>
    </row>
    <row r="743" spans="8:8" x14ac:dyDescent="0.25">
      <c r="H743" t="s">
        <v>21132</v>
      </c>
    </row>
    <row r="744" spans="8:8" x14ac:dyDescent="0.25">
      <c r="H744" t="s">
        <v>21133</v>
      </c>
    </row>
    <row r="745" spans="8:8" x14ac:dyDescent="0.25">
      <c r="H745" t="s">
        <v>21134</v>
      </c>
    </row>
    <row r="746" spans="8:8" x14ac:dyDescent="0.25">
      <c r="H746" t="s">
        <v>21135</v>
      </c>
    </row>
    <row r="747" spans="8:8" x14ac:dyDescent="0.25">
      <c r="H747" t="s">
        <v>21136</v>
      </c>
    </row>
    <row r="748" spans="8:8" x14ac:dyDescent="0.25">
      <c r="H748" t="s">
        <v>21137</v>
      </c>
    </row>
    <row r="749" spans="8:8" x14ac:dyDescent="0.25">
      <c r="H749" t="s">
        <v>21138</v>
      </c>
    </row>
    <row r="750" spans="8:8" x14ac:dyDescent="0.25">
      <c r="H750" t="s">
        <v>21139</v>
      </c>
    </row>
    <row r="751" spans="8:8" x14ac:dyDescent="0.25">
      <c r="H751" t="s">
        <v>21140</v>
      </c>
    </row>
    <row r="752" spans="8:8" x14ac:dyDescent="0.25">
      <c r="H752" t="s">
        <v>21141</v>
      </c>
    </row>
    <row r="753" spans="8:8" x14ac:dyDescent="0.25">
      <c r="H753" t="s">
        <v>21142</v>
      </c>
    </row>
    <row r="754" spans="8:8" x14ac:dyDescent="0.25">
      <c r="H754" t="s">
        <v>21143</v>
      </c>
    </row>
    <row r="755" spans="8:8" x14ac:dyDescent="0.25">
      <c r="H755" t="s">
        <v>21144</v>
      </c>
    </row>
    <row r="756" spans="8:8" x14ac:dyDescent="0.25">
      <c r="H756" t="s">
        <v>21145</v>
      </c>
    </row>
    <row r="757" spans="8:8" x14ac:dyDescent="0.25">
      <c r="H757" t="s">
        <v>21146</v>
      </c>
    </row>
    <row r="758" spans="8:8" x14ac:dyDescent="0.25">
      <c r="H758" t="s">
        <v>21147</v>
      </c>
    </row>
    <row r="759" spans="8:8" x14ac:dyDescent="0.25">
      <c r="H759" t="s">
        <v>21148</v>
      </c>
    </row>
    <row r="760" spans="8:8" x14ac:dyDescent="0.25">
      <c r="H760" t="s">
        <v>21149</v>
      </c>
    </row>
    <row r="761" spans="8:8" x14ac:dyDescent="0.25">
      <c r="H761" t="s">
        <v>21150</v>
      </c>
    </row>
    <row r="762" spans="8:8" x14ac:dyDescent="0.25">
      <c r="H762" t="s">
        <v>21151</v>
      </c>
    </row>
    <row r="763" spans="8:8" x14ac:dyDescent="0.25">
      <c r="H763" t="s">
        <v>21152</v>
      </c>
    </row>
    <row r="764" spans="8:8" x14ac:dyDescent="0.25">
      <c r="H764" t="s">
        <v>21153</v>
      </c>
    </row>
    <row r="765" spans="8:8" x14ac:dyDescent="0.25">
      <c r="H765" t="s">
        <v>21154</v>
      </c>
    </row>
    <row r="766" spans="8:8" x14ac:dyDescent="0.25">
      <c r="H766" t="s">
        <v>21155</v>
      </c>
    </row>
    <row r="767" spans="8:8" x14ac:dyDescent="0.25">
      <c r="H767" t="s">
        <v>21156</v>
      </c>
    </row>
    <row r="768" spans="8:8" x14ac:dyDescent="0.25">
      <c r="H768" t="s">
        <v>21157</v>
      </c>
    </row>
    <row r="769" spans="8:8" x14ac:dyDescent="0.25">
      <c r="H769" t="s">
        <v>21158</v>
      </c>
    </row>
    <row r="770" spans="8:8" x14ac:dyDescent="0.25">
      <c r="H770" t="s">
        <v>21159</v>
      </c>
    </row>
    <row r="771" spans="8:8" x14ac:dyDescent="0.25">
      <c r="H771" t="s">
        <v>21160</v>
      </c>
    </row>
    <row r="772" spans="8:8" x14ac:dyDescent="0.25">
      <c r="H772" t="s">
        <v>21161</v>
      </c>
    </row>
    <row r="773" spans="8:8" x14ac:dyDescent="0.25">
      <c r="H773" t="s">
        <v>21162</v>
      </c>
    </row>
    <row r="774" spans="8:8" x14ac:dyDescent="0.25">
      <c r="H774" t="s">
        <v>21163</v>
      </c>
    </row>
    <row r="775" spans="8:8" x14ac:dyDescent="0.25">
      <c r="H775" t="s">
        <v>21164</v>
      </c>
    </row>
    <row r="776" spans="8:8" x14ac:dyDescent="0.25">
      <c r="H776" t="s">
        <v>21165</v>
      </c>
    </row>
    <row r="777" spans="8:8" x14ac:dyDescent="0.25">
      <c r="H777" t="s">
        <v>21166</v>
      </c>
    </row>
    <row r="778" spans="8:8" x14ac:dyDescent="0.25">
      <c r="H778" t="s">
        <v>21167</v>
      </c>
    </row>
    <row r="779" spans="8:8" x14ac:dyDescent="0.25">
      <c r="H779" t="s">
        <v>21168</v>
      </c>
    </row>
    <row r="780" spans="8:8" x14ac:dyDescent="0.25">
      <c r="H780" t="s">
        <v>21169</v>
      </c>
    </row>
    <row r="781" spans="8:8" x14ac:dyDescent="0.25">
      <c r="H781" t="s">
        <v>21170</v>
      </c>
    </row>
    <row r="782" spans="8:8" x14ac:dyDescent="0.25">
      <c r="H782" t="s">
        <v>21171</v>
      </c>
    </row>
    <row r="783" spans="8:8" x14ac:dyDescent="0.25">
      <c r="H783" t="s">
        <v>21172</v>
      </c>
    </row>
    <row r="784" spans="8:8" x14ac:dyDescent="0.25">
      <c r="H784" t="s">
        <v>21173</v>
      </c>
    </row>
    <row r="785" spans="8:8" x14ac:dyDescent="0.25">
      <c r="H785" t="s">
        <v>21174</v>
      </c>
    </row>
    <row r="786" spans="8:8" x14ac:dyDescent="0.25">
      <c r="H786" t="s">
        <v>21175</v>
      </c>
    </row>
    <row r="787" spans="8:8" x14ac:dyDescent="0.25">
      <c r="H787" t="s">
        <v>21176</v>
      </c>
    </row>
    <row r="788" spans="8:8" x14ac:dyDescent="0.25">
      <c r="H788" t="s">
        <v>21177</v>
      </c>
    </row>
    <row r="789" spans="8:8" x14ac:dyDescent="0.25">
      <c r="H789" t="s">
        <v>21178</v>
      </c>
    </row>
    <row r="790" spans="8:8" x14ac:dyDescent="0.25">
      <c r="H790" t="s">
        <v>21179</v>
      </c>
    </row>
    <row r="791" spans="8:8" x14ac:dyDescent="0.25">
      <c r="H791" t="s">
        <v>21180</v>
      </c>
    </row>
    <row r="792" spans="8:8" x14ac:dyDescent="0.25">
      <c r="H792" t="s">
        <v>21181</v>
      </c>
    </row>
    <row r="793" spans="8:8" x14ac:dyDescent="0.25">
      <c r="H793" t="s">
        <v>21182</v>
      </c>
    </row>
    <row r="794" spans="8:8" x14ac:dyDescent="0.25">
      <c r="H794" t="s">
        <v>21183</v>
      </c>
    </row>
    <row r="795" spans="8:8" x14ac:dyDescent="0.25">
      <c r="H795" t="s">
        <v>21184</v>
      </c>
    </row>
    <row r="796" spans="8:8" x14ac:dyDescent="0.25">
      <c r="H796" t="s">
        <v>21185</v>
      </c>
    </row>
    <row r="797" spans="8:8" x14ac:dyDescent="0.25">
      <c r="H797" t="s">
        <v>21186</v>
      </c>
    </row>
    <row r="798" spans="8:8" x14ac:dyDescent="0.25">
      <c r="H798" t="s">
        <v>21187</v>
      </c>
    </row>
    <row r="799" spans="8:8" x14ac:dyDescent="0.25">
      <c r="H799" t="s">
        <v>21188</v>
      </c>
    </row>
    <row r="800" spans="8:8" x14ac:dyDescent="0.25">
      <c r="H800" t="s">
        <v>21189</v>
      </c>
    </row>
    <row r="801" spans="8:8" x14ac:dyDescent="0.25">
      <c r="H801" t="s">
        <v>21190</v>
      </c>
    </row>
    <row r="802" spans="8:8" x14ac:dyDescent="0.25">
      <c r="H802" t="s">
        <v>21191</v>
      </c>
    </row>
    <row r="803" spans="8:8" x14ac:dyDescent="0.25">
      <c r="H803" t="s">
        <v>21192</v>
      </c>
    </row>
    <row r="804" spans="8:8" x14ac:dyDescent="0.25">
      <c r="H804" t="s">
        <v>21193</v>
      </c>
    </row>
    <row r="805" spans="8:8" x14ac:dyDescent="0.25">
      <c r="H805" t="s">
        <v>21194</v>
      </c>
    </row>
    <row r="806" spans="8:8" x14ac:dyDescent="0.25">
      <c r="H806" t="s">
        <v>21195</v>
      </c>
    </row>
    <row r="807" spans="8:8" x14ac:dyDescent="0.25">
      <c r="H807" t="s">
        <v>21196</v>
      </c>
    </row>
    <row r="808" spans="8:8" x14ac:dyDescent="0.25">
      <c r="H808" t="s">
        <v>21197</v>
      </c>
    </row>
    <row r="809" spans="8:8" x14ac:dyDescent="0.25">
      <c r="H809" t="s">
        <v>21198</v>
      </c>
    </row>
    <row r="810" spans="8:8" x14ac:dyDescent="0.25">
      <c r="H810" t="s">
        <v>21199</v>
      </c>
    </row>
    <row r="811" spans="8:8" x14ac:dyDescent="0.25">
      <c r="H811" t="s">
        <v>21200</v>
      </c>
    </row>
    <row r="812" spans="8:8" x14ac:dyDescent="0.25">
      <c r="H812" t="s">
        <v>21201</v>
      </c>
    </row>
    <row r="813" spans="8:8" x14ac:dyDescent="0.25">
      <c r="H813" t="s">
        <v>21202</v>
      </c>
    </row>
    <row r="814" spans="8:8" x14ac:dyDescent="0.25">
      <c r="H814" t="s">
        <v>21203</v>
      </c>
    </row>
    <row r="815" spans="8:8" x14ac:dyDescent="0.25">
      <c r="H815" t="s">
        <v>21204</v>
      </c>
    </row>
    <row r="816" spans="8:8" x14ac:dyDescent="0.25">
      <c r="H816" t="s">
        <v>21205</v>
      </c>
    </row>
    <row r="817" spans="8:8" x14ac:dyDescent="0.25">
      <c r="H817" t="s">
        <v>21206</v>
      </c>
    </row>
    <row r="818" spans="8:8" x14ac:dyDescent="0.25">
      <c r="H818" t="s">
        <v>21207</v>
      </c>
    </row>
    <row r="819" spans="8:8" x14ac:dyDescent="0.25">
      <c r="H819" t="s">
        <v>21208</v>
      </c>
    </row>
    <row r="820" spans="8:8" x14ac:dyDescent="0.25">
      <c r="H820" t="s">
        <v>21209</v>
      </c>
    </row>
    <row r="821" spans="8:8" x14ac:dyDescent="0.25">
      <c r="H821" t="s">
        <v>21210</v>
      </c>
    </row>
    <row r="822" spans="8:8" x14ac:dyDescent="0.25">
      <c r="H822" t="s">
        <v>21211</v>
      </c>
    </row>
    <row r="823" spans="8:8" x14ac:dyDescent="0.25">
      <c r="H823" t="s">
        <v>21212</v>
      </c>
    </row>
    <row r="824" spans="8:8" x14ac:dyDescent="0.25">
      <c r="H824" t="s">
        <v>21213</v>
      </c>
    </row>
    <row r="825" spans="8:8" x14ac:dyDescent="0.25">
      <c r="H825" t="s">
        <v>21214</v>
      </c>
    </row>
    <row r="826" spans="8:8" x14ac:dyDescent="0.25">
      <c r="H826" t="s">
        <v>21215</v>
      </c>
    </row>
    <row r="827" spans="8:8" x14ac:dyDescent="0.25">
      <c r="H827" t="s">
        <v>21216</v>
      </c>
    </row>
    <row r="828" spans="8:8" x14ac:dyDescent="0.25">
      <c r="H828" t="s">
        <v>21217</v>
      </c>
    </row>
    <row r="829" spans="8:8" x14ac:dyDescent="0.25">
      <c r="H829" t="s">
        <v>21218</v>
      </c>
    </row>
    <row r="830" spans="8:8" x14ac:dyDescent="0.25">
      <c r="H830" t="s">
        <v>21219</v>
      </c>
    </row>
    <row r="831" spans="8:8" x14ac:dyDescent="0.25">
      <c r="H831" t="s">
        <v>21220</v>
      </c>
    </row>
    <row r="832" spans="8:8" x14ac:dyDescent="0.25">
      <c r="H832" t="s">
        <v>21221</v>
      </c>
    </row>
    <row r="833" spans="8:8" x14ac:dyDescent="0.25">
      <c r="H833" t="s">
        <v>21222</v>
      </c>
    </row>
    <row r="834" spans="8:8" x14ac:dyDescent="0.25">
      <c r="H834" t="s">
        <v>21223</v>
      </c>
    </row>
    <row r="835" spans="8:8" x14ac:dyDescent="0.25">
      <c r="H835" t="s">
        <v>21224</v>
      </c>
    </row>
    <row r="836" spans="8:8" x14ac:dyDescent="0.25">
      <c r="H836" t="s">
        <v>21225</v>
      </c>
    </row>
    <row r="837" spans="8:8" x14ac:dyDescent="0.25">
      <c r="H837" t="s">
        <v>21226</v>
      </c>
    </row>
    <row r="838" spans="8:8" x14ac:dyDescent="0.25">
      <c r="H838" t="s">
        <v>21227</v>
      </c>
    </row>
    <row r="839" spans="8:8" x14ac:dyDescent="0.25">
      <c r="H839" t="s">
        <v>21228</v>
      </c>
    </row>
    <row r="840" spans="8:8" x14ac:dyDescent="0.25">
      <c r="H840" t="s">
        <v>21229</v>
      </c>
    </row>
    <row r="841" spans="8:8" x14ac:dyDescent="0.25">
      <c r="H841" t="s">
        <v>21230</v>
      </c>
    </row>
    <row r="842" spans="8:8" x14ac:dyDescent="0.25">
      <c r="H842" t="s">
        <v>21231</v>
      </c>
    </row>
    <row r="843" spans="8:8" x14ac:dyDescent="0.25">
      <c r="H843" t="s">
        <v>21232</v>
      </c>
    </row>
    <row r="844" spans="8:8" x14ac:dyDescent="0.25">
      <c r="H844" t="s">
        <v>21233</v>
      </c>
    </row>
    <row r="845" spans="8:8" x14ac:dyDescent="0.25">
      <c r="H845" t="s">
        <v>21234</v>
      </c>
    </row>
    <row r="846" spans="8:8" x14ac:dyDescent="0.25">
      <c r="H846" t="s">
        <v>21235</v>
      </c>
    </row>
    <row r="847" spans="8:8" x14ac:dyDescent="0.25">
      <c r="H847" t="s">
        <v>21236</v>
      </c>
    </row>
    <row r="848" spans="8:8" x14ac:dyDescent="0.25">
      <c r="H848" t="s">
        <v>21237</v>
      </c>
    </row>
    <row r="849" spans="8:8" x14ac:dyDescent="0.25">
      <c r="H849" t="s">
        <v>21238</v>
      </c>
    </row>
    <row r="850" spans="8:8" x14ac:dyDescent="0.25">
      <c r="H850" t="s">
        <v>21239</v>
      </c>
    </row>
    <row r="851" spans="8:8" x14ac:dyDescent="0.25">
      <c r="H851" t="s">
        <v>21240</v>
      </c>
    </row>
    <row r="852" spans="8:8" x14ac:dyDescent="0.25">
      <c r="H852" t="s">
        <v>21241</v>
      </c>
    </row>
    <row r="853" spans="8:8" x14ac:dyDescent="0.25">
      <c r="H853" t="s">
        <v>21242</v>
      </c>
    </row>
    <row r="854" spans="8:8" x14ac:dyDescent="0.25">
      <c r="H854" t="s">
        <v>21243</v>
      </c>
    </row>
    <row r="855" spans="8:8" x14ac:dyDescent="0.25">
      <c r="H855" t="s">
        <v>21244</v>
      </c>
    </row>
    <row r="856" spans="8:8" x14ac:dyDescent="0.25">
      <c r="H856" t="s">
        <v>21245</v>
      </c>
    </row>
    <row r="857" spans="8:8" x14ac:dyDescent="0.25">
      <c r="H857" t="s">
        <v>21246</v>
      </c>
    </row>
    <row r="858" spans="8:8" x14ac:dyDescent="0.25">
      <c r="H858" t="s">
        <v>21247</v>
      </c>
    </row>
    <row r="859" spans="8:8" x14ac:dyDescent="0.25">
      <c r="H859" t="s">
        <v>21248</v>
      </c>
    </row>
    <row r="860" spans="8:8" x14ac:dyDescent="0.25">
      <c r="H860" t="s">
        <v>21249</v>
      </c>
    </row>
    <row r="861" spans="8:8" x14ac:dyDescent="0.25">
      <c r="H861" t="s">
        <v>21250</v>
      </c>
    </row>
    <row r="862" spans="8:8" x14ac:dyDescent="0.25">
      <c r="H862" t="s">
        <v>21251</v>
      </c>
    </row>
    <row r="863" spans="8:8" x14ac:dyDescent="0.25">
      <c r="H863" t="s">
        <v>21252</v>
      </c>
    </row>
    <row r="864" spans="8:8" x14ac:dyDescent="0.25">
      <c r="H864" t="s">
        <v>21253</v>
      </c>
    </row>
    <row r="865" spans="8:8" x14ac:dyDescent="0.25">
      <c r="H865" t="s">
        <v>21254</v>
      </c>
    </row>
    <row r="866" spans="8:8" x14ac:dyDescent="0.25">
      <c r="H866" t="s">
        <v>21255</v>
      </c>
    </row>
    <row r="867" spans="8:8" x14ac:dyDescent="0.25">
      <c r="H867" t="s">
        <v>21256</v>
      </c>
    </row>
    <row r="868" spans="8:8" x14ac:dyDescent="0.25">
      <c r="H868" t="s">
        <v>21257</v>
      </c>
    </row>
    <row r="869" spans="8:8" x14ac:dyDescent="0.25">
      <c r="H869" t="s">
        <v>21258</v>
      </c>
    </row>
    <row r="870" spans="8:8" x14ac:dyDescent="0.25">
      <c r="H870" t="s">
        <v>21259</v>
      </c>
    </row>
    <row r="871" spans="8:8" x14ac:dyDescent="0.25">
      <c r="H871" t="s">
        <v>21260</v>
      </c>
    </row>
    <row r="872" spans="8:8" x14ac:dyDescent="0.25">
      <c r="H872" t="s">
        <v>21261</v>
      </c>
    </row>
    <row r="873" spans="8:8" x14ac:dyDescent="0.25">
      <c r="H873" t="s">
        <v>21262</v>
      </c>
    </row>
    <row r="874" spans="8:8" x14ac:dyDescent="0.25">
      <c r="H874" t="s">
        <v>21263</v>
      </c>
    </row>
    <row r="875" spans="8:8" x14ac:dyDescent="0.25">
      <c r="H875" t="s">
        <v>21264</v>
      </c>
    </row>
    <row r="876" spans="8:8" x14ac:dyDescent="0.25">
      <c r="H876" t="s">
        <v>21265</v>
      </c>
    </row>
    <row r="877" spans="8:8" x14ac:dyDescent="0.25">
      <c r="H877" t="s">
        <v>21266</v>
      </c>
    </row>
    <row r="878" spans="8:8" x14ac:dyDescent="0.25">
      <c r="H878" t="s">
        <v>21267</v>
      </c>
    </row>
    <row r="879" spans="8:8" x14ac:dyDescent="0.25">
      <c r="H879" t="s">
        <v>21268</v>
      </c>
    </row>
    <row r="880" spans="8:8" x14ac:dyDescent="0.25">
      <c r="H880" t="s">
        <v>21269</v>
      </c>
    </row>
    <row r="881" spans="8:8" x14ac:dyDescent="0.25">
      <c r="H881" t="s">
        <v>21270</v>
      </c>
    </row>
    <row r="882" spans="8:8" x14ac:dyDescent="0.25">
      <c r="H882" t="s">
        <v>21271</v>
      </c>
    </row>
    <row r="883" spans="8:8" x14ac:dyDescent="0.25">
      <c r="H883" t="s">
        <v>21272</v>
      </c>
    </row>
    <row r="884" spans="8:8" x14ac:dyDescent="0.25">
      <c r="H884" t="s">
        <v>21273</v>
      </c>
    </row>
    <row r="885" spans="8:8" x14ac:dyDescent="0.25">
      <c r="H885" t="s">
        <v>21274</v>
      </c>
    </row>
    <row r="886" spans="8:8" x14ac:dyDescent="0.25">
      <c r="H886" t="s">
        <v>21275</v>
      </c>
    </row>
    <row r="887" spans="8:8" x14ac:dyDescent="0.25">
      <c r="H887" t="s">
        <v>21276</v>
      </c>
    </row>
    <row r="888" spans="8:8" x14ac:dyDescent="0.25">
      <c r="H888" t="s">
        <v>21277</v>
      </c>
    </row>
    <row r="889" spans="8:8" x14ac:dyDescent="0.25">
      <c r="H889" t="s">
        <v>21278</v>
      </c>
    </row>
    <row r="890" spans="8:8" x14ac:dyDescent="0.25">
      <c r="H890" t="s">
        <v>21279</v>
      </c>
    </row>
    <row r="891" spans="8:8" x14ac:dyDescent="0.25">
      <c r="H891" t="s">
        <v>21280</v>
      </c>
    </row>
    <row r="892" spans="8:8" x14ac:dyDescent="0.25">
      <c r="H892" t="s">
        <v>21281</v>
      </c>
    </row>
    <row r="893" spans="8:8" x14ac:dyDescent="0.25">
      <c r="H893" t="s">
        <v>21282</v>
      </c>
    </row>
    <row r="894" spans="8:8" x14ac:dyDescent="0.25">
      <c r="H894" t="s">
        <v>21283</v>
      </c>
    </row>
    <row r="895" spans="8:8" x14ac:dyDescent="0.25">
      <c r="H895" t="s">
        <v>21284</v>
      </c>
    </row>
    <row r="896" spans="8:8" x14ac:dyDescent="0.25">
      <c r="H896" t="s">
        <v>21285</v>
      </c>
    </row>
    <row r="897" spans="8:8" x14ac:dyDescent="0.25">
      <c r="H897" t="s">
        <v>21286</v>
      </c>
    </row>
    <row r="898" spans="8:8" x14ac:dyDescent="0.25">
      <c r="H898" t="s">
        <v>21287</v>
      </c>
    </row>
    <row r="899" spans="8:8" x14ac:dyDescent="0.25">
      <c r="H899" t="s">
        <v>21288</v>
      </c>
    </row>
    <row r="900" spans="8:8" x14ac:dyDescent="0.25">
      <c r="H900" t="s">
        <v>21289</v>
      </c>
    </row>
    <row r="901" spans="8:8" x14ac:dyDescent="0.25">
      <c r="H901" t="s">
        <v>21290</v>
      </c>
    </row>
    <row r="902" spans="8:8" x14ac:dyDescent="0.25">
      <c r="H902" t="s">
        <v>21291</v>
      </c>
    </row>
    <row r="903" spans="8:8" x14ac:dyDescent="0.25">
      <c r="H903" t="s">
        <v>21292</v>
      </c>
    </row>
    <row r="904" spans="8:8" x14ac:dyDescent="0.25">
      <c r="H904" t="s">
        <v>21293</v>
      </c>
    </row>
    <row r="905" spans="8:8" x14ac:dyDescent="0.25">
      <c r="H905" t="s">
        <v>21294</v>
      </c>
    </row>
    <row r="906" spans="8:8" x14ac:dyDescent="0.25">
      <c r="H906" t="s">
        <v>21295</v>
      </c>
    </row>
    <row r="907" spans="8:8" x14ac:dyDescent="0.25">
      <c r="H907" t="s">
        <v>21296</v>
      </c>
    </row>
    <row r="908" spans="8:8" x14ac:dyDescent="0.25">
      <c r="H908" t="s">
        <v>21297</v>
      </c>
    </row>
    <row r="909" spans="8:8" x14ac:dyDescent="0.25">
      <c r="H909" t="s">
        <v>21298</v>
      </c>
    </row>
    <row r="910" spans="8:8" x14ac:dyDescent="0.25">
      <c r="H910" t="s">
        <v>21299</v>
      </c>
    </row>
    <row r="911" spans="8:8" x14ac:dyDescent="0.25">
      <c r="H911" t="s">
        <v>21300</v>
      </c>
    </row>
    <row r="912" spans="8:8" x14ac:dyDescent="0.25">
      <c r="H912" t="s">
        <v>21301</v>
      </c>
    </row>
    <row r="913" spans="8:8" x14ac:dyDescent="0.25">
      <c r="H913" t="s">
        <v>21302</v>
      </c>
    </row>
    <row r="914" spans="8:8" x14ac:dyDescent="0.25">
      <c r="H914" t="s">
        <v>21303</v>
      </c>
    </row>
    <row r="915" spans="8:8" x14ac:dyDescent="0.25">
      <c r="H915" t="s">
        <v>21304</v>
      </c>
    </row>
    <row r="916" spans="8:8" x14ac:dyDescent="0.25">
      <c r="H916" t="s">
        <v>21305</v>
      </c>
    </row>
    <row r="917" spans="8:8" x14ac:dyDescent="0.25">
      <c r="H917" t="s">
        <v>21306</v>
      </c>
    </row>
    <row r="918" spans="8:8" x14ac:dyDescent="0.25">
      <c r="H918" t="s">
        <v>21307</v>
      </c>
    </row>
    <row r="919" spans="8:8" x14ac:dyDescent="0.25">
      <c r="H919" t="s">
        <v>21308</v>
      </c>
    </row>
    <row r="920" spans="8:8" x14ac:dyDescent="0.25">
      <c r="H920" t="s">
        <v>21309</v>
      </c>
    </row>
    <row r="921" spans="8:8" x14ac:dyDescent="0.25">
      <c r="H921" t="s">
        <v>21310</v>
      </c>
    </row>
    <row r="922" spans="8:8" x14ac:dyDescent="0.25">
      <c r="H922" t="s">
        <v>21311</v>
      </c>
    </row>
    <row r="923" spans="8:8" x14ac:dyDescent="0.25">
      <c r="H923" t="s">
        <v>21312</v>
      </c>
    </row>
    <row r="924" spans="8:8" x14ac:dyDescent="0.25">
      <c r="H924" t="s">
        <v>21313</v>
      </c>
    </row>
    <row r="925" spans="8:8" x14ac:dyDescent="0.25">
      <c r="H925" t="s">
        <v>21314</v>
      </c>
    </row>
    <row r="926" spans="8:8" x14ac:dyDescent="0.25">
      <c r="H926" t="s">
        <v>21315</v>
      </c>
    </row>
    <row r="927" spans="8:8" x14ac:dyDescent="0.25">
      <c r="H927" t="s">
        <v>21316</v>
      </c>
    </row>
    <row r="928" spans="8:8" x14ac:dyDescent="0.25">
      <c r="H928" t="s">
        <v>21317</v>
      </c>
    </row>
    <row r="929" spans="8:8" x14ac:dyDescent="0.25">
      <c r="H929" t="s">
        <v>21318</v>
      </c>
    </row>
    <row r="930" spans="8:8" x14ac:dyDescent="0.25">
      <c r="H930" t="s">
        <v>21319</v>
      </c>
    </row>
    <row r="931" spans="8:8" x14ac:dyDescent="0.25">
      <c r="H931" t="s">
        <v>21320</v>
      </c>
    </row>
    <row r="932" spans="8:8" x14ac:dyDescent="0.25">
      <c r="H932" t="s">
        <v>21321</v>
      </c>
    </row>
    <row r="933" spans="8:8" x14ac:dyDescent="0.25">
      <c r="H933" t="s">
        <v>21322</v>
      </c>
    </row>
    <row r="934" spans="8:8" x14ac:dyDescent="0.25">
      <c r="H934" t="s">
        <v>21323</v>
      </c>
    </row>
    <row r="935" spans="8:8" x14ac:dyDescent="0.25">
      <c r="H935" t="s">
        <v>21324</v>
      </c>
    </row>
    <row r="936" spans="8:8" x14ac:dyDescent="0.25">
      <c r="H936" t="s">
        <v>21325</v>
      </c>
    </row>
    <row r="937" spans="8:8" x14ac:dyDescent="0.25">
      <c r="H937" t="s">
        <v>21326</v>
      </c>
    </row>
    <row r="938" spans="8:8" x14ac:dyDescent="0.25">
      <c r="H938" t="s">
        <v>21327</v>
      </c>
    </row>
    <row r="939" spans="8:8" x14ac:dyDescent="0.25">
      <c r="H939" t="s">
        <v>21328</v>
      </c>
    </row>
    <row r="940" spans="8:8" x14ac:dyDescent="0.25">
      <c r="H940" t="s">
        <v>21329</v>
      </c>
    </row>
    <row r="941" spans="8:8" x14ac:dyDescent="0.25">
      <c r="H941" t="s">
        <v>21330</v>
      </c>
    </row>
    <row r="942" spans="8:8" x14ac:dyDescent="0.25">
      <c r="H942" t="s">
        <v>21331</v>
      </c>
    </row>
    <row r="943" spans="8:8" x14ac:dyDescent="0.25">
      <c r="H943" t="s">
        <v>21332</v>
      </c>
    </row>
    <row r="944" spans="8:8" x14ac:dyDescent="0.25">
      <c r="H944" t="s">
        <v>21333</v>
      </c>
    </row>
    <row r="945" spans="8:8" x14ac:dyDescent="0.25">
      <c r="H945" t="s">
        <v>21334</v>
      </c>
    </row>
    <row r="946" spans="8:8" x14ac:dyDescent="0.25">
      <c r="H946" t="s">
        <v>21335</v>
      </c>
    </row>
    <row r="947" spans="8:8" x14ac:dyDescent="0.25">
      <c r="H947" t="s">
        <v>21336</v>
      </c>
    </row>
    <row r="948" spans="8:8" x14ac:dyDescent="0.25">
      <c r="H948" t="s">
        <v>21337</v>
      </c>
    </row>
    <row r="949" spans="8:8" x14ac:dyDescent="0.25">
      <c r="H949" t="s">
        <v>21338</v>
      </c>
    </row>
    <row r="950" spans="8:8" x14ac:dyDescent="0.25">
      <c r="H950" t="s">
        <v>21339</v>
      </c>
    </row>
    <row r="951" spans="8:8" x14ac:dyDescent="0.25">
      <c r="H951" t="s">
        <v>21340</v>
      </c>
    </row>
    <row r="952" spans="8:8" x14ac:dyDescent="0.25">
      <c r="H952" t="s">
        <v>21341</v>
      </c>
    </row>
    <row r="953" spans="8:8" x14ac:dyDescent="0.25">
      <c r="H953" t="s">
        <v>21342</v>
      </c>
    </row>
    <row r="954" spans="8:8" x14ac:dyDescent="0.25">
      <c r="H954" t="s">
        <v>21343</v>
      </c>
    </row>
    <row r="955" spans="8:8" x14ac:dyDescent="0.25">
      <c r="H955" t="s">
        <v>21344</v>
      </c>
    </row>
    <row r="956" spans="8:8" x14ac:dyDescent="0.25">
      <c r="H956" t="s">
        <v>21345</v>
      </c>
    </row>
    <row r="957" spans="8:8" x14ac:dyDescent="0.25">
      <c r="H957" t="s">
        <v>21346</v>
      </c>
    </row>
    <row r="958" spans="8:8" x14ac:dyDescent="0.25">
      <c r="H958" t="s">
        <v>21347</v>
      </c>
    </row>
    <row r="959" spans="8:8" x14ac:dyDescent="0.25">
      <c r="H959" t="s">
        <v>21348</v>
      </c>
    </row>
    <row r="960" spans="8:8" x14ac:dyDescent="0.25">
      <c r="H960" t="s">
        <v>21349</v>
      </c>
    </row>
    <row r="961" spans="8:8" x14ac:dyDescent="0.25">
      <c r="H961" t="s">
        <v>21350</v>
      </c>
    </row>
    <row r="962" spans="8:8" x14ac:dyDescent="0.25">
      <c r="H962" t="s">
        <v>21351</v>
      </c>
    </row>
    <row r="963" spans="8:8" x14ac:dyDescent="0.25">
      <c r="H963" t="s">
        <v>21352</v>
      </c>
    </row>
    <row r="964" spans="8:8" x14ac:dyDescent="0.25">
      <c r="H964" t="s">
        <v>21353</v>
      </c>
    </row>
    <row r="965" spans="8:8" x14ac:dyDescent="0.25">
      <c r="H965" t="s">
        <v>21354</v>
      </c>
    </row>
    <row r="966" spans="8:8" x14ac:dyDescent="0.25">
      <c r="H966" t="s">
        <v>21355</v>
      </c>
    </row>
    <row r="967" spans="8:8" x14ac:dyDescent="0.25">
      <c r="H967" t="s">
        <v>21356</v>
      </c>
    </row>
    <row r="968" spans="8:8" x14ac:dyDescent="0.25">
      <c r="H968" t="s">
        <v>21357</v>
      </c>
    </row>
    <row r="969" spans="8:8" x14ac:dyDescent="0.25">
      <c r="H969" t="s">
        <v>21358</v>
      </c>
    </row>
    <row r="970" spans="8:8" x14ac:dyDescent="0.25">
      <c r="H970" t="s">
        <v>21359</v>
      </c>
    </row>
    <row r="971" spans="8:8" x14ac:dyDescent="0.25">
      <c r="H971" t="s">
        <v>21360</v>
      </c>
    </row>
    <row r="972" spans="8:8" x14ac:dyDescent="0.25">
      <c r="H972" t="s">
        <v>21361</v>
      </c>
    </row>
    <row r="973" spans="8:8" x14ac:dyDescent="0.25">
      <c r="H973" t="s">
        <v>21362</v>
      </c>
    </row>
    <row r="974" spans="8:8" x14ac:dyDescent="0.25">
      <c r="H974" t="s">
        <v>21363</v>
      </c>
    </row>
    <row r="975" spans="8:8" x14ac:dyDescent="0.25">
      <c r="H975" t="s">
        <v>21364</v>
      </c>
    </row>
    <row r="976" spans="8:8" x14ac:dyDescent="0.25">
      <c r="H976" t="s">
        <v>21365</v>
      </c>
    </row>
    <row r="977" spans="8:8" x14ac:dyDescent="0.25">
      <c r="H977" t="s">
        <v>21366</v>
      </c>
    </row>
    <row r="978" spans="8:8" x14ac:dyDescent="0.25">
      <c r="H978" t="s">
        <v>21367</v>
      </c>
    </row>
    <row r="979" spans="8:8" x14ac:dyDescent="0.25">
      <c r="H979" t="s">
        <v>21368</v>
      </c>
    </row>
    <row r="980" spans="8:8" x14ac:dyDescent="0.25">
      <c r="H980" t="s">
        <v>21369</v>
      </c>
    </row>
    <row r="981" spans="8:8" x14ac:dyDescent="0.25">
      <c r="H981" t="s">
        <v>21370</v>
      </c>
    </row>
    <row r="982" spans="8:8" x14ac:dyDescent="0.25">
      <c r="H982" t="s">
        <v>21371</v>
      </c>
    </row>
    <row r="983" spans="8:8" x14ac:dyDescent="0.25">
      <c r="H983" t="s">
        <v>21372</v>
      </c>
    </row>
    <row r="984" spans="8:8" x14ac:dyDescent="0.25">
      <c r="H984" t="s">
        <v>21373</v>
      </c>
    </row>
    <row r="985" spans="8:8" x14ac:dyDescent="0.25">
      <c r="H985" t="s">
        <v>21374</v>
      </c>
    </row>
    <row r="986" spans="8:8" x14ac:dyDescent="0.25">
      <c r="H986" t="s">
        <v>21375</v>
      </c>
    </row>
    <row r="987" spans="8:8" x14ac:dyDescent="0.25">
      <c r="H987" t="s">
        <v>21376</v>
      </c>
    </row>
    <row r="988" spans="8:8" x14ac:dyDescent="0.25">
      <c r="H988" t="s">
        <v>21377</v>
      </c>
    </row>
    <row r="989" spans="8:8" x14ac:dyDescent="0.25">
      <c r="H989" t="s">
        <v>21378</v>
      </c>
    </row>
    <row r="990" spans="8:8" x14ac:dyDescent="0.25">
      <c r="H990" t="s">
        <v>21379</v>
      </c>
    </row>
    <row r="991" spans="8:8" x14ac:dyDescent="0.25">
      <c r="H991" t="s">
        <v>21380</v>
      </c>
    </row>
    <row r="992" spans="8:8" x14ac:dyDescent="0.25">
      <c r="H992" t="s">
        <v>21381</v>
      </c>
    </row>
    <row r="993" spans="8:8" x14ac:dyDescent="0.25">
      <c r="H993" t="s">
        <v>21382</v>
      </c>
    </row>
    <row r="994" spans="8:8" x14ac:dyDescent="0.25">
      <c r="H994" t="s">
        <v>21383</v>
      </c>
    </row>
    <row r="995" spans="8:8" x14ac:dyDescent="0.25">
      <c r="H995" t="s">
        <v>21384</v>
      </c>
    </row>
    <row r="996" spans="8:8" x14ac:dyDescent="0.25">
      <c r="H996" t="s">
        <v>21385</v>
      </c>
    </row>
    <row r="997" spans="8:8" x14ac:dyDescent="0.25">
      <c r="H997" t="s">
        <v>21386</v>
      </c>
    </row>
    <row r="998" spans="8:8" x14ac:dyDescent="0.25">
      <c r="H998" t="s">
        <v>21387</v>
      </c>
    </row>
    <row r="999" spans="8:8" x14ac:dyDescent="0.25">
      <c r="H999" t="s">
        <v>21388</v>
      </c>
    </row>
    <row r="1000" spans="8:8" x14ac:dyDescent="0.25">
      <c r="H1000" t="s">
        <v>21389</v>
      </c>
    </row>
    <row r="1001" spans="8:8" x14ac:dyDescent="0.25">
      <c r="H1001" t="s">
        <v>21390</v>
      </c>
    </row>
    <row r="1002" spans="8:8" x14ac:dyDescent="0.25">
      <c r="H1002" t="s">
        <v>21391</v>
      </c>
    </row>
    <row r="1003" spans="8:8" x14ac:dyDescent="0.25">
      <c r="H1003" t="s">
        <v>21392</v>
      </c>
    </row>
    <row r="1004" spans="8:8" x14ac:dyDescent="0.25">
      <c r="H1004" t="s">
        <v>21393</v>
      </c>
    </row>
    <row r="1005" spans="8:8" x14ac:dyDescent="0.25">
      <c r="H1005" t="s">
        <v>21394</v>
      </c>
    </row>
    <row r="1006" spans="8:8" x14ac:dyDescent="0.25">
      <c r="H1006" t="s">
        <v>21395</v>
      </c>
    </row>
    <row r="1007" spans="8:8" x14ac:dyDescent="0.25">
      <c r="H1007" t="s">
        <v>21396</v>
      </c>
    </row>
    <row r="1008" spans="8:8" x14ac:dyDescent="0.25">
      <c r="H1008" t="s">
        <v>21397</v>
      </c>
    </row>
    <row r="1009" spans="8:8" x14ac:dyDescent="0.25">
      <c r="H1009" t="s">
        <v>21398</v>
      </c>
    </row>
    <row r="1010" spans="8:8" x14ac:dyDescent="0.25">
      <c r="H1010" t="s">
        <v>21399</v>
      </c>
    </row>
    <row r="1011" spans="8:8" x14ac:dyDescent="0.25">
      <c r="H1011" t="s">
        <v>21400</v>
      </c>
    </row>
    <row r="1012" spans="8:8" x14ac:dyDescent="0.25">
      <c r="H1012" t="s">
        <v>21401</v>
      </c>
    </row>
    <row r="1013" spans="8:8" x14ac:dyDescent="0.25">
      <c r="H1013" t="s">
        <v>21402</v>
      </c>
    </row>
    <row r="1014" spans="8:8" x14ac:dyDescent="0.25">
      <c r="H1014" t="s">
        <v>21403</v>
      </c>
    </row>
    <row r="1015" spans="8:8" x14ac:dyDescent="0.25">
      <c r="H1015" t="s">
        <v>21404</v>
      </c>
    </row>
    <row r="1016" spans="8:8" x14ac:dyDescent="0.25">
      <c r="H1016" t="s">
        <v>21405</v>
      </c>
    </row>
    <row r="1017" spans="8:8" x14ac:dyDescent="0.25">
      <c r="H1017" t="s">
        <v>21406</v>
      </c>
    </row>
    <row r="1018" spans="8:8" x14ac:dyDescent="0.25">
      <c r="H1018" t="s">
        <v>21407</v>
      </c>
    </row>
    <row r="1019" spans="8:8" x14ac:dyDescent="0.25">
      <c r="H1019" t="s">
        <v>21408</v>
      </c>
    </row>
    <row r="1020" spans="8:8" x14ac:dyDescent="0.25">
      <c r="H1020" t="s">
        <v>21409</v>
      </c>
    </row>
    <row r="1021" spans="8:8" x14ac:dyDescent="0.25">
      <c r="H1021" t="s">
        <v>21410</v>
      </c>
    </row>
    <row r="1022" spans="8:8" x14ac:dyDescent="0.25">
      <c r="H1022" t="s">
        <v>21411</v>
      </c>
    </row>
    <row r="1023" spans="8:8" x14ac:dyDescent="0.25">
      <c r="H1023" t="s">
        <v>21412</v>
      </c>
    </row>
    <row r="1024" spans="8:8" x14ac:dyDescent="0.25">
      <c r="H1024" t="s">
        <v>21413</v>
      </c>
    </row>
    <row r="1025" spans="8:8" x14ac:dyDescent="0.25">
      <c r="H1025" t="s">
        <v>21414</v>
      </c>
    </row>
    <row r="1026" spans="8:8" x14ac:dyDescent="0.25">
      <c r="H1026" t="s">
        <v>21415</v>
      </c>
    </row>
    <row r="1027" spans="8:8" x14ac:dyDescent="0.25">
      <c r="H1027" t="s">
        <v>21416</v>
      </c>
    </row>
    <row r="1028" spans="8:8" x14ac:dyDescent="0.25">
      <c r="H1028" t="s">
        <v>21417</v>
      </c>
    </row>
    <row r="1029" spans="8:8" x14ac:dyDescent="0.25">
      <c r="H1029" t="s">
        <v>21418</v>
      </c>
    </row>
    <row r="1030" spans="8:8" x14ac:dyDescent="0.25">
      <c r="H1030" t="s">
        <v>21419</v>
      </c>
    </row>
    <row r="1031" spans="8:8" x14ac:dyDescent="0.25">
      <c r="H1031" t="s">
        <v>21420</v>
      </c>
    </row>
    <row r="1032" spans="8:8" x14ac:dyDescent="0.25">
      <c r="H1032" t="s">
        <v>21421</v>
      </c>
    </row>
    <row r="1033" spans="8:8" x14ac:dyDescent="0.25">
      <c r="H1033" t="s">
        <v>21422</v>
      </c>
    </row>
    <row r="1034" spans="8:8" x14ac:dyDescent="0.25">
      <c r="H1034" t="s">
        <v>21423</v>
      </c>
    </row>
    <row r="1035" spans="8:8" x14ac:dyDescent="0.25">
      <c r="H1035" t="s">
        <v>21424</v>
      </c>
    </row>
    <row r="1036" spans="8:8" x14ac:dyDescent="0.25">
      <c r="H1036" t="s">
        <v>21425</v>
      </c>
    </row>
    <row r="1037" spans="8:8" x14ac:dyDescent="0.25">
      <c r="H1037" t="s">
        <v>21426</v>
      </c>
    </row>
    <row r="1038" spans="8:8" x14ac:dyDescent="0.25">
      <c r="H1038" t="s">
        <v>21427</v>
      </c>
    </row>
    <row r="1039" spans="8:8" x14ac:dyDescent="0.25">
      <c r="H1039" t="s">
        <v>21428</v>
      </c>
    </row>
    <row r="1040" spans="8:8" x14ac:dyDescent="0.25">
      <c r="H1040" t="s">
        <v>21429</v>
      </c>
    </row>
    <row r="1041" spans="8:8" x14ac:dyDescent="0.25">
      <c r="H1041" t="s">
        <v>21430</v>
      </c>
    </row>
    <row r="1042" spans="8:8" x14ac:dyDescent="0.25">
      <c r="H1042" t="s">
        <v>21431</v>
      </c>
    </row>
    <row r="1043" spans="8:8" x14ac:dyDescent="0.25">
      <c r="H1043" t="s">
        <v>21432</v>
      </c>
    </row>
    <row r="1044" spans="8:8" x14ac:dyDescent="0.25">
      <c r="H1044" t="s">
        <v>21433</v>
      </c>
    </row>
    <row r="1045" spans="8:8" x14ac:dyDescent="0.25">
      <c r="H1045" t="s">
        <v>21434</v>
      </c>
    </row>
    <row r="1046" spans="8:8" x14ac:dyDescent="0.25">
      <c r="H1046" t="s">
        <v>21435</v>
      </c>
    </row>
    <row r="1047" spans="8:8" x14ac:dyDescent="0.25">
      <c r="H1047" t="s">
        <v>21436</v>
      </c>
    </row>
    <row r="1048" spans="8:8" x14ac:dyDescent="0.25">
      <c r="H1048" t="s">
        <v>21437</v>
      </c>
    </row>
    <row r="1049" spans="8:8" x14ac:dyDescent="0.25">
      <c r="H1049" t="s">
        <v>21438</v>
      </c>
    </row>
    <row r="1050" spans="8:8" x14ac:dyDescent="0.25">
      <c r="H1050" t="s">
        <v>21439</v>
      </c>
    </row>
    <row r="1051" spans="8:8" x14ac:dyDescent="0.25">
      <c r="H1051" t="s">
        <v>21440</v>
      </c>
    </row>
    <row r="1052" spans="8:8" x14ac:dyDescent="0.25">
      <c r="H1052" t="s">
        <v>21441</v>
      </c>
    </row>
    <row r="1053" spans="8:8" x14ac:dyDescent="0.25">
      <c r="H1053" t="s">
        <v>21442</v>
      </c>
    </row>
    <row r="1054" spans="8:8" x14ac:dyDescent="0.25">
      <c r="H1054" t="s">
        <v>21443</v>
      </c>
    </row>
    <row r="1055" spans="8:8" x14ac:dyDescent="0.25">
      <c r="H1055" t="s">
        <v>21444</v>
      </c>
    </row>
    <row r="1056" spans="8:8" x14ac:dyDescent="0.25">
      <c r="H1056" t="s">
        <v>21445</v>
      </c>
    </row>
    <row r="1057" spans="8:8" x14ac:dyDescent="0.25">
      <c r="H1057" t="s">
        <v>21446</v>
      </c>
    </row>
    <row r="1058" spans="8:8" x14ac:dyDescent="0.25">
      <c r="H1058" t="s">
        <v>21447</v>
      </c>
    </row>
    <row r="1059" spans="8:8" x14ac:dyDescent="0.25">
      <c r="H1059" t="s">
        <v>21448</v>
      </c>
    </row>
    <row r="1060" spans="8:8" x14ac:dyDescent="0.25">
      <c r="H1060" t="s">
        <v>21449</v>
      </c>
    </row>
    <row r="1061" spans="8:8" x14ac:dyDescent="0.25">
      <c r="H1061" t="s">
        <v>21450</v>
      </c>
    </row>
    <row r="1062" spans="8:8" x14ac:dyDescent="0.25">
      <c r="H1062" t="s">
        <v>21451</v>
      </c>
    </row>
    <row r="1063" spans="8:8" x14ac:dyDescent="0.25">
      <c r="H1063" t="s">
        <v>21452</v>
      </c>
    </row>
    <row r="1064" spans="8:8" x14ac:dyDescent="0.25">
      <c r="H1064" t="s">
        <v>21453</v>
      </c>
    </row>
    <row r="1065" spans="8:8" x14ac:dyDescent="0.25">
      <c r="H1065" t="s">
        <v>21454</v>
      </c>
    </row>
    <row r="1066" spans="8:8" x14ac:dyDescent="0.25">
      <c r="H1066" t="s">
        <v>21455</v>
      </c>
    </row>
    <row r="1067" spans="8:8" x14ac:dyDescent="0.25">
      <c r="H1067" t="s">
        <v>21456</v>
      </c>
    </row>
    <row r="1068" spans="8:8" x14ac:dyDescent="0.25">
      <c r="H1068" t="s">
        <v>21457</v>
      </c>
    </row>
    <row r="1069" spans="8:8" x14ac:dyDescent="0.25">
      <c r="H1069" t="s">
        <v>21458</v>
      </c>
    </row>
    <row r="1070" spans="8:8" x14ac:dyDescent="0.25">
      <c r="H1070" t="s">
        <v>21459</v>
      </c>
    </row>
    <row r="1071" spans="8:8" x14ac:dyDescent="0.25">
      <c r="H1071" t="s">
        <v>21460</v>
      </c>
    </row>
    <row r="1072" spans="8:8" x14ac:dyDescent="0.25">
      <c r="H1072" t="s">
        <v>21461</v>
      </c>
    </row>
    <row r="1073" spans="8:8" x14ac:dyDescent="0.25">
      <c r="H1073" t="s">
        <v>21462</v>
      </c>
    </row>
    <row r="1074" spans="8:8" x14ac:dyDescent="0.25">
      <c r="H1074" t="s">
        <v>21463</v>
      </c>
    </row>
    <row r="1075" spans="8:8" x14ac:dyDescent="0.25">
      <c r="H1075" t="s">
        <v>21464</v>
      </c>
    </row>
    <row r="1076" spans="8:8" x14ac:dyDescent="0.25">
      <c r="H1076" t="s">
        <v>21465</v>
      </c>
    </row>
    <row r="1077" spans="8:8" x14ac:dyDescent="0.25">
      <c r="H1077" t="s">
        <v>21466</v>
      </c>
    </row>
    <row r="1078" spans="8:8" x14ac:dyDescent="0.25">
      <c r="H1078" t="s">
        <v>21467</v>
      </c>
    </row>
    <row r="1079" spans="8:8" x14ac:dyDescent="0.25">
      <c r="H1079" t="s">
        <v>21468</v>
      </c>
    </row>
    <row r="1080" spans="8:8" x14ac:dyDescent="0.25">
      <c r="H1080" t="s">
        <v>21469</v>
      </c>
    </row>
    <row r="1081" spans="8:8" x14ac:dyDescent="0.25">
      <c r="H1081" t="s">
        <v>21470</v>
      </c>
    </row>
    <row r="1082" spans="8:8" x14ac:dyDescent="0.25">
      <c r="H1082" t="s">
        <v>21471</v>
      </c>
    </row>
    <row r="1083" spans="8:8" x14ac:dyDescent="0.25">
      <c r="H1083" t="s">
        <v>21472</v>
      </c>
    </row>
    <row r="1084" spans="8:8" x14ac:dyDescent="0.25">
      <c r="H1084" t="s">
        <v>21473</v>
      </c>
    </row>
    <row r="1085" spans="8:8" x14ac:dyDescent="0.25">
      <c r="H1085" t="s">
        <v>21474</v>
      </c>
    </row>
    <row r="1086" spans="8:8" x14ac:dyDescent="0.25">
      <c r="H1086" t="s">
        <v>21475</v>
      </c>
    </row>
    <row r="1087" spans="8:8" x14ac:dyDescent="0.25">
      <c r="H1087" t="s">
        <v>21476</v>
      </c>
    </row>
    <row r="1088" spans="8:8" x14ac:dyDescent="0.25">
      <c r="H1088" t="s">
        <v>21477</v>
      </c>
    </row>
    <row r="1089" spans="8:8" x14ac:dyDescent="0.25">
      <c r="H1089" t="s">
        <v>21478</v>
      </c>
    </row>
    <row r="1090" spans="8:8" x14ac:dyDescent="0.25">
      <c r="H1090" t="s">
        <v>21479</v>
      </c>
    </row>
    <row r="1091" spans="8:8" x14ac:dyDescent="0.25">
      <c r="H1091" t="s">
        <v>21480</v>
      </c>
    </row>
    <row r="1092" spans="8:8" x14ac:dyDescent="0.25">
      <c r="H1092" t="s">
        <v>21481</v>
      </c>
    </row>
    <row r="1093" spans="8:8" x14ac:dyDescent="0.25">
      <c r="H1093" t="s">
        <v>21482</v>
      </c>
    </row>
    <row r="1094" spans="8:8" x14ac:dyDescent="0.25">
      <c r="H1094" t="s">
        <v>21483</v>
      </c>
    </row>
    <row r="1095" spans="8:8" x14ac:dyDescent="0.25">
      <c r="H1095" t="s">
        <v>21484</v>
      </c>
    </row>
    <row r="1096" spans="8:8" x14ac:dyDescent="0.25">
      <c r="H1096" t="s">
        <v>21485</v>
      </c>
    </row>
    <row r="1097" spans="8:8" x14ac:dyDescent="0.25">
      <c r="H1097" t="s">
        <v>21486</v>
      </c>
    </row>
    <row r="1098" spans="8:8" x14ac:dyDescent="0.25">
      <c r="H1098" t="s">
        <v>21487</v>
      </c>
    </row>
    <row r="1099" spans="8:8" x14ac:dyDescent="0.25">
      <c r="H1099" t="s">
        <v>21488</v>
      </c>
    </row>
    <row r="1100" spans="8:8" x14ac:dyDescent="0.25">
      <c r="H1100" t="s">
        <v>21489</v>
      </c>
    </row>
    <row r="1101" spans="8:8" x14ac:dyDescent="0.25">
      <c r="H1101" t="s">
        <v>21490</v>
      </c>
    </row>
    <row r="1102" spans="8:8" x14ac:dyDescent="0.25">
      <c r="H1102" t="s">
        <v>21491</v>
      </c>
    </row>
    <row r="1103" spans="8:8" x14ac:dyDescent="0.25">
      <c r="H1103" t="s">
        <v>21492</v>
      </c>
    </row>
    <row r="1104" spans="8:8" x14ac:dyDescent="0.25">
      <c r="H1104" t="s">
        <v>21493</v>
      </c>
    </row>
    <row r="1105" spans="8:8" x14ac:dyDescent="0.25">
      <c r="H1105" t="s">
        <v>21494</v>
      </c>
    </row>
    <row r="1106" spans="8:8" x14ac:dyDescent="0.25">
      <c r="H1106" t="s">
        <v>21495</v>
      </c>
    </row>
    <row r="1107" spans="8:8" x14ac:dyDescent="0.25">
      <c r="H1107" t="s">
        <v>21496</v>
      </c>
    </row>
    <row r="1108" spans="8:8" x14ac:dyDescent="0.25">
      <c r="H1108" t="s">
        <v>21497</v>
      </c>
    </row>
    <row r="1109" spans="8:8" x14ac:dyDescent="0.25">
      <c r="H1109" t="s">
        <v>21498</v>
      </c>
    </row>
    <row r="1110" spans="8:8" x14ac:dyDescent="0.25">
      <c r="H1110" t="s">
        <v>21499</v>
      </c>
    </row>
    <row r="1111" spans="8:8" x14ac:dyDescent="0.25">
      <c r="H1111" t="s">
        <v>21500</v>
      </c>
    </row>
    <row r="1112" spans="8:8" x14ac:dyDescent="0.25">
      <c r="H1112" t="s">
        <v>21501</v>
      </c>
    </row>
    <row r="1113" spans="8:8" x14ac:dyDescent="0.25">
      <c r="H1113" t="s">
        <v>21502</v>
      </c>
    </row>
    <row r="1114" spans="8:8" x14ac:dyDescent="0.25">
      <c r="H1114" t="s">
        <v>21503</v>
      </c>
    </row>
    <row r="1115" spans="8:8" x14ac:dyDescent="0.25">
      <c r="H1115" t="s">
        <v>21504</v>
      </c>
    </row>
    <row r="1116" spans="8:8" x14ac:dyDescent="0.25">
      <c r="H1116" t="s">
        <v>21505</v>
      </c>
    </row>
    <row r="1117" spans="8:8" x14ac:dyDescent="0.25">
      <c r="H1117" t="s">
        <v>21506</v>
      </c>
    </row>
    <row r="1118" spans="8:8" x14ac:dyDescent="0.25">
      <c r="H1118" t="s">
        <v>21507</v>
      </c>
    </row>
    <row r="1119" spans="8:8" x14ac:dyDescent="0.25">
      <c r="H1119" t="s">
        <v>21508</v>
      </c>
    </row>
    <row r="1120" spans="8:8" x14ac:dyDescent="0.25">
      <c r="H1120" t="s">
        <v>21509</v>
      </c>
    </row>
    <row r="1121" spans="8:8" x14ac:dyDescent="0.25">
      <c r="H1121" t="s">
        <v>21510</v>
      </c>
    </row>
    <row r="1122" spans="8:8" x14ac:dyDescent="0.25">
      <c r="H1122" t="s">
        <v>21511</v>
      </c>
    </row>
    <row r="1123" spans="8:8" x14ac:dyDescent="0.25">
      <c r="H1123" t="s">
        <v>21512</v>
      </c>
    </row>
    <row r="1124" spans="8:8" x14ac:dyDescent="0.25">
      <c r="H1124" t="s">
        <v>21513</v>
      </c>
    </row>
    <row r="1125" spans="8:8" x14ac:dyDescent="0.25">
      <c r="H1125" t="s">
        <v>21514</v>
      </c>
    </row>
    <row r="1126" spans="8:8" x14ac:dyDescent="0.25">
      <c r="H1126" t="s">
        <v>21515</v>
      </c>
    </row>
    <row r="1127" spans="8:8" x14ac:dyDescent="0.25">
      <c r="H1127" t="s">
        <v>21516</v>
      </c>
    </row>
    <row r="1128" spans="8:8" x14ac:dyDescent="0.25">
      <c r="H1128" t="s">
        <v>21517</v>
      </c>
    </row>
    <row r="1129" spans="8:8" x14ac:dyDescent="0.25">
      <c r="H1129" t="s">
        <v>21518</v>
      </c>
    </row>
    <row r="1130" spans="8:8" x14ac:dyDescent="0.25">
      <c r="H1130" t="s">
        <v>21519</v>
      </c>
    </row>
    <row r="1131" spans="8:8" x14ac:dyDescent="0.25">
      <c r="H1131" t="s">
        <v>21520</v>
      </c>
    </row>
    <row r="1132" spans="8:8" x14ac:dyDescent="0.25">
      <c r="H1132" t="s">
        <v>21521</v>
      </c>
    </row>
    <row r="1133" spans="8:8" x14ac:dyDescent="0.25">
      <c r="H1133" t="s">
        <v>21522</v>
      </c>
    </row>
    <row r="1134" spans="8:8" x14ac:dyDescent="0.25">
      <c r="H1134" t="s">
        <v>21523</v>
      </c>
    </row>
    <row r="1135" spans="8:8" x14ac:dyDescent="0.25">
      <c r="H1135" t="s">
        <v>21524</v>
      </c>
    </row>
    <row r="1136" spans="8:8" x14ac:dyDescent="0.25">
      <c r="H1136" t="s">
        <v>21525</v>
      </c>
    </row>
    <row r="1137" spans="8:8" x14ac:dyDescent="0.25">
      <c r="H1137" t="s">
        <v>21526</v>
      </c>
    </row>
    <row r="1138" spans="8:8" x14ac:dyDescent="0.25">
      <c r="H1138" t="s">
        <v>21527</v>
      </c>
    </row>
    <row r="1139" spans="8:8" x14ac:dyDescent="0.25">
      <c r="H1139" t="s">
        <v>21528</v>
      </c>
    </row>
    <row r="1140" spans="8:8" x14ac:dyDescent="0.25">
      <c r="H1140" t="s">
        <v>21529</v>
      </c>
    </row>
    <row r="1141" spans="8:8" x14ac:dyDescent="0.25">
      <c r="H1141" t="s">
        <v>21530</v>
      </c>
    </row>
    <row r="1142" spans="8:8" x14ac:dyDescent="0.25">
      <c r="H1142" t="s">
        <v>21531</v>
      </c>
    </row>
    <row r="1143" spans="8:8" x14ac:dyDescent="0.25">
      <c r="H1143" t="s">
        <v>21532</v>
      </c>
    </row>
    <row r="1144" spans="8:8" x14ac:dyDescent="0.25">
      <c r="H1144" t="s">
        <v>21533</v>
      </c>
    </row>
    <row r="1145" spans="8:8" x14ac:dyDescent="0.25">
      <c r="H1145" t="s">
        <v>21534</v>
      </c>
    </row>
    <row r="1146" spans="8:8" x14ac:dyDescent="0.25">
      <c r="H1146" t="s">
        <v>21535</v>
      </c>
    </row>
    <row r="1147" spans="8:8" x14ac:dyDescent="0.25">
      <c r="H1147" t="s">
        <v>21536</v>
      </c>
    </row>
    <row r="1148" spans="8:8" x14ac:dyDescent="0.25">
      <c r="H1148" t="s">
        <v>21537</v>
      </c>
    </row>
    <row r="1149" spans="8:8" x14ac:dyDescent="0.25">
      <c r="H1149" t="s">
        <v>21538</v>
      </c>
    </row>
    <row r="1150" spans="8:8" x14ac:dyDescent="0.25">
      <c r="H1150" t="s">
        <v>21539</v>
      </c>
    </row>
    <row r="1151" spans="8:8" x14ac:dyDescent="0.25">
      <c r="H1151" t="s">
        <v>21540</v>
      </c>
    </row>
    <row r="1152" spans="8:8" x14ac:dyDescent="0.25">
      <c r="H1152" t="s">
        <v>21541</v>
      </c>
    </row>
    <row r="1153" spans="8:8" x14ac:dyDescent="0.25">
      <c r="H1153" t="s">
        <v>21542</v>
      </c>
    </row>
    <row r="1154" spans="8:8" x14ac:dyDescent="0.25">
      <c r="H1154" t="s">
        <v>21543</v>
      </c>
    </row>
    <row r="1155" spans="8:8" x14ac:dyDescent="0.25">
      <c r="H1155" t="s">
        <v>21544</v>
      </c>
    </row>
    <row r="1156" spans="8:8" x14ac:dyDescent="0.25">
      <c r="H1156" t="s">
        <v>21545</v>
      </c>
    </row>
    <row r="1157" spans="8:8" x14ac:dyDescent="0.25">
      <c r="H1157" t="s">
        <v>21546</v>
      </c>
    </row>
    <row r="1158" spans="8:8" x14ac:dyDescent="0.25">
      <c r="H1158" t="s">
        <v>21547</v>
      </c>
    </row>
    <row r="1159" spans="8:8" x14ac:dyDescent="0.25">
      <c r="H1159" t="s">
        <v>21548</v>
      </c>
    </row>
    <row r="1160" spans="8:8" x14ac:dyDescent="0.25">
      <c r="H1160" t="s">
        <v>21549</v>
      </c>
    </row>
    <row r="1161" spans="8:8" x14ac:dyDescent="0.25">
      <c r="H1161" t="s">
        <v>21550</v>
      </c>
    </row>
    <row r="1162" spans="8:8" x14ac:dyDescent="0.25">
      <c r="H1162" t="s">
        <v>21551</v>
      </c>
    </row>
    <row r="1163" spans="8:8" x14ac:dyDescent="0.25">
      <c r="H1163" t="s">
        <v>21552</v>
      </c>
    </row>
    <row r="1164" spans="8:8" x14ac:dyDescent="0.25">
      <c r="H1164" t="s">
        <v>21553</v>
      </c>
    </row>
    <row r="1165" spans="8:8" x14ac:dyDescent="0.25">
      <c r="H1165" t="s">
        <v>21554</v>
      </c>
    </row>
    <row r="1166" spans="8:8" x14ac:dyDescent="0.25">
      <c r="H1166" t="s">
        <v>21555</v>
      </c>
    </row>
    <row r="1167" spans="8:8" x14ac:dyDescent="0.25">
      <c r="H1167" t="s">
        <v>21556</v>
      </c>
    </row>
    <row r="1168" spans="8:8" x14ac:dyDescent="0.25">
      <c r="H1168" t="s">
        <v>21557</v>
      </c>
    </row>
    <row r="1169" spans="8:8" x14ac:dyDescent="0.25">
      <c r="H1169" t="s">
        <v>21558</v>
      </c>
    </row>
    <row r="1170" spans="8:8" x14ac:dyDescent="0.25">
      <c r="H1170" t="s">
        <v>21559</v>
      </c>
    </row>
    <row r="1171" spans="8:8" x14ac:dyDescent="0.25">
      <c r="H1171" t="s">
        <v>21560</v>
      </c>
    </row>
    <row r="1172" spans="8:8" x14ac:dyDescent="0.25">
      <c r="H1172" t="s">
        <v>21561</v>
      </c>
    </row>
    <row r="1173" spans="8:8" x14ac:dyDescent="0.25">
      <c r="H1173" t="s">
        <v>21562</v>
      </c>
    </row>
    <row r="1174" spans="8:8" x14ac:dyDescent="0.25">
      <c r="H1174" t="s">
        <v>21563</v>
      </c>
    </row>
    <row r="1175" spans="8:8" x14ac:dyDescent="0.25">
      <c r="H1175" t="s">
        <v>21564</v>
      </c>
    </row>
    <row r="1176" spans="8:8" x14ac:dyDescent="0.25">
      <c r="H1176" t="s">
        <v>21565</v>
      </c>
    </row>
    <row r="1177" spans="8:8" x14ac:dyDescent="0.25">
      <c r="H1177" t="s">
        <v>21566</v>
      </c>
    </row>
    <row r="1178" spans="8:8" x14ac:dyDescent="0.25">
      <c r="H1178" t="s">
        <v>21567</v>
      </c>
    </row>
    <row r="1179" spans="8:8" x14ac:dyDescent="0.25">
      <c r="H1179" t="s">
        <v>21568</v>
      </c>
    </row>
    <row r="1180" spans="8:8" x14ac:dyDescent="0.25">
      <c r="H1180" t="s">
        <v>21569</v>
      </c>
    </row>
    <row r="1181" spans="8:8" x14ac:dyDescent="0.25">
      <c r="H1181" t="s">
        <v>21570</v>
      </c>
    </row>
    <row r="1182" spans="8:8" x14ac:dyDescent="0.25">
      <c r="H1182" t="s">
        <v>21571</v>
      </c>
    </row>
    <row r="1183" spans="8:8" x14ac:dyDescent="0.25">
      <c r="H1183" t="s">
        <v>21572</v>
      </c>
    </row>
    <row r="1184" spans="8:8" x14ac:dyDescent="0.25">
      <c r="H1184" t="s">
        <v>21573</v>
      </c>
    </row>
    <row r="1185" spans="8:8" x14ac:dyDescent="0.25">
      <c r="H1185" t="s">
        <v>21574</v>
      </c>
    </row>
    <row r="1186" spans="8:8" x14ac:dyDescent="0.25">
      <c r="H1186" t="s">
        <v>21575</v>
      </c>
    </row>
    <row r="1187" spans="8:8" x14ac:dyDescent="0.25">
      <c r="H1187" t="s">
        <v>21576</v>
      </c>
    </row>
    <row r="1188" spans="8:8" x14ac:dyDescent="0.25">
      <c r="H1188" t="s">
        <v>21577</v>
      </c>
    </row>
    <row r="1189" spans="8:8" x14ac:dyDescent="0.25">
      <c r="H1189" t="s">
        <v>21578</v>
      </c>
    </row>
    <row r="1190" spans="8:8" x14ac:dyDescent="0.25">
      <c r="H1190" t="s">
        <v>21579</v>
      </c>
    </row>
    <row r="1191" spans="8:8" x14ac:dyDescent="0.25">
      <c r="H1191" t="s">
        <v>21580</v>
      </c>
    </row>
    <row r="1192" spans="8:8" x14ac:dyDescent="0.25">
      <c r="H1192" t="s">
        <v>21581</v>
      </c>
    </row>
    <row r="1193" spans="8:8" x14ac:dyDescent="0.25">
      <c r="H1193" t="s">
        <v>21582</v>
      </c>
    </row>
    <row r="1194" spans="8:8" x14ac:dyDescent="0.25">
      <c r="H1194" t="s">
        <v>21583</v>
      </c>
    </row>
    <row r="1195" spans="8:8" x14ac:dyDescent="0.25">
      <c r="H1195" t="s">
        <v>21584</v>
      </c>
    </row>
    <row r="1196" spans="8:8" x14ac:dyDescent="0.25">
      <c r="H1196" t="s">
        <v>21585</v>
      </c>
    </row>
    <row r="1197" spans="8:8" x14ac:dyDescent="0.25">
      <c r="H1197" t="s">
        <v>21586</v>
      </c>
    </row>
    <row r="1198" spans="8:8" x14ac:dyDescent="0.25">
      <c r="H1198" t="s">
        <v>21587</v>
      </c>
    </row>
    <row r="1199" spans="8:8" x14ac:dyDescent="0.25">
      <c r="H1199" t="s">
        <v>21588</v>
      </c>
    </row>
    <row r="1200" spans="8:8" x14ac:dyDescent="0.25">
      <c r="H1200" t="s">
        <v>21589</v>
      </c>
    </row>
    <row r="1201" spans="8:8" x14ac:dyDescent="0.25">
      <c r="H1201" t="s">
        <v>21590</v>
      </c>
    </row>
    <row r="1202" spans="8:8" x14ac:dyDescent="0.25">
      <c r="H1202" t="s">
        <v>21591</v>
      </c>
    </row>
    <row r="1203" spans="8:8" x14ac:dyDescent="0.25">
      <c r="H1203" t="s">
        <v>21592</v>
      </c>
    </row>
    <row r="1204" spans="8:8" x14ac:dyDescent="0.25">
      <c r="H1204" t="s">
        <v>21593</v>
      </c>
    </row>
    <row r="1205" spans="8:8" x14ac:dyDescent="0.25">
      <c r="H1205" t="s">
        <v>21594</v>
      </c>
    </row>
    <row r="1206" spans="8:8" x14ac:dyDescent="0.25">
      <c r="H1206" t="s">
        <v>21595</v>
      </c>
    </row>
    <row r="1207" spans="8:8" x14ac:dyDescent="0.25">
      <c r="H1207" t="s">
        <v>21596</v>
      </c>
    </row>
    <row r="1208" spans="8:8" x14ac:dyDescent="0.25">
      <c r="H1208" t="s">
        <v>21597</v>
      </c>
    </row>
    <row r="1209" spans="8:8" x14ac:dyDescent="0.25">
      <c r="H1209" t="s">
        <v>21598</v>
      </c>
    </row>
    <row r="1210" spans="8:8" x14ac:dyDescent="0.25">
      <c r="H1210" t="s">
        <v>21599</v>
      </c>
    </row>
    <row r="1211" spans="8:8" x14ac:dyDescent="0.25">
      <c r="H1211" t="s">
        <v>21600</v>
      </c>
    </row>
    <row r="1212" spans="8:8" x14ac:dyDescent="0.25">
      <c r="H1212" t="s">
        <v>21601</v>
      </c>
    </row>
    <row r="1213" spans="8:8" x14ac:dyDescent="0.25">
      <c r="H1213" t="s">
        <v>21602</v>
      </c>
    </row>
    <row r="1214" spans="8:8" x14ac:dyDescent="0.25">
      <c r="H1214" t="s">
        <v>21603</v>
      </c>
    </row>
    <row r="1215" spans="8:8" x14ac:dyDescent="0.25">
      <c r="H1215" t="s">
        <v>21604</v>
      </c>
    </row>
    <row r="1216" spans="8:8" x14ac:dyDescent="0.25">
      <c r="H1216" t="s">
        <v>21605</v>
      </c>
    </row>
    <row r="1217" spans="8:8" x14ac:dyDescent="0.25">
      <c r="H1217" t="s">
        <v>21606</v>
      </c>
    </row>
    <row r="1218" spans="8:8" x14ac:dyDescent="0.25">
      <c r="H1218" t="s">
        <v>21607</v>
      </c>
    </row>
    <row r="1219" spans="8:8" x14ac:dyDescent="0.25">
      <c r="H1219" t="s">
        <v>21608</v>
      </c>
    </row>
    <row r="1220" spans="8:8" x14ac:dyDescent="0.25">
      <c r="H1220" t="s">
        <v>21609</v>
      </c>
    </row>
    <row r="1221" spans="8:8" x14ac:dyDescent="0.25">
      <c r="H1221" t="s">
        <v>21610</v>
      </c>
    </row>
    <row r="1222" spans="8:8" x14ac:dyDescent="0.25">
      <c r="H1222" t="s">
        <v>21611</v>
      </c>
    </row>
    <row r="1223" spans="8:8" x14ac:dyDescent="0.25">
      <c r="H1223" t="s">
        <v>21612</v>
      </c>
    </row>
    <row r="1224" spans="8:8" x14ac:dyDescent="0.25">
      <c r="H1224" t="s">
        <v>21613</v>
      </c>
    </row>
    <row r="1225" spans="8:8" x14ac:dyDescent="0.25">
      <c r="H1225" t="s">
        <v>21614</v>
      </c>
    </row>
    <row r="1226" spans="8:8" x14ac:dyDescent="0.25">
      <c r="H1226" t="s">
        <v>21615</v>
      </c>
    </row>
    <row r="1227" spans="8:8" x14ac:dyDescent="0.25">
      <c r="H1227" t="s">
        <v>21616</v>
      </c>
    </row>
    <row r="1228" spans="8:8" x14ac:dyDescent="0.25">
      <c r="H1228" t="s">
        <v>21617</v>
      </c>
    </row>
    <row r="1229" spans="8:8" x14ac:dyDescent="0.25">
      <c r="H1229" t="s">
        <v>21618</v>
      </c>
    </row>
    <row r="1230" spans="8:8" x14ac:dyDescent="0.25">
      <c r="H1230" t="s">
        <v>21619</v>
      </c>
    </row>
    <row r="1231" spans="8:8" x14ac:dyDescent="0.25">
      <c r="H1231" t="s">
        <v>21620</v>
      </c>
    </row>
    <row r="1232" spans="8:8" x14ac:dyDescent="0.25">
      <c r="H1232" t="s">
        <v>21621</v>
      </c>
    </row>
    <row r="1233" spans="8:8" x14ac:dyDescent="0.25">
      <c r="H1233" t="s">
        <v>21622</v>
      </c>
    </row>
    <row r="1234" spans="8:8" x14ac:dyDescent="0.25">
      <c r="H1234" t="s">
        <v>21623</v>
      </c>
    </row>
    <row r="1235" spans="8:8" x14ac:dyDescent="0.25">
      <c r="H1235" t="s">
        <v>21624</v>
      </c>
    </row>
    <row r="1236" spans="8:8" x14ac:dyDescent="0.25">
      <c r="H1236" t="s">
        <v>21625</v>
      </c>
    </row>
    <row r="1237" spans="8:8" x14ac:dyDescent="0.25">
      <c r="H1237" t="s">
        <v>21626</v>
      </c>
    </row>
    <row r="1238" spans="8:8" x14ac:dyDescent="0.25">
      <c r="H1238" t="s">
        <v>21627</v>
      </c>
    </row>
    <row r="1239" spans="8:8" x14ac:dyDescent="0.25">
      <c r="H1239" t="s">
        <v>21628</v>
      </c>
    </row>
    <row r="1240" spans="8:8" x14ac:dyDescent="0.25">
      <c r="H1240" t="s">
        <v>21629</v>
      </c>
    </row>
    <row r="1241" spans="8:8" x14ac:dyDescent="0.25">
      <c r="H1241" t="s">
        <v>21630</v>
      </c>
    </row>
    <row r="1242" spans="8:8" x14ac:dyDescent="0.25">
      <c r="H1242" t="s">
        <v>21631</v>
      </c>
    </row>
    <row r="1243" spans="8:8" x14ac:dyDescent="0.25">
      <c r="H1243" t="s">
        <v>21632</v>
      </c>
    </row>
    <row r="1244" spans="8:8" x14ac:dyDescent="0.25">
      <c r="H1244" t="s">
        <v>21633</v>
      </c>
    </row>
    <row r="1245" spans="8:8" x14ac:dyDescent="0.25">
      <c r="H1245" t="s">
        <v>21634</v>
      </c>
    </row>
    <row r="1246" spans="8:8" x14ac:dyDescent="0.25">
      <c r="H1246" t="s">
        <v>21635</v>
      </c>
    </row>
    <row r="1247" spans="8:8" x14ac:dyDescent="0.25">
      <c r="H1247" t="s">
        <v>21636</v>
      </c>
    </row>
    <row r="1248" spans="8:8" x14ac:dyDescent="0.25">
      <c r="H1248" t="s">
        <v>21637</v>
      </c>
    </row>
    <row r="1249" spans="8:8" x14ac:dyDescent="0.25">
      <c r="H1249" t="s">
        <v>21638</v>
      </c>
    </row>
    <row r="1250" spans="8:8" x14ac:dyDescent="0.25">
      <c r="H1250" t="s">
        <v>21639</v>
      </c>
    </row>
    <row r="1251" spans="8:8" x14ac:dyDescent="0.25">
      <c r="H1251" t="s">
        <v>21640</v>
      </c>
    </row>
    <row r="1252" spans="8:8" x14ac:dyDescent="0.25">
      <c r="H1252" t="s">
        <v>21641</v>
      </c>
    </row>
    <row r="1253" spans="8:8" x14ac:dyDescent="0.25">
      <c r="H1253" t="s">
        <v>21642</v>
      </c>
    </row>
    <row r="1254" spans="8:8" x14ac:dyDescent="0.25">
      <c r="H1254" t="s">
        <v>21643</v>
      </c>
    </row>
    <row r="1255" spans="8:8" x14ac:dyDescent="0.25">
      <c r="H1255" t="s">
        <v>21644</v>
      </c>
    </row>
    <row r="1256" spans="8:8" x14ac:dyDescent="0.25">
      <c r="H1256" t="s">
        <v>21645</v>
      </c>
    </row>
    <row r="1257" spans="8:8" x14ac:dyDescent="0.25">
      <c r="H1257" t="s">
        <v>21646</v>
      </c>
    </row>
    <row r="1258" spans="8:8" x14ac:dyDescent="0.25">
      <c r="H1258" t="s">
        <v>21647</v>
      </c>
    </row>
    <row r="1259" spans="8:8" x14ac:dyDescent="0.25">
      <c r="H1259" t="s">
        <v>21648</v>
      </c>
    </row>
    <row r="1260" spans="8:8" x14ac:dyDescent="0.25">
      <c r="H1260" t="s">
        <v>21649</v>
      </c>
    </row>
    <row r="1261" spans="8:8" x14ac:dyDescent="0.25">
      <c r="H1261" t="s">
        <v>21650</v>
      </c>
    </row>
    <row r="1262" spans="8:8" x14ac:dyDescent="0.25">
      <c r="H1262" t="s">
        <v>21651</v>
      </c>
    </row>
    <row r="1263" spans="8:8" x14ac:dyDescent="0.25">
      <c r="H1263" t="s">
        <v>21652</v>
      </c>
    </row>
    <row r="1264" spans="8:8" x14ac:dyDescent="0.25">
      <c r="H1264" t="s">
        <v>21653</v>
      </c>
    </row>
    <row r="1265" spans="8:8" x14ac:dyDescent="0.25">
      <c r="H1265" t="s">
        <v>21654</v>
      </c>
    </row>
    <row r="1266" spans="8:8" x14ac:dyDescent="0.25">
      <c r="H1266" t="s">
        <v>21655</v>
      </c>
    </row>
    <row r="1267" spans="8:8" x14ac:dyDescent="0.25">
      <c r="H1267" t="s">
        <v>21656</v>
      </c>
    </row>
    <row r="1268" spans="8:8" x14ac:dyDescent="0.25">
      <c r="H1268" t="s">
        <v>21657</v>
      </c>
    </row>
    <row r="1269" spans="8:8" x14ac:dyDescent="0.25">
      <c r="H1269" t="s">
        <v>21658</v>
      </c>
    </row>
    <row r="1270" spans="8:8" x14ac:dyDescent="0.25">
      <c r="H1270" t="s">
        <v>21659</v>
      </c>
    </row>
    <row r="1271" spans="8:8" x14ac:dyDescent="0.25">
      <c r="H1271" t="s">
        <v>21660</v>
      </c>
    </row>
    <row r="1272" spans="8:8" x14ac:dyDescent="0.25">
      <c r="H1272" t="s">
        <v>21661</v>
      </c>
    </row>
    <row r="1273" spans="8:8" x14ac:dyDescent="0.25">
      <c r="H1273" t="s">
        <v>21662</v>
      </c>
    </row>
    <row r="1274" spans="8:8" x14ac:dyDescent="0.25">
      <c r="H1274" t="s">
        <v>21663</v>
      </c>
    </row>
    <row r="1275" spans="8:8" x14ac:dyDescent="0.25">
      <c r="H1275" t="s">
        <v>21664</v>
      </c>
    </row>
    <row r="1276" spans="8:8" x14ac:dyDescent="0.25">
      <c r="H1276" t="s">
        <v>21665</v>
      </c>
    </row>
    <row r="1277" spans="8:8" x14ac:dyDescent="0.25">
      <c r="H1277" t="s">
        <v>21666</v>
      </c>
    </row>
    <row r="1278" spans="8:8" x14ac:dyDescent="0.25">
      <c r="H1278" t="s">
        <v>21667</v>
      </c>
    </row>
    <row r="1279" spans="8:8" x14ac:dyDescent="0.25">
      <c r="H1279" t="s">
        <v>21668</v>
      </c>
    </row>
    <row r="1280" spans="8:8" x14ac:dyDescent="0.25">
      <c r="H1280" t="s">
        <v>21669</v>
      </c>
    </row>
    <row r="1281" spans="8:8" x14ac:dyDescent="0.25">
      <c r="H1281" t="s">
        <v>21670</v>
      </c>
    </row>
    <row r="1282" spans="8:8" x14ac:dyDescent="0.25">
      <c r="H1282" t="s">
        <v>21671</v>
      </c>
    </row>
    <row r="1283" spans="8:8" x14ac:dyDescent="0.25">
      <c r="H1283" t="s">
        <v>21672</v>
      </c>
    </row>
    <row r="1284" spans="8:8" x14ac:dyDescent="0.25">
      <c r="H1284" t="s">
        <v>21673</v>
      </c>
    </row>
    <row r="1285" spans="8:8" x14ac:dyDescent="0.25">
      <c r="H1285" t="s">
        <v>21674</v>
      </c>
    </row>
    <row r="1286" spans="8:8" x14ac:dyDescent="0.25">
      <c r="H1286" t="s">
        <v>21675</v>
      </c>
    </row>
    <row r="1287" spans="8:8" x14ac:dyDescent="0.25">
      <c r="H1287" t="s">
        <v>21676</v>
      </c>
    </row>
    <row r="1288" spans="8:8" x14ac:dyDescent="0.25">
      <c r="H1288" t="s">
        <v>21677</v>
      </c>
    </row>
    <row r="1289" spans="8:8" x14ac:dyDescent="0.25">
      <c r="H1289" t="s">
        <v>21678</v>
      </c>
    </row>
    <row r="1290" spans="8:8" x14ac:dyDescent="0.25">
      <c r="H1290" t="s">
        <v>21679</v>
      </c>
    </row>
    <row r="1291" spans="8:8" x14ac:dyDescent="0.25">
      <c r="H1291" t="s">
        <v>21680</v>
      </c>
    </row>
    <row r="1292" spans="8:8" x14ac:dyDescent="0.25">
      <c r="H1292" t="s">
        <v>21681</v>
      </c>
    </row>
    <row r="1293" spans="8:8" x14ac:dyDescent="0.25">
      <c r="H1293" t="s">
        <v>21682</v>
      </c>
    </row>
    <row r="1294" spans="8:8" x14ac:dyDescent="0.25">
      <c r="H1294" t="s">
        <v>21683</v>
      </c>
    </row>
    <row r="1295" spans="8:8" x14ac:dyDescent="0.25">
      <c r="H1295" t="s">
        <v>21684</v>
      </c>
    </row>
    <row r="1296" spans="8:8" x14ac:dyDescent="0.25">
      <c r="H1296" t="s">
        <v>21685</v>
      </c>
    </row>
    <row r="1297" spans="8:8" x14ac:dyDescent="0.25">
      <c r="H1297" t="s">
        <v>21686</v>
      </c>
    </row>
    <row r="1298" spans="8:8" x14ac:dyDescent="0.25">
      <c r="H1298" t="s">
        <v>21687</v>
      </c>
    </row>
    <row r="1299" spans="8:8" x14ac:dyDescent="0.25">
      <c r="H1299" t="s">
        <v>21688</v>
      </c>
    </row>
    <row r="1300" spans="8:8" x14ac:dyDescent="0.25">
      <c r="H1300" t="s">
        <v>21689</v>
      </c>
    </row>
    <row r="1301" spans="8:8" x14ac:dyDescent="0.25">
      <c r="H1301" t="s">
        <v>21690</v>
      </c>
    </row>
    <row r="1302" spans="8:8" x14ac:dyDescent="0.25">
      <c r="H1302" t="s">
        <v>21691</v>
      </c>
    </row>
    <row r="1303" spans="8:8" x14ac:dyDescent="0.25">
      <c r="H1303" t="s">
        <v>21692</v>
      </c>
    </row>
    <row r="1304" spans="8:8" x14ac:dyDescent="0.25">
      <c r="H1304" t="s">
        <v>21693</v>
      </c>
    </row>
    <row r="1305" spans="8:8" x14ac:dyDescent="0.25">
      <c r="H1305" t="s">
        <v>21694</v>
      </c>
    </row>
    <row r="1306" spans="8:8" x14ac:dyDescent="0.25">
      <c r="H1306" t="s">
        <v>21695</v>
      </c>
    </row>
    <row r="1307" spans="8:8" x14ac:dyDescent="0.25">
      <c r="H1307" t="s">
        <v>21696</v>
      </c>
    </row>
    <row r="1308" spans="8:8" x14ac:dyDescent="0.25">
      <c r="H1308" t="s">
        <v>21697</v>
      </c>
    </row>
    <row r="1309" spans="8:8" x14ac:dyDescent="0.25">
      <c r="H1309" t="s">
        <v>21698</v>
      </c>
    </row>
    <row r="1310" spans="8:8" x14ac:dyDescent="0.25">
      <c r="H1310" t="s">
        <v>21699</v>
      </c>
    </row>
    <row r="1311" spans="8:8" x14ac:dyDescent="0.25">
      <c r="H1311" t="s">
        <v>21700</v>
      </c>
    </row>
    <row r="1312" spans="8:8" x14ac:dyDescent="0.25">
      <c r="H1312" t="s">
        <v>21701</v>
      </c>
    </row>
    <row r="1313" spans="8:8" x14ac:dyDescent="0.25">
      <c r="H1313" t="s">
        <v>21702</v>
      </c>
    </row>
    <row r="1314" spans="8:8" x14ac:dyDescent="0.25">
      <c r="H1314" t="s">
        <v>21703</v>
      </c>
    </row>
    <row r="1315" spans="8:8" x14ac:dyDescent="0.25">
      <c r="H1315" t="s">
        <v>21704</v>
      </c>
    </row>
    <row r="1316" spans="8:8" x14ac:dyDescent="0.25">
      <c r="H1316" t="s">
        <v>21705</v>
      </c>
    </row>
    <row r="1317" spans="8:8" x14ac:dyDescent="0.25">
      <c r="H1317" t="s">
        <v>21706</v>
      </c>
    </row>
    <row r="1318" spans="8:8" x14ac:dyDescent="0.25">
      <c r="H1318" t="s">
        <v>21707</v>
      </c>
    </row>
    <row r="1319" spans="8:8" x14ac:dyDescent="0.25">
      <c r="H1319" t="s">
        <v>21708</v>
      </c>
    </row>
    <row r="1320" spans="8:8" x14ac:dyDescent="0.25">
      <c r="H1320" t="s">
        <v>21709</v>
      </c>
    </row>
    <row r="1321" spans="8:8" x14ac:dyDescent="0.25">
      <c r="H1321" t="s">
        <v>21710</v>
      </c>
    </row>
    <row r="1322" spans="8:8" x14ac:dyDescent="0.25">
      <c r="H1322" t="s">
        <v>21711</v>
      </c>
    </row>
    <row r="1323" spans="8:8" x14ac:dyDescent="0.25">
      <c r="H1323" t="s">
        <v>21712</v>
      </c>
    </row>
    <row r="1324" spans="8:8" x14ac:dyDescent="0.25">
      <c r="H1324" t="s">
        <v>21713</v>
      </c>
    </row>
    <row r="1325" spans="8:8" x14ac:dyDescent="0.25">
      <c r="H1325" t="s">
        <v>21714</v>
      </c>
    </row>
    <row r="1326" spans="8:8" x14ac:dyDescent="0.25">
      <c r="H1326" t="s">
        <v>21715</v>
      </c>
    </row>
    <row r="1327" spans="8:8" x14ac:dyDescent="0.25">
      <c r="H1327" t="s">
        <v>21716</v>
      </c>
    </row>
    <row r="1328" spans="8:8" x14ac:dyDescent="0.25">
      <c r="H1328" t="s">
        <v>21717</v>
      </c>
    </row>
    <row r="1329" spans="8:8" x14ac:dyDescent="0.25">
      <c r="H1329" t="s">
        <v>21718</v>
      </c>
    </row>
    <row r="1330" spans="8:8" x14ac:dyDescent="0.25">
      <c r="H1330" t="s">
        <v>21719</v>
      </c>
    </row>
    <row r="1331" spans="8:8" x14ac:dyDescent="0.25">
      <c r="H1331" t="s">
        <v>21720</v>
      </c>
    </row>
    <row r="1332" spans="8:8" x14ac:dyDescent="0.25">
      <c r="H1332" t="s">
        <v>21721</v>
      </c>
    </row>
    <row r="1333" spans="8:8" x14ac:dyDescent="0.25">
      <c r="H1333" t="s">
        <v>21722</v>
      </c>
    </row>
    <row r="1334" spans="8:8" x14ac:dyDescent="0.25">
      <c r="H1334" t="s">
        <v>21723</v>
      </c>
    </row>
    <row r="1335" spans="8:8" x14ac:dyDescent="0.25">
      <c r="H1335" t="s">
        <v>21724</v>
      </c>
    </row>
    <row r="1336" spans="8:8" x14ac:dyDescent="0.25">
      <c r="H1336" t="s">
        <v>21725</v>
      </c>
    </row>
    <row r="1337" spans="8:8" x14ac:dyDescent="0.25">
      <c r="H1337" t="s">
        <v>21726</v>
      </c>
    </row>
    <row r="1338" spans="8:8" x14ac:dyDescent="0.25">
      <c r="H1338" t="s">
        <v>21727</v>
      </c>
    </row>
    <row r="1339" spans="8:8" x14ac:dyDescent="0.25">
      <c r="H1339" t="s">
        <v>21728</v>
      </c>
    </row>
    <row r="1340" spans="8:8" x14ac:dyDescent="0.25">
      <c r="H1340" t="s">
        <v>21729</v>
      </c>
    </row>
    <row r="1341" spans="8:8" x14ac:dyDescent="0.25">
      <c r="H1341" t="s">
        <v>21730</v>
      </c>
    </row>
    <row r="1342" spans="8:8" x14ac:dyDescent="0.25">
      <c r="H1342" t="s">
        <v>21731</v>
      </c>
    </row>
    <row r="1343" spans="8:8" x14ac:dyDescent="0.25">
      <c r="H1343" t="s">
        <v>21732</v>
      </c>
    </row>
    <row r="1344" spans="8:8" x14ac:dyDescent="0.25">
      <c r="H1344" t="s">
        <v>21733</v>
      </c>
    </row>
    <row r="1345" spans="8:8" x14ac:dyDescent="0.25">
      <c r="H1345" t="s">
        <v>21734</v>
      </c>
    </row>
    <row r="1346" spans="8:8" x14ac:dyDescent="0.25">
      <c r="H1346" t="s">
        <v>21735</v>
      </c>
    </row>
    <row r="1347" spans="8:8" x14ac:dyDescent="0.25">
      <c r="H1347" t="s">
        <v>21736</v>
      </c>
    </row>
    <row r="1348" spans="8:8" x14ac:dyDescent="0.25">
      <c r="H1348" t="s">
        <v>21737</v>
      </c>
    </row>
    <row r="1349" spans="8:8" x14ac:dyDescent="0.25">
      <c r="H1349" t="s">
        <v>21738</v>
      </c>
    </row>
    <row r="1350" spans="8:8" x14ac:dyDescent="0.25">
      <c r="H1350" t="s">
        <v>21739</v>
      </c>
    </row>
    <row r="1351" spans="8:8" x14ac:dyDescent="0.25">
      <c r="H1351" t="s">
        <v>21740</v>
      </c>
    </row>
    <row r="1352" spans="8:8" x14ac:dyDescent="0.25">
      <c r="H1352" t="s">
        <v>21741</v>
      </c>
    </row>
    <row r="1353" spans="8:8" x14ac:dyDescent="0.25">
      <c r="H1353" t="s">
        <v>21742</v>
      </c>
    </row>
    <row r="1354" spans="8:8" x14ac:dyDescent="0.25">
      <c r="H1354" t="s">
        <v>21743</v>
      </c>
    </row>
    <row r="1355" spans="8:8" x14ac:dyDescent="0.25">
      <c r="H1355" t="s">
        <v>21744</v>
      </c>
    </row>
    <row r="1356" spans="8:8" x14ac:dyDescent="0.25">
      <c r="H1356" t="s">
        <v>21745</v>
      </c>
    </row>
    <row r="1357" spans="8:8" x14ac:dyDescent="0.25">
      <c r="H1357" t="s">
        <v>21746</v>
      </c>
    </row>
    <row r="1358" spans="8:8" x14ac:dyDescent="0.25">
      <c r="H1358" t="s">
        <v>21747</v>
      </c>
    </row>
    <row r="1359" spans="8:8" x14ac:dyDescent="0.25">
      <c r="H1359" t="s">
        <v>21748</v>
      </c>
    </row>
    <row r="1360" spans="8:8" x14ac:dyDescent="0.25">
      <c r="H1360" t="s">
        <v>21749</v>
      </c>
    </row>
    <row r="1361" spans="8:8" x14ac:dyDescent="0.25">
      <c r="H1361" t="s">
        <v>21750</v>
      </c>
    </row>
    <row r="1362" spans="8:8" x14ac:dyDescent="0.25">
      <c r="H1362" t="s">
        <v>21751</v>
      </c>
    </row>
    <row r="1363" spans="8:8" x14ac:dyDescent="0.25">
      <c r="H1363" t="s">
        <v>21752</v>
      </c>
    </row>
    <row r="1364" spans="8:8" x14ac:dyDescent="0.25">
      <c r="H1364" t="s">
        <v>21753</v>
      </c>
    </row>
    <row r="1365" spans="8:8" x14ac:dyDescent="0.25">
      <c r="H1365" t="s">
        <v>21754</v>
      </c>
    </row>
    <row r="1366" spans="8:8" x14ac:dyDescent="0.25">
      <c r="H1366" t="s">
        <v>21755</v>
      </c>
    </row>
    <row r="1367" spans="8:8" x14ac:dyDescent="0.25">
      <c r="H1367" t="s">
        <v>21756</v>
      </c>
    </row>
    <row r="1368" spans="8:8" x14ac:dyDescent="0.25">
      <c r="H1368" t="s">
        <v>21757</v>
      </c>
    </row>
    <row r="1369" spans="8:8" x14ac:dyDescent="0.25">
      <c r="H1369" t="s">
        <v>21758</v>
      </c>
    </row>
    <row r="1370" spans="8:8" x14ac:dyDescent="0.25">
      <c r="H1370" t="s">
        <v>21759</v>
      </c>
    </row>
    <row r="1371" spans="8:8" x14ac:dyDescent="0.25">
      <c r="H1371" t="s">
        <v>21760</v>
      </c>
    </row>
    <row r="1372" spans="8:8" x14ac:dyDescent="0.25">
      <c r="H1372" t="s">
        <v>21761</v>
      </c>
    </row>
    <row r="1373" spans="8:8" x14ac:dyDescent="0.25">
      <c r="H1373" t="s">
        <v>21762</v>
      </c>
    </row>
    <row r="1374" spans="8:8" x14ac:dyDescent="0.25">
      <c r="H1374" t="s">
        <v>21763</v>
      </c>
    </row>
    <row r="1375" spans="8:8" x14ac:dyDescent="0.25">
      <c r="H1375" t="s">
        <v>21764</v>
      </c>
    </row>
    <row r="1376" spans="8:8" x14ac:dyDescent="0.25">
      <c r="H1376" t="s">
        <v>21765</v>
      </c>
    </row>
    <row r="1377" spans="8:8" x14ac:dyDescent="0.25">
      <c r="H1377" t="s">
        <v>21766</v>
      </c>
    </row>
    <row r="1378" spans="8:8" x14ac:dyDescent="0.25">
      <c r="H1378" t="s">
        <v>21767</v>
      </c>
    </row>
    <row r="1379" spans="8:8" x14ac:dyDescent="0.25">
      <c r="H1379" t="s">
        <v>21768</v>
      </c>
    </row>
    <row r="1380" spans="8:8" x14ac:dyDescent="0.25">
      <c r="H1380" t="s">
        <v>21769</v>
      </c>
    </row>
    <row r="1381" spans="8:8" x14ac:dyDescent="0.25">
      <c r="H1381" t="s">
        <v>21770</v>
      </c>
    </row>
    <row r="1382" spans="8:8" x14ac:dyDescent="0.25">
      <c r="H1382" t="s">
        <v>21771</v>
      </c>
    </row>
    <row r="1383" spans="8:8" x14ac:dyDescent="0.25">
      <c r="H1383" t="s">
        <v>21772</v>
      </c>
    </row>
    <row r="1384" spans="8:8" x14ac:dyDescent="0.25">
      <c r="H1384" t="s">
        <v>21773</v>
      </c>
    </row>
    <row r="1385" spans="8:8" x14ac:dyDescent="0.25">
      <c r="H1385" t="s">
        <v>21774</v>
      </c>
    </row>
    <row r="1386" spans="8:8" x14ac:dyDescent="0.25">
      <c r="H1386" t="s">
        <v>21775</v>
      </c>
    </row>
    <row r="1387" spans="8:8" x14ac:dyDescent="0.25">
      <c r="H1387" t="s">
        <v>21776</v>
      </c>
    </row>
    <row r="1388" spans="8:8" x14ac:dyDescent="0.25">
      <c r="H1388" t="s">
        <v>21777</v>
      </c>
    </row>
    <row r="1389" spans="8:8" x14ac:dyDescent="0.25">
      <c r="H1389" t="s">
        <v>21778</v>
      </c>
    </row>
    <row r="1390" spans="8:8" x14ac:dyDescent="0.25">
      <c r="H1390" t="s">
        <v>21779</v>
      </c>
    </row>
    <row r="1391" spans="8:8" x14ac:dyDescent="0.25">
      <c r="H1391" t="s">
        <v>21780</v>
      </c>
    </row>
    <row r="1392" spans="8:8" x14ac:dyDescent="0.25">
      <c r="H1392" t="s">
        <v>21781</v>
      </c>
    </row>
    <row r="1393" spans="8:8" x14ac:dyDescent="0.25">
      <c r="H1393" t="s">
        <v>21782</v>
      </c>
    </row>
    <row r="1394" spans="8:8" x14ac:dyDescent="0.25">
      <c r="H1394" t="s">
        <v>21783</v>
      </c>
    </row>
    <row r="1395" spans="8:8" x14ac:dyDescent="0.25">
      <c r="H1395" t="s">
        <v>21784</v>
      </c>
    </row>
    <row r="1396" spans="8:8" x14ac:dyDescent="0.25">
      <c r="H1396" t="s">
        <v>21785</v>
      </c>
    </row>
    <row r="1397" spans="8:8" x14ac:dyDescent="0.25">
      <c r="H1397" t="s">
        <v>21786</v>
      </c>
    </row>
    <row r="1398" spans="8:8" x14ac:dyDescent="0.25">
      <c r="H1398" t="s">
        <v>21787</v>
      </c>
    </row>
    <row r="1399" spans="8:8" x14ac:dyDescent="0.25">
      <c r="H1399" t="s">
        <v>21788</v>
      </c>
    </row>
    <row r="1400" spans="8:8" x14ac:dyDescent="0.25">
      <c r="H1400" t="s">
        <v>21789</v>
      </c>
    </row>
    <row r="1401" spans="8:8" x14ac:dyDescent="0.25">
      <c r="H1401" t="s">
        <v>21790</v>
      </c>
    </row>
    <row r="1402" spans="8:8" x14ac:dyDescent="0.25">
      <c r="H1402" t="s">
        <v>21791</v>
      </c>
    </row>
    <row r="1403" spans="8:8" x14ac:dyDescent="0.25">
      <c r="H1403" t="s">
        <v>21792</v>
      </c>
    </row>
    <row r="1404" spans="8:8" x14ac:dyDescent="0.25">
      <c r="H1404" t="s">
        <v>21793</v>
      </c>
    </row>
    <row r="1405" spans="8:8" x14ac:dyDescent="0.25">
      <c r="H1405" t="s">
        <v>21794</v>
      </c>
    </row>
    <row r="1406" spans="8:8" x14ac:dyDescent="0.25">
      <c r="H1406" t="s">
        <v>21795</v>
      </c>
    </row>
    <row r="1407" spans="8:8" x14ac:dyDescent="0.25">
      <c r="H1407" t="s">
        <v>21796</v>
      </c>
    </row>
    <row r="1408" spans="8:8" x14ac:dyDescent="0.25">
      <c r="H1408" t="s">
        <v>21797</v>
      </c>
    </row>
    <row r="1409" spans="8:8" x14ac:dyDescent="0.25">
      <c r="H1409" t="s">
        <v>21798</v>
      </c>
    </row>
    <row r="1410" spans="8:8" x14ac:dyDescent="0.25">
      <c r="H1410" t="s">
        <v>21799</v>
      </c>
    </row>
    <row r="1411" spans="8:8" x14ac:dyDescent="0.25">
      <c r="H1411" t="s">
        <v>21800</v>
      </c>
    </row>
    <row r="1412" spans="8:8" x14ac:dyDescent="0.25">
      <c r="H1412" t="s">
        <v>21801</v>
      </c>
    </row>
    <row r="1413" spans="8:8" x14ac:dyDescent="0.25">
      <c r="H1413" t="s">
        <v>21802</v>
      </c>
    </row>
    <row r="1414" spans="8:8" x14ac:dyDescent="0.25">
      <c r="H1414" t="s">
        <v>21803</v>
      </c>
    </row>
    <row r="1415" spans="8:8" x14ac:dyDescent="0.25">
      <c r="H1415" t="s">
        <v>21804</v>
      </c>
    </row>
    <row r="1416" spans="8:8" x14ac:dyDescent="0.25">
      <c r="H1416" t="s">
        <v>21805</v>
      </c>
    </row>
    <row r="1417" spans="8:8" x14ac:dyDescent="0.25">
      <c r="H1417" t="s">
        <v>21806</v>
      </c>
    </row>
    <row r="1418" spans="8:8" x14ac:dyDescent="0.25">
      <c r="H1418" t="s">
        <v>21807</v>
      </c>
    </row>
    <row r="1419" spans="8:8" x14ac:dyDescent="0.25">
      <c r="H1419" t="s">
        <v>21808</v>
      </c>
    </row>
    <row r="1420" spans="8:8" x14ac:dyDescent="0.25">
      <c r="H1420" t="s">
        <v>21809</v>
      </c>
    </row>
    <row r="1421" spans="8:8" x14ac:dyDescent="0.25">
      <c r="H1421" t="s">
        <v>21810</v>
      </c>
    </row>
    <row r="1422" spans="8:8" x14ac:dyDescent="0.25">
      <c r="H1422" t="s">
        <v>21811</v>
      </c>
    </row>
    <row r="1423" spans="8:8" x14ac:dyDescent="0.25">
      <c r="H1423" t="s">
        <v>21812</v>
      </c>
    </row>
    <row r="1424" spans="8:8" x14ac:dyDescent="0.25">
      <c r="H1424" t="s">
        <v>21813</v>
      </c>
    </row>
    <row r="1425" spans="8:8" x14ac:dyDescent="0.25">
      <c r="H1425" t="s">
        <v>21814</v>
      </c>
    </row>
    <row r="1426" spans="8:8" x14ac:dyDescent="0.25">
      <c r="H1426" t="s">
        <v>21815</v>
      </c>
    </row>
    <row r="1427" spans="8:8" x14ac:dyDescent="0.25">
      <c r="H1427" t="s">
        <v>21816</v>
      </c>
    </row>
    <row r="1428" spans="8:8" x14ac:dyDescent="0.25">
      <c r="H1428" t="s">
        <v>21817</v>
      </c>
    </row>
    <row r="1429" spans="8:8" x14ac:dyDescent="0.25">
      <c r="H1429" t="s">
        <v>21818</v>
      </c>
    </row>
    <row r="1430" spans="8:8" x14ac:dyDescent="0.25">
      <c r="H1430" t="s">
        <v>21819</v>
      </c>
    </row>
    <row r="1431" spans="8:8" x14ac:dyDescent="0.25">
      <c r="H1431" t="s">
        <v>21820</v>
      </c>
    </row>
    <row r="1432" spans="8:8" x14ac:dyDescent="0.25">
      <c r="H1432" t="s">
        <v>21821</v>
      </c>
    </row>
    <row r="1433" spans="8:8" x14ac:dyDescent="0.25">
      <c r="H1433" t="s">
        <v>21822</v>
      </c>
    </row>
    <row r="1434" spans="8:8" x14ac:dyDescent="0.25">
      <c r="H1434" t="s">
        <v>21823</v>
      </c>
    </row>
    <row r="1435" spans="8:8" x14ac:dyDescent="0.25">
      <c r="H1435" t="s">
        <v>21824</v>
      </c>
    </row>
    <row r="1436" spans="8:8" x14ac:dyDescent="0.25">
      <c r="H1436" t="s">
        <v>21825</v>
      </c>
    </row>
    <row r="1437" spans="8:8" x14ac:dyDescent="0.25">
      <c r="H1437" t="s">
        <v>21826</v>
      </c>
    </row>
    <row r="1438" spans="8:8" x14ac:dyDescent="0.25">
      <c r="H1438" t="s">
        <v>21827</v>
      </c>
    </row>
    <row r="1439" spans="8:8" x14ac:dyDescent="0.25">
      <c r="H1439" t="s">
        <v>21828</v>
      </c>
    </row>
    <row r="1440" spans="8:8" x14ac:dyDescent="0.25">
      <c r="H1440" t="s">
        <v>21829</v>
      </c>
    </row>
    <row r="1441" spans="8:8" x14ac:dyDescent="0.25">
      <c r="H1441" t="s">
        <v>21830</v>
      </c>
    </row>
    <row r="1442" spans="8:8" x14ac:dyDescent="0.25">
      <c r="H1442" t="s">
        <v>21831</v>
      </c>
    </row>
    <row r="1443" spans="8:8" x14ac:dyDescent="0.25">
      <c r="H1443" t="s">
        <v>21832</v>
      </c>
    </row>
    <row r="1444" spans="8:8" x14ac:dyDescent="0.25">
      <c r="H1444" t="s">
        <v>21833</v>
      </c>
    </row>
    <row r="1445" spans="8:8" x14ac:dyDescent="0.25">
      <c r="H1445" t="s">
        <v>21834</v>
      </c>
    </row>
    <row r="1446" spans="8:8" x14ac:dyDescent="0.25">
      <c r="H1446" t="s">
        <v>21835</v>
      </c>
    </row>
    <row r="1447" spans="8:8" x14ac:dyDescent="0.25">
      <c r="H1447" t="s">
        <v>21836</v>
      </c>
    </row>
    <row r="1448" spans="8:8" x14ac:dyDescent="0.25">
      <c r="H1448" t="s">
        <v>21837</v>
      </c>
    </row>
    <row r="1449" spans="8:8" x14ac:dyDescent="0.25">
      <c r="H1449" t="s">
        <v>21838</v>
      </c>
    </row>
    <row r="1450" spans="8:8" x14ac:dyDescent="0.25">
      <c r="H1450" t="s">
        <v>21839</v>
      </c>
    </row>
    <row r="1451" spans="8:8" x14ac:dyDescent="0.25">
      <c r="H1451" t="s">
        <v>21840</v>
      </c>
    </row>
    <row r="1452" spans="8:8" x14ac:dyDescent="0.25">
      <c r="H1452" t="s">
        <v>21841</v>
      </c>
    </row>
    <row r="1453" spans="8:8" x14ac:dyDescent="0.25">
      <c r="H1453" t="s">
        <v>21842</v>
      </c>
    </row>
    <row r="1454" spans="8:8" x14ac:dyDescent="0.25">
      <c r="H1454" t="s">
        <v>21843</v>
      </c>
    </row>
    <row r="1455" spans="8:8" x14ac:dyDescent="0.25">
      <c r="H1455" t="s">
        <v>21844</v>
      </c>
    </row>
    <row r="1456" spans="8:8" x14ac:dyDescent="0.25">
      <c r="H1456" t="s">
        <v>21845</v>
      </c>
    </row>
    <row r="1457" spans="8:8" x14ac:dyDescent="0.25">
      <c r="H1457" t="s">
        <v>21846</v>
      </c>
    </row>
    <row r="1458" spans="8:8" x14ac:dyDescent="0.25">
      <c r="H1458" t="s">
        <v>21847</v>
      </c>
    </row>
    <row r="1459" spans="8:8" x14ac:dyDescent="0.25">
      <c r="H1459" t="s">
        <v>21848</v>
      </c>
    </row>
    <row r="1460" spans="8:8" x14ac:dyDescent="0.25">
      <c r="H1460" t="s">
        <v>21849</v>
      </c>
    </row>
    <row r="1461" spans="8:8" x14ac:dyDescent="0.25">
      <c r="H1461" t="s">
        <v>21850</v>
      </c>
    </row>
    <row r="1462" spans="8:8" x14ac:dyDescent="0.25">
      <c r="H1462" t="s">
        <v>21851</v>
      </c>
    </row>
    <row r="1463" spans="8:8" x14ac:dyDescent="0.25">
      <c r="H1463" t="s">
        <v>21852</v>
      </c>
    </row>
    <row r="1464" spans="8:8" x14ac:dyDescent="0.25">
      <c r="H1464" t="s">
        <v>21853</v>
      </c>
    </row>
    <row r="1465" spans="8:8" x14ac:dyDescent="0.25">
      <c r="H1465" t="s">
        <v>21854</v>
      </c>
    </row>
    <row r="1466" spans="8:8" x14ac:dyDescent="0.25">
      <c r="H1466" t="s">
        <v>21855</v>
      </c>
    </row>
    <row r="1467" spans="8:8" x14ac:dyDescent="0.25">
      <c r="H1467" t="s">
        <v>21856</v>
      </c>
    </row>
    <row r="1468" spans="8:8" x14ac:dyDescent="0.25">
      <c r="H1468" t="s">
        <v>21857</v>
      </c>
    </row>
    <row r="1469" spans="8:8" x14ac:dyDescent="0.25">
      <c r="H1469" t="s">
        <v>21858</v>
      </c>
    </row>
    <row r="1470" spans="8:8" x14ac:dyDescent="0.25">
      <c r="H1470" t="s">
        <v>21859</v>
      </c>
    </row>
    <row r="1471" spans="8:8" x14ac:dyDescent="0.25">
      <c r="H1471" t="s">
        <v>21860</v>
      </c>
    </row>
    <row r="1472" spans="8:8" x14ac:dyDescent="0.25">
      <c r="H1472" t="s">
        <v>21861</v>
      </c>
    </row>
    <row r="1473" spans="8:8" x14ac:dyDescent="0.25">
      <c r="H1473" t="s">
        <v>21862</v>
      </c>
    </row>
    <row r="1474" spans="8:8" x14ac:dyDescent="0.25">
      <c r="H1474" t="s">
        <v>21863</v>
      </c>
    </row>
    <row r="1475" spans="8:8" x14ac:dyDescent="0.25">
      <c r="H1475" t="s">
        <v>21864</v>
      </c>
    </row>
    <row r="1476" spans="8:8" x14ac:dyDescent="0.25">
      <c r="H1476" t="s">
        <v>21865</v>
      </c>
    </row>
    <row r="1477" spans="8:8" x14ac:dyDescent="0.25">
      <c r="H1477" t="s">
        <v>21866</v>
      </c>
    </row>
    <row r="1478" spans="8:8" x14ac:dyDescent="0.25">
      <c r="H1478" t="s">
        <v>21867</v>
      </c>
    </row>
    <row r="1479" spans="8:8" x14ac:dyDescent="0.25">
      <c r="H1479" t="s">
        <v>21868</v>
      </c>
    </row>
    <row r="1480" spans="8:8" x14ac:dyDescent="0.25">
      <c r="H1480" t="s">
        <v>21869</v>
      </c>
    </row>
    <row r="1481" spans="8:8" x14ac:dyDescent="0.25">
      <c r="H1481" t="s">
        <v>21870</v>
      </c>
    </row>
    <row r="1482" spans="8:8" x14ac:dyDescent="0.25">
      <c r="H1482" t="s">
        <v>21871</v>
      </c>
    </row>
    <row r="1483" spans="8:8" x14ac:dyDescent="0.25">
      <c r="H1483" t="s">
        <v>21872</v>
      </c>
    </row>
    <row r="1484" spans="8:8" x14ac:dyDescent="0.25">
      <c r="H1484" t="s">
        <v>21873</v>
      </c>
    </row>
    <row r="1485" spans="8:8" x14ac:dyDescent="0.25">
      <c r="H1485" t="s">
        <v>21874</v>
      </c>
    </row>
    <row r="1486" spans="8:8" x14ac:dyDescent="0.25">
      <c r="H1486" t="s">
        <v>21875</v>
      </c>
    </row>
    <row r="1487" spans="8:8" x14ac:dyDescent="0.25">
      <c r="H1487" t="s">
        <v>21876</v>
      </c>
    </row>
    <row r="1488" spans="8:8" x14ac:dyDescent="0.25">
      <c r="H1488" t="s">
        <v>21877</v>
      </c>
    </row>
    <row r="1489" spans="8:8" x14ac:dyDescent="0.25">
      <c r="H1489" t="s">
        <v>21878</v>
      </c>
    </row>
    <row r="1490" spans="8:8" x14ac:dyDescent="0.25">
      <c r="H1490" t="s">
        <v>21879</v>
      </c>
    </row>
    <row r="1491" spans="8:8" x14ac:dyDescent="0.25">
      <c r="H1491" t="s">
        <v>21880</v>
      </c>
    </row>
    <row r="1492" spans="8:8" x14ac:dyDescent="0.25">
      <c r="H1492" t="s">
        <v>21881</v>
      </c>
    </row>
    <row r="1493" spans="8:8" x14ac:dyDescent="0.25">
      <c r="H1493" t="s">
        <v>21882</v>
      </c>
    </row>
    <row r="1494" spans="8:8" x14ac:dyDescent="0.25">
      <c r="H1494" t="s">
        <v>21883</v>
      </c>
    </row>
    <row r="1495" spans="8:8" x14ac:dyDescent="0.25">
      <c r="H1495" t="s">
        <v>21884</v>
      </c>
    </row>
    <row r="1496" spans="8:8" x14ac:dyDescent="0.25">
      <c r="H1496" t="s">
        <v>21885</v>
      </c>
    </row>
    <row r="1497" spans="8:8" x14ac:dyDescent="0.25">
      <c r="H1497" t="s">
        <v>21886</v>
      </c>
    </row>
    <row r="1498" spans="8:8" x14ac:dyDescent="0.25">
      <c r="H1498" t="s">
        <v>21887</v>
      </c>
    </row>
    <row r="1499" spans="8:8" x14ac:dyDescent="0.25">
      <c r="H1499" t="s">
        <v>21888</v>
      </c>
    </row>
    <row r="1500" spans="8:8" x14ac:dyDescent="0.25">
      <c r="H1500" t="s">
        <v>21889</v>
      </c>
    </row>
    <row r="1501" spans="8:8" x14ac:dyDescent="0.25">
      <c r="H1501" t="s">
        <v>21890</v>
      </c>
    </row>
    <row r="1502" spans="8:8" x14ac:dyDescent="0.25">
      <c r="H1502" t="s">
        <v>21891</v>
      </c>
    </row>
    <row r="1503" spans="8:8" x14ac:dyDescent="0.25">
      <c r="H1503" t="s">
        <v>21892</v>
      </c>
    </row>
    <row r="1504" spans="8:8" x14ac:dyDescent="0.25">
      <c r="H1504" t="s">
        <v>21893</v>
      </c>
    </row>
    <row r="1505" spans="8:8" x14ac:dyDescent="0.25">
      <c r="H1505" t="s">
        <v>21894</v>
      </c>
    </row>
    <row r="1506" spans="8:8" x14ac:dyDescent="0.25">
      <c r="H1506" t="s">
        <v>21895</v>
      </c>
    </row>
    <row r="1507" spans="8:8" x14ac:dyDescent="0.25">
      <c r="H1507" t="s">
        <v>21896</v>
      </c>
    </row>
    <row r="1508" spans="8:8" x14ac:dyDescent="0.25">
      <c r="H1508" t="s">
        <v>21897</v>
      </c>
    </row>
    <row r="1509" spans="8:8" x14ac:dyDescent="0.25">
      <c r="H1509" t="s">
        <v>21898</v>
      </c>
    </row>
    <row r="1510" spans="8:8" x14ac:dyDescent="0.25">
      <c r="H1510" t="s">
        <v>21899</v>
      </c>
    </row>
    <row r="1511" spans="8:8" x14ac:dyDescent="0.25">
      <c r="H1511" t="s">
        <v>21900</v>
      </c>
    </row>
    <row r="1512" spans="8:8" x14ac:dyDescent="0.25">
      <c r="H1512" t="s">
        <v>21901</v>
      </c>
    </row>
    <row r="1513" spans="8:8" x14ac:dyDescent="0.25">
      <c r="H1513" t="s">
        <v>21902</v>
      </c>
    </row>
    <row r="1514" spans="8:8" x14ac:dyDescent="0.25">
      <c r="H1514" t="s">
        <v>21903</v>
      </c>
    </row>
    <row r="1515" spans="8:8" x14ac:dyDescent="0.25">
      <c r="H1515" t="s">
        <v>21904</v>
      </c>
    </row>
    <row r="1516" spans="8:8" x14ac:dyDescent="0.25">
      <c r="H1516" t="s">
        <v>21905</v>
      </c>
    </row>
    <row r="1517" spans="8:8" x14ac:dyDescent="0.25">
      <c r="H1517" t="s">
        <v>21906</v>
      </c>
    </row>
    <row r="1518" spans="8:8" x14ac:dyDescent="0.25">
      <c r="H1518" t="s">
        <v>21907</v>
      </c>
    </row>
    <row r="1519" spans="8:8" x14ac:dyDescent="0.25">
      <c r="H1519" t="s">
        <v>21908</v>
      </c>
    </row>
    <row r="1520" spans="8:8" x14ac:dyDescent="0.25">
      <c r="H1520" t="s">
        <v>21909</v>
      </c>
    </row>
    <row r="1521" spans="8:8" x14ac:dyDescent="0.25">
      <c r="H1521" t="s">
        <v>21910</v>
      </c>
    </row>
    <row r="1522" spans="8:8" x14ac:dyDescent="0.25">
      <c r="H1522" t="s">
        <v>21911</v>
      </c>
    </row>
    <row r="1523" spans="8:8" x14ac:dyDescent="0.25">
      <c r="H1523" t="s">
        <v>21912</v>
      </c>
    </row>
    <row r="1524" spans="8:8" x14ac:dyDescent="0.25">
      <c r="H1524" t="s">
        <v>21913</v>
      </c>
    </row>
    <row r="1525" spans="8:8" x14ac:dyDescent="0.25">
      <c r="H1525" t="s">
        <v>21914</v>
      </c>
    </row>
    <row r="1526" spans="8:8" x14ac:dyDescent="0.25">
      <c r="H1526" t="s">
        <v>21915</v>
      </c>
    </row>
    <row r="1527" spans="8:8" x14ac:dyDescent="0.25">
      <c r="H1527" t="s">
        <v>21916</v>
      </c>
    </row>
    <row r="1528" spans="8:8" x14ac:dyDescent="0.25">
      <c r="H1528" t="s">
        <v>21917</v>
      </c>
    </row>
    <row r="1529" spans="8:8" x14ac:dyDescent="0.25">
      <c r="H1529" t="s">
        <v>21918</v>
      </c>
    </row>
    <row r="1530" spans="8:8" x14ac:dyDescent="0.25">
      <c r="H1530" t="s">
        <v>21919</v>
      </c>
    </row>
    <row r="1531" spans="8:8" x14ac:dyDescent="0.25">
      <c r="H1531" t="s">
        <v>21920</v>
      </c>
    </row>
    <row r="1532" spans="8:8" x14ac:dyDescent="0.25">
      <c r="H1532" t="s">
        <v>21921</v>
      </c>
    </row>
    <row r="1533" spans="8:8" x14ac:dyDescent="0.25">
      <c r="H1533" t="s">
        <v>21922</v>
      </c>
    </row>
    <row r="1534" spans="8:8" x14ac:dyDescent="0.25">
      <c r="H1534" t="s">
        <v>21923</v>
      </c>
    </row>
    <row r="1535" spans="8:8" x14ac:dyDescent="0.25">
      <c r="H1535" t="s">
        <v>21924</v>
      </c>
    </row>
    <row r="1536" spans="8:8" x14ac:dyDescent="0.25">
      <c r="H1536" t="s">
        <v>21925</v>
      </c>
    </row>
    <row r="1537" spans="8:8" x14ac:dyDescent="0.25">
      <c r="H1537" t="s">
        <v>21926</v>
      </c>
    </row>
    <row r="1538" spans="8:8" x14ac:dyDescent="0.25">
      <c r="H1538" t="s">
        <v>21927</v>
      </c>
    </row>
    <row r="1539" spans="8:8" x14ac:dyDescent="0.25">
      <c r="H1539" t="s">
        <v>21928</v>
      </c>
    </row>
    <row r="1540" spans="8:8" x14ac:dyDescent="0.25">
      <c r="H1540" t="s">
        <v>21929</v>
      </c>
    </row>
    <row r="1541" spans="8:8" x14ac:dyDescent="0.25">
      <c r="H1541" t="s">
        <v>21930</v>
      </c>
    </row>
    <row r="1542" spans="8:8" x14ac:dyDescent="0.25">
      <c r="H1542" t="s">
        <v>21931</v>
      </c>
    </row>
    <row r="1543" spans="8:8" x14ac:dyDescent="0.25">
      <c r="H1543" t="s">
        <v>21932</v>
      </c>
    </row>
    <row r="1544" spans="8:8" x14ac:dyDescent="0.25">
      <c r="H1544" t="s">
        <v>21933</v>
      </c>
    </row>
    <row r="1545" spans="8:8" x14ac:dyDescent="0.25">
      <c r="H1545" t="s">
        <v>21934</v>
      </c>
    </row>
    <row r="1546" spans="8:8" x14ac:dyDescent="0.25">
      <c r="H1546" t="s">
        <v>21935</v>
      </c>
    </row>
    <row r="1547" spans="8:8" x14ac:dyDescent="0.25">
      <c r="H1547" t="s">
        <v>21936</v>
      </c>
    </row>
    <row r="1548" spans="8:8" x14ac:dyDescent="0.25">
      <c r="H1548" t="s">
        <v>21937</v>
      </c>
    </row>
    <row r="1549" spans="8:8" x14ac:dyDescent="0.25">
      <c r="H1549" t="s">
        <v>21938</v>
      </c>
    </row>
    <row r="1550" spans="8:8" x14ac:dyDescent="0.25">
      <c r="H1550" t="s">
        <v>21939</v>
      </c>
    </row>
    <row r="1551" spans="8:8" x14ac:dyDescent="0.25">
      <c r="H1551" t="s">
        <v>21940</v>
      </c>
    </row>
    <row r="1552" spans="8:8" x14ac:dyDescent="0.25">
      <c r="H1552" t="s">
        <v>21941</v>
      </c>
    </row>
    <row r="1553" spans="8:8" x14ac:dyDescent="0.25">
      <c r="H1553" t="s">
        <v>21942</v>
      </c>
    </row>
    <row r="1554" spans="8:8" x14ac:dyDescent="0.25">
      <c r="H1554" t="s">
        <v>21943</v>
      </c>
    </row>
    <row r="1555" spans="8:8" x14ac:dyDescent="0.25">
      <c r="H1555" t="s">
        <v>21944</v>
      </c>
    </row>
    <row r="1556" spans="8:8" x14ac:dyDescent="0.25">
      <c r="H1556" t="s">
        <v>21945</v>
      </c>
    </row>
    <row r="1557" spans="8:8" x14ac:dyDescent="0.25">
      <c r="H1557" t="s">
        <v>21946</v>
      </c>
    </row>
    <row r="1558" spans="8:8" x14ac:dyDescent="0.25">
      <c r="H1558" t="s">
        <v>21947</v>
      </c>
    </row>
    <row r="1559" spans="8:8" x14ac:dyDescent="0.25">
      <c r="H1559" t="s">
        <v>21948</v>
      </c>
    </row>
    <row r="1560" spans="8:8" x14ac:dyDescent="0.25">
      <c r="H1560" t="s">
        <v>21949</v>
      </c>
    </row>
    <row r="1561" spans="8:8" x14ac:dyDescent="0.25">
      <c r="H1561" t="s">
        <v>21950</v>
      </c>
    </row>
    <row r="1562" spans="8:8" x14ac:dyDescent="0.25">
      <c r="H1562" t="s">
        <v>21951</v>
      </c>
    </row>
    <row r="1563" spans="8:8" x14ac:dyDescent="0.25">
      <c r="H1563" t="s">
        <v>21952</v>
      </c>
    </row>
    <row r="1564" spans="8:8" x14ac:dyDescent="0.25">
      <c r="H1564" t="s">
        <v>21953</v>
      </c>
    </row>
    <row r="1565" spans="8:8" x14ac:dyDescent="0.25">
      <c r="H1565" t="s">
        <v>21954</v>
      </c>
    </row>
    <row r="1566" spans="8:8" x14ac:dyDescent="0.25">
      <c r="H1566" t="s">
        <v>21955</v>
      </c>
    </row>
    <row r="1567" spans="8:8" x14ac:dyDescent="0.25">
      <c r="H1567" t="s">
        <v>21956</v>
      </c>
    </row>
    <row r="1568" spans="8:8" x14ac:dyDescent="0.25">
      <c r="H1568" t="s">
        <v>21957</v>
      </c>
    </row>
    <row r="1569" spans="8:8" x14ac:dyDescent="0.25">
      <c r="H1569" t="s">
        <v>21958</v>
      </c>
    </row>
    <row r="1570" spans="8:8" x14ac:dyDescent="0.25">
      <c r="H1570" t="s">
        <v>21959</v>
      </c>
    </row>
    <row r="1571" spans="8:8" x14ac:dyDescent="0.25">
      <c r="H1571" t="s">
        <v>21960</v>
      </c>
    </row>
    <row r="1572" spans="8:8" x14ac:dyDescent="0.25">
      <c r="H1572" t="s">
        <v>21961</v>
      </c>
    </row>
    <row r="1573" spans="8:8" x14ac:dyDescent="0.25">
      <c r="H1573" t="s">
        <v>21962</v>
      </c>
    </row>
    <row r="1574" spans="8:8" x14ac:dyDescent="0.25">
      <c r="H1574" t="s">
        <v>21963</v>
      </c>
    </row>
    <row r="1575" spans="8:8" x14ac:dyDescent="0.25">
      <c r="H1575" t="s">
        <v>21964</v>
      </c>
    </row>
    <row r="1576" spans="8:8" x14ac:dyDescent="0.25">
      <c r="H1576" t="s">
        <v>21965</v>
      </c>
    </row>
    <row r="1577" spans="8:8" x14ac:dyDescent="0.25">
      <c r="H1577" t="s">
        <v>21966</v>
      </c>
    </row>
    <row r="1578" spans="8:8" x14ac:dyDescent="0.25">
      <c r="H1578" t="s">
        <v>21967</v>
      </c>
    </row>
    <row r="1579" spans="8:8" x14ac:dyDescent="0.25">
      <c r="H1579" t="s">
        <v>21968</v>
      </c>
    </row>
    <row r="1580" spans="8:8" x14ac:dyDescent="0.25">
      <c r="H1580" t="s">
        <v>21969</v>
      </c>
    </row>
    <row r="1581" spans="8:8" x14ac:dyDescent="0.25">
      <c r="H1581" t="s">
        <v>21970</v>
      </c>
    </row>
    <row r="1582" spans="8:8" x14ac:dyDescent="0.25">
      <c r="H1582" t="s">
        <v>21971</v>
      </c>
    </row>
    <row r="1583" spans="8:8" x14ac:dyDescent="0.25">
      <c r="H1583" t="s">
        <v>21972</v>
      </c>
    </row>
    <row r="1584" spans="8:8" x14ac:dyDescent="0.25">
      <c r="H1584" t="s">
        <v>21973</v>
      </c>
    </row>
    <row r="1585" spans="8:8" x14ac:dyDescent="0.25">
      <c r="H1585" t="s">
        <v>21974</v>
      </c>
    </row>
    <row r="1586" spans="8:8" x14ac:dyDescent="0.25">
      <c r="H1586" t="s">
        <v>21975</v>
      </c>
    </row>
    <row r="1587" spans="8:8" x14ac:dyDescent="0.25">
      <c r="H1587" t="s">
        <v>21976</v>
      </c>
    </row>
    <row r="1588" spans="8:8" x14ac:dyDescent="0.25">
      <c r="H1588" t="s">
        <v>21977</v>
      </c>
    </row>
    <row r="1589" spans="8:8" x14ac:dyDescent="0.25">
      <c r="H1589" t="s">
        <v>21978</v>
      </c>
    </row>
    <row r="1590" spans="8:8" x14ac:dyDescent="0.25">
      <c r="H1590" t="s">
        <v>21979</v>
      </c>
    </row>
    <row r="1591" spans="8:8" x14ac:dyDescent="0.25">
      <c r="H1591" t="s">
        <v>21980</v>
      </c>
    </row>
    <row r="1592" spans="8:8" x14ac:dyDescent="0.25">
      <c r="H1592" t="s">
        <v>21981</v>
      </c>
    </row>
    <row r="1593" spans="8:8" x14ac:dyDescent="0.25">
      <c r="H1593" t="s">
        <v>21982</v>
      </c>
    </row>
    <row r="1594" spans="8:8" x14ac:dyDescent="0.25">
      <c r="H1594" t="s">
        <v>21983</v>
      </c>
    </row>
    <row r="1595" spans="8:8" x14ac:dyDescent="0.25">
      <c r="H1595" t="s">
        <v>21984</v>
      </c>
    </row>
    <row r="1596" spans="8:8" x14ac:dyDescent="0.25">
      <c r="H1596" t="s">
        <v>21985</v>
      </c>
    </row>
    <row r="1597" spans="8:8" x14ac:dyDescent="0.25">
      <c r="H1597" t="s">
        <v>21986</v>
      </c>
    </row>
    <row r="1598" spans="8:8" x14ac:dyDescent="0.25">
      <c r="H1598" t="s">
        <v>21987</v>
      </c>
    </row>
    <row r="1599" spans="8:8" x14ac:dyDescent="0.25">
      <c r="H1599" t="s">
        <v>21988</v>
      </c>
    </row>
    <row r="1600" spans="8:8" x14ac:dyDescent="0.25">
      <c r="H1600" t="s">
        <v>21989</v>
      </c>
    </row>
    <row r="1601" spans="8:8" x14ac:dyDescent="0.25">
      <c r="H1601" t="s">
        <v>21990</v>
      </c>
    </row>
    <row r="1602" spans="8:8" x14ac:dyDescent="0.25">
      <c r="H1602" t="s">
        <v>21991</v>
      </c>
    </row>
    <row r="1603" spans="8:8" x14ac:dyDescent="0.25">
      <c r="H1603" t="s">
        <v>21992</v>
      </c>
    </row>
    <row r="1604" spans="8:8" x14ac:dyDescent="0.25">
      <c r="H1604" t="s">
        <v>21993</v>
      </c>
    </row>
    <row r="1605" spans="8:8" x14ac:dyDescent="0.25">
      <c r="H1605" t="s">
        <v>21994</v>
      </c>
    </row>
    <row r="1606" spans="8:8" x14ac:dyDescent="0.25">
      <c r="H1606" t="s">
        <v>21995</v>
      </c>
    </row>
    <row r="1607" spans="8:8" x14ac:dyDescent="0.25">
      <c r="H1607" t="s">
        <v>21996</v>
      </c>
    </row>
    <row r="1608" spans="8:8" x14ac:dyDescent="0.25">
      <c r="H1608" t="s">
        <v>21997</v>
      </c>
    </row>
    <row r="1609" spans="8:8" x14ac:dyDescent="0.25">
      <c r="H1609" t="s">
        <v>21998</v>
      </c>
    </row>
    <row r="1610" spans="8:8" x14ac:dyDescent="0.25">
      <c r="H1610" t="s">
        <v>21999</v>
      </c>
    </row>
    <row r="1611" spans="8:8" x14ac:dyDescent="0.25">
      <c r="H1611" t="s">
        <v>22000</v>
      </c>
    </row>
    <row r="1612" spans="8:8" x14ac:dyDescent="0.25">
      <c r="H1612" t="s">
        <v>22001</v>
      </c>
    </row>
    <row r="1613" spans="8:8" x14ac:dyDescent="0.25">
      <c r="H1613" t="s">
        <v>22002</v>
      </c>
    </row>
    <row r="1614" spans="8:8" x14ac:dyDescent="0.25">
      <c r="H1614" t="s">
        <v>22003</v>
      </c>
    </row>
    <row r="1615" spans="8:8" x14ac:dyDescent="0.25">
      <c r="H1615" t="s">
        <v>22004</v>
      </c>
    </row>
    <row r="1616" spans="8:8" x14ac:dyDescent="0.25">
      <c r="H1616" t="s">
        <v>22005</v>
      </c>
    </row>
    <row r="1617" spans="8:8" x14ac:dyDescent="0.25">
      <c r="H1617" t="s">
        <v>22006</v>
      </c>
    </row>
    <row r="1618" spans="8:8" x14ac:dyDescent="0.25">
      <c r="H1618" t="s">
        <v>22007</v>
      </c>
    </row>
    <row r="1619" spans="8:8" x14ac:dyDescent="0.25">
      <c r="H1619" t="s">
        <v>22008</v>
      </c>
    </row>
    <row r="1620" spans="8:8" x14ac:dyDescent="0.25">
      <c r="H1620" t="s">
        <v>22009</v>
      </c>
    </row>
    <row r="1621" spans="8:8" x14ac:dyDescent="0.25">
      <c r="H1621" t="s">
        <v>22010</v>
      </c>
    </row>
    <row r="1622" spans="8:8" x14ac:dyDescent="0.25">
      <c r="H1622" t="s">
        <v>22011</v>
      </c>
    </row>
    <row r="1623" spans="8:8" x14ac:dyDescent="0.25">
      <c r="H1623" t="s">
        <v>22012</v>
      </c>
    </row>
    <row r="1624" spans="8:8" x14ac:dyDescent="0.25">
      <c r="H1624" t="s">
        <v>22013</v>
      </c>
    </row>
    <row r="1625" spans="8:8" x14ac:dyDescent="0.25">
      <c r="H1625" t="s">
        <v>22014</v>
      </c>
    </row>
    <row r="1626" spans="8:8" x14ac:dyDescent="0.25">
      <c r="H1626" t="s">
        <v>22015</v>
      </c>
    </row>
    <row r="1627" spans="8:8" x14ac:dyDescent="0.25">
      <c r="H1627" t="s">
        <v>22016</v>
      </c>
    </row>
    <row r="1628" spans="8:8" x14ac:dyDescent="0.25">
      <c r="H1628" t="s">
        <v>22017</v>
      </c>
    </row>
    <row r="1629" spans="8:8" x14ac:dyDescent="0.25">
      <c r="H1629" t="s">
        <v>22018</v>
      </c>
    </row>
    <row r="1630" spans="8:8" x14ac:dyDescent="0.25">
      <c r="H1630" t="s">
        <v>22019</v>
      </c>
    </row>
    <row r="1631" spans="8:8" x14ac:dyDescent="0.25">
      <c r="H1631" t="s">
        <v>22020</v>
      </c>
    </row>
    <row r="1632" spans="8:8" x14ac:dyDescent="0.25">
      <c r="H1632" t="s">
        <v>22021</v>
      </c>
    </row>
    <row r="1633" spans="8:8" x14ac:dyDescent="0.25">
      <c r="H1633" t="s">
        <v>22022</v>
      </c>
    </row>
    <row r="1634" spans="8:8" x14ac:dyDescent="0.25">
      <c r="H1634" t="s">
        <v>22023</v>
      </c>
    </row>
    <row r="1635" spans="8:8" x14ac:dyDescent="0.25">
      <c r="H1635" t="s">
        <v>22024</v>
      </c>
    </row>
    <row r="1636" spans="8:8" x14ac:dyDescent="0.25">
      <c r="H1636" t="s">
        <v>22025</v>
      </c>
    </row>
    <row r="1637" spans="8:8" x14ac:dyDescent="0.25">
      <c r="H1637" t="s">
        <v>22026</v>
      </c>
    </row>
    <row r="1638" spans="8:8" x14ac:dyDescent="0.25">
      <c r="H1638" t="s">
        <v>22027</v>
      </c>
    </row>
    <row r="1639" spans="8:8" x14ac:dyDescent="0.25">
      <c r="H1639" t="s">
        <v>22028</v>
      </c>
    </row>
    <row r="1640" spans="8:8" x14ac:dyDescent="0.25">
      <c r="H1640" t="s">
        <v>22029</v>
      </c>
    </row>
    <row r="1641" spans="8:8" x14ac:dyDescent="0.25">
      <c r="H1641" t="s">
        <v>22030</v>
      </c>
    </row>
    <row r="1642" spans="8:8" x14ac:dyDescent="0.25">
      <c r="H1642" t="s">
        <v>22031</v>
      </c>
    </row>
    <row r="1643" spans="8:8" x14ac:dyDescent="0.25">
      <c r="H1643" t="s">
        <v>22032</v>
      </c>
    </row>
    <row r="1644" spans="8:8" x14ac:dyDescent="0.25">
      <c r="H1644" t="s">
        <v>22033</v>
      </c>
    </row>
    <row r="1645" spans="8:8" x14ac:dyDescent="0.25">
      <c r="H1645" t="s">
        <v>22034</v>
      </c>
    </row>
    <row r="1646" spans="8:8" x14ac:dyDescent="0.25">
      <c r="H1646" t="s">
        <v>22035</v>
      </c>
    </row>
    <row r="1647" spans="8:8" x14ac:dyDescent="0.25">
      <c r="H1647" t="s">
        <v>22036</v>
      </c>
    </row>
    <row r="1648" spans="8:8" x14ac:dyDescent="0.25">
      <c r="H1648" t="s">
        <v>22037</v>
      </c>
    </row>
    <row r="1649" spans="8:8" x14ac:dyDescent="0.25">
      <c r="H1649" t="s">
        <v>22038</v>
      </c>
    </row>
    <row r="1650" spans="8:8" x14ac:dyDescent="0.25">
      <c r="H1650" t="s">
        <v>22039</v>
      </c>
    </row>
    <row r="1651" spans="8:8" x14ac:dyDescent="0.25">
      <c r="H1651" t="s">
        <v>22040</v>
      </c>
    </row>
    <row r="1652" spans="8:8" x14ac:dyDescent="0.25">
      <c r="H1652" t="s">
        <v>22041</v>
      </c>
    </row>
    <row r="1653" spans="8:8" x14ac:dyDescent="0.25">
      <c r="H1653" t="s">
        <v>22042</v>
      </c>
    </row>
    <row r="1654" spans="8:8" x14ac:dyDescent="0.25">
      <c r="H1654" t="s">
        <v>22043</v>
      </c>
    </row>
    <row r="1655" spans="8:8" x14ac:dyDescent="0.25">
      <c r="H1655" t="s">
        <v>22044</v>
      </c>
    </row>
    <row r="1656" spans="8:8" x14ac:dyDescent="0.25">
      <c r="H1656" t="s">
        <v>22045</v>
      </c>
    </row>
    <row r="1657" spans="8:8" x14ac:dyDescent="0.25">
      <c r="H1657" t="s">
        <v>22046</v>
      </c>
    </row>
    <row r="1658" spans="8:8" x14ac:dyDescent="0.25">
      <c r="H1658" t="s">
        <v>22047</v>
      </c>
    </row>
    <row r="1659" spans="8:8" x14ac:dyDescent="0.25">
      <c r="H1659" t="s">
        <v>22048</v>
      </c>
    </row>
    <row r="1660" spans="8:8" x14ac:dyDescent="0.25">
      <c r="H1660" t="s">
        <v>22049</v>
      </c>
    </row>
    <row r="1661" spans="8:8" x14ac:dyDescent="0.25">
      <c r="H1661" t="s">
        <v>22050</v>
      </c>
    </row>
    <row r="1662" spans="8:8" x14ac:dyDescent="0.25">
      <c r="H1662" t="s">
        <v>22051</v>
      </c>
    </row>
    <row r="1663" spans="8:8" x14ac:dyDescent="0.25">
      <c r="H1663" t="s">
        <v>22052</v>
      </c>
    </row>
    <row r="1664" spans="8:8" x14ac:dyDescent="0.25">
      <c r="H1664" t="s">
        <v>22053</v>
      </c>
    </row>
    <row r="1665" spans="8:8" x14ac:dyDescent="0.25">
      <c r="H1665" t="s">
        <v>22054</v>
      </c>
    </row>
    <row r="1666" spans="8:8" x14ac:dyDescent="0.25">
      <c r="H1666" t="s">
        <v>22055</v>
      </c>
    </row>
    <row r="1667" spans="8:8" x14ac:dyDescent="0.25">
      <c r="H1667" t="s">
        <v>22056</v>
      </c>
    </row>
    <row r="1668" spans="8:8" x14ac:dyDescent="0.25">
      <c r="H1668" t="s">
        <v>22057</v>
      </c>
    </row>
    <row r="1669" spans="8:8" x14ac:dyDescent="0.25">
      <c r="H1669" t="s">
        <v>22058</v>
      </c>
    </row>
    <row r="1670" spans="8:8" x14ac:dyDescent="0.25">
      <c r="H1670" t="s">
        <v>22059</v>
      </c>
    </row>
    <row r="1671" spans="8:8" x14ac:dyDescent="0.25">
      <c r="H1671" t="s">
        <v>22060</v>
      </c>
    </row>
    <row r="1672" spans="8:8" x14ac:dyDescent="0.25">
      <c r="H1672" t="s">
        <v>22061</v>
      </c>
    </row>
    <row r="1673" spans="8:8" x14ac:dyDescent="0.25">
      <c r="H1673" t="s">
        <v>22062</v>
      </c>
    </row>
    <row r="1674" spans="8:8" x14ac:dyDescent="0.25">
      <c r="H1674" t="s">
        <v>22063</v>
      </c>
    </row>
    <row r="1675" spans="8:8" x14ac:dyDescent="0.25">
      <c r="H1675" t="s">
        <v>22064</v>
      </c>
    </row>
    <row r="1676" spans="8:8" x14ac:dyDescent="0.25">
      <c r="H1676" t="s">
        <v>22065</v>
      </c>
    </row>
    <row r="1677" spans="8:8" x14ac:dyDescent="0.25">
      <c r="H1677" t="s">
        <v>22066</v>
      </c>
    </row>
    <row r="1678" spans="8:8" x14ac:dyDescent="0.25">
      <c r="H1678" t="s">
        <v>22067</v>
      </c>
    </row>
    <row r="1679" spans="8:8" x14ac:dyDescent="0.25">
      <c r="H1679" t="s">
        <v>22068</v>
      </c>
    </row>
    <row r="1680" spans="8:8" x14ac:dyDescent="0.25">
      <c r="H1680" t="s">
        <v>22069</v>
      </c>
    </row>
    <row r="1681" spans="8:8" x14ac:dyDescent="0.25">
      <c r="H1681" t="s">
        <v>22070</v>
      </c>
    </row>
    <row r="1682" spans="8:8" x14ac:dyDescent="0.25">
      <c r="H1682" t="s">
        <v>22071</v>
      </c>
    </row>
    <row r="1683" spans="8:8" x14ac:dyDescent="0.25">
      <c r="H1683" t="s">
        <v>22072</v>
      </c>
    </row>
    <row r="1684" spans="8:8" x14ac:dyDescent="0.25">
      <c r="H1684" t="s">
        <v>22073</v>
      </c>
    </row>
    <row r="1685" spans="8:8" x14ac:dyDescent="0.25">
      <c r="H1685" t="s">
        <v>22074</v>
      </c>
    </row>
    <row r="1686" spans="8:8" x14ac:dyDescent="0.25">
      <c r="H1686" t="s">
        <v>22075</v>
      </c>
    </row>
    <row r="1687" spans="8:8" x14ac:dyDescent="0.25">
      <c r="H1687" t="s">
        <v>22076</v>
      </c>
    </row>
    <row r="1688" spans="8:8" x14ac:dyDescent="0.25">
      <c r="H1688" t="s">
        <v>22077</v>
      </c>
    </row>
    <row r="1689" spans="8:8" x14ac:dyDescent="0.25">
      <c r="H1689" t="s">
        <v>22078</v>
      </c>
    </row>
    <row r="1690" spans="8:8" x14ac:dyDescent="0.25">
      <c r="H1690" t="s">
        <v>22079</v>
      </c>
    </row>
    <row r="1691" spans="8:8" x14ac:dyDescent="0.25">
      <c r="H1691" t="s">
        <v>22080</v>
      </c>
    </row>
    <row r="1692" spans="8:8" x14ac:dyDescent="0.25">
      <c r="H1692" t="s">
        <v>22081</v>
      </c>
    </row>
    <row r="1693" spans="8:8" x14ac:dyDescent="0.25">
      <c r="H1693" t="s">
        <v>22082</v>
      </c>
    </row>
    <row r="1694" spans="8:8" x14ac:dyDescent="0.25">
      <c r="H1694" t="s">
        <v>22083</v>
      </c>
    </row>
    <row r="1695" spans="8:8" x14ac:dyDescent="0.25">
      <c r="H1695" t="s">
        <v>22084</v>
      </c>
    </row>
    <row r="1696" spans="8:8" x14ac:dyDescent="0.25">
      <c r="H1696" t="s">
        <v>22085</v>
      </c>
    </row>
    <row r="1697" spans="8:8" x14ac:dyDescent="0.25">
      <c r="H1697" t="s">
        <v>22086</v>
      </c>
    </row>
    <row r="1698" spans="8:8" x14ac:dyDescent="0.25">
      <c r="H1698" t="s">
        <v>22087</v>
      </c>
    </row>
    <row r="1699" spans="8:8" x14ac:dyDescent="0.25">
      <c r="H1699" t="s">
        <v>22088</v>
      </c>
    </row>
    <row r="1700" spans="8:8" x14ac:dyDescent="0.25">
      <c r="H1700" t="s">
        <v>22089</v>
      </c>
    </row>
    <row r="1701" spans="8:8" x14ac:dyDescent="0.25">
      <c r="H1701" t="s">
        <v>22090</v>
      </c>
    </row>
    <row r="1702" spans="8:8" x14ac:dyDescent="0.25">
      <c r="H1702" t="s">
        <v>22091</v>
      </c>
    </row>
    <row r="1703" spans="8:8" x14ac:dyDescent="0.25">
      <c r="H1703" t="s">
        <v>22092</v>
      </c>
    </row>
    <row r="1704" spans="8:8" x14ac:dyDescent="0.25">
      <c r="H1704" t="s">
        <v>22093</v>
      </c>
    </row>
    <row r="1705" spans="8:8" x14ac:dyDescent="0.25">
      <c r="H1705" t="s">
        <v>22094</v>
      </c>
    </row>
    <row r="1706" spans="8:8" x14ac:dyDescent="0.25">
      <c r="H1706" t="s">
        <v>22095</v>
      </c>
    </row>
    <row r="1707" spans="8:8" x14ac:dyDescent="0.25">
      <c r="H1707" t="s">
        <v>22096</v>
      </c>
    </row>
    <row r="1708" spans="8:8" x14ac:dyDescent="0.25">
      <c r="H1708" t="s">
        <v>22097</v>
      </c>
    </row>
    <row r="1709" spans="8:8" x14ac:dyDescent="0.25">
      <c r="H1709" t="s">
        <v>22098</v>
      </c>
    </row>
    <row r="1710" spans="8:8" x14ac:dyDescent="0.25">
      <c r="H1710" t="s">
        <v>22099</v>
      </c>
    </row>
    <row r="1711" spans="8:8" x14ac:dyDescent="0.25">
      <c r="H1711" t="s">
        <v>22100</v>
      </c>
    </row>
    <row r="1712" spans="8:8" x14ac:dyDescent="0.25">
      <c r="H1712" t="s">
        <v>22101</v>
      </c>
    </row>
    <row r="1713" spans="8:8" x14ac:dyDescent="0.25">
      <c r="H1713" t="s">
        <v>22102</v>
      </c>
    </row>
    <row r="1714" spans="8:8" x14ac:dyDescent="0.25">
      <c r="H1714" t="s">
        <v>22103</v>
      </c>
    </row>
    <row r="1715" spans="8:8" x14ac:dyDescent="0.25">
      <c r="H1715" t="s">
        <v>22104</v>
      </c>
    </row>
    <row r="1716" spans="8:8" x14ac:dyDescent="0.25">
      <c r="H1716" t="s">
        <v>22105</v>
      </c>
    </row>
    <row r="1717" spans="8:8" x14ac:dyDescent="0.25">
      <c r="H1717" t="s">
        <v>22106</v>
      </c>
    </row>
    <row r="1718" spans="8:8" x14ac:dyDescent="0.25">
      <c r="H1718" t="s">
        <v>22107</v>
      </c>
    </row>
    <row r="1719" spans="8:8" x14ac:dyDescent="0.25">
      <c r="H1719" t="s">
        <v>22108</v>
      </c>
    </row>
    <row r="1720" spans="8:8" x14ac:dyDescent="0.25">
      <c r="H1720" t="s">
        <v>22109</v>
      </c>
    </row>
    <row r="1721" spans="8:8" x14ac:dyDescent="0.25">
      <c r="H1721" t="s">
        <v>22110</v>
      </c>
    </row>
    <row r="1722" spans="8:8" x14ac:dyDescent="0.25">
      <c r="H1722" t="s">
        <v>22111</v>
      </c>
    </row>
    <row r="1723" spans="8:8" x14ac:dyDescent="0.25">
      <c r="H1723" t="s">
        <v>22112</v>
      </c>
    </row>
    <row r="1724" spans="8:8" x14ac:dyDescent="0.25">
      <c r="H1724" t="s">
        <v>22113</v>
      </c>
    </row>
    <row r="1725" spans="8:8" x14ac:dyDescent="0.25">
      <c r="H1725" t="s">
        <v>22114</v>
      </c>
    </row>
    <row r="1726" spans="8:8" x14ac:dyDescent="0.25">
      <c r="H1726" t="s">
        <v>22115</v>
      </c>
    </row>
    <row r="1727" spans="8:8" x14ac:dyDescent="0.25">
      <c r="H1727" t="s">
        <v>22116</v>
      </c>
    </row>
    <row r="1728" spans="8:8" x14ac:dyDescent="0.25">
      <c r="H1728" t="s">
        <v>22117</v>
      </c>
    </row>
    <row r="1729" spans="8:8" x14ac:dyDescent="0.25">
      <c r="H1729" t="s">
        <v>22118</v>
      </c>
    </row>
    <row r="1730" spans="8:8" x14ac:dyDescent="0.25">
      <c r="H1730" t="s">
        <v>22119</v>
      </c>
    </row>
    <row r="1731" spans="8:8" x14ac:dyDescent="0.25">
      <c r="H1731" t="s">
        <v>22120</v>
      </c>
    </row>
    <row r="1732" spans="8:8" x14ac:dyDescent="0.25">
      <c r="H1732" t="s">
        <v>22121</v>
      </c>
    </row>
    <row r="1733" spans="8:8" x14ac:dyDescent="0.25">
      <c r="H1733" t="s">
        <v>22122</v>
      </c>
    </row>
    <row r="1734" spans="8:8" x14ac:dyDescent="0.25">
      <c r="H1734" t="s">
        <v>22123</v>
      </c>
    </row>
    <row r="1735" spans="8:8" x14ac:dyDescent="0.25">
      <c r="H1735" t="s">
        <v>22124</v>
      </c>
    </row>
    <row r="1736" spans="8:8" x14ac:dyDescent="0.25">
      <c r="H1736" t="s">
        <v>22125</v>
      </c>
    </row>
    <row r="1737" spans="8:8" x14ac:dyDescent="0.25">
      <c r="H1737" t="s">
        <v>22126</v>
      </c>
    </row>
    <row r="1738" spans="8:8" x14ac:dyDescent="0.25">
      <c r="H1738" t="s">
        <v>22127</v>
      </c>
    </row>
    <row r="1739" spans="8:8" x14ac:dyDescent="0.25">
      <c r="H1739" t="s">
        <v>22128</v>
      </c>
    </row>
    <row r="1740" spans="8:8" x14ac:dyDescent="0.25">
      <c r="H1740" t="s">
        <v>22129</v>
      </c>
    </row>
    <row r="1741" spans="8:8" x14ac:dyDescent="0.25">
      <c r="H1741" t="s">
        <v>22130</v>
      </c>
    </row>
    <row r="1742" spans="8:8" x14ac:dyDescent="0.25">
      <c r="H1742" t="s">
        <v>22131</v>
      </c>
    </row>
    <row r="1743" spans="8:8" x14ac:dyDescent="0.25">
      <c r="H1743" t="s">
        <v>22132</v>
      </c>
    </row>
    <row r="1744" spans="8:8" x14ac:dyDescent="0.25">
      <c r="H1744" t="s">
        <v>22133</v>
      </c>
    </row>
    <row r="1745" spans="8:8" x14ac:dyDescent="0.25">
      <c r="H1745" t="s">
        <v>22134</v>
      </c>
    </row>
    <row r="1746" spans="8:8" x14ac:dyDescent="0.25">
      <c r="H1746" t="s">
        <v>22135</v>
      </c>
    </row>
    <row r="1747" spans="8:8" x14ac:dyDescent="0.25">
      <c r="H1747" t="s">
        <v>22136</v>
      </c>
    </row>
    <row r="1748" spans="8:8" x14ac:dyDescent="0.25">
      <c r="H1748" t="s">
        <v>22137</v>
      </c>
    </row>
    <row r="1749" spans="8:8" x14ac:dyDescent="0.25">
      <c r="H1749" t="s">
        <v>22138</v>
      </c>
    </row>
    <row r="1750" spans="8:8" x14ac:dyDescent="0.25">
      <c r="H1750" t="s">
        <v>22139</v>
      </c>
    </row>
    <row r="1751" spans="8:8" x14ac:dyDescent="0.25">
      <c r="H1751" t="s">
        <v>22140</v>
      </c>
    </row>
    <row r="1752" spans="8:8" x14ac:dyDescent="0.25">
      <c r="H1752" t="s">
        <v>22141</v>
      </c>
    </row>
    <row r="1753" spans="8:8" x14ac:dyDescent="0.25">
      <c r="H1753" t="s">
        <v>22142</v>
      </c>
    </row>
    <row r="1754" spans="8:8" x14ac:dyDescent="0.25">
      <c r="H1754" t="s">
        <v>22143</v>
      </c>
    </row>
    <row r="1755" spans="8:8" x14ac:dyDescent="0.25">
      <c r="H1755" t="s">
        <v>22144</v>
      </c>
    </row>
    <row r="1756" spans="8:8" x14ac:dyDescent="0.25">
      <c r="H1756" t="s">
        <v>22145</v>
      </c>
    </row>
    <row r="1757" spans="8:8" x14ac:dyDescent="0.25">
      <c r="H1757" t="s">
        <v>22146</v>
      </c>
    </row>
    <row r="1758" spans="8:8" x14ac:dyDescent="0.25">
      <c r="H1758" t="s">
        <v>22147</v>
      </c>
    </row>
    <row r="1759" spans="8:8" x14ac:dyDescent="0.25">
      <c r="H1759" t="s">
        <v>22148</v>
      </c>
    </row>
    <row r="1760" spans="8:8" x14ac:dyDescent="0.25">
      <c r="H1760" t="s">
        <v>22149</v>
      </c>
    </row>
    <row r="1761" spans="8:8" x14ac:dyDescent="0.25">
      <c r="H1761" t="s">
        <v>22150</v>
      </c>
    </row>
    <row r="1762" spans="8:8" x14ac:dyDescent="0.25">
      <c r="H1762" t="s">
        <v>22151</v>
      </c>
    </row>
    <row r="1763" spans="8:8" x14ac:dyDescent="0.25">
      <c r="H1763" t="s">
        <v>22152</v>
      </c>
    </row>
    <row r="1764" spans="8:8" x14ac:dyDescent="0.25">
      <c r="H1764" t="s">
        <v>22153</v>
      </c>
    </row>
    <row r="1765" spans="8:8" x14ac:dyDescent="0.25">
      <c r="H1765" t="s">
        <v>22154</v>
      </c>
    </row>
    <row r="1766" spans="8:8" x14ac:dyDescent="0.25">
      <c r="H1766" t="s">
        <v>22155</v>
      </c>
    </row>
    <row r="1767" spans="8:8" x14ac:dyDescent="0.25">
      <c r="H1767" t="s">
        <v>22156</v>
      </c>
    </row>
    <row r="1768" spans="8:8" x14ac:dyDescent="0.25">
      <c r="H1768" t="s">
        <v>22157</v>
      </c>
    </row>
    <row r="1769" spans="8:8" x14ac:dyDescent="0.25">
      <c r="H1769" t="s">
        <v>22158</v>
      </c>
    </row>
    <row r="1770" spans="8:8" x14ac:dyDescent="0.25">
      <c r="H1770" t="s">
        <v>22159</v>
      </c>
    </row>
    <row r="1771" spans="8:8" x14ac:dyDescent="0.25">
      <c r="H1771" t="s">
        <v>22160</v>
      </c>
    </row>
    <row r="1772" spans="8:8" x14ac:dyDescent="0.25">
      <c r="H1772" t="s">
        <v>22161</v>
      </c>
    </row>
    <row r="1773" spans="8:8" x14ac:dyDescent="0.25">
      <c r="H1773" t="s">
        <v>22162</v>
      </c>
    </row>
    <row r="1774" spans="8:8" x14ac:dyDescent="0.25">
      <c r="H1774" t="s">
        <v>22163</v>
      </c>
    </row>
    <row r="1775" spans="8:8" x14ac:dyDescent="0.25">
      <c r="H1775" t="s">
        <v>22164</v>
      </c>
    </row>
    <row r="1776" spans="8:8" x14ac:dyDescent="0.25">
      <c r="H1776" t="s">
        <v>22165</v>
      </c>
    </row>
    <row r="1777" spans="8:8" x14ac:dyDescent="0.25">
      <c r="H1777" t="s">
        <v>22166</v>
      </c>
    </row>
    <row r="1778" spans="8:8" x14ac:dyDescent="0.25">
      <c r="H1778" t="s">
        <v>22167</v>
      </c>
    </row>
    <row r="1779" spans="8:8" x14ac:dyDescent="0.25">
      <c r="H1779" t="s">
        <v>22168</v>
      </c>
    </row>
    <row r="1780" spans="8:8" x14ac:dyDescent="0.25">
      <c r="H1780" t="s">
        <v>22169</v>
      </c>
    </row>
    <row r="1781" spans="8:8" x14ac:dyDescent="0.25">
      <c r="H1781" t="s">
        <v>22170</v>
      </c>
    </row>
    <row r="1782" spans="8:8" x14ac:dyDescent="0.25">
      <c r="H1782" t="s">
        <v>22171</v>
      </c>
    </row>
    <row r="1783" spans="8:8" x14ac:dyDescent="0.25">
      <c r="H1783" t="s">
        <v>22172</v>
      </c>
    </row>
    <row r="1784" spans="8:8" x14ac:dyDescent="0.25">
      <c r="H1784" t="s">
        <v>22173</v>
      </c>
    </row>
    <row r="1785" spans="8:8" x14ac:dyDescent="0.25">
      <c r="H1785" t="s">
        <v>22174</v>
      </c>
    </row>
    <row r="1786" spans="8:8" x14ac:dyDescent="0.25">
      <c r="H1786" t="s">
        <v>22175</v>
      </c>
    </row>
    <row r="1787" spans="8:8" x14ac:dyDescent="0.25">
      <c r="H1787" t="s">
        <v>22176</v>
      </c>
    </row>
    <row r="1788" spans="8:8" x14ac:dyDescent="0.25">
      <c r="H1788" t="s">
        <v>22177</v>
      </c>
    </row>
    <row r="1789" spans="8:8" x14ac:dyDescent="0.25">
      <c r="H1789" t="s">
        <v>22178</v>
      </c>
    </row>
    <row r="1790" spans="8:8" x14ac:dyDescent="0.25">
      <c r="H1790" t="s">
        <v>22179</v>
      </c>
    </row>
    <row r="1791" spans="8:8" x14ac:dyDescent="0.25">
      <c r="H1791" t="s">
        <v>22180</v>
      </c>
    </row>
    <row r="1792" spans="8:8" x14ac:dyDescent="0.25">
      <c r="H1792" t="s">
        <v>22181</v>
      </c>
    </row>
    <row r="1793" spans="8:8" x14ac:dyDescent="0.25">
      <c r="H1793" t="s">
        <v>22182</v>
      </c>
    </row>
    <row r="1794" spans="8:8" x14ac:dyDescent="0.25">
      <c r="H1794" t="s">
        <v>22183</v>
      </c>
    </row>
    <row r="1795" spans="8:8" x14ac:dyDescent="0.25">
      <c r="H1795" t="s">
        <v>22184</v>
      </c>
    </row>
    <row r="1796" spans="8:8" x14ac:dyDescent="0.25">
      <c r="H1796" t="s">
        <v>22185</v>
      </c>
    </row>
    <row r="1797" spans="8:8" x14ac:dyDescent="0.25">
      <c r="H1797" t="s">
        <v>22186</v>
      </c>
    </row>
    <row r="1798" spans="8:8" x14ac:dyDescent="0.25">
      <c r="H1798" t="s">
        <v>22187</v>
      </c>
    </row>
    <row r="1799" spans="8:8" x14ac:dyDescent="0.25">
      <c r="H1799" t="s">
        <v>22188</v>
      </c>
    </row>
    <row r="1800" spans="8:8" x14ac:dyDescent="0.25">
      <c r="H1800" t="s">
        <v>22189</v>
      </c>
    </row>
    <row r="1801" spans="8:8" x14ac:dyDescent="0.25">
      <c r="H1801" t="s">
        <v>22190</v>
      </c>
    </row>
    <row r="1802" spans="8:8" x14ac:dyDescent="0.25">
      <c r="H1802" t="s">
        <v>22191</v>
      </c>
    </row>
    <row r="1803" spans="8:8" x14ac:dyDescent="0.25">
      <c r="H1803" t="s">
        <v>22192</v>
      </c>
    </row>
    <row r="1804" spans="8:8" x14ac:dyDescent="0.25">
      <c r="H1804" t="s">
        <v>22193</v>
      </c>
    </row>
    <row r="1805" spans="8:8" x14ac:dyDescent="0.25">
      <c r="H1805" t="s">
        <v>22194</v>
      </c>
    </row>
    <row r="1806" spans="8:8" x14ac:dyDescent="0.25">
      <c r="H1806" t="s">
        <v>22195</v>
      </c>
    </row>
    <row r="1807" spans="8:8" x14ac:dyDescent="0.25">
      <c r="H1807" t="s">
        <v>22196</v>
      </c>
    </row>
    <row r="1808" spans="8:8" x14ac:dyDescent="0.25">
      <c r="H1808" t="s">
        <v>22197</v>
      </c>
    </row>
    <row r="1809" spans="8:8" x14ac:dyDescent="0.25">
      <c r="H1809" t="s">
        <v>22198</v>
      </c>
    </row>
    <row r="1810" spans="8:8" x14ac:dyDescent="0.25">
      <c r="H1810" t="s">
        <v>22199</v>
      </c>
    </row>
    <row r="1811" spans="8:8" x14ac:dyDescent="0.25">
      <c r="H1811" t="s">
        <v>22200</v>
      </c>
    </row>
    <row r="1812" spans="8:8" x14ac:dyDescent="0.25">
      <c r="H1812" t="s">
        <v>22201</v>
      </c>
    </row>
    <row r="1813" spans="8:8" x14ac:dyDescent="0.25">
      <c r="H1813" t="s">
        <v>22202</v>
      </c>
    </row>
    <row r="1814" spans="8:8" x14ac:dyDescent="0.25">
      <c r="H1814" t="s">
        <v>22203</v>
      </c>
    </row>
    <row r="1815" spans="8:8" x14ac:dyDescent="0.25">
      <c r="H1815" t="s">
        <v>22204</v>
      </c>
    </row>
    <row r="1816" spans="8:8" x14ac:dyDescent="0.25">
      <c r="H1816" t="s">
        <v>22205</v>
      </c>
    </row>
    <row r="1817" spans="8:8" x14ac:dyDescent="0.25">
      <c r="H1817" t="s">
        <v>22206</v>
      </c>
    </row>
    <row r="1818" spans="8:8" x14ac:dyDescent="0.25">
      <c r="H1818" t="s">
        <v>22207</v>
      </c>
    </row>
    <row r="1819" spans="8:8" x14ac:dyDescent="0.25">
      <c r="H1819" t="s">
        <v>22208</v>
      </c>
    </row>
    <row r="1820" spans="8:8" x14ac:dyDescent="0.25">
      <c r="H1820" t="s">
        <v>22209</v>
      </c>
    </row>
    <row r="1821" spans="8:8" x14ac:dyDescent="0.25">
      <c r="H1821" t="s">
        <v>22210</v>
      </c>
    </row>
    <row r="1822" spans="8:8" x14ac:dyDescent="0.25">
      <c r="H1822" t="s">
        <v>22211</v>
      </c>
    </row>
    <row r="1823" spans="8:8" x14ac:dyDescent="0.25">
      <c r="H1823" t="s">
        <v>22212</v>
      </c>
    </row>
    <row r="1824" spans="8:8" x14ac:dyDescent="0.25">
      <c r="H1824" t="s">
        <v>22213</v>
      </c>
    </row>
    <row r="1825" spans="8:8" x14ac:dyDescent="0.25">
      <c r="H1825" t="s">
        <v>22214</v>
      </c>
    </row>
    <row r="1826" spans="8:8" x14ac:dyDescent="0.25">
      <c r="H1826" t="s">
        <v>22215</v>
      </c>
    </row>
    <row r="1827" spans="8:8" x14ac:dyDescent="0.25">
      <c r="H1827" t="s">
        <v>22216</v>
      </c>
    </row>
    <row r="1828" spans="8:8" x14ac:dyDescent="0.25">
      <c r="H1828" t="s">
        <v>22217</v>
      </c>
    </row>
    <row r="1829" spans="8:8" x14ac:dyDescent="0.25">
      <c r="H1829" t="s">
        <v>22218</v>
      </c>
    </row>
    <row r="1830" spans="8:8" x14ac:dyDescent="0.25">
      <c r="H1830" t="s">
        <v>22219</v>
      </c>
    </row>
    <row r="1831" spans="8:8" x14ac:dyDescent="0.25">
      <c r="H1831" t="s">
        <v>22220</v>
      </c>
    </row>
    <row r="1832" spans="8:8" x14ac:dyDescent="0.25">
      <c r="H1832" t="s">
        <v>22221</v>
      </c>
    </row>
    <row r="1833" spans="8:8" x14ac:dyDescent="0.25">
      <c r="H1833" t="s">
        <v>22222</v>
      </c>
    </row>
    <row r="1834" spans="8:8" x14ac:dyDescent="0.25">
      <c r="H1834" t="s">
        <v>22223</v>
      </c>
    </row>
    <row r="1835" spans="8:8" x14ac:dyDescent="0.25">
      <c r="H1835" t="s">
        <v>22224</v>
      </c>
    </row>
    <row r="1836" spans="8:8" x14ac:dyDescent="0.25">
      <c r="H1836" t="s">
        <v>22225</v>
      </c>
    </row>
    <row r="1837" spans="8:8" x14ac:dyDescent="0.25">
      <c r="H1837" t="s">
        <v>22226</v>
      </c>
    </row>
    <row r="1838" spans="8:8" x14ac:dyDescent="0.25">
      <c r="H1838" t="s">
        <v>22227</v>
      </c>
    </row>
    <row r="1839" spans="8:8" x14ac:dyDescent="0.25">
      <c r="H1839" t="s">
        <v>22228</v>
      </c>
    </row>
    <row r="1840" spans="8:8" x14ac:dyDescent="0.25">
      <c r="H1840" t="s">
        <v>22229</v>
      </c>
    </row>
    <row r="1841" spans="8:8" x14ac:dyDescent="0.25">
      <c r="H1841" t="s">
        <v>22230</v>
      </c>
    </row>
    <row r="1842" spans="8:8" x14ac:dyDescent="0.25">
      <c r="H1842" t="s">
        <v>22231</v>
      </c>
    </row>
    <row r="1843" spans="8:8" x14ac:dyDescent="0.25">
      <c r="H1843" t="s">
        <v>22232</v>
      </c>
    </row>
    <row r="1844" spans="8:8" x14ac:dyDescent="0.25">
      <c r="H1844" t="s">
        <v>22233</v>
      </c>
    </row>
    <row r="1845" spans="8:8" x14ac:dyDescent="0.25">
      <c r="H1845" t="s">
        <v>22234</v>
      </c>
    </row>
    <row r="1846" spans="8:8" x14ac:dyDescent="0.25">
      <c r="H1846" t="s">
        <v>22235</v>
      </c>
    </row>
    <row r="1847" spans="8:8" x14ac:dyDescent="0.25">
      <c r="H1847" t="s">
        <v>22236</v>
      </c>
    </row>
    <row r="1848" spans="8:8" x14ac:dyDescent="0.25">
      <c r="H1848" t="s">
        <v>22237</v>
      </c>
    </row>
    <row r="1849" spans="8:8" x14ac:dyDescent="0.25">
      <c r="H1849" t="s">
        <v>22238</v>
      </c>
    </row>
    <row r="1850" spans="8:8" x14ac:dyDescent="0.25">
      <c r="H1850" t="s">
        <v>22239</v>
      </c>
    </row>
    <row r="1851" spans="8:8" x14ac:dyDescent="0.25">
      <c r="H1851" t="s">
        <v>22240</v>
      </c>
    </row>
    <row r="1852" spans="8:8" x14ac:dyDescent="0.25">
      <c r="H1852" t="s">
        <v>22241</v>
      </c>
    </row>
    <row r="1853" spans="8:8" x14ac:dyDescent="0.25">
      <c r="H1853" t="s">
        <v>22242</v>
      </c>
    </row>
    <row r="1854" spans="8:8" x14ac:dyDescent="0.25">
      <c r="H1854" t="s">
        <v>22243</v>
      </c>
    </row>
    <row r="1855" spans="8:8" x14ac:dyDescent="0.25">
      <c r="H1855" t="s">
        <v>22244</v>
      </c>
    </row>
    <row r="1856" spans="8:8" x14ac:dyDescent="0.25">
      <c r="H1856" t="s">
        <v>22245</v>
      </c>
    </row>
    <row r="1857" spans="8:8" x14ac:dyDescent="0.25">
      <c r="H1857" t="s">
        <v>22246</v>
      </c>
    </row>
    <row r="1858" spans="8:8" x14ac:dyDescent="0.25">
      <c r="H1858" t="s">
        <v>22247</v>
      </c>
    </row>
    <row r="1859" spans="8:8" x14ac:dyDescent="0.25">
      <c r="H1859" t="s">
        <v>22248</v>
      </c>
    </row>
    <row r="1860" spans="8:8" x14ac:dyDescent="0.25">
      <c r="H1860" t="s">
        <v>22249</v>
      </c>
    </row>
    <row r="1861" spans="8:8" x14ac:dyDescent="0.25">
      <c r="H1861" t="s">
        <v>22250</v>
      </c>
    </row>
    <row r="1862" spans="8:8" x14ac:dyDescent="0.25">
      <c r="H1862" t="s">
        <v>22251</v>
      </c>
    </row>
    <row r="1863" spans="8:8" x14ac:dyDescent="0.25">
      <c r="H1863" t="s">
        <v>22252</v>
      </c>
    </row>
    <row r="1864" spans="8:8" x14ac:dyDescent="0.25">
      <c r="H1864" t="s">
        <v>22253</v>
      </c>
    </row>
    <row r="1865" spans="8:8" x14ac:dyDescent="0.25">
      <c r="H1865" t="s">
        <v>22254</v>
      </c>
    </row>
    <row r="1866" spans="8:8" x14ac:dyDescent="0.25">
      <c r="H1866" t="s">
        <v>22255</v>
      </c>
    </row>
    <row r="1867" spans="8:8" x14ac:dyDescent="0.25">
      <c r="H1867" t="s">
        <v>22256</v>
      </c>
    </row>
    <row r="1868" spans="8:8" x14ac:dyDescent="0.25">
      <c r="H1868" t="s">
        <v>22257</v>
      </c>
    </row>
    <row r="1869" spans="8:8" x14ac:dyDescent="0.25">
      <c r="H1869" t="s">
        <v>22258</v>
      </c>
    </row>
    <row r="1870" spans="8:8" x14ac:dyDescent="0.25">
      <c r="H1870" t="s">
        <v>22259</v>
      </c>
    </row>
    <row r="1871" spans="8:8" x14ac:dyDescent="0.25">
      <c r="H1871" t="s">
        <v>22260</v>
      </c>
    </row>
    <row r="1872" spans="8:8" x14ac:dyDescent="0.25">
      <c r="H1872" t="s">
        <v>22261</v>
      </c>
    </row>
    <row r="1873" spans="8:8" x14ac:dyDescent="0.25">
      <c r="H1873" t="s">
        <v>22262</v>
      </c>
    </row>
    <row r="1874" spans="8:8" x14ac:dyDescent="0.25">
      <c r="H1874" t="s">
        <v>22263</v>
      </c>
    </row>
    <row r="1875" spans="8:8" x14ac:dyDescent="0.25">
      <c r="H1875" t="s">
        <v>22264</v>
      </c>
    </row>
    <row r="1876" spans="8:8" x14ac:dyDescent="0.25">
      <c r="H1876" t="s">
        <v>22265</v>
      </c>
    </row>
    <row r="1877" spans="8:8" x14ac:dyDescent="0.25">
      <c r="H1877" t="s">
        <v>22266</v>
      </c>
    </row>
    <row r="1878" spans="8:8" x14ac:dyDescent="0.25">
      <c r="H1878" t="s">
        <v>22267</v>
      </c>
    </row>
    <row r="1879" spans="8:8" x14ac:dyDescent="0.25">
      <c r="H1879" t="s">
        <v>22268</v>
      </c>
    </row>
    <row r="1880" spans="8:8" x14ac:dyDescent="0.25">
      <c r="H1880" t="s">
        <v>22269</v>
      </c>
    </row>
    <row r="1881" spans="8:8" x14ac:dyDescent="0.25">
      <c r="H1881" t="s">
        <v>22270</v>
      </c>
    </row>
    <row r="1882" spans="8:8" x14ac:dyDescent="0.25">
      <c r="H1882" t="s">
        <v>22271</v>
      </c>
    </row>
    <row r="1883" spans="8:8" x14ac:dyDescent="0.25">
      <c r="H1883" t="s">
        <v>22272</v>
      </c>
    </row>
    <row r="1884" spans="8:8" x14ac:dyDescent="0.25">
      <c r="H1884" t="s">
        <v>22273</v>
      </c>
    </row>
    <row r="1885" spans="8:8" x14ac:dyDescent="0.25">
      <c r="H1885" t="s">
        <v>22274</v>
      </c>
    </row>
    <row r="1886" spans="8:8" x14ac:dyDescent="0.25">
      <c r="H1886" t="s">
        <v>22275</v>
      </c>
    </row>
    <row r="1887" spans="8:8" x14ac:dyDescent="0.25">
      <c r="H1887" t="s">
        <v>22276</v>
      </c>
    </row>
    <row r="1888" spans="8:8" x14ac:dyDescent="0.25">
      <c r="H1888" t="s">
        <v>22277</v>
      </c>
    </row>
    <row r="1889" spans="8:8" x14ac:dyDescent="0.25">
      <c r="H1889" t="s">
        <v>22278</v>
      </c>
    </row>
    <row r="1890" spans="8:8" x14ac:dyDescent="0.25">
      <c r="H1890" t="s">
        <v>22279</v>
      </c>
    </row>
    <row r="1891" spans="8:8" x14ac:dyDescent="0.25">
      <c r="H1891" t="s">
        <v>22280</v>
      </c>
    </row>
    <row r="1892" spans="8:8" x14ac:dyDescent="0.25">
      <c r="H1892" t="s">
        <v>22281</v>
      </c>
    </row>
    <row r="1893" spans="8:8" x14ac:dyDescent="0.25">
      <c r="H1893" t="s">
        <v>22282</v>
      </c>
    </row>
    <row r="1894" spans="8:8" x14ac:dyDescent="0.25">
      <c r="H1894" t="s">
        <v>22283</v>
      </c>
    </row>
    <row r="1895" spans="8:8" x14ac:dyDescent="0.25">
      <c r="H1895" t="s">
        <v>22284</v>
      </c>
    </row>
    <row r="1896" spans="8:8" x14ac:dyDescent="0.25">
      <c r="H1896" t="s">
        <v>22285</v>
      </c>
    </row>
    <row r="1897" spans="8:8" x14ac:dyDescent="0.25">
      <c r="H1897" t="s">
        <v>22286</v>
      </c>
    </row>
    <row r="1898" spans="8:8" x14ac:dyDescent="0.25">
      <c r="H1898" t="s">
        <v>22287</v>
      </c>
    </row>
    <row r="1899" spans="8:8" x14ac:dyDescent="0.25">
      <c r="H1899" t="s">
        <v>22288</v>
      </c>
    </row>
    <row r="1900" spans="8:8" x14ac:dyDescent="0.25">
      <c r="H1900" t="s">
        <v>22289</v>
      </c>
    </row>
    <row r="1901" spans="8:8" x14ac:dyDescent="0.25">
      <c r="H1901" t="s">
        <v>22290</v>
      </c>
    </row>
    <row r="1902" spans="8:8" x14ac:dyDescent="0.25">
      <c r="H1902" t="s">
        <v>22291</v>
      </c>
    </row>
    <row r="1903" spans="8:8" x14ac:dyDescent="0.25">
      <c r="H1903" t="s">
        <v>22292</v>
      </c>
    </row>
    <row r="1904" spans="8:8" x14ac:dyDescent="0.25">
      <c r="H1904" t="s">
        <v>22293</v>
      </c>
    </row>
    <row r="1905" spans="8:8" x14ac:dyDescent="0.25">
      <c r="H1905" t="s">
        <v>22294</v>
      </c>
    </row>
    <row r="1906" spans="8:8" x14ac:dyDescent="0.25">
      <c r="H1906" t="s">
        <v>22295</v>
      </c>
    </row>
    <row r="1907" spans="8:8" x14ac:dyDescent="0.25">
      <c r="H1907" t="s">
        <v>22296</v>
      </c>
    </row>
    <row r="1908" spans="8:8" x14ac:dyDescent="0.25">
      <c r="H1908" t="s">
        <v>22297</v>
      </c>
    </row>
    <row r="1909" spans="8:8" x14ac:dyDescent="0.25">
      <c r="H1909" t="s">
        <v>22298</v>
      </c>
    </row>
    <row r="1910" spans="8:8" x14ac:dyDescent="0.25">
      <c r="H1910" t="s">
        <v>22299</v>
      </c>
    </row>
    <row r="1911" spans="8:8" x14ac:dyDescent="0.25">
      <c r="H1911" t="s">
        <v>22300</v>
      </c>
    </row>
    <row r="1912" spans="8:8" x14ac:dyDescent="0.25">
      <c r="H1912" t="s">
        <v>22301</v>
      </c>
    </row>
    <row r="1913" spans="8:8" x14ac:dyDescent="0.25">
      <c r="H1913" t="s">
        <v>22302</v>
      </c>
    </row>
    <row r="1914" spans="8:8" x14ac:dyDescent="0.25">
      <c r="H1914" t="s">
        <v>22303</v>
      </c>
    </row>
    <row r="1915" spans="8:8" x14ac:dyDescent="0.25">
      <c r="H1915" t="s">
        <v>22304</v>
      </c>
    </row>
    <row r="1916" spans="8:8" x14ac:dyDescent="0.25">
      <c r="H1916" t="s">
        <v>22305</v>
      </c>
    </row>
    <row r="1917" spans="8:8" x14ac:dyDescent="0.25">
      <c r="H1917" t="s">
        <v>22306</v>
      </c>
    </row>
    <row r="1918" spans="8:8" x14ac:dyDescent="0.25">
      <c r="H1918" t="s">
        <v>22307</v>
      </c>
    </row>
    <row r="1919" spans="8:8" x14ac:dyDescent="0.25">
      <c r="H1919" t="s">
        <v>22308</v>
      </c>
    </row>
    <row r="1920" spans="8:8" x14ac:dyDescent="0.25">
      <c r="H1920" t="s">
        <v>22309</v>
      </c>
    </row>
    <row r="1921" spans="8:8" x14ac:dyDescent="0.25">
      <c r="H1921" t="s">
        <v>22310</v>
      </c>
    </row>
    <row r="1922" spans="8:8" x14ac:dyDescent="0.25">
      <c r="H1922" t="s">
        <v>22311</v>
      </c>
    </row>
    <row r="1923" spans="8:8" x14ac:dyDescent="0.25">
      <c r="H1923" t="s">
        <v>22312</v>
      </c>
    </row>
    <row r="1924" spans="8:8" x14ac:dyDescent="0.25">
      <c r="H1924" t="s">
        <v>22313</v>
      </c>
    </row>
    <row r="1925" spans="8:8" x14ac:dyDescent="0.25">
      <c r="H1925" t="s">
        <v>22314</v>
      </c>
    </row>
    <row r="1926" spans="8:8" x14ac:dyDescent="0.25">
      <c r="H1926" t="s">
        <v>22315</v>
      </c>
    </row>
    <row r="1927" spans="8:8" x14ac:dyDescent="0.25">
      <c r="H1927" t="s">
        <v>22316</v>
      </c>
    </row>
    <row r="1928" spans="8:8" x14ac:dyDescent="0.25">
      <c r="H1928" t="s">
        <v>22317</v>
      </c>
    </row>
    <row r="1929" spans="8:8" x14ac:dyDescent="0.25">
      <c r="H1929" t="s">
        <v>22318</v>
      </c>
    </row>
    <row r="1930" spans="8:8" x14ac:dyDescent="0.25">
      <c r="H1930" t="s">
        <v>22319</v>
      </c>
    </row>
    <row r="1931" spans="8:8" x14ac:dyDescent="0.25">
      <c r="H1931" t="s">
        <v>22320</v>
      </c>
    </row>
    <row r="1932" spans="8:8" x14ac:dyDescent="0.25">
      <c r="H1932" t="s">
        <v>22321</v>
      </c>
    </row>
    <row r="1933" spans="8:8" x14ac:dyDescent="0.25">
      <c r="H1933" t="s">
        <v>22322</v>
      </c>
    </row>
    <row r="1934" spans="8:8" x14ac:dyDescent="0.25">
      <c r="H1934" t="s">
        <v>22323</v>
      </c>
    </row>
    <row r="1935" spans="8:8" x14ac:dyDescent="0.25">
      <c r="H1935" t="s">
        <v>22324</v>
      </c>
    </row>
    <row r="1936" spans="8:8" x14ac:dyDescent="0.25">
      <c r="H1936" t="s">
        <v>22325</v>
      </c>
    </row>
    <row r="1937" spans="8:8" x14ac:dyDescent="0.25">
      <c r="H1937" t="s">
        <v>22326</v>
      </c>
    </row>
    <row r="1938" spans="8:8" x14ac:dyDescent="0.25">
      <c r="H1938" t="s">
        <v>22327</v>
      </c>
    </row>
    <row r="1939" spans="8:8" x14ac:dyDescent="0.25">
      <c r="H1939" t="s">
        <v>22328</v>
      </c>
    </row>
    <row r="1940" spans="8:8" x14ac:dyDescent="0.25">
      <c r="H1940" t="s">
        <v>22329</v>
      </c>
    </row>
    <row r="1941" spans="8:8" x14ac:dyDescent="0.25">
      <c r="H1941" t="s">
        <v>22330</v>
      </c>
    </row>
    <row r="1942" spans="8:8" x14ac:dyDescent="0.25">
      <c r="H1942" t="s">
        <v>22331</v>
      </c>
    </row>
    <row r="1943" spans="8:8" x14ac:dyDescent="0.25">
      <c r="H1943" t="s">
        <v>22332</v>
      </c>
    </row>
    <row r="1944" spans="8:8" x14ac:dyDescent="0.25">
      <c r="H1944" t="s">
        <v>22333</v>
      </c>
    </row>
    <row r="1945" spans="8:8" x14ac:dyDescent="0.25">
      <c r="H1945" t="s">
        <v>22334</v>
      </c>
    </row>
    <row r="1946" spans="8:8" x14ac:dyDescent="0.25">
      <c r="H1946" t="s">
        <v>22335</v>
      </c>
    </row>
    <row r="1947" spans="8:8" x14ac:dyDescent="0.25">
      <c r="H1947" t="s">
        <v>22336</v>
      </c>
    </row>
    <row r="1948" spans="8:8" x14ac:dyDescent="0.25">
      <c r="H1948" t="s">
        <v>22337</v>
      </c>
    </row>
    <row r="1949" spans="8:8" x14ac:dyDescent="0.25">
      <c r="H1949" t="s">
        <v>22338</v>
      </c>
    </row>
    <row r="1950" spans="8:8" x14ac:dyDescent="0.25">
      <c r="H1950" t="s">
        <v>22339</v>
      </c>
    </row>
    <row r="1951" spans="8:8" x14ac:dyDescent="0.25">
      <c r="H1951" t="s">
        <v>22340</v>
      </c>
    </row>
    <row r="1952" spans="8:8" x14ac:dyDescent="0.25">
      <c r="H1952" t="s">
        <v>22341</v>
      </c>
    </row>
    <row r="1953" spans="8:8" x14ac:dyDescent="0.25">
      <c r="H1953" t="s">
        <v>22342</v>
      </c>
    </row>
    <row r="1954" spans="8:8" x14ac:dyDescent="0.25">
      <c r="H1954" t="s">
        <v>22343</v>
      </c>
    </row>
    <row r="1955" spans="8:8" x14ac:dyDescent="0.25">
      <c r="H1955" t="s">
        <v>22344</v>
      </c>
    </row>
    <row r="1956" spans="8:8" x14ac:dyDescent="0.25">
      <c r="H1956" t="s">
        <v>22345</v>
      </c>
    </row>
    <row r="1957" spans="8:8" x14ac:dyDescent="0.25">
      <c r="H1957" t="s">
        <v>22346</v>
      </c>
    </row>
    <row r="1958" spans="8:8" x14ac:dyDescent="0.25">
      <c r="H1958" t="s">
        <v>22347</v>
      </c>
    </row>
    <row r="1959" spans="8:8" x14ac:dyDescent="0.25">
      <c r="H1959" t="s">
        <v>22348</v>
      </c>
    </row>
    <row r="1960" spans="8:8" x14ac:dyDescent="0.25">
      <c r="H1960" t="s">
        <v>22349</v>
      </c>
    </row>
    <row r="1961" spans="8:8" x14ac:dyDescent="0.25">
      <c r="H1961" t="s">
        <v>22350</v>
      </c>
    </row>
    <row r="1962" spans="8:8" x14ac:dyDescent="0.25">
      <c r="H1962" t="s">
        <v>22351</v>
      </c>
    </row>
    <row r="1963" spans="8:8" x14ac:dyDescent="0.25">
      <c r="H1963" t="s">
        <v>22352</v>
      </c>
    </row>
    <row r="1964" spans="8:8" x14ac:dyDescent="0.25">
      <c r="H1964" t="s">
        <v>22353</v>
      </c>
    </row>
    <row r="1965" spans="8:8" x14ac:dyDescent="0.25">
      <c r="H1965" t="s">
        <v>22354</v>
      </c>
    </row>
    <row r="1966" spans="8:8" x14ac:dyDescent="0.25">
      <c r="H1966" t="s">
        <v>22355</v>
      </c>
    </row>
    <row r="1967" spans="8:8" x14ac:dyDescent="0.25">
      <c r="H1967" t="s">
        <v>22356</v>
      </c>
    </row>
    <row r="1968" spans="8:8" x14ac:dyDescent="0.25">
      <c r="H1968" t="s">
        <v>22357</v>
      </c>
    </row>
    <row r="1969" spans="8:8" x14ac:dyDescent="0.25">
      <c r="H1969" t="s">
        <v>22358</v>
      </c>
    </row>
    <row r="1970" spans="8:8" x14ac:dyDescent="0.25">
      <c r="H1970" t="s">
        <v>22359</v>
      </c>
    </row>
    <row r="1971" spans="8:8" x14ac:dyDescent="0.25">
      <c r="H1971" t="s">
        <v>22360</v>
      </c>
    </row>
    <row r="1972" spans="8:8" x14ac:dyDescent="0.25">
      <c r="H1972" t="s">
        <v>22361</v>
      </c>
    </row>
    <row r="1973" spans="8:8" x14ac:dyDescent="0.25">
      <c r="H1973" t="s">
        <v>22362</v>
      </c>
    </row>
    <row r="1974" spans="8:8" x14ac:dyDescent="0.25">
      <c r="H1974" t="s">
        <v>22363</v>
      </c>
    </row>
    <row r="1975" spans="8:8" x14ac:dyDescent="0.25">
      <c r="H1975" t="s">
        <v>22364</v>
      </c>
    </row>
    <row r="1976" spans="8:8" x14ac:dyDescent="0.25">
      <c r="H1976" t="s">
        <v>22365</v>
      </c>
    </row>
    <row r="1977" spans="8:8" x14ac:dyDescent="0.25">
      <c r="H1977" t="s">
        <v>22366</v>
      </c>
    </row>
    <row r="1978" spans="8:8" x14ac:dyDescent="0.25">
      <c r="H1978" t="s">
        <v>22367</v>
      </c>
    </row>
    <row r="1979" spans="8:8" x14ac:dyDescent="0.25">
      <c r="H1979" t="s">
        <v>22368</v>
      </c>
    </row>
    <row r="1980" spans="8:8" x14ac:dyDescent="0.25">
      <c r="H1980" t="s">
        <v>22369</v>
      </c>
    </row>
    <row r="1981" spans="8:8" x14ac:dyDescent="0.25">
      <c r="H1981" t="s">
        <v>22370</v>
      </c>
    </row>
    <row r="1982" spans="8:8" x14ac:dyDescent="0.25">
      <c r="H1982" t="s">
        <v>22371</v>
      </c>
    </row>
    <row r="1983" spans="8:8" x14ac:dyDescent="0.25">
      <c r="H1983" t="s">
        <v>22372</v>
      </c>
    </row>
    <row r="1984" spans="8:8" x14ac:dyDescent="0.25">
      <c r="H1984" t="s">
        <v>22373</v>
      </c>
    </row>
    <row r="1985" spans="8:8" x14ac:dyDescent="0.25">
      <c r="H1985" t="s">
        <v>22374</v>
      </c>
    </row>
    <row r="1986" spans="8:8" x14ac:dyDescent="0.25">
      <c r="H1986" t="s">
        <v>22375</v>
      </c>
    </row>
    <row r="1987" spans="8:8" x14ac:dyDescent="0.25">
      <c r="H1987" t="s">
        <v>22376</v>
      </c>
    </row>
    <row r="1988" spans="8:8" x14ac:dyDescent="0.25">
      <c r="H1988" t="s">
        <v>22377</v>
      </c>
    </row>
    <row r="1989" spans="8:8" x14ac:dyDescent="0.25">
      <c r="H1989" t="s">
        <v>22378</v>
      </c>
    </row>
    <row r="1990" spans="8:8" x14ac:dyDescent="0.25">
      <c r="H1990" t="s">
        <v>22379</v>
      </c>
    </row>
    <row r="1991" spans="8:8" x14ac:dyDescent="0.25">
      <c r="H1991" t="s">
        <v>22380</v>
      </c>
    </row>
    <row r="1992" spans="8:8" x14ac:dyDescent="0.25">
      <c r="H1992" t="s">
        <v>22381</v>
      </c>
    </row>
    <row r="1993" spans="8:8" x14ac:dyDescent="0.25">
      <c r="H1993" t="s">
        <v>22382</v>
      </c>
    </row>
    <row r="1994" spans="8:8" x14ac:dyDescent="0.25">
      <c r="H1994" t="s">
        <v>22383</v>
      </c>
    </row>
    <row r="1995" spans="8:8" x14ac:dyDescent="0.25">
      <c r="H1995" t="s">
        <v>22384</v>
      </c>
    </row>
    <row r="1996" spans="8:8" x14ac:dyDescent="0.25">
      <c r="H1996" t="s">
        <v>22385</v>
      </c>
    </row>
    <row r="1997" spans="8:8" x14ac:dyDescent="0.25">
      <c r="H1997" t="s">
        <v>22386</v>
      </c>
    </row>
    <row r="1998" spans="8:8" x14ac:dyDescent="0.25">
      <c r="H1998" t="s">
        <v>22387</v>
      </c>
    </row>
    <row r="1999" spans="8:8" x14ac:dyDescent="0.25">
      <c r="H1999" t="s">
        <v>22388</v>
      </c>
    </row>
    <row r="2000" spans="8:8" x14ac:dyDescent="0.25">
      <c r="H2000" t="s">
        <v>22389</v>
      </c>
    </row>
    <row r="2001" spans="8:8" x14ac:dyDescent="0.25">
      <c r="H2001" t="s">
        <v>22390</v>
      </c>
    </row>
    <row r="2002" spans="8:8" x14ac:dyDescent="0.25">
      <c r="H2002" t="s">
        <v>22391</v>
      </c>
    </row>
    <row r="2003" spans="8:8" x14ac:dyDescent="0.25">
      <c r="H2003" t="s">
        <v>22392</v>
      </c>
    </row>
    <row r="2004" spans="8:8" x14ac:dyDescent="0.25">
      <c r="H2004" t="s">
        <v>22393</v>
      </c>
    </row>
    <row r="2005" spans="8:8" x14ac:dyDescent="0.25">
      <c r="H2005" t="s">
        <v>22394</v>
      </c>
    </row>
    <row r="2006" spans="8:8" x14ac:dyDescent="0.25">
      <c r="H2006" t="s">
        <v>22395</v>
      </c>
    </row>
    <row r="2007" spans="8:8" x14ac:dyDescent="0.25">
      <c r="H2007" t="s">
        <v>22396</v>
      </c>
    </row>
    <row r="2008" spans="8:8" x14ac:dyDescent="0.25">
      <c r="H2008" t="s">
        <v>22397</v>
      </c>
    </row>
    <row r="2009" spans="8:8" x14ac:dyDescent="0.25">
      <c r="H2009" t="s">
        <v>22398</v>
      </c>
    </row>
    <row r="2010" spans="8:8" x14ac:dyDescent="0.25">
      <c r="H2010" t="s">
        <v>22399</v>
      </c>
    </row>
    <row r="2011" spans="8:8" x14ac:dyDescent="0.25">
      <c r="H2011" t="s">
        <v>22400</v>
      </c>
    </row>
    <row r="2012" spans="8:8" x14ac:dyDescent="0.25">
      <c r="H2012" t="s">
        <v>22401</v>
      </c>
    </row>
    <row r="2013" spans="8:8" x14ac:dyDescent="0.25">
      <c r="H2013" t="s">
        <v>22402</v>
      </c>
    </row>
    <row r="2014" spans="8:8" x14ac:dyDescent="0.25">
      <c r="H2014" t="s">
        <v>22403</v>
      </c>
    </row>
    <row r="2015" spans="8:8" x14ac:dyDescent="0.25">
      <c r="H2015" t="s">
        <v>22404</v>
      </c>
    </row>
    <row r="2016" spans="8:8" x14ac:dyDescent="0.25">
      <c r="H2016" t="s">
        <v>22405</v>
      </c>
    </row>
    <row r="2017" spans="8:8" x14ac:dyDescent="0.25">
      <c r="H2017" t="s">
        <v>22406</v>
      </c>
    </row>
    <row r="2018" spans="8:8" x14ac:dyDescent="0.25">
      <c r="H2018" t="s">
        <v>22407</v>
      </c>
    </row>
    <row r="2019" spans="8:8" x14ac:dyDescent="0.25">
      <c r="H2019" t="s">
        <v>22408</v>
      </c>
    </row>
    <row r="2020" spans="8:8" x14ac:dyDescent="0.25">
      <c r="H2020" t="s">
        <v>22409</v>
      </c>
    </row>
    <row r="2021" spans="8:8" x14ac:dyDescent="0.25">
      <c r="H2021" t="s">
        <v>22410</v>
      </c>
    </row>
    <row r="2022" spans="8:8" x14ac:dyDescent="0.25">
      <c r="H2022" t="s">
        <v>22411</v>
      </c>
    </row>
    <row r="2023" spans="8:8" x14ac:dyDescent="0.25">
      <c r="H2023" t="s">
        <v>22412</v>
      </c>
    </row>
    <row r="2024" spans="8:8" x14ac:dyDescent="0.25">
      <c r="H2024" t="s">
        <v>22413</v>
      </c>
    </row>
    <row r="2025" spans="8:8" x14ac:dyDescent="0.25">
      <c r="H2025" t="s">
        <v>22414</v>
      </c>
    </row>
    <row r="2026" spans="8:8" x14ac:dyDescent="0.25">
      <c r="H2026" t="s">
        <v>22415</v>
      </c>
    </row>
    <row r="2027" spans="8:8" x14ac:dyDescent="0.25">
      <c r="H2027" t="s">
        <v>22416</v>
      </c>
    </row>
    <row r="2028" spans="8:8" x14ac:dyDescent="0.25">
      <c r="H2028" t="s">
        <v>22417</v>
      </c>
    </row>
    <row r="2029" spans="8:8" x14ac:dyDescent="0.25">
      <c r="H2029" t="s">
        <v>22418</v>
      </c>
    </row>
    <row r="2030" spans="8:8" x14ac:dyDescent="0.25">
      <c r="H2030" t="s">
        <v>22419</v>
      </c>
    </row>
    <row r="2031" spans="8:8" x14ac:dyDescent="0.25">
      <c r="H2031" t="s">
        <v>22420</v>
      </c>
    </row>
    <row r="2032" spans="8:8" x14ac:dyDescent="0.25">
      <c r="H2032" t="s">
        <v>22421</v>
      </c>
    </row>
    <row r="2033" spans="8:8" x14ac:dyDescent="0.25">
      <c r="H2033" t="s">
        <v>22422</v>
      </c>
    </row>
    <row r="2034" spans="8:8" x14ac:dyDescent="0.25">
      <c r="H2034" t="s">
        <v>22423</v>
      </c>
    </row>
    <row r="2035" spans="8:8" x14ac:dyDescent="0.25">
      <c r="H2035" t="s">
        <v>22424</v>
      </c>
    </row>
    <row r="2036" spans="8:8" x14ac:dyDescent="0.25">
      <c r="H2036" t="s">
        <v>22425</v>
      </c>
    </row>
    <row r="2037" spans="8:8" x14ac:dyDescent="0.25">
      <c r="H2037" t="s">
        <v>22426</v>
      </c>
    </row>
    <row r="2038" spans="8:8" x14ac:dyDescent="0.25">
      <c r="H2038" t="s">
        <v>22427</v>
      </c>
    </row>
    <row r="2039" spans="8:8" x14ac:dyDescent="0.25">
      <c r="H2039" t="s">
        <v>22428</v>
      </c>
    </row>
    <row r="2040" spans="8:8" x14ac:dyDescent="0.25">
      <c r="H2040" t="s">
        <v>22429</v>
      </c>
    </row>
    <row r="2041" spans="8:8" x14ac:dyDescent="0.25">
      <c r="H2041" t="s">
        <v>22430</v>
      </c>
    </row>
    <row r="2042" spans="8:8" x14ac:dyDescent="0.25">
      <c r="H2042" t="s">
        <v>22431</v>
      </c>
    </row>
    <row r="2043" spans="8:8" x14ac:dyDescent="0.25">
      <c r="H2043" t="s">
        <v>22432</v>
      </c>
    </row>
    <row r="2044" spans="8:8" x14ac:dyDescent="0.25">
      <c r="H2044" t="s">
        <v>22433</v>
      </c>
    </row>
    <row r="2045" spans="8:8" x14ac:dyDescent="0.25">
      <c r="H2045" t="s">
        <v>22434</v>
      </c>
    </row>
    <row r="2046" spans="8:8" x14ac:dyDescent="0.25">
      <c r="H2046" t="s">
        <v>22435</v>
      </c>
    </row>
    <row r="2047" spans="8:8" x14ac:dyDescent="0.25">
      <c r="H2047" t="s">
        <v>22436</v>
      </c>
    </row>
    <row r="2048" spans="8:8" x14ac:dyDescent="0.25">
      <c r="H2048" t="s">
        <v>22437</v>
      </c>
    </row>
    <row r="2049" spans="8:8" x14ac:dyDescent="0.25">
      <c r="H2049" t="s">
        <v>22438</v>
      </c>
    </row>
    <row r="2050" spans="8:8" x14ac:dyDescent="0.25">
      <c r="H2050" t="s">
        <v>22439</v>
      </c>
    </row>
    <row r="2051" spans="8:8" x14ac:dyDescent="0.25">
      <c r="H2051" t="s">
        <v>22440</v>
      </c>
    </row>
    <row r="2052" spans="8:8" x14ac:dyDescent="0.25">
      <c r="H2052" t="s">
        <v>22441</v>
      </c>
    </row>
    <row r="2053" spans="8:8" x14ac:dyDescent="0.25">
      <c r="H2053" t="s">
        <v>22442</v>
      </c>
    </row>
    <row r="2054" spans="8:8" x14ac:dyDescent="0.25">
      <c r="H2054" t="s">
        <v>22443</v>
      </c>
    </row>
    <row r="2055" spans="8:8" x14ac:dyDescent="0.25">
      <c r="H2055" t="s">
        <v>22444</v>
      </c>
    </row>
    <row r="2056" spans="8:8" x14ac:dyDescent="0.25">
      <c r="H2056" t="s">
        <v>22445</v>
      </c>
    </row>
    <row r="2057" spans="8:8" x14ac:dyDescent="0.25">
      <c r="H2057" t="s">
        <v>22446</v>
      </c>
    </row>
    <row r="2058" spans="8:8" x14ac:dyDescent="0.25">
      <c r="H2058" t="s">
        <v>22447</v>
      </c>
    </row>
    <row r="2059" spans="8:8" x14ac:dyDescent="0.25">
      <c r="H2059" t="s">
        <v>22448</v>
      </c>
    </row>
    <row r="2060" spans="8:8" x14ac:dyDescent="0.25">
      <c r="H2060" t="s">
        <v>22449</v>
      </c>
    </row>
    <row r="2061" spans="8:8" x14ac:dyDescent="0.25">
      <c r="H2061" t="s">
        <v>22450</v>
      </c>
    </row>
    <row r="2062" spans="8:8" x14ac:dyDescent="0.25">
      <c r="H2062" t="s">
        <v>22451</v>
      </c>
    </row>
    <row r="2063" spans="8:8" x14ac:dyDescent="0.25">
      <c r="H2063" t="s">
        <v>22452</v>
      </c>
    </row>
    <row r="2064" spans="8:8" x14ac:dyDescent="0.25">
      <c r="H2064" t="s">
        <v>22453</v>
      </c>
    </row>
    <row r="2065" spans="8:8" x14ac:dyDescent="0.25">
      <c r="H2065" t="s">
        <v>22454</v>
      </c>
    </row>
    <row r="2066" spans="8:8" x14ac:dyDescent="0.25">
      <c r="H2066" t="s">
        <v>22455</v>
      </c>
    </row>
    <row r="2067" spans="8:8" x14ac:dyDescent="0.25">
      <c r="H2067" t="s">
        <v>22456</v>
      </c>
    </row>
    <row r="2068" spans="8:8" x14ac:dyDescent="0.25">
      <c r="H2068" t="s">
        <v>22457</v>
      </c>
    </row>
    <row r="2069" spans="8:8" x14ac:dyDescent="0.25">
      <c r="H2069" t="s">
        <v>22458</v>
      </c>
    </row>
    <row r="2070" spans="8:8" x14ac:dyDescent="0.25">
      <c r="H2070" t="s">
        <v>22459</v>
      </c>
    </row>
    <row r="2071" spans="8:8" x14ac:dyDescent="0.25">
      <c r="H2071" t="s">
        <v>22460</v>
      </c>
    </row>
    <row r="2072" spans="8:8" x14ac:dyDescent="0.25">
      <c r="H2072" t="s">
        <v>22461</v>
      </c>
    </row>
    <row r="2073" spans="8:8" x14ac:dyDescent="0.25">
      <c r="H2073" t="s">
        <v>22462</v>
      </c>
    </row>
    <row r="2074" spans="8:8" x14ac:dyDescent="0.25">
      <c r="H2074" t="s">
        <v>22463</v>
      </c>
    </row>
    <row r="2075" spans="8:8" x14ac:dyDescent="0.25">
      <c r="H2075" t="s">
        <v>22464</v>
      </c>
    </row>
    <row r="2076" spans="8:8" x14ac:dyDescent="0.25">
      <c r="H2076" t="s">
        <v>22465</v>
      </c>
    </row>
    <row r="2077" spans="8:8" x14ac:dyDescent="0.25">
      <c r="H2077" t="s">
        <v>22466</v>
      </c>
    </row>
    <row r="2078" spans="8:8" x14ac:dyDescent="0.25">
      <c r="H2078" t="s">
        <v>22467</v>
      </c>
    </row>
    <row r="2079" spans="8:8" x14ac:dyDescent="0.25">
      <c r="H2079" t="s">
        <v>22468</v>
      </c>
    </row>
    <row r="2080" spans="8:8" x14ac:dyDescent="0.25">
      <c r="H2080" t="s">
        <v>22469</v>
      </c>
    </row>
    <row r="2081" spans="8:8" x14ac:dyDescent="0.25">
      <c r="H2081" t="s">
        <v>22470</v>
      </c>
    </row>
    <row r="2082" spans="8:8" x14ac:dyDescent="0.25">
      <c r="H2082" t="s">
        <v>22471</v>
      </c>
    </row>
    <row r="2083" spans="8:8" x14ac:dyDescent="0.25">
      <c r="H2083" t="s">
        <v>22472</v>
      </c>
    </row>
    <row r="2084" spans="8:8" x14ac:dyDescent="0.25">
      <c r="H2084" t="s">
        <v>22473</v>
      </c>
    </row>
    <row r="2085" spans="8:8" x14ac:dyDescent="0.25">
      <c r="H2085" t="s">
        <v>22474</v>
      </c>
    </row>
    <row r="2086" spans="8:8" x14ac:dyDescent="0.25">
      <c r="H2086" t="s">
        <v>22475</v>
      </c>
    </row>
    <row r="2087" spans="8:8" x14ac:dyDescent="0.25">
      <c r="H2087" t="s">
        <v>22476</v>
      </c>
    </row>
    <row r="2088" spans="8:8" x14ac:dyDescent="0.25">
      <c r="H2088" t="s">
        <v>22477</v>
      </c>
    </row>
    <row r="2089" spans="8:8" x14ac:dyDescent="0.25">
      <c r="H2089" t="s">
        <v>22478</v>
      </c>
    </row>
    <row r="2090" spans="8:8" x14ac:dyDescent="0.25">
      <c r="H2090" t="s">
        <v>22479</v>
      </c>
    </row>
    <row r="2091" spans="8:8" x14ac:dyDescent="0.25">
      <c r="H2091" t="s">
        <v>22480</v>
      </c>
    </row>
    <row r="2092" spans="8:8" x14ac:dyDescent="0.25">
      <c r="H2092" t="s">
        <v>22481</v>
      </c>
    </row>
    <row r="2093" spans="8:8" x14ac:dyDescent="0.25">
      <c r="H2093" t="s">
        <v>22482</v>
      </c>
    </row>
    <row r="2094" spans="8:8" x14ac:dyDescent="0.25">
      <c r="H2094" t="s">
        <v>22483</v>
      </c>
    </row>
    <row r="2095" spans="8:8" x14ac:dyDescent="0.25">
      <c r="H2095" t="s">
        <v>22484</v>
      </c>
    </row>
    <row r="2096" spans="8:8" x14ac:dyDescent="0.25">
      <c r="H2096" t="s">
        <v>22485</v>
      </c>
    </row>
    <row r="2097" spans="8:8" x14ac:dyDescent="0.25">
      <c r="H2097" t="s">
        <v>22486</v>
      </c>
    </row>
    <row r="2098" spans="8:8" x14ac:dyDescent="0.25">
      <c r="H2098" t="s">
        <v>22487</v>
      </c>
    </row>
    <row r="2099" spans="8:8" x14ac:dyDescent="0.25">
      <c r="H2099" t="s">
        <v>22488</v>
      </c>
    </row>
    <row r="2100" spans="8:8" x14ac:dyDescent="0.25">
      <c r="H2100" t="s">
        <v>22489</v>
      </c>
    </row>
    <row r="2101" spans="8:8" x14ac:dyDescent="0.25">
      <c r="H2101" t="s">
        <v>22490</v>
      </c>
    </row>
    <row r="2102" spans="8:8" x14ac:dyDescent="0.25">
      <c r="H2102" t="s">
        <v>22491</v>
      </c>
    </row>
    <row r="2103" spans="8:8" x14ac:dyDescent="0.25">
      <c r="H2103" t="s">
        <v>22492</v>
      </c>
    </row>
    <row r="2104" spans="8:8" x14ac:dyDescent="0.25">
      <c r="H2104" t="s">
        <v>22493</v>
      </c>
    </row>
    <row r="2105" spans="8:8" x14ac:dyDescent="0.25">
      <c r="H2105" t="s">
        <v>22494</v>
      </c>
    </row>
    <row r="2106" spans="8:8" x14ac:dyDescent="0.25">
      <c r="H2106" t="s">
        <v>22495</v>
      </c>
    </row>
    <row r="2107" spans="8:8" x14ac:dyDescent="0.25">
      <c r="H2107" t="s">
        <v>22496</v>
      </c>
    </row>
    <row r="2108" spans="8:8" x14ac:dyDescent="0.25">
      <c r="H2108" t="s">
        <v>22497</v>
      </c>
    </row>
    <row r="2109" spans="8:8" x14ac:dyDescent="0.25">
      <c r="H2109" t="s">
        <v>22498</v>
      </c>
    </row>
    <row r="2110" spans="8:8" x14ac:dyDescent="0.25">
      <c r="H2110" t="s">
        <v>22499</v>
      </c>
    </row>
    <row r="2111" spans="8:8" x14ac:dyDescent="0.25">
      <c r="H2111" t="s">
        <v>22500</v>
      </c>
    </row>
    <row r="2112" spans="8:8" x14ac:dyDescent="0.25">
      <c r="H2112" t="s">
        <v>22501</v>
      </c>
    </row>
    <row r="2113" spans="8:8" x14ac:dyDescent="0.25">
      <c r="H2113" t="s">
        <v>22502</v>
      </c>
    </row>
    <row r="2114" spans="8:8" x14ac:dyDescent="0.25">
      <c r="H2114" t="s">
        <v>22503</v>
      </c>
    </row>
    <row r="2115" spans="8:8" x14ac:dyDescent="0.25">
      <c r="H2115" t="s">
        <v>22504</v>
      </c>
    </row>
    <row r="2116" spans="8:8" x14ac:dyDescent="0.25">
      <c r="H2116" t="s">
        <v>22505</v>
      </c>
    </row>
    <row r="2117" spans="8:8" x14ac:dyDescent="0.25">
      <c r="H2117" t="s">
        <v>22506</v>
      </c>
    </row>
    <row r="2118" spans="8:8" x14ac:dyDescent="0.25">
      <c r="H2118" t="s">
        <v>22507</v>
      </c>
    </row>
    <row r="2119" spans="8:8" x14ac:dyDescent="0.25">
      <c r="H2119" t="s">
        <v>22508</v>
      </c>
    </row>
    <row r="2120" spans="8:8" x14ac:dyDescent="0.25">
      <c r="H2120" t="s">
        <v>22509</v>
      </c>
    </row>
    <row r="2121" spans="8:8" x14ac:dyDescent="0.25">
      <c r="H2121" t="s">
        <v>22510</v>
      </c>
    </row>
    <row r="2122" spans="8:8" x14ac:dyDescent="0.25">
      <c r="H2122" t="s">
        <v>22511</v>
      </c>
    </row>
    <row r="2123" spans="8:8" x14ac:dyDescent="0.25">
      <c r="H2123" t="s">
        <v>22512</v>
      </c>
    </row>
    <row r="2124" spans="8:8" x14ac:dyDescent="0.25">
      <c r="H2124" t="s">
        <v>22513</v>
      </c>
    </row>
    <row r="2125" spans="8:8" x14ac:dyDescent="0.25">
      <c r="H2125" t="s">
        <v>22514</v>
      </c>
    </row>
    <row r="2126" spans="8:8" x14ac:dyDescent="0.25">
      <c r="H2126" t="s">
        <v>22515</v>
      </c>
    </row>
    <row r="2127" spans="8:8" x14ac:dyDescent="0.25">
      <c r="H2127" t="s">
        <v>22516</v>
      </c>
    </row>
    <row r="2128" spans="8:8" x14ac:dyDescent="0.25">
      <c r="H2128" t="s">
        <v>22517</v>
      </c>
    </row>
    <row r="2129" spans="8:8" x14ac:dyDescent="0.25">
      <c r="H2129" t="s">
        <v>22518</v>
      </c>
    </row>
    <row r="2130" spans="8:8" x14ac:dyDescent="0.25">
      <c r="H2130" t="s">
        <v>22519</v>
      </c>
    </row>
    <row r="2131" spans="8:8" x14ac:dyDescent="0.25">
      <c r="H2131" t="s">
        <v>22520</v>
      </c>
    </row>
    <row r="2132" spans="8:8" x14ac:dyDescent="0.25">
      <c r="H2132" t="s">
        <v>22521</v>
      </c>
    </row>
    <row r="2133" spans="8:8" x14ac:dyDescent="0.25">
      <c r="H2133" t="s">
        <v>22522</v>
      </c>
    </row>
    <row r="2134" spans="8:8" x14ac:dyDescent="0.25">
      <c r="H2134" t="s">
        <v>22523</v>
      </c>
    </row>
    <row r="2135" spans="8:8" x14ac:dyDescent="0.25">
      <c r="H2135" t="s">
        <v>22524</v>
      </c>
    </row>
    <row r="2136" spans="8:8" x14ac:dyDescent="0.25">
      <c r="H2136" t="s">
        <v>22525</v>
      </c>
    </row>
    <row r="2137" spans="8:8" x14ac:dyDescent="0.25">
      <c r="H2137" t="s">
        <v>22526</v>
      </c>
    </row>
    <row r="2138" spans="8:8" x14ac:dyDescent="0.25">
      <c r="H2138" t="s">
        <v>22527</v>
      </c>
    </row>
    <row r="2139" spans="8:8" x14ac:dyDescent="0.25">
      <c r="H2139" t="s">
        <v>22528</v>
      </c>
    </row>
    <row r="2140" spans="8:8" x14ac:dyDescent="0.25">
      <c r="H2140" t="s">
        <v>22529</v>
      </c>
    </row>
    <row r="2141" spans="8:8" x14ac:dyDescent="0.25">
      <c r="H2141" t="s">
        <v>22530</v>
      </c>
    </row>
    <row r="2142" spans="8:8" x14ac:dyDescent="0.25">
      <c r="H2142" t="s">
        <v>22531</v>
      </c>
    </row>
    <row r="2143" spans="8:8" x14ac:dyDescent="0.25">
      <c r="H2143" t="s">
        <v>22532</v>
      </c>
    </row>
    <row r="2144" spans="8:8" x14ac:dyDescent="0.25">
      <c r="H2144" t="s">
        <v>22533</v>
      </c>
    </row>
    <row r="2145" spans="8:8" x14ac:dyDescent="0.25">
      <c r="H2145" t="s">
        <v>22534</v>
      </c>
    </row>
    <row r="2146" spans="8:8" x14ac:dyDescent="0.25">
      <c r="H2146" t="s">
        <v>22535</v>
      </c>
    </row>
    <row r="2147" spans="8:8" x14ac:dyDescent="0.25">
      <c r="H2147" t="s">
        <v>22536</v>
      </c>
    </row>
    <row r="2148" spans="8:8" x14ac:dyDescent="0.25">
      <c r="H2148" t="s">
        <v>22537</v>
      </c>
    </row>
    <row r="2149" spans="8:8" x14ac:dyDescent="0.25">
      <c r="H2149" t="s">
        <v>22538</v>
      </c>
    </row>
    <row r="2150" spans="8:8" x14ac:dyDescent="0.25">
      <c r="H2150" t="s">
        <v>22539</v>
      </c>
    </row>
    <row r="2151" spans="8:8" x14ac:dyDescent="0.25">
      <c r="H2151" t="s">
        <v>22540</v>
      </c>
    </row>
    <row r="2152" spans="8:8" x14ac:dyDescent="0.25">
      <c r="H2152" t="s">
        <v>22541</v>
      </c>
    </row>
    <row r="2153" spans="8:8" x14ac:dyDescent="0.25">
      <c r="H2153" t="s">
        <v>22542</v>
      </c>
    </row>
    <row r="2154" spans="8:8" x14ac:dyDescent="0.25">
      <c r="H2154" t="s">
        <v>22543</v>
      </c>
    </row>
    <row r="2155" spans="8:8" x14ac:dyDescent="0.25">
      <c r="H2155" t="s">
        <v>22544</v>
      </c>
    </row>
    <row r="2156" spans="8:8" x14ac:dyDescent="0.25">
      <c r="H2156" t="s">
        <v>22545</v>
      </c>
    </row>
    <row r="2157" spans="8:8" x14ac:dyDescent="0.25">
      <c r="H2157" t="s">
        <v>22546</v>
      </c>
    </row>
    <row r="2158" spans="8:8" x14ac:dyDescent="0.25">
      <c r="H2158" t="s">
        <v>22547</v>
      </c>
    </row>
    <row r="2159" spans="8:8" x14ac:dyDescent="0.25">
      <c r="H2159" t="s">
        <v>22548</v>
      </c>
    </row>
    <row r="2160" spans="8:8" x14ac:dyDescent="0.25">
      <c r="H2160" t="s">
        <v>22549</v>
      </c>
    </row>
    <row r="2161" spans="8:8" x14ac:dyDescent="0.25">
      <c r="H2161" t="s">
        <v>22550</v>
      </c>
    </row>
    <row r="2162" spans="8:8" x14ac:dyDescent="0.25">
      <c r="H2162" t="s">
        <v>22551</v>
      </c>
    </row>
    <row r="2163" spans="8:8" x14ac:dyDescent="0.25">
      <c r="H2163" t="s">
        <v>22552</v>
      </c>
    </row>
    <row r="2164" spans="8:8" x14ac:dyDescent="0.25">
      <c r="H2164" t="s">
        <v>22553</v>
      </c>
    </row>
    <row r="2165" spans="8:8" x14ac:dyDescent="0.25">
      <c r="H2165" t="s">
        <v>22554</v>
      </c>
    </row>
    <row r="2166" spans="8:8" x14ac:dyDescent="0.25">
      <c r="H2166" t="s">
        <v>22555</v>
      </c>
    </row>
    <row r="2167" spans="8:8" x14ac:dyDescent="0.25">
      <c r="H2167" t="s">
        <v>22556</v>
      </c>
    </row>
    <row r="2168" spans="8:8" x14ac:dyDescent="0.25">
      <c r="H2168" t="s">
        <v>22557</v>
      </c>
    </row>
    <row r="2169" spans="8:8" x14ac:dyDescent="0.25">
      <c r="H2169" t="s">
        <v>22558</v>
      </c>
    </row>
    <row r="2170" spans="8:8" x14ac:dyDescent="0.25">
      <c r="H2170" t="s">
        <v>22559</v>
      </c>
    </row>
    <row r="2171" spans="8:8" x14ac:dyDescent="0.25">
      <c r="H2171" t="s">
        <v>22560</v>
      </c>
    </row>
    <row r="2172" spans="8:8" x14ac:dyDescent="0.25">
      <c r="H2172" t="s">
        <v>22561</v>
      </c>
    </row>
    <row r="2173" spans="8:8" x14ac:dyDescent="0.25">
      <c r="H2173" t="s">
        <v>22562</v>
      </c>
    </row>
    <row r="2174" spans="8:8" x14ac:dyDescent="0.25">
      <c r="H2174" t="s">
        <v>22563</v>
      </c>
    </row>
    <row r="2175" spans="8:8" x14ac:dyDescent="0.25">
      <c r="H2175" t="s">
        <v>22564</v>
      </c>
    </row>
    <row r="2176" spans="8:8" x14ac:dyDescent="0.25">
      <c r="H2176" t="s">
        <v>22565</v>
      </c>
    </row>
    <row r="2177" spans="8:8" x14ac:dyDescent="0.25">
      <c r="H2177" t="s">
        <v>22566</v>
      </c>
    </row>
    <row r="2178" spans="8:8" x14ac:dyDescent="0.25">
      <c r="H2178" t="s">
        <v>22567</v>
      </c>
    </row>
    <row r="2179" spans="8:8" x14ac:dyDescent="0.25">
      <c r="H2179" t="s">
        <v>22568</v>
      </c>
    </row>
    <row r="2180" spans="8:8" x14ac:dyDescent="0.25">
      <c r="H2180" t="s">
        <v>22569</v>
      </c>
    </row>
    <row r="2181" spans="8:8" x14ac:dyDescent="0.25">
      <c r="H2181" t="s">
        <v>22570</v>
      </c>
    </row>
    <row r="2182" spans="8:8" x14ac:dyDescent="0.25">
      <c r="H2182" t="s">
        <v>22571</v>
      </c>
    </row>
    <row r="2183" spans="8:8" x14ac:dyDescent="0.25">
      <c r="H2183" t="s">
        <v>22572</v>
      </c>
    </row>
    <row r="2184" spans="8:8" x14ac:dyDescent="0.25">
      <c r="H2184" t="s">
        <v>22573</v>
      </c>
    </row>
    <row r="2185" spans="8:8" x14ac:dyDescent="0.25">
      <c r="H2185" t="s">
        <v>22574</v>
      </c>
    </row>
    <row r="2186" spans="8:8" x14ac:dyDescent="0.25">
      <c r="H2186" t="s">
        <v>22575</v>
      </c>
    </row>
    <row r="2187" spans="8:8" x14ac:dyDescent="0.25">
      <c r="H2187" t="s">
        <v>22576</v>
      </c>
    </row>
    <row r="2188" spans="8:8" x14ac:dyDescent="0.25">
      <c r="H2188" t="s">
        <v>22577</v>
      </c>
    </row>
    <row r="2189" spans="8:8" x14ac:dyDescent="0.25">
      <c r="H2189" t="s">
        <v>22578</v>
      </c>
    </row>
    <row r="2190" spans="8:8" x14ac:dyDescent="0.25">
      <c r="H2190" t="s">
        <v>22579</v>
      </c>
    </row>
    <row r="2191" spans="8:8" x14ac:dyDescent="0.25">
      <c r="H2191" t="s">
        <v>22580</v>
      </c>
    </row>
    <row r="2192" spans="8:8" x14ac:dyDescent="0.25">
      <c r="H2192" t="s">
        <v>22581</v>
      </c>
    </row>
    <row r="2193" spans="8:8" x14ac:dyDescent="0.25">
      <c r="H2193" t="s">
        <v>22582</v>
      </c>
    </row>
    <row r="2194" spans="8:8" x14ac:dyDescent="0.25">
      <c r="H2194" t="s">
        <v>22583</v>
      </c>
    </row>
    <row r="2195" spans="8:8" x14ac:dyDescent="0.25">
      <c r="H2195" t="s">
        <v>22584</v>
      </c>
    </row>
    <row r="2196" spans="8:8" x14ac:dyDescent="0.25">
      <c r="H2196" t="s">
        <v>22585</v>
      </c>
    </row>
    <row r="2197" spans="8:8" x14ac:dyDescent="0.25">
      <c r="H2197" t="s">
        <v>22586</v>
      </c>
    </row>
    <row r="2198" spans="8:8" x14ac:dyDescent="0.25">
      <c r="H2198" t="s">
        <v>22587</v>
      </c>
    </row>
    <row r="2199" spans="8:8" x14ac:dyDescent="0.25">
      <c r="H2199" t="s">
        <v>22588</v>
      </c>
    </row>
    <row r="2200" spans="8:8" x14ac:dyDescent="0.25">
      <c r="H2200" t="s">
        <v>22589</v>
      </c>
    </row>
    <row r="2201" spans="8:8" x14ac:dyDescent="0.25">
      <c r="H2201" t="s">
        <v>22590</v>
      </c>
    </row>
    <row r="2202" spans="8:8" x14ac:dyDescent="0.25">
      <c r="H2202" t="s">
        <v>22591</v>
      </c>
    </row>
    <row r="2203" spans="8:8" x14ac:dyDescent="0.25">
      <c r="H2203" t="s">
        <v>22592</v>
      </c>
    </row>
    <row r="2204" spans="8:8" x14ac:dyDescent="0.25">
      <c r="H2204" t="s">
        <v>22593</v>
      </c>
    </row>
    <row r="2205" spans="8:8" x14ac:dyDescent="0.25">
      <c r="H2205" t="s">
        <v>22594</v>
      </c>
    </row>
    <row r="2206" spans="8:8" x14ac:dyDescent="0.25">
      <c r="H2206" t="s">
        <v>22595</v>
      </c>
    </row>
    <row r="2207" spans="8:8" x14ac:dyDescent="0.25">
      <c r="H2207" t="s">
        <v>22596</v>
      </c>
    </row>
    <row r="2208" spans="8:8" x14ac:dyDescent="0.25">
      <c r="H2208" t="s">
        <v>22597</v>
      </c>
    </row>
    <row r="2209" spans="8:8" x14ac:dyDescent="0.25">
      <c r="H2209" t="s">
        <v>22598</v>
      </c>
    </row>
    <row r="2210" spans="8:8" x14ac:dyDescent="0.25">
      <c r="H2210" t="s">
        <v>22599</v>
      </c>
    </row>
    <row r="2211" spans="8:8" x14ac:dyDescent="0.25">
      <c r="H2211" t="s">
        <v>22600</v>
      </c>
    </row>
    <row r="2212" spans="8:8" x14ac:dyDescent="0.25">
      <c r="H2212" t="s">
        <v>22601</v>
      </c>
    </row>
    <row r="2213" spans="8:8" x14ac:dyDescent="0.25">
      <c r="H2213" t="s">
        <v>22602</v>
      </c>
    </row>
    <row r="2214" spans="8:8" x14ac:dyDescent="0.25">
      <c r="H2214" t="s">
        <v>22603</v>
      </c>
    </row>
    <row r="2215" spans="8:8" x14ac:dyDescent="0.25">
      <c r="H2215" t="s">
        <v>22604</v>
      </c>
    </row>
    <row r="2216" spans="8:8" x14ac:dyDescent="0.25">
      <c r="H2216" t="s">
        <v>22605</v>
      </c>
    </row>
    <row r="2217" spans="8:8" x14ac:dyDescent="0.25">
      <c r="H2217" t="s">
        <v>22606</v>
      </c>
    </row>
    <row r="2218" spans="8:8" x14ac:dyDescent="0.25">
      <c r="H2218" t="s">
        <v>22607</v>
      </c>
    </row>
    <row r="2219" spans="8:8" x14ac:dyDescent="0.25">
      <c r="H2219" t="s">
        <v>22608</v>
      </c>
    </row>
    <row r="2220" spans="8:8" x14ac:dyDescent="0.25">
      <c r="H2220" t="s">
        <v>22609</v>
      </c>
    </row>
    <row r="2221" spans="8:8" x14ac:dyDescent="0.25">
      <c r="H2221" t="s">
        <v>22610</v>
      </c>
    </row>
    <row r="2222" spans="8:8" x14ac:dyDescent="0.25">
      <c r="H2222" t="s">
        <v>22611</v>
      </c>
    </row>
    <row r="2223" spans="8:8" x14ac:dyDescent="0.25">
      <c r="H2223" t="s">
        <v>22612</v>
      </c>
    </row>
    <row r="2224" spans="8:8" x14ac:dyDescent="0.25">
      <c r="H2224" t="s">
        <v>22613</v>
      </c>
    </row>
    <row r="2225" spans="8:8" x14ac:dyDescent="0.25">
      <c r="H2225" t="s">
        <v>22614</v>
      </c>
    </row>
    <row r="2226" spans="8:8" x14ac:dyDescent="0.25">
      <c r="H2226" t="s">
        <v>22615</v>
      </c>
    </row>
    <row r="2227" spans="8:8" x14ac:dyDescent="0.25">
      <c r="H2227" t="s">
        <v>22616</v>
      </c>
    </row>
    <row r="2228" spans="8:8" x14ac:dyDescent="0.25">
      <c r="H2228" t="s">
        <v>22617</v>
      </c>
    </row>
    <row r="2229" spans="8:8" x14ac:dyDescent="0.25">
      <c r="H2229" t="s">
        <v>22618</v>
      </c>
    </row>
    <row r="2230" spans="8:8" x14ac:dyDescent="0.25">
      <c r="H2230" t="s">
        <v>22619</v>
      </c>
    </row>
    <row r="2231" spans="8:8" x14ac:dyDescent="0.25">
      <c r="H2231" t="s">
        <v>22620</v>
      </c>
    </row>
    <row r="2232" spans="8:8" x14ac:dyDescent="0.25">
      <c r="H2232" t="s">
        <v>22621</v>
      </c>
    </row>
    <row r="2233" spans="8:8" x14ac:dyDescent="0.25">
      <c r="H2233" t="s">
        <v>22622</v>
      </c>
    </row>
    <row r="2234" spans="8:8" x14ac:dyDescent="0.25">
      <c r="H2234" t="s">
        <v>22623</v>
      </c>
    </row>
    <row r="2235" spans="8:8" x14ac:dyDescent="0.25">
      <c r="H2235" t="s">
        <v>22624</v>
      </c>
    </row>
    <row r="2236" spans="8:8" x14ac:dyDescent="0.25">
      <c r="H2236" t="s">
        <v>22625</v>
      </c>
    </row>
    <row r="2237" spans="8:8" x14ac:dyDescent="0.25">
      <c r="H2237" t="s">
        <v>22626</v>
      </c>
    </row>
    <row r="2238" spans="8:8" x14ac:dyDescent="0.25">
      <c r="H2238" t="s">
        <v>22627</v>
      </c>
    </row>
    <row r="2239" spans="8:8" x14ac:dyDescent="0.25">
      <c r="H2239" t="s">
        <v>22628</v>
      </c>
    </row>
    <row r="2240" spans="8:8" x14ac:dyDescent="0.25">
      <c r="H2240" t="s">
        <v>22629</v>
      </c>
    </row>
    <row r="2241" spans="8:8" x14ac:dyDescent="0.25">
      <c r="H2241" t="s">
        <v>22630</v>
      </c>
    </row>
    <row r="2242" spans="8:8" x14ac:dyDescent="0.25">
      <c r="H2242" t="s">
        <v>22631</v>
      </c>
    </row>
    <row r="2243" spans="8:8" x14ac:dyDescent="0.25">
      <c r="H2243" t="s">
        <v>22632</v>
      </c>
    </row>
    <row r="2244" spans="8:8" x14ac:dyDescent="0.25">
      <c r="H2244" t="s">
        <v>22633</v>
      </c>
    </row>
    <row r="2245" spans="8:8" x14ac:dyDescent="0.25">
      <c r="H2245" t="s">
        <v>22634</v>
      </c>
    </row>
    <row r="2246" spans="8:8" x14ac:dyDescent="0.25">
      <c r="H2246" t="s">
        <v>22635</v>
      </c>
    </row>
    <row r="2247" spans="8:8" x14ac:dyDescent="0.25">
      <c r="H2247" t="s">
        <v>22636</v>
      </c>
    </row>
    <row r="2248" spans="8:8" x14ac:dyDescent="0.25">
      <c r="H2248" t="s">
        <v>22637</v>
      </c>
    </row>
    <row r="2249" spans="8:8" x14ac:dyDescent="0.25">
      <c r="H2249" t="s">
        <v>22638</v>
      </c>
    </row>
    <row r="2250" spans="8:8" x14ac:dyDescent="0.25">
      <c r="H2250" t="s">
        <v>22639</v>
      </c>
    </row>
    <row r="2251" spans="8:8" x14ac:dyDescent="0.25">
      <c r="H2251" t="s">
        <v>22640</v>
      </c>
    </row>
    <row r="2252" spans="8:8" x14ac:dyDescent="0.25">
      <c r="H2252" t="s">
        <v>22641</v>
      </c>
    </row>
    <row r="2253" spans="8:8" x14ac:dyDescent="0.25">
      <c r="H2253" t="s">
        <v>22642</v>
      </c>
    </row>
    <row r="2254" spans="8:8" x14ac:dyDescent="0.25">
      <c r="H2254" t="s">
        <v>22643</v>
      </c>
    </row>
    <row r="2255" spans="8:8" x14ac:dyDescent="0.25">
      <c r="H2255" t="s">
        <v>22644</v>
      </c>
    </row>
    <row r="2256" spans="8:8" x14ac:dyDescent="0.25">
      <c r="H2256" t="s">
        <v>22645</v>
      </c>
    </row>
    <row r="2257" spans="8:8" x14ac:dyDescent="0.25">
      <c r="H2257" t="s">
        <v>22646</v>
      </c>
    </row>
    <row r="2258" spans="8:8" x14ac:dyDescent="0.25">
      <c r="H2258" t="s">
        <v>22647</v>
      </c>
    </row>
    <row r="2259" spans="8:8" x14ac:dyDescent="0.25">
      <c r="H2259" t="s">
        <v>22648</v>
      </c>
    </row>
    <row r="2260" spans="8:8" x14ac:dyDescent="0.25">
      <c r="H2260" t="s">
        <v>22649</v>
      </c>
    </row>
    <row r="2261" spans="8:8" x14ac:dyDescent="0.25">
      <c r="H2261" t="s">
        <v>22650</v>
      </c>
    </row>
    <row r="2262" spans="8:8" x14ac:dyDescent="0.25">
      <c r="H2262" t="s">
        <v>22651</v>
      </c>
    </row>
    <row r="2263" spans="8:8" x14ac:dyDescent="0.25">
      <c r="H2263" t="s">
        <v>22652</v>
      </c>
    </row>
    <row r="2264" spans="8:8" x14ac:dyDescent="0.25">
      <c r="H2264" t="s">
        <v>22653</v>
      </c>
    </row>
    <row r="2265" spans="8:8" x14ac:dyDescent="0.25">
      <c r="H2265" t="s">
        <v>22654</v>
      </c>
    </row>
    <row r="2266" spans="8:8" x14ac:dyDescent="0.25">
      <c r="H2266" t="s">
        <v>22655</v>
      </c>
    </row>
    <row r="2267" spans="8:8" x14ac:dyDescent="0.25">
      <c r="H2267" t="s">
        <v>22656</v>
      </c>
    </row>
    <row r="2268" spans="8:8" x14ac:dyDescent="0.25">
      <c r="H2268" t="s">
        <v>22657</v>
      </c>
    </row>
    <row r="2269" spans="8:8" x14ac:dyDescent="0.25">
      <c r="H2269" t="s">
        <v>22658</v>
      </c>
    </row>
    <row r="2270" spans="8:8" x14ac:dyDescent="0.25">
      <c r="H2270" t="s">
        <v>22659</v>
      </c>
    </row>
    <row r="2271" spans="8:8" x14ac:dyDescent="0.25">
      <c r="H2271" t="s">
        <v>22660</v>
      </c>
    </row>
    <row r="2272" spans="8:8" x14ac:dyDescent="0.25">
      <c r="H2272" t="s">
        <v>22661</v>
      </c>
    </row>
    <row r="2273" spans="8:8" x14ac:dyDescent="0.25">
      <c r="H2273" t="s">
        <v>22662</v>
      </c>
    </row>
    <row r="2274" spans="8:8" x14ac:dyDescent="0.25">
      <c r="H2274" t="s">
        <v>22663</v>
      </c>
    </row>
    <row r="2275" spans="8:8" x14ac:dyDescent="0.25">
      <c r="H2275" t="s">
        <v>22664</v>
      </c>
    </row>
    <row r="2276" spans="8:8" x14ac:dyDescent="0.25">
      <c r="H2276" t="s">
        <v>22665</v>
      </c>
    </row>
    <row r="2277" spans="8:8" x14ac:dyDescent="0.25">
      <c r="H2277" t="s">
        <v>22666</v>
      </c>
    </row>
    <row r="2278" spans="8:8" x14ac:dyDescent="0.25">
      <c r="H2278" t="s">
        <v>22667</v>
      </c>
    </row>
    <row r="2279" spans="8:8" x14ac:dyDescent="0.25">
      <c r="H2279" t="s">
        <v>22668</v>
      </c>
    </row>
    <row r="2280" spans="8:8" x14ac:dyDescent="0.25">
      <c r="H2280" t="s">
        <v>22669</v>
      </c>
    </row>
    <row r="2281" spans="8:8" x14ac:dyDescent="0.25">
      <c r="H2281" t="s">
        <v>22670</v>
      </c>
    </row>
    <row r="2282" spans="8:8" x14ac:dyDescent="0.25">
      <c r="H2282" t="s">
        <v>22671</v>
      </c>
    </row>
    <row r="2283" spans="8:8" x14ac:dyDescent="0.25">
      <c r="H2283" t="s">
        <v>22672</v>
      </c>
    </row>
    <row r="2284" spans="8:8" x14ac:dyDescent="0.25">
      <c r="H2284" t="s">
        <v>22673</v>
      </c>
    </row>
    <row r="2285" spans="8:8" x14ac:dyDescent="0.25">
      <c r="H2285" t="s">
        <v>22674</v>
      </c>
    </row>
    <row r="2286" spans="8:8" x14ac:dyDescent="0.25">
      <c r="H2286" t="s">
        <v>22675</v>
      </c>
    </row>
    <row r="2287" spans="8:8" x14ac:dyDescent="0.25">
      <c r="H2287" t="s">
        <v>22676</v>
      </c>
    </row>
    <row r="2288" spans="8:8" x14ac:dyDescent="0.25">
      <c r="H2288" t="s">
        <v>22677</v>
      </c>
    </row>
    <row r="2289" spans="8:8" x14ac:dyDescent="0.25">
      <c r="H2289" t="s">
        <v>22678</v>
      </c>
    </row>
    <row r="2290" spans="8:8" x14ac:dyDescent="0.25">
      <c r="H2290" t="s">
        <v>22679</v>
      </c>
    </row>
    <row r="2291" spans="8:8" x14ac:dyDescent="0.25">
      <c r="H2291" t="s">
        <v>22680</v>
      </c>
    </row>
    <row r="2292" spans="8:8" x14ac:dyDescent="0.25">
      <c r="H2292" t="s">
        <v>22681</v>
      </c>
    </row>
    <row r="2293" spans="8:8" x14ac:dyDescent="0.25">
      <c r="H2293" t="s">
        <v>22682</v>
      </c>
    </row>
    <row r="2294" spans="8:8" x14ac:dyDescent="0.25">
      <c r="H2294" t="s">
        <v>22683</v>
      </c>
    </row>
    <row r="2295" spans="8:8" x14ac:dyDescent="0.25">
      <c r="H2295" t="s">
        <v>22684</v>
      </c>
    </row>
    <row r="2296" spans="8:8" x14ac:dyDescent="0.25">
      <c r="H2296" t="s">
        <v>22685</v>
      </c>
    </row>
    <row r="2297" spans="8:8" x14ac:dyDescent="0.25">
      <c r="H2297" t="s">
        <v>22686</v>
      </c>
    </row>
    <row r="2298" spans="8:8" x14ac:dyDescent="0.25">
      <c r="H2298" t="s">
        <v>22687</v>
      </c>
    </row>
    <row r="2299" spans="8:8" x14ac:dyDescent="0.25">
      <c r="H2299" t="s">
        <v>22688</v>
      </c>
    </row>
    <row r="2300" spans="8:8" x14ac:dyDescent="0.25">
      <c r="H2300" t="s">
        <v>22689</v>
      </c>
    </row>
    <row r="2301" spans="8:8" x14ac:dyDescent="0.25">
      <c r="H2301" t="s">
        <v>22690</v>
      </c>
    </row>
    <row r="2302" spans="8:8" x14ac:dyDescent="0.25">
      <c r="H2302" t="s">
        <v>22691</v>
      </c>
    </row>
    <row r="2303" spans="8:8" x14ac:dyDescent="0.25">
      <c r="H2303" t="s">
        <v>22692</v>
      </c>
    </row>
    <row r="2304" spans="8:8" x14ac:dyDescent="0.25">
      <c r="H2304" t="s">
        <v>22693</v>
      </c>
    </row>
    <row r="2305" spans="8:8" x14ac:dyDescent="0.25">
      <c r="H2305" t="s">
        <v>22694</v>
      </c>
    </row>
    <row r="2306" spans="8:8" x14ac:dyDescent="0.25">
      <c r="H2306" t="s">
        <v>22695</v>
      </c>
    </row>
    <row r="2307" spans="8:8" x14ac:dyDescent="0.25">
      <c r="H2307" t="s">
        <v>22696</v>
      </c>
    </row>
    <row r="2308" spans="8:8" x14ac:dyDescent="0.25">
      <c r="H2308" t="s">
        <v>22697</v>
      </c>
    </row>
    <row r="2309" spans="8:8" x14ac:dyDescent="0.25">
      <c r="H2309" t="s">
        <v>22698</v>
      </c>
    </row>
    <row r="2310" spans="8:8" x14ac:dyDescent="0.25">
      <c r="H2310" t="s">
        <v>22699</v>
      </c>
    </row>
    <row r="2311" spans="8:8" x14ac:dyDescent="0.25">
      <c r="H2311" t="s">
        <v>22700</v>
      </c>
    </row>
    <row r="2312" spans="8:8" x14ac:dyDescent="0.25">
      <c r="H2312" t="s">
        <v>22701</v>
      </c>
    </row>
    <row r="2313" spans="8:8" x14ac:dyDescent="0.25">
      <c r="H2313" t="s">
        <v>22702</v>
      </c>
    </row>
    <row r="2314" spans="8:8" x14ac:dyDescent="0.25">
      <c r="H2314" t="s">
        <v>22703</v>
      </c>
    </row>
    <row r="2315" spans="8:8" x14ac:dyDescent="0.25">
      <c r="H2315" t="s">
        <v>22704</v>
      </c>
    </row>
    <row r="2316" spans="8:8" x14ac:dyDescent="0.25">
      <c r="H2316" t="s">
        <v>22705</v>
      </c>
    </row>
    <row r="2317" spans="8:8" x14ac:dyDescent="0.25">
      <c r="H2317" t="s">
        <v>22706</v>
      </c>
    </row>
    <row r="2318" spans="8:8" x14ac:dyDescent="0.25">
      <c r="H2318" t="s">
        <v>22707</v>
      </c>
    </row>
    <row r="2319" spans="8:8" x14ac:dyDescent="0.25">
      <c r="H2319" t="s">
        <v>22708</v>
      </c>
    </row>
    <row r="2320" spans="8:8" x14ac:dyDescent="0.25">
      <c r="H2320" t="s">
        <v>22709</v>
      </c>
    </row>
    <row r="2321" spans="8:8" x14ac:dyDescent="0.25">
      <c r="H2321" t="s">
        <v>22710</v>
      </c>
    </row>
    <row r="2322" spans="8:8" x14ac:dyDescent="0.25">
      <c r="H2322" t="s">
        <v>22711</v>
      </c>
    </row>
    <row r="2323" spans="8:8" x14ac:dyDescent="0.25">
      <c r="H2323" t="s">
        <v>22712</v>
      </c>
    </row>
    <row r="2324" spans="8:8" x14ac:dyDescent="0.25">
      <c r="H2324" t="s">
        <v>22713</v>
      </c>
    </row>
    <row r="2325" spans="8:8" x14ac:dyDescent="0.25">
      <c r="H2325" t="s">
        <v>22714</v>
      </c>
    </row>
    <row r="2326" spans="8:8" x14ac:dyDescent="0.25">
      <c r="H2326" t="s">
        <v>22715</v>
      </c>
    </row>
    <row r="2327" spans="8:8" x14ac:dyDescent="0.25">
      <c r="H2327" t="s">
        <v>22716</v>
      </c>
    </row>
    <row r="2328" spans="8:8" x14ac:dyDescent="0.25">
      <c r="H2328" t="s">
        <v>22717</v>
      </c>
    </row>
    <row r="2329" spans="8:8" x14ac:dyDescent="0.25">
      <c r="H2329" t="s">
        <v>22718</v>
      </c>
    </row>
    <row r="2330" spans="8:8" x14ac:dyDescent="0.25">
      <c r="H2330" t="s">
        <v>22719</v>
      </c>
    </row>
    <row r="2331" spans="8:8" x14ac:dyDescent="0.25">
      <c r="H2331" t="s">
        <v>22720</v>
      </c>
    </row>
    <row r="2332" spans="8:8" x14ac:dyDescent="0.25">
      <c r="H2332" t="s">
        <v>22721</v>
      </c>
    </row>
    <row r="2333" spans="8:8" x14ac:dyDescent="0.25">
      <c r="H2333" t="s">
        <v>22722</v>
      </c>
    </row>
    <row r="2334" spans="8:8" x14ac:dyDescent="0.25">
      <c r="H2334" t="s">
        <v>22723</v>
      </c>
    </row>
    <row r="2335" spans="8:8" x14ac:dyDescent="0.25">
      <c r="H2335" t="s">
        <v>22724</v>
      </c>
    </row>
    <row r="2336" spans="8:8" x14ac:dyDescent="0.25">
      <c r="H2336" t="s">
        <v>22725</v>
      </c>
    </row>
    <row r="2337" spans="8:8" x14ac:dyDescent="0.25">
      <c r="H2337" t="s">
        <v>22726</v>
      </c>
    </row>
    <row r="2338" spans="8:8" x14ac:dyDescent="0.25">
      <c r="H2338" t="s">
        <v>22727</v>
      </c>
    </row>
    <row r="2339" spans="8:8" x14ac:dyDescent="0.25">
      <c r="H2339" t="s">
        <v>22728</v>
      </c>
    </row>
    <row r="2340" spans="8:8" x14ac:dyDescent="0.25">
      <c r="H2340" t="s">
        <v>22729</v>
      </c>
    </row>
    <row r="2341" spans="8:8" x14ac:dyDescent="0.25">
      <c r="H2341" t="s">
        <v>22730</v>
      </c>
    </row>
    <row r="2342" spans="8:8" x14ac:dyDescent="0.25">
      <c r="H2342" t="s">
        <v>22731</v>
      </c>
    </row>
    <row r="2343" spans="8:8" x14ac:dyDescent="0.25">
      <c r="H2343" t="s">
        <v>22732</v>
      </c>
    </row>
    <row r="2344" spans="8:8" x14ac:dyDescent="0.25">
      <c r="H2344" t="s">
        <v>22733</v>
      </c>
    </row>
    <row r="2345" spans="8:8" x14ac:dyDescent="0.25">
      <c r="H2345" t="s">
        <v>22734</v>
      </c>
    </row>
    <row r="2346" spans="8:8" x14ac:dyDescent="0.25">
      <c r="H2346" t="s">
        <v>22735</v>
      </c>
    </row>
    <row r="2347" spans="8:8" x14ac:dyDescent="0.25">
      <c r="H2347" t="s">
        <v>22736</v>
      </c>
    </row>
    <row r="2348" spans="8:8" x14ac:dyDescent="0.25">
      <c r="H2348" t="s">
        <v>22737</v>
      </c>
    </row>
    <row r="2349" spans="8:8" x14ac:dyDescent="0.25">
      <c r="H2349" t="s">
        <v>22738</v>
      </c>
    </row>
    <row r="2350" spans="8:8" x14ac:dyDescent="0.25">
      <c r="H2350" t="s">
        <v>22739</v>
      </c>
    </row>
    <row r="2351" spans="8:8" x14ac:dyDescent="0.25">
      <c r="H2351" t="s">
        <v>22740</v>
      </c>
    </row>
    <row r="2352" spans="8:8" x14ac:dyDescent="0.25">
      <c r="H2352" t="s">
        <v>22741</v>
      </c>
    </row>
    <row r="2353" spans="8:8" x14ac:dyDescent="0.25">
      <c r="H2353" t="s">
        <v>22742</v>
      </c>
    </row>
    <row r="2354" spans="8:8" x14ac:dyDescent="0.25">
      <c r="H2354" t="s">
        <v>22743</v>
      </c>
    </row>
    <row r="2355" spans="8:8" x14ac:dyDescent="0.25">
      <c r="H2355" t="s">
        <v>22744</v>
      </c>
    </row>
    <row r="2356" spans="8:8" x14ac:dyDescent="0.25">
      <c r="H2356" t="s">
        <v>22745</v>
      </c>
    </row>
    <row r="2357" spans="8:8" x14ac:dyDescent="0.25">
      <c r="H2357" t="s">
        <v>22746</v>
      </c>
    </row>
    <row r="2358" spans="8:8" x14ac:dyDescent="0.25">
      <c r="H2358" t="s">
        <v>22747</v>
      </c>
    </row>
    <row r="2359" spans="8:8" x14ac:dyDescent="0.25">
      <c r="H2359" t="s">
        <v>22748</v>
      </c>
    </row>
    <row r="2360" spans="8:8" x14ac:dyDescent="0.25">
      <c r="H2360" t="s">
        <v>22749</v>
      </c>
    </row>
    <row r="2361" spans="8:8" x14ac:dyDescent="0.25">
      <c r="H2361" t="s">
        <v>22750</v>
      </c>
    </row>
    <row r="2362" spans="8:8" x14ac:dyDescent="0.25">
      <c r="H2362" t="s">
        <v>22751</v>
      </c>
    </row>
    <row r="2363" spans="8:8" x14ac:dyDescent="0.25">
      <c r="H2363" t="s">
        <v>22752</v>
      </c>
    </row>
    <row r="2364" spans="8:8" x14ac:dyDescent="0.25">
      <c r="H2364" t="s">
        <v>22753</v>
      </c>
    </row>
    <row r="2365" spans="8:8" x14ac:dyDescent="0.25">
      <c r="H2365" t="s">
        <v>22754</v>
      </c>
    </row>
    <row r="2366" spans="8:8" x14ac:dyDescent="0.25">
      <c r="H2366" t="s">
        <v>22755</v>
      </c>
    </row>
    <row r="2367" spans="8:8" x14ac:dyDescent="0.25">
      <c r="H2367" t="s">
        <v>22756</v>
      </c>
    </row>
    <row r="2368" spans="8:8" x14ac:dyDescent="0.25">
      <c r="H2368" t="s">
        <v>22757</v>
      </c>
    </row>
    <row r="2369" spans="8:8" x14ac:dyDescent="0.25">
      <c r="H2369" t="s">
        <v>22758</v>
      </c>
    </row>
    <row r="2370" spans="8:8" x14ac:dyDescent="0.25">
      <c r="H2370" t="s">
        <v>22759</v>
      </c>
    </row>
    <row r="2371" spans="8:8" x14ac:dyDescent="0.25">
      <c r="H2371" t="s">
        <v>22760</v>
      </c>
    </row>
    <row r="2372" spans="8:8" x14ac:dyDescent="0.25">
      <c r="H2372" t="s">
        <v>22761</v>
      </c>
    </row>
    <row r="2373" spans="8:8" x14ac:dyDescent="0.25">
      <c r="H2373" t="s">
        <v>22762</v>
      </c>
    </row>
    <row r="2374" spans="8:8" x14ac:dyDescent="0.25">
      <c r="H2374" t="s">
        <v>22763</v>
      </c>
    </row>
    <row r="2375" spans="8:8" x14ac:dyDescent="0.25">
      <c r="H2375" t="s">
        <v>22764</v>
      </c>
    </row>
    <row r="2376" spans="8:8" x14ac:dyDescent="0.25">
      <c r="H2376" t="s">
        <v>22765</v>
      </c>
    </row>
    <row r="2377" spans="8:8" x14ac:dyDescent="0.25">
      <c r="H2377" t="s">
        <v>22766</v>
      </c>
    </row>
    <row r="2378" spans="8:8" x14ac:dyDescent="0.25">
      <c r="H2378" t="s">
        <v>22767</v>
      </c>
    </row>
    <row r="2379" spans="8:8" x14ac:dyDescent="0.25">
      <c r="H2379" t="s">
        <v>22768</v>
      </c>
    </row>
    <row r="2380" spans="8:8" x14ac:dyDescent="0.25">
      <c r="H2380" t="s">
        <v>22769</v>
      </c>
    </row>
    <row r="2381" spans="8:8" x14ac:dyDescent="0.25">
      <c r="H2381" t="s">
        <v>22770</v>
      </c>
    </row>
    <row r="2382" spans="8:8" x14ac:dyDescent="0.25">
      <c r="H2382" t="s">
        <v>22771</v>
      </c>
    </row>
    <row r="2383" spans="8:8" x14ac:dyDescent="0.25">
      <c r="H2383" t="s">
        <v>22772</v>
      </c>
    </row>
    <row r="2384" spans="8:8" x14ac:dyDescent="0.25">
      <c r="H2384" t="s">
        <v>22773</v>
      </c>
    </row>
    <row r="2385" spans="8:8" x14ac:dyDescent="0.25">
      <c r="H2385" t="s">
        <v>22774</v>
      </c>
    </row>
    <row r="2386" spans="8:8" x14ac:dyDescent="0.25">
      <c r="H2386" t="s">
        <v>22775</v>
      </c>
    </row>
    <row r="2387" spans="8:8" x14ac:dyDescent="0.25">
      <c r="H2387" t="s">
        <v>22776</v>
      </c>
    </row>
    <row r="2388" spans="8:8" x14ac:dyDescent="0.25">
      <c r="H2388" t="s">
        <v>22777</v>
      </c>
    </row>
    <row r="2389" spans="8:8" x14ac:dyDescent="0.25">
      <c r="H2389" t="s">
        <v>22778</v>
      </c>
    </row>
    <row r="2390" spans="8:8" x14ac:dyDescent="0.25">
      <c r="H2390" t="s">
        <v>22779</v>
      </c>
    </row>
    <row r="2391" spans="8:8" x14ac:dyDescent="0.25">
      <c r="H2391" t="s">
        <v>22780</v>
      </c>
    </row>
    <row r="2392" spans="8:8" x14ac:dyDescent="0.25">
      <c r="H2392" t="s">
        <v>22781</v>
      </c>
    </row>
    <row r="2393" spans="8:8" x14ac:dyDescent="0.25">
      <c r="H2393" t="s">
        <v>22782</v>
      </c>
    </row>
    <row r="2394" spans="8:8" x14ac:dyDescent="0.25">
      <c r="H2394" t="s">
        <v>22783</v>
      </c>
    </row>
    <row r="2395" spans="8:8" x14ac:dyDescent="0.25">
      <c r="H2395" t="s">
        <v>22784</v>
      </c>
    </row>
    <row r="2396" spans="8:8" x14ac:dyDescent="0.25">
      <c r="H2396" t="s">
        <v>22785</v>
      </c>
    </row>
    <row r="2397" spans="8:8" x14ac:dyDescent="0.25">
      <c r="H2397" t="s">
        <v>22786</v>
      </c>
    </row>
    <row r="2398" spans="8:8" x14ac:dyDescent="0.25">
      <c r="H2398" t="s">
        <v>22787</v>
      </c>
    </row>
    <row r="2399" spans="8:8" x14ac:dyDescent="0.25">
      <c r="H2399" t="s">
        <v>22788</v>
      </c>
    </row>
    <row r="2400" spans="8:8" x14ac:dyDescent="0.25">
      <c r="H2400" t="s">
        <v>22789</v>
      </c>
    </row>
    <row r="2401" spans="8:8" x14ac:dyDescent="0.25">
      <c r="H2401" t="s">
        <v>22790</v>
      </c>
    </row>
    <row r="2402" spans="8:8" x14ac:dyDescent="0.25">
      <c r="H2402" t="s">
        <v>22791</v>
      </c>
    </row>
    <row r="2403" spans="8:8" x14ac:dyDescent="0.25">
      <c r="H2403" t="s">
        <v>22792</v>
      </c>
    </row>
    <row r="2404" spans="8:8" x14ac:dyDescent="0.25">
      <c r="H2404" t="s">
        <v>22793</v>
      </c>
    </row>
    <row r="2405" spans="8:8" x14ac:dyDescent="0.25">
      <c r="H2405" t="s">
        <v>22794</v>
      </c>
    </row>
    <row r="2406" spans="8:8" x14ac:dyDescent="0.25">
      <c r="H2406" t="s">
        <v>22795</v>
      </c>
    </row>
    <row r="2407" spans="8:8" x14ac:dyDescent="0.25">
      <c r="H2407" t="s">
        <v>22796</v>
      </c>
    </row>
    <row r="2408" spans="8:8" x14ac:dyDescent="0.25">
      <c r="H2408" t="s">
        <v>22797</v>
      </c>
    </row>
    <row r="2409" spans="8:8" x14ac:dyDescent="0.25">
      <c r="H2409" t="s">
        <v>22798</v>
      </c>
    </row>
    <row r="2410" spans="8:8" x14ac:dyDescent="0.25">
      <c r="H2410" t="s">
        <v>22799</v>
      </c>
    </row>
    <row r="2411" spans="8:8" x14ac:dyDescent="0.25">
      <c r="H2411" t="s">
        <v>22800</v>
      </c>
    </row>
    <row r="2412" spans="8:8" x14ac:dyDescent="0.25">
      <c r="H2412" t="s">
        <v>22801</v>
      </c>
    </row>
    <row r="2413" spans="8:8" x14ac:dyDescent="0.25">
      <c r="H2413" t="s">
        <v>22802</v>
      </c>
    </row>
    <row r="2414" spans="8:8" x14ac:dyDescent="0.25">
      <c r="H2414" t="s">
        <v>22803</v>
      </c>
    </row>
    <row r="2415" spans="8:8" x14ac:dyDescent="0.25">
      <c r="H2415" t="s">
        <v>22804</v>
      </c>
    </row>
    <row r="2416" spans="8:8" x14ac:dyDescent="0.25">
      <c r="H2416" t="s">
        <v>22805</v>
      </c>
    </row>
    <row r="2417" spans="8:8" x14ac:dyDescent="0.25">
      <c r="H2417" t="s">
        <v>22806</v>
      </c>
    </row>
    <row r="2418" spans="8:8" x14ac:dyDescent="0.25">
      <c r="H2418" t="s">
        <v>22807</v>
      </c>
    </row>
    <row r="2419" spans="8:8" x14ac:dyDescent="0.25">
      <c r="H2419" t="s">
        <v>22808</v>
      </c>
    </row>
    <row r="2420" spans="8:8" x14ac:dyDescent="0.25">
      <c r="H2420" t="s">
        <v>22809</v>
      </c>
    </row>
    <row r="2421" spans="8:8" x14ac:dyDescent="0.25">
      <c r="H2421" t="s">
        <v>22810</v>
      </c>
    </row>
    <row r="2422" spans="8:8" x14ac:dyDescent="0.25">
      <c r="H2422" t="s">
        <v>22811</v>
      </c>
    </row>
    <row r="2423" spans="8:8" x14ac:dyDescent="0.25">
      <c r="H2423" t="s">
        <v>22812</v>
      </c>
    </row>
    <row r="2424" spans="8:8" x14ac:dyDescent="0.25">
      <c r="H2424" t="s">
        <v>22813</v>
      </c>
    </row>
    <row r="2425" spans="8:8" x14ac:dyDescent="0.25">
      <c r="H2425" t="s">
        <v>22814</v>
      </c>
    </row>
    <row r="2426" spans="8:8" x14ac:dyDescent="0.25">
      <c r="H2426" t="s">
        <v>22815</v>
      </c>
    </row>
    <row r="2427" spans="8:8" x14ac:dyDescent="0.25">
      <c r="H2427" t="s">
        <v>22816</v>
      </c>
    </row>
    <row r="2428" spans="8:8" x14ac:dyDescent="0.25">
      <c r="H2428" t="s">
        <v>22817</v>
      </c>
    </row>
    <row r="2429" spans="8:8" x14ac:dyDescent="0.25">
      <c r="H2429" t="s">
        <v>22818</v>
      </c>
    </row>
    <row r="2430" spans="8:8" x14ac:dyDescent="0.25">
      <c r="H2430" t="s">
        <v>22819</v>
      </c>
    </row>
    <row r="2431" spans="8:8" x14ac:dyDescent="0.25">
      <c r="H2431" t="s">
        <v>22820</v>
      </c>
    </row>
    <row r="2432" spans="8:8" x14ac:dyDescent="0.25">
      <c r="H2432" t="s">
        <v>22821</v>
      </c>
    </row>
    <row r="2433" spans="8:8" x14ac:dyDescent="0.25">
      <c r="H2433" t="s">
        <v>22822</v>
      </c>
    </row>
    <row r="2434" spans="8:8" x14ac:dyDescent="0.25">
      <c r="H2434" t="s">
        <v>22823</v>
      </c>
    </row>
    <row r="2435" spans="8:8" x14ac:dyDescent="0.25">
      <c r="H2435" t="s">
        <v>22824</v>
      </c>
    </row>
    <row r="2436" spans="8:8" x14ac:dyDescent="0.25">
      <c r="H2436" t="s">
        <v>22825</v>
      </c>
    </row>
    <row r="2437" spans="8:8" x14ac:dyDescent="0.25">
      <c r="H2437" t="s">
        <v>22826</v>
      </c>
    </row>
    <row r="2438" spans="8:8" x14ac:dyDescent="0.25">
      <c r="H2438" t="s">
        <v>22827</v>
      </c>
    </row>
    <row r="2439" spans="8:8" x14ac:dyDescent="0.25">
      <c r="H2439" t="s">
        <v>22828</v>
      </c>
    </row>
    <row r="2440" spans="8:8" x14ac:dyDescent="0.25">
      <c r="H2440" t="s">
        <v>22829</v>
      </c>
    </row>
    <row r="2441" spans="8:8" x14ac:dyDescent="0.25">
      <c r="H2441" t="s">
        <v>22830</v>
      </c>
    </row>
    <row r="2442" spans="8:8" x14ac:dyDescent="0.25">
      <c r="H2442" t="s">
        <v>22831</v>
      </c>
    </row>
    <row r="2443" spans="8:8" x14ac:dyDescent="0.25">
      <c r="H2443" t="s">
        <v>22832</v>
      </c>
    </row>
    <row r="2444" spans="8:8" x14ac:dyDescent="0.25">
      <c r="H2444" t="s">
        <v>22833</v>
      </c>
    </row>
    <row r="2445" spans="8:8" x14ac:dyDescent="0.25">
      <c r="H2445" t="s">
        <v>22834</v>
      </c>
    </row>
    <row r="2446" spans="8:8" x14ac:dyDescent="0.25">
      <c r="H2446" t="s">
        <v>22835</v>
      </c>
    </row>
    <row r="2447" spans="8:8" x14ac:dyDescent="0.25">
      <c r="H2447" t="s">
        <v>22836</v>
      </c>
    </row>
    <row r="2448" spans="8:8" x14ac:dyDescent="0.25">
      <c r="H2448" t="s">
        <v>22837</v>
      </c>
    </row>
    <row r="2449" spans="8:8" x14ac:dyDescent="0.25">
      <c r="H2449" t="s">
        <v>22838</v>
      </c>
    </row>
    <row r="2450" spans="8:8" x14ac:dyDescent="0.25">
      <c r="H2450" t="s">
        <v>22839</v>
      </c>
    </row>
    <row r="2451" spans="8:8" x14ac:dyDescent="0.25">
      <c r="H2451" t="s">
        <v>22840</v>
      </c>
    </row>
    <row r="2452" spans="8:8" x14ac:dyDescent="0.25">
      <c r="H2452" t="s">
        <v>22841</v>
      </c>
    </row>
    <row r="2453" spans="8:8" x14ac:dyDescent="0.25">
      <c r="H2453" t="s">
        <v>22842</v>
      </c>
    </row>
    <row r="2454" spans="8:8" x14ac:dyDescent="0.25">
      <c r="H2454" t="s">
        <v>22843</v>
      </c>
    </row>
    <row r="2455" spans="8:8" x14ac:dyDescent="0.25">
      <c r="H2455" t="s">
        <v>22844</v>
      </c>
    </row>
    <row r="2456" spans="8:8" x14ac:dyDescent="0.25">
      <c r="H2456" t="s">
        <v>22845</v>
      </c>
    </row>
    <row r="2457" spans="8:8" x14ac:dyDescent="0.25">
      <c r="H2457" t="s">
        <v>22846</v>
      </c>
    </row>
    <row r="2458" spans="8:8" x14ac:dyDescent="0.25">
      <c r="H2458" t="s">
        <v>22847</v>
      </c>
    </row>
    <row r="2459" spans="8:8" x14ac:dyDescent="0.25">
      <c r="H2459" t="s">
        <v>22848</v>
      </c>
    </row>
    <row r="2460" spans="8:8" x14ac:dyDescent="0.25">
      <c r="H2460" t="s">
        <v>22849</v>
      </c>
    </row>
    <row r="2461" spans="8:8" x14ac:dyDescent="0.25">
      <c r="H2461" t="s">
        <v>22850</v>
      </c>
    </row>
    <row r="2462" spans="8:8" x14ac:dyDescent="0.25">
      <c r="H2462" t="s">
        <v>22851</v>
      </c>
    </row>
    <row r="2463" spans="8:8" x14ac:dyDescent="0.25">
      <c r="H2463" t="s">
        <v>22852</v>
      </c>
    </row>
    <row r="2464" spans="8:8" x14ac:dyDescent="0.25">
      <c r="H2464" t="s">
        <v>22853</v>
      </c>
    </row>
    <row r="2465" spans="8:8" x14ac:dyDescent="0.25">
      <c r="H2465" t="s">
        <v>22854</v>
      </c>
    </row>
    <row r="2466" spans="8:8" x14ac:dyDescent="0.25">
      <c r="H2466" t="s">
        <v>22855</v>
      </c>
    </row>
    <row r="2467" spans="8:8" x14ac:dyDescent="0.25">
      <c r="H2467" t="s">
        <v>22856</v>
      </c>
    </row>
    <row r="2468" spans="8:8" x14ac:dyDescent="0.25">
      <c r="H2468" t="s">
        <v>22857</v>
      </c>
    </row>
    <row r="2469" spans="8:8" x14ac:dyDescent="0.25">
      <c r="H2469" t="s">
        <v>22858</v>
      </c>
    </row>
    <row r="2470" spans="8:8" x14ac:dyDescent="0.25">
      <c r="H2470" t="s">
        <v>22859</v>
      </c>
    </row>
    <row r="2471" spans="8:8" x14ac:dyDescent="0.25">
      <c r="H2471" t="s">
        <v>22860</v>
      </c>
    </row>
    <row r="2472" spans="8:8" x14ac:dyDescent="0.25">
      <c r="H2472" t="s">
        <v>22861</v>
      </c>
    </row>
    <row r="2473" spans="8:8" x14ac:dyDescent="0.25">
      <c r="H2473" t="s">
        <v>22862</v>
      </c>
    </row>
    <row r="2474" spans="8:8" x14ac:dyDescent="0.25">
      <c r="H2474" t="s">
        <v>22863</v>
      </c>
    </row>
    <row r="2475" spans="8:8" x14ac:dyDescent="0.25">
      <c r="H2475" t="s">
        <v>22864</v>
      </c>
    </row>
    <row r="2476" spans="8:8" x14ac:dyDescent="0.25">
      <c r="H2476" t="s">
        <v>22865</v>
      </c>
    </row>
    <row r="2477" spans="8:8" x14ac:dyDescent="0.25">
      <c r="H2477" t="s">
        <v>22866</v>
      </c>
    </row>
    <row r="2478" spans="8:8" x14ac:dyDescent="0.25">
      <c r="H2478" t="s">
        <v>22867</v>
      </c>
    </row>
    <row r="2479" spans="8:8" x14ac:dyDescent="0.25">
      <c r="H2479" t="s">
        <v>22868</v>
      </c>
    </row>
    <row r="2480" spans="8:8" x14ac:dyDescent="0.25">
      <c r="H2480" t="s">
        <v>22869</v>
      </c>
    </row>
    <row r="2481" spans="8:8" x14ac:dyDescent="0.25">
      <c r="H2481" t="s">
        <v>22870</v>
      </c>
    </row>
    <row r="2482" spans="8:8" x14ac:dyDescent="0.25">
      <c r="H2482" t="s">
        <v>22871</v>
      </c>
    </row>
    <row r="2483" spans="8:8" x14ac:dyDescent="0.25">
      <c r="H2483" t="s">
        <v>22872</v>
      </c>
    </row>
    <row r="2484" spans="8:8" x14ac:dyDescent="0.25">
      <c r="H2484" t="s">
        <v>22873</v>
      </c>
    </row>
    <row r="2485" spans="8:8" x14ac:dyDescent="0.25">
      <c r="H2485" t="s">
        <v>22874</v>
      </c>
    </row>
    <row r="2486" spans="8:8" x14ac:dyDescent="0.25">
      <c r="H2486" t="s">
        <v>22875</v>
      </c>
    </row>
    <row r="2487" spans="8:8" x14ac:dyDescent="0.25">
      <c r="H2487" t="s">
        <v>22876</v>
      </c>
    </row>
    <row r="2488" spans="8:8" x14ac:dyDescent="0.25">
      <c r="H2488" t="s">
        <v>22877</v>
      </c>
    </row>
    <row r="2489" spans="8:8" x14ac:dyDescent="0.25">
      <c r="H2489" t="s">
        <v>22878</v>
      </c>
    </row>
    <row r="2490" spans="8:8" x14ac:dyDescent="0.25">
      <c r="H2490" t="s">
        <v>22879</v>
      </c>
    </row>
    <row r="2491" spans="8:8" x14ac:dyDescent="0.25">
      <c r="H2491" t="s">
        <v>22880</v>
      </c>
    </row>
    <row r="2492" spans="8:8" x14ac:dyDescent="0.25">
      <c r="H2492" t="s">
        <v>22881</v>
      </c>
    </row>
    <row r="2493" spans="8:8" x14ac:dyDescent="0.25">
      <c r="H2493" t="s">
        <v>22882</v>
      </c>
    </row>
    <row r="2494" spans="8:8" x14ac:dyDescent="0.25">
      <c r="H2494" t="s">
        <v>22883</v>
      </c>
    </row>
    <row r="2495" spans="8:8" x14ac:dyDescent="0.25">
      <c r="H2495" t="s">
        <v>22884</v>
      </c>
    </row>
    <row r="2496" spans="8:8" x14ac:dyDescent="0.25">
      <c r="H2496" t="s">
        <v>22885</v>
      </c>
    </row>
    <row r="2497" spans="8:8" x14ac:dyDescent="0.25">
      <c r="H2497" t="s">
        <v>22886</v>
      </c>
    </row>
    <row r="2498" spans="8:8" x14ac:dyDescent="0.25">
      <c r="H2498" t="s">
        <v>22887</v>
      </c>
    </row>
    <row r="2499" spans="8:8" x14ac:dyDescent="0.25">
      <c r="H2499" t="s">
        <v>22888</v>
      </c>
    </row>
    <row r="2500" spans="8:8" x14ac:dyDescent="0.25">
      <c r="H2500" t="s">
        <v>22889</v>
      </c>
    </row>
    <row r="2501" spans="8:8" x14ac:dyDescent="0.25">
      <c r="H2501" t="s">
        <v>22890</v>
      </c>
    </row>
    <row r="2502" spans="8:8" x14ac:dyDescent="0.25">
      <c r="H2502" t="s">
        <v>22891</v>
      </c>
    </row>
    <row r="2503" spans="8:8" x14ac:dyDescent="0.25">
      <c r="H2503" t="s">
        <v>22892</v>
      </c>
    </row>
    <row r="2504" spans="8:8" x14ac:dyDescent="0.25">
      <c r="H2504" t="s">
        <v>22893</v>
      </c>
    </row>
    <row r="2505" spans="8:8" x14ac:dyDescent="0.25">
      <c r="H2505" t="s">
        <v>22894</v>
      </c>
    </row>
    <row r="2506" spans="8:8" x14ac:dyDescent="0.25">
      <c r="H2506" t="s">
        <v>22895</v>
      </c>
    </row>
    <row r="2507" spans="8:8" x14ac:dyDescent="0.25">
      <c r="H2507" t="s">
        <v>22896</v>
      </c>
    </row>
    <row r="2508" spans="8:8" x14ac:dyDescent="0.25">
      <c r="H2508" t="s">
        <v>22897</v>
      </c>
    </row>
    <row r="2509" spans="8:8" x14ac:dyDescent="0.25">
      <c r="H2509" t="s">
        <v>22898</v>
      </c>
    </row>
    <row r="2510" spans="8:8" x14ac:dyDescent="0.25">
      <c r="H2510" t="s">
        <v>22899</v>
      </c>
    </row>
    <row r="2511" spans="8:8" x14ac:dyDescent="0.25">
      <c r="H2511" t="s">
        <v>22900</v>
      </c>
    </row>
    <row r="2512" spans="8:8" x14ac:dyDescent="0.25">
      <c r="H2512" t="s">
        <v>22901</v>
      </c>
    </row>
    <row r="2513" spans="8:8" x14ac:dyDescent="0.25">
      <c r="H2513" t="s">
        <v>22902</v>
      </c>
    </row>
    <row r="2514" spans="8:8" x14ac:dyDescent="0.25">
      <c r="H2514" t="s">
        <v>22903</v>
      </c>
    </row>
    <row r="2515" spans="8:8" x14ac:dyDescent="0.25">
      <c r="H2515" t="s">
        <v>22904</v>
      </c>
    </row>
    <row r="2516" spans="8:8" x14ac:dyDescent="0.25">
      <c r="H2516" t="s">
        <v>22905</v>
      </c>
    </row>
    <row r="2517" spans="8:8" x14ac:dyDescent="0.25">
      <c r="H2517" t="s">
        <v>22906</v>
      </c>
    </row>
    <row r="2518" spans="8:8" x14ac:dyDescent="0.25">
      <c r="H2518" t="s">
        <v>22907</v>
      </c>
    </row>
    <row r="2519" spans="8:8" x14ac:dyDescent="0.25">
      <c r="H2519" t="s">
        <v>22908</v>
      </c>
    </row>
    <row r="2520" spans="8:8" x14ac:dyDescent="0.25">
      <c r="H2520" t="s">
        <v>22909</v>
      </c>
    </row>
    <row r="2521" spans="8:8" x14ac:dyDescent="0.25">
      <c r="H2521" t="s">
        <v>22910</v>
      </c>
    </row>
    <row r="2522" spans="8:8" x14ac:dyDescent="0.25">
      <c r="H2522" t="s">
        <v>22911</v>
      </c>
    </row>
    <row r="2523" spans="8:8" x14ac:dyDescent="0.25">
      <c r="H2523" t="s">
        <v>22912</v>
      </c>
    </row>
    <row r="2524" spans="8:8" x14ac:dyDescent="0.25">
      <c r="H2524" t="s">
        <v>22913</v>
      </c>
    </row>
    <row r="2525" spans="8:8" x14ac:dyDescent="0.25">
      <c r="H2525" t="s">
        <v>22914</v>
      </c>
    </row>
    <row r="2526" spans="8:8" x14ac:dyDescent="0.25">
      <c r="H2526" t="s">
        <v>22915</v>
      </c>
    </row>
    <row r="2527" spans="8:8" x14ac:dyDescent="0.25">
      <c r="H2527" t="s">
        <v>22916</v>
      </c>
    </row>
    <row r="2528" spans="8:8" x14ac:dyDescent="0.25">
      <c r="H2528" t="s">
        <v>22917</v>
      </c>
    </row>
    <row r="2529" spans="8:8" x14ac:dyDescent="0.25">
      <c r="H2529" t="s">
        <v>22918</v>
      </c>
    </row>
    <row r="2530" spans="8:8" x14ac:dyDescent="0.25">
      <c r="H2530" t="s">
        <v>22919</v>
      </c>
    </row>
    <row r="2531" spans="8:8" x14ac:dyDescent="0.25">
      <c r="H2531" t="s">
        <v>22920</v>
      </c>
    </row>
    <row r="2532" spans="8:8" x14ac:dyDescent="0.25">
      <c r="H2532" t="s">
        <v>22921</v>
      </c>
    </row>
    <row r="2533" spans="8:8" x14ac:dyDescent="0.25">
      <c r="H2533" t="s">
        <v>22922</v>
      </c>
    </row>
    <row r="2534" spans="8:8" x14ac:dyDescent="0.25">
      <c r="H2534" t="s">
        <v>22923</v>
      </c>
    </row>
    <row r="2535" spans="8:8" x14ac:dyDescent="0.25">
      <c r="H2535" t="s">
        <v>22924</v>
      </c>
    </row>
    <row r="2536" spans="8:8" x14ac:dyDescent="0.25">
      <c r="H2536" t="s">
        <v>22925</v>
      </c>
    </row>
    <row r="2537" spans="8:8" x14ac:dyDescent="0.25">
      <c r="H2537" t="s">
        <v>22926</v>
      </c>
    </row>
    <row r="2538" spans="8:8" x14ac:dyDescent="0.25">
      <c r="H2538" t="s">
        <v>22927</v>
      </c>
    </row>
    <row r="2539" spans="8:8" x14ac:dyDescent="0.25">
      <c r="H2539" t="s">
        <v>22928</v>
      </c>
    </row>
    <row r="2540" spans="8:8" x14ac:dyDescent="0.25">
      <c r="H2540" t="s">
        <v>22929</v>
      </c>
    </row>
    <row r="2541" spans="8:8" x14ac:dyDescent="0.25">
      <c r="H2541" t="s">
        <v>22930</v>
      </c>
    </row>
    <row r="2542" spans="8:8" x14ac:dyDescent="0.25">
      <c r="H2542" t="s">
        <v>22931</v>
      </c>
    </row>
    <row r="2543" spans="8:8" x14ac:dyDescent="0.25">
      <c r="H2543" t="s">
        <v>22932</v>
      </c>
    </row>
    <row r="2544" spans="8:8" x14ac:dyDescent="0.25">
      <c r="H2544" t="s">
        <v>23435</v>
      </c>
    </row>
    <row r="2545" spans="8:8" x14ac:dyDescent="0.25">
      <c r="H2545" t="s">
        <v>22933</v>
      </c>
    </row>
    <row r="2546" spans="8:8" x14ac:dyDescent="0.25">
      <c r="H2546" t="s">
        <v>22934</v>
      </c>
    </row>
    <row r="2547" spans="8:8" x14ac:dyDescent="0.25">
      <c r="H2547" t="s">
        <v>22935</v>
      </c>
    </row>
    <row r="2548" spans="8:8" x14ac:dyDescent="0.25">
      <c r="H2548" t="s">
        <v>22936</v>
      </c>
    </row>
    <row r="2549" spans="8:8" x14ac:dyDescent="0.25">
      <c r="H2549" t="s">
        <v>22937</v>
      </c>
    </row>
    <row r="2550" spans="8:8" x14ac:dyDescent="0.25">
      <c r="H2550" t="s">
        <v>22938</v>
      </c>
    </row>
    <row r="2551" spans="8:8" x14ac:dyDescent="0.25">
      <c r="H2551" t="s">
        <v>22939</v>
      </c>
    </row>
    <row r="2552" spans="8:8" x14ac:dyDescent="0.25">
      <c r="H2552" t="s">
        <v>22940</v>
      </c>
    </row>
    <row r="2553" spans="8:8" x14ac:dyDescent="0.25">
      <c r="H2553" t="s">
        <v>22941</v>
      </c>
    </row>
    <row r="2554" spans="8:8" x14ac:dyDescent="0.25">
      <c r="H2554" t="s">
        <v>23436</v>
      </c>
    </row>
    <row r="2555" spans="8:8" x14ac:dyDescent="0.25">
      <c r="H2555" t="s">
        <v>22942</v>
      </c>
    </row>
    <row r="2556" spans="8:8" x14ac:dyDescent="0.25">
      <c r="H2556" t="s">
        <v>22943</v>
      </c>
    </row>
    <row r="2557" spans="8:8" x14ac:dyDescent="0.25">
      <c r="H2557" t="s">
        <v>22944</v>
      </c>
    </row>
    <row r="2558" spans="8:8" x14ac:dyDescent="0.25">
      <c r="H2558" t="s">
        <v>22945</v>
      </c>
    </row>
    <row r="2559" spans="8:8" x14ac:dyDescent="0.25">
      <c r="H2559" t="s">
        <v>22946</v>
      </c>
    </row>
    <row r="2560" spans="8:8" x14ac:dyDescent="0.25">
      <c r="H2560" t="s">
        <v>22947</v>
      </c>
    </row>
    <row r="2561" spans="8:8" x14ac:dyDescent="0.25">
      <c r="H2561" t="s">
        <v>22948</v>
      </c>
    </row>
    <row r="2562" spans="8:8" x14ac:dyDescent="0.25">
      <c r="H2562" t="s">
        <v>22949</v>
      </c>
    </row>
    <row r="2563" spans="8:8" x14ac:dyDescent="0.25">
      <c r="H2563" t="s">
        <v>22950</v>
      </c>
    </row>
    <row r="2564" spans="8:8" x14ac:dyDescent="0.25">
      <c r="H2564" t="s">
        <v>23437</v>
      </c>
    </row>
    <row r="2565" spans="8:8" x14ac:dyDescent="0.25">
      <c r="H2565" t="s">
        <v>22951</v>
      </c>
    </row>
    <row r="2566" spans="8:8" x14ac:dyDescent="0.25">
      <c r="H2566" t="s">
        <v>22952</v>
      </c>
    </row>
    <row r="2567" spans="8:8" x14ac:dyDescent="0.25">
      <c r="H2567" t="s">
        <v>22953</v>
      </c>
    </row>
    <row r="2568" spans="8:8" x14ac:dyDescent="0.25">
      <c r="H2568" t="s">
        <v>22954</v>
      </c>
    </row>
    <row r="2569" spans="8:8" x14ac:dyDescent="0.25">
      <c r="H2569" t="s">
        <v>22955</v>
      </c>
    </row>
    <row r="2570" spans="8:8" x14ac:dyDescent="0.25">
      <c r="H2570" t="s">
        <v>22956</v>
      </c>
    </row>
    <row r="2571" spans="8:8" x14ac:dyDescent="0.25">
      <c r="H2571" t="s">
        <v>22957</v>
      </c>
    </row>
    <row r="2572" spans="8:8" x14ac:dyDescent="0.25">
      <c r="H2572" t="s">
        <v>22958</v>
      </c>
    </row>
    <row r="2573" spans="8:8" x14ac:dyDescent="0.25">
      <c r="H2573" t="s">
        <v>22959</v>
      </c>
    </row>
    <row r="2574" spans="8:8" x14ac:dyDescent="0.25">
      <c r="H2574" t="s">
        <v>23438</v>
      </c>
    </row>
    <row r="2575" spans="8:8" x14ac:dyDescent="0.25">
      <c r="H2575" t="s">
        <v>22960</v>
      </c>
    </row>
    <row r="2576" spans="8:8" x14ac:dyDescent="0.25">
      <c r="H2576" t="s">
        <v>22961</v>
      </c>
    </row>
    <row r="2577" spans="8:8" x14ac:dyDescent="0.25">
      <c r="H2577" t="s">
        <v>22962</v>
      </c>
    </row>
    <row r="2578" spans="8:8" x14ac:dyDescent="0.25">
      <c r="H2578" t="s">
        <v>22963</v>
      </c>
    </row>
    <row r="2579" spans="8:8" x14ac:dyDescent="0.25">
      <c r="H2579" t="s">
        <v>22964</v>
      </c>
    </row>
    <row r="2580" spans="8:8" x14ac:dyDescent="0.25">
      <c r="H2580" t="s">
        <v>22965</v>
      </c>
    </row>
    <row r="2581" spans="8:8" x14ac:dyDescent="0.25">
      <c r="H2581" t="s">
        <v>22966</v>
      </c>
    </row>
    <row r="2582" spans="8:8" x14ac:dyDescent="0.25">
      <c r="H2582" t="s">
        <v>22967</v>
      </c>
    </row>
    <row r="2583" spans="8:8" x14ac:dyDescent="0.25">
      <c r="H2583" t="s">
        <v>22968</v>
      </c>
    </row>
    <row r="2584" spans="8:8" x14ac:dyDescent="0.25">
      <c r="H2584" t="s">
        <v>23439</v>
      </c>
    </row>
    <row r="2585" spans="8:8" x14ac:dyDescent="0.25">
      <c r="H2585" t="s">
        <v>22969</v>
      </c>
    </row>
    <row r="2586" spans="8:8" x14ac:dyDescent="0.25">
      <c r="H2586" t="s">
        <v>22970</v>
      </c>
    </row>
    <row r="2587" spans="8:8" x14ac:dyDescent="0.25">
      <c r="H2587" t="s">
        <v>22971</v>
      </c>
    </row>
    <row r="2588" spans="8:8" x14ac:dyDescent="0.25">
      <c r="H2588" t="s">
        <v>22972</v>
      </c>
    </row>
    <row r="2589" spans="8:8" x14ac:dyDescent="0.25">
      <c r="H2589" t="s">
        <v>22973</v>
      </c>
    </row>
    <row r="2590" spans="8:8" x14ac:dyDescent="0.25">
      <c r="H2590" t="s">
        <v>22974</v>
      </c>
    </row>
    <row r="2591" spans="8:8" x14ac:dyDescent="0.25">
      <c r="H2591" t="s">
        <v>22975</v>
      </c>
    </row>
    <row r="2592" spans="8:8" x14ac:dyDescent="0.25">
      <c r="H2592" t="s">
        <v>22976</v>
      </c>
    </row>
    <row r="2593" spans="8:8" x14ac:dyDescent="0.25">
      <c r="H2593" t="s">
        <v>22977</v>
      </c>
    </row>
    <row r="2594" spans="8:8" x14ac:dyDescent="0.25">
      <c r="H2594" t="s">
        <v>23440</v>
      </c>
    </row>
    <row r="2595" spans="8:8" x14ac:dyDescent="0.25">
      <c r="H2595" t="s">
        <v>22978</v>
      </c>
    </row>
    <row r="2596" spans="8:8" x14ac:dyDescent="0.25">
      <c r="H2596" t="s">
        <v>22979</v>
      </c>
    </row>
    <row r="2597" spans="8:8" x14ac:dyDescent="0.25">
      <c r="H2597" t="s">
        <v>22980</v>
      </c>
    </row>
    <row r="2598" spans="8:8" x14ac:dyDescent="0.25">
      <c r="H2598" t="s">
        <v>22981</v>
      </c>
    </row>
    <row r="2599" spans="8:8" x14ac:dyDescent="0.25">
      <c r="H2599" t="s">
        <v>22982</v>
      </c>
    </row>
    <row r="2600" spans="8:8" x14ac:dyDescent="0.25">
      <c r="H2600" t="s">
        <v>22983</v>
      </c>
    </row>
    <row r="2601" spans="8:8" x14ac:dyDescent="0.25">
      <c r="H2601" t="s">
        <v>22984</v>
      </c>
    </row>
    <row r="2602" spans="8:8" x14ac:dyDescent="0.25">
      <c r="H2602" t="s">
        <v>22985</v>
      </c>
    </row>
    <row r="2603" spans="8:8" x14ac:dyDescent="0.25">
      <c r="H2603" t="s">
        <v>22986</v>
      </c>
    </row>
    <row r="2604" spans="8:8" x14ac:dyDescent="0.25">
      <c r="H2604" t="s">
        <v>23441</v>
      </c>
    </row>
    <row r="2605" spans="8:8" x14ac:dyDescent="0.25">
      <c r="H2605" t="s">
        <v>22987</v>
      </c>
    </row>
    <row r="2606" spans="8:8" x14ac:dyDescent="0.25">
      <c r="H2606" t="s">
        <v>22988</v>
      </c>
    </row>
    <row r="2607" spans="8:8" x14ac:dyDescent="0.25">
      <c r="H2607" t="s">
        <v>22989</v>
      </c>
    </row>
    <row r="2608" spans="8:8" x14ac:dyDescent="0.25">
      <c r="H2608" t="s">
        <v>22990</v>
      </c>
    </row>
    <row r="2609" spans="8:8" x14ac:dyDescent="0.25">
      <c r="H2609" t="s">
        <v>22991</v>
      </c>
    </row>
    <row r="2610" spans="8:8" x14ac:dyDescent="0.25">
      <c r="H2610" t="s">
        <v>22992</v>
      </c>
    </row>
    <row r="2611" spans="8:8" x14ac:dyDescent="0.25">
      <c r="H2611" t="s">
        <v>22993</v>
      </c>
    </row>
    <row r="2612" spans="8:8" x14ac:dyDescent="0.25">
      <c r="H2612" t="s">
        <v>22994</v>
      </c>
    </row>
    <row r="2613" spans="8:8" x14ac:dyDescent="0.25">
      <c r="H2613" t="s">
        <v>22995</v>
      </c>
    </row>
    <row r="2614" spans="8:8" x14ac:dyDescent="0.25">
      <c r="H2614" t="s">
        <v>23442</v>
      </c>
    </row>
    <row r="2615" spans="8:8" x14ac:dyDescent="0.25">
      <c r="H2615" t="s">
        <v>22996</v>
      </c>
    </row>
    <row r="2616" spans="8:8" x14ac:dyDescent="0.25">
      <c r="H2616" t="s">
        <v>22997</v>
      </c>
    </row>
    <row r="2617" spans="8:8" x14ac:dyDescent="0.25">
      <c r="H2617" t="s">
        <v>22998</v>
      </c>
    </row>
    <row r="2618" spans="8:8" x14ac:dyDescent="0.25">
      <c r="H2618" t="s">
        <v>22999</v>
      </c>
    </row>
    <row r="2619" spans="8:8" x14ac:dyDescent="0.25">
      <c r="H2619" t="s">
        <v>23000</v>
      </c>
    </row>
    <row r="2620" spans="8:8" x14ac:dyDescent="0.25">
      <c r="H2620" t="s">
        <v>23001</v>
      </c>
    </row>
    <row r="2621" spans="8:8" x14ac:dyDescent="0.25">
      <c r="H2621" t="s">
        <v>23002</v>
      </c>
    </row>
    <row r="2622" spans="8:8" x14ac:dyDescent="0.25">
      <c r="H2622" t="s">
        <v>23003</v>
      </c>
    </row>
    <row r="2623" spans="8:8" x14ac:dyDescent="0.25">
      <c r="H2623" t="s">
        <v>23004</v>
      </c>
    </row>
    <row r="2624" spans="8:8" x14ac:dyDescent="0.25">
      <c r="H2624" t="s">
        <v>23443</v>
      </c>
    </row>
    <row r="2625" spans="8:8" x14ac:dyDescent="0.25">
      <c r="H2625" t="s">
        <v>23005</v>
      </c>
    </row>
    <row r="2626" spans="8:8" x14ac:dyDescent="0.25">
      <c r="H2626" t="s">
        <v>23006</v>
      </c>
    </row>
    <row r="2627" spans="8:8" x14ac:dyDescent="0.25">
      <c r="H2627" t="s">
        <v>23007</v>
      </c>
    </row>
    <row r="2628" spans="8:8" x14ac:dyDescent="0.25">
      <c r="H2628" t="s">
        <v>23008</v>
      </c>
    </row>
    <row r="2629" spans="8:8" x14ac:dyDescent="0.25">
      <c r="H2629" t="s">
        <v>23009</v>
      </c>
    </row>
    <row r="2630" spans="8:8" x14ac:dyDescent="0.25">
      <c r="H2630" t="s">
        <v>23010</v>
      </c>
    </row>
    <row r="2631" spans="8:8" x14ac:dyDescent="0.25">
      <c r="H2631" t="s">
        <v>23011</v>
      </c>
    </row>
    <row r="2632" spans="8:8" x14ac:dyDescent="0.25">
      <c r="H2632" t="s">
        <v>23012</v>
      </c>
    </row>
    <row r="2633" spans="8:8" x14ac:dyDescent="0.25">
      <c r="H2633" t="s">
        <v>23013</v>
      </c>
    </row>
    <row r="2634" spans="8:8" x14ac:dyDescent="0.25">
      <c r="H2634" t="s">
        <v>23444</v>
      </c>
    </row>
    <row r="2635" spans="8:8" x14ac:dyDescent="0.25">
      <c r="H2635" t="s">
        <v>23014</v>
      </c>
    </row>
    <row r="2636" spans="8:8" x14ac:dyDescent="0.25">
      <c r="H2636" t="s">
        <v>23015</v>
      </c>
    </row>
    <row r="2637" spans="8:8" x14ac:dyDescent="0.25">
      <c r="H2637" t="s">
        <v>23016</v>
      </c>
    </row>
    <row r="2638" spans="8:8" x14ac:dyDescent="0.25">
      <c r="H2638" t="s">
        <v>23017</v>
      </c>
    </row>
    <row r="2639" spans="8:8" x14ac:dyDescent="0.25">
      <c r="H2639" t="s">
        <v>23018</v>
      </c>
    </row>
    <row r="2640" spans="8:8" x14ac:dyDescent="0.25">
      <c r="H2640" t="s">
        <v>23019</v>
      </c>
    </row>
    <row r="2641" spans="8:8" x14ac:dyDescent="0.25">
      <c r="H2641" t="s">
        <v>23020</v>
      </c>
    </row>
    <row r="2642" spans="8:8" x14ac:dyDescent="0.25">
      <c r="H2642" t="s">
        <v>23021</v>
      </c>
    </row>
    <row r="2643" spans="8:8" x14ac:dyDescent="0.25">
      <c r="H2643" t="s">
        <v>23022</v>
      </c>
    </row>
    <row r="2644" spans="8:8" x14ac:dyDescent="0.25">
      <c r="H2644" t="s">
        <v>23445</v>
      </c>
    </row>
    <row r="2645" spans="8:8" x14ac:dyDescent="0.25">
      <c r="H2645" t="s">
        <v>23023</v>
      </c>
    </row>
    <row r="2646" spans="8:8" x14ac:dyDescent="0.25">
      <c r="H2646" t="s">
        <v>23024</v>
      </c>
    </row>
    <row r="2647" spans="8:8" x14ac:dyDescent="0.25">
      <c r="H2647" t="s">
        <v>23025</v>
      </c>
    </row>
    <row r="2648" spans="8:8" x14ac:dyDescent="0.25">
      <c r="H2648" t="s">
        <v>23026</v>
      </c>
    </row>
    <row r="2649" spans="8:8" x14ac:dyDescent="0.25">
      <c r="H2649" t="s">
        <v>23027</v>
      </c>
    </row>
    <row r="2650" spans="8:8" x14ac:dyDescent="0.25">
      <c r="H2650" t="s">
        <v>23028</v>
      </c>
    </row>
    <row r="2651" spans="8:8" x14ac:dyDescent="0.25">
      <c r="H2651" t="s">
        <v>23029</v>
      </c>
    </row>
    <row r="2652" spans="8:8" x14ac:dyDescent="0.25">
      <c r="H2652" t="s">
        <v>23030</v>
      </c>
    </row>
    <row r="2653" spans="8:8" x14ac:dyDescent="0.25">
      <c r="H2653" t="s">
        <v>23031</v>
      </c>
    </row>
    <row r="2654" spans="8:8" x14ac:dyDescent="0.25">
      <c r="H2654" t="s">
        <v>23446</v>
      </c>
    </row>
    <row r="2655" spans="8:8" x14ac:dyDescent="0.25">
      <c r="H2655" t="s">
        <v>23032</v>
      </c>
    </row>
    <row r="2656" spans="8:8" x14ac:dyDescent="0.25">
      <c r="H2656" t="s">
        <v>23033</v>
      </c>
    </row>
    <row r="2657" spans="8:8" x14ac:dyDescent="0.25">
      <c r="H2657" t="s">
        <v>23034</v>
      </c>
    </row>
    <row r="2658" spans="8:8" x14ac:dyDescent="0.25">
      <c r="H2658" t="s">
        <v>23035</v>
      </c>
    </row>
    <row r="2659" spans="8:8" x14ac:dyDescent="0.25">
      <c r="H2659" t="s">
        <v>23036</v>
      </c>
    </row>
    <row r="2660" spans="8:8" x14ac:dyDescent="0.25">
      <c r="H2660" t="s">
        <v>23037</v>
      </c>
    </row>
    <row r="2661" spans="8:8" x14ac:dyDescent="0.25">
      <c r="H2661" t="s">
        <v>23038</v>
      </c>
    </row>
    <row r="2662" spans="8:8" x14ac:dyDescent="0.25">
      <c r="H2662" t="s">
        <v>23039</v>
      </c>
    </row>
    <row r="2663" spans="8:8" x14ac:dyDescent="0.25">
      <c r="H2663" t="s">
        <v>23040</v>
      </c>
    </row>
    <row r="2664" spans="8:8" x14ac:dyDescent="0.25">
      <c r="H2664" t="s">
        <v>23447</v>
      </c>
    </row>
    <row r="2665" spans="8:8" x14ac:dyDescent="0.25">
      <c r="H2665" t="s">
        <v>23041</v>
      </c>
    </row>
    <row r="2666" spans="8:8" x14ac:dyDescent="0.25">
      <c r="H2666" t="s">
        <v>23042</v>
      </c>
    </row>
    <row r="2667" spans="8:8" x14ac:dyDescent="0.25">
      <c r="H2667" t="s">
        <v>23043</v>
      </c>
    </row>
    <row r="2668" spans="8:8" x14ac:dyDescent="0.25">
      <c r="H2668" t="s">
        <v>23044</v>
      </c>
    </row>
    <row r="2669" spans="8:8" x14ac:dyDescent="0.25">
      <c r="H2669" t="s">
        <v>23045</v>
      </c>
    </row>
    <row r="2670" spans="8:8" x14ac:dyDescent="0.25">
      <c r="H2670" t="s">
        <v>23046</v>
      </c>
    </row>
    <row r="2671" spans="8:8" x14ac:dyDescent="0.25">
      <c r="H2671" t="s">
        <v>23047</v>
      </c>
    </row>
    <row r="2672" spans="8:8" x14ac:dyDescent="0.25">
      <c r="H2672" t="s">
        <v>23048</v>
      </c>
    </row>
    <row r="2673" spans="8:8" x14ac:dyDescent="0.25">
      <c r="H2673" t="s">
        <v>23049</v>
      </c>
    </row>
    <row r="2674" spans="8:8" x14ac:dyDescent="0.25">
      <c r="H2674" t="s">
        <v>23448</v>
      </c>
    </row>
    <row r="2675" spans="8:8" x14ac:dyDescent="0.25">
      <c r="H2675" t="s">
        <v>23050</v>
      </c>
    </row>
    <row r="2676" spans="8:8" x14ac:dyDescent="0.25">
      <c r="H2676" t="s">
        <v>23051</v>
      </c>
    </row>
    <row r="2677" spans="8:8" x14ac:dyDescent="0.25">
      <c r="H2677" t="s">
        <v>23052</v>
      </c>
    </row>
    <row r="2678" spans="8:8" x14ac:dyDescent="0.25">
      <c r="H2678" t="s">
        <v>23053</v>
      </c>
    </row>
    <row r="2679" spans="8:8" x14ac:dyDescent="0.25">
      <c r="H2679" t="s">
        <v>23054</v>
      </c>
    </row>
    <row r="2680" spans="8:8" x14ac:dyDescent="0.25">
      <c r="H2680" t="s">
        <v>23055</v>
      </c>
    </row>
    <row r="2681" spans="8:8" x14ac:dyDescent="0.25">
      <c r="H2681" t="s">
        <v>23056</v>
      </c>
    </row>
    <row r="2682" spans="8:8" x14ac:dyDescent="0.25">
      <c r="H2682" t="s">
        <v>23057</v>
      </c>
    </row>
    <row r="2683" spans="8:8" x14ac:dyDescent="0.25">
      <c r="H2683" t="s">
        <v>23058</v>
      </c>
    </row>
    <row r="2684" spans="8:8" x14ac:dyDescent="0.25">
      <c r="H2684" t="s">
        <v>23449</v>
      </c>
    </row>
    <row r="2685" spans="8:8" x14ac:dyDescent="0.25">
      <c r="H2685" t="s">
        <v>23059</v>
      </c>
    </row>
    <row r="2686" spans="8:8" x14ac:dyDescent="0.25">
      <c r="H2686" t="s">
        <v>23060</v>
      </c>
    </row>
    <row r="2687" spans="8:8" x14ac:dyDescent="0.25">
      <c r="H2687" t="s">
        <v>23061</v>
      </c>
    </row>
    <row r="2688" spans="8:8" x14ac:dyDescent="0.25">
      <c r="H2688" t="s">
        <v>23062</v>
      </c>
    </row>
    <row r="2689" spans="8:8" x14ac:dyDescent="0.25">
      <c r="H2689" t="s">
        <v>23063</v>
      </c>
    </row>
    <row r="2690" spans="8:8" x14ac:dyDescent="0.25">
      <c r="H2690" t="s">
        <v>23064</v>
      </c>
    </row>
    <row r="2691" spans="8:8" x14ac:dyDescent="0.25">
      <c r="H2691" t="s">
        <v>23065</v>
      </c>
    </row>
    <row r="2692" spans="8:8" x14ac:dyDescent="0.25">
      <c r="H2692" t="s">
        <v>23066</v>
      </c>
    </row>
    <row r="2693" spans="8:8" x14ac:dyDescent="0.25">
      <c r="H2693" t="s">
        <v>23067</v>
      </c>
    </row>
    <row r="2694" spans="8:8" x14ac:dyDescent="0.25">
      <c r="H2694" t="s">
        <v>23450</v>
      </c>
    </row>
    <row r="2695" spans="8:8" x14ac:dyDescent="0.25">
      <c r="H2695" t="s">
        <v>23068</v>
      </c>
    </row>
    <row r="2696" spans="8:8" x14ac:dyDescent="0.25">
      <c r="H2696" t="s">
        <v>23069</v>
      </c>
    </row>
    <row r="2697" spans="8:8" x14ac:dyDescent="0.25">
      <c r="H2697" t="s">
        <v>23070</v>
      </c>
    </row>
    <row r="2698" spans="8:8" x14ac:dyDescent="0.25">
      <c r="H2698" t="s">
        <v>23071</v>
      </c>
    </row>
    <row r="2699" spans="8:8" x14ac:dyDescent="0.25">
      <c r="H2699" t="s">
        <v>23072</v>
      </c>
    </row>
    <row r="2700" spans="8:8" x14ac:dyDescent="0.25">
      <c r="H2700" t="s">
        <v>23073</v>
      </c>
    </row>
    <row r="2701" spans="8:8" x14ac:dyDescent="0.25">
      <c r="H2701" t="s">
        <v>23074</v>
      </c>
    </row>
    <row r="2702" spans="8:8" x14ac:dyDescent="0.25">
      <c r="H2702" t="s">
        <v>23075</v>
      </c>
    </row>
    <row r="2703" spans="8:8" x14ac:dyDescent="0.25">
      <c r="H2703" t="s">
        <v>23076</v>
      </c>
    </row>
    <row r="2704" spans="8:8" x14ac:dyDescent="0.25">
      <c r="H2704" t="s">
        <v>23451</v>
      </c>
    </row>
    <row r="2705" spans="8:8" x14ac:dyDescent="0.25">
      <c r="H2705" t="s">
        <v>23077</v>
      </c>
    </row>
    <row r="2706" spans="8:8" x14ac:dyDescent="0.25">
      <c r="H2706" t="s">
        <v>23078</v>
      </c>
    </row>
    <row r="2707" spans="8:8" x14ac:dyDescent="0.25">
      <c r="H2707" t="s">
        <v>23079</v>
      </c>
    </row>
    <row r="2708" spans="8:8" x14ac:dyDescent="0.25">
      <c r="H2708" t="s">
        <v>23080</v>
      </c>
    </row>
    <row r="2709" spans="8:8" x14ac:dyDescent="0.25">
      <c r="H2709" t="s">
        <v>23081</v>
      </c>
    </row>
    <row r="2710" spans="8:8" x14ac:dyDescent="0.25">
      <c r="H2710" t="s">
        <v>23082</v>
      </c>
    </row>
    <row r="2711" spans="8:8" x14ac:dyDescent="0.25">
      <c r="H2711" t="s">
        <v>23083</v>
      </c>
    </row>
    <row r="2712" spans="8:8" x14ac:dyDescent="0.25">
      <c r="H2712" t="s">
        <v>23084</v>
      </c>
    </row>
    <row r="2713" spans="8:8" x14ac:dyDescent="0.25">
      <c r="H2713" t="s">
        <v>23085</v>
      </c>
    </row>
    <row r="2714" spans="8:8" x14ac:dyDescent="0.25">
      <c r="H2714" t="s">
        <v>23452</v>
      </c>
    </row>
    <row r="2715" spans="8:8" x14ac:dyDescent="0.25">
      <c r="H2715" t="s">
        <v>23086</v>
      </c>
    </row>
    <row r="2716" spans="8:8" x14ac:dyDescent="0.25">
      <c r="H2716" t="s">
        <v>23087</v>
      </c>
    </row>
    <row r="2717" spans="8:8" x14ac:dyDescent="0.25">
      <c r="H2717" t="s">
        <v>23088</v>
      </c>
    </row>
    <row r="2718" spans="8:8" x14ac:dyDescent="0.25">
      <c r="H2718" t="s">
        <v>23089</v>
      </c>
    </row>
    <row r="2719" spans="8:8" x14ac:dyDescent="0.25">
      <c r="H2719" t="s">
        <v>23090</v>
      </c>
    </row>
    <row r="2720" spans="8:8" x14ac:dyDescent="0.25">
      <c r="H2720" t="s">
        <v>23091</v>
      </c>
    </row>
    <row r="2721" spans="8:8" x14ac:dyDescent="0.25">
      <c r="H2721" t="s">
        <v>23092</v>
      </c>
    </row>
    <row r="2722" spans="8:8" x14ac:dyDescent="0.25">
      <c r="H2722" t="s">
        <v>23093</v>
      </c>
    </row>
    <row r="2723" spans="8:8" x14ac:dyDescent="0.25">
      <c r="H2723" t="s">
        <v>23094</v>
      </c>
    </row>
    <row r="2724" spans="8:8" x14ac:dyDescent="0.25">
      <c r="H2724" t="s">
        <v>23453</v>
      </c>
    </row>
    <row r="2725" spans="8:8" x14ac:dyDescent="0.25">
      <c r="H2725" t="s">
        <v>23095</v>
      </c>
    </row>
    <row r="2726" spans="8:8" x14ac:dyDescent="0.25">
      <c r="H2726" t="s">
        <v>23096</v>
      </c>
    </row>
    <row r="2727" spans="8:8" x14ac:dyDescent="0.25">
      <c r="H2727" t="s">
        <v>23097</v>
      </c>
    </row>
    <row r="2728" spans="8:8" x14ac:dyDescent="0.25">
      <c r="H2728" t="s">
        <v>23098</v>
      </c>
    </row>
    <row r="2729" spans="8:8" x14ac:dyDescent="0.25">
      <c r="H2729" t="s">
        <v>23099</v>
      </c>
    </row>
    <row r="2730" spans="8:8" x14ac:dyDescent="0.25">
      <c r="H2730" t="s">
        <v>23100</v>
      </c>
    </row>
    <row r="2731" spans="8:8" x14ac:dyDescent="0.25">
      <c r="H2731" t="s">
        <v>23101</v>
      </c>
    </row>
    <row r="2732" spans="8:8" x14ac:dyDescent="0.25">
      <c r="H2732" t="s">
        <v>23102</v>
      </c>
    </row>
    <row r="2733" spans="8:8" x14ac:dyDescent="0.25">
      <c r="H2733" t="s">
        <v>23103</v>
      </c>
    </row>
    <row r="2734" spans="8:8" x14ac:dyDescent="0.25">
      <c r="H2734" t="s">
        <v>23454</v>
      </c>
    </row>
    <row r="2735" spans="8:8" x14ac:dyDescent="0.25">
      <c r="H2735" t="s">
        <v>23104</v>
      </c>
    </row>
    <row r="2736" spans="8:8" x14ac:dyDescent="0.25">
      <c r="H2736" t="s">
        <v>23105</v>
      </c>
    </row>
    <row r="2737" spans="8:8" x14ac:dyDescent="0.25">
      <c r="H2737" t="s">
        <v>23106</v>
      </c>
    </row>
    <row r="2738" spans="8:8" x14ac:dyDescent="0.25">
      <c r="H2738" t="s">
        <v>23107</v>
      </c>
    </row>
    <row r="2739" spans="8:8" x14ac:dyDescent="0.25">
      <c r="H2739" t="s">
        <v>23108</v>
      </c>
    </row>
    <row r="2740" spans="8:8" x14ac:dyDescent="0.25">
      <c r="H2740" t="s">
        <v>23109</v>
      </c>
    </row>
    <row r="2741" spans="8:8" x14ac:dyDescent="0.25">
      <c r="H2741" t="s">
        <v>23110</v>
      </c>
    </row>
    <row r="2742" spans="8:8" x14ac:dyDescent="0.25">
      <c r="H2742" t="s">
        <v>23111</v>
      </c>
    </row>
    <row r="2743" spans="8:8" x14ac:dyDescent="0.25">
      <c r="H2743" t="s">
        <v>23112</v>
      </c>
    </row>
    <row r="2744" spans="8:8" x14ac:dyDescent="0.25">
      <c r="H2744" t="s">
        <v>23455</v>
      </c>
    </row>
    <row r="2745" spans="8:8" x14ac:dyDescent="0.25">
      <c r="H2745" t="s">
        <v>23113</v>
      </c>
    </row>
    <row r="2746" spans="8:8" x14ac:dyDescent="0.25">
      <c r="H2746" t="s">
        <v>23114</v>
      </c>
    </row>
    <row r="2747" spans="8:8" x14ac:dyDescent="0.25">
      <c r="H2747" t="s">
        <v>23115</v>
      </c>
    </row>
    <row r="2748" spans="8:8" x14ac:dyDescent="0.25">
      <c r="H2748" t="s">
        <v>23116</v>
      </c>
    </row>
    <row r="2749" spans="8:8" x14ac:dyDescent="0.25">
      <c r="H2749" t="s">
        <v>23117</v>
      </c>
    </row>
    <row r="2750" spans="8:8" x14ac:dyDescent="0.25">
      <c r="H2750" t="s">
        <v>23118</v>
      </c>
    </row>
    <row r="2751" spans="8:8" x14ac:dyDescent="0.25">
      <c r="H2751" t="s">
        <v>23119</v>
      </c>
    </row>
    <row r="2752" spans="8:8" x14ac:dyDescent="0.25">
      <c r="H2752" t="s">
        <v>23120</v>
      </c>
    </row>
    <row r="2753" spans="8:8" x14ac:dyDescent="0.25">
      <c r="H2753" t="s">
        <v>23121</v>
      </c>
    </row>
    <row r="2754" spans="8:8" x14ac:dyDescent="0.25">
      <c r="H2754" t="s">
        <v>23122</v>
      </c>
    </row>
    <row r="2755" spans="8:8" x14ac:dyDescent="0.25">
      <c r="H2755" t="s">
        <v>23123</v>
      </c>
    </row>
    <row r="2756" spans="8:8" x14ac:dyDescent="0.25">
      <c r="H2756" t="s">
        <v>23124</v>
      </c>
    </row>
    <row r="2757" spans="8:8" x14ac:dyDescent="0.25">
      <c r="H2757" t="s">
        <v>23125</v>
      </c>
    </row>
    <row r="2758" spans="8:8" x14ac:dyDescent="0.25">
      <c r="H2758" t="s">
        <v>23126</v>
      </c>
    </row>
    <row r="2759" spans="8:8" x14ac:dyDescent="0.25">
      <c r="H2759" t="s">
        <v>23127</v>
      </c>
    </row>
    <row r="2760" spans="8:8" x14ac:dyDescent="0.25">
      <c r="H2760" t="s">
        <v>23128</v>
      </c>
    </row>
    <row r="2761" spans="8:8" x14ac:dyDescent="0.25">
      <c r="H2761" t="s">
        <v>23129</v>
      </c>
    </row>
    <row r="2762" spans="8:8" x14ac:dyDescent="0.25">
      <c r="H2762" t="s">
        <v>23130</v>
      </c>
    </row>
    <row r="2763" spans="8:8" x14ac:dyDescent="0.25">
      <c r="H2763" t="s">
        <v>23131</v>
      </c>
    </row>
    <row r="2764" spans="8:8" x14ac:dyDescent="0.25">
      <c r="H2764" t="s">
        <v>23132</v>
      </c>
    </row>
    <row r="2765" spans="8:8" x14ac:dyDescent="0.25">
      <c r="H2765" t="s">
        <v>23133</v>
      </c>
    </row>
    <row r="2766" spans="8:8" x14ac:dyDescent="0.25">
      <c r="H2766" t="s">
        <v>23134</v>
      </c>
    </row>
    <row r="2767" spans="8:8" x14ac:dyDescent="0.25">
      <c r="H2767" t="s">
        <v>23135</v>
      </c>
    </row>
    <row r="2768" spans="8:8" x14ac:dyDescent="0.25">
      <c r="H2768" t="s">
        <v>23136</v>
      </c>
    </row>
    <row r="2769" spans="8:8" x14ac:dyDescent="0.25">
      <c r="H2769" t="s">
        <v>23137</v>
      </c>
    </row>
    <row r="2770" spans="8:8" x14ac:dyDescent="0.25">
      <c r="H2770" t="s">
        <v>23138</v>
      </c>
    </row>
    <row r="2771" spans="8:8" x14ac:dyDescent="0.25">
      <c r="H2771" t="s">
        <v>23139</v>
      </c>
    </row>
    <row r="2772" spans="8:8" x14ac:dyDescent="0.25">
      <c r="H2772" t="s">
        <v>23140</v>
      </c>
    </row>
    <row r="2773" spans="8:8" x14ac:dyDescent="0.25">
      <c r="H2773" t="s">
        <v>23141</v>
      </c>
    </row>
    <row r="2774" spans="8:8" x14ac:dyDescent="0.25">
      <c r="H2774" t="s">
        <v>23142</v>
      </c>
    </row>
    <row r="2775" spans="8:8" x14ac:dyDescent="0.25">
      <c r="H2775" t="s">
        <v>23143</v>
      </c>
    </row>
    <row r="2776" spans="8:8" x14ac:dyDescent="0.25">
      <c r="H2776" t="s">
        <v>23144</v>
      </c>
    </row>
    <row r="2777" spans="8:8" x14ac:dyDescent="0.25">
      <c r="H2777" t="s">
        <v>23145</v>
      </c>
    </row>
    <row r="2778" spans="8:8" x14ac:dyDescent="0.25">
      <c r="H2778" t="s">
        <v>23146</v>
      </c>
    </row>
    <row r="2779" spans="8:8" x14ac:dyDescent="0.25">
      <c r="H2779" t="s">
        <v>23147</v>
      </c>
    </row>
    <row r="2780" spans="8:8" x14ac:dyDescent="0.25">
      <c r="H2780" t="s">
        <v>23148</v>
      </c>
    </row>
    <row r="2781" spans="8:8" x14ac:dyDescent="0.25">
      <c r="H2781" t="s">
        <v>23149</v>
      </c>
    </row>
    <row r="2782" spans="8:8" x14ac:dyDescent="0.25">
      <c r="H2782" t="s">
        <v>23150</v>
      </c>
    </row>
    <row r="2783" spans="8:8" x14ac:dyDescent="0.25">
      <c r="H2783" t="s">
        <v>23151</v>
      </c>
    </row>
    <row r="2784" spans="8:8" x14ac:dyDescent="0.25">
      <c r="H2784" t="s">
        <v>23152</v>
      </c>
    </row>
    <row r="2785" spans="8:8" x14ac:dyDescent="0.25">
      <c r="H2785" t="s">
        <v>23153</v>
      </c>
    </row>
    <row r="2786" spans="8:8" x14ac:dyDescent="0.25">
      <c r="H2786" t="s">
        <v>23154</v>
      </c>
    </row>
    <row r="2787" spans="8:8" x14ac:dyDescent="0.25">
      <c r="H2787" t="s">
        <v>23155</v>
      </c>
    </row>
    <row r="2788" spans="8:8" x14ac:dyDescent="0.25">
      <c r="H2788" t="s">
        <v>23156</v>
      </c>
    </row>
    <row r="2789" spans="8:8" x14ac:dyDescent="0.25">
      <c r="H2789" t="s">
        <v>23157</v>
      </c>
    </row>
    <row r="2790" spans="8:8" x14ac:dyDescent="0.25">
      <c r="H2790" t="s">
        <v>23158</v>
      </c>
    </row>
    <row r="2791" spans="8:8" x14ac:dyDescent="0.25">
      <c r="H2791" t="s">
        <v>23159</v>
      </c>
    </row>
    <row r="2792" spans="8:8" x14ac:dyDescent="0.25">
      <c r="H2792" t="s">
        <v>23160</v>
      </c>
    </row>
    <row r="2793" spans="8:8" x14ac:dyDescent="0.25">
      <c r="H2793" t="s">
        <v>23161</v>
      </c>
    </row>
    <row r="2794" spans="8:8" x14ac:dyDescent="0.25">
      <c r="H2794" t="s">
        <v>23162</v>
      </c>
    </row>
    <row r="2795" spans="8:8" x14ac:dyDescent="0.25">
      <c r="H2795" t="s">
        <v>23163</v>
      </c>
    </row>
    <row r="2796" spans="8:8" x14ac:dyDescent="0.25">
      <c r="H2796" t="s">
        <v>23164</v>
      </c>
    </row>
    <row r="2797" spans="8:8" x14ac:dyDescent="0.25">
      <c r="H2797" t="s">
        <v>23165</v>
      </c>
    </row>
    <row r="2798" spans="8:8" x14ac:dyDescent="0.25">
      <c r="H2798" t="s">
        <v>23166</v>
      </c>
    </row>
    <row r="2799" spans="8:8" x14ac:dyDescent="0.25">
      <c r="H2799" t="s">
        <v>23167</v>
      </c>
    </row>
    <row r="2800" spans="8:8" x14ac:dyDescent="0.25">
      <c r="H2800" t="s">
        <v>23168</v>
      </c>
    </row>
    <row r="2801" spans="8:8" x14ac:dyDescent="0.25">
      <c r="H2801" t="s">
        <v>23169</v>
      </c>
    </row>
    <row r="2802" spans="8:8" x14ac:dyDescent="0.25">
      <c r="H2802" t="s">
        <v>23170</v>
      </c>
    </row>
    <row r="2803" spans="8:8" x14ac:dyDescent="0.25">
      <c r="H2803" t="s">
        <v>23171</v>
      </c>
    </row>
    <row r="2804" spans="8:8" x14ac:dyDescent="0.25">
      <c r="H2804" t="s">
        <v>23172</v>
      </c>
    </row>
    <row r="2805" spans="8:8" x14ac:dyDescent="0.25">
      <c r="H2805" t="s">
        <v>23173</v>
      </c>
    </row>
    <row r="2806" spans="8:8" x14ac:dyDescent="0.25">
      <c r="H2806" t="s">
        <v>23174</v>
      </c>
    </row>
    <row r="2807" spans="8:8" x14ac:dyDescent="0.25">
      <c r="H2807" t="s">
        <v>23175</v>
      </c>
    </row>
    <row r="2808" spans="8:8" x14ac:dyDescent="0.25">
      <c r="H2808" t="s">
        <v>23176</v>
      </c>
    </row>
    <row r="2809" spans="8:8" x14ac:dyDescent="0.25">
      <c r="H2809" t="s">
        <v>23177</v>
      </c>
    </row>
    <row r="2810" spans="8:8" x14ac:dyDescent="0.25">
      <c r="H2810" t="s">
        <v>23178</v>
      </c>
    </row>
    <row r="2811" spans="8:8" x14ac:dyDescent="0.25">
      <c r="H2811" t="s">
        <v>23179</v>
      </c>
    </row>
    <row r="2812" spans="8:8" x14ac:dyDescent="0.25">
      <c r="H2812" t="s">
        <v>23180</v>
      </c>
    </row>
    <row r="2813" spans="8:8" x14ac:dyDescent="0.25">
      <c r="H2813" t="s">
        <v>23181</v>
      </c>
    </row>
    <row r="2814" spans="8:8" x14ac:dyDescent="0.25">
      <c r="H2814" t="s">
        <v>23182</v>
      </c>
    </row>
    <row r="2815" spans="8:8" x14ac:dyDescent="0.25">
      <c r="H2815" t="s">
        <v>23183</v>
      </c>
    </row>
    <row r="2816" spans="8:8" x14ac:dyDescent="0.25">
      <c r="H2816" t="s">
        <v>23184</v>
      </c>
    </row>
    <row r="2817" spans="8:8" x14ac:dyDescent="0.25">
      <c r="H2817" t="s">
        <v>23185</v>
      </c>
    </row>
    <row r="2818" spans="8:8" x14ac:dyDescent="0.25">
      <c r="H2818" t="s">
        <v>23186</v>
      </c>
    </row>
    <row r="2819" spans="8:8" x14ac:dyDescent="0.25">
      <c r="H2819" t="s">
        <v>23187</v>
      </c>
    </row>
    <row r="2820" spans="8:8" x14ac:dyDescent="0.25">
      <c r="H2820" t="s">
        <v>23188</v>
      </c>
    </row>
    <row r="2821" spans="8:8" x14ac:dyDescent="0.25">
      <c r="H2821" t="s">
        <v>23189</v>
      </c>
    </row>
    <row r="2822" spans="8:8" x14ac:dyDescent="0.25">
      <c r="H2822" t="s">
        <v>23190</v>
      </c>
    </row>
    <row r="2823" spans="8:8" x14ac:dyDescent="0.25">
      <c r="H2823" t="s">
        <v>23191</v>
      </c>
    </row>
    <row r="2824" spans="8:8" x14ac:dyDescent="0.25">
      <c r="H2824" t="s">
        <v>23192</v>
      </c>
    </row>
    <row r="2825" spans="8:8" x14ac:dyDescent="0.25">
      <c r="H2825" t="s">
        <v>23193</v>
      </c>
    </row>
    <row r="2826" spans="8:8" x14ac:dyDescent="0.25">
      <c r="H2826" t="s">
        <v>23194</v>
      </c>
    </row>
    <row r="2827" spans="8:8" x14ac:dyDescent="0.25">
      <c r="H2827" t="s">
        <v>23195</v>
      </c>
    </row>
    <row r="2828" spans="8:8" x14ac:dyDescent="0.25">
      <c r="H2828" t="s">
        <v>23196</v>
      </c>
    </row>
    <row r="2829" spans="8:8" x14ac:dyDescent="0.25">
      <c r="H2829" t="s">
        <v>23197</v>
      </c>
    </row>
    <row r="2830" spans="8:8" x14ac:dyDescent="0.25">
      <c r="H2830" t="s">
        <v>23198</v>
      </c>
    </row>
    <row r="2831" spans="8:8" x14ac:dyDescent="0.25">
      <c r="H2831" t="s">
        <v>23199</v>
      </c>
    </row>
    <row r="2832" spans="8:8" x14ac:dyDescent="0.25">
      <c r="H2832" t="s">
        <v>23200</v>
      </c>
    </row>
    <row r="2833" spans="8:8" x14ac:dyDescent="0.25">
      <c r="H2833" t="s">
        <v>23201</v>
      </c>
    </row>
    <row r="2834" spans="8:8" x14ac:dyDescent="0.25">
      <c r="H2834" t="s">
        <v>23202</v>
      </c>
    </row>
    <row r="2835" spans="8:8" x14ac:dyDescent="0.25">
      <c r="H2835" t="s">
        <v>23203</v>
      </c>
    </row>
    <row r="2836" spans="8:8" x14ac:dyDescent="0.25">
      <c r="H2836" t="s">
        <v>23204</v>
      </c>
    </row>
    <row r="2837" spans="8:8" x14ac:dyDescent="0.25">
      <c r="H2837" t="s">
        <v>23205</v>
      </c>
    </row>
    <row r="2838" spans="8:8" x14ac:dyDescent="0.25">
      <c r="H2838" t="s">
        <v>23206</v>
      </c>
    </row>
    <row r="2839" spans="8:8" x14ac:dyDescent="0.25">
      <c r="H2839" t="s">
        <v>23207</v>
      </c>
    </row>
    <row r="2840" spans="8:8" x14ac:dyDescent="0.25">
      <c r="H2840" t="s">
        <v>23208</v>
      </c>
    </row>
    <row r="2841" spans="8:8" x14ac:dyDescent="0.25">
      <c r="H2841" t="s">
        <v>23209</v>
      </c>
    </row>
    <row r="2842" spans="8:8" x14ac:dyDescent="0.25">
      <c r="H2842" t="s">
        <v>23210</v>
      </c>
    </row>
    <row r="2843" spans="8:8" x14ac:dyDescent="0.25">
      <c r="H2843" t="s">
        <v>23211</v>
      </c>
    </row>
    <row r="2844" spans="8:8" x14ac:dyDescent="0.25">
      <c r="H2844" t="s">
        <v>23212</v>
      </c>
    </row>
    <row r="2845" spans="8:8" x14ac:dyDescent="0.25">
      <c r="H2845" t="s">
        <v>23213</v>
      </c>
    </row>
    <row r="2846" spans="8:8" x14ac:dyDescent="0.25">
      <c r="H2846" t="s">
        <v>23214</v>
      </c>
    </row>
    <row r="2847" spans="8:8" x14ac:dyDescent="0.25">
      <c r="H2847" t="s">
        <v>23215</v>
      </c>
    </row>
    <row r="2848" spans="8:8" x14ac:dyDescent="0.25">
      <c r="H2848" t="s">
        <v>23216</v>
      </c>
    </row>
    <row r="2849" spans="8:8" x14ac:dyDescent="0.25">
      <c r="H2849" t="s">
        <v>23217</v>
      </c>
    </row>
    <row r="2850" spans="8:8" x14ac:dyDescent="0.25">
      <c r="H2850" t="s">
        <v>23218</v>
      </c>
    </row>
    <row r="2851" spans="8:8" x14ac:dyDescent="0.25">
      <c r="H2851" t="s">
        <v>23219</v>
      </c>
    </row>
    <row r="2852" spans="8:8" x14ac:dyDescent="0.25">
      <c r="H2852" t="s">
        <v>23220</v>
      </c>
    </row>
    <row r="2853" spans="8:8" x14ac:dyDescent="0.25">
      <c r="H2853" t="s">
        <v>23221</v>
      </c>
    </row>
    <row r="2854" spans="8:8" x14ac:dyDescent="0.25">
      <c r="H2854" t="s">
        <v>23222</v>
      </c>
    </row>
    <row r="2855" spans="8:8" x14ac:dyDescent="0.25">
      <c r="H2855" t="s">
        <v>23223</v>
      </c>
    </row>
    <row r="2856" spans="8:8" x14ac:dyDescent="0.25">
      <c r="H2856" t="s">
        <v>23224</v>
      </c>
    </row>
    <row r="2857" spans="8:8" x14ac:dyDescent="0.25">
      <c r="H2857" t="s">
        <v>23225</v>
      </c>
    </row>
    <row r="2858" spans="8:8" x14ac:dyDescent="0.25">
      <c r="H2858" t="s">
        <v>23226</v>
      </c>
    </row>
    <row r="2859" spans="8:8" x14ac:dyDescent="0.25">
      <c r="H2859" t="s">
        <v>23227</v>
      </c>
    </row>
    <row r="2860" spans="8:8" x14ac:dyDescent="0.25">
      <c r="H2860" t="s">
        <v>23228</v>
      </c>
    </row>
    <row r="2861" spans="8:8" x14ac:dyDescent="0.25">
      <c r="H2861" t="s">
        <v>23229</v>
      </c>
    </row>
    <row r="2862" spans="8:8" x14ac:dyDescent="0.25">
      <c r="H2862" t="s">
        <v>23230</v>
      </c>
    </row>
    <row r="2863" spans="8:8" x14ac:dyDescent="0.25">
      <c r="H2863" t="s">
        <v>23231</v>
      </c>
    </row>
    <row r="2864" spans="8:8" x14ac:dyDescent="0.25">
      <c r="H2864" t="s">
        <v>23232</v>
      </c>
    </row>
    <row r="2865" spans="8:8" x14ac:dyDescent="0.25">
      <c r="H2865" t="s">
        <v>23233</v>
      </c>
    </row>
    <row r="2866" spans="8:8" x14ac:dyDescent="0.25">
      <c r="H2866" t="s">
        <v>23234</v>
      </c>
    </row>
    <row r="2867" spans="8:8" x14ac:dyDescent="0.25">
      <c r="H2867" t="s">
        <v>23235</v>
      </c>
    </row>
    <row r="2868" spans="8:8" x14ac:dyDescent="0.25">
      <c r="H2868" t="s">
        <v>23236</v>
      </c>
    </row>
    <row r="2869" spans="8:8" x14ac:dyDescent="0.25">
      <c r="H2869" t="s">
        <v>23237</v>
      </c>
    </row>
    <row r="2870" spans="8:8" x14ac:dyDescent="0.25">
      <c r="H2870" t="s">
        <v>23238</v>
      </c>
    </row>
    <row r="2871" spans="8:8" x14ac:dyDescent="0.25">
      <c r="H2871" t="s">
        <v>23239</v>
      </c>
    </row>
    <row r="2872" spans="8:8" x14ac:dyDescent="0.25">
      <c r="H2872" t="s">
        <v>23240</v>
      </c>
    </row>
    <row r="2873" spans="8:8" x14ac:dyDescent="0.25">
      <c r="H2873" t="s">
        <v>23241</v>
      </c>
    </row>
    <row r="2874" spans="8:8" x14ac:dyDescent="0.25">
      <c r="H2874" t="s">
        <v>23242</v>
      </c>
    </row>
    <row r="2875" spans="8:8" x14ac:dyDescent="0.25">
      <c r="H2875" t="s">
        <v>23243</v>
      </c>
    </row>
    <row r="2876" spans="8:8" x14ac:dyDescent="0.25">
      <c r="H2876" t="s">
        <v>23244</v>
      </c>
    </row>
    <row r="2877" spans="8:8" x14ac:dyDescent="0.25">
      <c r="H2877" t="s">
        <v>23245</v>
      </c>
    </row>
    <row r="2878" spans="8:8" x14ac:dyDescent="0.25">
      <c r="H2878" t="s">
        <v>23246</v>
      </c>
    </row>
    <row r="2879" spans="8:8" x14ac:dyDescent="0.25">
      <c r="H2879" t="s">
        <v>23247</v>
      </c>
    </row>
    <row r="2880" spans="8:8" x14ac:dyDescent="0.25">
      <c r="H2880" t="s">
        <v>23248</v>
      </c>
    </row>
    <row r="2881" spans="8:8" x14ac:dyDescent="0.25">
      <c r="H2881" t="s">
        <v>23249</v>
      </c>
    </row>
    <row r="2882" spans="8:8" x14ac:dyDescent="0.25">
      <c r="H2882" t="s">
        <v>23250</v>
      </c>
    </row>
    <row r="2883" spans="8:8" x14ac:dyDescent="0.25">
      <c r="H2883" t="s">
        <v>23251</v>
      </c>
    </row>
    <row r="2884" spans="8:8" x14ac:dyDescent="0.25">
      <c r="H2884" t="s">
        <v>23252</v>
      </c>
    </row>
    <row r="2885" spans="8:8" x14ac:dyDescent="0.25">
      <c r="H2885" t="s">
        <v>23253</v>
      </c>
    </row>
    <row r="2886" spans="8:8" x14ac:dyDescent="0.25">
      <c r="H2886" t="s">
        <v>23254</v>
      </c>
    </row>
    <row r="2887" spans="8:8" x14ac:dyDescent="0.25">
      <c r="H2887" t="s">
        <v>23255</v>
      </c>
    </row>
    <row r="2888" spans="8:8" x14ac:dyDescent="0.25">
      <c r="H2888" t="s">
        <v>23256</v>
      </c>
    </row>
    <row r="2889" spans="8:8" x14ac:dyDescent="0.25">
      <c r="H2889" t="s">
        <v>23257</v>
      </c>
    </row>
    <row r="2890" spans="8:8" x14ac:dyDescent="0.25">
      <c r="H2890" t="s">
        <v>23258</v>
      </c>
    </row>
    <row r="2891" spans="8:8" x14ac:dyDescent="0.25">
      <c r="H2891" t="s">
        <v>23259</v>
      </c>
    </row>
    <row r="2892" spans="8:8" x14ac:dyDescent="0.25">
      <c r="H2892" t="s">
        <v>23260</v>
      </c>
    </row>
    <row r="2893" spans="8:8" x14ac:dyDescent="0.25">
      <c r="H2893" t="s">
        <v>23261</v>
      </c>
    </row>
    <row r="2894" spans="8:8" x14ac:dyDescent="0.25">
      <c r="H2894" t="s">
        <v>23262</v>
      </c>
    </row>
    <row r="2895" spans="8:8" x14ac:dyDescent="0.25">
      <c r="H2895" t="s">
        <v>23263</v>
      </c>
    </row>
    <row r="2896" spans="8:8" x14ac:dyDescent="0.25">
      <c r="H2896" t="s">
        <v>23264</v>
      </c>
    </row>
    <row r="2897" spans="8:8" x14ac:dyDescent="0.25">
      <c r="H2897" t="s">
        <v>23265</v>
      </c>
    </row>
    <row r="2898" spans="8:8" x14ac:dyDescent="0.25">
      <c r="H2898" t="s">
        <v>23266</v>
      </c>
    </row>
    <row r="2899" spans="8:8" x14ac:dyDescent="0.25">
      <c r="H2899" t="s">
        <v>23267</v>
      </c>
    </row>
    <row r="2900" spans="8:8" x14ac:dyDescent="0.25">
      <c r="H2900" t="s">
        <v>23268</v>
      </c>
    </row>
    <row r="2901" spans="8:8" x14ac:dyDescent="0.25">
      <c r="H2901" t="s">
        <v>23269</v>
      </c>
    </row>
    <row r="2902" spans="8:8" x14ac:dyDescent="0.25">
      <c r="H2902" t="s">
        <v>23270</v>
      </c>
    </row>
    <row r="2903" spans="8:8" x14ac:dyDescent="0.25">
      <c r="H2903" t="s">
        <v>23271</v>
      </c>
    </row>
    <row r="2904" spans="8:8" x14ac:dyDescent="0.25">
      <c r="H2904" t="s">
        <v>23272</v>
      </c>
    </row>
    <row r="2905" spans="8:8" x14ac:dyDescent="0.25">
      <c r="H2905" t="s">
        <v>23273</v>
      </c>
    </row>
    <row r="2906" spans="8:8" x14ac:dyDescent="0.25">
      <c r="H2906" t="s">
        <v>23274</v>
      </c>
    </row>
    <row r="2907" spans="8:8" x14ac:dyDescent="0.25">
      <c r="H2907" t="s">
        <v>23275</v>
      </c>
    </row>
    <row r="2908" spans="8:8" x14ac:dyDescent="0.25">
      <c r="H2908" t="s">
        <v>23276</v>
      </c>
    </row>
    <row r="2909" spans="8:8" x14ac:dyDescent="0.25">
      <c r="H2909" t="s">
        <v>23277</v>
      </c>
    </row>
    <row r="2910" spans="8:8" x14ac:dyDescent="0.25">
      <c r="H2910" t="s">
        <v>23278</v>
      </c>
    </row>
    <row r="2911" spans="8:8" x14ac:dyDescent="0.25">
      <c r="H2911" t="s">
        <v>23279</v>
      </c>
    </row>
    <row r="2912" spans="8:8" x14ac:dyDescent="0.25">
      <c r="H2912" t="s">
        <v>23280</v>
      </c>
    </row>
    <row r="2913" spans="8:8" x14ac:dyDescent="0.25">
      <c r="H2913" t="s">
        <v>23281</v>
      </c>
    </row>
    <row r="2914" spans="8:8" x14ac:dyDescent="0.25">
      <c r="H2914" t="s">
        <v>23282</v>
      </c>
    </row>
    <row r="2915" spans="8:8" x14ac:dyDescent="0.25">
      <c r="H2915" t="s">
        <v>23283</v>
      </c>
    </row>
    <row r="2916" spans="8:8" x14ac:dyDescent="0.25">
      <c r="H2916" t="s">
        <v>23284</v>
      </c>
    </row>
    <row r="2917" spans="8:8" x14ac:dyDescent="0.25">
      <c r="H2917" t="s">
        <v>23285</v>
      </c>
    </row>
    <row r="2918" spans="8:8" x14ac:dyDescent="0.25">
      <c r="H2918" t="s">
        <v>23286</v>
      </c>
    </row>
    <row r="2919" spans="8:8" x14ac:dyDescent="0.25">
      <c r="H2919" t="s">
        <v>23287</v>
      </c>
    </row>
    <row r="2920" spans="8:8" x14ac:dyDescent="0.25">
      <c r="H2920" t="s">
        <v>23288</v>
      </c>
    </row>
    <row r="2921" spans="8:8" x14ac:dyDescent="0.25">
      <c r="H2921" t="s">
        <v>23289</v>
      </c>
    </row>
    <row r="2922" spans="8:8" x14ac:dyDescent="0.25">
      <c r="H2922" t="s">
        <v>23290</v>
      </c>
    </row>
    <row r="2923" spans="8:8" x14ac:dyDescent="0.25">
      <c r="H2923" t="s">
        <v>23291</v>
      </c>
    </row>
    <row r="2924" spans="8:8" x14ac:dyDescent="0.25">
      <c r="H2924" t="s">
        <v>23292</v>
      </c>
    </row>
    <row r="2925" spans="8:8" x14ac:dyDescent="0.25">
      <c r="H2925" t="s">
        <v>23293</v>
      </c>
    </row>
    <row r="2926" spans="8:8" x14ac:dyDescent="0.25">
      <c r="H2926" t="s">
        <v>23294</v>
      </c>
    </row>
    <row r="2927" spans="8:8" x14ac:dyDescent="0.25">
      <c r="H2927" t="s">
        <v>23295</v>
      </c>
    </row>
    <row r="2928" spans="8:8" x14ac:dyDescent="0.25">
      <c r="H2928" t="s">
        <v>23296</v>
      </c>
    </row>
    <row r="2929" spans="8:8" x14ac:dyDescent="0.25">
      <c r="H2929" t="s">
        <v>23297</v>
      </c>
    </row>
    <row r="2930" spans="8:8" x14ac:dyDescent="0.25">
      <c r="H2930" t="s">
        <v>23298</v>
      </c>
    </row>
    <row r="2931" spans="8:8" x14ac:dyDescent="0.25">
      <c r="H2931" t="s">
        <v>23299</v>
      </c>
    </row>
    <row r="2932" spans="8:8" x14ac:dyDescent="0.25">
      <c r="H2932" t="s">
        <v>23300</v>
      </c>
    </row>
    <row r="2933" spans="8:8" x14ac:dyDescent="0.25">
      <c r="H2933" t="s">
        <v>23301</v>
      </c>
    </row>
    <row r="2934" spans="8:8" x14ac:dyDescent="0.25">
      <c r="H2934" t="s">
        <v>23302</v>
      </c>
    </row>
    <row r="2935" spans="8:8" x14ac:dyDescent="0.25">
      <c r="H2935" t="s">
        <v>23303</v>
      </c>
    </row>
    <row r="2936" spans="8:8" x14ac:dyDescent="0.25">
      <c r="H2936" t="s">
        <v>23304</v>
      </c>
    </row>
    <row r="2937" spans="8:8" x14ac:dyDescent="0.25">
      <c r="H2937" t="s">
        <v>23305</v>
      </c>
    </row>
    <row r="2938" spans="8:8" x14ac:dyDescent="0.25">
      <c r="H2938" t="s">
        <v>23306</v>
      </c>
    </row>
    <row r="2939" spans="8:8" x14ac:dyDescent="0.25">
      <c r="H2939" t="s">
        <v>23307</v>
      </c>
    </row>
    <row r="2940" spans="8:8" x14ac:dyDescent="0.25">
      <c r="H2940" t="s">
        <v>23308</v>
      </c>
    </row>
    <row r="2941" spans="8:8" x14ac:dyDescent="0.25">
      <c r="H2941" t="s">
        <v>23309</v>
      </c>
    </row>
    <row r="2942" spans="8:8" x14ac:dyDescent="0.25">
      <c r="H2942" t="s">
        <v>23310</v>
      </c>
    </row>
    <row r="2943" spans="8:8" x14ac:dyDescent="0.25">
      <c r="H2943" t="s">
        <v>23311</v>
      </c>
    </row>
    <row r="2944" spans="8:8" x14ac:dyDescent="0.25">
      <c r="H2944" t="s">
        <v>23312</v>
      </c>
    </row>
    <row r="2945" spans="8:8" x14ac:dyDescent="0.25">
      <c r="H2945" t="s">
        <v>23313</v>
      </c>
    </row>
    <row r="2946" spans="8:8" x14ac:dyDescent="0.25">
      <c r="H2946" t="s">
        <v>23314</v>
      </c>
    </row>
    <row r="2947" spans="8:8" x14ac:dyDescent="0.25">
      <c r="H2947" t="s">
        <v>23315</v>
      </c>
    </row>
    <row r="2948" spans="8:8" x14ac:dyDescent="0.25">
      <c r="H2948" t="s">
        <v>23316</v>
      </c>
    </row>
    <row r="2949" spans="8:8" x14ac:dyDescent="0.25">
      <c r="H2949" t="s">
        <v>23317</v>
      </c>
    </row>
    <row r="2950" spans="8:8" x14ac:dyDescent="0.25">
      <c r="H2950" t="s">
        <v>23318</v>
      </c>
    </row>
    <row r="2951" spans="8:8" x14ac:dyDescent="0.25">
      <c r="H2951" t="s">
        <v>23319</v>
      </c>
    </row>
    <row r="2952" spans="8:8" x14ac:dyDescent="0.25">
      <c r="H2952" t="s">
        <v>23320</v>
      </c>
    </row>
    <row r="2953" spans="8:8" x14ac:dyDescent="0.25">
      <c r="H2953" t="s">
        <v>23321</v>
      </c>
    </row>
    <row r="2954" spans="8:8" x14ac:dyDescent="0.25">
      <c r="H2954" t="s">
        <v>23322</v>
      </c>
    </row>
    <row r="2955" spans="8:8" x14ac:dyDescent="0.25">
      <c r="H2955" t="s">
        <v>23323</v>
      </c>
    </row>
    <row r="2956" spans="8:8" x14ac:dyDescent="0.25">
      <c r="H2956" t="s">
        <v>23324</v>
      </c>
    </row>
    <row r="2957" spans="8:8" x14ac:dyDescent="0.25">
      <c r="H2957" t="s">
        <v>23325</v>
      </c>
    </row>
    <row r="2958" spans="8:8" x14ac:dyDescent="0.25">
      <c r="H2958" t="s">
        <v>23326</v>
      </c>
    </row>
    <row r="2959" spans="8:8" x14ac:dyDescent="0.25">
      <c r="H2959" t="s">
        <v>23327</v>
      </c>
    </row>
    <row r="2960" spans="8:8" x14ac:dyDescent="0.25">
      <c r="H2960" t="s">
        <v>23328</v>
      </c>
    </row>
    <row r="2961" spans="8:8" x14ac:dyDescent="0.25">
      <c r="H2961" t="s">
        <v>23329</v>
      </c>
    </row>
    <row r="2962" spans="8:8" x14ac:dyDescent="0.25">
      <c r="H2962" t="s">
        <v>23330</v>
      </c>
    </row>
    <row r="2963" spans="8:8" x14ac:dyDescent="0.25">
      <c r="H2963" t="s">
        <v>23331</v>
      </c>
    </row>
    <row r="2964" spans="8:8" x14ac:dyDescent="0.25">
      <c r="H2964" t="s">
        <v>23332</v>
      </c>
    </row>
    <row r="2965" spans="8:8" x14ac:dyDescent="0.25">
      <c r="H2965" t="s">
        <v>23333</v>
      </c>
    </row>
    <row r="2966" spans="8:8" x14ac:dyDescent="0.25">
      <c r="H2966" t="s">
        <v>23334</v>
      </c>
    </row>
    <row r="2967" spans="8:8" x14ac:dyDescent="0.25">
      <c r="H2967" t="s">
        <v>23335</v>
      </c>
    </row>
    <row r="2968" spans="8:8" x14ac:dyDescent="0.25">
      <c r="H2968" t="s">
        <v>23336</v>
      </c>
    </row>
    <row r="2969" spans="8:8" x14ac:dyDescent="0.25">
      <c r="H2969" t="s">
        <v>23337</v>
      </c>
    </row>
    <row r="2970" spans="8:8" x14ac:dyDescent="0.25">
      <c r="H2970" t="s">
        <v>23338</v>
      </c>
    </row>
    <row r="2971" spans="8:8" x14ac:dyDescent="0.25">
      <c r="H2971" t="s">
        <v>23339</v>
      </c>
    </row>
    <row r="2972" spans="8:8" x14ac:dyDescent="0.25">
      <c r="H2972" t="s">
        <v>23340</v>
      </c>
    </row>
    <row r="2973" spans="8:8" x14ac:dyDescent="0.25">
      <c r="H2973" t="s">
        <v>23341</v>
      </c>
    </row>
    <row r="2974" spans="8:8" x14ac:dyDescent="0.25">
      <c r="H2974" t="s">
        <v>23342</v>
      </c>
    </row>
    <row r="2975" spans="8:8" x14ac:dyDescent="0.25">
      <c r="H2975" t="s">
        <v>23343</v>
      </c>
    </row>
    <row r="2976" spans="8:8" x14ac:dyDescent="0.25">
      <c r="H2976" t="s">
        <v>23344</v>
      </c>
    </row>
    <row r="2977" spans="8:8" x14ac:dyDescent="0.25">
      <c r="H2977" t="s">
        <v>23345</v>
      </c>
    </row>
    <row r="2978" spans="8:8" x14ac:dyDescent="0.25">
      <c r="H2978" t="s">
        <v>23346</v>
      </c>
    </row>
    <row r="2979" spans="8:8" x14ac:dyDescent="0.25">
      <c r="H2979" t="s">
        <v>23347</v>
      </c>
    </row>
    <row r="2980" spans="8:8" x14ac:dyDescent="0.25">
      <c r="H2980" t="s">
        <v>23348</v>
      </c>
    </row>
    <row r="2981" spans="8:8" x14ac:dyDescent="0.25">
      <c r="H2981" t="s">
        <v>23349</v>
      </c>
    </row>
    <row r="2982" spans="8:8" x14ac:dyDescent="0.25">
      <c r="H2982" t="s">
        <v>23350</v>
      </c>
    </row>
    <row r="2983" spans="8:8" x14ac:dyDescent="0.25">
      <c r="H2983" t="s">
        <v>23351</v>
      </c>
    </row>
    <row r="2984" spans="8:8" x14ac:dyDescent="0.25">
      <c r="H2984" t="s">
        <v>23352</v>
      </c>
    </row>
    <row r="2985" spans="8:8" x14ac:dyDescent="0.25">
      <c r="H2985" t="s">
        <v>23353</v>
      </c>
    </row>
    <row r="2986" spans="8:8" x14ac:dyDescent="0.25">
      <c r="H2986" t="s">
        <v>23354</v>
      </c>
    </row>
    <row r="2987" spans="8:8" x14ac:dyDescent="0.25">
      <c r="H2987" t="s">
        <v>23355</v>
      </c>
    </row>
    <row r="2988" spans="8:8" x14ac:dyDescent="0.25">
      <c r="H2988" t="s">
        <v>23356</v>
      </c>
    </row>
    <row r="2989" spans="8:8" x14ac:dyDescent="0.25">
      <c r="H2989" t="s">
        <v>23357</v>
      </c>
    </row>
    <row r="2990" spans="8:8" x14ac:dyDescent="0.25">
      <c r="H2990" t="s">
        <v>23358</v>
      </c>
    </row>
    <row r="2991" spans="8:8" x14ac:dyDescent="0.25">
      <c r="H2991" t="s">
        <v>23359</v>
      </c>
    </row>
    <row r="2992" spans="8:8" x14ac:dyDescent="0.25">
      <c r="H2992" t="s">
        <v>23360</v>
      </c>
    </row>
    <row r="2993" spans="8:8" x14ac:dyDescent="0.25">
      <c r="H2993" t="s">
        <v>23361</v>
      </c>
    </row>
    <row r="2994" spans="8:8" x14ac:dyDescent="0.25">
      <c r="H2994" t="s">
        <v>23362</v>
      </c>
    </row>
    <row r="2995" spans="8:8" x14ac:dyDescent="0.25">
      <c r="H2995" t="s">
        <v>23363</v>
      </c>
    </row>
    <row r="2996" spans="8:8" x14ac:dyDescent="0.25">
      <c r="H2996" t="s">
        <v>23364</v>
      </c>
    </row>
    <row r="2997" spans="8:8" x14ac:dyDescent="0.25">
      <c r="H2997" t="s">
        <v>23365</v>
      </c>
    </row>
    <row r="2998" spans="8:8" x14ac:dyDescent="0.25">
      <c r="H2998" t="s">
        <v>23366</v>
      </c>
    </row>
    <row r="2999" spans="8:8" x14ac:dyDescent="0.25">
      <c r="H2999" t="s">
        <v>23367</v>
      </c>
    </row>
    <row r="3000" spans="8:8" x14ac:dyDescent="0.25">
      <c r="H3000" t="s">
        <v>23368</v>
      </c>
    </row>
    <row r="3001" spans="8:8" x14ac:dyDescent="0.25">
      <c r="H3001" t="s">
        <v>23369</v>
      </c>
    </row>
    <row r="3002" spans="8:8" x14ac:dyDescent="0.25">
      <c r="H3002" t="s">
        <v>23370</v>
      </c>
    </row>
    <row r="3003" spans="8:8" x14ac:dyDescent="0.25">
      <c r="H3003" t="s">
        <v>23371</v>
      </c>
    </row>
    <row r="3004" spans="8:8" x14ac:dyDescent="0.25">
      <c r="H3004" t="s">
        <v>23372</v>
      </c>
    </row>
    <row r="3005" spans="8:8" x14ac:dyDescent="0.25">
      <c r="H3005" t="s">
        <v>23373</v>
      </c>
    </row>
    <row r="3006" spans="8:8" x14ac:dyDescent="0.25">
      <c r="H3006" t="s">
        <v>23374</v>
      </c>
    </row>
    <row r="3007" spans="8:8" x14ac:dyDescent="0.25">
      <c r="H3007" t="s">
        <v>23375</v>
      </c>
    </row>
    <row r="3008" spans="8:8" x14ac:dyDescent="0.25">
      <c r="H3008" t="s">
        <v>23376</v>
      </c>
    </row>
    <row r="3009" spans="8:8" x14ac:dyDescent="0.25">
      <c r="H3009" t="s">
        <v>23377</v>
      </c>
    </row>
    <row r="3010" spans="8:8" x14ac:dyDescent="0.25">
      <c r="H3010" t="s">
        <v>23378</v>
      </c>
    </row>
    <row r="3011" spans="8:8" x14ac:dyDescent="0.25">
      <c r="H3011" t="s">
        <v>23379</v>
      </c>
    </row>
    <row r="3012" spans="8:8" x14ac:dyDescent="0.25">
      <c r="H3012" t="s">
        <v>23380</v>
      </c>
    </row>
    <row r="3013" spans="8:8" x14ac:dyDescent="0.25">
      <c r="H3013" t="s">
        <v>23381</v>
      </c>
    </row>
    <row r="3014" spans="8:8" x14ac:dyDescent="0.25">
      <c r="H3014" t="s">
        <v>23382</v>
      </c>
    </row>
    <row r="3015" spans="8:8" x14ac:dyDescent="0.25">
      <c r="H3015" t="s">
        <v>23383</v>
      </c>
    </row>
    <row r="3016" spans="8:8" x14ac:dyDescent="0.25">
      <c r="H3016" t="s">
        <v>23384</v>
      </c>
    </row>
    <row r="3017" spans="8:8" x14ac:dyDescent="0.25">
      <c r="H3017" t="s">
        <v>23385</v>
      </c>
    </row>
    <row r="3018" spans="8:8" x14ac:dyDescent="0.25">
      <c r="H3018" t="s">
        <v>23386</v>
      </c>
    </row>
    <row r="3019" spans="8:8" x14ac:dyDescent="0.25">
      <c r="H3019" t="s">
        <v>23387</v>
      </c>
    </row>
    <row r="3020" spans="8:8" x14ac:dyDescent="0.25">
      <c r="H3020" t="s">
        <v>23388</v>
      </c>
    </row>
    <row r="3021" spans="8:8" x14ac:dyDescent="0.25">
      <c r="H3021" t="s">
        <v>23389</v>
      </c>
    </row>
    <row r="3022" spans="8:8" x14ac:dyDescent="0.25">
      <c r="H3022" t="s">
        <v>23390</v>
      </c>
    </row>
    <row r="3023" spans="8:8" x14ac:dyDescent="0.25">
      <c r="H3023" t="s">
        <v>23391</v>
      </c>
    </row>
    <row r="3024" spans="8:8" x14ac:dyDescent="0.25">
      <c r="H3024" t="s">
        <v>23392</v>
      </c>
    </row>
    <row r="3025" spans="8:8" x14ac:dyDescent="0.25">
      <c r="H3025" t="s">
        <v>23393</v>
      </c>
    </row>
    <row r="3026" spans="8:8" x14ac:dyDescent="0.25">
      <c r="H3026" t="s">
        <v>23394</v>
      </c>
    </row>
    <row r="3027" spans="8:8" x14ac:dyDescent="0.25">
      <c r="H3027" t="s">
        <v>23395</v>
      </c>
    </row>
    <row r="3028" spans="8:8" x14ac:dyDescent="0.25">
      <c r="H3028" t="s">
        <v>23396</v>
      </c>
    </row>
    <row r="3029" spans="8:8" x14ac:dyDescent="0.25">
      <c r="H3029" t="s">
        <v>23397</v>
      </c>
    </row>
    <row r="3030" spans="8:8" x14ac:dyDescent="0.25">
      <c r="H3030" t="s">
        <v>23398</v>
      </c>
    </row>
    <row r="3031" spans="8:8" x14ac:dyDescent="0.25">
      <c r="H3031" t="s">
        <v>23399</v>
      </c>
    </row>
    <row r="3032" spans="8:8" x14ac:dyDescent="0.25">
      <c r="H3032" t="s">
        <v>23400</v>
      </c>
    </row>
    <row r="3033" spans="8:8" x14ac:dyDescent="0.25">
      <c r="H3033" t="s">
        <v>23401</v>
      </c>
    </row>
    <row r="3034" spans="8:8" x14ac:dyDescent="0.25">
      <c r="H3034" t="s">
        <v>23402</v>
      </c>
    </row>
    <row r="3035" spans="8:8" x14ac:dyDescent="0.25">
      <c r="H3035" s="7" t="s">
        <v>84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20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90</v>
      </c>
    </row>
    <row r="3" spans="2:8" x14ac:dyDescent="0.25">
      <c r="H3" t="s">
        <v>23403</v>
      </c>
    </row>
    <row r="4" spans="2:8" x14ac:dyDescent="0.25">
      <c r="H4" t="s">
        <v>151</v>
      </c>
    </row>
    <row r="5" spans="2:8" x14ac:dyDescent="0.25">
      <c r="B5" s="1"/>
      <c r="H5" t="s">
        <v>23404</v>
      </c>
    </row>
    <row r="6" spans="2:8" x14ac:dyDescent="0.25">
      <c r="H6" t="s">
        <v>23405</v>
      </c>
    </row>
    <row r="7" spans="2:8" x14ac:dyDescent="0.25">
      <c r="H7" t="s">
        <v>23406</v>
      </c>
    </row>
    <row r="8" spans="2:8" x14ac:dyDescent="0.25">
      <c r="B8" s="1"/>
      <c r="H8" t="s">
        <v>23407</v>
      </c>
    </row>
    <row r="9" spans="2:8" x14ac:dyDescent="0.25">
      <c r="H9" t="s">
        <v>152</v>
      </c>
    </row>
    <row r="11" spans="2:8" x14ac:dyDescent="0.25">
      <c r="B11" s="1"/>
      <c r="H11" t="s">
        <v>121</v>
      </c>
    </row>
    <row r="12" spans="2:8" x14ac:dyDescent="0.25">
      <c r="H12" t="s">
        <v>153</v>
      </c>
    </row>
    <row r="13" spans="2:8" x14ac:dyDescent="0.25">
      <c r="H13" t="s">
        <v>154</v>
      </c>
    </row>
    <row r="14" spans="2:8" x14ac:dyDescent="0.25">
      <c r="B14" s="1"/>
      <c r="H14" t="s">
        <v>155</v>
      </c>
    </row>
    <row r="15" spans="2:8" x14ac:dyDescent="0.25">
      <c r="H15" s="7" t="s">
        <v>102</v>
      </c>
    </row>
    <row r="17" spans="2:2" x14ac:dyDescent="0.25">
      <c r="B17" s="1"/>
    </row>
    <row r="20" spans="2:2" x14ac:dyDescent="0.25">
      <c r="B20" s="1"/>
    </row>
  </sheetData>
  <conditionalFormatting sqref="H2">
    <cfRule type="cellIs" dxfId="0" priority="1" operator="equal">
      <formula>F2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"/>
  <sheetViews>
    <sheetView workbookViewId="0">
      <selection activeCell="B4" sqref="B4:AH1518"/>
    </sheetView>
  </sheetViews>
  <sheetFormatPr defaultRowHeight="15" x14ac:dyDescent="0.25"/>
  <sheetData/>
  <sortState xmlns:xlrd2="http://schemas.microsoft.com/office/spreadsheetml/2017/richdata2" ref="B4:AH1518">
    <sortCondition ref="U4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  <vt:lpstr>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2020-06-26T02:34:59Z</dcterms:modified>
</cp:coreProperties>
</file>